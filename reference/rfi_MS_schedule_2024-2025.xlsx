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ial Requests" sheetId="1" r:id="rId4"/>
    <sheet state="visible" name="🅿️Perla" sheetId="2" r:id="rId5"/>
    <sheet state="visible" name="Timeline" sheetId="3" r:id="rId6"/>
    <sheet state="visible" name="Schedule" sheetId="4" r:id="rId7"/>
    <sheet state="visible" name="Student Groupings" sheetId="5" r:id="rId8"/>
    <sheet state="visible" name="ADVISORY" sheetId="6" r:id="rId9"/>
    <sheet state="visible" name="Students" sheetId="7" r:id="rId10"/>
    <sheet state="hidden" name="Room Conflicts" sheetId="8" r:id="rId11"/>
    <sheet state="hidden" name="Ghost Classes" sheetId="9" r:id="rId12"/>
    <sheet state="hidden" name="Students (Vertical)" sheetId="10" r:id="rId13"/>
    <sheet state="visible" name="Teachers sched" sheetId="11" r:id="rId14"/>
    <sheet state="visible" name="Students per Teacher" sheetId="12" r:id="rId15"/>
    <sheet state="visible" name="Esquemas" sheetId="13" r:id="rId16"/>
    <sheet state="visible" name="Electives" sheetId="14" r:id="rId17"/>
    <sheet state="visible" name="Number of Students" sheetId="15" r:id="rId18"/>
    <sheet state="visible" name="Algebra" sheetId="16" r:id="rId19"/>
    <sheet state="hidden" name="Z Class" sheetId="17" r:id="rId20"/>
    <sheet state="hidden" name="Teachers" sheetId="18" r:id="rId21"/>
    <sheet state="hidden" name="Names" sheetId="19" r:id="rId22"/>
    <sheet state="visible" name="Classes" sheetId="20" r:id="rId23"/>
    <sheet state="visible" name="Groups" sheetId="21" r:id="rId24"/>
    <sheet state="visible" name="Total Groups" sheetId="22" r:id="rId25"/>
  </sheets>
  <definedNames>
    <definedName hidden="1" localSheetId="0" name="_xlnm._FilterDatabase">'Special Requests'!$A$1:$G$1000</definedName>
    <definedName hidden="1" localSheetId="2" name="_xlnm._FilterDatabase">Timeline!$A$1:$F$999</definedName>
    <definedName hidden="1" localSheetId="3" name="_xlnm._FilterDatabase">Schedule!$J$2:$AG$57</definedName>
    <definedName hidden="1" localSheetId="4" name="_xlnm._FilterDatabase">'Student Groupings'!$A$1:$M$1000</definedName>
    <definedName hidden="1" localSheetId="5" name="_xlnm._FilterDatabase">ADVISORY!$A$1:$AH$418</definedName>
    <definedName hidden="1" localSheetId="6" name="_xlnm._FilterDatabase">Students!$A$1:$AH$418</definedName>
    <definedName hidden="1" localSheetId="9" name="_xlnm._FilterDatabase">'Students (Vertical)'!$A$1:$P$4543</definedName>
    <definedName hidden="1" localSheetId="12" name="_xlnm._FilterDatabase">Esquemas!$A$1:$H$959</definedName>
    <definedName hidden="1" localSheetId="13" name="_xlnm._FilterDatabase">Electives!$A$1:$B$1000</definedName>
    <definedName hidden="1" localSheetId="14" name="_xlnm._FilterDatabase">'Number of Students'!$A$1:$I$88</definedName>
    <definedName hidden="1" localSheetId="18" name="_xlnm._FilterDatabase">Names!$A$1:$W$420</definedName>
    <definedName hidden="1" localSheetId="20" name="_xlnm._FilterDatabase">Groups!$A$1:$E$1025</definedName>
    <definedName hidden="1" localSheetId="6" name="Z_1AB824AD_7C5B_4223_98E9_55A60E334B74_.wvu.FilterData">Students!$A$1:$AH$145</definedName>
    <definedName hidden="1" localSheetId="6" name="Z_C4F7F46B_CE6A_4404_83A0_FC330E91BD20_.wvu.FilterData">Students!$A$1:$AH$418</definedName>
    <definedName hidden="1" localSheetId="5" name="Z_2932E752_7BB1_4804_8679_1BF97FA4DD92_.wvu.FilterData">ADVISORY!$A$1:$AG$418</definedName>
    <definedName hidden="1" localSheetId="6" name="Z_2932E752_7BB1_4804_8679_1BF97FA4DD92_.wvu.FilterData">Students!$A$1:$AG$418</definedName>
  </definedNames>
  <calcPr/>
  <customWorkbookViews>
    <customWorkbookView activeSheetId="0" maximized="1" windowHeight="0" windowWidth="0" guid="{C4F7F46B-CE6A-4404-83A0-FC330E91BD20}" name="Filter 2"/>
    <customWorkbookView activeSheetId="0" maximized="1" windowHeight="0" windowWidth="0" guid="{1AB824AD-7C5B-4223-98E9-55A60E334B74}" name="Filter 1"/>
    <customWorkbookView activeSheetId="0" maximized="1" windowHeight="0" windowWidth="0" guid="{2932E752-7BB1-4804-8679-1BF97FA4DD92}" name="Filter Elian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tc={1472463c-3723-40cc-8504-324f781529b6}</author>
  </authors>
  <commentList>
    <comment authorId="0" xr:uid="{1472463c-3723-40cc-8504-324f781529b6}" ref="F173">
      <text>
        <t xml:space="preserve">[Threaded comment]
 Your version of Excel allows you to read this threaded comment; however, any edits to it will get removed if the file is opened in a newer version of Excel. Learn more: https://go.microsoft.com/fwlink/?linkid=870924
Comment:
	@acastaneda@columbus.edu.co switch Nasli and the no name. The new 6th grade sociales teacher is Sebastian Guerra.
Assigned to acastaneda@columbus.edu.co
</t>
      </text>
    </comment>
  </commentList>
</comments>
</file>

<file path=xl/sharedStrings.xml><?xml version="1.0" encoding="utf-8"?>
<sst xmlns="http://schemas.openxmlformats.org/spreadsheetml/2006/main" count="44545" uniqueCount="1394">
  <si>
    <t>Special Request</t>
  </si>
  <si>
    <t>Reason for special request</t>
  </si>
  <si>
    <t>If request is for a specific student, please select their name from the drop-down menu:</t>
  </si>
  <si>
    <t>Date Approved by Principal</t>
  </si>
  <si>
    <t>Date Approved by Director of Learning</t>
  </si>
  <si>
    <t>Date Approved by HR (if applicable)</t>
  </si>
  <si>
    <r>
      <rPr/>
      <t xml:space="preserve">Common planning period all teachers of common courses in this </t>
    </r>
    <r>
      <rPr>
        <color rgb="FF1155CC"/>
        <u/>
      </rPr>
      <t>link</t>
    </r>
  </si>
  <si>
    <t>To ensure that co-teachers can teach</t>
  </si>
  <si>
    <t/>
  </si>
  <si>
    <t xml:space="preserve">Co planning at least 1 period a week: Vivian Perez and Brandon Berry. </t>
  </si>
  <si>
    <t>Co planning at least 1 period a week: Vivian Perez and Andrea Gil</t>
  </si>
  <si>
    <t xml:space="preserve">Co planning at least 1 period a week: Vivian Perez and Aldair </t>
  </si>
  <si>
    <t>New Teachers have 1 period a week in common off (by groups i.e. the Math/Science teachers have 1 common block)</t>
  </si>
  <si>
    <t>For Curriculum depatment to meet with new teachers in small groups</t>
  </si>
  <si>
    <t>Co planning at least 1 period a week: New LC Math teacher and Eich Schober</t>
  </si>
  <si>
    <t>Co planning at least 1 period a week: New LC Math teacher and Ari Holstein</t>
  </si>
  <si>
    <t>Co planning at least 1 period a week: New LC Math teacher and Rachel McGargon</t>
  </si>
  <si>
    <t>Courses</t>
  </si>
  <si>
    <t>freq</t>
  </si>
  <si>
    <t>grades</t>
  </si>
  <si>
    <t>Core classes</t>
  </si>
  <si>
    <t>All</t>
  </si>
  <si>
    <t>9 courses</t>
  </si>
  <si>
    <t>6th</t>
  </si>
  <si>
    <t>Teachers</t>
  </si>
  <si>
    <t>5 consecutive including advisory</t>
  </si>
  <si>
    <t>PE</t>
  </si>
  <si>
    <t>Art</t>
  </si>
  <si>
    <t>18 hours</t>
  </si>
  <si>
    <t>Tech</t>
  </si>
  <si>
    <t>Band</t>
  </si>
  <si>
    <t>Core Teacher</t>
  </si>
  <si>
    <t>15 hours</t>
  </si>
  <si>
    <t>7th,8th</t>
  </si>
  <si>
    <t>Miralles Split department - Own class room</t>
  </si>
  <si>
    <t>9 hours 2 teachers</t>
  </si>
  <si>
    <t>12 hours</t>
  </si>
  <si>
    <t>Normally 6 sections grade</t>
  </si>
  <si>
    <t>Idea 8 sections per grade level</t>
  </si>
  <si>
    <t>tech room always available</t>
  </si>
  <si>
    <t xml:space="preserve">8 Courses </t>
  </si>
  <si>
    <t>Science only on Labs</t>
  </si>
  <si>
    <t>Section 1 English</t>
  </si>
  <si>
    <t>Always co-teaching</t>
  </si>
  <si>
    <t>All grades</t>
  </si>
  <si>
    <t>Isaías needs to be with math co-teacher</t>
  </si>
  <si>
    <t>Section 1 Math</t>
  </si>
  <si>
    <t>Sofia needs to be with English co-teacher</t>
  </si>
  <si>
    <t>Item</t>
  </si>
  <si>
    <t>Description</t>
  </si>
  <si>
    <t>Person Responsible</t>
  </si>
  <si>
    <t>Due Date</t>
  </si>
  <si>
    <t>Additonal Information</t>
  </si>
  <si>
    <t>Links</t>
  </si>
  <si>
    <t>7th Grade Math MAP Test</t>
  </si>
  <si>
    <t>Have 7th grade students take Math MAP Growth test (to determine who can take Algebra in 8th grade)</t>
  </si>
  <si>
    <t>Principal</t>
  </si>
  <si>
    <t>January</t>
  </si>
  <si>
    <t>If a student wants to be reconsidered, they can take the 8th Grade Khan Academy Math course and show sufficient growth in their Spring MAP test.</t>
  </si>
  <si>
    <t>Define plan de estudios</t>
  </si>
  <si>
    <t>Define new courses and changes</t>
  </si>
  <si>
    <t>CPC and SCC give feedback and Consejo Directivo approves.</t>
  </si>
  <si>
    <t>Identify students for English and Spanish Intervention</t>
  </si>
  <si>
    <t>Use Fall MAP test scores and Jan F&amp;P (for 5th grade) and literably (6th and 7th) and grades. Teachers give final recommendation.</t>
  </si>
  <si>
    <t>February</t>
  </si>
  <si>
    <t>Student choices</t>
  </si>
  <si>
    <t>Students select their courses. Share student selections with Sam to process which courses do not have sufficient enrollment to be created.</t>
  </si>
  <si>
    <t>Analysis of Student Choices</t>
  </si>
  <si>
    <t>Sam shares the list of courses that have to be eliminated because of insufficient enrollment.</t>
  </si>
  <si>
    <t>Sam</t>
  </si>
  <si>
    <t>New Student Choices</t>
  </si>
  <si>
    <t xml:space="preserve">Contact students in the courses that were eliminated due to insufficient enrollment to select a replacement course. </t>
  </si>
  <si>
    <t>Scheduling Special Requests</t>
  </si>
  <si>
    <t>Make a list of all scheduling special requests in the Tab called "Special Requests"</t>
  </si>
  <si>
    <t>Students who can't be together</t>
  </si>
  <si>
    <t xml:space="preserve">Make a list of all students that can't be together or must be together in the tab called "Student Groupings". It is important to create these requests after a collaborative discussion and to keep these requests down to a minimum. </t>
  </si>
  <si>
    <t>Receive Schedule</t>
  </si>
  <si>
    <t>Turn in finished schedule for approval and revision</t>
  </si>
  <si>
    <t xml:space="preserve">After the final schedule is turned in, each school is responsible for making their own changes to the schedule if new changes are needed. (Sam can help if the change is very difficult). </t>
  </si>
  <si>
    <t>Upload Schedule to Powerschool</t>
  </si>
  <si>
    <t>Upload the Schedule into Powerschool</t>
  </si>
  <si>
    <t>Administrative Assistants</t>
  </si>
  <si>
    <t>Identify students for Co-taught classes</t>
  </si>
  <si>
    <t>Use TCS criteria to identify the LC and non- LC students that will be in co-taught ELA, Spanish, and Math for 6-8th grade</t>
  </si>
  <si>
    <t>ADOL SS and MS LC Coordinator</t>
  </si>
  <si>
    <t>Co-planning</t>
  </si>
  <si>
    <t>Identify teachers that need to have at least 1 period a week for co-planning</t>
  </si>
  <si>
    <t>VP and P</t>
  </si>
  <si>
    <t>Number of students who have not chosen elective:</t>
  </si>
  <si>
    <t>Schedule Conflicts:</t>
  </si>
  <si>
    <t>% 6-8 done:</t>
  </si>
  <si>
    <t>Over 24 students:</t>
  </si>
  <si>
    <t>ERRORS (ghost classes):</t>
  </si>
  <si>
    <t>Grade Level</t>
  </si>
  <si>
    <t>Block</t>
  </si>
  <si>
    <t>Day A</t>
  </si>
  <si>
    <t>Day B</t>
  </si>
  <si>
    <t>Day C</t>
  </si>
  <si>
    <t>Day D</t>
  </si>
  <si>
    <t>Day E</t>
  </si>
  <si>
    <t>Room</t>
  </si>
  <si>
    <t>Quarter</t>
  </si>
  <si>
    <t>Scheme</t>
  </si>
  <si>
    <t>Teacher</t>
  </si>
  <si>
    <t>S</t>
  </si>
  <si>
    <t>G6</t>
  </si>
  <si>
    <t>G7</t>
  </si>
  <si>
    <t>G8</t>
  </si>
  <si>
    <t>1a</t>
  </si>
  <si>
    <t>6b</t>
  </si>
  <si>
    <t>3a</t>
  </si>
  <si>
    <t>4a</t>
  </si>
  <si>
    <t>5b</t>
  </si>
  <si>
    <t>S1</t>
  </si>
  <si>
    <t>a</t>
  </si>
  <si>
    <t>Dioger</t>
  </si>
  <si>
    <t>Art 7</t>
  </si>
  <si>
    <t>Art 6</t>
  </si>
  <si>
    <t>Art 8</t>
  </si>
  <si>
    <t>2a</t>
  </si>
  <si>
    <t>6a</t>
  </si>
  <si>
    <t>b</t>
  </si>
  <si>
    <t>Ana MarIa Rincon</t>
  </si>
  <si>
    <t>3b</t>
  </si>
  <si>
    <t>5a</t>
  </si>
  <si>
    <t>2b</t>
  </si>
  <si>
    <t>x-block</t>
  </si>
  <si>
    <t>S2</t>
  </si>
  <si>
    <t>Andrea Gil</t>
  </si>
  <si>
    <t>1b</t>
  </si>
  <si>
    <t>4b</t>
  </si>
  <si>
    <t>Ben Light</t>
  </si>
  <si>
    <t>Luisa</t>
  </si>
  <si>
    <t>Tech 7</t>
  </si>
  <si>
    <t>Tech 6</t>
  </si>
  <si>
    <t>Tech 8</t>
  </si>
  <si>
    <t>Brandon Berry</t>
  </si>
  <si>
    <t>Chris Matthews</t>
  </si>
  <si>
    <t>Geraldin Salazar</t>
  </si>
  <si>
    <t>Giovany</t>
  </si>
  <si>
    <t>Band 7</t>
  </si>
  <si>
    <t>Band 8</t>
  </si>
  <si>
    <t>Symphony Band</t>
  </si>
  <si>
    <t>Regular Band</t>
  </si>
  <si>
    <t>John Jensen</t>
  </si>
  <si>
    <t>Jordi Tur tur</t>
  </si>
  <si>
    <t>Joshua Vissers</t>
  </si>
  <si>
    <t>Cancha</t>
  </si>
  <si>
    <t>Nando</t>
  </si>
  <si>
    <t>PE 8</t>
  </si>
  <si>
    <t>PE 7</t>
  </si>
  <si>
    <t>Juan Pablo</t>
  </si>
  <si>
    <t>Coliseo</t>
  </si>
  <si>
    <t>PE 6</t>
  </si>
  <si>
    <t>PE 7A</t>
  </si>
  <si>
    <t>Manuela Castaño</t>
  </si>
  <si>
    <t>Mateo</t>
  </si>
  <si>
    <t xml:space="preserve">Michael Landecker </t>
  </si>
  <si>
    <t>Math 6</t>
  </si>
  <si>
    <t>Math 6A</t>
  </si>
  <si>
    <t>Maxine McKinnon</t>
  </si>
  <si>
    <t>LC</t>
  </si>
  <si>
    <t>Math 8</t>
  </si>
  <si>
    <t>Math 7</t>
  </si>
  <si>
    <t>Math 7A</t>
  </si>
  <si>
    <t>Michael Ramires</t>
  </si>
  <si>
    <t>Rachel McGarghan</t>
  </si>
  <si>
    <t>Algebra</t>
  </si>
  <si>
    <t>Miguel Muñoz Ruiz</t>
  </si>
  <si>
    <t>Taylor Nielson</t>
  </si>
  <si>
    <t>Math 8A</t>
  </si>
  <si>
    <t>Science 6</t>
  </si>
  <si>
    <t>Nasli Vargas</t>
  </si>
  <si>
    <t>Science 6A</t>
  </si>
  <si>
    <t>Sara DeAses</t>
  </si>
  <si>
    <t>Science 7</t>
  </si>
  <si>
    <t>Science 8</t>
  </si>
  <si>
    <t>Science 8A</t>
  </si>
  <si>
    <t>Sebastian Guerra Cifuentes</t>
  </si>
  <si>
    <t>Science 7A</t>
  </si>
  <si>
    <t>Shaila Raen Nicholson</t>
  </si>
  <si>
    <t>English 6A</t>
  </si>
  <si>
    <t>English 6</t>
  </si>
  <si>
    <t>Viviana</t>
  </si>
  <si>
    <t>English 7</t>
  </si>
  <si>
    <t>English 8</t>
  </si>
  <si>
    <t>Vicente Miralles</t>
  </si>
  <si>
    <t>English 8A</t>
  </si>
  <si>
    <t>English 7A</t>
  </si>
  <si>
    <t>William Duque</t>
  </si>
  <si>
    <t>Sociales 8</t>
  </si>
  <si>
    <t>Sociales 8A</t>
  </si>
  <si>
    <t>Sociales 6</t>
  </si>
  <si>
    <t>Sociales 7A</t>
  </si>
  <si>
    <t>Sociales 6A</t>
  </si>
  <si>
    <t>Sociales 7</t>
  </si>
  <si>
    <t>Spanish 6</t>
  </si>
  <si>
    <t>SAL</t>
  </si>
  <si>
    <t>Spanish 6A</t>
  </si>
  <si>
    <t>Adriana RamIrez</t>
  </si>
  <si>
    <t>Spanish 7</t>
  </si>
  <si>
    <t>Spanish 8</t>
  </si>
  <si>
    <t>Spanish 8A</t>
  </si>
  <si>
    <t>Spanish 7A</t>
  </si>
  <si>
    <t>First Student</t>
  </si>
  <si>
    <t>Second Student</t>
  </si>
  <si>
    <t>Relationship</t>
  </si>
  <si>
    <t>Grupos juntos (todos)</t>
  </si>
  <si>
    <t>Grupos juntos con mAs de 1 secciOn disponible</t>
  </si>
  <si>
    <t>Cursos que comparten</t>
  </si>
  <si>
    <t>URRETA HENAO, PEDRO</t>
  </si>
  <si>
    <t>ZULUAGA HOYOS, ALEJANDRO</t>
  </si>
  <si>
    <t>Can't be Together</t>
  </si>
  <si>
    <t>TORO PEREZ, GREGORIO</t>
  </si>
  <si>
    <t>Must be Together</t>
  </si>
  <si>
    <t>REPETTO LARROSA, FRANCHESCO</t>
  </si>
  <si>
    <t>BORDA AZCARATE, AGUSTIN</t>
  </si>
  <si>
    <t>MEJIA GALLEGO, MARTIN</t>
  </si>
  <si>
    <t>VELEZ ARANGO, LAURA</t>
  </si>
  <si>
    <t>JONCK CORRENTE, CLARICE</t>
  </si>
  <si>
    <t>RESTREPO PELAEZ, EMILIA</t>
  </si>
  <si>
    <t>BOTERO BOTERO, AMALIA</t>
  </si>
  <si>
    <t>ALVAREZ RIVERA, SALVADOR</t>
  </si>
  <si>
    <t>PELAEZ BOTERO, AMELIA</t>
  </si>
  <si>
    <t>MILLAN HUERTAS, EMILIANO</t>
  </si>
  <si>
    <t>BASTIDAS MEJIA, JUAN JOSE</t>
  </si>
  <si>
    <t>DE LOS RIOS AGUDELO, MATIAS</t>
  </si>
  <si>
    <t>MATALLANA TOBON, ROSARIO</t>
  </si>
  <si>
    <t>PUYO TORO, ELENA</t>
  </si>
  <si>
    <t>POSADA FERNANDEZ, ALICIA</t>
  </si>
  <si>
    <t>MAYA BEDOYA, EMILIA</t>
  </si>
  <si>
    <t>OBERTI FRANCO, LINDA</t>
  </si>
  <si>
    <t>GRULLON SANTOS, ISABELLA</t>
  </si>
  <si>
    <t>IBAÑEZ MONTOYA, VALENTINA</t>
  </si>
  <si>
    <t>AGUIRRE ARANGO, MARIA</t>
  </si>
  <si>
    <t>PATERNINA SALDARRIAGA, SOFIA</t>
  </si>
  <si>
    <t>DUQUE, JACOB</t>
  </si>
  <si>
    <t>URIBE RODRIGUEZ, ANDRES</t>
  </si>
  <si>
    <t>ZARRUK BELTRAN, ALEJANDRO</t>
  </si>
  <si>
    <t>SALAZAR BOTERO, FEDERICO</t>
  </si>
  <si>
    <t>TOBON PEÑALOZA, JUAN</t>
  </si>
  <si>
    <t>ARIAS GARCIA, SALOMON</t>
  </si>
  <si>
    <t>GUERRA MARTINEZ, BENJAMIN</t>
  </si>
  <si>
    <t>URIBE BOTERO, MANUEL</t>
  </si>
  <si>
    <t>RUZ GUZMAN, FEDERICO</t>
  </si>
  <si>
    <t>HENAO MARTINEZ, SOFIA</t>
  </si>
  <si>
    <t>JARAMILLO ARBELAEZ, AMALIA</t>
  </si>
  <si>
    <t>SERANI ANGEL, TOMAS</t>
  </si>
  <si>
    <t>LEMA GARCIA, MIA</t>
  </si>
  <si>
    <t>CAPMARTIN GOMEZ, VALERIA</t>
  </si>
  <si>
    <t>MCGARGHAN, RHYS LEIGH-ANNA</t>
  </si>
  <si>
    <t>MARQUEZ BARRERA, LORENZO CAYETANO</t>
  </si>
  <si>
    <t>URIBE VELASQUEZ, JERONIMO</t>
  </si>
  <si>
    <t>SIERRA ECHAVARRIA, BENJAMIN</t>
  </si>
  <si>
    <t>ESTELA NARANJO, JOSE MARIA</t>
  </si>
  <si>
    <t>NEUMANN MARQUEZ, JERONIMO</t>
  </si>
  <si>
    <t>MONTES LOPEZ, MANUELA</t>
  </si>
  <si>
    <t>NAVARRO ZULUAGA, SOFIA</t>
  </si>
  <si>
    <t>MEDINA JARAMILLO, ALICIA</t>
  </si>
  <si>
    <t>LONDOÑO JARAMILLO, MARTINA</t>
  </si>
  <si>
    <t>BOTERO DEL CORRAL, EMILIANA</t>
  </si>
  <si>
    <t>ALZATE GARCIA, LUCIANA</t>
  </si>
  <si>
    <t>URIBE RODRIGUEZ, MARIA LUISA</t>
  </si>
  <si>
    <t>VASQUEZ ANGEL, JUANITA</t>
  </si>
  <si>
    <t>BAENA GIRALDO, VIOLETA</t>
  </si>
  <si>
    <t>QUINTERO HENAO, MATEO</t>
  </si>
  <si>
    <t>HINESTROSA SIERRA, MIGUEL</t>
  </si>
  <si>
    <t>HINESTROSA SIERRA, PEDRO</t>
  </si>
  <si>
    <t>GALLON TOBON, GERONIMO</t>
  </si>
  <si>
    <t>LOPEZ JAIMES, VICENTE</t>
  </si>
  <si>
    <t>CADAVID RESTREPO, LUIS FERNANDO</t>
  </si>
  <si>
    <t>SOTO ANGEL, GABRIELA</t>
  </si>
  <si>
    <t>BARRIOS CASTILLO, NICOLAS GUILLERMO</t>
  </si>
  <si>
    <t>ECHAVARRIA MUÑOZ, NICOLAS</t>
  </si>
  <si>
    <t>ECHAVARRIA ROLDAN, TOMAS</t>
  </si>
  <si>
    <t>PALACIO BOTERO, MATIAS</t>
  </si>
  <si>
    <t>ESPINOSA ABAD, GREGORIO</t>
  </si>
  <si>
    <t>VELEZ RESTREPO, SIMON</t>
  </si>
  <si>
    <t>RESTREPO VILLEGAS, PEDRO</t>
  </si>
  <si>
    <t>HOYOS SARAVIA, TOMAS</t>
  </si>
  <si>
    <t>LONDOÑO CUARTAS, TOMAS</t>
  </si>
  <si>
    <t>JARAMILLO GONZALEZ, PASCUAL</t>
  </si>
  <si>
    <t>ESCOBAR MADRID, MAXIMILIANO</t>
  </si>
  <si>
    <t>CONCHA VELASCO, LORENZO</t>
  </si>
  <si>
    <t>JAILLIER PINZON, MAXIMILIANO</t>
  </si>
  <si>
    <t>ECHEVERRI ESCOBAR, RODRIGO</t>
  </si>
  <si>
    <t>ESTRADA ZAPATA, MARTIN</t>
  </si>
  <si>
    <t>MARQUEZ RAHAL, PEDRO</t>
  </si>
  <si>
    <t>VALLEJO HOYOS, JUAN</t>
  </si>
  <si>
    <t>BURKHALTER, ESPERANZA JOY</t>
  </si>
  <si>
    <t>ARANGO RUBIO, ROSARIO</t>
  </si>
  <si>
    <t>MISERENDINO MUÑOZ, GABRIEL</t>
  </si>
  <si>
    <t>SCHOBER OCAMPO, DANIEL</t>
  </si>
  <si>
    <t>PETTERSSON VANEGAS, DOMINIQUE</t>
  </si>
  <si>
    <t>SALAZAR ECHEVERRI, ANTONIA</t>
  </si>
  <si>
    <t>VELASQUEZ JARAMILLO, MARIA</t>
  </si>
  <si>
    <t>RAMIREZ PELAEZ, ANTONIA</t>
  </si>
  <si>
    <t>MARRERO MARTA, ALINA</t>
  </si>
  <si>
    <t>JIMENEZ PATIÑO, EMILIO</t>
  </si>
  <si>
    <t>Grade</t>
  </si>
  <si>
    <t>Num</t>
  </si>
  <si>
    <t>Names</t>
  </si>
  <si>
    <t>Science</t>
  </si>
  <si>
    <t>Math</t>
  </si>
  <si>
    <t>English</t>
  </si>
  <si>
    <t>Sociales</t>
  </si>
  <si>
    <t>Spanish</t>
  </si>
  <si>
    <t>S1 Elective</t>
  </si>
  <si>
    <t>S2 Elective</t>
  </si>
  <si>
    <t>Separate</t>
  </si>
  <si>
    <t>Together</t>
  </si>
  <si>
    <t>LC Eng</t>
  </si>
  <si>
    <t>LC Math</t>
  </si>
  <si>
    <t>Not w/Jen</t>
  </si>
  <si>
    <t>ACEVEDO ARANGO, VICENTE</t>
  </si>
  <si>
    <t>ARANGO VILLA, MATIAS</t>
  </si>
  <si>
    <t>AREVALO RODRIGUEZ, MANUELA</t>
  </si>
  <si>
    <t>ARISTIZABAL SOTO, EMILIO</t>
  </si>
  <si>
    <t>ARROYAVE LONDOÑO, MIGUEL</t>
  </si>
  <si>
    <t>ARROYAVE SIERRA, RAFAEL</t>
  </si>
  <si>
    <t>BARRERA CAMPIS, VALENTINA</t>
  </si>
  <si>
    <t>BARRERA TORO, LORENZO</t>
  </si>
  <si>
    <t>BARTOLINI VELEZ, LORENZO</t>
  </si>
  <si>
    <t>BETANCUR PENAGOS, AGUSTIN</t>
  </si>
  <si>
    <t>BETANCUR PENAGOS, LORENZO</t>
  </si>
  <si>
    <t>BETANCUR ROBLEDO, VICENTE</t>
  </si>
  <si>
    <t>BISHOP, XAVIER PATRICK</t>
  </si>
  <si>
    <t>BLANCO HENRIQUEZ, JUAN MARTIN</t>
  </si>
  <si>
    <t>BOTERO DEL CORRAL, MARTINA</t>
  </si>
  <si>
    <t>BOTERO MONTOYA, MATIAS</t>
  </si>
  <si>
    <t>CALDWELL VALLEJO, MAX</t>
  </si>
  <si>
    <t>CARDONA VELEZ, ALICIA</t>
  </si>
  <si>
    <t>CORREA ALVAREZ, EMILIO</t>
  </si>
  <si>
    <t>CORTES ARANGO, JUAN MARTIN</t>
  </si>
  <si>
    <t>CUARTAS GOMEZ, SANTIAGO</t>
  </si>
  <si>
    <t>DE HOMMEL COCK, ARTHUR JEAN</t>
  </si>
  <si>
    <t>DE KOLLER GAVIRIA, PAOLO</t>
  </si>
  <si>
    <t>DE KOLLER GAVIRIA, ROMEO</t>
  </si>
  <si>
    <t>DE LOS RIOS AGUDELO, MARTIN</t>
  </si>
  <si>
    <t>DE MUNCK MORTIER, LUCA</t>
  </si>
  <si>
    <t>DOMINGUEZ JORGENSEN, GABRIEL</t>
  </si>
  <si>
    <t>ESPINAL MONTOYA, ARIANA</t>
  </si>
  <si>
    <t>ESPINOSA ABAD, MARTINA</t>
  </si>
  <si>
    <t>FERNANDEZ GUTIERREZ, MARIA JOSE</t>
  </si>
  <si>
    <t>GALLEGO OCAMPO, MARTIN</t>
  </si>
  <si>
    <t>GARCIA ISAZA, VIOLETA</t>
  </si>
  <si>
    <t>GAVIRIA ARBELAEZ, AGUSTIN</t>
  </si>
  <si>
    <t>GOMEZ ROLDAN, SANTIAGO</t>
  </si>
  <si>
    <t>GOMEZ VELASQUEZ, LORENZO</t>
  </si>
  <si>
    <t>GONZALEZ LONDOÑO, LAURA</t>
  </si>
  <si>
    <t>GONZALEZ NICHOLLS, MARIA JOSE</t>
  </si>
  <si>
    <t>JALLER TRUJILLO, MARIA</t>
  </si>
  <si>
    <t>JALLER VELEZ, MARTINA</t>
  </si>
  <si>
    <t>JARAMILLO GONZALEZ, MARIA</t>
  </si>
  <si>
    <t>JARAMILLO OCHOA, LUCAS</t>
  </si>
  <si>
    <t>JIMENEZ ESCOBAR, ROSARIO</t>
  </si>
  <si>
    <t>LAVERDE GIRALDO, CONSTANTINO</t>
  </si>
  <si>
    <t>LAVERDE MOLINA, MATIAS</t>
  </si>
  <si>
    <t>LONDOÑO ARRIOLA, LUCIA</t>
  </si>
  <si>
    <t>LONDOÑO BAQUERO, JUAN</t>
  </si>
  <si>
    <t>MARTINEZ UPEGUI, PEDRO</t>
  </si>
  <si>
    <t>MAZO DIAZ, ANTONIO</t>
  </si>
  <si>
    <t>MEJIA TORO, MIGUEL</t>
  </si>
  <si>
    <t>MEJIA VELEZ, ABRIL</t>
  </si>
  <si>
    <t>MISAS MESA, RAFAEL</t>
  </si>
  <si>
    <t>MONTOYA BERNAL, FELIPE</t>
  </si>
  <si>
    <t>MORENO MORENO, CARLOTA</t>
  </si>
  <si>
    <t>MORENO PALACIO, SIMON</t>
  </si>
  <si>
    <t>MUÑOZ JARAMILLO, MARIANA</t>
  </si>
  <si>
    <t>NAVARRO ABAD, FERNANDA</t>
  </si>
  <si>
    <t>OCAMPO CEBALLOS, RAFAEL</t>
  </si>
  <si>
    <t>OROZCO MONTOYA, MARTINA</t>
  </si>
  <si>
    <t>ORTIZ MOLINA, MARTINA</t>
  </si>
  <si>
    <t>OSORIO GARCIA, JERONIMO</t>
  </si>
  <si>
    <t>OSORIO MARIN, GABRIELA</t>
  </si>
  <si>
    <t>OSORIO QUINTERO, SALOME</t>
  </si>
  <si>
    <t>OSORIO RUIZ, AMELIA</t>
  </si>
  <si>
    <t>PEAK DUQUE, NICOLE</t>
  </si>
  <si>
    <t>PELAEZ BORDA, DAVID</t>
  </si>
  <si>
    <t>PELAEZ PIEDRAHITA, EMILIO</t>
  </si>
  <si>
    <t>PEREZ DUQUE, JULIA</t>
  </si>
  <si>
    <t>PEREZ OTERO, ALEJANDRO</t>
  </si>
  <si>
    <t>PFORTNER CASTRO, MORITZ</t>
  </si>
  <si>
    <t>PICO RUEDA, SEBASTIAN</t>
  </si>
  <si>
    <t>PINEDA ARANGO, MARTINA</t>
  </si>
  <si>
    <t>QUINTERO DARBY, VIOLETA</t>
  </si>
  <si>
    <t>RAMIREZ LIBREROS, MARTIN</t>
  </si>
  <si>
    <t>RAMIREZ LIBREROS, MATIAS</t>
  </si>
  <si>
    <t>RENDON ECHEVERRI, MIGUEL</t>
  </si>
  <si>
    <t>RESTREPO BETANCUR, ALICIA</t>
  </si>
  <si>
    <t>RESTREPO ECHAVARRIA, EMILIA</t>
  </si>
  <si>
    <t>RICHARDSON MEJIA, SOFIA</t>
  </si>
  <si>
    <t>RINCON URIBE, NICOLAS</t>
  </si>
  <si>
    <t>ROBLEDO LLANO, JERONIMO</t>
  </si>
  <si>
    <t>ROJAS REYES, MATEO</t>
  </si>
  <si>
    <t>RUIZ CORREA, MARIANA</t>
  </si>
  <si>
    <t>RUIZ DUQUE, ANTONIO</t>
  </si>
  <si>
    <t>SALCEDO PERICO, JACOBO</t>
  </si>
  <si>
    <t>SANTAMARIA SALDARRIAGA, JUAN MARTIN</t>
  </si>
  <si>
    <t>SCHOBER OCAMPO, MIA</t>
  </si>
  <si>
    <t>SERRANO BARRENECHE, JUAN FELIPE</t>
  </si>
  <si>
    <t>TOBON PEÑALOZA, EMILIA</t>
  </si>
  <si>
    <t>TRUJILLO ARANGO, MARTIN</t>
  </si>
  <si>
    <t>TRUJILLO BUITRAGO, MARTIN</t>
  </si>
  <si>
    <t>URDANETA MEJIA, GABRIELA</t>
  </si>
  <si>
    <t>URIBE MEJIA, MARTINA</t>
  </si>
  <si>
    <t>URIBE RUIZ, MANUEL</t>
  </si>
  <si>
    <t>VALDEZ URIBE, SAMANTHA</t>
  </si>
  <si>
    <t>VALENCIA VILLEGAS, ELENA</t>
  </si>
  <si>
    <t>VARGAS ACEVEDO, DANTE</t>
  </si>
  <si>
    <t>VASQUEZ HENAO, MATIAS</t>
  </si>
  <si>
    <t>VASQUEZ MEDINA, MATIAS</t>
  </si>
  <si>
    <t>VELEZ ARANGO, PEDRO</t>
  </si>
  <si>
    <t>WILSON, HERBERT GEORGE</t>
  </si>
  <si>
    <t>YANOVICH URIBE, MARCOS</t>
  </si>
  <si>
    <t>ZULOAGA MUÑOZ, PEDRO</t>
  </si>
  <si>
    <t>ALVAREZ GOMEZ, FEDERICO</t>
  </si>
  <si>
    <t>ALVAREZ VERA, ALEJANDRA</t>
  </si>
  <si>
    <t>ALZATE ZAPATA, SIMON</t>
  </si>
  <si>
    <t>ANGEL MEDINA, LUCIA</t>
  </si>
  <si>
    <t>APA ECHAVARRIA, LUCIANO</t>
  </si>
  <si>
    <t>ARANGO DUQUE, MIGUEL</t>
  </si>
  <si>
    <t>ARANGO LINHARES, FILIPPA</t>
  </si>
  <si>
    <t>ARANGO RODRIGUEZ, RAFAEL</t>
  </si>
  <si>
    <t>ARANGO VELEZ, ALICIA</t>
  </si>
  <si>
    <t>ARISMENDI MELO, MARIANA</t>
  </si>
  <si>
    <t>ARISTIZABAL BOLIVAR, EMILIANA</t>
  </si>
  <si>
    <t>ARISTIZABAL BOLIVAR, MATILDE</t>
  </si>
  <si>
    <t>ARISTIZABAL ECHAVARRIA, MILAGROS</t>
  </si>
  <si>
    <t>ARISTIZABAL RESTREPO, AMALIA</t>
  </si>
  <si>
    <t>ARISTIZABAL VILLEGAS, ROSARIO</t>
  </si>
  <si>
    <t>ARISTIZABAL ZULUAGA, SALVADOR</t>
  </si>
  <si>
    <t>ARROYAVE SIERRA, MATIAS</t>
  </si>
  <si>
    <t>ARROYAVE YACAMAN, EMILIO</t>
  </si>
  <si>
    <t>BETANCUR ECHAVARRIA, JERONIMO</t>
  </si>
  <si>
    <t>BETANCUR VELASQUEZ, RENATA</t>
  </si>
  <si>
    <t>BOTERO BETANCOURT, SEBASTIAN</t>
  </si>
  <si>
    <t>BOTERO TOQUICA, MATILDE</t>
  </si>
  <si>
    <t>CAMELO ZULUAGA, BENJAMIN</t>
  </si>
  <si>
    <t>CAMPILLO VALENCIA, LUCIANA</t>
  </si>
  <si>
    <t>CANO MESA, AMELIA</t>
  </si>
  <si>
    <t>CAÑON GARCIA, MARTINA</t>
  </si>
  <si>
    <t>CAPMARTIN GOMEZ, NICOLAS</t>
  </si>
  <si>
    <t>CARDONA CASTAÑEDA, JUANITA</t>
  </si>
  <si>
    <t>CARDONA URIBE, EMILIANA</t>
  </si>
  <si>
    <t>CHAN MEI, JACOB</t>
  </si>
  <si>
    <t>CORREA GARCES, PEDRO PABLO</t>
  </si>
  <si>
    <t>CORREA MERINO, VICENTE</t>
  </si>
  <si>
    <t>CORTES CASTAÑO, FELIPE</t>
  </si>
  <si>
    <t>CRUZ PEREYRA, ANA VICTORIA</t>
  </si>
  <si>
    <t>CUARTAS VILLEGAS, ELIAS</t>
  </si>
  <si>
    <t>CUERVO HINESTROSA, MARTIN</t>
  </si>
  <si>
    <t>DA SILVA ABATEPAULO, IAN</t>
  </si>
  <si>
    <t>DUQUE OCHOA, PABLO</t>
  </si>
  <si>
    <t>DUQUE ZAPATA, SAMUEL</t>
  </si>
  <si>
    <t>ESCANDON LIBOS, AMELIA</t>
  </si>
  <si>
    <t>ESCOBAR CASTAÑO, ALICIA</t>
  </si>
  <si>
    <t>ESCOBEDO DRAVIGNEY, ZOE</t>
  </si>
  <si>
    <t>FERNANDEZ RAMIREZ, SANTIAGO</t>
  </si>
  <si>
    <t>GALVEZ ATEHORTUA, LAURA</t>
  </si>
  <si>
    <t>GARCIA RESTREPO, MATIAS</t>
  </si>
  <si>
    <t>GARCIA RIVERA, MARTIN</t>
  </si>
  <si>
    <t>GAVIRIA ISAZA, CAMILO</t>
  </si>
  <si>
    <t>GAVIRIA OLAYA, AMALIA</t>
  </si>
  <si>
    <t>GIRALDO MONTOYA, EMMA</t>
  </si>
  <si>
    <t>GOMEZ RAMIREZ, JOAQUIN</t>
  </si>
  <si>
    <t>GOMEZ TORRES, AMALIA</t>
  </si>
  <si>
    <t>GONZALEZ MONSALVE, JULIETA</t>
  </si>
  <si>
    <t>GONZALEZ TORRES, SEBASTIAN</t>
  </si>
  <si>
    <t>GONZALEZ TRABOULSI, MATIAS</t>
  </si>
  <si>
    <t>GRISALES PINEDA, ELISA</t>
  </si>
  <si>
    <t>GUERRERO JARAMILLO, CAMILA</t>
  </si>
  <si>
    <t>GUTIERREZ CARVAJAL, VIOLETA</t>
  </si>
  <si>
    <t>GUTIERREZ OCAMPO, ISABELA</t>
  </si>
  <si>
    <t>GUZMAN FRANCO, SEBASTIAN</t>
  </si>
  <si>
    <t>HALABY NAVARRO, MARCO</t>
  </si>
  <si>
    <t>HERNANDEZ GOMEZ, EMILIA</t>
  </si>
  <si>
    <t>HURTADO FAJARDO, VALERIA</t>
  </si>
  <si>
    <t>JARAMILLO ARBELAEZ, TOMAS</t>
  </si>
  <si>
    <t>JARAMILLO MORA, CARMEN</t>
  </si>
  <si>
    <t>JARAMILLO PEÑA, MIGUEL ANTONIO</t>
  </si>
  <si>
    <t>JARAMILLO VELASQUEZ, FEDERICO</t>
  </si>
  <si>
    <t>LIBREROS ZULUAGA, JOSHUA</t>
  </si>
  <si>
    <t>LLANO PIEDRAHITA, TOMAS</t>
  </si>
  <si>
    <t>LONDOÑO CUARTAS, PABLO</t>
  </si>
  <si>
    <t>LONDOÑO JARAMILLO, MARIANO</t>
  </si>
  <si>
    <t>LOZANO NAVARRO, GREGORIO</t>
  </si>
  <si>
    <t>MACIA TORO, ALICIA</t>
  </si>
  <si>
    <t>MANRIQUE CUESTA, VALERIA</t>
  </si>
  <si>
    <t>MARTINEZ OROZCO, GABRIELA</t>
  </si>
  <si>
    <t>MC LEAN HIDRON, SIMON</t>
  </si>
  <si>
    <t>MEJIA BOTERO, FRANCISCA</t>
  </si>
  <si>
    <t>MESA GARCIA, ISABEL</t>
  </si>
  <si>
    <t>MESA RESTREPO, BRUNO</t>
  </si>
  <si>
    <t>MEZA SUAREZ, NIKOLAI</t>
  </si>
  <si>
    <t>MOLINA HOYOS, AMALIA</t>
  </si>
  <si>
    <t>MONSALVE HOYOS, JUAN JOSE</t>
  </si>
  <si>
    <t>MONTOYA GOMEZ, RAFAELA</t>
  </si>
  <si>
    <t>MONTOYA OCHOA, SARA</t>
  </si>
  <si>
    <t>MORA LE FLOHIC, AGUSTIN</t>
  </si>
  <si>
    <t>MORA MEJIA, EMILIA</t>
  </si>
  <si>
    <t>MORENO BETANCOURT, LUCIANA</t>
  </si>
  <si>
    <t>NAVARRA GOMEZ, CHLOE</t>
  </si>
  <si>
    <t>NAVARRO RAMIREZ, LUCAS</t>
  </si>
  <si>
    <t>OLIVA, EMMA</t>
  </si>
  <si>
    <t>OROZCO RINCON, VALERIA</t>
  </si>
  <si>
    <t>ORTEGA OCHOA, LORENZO</t>
  </si>
  <si>
    <t>ORTEGA OCHOA, MARIA DEL MAR</t>
  </si>
  <si>
    <t>OSORIO PATIÑO, MIRANDA</t>
  </si>
  <si>
    <t>OSPINA ESCOBAR, SOFIA</t>
  </si>
  <si>
    <t>OSPINA RESTREPO, RAFAEL</t>
  </si>
  <si>
    <t>PARAMO VELASQUEZ, ISABEL</t>
  </si>
  <si>
    <t>PELAEZ PIEDRAHITA, MARTIN</t>
  </si>
  <si>
    <t>PENAGOS VELEZ, PEDRO</t>
  </si>
  <si>
    <t>PEREZ DUQUE, MARIA PAZ</t>
  </si>
  <si>
    <t>PUERTA TIRADO, JUAN SEBASTIAN</t>
  </si>
  <si>
    <t>RAMIREZ ESCOBAR, ISABELLA</t>
  </si>
  <si>
    <t>REINOSO TRUJILLO, SANTIAGO</t>
  </si>
  <si>
    <t>RESTREPO QUINTERO, MARTIN</t>
  </si>
  <si>
    <t>RESTREPO RAMIREZ, MATIAS</t>
  </si>
  <si>
    <t>ROJAS SANCHEZ, SAMUEL</t>
  </si>
  <si>
    <t>RUIZ ROLDAN, LAURA</t>
  </si>
  <si>
    <t>SANCHEZ GONZALEZ, EMILIANA</t>
  </si>
  <si>
    <t>SIERRA VILLA, RAQUEL</t>
  </si>
  <si>
    <t>TOBON RESTREPO, PEDRO</t>
  </si>
  <si>
    <t>TORO BOTERO, PEDRO</t>
  </si>
  <si>
    <t>TORRES POSADA, NICOLAS</t>
  </si>
  <si>
    <t>TRUJILLO RENDON, CAMILA</t>
  </si>
  <si>
    <t>URIBE MUÑOZ, ANDREA</t>
  </si>
  <si>
    <t>URIBE MUÑOZ, VALENTINA</t>
  </si>
  <si>
    <t>URIBE RUIZ, VICENTE</t>
  </si>
  <si>
    <t>URIBE VELASQUEZ, AGUSTIN</t>
  </si>
  <si>
    <t>VASQUEZ ECHEVERRI, MARIANA</t>
  </si>
  <si>
    <t>VASQUEZ MUÑOZ, LUCIA</t>
  </si>
  <si>
    <t>VASQUEZ TAMAYO, ISABEL</t>
  </si>
  <si>
    <t>VASQUEZ TAMAYO, PABLO</t>
  </si>
  <si>
    <t>VASQUEZ TAMAYO, SAMUEL</t>
  </si>
  <si>
    <t>VELASQUEZ URIBE, JUAN SEBASTIAN</t>
  </si>
  <si>
    <t>VELEZ ECHANDIA, DANIEL</t>
  </si>
  <si>
    <t>VILLEGAS MEJIA, MARTIN</t>
  </si>
  <si>
    <t>YACAMAN RESTREPO, TOMAS</t>
  </si>
  <si>
    <t>YEPES RAMIREZ, LUCIANA</t>
  </si>
  <si>
    <t>ZAPATA URIBE, MARTINA</t>
  </si>
  <si>
    <t>ZULOAGA AYUB, NICOLAS</t>
  </si>
  <si>
    <t>ZULUAGA SIERRA, MATIAS</t>
  </si>
  <si>
    <t>ACEVEDO ARANGO, ROSARIO</t>
  </si>
  <si>
    <t>ACEVEDO OCHOA, MARIA DEL MAR</t>
  </si>
  <si>
    <t>ACEVEDO OROZCO, MARIA CELESTE</t>
  </si>
  <si>
    <t>AGUIRRE ARANGO, DAVID</t>
  </si>
  <si>
    <t>ALVAREZ CARDENAS, JUAN EMILIO</t>
  </si>
  <si>
    <t>APA ECHAVARRIA, LORENZO</t>
  </si>
  <si>
    <t>ARANGO MOLINA, ALICIA</t>
  </si>
  <si>
    <t>ARANGO NAVARRO, MANUELA</t>
  </si>
  <si>
    <t>ARANGO VILLA, TOMAS</t>
  </si>
  <si>
    <t>ARISTIZABAL ECHAVARRIA, CRISTOBAL</t>
  </si>
  <si>
    <t>ARISTIZABAL URIBE, MATIAS</t>
  </si>
  <si>
    <t>ARROYAVE LONDOÑO, ELISA</t>
  </si>
  <si>
    <t>BARRIENTOS ALVAREZ, ELISA</t>
  </si>
  <si>
    <t>BETANCOURT QUINTERO, LUCAS</t>
  </si>
  <si>
    <t>BETANCOURT QUINTERO, SIMON</t>
  </si>
  <si>
    <t>BETANCUR ROBLEDO, PEDRO</t>
  </si>
  <si>
    <t>BISHOP, JULIETTE ROSE</t>
  </si>
  <si>
    <t>CABAL AYALA, MARTINA</t>
  </si>
  <si>
    <t>CALLE BUITRAGO, ESTEBAN</t>
  </si>
  <si>
    <t>CARDONA VELEZ, MATIAS</t>
  </si>
  <si>
    <t>CARVAJAL ACOSTA, MARTIN</t>
  </si>
  <si>
    <t>CHAVARRIAGA MESA, GREGORIO</t>
  </si>
  <si>
    <t>CHOPRA, HARSHUL</t>
  </si>
  <si>
    <t>CLAVIJO GIRALDO, LORENZO</t>
  </si>
  <si>
    <t>COCK ECHEVERRI, JULIETA</t>
  </si>
  <si>
    <t>CORTES SIERRA, TOMAS</t>
  </si>
  <si>
    <t>DOMINGUEZ JORGENSEN, MARCELO</t>
  </si>
  <si>
    <t>DUQUE BONNETT, ELISA</t>
  </si>
  <si>
    <t>DURAN CALAD, MIGUEL</t>
  </si>
  <si>
    <t>ESCOBAR INFANTINO, RAQUEL</t>
  </si>
  <si>
    <t>FAJARDO VILLA, LUCIANA</t>
  </si>
  <si>
    <t>FERNANDEZ CALDERON, HANNA</t>
  </si>
  <si>
    <t>FERNANDEZ CALDERON, TAMARA</t>
  </si>
  <si>
    <t>GOMEZ MIRA, GREGORIO</t>
  </si>
  <si>
    <t>GOMEZ PASCHKE, VALERIA</t>
  </si>
  <si>
    <t>GOMEZ ZULUAGA, JUAN JOSE</t>
  </si>
  <si>
    <t>GONZALEZ LOPEZ, SAMUEL</t>
  </si>
  <si>
    <t>HENAO RESTREPO, ANTONIA</t>
  </si>
  <si>
    <t>HURTADO ARISTIZABAL, CAMILA</t>
  </si>
  <si>
    <t>HURTADO FAJARDO, JUANITA</t>
  </si>
  <si>
    <t>JALLER TRUJILLO, KAMEL</t>
  </si>
  <si>
    <t>JARAMILLO DONADO, AMELIA</t>
  </si>
  <si>
    <t>JARAMILLO NARANJO, NICOLAS</t>
  </si>
  <si>
    <t>JARAMILLO OSPINA, MANUEL</t>
  </si>
  <si>
    <t>JIMENO ARISTIZABAL, ISABELLA</t>
  </si>
  <si>
    <t>KIM LEE, SAE YOON LUCAS</t>
  </si>
  <si>
    <t>LONDOÑO BAQUERO, EMILIA</t>
  </si>
  <si>
    <t>LUNA ALZATE, AMALIA</t>
  </si>
  <si>
    <t>MANRIQUE CUESTA, ISABELLA</t>
  </si>
  <si>
    <t>MARQUEZ BARRERA, MIRANDA</t>
  </si>
  <si>
    <t>MEJIA BUSTAMANTE, ANTONIA</t>
  </si>
  <si>
    <t>MEJIA MANTILLA, MATEO</t>
  </si>
  <si>
    <t>MEJIA VILLEGAS, CANDELARIA</t>
  </si>
  <si>
    <t>MISAS MESA, ALICIA</t>
  </si>
  <si>
    <t>MOLANO MESA, CARMEN</t>
  </si>
  <si>
    <t>MORA JARAMILLO, ALICIA</t>
  </si>
  <si>
    <t>NIEHAUS TRUJILLO, MICHELLE</t>
  </si>
  <si>
    <t>OLARTE JARAMILLO, EMILIO</t>
  </si>
  <si>
    <t>OLIVEIRA CASTAÑO, MARIANA</t>
  </si>
  <si>
    <t>OROZCO MONTOYA, ANTONIA</t>
  </si>
  <si>
    <t>OSORIO ARISTIZABAL, MATIAS</t>
  </si>
  <si>
    <t>OTALVARO ABAD, JUAN MARTIN</t>
  </si>
  <si>
    <t>PACHECO GARCIA, MARIANA</t>
  </si>
  <si>
    <t>PEREZ ALVARADO, SARA</t>
  </si>
  <si>
    <t>PEREZ BEDOYA, ELENA</t>
  </si>
  <si>
    <t>PLATA BOLAÑOS, CAMILA</t>
  </si>
  <si>
    <t>PUGLIESE STRICKLAND, MARCELLO ANTONIO</t>
  </si>
  <si>
    <t>RAMIREZ PELAEZ, ELENA</t>
  </si>
  <si>
    <t>REPETTO LARROSA, FAUSTINO</t>
  </si>
  <si>
    <t>RESTREPO ESCOBAR, ISABELA</t>
  </si>
  <si>
    <t>RESTREPO RESTREPO, MATIAS</t>
  </si>
  <si>
    <t>ROBLES MARTINEZ, MARIA</t>
  </si>
  <si>
    <t>ROJAS REYES, JERONIMO</t>
  </si>
  <si>
    <t>ROMERO OROZCO, SALVADOR</t>
  </si>
  <si>
    <t>SALEMME GUTIERREZ, AMALIA</t>
  </si>
  <si>
    <t>SANCHEZ DIAZ, MATIAS</t>
  </si>
  <si>
    <t>SANCHEZ DIAZ, SIMON</t>
  </si>
  <si>
    <t>SANIN JARAMILLO, PEDRO</t>
  </si>
  <si>
    <t>SCHUCHASKIE, KEATON</t>
  </si>
  <si>
    <t>SERANI ANGEL, LUCIANA</t>
  </si>
  <si>
    <t>SOSA ECHAVARRIA, EMILIO</t>
  </si>
  <si>
    <t>SUAREZ MARTINEZ, ANA</t>
  </si>
  <si>
    <t>THIRIEZ VILLA, EMMA</t>
  </si>
  <si>
    <t>THIRIEZ VILLA, MARIA</t>
  </si>
  <si>
    <t>TIRADO SANIN, ELENA</t>
  </si>
  <si>
    <t>TOBAR MEJIA, CAMILO</t>
  </si>
  <si>
    <t>TOBON CARMONA, JACOBO</t>
  </si>
  <si>
    <t>TOBON GONZALEZ, FLORENCIA</t>
  </si>
  <si>
    <t>TRUJILLO RUIZ, SAMUEL</t>
  </si>
  <si>
    <t>TRUJILLO RUIZ, SARA</t>
  </si>
  <si>
    <t>TURIZZO BORRERO, CAMILO ANDRES</t>
  </si>
  <si>
    <t>URIBE JARAMILLO, PEDRO JUAN</t>
  </si>
  <si>
    <t>URRETA HENAO, OLIVIA</t>
  </si>
  <si>
    <t>VALLEJO LONDOÑO, TOMAS</t>
  </si>
  <si>
    <t>VELASQUEZ GUTIERREZ, SAMUEL</t>
  </si>
  <si>
    <t>VILLEGAS HINCAPIE, CANDELARIA</t>
  </si>
  <si>
    <t>VILLEGAS MEJIA, SIMON</t>
  </si>
  <si>
    <t>ZAPATA URIBE, RAFAEL</t>
  </si>
  <si>
    <t>ZULUAGA CHAVEZ, ISAIAS</t>
  </si>
  <si>
    <t>g</t>
  </si>
  <si>
    <t>RM 612</t>
  </si>
  <si>
    <t xml:space="preserve">Science/Sociales </t>
  </si>
  <si>
    <t>RM 622</t>
  </si>
  <si>
    <t>RM 632</t>
  </si>
  <si>
    <t>RM 625</t>
  </si>
  <si>
    <t>Science/English</t>
  </si>
  <si>
    <t>Hours</t>
  </si>
  <si>
    <t>NV 6-1</t>
  </si>
  <si>
    <t>6-5 CM</t>
  </si>
  <si>
    <t>6-2 CM</t>
  </si>
  <si>
    <t>6-3 MM</t>
  </si>
  <si>
    <t>SD 7-2</t>
  </si>
  <si>
    <t>JS 7A-4</t>
  </si>
  <si>
    <t>SD 7-5</t>
  </si>
  <si>
    <t>DJ 8-2</t>
  </si>
  <si>
    <t>JS 8A-4</t>
  </si>
  <si>
    <t>DJ 8-5</t>
  </si>
  <si>
    <t>6-1 MM</t>
  </si>
  <si>
    <t>JS 7-1</t>
  </si>
  <si>
    <t>DJ 8-1</t>
  </si>
  <si>
    <t>RM 611</t>
  </si>
  <si>
    <t>MAth</t>
  </si>
  <si>
    <t>RM 633</t>
  </si>
  <si>
    <t>Sociales/Math</t>
  </si>
  <si>
    <t>6-3 CM</t>
  </si>
  <si>
    <t>6A-5 CM</t>
  </si>
  <si>
    <t>WD 7A-3</t>
  </si>
  <si>
    <t>RM 614</t>
  </si>
  <si>
    <t>Sociales/Science</t>
  </si>
  <si>
    <t>RM 631</t>
  </si>
  <si>
    <t>LA 6A-2</t>
  </si>
  <si>
    <t>MM 6A-6</t>
  </si>
  <si>
    <t>WD 7-1</t>
  </si>
  <si>
    <t>NV 6-3</t>
  </si>
  <si>
    <t>LA 7-2</t>
  </si>
  <si>
    <t>Vicente</t>
  </si>
  <si>
    <t>SAL MS</t>
  </si>
  <si>
    <t>Spanish 6-5</t>
  </si>
  <si>
    <t>Spanish 6A-3</t>
  </si>
  <si>
    <t>ES SAL 5A</t>
  </si>
  <si>
    <t>X-block</t>
  </si>
  <si>
    <t>Lunch</t>
  </si>
  <si>
    <t>ES SAL 2F/E</t>
  </si>
  <si>
    <t xml:space="preserve">5F </t>
  </si>
  <si>
    <t>Real Course</t>
  </si>
  <si>
    <t>Real Group</t>
  </si>
  <si>
    <t>Scheduled Course</t>
  </si>
  <si>
    <t>Scheduled Group</t>
  </si>
  <si>
    <t>Ghost Classes</t>
  </si>
  <si>
    <t>Group</t>
  </si>
  <si>
    <t>ID</t>
  </si>
  <si>
    <t>Name</t>
  </si>
  <si>
    <t>Course</t>
  </si>
  <si>
    <t>Section</t>
  </si>
  <si>
    <t>Science 6-6</t>
  </si>
  <si>
    <t>Science 6-3</t>
  </si>
  <si>
    <t>Science 6-4</t>
  </si>
  <si>
    <t>Science 6-2</t>
  </si>
  <si>
    <t>Science 6-5</t>
  </si>
  <si>
    <t>Science 6A-3</t>
  </si>
  <si>
    <t>Science 7-6</t>
  </si>
  <si>
    <t>Science 7A-6</t>
  </si>
  <si>
    <t>Science 7-3</t>
  </si>
  <si>
    <t>Science 7-4</t>
  </si>
  <si>
    <t>Science 7-2</t>
  </si>
  <si>
    <t>Science 7-5</t>
  </si>
  <si>
    <t>Science 8-5</t>
  </si>
  <si>
    <t>Science 8-3</t>
  </si>
  <si>
    <t>Science 8-4</t>
  </si>
  <si>
    <t>Science 8-2</t>
  </si>
  <si>
    <t>Science 8-6</t>
  </si>
  <si>
    <t>Science 8A-4</t>
  </si>
  <si>
    <t>Math 6-3</t>
  </si>
  <si>
    <t>Math 6-6</t>
  </si>
  <si>
    <t>Math 6-1</t>
  </si>
  <si>
    <t>Math 6A-5</t>
  </si>
  <si>
    <t>Math 6-5</t>
  </si>
  <si>
    <t>Math 6-4</t>
  </si>
  <si>
    <t>Math 7-5</t>
  </si>
  <si>
    <t>Math 7-4</t>
  </si>
  <si>
    <t>Math 7A-4</t>
  </si>
  <si>
    <t>Math 7A-3</t>
  </si>
  <si>
    <t>Math 7-6</t>
  </si>
  <si>
    <t>Math 7-3</t>
  </si>
  <si>
    <t>Algebra-3</t>
  </si>
  <si>
    <t>Algebra-5</t>
  </si>
  <si>
    <t>Math 8-6</t>
  </si>
  <si>
    <t>Algebra-4</t>
  </si>
  <si>
    <t>Math 8A-1</t>
  </si>
  <si>
    <t>Math 8-1</t>
  </si>
  <si>
    <t>English 6-2</t>
  </si>
  <si>
    <t>English 6-1</t>
  </si>
  <si>
    <t>English 6-5</t>
  </si>
  <si>
    <t>English 6-6</t>
  </si>
  <si>
    <t>English 6A-1</t>
  </si>
  <si>
    <t>English 6-3</t>
  </si>
  <si>
    <t>English 7-2</t>
  </si>
  <si>
    <t>English 7-5</t>
  </si>
  <si>
    <t>English 7A-5</t>
  </si>
  <si>
    <t>English 7-1</t>
  </si>
  <si>
    <t>English 7-3</t>
  </si>
  <si>
    <t>English 7-6</t>
  </si>
  <si>
    <t>English 8-2</t>
  </si>
  <si>
    <t>English 8-6</t>
  </si>
  <si>
    <t>English 8-1</t>
  </si>
  <si>
    <t>English 8-5</t>
  </si>
  <si>
    <t>English 8-3</t>
  </si>
  <si>
    <t>English 8A-6</t>
  </si>
  <si>
    <t>Sociales 6-5</t>
  </si>
  <si>
    <t>Sociales 6-2</t>
  </si>
  <si>
    <t>Sociales 6-3</t>
  </si>
  <si>
    <t>Sociales 6-4</t>
  </si>
  <si>
    <t>Sociales 6-1</t>
  </si>
  <si>
    <t>Sociales 6A-2</t>
  </si>
  <si>
    <t>Sociales 7-1</t>
  </si>
  <si>
    <t>Sociales 7-3</t>
  </si>
  <si>
    <t>Sociales 7A-1</t>
  </si>
  <si>
    <t>Sociales 7A-5</t>
  </si>
  <si>
    <t>Sociales 7-5</t>
  </si>
  <si>
    <t>Sociales 7-2</t>
  </si>
  <si>
    <t>Sociales 8-1</t>
  </si>
  <si>
    <t>Sociales 8-2</t>
  </si>
  <si>
    <t>Sociales 8-3</t>
  </si>
  <si>
    <t>Sociales 8-4</t>
  </si>
  <si>
    <t>Sociales 8-5</t>
  </si>
  <si>
    <t>Sociales 8A-3</t>
  </si>
  <si>
    <t>Spanish 6-1</t>
  </si>
  <si>
    <t>Spanish 6-4</t>
  </si>
  <si>
    <t>Spanish 6-2</t>
  </si>
  <si>
    <t>Spanish 6-3</t>
  </si>
  <si>
    <t>Spanish 6-6</t>
  </si>
  <si>
    <t>Spanish 6A-4</t>
  </si>
  <si>
    <t>SAL-2</t>
  </si>
  <si>
    <t>Spanish 7-3</t>
  </si>
  <si>
    <t>Spanish 7-1</t>
  </si>
  <si>
    <t>Spanish 7-6</t>
  </si>
  <si>
    <t>Spanish 7-2</t>
  </si>
  <si>
    <t>Spanish 7-4</t>
  </si>
  <si>
    <t>Spanish 7A-4</t>
  </si>
  <si>
    <t>Spanish 8-6</t>
  </si>
  <si>
    <t>Spanish 8-4</t>
  </si>
  <si>
    <t>Spanish 8-2</t>
  </si>
  <si>
    <t>Spanish 8-3</t>
  </si>
  <si>
    <t>Spanish 8-1</t>
  </si>
  <si>
    <t>Spanish 8A-2</t>
  </si>
  <si>
    <t>PE 6-4b</t>
  </si>
  <si>
    <t>PE 6-5b</t>
  </si>
  <si>
    <t>PE 6-6b</t>
  </si>
  <si>
    <t>PE 6-1a</t>
  </si>
  <si>
    <t>PE 6-6a</t>
  </si>
  <si>
    <t>PE 6-2b</t>
  </si>
  <si>
    <t>PE 7-4a</t>
  </si>
  <si>
    <t>PE 7-2a</t>
  </si>
  <si>
    <t>PE 7A-2a</t>
  </si>
  <si>
    <t>PE 7-6b</t>
  </si>
  <si>
    <t>PE 7A-1b</t>
  </si>
  <si>
    <t>PE 7-1b</t>
  </si>
  <si>
    <t>PE 8-4a</t>
  </si>
  <si>
    <t>PE 8-1a</t>
  </si>
  <si>
    <t>PE 8-5b</t>
  </si>
  <si>
    <t>PE 8-6a</t>
  </si>
  <si>
    <t>PE 8-2b</t>
  </si>
  <si>
    <t>PE 8-5a</t>
  </si>
  <si>
    <t>Art 6S1-4a</t>
  </si>
  <si>
    <t>Symphony BandS1-5a</t>
  </si>
  <si>
    <t>Regular BandS1-6a</t>
  </si>
  <si>
    <t>Tech 6S1-1b</t>
  </si>
  <si>
    <t>Tech 6S1-4a</t>
  </si>
  <si>
    <t>Art 6S1-1b</t>
  </si>
  <si>
    <t>Art 6S1-6b</t>
  </si>
  <si>
    <t>Tech 6S1-6b</t>
  </si>
  <si>
    <t>Art 6S1-2a</t>
  </si>
  <si>
    <t>Tech 6S1-2a</t>
  </si>
  <si>
    <t>Band 7S1-4b</t>
  </si>
  <si>
    <t>Tech 7S1-2b</t>
  </si>
  <si>
    <t>Band 7S1-2b</t>
  </si>
  <si>
    <t>Art 7S1-6a</t>
  </si>
  <si>
    <t>Band 7S1-1a</t>
  </si>
  <si>
    <t>Art 7S1-1a</t>
  </si>
  <si>
    <t>Tech 7S1-1a</t>
  </si>
  <si>
    <t>Art 7S1-2b</t>
  </si>
  <si>
    <t>Tech 8S1-4b</t>
  </si>
  <si>
    <t>Band 8S1-1b</t>
  </si>
  <si>
    <t>Tech 8S1-5a</t>
  </si>
  <si>
    <t>Band 8S1-6b</t>
  </si>
  <si>
    <t>Band 8S1-2a</t>
  </si>
  <si>
    <t>Band 8S1-5b</t>
  </si>
  <si>
    <t>Art 8S1-5a</t>
  </si>
  <si>
    <t>Tech 6S2-4a</t>
  </si>
  <si>
    <t>Symphony BandS2-5a</t>
  </si>
  <si>
    <t>Regular BandS2-6a</t>
  </si>
  <si>
    <t>Art 6S2-1b</t>
  </si>
  <si>
    <t>Art 6S2-4a</t>
  </si>
  <si>
    <t>Tech 6S2-1b</t>
  </si>
  <si>
    <t>Tech 6S2-6b</t>
  </si>
  <si>
    <t>Art 6S2-6b</t>
  </si>
  <si>
    <t>Tech 6S2-2a</t>
  </si>
  <si>
    <t>Art 6S2-2a</t>
  </si>
  <si>
    <t>Band 7S2-4b</t>
  </si>
  <si>
    <t>Art 7S2-2b</t>
  </si>
  <si>
    <t>Band 7S2-2b</t>
  </si>
  <si>
    <t>Tech 7S2-6a</t>
  </si>
  <si>
    <t>Band 7S2-1a</t>
  </si>
  <si>
    <t>Tech 7S2-1a</t>
  </si>
  <si>
    <t>Art 7S2-1a</t>
  </si>
  <si>
    <t>Tech 7S2-2b</t>
  </si>
  <si>
    <t>Art 8S2-4b</t>
  </si>
  <si>
    <t>Band 8S2-1b</t>
  </si>
  <si>
    <t>Art 8S2-5a</t>
  </si>
  <si>
    <t>Band 8S2-6b</t>
  </si>
  <si>
    <t>Band 8S2-2a</t>
  </si>
  <si>
    <t>Band 8S2-5b</t>
  </si>
  <si>
    <t>Tech 8S2-5a</t>
  </si>
  <si>
    <t>Avg Students per Term</t>
  </si>
  <si>
    <t>Student ID</t>
  </si>
  <si>
    <t>Elective</t>
  </si>
  <si>
    <t>COURSES</t>
  </si>
  <si>
    <t>total students</t>
  </si>
  <si>
    <t>Scheduled</t>
  </si>
  <si>
    <t>Difference</t>
  </si>
  <si>
    <t>total groups</t>
  </si>
  <si>
    <t>aver per class</t>
  </si>
  <si>
    <t>In Algebra?</t>
  </si>
  <si>
    <t>NAME</t>
  </si>
  <si>
    <t>27022</t>
  </si>
  <si>
    <t>CARDONA GIRALDO, MATHIAS</t>
  </si>
  <si>
    <t>27093</t>
  </si>
  <si>
    <t>RADA ECHANDIA, CAMILA</t>
  </si>
  <si>
    <t>27049</t>
  </si>
  <si>
    <t>HENAO RESTREPO, ELENA</t>
  </si>
  <si>
    <t>27141</t>
  </si>
  <si>
    <t>MEJIA RESTREPO, PABLO</t>
  </si>
  <si>
    <t>27080</t>
  </si>
  <si>
    <t>OSORIO GAVIRIA, MARIA CLARA</t>
  </si>
  <si>
    <t>27148</t>
  </si>
  <si>
    <t>TALUKDAR, JIGYASHA</t>
  </si>
  <si>
    <t>27024</t>
  </si>
  <si>
    <t>CASTRO CASTAÑEDA, CYAN</t>
  </si>
  <si>
    <t>27014</t>
  </si>
  <si>
    <t>BEDOYA JIMENEZ, NICOLAS</t>
  </si>
  <si>
    <t>27079</t>
  </si>
  <si>
    <t>ORTEGA TOBON, ESTEBAN</t>
  </si>
  <si>
    <t>27084</t>
  </si>
  <si>
    <t>PELAEZ RAMIREZ, PASCUAL</t>
  </si>
  <si>
    <t>27097</t>
  </si>
  <si>
    <t>ROBLEDO BETANCOURTH, JUAN FELIPE</t>
  </si>
  <si>
    <t>26158</t>
  </si>
  <si>
    <t>CARLOTTA MAZZANTI JARAMILLO</t>
  </si>
  <si>
    <t>26141</t>
  </si>
  <si>
    <t>GUTIERREZ RESTREPO, GABRIEL</t>
  </si>
  <si>
    <t>26143</t>
  </si>
  <si>
    <t>BEDOYA JIMENEZ, SEBASTIAN</t>
  </si>
  <si>
    <t>26120</t>
  </si>
  <si>
    <t>VERGARA ROZO, JERONIMO</t>
  </si>
  <si>
    <t>26076</t>
  </si>
  <si>
    <t>MONTOYA ARANGO, CIPRIANO</t>
  </si>
  <si>
    <t>26083</t>
  </si>
  <si>
    <t>OSORIO MEJIA, PEDRO</t>
  </si>
  <si>
    <t>26133</t>
  </si>
  <si>
    <t>SUAREZ MARTINEZ, PABLO</t>
  </si>
  <si>
    <t>26028</t>
  </si>
  <si>
    <t>ESCOBAR BURGOS, SANTIAGO</t>
  </si>
  <si>
    <t>26034</t>
  </si>
  <si>
    <t>GARCIA CORREA, MARIA CLARA</t>
  </si>
  <si>
    <t>26086</t>
  </si>
  <si>
    <t>PALACIO SALAZAR, TOMAS</t>
  </si>
  <si>
    <t>26156</t>
  </si>
  <si>
    <t>CORTES CARDONA, MARIANA</t>
  </si>
  <si>
    <t>28090</t>
  </si>
  <si>
    <t>REINOSO TRUJILLO, TOMAS</t>
  </si>
  <si>
    <t>28059</t>
  </si>
  <si>
    <t>BALAJI, SAIRAM</t>
  </si>
  <si>
    <t>28117</t>
  </si>
  <si>
    <t>VILLEGAS BOTERO, MARIANA</t>
  </si>
  <si>
    <t>Number</t>
  </si>
  <si>
    <t>GOMEZ PUERTA, FELIPE</t>
  </si>
  <si>
    <t>GOMEZ SERRANO, AMALIA</t>
  </si>
  <si>
    <t>GOMEZ SERRANO, PEDRO</t>
  </si>
  <si>
    <t>GONZALEZ LEYVA, SOFIA</t>
  </si>
  <si>
    <t>GONZALEZ VELASQUEZ, SAMUEL</t>
  </si>
  <si>
    <t>GUTIERREZ ECHAVARRIA, JUAN LORENZO</t>
  </si>
  <si>
    <t>GUTIERREZ MEDINA, TOMAS</t>
  </si>
  <si>
    <t>GUTIERREZ RESTREPO, SARA</t>
  </si>
  <si>
    <t>GUTIERREZ SZTARKMAN, REBECA</t>
  </si>
  <si>
    <t>HENAO GARZON, ESTEFANIA</t>
  </si>
  <si>
    <t>HERRERA SARAIVA, HUGO</t>
  </si>
  <si>
    <t>HINESTROZA ESCOBAR, MARIA</t>
  </si>
  <si>
    <t>HOYOS ARANGO, HELENA</t>
  </si>
  <si>
    <t>ISAZA VARGAS, JERONIMO</t>
  </si>
  <si>
    <t>JARAMILLO BALLESTEROS, MARTIN</t>
  </si>
  <si>
    <t>JARAMILLO CAICEDO, TOMAS</t>
  </si>
  <si>
    <t>JARAMILLO GUTIERREZ, MARIA</t>
  </si>
  <si>
    <t>JIMENEZ JARAMILLO, MARIANA</t>
  </si>
  <si>
    <t>LONDOÑO JARAMILLO, MARIA JOSE</t>
  </si>
  <si>
    <t>LOPERA PALACIO, ANDRES FELIPE</t>
  </si>
  <si>
    <t>LOPEZ MUÑOZ, PEDRO</t>
  </si>
  <si>
    <t>MEDINA CORRAL, MARTINA</t>
  </si>
  <si>
    <t>MEJIA GOMEZ, MIGUEL</t>
  </si>
  <si>
    <t>MERINO VALENCIA, MIGUEL</t>
  </si>
  <si>
    <t>MESA ARISTIZABAL, TOMAS</t>
  </si>
  <si>
    <t>MESA FLOREZ, JACOBO</t>
  </si>
  <si>
    <t>MEYNARD RAMIREZ, GABRIEL JESUS</t>
  </si>
  <si>
    <t>MOLINA CASAS, ALEJANDRO</t>
  </si>
  <si>
    <t>MOLINA NARANJO, PEDRO</t>
  </si>
  <si>
    <t>MONCADA JARAMILLO, ANDRES FELIPE</t>
  </si>
  <si>
    <t>MONCADA, DANIELA TALI</t>
  </si>
  <si>
    <t>MUÑOZ GUERRA, JUANITA</t>
  </si>
  <si>
    <t>MUÑOZ URREGO, SARA</t>
  </si>
  <si>
    <t>NAVARRO HERMOSA, SIMON</t>
  </si>
  <si>
    <t>NEUMANN MARQUEZ, PEDRO</t>
  </si>
  <si>
    <t>OREJUELA GAVIRIA, EZEQUIEL</t>
  </si>
  <si>
    <t>PALACIO SALAZAR, LUCAS</t>
  </si>
  <si>
    <t>PELAEZ BERNAL, ANTONIA</t>
  </si>
  <si>
    <t>PELAEZ KLINKERT, AMALIA</t>
  </si>
  <si>
    <t>PELAEZ MEJIA, JERONIMO</t>
  </si>
  <si>
    <t>CHAVARRIAGA MESA, VALERIA</t>
  </si>
  <si>
    <t>CORREA HENRIQUEZ, MAXIMILIANO</t>
  </si>
  <si>
    <t>CORREA SANCHEZ, BARBARA</t>
  </si>
  <si>
    <t>CORREA VELEZ, ISABELLA</t>
  </si>
  <si>
    <t>DIAZ CARDONA, SANTIAGO</t>
  </si>
  <si>
    <t>DIEZ LONDOÑO, JUANA MARIA</t>
  </si>
  <si>
    <t>DUQUE LOTERO, MARTIN</t>
  </si>
  <si>
    <t>ECHAVARRIA GIL, EUGENIA</t>
  </si>
  <si>
    <t>ECHAVARRIA JARAMILLO, BENJAMIN</t>
  </si>
  <si>
    <t>ECHEVERRI RESTREPO, MARIANA</t>
  </si>
  <si>
    <t>FERNANDEZ CALLE, JULIAN</t>
  </si>
  <si>
    <t>FRANCO SALDARRIAGA, EMILIO</t>
  </si>
  <si>
    <t>GAMEZ ESCOBAR, SOFIA</t>
  </si>
  <si>
    <t>GARCES BOTERO, VALENTINA</t>
  </si>
  <si>
    <t>GARCIA CORREA, SANTIAGO</t>
  </si>
  <si>
    <t>GARZA PATINO, ILANA</t>
  </si>
  <si>
    <t>GAVIRIA LONDOÑO, SOFIA</t>
  </si>
  <si>
    <t>GIL CADAVID, LUCIANA</t>
  </si>
  <si>
    <t>GOMES ALVES, MARIANA</t>
  </si>
  <si>
    <t>PEREZ BOTERO, SOFIA</t>
  </si>
  <si>
    <t>RAVE DIEZ, JUAN PABLO</t>
  </si>
  <si>
    <t>RESTREPO ESCOBAR, NICOLAS</t>
  </si>
  <si>
    <t>RESTREPO MEDINA, SANTIAGO</t>
  </si>
  <si>
    <t>RESTREPO PEREZ, MARIA ADELAIDA</t>
  </si>
  <si>
    <t>RESTREPO ROJAS, ANA MERCEDES</t>
  </si>
  <si>
    <t>RIOS OSORIO, SEBASTIAN</t>
  </si>
  <si>
    <t>ROLDAN LOPEZ, ISMAEL</t>
  </si>
  <si>
    <t>ROLDAN LOPEZ, RAFAEL</t>
  </si>
  <si>
    <t>RUEDA DIAZ, CATALINA</t>
  </si>
  <si>
    <t>RUEDA GONZALEZ, MANUELA</t>
  </si>
  <si>
    <t>SALAZAR PEDROZA, CAMILA</t>
  </si>
  <si>
    <t>SALDARRIAGA PEREZ, MANUELA</t>
  </si>
  <si>
    <t>SALDARRIAGA RESTREPO, LOLITA</t>
  </si>
  <si>
    <t>SANTAMARIA VILLA, ANTONIA</t>
  </si>
  <si>
    <t>SOTO GONZALEZ, SOFIA</t>
  </si>
  <si>
    <t>TAVERA RESTREPO, MARIA ISABEL</t>
  </si>
  <si>
    <t>UPEGUI GALLON, TOMAS</t>
  </si>
  <si>
    <t>RESTREPO TORO, NICOLAS</t>
  </si>
  <si>
    <t>AGUDELO ECHEVERRI, CAMILO</t>
  </si>
  <si>
    <t>ALVAREZ MOLINA, PAULINA</t>
  </si>
  <si>
    <t>ALZATE PENAGOS, LUCIANA</t>
  </si>
  <si>
    <t>ALZATE PENAGOS, MATIAS</t>
  </si>
  <si>
    <t>ARANGO BRAZDYS, MARIA</t>
  </si>
  <si>
    <t>ARANGO ESCOBAR, CRISTOBAL</t>
  </si>
  <si>
    <t>ARANGO VELEZ, EMILIO</t>
  </si>
  <si>
    <t>ARCILA SIERRA, TOMAS</t>
  </si>
  <si>
    <t>ARRIOLA PEAK, SIMON</t>
  </si>
  <si>
    <t>ARRUBLA OSPINA, CRISTOBAL</t>
  </si>
  <si>
    <t>BARROS ALLEN, DANIELLA</t>
  </si>
  <si>
    <t>BERNAL POSADA, ANGEL</t>
  </si>
  <si>
    <t>BOTERO CASTANEDA, ESTEBAN</t>
  </si>
  <si>
    <t>BUSTAMANTE URREA, CRISTOBAL</t>
  </si>
  <si>
    <t>CARDENAS ROLL, ISABEL</t>
  </si>
  <si>
    <t>CASTRO GIRALDO, TOMAS</t>
  </si>
  <si>
    <t>CEBALLOS ARANGO, LUISA</t>
  </si>
  <si>
    <t>AGUIRRE ARBELAEZ, DANIEL</t>
  </si>
  <si>
    <t>URIBE ARENAS, SUSANA</t>
  </si>
  <si>
    <t>URIBE BOTERO, CIPRIANO</t>
  </si>
  <si>
    <t>URIBE GAITAN, PEDRO</t>
  </si>
  <si>
    <t>URIBE MACHADO, ALEJANDRO</t>
  </si>
  <si>
    <t>URIBE MONTOYA, JUAN JOSE</t>
  </si>
  <si>
    <t>VALDES GONZALEZ, SANTIAGO</t>
  </si>
  <si>
    <t>VALENCIA VELEZ, MATEO</t>
  </si>
  <si>
    <t>VARGAS URIBE, RAFAELA</t>
  </si>
  <si>
    <t>VASQUEZ ATEHORTUA, SAMUEL</t>
  </si>
  <si>
    <t>VELEZ AGUIRRE, ISAAC</t>
  </si>
  <si>
    <t>VELEZ FERRER, PEDRO</t>
  </si>
  <si>
    <t>VELEZ PEREZ, SEBASTIAN</t>
  </si>
  <si>
    <t>VILLEGAS JARAMILLO, EMILIANA</t>
  </si>
  <si>
    <t>VILLEGAS PELAEZ, ROSARIO</t>
  </si>
  <si>
    <t>VILLEGAS REYES, SANTIAGO</t>
  </si>
  <si>
    <t>ZAPATA SALDARRIAGA, SOFIA</t>
  </si>
  <si>
    <t>ZARATE CASTAÑO, MATEO</t>
  </si>
  <si>
    <t>ZULOAGA MEJIA, CAMILA</t>
  </si>
  <si>
    <t>ZULUAGA ECHAVARRIA, GREGORIO</t>
  </si>
  <si>
    <t>ABAD VEGA, ELISA</t>
  </si>
  <si>
    <t>ACEVEDO OROZCO, MARIA ANTONIA</t>
  </si>
  <si>
    <t>ALMEIDA VASQUEZ, ALICE LORAINE</t>
  </si>
  <si>
    <t>ALVAREZ ARRIOLA, EMILIANA</t>
  </si>
  <si>
    <t>ALVAREZ MUÑOZ, JUAN SALVADOR</t>
  </si>
  <si>
    <t>ARANGO HINESTROSA, MATEO</t>
  </si>
  <si>
    <t>ARANGO MEJIA, CANDELARIA</t>
  </si>
  <si>
    <t>ARANGO OSPINA, ANDREA</t>
  </si>
  <si>
    <t>ARISTIZABAL BEDOYA, ISABELA</t>
  </si>
  <si>
    <t>ARISTIZABAL URIBE, ELISA</t>
  </si>
  <si>
    <t>ARRUBLA GARCES, PABLO</t>
  </si>
  <si>
    <t>BARRERA DOMINGUEZ, PEDRO</t>
  </si>
  <si>
    <t>BARRIENTOS DAVIS, SOPHIA</t>
  </si>
  <si>
    <t>BAYONA SERRANO, SOFIA</t>
  </si>
  <si>
    <t>BUHOFER DUQUE, NICHOLAS MAXIMILIAN</t>
  </si>
  <si>
    <t>CALLE CANO, ANDRES</t>
  </si>
  <si>
    <t>CALLE JARAMILLO, MANUELA</t>
  </si>
  <si>
    <t>CARDENAS ECHAVARRIA, ANDREA</t>
  </si>
  <si>
    <t>CARDENAS OSPINA, MIGUEL</t>
  </si>
  <si>
    <t>CARDONA LOPEZ, MIGUEL</t>
  </si>
  <si>
    <t>CATALDO ALMEIDA, DANIELA SOFIA</t>
  </si>
  <si>
    <t>CORREA HENRIQUEZ, GREGORIO</t>
  </si>
  <si>
    <t>DUQUE PINEDA, SOFIA</t>
  </si>
  <si>
    <t>ECHEVERRI FARAI, SAMUEL</t>
  </si>
  <si>
    <t>ECHEVERRI LOPEZ, JUAN MARTIN</t>
  </si>
  <si>
    <t>ECHEVERRI MARIN, ELVIRA</t>
  </si>
  <si>
    <t>ESCOBAR BOLIVAR, MARTIN</t>
  </si>
  <si>
    <t>ESCOBAR GOMEZ, NICOLAS</t>
  </si>
  <si>
    <t>ESCOBAR MADRID, ALEJANDRO</t>
  </si>
  <si>
    <t>ESCORCIA CARDENAS, PAULINA</t>
  </si>
  <si>
    <t>ESPINAL ALVAREZ, ALICIA</t>
  </si>
  <si>
    <t>FLOREZ GOMEZ, MANUELA</t>
  </si>
  <si>
    <t>GARCES AROSEMENA, ORIANA MARIA VALERIA</t>
  </si>
  <si>
    <t>GARCES MESA, MIGUEL</t>
  </si>
  <si>
    <t>GARCES RIVERA, MARIA JOSE</t>
  </si>
  <si>
    <t>GARCIA GONZALEZ, MIGUEL ERNESTO</t>
  </si>
  <si>
    <t>GIL MEJIA, MATIAS</t>
  </si>
  <si>
    <t>GOMEZ GOMEZ, MANUELA</t>
  </si>
  <si>
    <t>GOMEZ RESTREPO, ISAAC</t>
  </si>
  <si>
    <t>GUARIN VASQUEZ, DAVID</t>
  </si>
  <si>
    <t>GUTIERREZ ABUCHAR, JULIANA</t>
  </si>
  <si>
    <t>GUTIERREZ BARRIENTOS, GREGORIO</t>
  </si>
  <si>
    <t>GUTIERREZ SERRANO, ANTONIA</t>
  </si>
  <si>
    <t>HINESTROZA ESCOBAR, JACOBO</t>
  </si>
  <si>
    <t>HOYOS GOMEZ, TOMAS</t>
  </si>
  <si>
    <t>JARAMILLO GONZALEZ, LUCIANO</t>
  </si>
  <si>
    <t>JARAMILLO MORALES, JACOBO</t>
  </si>
  <si>
    <t>JARAMILLO PENAGOS, ELISA</t>
  </si>
  <si>
    <t>JARAMILLO PENAGOS, FELIPE</t>
  </si>
  <si>
    <t>JARAMILLO PENAGOS, MARIA DEL MAR</t>
  </si>
  <si>
    <t>LINCE GUTIERREZ, MATEO</t>
  </si>
  <si>
    <t>LIZARAZU VILLEGAS, ELENA</t>
  </si>
  <si>
    <t>MARTINEZ LONDOÑO, ELENA</t>
  </si>
  <si>
    <t>MEDINA RAMIREZ, JULIA</t>
  </si>
  <si>
    <t>MEDINA RESTREPO, HELENA</t>
  </si>
  <si>
    <t>MEJIA BUSTAMANTE, PABLO</t>
  </si>
  <si>
    <t>MEJIA GOMESCASSERES, NICOLAS</t>
  </si>
  <si>
    <t>MESA URIBE, VALENTINA</t>
  </si>
  <si>
    <t>MIRA VELEZ, JULIANA</t>
  </si>
  <si>
    <t>MORENO GOMEZ, ELENA</t>
  </si>
  <si>
    <t>MUNERA ANGEL, DANIELA</t>
  </si>
  <si>
    <t>MURILLO QUIROZ, SIMON</t>
  </si>
  <si>
    <t>NAVARRO ARROYAVE, ROSARIO</t>
  </si>
  <si>
    <t>NEWCOMER GUTIERREZ, SEBASTIAN</t>
  </si>
  <si>
    <t>NIÑO FERRER, SAMUEL</t>
  </si>
  <si>
    <t>OCHOA PODESTA, TOMAS</t>
  </si>
  <si>
    <t>OCHOA VELEZ, DANIEL</t>
  </si>
  <si>
    <t>OLARTE JARAMILLO, ISABELLA</t>
  </si>
  <si>
    <t>ORTEGA RESTREPO, MARIA ANTONIA</t>
  </si>
  <si>
    <t>OSPINA VILLEGAS, PABLO</t>
  </si>
  <si>
    <t>PALACIO ZULUAGA, JULIANA</t>
  </si>
  <si>
    <t>PALAU LOPERA, SOFIA</t>
  </si>
  <si>
    <t>PAREJA JIMENEZ, JUANITA</t>
  </si>
  <si>
    <t>PELAEZ SALDARRIAGA, FEDERICO</t>
  </si>
  <si>
    <t>PEREZ LOPEZ, MANUELA</t>
  </si>
  <si>
    <t>PEREZ MEJIA, JUAN PABLO</t>
  </si>
  <si>
    <t>POSADA SALDARRIAGA, TOMAS</t>
  </si>
  <si>
    <t>POSADA VILLALOBOS, JUAN LUIS</t>
  </si>
  <si>
    <t>PULGARIN TORO, SOFIA</t>
  </si>
  <si>
    <t>RAMIREZ LOPEZ, LUCIANA</t>
  </si>
  <si>
    <t>RANNI, NICOLO</t>
  </si>
  <si>
    <t>RASENI GOMEZ, FRANCESCA</t>
  </si>
  <si>
    <t>RESTREPO ARANGO, MIGUEL</t>
  </si>
  <si>
    <t>RESTREPO BARTOLINI, SARA</t>
  </si>
  <si>
    <t>RESTREPO LONDOÑO, SANTIAGO</t>
  </si>
  <si>
    <t>RESTREPO MEJIA, IVANA</t>
  </si>
  <si>
    <t>RESTREPO TORO, JERONIMO</t>
  </si>
  <si>
    <t>RICO THOMPSON, MARTIN</t>
  </si>
  <si>
    <t>RODRIGUEZ BLANDON, SIMON</t>
  </si>
  <si>
    <t>ROJAS LOPEZ, JUANITA</t>
  </si>
  <si>
    <t>SALDARRIAGA RODRIGUEZ, LOLA</t>
  </si>
  <si>
    <t>SANCHEZ RODRIGUEZ, JUAN ANDRES</t>
  </si>
  <si>
    <t>SIERRA TIRADO, TOMAS</t>
  </si>
  <si>
    <t>TENENBAUM, LIVNA</t>
  </si>
  <si>
    <t>THIRIEZ VILLA, LUCAS</t>
  </si>
  <si>
    <t>TOBON JARAMILLO, TOMAS</t>
  </si>
  <si>
    <t>URIBE BOTERO, MIRANDA</t>
  </si>
  <si>
    <t>URIBE QUINTERO, ALEJANDRO</t>
  </si>
  <si>
    <t>URREA CARVAJAL, SOFIA</t>
  </si>
  <si>
    <t>VALENCIA LOPEZ, SOFIA</t>
  </si>
  <si>
    <t>VASQUEZ ARANGO, EMILIO</t>
  </si>
  <si>
    <t>VELASQUEZ VARGAS, CRISTOBAL</t>
  </si>
  <si>
    <t>VELASQUEZ VARGAS, MARTIN</t>
  </si>
  <si>
    <t>VELEZ COCK, LUCIANO</t>
  </si>
  <si>
    <t>VELEZ VASQUEZ, EMILIO</t>
  </si>
  <si>
    <t>VILLEGAS BOTERO, MIGUEL</t>
  </si>
  <si>
    <t>VILLEGAS DE ROUX, AMELIA</t>
  </si>
  <si>
    <t>YEPES EUSSE, AMALIA</t>
  </si>
  <si>
    <t>YEPES PULIDO, NICOLAS</t>
  </si>
  <si>
    <t>ZULUAGA MENDEZ, SAMUEL</t>
  </si>
  <si>
    <t>AGUDELO VELEZ, VALENTINA</t>
  </si>
  <si>
    <t>ALZATE PENAGOS, AGUSTIN</t>
  </si>
  <si>
    <t>AMAR JARAMILLO, SANTIAGO</t>
  </si>
  <si>
    <t>ANGEL GUTIERREZ, TOMAS</t>
  </si>
  <si>
    <t>ARANGO CORTES, MIGUEL</t>
  </si>
  <si>
    <t>ARISTIZABAL RAMOS, JULIANA</t>
  </si>
  <si>
    <t>ARRUBLA OSPINA, JERONIMO</t>
  </si>
  <si>
    <t>BALTHAZAR CORREA, SIMON</t>
  </si>
  <si>
    <t>BERDUGO RESTREPO, EMILIO</t>
  </si>
  <si>
    <t>BERNAL RAMIREZ, PABLO</t>
  </si>
  <si>
    <t>BETANCUR FRANCO, SEBASTIAN</t>
  </si>
  <si>
    <t>BETANCUR SALAZAR, SAMUEL</t>
  </si>
  <si>
    <t>BEYER VELEZ, SALOME</t>
  </si>
  <si>
    <t>BOTERO VELEZ, MARIA JOSE</t>
  </si>
  <si>
    <t>CARDONA MESA, ANDREA</t>
  </si>
  <si>
    <t>CEBALLOS ARANGO, CAMILA</t>
  </si>
  <si>
    <t>CORDOVA ESTUPINAN, MARIA JOSE</t>
  </si>
  <si>
    <t>CORREA HINESTROZA, JERONIMO</t>
  </si>
  <si>
    <t>CREUS MORENO, NICOLAS</t>
  </si>
  <si>
    <t>DE LA ROCHE PEREZ, TOMAS</t>
  </si>
  <si>
    <t>DIEZ GONZALEZ, TOMAS</t>
  </si>
  <si>
    <t>DIEZ RENDON, JUANA</t>
  </si>
  <si>
    <t>DUQUE VELASQUEZ, ESTEBAN</t>
  </si>
  <si>
    <t>ECHANDIA JARAMILLO, MANUELA</t>
  </si>
  <si>
    <t>ECHEVERRI ECHEVERRI, MARIA DEL MAR</t>
  </si>
  <si>
    <t>ESCOBAR ARANGO, VALENTIN</t>
  </si>
  <si>
    <t>ESCOBAR MARIN, MARTIN</t>
  </si>
  <si>
    <t>ESCOBAR TORO, MARIA</t>
  </si>
  <si>
    <t>ESCORCIA CARDENAS, EMILIO</t>
  </si>
  <si>
    <t>ESPINAL ALVAREZ, CAMILO CLAUDIO</t>
  </si>
  <si>
    <t>ESPINAL GONZALEZ, SANTIAGO</t>
  </si>
  <si>
    <t>GALLEGO LOPEZ, FELIPE</t>
  </si>
  <si>
    <t>GALLEGO RESTREPO, AMALIA</t>
  </si>
  <si>
    <t>GARCES MESA, MARIA</t>
  </si>
  <si>
    <t>GARCIA RESTREPO, NICOLAS</t>
  </si>
  <si>
    <t>GARDUNO HORNEFFER, ISABELLA</t>
  </si>
  <si>
    <t>GAVIRIA ARIAS, CRISTINA</t>
  </si>
  <si>
    <t>GAVIRIA VESGA, LUCIA</t>
  </si>
  <si>
    <t>GOMEZ CARMONA, ISABELLA</t>
  </si>
  <si>
    <t>GOMEZ ESPINAL, FELIPE</t>
  </si>
  <si>
    <t>GOMEZ LALINDE, PEDRO</t>
  </si>
  <si>
    <t>GONZALEZ FIGUEROA, MARTIN</t>
  </si>
  <si>
    <t>GONZALEZ HURTADO, CRISTOBAL</t>
  </si>
  <si>
    <t>GUERRA RESTREPO, VALENTINA</t>
  </si>
  <si>
    <t>HENAO GIRALDO, JUANITA</t>
  </si>
  <si>
    <t>HERNANDEZ MARTINEZ, TOMAS</t>
  </si>
  <si>
    <t>HINOJOSA AVILA, DIEGO ADOLFO</t>
  </si>
  <si>
    <t>ISAZA RAMIREZ, JUAN JOSE</t>
  </si>
  <si>
    <t>JARAMILLO FORERO, JOSE</t>
  </si>
  <si>
    <t>JARAMILLO FORERO, TOMAS</t>
  </si>
  <si>
    <t>JARAMILLO GUTIERREZ, ANA SOFIA</t>
  </si>
  <si>
    <t>JARAMILLO GUTIERREZ, ISABEL</t>
  </si>
  <si>
    <t>JARAMILLO VEGA, TOMAS</t>
  </si>
  <si>
    <t>LACOUTURE GAMBOA, ESTEBAN</t>
  </si>
  <si>
    <t>LONDOÑO AGUDELO, YULIANNA</t>
  </si>
  <si>
    <t>LONDOÑO CASAS, ELENA</t>
  </si>
  <si>
    <t>LONDOÑO HERRERA, JUAN JOSE</t>
  </si>
  <si>
    <t>LUGO TOVAR, ANTONIO</t>
  </si>
  <si>
    <t>MEDINA CORRAL, BLANCA</t>
  </si>
  <si>
    <t>MENESES ARANGO, SAMUEL</t>
  </si>
  <si>
    <t>MESA ACOSTA, JULIANA</t>
  </si>
  <si>
    <t>MESA GARCIA, LAURA</t>
  </si>
  <si>
    <t>MOLINA GAMBOA, JUAN MANUEL</t>
  </si>
  <si>
    <t>MONTOYA TRUJILLO, CAMILO</t>
  </si>
  <si>
    <t>MORA RESTREPO, ISABEL</t>
  </si>
  <si>
    <t>MUNERA PELAEZ, LUISA</t>
  </si>
  <si>
    <t>MUÑOZ GUERRA, SANTIAGO</t>
  </si>
  <si>
    <t>NOREÑA MUNERA, GREGORIO</t>
  </si>
  <si>
    <t>OCHOA FERNANDEZ, MARTIN</t>
  </si>
  <si>
    <t>ORREGO VALENCIA, ISABELLA</t>
  </si>
  <si>
    <t>ORTEGA GAVIRIA, SARA</t>
  </si>
  <si>
    <t>OSTROVSKY TORO, VALERIA</t>
  </si>
  <si>
    <t>PALACIOS LOPEZ, DAVID</t>
  </si>
  <si>
    <t>PEREZ DE GREIFF, TOMAS</t>
  </si>
  <si>
    <t>PEREZ MARTINEZ, ANDREA</t>
  </si>
  <si>
    <t>PIEDRAHITA LALINDE, TOMAS</t>
  </si>
  <si>
    <t>PORTO FERNANDEZ, MAR</t>
  </si>
  <si>
    <t>RODRIGUEZ LACOUTURE, EMILIA</t>
  </si>
  <si>
    <t>RODRIGUEZ LACOUTURE, JOAQUIN</t>
  </si>
  <si>
    <t>ROMAN VALLE, MARIANNA</t>
  </si>
  <si>
    <t>RUIZ VALDERRAMA, DANIELA</t>
  </si>
  <si>
    <t>SALAZAR BARRAGAN, CAMILA</t>
  </si>
  <si>
    <t>SALAZAR GILCHRIST, SANTIAGO</t>
  </si>
  <si>
    <t>SANCHEZ MORENO, TOMAS</t>
  </si>
  <si>
    <t>SANCHEZ NAVARRO, SIMON</t>
  </si>
  <si>
    <t>SIERRA ECHAVARRIA, VALERIA</t>
  </si>
  <si>
    <t>SOLORZANO BETANCUR, SEBASTIAN</t>
  </si>
  <si>
    <t>SOTO GONZALEZ, FELIPE</t>
  </si>
  <si>
    <t>SOTO VELEZ, PABLO</t>
  </si>
  <si>
    <t>TAMAYO VILLA, CAMILA</t>
  </si>
  <si>
    <t>THIRUKUMARAN, YUVAN</t>
  </si>
  <si>
    <t>URIBE GOMEZ, ALEJANDRO</t>
  </si>
  <si>
    <t>URIBE MACHADO, MANUELA</t>
  </si>
  <si>
    <t>URIBE MESA, ISABELLA</t>
  </si>
  <si>
    <t>URIBE MUNERA, JUANITA</t>
  </si>
  <si>
    <t>VALENCIA MEJIA, EMILIANA</t>
  </si>
  <si>
    <t>VALENCIA MEJIA, SILVANA</t>
  </si>
  <si>
    <t>VALENCIA VELEZ, DANIEL</t>
  </si>
  <si>
    <t>VARGAS PELAEZ, JUAN PEDRO</t>
  </si>
  <si>
    <t>VELASQUEZ ESCOBAR, PAULA</t>
  </si>
  <si>
    <t>VELEZ CASTRILLON, FEDERICO</t>
  </si>
  <si>
    <t>VELEZ PEREZ, ADELAIDA</t>
  </si>
  <si>
    <t>VERGNAUD PALACIO, ISABELLE</t>
  </si>
  <si>
    <t>ZARATE CASTAÑO, NICOLAS</t>
  </si>
  <si>
    <t>ZULUAGA CHAVEZ, MARTIN</t>
  </si>
  <si>
    <t>AGUDELO ARBELAEZ, CAMILA</t>
  </si>
  <si>
    <t>BARRIENTOS DAVIS, DANIEL</t>
  </si>
  <si>
    <t>BERDUGO RESTREPO, ANTONIA</t>
  </si>
  <si>
    <t>BOCANUMENT RESTREPO, SAMUEL</t>
  </si>
  <si>
    <t>CALLE ESPINAL, TOMAS</t>
  </si>
  <si>
    <t>CALLE JARAMILLO, MIGUEL</t>
  </si>
  <si>
    <t>CAMACHO CARDONA, JULIAN</t>
  </si>
  <si>
    <t>CASTAÑO ESCOBAR, ALEJANDRA</t>
  </si>
  <si>
    <t>CATALDO ALMEIDA, PIERO JAVIER</t>
  </si>
  <si>
    <t>CORREA CORREA, JOSE MARIA</t>
  </si>
  <si>
    <t>CORREA FIGUEROA, SIMON</t>
  </si>
  <si>
    <t>CORREA SANCHEZ, GREGORIO</t>
  </si>
  <si>
    <t>CUARTAS SALDARRIAGA, MARIA</t>
  </si>
  <si>
    <t>CUBIDES NAVARRETE, JUAN DAVID</t>
  </si>
  <si>
    <t>DUQUE LOTERO, SEBASTIAN</t>
  </si>
  <si>
    <t>ECHAVARRIA JARAMILLO, MATHIAS</t>
  </si>
  <si>
    <t>ECHAVARRIA OCHOA, MARTIN</t>
  </si>
  <si>
    <t>ECHEVERRI RESTREPO, PEDRO</t>
  </si>
  <si>
    <t>ESCOBAR ESCOBAR, ALEJANDRO</t>
  </si>
  <si>
    <t>ESCOBAR MADRID, FEDERICO</t>
  </si>
  <si>
    <t>ESPINOSA BOHORQUEZ, ALEJANDRO</t>
  </si>
  <si>
    <t>FERNANDEZ PUERTA, LUCIANO</t>
  </si>
  <si>
    <t>GARCES BOTERO, SEBASTIAN</t>
  </si>
  <si>
    <t>GARCIA GAVIRIA, DANIELA</t>
  </si>
  <si>
    <t>GAVIRIA CAMPO, JUAN FELIPE</t>
  </si>
  <si>
    <t>GOMEZ ARREDONDO, ANDREA</t>
  </si>
  <si>
    <t>GOMEZ PUERTA, MARTIN</t>
  </si>
  <si>
    <t>GUARIN VASQUEZ, DANIEL FELIPE</t>
  </si>
  <si>
    <t>HENAO VELEZ, PEDRO JUAN</t>
  </si>
  <si>
    <t>HERNANDEZ MARTINEZ, FELIPE</t>
  </si>
  <si>
    <t>HOYOS MONDRAGON, FELIPE</t>
  </si>
  <si>
    <t>HURTADO MONTOYA, MIGUEL</t>
  </si>
  <si>
    <t>HURTADO MONTOYA, PEDRO</t>
  </si>
  <si>
    <t>HURTADO MONTOYA, SOFIA</t>
  </si>
  <si>
    <t>JANG LEE, ELIZABETH (JI-YOON)</t>
  </si>
  <si>
    <t>JARAMILLO CADAVID, FEDERICO</t>
  </si>
  <si>
    <t>JIMENEZ RESTREPO, PEDRO</t>
  </si>
  <si>
    <t>LONDOÑO ARIAS, RAQUEL</t>
  </si>
  <si>
    <t>MARTINEZ BERNAL, ELISA</t>
  </si>
  <si>
    <t>MARTINEZ HENAO, MANUEL</t>
  </si>
  <si>
    <t>MCEWEN COCK, ALEJANDRO</t>
  </si>
  <si>
    <t>MEDINA RESTREPO, CAMILA</t>
  </si>
  <si>
    <t>MENESES ARANGO, DANIEL</t>
  </si>
  <si>
    <t>MIRA VELEZ, CAROLINA</t>
  </si>
  <si>
    <t>MOLINA GUTIERREZ, MARIA PIA</t>
  </si>
  <si>
    <t>MOLINA PIEDRAHITA, MANUELA</t>
  </si>
  <si>
    <t>MONSALVE LOPERA, MARIANA</t>
  </si>
  <si>
    <t>MORA SERANI, EMILIO</t>
  </si>
  <si>
    <t>MORENO GONZALEZ, MARIA PAULA</t>
  </si>
  <si>
    <t>MORENO URIBE, CAROLINA</t>
  </si>
  <si>
    <t>NUÑEZ GUERRERO, SOFIA</t>
  </si>
  <si>
    <t>OBANDO ZEA, SUSANA</t>
  </si>
  <si>
    <t>OCHOA ZULUAGA, ANDREA</t>
  </si>
  <si>
    <t>ORTIZ PEREZ, TOMAS</t>
  </si>
  <si>
    <t>OSPINA LOPEZ, FEDERICO</t>
  </si>
  <si>
    <t>PELAEZ GAVIRIA, EMILIO</t>
  </si>
  <si>
    <t>PELAEZ ZULUAGA, MARIA JOSE</t>
  </si>
  <si>
    <t>PENAGOS CADAVID, PABLO</t>
  </si>
  <si>
    <t>POSADA VILLALOBOS, MARIANA</t>
  </si>
  <si>
    <t>PUERTA BOTERO, MARIA JOSE</t>
  </si>
  <si>
    <t>RAMIREZ CANTILLO, ESTEBAN</t>
  </si>
  <si>
    <t>RAMIREZ DIAZ, JUAN JOSE</t>
  </si>
  <si>
    <t>RAMIREZ VELASQUEZ, LAURA</t>
  </si>
  <si>
    <t>RESTREPO MEJIA, ANDREA</t>
  </si>
  <si>
    <t>RODRIGUEZ ZULUAGA, JUAN MANUEL</t>
  </si>
  <si>
    <t>SALAZAR PEDROZA, VALENTINA</t>
  </si>
  <si>
    <t>SALAZAR URIBE, JUAN CAMILO</t>
  </si>
  <si>
    <t>SALDARRIAGA ZAPATA, DANIELA</t>
  </si>
  <si>
    <t>SALDARRIAGA ZAPATA, MANUELA</t>
  </si>
  <si>
    <t>SANTA MARIA URIBE, FELIPE</t>
  </si>
  <si>
    <t>SOLANO AGUILAR, SAMUEL</t>
  </si>
  <si>
    <t>SUSAETA MARTINEZ, SAMUEL</t>
  </si>
  <si>
    <t>TOBON ECHEVERRI, JUANITA</t>
  </si>
  <si>
    <t>UPEGUI ROBLEDO, SOPHIA</t>
  </si>
  <si>
    <t>URIBE ARENAS, PEDRO PABLO</t>
  </si>
  <si>
    <t>URIBE MUNERA, SEBASTIAN</t>
  </si>
  <si>
    <t>URREA DIEZ, PALOMA</t>
  </si>
  <si>
    <t>URREA ESCOBAR, SANTIAGO</t>
  </si>
  <si>
    <t>VALENCIA MARIN, ERICK</t>
  </si>
  <si>
    <t>VALENCIA VELEZ, DAVID</t>
  </si>
  <si>
    <t>VALLEJO TRUJILLO, GABRIEL</t>
  </si>
  <si>
    <t>VARGAS LACOUTURE, SEBASTIAN</t>
  </si>
  <si>
    <t>VASQUEZ JARAMILLO, SOFIA</t>
  </si>
  <si>
    <t>VELEZ CORREA, CATALINA</t>
  </si>
  <si>
    <t>VELEZ GONZALEZ, MATIAS</t>
  </si>
  <si>
    <t>VELEZ PIEDRAHITA, VALENTINA</t>
  </si>
  <si>
    <t>VERGNAUD PALACIO, BENJAMIN</t>
  </si>
  <si>
    <t>YEPES PULIDO, ALEJANDRO</t>
  </si>
  <si>
    <t>ZULOAGA MEJIA, DANIEL</t>
  </si>
  <si>
    <t>Quarter 1</t>
  </si>
  <si>
    <t>Quarter 2</t>
  </si>
  <si>
    <t>Quarter 3</t>
  </si>
  <si>
    <t>Quarter 4</t>
  </si>
  <si>
    <t># 6th Graders</t>
  </si>
  <si>
    <t>Groups</t>
  </si>
  <si>
    <t>Students/Group</t>
  </si>
  <si>
    <t>Study Skills</t>
  </si>
  <si>
    <t>Caro Polo</t>
  </si>
  <si>
    <t>John Higuita</t>
  </si>
  <si>
    <t>Dance 6</t>
  </si>
  <si>
    <t>Dioger Yarce</t>
  </si>
  <si>
    <t>Graphic Design 6</t>
  </si>
  <si>
    <t>Paola Fonnegra</t>
  </si>
  <si>
    <t>Creative Music Studio 6</t>
  </si>
  <si>
    <t>Carlos Fernandez</t>
  </si>
  <si>
    <t>Music Class 6</t>
  </si>
  <si>
    <t>z class</t>
  </si>
  <si>
    <t>Graphic Design 7</t>
  </si>
  <si>
    <t>Dance 7</t>
  </si>
  <si>
    <t># 7th Graders</t>
  </si>
  <si>
    <t>Creative Music Studio 7</t>
  </si>
  <si>
    <t>Music Class 7</t>
  </si>
  <si>
    <t>Dance 8</t>
  </si>
  <si>
    <t>Graphic Design 8</t>
  </si>
  <si>
    <t># 8th Graders</t>
  </si>
  <si>
    <t>Creative Music Studio 8</t>
  </si>
  <si>
    <t>Dance, Graphic Design, Art</t>
  </si>
  <si>
    <t>Creative Music Studio, Graphic Design, Art</t>
  </si>
  <si>
    <t>Above</t>
  </si>
  <si>
    <t>Here</t>
  </si>
  <si>
    <t>Erik Schober</t>
  </si>
  <si>
    <t>Ari Holsten</t>
  </si>
  <si>
    <t>Alisha Miranda</t>
  </si>
  <si>
    <t>Maxine Mackinnon</t>
  </si>
  <si>
    <t>Sara De Ases</t>
  </si>
  <si>
    <t>Jennifer Smith</t>
  </si>
  <si>
    <t>Daniel Jackson</t>
  </si>
  <si>
    <t>Aldair Florez</t>
  </si>
  <si>
    <t>Jordi Tur</t>
  </si>
  <si>
    <t>Shalia Nicholson</t>
  </si>
  <si>
    <t>Nasli Varga</t>
  </si>
  <si>
    <t>Luz Miriam Arango</t>
  </si>
  <si>
    <t>Willy Duque</t>
  </si>
  <si>
    <t>Integrated 8</t>
  </si>
  <si>
    <t>Josh Vissers</t>
  </si>
  <si>
    <t>Adriana Ramirez</t>
  </si>
  <si>
    <t>Ana Maria RincOn</t>
  </si>
  <si>
    <t>Fashion Design I</t>
  </si>
  <si>
    <t>Fashion Design II</t>
  </si>
  <si>
    <t>3D Art I</t>
  </si>
  <si>
    <t>3D Art II</t>
  </si>
  <si>
    <t>Band 6</t>
  </si>
  <si>
    <t>Music Teacher</t>
  </si>
  <si>
    <t>Creative Music Studio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</si>
</sst>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numFmt numFmtId="165" formatCode="yyyy-mm-dd"/>
    <numFmt numFmtId="166" formatCode="0.0"/>
    <numFmt numFmtId="167" formatCode="&quot;$&quot;#,##0.00"/>
    <numFmt numFmtId="168" formatCode="m, d"/>
  </numFmts>
  <fonts count="27">
    <font>
      <sz val="10.0"/>
      <color rgb="FF000000"/>
      <name val="Arial"/>
    </font>
    <font>
      <b/>
    </font>
    <font>
      <u/>
      <color rgb="FF0000FF"/>
    </font>
    <font/>
    <font>
      <b/>
      <sz val="12.0"/>
      <color rgb="FFFFFFFF"/>
      <name val="Inconsolata"/>
    </font>
    <font>
      <b/>
      <sz val="12.0"/>
    </font>
    <font>
      <b/>
      <sz val="12.0"/>
      <color rgb="FF000000"/>
      <name val="Arial"/>
    </font>
    <font>
      <name val="Arial"/>
    </font>
    <font>
      <b/>
      <name val="Arial"/>
    </font>
    <font>
      <sz val="24.0"/>
      <name val="Arial"/>
    </font>
    <font>
      <color rgb="FF000000"/>
      <name val="Arial"/>
    </font>
    <font>
      <sz val="11.0"/>
      <color rgb="FF000000"/>
      <name val="Inconsolata"/>
    </font>
    <font>
      <sz val="11.0"/>
      <name val="Arial"/>
    </font>
    <font>
      <sz val="11.0"/>
      <name val="Inconsolata"/>
    </font>
    <font>
      <color rgb="FF222222"/>
      <name val="Arial"/>
    </font>
    <font>
      <b/>
      <sz val="18.0"/>
      <color rgb="FFFFFFFF"/>
    </font>
    <font>
      <b/>
      <sz val="18.0"/>
    </font>
    <font>
      <sz val="10.0"/>
    </font>
    <font>
      <sz val="18.0"/>
    </font>
    <font>
      <i/>
    </font>
    <font>
      <sz val="10.0"/>
      <name val="Arial"/>
    </font>
    <font>
      <sz val="11.0"/>
      <color rgb="FF444444"/>
      <name val="Arial"/>
    </font>
    <font>
      <b/>
      <sz val="10.0"/>
      <name val="Arial"/>
    </font>
    <font>
      <b/>
      <sz val="10.0"/>
      <color rgb="FF000000"/>
      <name val="Arial"/>
    </font>
    <font>
      <sz val="9.0"/>
      <name val="Arial"/>
    </font>
    <font>
      <sz val="9.0"/>
      <color rgb="FF000000"/>
      <name val="Arial"/>
    </font>
    <font>
      <sz val="9.0"/>
      <color rgb="FF333333"/>
      <name val="Arial"/>
    </font>
  </fonts>
  <fills count="19">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000000"/>
        <bgColor rgb="FF000000"/>
      </patternFill>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
      <patternFill patternType="solid">
        <fgColor rgb="FF9900FF"/>
        <bgColor rgb="FF9900FF"/>
      </patternFill>
    </fill>
    <fill>
      <patternFill patternType="solid">
        <fgColor rgb="FFB7B7B7"/>
        <bgColor rgb="FFB7B7B7"/>
      </patternFill>
    </fill>
    <fill>
      <patternFill patternType="solid">
        <fgColor rgb="FFF4CCCC"/>
        <bgColor rgb="FFF4CCCC"/>
      </patternFill>
    </fill>
    <fill>
      <patternFill patternType="solid">
        <fgColor rgb="FFD9EAD3"/>
        <bgColor rgb="FFD9EAD3"/>
      </patternFill>
    </fill>
    <fill>
      <patternFill patternType="solid">
        <fgColor rgb="FFEA9999"/>
        <bgColor rgb="FFEA9999"/>
      </patternFill>
    </fill>
    <fill>
      <patternFill patternType="solid">
        <fgColor rgb="FFE06666"/>
        <bgColor rgb="FFE06666"/>
      </patternFill>
    </fill>
    <fill>
      <patternFill patternType="solid">
        <fgColor rgb="FF38761D"/>
        <bgColor rgb="FF38761D"/>
      </patternFill>
    </fill>
    <fill>
      <patternFill patternType="solid">
        <fgColor rgb="FFFFF2CC"/>
        <bgColor rgb="FFFFF2CC"/>
      </patternFill>
    </fill>
    <fill>
      <patternFill patternType="solid">
        <fgColor rgb="FFCFE2F3"/>
        <bgColor rgb="FFCFE2F3"/>
      </patternFill>
    </fill>
  </fills>
  <borders count="13">
    <border/>
    <border>
      <left style="thin">
        <color rgb="FF000000"/>
      </left>
      <right style="thin">
        <color rgb="FF000000"/>
      </right>
      <top style="thin">
        <color rgb="FF000000"/>
      </top>
      <bottom style="thin">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readingOrder="0" shrinkToFit="0" wrapText="1"/>
    </xf>
    <xf borderId="0" fillId="0" fontId="3" numFmtId="0" xfId="0" applyAlignment="1" applyFont="1">
      <alignment readingOrder="0" shrinkToFit="0" wrapText="1"/>
    </xf>
    <xf borderId="0" fillId="2" fontId="3" numFmtId="0" xfId="0" applyAlignment="1" applyFont="1">
      <alignment horizontal="center" readingOrder="0"/>
    </xf>
    <xf borderId="0" fillId="0" fontId="3" numFmtId="164" xfId="0" applyAlignment="1" applyFont="1" applyNumberFormat="1">
      <alignment readingOrder="0"/>
    </xf>
    <xf borderId="0" fillId="2" fontId="3" numFmtId="0" xfId="0" applyAlignment="1" applyFont="1">
      <alignment horizontal="center"/>
    </xf>
    <xf borderId="0" fillId="2" fontId="3" numFmtId="165" xfId="0" applyAlignment="1" applyFont="1" applyNumberFormat="1">
      <alignment horizontal="center" readingOrder="0"/>
    </xf>
    <xf borderId="0" fillId="0" fontId="3" numFmtId="165" xfId="0" applyAlignment="1" applyFont="1" applyNumberFormat="1">
      <alignment readingOrder="0"/>
    </xf>
    <xf borderId="0" fillId="0" fontId="3" numFmtId="0" xfId="0" applyAlignment="1" applyFont="1">
      <alignment shrinkToFit="0" wrapText="1"/>
    </xf>
    <xf borderId="0" fillId="0" fontId="3" numFmtId="0" xfId="0" applyAlignment="1" applyFont="1">
      <alignment readingOrder="0"/>
    </xf>
    <xf borderId="0" fillId="0" fontId="1"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3" fontId="3" numFmtId="0" xfId="0" applyAlignment="1" applyFill="1" applyFont="1">
      <alignment horizontal="left" readingOrder="0" vertical="center"/>
    </xf>
    <xf borderId="0" fillId="3" fontId="3" numFmtId="0" xfId="0" applyAlignment="1" applyFont="1">
      <alignment horizontal="center" readingOrder="0"/>
    </xf>
    <xf borderId="1" fillId="0" fontId="3" numFmtId="0" xfId="0" applyAlignment="1" applyBorder="1" applyFont="1">
      <alignment horizontal="center"/>
    </xf>
    <xf borderId="0" fillId="4" fontId="4" numFmtId="0" xfId="0" applyAlignment="1" applyFill="1" applyFont="1">
      <alignment horizontal="center" readingOrder="0"/>
    </xf>
    <xf borderId="2" fillId="0" fontId="5" numFmtId="0" xfId="0" applyAlignment="1" applyBorder="1" applyFont="1">
      <alignment horizontal="center"/>
    </xf>
    <xf borderId="3" fillId="0" fontId="3" numFmtId="0" xfId="0" applyBorder="1" applyFont="1"/>
    <xf borderId="2" fillId="3" fontId="6" numFmtId="9" xfId="0" applyAlignment="1" applyBorder="1" applyFont="1" applyNumberFormat="1">
      <alignment horizontal="center" readingOrder="0"/>
    </xf>
    <xf borderId="0" fillId="4" fontId="4" numFmtId="0" xfId="0" applyAlignment="1" applyFont="1">
      <alignment horizontal="left" readingOrder="0"/>
    </xf>
    <xf borderId="4" fillId="4" fontId="4" numFmtId="0" xfId="0" applyAlignment="1" applyBorder="1" applyFont="1">
      <alignment horizontal="center" readingOrder="0"/>
    </xf>
    <xf borderId="2" fillId="4" fontId="5" numFmtId="0" xfId="0" applyAlignment="1" applyBorder="1" applyFont="1">
      <alignment horizontal="center"/>
    </xf>
    <xf borderId="0" fillId="0" fontId="3" numFmtId="0" xfId="0" applyAlignment="1" applyFont="1">
      <alignment horizontal="center"/>
    </xf>
    <xf borderId="1" fillId="3" fontId="7" numFmtId="0" xfId="0" applyAlignment="1" applyBorder="1" applyFont="1">
      <alignment horizontal="center" vertical="bottom"/>
    </xf>
    <xf borderId="1" fillId="0" fontId="1" numFmtId="0" xfId="0" applyAlignment="1" applyBorder="1" applyFont="1">
      <alignment horizontal="center" readingOrder="0"/>
    </xf>
    <xf borderId="1" fillId="5" fontId="1" numFmtId="0" xfId="0" applyAlignment="1" applyBorder="1" applyFill="1" applyFont="1">
      <alignment horizontal="center" readingOrder="0"/>
    </xf>
    <xf borderId="5" fillId="5" fontId="1" numFmtId="0" xfId="0" applyAlignment="1" applyBorder="1" applyFont="1">
      <alignment horizontal="center" readingOrder="0"/>
    </xf>
    <xf borderId="5" fillId="0" fontId="1" numFmtId="0" xfId="0" applyAlignment="1" applyBorder="1" applyFont="1">
      <alignment horizontal="center" readingOrder="0"/>
    </xf>
    <xf borderId="5" fillId="6" fontId="1" numFmtId="0" xfId="0" applyAlignment="1" applyBorder="1" applyFill="1" applyFont="1">
      <alignment horizontal="center" readingOrder="0"/>
    </xf>
    <xf borderId="1" fillId="7" fontId="1" numFmtId="0" xfId="0" applyAlignment="1" applyBorder="1" applyFill="1" applyFont="1">
      <alignment horizontal="center" readingOrder="0"/>
    </xf>
    <xf borderId="5" fillId="7" fontId="1" numFmtId="0" xfId="0" applyAlignment="1" applyBorder="1" applyFont="1">
      <alignment horizontal="center" readingOrder="0"/>
    </xf>
    <xf borderId="1" fillId="8" fontId="1" numFmtId="0" xfId="0" applyAlignment="1" applyBorder="1" applyFill="1" applyFont="1">
      <alignment horizontal="center" readingOrder="0"/>
    </xf>
    <xf borderId="5" fillId="8" fontId="1" numFmtId="0" xfId="0" applyAlignment="1" applyBorder="1" applyFont="1">
      <alignment horizontal="center" readingOrder="0"/>
    </xf>
    <xf borderId="5" fillId="9" fontId="1" numFmtId="0" xfId="0" applyAlignment="1" applyBorder="1" applyFill="1" applyFont="1">
      <alignment horizontal="center" readingOrder="0"/>
    </xf>
    <xf borderId="1" fillId="10" fontId="1" numFmtId="0" xfId="0" applyAlignment="1" applyBorder="1" applyFill="1" applyFont="1">
      <alignment horizontal="center" readingOrder="0"/>
    </xf>
    <xf borderId="5" fillId="10" fontId="1" numFmtId="0" xfId="0" applyAlignment="1" applyBorder="1" applyFont="1">
      <alignment horizontal="center" readingOrder="0"/>
    </xf>
    <xf borderId="5" fillId="11" fontId="8" numFmtId="0" xfId="0" applyAlignment="1" applyBorder="1" applyFill="1" applyFont="1">
      <alignment horizontal="center" readingOrder="0"/>
    </xf>
    <xf borderId="6" fillId="3" fontId="9" numFmtId="0" xfId="0" applyAlignment="1" applyBorder="1" applyFont="1">
      <alignment horizontal="center" readingOrder="0" vertical="center"/>
    </xf>
    <xf borderId="0" fillId="5" fontId="7" numFmtId="0" xfId="0" applyAlignment="1" applyFont="1">
      <alignment horizontal="center" readingOrder="0" vertical="bottom"/>
    </xf>
    <xf borderId="1" fillId="10" fontId="7" numFmtId="0" xfId="0" applyAlignment="1" applyBorder="1" applyFont="1">
      <alignment horizontal="center" readingOrder="0" vertical="bottom"/>
    </xf>
    <xf borderId="1" fillId="7" fontId="7" numFmtId="0" xfId="0" applyAlignment="1" applyBorder="1" applyFont="1">
      <alignment horizontal="center" readingOrder="0" vertical="bottom"/>
    </xf>
    <xf borderId="1" fillId="8" fontId="7" numFmtId="0" xfId="0" applyAlignment="1" applyBorder="1" applyFont="1">
      <alignment horizontal="center" readingOrder="0" vertical="bottom"/>
    </xf>
    <xf borderId="1" fillId="9" fontId="7" numFmtId="0" xfId="0" applyAlignment="1" applyBorder="1" applyFont="1">
      <alignment horizontal="center" readingOrder="0" vertical="bottom"/>
    </xf>
    <xf borderId="1" fillId="3" fontId="3" numFmtId="0" xfId="0" applyAlignment="1" applyBorder="1" applyFont="1">
      <alignment horizontal="center" readingOrder="0"/>
    </xf>
    <xf borderId="1" fillId="3" fontId="3" numFmtId="3" xfId="0" applyAlignment="1" applyBorder="1" applyFont="1" applyNumberFormat="1">
      <alignment horizontal="center" readingOrder="0"/>
    </xf>
    <xf borderId="1" fillId="0" fontId="10" numFmtId="0" xfId="0" applyAlignment="1" applyBorder="1" applyFont="1">
      <alignment readingOrder="0"/>
    </xf>
    <xf borderId="1" fillId="3" fontId="11" numFmtId="0" xfId="0" applyAlignment="1" applyBorder="1" applyFont="1">
      <alignment horizontal="center" readingOrder="0"/>
    </xf>
    <xf borderId="1" fillId="8" fontId="11" numFmtId="0" xfId="0" applyAlignment="1" applyBorder="1" applyFont="1">
      <alignment horizontal="center" readingOrder="0"/>
    </xf>
    <xf borderId="1" fillId="8" fontId="3" numFmtId="0" xfId="0" applyAlignment="1" applyBorder="1" applyFont="1">
      <alignment horizontal="center" readingOrder="0"/>
    </xf>
    <xf borderId="1" fillId="11" fontId="12" numFmtId="0" xfId="0" applyAlignment="1" applyBorder="1" applyFont="1">
      <alignment horizontal="center" readingOrder="0"/>
    </xf>
    <xf borderId="1" fillId="11" fontId="3" numFmtId="0" xfId="0" applyAlignment="1" applyBorder="1" applyFont="1">
      <alignment horizontal="center" readingOrder="0"/>
    </xf>
    <xf borderId="7" fillId="0" fontId="3" numFmtId="0" xfId="0" applyBorder="1" applyFont="1"/>
    <xf borderId="1" fillId="6" fontId="7" numFmtId="0" xfId="0" applyAlignment="1" applyBorder="1" applyFont="1">
      <alignment horizontal="center" readingOrder="0" vertical="bottom"/>
    </xf>
    <xf borderId="1" fillId="5" fontId="7" numFmtId="0" xfId="0" applyAlignment="1" applyBorder="1" applyFont="1">
      <alignment horizontal="center" readingOrder="0" vertical="bottom"/>
    </xf>
    <xf borderId="1" fillId="12" fontId="7" numFmtId="0" xfId="0" applyAlignment="1" applyBorder="1" applyFill="1" applyFont="1">
      <alignment horizontal="center" vertical="bottom"/>
    </xf>
    <xf borderId="5" fillId="0" fontId="3" numFmtId="0" xfId="0" applyBorder="1" applyFont="1"/>
    <xf borderId="1" fillId="3" fontId="3" numFmtId="0" xfId="0" applyAlignment="1" applyBorder="1" applyFont="1">
      <alignment horizontal="left" readingOrder="0"/>
    </xf>
    <xf borderId="1" fillId="11" fontId="13" numFmtId="0" xfId="0" applyAlignment="1" applyBorder="1" applyFont="1">
      <alignment horizontal="center" readingOrder="0"/>
    </xf>
    <xf borderId="1" fillId="0" fontId="3" numFmtId="0" xfId="0" applyAlignment="1" applyBorder="1" applyFont="1">
      <alignment horizontal="center" readingOrder="0"/>
    </xf>
    <xf borderId="1" fillId="0" fontId="1" numFmtId="166" xfId="0" applyAlignment="1" applyBorder="1" applyFont="1" applyNumberFormat="1">
      <alignment horizontal="center" readingOrder="0"/>
    </xf>
    <xf borderId="8" fillId="8" fontId="7" numFmtId="0" xfId="0" applyAlignment="1" applyBorder="1" applyFont="1">
      <alignment horizontal="center" readingOrder="0" vertical="bottom"/>
    </xf>
    <xf borderId="0" fillId="0" fontId="3" numFmtId="166" xfId="0" applyAlignment="1" applyFont="1" applyNumberFormat="1">
      <alignment horizontal="center"/>
    </xf>
    <xf borderId="9" fillId="0" fontId="7" numFmtId="0" xfId="0" applyAlignment="1" applyBorder="1" applyFont="1">
      <alignment vertical="bottom"/>
    </xf>
    <xf borderId="0" fillId="0" fontId="7" numFmtId="0" xfId="0" applyAlignment="1" applyFont="1">
      <alignment vertical="bottom"/>
    </xf>
    <xf borderId="0" fillId="0" fontId="7" numFmtId="0" xfId="0" applyAlignment="1" applyFont="1">
      <alignment vertical="bottom"/>
    </xf>
    <xf borderId="10" fillId="3" fontId="7" numFmtId="0" xfId="0" applyAlignment="1" applyBorder="1" applyFont="1">
      <alignment horizontal="center" readingOrder="0" vertical="bottom"/>
    </xf>
    <xf borderId="8" fillId="3" fontId="7" numFmtId="0" xfId="0" applyAlignment="1" applyBorder="1" applyFont="1">
      <alignment horizontal="center" readingOrder="0" vertical="bottom"/>
    </xf>
    <xf borderId="1" fillId="11" fontId="7" numFmtId="0" xfId="0" applyAlignment="1" applyBorder="1" applyFont="1">
      <alignment horizontal="center" readingOrder="0"/>
    </xf>
    <xf borderId="1" fillId="11" fontId="3" numFmtId="0" xfId="0" applyAlignment="1" applyBorder="1" applyFont="1">
      <alignment horizontal="center"/>
    </xf>
    <xf borderId="5" fillId="3" fontId="7" numFmtId="0" xfId="0" applyAlignment="1" applyBorder="1" applyFont="1">
      <alignment horizontal="center" readingOrder="0" vertical="bottom"/>
    </xf>
    <xf borderId="1" fillId="11" fontId="7" numFmtId="0" xfId="0" applyAlignment="1" applyBorder="1" applyFont="1">
      <alignment horizontal="center"/>
    </xf>
    <xf borderId="1" fillId="8" fontId="3" numFmtId="0" xfId="0" applyAlignment="1" applyBorder="1" applyFont="1">
      <alignment horizontal="center"/>
    </xf>
    <xf borderId="1" fillId="3" fontId="3" numFmtId="0" xfId="0" applyAlignment="1" applyBorder="1" applyFont="1">
      <alignment horizontal="center"/>
    </xf>
    <xf borderId="9" fillId="0" fontId="7" numFmtId="0" xfId="0" applyAlignment="1" applyBorder="1" applyFont="1">
      <alignment vertical="bottom"/>
    </xf>
    <xf borderId="1" fillId="3" fontId="7" numFmtId="0" xfId="0" applyAlignment="1" applyBorder="1" applyFont="1">
      <alignment horizontal="left" readingOrder="0" vertical="bottom"/>
    </xf>
    <xf borderId="5" fillId="3" fontId="7" numFmtId="0" xfId="0" applyAlignment="1" applyBorder="1" applyFont="1">
      <alignment horizontal="left" readingOrder="0" vertical="bottom"/>
    </xf>
    <xf borderId="1" fillId="3" fontId="3" numFmtId="0" xfId="0" applyAlignment="1" applyBorder="1" applyFont="1">
      <alignment horizontal="left"/>
    </xf>
    <xf borderId="0" fillId="0" fontId="3" numFmtId="0" xfId="0" applyAlignment="1" applyFont="1">
      <alignment horizontal="left"/>
    </xf>
    <xf borderId="0" fillId="3" fontId="3" numFmtId="0" xfId="0" applyFont="1"/>
    <xf borderId="0" fillId="3" fontId="3" numFmtId="0" xfId="0" applyAlignment="1" applyFont="1">
      <alignment horizontal="center"/>
    </xf>
    <xf borderId="0" fillId="2" fontId="1" numFmtId="0" xfId="0" applyAlignment="1" applyFont="1">
      <alignment horizontal="center" readingOrder="0" vertical="center"/>
    </xf>
    <xf borderId="0" fillId="0" fontId="1" numFmtId="0" xfId="0" applyAlignment="1" applyFont="1">
      <alignment readingOrder="0" vertical="center"/>
    </xf>
    <xf borderId="0" fillId="2" fontId="1" numFmtId="0" xfId="0" applyAlignment="1" applyFont="1">
      <alignment horizontal="center" shrinkToFit="0" vertical="center" wrapText="1"/>
    </xf>
    <xf borderId="0" fillId="2" fontId="8" numFmtId="0" xfId="0" applyAlignment="1" applyFont="1">
      <alignment horizontal="center" shrinkToFit="0" wrapText="1"/>
    </xf>
    <xf borderId="0" fillId="2" fontId="8" numFmtId="0" xfId="0" applyAlignment="1" applyFont="1">
      <alignment horizontal="center" readingOrder="0" shrinkToFit="0" wrapText="1"/>
    </xf>
    <xf borderId="0" fillId="2" fontId="7" numFmtId="0" xfId="0" applyAlignment="1" applyFont="1">
      <alignment shrinkToFit="0" wrapText="1"/>
    </xf>
    <xf borderId="0" fillId="13" fontId="7" numFmtId="0" xfId="0" applyAlignment="1" applyFill="1" applyFont="1">
      <alignment shrinkToFit="0" wrapText="1"/>
    </xf>
    <xf borderId="0" fillId="2" fontId="7" numFmtId="0" xfId="0" applyAlignment="1" applyFont="1">
      <alignment horizontal="center" shrinkToFit="0" vertical="bottom" wrapText="1"/>
    </xf>
    <xf borderId="0" fillId="3" fontId="3" numFmtId="0" xfId="0" applyAlignment="1" applyFont="1">
      <alignment readingOrder="0"/>
    </xf>
    <xf borderId="1" fillId="3" fontId="1" numFmtId="0" xfId="0" applyAlignment="1" applyBorder="1" applyFont="1">
      <alignment horizontal="center" readingOrder="0"/>
    </xf>
    <xf borderId="1" fillId="3" fontId="8" numFmtId="0" xfId="0" applyAlignment="1" applyBorder="1" applyFont="1">
      <alignment horizontal="center" vertical="bottom"/>
    </xf>
    <xf borderId="1" fillId="3" fontId="8" numFmtId="0" xfId="0" applyAlignment="1" applyBorder="1" applyFont="1">
      <alignment horizontal="center" readingOrder="0" shrinkToFit="0" vertical="bottom" wrapText="1"/>
    </xf>
    <xf borderId="1" fillId="3" fontId="7" numFmtId="0" xfId="0" applyAlignment="1" applyBorder="1" applyFont="1">
      <alignment horizontal="center" readingOrder="0" vertical="bottom"/>
    </xf>
    <xf borderId="1" fillId="3" fontId="7" numFmtId="0" xfId="0" applyAlignment="1" applyBorder="1" applyFont="1">
      <alignment readingOrder="0" vertical="bottom"/>
    </xf>
    <xf borderId="1" fillId="3" fontId="7" numFmtId="0" xfId="0" applyAlignment="1" applyBorder="1" applyFont="1">
      <alignment shrinkToFit="0" wrapText="1"/>
    </xf>
    <xf borderId="1" fillId="3" fontId="7" numFmtId="0" xfId="0" applyAlignment="1" applyBorder="1" applyFont="1">
      <alignment horizontal="center" shrinkToFit="0" wrapText="1"/>
    </xf>
    <xf borderId="1" fillId="3" fontId="7" numFmtId="0" xfId="0" applyAlignment="1" applyBorder="1" applyFont="1">
      <alignment horizontal="center" readingOrder="0" shrinkToFit="0" wrapText="1"/>
    </xf>
    <xf borderId="1" fillId="3" fontId="14" numFmtId="0" xfId="0" applyAlignment="1" applyBorder="1" applyFont="1">
      <alignment readingOrder="0"/>
    </xf>
    <xf borderId="1" fillId="3" fontId="3" numFmtId="167" xfId="0" applyAlignment="1" applyBorder="1" applyFont="1" applyNumberFormat="1">
      <alignment horizontal="center" readingOrder="0"/>
    </xf>
    <xf borderId="1" fillId="3" fontId="7" numFmtId="10" xfId="0" applyAlignment="1" applyBorder="1" applyFont="1" applyNumberFormat="1">
      <alignment readingOrder="0" vertical="bottom"/>
    </xf>
    <xf borderId="1" fillId="14" fontId="7" numFmtId="0" xfId="0" applyAlignment="1" applyBorder="1" applyFill="1" applyFont="1">
      <alignment horizontal="center" readingOrder="0" vertical="bottom"/>
    </xf>
    <xf borderId="1" fillId="14" fontId="7" numFmtId="0" xfId="0" applyAlignment="1" applyBorder="1" applyFont="1">
      <alignment readingOrder="0" vertical="bottom"/>
    </xf>
    <xf borderId="1" fillId="14" fontId="3" numFmtId="0" xfId="0" applyAlignment="1" applyBorder="1" applyFont="1">
      <alignment horizontal="center" readingOrder="0"/>
    </xf>
    <xf borderId="1" fillId="14" fontId="3" numFmtId="0" xfId="0" applyAlignment="1" applyBorder="1" applyFont="1">
      <alignment horizontal="left" readingOrder="0"/>
    </xf>
    <xf borderId="1" fillId="14" fontId="7" numFmtId="0" xfId="0" applyAlignment="1" applyBorder="1" applyFont="1">
      <alignment horizontal="center" vertical="bottom"/>
    </xf>
    <xf borderId="1" fillId="14" fontId="7" numFmtId="0" xfId="0" applyAlignment="1" applyBorder="1" applyFont="1">
      <alignment shrinkToFit="0" wrapText="1"/>
    </xf>
    <xf borderId="1" fillId="14" fontId="7" numFmtId="0" xfId="0" applyAlignment="1" applyBorder="1" applyFont="1">
      <alignment horizontal="center" shrinkToFit="0" wrapText="1"/>
    </xf>
    <xf borderId="1" fillId="15" fontId="7" numFmtId="0" xfId="0" applyAlignment="1" applyBorder="1" applyFill="1" applyFont="1">
      <alignment horizontal="center" readingOrder="0" vertical="bottom"/>
    </xf>
    <xf borderId="1" fillId="15" fontId="7" numFmtId="0" xfId="0" applyAlignment="1" applyBorder="1" applyFont="1">
      <alignment readingOrder="0" vertical="bottom"/>
    </xf>
    <xf borderId="1" fillId="15" fontId="3" numFmtId="0" xfId="0" applyAlignment="1" applyBorder="1" applyFont="1">
      <alignment horizontal="center" readingOrder="0"/>
    </xf>
    <xf borderId="1" fillId="15" fontId="3" numFmtId="0" xfId="0" applyAlignment="1" applyBorder="1" applyFont="1">
      <alignment horizontal="left" readingOrder="0"/>
    </xf>
    <xf borderId="1" fillId="15" fontId="7" numFmtId="0" xfId="0" applyAlignment="1" applyBorder="1" applyFont="1">
      <alignment horizontal="center" vertical="bottom"/>
    </xf>
    <xf borderId="1" fillId="15" fontId="7" numFmtId="0" xfId="0" applyAlignment="1" applyBorder="1" applyFont="1">
      <alignment shrinkToFit="0" wrapText="1"/>
    </xf>
    <xf borderId="1" fillId="15" fontId="7" numFmtId="0" xfId="0" applyAlignment="1" applyBorder="1" applyFont="1">
      <alignment horizontal="center" readingOrder="0" shrinkToFit="0" wrapText="1"/>
    </xf>
    <xf borderId="1" fillId="15" fontId="7" numFmtId="0" xfId="0" applyAlignment="1" applyBorder="1" applyFont="1">
      <alignment horizontal="center" shrinkToFit="0" wrapText="1"/>
    </xf>
    <xf borderId="1" fillId="0" fontId="3" numFmtId="0" xfId="0" applyAlignment="1" applyBorder="1" applyFont="1">
      <alignment readingOrder="0"/>
    </xf>
    <xf borderId="1" fillId="0" fontId="3" numFmtId="0" xfId="0" applyBorder="1" applyFont="1"/>
    <xf borderId="0" fillId="3" fontId="10" numFmtId="0" xfId="0" applyAlignment="1" applyFont="1">
      <alignment horizontal="left" readingOrder="0"/>
    </xf>
    <xf borderId="1" fillId="8" fontId="3" numFmtId="0" xfId="0" applyAlignment="1" applyBorder="1" applyFont="1">
      <alignment readingOrder="0"/>
    </xf>
    <xf borderId="0" fillId="0" fontId="1" numFmtId="0" xfId="0" applyAlignment="1" applyFont="1">
      <alignment readingOrder="0"/>
    </xf>
    <xf borderId="0" fillId="0" fontId="1" numFmtId="0" xfId="0" applyAlignment="1" applyFont="1">
      <alignment horizontal="center" readingOrder="0"/>
    </xf>
    <xf borderId="0" fillId="2" fontId="1" numFmtId="0" xfId="0" applyAlignment="1" applyFont="1">
      <alignment horizontal="center"/>
    </xf>
    <xf borderId="0" fillId="3" fontId="1" numFmtId="0" xfId="0" applyAlignment="1" applyFont="1">
      <alignment horizontal="center" readingOrder="0"/>
    </xf>
    <xf borderId="0" fillId="6" fontId="3" numFmtId="0" xfId="0" applyFont="1"/>
    <xf borderId="0" fillId="6" fontId="3" numFmtId="0" xfId="0" applyAlignment="1" applyFont="1">
      <alignment horizontal="center"/>
    </xf>
    <xf borderId="0" fillId="0" fontId="3" numFmtId="0" xfId="0" applyAlignment="1" applyFont="1">
      <alignment horizontal="center" readingOrder="0"/>
    </xf>
    <xf borderId="0" fillId="0" fontId="3" numFmtId="10" xfId="0" applyFont="1" applyNumberFormat="1"/>
    <xf borderId="0" fillId="0" fontId="3" numFmtId="167" xfId="0" applyFont="1" applyNumberFormat="1"/>
    <xf borderId="0" fillId="3" fontId="3" numFmtId="0" xfId="0" applyAlignment="1" applyFont="1">
      <alignment readingOrder="0" shrinkToFit="0" wrapText="1"/>
    </xf>
    <xf borderId="0" fillId="3" fontId="15" numFmtId="0" xfId="0" applyAlignment="1" applyFont="1">
      <alignment horizontal="center" shrinkToFit="0" wrapText="1"/>
    </xf>
    <xf borderId="0" fillId="3" fontId="3" numFmtId="0" xfId="0" applyAlignment="1" applyFont="1">
      <alignment shrinkToFit="0" wrapText="1"/>
    </xf>
    <xf borderId="11" fillId="16" fontId="15" numFmtId="0" xfId="0" applyAlignment="1" applyBorder="1" applyFill="1" applyFont="1">
      <alignment horizontal="center" shrinkToFit="0" wrapText="1"/>
    </xf>
    <xf borderId="12" fillId="0" fontId="3" numFmtId="0" xfId="0" applyBorder="1" applyFont="1"/>
    <xf borderId="10" fillId="0" fontId="3" numFmtId="0" xfId="0" applyBorder="1" applyFont="1"/>
    <xf borderId="0" fillId="0" fontId="16" numFmtId="0" xfId="0" applyAlignment="1" applyFont="1">
      <alignment horizontal="center" shrinkToFit="0" wrapText="1"/>
    </xf>
    <xf borderId="0" fillId="0" fontId="7" numFmtId="0" xfId="0" applyAlignment="1" applyFont="1">
      <alignment shrinkToFit="0" vertical="bottom" wrapText="1"/>
    </xf>
    <xf borderId="9" fillId="0" fontId="7" numFmtId="0" xfId="0" applyAlignment="1" applyBorder="1" applyFont="1">
      <alignment shrinkToFit="0" vertical="bottom" wrapText="1"/>
    </xf>
    <xf borderId="0" fillId="0" fontId="1" numFmtId="0" xfId="0" applyAlignment="1" applyFont="1">
      <alignment horizontal="center" readingOrder="0" shrinkToFit="0" wrapText="1"/>
    </xf>
    <xf borderId="1" fillId="0" fontId="3" numFmtId="0" xfId="0" applyAlignment="1" applyBorder="1" applyFont="1">
      <alignment horizontal="center" readingOrder="0" shrinkToFit="0" wrapText="1"/>
    </xf>
    <xf borderId="1" fillId="0" fontId="1" numFmtId="0" xfId="0" applyAlignment="1" applyBorder="1" applyFont="1">
      <alignment horizontal="center" readingOrder="0" shrinkToFit="0" wrapText="1"/>
    </xf>
    <xf borderId="0" fillId="0" fontId="7" numFmtId="0" xfId="0" applyAlignment="1" applyFont="1">
      <alignment shrinkToFit="0" vertical="bottom" wrapText="1"/>
    </xf>
    <xf borderId="9" fillId="0" fontId="7" numFmtId="0" xfId="0" applyAlignment="1" applyBorder="1" applyFont="1">
      <alignment shrinkToFit="0" vertical="bottom" wrapText="1"/>
    </xf>
    <xf borderId="0" fillId="0" fontId="17" numFmtId="0" xfId="0" applyAlignment="1" applyFont="1">
      <alignment horizontal="center" shrinkToFit="0" vertical="center" wrapText="1"/>
    </xf>
    <xf borderId="1" fillId="0" fontId="3" numFmtId="0" xfId="0" applyAlignment="1" applyBorder="1" applyFont="1">
      <alignment horizontal="center" shrinkToFit="0" wrapText="1"/>
    </xf>
    <xf borderId="6" fillId="0"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0" fillId="0" fontId="7" numFmtId="0" xfId="0" applyAlignment="1" applyFont="1">
      <alignment shrinkToFit="0" wrapText="1"/>
    </xf>
    <xf borderId="0" fillId="0" fontId="3" numFmtId="0" xfId="0" applyAlignment="1" applyFont="1">
      <alignment horizontal="center" shrinkToFit="0" wrapText="1"/>
    </xf>
    <xf borderId="1" fillId="0" fontId="19" numFmtId="0" xfId="0" applyAlignment="1" applyBorder="1" applyFont="1">
      <alignment horizontal="center" shrinkToFit="0" wrapText="1"/>
    </xf>
    <xf borderId="0" fillId="0" fontId="1" numFmtId="1" xfId="0" applyAlignment="1" applyFont="1" applyNumberFormat="1">
      <alignment horizontal="center" readingOrder="0"/>
    </xf>
    <xf borderId="0" fillId="0" fontId="1" numFmtId="0" xfId="0" applyFont="1"/>
    <xf borderId="0" fillId="6" fontId="1" numFmtId="0" xfId="0" applyFont="1"/>
    <xf borderId="0" fillId="0" fontId="1" numFmtId="1" xfId="0" applyAlignment="1" applyFont="1" applyNumberFormat="1">
      <alignment horizontal="center"/>
    </xf>
    <xf borderId="0" fillId="0" fontId="3" numFmtId="1" xfId="0" applyAlignment="1" applyFont="1" applyNumberFormat="1">
      <alignment horizontal="center"/>
    </xf>
    <xf borderId="0" fillId="2" fontId="3" numFmtId="0" xfId="0" applyAlignment="1" applyFont="1">
      <alignment readingOrder="0"/>
    </xf>
    <xf borderId="1" fillId="3" fontId="20" numFmtId="1" xfId="0" applyAlignment="1" applyBorder="1" applyFont="1" applyNumberFormat="1">
      <alignment horizontal="center" readingOrder="0" vertical="center"/>
    </xf>
    <xf borderId="0" fillId="2" fontId="3" numFmtId="0" xfId="0" applyFont="1"/>
    <xf borderId="0" fillId="3" fontId="7" numFmtId="0" xfId="0" applyAlignment="1" applyFont="1">
      <alignment horizontal="center" vertical="bottom"/>
    </xf>
    <xf borderId="0" fillId="3" fontId="7" numFmtId="0" xfId="0" applyAlignment="1" applyFont="1">
      <alignment horizontal="center" vertical="bottom"/>
    </xf>
    <xf borderId="0" fillId="3" fontId="21" numFmtId="0" xfId="0" applyAlignment="1" applyFont="1">
      <alignment horizontal="right" vertical="bottom"/>
    </xf>
    <xf borderId="0" fillId="0" fontId="22" numFmtId="49" xfId="0" applyAlignment="1" applyFont="1" applyNumberFormat="1">
      <alignment horizontal="center" readingOrder="0" shrinkToFit="0" vertical="center" wrapText="1"/>
    </xf>
    <xf borderId="0" fillId="3" fontId="22" numFmtId="0" xfId="0" applyAlignment="1" applyFont="1">
      <alignment horizontal="center" readingOrder="0" shrinkToFit="0" vertical="center" wrapText="1"/>
    </xf>
    <xf borderId="0" fillId="3" fontId="22" numFmtId="1" xfId="0" applyAlignment="1" applyFont="1" applyNumberFormat="1">
      <alignment horizontal="center" readingOrder="0" shrinkToFit="0" vertical="center" wrapText="1"/>
    </xf>
    <xf borderId="0" fillId="3" fontId="22" numFmtId="166" xfId="0" applyAlignment="1" applyFont="1" applyNumberFormat="1">
      <alignment horizontal="center" readingOrder="0" shrinkToFit="0" vertical="center" wrapText="1"/>
    </xf>
    <xf borderId="1" fillId="6" fontId="20" numFmtId="49" xfId="0" applyAlignment="1" applyBorder="1" applyFont="1" applyNumberFormat="1">
      <alignment readingOrder="0" vertical="center"/>
    </xf>
    <xf borderId="1" fillId="3" fontId="20" numFmtId="0" xfId="0" applyAlignment="1" applyBorder="1" applyFont="1">
      <alignment horizontal="center" vertical="center"/>
    </xf>
    <xf borderId="1" fillId="3" fontId="23" numFmtId="1" xfId="0" applyAlignment="1" applyBorder="1" applyFont="1" applyNumberFormat="1">
      <alignment horizontal="center" vertical="center"/>
    </xf>
    <xf borderId="1" fillId="3" fontId="0" numFmtId="1" xfId="0" applyAlignment="1" applyBorder="1" applyFont="1" applyNumberFormat="1">
      <alignment horizontal="center" readingOrder="0" vertical="center"/>
    </xf>
    <xf borderId="1" fillId="3" fontId="0" numFmtId="166" xfId="0" applyAlignment="1" applyBorder="1" applyFont="1" applyNumberFormat="1">
      <alignment horizontal="center" readingOrder="0" vertical="center"/>
    </xf>
    <xf borderId="1" fillId="3" fontId="20" numFmtId="49" xfId="0" applyAlignment="1" applyBorder="1" applyFont="1" applyNumberFormat="1">
      <alignment readingOrder="0" vertical="center"/>
    </xf>
    <xf borderId="1" fillId="0" fontId="20" numFmtId="49" xfId="0" applyAlignment="1" applyBorder="1" applyFont="1" applyNumberFormat="1">
      <alignment readingOrder="0" vertical="center"/>
    </xf>
    <xf borderId="1" fillId="0" fontId="20" numFmtId="0" xfId="0" applyAlignment="1" applyBorder="1" applyFont="1">
      <alignment readingOrder="0" vertical="center"/>
    </xf>
    <xf borderId="1" fillId="3" fontId="11" numFmtId="0" xfId="0" applyAlignment="1" applyBorder="1" applyFont="1">
      <alignment horizontal="left" readingOrder="0"/>
    </xf>
    <xf borderId="0" fillId="0" fontId="20" numFmtId="49" xfId="0" applyAlignment="1" applyFont="1" applyNumberFormat="1">
      <alignment readingOrder="0" vertical="center"/>
    </xf>
    <xf borderId="0" fillId="3" fontId="20" numFmtId="0" xfId="0" applyAlignment="1" applyFont="1">
      <alignment horizontal="center" vertical="center"/>
    </xf>
    <xf borderId="0" fillId="3" fontId="23" numFmtId="1" xfId="0" applyAlignment="1" applyFont="1" applyNumberFormat="1">
      <alignment horizontal="center" vertical="center"/>
    </xf>
    <xf borderId="0" fillId="3" fontId="0" numFmtId="1" xfId="0" applyAlignment="1" applyFont="1" applyNumberFormat="1">
      <alignment horizontal="center" readingOrder="0" vertical="center"/>
    </xf>
    <xf borderId="0" fillId="3" fontId="0" numFmtId="166" xfId="0" applyAlignment="1" applyFont="1" applyNumberFormat="1">
      <alignment horizontal="center" readingOrder="0" vertical="center"/>
    </xf>
    <xf borderId="0" fillId="0" fontId="3" numFmtId="49" xfId="0" applyAlignment="1" applyFont="1" applyNumberFormat="1">
      <alignment readingOrder="0"/>
    </xf>
    <xf borderId="0" fillId="0" fontId="24" numFmtId="0" xfId="0" applyAlignment="1" applyFont="1">
      <alignment horizontal="center" readingOrder="0"/>
    </xf>
    <xf borderId="0" fillId="0" fontId="24" numFmtId="0" xfId="0" applyFont="1"/>
    <xf borderId="0" fillId="0" fontId="25" numFmtId="0" xfId="0" applyAlignment="1" applyFont="1">
      <alignment horizontal="center" readingOrder="0" shrinkToFit="0" vertical="top" wrapText="0"/>
    </xf>
    <xf borderId="0" fillId="3" fontId="26" numFmtId="0" xfId="0" applyAlignment="1" applyFont="1">
      <alignment horizontal="left" readingOrder="0"/>
    </xf>
    <xf borderId="0" fillId="3" fontId="26" numFmtId="0" xfId="0" applyAlignment="1" applyFont="1">
      <alignment horizontal="center" readingOrder="0"/>
    </xf>
    <xf borderId="0" fillId="0" fontId="24" numFmtId="0" xfId="0" applyAlignment="1" applyFont="1">
      <alignment readingOrder="0"/>
    </xf>
    <xf borderId="0" fillId="0" fontId="24" numFmtId="0" xfId="0" applyAlignment="1" applyFont="1">
      <alignment horizontal="center"/>
    </xf>
    <xf borderId="0" fillId="17" fontId="1" numFmtId="0" xfId="0" applyAlignment="1" applyFill="1" applyFont="1">
      <alignment readingOrder="0"/>
    </xf>
    <xf borderId="0" fillId="17" fontId="1" numFmtId="0" xfId="0" applyAlignment="1" applyFont="1">
      <alignment horizontal="center" readingOrder="0"/>
    </xf>
    <xf borderId="1" fillId="17" fontId="1" numFmtId="166" xfId="0" applyAlignment="1" applyBorder="1" applyFont="1" applyNumberFormat="1">
      <alignment horizontal="center" readingOrder="0"/>
    </xf>
    <xf borderId="1" fillId="17" fontId="3" numFmtId="0" xfId="0" applyAlignment="1" applyBorder="1" applyFont="1">
      <alignment horizontal="center" readingOrder="0"/>
    </xf>
    <xf borderId="1" fillId="17" fontId="3" numFmtId="0" xfId="0" applyAlignment="1" applyBorder="1" applyFont="1">
      <alignment horizontal="center" readingOrder="0"/>
    </xf>
    <xf borderId="0" fillId="17" fontId="3" numFmtId="0" xfId="0" applyFont="1"/>
    <xf borderId="0" fillId="17" fontId="3" numFmtId="0" xfId="0" applyAlignment="1" applyFont="1">
      <alignment horizontal="center"/>
    </xf>
    <xf borderId="0" fillId="17" fontId="3" numFmtId="0" xfId="0" applyAlignment="1" applyFont="1">
      <alignment horizontal="center" readingOrder="0"/>
    </xf>
    <xf borderId="1" fillId="13" fontId="3" numFmtId="0" xfId="0" applyAlignment="1" applyBorder="1" applyFont="1">
      <alignment horizontal="center" readingOrder="0"/>
    </xf>
    <xf borderId="1" fillId="13" fontId="3" numFmtId="0" xfId="0" applyAlignment="1" applyBorder="1" applyFont="1">
      <alignment horizontal="center" readingOrder="0"/>
    </xf>
    <xf borderId="0" fillId="13" fontId="1" numFmtId="0" xfId="0" applyAlignment="1" applyFont="1">
      <alignment readingOrder="0"/>
    </xf>
    <xf borderId="0" fillId="13" fontId="1" numFmtId="0" xfId="0" applyAlignment="1" applyFont="1">
      <alignment horizontal="center" readingOrder="0"/>
    </xf>
    <xf borderId="1" fillId="13" fontId="1" numFmtId="166" xfId="0" applyAlignment="1" applyBorder="1" applyFont="1" applyNumberFormat="1">
      <alignment horizontal="center" readingOrder="0"/>
    </xf>
    <xf borderId="0" fillId="13" fontId="3" numFmtId="0" xfId="0" applyFont="1"/>
    <xf borderId="0" fillId="13" fontId="3" numFmtId="0" xfId="0" applyAlignment="1" applyFont="1">
      <alignment horizontal="center"/>
    </xf>
    <xf borderId="0" fillId="13" fontId="3" numFmtId="0" xfId="0" applyAlignment="1" applyFont="1">
      <alignment horizontal="center" readingOrder="0"/>
    </xf>
    <xf borderId="0" fillId="3" fontId="3" numFmtId="168" xfId="0" applyAlignment="1" applyFont="1" applyNumberFormat="1">
      <alignment horizontal="center" readingOrder="0"/>
    </xf>
    <xf borderId="1" fillId="18" fontId="3" numFmtId="0" xfId="0" applyAlignment="1" applyBorder="1" applyFill="1" applyFont="1">
      <alignment horizontal="center" readingOrder="0"/>
    </xf>
    <xf borderId="1" fillId="18" fontId="3" numFmtId="0" xfId="0" applyAlignment="1" applyBorder="1" applyFont="1">
      <alignment horizontal="center" readingOrder="0"/>
    </xf>
    <xf borderId="0" fillId="18" fontId="1" numFmtId="0" xfId="0" applyAlignment="1" applyFont="1">
      <alignment readingOrder="0"/>
    </xf>
    <xf borderId="0" fillId="18" fontId="1" numFmtId="0" xfId="0" applyAlignment="1" applyFont="1">
      <alignment horizontal="center" readingOrder="0"/>
    </xf>
    <xf borderId="1" fillId="18" fontId="1" numFmtId="166" xfId="0" applyAlignment="1" applyBorder="1" applyFont="1" applyNumberFormat="1">
      <alignment horizontal="center" readingOrder="0"/>
    </xf>
    <xf borderId="0" fillId="18" fontId="3" numFmtId="0" xfId="0" applyAlignment="1" applyFont="1">
      <alignment readingOrder="0"/>
    </xf>
    <xf borderId="0" fillId="18" fontId="3" numFmtId="0" xfId="0" applyAlignment="1" applyFont="1">
      <alignment horizontal="center"/>
    </xf>
    <xf borderId="0" fillId="18" fontId="3" numFmtId="0" xfId="0" applyAlignment="1" applyFont="1">
      <alignment horizontal="center" readingOrder="0"/>
    </xf>
    <xf borderId="0" fillId="18" fontId="3" numFmtId="0" xfId="0" applyFont="1"/>
    <xf borderId="1" fillId="0" fontId="1" numFmtId="0" xfId="0" applyAlignment="1" applyBorder="1" applyFont="1">
      <alignment horizontal="center"/>
    </xf>
    <xf borderId="6" fillId="0" fontId="3" numFmtId="0" xfId="0" applyAlignment="1" applyBorder="1" applyFont="1">
      <alignment horizontal="center" readingOrder="0" vertical="center"/>
    </xf>
    <xf borderId="6" fillId="5" fontId="3" numFmtId="0" xfId="0" applyAlignment="1" applyBorder="1" applyFont="1">
      <alignment horizontal="center" vertical="center"/>
    </xf>
    <xf borderId="6" fillId="7" fontId="3" numFmtId="0" xfId="0" applyAlignment="1" applyBorder="1" applyFont="1">
      <alignment horizontal="center" readingOrder="0" vertical="center"/>
    </xf>
    <xf borderId="0" fillId="2" fontId="1" numFmtId="0" xfId="0" applyAlignment="1" applyFont="1">
      <alignment horizontal="center" readingOrder="0"/>
    </xf>
    <xf borderId="1" fillId="3" fontId="10" numFmtId="0" xfId="0" applyAlignment="1" applyBorder="1" applyFont="1">
      <alignment horizontal="left" readingOrder="0"/>
    </xf>
  </cellXfs>
  <cellStyles count="1">
    <cellStyle xfId="0" name="Normal" builtinId="0"/>
  </cellStyles>
  <dxfs count="12">
    <dxf>
      <font/>
      <fill>
        <patternFill patternType="solid">
          <fgColor rgb="FFFF0000"/>
          <bgColor rgb="FFFF0000"/>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FF9900"/>
          <bgColor rgb="FFFF9900"/>
        </patternFill>
      </fill>
      <border/>
    </dxf>
    <dxf>
      <font/>
      <fill>
        <patternFill patternType="solid">
          <fgColor rgb="FF9900FF"/>
          <bgColor rgb="FF9900FF"/>
        </patternFill>
      </fill>
      <border/>
    </dxf>
    <dxf>
      <font/>
      <fill>
        <patternFill patternType="solid">
          <fgColor rgb="FF00FFFF"/>
          <bgColor rgb="FF00FFFF"/>
        </patternFill>
      </fill>
      <border/>
    </dxf>
    <dxf>
      <font/>
      <fill>
        <patternFill patternType="solid">
          <fgColor rgb="FFFFFF00"/>
          <bgColor rgb="FFFFFF00"/>
        </patternFill>
      </fill>
      <border/>
    </dxf>
    <dxf>
      <font/>
      <fill>
        <patternFill patternType="solid">
          <fgColor rgb="FFFF00FF"/>
          <bgColor rgb="FFFF00FF"/>
        </patternFill>
      </fill>
      <border/>
    </dxf>
    <dxf>
      <font/>
      <fill>
        <patternFill patternType="solid">
          <fgColor rgb="FFFFFFFF"/>
          <bgColor rgb="FFFFFFFF"/>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Task id="{d5e1bbf1-bc9e-4cfe-9eb5-1041c87a5795}">
    <Anchor>
      <Comment id="{1472463c-3723-40cc-8504-324f781529b6}"/>
    </Anchor>
    <History>
      <Event time="2024-05-29T14:24:15.00" id="{34ef3aaf-86c9-4c11-b400-5b703a4f402e}">
        <Attribution userId="placeholder@email.com" userName="Deleted user" userProvider="google-sheets"/>
        <Anchor>
          <Comment id="{1472463c-3723-40cc-8504-324f781529b6}"/>
        </Anchor>
        <Create/>
      </Event>
      <Event time="2024-05-29T14:24:15.00" id="{04e5ea50-fd18-4403-b7a9-d5a1997cc776}">
        <Attribution userId="placeholder@email.com" userName="Deleted user" userProvider="google-sheets"/>
        <Anchor>
          <Comment id="{1472463c-3723-40cc-8504-324f781529b6}"/>
        </Anchor>
        <Assign userId="acastaneda@columbus.edu.co" userName="acastaneda@columbus.edu.co"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castaneda@columbus.edu.co" id="{d6a48755-413b-4fc0-937a-32f2d130f796}" userId="acastaneda@columbus.edu.co" providerId="google-sheets"/>
  <x18tc:person displayName="Deleted user" id="{2bd0ee9e-9aad-43c9-ac0b-9891009c6501}"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73" dT="2024-05-29T14:24:15.00" personId="{2bd0ee9e-9aad-43c9-ac0b-9891009c6501}" id="{1472463c-3723-40cc-8504-324f781529b6}" done="0">
    <x18tc:text xml:space="preserve">@acastaneda@columbus.edu.co switch Nasli and the no name. The new 6th grade sociales teacher is Sebastian Guerra.
Assigned to acastaneda@columbus.edu.co</x18tc:text>
    <x18tc:mentions>
      <x18tc:mention mentionpersonId="{d6a48755-413b-4fc0-937a-32f2d130f796}" mentionId="{4738db4b-7697-43c2-b710-2bf0e13856d1}" startIndex="0" length="2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6GYrOnmvNfbJ_jtHibGTLTPlqXhTD9JnpG-OaEPZiY/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1.xml"/><Relationship Id="rId5"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0"/>
    <col customWidth="1" min="2" max="2" width="24.38"/>
    <col customWidth="1" min="3" max="3" width="30.5"/>
    <col customWidth="1" min="4" max="4" width="14.25"/>
    <col customWidth="1" min="6" max="7" width="18.0"/>
  </cols>
  <sheetData>
    <row r="1">
      <c r="A1" s="1" t="s">
        <v>0</v>
      </c>
      <c r="B1" s="1" t="s">
        <v>1</v>
      </c>
      <c r="C1" s="1" t="s">
        <v>2</v>
      </c>
      <c r="D1" s="2" t="str">
        <f t="array" ref="D1:D1000">if(ROW(D:D)=1,"Grade Level (Automated)",if(C:C="","",vlookup(C:C,{Students!C:C,Students!A:A},2,false)))</f>
        <v>Grade Level (Automated)</v>
      </c>
      <c r="E1" s="1" t="s">
        <v>3</v>
      </c>
      <c r="F1" s="1" t="s">
        <v>4</v>
      </c>
      <c r="G1" s="3" t="s">
        <v>5</v>
      </c>
    </row>
    <row r="2">
      <c r="A2" s="4" t="s">
        <v>6</v>
      </c>
      <c r="B2" s="5" t="s">
        <v>7</v>
      </c>
      <c r="D2" s="6" t="s">
        <v>8</v>
      </c>
      <c r="F2" s="7">
        <v>45037.0</v>
      </c>
    </row>
    <row r="3">
      <c r="A3" s="5" t="s">
        <v>9</v>
      </c>
      <c r="B3" s="5" t="s">
        <v>7</v>
      </c>
      <c r="D3" s="8" t="s">
        <v>8</v>
      </c>
    </row>
    <row r="4">
      <c r="A4" s="5" t="s">
        <v>10</v>
      </c>
      <c r="B4" s="5" t="s">
        <v>7</v>
      </c>
      <c r="D4" s="9" t="s">
        <v>8</v>
      </c>
      <c r="E4" s="10"/>
    </row>
    <row r="5">
      <c r="A5" s="5" t="s">
        <v>11</v>
      </c>
      <c r="B5" s="5" t="s">
        <v>7</v>
      </c>
      <c r="D5" s="8" t="s">
        <v>8</v>
      </c>
    </row>
    <row r="6">
      <c r="A6" s="5" t="s">
        <v>12</v>
      </c>
      <c r="B6" s="5" t="s">
        <v>13</v>
      </c>
      <c r="D6" s="8" t="s">
        <v>8</v>
      </c>
    </row>
    <row r="7">
      <c r="A7" s="5" t="s">
        <v>14</v>
      </c>
      <c r="B7" s="5" t="s">
        <v>7</v>
      </c>
      <c r="D7" s="8" t="s">
        <v>8</v>
      </c>
    </row>
    <row r="8">
      <c r="A8" s="5" t="s">
        <v>15</v>
      </c>
      <c r="B8" s="5" t="s">
        <v>7</v>
      </c>
      <c r="D8" s="8" t="s">
        <v>8</v>
      </c>
    </row>
    <row r="9">
      <c r="A9" s="5" t="s">
        <v>16</v>
      </c>
      <c r="B9" s="5" t="s">
        <v>7</v>
      </c>
      <c r="D9" s="8" t="s">
        <v>8</v>
      </c>
    </row>
    <row r="10">
      <c r="A10" s="11"/>
      <c r="B10" s="11"/>
      <c r="D10" s="8" t="s">
        <v>8</v>
      </c>
    </row>
    <row r="11">
      <c r="A11" s="11"/>
      <c r="B11" s="11"/>
      <c r="D11" s="8" t="s">
        <v>8</v>
      </c>
    </row>
    <row r="12">
      <c r="A12" s="11"/>
      <c r="B12" s="11"/>
      <c r="D12" s="8" t="s">
        <v>8</v>
      </c>
    </row>
    <row r="13">
      <c r="A13" s="11"/>
      <c r="B13" s="11"/>
      <c r="D13" s="8" t="s">
        <v>8</v>
      </c>
    </row>
    <row r="14">
      <c r="A14" s="11"/>
      <c r="B14" s="11"/>
      <c r="D14" s="8" t="s">
        <v>8</v>
      </c>
    </row>
    <row r="15">
      <c r="A15" s="11"/>
      <c r="B15" s="11"/>
      <c r="D15" s="8" t="s">
        <v>8</v>
      </c>
    </row>
    <row r="16">
      <c r="A16" s="11"/>
      <c r="B16" s="11"/>
      <c r="D16" s="8" t="s">
        <v>8</v>
      </c>
    </row>
    <row r="17">
      <c r="A17" s="11"/>
      <c r="B17" s="11"/>
      <c r="D17" s="8" t="s">
        <v>8</v>
      </c>
    </row>
    <row r="18">
      <c r="A18" s="11"/>
      <c r="B18" s="11"/>
      <c r="D18" s="8" t="s">
        <v>8</v>
      </c>
    </row>
    <row r="19">
      <c r="A19" s="11"/>
      <c r="B19" s="11"/>
      <c r="D19" s="8" t="s">
        <v>8</v>
      </c>
    </row>
    <row r="20">
      <c r="A20" s="11"/>
      <c r="B20" s="11"/>
      <c r="D20" s="8" t="s">
        <v>8</v>
      </c>
    </row>
    <row r="21">
      <c r="A21" s="11"/>
      <c r="B21" s="11"/>
      <c r="D21" s="8" t="s">
        <v>8</v>
      </c>
    </row>
    <row r="22">
      <c r="A22" s="11"/>
      <c r="B22" s="11"/>
      <c r="D22" s="8" t="s">
        <v>8</v>
      </c>
    </row>
    <row r="23">
      <c r="A23" s="11"/>
      <c r="B23" s="11"/>
      <c r="D23" s="8" t="s">
        <v>8</v>
      </c>
    </row>
    <row r="24">
      <c r="A24" s="11"/>
      <c r="B24" s="11"/>
      <c r="D24" s="8" t="s">
        <v>8</v>
      </c>
    </row>
    <row r="25">
      <c r="A25" s="11"/>
      <c r="B25" s="11"/>
      <c r="D25" s="8" t="s">
        <v>8</v>
      </c>
    </row>
    <row r="26">
      <c r="A26" s="11"/>
      <c r="B26" s="11"/>
      <c r="D26" s="8" t="s">
        <v>8</v>
      </c>
    </row>
    <row r="27">
      <c r="A27" s="11"/>
      <c r="B27" s="11"/>
      <c r="D27" s="8" t="s">
        <v>8</v>
      </c>
    </row>
    <row r="28">
      <c r="A28" s="11"/>
      <c r="B28" s="11"/>
      <c r="D28" s="8" t="s">
        <v>8</v>
      </c>
    </row>
    <row r="29">
      <c r="A29" s="11"/>
      <c r="B29" s="11"/>
      <c r="D29" s="8" t="s">
        <v>8</v>
      </c>
    </row>
    <row r="30">
      <c r="A30" s="11"/>
      <c r="B30" s="11"/>
      <c r="D30" s="8" t="s">
        <v>8</v>
      </c>
    </row>
    <row r="31">
      <c r="A31" s="11"/>
      <c r="B31" s="11"/>
      <c r="D31" s="8" t="s">
        <v>8</v>
      </c>
    </row>
    <row r="32">
      <c r="A32" s="11"/>
      <c r="B32" s="11"/>
      <c r="D32" s="8" t="s">
        <v>8</v>
      </c>
    </row>
    <row r="33">
      <c r="A33" s="11"/>
      <c r="B33" s="11"/>
      <c r="D33" s="8" t="s">
        <v>8</v>
      </c>
    </row>
    <row r="34">
      <c r="A34" s="11"/>
      <c r="B34" s="11"/>
      <c r="D34" s="8" t="s">
        <v>8</v>
      </c>
    </row>
    <row r="35">
      <c r="A35" s="11"/>
      <c r="B35" s="11"/>
      <c r="D35" s="8" t="s">
        <v>8</v>
      </c>
    </row>
    <row r="36">
      <c r="A36" s="11"/>
      <c r="B36" s="11"/>
      <c r="D36" s="8" t="s">
        <v>8</v>
      </c>
    </row>
    <row r="37">
      <c r="A37" s="11"/>
      <c r="B37" s="11"/>
      <c r="D37" s="8" t="s">
        <v>8</v>
      </c>
    </row>
    <row r="38">
      <c r="A38" s="11"/>
      <c r="B38" s="11"/>
      <c r="D38" s="8" t="s">
        <v>8</v>
      </c>
    </row>
    <row r="39">
      <c r="A39" s="11"/>
      <c r="B39" s="11"/>
      <c r="D39" s="8" t="s">
        <v>8</v>
      </c>
    </row>
    <row r="40">
      <c r="A40" s="11"/>
      <c r="B40" s="11"/>
      <c r="D40" s="8" t="s">
        <v>8</v>
      </c>
    </row>
    <row r="41">
      <c r="A41" s="11"/>
      <c r="B41" s="11"/>
      <c r="D41" s="8" t="s">
        <v>8</v>
      </c>
    </row>
    <row r="42">
      <c r="A42" s="11"/>
      <c r="B42" s="11"/>
      <c r="D42" s="8" t="s">
        <v>8</v>
      </c>
    </row>
    <row r="43">
      <c r="A43" s="11"/>
      <c r="B43" s="11"/>
      <c r="D43" s="8" t="s">
        <v>8</v>
      </c>
    </row>
    <row r="44">
      <c r="A44" s="11"/>
      <c r="B44" s="11"/>
      <c r="D44" s="8" t="s">
        <v>8</v>
      </c>
    </row>
    <row r="45">
      <c r="A45" s="11"/>
      <c r="B45" s="11"/>
      <c r="D45" s="8" t="s">
        <v>8</v>
      </c>
    </row>
    <row r="46">
      <c r="A46" s="11"/>
      <c r="B46" s="11"/>
      <c r="D46" s="8" t="s">
        <v>8</v>
      </c>
    </row>
    <row r="47">
      <c r="A47" s="11"/>
      <c r="B47" s="11"/>
      <c r="D47" s="8" t="s">
        <v>8</v>
      </c>
    </row>
    <row r="48">
      <c r="A48" s="11"/>
      <c r="B48" s="11"/>
      <c r="D48" s="8" t="s">
        <v>8</v>
      </c>
    </row>
    <row r="49">
      <c r="A49" s="11"/>
      <c r="B49" s="11"/>
      <c r="D49" s="8" t="s">
        <v>8</v>
      </c>
    </row>
    <row r="50">
      <c r="A50" s="11"/>
      <c r="B50" s="11"/>
      <c r="D50" s="8" t="s">
        <v>8</v>
      </c>
    </row>
    <row r="51">
      <c r="A51" s="11"/>
      <c r="B51" s="11"/>
      <c r="D51" s="8" t="s">
        <v>8</v>
      </c>
    </row>
    <row r="52">
      <c r="A52" s="11"/>
      <c r="B52" s="11"/>
      <c r="D52" s="8" t="s">
        <v>8</v>
      </c>
    </row>
    <row r="53">
      <c r="A53" s="11"/>
      <c r="B53" s="11"/>
      <c r="D53" s="8" t="s">
        <v>8</v>
      </c>
    </row>
    <row r="54">
      <c r="A54" s="11"/>
      <c r="B54" s="11"/>
      <c r="D54" s="8" t="s">
        <v>8</v>
      </c>
    </row>
    <row r="55">
      <c r="A55" s="11"/>
      <c r="B55" s="11"/>
      <c r="D55" s="8" t="s">
        <v>8</v>
      </c>
    </row>
    <row r="56">
      <c r="A56" s="11"/>
      <c r="B56" s="11"/>
      <c r="D56" s="8" t="s">
        <v>8</v>
      </c>
    </row>
    <row r="57">
      <c r="A57" s="11"/>
      <c r="B57" s="11"/>
      <c r="D57" s="8" t="s">
        <v>8</v>
      </c>
    </row>
    <row r="58">
      <c r="A58" s="11"/>
      <c r="B58" s="11"/>
      <c r="D58" s="8" t="s">
        <v>8</v>
      </c>
    </row>
    <row r="59">
      <c r="A59" s="11"/>
      <c r="B59" s="11"/>
      <c r="D59" s="8" t="s">
        <v>8</v>
      </c>
    </row>
    <row r="60">
      <c r="A60" s="11"/>
      <c r="B60" s="11"/>
      <c r="D60" s="8" t="s">
        <v>8</v>
      </c>
    </row>
    <row r="61">
      <c r="A61" s="11"/>
      <c r="B61" s="11"/>
      <c r="D61" s="8" t="s">
        <v>8</v>
      </c>
    </row>
    <row r="62">
      <c r="A62" s="11"/>
      <c r="B62" s="11"/>
      <c r="D62" s="8" t="s">
        <v>8</v>
      </c>
    </row>
    <row r="63">
      <c r="A63" s="11"/>
      <c r="B63" s="11"/>
      <c r="D63" s="8" t="s">
        <v>8</v>
      </c>
    </row>
    <row r="64">
      <c r="A64" s="11"/>
      <c r="B64" s="11"/>
      <c r="D64" s="8" t="s">
        <v>8</v>
      </c>
    </row>
    <row r="65">
      <c r="A65" s="11"/>
      <c r="B65" s="11"/>
      <c r="D65" s="8" t="s">
        <v>8</v>
      </c>
    </row>
    <row r="66">
      <c r="A66" s="11"/>
      <c r="B66" s="11"/>
      <c r="D66" s="8" t="s">
        <v>8</v>
      </c>
    </row>
    <row r="67">
      <c r="A67" s="11"/>
      <c r="B67" s="11"/>
      <c r="D67" s="8" t="s">
        <v>8</v>
      </c>
    </row>
    <row r="68">
      <c r="A68" s="11"/>
      <c r="B68" s="11"/>
      <c r="D68" s="8" t="s">
        <v>8</v>
      </c>
    </row>
    <row r="69">
      <c r="A69" s="11"/>
      <c r="B69" s="11"/>
      <c r="D69" s="8" t="s">
        <v>8</v>
      </c>
    </row>
    <row r="70">
      <c r="A70" s="11"/>
      <c r="B70" s="11"/>
      <c r="D70" s="8" t="s">
        <v>8</v>
      </c>
    </row>
    <row r="71">
      <c r="A71" s="11"/>
      <c r="B71" s="11"/>
      <c r="D71" s="8" t="s">
        <v>8</v>
      </c>
    </row>
    <row r="72">
      <c r="A72" s="11"/>
      <c r="B72" s="11"/>
      <c r="D72" s="8" t="s">
        <v>8</v>
      </c>
    </row>
    <row r="73">
      <c r="A73" s="11"/>
      <c r="B73" s="11"/>
      <c r="D73" s="8" t="s">
        <v>8</v>
      </c>
    </row>
    <row r="74">
      <c r="A74" s="11"/>
      <c r="B74" s="11"/>
      <c r="D74" s="8" t="s">
        <v>8</v>
      </c>
    </row>
    <row r="75">
      <c r="A75" s="11"/>
      <c r="B75" s="11"/>
      <c r="D75" s="8" t="s">
        <v>8</v>
      </c>
    </row>
    <row r="76">
      <c r="A76" s="11"/>
      <c r="B76" s="11"/>
      <c r="D76" s="8" t="s">
        <v>8</v>
      </c>
    </row>
    <row r="77">
      <c r="A77" s="11"/>
      <c r="B77" s="11"/>
      <c r="D77" s="8" t="s">
        <v>8</v>
      </c>
    </row>
    <row r="78">
      <c r="A78" s="11"/>
      <c r="B78" s="11"/>
      <c r="D78" s="8" t="s">
        <v>8</v>
      </c>
    </row>
    <row r="79">
      <c r="A79" s="11"/>
      <c r="B79" s="11"/>
      <c r="D79" s="8" t="s">
        <v>8</v>
      </c>
    </row>
    <row r="80">
      <c r="A80" s="11"/>
      <c r="B80" s="11"/>
      <c r="D80" s="8" t="s">
        <v>8</v>
      </c>
    </row>
    <row r="81">
      <c r="A81" s="11"/>
      <c r="B81" s="11"/>
      <c r="D81" s="8" t="s">
        <v>8</v>
      </c>
    </row>
    <row r="82">
      <c r="A82" s="11"/>
      <c r="B82" s="11"/>
      <c r="D82" s="8" t="s">
        <v>8</v>
      </c>
    </row>
    <row r="83">
      <c r="A83" s="11"/>
      <c r="B83" s="11"/>
      <c r="D83" s="8" t="s">
        <v>8</v>
      </c>
    </row>
    <row r="84">
      <c r="A84" s="11"/>
      <c r="B84" s="11"/>
      <c r="D84" s="8" t="s">
        <v>8</v>
      </c>
    </row>
    <row r="85">
      <c r="A85" s="11"/>
      <c r="B85" s="11"/>
      <c r="D85" s="8" t="s">
        <v>8</v>
      </c>
    </row>
    <row r="86">
      <c r="A86" s="11"/>
      <c r="B86" s="11"/>
      <c r="D86" s="8" t="s">
        <v>8</v>
      </c>
    </row>
    <row r="87">
      <c r="A87" s="11"/>
      <c r="B87" s="11"/>
      <c r="D87" s="8" t="s">
        <v>8</v>
      </c>
    </row>
    <row r="88">
      <c r="A88" s="11"/>
      <c r="B88" s="11"/>
      <c r="D88" s="8" t="s">
        <v>8</v>
      </c>
    </row>
    <row r="89">
      <c r="A89" s="11"/>
      <c r="B89" s="11"/>
      <c r="D89" s="8" t="s">
        <v>8</v>
      </c>
    </row>
    <row r="90">
      <c r="A90" s="11"/>
      <c r="B90" s="11"/>
      <c r="D90" s="8" t="s">
        <v>8</v>
      </c>
    </row>
    <row r="91">
      <c r="A91" s="11"/>
      <c r="B91" s="11"/>
      <c r="D91" s="8" t="s">
        <v>8</v>
      </c>
    </row>
    <row r="92">
      <c r="A92" s="11"/>
      <c r="B92" s="11"/>
      <c r="D92" s="8" t="s">
        <v>8</v>
      </c>
    </row>
    <row r="93">
      <c r="A93" s="11"/>
      <c r="B93" s="11"/>
      <c r="D93" s="8" t="s">
        <v>8</v>
      </c>
    </row>
    <row r="94">
      <c r="A94" s="11"/>
      <c r="B94" s="11"/>
      <c r="D94" s="8" t="s">
        <v>8</v>
      </c>
    </row>
    <row r="95">
      <c r="A95" s="11"/>
      <c r="B95" s="11"/>
      <c r="D95" s="8" t="s">
        <v>8</v>
      </c>
    </row>
    <row r="96">
      <c r="A96" s="11"/>
      <c r="B96" s="11"/>
      <c r="D96" s="8" t="s">
        <v>8</v>
      </c>
    </row>
    <row r="97">
      <c r="A97" s="11"/>
      <c r="B97" s="11"/>
      <c r="D97" s="8" t="s">
        <v>8</v>
      </c>
    </row>
    <row r="98">
      <c r="A98" s="11"/>
      <c r="B98" s="11"/>
      <c r="D98" s="8" t="s">
        <v>8</v>
      </c>
    </row>
    <row r="99">
      <c r="A99" s="11"/>
      <c r="B99" s="11"/>
      <c r="D99" s="8" t="s">
        <v>8</v>
      </c>
    </row>
    <row r="100">
      <c r="A100" s="11"/>
      <c r="B100" s="11"/>
      <c r="D100" s="8" t="s">
        <v>8</v>
      </c>
    </row>
    <row r="101">
      <c r="A101" s="11"/>
      <c r="B101" s="11"/>
      <c r="D101" s="8" t="s">
        <v>8</v>
      </c>
    </row>
    <row r="102">
      <c r="A102" s="11"/>
      <c r="B102" s="11"/>
      <c r="D102" s="8" t="s">
        <v>8</v>
      </c>
    </row>
    <row r="103">
      <c r="A103" s="11"/>
      <c r="B103" s="11"/>
      <c r="D103" s="8" t="s">
        <v>8</v>
      </c>
    </row>
    <row r="104">
      <c r="A104" s="11"/>
      <c r="B104" s="11"/>
      <c r="D104" s="8" t="s">
        <v>8</v>
      </c>
    </row>
    <row r="105">
      <c r="A105" s="11"/>
      <c r="B105" s="11"/>
      <c r="D105" s="8" t="s">
        <v>8</v>
      </c>
    </row>
    <row r="106">
      <c r="A106" s="11"/>
      <c r="B106" s="11"/>
      <c r="D106" s="8" t="s">
        <v>8</v>
      </c>
    </row>
    <row r="107">
      <c r="A107" s="11"/>
      <c r="B107" s="11"/>
      <c r="D107" s="8" t="s">
        <v>8</v>
      </c>
    </row>
    <row r="108">
      <c r="A108" s="11"/>
      <c r="B108" s="11"/>
      <c r="D108" s="8" t="s">
        <v>8</v>
      </c>
    </row>
    <row r="109">
      <c r="A109" s="11"/>
      <c r="B109" s="11"/>
      <c r="D109" s="8" t="s">
        <v>8</v>
      </c>
    </row>
    <row r="110">
      <c r="A110" s="11"/>
      <c r="B110" s="11"/>
      <c r="D110" s="8" t="s">
        <v>8</v>
      </c>
    </row>
    <row r="111">
      <c r="A111" s="11"/>
      <c r="B111" s="11"/>
      <c r="D111" s="8" t="s">
        <v>8</v>
      </c>
    </row>
    <row r="112">
      <c r="A112" s="11"/>
      <c r="B112" s="11"/>
      <c r="D112" s="8" t="s">
        <v>8</v>
      </c>
    </row>
    <row r="113">
      <c r="A113" s="11"/>
      <c r="B113" s="11"/>
      <c r="D113" s="8" t="s">
        <v>8</v>
      </c>
    </row>
    <row r="114">
      <c r="A114" s="11"/>
      <c r="B114" s="11"/>
      <c r="D114" s="8" t="s">
        <v>8</v>
      </c>
    </row>
    <row r="115">
      <c r="A115" s="11"/>
      <c r="B115" s="11"/>
      <c r="D115" s="8" t="s">
        <v>8</v>
      </c>
    </row>
    <row r="116">
      <c r="A116" s="11"/>
      <c r="B116" s="11"/>
      <c r="D116" s="8" t="s">
        <v>8</v>
      </c>
    </row>
    <row r="117">
      <c r="A117" s="11"/>
      <c r="B117" s="11"/>
      <c r="D117" s="8" t="s">
        <v>8</v>
      </c>
    </row>
    <row r="118">
      <c r="A118" s="11"/>
      <c r="B118" s="11"/>
      <c r="D118" s="8" t="s">
        <v>8</v>
      </c>
    </row>
    <row r="119">
      <c r="A119" s="11"/>
      <c r="B119" s="11"/>
      <c r="D119" s="8" t="s">
        <v>8</v>
      </c>
    </row>
    <row r="120">
      <c r="A120" s="11"/>
      <c r="B120" s="11"/>
      <c r="D120" s="8" t="s">
        <v>8</v>
      </c>
    </row>
    <row r="121">
      <c r="A121" s="11"/>
      <c r="B121" s="11"/>
      <c r="D121" s="8" t="s">
        <v>8</v>
      </c>
    </row>
    <row r="122">
      <c r="A122" s="11"/>
      <c r="B122" s="11"/>
      <c r="D122" s="8" t="s">
        <v>8</v>
      </c>
    </row>
    <row r="123">
      <c r="A123" s="11"/>
      <c r="B123" s="11"/>
      <c r="D123" s="8" t="s">
        <v>8</v>
      </c>
    </row>
    <row r="124">
      <c r="A124" s="11"/>
      <c r="B124" s="11"/>
      <c r="D124" s="8" t="s">
        <v>8</v>
      </c>
    </row>
    <row r="125">
      <c r="A125" s="11"/>
      <c r="B125" s="11"/>
      <c r="D125" s="8" t="s">
        <v>8</v>
      </c>
    </row>
    <row r="126">
      <c r="A126" s="11"/>
      <c r="B126" s="11"/>
      <c r="D126" s="8" t="s">
        <v>8</v>
      </c>
    </row>
    <row r="127">
      <c r="A127" s="11"/>
      <c r="B127" s="11"/>
      <c r="D127" s="8" t="s">
        <v>8</v>
      </c>
    </row>
    <row r="128">
      <c r="A128" s="11"/>
      <c r="B128" s="11"/>
      <c r="D128" s="8" t="s">
        <v>8</v>
      </c>
    </row>
    <row r="129">
      <c r="A129" s="11"/>
      <c r="B129" s="11"/>
      <c r="D129" s="8" t="s">
        <v>8</v>
      </c>
    </row>
    <row r="130">
      <c r="A130" s="11"/>
      <c r="B130" s="11"/>
      <c r="D130" s="8" t="s">
        <v>8</v>
      </c>
    </row>
    <row r="131">
      <c r="A131" s="11"/>
      <c r="B131" s="11"/>
      <c r="D131" s="8" t="s">
        <v>8</v>
      </c>
    </row>
    <row r="132">
      <c r="A132" s="11"/>
      <c r="B132" s="11"/>
      <c r="D132" s="8" t="s">
        <v>8</v>
      </c>
    </row>
    <row r="133">
      <c r="A133" s="11"/>
      <c r="B133" s="11"/>
      <c r="D133" s="8" t="s">
        <v>8</v>
      </c>
    </row>
    <row r="134">
      <c r="A134" s="11"/>
      <c r="B134" s="11"/>
      <c r="D134" s="8" t="s">
        <v>8</v>
      </c>
    </row>
    <row r="135">
      <c r="A135" s="11"/>
      <c r="B135" s="11"/>
      <c r="D135" s="8" t="s">
        <v>8</v>
      </c>
    </row>
    <row r="136">
      <c r="A136" s="11"/>
      <c r="B136" s="11"/>
      <c r="D136" s="8" t="s">
        <v>8</v>
      </c>
    </row>
    <row r="137">
      <c r="A137" s="11"/>
      <c r="B137" s="11"/>
      <c r="D137" s="8" t="s">
        <v>8</v>
      </c>
    </row>
    <row r="138">
      <c r="A138" s="11"/>
      <c r="B138" s="11"/>
      <c r="D138" s="8" t="s">
        <v>8</v>
      </c>
    </row>
    <row r="139">
      <c r="A139" s="11"/>
      <c r="B139" s="11"/>
      <c r="D139" s="8" t="s">
        <v>8</v>
      </c>
    </row>
    <row r="140">
      <c r="A140" s="11"/>
      <c r="B140" s="11"/>
      <c r="D140" s="8" t="s">
        <v>8</v>
      </c>
    </row>
    <row r="141">
      <c r="A141" s="11"/>
      <c r="B141" s="11"/>
      <c r="D141" s="8" t="s">
        <v>8</v>
      </c>
    </row>
    <row r="142">
      <c r="A142" s="11"/>
      <c r="B142" s="11"/>
      <c r="D142" s="8" t="s">
        <v>8</v>
      </c>
    </row>
    <row r="143">
      <c r="A143" s="11"/>
      <c r="B143" s="11"/>
      <c r="D143" s="8" t="s">
        <v>8</v>
      </c>
    </row>
    <row r="144">
      <c r="A144" s="11"/>
      <c r="B144" s="11"/>
      <c r="D144" s="8" t="s">
        <v>8</v>
      </c>
    </row>
    <row r="145">
      <c r="A145" s="11"/>
      <c r="B145" s="11"/>
      <c r="D145" s="8" t="s">
        <v>8</v>
      </c>
    </row>
    <row r="146">
      <c r="A146" s="11"/>
      <c r="B146" s="11"/>
      <c r="D146" s="8" t="s">
        <v>8</v>
      </c>
    </row>
    <row r="147">
      <c r="A147" s="11"/>
      <c r="B147" s="11"/>
      <c r="D147" s="8" t="s">
        <v>8</v>
      </c>
    </row>
    <row r="148">
      <c r="A148" s="11"/>
      <c r="B148" s="11"/>
      <c r="D148" s="8" t="s">
        <v>8</v>
      </c>
    </row>
    <row r="149">
      <c r="A149" s="11"/>
      <c r="B149" s="11"/>
      <c r="D149" s="8" t="s">
        <v>8</v>
      </c>
    </row>
    <row r="150">
      <c r="A150" s="11"/>
      <c r="B150" s="11"/>
      <c r="D150" s="8" t="s">
        <v>8</v>
      </c>
    </row>
    <row r="151">
      <c r="A151" s="11"/>
      <c r="B151" s="11"/>
      <c r="D151" s="8" t="s">
        <v>8</v>
      </c>
    </row>
    <row r="152">
      <c r="A152" s="11"/>
      <c r="B152" s="11"/>
      <c r="D152" s="8" t="s">
        <v>8</v>
      </c>
    </row>
    <row r="153">
      <c r="A153" s="11"/>
      <c r="B153" s="11"/>
      <c r="D153" s="8" t="s">
        <v>8</v>
      </c>
    </row>
    <row r="154">
      <c r="A154" s="11"/>
      <c r="B154" s="11"/>
      <c r="D154" s="8" t="s">
        <v>8</v>
      </c>
    </row>
    <row r="155">
      <c r="A155" s="11"/>
      <c r="B155" s="11"/>
      <c r="D155" s="8" t="s">
        <v>8</v>
      </c>
    </row>
    <row r="156">
      <c r="A156" s="11"/>
      <c r="B156" s="11"/>
      <c r="D156" s="8" t="s">
        <v>8</v>
      </c>
    </row>
    <row r="157">
      <c r="A157" s="11"/>
      <c r="B157" s="11"/>
      <c r="D157" s="8" t="s">
        <v>8</v>
      </c>
    </row>
    <row r="158">
      <c r="A158" s="11"/>
      <c r="B158" s="11"/>
      <c r="D158" s="8" t="s">
        <v>8</v>
      </c>
    </row>
    <row r="159">
      <c r="A159" s="11"/>
      <c r="B159" s="11"/>
      <c r="D159" s="8" t="s">
        <v>8</v>
      </c>
    </row>
    <row r="160">
      <c r="A160" s="11"/>
      <c r="B160" s="11"/>
      <c r="D160" s="8" t="s">
        <v>8</v>
      </c>
    </row>
    <row r="161">
      <c r="A161" s="11"/>
      <c r="B161" s="11"/>
      <c r="D161" s="8" t="s">
        <v>8</v>
      </c>
    </row>
    <row r="162">
      <c r="A162" s="11"/>
      <c r="B162" s="11"/>
      <c r="D162" s="8" t="s">
        <v>8</v>
      </c>
    </row>
    <row r="163">
      <c r="A163" s="11"/>
      <c r="B163" s="11"/>
      <c r="D163" s="8" t="s">
        <v>8</v>
      </c>
    </row>
    <row r="164">
      <c r="A164" s="11"/>
      <c r="B164" s="11"/>
      <c r="D164" s="8" t="s">
        <v>8</v>
      </c>
    </row>
    <row r="165">
      <c r="A165" s="11"/>
      <c r="B165" s="11"/>
      <c r="D165" s="8" t="s">
        <v>8</v>
      </c>
    </row>
    <row r="166">
      <c r="A166" s="11"/>
      <c r="B166" s="11"/>
      <c r="D166" s="8" t="s">
        <v>8</v>
      </c>
    </row>
    <row r="167">
      <c r="A167" s="11"/>
      <c r="B167" s="11"/>
      <c r="D167" s="8" t="s">
        <v>8</v>
      </c>
    </row>
    <row r="168">
      <c r="A168" s="11"/>
      <c r="B168" s="11"/>
      <c r="D168" s="8" t="s">
        <v>8</v>
      </c>
    </row>
    <row r="169">
      <c r="A169" s="11"/>
      <c r="B169" s="11"/>
      <c r="D169" s="8" t="s">
        <v>8</v>
      </c>
    </row>
    <row r="170">
      <c r="A170" s="11"/>
      <c r="B170" s="11"/>
      <c r="D170" s="8" t="s">
        <v>8</v>
      </c>
    </row>
    <row r="171">
      <c r="A171" s="11"/>
      <c r="B171" s="11"/>
      <c r="D171" s="8" t="s">
        <v>8</v>
      </c>
    </row>
    <row r="172">
      <c r="A172" s="11"/>
      <c r="B172" s="11"/>
      <c r="D172" s="8" t="s">
        <v>8</v>
      </c>
    </row>
    <row r="173">
      <c r="A173" s="11"/>
      <c r="B173" s="11"/>
      <c r="D173" s="8" t="s">
        <v>8</v>
      </c>
    </row>
    <row r="174">
      <c r="A174" s="11"/>
      <c r="B174" s="11"/>
      <c r="D174" s="8" t="s">
        <v>8</v>
      </c>
    </row>
    <row r="175">
      <c r="A175" s="11"/>
      <c r="B175" s="11"/>
      <c r="D175" s="8" t="s">
        <v>8</v>
      </c>
    </row>
    <row r="176">
      <c r="A176" s="11"/>
      <c r="B176" s="11"/>
      <c r="D176" s="8" t="s">
        <v>8</v>
      </c>
    </row>
    <row r="177">
      <c r="A177" s="11"/>
      <c r="B177" s="11"/>
      <c r="D177" s="8" t="s">
        <v>8</v>
      </c>
    </row>
    <row r="178">
      <c r="A178" s="11"/>
      <c r="B178" s="11"/>
      <c r="D178" s="8" t="s">
        <v>8</v>
      </c>
    </row>
    <row r="179">
      <c r="A179" s="11"/>
      <c r="B179" s="11"/>
      <c r="D179" s="8" t="s">
        <v>8</v>
      </c>
    </row>
    <row r="180">
      <c r="A180" s="11"/>
      <c r="B180" s="11"/>
      <c r="D180" s="8" t="s">
        <v>8</v>
      </c>
    </row>
    <row r="181">
      <c r="A181" s="11"/>
      <c r="B181" s="11"/>
      <c r="D181" s="8" t="s">
        <v>8</v>
      </c>
    </row>
    <row r="182">
      <c r="A182" s="11"/>
      <c r="B182" s="11"/>
      <c r="D182" s="8" t="s">
        <v>8</v>
      </c>
    </row>
    <row r="183">
      <c r="A183" s="11"/>
      <c r="B183" s="11"/>
      <c r="D183" s="8" t="s">
        <v>8</v>
      </c>
    </row>
    <row r="184">
      <c r="A184" s="11"/>
      <c r="B184" s="11"/>
      <c r="D184" s="8" t="s">
        <v>8</v>
      </c>
    </row>
    <row r="185">
      <c r="A185" s="11"/>
      <c r="B185" s="11"/>
      <c r="D185" s="8" t="s">
        <v>8</v>
      </c>
    </row>
    <row r="186">
      <c r="A186" s="11"/>
      <c r="B186" s="11"/>
      <c r="D186" s="8" t="s">
        <v>8</v>
      </c>
    </row>
    <row r="187">
      <c r="A187" s="11"/>
      <c r="B187" s="11"/>
      <c r="D187" s="8" t="s">
        <v>8</v>
      </c>
    </row>
    <row r="188">
      <c r="A188" s="11"/>
      <c r="B188" s="11"/>
      <c r="D188" s="8" t="s">
        <v>8</v>
      </c>
    </row>
    <row r="189">
      <c r="A189" s="11"/>
      <c r="B189" s="11"/>
      <c r="D189" s="8" t="s">
        <v>8</v>
      </c>
    </row>
    <row r="190">
      <c r="A190" s="11"/>
      <c r="B190" s="11"/>
      <c r="D190" s="8" t="s">
        <v>8</v>
      </c>
    </row>
    <row r="191">
      <c r="A191" s="11"/>
      <c r="B191" s="11"/>
      <c r="D191" s="8" t="s">
        <v>8</v>
      </c>
    </row>
    <row r="192">
      <c r="A192" s="11"/>
      <c r="B192" s="11"/>
      <c r="D192" s="8" t="s">
        <v>8</v>
      </c>
    </row>
    <row r="193">
      <c r="A193" s="11"/>
      <c r="B193" s="11"/>
      <c r="D193" s="8" t="s">
        <v>8</v>
      </c>
    </row>
    <row r="194">
      <c r="A194" s="11"/>
      <c r="B194" s="11"/>
      <c r="D194" s="8" t="s">
        <v>8</v>
      </c>
    </row>
    <row r="195">
      <c r="A195" s="11"/>
      <c r="B195" s="11"/>
      <c r="D195" s="8" t="s">
        <v>8</v>
      </c>
    </row>
    <row r="196">
      <c r="A196" s="11"/>
      <c r="B196" s="11"/>
      <c r="D196" s="8" t="s">
        <v>8</v>
      </c>
    </row>
    <row r="197">
      <c r="A197" s="11"/>
      <c r="B197" s="11"/>
      <c r="D197" s="8" t="s">
        <v>8</v>
      </c>
    </row>
    <row r="198">
      <c r="A198" s="11"/>
      <c r="B198" s="11"/>
      <c r="D198" s="8" t="s">
        <v>8</v>
      </c>
    </row>
    <row r="199">
      <c r="A199" s="11"/>
      <c r="B199" s="11"/>
      <c r="D199" s="8" t="s">
        <v>8</v>
      </c>
    </row>
    <row r="200">
      <c r="A200" s="11"/>
      <c r="B200" s="11"/>
      <c r="D200" s="8" t="s">
        <v>8</v>
      </c>
    </row>
    <row r="201">
      <c r="A201" s="11"/>
      <c r="B201" s="11"/>
      <c r="D201" s="8" t="s">
        <v>8</v>
      </c>
    </row>
    <row r="202">
      <c r="A202" s="11"/>
      <c r="B202" s="11"/>
      <c r="D202" s="8" t="s">
        <v>8</v>
      </c>
    </row>
    <row r="203">
      <c r="A203" s="11"/>
      <c r="B203" s="11"/>
      <c r="D203" s="8" t="s">
        <v>8</v>
      </c>
    </row>
    <row r="204">
      <c r="A204" s="11"/>
      <c r="B204" s="11"/>
      <c r="D204" s="8" t="s">
        <v>8</v>
      </c>
    </row>
    <row r="205">
      <c r="A205" s="11"/>
      <c r="B205" s="11"/>
      <c r="D205" s="8" t="s">
        <v>8</v>
      </c>
    </row>
    <row r="206">
      <c r="A206" s="11"/>
      <c r="B206" s="11"/>
      <c r="D206" s="8" t="s">
        <v>8</v>
      </c>
    </row>
    <row r="207">
      <c r="A207" s="11"/>
      <c r="B207" s="11"/>
      <c r="D207" s="8" t="s">
        <v>8</v>
      </c>
    </row>
    <row r="208">
      <c r="A208" s="11"/>
      <c r="B208" s="11"/>
      <c r="D208" s="8" t="s">
        <v>8</v>
      </c>
    </row>
    <row r="209">
      <c r="A209" s="11"/>
      <c r="B209" s="11"/>
      <c r="D209" s="8" t="s">
        <v>8</v>
      </c>
    </row>
    <row r="210">
      <c r="A210" s="11"/>
      <c r="B210" s="11"/>
      <c r="D210" s="8" t="s">
        <v>8</v>
      </c>
    </row>
    <row r="211">
      <c r="A211" s="11"/>
      <c r="B211" s="11"/>
      <c r="D211" s="8" t="s">
        <v>8</v>
      </c>
    </row>
    <row r="212">
      <c r="A212" s="11"/>
      <c r="B212" s="11"/>
      <c r="D212" s="8" t="s">
        <v>8</v>
      </c>
    </row>
    <row r="213">
      <c r="A213" s="11"/>
      <c r="B213" s="11"/>
      <c r="D213" s="8" t="s">
        <v>8</v>
      </c>
    </row>
    <row r="214">
      <c r="A214" s="11"/>
      <c r="B214" s="11"/>
      <c r="D214" s="8" t="s">
        <v>8</v>
      </c>
    </row>
    <row r="215">
      <c r="A215" s="11"/>
      <c r="B215" s="11"/>
      <c r="D215" s="8" t="s">
        <v>8</v>
      </c>
    </row>
    <row r="216">
      <c r="A216" s="11"/>
      <c r="B216" s="11"/>
      <c r="D216" s="8" t="s">
        <v>8</v>
      </c>
    </row>
    <row r="217">
      <c r="A217" s="11"/>
      <c r="B217" s="11"/>
      <c r="D217" s="8" t="s">
        <v>8</v>
      </c>
    </row>
    <row r="218">
      <c r="A218" s="11"/>
      <c r="B218" s="11"/>
      <c r="D218" s="8" t="s">
        <v>8</v>
      </c>
    </row>
    <row r="219">
      <c r="A219" s="11"/>
      <c r="B219" s="11"/>
      <c r="D219" s="8" t="s">
        <v>8</v>
      </c>
    </row>
    <row r="220">
      <c r="A220" s="11"/>
      <c r="B220" s="11"/>
      <c r="D220" s="8" t="s">
        <v>8</v>
      </c>
    </row>
    <row r="221">
      <c r="A221" s="11"/>
      <c r="B221" s="11"/>
      <c r="D221" s="8" t="s">
        <v>8</v>
      </c>
    </row>
    <row r="222">
      <c r="A222" s="11"/>
      <c r="B222" s="11"/>
      <c r="D222" s="8" t="s">
        <v>8</v>
      </c>
    </row>
    <row r="223">
      <c r="A223" s="11"/>
      <c r="B223" s="11"/>
      <c r="D223" s="8" t="s">
        <v>8</v>
      </c>
    </row>
    <row r="224">
      <c r="A224" s="11"/>
      <c r="B224" s="11"/>
      <c r="D224" s="8" t="s">
        <v>8</v>
      </c>
    </row>
    <row r="225">
      <c r="A225" s="11"/>
      <c r="B225" s="11"/>
      <c r="D225" s="8" t="s">
        <v>8</v>
      </c>
    </row>
    <row r="226">
      <c r="A226" s="11"/>
      <c r="B226" s="11"/>
      <c r="D226" s="8" t="s">
        <v>8</v>
      </c>
    </row>
    <row r="227">
      <c r="A227" s="11"/>
      <c r="B227" s="11"/>
      <c r="D227" s="8" t="s">
        <v>8</v>
      </c>
    </row>
    <row r="228">
      <c r="A228" s="11"/>
      <c r="B228" s="11"/>
      <c r="D228" s="8" t="s">
        <v>8</v>
      </c>
    </row>
    <row r="229">
      <c r="A229" s="11"/>
      <c r="B229" s="11"/>
      <c r="D229" s="8" t="s">
        <v>8</v>
      </c>
    </row>
    <row r="230">
      <c r="A230" s="11"/>
      <c r="B230" s="11"/>
      <c r="D230" s="8" t="s">
        <v>8</v>
      </c>
    </row>
    <row r="231">
      <c r="A231" s="11"/>
      <c r="B231" s="11"/>
      <c r="D231" s="8" t="s">
        <v>8</v>
      </c>
    </row>
    <row r="232">
      <c r="A232" s="11"/>
      <c r="B232" s="11"/>
      <c r="D232" s="8" t="s">
        <v>8</v>
      </c>
    </row>
    <row r="233">
      <c r="A233" s="11"/>
      <c r="B233" s="11"/>
      <c r="D233" s="8" t="s">
        <v>8</v>
      </c>
    </row>
    <row r="234">
      <c r="A234" s="11"/>
      <c r="B234" s="11"/>
      <c r="D234" s="8" t="s">
        <v>8</v>
      </c>
    </row>
    <row r="235">
      <c r="A235" s="11"/>
      <c r="B235" s="11"/>
      <c r="D235" s="8" t="s">
        <v>8</v>
      </c>
    </row>
    <row r="236">
      <c r="A236" s="11"/>
      <c r="B236" s="11"/>
      <c r="D236" s="8" t="s">
        <v>8</v>
      </c>
    </row>
    <row r="237">
      <c r="A237" s="11"/>
      <c r="B237" s="11"/>
      <c r="D237" s="8" t="s">
        <v>8</v>
      </c>
    </row>
    <row r="238">
      <c r="A238" s="11"/>
      <c r="B238" s="11"/>
      <c r="D238" s="8" t="s">
        <v>8</v>
      </c>
    </row>
    <row r="239">
      <c r="A239" s="11"/>
      <c r="B239" s="11"/>
      <c r="D239" s="8" t="s">
        <v>8</v>
      </c>
    </row>
    <row r="240">
      <c r="A240" s="11"/>
      <c r="B240" s="11"/>
      <c r="D240" s="8" t="s">
        <v>8</v>
      </c>
    </row>
    <row r="241">
      <c r="A241" s="11"/>
      <c r="B241" s="11"/>
      <c r="D241" s="8" t="s">
        <v>8</v>
      </c>
    </row>
    <row r="242">
      <c r="A242" s="11"/>
      <c r="B242" s="11"/>
      <c r="D242" s="8" t="s">
        <v>8</v>
      </c>
    </row>
    <row r="243">
      <c r="A243" s="11"/>
      <c r="B243" s="11"/>
      <c r="D243" s="8" t="s">
        <v>8</v>
      </c>
    </row>
    <row r="244">
      <c r="A244" s="11"/>
      <c r="B244" s="11"/>
      <c r="D244" s="8" t="s">
        <v>8</v>
      </c>
    </row>
    <row r="245">
      <c r="A245" s="11"/>
      <c r="B245" s="11"/>
      <c r="D245" s="8" t="s">
        <v>8</v>
      </c>
    </row>
    <row r="246">
      <c r="A246" s="11"/>
      <c r="B246" s="11"/>
      <c r="D246" s="8" t="s">
        <v>8</v>
      </c>
    </row>
    <row r="247">
      <c r="A247" s="11"/>
      <c r="B247" s="11"/>
      <c r="D247" s="8" t="s">
        <v>8</v>
      </c>
    </row>
    <row r="248">
      <c r="A248" s="11"/>
      <c r="B248" s="11"/>
      <c r="D248" s="8" t="s">
        <v>8</v>
      </c>
    </row>
    <row r="249">
      <c r="A249" s="11"/>
      <c r="B249" s="11"/>
      <c r="D249" s="8" t="s">
        <v>8</v>
      </c>
    </row>
    <row r="250">
      <c r="A250" s="11"/>
      <c r="B250" s="11"/>
      <c r="D250" s="8" t="s">
        <v>8</v>
      </c>
    </row>
    <row r="251">
      <c r="A251" s="11"/>
      <c r="B251" s="11"/>
      <c r="D251" s="8" t="s">
        <v>8</v>
      </c>
    </row>
    <row r="252">
      <c r="A252" s="11"/>
      <c r="B252" s="11"/>
      <c r="D252" s="8" t="s">
        <v>8</v>
      </c>
    </row>
    <row r="253">
      <c r="A253" s="11"/>
      <c r="B253" s="11"/>
      <c r="D253" s="8" t="s">
        <v>8</v>
      </c>
    </row>
    <row r="254">
      <c r="A254" s="11"/>
      <c r="B254" s="11"/>
      <c r="D254" s="8" t="s">
        <v>8</v>
      </c>
    </row>
    <row r="255">
      <c r="A255" s="11"/>
      <c r="B255" s="11"/>
      <c r="D255" s="8" t="s">
        <v>8</v>
      </c>
    </row>
    <row r="256">
      <c r="A256" s="11"/>
      <c r="B256" s="11"/>
      <c r="D256" s="8" t="s">
        <v>8</v>
      </c>
    </row>
    <row r="257">
      <c r="A257" s="11"/>
      <c r="B257" s="11"/>
      <c r="D257" s="8" t="s">
        <v>8</v>
      </c>
    </row>
    <row r="258">
      <c r="A258" s="11"/>
      <c r="B258" s="11"/>
      <c r="D258" s="8" t="s">
        <v>8</v>
      </c>
    </row>
    <row r="259">
      <c r="A259" s="11"/>
      <c r="B259" s="11"/>
      <c r="D259" s="8" t="s">
        <v>8</v>
      </c>
    </row>
    <row r="260">
      <c r="A260" s="11"/>
      <c r="B260" s="11"/>
      <c r="D260" s="8" t="s">
        <v>8</v>
      </c>
    </row>
    <row r="261">
      <c r="A261" s="11"/>
      <c r="B261" s="11"/>
      <c r="D261" s="8" t="s">
        <v>8</v>
      </c>
    </row>
    <row r="262">
      <c r="A262" s="11"/>
      <c r="B262" s="11"/>
      <c r="D262" s="8" t="s">
        <v>8</v>
      </c>
    </row>
    <row r="263">
      <c r="A263" s="11"/>
      <c r="B263" s="11"/>
      <c r="D263" s="8" t="s">
        <v>8</v>
      </c>
    </row>
    <row r="264">
      <c r="A264" s="11"/>
      <c r="B264" s="11"/>
      <c r="D264" s="8" t="s">
        <v>8</v>
      </c>
    </row>
    <row r="265">
      <c r="A265" s="11"/>
      <c r="B265" s="11"/>
      <c r="D265" s="8" t="s">
        <v>8</v>
      </c>
    </row>
    <row r="266">
      <c r="A266" s="11"/>
      <c r="B266" s="11"/>
      <c r="D266" s="8" t="s">
        <v>8</v>
      </c>
    </row>
    <row r="267">
      <c r="A267" s="11"/>
      <c r="B267" s="11"/>
      <c r="D267" s="8" t="s">
        <v>8</v>
      </c>
    </row>
    <row r="268">
      <c r="A268" s="11"/>
      <c r="B268" s="11"/>
      <c r="D268" s="8" t="s">
        <v>8</v>
      </c>
    </row>
    <row r="269">
      <c r="A269" s="11"/>
      <c r="B269" s="11"/>
      <c r="D269" s="8" t="s">
        <v>8</v>
      </c>
    </row>
    <row r="270">
      <c r="A270" s="11"/>
      <c r="B270" s="11"/>
      <c r="D270" s="8" t="s">
        <v>8</v>
      </c>
    </row>
    <row r="271">
      <c r="A271" s="11"/>
      <c r="B271" s="11"/>
      <c r="D271" s="8" t="s">
        <v>8</v>
      </c>
    </row>
    <row r="272">
      <c r="A272" s="11"/>
      <c r="B272" s="11"/>
      <c r="D272" s="8" t="s">
        <v>8</v>
      </c>
    </row>
    <row r="273">
      <c r="A273" s="11"/>
      <c r="B273" s="11"/>
      <c r="D273" s="8" t="s">
        <v>8</v>
      </c>
    </row>
    <row r="274">
      <c r="A274" s="11"/>
      <c r="B274" s="11"/>
      <c r="D274" s="8" t="s">
        <v>8</v>
      </c>
    </row>
    <row r="275">
      <c r="A275" s="11"/>
      <c r="B275" s="11"/>
      <c r="D275" s="8" t="s">
        <v>8</v>
      </c>
    </row>
    <row r="276">
      <c r="A276" s="11"/>
      <c r="B276" s="11"/>
      <c r="D276" s="8" t="s">
        <v>8</v>
      </c>
    </row>
    <row r="277">
      <c r="A277" s="11"/>
      <c r="B277" s="11"/>
      <c r="D277" s="8" t="s">
        <v>8</v>
      </c>
    </row>
    <row r="278">
      <c r="A278" s="11"/>
      <c r="B278" s="11"/>
      <c r="D278" s="8" t="s">
        <v>8</v>
      </c>
    </row>
    <row r="279">
      <c r="A279" s="11"/>
      <c r="B279" s="11"/>
      <c r="D279" s="8" t="s">
        <v>8</v>
      </c>
    </row>
    <row r="280">
      <c r="A280" s="11"/>
      <c r="B280" s="11"/>
      <c r="D280" s="8" t="s">
        <v>8</v>
      </c>
    </row>
    <row r="281">
      <c r="A281" s="11"/>
      <c r="B281" s="11"/>
      <c r="D281" s="8" t="s">
        <v>8</v>
      </c>
    </row>
    <row r="282">
      <c r="A282" s="11"/>
      <c r="B282" s="11"/>
      <c r="D282" s="8" t="s">
        <v>8</v>
      </c>
    </row>
    <row r="283">
      <c r="A283" s="11"/>
      <c r="B283" s="11"/>
      <c r="D283" s="8" t="s">
        <v>8</v>
      </c>
    </row>
    <row r="284">
      <c r="A284" s="11"/>
      <c r="B284" s="11"/>
      <c r="D284" s="8" t="s">
        <v>8</v>
      </c>
    </row>
    <row r="285">
      <c r="A285" s="11"/>
      <c r="B285" s="11"/>
      <c r="D285" s="8" t="s">
        <v>8</v>
      </c>
    </row>
    <row r="286">
      <c r="A286" s="11"/>
      <c r="B286" s="11"/>
      <c r="D286" s="8" t="s">
        <v>8</v>
      </c>
    </row>
    <row r="287">
      <c r="A287" s="11"/>
      <c r="B287" s="11"/>
      <c r="D287" s="8" t="s">
        <v>8</v>
      </c>
    </row>
    <row r="288">
      <c r="A288" s="11"/>
      <c r="B288" s="11"/>
      <c r="D288" s="8" t="s">
        <v>8</v>
      </c>
    </row>
    <row r="289">
      <c r="A289" s="11"/>
      <c r="B289" s="11"/>
      <c r="D289" s="8" t="s">
        <v>8</v>
      </c>
    </row>
    <row r="290">
      <c r="A290" s="11"/>
      <c r="B290" s="11"/>
      <c r="D290" s="8" t="s">
        <v>8</v>
      </c>
    </row>
    <row r="291">
      <c r="A291" s="11"/>
      <c r="B291" s="11"/>
      <c r="D291" s="8" t="s">
        <v>8</v>
      </c>
    </row>
    <row r="292">
      <c r="A292" s="11"/>
      <c r="B292" s="11"/>
      <c r="D292" s="8" t="s">
        <v>8</v>
      </c>
    </row>
    <row r="293">
      <c r="A293" s="11"/>
      <c r="B293" s="11"/>
      <c r="D293" s="8" t="s">
        <v>8</v>
      </c>
    </row>
    <row r="294">
      <c r="A294" s="11"/>
      <c r="B294" s="11"/>
      <c r="D294" s="8" t="s">
        <v>8</v>
      </c>
    </row>
    <row r="295">
      <c r="A295" s="11"/>
      <c r="B295" s="11"/>
      <c r="D295" s="8" t="s">
        <v>8</v>
      </c>
    </row>
    <row r="296">
      <c r="A296" s="11"/>
      <c r="B296" s="11"/>
      <c r="D296" s="8" t="s">
        <v>8</v>
      </c>
    </row>
    <row r="297">
      <c r="A297" s="11"/>
      <c r="B297" s="11"/>
      <c r="D297" s="8" t="s">
        <v>8</v>
      </c>
    </row>
    <row r="298">
      <c r="A298" s="11"/>
      <c r="B298" s="11"/>
      <c r="D298" s="8" t="s">
        <v>8</v>
      </c>
    </row>
    <row r="299">
      <c r="A299" s="11"/>
      <c r="B299" s="11"/>
      <c r="D299" s="8" t="s">
        <v>8</v>
      </c>
    </row>
    <row r="300">
      <c r="A300" s="11"/>
      <c r="B300" s="11"/>
      <c r="D300" s="8" t="s">
        <v>8</v>
      </c>
    </row>
    <row r="301">
      <c r="A301" s="11"/>
      <c r="B301" s="11"/>
      <c r="D301" s="8" t="s">
        <v>8</v>
      </c>
    </row>
    <row r="302">
      <c r="A302" s="11"/>
      <c r="B302" s="11"/>
      <c r="D302" s="8" t="s">
        <v>8</v>
      </c>
    </row>
    <row r="303">
      <c r="A303" s="11"/>
      <c r="B303" s="11"/>
      <c r="D303" s="8" t="s">
        <v>8</v>
      </c>
    </row>
    <row r="304">
      <c r="A304" s="11"/>
      <c r="B304" s="11"/>
      <c r="D304" s="8" t="s">
        <v>8</v>
      </c>
    </row>
    <row r="305">
      <c r="A305" s="11"/>
      <c r="B305" s="11"/>
      <c r="D305" s="8" t="s">
        <v>8</v>
      </c>
    </row>
    <row r="306">
      <c r="A306" s="11"/>
      <c r="B306" s="11"/>
      <c r="D306" s="8" t="s">
        <v>8</v>
      </c>
    </row>
    <row r="307">
      <c r="A307" s="11"/>
      <c r="B307" s="11"/>
      <c r="D307" s="8" t="s">
        <v>8</v>
      </c>
    </row>
    <row r="308">
      <c r="A308" s="11"/>
      <c r="B308" s="11"/>
      <c r="D308" s="8" t="s">
        <v>8</v>
      </c>
    </row>
    <row r="309">
      <c r="A309" s="11"/>
      <c r="B309" s="11"/>
      <c r="D309" s="8" t="s">
        <v>8</v>
      </c>
    </row>
    <row r="310">
      <c r="A310" s="11"/>
      <c r="B310" s="11"/>
      <c r="D310" s="8" t="s">
        <v>8</v>
      </c>
    </row>
    <row r="311">
      <c r="A311" s="11"/>
      <c r="B311" s="11"/>
      <c r="D311" s="8" t="s">
        <v>8</v>
      </c>
    </row>
    <row r="312">
      <c r="A312" s="11"/>
      <c r="B312" s="11"/>
      <c r="D312" s="8" t="s">
        <v>8</v>
      </c>
    </row>
    <row r="313">
      <c r="A313" s="11"/>
      <c r="B313" s="11"/>
      <c r="D313" s="8" t="s">
        <v>8</v>
      </c>
    </row>
    <row r="314">
      <c r="A314" s="11"/>
      <c r="B314" s="11"/>
      <c r="D314" s="8" t="s">
        <v>8</v>
      </c>
    </row>
    <row r="315">
      <c r="A315" s="11"/>
      <c r="B315" s="11"/>
      <c r="D315" s="8" t="s">
        <v>8</v>
      </c>
    </row>
    <row r="316">
      <c r="A316" s="11"/>
      <c r="B316" s="11"/>
      <c r="D316" s="8" t="s">
        <v>8</v>
      </c>
    </row>
    <row r="317">
      <c r="A317" s="11"/>
      <c r="B317" s="11"/>
      <c r="D317" s="8" t="s">
        <v>8</v>
      </c>
    </row>
    <row r="318">
      <c r="A318" s="11"/>
      <c r="B318" s="11"/>
      <c r="D318" s="8" t="s">
        <v>8</v>
      </c>
    </row>
    <row r="319">
      <c r="A319" s="11"/>
      <c r="B319" s="11"/>
      <c r="D319" s="8" t="s">
        <v>8</v>
      </c>
    </row>
    <row r="320">
      <c r="A320" s="11"/>
      <c r="B320" s="11"/>
      <c r="D320" s="8" t="s">
        <v>8</v>
      </c>
    </row>
    <row r="321">
      <c r="A321" s="11"/>
      <c r="B321" s="11"/>
      <c r="D321" s="8" t="s">
        <v>8</v>
      </c>
    </row>
    <row r="322">
      <c r="A322" s="11"/>
      <c r="B322" s="11"/>
      <c r="D322" s="8" t="s">
        <v>8</v>
      </c>
    </row>
    <row r="323">
      <c r="A323" s="11"/>
      <c r="B323" s="11"/>
      <c r="D323" s="8" t="s">
        <v>8</v>
      </c>
    </row>
    <row r="324">
      <c r="A324" s="11"/>
      <c r="B324" s="11"/>
      <c r="D324" s="8" t="s">
        <v>8</v>
      </c>
    </row>
    <row r="325">
      <c r="A325" s="11"/>
      <c r="B325" s="11"/>
      <c r="D325" s="8" t="s">
        <v>8</v>
      </c>
    </row>
    <row r="326">
      <c r="A326" s="11"/>
      <c r="B326" s="11"/>
      <c r="D326" s="8" t="s">
        <v>8</v>
      </c>
    </row>
    <row r="327">
      <c r="A327" s="11"/>
      <c r="B327" s="11"/>
      <c r="D327" s="8" t="s">
        <v>8</v>
      </c>
    </row>
    <row r="328">
      <c r="A328" s="11"/>
      <c r="B328" s="11"/>
      <c r="D328" s="8" t="s">
        <v>8</v>
      </c>
    </row>
    <row r="329">
      <c r="A329" s="11"/>
      <c r="B329" s="11"/>
      <c r="D329" s="8" t="s">
        <v>8</v>
      </c>
    </row>
    <row r="330">
      <c r="A330" s="11"/>
      <c r="B330" s="11"/>
      <c r="D330" s="8" t="s">
        <v>8</v>
      </c>
    </row>
    <row r="331">
      <c r="A331" s="11"/>
      <c r="B331" s="11"/>
      <c r="D331" s="8" t="s">
        <v>8</v>
      </c>
    </row>
    <row r="332">
      <c r="A332" s="11"/>
      <c r="B332" s="11"/>
      <c r="D332" s="8" t="s">
        <v>8</v>
      </c>
    </row>
    <row r="333">
      <c r="A333" s="11"/>
      <c r="B333" s="11"/>
      <c r="D333" s="8" t="s">
        <v>8</v>
      </c>
    </row>
    <row r="334">
      <c r="A334" s="11"/>
      <c r="B334" s="11"/>
      <c r="D334" s="8" t="s">
        <v>8</v>
      </c>
    </row>
    <row r="335">
      <c r="A335" s="11"/>
      <c r="B335" s="11"/>
      <c r="D335" s="8" t="s">
        <v>8</v>
      </c>
    </row>
    <row r="336">
      <c r="A336" s="11"/>
      <c r="B336" s="11"/>
      <c r="D336" s="8" t="s">
        <v>8</v>
      </c>
    </row>
    <row r="337">
      <c r="A337" s="11"/>
      <c r="B337" s="11"/>
      <c r="D337" s="8" t="s">
        <v>8</v>
      </c>
    </row>
    <row r="338">
      <c r="A338" s="11"/>
      <c r="B338" s="11"/>
      <c r="D338" s="8" t="s">
        <v>8</v>
      </c>
    </row>
    <row r="339">
      <c r="A339" s="11"/>
      <c r="B339" s="11"/>
      <c r="D339" s="8" t="s">
        <v>8</v>
      </c>
    </row>
    <row r="340">
      <c r="A340" s="11"/>
      <c r="B340" s="11"/>
      <c r="D340" s="8" t="s">
        <v>8</v>
      </c>
    </row>
    <row r="341">
      <c r="A341" s="11"/>
      <c r="B341" s="11"/>
      <c r="D341" s="8" t="s">
        <v>8</v>
      </c>
    </row>
    <row r="342">
      <c r="A342" s="11"/>
      <c r="B342" s="11"/>
      <c r="D342" s="8" t="s">
        <v>8</v>
      </c>
    </row>
    <row r="343">
      <c r="A343" s="11"/>
      <c r="B343" s="11"/>
      <c r="D343" s="8" t="s">
        <v>8</v>
      </c>
    </row>
    <row r="344">
      <c r="A344" s="11"/>
      <c r="B344" s="11"/>
      <c r="D344" s="8" t="s">
        <v>8</v>
      </c>
    </row>
    <row r="345">
      <c r="A345" s="11"/>
      <c r="B345" s="11"/>
      <c r="D345" s="8" t="s">
        <v>8</v>
      </c>
    </row>
    <row r="346">
      <c r="A346" s="11"/>
      <c r="B346" s="11"/>
      <c r="D346" s="8" t="s">
        <v>8</v>
      </c>
    </row>
    <row r="347">
      <c r="A347" s="11"/>
      <c r="B347" s="11"/>
      <c r="D347" s="8" t="s">
        <v>8</v>
      </c>
    </row>
    <row r="348">
      <c r="A348" s="11"/>
      <c r="B348" s="11"/>
      <c r="D348" s="8" t="s">
        <v>8</v>
      </c>
    </row>
    <row r="349">
      <c r="A349" s="11"/>
      <c r="B349" s="11"/>
      <c r="D349" s="8" t="s">
        <v>8</v>
      </c>
    </row>
    <row r="350">
      <c r="A350" s="11"/>
      <c r="B350" s="11"/>
      <c r="D350" s="8" t="s">
        <v>8</v>
      </c>
    </row>
    <row r="351">
      <c r="A351" s="11"/>
      <c r="B351" s="11"/>
      <c r="D351" s="8" t="s">
        <v>8</v>
      </c>
    </row>
    <row r="352">
      <c r="A352" s="11"/>
      <c r="B352" s="11"/>
      <c r="D352" s="8" t="s">
        <v>8</v>
      </c>
    </row>
    <row r="353">
      <c r="A353" s="11"/>
      <c r="B353" s="11"/>
      <c r="D353" s="8" t="s">
        <v>8</v>
      </c>
    </row>
    <row r="354">
      <c r="A354" s="11"/>
      <c r="B354" s="11"/>
      <c r="D354" s="8" t="s">
        <v>8</v>
      </c>
    </row>
    <row r="355">
      <c r="A355" s="11"/>
      <c r="B355" s="11"/>
      <c r="D355" s="8" t="s">
        <v>8</v>
      </c>
    </row>
    <row r="356">
      <c r="A356" s="11"/>
      <c r="B356" s="11"/>
      <c r="D356" s="8" t="s">
        <v>8</v>
      </c>
    </row>
    <row r="357">
      <c r="A357" s="11"/>
      <c r="B357" s="11"/>
      <c r="D357" s="8" t="s">
        <v>8</v>
      </c>
    </row>
    <row r="358">
      <c r="A358" s="11"/>
      <c r="B358" s="11"/>
      <c r="D358" s="8" t="s">
        <v>8</v>
      </c>
    </row>
    <row r="359">
      <c r="A359" s="11"/>
      <c r="B359" s="11"/>
      <c r="D359" s="8" t="s">
        <v>8</v>
      </c>
    </row>
    <row r="360">
      <c r="A360" s="11"/>
      <c r="B360" s="11"/>
      <c r="D360" s="8" t="s">
        <v>8</v>
      </c>
    </row>
    <row r="361">
      <c r="A361" s="11"/>
      <c r="B361" s="11"/>
      <c r="D361" s="8" t="s">
        <v>8</v>
      </c>
    </row>
    <row r="362">
      <c r="A362" s="11"/>
      <c r="B362" s="11"/>
      <c r="D362" s="8" t="s">
        <v>8</v>
      </c>
    </row>
    <row r="363">
      <c r="A363" s="11"/>
      <c r="B363" s="11"/>
      <c r="D363" s="8" t="s">
        <v>8</v>
      </c>
    </row>
    <row r="364">
      <c r="A364" s="11"/>
      <c r="B364" s="11"/>
      <c r="D364" s="8" t="s">
        <v>8</v>
      </c>
    </row>
    <row r="365">
      <c r="A365" s="11"/>
      <c r="B365" s="11"/>
      <c r="D365" s="8" t="s">
        <v>8</v>
      </c>
    </row>
    <row r="366">
      <c r="A366" s="11"/>
      <c r="B366" s="11"/>
      <c r="D366" s="8" t="s">
        <v>8</v>
      </c>
    </row>
    <row r="367">
      <c r="A367" s="11"/>
      <c r="B367" s="11"/>
      <c r="D367" s="8" t="s">
        <v>8</v>
      </c>
    </row>
    <row r="368">
      <c r="A368" s="11"/>
      <c r="B368" s="11"/>
      <c r="D368" s="8" t="s">
        <v>8</v>
      </c>
    </row>
    <row r="369">
      <c r="A369" s="11"/>
      <c r="B369" s="11"/>
      <c r="D369" s="8" t="s">
        <v>8</v>
      </c>
    </row>
    <row r="370">
      <c r="A370" s="11"/>
      <c r="B370" s="11"/>
      <c r="D370" s="8" t="s">
        <v>8</v>
      </c>
    </row>
    <row r="371">
      <c r="A371" s="11"/>
      <c r="B371" s="11"/>
      <c r="D371" s="8" t="s">
        <v>8</v>
      </c>
    </row>
    <row r="372">
      <c r="A372" s="11"/>
      <c r="B372" s="11"/>
      <c r="D372" s="8" t="s">
        <v>8</v>
      </c>
    </row>
    <row r="373">
      <c r="A373" s="11"/>
      <c r="B373" s="11"/>
      <c r="D373" s="8" t="s">
        <v>8</v>
      </c>
    </row>
    <row r="374">
      <c r="A374" s="11"/>
      <c r="B374" s="11"/>
      <c r="D374" s="8" t="s">
        <v>8</v>
      </c>
    </row>
    <row r="375">
      <c r="A375" s="11"/>
      <c r="B375" s="11"/>
      <c r="D375" s="8" t="s">
        <v>8</v>
      </c>
    </row>
    <row r="376">
      <c r="A376" s="11"/>
      <c r="B376" s="11"/>
      <c r="D376" s="8" t="s">
        <v>8</v>
      </c>
    </row>
    <row r="377">
      <c r="A377" s="11"/>
      <c r="B377" s="11"/>
      <c r="D377" s="8" t="s">
        <v>8</v>
      </c>
    </row>
    <row r="378">
      <c r="A378" s="11"/>
      <c r="B378" s="11"/>
      <c r="D378" s="8" t="s">
        <v>8</v>
      </c>
    </row>
    <row r="379">
      <c r="A379" s="11"/>
      <c r="B379" s="11"/>
      <c r="D379" s="8" t="s">
        <v>8</v>
      </c>
    </row>
    <row r="380">
      <c r="A380" s="11"/>
      <c r="B380" s="11"/>
      <c r="D380" s="8" t="s">
        <v>8</v>
      </c>
    </row>
    <row r="381">
      <c r="A381" s="11"/>
      <c r="B381" s="11"/>
      <c r="D381" s="8" t="s">
        <v>8</v>
      </c>
    </row>
    <row r="382">
      <c r="A382" s="11"/>
      <c r="B382" s="11"/>
      <c r="D382" s="8" t="s">
        <v>8</v>
      </c>
    </row>
    <row r="383">
      <c r="A383" s="11"/>
      <c r="B383" s="11"/>
      <c r="D383" s="8" t="s">
        <v>8</v>
      </c>
    </row>
    <row r="384">
      <c r="A384" s="11"/>
      <c r="B384" s="11"/>
      <c r="D384" s="8" t="s">
        <v>8</v>
      </c>
    </row>
    <row r="385">
      <c r="A385" s="11"/>
      <c r="B385" s="11"/>
      <c r="D385" s="8" t="s">
        <v>8</v>
      </c>
    </row>
    <row r="386">
      <c r="A386" s="11"/>
      <c r="B386" s="11"/>
      <c r="D386" s="8" t="s">
        <v>8</v>
      </c>
    </row>
    <row r="387">
      <c r="A387" s="11"/>
      <c r="B387" s="11"/>
      <c r="D387" s="8" t="s">
        <v>8</v>
      </c>
    </row>
    <row r="388">
      <c r="A388" s="11"/>
      <c r="B388" s="11"/>
      <c r="D388" s="8" t="s">
        <v>8</v>
      </c>
    </row>
    <row r="389">
      <c r="A389" s="11"/>
      <c r="B389" s="11"/>
      <c r="D389" s="8" t="s">
        <v>8</v>
      </c>
    </row>
    <row r="390">
      <c r="A390" s="11"/>
      <c r="B390" s="11"/>
      <c r="D390" s="8" t="s">
        <v>8</v>
      </c>
    </row>
    <row r="391">
      <c r="A391" s="11"/>
      <c r="B391" s="11"/>
      <c r="D391" s="8" t="s">
        <v>8</v>
      </c>
    </row>
    <row r="392">
      <c r="A392" s="11"/>
      <c r="B392" s="11"/>
      <c r="D392" s="8" t="s">
        <v>8</v>
      </c>
    </row>
    <row r="393">
      <c r="A393" s="11"/>
      <c r="B393" s="11"/>
      <c r="D393" s="8" t="s">
        <v>8</v>
      </c>
    </row>
    <row r="394">
      <c r="A394" s="11"/>
      <c r="B394" s="11"/>
      <c r="D394" s="8" t="s">
        <v>8</v>
      </c>
    </row>
    <row r="395">
      <c r="A395" s="11"/>
      <c r="B395" s="11"/>
      <c r="D395" s="8" t="s">
        <v>8</v>
      </c>
    </row>
    <row r="396">
      <c r="A396" s="11"/>
      <c r="B396" s="11"/>
      <c r="D396" s="8" t="s">
        <v>8</v>
      </c>
    </row>
    <row r="397">
      <c r="A397" s="11"/>
      <c r="B397" s="11"/>
      <c r="D397" s="8" t="s">
        <v>8</v>
      </c>
    </row>
    <row r="398">
      <c r="A398" s="11"/>
      <c r="B398" s="11"/>
      <c r="D398" s="8" t="s">
        <v>8</v>
      </c>
    </row>
    <row r="399">
      <c r="A399" s="11"/>
      <c r="B399" s="11"/>
      <c r="D399" s="8" t="s">
        <v>8</v>
      </c>
    </row>
    <row r="400">
      <c r="A400" s="11"/>
      <c r="B400" s="11"/>
      <c r="D400" s="8" t="s">
        <v>8</v>
      </c>
    </row>
    <row r="401">
      <c r="A401" s="11"/>
      <c r="B401" s="11"/>
      <c r="D401" s="8" t="s">
        <v>8</v>
      </c>
    </row>
    <row r="402">
      <c r="A402" s="11"/>
      <c r="B402" s="11"/>
      <c r="D402" s="8" t="s">
        <v>8</v>
      </c>
    </row>
    <row r="403">
      <c r="A403" s="11"/>
      <c r="B403" s="11"/>
      <c r="D403" s="8" t="s">
        <v>8</v>
      </c>
    </row>
    <row r="404">
      <c r="A404" s="11"/>
      <c r="B404" s="11"/>
      <c r="D404" s="8" t="s">
        <v>8</v>
      </c>
    </row>
    <row r="405">
      <c r="A405" s="11"/>
      <c r="B405" s="11"/>
      <c r="D405" s="8" t="s">
        <v>8</v>
      </c>
    </row>
    <row r="406">
      <c r="A406" s="11"/>
      <c r="B406" s="11"/>
      <c r="D406" s="8" t="s">
        <v>8</v>
      </c>
    </row>
    <row r="407">
      <c r="A407" s="11"/>
      <c r="B407" s="11"/>
      <c r="D407" s="8" t="s">
        <v>8</v>
      </c>
    </row>
    <row r="408">
      <c r="A408" s="11"/>
      <c r="B408" s="11"/>
      <c r="D408" s="8" t="s">
        <v>8</v>
      </c>
    </row>
    <row r="409">
      <c r="A409" s="11"/>
      <c r="B409" s="11"/>
      <c r="D409" s="8" t="s">
        <v>8</v>
      </c>
    </row>
    <row r="410">
      <c r="A410" s="11"/>
      <c r="B410" s="11"/>
      <c r="D410" s="8" t="s">
        <v>8</v>
      </c>
    </row>
    <row r="411">
      <c r="A411" s="11"/>
      <c r="B411" s="11"/>
      <c r="D411" s="8" t="s">
        <v>8</v>
      </c>
    </row>
    <row r="412">
      <c r="A412" s="11"/>
      <c r="B412" s="11"/>
      <c r="D412" s="8" t="s">
        <v>8</v>
      </c>
    </row>
    <row r="413">
      <c r="A413" s="11"/>
      <c r="B413" s="11"/>
      <c r="D413" s="8" t="s">
        <v>8</v>
      </c>
    </row>
    <row r="414">
      <c r="A414" s="11"/>
      <c r="B414" s="11"/>
      <c r="D414" s="8" t="s">
        <v>8</v>
      </c>
    </row>
    <row r="415">
      <c r="A415" s="11"/>
      <c r="B415" s="11"/>
      <c r="D415" s="8" t="s">
        <v>8</v>
      </c>
    </row>
    <row r="416">
      <c r="A416" s="11"/>
      <c r="B416" s="11"/>
      <c r="D416" s="8" t="s">
        <v>8</v>
      </c>
    </row>
    <row r="417">
      <c r="A417" s="11"/>
      <c r="B417" s="11"/>
      <c r="D417" s="8" t="s">
        <v>8</v>
      </c>
    </row>
    <row r="418">
      <c r="A418" s="11"/>
      <c r="B418" s="11"/>
      <c r="D418" s="8" t="s">
        <v>8</v>
      </c>
    </row>
    <row r="419">
      <c r="A419" s="11"/>
      <c r="B419" s="11"/>
      <c r="D419" s="8" t="s">
        <v>8</v>
      </c>
    </row>
    <row r="420">
      <c r="A420" s="11"/>
      <c r="B420" s="11"/>
      <c r="D420" s="8" t="s">
        <v>8</v>
      </c>
    </row>
    <row r="421">
      <c r="A421" s="11"/>
      <c r="B421" s="11"/>
      <c r="D421" s="8" t="s">
        <v>8</v>
      </c>
    </row>
    <row r="422">
      <c r="A422" s="11"/>
      <c r="B422" s="11"/>
      <c r="D422" s="8" t="s">
        <v>8</v>
      </c>
    </row>
    <row r="423">
      <c r="A423" s="11"/>
      <c r="B423" s="11"/>
      <c r="D423" s="8" t="s">
        <v>8</v>
      </c>
    </row>
    <row r="424">
      <c r="A424" s="11"/>
      <c r="B424" s="11"/>
      <c r="D424" s="8" t="s">
        <v>8</v>
      </c>
    </row>
    <row r="425">
      <c r="A425" s="11"/>
      <c r="B425" s="11"/>
      <c r="D425" s="8" t="s">
        <v>8</v>
      </c>
    </row>
    <row r="426">
      <c r="A426" s="11"/>
      <c r="B426" s="11"/>
      <c r="D426" s="8" t="s">
        <v>8</v>
      </c>
    </row>
    <row r="427">
      <c r="A427" s="11"/>
      <c r="B427" s="11"/>
      <c r="D427" s="8" t="s">
        <v>8</v>
      </c>
    </row>
    <row r="428">
      <c r="A428" s="11"/>
      <c r="B428" s="11"/>
      <c r="D428" s="8" t="s">
        <v>8</v>
      </c>
    </row>
    <row r="429">
      <c r="A429" s="11"/>
      <c r="B429" s="11"/>
      <c r="D429" s="8" t="s">
        <v>8</v>
      </c>
    </row>
    <row r="430">
      <c r="A430" s="11"/>
      <c r="B430" s="11"/>
      <c r="D430" s="8" t="s">
        <v>8</v>
      </c>
    </row>
    <row r="431">
      <c r="A431" s="11"/>
      <c r="B431" s="11"/>
      <c r="D431" s="8" t="s">
        <v>8</v>
      </c>
    </row>
    <row r="432">
      <c r="A432" s="11"/>
      <c r="B432" s="11"/>
      <c r="D432" s="8" t="s">
        <v>8</v>
      </c>
    </row>
    <row r="433">
      <c r="A433" s="11"/>
      <c r="B433" s="11"/>
      <c r="D433" s="8" t="s">
        <v>8</v>
      </c>
    </row>
    <row r="434">
      <c r="A434" s="11"/>
      <c r="B434" s="11"/>
      <c r="D434" s="8" t="s">
        <v>8</v>
      </c>
    </row>
    <row r="435">
      <c r="A435" s="11"/>
      <c r="B435" s="11"/>
      <c r="D435" s="8" t="s">
        <v>8</v>
      </c>
    </row>
    <row r="436">
      <c r="A436" s="11"/>
      <c r="B436" s="11"/>
      <c r="D436" s="8" t="s">
        <v>8</v>
      </c>
    </row>
    <row r="437">
      <c r="A437" s="11"/>
      <c r="B437" s="11"/>
      <c r="D437" s="8" t="s">
        <v>8</v>
      </c>
    </row>
    <row r="438">
      <c r="A438" s="11"/>
      <c r="B438" s="11"/>
      <c r="D438" s="8" t="s">
        <v>8</v>
      </c>
    </row>
    <row r="439">
      <c r="A439" s="11"/>
      <c r="B439" s="11"/>
      <c r="D439" s="8" t="s">
        <v>8</v>
      </c>
    </row>
    <row r="440">
      <c r="A440" s="11"/>
      <c r="B440" s="11"/>
      <c r="D440" s="8" t="s">
        <v>8</v>
      </c>
    </row>
    <row r="441">
      <c r="A441" s="11"/>
      <c r="B441" s="11"/>
      <c r="D441" s="8" t="s">
        <v>8</v>
      </c>
    </row>
    <row r="442">
      <c r="A442" s="11"/>
      <c r="B442" s="11"/>
      <c r="D442" s="8" t="s">
        <v>8</v>
      </c>
    </row>
    <row r="443">
      <c r="A443" s="11"/>
      <c r="B443" s="11"/>
      <c r="D443" s="8" t="s">
        <v>8</v>
      </c>
    </row>
    <row r="444">
      <c r="A444" s="11"/>
      <c r="B444" s="11"/>
      <c r="D444" s="8" t="s">
        <v>8</v>
      </c>
    </row>
    <row r="445">
      <c r="A445" s="11"/>
      <c r="B445" s="11"/>
      <c r="D445" s="8" t="s">
        <v>8</v>
      </c>
    </row>
    <row r="446">
      <c r="A446" s="11"/>
      <c r="B446" s="11"/>
      <c r="D446" s="8" t="s">
        <v>8</v>
      </c>
    </row>
    <row r="447">
      <c r="A447" s="11"/>
      <c r="B447" s="11"/>
      <c r="D447" s="8" t="s">
        <v>8</v>
      </c>
    </row>
    <row r="448">
      <c r="A448" s="11"/>
      <c r="B448" s="11"/>
      <c r="D448" s="8" t="s">
        <v>8</v>
      </c>
    </row>
    <row r="449">
      <c r="A449" s="11"/>
      <c r="B449" s="11"/>
      <c r="D449" s="8" t="s">
        <v>8</v>
      </c>
    </row>
    <row r="450">
      <c r="A450" s="11"/>
      <c r="B450" s="11"/>
      <c r="D450" s="8" t="s">
        <v>8</v>
      </c>
    </row>
    <row r="451">
      <c r="A451" s="11"/>
      <c r="B451" s="11"/>
      <c r="D451" s="8" t="s">
        <v>8</v>
      </c>
    </row>
    <row r="452">
      <c r="A452" s="11"/>
      <c r="B452" s="11"/>
      <c r="D452" s="8" t="s">
        <v>8</v>
      </c>
    </row>
    <row r="453">
      <c r="A453" s="11"/>
      <c r="B453" s="11"/>
      <c r="D453" s="8" t="s">
        <v>8</v>
      </c>
    </row>
    <row r="454">
      <c r="A454" s="11"/>
      <c r="B454" s="11"/>
      <c r="D454" s="8" t="s">
        <v>8</v>
      </c>
    </row>
    <row r="455">
      <c r="A455" s="11"/>
      <c r="B455" s="11"/>
      <c r="D455" s="8" t="s">
        <v>8</v>
      </c>
    </row>
    <row r="456">
      <c r="A456" s="11"/>
      <c r="B456" s="11"/>
      <c r="D456" s="8" t="s">
        <v>8</v>
      </c>
    </row>
    <row r="457">
      <c r="A457" s="11"/>
      <c r="B457" s="11"/>
      <c r="D457" s="8" t="s">
        <v>8</v>
      </c>
    </row>
    <row r="458">
      <c r="A458" s="11"/>
      <c r="B458" s="11"/>
      <c r="D458" s="8" t="s">
        <v>8</v>
      </c>
    </row>
    <row r="459">
      <c r="A459" s="11"/>
      <c r="B459" s="11"/>
      <c r="D459" s="8" t="s">
        <v>8</v>
      </c>
    </row>
    <row r="460">
      <c r="A460" s="11"/>
      <c r="B460" s="11"/>
      <c r="D460" s="8" t="s">
        <v>8</v>
      </c>
    </row>
    <row r="461">
      <c r="A461" s="11"/>
      <c r="B461" s="11"/>
      <c r="D461" s="8" t="s">
        <v>8</v>
      </c>
    </row>
    <row r="462">
      <c r="A462" s="11"/>
      <c r="B462" s="11"/>
      <c r="D462" s="8" t="s">
        <v>8</v>
      </c>
    </row>
    <row r="463">
      <c r="A463" s="11"/>
      <c r="B463" s="11"/>
      <c r="D463" s="8" t="s">
        <v>8</v>
      </c>
    </row>
    <row r="464">
      <c r="A464" s="11"/>
      <c r="B464" s="11"/>
      <c r="D464" s="8" t="s">
        <v>8</v>
      </c>
    </row>
    <row r="465">
      <c r="A465" s="11"/>
      <c r="B465" s="11"/>
      <c r="D465" s="8" t="s">
        <v>8</v>
      </c>
    </row>
    <row r="466">
      <c r="A466" s="11"/>
      <c r="B466" s="11"/>
      <c r="D466" s="8" t="s">
        <v>8</v>
      </c>
    </row>
    <row r="467">
      <c r="A467" s="11"/>
      <c r="B467" s="11"/>
      <c r="D467" s="8" t="s">
        <v>8</v>
      </c>
    </row>
    <row r="468">
      <c r="A468" s="11"/>
      <c r="B468" s="11"/>
      <c r="D468" s="8" t="s">
        <v>8</v>
      </c>
    </row>
    <row r="469">
      <c r="A469" s="11"/>
      <c r="B469" s="11"/>
      <c r="D469" s="8" t="s">
        <v>8</v>
      </c>
    </row>
    <row r="470">
      <c r="A470" s="11"/>
      <c r="B470" s="11"/>
      <c r="D470" s="8" t="s">
        <v>8</v>
      </c>
    </row>
    <row r="471">
      <c r="A471" s="11"/>
      <c r="B471" s="11"/>
      <c r="D471" s="8" t="s">
        <v>8</v>
      </c>
    </row>
    <row r="472">
      <c r="A472" s="11"/>
      <c r="B472" s="11"/>
      <c r="D472" s="8" t="s">
        <v>8</v>
      </c>
    </row>
    <row r="473">
      <c r="A473" s="11"/>
      <c r="B473" s="11"/>
      <c r="D473" s="8" t="s">
        <v>8</v>
      </c>
    </row>
    <row r="474">
      <c r="A474" s="11"/>
      <c r="B474" s="11"/>
      <c r="D474" s="8" t="s">
        <v>8</v>
      </c>
    </row>
    <row r="475">
      <c r="A475" s="11"/>
      <c r="B475" s="11"/>
      <c r="D475" s="8" t="s">
        <v>8</v>
      </c>
    </row>
    <row r="476">
      <c r="A476" s="11"/>
      <c r="B476" s="11"/>
      <c r="D476" s="8" t="s">
        <v>8</v>
      </c>
    </row>
    <row r="477">
      <c r="A477" s="11"/>
      <c r="B477" s="11"/>
      <c r="D477" s="8" t="s">
        <v>8</v>
      </c>
    </row>
    <row r="478">
      <c r="A478" s="11"/>
      <c r="B478" s="11"/>
      <c r="D478" s="8" t="s">
        <v>8</v>
      </c>
    </row>
    <row r="479">
      <c r="A479" s="11"/>
      <c r="B479" s="11"/>
      <c r="D479" s="8" t="s">
        <v>8</v>
      </c>
    </row>
    <row r="480">
      <c r="A480" s="11"/>
      <c r="B480" s="11"/>
      <c r="D480" s="8" t="s">
        <v>8</v>
      </c>
    </row>
    <row r="481">
      <c r="A481" s="11"/>
      <c r="B481" s="11"/>
      <c r="D481" s="8" t="s">
        <v>8</v>
      </c>
    </row>
    <row r="482">
      <c r="A482" s="11"/>
      <c r="B482" s="11"/>
      <c r="D482" s="8" t="s">
        <v>8</v>
      </c>
    </row>
    <row r="483">
      <c r="A483" s="11"/>
      <c r="B483" s="11"/>
      <c r="D483" s="8" t="s">
        <v>8</v>
      </c>
    </row>
    <row r="484">
      <c r="A484" s="11"/>
      <c r="B484" s="11"/>
      <c r="D484" s="8" t="s">
        <v>8</v>
      </c>
    </row>
    <row r="485">
      <c r="A485" s="11"/>
      <c r="B485" s="11"/>
      <c r="D485" s="8" t="s">
        <v>8</v>
      </c>
    </row>
    <row r="486">
      <c r="A486" s="11"/>
      <c r="B486" s="11"/>
      <c r="D486" s="8" t="s">
        <v>8</v>
      </c>
    </row>
    <row r="487">
      <c r="A487" s="11"/>
      <c r="B487" s="11"/>
      <c r="D487" s="8" t="s">
        <v>8</v>
      </c>
    </row>
    <row r="488">
      <c r="A488" s="11"/>
      <c r="B488" s="11"/>
      <c r="D488" s="8" t="s">
        <v>8</v>
      </c>
    </row>
    <row r="489">
      <c r="A489" s="11"/>
      <c r="B489" s="11"/>
      <c r="D489" s="8" t="s">
        <v>8</v>
      </c>
    </row>
    <row r="490">
      <c r="A490" s="11"/>
      <c r="B490" s="11"/>
      <c r="D490" s="8" t="s">
        <v>8</v>
      </c>
    </row>
    <row r="491">
      <c r="A491" s="11"/>
      <c r="B491" s="11"/>
      <c r="D491" s="8" t="s">
        <v>8</v>
      </c>
    </row>
    <row r="492">
      <c r="A492" s="11"/>
      <c r="B492" s="11"/>
      <c r="D492" s="8" t="s">
        <v>8</v>
      </c>
    </row>
    <row r="493">
      <c r="A493" s="11"/>
      <c r="B493" s="11"/>
      <c r="D493" s="8" t="s">
        <v>8</v>
      </c>
    </row>
    <row r="494">
      <c r="A494" s="11"/>
      <c r="B494" s="11"/>
      <c r="D494" s="8" t="s">
        <v>8</v>
      </c>
    </row>
    <row r="495">
      <c r="A495" s="11"/>
      <c r="B495" s="11"/>
      <c r="D495" s="8" t="s">
        <v>8</v>
      </c>
    </row>
    <row r="496">
      <c r="A496" s="11"/>
      <c r="B496" s="11"/>
      <c r="D496" s="8" t="s">
        <v>8</v>
      </c>
    </row>
    <row r="497">
      <c r="A497" s="11"/>
      <c r="B497" s="11"/>
      <c r="D497" s="8" t="s">
        <v>8</v>
      </c>
    </row>
    <row r="498">
      <c r="A498" s="11"/>
      <c r="B498" s="11"/>
      <c r="D498" s="8" t="s">
        <v>8</v>
      </c>
    </row>
    <row r="499">
      <c r="A499" s="11"/>
      <c r="B499" s="11"/>
      <c r="D499" s="8" t="s">
        <v>8</v>
      </c>
    </row>
    <row r="500">
      <c r="A500" s="11"/>
      <c r="B500" s="11"/>
      <c r="D500" s="8" t="s">
        <v>8</v>
      </c>
    </row>
    <row r="501">
      <c r="A501" s="11"/>
      <c r="B501" s="11"/>
      <c r="D501" s="8" t="s">
        <v>8</v>
      </c>
    </row>
    <row r="502">
      <c r="A502" s="11"/>
      <c r="B502" s="11"/>
      <c r="D502" s="8" t="s">
        <v>8</v>
      </c>
    </row>
    <row r="503">
      <c r="A503" s="11"/>
      <c r="B503" s="11"/>
      <c r="D503" s="8" t="s">
        <v>8</v>
      </c>
    </row>
    <row r="504">
      <c r="A504" s="11"/>
      <c r="B504" s="11"/>
      <c r="D504" s="8" t="s">
        <v>8</v>
      </c>
    </row>
    <row r="505">
      <c r="A505" s="11"/>
      <c r="B505" s="11"/>
      <c r="D505" s="8" t="s">
        <v>8</v>
      </c>
    </row>
    <row r="506">
      <c r="A506" s="11"/>
      <c r="B506" s="11"/>
      <c r="D506" s="8" t="s">
        <v>8</v>
      </c>
    </row>
    <row r="507">
      <c r="A507" s="11"/>
      <c r="B507" s="11"/>
      <c r="D507" s="8" t="s">
        <v>8</v>
      </c>
    </row>
    <row r="508">
      <c r="A508" s="11"/>
      <c r="B508" s="11"/>
      <c r="D508" s="8" t="s">
        <v>8</v>
      </c>
    </row>
    <row r="509">
      <c r="A509" s="11"/>
      <c r="B509" s="11"/>
      <c r="D509" s="8" t="s">
        <v>8</v>
      </c>
    </row>
    <row r="510">
      <c r="A510" s="11"/>
      <c r="B510" s="11"/>
      <c r="D510" s="8" t="s">
        <v>8</v>
      </c>
    </row>
    <row r="511">
      <c r="A511" s="11"/>
      <c r="B511" s="11"/>
      <c r="D511" s="8" t="s">
        <v>8</v>
      </c>
    </row>
    <row r="512">
      <c r="A512" s="11"/>
      <c r="B512" s="11"/>
      <c r="D512" s="8" t="s">
        <v>8</v>
      </c>
    </row>
    <row r="513">
      <c r="A513" s="11"/>
      <c r="B513" s="11"/>
      <c r="D513" s="8" t="s">
        <v>8</v>
      </c>
    </row>
    <row r="514">
      <c r="A514" s="11"/>
      <c r="B514" s="11"/>
      <c r="D514" s="8" t="s">
        <v>8</v>
      </c>
    </row>
    <row r="515">
      <c r="A515" s="11"/>
      <c r="B515" s="11"/>
      <c r="D515" s="8" t="s">
        <v>8</v>
      </c>
    </row>
    <row r="516">
      <c r="A516" s="11"/>
      <c r="B516" s="11"/>
      <c r="D516" s="8" t="s">
        <v>8</v>
      </c>
    </row>
    <row r="517">
      <c r="A517" s="11"/>
      <c r="B517" s="11"/>
      <c r="D517" s="8" t="s">
        <v>8</v>
      </c>
    </row>
    <row r="518">
      <c r="A518" s="11"/>
      <c r="B518" s="11"/>
      <c r="D518" s="8" t="s">
        <v>8</v>
      </c>
    </row>
    <row r="519">
      <c r="A519" s="11"/>
      <c r="B519" s="11"/>
      <c r="D519" s="8" t="s">
        <v>8</v>
      </c>
    </row>
    <row r="520">
      <c r="A520" s="11"/>
      <c r="B520" s="11"/>
      <c r="D520" s="8" t="s">
        <v>8</v>
      </c>
    </row>
    <row r="521">
      <c r="A521" s="11"/>
      <c r="B521" s="11"/>
      <c r="D521" s="8" t="s">
        <v>8</v>
      </c>
    </row>
    <row r="522">
      <c r="A522" s="11"/>
      <c r="B522" s="11"/>
      <c r="D522" s="8" t="s">
        <v>8</v>
      </c>
    </row>
    <row r="523">
      <c r="A523" s="11"/>
      <c r="B523" s="11"/>
      <c r="D523" s="8" t="s">
        <v>8</v>
      </c>
    </row>
    <row r="524">
      <c r="A524" s="11"/>
      <c r="B524" s="11"/>
      <c r="D524" s="8" t="s">
        <v>8</v>
      </c>
    </row>
    <row r="525">
      <c r="A525" s="11"/>
      <c r="B525" s="11"/>
      <c r="D525" s="8" t="s">
        <v>8</v>
      </c>
    </row>
    <row r="526">
      <c r="A526" s="11"/>
      <c r="B526" s="11"/>
      <c r="D526" s="8" t="s">
        <v>8</v>
      </c>
    </row>
    <row r="527">
      <c r="A527" s="11"/>
      <c r="B527" s="11"/>
      <c r="D527" s="8" t="s">
        <v>8</v>
      </c>
    </row>
    <row r="528">
      <c r="A528" s="11"/>
      <c r="B528" s="11"/>
      <c r="D528" s="8" t="s">
        <v>8</v>
      </c>
    </row>
    <row r="529">
      <c r="A529" s="11"/>
      <c r="B529" s="11"/>
      <c r="D529" s="8" t="s">
        <v>8</v>
      </c>
    </row>
    <row r="530">
      <c r="A530" s="11"/>
      <c r="B530" s="11"/>
      <c r="D530" s="8" t="s">
        <v>8</v>
      </c>
    </row>
    <row r="531">
      <c r="A531" s="11"/>
      <c r="B531" s="11"/>
      <c r="D531" s="8" t="s">
        <v>8</v>
      </c>
    </row>
    <row r="532">
      <c r="A532" s="11"/>
      <c r="B532" s="11"/>
      <c r="D532" s="8" t="s">
        <v>8</v>
      </c>
    </row>
    <row r="533">
      <c r="A533" s="11"/>
      <c r="B533" s="11"/>
      <c r="D533" s="8" t="s">
        <v>8</v>
      </c>
    </row>
    <row r="534">
      <c r="A534" s="11"/>
      <c r="B534" s="11"/>
      <c r="D534" s="8" t="s">
        <v>8</v>
      </c>
    </row>
    <row r="535">
      <c r="A535" s="11"/>
      <c r="B535" s="11"/>
      <c r="D535" s="8" t="s">
        <v>8</v>
      </c>
    </row>
    <row r="536">
      <c r="A536" s="11"/>
      <c r="B536" s="11"/>
      <c r="D536" s="8" t="s">
        <v>8</v>
      </c>
    </row>
    <row r="537">
      <c r="A537" s="11"/>
      <c r="B537" s="11"/>
      <c r="D537" s="8" t="s">
        <v>8</v>
      </c>
    </row>
    <row r="538">
      <c r="A538" s="11"/>
      <c r="B538" s="11"/>
      <c r="D538" s="8" t="s">
        <v>8</v>
      </c>
    </row>
    <row r="539">
      <c r="A539" s="11"/>
      <c r="B539" s="11"/>
      <c r="D539" s="8" t="s">
        <v>8</v>
      </c>
    </row>
    <row r="540">
      <c r="A540" s="11"/>
      <c r="B540" s="11"/>
      <c r="D540" s="8" t="s">
        <v>8</v>
      </c>
    </row>
    <row r="541">
      <c r="A541" s="11"/>
      <c r="B541" s="11"/>
      <c r="D541" s="8" t="s">
        <v>8</v>
      </c>
    </row>
    <row r="542">
      <c r="A542" s="11"/>
      <c r="B542" s="11"/>
      <c r="D542" s="8" t="s">
        <v>8</v>
      </c>
    </row>
    <row r="543">
      <c r="A543" s="11"/>
      <c r="B543" s="11"/>
      <c r="D543" s="8" t="s">
        <v>8</v>
      </c>
    </row>
    <row r="544">
      <c r="A544" s="11"/>
      <c r="B544" s="11"/>
      <c r="D544" s="8" t="s">
        <v>8</v>
      </c>
    </row>
    <row r="545">
      <c r="A545" s="11"/>
      <c r="B545" s="11"/>
      <c r="D545" s="8" t="s">
        <v>8</v>
      </c>
    </row>
    <row r="546">
      <c r="A546" s="11"/>
      <c r="B546" s="11"/>
      <c r="D546" s="8" t="s">
        <v>8</v>
      </c>
    </row>
    <row r="547">
      <c r="A547" s="11"/>
      <c r="B547" s="11"/>
      <c r="D547" s="8" t="s">
        <v>8</v>
      </c>
    </row>
    <row r="548">
      <c r="A548" s="11"/>
      <c r="B548" s="11"/>
      <c r="D548" s="8" t="s">
        <v>8</v>
      </c>
    </row>
    <row r="549">
      <c r="A549" s="11"/>
      <c r="B549" s="11"/>
      <c r="D549" s="8" t="s">
        <v>8</v>
      </c>
    </row>
    <row r="550">
      <c r="A550" s="11"/>
      <c r="B550" s="11"/>
      <c r="D550" s="8" t="s">
        <v>8</v>
      </c>
    </row>
    <row r="551">
      <c r="A551" s="11"/>
      <c r="B551" s="11"/>
      <c r="D551" s="8" t="s">
        <v>8</v>
      </c>
    </row>
    <row r="552">
      <c r="A552" s="11"/>
      <c r="B552" s="11"/>
      <c r="D552" s="8" t="s">
        <v>8</v>
      </c>
    </row>
    <row r="553">
      <c r="A553" s="11"/>
      <c r="B553" s="11"/>
      <c r="D553" s="8" t="s">
        <v>8</v>
      </c>
    </row>
    <row r="554">
      <c r="A554" s="11"/>
      <c r="B554" s="11"/>
      <c r="D554" s="8" t="s">
        <v>8</v>
      </c>
    </row>
    <row r="555">
      <c r="A555" s="11"/>
      <c r="B555" s="11"/>
      <c r="D555" s="8" t="s">
        <v>8</v>
      </c>
    </row>
    <row r="556">
      <c r="A556" s="11"/>
      <c r="B556" s="11"/>
      <c r="D556" s="8" t="s">
        <v>8</v>
      </c>
    </row>
    <row r="557">
      <c r="A557" s="11"/>
      <c r="B557" s="11"/>
      <c r="D557" s="8" t="s">
        <v>8</v>
      </c>
    </row>
    <row r="558">
      <c r="A558" s="11"/>
      <c r="B558" s="11"/>
      <c r="D558" s="8" t="s">
        <v>8</v>
      </c>
    </row>
    <row r="559">
      <c r="A559" s="11"/>
      <c r="B559" s="11"/>
      <c r="D559" s="8" t="s">
        <v>8</v>
      </c>
    </row>
    <row r="560">
      <c r="A560" s="11"/>
      <c r="B560" s="11"/>
      <c r="D560" s="8" t="s">
        <v>8</v>
      </c>
    </row>
    <row r="561">
      <c r="A561" s="11"/>
      <c r="B561" s="11"/>
      <c r="D561" s="8" t="s">
        <v>8</v>
      </c>
    </row>
    <row r="562">
      <c r="A562" s="11"/>
      <c r="B562" s="11"/>
      <c r="D562" s="8" t="s">
        <v>8</v>
      </c>
    </row>
    <row r="563">
      <c r="A563" s="11"/>
      <c r="B563" s="11"/>
      <c r="D563" s="8" t="s">
        <v>8</v>
      </c>
    </row>
    <row r="564">
      <c r="A564" s="11"/>
      <c r="B564" s="11"/>
      <c r="D564" s="8" t="s">
        <v>8</v>
      </c>
    </row>
    <row r="565">
      <c r="A565" s="11"/>
      <c r="B565" s="11"/>
      <c r="D565" s="8" t="s">
        <v>8</v>
      </c>
    </row>
    <row r="566">
      <c r="A566" s="11"/>
      <c r="B566" s="11"/>
      <c r="D566" s="8" t="s">
        <v>8</v>
      </c>
    </row>
    <row r="567">
      <c r="A567" s="11"/>
      <c r="B567" s="11"/>
      <c r="D567" s="8" t="s">
        <v>8</v>
      </c>
    </row>
    <row r="568">
      <c r="A568" s="11"/>
      <c r="B568" s="11"/>
      <c r="D568" s="8" t="s">
        <v>8</v>
      </c>
    </row>
    <row r="569">
      <c r="A569" s="11"/>
      <c r="B569" s="11"/>
      <c r="D569" s="8" t="s">
        <v>8</v>
      </c>
    </row>
    <row r="570">
      <c r="A570" s="11"/>
      <c r="B570" s="11"/>
      <c r="D570" s="8" t="s">
        <v>8</v>
      </c>
    </row>
    <row r="571">
      <c r="A571" s="11"/>
      <c r="B571" s="11"/>
      <c r="D571" s="8" t="s">
        <v>8</v>
      </c>
    </row>
    <row r="572">
      <c r="A572" s="11"/>
      <c r="B572" s="11"/>
      <c r="D572" s="8" t="s">
        <v>8</v>
      </c>
    </row>
    <row r="573">
      <c r="A573" s="11"/>
      <c r="B573" s="11"/>
      <c r="D573" s="8" t="s">
        <v>8</v>
      </c>
    </row>
    <row r="574">
      <c r="A574" s="11"/>
      <c r="B574" s="11"/>
      <c r="D574" s="8" t="s">
        <v>8</v>
      </c>
    </row>
    <row r="575">
      <c r="A575" s="11"/>
      <c r="B575" s="11"/>
      <c r="D575" s="8" t="s">
        <v>8</v>
      </c>
    </row>
    <row r="576">
      <c r="A576" s="11"/>
      <c r="B576" s="11"/>
      <c r="D576" s="8" t="s">
        <v>8</v>
      </c>
    </row>
    <row r="577">
      <c r="A577" s="11"/>
      <c r="B577" s="11"/>
      <c r="D577" s="8" t="s">
        <v>8</v>
      </c>
    </row>
    <row r="578">
      <c r="A578" s="11"/>
      <c r="B578" s="11"/>
      <c r="D578" s="8" t="s">
        <v>8</v>
      </c>
    </row>
    <row r="579">
      <c r="A579" s="11"/>
      <c r="B579" s="11"/>
      <c r="D579" s="8" t="s">
        <v>8</v>
      </c>
    </row>
    <row r="580">
      <c r="A580" s="11"/>
      <c r="B580" s="11"/>
      <c r="D580" s="8" t="s">
        <v>8</v>
      </c>
    </row>
    <row r="581">
      <c r="A581" s="11"/>
      <c r="B581" s="11"/>
      <c r="D581" s="8" t="s">
        <v>8</v>
      </c>
    </row>
    <row r="582">
      <c r="A582" s="11"/>
      <c r="B582" s="11"/>
      <c r="D582" s="8" t="s">
        <v>8</v>
      </c>
    </row>
    <row r="583">
      <c r="A583" s="11"/>
      <c r="B583" s="11"/>
      <c r="D583" s="8" t="s">
        <v>8</v>
      </c>
    </row>
    <row r="584">
      <c r="A584" s="11"/>
      <c r="B584" s="11"/>
      <c r="D584" s="8" t="s">
        <v>8</v>
      </c>
    </row>
    <row r="585">
      <c r="A585" s="11"/>
      <c r="B585" s="11"/>
      <c r="D585" s="8" t="s">
        <v>8</v>
      </c>
    </row>
    <row r="586">
      <c r="A586" s="11"/>
      <c r="B586" s="11"/>
      <c r="D586" s="8" t="s">
        <v>8</v>
      </c>
    </row>
    <row r="587">
      <c r="A587" s="11"/>
      <c r="B587" s="11"/>
      <c r="D587" s="8" t="s">
        <v>8</v>
      </c>
    </row>
    <row r="588">
      <c r="A588" s="11"/>
      <c r="B588" s="11"/>
      <c r="D588" s="8" t="s">
        <v>8</v>
      </c>
    </row>
    <row r="589">
      <c r="A589" s="11"/>
      <c r="B589" s="11"/>
      <c r="D589" s="8" t="s">
        <v>8</v>
      </c>
    </row>
    <row r="590">
      <c r="A590" s="11"/>
      <c r="B590" s="11"/>
      <c r="D590" s="8" t="s">
        <v>8</v>
      </c>
    </row>
    <row r="591">
      <c r="A591" s="11"/>
      <c r="B591" s="11"/>
      <c r="D591" s="8" t="s">
        <v>8</v>
      </c>
    </row>
    <row r="592">
      <c r="A592" s="11"/>
      <c r="B592" s="11"/>
      <c r="D592" s="8" t="s">
        <v>8</v>
      </c>
    </row>
    <row r="593">
      <c r="A593" s="11"/>
      <c r="B593" s="11"/>
      <c r="D593" s="8" t="s">
        <v>8</v>
      </c>
    </row>
    <row r="594">
      <c r="A594" s="11"/>
      <c r="B594" s="11"/>
      <c r="D594" s="8" t="s">
        <v>8</v>
      </c>
    </row>
    <row r="595">
      <c r="A595" s="11"/>
      <c r="B595" s="11"/>
      <c r="D595" s="8" t="s">
        <v>8</v>
      </c>
    </row>
    <row r="596">
      <c r="A596" s="11"/>
      <c r="B596" s="11"/>
      <c r="D596" s="8" t="s">
        <v>8</v>
      </c>
    </row>
    <row r="597">
      <c r="A597" s="11"/>
      <c r="B597" s="11"/>
      <c r="D597" s="8" t="s">
        <v>8</v>
      </c>
    </row>
    <row r="598">
      <c r="A598" s="11"/>
      <c r="B598" s="11"/>
      <c r="D598" s="8" t="s">
        <v>8</v>
      </c>
    </row>
    <row r="599">
      <c r="A599" s="11"/>
      <c r="B599" s="11"/>
      <c r="D599" s="8" t="s">
        <v>8</v>
      </c>
    </row>
    <row r="600">
      <c r="A600" s="11"/>
      <c r="B600" s="11"/>
      <c r="D600" s="8" t="s">
        <v>8</v>
      </c>
    </row>
    <row r="601">
      <c r="A601" s="11"/>
      <c r="B601" s="11"/>
      <c r="D601" s="8" t="s">
        <v>8</v>
      </c>
    </row>
    <row r="602">
      <c r="A602" s="11"/>
      <c r="B602" s="11"/>
      <c r="D602" s="8" t="s">
        <v>8</v>
      </c>
    </row>
    <row r="603">
      <c r="A603" s="11"/>
      <c r="B603" s="11"/>
      <c r="D603" s="8" t="s">
        <v>8</v>
      </c>
    </row>
    <row r="604">
      <c r="A604" s="11"/>
      <c r="B604" s="11"/>
      <c r="D604" s="8" t="s">
        <v>8</v>
      </c>
    </row>
    <row r="605">
      <c r="A605" s="11"/>
      <c r="B605" s="11"/>
      <c r="D605" s="8" t="s">
        <v>8</v>
      </c>
    </row>
    <row r="606">
      <c r="A606" s="11"/>
      <c r="B606" s="11"/>
      <c r="D606" s="8" t="s">
        <v>8</v>
      </c>
    </row>
    <row r="607">
      <c r="A607" s="11"/>
      <c r="B607" s="11"/>
      <c r="D607" s="8" t="s">
        <v>8</v>
      </c>
    </row>
    <row r="608">
      <c r="A608" s="11"/>
      <c r="B608" s="11"/>
      <c r="D608" s="8" t="s">
        <v>8</v>
      </c>
    </row>
    <row r="609">
      <c r="A609" s="11"/>
      <c r="B609" s="11"/>
      <c r="D609" s="8" t="s">
        <v>8</v>
      </c>
    </row>
    <row r="610">
      <c r="A610" s="11"/>
      <c r="B610" s="11"/>
      <c r="D610" s="8" t="s">
        <v>8</v>
      </c>
    </row>
    <row r="611">
      <c r="A611" s="11"/>
      <c r="B611" s="11"/>
      <c r="D611" s="8" t="s">
        <v>8</v>
      </c>
    </row>
    <row r="612">
      <c r="A612" s="11"/>
      <c r="B612" s="11"/>
      <c r="D612" s="8" t="s">
        <v>8</v>
      </c>
    </row>
    <row r="613">
      <c r="A613" s="11"/>
      <c r="B613" s="11"/>
      <c r="D613" s="8" t="s">
        <v>8</v>
      </c>
    </row>
    <row r="614">
      <c r="A614" s="11"/>
      <c r="B614" s="11"/>
      <c r="D614" s="8" t="s">
        <v>8</v>
      </c>
    </row>
    <row r="615">
      <c r="A615" s="11"/>
      <c r="B615" s="11"/>
      <c r="D615" s="8" t="s">
        <v>8</v>
      </c>
    </row>
    <row r="616">
      <c r="A616" s="11"/>
      <c r="B616" s="11"/>
      <c r="D616" s="8" t="s">
        <v>8</v>
      </c>
    </row>
    <row r="617">
      <c r="A617" s="11"/>
      <c r="B617" s="11"/>
      <c r="D617" s="8" t="s">
        <v>8</v>
      </c>
    </row>
    <row r="618">
      <c r="A618" s="11"/>
      <c r="B618" s="11"/>
      <c r="D618" s="8" t="s">
        <v>8</v>
      </c>
    </row>
    <row r="619">
      <c r="A619" s="11"/>
      <c r="B619" s="11"/>
      <c r="D619" s="8" t="s">
        <v>8</v>
      </c>
    </row>
    <row r="620">
      <c r="A620" s="11"/>
      <c r="B620" s="11"/>
      <c r="D620" s="8" t="s">
        <v>8</v>
      </c>
    </row>
    <row r="621">
      <c r="A621" s="11"/>
      <c r="B621" s="11"/>
      <c r="D621" s="8" t="s">
        <v>8</v>
      </c>
    </row>
    <row r="622">
      <c r="A622" s="11"/>
      <c r="B622" s="11"/>
      <c r="D622" s="8" t="s">
        <v>8</v>
      </c>
    </row>
    <row r="623">
      <c r="A623" s="11"/>
      <c r="B623" s="11"/>
      <c r="D623" s="8" t="s">
        <v>8</v>
      </c>
    </row>
    <row r="624">
      <c r="A624" s="11"/>
      <c r="B624" s="11"/>
      <c r="D624" s="8" t="s">
        <v>8</v>
      </c>
    </row>
    <row r="625">
      <c r="A625" s="11"/>
      <c r="B625" s="11"/>
      <c r="D625" s="8" t="s">
        <v>8</v>
      </c>
    </row>
    <row r="626">
      <c r="A626" s="11"/>
      <c r="B626" s="11"/>
      <c r="D626" s="8" t="s">
        <v>8</v>
      </c>
    </row>
    <row r="627">
      <c r="A627" s="11"/>
      <c r="B627" s="11"/>
      <c r="D627" s="8" t="s">
        <v>8</v>
      </c>
    </row>
    <row r="628">
      <c r="A628" s="11"/>
      <c r="B628" s="11"/>
      <c r="D628" s="8" t="s">
        <v>8</v>
      </c>
    </row>
    <row r="629">
      <c r="A629" s="11"/>
      <c r="B629" s="11"/>
      <c r="D629" s="8" t="s">
        <v>8</v>
      </c>
    </row>
    <row r="630">
      <c r="A630" s="11"/>
      <c r="B630" s="11"/>
      <c r="D630" s="8" t="s">
        <v>8</v>
      </c>
    </row>
    <row r="631">
      <c r="A631" s="11"/>
      <c r="B631" s="11"/>
      <c r="D631" s="8" t="s">
        <v>8</v>
      </c>
    </row>
    <row r="632">
      <c r="A632" s="11"/>
      <c r="B632" s="11"/>
      <c r="D632" s="8" t="s">
        <v>8</v>
      </c>
    </row>
    <row r="633">
      <c r="A633" s="11"/>
      <c r="B633" s="11"/>
      <c r="D633" s="8" t="s">
        <v>8</v>
      </c>
    </row>
    <row r="634">
      <c r="A634" s="11"/>
      <c r="B634" s="11"/>
      <c r="D634" s="8" t="s">
        <v>8</v>
      </c>
    </row>
    <row r="635">
      <c r="A635" s="11"/>
      <c r="B635" s="11"/>
      <c r="D635" s="8" t="s">
        <v>8</v>
      </c>
    </row>
    <row r="636">
      <c r="A636" s="11"/>
      <c r="B636" s="11"/>
      <c r="D636" s="8" t="s">
        <v>8</v>
      </c>
    </row>
    <row r="637">
      <c r="A637" s="11"/>
      <c r="B637" s="11"/>
      <c r="D637" s="8" t="s">
        <v>8</v>
      </c>
    </row>
    <row r="638">
      <c r="A638" s="11"/>
      <c r="B638" s="11"/>
      <c r="D638" s="8" t="s">
        <v>8</v>
      </c>
    </row>
    <row r="639">
      <c r="A639" s="11"/>
      <c r="B639" s="11"/>
      <c r="D639" s="8" t="s">
        <v>8</v>
      </c>
    </row>
    <row r="640">
      <c r="A640" s="11"/>
      <c r="B640" s="11"/>
      <c r="D640" s="8" t="s">
        <v>8</v>
      </c>
    </row>
    <row r="641">
      <c r="A641" s="11"/>
      <c r="B641" s="11"/>
      <c r="D641" s="8" t="s">
        <v>8</v>
      </c>
    </row>
    <row r="642">
      <c r="A642" s="11"/>
      <c r="B642" s="11"/>
      <c r="D642" s="8" t="s">
        <v>8</v>
      </c>
    </row>
    <row r="643">
      <c r="A643" s="11"/>
      <c r="B643" s="11"/>
      <c r="D643" s="8" t="s">
        <v>8</v>
      </c>
    </row>
    <row r="644">
      <c r="A644" s="11"/>
      <c r="B644" s="11"/>
      <c r="D644" s="8" t="s">
        <v>8</v>
      </c>
    </row>
    <row r="645">
      <c r="A645" s="11"/>
      <c r="B645" s="11"/>
      <c r="D645" s="8" t="s">
        <v>8</v>
      </c>
    </row>
    <row r="646">
      <c r="A646" s="11"/>
      <c r="B646" s="11"/>
      <c r="D646" s="8" t="s">
        <v>8</v>
      </c>
    </row>
    <row r="647">
      <c r="A647" s="11"/>
      <c r="B647" s="11"/>
      <c r="D647" s="8" t="s">
        <v>8</v>
      </c>
    </row>
    <row r="648">
      <c r="A648" s="11"/>
      <c r="B648" s="11"/>
      <c r="D648" s="8" t="s">
        <v>8</v>
      </c>
    </row>
    <row r="649">
      <c r="A649" s="11"/>
      <c r="B649" s="11"/>
      <c r="D649" s="8" t="s">
        <v>8</v>
      </c>
    </row>
    <row r="650">
      <c r="A650" s="11"/>
      <c r="B650" s="11"/>
      <c r="D650" s="8" t="s">
        <v>8</v>
      </c>
    </row>
    <row r="651">
      <c r="A651" s="11"/>
      <c r="B651" s="11"/>
      <c r="D651" s="8" t="s">
        <v>8</v>
      </c>
    </row>
    <row r="652">
      <c r="A652" s="11"/>
      <c r="B652" s="11"/>
      <c r="D652" s="8" t="s">
        <v>8</v>
      </c>
    </row>
    <row r="653">
      <c r="A653" s="11"/>
      <c r="B653" s="11"/>
      <c r="D653" s="8" t="s">
        <v>8</v>
      </c>
    </row>
    <row r="654">
      <c r="A654" s="11"/>
      <c r="B654" s="11"/>
      <c r="D654" s="8" t="s">
        <v>8</v>
      </c>
    </row>
    <row r="655">
      <c r="A655" s="11"/>
      <c r="B655" s="11"/>
      <c r="D655" s="8" t="s">
        <v>8</v>
      </c>
    </row>
    <row r="656">
      <c r="A656" s="11"/>
      <c r="B656" s="11"/>
      <c r="D656" s="8" t="s">
        <v>8</v>
      </c>
    </row>
    <row r="657">
      <c r="A657" s="11"/>
      <c r="B657" s="11"/>
      <c r="D657" s="8" t="s">
        <v>8</v>
      </c>
    </row>
    <row r="658">
      <c r="A658" s="11"/>
      <c r="B658" s="11"/>
      <c r="D658" s="8" t="s">
        <v>8</v>
      </c>
    </row>
    <row r="659">
      <c r="A659" s="11"/>
      <c r="B659" s="11"/>
      <c r="D659" s="8" t="s">
        <v>8</v>
      </c>
    </row>
    <row r="660">
      <c r="A660" s="11"/>
      <c r="B660" s="11"/>
      <c r="D660" s="8" t="s">
        <v>8</v>
      </c>
    </row>
    <row r="661">
      <c r="A661" s="11"/>
      <c r="B661" s="11"/>
      <c r="D661" s="8" t="s">
        <v>8</v>
      </c>
    </row>
    <row r="662">
      <c r="A662" s="11"/>
      <c r="B662" s="11"/>
      <c r="D662" s="8" t="s">
        <v>8</v>
      </c>
    </row>
    <row r="663">
      <c r="A663" s="11"/>
      <c r="B663" s="11"/>
      <c r="D663" s="8" t="s">
        <v>8</v>
      </c>
    </row>
    <row r="664">
      <c r="A664" s="11"/>
      <c r="B664" s="11"/>
      <c r="D664" s="8" t="s">
        <v>8</v>
      </c>
    </row>
    <row r="665">
      <c r="A665" s="11"/>
      <c r="B665" s="11"/>
      <c r="D665" s="8" t="s">
        <v>8</v>
      </c>
    </row>
    <row r="666">
      <c r="A666" s="11"/>
      <c r="B666" s="11"/>
      <c r="D666" s="8" t="s">
        <v>8</v>
      </c>
    </row>
    <row r="667">
      <c r="A667" s="11"/>
      <c r="B667" s="11"/>
      <c r="D667" s="8" t="s">
        <v>8</v>
      </c>
    </row>
    <row r="668">
      <c r="A668" s="11"/>
      <c r="B668" s="11"/>
      <c r="D668" s="8" t="s">
        <v>8</v>
      </c>
    </row>
    <row r="669">
      <c r="A669" s="11"/>
      <c r="B669" s="11"/>
      <c r="D669" s="8" t="s">
        <v>8</v>
      </c>
    </row>
    <row r="670">
      <c r="A670" s="11"/>
      <c r="B670" s="11"/>
      <c r="D670" s="8" t="s">
        <v>8</v>
      </c>
    </row>
    <row r="671">
      <c r="A671" s="11"/>
      <c r="B671" s="11"/>
      <c r="D671" s="8" t="s">
        <v>8</v>
      </c>
    </row>
    <row r="672">
      <c r="A672" s="11"/>
      <c r="B672" s="11"/>
      <c r="D672" s="8" t="s">
        <v>8</v>
      </c>
    </row>
    <row r="673">
      <c r="A673" s="11"/>
      <c r="B673" s="11"/>
      <c r="D673" s="8" t="s">
        <v>8</v>
      </c>
    </row>
    <row r="674">
      <c r="A674" s="11"/>
      <c r="B674" s="11"/>
      <c r="D674" s="8" t="s">
        <v>8</v>
      </c>
    </row>
    <row r="675">
      <c r="A675" s="11"/>
      <c r="B675" s="11"/>
      <c r="D675" s="8" t="s">
        <v>8</v>
      </c>
    </row>
    <row r="676">
      <c r="A676" s="11"/>
      <c r="B676" s="11"/>
      <c r="D676" s="8" t="s">
        <v>8</v>
      </c>
    </row>
    <row r="677">
      <c r="A677" s="11"/>
      <c r="B677" s="11"/>
      <c r="D677" s="8" t="s">
        <v>8</v>
      </c>
    </row>
    <row r="678">
      <c r="A678" s="11"/>
      <c r="B678" s="11"/>
      <c r="D678" s="8" t="s">
        <v>8</v>
      </c>
    </row>
    <row r="679">
      <c r="A679" s="11"/>
      <c r="B679" s="11"/>
      <c r="D679" s="8" t="s">
        <v>8</v>
      </c>
    </row>
    <row r="680">
      <c r="A680" s="11"/>
      <c r="B680" s="11"/>
      <c r="D680" s="8" t="s">
        <v>8</v>
      </c>
    </row>
    <row r="681">
      <c r="A681" s="11"/>
      <c r="B681" s="11"/>
      <c r="D681" s="8" t="s">
        <v>8</v>
      </c>
    </row>
    <row r="682">
      <c r="A682" s="11"/>
      <c r="B682" s="11"/>
      <c r="D682" s="8" t="s">
        <v>8</v>
      </c>
    </row>
    <row r="683">
      <c r="A683" s="11"/>
      <c r="B683" s="11"/>
      <c r="D683" s="8" t="s">
        <v>8</v>
      </c>
    </row>
    <row r="684">
      <c r="A684" s="11"/>
      <c r="B684" s="11"/>
      <c r="D684" s="8" t="s">
        <v>8</v>
      </c>
    </row>
    <row r="685">
      <c r="A685" s="11"/>
      <c r="B685" s="11"/>
      <c r="D685" s="8" t="s">
        <v>8</v>
      </c>
    </row>
    <row r="686">
      <c r="A686" s="11"/>
      <c r="B686" s="11"/>
      <c r="D686" s="8" t="s">
        <v>8</v>
      </c>
    </row>
    <row r="687">
      <c r="A687" s="11"/>
      <c r="B687" s="11"/>
      <c r="D687" s="8" t="s">
        <v>8</v>
      </c>
    </row>
    <row r="688">
      <c r="A688" s="11"/>
      <c r="B688" s="11"/>
      <c r="D688" s="8" t="s">
        <v>8</v>
      </c>
    </row>
    <row r="689">
      <c r="A689" s="11"/>
      <c r="B689" s="11"/>
      <c r="D689" s="8" t="s">
        <v>8</v>
      </c>
    </row>
    <row r="690">
      <c r="A690" s="11"/>
      <c r="B690" s="11"/>
      <c r="D690" s="8" t="s">
        <v>8</v>
      </c>
    </row>
    <row r="691">
      <c r="A691" s="11"/>
      <c r="B691" s="11"/>
      <c r="D691" s="8" t="s">
        <v>8</v>
      </c>
    </row>
    <row r="692">
      <c r="A692" s="11"/>
      <c r="B692" s="11"/>
      <c r="D692" s="8" t="s">
        <v>8</v>
      </c>
    </row>
    <row r="693">
      <c r="A693" s="11"/>
      <c r="B693" s="11"/>
      <c r="D693" s="8" t="s">
        <v>8</v>
      </c>
    </row>
    <row r="694">
      <c r="A694" s="11"/>
      <c r="B694" s="11"/>
      <c r="D694" s="8" t="s">
        <v>8</v>
      </c>
    </row>
    <row r="695">
      <c r="A695" s="11"/>
      <c r="B695" s="11"/>
      <c r="D695" s="8" t="s">
        <v>8</v>
      </c>
    </row>
    <row r="696">
      <c r="A696" s="11"/>
      <c r="B696" s="11"/>
      <c r="D696" s="8" t="s">
        <v>8</v>
      </c>
    </row>
    <row r="697">
      <c r="A697" s="11"/>
      <c r="B697" s="11"/>
      <c r="D697" s="8" t="s">
        <v>8</v>
      </c>
    </row>
    <row r="698">
      <c r="A698" s="11"/>
      <c r="B698" s="11"/>
      <c r="D698" s="8" t="s">
        <v>8</v>
      </c>
    </row>
    <row r="699">
      <c r="A699" s="11"/>
      <c r="B699" s="11"/>
      <c r="D699" s="8" t="s">
        <v>8</v>
      </c>
    </row>
    <row r="700">
      <c r="A700" s="11"/>
      <c r="B700" s="11"/>
      <c r="D700" s="8" t="s">
        <v>8</v>
      </c>
    </row>
    <row r="701">
      <c r="A701" s="11"/>
      <c r="B701" s="11"/>
      <c r="D701" s="8" t="s">
        <v>8</v>
      </c>
    </row>
    <row r="702">
      <c r="A702" s="11"/>
      <c r="B702" s="11"/>
      <c r="D702" s="8" t="s">
        <v>8</v>
      </c>
    </row>
    <row r="703">
      <c r="A703" s="11"/>
      <c r="B703" s="11"/>
      <c r="D703" s="8" t="s">
        <v>8</v>
      </c>
    </row>
    <row r="704">
      <c r="A704" s="11"/>
      <c r="B704" s="11"/>
      <c r="D704" s="8" t="s">
        <v>8</v>
      </c>
    </row>
    <row r="705">
      <c r="A705" s="11"/>
      <c r="B705" s="11"/>
      <c r="D705" s="8" t="s">
        <v>8</v>
      </c>
    </row>
    <row r="706">
      <c r="A706" s="11"/>
      <c r="B706" s="11"/>
      <c r="D706" s="8" t="s">
        <v>8</v>
      </c>
    </row>
    <row r="707">
      <c r="A707" s="11"/>
      <c r="B707" s="11"/>
      <c r="D707" s="8" t="s">
        <v>8</v>
      </c>
    </row>
    <row r="708">
      <c r="A708" s="11"/>
      <c r="B708" s="11"/>
      <c r="D708" s="8" t="s">
        <v>8</v>
      </c>
    </row>
    <row r="709">
      <c r="A709" s="11"/>
      <c r="B709" s="11"/>
      <c r="D709" s="8" t="s">
        <v>8</v>
      </c>
    </row>
    <row r="710">
      <c r="A710" s="11"/>
      <c r="B710" s="11"/>
      <c r="D710" s="8" t="s">
        <v>8</v>
      </c>
    </row>
    <row r="711">
      <c r="A711" s="11"/>
      <c r="B711" s="11"/>
      <c r="D711" s="8" t="s">
        <v>8</v>
      </c>
    </row>
    <row r="712">
      <c r="A712" s="11"/>
      <c r="B712" s="11"/>
      <c r="D712" s="8" t="s">
        <v>8</v>
      </c>
    </row>
    <row r="713">
      <c r="A713" s="11"/>
      <c r="B713" s="11"/>
      <c r="D713" s="8" t="s">
        <v>8</v>
      </c>
    </row>
    <row r="714">
      <c r="A714" s="11"/>
      <c r="B714" s="11"/>
      <c r="D714" s="8" t="s">
        <v>8</v>
      </c>
    </row>
    <row r="715">
      <c r="A715" s="11"/>
      <c r="B715" s="11"/>
      <c r="D715" s="8" t="s">
        <v>8</v>
      </c>
    </row>
    <row r="716">
      <c r="A716" s="11"/>
      <c r="B716" s="11"/>
      <c r="D716" s="8" t="s">
        <v>8</v>
      </c>
    </row>
    <row r="717">
      <c r="A717" s="11"/>
      <c r="B717" s="11"/>
      <c r="D717" s="8" t="s">
        <v>8</v>
      </c>
    </row>
    <row r="718">
      <c r="A718" s="11"/>
      <c r="B718" s="11"/>
      <c r="D718" s="8" t="s">
        <v>8</v>
      </c>
    </row>
    <row r="719">
      <c r="A719" s="11"/>
      <c r="B719" s="11"/>
      <c r="D719" s="8" t="s">
        <v>8</v>
      </c>
    </row>
    <row r="720">
      <c r="A720" s="11"/>
      <c r="B720" s="11"/>
      <c r="D720" s="8" t="s">
        <v>8</v>
      </c>
    </row>
    <row r="721">
      <c r="A721" s="11"/>
      <c r="B721" s="11"/>
      <c r="D721" s="8" t="s">
        <v>8</v>
      </c>
    </row>
    <row r="722">
      <c r="A722" s="11"/>
      <c r="B722" s="11"/>
      <c r="D722" s="8" t="s">
        <v>8</v>
      </c>
    </row>
    <row r="723">
      <c r="A723" s="11"/>
      <c r="B723" s="11"/>
      <c r="D723" s="8" t="s">
        <v>8</v>
      </c>
    </row>
    <row r="724">
      <c r="A724" s="11"/>
      <c r="B724" s="11"/>
      <c r="D724" s="8" t="s">
        <v>8</v>
      </c>
    </row>
    <row r="725">
      <c r="A725" s="11"/>
      <c r="B725" s="11"/>
      <c r="D725" s="8" t="s">
        <v>8</v>
      </c>
    </row>
    <row r="726">
      <c r="A726" s="11"/>
      <c r="B726" s="11"/>
      <c r="D726" s="8" t="s">
        <v>8</v>
      </c>
    </row>
    <row r="727">
      <c r="A727" s="11"/>
      <c r="B727" s="11"/>
      <c r="D727" s="8" t="s">
        <v>8</v>
      </c>
    </row>
    <row r="728">
      <c r="A728" s="11"/>
      <c r="B728" s="11"/>
      <c r="D728" s="8" t="s">
        <v>8</v>
      </c>
    </row>
    <row r="729">
      <c r="A729" s="11"/>
      <c r="B729" s="11"/>
      <c r="D729" s="8" t="s">
        <v>8</v>
      </c>
    </row>
    <row r="730">
      <c r="A730" s="11"/>
      <c r="B730" s="11"/>
      <c r="D730" s="8" t="s">
        <v>8</v>
      </c>
    </row>
    <row r="731">
      <c r="A731" s="11"/>
      <c r="B731" s="11"/>
      <c r="D731" s="8" t="s">
        <v>8</v>
      </c>
    </row>
    <row r="732">
      <c r="A732" s="11"/>
      <c r="B732" s="11"/>
      <c r="D732" s="8" t="s">
        <v>8</v>
      </c>
    </row>
    <row r="733">
      <c r="A733" s="11"/>
      <c r="B733" s="11"/>
      <c r="D733" s="8" t="s">
        <v>8</v>
      </c>
    </row>
    <row r="734">
      <c r="A734" s="11"/>
      <c r="B734" s="11"/>
      <c r="D734" s="8" t="s">
        <v>8</v>
      </c>
    </row>
    <row r="735">
      <c r="A735" s="11"/>
      <c r="B735" s="11"/>
      <c r="D735" s="8" t="s">
        <v>8</v>
      </c>
    </row>
    <row r="736">
      <c r="A736" s="11"/>
      <c r="B736" s="11"/>
      <c r="D736" s="8" t="s">
        <v>8</v>
      </c>
    </row>
    <row r="737">
      <c r="A737" s="11"/>
      <c r="B737" s="11"/>
      <c r="D737" s="8" t="s">
        <v>8</v>
      </c>
    </row>
    <row r="738">
      <c r="A738" s="11"/>
      <c r="B738" s="11"/>
      <c r="D738" s="8" t="s">
        <v>8</v>
      </c>
    </row>
    <row r="739">
      <c r="A739" s="11"/>
      <c r="B739" s="11"/>
      <c r="D739" s="8" t="s">
        <v>8</v>
      </c>
    </row>
    <row r="740">
      <c r="A740" s="11"/>
      <c r="B740" s="11"/>
      <c r="D740" s="8" t="s">
        <v>8</v>
      </c>
    </row>
    <row r="741">
      <c r="A741" s="11"/>
      <c r="B741" s="11"/>
      <c r="D741" s="8" t="s">
        <v>8</v>
      </c>
    </row>
    <row r="742">
      <c r="A742" s="11"/>
      <c r="B742" s="11"/>
      <c r="D742" s="8" t="s">
        <v>8</v>
      </c>
    </row>
    <row r="743">
      <c r="A743" s="11"/>
      <c r="B743" s="11"/>
      <c r="D743" s="8" t="s">
        <v>8</v>
      </c>
    </row>
    <row r="744">
      <c r="A744" s="11"/>
      <c r="B744" s="11"/>
      <c r="D744" s="8" t="s">
        <v>8</v>
      </c>
    </row>
    <row r="745">
      <c r="A745" s="11"/>
      <c r="B745" s="11"/>
      <c r="D745" s="8" t="s">
        <v>8</v>
      </c>
    </row>
    <row r="746">
      <c r="A746" s="11"/>
      <c r="B746" s="11"/>
      <c r="D746" s="8" t="s">
        <v>8</v>
      </c>
    </row>
    <row r="747">
      <c r="A747" s="11"/>
      <c r="B747" s="11"/>
      <c r="D747" s="8" t="s">
        <v>8</v>
      </c>
    </row>
    <row r="748">
      <c r="A748" s="11"/>
      <c r="B748" s="11"/>
      <c r="D748" s="8" t="s">
        <v>8</v>
      </c>
    </row>
    <row r="749">
      <c r="A749" s="11"/>
      <c r="B749" s="11"/>
      <c r="D749" s="8" t="s">
        <v>8</v>
      </c>
    </row>
    <row r="750">
      <c r="A750" s="11"/>
      <c r="B750" s="11"/>
      <c r="D750" s="8" t="s">
        <v>8</v>
      </c>
    </row>
    <row r="751">
      <c r="A751" s="11"/>
      <c r="B751" s="11"/>
      <c r="D751" s="8" t="s">
        <v>8</v>
      </c>
    </row>
    <row r="752">
      <c r="A752" s="11"/>
      <c r="B752" s="11"/>
      <c r="D752" s="8" t="s">
        <v>8</v>
      </c>
    </row>
    <row r="753">
      <c r="A753" s="11"/>
      <c r="B753" s="11"/>
      <c r="D753" s="8" t="s">
        <v>8</v>
      </c>
    </row>
    <row r="754">
      <c r="A754" s="11"/>
      <c r="B754" s="11"/>
      <c r="D754" s="8" t="s">
        <v>8</v>
      </c>
    </row>
    <row r="755">
      <c r="A755" s="11"/>
      <c r="B755" s="11"/>
      <c r="D755" s="8" t="s">
        <v>8</v>
      </c>
    </row>
    <row r="756">
      <c r="A756" s="11"/>
      <c r="B756" s="11"/>
      <c r="D756" s="8" t="s">
        <v>8</v>
      </c>
    </row>
    <row r="757">
      <c r="A757" s="11"/>
      <c r="B757" s="11"/>
      <c r="D757" s="8" t="s">
        <v>8</v>
      </c>
    </row>
    <row r="758">
      <c r="A758" s="11"/>
      <c r="B758" s="11"/>
      <c r="D758" s="8" t="s">
        <v>8</v>
      </c>
    </row>
    <row r="759">
      <c r="A759" s="11"/>
      <c r="B759" s="11"/>
      <c r="D759" s="8" t="s">
        <v>8</v>
      </c>
    </row>
    <row r="760">
      <c r="A760" s="11"/>
      <c r="B760" s="11"/>
      <c r="D760" s="8" t="s">
        <v>8</v>
      </c>
    </row>
    <row r="761">
      <c r="A761" s="11"/>
      <c r="B761" s="11"/>
      <c r="D761" s="8" t="s">
        <v>8</v>
      </c>
    </row>
    <row r="762">
      <c r="A762" s="11"/>
      <c r="B762" s="11"/>
      <c r="D762" s="8" t="s">
        <v>8</v>
      </c>
    </row>
    <row r="763">
      <c r="A763" s="11"/>
      <c r="B763" s="11"/>
      <c r="D763" s="8" t="s">
        <v>8</v>
      </c>
    </row>
    <row r="764">
      <c r="A764" s="11"/>
      <c r="B764" s="11"/>
      <c r="D764" s="8" t="s">
        <v>8</v>
      </c>
    </row>
    <row r="765">
      <c r="A765" s="11"/>
      <c r="B765" s="11"/>
      <c r="D765" s="8" t="s">
        <v>8</v>
      </c>
    </row>
    <row r="766">
      <c r="A766" s="11"/>
      <c r="B766" s="11"/>
      <c r="D766" s="8" t="s">
        <v>8</v>
      </c>
    </row>
    <row r="767">
      <c r="A767" s="11"/>
      <c r="B767" s="11"/>
      <c r="D767" s="8" t="s">
        <v>8</v>
      </c>
    </row>
    <row r="768">
      <c r="A768" s="11"/>
      <c r="B768" s="11"/>
      <c r="D768" s="8" t="s">
        <v>8</v>
      </c>
    </row>
    <row r="769">
      <c r="A769" s="11"/>
      <c r="B769" s="11"/>
      <c r="D769" s="8" t="s">
        <v>8</v>
      </c>
    </row>
    <row r="770">
      <c r="A770" s="11"/>
      <c r="B770" s="11"/>
      <c r="D770" s="8" t="s">
        <v>8</v>
      </c>
    </row>
    <row r="771">
      <c r="A771" s="11"/>
      <c r="B771" s="11"/>
      <c r="D771" s="8" t="s">
        <v>8</v>
      </c>
    </row>
    <row r="772">
      <c r="A772" s="11"/>
      <c r="B772" s="11"/>
      <c r="D772" s="8" t="s">
        <v>8</v>
      </c>
    </row>
    <row r="773">
      <c r="A773" s="11"/>
      <c r="B773" s="11"/>
      <c r="D773" s="8" t="s">
        <v>8</v>
      </c>
    </row>
    <row r="774">
      <c r="A774" s="11"/>
      <c r="B774" s="11"/>
      <c r="D774" s="8" t="s">
        <v>8</v>
      </c>
    </row>
    <row r="775">
      <c r="A775" s="11"/>
      <c r="B775" s="11"/>
      <c r="D775" s="8" t="s">
        <v>8</v>
      </c>
    </row>
    <row r="776">
      <c r="A776" s="11"/>
      <c r="B776" s="11"/>
      <c r="D776" s="8" t="s">
        <v>8</v>
      </c>
    </row>
    <row r="777">
      <c r="A777" s="11"/>
      <c r="B777" s="11"/>
      <c r="D777" s="8" t="s">
        <v>8</v>
      </c>
    </row>
    <row r="778">
      <c r="A778" s="11"/>
      <c r="B778" s="11"/>
      <c r="D778" s="8" t="s">
        <v>8</v>
      </c>
    </row>
    <row r="779">
      <c r="A779" s="11"/>
      <c r="B779" s="11"/>
      <c r="D779" s="8" t="s">
        <v>8</v>
      </c>
    </row>
    <row r="780">
      <c r="A780" s="11"/>
      <c r="B780" s="11"/>
      <c r="D780" s="8" t="s">
        <v>8</v>
      </c>
    </row>
    <row r="781">
      <c r="A781" s="11"/>
      <c r="B781" s="11"/>
      <c r="D781" s="8" t="s">
        <v>8</v>
      </c>
    </row>
    <row r="782">
      <c r="A782" s="11"/>
      <c r="B782" s="11"/>
      <c r="D782" s="8" t="s">
        <v>8</v>
      </c>
    </row>
    <row r="783">
      <c r="A783" s="11"/>
      <c r="B783" s="11"/>
      <c r="D783" s="8" t="s">
        <v>8</v>
      </c>
    </row>
    <row r="784">
      <c r="A784" s="11"/>
      <c r="B784" s="11"/>
      <c r="D784" s="8" t="s">
        <v>8</v>
      </c>
    </row>
    <row r="785">
      <c r="A785" s="11"/>
      <c r="B785" s="11"/>
      <c r="D785" s="8" t="s">
        <v>8</v>
      </c>
    </row>
    <row r="786">
      <c r="A786" s="11"/>
      <c r="B786" s="11"/>
      <c r="D786" s="8" t="s">
        <v>8</v>
      </c>
    </row>
    <row r="787">
      <c r="A787" s="11"/>
      <c r="B787" s="11"/>
      <c r="D787" s="8" t="s">
        <v>8</v>
      </c>
    </row>
    <row r="788">
      <c r="A788" s="11"/>
      <c r="B788" s="11"/>
      <c r="D788" s="8" t="s">
        <v>8</v>
      </c>
    </row>
    <row r="789">
      <c r="A789" s="11"/>
      <c r="B789" s="11"/>
      <c r="D789" s="8" t="s">
        <v>8</v>
      </c>
    </row>
    <row r="790">
      <c r="A790" s="11"/>
      <c r="B790" s="11"/>
      <c r="D790" s="8" t="s">
        <v>8</v>
      </c>
    </row>
    <row r="791">
      <c r="A791" s="11"/>
      <c r="B791" s="11"/>
      <c r="D791" s="8" t="s">
        <v>8</v>
      </c>
    </row>
    <row r="792">
      <c r="A792" s="11"/>
      <c r="B792" s="11"/>
      <c r="D792" s="8" t="s">
        <v>8</v>
      </c>
    </row>
    <row r="793">
      <c r="A793" s="11"/>
      <c r="B793" s="11"/>
      <c r="D793" s="8" t="s">
        <v>8</v>
      </c>
    </row>
    <row r="794">
      <c r="A794" s="11"/>
      <c r="B794" s="11"/>
      <c r="D794" s="8" t="s">
        <v>8</v>
      </c>
    </row>
    <row r="795">
      <c r="A795" s="11"/>
      <c r="B795" s="11"/>
      <c r="D795" s="8" t="s">
        <v>8</v>
      </c>
    </row>
    <row r="796">
      <c r="A796" s="11"/>
      <c r="B796" s="11"/>
      <c r="D796" s="8" t="s">
        <v>8</v>
      </c>
    </row>
    <row r="797">
      <c r="A797" s="11"/>
      <c r="B797" s="11"/>
      <c r="D797" s="8" t="s">
        <v>8</v>
      </c>
    </row>
    <row r="798">
      <c r="A798" s="11"/>
      <c r="B798" s="11"/>
      <c r="D798" s="8" t="s">
        <v>8</v>
      </c>
    </row>
    <row r="799">
      <c r="A799" s="11"/>
      <c r="B799" s="11"/>
      <c r="D799" s="8" t="s">
        <v>8</v>
      </c>
    </row>
    <row r="800">
      <c r="A800" s="11"/>
      <c r="B800" s="11"/>
      <c r="D800" s="8" t="s">
        <v>8</v>
      </c>
    </row>
    <row r="801">
      <c r="A801" s="11"/>
      <c r="B801" s="11"/>
      <c r="D801" s="8" t="s">
        <v>8</v>
      </c>
    </row>
    <row r="802">
      <c r="A802" s="11"/>
      <c r="B802" s="11"/>
      <c r="D802" s="8" t="s">
        <v>8</v>
      </c>
    </row>
    <row r="803">
      <c r="A803" s="11"/>
      <c r="B803" s="11"/>
      <c r="D803" s="8" t="s">
        <v>8</v>
      </c>
    </row>
    <row r="804">
      <c r="A804" s="11"/>
      <c r="B804" s="11"/>
      <c r="D804" s="8" t="s">
        <v>8</v>
      </c>
    </row>
    <row r="805">
      <c r="A805" s="11"/>
      <c r="B805" s="11"/>
      <c r="D805" s="8" t="s">
        <v>8</v>
      </c>
    </row>
    <row r="806">
      <c r="A806" s="11"/>
      <c r="B806" s="11"/>
      <c r="D806" s="8" t="s">
        <v>8</v>
      </c>
    </row>
    <row r="807">
      <c r="A807" s="11"/>
      <c r="B807" s="11"/>
      <c r="D807" s="8" t="s">
        <v>8</v>
      </c>
    </row>
    <row r="808">
      <c r="A808" s="11"/>
      <c r="B808" s="11"/>
      <c r="D808" s="8" t="s">
        <v>8</v>
      </c>
    </row>
    <row r="809">
      <c r="A809" s="11"/>
      <c r="B809" s="11"/>
      <c r="D809" s="8" t="s">
        <v>8</v>
      </c>
    </row>
    <row r="810">
      <c r="A810" s="11"/>
      <c r="B810" s="11"/>
      <c r="D810" s="8" t="s">
        <v>8</v>
      </c>
    </row>
    <row r="811">
      <c r="A811" s="11"/>
      <c r="B811" s="11"/>
      <c r="D811" s="8" t="s">
        <v>8</v>
      </c>
    </row>
    <row r="812">
      <c r="A812" s="11"/>
      <c r="B812" s="11"/>
      <c r="D812" s="8" t="s">
        <v>8</v>
      </c>
    </row>
    <row r="813">
      <c r="A813" s="11"/>
      <c r="B813" s="11"/>
      <c r="D813" s="8" t="s">
        <v>8</v>
      </c>
    </row>
    <row r="814">
      <c r="A814" s="11"/>
      <c r="B814" s="11"/>
      <c r="D814" s="8" t="s">
        <v>8</v>
      </c>
    </row>
    <row r="815">
      <c r="A815" s="11"/>
      <c r="B815" s="11"/>
      <c r="D815" s="8" t="s">
        <v>8</v>
      </c>
    </row>
    <row r="816">
      <c r="A816" s="11"/>
      <c r="B816" s="11"/>
      <c r="D816" s="8" t="s">
        <v>8</v>
      </c>
    </row>
    <row r="817">
      <c r="A817" s="11"/>
      <c r="B817" s="11"/>
      <c r="D817" s="8" t="s">
        <v>8</v>
      </c>
    </row>
    <row r="818">
      <c r="A818" s="11"/>
      <c r="B818" s="11"/>
      <c r="D818" s="8" t="s">
        <v>8</v>
      </c>
    </row>
    <row r="819">
      <c r="A819" s="11"/>
      <c r="B819" s="11"/>
      <c r="D819" s="8" t="s">
        <v>8</v>
      </c>
    </row>
    <row r="820">
      <c r="A820" s="11"/>
      <c r="B820" s="11"/>
      <c r="D820" s="8" t="s">
        <v>8</v>
      </c>
    </row>
    <row r="821">
      <c r="A821" s="11"/>
      <c r="B821" s="11"/>
      <c r="D821" s="8" t="s">
        <v>8</v>
      </c>
    </row>
    <row r="822">
      <c r="A822" s="11"/>
      <c r="B822" s="11"/>
      <c r="D822" s="8" t="s">
        <v>8</v>
      </c>
    </row>
    <row r="823">
      <c r="A823" s="11"/>
      <c r="B823" s="11"/>
      <c r="D823" s="8" t="s">
        <v>8</v>
      </c>
    </row>
    <row r="824">
      <c r="A824" s="11"/>
      <c r="B824" s="11"/>
      <c r="D824" s="8" t="s">
        <v>8</v>
      </c>
    </row>
    <row r="825">
      <c r="A825" s="11"/>
      <c r="B825" s="11"/>
      <c r="D825" s="8" t="s">
        <v>8</v>
      </c>
    </row>
    <row r="826">
      <c r="A826" s="11"/>
      <c r="B826" s="11"/>
      <c r="D826" s="8" t="s">
        <v>8</v>
      </c>
    </row>
    <row r="827">
      <c r="A827" s="11"/>
      <c r="B827" s="11"/>
      <c r="D827" s="8" t="s">
        <v>8</v>
      </c>
    </row>
    <row r="828">
      <c r="A828" s="11"/>
      <c r="B828" s="11"/>
      <c r="D828" s="8" t="s">
        <v>8</v>
      </c>
    </row>
    <row r="829">
      <c r="A829" s="11"/>
      <c r="B829" s="11"/>
      <c r="D829" s="8" t="s">
        <v>8</v>
      </c>
    </row>
    <row r="830">
      <c r="A830" s="11"/>
      <c r="B830" s="11"/>
      <c r="D830" s="8" t="s">
        <v>8</v>
      </c>
    </row>
    <row r="831">
      <c r="A831" s="11"/>
      <c r="B831" s="11"/>
      <c r="D831" s="8" t="s">
        <v>8</v>
      </c>
    </row>
    <row r="832">
      <c r="A832" s="11"/>
      <c r="B832" s="11"/>
      <c r="D832" s="8" t="s">
        <v>8</v>
      </c>
    </row>
    <row r="833">
      <c r="A833" s="11"/>
      <c r="B833" s="11"/>
      <c r="D833" s="8" t="s">
        <v>8</v>
      </c>
    </row>
    <row r="834">
      <c r="A834" s="11"/>
      <c r="B834" s="11"/>
      <c r="D834" s="8" t="s">
        <v>8</v>
      </c>
    </row>
    <row r="835">
      <c r="A835" s="11"/>
      <c r="B835" s="11"/>
      <c r="D835" s="8" t="s">
        <v>8</v>
      </c>
    </row>
    <row r="836">
      <c r="A836" s="11"/>
      <c r="B836" s="11"/>
      <c r="D836" s="8" t="s">
        <v>8</v>
      </c>
    </row>
    <row r="837">
      <c r="A837" s="11"/>
      <c r="B837" s="11"/>
      <c r="D837" s="8" t="s">
        <v>8</v>
      </c>
    </row>
    <row r="838">
      <c r="A838" s="11"/>
      <c r="B838" s="11"/>
      <c r="D838" s="8" t="s">
        <v>8</v>
      </c>
    </row>
    <row r="839">
      <c r="A839" s="11"/>
      <c r="B839" s="11"/>
      <c r="D839" s="8" t="s">
        <v>8</v>
      </c>
    </row>
    <row r="840">
      <c r="A840" s="11"/>
      <c r="B840" s="11"/>
      <c r="D840" s="8" t="s">
        <v>8</v>
      </c>
    </row>
    <row r="841">
      <c r="A841" s="11"/>
      <c r="B841" s="11"/>
      <c r="D841" s="8" t="s">
        <v>8</v>
      </c>
    </row>
    <row r="842">
      <c r="A842" s="11"/>
      <c r="B842" s="11"/>
      <c r="D842" s="8" t="s">
        <v>8</v>
      </c>
    </row>
    <row r="843">
      <c r="A843" s="11"/>
      <c r="B843" s="11"/>
      <c r="D843" s="8" t="s">
        <v>8</v>
      </c>
    </row>
    <row r="844">
      <c r="A844" s="11"/>
      <c r="B844" s="11"/>
      <c r="D844" s="8" t="s">
        <v>8</v>
      </c>
    </row>
    <row r="845">
      <c r="A845" s="11"/>
      <c r="B845" s="11"/>
      <c r="D845" s="8" t="s">
        <v>8</v>
      </c>
    </row>
    <row r="846">
      <c r="A846" s="11"/>
      <c r="B846" s="11"/>
      <c r="D846" s="8" t="s">
        <v>8</v>
      </c>
    </row>
    <row r="847">
      <c r="A847" s="11"/>
      <c r="B847" s="11"/>
      <c r="D847" s="8" t="s">
        <v>8</v>
      </c>
    </row>
    <row r="848">
      <c r="A848" s="11"/>
      <c r="B848" s="11"/>
      <c r="D848" s="8" t="s">
        <v>8</v>
      </c>
    </row>
    <row r="849">
      <c r="A849" s="11"/>
      <c r="B849" s="11"/>
      <c r="D849" s="8" t="s">
        <v>8</v>
      </c>
    </row>
    <row r="850">
      <c r="A850" s="11"/>
      <c r="B850" s="11"/>
      <c r="D850" s="8" t="s">
        <v>8</v>
      </c>
    </row>
    <row r="851">
      <c r="A851" s="11"/>
      <c r="B851" s="11"/>
      <c r="D851" s="8" t="s">
        <v>8</v>
      </c>
    </row>
    <row r="852">
      <c r="A852" s="11"/>
      <c r="B852" s="11"/>
      <c r="D852" s="8" t="s">
        <v>8</v>
      </c>
    </row>
    <row r="853">
      <c r="A853" s="11"/>
      <c r="B853" s="11"/>
      <c r="D853" s="8" t="s">
        <v>8</v>
      </c>
    </row>
    <row r="854">
      <c r="A854" s="11"/>
      <c r="B854" s="11"/>
      <c r="D854" s="8" t="s">
        <v>8</v>
      </c>
    </row>
    <row r="855">
      <c r="A855" s="11"/>
      <c r="B855" s="11"/>
      <c r="D855" s="8" t="s">
        <v>8</v>
      </c>
    </row>
    <row r="856">
      <c r="A856" s="11"/>
      <c r="B856" s="11"/>
      <c r="D856" s="8" t="s">
        <v>8</v>
      </c>
    </row>
    <row r="857">
      <c r="A857" s="11"/>
      <c r="B857" s="11"/>
      <c r="D857" s="8" t="s">
        <v>8</v>
      </c>
    </row>
    <row r="858">
      <c r="A858" s="11"/>
      <c r="B858" s="11"/>
      <c r="D858" s="8" t="s">
        <v>8</v>
      </c>
    </row>
    <row r="859">
      <c r="A859" s="11"/>
      <c r="B859" s="11"/>
      <c r="D859" s="8" t="s">
        <v>8</v>
      </c>
    </row>
    <row r="860">
      <c r="A860" s="11"/>
      <c r="B860" s="11"/>
      <c r="D860" s="8" t="s">
        <v>8</v>
      </c>
    </row>
    <row r="861">
      <c r="A861" s="11"/>
      <c r="B861" s="11"/>
      <c r="D861" s="8" t="s">
        <v>8</v>
      </c>
    </row>
    <row r="862">
      <c r="A862" s="11"/>
      <c r="B862" s="11"/>
      <c r="D862" s="8" t="s">
        <v>8</v>
      </c>
    </row>
    <row r="863">
      <c r="A863" s="11"/>
      <c r="B863" s="11"/>
      <c r="D863" s="8" t="s">
        <v>8</v>
      </c>
    </row>
    <row r="864">
      <c r="A864" s="11"/>
      <c r="B864" s="11"/>
      <c r="D864" s="8" t="s">
        <v>8</v>
      </c>
    </row>
    <row r="865">
      <c r="A865" s="11"/>
      <c r="B865" s="11"/>
      <c r="D865" s="8" t="s">
        <v>8</v>
      </c>
    </row>
    <row r="866">
      <c r="A866" s="11"/>
      <c r="B866" s="11"/>
      <c r="D866" s="8" t="s">
        <v>8</v>
      </c>
    </row>
    <row r="867">
      <c r="A867" s="11"/>
      <c r="B867" s="11"/>
      <c r="D867" s="8" t="s">
        <v>8</v>
      </c>
    </row>
    <row r="868">
      <c r="A868" s="11"/>
      <c r="B868" s="11"/>
      <c r="D868" s="8" t="s">
        <v>8</v>
      </c>
    </row>
    <row r="869">
      <c r="A869" s="11"/>
      <c r="B869" s="11"/>
      <c r="D869" s="8" t="s">
        <v>8</v>
      </c>
    </row>
    <row r="870">
      <c r="A870" s="11"/>
      <c r="B870" s="11"/>
      <c r="D870" s="8" t="s">
        <v>8</v>
      </c>
    </row>
    <row r="871">
      <c r="A871" s="11"/>
      <c r="B871" s="11"/>
      <c r="D871" s="8" t="s">
        <v>8</v>
      </c>
    </row>
    <row r="872">
      <c r="A872" s="11"/>
      <c r="B872" s="11"/>
      <c r="D872" s="8" t="s">
        <v>8</v>
      </c>
    </row>
    <row r="873">
      <c r="A873" s="11"/>
      <c r="B873" s="11"/>
      <c r="D873" s="8" t="s">
        <v>8</v>
      </c>
    </row>
    <row r="874">
      <c r="A874" s="11"/>
      <c r="B874" s="11"/>
      <c r="D874" s="8" t="s">
        <v>8</v>
      </c>
    </row>
    <row r="875">
      <c r="A875" s="11"/>
      <c r="B875" s="11"/>
      <c r="D875" s="8" t="s">
        <v>8</v>
      </c>
    </row>
    <row r="876">
      <c r="A876" s="11"/>
      <c r="B876" s="11"/>
      <c r="D876" s="8" t="s">
        <v>8</v>
      </c>
    </row>
    <row r="877">
      <c r="A877" s="11"/>
      <c r="B877" s="11"/>
      <c r="D877" s="8" t="s">
        <v>8</v>
      </c>
    </row>
    <row r="878">
      <c r="A878" s="11"/>
      <c r="B878" s="11"/>
      <c r="D878" s="8" t="s">
        <v>8</v>
      </c>
    </row>
    <row r="879">
      <c r="A879" s="11"/>
      <c r="B879" s="11"/>
      <c r="D879" s="8" t="s">
        <v>8</v>
      </c>
    </row>
    <row r="880">
      <c r="A880" s="11"/>
      <c r="B880" s="11"/>
      <c r="D880" s="8" t="s">
        <v>8</v>
      </c>
    </row>
    <row r="881">
      <c r="A881" s="11"/>
      <c r="B881" s="11"/>
      <c r="D881" s="8" t="s">
        <v>8</v>
      </c>
    </row>
    <row r="882">
      <c r="A882" s="11"/>
      <c r="B882" s="11"/>
      <c r="D882" s="8" t="s">
        <v>8</v>
      </c>
    </row>
    <row r="883">
      <c r="A883" s="11"/>
      <c r="B883" s="11"/>
      <c r="D883" s="8" t="s">
        <v>8</v>
      </c>
    </row>
    <row r="884">
      <c r="A884" s="11"/>
      <c r="B884" s="11"/>
      <c r="D884" s="8" t="s">
        <v>8</v>
      </c>
    </row>
    <row r="885">
      <c r="A885" s="11"/>
      <c r="B885" s="11"/>
      <c r="D885" s="8" t="s">
        <v>8</v>
      </c>
    </row>
    <row r="886">
      <c r="A886" s="11"/>
      <c r="B886" s="11"/>
      <c r="D886" s="8" t="s">
        <v>8</v>
      </c>
    </row>
    <row r="887">
      <c r="A887" s="11"/>
      <c r="B887" s="11"/>
      <c r="D887" s="8" t="s">
        <v>8</v>
      </c>
    </row>
    <row r="888">
      <c r="A888" s="11"/>
      <c r="B888" s="11"/>
      <c r="D888" s="8" t="s">
        <v>8</v>
      </c>
    </row>
    <row r="889">
      <c r="A889" s="11"/>
      <c r="B889" s="11"/>
      <c r="D889" s="8" t="s">
        <v>8</v>
      </c>
    </row>
    <row r="890">
      <c r="A890" s="11"/>
      <c r="B890" s="11"/>
      <c r="D890" s="8" t="s">
        <v>8</v>
      </c>
    </row>
    <row r="891">
      <c r="A891" s="11"/>
      <c r="B891" s="11"/>
      <c r="D891" s="8" t="s">
        <v>8</v>
      </c>
    </row>
    <row r="892">
      <c r="A892" s="11"/>
      <c r="B892" s="11"/>
      <c r="D892" s="8" t="s">
        <v>8</v>
      </c>
    </row>
    <row r="893">
      <c r="A893" s="11"/>
      <c r="B893" s="11"/>
      <c r="D893" s="8" t="s">
        <v>8</v>
      </c>
    </row>
    <row r="894">
      <c r="A894" s="11"/>
      <c r="B894" s="11"/>
      <c r="D894" s="8" t="s">
        <v>8</v>
      </c>
    </row>
    <row r="895">
      <c r="A895" s="11"/>
      <c r="B895" s="11"/>
      <c r="D895" s="8" t="s">
        <v>8</v>
      </c>
    </row>
    <row r="896">
      <c r="A896" s="11"/>
      <c r="B896" s="11"/>
      <c r="D896" s="8" t="s">
        <v>8</v>
      </c>
    </row>
    <row r="897">
      <c r="A897" s="11"/>
      <c r="B897" s="11"/>
      <c r="D897" s="8" t="s">
        <v>8</v>
      </c>
    </row>
    <row r="898">
      <c r="A898" s="11"/>
      <c r="B898" s="11"/>
      <c r="D898" s="8" t="s">
        <v>8</v>
      </c>
    </row>
    <row r="899">
      <c r="A899" s="11"/>
      <c r="B899" s="11"/>
      <c r="D899" s="8" t="s">
        <v>8</v>
      </c>
    </row>
    <row r="900">
      <c r="A900" s="11"/>
      <c r="B900" s="11"/>
      <c r="D900" s="8" t="s">
        <v>8</v>
      </c>
    </row>
    <row r="901">
      <c r="A901" s="11"/>
      <c r="B901" s="11"/>
      <c r="D901" s="8" t="s">
        <v>8</v>
      </c>
    </row>
    <row r="902">
      <c r="A902" s="11"/>
      <c r="B902" s="11"/>
      <c r="D902" s="8" t="s">
        <v>8</v>
      </c>
    </row>
    <row r="903">
      <c r="A903" s="11"/>
      <c r="B903" s="11"/>
      <c r="D903" s="8" t="s">
        <v>8</v>
      </c>
    </row>
    <row r="904">
      <c r="A904" s="11"/>
      <c r="B904" s="11"/>
      <c r="D904" s="8" t="s">
        <v>8</v>
      </c>
    </row>
    <row r="905">
      <c r="A905" s="11"/>
      <c r="B905" s="11"/>
      <c r="D905" s="8" t="s">
        <v>8</v>
      </c>
    </row>
    <row r="906">
      <c r="A906" s="11"/>
      <c r="B906" s="11"/>
      <c r="D906" s="8" t="s">
        <v>8</v>
      </c>
    </row>
    <row r="907">
      <c r="A907" s="11"/>
      <c r="B907" s="11"/>
      <c r="D907" s="8" t="s">
        <v>8</v>
      </c>
    </row>
    <row r="908">
      <c r="A908" s="11"/>
      <c r="B908" s="11"/>
      <c r="D908" s="8" t="s">
        <v>8</v>
      </c>
    </row>
    <row r="909">
      <c r="A909" s="11"/>
      <c r="B909" s="11"/>
      <c r="D909" s="8" t="s">
        <v>8</v>
      </c>
    </row>
    <row r="910">
      <c r="A910" s="11"/>
      <c r="B910" s="11"/>
      <c r="D910" s="8" t="s">
        <v>8</v>
      </c>
    </row>
    <row r="911">
      <c r="A911" s="11"/>
      <c r="B911" s="11"/>
      <c r="D911" s="8" t="s">
        <v>8</v>
      </c>
    </row>
    <row r="912">
      <c r="A912" s="11"/>
      <c r="B912" s="11"/>
      <c r="D912" s="8" t="s">
        <v>8</v>
      </c>
    </row>
    <row r="913">
      <c r="A913" s="11"/>
      <c r="B913" s="11"/>
      <c r="D913" s="8" t="s">
        <v>8</v>
      </c>
    </row>
    <row r="914">
      <c r="A914" s="11"/>
      <c r="B914" s="11"/>
      <c r="D914" s="8" t="s">
        <v>8</v>
      </c>
    </row>
    <row r="915">
      <c r="A915" s="11"/>
      <c r="B915" s="11"/>
      <c r="D915" s="8" t="s">
        <v>8</v>
      </c>
    </row>
    <row r="916">
      <c r="A916" s="11"/>
      <c r="B916" s="11"/>
      <c r="D916" s="8" t="s">
        <v>8</v>
      </c>
    </row>
    <row r="917">
      <c r="A917" s="11"/>
      <c r="B917" s="11"/>
      <c r="D917" s="8" t="s">
        <v>8</v>
      </c>
    </row>
    <row r="918">
      <c r="A918" s="11"/>
      <c r="B918" s="11"/>
      <c r="D918" s="8" t="s">
        <v>8</v>
      </c>
    </row>
    <row r="919">
      <c r="A919" s="11"/>
      <c r="B919" s="11"/>
      <c r="D919" s="8" t="s">
        <v>8</v>
      </c>
    </row>
    <row r="920">
      <c r="A920" s="11"/>
      <c r="B920" s="11"/>
      <c r="D920" s="8" t="s">
        <v>8</v>
      </c>
    </row>
    <row r="921">
      <c r="A921" s="11"/>
      <c r="B921" s="11"/>
      <c r="D921" s="8" t="s">
        <v>8</v>
      </c>
    </row>
    <row r="922">
      <c r="A922" s="11"/>
      <c r="B922" s="11"/>
      <c r="D922" s="8" t="s">
        <v>8</v>
      </c>
    </row>
    <row r="923">
      <c r="A923" s="11"/>
      <c r="B923" s="11"/>
      <c r="D923" s="8" t="s">
        <v>8</v>
      </c>
    </row>
    <row r="924">
      <c r="A924" s="11"/>
      <c r="B924" s="11"/>
      <c r="D924" s="8" t="s">
        <v>8</v>
      </c>
    </row>
    <row r="925">
      <c r="A925" s="11"/>
      <c r="B925" s="11"/>
      <c r="D925" s="8" t="s">
        <v>8</v>
      </c>
    </row>
    <row r="926">
      <c r="A926" s="11"/>
      <c r="B926" s="11"/>
      <c r="D926" s="8" t="s">
        <v>8</v>
      </c>
    </row>
    <row r="927">
      <c r="A927" s="11"/>
      <c r="B927" s="11"/>
      <c r="D927" s="8" t="s">
        <v>8</v>
      </c>
    </row>
    <row r="928">
      <c r="A928" s="11"/>
      <c r="B928" s="11"/>
      <c r="D928" s="8" t="s">
        <v>8</v>
      </c>
    </row>
    <row r="929">
      <c r="A929" s="11"/>
      <c r="B929" s="11"/>
      <c r="D929" s="8" t="s">
        <v>8</v>
      </c>
    </row>
    <row r="930">
      <c r="A930" s="11"/>
      <c r="B930" s="11"/>
      <c r="D930" s="8" t="s">
        <v>8</v>
      </c>
    </row>
    <row r="931">
      <c r="A931" s="11"/>
      <c r="B931" s="11"/>
      <c r="D931" s="8" t="s">
        <v>8</v>
      </c>
    </row>
    <row r="932">
      <c r="A932" s="11"/>
      <c r="B932" s="11"/>
      <c r="D932" s="8" t="s">
        <v>8</v>
      </c>
    </row>
    <row r="933">
      <c r="A933" s="11"/>
      <c r="B933" s="11"/>
      <c r="D933" s="8" t="s">
        <v>8</v>
      </c>
    </row>
    <row r="934">
      <c r="A934" s="11"/>
      <c r="B934" s="11"/>
      <c r="D934" s="8" t="s">
        <v>8</v>
      </c>
    </row>
    <row r="935">
      <c r="A935" s="11"/>
      <c r="B935" s="11"/>
      <c r="D935" s="8" t="s">
        <v>8</v>
      </c>
    </row>
    <row r="936">
      <c r="A936" s="11"/>
      <c r="B936" s="11"/>
      <c r="D936" s="8" t="s">
        <v>8</v>
      </c>
    </row>
    <row r="937">
      <c r="A937" s="11"/>
      <c r="B937" s="11"/>
      <c r="D937" s="8" t="s">
        <v>8</v>
      </c>
    </row>
    <row r="938">
      <c r="A938" s="11"/>
      <c r="B938" s="11"/>
      <c r="D938" s="8" t="s">
        <v>8</v>
      </c>
    </row>
    <row r="939">
      <c r="A939" s="11"/>
      <c r="B939" s="11"/>
      <c r="D939" s="8" t="s">
        <v>8</v>
      </c>
    </row>
    <row r="940">
      <c r="A940" s="11"/>
      <c r="B940" s="11"/>
      <c r="D940" s="8" t="s">
        <v>8</v>
      </c>
    </row>
    <row r="941">
      <c r="A941" s="11"/>
      <c r="B941" s="11"/>
      <c r="D941" s="8" t="s">
        <v>8</v>
      </c>
    </row>
    <row r="942">
      <c r="A942" s="11"/>
      <c r="B942" s="11"/>
      <c r="D942" s="8" t="s">
        <v>8</v>
      </c>
    </row>
    <row r="943">
      <c r="A943" s="11"/>
      <c r="B943" s="11"/>
      <c r="D943" s="8" t="s">
        <v>8</v>
      </c>
    </row>
    <row r="944">
      <c r="A944" s="11"/>
      <c r="B944" s="11"/>
      <c r="D944" s="8" t="s">
        <v>8</v>
      </c>
    </row>
    <row r="945">
      <c r="A945" s="11"/>
      <c r="B945" s="11"/>
      <c r="D945" s="8" t="s">
        <v>8</v>
      </c>
    </row>
    <row r="946">
      <c r="A946" s="11"/>
      <c r="B946" s="11"/>
      <c r="D946" s="8" t="s">
        <v>8</v>
      </c>
    </row>
    <row r="947">
      <c r="A947" s="11"/>
      <c r="B947" s="11"/>
      <c r="D947" s="8" t="s">
        <v>8</v>
      </c>
    </row>
    <row r="948">
      <c r="A948" s="11"/>
      <c r="B948" s="11"/>
      <c r="D948" s="8" t="s">
        <v>8</v>
      </c>
    </row>
    <row r="949">
      <c r="A949" s="11"/>
      <c r="B949" s="11"/>
      <c r="D949" s="8" t="s">
        <v>8</v>
      </c>
    </row>
    <row r="950">
      <c r="A950" s="11"/>
      <c r="B950" s="11"/>
      <c r="D950" s="8" t="s">
        <v>8</v>
      </c>
    </row>
    <row r="951">
      <c r="A951" s="11"/>
      <c r="B951" s="11"/>
      <c r="D951" s="8" t="s">
        <v>8</v>
      </c>
    </row>
    <row r="952">
      <c r="A952" s="11"/>
      <c r="B952" s="11"/>
      <c r="D952" s="8" t="s">
        <v>8</v>
      </c>
    </row>
    <row r="953">
      <c r="A953" s="11"/>
      <c r="B953" s="11"/>
      <c r="D953" s="8" t="s">
        <v>8</v>
      </c>
    </row>
    <row r="954">
      <c r="A954" s="11"/>
      <c r="B954" s="11"/>
      <c r="D954" s="8" t="s">
        <v>8</v>
      </c>
    </row>
    <row r="955">
      <c r="A955" s="11"/>
      <c r="B955" s="11"/>
      <c r="D955" s="8" t="s">
        <v>8</v>
      </c>
    </row>
    <row r="956">
      <c r="A956" s="11"/>
      <c r="B956" s="11"/>
      <c r="D956" s="8" t="s">
        <v>8</v>
      </c>
    </row>
    <row r="957">
      <c r="A957" s="11"/>
      <c r="B957" s="11"/>
      <c r="D957" s="8" t="s">
        <v>8</v>
      </c>
    </row>
    <row r="958">
      <c r="A958" s="11"/>
      <c r="B958" s="11"/>
      <c r="D958" s="8" t="s">
        <v>8</v>
      </c>
    </row>
    <row r="959">
      <c r="A959" s="11"/>
      <c r="B959" s="11"/>
      <c r="D959" s="8" t="s">
        <v>8</v>
      </c>
    </row>
    <row r="960">
      <c r="A960" s="11"/>
      <c r="B960" s="11"/>
      <c r="D960" s="8" t="s">
        <v>8</v>
      </c>
    </row>
    <row r="961">
      <c r="A961" s="11"/>
      <c r="B961" s="11"/>
      <c r="D961" s="8" t="s">
        <v>8</v>
      </c>
    </row>
    <row r="962">
      <c r="A962" s="11"/>
      <c r="B962" s="11"/>
      <c r="D962" s="8" t="s">
        <v>8</v>
      </c>
    </row>
    <row r="963">
      <c r="A963" s="11"/>
      <c r="B963" s="11"/>
      <c r="D963" s="8" t="s">
        <v>8</v>
      </c>
    </row>
    <row r="964">
      <c r="A964" s="11"/>
      <c r="B964" s="11"/>
      <c r="D964" s="8" t="s">
        <v>8</v>
      </c>
    </row>
    <row r="965">
      <c r="A965" s="11"/>
      <c r="B965" s="11"/>
      <c r="D965" s="8" t="s">
        <v>8</v>
      </c>
    </row>
    <row r="966">
      <c r="A966" s="11"/>
      <c r="B966" s="11"/>
      <c r="D966" s="8" t="s">
        <v>8</v>
      </c>
    </row>
    <row r="967">
      <c r="A967" s="11"/>
      <c r="B967" s="11"/>
      <c r="D967" s="8" t="s">
        <v>8</v>
      </c>
    </row>
    <row r="968">
      <c r="A968" s="11"/>
      <c r="B968" s="11"/>
      <c r="D968" s="8" t="s">
        <v>8</v>
      </c>
    </row>
    <row r="969">
      <c r="A969" s="11"/>
      <c r="B969" s="11"/>
      <c r="D969" s="8" t="s">
        <v>8</v>
      </c>
    </row>
    <row r="970">
      <c r="A970" s="11"/>
      <c r="B970" s="11"/>
      <c r="D970" s="8" t="s">
        <v>8</v>
      </c>
    </row>
    <row r="971">
      <c r="A971" s="11"/>
      <c r="B971" s="11"/>
      <c r="D971" s="8" t="s">
        <v>8</v>
      </c>
    </row>
    <row r="972">
      <c r="A972" s="11"/>
      <c r="B972" s="11"/>
      <c r="D972" s="8" t="s">
        <v>8</v>
      </c>
    </row>
    <row r="973">
      <c r="A973" s="11"/>
      <c r="B973" s="11"/>
      <c r="D973" s="8" t="s">
        <v>8</v>
      </c>
    </row>
    <row r="974">
      <c r="A974" s="11"/>
      <c r="B974" s="11"/>
      <c r="D974" s="8" t="s">
        <v>8</v>
      </c>
    </row>
    <row r="975">
      <c r="A975" s="11"/>
      <c r="B975" s="11"/>
      <c r="D975" s="8" t="s">
        <v>8</v>
      </c>
    </row>
    <row r="976">
      <c r="A976" s="11"/>
      <c r="B976" s="11"/>
      <c r="D976" s="8" t="s">
        <v>8</v>
      </c>
    </row>
    <row r="977">
      <c r="A977" s="11"/>
      <c r="B977" s="11"/>
      <c r="D977" s="8" t="s">
        <v>8</v>
      </c>
    </row>
    <row r="978">
      <c r="A978" s="11"/>
      <c r="B978" s="11"/>
      <c r="D978" s="8" t="s">
        <v>8</v>
      </c>
    </row>
    <row r="979">
      <c r="A979" s="11"/>
      <c r="B979" s="11"/>
      <c r="D979" s="8" t="s">
        <v>8</v>
      </c>
    </row>
    <row r="980">
      <c r="A980" s="11"/>
      <c r="B980" s="11"/>
      <c r="D980" s="8" t="s">
        <v>8</v>
      </c>
    </row>
    <row r="981">
      <c r="A981" s="11"/>
      <c r="B981" s="11"/>
      <c r="D981" s="8" t="s">
        <v>8</v>
      </c>
    </row>
    <row r="982">
      <c r="A982" s="11"/>
      <c r="B982" s="11"/>
      <c r="D982" s="8" t="s">
        <v>8</v>
      </c>
    </row>
    <row r="983">
      <c r="A983" s="11"/>
      <c r="B983" s="11"/>
      <c r="D983" s="8" t="s">
        <v>8</v>
      </c>
    </row>
    <row r="984">
      <c r="A984" s="11"/>
      <c r="B984" s="11"/>
      <c r="D984" s="8" t="s">
        <v>8</v>
      </c>
    </row>
    <row r="985">
      <c r="A985" s="11"/>
      <c r="B985" s="11"/>
      <c r="D985" s="8" t="s">
        <v>8</v>
      </c>
    </row>
    <row r="986">
      <c r="A986" s="11"/>
      <c r="B986" s="11"/>
      <c r="D986" s="8" t="s">
        <v>8</v>
      </c>
    </row>
    <row r="987">
      <c r="A987" s="11"/>
      <c r="B987" s="11"/>
      <c r="D987" s="8" t="s">
        <v>8</v>
      </c>
    </row>
    <row r="988">
      <c r="A988" s="11"/>
      <c r="B988" s="11"/>
      <c r="D988" s="8" t="s">
        <v>8</v>
      </c>
    </row>
    <row r="989">
      <c r="A989" s="11"/>
      <c r="B989" s="11"/>
      <c r="D989" s="8" t="s">
        <v>8</v>
      </c>
    </row>
    <row r="990">
      <c r="A990" s="11"/>
      <c r="B990" s="11"/>
      <c r="D990" s="8" t="s">
        <v>8</v>
      </c>
    </row>
    <row r="991">
      <c r="A991" s="11"/>
      <c r="B991" s="11"/>
      <c r="D991" s="8" t="s">
        <v>8</v>
      </c>
    </row>
    <row r="992">
      <c r="A992" s="11"/>
      <c r="B992" s="11"/>
      <c r="D992" s="8" t="s">
        <v>8</v>
      </c>
    </row>
    <row r="993">
      <c r="A993" s="11"/>
      <c r="B993" s="11"/>
      <c r="D993" s="8" t="s">
        <v>8</v>
      </c>
    </row>
    <row r="994">
      <c r="A994" s="11"/>
      <c r="B994" s="11"/>
      <c r="D994" s="8" t="s">
        <v>8</v>
      </c>
    </row>
    <row r="995">
      <c r="A995" s="11"/>
      <c r="B995" s="11"/>
      <c r="D995" s="8" t="s">
        <v>8</v>
      </c>
    </row>
    <row r="996">
      <c r="A996" s="11"/>
      <c r="B996" s="11"/>
      <c r="D996" s="8" t="s">
        <v>8</v>
      </c>
    </row>
    <row r="997">
      <c r="A997" s="11"/>
      <c r="B997" s="11"/>
      <c r="D997" s="8" t="s">
        <v>8</v>
      </c>
    </row>
    <row r="998">
      <c r="A998" s="11"/>
      <c r="B998" s="11"/>
      <c r="D998" s="8" t="s">
        <v>8</v>
      </c>
    </row>
    <row r="999">
      <c r="A999" s="11"/>
      <c r="B999" s="11"/>
      <c r="D999" s="8" t="s">
        <v>8</v>
      </c>
    </row>
    <row r="1000">
      <c r="A1000" s="11"/>
      <c r="B1000" s="11"/>
      <c r="D1000" s="8" t="s">
        <v>8</v>
      </c>
    </row>
  </sheetData>
  <autoFilter ref="$A$1:$G$1000"/>
  <dataValidations>
    <dataValidation type="list" allowBlank="1" showErrorMessage="1" sqref="C2:C1000">
      <formula1>Students!$C$3:$C1000</formula1>
    </dataValidation>
    <dataValidation type="custom" allowBlank="1" showDropDown="1" showErrorMessage="1" sqref="E2:G1000">
      <formula1>OR(NOT(ISERROR(DATEVALUE(E2))), AND(ISNUMBER(E2), LEFT(CELL("format", E2))="D"))</formula1>
    </dataValidation>
  </dataValidations>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3" max="3" width="14.75"/>
    <col customWidth="1" min="5" max="5" width="20.25"/>
    <col customWidth="1" min="6" max="6" width="23.75"/>
    <col customWidth="1" min="7" max="7" width="21.0"/>
    <col customWidth="1" min="8" max="8" width="24.88"/>
  </cols>
  <sheetData>
    <row r="1">
      <c r="A1" s="12" t="s">
        <v>17</v>
      </c>
      <c r="B1" s="12" t="s">
        <v>18</v>
      </c>
      <c r="C1" s="12" t="s">
        <v>19</v>
      </c>
    </row>
    <row r="2">
      <c r="A2" s="12" t="s">
        <v>20</v>
      </c>
      <c r="B2" s="12">
        <v>4.0</v>
      </c>
      <c r="C2" s="12" t="s">
        <v>21</v>
      </c>
      <c r="E2" s="12" t="s">
        <v>22</v>
      </c>
      <c r="F2" s="12" t="s">
        <v>23</v>
      </c>
      <c r="G2" s="12" t="s">
        <v>24</v>
      </c>
      <c r="H2" s="12" t="s">
        <v>25</v>
      </c>
    </row>
    <row r="3">
      <c r="A3" s="12" t="s">
        <v>26</v>
      </c>
      <c r="B3" s="12">
        <v>2.0</v>
      </c>
      <c r="C3" s="12" t="s">
        <v>21</v>
      </c>
      <c r="G3" s="12" t="s">
        <v>27</v>
      </c>
      <c r="H3" s="12" t="s">
        <v>28</v>
      </c>
    </row>
    <row r="4">
      <c r="A4" s="12" t="s">
        <v>29</v>
      </c>
      <c r="B4" s="12">
        <v>1.0</v>
      </c>
      <c r="C4" s="12" t="s">
        <v>21</v>
      </c>
      <c r="G4" s="12" t="s">
        <v>30</v>
      </c>
      <c r="H4" s="12" t="s">
        <v>28</v>
      </c>
    </row>
    <row r="5">
      <c r="A5" s="12" t="s">
        <v>30</v>
      </c>
      <c r="B5" s="12">
        <v>1.0</v>
      </c>
      <c r="C5" s="12" t="s">
        <v>23</v>
      </c>
      <c r="G5" s="12" t="s">
        <v>31</v>
      </c>
      <c r="H5" s="12" t="s">
        <v>32</v>
      </c>
    </row>
    <row r="6">
      <c r="A6" s="12" t="s">
        <v>30</v>
      </c>
      <c r="B6" s="12">
        <v>2.0</v>
      </c>
      <c r="C6" s="12" t="s">
        <v>33</v>
      </c>
      <c r="G6" s="12" t="s">
        <v>34</v>
      </c>
      <c r="I6" s="12" t="s">
        <v>35</v>
      </c>
      <c r="J6" s="12" t="s">
        <v>36</v>
      </c>
      <c r="K6" s="12" t="s">
        <v>37</v>
      </c>
      <c r="L6" s="12" t="s">
        <v>38</v>
      </c>
      <c r="M6" s="12" t="s">
        <v>39</v>
      </c>
    </row>
    <row r="7">
      <c r="A7" s="12" t="s">
        <v>27</v>
      </c>
      <c r="B7" s="12">
        <v>1.0</v>
      </c>
      <c r="C7" s="12" t="s">
        <v>23</v>
      </c>
      <c r="E7" s="12" t="s">
        <v>40</v>
      </c>
      <c r="F7" s="12" t="s">
        <v>33</v>
      </c>
      <c r="G7" s="12" t="s">
        <v>26</v>
      </c>
      <c r="H7" s="12" t="s">
        <v>28</v>
      </c>
    </row>
    <row r="8">
      <c r="A8" s="12" t="s">
        <v>27</v>
      </c>
      <c r="B8" s="12">
        <v>2.0</v>
      </c>
      <c r="C8" s="12" t="s">
        <v>33</v>
      </c>
      <c r="G8" s="12" t="s">
        <v>41</v>
      </c>
    </row>
    <row r="9">
      <c r="G9" s="12" t="s">
        <v>42</v>
      </c>
      <c r="H9" s="12" t="s">
        <v>43</v>
      </c>
      <c r="I9" s="12" t="s">
        <v>44</v>
      </c>
      <c r="J9" s="12" t="s">
        <v>45</v>
      </c>
    </row>
    <row r="10">
      <c r="G10" s="12" t="s">
        <v>46</v>
      </c>
      <c r="H10" s="12" t="s">
        <v>43</v>
      </c>
      <c r="I10" s="12" t="s">
        <v>44</v>
      </c>
      <c r="J10" s="12" t="s">
        <v>47</v>
      </c>
    </row>
    <row r="11">
      <c r="G11" s="12" t="s">
        <v>29</v>
      </c>
      <c r="H11" s="12" t="s">
        <v>28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7.63"/>
    <col customWidth="1" min="3" max="3" width="13.75"/>
    <col customWidth="1" min="4" max="4" width="8.25"/>
    <col customWidth="1" min="5" max="6" width="34.63"/>
  </cols>
  <sheetData>
    <row r="1">
      <c r="A1" s="13" t="s">
        <v>48</v>
      </c>
      <c r="B1" s="13" t="s">
        <v>49</v>
      </c>
      <c r="C1" s="3" t="s">
        <v>50</v>
      </c>
      <c r="D1" s="3" t="s">
        <v>51</v>
      </c>
      <c r="E1" s="1" t="s">
        <v>52</v>
      </c>
      <c r="F1" s="1" t="s">
        <v>53</v>
      </c>
    </row>
    <row r="2">
      <c r="A2" s="14" t="s">
        <v>54</v>
      </c>
      <c r="B2" s="14" t="s">
        <v>55</v>
      </c>
      <c r="C2" s="15" t="s">
        <v>56</v>
      </c>
      <c r="D2" s="16" t="s">
        <v>57</v>
      </c>
      <c r="E2" s="5" t="s">
        <v>58</v>
      </c>
      <c r="F2" s="5"/>
    </row>
    <row r="3">
      <c r="A3" s="14" t="s">
        <v>59</v>
      </c>
      <c r="B3" s="14" t="s">
        <v>60</v>
      </c>
      <c r="C3" s="15" t="s">
        <v>56</v>
      </c>
      <c r="D3" s="16" t="s">
        <v>57</v>
      </c>
      <c r="E3" s="5" t="s">
        <v>61</v>
      </c>
      <c r="F3" s="5"/>
    </row>
    <row r="4">
      <c r="A4" s="14" t="s">
        <v>62</v>
      </c>
      <c r="B4" s="14" t="s">
        <v>63</v>
      </c>
      <c r="C4" s="15" t="s">
        <v>56</v>
      </c>
      <c r="D4" s="16" t="s">
        <v>64</v>
      </c>
      <c r="E4" s="5"/>
      <c r="F4" s="5"/>
    </row>
    <row r="5">
      <c r="A5" s="14" t="s">
        <v>65</v>
      </c>
      <c r="B5" s="14" t="s">
        <v>66</v>
      </c>
      <c r="C5" s="15" t="s">
        <v>56</v>
      </c>
      <c r="D5" s="17">
        <v>44621.0</v>
      </c>
      <c r="E5" s="11"/>
      <c r="F5" s="11"/>
    </row>
    <row r="6">
      <c r="A6" s="14" t="s">
        <v>67</v>
      </c>
      <c r="B6" s="14" t="s">
        <v>68</v>
      </c>
      <c r="C6" s="15" t="s">
        <v>69</v>
      </c>
      <c r="D6" s="17">
        <v>44635.0</v>
      </c>
      <c r="E6" s="11"/>
      <c r="F6" s="11"/>
    </row>
    <row r="7">
      <c r="A7" s="14" t="s">
        <v>70</v>
      </c>
      <c r="B7" s="14" t="s">
        <v>71</v>
      </c>
      <c r="C7" s="15" t="s">
        <v>56</v>
      </c>
      <c r="D7" s="17">
        <v>44652.0</v>
      </c>
      <c r="E7" s="11"/>
      <c r="F7" s="11"/>
    </row>
    <row r="8">
      <c r="A8" s="14" t="s">
        <v>72</v>
      </c>
      <c r="B8" s="14" t="s">
        <v>73</v>
      </c>
      <c r="C8" s="15" t="s">
        <v>56</v>
      </c>
      <c r="D8" s="17">
        <v>44652.0</v>
      </c>
      <c r="E8" s="11"/>
      <c r="F8" s="11"/>
    </row>
    <row r="9">
      <c r="A9" s="14" t="s">
        <v>74</v>
      </c>
      <c r="B9" s="14" t="s">
        <v>75</v>
      </c>
      <c r="C9" s="15" t="s">
        <v>56</v>
      </c>
      <c r="D9" s="17">
        <v>44652.0</v>
      </c>
      <c r="E9" s="11"/>
      <c r="F9" s="11"/>
    </row>
    <row r="10">
      <c r="A10" s="14" t="s">
        <v>76</v>
      </c>
      <c r="B10" s="14" t="s">
        <v>77</v>
      </c>
      <c r="C10" s="15" t="s">
        <v>69</v>
      </c>
      <c r="D10" s="17">
        <v>44682.0</v>
      </c>
      <c r="E10" s="5" t="s">
        <v>78</v>
      </c>
      <c r="F10" s="5"/>
    </row>
    <row r="11">
      <c r="A11" s="14" t="s">
        <v>79</v>
      </c>
      <c r="B11" s="14" t="s">
        <v>80</v>
      </c>
      <c r="C11" s="15" t="s">
        <v>81</v>
      </c>
      <c r="D11" s="17">
        <v>44743.0</v>
      </c>
      <c r="E11" s="11"/>
      <c r="F11" s="11"/>
    </row>
    <row r="12">
      <c r="A12" s="14" t="s">
        <v>82</v>
      </c>
      <c r="B12" s="14" t="s">
        <v>83</v>
      </c>
      <c r="C12" s="15" t="s">
        <v>84</v>
      </c>
      <c r="D12" s="17">
        <v>45047.0</v>
      </c>
      <c r="E12" s="11"/>
      <c r="F12" s="11"/>
    </row>
    <row r="13">
      <c r="A13" s="14" t="s">
        <v>85</v>
      </c>
      <c r="B13" s="14" t="s">
        <v>86</v>
      </c>
      <c r="C13" s="15" t="s">
        <v>87</v>
      </c>
      <c r="D13" s="17">
        <v>45047.0</v>
      </c>
      <c r="E13" s="11"/>
      <c r="F13" s="11"/>
    </row>
    <row r="14">
      <c r="A14" s="18"/>
      <c r="B14" s="18"/>
      <c r="C14" s="19"/>
      <c r="D14" s="20"/>
      <c r="E14" s="11"/>
      <c r="F14" s="11"/>
    </row>
    <row r="15">
      <c r="A15" s="18"/>
      <c r="B15" s="18"/>
      <c r="C15" s="19"/>
      <c r="D15" s="20"/>
      <c r="E15" s="11"/>
      <c r="F15" s="11"/>
    </row>
    <row r="16">
      <c r="A16" s="18"/>
      <c r="B16" s="18"/>
      <c r="C16" s="19"/>
      <c r="D16" s="20"/>
      <c r="E16" s="11"/>
      <c r="F16" s="11"/>
    </row>
    <row r="17">
      <c r="A17" s="18"/>
      <c r="B17" s="18"/>
      <c r="C17" s="19"/>
      <c r="D17" s="20"/>
      <c r="E17" s="11"/>
      <c r="F17" s="11"/>
    </row>
    <row r="18">
      <c r="A18" s="18"/>
      <c r="B18" s="18"/>
      <c r="C18" s="19"/>
      <c r="D18" s="20"/>
      <c r="E18" s="11"/>
      <c r="F18" s="11"/>
    </row>
    <row r="19">
      <c r="A19" s="18"/>
      <c r="B19" s="18"/>
      <c r="C19" s="19"/>
      <c r="D19" s="20"/>
      <c r="E19" s="11"/>
      <c r="F19" s="11"/>
    </row>
    <row r="20">
      <c r="A20" s="18"/>
      <c r="B20" s="18"/>
      <c r="C20" s="19"/>
      <c r="D20" s="20"/>
      <c r="E20" s="11"/>
      <c r="F20" s="11"/>
    </row>
    <row r="21">
      <c r="A21" s="18"/>
      <c r="B21" s="18"/>
      <c r="C21" s="19"/>
      <c r="D21" s="20"/>
      <c r="E21" s="11"/>
      <c r="F21" s="11"/>
    </row>
    <row r="22">
      <c r="A22" s="18"/>
      <c r="B22" s="18"/>
      <c r="C22" s="19"/>
      <c r="D22" s="20"/>
      <c r="E22" s="11"/>
      <c r="F22" s="11"/>
    </row>
    <row r="23">
      <c r="A23" s="18"/>
      <c r="B23" s="18"/>
      <c r="C23" s="19"/>
      <c r="D23" s="20"/>
      <c r="E23" s="11"/>
      <c r="F23" s="11"/>
    </row>
    <row r="24">
      <c r="A24" s="18"/>
      <c r="B24" s="18"/>
      <c r="C24" s="19"/>
      <c r="D24" s="20"/>
      <c r="E24" s="11"/>
      <c r="F24" s="11"/>
    </row>
    <row r="25">
      <c r="A25" s="18"/>
      <c r="B25" s="18"/>
      <c r="C25" s="19"/>
      <c r="D25" s="20"/>
      <c r="E25" s="11"/>
      <c r="F25" s="11"/>
    </row>
    <row r="26">
      <c r="A26" s="18"/>
      <c r="B26" s="18"/>
      <c r="C26" s="19"/>
      <c r="D26" s="20"/>
      <c r="E26" s="11"/>
      <c r="F26" s="11"/>
    </row>
    <row r="27">
      <c r="A27" s="18"/>
      <c r="B27" s="18"/>
      <c r="C27" s="19"/>
      <c r="D27" s="20"/>
      <c r="E27" s="11"/>
      <c r="F27" s="11"/>
    </row>
    <row r="28">
      <c r="A28" s="18"/>
      <c r="B28" s="18"/>
      <c r="C28" s="19"/>
      <c r="D28" s="20"/>
      <c r="E28" s="11"/>
      <c r="F28" s="11"/>
    </row>
    <row r="29">
      <c r="A29" s="18"/>
      <c r="B29" s="18"/>
      <c r="C29" s="19"/>
      <c r="D29" s="20"/>
      <c r="E29" s="11"/>
      <c r="F29" s="11"/>
    </row>
    <row r="30">
      <c r="A30" s="18"/>
      <c r="B30" s="18"/>
      <c r="C30" s="19"/>
      <c r="D30" s="20"/>
      <c r="E30" s="11"/>
      <c r="F30" s="11"/>
    </row>
    <row r="31">
      <c r="A31" s="18"/>
      <c r="B31" s="18"/>
      <c r="C31" s="19"/>
      <c r="D31" s="20"/>
      <c r="E31" s="11"/>
      <c r="F31" s="11"/>
    </row>
    <row r="32">
      <c r="A32" s="18"/>
      <c r="B32" s="18"/>
      <c r="C32" s="19"/>
      <c r="D32" s="20"/>
      <c r="E32" s="11"/>
      <c r="F32" s="11"/>
    </row>
    <row r="33">
      <c r="A33" s="18"/>
      <c r="B33" s="18"/>
      <c r="C33" s="19"/>
      <c r="D33" s="20"/>
      <c r="E33" s="11"/>
      <c r="F33" s="11"/>
    </row>
    <row r="34">
      <c r="A34" s="18"/>
      <c r="B34" s="18"/>
      <c r="C34" s="19"/>
      <c r="D34" s="20"/>
      <c r="E34" s="11"/>
      <c r="F34" s="11"/>
    </row>
    <row r="35">
      <c r="A35" s="18"/>
      <c r="B35" s="18"/>
      <c r="C35" s="19"/>
      <c r="D35" s="20"/>
      <c r="E35" s="11"/>
      <c r="F35" s="11"/>
    </row>
    <row r="36">
      <c r="A36" s="18"/>
      <c r="B36" s="18"/>
      <c r="C36" s="19"/>
      <c r="D36" s="20"/>
      <c r="E36" s="11"/>
      <c r="F36" s="11"/>
    </row>
    <row r="37">
      <c r="A37" s="18"/>
      <c r="B37" s="18"/>
      <c r="C37" s="19"/>
      <c r="D37" s="20"/>
      <c r="E37" s="11"/>
      <c r="F37" s="11"/>
    </row>
    <row r="38">
      <c r="A38" s="18"/>
      <c r="B38" s="18"/>
      <c r="C38" s="19"/>
      <c r="D38" s="20"/>
      <c r="E38" s="11"/>
      <c r="F38" s="11"/>
    </row>
    <row r="39">
      <c r="A39" s="18"/>
      <c r="B39" s="18"/>
      <c r="C39" s="19"/>
      <c r="D39" s="20"/>
      <c r="E39" s="11"/>
      <c r="F39" s="11"/>
    </row>
    <row r="40">
      <c r="A40" s="18"/>
      <c r="B40" s="18"/>
      <c r="C40" s="19"/>
      <c r="D40" s="20"/>
      <c r="E40" s="11"/>
      <c r="F40" s="11"/>
    </row>
    <row r="41">
      <c r="A41" s="18"/>
      <c r="B41" s="18"/>
      <c r="C41" s="19"/>
      <c r="D41" s="20"/>
      <c r="E41" s="11"/>
      <c r="F41" s="11"/>
    </row>
    <row r="42">
      <c r="A42" s="18"/>
      <c r="B42" s="18"/>
      <c r="C42" s="19"/>
      <c r="D42" s="20"/>
      <c r="E42" s="11"/>
      <c r="F42" s="11"/>
    </row>
    <row r="43">
      <c r="A43" s="18"/>
      <c r="B43" s="18"/>
      <c r="C43" s="19"/>
      <c r="D43" s="20"/>
      <c r="E43" s="11"/>
      <c r="F43" s="11"/>
    </row>
    <row r="44">
      <c r="A44" s="18"/>
      <c r="B44" s="18"/>
      <c r="C44" s="19"/>
      <c r="D44" s="20"/>
      <c r="E44" s="11"/>
      <c r="F44" s="11"/>
    </row>
    <row r="45">
      <c r="A45" s="18"/>
      <c r="B45" s="18"/>
      <c r="C45" s="19"/>
      <c r="D45" s="20"/>
      <c r="E45" s="11"/>
      <c r="F45" s="11"/>
    </row>
    <row r="46">
      <c r="A46" s="18"/>
      <c r="B46" s="18"/>
      <c r="C46" s="19"/>
      <c r="D46" s="20"/>
      <c r="E46" s="11"/>
      <c r="F46" s="11"/>
    </row>
    <row r="47">
      <c r="A47" s="18"/>
      <c r="B47" s="18"/>
      <c r="C47" s="19"/>
      <c r="D47" s="20"/>
      <c r="E47" s="11"/>
      <c r="F47" s="11"/>
    </row>
    <row r="48">
      <c r="A48" s="18"/>
      <c r="B48" s="18"/>
      <c r="C48" s="19"/>
      <c r="D48" s="20"/>
      <c r="E48" s="11"/>
      <c r="F48" s="11"/>
    </row>
    <row r="49">
      <c r="A49" s="18"/>
      <c r="B49" s="18"/>
      <c r="C49" s="19"/>
      <c r="D49" s="20"/>
      <c r="E49" s="11"/>
      <c r="F49" s="11"/>
    </row>
    <row r="50">
      <c r="A50" s="18"/>
      <c r="B50" s="18"/>
      <c r="C50" s="19"/>
      <c r="D50" s="20"/>
      <c r="E50" s="11"/>
      <c r="F50" s="11"/>
    </row>
    <row r="51">
      <c r="A51" s="18"/>
      <c r="B51" s="18"/>
      <c r="C51" s="19"/>
      <c r="D51" s="20"/>
      <c r="E51" s="11"/>
      <c r="F51" s="11"/>
    </row>
    <row r="52">
      <c r="A52" s="18"/>
      <c r="B52" s="18"/>
      <c r="C52" s="19"/>
      <c r="D52" s="20"/>
      <c r="E52" s="11"/>
      <c r="F52" s="11"/>
    </row>
    <row r="53">
      <c r="A53" s="18"/>
      <c r="B53" s="18"/>
      <c r="C53" s="19"/>
      <c r="D53" s="20"/>
      <c r="E53" s="11"/>
      <c r="F53" s="11"/>
    </row>
    <row r="54">
      <c r="A54" s="18"/>
      <c r="B54" s="18"/>
      <c r="C54" s="19"/>
      <c r="D54" s="20"/>
      <c r="E54" s="11"/>
      <c r="F54" s="11"/>
    </row>
    <row r="55">
      <c r="A55" s="18"/>
      <c r="B55" s="18"/>
      <c r="C55" s="19"/>
      <c r="D55" s="20"/>
      <c r="E55" s="11"/>
      <c r="F55" s="11"/>
    </row>
    <row r="56">
      <c r="A56" s="18"/>
      <c r="B56" s="18"/>
      <c r="C56" s="19"/>
      <c r="D56" s="20"/>
      <c r="E56" s="11"/>
      <c r="F56" s="11"/>
    </row>
    <row r="57">
      <c r="A57" s="18"/>
      <c r="B57" s="18"/>
      <c r="C57" s="19"/>
      <c r="D57" s="20"/>
      <c r="E57" s="11"/>
      <c r="F57" s="11"/>
    </row>
    <row r="58">
      <c r="A58" s="18"/>
      <c r="B58" s="18"/>
      <c r="C58" s="19"/>
      <c r="D58" s="20"/>
      <c r="E58" s="11"/>
      <c r="F58" s="11"/>
    </row>
    <row r="59">
      <c r="A59" s="18"/>
      <c r="B59" s="18"/>
      <c r="C59" s="19"/>
      <c r="D59" s="20"/>
      <c r="E59" s="11"/>
      <c r="F59" s="11"/>
    </row>
    <row r="60">
      <c r="A60" s="18"/>
      <c r="B60" s="18"/>
      <c r="C60" s="19"/>
      <c r="D60" s="20"/>
      <c r="E60" s="11"/>
      <c r="F60" s="11"/>
    </row>
    <row r="61">
      <c r="A61" s="18"/>
      <c r="B61" s="18"/>
      <c r="C61" s="19"/>
      <c r="D61" s="20"/>
      <c r="E61" s="11"/>
      <c r="F61" s="11"/>
    </row>
    <row r="62">
      <c r="A62" s="18"/>
      <c r="B62" s="18"/>
      <c r="C62" s="19"/>
      <c r="D62" s="20"/>
      <c r="E62" s="11"/>
      <c r="F62" s="11"/>
    </row>
    <row r="63">
      <c r="A63" s="18"/>
      <c r="B63" s="18"/>
      <c r="C63" s="19"/>
      <c r="D63" s="20"/>
      <c r="E63" s="11"/>
      <c r="F63" s="11"/>
    </row>
    <row r="64">
      <c r="A64" s="18"/>
      <c r="B64" s="18"/>
      <c r="C64" s="19"/>
      <c r="D64" s="20"/>
      <c r="E64" s="11"/>
      <c r="F64" s="11"/>
    </row>
    <row r="65">
      <c r="A65" s="18"/>
      <c r="B65" s="18"/>
      <c r="C65" s="19"/>
      <c r="D65" s="20"/>
      <c r="E65" s="11"/>
      <c r="F65" s="11"/>
    </row>
    <row r="66">
      <c r="A66" s="18"/>
      <c r="B66" s="18"/>
      <c r="C66" s="19"/>
      <c r="D66" s="20"/>
      <c r="E66" s="11"/>
      <c r="F66" s="11"/>
    </row>
    <row r="67">
      <c r="A67" s="18"/>
      <c r="B67" s="18"/>
      <c r="C67" s="19"/>
      <c r="D67" s="20"/>
      <c r="E67" s="11"/>
      <c r="F67" s="11"/>
    </row>
    <row r="68">
      <c r="A68" s="18"/>
      <c r="B68" s="18"/>
      <c r="C68" s="19"/>
      <c r="D68" s="20"/>
      <c r="E68" s="11"/>
      <c r="F68" s="11"/>
    </row>
    <row r="69">
      <c r="A69" s="18"/>
      <c r="B69" s="18"/>
      <c r="C69" s="19"/>
      <c r="D69" s="20"/>
      <c r="E69" s="11"/>
      <c r="F69" s="11"/>
    </row>
    <row r="70">
      <c r="A70" s="18"/>
      <c r="B70" s="18"/>
      <c r="C70" s="19"/>
      <c r="D70" s="20"/>
      <c r="E70" s="11"/>
      <c r="F70" s="11"/>
    </row>
    <row r="71">
      <c r="A71" s="18"/>
      <c r="B71" s="18"/>
      <c r="C71" s="19"/>
      <c r="D71" s="20"/>
      <c r="E71" s="11"/>
      <c r="F71" s="11"/>
    </row>
    <row r="72">
      <c r="A72" s="18"/>
      <c r="B72" s="18"/>
      <c r="C72" s="19"/>
      <c r="D72" s="20"/>
      <c r="E72" s="11"/>
      <c r="F72" s="11"/>
    </row>
    <row r="73">
      <c r="A73" s="18"/>
      <c r="B73" s="18"/>
      <c r="C73" s="19"/>
      <c r="D73" s="20"/>
      <c r="E73" s="11"/>
      <c r="F73" s="11"/>
    </row>
    <row r="74">
      <c r="A74" s="18"/>
      <c r="B74" s="18"/>
      <c r="C74" s="19"/>
      <c r="D74" s="20"/>
      <c r="E74" s="11"/>
      <c r="F74" s="11"/>
    </row>
    <row r="75">
      <c r="A75" s="18"/>
      <c r="B75" s="18"/>
      <c r="C75" s="19"/>
      <c r="D75" s="20"/>
      <c r="E75" s="11"/>
      <c r="F75" s="11"/>
    </row>
    <row r="76">
      <c r="A76" s="18"/>
      <c r="B76" s="18"/>
      <c r="C76" s="19"/>
      <c r="D76" s="20"/>
      <c r="E76" s="11"/>
      <c r="F76" s="11"/>
    </row>
    <row r="77">
      <c r="A77" s="18"/>
      <c r="B77" s="18"/>
      <c r="C77" s="19"/>
      <c r="D77" s="20"/>
      <c r="E77" s="11"/>
      <c r="F77" s="11"/>
    </row>
    <row r="78">
      <c r="A78" s="18"/>
      <c r="B78" s="18"/>
      <c r="C78" s="19"/>
      <c r="D78" s="20"/>
      <c r="E78" s="11"/>
      <c r="F78" s="11"/>
    </row>
    <row r="79">
      <c r="A79" s="18"/>
      <c r="B79" s="18"/>
      <c r="C79" s="19"/>
      <c r="D79" s="20"/>
      <c r="E79" s="11"/>
      <c r="F79" s="11"/>
    </row>
    <row r="80">
      <c r="A80" s="18"/>
      <c r="B80" s="18"/>
      <c r="C80" s="19"/>
      <c r="D80" s="20"/>
      <c r="E80" s="11"/>
      <c r="F80" s="11"/>
    </row>
    <row r="81">
      <c r="A81" s="18"/>
      <c r="B81" s="18"/>
      <c r="C81" s="19"/>
      <c r="D81" s="20"/>
      <c r="E81" s="11"/>
      <c r="F81" s="11"/>
    </row>
    <row r="82">
      <c r="A82" s="18"/>
      <c r="B82" s="18"/>
      <c r="C82" s="19"/>
      <c r="D82" s="20"/>
      <c r="E82" s="11"/>
      <c r="F82" s="11"/>
    </row>
    <row r="83">
      <c r="A83" s="18"/>
      <c r="B83" s="18"/>
      <c r="C83" s="19"/>
      <c r="D83" s="20"/>
      <c r="E83" s="11"/>
      <c r="F83" s="11"/>
    </row>
    <row r="84">
      <c r="A84" s="18"/>
      <c r="B84" s="18"/>
      <c r="C84" s="19"/>
      <c r="D84" s="20"/>
      <c r="E84" s="11"/>
      <c r="F84" s="11"/>
    </row>
    <row r="85">
      <c r="A85" s="18"/>
      <c r="B85" s="18"/>
      <c r="C85" s="19"/>
      <c r="D85" s="20"/>
      <c r="E85" s="11"/>
      <c r="F85" s="11"/>
    </row>
    <row r="86">
      <c r="A86" s="18"/>
      <c r="B86" s="18"/>
      <c r="C86" s="19"/>
      <c r="D86" s="20"/>
      <c r="E86" s="11"/>
      <c r="F86" s="11"/>
    </row>
    <row r="87">
      <c r="A87" s="18"/>
      <c r="B87" s="18"/>
      <c r="C87" s="19"/>
      <c r="D87" s="20"/>
      <c r="E87" s="11"/>
      <c r="F87" s="11"/>
    </row>
    <row r="88">
      <c r="A88" s="18"/>
      <c r="B88" s="18"/>
      <c r="C88" s="19"/>
      <c r="D88" s="20"/>
      <c r="E88" s="11"/>
      <c r="F88" s="11"/>
    </row>
    <row r="89">
      <c r="A89" s="18"/>
      <c r="B89" s="18"/>
      <c r="C89" s="19"/>
      <c r="D89" s="20"/>
      <c r="E89" s="11"/>
      <c r="F89" s="11"/>
    </row>
    <row r="90">
      <c r="A90" s="18"/>
      <c r="B90" s="18"/>
      <c r="C90" s="19"/>
      <c r="D90" s="20"/>
      <c r="E90" s="11"/>
      <c r="F90" s="11"/>
    </row>
    <row r="91">
      <c r="A91" s="18"/>
      <c r="B91" s="18"/>
      <c r="C91" s="19"/>
      <c r="D91" s="20"/>
      <c r="E91" s="11"/>
      <c r="F91" s="11"/>
    </row>
    <row r="92">
      <c r="A92" s="18"/>
      <c r="B92" s="18"/>
      <c r="C92" s="19"/>
      <c r="D92" s="20"/>
      <c r="E92" s="11"/>
      <c r="F92" s="11"/>
    </row>
    <row r="93">
      <c r="A93" s="18"/>
      <c r="B93" s="18"/>
      <c r="C93" s="19"/>
      <c r="D93" s="20"/>
      <c r="E93" s="11"/>
      <c r="F93" s="11"/>
    </row>
    <row r="94">
      <c r="A94" s="18"/>
      <c r="B94" s="18"/>
      <c r="C94" s="19"/>
      <c r="D94" s="20"/>
      <c r="E94" s="11"/>
      <c r="F94" s="11"/>
    </row>
    <row r="95">
      <c r="A95" s="18"/>
      <c r="B95" s="18"/>
      <c r="C95" s="19"/>
      <c r="D95" s="20"/>
      <c r="E95" s="11"/>
      <c r="F95" s="11"/>
    </row>
    <row r="96">
      <c r="A96" s="18"/>
      <c r="B96" s="18"/>
      <c r="C96" s="19"/>
      <c r="D96" s="20"/>
      <c r="E96" s="11"/>
      <c r="F96" s="11"/>
    </row>
    <row r="97">
      <c r="A97" s="18"/>
      <c r="B97" s="18"/>
      <c r="C97" s="19"/>
      <c r="D97" s="20"/>
      <c r="E97" s="11"/>
      <c r="F97" s="11"/>
    </row>
    <row r="98">
      <c r="A98" s="18"/>
      <c r="B98" s="18"/>
      <c r="C98" s="19"/>
      <c r="D98" s="20"/>
      <c r="E98" s="11"/>
      <c r="F98" s="11"/>
    </row>
    <row r="99">
      <c r="A99" s="18"/>
      <c r="B99" s="18"/>
      <c r="C99" s="19"/>
      <c r="D99" s="20"/>
      <c r="E99" s="11"/>
      <c r="F99" s="11"/>
    </row>
    <row r="100">
      <c r="A100" s="18"/>
      <c r="B100" s="18"/>
      <c r="C100" s="19"/>
      <c r="D100" s="20"/>
      <c r="E100" s="11"/>
      <c r="F100" s="11"/>
    </row>
    <row r="101">
      <c r="A101" s="18"/>
      <c r="B101" s="18"/>
      <c r="C101" s="19"/>
      <c r="D101" s="20"/>
      <c r="E101" s="11"/>
      <c r="F101" s="11"/>
    </row>
    <row r="102">
      <c r="A102" s="18"/>
      <c r="B102" s="18"/>
      <c r="C102" s="19"/>
      <c r="D102" s="20"/>
      <c r="E102" s="11"/>
      <c r="F102" s="11"/>
    </row>
    <row r="103">
      <c r="A103" s="18"/>
      <c r="B103" s="18"/>
      <c r="C103" s="19"/>
      <c r="D103" s="20"/>
      <c r="E103" s="11"/>
      <c r="F103" s="11"/>
    </row>
    <row r="104">
      <c r="A104" s="18"/>
      <c r="B104" s="18"/>
      <c r="C104" s="19"/>
      <c r="D104" s="20"/>
      <c r="E104" s="11"/>
      <c r="F104" s="11"/>
    </row>
    <row r="105">
      <c r="A105" s="18"/>
      <c r="B105" s="18"/>
      <c r="C105" s="19"/>
      <c r="D105" s="20"/>
      <c r="E105" s="11"/>
      <c r="F105" s="11"/>
    </row>
    <row r="106">
      <c r="A106" s="18"/>
      <c r="B106" s="18"/>
      <c r="C106" s="19"/>
      <c r="D106" s="20"/>
      <c r="E106" s="11"/>
      <c r="F106" s="11"/>
    </row>
    <row r="107">
      <c r="A107" s="18"/>
      <c r="B107" s="18"/>
      <c r="C107" s="19"/>
      <c r="D107" s="20"/>
      <c r="E107" s="11"/>
      <c r="F107" s="11"/>
    </row>
    <row r="108">
      <c r="A108" s="18"/>
      <c r="B108" s="18"/>
      <c r="C108" s="19"/>
      <c r="D108" s="20"/>
      <c r="E108" s="11"/>
      <c r="F108" s="11"/>
    </row>
    <row r="109">
      <c r="A109" s="18"/>
      <c r="B109" s="18"/>
      <c r="C109" s="19"/>
      <c r="D109" s="20"/>
      <c r="E109" s="11"/>
      <c r="F109" s="11"/>
    </row>
    <row r="110">
      <c r="A110" s="18"/>
      <c r="B110" s="18"/>
      <c r="C110" s="19"/>
      <c r="D110" s="20"/>
      <c r="E110" s="11"/>
      <c r="F110" s="11"/>
    </row>
    <row r="111">
      <c r="A111" s="18"/>
      <c r="B111" s="18"/>
      <c r="C111" s="19"/>
      <c r="D111" s="20"/>
      <c r="E111" s="11"/>
      <c r="F111" s="11"/>
    </row>
    <row r="112">
      <c r="A112" s="18"/>
      <c r="B112" s="18"/>
      <c r="C112" s="19"/>
      <c r="D112" s="20"/>
      <c r="E112" s="11"/>
      <c r="F112" s="11"/>
    </row>
    <row r="113">
      <c r="A113" s="18"/>
      <c r="B113" s="18"/>
      <c r="C113" s="19"/>
      <c r="D113" s="20"/>
      <c r="E113" s="11"/>
      <c r="F113" s="11"/>
    </row>
    <row r="114">
      <c r="A114" s="18"/>
      <c r="B114" s="18"/>
      <c r="C114" s="19"/>
      <c r="D114" s="20"/>
      <c r="E114" s="11"/>
      <c r="F114" s="11"/>
    </row>
    <row r="115">
      <c r="A115" s="18"/>
      <c r="B115" s="18"/>
      <c r="C115" s="19"/>
      <c r="D115" s="20"/>
      <c r="E115" s="11"/>
      <c r="F115" s="11"/>
    </row>
    <row r="116">
      <c r="A116" s="18"/>
      <c r="B116" s="18"/>
      <c r="C116" s="19"/>
      <c r="D116" s="20"/>
      <c r="E116" s="11"/>
      <c r="F116" s="11"/>
    </row>
    <row r="117">
      <c r="A117" s="18"/>
      <c r="B117" s="18"/>
      <c r="C117" s="19"/>
      <c r="D117" s="20"/>
      <c r="E117" s="11"/>
      <c r="F117" s="11"/>
    </row>
    <row r="118">
      <c r="A118" s="18"/>
      <c r="B118" s="18"/>
      <c r="C118" s="19"/>
      <c r="D118" s="20"/>
      <c r="E118" s="11"/>
      <c r="F118" s="11"/>
    </row>
    <row r="119">
      <c r="A119" s="18"/>
      <c r="B119" s="18"/>
      <c r="C119" s="19"/>
      <c r="D119" s="20"/>
      <c r="E119" s="11"/>
      <c r="F119" s="11"/>
    </row>
    <row r="120">
      <c r="A120" s="18"/>
      <c r="B120" s="18"/>
      <c r="C120" s="19"/>
      <c r="D120" s="20"/>
      <c r="E120" s="11"/>
      <c r="F120" s="11"/>
    </row>
    <row r="121">
      <c r="A121" s="18"/>
      <c r="B121" s="18"/>
      <c r="C121" s="19"/>
      <c r="D121" s="20"/>
      <c r="E121" s="11"/>
      <c r="F121" s="11"/>
    </row>
    <row r="122">
      <c r="A122" s="18"/>
      <c r="B122" s="18"/>
      <c r="C122" s="19"/>
      <c r="D122" s="20"/>
      <c r="E122" s="11"/>
      <c r="F122" s="11"/>
    </row>
    <row r="123">
      <c r="A123" s="18"/>
      <c r="B123" s="18"/>
      <c r="C123" s="19"/>
      <c r="D123" s="20"/>
      <c r="E123" s="11"/>
      <c r="F123" s="11"/>
    </row>
    <row r="124">
      <c r="A124" s="18"/>
      <c r="B124" s="18"/>
      <c r="C124" s="19"/>
      <c r="D124" s="20"/>
      <c r="E124" s="11"/>
      <c r="F124" s="11"/>
    </row>
    <row r="125">
      <c r="A125" s="18"/>
      <c r="B125" s="18"/>
      <c r="C125" s="19"/>
      <c r="D125" s="20"/>
      <c r="E125" s="11"/>
      <c r="F125" s="11"/>
    </row>
    <row r="126">
      <c r="A126" s="18"/>
      <c r="B126" s="18"/>
      <c r="C126" s="19"/>
      <c r="D126" s="20"/>
      <c r="E126" s="11"/>
      <c r="F126" s="11"/>
    </row>
    <row r="127">
      <c r="A127" s="18"/>
      <c r="B127" s="18"/>
      <c r="C127" s="19"/>
      <c r="D127" s="20"/>
      <c r="E127" s="11"/>
      <c r="F127" s="11"/>
    </row>
    <row r="128">
      <c r="A128" s="18"/>
      <c r="B128" s="18"/>
      <c r="C128" s="19"/>
      <c r="D128" s="20"/>
      <c r="E128" s="11"/>
      <c r="F128" s="11"/>
    </row>
    <row r="129">
      <c r="A129" s="18"/>
      <c r="B129" s="18"/>
      <c r="C129" s="19"/>
      <c r="D129" s="20"/>
      <c r="E129" s="11"/>
      <c r="F129" s="11"/>
    </row>
    <row r="130">
      <c r="A130" s="18"/>
      <c r="B130" s="18"/>
      <c r="C130" s="19"/>
      <c r="D130" s="20"/>
      <c r="E130" s="11"/>
      <c r="F130" s="11"/>
    </row>
    <row r="131">
      <c r="A131" s="18"/>
      <c r="B131" s="18"/>
      <c r="C131" s="19"/>
      <c r="D131" s="20"/>
      <c r="E131" s="11"/>
      <c r="F131" s="11"/>
    </row>
    <row r="132">
      <c r="A132" s="18"/>
      <c r="B132" s="18"/>
      <c r="C132" s="19"/>
      <c r="D132" s="20"/>
      <c r="E132" s="11"/>
      <c r="F132" s="11"/>
    </row>
    <row r="133">
      <c r="A133" s="18"/>
      <c r="B133" s="18"/>
      <c r="C133" s="19"/>
      <c r="D133" s="20"/>
      <c r="E133" s="11"/>
      <c r="F133" s="11"/>
    </row>
    <row r="134">
      <c r="A134" s="18"/>
      <c r="B134" s="18"/>
      <c r="C134" s="19"/>
      <c r="D134" s="20"/>
      <c r="E134" s="11"/>
      <c r="F134" s="11"/>
    </row>
    <row r="135">
      <c r="A135" s="18"/>
      <c r="B135" s="18"/>
      <c r="C135" s="19"/>
      <c r="D135" s="20"/>
      <c r="E135" s="11"/>
      <c r="F135" s="11"/>
    </row>
    <row r="136">
      <c r="A136" s="18"/>
      <c r="B136" s="18"/>
      <c r="C136" s="19"/>
      <c r="D136" s="20"/>
      <c r="E136" s="11"/>
      <c r="F136" s="11"/>
    </row>
    <row r="137">
      <c r="A137" s="18"/>
      <c r="B137" s="18"/>
      <c r="C137" s="19"/>
      <c r="D137" s="20"/>
      <c r="E137" s="11"/>
      <c r="F137" s="11"/>
    </row>
    <row r="138">
      <c r="A138" s="18"/>
      <c r="B138" s="18"/>
      <c r="C138" s="19"/>
      <c r="D138" s="20"/>
      <c r="E138" s="11"/>
      <c r="F138" s="11"/>
    </row>
    <row r="139">
      <c r="A139" s="18"/>
      <c r="B139" s="18"/>
      <c r="C139" s="19"/>
      <c r="D139" s="20"/>
      <c r="E139" s="11"/>
      <c r="F139" s="11"/>
    </row>
    <row r="140">
      <c r="A140" s="18"/>
      <c r="B140" s="18"/>
      <c r="C140" s="19"/>
      <c r="D140" s="20"/>
      <c r="E140" s="11"/>
      <c r="F140" s="11"/>
    </row>
    <row r="141">
      <c r="A141" s="18"/>
      <c r="B141" s="18"/>
      <c r="C141" s="19"/>
      <c r="D141" s="20"/>
      <c r="E141" s="11"/>
      <c r="F141" s="11"/>
    </row>
    <row r="142">
      <c r="A142" s="18"/>
      <c r="B142" s="18"/>
      <c r="C142" s="19"/>
      <c r="D142" s="20"/>
      <c r="E142" s="11"/>
      <c r="F142" s="11"/>
    </row>
    <row r="143">
      <c r="A143" s="18"/>
      <c r="B143" s="18"/>
      <c r="C143" s="19"/>
      <c r="D143" s="20"/>
      <c r="E143" s="11"/>
      <c r="F143" s="11"/>
    </row>
    <row r="144">
      <c r="A144" s="18"/>
      <c r="B144" s="18"/>
      <c r="C144" s="19"/>
      <c r="D144" s="20"/>
      <c r="E144" s="11"/>
      <c r="F144" s="11"/>
    </row>
    <row r="145">
      <c r="A145" s="18"/>
      <c r="B145" s="18"/>
      <c r="C145" s="19"/>
      <c r="D145" s="20"/>
      <c r="E145" s="11"/>
      <c r="F145" s="11"/>
    </row>
    <row r="146">
      <c r="A146" s="18"/>
      <c r="B146" s="18"/>
      <c r="C146" s="19"/>
      <c r="D146" s="20"/>
      <c r="E146" s="11"/>
      <c r="F146" s="11"/>
    </row>
    <row r="147">
      <c r="A147" s="18"/>
      <c r="B147" s="18"/>
      <c r="C147" s="19"/>
      <c r="D147" s="20"/>
      <c r="E147" s="11"/>
      <c r="F147" s="11"/>
    </row>
    <row r="148">
      <c r="A148" s="18"/>
      <c r="B148" s="18"/>
      <c r="C148" s="19"/>
      <c r="D148" s="20"/>
      <c r="E148" s="11"/>
      <c r="F148" s="11"/>
    </row>
    <row r="149">
      <c r="A149" s="18"/>
      <c r="B149" s="18"/>
      <c r="C149" s="19"/>
      <c r="D149" s="20"/>
      <c r="E149" s="11"/>
      <c r="F149" s="11"/>
    </row>
    <row r="150">
      <c r="A150" s="18"/>
      <c r="B150" s="18"/>
      <c r="C150" s="19"/>
      <c r="D150" s="20"/>
      <c r="E150" s="11"/>
      <c r="F150" s="11"/>
    </row>
    <row r="151">
      <c r="A151" s="18"/>
      <c r="B151" s="18"/>
      <c r="C151" s="19"/>
      <c r="D151" s="20"/>
      <c r="E151" s="11"/>
      <c r="F151" s="11"/>
    </row>
    <row r="152">
      <c r="A152" s="18"/>
      <c r="B152" s="18"/>
      <c r="C152" s="19"/>
      <c r="D152" s="20"/>
      <c r="E152" s="11"/>
      <c r="F152" s="11"/>
    </row>
    <row r="153">
      <c r="A153" s="18"/>
      <c r="B153" s="18"/>
      <c r="C153" s="19"/>
      <c r="D153" s="20"/>
      <c r="E153" s="11"/>
      <c r="F153" s="11"/>
    </row>
    <row r="154">
      <c r="A154" s="18"/>
      <c r="B154" s="18"/>
      <c r="C154" s="19"/>
      <c r="D154" s="20"/>
      <c r="E154" s="11"/>
      <c r="F154" s="11"/>
    </row>
    <row r="155">
      <c r="A155" s="18"/>
      <c r="B155" s="18"/>
      <c r="C155" s="19"/>
      <c r="D155" s="20"/>
      <c r="E155" s="11"/>
      <c r="F155" s="11"/>
    </row>
    <row r="156">
      <c r="A156" s="18"/>
      <c r="B156" s="18"/>
      <c r="C156" s="19"/>
      <c r="D156" s="20"/>
      <c r="E156" s="11"/>
      <c r="F156" s="11"/>
    </row>
    <row r="157">
      <c r="A157" s="18"/>
      <c r="B157" s="18"/>
      <c r="C157" s="19"/>
      <c r="D157" s="20"/>
      <c r="E157" s="11"/>
      <c r="F157" s="11"/>
    </row>
    <row r="158">
      <c r="A158" s="18"/>
      <c r="B158" s="18"/>
      <c r="C158" s="19"/>
      <c r="D158" s="20"/>
      <c r="E158" s="11"/>
      <c r="F158" s="11"/>
    </row>
    <row r="159">
      <c r="A159" s="18"/>
      <c r="B159" s="18"/>
      <c r="C159" s="19"/>
      <c r="D159" s="20"/>
      <c r="E159" s="11"/>
      <c r="F159" s="11"/>
    </row>
    <row r="160">
      <c r="A160" s="18"/>
      <c r="B160" s="18"/>
      <c r="C160" s="19"/>
      <c r="D160" s="20"/>
      <c r="E160" s="11"/>
      <c r="F160" s="11"/>
    </row>
    <row r="161">
      <c r="A161" s="18"/>
      <c r="B161" s="18"/>
      <c r="C161" s="19"/>
      <c r="D161" s="20"/>
      <c r="E161" s="11"/>
      <c r="F161" s="11"/>
    </row>
    <row r="162">
      <c r="A162" s="18"/>
      <c r="B162" s="18"/>
      <c r="C162" s="19"/>
      <c r="D162" s="20"/>
      <c r="E162" s="11"/>
      <c r="F162" s="11"/>
    </row>
    <row r="163">
      <c r="A163" s="18"/>
      <c r="B163" s="18"/>
      <c r="C163" s="19"/>
      <c r="D163" s="20"/>
      <c r="E163" s="11"/>
      <c r="F163" s="11"/>
    </row>
    <row r="164">
      <c r="A164" s="18"/>
      <c r="B164" s="18"/>
      <c r="C164" s="19"/>
      <c r="D164" s="20"/>
      <c r="E164" s="11"/>
      <c r="F164" s="11"/>
    </row>
    <row r="165">
      <c r="A165" s="18"/>
      <c r="B165" s="18"/>
      <c r="C165" s="19"/>
      <c r="D165" s="20"/>
      <c r="E165" s="11"/>
      <c r="F165" s="11"/>
    </row>
    <row r="166">
      <c r="A166" s="18"/>
      <c r="B166" s="18"/>
      <c r="C166" s="19"/>
      <c r="D166" s="20"/>
      <c r="E166" s="11"/>
      <c r="F166" s="11"/>
    </row>
    <row r="167">
      <c r="A167" s="18"/>
      <c r="B167" s="18"/>
      <c r="C167" s="19"/>
      <c r="D167" s="20"/>
      <c r="E167" s="11"/>
      <c r="F167" s="11"/>
    </row>
    <row r="168">
      <c r="A168" s="18"/>
      <c r="B168" s="18"/>
      <c r="C168" s="19"/>
      <c r="D168" s="20"/>
      <c r="E168" s="11"/>
      <c r="F168" s="11"/>
    </row>
    <row r="169">
      <c r="A169" s="18"/>
      <c r="B169" s="18"/>
      <c r="C169" s="19"/>
      <c r="D169" s="20"/>
      <c r="E169" s="11"/>
      <c r="F169" s="11"/>
    </row>
    <row r="170">
      <c r="A170" s="18"/>
      <c r="B170" s="18"/>
      <c r="C170" s="19"/>
      <c r="D170" s="20"/>
      <c r="E170" s="11"/>
      <c r="F170" s="11"/>
    </row>
    <row r="171">
      <c r="A171" s="18"/>
      <c r="B171" s="18"/>
      <c r="C171" s="19"/>
      <c r="D171" s="20"/>
      <c r="E171" s="11"/>
      <c r="F171" s="11"/>
    </row>
    <row r="172">
      <c r="A172" s="18"/>
      <c r="B172" s="18"/>
      <c r="C172" s="19"/>
      <c r="D172" s="20"/>
      <c r="E172" s="11"/>
      <c r="F172" s="11"/>
    </row>
    <row r="173">
      <c r="A173" s="18"/>
      <c r="B173" s="18"/>
      <c r="C173" s="19"/>
      <c r="D173" s="20"/>
      <c r="E173" s="11"/>
      <c r="F173" s="11"/>
    </row>
    <row r="174">
      <c r="A174" s="18"/>
      <c r="B174" s="18"/>
      <c r="C174" s="19"/>
      <c r="D174" s="20"/>
      <c r="E174" s="11"/>
      <c r="F174" s="11"/>
    </row>
    <row r="175">
      <c r="A175" s="18"/>
      <c r="B175" s="18"/>
      <c r="C175" s="19"/>
      <c r="D175" s="20"/>
      <c r="E175" s="11"/>
      <c r="F175" s="11"/>
    </row>
    <row r="176">
      <c r="A176" s="18"/>
      <c r="B176" s="18"/>
      <c r="C176" s="19"/>
      <c r="D176" s="20"/>
      <c r="E176" s="11"/>
      <c r="F176" s="11"/>
    </row>
    <row r="177">
      <c r="A177" s="18"/>
      <c r="B177" s="18"/>
      <c r="C177" s="19"/>
      <c r="D177" s="20"/>
      <c r="E177" s="11"/>
      <c r="F177" s="11"/>
    </row>
    <row r="178">
      <c r="A178" s="18"/>
      <c r="B178" s="18"/>
      <c r="C178" s="19"/>
      <c r="D178" s="20"/>
      <c r="E178" s="11"/>
      <c r="F178" s="11"/>
    </row>
    <row r="179">
      <c r="A179" s="18"/>
      <c r="B179" s="18"/>
      <c r="C179" s="19"/>
      <c r="D179" s="20"/>
      <c r="E179" s="11"/>
      <c r="F179" s="11"/>
    </row>
    <row r="180">
      <c r="A180" s="18"/>
      <c r="B180" s="18"/>
      <c r="C180" s="19"/>
      <c r="D180" s="20"/>
      <c r="E180" s="11"/>
      <c r="F180" s="11"/>
    </row>
    <row r="181">
      <c r="A181" s="18"/>
      <c r="B181" s="18"/>
      <c r="C181" s="19"/>
      <c r="D181" s="20"/>
      <c r="E181" s="11"/>
      <c r="F181" s="11"/>
    </row>
    <row r="182">
      <c r="A182" s="18"/>
      <c r="B182" s="18"/>
      <c r="C182" s="19"/>
      <c r="D182" s="20"/>
      <c r="E182" s="11"/>
      <c r="F182" s="11"/>
    </row>
    <row r="183">
      <c r="A183" s="18"/>
      <c r="B183" s="18"/>
      <c r="C183" s="19"/>
      <c r="D183" s="20"/>
      <c r="E183" s="11"/>
      <c r="F183" s="11"/>
    </row>
    <row r="184">
      <c r="A184" s="18"/>
      <c r="B184" s="18"/>
      <c r="C184" s="19"/>
      <c r="D184" s="20"/>
      <c r="E184" s="11"/>
      <c r="F184" s="11"/>
    </row>
    <row r="185">
      <c r="A185" s="18"/>
      <c r="B185" s="18"/>
      <c r="C185" s="19"/>
      <c r="D185" s="20"/>
      <c r="E185" s="11"/>
      <c r="F185" s="11"/>
    </row>
    <row r="186">
      <c r="A186" s="18"/>
      <c r="B186" s="18"/>
      <c r="C186" s="19"/>
      <c r="D186" s="20"/>
      <c r="E186" s="11"/>
      <c r="F186" s="11"/>
    </row>
    <row r="187">
      <c r="A187" s="18"/>
      <c r="B187" s="18"/>
      <c r="C187" s="19"/>
      <c r="D187" s="20"/>
      <c r="E187" s="11"/>
      <c r="F187" s="11"/>
    </row>
    <row r="188">
      <c r="A188" s="18"/>
      <c r="B188" s="18"/>
      <c r="C188" s="19"/>
      <c r="D188" s="20"/>
      <c r="E188" s="11"/>
      <c r="F188" s="11"/>
    </row>
    <row r="189">
      <c r="A189" s="18"/>
      <c r="B189" s="18"/>
      <c r="C189" s="19"/>
      <c r="D189" s="20"/>
      <c r="E189" s="11"/>
      <c r="F189" s="11"/>
    </row>
    <row r="190">
      <c r="A190" s="18"/>
      <c r="B190" s="18"/>
      <c r="C190" s="19"/>
      <c r="D190" s="20"/>
      <c r="E190" s="11"/>
      <c r="F190" s="11"/>
    </row>
    <row r="191">
      <c r="A191" s="18"/>
      <c r="B191" s="18"/>
      <c r="C191" s="19"/>
      <c r="D191" s="20"/>
      <c r="E191" s="11"/>
      <c r="F191" s="11"/>
    </row>
    <row r="192">
      <c r="A192" s="18"/>
      <c r="B192" s="18"/>
      <c r="C192" s="19"/>
      <c r="D192" s="20"/>
      <c r="E192" s="11"/>
      <c r="F192" s="11"/>
    </row>
    <row r="193">
      <c r="A193" s="18"/>
      <c r="B193" s="18"/>
      <c r="C193" s="19"/>
      <c r="D193" s="20"/>
      <c r="E193" s="11"/>
      <c r="F193" s="11"/>
    </row>
    <row r="194">
      <c r="A194" s="18"/>
      <c r="B194" s="18"/>
      <c r="C194" s="19"/>
      <c r="D194" s="20"/>
      <c r="E194" s="11"/>
      <c r="F194" s="11"/>
    </row>
    <row r="195">
      <c r="A195" s="18"/>
      <c r="B195" s="18"/>
      <c r="C195" s="19"/>
      <c r="D195" s="20"/>
      <c r="E195" s="11"/>
      <c r="F195" s="11"/>
    </row>
    <row r="196">
      <c r="A196" s="18"/>
      <c r="B196" s="18"/>
      <c r="C196" s="19"/>
      <c r="D196" s="20"/>
      <c r="E196" s="11"/>
      <c r="F196" s="11"/>
    </row>
    <row r="197">
      <c r="A197" s="18"/>
      <c r="B197" s="18"/>
      <c r="C197" s="19"/>
      <c r="D197" s="20"/>
      <c r="E197" s="11"/>
      <c r="F197" s="11"/>
    </row>
    <row r="198">
      <c r="A198" s="18"/>
      <c r="B198" s="18"/>
      <c r="C198" s="19"/>
      <c r="D198" s="20"/>
      <c r="E198" s="11"/>
      <c r="F198" s="11"/>
    </row>
    <row r="199">
      <c r="A199" s="18"/>
      <c r="B199" s="18"/>
      <c r="C199" s="19"/>
      <c r="D199" s="20"/>
      <c r="E199" s="11"/>
      <c r="F199" s="11"/>
    </row>
    <row r="200">
      <c r="A200" s="18"/>
      <c r="B200" s="18"/>
      <c r="C200" s="19"/>
      <c r="D200" s="20"/>
      <c r="E200" s="11"/>
      <c r="F200" s="11"/>
    </row>
    <row r="201">
      <c r="A201" s="18"/>
      <c r="B201" s="18"/>
      <c r="C201" s="19"/>
      <c r="D201" s="20"/>
      <c r="E201" s="11"/>
      <c r="F201" s="11"/>
    </row>
    <row r="202">
      <c r="A202" s="18"/>
      <c r="B202" s="18"/>
      <c r="C202" s="19"/>
      <c r="D202" s="20"/>
      <c r="E202" s="11"/>
      <c r="F202" s="11"/>
    </row>
    <row r="203">
      <c r="A203" s="18"/>
      <c r="B203" s="18"/>
      <c r="C203" s="19"/>
      <c r="D203" s="20"/>
      <c r="E203" s="11"/>
      <c r="F203" s="11"/>
    </row>
    <row r="204">
      <c r="A204" s="18"/>
      <c r="B204" s="18"/>
      <c r="C204" s="19"/>
      <c r="D204" s="20"/>
      <c r="E204" s="11"/>
      <c r="F204" s="11"/>
    </row>
    <row r="205">
      <c r="A205" s="18"/>
      <c r="B205" s="18"/>
      <c r="C205" s="19"/>
      <c r="D205" s="20"/>
      <c r="E205" s="11"/>
      <c r="F205" s="11"/>
    </row>
    <row r="206">
      <c r="A206" s="18"/>
      <c r="B206" s="18"/>
      <c r="C206" s="19"/>
      <c r="D206" s="20"/>
      <c r="E206" s="11"/>
      <c r="F206" s="11"/>
    </row>
    <row r="207">
      <c r="A207" s="18"/>
      <c r="B207" s="18"/>
      <c r="C207" s="19"/>
      <c r="D207" s="20"/>
      <c r="E207" s="11"/>
      <c r="F207" s="11"/>
    </row>
    <row r="208">
      <c r="A208" s="18"/>
      <c r="B208" s="18"/>
      <c r="C208" s="19"/>
      <c r="D208" s="20"/>
      <c r="E208" s="11"/>
      <c r="F208" s="11"/>
    </row>
    <row r="209">
      <c r="A209" s="18"/>
      <c r="B209" s="18"/>
      <c r="C209" s="19"/>
      <c r="D209" s="20"/>
      <c r="E209" s="11"/>
      <c r="F209" s="11"/>
    </row>
    <row r="210">
      <c r="A210" s="18"/>
      <c r="B210" s="18"/>
      <c r="C210" s="19"/>
      <c r="D210" s="20"/>
      <c r="E210" s="11"/>
      <c r="F210" s="11"/>
    </row>
    <row r="211">
      <c r="A211" s="18"/>
      <c r="B211" s="18"/>
      <c r="C211" s="19"/>
      <c r="D211" s="20"/>
      <c r="E211" s="11"/>
      <c r="F211" s="11"/>
    </row>
    <row r="212">
      <c r="A212" s="18"/>
      <c r="B212" s="18"/>
      <c r="C212" s="19"/>
      <c r="D212" s="20"/>
      <c r="E212" s="11"/>
      <c r="F212" s="11"/>
    </row>
    <row r="213">
      <c r="A213" s="18"/>
      <c r="B213" s="18"/>
      <c r="C213" s="19"/>
      <c r="D213" s="20"/>
      <c r="E213" s="11"/>
      <c r="F213" s="11"/>
    </row>
    <row r="214">
      <c r="A214" s="18"/>
      <c r="B214" s="18"/>
      <c r="C214" s="19"/>
      <c r="D214" s="20"/>
      <c r="E214" s="11"/>
      <c r="F214" s="11"/>
    </row>
    <row r="215">
      <c r="A215" s="18"/>
      <c r="B215" s="18"/>
      <c r="C215" s="19"/>
      <c r="D215" s="20"/>
      <c r="E215" s="11"/>
      <c r="F215" s="11"/>
    </row>
    <row r="216">
      <c r="A216" s="18"/>
      <c r="B216" s="18"/>
      <c r="C216" s="19"/>
      <c r="D216" s="20"/>
      <c r="E216" s="11"/>
      <c r="F216" s="11"/>
    </row>
    <row r="217">
      <c r="A217" s="18"/>
      <c r="B217" s="18"/>
      <c r="C217" s="19"/>
      <c r="D217" s="20"/>
      <c r="E217" s="11"/>
      <c r="F217" s="11"/>
    </row>
    <row r="218">
      <c r="A218" s="18"/>
      <c r="B218" s="18"/>
      <c r="C218" s="19"/>
      <c r="D218" s="20"/>
      <c r="E218" s="11"/>
      <c r="F218" s="11"/>
    </row>
    <row r="219">
      <c r="A219" s="18"/>
      <c r="B219" s="18"/>
      <c r="C219" s="19"/>
      <c r="D219" s="20"/>
      <c r="E219" s="11"/>
      <c r="F219" s="11"/>
    </row>
    <row r="220">
      <c r="A220" s="18"/>
      <c r="B220" s="18"/>
      <c r="C220" s="19"/>
      <c r="D220" s="20"/>
      <c r="E220" s="11"/>
      <c r="F220" s="11"/>
    </row>
    <row r="221">
      <c r="A221" s="18"/>
      <c r="B221" s="18"/>
      <c r="C221" s="19"/>
      <c r="D221" s="20"/>
      <c r="E221" s="11"/>
      <c r="F221" s="11"/>
    </row>
    <row r="222">
      <c r="A222" s="18"/>
      <c r="B222" s="18"/>
      <c r="C222" s="19"/>
      <c r="D222" s="20"/>
      <c r="E222" s="11"/>
      <c r="F222" s="11"/>
    </row>
    <row r="223">
      <c r="A223" s="18"/>
      <c r="B223" s="18"/>
      <c r="C223" s="19"/>
      <c r="D223" s="20"/>
      <c r="E223" s="11"/>
      <c r="F223" s="11"/>
    </row>
    <row r="224">
      <c r="A224" s="18"/>
      <c r="B224" s="18"/>
      <c r="C224" s="19"/>
      <c r="D224" s="20"/>
      <c r="E224" s="11"/>
      <c r="F224" s="11"/>
    </row>
    <row r="225">
      <c r="A225" s="18"/>
      <c r="B225" s="18"/>
      <c r="C225" s="19"/>
      <c r="D225" s="20"/>
      <c r="E225" s="11"/>
      <c r="F225" s="11"/>
    </row>
    <row r="226">
      <c r="A226" s="18"/>
      <c r="B226" s="18"/>
      <c r="C226" s="19"/>
      <c r="D226" s="20"/>
      <c r="E226" s="11"/>
      <c r="F226" s="11"/>
    </row>
    <row r="227">
      <c r="A227" s="18"/>
      <c r="B227" s="18"/>
      <c r="C227" s="19"/>
      <c r="D227" s="20"/>
      <c r="E227" s="11"/>
      <c r="F227" s="11"/>
    </row>
    <row r="228">
      <c r="A228" s="18"/>
      <c r="B228" s="18"/>
      <c r="C228" s="19"/>
      <c r="D228" s="20"/>
      <c r="E228" s="11"/>
      <c r="F228" s="11"/>
    </row>
    <row r="229">
      <c r="A229" s="18"/>
      <c r="B229" s="18"/>
      <c r="C229" s="19"/>
      <c r="D229" s="20"/>
      <c r="E229" s="11"/>
      <c r="F229" s="11"/>
    </row>
    <row r="230">
      <c r="A230" s="18"/>
      <c r="B230" s="18"/>
      <c r="C230" s="19"/>
      <c r="D230" s="20"/>
      <c r="E230" s="11"/>
      <c r="F230" s="11"/>
    </row>
    <row r="231">
      <c r="A231" s="18"/>
      <c r="B231" s="18"/>
      <c r="C231" s="19"/>
      <c r="D231" s="20"/>
      <c r="E231" s="11"/>
      <c r="F231" s="11"/>
    </row>
    <row r="232">
      <c r="A232" s="18"/>
      <c r="B232" s="18"/>
      <c r="C232" s="19"/>
      <c r="D232" s="20"/>
      <c r="E232" s="11"/>
      <c r="F232" s="11"/>
    </row>
    <row r="233">
      <c r="A233" s="18"/>
      <c r="B233" s="18"/>
      <c r="C233" s="19"/>
      <c r="D233" s="20"/>
      <c r="E233" s="11"/>
      <c r="F233" s="11"/>
    </row>
    <row r="234">
      <c r="A234" s="18"/>
      <c r="B234" s="18"/>
      <c r="C234" s="19"/>
      <c r="D234" s="20"/>
      <c r="E234" s="11"/>
      <c r="F234" s="11"/>
    </row>
    <row r="235">
      <c r="A235" s="18"/>
      <c r="B235" s="18"/>
      <c r="C235" s="19"/>
      <c r="D235" s="20"/>
      <c r="E235" s="11"/>
      <c r="F235" s="11"/>
    </row>
    <row r="236">
      <c r="A236" s="18"/>
      <c r="B236" s="18"/>
      <c r="C236" s="19"/>
      <c r="D236" s="20"/>
      <c r="E236" s="11"/>
      <c r="F236" s="11"/>
    </row>
    <row r="237">
      <c r="A237" s="18"/>
      <c r="B237" s="18"/>
      <c r="C237" s="19"/>
      <c r="D237" s="20"/>
      <c r="E237" s="11"/>
      <c r="F237" s="11"/>
    </row>
    <row r="238">
      <c r="A238" s="18"/>
      <c r="B238" s="18"/>
      <c r="C238" s="19"/>
      <c r="D238" s="20"/>
      <c r="E238" s="11"/>
      <c r="F238" s="11"/>
    </row>
    <row r="239">
      <c r="A239" s="18"/>
      <c r="B239" s="18"/>
      <c r="C239" s="19"/>
      <c r="D239" s="20"/>
      <c r="E239" s="11"/>
      <c r="F239" s="11"/>
    </row>
    <row r="240">
      <c r="A240" s="18"/>
      <c r="B240" s="18"/>
      <c r="C240" s="19"/>
      <c r="D240" s="20"/>
      <c r="E240" s="11"/>
      <c r="F240" s="11"/>
    </row>
    <row r="241">
      <c r="A241" s="18"/>
      <c r="B241" s="18"/>
      <c r="C241" s="19"/>
      <c r="D241" s="20"/>
      <c r="E241" s="11"/>
      <c r="F241" s="11"/>
    </row>
    <row r="242">
      <c r="A242" s="18"/>
      <c r="B242" s="18"/>
      <c r="C242" s="19"/>
      <c r="D242" s="20"/>
      <c r="E242" s="11"/>
      <c r="F242" s="11"/>
    </row>
    <row r="243">
      <c r="A243" s="18"/>
      <c r="B243" s="18"/>
      <c r="C243" s="19"/>
      <c r="D243" s="20"/>
      <c r="E243" s="11"/>
      <c r="F243" s="11"/>
    </row>
    <row r="244">
      <c r="A244" s="18"/>
      <c r="B244" s="18"/>
      <c r="C244" s="19"/>
      <c r="D244" s="20"/>
      <c r="E244" s="11"/>
      <c r="F244" s="11"/>
    </row>
    <row r="245">
      <c r="A245" s="18"/>
      <c r="B245" s="18"/>
      <c r="C245" s="19"/>
      <c r="D245" s="20"/>
      <c r="E245" s="11"/>
      <c r="F245" s="11"/>
    </row>
    <row r="246">
      <c r="A246" s="18"/>
      <c r="B246" s="18"/>
      <c r="C246" s="19"/>
      <c r="D246" s="20"/>
      <c r="E246" s="11"/>
      <c r="F246" s="11"/>
    </row>
    <row r="247">
      <c r="A247" s="18"/>
      <c r="B247" s="18"/>
      <c r="C247" s="19"/>
      <c r="D247" s="20"/>
      <c r="E247" s="11"/>
      <c r="F247" s="11"/>
    </row>
    <row r="248">
      <c r="A248" s="18"/>
      <c r="B248" s="18"/>
      <c r="C248" s="19"/>
      <c r="D248" s="20"/>
      <c r="E248" s="11"/>
      <c r="F248" s="11"/>
    </row>
    <row r="249">
      <c r="A249" s="18"/>
      <c r="B249" s="18"/>
      <c r="C249" s="19"/>
      <c r="D249" s="20"/>
      <c r="E249" s="11"/>
      <c r="F249" s="11"/>
    </row>
    <row r="250">
      <c r="A250" s="18"/>
      <c r="B250" s="18"/>
      <c r="C250" s="19"/>
      <c r="D250" s="20"/>
      <c r="E250" s="11"/>
      <c r="F250" s="11"/>
    </row>
    <row r="251">
      <c r="A251" s="18"/>
      <c r="B251" s="18"/>
      <c r="C251" s="19"/>
      <c r="D251" s="20"/>
      <c r="E251" s="11"/>
      <c r="F251" s="11"/>
    </row>
    <row r="252">
      <c r="A252" s="18"/>
      <c r="B252" s="18"/>
      <c r="C252" s="19"/>
      <c r="D252" s="20"/>
      <c r="E252" s="11"/>
      <c r="F252" s="11"/>
    </row>
    <row r="253">
      <c r="A253" s="18"/>
      <c r="B253" s="18"/>
      <c r="C253" s="19"/>
      <c r="D253" s="20"/>
      <c r="E253" s="11"/>
      <c r="F253" s="11"/>
    </row>
    <row r="254">
      <c r="A254" s="18"/>
      <c r="B254" s="18"/>
      <c r="C254" s="19"/>
      <c r="D254" s="20"/>
      <c r="E254" s="11"/>
      <c r="F254" s="11"/>
    </row>
    <row r="255">
      <c r="A255" s="18"/>
      <c r="B255" s="18"/>
      <c r="C255" s="19"/>
      <c r="D255" s="20"/>
      <c r="E255" s="11"/>
      <c r="F255" s="11"/>
    </row>
    <row r="256">
      <c r="A256" s="18"/>
      <c r="B256" s="18"/>
      <c r="C256" s="19"/>
      <c r="D256" s="20"/>
      <c r="E256" s="11"/>
      <c r="F256" s="11"/>
    </row>
    <row r="257">
      <c r="A257" s="18"/>
      <c r="B257" s="18"/>
      <c r="C257" s="19"/>
      <c r="D257" s="20"/>
      <c r="E257" s="11"/>
      <c r="F257" s="11"/>
    </row>
    <row r="258">
      <c r="A258" s="18"/>
      <c r="B258" s="18"/>
      <c r="C258" s="19"/>
      <c r="D258" s="20"/>
      <c r="E258" s="11"/>
      <c r="F258" s="11"/>
    </row>
    <row r="259">
      <c r="A259" s="18"/>
      <c r="B259" s="18"/>
      <c r="C259" s="19"/>
      <c r="D259" s="20"/>
      <c r="E259" s="11"/>
      <c r="F259" s="11"/>
    </row>
    <row r="260">
      <c r="A260" s="18"/>
      <c r="B260" s="18"/>
      <c r="C260" s="19"/>
      <c r="D260" s="20"/>
      <c r="E260" s="11"/>
      <c r="F260" s="11"/>
    </row>
    <row r="261">
      <c r="A261" s="18"/>
      <c r="B261" s="18"/>
      <c r="C261" s="19"/>
      <c r="D261" s="20"/>
      <c r="E261" s="11"/>
      <c r="F261" s="11"/>
    </row>
    <row r="262">
      <c r="A262" s="18"/>
      <c r="B262" s="18"/>
      <c r="C262" s="19"/>
      <c r="D262" s="20"/>
      <c r="E262" s="11"/>
      <c r="F262" s="11"/>
    </row>
    <row r="263">
      <c r="A263" s="18"/>
      <c r="B263" s="18"/>
      <c r="C263" s="19"/>
      <c r="D263" s="20"/>
      <c r="E263" s="11"/>
      <c r="F263" s="11"/>
    </row>
    <row r="264">
      <c r="A264" s="18"/>
      <c r="B264" s="18"/>
      <c r="C264" s="19"/>
      <c r="D264" s="20"/>
      <c r="E264" s="11"/>
      <c r="F264" s="11"/>
    </row>
    <row r="265">
      <c r="A265" s="18"/>
      <c r="B265" s="18"/>
      <c r="C265" s="19"/>
      <c r="D265" s="20"/>
      <c r="E265" s="11"/>
      <c r="F265" s="11"/>
    </row>
    <row r="266">
      <c r="A266" s="18"/>
      <c r="B266" s="18"/>
      <c r="C266" s="19"/>
      <c r="D266" s="20"/>
      <c r="E266" s="11"/>
      <c r="F266" s="11"/>
    </row>
    <row r="267">
      <c r="A267" s="18"/>
      <c r="B267" s="18"/>
      <c r="C267" s="19"/>
      <c r="D267" s="20"/>
      <c r="E267" s="11"/>
      <c r="F267" s="11"/>
    </row>
    <row r="268">
      <c r="A268" s="18"/>
      <c r="B268" s="18"/>
      <c r="C268" s="19"/>
      <c r="D268" s="20"/>
      <c r="E268" s="11"/>
      <c r="F268" s="11"/>
    </row>
    <row r="269">
      <c r="A269" s="18"/>
      <c r="B269" s="18"/>
      <c r="C269" s="19"/>
      <c r="D269" s="20"/>
      <c r="E269" s="11"/>
      <c r="F269" s="11"/>
    </row>
    <row r="270">
      <c r="A270" s="18"/>
      <c r="B270" s="18"/>
      <c r="C270" s="19"/>
      <c r="D270" s="20"/>
      <c r="E270" s="11"/>
      <c r="F270" s="11"/>
    </row>
    <row r="271">
      <c r="A271" s="18"/>
      <c r="B271" s="18"/>
      <c r="C271" s="19"/>
      <c r="D271" s="20"/>
      <c r="E271" s="11"/>
      <c r="F271" s="11"/>
    </row>
    <row r="272">
      <c r="A272" s="18"/>
      <c r="B272" s="18"/>
      <c r="C272" s="19"/>
      <c r="D272" s="20"/>
      <c r="E272" s="11"/>
      <c r="F272" s="11"/>
    </row>
    <row r="273">
      <c r="A273" s="18"/>
      <c r="B273" s="18"/>
      <c r="C273" s="19"/>
      <c r="D273" s="20"/>
      <c r="E273" s="11"/>
      <c r="F273" s="11"/>
    </row>
    <row r="274">
      <c r="A274" s="18"/>
      <c r="B274" s="18"/>
      <c r="C274" s="19"/>
      <c r="D274" s="20"/>
      <c r="E274" s="11"/>
      <c r="F274" s="11"/>
    </row>
    <row r="275">
      <c r="A275" s="18"/>
      <c r="B275" s="18"/>
      <c r="C275" s="19"/>
      <c r="D275" s="20"/>
      <c r="E275" s="11"/>
      <c r="F275" s="11"/>
    </row>
    <row r="276">
      <c r="A276" s="18"/>
      <c r="B276" s="18"/>
      <c r="C276" s="19"/>
      <c r="D276" s="20"/>
      <c r="E276" s="11"/>
      <c r="F276" s="11"/>
    </row>
    <row r="277">
      <c r="A277" s="18"/>
      <c r="B277" s="18"/>
      <c r="C277" s="19"/>
      <c r="D277" s="20"/>
      <c r="E277" s="11"/>
      <c r="F277" s="11"/>
    </row>
    <row r="278">
      <c r="A278" s="18"/>
      <c r="B278" s="18"/>
      <c r="C278" s="19"/>
      <c r="D278" s="20"/>
      <c r="E278" s="11"/>
      <c r="F278" s="11"/>
    </row>
    <row r="279">
      <c r="A279" s="18"/>
      <c r="B279" s="18"/>
      <c r="C279" s="19"/>
      <c r="D279" s="20"/>
      <c r="E279" s="11"/>
      <c r="F279" s="11"/>
    </row>
    <row r="280">
      <c r="A280" s="18"/>
      <c r="B280" s="18"/>
      <c r="C280" s="19"/>
      <c r="D280" s="20"/>
      <c r="E280" s="11"/>
      <c r="F280" s="11"/>
    </row>
    <row r="281">
      <c r="A281" s="18"/>
      <c r="B281" s="18"/>
      <c r="C281" s="19"/>
      <c r="D281" s="20"/>
      <c r="E281" s="11"/>
      <c r="F281" s="11"/>
    </row>
    <row r="282">
      <c r="A282" s="18"/>
      <c r="B282" s="18"/>
      <c r="C282" s="19"/>
      <c r="D282" s="20"/>
      <c r="E282" s="11"/>
      <c r="F282" s="11"/>
    </row>
    <row r="283">
      <c r="A283" s="18"/>
      <c r="B283" s="18"/>
      <c r="C283" s="19"/>
      <c r="D283" s="20"/>
      <c r="E283" s="11"/>
      <c r="F283" s="11"/>
    </row>
    <row r="284">
      <c r="A284" s="18"/>
      <c r="B284" s="18"/>
      <c r="C284" s="19"/>
      <c r="D284" s="20"/>
      <c r="E284" s="11"/>
      <c r="F284" s="11"/>
    </row>
    <row r="285">
      <c r="A285" s="18"/>
      <c r="B285" s="18"/>
      <c r="C285" s="19"/>
      <c r="D285" s="20"/>
      <c r="E285" s="11"/>
      <c r="F285" s="11"/>
    </row>
    <row r="286">
      <c r="A286" s="18"/>
      <c r="B286" s="18"/>
      <c r="C286" s="19"/>
      <c r="D286" s="20"/>
      <c r="E286" s="11"/>
      <c r="F286" s="11"/>
    </row>
    <row r="287">
      <c r="A287" s="18"/>
      <c r="B287" s="18"/>
      <c r="C287" s="19"/>
      <c r="D287" s="20"/>
      <c r="E287" s="11"/>
      <c r="F287" s="11"/>
    </row>
    <row r="288">
      <c r="A288" s="18"/>
      <c r="B288" s="18"/>
      <c r="C288" s="19"/>
      <c r="D288" s="20"/>
      <c r="E288" s="11"/>
      <c r="F288" s="11"/>
    </row>
    <row r="289">
      <c r="A289" s="18"/>
      <c r="B289" s="18"/>
      <c r="C289" s="19"/>
      <c r="D289" s="20"/>
      <c r="E289" s="11"/>
      <c r="F289" s="11"/>
    </row>
    <row r="290">
      <c r="A290" s="18"/>
      <c r="B290" s="18"/>
      <c r="C290" s="19"/>
      <c r="D290" s="20"/>
      <c r="E290" s="11"/>
      <c r="F290" s="11"/>
    </row>
    <row r="291">
      <c r="A291" s="18"/>
      <c r="B291" s="18"/>
      <c r="C291" s="19"/>
      <c r="D291" s="20"/>
      <c r="E291" s="11"/>
      <c r="F291" s="11"/>
    </row>
    <row r="292">
      <c r="A292" s="18"/>
      <c r="B292" s="18"/>
      <c r="C292" s="19"/>
      <c r="D292" s="20"/>
      <c r="E292" s="11"/>
      <c r="F292" s="11"/>
    </row>
    <row r="293">
      <c r="A293" s="18"/>
      <c r="B293" s="18"/>
      <c r="C293" s="19"/>
      <c r="D293" s="20"/>
      <c r="E293" s="11"/>
      <c r="F293" s="11"/>
    </row>
    <row r="294">
      <c r="A294" s="18"/>
      <c r="B294" s="18"/>
      <c r="C294" s="19"/>
      <c r="D294" s="20"/>
      <c r="E294" s="11"/>
      <c r="F294" s="11"/>
    </row>
    <row r="295">
      <c r="A295" s="18"/>
      <c r="B295" s="18"/>
      <c r="C295" s="19"/>
      <c r="D295" s="20"/>
      <c r="E295" s="11"/>
      <c r="F295" s="11"/>
    </row>
    <row r="296">
      <c r="A296" s="18"/>
      <c r="B296" s="18"/>
      <c r="C296" s="19"/>
      <c r="D296" s="20"/>
      <c r="E296" s="11"/>
      <c r="F296" s="11"/>
    </row>
    <row r="297">
      <c r="A297" s="18"/>
      <c r="B297" s="18"/>
      <c r="C297" s="19"/>
      <c r="D297" s="20"/>
      <c r="E297" s="11"/>
      <c r="F297" s="11"/>
    </row>
    <row r="298">
      <c r="A298" s="18"/>
      <c r="B298" s="18"/>
      <c r="C298" s="19"/>
      <c r="D298" s="20"/>
      <c r="E298" s="11"/>
      <c r="F298" s="11"/>
    </row>
    <row r="299">
      <c r="A299" s="18"/>
      <c r="B299" s="18"/>
      <c r="C299" s="19"/>
      <c r="D299" s="20"/>
      <c r="E299" s="11"/>
      <c r="F299" s="11"/>
    </row>
    <row r="300">
      <c r="A300" s="18"/>
      <c r="B300" s="18"/>
      <c r="C300" s="19"/>
      <c r="D300" s="20"/>
      <c r="E300" s="11"/>
      <c r="F300" s="11"/>
    </row>
    <row r="301">
      <c r="A301" s="18"/>
      <c r="B301" s="18"/>
      <c r="C301" s="19"/>
      <c r="D301" s="20"/>
      <c r="E301" s="11"/>
      <c r="F301" s="11"/>
    </row>
    <row r="302">
      <c r="A302" s="18"/>
      <c r="B302" s="18"/>
      <c r="C302" s="19"/>
      <c r="D302" s="20"/>
      <c r="E302" s="11"/>
      <c r="F302" s="11"/>
    </row>
    <row r="303">
      <c r="A303" s="18"/>
      <c r="B303" s="18"/>
      <c r="C303" s="19"/>
      <c r="D303" s="20"/>
      <c r="E303" s="11"/>
      <c r="F303" s="11"/>
    </row>
    <row r="304">
      <c r="A304" s="18"/>
      <c r="B304" s="18"/>
      <c r="C304" s="19"/>
      <c r="D304" s="20"/>
      <c r="E304" s="11"/>
      <c r="F304" s="11"/>
    </row>
    <row r="305">
      <c r="A305" s="18"/>
      <c r="B305" s="18"/>
      <c r="C305" s="19"/>
      <c r="D305" s="20"/>
      <c r="E305" s="11"/>
      <c r="F305" s="11"/>
    </row>
    <row r="306">
      <c r="A306" s="18"/>
      <c r="B306" s="18"/>
      <c r="C306" s="19"/>
      <c r="D306" s="20"/>
      <c r="E306" s="11"/>
      <c r="F306" s="11"/>
    </row>
    <row r="307">
      <c r="A307" s="18"/>
      <c r="B307" s="18"/>
      <c r="C307" s="19"/>
      <c r="D307" s="20"/>
      <c r="E307" s="11"/>
      <c r="F307" s="11"/>
    </row>
    <row r="308">
      <c r="A308" s="18"/>
      <c r="B308" s="18"/>
      <c r="C308" s="19"/>
      <c r="D308" s="20"/>
      <c r="E308" s="11"/>
      <c r="F308" s="11"/>
    </row>
    <row r="309">
      <c r="A309" s="18"/>
      <c r="B309" s="18"/>
      <c r="C309" s="19"/>
      <c r="D309" s="20"/>
      <c r="E309" s="11"/>
      <c r="F309" s="11"/>
    </row>
    <row r="310">
      <c r="A310" s="18"/>
      <c r="B310" s="18"/>
      <c r="C310" s="19"/>
      <c r="D310" s="20"/>
      <c r="E310" s="11"/>
      <c r="F310" s="11"/>
    </row>
    <row r="311">
      <c r="A311" s="18"/>
      <c r="B311" s="18"/>
      <c r="C311" s="19"/>
      <c r="D311" s="20"/>
      <c r="E311" s="11"/>
      <c r="F311" s="11"/>
    </row>
    <row r="312">
      <c r="A312" s="18"/>
      <c r="B312" s="18"/>
      <c r="C312" s="19"/>
      <c r="D312" s="20"/>
      <c r="E312" s="11"/>
      <c r="F312" s="11"/>
    </row>
    <row r="313">
      <c r="A313" s="18"/>
      <c r="B313" s="18"/>
      <c r="C313" s="19"/>
      <c r="D313" s="20"/>
      <c r="E313" s="11"/>
      <c r="F313" s="11"/>
    </row>
    <row r="314">
      <c r="A314" s="18"/>
      <c r="B314" s="18"/>
      <c r="C314" s="19"/>
      <c r="D314" s="20"/>
      <c r="E314" s="11"/>
      <c r="F314" s="11"/>
    </row>
    <row r="315">
      <c r="A315" s="18"/>
      <c r="B315" s="18"/>
      <c r="C315" s="19"/>
      <c r="D315" s="20"/>
      <c r="E315" s="11"/>
      <c r="F315" s="11"/>
    </row>
    <row r="316">
      <c r="A316" s="18"/>
      <c r="B316" s="18"/>
      <c r="C316" s="19"/>
      <c r="D316" s="20"/>
      <c r="E316" s="11"/>
      <c r="F316" s="11"/>
    </row>
    <row r="317">
      <c r="A317" s="18"/>
      <c r="B317" s="18"/>
      <c r="C317" s="19"/>
      <c r="D317" s="20"/>
      <c r="E317" s="11"/>
      <c r="F317" s="11"/>
    </row>
    <row r="318">
      <c r="A318" s="18"/>
      <c r="B318" s="18"/>
      <c r="C318" s="19"/>
      <c r="D318" s="20"/>
      <c r="E318" s="11"/>
      <c r="F318" s="11"/>
    </row>
    <row r="319">
      <c r="A319" s="18"/>
      <c r="B319" s="18"/>
      <c r="C319" s="19"/>
      <c r="D319" s="20"/>
      <c r="E319" s="11"/>
      <c r="F319" s="11"/>
    </row>
    <row r="320">
      <c r="A320" s="18"/>
      <c r="B320" s="18"/>
      <c r="C320" s="19"/>
      <c r="D320" s="20"/>
      <c r="E320" s="11"/>
      <c r="F320" s="11"/>
    </row>
    <row r="321">
      <c r="A321" s="18"/>
      <c r="B321" s="18"/>
      <c r="C321" s="19"/>
      <c r="D321" s="20"/>
      <c r="E321" s="11"/>
      <c r="F321" s="11"/>
    </row>
    <row r="322">
      <c r="A322" s="18"/>
      <c r="B322" s="18"/>
      <c r="C322" s="19"/>
      <c r="D322" s="20"/>
      <c r="E322" s="11"/>
      <c r="F322" s="11"/>
    </row>
    <row r="323">
      <c r="A323" s="18"/>
      <c r="B323" s="18"/>
      <c r="C323" s="19"/>
      <c r="D323" s="20"/>
      <c r="E323" s="11"/>
      <c r="F323" s="11"/>
    </row>
    <row r="324">
      <c r="A324" s="18"/>
      <c r="B324" s="18"/>
      <c r="C324" s="19"/>
      <c r="D324" s="20"/>
      <c r="E324" s="11"/>
      <c r="F324" s="11"/>
    </row>
    <row r="325">
      <c r="A325" s="18"/>
      <c r="B325" s="18"/>
      <c r="C325" s="19"/>
      <c r="D325" s="20"/>
      <c r="E325" s="11"/>
      <c r="F325" s="11"/>
    </row>
    <row r="326">
      <c r="A326" s="18"/>
      <c r="B326" s="18"/>
      <c r="C326" s="19"/>
      <c r="D326" s="20"/>
      <c r="E326" s="11"/>
      <c r="F326" s="11"/>
    </row>
    <row r="327">
      <c r="A327" s="18"/>
      <c r="B327" s="18"/>
      <c r="C327" s="19"/>
      <c r="D327" s="20"/>
      <c r="E327" s="11"/>
      <c r="F327" s="11"/>
    </row>
    <row r="328">
      <c r="A328" s="18"/>
      <c r="B328" s="18"/>
      <c r="C328" s="19"/>
      <c r="D328" s="20"/>
      <c r="E328" s="11"/>
      <c r="F328" s="11"/>
    </row>
    <row r="329">
      <c r="A329" s="18"/>
      <c r="B329" s="18"/>
      <c r="C329" s="19"/>
      <c r="D329" s="20"/>
      <c r="E329" s="11"/>
      <c r="F329" s="11"/>
    </row>
    <row r="330">
      <c r="A330" s="18"/>
      <c r="B330" s="18"/>
      <c r="C330" s="19"/>
      <c r="D330" s="20"/>
      <c r="E330" s="11"/>
      <c r="F330" s="11"/>
    </row>
    <row r="331">
      <c r="A331" s="18"/>
      <c r="B331" s="18"/>
      <c r="C331" s="19"/>
      <c r="D331" s="20"/>
      <c r="E331" s="11"/>
      <c r="F331" s="11"/>
    </row>
    <row r="332">
      <c r="A332" s="18"/>
      <c r="B332" s="18"/>
      <c r="C332" s="19"/>
      <c r="D332" s="20"/>
      <c r="E332" s="11"/>
      <c r="F332" s="11"/>
    </row>
    <row r="333">
      <c r="A333" s="18"/>
      <c r="B333" s="18"/>
      <c r="C333" s="19"/>
      <c r="D333" s="20"/>
      <c r="E333" s="11"/>
      <c r="F333" s="11"/>
    </row>
    <row r="334">
      <c r="A334" s="18"/>
      <c r="B334" s="18"/>
      <c r="C334" s="19"/>
      <c r="D334" s="20"/>
      <c r="E334" s="11"/>
      <c r="F334" s="11"/>
    </row>
    <row r="335">
      <c r="A335" s="18"/>
      <c r="B335" s="18"/>
      <c r="C335" s="19"/>
      <c r="D335" s="20"/>
      <c r="E335" s="11"/>
      <c r="F335" s="11"/>
    </row>
    <row r="336">
      <c r="A336" s="18"/>
      <c r="B336" s="18"/>
      <c r="C336" s="19"/>
      <c r="D336" s="20"/>
      <c r="E336" s="11"/>
      <c r="F336" s="11"/>
    </row>
    <row r="337">
      <c r="A337" s="18"/>
      <c r="B337" s="18"/>
      <c r="C337" s="19"/>
      <c r="D337" s="20"/>
      <c r="E337" s="11"/>
      <c r="F337" s="11"/>
    </row>
    <row r="338">
      <c r="A338" s="18"/>
      <c r="B338" s="18"/>
      <c r="C338" s="19"/>
      <c r="D338" s="20"/>
      <c r="E338" s="11"/>
      <c r="F338" s="11"/>
    </row>
    <row r="339">
      <c r="A339" s="18"/>
      <c r="B339" s="18"/>
      <c r="C339" s="19"/>
      <c r="D339" s="20"/>
      <c r="E339" s="11"/>
      <c r="F339" s="11"/>
    </row>
    <row r="340">
      <c r="A340" s="18"/>
      <c r="B340" s="18"/>
      <c r="C340" s="19"/>
      <c r="D340" s="20"/>
      <c r="E340" s="11"/>
      <c r="F340" s="11"/>
    </row>
    <row r="341">
      <c r="A341" s="18"/>
      <c r="B341" s="18"/>
      <c r="C341" s="19"/>
      <c r="D341" s="20"/>
      <c r="E341" s="11"/>
      <c r="F341" s="11"/>
    </row>
    <row r="342">
      <c r="A342" s="18"/>
      <c r="B342" s="18"/>
      <c r="C342" s="19"/>
      <c r="D342" s="20"/>
      <c r="E342" s="11"/>
      <c r="F342" s="11"/>
    </row>
    <row r="343">
      <c r="A343" s="18"/>
      <c r="B343" s="18"/>
      <c r="C343" s="19"/>
      <c r="D343" s="20"/>
      <c r="E343" s="11"/>
      <c r="F343" s="11"/>
    </row>
    <row r="344">
      <c r="A344" s="18"/>
      <c r="B344" s="18"/>
      <c r="C344" s="19"/>
      <c r="D344" s="20"/>
      <c r="E344" s="11"/>
      <c r="F344" s="11"/>
    </row>
    <row r="345">
      <c r="A345" s="18"/>
      <c r="B345" s="18"/>
      <c r="C345" s="19"/>
      <c r="D345" s="20"/>
      <c r="E345" s="11"/>
      <c r="F345" s="11"/>
    </row>
    <row r="346">
      <c r="A346" s="18"/>
      <c r="B346" s="18"/>
      <c r="C346" s="19"/>
      <c r="D346" s="20"/>
      <c r="E346" s="11"/>
      <c r="F346" s="11"/>
    </row>
    <row r="347">
      <c r="A347" s="18"/>
      <c r="B347" s="18"/>
      <c r="C347" s="19"/>
      <c r="D347" s="20"/>
      <c r="E347" s="11"/>
      <c r="F347" s="11"/>
    </row>
    <row r="348">
      <c r="A348" s="18"/>
      <c r="B348" s="18"/>
      <c r="C348" s="19"/>
      <c r="D348" s="20"/>
      <c r="E348" s="11"/>
      <c r="F348" s="11"/>
    </row>
    <row r="349">
      <c r="A349" s="18"/>
      <c r="B349" s="18"/>
      <c r="C349" s="19"/>
      <c r="D349" s="20"/>
      <c r="E349" s="11"/>
      <c r="F349" s="11"/>
    </row>
    <row r="350">
      <c r="A350" s="18"/>
      <c r="B350" s="18"/>
      <c r="C350" s="19"/>
      <c r="D350" s="20"/>
      <c r="E350" s="11"/>
      <c r="F350" s="11"/>
    </row>
    <row r="351">
      <c r="A351" s="18"/>
      <c r="B351" s="18"/>
      <c r="C351" s="19"/>
      <c r="D351" s="20"/>
      <c r="E351" s="11"/>
      <c r="F351" s="11"/>
    </row>
    <row r="352">
      <c r="A352" s="18"/>
      <c r="B352" s="18"/>
      <c r="C352" s="19"/>
      <c r="D352" s="20"/>
      <c r="E352" s="11"/>
      <c r="F352" s="11"/>
    </row>
    <row r="353">
      <c r="A353" s="18"/>
      <c r="B353" s="18"/>
      <c r="C353" s="19"/>
      <c r="D353" s="20"/>
      <c r="E353" s="11"/>
      <c r="F353" s="11"/>
    </row>
    <row r="354">
      <c r="A354" s="18"/>
      <c r="B354" s="18"/>
      <c r="C354" s="19"/>
      <c r="D354" s="20"/>
      <c r="E354" s="11"/>
      <c r="F354" s="11"/>
    </row>
    <row r="355">
      <c r="A355" s="18"/>
      <c r="B355" s="18"/>
      <c r="C355" s="19"/>
      <c r="D355" s="20"/>
      <c r="E355" s="11"/>
      <c r="F355" s="11"/>
    </row>
    <row r="356">
      <c r="A356" s="18"/>
      <c r="B356" s="18"/>
      <c r="C356" s="19"/>
      <c r="D356" s="20"/>
      <c r="E356" s="11"/>
      <c r="F356" s="11"/>
    </row>
    <row r="357">
      <c r="A357" s="18"/>
      <c r="B357" s="18"/>
      <c r="C357" s="19"/>
      <c r="D357" s="20"/>
      <c r="E357" s="11"/>
      <c r="F357" s="11"/>
    </row>
    <row r="358">
      <c r="A358" s="18"/>
      <c r="B358" s="18"/>
      <c r="C358" s="19"/>
      <c r="D358" s="20"/>
      <c r="E358" s="11"/>
      <c r="F358" s="11"/>
    </row>
    <row r="359">
      <c r="A359" s="18"/>
      <c r="B359" s="18"/>
      <c r="C359" s="19"/>
      <c r="D359" s="20"/>
      <c r="E359" s="11"/>
      <c r="F359" s="11"/>
    </row>
    <row r="360">
      <c r="A360" s="18"/>
      <c r="B360" s="18"/>
      <c r="C360" s="19"/>
      <c r="D360" s="20"/>
      <c r="E360" s="11"/>
      <c r="F360" s="11"/>
    </row>
    <row r="361">
      <c r="A361" s="18"/>
      <c r="B361" s="18"/>
      <c r="C361" s="19"/>
      <c r="D361" s="20"/>
      <c r="E361" s="11"/>
      <c r="F361" s="11"/>
    </row>
    <row r="362">
      <c r="A362" s="18"/>
      <c r="B362" s="18"/>
      <c r="C362" s="19"/>
      <c r="D362" s="20"/>
      <c r="E362" s="11"/>
      <c r="F362" s="11"/>
    </row>
    <row r="363">
      <c r="A363" s="18"/>
      <c r="B363" s="18"/>
      <c r="C363" s="19"/>
      <c r="D363" s="20"/>
      <c r="E363" s="11"/>
      <c r="F363" s="11"/>
    </row>
    <row r="364">
      <c r="A364" s="18"/>
      <c r="B364" s="18"/>
      <c r="C364" s="19"/>
      <c r="D364" s="20"/>
      <c r="E364" s="11"/>
      <c r="F364" s="11"/>
    </row>
    <row r="365">
      <c r="A365" s="18"/>
      <c r="B365" s="18"/>
      <c r="C365" s="19"/>
      <c r="D365" s="20"/>
      <c r="E365" s="11"/>
      <c r="F365" s="11"/>
    </row>
    <row r="366">
      <c r="A366" s="18"/>
      <c r="B366" s="18"/>
      <c r="C366" s="19"/>
      <c r="D366" s="20"/>
      <c r="E366" s="11"/>
      <c r="F366" s="11"/>
    </row>
    <row r="367">
      <c r="A367" s="18"/>
      <c r="B367" s="18"/>
      <c r="C367" s="19"/>
      <c r="D367" s="20"/>
      <c r="E367" s="11"/>
      <c r="F367" s="11"/>
    </row>
    <row r="368">
      <c r="A368" s="18"/>
      <c r="B368" s="18"/>
      <c r="C368" s="19"/>
      <c r="D368" s="20"/>
      <c r="E368" s="11"/>
      <c r="F368" s="11"/>
    </row>
    <row r="369">
      <c r="A369" s="18"/>
      <c r="B369" s="18"/>
      <c r="C369" s="19"/>
      <c r="D369" s="20"/>
      <c r="E369" s="11"/>
      <c r="F369" s="11"/>
    </row>
    <row r="370">
      <c r="A370" s="18"/>
      <c r="B370" s="18"/>
      <c r="C370" s="19"/>
      <c r="D370" s="20"/>
      <c r="E370" s="11"/>
      <c r="F370" s="11"/>
    </row>
    <row r="371">
      <c r="A371" s="18"/>
      <c r="B371" s="18"/>
      <c r="C371" s="19"/>
      <c r="D371" s="20"/>
      <c r="E371" s="11"/>
      <c r="F371" s="11"/>
    </row>
    <row r="372">
      <c r="A372" s="18"/>
      <c r="B372" s="18"/>
      <c r="C372" s="19"/>
      <c r="D372" s="20"/>
      <c r="E372" s="11"/>
      <c r="F372" s="11"/>
    </row>
    <row r="373">
      <c r="A373" s="18"/>
      <c r="B373" s="18"/>
      <c r="C373" s="19"/>
      <c r="D373" s="20"/>
      <c r="E373" s="11"/>
      <c r="F373" s="11"/>
    </row>
    <row r="374">
      <c r="A374" s="18"/>
      <c r="B374" s="18"/>
      <c r="C374" s="19"/>
      <c r="D374" s="20"/>
      <c r="E374" s="11"/>
      <c r="F374" s="11"/>
    </row>
    <row r="375">
      <c r="A375" s="18"/>
      <c r="B375" s="18"/>
      <c r="C375" s="19"/>
      <c r="D375" s="20"/>
      <c r="E375" s="11"/>
      <c r="F375" s="11"/>
    </row>
    <row r="376">
      <c r="A376" s="18"/>
      <c r="B376" s="18"/>
      <c r="C376" s="19"/>
      <c r="D376" s="20"/>
      <c r="E376" s="11"/>
      <c r="F376" s="11"/>
    </row>
    <row r="377">
      <c r="A377" s="18"/>
      <c r="B377" s="18"/>
      <c r="C377" s="19"/>
      <c r="D377" s="20"/>
      <c r="E377" s="11"/>
      <c r="F377" s="11"/>
    </row>
    <row r="378">
      <c r="A378" s="18"/>
      <c r="B378" s="18"/>
      <c r="C378" s="19"/>
      <c r="D378" s="20"/>
      <c r="E378" s="11"/>
      <c r="F378" s="11"/>
    </row>
    <row r="379">
      <c r="A379" s="18"/>
      <c r="B379" s="18"/>
      <c r="C379" s="19"/>
      <c r="D379" s="20"/>
      <c r="E379" s="11"/>
      <c r="F379" s="11"/>
    </row>
    <row r="380">
      <c r="A380" s="18"/>
      <c r="B380" s="18"/>
      <c r="C380" s="19"/>
      <c r="D380" s="20"/>
      <c r="E380" s="11"/>
      <c r="F380" s="11"/>
    </row>
    <row r="381">
      <c r="A381" s="18"/>
      <c r="B381" s="18"/>
      <c r="C381" s="19"/>
      <c r="D381" s="20"/>
      <c r="E381" s="11"/>
      <c r="F381" s="11"/>
    </row>
    <row r="382">
      <c r="A382" s="18"/>
      <c r="B382" s="18"/>
      <c r="C382" s="19"/>
      <c r="D382" s="20"/>
      <c r="E382" s="11"/>
      <c r="F382" s="11"/>
    </row>
    <row r="383">
      <c r="A383" s="18"/>
      <c r="B383" s="18"/>
      <c r="C383" s="19"/>
      <c r="D383" s="20"/>
      <c r="E383" s="11"/>
      <c r="F383" s="11"/>
    </row>
    <row r="384">
      <c r="A384" s="18"/>
      <c r="B384" s="18"/>
      <c r="C384" s="19"/>
      <c r="D384" s="20"/>
      <c r="E384" s="11"/>
      <c r="F384" s="11"/>
    </row>
    <row r="385">
      <c r="A385" s="18"/>
      <c r="B385" s="18"/>
      <c r="C385" s="19"/>
      <c r="D385" s="20"/>
      <c r="E385" s="11"/>
      <c r="F385" s="11"/>
    </row>
    <row r="386">
      <c r="A386" s="18"/>
      <c r="B386" s="18"/>
      <c r="C386" s="19"/>
      <c r="D386" s="20"/>
      <c r="E386" s="11"/>
      <c r="F386" s="11"/>
    </row>
    <row r="387">
      <c r="A387" s="18"/>
      <c r="B387" s="18"/>
      <c r="C387" s="19"/>
      <c r="D387" s="20"/>
      <c r="E387" s="11"/>
      <c r="F387" s="11"/>
    </row>
    <row r="388">
      <c r="A388" s="18"/>
      <c r="B388" s="18"/>
      <c r="C388" s="19"/>
      <c r="D388" s="20"/>
      <c r="E388" s="11"/>
      <c r="F388" s="11"/>
    </row>
    <row r="389">
      <c r="A389" s="18"/>
      <c r="B389" s="18"/>
      <c r="C389" s="19"/>
      <c r="D389" s="20"/>
      <c r="E389" s="11"/>
      <c r="F389" s="11"/>
    </row>
    <row r="390">
      <c r="A390" s="18"/>
      <c r="B390" s="18"/>
      <c r="C390" s="19"/>
      <c r="D390" s="20"/>
      <c r="E390" s="11"/>
      <c r="F390" s="11"/>
    </row>
    <row r="391">
      <c r="A391" s="18"/>
      <c r="B391" s="18"/>
      <c r="C391" s="19"/>
      <c r="D391" s="20"/>
      <c r="E391" s="11"/>
      <c r="F391" s="11"/>
    </row>
    <row r="392">
      <c r="A392" s="18"/>
      <c r="B392" s="18"/>
      <c r="C392" s="19"/>
      <c r="D392" s="20"/>
      <c r="E392" s="11"/>
      <c r="F392" s="11"/>
    </row>
    <row r="393">
      <c r="A393" s="18"/>
      <c r="B393" s="18"/>
      <c r="C393" s="19"/>
      <c r="D393" s="20"/>
      <c r="E393" s="11"/>
      <c r="F393" s="11"/>
    </row>
    <row r="394">
      <c r="A394" s="18"/>
      <c r="B394" s="18"/>
      <c r="C394" s="19"/>
      <c r="D394" s="20"/>
      <c r="E394" s="11"/>
      <c r="F394" s="11"/>
    </row>
    <row r="395">
      <c r="A395" s="18"/>
      <c r="B395" s="18"/>
      <c r="C395" s="19"/>
      <c r="D395" s="20"/>
      <c r="E395" s="11"/>
      <c r="F395" s="11"/>
    </row>
    <row r="396">
      <c r="A396" s="18"/>
      <c r="B396" s="18"/>
      <c r="C396" s="19"/>
      <c r="D396" s="20"/>
      <c r="E396" s="11"/>
      <c r="F396" s="11"/>
    </row>
    <row r="397">
      <c r="A397" s="18"/>
      <c r="B397" s="18"/>
      <c r="C397" s="19"/>
      <c r="D397" s="20"/>
      <c r="E397" s="11"/>
      <c r="F397" s="11"/>
    </row>
    <row r="398">
      <c r="A398" s="18"/>
      <c r="B398" s="18"/>
      <c r="C398" s="19"/>
      <c r="D398" s="20"/>
      <c r="E398" s="11"/>
      <c r="F398" s="11"/>
    </row>
    <row r="399">
      <c r="A399" s="18"/>
      <c r="B399" s="18"/>
      <c r="C399" s="19"/>
      <c r="D399" s="20"/>
      <c r="E399" s="11"/>
      <c r="F399" s="11"/>
    </row>
    <row r="400">
      <c r="A400" s="18"/>
      <c r="B400" s="18"/>
      <c r="C400" s="19"/>
      <c r="D400" s="20"/>
      <c r="E400" s="11"/>
      <c r="F400" s="11"/>
    </row>
    <row r="401">
      <c r="A401" s="18"/>
      <c r="B401" s="18"/>
      <c r="C401" s="19"/>
      <c r="D401" s="20"/>
      <c r="E401" s="11"/>
      <c r="F401" s="11"/>
    </row>
    <row r="402">
      <c r="A402" s="18"/>
      <c r="B402" s="18"/>
      <c r="C402" s="19"/>
      <c r="D402" s="20"/>
      <c r="E402" s="11"/>
      <c r="F402" s="11"/>
    </row>
    <row r="403">
      <c r="A403" s="18"/>
      <c r="B403" s="18"/>
      <c r="C403" s="19"/>
      <c r="D403" s="20"/>
      <c r="E403" s="11"/>
      <c r="F403" s="11"/>
    </row>
    <row r="404">
      <c r="A404" s="18"/>
      <c r="B404" s="18"/>
      <c r="C404" s="19"/>
      <c r="D404" s="20"/>
      <c r="E404" s="11"/>
      <c r="F404" s="11"/>
    </row>
    <row r="405">
      <c r="A405" s="18"/>
      <c r="B405" s="18"/>
      <c r="C405" s="19"/>
      <c r="D405" s="20"/>
      <c r="E405" s="11"/>
      <c r="F405" s="11"/>
    </row>
    <row r="406">
      <c r="A406" s="18"/>
      <c r="B406" s="18"/>
      <c r="C406" s="19"/>
      <c r="D406" s="20"/>
      <c r="E406" s="11"/>
      <c r="F406" s="11"/>
    </row>
    <row r="407">
      <c r="A407" s="18"/>
      <c r="B407" s="18"/>
      <c r="C407" s="19"/>
      <c r="D407" s="20"/>
      <c r="E407" s="11"/>
      <c r="F407" s="11"/>
    </row>
    <row r="408">
      <c r="A408" s="18"/>
      <c r="B408" s="18"/>
      <c r="C408" s="19"/>
      <c r="D408" s="20"/>
      <c r="E408" s="11"/>
      <c r="F408" s="11"/>
    </row>
    <row r="409">
      <c r="A409" s="18"/>
      <c r="B409" s="18"/>
      <c r="C409" s="19"/>
      <c r="D409" s="20"/>
      <c r="E409" s="11"/>
      <c r="F409" s="11"/>
    </row>
    <row r="410">
      <c r="A410" s="18"/>
      <c r="B410" s="18"/>
      <c r="C410" s="19"/>
      <c r="D410" s="20"/>
      <c r="E410" s="11"/>
      <c r="F410" s="11"/>
    </row>
    <row r="411">
      <c r="A411" s="18"/>
      <c r="B411" s="18"/>
      <c r="C411" s="19"/>
      <c r="D411" s="20"/>
      <c r="E411" s="11"/>
      <c r="F411" s="11"/>
    </row>
    <row r="412">
      <c r="A412" s="18"/>
      <c r="B412" s="18"/>
      <c r="C412" s="19"/>
      <c r="D412" s="20"/>
      <c r="E412" s="11"/>
      <c r="F412" s="11"/>
    </row>
    <row r="413">
      <c r="A413" s="18"/>
      <c r="B413" s="18"/>
      <c r="C413" s="19"/>
      <c r="D413" s="20"/>
      <c r="E413" s="11"/>
      <c r="F413" s="11"/>
    </row>
    <row r="414">
      <c r="A414" s="18"/>
      <c r="B414" s="18"/>
      <c r="C414" s="19"/>
      <c r="D414" s="20"/>
      <c r="E414" s="11"/>
      <c r="F414" s="11"/>
    </row>
    <row r="415">
      <c r="A415" s="18"/>
      <c r="B415" s="18"/>
      <c r="C415" s="19"/>
      <c r="D415" s="20"/>
      <c r="E415" s="11"/>
      <c r="F415" s="11"/>
    </row>
    <row r="416">
      <c r="A416" s="18"/>
      <c r="B416" s="18"/>
      <c r="C416" s="19"/>
      <c r="D416" s="20"/>
      <c r="E416" s="11"/>
      <c r="F416" s="11"/>
    </row>
    <row r="417">
      <c r="A417" s="18"/>
      <c r="B417" s="18"/>
      <c r="C417" s="19"/>
      <c r="D417" s="20"/>
      <c r="E417" s="11"/>
      <c r="F417" s="11"/>
    </row>
    <row r="418">
      <c r="A418" s="18"/>
      <c r="B418" s="18"/>
      <c r="C418" s="19"/>
      <c r="D418" s="20"/>
      <c r="E418" s="11"/>
      <c r="F418" s="11"/>
    </row>
    <row r="419">
      <c r="A419" s="18"/>
      <c r="B419" s="18"/>
      <c r="C419" s="19"/>
      <c r="D419" s="20"/>
      <c r="E419" s="11"/>
      <c r="F419" s="11"/>
    </row>
    <row r="420">
      <c r="A420" s="18"/>
      <c r="B420" s="18"/>
      <c r="C420" s="19"/>
      <c r="D420" s="20"/>
      <c r="E420" s="11"/>
      <c r="F420" s="11"/>
    </row>
    <row r="421">
      <c r="A421" s="18"/>
      <c r="B421" s="18"/>
      <c r="C421" s="19"/>
      <c r="D421" s="20"/>
      <c r="E421" s="11"/>
      <c r="F421" s="11"/>
    </row>
    <row r="422">
      <c r="A422" s="18"/>
      <c r="B422" s="18"/>
      <c r="C422" s="19"/>
      <c r="D422" s="20"/>
      <c r="E422" s="11"/>
      <c r="F422" s="11"/>
    </row>
    <row r="423">
      <c r="A423" s="18"/>
      <c r="B423" s="18"/>
      <c r="C423" s="19"/>
      <c r="D423" s="20"/>
      <c r="E423" s="11"/>
      <c r="F423" s="11"/>
    </row>
    <row r="424">
      <c r="A424" s="18"/>
      <c r="B424" s="18"/>
      <c r="C424" s="19"/>
      <c r="D424" s="20"/>
      <c r="E424" s="11"/>
      <c r="F424" s="11"/>
    </row>
    <row r="425">
      <c r="A425" s="18"/>
      <c r="B425" s="18"/>
      <c r="C425" s="19"/>
      <c r="D425" s="20"/>
      <c r="E425" s="11"/>
      <c r="F425" s="11"/>
    </row>
    <row r="426">
      <c r="A426" s="18"/>
      <c r="B426" s="18"/>
      <c r="C426" s="19"/>
      <c r="D426" s="20"/>
      <c r="E426" s="11"/>
      <c r="F426" s="11"/>
    </row>
    <row r="427">
      <c r="A427" s="18"/>
      <c r="B427" s="18"/>
      <c r="C427" s="19"/>
      <c r="D427" s="20"/>
      <c r="E427" s="11"/>
      <c r="F427" s="11"/>
    </row>
    <row r="428">
      <c r="A428" s="18"/>
      <c r="B428" s="18"/>
      <c r="C428" s="19"/>
      <c r="D428" s="20"/>
      <c r="E428" s="11"/>
      <c r="F428" s="11"/>
    </row>
    <row r="429">
      <c r="A429" s="18"/>
      <c r="B429" s="18"/>
      <c r="C429" s="19"/>
      <c r="D429" s="20"/>
      <c r="E429" s="11"/>
      <c r="F429" s="11"/>
    </row>
    <row r="430">
      <c r="A430" s="18"/>
      <c r="B430" s="18"/>
      <c r="C430" s="19"/>
      <c r="D430" s="20"/>
      <c r="E430" s="11"/>
      <c r="F430" s="11"/>
    </row>
    <row r="431">
      <c r="A431" s="18"/>
      <c r="B431" s="18"/>
      <c r="C431" s="19"/>
      <c r="D431" s="20"/>
      <c r="E431" s="11"/>
      <c r="F431" s="11"/>
    </row>
    <row r="432">
      <c r="A432" s="18"/>
      <c r="B432" s="18"/>
      <c r="C432" s="19"/>
      <c r="D432" s="20"/>
      <c r="E432" s="11"/>
      <c r="F432" s="11"/>
    </row>
    <row r="433">
      <c r="A433" s="18"/>
      <c r="B433" s="18"/>
      <c r="C433" s="19"/>
      <c r="D433" s="20"/>
      <c r="E433" s="11"/>
      <c r="F433" s="11"/>
    </row>
    <row r="434">
      <c r="A434" s="18"/>
      <c r="B434" s="18"/>
      <c r="C434" s="19"/>
      <c r="D434" s="20"/>
      <c r="E434" s="11"/>
      <c r="F434" s="11"/>
    </row>
    <row r="435">
      <c r="A435" s="18"/>
      <c r="B435" s="18"/>
      <c r="C435" s="19"/>
      <c r="D435" s="20"/>
      <c r="E435" s="11"/>
      <c r="F435" s="11"/>
    </row>
    <row r="436">
      <c r="A436" s="18"/>
      <c r="B436" s="18"/>
      <c r="C436" s="19"/>
      <c r="D436" s="20"/>
      <c r="E436" s="11"/>
      <c r="F436" s="11"/>
    </row>
    <row r="437">
      <c r="A437" s="18"/>
      <c r="B437" s="18"/>
      <c r="C437" s="19"/>
      <c r="D437" s="20"/>
      <c r="E437" s="11"/>
      <c r="F437" s="11"/>
    </row>
    <row r="438">
      <c r="A438" s="18"/>
      <c r="B438" s="18"/>
      <c r="C438" s="19"/>
      <c r="D438" s="20"/>
      <c r="E438" s="11"/>
      <c r="F438" s="11"/>
    </row>
    <row r="439">
      <c r="A439" s="18"/>
      <c r="B439" s="18"/>
      <c r="C439" s="19"/>
      <c r="D439" s="20"/>
      <c r="E439" s="11"/>
      <c r="F439" s="11"/>
    </row>
    <row r="440">
      <c r="A440" s="18"/>
      <c r="B440" s="18"/>
      <c r="C440" s="19"/>
      <c r="D440" s="20"/>
      <c r="E440" s="11"/>
      <c r="F440" s="11"/>
    </row>
    <row r="441">
      <c r="A441" s="18"/>
      <c r="B441" s="18"/>
      <c r="C441" s="19"/>
      <c r="D441" s="20"/>
      <c r="E441" s="11"/>
      <c r="F441" s="11"/>
    </row>
    <row r="442">
      <c r="A442" s="18"/>
      <c r="B442" s="18"/>
      <c r="C442" s="19"/>
      <c r="D442" s="20"/>
      <c r="E442" s="11"/>
      <c r="F442" s="11"/>
    </row>
    <row r="443">
      <c r="A443" s="18"/>
      <c r="B443" s="18"/>
      <c r="C443" s="19"/>
      <c r="D443" s="20"/>
      <c r="E443" s="11"/>
      <c r="F443" s="11"/>
    </row>
    <row r="444">
      <c r="A444" s="18"/>
      <c r="B444" s="18"/>
      <c r="C444" s="19"/>
      <c r="D444" s="20"/>
      <c r="E444" s="11"/>
      <c r="F444" s="11"/>
    </row>
    <row r="445">
      <c r="A445" s="18"/>
      <c r="B445" s="18"/>
      <c r="C445" s="19"/>
      <c r="D445" s="20"/>
      <c r="E445" s="11"/>
      <c r="F445" s="11"/>
    </row>
    <row r="446">
      <c r="A446" s="18"/>
      <c r="B446" s="18"/>
      <c r="C446" s="19"/>
      <c r="D446" s="20"/>
      <c r="E446" s="11"/>
      <c r="F446" s="11"/>
    </row>
    <row r="447">
      <c r="A447" s="18"/>
      <c r="B447" s="18"/>
      <c r="C447" s="19"/>
      <c r="D447" s="20"/>
      <c r="E447" s="11"/>
      <c r="F447" s="11"/>
    </row>
    <row r="448">
      <c r="A448" s="18"/>
      <c r="B448" s="18"/>
      <c r="C448" s="19"/>
      <c r="D448" s="20"/>
      <c r="E448" s="11"/>
      <c r="F448" s="11"/>
    </row>
    <row r="449">
      <c r="A449" s="18"/>
      <c r="B449" s="18"/>
      <c r="C449" s="19"/>
      <c r="D449" s="20"/>
      <c r="E449" s="11"/>
      <c r="F449" s="11"/>
    </row>
    <row r="450">
      <c r="A450" s="18"/>
      <c r="B450" s="18"/>
      <c r="C450" s="19"/>
      <c r="D450" s="20"/>
      <c r="E450" s="11"/>
      <c r="F450" s="11"/>
    </row>
    <row r="451">
      <c r="A451" s="18"/>
      <c r="B451" s="18"/>
      <c r="C451" s="19"/>
      <c r="D451" s="20"/>
      <c r="E451" s="11"/>
      <c r="F451" s="11"/>
    </row>
    <row r="452">
      <c r="A452" s="18"/>
      <c r="B452" s="18"/>
      <c r="C452" s="19"/>
      <c r="D452" s="20"/>
      <c r="E452" s="11"/>
      <c r="F452" s="11"/>
    </row>
    <row r="453">
      <c r="A453" s="18"/>
      <c r="B453" s="18"/>
      <c r="C453" s="19"/>
      <c r="D453" s="20"/>
      <c r="E453" s="11"/>
      <c r="F453" s="11"/>
    </row>
    <row r="454">
      <c r="A454" s="18"/>
      <c r="B454" s="18"/>
      <c r="C454" s="19"/>
      <c r="D454" s="20"/>
      <c r="E454" s="11"/>
      <c r="F454" s="11"/>
    </row>
    <row r="455">
      <c r="A455" s="18"/>
      <c r="B455" s="18"/>
      <c r="C455" s="19"/>
      <c r="D455" s="20"/>
      <c r="E455" s="11"/>
      <c r="F455" s="11"/>
    </row>
    <row r="456">
      <c r="A456" s="18"/>
      <c r="B456" s="18"/>
      <c r="C456" s="19"/>
      <c r="D456" s="20"/>
      <c r="E456" s="11"/>
      <c r="F456" s="11"/>
    </row>
    <row r="457">
      <c r="A457" s="18"/>
      <c r="B457" s="18"/>
      <c r="C457" s="19"/>
      <c r="D457" s="20"/>
      <c r="E457" s="11"/>
      <c r="F457" s="11"/>
    </row>
    <row r="458">
      <c r="A458" s="18"/>
      <c r="B458" s="18"/>
      <c r="C458" s="19"/>
      <c r="D458" s="20"/>
      <c r="E458" s="11"/>
      <c r="F458" s="11"/>
    </row>
    <row r="459">
      <c r="A459" s="18"/>
      <c r="B459" s="18"/>
      <c r="C459" s="19"/>
      <c r="D459" s="20"/>
      <c r="E459" s="11"/>
      <c r="F459" s="11"/>
    </row>
    <row r="460">
      <c r="A460" s="18"/>
      <c r="B460" s="18"/>
      <c r="C460" s="19"/>
      <c r="D460" s="20"/>
      <c r="E460" s="11"/>
      <c r="F460" s="11"/>
    </row>
    <row r="461">
      <c r="A461" s="18"/>
      <c r="B461" s="18"/>
      <c r="C461" s="19"/>
      <c r="D461" s="20"/>
      <c r="E461" s="11"/>
      <c r="F461" s="11"/>
    </row>
    <row r="462">
      <c r="A462" s="18"/>
      <c r="B462" s="18"/>
      <c r="C462" s="19"/>
      <c r="D462" s="20"/>
      <c r="E462" s="11"/>
      <c r="F462" s="11"/>
    </row>
    <row r="463">
      <c r="A463" s="18"/>
      <c r="B463" s="18"/>
      <c r="C463" s="19"/>
      <c r="D463" s="20"/>
      <c r="E463" s="11"/>
      <c r="F463" s="11"/>
    </row>
    <row r="464">
      <c r="A464" s="18"/>
      <c r="B464" s="18"/>
      <c r="C464" s="19"/>
      <c r="D464" s="20"/>
      <c r="E464" s="11"/>
      <c r="F464" s="11"/>
    </row>
    <row r="465">
      <c r="A465" s="18"/>
      <c r="B465" s="18"/>
      <c r="C465" s="19"/>
      <c r="D465" s="20"/>
      <c r="E465" s="11"/>
      <c r="F465" s="11"/>
    </row>
    <row r="466">
      <c r="A466" s="18"/>
      <c r="B466" s="18"/>
      <c r="C466" s="19"/>
      <c r="D466" s="20"/>
      <c r="E466" s="11"/>
      <c r="F466" s="11"/>
    </row>
    <row r="467">
      <c r="A467" s="18"/>
      <c r="B467" s="18"/>
      <c r="C467" s="19"/>
      <c r="D467" s="20"/>
      <c r="E467" s="11"/>
      <c r="F467" s="11"/>
    </row>
    <row r="468">
      <c r="A468" s="18"/>
      <c r="B468" s="18"/>
      <c r="C468" s="19"/>
      <c r="D468" s="20"/>
      <c r="E468" s="11"/>
      <c r="F468" s="11"/>
    </row>
    <row r="469">
      <c r="A469" s="18"/>
      <c r="B469" s="18"/>
      <c r="C469" s="19"/>
      <c r="D469" s="20"/>
      <c r="E469" s="11"/>
      <c r="F469" s="11"/>
    </row>
    <row r="470">
      <c r="A470" s="18"/>
      <c r="B470" s="18"/>
      <c r="C470" s="19"/>
      <c r="D470" s="20"/>
      <c r="E470" s="11"/>
      <c r="F470" s="11"/>
    </row>
    <row r="471">
      <c r="A471" s="18"/>
      <c r="B471" s="18"/>
      <c r="C471" s="19"/>
      <c r="D471" s="20"/>
      <c r="E471" s="11"/>
      <c r="F471" s="11"/>
    </row>
    <row r="472">
      <c r="A472" s="18"/>
      <c r="B472" s="18"/>
      <c r="C472" s="19"/>
      <c r="D472" s="20"/>
      <c r="E472" s="11"/>
      <c r="F472" s="11"/>
    </row>
    <row r="473">
      <c r="A473" s="18"/>
      <c r="B473" s="18"/>
      <c r="C473" s="19"/>
      <c r="D473" s="20"/>
      <c r="E473" s="11"/>
      <c r="F473" s="11"/>
    </row>
    <row r="474">
      <c r="A474" s="18"/>
      <c r="B474" s="18"/>
      <c r="C474" s="19"/>
      <c r="D474" s="20"/>
      <c r="E474" s="11"/>
      <c r="F474" s="11"/>
    </row>
    <row r="475">
      <c r="A475" s="18"/>
      <c r="B475" s="18"/>
      <c r="C475" s="19"/>
      <c r="D475" s="20"/>
      <c r="E475" s="11"/>
      <c r="F475" s="11"/>
    </row>
    <row r="476">
      <c r="A476" s="18"/>
      <c r="B476" s="18"/>
      <c r="C476" s="19"/>
      <c r="D476" s="20"/>
      <c r="E476" s="11"/>
      <c r="F476" s="11"/>
    </row>
    <row r="477">
      <c r="A477" s="18"/>
      <c r="B477" s="18"/>
      <c r="C477" s="19"/>
      <c r="D477" s="20"/>
      <c r="E477" s="11"/>
      <c r="F477" s="11"/>
    </row>
    <row r="478">
      <c r="A478" s="18"/>
      <c r="B478" s="18"/>
      <c r="C478" s="19"/>
      <c r="D478" s="20"/>
      <c r="E478" s="11"/>
      <c r="F478" s="11"/>
    </row>
    <row r="479">
      <c r="A479" s="18"/>
      <c r="B479" s="18"/>
      <c r="C479" s="19"/>
      <c r="D479" s="20"/>
      <c r="E479" s="11"/>
      <c r="F479" s="11"/>
    </row>
    <row r="480">
      <c r="A480" s="18"/>
      <c r="B480" s="18"/>
      <c r="C480" s="19"/>
      <c r="D480" s="20"/>
      <c r="E480" s="11"/>
      <c r="F480" s="11"/>
    </row>
    <row r="481">
      <c r="A481" s="18"/>
      <c r="B481" s="18"/>
      <c r="C481" s="19"/>
      <c r="D481" s="20"/>
      <c r="E481" s="11"/>
      <c r="F481" s="11"/>
    </row>
    <row r="482">
      <c r="A482" s="18"/>
      <c r="B482" s="18"/>
      <c r="C482" s="19"/>
      <c r="D482" s="20"/>
      <c r="E482" s="11"/>
      <c r="F482" s="11"/>
    </row>
    <row r="483">
      <c r="A483" s="18"/>
      <c r="B483" s="18"/>
      <c r="C483" s="19"/>
      <c r="D483" s="20"/>
      <c r="E483" s="11"/>
      <c r="F483" s="11"/>
    </row>
    <row r="484">
      <c r="A484" s="18"/>
      <c r="B484" s="18"/>
      <c r="C484" s="19"/>
      <c r="D484" s="20"/>
      <c r="E484" s="11"/>
      <c r="F484" s="11"/>
    </row>
    <row r="485">
      <c r="A485" s="18"/>
      <c r="B485" s="18"/>
      <c r="C485" s="19"/>
      <c r="D485" s="20"/>
      <c r="E485" s="11"/>
      <c r="F485" s="11"/>
    </row>
    <row r="486">
      <c r="A486" s="18"/>
      <c r="B486" s="18"/>
      <c r="C486" s="19"/>
      <c r="D486" s="20"/>
      <c r="E486" s="11"/>
      <c r="F486" s="11"/>
    </row>
    <row r="487">
      <c r="A487" s="18"/>
      <c r="B487" s="18"/>
      <c r="C487" s="19"/>
      <c r="D487" s="20"/>
      <c r="E487" s="11"/>
      <c r="F487" s="11"/>
    </row>
    <row r="488">
      <c r="A488" s="18"/>
      <c r="B488" s="18"/>
      <c r="C488" s="19"/>
      <c r="D488" s="20"/>
      <c r="E488" s="11"/>
      <c r="F488" s="11"/>
    </row>
    <row r="489">
      <c r="A489" s="18"/>
      <c r="B489" s="18"/>
      <c r="C489" s="19"/>
      <c r="D489" s="20"/>
      <c r="E489" s="11"/>
      <c r="F489" s="11"/>
    </row>
    <row r="490">
      <c r="A490" s="18"/>
      <c r="B490" s="18"/>
      <c r="C490" s="19"/>
      <c r="D490" s="20"/>
      <c r="E490" s="11"/>
      <c r="F490" s="11"/>
    </row>
    <row r="491">
      <c r="A491" s="18"/>
      <c r="B491" s="18"/>
      <c r="C491" s="19"/>
      <c r="D491" s="20"/>
      <c r="E491" s="11"/>
      <c r="F491" s="11"/>
    </row>
    <row r="492">
      <c r="A492" s="18"/>
      <c r="B492" s="18"/>
      <c r="C492" s="19"/>
      <c r="D492" s="20"/>
      <c r="E492" s="11"/>
      <c r="F492" s="11"/>
    </row>
    <row r="493">
      <c r="A493" s="18"/>
      <c r="B493" s="18"/>
      <c r="C493" s="19"/>
      <c r="D493" s="20"/>
      <c r="E493" s="11"/>
      <c r="F493" s="11"/>
    </row>
    <row r="494">
      <c r="A494" s="18"/>
      <c r="B494" s="18"/>
      <c r="C494" s="19"/>
      <c r="D494" s="20"/>
      <c r="E494" s="11"/>
      <c r="F494" s="11"/>
    </row>
    <row r="495">
      <c r="A495" s="18"/>
      <c r="B495" s="18"/>
      <c r="C495" s="19"/>
      <c r="D495" s="20"/>
      <c r="E495" s="11"/>
      <c r="F495" s="11"/>
    </row>
    <row r="496">
      <c r="A496" s="18"/>
      <c r="B496" s="18"/>
      <c r="C496" s="19"/>
      <c r="D496" s="20"/>
      <c r="E496" s="11"/>
      <c r="F496" s="11"/>
    </row>
    <row r="497">
      <c r="A497" s="18"/>
      <c r="B497" s="18"/>
      <c r="C497" s="19"/>
      <c r="D497" s="20"/>
      <c r="E497" s="11"/>
      <c r="F497" s="11"/>
    </row>
    <row r="498">
      <c r="A498" s="18"/>
      <c r="B498" s="18"/>
      <c r="C498" s="19"/>
      <c r="D498" s="20"/>
      <c r="E498" s="11"/>
      <c r="F498" s="11"/>
    </row>
    <row r="499">
      <c r="A499" s="18"/>
      <c r="B499" s="18"/>
      <c r="C499" s="19"/>
      <c r="D499" s="20"/>
      <c r="E499" s="11"/>
      <c r="F499" s="11"/>
    </row>
    <row r="500">
      <c r="A500" s="18"/>
      <c r="B500" s="18"/>
      <c r="C500" s="19"/>
      <c r="D500" s="20"/>
      <c r="E500" s="11"/>
      <c r="F500" s="11"/>
    </row>
    <row r="501">
      <c r="A501" s="18"/>
      <c r="B501" s="18"/>
      <c r="C501" s="19"/>
      <c r="D501" s="20"/>
      <c r="E501" s="11"/>
      <c r="F501" s="11"/>
    </row>
    <row r="502">
      <c r="A502" s="18"/>
      <c r="B502" s="18"/>
      <c r="C502" s="19"/>
      <c r="D502" s="20"/>
      <c r="E502" s="11"/>
      <c r="F502" s="11"/>
    </row>
    <row r="503">
      <c r="A503" s="18"/>
      <c r="B503" s="18"/>
      <c r="C503" s="19"/>
      <c r="D503" s="20"/>
      <c r="E503" s="11"/>
      <c r="F503" s="11"/>
    </row>
    <row r="504">
      <c r="A504" s="18"/>
      <c r="B504" s="18"/>
      <c r="C504" s="19"/>
      <c r="D504" s="20"/>
      <c r="E504" s="11"/>
      <c r="F504" s="11"/>
    </row>
    <row r="505">
      <c r="A505" s="18"/>
      <c r="B505" s="18"/>
      <c r="C505" s="19"/>
      <c r="D505" s="20"/>
      <c r="E505" s="11"/>
      <c r="F505" s="11"/>
    </row>
    <row r="506">
      <c r="A506" s="18"/>
      <c r="B506" s="18"/>
      <c r="C506" s="19"/>
      <c r="D506" s="20"/>
      <c r="E506" s="11"/>
      <c r="F506" s="11"/>
    </row>
    <row r="507">
      <c r="A507" s="18"/>
      <c r="B507" s="18"/>
      <c r="C507" s="19"/>
      <c r="D507" s="20"/>
      <c r="E507" s="11"/>
      <c r="F507" s="11"/>
    </row>
    <row r="508">
      <c r="A508" s="18"/>
      <c r="B508" s="18"/>
      <c r="C508" s="19"/>
      <c r="D508" s="20"/>
      <c r="E508" s="11"/>
      <c r="F508" s="11"/>
    </row>
    <row r="509">
      <c r="A509" s="18"/>
      <c r="B509" s="18"/>
      <c r="C509" s="19"/>
      <c r="D509" s="20"/>
      <c r="E509" s="11"/>
      <c r="F509" s="11"/>
    </row>
    <row r="510">
      <c r="A510" s="18"/>
      <c r="B510" s="18"/>
      <c r="C510" s="19"/>
      <c r="D510" s="20"/>
      <c r="E510" s="11"/>
      <c r="F510" s="11"/>
    </row>
    <row r="511">
      <c r="A511" s="18"/>
      <c r="B511" s="18"/>
      <c r="C511" s="19"/>
      <c r="D511" s="20"/>
      <c r="E511" s="11"/>
      <c r="F511" s="11"/>
    </row>
    <row r="512">
      <c r="A512" s="18"/>
      <c r="B512" s="18"/>
      <c r="C512" s="19"/>
      <c r="D512" s="20"/>
      <c r="E512" s="11"/>
      <c r="F512" s="11"/>
    </row>
    <row r="513">
      <c r="A513" s="18"/>
      <c r="B513" s="18"/>
      <c r="C513" s="19"/>
      <c r="D513" s="20"/>
      <c r="E513" s="11"/>
      <c r="F513" s="11"/>
    </row>
    <row r="514">
      <c r="A514" s="18"/>
      <c r="B514" s="18"/>
      <c r="C514" s="19"/>
      <c r="D514" s="20"/>
      <c r="E514" s="11"/>
      <c r="F514" s="11"/>
    </row>
    <row r="515">
      <c r="A515" s="18"/>
      <c r="B515" s="18"/>
      <c r="C515" s="19"/>
      <c r="D515" s="20"/>
      <c r="E515" s="11"/>
      <c r="F515" s="11"/>
    </row>
    <row r="516">
      <c r="A516" s="18"/>
      <c r="B516" s="18"/>
      <c r="C516" s="19"/>
      <c r="D516" s="20"/>
      <c r="E516" s="11"/>
      <c r="F516" s="11"/>
    </row>
    <row r="517">
      <c r="A517" s="18"/>
      <c r="B517" s="18"/>
      <c r="C517" s="19"/>
      <c r="D517" s="20"/>
      <c r="E517" s="11"/>
      <c r="F517" s="11"/>
    </row>
    <row r="518">
      <c r="A518" s="18"/>
      <c r="B518" s="18"/>
      <c r="C518" s="19"/>
      <c r="D518" s="20"/>
      <c r="E518" s="11"/>
      <c r="F518" s="11"/>
    </row>
    <row r="519">
      <c r="A519" s="18"/>
      <c r="B519" s="18"/>
      <c r="C519" s="19"/>
      <c r="D519" s="20"/>
      <c r="E519" s="11"/>
      <c r="F519" s="11"/>
    </row>
    <row r="520">
      <c r="A520" s="18"/>
      <c r="B520" s="18"/>
      <c r="C520" s="19"/>
      <c r="D520" s="20"/>
      <c r="E520" s="11"/>
      <c r="F520" s="11"/>
    </row>
    <row r="521">
      <c r="A521" s="18"/>
      <c r="B521" s="18"/>
      <c r="C521" s="19"/>
      <c r="D521" s="20"/>
      <c r="E521" s="11"/>
      <c r="F521" s="11"/>
    </row>
    <row r="522">
      <c r="A522" s="18"/>
      <c r="B522" s="18"/>
      <c r="C522" s="19"/>
      <c r="D522" s="20"/>
      <c r="E522" s="11"/>
      <c r="F522" s="11"/>
    </row>
    <row r="523">
      <c r="A523" s="18"/>
      <c r="B523" s="18"/>
      <c r="C523" s="19"/>
      <c r="D523" s="20"/>
      <c r="E523" s="11"/>
      <c r="F523" s="11"/>
    </row>
    <row r="524">
      <c r="A524" s="18"/>
      <c r="B524" s="18"/>
      <c r="C524" s="19"/>
      <c r="D524" s="20"/>
      <c r="E524" s="11"/>
      <c r="F524" s="11"/>
    </row>
    <row r="525">
      <c r="A525" s="18"/>
      <c r="B525" s="18"/>
      <c r="C525" s="19"/>
      <c r="D525" s="20"/>
      <c r="E525" s="11"/>
      <c r="F525" s="11"/>
    </row>
    <row r="526">
      <c r="A526" s="18"/>
      <c r="B526" s="18"/>
      <c r="C526" s="19"/>
      <c r="D526" s="20"/>
      <c r="E526" s="11"/>
      <c r="F526" s="11"/>
    </row>
    <row r="527">
      <c r="A527" s="18"/>
      <c r="B527" s="18"/>
      <c r="C527" s="19"/>
      <c r="D527" s="20"/>
      <c r="E527" s="11"/>
      <c r="F527" s="11"/>
    </row>
    <row r="528">
      <c r="A528" s="18"/>
      <c r="B528" s="18"/>
      <c r="C528" s="19"/>
      <c r="D528" s="20"/>
      <c r="E528" s="11"/>
      <c r="F528" s="11"/>
    </row>
    <row r="529">
      <c r="A529" s="18"/>
      <c r="B529" s="18"/>
      <c r="C529" s="19"/>
      <c r="D529" s="20"/>
      <c r="E529" s="11"/>
      <c r="F529" s="11"/>
    </row>
    <row r="530">
      <c r="A530" s="18"/>
      <c r="B530" s="18"/>
      <c r="C530" s="19"/>
      <c r="D530" s="20"/>
      <c r="E530" s="11"/>
      <c r="F530" s="11"/>
    </row>
    <row r="531">
      <c r="A531" s="18"/>
      <c r="B531" s="18"/>
      <c r="C531" s="19"/>
      <c r="D531" s="20"/>
      <c r="E531" s="11"/>
      <c r="F531" s="11"/>
    </row>
    <row r="532">
      <c r="A532" s="18"/>
      <c r="B532" s="18"/>
      <c r="C532" s="19"/>
      <c r="D532" s="20"/>
      <c r="E532" s="11"/>
      <c r="F532" s="11"/>
    </row>
    <row r="533">
      <c r="A533" s="18"/>
      <c r="B533" s="18"/>
      <c r="C533" s="19"/>
      <c r="D533" s="20"/>
      <c r="E533" s="11"/>
      <c r="F533" s="11"/>
    </row>
    <row r="534">
      <c r="A534" s="18"/>
      <c r="B534" s="18"/>
      <c r="C534" s="19"/>
      <c r="D534" s="20"/>
      <c r="E534" s="11"/>
      <c r="F534" s="11"/>
    </row>
    <row r="535">
      <c r="A535" s="18"/>
      <c r="B535" s="18"/>
      <c r="C535" s="19"/>
      <c r="D535" s="20"/>
      <c r="E535" s="11"/>
      <c r="F535" s="11"/>
    </row>
    <row r="536">
      <c r="A536" s="18"/>
      <c r="B536" s="18"/>
      <c r="C536" s="19"/>
      <c r="D536" s="20"/>
      <c r="E536" s="11"/>
      <c r="F536" s="11"/>
    </row>
    <row r="537">
      <c r="A537" s="18"/>
      <c r="B537" s="18"/>
      <c r="C537" s="19"/>
      <c r="D537" s="20"/>
      <c r="E537" s="11"/>
      <c r="F537" s="11"/>
    </row>
    <row r="538">
      <c r="A538" s="18"/>
      <c r="B538" s="18"/>
      <c r="C538" s="19"/>
      <c r="D538" s="20"/>
      <c r="E538" s="11"/>
      <c r="F538" s="11"/>
    </row>
    <row r="539">
      <c r="A539" s="18"/>
      <c r="B539" s="18"/>
      <c r="C539" s="19"/>
      <c r="D539" s="20"/>
      <c r="E539" s="11"/>
      <c r="F539" s="11"/>
    </row>
    <row r="540">
      <c r="A540" s="18"/>
      <c r="B540" s="18"/>
      <c r="C540" s="19"/>
      <c r="D540" s="20"/>
      <c r="E540" s="11"/>
      <c r="F540" s="11"/>
    </row>
    <row r="541">
      <c r="A541" s="18"/>
      <c r="B541" s="18"/>
      <c r="C541" s="19"/>
      <c r="D541" s="20"/>
      <c r="E541" s="11"/>
      <c r="F541" s="11"/>
    </row>
    <row r="542">
      <c r="A542" s="18"/>
      <c r="B542" s="18"/>
      <c r="C542" s="19"/>
      <c r="D542" s="20"/>
      <c r="E542" s="11"/>
      <c r="F542" s="11"/>
    </row>
    <row r="543">
      <c r="A543" s="18"/>
      <c r="B543" s="18"/>
      <c r="C543" s="19"/>
      <c r="D543" s="20"/>
      <c r="E543" s="11"/>
      <c r="F543" s="11"/>
    </row>
    <row r="544">
      <c r="A544" s="18"/>
      <c r="B544" s="18"/>
      <c r="C544" s="19"/>
      <c r="D544" s="20"/>
      <c r="E544" s="11"/>
      <c r="F544" s="11"/>
    </row>
    <row r="545">
      <c r="A545" s="18"/>
      <c r="B545" s="18"/>
      <c r="C545" s="19"/>
      <c r="D545" s="20"/>
      <c r="E545" s="11"/>
      <c r="F545" s="11"/>
    </row>
    <row r="546">
      <c r="A546" s="18"/>
      <c r="B546" s="18"/>
      <c r="C546" s="19"/>
      <c r="D546" s="20"/>
      <c r="E546" s="11"/>
      <c r="F546" s="11"/>
    </row>
    <row r="547">
      <c r="A547" s="18"/>
      <c r="B547" s="18"/>
      <c r="C547" s="19"/>
      <c r="D547" s="20"/>
      <c r="E547" s="11"/>
      <c r="F547" s="11"/>
    </row>
    <row r="548">
      <c r="A548" s="18"/>
      <c r="B548" s="18"/>
      <c r="C548" s="19"/>
      <c r="D548" s="20"/>
      <c r="E548" s="11"/>
      <c r="F548" s="11"/>
    </row>
    <row r="549">
      <c r="A549" s="18"/>
      <c r="B549" s="18"/>
      <c r="C549" s="19"/>
      <c r="D549" s="20"/>
      <c r="E549" s="11"/>
      <c r="F549" s="11"/>
    </row>
    <row r="550">
      <c r="A550" s="18"/>
      <c r="B550" s="18"/>
      <c r="C550" s="19"/>
      <c r="D550" s="20"/>
      <c r="E550" s="11"/>
      <c r="F550" s="11"/>
    </row>
    <row r="551">
      <c r="A551" s="18"/>
      <c r="B551" s="18"/>
      <c r="C551" s="19"/>
      <c r="D551" s="20"/>
      <c r="E551" s="11"/>
      <c r="F551" s="11"/>
    </row>
    <row r="552">
      <c r="A552" s="18"/>
      <c r="B552" s="18"/>
      <c r="C552" s="19"/>
      <c r="D552" s="20"/>
      <c r="E552" s="11"/>
      <c r="F552" s="11"/>
    </row>
    <row r="553">
      <c r="A553" s="18"/>
      <c r="B553" s="18"/>
      <c r="C553" s="19"/>
      <c r="D553" s="20"/>
      <c r="E553" s="11"/>
      <c r="F553" s="11"/>
    </row>
    <row r="554">
      <c r="A554" s="18"/>
      <c r="B554" s="18"/>
      <c r="C554" s="19"/>
      <c r="D554" s="20"/>
      <c r="E554" s="11"/>
      <c r="F554" s="11"/>
    </row>
    <row r="555">
      <c r="A555" s="18"/>
      <c r="B555" s="18"/>
      <c r="C555" s="19"/>
      <c r="D555" s="20"/>
      <c r="E555" s="11"/>
      <c r="F555" s="11"/>
    </row>
    <row r="556">
      <c r="A556" s="18"/>
      <c r="B556" s="18"/>
      <c r="C556" s="19"/>
      <c r="D556" s="20"/>
      <c r="E556" s="11"/>
      <c r="F556" s="11"/>
    </row>
    <row r="557">
      <c r="A557" s="18"/>
      <c r="B557" s="18"/>
      <c r="C557" s="19"/>
      <c r="D557" s="20"/>
      <c r="E557" s="11"/>
      <c r="F557" s="11"/>
    </row>
    <row r="558">
      <c r="A558" s="18"/>
      <c r="B558" s="18"/>
      <c r="C558" s="19"/>
      <c r="D558" s="20"/>
      <c r="E558" s="11"/>
      <c r="F558" s="11"/>
    </row>
    <row r="559">
      <c r="A559" s="18"/>
      <c r="B559" s="18"/>
      <c r="C559" s="19"/>
      <c r="D559" s="20"/>
      <c r="E559" s="11"/>
      <c r="F559" s="11"/>
    </row>
    <row r="560">
      <c r="A560" s="18"/>
      <c r="B560" s="18"/>
      <c r="C560" s="19"/>
      <c r="D560" s="20"/>
      <c r="E560" s="11"/>
      <c r="F560" s="11"/>
    </row>
    <row r="561">
      <c r="A561" s="18"/>
      <c r="B561" s="18"/>
      <c r="C561" s="19"/>
      <c r="D561" s="20"/>
      <c r="E561" s="11"/>
      <c r="F561" s="11"/>
    </row>
    <row r="562">
      <c r="A562" s="18"/>
      <c r="B562" s="18"/>
      <c r="C562" s="19"/>
      <c r="D562" s="20"/>
      <c r="E562" s="11"/>
      <c r="F562" s="11"/>
    </row>
    <row r="563">
      <c r="A563" s="18"/>
      <c r="B563" s="18"/>
      <c r="C563" s="19"/>
      <c r="D563" s="20"/>
      <c r="E563" s="11"/>
      <c r="F563" s="11"/>
    </row>
    <row r="564">
      <c r="A564" s="18"/>
      <c r="B564" s="18"/>
      <c r="C564" s="19"/>
      <c r="D564" s="20"/>
      <c r="E564" s="11"/>
      <c r="F564" s="11"/>
    </row>
    <row r="565">
      <c r="A565" s="18"/>
      <c r="B565" s="18"/>
      <c r="C565" s="19"/>
      <c r="D565" s="20"/>
      <c r="E565" s="11"/>
      <c r="F565" s="11"/>
    </row>
    <row r="566">
      <c r="A566" s="18"/>
      <c r="B566" s="18"/>
      <c r="C566" s="19"/>
      <c r="D566" s="20"/>
      <c r="E566" s="11"/>
      <c r="F566" s="11"/>
    </row>
    <row r="567">
      <c r="A567" s="18"/>
      <c r="B567" s="18"/>
      <c r="C567" s="19"/>
      <c r="D567" s="20"/>
      <c r="E567" s="11"/>
      <c r="F567" s="11"/>
    </row>
    <row r="568">
      <c r="A568" s="18"/>
      <c r="B568" s="18"/>
      <c r="C568" s="19"/>
      <c r="D568" s="20"/>
      <c r="E568" s="11"/>
      <c r="F568" s="11"/>
    </row>
    <row r="569">
      <c r="A569" s="18"/>
      <c r="B569" s="18"/>
      <c r="C569" s="19"/>
      <c r="D569" s="20"/>
      <c r="E569" s="11"/>
      <c r="F569" s="11"/>
    </row>
    <row r="570">
      <c r="A570" s="18"/>
      <c r="B570" s="18"/>
      <c r="C570" s="19"/>
      <c r="D570" s="20"/>
      <c r="E570" s="11"/>
      <c r="F570" s="11"/>
    </row>
    <row r="571">
      <c r="A571" s="18"/>
      <c r="B571" s="18"/>
      <c r="C571" s="19"/>
      <c r="D571" s="20"/>
      <c r="E571" s="11"/>
      <c r="F571" s="11"/>
    </row>
    <row r="572">
      <c r="A572" s="18"/>
      <c r="B572" s="18"/>
      <c r="C572" s="19"/>
      <c r="D572" s="20"/>
      <c r="E572" s="11"/>
      <c r="F572" s="11"/>
    </row>
    <row r="573">
      <c r="A573" s="18"/>
      <c r="B573" s="18"/>
      <c r="C573" s="19"/>
      <c r="D573" s="20"/>
      <c r="E573" s="11"/>
      <c r="F573" s="11"/>
    </row>
    <row r="574">
      <c r="A574" s="18"/>
      <c r="B574" s="18"/>
      <c r="C574" s="19"/>
      <c r="D574" s="20"/>
      <c r="E574" s="11"/>
      <c r="F574" s="11"/>
    </row>
    <row r="575">
      <c r="A575" s="18"/>
      <c r="B575" s="18"/>
      <c r="C575" s="19"/>
      <c r="D575" s="20"/>
      <c r="E575" s="11"/>
      <c r="F575" s="11"/>
    </row>
    <row r="576">
      <c r="A576" s="18"/>
      <c r="B576" s="18"/>
      <c r="C576" s="19"/>
      <c r="D576" s="20"/>
      <c r="E576" s="11"/>
      <c r="F576" s="11"/>
    </row>
    <row r="577">
      <c r="A577" s="18"/>
      <c r="B577" s="18"/>
      <c r="C577" s="19"/>
      <c r="D577" s="20"/>
      <c r="E577" s="11"/>
      <c r="F577" s="11"/>
    </row>
    <row r="578">
      <c r="A578" s="18"/>
      <c r="B578" s="18"/>
      <c r="C578" s="19"/>
      <c r="D578" s="20"/>
      <c r="E578" s="11"/>
      <c r="F578" s="11"/>
    </row>
    <row r="579">
      <c r="A579" s="18"/>
      <c r="B579" s="18"/>
      <c r="C579" s="19"/>
      <c r="D579" s="20"/>
      <c r="E579" s="11"/>
      <c r="F579" s="11"/>
    </row>
    <row r="580">
      <c r="A580" s="18"/>
      <c r="B580" s="18"/>
      <c r="C580" s="19"/>
      <c r="D580" s="20"/>
      <c r="E580" s="11"/>
      <c r="F580" s="11"/>
    </row>
    <row r="581">
      <c r="A581" s="18"/>
      <c r="B581" s="18"/>
      <c r="C581" s="19"/>
      <c r="D581" s="20"/>
      <c r="E581" s="11"/>
      <c r="F581" s="11"/>
    </row>
    <row r="582">
      <c r="A582" s="18"/>
      <c r="B582" s="18"/>
      <c r="C582" s="19"/>
      <c r="D582" s="20"/>
      <c r="E582" s="11"/>
      <c r="F582" s="11"/>
    </row>
    <row r="583">
      <c r="A583" s="18"/>
      <c r="B583" s="18"/>
      <c r="C583" s="19"/>
      <c r="D583" s="20"/>
      <c r="E583" s="11"/>
      <c r="F583" s="11"/>
    </row>
    <row r="584">
      <c r="A584" s="18"/>
      <c r="B584" s="18"/>
      <c r="C584" s="19"/>
      <c r="D584" s="20"/>
      <c r="E584" s="11"/>
      <c r="F584" s="11"/>
    </row>
    <row r="585">
      <c r="A585" s="18"/>
      <c r="B585" s="18"/>
      <c r="C585" s="19"/>
      <c r="D585" s="20"/>
      <c r="E585" s="11"/>
      <c r="F585" s="11"/>
    </row>
    <row r="586">
      <c r="A586" s="18"/>
      <c r="B586" s="18"/>
      <c r="C586" s="19"/>
      <c r="D586" s="20"/>
      <c r="E586" s="11"/>
      <c r="F586" s="11"/>
    </row>
    <row r="587">
      <c r="A587" s="18"/>
      <c r="B587" s="18"/>
      <c r="C587" s="19"/>
      <c r="D587" s="20"/>
      <c r="E587" s="11"/>
      <c r="F587" s="11"/>
    </row>
    <row r="588">
      <c r="A588" s="18"/>
      <c r="B588" s="18"/>
      <c r="C588" s="19"/>
      <c r="D588" s="20"/>
      <c r="E588" s="11"/>
      <c r="F588" s="11"/>
    </row>
    <row r="589">
      <c r="A589" s="18"/>
      <c r="B589" s="18"/>
      <c r="C589" s="19"/>
      <c r="D589" s="20"/>
      <c r="E589" s="11"/>
      <c r="F589" s="11"/>
    </row>
    <row r="590">
      <c r="A590" s="18"/>
      <c r="B590" s="18"/>
      <c r="C590" s="19"/>
      <c r="D590" s="20"/>
      <c r="E590" s="11"/>
      <c r="F590" s="11"/>
    </row>
    <row r="591">
      <c r="A591" s="18"/>
      <c r="B591" s="18"/>
      <c r="C591" s="19"/>
      <c r="D591" s="20"/>
      <c r="E591" s="11"/>
      <c r="F591" s="11"/>
    </row>
    <row r="592">
      <c r="A592" s="18"/>
      <c r="B592" s="18"/>
      <c r="C592" s="19"/>
      <c r="D592" s="20"/>
      <c r="E592" s="11"/>
      <c r="F592" s="11"/>
    </row>
    <row r="593">
      <c r="A593" s="18"/>
      <c r="B593" s="18"/>
      <c r="C593" s="19"/>
      <c r="D593" s="20"/>
      <c r="E593" s="11"/>
      <c r="F593" s="11"/>
    </row>
    <row r="594">
      <c r="A594" s="18"/>
      <c r="B594" s="18"/>
      <c r="C594" s="19"/>
      <c r="D594" s="20"/>
      <c r="E594" s="11"/>
      <c r="F594" s="11"/>
    </row>
    <row r="595">
      <c r="A595" s="18"/>
      <c r="B595" s="18"/>
      <c r="C595" s="19"/>
      <c r="D595" s="20"/>
      <c r="E595" s="11"/>
      <c r="F595" s="11"/>
    </row>
    <row r="596">
      <c r="A596" s="18"/>
      <c r="B596" s="18"/>
      <c r="C596" s="19"/>
      <c r="D596" s="20"/>
      <c r="E596" s="11"/>
      <c r="F596" s="11"/>
    </row>
    <row r="597">
      <c r="A597" s="18"/>
      <c r="B597" s="18"/>
      <c r="C597" s="19"/>
      <c r="D597" s="20"/>
      <c r="E597" s="11"/>
      <c r="F597" s="11"/>
    </row>
    <row r="598">
      <c r="A598" s="18"/>
      <c r="B598" s="18"/>
      <c r="C598" s="19"/>
      <c r="D598" s="20"/>
      <c r="E598" s="11"/>
      <c r="F598" s="11"/>
    </row>
    <row r="599">
      <c r="A599" s="18"/>
      <c r="B599" s="18"/>
      <c r="C599" s="19"/>
      <c r="D599" s="20"/>
      <c r="E599" s="11"/>
      <c r="F599" s="11"/>
    </row>
    <row r="600">
      <c r="A600" s="18"/>
      <c r="B600" s="18"/>
      <c r="C600" s="19"/>
      <c r="D600" s="20"/>
      <c r="E600" s="11"/>
      <c r="F600" s="11"/>
    </row>
    <row r="601">
      <c r="A601" s="18"/>
      <c r="B601" s="18"/>
      <c r="C601" s="19"/>
      <c r="D601" s="20"/>
      <c r="E601" s="11"/>
      <c r="F601" s="11"/>
    </row>
    <row r="602">
      <c r="A602" s="18"/>
      <c r="B602" s="18"/>
      <c r="C602" s="19"/>
      <c r="D602" s="20"/>
      <c r="E602" s="11"/>
      <c r="F602" s="11"/>
    </row>
    <row r="603">
      <c r="A603" s="18"/>
      <c r="B603" s="18"/>
      <c r="C603" s="19"/>
      <c r="D603" s="20"/>
      <c r="E603" s="11"/>
      <c r="F603" s="11"/>
    </row>
    <row r="604">
      <c r="A604" s="18"/>
      <c r="B604" s="18"/>
      <c r="C604" s="19"/>
      <c r="D604" s="20"/>
      <c r="E604" s="11"/>
      <c r="F604" s="11"/>
    </row>
    <row r="605">
      <c r="A605" s="18"/>
      <c r="B605" s="18"/>
      <c r="C605" s="19"/>
      <c r="D605" s="20"/>
      <c r="E605" s="11"/>
      <c r="F605" s="11"/>
    </row>
    <row r="606">
      <c r="A606" s="18"/>
      <c r="B606" s="18"/>
      <c r="C606" s="19"/>
      <c r="D606" s="20"/>
      <c r="E606" s="11"/>
      <c r="F606" s="11"/>
    </row>
    <row r="607">
      <c r="A607" s="18"/>
      <c r="B607" s="18"/>
      <c r="C607" s="19"/>
      <c r="D607" s="20"/>
      <c r="E607" s="11"/>
      <c r="F607" s="11"/>
    </row>
    <row r="608">
      <c r="A608" s="18"/>
      <c r="B608" s="18"/>
      <c r="C608" s="19"/>
      <c r="D608" s="20"/>
      <c r="E608" s="11"/>
      <c r="F608" s="11"/>
    </row>
    <row r="609">
      <c r="A609" s="18"/>
      <c r="B609" s="18"/>
      <c r="C609" s="19"/>
      <c r="D609" s="20"/>
      <c r="E609" s="11"/>
      <c r="F609" s="11"/>
    </row>
    <row r="610">
      <c r="A610" s="18"/>
      <c r="B610" s="18"/>
      <c r="C610" s="19"/>
      <c r="D610" s="20"/>
      <c r="E610" s="11"/>
      <c r="F610" s="11"/>
    </row>
    <row r="611">
      <c r="A611" s="18"/>
      <c r="B611" s="18"/>
      <c r="C611" s="19"/>
      <c r="D611" s="20"/>
      <c r="E611" s="11"/>
      <c r="F611" s="11"/>
    </row>
    <row r="612">
      <c r="A612" s="18"/>
      <c r="B612" s="18"/>
      <c r="C612" s="19"/>
      <c r="D612" s="20"/>
      <c r="E612" s="11"/>
      <c r="F612" s="11"/>
    </row>
    <row r="613">
      <c r="A613" s="18"/>
      <c r="B613" s="18"/>
      <c r="C613" s="19"/>
      <c r="D613" s="20"/>
      <c r="E613" s="11"/>
      <c r="F613" s="11"/>
    </row>
    <row r="614">
      <c r="A614" s="18"/>
      <c r="B614" s="18"/>
      <c r="C614" s="19"/>
      <c r="D614" s="20"/>
      <c r="E614" s="11"/>
      <c r="F614" s="11"/>
    </row>
    <row r="615">
      <c r="A615" s="18"/>
      <c r="B615" s="18"/>
      <c r="C615" s="19"/>
      <c r="D615" s="20"/>
      <c r="E615" s="11"/>
      <c r="F615" s="11"/>
    </row>
    <row r="616">
      <c r="A616" s="18"/>
      <c r="B616" s="18"/>
      <c r="C616" s="19"/>
      <c r="D616" s="20"/>
      <c r="E616" s="11"/>
      <c r="F616" s="11"/>
    </row>
    <row r="617">
      <c r="A617" s="18"/>
      <c r="B617" s="18"/>
      <c r="C617" s="19"/>
      <c r="D617" s="20"/>
      <c r="E617" s="11"/>
      <c r="F617" s="11"/>
    </row>
    <row r="618">
      <c r="A618" s="18"/>
      <c r="B618" s="18"/>
      <c r="C618" s="19"/>
      <c r="D618" s="20"/>
      <c r="E618" s="11"/>
      <c r="F618" s="11"/>
    </row>
    <row r="619">
      <c r="A619" s="18"/>
      <c r="B619" s="18"/>
      <c r="C619" s="19"/>
      <c r="D619" s="20"/>
      <c r="E619" s="11"/>
      <c r="F619" s="11"/>
    </row>
    <row r="620">
      <c r="A620" s="18"/>
      <c r="B620" s="18"/>
      <c r="C620" s="19"/>
      <c r="D620" s="20"/>
      <c r="E620" s="11"/>
      <c r="F620" s="11"/>
    </row>
    <row r="621">
      <c r="A621" s="18"/>
      <c r="B621" s="18"/>
      <c r="C621" s="19"/>
      <c r="D621" s="20"/>
      <c r="E621" s="11"/>
      <c r="F621" s="11"/>
    </row>
    <row r="622">
      <c r="A622" s="18"/>
      <c r="B622" s="18"/>
      <c r="C622" s="19"/>
      <c r="D622" s="20"/>
      <c r="E622" s="11"/>
      <c r="F622" s="11"/>
    </row>
    <row r="623">
      <c r="A623" s="18"/>
      <c r="B623" s="18"/>
      <c r="C623" s="19"/>
      <c r="D623" s="20"/>
      <c r="E623" s="11"/>
      <c r="F623" s="11"/>
    </row>
    <row r="624">
      <c r="A624" s="18"/>
      <c r="B624" s="18"/>
      <c r="C624" s="19"/>
      <c r="D624" s="20"/>
      <c r="E624" s="11"/>
      <c r="F624" s="11"/>
    </row>
    <row r="625">
      <c r="A625" s="18"/>
      <c r="B625" s="18"/>
      <c r="C625" s="19"/>
      <c r="D625" s="20"/>
      <c r="E625" s="11"/>
      <c r="F625" s="11"/>
    </row>
    <row r="626">
      <c r="A626" s="18"/>
      <c r="B626" s="18"/>
      <c r="C626" s="19"/>
      <c r="D626" s="20"/>
      <c r="E626" s="11"/>
      <c r="F626" s="11"/>
    </row>
    <row r="627">
      <c r="A627" s="18"/>
      <c r="B627" s="18"/>
      <c r="C627" s="19"/>
      <c r="D627" s="20"/>
      <c r="E627" s="11"/>
      <c r="F627" s="11"/>
    </row>
    <row r="628">
      <c r="A628" s="18"/>
      <c r="B628" s="18"/>
      <c r="C628" s="19"/>
      <c r="D628" s="20"/>
      <c r="E628" s="11"/>
      <c r="F628" s="11"/>
    </row>
    <row r="629">
      <c r="A629" s="18"/>
      <c r="B629" s="18"/>
      <c r="C629" s="19"/>
      <c r="D629" s="20"/>
      <c r="E629" s="11"/>
      <c r="F629" s="11"/>
    </row>
    <row r="630">
      <c r="A630" s="18"/>
      <c r="B630" s="18"/>
      <c r="C630" s="19"/>
      <c r="D630" s="20"/>
      <c r="E630" s="11"/>
      <c r="F630" s="11"/>
    </row>
    <row r="631">
      <c r="A631" s="18"/>
      <c r="B631" s="18"/>
      <c r="C631" s="19"/>
      <c r="D631" s="20"/>
      <c r="E631" s="11"/>
      <c r="F631" s="11"/>
    </row>
    <row r="632">
      <c r="A632" s="18"/>
      <c r="B632" s="18"/>
      <c r="C632" s="19"/>
      <c r="D632" s="20"/>
      <c r="E632" s="11"/>
      <c r="F632" s="11"/>
    </row>
    <row r="633">
      <c r="A633" s="18"/>
      <c r="B633" s="18"/>
      <c r="C633" s="19"/>
      <c r="D633" s="20"/>
      <c r="E633" s="11"/>
      <c r="F633" s="11"/>
    </row>
    <row r="634">
      <c r="A634" s="18"/>
      <c r="B634" s="18"/>
      <c r="C634" s="19"/>
      <c r="D634" s="20"/>
      <c r="E634" s="11"/>
      <c r="F634" s="11"/>
    </row>
    <row r="635">
      <c r="A635" s="18"/>
      <c r="B635" s="18"/>
      <c r="C635" s="19"/>
      <c r="D635" s="20"/>
      <c r="E635" s="11"/>
      <c r="F635" s="11"/>
    </row>
    <row r="636">
      <c r="A636" s="18"/>
      <c r="B636" s="18"/>
      <c r="C636" s="19"/>
      <c r="D636" s="20"/>
      <c r="E636" s="11"/>
      <c r="F636" s="11"/>
    </row>
    <row r="637">
      <c r="A637" s="18"/>
      <c r="B637" s="18"/>
      <c r="C637" s="19"/>
      <c r="D637" s="20"/>
      <c r="E637" s="11"/>
      <c r="F637" s="11"/>
    </row>
    <row r="638">
      <c r="A638" s="18"/>
      <c r="B638" s="18"/>
      <c r="C638" s="19"/>
      <c r="D638" s="20"/>
      <c r="E638" s="11"/>
      <c r="F638" s="11"/>
    </row>
    <row r="639">
      <c r="A639" s="18"/>
      <c r="B639" s="18"/>
      <c r="C639" s="19"/>
      <c r="D639" s="20"/>
      <c r="E639" s="11"/>
      <c r="F639" s="11"/>
    </row>
    <row r="640">
      <c r="A640" s="18"/>
      <c r="B640" s="18"/>
      <c r="C640" s="19"/>
      <c r="D640" s="20"/>
      <c r="E640" s="11"/>
      <c r="F640" s="11"/>
    </row>
    <row r="641">
      <c r="A641" s="18"/>
      <c r="B641" s="18"/>
      <c r="C641" s="19"/>
      <c r="D641" s="20"/>
      <c r="E641" s="11"/>
      <c r="F641" s="11"/>
    </row>
    <row r="642">
      <c r="A642" s="18"/>
      <c r="B642" s="18"/>
      <c r="C642" s="19"/>
      <c r="D642" s="20"/>
      <c r="E642" s="11"/>
      <c r="F642" s="11"/>
    </row>
    <row r="643">
      <c r="A643" s="18"/>
      <c r="B643" s="18"/>
      <c r="C643" s="19"/>
      <c r="D643" s="20"/>
      <c r="E643" s="11"/>
      <c r="F643" s="11"/>
    </row>
    <row r="644">
      <c r="A644" s="18"/>
      <c r="B644" s="18"/>
      <c r="C644" s="19"/>
      <c r="D644" s="20"/>
      <c r="E644" s="11"/>
      <c r="F644" s="11"/>
    </row>
    <row r="645">
      <c r="A645" s="18"/>
      <c r="B645" s="18"/>
      <c r="C645" s="19"/>
      <c r="D645" s="20"/>
      <c r="E645" s="11"/>
      <c r="F645" s="11"/>
    </row>
    <row r="646">
      <c r="A646" s="18"/>
      <c r="B646" s="18"/>
      <c r="C646" s="19"/>
      <c r="D646" s="20"/>
      <c r="E646" s="11"/>
      <c r="F646" s="11"/>
    </row>
    <row r="647">
      <c r="A647" s="18"/>
      <c r="B647" s="18"/>
      <c r="C647" s="19"/>
      <c r="D647" s="20"/>
      <c r="E647" s="11"/>
      <c r="F647" s="11"/>
    </row>
    <row r="648">
      <c r="A648" s="18"/>
      <c r="B648" s="18"/>
      <c r="C648" s="19"/>
      <c r="D648" s="20"/>
      <c r="E648" s="11"/>
      <c r="F648" s="11"/>
    </row>
    <row r="649">
      <c r="A649" s="18"/>
      <c r="B649" s="18"/>
      <c r="C649" s="19"/>
      <c r="D649" s="20"/>
      <c r="E649" s="11"/>
      <c r="F649" s="11"/>
    </row>
    <row r="650">
      <c r="A650" s="18"/>
      <c r="B650" s="18"/>
      <c r="C650" s="19"/>
      <c r="D650" s="20"/>
      <c r="E650" s="11"/>
      <c r="F650" s="11"/>
    </row>
    <row r="651">
      <c r="A651" s="18"/>
      <c r="B651" s="18"/>
      <c r="C651" s="19"/>
      <c r="D651" s="20"/>
      <c r="E651" s="11"/>
      <c r="F651" s="11"/>
    </row>
    <row r="652">
      <c r="A652" s="18"/>
      <c r="B652" s="18"/>
      <c r="C652" s="19"/>
      <c r="D652" s="20"/>
      <c r="E652" s="11"/>
      <c r="F652" s="11"/>
    </row>
    <row r="653">
      <c r="A653" s="18"/>
      <c r="B653" s="18"/>
      <c r="C653" s="19"/>
      <c r="D653" s="20"/>
      <c r="E653" s="11"/>
      <c r="F653" s="11"/>
    </row>
    <row r="654">
      <c r="A654" s="18"/>
      <c r="B654" s="18"/>
      <c r="C654" s="19"/>
      <c r="D654" s="20"/>
      <c r="E654" s="11"/>
      <c r="F654" s="11"/>
    </row>
    <row r="655">
      <c r="A655" s="18"/>
      <c r="B655" s="18"/>
      <c r="C655" s="19"/>
      <c r="D655" s="20"/>
      <c r="E655" s="11"/>
      <c r="F655" s="11"/>
    </row>
    <row r="656">
      <c r="A656" s="18"/>
      <c r="B656" s="18"/>
      <c r="C656" s="19"/>
      <c r="D656" s="20"/>
      <c r="E656" s="11"/>
      <c r="F656" s="11"/>
    </row>
    <row r="657">
      <c r="A657" s="18"/>
      <c r="B657" s="18"/>
      <c r="C657" s="19"/>
      <c r="D657" s="20"/>
      <c r="E657" s="11"/>
      <c r="F657" s="11"/>
    </row>
    <row r="658">
      <c r="A658" s="18"/>
      <c r="B658" s="18"/>
      <c r="C658" s="19"/>
      <c r="D658" s="20"/>
      <c r="E658" s="11"/>
      <c r="F658" s="11"/>
    </row>
    <row r="659">
      <c r="A659" s="18"/>
      <c r="B659" s="18"/>
      <c r="C659" s="19"/>
      <c r="D659" s="20"/>
      <c r="E659" s="11"/>
      <c r="F659" s="11"/>
    </row>
    <row r="660">
      <c r="A660" s="18"/>
      <c r="B660" s="18"/>
      <c r="C660" s="19"/>
      <c r="D660" s="20"/>
      <c r="E660" s="11"/>
      <c r="F660" s="11"/>
    </row>
    <row r="661">
      <c r="A661" s="18"/>
      <c r="B661" s="18"/>
      <c r="C661" s="19"/>
      <c r="D661" s="20"/>
      <c r="E661" s="11"/>
      <c r="F661" s="11"/>
    </row>
    <row r="662">
      <c r="A662" s="18"/>
      <c r="B662" s="18"/>
      <c r="C662" s="19"/>
      <c r="D662" s="20"/>
      <c r="E662" s="11"/>
      <c r="F662" s="11"/>
    </row>
    <row r="663">
      <c r="A663" s="18"/>
      <c r="B663" s="18"/>
      <c r="C663" s="19"/>
      <c r="D663" s="20"/>
      <c r="E663" s="11"/>
      <c r="F663" s="11"/>
    </row>
    <row r="664">
      <c r="A664" s="18"/>
      <c r="B664" s="18"/>
      <c r="C664" s="19"/>
      <c r="D664" s="20"/>
      <c r="E664" s="11"/>
      <c r="F664" s="11"/>
    </row>
    <row r="665">
      <c r="A665" s="18"/>
      <c r="B665" s="18"/>
      <c r="C665" s="19"/>
      <c r="D665" s="20"/>
      <c r="E665" s="11"/>
      <c r="F665" s="11"/>
    </row>
    <row r="666">
      <c r="A666" s="18"/>
      <c r="B666" s="18"/>
      <c r="C666" s="19"/>
      <c r="D666" s="20"/>
      <c r="E666" s="11"/>
      <c r="F666" s="11"/>
    </row>
    <row r="667">
      <c r="A667" s="18"/>
      <c r="B667" s="18"/>
      <c r="C667" s="19"/>
      <c r="D667" s="20"/>
      <c r="E667" s="11"/>
      <c r="F667" s="11"/>
    </row>
    <row r="668">
      <c r="A668" s="18"/>
      <c r="B668" s="18"/>
      <c r="C668" s="19"/>
      <c r="D668" s="20"/>
      <c r="E668" s="11"/>
      <c r="F668" s="11"/>
    </row>
    <row r="669">
      <c r="A669" s="18"/>
      <c r="B669" s="18"/>
      <c r="C669" s="19"/>
      <c r="D669" s="20"/>
      <c r="E669" s="11"/>
      <c r="F669" s="11"/>
    </row>
    <row r="670">
      <c r="A670" s="18"/>
      <c r="B670" s="18"/>
      <c r="C670" s="19"/>
      <c r="D670" s="20"/>
      <c r="E670" s="11"/>
      <c r="F670" s="11"/>
    </row>
    <row r="671">
      <c r="A671" s="18"/>
      <c r="B671" s="18"/>
      <c r="C671" s="19"/>
      <c r="D671" s="20"/>
      <c r="E671" s="11"/>
      <c r="F671" s="11"/>
    </row>
    <row r="672">
      <c r="A672" s="18"/>
      <c r="B672" s="18"/>
      <c r="C672" s="19"/>
      <c r="D672" s="20"/>
      <c r="E672" s="11"/>
      <c r="F672" s="11"/>
    </row>
    <row r="673">
      <c r="A673" s="18"/>
      <c r="B673" s="18"/>
      <c r="C673" s="19"/>
      <c r="D673" s="20"/>
      <c r="E673" s="11"/>
      <c r="F673" s="11"/>
    </row>
    <row r="674">
      <c r="A674" s="18"/>
      <c r="B674" s="18"/>
      <c r="C674" s="19"/>
      <c r="D674" s="20"/>
      <c r="E674" s="11"/>
      <c r="F674" s="11"/>
    </row>
    <row r="675">
      <c r="A675" s="18"/>
      <c r="B675" s="18"/>
      <c r="C675" s="19"/>
      <c r="D675" s="20"/>
      <c r="E675" s="11"/>
      <c r="F675" s="11"/>
    </row>
    <row r="676">
      <c r="A676" s="18"/>
      <c r="B676" s="18"/>
      <c r="C676" s="19"/>
      <c r="D676" s="20"/>
      <c r="E676" s="11"/>
      <c r="F676" s="11"/>
    </row>
    <row r="677">
      <c r="A677" s="18"/>
      <c r="B677" s="18"/>
      <c r="C677" s="19"/>
      <c r="D677" s="20"/>
      <c r="E677" s="11"/>
      <c r="F677" s="11"/>
    </row>
    <row r="678">
      <c r="A678" s="18"/>
      <c r="B678" s="18"/>
      <c r="C678" s="19"/>
      <c r="D678" s="20"/>
      <c r="E678" s="11"/>
      <c r="F678" s="11"/>
    </row>
    <row r="679">
      <c r="A679" s="18"/>
      <c r="B679" s="18"/>
      <c r="C679" s="19"/>
      <c r="D679" s="20"/>
      <c r="E679" s="11"/>
      <c r="F679" s="11"/>
    </row>
    <row r="680">
      <c r="A680" s="18"/>
      <c r="B680" s="18"/>
      <c r="C680" s="19"/>
      <c r="D680" s="20"/>
      <c r="E680" s="11"/>
      <c r="F680" s="11"/>
    </row>
    <row r="681">
      <c r="A681" s="18"/>
      <c r="B681" s="18"/>
      <c r="C681" s="19"/>
      <c r="D681" s="20"/>
      <c r="E681" s="11"/>
      <c r="F681" s="11"/>
    </row>
    <row r="682">
      <c r="A682" s="18"/>
      <c r="B682" s="18"/>
      <c r="C682" s="19"/>
      <c r="D682" s="20"/>
      <c r="E682" s="11"/>
      <c r="F682" s="11"/>
    </row>
    <row r="683">
      <c r="A683" s="18"/>
      <c r="B683" s="18"/>
      <c r="C683" s="19"/>
      <c r="D683" s="20"/>
      <c r="E683" s="11"/>
      <c r="F683" s="11"/>
    </row>
    <row r="684">
      <c r="A684" s="18"/>
      <c r="B684" s="18"/>
      <c r="C684" s="19"/>
      <c r="D684" s="20"/>
      <c r="E684" s="11"/>
      <c r="F684" s="11"/>
    </row>
    <row r="685">
      <c r="A685" s="18"/>
      <c r="B685" s="18"/>
      <c r="C685" s="19"/>
      <c r="D685" s="20"/>
      <c r="E685" s="11"/>
      <c r="F685" s="11"/>
    </row>
    <row r="686">
      <c r="A686" s="18"/>
      <c r="B686" s="18"/>
      <c r="C686" s="19"/>
      <c r="D686" s="20"/>
      <c r="E686" s="11"/>
      <c r="F686" s="11"/>
    </row>
    <row r="687">
      <c r="A687" s="18"/>
      <c r="B687" s="18"/>
      <c r="C687" s="19"/>
      <c r="D687" s="20"/>
      <c r="E687" s="11"/>
      <c r="F687" s="11"/>
    </row>
    <row r="688">
      <c r="A688" s="18"/>
      <c r="B688" s="18"/>
      <c r="C688" s="19"/>
      <c r="D688" s="20"/>
      <c r="E688" s="11"/>
      <c r="F688" s="11"/>
    </row>
    <row r="689">
      <c r="A689" s="18"/>
      <c r="B689" s="18"/>
      <c r="C689" s="19"/>
      <c r="D689" s="20"/>
      <c r="E689" s="11"/>
      <c r="F689" s="11"/>
    </row>
    <row r="690">
      <c r="A690" s="18"/>
      <c r="B690" s="18"/>
      <c r="C690" s="19"/>
      <c r="D690" s="20"/>
      <c r="E690" s="11"/>
      <c r="F690" s="11"/>
    </row>
    <row r="691">
      <c r="A691" s="18"/>
      <c r="B691" s="18"/>
      <c r="C691" s="19"/>
      <c r="D691" s="20"/>
      <c r="E691" s="11"/>
      <c r="F691" s="11"/>
    </row>
    <row r="692">
      <c r="A692" s="18"/>
      <c r="B692" s="18"/>
      <c r="C692" s="19"/>
      <c r="D692" s="20"/>
      <c r="E692" s="11"/>
      <c r="F692" s="11"/>
    </row>
    <row r="693">
      <c r="A693" s="18"/>
      <c r="B693" s="18"/>
      <c r="C693" s="19"/>
      <c r="D693" s="20"/>
      <c r="E693" s="11"/>
      <c r="F693" s="11"/>
    </row>
    <row r="694">
      <c r="A694" s="18"/>
      <c r="B694" s="18"/>
      <c r="C694" s="19"/>
      <c r="D694" s="20"/>
      <c r="E694" s="11"/>
      <c r="F694" s="11"/>
    </row>
    <row r="695">
      <c r="A695" s="18"/>
      <c r="B695" s="18"/>
      <c r="C695" s="19"/>
      <c r="D695" s="20"/>
      <c r="E695" s="11"/>
      <c r="F695" s="11"/>
    </row>
    <row r="696">
      <c r="A696" s="18"/>
      <c r="B696" s="18"/>
      <c r="C696" s="19"/>
      <c r="D696" s="20"/>
      <c r="E696" s="11"/>
      <c r="F696" s="11"/>
    </row>
    <row r="697">
      <c r="A697" s="18"/>
      <c r="B697" s="18"/>
      <c r="C697" s="19"/>
      <c r="D697" s="20"/>
      <c r="E697" s="11"/>
      <c r="F697" s="11"/>
    </row>
    <row r="698">
      <c r="A698" s="18"/>
      <c r="B698" s="18"/>
      <c r="C698" s="19"/>
      <c r="D698" s="20"/>
      <c r="E698" s="11"/>
      <c r="F698" s="11"/>
    </row>
    <row r="699">
      <c r="A699" s="18"/>
      <c r="B699" s="18"/>
      <c r="C699" s="19"/>
      <c r="D699" s="20"/>
      <c r="E699" s="11"/>
      <c r="F699" s="11"/>
    </row>
    <row r="700">
      <c r="A700" s="18"/>
      <c r="B700" s="18"/>
      <c r="C700" s="19"/>
      <c r="D700" s="20"/>
      <c r="E700" s="11"/>
      <c r="F700" s="11"/>
    </row>
    <row r="701">
      <c r="A701" s="18"/>
      <c r="B701" s="18"/>
      <c r="C701" s="19"/>
      <c r="D701" s="20"/>
      <c r="E701" s="11"/>
      <c r="F701" s="11"/>
    </row>
    <row r="702">
      <c r="A702" s="18"/>
      <c r="B702" s="18"/>
      <c r="C702" s="19"/>
      <c r="D702" s="20"/>
      <c r="E702" s="11"/>
      <c r="F702" s="11"/>
    </row>
    <row r="703">
      <c r="A703" s="18"/>
      <c r="B703" s="18"/>
      <c r="C703" s="19"/>
      <c r="D703" s="20"/>
      <c r="E703" s="11"/>
      <c r="F703" s="11"/>
    </row>
    <row r="704">
      <c r="A704" s="18"/>
      <c r="B704" s="18"/>
      <c r="C704" s="19"/>
      <c r="D704" s="20"/>
      <c r="E704" s="11"/>
      <c r="F704" s="11"/>
    </row>
    <row r="705">
      <c r="A705" s="18"/>
      <c r="B705" s="18"/>
      <c r="C705" s="19"/>
      <c r="D705" s="20"/>
      <c r="E705" s="11"/>
      <c r="F705" s="11"/>
    </row>
    <row r="706">
      <c r="A706" s="18"/>
      <c r="B706" s="18"/>
      <c r="C706" s="19"/>
      <c r="D706" s="20"/>
      <c r="E706" s="11"/>
      <c r="F706" s="11"/>
    </row>
    <row r="707">
      <c r="A707" s="18"/>
      <c r="B707" s="18"/>
      <c r="C707" s="19"/>
      <c r="D707" s="20"/>
      <c r="E707" s="11"/>
      <c r="F707" s="11"/>
    </row>
    <row r="708">
      <c r="A708" s="18"/>
      <c r="B708" s="18"/>
      <c r="C708" s="19"/>
      <c r="D708" s="20"/>
      <c r="E708" s="11"/>
      <c r="F708" s="11"/>
    </row>
    <row r="709">
      <c r="A709" s="18"/>
      <c r="B709" s="18"/>
      <c r="C709" s="19"/>
      <c r="D709" s="20"/>
      <c r="E709" s="11"/>
      <c r="F709" s="11"/>
    </row>
    <row r="710">
      <c r="A710" s="18"/>
      <c r="B710" s="18"/>
      <c r="C710" s="19"/>
      <c r="D710" s="20"/>
      <c r="E710" s="11"/>
      <c r="F710" s="11"/>
    </row>
    <row r="711">
      <c r="A711" s="18"/>
      <c r="B711" s="18"/>
      <c r="C711" s="19"/>
      <c r="D711" s="20"/>
      <c r="E711" s="11"/>
      <c r="F711" s="11"/>
    </row>
    <row r="712">
      <c r="A712" s="18"/>
      <c r="B712" s="18"/>
      <c r="C712" s="19"/>
      <c r="D712" s="20"/>
      <c r="E712" s="11"/>
      <c r="F712" s="11"/>
    </row>
    <row r="713">
      <c r="A713" s="18"/>
      <c r="B713" s="18"/>
      <c r="C713" s="19"/>
      <c r="D713" s="20"/>
      <c r="E713" s="11"/>
      <c r="F713" s="11"/>
    </row>
    <row r="714">
      <c r="A714" s="18"/>
      <c r="B714" s="18"/>
      <c r="C714" s="19"/>
      <c r="D714" s="20"/>
      <c r="E714" s="11"/>
      <c r="F714" s="11"/>
    </row>
    <row r="715">
      <c r="A715" s="18"/>
      <c r="B715" s="18"/>
      <c r="C715" s="19"/>
      <c r="D715" s="20"/>
      <c r="E715" s="11"/>
      <c r="F715" s="11"/>
    </row>
    <row r="716">
      <c r="A716" s="18"/>
      <c r="B716" s="18"/>
      <c r="C716" s="19"/>
      <c r="D716" s="20"/>
      <c r="E716" s="11"/>
      <c r="F716" s="11"/>
    </row>
    <row r="717">
      <c r="A717" s="18"/>
      <c r="B717" s="18"/>
      <c r="C717" s="19"/>
      <c r="D717" s="20"/>
      <c r="E717" s="11"/>
      <c r="F717" s="11"/>
    </row>
    <row r="718">
      <c r="A718" s="18"/>
      <c r="B718" s="18"/>
      <c r="C718" s="19"/>
      <c r="D718" s="20"/>
      <c r="E718" s="11"/>
      <c r="F718" s="11"/>
    </row>
    <row r="719">
      <c r="A719" s="18"/>
      <c r="B719" s="18"/>
      <c r="C719" s="19"/>
      <c r="D719" s="20"/>
      <c r="E719" s="11"/>
      <c r="F719" s="11"/>
    </row>
    <row r="720">
      <c r="A720" s="18"/>
      <c r="B720" s="18"/>
      <c r="C720" s="19"/>
      <c r="D720" s="20"/>
      <c r="E720" s="11"/>
      <c r="F720" s="11"/>
    </row>
    <row r="721">
      <c r="A721" s="18"/>
      <c r="B721" s="18"/>
      <c r="C721" s="19"/>
      <c r="D721" s="20"/>
      <c r="E721" s="11"/>
      <c r="F721" s="11"/>
    </row>
    <row r="722">
      <c r="A722" s="18"/>
      <c r="B722" s="18"/>
      <c r="C722" s="19"/>
      <c r="D722" s="20"/>
      <c r="E722" s="11"/>
      <c r="F722" s="11"/>
    </row>
    <row r="723">
      <c r="A723" s="18"/>
      <c r="B723" s="18"/>
      <c r="C723" s="19"/>
      <c r="D723" s="20"/>
      <c r="E723" s="11"/>
      <c r="F723" s="11"/>
    </row>
    <row r="724">
      <c r="A724" s="18"/>
      <c r="B724" s="18"/>
      <c r="C724" s="19"/>
      <c r="D724" s="20"/>
      <c r="E724" s="11"/>
      <c r="F724" s="11"/>
    </row>
    <row r="725">
      <c r="A725" s="18"/>
      <c r="B725" s="18"/>
      <c r="C725" s="19"/>
      <c r="D725" s="20"/>
      <c r="E725" s="11"/>
      <c r="F725" s="11"/>
    </row>
    <row r="726">
      <c r="A726" s="18"/>
      <c r="B726" s="18"/>
      <c r="C726" s="19"/>
      <c r="D726" s="20"/>
      <c r="E726" s="11"/>
      <c r="F726" s="11"/>
    </row>
    <row r="727">
      <c r="A727" s="18"/>
      <c r="B727" s="18"/>
      <c r="C727" s="19"/>
      <c r="D727" s="20"/>
      <c r="E727" s="11"/>
      <c r="F727" s="11"/>
    </row>
    <row r="728">
      <c r="A728" s="18"/>
      <c r="B728" s="18"/>
      <c r="C728" s="19"/>
      <c r="D728" s="20"/>
      <c r="E728" s="11"/>
      <c r="F728" s="11"/>
    </row>
    <row r="729">
      <c r="A729" s="18"/>
      <c r="B729" s="18"/>
      <c r="C729" s="19"/>
      <c r="D729" s="20"/>
      <c r="E729" s="11"/>
      <c r="F729" s="11"/>
    </row>
    <row r="730">
      <c r="A730" s="18"/>
      <c r="B730" s="18"/>
      <c r="C730" s="19"/>
      <c r="D730" s="20"/>
      <c r="E730" s="11"/>
      <c r="F730" s="11"/>
    </row>
    <row r="731">
      <c r="A731" s="18"/>
      <c r="B731" s="18"/>
      <c r="C731" s="19"/>
      <c r="D731" s="20"/>
      <c r="E731" s="11"/>
      <c r="F731" s="11"/>
    </row>
    <row r="732">
      <c r="A732" s="18"/>
      <c r="B732" s="18"/>
      <c r="C732" s="19"/>
      <c r="D732" s="20"/>
      <c r="E732" s="11"/>
      <c r="F732" s="11"/>
    </row>
    <row r="733">
      <c r="A733" s="18"/>
      <c r="B733" s="18"/>
      <c r="C733" s="19"/>
      <c r="D733" s="20"/>
      <c r="E733" s="11"/>
      <c r="F733" s="11"/>
    </row>
    <row r="734">
      <c r="A734" s="18"/>
      <c r="B734" s="18"/>
      <c r="C734" s="19"/>
      <c r="D734" s="20"/>
      <c r="E734" s="11"/>
      <c r="F734" s="11"/>
    </row>
    <row r="735">
      <c r="A735" s="18"/>
      <c r="B735" s="18"/>
      <c r="C735" s="19"/>
      <c r="D735" s="20"/>
      <c r="E735" s="11"/>
      <c r="F735" s="11"/>
    </row>
    <row r="736">
      <c r="A736" s="18"/>
      <c r="B736" s="18"/>
      <c r="C736" s="19"/>
      <c r="D736" s="20"/>
      <c r="E736" s="11"/>
      <c r="F736" s="11"/>
    </row>
    <row r="737">
      <c r="A737" s="18"/>
      <c r="B737" s="18"/>
      <c r="C737" s="19"/>
      <c r="D737" s="20"/>
      <c r="E737" s="11"/>
      <c r="F737" s="11"/>
    </row>
    <row r="738">
      <c r="A738" s="18"/>
      <c r="B738" s="18"/>
      <c r="C738" s="19"/>
      <c r="D738" s="20"/>
      <c r="E738" s="11"/>
      <c r="F738" s="11"/>
    </row>
    <row r="739">
      <c r="A739" s="18"/>
      <c r="B739" s="18"/>
      <c r="C739" s="19"/>
      <c r="D739" s="20"/>
      <c r="E739" s="11"/>
      <c r="F739" s="11"/>
    </row>
    <row r="740">
      <c r="A740" s="18"/>
      <c r="B740" s="18"/>
      <c r="C740" s="19"/>
      <c r="D740" s="20"/>
      <c r="E740" s="11"/>
      <c r="F740" s="11"/>
    </row>
    <row r="741">
      <c r="A741" s="18"/>
      <c r="B741" s="18"/>
      <c r="C741" s="19"/>
      <c r="D741" s="20"/>
      <c r="E741" s="11"/>
      <c r="F741" s="11"/>
    </row>
    <row r="742">
      <c r="A742" s="18"/>
      <c r="B742" s="18"/>
      <c r="C742" s="19"/>
      <c r="D742" s="20"/>
      <c r="E742" s="11"/>
      <c r="F742" s="11"/>
    </row>
    <row r="743">
      <c r="A743" s="18"/>
      <c r="B743" s="18"/>
      <c r="C743" s="19"/>
      <c r="D743" s="20"/>
      <c r="E743" s="11"/>
      <c r="F743" s="11"/>
    </row>
    <row r="744">
      <c r="A744" s="18"/>
      <c r="B744" s="18"/>
      <c r="C744" s="19"/>
      <c r="D744" s="20"/>
      <c r="E744" s="11"/>
      <c r="F744" s="11"/>
    </row>
    <row r="745">
      <c r="A745" s="18"/>
      <c r="B745" s="18"/>
      <c r="C745" s="19"/>
      <c r="D745" s="20"/>
      <c r="E745" s="11"/>
      <c r="F745" s="11"/>
    </row>
    <row r="746">
      <c r="A746" s="18"/>
      <c r="B746" s="18"/>
      <c r="C746" s="19"/>
      <c r="D746" s="20"/>
      <c r="E746" s="11"/>
      <c r="F746" s="11"/>
    </row>
    <row r="747">
      <c r="A747" s="18"/>
      <c r="B747" s="18"/>
      <c r="C747" s="19"/>
      <c r="D747" s="20"/>
      <c r="E747" s="11"/>
      <c r="F747" s="11"/>
    </row>
    <row r="748">
      <c r="A748" s="18"/>
      <c r="B748" s="18"/>
      <c r="C748" s="19"/>
      <c r="D748" s="20"/>
      <c r="E748" s="11"/>
      <c r="F748" s="11"/>
    </row>
    <row r="749">
      <c r="A749" s="18"/>
      <c r="B749" s="18"/>
      <c r="C749" s="19"/>
      <c r="D749" s="20"/>
      <c r="E749" s="11"/>
      <c r="F749" s="11"/>
    </row>
    <row r="750">
      <c r="A750" s="18"/>
      <c r="B750" s="18"/>
      <c r="C750" s="19"/>
      <c r="D750" s="20"/>
      <c r="E750" s="11"/>
      <c r="F750" s="11"/>
    </row>
    <row r="751">
      <c r="A751" s="18"/>
      <c r="B751" s="18"/>
      <c r="C751" s="19"/>
      <c r="D751" s="20"/>
      <c r="E751" s="11"/>
      <c r="F751" s="11"/>
    </row>
    <row r="752">
      <c r="A752" s="18"/>
      <c r="B752" s="18"/>
      <c r="C752" s="19"/>
      <c r="D752" s="20"/>
      <c r="E752" s="11"/>
      <c r="F752" s="11"/>
    </row>
    <row r="753">
      <c r="A753" s="18"/>
      <c r="B753" s="18"/>
      <c r="C753" s="19"/>
      <c r="D753" s="20"/>
      <c r="E753" s="11"/>
      <c r="F753" s="11"/>
    </row>
    <row r="754">
      <c r="A754" s="18"/>
      <c r="B754" s="18"/>
      <c r="C754" s="19"/>
      <c r="D754" s="20"/>
      <c r="E754" s="11"/>
      <c r="F754" s="11"/>
    </row>
    <row r="755">
      <c r="A755" s="18"/>
      <c r="B755" s="18"/>
      <c r="C755" s="19"/>
      <c r="D755" s="20"/>
      <c r="E755" s="11"/>
      <c r="F755" s="11"/>
    </row>
    <row r="756">
      <c r="A756" s="18"/>
      <c r="B756" s="18"/>
      <c r="C756" s="19"/>
      <c r="D756" s="20"/>
      <c r="E756" s="11"/>
      <c r="F756" s="11"/>
    </row>
    <row r="757">
      <c r="A757" s="18"/>
      <c r="B757" s="18"/>
      <c r="C757" s="19"/>
      <c r="D757" s="20"/>
      <c r="E757" s="11"/>
      <c r="F757" s="11"/>
    </row>
    <row r="758">
      <c r="A758" s="18"/>
      <c r="B758" s="18"/>
      <c r="C758" s="19"/>
      <c r="D758" s="20"/>
      <c r="E758" s="11"/>
      <c r="F758" s="11"/>
    </row>
    <row r="759">
      <c r="A759" s="18"/>
      <c r="B759" s="18"/>
      <c r="C759" s="19"/>
      <c r="D759" s="20"/>
      <c r="E759" s="11"/>
      <c r="F759" s="11"/>
    </row>
    <row r="760">
      <c r="A760" s="18"/>
      <c r="B760" s="18"/>
      <c r="C760" s="19"/>
      <c r="D760" s="20"/>
      <c r="E760" s="11"/>
      <c r="F760" s="11"/>
    </row>
    <row r="761">
      <c r="A761" s="18"/>
      <c r="B761" s="18"/>
      <c r="C761" s="19"/>
      <c r="D761" s="20"/>
      <c r="E761" s="11"/>
      <c r="F761" s="11"/>
    </row>
    <row r="762">
      <c r="A762" s="18"/>
      <c r="B762" s="18"/>
      <c r="C762" s="19"/>
      <c r="D762" s="20"/>
      <c r="E762" s="11"/>
      <c r="F762" s="11"/>
    </row>
    <row r="763">
      <c r="A763" s="18"/>
      <c r="B763" s="18"/>
      <c r="C763" s="19"/>
      <c r="D763" s="20"/>
      <c r="E763" s="11"/>
      <c r="F763" s="11"/>
    </row>
    <row r="764">
      <c r="A764" s="18"/>
      <c r="B764" s="18"/>
      <c r="C764" s="19"/>
      <c r="D764" s="20"/>
      <c r="E764" s="11"/>
      <c r="F764" s="11"/>
    </row>
    <row r="765">
      <c r="A765" s="18"/>
      <c r="B765" s="18"/>
      <c r="C765" s="19"/>
      <c r="D765" s="20"/>
      <c r="E765" s="11"/>
      <c r="F765" s="11"/>
    </row>
    <row r="766">
      <c r="A766" s="18"/>
      <c r="B766" s="18"/>
      <c r="C766" s="19"/>
      <c r="D766" s="20"/>
      <c r="E766" s="11"/>
      <c r="F766" s="11"/>
    </row>
    <row r="767">
      <c r="A767" s="18"/>
      <c r="B767" s="18"/>
      <c r="C767" s="19"/>
      <c r="D767" s="20"/>
      <c r="E767" s="11"/>
      <c r="F767" s="11"/>
    </row>
    <row r="768">
      <c r="A768" s="18"/>
      <c r="B768" s="18"/>
      <c r="C768" s="19"/>
      <c r="D768" s="20"/>
      <c r="E768" s="11"/>
      <c r="F768" s="11"/>
    </row>
    <row r="769">
      <c r="A769" s="18"/>
      <c r="B769" s="18"/>
      <c r="C769" s="19"/>
      <c r="D769" s="20"/>
      <c r="E769" s="11"/>
      <c r="F769" s="11"/>
    </row>
    <row r="770">
      <c r="A770" s="18"/>
      <c r="B770" s="18"/>
      <c r="C770" s="19"/>
      <c r="D770" s="20"/>
      <c r="E770" s="11"/>
      <c r="F770" s="11"/>
    </row>
    <row r="771">
      <c r="A771" s="18"/>
      <c r="B771" s="18"/>
      <c r="C771" s="19"/>
      <c r="D771" s="20"/>
      <c r="E771" s="11"/>
      <c r="F771" s="11"/>
    </row>
    <row r="772">
      <c r="A772" s="18"/>
      <c r="B772" s="18"/>
      <c r="C772" s="19"/>
      <c r="D772" s="20"/>
      <c r="E772" s="11"/>
      <c r="F772" s="11"/>
    </row>
    <row r="773">
      <c r="A773" s="18"/>
      <c r="B773" s="18"/>
      <c r="C773" s="19"/>
      <c r="D773" s="20"/>
      <c r="E773" s="11"/>
      <c r="F773" s="11"/>
    </row>
    <row r="774">
      <c r="A774" s="18"/>
      <c r="B774" s="18"/>
      <c r="C774" s="19"/>
      <c r="D774" s="20"/>
      <c r="E774" s="11"/>
      <c r="F774" s="11"/>
    </row>
    <row r="775">
      <c r="A775" s="18"/>
      <c r="B775" s="18"/>
      <c r="C775" s="19"/>
      <c r="D775" s="20"/>
      <c r="E775" s="11"/>
      <c r="F775" s="11"/>
    </row>
    <row r="776">
      <c r="A776" s="18"/>
      <c r="B776" s="18"/>
      <c r="C776" s="19"/>
      <c r="D776" s="20"/>
      <c r="E776" s="11"/>
      <c r="F776" s="11"/>
    </row>
    <row r="777">
      <c r="A777" s="18"/>
      <c r="B777" s="18"/>
      <c r="C777" s="19"/>
      <c r="D777" s="20"/>
      <c r="E777" s="11"/>
      <c r="F777" s="11"/>
    </row>
    <row r="778">
      <c r="A778" s="18"/>
      <c r="B778" s="18"/>
      <c r="C778" s="19"/>
      <c r="D778" s="20"/>
      <c r="E778" s="11"/>
      <c r="F778" s="11"/>
    </row>
    <row r="779">
      <c r="A779" s="18"/>
      <c r="B779" s="18"/>
      <c r="C779" s="19"/>
      <c r="D779" s="20"/>
      <c r="E779" s="11"/>
      <c r="F779" s="11"/>
    </row>
    <row r="780">
      <c r="A780" s="18"/>
      <c r="B780" s="18"/>
      <c r="C780" s="19"/>
      <c r="D780" s="20"/>
      <c r="E780" s="11"/>
      <c r="F780" s="11"/>
    </row>
    <row r="781">
      <c r="A781" s="18"/>
      <c r="B781" s="18"/>
      <c r="C781" s="19"/>
      <c r="D781" s="20"/>
      <c r="E781" s="11"/>
      <c r="F781" s="11"/>
    </row>
    <row r="782">
      <c r="A782" s="18"/>
      <c r="B782" s="18"/>
      <c r="C782" s="19"/>
      <c r="D782" s="20"/>
      <c r="E782" s="11"/>
      <c r="F782" s="11"/>
    </row>
    <row r="783">
      <c r="A783" s="18"/>
      <c r="B783" s="18"/>
      <c r="C783" s="19"/>
      <c r="D783" s="20"/>
      <c r="E783" s="11"/>
      <c r="F783" s="11"/>
    </row>
    <row r="784">
      <c r="A784" s="18"/>
      <c r="B784" s="18"/>
      <c r="C784" s="19"/>
      <c r="D784" s="20"/>
      <c r="E784" s="11"/>
      <c r="F784" s="11"/>
    </row>
    <row r="785">
      <c r="A785" s="18"/>
      <c r="B785" s="18"/>
      <c r="C785" s="19"/>
      <c r="D785" s="20"/>
      <c r="E785" s="11"/>
      <c r="F785" s="11"/>
    </row>
    <row r="786">
      <c r="A786" s="18"/>
      <c r="B786" s="18"/>
      <c r="C786" s="19"/>
      <c r="D786" s="20"/>
      <c r="E786" s="11"/>
      <c r="F786" s="11"/>
    </row>
    <row r="787">
      <c r="A787" s="18"/>
      <c r="B787" s="18"/>
      <c r="C787" s="19"/>
      <c r="D787" s="20"/>
      <c r="E787" s="11"/>
      <c r="F787" s="11"/>
    </row>
    <row r="788">
      <c r="A788" s="18"/>
      <c r="B788" s="18"/>
      <c r="C788" s="19"/>
      <c r="D788" s="20"/>
      <c r="E788" s="11"/>
      <c r="F788" s="11"/>
    </row>
    <row r="789">
      <c r="A789" s="18"/>
      <c r="B789" s="18"/>
      <c r="C789" s="19"/>
      <c r="D789" s="20"/>
      <c r="E789" s="11"/>
      <c r="F789" s="11"/>
    </row>
    <row r="790">
      <c r="A790" s="18"/>
      <c r="B790" s="18"/>
      <c r="C790" s="19"/>
      <c r="D790" s="20"/>
      <c r="E790" s="11"/>
      <c r="F790" s="11"/>
    </row>
    <row r="791">
      <c r="A791" s="18"/>
      <c r="B791" s="18"/>
      <c r="C791" s="19"/>
      <c r="D791" s="20"/>
      <c r="E791" s="11"/>
      <c r="F791" s="11"/>
    </row>
    <row r="792">
      <c r="A792" s="18"/>
      <c r="B792" s="18"/>
      <c r="C792" s="19"/>
      <c r="D792" s="20"/>
      <c r="E792" s="11"/>
      <c r="F792" s="11"/>
    </row>
    <row r="793">
      <c r="A793" s="18"/>
      <c r="B793" s="18"/>
      <c r="C793" s="19"/>
      <c r="D793" s="20"/>
      <c r="E793" s="11"/>
      <c r="F793" s="11"/>
    </row>
    <row r="794">
      <c r="A794" s="18"/>
      <c r="B794" s="18"/>
      <c r="C794" s="19"/>
      <c r="D794" s="20"/>
      <c r="E794" s="11"/>
      <c r="F794" s="11"/>
    </row>
    <row r="795">
      <c r="A795" s="18"/>
      <c r="B795" s="18"/>
      <c r="C795" s="19"/>
      <c r="D795" s="20"/>
      <c r="E795" s="11"/>
      <c r="F795" s="11"/>
    </row>
    <row r="796">
      <c r="A796" s="18"/>
      <c r="B796" s="18"/>
      <c r="C796" s="19"/>
      <c r="D796" s="20"/>
      <c r="E796" s="11"/>
      <c r="F796" s="11"/>
    </row>
    <row r="797">
      <c r="A797" s="18"/>
      <c r="B797" s="18"/>
      <c r="C797" s="19"/>
      <c r="D797" s="20"/>
      <c r="E797" s="11"/>
      <c r="F797" s="11"/>
    </row>
    <row r="798">
      <c r="A798" s="18"/>
      <c r="B798" s="18"/>
      <c r="C798" s="19"/>
      <c r="D798" s="20"/>
      <c r="E798" s="11"/>
      <c r="F798" s="11"/>
    </row>
    <row r="799">
      <c r="A799" s="18"/>
      <c r="B799" s="18"/>
      <c r="C799" s="19"/>
      <c r="D799" s="20"/>
      <c r="E799" s="11"/>
      <c r="F799" s="11"/>
    </row>
    <row r="800">
      <c r="A800" s="18"/>
      <c r="B800" s="18"/>
      <c r="C800" s="19"/>
      <c r="D800" s="20"/>
      <c r="E800" s="11"/>
      <c r="F800" s="11"/>
    </row>
    <row r="801">
      <c r="A801" s="18"/>
      <c r="B801" s="18"/>
      <c r="C801" s="19"/>
      <c r="D801" s="20"/>
      <c r="E801" s="11"/>
      <c r="F801" s="11"/>
    </row>
    <row r="802">
      <c r="A802" s="18"/>
      <c r="B802" s="18"/>
      <c r="C802" s="19"/>
      <c r="D802" s="20"/>
      <c r="E802" s="11"/>
      <c r="F802" s="11"/>
    </row>
    <row r="803">
      <c r="A803" s="18"/>
      <c r="B803" s="18"/>
      <c r="C803" s="19"/>
      <c r="D803" s="20"/>
      <c r="E803" s="11"/>
      <c r="F803" s="11"/>
    </row>
    <row r="804">
      <c r="A804" s="18"/>
      <c r="B804" s="18"/>
      <c r="C804" s="19"/>
      <c r="D804" s="20"/>
      <c r="E804" s="11"/>
      <c r="F804" s="11"/>
    </row>
    <row r="805">
      <c r="A805" s="18"/>
      <c r="B805" s="18"/>
      <c r="C805" s="19"/>
      <c r="D805" s="20"/>
      <c r="E805" s="11"/>
      <c r="F805" s="11"/>
    </row>
    <row r="806">
      <c r="A806" s="18"/>
      <c r="B806" s="18"/>
      <c r="C806" s="19"/>
      <c r="D806" s="20"/>
      <c r="E806" s="11"/>
      <c r="F806" s="11"/>
    </row>
    <row r="807">
      <c r="A807" s="18"/>
      <c r="B807" s="18"/>
      <c r="C807" s="19"/>
      <c r="D807" s="20"/>
      <c r="E807" s="11"/>
      <c r="F807" s="11"/>
    </row>
    <row r="808">
      <c r="A808" s="18"/>
      <c r="B808" s="18"/>
      <c r="C808" s="19"/>
      <c r="D808" s="20"/>
      <c r="E808" s="11"/>
      <c r="F808" s="11"/>
    </row>
    <row r="809">
      <c r="A809" s="18"/>
      <c r="B809" s="18"/>
      <c r="C809" s="19"/>
      <c r="D809" s="20"/>
      <c r="E809" s="11"/>
      <c r="F809" s="11"/>
    </row>
    <row r="810">
      <c r="A810" s="18"/>
      <c r="B810" s="18"/>
      <c r="C810" s="19"/>
      <c r="D810" s="20"/>
      <c r="E810" s="11"/>
      <c r="F810" s="11"/>
    </row>
    <row r="811">
      <c r="A811" s="18"/>
      <c r="B811" s="18"/>
      <c r="C811" s="19"/>
      <c r="D811" s="20"/>
      <c r="E811" s="11"/>
      <c r="F811" s="11"/>
    </row>
    <row r="812">
      <c r="A812" s="18"/>
      <c r="B812" s="18"/>
      <c r="C812" s="19"/>
      <c r="D812" s="20"/>
      <c r="E812" s="11"/>
      <c r="F812" s="11"/>
    </row>
    <row r="813">
      <c r="A813" s="18"/>
      <c r="B813" s="18"/>
      <c r="C813" s="19"/>
      <c r="D813" s="20"/>
      <c r="E813" s="11"/>
      <c r="F813" s="11"/>
    </row>
    <row r="814">
      <c r="A814" s="18"/>
      <c r="B814" s="18"/>
      <c r="C814" s="19"/>
      <c r="D814" s="20"/>
      <c r="E814" s="11"/>
      <c r="F814" s="11"/>
    </row>
    <row r="815">
      <c r="A815" s="18"/>
      <c r="B815" s="18"/>
      <c r="C815" s="19"/>
      <c r="D815" s="20"/>
      <c r="E815" s="11"/>
      <c r="F815" s="11"/>
    </row>
    <row r="816">
      <c r="A816" s="18"/>
      <c r="B816" s="18"/>
      <c r="C816" s="19"/>
      <c r="D816" s="20"/>
      <c r="E816" s="11"/>
      <c r="F816" s="11"/>
    </row>
    <row r="817">
      <c r="A817" s="18"/>
      <c r="B817" s="18"/>
      <c r="C817" s="19"/>
      <c r="D817" s="20"/>
      <c r="E817" s="11"/>
      <c r="F817" s="11"/>
    </row>
    <row r="818">
      <c r="A818" s="18"/>
      <c r="B818" s="18"/>
      <c r="C818" s="19"/>
      <c r="D818" s="20"/>
      <c r="E818" s="11"/>
      <c r="F818" s="11"/>
    </row>
    <row r="819">
      <c r="A819" s="18"/>
      <c r="B819" s="18"/>
      <c r="C819" s="19"/>
      <c r="D819" s="20"/>
      <c r="E819" s="11"/>
      <c r="F819" s="11"/>
    </row>
    <row r="820">
      <c r="A820" s="18"/>
      <c r="B820" s="18"/>
      <c r="C820" s="19"/>
      <c r="D820" s="20"/>
      <c r="E820" s="11"/>
      <c r="F820" s="11"/>
    </row>
    <row r="821">
      <c r="A821" s="18"/>
      <c r="B821" s="18"/>
      <c r="C821" s="19"/>
      <c r="D821" s="20"/>
      <c r="E821" s="11"/>
      <c r="F821" s="11"/>
    </row>
    <row r="822">
      <c r="A822" s="18"/>
      <c r="B822" s="18"/>
      <c r="C822" s="19"/>
      <c r="D822" s="20"/>
      <c r="E822" s="11"/>
      <c r="F822" s="11"/>
    </row>
    <row r="823">
      <c r="A823" s="18"/>
      <c r="B823" s="18"/>
      <c r="C823" s="19"/>
      <c r="D823" s="20"/>
      <c r="E823" s="11"/>
      <c r="F823" s="11"/>
    </row>
    <row r="824">
      <c r="A824" s="18"/>
      <c r="B824" s="18"/>
      <c r="C824" s="19"/>
      <c r="D824" s="20"/>
      <c r="E824" s="11"/>
      <c r="F824" s="11"/>
    </row>
    <row r="825">
      <c r="A825" s="18"/>
      <c r="B825" s="18"/>
      <c r="C825" s="19"/>
      <c r="D825" s="20"/>
      <c r="E825" s="11"/>
      <c r="F825" s="11"/>
    </row>
    <row r="826">
      <c r="A826" s="18"/>
      <c r="B826" s="18"/>
      <c r="C826" s="19"/>
      <c r="D826" s="20"/>
      <c r="E826" s="11"/>
      <c r="F826" s="11"/>
    </row>
    <row r="827">
      <c r="A827" s="18"/>
      <c r="B827" s="18"/>
      <c r="C827" s="19"/>
      <c r="D827" s="20"/>
      <c r="E827" s="11"/>
      <c r="F827" s="11"/>
    </row>
    <row r="828">
      <c r="A828" s="18"/>
      <c r="B828" s="18"/>
      <c r="C828" s="19"/>
      <c r="D828" s="20"/>
      <c r="E828" s="11"/>
      <c r="F828" s="11"/>
    </row>
    <row r="829">
      <c r="A829" s="18"/>
      <c r="B829" s="18"/>
      <c r="C829" s="19"/>
      <c r="D829" s="20"/>
      <c r="E829" s="11"/>
      <c r="F829" s="11"/>
    </row>
    <row r="830">
      <c r="A830" s="18"/>
      <c r="B830" s="18"/>
      <c r="C830" s="19"/>
      <c r="D830" s="20"/>
      <c r="E830" s="11"/>
      <c r="F830" s="11"/>
    </row>
    <row r="831">
      <c r="A831" s="18"/>
      <c r="B831" s="18"/>
      <c r="C831" s="19"/>
      <c r="D831" s="20"/>
      <c r="E831" s="11"/>
      <c r="F831" s="11"/>
    </row>
    <row r="832">
      <c r="A832" s="18"/>
      <c r="B832" s="18"/>
      <c r="C832" s="19"/>
      <c r="D832" s="20"/>
      <c r="E832" s="11"/>
      <c r="F832" s="11"/>
    </row>
    <row r="833">
      <c r="A833" s="18"/>
      <c r="B833" s="18"/>
      <c r="C833" s="19"/>
      <c r="D833" s="20"/>
      <c r="E833" s="11"/>
      <c r="F833" s="11"/>
    </row>
    <row r="834">
      <c r="A834" s="18"/>
      <c r="B834" s="18"/>
      <c r="C834" s="19"/>
      <c r="D834" s="20"/>
      <c r="E834" s="11"/>
      <c r="F834" s="11"/>
    </row>
    <row r="835">
      <c r="A835" s="18"/>
      <c r="B835" s="18"/>
      <c r="C835" s="19"/>
      <c r="D835" s="20"/>
      <c r="E835" s="11"/>
      <c r="F835" s="11"/>
    </row>
    <row r="836">
      <c r="A836" s="18"/>
      <c r="B836" s="18"/>
      <c r="C836" s="19"/>
      <c r="D836" s="20"/>
      <c r="E836" s="11"/>
      <c r="F836" s="11"/>
    </row>
    <row r="837">
      <c r="A837" s="18"/>
      <c r="B837" s="18"/>
      <c r="C837" s="19"/>
      <c r="D837" s="20"/>
      <c r="E837" s="11"/>
      <c r="F837" s="11"/>
    </row>
    <row r="838">
      <c r="A838" s="18"/>
      <c r="B838" s="18"/>
      <c r="C838" s="19"/>
      <c r="D838" s="20"/>
      <c r="E838" s="11"/>
      <c r="F838" s="11"/>
    </row>
    <row r="839">
      <c r="A839" s="18"/>
      <c r="B839" s="18"/>
      <c r="C839" s="19"/>
      <c r="D839" s="20"/>
      <c r="E839" s="11"/>
      <c r="F839" s="11"/>
    </row>
    <row r="840">
      <c r="A840" s="18"/>
      <c r="B840" s="18"/>
      <c r="C840" s="19"/>
      <c r="D840" s="20"/>
      <c r="E840" s="11"/>
      <c r="F840" s="11"/>
    </row>
    <row r="841">
      <c r="A841" s="18"/>
      <c r="B841" s="18"/>
      <c r="C841" s="19"/>
      <c r="D841" s="20"/>
      <c r="E841" s="11"/>
      <c r="F841" s="11"/>
    </row>
    <row r="842">
      <c r="A842" s="18"/>
      <c r="B842" s="18"/>
      <c r="C842" s="19"/>
      <c r="D842" s="20"/>
      <c r="E842" s="11"/>
      <c r="F842" s="11"/>
    </row>
    <row r="843">
      <c r="A843" s="18"/>
      <c r="B843" s="18"/>
      <c r="C843" s="19"/>
      <c r="D843" s="20"/>
      <c r="E843" s="11"/>
      <c r="F843" s="11"/>
    </row>
    <row r="844">
      <c r="A844" s="18"/>
      <c r="B844" s="18"/>
      <c r="C844" s="19"/>
      <c r="D844" s="20"/>
      <c r="E844" s="11"/>
      <c r="F844" s="11"/>
    </row>
    <row r="845">
      <c r="A845" s="18"/>
      <c r="B845" s="18"/>
      <c r="C845" s="19"/>
      <c r="D845" s="20"/>
      <c r="E845" s="11"/>
      <c r="F845" s="11"/>
    </row>
    <row r="846">
      <c r="A846" s="18"/>
      <c r="B846" s="18"/>
      <c r="C846" s="19"/>
      <c r="D846" s="20"/>
      <c r="E846" s="11"/>
      <c r="F846" s="11"/>
    </row>
    <row r="847">
      <c r="A847" s="18"/>
      <c r="B847" s="18"/>
      <c r="C847" s="19"/>
      <c r="D847" s="20"/>
      <c r="E847" s="11"/>
      <c r="F847" s="11"/>
    </row>
    <row r="848">
      <c r="A848" s="18"/>
      <c r="B848" s="18"/>
      <c r="C848" s="19"/>
      <c r="D848" s="20"/>
      <c r="E848" s="11"/>
      <c r="F848" s="11"/>
    </row>
    <row r="849">
      <c r="A849" s="18"/>
      <c r="B849" s="18"/>
      <c r="C849" s="19"/>
      <c r="D849" s="20"/>
      <c r="E849" s="11"/>
      <c r="F849" s="11"/>
    </row>
    <row r="850">
      <c r="A850" s="18"/>
      <c r="B850" s="18"/>
      <c r="C850" s="19"/>
      <c r="D850" s="20"/>
      <c r="E850" s="11"/>
      <c r="F850" s="11"/>
    </row>
    <row r="851">
      <c r="A851" s="18"/>
      <c r="B851" s="18"/>
      <c r="C851" s="19"/>
      <c r="D851" s="20"/>
      <c r="E851" s="11"/>
      <c r="F851" s="11"/>
    </row>
    <row r="852">
      <c r="A852" s="18"/>
      <c r="B852" s="18"/>
      <c r="C852" s="19"/>
      <c r="D852" s="20"/>
      <c r="E852" s="11"/>
      <c r="F852" s="11"/>
    </row>
    <row r="853">
      <c r="A853" s="18"/>
      <c r="B853" s="18"/>
      <c r="C853" s="19"/>
      <c r="D853" s="20"/>
      <c r="E853" s="11"/>
      <c r="F853" s="11"/>
    </row>
    <row r="854">
      <c r="A854" s="18"/>
      <c r="B854" s="18"/>
      <c r="C854" s="19"/>
      <c r="D854" s="20"/>
      <c r="E854" s="11"/>
      <c r="F854" s="11"/>
    </row>
    <row r="855">
      <c r="A855" s="18"/>
      <c r="B855" s="18"/>
      <c r="C855" s="19"/>
      <c r="D855" s="20"/>
      <c r="E855" s="11"/>
      <c r="F855" s="11"/>
    </row>
    <row r="856">
      <c r="A856" s="18"/>
      <c r="B856" s="18"/>
      <c r="C856" s="19"/>
      <c r="D856" s="20"/>
      <c r="E856" s="11"/>
      <c r="F856" s="11"/>
    </row>
    <row r="857">
      <c r="A857" s="18"/>
      <c r="B857" s="18"/>
      <c r="C857" s="19"/>
      <c r="D857" s="20"/>
      <c r="E857" s="11"/>
      <c r="F857" s="11"/>
    </row>
    <row r="858">
      <c r="A858" s="18"/>
      <c r="B858" s="18"/>
      <c r="C858" s="19"/>
      <c r="D858" s="20"/>
      <c r="E858" s="11"/>
      <c r="F858" s="11"/>
    </row>
    <row r="859">
      <c r="A859" s="18"/>
      <c r="B859" s="18"/>
      <c r="C859" s="19"/>
      <c r="D859" s="20"/>
      <c r="E859" s="11"/>
      <c r="F859" s="11"/>
    </row>
    <row r="860">
      <c r="A860" s="18"/>
      <c r="B860" s="18"/>
      <c r="C860" s="19"/>
      <c r="D860" s="20"/>
      <c r="E860" s="11"/>
      <c r="F860" s="11"/>
    </row>
    <row r="861">
      <c r="A861" s="18"/>
      <c r="B861" s="18"/>
      <c r="C861" s="19"/>
      <c r="D861" s="20"/>
      <c r="E861" s="11"/>
      <c r="F861" s="11"/>
    </row>
    <row r="862">
      <c r="A862" s="18"/>
      <c r="B862" s="18"/>
      <c r="C862" s="19"/>
      <c r="D862" s="20"/>
      <c r="E862" s="11"/>
      <c r="F862" s="11"/>
    </row>
    <row r="863">
      <c r="A863" s="18"/>
      <c r="B863" s="18"/>
      <c r="C863" s="19"/>
      <c r="D863" s="20"/>
      <c r="E863" s="11"/>
      <c r="F863" s="11"/>
    </row>
    <row r="864">
      <c r="A864" s="18"/>
      <c r="B864" s="18"/>
      <c r="C864" s="19"/>
      <c r="D864" s="20"/>
      <c r="E864" s="11"/>
      <c r="F864" s="11"/>
    </row>
    <row r="865">
      <c r="A865" s="18"/>
      <c r="B865" s="18"/>
      <c r="C865" s="19"/>
      <c r="D865" s="20"/>
      <c r="E865" s="11"/>
      <c r="F865" s="11"/>
    </row>
    <row r="866">
      <c r="A866" s="18"/>
      <c r="B866" s="18"/>
      <c r="C866" s="19"/>
      <c r="D866" s="20"/>
      <c r="E866" s="11"/>
      <c r="F866" s="11"/>
    </row>
    <row r="867">
      <c r="A867" s="18"/>
      <c r="B867" s="18"/>
      <c r="C867" s="19"/>
      <c r="D867" s="20"/>
      <c r="E867" s="11"/>
      <c r="F867" s="11"/>
    </row>
    <row r="868">
      <c r="A868" s="18"/>
      <c r="B868" s="18"/>
      <c r="C868" s="19"/>
      <c r="D868" s="20"/>
      <c r="E868" s="11"/>
      <c r="F868" s="11"/>
    </row>
    <row r="869">
      <c r="A869" s="18"/>
      <c r="B869" s="18"/>
      <c r="C869" s="19"/>
      <c r="D869" s="20"/>
      <c r="E869" s="11"/>
      <c r="F869" s="11"/>
    </row>
    <row r="870">
      <c r="A870" s="18"/>
      <c r="B870" s="18"/>
      <c r="C870" s="19"/>
      <c r="D870" s="20"/>
      <c r="E870" s="11"/>
      <c r="F870" s="11"/>
    </row>
    <row r="871">
      <c r="A871" s="18"/>
      <c r="B871" s="18"/>
      <c r="C871" s="19"/>
      <c r="D871" s="20"/>
      <c r="E871" s="11"/>
      <c r="F871" s="11"/>
    </row>
    <row r="872">
      <c r="A872" s="18"/>
      <c r="B872" s="18"/>
      <c r="C872" s="19"/>
      <c r="D872" s="20"/>
      <c r="E872" s="11"/>
      <c r="F872" s="11"/>
    </row>
    <row r="873">
      <c r="A873" s="18"/>
      <c r="B873" s="18"/>
      <c r="C873" s="19"/>
      <c r="D873" s="20"/>
      <c r="E873" s="11"/>
      <c r="F873" s="11"/>
    </row>
    <row r="874">
      <c r="A874" s="18"/>
      <c r="B874" s="18"/>
      <c r="C874" s="19"/>
      <c r="D874" s="20"/>
      <c r="E874" s="11"/>
      <c r="F874" s="11"/>
    </row>
    <row r="875">
      <c r="A875" s="18"/>
      <c r="B875" s="18"/>
      <c r="C875" s="19"/>
      <c r="D875" s="20"/>
      <c r="E875" s="11"/>
      <c r="F875" s="11"/>
    </row>
    <row r="876">
      <c r="A876" s="18"/>
      <c r="B876" s="18"/>
      <c r="C876" s="19"/>
      <c r="D876" s="20"/>
      <c r="E876" s="11"/>
      <c r="F876" s="11"/>
    </row>
    <row r="877">
      <c r="A877" s="18"/>
      <c r="B877" s="18"/>
      <c r="C877" s="19"/>
      <c r="D877" s="20"/>
      <c r="E877" s="11"/>
      <c r="F877" s="11"/>
    </row>
    <row r="878">
      <c r="A878" s="18"/>
      <c r="B878" s="18"/>
      <c r="C878" s="19"/>
      <c r="D878" s="20"/>
      <c r="E878" s="11"/>
      <c r="F878" s="11"/>
    </row>
    <row r="879">
      <c r="A879" s="18"/>
      <c r="B879" s="18"/>
      <c r="C879" s="19"/>
      <c r="D879" s="20"/>
      <c r="E879" s="11"/>
      <c r="F879" s="11"/>
    </row>
    <row r="880">
      <c r="A880" s="18"/>
      <c r="B880" s="18"/>
      <c r="C880" s="19"/>
      <c r="D880" s="20"/>
      <c r="E880" s="11"/>
      <c r="F880" s="11"/>
    </row>
    <row r="881">
      <c r="A881" s="18"/>
      <c r="B881" s="18"/>
      <c r="C881" s="19"/>
      <c r="D881" s="20"/>
      <c r="E881" s="11"/>
      <c r="F881" s="11"/>
    </row>
    <row r="882">
      <c r="A882" s="18"/>
      <c r="B882" s="18"/>
      <c r="C882" s="19"/>
      <c r="D882" s="20"/>
      <c r="E882" s="11"/>
      <c r="F882" s="11"/>
    </row>
    <row r="883">
      <c r="A883" s="18"/>
      <c r="B883" s="18"/>
      <c r="C883" s="19"/>
      <c r="D883" s="20"/>
      <c r="E883" s="11"/>
      <c r="F883" s="11"/>
    </row>
    <row r="884">
      <c r="A884" s="18"/>
      <c r="B884" s="18"/>
      <c r="C884" s="19"/>
      <c r="D884" s="20"/>
      <c r="E884" s="11"/>
      <c r="F884" s="11"/>
    </row>
    <row r="885">
      <c r="A885" s="18"/>
      <c r="B885" s="18"/>
      <c r="C885" s="19"/>
      <c r="D885" s="20"/>
      <c r="E885" s="11"/>
      <c r="F885" s="11"/>
    </row>
    <row r="886">
      <c r="A886" s="18"/>
      <c r="B886" s="18"/>
      <c r="C886" s="19"/>
      <c r="D886" s="20"/>
      <c r="E886" s="11"/>
      <c r="F886" s="11"/>
    </row>
    <row r="887">
      <c r="A887" s="18"/>
      <c r="B887" s="18"/>
      <c r="C887" s="19"/>
      <c r="D887" s="20"/>
      <c r="E887" s="11"/>
      <c r="F887" s="11"/>
    </row>
    <row r="888">
      <c r="A888" s="18"/>
      <c r="B888" s="18"/>
      <c r="C888" s="19"/>
      <c r="D888" s="20"/>
      <c r="E888" s="11"/>
      <c r="F888" s="11"/>
    </row>
    <row r="889">
      <c r="A889" s="18"/>
      <c r="B889" s="18"/>
      <c r="C889" s="19"/>
      <c r="D889" s="20"/>
      <c r="E889" s="11"/>
      <c r="F889" s="11"/>
    </row>
    <row r="890">
      <c r="A890" s="18"/>
      <c r="B890" s="18"/>
      <c r="C890" s="19"/>
      <c r="D890" s="20"/>
      <c r="E890" s="11"/>
      <c r="F890" s="11"/>
    </row>
    <row r="891">
      <c r="A891" s="18"/>
      <c r="B891" s="18"/>
      <c r="C891" s="19"/>
      <c r="D891" s="20"/>
      <c r="E891" s="11"/>
      <c r="F891" s="11"/>
    </row>
    <row r="892">
      <c r="A892" s="18"/>
      <c r="B892" s="18"/>
      <c r="C892" s="19"/>
      <c r="D892" s="20"/>
      <c r="E892" s="11"/>
      <c r="F892" s="11"/>
    </row>
    <row r="893">
      <c r="A893" s="18"/>
      <c r="B893" s="18"/>
      <c r="C893" s="19"/>
      <c r="D893" s="20"/>
      <c r="E893" s="11"/>
      <c r="F893" s="11"/>
    </row>
    <row r="894">
      <c r="A894" s="18"/>
      <c r="B894" s="18"/>
      <c r="C894" s="19"/>
      <c r="D894" s="20"/>
      <c r="E894" s="11"/>
      <c r="F894" s="11"/>
    </row>
    <row r="895">
      <c r="A895" s="18"/>
      <c r="B895" s="18"/>
      <c r="C895" s="19"/>
      <c r="D895" s="20"/>
      <c r="E895" s="11"/>
      <c r="F895" s="11"/>
    </row>
    <row r="896">
      <c r="A896" s="18"/>
      <c r="B896" s="18"/>
      <c r="C896" s="19"/>
      <c r="D896" s="20"/>
      <c r="E896" s="11"/>
      <c r="F896" s="11"/>
    </row>
    <row r="897">
      <c r="A897" s="18"/>
      <c r="B897" s="18"/>
      <c r="C897" s="19"/>
      <c r="D897" s="20"/>
      <c r="E897" s="11"/>
      <c r="F897" s="11"/>
    </row>
    <row r="898">
      <c r="A898" s="18"/>
      <c r="B898" s="18"/>
      <c r="C898" s="19"/>
      <c r="D898" s="20"/>
      <c r="E898" s="11"/>
      <c r="F898" s="11"/>
    </row>
    <row r="899">
      <c r="A899" s="18"/>
      <c r="B899" s="18"/>
      <c r="C899" s="19"/>
      <c r="D899" s="20"/>
      <c r="E899" s="11"/>
      <c r="F899" s="11"/>
    </row>
    <row r="900">
      <c r="A900" s="18"/>
      <c r="B900" s="18"/>
      <c r="C900" s="19"/>
      <c r="D900" s="20"/>
      <c r="E900" s="11"/>
      <c r="F900" s="11"/>
    </row>
    <row r="901">
      <c r="A901" s="18"/>
      <c r="B901" s="18"/>
      <c r="C901" s="19"/>
      <c r="D901" s="20"/>
      <c r="E901" s="11"/>
      <c r="F901" s="11"/>
    </row>
    <row r="902">
      <c r="A902" s="18"/>
      <c r="B902" s="18"/>
      <c r="C902" s="19"/>
      <c r="D902" s="20"/>
      <c r="E902" s="11"/>
      <c r="F902" s="11"/>
    </row>
    <row r="903">
      <c r="A903" s="18"/>
      <c r="B903" s="18"/>
      <c r="C903" s="19"/>
      <c r="D903" s="20"/>
      <c r="E903" s="11"/>
      <c r="F903" s="11"/>
    </row>
    <row r="904">
      <c r="A904" s="18"/>
      <c r="B904" s="18"/>
      <c r="C904" s="19"/>
      <c r="D904" s="20"/>
      <c r="E904" s="11"/>
      <c r="F904" s="11"/>
    </row>
    <row r="905">
      <c r="A905" s="18"/>
      <c r="B905" s="18"/>
      <c r="C905" s="19"/>
      <c r="D905" s="20"/>
      <c r="E905" s="11"/>
      <c r="F905" s="11"/>
    </row>
    <row r="906">
      <c r="A906" s="18"/>
      <c r="B906" s="18"/>
      <c r="C906" s="19"/>
      <c r="D906" s="20"/>
      <c r="E906" s="11"/>
      <c r="F906" s="11"/>
    </row>
    <row r="907">
      <c r="A907" s="18"/>
      <c r="B907" s="18"/>
      <c r="C907" s="19"/>
      <c r="D907" s="20"/>
      <c r="E907" s="11"/>
      <c r="F907" s="11"/>
    </row>
    <row r="908">
      <c r="A908" s="18"/>
      <c r="B908" s="18"/>
      <c r="C908" s="19"/>
      <c r="D908" s="20"/>
      <c r="E908" s="11"/>
      <c r="F908" s="11"/>
    </row>
    <row r="909">
      <c r="A909" s="18"/>
      <c r="B909" s="18"/>
      <c r="C909" s="19"/>
      <c r="D909" s="20"/>
      <c r="E909" s="11"/>
      <c r="F909" s="11"/>
    </row>
    <row r="910">
      <c r="A910" s="18"/>
      <c r="B910" s="18"/>
      <c r="C910" s="19"/>
      <c r="D910" s="20"/>
      <c r="E910" s="11"/>
      <c r="F910" s="11"/>
    </row>
    <row r="911">
      <c r="A911" s="18"/>
      <c r="B911" s="18"/>
      <c r="C911" s="19"/>
      <c r="D911" s="20"/>
      <c r="E911" s="11"/>
      <c r="F911" s="11"/>
    </row>
    <row r="912">
      <c r="A912" s="18"/>
      <c r="B912" s="18"/>
      <c r="C912" s="19"/>
      <c r="D912" s="20"/>
      <c r="E912" s="11"/>
      <c r="F912" s="11"/>
    </row>
    <row r="913">
      <c r="A913" s="18"/>
      <c r="B913" s="18"/>
      <c r="C913" s="19"/>
      <c r="D913" s="20"/>
      <c r="E913" s="11"/>
      <c r="F913" s="11"/>
    </row>
    <row r="914">
      <c r="A914" s="18"/>
      <c r="B914" s="18"/>
      <c r="C914" s="19"/>
      <c r="D914" s="20"/>
      <c r="E914" s="11"/>
      <c r="F914" s="11"/>
    </row>
    <row r="915">
      <c r="A915" s="18"/>
      <c r="B915" s="18"/>
      <c r="C915" s="19"/>
      <c r="D915" s="20"/>
      <c r="E915" s="11"/>
      <c r="F915" s="11"/>
    </row>
    <row r="916">
      <c r="A916" s="18"/>
      <c r="B916" s="18"/>
      <c r="C916" s="19"/>
      <c r="D916" s="20"/>
      <c r="E916" s="11"/>
      <c r="F916" s="11"/>
    </row>
    <row r="917">
      <c r="A917" s="18"/>
      <c r="B917" s="18"/>
      <c r="C917" s="19"/>
      <c r="D917" s="20"/>
      <c r="E917" s="11"/>
      <c r="F917" s="11"/>
    </row>
    <row r="918">
      <c r="A918" s="18"/>
      <c r="B918" s="18"/>
      <c r="C918" s="19"/>
      <c r="D918" s="20"/>
      <c r="E918" s="11"/>
      <c r="F918" s="11"/>
    </row>
    <row r="919">
      <c r="A919" s="18"/>
      <c r="B919" s="18"/>
      <c r="C919" s="19"/>
      <c r="D919" s="20"/>
      <c r="E919" s="11"/>
      <c r="F919" s="11"/>
    </row>
    <row r="920">
      <c r="A920" s="18"/>
      <c r="B920" s="18"/>
      <c r="C920" s="19"/>
      <c r="D920" s="20"/>
      <c r="E920" s="11"/>
      <c r="F920" s="11"/>
    </row>
    <row r="921">
      <c r="A921" s="18"/>
      <c r="B921" s="18"/>
      <c r="C921" s="19"/>
      <c r="D921" s="20"/>
      <c r="E921" s="11"/>
      <c r="F921" s="11"/>
    </row>
    <row r="922">
      <c r="A922" s="18"/>
      <c r="B922" s="18"/>
      <c r="C922" s="19"/>
      <c r="D922" s="20"/>
      <c r="E922" s="11"/>
      <c r="F922" s="11"/>
    </row>
    <row r="923">
      <c r="A923" s="18"/>
      <c r="B923" s="18"/>
      <c r="C923" s="19"/>
      <c r="D923" s="20"/>
      <c r="E923" s="11"/>
      <c r="F923" s="11"/>
    </row>
    <row r="924">
      <c r="A924" s="18"/>
      <c r="B924" s="18"/>
      <c r="C924" s="19"/>
      <c r="D924" s="20"/>
      <c r="E924" s="11"/>
      <c r="F924" s="11"/>
    </row>
    <row r="925">
      <c r="A925" s="18"/>
      <c r="B925" s="18"/>
      <c r="C925" s="19"/>
      <c r="D925" s="20"/>
      <c r="E925" s="11"/>
      <c r="F925" s="11"/>
    </row>
    <row r="926">
      <c r="A926" s="18"/>
      <c r="B926" s="18"/>
      <c r="C926" s="19"/>
      <c r="D926" s="20"/>
      <c r="E926" s="11"/>
      <c r="F926" s="11"/>
    </row>
    <row r="927">
      <c r="A927" s="18"/>
      <c r="B927" s="18"/>
      <c r="C927" s="19"/>
      <c r="D927" s="20"/>
      <c r="E927" s="11"/>
      <c r="F927" s="11"/>
    </row>
    <row r="928">
      <c r="A928" s="18"/>
      <c r="B928" s="18"/>
      <c r="C928" s="19"/>
      <c r="D928" s="20"/>
      <c r="E928" s="11"/>
      <c r="F928" s="11"/>
    </row>
    <row r="929">
      <c r="A929" s="18"/>
      <c r="B929" s="18"/>
      <c r="C929" s="19"/>
      <c r="D929" s="20"/>
      <c r="E929" s="11"/>
      <c r="F929" s="11"/>
    </row>
    <row r="930">
      <c r="A930" s="18"/>
      <c r="B930" s="18"/>
      <c r="C930" s="19"/>
      <c r="D930" s="20"/>
      <c r="E930" s="11"/>
      <c r="F930" s="11"/>
    </row>
    <row r="931">
      <c r="A931" s="18"/>
      <c r="B931" s="18"/>
      <c r="C931" s="19"/>
      <c r="D931" s="20"/>
      <c r="E931" s="11"/>
      <c r="F931" s="11"/>
    </row>
    <row r="932">
      <c r="A932" s="18"/>
      <c r="B932" s="18"/>
      <c r="C932" s="19"/>
      <c r="D932" s="20"/>
      <c r="E932" s="11"/>
      <c r="F932" s="11"/>
    </row>
    <row r="933">
      <c r="A933" s="18"/>
      <c r="B933" s="18"/>
      <c r="C933" s="19"/>
      <c r="D933" s="20"/>
      <c r="E933" s="11"/>
      <c r="F933" s="11"/>
    </row>
    <row r="934">
      <c r="A934" s="18"/>
      <c r="B934" s="18"/>
      <c r="C934" s="19"/>
      <c r="D934" s="20"/>
      <c r="E934" s="11"/>
      <c r="F934" s="11"/>
    </row>
    <row r="935">
      <c r="A935" s="18"/>
      <c r="B935" s="18"/>
      <c r="C935" s="19"/>
      <c r="D935" s="20"/>
      <c r="E935" s="11"/>
      <c r="F935" s="11"/>
    </row>
    <row r="936">
      <c r="A936" s="18"/>
      <c r="B936" s="18"/>
      <c r="C936" s="19"/>
      <c r="D936" s="20"/>
      <c r="E936" s="11"/>
      <c r="F936" s="11"/>
    </row>
    <row r="937">
      <c r="A937" s="18"/>
      <c r="B937" s="18"/>
      <c r="C937" s="19"/>
      <c r="D937" s="20"/>
      <c r="E937" s="11"/>
      <c r="F937" s="11"/>
    </row>
    <row r="938">
      <c r="A938" s="18"/>
      <c r="B938" s="18"/>
      <c r="C938" s="19"/>
      <c r="D938" s="20"/>
      <c r="E938" s="11"/>
      <c r="F938" s="11"/>
    </row>
    <row r="939">
      <c r="A939" s="18"/>
      <c r="B939" s="18"/>
      <c r="C939" s="19"/>
      <c r="D939" s="20"/>
      <c r="E939" s="11"/>
      <c r="F939" s="11"/>
    </row>
    <row r="940">
      <c r="A940" s="18"/>
      <c r="B940" s="18"/>
      <c r="C940" s="19"/>
      <c r="D940" s="20"/>
      <c r="E940" s="11"/>
      <c r="F940" s="11"/>
    </row>
    <row r="941">
      <c r="A941" s="18"/>
      <c r="B941" s="18"/>
      <c r="C941" s="19"/>
      <c r="D941" s="20"/>
      <c r="E941" s="11"/>
      <c r="F941" s="11"/>
    </row>
    <row r="942">
      <c r="A942" s="18"/>
      <c r="B942" s="18"/>
      <c r="C942" s="19"/>
      <c r="D942" s="20"/>
      <c r="E942" s="11"/>
      <c r="F942" s="11"/>
    </row>
    <row r="943">
      <c r="A943" s="18"/>
      <c r="B943" s="18"/>
      <c r="C943" s="19"/>
      <c r="D943" s="20"/>
      <c r="E943" s="11"/>
      <c r="F943" s="11"/>
    </row>
    <row r="944">
      <c r="A944" s="18"/>
      <c r="B944" s="18"/>
      <c r="C944" s="19"/>
      <c r="D944" s="20"/>
      <c r="E944" s="11"/>
      <c r="F944" s="11"/>
    </row>
    <row r="945">
      <c r="A945" s="18"/>
      <c r="B945" s="18"/>
      <c r="C945" s="19"/>
      <c r="D945" s="20"/>
      <c r="E945" s="11"/>
      <c r="F945" s="11"/>
    </row>
    <row r="946">
      <c r="A946" s="18"/>
      <c r="B946" s="18"/>
      <c r="C946" s="19"/>
      <c r="D946" s="20"/>
      <c r="E946" s="11"/>
      <c r="F946" s="11"/>
    </row>
    <row r="947">
      <c r="A947" s="18"/>
      <c r="B947" s="18"/>
      <c r="C947" s="19"/>
      <c r="D947" s="20"/>
      <c r="E947" s="11"/>
      <c r="F947" s="11"/>
    </row>
    <row r="948">
      <c r="A948" s="18"/>
      <c r="B948" s="18"/>
      <c r="C948" s="19"/>
      <c r="D948" s="20"/>
      <c r="E948" s="11"/>
      <c r="F948" s="11"/>
    </row>
    <row r="949">
      <c r="A949" s="18"/>
      <c r="B949" s="18"/>
      <c r="C949" s="19"/>
      <c r="D949" s="20"/>
      <c r="E949" s="11"/>
      <c r="F949" s="11"/>
    </row>
    <row r="950">
      <c r="A950" s="18"/>
      <c r="B950" s="18"/>
      <c r="C950" s="19"/>
      <c r="D950" s="20"/>
      <c r="E950" s="11"/>
      <c r="F950" s="11"/>
    </row>
    <row r="951">
      <c r="A951" s="18"/>
      <c r="B951" s="18"/>
      <c r="C951" s="19"/>
      <c r="D951" s="20"/>
      <c r="E951" s="11"/>
      <c r="F951" s="11"/>
    </row>
    <row r="952">
      <c r="A952" s="18"/>
      <c r="B952" s="18"/>
      <c r="C952" s="19"/>
      <c r="D952" s="20"/>
      <c r="E952" s="11"/>
      <c r="F952" s="11"/>
    </row>
    <row r="953">
      <c r="A953" s="18"/>
      <c r="B953" s="18"/>
      <c r="C953" s="19"/>
      <c r="D953" s="20"/>
      <c r="E953" s="11"/>
      <c r="F953" s="11"/>
    </row>
    <row r="954">
      <c r="A954" s="18"/>
      <c r="B954" s="18"/>
      <c r="C954" s="19"/>
      <c r="D954" s="20"/>
      <c r="E954" s="11"/>
      <c r="F954" s="11"/>
    </row>
    <row r="955">
      <c r="A955" s="18"/>
      <c r="B955" s="18"/>
      <c r="C955" s="19"/>
      <c r="D955" s="20"/>
      <c r="E955" s="11"/>
      <c r="F955" s="11"/>
    </row>
    <row r="956">
      <c r="A956" s="18"/>
      <c r="B956" s="18"/>
      <c r="C956" s="19"/>
      <c r="D956" s="20"/>
      <c r="E956" s="11"/>
      <c r="F956" s="11"/>
    </row>
    <row r="957">
      <c r="A957" s="18"/>
      <c r="B957" s="18"/>
      <c r="C957" s="19"/>
      <c r="D957" s="20"/>
      <c r="E957" s="11"/>
      <c r="F957" s="11"/>
    </row>
    <row r="958">
      <c r="A958" s="18"/>
      <c r="B958" s="18"/>
      <c r="C958" s="19"/>
      <c r="D958" s="20"/>
      <c r="E958" s="11"/>
      <c r="F958" s="11"/>
    </row>
    <row r="959">
      <c r="A959" s="18"/>
      <c r="B959" s="18"/>
      <c r="C959" s="19"/>
      <c r="D959" s="20"/>
      <c r="E959" s="11"/>
      <c r="F959" s="11"/>
    </row>
    <row r="960">
      <c r="A960" s="18"/>
      <c r="B960" s="18"/>
      <c r="C960" s="19"/>
      <c r="D960" s="20"/>
      <c r="E960" s="11"/>
      <c r="F960" s="11"/>
    </row>
    <row r="961">
      <c r="A961" s="18"/>
      <c r="B961" s="18"/>
      <c r="C961" s="19"/>
      <c r="D961" s="20"/>
      <c r="E961" s="11"/>
      <c r="F961" s="11"/>
    </row>
    <row r="962">
      <c r="A962" s="18"/>
      <c r="B962" s="18"/>
      <c r="C962" s="19"/>
      <c r="D962" s="20"/>
      <c r="E962" s="11"/>
      <c r="F962" s="11"/>
    </row>
    <row r="963">
      <c r="A963" s="18"/>
      <c r="B963" s="18"/>
      <c r="C963" s="19"/>
      <c r="D963" s="20"/>
      <c r="E963" s="11"/>
      <c r="F963" s="11"/>
    </row>
    <row r="964">
      <c r="A964" s="18"/>
      <c r="B964" s="18"/>
      <c r="C964" s="19"/>
      <c r="D964" s="20"/>
      <c r="E964" s="11"/>
      <c r="F964" s="11"/>
    </row>
    <row r="965">
      <c r="A965" s="18"/>
      <c r="B965" s="18"/>
      <c r="C965" s="19"/>
      <c r="D965" s="20"/>
      <c r="E965" s="11"/>
      <c r="F965" s="11"/>
    </row>
    <row r="966">
      <c r="A966" s="18"/>
      <c r="B966" s="18"/>
      <c r="C966" s="19"/>
      <c r="D966" s="20"/>
      <c r="E966" s="11"/>
      <c r="F966" s="11"/>
    </row>
    <row r="967">
      <c r="A967" s="18"/>
      <c r="B967" s="18"/>
      <c r="C967" s="19"/>
      <c r="D967" s="20"/>
      <c r="E967" s="11"/>
      <c r="F967" s="11"/>
    </row>
    <row r="968">
      <c r="A968" s="18"/>
      <c r="B968" s="18"/>
      <c r="C968" s="19"/>
      <c r="D968" s="20"/>
      <c r="E968" s="11"/>
      <c r="F968" s="11"/>
    </row>
    <row r="969">
      <c r="A969" s="18"/>
      <c r="B969" s="18"/>
      <c r="C969" s="19"/>
      <c r="D969" s="20"/>
      <c r="E969" s="11"/>
      <c r="F969" s="11"/>
    </row>
    <row r="970">
      <c r="A970" s="18"/>
      <c r="B970" s="18"/>
      <c r="C970" s="19"/>
      <c r="D970" s="20"/>
      <c r="E970" s="11"/>
      <c r="F970" s="11"/>
    </row>
    <row r="971">
      <c r="A971" s="18"/>
      <c r="B971" s="18"/>
      <c r="C971" s="19"/>
      <c r="D971" s="20"/>
      <c r="E971" s="11"/>
      <c r="F971" s="11"/>
    </row>
    <row r="972">
      <c r="A972" s="18"/>
      <c r="B972" s="18"/>
      <c r="C972" s="19"/>
      <c r="D972" s="20"/>
      <c r="E972" s="11"/>
      <c r="F972" s="11"/>
    </row>
    <row r="973">
      <c r="A973" s="18"/>
      <c r="B973" s="18"/>
      <c r="C973" s="19"/>
      <c r="D973" s="20"/>
      <c r="E973" s="11"/>
      <c r="F973" s="11"/>
    </row>
    <row r="974">
      <c r="A974" s="18"/>
      <c r="B974" s="18"/>
      <c r="C974" s="19"/>
      <c r="D974" s="20"/>
      <c r="E974" s="11"/>
      <c r="F974" s="11"/>
    </row>
    <row r="975">
      <c r="A975" s="18"/>
      <c r="B975" s="18"/>
      <c r="C975" s="19"/>
      <c r="D975" s="20"/>
      <c r="E975" s="11"/>
      <c r="F975" s="11"/>
    </row>
    <row r="976">
      <c r="A976" s="18"/>
      <c r="B976" s="18"/>
      <c r="C976" s="19"/>
      <c r="D976" s="20"/>
      <c r="E976" s="11"/>
      <c r="F976" s="11"/>
    </row>
    <row r="977">
      <c r="A977" s="18"/>
      <c r="B977" s="18"/>
      <c r="C977" s="19"/>
      <c r="D977" s="20"/>
      <c r="E977" s="11"/>
      <c r="F977" s="11"/>
    </row>
    <row r="978">
      <c r="A978" s="18"/>
      <c r="B978" s="18"/>
      <c r="C978" s="19"/>
      <c r="D978" s="20"/>
      <c r="E978" s="11"/>
      <c r="F978" s="11"/>
    </row>
    <row r="979">
      <c r="A979" s="18"/>
      <c r="B979" s="18"/>
      <c r="C979" s="19"/>
      <c r="D979" s="20"/>
      <c r="E979" s="11"/>
      <c r="F979" s="11"/>
    </row>
    <row r="980">
      <c r="A980" s="18"/>
      <c r="B980" s="18"/>
      <c r="C980" s="19"/>
      <c r="D980" s="20"/>
      <c r="E980" s="11"/>
      <c r="F980" s="11"/>
    </row>
    <row r="981">
      <c r="A981" s="18"/>
      <c r="B981" s="18"/>
      <c r="C981" s="19"/>
      <c r="D981" s="20"/>
      <c r="E981" s="11"/>
      <c r="F981" s="11"/>
    </row>
    <row r="982">
      <c r="A982" s="18"/>
      <c r="B982" s="18"/>
      <c r="C982" s="19"/>
      <c r="D982" s="20"/>
      <c r="E982" s="11"/>
      <c r="F982" s="11"/>
    </row>
    <row r="983">
      <c r="A983" s="18"/>
      <c r="B983" s="18"/>
      <c r="C983" s="19"/>
      <c r="D983" s="20"/>
      <c r="E983" s="11"/>
      <c r="F983" s="11"/>
    </row>
    <row r="984">
      <c r="A984" s="18"/>
      <c r="B984" s="18"/>
      <c r="C984" s="19"/>
      <c r="D984" s="20"/>
      <c r="E984" s="11"/>
      <c r="F984" s="11"/>
    </row>
    <row r="985">
      <c r="A985" s="18"/>
      <c r="B985" s="18"/>
      <c r="C985" s="19"/>
      <c r="D985" s="20"/>
      <c r="E985" s="11"/>
      <c r="F985" s="11"/>
    </row>
    <row r="986">
      <c r="A986" s="18"/>
      <c r="B986" s="18"/>
      <c r="C986" s="19"/>
      <c r="D986" s="20"/>
      <c r="E986" s="11"/>
      <c r="F986" s="11"/>
    </row>
    <row r="987">
      <c r="A987" s="18"/>
      <c r="B987" s="18"/>
      <c r="C987" s="19"/>
      <c r="D987" s="20"/>
      <c r="E987" s="11"/>
      <c r="F987" s="11"/>
    </row>
    <row r="988">
      <c r="A988" s="18"/>
      <c r="B988" s="18"/>
      <c r="C988" s="19"/>
      <c r="D988" s="20"/>
      <c r="E988" s="11"/>
      <c r="F988" s="11"/>
    </row>
    <row r="989">
      <c r="A989" s="18"/>
      <c r="B989" s="18"/>
      <c r="C989" s="19"/>
      <c r="D989" s="20"/>
      <c r="E989" s="11"/>
      <c r="F989" s="11"/>
    </row>
    <row r="990">
      <c r="A990" s="18"/>
      <c r="B990" s="18"/>
      <c r="C990" s="19"/>
      <c r="D990" s="20"/>
      <c r="E990" s="11"/>
      <c r="F990" s="11"/>
    </row>
    <row r="991">
      <c r="A991" s="18"/>
      <c r="B991" s="18"/>
      <c r="C991" s="19"/>
      <c r="D991" s="20"/>
      <c r="E991" s="11"/>
      <c r="F991" s="11"/>
    </row>
    <row r="992">
      <c r="A992" s="18"/>
      <c r="B992" s="18"/>
      <c r="C992" s="19"/>
      <c r="D992" s="20"/>
      <c r="E992" s="11"/>
      <c r="F992" s="11"/>
    </row>
    <row r="993">
      <c r="A993" s="18"/>
      <c r="B993" s="18"/>
      <c r="C993" s="19"/>
      <c r="D993" s="20"/>
      <c r="E993" s="11"/>
      <c r="F993" s="11"/>
    </row>
    <row r="994">
      <c r="A994" s="18"/>
      <c r="B994" s="18"/>
      <c r="C994" s="19"/>
      <c r="D994" s="20"/>
      <c r="E994" s="11"/>
      <c r="F994" s="11"/>
    </row>
    <row r="995">
      <c r="A995" s="18"/>
      <c r="B995" s="18"/>
      <c r="C995" s="19"/>
      <c r="D995" s="20"/>
      <c r="E995" s="11"/>
      <c r="F995" s="11"/>
    </row>
    <row r="996">
      <c r="A996" s="18"/>
      <c r="B996" s="18"/>
      <c r="C996" s="19"/>
      <c r="D996" s="20"/>
      <c r="E996" s="11"/>
      <c r="F996" s="11"/>
    </row>
    <row r="997">
      <c r="A997" s="18"/>
      <c r="B997" s="18"/>
      <c r="C997" s="19"/>
      <c r="D997" s="20"/>
      <c r="E997" s="11"/>
      <c r="F997" s="11"/>
    </row>
    <row r="998">
      <c r="A998" s="18"/>
      <c r="B998" s="18"/>
      <c r="C998" s="19"/>
      <c r="D998" s="20"/>
      <c r="E998" s="11"/>
      <c r="F998" s="11"/>
    </row>
    <row r="999">
      <c r="A999" s="18"/>
      <c r="B999" s="18"/>
      <c r="C999" s="19"/>
      <c r="D999" s="20"/>
      <c r="E999" s="11"/>
      <c r="F999" s="11"/>
    </row>
  </sheetData>
  <autoFilter ref="$A$1:$F$999"/>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75"/>
    <col customWidth="1" min="2" max="2" width="6.63"/>
    <col customWidth="1" min="3" max="4" width="5.5"/>
    <col customWidth="1" min="5" max="6" width="5.63"/>
    <col customWidth="1" min="7" max="7" width="6.25"/>
    <col customWidth="1" min="8" max="9" width="8.13"/>
    <col customWidth="1" min="10" max="11" width="7.0"/>
    <col customWidth="1" min="12" max="12" width="16.88"/>
    <col customWidth="1" min="13" max="13" width="20.5"/>
    <col customWidth="1" min="14" max="14" width="4.38"/>
    <col customWidth="1" min="15" max="15" width="5.75"/>
    <col customWidth="1" min="16" max="16" width="19.88"/>
    <col customWidth="1" min="17" max="17" width="3.88"/>
    <col customWidth="1" min="18" max="18" width="5.75"/>
    <col customWidth="1" min="19" max="19" width="14.63"/>
    <col customWidth="1" min="20" max="20" width="5.0"/>
    <col customWidth="1" min="21" max="21" width="6.5"/>
    <col customWidth="1" min="22" max="22" width="21.63"/>
    <col customWidth="1" min="23" max="23" width="5.13"/>
    <col customWidth="1" min="24" max="24" width="5.38"/>
    <col customWidth="1" min="25" max="25" width="20.5"/>
    <col customWidth="1" min="26" max="26" width="4.75"/>
    <col customWidth="1" min="27" max="27" width="5.25"/>
    <col customWidth="1" min="28" max="28" width="21.88"/>
    <col customWidth="1" min="29" max="29" width="5.0"/>
    <col customWidth="1" min="30" max="30" width="4.75"/>
    <col customWidth="1" min="31" max="31" width="5.63"/>
    <col customWidth="1" min="32" max="32" width="6.63"/>
    <col customWidth="1" min="33" max="33" width="6.5"/>
  </cols>
  <sheetData>
    <row r="1">
      <c r="A1" s="21" t="s">
        <v>88</v>
      </c>
      <c r="B1" s="22"/>
      <c r="C1" s="22"/>
      <c r="D1" s="22"/>
      <c r="E1" s="22">
        <f>countifs(Students!T:T,"#N/A")</f>
        <v>0</v>
      </c>
      <c r="F1" s="22"/>
      <c r="G1" s="22"/>
      <c r="I1" s="23"/>
      <c r="J1" s="23"/>
      <c r="K1" s="23"/>
      <c r="L1" s="24" t="s">
        <v>89</v>
      </c>
      <c r="P1" s="25">
        <f>countifs(Students!AB:AB,"&gt;0")</f>
        <v>0</v>
      </c>
      <c r="Q1" s="26"/>
      <c r="R1" s="24" t="s">
        <v>90</v>
      </c>
      <c r="T1" s="27">
        <f>iferror(rounddown(sum(Students!AA:AA)/(rounddown(countifs(Students!B2:B86,"&lt;&gt;"&amp;""),0)*6),2),0)</f>
        <v>1</v>
      </c>
      <c r="U1" s="26"/>
      <c r="V1" s="24" t="s">
        <v>91</v>
      </c>
      <c r="Y1" s="25">
        <f>countifs(O3:O27,"&gt;24")+countifs(R3:R27,"&gt;24")+countifs(U3:U27,"&gt;24")+countifs(X3:X27,"&gt;24")+countifs(AA3:AA27,"&gt;24")+countifs(AD3:AD27,"&gt;24")+countifs(#REF!,"&gt;24")</f>
        <v>18</v>
      </c>
      <c r="Z1" s="26"/>
      <c r="AA1" s="28" t="s">
        <v>92</v>
      </c>
      <c r="AC1" s="25">
        <f>sum('Ghost Classes'!E:E)</f>
        <v>0</v>
      </c>
      <c r="AD1" s="26"/>
      <c r="AE1" s="29"/>
      <c r="AF1" s="30"/>
      <c r="AG1" s="26"/>
      <c r="AH1" s="31"/>
    </row>
    <row r="2">
      <c r="A2" s="32" t="s">
        <v>93</v>
      </c>
      <c r="B2" s="32" t="s">
        <v>94</v>
      </c>
      <c r="C2" s="32" t="s">
        <v>95</v>
      </c>
      <c r="D2" s="32" t="s">
        <v>96</v>
      </c>
      <c r="E2" s="32" t="s">
        <v>97</v>
      </c>
      <c r="F2" s="32" t="s">
        <v>98</v>
      </c>
      <c r="G2" s="32" t="s">
        <v>99</v>
      </c>
      <c r="I2" s="33" t="s">
        <v>100</v>
      </c>
      <c r="J2" s="33" t="s">
        <v>101</v>
      </c>
      <c r="K2" s="33" t="s">
        <v>102</v>
      </c>
      <c r="L2" s="33" t="s">
        <v>103</v>
      </c>
      <c r="M2" s="34">
        <v>1.0</v>
      </c>
      <c r="N2" s="35" t="s">
        <v>104</v>
      </c>
      <c r="O2" s="36" t="str">
        <f t="array" ref="O2:O86">if(ROW(O2:O86)=2,"#",if(M2:M86="","",if($J2:$J86="S1",countifs(Students!$P:$P,M$2:M86,Students!$Q:$Q,M$2&amp;$K2:$K86),if($J2:$J86="S2",countifs(Students!$R:$R,M$2:M86,Students!$S:$S,M$2&amp;$K2:$K86),countifs('Students (Vertical)'!$D:$D,M$2:M86,'Students (Vertical)'!$E:$E,M$2&amp;$K2:$K86)))))</f>
        <v>#</v>
      </c>
      <c r="P2" s="37">
        <v>2.0</v>
      </c>
      <c r="Q2" s="37" t="s">
        <v>104</v>
      </c>
      <c r="R2" s="36" t="str">
        <f t="array" ref="R2:R86">if(ROW(R2:R86)=2,"#",if(P2:P86="","",if($J2:$J86="S1",countifs(Students!$P:$P,P$2:P86,Students!$Q:$Q,P$2&amp;$K2:$K86),if($J2:$J86="S2",countifs(Students!$R:$R,P$2:P86,Students!$S:$S,P$2&amp;$K2:$K86),countifs('Students (Vertical)'!$D:$D,P$2:P86,'Students (Vertical)'!$E:$E,P$2&amp;$K2:$K86)))))</f>
        <v>#</v>
      </c>
      <c r="S2" s="38">
        <v>3.0</v>
      </c>
      <c r="T2" s="39" t="s">
        <v>104</v>
      </c>
      <c r="U2" s="36" t="str">
        <f t="array" ref="U2:U86">if(ROW(U2:U86)=2,"#",if(S2:S86="","",if($J2:$J86="S1",countifs(Students!$P:$P,S$2:S86,Students!$Q:$Q,S$2&amp;$K2:$K86),if($J2:$J86="S2",countifs(Students!$R:$R,S$2:S86,Students!$S:$S,S$2&amp;$K2:$K86),countifs('Students (Vertical)'!$D:$D,S$2:S86,'Students (Vertical)'!$E:$E,S$2&amp;$K2:$K86)))))</f>
        <v>#</v>
      </c>
      <c r="V2" s="40">
        <v>4.0</v>
      </c>
      <c r="W2" s="41" t="s">
        <v>104</v>
      </c>
      <c r="X2" s="36" t="str">
        <f t="array" ref="X2:X86">if(ROW(X2:X86)=2,"#",if(V2:V86="","",if($J2:$J86="S1",countifs(Students!$P:$P,V$2:V86,Students!$Q:$Q,V$2&amp;$K2:$K86),if($J2:$J86="S2",countifs(Students!$R:$R,V$2:V86,Students!$S:$S,V$2&amp;$K2:$K86),countifs('Students (Vertical)'!$D:$D,V$2:V86,'Students (Vertical)'!$E:$E,V$2&amp;$K2:$K86)))))</f>
        <v>#</v>
      </c>
      <c r="Y2" s="42">
        <v>5.0</v>
      </c>
      <c r="Z2" s="42" t="s">
        <v>104</v>
      </c>
      <c r="AA2" s="36" t="str">
        <f t="array" ref="AA2:AA86">if(ROW(AA2:AA86)=2,"#",if(Y2:Y86="","",if($J2:$J86="S1",countifs(Students!$P:$P,Y$2:Y86,Students!$Q:$Q,Y$2&amp;$K2:$K86),if($J2:$J86="S2",countifs(Students!$R:$R,Y$2:Y86,Students!$S:$S,Y$2&amp;$K2:$K86),countifs('Students (Vertical)'!$D:$D,Y$2:Y86,'Students (Vertical)'!$E:$E,Y$2&amp;$K2:$K86)))))</f>
        <v>#</v>
      </c>
      <c r="AB2" s="43">
        <v>6.0</v>
      </c>
      <c r="AC2" s="44" t="s">
        <v>104</v>
      </c>
      <c r="AD2" s="36" t="str">
        <f t="array" ref="AD2:AD86">if(ROW(AD2:AD86)=2,"#",if(AB2:AB86="","",if($J2:$J86="S1",countifs(Students!$P:$P,AB$2:AB86,Students!$Q:$Q,AB$2&amp;$K2:$K86),if($J2:$J86="S2",countifs(Students!$R:$R,AB$2:AB86,Students!$S:$S,AB$2&amp;$K2:$K86),countifs('Students (Vertical)'!$D:$D,AB$2:AB86,'Students (Vertical)'!$E:$E,AB$2&amp;$K2:$K86)))))</f>
        <v>#</v>
      </c>
      <c r="AE2" s="45" t="s">
        <v>105</v>
      </c>
      <c r="AF2" s="45" t="s">
        <v>106</v>
      </c>
      <c r="AG2" s="45" t="s">
        <v>107</v>
      </c>
      <c r="AH2" s="31"/>
    </row>
    <row r="3">
      <c r="A3" s="46" t="s">
        <v>21</v>
      </c>
      <c r="B3" s="32">
        <v>1.0</v>
      </c>
      <c r="C3" s="47" t="s">
        <v>108</v>
      </c>
      <c r="D3" s="48" t="s">
        <v>109</v>
      </c>
      <c r="E3" s="49" t="s">
        <v>110</v>
      </c>
      <c r="F3" s="50" t="s">
        <v>111</v>
      </c>
      <c r="G3" s="51" t="s">
        <v>112</v>
      </c>
      <c r="I3" s="52">
        <v>329.0</v>
      </c>
      <c r="J3" s="53" t="s">
        <v>113</v>
      </c>
      <c r="K3" s="53" t="s">
        <v>114</v>
      </c>
      <c r="L3" s="54" t="s">
        <v>115</v>
      </c>
      <c r="M3" s="55" t="s">
        <v>116</v>
      </c>
      <c r="N3" s="52">
        <v>1.0</v>
      </c>
      <c r="O3" s="52">
        <v>11.0</v>
      </c>
      <c r="P3" s="55" t="s">
        <v>117</v>
      </c>
      <c r="Q3" s="55">
        <v>3.0</v>
      </c>
      <c r="R3" s="52">
        <v>12.0</v>
      </c>
      <c r="S3" s="56"/>
      <c r="T3" s="57"/>
      <c r="U3" s="52" t="s">
        <v>8</v>
      </c>
      <c r="V3" s="55" t="s">
        <v>117</v>
      </c>
      <c r="W3" s="52">
        <v>5.0</v>
      </c>
      <c r="X3" s="52">
        <v>12.0</v>
      </c>
      <c r="Y3" s="55" t="s">
        <v>118</v>
      </c>
      <c r="Z3" s="52">
        <v>2.0</v>
      </c>
      <c r="AA3" s="52">
        <v>10.0</v>
      </c>
      <c r="AB3" s="55" t="s">
        <v>116</v>
      </c>
      <c r="AC3" s="52">
        <v>5.0</v>
      </c>
      <c r="AD3" s="52">
        <v>23.0</v>
      </c>
      <c r="AE3" s="58"/>
      <c r="AF3" s="59"/>
      <c r="AG3" s="59">
        <v>1.0</v>
      </c>
      <c r="AH3" s="31" t="str">
        <f t="array" ref="AH3:AH33">sort(unique(L3:L70))</f>
        <v>Adriana RamIrez</v>
      </c>
    </row>
    <row r="4">
      <c r="A4" s="60"/>
      <c r="B4" s="32">
        <v>2.0</v>
      </c>
      <c r="C4" s="61" t="s">
        <v>119</v>
      </c>
      <c r="D4" s="51" t="s">
        <v>112</v>
      </c>
      <c r="E4" s="61" t="s">
        <v>119</v>
      </c>
      <c r="F4" s="62" t="s">
        <v>108</v>
      </c>
      <c r="G4" s="48" t="s">
        <v>120</v>
      </c>
      <c r="I4" s="52">
        <v>329.0</v>
      </c>
      <c r="J4" s="52" t="s">
        <v>113</v>
      </c>
      <c r="K4" s="52" t="s">
        <v>121</v>
      </c>
      <c r="L4" s="54" t="s">
        <v>115</v>
      </c>
      <c r="M4" s="55" t="s">
        <v>117</v>
      </c>
      <c r="N4" s="52">
        <v>1.0</v>
      </c>
      <c r="O4" s="52">
        <v>12.0</v>
      </c>
      <c r="P4" s="55" t="s">
        <v>116</v>
      </c>
      <c r="Q4" s="55">
        <v>3.0</v>
      </c>
      <c r="R4" s="52">
        <v>11.0</v>
      </c>
      <c r="S4" s="56"/>
      <c r="T4" s="57"/>
      <c r="U4" s="52" t="s">
        <v>8</v>
      </c>
      <c r="V4" s="55"/>
      <c r="W4" s="52"/>
      <c r="X4" s="52" t="s">
        <v>8</v>
      </c>
      <c r="Y4" s="55"/>
      <c r="Z4" s="52"/>
      <c r="AA4" s="52" t="s">
        <v>8</v>
      </c>
      <c r="AB4" s="55" t="s">
        <v>117</v>
      </c>
      <c r="AC4" s="52">
        <v>7.0</v>
      </c>
      <c r="AD4" s="52">
        <v>12.0</v>
      </c>
      <c r="AE4" s="58"/>
      <c r="AF4" s="59">
        <v>1.0</v>
      </c>
      <c r="AG4" s="59">
        <v>1.0</v>
      </c>
      <c r="AH4" s="31" t="s">
        <v>122</v>
      </c>
    </row>
    <row r="5">
      <c r="A5" s="60"/>
      <c r="B5" s="32">
        <v>3.0</v>
      </c>
      <c r="C5" s="49" t="s">
        <v>110</v>
      </c>
      <c r="D5" s="49" t="s">
        <v>123</v>
      </c>
      <c r="E5" s="51" t="s">
        <v>124</v>
      </c>
      <c r="F5" s="61" t="s">
        <v>125</v>
      </c>
      <c r="G5" s="63" t="s">
        <v>126</v>
      </c>
      <c r="I5" s="52">
        <v>329.0</v>
      </c>
      <c r="J5" s="52" t="s">
        <v>127</v>
      </c>
      <c r="K5" s="52" t="s">
        <v>114</v>
      </c>
      <c r="L5" s="54" t="s">
        <v>115</v>
      </c>
      <c r="M5" s="55" t="s">
        <v>116</v>
      </c>
      <c r="N5" s="52">
        <v>2.0</v>
      </c>
      <c r="O5" s="52">
        <v>10.0</v>
      </c>
      <c r="P5" s="55" t="s">
        <v>117</v>
      </c>
      <c r="Q5" s="55">
        <v>4.0</v>
      </c>
      <c r="R5" s="52">
        <v>12.0</v>
      </c>
      <c r="S5" s="56"/>
      <c r="T5" s="57"/>
      <c r="U5" s="52" t="s">
        <v>8</v>
      </c>
      <c r="V5" s="55" t="s">
        <v>117</v>
      </c>
      <c r="W5" s="52">
        <v>6.0</v>
      </c>
      <c r="X5" s="52">
        <v>12.0</v>
      </c>
      <c r="Y5" s="55" t="s">
        <v>118</v>
      </c>
      <c r="Z5" s="52">
        <v>3.0</v>
      </c>
      <c r="AA5" s="52">
        <v>10.0</v>
      </c>
      <c r="AB5" s="55"/>
      <c r="AC5" s="52"/>
      <c r="AD5" s="52" t="s">
        <v>8</v>
      </c>
      <c r="AE5" s="58"/>
      <c r="AF5" s="59">
        <v>1.0</v>
      </c>
      <c r="AG5" s="59"/>
      <c r="AH5" s="31" t="s">
        <v>128</v>
      </c>
    </row>
    <row r="6">
      <c r="A6" s="60"/>
      <c r="B6" s="32">
        <v>4.0</v>
      </c>
      <c r="C6" s="50" t="s">
        <v>111</v>
      </c>
      <c r="D6" s="62" t="s">
        <v>129</v>
      </c>
      <c r="E6" s="48" t="s">
        <v>120</v>
      </c>
      <c r="F6" s="49" t="s">
        <v>123</v>
      </c>
      <c r="G6" s="50" t="s">
        <v>130</v>
      </c>
      <c r="I6" s="52">
        <v>329.0</v>
      </c>
      <c r="J6" s="52" t="s">
        <v>127</v>
      </c>
      <c r="K6" s="52" t="s">
        <v>121</v>
      </c>
      <c r="L6" s="54" t="s">
        <v>115</v>
      </c>
      <c r="M6" s="55" t="s">
        <v>117</v>
      </c>
      <c r="N6" s="52">
        <v>2.0</v>
      </c>
      <c r="O6" s="52">
        <v>11.0</v>
      </c>
      <c r="P6" s="55" t="s">
        <v>116</v>
      </c>
      <c r="Q6" s="55">
        <v>4.0</v>
      </c>
      <c r="R6" s="52">
        <v>11.0</v>
      </c>
      <c r="S6" s="56"/>
      <c r="T6" s="57"/>
      <c r="U6" s="52" t="s">
        <v>8</v>
      </c>
      <c r="V6" s="55" t="s">
        <v>118</v>
      </c>
      <c r="W6" s="52">
        <v>1.0</v>
      </c>
      <c r="X6" s="52">
        <v>25.0</v>
      </c>
      <c r="Y6" s="55"/>
      <c r="Z6" s="52"/>
      <c r="AA6" s="52" t="s">
        <v>8</v>
      </c>
      <c r="AB6" s="55" t="s">
        <v>117</v>
      </c>
      <c r="AC6" s="52">
        <v>8.0</v>
      </c>
      <c r="AD6" s="52">
        <v>12.0</v>
      </c>
      <c r="AE6" s="58">
        <v>1.0</v>
      </c>
      <c r="AF6" s="59"/>
      <c r="AG6" s="59"/>
      <c r="AH6" s="31" t="s">
        <v>131</v>
      </c>
    </row>
    <row r="7">
      <c r="A7" s="64"/>
      <c r="B7" s="32">
        <v>5.0</v>
      </c>
      <c r="C7" s="51" t="s">
        <v>124</v>
      </c>
      <c r="D7" s="61" t="s">
        <v>125</v>
      </c>
      <c r="E7" s="50" t="s">
        <v>130</v>
      </c>
      <c r="F7" s="48" t="s">
        <v>109</v>
      </c>
      <c r="G7" s="62" t="s">
        <v>129</v>
      </c>
      <c r="I7" s="52">
        <v>617.0</v>
      </c>
      <c r="J7" s="53" t="s">
        <v>113</v>
      </c>
      <c r="K7" s="53" t="s">
        <v>114</v>
      </c>
      <c r="L7" s="65" t="s">
        <v>132</v>
      </c>
      <c r="M7" s="55" t="s">
        <v>133</v>
      </c>
      <c r="N7" s="52">
        <v>1.0</v>
      </c>
      <c r="O7" s="52">
        <v>10.0</v>
      </c>
      <c r="P7" s="55" t="s">
        <v>134</v>
      </c>
      <c r="Q7" s="55">
        <v>3.0</v>
      </c>
      <c r="R7" s="52">
        <v>12.0</v>
      </c>
      <c r="S7" s="56"/>
      <c r="T7" s="57"/>
      <c r="U7" s="52" t="s">
        <v>8</v>
      </c>
      <c r="V7" s="55" t="s">
        <v>134</v>
      </c>
      <c r="W7" s="52">
        <v>5.0</v>
      </c>
      <c r="X7" s="52">
        <v>12.0</v>
      </c>
      <c r="Y7" s="55" t="s">
        <v>135</v>
      </c>
      <c r="Z7" s="52">
        <v>2.0</v>
      </c>
      <c r="AA7" s="52">
        <v>10.0</v>
      </c>
      <c r="AB7" s="55"/>
      <c r="AC7" s="52"/>
      <c r="AD7" s="52" t="s">
        <v>8</v>
      </c>
      <c r="AE7" s="58">
        <v>1.0</v>
      </c>
      <c r="AF7" s="59"/>
      <c r="AG7" s="59">
        <v>1.0</v>
      </c>
      <c r="AH7" s="31" t="s">
        <v>136</v>
      </c>
    </row>
    <row r="8">
      <c r="I8" s="52">
        <v>617.0</v>
      </c>
      <c r="J8" s="52" t="s">
        <v>113</v>
      </c>
      <c r="K8" s="52" t="s">
        <v>121</v>
      </c>
      <c r="L8" s="65" t="s">
        <v>132</v>
      </c>
      <c r="M8" s="55" t="s">
        <v>134</v>
      </c>
      <c r="N8" s="52">
        <v>1.0</v>
      </c>
      <c r="O8" s="52">
        <v>11.0</v>
      </c>
      <c r="P8" s="55" t="s">
        <v>133</v>
      </c>
      <c r="Q8" s="52">
        <v>3.0</v>
      </c>
      <c r="R8" s="52">
        <v>11.0</v>
      </c>
      <c r="S8" s="56"/>
      <c r="T8" s="57"/>
      <c r="U8" s="52" t="s">
        <v>8</v>
      </c>
      <c r="V8" s="55" t="s">
        <v>135</v>
      </c>
      <c r="W8" s="52">
        <v>1.0</v>
      </c>
      <c r="X8" s="52">
        <v>25.0</v>
      </c>
      <c r="Y8" s="55"/>
      <c r="Z8" s="52"/>
      <c r="AA8" s="52" t="s">
        <v>8</v>
      </c>
      <c r="AB8" s="55" t="s">
        <v>134</v>
      </c>
      <c r="AC8" s="52">
        <v>7.0</v>
      </c>
      <c r="AD8" s="52">
        <v>12.0</v>
      </c>
      <c r="AE8" s="58"/>
      <c r="AF8" s="59"/>
      <c r="AG8" s="59">
        <v>1.0</v>
      </c>
      <c r="AH8" s="31" t="s">
        <v>137</v>
      </c>
    </row>
    <row r="9">
      <c r="H9" s="23"/>
      <c r="I9" s="52">
        <v>617.0</v>
      </c>
      <c r="J9" s="52" t="s">
        <v>127</v>
      </c>
      <c r="K9" s="52" t="s">
        <v>114</v>
      </c>
      <c r="L9" s="65" t="s">
        <v>132</v>
      </c>
      <c r="M9" s="55" t="s">
        <v>133</v>
      </c>
      <c r="N9" s="52">
        <v>2.0</v>
      </c>
      <c r="O9" s="52">
        <v>11.0</v>
      </c>
      <c r="P9" s="55" t="s">
        <v>134</v>
      </c>
      <c r="Q9" s="55">
        <v>4.0</v>
      </c>
      <c r="R9" s="52">
        <v>12.0</v>
      </c>
      <c r="S9" s="56"/>
      <c r="T9" s="57"/>
      <c r="U9" s="52" t="s">
        <v>8</v>
      </c>
      <c r="V9" s="55" t="s">
        <v>134</v>
      </c>
      <c r="W9" s="52">
        <v>6.0</v>
      </c>
      <c r="X9" s="52">
        <v>12.0</v>
      </c>
      <c r="Y9" s="55" t="s">
        <v>135</v>
      </c>
      <c r="Z9" s="52">
        <v>3.0</v>
      </c>
      <c r="AA9" s="52">
        <v>10.0</v>
      </c>
      <c r="AB9" s="55" t="s">
        <v>133</v>
      </c>
      <c r="AC9" s="52">
        <v>5.0</v>
      </c>
      <c r="AD9" s="52">
        <v>23.0</v>
      </c>
      <c r="AE9" s="58"/>
      <c r="AF9" s="66">
        <v>1.0</v>
      </c>
      <c r="AG9" s="66"/>
      <c r="AH9" s="31" t="s">
        <v>115</v>
      </c>
    </row>
    <row r="10">
      <c r="A10" s="67"/>
      <c r="B10" s="33">
        <v>1.0</v>
      </c>
      <c r="C10" s="33">
        <v>2.0</v>
      </c>
      <c r="D10" s="33">
        <v>3.0</v>
      </c>
      <c r="E10" s="33">
        <v>4.0</v>
      </c>
      <c r="F10" s="33">
        <v>5.0</v>
      </c>
      <c r="G10" s="33">
        <v>6.0</v>
      </c>
      <c r="H10" s="23"/>
      <c r="I10" s="52">
        <v>617.0</v>
      </c>
      <c r="J10" s="52" t="s">
        <v>127</v>
      </c>
      <c r="K10" s="52" t="s">
        <v>121</v>
      </c>
      <c r="L10" s="65" t="s">
        <v>132</v>
      </c>
      <c r="M10" s="55" t="s">
        <v>134</v>
      </c>
      <c r="N10" s="52">
        <v>2.0</v>
      </c>
      <c r="O10" s="52">
        <v>12.0</v>
      </c>
      <c r="P10" s="55" t="s">
        <v>133</v>
      </c>
      <c r="Q10" s="52">
        <v>4.0</v>
      </c>
      <c r="R10" s="52">
        <v>11.0</v>
      </c>
      <c r="S10" s="56"/>
      <c r="T10" s="57"/>
      <c r="U10" s="52" t="s">
        <v>8</v>
      </c>
      <c r="V10" s="55"/>
      <c r="W10" s="52"/>
      <c r="X10" s="52" t="s">
        <v>8</v>
      </c>
      <c r="Y10" s="55"/>
      <c r="Z10" s="52"/>
      <c r="AA10" s="52" t="s">
        <v>8</v>
      </c>
      <c r="AB10" s="55" t="s">
        <v>134</v>
      </c>
      <c r="AC10" s="52">
        <v>8.0</v>
      </c>
      <c r="AD10" s="52">
        <v>12.0</v>
      </c>
      <c r="AE10" s="58">
        <v>1.0</v>
      </c>
      <c r="AF10" s="59">
        <v>1.0</v>
      </c>
      <c r="AG10" s="59"/>
      <c r="AH10" s="31" t="s">
        <v>138</v>
      </c>
    </row>
    <row r="11">
      <c r="A11" s="33">
        <v>6.0</v>
      </c>
      <c r="B11" s="23">
        <f>countifs(Students!$A:$A,$A11)-countifs(Students!$A:$A,$A11,Students!U:U,"&gt;0")</f>
        <v>0</v>
      </c>
      <c r="C11" s="23">
        <f>countifs(Students!$A:$A,$A11)-countifs(Students!$A:$A,$A11,Students!V:V,"&gt;0")</f>
        <v>0</v>
      </c>
      <c r="D11" s="23">
        <f>countifs(Students!$A:$A,$A11)-countifs(Students!$A:$A,$A11,Students!W:W,"&gt;0")</f>
        <v>0</v>
      </c>
      <c r="E11" s="23">
        <f>countifs(Students!$A:$A,$A11)-countifs(Students!$A:$A,$A11,Students!X:X,"&gt;0")</f>
        <v>0</v>
      </c>
      <c r="F11" s="23">
        <f>countifs(Students!$A:$A,$A11)-countifs(Students!$A:$A,$A11,Students!Y:Y,"&gt;0")</f>
        <v>0</v>
      </c>
      <c r="G11" s="23">
        <f>countifs(Students!$A:$A,$A11)-countifs(Students!$A:$A,$A11,Students!Z:Z,"&gt;0")</f>
        <v>0</v>
      </c>
      <c r="H11" s="68">
        <f>countifs(Students!A:A,A11)/6</f>
        <v>24</v>
      </c>
      <c r="I11" s="52">
        <v>328.0</v>
      </c>
      <c r="J11" s="53" t="s">
        <v>113</v>
      </c>
      <c r="K11" s="53" t="s">
        <v>114</v>
      </c>
      <c r="L11" s="65" t="s">
        <v>139</v>
      </c>
      <c r="M11" s="55" t="s">
        <v>140</v>
      </c>
      <c r="N11" s="52">
        <v>1.0</v>
      </c>
      <c r="O11" s="52">
        <v>21.0</v>
      </c>
      <c r="P11" s="55" t="s">
        <v>141</v>
      </c>
      <c r="Q11" s="52">
        <v>2.0</v>
      </c>
      <c r="R11" s="52">
        <v>25.0</v>
      </c>
      <c r="S11" s="56"/>
      <c r="T11" s="57"/>
      <c r="U11" s="52" t="s">
        <v>8</v>
      </c>
      <c r="V11" s="55"/>
      <c r="W11" s="52"/>
      <c r="X11" s="52" t="s">
        <v>8</v>
      </c>
      <c r="Y11" s="55" t="s">
        <v>142</v>
      </c>
      <c r="Z11" s="52">
        <v>1.0</v>
      </c>
      <c r="AA11" s="52">
        <v>26.0</v>
      </c>
      <c r="AB11" s="55" t="s">
        <v>143</v>
      </c>
      <c r="AC11" s="52">
        <v>1.0</v>
      </c>
      <c r="AD11" s="52">
        <v>23.0</v>
      </c>
      <c r="AE11" s="58">
        <v>1.0</v>
      </c>
      <c r="AF11" s="66"/>
      <c r="AG11" s="66"/>
      <c r="AH11" s="31" t="s">
        <v>139</v>
      </c>
    </row>
    <row r="12">
      <c r="A12" s="33">
        <v>7.0</v>
      </c>
      <c r="B12" s="23">
        <f>countifs(Students!$A:$A,$A12)-countifs(Students!$A:$A,$A12,Students!U:U,"&gt;0")</f>
        <v>0</v>
      </c>
      <c r="C12" s="23">
        <f>countifs(Students!$A:$A,$A12)-countifs(Students!$A:$A,$A12,Students!V:V,"&gt;0")</f>
        <v>0</v>
      </c>
      <c r="D12" s="23">
        <f>countifs(Students!$A:$A,$A12)-countifs(Students!$A:$A,$A12,Students!W:W,"&gt;0")</f>
        <v>0</v>
      </c>
      <c r="E12" s="23">
        <f>countifs(Students!$A:$A,$A12)-countifs(Students!$A:$A,$A12,Students!X:X,"&gt;0")</f>
        <v>0</v>
      </c>
      <c r="F12" s="23">
        <f>countifs(Students!$A:$A,$A12)-countifs(Students!$A:$A,$A12,Students!Y:Y,"&gt;0")</f>
        <v>0</v>
      </c>
      <c r="G12" s="23">
        <f>countifs(Students!$A:$A,$A12)-countifs(Students!$A:$A,$A12,Students!Z:Z,"&gt;0")</f>
        <v>0</v>
      </c>
      <c r="H12" s="68">
        <f>countifs(Students!A:A,A12)/6</f>
        <v>21.83333333</v>
      </c>
      <c r="I12" s="52">
        <v>328.0</v>
      </c>
      <c r="J12" s="52" t="s">
        <v>113</v>
      </c>
      <c r="K12" s="52" t="s">
        <v>121</v>
      </c>
      <c r="L12" s="65" t="s">
        <v>139</v>
      </c>
      <c r="M12" s="55" t="s">
        <v>141</v>
      </c>
      <c r="N12" s="52">
        <v>1.0</v>
      </c>
      <c r="O12" s="52">
        <v>25.0</v>
      </c>
      <c r="P12" s="55" t="s">
        <v>140</v>
      </c>
      <c r="Q12" s="55">
        <v>2.0</v>
      </c>
      <c r="R12" s="52">
        <v>22.0</v>
      </c>
      <c r="S12" s="56"/>
      <c r="T12" s="69"/>
      <c r="U12" s="52" t="s">
        <v>8</v>
      </c>
      <c r="V12" s="55" t="s">
        <v>140</v>
      </c>
      <c r="W12" s="52">
        <v>3.0</v>
      </c>
      <c r="X12" s="52">
        <v>22.0</v>
      </c>
      <c r="Y12" s="55" t="s">
        <v>141</v>
      </c>
      <c r="Z12" s="55">
        <v>3.0</v>
      </c>
      <c r="AA12" s="52">
        <v>24.0</v>
      </c>
      <c r="AB12" s="55" t="s">
        <v>141</v>
      </c>
      <c r="AC12" s="55">
        <v>4.0</v>
      </c>
      <c r="AD12" s="52">
        <v>23.0</v>
      </c>
      <c r="AE12" s="58">
        <v>1.0</v>
      </c>
      <c r="AF12" s="59"/>
      <c r="AG12" s="59"/>
      <c r="AH12" s="31" t="s">
        <v>144</v>
      </c>
    </row>
    <row r="13">
      <c r="A13" s="33">
        <v>8.0</v>
      </c>
      <c r="B13" s="23">
        <f>countifs(Students!$A:$A,$A13)-countifs(Students!$A:$A,$A13,Students!U:U,"&gt;0")</f>
        <v>0</v>
      </c>
      <c r="C13" s="23">
        <f>countifs(Students!$A:$A,$A13)-countifs(Students!$A:$A,$A13,Students!V:V,"&gt;0")</f>
        <v>0</v>
      </c>
      <c r="D13" s="23">
        <f>countifs(Students!$A:$A,$A13)-countifs(Students!$A:$A,$A13,Students!W:W,"&gt;0")</f>
        <v>0</v>
      </c>
      <c r="E13" s="23">
        <f>countifs(Students!$A:$A,$A13)-countifs(Students!$A:$A,$A13,Students!X:X,"&gt;0")</f>
        <v>0</v>
      </c>
      <c r="F13" s="23">
        <f>countifs(Students!$A:$A,$A13)-countifs(Students!$A:$A,$A13,Students!Y:Y,"&gt;0")</f>
        <v>0</v>
      </c>
      <c r="G13" s="23">
        <f>countifs(Students!$A:$A,$A13)-countifs(Students!$A:$A,$A13,Students!Z:Z,"&gt;0")</f>
        <v>0</v>
      </c>
      <c r="H13" s="68">
        <f>countifs(Students!A:A,A13)/6</f>
        <v>23.66666667</v>
      </c>
      <c r="I13" s="52">
        <v>328.0</v>
      </c>
      <c r="J13" s="52" t="s">
        <v>127</v>
      </c>
      <c r="K13" s="52" t="s">
        <v>114</v>
      </c>
      <c r="L13" s="65" t="s">
        <v>139</v>
      </c>
      <c r="M13" s="55" t="s">
        <v>140</v>
      </c>
      <c r="N13" s="55">
        <v>1.0</v>
      </c>
      <c r="O13" s="52">
        <v>21.0</v>
      </c>
      <c r="P13" s="55" t="s">
        <v>141</v>
      </c>
      <c r="Q13" s="52">
        <v>2.0</v>
      </c>
      <c r="R13" s="52">
        <v>25.0</v>
      </c>
      <c r="S13" s="56"/>
      <c r="T13" s="57"/>
      <c r="U13" s="52" t="s">
        <v>8</v>
      </c>
      <c r="V13" s="55"/>
      <c r="W13" s="52"/>
      <c r="X13" s="52" t="s">
        <v>8</v>
      </c>
      <c r="Y13" s="55" t="s">
        <v>142</v>
      </c>
      <c r="Z13" s="52">
        <v>1.0</v>
      </c>
      <c r="AA13" s="52">
        <v>26.0</v>
      </c>
      <c r="AB13" s="55" t="s">
        <v>143</v>
      </c>
      <c r="AC13" s="52">
        <v>1.0</v>
      </c>
      <c r="AD13" s="52">
        <v>23.0</v>
      </c>
      <c r="AE13" s="58">
        <v>1.0</v>
      </c>
      <c r="AF13" s="59">
        <v>1.0</v>
      </c>
      <c r="AG13" s="59"/>
      <c r="AH13" s="31" t="s">
        <v>145</v>
      </c>
    </row>
    <row r="14">
      <c r="A14" s="31"/>
      <c r="B14" s="70"/>
      <c r="C14" s="70"/>
      <c r="D14" s="70"/>
      <c r="E14" s="70"/>
      <c r="F14" s="70"/>
      <c r="G14" s="70"/>
      <c r="H14" s="71"/>
      <c r="I14" s="52">
        <v>328.0</v>
      </c>
      <c r="J14" s="52" t="s">
        <v>127</v>
      </c>
      <c r="K14" s="52" t="s">
        <v>121</v>
      </c>
      <c r="L14" s="65" t="s">
        <v>139</v>
      </c>
      <c r="M14" s="55" t="s">
        <v>141</v>
      </c>
      <c r="N14" s="55">
        <v>1.0</v>
      </c>
      <c r="O14" s="52">
        <v>25.0</v>
      </c>
      <c r="P14" s="55" t="s">
        <v>140</v>
      </c>
      <c r="Q14" s="52">
        <v>2.0</v>
      </c>
      <c r="R14" s="52">
        <v>22.0</v>
      </c>
      <c r="S14" s="56"/>
      <c r="T14" s="57"/>
      <c r="U14" s="52" t="s">
        <v>8</v>
      </c>
      <c r="V14" s="55" t="s">
        <v>140</v>
      </c>
      <c r="W14" s="52">
        <v>3.0</v>
      </c>
      <c r="X14" s="52">
        <v>22.0</v>
      </c>
      <c r="Y14" s="55" t="s">
        <v>141</v>
      </c>
      <c r="Z14" s="52">
        <v>3.0</v>
      </c>
      <c r="AA14" s="52">
        <v>24.0</v>
      </c>
      <c r="AB14" s="55" t="s">
        <v>141</v>
      </c>
      <c r="AC14" s="52">
        <v>4.0</v>
      </c>
      <c r="AD14" s="52">
        <v>23.0</v>
      </c>
      <c r="AE14" s="58"/>
      <c r="AF14" s="59">
        <v>1.0</v>
      </c>
      <c r="AG14" s="59"/>
      <c r="AH14" s="31" t="s">
        <v>146</v>
      </c>
    </row>
    <row r="15">
      <c r="A15" s="72"/>
      <c r="B15" s="72"/>
      <c r="C15" s="73"/>
      <c r="D15" s="73"/>
      <c r="E15" s="73"/>
      <c r="F15" s="73"/>
      <c r="G15" s="73"/>
      <c r="H15" s="71"/>
      <c r="I15" s="52" t="s">
        <v>147</v>
      </c>
      <c r="J15" s="53"/>
      <c r="K15" s="53" t="s">
        <v>114</v>
      </c>
      <c r="L15" s="65" t="s">
        <v>148</v>
      </c>
      <c r="M15" s="55" t="s">
        <v>149</v>
      </c>
      <c r="N15" s="52">
        <v>1.0</v>
      </c>
      <c r="O15" s="52">
        <v>25.0</v>
      </c>
      <c r="P15" s="55" t="s">
        <v>150</v>
      </c>
      <c r="Q15" s="52">
        <v>3.0</v>
      </c>
      <c r="R15" s="52">
        <v>22.0</v>
      </c>
      <c r="S15" s="56"/>
      <c r="T15" s="56"/>
      <c r="U15" s="52" t="s">
        <v>8</v>
      </c>
      <c r="V15" s="52" t="s">
        <v>149</v>
      </c>
      <c r="W15" s="55">
        <v>3.0</v>
      </c>
      <c r="X15" s="52">
        <v>25.0</v>
      </c>
      <c r="Y15" s="55" t="s">
        <v>149</v>
      </c>
      <c r="Z15" s="55">
        <v>4.0</v>
      </c>
      <c r="AA15" s="52">
        <v>24.0</v>
      </c>
      <c r="AB15" s="52" t="s">
        <v>149</v>
      </c>
      <c r="AC15" s="74">
        <v>6.0</v>
      </c>
      <c r="AD15" s="52">
        <v>23.0</v>
      </c>
      <c r="AE15" s="58"/>
      <c r="AF15" s="59">
        <v>1.0</v>
      </c>
      <c r="AG15" s="59"/>
      <c r="AH15" s="31" t="s">
        <v>151</v>
      </c>
    </row>
    <row r="16">
      <c r="A16" s="72"/>
      <c r="B16" s="72"/>
      <c r="C16" s="73"/>
      <c r="D16" s="73"/>
      <c r="E16" s="73"/>
      <c r="F16" s="73"/>
      <c r="G16" s="73"/>
      <c r="H16" s="71"/>
      <c r="I16" s="52" t="s">
        <v>147</v>
      </c>
      <c r="J16" s="52"/>
      <c r="K16" s="52" t="s">
        <v>121</v>
      </c>
      <c r="L16" s="65" t="s">
        <v>148</v>
      </c>
      <c r="M16" s="55" t="s">
        <v>150</v>
      </c>
      <c r="N16" s="55">
        <v>1.0</v>
      </c>
      <c r="O16" s="52">
        <v>21.0</v>
      </c>
      <c r="P16" s="55" t="s">
        <v>149</v>
      </c>
      <c r="Q16" s="55">
        <v>2.0</v>
      </c>
      <c r="R16" s="52">
        <v>25.0</v>
      </c>
      <c r="S16" s="56"/>
      <c r="T16" s="56"/>
      <c r="U16" s="52" t="s">
        <v>8</v>
      </c>
      <c r="V16" s="52"/>
      <c r="W16" s="52"/>
      <c r="X16" s="52" t="s">
        <v>8</v>
      </c>
      <c r="Y16" s="52" t="s">
        <v>149</v>
      </c>
      <c r="Z16" s="55">
        <v>5.0</v>
      </c>
      <c r="AA16" s="52">
        <v>20.0</v>
      </c>
      <c r="AB16" s="52" t="s">
        <v>150</v>
      </c>
      <c r="AC16" s="75">
        <v>6.0</v>
      </c>
      <c r="AD16" s="52">
        <v>23.0</v>
      </c>
      <c r="AE16" s="58">
        <v>1.0</v>
      </c>
      <c r="AF16" s="59"/>
      <c r="AG16" s="59"/>
      <c r="AH16" s="31" t="s">
        <v>132</v>
      </c>
    </row>
    <row r="17">
      <c r="I17" s="67" t="s">
        <v>152</v>
      </c>
      <c r="J17" s="53"/>
      <c r="K17" s="53" t="s">
        <v>114</v>
      </c>
      <c r="L17" s="65" t="s">
        <v>151</v>
      </c>
      <c r="M17" s="52" t="s">
        <v>153</v>
      </c>
      <c r="N17" s="52">
        <v>1.0</v>
      </c>
      <c r="O17" s="52">
        <v>23.0</v>
      </c>
      <c r="P17" s="55" t="s">
        <v>154</v>
      </c>
      <c r="Q17" s="52">
        <v>4.0</v>
      </c>
      <c r="R17" s="52">
        <v>22.0</v>
      </c>
      <c r="S17" s="56"/>
      <c r="T17" s="56"/>
      <c r="U17" s="52" t="s">
        <v>8</v>
      </c>
      <c r="V17" s="52" t="s">
        <v>150</v>
      </c>
      <c r="W17" s="52">
        <v>5.0</v>
      </c>
      <c r="X17" s="52">
        <v>22.0</v>
      </c>
      <c r="Y17" s="52"/>
      <c r="Z17" s="52"/>
      <c r="AA17" s="52" t="s">
        <v>8</v>
      </c>
      <c r="AB17" s="52" t="s">
        <v>153</v>
      </c>
      <c r="AC17" s="52">
        <v>5.0</v>
      </c>
      <c r="AD17" s="52">
        <v>24.0</v>
      </c>
      <c r="AE17" s="76">
        <v>1.0</v>
      </c>
      <c r="AF17" s="77"/>
      <c r="AG17" s="77"/>
      <c r="AH17" s="31" t="s">
        <v>155</v>
      </c>
    </row>
    <row r="18">
      <c r="I18" s="67" t="s">
        <v>152</v>
      </c>
      <c r="J18" s="52"/>
      <c r="K18" s="52" t="s">
        <v>121</v>
      </c>
      <c r="L18" s="65" t="s">
        <v>151</v>
      </c>
      <c r="M18" s="52" t="s">
        <v>154</v>
      </c>
      <c r="N18" s="52">
        <v>2.0</v>
      </c>
      <c r="O18" s="52">
        <v>21.0</v>
      </c>
      <c r="P18" s="52" t="s">
        <v>153</v>
      </c>
      <c r="Q18" s="52">
        <v>2.0</v>
      </c>
      <c r="R18" s="52">
        <v>24.0</v>
      </c>
      <c r="S18" s="56"/>
      <c r="T18" s="56"/>
      <c r="U18" s="52" t="s">
        <v>8</v>
      </c>
      <c r="V18" s="52" t="s">
        <v>153</v>
      </c>
      <c r="W18" s="52">
        <v>3.0</v>
      </c>
      <c r="X18" s="52">
        <v>24.0</v>
      </c>
      <c r="Y18" s="52" t="s">
        <v>153</v>
      </c>
      <c r="Z18" s="52">
        <v>4.0</v>
      </c>
      <c r="AA18" s="52">
        <v>26.0</v>
      </c>
      <c r="AB18" s="78" t="s">
        <v>153</v>
      </c>
      <c r="AC18" s="52">
        <v>6.0</v>
      </c>
      <c r="AD18" s="52">
        <v>23.0</v>
      </c>
      <c r="AE18" s="79"/>
      <c r="AF18" s="77"/>
      <c r="AG18" s="59">
        <v>1.0</v>
      </c>
      <c r="AH18" s="31" t="s">
        <v>156</v>
      </c>
    </row>
    <row r="19">
      <c r="A19" s="72"/>
      <c r="B19" s="72"/>
      <c r="C19" s="73"/>
      <c r="D19" s="73"/>
      <c r="E19" s="73"/>
      <c r="F19" s="73"/>
      <c r="G19" s="73"/>
      <c r="H19" s="71"/>
      <c r="I19" s="52">
        <v>611.0</v>
      </c>
      <c r="J19" s="52"/>
      <c r="K19" s="52"/>
      <c r="L19" s="54" t="s">
        <v>157</v>
      </c>
      <c r="M19" s="55" t="s">
        <v>158</v>
      </c>
      <c r="N19" s="55">
        <v>1.0</v>
      </c>
      <c r="O19" s="52">
        <v>24.0</v>
      </c>
      <c r="P19" s="56"/>
      <c r="Q19" s="57"/>
      <c r="R19" s="52" t="s">
        <v>8</v>
      </c>
      <c r="S19" s="52" t="s">
        <v>158</v>
      </c>
      <c r="T19" s="52">
        <v>2.0</v>
      </c>
      <c r="U19" s="52">
        <v>24.0</v>
      </c>
      <c r="V19" s="55"/>
      <c r="W19" s="52"/>
      <c r="X19" s="52" t="s">
        <v>8</v>
      </c>
      <c r="Y19" s="55" t="s">
        <v>159</v>
      </c>
      <c r="Z19" s="52">
        <v>4.0</v>
      </c>
      <c r="AA19" s="52">
        <v>24.0</v>
      </c>
      <c r="AB19" s="55" t="s">
        <v>158</v>
      </c>
      <c r="AC19" s="52">
        <v>6.0</v>
      </c>
      <c r="AD19" s="52">
        <v>25.0</v>
      </c>
      <c r="AE19" s="58"/>
      <c r="AF19" s="59">
        <v>1.0</v>
      </c>
      <c r="AG19" s="59"/>
      <c r="AH19" s="31" t="s">
        <v>160</v>
      </c>
    </row>
    <row r="20">
      <c r="A20" s="72"/>
      <c r="B20" s="72"/>
      <c r="C20" s="73"/>
      <c r="D20" s="73"/>
      <c r="E20" s="73"/>
      <c r="F20" s="73"/>
      <c r="G20" s="73"/>
      <c r="H20" s="71"/>
      <c r="I20" s="52" t="s">
        <v>161</v>
      </c>
      <c r="J20" s="52"/>
      <c r="K20" s="52"/>
      <c r="L20" s="54" t="s">
        <v>156</v>
      </c>
      <c r="M20" s="55" t="s">
        <v>162</v>
      </c>
      <c r="N20" s="55">
        <v>1.0</v>
      </c>
      <c r="O20" s="52">
        <v>21.0</v>
      </c>
      <c r="P20" s="56"/>
      <c r="Q20" s="57"/>
      <c r="R20" s="52" t="s">
        <v>8</v>
      </c>
      <c r="S20" s="52"/>
      <c r="T20" s="52"/>
      <c r="U20" s="52" t="s">
        <v>8</v>
      </c>
      <c r="V20" s="52" t="s">
        <v>163</v>
      </c>
      <c r="W20" s="52">
        <v>3.0</v>
      </c>
      <c r="X20" s="52">
        <v>22.0</v>
      </c>
      <c r="Y20" s="55" t="s">
        <v>159</v>
      </c>
      <c r="Z20" s="52">
        <v>4.0</v>
      </c>
      <c r="AA20" s="52">
        <v>24.0</v>
      </c>
      <c r="AB20" s="55"/>
      <c r="AC20" s="52"/>
      <c r="AD20" s="52" t="s">
        <v>8</v>
      </c>
      <c r="AE20" s="58"/>
      <c r="AF20" s="59"/>
      <c r="AG20" s="59"/>
      <c r="AH20" s="31" t="s">
        <v>157</v>
      </c>
    </row>
    <row r="21">
      <c r="A21" s="72"/>
      <c r="B21" s="72"/>
      <c r="C21" s="73"/>
      <c r="D21" s="73"/>
      <c r="E21" s="73"/>
      <c r="F21" s="73"/>
      <c r="G21" s="73"/>
      <c r="H21" s="71"/>
      <c r="I21" s="52">
        <v>612.0</v>
      </c>
      <c r="J21" s="53"/>
      <c r="K21" s="53"/>
      <c r="L21" s="54" t="s">
        <v>137</v>
      </c>
      <c r="M21" s="55"/>
      <c r="N21" s="55"/>
      <c r="O21" s="52" t="s">
        <v>8</v>
      </c>
      <c r="P21" s="56"/>
      <c r="Q21" s="57"/>
      <c r="R21" s="52" t="s">
        <v>8</v>
      </c>
      <c r="S21" s="55" t="s">
        <v>164</v>
      </c>
      <c r="T21" s="52">
        <v>1.0</v>
      </c>
      <c r="U21" s="52">
        <v>23.0</v>
      </c>
      <c r="V21" s="52" t="s">
        <v>163</v>
      </c>
      <c r="W21" s="52">
        <v>3.0</v>
      </c>
      <c r="X21" s="52">
        <v>22.0</v>
      </c>
      <c r="Y21" s="55" t="s">
        <v>163</v>
      </c>
      <c r="Z21" s="52">
        <v>5.0</v>
      </c>
      <c r="AA21" s="52">
        <v>22.0</v>
      </c>
      <c r="AB21" s="55" t="s">
        <v>163</v>
      </c>
      <c r="AC21" s="52">
        <v>6.0</v>
      </c>
      <c r="AD21" s="52">
        <v>21.0</v>
      </c>
      <c r="AE21" s="58">
        <v>1.0</v>
      </c>
      <c r="AF21" s="59"/>
      <c r="AG21" s="59"/>
      <c r="AH21" s="31" t="s">
        <v>165</v>
      </c>
    </row>
    <row r="22">
      <c r="A22" s="72"/>
      <c r="B22" s="72"/>
      <c r="C22" s="73"/>
      <c r="D22" s="73"/>
      <c r="E22" s="73"/>
      <c r="F22" s="73"/>
      <c r="G22" s="73"/>
      <c r="H22" s="71"/>
      <c r="I22" s="52">
        <v>621.0</v>
      </c>
      <c r="J22" s="52"/>
      <c r="K22" s="52"/>
      <c r="L22" s="54" t="s">
        <v>166</v>
      </c>
      <c r="M22" s="55" t="s">
        <v>162</v>
      </c>
      <c r="N22" s="55">
        <v>1.0</v>
      </c>
      <c r="O22" s="52">
        <v>21.0</v>
      </c>
      <c r="P22" s="56"/>
      <c r="Q22" s="57"/>
      <c r="R22" s="52" t="s">
        <v>8</v>
      </c>
      <c r="S22" s="55" t="s">
        <v>167</v>
      </c>
      <c r="T22" s="52">
        <v>1.0</v>
      </c>
      <c r="U22" s="52">
        <v>25.0</v>
      </c>
      <c r="V22" s="55" t="s">
        <v>167</v>
      </c>
      <c r="W22" s="52">
        <v>2.0</v>
      </c>
      <c r="X22" s="52">
        <v>25.0</v>
      </c>
      <c r="Y22" s="55" t="s">
        <v>167</v>
      </c>
      <c r="Z22" s="52">
        <v>3.0</v>
      </c>
      <c r="AA22" s="52">
        <v>25.0</v>
      </c>
      <c r="AB22" s="52"/>
      <c r="AC22" s="52"/>
      <c r="AD22" s="52" t="s">
        <v>8</v>
      </c>
      <c r="AE22" s="58">
        <v>1.0</v>
      </c>
      <c r="AF22" s="59"/>
      <c r="AG22" s="59"/>
      <c r="AH22" s="31" t="s">
        <v>168</v>
      </c>
    </row>
    <row r="23">
      <c r="A23" s="72"/>
      <c r="B23" s="72"/>
      <c r="C23" s="72"/>
      <c r="D23" s="72"/>
      <c r="E23" s="72"/>
      <c r="F23" s="72"/>
      <c r="G23" s="72"/>
      <c r="H23" s="71"/>
      <c r="I23" s="52">
        <v>623.0</v>
      </c>
      <c r="J23" s="52"/>
      <c r="K23" s="52"/>
      <c r="L23" s="54" t="s">
        <v>169</v>
      </c>
      <c r="M23" s="55" t="s">
        <v>170</v>
      </c>
      <c r="N23" s="52">
        <v>2.0</v>
      </c>
      <c r="O23" s="52">
        <v>24.0</v>
      </c>
      <c r="P23" s="56"/>
      <c r="Q23" s="57"/>
      <c r="R23" s="52" t="s">
        <v>8</v>
      </c>
      <c r="S23" s="55" t="s">
        <v>163</v>
      </c>
      <c r="T23" s="52">
        <v>2.0</v>
      </c>
      <c r="U23" s="52">
        <v>21.0</v>
      </c>
      <c r="V23" s="55" t="s">
        <v>164</v>
      </c>
      <c r="W23" s="52">
        <v>4.0</v>
      </c>
      <c r="X23" s="52">
        <v>22.0</v>
      </c>
      <c r="Y23" s="55"/>
      <c r="Z23" s="52"/>
      <c r="AA23" s="52" t="s">
        <v>8</v>
      </c>
      <c r="AB23" s="55" t="s">
        <v>162</v>
      </c>
      <c r="AC23" s="52">
        <v>3.0</v>
      </c>
      <c r="AD23" s="52">
        <v>22.0</v>
      </c>
      <c r="AE23" s="58"/>
      <c r="AF23" s="59">
        <v>1.0</v>
      </c>
      <c r="AG23" s="59"/>
      <c r="AH23" s="31" t="s">
        <v>148</v>
      </c>
    </row>
    <row r="24">
      <c r="A24" s="72"/>
      <c r="B24" s="72"/>
      <c r="C24" s="73"/>
      <c r="D24" s="73"/>
      <c r="E24" s="73"/>
      <c r="F24" s="73"/>
      <c r="G24" s="73"/>
      <c r="H24" s="71"/>
      <c r="I24" s="52">
        <v>612.0</v>
      </c>
      <c r="J24" s="52"/>
      <c r="K24" s="52"/>
      <c r="L24" s="54" t="s">
        <v>144</v>
      </c>
      <c r="M24" s="56"/>
      <c r="N24" s="56"/>
      <c r="O24" s="52" t="s">
        <v>8</v>
      </c>
      <c r="P24" s="56"/>
      <c r="Q24" s="57"/>
      <c r="R24" s="52" t="s">
        <v>8</v>
      </c>
      <c r="S24" s="52" t="s">
        <v>171</v>
      </c>
      <c r="T24" s="52">
        <v>2.0</v>
      </c>
      <c r="U24" s="52">
        <v>24.0</v>
      </c>
      <c r="V24" s="55" t="s">
        <v>158</v>
      </c>
      <c r="W24" s="52">
        <v>3.0</v>
      </c>
      <c r="X24" s="52">
        <v>24.0</v>
      </c>
      <c r="Y24" s="55" t="s">
        <v>158</v>
      </c>
      <c r="Z24" s="52">
        <v>5.0</v>
      </c>
      <c r="AA24" s="52">
        <v>23.0</v>
      </c>
      <c r="AB24" s="52" t="s">
        <v>171</v>
      </c>
      <c r="AC24" s="52">
        <v>6.0</v>
      </c>
      <c r="AD24" s="52">
        <v>24.0</v>
      </c>
      <c r="AE24" s="58"/>
      <c r="AF24" s="59"/>
      <c r="AG24" s="59">
        <v>1.0</v>
      </c>
      <c r="AH24" s="31" t="s">
        <v>172</v>
      </c>
    </row>
    <row r="25">
      <c r="A25" s="73"/>
      <c r="B25" s="72"/>
      <c r="C25" s="72"/>
      <c r="D25" s="72"/>
      <c r="E25" s="72"/>
      <c r="F25" s="72"/>
      <c r="G25" s="72"/>
      <c r="H25" s="71"/>
      <c r="I25" s="52"/>
      <c r="J25" s="53"/>
      <c r="K25" s="53"/>
      <c r="L25" s="54" t="s">
        <v>131</v>
      </c>
      <c r="M25" s="80"/>
      <c r="N25" s="80"/>
      <c r="O25" s="52" t="s">
        <v>8</v>
      </c>
      <c r="P25" s="52" t="s">
        <v>171</v>
      </c>
      <c r="Q25" s="52">
        <v>1.0</v>
      </c>
      <c r="R25" s="52">
        <v>24.0</v>
      </c>
      <c r="S25" s="52" t="s">
        <v>173</v>
      </c>
      <c r="T25" s="52">
        <v>3.0</v>
      </c>
      <c r="U25" s="52">
        <v>24.0</v>
      </c>
      <c r="V25" s="52" t="s">
        <v>171</v>
      </c>
      <c r="W25" s="52">
        <v>4.0</v>
      </c>
      <c r="X25" s="52">
        <v>24.0</v>
      </c>
      <c r="Y25" s="52" t="s">
        <v>171</v>
      </c>
      <c r="Z25" s="52">
        <v>5.0</v>
      </c>
      <c r="AA25" s="52">
        <v>24.0</v>
      </c>
      <c r="AB25" s="52"/>
      <c r="AC25" s="52"/>
      <c r="AD25" s="52" t="s">
        <v>8</v>
      </c>
      <c r="AE25" s="76"/>
      <c r="AF25" s="59"/>
      <c r="AG25" s="77"/>
      <c r="AH25" s="31" t="s">
        <v>166</v>
      </c>
    </row>
    <row r="26">
      <c r="A26" s="73"/>
      <c r="B26" s="72"/>
      <c r="C26" s="72"/>
      <c r="D26" s="72"/>
      <c r="E26" s="72"/>
      <c r="F26" s="72"/>
      <c r="G26" s="72"/>
      <c r="H26" s="71"/>
      <c r="I26" s="52">
        <v>622.0</v>
      </c>
      <c r="J26" s="52"/>
      <c r="K26" s="52"/>
      <c r="L26" s="54" t="s">
        <v>174</v>
      </c>
      <c r="M26" s="57"/>
      <c r="N26" s="57"/>
      <c r="O26" s="52" t="s">
        <v>8</v>
      </c>
      <c r="P26" s="52"/>
      <c r="Q26" s="81"/>
      <c r="R26" s="52" t="s">
        <v>8</v>
      </c>
      <c r="S26" s="52" t="s">
        <v>175</v>
      </c>
      <c r="T26" s="52">
        <v>2.0</v>
      </c>
      <c r="U26" s="52">
        <v>22.0</v>
      </c>
      <c r="V26" s="52" t="s">
        <v>175</v>
      </c>
      <c r="W26" s="52">
        <v>3.0</v>
      </c>
      <c r="X26" s="52">
        <v>23.0</v>
      </c>
      <c r="Y26" s="52" t="s">
        <v>175</v>
      </c>
      <c r="Z26" s="52">
        <v>4.0</v>
      </c>
      <c r="AA26" s="52">
        <v>21.0</v>
      </c>
      <c r="AB26" s="52" t="s">
        <v>175</v>
      </c>
      <c r="AC26" s="52">
        <v>5.0</v>
      </c>
      <c r="AD26" s="52">
        <v>22.0</v>
      </c>
      <c r="AE26" s="79"/>
      <c r="AF26" s="77"/>
      <c r="AG26" s="77"/>
      <c r="AH26" s="31" t="s">
        <v>174</v>
      </c>
    </row>
    <row r="27">
      <c r="A27" s="73"/>
      <c r="B27" s="72"/>
      <c r="C27" s="72"/>
      <c r="D27" s="72"/>
      <c r="E27" s="72"/>
      <c r="F27" s="72"/>
      <c r="G27" s="72"/>
      <c r="H27" s="71"/>
      <c r="I27" s="52"/>
      <c r="J27" s="52"/>
      <c r="K27" s="52"/>
      <c r="L27" s="54" t="s">
        <v>165</v>
      </c>
      <c r="M27" s="80"/>
      <c r="N27" s="80"/>
      <c r="O27" s="52" t="s">
        <v>8</v>
      </c>
      <c r="P27" s="52" t="s">
        <v>176</v>
      </c>
      <c r="Q27" s="52">
        <v>1.0</v>
      </c>
      <c r="R27" s="52">
        <v>23.0</v>
      </c>
      <c r="S27" s="52" t="s">
        <v>176</v>
      </c>
      <c r="T27" s="52">
        <v>2.0</v>
      </c>
      <c r="U27" s="52">
        <v>25.0</v>
      </c>
      <c r="V27" s="52" t="s">
        <v>177</v>
      </c>
      <c r="W27" s="52">
        <v>4.0</v>
      </c>
      <c r="X27" s="52">
        <v>21.0</v>
      </c>
      <c r="Y27" s="52"/>
      <c r="Z27" s="52"/>
      <c r="AA27" s="52" t="s">
        <v>8</v>
      </c>
      <c r="AB27" s="52" t="s">
        <v>176</v>
      </c>
      <c r="AC27" s="52">
        <v>6.0</v>
      </c>
      <c r="AD27" s="52">
        <v>25.0</v>
      </c>
      <c r="AE27" s="79"/>
      <c r="AF27" s="77"/>
      <c r="AG27" s="77"/>
      <c r="AH27" s="31" t="s">
        <v>178</v>
      </c>
    </row>
    <row r="28">
      <c r="A28" s="72"/>
      <c r="B28" s="72"/>
      <c r="C28" s="72"/>
      <c r="D28" s="72"/>
      <c r="E28" s="72"/>
      <c r="F28" s="72"/>
      <c r="G28" s="72"/>
      <c r="H28" s="71"/>
      <c r="I28" s="52">
        <v>632.0</v>
      </c>
      <c r="J28" s="52"/>
      <c r="K28" s="52"/>
      <c r="L28" s="54" t="s">
        <v>168</v>
      </c>
      <c r="M28" s="57"/>
      <c r="N28" s="57"/>
      <c r="O28" s="52" t="s">
        <v>8</v>
      </c>
      <c r="P28" s="52" t="s">
        <v>175</v>
      </c>
      <c r="Q28" s="52">
        <v>1.0</v>
      </c>
      <c r="R28" s="52">
        <v>21.0</v>
      </c>
      <c r="S28" s="52"/>
      <c r="T28" s="52"/>
      <c r="U28" s="52" t="s">
        <v>8</v>
      </c>
      <c r="V28" s="52" t="s">
        <v>176</v>
      </c>
      <c r="W28" s="52">
        <v>3.0</v>
      </c>
      <c r="X28" s="52">
        <v>23.0</v>
      </c>
      <c r="Y28" s="52" t="s">
        <v>176</v>
      </c>
      <c r="Z28" s="52">
        <v>5.0</v>
      </c>
      <c r="AA28" s="52">
        <v>25.0</v>
      </c>
      <c r="AB28" s="52" t="s">
        <v>179</v>
      </c>
      <c r="AC28" s="52">
        <v>6.0</v>
      </c>
      <c r="AD28" s="52">
        <v>22.0</v>
      </c>
      <c r="AE28" s="79"/>
      <c r="AF28" s="77"/>
      <c r="AG28" s="77"/>
      <c r="AH28" s="31" t="s">
        <v>180</v>
      </c>
    </row>
    <row r="29">
      <c r="A29" s="73"/>
      <c r="B29" s="73"/>
      <c r="C29" s="73"/>
      <c r="D29" s="73"/>
      <c r="E29" s="73"/>
      <c r="F29" s="73"/>
      <c r="G29" s="73"/>
      <c r="H29" s="71"/>
      <c r="I29" s="52">
        <v>623.0</v>
      </c>
      <c r="J29" s="52"/>
      <c r="K29" s="52"/>
      <c r="L29" s="54" t="s">
        <v>160</v>
      </c>
      <c r="M29" s="52" t="s">
        <v>181</v>
      </c>
      <c r="N29" s="55">
        <v>1.0</v>
      </c>
      <c r="O29" s="52">
        <v>24.0</v>
      </c>
      <c r="P29" s="52" t="s">
        <v>182</v>
      </c>
      <c r="Q29" s="55">
        <v>3.0</v>
      </c>
      <c r="R29" s="52">
        <v>24.0</v>
      </c>
      <c r="S29" s="52" t="s">
        <v>182</v>
      </c>
      <c r="T29" s="55">
        <v>4.0</v>
      </c>
      <c r="U29" s="52">
        <v>24.0</v>
      </c>
      <c r="V29" s="57"/>
      <c r="W29" s="57"/>
      <c r="X29" s="52" t="s">
        <v>8</v>
      </c>
      <c r="Y29" s="52"/>
      <c r="Z29" s="55"/>
      <c r="AA29" s="52" t="s">
        <v>8</v>
      </c>
      <c r="AB29" s="52" t="s">
        <v>182</v>
      </c>
      <c r="AC29" s="55">
        <v>6.0</v>
      </c>
      <c r="AD29" s="52">
        <v>24.0</v>
      </c>
      <c r="AE29" s="76">
        <v>1.0</v>
      </c>
      <c r="AF29" s="77"/>
      <c r="AG29" s="59">
        <v>1.0</v>
      </c>
      <c r="AH29" s="31" t="s">
        <v>169</v>
      </c>
    </row>
    <row r="30">
      <c r="A30" s="73"/>
      <c r="B30" s="73"/>
      <c r="C30" s="73"/>
      <c r="D30" s="73"/>
      <c r="E30" s="73"/>
      <c r="F30" s="73"/>
      <c r="G30" s="73"/>
      <c r="H30" s="71"/>
      <c r="I30" s="52" t="s">
        <v>161</v>
      </c>
      <c r="J30" s="52"/>
      <c r="K30" s="52"/>
      <c r="L30" s="54" t="s">
        <v>183</v>
      </c>
      <c r="M30" s="52" t="s">
        <v>181</v>
      </c>
      <c r="N30" s="55">
        <v>1.0</v>
      </c>
      <c r="O30" s="52">
        <v>24.0</v>
      </c>
      <c r="P30" s="52"/>
      <c r="Q30" s="55"/>
      <c r="R30" s="52" t="s">
        <v>8</v>
      </c>
      <c r="S30" s="52"/>
      <c r="T30" s="55"/>
      <c r="U30" s="52" t="s">
        <v>8</v>
      </c>
      <c r="V30" s="57"/>
      <c r="W30" s="57"/>
      <c r="X30" s="52" t="s">
        <v>8</v>
      </c>
      <c r="Y30" s="52" t="s">
        <v>184</v>
      </c>
      <c r="Z30" s="55">
        <v>4.0</v>
      </c>
      <c r="AA30" s="52">
        <v>22.0</v>
      </c>
      <c r="AB30" s="52" t="s">
        <v>185</v>
      </c>
      <c r="AC30" s="55">
        <v>5.0</v>
      </c>
      <c r="AD30" s="52">
        <v>23.0</v>
      </c>
      <c r="AE30" s="76"/>
      <c r="AF30" s="77"/>
      <c r="AG30" s="59"/>
      <c r="AH30" s="31" t="s">
        <v>186</v>
      </c>
    </row>
    <row r="31">
      <c r="A31" s="72"/>
      <c r="B31" s="72"/>
      <c r="C31" s="72"/>
      <c r="D31" s="72"/>
      <c r="E31" s="72"/>
      <c r="F31" s="72"/>
      <c r="G31" s="72"/>
      <c r="H31" s="71"/>
      <c r="I31" s="52">
        <v>616.0</v>
      </c>
      <c r="J31" s="52"/>
      <c r="K31" s="52"/>
      <c r="L31" s="54" t="s">
        <v>136</v>
      </c>
      <c r="M31" s="52" t="s">
        <v>182</v>
      </c>
      <c r="N31" s="52">
        <v>2.0</v>
      </c>
      <c r="O31" s="52">
        <v>25.0</v>
      </c>
      <c r="P31" s="52"/>
      <c r="Q31" s="52"/>
      <c r="R31" s="52" t="s">
        <v>8</v>
      </c>
      <c r="S31" s="52" t="s">
        <v>185</v>
      </c>
      <c r="T31" s="52">
        <v>3.0</v>
      </c>
      <c r="U31" s="52">
        <v>25.0</v>
      </c>
      <c r="V31" s="57"/>
      <c r="W31" s="80"/>
      <c r="X31" s="52" t="s">
        <v>8</v>
      </c>
      <c r="Y31" s="52" t="s">
        <v>182</v>
      </c>
      <c r="Z31" s="52">
        <v>5.0</v>
      </c>
      <c r="AA31" s="52">
        <v>23.0</v>
      </c>
      <c r="AB31" s="52" t="s">
        <v>187</v>
      </c>
      <c r="AC31" s="52">
        <v>6.0</v>
      </c>
      <c r="AD31" s="52">
        <v>24.0</v>
      </c>
      <c r="AE31" s="76">
        <v>1.0</v>
      </c>
      <c r="AF31" s="77"/>
      <c r="AG31" s="59">
        <v>1.0</v>
      </c>
      <c r="AH31" s="31" t="s">
        <v>183</v>
      </c>
    </row>
    <row r="32">
      <c r="I32" s="67">
        <v>625.0</v>
      </c>
      <c r="J32" s="52"/>
      <c r="K32" s="67"/>
      <c r="L32" s="54" t="s">
        <v>145</v>
      </c>
      <c r="M32" s="52" t="s">
        <v>184</v>
      </c>
      <c r="N32" s="52">
        <v>1.0</v>
      </c>
      <c r="O32" s="52">
        <v>23.0</v>
      </c>
      <c r="P32" s="52"/>
      <c r="Q32" s="52"/>
      <c r="R32" s="52" t="s">
        <v>8</v>
      </c>
      <c r="S32" s="52" t="s">
        <v>184</v>
      </c>
      <c r="T32" s="52">
        <v>3.0</v>
      </c>
      <c r="U32" s="52">
        <v>21.0</v>
      </c>
      <c r="V32" s="57"/>
      <c r="W32" s="57"/>
      <c r="X32" s="52" t="s">
        <v>8</v>
      </c>
      <c r="Y32" s="52" t="s">
        <v>188</v>
      </c>
      <c r="Z32" s="52">
        <v>5.0</v>
      </c>
      <c r="AA32" s="52">
        <v>22.0</v>
      </c>
      <c r="AB32" s="52" t="s">
        <v>184</v>
      </c>
      <c r="AC32" s="52">
        <v>6.0</v>
      </c>
      <c r="AD32" s="52">
        <v>21.0</v>
      </c>
      <c r="AE32" s="79"/>
      <c r="AF32" s="59">
        <v>1.0</v>
      </c>
      <c r="AG32" s="59">
        <v>1.0</v>
      </c>
      <c r="AH32" s="31" t="s">
        <v>189</v>
      </c>
    </row>
    <row r="33">
      <c r="A33" s="72"/>
      <c r="B33" s="72"/>
      <c r="C33" s="73"/>
      <c r="D33" s="73"/>
      <c r="E33" s="73"/>
      <c r="F33" s="73"/>
      <c r="G33" s="73"/>
      <c r="H33" s="71"/>
      <c r="I33" s="52">
        <v>635.0</v>
      </c>
      <c r="J33" s="52"/>
      <c r="K33" s="52"/>
      <c r="L33" s="54" t="s">
        <v>180</v>
      </c>
      <c r="M33" s="52" t="s">
        <v>185</v>
      </c>
      <c r="N33" s="55">
        <v>1.0</v>
      </c>
      <c r="O33" s="52">
        <v>22.0</v>
      </c>
      <c r="P33" s="52" t="s">
        <v>185</v>
      </c>
      <c r="Q33" s="52">
        <v>2.0</v>
      </c>
      <c r="R33" s="52">
        <v>25.0</v>
      </c>
      <c r="S33" s="55"/>
      <c r="T33" s="52"/>
      <c r="U33" s="52" t="s">
        <v>8</v>
      </c>
      <c r="V33" s="56"/>
      <c r="W33" s="80"/>
      <c r="X33" s="52" t="s">
        <v>8</v>
      </c>
      <c r="Y33" s="55" t="s">
        <v>185</v>
      </c>
      <c r="Z33" s="52">
        <v>4.0</v>
      </c>
      <c r="AA33" s="52">
        <v>23.0</v>
      </c>
      <c r="AB33" s="55" t="s">
        <v>185</v>
      </c>
      <c r="AC33" s="52">
        <v>5.0</v>
      </c>
      <c r="AD33" s="52">
        <v>23.0</v>
      </c>
      <c r="AE33" s="58"/>
      <c r="AF33" s="59">
        <v>1.0</v>
      </c>
      <c r="AG33" s="59"/>
      <c r="AH33" s="31"/>
    </row>
    <row r="34">
      <c r="A34" s="72"/>
      <c r="B34" s="72"/>
      <c r="C34" s="73"/>
      <c r="D34" s="73"/>
      <c r="E34" s="73"/>
      <c r="F34" s="73"/>
      <c r="G34" s="73"/>
      <c r="H34" s="71"/>
      <c r="I34" s="52">
        <v>627.0</v>
      </c>
      <c r="J34" s="52"/>
      <c r="K34" s="52"/>
      <c r="L34" s="54" t="s">
        <v>128</v>
      </c>
      <c r="M34" s="52" t="s">
        <v>190</v>
      </c>
      <c r="N34" s="55">
        <v>1.0</v>
      </c>
      <c r="O34" s="52">
        <v>25.0</v>
      </c>
      <c r="P34" s="52" t="s">
        <v>184</v>
      </c>
      <c r="Q34" s="52">
        <v>2.0</v>
      </c>
      <c r="R34" s="52">
        <v>22.0</v>
      </c>
      <c r="S34" s="52" t="s">
        <v>191</v>
      </c>
      <c r="T34" s="52">
        <v>4.0</v>
      </c>
      <c r="U34" s="52">
        <v>21.0</v>
      </c>
      <c r="V34" s="56"/>
      <c r="W34" s="80"/>
      <c r="X34" s="52" t="s">
        <v>8</v>
      </c>
      <c r="Y34" s="55" t="s">
        <v>184</v>
      </c>
      <c r="Z34" s="52">
        <v>4.0</v>
      </c>
      <c r="AA34" s="52">
        <v>22.0</v>
      </c>
      <c r="AB34" s="56"/>
      <c r="AC34" s="52"/>
      <c r="AD34" s="52" t="s">
        <v>8</v>
      </c>
      <c r="AE34" s="58">
        <v>1.0</v>
      </c>
      <c r="AF34" s="59"/>
      <c r="AG34" s="59"/>
      <c r="AH34" s="31"/>
    </row>
    <row r="35">
      <c r="A35" s="72"/>
      <c r="B35" s="72"/>
      <c r="C35" s="73"/>
      <c r="D35" s="73"/>
      <c r="E35" s="73"/>
      <c r="F35" s="73"/>
      <c r="G35" s="73"/>
      <c r="H35" s="71"/>
      <c r="I35" s="52">
        <v>637.0</v>
      </c>
      <c r="J35" s="53"/>
      <c r="K35" s="53"/>
      <c r="L35" s="54" t="s">
        <v>146</v>
      </c>
      <c r="M35" s="52"/>
      <c r="N35" s="52"/>
      <c r="O35" s="52" t="s">
        <v>8</v>
      </c>
      <c r="P35" s="52" t="s">
        <v>190</v>
      </c>
      <c r="Q35" s="52">
        <v>2.0</v>
      </c>
      <c r="R35" s="52">
        <v>25.0</v>
      </c>
      <c r="S35" s="52" t="s">
        <v>190</v>
      </c>
      <c r="T35" s="52">
        <v>3.0</v>
      </c>
      <c r="U35" s="52">
        <v>23.0</v>
      </c>
      <c r="V35" s="52" t="s">
        <v>190</v>
      </c>
      <c r="W35" s="52">
        <v>5.0</v>
      </c>
      <c r="X35" s="52">
        <v>23.0</v>
      </c>
      <c r="Y35" s="52" t="s">
        <v>190</v>
      </c>
      <c r="Z35" s="52">
        <v>6.0</v>
      </c>
      <c r="AA35" s="52">
        <v>25.0</v>
      </c>
      <c r="AB35" s="57"/>
      <c r="AC35" s="80"/>
      <c r="AD35" s="52" t="s">
        <v>8</v>
      </c>
      <c r="AE35" s="76"/>
      <c r="AF35" s="59"/>
      <c r="AG35" s="59"/>
      <c r="AH35" s="31"/>
    </row>
    <row r="36">
      <c r="A36" s="72"/>
      <c r="B36" s="72"/>
      <c r="C36" s="73"/>
      <c r="D36" s="73"/>
      <c r="E36" s="73"/>
      <c r="F36" s="73"/>
      <c r="G36" s="73"/>
      <c r="H36" s="71"/>
      <c r="I36" s="52">
        <v>614.0</v>
      </c>
      <c r="J36" s="52"/>
      <c r="K36" s="52"/>
      <c r="L36" s="54" t="s">
        <v>178</v>
      </c>
      <c r="M36" s="52" t="s">
        <v>192</v>
      </c>
      <c r="N36" s="52">
        <v>1.0</v>
      </c>
      <c r="O36" s="52">
        <v>24.0</v>
      </c>
      <c r="P36" s="52" t="s">
        <v>192</v>
      </c>
      <c r="Q36" s="52">
        <v>2.0</v>
      </c>
      <c r="R36" s="52">
        <v>24.0</v>
      </c>
      <c r="S36" s="52"/>
      <c r="T36" s="52"/>
      <c r="U36" s="52" t="s">
        <v>8</v>
      </c>
      <c r="V36" s="52" t="s">
        <v>192</v>
      </c>
      <c r="W36" s="52">
        <v>5.0</v>
      </c>
      <c r="X36" s="52">
        <v>24.0</v>
      </c>
      <c r="Y36" s="52" t="s">
        <v>192</v>
      </c>
      <c r="Z36" s="52">
        <v>6.0</v>
      </c>
      <c r="AA36" s="52">
        <v>24.0</v>
      </c>
      <c r="AB36" s="57"/>
      <c r="AC36" s="57"/>
      <c r="AD36" s="52" t="s">
        <v>8</v>
      </c>
      <c r="AE36" s="76"/>
      <c r="AF36" s="59"/>
      <c r="AG36" s="59"/>
      <c r="AH36" s="31"/>
    </row>
    <row r="37">
      <c r="A37" s="73"/>
      <c r="B37" s="73"/>
      <c r="C37" s="73"/>
      <c r="D37" s="73"/>
      <c r="E37" s="73"/>
      <c r="F37" s="73"/>
      <c r="G37" s="73"/>
      <c r="H37" s="71"/>
      <c r="I37" s="81"/>
      <c r="J37" s="52"/>
      <c r="K37" s="52"/>
      <c r="L37" s="54" t="s">
        <v>172</v>
      </c>
      <c r="M37" s="52" t="s">
        <v>193</v>
      </c>
      <c r="N37" s="52">
        <v>1.0</v>
      </c>
      <c r="O37" s="52">
        <v>22.0</v>
      </c>
      <c r="P37" s="52" t="s">
        <v>194</v>
      </c>
      <c r="Q37" s="52">
        <v>3.0</v>
      </c>
      <c r="R37" s="52">
        <v>24.0</v>
      </c>
      <c r="S37" s="52" t="s">
        <v>192</v>
      </c>
      <c r="T37" s="52">
        <v>4.0</v>
      </c>
      <c r="U37" s="52">
        <v>24.0</v>
      </c>
      <c r="V37" s="52"/>
      <c r="W37" s="52"/>
      <c r="X37" s="52" t="s">
        <v>8</v>
      </c>
      <c r="Y37" s="52" t="s">
        <v>193</v>
      </c>
      <c r="Z37" s="52">
        <v>5.0</v>
      </c>
      <c r="AA37" s="52">
        <v>22.0</v>
      </c>
      <c r="AB37" s="57"/>
      <c r="AC37" s="80"/>
      <c r="AD37" s="52" t="s">
        <v>8</v>
      </c>
      <c r="AE37" s="79"/>
      <c r="AF37" s="77"/>
      <c r="AG37" s="77"/>
      <c r="AH37" s="31"/>
    </row>
    <row r="38">
      <c r="A38" s="73"/>
      <c r="B38" s="73"/>
      <c r="C38" s="73"/>
      <c r="D38" s="73"/>
      <c r="E38" s="73"/>
      <c r="F38" s="73"/>
      <c r="G38" s="73"/>
      <c r="H38" s="82"/>
      <c r="I38" s="52">
        <v>631.0</v>
      </c>
      <c r="J38" s="52"/>
      <c r="K38" s="52"/>
      <c r="L38" s="54" t="s">
        <v>189</v>
      </c>
      <c r="M38" s="52" t="s">
        <v>195</v>
      </c>
      <c r="N38" s="52">
        <v>2.0</v>
      </c>
      <c r="O38" s="52">
        <v>22.0</v>
      </c>
      <c r="P38" s="55" t="s">
        <v>195</v>
      </c>
      <c r="Q38" s="52">
        <v>3.0</v>
      </c>
      <c r="R38" s="52">
        <v>21.0</v>
      </c>
      <c r="S38" s="52" t="s">
        <v>195</v>
      </c>
      <c r="T38" s="52">
        <v>4.0</v>
      </c>
      <c r="U38" s="52">
        <v>22.0</v>
      </c>
      <c r="V38" s="52"/>
      <c r="W38" s="52"/>
      <c r="X38" s="52" t="s">
        <v>8</v>
      </c>
      <c r="Y38" s="52" t="s">
        <v>195</v>
      </c>
      <c r="Z38" s="52">
        <v>6.0</v>
      </c>
      <c r="AA38" s="52">
        <v>22.0</v>
      </c>
      <c r="AB38" s="57"/>
      <c r="AC38" s="57"/>
      <c r="AD38" s="52" t="s">
        <v>8</v>
      </c>
      <c r="AE38" s="76"/>
      <c r="AF38" s="59"/>
      <c r="AG38" s="59"/>
      <c r="AH38" s="31"/>
    </row>
    <row r="39">
      <c r="A39" s="72"/>
      <c r="B39" s="72"/>
      <c r="C39" s="73"/>
      <c r="D39" s="73"/>
      <c r="E39" s="73"/>
      <c r="F39" s="73"/>
      <c r="G39" s="73"/>
      <c r="H39" s="71"/>
      <c r="I39" s="52">
        <v>615.0</v>
      </c>
      <c r="J39" s="52"/>
      <c r="K39" s="52"/>
      <c r="L39" s="54" t="s">
        <v>138</v>
      </c>
      <c r="M39" s="52" t="s">
        <v>196</v>
      </c>
      <c r="N39" s="52">
        <v>1.0</v>
      </c>
      <c r="O39" s="52">
        <v>24.0</v>
      </c>
      <c r="P39" s="52" t="s">
        <v>196</v>
      </c>
      <c r="Q39" s="52">
        <v>2.0</v>
      </c>
      <c r="R39" s="52">
        <v>19.0</v>
      </c>
      <c r="S39" s="52" t="s">
        <v>196</v>
      </c>
      <c r="T39" s="52">
        <v>3.0</v>
      </c>
      <c r="U39" s="52">
        <v>24.0</v>
      </c>
      <c r="V39" s="52" t="s">
        <v>196</v>
      </c>
      <c r="W39" s="52">
        <v>4.0</v>
      </c>
      <c r="X39" s="52">
        <v>24.0</v>
      </c>
      <c r="Y39" s="57"/>
      <c r="Z39" s="80"/>
      <c r="AA39" s="52" t="s">
        <v>8</v>
      </c>
      <c r="AB39" s="57"/>
      <c r="AC39" s="81"/>
      <c r="AD39" s="52" t="s">
        <v>8</v>
      </c>
      <c r="AE39" s="76"/>
      <c r="AF39" s="77"/>
      <c r="AG39" s="59"/>
      <c r="AH39" s="31"/>
    </row>
    <row r="40">
      <c r="A40" s="72"/>
      <c r="B40" s="72"/>
      <c r="C40" s="73"/>
      <c r="D40" s="73"/>
      <c r="E40" s="73"/>
      <c r="F40" s="73"/>
      <c r="G40" s="73"/>
      <c r="H40" s="71"/>
      <c r="I40" s="52">
        <v>615.0</v>
      </c>
      <c r="J40" s="52"/>
      <c r="K40" s="52"/>
      <c r="L40" s="54" t="s">
        <v>186</v>
      </c>
      <c r="M40" s="52"/>
      <c r="N40" s="52"/>
      <c r="O40" s="52" t="s">
        <v>8</v>
      </c>
      <c r="P40" s="52" t="s">
        <v>197</v>
      </c>
      <c r="Q40" s="52">
        <v>1.0</v>
      </c>
      <c r="R40" s="52">
        <v>7.0</v>
      </c>
      <c r="S40" s="52"/>
      <c r="T40" s="81"/>
      <c r="U40" s="52" t="s">
        <v>8</v>
      </c>
      <c r="V40" s="52" t="s">
        <v>198</v>
      </c>
      <c r="W40" s="52">
        <v>5.0</v>
      </c>
      <c r="X40" s="52">
        <v>24.0</v>
      </c>
      <c r="Y40" s="57"/>
      <c r="Z40" s="57"/>
      <c r="AA40" s="52" t="s">
        <v>8</v>
      </c>
      <c r="AB40" s="52" t="s">
        <v>196</v>
      </c>
      <c r="AC40" s="52">
        <v>6.0</v>
      </c>
      <c r="AD40" s="52">
        <v>24.0</v>
      </c>
      <c r="AE40" s="76"/>
      <c r="AF40" s="59"/>
      <c r="AG40" s="59"/>
      <c r="AH40" s="31"/>
    </row>
    <row r="41">
      <c r="I41" s="67">
        <v>634.0</v>
      </c>
      <c r="J41" s="52"/>
      <c r="K41" s="67"/>
      <c r="L41" s="54" t="s">
        <v>199</v>
      </c>
      <c r="M41" s="52" t="s">
        <v>200</v>
      </c>
      <c r="N41" s="52">
        <v>1.0</v>
      </c>
      <c r="O41" s="52">
        <v>22.0</v>
      </c>
      <c r="P41" s="52" t="s">
        <v>200</v>
      </c>
      <c r="Q41" s="52">
        <v>2.0</v>
      </c>
      <c r="R41" s="52">
        <v>23.0</v>
      </c>
      <c r="S41" s="52" t="s">
        <v>200</v>
      </c>
      <c r="T41" s="52">
        <v>3.0</v>
      </c>
      <c r="U41" s="52">
        <v>22.0</v>
      </c>
      <c r="V41" s="52" t="s">
        <v>200</v>
      </c>
      <c r="W41" s="52">
        <v>4.0</v>
      </c>
      <c r="X41" s="52">
        <v>21.0</v>
      </c>
      <c r="Y41" s="57"/>
      <c r="Z41" s="57"/>
      <c r="AA41" s="52" t="s">
        <v>8</v>
      </c>
      <c r="AB41" s="52"/>
      <c r="AC41" s="52"/>
      <c r="AD41" s="52" t="s">
        <v>8</v>
      </c>
      <c r="AE41" s="79"/>
      <c r="AF41" s="59">
        <v>1.0</v>
      </c>
      <c r="AG41" s="59">
        <v>1.0</v>
      </c>
      <c r="AH41" s="31"/>
    </row>
    <row r="42">
      <c r="A42" s="72"/>
      <c r="B42" s="72"/>
      <c r="C42" s="73"/>
      <c r="D42" s="73"/>
      <c r="E42" s="73"/>
      <c r="F42" s="73"/>
      <c r="G42" s="73"/>
      <c r="H42" s="71"/>
      <c r="I42" s="52">
        <v>613.0</v>
      </c>
      <c r="J42" s="53"/>
      <c r="K42" s="53"/>
      <c r="L42" s="54" t="s">
        <v>122</v>
      </c>
      <c r="M42" s="52" t="s">
        <v>201</v>
      </c>
      <c r="N42" s="52">
        <v>1.0</v>
      </c>
      <c r="O42" s="52">
        <v>25.0</v>
      </c>
      <c r="P42" s="52" t="s">
        <v>202</v>
      </c>
      <c r="Q42" s="52">
        <v>2.0</v>
      </c>
      <c r="R42" s="52">
        <v>19.0</v>
      </c>
      <c r="S42" s="52"/>
      <c r="T42" s="52"/>
      <c r="U42" s="52" t="s">
        <v>8</v>
      </c>
      <c r="V42" s="52" t="s">
        <v>203</v>
      </c>
      <c r="W42" s="52">
        <v>5.0</v>
      </c>
      <c r="X42" s="52">
        <v>21.0</v>
      </c>
      <c r="Y42" s="57"/>
      <c r="Z42" s="80"/>
      <c r="AA42" s="52" t="s">
        <v>8</v>
      </c>
      <c r="AB42" s="52" t="s">
        <v>200</v>
      </c>
      <c r="AC42" s="52">
        <v>6.0</v>
      </c>
      <c r="AD42" s="52">
        <v>22.0</v>
      </c>
      <c r="AE42" s="79"/>
      <c r="AF42" s="77"/>
      <c r="AG42" s="77"/>
      <c r="AH42" s="31"/>
    </row>
    <row r="43">
      <c r="A43" s="72"/>
      <c r="B43" s="72"/>
      <c r="C43" s="73"/>
      <c r="D43" s="73"/>
      <c r="E43" s="73"/>
      <c r="F43" s="73"/>
      <c r="H43" s="71"/>
      <c r="I43" s="52">
        <v>626.0</v>
      </c>
      <c r="J43" s="52"/>
      <c r="K43" s="52"/>
      <c r="L43" s="54" t="s">
        <v>155</v>
      </c>
      <c r="M43" s="52"/>
      <c r="N43" s="52"/>
      <c r="O43" s="52" t="s">
        <v>8</v>
      </c>
      <c r="P43" s="52" t="s">
        <v>201</v>
      </c>
      <c r="Q43" s="52">
        <v>3.0</v>
      </c>
      <c r="R43" s="52">
        <v>23.0</v>
      </c>
      <c r="S43" s="55" t="s">
        <v>201</v>
      </c>
      <c r="T43" s="52">
        <v>4.0</v>
      </c>
      <c r="U43" s="52">
        <v>23.0</v>
      </c>
      <c r="V43" s="52" t="s">
        <v>201</v>
      </c>
      <c r="W43" s="52">
        <v>5.0</v>
      </c>
      <c r="X43" s="52">
        <v>25.0</v>
      </c>
      <c r="Y43" s="57"/>
      <c r="Z43" s="80"/>
      <c r="AA43" s="52" t="s">
        <v>8</v>
      </c>
      <c r="AB43" s="55" t="s">
        <v>201</v>
      </c>
      <c r="AC43" s="52">
        <v>6.0</v>
      </c>
      <c r="AD43" s="52">
        <v>25.0</v>
      </c>
      <c r="AE43" s="76">
        <v>1.0</v>
      </c>
      <c r="AF43" s="77"/>
      <c r="AG43" s="59">
        <v>1.0</v>
      </c>
      <c r="AH43" s="31"/>
    </row>
    <row r="44">
      <c r="I44" s="52"/>
      <c r="J44" s="53"/>
      <c r="K44" s="53"/>
      <c r="L44" s="54"/>
      <c r="M44" s="52"/>
      <c r="N44" s="52"/>
      <c r="O44" s="52" t="s">
        <v>8</v>
      </c>
      <c r="P44" s="52"/>
      <c r="Q44" s="52"/>
      <c r="R44" s="52" t="s">
        <v>8</v>
      </c>
      <c r="S44" s="52"/>
      <c r="T44" s="81"/>
      <c r="U44" s="52" t="s">
        <v>8</v>
      </c>
      <c r="V44" s="52"/>
      <c r="W44" s="81"/>
      <c r="X44" s="52" t="s">
        <v>8</v>
      </c>
      <c r="Y44" s="52"/>
      <c r="Z44" s="81"/>
      <c r="AA44" s="52" t="s">
        <v>8</v>
      </c>
      <c r="AB44" s="52"/>
      <c r="AC44" s="52"/>
      <c r="AD44" s="52" t="s">
        <v>8</v>
      </c>
      <c r="AE44" s="79"/>
      <c r="AF44" s="77"/>
      <c r="AG44" s="77"/>
      <c r="AH44" s="31"/>
    </row>
    <row r="45">
      <c r="I45" s="81"/>
      <c r="J45" s="52"/>
      <c r="K45" s="52"/>
      <c r="L45" s="65"/>
      <c r="M45" s="52"/>
      <c r="N45" s="52"/>
      <c r="O45" s="52" t="s">
        <v>8</v>
      </c>
      <c r="P45" s="81"/>
      <c r="Q45" s="81"/>
      <c r="R45" s="52" t="s">
        <v>8</v>
      </c>
      <c r="S45" s="52"/>
      <c r="T45" s="52"/>
      <c r="U45" s="52" t="s">
        <v>8</v>
      </c>
      <c r="V45" s="52"/>
      <c r="W45" s="52"/>
      <c r="X45" s="52" t="s">
        <v>8</v>
      </c>
      <c r="Y45" s="52"/>
      <c r="Z45" s="52"/>
      <c r="AA45" s="52" t="s">
        <v>8</v>
      </c>
      <c r="AB45" s="52"/>
      <c r="AC45" s="81"/>
      <c r="AD45" s="52" t="s">
        <v>8</v>
      </c>
      <c r="AE45" s="79"/>
      <c r="AF45" s="77"/>
      <c r="AG45" s="77"/>
      <c r="AH45" s="31"/>
    </row>
    <row r="46">
      <c r="I46" s="81"/>
      <c r="J46" s="52"/>
      <c r="K46" s="52"/>
      <c r="L46" s="65"/>
      <c r="M46" s="81"/>
      <c r="N46" s="81"/>
      <c r="O46" s="52" t="s">
        <v>8</v>
      </c>
      <c r="P46" s="52"/>
      <c r="Q46" s="52"/>
      <c r="R46" s="52" t="s">
        <v>8</v>
      </c>
      <c r="S46" s="52"/>
      <c r="T46" s="81"/>
      <c r="U46" s="52" t="s">
        <v>8</v>
      </c>
      <c r="V46" s="52"/>
      <c r="W46" s="81"/>
      <c r="X46" s="52" t="s">
        <v>8</v>
      </c>
      <c r="Y46" s="52"/>
      <c r="Z46" s="52"/>
      <c r="AA46" s="52" t="s">
        <v>8</v>
      </c>
      <c r="AB46" s="52"/>
      <c r="AC46" s="81"/>
      <c r="AD46" s="52" t="s">
        <v>8</v>
      </c>
      <c r="AE46" s="79"/>
      <c r="AF46" s="77"/>
      <c r="AG46" s="77"/>
      <c r="AH46" s="31"/>
    </row>
    <row r="47">
      <c r="I47" s="81"/>
      <c r="J47" s="52"/>
      <c r="K47" s="52"/>
      <c r="L47" s="65"/>
      <c r="M47" s="52"/>
      <c r="N47" s="52"/>
      <c r="O47" s="52" t="s">
        <v>8</v>
      </c>
      <c r="P47" s="52"/>
      <c r="Q47" s="52"/>
      <c r="R47" s="52" t="s">
        <v>8</v>
      </c>
      <c r="S47" s="52"/>
      <c r="T47" s="52"/>
      <c r="U47" s="52" t="s">
        <v>8</v>
      </c>
      <c r="V47" s="52"/>
      <c r="W47" s="52"/>
      <c r="X47" s="52" t="s">
        <v>8</v>
      </c>
      <c r="Y47" s="52"/>
      <c r="Z47" s="81"/>
      <c r="AA47" s="52" t="s">
        <v>8</v>
      </c>
      <c r="AB47" s="52"/>
      <c r="AC47" s="81"/>
      <c r="AD47" s="52" t="s">
        <v>8</v>
      </c>
      <c r="AE47" s="79"/>
      <c r="AF47" s="77"/>
      <c r="AG47" s="77"/>
      <c r="AH47" s="31"/>
    </row>
    <row r="48">
      <c r="I48" s="81"/>
      <c r="J48" s="53"/>
      <c r="K48" s="53"/>
      <c r="L48" s="83"/>
      <c r="M48" s="52"/>
      <c r="N48" s="81"/>
      <c r="O48" s="52" t="s">
        <v>8</v>
      </c>
      <c r="P48" s="52"/>
      <c r="Q48" s="52"/>
      <c r="R48" s="52" t="s">
        <v>8</v>
      </c>
      <c r="S48" s="52"/>
      <c r="T48" s="81"/>
      <c r="U48" s="52" t="s">
        <v>8</v>
      </c>
      <c r="V48" s="52"/>
      <c r="W48" s="81"/>
      <c r="X48" s="52" t="s">
        <v>8</v>
      </c>
      <c r="Y48" s="52"/>
      <c r="Z48" s="52"/>
      <c r="AA48" s="52" t="s">
        <v>8</v>
      </c>
      <c r="AB48" s="52"/>
      <c r="AC48" s="81"/>
      <c r="AD48" s="52" t="s">
        <v>8</v>
      </c>
      <c r="AE48" s="79"/>
      <c r="AF48" s="77"/>
      <c r="AG48" s="77"/>
      <c r="AH48" s="31"/>
    </row>
    <row r="49">
      <c r="I49" s="81"/>
      <c r="J49" s="52"/>
      <c r="K49" s="52"/>
      <c r="L49" s="83"/>
      <c r="M49" s="52"/>
      <c r="N49" s="52"/>
      <c r="O49" s="52" t="s">
        <v>8</v>
      </c>
      <c r="P49" s="81"/>
      <c r="Q49" s="81"/>
      <c r="R49" s="52" t="s">
        <v>8</v>
      </c>
      <c r="S49" s="52"/>
      <c r="T49" s="52"/>
      <c r="U49" s="52" t="s">
        <v>8</v>
      </c>
      <c r="V49" s="52"/>
      <c r="W49" s="52"/>
      <c r="X49" s="52" t="s">
        <v>8</v>
      </c>
      <c r="Y49" s="52"/>
      <c r="Z49" s="81"/>
      <c r="AA49" s="52" t="s">
        <v>8</v>
      </c>
      <c r="AB49" s="52"/>
      <c r="AC49" s="52"/>
      <c r="AD49" s="52" t="s">
        <v>8</v>
      </c>
      <c r="AE49" s="79"/>
      <c r="AF49" s="77"/>
      <c r="AG49" s="77"/>
      <c r="AH49" s="31"/>
    </row>
    <row r="50">
      <c r="I50" s="81"/>
      <c r="J50" s="52"/>
      <c r="K50" s="52"/>
      <c r="L50" s="83"/>
      <c r="M50" s="52"/>
      <c r="N50" s="52"/>
      <c r="O50" s="52" t="s">
        <v>8</v>
      </c>
      <c r="P50" s="52"/>
      <c r="Q50" s="52"/>
      <c r="R50" s="52" t="s">
        <v>8</v>
      </c>
      <c r="S50" s="52"/>
      <c r="T50" s="81"/>
      <c r="U50" s="52" t="s">
        <v>8</v>
      </c>
      <c r="V50" s="52"/>
      <c r="W50" s="52"/>
      <c r="X50" s="52" t="s">
        <v>8</v>
      </c>
      <c r="Y50" s="52"/>
      <c r="Z50" s="52"/>
      <c r="AA50" s="52" t="s">
        <v>8</v>
      </c>
      <c r="AB50" s="52"/>
      <c r="AC50" s="81"/>
      <c r="AD50" s="52" t="s">
        <v>8</v>
      </c>
      <c r="AE50" s="79"/>
      <c r="AF50" s="77"/>
      <c r="AG50" s="77"/>
      <c r="AH50" s="31"/>
    </row>
    <row r="51">
      <c r="I51" s="81"/>
      <c r="J51" s="52"/>
      <c r="K51" s="52"/>
      <c r="L51" s="83"/>
      <c r="M51" s="52"/>
      <c r="N51" s="81"/>
      <c r="O51" s="52" t="s">
        <v>8</v>
      </c>
      <c r="P51" s="52"/>
      <c r="Q51" s="81"/>
      <c r="R51" s="52" t="s">
        <v>8</v>
      </c>
      <c r="S51" s="52"/>
      <c r="T51" s="52"/>
      <c r="U51" s="52" t="s">
        <v>8</v>
      </c>
      <c r="V51" s="52"/>
      <c r="W51" s="81"/>
      <c r="X51" s="52" t="s">
        <v>8</v>
      </c>
      <c r="Y51" s="52"/>
      <c r="Z51" s="52"/>
      <c r="AA51" s="52" t="s">
        <v>8</v>
      </c>
      <c r="AB51" s="52"/>
      <c r="AC51" s="52"/>
      <c r="AD51" s="52" t="s">
        <v>8</v>
      </c>
      <c r="AE51" s="79"/>
      <c r="AF51" s="77"/>
      <c r="AG51" s="77"/>
      <c r="AH51" s="31"/>
    </row>
    <row r="52">
      <c r="I52" s="81"/>
      <c r="J52" s="53"/>
      <c r="K52" s="53"/>
      <c r="L52" s="83"/>
      <c r="M52" s="52"/>
      <c r="N52" s="81"/>
      <c r="O52" s="52" t="s">
        <v>8</v>
      </c>
      <c r="P52" s="52"/>
      <c r="Q52" s="52"/>
      <c r="R52" s="52" t="s">
        <v>8</v>
      </c>
      <c r="S52" s="52"/>
      <c r="T52" s="52"/>
      <c r="U52" s="52" t="s">
        <v>8</v>
      </c>
      <c r="V52" s="52"/>
      <c r="W52" s="52"/>
      <c r="X52" s="52" t="s">
        <v>8</v>
      </c>
      <c r="Y52" s="52"/>
      <c r="Z52" s="52"/>
      <c r="AA52" s="52" t="s">
        <v>8</v>
      </c>
      <c r="AB52" s="52"/>
      <c r="AC52" s="81"/>
      <c r="AD52" s="52" t="s">
        <v>8</v>
      </c>
      <c r="AE52" s="79"/>
      <c r="AF52" s="77"/>
      <c r="AG52" s="77"/>
      <c r="AH52" s="31"/>
    </row>
    <row r="53">
      <c r="I53" s="81"/>
      <c r="J53" s="52"/>
      <c r="K53" s="52"/>
      <c r="L53" s="83"/>
      <c r="M53" s="52"/>
      <c r="N53" s="52"/>
      <c r="O53" s="52" t="s">
        <v>8</v>
      </c>
      <c r="P53" s="52"/>
      <c r="Q53" s="52"/>
      <c r="R53" s="52" t="s">
        <v>8</v>
      </c>
      <c r="S53" s="52"/>
      <c r="T53" s="52"/>
      <c r="U53" s="52" t="s">
        <v>8</v>
      </c>
      <c r="V53" s="52"/>
      <c r="W53" s="81"/>
      <c r="X53" s="52" t="s">
        <v>8</v>
      </c>
      <c r="Y53" s="52"/>
      <c r="Z53" s="81"/>
      <c r="AA53" s="52" t="s">
        <v>8</v>
      </c>
      <c r="AB53" s="52"/>
      <c r="AC53" s="52"/>
      <c r="AD53" s="52" t="s">
        <v>8</v>
      </c>
      <c r="AE53" s="79"/>
      <c r="AF53" s="77"/>
      <c r="AG53" s="77"/>
      <c r="AH53" s="31"/>
    </row>
    <row r="54">
      <c r="I54" s="81"/>
      <c r="J54" s="52"/>
      <c r="K54" s="52"/>
      <c r="L54" s="83"/>
      <c r="M54" s="52"/>
      <c r="N54" s="52"/>
      <c r="O54" s="52" t="s">
        <v>8</v>
      </c>
      <c r="P54" s="52"/>
      <c r="Q54" s="52"/>
      <c r="R54" s="52" t="s">
        <v>8</v>
      </c>
      <c r="S54" s="52"/>
      <c r="T54" s="81"/>
      <c r="U54" s="52" t="s">
        <v>8</v>
      </c>
      <c r="V54" s="52"/>
      <c r="W54" s="81"/>
      <c r="X54" s="52" t="s">
        <v>8</v>
      </c>
      <c r="Y54" s="52"/>
      <c r="Z54" s="52"/>
      <c r="AA54" s="52" t="s">
        <v>8</v>
      </c>
      <c r="AB54" s="52"/>
      <c r="AC54" s="52"/>
      <c r="AD54" s="52" t="s">
        <v>8</v>
      </c>
      <c r="AE54" s="79"/>
      <c r="AF54" s="77"/>
      <c r="AG54" s="77"/>
      <c r="AH54" s="31"/>
    </row>
    <row r="55">
      <c r="I55" s="81"/>
      <c r="J55" s="52"/>
      <c r="K55" s="52"/>
      <c r="L55" s="83"/>
      <c r="M55" s="52"/>
      <c r="N55" s="52"/>
      <c r="O55" s="52" t="s">
        <v>8</v>
      </c>
      <c r="P55" s="81"/>
      <c r="Q55" s="81"/>
      <c r="R55" s="52" t="s">
        <v>8</v>
      </c>
      <c r="S55" s="52"/>
      <c r="T55" s="52"/>
      <c r="U55" s="52" t="s">
        <v>8</v>
      </c>
      <c r="V55" s="52"/>
      <c r="W55" s="52"/>
      <c r="X55" s="52" t="s">
        <v>8</v>
      </c>
      <c r="Y55" s="52"/>
      <c r="Z55" s="81"/>
      <c r="AA55" s="52" t="s">
        <v>8</v>
      </c>
      <c r="AB55" s="52"/>
      <c r="AC55" s="52"/>
      <c r="AD55" s="52" t="s">
        <v>8</v>
      </c>
      <c r="AE55" s="79"/>
      <c r="AF55" s="77"/>
      <c r="AG55" s="77"/>
      <c r="AH55" s="31"/>
    </row>
    <row r="56">
      <c r="I56" s="81"/>
      <c r="J56" s="52"/>
      <c r="K56" s="52"/>
      <c r="L56" s="84"/>
      <c r="M56" s="52"/>
      <c r="N56" s="52"/>
      <c r="O56" s="52" t="s">
        <v>8</v>
      </c>
      <c r="P56" s="81"/>
      <c r="Q56" s="81"/>
      <c r="R56" s="52" t="s">
        <v>8</v>
      </c>
      <c r="S56" s="52"/>
      <c r="T56" s="52"/>
      <c r="U56" s="52" t="s">
        <v>8</v>
      </c>
      <c r="V56" s="52"/>
      <c r="W56" s="52"/>
      <c r="X56" s="52" t="s">
        <v>8</v>
      </c>
      <c r="Y56" s="52"/>
      <c r="Z56" s="52"/>
      <c r="AA56" s="52" t="s">
        <v>8</v>
      </c>
      <c r="AB56" s="52"/>
      <c r="AC56" s="81"/>
      <c r="AD56" s="52" t="s">
        <v>8</v>
      </c>
      <c r="AE56" s="79"/>
      <c r="AF56" s="77"/>
      <c r="AG56" s="77"/>
      <c r="AH56" s="31"/>
    </row>
    <row r="57">
      <c r="I57" s="23"/>
      <c r="J57" s="67"/>
      <c r="K57" s="67"/>
      <c r="L57" s="84"/>
      <c r="M57" s="81"/>
      <c r="N57" s="81"/>
      <c r="O57" s="52" t="s">
        <v>8</v>
      </c>
      <c r="P57" s="52"/>
      <c r="Q57" s="52"/>
      <c r="R57" s="52" t="s">
        <v>8</v>
      </c>
      <c r="S57" s="52"/>
      <c r="T57" s="52"/>
      <c r="U57" s="52" t="s">
        <v>8</v>
      </c>
      <c r="V57" s="52"/>
      <c r="W57" s="52"/>
      <c r="X57" s="52" t="s">
        <v>8</v>
      </c>
      <c r="Y57" s="52"/>
      <c r="Z57" s="81"/>
      <c r="AA57" s="52" t="s">
        <v>8</v>
      </c>
      <c r="AB57" s="52"/>
      <c r="AC57" s="52"/>
      <c r="AD57" s="52" t="s">
        <v>8</v>
      </c>
      <c r="AE57" s="79"/>
      <c r="AF57" s="77"/>
      <c r="AG57" s="77"/>
      <c r="AH57" s="31"/>
    </row>
    <row r="58">
      <c r="I58" s="23"/>
      <c r="J58" s="23"/>
      <c r="K58" s="23"/>
      <c r="L58" s="85"/>
      <c r="M58" s="81"/>
      <c r="N58" s="81"/>
      <c r="O58" s="52" t="s">
        <v>8</v>
      </c>
      <c r="P58" s="81"/>
      <c r="Q58" s="81"/>
      <c r="R58" s="52" t="s">
        <v>8</v>
      </c>
      <c r="S58" s="81"/>
      <c r="T58" s="81"/>
      <c r="U58" s="52" t="s">
        <v>8</v>
      </c>
      <c r="V58" s="81"/>
      <c r="W58" s="81"/>
      <c r="X58" s="52" t="s">
        <v>8</v>
      </c>
      <c r="Y58" s="81"/>
      <c r="Z58" s="81"/>
      <c r="AA58" s="52" t="s">
        <v>8</v>
      </c>
      <c r="AB58" s="81"/>
      <c r="AC58" s="81"/>
      <c r="AD58" s="52" t="s">
        <v>8</v>
      </c>
      <c r="AE58" s="79"/>
      <c r="AF58" s="77"/>
      <c r="AG58" s="77"/>
      <c r="AH58" s="31"/>
    </row>
    <row r="59">
      <c r="I59" s="23"/>
      <c r="J59" s="23"/>
      <c r="K59" s="23"/>
      <c r="L59" s="86"/>
      <c r="M59" s="87"/>
      <c r="N59" s="88"/>
      <c r="O59" s="52" t="s">
        <v>8</v>
      </c>
      <c r="P59" s="87"/>
      <c r="Q59" s="88"/>
      <c r="R59" s="52" t="s">
        <v>8</v>
      </c>
      <c r="S59" s="88"/>
      <c r="T59" s="88"/>
      <c r="U59" s="52" t="s">
        <v>8</v>
      </c>
      <c r="V59" s="87"/>
      <c r="W59" s="88"/>
      <c r="X59" s="52" t="s">
        <v>8</v>
      </c>
      <c r="Y59" s="87"/>
      <c r="Z59" s="88"/>
      <c r="AA59" s="52" t="s">
        <v>8</v>
      </c>
      <c r="AB59" s="88"/>
      <c r="AC59" s="88"/>
      <c r="AD59" s="52" t="s">
        <v>8</v>
      </c>
      <c r="AE59" s="79"/>
      <c r="AF59" s="77"/>
      <c r="AG59" s="77"/>
      <c r="AH59" s="31"/>
    </row>
    <row r="60">
      <c r="I60" s="23"/>
      <c r="J60" s="67"/>
      <c r="K60" s="23"/>
      <c r="L60" s="65"/>
      <c r="M60" s="81"/>
      <c r="N60" s="81"/>
      <c r="O60" s="52" t="s">
        <v>8</v>
      </c>
      <c r="P60" s="81"/>
      <c r="Q60" s="81"/>
      <c r="R60" s="52" t="s">
        <v>8</v>
      </c>
      <c r="S60" s="55"/>
      <c r="T60" s="81"/>
      <c r="U60" s="52" t="s">
        <v>8</v>
      </c>
      <c r="V60" s="81"/>
      <c r="W60" s="81"/>
      <c r="X60" s="52" t="s">
        <v>8</v>
      </c>
      <c r="Y60" s="81"/>
      <c r="Z60" s="81"/>
      <c r="AA60" s="52" t="s">
        <v>8</v>
      </c>
      <c r="AB60" s="81"/>
      <c r="AC60" s="81"/>
      <c r="AD60" s="52" t="s">
        <v>8</v>
      </c>
      <c r="AE60" s="79"/>
      <c r="AF60" s="77"/>
      <c r="AG60" s="77"/>
      <c r="AH60" s="31"/>
    </row>
    <row r="61">
      <c r="I61" s="23"/>
      <c r="J61" s="67"/>
      <c r="K61" s="23"/>
      <c r="L61" s="65"/>
      <c r="M61" s="81"/>
      <c r="N61" s="81"/>
      <c r="O61" s="52" t="s">
        <v>8</v>
      </c>
      <c r="P61" s="81"/>
      <c r="Q61" s="81"/>
      <c r="R61" s="52" t="s">
        <v>8</v>
      </c>
      <c r="S61" s="55"/>
      <c r="T61" s="81"/>
      <c r="U61" s="52" t="s">
        <v>8</v>
      </c>
      <c r="V61" s="81"/>
      <c r="W61" s="81"/>
      <c r="X61" s="52" t="s">
        <v>8</v>
      </c>
      <c r="Y61" s="81"/>
      <c r="Z61" s="81"/>
      <c r="AA61" s="52" t="s">
        <v>8</v>
      </c>
      <c r="AB61" s="81"/>
      <c r="AC61" s="81"/>
      <c r="AD61" s="52" t="s">
        <v>8</v>
      </c>
      <c r="AE61" s="79"/>
      <c r="AF61" s="77"/>
      <c r="AG61" s="77"/>
      <c r="AH61" s="31"/>
    </row>
    <row r="62">
      <c r="I62" s="23"/>
      <c r="J62" s="23"/>
      <c r="K62" s="23"/>
      <c r="L62" s="85"/>
      <c r="M62" s="81"/>
      <c r="N62" s="81"/>
      <c r="O62" s="52" t="s">
        <v>8</v>
      </c>
      <c r="P62" s="81"/>
      <c r="Q62" s="81"/>
      <c r="R62" s="52" t="s">
        <v>8</v>
      </c>
      <c r="S62" s="81"/>
      <c r="T62" s="81"/>
      <c r="U62" s="52" t="s">
        <v>8</v>
      </c>
      <c r="V62" s="81"/>
      <c r="W62" s="81"/>
      <c r="X62" s="52" t="s">
        <v>8</v>
      </c>
      <c r="Y62" s="81"/>
      <c r="Z62" s="81"/>
      <c r="AA62" s="52" t="s">
        <v>8</v>
      </c>
      <c r="AB62" s="81"/>
      <c r="AC62" s="81"/>
      <c r="AD62" s="52" t="s">
        <v>8</v>
      </c>
      <c r="AE62" s="79"/>
      <c r="AF62" s="77"/>
      <c r="AG62" s="77"/>
      <c r="AH62" s="31"/>
    </row>
    <row r="63">
      <c r="I63" s="23"/>
      <c r="J63" s="23"/>
      <c r="K63" s="23"/>
      <c r="L63" s="85"/>
      <c r="M63" s="81"/>
      <c r="N63" s="81"/>
      <c r="O63" s="52" t="s">
        <v>8</v>
      </c>
      <c r="P63" s="81"/>
      <c r="Q63" s="81"/>
      <c r="R63" s="52" t="s">
        <v>8</v>
      </c>
      <c r="S63" s="81"/>
      <c r="T63" s="81"/>
      <c r="U63" s="52" t="s">
        <v>8</v>
      </c>
      <c r="V63" s="81"/>
      <c r="W63" s="81"/>
      <c r="X63" s="52" t="s">
        <v>8</v>
      </c>
      <c r="Y63" s="81"/>
      <c r="Z63" s="81"/>
      <c r="AA63" s="52" t="s">
        <v>8</v>
      </c>
      <c r="AB63" s="81"/>
      <c r="AC63" s="81"/>
      <c r="AD63" s="52" t="s">
        <v>8</v>
      </c>
      <c r="AE63" s="79"/>
      <c r="AF63" s="77"/>
      <c r="AG63" s="77"/>
      <c r="AH63" s="31"/>
    </row>
    <row r="64">
      <c r="I64" s="23"/>
      <c r="J64" s="67"/>
      <c r="K64" s="23"/>
      <c r="L64" s="65"/>
      <c r="M64" s="55"/>
      <c r="N64" s="81"/>
      <c r="O64" s="52" t="s">
        <v>8</v>
      </c>
      <c r="P64" s="81"/>
      <c r="Q64" s="81"/>
      <c r="R64" s="52" t="s">
        <v>8</v>
      </c>
      <c r="S64" s="55"/>
      <c r="T64" s="81"/>
      <c r="U64" s="52" t="s">
        <v>8</v>
      </c>
      <c r="V64" s="55"/>
      <c r="W64" s="81"/>
      <c r="X64" s="52" t="s">
        <v>8</v>
      </c>
      <c r="Y64" s="55"/>
      <c r="Z64" s="81"/>
      <c r="AA64" s="52" t="s">
        <v>8</v>
      </c>
      <c r="AB64" s="81"/>
      <c r="AC64" s="81"/>
      <c r="AD64" s="52" t="s">
        <v>8</v>
      </c>
      <c r="AE64" s="79"/>
      <c r="AF64" s="77"/>
      <c r="AG64" s="77"/>
      <c r="AH64" s="31"/>
    </row>
    <row r="65">
      <c r="I65" s="23"/>
      <c r="J65" s="23"/>
      <c r="K65" s="23"/>
      <c r="L65" s="85"/>
      <c r="M65" s="81"/>
      <c r="N65" s="81"/>
      <c r="O65" s="52" t="s">
        <v>8</v>
      </c>
      <c r="P65" s="81"/>
      <c r="Q65" s="81"/>
      <c r="R65" s="52" t="s">
        <v>8</v>
      </c>
      <c r="S65" s="81"/>
      <c r="T65" s="81"/>
      <c r="U65" s="52" t="s">
        <v>8</v>
      </c>
      <c r="V65" s="81"/>
      <c r="W65" s="81"/>
      <c r="X65" s="52" t="s">
        <v>8</v>
      </c>
      <c r="Y65" s="81"/>
      <c r="Z65" s="81"/>
      <c r="AA65" s="52" t="s">
        <v>8</v>
      </c>
      <c r="AB65" s="81"/>
      <c r="AC65" s="81"/>
      <c r="AD65" s="52" t="s">
        <v>8</v>
      </c>
      <c r="AE65" s="79"/>
      <c r="AF65" s="77"/>
      <c r="AG65" s="77"/>
      <c r="AH65" s="31"/>
    </row>
    <row r="66">
      <c r="I66" s="23"/>
      <c r="J66" s="23"/>
      <c r="K66" s="23"/>
      <c r="L66" s="85"/>
      <c r="M66" s="81"/>
      <c r="N66" s="81"/>
      <c r="O66" s="52" t="s">
        <v>8</v>
      </c>
      <c r="P66" s="81"/>
      <c r="Q66" s="81"/>
      <c r="R66" s="52" t="s">
        <v>8</v>
      </c>
      <c r="S66" s="81"/>
      <c r="T66" s="81"/>
      <c r="U66" s="52" t="s">
        <v>8</v>
      </c>
      <c r="V66" s="81"/>
      <c r="W66" s="81"/>
      <c r="X66" s="52" t="s">
        <v>8</v>
      </c>
      <c r="Y66" s="81"/>
      <c r="Z66" s="81"/>
      <c r="AA66" s="52" t="s">
        <v>8</v>
      </c>
      <c r="AB66" s="81"/>
      <c r="AC66" s="81"/>
      <c r="AD66" s="52" t="s">
        <v>8</v>
      </c>
      <c r="AE66" s="79"/>
      <c r="AF66" s="77"/>
      <c r="AG66" s="77"/>
      <c r="AH66" s="31"/>
    </row>
    <row r="67">
      <c r="I67" s="23"/>
      <c r="J67" s="23"/>
      <c r="K67" s="23"/>
      <c r="L67" s="85"/>
      <c r="M67" s="81"/>
      <c r="N67" s="81"/>
      <c r="O67" s="52" t="s">
        <v>8</v>
      </c>
      <c r="P67" s="81"/>
      <c r="Q67" s="81"/>
      <c r="R67" s="52" t="s">
        <v>8</v>
      </c>
      <c r="S67" s="81"/>
      <c r="T67" s="81"/>
      <c r="U67" s="52" t="s">
        <v>8</v>
      </c>
      <c r="V67" s="81"/>
      <c r="W67" s="81"/>
      <c r="X67" s="52" t="s">
        <v>8</v>
      </c>
      <c r="Y67" s="81"/>
      <c r="Z67" s="81"/>
      <c r="AA67" s="52" t="s">
        <v>8</v>
      </c>
      <c r="AB67" s="81"/>
      <c r="AC67" s="81"/>
      <c r="AD67" s="52" t="s">
        <v>8</v>
      </c>
      <c r="AE67" s="79"/>
      <c r="AF67" s="77"/>
      <c r="AG67" s="77"/>
      <c r="AH67" s="31"/>
    </row>
    <row r="68">
      <c r="I68" s="23"/>
      <c r="J68" s="67"/>
      <c r="K68" s="23"/>
      <c r="L68" s="65"/>
      <c r="M68" s="81"/>
      <c r="N68" s="81"/>
      <c r="O68" s="52" t="s">
        <v>8</v>
      </c>
      <c r="P68" s="81"/>
      <c r="Q68" s="81"/>
      <c r="R68" s="52" t="s">
        <v>8</v>
      </c>
      <c r="S68" s="81"/>
      <c r="T68" s="81"/>
      <c r="U68" s="52" t="s">
        <v>8</v>
      </c>
      <c r="V68" s="81"/>
      <c r="W68" s="81"/>
      <c r="X68" s="52" t="s">
        <v>8</v>
      </c>
      <c r="Y68" s="81"/>
      <c r="Z68" s="81"/>
      <c r="AA68" s="52" t="s">
        <v>8</v>
      </c>
      <c r="AB68" s="81"/>
      <c r="AC68" s="81"/>
      <c r="AD68" s="52" t="s">
        <v>8</v>
      </c>
      <c r="AE68" s="79"/>
      <c r="AF68" s="77"/>
      <c r="AG68" s="77"/>
      <c r="AH68" s="31"/>
    </row>
    <row r="69">
      <c r="I69" s="23"/>
      <c r="J69" s="67"/>
      <c r="K69" s="23"/>
      <c r="L69" s="65"/>
      <c r="M69" s="81"/>
      <c r="N69" s="81"/>
      <c r="O69" s="52" t="s">
        <v>8</v>
      </c>
      <c r="P69" s="81"/>
      <c r="Q69" s="81"/>
      <c r="R69" s="52" t="s">
        <v>8</v>
      </c>
      <c r="S69" s="81"/>
      <c r="T69" s="81"/>
      <c r="U69" s="52" t="s">
        <v>8</v>
      </c>
      <c r="V69" s="81"/>
      <c r="W69" s="81"/>
      <c r="X69" s="52" t="s">
        <v>8</v>
      </c>
      <c r="Y69" s="81"/>
      <c r="Z69" s="81"/>
      <c r="AA69" s="52" t="s">
        <v>8</v>
      </c>
      <c r="AB69" s="81"/>
      <c r="AC69" s="81"/>
      <c r="AD69" s="52" t="s">
        <v>8</v>
      </c>
      <c r="AE69" s="79"/>
      <c r="AF69" s="77"/>
      <c r="AG69" s="77"/>
      <c r="AH69" s="31"/>
    </row>
    <row r="70">
      <c r="A70" s="72"/>
      <c r="B70" s="72"/>
      <c r="C70" s="73"/>
      <c r="D70" s="73"/>
      <c r="E70" s="73"/>
      <c r="F70" s="73"/>
      <c r="G70" s="73"/>
      <c r="H70" s="71"/>
      <c r="I70" s="52"/>
      <c r="J70" s="52"/>
      <c r="K70" s="52"/>
      <c r="L70" s="65"/>
      <c r="M70" s="55"/>
      <c r="N70" s="52"/>
      <c r="O70" s="52" t="s">
        <v>8</v>
      </c>
      <c r="P70" s="55"/>
      <c r="Q70" s="52"/>
      <c r="R70" s="52" t="s">
        <v>8</v>
      </c>
      <c r="S70" s="52"/>
      <c r="T70" s="52"/>
      <c r="U70" s="52" t="s">
        <v>8</v>
      </c>
      <c r="V70" s="52"/>
      <c r="W70" s="55"/>
      <c r="X70" s="52" t="s">
        <v>8</v>
      </c>
      <c r="Y70" s="55"/>
      <c r="Z70" s="52"/>
      <c r="AA70" s="52" t="s">
        <v>8</v>
      </c>
      <c r="AB70" s="55"/>
      <c r="AC70" s="52"/>
      <c r="AD70" s="52" t="s">
        <v>8</v>
      </c>
      <c r="AE70" s="58"/>
      <c r="AF70" s="59"/>
      <c r="AG70" s="59">
        <v>1.0</v>
      </c>
      <c r="AH70" s="31"/>
    </row>
    <row r="71">
      <c r="I71" s="23"/>
      <c r="J71" s="23"/>
      <c r="K71" s="23"/>
      <c r="L71" s="85"/>
      <c r="M71" s="81"/>
      <c r="N71" s="81"/>
      <c r="O71" s="52" t="s">
        <v>8</v>
      </c>
      <c r="P71" s="81"/>
      <c r="Q71" s="81"/>
      <c r="R71" s="52" t="s">
        <v>8</v>
      </c>
      <c r="S71" s="81"/>
      <c r="T71" s="81"/>
      <c r="U71" s="52" t="s">
        <v>8</v>
      </c>
      <c r="V71" s="81"/>
      <c r="W71" s="81"/>
      <c r="X71" s="52" t="s">
        <v>8</v>
      </c>
      <c r="Y71" s="81"/>
      <c r="Z71" s="81"/>
      <c r="AA71" s="52" t="s">
        <v>8</v>
      </c>
      <c r="AB71" s="81"/>
      <c r="AC71" s="81"/>
      <c r="AD71" s="52" t="s">
        <v>8</v>
      </c>
      <c r="AE71" s="79"/>
      <c r="AF71" s="77"/>
      <c r="AG71" s="77"/>
      <c r="AH71" s="31"/>
    </row>
    <row r="72">
      <c r="I72" s="23"/>
      <c r="J72" s="23"/>
      <c r="K72" s="23"/>
      <c r="L72" s="85"/>
      <c r="M72" s="81"/>
      <c r="N72" s="81"/>
      <c r="O72" s="52" t="s">
        <v>8</v>
      </c>
      <c r="P72" s="81"/>
      <c r="Q72" s="81"/>
      <c r="R72" s="52" t="s">
        <v>8</v>
      </c>
      <c r="S72" s="81"/>
      <c r="T72" s="81"/>
      <c r="U72" s="52" t="s">
        <v>8</v>
      </c>
      <c r="V72" s="81"/>
      <c r="W72" s="81"/>
      <c r="X72" s="52" t="s">
        <v>8</v>
      </c>
      <c r="Y72" s="81"/>
      <c r="Z72" s="81"/>
      <c r="AA72" s="52" t="s">
        <v>8</v>
      </c>
      <c r="AB72" s="81"/>
      <c r="AC72" s="81"/>
      <c r="AD72" s="52" t="s">
        <v>8</v>
      </c>
      <c r="AE72" s="79"/>
      <c r="AF72" s="77"/>
      <c r="AG72" s="77"/>
      <c r="AH72" s="31"/>
    </row>
    <row r="73">
      <c r="I73" s="23"/>
      <c r="J73" s="23"/>
      <c r="K73" s="23"/>
      <c r="L73" s="85"/>
      <c r="M73" s="81"/>
      <c r="N73" s="81"/>
      <c r="O73" s="52" t="s">
        <v>8</v>
      </c>
      <c r="P73" s="81"/>
      <c r="Q73" s="81"/>
      <c r="R73" s="52" t="s">
        <v>8</v>
      </c>
      <c r="S73" s="81"/>
      <c r="T73" s="81"/>
      <c r="U73" s="52" t="s">
        <v>8</v>
      </c>
      <c r="V73" s="81"/>
      <c r="W73" s="81"/>
      <c r="X73" s="52" t="s">
        <v>8</v>
      </c>
      <c r="Y73" s="81"/>
      <c r="Z73" s="81"/>
      <c r="AA73" s="52" t="s">
        <v>8</v>
      </c>
      <c r="AB73" s="81"/>
      <c r="AC73" s="81"/>
      <c r="AD73" s="52" t="s">
        <v>8</v>
      </c>
      <c r="AE73" s="79"/>
      <c r="AF73" s="77"/>
      <c r="AG73" s="77"/>
      <c r="AH73" s="31"/>
    </row>
    <row r="74">
      <c r="I74" s="23"/>
      <c r="J74" s="67"/>
      <c r="K74" s="23"/>
      <c r="L74" s="65"/>
      <c r="M74" s="81"/>
      <c r="N74" s="81"/>
      <c r="O74" s="52" t="s">
        <v>8</v>
      </c>
      <c r="P74" s="81"/>
      <c r="Q74" s="81"/>
      <c r="R74" s="52" t="s">
        <v>8</v>
      </c>
      <c r="S74" s="81"/>
      <c r="T74" s="81"/>
      <c r="U74" s="52" t="s">
        <v>8</v>
      </c>
      <c r="V74" s="81"/>
      <c r="W74" s="81"/>
      <c r="X74" s="52" t="s">
        <v>8</v>
      </c>
      <c r="Y74" s="81"/>
      <c r="Z74" s="81"/>
      <c r="AA74" s="52" t="s">
        <v>8</v>
      </c>
      <c r="AB74" s="55"/>
      <c r="AC74" s="81"/>
      <c r="AD74" s="52" t="s">
        <v>8</v>
      </c>
      <c r="AE74" s="79"/>
      <c r="AF74" s="77"/>
      <c r="AG74" s="77"/>
      <c r="AH74" s="31"/>
    </row>
    <row r="75">
      <c r="I75" s="23"/>
      <c r="J75" s="23"/>
      <c r="K75" s="23"/>
      <c r="L75" s="85"/>
      <c r="M75" s="81"/>
      <c r="N75" s="81"/>
      <c r="O75" s="52" t="s">
        <v>8</v>
      </c>
      <c r="P75" s="81"/>
      <c r="Q75" s="81"/>
      <c r="R75" s="52" t="s">
        <v>8</v>
      </c>
      <c r="S75" s="81"/>
      <c r="T75" s="81"/>
      <c r="U75" s="52" t="s">
        <v>8</v>
      </c>
      <c r="V75" s="81"/>
      <c r="W75" s="81"/>
      <c r="X75" s="52" t="s">
        <v>8</v>
      </c>
      <c r="Y75" s="81"/>
      <c r="Z75" s="81"/>
      <c r="AA75" s="52" t="s">
        <v>8</v>
      </c>
      <c r="AB75" s="81"/>
      <c r="AC75" s="81"/>
      <c r="AD75" s="52" t="s">
        <v>8</v>
      </c>
      <c r="AE75" s="79"/>
      <c r="AF75" s="77"/>
      <c r="AG75" s="77"/>
      <c r="AH75" s="31"/>
    </row>
    <row r="76">
      <c r="I76" s="23"/>
      <c r="J76" s="23"/>
      <c r="K76" s="23"/>
      <c r="L76" s="85"/>
      <c r="M76" s="81"/>
      <c r="N76" s="81"/>
      <c r="O76" s="52" t="s">
        <v>8</v>
      </c>
      <c r="P76" s="81"/>
      <c r="Q76" s="81"/>
      <c r="R76" s="52" t="s">
        <v>8</v>
      </c>
      <c r="S76" s="81"/>
      <c r="T76" s="81"/>
      <c r="U76" s="52" t="s">
        <v>8</v>
      </c>
      <c r="V76" s="81"/>
      <c r="W76" s="81"/>
      <c r="X76" s="52" t="s">
        <v>8</v>
      </c>
      <c r="Y76" s="81"/>
      <c r="Z76" s="81"/>
      <c r="AA76" s="52" t="s">
        <v>8</v>
      </c>
      <c r="AB76" s="81"/>
      <c r="AC76" s="81"/>
      <c r="AD76" s="52" t="s">
        <v>8</v>
      </c>
      <c r="AE76" s="79"/>
      <c r="AF76" s="77"/>
      <c r="AG76" s="77"/>
      <c r="AH76" s="31"/>
    </row>
    <row r="77">
      <c r="I77" s="23"/>
      <c r="J77" s="23"/>
      <c r="K77" s="23"/>
      <c r="L77" s="85"/>
      <c r="M77" s="81"/>
      <c r="N77" s="81"/>
      <c r="O77" s="52" t="s">
        <v>8</v>
      </c>
      <c r="P77" s="81"/>
      <c r="Q77" s="81"/>
      <c r="R77" s="52" t="s">
        <v>8</v>
      </c>
      <c r="S77" s="81"/>
      <c r="T77" s="81"/>
      <c r="U77" s="52" t="s">
        <v>8</v>
      </c>
      <c r="V77" s="81"/>
      <c r="W77" s="81"/>
      <c r="X77" s="52" t="s">
        <v>8</v>
      </c>
      <c r="Y77" s="81"/>
      <c r="Z77" s="81"/>
      <c r="AA77" s="52" t="s">
        <v>8</v>
      </c>
      <c r="AB77" s="81"/>
      <c r="AC77" s="81"/>
      <c r="AD77" s="52" t="s">
        <v>8</v>
      </c>
      <c r="AE77" s="79"/>
      <c r="AF77" s="77"/>
      <c r="AG77" s="77"/>
      <c r="AH77" s="31"/>
    </row>
    <row r="78">
      <c r="I78" s="23"/>
      <c r="J78" s="23"/>
      <c r="K78" s="23"/>
      <c r="L78" s="85"/>
      <c r="M78" s="81"/>
      <c r="N78" s="81"/>
      <c r="O78" s="52" t="s">
        <v>8</v>
      </c>
      <c r="P78" s="81"/>
      <c r="Q78" s="81"/>
      <c r="R78" s="52" t="s">
        <v>8</v>
      </c>
      <c r="S78" s="81"/>
      <c r="T78" s="81"/>
      <c r="U78" s="52" t="s">
        <v>8</v>
      </c>
      <c r="V78" s="81"/>
      <c r="W78" s="81"/>
      <c r="X78" s="52" t="s">
        <v>8</v>
      </c>
      <c r="Y78" s="81"/>
      <c r="Z78" s="81"/>
      <c r="AA78" s="52" t="s">
        <v>8</v>
      </c>
      <c r="AB78" s="81"/>
      <c r="AC78" s="81"/>
      <c r="AD78" s="52" t="s">
        <v>8</v>
      </c>
      <c r="AE78" s="79"/>
      <c r="AF78" s="77"/>
      <c r="AG78" s="77"/>
      <c r="AH78" s="31"/>
    </row>
    <row r="79">
      <c r="I79" s="53"/>
      <c r="J79" s="53"/>
      <c r="K79" s="53"/>
      <c r="L79" s="65"/>
      <c r="M79" s="55"/>
      <c r="N79" s="55"/>
      <c r="O79" s="52" t="s">
        <v>8</v>
      </c>
      <c r="P79" s="55"/>
      <c r="Q79" s="52"/>
      <c r="R79" s="52" t="s">
        <v>8</v>
      </c>
      <c r="S79" s="55"/>
      <c r="T79" s="52"/>
      <c r="U79" s="52" t="s">
        <v>8</v>
      </c>
      <c r="V79" s="55"/>
      <c r="W79" s="52"/>
      <c r="X79" s="52" t="s">
        <v>8</v>
      </c>
      <c r="Y79" s="55"/>
      <c r="Z79" s="52"/>
      <c r="AA79" s="52" t="s">
        <v>8</v>
      </c>
      <c r="AB79" s="55"/>
      <c r="AC79" s="52"/>
      <c r="AD79" s="52" t="s">
        <v>8</v>
      </c>
      <c r="AE79" s="58">
        <v>1.0</v>
      </c>
      <c r="AF79" s="59">
        <v>1.0</v>
      </c>
      <c r="AG79" s="59"/>
      <c r="AH79" s="31"/>
    </row>
    <row r="80">
      <c r="I80" s="23"/>
      <c r="J80" s="23"/>
      <c r="K80" s="23"/>
      <c r="L80" s="85"/>
      <c r="M80" s="81"/>
      <c r="N80" s="81"/>
      <c r="O80" s="52" t="s">
        <v>8</v>
      </c>
      <c r="P80" s="81"/>
      <c r="Q80" s="81"/>
      <c r="R80" s="52" t="s">
        <v>8</v>
      </c>
      <c r="S80" s="81"/>
      <c r="T80" s="81"/>
      <c r="U80" s="52" t="s">
        <v>8</v>
      </c>
      <c r="V80" s="81"/>
      <c r="W80" s="81"/>
      <c r="X80" s="52" t="s">
        <v>8</v>
      </c>
      <c r="Y80" s="81"/>
      <c r="Z80" s="81"/>
      <c r="AA80" s="52" t="s">
        <v>8</v>
      </c>
      <c r="AB80" s="81"/>
      <c r="AC80" s="81"/>
      <c r="AD80" s="52" t="s">
        <v>8</v>
      </c>
      <c r="AE80" s="79"/>
      <c r="AF80" s="77"/>
      <c r="AG80" s="77"/>
      <c r="AH80" s="31"/>
    </row>
    <row r="81">
      <c r="I81" s="23"/>
      <c r="J81" s="23"/>
      <c r="K81" s="23"/>
      <c r="L81" s="85"/>
      <c r="M81" s="81"/>
      <c r="N81" s="81"/>
      <c r="O81" s="52" t="s">
        <v>8</v>
      </c>
      <c r="P81" s="81"/>
      <c r="Q81" s="81"/>
      <c r="R81" s="52" t="s">
        <v>8</v>
      </c>
      <c r="S81" s="81"/>
      <c r="T81" s="81"/>
      <c r="U81" s="52" t="s">
        <v>8</v>
      </c>
      <c r="V81" s="81"/>
      <c r="W81" s="81"/>
      <c r="X81" s="52" t="s">
        <v>8</v>
      </c>
      <c r="Y81" s="81"/>
      <c r="Z81" s="81"/>
      <c r="AA81" s="52" t="s">
        <v>8</v>
      </c>
      <c r="AB81" s="81"/>
      <c r="AC81" s="81"/>
      <c r="AD81" s="52" t="s">
        <v>8</v>
      </c>
      <c r="AE81" s="79"/>
      <c r="AF81" s="77"/>
      <c r="AG81" s="77"/>
      <c r="AH81" s="31"/>
    </row>
    <row r="82">
      <c r="I82" s="23"/>
      <c r="J82" s="23"/>
      <c r="K82" s="23"/>
      <c r="L82" s="85"/>
      <c r="M82" s="81"/>
      <c r="N82" s="81"/>
      <c r="O82" s="52" t="s">
        <v>8</v>
      </c>
      <c r="P82" s="81"/>
      <c r="Q82" s="81"/>
      <c r="R82" s="52" t="s">
        <v>8</v>
      </c>
      <c r="S82" s="81"/>
      <c r="T82" s="81"/>
      <c r="U82" s="52" t="s">
        <v>8</v>
      </c>
      <c r="V82" s="81"/>
      <c r="W82" s="81"/>
      <c r="X82" s="52" t="s">
        <v>8</v>
      </c>
      <c r="Y82" s="81"/>
      <c r="Z82" s="81"/>
      <c r="AA82" s="52" t="s">
        <v>8</v>
      </c>
      <c r="AB82" s="81"/>
      <c r="AC82" s="81"/>
      <c r="AD82" s="52" t="s">
        <v>8</v>
      </c>
      <c r="AE82" s="79"/>
      <c r="AF82" s="77"/>
      <c r="AG82" s="77"/>
      <c r="AH82" s="31"/>
    </row>
    <row r="83">
      <c r="I83" s="23"/>
      <c r="J83" s="23"/>
      <c r="K83" s="23"/>
      <c r="L83" s="85"/>
      <c r="M83" s="81"/>
      <c r="N83" s="81"/>
      <c r="O83" s="52" t="s">
        <v>8</v>
      </c>
      <c r="P83" s="81"/>
      <c r="Q83" s="81"/>
      <c r="R83" s="52" t="s">
        <v>8</v>
      </c>
      <c r="S83" s="81"/>
      <c r="T83" s="81"/>
      <c r="U83" s="52" t="s">
        <v>8</v>
      </c>
      <c r="V83" s="81"/>
      <c r="W83" s="81"/>
      <c r="X83" s="52" t="s">
        <v>8</v>
      </c>
      <c r="Y83" s="81"/>
      <c r="Z83" s="81"/>
      <c r="AA83" s="52" t="s">
        <v>8</v>
      </c>
      <c r="AB83" s="81"/>
      <c r="AC83" s="81"/>
      <c r="AD83" s="52" t="s">
        <v>8</v>
      </c>
      <c r="AE83" s="79"/>
      <c r="AF83" s="77"/>
      <c r="AG83" s="77"/>
      <c r="AH83" s="31"/>
    </row>
    <row r="84">
      <c r="I84" s="23"/>
      <c r="J84" s="23"/>
      <c r="K84" s="23"/>
      <c r="L84" s="85"/>
      <c r="M84" s="81"/>
      <c r="N84" s="81"/>
      <c r="O84" s="52" t="s">
        <v>8</v>
      </c>
      <c r="P84" s="81"/>
      <c r="Q84" s="81"/>
      <c r="R84" s="52" t="s">
        <v>8</v>
      </c>
      <c r="S84" s="81"/>
      <c r="T84" s="81"/>
      <c r="U84" s="52" t="s">
        <v>8</v>
      </c>
      <c r="V84" s="81"/>
      <c r="W84" s="81"/>
      <c r="X84" s="52" t="s">
        <v>8</v>
      </c>
      <c r="Y84" s="81"/>
      <c r="Z84" s="81"/>
      <c r="AA84" s="52" t="s">
        <v>8</v>
      </c>
      <c r="AB84" s="81"/>
      <c r="AC84" s="81"/>
      <c r="AD84" s="52" t="s">
        <v>8</v>
      </c>
      <c r="AE84" s="79"/>
      <c r="AF84" s="77"/>
      <c r="AG84" s="77"/>
      <c r="AH84" s="31"/>
    </row>
    <row r="85">
      <c r="I85" s="23"/>
      <c r="J85" s="23"/>
      <c r="K85" s="23"/>
      <c r="L85" s="85"/>
      <c r="M85" s="81"/>
      <c r="N85" s="81"/>
      <c r="O85" s="52" t="s">
        <v>8</v>
      </c>
      <c r="P85" s="81"/>
      <c r="Q85" s="81"/>
      <c r="R85" s="52" t="s">
        <v>8</v>
      </c>
      <c r="S85" s="81"/>
      <c r="T85" s="81"/>
      <c r="U85" s="52" t="s">
        <v>8</v>
      </c>
      <c r="V85" s="81"/>
      <c r="W85" s="81"/>
      <c r="X85" s="52" t="s">
        <v>8</v>
      </c>
      <c r="Y85" s="81"/>
      <c r="Z85" s="81"/>
      <c r="AA85" s="52" t="s">
        <v>8</v>
      </c>
      <c r="AB85" s="81"/>
      <c r="AC85" s="81"/>
      <c r="AD85" s="52" t="s">
        <v>8</v>
      </c>
      <c r="AE85" s="79"/>
      <c r="AF85" s="77"/>
      <c r="AG85" s="77"/>
      <c r="AH85" s="31"/>
    </row>
    <row r="86">
      <c r="I86" s="23"/>
      <c r="J86" s="23"/>
      <c r="K86" s="23"/>
      <c r="L86" s="85"/>
      <c r="M86" s="81"/>
      <c r="N86" s="81"/>
      <c r="O86" s="52" t="s">
        <v>8</v>
      </c>
      <c r="P86" s="81"/>
      <c r="Q86" s="81"/>
      <c r="R86" s="52" t="s">
        <v>8</v>
      </c>
      <c r="S86" s="81"/>
      <c r="T86" s="81"/>
      <c r="U86" s="52" t="s">
        <v>8</v>
      </c>
      <c r="V86" s="81"/>
      <c r="W86" s="81"/>
      <c r="X86" s="52" t="s">
        <v>8</v>
      </c>
      <c r="Y86" s="81"/>
      <c r="Z86" s="81"/>
      <c r="AA86" s="52" t="s">
        <v>8</v>
      </c>
      <c r="AB86" s="81"/>
      <c r="AC86" s="81"/>
      <c r="AD86" s="52" t="s">
        <v>8</v>
      </c>
      <c r="AE86" s="79"/>
      <c r="AF86" s="77"/>
      <c r="AG86" s="77"/>
      <c r="AH86" s="31"/>
    </row>
  </sheetData>
  <autoFilter ref="$J$2:$AG$57"/>
  <mergeCells count="10">
    <mergeCell ref="AC1:AD1"/>
    <mergeCell ref="AF1:AG1"/>
    <mergeCell ref="L1:O1"/>
    <mergeCell ref="P1:Q1"/>
    <mergeCell ref="R1:S1"/>
    <mergeCell ref="T1:U1"/>
    <mergeCell ref="V1:X1"/>
    <mergeCell ref="Y1:Z1"/>
    <mergeCell ref="AA1:AB1"/>
    <mergeCell ref="A3:A7"/>
  </mergeCells>
  <conditionalFormatting sqref="P1:Q1">
    <cfRule type="cellIs" dxfId="0" priority="1" operator="greaterThan">
      <formula>0</formula>
    </cfRule>
  </conditionalFormatting>
  <conditionalFormatting sqref="O3:O86 P3:P13 Q3:R86 S3 T3:U86 V3:V35 W3:X86 Y3:Y11 Z3:AD86 M4:M11 S5:S11 Y13:Y35 S14:S20 P15:P35 M17:N18 S22:S35 M29:M32 P37:P40 V37:V38 Y37:Y86 M38 N38:N39 S38:S40 M40 V40 P42:P86 V42:V86 S43:S86">
    <cfRule type="cellIs" dxfId="0" priority="2" operator="greaterThan">
      <formula>24</formula>
    </cfRule>
  </conditionalFormatting>
  <conditionalFormatting sqref="AC1:AD1">
    <cfRule type="cellIs" dxfId="0" priority="3" operator="greaterThan">
      <formula>0</formula>
    </cfRule>
  </conditionalFormatting>
  <conditionalFormatting sqref="T1:U1">
    <cfRule type="colorScale" priority="4">
      <colorScale>
        <cfvo type="formula" val="0"/>
        <cfvo type="formula" val="0.5"/>
        <cfvo type="formula" val="1"/>
        <color rgb="FFE67C73"/>
        <color rgb="FFFFFFFF"/>
        <color rgb="FF57BB8A"/>
      </colorScale>
    </cfRule>
  </conditionalFormatting>
  <printOptions gridLines="1" horizontalCentered="1"/>
  <pageMargins bottom="0.75" footer="0.0" header="0.0" left="0.7" right="0.7" top="0.75"/>
  <pageSetup fitToWidth="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24.5"/>
    <col customWidth="1" hidden="1" min="3" max="3" width="11.0"/>
    <col customWidth="1" hidden="1" min="4" max="4" width="14.13"/>
    <col customWidth="1" min="5" max="5" width="28.13"/>
    <col customWidth="1" hidden="1" min="6" max="7" width="14.5"/>
    <col customWidth="1" min="8" max="8" width="25.63"/>
    <col customWidth="1" min="9" max="9" width="24.13"/>
    <col customWidth="1" min="10" max="10" width="22.5"/>
    <col customWidth="1" min="11" max="13" width="25.75"/>
  </cols>
  <sheetData>
    <row r="1">
      <c r="A1" s="89" t="str">
        <f t="array" ref="A1:A1000">if(ROW(A:A)=1,"Código",if(E:E="","",row(A:A)-1))</f>
        <v>Código</v>
      </c>
      <c r="B1" s="90" t="s">
        <v>204</v>
      </c>
      <c r="C1" s="91" t="str">
        <f t="array" ref="C1:C1000">if(ROW(C:C)=1,"ID",if(B:B="","",xlookup(B:B,Students!C:C,Students!B:B)))</f>
        <v>ID</v>
      </c>
      <c r="D1" s="91" t="str">
        <f t="array" ref="D1:D1000">if(ROW(D:D)=1,"Grade next year (automated)",if(B:B="","",vlookup(B:B,{Students!$C:$C,Students!$A:$A},2,false)))</f>
        <v>Grade next year (automated)</v>
      </c>
      <c r="E1" s="90" t="s">
        <v>205</v>
      </c>
      <c r="F1" s="91" t="str">
        <f t="array" ref="F1:F1000">if(ROW(C:C)=1,"ID",if(E:E="","",xlookup(E:E,Students!C:C,Students!B:B)))</f>
        <v>ID</v>
      </c>
      <c r="G1" s="91" t="str">
        <f t="array" ref="G1:G1000">if(ROW(G:G)=1,"Grade next year (automated)",if(E:E="","",vlookup(E:E,{Students!$C:$C,Students!$A:$A},2,false)))</f>
        <v>Grade next year (automated)</v>
      </c>
      <c r="H1" s="90" t="s">
        <v>206</v>
      </c>
      <c r="I1" s="92" t="s">
        <v>207</v>
      </c>
      <c r="J1" s="93" t="s">
        <v>208</v>
      </c>
      <c r="K1" s="92" t="s">
        <v>209</v>
      </c>
      <c r="L1" s="92" t="str">
        <f>IFERROR(__xludf.DUMMYFUNCTION("unique(filter({filter('Students (Vertical)'!O:O,'Students (Vertical)'!C:C=B6,'Students (Vertical)'!O:O&lt;&gt;"""",'Students (Vertical)'!P:P&gt;1);filter('Students (Vertical)'!O:O,'Students (Vertical)'!C:C=E6,'Students (Vertical)'!O:O&lt;&gt;"""",'Students (Vertical)'!P"&amp;":P&gt;1)},countifs({filter('Students (Vertical)'!O:O,'Students (Vertical)'!C:C=B6,'Students (Vertical)'!O:O&lt;&gt;"""",'Students (Vertical)'!P:P&gt;1);filter('Students (Vertical)'!O:O,'Students (Vertical)'!C:C=E6,'Students (Vertical)'!O:O&lt;&gt;"""",'Students (Vertical)'"&amp;"!P:P&gt;1)},{filter('Students (Vertical)'!O:O,'Students (Vertical)'!C:C=B6,'Students (Vertical)'!O:O&lt;&gt;"""",'Students (Vertical)'!P:P&gt;1);filter('Students (Vertical)'!O:O,'Students (Vertical)'!C:C=E6,'Students (Vertical)'!O:O&lt;&gt;"""",'Students (Vertical)'!P:P&gt;1)"&amp;"})&gt;1))"),"Science 6-2")</f>
        <v>Science 6-2</v>
      </c>
      <c r="M1" s="92"/>
    </row>
    <row r="2">
      <c r="A2" s="6">
        <v>1.0</v>
      </c>
      <c r="B2" s="12" t="s">
        <v>210</v>
      </c>
      <c r="C2" s="6">
        <v>31128.0</v>
      </c>
      <c r="D2" s="6">
        <v>6.0</v>
      </c>
      <c r="E2" s="12" t="s">
        <v>211</v>
      </c>
      <c r="F2" s="6">
        <v>31137.0</v>
      </c>
      <c r="G2" s="6">
        <v>6.0</v>
      </c>
      <c r="H2" s="12" t="s">
        <v>212</v>
      </c>
      <c r="I2" s="94" t="str">
        <f>IFERROR(__xludf.DUMMYFUNCTION("if(H2=""Must be Together"",iferror(join("", "",unique(filter({filter('Students (Vertical)'!O:O,'Students (Vertical)'!C:C=B2,'Students (Vertical)'!O:O&lt;&gt;"""");filter('Students (Vertical)'!O:O,'Students (Vertical)'!C:C=E2,'Students (Vertical)'!O:O&lt;&gt;"""")},co"&amp;"untifs({filter('Students (Vertical)'!O:O,'Students (Vertical)'!C:C=B2,'Students (Vertical)'!O:O&lt;&gt;"""");filter('Students (Vertical)'!O:O,'Students (Vertical)'!C:C=E2,'Students (Vertical)'!O:O&lt;&gt;"""")},{filter('Students (Vertical)'!O:O,'Students (Vertical)'!"&amp;"C:C=B2,'Students (Vertical)'!O:O&lt;&gt;"""");filter('Students (Vertical)'!O:O,'Students (Vertical)'!C:C=E2,'Students (Vertical)'!O:O&lt;&gt;"""")})&gt;1))),""No shared courses""),"""")"),"")</f>
        <v/>
      </c>
      <c r="J2" s="95" t="str">
        <f>IFERROR(__xludf.DUMMYFUNCTION("if(H2=""Can't be Together"",iferror(join("", "",unique(filter({unique(filter('Students (Vertical)'!O:O,'Students (Vertical)'!C:C=B2,'Students (Vertical)'!O:O&lt;&gt;"""",'Students (Vertical)'!P:P&gt;1));unique(filter('Students (Vertical)'!O:O,'Students (Vertical)'"&amp;"!C:C=E2,'Students (Vertical)'!O:O&lt;&gt;"""",'Students (Vertical)'!P:P&gt;1))},countifs({unique(filter('Students (Vertical)'!O:O,'Students (Vertical)'!C:C=B2,'Students (Vertical)'!O:O&lt;&gt;"""",'Students (Vertical)'!P:P&gt;1));unique(filter('Students (Vertical)'!O:O,'St"&amp;"udents (Vertical)'!C:C=E2,'Students (Vertical)'!O:O&lt;&gt;"""",'Students (Vertical)'!P:P&gt;1))},{unique(filter('Students (Vertical)'!O:O,'Students (Vertical)'!C:C=B2,'Students (Vertical)'!O:O&lt;&gt;"""",'Students (Vertical)'!P:P&gt;1));unique(filter('Students (Vertical)"&amp;"'!O:O,'Students (Vertical)'!C:C=E2,'Students (Vertical)'!O:O&lt;&gt;"""",'Students (Vertical)'!P:P&gt;1))})&gt;1))),""""),"""")"),"PE 6-6b")</f>
        <v>PE 6-6b</v>
      </c>
      <c r="K2" s="96" t="str">
        <f>IFERROR(__xludf.DUMMYFUNCTION("iferror(join("", "",unique(filter({filter('Students (Vertical)'!D:D,'Students (Vertical)'!C:C=B2,'Students (Vertical)'!D:D&lt;&gt;"""");filter('Students (Vertical)'!D:D,'Students (Vertical)'!C:C=E2,'Students (Vertical)'!D:D&lt;&gt;"""")},countifs({filter('Students (V"&amp;"ertical)'!D:D,'Students (Vertical)'!C:C=B2,'Students (Vertical)'!D:D&lt;&gt;"""");filter('Students (Vertical)'!D:D,'Students (Vertical)'!C:C=E2,'Students (Vertical)'!D:D&lt;&gt;"""")},{filter('Students (Vertical)'!D:D,'Students (Vertical)'!C:C=B2,'Students (Vertical)"&amp;"'!D:D&lt;&gt;"""");filter('Students (Vertical)'!D:D,'Students (Vertical)'!C:C=E2,'Students (Vertical)'!D:D&lt;&gt;"""")})&gt;1))),"""")"),"Science 6, Sociales 6, Spanish 6, PE 6, Regular BandS1, Regular BandS2")</f>
        <v>Science 6, Sociales 6, Spanish 6, PE 6, Regular BandS1, Regular BandS2</v>
      </c>
      <c r="L2" s="96" t="str">
        <f>IFERROR(__xludf.DUMMYFUNCTION("""COMPUTED_VALUE"""),"English 6-6")</f>
        <v>English 6-6</v>
      </c>
      <c r="M2" s="96"/>
    </row>
    <row r="3" hidden="1">
      <c r="A3" s="8">
        <v>2.0</v>
      </c>
      <c r="B3" s="12" t="s">
        <v>210</v>
      </c>
      <c r="C3" s="8">
        <v>31128.0</v>
      </c>
      <c r="D3" s="8">
        <v>6.0</v>
      </c>
      <c r="E3" s="12" t="s">
        <v>213</v>
      </c>
      <c r="F3" s="8">
        <v>31120.0</v>
      </c>
      <c r="G3" s="8">
        <v>6.0</v>
      </c>
      <c r="H3" s="12" t="s">
        <v>214</v>
      </c>
      <c r="I3" s="94" t="str">
        <f>IFERROR(__xludf.DUMMYFUNCTION("if(H3=""Must be Together"",iferror(join("", "",unique(filter({filter('Students (Vertical)'!O:O,'Students (Vertical)'!C:C=B3,'Students (Vertical)'!O:O&lt;&gt;"""");filter('Students (Vertical)'!O:O,'Students (Vertical)'!C:C=E3,'Students (Vertical)'!O:O&lt;&gt;"""")},co"&amp;"untifs({filter('Students (Vertical)'!O:O,'Students (Vertical)'!C:C=B3,'Students (Vertical)'!O:O&lt;&gt;"""");filter('Students (Vertical)'!O:O,'Students (Vertical)'!C:C=E3,'Students (Vertical)'!O:O&lt;&gt;"""")},{filter('Students (Vertical)'!O:O,'Students (Vertical)'!"&amp;"C:C=B3,'Students (Vertical)'!O:O&lt;&gt;"""");filter('Students (Vertical)'!O:O,'Students (Vertical)'!C:C=E3,'Students (Vertical)'!O:O&lt;&gt;"""")})&gt;1))),""No shared courses""),"""")"),"Science 6-4, Math 6A-5, Sociales 6-3, Spanish 6-2")</f>
        <v>Science 6-4, Math 6A-5, Sociales 6-3, Spanish 6-2</v>
      </c>
      <c r="J3" s="94" t="str">
        <f>IFERROR(__xludf.DUMMYFUNCTION("if(H3=""Can't be Together"",iferror(join("", "",unique(filter({unique(filter('Students (Vertical)'!O:O,'Students (Vertical)'!C:C=B3,'Students (Vertical)'!O:O&lt;&gt;"""",'Students (Vertical)'!P:P&gt;1));unique(filter('Students (Vertical)'!O:O,'Students (Vertical)'"&amp;"!C:C=E3,'Students (Vertical)'!O:O&lt;&gt;"""",'Students (Vertical)'!P:P&gt;1))},countifs({unique(filter('Students (Vertical)'!O:O,'Students (Vertical)'!C:C=B3,'Students (Vertical)'!O:O&lt;&gt;"""",'Students (Vertical)'!P:P&gt;1));unique(filter('Students (Vertical)'!O:O,'St"&amp;"udents (Vertical)'!C:C=E3,'Students (Vertical)'!O:O&lt;&gt;"""",'Students (Vertical)'!P:P&gt;1))},{unique(filter('Students (Vertical)'!O:O,'Students (Vertical)'!C:C=B3,'Students (Vertical)'!O:O&lt;&gt;"""",'Students (Vertical)'!P:P&gt;1));unique(filter('Students (Vertical)"&amp;"'!O:O,'Students (Vertical)'!C:C=E3,'Students (Vertical)'!O:O&lt;&gt;"""",'Students (Vertical)'!P:P&gt;1))})&gt;1))),""""),"""")"),"")</f>
        <v/>
      </c>
      <c r="K3" s="96" t="str">
        <f>IFERROR(__xludf.DUMMYFUNCTION("iferror(join("", "",unique(filter({filter('Students (Vertical)'!D:D,'Students (Vertical)'!C:C=B3,'Students (Vertical)'!D:D&lt;&gt;"""");filter('Students (Vertical)'!D:D,'Students (Vertical)'!C:C=E3,'Students (Vertical)'!D:D&lt;&gt;"""")},countifs({filter('Students (V"&amp;"ertical)'!D:D,'Students (Vertical)'!C:C=B3,'Students (Vertical)'!D:D&lt;&gt;"""");filter('Students (Vertical)'!D:D,'Students (Vertical)'!C:C=E3,'Students (Vertical)'!D:D&lt;&gt;"""")},{filter('Students (Vertical)'!D:D,'Students (Vertical)'!C:C=B3,'Students (Vertical)"&amp;"'!D:D&lt;&gt;"""");filter('Students (Vertical)'!D:D,'Students (Vertical)'!C:C=E3,'Students (Vertical)'!D:D&lt;&gt;"""")})&gt;1))),"""")"),"Science 6, Math 6A, Sociales 6, Spanish 6, PE 6")</f>
        <v>Science 6, Math 6A, Sociales 6, Spanish 6, PE 6</v>
      </c>
      <c r="L3" s="96" t="str">
        <f>IFERROR(__xludf.DUMMYFUNCTION("""COMPUTED_VALUE"""),"Sociales 6-4")</f>
        <v>Sociales 6-4</v>
      </c>
      <c r="M3" s="96"/>
    </row>
    <row r="4" hidden="1">
      <c r="A4" s="8">
        <v>3.0</v>
      </c>
      <c r="B4" s="12" t="s">
        <v>210</v>
      </c>
      <c r="C4" s="8">
        <v>31128.0</v>
      </c>
      <c r="D4" s="8">
        <v>6.0</v>
      </c>
      <c r="E4" s="12" t="s">
        <v>215</v>
      </c>
      <c r="F4" s="8">
        <v>31173.0</v>
      </c>
      <c r="G4" s="8">
        <v>6.0</v>
      </c>
      <c r="H4" s="12" t="s">
        <v>214</v>
      </c>
      <c r="I4" s="94" t="str">
        <f>IFERROR(__xludf.DUMMYFUNCTION("if(H4=""Must be Together"",iferror(join("", "",unique(filter({filter('Students (Vertical)'!O:O,'Students (Vertical)'!C:C=B4,'Students (Vertical)'!O:O&lt;&gt;"""");filter('Students (Vertical)'!O:O,'Students (Vertical)'!C:C=E4,'Students (Vertical)'!O:O&lt;&gt;"""")},co"&amp;"untifs({filter('Students (Vertical)'!O:O,'Students (Vertical)'!C:C=B4,'Students (Vertical)'!O:O&lt;&gt;"""");filter('Students (Vertical)'!O:O,'Students (Vertical)'!C:C=E4,'Students (Vertical)'!O:O&lt;&gt;"""")},{filter('Students (Vertical)'!O:O,'Students (Vertical)'!"&amp;"C:C=B4,'Students (Vertical)'!O:O&lt;&gt;"""");filter('Students (Vertical)'!O:O,'Students (Vertical)'!C:C=E4,'Students (Vertical)'!O:O&lt;&gt;"""")})&gt;1))),""No shared courses""),"""")"),"Science 6-4, Math 6A-5, English 6A-1, Sociales 6-3, Spanish 6-2")</f>
        <v>Science 6-4, Math 6A-5, English 6A-1, Sociales 6-3, Spanish 6-2</v>
      </c>
      <c r="J4" s="94" t="str">
        <f>IFERROR(__xludf.DUMMYFUNCTION("if(H4=""Can't be Together"",iferror(join("", "",unique(filter({unique(filter('Students (Vertical)'!O:O,'Students (Vertical)'!C:C=B4,'Students (Vertical)'!O:O&lt;&gt;"""",'Students (Vertical)'!P:P&gt;1));unique(filter('Students (Vertical)'!O:O,'Students (Vertical)'"&amp;"!C:C=E4,'Students (Vertical)'!O:O&lt;&gt;"""",'Students (Vertical)'!P:P&gt;1))},countifs({unique(filter('Students (Vertical)'!O:O,'Students (Vertical)'!C:C=B4,'Students (Vertical)'!O:O&lt;&gt;"""",'Students (Vertical)'!P:P&gt;1));unique(filter('Students (Vertical)'!O:O,'St"&amp;"udents (Vertical)'!C:C=E4,'Students (Vertical)'!O:O&lt;&gt;"""",'Students (Vertical)'!P:P&gt;1))},{unique(filter('Students (Vertical)'!O:O,'Students (Vertical)'!C:C=B4,'Students (Vertical)'!O:O&lt;&gt;"""",'Students (Vertical)'!P:P&gt;1));unique(filter('Students (Vertical)"&amp;"'!O:O,'Students (Vertical)'!C:C=E4,'Students (Vertical)'!O:O&lt;&gt;"""",'Students (Vertical)'!P:P&gt;1))})&gt;1))),""""),"""")"),"")</f>
        <v/>
      </c>
      <c r="K4" s="96" t="str">
        <f>IFERROR(__xludf.DUMMYFUNCTION("iferror(join("", "",unique(filter({filter('Students (Vertical)'!D:D,'Students (Vertical)'!C:C=B4,'Students (Vertical)'!D:D&lt;&gt;"""");filter('Students (Vertical)'!D:D,'Students (Vertical)'!C:C=E4,'Students (Vertical)'!D:D&lt;&gt;"""")},countifs({filter('Students (V"&amp;"ertical)'!D:D,'Students (Vertical)'!C:C=B4,'Students (Vertical)'!D:D&lt;&gt;"""");filter('Students (Vertical)'!D:D,'Students (Vertical)'!C:C=E4,'Students (Vertical)'!D:D&lt;&gt;"""")},{filter('Students (Vertical)'!D:D,'Students (Vertical)'!C:C=B4,'Students (Vertical)"&amp;"'!D:D&lt;&gt;"""");filter('Students (Vertical)'!D:D,'Students (Vertical)'!C:C=E4,'Students (Vertical)'!D:D&lt;&gt;"""")})&gt;1))),"""")"),"Science 6, Math 6A, English 6A, Sociales 6, Spanish 6, PE 6")</f>
        <v>Science 6, Math 6A, English 6A, Sociales 6, Spanish 6, PE 6</v>
      </c>
      <c r="L4" s="96" t="str">
        <f>IFERROR(__xludf.DUMMYFUNCTION("""COMPUTED_VALUE"""),"Spanish 6-3")</f>
        <v>Spanish 6-3</v>
      </c>
      <c r="M4" s="96"/>
    </row>
    <row r="5">
      <c r="A5" s="8">
        <v>4.0</v>
      </c>
      <c r="B5" s="12" t="s">
        <v>216</v>
      </c>
      <c r="C5" s="8">
        <v>31017.0</v>
      </c>
      <c r="D5" s="8">
        <v>6.0</v>
      </c>
      <c r="E5" s="12" t="s">
        <v>217</v>
      </c>
      <c r="F5" s="8">
        <v>31070.0</v>
      </c>
      <c r="G5" s="8">
        <v>6.0</v>
      </c>
      <c r="H5" s="12" t="s">
        <v>212</v>
      </c>
      <c r="I5" s="94" t="str">
        <f>IFERROR(__xludf.DUMMYFUNCTION("if(H5=""Must be Together"",iferror(join("", "",unique(filter({filter('Students (Vertical)'!O:O,'Students (Vertical)'!C:C=B5,'Students (Vertical)'!O:O&lt;&gt;"""");filter('Students (Vertical)'!O:O,'Students (Vertical)'!C:C=E5,'Students (Vertical)'!O:O&lt;&gt;"""")},co"&amp;"untifs({filter('Students (Vertical)'!O:O,'Students (Vertical)'!C:C=B5,'Students (Vertical)'!O:O&lt;&gt;"""");filter('Students (Vertical)'!O:O,'Students (Vertical)'!C:C=E5,'Students (Vertical)'!O:O&lt;&gt;"""")},{filter('Students (Vertical)'!O:O,'Students (Vertical)'!"&amp;"C:C=B5,'Students (Vertical)'!O:O&lt;&gt;"""");filter('Students (Vertical)'!O:O,'Students (Vertical)'!C:C=E5,'Students (Vertical)'!O:O&lt;&gt;"""")})&gt;1))),""No shared courses""),"""")"),"")</f>
        <v/>
      </c>
      <c r="J5" s="95" t="str">
        <f>IFERROR(__xludf.DUMMYFUNCTION("if(H5=""Can't be Together"",iferror(join("", "",unique(filter({unique(filter('Students (Vertical)'!O:O,'Students (Vertical)'!C:C=B5,'Students (Vertical)'!O:O&lt;&gt;"""",'Students (Vertical)'!P:P&gt;1));unique(filter('Students (Vertical)'!O:O,'Students (Vertical)'"&amp;"!C:C=E5,'Students (Vertical)'!O:O&lt;&gt;"""",'Students (Vertical)'!P:P&gt;1))},countifs({unique(filter('Students (Vertical)'!O:O,'Students (Vertical)'!C:C=B5,'Students (Vertical)'!O:O&lt;&gt;"""",'Students (Vertical)'!P:P&gt;1));unique(filter('Students (Vertical)'!O:O,'St"&amp;"udents (Vertical)'!C:C=E5,'Students (Vertical)'!O:O&lt;&gt;"""",'Students (Vertical)'!P:P&gt;1))},{unique(filter('Students (Vertical)'!O:O,'Students (Vertical)'!C:C=B5,'Students (Vertical)'!O:O&lt;&gt;"""",'Students (Vertical)'!P:P&gt;1));unique(filter('Students (Vertical)"&amp;"'!O:O,'Students (Vertical)'!C:C=E5,'Students (Vertical)'!O:O&lt;&gt;"""",'Students (Vertical)'!P:P&gt;1))})&gt;1))),""""),"""")"),"PE 6-5b")</f>
        <v>PE 6-5b</v>
      </c>
      <c r="K5" s="96" t="str">
        <f>IFERROR(__xludf.DUMMYFUNCTION("iferror(join("", "",unique(filter({filter('Students (Vertical)'!D:D,'Students (Vertical)'!C:C=B5,'Students (Vertical)'!D:D&lt;&gt;"""");filter('Students (Vertical)'!D:D,'Students (Vertical)'!C:C=E5,'Students (Vertical)'!D:D&lt;&gt;"""")},countifs({filter('Students (V"&amp;"ertical)'!D:D,'Students (Vertical)'!C:C=B5,'Students (Vertical)'!D:D&lt;&gt;"""");filter('Students (Vertical)'!D:D,'Students (Vertical)'!C:C=E5,'Students (Vertical)'!D:D&lt;&gt;"""")},{filter('Students (Vertical)'!D:D,'Students (Vertical)'!C:C=B5,'Students (Vertical)"&amp;"'!D:D&lt;&gt;"""");filter('Students (Vertical)'!D:D,'Students (Vertical)'!C:C=E5,'Students (Vertical)'!D:D&lt;&gt;"""")})&gt;1))),"""")"),"Science 6, Math 6, English 6, Sociales 6, Spanish 6, PE 6, Symphony BandS1, Symphony BandS2")</f>
        <v>Science 6, Math 6, English 6, Sociales 6, Spanish 6, PE 6, Symphony BandS1, Symphony BandS2</v>
      </c>
      <c r="L5" s="96" t="str">
        <f>IFERROR(__xludf.DUMMYFUNCTION("""COMPUTED_VALUE"""),"PE 6-1a")</f>
        <v>PE 6-1a</v>
      </c>
      <c r="M5" s="96"/>
    </row>
    <row r="6" hidden="1">
      <c r="A6" s="8">
        <v>5.0</v>
      </c>
      <c r="B6" s="12" t="s">
        <v>218</v>
      </c>
      <c r="C6" s="8">
        <v>31134.0</v>
      </c>
      <c r="D6" s="8">
        <v>6.0</v>
      </c>
      <c r="E6" s="12" t="s">
        <v>219</v>
      </c>
      <c r="F6" s="8">
        <v>31172.0</v>
      </c>
      <c r="G6" s="8">
        <v>6.0</v>
      </c>
      <c r="H6" s="12" t="s">
        <v>214</v>
      </c>
      <c r="I6" s="94" t="str">
        <f>IFERROR(__xludf.DUMMYFUNCTION("if(H6=""Must be Together"",iferror(join("", "",unique(filter({filter('Students (Vertical)'!O:O,'Students (Vertical)'!C:C=B6,'Students (Vertical)'!O:O&lt;&gt;"""");filter('Students (Vertical)'!O:O,'Students (Vertical)'!C:C=E6,'Students (Vertical)'!O:O&lt;&gt;"""")},co"&amp;"untifs({filter('Students (Vertical)'!O:O,'Students (Vertical)'!C:C=B6,'Students (Vertical)'!O:O&lt;&gt;"""");filter('Students (Vertical)'!O:O,'Students (Vertical)'!C:C=E6,'Students (Vertical)'!O:O&lt;&gt;"""")},{filter('Students (Vertical)'!O:O,'Students (Vertical)'!"&amp;"C:C=B6,'Students (Vertical)'!O:O&lt;&gt;"""");filter('Students (Vertical)'!O:O,'Students (Vertical)'!C:C=E6,'Students (Vertical)'!O:O&lt;&gt;"""")})&gt;1))),""No shared courses""),"""")"),"Science 6-2, English 6-6, Sociales 6-4, Spanish 6-3, PE 6-1a, Art 6S1-1b, Tech 6S2-1b")</f>
        <v>Science 6-2, English 6-6, Sociales 6-4, Spanish 6-3, PE 6-1a, Art 6S1-1b, Tech 6S2-1b</v>
      </c>
      <c r="J6" s="94" t="str">
        <f>IFERROR(__xludf.DUMMYFUNCTION("if(H6=""Can't be Together"",iferror(join("", "",unique(filter({unique(filter('Students (Vertical)'!O:O,'Students (Vertical)'!C:C=B6,'Students (Vertical)'!O:O&lt;&gt;"""",'Students (Vertical)'!P:P&gt;1));unique(filter('Students (Vertical)'!O:O,'Students (Vertical)'"&amp;"!C:C=E6,'Students (Vertical)'!O:O&lt;&gt;"""",'Students (Vertical)'!P:P&gt;1))},countifs({unique(filter('Students (Vertical)'!O:O,'Students (Vertical)'!C:C=B6,'Students (Vertical)'!O:O&lt;&gt;"""",'Students (Vertical)'!P:P&gt;1));unique(filter('Students (Vertical)'!O:O,'St"&amp;"udents (Vertical)'!C:C=E6,'Students (Vertical)'!O:O&lt;&gt;"""",'Students (Vertical)'!P:P&gt;1))},{unique(filter('Students (Vertical)'!O:O,'Students (Vertical)'!C:C=B6,'Students (Vertical)'!O:O&lt;&gt;"""",'Students (Vertical)'!P:P&gt;1));unique(filter('Students (Vertical)"&amp;"'!O:O,'Students (Vertical)'!C:C=E6,'Students (Vertical)'!O:O&lt;&gt;"""",'Students (Vertical)'!P:P&gt;1))})&gt;1))),""""),"""")"),"")</f>
        <v/>
      </c>
      <c r="K6" s="96" t="str">
        <f>IFERROR(__xludf.DUMMYFUNCTION("iferror(join("", "",unique(filter({filter('Students (Vertical)'!D:D,'Students (Vertical)'!C:C=B6,'Students (Vertical)'!D:D&lt;&gt;"""");filter('Students (Vertical)'!D:D,'Students (Vertical)'!C:C=E6,'Students (Vertical)'!D:D&lt;&gt;"""")},countifs({filter('Students (V"&amp;"ertical)'!D:D,'Students (Vertical)'!C:C=B6,'Students (Vertical)'!D:D&lt;&gt;"""");filter('Students (Vertical)'!D:D,'Students (Vertical)'!C:C=E6,'Students (Vertical)'!D:D&lt;&gt;"""")},{filter('Students (Vertical)'!D:D,'Students (Vertical)'!C:C=B6,'Students (Vertical)"&amp;"'!D:D&lt;&gt;"""");filter('Students (Vertical)'!D:D,'Students (Vertical)'!C:C=E6,'Students (Vertical)'!D:D&lt;&gt;"""")})&gt;1))),"""")"),"Science 6, English 6, Sociales 6, Spanish 6, PE 6, Art 6S1, Tech 6S2")</f>
        <v>Science 6, English 6, Sociales 6, Spanish 6, PE 6, Art 6S1, Tech 6S2</v>
      </c>
      <c r="L6" s="96"/>
      <c r="M6" s="96"/>
    </row>
    <row r="7">
      <c r="A7" s="8">
        <v>6.0</v>
      </c>
      <c r="B7" s="12" t="s">
        <v>218</v>
      </c>
      <c r="C7" s="8">
        <v>31134.0</v>
      </c>
      <c r="D7" s="8">
        <v>6.0</v>
      </c>
      <c r="E7" s="12" t="s">
        <v>220</v>
      </c>
      <c r="F7" s="8">
        <v>31105.0</v>
      </c>
      <c r="G7" s="8">
        <v>6.0</v>
      </c>
      <c r="H7" s="12" t="s">
        <v>212</v>
      </c>
      <c r="I7" s="94" t="str">
        <f>IFERROR(__xludf.DUMMYFUNCTION("if(H7=""Must be Together"",iferror(join("", "",unique(filter({filter('Students (Vertical)'!O:O,'Students (Vertical)'!C:C=B7,'Students (Vertical)'!O:O&lt;&gt;"""");filter('Students (Vertical)'!O:O,'Students (Vertical)'!C:C=E7,'Students (Vertical)'!O:O&lt;&gt;"""")},co"&amp;"untifs({filter('Students (Vertical)'!O:O,'Students (Vertical)'!C:C=B7,'Students (Vertical)'!O:O&lt;&gt;"""");filter('Students (Vertical)'!O:O,'Students (Vertical)'!C:C=E7,'Students (Vertical)'!O:O&lt;&gt;"""")},{filter('Students (Vertical)'!O:O,'Students (Vertical)'!"&amp;"C:C=B7,'Students (Vertical)'!O:O&lt;&gt;"""");filter('Students (Vertical)'!O:O,'Students (Vertical)'!C:C=E7,'Students (Vertical)'!O:O&lt;&gt;"""")})&gt;1))),""No shared courses""),"""")"),"")</f>
        <v/>
      </c>
      <c r="J7" s="94" t="str">
        <f>IFERROR(__xludf.DUMMYFUNCTION("if(H7=""Can't be Together"",iferror(join("", "",unique(filter({unique(filter('Students (Vertical)'!O:O,'Students (Vertical)'!C:C=B7,'Students (Vertical)'!O:O&lt;&gt;"""",'Students (Vertical)'!P:P&gt;1));unique(filter('Students (Vertical)'!O:O,'Students (Vertical)'"&amp;"!C:C=E7,'Students (Vertical)'!O:O&lt;&gt;"""",'Students (Vertical)'!P:P&gt;1))},countifs({unique(filter('Students (Vertical)'!O:O,'Students (Vertical)'!C:C=B7,'Students (Vertical)'!O:O&lt;&gt;"""",'Students (Vertical)'!P:P&gt;1));unique(filter('Students (Vertical)'!O:O,'St"&amp;"udents (Vertical)'!C:C=E7,'Students (Vertical)'!O:O&lt;&gt;"""",'Students (Vertical)'!P:P&gt;1))},{unique(filter('Students (Vertical)'!O:O,'Students (Vertical)'!C:C=B7,'Students (Vertical)'!O:O&lt;&gt;"""",'Students (Vertical)'!P:P&gt;1));unique(filter('Students (Vertical)"&amp;"'!O:O,'Students (Vertical)'!C:C=E7,'Students (Vertical)'!O:O&lt;&gt;"""",'Students (Vertical)'!P:P&gt;1))})&gt;1))),""""),"""")"),"")</f>
        <v/>
      </c>
      <c r="K7" s="96" t="str">
        <f>IFERROR(__xludf.DUMMYFUNCTION("iferror(join("", "",unique(filter({filter('Students (Vertical)'!D:D,'Students (Vertical)'!C:C=B7,'Students (Vertical)'!D:D&lt;&gt;"""");filter('Students (Vertical)'!D:D,'Students (Vertical)'!C:C=E7,'Students (Vertical)'!D:D&lt;&gt;"""")},countifs({filter('Students (V"&amp;"ertical)'!D:D,'Students (Vertical)'!C:C=B7,'Students (Vertical)'!D:D&lt;&gt;"""");filter('Students (Vertical)'!D:D,'Students (Vertical)'!C:C=E7,'Students (Vertical)'!D:D&lt;&gt;"""")},{filter('Students (Vertical)'!D:D,'Students (Vertical)'!C:C=B7,'Students (Vertical)"&amp;"'!D:D&lt;&gt;"""");filter('Students (Vertical)'!D:D,'Students (Vertical)'!C:C=E7,'Students (Vertical)'!D:D&lt;&gt;"""")})&gt;1))),"""")"),"Science 6, English 6, Sociales 6, Spanish 6, PE 6, Art 6S1, Tech 6S2")</f>
        <v>Science 6, English 6, Sociales 6, Spanish 6, PE 6, Art 6S1, Tech 6S2</v>
      </c>
      <c r="L7" s="96"/>
      <c r="M7" s="96"/>
    </row>
    <row r="8">
      <c r="A8" s="8">
        <v>7.0</v>
      </c>
      <c r="B8" s="12" t="s">
        <v>218</v>
      </c>
      <c r="C8" s="8">
        <v>31134.0</v>
      </c>
      <c r="D8" s="8">
        <v>6.0</v>
      </c>
      <c r="E8" s="12" t="s">
        <v>221</v>
      </c>
      <c r="F8" s="8">
        <v>31019.0</v>
      </c>
      <c r="G8" s="8">
        <v>6.0</v>
      </c>
      <c r="H8" s="12" t="s">
        <v>212</v>
      </c>
      <c r="I8" s="94" t="str">
        <f>IFERROR(__xludf.DUMMYFUNCTION("if(H8=""Must be Together"",iferror(join("", "",unique(filter({filter('Students (Vertical)'!O:O,'Students (Vertical)'!C:C=B8,'Students (Vertical)'!O:O&lt;&gt;"""");filter('Students (Vertical)'!O:O,'Students (Vertical)'!C:C=E8,'Students (Vertical)'!O:O&lt;&gt;"""")},co"&amp;"untifs({filter('Students (Vertical)'!O:O,'Students (Vertical)'!C:C=B8,'Students (Vertical)'!O:O&lt;&gt;"""");filter('Students (Vertical)'!O:O,'Students (Vertical)'!C:C=E8,'Students (Vertical)'!O:O&lt;&gt;"""")},{filter('Students (Vertical)'!O:O,'Students (Vertical)'!"&amp;"C:C=B8,'Students (Vertical)'!O:O&lt;&gt;"""");filter('Students (Vertical)'!O:O,'Students (Vertical)'!C:C=E8,'Students (Vertical)'!O:O&lt;&gt;"""")})&gt;1))),""No shared courses""),"""")"),"")</f>
        <v/>
      </c>
      <c r="J8" s="94" t="str">
        <f>IFERROR(__xludf.DUMMYFUNCTION("if(H8=""Can't be Together"",iferror(join("", "",unique(filter({unique(filter('Students (Vertical)'!O:O,'Students (Vertical)'!C:C=B8,'Students (Vertical)'!O:O&lt;&gt;"""",'Students (Vertical)'!P:P&gt;1));unique(filter('Students (Vertical)'!O:O,'Students (Vertical)'"&amp;"!C:C=E8,'Students (Vertical)'!O:O&lt;&gt;"""",'Students (Vertical)'!P:P&gt;1))},countifs({unique(filter('Students (Vertical)'!O:O,'Students (Vertical)'!C:C=B8,'Students (Vertical)'!O:O&lt;&gt;"""",'Students (Vertical)'!P:P&gt;1));unique(filter('Students (Vertical)'!O:O,'St"&amp;"udents (Vertical)'!C:C=E8,'Students (Vertical)'!O:O&lt;&gt;"""",'Students (Vertical)'!P:P&gt;1))},{unique(filter('Students (Vertical)'!O:O,'Students (Vertical)'!C:C=B8,'Students (Vertical)'!O:O&lt;&gt;"""",'Students (Vertical)'!P:P&gt;1));unique(filter('Students (Vertical)"&amp;"'!O:O,'Students (Vertical)'!C:C=E8,'Students (Vertical)'!O:O&lt;&gt;"""",'Students (Vertical)'!P:P&gt;1))})&gt;1))),""""),"""")"),"")</f>
        <v/>
      </c>
      <c r="K8" s="96" t="str">
        <f>IFERROR(__xludf.DUMMYFUNCTION("iferror(join("", "",unique(filter({filter('Students (Vertical)'!D:D,'Students (Vertical)'!C:C=B8,'Students (Vertical)'!D:D&lt;&gt;"""");filter('Students (Vertical)'!D:D,'Students (Vertical)'!C:C=E8,'Students (Vertical)'!D:D&lt;&gt;"""")},countifs({filter('Students (V"&amp;"ertical)'!D:D,'Students (Vertical)'!C:C=B8,'Students (Vertical)'!D:D&lt;&gt;"""");filter('Students (Vertical)'!D:D,'Students (Vertical)'!C:C=E8,'Students (Vertical)'!D:D&lt;&gt;"""")},{filter('Students (Vertical)'!D:D,'Students (Vertical)'!C:C=B8,'Students (Vertical)"&amp;"'!D:D&lt;&gt;"""");filter('Students (Vertical)'!D:D,'Students (Vertical)'!C:C=E8,'Students (Vertical)'!D:D&lt;&gt;"""")})&gt;1))),"""")"),"Science 6, English 6, Sociales 6, Spanish 6, PE 6, Art 6S1, Tech 6S2")</f>
        <v>Science 6, English 6, Sociales 6, Spanish 6, PE 6, Art 6S1, Tech 6S2</v>
      </c>
      <c r="L8" s="96"/>
      <c r="M8" s="96"/>
    </row>
    <row r="9">
      <c r="A9" s="8">
        <v>8.0</v>
      </c>
      <c r="B9" s="12" t="s">
        <v>218</v>
      </c>
      <c r="C9" s="8">
        <v>31134.0</v>
      </c>
      <c r="D9" s="8">
        <v>6.0</v>
      </c>
      <c r="E9" s="12" t="s">
        <v>222</v>
      </c>
      <c r="F9" s="8">
        <v>31004.0</v>
      </c>
      <c r="G9" s="8">
        <v>6.0</v>
      </c>
      <c r="H9" s="12" t="s">
        <v>212</v>
      </c>
      <c r="I9" s="94" t="str">
        <f>IFERROR(__xludf.DUMMYFUNCTION("if(H9=""Must be Together"",iferror(join("", "",unique(filter({filter('Students (Vertical)'!O:O,'Students (Vertical)'!C:C=B9,'Students (Vertical)'!O:O&lt;&gt;"""");filter('Students (Vertical)'!O:O,'Students (Vertical)'!C:C=E9,'Students (Vertical)'!O:O&lt;&gt;"""")},co"&amp;"untifs({filter('Students (Vertical)'!O:O,'Students (Vertical)'!C:C=B9,'Students (Vertical)'!O:O&lt;&gt;"""");filter('Students (Vertical)'!O:O,'Students (Vertical)'!C:C=E9,'Students (Vertical)'!O:O&lt;&gt;"""")},{filter('Students (Vertical)'!O:O,'Students (Vertical)'!"&amp;"C:C=B9,'Students (Vertical)'!O:O&lt;&gt;"""");filter('Students (Vertical)'!O:O,'Students (Vertical)'!C:C=E9,'Students (Vertical)'!O:O&lt;&gt;"""")})&gt;1))),""No shared courses""),"""")"),"")</f>
        <v/>
      </c>
      <c r="J9" s="94" t="str">
        <f>IFERROR(__xludf.DUMMYFUNCTION("if(H9=""Can't be Together"",iferror(join("", "",unique(filter({unique(filter('Students (Vertical)'!O:O,'Students (Vertical)'!C:C=B9,'Students (Vertical)'!O:O&lt;&gt;"""",'Students (Vertical)'!P:P&gt;1));unique(filter('Students (Vertical)'!O:O,'Students (Vertical)'"&amp;"!C:C=E9,'Students (Vertical)'!O:O&lt;&gt;"""",'Students (Vertical)'!P:P&gt;1))},countifs({unique(filter('Students (Vertical)'!O:O,'Students (Vertical)'!C:C=B9,'Students (Vertical)'!O:O&lt;&gt;"""",'Students (Vertical)'!P:P&gt;1));unique(filter('Students (Vertical)'!O:O,'St"&amp;"udents (Vertical)'!C:C=E9,'Students (Vertical)'!O:O&lt;&gt;"""",'Students (Vertical)'!P:P&gt;1))},{unique(filter('Students (Vertical)'!O:O,'Students (Vertical)'!C:C=B9,'Students (Vertical)'!O:O&lt;&gt;"""",'Students (Vertical)'!P:P&gt;1));unique(filter('Students (Vertical)"&amp;"'!O:O,'Students (Vertical)'!C:C=E9,'Students (Vertical)'!O:O&lt;&gt;"""",'Students (Vertical)'!P:P&gt;1))})&gt;1))),""""),"""")"),"")</f>
        <v/>
      </c>
      <c r="K9" s="96" t="str">
        <f>IFERROR(__xludf.DUMMYFUNCTION("iferror(join("", "",unique(filter({filter('Students (Vertical)'!D:D,'Students (Vertical)'!C:C=B9,'Students (Vertical)'!D:D&lt;&gt;"""");filter('Students (Vertical)'!D:D,'Students (Vertical)'!C:C=E9,'Students (Vertical)'!D:D&lt;&gt;"""")},countifs({filter('Students (V"&amp;"ertical)'!D:D,'Students (Vertical)'!C:C=B9,'Students (Vertical)'!D:D&lt;&gt;"""");filter('Students (Vertical)'!D:D,'Students (Vertical)'!C:C=E9,'Students (Vertical)'!D:D&lt;&gt;"""")},{filter('Students (Vertical)'!D:D,'Students (Vertical)'!C:C=B9,'Students (Vertical)"&amp;"'!D:D&lt;&gt;"""");filter('Students (Vertical)'!D:D,'Students (Vertical)'!C:C=E9,'Students (Vertical)'!D:D&lt;&gt;"""")})&gt;1))),"""")"),"Science 6, English 6, Sociales 6, Spanish 6, PE 6")</f>
        <v>Science 6, English 6, Sociales 6, Spanish 6, PE 6</v>
      </c>
      <c r="L9" s="96"/>
      <c r="M9" s="96"/>
    </row>
    <row r="10">
      <c r="A10" s="8">
        <v>9.0</v>
      </c>
      <c r="B10" s="12" t="s">
        <v>218</v>
      </c>
      <c r="C10" s="8">
        <v>31134.0</v>
      </c>
      <c r="D10" s="8">
        <v>6.0</v>
      </c>
      <c r="E10" s="12" t="s">
        <v>223</v>
      </c>
      <c r="F10" s="8">
        <v>31088.0</v>
      </c>
      <c r="G10" s="8">
        <v>6.0</v>
      </c>
      <c r="H10" s="12" t="s">
        <v>212</v>
      </c>
      <c r="I10" s="94" t="str">
        <f>IFERROR(__xludf.DUMMYFUNCTION("if(H10=""Must be Together"",iferror(join("", "",unique(filter({filter('Students (Vertical)'!O:O,'Students (Vertical)'!C:C=B10,'Students (Vertical)'!O:O&lt;&gt;"""");filter('Students (Vertical)'!O:O,'Students (Vertical)'!C:C=E10,'Students (Vertical)'!O:O&lt;&gt;"""")}"&amp;",countifs({filter('Students (Vertical)'!O:O,'Students (Vertical)'!C:C=B10,'Students (Vertical)'!O:O&lt;&gt;"""");filter('Students (Vertical)'!O:O,'Students (Vertical)'!C:C=E10,'Students (Vertical)'!O:O&lt;&gt;"""")},{filter('Students (Vertical)'!O:O,'Students (Vertic"&amp;"al)'!C:C=B10,'Students (Vertical)'!O:O&lt;&gt;"""");filter('Students (Vertical)'!O:O,'Students (Vertical)'!C:C=E10,'Students (Vertical)'!O:O&lt;&gt;"""")})&gt;1))),""No shared courses""),"""")"),"")</f>
        <v/>
      </c>
      <c r="J10" s="94" t="str">
        <f>IFERROR(__xludf.DUMMYFUNCTION("if(H10=""Can't be Together"",iferror(join("", "",unique(filter({unique(filter('Students (Vertical)'!O:O,'Students (Vertical)'!C:C=B10,'Students (Vertical)'!O:O&lt;&gt;"""",'Students (Vertical)'!P:P&gt;1));unique(filter('Students (Vertical)'!O:O,'Students (Vertical"&amp;")'!C:C=E10,'Students (Vertical)'!O:O&lt;&gt;"""",'Students (Vertical)'!P:P&gt;1))},countifs({unique(filter('Students (Vertical)'!O:O,'Students (Vertical)'!C:C=B10,'Students (Vertical)'!O:O&lt;&gt;"""",'Students (Vertical)'!P:P&gt;1));unique(filter('Students (Vertical)'!O:O"&amp;",'Students (Vertical)'!C:C=E10,'Students (Vertical)'!O:O&lt;&gt;"""",'Students (Vertical)'!P:P&gt;1))},{unique(filter('Students (Vertical)'!O:O,'Students (Vertical)'!C:C=B10,'Students (Vertical)'!O:O&lt;&gt;"""",'Students (Vertical)'!P:P&gt;1));unique(filter('Students (Ver"&amp;"tical)'!O:O,'Students (Vertical)'!C:C=E10,'Students (Vertical)'!O:O&lt;&gt;"""",'Students (Vertical)'!P:P&gt;1))})&gt;1))),""""),"""")"),"")</f>
        <v/>
      </c>
      <c r="K10" s="96" t="str">
        <f>IFERROR(__xludf.DUMMYFUNCTION("iferror(join("", "",unique(filter({filter('Students (Vertical)'!D:D,'Students (Vertical)'!C:C=B10,'Students (Vertical)'!D:D&lt;&gt;"""");filter('Students (Vertical)'!D:D,'Students (Vertical)'!C:C=E10,'Students (Vertical)'!D:D&lt;&gt;"""")},countifs({filter('Students "&amp;"(Vertical)'!D:D,'Students (Vertical)'!C:C=B10,'Students (Vertical)'!D:D&lt;&gt;"""");filter('Students (Vertical)'!D:D,'Students (Vertical)'!C:C=E10,'Students (Vertical)'!D:D&lt;&gt;"""")},{filter('Students (Vertical)'!D:D,'Students (Vertical)'!C:C=B10,'Students (Vert"&amp;"ical)'!D:D&lt;&gt;"""");filter('Students (Vertical)'!D:D,'Students (Vertical)'!C:C=E10,'Students (Vertical)'!D:D&lt;&gt;"""")})&gt;1))),"""")"),"Science 6, English 6, Sociales 6, Spanish 6, PE 6, Art 6S1, Tech 6S2")</f>
        <v>Science 6, English 6, Sociales 6, Spanish 6, PE 6, Art 6S1, Tech 6S2</v>
      </c>
      <c r="L10" s="96"/>
      <c r="M10" s="96"/>
    </row>
    <row r="11" hidden="1">
      <c r="A11" s="8">
        <v>10.0</v>
      </c>
      <c r="B11" s="12" t="s">
        <v>224</v>
      </c>
      <c r="C11" s="8">
        <v>31157.0</v>
      </c>
      <c r="D11" s="8">
        <v>6.0</v>
      </c>
      <c r="E11" s="12" t="s">
        <v>225</v>
      </c>
      <c r="F11" s="8">
        <v>31013.0</v>
      </c>
      <c r="G11" s="8">
        <v>6.0</v>
      </c>
      <c r="H11" s="12" t="s">
        <v>214</v>
      </c>
      <c r="I11" s="94" t="str">
        <f>IFERROR(__xludf.DUMMYFUNCTION("if(H11=""Must be Together"",iferror(join("", "",unique(filter({filter('Students (Vertical)'!O:O,'Students (Vertical)'!C:C=B11,'Students (Vertical)'!O:O&lt;&gt;"""");filter('Students (Vertical)'!O:O,'Students (Vertical)'!C:C=E11,'Students (Vertical)'!O:O&lt;&gt;"""")}"&amp;",countifs({filter('Students (Vertical)'!O:O,'Students (Vertical)'!C:C=B11,'Students (Vertical)'!O:O&lt;&gt;"""");filter('Students (Vertical)'!O:O,'Students (Vertical)'!C:C=E11,'Students (Vertical)'!O:O&lt;&gt;"""")},{filter('Students (Vertical)'!O:O,'Students (Vertic"&amp;"al)'!C:C=B11,'Students (Vertical)'!O:O&lt;&gt;"""");filter('Students (Vertical)'!O:O,'Students (Vertical)'!C:C=E11,'Students (Vertical)'!O:O&lt;&gt;"""")})&gt;1))),""No shared courses""),"""")"),"Science 6-2, English 6A-1, Sociales 6-4, Spanish 6-3")</f>
        <v>Science 6-2, English 6A-1, Sociales 6-4, Spanish 6-3</v>
      </c>
      <c r="J11" s="94" t="str">
        <f>IFERROR(__xludf.DUMMYFUNCTION("if(H11=""Can't be Together"",iferror(join("", "",unique(filter({unique(filter('Students (Vertical)'!O:O,'Students (Vertical)'!C:C=B11,'Students (Vertical)'!O:O&lt;&gt;"""",'Students (Vertical)'!P:P&gt;1));unique(filter('Students (Vertical)'!O:O,'Students (Vertical"&amp;")'!C:C=E11,'Students (Vertical)'!O:O&lt;&gt;"""",'Students (Vertical)'!P:P&gt;1))},countifs({unique(filter('Students (Vertical)'!O:O,'Students (Vertical)'!C:C=B11,'Students (Vertical)'!O:O&lt;&gt;"""",'Students (Vertical)'!P:P&gt;1));unique(filter('Students (Vertical)'!O:O"&amp;",'Students (Vertical)'!C:C=E11,'Students (Vertical)'!O:O&lt;&gt;"""",'Students (Vertical)'!P:P&gt;1))},{unique(filter('Students (Vertical)'!O:O,'Students (Vertical)'!C:C=B11,'Students (Vertical)'!O:O&lt;&gt;"""",'Students (Vertical)'!P:P&gt;1));unique(filter('Students (Ver"&amp;"tical)'!O:O,'Students (Vertical)'!C:C=E11,'Students (Vertical)'!O:O&lt;&gt;"""",'Students (Vertical)'!P:P&gt;1))})&gt;1))),""""),"""")"),"")</f>
        <v/>
      </c>
      <c r="K11" s="96" t="str">
        <f>IFERROR(__xludf.DUMMYFUNCTION("iferror(join("", "",unique(filter({filter('Students (Vertical)'!D:D,'Students (Vertical)'!C:C=B11,'Students (Vertical)'!D:D&lt;&gt;"""");filter('Students (Vertical)'!D:D,'Students (Vertical)'!C:C=E11,'Students (Vertical)'!D:D&lt;&gt;"""")},countifs({filter('Students "&amp;"(Vertical)'!D:D,'Students (Vertical)'!C:C=B11,'Students (Vertical)'!D:D&lt;&gt;"""");filter('Students (Vertical)'!D:D,'Students (Vertical)'!C:C=E11,'Students (Vertical)'!D:D&lt;&gt;"""")},{filter('Students (Vertical)'!D:D,'Students (Vertical)'!C:C=B11,'Students (Vert"&amp;"ical)'!D:D&lt;&gt;"""");filter('Students (Vertical)'!D:D,'Students (Vertical)'!C:C=E11,'Students (Vertical)'!D:D&lt;&gt;"""")})&gt;1))),"""")"),"Science 6, Math 6, English 6A, Sociales 6, Spanish 6, PE 6")</f>
        <v>Science 6, Math 6, English 6A, Sociales 6, Spanish 6, PE 6</v>
      </c>
      <c r="L11" s="96"/>
      <c r="M11" s="96"/>
    </row>
    <row r="12">
      <c r="A12" s="8">
        <v>11.0</v>
      </c>
      <c r="B12" s="97" t="s">
        <v>224</v>
      </c>
      <c r="C12" s="8">
        <v>31157.0</v>
      </c>
      <c r="D12" s="8">
        <v>6.0</v>
      </c>
      <c r="E12" s="12" t="s">
        <v>221</v>
      </c>
      <c r="F12" s="8">
        <v>31019.0</v>
      </c>
      <c r="G12" s="8">
        <v>6.0</v>
      </c>
      <c r="H12" s="12" t="s">
        <v>212</v>
      </c>
      <c r="I12" s="94" t="str">
        <f>IFERROR(__xludf.DUMMYFUNCTION("if(H12=""Must be Together"",iferror(join("", "",unique(filter({filter('Students (Vertical)'!O:O,'Students (Vertical)'!C:C=B12,'Students (Vertical)'!O:O&lt;&gt;"""");filter('Students (Vertical)'!O:O,'Students (Vertical)'!C:C=E12,'Students (Vertical)'!O:O&lt;&gt;"""")}"&amp;",countifs({filter('Students (Vertical)'!O:O,'Students (Vertical)'!C:C=B12,'Students (Vertical)'!O:O&lt;&gt;"""");filter('Students (Vertical)'!O:O,'Students (Vertical)'!C:C=E12,'Students (Vertical)'!O:O&lt;&gt;"""")},{filter('Students (Vertical)'!O:O,'Students (Vertic"&amp;"al)'!C:C=B12,'Students (Vertical)'!O:O&lt;&gt;"""");filter('Students (Vertical)'!O:O,'Students (Vertical)'!C:C=E12,'Students (Vertical)'!O:O&lt;&gt;"""")})&gt;1))),""No shared courses""),"""")"),"")</f>
        <v/>
      </c>
      <c r="J12" s="94" t="str">
        <f>IFERROR(__xludf.DUMMYFUNCTION("if(H12=""Can't be Together"",iferror(join("", "",unique(filter({unique(filter('Students (Vertical)'!O:O,'Students (Vertical)'!C:C=B12,'Students (Vertical)'!O:O&lt;&gt;"""",'Students (Vertical)'!P:P&gt;1));unique(filter('Students (Vertical)'!O:O,'Students (Vertical"&amp;")'!C:C=E12,'Students (Vertical)'!O:O&lt;&gt;"""",'Students (Vertical)'!P:P&gt;1))},countifs({unique(filter('Students (Vertical)'!O:O,'Students (Vertical)'!C:C=B12,'Students (Vertical)'!O:O&lt;&gt;"""",'Students (Vertical)'!P:P&gt;1));unique(filter('Students (Vertical)'!O:O"&amp;",'Students (Vertical)'!C:C=E12,'Students (Vertical)'!O:O&lt;&gt;"""",'Students (Vertical)'!P:P&gt;1))},{unique(filter('Students (Vertical)'!O:O,'Students (Vertical)'!C:C=B12,'Students (Vertical)'!O:O&lt;&gt;"""",'Students (Vertical)'!P:P&gt;1));unique(filter('Students (Ver"&amp;"tical)'!O:O,'Students (Vertical)'!C:C=E12,'Students (Vertical)'!O:O&lt;&gt;"""",'Students (Vertical)'!P:P&gt;1))})&gt;1))),""""),"""")"),"")</f>
        <v/>
      </c>
      <c r="K12" s="96" t="str">
        <f>IFERROR(__xludf.DUMMYFUNCTION("iferror(join("", "",unique(filter({filter('Students (Vertical)'!D:D,'Students (Vertical)'!C:C=B12,'Students (Vertical)'!D:D&lt;&gt;"""");filter('Students (Vertical)'!D:D,'Students (Vertical)'!C:C=E12,'Students (Vertical)'!D:D&lt;&gt;"""")},countifs({filter('Students "&amp;"(Vertical)'!D:D,'Students (Vertical)'!C:C=B12,'Students (Vertical)'!D:D&lt;&gt;"""");filter('Students (Vertical)'!D:D,'Students (Vertical)'!C:C=E12,'Students (Vertical)'!D:D&lt;&gt;"""")},{filter('Students (Vertical)'!D:D,'Students (Vertical)'!C:C=B12,'Students (Vert"&amp;"ical)'!D:D&lt;&gt;"""");filter('Students (Vertical)'!D:D,'Students (Vertical)'!C:C=E12,'Students (Vertical)'!D:D&lt;&gt;"""")})&gt;1))),"""")"),"Science 6, Math 6, Sociales 6, Spanish 6, PE 6, Art 6S1, Tech 6S2")</f>
        <v>Science 6, Math 6, Sociales 6, Spanish 6, PE 6, Art 6S1, Tech 6S2</v>
      </c>
      <c r="L12" s="96"/>
      <c r="M12" s="96"/>
    </row>
    <row r="13">
      <c r="A13" s="8">
        <v>12.0</v>
      </c>
      <c r="B13" s="12" t="s">
        <v>224</v>
      </c>
      <c r="C13" s="8">
        <v>31157.0</v>
      </c>
      <c r="D13" s="8">
        <v>6.0</v>
      </c>
      <c r="E13" s="12" t="s">
        <v>223</v>
      </c>
      <c r="F13" s="8">
        <v>31088.0</v>
      </c>
      <c r="G13" s="8">
        <v>6.0</v>
      </c>
      <c r="H13" s="12" t="s">
        <v>212</v>
      </c>
      <c r="I13" s="94" t="str">
        <f>IFERROR(__xludf.DUMMYFUNCTION("if(H13=""Must be Together"",iferror(join("", "",unique(filter({filter('Students (Vertical)'!O:O,'Students (Vertical)'!C:C=B13,'Students (Vertical)'!O:O&lt;&gt;"""");filter('Students (Vertical)'!O:O,'Students (Vertical)'!C:C=E13,'Students (Vertical)'!O:O&lt;&gt;"""")}"&amp;",countifs({filter('Students (Vertical)'!O:O,'Students (Vertical)'!C:C=B13,'Students (Vertical)'!O:O&lt;&gt;"""");filter('Students (Vertical)'!O:O,'Students (Vertical)'!C:C=E13,'Students (Vertical)'!O:O&lt;&gt;"""")},{filter('Students (Vertical)'!O:O,'Students (Vertic"&amp;"al)'!C:C=B13,'Students (Vertical)'!O:O&lt;&gt;"""");filter('Students (Vertical)'!O:O,'Students (Vertical)'!C:C=E13,'Students (Vertical)'!O:O&lt;&gt;"""")})&gt;1))),""No shared courses""),"""")"),"")</f>
        <v/>
      </c>
      <c r="J13" s="94" t="str">
        <f>IFERROR(__xludf.DUMMYFUNCTION("if(H13=""Can't be Together"",iferror(join("", "",unique(filter({unique(filter('Students (Vertical)'!O:O,'Students (Vertical)'!C:C=B13,'Students (Vertical)'!O:O&lt;&gt;"""",'Students (Vertical)'!P:P&gt;1));unique(filter('Students (Vertical)'!O:O,'Students (Vertical"&amp;")'!C:C=E13,'Students (Vertical)'!O:O&lt;&gt;"""",'Students (Vertical)'!P:P&gt;1))},countifs({unique(filter('Students (Vertical)'!O:O,'Students (Vertical)'!C:C=B13,'Students (Vertical)'!O:O&lt;&gt;"""",'Students (Vertical)'!P:P&gt;1));unique(filter('Students (Vertical)'!O:O"&amp;",'Students (Vertical)'!C:C=E13,'Students (Vertical)'!O:O&lt;&gt;"""",'Students (Vertical)'!P:P&gt;1))},{unique(filter('Students (Vertical)'!O:O,'Students (Vertical)'!C:C=B13,'Students (Vertical)'!O:O&lt;&gt;"""",'Students (Vertical)'!P:P&gt;1));unique(filter('Students (Ver"&amp;"tical)'!O:O,'Students (Vertical)'!C:C=E13,'Students (Vertical)'!O:O&lt;&gt;"""",'Students (Vertical)'!P:P&gt;1))})&gt;1))),""""),"""")"),"")</f>
        <v/>
      </c>
      <c r="K13" s="96" t="str">
        <f>IFERROR(__xludf.DUMMYFUNCTION("iferror(join("", "",unique(filter({filter('Students (Vertical)'!D:D,'Students (Vertical)'!C:C=B13,'Students (Vertical)'!D:D&lt;&gt;"""");filter('Students (Vertical)'!D:D,'Students (Vertical)'!C:C=E13,'Students (Vertical)'!D:D&lt;&gt;"""")},countifs({filter('Students "&amp;"(Vertical)'!D:D,'Students (Vertical)'!C:C=B13,'Students (Vertical)'!D:D&lt;&gt;"""");filter('Students (Vertical)'!D:D,'Students (Vertical)'!C:C=E13,'Students (Vertical)'!D:D&lt;&gt;"""")},{filter('Students (Vertical)'!D:D,'Students (Vertical)'!C:C=B13,'Students (Vert"&amp;"ical)'!D:D&lt;&gt;"""");filter('Students (Vertical)'!D:D,'Students (Vertical)'!C:C=E13,'Students (Vertical)'!D:D&lt;&gt;"""")})&gt;1))),"""")"),"Science 6, Math 6, Sociales 6, Spanish 6, PE 6, Art 6S1, Tech 6S2")</f>
        <v>Science 6, Math 6, Sociales 6, Spanish 6, PE 6, Art 6S1, Tech 6S2</v>
      </c>
      <c r="L13" s="96"/>
      <c r="M13" s="96"/>
    </row>
    <row r="14">
      <c r="A14" s="8">
        <v>13.0</v>
      </c>
      <c r="B14" s="12" t="s">
        <v>224</v>
      </c>
      <c r="C14" s="8">
        <v>31157.0</v>
      </c>
      <c r="D14" s="8">
        <v>6.0</v>
      </c>
      <c r="E14" s="12" t="s">
        <v>222</v>
      </c>
      <c r="F14" s="8">
        <v>31004.0</v>
      </c>
      <c r="G14" s="8">
        <v>6.0</v>
      </c>
      <c r="H14" s="12" t="s">
        <v>212</v>
      </c>
      <c r="I14" s="94" t="str">
        <f>IFERROR(__xludf.DUMMYFUNCTION("if(H14=""Must be Together"",iferror(join("", "",unique(filter({filter('Students (Vertical)'!O:O,'Students (Vertical)'!C:C=B14,'Students (Vertical)'!O:O&lt;&gt;"""");filter('Students (Vertical)'!O:O,'Students (Vertical)'!C:C=E14,'Students (Vertical)'!O:O&lt;&gt;"""")}"&amp;",countifs({filter('Students (Vertical)'!O:O,'Students (Vertical)'!C:C=B14,'Students (Vertical)'!O:O&lt;&gt;"""");filter('Students (Vertical)'!O:O,'Students (Vertical)'!C:C=E14,'Students (Vertical)'!O:O&lt;&gt;"""")},{filter('Students (Vertical)'!O:O,'Students (Vertic"&amp;"al)'!C:C=B14,'Students (Vertical)'!O:O&lt;&gt;"""");filter('Students (Vertical)'!O:O,'Students (Vertical)'!C:C=E14,'Students (Vertical)'!O:O&lt;&gt;"""")})&gt;1))),""No shared courses""),"""")"),"")</f>
        <v/>
      </c>
      <c r="J14" s="94" t="str">
        <f>IFERROR(__xludf.DUMMYFUNCTION("if(H14=""Can't be Together"",iferror(join("", "",unique(filter({unique(filter('Students (Vertical)'!O:O,'Students (Vertical)'!C:C=B14,'Students (Vertical)'!O:O&lt;&gt;"""",'Students (Vertical)'!P:P&gt;1));unique(filter('Students (Vertical)'!O:O,'Students (Vertical"&amp;")'!C:C=E14,'Students (Vertical)'!O:O&lt;&gt;"""",'Students (Vertical)'!P:P&gt;1))},countifs({unique(filter('Students (Vertical)'!O:O,'Students (Vertical)'!C:C=B14,'Students (Vertical)'!O:O&lt;&gt;"""",'Students (Vertical)'!P:P&gt;1));unique(filter('Students (Vertical)'!O:O"&amp;",'Students (Vertical)'!C:C=E14,'Students (Vertical)'!O:O&lt;&gt;"""",'Students (Vertical)'!P:P&gt;1))},{unique(filter('Students (Vertical)'!O:O,'Students (Vertical)'!C:C=B14,'Students (Vertical)'!O:O&lt;&gt;"""",'Students (Vertical)'!P:P&gt;1));unique(filter('Students (Ver"&amp;"tical)'!O:O,'Students (Vertical)'!C:C=E14,'Students (Vertical)'!O:O&lt;&gt;"""",'Students (Vertical)'!P:P&gt;1))})&gt;1))),""""),"""")"),"")</f>
        <v/>
      </c>
      <c r="K14" s="96" t="str">
        <f>IFERROR(__xludf.DUMMYFUNCTION("iferror(join("", "",unique(filter({filter('Students (Vertical)'!D:D,'Students (Vertical)'!C:C=B14,'Students (Vertical)'!D:D&lt;&gt;"""");filter('Students (Vertical)'!D:D,'Students (Vertical)'!C:C=E14,'Students (Vertical)'!D:D&lt;&gt;"""")},countifs({filter('Students "&amp;"(Vertical)'!D:D,'Students (Vertical)'!C:C=B14,'Students (Vertical)'!D:D&lt;&gt;"""");filter('Students (Vertical)'!D:D,'Students (Vertical)'!C:C=E14,'Students (Vertical)'!D:D&lt;&gt;"""")},{filter('Students (Vertical)'!D:D,'Students (Vertical)'!C:C=B14,'Students (Vert"&amp;"ical)'!D:D&lt;&gt;"""");filter('Students (Vertical)'!D:D,'Students (Vertical)'!C:C=E14,'Students (Vertical)'!D:D&lt;&gt;"""")})&gt;1))),"""")"),"Science 6, Math 6, Sociales 6, Spanish 6, PE 6")</f>
        <v>Science 6, Math 6, Sociales 6, Spanish 6, PE 6</v>
      </c>
      <c r="L14" s="96"/>
      <c r="M14" s="96"/>
    </row>
    <row r="15" hidden="1">
      <c r="A15" s="8">
        <v>14.0</v>
      </c>
      <c r="B15" s="12" t="s">
        <v>224</v>
      </c>
      <c r="C15" s="8">
        <v>31157.0</v>
      </c>
      <c r="D15" s="8">
        <v>6.0</v>
      </c>
      <c r="E15" s="12" t="s">
        <v>226</v>
      </c>
      <c r="F15" s="8">
        <v>31031.0</v>
      </c>
      <c r="G15" s="8">
        <v>6.0</v>
      </c>
      <c r="H15" s="12" t="s">
        <v>214</v>
      </c>
      <c r="I15" s="94" t="str">
        <f>IFERROR(__xludf.DUMMYFUNCTION("if(H15=""Must be Together"",iferror(join("", "",unique(filter({filter('Students (Vertical)'!O:O,'Students (Vertical)'!C:C=B15,'Students (Vertical)'!O:O&lt;&gt;"""");filter('Students (Vertical)'!O:O,'Students (Vertical)'!C:C=E15,'Students (Vertical)'!O:O&lt;&gt;"""")}"&amp;",countifs({filter('Students (Vertical)'!O:O,'Students (Vertical)'!C:C=B15,'Students (Vertical)'!O:O&lt;&gt;"""");filter('Students (Vertical)'!O:O,'Students (Vertical)'!C:C=E15,'Students (Vertical)'!O:O&lt;&gt;"""")},{filter('Students (Vertical)'!O:O,'Students (Vertic"&amp;"al)'!C:C=B15,'Students (Vertical)'!O:O&lt;&gt;"""");filter('Students (Vertical)'!O:O,'Students (Vertical)'!C:C=E15,'Students (Vertical)'!O:O&lt;&gt;"""")})&gt;1))),""No shared courses""),"""")"),"Science 6-2, English 6A-1, Sociales 6-4, Spanish 6-3")</f>
        <v>Science 6-2, English 6A-1, Sociales 6-4, Spanish 6-3</v>
      </c>
      <c r="J15" s="94" t="str">
        <f>IFERROR(__xludf.DUMMYFUNCTION("if(H15=""Can't be Together"",iferror(join("", "",unique(filter({unique(filter('Students (Vertical)'!O:O,'Students (Vertical)'!C:C=B15,'Students (Vertical)'!O:O&lt;&gt;"""",'Students (Vertical)'!P:P&gt;1));unique(filter('Students (Vertical)'!O:O,'Students (Vertical"&amp;")'!C:C=E15,'Students (Vertical)'!O:O&lt;&gt;"""",'Students (Vertical)'!P:P&gt;1))},countifs({unique(filter('Students (Vertical)'!O:O,'Students (Vertical)'!C:C=B15,'Students (Vertical)'!O:O&lt;&gt;"""",'Students (Vertical)'!P:P&gt;1));unique(filter('Students (Vertical)'!O:O"&amp;",'Students (Vertical)'!C:C=E15,'Students (Vertical)'!O:O&lt;&gt;"""",'Students (Vertical)'!P:P&gt;1))},{unique(filter('Students (Vertical)'!O:O,'Students (Vertical)'!C:C=B15,'Students (Vertical)'!O:O&lt;&gt;"""",'Students (Vertical)'!P:P&gt;1));unique(filter('Students (Ver"&amp;"tical)'!O:O,'Students (Vertical)'!C:C=E15,'Students (Vertical)'!O:O&lt;&gt;"""",'Students (Vertical)'!P:P&gt;1))})&gt;1))),""""),"""")"),"")</f>
        <v/>
      </c>
      <c r="K15" s="96" t="str">
        <f>IFERROR(__xludf.DUMMYFUNCTION("iferror(join("", "",unique(filter({filter('Students (Vertical)'!D:D,'Students (Vertical)'!C:C=B15,'Students (Vertical)'!D:D&lt;&gt;"""");filter('Students (Vertical)'!D:D,'Students (Vertical)'!C:C=E15,'Students (Vertical)'!D:D&lt;&gt;"""")},countifs({filter('Students "&amp;"(Vertical)'!D:D,'Students (Vertical)'!C:C=B15,'Students (Vertical)'!D:D&lt;&gt;"""");filter('Students (Vertical)'!D:D,'Students (Vertical)'!C:C=E15,'Students (Vertical)'!D:D&lt;&gt;"""")},{filter('Students (Vertical)'!D:D,'Students (Vertical)'!C:C=B15,'Students (Vert"&amp;"ical)'!D:D&lt;&gt;"""");filter('Students (Vertical)'!D:D,'Students (Vertical)'!C:C=E15,'Students (Vertical)'!D:D&lt;&gt;"""")})&gt;1))),"""")"),"Science 6, Math 6, English 6A, Sociales 6, Spanish 6, PE 6")</f>
        <v>Science 6, Math 6, English 6A, Sociales 6, Spanish 6, PE 6</v>
      </c>
      <c r="L15" s="96"/>
      <c r="M15" s="96"/>
    </row>
    <row r="16">
      <c r="A16" s="8">
        <v>15.0</v>
      </c>
      <c r="B16" s="12" t="s">
        <v>227</v>
      </c>
      <c r="C16" s="8">
        <v>31066.0</v>
      </c>
      <c r="D16" s="8">
        <v>6.0</v>
      </c>
      <c r="E16" s="12" t="s">
        <v>228</v>
      </c>
      <c r="F16" s="8">
        <v>31097.0</v>
      </c>
      <c r="G16" s="8">
        <v>6.0</v>
      </c>
      <c r="H16" s="12" t="s">
        <v>212</v>
      </c>
      <c r="I16" s="94" t="str">
        <f>IFERROR(__xludf.DUMMYFUNCTION("if(H16=""Must be Together"",iferror(join("", "",unique(filter({filter('Students (Vertical)'!O:O,'Students (Vertical)'!C:C=B16,'Students (Vertical)'!O:O&lt;&gt;"""");filter('Students (Vertical)'!O:O,'Students (Vertical)'!C:C=E16,'Students (Vertical)'!O:O&lt;&gt;"""")}"&amp;",countifs({filter('Students (Vertical)'!O:O,'Students (Vertical)'!C:C=B16,'Students (Vertical)'!O:O&lt;&gt;"""");filter('Students (Vertical)'!O:O,'Students (Vertical)'!C:C=E16,'Students (Vertical)'!O:O&lt;&gt;"""")},{filter('Students (Vertical)'!O:O,'Students (Vertic"&amp;"al)'!C:C=B16,'Students (Vertical)'!O:O&lt;&gt;"""");filter('Students (Vertical)'!O:O,'Students (Vertical)'!C:C=E16,'Students (Vertical)'!O:O&lt;&gt;"""")})&gt;1))),""No shared courses""),"""")"),"")</f>
        <v/>
      </c>
      <c r="J16" s="94" t="str">
        <f>IFERROR(__xludf.DUMMYFUNCTION("if(H16=""Can't be Together"",iferror(join("", "",unique(filter({unique(filter('Students (Vertical)'!O:O,'Students (Vertical)'!C:C=B16,'Students (Vertical)'!O:O&lt;&gt;"""",'Students (Vertical)'!P:P&gt;1));unique(filter('Students (Vertical)'!O:O,'Students (Vertical"&amp;")'!C:C=E16,'Students (Vertical)'!O:O&lt;&gt;"""",'Students (Vertical)'!P:P&gt;1))},countifs({unique(filter('Students (Vertical)'!O:O,'Students (Vertical)'!C:C=B16,'Students (Vertical)'!O:O&lt;&gt;"""",'Students (Vertical)'!P:P&gt;1));unique(filter('Students (Vertical)'!O:O"&amp;",'Students (Vertical)'!C:C=E16,'Students (Vertical)'!O:O&lt;&gt;"""",'Students (Vertical)'!P:P&gt;1))},{unique(filter('Students (Vertical)'!O:O,'Students (Vertical)'!C:C=B16,'Students (Vertical)'!O:O&lt;&gt;"""",'Students (Vertical)'!P:P&gt;1));unique(filter('Students (Ver"&amp;"tical)'!O:O,'Students (Vertical)'!C:C=E16,'Students (Vertical)'!O:O&lt;&gt;"""",'Students (Vertical)'!P:P&gt;1))})&gt;1))),""""),"""")"),"")</f>
        <v/>
      </c>
      <c r="K16" s="96" t="str">
        <f>IFERROR(__xludf.DUMMYFUNCTION("iferror(join("", "",unique(filter({filter('Students (Vertical)'!D:D,'Students (Vertical)'!C:C=B16,'Students (Vertical)'!D:D&lt;&gt;"""");filter('Students (Vertical)'!D:D,'Students (Vertical)'!C:C=E16,'Students (Vertical)'!D:D&lt;&gt;"""")},countifs({filter('Students "&amp;"(Vertical)'!D:D,'Students (Vertical)'!C:C=B16,'Students (Vertical)'!D:D&lt;&gt;"""");filter('Students (Vertical)'!D:D,'Students (Vertical)'!C:C=E16,'Students (Vertical)'!D:D&lt;&gt;"""")},{filter('Students (Vertical)'!D:D,'Students (Vertical)'!C:C=B16,'Students (Vert"&amp;"ical)'!D:D&lt;&gt;"""");filter('Students (Vertical)'!D:D,'Students (Vertical)'!C:C=E16,'Students (Vertical)'!D:D&lt;&gt;"""")})&gt;1))),"""")"),"Science 6, Math 6, English 6, Sociales 6, Spanish 6, PE 6")</f>
        <v>Science 6, Math 6, English 6, Sociales 6, Spanish 6, PE 6</v>
      </c>
      <c r="L16" s="96"/>
      <c r="M16" s="96"/>
    </row>
    <row r="17">
      <c r="A17" s="8">
        <v>16.0</v>
      </c>
      <c r="B17" s="12" t="s">
        <v>227</v>
      </c>
      <c r="C17" s="8">
        <v>31066.0</v>
      </c>
      <c r="D17" s="8">
        <v>6.0</v>
      </c>
      <c r="E17" s="12" t="s">
        <v>229</v>
      </c>
      <c r="F17" s="8">
        <v>31096.0</v>
      </c>
      <c r="G17" s="8">
        <v>6.0</v>
      </c>
      <c r="H17" s="12" t="s">
        <v>212</v>
      </c>
      <c r="I17" s="94" t="str">
        <f>IFERROR(__xludf.DUMMYFUNCTION("if(H17=""Must be Together"",iferror(join("", "",unique(filter({filter('Students (Vertical)'!O:O,'Students (Vertical)'!C:C=B17,'Students (Vertical)'!O:O&lt;&gt;"""");filter('Students (Vertical)'!O:O,'Students (Vertical)'!C:C=E17,'Students (Vertical)'!O:O&lt;&gt;"""")}"&amp;",countifs({filter('Students (Vertical)'!O:O,'Students (Vertical)'!C:C=B17,'Students (Vertical)'!O:O&lt;&gt;"""");filter('Students (Vertical)'!O:O,'Students (Vertical)'!C:C=E17,'Students (Vertical)'!O:O&lt;&gt;"""")},{filter('Students (Vertical)'!O:O,'Students (Vertic"&amp;"al)'!C:C=B17,'Students (Vertical)'!O:O&lt;&gt;"""");filter('Students (Vertical)'!O:O,'Students (Vertical)'!C:C=E17,'Students (Vertical)'!O:O&lt;&gt;"""")})&gt;1))),""No shared courses""),"""")"),"")</f>
        <v/>
      </c>
      <c r="J17" s="94" t="str">
        <f>IFERROR(__xludf.DUMMYFUNCTION("if(H17=""Can't be Together"",iferror(join("", "",unique(filter({unique(filter('Students (Vertical)'!O:O,'Students (Vertical)'!C:C=B17,'Students (Vertical)'!O:O&lt;&gt;"""",'Students (Vertical)'!P:P&gt;1));unique(filter('Students (Vertical)'!O:O,'Students (Vertical"&amp;")'!C:C=E17,'Students (Vertical)'!O:O&lt;&gt;"""",'Students (Vertical)'!P:P&gt;1))},countifs({unique(filter('Students (Vertical)'!O:O,'Students (Vertical)'!C:C=B17,'Students (Vertical)'!O:O&lt;&gt;"""",'Students (Vertical)'!P:P&gt;1));unique(filter('Students (Vertical)'!O:O"&amp;",'Students (Vertical)'!C:C=E17,'Students (Vertical)'!O:O&lt;&gt;"""",'Students (Vertical)'!P:P&gt;1))},{unique(filter('Students (Vertical)'!O:O,'Students (Vertical)'!C:C=B17,'Students (Vertical)'!O:O&lt;&gt;"""",'Students (Vertical)'!P:P&gt;1));unique(filter('Students (Ver"&amp;"tical)'!O:O,'Students (Vertical)'!C:C=E17,'Students (Vertical)'!O:O&lt;&gt;"""",'Students (Vertical)'!P:P&gt;1))})&gt;1))),""""),"""")"),"")</f>
        <v/>
      </c>
      <c r="K17" s="96" t="str">
        <f>IFERROR(__xludf.DUMMYFUNCTION("iferror(join("", "",unique(filter({filter('Students (Vertical)'!D:D,'Students (Vertical)'!C:C=B17,'Students (Vertical)'!D:D&lt;&gt;"""");filter('Students (Vertical)'!D:D,'Students (Vertical)'!C:C=E17,'Students (Vertical)'!D:D&lt;&gt;"""")},countifs({filter('Students "&amp;"(Vertical)'!D:D,'Students (Vertical)'!C:C=B17,'Students (Vertical)'!D:D&lt;&gt;"""");filter('Students (Vertical)'!D:D,'Students (Vertical)'!C:C=E17,'Students (Vertical)'!D:D&lt;&gt;"""")},{filter('Students (Vertical)'!D:D,'Students (Vertical)'!C:C=B17,'Students (Vert"&amp;"ical)'!D:D&lt;&gt;"""");filter('Students (Vertical)'!D:D,'Students (Vertical)'!C:C=E17,'Students (Vertical)'!D:D&lt;&gt;"""")})&gt;1))),"""")"),"Science 6, Math 6, English 6, Sociales 6, Spanish 6, PE 6")</f>
        <v>Science 6, Math 6, English 6, Sociales 6, Spanish 6, PE 6</v>
      </c>
      <c r="L17" s="96"/>
      <c r="M17" s="96"/>
    </row>
    <row r="18">
      <c r="A18" s="8">
        <v>17.0</v>
      </c>
      <c r="B18" s="12" t="s">
        <v>227</v>
      </c>
      <c r="C18" s="8">
        <v>31066.0</v>
      </c>
      <c r="D18" s="8">
        <v>6.0</v>
      </c>
      <c r="E18" s="12" t="s">
        <v>230</v>
      </c>
      <c r="F18" s="8">
        <v>31067.0</v>
      </c>
      <c r="G18" s="8">
        <v>6.0</v>
      </c>
      <c r="H18" s="12" t="s">
        <v>212</v>
      </c>
      <c r="I18" s="94" t="str">
        <f>IFERROR(__xludf.DUMMYFUNCTION("if(H18=""Must be Together"",iferror(join("", "",unique(filter({filter('Students (Vertical)'!O:O,'Students (Vertical)'!C:C=B18,'Students (Vertical)'!O:O&lt;&gt;"""");filter('Students (Vertical)'!O:O,'Students (Vertical)'!C:C=E18,'Students (Vertical)'!O:O&lt;&gt;"""")}"&amp;",countifs({filter('Students (Vertical)'!O:O,'Students (Vertical)'!C:C=B18,'Students (Vertical)'!O:O&lt;&gt;"""");filter('Students (Vertical)'!O:O,'Students (Vertical)'!C:C=E18,'Students (Vertical)'!O:O&lt;&gt;"""")},{filter('Students (Vertical)'!O:O,'Students (Vertic"&amp;"al)'!C:C=B18,'Students (Vertical)'!O:O&lt;&gt;"""");filter('Students (Vertical)'!O:O,'Students (Vertical)'!C:C=E18,'Students (Vertical)'!O:O&lt;&gt;"""")})&gt;1))),""No shared courses""),"""")"),"")</f>
        <v/>
      </c>
      <c r="J18" s="94" t="str">
        <f>IFERROR(__xludf.DUMMYFUNCTION("if(H18=""Can't be Together"",iferror(join("", "",unique(filter({unique(filter('Students (Vertical)'!O:O,'Students (Vertical)'!C:C=B18,'Students (Vertical)'!O:O&lt;&gt;"""",'Students (Vertical)'!P:P&gt;1));unique(filter('Students (Vertical)'!O:O,'Students (Vertical"&amp;")'!C:C=E18,'Students (Vertical)'!O:O&lt;&gt;"""",'Students (Vertical)'!P:P&gt;1))},countifs({unique(filter('Students (Vertical)'!O:O,'Students (Vertical)'!C:C=B18,'Students (Vertical)'!O:O&lt;&gt;"""",'Students (Vertical)'!P:P&gt;1));unique(filter('Students (Vertical)'!O:O"&amp;",'Students (Vertical)'!C:C=E18,'Students (Vertical)'!O:O&lt;&gt;"""",'Students (Vertical)'!P:P&gt;1))},{unique(filter('Students (Vertical)'!O:O,'Students (Vertical)'!C:C=B18,'Students (Vertical)'!O:O&lt;&gt;"""",'Students (Vertical)'!P:P&gt;1));unique(filter('Students (Ver"&amp;"tical)'!O:O,'Students (Vertical)'!C:C=E18,'Students (Vertical)'!O:O&lt;&gt;"""",'Students (Vertical)'!P:P&gt;1))})&gt;1))),""""),"""")"),"")</f>
        <v/>
      </c>
      <c r="K18" s="96" t="str">
        <f>IFERROR(__xludf.DUMMYFUNCTION("iferror(join("", "",unique(filter({filter('Students (Vertical)'!D:D,'Students (Vertical)'!C:C=B18,'Students (Vertical)'!D:D&lt;&gt;"""");filter('Students (Vertical)'!D:D,'Students (Vertical)'!C:C=E18,'Students (Vertical)'!D:D&lt;&gt;"""")},countifs({filter('Students "&amp;"(Vertical)'!D:D,'Students (Vertical)'!C:C=B18,'Students (Vertical)'!D:D&lt;&gt;"""");filter('Students (Vertical)'!D:D,'Students (Vertical)'!C:C=E18,'Students (Vertical)'!D:D&lt;&gt;"""")},{filter('Students (Vertical)'!D:D,'Students (Vertical)'!C:C=B18,'Students (Vert"&amp;"ical)'!D:D&lt;&gt;"""");filter('Students (Vertical)'!D:D,'Students (Vertical)'!C:C=E18,'Students (Vertical)'!D:D&lt;&gt;"""")})&gt;1))),"""")"),"Science 6, Math 6, English 6, Sociales 6, Spanish 6, PE 6")</f>
        <v>Science 6, Math 6, English 6, Sociales 6, Spanish 6, PE 6</v>
      </c>
      <c r="L18" s="96"/>
      <c r="M18" s="96"/>
    </row>
    <row r="19">
      <c r="A19" s="8">
        <v>18.0</v>
      </c>
      <c r="B19" s="12" t="s">
        <v>229</v>
      </c>
      <c r="C19" s="8">
        <v>31096.0</v>
      </c>
      <c r="D19" s="8">
        <v>6.0</v>
      </c>
      <c r="E19" s="12" t="s">
        <v>230</v>
      </c>
      <c r="F19" s="8">
        <v>31067.0</v>
      </c>
      <c r="G19" s="8">
        <v>6.0</v>
      </c>
      <c r="H19" s="12" t="s">
        <v>212</v>
      </c>
      <c r="I19" s="94" t="str">
        <f>IFERROR(__xludf.DUMMYFUNCTION("if(H19=""Must be Together"",iferror(join("", "",unique(filter({filter('Students (Vertical)'!O:O,'Students (Vertical)'!C:C=B19,'Students (Vertical)'!O:O&lt;&gt;"""");filter('Students (Vertical)'!O:O,'Students (Vertical)'!C:C=E19,'Students (Vertical)'!O:O&lt;&gt;"""")}"&amp;",countifs({filter('Students (Vertical)'!O:O,'Students (Vertical)'!C:C=B19,'Students (Vertical)'!O:O&lt;&gt;"""");filter('Students (Vertical)'!O:O,'Students (Vertical)'!C:C=E19,'Students (Vertical)'!O:O&lt;&gt;"""")},{filter('Students (Vertical)'!O:O,'Students (Vertic"&amp;"al)'!C:C=B19,'Students (Vertical)'!O:O&lt;&gt;"""");filter('Students (Vertical)'!O:O,'Students (Vertical)'!C:C=E19,'Students (Vertical)'!O:O&lt;&gt;"""")})&gt;1))),""No shared courses""),"""")"),"")</f>
        <v/>
      </c>
      <c r="J19" s="94" t="str">
        <f>IFERROR(__xludf.DUMMYFUNCTION("if(H19=""Can't be Together"",iferror(join("", "",unique(filter({unique(filter('Students (Vertical)'!O:O,'Students (Vertical)'!C:C=B19,'Students (Vertical)'!O:O&lt;&gt;"""",'Students (Vertical)'!P:P&gt;1));unique(filter('Students (Vertical)'!O:O,'Students (Vertical"&amp;")'!C:C=E19,'Students (Vertical)'!O:O&lt;&gt;"""",'Students (Vertical)'!P:P&gt;1))},countifs({unique(filter('Students (Vertical)'!O:O,'Students (Vertical)'!C:C=B19,'Students (Vertical)'!O:O&lt;&gt;"""",'Students (Vertical)'!P:P&gt;1));unique(filter('Students (Vertical)'!O:O"&amp;",'Students (Vertical)'!C:C=E19,'Students (Vertical)'!O:O&lt;&gt;"""",'Students (Vertical)'!P:P&gt;1))},{unique(filter('Students (Vertical)'!O:O,'Students (Vertical)'!C:C=B19,'Students (Vertical)'!O:O&lt;&gt;"""",'Students (Vertical)'!P:P&gt;1));unique(filter('Students (Ver"&amp;"tical)'!O:O,'Students (Vertical)'!C:C=E19,'Students (Vertical)'!O:O&lt;&gt;"""",'Students (Vertical)'!P:P&gt;1))})&gt;1))),""""),"""")"),"")</f>
        <v/>
      </c>
      <c r="K19" s="96" t="str">
        <f>IFERROR(__xludf.DUMMYFUNCTION("iferror(join("", "",unique(filter({filter('Students (Vertical)'!D:D,'Students (Vertical)'!C:C=B19,'Students (Vertical)'!D:D&lt;&gt;"""");filter('Students (Vertical)'!D:D,'Students (Vertical)'!C:C=E19,'Students (Vertical)'!D:D&lt;&gt;"""")},countifs({filter('Students "&amp;"(Vertical)'!D:D,'Students (Vertical)'!C:C=B19,'Students (Vertical)'!D:D&lt;&gt;"""");filter('Students (Vertical)'!D:D,'Students (Vertical)'!C:C=E19,'Students (Vertical)'!D:D&lt;&gt;"""")},{filter('Students (Vertical)'!D:D,'Students (Vertical)'!C:C=B19,'Students (Vert"&amp;"ical)'!D:D&lt;&gt;"""");filter('Students (Vertical)'!D:D,'Students (Vertical)'!C:C=E19,'Students (Vertical)'!D:D&lt;&gt;"""")})&gt;1))),"""")"),"Science 6, Math 6, English 6, Sociales 6, Spanish 6, PE 6, Art 6S1, Tech 6S2")</f>
        <v>Science 6, Math 6, English 6, Sociales 6, Spanish 6, PE 6, Art 6S1, Tech 6S2</v>
      </c>
      <c r="L19" s="96"/>
      <c r="M19" s="96"/>
    </row>
    <row r="20" hidden="1">
      <c r="A20" s="8">
        <v>19.0</v>
      </c>
      <c r="B20" s="12" t="s">
        <v>231</v>
      </c>
      <c r="C20" s="8">
        <v>31079.0</v>
      </c>
      <c r="D20" s="8">
        <v>6.0</v>
      </c>
      <c r="E20" s="12" t="s">
        <v>232</v>
      </c>
      <c r="F20" s="8">
        <v>31170.0</v>
      </c>
      <c r="G20" s="8">
        <v>6.0</v>
      </c>
      <c r="H20" s="12" t="s">
        <v>214</v>
      </c>
      <c r="I20" s="94" t="str">
        <f>IFERROR(__xludf.DUMMYFUNCTION("if(H20=""Must be Together"",iferror(join("", "",unique(filter({filter('Students (Vertical)'!O:O,'Students (Vertical)'!C:C=B20,'Students (Vertical)'!O:O&lt;&gt;"""");filter('Students (Vertical)'!O:O,'Students (Vertical)'!C:C=E20,'Students (Vertical)'!O:O&lt;&gt;"""")}"&amp;",countifs({filter('Students (Vertical)'!O:O,'Students (Vertical)'!C:C=B20,'Students (Vertical)'!O:O&lt;&gt;"""");filter('Students (Vertical)'!O:O,'Students (Vertical)'!C:C=E20,'Students (Vertical)'!O:O&lt;&gt;"""")},{filter('Students (Vertical)'!O:O,'Students (Vertic"&amp;"al)'!C:C=B20,'Students (Vertical)'!O:O&lt;&gt;"""");filter('Students (Vertical)'!O:O,'Students (Vertical)'!C:C=E20,'Students (Vertical)'!O:O&lt;&gt;"""")})&gt;1))),""No shared courses""),"""")"),"Science 6-3, Math 6-6, Sociales 6-2, Spanish 6-4")</f>
        <v>Science 6-3, Math 6-6, Sociales 6-2, Spanish 6-4</v>
      </c>
      <c r="J20" s="94" t="str">
        <f>IFERROR(__xludf.DUMMYFUNCTION("if(H20=""Can't be Together"",iferror(join("", "",unique(filter({unique(filter('Students (Vertical)'!O:O,'Students (Vertical)'!C:C=B20,'Students (Vertical)'!O:O&lt;&gt;"""",'Students (Vertical)'!P:P&gt;1));unique(filter('Students (Vertical)'!O:O,'Students (Vertical"&amp;")'!C:C=E20,'Students (Vertical)'!O:O&lt;&gt;"""",'Students (Vertical)'!P:P&gt;1))},countifs({unique(filter('Students (Vertical)'!O:O,'Students (Vertical)'!C:C=B20,'Students (Vertical)'!O:O&lt;&gt;"""",'Students (Vertical)'!P:P&gt;1));unique(filter('Students (Vertical)'!O:O"&amp;",'Students (Vertical)'!C:C=E20,'Students (Vertical)'!O:O&lt;&gt;"""",'Students (Vertical)'!P:P&gt;1))},{unique(filter('Students (Vertical)'!O:O,'Students (Vertical)'!C:C=B20,'Students (Vertical)'!O:O&lt;&gt;"""",'Students (Vertical)'!P:P&gt;1));unique(filter('Students (Ver"&amp;"tical)'!O:O,'Students (Vertical)'!C:C=E20,'Students (Vertical)'!O:O&lt;&gt;"""",'Students (Vertical)'!P:P&gt;1))})&gt;1))),""""),"""")"),"")</f>
        <v/>
      </c>
      <c r="K20" s="96" t="str">
        <f>IFERROR(__xludf.DUMMYFUNCTION("iferror(join("", "",unique(filter({filter('Students (Vertical)'!D:D,'Students (Vertical)'!C:C=B20,'Students (Vertical)'!D:D&lt;&gt;"""");filter('Students (Vertical)'!D:D,'Students (Vertical)'!C:C=E20,'Students (Vertical)'!D:D&lt;&gt;"""")},countifs({filter('Students "&amp;"(Vertical)'!D:D,'Students (Vertical)'!C:C=B20,'Students (Vertical)'!D:D&lt;&gt;"""");filter('Students (Vertical)'!D:D,'Students (Vertical)'!C:C=E20,'Students (Vertical)'!D:D&lt;&gt;"""")},{filter('Students (Vertical)'!D:D,'Students (Vertical)'!C:C=B20,'Students (Vert"&amp;"ical)'!D:D&lt;&gt;"""");filter('Students (Vertical)'!D:D,'Students (Vertical)'!C:C=E20,'Students (Vertical)'!D:D&lt;&gt;"""")})&gt;1))),"""")"),"Science 6, Math 6, English 6, Sociales 6, Spanish 6, PE 6")</f>
        <v>Science 6, Math 6, English 6, Sociales 6, Spanish 6, PE 6</v>
      </c>
      <c r="L20" s="96"/>
      <c r="M20" s="96"/>
    </row>
    <row r="21">
      <c r="A21" s="8">
        <v>20.0</v>
      </c>
      <c r="B21" s="12" t="s">
        <v>233</v>
      </c>
      <c r="C21" s="8">
        <v>31052.0</v>
      </c>
      <c r="D21" s="8">
        <v>6.0</v>
      </c>
      <c r="E21" s="12" t="s">
        <v>231</v>
      </c>
      <c r="F21" s="8">
        <v>31079.0</v>
      </c>
      <c r="G21" s="8">
        <v>6.0</v>
      </c>
      <c r="H21" s="12" t="s">
        <v>212</v>
      </c>
      <c r="I21" s="94" t="str">
        <f>IFERROR(__xludf.DUMMYFUNCTION("if(H21=""Must be Together"",iferror(join("", "",unique(filter({filter('Students (Vertical)'!O:O,'Students (Vertical)'!C:C=B21,'Students (Vertical)'!O:O&lt;&gt;"""");filter('Students (Vertical)'!O:O,'Students (Vertical)'!C:C=E21,'Students (Vertical)'!O:O&lt;&gt;"""")}"&amp;",countifs({filter('Students (Vertical)'!O:O,'Students (Vertical)'!C:C=B21,'Students (Vertical)'!O:O&lt;&gt;"""");filter('Students (Vertical)'!O:O,'Students (Vertical)'!C:C=E21,'Students (Vertical)'!O:O&lt;&gt;"""")},{filter('Students (Vertical)'!O:O,'Students (Vertic"&amp;"al)'!C:C=B21,'Students (Vertical)'!O:O&lt;&gt;"""");filter('Students (Vertical)'!O:O,'Students (Vertical)'!C:C=E21,'Students (Vertical)'!O:O&lt;&gt;"""")})&gt;1))),""No shared courses""),"""")"),"")</f>
        <v/>
      </c>
      <c r="J21" s="95" t="str">
        <f>IFERROR(__xludf.DUMMYFUNCTION("if(H21=""Can't be Together"",iferror(join("", "",unique(filter({unique(filter('Students (Vertical)'!O:O,'Students (Vertical)'!C:C=B21,'Students (Vertical)'!O:O&lt;&gt;"""",'Students (Vertical)'!P:P&gt;1));unique(filter('Students (Vertical)'!O:O,'Students (Vertical"&amp;")'!C:C=E21,'Students (Vertical)'!O:O&lt;&gt;"""",'Students (Vertical)'!P:P&gt;1))},countifs({unique(filter('Students (Vertical)'!O:O,'Students (Vertical)'!C:C=B21,'Students (Vertical)'!O:O&lt;&gt;"""",'Students (Vertical)'!P:P&gt;1));unique(filter('Students (Vertical)'!O:O"&amp;",'Students (Vertical)'!C:C=E21,'Students (Vertical)'!O:O&lt;&gt;"""",'Students (Vertical)'!P:P&gt;1))},{unique(filter('Students (Vertical)'!O:O,'Students (Vertical)'!C:C=B21,'Students (Vertical)'!O:O&lt;&gt;"""",'Students (Vertical)'!P:P&gt;1));unique(filter('Students (Ver"&amp;"tical)'!O:O,'Students (Vertical)'!C:C=E21,'Students (Vertical)'!O:O&lt;&gt;"""",'Students (Vertical)'!P:P&gt;1))})&gt;1))),""""),"""")"),"PE 6-5b")</f>
        <v>PE 6-5b</v>
      </c>
      <c r="K21" s="96" t="str">
        <f>IFERROR(__xludf.DUMMYFUNCTION("iferror(join("", "",unique(filter({filter('Students (Vertical)'!D:D,'Students (Vertical)'!C:C=B21,'Students (Vertical)'!D:D&lt;&gt;"""");filter('Students (Vertical)'!D:D,'Students (Vertical)'!C:C=E21,'Students (Vertical)'!D:D&lt;&gt;"""")},countifs({filter('Students "&amp;"(Vertical)'!D:D,'Students (Vertical)'!C:C=B21,'Students (Vertical)'!D:D&lt;&gt;"""");filter('Students (Vertical)'!D:D,'Students (Vertical)'!C:C=E21,'Students (Vertical)'!D:D&lt;&gt;"""")},{filter('Students (Vertical)'!D:D,'Students (Vertical)'!C:C=B21,'Students (Vert"&amp;"ical)'!D:D&lt;&gt;"""");filter('Students (Vertical)'!D:D,'Students (Vertical)'!C:C=E21,'Students (Vertical)'!D:D&lt;&gt;"""")})&gt;1))),"""")"),"Science 6, Math 6, English 6, Sociales 6, Spanish 6, PE 6, Symphony BandS1, Symphony BandS2")</f>
        <v>Science 6, Math 6, English 6, Sociales 6, Spanish 6, PE 6, Symphony BandS1, Symphony BandS2</v>
      </c>
      <c r="L21" s="96"/>
      <c r="M21" s="96"/>
    </row>
    <row r="22">
      <c r="A22" s="8">
        <v>21.0</v>
      </c>
      <c r="B22" s="12" t="s">
        <v>233</v>
      </c>
      <c r="C22" s="8">
        <v>31052.0</v>
      </c>
      <c r="D22" s="8">
        <v>6.0</v>
      </c>
      <c r="E22" s="12" t="s">
        <v>234</v>
      </c>
      <c r="F22" s="8">
        <v>31003.0</v>
      </c>
      <c r="G22" s="8">
        <v>6.0</v>
      </c>
      <c r="H22" s="12" t="s">
        <v>212</v>
      </c>
      <c r="I22" s="94" t="str">
        <f>IFERROR(__xludf.DUMMYFUNCTION("if(H22=""Must be Together"",iferror(join("", "",unique(filter({filter('Students (Vertical)'!O:O,'Students (Vertical)'!C:C=B22,'Students (Vertical)'!O:O&lt;&gt;"""");filter('Students (Vertical)'!O:O,'Students (Vertical)'!C:C=E22,'Students (Vertical)'!O:O&lt;&gt;"""")}"&amp;",countifs({filter('Students (Vertical)'!O:O,'Students (Vertical)'!C:C=B22,'Students (Vertical)'!O:O&lt;&gt;"""");filter('Students (Vertical)'!O:O,'Students (Vertical)'!C:C=E22,'Students (Vertical)'!O:O&lt;&gt;"""")},{filter('Students (Vertical)'!O:O,'Students (Vertic"&amp;"al)'!C:C=B22,'Students (Vertical)'!O:O&lt;&gt;"""");filter('Students (Vertical)'!O:O,'Students (Vertical)'!C:C=E22,'Students (Vertical)'!O:O&lt;&gt;"""")})&gt;1))),""No shared courses""),"""")"),"")</f>
        <v/>
      </c>
      <c r="J22" s="95" t="str">
        <f>IFERROR(__xludf.DUMMYFUNCTION("if(H22=""Can't be Together"",iferror(join("", "",unique(filter({unique(filter('Students (Vertical)'!O:O,'Students (Vertical)'!C:C=B22,'Students (Vertical)'!O:O&lt;&gt;"""",'Students (Vertical)'!P:P&gt;1));unique(filter('Students (Vertical)'!O:O,'Students (Vertical"&amp;")'!C:C=E22,'Students (Vertical)'!O:O&lt;&gt;"""",'Students (Vertical)'!P:P&gt;1))},countifs({unique(filter('Students (Vertical)'!O:O,'Students (Vertical)'!C:C=B22,'Students (Vertical)'!O:O&lt;&gt;"""",'Students (Vertical)'!P:P&gt;1));unique(filter('Students (Vertical)'!O:O"&amp;",'Students (Vertical)'!C:C=E22,'Students (Vertical)'!O:O&lt;&gt;"""",'Students (Vertical)'!P:P&gt;1))},{unique(filter('Students (Vertical)'!O:O,'Students (Vertical)'!C:C=B22,'Students (Vertical)'!O:O&lt;&gt;"""",'Students (Vertical)'!P:P&gt;1));unique(filter('Students (Ver"&amp;"tical)'!O:O,'Students (Vertical)'!C:C=E22,'Students (Vertical)'!O:O&lt;&gt;"""",'Students (Vertical)'!P:P&gt;1))})&gt;1))),""""),"""")"),"PE 6-5b")</f>
        <v>PE 6-5b</v>
      </c>
      <c r="K22" s="96" t="str">
        <f>IFERROR(__xludf.DUMMYFUNCTION("iferror(join("", "",unique(filter({filter('Students (Vertical)'!D:D,'Students (Vertical)'!C:C=B22,'Students (Vertical)'!D:D&lt;&gt;"""");filter('Students (Vertical)'!D:D,'Students (Vertical)'!C:C=E22,'Students (Vertical)'!D:D&lt;&gt;"""")},countifs({filter('Students "&amp;"(Vertical)'!D:D,'Students (Vertical)'!C:C=B22,'Students (Vertical)'!D:D&lt;&gt;"""");filter('Students (Vertical)'!D:D,'Students (Vertical)'!C:C=E22,'Students (Vertical)'!D:D&lt;&gt;"""")},{filter('Students (Vertical)'!D:D,'Students (Vertical)'!C:C=B22,'Students (Vert"&amp;"ical)'!D:D&lt;&gt;"""");filter('Students (Vertical)'!D:D,'Students (Vertical)'!C:C=E22,'Students (Vertical)'!D:D&lt;&gt;"""")})&gt;1))),"""")"),"Science 6, Math 6, English 6, Sociales 6, Spanish 6, PE 6, Symphony BandS1, Symphony BandS2")</f>
        <v>Science 6, Math 6, English 6, Sociales 6, Spanish 6, PE 6, Symphony BandS1, Symphony BandS2</v>
      </c>
      <c r="L22" s="96"/>
      <c r="M22" s="96"/>
    </row>
    <row r="23">
      <c r="A23" s="8">
        <v>22.0</v>
      </c>
      <c r="B23" s="97" t="s">
        <v>233</v>
      </c>
      <c r="C23" s="8">
        <v>31052.0</v>
      </c>
      <c r="D23" s="8">
        <v>6.0</v>
      </c>
      <c r="E23" s="12" t="s">
        <v>235</v>
      </c>
      <c r="F23" s="8">
        <v>31086.0</v>
      </c>
      <c r="G23" s="8">
        <v>6.0</v>
      </c>
      <c r="H23" s="12" t="s">
        <v>212</v>
      </c>
      <c r="I23" s="94" t="str">
        <f>IFERROR(__xludf.DUMMYFUNCTION("if(H23=""Must be Together"",iferror(join("", "",unique(filter({filter('Students (Vertical)'!O:O,'Students (Vertical)'!C:C=B23,'Students (Vertical)'!O:O&lt;&gt;"""");filter('Students (Vertical)'!O:O,'Students (Vertical)'!C:C=E23,'Students (Vertical)'!O:O&lt;&gt;"""")}"&amp;",countifs({filter('Students (Vertical)'!O:O,'Students (Vertical)'!C:C=B23,'Students (Vertical)'!O:O&lt;&gt;"""");filter('Students (Vertical)'!O:O,'Students (Vertical)'!C:C=E23,'Students (Vertical)'!O:O&lt;&gt;"""")},{filter('Students (Vertical)'!O:O,'Students (Vertic"&amp;"al)'!C:C=B23,'Students (Vertical)'!O:O&lt;&gt;"""");filter('Students (Vertical)'!O:O,'Students (Vertical)'!C:C=E23,'Students (Vertical)'!O:O&lt;&gt;"""")})&gt;1))),""No shared courses""),"""")"),"")</f>
        <v/>
      </c>
      <c r="J23" s="94" t="str">
        <f>IFERROR(__xludf.DUMMYFUNCTION("if(H23=""Can't be Together"",iferror(join("", "",unique(filter({unique(filter('Students (Vertical)'!O:O,'Students (Vertical)'!C:C=B23,'Students (Vertical)'!O:O&lt;&gt;"""",'Students (Vertical)'!P:P&gt;1));unique(filter('Students (Vertical)'!O:O,'Students (Vertical"&amp;")'!C:C=E23,'Students (Vertical)'!O:O&lt;&gt;"""",'Students (Vertical)'!P:P&gt;1))},countifs({unique(filter('Students (Vertical)'!O:O,'Students (Vertical)'!C:C=B23,'Students (Vertical)'!O:O&lt;&gt;"""",'Students (Vertical)'!P:P&gt;1));unique(filter('Students (Vertical)'!O:O"&amp;",'Students (Vertical)'!C:C=E23,'Students (Vertical)'!O:O&lt;&gt;"""",'Students (Vertical)'!P:P&gt;1))},{unique(filter('Students (Vertical)'!O:O,'Students (Vertical)'!C:C=B23,'Students (Vertical)'!O:O&lt;&gt;"""",'Students (Vertical)'!P:P&gt;1));unique(filter('Students (Ver"&amp;"tical)'!O:O,'Students (Vertical)'!C:C=E23,'Students (Vertical)'!O:O&lt;&gt;"""",'Students (Vertical)'!P:P&gt;1))})&gt;1))),""""),"""")"),"")</f>
        <v/>
      </c>
      <c r="K23" s="96" t="str">
        <f>IFERROR(__xludf.DUMMYFUNCTION("iferror(join("", "",unique(filter({filter('Students (Vertical)'!D:D,'Students (Vertical)'!C:C=B23,'Students (Vertical)'!D:D&lt;&gt;"""");filter('Students (Vertical)'!D:D,'Students (Vertical)'!C:C=E23,'Students (Vertical)'!D:D&lt;&gt;"""")},countifs({filter('Students "&amp;"(Vertical)'!D:D,'Students (Vertical)'!C:C=B23,'Students (Vertical)'!D:D&lt;&gt;"""");filter('Students (Vertical)'!D:D,'Students (Vertical)'!C:C=E23,'Students (Vertical)'!D:D&lt;&gt;"""")},{filter('Students (Vertical)'!D:D,'Students (Vertical)'!C:C=B23,'Students (Vert"&amp;"ical)'!D:D&lt;&gt;"""");filter('Students (Vertical)'!D:D,'Students (Vertical)'!C:C=E23,'Students (Vertical)'!D:D&lt;&gt;"""")})&gt;1))),"""")"),"Science 6, Math 6, English 6, Sociales 6, Spanish 6, PE 6")</f>
        <v>Science 6, Math 6, English 6, Sociales 6, Spanish 6, PE 6</v>
      </c>
      <c r="L23" s="96"/>
      <c r="M23" s="96"/>
    </row>
    <row r="24">
      <c r="A24" s="8">
        <v>23.0</v>
      </c>
      <c r="B24" s="97" t="s">
        <v>233</v>
      </c>
      <c r="C24" s="8">
        <v>31052.0</v>
      </c>
      <c r="D24" s="8">
        <v>6.0</v>
      </c>
      <c r="E24" s="12" t="s">
        <v>236</v>
      </c>
      <c r="F24" s="8">
        <v>31167.0</v>
      </c>
      <c r="G24" s="8">
        <v>6.0</v>
      </c>
      <c r="H24" s="12" t="s">
        <v>212</v>
      </c>
      <c r="I24" s="94" t="str">
        <f>IFERROR(__xludf.DUMMYFUNCTION("if(H24=""Must be Together"",iferror(join("", "",unique(filter({filter('Students (Vertical)'!O:O,'Students (Vertical)'!C:C=B24,'Students (Vertical)'!O:O&lt;&gt;"""");filter('Students (Vertical)'!O:O,'Students (Vertical)'!C:C=E24,'Students (Vertical)'!O:O&lt;&gt;"""")}"&amp;",countifs({filter('Students (Vertical)'!O:O,'Students (Vertical)'!C:C=B24,'Students (Vertical)'!O:O&lt;&gt;"""");filter('Students (Vertical)'!O:O,'Students (Vertical)'!C:C=E24,'Students (Vertical)'!O:O&lt;&gt;"""")},{filter('Students (Vertical)'!O:O,'Students (Vertic"&amp;"al)'!C:C=B24,'Students (Vertical)'!O:O&lt;&gt;"""");filter('Students (Vertical)'!O:O,'Students (Vertical)'!C:C=E24,'Students (Vertical)'!O:O&lt;&gt;"""")})&gt;1))),""No shared courses""),"""")"),"")</f>
        <v/>
      </c>
      <c r="J24" s="94" t="str">
        <f>IFERROR(__xludf.DUMMYFUNCTION("if(H24=""Can't be Together"",iferror(join("", "",unique(filter({unique(filter('Students (Vertical)'!O:O,'Students (Vertical)'!C:C=B24,'Students (Vertical)'!O:O&lt;&gt;"""",'Students (Vertical)'!P:P&gt;1));unique(filter('Students (Vertical)'!O:O,'Students (Vertical"&amp;")'!C:C=E24,'Students (Vertical)'!O:O&lt;&gt;"""",'Students (Vertical)'!P:P&gt;1))},countifs({unique(filter('Students (Vertical)'!O:O,'Students (Vertical)'!C:C=B24,'Students (Vertical)'!O:O&lt;&gt;"""",'Students (Vertical)'!P:P&gt;1));unique(filter('Students (Vertical)'!O:O"&amp;",'Students (Vertical)'!C:C=E24,'Students (Vertical)'!O:O&lt;&gt;"""",'Students (Vertical)'!P:P&gt;1))},{unique(filter('Students (Vertical)'!O:O,'Students (Vertical)'!C:C=B24,'Students (Vertical)'!O:O&lt;&gt;"""",'Students (Vertical)'!P:P&gt;1));unique(filter('Students (Ver"&amp;"tical)'!O:O,'Students (Vertical)'!C:C=E24,'Students (Vertical)'!O:O&lt;&gt;"""",'Students (Vertical)'!P:P&gt;1))})&gt;1))),""""),"""")"),"")</f>
        <v/>
      </c>
      <c r="K24" s="96" t="str">
        <f>IFERROR(__xludf.DUMMYFUNCTION("iferror(join("", "",unique(filter({filter('Students (Vertical)'!D:D,'Students (Vertical)'!C:C=B24,'Students (Vertical)'!D:D&lt;&gt;"""");filter('Students (Vertical)'!D:D,'Students (Vertical)'!C:C=E24,'Students (Vertical)'!D:D&lt;&gt;"""")},countifs({filter('Students "&amp;"(Vertical)'!D:D,'Students (Vertical)'!C:C=B24,'Students (Vertical)'!D:D&lt;&gt;"""");filter('Students (Vertical)'!D:D,'Students (Vertical)'!C:C=E24,'Students (Vertical)'!D:D&lt;&gt;"""")},{filter('Students (Vertical)'!D:D,'Students (Vertical)'!C:C=B24,'Students (Vert"&amp;"ical)'!D:D&lt;&gt;"""");filter('Students (Vertical)'!D:D,'Students (Vertical)'!C:C=E24,'Students (Vertical)'!D:D&lt;&gt;"""")})&gt;1))),"""")"),"Science 6, Sociales 6, PE 6")</f>
        <v>Science 6, Sociales 6, PE 6</v>
      </c>
      <c r="L24" s="96"/>
      <c r="M24" s="96"/>
    </row>
    <row r="25">
      <c r="A25" s="8">
        <v>24.0</v>
      </c>
      <c r="B25" s="97" t="s">
        <v>222</v>
      </c>
      <c r="C25" s="8">
        <v>31004.0</v>
      </c>
      <c r="D25" s="8">
        <v>6.0</v>
      </c>
      <c r="E25" s="12" t="s">
        <v>237</v>
      </c>
      <c r="F25" s="8">
        <v>31125.0</v>
      </c>
      <c r="G25" s="8">
        <v>6.0</v>
      </c>
      <c r="H25" s="12" t="s">
        <v>212</v>
      </c>
      <c r="I25" s="94" t="str">
        <f>IFERROR(__xludf.DUMMYFUNCTION("if(H25=""Must be Together"",iferror(join("", "",unique(filter({filter('Students (Vertical)'!O:O,'Students (Vertical)'!C:C=B25,'Students (Vertical)'!O:O&lt;&gt;"""");filter('Students (Vertical)'!O:O,'Students (Vertical)'!C:C=E25,'Students (Vertical)'!O:O&lt;&gt;"""")}"&amp;",countifs({filter('Students (Vertical)'!O:O,'Students (Vertical)'!C:C=B25,'Students (Vertical)'!O:O&lt;&gt;"""");filter('Students (Vertical)'!O:O,'Students (Vertical)'!C:C=E25,'Students (Vertical)'!O:O&lt;&gt;"""")},{filter('Students (Vertical)'!O:O,'Students (Vertic"&amp;"al)'!C:C=B25,'Students (Vertical)'!O:O&lt;&gt;"""");filter('Students (Vertical)'!O:O,'Students (Vertical)'!C:C=E25,'Students (Vertical)'!O:O&lt;&gt;"""")})&gt;1))),""No shared courses""),"""")"),"")</f>
        <v/>
      </c>
      <c r="J25" s="95" t="str">
        <f>IFERROR(__xludf.DUMMYFUNCTION("if(H25=""Can't be Together"",iferror(join("", "",unique(filter({unique(filter('Students (Vertical)'!O:O,'Students (Vertical)'!C:C=B25,'Students (Vertical)'!O:O&lt;&gt;"""",'Students (Vertical)'!P:P&gt;1));unique(filter('Students (Vertical)'!O:O,'Students (Vertical"&amp;")'!C:C=E25,'Students (Vertical)'!O:O&lt;&gt;"""",'Students (Vertical)'!P:P&gt;1))},countifs({unique(filter('Students (Vertical)'!O:O,'Students (Vertical)'!C:C=B25,'Students (Vertical)'!O:O&lt;&gt;"""",'Students (Vertical)'!P:P&gt;1));unique(filter('Students (Vertical)'!O:O"&amp;",'Students (Vertical)'!C:C=E25,'Students (Vertical)'!O:O&lt;&gt;"""",'Students (Vertical)'!P:P&gt;1))},{unique(filter('Students (Vertical)'!O:O,'Students (Vertical)'!C:C=B25,'Students (Vertical)'!O:O&lt;&gt;"""",'Students (Vertical)'!P:P&gt;1));unique(filter('Students (Ver"&amp;"tical)'!O:O,'Students (Vertical)'!C:C=E25,'Students (Vertical)'!O:O&lt;&gt;"""",'Students (Vertical)'!P:P&gt;1))})&gt;1))),""""),"""")"),"PE 6-6b")</f>
        <v>PE 6-6b</v>
      </c>
      <c r="K25" s="96" t="str">
        <f>IFERROR(__xludf.DUMMYFUNCTION("iferror(join("", "",unique(filter({filter('Students (Vertical)'!D:D,'Students (Vertical)'!C:C=B25,'Students (Vertical)'!D:D&lt;&gt;"""");filter('Students (Vertical)'!D:D,'Students (Vertical)'!C:C=E25,'Students (Vertical)'!D:D&lt;&gt;"""")},countifs({filter('Students "&amp;"(Vertical)'!D:D,'Students (Vertical)'!C:C=B25,'Students (Vertical)'!D:D&lt;&gt;"""");filter('Students (Vertical)'!D:D,'Students (Vertical)'!C:C=E25,'Students (Vertical)'!D:D&lt;&gt;"""")},{filter('Students (Vertical)'!D:D,'Students (Vertical)'!C:C=B25,'Students (Vert"&amp;"ical)'!D:D&lt;&gt;"""");filter('Students (Vertical)'!D:D,'Students (Vertical)'!C:C=E25,'Students (Vertical)'!D:D&lt;&gt;"""")})&gt;1))),"""")"),"Science 6, Math 6, English 6, Sociales 6, Spanish 6, PE 6, Regular BandS1, Regular BandS2")</f>
        <v>Science 6, Math 6, English 6, Sociales 6, Spanish 6, PE 6, Regular BandS1, Regular BandS2</v>
      </c>
      <c r="L25" s="96"/>
      <c r="M25" s="96"/>
    </row>
    <row r="26">
      <c r="A26" s="8">
        <v>25.0</v>
      </c>
      <c r="B26" s="97" t="s">
        <v>222</v>
      </c>
      <c r="C26" s="8">
        <v>31004.0</v>
      </c>
      <c r="D26" s="8">
        <v>6.0</v>
      </c>
      <c r="E26" s="12" t="s">
        <v>238</v>
      </c>
      <c r="F26" s="8">
        <v>30157.0</v>
      </c>
      <c r="G26" s="8">
        <v>6.0</v>
      </c>
      <c r="H26" s="12" t="s">
        <v>212</v>
      </c>
      <c r="I26" s="94" t="str">
        <f>IFERROR(__xludf.DUMMYFUNCTION("if(H26=""Must be Together"",iferror(join("", "",unique(filter({filter('Students (Vertical)'!O:O,'Students (Vertical)'!C:C=B26,'Students (Vertical)'!O:O&lt;&gt;"""");filter('Students (Vertical)'!O:O,'Students (Vertical)'!C:C=E26,'Students (Vertical)'!O:O&lt;&gt;"""")}"&amp;",countifs({filter('Students (Vertical)'!O:O,'Students (Vertical)'!C:C=B26,'Students (Vertical)'!O:O&lt;&gt;"""");filter('Students (Vertical)'!O:O,'Students (Vertical)'!C:C=E26,'Students (Vertical)'!O:O&lt;&gt;"""")},{filter('Students (Vertical)'!O:O,'Students (Vertic"&amp;"al)'!C:C=B26,'Students (Vertical)'!O:O&lt;&gt;"""");filter('Students (Vertical)'!O:O,'Students (Vertical)'!C:C=E26,'Students (Vertical)'!O:O&lt;&gt;"""")})&gt;1))),""No shared courses""),"""")"),"")</f>
        <v/>
      </c>
      <c r="J26" s="95" t="str">
        <f>IFERROR(__xludf.DUMMYFUNCTION("if(H26=""Can't be Together"",iferror(join("", "",unique(filter({unique(filter('Students (Vertical)'!O:O,'Students (Vertical)'!C:C=B26,'Students (Vertical)'!O:O&lt;&gt;"""",'Students (Vertical)'!P:P&gt;1));unique(filter('Students (Vertical)'!O:O,'Students (Vertical"&amp;")'!C:C=E26,'Students (Vertical)'!O:O&lt;&gt;"""",'Students (Vertical)'!P:P&gt;1))},countifs({unique(filter('Students (Vertical)'!O:O,'Students (Vertical)'!C:C=B26,'Students (Vertical)'!O:O&lt;&gt;"""",'Students (Vertical)'!P:P&gt;1));unique(filter('Students (Vertical)'!O:O"&amp;",'Students (Vertical)'!C:C=E26,'Students (Vertical)'!O:O&lt;&gt;"""",'Students (Vertical)'!P:P&gt;1))},{unique(filter('Students (Vertical)'!O:O,'Students (Vertical)'!C:C=B26,'Students (Vertical)'!O:O&lt;&gt;"""",'Students (Vertical)'!P:P&gt;1));unique(filter('Students (Ver"&amp;"tical)'!O:O,'Students (Vertical)'!C:C=E26,'Students (Vertical)'!O:O&lt;&gt;"""",'Students (Vertical)'!P:P&gt;1))})&gt;1))),""""),"""")"),"PE 6-6b")</f>
        <v>PE 6-6b</v>
      </c>
      <c r="K26" s="96" t="str">
        <f>IFERROR(__xludf.DUMMYFUNCTION("iferror(join("", "",unique(filter({filter('Students (Vertical)'!D:D,'Students (Vertical)'!C:C=B26,'Students (Vertical)'!D:D&lt;&gt;"""");filter('Students (Vertical)'!D:D,'Students (Vertical)'!C:C=E26,'Students (Vertical)'!D:D&lt;&gt;"""")},countifs({filter('Students "&amp;"(Vertical)'!D:D,'Students (Vertical)'!C:C=B26,'Students (Vertical)'!D:D&lt;&gt;"""");filter('Students (Vertical)'!D:D,'Students (Vertical)'!C:C=E26,'Students (Vertical)'!D:D&lt;&gt;"""")},{filter('Students (Vertical)'!D:D,'Students (Vertical)'!C:C=B26,'Students (Vert"&amp;"ical)'!D:D&lt;&gt;"""");filter('Students (Vertical)'!D:D,'Students (Vertical)'!C:C=E26,'Students (Vertical)'!D:D&lt;&gt;"""")})&gt;1))),"""")"),"Science 6, Math 6, English 6, Sociales 6, Spanish 6, PE 6, Regular BandS1, Regular BandS2")</f>
        <v>Science 6, Math 6, English 6, Sociales 6, Spanish 6, PE 6, Regular BandS1, Regular BandS2</v>
      </c>
      <c r="L26" s="96"/>
      <c r="M26" s="96"/>
    </row>
    <row r="27">
      <c r="A27" s="8">
        <v>26.0</v>
      </c>
      <c r="B27" s="97" t="s">
        <v>222</v>
      </c>
      <c r="C27" s="8">
        <v>31004.0</v>
      </c>
      <c r="D27" s="8">
        <v>6.0</v>
      </c>
      <c r="E27" s="12" t="s">
        <v>239</v>
      </c>
      <c r="F27" s="8">
        <v>31112.0</v>
      </c>
      <c r="G27" s="8">
        <v>6.0</v>
      </c>
      <c r="H27" s="12" t="s">
        <v>212</v>
      </c>
      <c r="I27" s="94" t="str">
        <f>IFERROR(__xludf.DUMMYFUNCTION("if(H27=""Must be Together"",iferror(join("", "",unique(filter({filter('Students (Vertical)'!O:O,'Students (Vertical)'!C:C=B27,'Students (Vertical)'!O:O&lt;&gt;"""");filter('Students (Vertical)'!O:O,'Students (Vertical)'!C:C=E27,'Students (Vertical)'!O:O&lt;&gt;"""")}"&amp;",countifs({filter('Students (Vertical)'!O:O,'Students (Vertical)'!C:C=B27,'Students (Vertical)'!O:O&lt;&gt;"""");filter('Students (Vertical)'!O:O,'Students (Vertical)'!C:C=E27,'Students (Vertical)'!O:O&lt;&gt;"""")},{filter('Students (Vertical)'!O:O,'Students (Vertic"&amp;"al)'!C:C=B27,'Students (Vertical)'!O:O&lt;&gt;"""");filter('Students (Vertical)'!O:O,'Students (Vertical)'!C:C=E27,'Students (Vertical)'!O:O&lt;&gt;"""")})&gt;1))),""No shared courses""),"""")"),"")</f>
        <v/>
      </c>
      <c r="J27" s="94" t="str">
        <f>IFERROR(__xludf.DUMMYFUNCTION("if(H27=""Can't be Together"",iferror(join("", "",unique(filter({unique(filter('Students (Vertical)'!O:O,'Students (Vertical)'!C:C=B27,'Students (Vertical)'!O:O&lt;&gt;"""",'Students (Vertical)'!P:P&gt;1));unique(filter('Students (Vertical)'!O:O,'Students (Vertical"&amp;")'!C:C=E27,'Students (Vertical)'!O:O&lt;&gt;"""",'Students (Vertical)'!P:P&gt;1))},countifs({unique(filter('Students (Vertical)'!O:O,'Students (Vertical)'!C:C=B27,'Students (Vertical)'!O:O&lt;&gt;"""",'Students (Vertical)'!P:P&gt;1));unique(filter('Students (Vertical)'!O:O"&amp;",'Students (Vertical)'!C:C=E27,'Students (Vertical)'!O:O&lt;&gt;"""",'Students (Vertical)'!P:P&gt;1))},{unique(filter('Students (Vertical)'!O:O,'Students (Vertical)'!C:C=B27,'Students (Vertical)'!O:O&lt;&gt;"""",'Students (Vertical)'!P:P&gt;1));unique(filter('Students (Ver"&amp;"tical)'!O:O,'Students (Vertical)'!C:C=E27,'Students (Vertical)'!O:O&lt;&gt;"""",'Students (Vertical)'!P:P&gt;1))})&gt;1))),""""),"""")"),"")</f>
        <v/>
      </c>
      <c r="K27" s="96" t="str">
        <f>IFERROR(__xludf.DUMMYFUNCTION("iferror(join("", "",unique(filter({filter('Students (Vertical)'!D:D,'Students (Vertical)'!C:C=B27,'Students (Vertical)'!D:D&lt;&gt;"""");filter('Students (Vertical)'!D:D,'Students (Vertical)'!C:C=E27,'Students (Vertical)'!D:D&lt;&gt;"""")},countifs({filter('Students "&amp;"(Vertical)'!D:D,'Students (Vertical)'!C:C=B27,'Students (Vertical)'!D:D&lt;&gt;"""");filter('Students (Vertical)'!D:D,'Students (Vertical)'!C:C=E27,'Students (Vertical)'!D:D&lt;&gt;"""")},{filter('Students (Vertical)'!D:D,'Students (Vertical)'!C:C=B27,'Students (Vert"&amp;"ical)'!D:D&lt;&gt;"""");filter('Students (Vertical)'!D:D,'Students (Vertical)'!C:C=E27,'Students (Vertical)'!D:D&lt;&gt;"""")})&gt;1))),"""")"),"Science 6, Math 6, English 6, Sociales 6, Spanish 6, PE 6")</f>
        <v>Science 6, Math 6, English 6, Sociales 6, Spanish 6, PE 6</v>
      </c>
      <c r="L27" s="96"/>
      <c r="M27" s="96"/>
    </row>
    <row r="28" hidden="1">
      <c r="A28" s="8">
        <v>27.0</v>
      </c>
      <c r="B28" s="97" t="s">
        <v>222</v>
      </c>
      <c r="C28" s="8">
        <v>31004.0</v>
      </c>
      <c r="D28" s="8">
        <v>6.0</v>
      </c>
      <c r="E28" s="12" t="s">
        <v>240</v>
      </c>
      <c r="F28" s="8">
        <v>31119.0</v>
      </c>
      <c r="G28" s="8">
        <v>6.0</v>
      </c>
      <c r="H28" s="12" t="s">
        <v>214</v>
      </c>
      <c r="I28" s="94" t="str">
        <f>IFERROR(__xludf.DUMMYFUNCTION("if(H28=""Must be Together"",iferror(join("", "",unique(filter({filter('Students (Vertical)'!O:O,'Students (Vertical)'!C:C=B28,'Students (Vertical)'!O:O&lt;&gt;"""");filter('Students (Vertical)'!O:O,'Students (Vertical)'!C:C=E28,'Students (Vertical)'!O:O&lt;&gt;"""")}"&amp;",countifs({filter('Students (Vertical)'!O:O,'Students (Vertical)'!C:C=B28,'Students (Vertical)'!O:O&lt;&gt;"""");filter('Students (Vertical)'!O:O,'Students (Vertical)'!C:C=E28,'Students (Vertical)'!O:O&lt;&gt;"""")},{filter('Students (Vertical)'!O:O,'Students (Vertic"&amp;"al)'!C:C=B28,'Students (Vertical)'!O:O&lt;&gt;"""");filter('Students (Vertical)'!O:O,'Students (Vertical)'!C:C=E28,'Students (Vertical)'!O:O&lt;&gt;"""")})&gt;1))),""No shared courses""),"""")"),"Science 6-4, Math 6-1, Sociales 6-3, Spanish 6-2")</f>
        <v>Science 6-4, Math 6-1, Sociales 6-3, Spanish 6-2</v>
      </c>
      <c r="J28" s="94" t="str">
        <f>IFERROR(__xludf.DUMMYFUNCTION("if(H28=""Can't be Together"",iferror(join("", "",unique(filter({unique(filter('Students (Vertical)'!O:O,'Students (Vertical)'!C:C=B28,'Students (Vertical)'!O:O&lt;&gt;"""",'Students (Vertical)'!P:P&gt;1));unique(filter('Students (Vertical)'!O:O,'Students (Vertical"&amp;")'!C:C=E28,'Students (Vertical)'!O:O&lt;&gt;"""",'Students (Vertical)'!P:P&gt;1))},countifs({unique(filter('Students (Vertical)'!O:O,'Students (Vertical)'!C:C=B28,'Students (Vertical)'!O:O&lt;&gt;"""",'Students (Vertical)'!P:P&gt;1));unique(filter('Students (Vertical)'!O:O"&amp;",'Students (Vertical)'!C:C=E28,'Students (Vertical)'!O:O&lt;&gt;"""",'Students (Vertical)'!P:P&gt;1))},{unique(filter('Students (Vertical)'!O:O,'Students (Vertical)'!C:C=B28,'Students (Vertical)'!O:O&lt;&gt;"""",'Students (Vertical)'!P:P&gt;1));unique(filter('Students (Ver"&amp;"tical)'!O:O,'Students (Vertical)'!C:C=E28,'Students (Vertical)'!O:O&lt;&gt;"""",'Students (Vertical)'!P:P&gt;1))})&gt;1))),""""),"""")"),"")</f>
        <v/>
      </c>
      <c r="K28" s="96" t="str">
        <f>IFERROR(__xludf.DUMMYFUNCTION("iferror(join("", "",unique(filter({filter('Students (Vertical)'!D:D,'Students (Vertical)'!C:C=B28,'Students (Vertical)'!D:D&lt;&gt;"""");filter('Students (Vertical)'!D:D,'Students (Vertical)'!C:C=E28,'Students (Vertical)'!D:D&lt;&gt;"""")},countifs({filter('Students "&amp;"(Vertical)'!D:D,'Students (Vertical)'!C:C=B28,'Students (Vertical)'!D:D&lt;&gt;"""");filter('Students (Vertical)'!D:D,'Students (Vertical)'!C:C=E28,'Students (Vertical)'!D:D&lt;&gt;"""")},{filter('Students (Vertical)'!D:D,'Students (Vertical)'!C:C=B28,'Students (Vert"&amp;"ical)'!D:D&lt;&gt;"""");filter('Students (Vertical)'!D:D,'Students (Vertical)'!C:C=E28,'Students (Vertical)'!D:D&lt;&gt;"""")})&gt;1))),"""")"),"Science 6, Math 6, English 6, Sociales 6, Spanish 6, PE 6")</f>
        <v>Science 6, Math 6, English 6, Sociales 6, Spanish 6, PE 6</v>
      </c>
      <c r="L28" s="96"/>
      <c r="M28" s="96"/>
    </row>
    <row r="29">
      <c r="A29" s="8">
        <v>28.0</v>
      </c>
      <c r="B29" s="97" t="s">
        <v>241</v>
      </c>
      <c r="C29" s="8">
        <v>31006.0</v>
      </c>
      <c r="D29" s="8">
        <v>6.0</v>
      </c>
      <c r="E29" s="12" t="s">
        <v>242</v>
      </c>
      <c r="F29" s="8">
        <v>31048.0</v>
      </c>
      <c r="G29" s="8">
        <v>6.0</v>
      </c>
      <c r="H29" s="12" t="s">
        <v>212</v>
      </c>
      <c r="I29" s="94" t="str">
        <f>IFERROR(__xludf.DUMMYFUNCTION("if(H29=""Must be Together"",iferror(join("", "",unique(filter({filter('Students (Vertical)'!O:O,'Students (Vertical)'!C:C=B29,'Students (Vertical)'!O:O&lt;&gt;"""");filter('Students (Vertical)'!O:O,'Students (Vertical)'!C:C=E29,'Students (Vertical)'!O:O&lt;&gt;"""")}"&amp;",countifs({filter('Students (Vertical)'!O:O,'Students (Vertical)'!C:C=B29,'Students (Vertical)'!O:O&lt;&gt;"""");filter('Students (Vertical)'!O:O,'Students (Vertical)'!C:C=E29,'Students (Vertical)'!O:O&lt;&gt;"""")},{filter('Students (Vertical)'!O:O,'Students (Vertic"&amp;"al)'!C:C=B29,'Students (Vertical)'!O:O&lt;&gt;"""");filter('Students (Vertical)'!O:O,'Students (Vertical)'!C:C=E29,'Students (Vertical)'!O:O&lt;&gt;"""")})&gt;1))),""No shared courses""),"""")"),"")</f>
        <v/>
      </c>
      <c r="J29" s="94" t="str">
        <f>IFERROR(__xludf.DUMMYFUNCTION("if(H29=""Can't be Together"",iferror(join("", "",unique(filter({unique(filter('Students (Vertical)'!O:O,'Students (Vertical)'!C:C=B29,'Students (Vertical)'!O:O&lt;&gt;"""",'Students (Vertical)'!P:P&gt;1));unique(filter('Students (Vertical)'!O:O,'Students (Vertical"&amp;")'!C:C=E29,'Students (Vertical)'!O:O&lt;&gt;"""",'Students (Vertical)'!P:P&gt;1))},countifs({unique(filter('Students (Vertical)'!O:O,'Students (Vertical)'!C:C=B29,'Students (Vertical)'!O:O&lt;&gt;"""",'Students (Vertical)'!P:P&gt;1));unique(filter('Students (Vertical)'!O:O"&amp;",'Students (Vertical)'!C:C=E29,'Students (Vertical)'!O:O&lt;&gt;"""",'Students (Vertical)'!P:P&gt;1))},{unique(filter('Students (Vertical)'!O:O,'Students (Vertical)'!C:C=B29,'Students (Vertical)'!O:O&lt;&gt;"""",'Students (Vertical)'!P:P&gt;1));unique(filter('Students (Ver"&amp;"tical)'!O:O,'Students (Vertical)'!C:C=E29,'Students (Vertical)'!O:O&lt;&gt;"""",'Students (Vertical)'!P:P&gt;1))})&gt;1))),""""),"""")"),"")</f>
        <v/>
      </c>
      <c r="K29" s="96" t="str">
        <f>IFERROR(__xludf.DUMMYFUNCTION("iferror(join("", "",unique(filter({filter('Students (Vertical)'!D:D,'Students (Vertical)'!C:C=B29,'Students (Vertical)'!D:D&lt;&gt;"""");filter('Students (Vertical)'!D:D,'Students (Vertical)'!C:C=E29,'Students (Vertical)'!D:D&lt;&gt;"""")},countifs({filter('Students "&amp;"(Vertical)'!D:D,'Students (Vertical)'!C:C=B29,'Students (Vertical)'!D:D&lt;&gt;"""");filter('Students (Vertical)'!D:D,'Students (Vertical)'!C:C=E29,'Students (Vertical)'!D:D&lt;&gt;"""")},{filter('Students (Vertical)'!D:D,'Students (Vertical)'!C:C=B29,'Students (Vert"&amp;"ical)'!D:D&lt;&gt;"""");filter('Students (Vertical)'!D:D,'Students (Vertical)'!C:C=E29,'Students (Vertical)'!D:D&lt;&gt;"""")})&gt;1))),"""")"),"Science 6, Math 6, English 6, Sociales 6, Spanish 6, PE 6")</f>
        <v>Science 6, Math 6, English 6, Sociales 6, Spanish 6, PE 6</v>
      </c>
      <c r="L29" s="96"/>
      <c r="M29" s="96"/>
    </row>
    <row r="30">
      <c r="A30" s="8">
        <v>29.0</v>
      </c>
      <c r="B30" s="97" t="s">
        <v>243</v>
      </c>
      <c r="C30" s="8">
        <v>31123.0</v>
      </c>
      <c r="D30" s="8">
        <v>6.0</v>
      </c>
      <c r="E30" s="12" t="s">
        <v>244</v>
      </c>
      <c r="F30" s="8">
        <v>31109.0</v>
      </c>
      <c r="G30" s="8">
        <v>6.0</v>
      </c>
      <c r="H30" s="12" t="s">
        <v>212</v>
      </c>
      <c r="I30" s="94" t="str">
        <f>IFERROR(__xludf.DUMMYFUNCTION("if(H30=""Must be Together"",iferror(join("", "",unique(filter({filter('Students (Vertical)'!O:O,'Students (Vertical)'!C:C=B30,'Students (Vertical)'!O:O&lt;&gt;"""");filter('Students (Vertical)'!O:O,'Students (Vertical)'!C:C=E30,'Students (Vertical)'!O:O&lt;&gt;"""")}"&amp;",countifs({filter('Students (Vertical)'!O:O,'Students (Vertical)'!C:C=B30,'Students (Vertical)'!O:O&lt;&gt;"""");filter('Students (Vertical)'!O:O,'Students (Vertical)'!C:C=E30,'Students (Vertical)'!O:O&lt;&gt;"""")},{filter('Students (Vertical)'!O:O,'Students (Vertic"&amp;"al)'!C:C=B30,'Students (Vertical)'!O:O&lt;&gt;"""");filter('Students (Vertical)'!O:O,'Students (Vertical)'!C:C=E30,'Students (Vertical)'!O:O&lt;&gt;"""")})&gt;1))),""No shared courses""),"""")"),"")</f>
        <v/>
      </c>
      <c r="J30" s="94" t="str">
        <f>IFERROR(__xludf.DUMMYFUNCTION("if(H30=""Can't be Together"",iferror(join("", "",unique(filter({unique(filter('Students (Vertical)'!O:O,'Students (Vertical)'!C:C=B30,'Students (Vertical)'!O:O&lt;&gt;"""",'Students (Vertical)'!P:P&gt;1));unique(filter('Students (Vertical)'!O:O,'Students (Vertical"&amp;")'!C:C=E30,'Students (Vertical)'!O:O&lt;&gt;"""",'Students (Vertical)'!P:P&gt;1))},countifs({unique(filter('Students (Vertical)'!O:O,'Students (Vertical)'!C:C=B30,'Students (Vertical)'!O:O&lt;&gt;"""",'Students (Vertical)'!P:P&gt;1));unique(filter('Students (Vertical)'!O:O"&amp;",'Students (Vertical)'!C:C=E30,'Students (Vertical)'!O:O&lt;&gt;"""",'Students (Vertical)'!P:P&gt;1))},{unique(filter('Students (Vertical)'!O:O,'Students (Vertical)'!C:C=B30,'Students (Vertical)'!O:O&lt;&gt;"""",'Students (Vertical)'!P:P&gt;1));unique(filter('Students (Ver"&amp;"tical)'!O:O,'Students (Vertical)'!C:C=E30,'Students (Vertical)'!O:O&lt;&gt;"""",'Students (Vertical)'!P:P&gt;1))})&gt;1))),""""),"""")"),"")</f>
        <v/>
      </c>
      <c r="K30" s="96" t="str">
        <f>IFERROR(__xludf.DUMMYFUNCTION("iferror(join("", "",unique(filter({filter('Students (Vertical)'!D:D,'Students (Vertical)'!C:C=B30,'Students (Vertical)'!D:D&lt;&gt;"""");filter('Students (Vertical)'!D:D,'Students (Vertical)'!C:C=E30,'Students (Vertical)'!D:D&lt;&gt;"""")},countifs({filter('Students "&amp;"(Vertical)'!D:D,'Students (Vertical)'!C:C=B30,'Students (Vertical)'!D:D&lt;&gt;"""");filter('Students (Vertical)'!D:D,'Students (Vertical)'!C:C=E30,'Students (Vertical)'!D:D&lt;&gt;"""")},{filter('Students (Vertical)'!D:D,'Students (Vertical)'!C:C=B30,'Students (Vert"&amp;"ical)'!D:D&lt;&gt;"""");filter('Students (Vertical)'!D:D,'Students (Vertical)'!C:C=E30,'Students (Vertical)'!D:D&lt;&gt;"""")})&gt;1))),"""")"),"Science 6, Math 6, English 6, Sociales 6, Spanish 6, PE 6")</f>
        <v>Science 6, Math 6, English 6, Sociales 6, Spanish 6, PE 6</v>
      </c>
      <c r="L30" s="96"/>
      <c r="M30" s="96"/>
    </row>
    <row r="31">
      <c r="A31" s="8">
        <v>30.0</v>
      </c>
      <c r="B31" s="97" t="s">
        <v>245</v>
      </c>
      <c r="C31" s="8">
        <v>31049.0</v>
      </c>
      <c r="D31" s="8">
        <v>6.0</v>
      </c>
      <c r="E31" s="12" t="s">
        <v>220</v>
      </c>
      <c r="F31" s="8">
        <v>31105.0</v>
      </c>
      <c r="G31" s="8">
        <v>6.0</v>
      </c>
      <c r="H31" s="12" t="s">
        <v>212</v>
      </c>
      <c r="I31" s="94" t="str">
        <f>IFERROR(__xludf.DUMMYFUNCTION("if(H31=""Must be Together"",iferror(join("", "",unique(filter({filter('Students (Vertical)'!O:O,'Students (Vertical)'!C:C=B31,'Students (Vertical)'!O:O&lt;&gt;"""");filter('Students (Vertical)'!O:O,'Students (Vertical)'!C:C=E31,'Students (Vertical)'!O:O&lt;&gt;"""")}"&amp;",countifs({filter('Students (Vertical)'!O:O,'Students (Vertical)'!C:C=B31,'Students (Vertical)'!O:O&lt;&gt;"""");filter('Students (Vertical)'!O:O,'Students (Vertical)'!C:C=E31,'Students (Vertical)'!O:O&lt;&gt;"""")},{filter('Students (Vertical)'!O:O,'Students (Vertic"&amp;"al)'!C:C=B31,'Students (Vertical)'!O:O&lt;&gt;"""");filter('Students (Vertical)'!O:O,'Students (Vertical)'!C:C=E31,'Students (Vertical)'!O:O&lt;&gt;"""")})&gt;1))),""No shared courses""),"""")"),"")</f>
        <v/>
      </c>
      <c r="J31" s="94" t="str">
        <f>IFERROR(__xludf.DUMMYFUNCTION("if(H31=""Can't be Together"",iferror(join("", "",unique(filter({unique(filter('Students (Vertical)'!O:O,'Students (Vertical)'!C:C=B31,'Students (Vertical)'!O:O&lt;&gt;"""",'Students (Vertical)'!P:P&gt;1));unique(filter('Students (Vertical)'!O:O,'Students (Vertical"&amp;")'!C:C=E31,'Students (Vertical)'!O:O&lt;&gt;"""",'Students (Vertical)'!P:P&gt;1))},countifs({unique(filter('Students (Vertical)'!O:O,'Students (Vertical)'!C:C=B31,'Students (Vertical)'!O:O&lt;&gt;"""",'Students (Vertical)'!P:P&gt;1));unique(filter('Students (Vertical)'!O:O"&amp;",'Students (Vertical)'!C:C=E31,'Students (Vertical)'!O:O&lt;&gt;"""",'Students (Vertical)'!P:P&gt;1))},{unique(filter('Students (Vertical)'!O:O,'Students (Vertical)'!C:C=B31,'Students (Vertical)'!O:O&lt;&gt;"""",'Students (Vertical)'!P:P&gt;1));unique(filter('Students (Ver"&amp;"tical)'!O:O,'Students (Vertical)'!C:C=E31,'Students (Vertical)'!O:O&lt;&gt;"""",'Students (Vertical)'!P:P&gt;1))})&gt;1))),""""),"""")"),"")</f>
        <v/>
      </c>
      <c r="K31" s="96" t="str">
        <f>IFERROR(__xludf.DUMMYFUNCTION("iferror(join("", "",unique(filter({filter('Students (Vertical)'!D:D,'Students (Vertical)'!C:C=B31,'Students (Vertical)'!D:D&lt;&gt;"""");filter('Students (Vertical)'!D:D,'Students (Vertical)'!C:C=E31,'Students (Vertical)'!D:D&lt;&gt;"""")},countifs({filter('Students "&amp;"(Vertical)'!D:D,'Students (Vertical)'!C:C=B31,'Students (Vertical)'!D:D&lt;&gt;"""");filter('Students (Vertical)'!D:D,'Students (Vertical)'!C:C=E31,'Students (Vertical)'!D:D&lt;&gt;"""")},{filter('Students (Vertical)'!D:D,'Students (Vertical)'!C:C=B31,'Students (Vert"&amp;"ical)'!D:D&lt;&gt;"""");filter('Students (Vertical)'!D:D,'Students (Vertical)'!C:C=E31,'Students (Vertical)'!D:D&lt;&gt;"""")})&gt;1))),"""")"),"Science 6, Math 6, English 6, Sociales 6, Spanish 6, PE 6")</f>
        <v>Science 6, Math 6, English 6, Sociales 6, Spanish 6, PE 6</v>
      </c>
      <c r="L31" s="96"/>
      <c r="M31" s="96"/>
    </row>
    <row r="32">
      <c r="A32" s="8">
        <v>31.0</v>
      </c>
      <c r="B32" s="12" t="s">
        <v>245</v>
      </c>
      <c r="C32" s="8">
        <v>31049.0</v>
      </c>
      <c r="D32" s="8">
        <v>6.0</v>
      </c>
      <c r="E32" s="12" t="s">
        <v>246</v>
      </c>
      <c r="F32" s="8">
        <v>31057.0</v>
      </c>
      <c r="G32" s="8">
        <v>6.0</v>
      </c>
      <c r="H32" s="12" t="s">
        <v>212</v>
      </c>
      <c r="I32" s="94" t="str">
        <f>IFERROR(__xludf.DUMMYFUNCTION("if(H32=""Must be Together"",iferror(join("", "",unique(filter({filter('Students (Vertical)'!O:O,'Students (Vertical)'!C:C=B32,'Students (Vertical)'!O:O&lt;&gt;"""");filter('Students (Vertical)'!O:O,'Students (Vertical)'!C:C=E32,'Students (Vertical)'!O:O&lt;&gt;"""")}"&amp;",countifs({filter('Students (Vertical)'!O:O,'Students (Vertical)'!C:C=B32,'Students (Vertical)'!O:O&lt;&gt;"""");filter('Students (Vertical)'!O:O,'Students (Vertical)'!C:C=E32,'Students (Vertical)'!O:O&lt;&gt;"""")},{filter('Students (Vertical)'!O:O,'Students (Vertic"&amp;"al)'!C:C=B32,'Students (Vertical)'!O:O&lt;&gt;"""");filter('Students (Vertical)'!O:O,'Students (Vertical)'!C:C=E32,'Students (Vertical)'!O:O&lt;&gt;"""")})&gt;1))),""No shared courses""),"""")"),"")</f>
        <v/>
      </c>
      <c r="J32" s="94" t="str">
        <f>IFERROR(__xludf.DUMMYFUNCTION("if(H32=""Can't be Together"",iferror(join("", "",unique(filter({unique(filter('Students (Vertical)'!O:O,'Students (Vertical)'!C:C=B32,'Students (Vertical)'!O:O&lt;&gt;"""",'Students (Vertical)'!P:P&gt;1));unique(filter('Students (Vertical)'!O:O,'Students (Vertical"&amp;")'!C:C=E32,'Students (Vertical)'!O:O&lt;&gt;"""",'Students (Vertical)'!P:P&gt;1))},countifs({unique(filter('Students (Vertical)'!O:O,'Students (Vertical)'!C:C=B32,'Students (Vertical)'!O:O&lt;&gt;"""",'Students (Vertical)'!P:P&gt;1));unique(filter('Students (Vertical)'!O:O"&amp;",'Students (Vertical)'!C:C=E32,'Students (Vertical)'!O:O&lt;&gt;"""",'Students (Vertical)'!P:P&gt;1))},{unique(filter('Students (Vertical)'!O:O,'Students (Vertical)'!C:C=B32,'Students (Vertical)'!O:O&lt;&gt;"""",'Students (Vertical)'!P:P&gt;1));unique(filter('Students (Ver"&amp;"tical)'!O:O,'Students (Vertical)'!C:C=E32,'Students (Vertical)'!O:O&lt;&gt;"""",'Students (Vertical)'!P:P&gt;1))})&gt;1))),""""),"""")"),"")</f>
        <v/>
      </c>
      <c r="K32" s="96" t="str">
        <f>IFERROR(__xludf.DUMMYFUNCTION("iferror(join("", "",unique(filter({filter('Students (Vertical)'!D:D,'Students (Vertical)'!C:C=B32,'Students (Vertical)'!D:D&lt;&gt;"""");filter('Students (Vertical)'!D:D,'Students (Vertical)'!C:C=E32,'Students (Vertical)'!D:D&lt;&gt;"""")},countifs({filter('Students "&amp;"(Vertical)'!D:D,'Students (Vertical)'!C:C=B32,'Students (Vertical)'!D:D&lt;&gt;"""");filter('Students (Vertical)'!D:D,'Students (Vertical)'!C:C=E32,'Students (Vertical)'!D:D&lt;&gt;"""")},{filter('Students (Vertical)'!D:D,'Students (Vertical)'!C:C=B32,'Students (Vert"&amp;"ical)'!D:D&lt;&gt;"""");filter('Students (Vertical)'!D:D,'Students (Vertical)'!C:C=E32,'Students (Vertical)'!D:D&lt;&gt;"""")})&gt;1))),"""")"),"Science 6, Math 6, English 6, Sociales 6, Spanish 6, PE 6")</f>
        <v>Science 6, Math 6, English 6, Sociales 6, Spanish 6, PE 6</v>
      </c>
      <c r="L32" s="96"/>
      <c r="M32" s="96"/>
    </row>
    <row r="33">
      <c r="A33" s="8">
        <v>32.0</v>
      </c>
      <c r="B33" s="12" t="s">
        <v>247</v>
      </c>
      <c r="C33" s="8">
        <v>31115.0</v>
      </c>
      <c r="D33" s="8">
        <v>6.0</v>
      </c>
      <c r="E33" s="97" t="s">
        <v>246</v>
      </c>
      <c r="F33" s="8">
        <v>31057.0</v>
      </c>
      <c r="G33" s="8">
        <v>6.0</v>
      </c>
      <c r="H33" s="12" t="s">
        <v>212</v>
      </c>
      <c r="I33" s="94" t="str">
        <f>IFERROR(__xludf.DUMMYFUNCTION("if(H33=""Must be Together"",iferror(join("", "",unique(filter({filter('Students (Vertical)'!O:O,'Students (Vertical)'!C:C=B33,'Students (Vertical)'!O:O&lt;&gt;"""");filter('Students (Vertical)'!O:O,'Students (Vertical)'!C:C=E33,'Students (Vertical)'!O:O&lt;&gt;"""")}"&amp;",countifs({filter('Students (Vertical)'!O:O,'Students (Vertical)'!C:C=B33,'Students (Vertical)'!O:O&lt;&gt;"""");filter('Students (Vertical)'!O:O,'Students (Vertical)'!C:C=E33,'Students (Vertical)'!O:O&lt;&gt;"""")},{filter('Students (Vertical)'!O:O,'Students (Vertic"&amp;"al)'!C:C=B33,'Students (Vertical)'!O:O&lt;&gt;"""");filter('Students (Vertical)'!O:O,'Students (Vertical)'!C:C=E33,'Students (Vertical)'!O:O&lt;&gt;"""")})&gt;1))),""No shared courses""),"""")"),"")</f>
        <v/>
      </c>
      <c r="J33" s="94" t="str">
        <f>IFERROR(__xludf.DUMMYFUNCTION("if(H33=""Can't be Together"",iferror(join("", "",unique(filter({unique(filter('Students (Vertical)'!O:O,'Students (Vertical)'!C:C=B33,'Students (Vertical)'!O:O&lt;&gt;"""",'Students (Vertical)'!P:P&gt;1));unique(filter('Students (Vertical)'!O:O,'Students (Vertical"&amp;")'!C:C=E33,'Students (Vertical)'!O:O&lt;&gt;"""",'Students (Vertical)'!P:P&gt;1))},countifs({unique(filter('Students (Vertical)'!O:O,'Students (Vertical)'!C:C=B33,'Students (Vertical)'!O:O&lt;&gt;"""",'Students (Vertical)'!P:P&gt;1));unique(filter('Students (Vertical)'!O:O"&amp;",'Students (Vertical)'!C:C=E33,'Students (Vertical)'!O:O&lt;&gt;"""",'Students (Vertical)'!P:P&gt;1))},{unique(filter('Students (Vertical)'!O:O,'Students (Vertical)'!C:C=B33,'Students (Vertical)'!O:O&lt;&gt;"""",'Students (Vertical)'!P:P&gt;1));unique(filter('Students (Ver"&amp;"tical)'!O:O,'Students (Vertical)'!C:C=E33,'Students (Vertical)'!O:O&lt;&gt;"""",'Students (Vertical)'!P:P&gt;1))})&gt;1))),""""),"""")"),"")</f>
        <v/>
      </c>
      <c r="K33" s="96" t="str">
        <f>IFERROR(__xludf.DUMMYFUNCTION("iferror(join("", "",unique(filter({filter('Students (Vertical)'!D:D,'Students (Vertical)'!C:C=B33,'Students (Vertical)'!D:D&lt;&gt;"""");filter('Students (Vertical)'!D:D,'Students (Vertical)'!C:C=E33,'Students (Vertical)'!D:D&lt;&gt;"""")},countifs({filter('Students "&amp;"(Vertical)'!D:D,'Students (Vertical)'!C:C=B33,'Students (Vertical)'!D:D&lt;&gt;"""");filter('Students (Vertical)'!D:D,'Students (Vertical)'!C:C=E33,'Students (Vertical)'!D:D&lt;&gt;"""")},{filter('Students (Vertical)'!D:D,'Students (Vertical)'!C:C=B33,'Students (Vert"&amp;"ical)'!D:D&lt;&gt;"""");filter('Students (Vertical)'!D:D,'Students (Vertical)'!C:C=E33,'Students (Vertical)'!D:D&lt;&gt;"""")})&gt;1))),"""")"),"Science 6, Math 6, English 6, Sociales 6, Spanish 6, PE 6")</f>
        <v>Science 6, Math 6, English 6, Sociales 6, Spanish 6, PE 6</v>
      </c>
      <c r="L33" s="96"/>
      <c r="M33" s="96"/>
    </row>
    <row r="34">
      <c r="A34" s="8">
        <v>33.0</v>
      </c>
      <c r="B34" s="12" t="s">
        <v>248</v>
      </c>
      <c r="C34" s="8">
        <v>31062.0</v>
      </c>
      <c r="D34" s="8">
        <v>6.0</v>
      </c>
      <c r="E34" s="97" t="s">
        <v>218</v>
      </c>
      <c r="F34" s="8">
        <v>31134.0</v>
      </c>
      <c r="G34" s="8">
        <v>6.0</v>
      </c>
      <c r="H34" s="12" t="s">
        <v>212</v>
      </c>
      <c r="I34" s="94" t="str">
        <f>IFERROR(__xludf.DUMMYFUNCTION("if(H34=""Must be Together"",iferror(join("", "",unique(filter({filter('Students (Vertical)'!O:O,'Students (Vertical)'!C:C=B34,'Students (Vertical)'!O:O&lt;&gt;"""");filter('Students (Vertical)'!O:O,'Students (Vertical)'!C:C=E34,'Students (Vertical)'!O:O&lt;&gt;"""")}"&amp;",countifs({filter('Students (Vertical)'!O:O,'Students (Vertical)'!C:C=B34,'Students (Vertical)'!O:O&lt;&gt;"""");filter('Students (Vertical)'!O:O,'Students (Vertical)'!C:C=E34,'Students (Vertical)'!O:O&lt;&gt;"""")},{filter('Students (Vertical)'!O:O,'Students (Vertic"&amp;"al)'!C:C=B34,'Students (Vertical)'!O:O&lt;&gt;"""");filter('Students (Vertical)'!O:O,'Students (Vertical)'!C:C=E34,'Students (Vertical)'!O:O&lt;&gt;"""")})&gt;1))),""No shared courses""),"""")"),"")</f>
        <v/>
      </c>
      <c r="J34" s="94" t="str">
        <f>IFERROR(__xludf.DUMMYFUNCTION("if(H34=""Can't be Together"",iferror(join("", "",unique(filter({unique(filter('Students (Vertical)'!O:O,'Students (Vertical)'!C:C=B34,'Students (Vertical)'!O:O&lt;&gt;"""",'Students (Vertical)'!P:P&gt;1));unique(filter('Students (Vertical)'!O:O,'Students (Vertical"&amp;")'!C:C=E34,'Students (Vertical)'!O:O&lt;&gt;"""",'Students (Vertical)'!P:P&gt;1))},countifs({unique(filter('Students (Vertical)'!O:O,'Students (Vertical)'!C:C=B34,'Students (Vertical)'!O:O&lt;&gt;"""",'Students (Vertical)'!P:P&gt;1));unique(filter('Students (Vertical)'!O:O"&amp;",'Students (Vertical)'!C:C=E34,'Students (Vertical)'!O:O&lt;&gt;"""",'Students (Vertical)'!P:P&gt;1))},{unique(filter('Students (Vertical)'!O:O,'Students (Vertical)'!C:C=B34,'Students (Vertical)'!O:O&lt;&gt;"""",'Students (Vertical)'!P:P&gt;1));unique(filter('Students (Ver"&amp;"tical)'!O:O,'Students (Vertical)'!C:C=E34,'Students (Vertical)'!O:O&lt;&gt;"""",'Students (Vertical)'!P:P&gt;1))})&gt;1))),""""),"""")"),"")</f>
        <v/>
      </c>
      <c r="K34" s="96" t="str">
        <f>IFERROR(__xludf.DUMMYFUNCTION("iferror(join("", "",unique(filter({filter('Students (Vertical)'!D:D,'Students (Vertical)'!C:C=B34,'Students (Vertical)'!D:D&lt;&gt;"""");filter('Students (Vertical)'!D:D,'Students (Vertical)'!C:C=E34,'Students (Vertical)'!D:D&lt;&gt;"""")},countifs({filter('Students "&amp;"(Vertical)'!D:D,'Students (Vertical)'!C:C=B34,'Students (Vertical)'!D:D&lt;&gt;"""");filter('Students (Vertical)'!D:D,'Students (Vertical)'!C:C=E34,'Students (Vertical)'!D:D&lt;&gt;"""")},{filter('Students (Vertical)'!D:D,'Students (Vertical)'!C:C=B34,'Students (Vert"&amp;"ical)'!D:D&lt;&gt;"""");filter('Students (Vertical)'!D:D,'Students (Vertical)'!C:C=E34,'Students (Vertical)'!D:D&lt;&gt;"""")})&gt;1))),"""")"),"Science 6, English 6, Sociales 6, Spanish 6, PE 6")</f>
        <v>Science 6, English 6, Sociales 6, Spanish 6, PE 6</v>
      </c>
      <c r="L34" s="96"/>
      <c r="M34" s="96"/>
    </row>
    <row r="35" hidden="1">
      <c r="A35" s="8">
        <v>34.0</v>
      </c>
      <c r="B35" s="12" t="s">
        <v>248</v>
      </c>
      <c r="C35" s="8">
        <v>31062.0</v>
      </c>
      <c r="D35" s="8">
        <v>6.0</v>
      </c>
      <c r="E35" s="97" t="s">
        <v>249</v>
      </c>
      <c r="F35" s="8">
        <v>31023.0</v>
      </c>
      <c r="G35" s="8">
        <v>6.0</v>
      </c>
      <c r="H35" s="12" t="s">
        <v>214</v>
      </c>
      <c r="I35" s="94" t="str">
        <f>IFERROR(__xludf.DUMMYFUNCTION("if(H35=""Must be Together"",iferror(join("", "",unique(filter({filter('Students (Vertical)'!O:O,'Students (Vertical)'!C:C=B35,'Students (Vertical)'!O:O&lt;&gt;"""");filter('Students (Vertical)'!O:O,'Students (Vertical)'!C:C=E35,'Students (Vertical)'!O:O&lt;&gt;"""")}"&amp;",countifs({filter('Students (Vertical)'!O:O,'Students (Vertical)'!C:C=B35,'Students (Vertical)'!O:O&lt;&gt;"""");filter('Students (Vertical)'!O:O,'Students (Vertical)'!C:C=E35,'Students (Vertical)'!O:O&lt;&gt;"""")},{filter('Students (Vertical)'!O:O,'Students (Vertic"&amp;"al)'!C:C=B35,'Students (Vertical)'!O:O&lt;&gt;"""");filter('Students (Vertical)'!O:O,'Students (Vertical)'!C:C=E35,'Students (Vertical)'!O:O&lt;&gt;"""")})&gt;1))),""No shared courses""),"""")"),"Science 6-3, Math 6-1, English 6-5, Sociales 6-2, Spanish 6-4")</f>
        <v>Science 6-3, Math 6-1, English 6-5, Sociales 6-2, Spanish 6-4</v>
      </c>
      <c r="J35" s="94" t="str">
        <f>IFERROR(__xludf.DUMMYFUNCTION("if(H35=""Can't be Together"",iferror(join("", "",unique(filter({unique(filter('Students (Vertical)'!O:O,'Students (Vertical)'!C:C=B35,'Students (Vertical)'!O:O&lt;&gt;"""",'Students (Vertical)'!P:P&gt;1));unique(filter('Students (Vertical)'!O:O,'Students (Vertical"&amp;")'!C:C=E35,'Students (Vertical)'!O:O&lt;&gt;"""",'Students (Vertical)'!P:P&gt;1))},countifs({unique(filter('Students (Vertical)'!O:O,'Students (Vertical)'!C:C=B35,'Students (Vertical)'!O:O&lt;&gt;"""",'Students (Vertical)'!P:P&gt;1));unique(filter('Students (Vertical)'!O:O"&amp;",'Students (Vertical)'!C:C=E35,'Students (Vertical)'!O:O&lt;&gt;"""",'Students (Vertical)'!P:P&gt;1))},{unique(filter('Students (Vertical)'!O:O,'Students (Vertical)'!C:C=B35,'Students (Vertical)'!O:O&lt;&gt;"""",'Students (Vertical)'!P:P&gt;1));unique(filter('Students (Ver"&amp;"tical)'!O:O,'Students (Vertical)'!C:C=E35,'Students (Vertical)'!O:O&lt;&gt;"""",'Students (Vertical)'!P:P&gt;1))})&gt;1))),""""),"""")"),"")</f>
        <v/>
      </c>
      <c r="K35" s="96" t="str">
        <f>IFERROR(__xludf.DUMMYFUNCTION("iferror(join("", "",unique(filter({filter('Students (Vertical)'!D:D,'Students (Vertical)'!C:C=B35,'Students (Vertical)'!D:D&lt;&gt;"""");filter('Students (Vertical)'!D:D,'Students (Vertical)'!C:C=E35,'Students (Vertical)'!D:D&lt;&gt;"""")},countifs({filter('Students "&amp;"(Vertical)'!D:D,'Students (Vertical)'!C:C=B35,'Students (Vertical)'!D:D&lt;&gt;"""");filter('Students (Vertical)'!D:D,'Students (Vertical)'!C:C=E35,'Students (Vertical)'!D:D&lt;&gt;"""")},{filter('Students (Vertical)'!D:D,'Students (Vertical)'!C:C=B35,'Students (Vert"&amp;"ical)'!D:D&lt;&gt;"""");filter('Students (Vertical)'!D:D,'Students (Vertical)'!C:C=E35,'Students (Vertical)'!D:D&lt;&gt;"""")})&gt;1))),"""")"),"Science 6, Math 6, English 6, Sociales 6, Spanish 6, PE 6")</f>
        <v>Science 6, Math 6, English 6, Sociales 6, Spanish 6, PE 6</v>
      </c>
      <c r="L35" s="96"/>
      <c r="M35" s="96"/>
    </row>
    <row r="36">
      <c r="A36" s="8">
        <v>35.0</v>
      </c>
      <c r="B36" s="12" t="s">
        <v>250</v>
      </c>
      <c r="C36" s="8">
        <v>31164.0</v>
      </c>
      <c r="D36" s="8">
        <v>6.0</v>
      </c>
      <c r="E36" s="97" t="s">
        <v>251</v>
      </c>
      <c r="F36" s="8">
        <v>31064.0</v>
      </c>
      <c r="G36" s="8">
        <v>6.0</v>
      </c>
      <c r="H36" s="12" t="s">
        <v>212</v>
      </c>
      <c r="I36" s="94" t="str">
        <f>IFERROR(__xludf.DUMMYFUNCTION("if(H36=""Must be Together"",iferror(join("", "",unique(filter({filter('Students (Vertical)'!O:O,'Students (Vertical)'!C:C=B36,'Students (Vertical)'!O:O&lt;&gt;"""");filter('Students (Vertical)'!O:O,'Students (Vertical)'!C:C=E36,'Students (Vertical)'!O:O&lt;&gt;"""")}"&amp;",countifs({filter('Students (Vertical)'!O:O,'Students (Vertical)'!C:C=B36,'Students (Vertical)'!O:O&lt;&gt;"""");filter('Students (Vertical)'!O:O,'Students (Vertical)'!C:C=E36,'Students (Vertical)'!O:O&lt;&gt;"""")},{filter('Students (Vertical)'!O:O,'Students (Vertic"&amp;"al)'!C:C=B36,'Students (Vertical)'!O:O&lt;&gt;"""");filter('Students (Vertical)'!O:O,'Students (Vertical)'!C:C=E36,'Students (Vertical)'!O:O&lt;&gt;"""")})&gt;1))),""No shared courses""),"""")"),"")</f>
        <v/>
      </c>
      <c r="J36" s="94" t="str">
        <f>IFERROR(__xludf.DUMMYFUNCTION("if(H36=""Can't be Together"",iferror(join("", "",unique(filter({unique(filter('Students (Vertical)'!O:O,'Students (Vertical)'!C:C=B36,'Students (Vertical)'!O:O&lt;&gt;"""",'Students (Vertical)'!P:P&gt;1));unique(filter('Students (Vertical)'!O:O,'Students (Vertical"&amp;")'!C:C=E36,'Students (Vertical)'!O:O&lt;&gt;"""",'Students (Vertical)'!P:P&gt;1))},countifs({unique(filter('Students (Vertical)'!O:O,'Students (Vertical)'!C:C=B36,'Students (Vertical)'!O:O&lt;&gt;"""",'Students (Vertical)'!P:P&gt;1));unique(filter('Students (Vertical)'!O:O"&amp;",'Students (Vertical)'!C:C=E36,'Students (Vertical)'!O:O&lt;&gt;"""",'Students (Vertical)'!P:P&gt;1))},{unique(filter('Students (Vertical)'!O:O,'Students (Vertical)'!C:C=B36,'Students (Vertical)'!O:O&lt;&gt;"""",'Students (Vertical)'!P:P&gt;1));unique(filter('Students (Ver"&amp;"tical)'!O:O,'Students (Vertical)'!C:C=E36,'Students (Vertical)'!O:O&lt;&gt;"""",'Students (Vertical)'!P:P&gt;1))})&gt;1))),""""),"""")"),"")</f>
        <v/>
      </c>
      <c r="K36" s="96" t="str">
        <f>IFERROR(__xludf.DUMMYFUNCTION("iferror(join("", "",unique(filter({filter('Students (Vertical)'!D:D,'Students (Vertical)'!C:C=B36,'Students (Vertical)'!D:D&lt;&gt;"""");filter('Students (Vertical)'!D:D,'Students (Vertical)'!C:C=E36,'Students (Vertical)'!D:D&lt;&gt;"""")},countifs({filter('Students "&amp;"(Vertical)'!D:D,'Students (Vertical)'!C:C=B36,'Students (Vertical)'!D:D&lt;&gt;"""");filter('Students (Vertical)'!D:D,'Students (Vertical)'!C:C=E36,'Students (Vertical)'!D:D&lt;&gt;"""")},{filter('Students (Vertical)'!D:D,'Students (Vertical)'!C:C=B36,'Students (Vert"&amp;"ical)'!D:D&lt;&gt;"""");filter('Students (Vertical)'!D:D,'Students (Vertical)'!C:C=E36,'Students (Vertical)'!D:D&lt;&gt;"""")})&gt;1))),"""")"),"Science 6, Math 6, English 6, Sociales 6, PE 6, Art 6S1, Tech 6S2")</f>
        <v>Science 6, Math 6, English 6, Sociales 6, PE 6, Art 6S1, Tech 6S2</v>
      </c>
      <c r="L36" s="96"/>
      <c r="M36" s="96"/>
    </row>
    <row r="37">
      <c r="A37" s="8">
        <v>36.0</v>
      </c>
      <c r="B37" s="12" t="s">
        <v>250</v>
      </c>
      <c r="C37" s="8">
        <v>31164.0</v>
      </c>
      <c r="D37" s="8">
        <v>6.0</v>
      </c>
      <c r="E37" s="97" t="s">
        <v>252</v>
      </c>
      <c r="F37" s="8">
        <v>31127.0</v>
      </c>
      <c r="G37" s="8">
        <v>6.0</v>
      </c>
      <c r="H37" s="12" t="s">
        <v>212</v>
      </c>
      <c r="I37" s="94" t="str">
        <f>IFERROR(__xludf.DUMMYFUNCTION("if(H37=""Must be Together"",iferror(join("", "",unique(filter({filter('Students (Vertical)'!O:O,'Students (Vertical)'!C:C=B37,'Students (Vertical)'!O:O&lt;&gt;"""");filter('Students (Vertical)'!O:O,'Students (Vertical)'!C:C=E37,'Students (Vertical)'!O:O&lt;&gt;"""")}"&amp;",countifs({filter('Students (Vertical)'!O:O,'Students (Vertical)'!C:C=B37,'Students (Vertical)'!O:O&lt;&gt;"""");filter('Students (Vertical)'!O:O,'Students (Vertical)'!C:C=E37,'Students (Vertical)'!O:O&lt;&gt;"""")},{filter('Students (Vertical)'!O:O,'Students (Vertic"&amp;"al)'!C:C=B37,'Students (Vertical)'!O:O&lt;&gt;"""");filter('Students (Vertical)'!O:O,'Students (Vertical)'!C:C=E37,'Students (Vertical)'!O:O&lt;&gt;"""")})&gt;1))),""No shared courses""),"""")"),"")</f>
        <v/>
      </c>
      <c r="J37" s="94" t="str">
        <f>IFERROR(__xludf.DUMMYFUNCTION("if(H37=""Can't be Together"",iferror(join("", "",unique(filter({unique(filter('Students (Vertical)'!O:O,'Students (Vertical)'!C:C=B37,'Students (Vertical)'!O:O&lt;&gt;"""",'Students (Vertical)'!P:P&gt;1));unique(filter('Students (Vertical)'!O:O,'Students (Vertical"&amp;")'!C:C=E37,'Students (Vertical)'!O:O&lt;&gt;"""",'Students (Vertical)'!P:P&gt;1))},countifs({unique(filter('Students (Vertical)'!O:O,'Students (Vertical)'!C:C=B37,'Students (Vertical)'!O:O&lt;&gt;"""",'Students (Vertical)'!P:P&gt;1));unique(filter('Students (Vertical)'!O:O"&amp;",'Students (Vertical)'!C:C=E37,'Students (Vertical)'!O:O&lt;&gt;"""",'Students (Vertical)'!P:P&gt;1))},{unique(filter('Students (Vertical)'!O:O,'Students (Vertical)'!C:C=B37,'Students (Vertical)'!O:O&lt;&gt;"""",'Students (Vertical)'!P:P&gt;1));unique(filter('Students (Ver"&amp;"tical)'!O:O,'Students (Vertical)'!C:C=E37,'Students (Vertical)'!O:O&lt;&gt;"""",'Students (Vertical)'!P:P&gt;1))})&gt;1))),""""),"""")"),"")</f>
        <v/>
      </c>
      <c r="K37" s="96" t="str">
        <f>IFERROR(__xludf.DUMMYFUNCTION("iferror(join("", "",unique(filter({filter('Students (Vertical)'!D:D,'Students (Vertical)'!C:C=B37,'Students (Vertical)'!D:D&lt;&gt;"""");filter('Students (Vertical)'!D:D,'Students (Vertical)'!C:C=E37,'Students (Vertical)'!D:D&lt;&gt;"""")},countifs({filter('Students "&amp;"(Vertical)'!D:D,'Students (Vertical)'!C:C=B37,'Students (Vertical)'!D:D&lt;&gt;"""");filter('Students (Vertical)'!D:D,'Students (Vertical)'!C:C=E37,'Students (Vertical)'!D:D&lt;&gt;"""")},{filter('Students (Vertical)'!D:D,'Students (Vertical)'!C:C=B37,'Students (Vert"&amp;"ical)'!D:D&lt;&gt;"""");filter('Students (Vertical)'!D:D,'Students (Vertical)'!C:C=E37,'Students (Vertical)'!D:D&lt;&gt;"""")})&gt;1))),"""")"),"Science 6, Math 6, English 6, Sociales 6, PE 6, Art 6S1, Tech 6S2")</f>
        <v>Science 6, Math 6, English 6, Sociales 6, PE 6, Art 6S1, Tech 6S2</v>
      </c>
      <c r="L37" s="96"/>
      <c r="M37" s="96"/>
    </row>
    <row r="38">
      <c r="A38" s="8">
        <v>37.0</v>
      </c>
      <c r="B38" s="12" t="s">
        <v>250</v>
      </c>
      <c r="C38" s="8">
        <v>31164.0</v>
      </c>
      <c r="D38" s="8">
        <v>6.0</v>
      </c>
      <c r="E38" s="97" t="s">
        <v>253</v>
      </c>
      <c r="F38" s="8">
        <v>31117.0</v>
      </c>
      <c r="G38" s="8">
        <v>6.0</v>
      </c>
      <c r="H38" s="12" t="s">
        <v>212</v>
      </c>
      <c r="I38" s="94" t="str">
        <f>IFERROR(__xludf.DUMMYFUNCTION("if(H38=""Must be Together"",iferror(join("", "",unique(filter({filter('Students (Vertical)'!O:O,'Students (Vertical)'!C:C=B38,'Students (Vertical)'!O:O&lt;&gt;"""");filter('Students (Vertical)'!O:O,'Students (Vertical)'!C:C=E38,'Students (Vertical)'!O:O&lt;&gt;"""")}"&amp;",countifs({filter('Students (Vertical)'!O:O,'Students (Vertical)'!C:C=B38,'Students (Vertical)'!O:O&lt;&gt;"""");filter('Students (Vertical)'!O:O,'Students (Vertical)'!C:C=E38,'Students (Vertical)'!O:O&lt;&gt;"""")},{filter('Students (Vertical)'!O:O,'Students (Vertic"&amp;"al)'!C:C=B38,'Students (Vertical)'!O:O&lt;&gt;"""");filter('Students (Vertical)'!O:O,'Students (Vertical)'!C:C=E38,'Students (Vertical)'!O:O&lt;&gt;"""")})&gt;1))),""No shared courses""),"""")"),"")</f>
        <v/>
      </c>
      <c r="J38" s="94" t="str">
        <f>IFERROR(__xludf.DUMMYFUNCTION("if(H38=""Can't be Together"",iferror(join("", "",unique(filter({unique(filter('Students (Vertical)'!O:O,'Students (Vertical)'!C:C=B38,'Students (Vertical)'!O:O&lt;&gt;"""",'Students (Vertical)'!P:P&gt;1));unique(filter('Students (Vertical)'!O:O,'Students (Vertical"&amp;")'!C:C=E38,'Students (Vertical)'!O:O&lt;&gt;"""",'Students (Vertical)'!P:P&gt;1))},countifs({unique(filter('Students (Vertical)'!O:O,'Students (Vertical)'!C:C=B38,'Students (Vertical)'!O:O&lt;&gt;"""",'Students (Vertical)'!P:P&gt;1));unique(filter('Students (Vertical)'!O:O"&amp;",'Students (Vertical)'!C:C=E38,'Students (Vertical)'!O:O&lt;&gt;"""",'Students (Vertical)'!P:P&gt;1))},{unique(filter('Students (Vertical)'!O:O,'Students (Vertical)'!C:C=B38,'Students (Vertical)'!O:O&lt;&gt;"""",'Students (Vertical)'!P:P&gt;1));unique(filter('Students (Ver"&amp;"tical)'!O:O,'Students (Vertical)'!C:C=E38,'Students (Vertical)'!O:O&lt;&gt;"""",'Students (Vertical)'!P:P&gt;1))})&gt;1))),""""),"""")"),"")</f>
        <v/>
      </c>
      <c r="K38" s="96" t="str">
        <f>IFERROR(__xludf.DUMMYFUNCTION("iferror(join("", "",unique(filter({filter('Students (Vertical)'!D:D,'Students (Vertical)'!C:C=B38,'Students (Vertical)'!D:D&lt;&gt;"""");filter('Students (Vertical)'!D:D,'Students (Vertical)'!C:C=E38,'Students (Vertical)'!D:D&lt;&gt;"""")},countifs({filter('Students "&amp;"(Vertical)'!D:D,'Students (Vertical)'!C:C=B38,'Students (Vertical)'!D:D&lt;&gt;"""");filter('Students (Vertical)'!D:D,'Students (Vertical)'!C:C=E38,'Students (Vertical)'!D:D&lt;&gt;"""")},{filter('Students (Vertical)'!D:D,'Students (Vertical)'!C:C=B38,'Students (Vert"&amp;"ical)'!D:D&lt;&gt;"""");filter('Students (Vertical)'!D:D,'Students (Vertical)'!C:C=E38,'Students (Vertical)'!D:D&lt;&gt;"""")})&gt;1))),"""")"),"Science 6, Math 6, English 6, Sociales 6, PE 6")</f>
        <v>Science 6, Math 6, English 6, Sociales 6, PE 6</v>
      </c>
      <c r="L38" s="96"/>
      <c r="M38" s="96"/>
    </row>
    <row r="39">
      <c r="A39" s="8">
        <v>38.0</v>
      </c>
      <c r="B39" s="12" t="s">
        <v>254</v>
      </c>
      <c r="C39" s="8">
        <v>30042.0</v>
      </c>
      <c r="D39" s="8">
        <v>7.0</v>
      </c>
      <c r="E39" s="97" t="s">
        <v>255</v>
      </c>
      <c r="F39" s="8">
        <v>30090.0</v>
      </c>
      <c r="G39" s="8">
        <v>7.0</v>
      </c>
      <c r="H39" s="12" t="s">
        <v>212</v>
      </c>
      <c r="I39" s="94" t="str">
        <f>IFERROR(__xludf.DUMMYFUNCTION("if(H39=""Must be Together"",iferror(join("", "",unique(filter({filter('Students (Vertical)'!O:O,'Students (Vertical)'!C:C=B39,'Students (Vertical)'!O:O&lt;&gt;"""");filter('Students (Vertical)'!O:O,'Students (Vertical)'!C:C=E39,'Students (Vertical)'!O:O&lt;&gt;"""")}"&amp;",countifs({filter('Students (Vertical)'!O:O,'Students (Vertical)'!C:C=B39,'Students (Vertical)'!O:O&lt;&gt;"""");filter('Students (Vertical)'!O:O,'Students (Vertical)'!C:C=E39,'Students (Vertical)'!O:O&lt;&gt;"""")},{filter('Students (Vertical)'!O:O,'Students (Vertic"&amp;"al)'!C:C=B39,'Students (Vertical)'!O:O&lt;&gt;"""");filter('Students (Vertical)'!O:O,'Students (Vertical)'!C:C=E39,'Students (Vertical)'!O:O&lt;&gt;"""")})&gt;1))),""No shared courses""),"""")"),"")</f>
        <v/>
      </c>
      <c r="J39" s="94" t="str">
        <f>IFERROR(__xludf.DUMMYFUNCTION("if(H39=""Can't be Together"",iferror(join("", "",unique(filter({unique(filter('Students (Vertical)'!O:O,'Students (Vertical)'!C:C=B39,'Students (Vertical)'!O:O&lt;&gt;"""",'Students (Vertical)'!P:P&gt;1));unique(filter('Students (Vertical)'!O:O,'Students (Vertical"&amp;")'!C:C=E39,'Students (Vertical)'!O:O&lt;&gt;"""",'Students (Vertical)'!P:P&gt;1))},countifs({unique(filter('Students (Vertical)'!O:O,'Students (Vertical)'!C:C=B39,'Students (Vertical)'!O:O&lt;&gt;"""",'Students (Vertical)'!P:P&gt;1));unique(filter('Students (Vertical)'!O:O"&amp;",'Students (Vertical)'!C:C=E39,'Students (Vertical)'!O:O&lt;&gt;"""",'Students (Vertical)'!P:P&gt;1))},{unique(filter('Students (Vertical)'!O:O,'Students (Vertical)'!C:C=B39,'Students (Vertical)'!O:O&lt;&gt;"""",'Students (Vertical)'!P:P&gt;1));unique(filter('Students (Ver"&amp;"tical)'!O:O,'Students (Vertical)'!C:C=E39,'Students (Vertical)'!O:O&lt;&gt;"""",'Students (Vertical)'!P:P&gt;1))})&gt;1))),""""),"""")"),"")</f>
        <v/>
      </c>
      <c r="K39" s="96" t="str">
        <f>IFERROR(__xludf.DUMMYFUNCTION("iferror(join("", "",unique(filter({filter('Students (Vertical)'!D:D,'Students (Vertical)'!C:C=B39,'Students (Vertical)'!D:D&lt;&gt;"""");filter('Students (Vertical)'!D:D,'Students (Vertical)'!C:C=E39,'Students (Vertical)'!D:D&lt;&gt;"""")},countifs({filter('Students "&amp;"(Vertical)'!D:D,'Students (Vertical)'!C:C=B39,'Students (Vertical)'!D:D&lt;&gt;"""");filter('Students (Vertical)'!D:D,'Students (Vertical)'!C:C=E39,'Students (Vertical)'!D:D&lt;&gt;"""")},{filter('Students (Vertical)'!D:D,'Students (Vertical)'!C:C=B39,'Students (Vert"&amp;"ical)'!D:D&lt;&gt;"""");filter('Students (Vertical)'!D:D,'Students (Vertical)'!C:C=E39,'Students (Vertical)'!D:D&lt;&gt;"""")})&gt;1))),"""")"),"Science 7, Math 7, English 7, PE 7, Art 7S1, Tech 7S2")</f>
        <v>Science 7, Math 7, English 7, PE 7, Art 7S1, Tech 7S2</v>
      </c>
      <c r="L39" s="96"/>
      <c r="M39" s="96"/>
    </row>
    <row r="40">
      <c r="A40" s="8">
        <v>39.0</v>
      </c>
      <c r="B40" s="12" t="s">
        <v>256</v>
      </c>
      <c r="C40" s="8">
        <v>29080.0</v>
      </c>
      <c r="D40" s="8">
        <v>8.0</v>
      </c>
      <c r="E40" s="97" t="s">
        <v>257</v>
      </c>
      <c r="F40" s="8">
        <v>29083.0</v>
      </c>
      <c r="G40" s="8">
        <v>8.0</v>
      </c>
      <c r="H40" s="12" t="s">
        <v>212</v>
      </c>
      <c r="I40" s="94" t="str">
        <f>IFERROR(__xludf.DUMMYFUNCTION("if(H40=""Must be Together"",iferror(join("", "",unique(filter({filter('Students (Vertical)'!O:O,'Students (Vertical)'!C:C=B40,'Students (Vertical)'!O:O&lt;&gt;"""");filter('Students (Vertical)'!O:O,'Students (Vertical)'!C:C=E40,'Students (Vertical)'!O:O&lt;&gt;"""")}"&amp;",countifs({filter('Students (Vertical)'!O:O,'Students (Vertical)'!C:C=B40,'Students (Vertical)'!O:O&lt;&gt;"""");filter('Students (Vertical)'!O:O,'Students (Vertical)'!C:C=E40,'Students (Vertical)'!O:O&lt;&gt;"""")},{filter('Students (Vertical)'!O:O,'Students (Vertic"&amp;"al)'!C:C=B40,'Students (Vertical)'!O:O&lt;&gt;"""");filter('Students (Vertical)'!O:O,'Students (Vertical)'!C:C=E40,'Students (Vertical)'!O:O&lt;&gt;"""")})&gt;1))),""No shared courses""),"""")"),"")</f>
        <v/>
      </c>
      <c r="J40" s="94" t="str">
        <f>IFERROR(__xludf.DUMMYFUNCTION("if(H40=""Can't be Together"",iferror(join("", "",unique(filter({unique(filter('Students (Vertical)'!O:O,'Students (Vertical)'!C:C=B40,'Students (Vertical)'!O:O&lt;&gt;"""",'Students (Vertical)'!P:P&gt;1));unique(filter('Students (Vertical)'!O:O,'Students (Vertical"&amp;")'!C:C=E40,'Students (Vertical)'!O:O&lt;&gt;"""",'Students (Vertical)'!P:P&gt;1))},countifs({unique(filter('Students (Vertical)'!O:O,'Students (Vertical)'!C:C=B40,'Students (Vertical)'!O:O&lt;&gt;"""",'Students (Vertical)'!P:P&gt;1));unique(filter('Students (Vertical)'!O:O"&amp;",'Students (Vertical)'!C:C=E40,'Students (Vertical)'!O:O&lt;&gt;"""",'Students (Vertical)'!P:P&gt;1))},{unique(filter('Students (Vertical)'!O:O,'Students (Vertical)'!C:C=B40,'Students (Vertical)'!O:O&lt;&gt;"""",'Students (Vertical)'!P:P&gt;1));unique(filter('Students (Ver"&amp;"tical)'!O:O,'Students (Vertical)'!C:C=E40,'Students (Vertical)'!O:O&lt;&gt;"""",'Students (Vertical)'!P:P&gt;1))})&gt;1))),""""),"""")"),"")</f>
        <v/>
      </c>
      <c r="K40" s="96" t="str">
        <f>IFERROR(__xludf.DUMMYFUNCTION("iferror(join("", "",unique(filter({filter('Students (Vertical)'!D:D,'Students (Vertical)'!C:C=B40,'Students (Vertical)'!D:D&lt;&gt;"""");filter('Students (Vertical)'!D:D,'Students (Vertical)'!C:C=E40,'Students (Vertical)'!D:D&lt;&gt;"""")},countifs({filter('Students "&amp;"(Vertical)'!D:D,'Students (Vertical)'!C:C=B40,'Students (Vertical)'!D:D&lt;&gt;"""");filter('Students (Vertical)'!D:D,'Students (Vertical)'!C:C=E40,'Students (Vertical)'!D:D&lt;&gt;"""")},{filter('Students (Vertical)'!D:D,'Students (Vertical)'!C:C=B40,'Students (Vert"&amp;"ical)'!D:D&lt;&gt;"""");filter('Students (Vertical)'!D:D,'Students (Vertical)'!C:C=E40,'Students (Vertical)'!D:D&lt;&gt;"""")})&gt;1))),"""")"),"Science 8, English 8, Sociales 8, Spanish 8, PE 8, Band 8S1, Band 8S2")</f>
        <v>Science 8, English 8, Sociales 8, Spanish 8, PE 8, Band 8S1, Band 8S2</v>
      </c>
      <c r="L40" s="96"/>
      <c r="M40" s="96"/>
    </row>
    <row r="41" hidden="1">
      <c r="A41" s="8">
        <v>40.0</v>
      </c>
      <c r="B41" s="12" t="s">
        <v>256</v>
      </c>
      <c r="C41" s="8">
        <v>29080.0</v>
      </c>
      <c r="D41" s="8">
        <v>8.0</v>
      </c>
      <c r="E41" s="97" t="s">
        <v>258</v>
      </c>
      <c r="F41" s="8">
        <v>29074.0</v>
      </c>
      <c r="G41" s="8">
        <v>8.0</v>
      </c>
      <c r="H41" s="12" t="s">
        <v>214</v>
      </c>
      <c r="I41" s="94" t="str">
        <f>IFERROR(__xludf.DUMMYFUNCTION("if(H41=""Must be Together"",iferror(join("", "",unique(filter({filter('Students (Vertical)'!O:O,'Students (Vertical)'!C:C=B41,'Students (Vertical)'!O:O&lt;&gt;"""");filter('Students (Vertical)'!O:O,'Students (Vertical)'!C:C=E41,'Students (Vertical)'!O:O&lt;&gt;"""")}"&amp;",countifs({filter('Students (Vertical)'!O:O,'Students (Vertical)'!C:C=B41,'Students (Vertical)'!O:O&lt;&gt;"""");filter('Students (Vertical)'!O:O,'Students (Vertical)'!C:C=E41,'Students (Vertical)'!O:O&lt;&gt;"""")},{filter('Students (Vertical)'!O:O,'Students (Vertic"&amp;"al)'!C:C=B41,'Students (Vertical)'!O:O&lt;&gt;"""");filter('Students (Vertical)'!O:O,'Students (Vertical)'!C:C=E41,'Students (Vertical)'!O:O&lt;&gt;"""")})&gt;1))),""No shared courses""),"""")"),"Science 8-5, Algebra-4, English 8-3, Sociales 8-1, Spanish 8-6, PE 8-2b, Band 8S1-2a, Band 8S2-2a")</f>
        <v>Science 8-5, Algebra-4, English 8-3, Sociales 8-1, Spanish 8-6, PE 8-2b, Band 8S1-2a, Band 8S2-2a</v>
      </c>
      <c r="J41" s="94" t="str">
        <f>IFERROR(__xludf.DUMMYFUNCTION("if(H41=""Can't be Together"",iferror(join("", "",unique(filter({unique(filter('Students (Vertical)'!O:O,'Students (Vertical)'!C:C=B41,'Students (Vertical)'!O:O&lt;&gt;"""",'Students (Vertical)'!P:P&gt;1));unique(filter('Students (Vertical)'!O:O,'Students (Vertical"&amp;")'!C:C=E41,'Students (Vertical)'!O:O&lt;&gt;"""",'Students (Vertical)'!P:P&gt;1))},countifs({unique(filter('Students (Vertical)'!O:O,'Students (Vertical)'!C:C=B41,'Students (Vertical)'!O:O&lt;&gt;"""",'Students (Vertical)'!P:P&gt;1));unique(filter('Students (Vertical)'!O:O"&amp;",'Students (Vertical)'!C:C=E41,'Students (Vertical)'!O:O&lt;&gt;"""",'Students (Vertical)'!P:P&gt;1))},{unique(filter('Students (Vertical)'!O:O,'Students (Vertical)'!C:C=B41,'Students (Vertical)'!O:O&lt;&gt;"""",'Students (Vertical)'!P:P&gt;1));unique(filter('Students (Ver"&amp;"tical)'!O:O,'Students (Vertical)'!C:C=E41,'Students (Vertical)'!O:O&lt;&gt;"""",'Students (Vertical)'!P:P&gt;1))})&gt;1))),""""),"""")"),"")</f>
        <v/>
      </c>
      <c r="K41" s="96" t="str">
        <f>IFERROR(__xludf.DUMMYFUNCTION("iferror(join("", "",unique(filter({filter('Students (Vertical)'!D:D,'Students (Vertical)'!C:C=B41,'Students (Vertical)'!D:D&lt;&gt;"""");filter('Students (Vertical)'!D:D,'Students (Vertical)'!C:C=E41,'Students (Vertical)'!D:D&lt;&gt;"""")},countifs({filter('Students "&amp;"(Vertical)'!D:D,'Students (Vertical)'!C:C=B41,'Students (Vertical)'!D:D&lt;&gt;"""");filter('Students (Vertical)'!D:D,'Students (Vertical)'!C:C=E41,'Students (Vertical)'!D:D&lt;&gt;"""")},{filter('Students (Vertical)'!D:D,'Students (Vertical)'!C:C=B41,'Students (Vert"&amp;"ical)'!D:D&lt;&gt;"""");filter('Students (Vertical)'!D:D,'Students (Vertical)'!C:C=E41,'Students (Vertical)'!D:D&lt;&gt;"""")})&gt;1))),"""")"),"Science 8, Algebra, English 8, Sociales 8, Spanish 8, PE 8, Band 8S1, Band 8S2")</f>
        <v>Science 8, Algebra, English 8, Sociales 8, Spanish 8, PE 8, Band 8S1, Band 8S2</v>
      </c>
      <c r="L41" s="96"/>
      <c r="M41" s="96"/>
    </row>
    <row r="42" hidden="1">
      <c r="A42" s="8">
        <v>41.0</v>
      </c>
      <c r="B42" s="12" t="s">
        <v>256</v>
      </c>
      <c r="C42" s="8">
        <v>29080.0</v>
      </c>
      <c r="D42" s="8">
        <v>8.0</v>
      </c>
      <c r="E42" s="97" t="s">
        <v>259</v>
      </c>
      <c r="F42" s="8">
        <v>29066.0</v>
      </c>
      <c r="G42" s="8">
        <v>8.0</v>
      </c>
      <c r="H42" s="12" t="s">
        <v>214</v>
      </c>
      <c r="I42" s="94" t="str">
        <f>IFERROR(__xludf.DUMMYFUNCTION("if(H42=""Must be Together"",iferror(join("", "",unique(filter({filter('Students (Vertical)'!O:O,'Students (Vertical)'!C:C=B42,'Students (Vertical)'!O:O&lt;&gt;"""");filter('Students (Vertical)'!O:O,'Students (Vertical)'!C:C=E42,'Students (Vertical)'!O:O&lt;&gt;"""")}"&amp;",countifs({filter('Students (Vertical)'!O:O,'Students (Vertical)'!C:C=B42,'Students (Vertical)'!O:O&lt;&gt;"""");filter('Students (Vertical)'!O:O,'Students (Vertical)'!C:C=E42,'Students (Vertical)'!O:O&lt;&gt;"""")},{filter('Students (Vertical)'!O:O,'Students (Vertic"&amp;"al)'!C:C=B42,'Students (Vertical)'!O:O&lt;&gt;"""");filter('Students (Vertical)'!O:O,'Students (Vertical)'!C:C=E42,'Students (Vertical)'!O:O&lt;&gt;"""")})&gt;1))),""No shared courses""),"""")"),"Science 8-5, Algebra-4, English 8-3, Sociales 8-1, Spanish 8-6, PE 8-2b, Band 8S1-2a, Band 8S2-2a")</f>
        <v>Science 8-5, Algebra-4, English 8-3, Sociales 8-1, Spanish 8-6, PE 8-2b, Band 8S1-2a, Band 8S2-2a</v>
      </c>
      <c r="J42" s="94" t="str">
        <f>IFERROR(__xludf.DUMMYFUNCTION("if(H42=""Can't be Together"",iferror(join("", "",unique(filter({unique(filter('Students (Vertical)'!O:O,'Students (Vertical)'!C:C=B42,'Students (Vertical)'!O:O&lt;&gt;"""",'Students (Vertical)'!P:P&gt;1));unique(filter('Students (Vertical)'!O:O,'Students (Vertical"&amp;")'!C:C=E42,'Students (Vertical)'!O:O&lt;&gt;"""",'Students (Vertical)'!P:P&gt;1))},countifs({unique(filter('Students (Vertical)'!O:O,'Students (Vertical)'!C:C=B42,'Students (Vertical)'!O:O&lt;&gt;"""",'Students (Vertical)'!P:P&gt;1));unique(filter('Students (Vertical)'!O:O"&amp;",'Students (Vertical)'!C:C=E42,'Students (Vertical)'!O:O&lt;&gt;"""",'Students (Vertical)'!P:P&gt;1))},{unique(filter('Students (Vertical)'!O:O,'Students (Vertical)'!C:C=B42,'Students (Vertical)'!O:O&lt;&gt;"""",'Students (Vertical)'!P:P&gt;1));unique(filter('Students (Ver"&amp;"tical)'!O:O,'Students (Vertical)'!C:C=E42,'Students (Vertical)'!O:O&lt;&gt;"""",'Students (Vertical)'!P:P&gt;1))})&gt;1))),""""),"""")"),"")</f>
        <v/>
      </c>
      <c r="K42" s="96" t="str">
        <f>IFERROR(__xludf.DUMMYFUNCTION("iferror(join("", "",unique(filter({filter('Students (Vertical)'!D:D,'Students (Vertical)'!C:C=B42,'Students (Vertical)'!D:D&lt;&gt;"""");filter('Students (Vertical)'!D:D,'Students (Vertical)'!C:C=E42,'Students (Vertical)'!D:D&lt;&gt;"""")},countifs({filter('Students "&amp;"(Vertical)'!D:D,'Students (Vertical)'!C:C=B42,'Students (Vertical)'!D:D&lt;&gt;"""");filter('Students (Vertical)'!D:D,'Students (Vertical)'!C:C=E42,'Students (Vertical)'!D:D&lt;&gt;"""")},{filter('Students (Vertical)'!D:D,'Students (Vertical)'!C:C=B42,'Students (Vert"&amp;"ical)'!D:D&lt;&gt;"""");filter('Students (Vertical)'!D:D,'Students (Vertical)'!C:C=E42,'Students (Vertical)'!D:D&lt;&gt;"""")})&gt;1))),"""")"),"Science 8, Algebra, English 8, Sociales 8, Spanish 8, PE 8, Band 8S1, Band 8S2")</f>
        <v>Science 8, Algebra, English 8, Sociales 8, Spanish 8, PE 8, Band 8S1, Band 8S2</v>
      </c>
      <c r="L42" s="96"/>
      <c r="M42" s="96"/>
    </row>
    <row r="43" hidden="1">
      <c r="A43" s="8">
        <v>42.0</v>
      </c>
      <c r="B43" s="12" t="s">
        <v>256</v>
      </c>
      <c r="C43" s="8">
        <v>29080.0</v>
      </c>
      <c r="D43" s="8">
        <v>8.0</v>
      </c>
      <c r="E43" s="97" t="s">
        <v>260</v>
      </c>
      <c r="F43" s="8">
        <v>29023.0</v>
      </c>
      <c r="G43" s="8">
        <v>8.0</v>
      </c>
      <c r="H43" s="12" t="s">
        <v>214</v>
      </c>
      <c r="I43" s="94" t="str">
        <f>IFERROR(__xludf.DUMMYFUNCTION("if(H43=""Must be Together"",iferror(join("", "",unique(filter({filter('Students (Vertical)'!O:O,'Students (Vertical)'!C:C=B43,'Students (Vertical)'!O:O&lt;&gt;"""");filter('Students (Vertical)'!O:O,'Students (Vertical)'!C:C=E43,'Students (Vertical)'!O:O&lt;&gt;"""")}"&amp;",countifs({filter('Students (Vertical)'!O:O,'Students (Vertical)'!C:C=B43,'Students (Vertical)'!O:O&lt;&gt;"""");filter('Students (Vertical)'!O:O,'Students (Vertical)'!C:C=E43,'Students (Vertical)'!O:O&lt;&gt;"""")},{filter('Students (Vertical)'!O:O,'Students (Vertic"&amp;"al)'!C:C=B43,'Students (Vertical)'!O:O&lt;&gt;"""");filter('Students (Vertical)'!O:O,'Students (Vertical)'!C:C=E43,'Students (Vertical)'!O:O&lt;&gt;"""")})&gt;1))),""No shared courses""),"""")"),"Science 8-5, Sociales 8-1, Spanish 8-6")</f>
        <v>Science 8-5, Sociales 8-1, Spanish 8-6</v>
      </c>
      <c r="J43" s="94" t="str">
        <f>IFERROR(__xludf.DUMMYFUNCTION("if(H43=""Can't be Together"",iferror(join("", "",unique(filter({unique(filter('Students (Vertical)'!O:O,'Students (Vertical)'!C:C=B43,'Students (Vertical)'!O:O&lt;&gt;"""",'Students (Vertical)'!P:P&gt;1));unique(filter('Students (Vertical)'!O:O,'Students (Vertical"&amp;")'!C:C=E43,'Students (Vertical)'!O:O&lt;&gt;"""",'Students (Vertical)'!P:P&gt;1))},countifs({unique(filter('Students (Vertical)'!O:O,'Students (Vertical)'!C:C=B43,'Students (Vertical)'!O:O&lt;&gt;"""",'Students (Vertical)'!P:P&gt;1));unique(filter('Students (Vertical)'!O:O"&amp;",'Students (Vertical)'!C:C=E43,'Students (Vertical)'!O:O&lt;&gt;"""",'Students (Vertical)'!P:P&gt;1))},{unique(filter('Students (Vertical)'!O:O,'Students (Vertical)'!C:C=B43,'Students (Vertical)'!O:O&lt;&gt;"""",'Students (Vertical)'!P:P&gt;1));unique(filter('Students (Ver"&amp;"tical)'!O:O,'Students (Vertical)'!C:C=E43,'Students (Vertical)'!O:O&lt;&gt;"""",'Students (Vertical)'!P:P&gt;1))})&gt;1))),""""),"""")"),"")</f>
        <v/>
      </c>
      <c r="K43" s="96" t="str">
        <f>IFERROR(__xludf.DUMMYFUNCTION("iferror(join("", "",unique(filter({filter('Students (Vertical)'!D:D,'Students (Vertical)'!C:C=B43,'Students (Vertical)'!D:D&lt;&gt;"""");filter('Students (Vertical)'!D:D,'Students (Vertical)'!C:C=E43,'Students (Vertical)'!D:D&lt;&gt;"""")},countifs({filter('Students "&amp;"(Vertical)'!D:D,'Students (Vertical)'!C:C=B43,'Students (Vertical)'!D:D&lt;&gt;"""");filter('Students (Vertical)'!D:D,'Students (Vertical)'!C:C=E43,'Students (Vertical)'!D:D&lt;&gt;"""")},{filter('Students (Vertical)'!D:D,'Students (Vertical)'!C:C=B43,'Students (Vert"&amp;"ical)'!D:D&lt;&gt;"""");filter('Students (Vertical)'!D:D,'Students (Vertical)'!C:C=E43,'Students (Vertical)'!D:D&lt;&gt;"""")})&gt;1))),"""")"),"Science 8, Algebra, English 8, Sociales 8, Spanish 8, PE 8")</f>
        <v>Science 8, Algebra, English 8, Sociales 8, Spanish 8, PE 8</v>
      </c>
      <c r="L43" s="96"/>
      <c r="M43" s="96"/>
    </row>
    <row r="44">
      <c r="A44" s="8">
        <v>43.0</v>
      </c>
      <c r="B44" s="12" t="s">
        <v>261</v>
      </c>
      <c r="C44" s="8">
        <v>29007.0</v>
      </c>
      <c r="D44" s="8">
        <v>8.0</v>
      </c>
      <c r="E44" s="12" t="s">
        <v>262</v>
      </c>
      <c r="F44" s="8">
        <v>29122.0</v>
      </c>
      <c r="G44" s="8">
        <v>8.0</v>
      </c>
      <c r="H44" s="12" t="s">
        <v>212</v>
      </c>
      <c r="I44" s="94" t="str">
        <f>IFERROR(__xludf.DUMMYFUNCTION("if(H44=""Must be Together"",iferror(join("", "",unique(filter({filter('Students (Vertical)'!O:O,'Students (Vertical)'!C:C=B44,'Students (Vertical)'!O:O&lt;&gt;"""");filter('Students (Vertical)'!O:O,'Students (Vertical)'!C:C=E44,'Students (Vertical)'!O:O&lt;&gt;"""")}"&amp;",countifs({filter('Students (Vertical)'!O:O,'Students (Vertical)'!C:C=B44,'Students (Vertical)'!O:O&lt;&gt;"""");filter('Students (Vertical)'!O:O,'Students (Vertical)'!C:C=E44,'Students (Vertical)'!O:O&lt;&gt;"""")},{filter('Students (Vertical)'!O:O,'Students (Vertic"&amp;"al)'!C:C=B44,'Students (Vertical)'!O:O&lt;&gt;"""");filter('Students (Vertical)'!O:O,'Students (Vertical)'!C:C=E44,'Students (Vertical)'!O:O&lt;&gt;"""")})&gt;1))),""No shared courses""),"""")"),"")</f>
        <v/>
      </c>
      <c r="J44" s="94" t="str">
        <f>IFERROR(__xludf.DUMMYFUNCTION("if(H44=""Can't be Together"",iferror(join("", "",unique(filter({unique(filter('Students (Vertical)'!O:O,'Students (Vertical)'!C:C=B44,'Students (Vertical)'!O:O&lt;&gt;"""",'Students (Vertical)'!P:P&gt;1));unique(filter('Students (Vertical)'!O:O,'Students (Vertical"&amp;")'!C:C=E44,'Students (Vertical)'!O:O&lt;&gt;"""",'Students (Vertical)'!P:P&gt;1))},countifs({unique(filter('Students (Vertical)'!O:O,'Students (Vertical)'!C:C=B44,'Students (Vertical)'!O:O&lt;&gt;"""",'Students (Vertical)'!P:P&gt;1));unique(filter('Students (Vertical)'!O:O"&amp;",'Students (Vertical)'!C:C=E44,'Students (Vertical)'!O:O&lt;&gt;"""",'Students (Vertical)'!P:P&gt;1))},{unique(filter('Students (Vertical)'!O:O,'Students (Vertical)'!C:C=B44,'Students (Vertical)'!O:O&lt;&gt;"""",'Students (Vertical)'!P:P&gt;1));unique(filter('Students (Ver"&amp;"tical)'!O:O,'Students (Vertical)'!C:C=E44,'Students (Vertical)'!O:O&lt;&gt;"""",'Students (Vertical)'!P:P&gt;1))})&gt;1))),""""),"""")"),"")</f>
        <v/>
      </c>
      <c r="K44" s="96" t="str">
        <f>IFERROR(__xludf.DUMMYFUNCTION("iferror(join("", "",unique(filter({filter('Students (Vertical)'!D:D,'Students (Vertical)'!C:C=B44,'Students (Vertical)'!D:D&lt;&gt;"""");filter('Students (Vertical)'!D:D,'Students (Vertical)'!C:C=E44,'Students (Vertical)'!D:D&lt;&gt;"""")},countifs({filter('Students "&amp;"(Vertical)'!D:D,'Students (Vertical)'!C:C=B44,'Students (Vertical)'!D:D&lt;&gt;"""");filter('Students (Vertical)'!D:D,'Students (Vertical)'!C:C=E44,'Students (Vertical)'!D:D&lt;&gt;"""")},{filter('Students (Vertical)'!D:D,'Students (Vertical)'!C:C=B44,'Students (Vert"&amp;"ical)'!D:D&lt;&gt;"""");filter('Students (Vertical)'!D:D,'Students (Vertical)'!C:C=E44,'Students (Vertical)'!D:D&lt;&gt;"""")})&gt;1))),"""")"),"Science 8, Math 8, English 8, Sociales 8, Spanish 8, PE 8")</f>
        <v>Science 8, Math 8, English 8, Sociales 8, Spanish 8, PE 8</v>
      </c>
      <c r="L44" s="96"/>
      <c r="M44" s="96"/>
    </row>
    <row r="45">
      <c r="A45" s="8">
        <v>44.0</v>
      </c>
      <c r="B45" s="12" t="s">
        <v>261</v>
      </c>
      <c r="C45" s="8">
        <v>29007.0</v>
      </c>
      <c r="D45" s="8">
        <v>8.0</v>
      </c>
      <c r="E45" s="12" t="s">
        <v>263</v>
      </c>
      <c r="F45" s="8">
        <v>29126.0</v>
      </c>
      <c r="G45" s="8">
        <v>8.0</v>
      </c>
      <c r="H45" s="12" t="s">
        <v>212</v>
      </c>
      <c r="I45" s="94" t="str">
        <f>IFERROR(__xludf.DUMMYFUNCTION("if(H45=""Must be Together"",iferror(join("", "",unique(filter({filter('Students (Vertical)'!O:O,'Students (Vertical)'!C:C=B45,'Students (Vertical)'!O:O&lt;&gt;"""");filter('Students (Vertical)'!O:O,'Students (Vertical)'!C:C=E45,'Students (Vertical)'!O:O&lt;&gt;"""")}"&amp;",countifs({filter('Students (Vertical)'!O:O,'Students (Vertical)'!C:C=B45,'Students (Vertical)'!O:O&lt;&gt;"""");filter('Students (Vertical)'!O:O,'Students (Vertical)'!C:C=E45,'Students (Vertical)'!O:O&lt;&gt;"""")},{filter('Students (Vertical)'!O:O,'Students (Vertic"&amp;"al)'!C:C=B45,'Students (Vertical)'!O:O&lt;&gt;"""");filter('Students (Vertical)'!O:O,'Students (Vertical)'!C:C=E45,'Students (Vertical)'!O:O&lt;&gt;"""")})&gt;1))),""No shared courses""),"""")"),"")</f>
        <v/>
      </c>
      <c r="J45" s="94" t="str">
        <f>IFERROR(__xludf.DUMMYFUNCTION("if(H45=""Can't be Together"",iferror(join("", "",unique(filter({unique(filter('Students (Vertical)'!O:O,'Students (Vertical)'!C:C=B45,'Students (Vertical)'!O:O&lt;&gt;"""",'Students (Vertical)'!P:P&gt;1));unique(filter('Students (Vertical)'!O:O,'Students (Vertical"&amp;")'!C:C=E45,'Students (Vertical)'!O:O&lt;&gt;"""",'Students (Vertical)'!P:P&gt;1))},countifs({unique(filter('Students (Vertical)'!O:O,'Students (Vertical)'!C:C=B45,'Students (Vertical)'!O:O&lt;&gt;"""",'Students (Vertical)'!P:P&gt;1));unique(filter('Students (Vertical)'!O:O"&amp;",'Students (Vertical)'!C:C=E45,'Students (Vertical)'!O:O&lt;&gt;"""",'Students (Vertical)'!P:P&gt;1))},{unique(filter('Students (Vertical)'!O:O,'Students (Vertical)'!C:C=B45,'Students (Vertical)'!O:O&lt;&gt;"""",'Students (Vertical)'!P:P&gt;1));unique(filter('Students (Ver"&amp;"tical)'!O:O,'Students (Vertical)'!C:C=E45,'Students (Vertical)'!O:O&lt;&gt;"""",'Students (Vertical)'!P:P&gt;1))})&gt;1))),""""),"""")"),"Math 8-6")</f>
        <v>Math 8-6</v>
      </c>
      <c r="K45" s="96" t="str">
        <f>IFERROR(__xludf.DUMMYFUNCTION("iferror(join("", "",unique(filter({filter('Students (Vertical)'!D:D,'Students (Vertical)'!C:C=B45,'Students (Vertical)'!D:D&lt;&gt;"""");filter('Students (Vertical)'!D:D,'Students (Vertical)'!C:C=E45,'Students (Vertical)'!D:D&lt;&gt;"""")},countifs({filter('Students "&amp;"(Vertical)'!D:D,'Students (Vertical)'!C:C=B45,'Students (Vertical)'!D:D&lt;&gt;"""");filter('Students (Vertical)'!D:D,'Students (Vertical)'!C:C=E45,'Students (Vertical)'!D:D&lt;&gt;"""")},{filter('Students (Vertical)'!D:D,'Students (Vertical)'!C:C=B45,'Students (Vert"&amp;"ical)'!D:D&lt;&gt;"""");filter('Students (Vertical)'!D:D,'Students (Vertical)'!C:C=E45,'Students (Vertical)'!D:D&lt;&gt;"""")})&gt;1))),"""")"),"Science 8, Math 8, English 8, Sociales 8, Spanish 8, PE 8")</f>
        <v>Science 8, Math 8, English 8, Sociales 8, Spanish 8, PE 8</v>
      </c>
      <c r="L45" s="96"/>
      <c r="M45" s="96"/>
    </row>
    <row r="46">
      <c r="A46" s="8">
        <v>45.0</v>
      </c>
      <c r="B46" s="12" t="s">
        <v>263</v>
      </c>
      <c r="C46" s="8">
        <v>29126.0</v>
      </c>
      <c r="D46" s="8">
        <v>8.0</v>
      </c>
      <c r="E46" s="12" t="s">
        <v>262</v>
      </c>
      <c r="F46" s="8">
        <v>29122.0</v>
      </c>
      <c r="G46" s="8">
        <v>8.0</v>
      </c>
      <c r="H46" s="12" t="s">
        <v>212</v>
      </c>
      <c r="I46" s="94" t="str">
        <f>IFERROR(__xludf.DUMMYFUNCTION("if(H46=""Must be Together"",iferror(join("", "",unique(filter({filter('Students (Vertical)'!O:O,'Students (Vertical)'!C:C=B46,'Students (Vertical)'!O:O&lt;&gt;"""");filter('Students (Vertical)'!O:O,'Students (Vertical)'!C:C=E46,'Students (Vertical)'!O:O&lt;&gt;"""")}"&amp;",countifs({filter('Students (Vertical)'!O:O,'Students (Vertical)'!C:C=B46,'Students (Vertical)'!O:O&lt;&gt;"""");filter('Students (Vertical)'!O:O,'Students (Vertical)'!C:C=E46,'Students (Vertical)'!O:O&lt;&gt;"""")},{filter('Students (Vertical)'!O:O,'Students (Vertic"&amp;"al)'!C:C=B46,'Students (Vertical)'!O:O&lt;&gt;"""");filter('Students (Vertical)'!O:O,'Students (Vertical)'!C:C=E46,'Students (Vertical)'!O:O&lt;&gt;"""")})&gt;1))),""No shared courses""),"""")"),"")</f>
        <v/>
      </c>
      <c r="J46" s="94" t="str">
        <f>IFERROR(__xludf.DUMMYFUNCTION("if(H46=""Can't be Together"",iferror(join("", "",unique(filter({unique(filter('Students (Vertical)'!O:O,'Students (Vertical)'!C:C=B46,'Students (Vertical)'!O:O&lt;&gt;"""",'Students (Vertical)'!P:P&gt;1));unique(filter('Students (Vertical)'!O:O,'Students (Vertical"&amp;")'!C:C=E46,'Students (Vertical)'!O:O&lt;&gt;"""",'Students (Vertical)'!P:P&gt;1))},countifs({unique(filter('Students (Vertical)'!O:O,'Students (Vertical)'!C:C=B46,'Students (Vertical)'!O:O&lt;&gt;"""",'Students (Vertical)'!P:P&gt;1));unique(filter('Students (Vertical)'!O:O"&amp;",'Students (Vertical)'!C:C=E46,'Students (Vertical)'!O:O&lt;&gt;"""",'Students (Vertical)'!P:P&gt;1))},{unique(filter('Students (Vertical)'!O:O,'Students (Vertical)'!C:C=B46,'Students (Vertical)'!O:O&lt;&gt;"""",'Students (Vertical)'!P:P&gt;1));unique(filter('Students (Ver"&amp;"tical)'!O:O,'Students (Vertical)'!C:C=E46,'Students (Vertical)'!O:O&lt;&gt;"""",'Students (Vertical)'!P:P&gt;1))})&gt;1))),""""),"""")"),"PE 8-5b")</f>
        <v>PE 8-5b</v>
      </c>
      <c r="K46" s="96" t="str">
        <f>IFERROR(__xludf.DUMMYFUNCTION("iferror(join("", "",unique(filter({filter('Students (Vertical)'!D:D,'Students (Vertical)'!C:C=B46,'Students (Vertical)'!D:D&lt;&gt;"""");filter('Students (Vertical)'!D:D,'Students (Vertical)'!C:C=E46,'Students (Vertical)'!D:D&lt;&gt;"""")},countifs({filter('Students "&amp;"(Vertical)'!D:D,'Students (Vertical)'!C:C=B46,'Students (Vertical)'!D:D&lt;&gt;"""");filter('Students (Vertical)'!D:D,'Students (Vertical)'!C:C=E46,'Students (Vertical)'!D:D&lt;&gt;"""")},{filter('Students (Vertical)'!D:D,'Students (Vertical)'!C:C=B46,'Students (Vert"&amp;"ical)'!D:D&lt;&gt;"""");filter('Students (Vertical)'!D:D,'Students (Vertical)'!C:C=E46,'Students (Vertical)'!D:D&lt;&gt;"""")})&gt;1))),"""")"),"Science 8, Math 8, English 8, Sociales 8, Spanish 8, PE 8")</f>
        <v>Science 8, Math 8, English 8, Sociales 8, Spanish 8, PE 8</v>
      </c>
      <c r="L46" s="96"/>
      <c r="M46" s="96"/>
    </row>
    <row r="47" hidden="1">
      <c r="A47" s="8">
        <v>46.0</v>
      </c>
      <c r="B47" s="12" t="s">
        <v>263</v>
      </c>
      <c r="C47" s="8">
        <v>29126.0</v>
      </c>
      <c r="D47" s="8">
        <v>8.0</v>
      </c>
      <c r="E47" s="12" t="s">
        <v>264</v>
      </c>
      <c r="F47" s="8">
        <v>29018.0</v>
      </c>
      <c r="G47" s="8">
        <v>8.0</v>
      </c>
      <c r="H47" s="12" t="s">
        <v>214</v>
      </c>
      <c r="I47" s="94" t="str">
        <f>IFERROR(__xludf.DUMMYFUNCTION("if(H47=""Must be Together"",iferror(join("", "",unique(filter({filter('Students (Vertical)'!O:O,'Students (Vertical)'!C:C=B47,'Students (Vertical)'!O:O&lt;&gt;"""");filter('Students (Vertical)'!O:O,'Students (Vertical)'!C:C=E47,'Students (Vertical)'!O:O&lt;&gt;"""")}"&amp;",countifs({filter('Students (Vertical)'!O:O,'Students (Vertical)'!C:C=B47,'Students (Vertical)'!O:O&lt;&gt;"""");filter('Students (Vertical)'!O:O,'Students (Vertical)'!C:C=E47,'Students (Vertical)'!O:O&lt;&gt;"""")},{filter('Students (Vertical)'!O:O,'Students (Vertic"&amp;"al)'!C:C=B47,'Students (Vertical)'!O:O&lt;&gt;"""");filter('Students (Vertical)'!O:O,'Students (Vertical)'!C:C=E47,'Students (Vertical)'!O:O&lt;&gt;"""")})&gt;1))),""No shared courses""),"""")"),"Science 8-3, Math 8-6, English 8-1, Sociales 8-2, Spanish 8-4")</f>
        <v>Science 8-3, Math 8-6, English 8-1, Sociales 8-2, Spanish 8-4</v>
      </c>
      <c r="J47" s="94" t="str">
        <f>IFERROR(__xludf.DUMMYFUNCTION("if(H47=""Can't be Together"",iferror(join("", "",unique(filter({unique(filter('Students (Vertical)'!O:O,'Students (Vertical)'!C:C=B47,'Students (Vertical)'!O:O&lt;&gt;"""",'Students (Vertical)'!P:P&gt;1));unique(filter('Students (Vertical)'!O:O,'Students (Vertical"&amp;")'!C:C=E47,'Students (Vertical)'!O:O&lt;&gt;"""",'Students (Vertical)'!P:P&gt;1))},countifs({unique(filter('Students (Vertical)'!O:O,'Students (Vertical)'!C:C=B47,'Students (Vertical)'!O:O&lt;&gt;"""",'Students (Vertical)'!P:P&gt;1));unique(filter('Students (Vertical)'!O:O"&amp;",'Students (Vertical)'!C:C=E47,'Students (Vertical)'!O:O&lt;&gt;"""",'Students (Vertical)'!P:P&gt;1))},{unique(filter('Students (Vertical)'!O:O,'Students (Vertical)'!C:C=B47,'Students (Vertical)'!O:O&lt;&gt;"""",'Students (Vertical)'!P:P&gt;1));unique(filter('Students (Ver"&amp;"tical)'!O:O,'Students (Vertical)'!C:C=E47,'Students (Vertical)'!O:O&lt;&gt;"""",'Students (Vertical)'!P:P&gt;1))})&gt;1))),""""),"""")"),"")</f>
        <v/>
      </c>
      <c r="K47" s="96" t="str">
        <f>IFERROR(__xludf.DUMMYFUNCTION("iferror(join("", "",unique(filter({filter('Students (Vertical)'!D:D,'Students (Vertical)'!C:C=B47,'Students (Vertical)'!D:D&lt;&gt;"""");filter('Students (Vertical)'!D:D,'Students (Vertical)'!C:C=E47,'Students (Vertical)'!D:D&lt;&gt;"""")},countifs({filter('Students "&amp;"(Vertical)'!D:D,'Students (Vertical)'!C:C=B47,'Students (Vertical)'!D:D&lt;&gt;"""");filter('Students (Vertical)'!D:D,'Students (Vertical)'!C:C=E47,'Students (Vertical)'!D:D&lt;&gt;"""")},{filter('Students (Vertical)'!D:D,'Students (Vertical)'!C:C=B47,'Students (Vert"&amp;"ical)'!D:D&lt;&gt;"""");filter('Students (Vertical)'!D:D,'Students (Vertical)'!C:C=E47,'Students (Vertical)'!D:D&lt;&gt;"""")})&gt;1))),"""")"),"Science 8, Math 8, English 8, Sociales 8, Spanish 8, PE 8")</f>
        <v>Science 8, Math 8, English 8, Sociales 8, Spanish 8, PE 8</v>
      </c>
      <c r="L47" s="96"/>
      <c r="M47" s="96"/>
    </row>
    <row r="48">
      <c r="A48" s="8">
        <v>47.0</v>
      </c>
      <c r="B48" s="12" t="s">
        <v>265</v>
      </c>
      <c r="C48" s="8">
        <v>28087.0</v>
      </c>
      <c r="D48" s="8">
        <v>8.0</v>
      </c>
      <c r="E48" s="12" t="s">
        <v>266</v>
      </c>
      <c r="F48" s="8">
        <v>29049.0</v>
      </c>
      <c r="G48" s="8">
        <v>8.0</v>
      </c>
      <c r="H48" s="12" t="s">
        <v>212</v>
      </c>
      <c r="I48" s="94" t="str">
        <f>IFERROR(__xludf.DUMMYFUNCTION("if(H48=""Must be Together"",iferror(join("", "",unique(filter({filter('Students (Vertical)'!O:O,'Students (Vertical)'!C:C=B48,'Students (Vertical)'!O:O&lt;&gt;"""");filter('Students (Vertical)'!O:O,'Students (Vertical)'!C:C=E48,'Students (Vertical)'!O:O&lt;&gt;"""")}"&amp;",countifs({filter('Students (Vertical)'!O:O,'Students (Vertical)'!C:C=B48,'Students (Vertical)'!O:O&lt;&gt;"""");filter('Students (Vertical)'!O:O,'Students (Vertical)'!C:C=E48,'Students (Vertical)'!O:O&lt;&gt;"""")},{filter('Students (Vertical)'!O:O,'Students (Vertic"&amp;"al)'!C:C=B48,'Students (Vertical)'!O:O&lt;&gt;"""");filter('Students (Vertical)'!O:O,'Students (Vertical)'!C:C=E48,'Students (Vertical)'!O:O&lt;&gt;"""")})&gt;1))),""No shared courses""),"""")"),"")</f>
        <v/>
      </c>
      <c r="J48" s="94" t="str">
        <f>IFERROR(__xludf.DUMMYFUNCTION("if(H48=""Can't be Together"",iferror(join("", "",unique(filter({unique(filter('Students (Vertical)'!O:O,'Students (Vertical)'!C:C=B48,'Students (Vertical)'!O:O&lt;&gt;"""",'Students (Vertical)'!P:P&gt;1));unique(filter('Students (Vertical)'!O:O,'Students (Vertical"&amp;")'!C:C=E48,'Students (Vertical)'!O:O&lt;&gt;"""",'Students (Vertical)'!P:P&gt;1))},countifs({unique(filter('Students (Vertical)'!O:O,'Students (Vertical)'!C:C=B48,'Students (Vertical)'!O:O&lt;&gt;"""",'Students (Vertical)'!P:P&gt;1));unique(filter('Students (Vertical)'!O:O"&amp;",'Students (Vertical)'!C:C=E48,'Students (Vertical)'!O:O&lt;&gt;"""",'Students (Vertical)'!P:P&gt;1))},{unique(filter('Students (Vertical)'!O:O,'Students (Vertical)'!C:C=B48,'Students (Vertical)'!O:O&lt;&gt;"""",'Students (Vertical)'!P:P&gt;1));unique(filter('Students (Ver"&amp;"tical)'!O:O,'Students (Vertical)'!C:C=E48,'Students (Vertical)'!O:O&lt;&gt;"""",'Students (Vertical)'!P:P&gt;1))})&gt;1))),""""),"""")"),"")</f>
        <v/>
      </c>
      <c r="K48" s="96" t="str">
        <f>IFERROR(__xludf.DUMMYFUNCTION("iferror(join("", "",unique(filter({filter('Students (Vertical)'!D:D,'Students (Vertical)'!C:C=B48,'Students (Vertical)'!D:D&lt;&gt;"""");filter('Students (Vertical)'!D:D,'Students (Vertical)'!C:C=E48,'Students (Vertical)'!D:D&lt;&gt;"""")},countifs({filter('Students "&amp;"(Vertical)'!D:D,'Students (Vertical)'!C:C=B48,'Students (Vertical)'!D:D&lt;&gt;"""");filter('Students (Vertical)'!D:D,'Students (Vertical)'!C:C=E48,'Students (Vertical)'!D:D&lt;&gt;"""")},{filter('Students (Vertical)'!D:D,'Students (Vertical)'!C:C=B48,'Students (Vert"&amp;"ical)'!D:D&lt;&gt;"""");filter('Students (Vertical)'!D:D,'Students (Vertical)'!C:C=E48,'Students (Vertical)'!D:D&lt;&gt;"""")})&gt;1))),"""")"),"Science 8, Math 8A, Sociales 8, Spanish 8, PE 8, Band 8S1, Band 8S2")</f>
        <v>Science 8, Math 8A, Sociales 8, Spanish 8, PE 8, Band 8S1, Band 8S2</v>
      </c>
      <c r="L48" s="96"/>
      <c r="M48" s="96"/>
    </row>
    <row r="49">
      <c r="A49" s="8">
        <v>48.0</v>
      </c>
      <c r="B49" s="12" t="s">
        <v>265</v>
      </c>
      <c r="C49" s="8">
        <v>28087.0</v>
      </c>
      <c r="D49" s="8">
        <v>8.0</v>
      </c>
      <c r="E49" s="12" t="s">
        <v>267</v>
      </c>
      <c r="F49" s="8">
        <v>29050.0</v>
      </c>
      <c r="G49" s="8">
        <v>8.0</v>
      </c>
      <c r="H49" s="12" t="s">
        <v>212</v>
      </c>
      <c r="I49" s="94" t="str">
        <f>IFERROR(__xludf.DUMMYFUNCTION("if(H49=""Must be Together"",iferror(join("", "",unique(filter({filter('Students (Vertical)'!O:O,'Students (Vertical)'!C:C=B49,'Students (Vertical)'!O:O&lt;&gt;"""");filter('Students (Vertical)'!O:O,'Students (Vertical)'!C:C=E49,'Students (Vertical)'!O:O&lt;&gt;"""")}"&amp;",countifs({filter('Students (Vertical)'!O:O,'Students (Vertical)'!C:C=B49,'Students (Vertical)'!O:O&lt;&gt;"""");filter('Students (Vertical)'!O:O,'Students (Vertical)'!C:C=E49,'Students (Vertical)'!O:O&lt;&gt;"""")},{filter('Students (Vertical)'!O:O,'Students (Vertic"&amp;"al)'!C:C=B49,'Students (Vertical)'!O:O&lt;&gt;"""");filter('Students (Vertical)'!O:O,'Students (Vertical)'!C:C=E49,'Students (Vertical)'!O:O&lt;&gt;"""")})&gt;1))),""No shared courses""),"""")"),"")</f>
        <v/>
      </c>
      <c r="J49" s="94" t="str">
        <f>IFERROR(__xludf.DUMMYFUNCTION("if(H49=""Can't be Together"",iferror(join("", "",unique(filter({unique(filter('Students (Vertical)'!O:O,'Students (Vertical)'!C:C=B49,'Students (Vertical)'!O:O&lt;&gt;"""",'Students (Vertical)'!P:P&gt;1));unique(filter('Students (Vertical)'!O:O,'Students (Vertical"&amp;")'!C:C=E49,'Students (Vertical)'!O:O&lt;&gt;"""",'Students (Vertical)'!P:P&gt;1))},countifs({unique(filter('Students (Vertical)'!O:O,'Students (Vertical)'!C:C=B49,'Students (Vertical)'!O:O&lt;&gt;"""",'Students (Vertical)'!P:P&gt;1));unique(filter('Students (Vertical)'!O:O"&amp;",'Students (Vertical)'!C:C=E49,'Students (Vertical)'!O:O&lt;&gt;"""",'Students (Vertical)'!P:P&gt;1))},{unique(filter('Students (Vertical)'!O:O,'Students (Vertical)'!C:C=B49,'Students (Vertical)'!O:O&lt;&gt;"""",'Students (Vertical)'!P:P&gt;1));unique(filter('Students (Ver"&amp;"tical)'!O:O,'Students (Vertical)'!C:C=E49,'Students (Vertical)'!O:O&lt;&gt;"""",'Students (Vertical)'!P:P&gt;1))})&gt;1))),""""),"""")"),"Science 8-3, Spanish 8-4, PE 8-5a")</f>
        <v>Science 8-3, Spanish 8-4, PE 8-5a</v>
      </c>
      <c r="K49" s="96" t="str">
        <f>IFERROR(__xludf.DUMMYFUNCTION("iferror(join("", "",unique(filter({filter('Students (Vertical)'!D:D,'Students (Vertical)'!C:C=B49,'Students (Vertical)'!D:D&lt;&gt;"""");filter('Students (Vertical)'!D:D,'Students (Vertical)'!C:C=E49,'Students (Vertical)'!D:D&lt;&gt;"""")},countifs({filter('Students "&amp;"(Vertical)'!D:D,'Students (Vertical)'!C:C=B49,'Students (Vertical)'!D:D&lt;&gt;"""");filter('Students (Vertical)'!D:D,'Students (Vertical)'!C:C=E49,'Students (Vertical)'!D:D&lt;&gt;"""")},{filter('Students (Vertical)'!D:D,'Students (Vertical)'!C:C=B49,'Students (Vert"&amp;"ical)'!D:D&lt;&gt;"""");filter('Students (Vertical)'!D:D,'Students (Vertical)'!C:C=E49,'Students (Vertical)'!D:D&lt;&gt;"""")})&gt;1))),"""")"),"Science 8, Math 8A, English 8A, Sociales 8, Spanish 8, PE 8, Band 8S1, Band 8S2")</f>
        <v>Science 8, Math 8A, English 8A, Sociales 8, Spanish 8, PE 8, Band 8S1, Band 8S2</v>
      </c>
      <c r="L49" s="96"/>
      <c r="M49" s="96"/>
    </row>
    <row r="50">
      <c r="A50" s="8">
        <v>49.0</v>
      </c>
      <c r="B50" s="12" t="s">
        <v>265</v>
      </c>
      <c r="C50" s="8">
        <v>28087.0</v>
      </c>
      <c r="D50" s="8">
        <v>8.0</v>
      </c>
      <c r="E50" s="12" t="s">
        <v>268</v>
      </c>
      <c r="F50" s="8">
        <v>28032.0</v>
      </c>
      <c r="G50" s="8">
        <v>8.0</v>
      </c>
      <c r="H50" s="12" t="s">
        <v>212</v>
      </c>
      <c r="I50" s="94" t="str">
        <f>IFERROR(__xludf.DUMMYFUNCTION("if(H50=""Must be Together"",iferror(join("", "",unique(filter({filter('Students (Vertical)'!O:O,'Students (Vertical)'!C:C=B50,'Students (Vertical)'!O:O&lt;&gt;"""");filter('Students (Vertical)'!O:O,'Students (Vertical)'!C:C=E50,'Students (Vertical)'!O:O&lt;&gt;"""")}"&amp;",countifs({filter('Students (Vertical)'!O:O,'Students (Vertical)'!C:C=B50,'Students (Vertical)'!O:O&lt;&gt;"""");filter('Students (Vertical)'!O:O,'Students (Vertical)'!C:C=E50,'Students (Vertical)'!O:O&lt;&gt;"""")},{filter('Students (Vertical)'!O:O,'Students (Vertic"&amp;"al)'!C:C=B50,'Students (Vertical)'!O:O&lt;&gt;"""");filter('Students (Vertical)'!O:O,'Students (Vertical)'!C:C=E50,'Students (Vertical)'!O:O&lt;&gt;"""")})&gt;1))),""No shared courses""),"""")"),"")</f>
        <v/>
      </c>
      <c r="J50" s="94" t="str">
        <f>IFERROR(__xludf.DUMMYFUNCTION("if(H50=""Can't be Together"",iferror(join("", "",unique(filter({unique(filter('Students (Vertical)'!O:O,'Students (Vertical)'!C:C=B50,'Students (Vertical)'!O:O&lt;&gt;"""",'Students (Vertical)'!P:P&gt;1));unique(filter('Students (Vertical)'!O:O,'Students (Vertical"&amp;")'!C:C=E50,'Students (Vertical)'!O:O&lt;&gt;"""",'Students (Vertical)'!P:P&gt;1))},countifs({unique(filter('Students (Vertical)'!O:O,'Students (Vertical)'!C:C=B50,'Students (Vertical)'!O:O&lt;&gt;"""",'Students (Vertical)'!P:P&gt;1));unique(filter('Students (Vertical)'!O:O"&amp;",'Students (Vertical)'!C:C=E50,'Students (Vertical)'!O:O&lt;&gt;"""",'Students (Vertical)'!P:P&gt;1))},{unique(filter('Students (Vertical)'!O:O,'Students (Vertical)'!C:C=B50,'Students (Vertical)'!O:O&lt;&gt;"""",'Students (Vertical)'!P:P&gt;1));unique(filter('Students (Ver"&amp;"tical)'!O:O,'Students (Vertical)'!C:C=E50,'Students (Vertical)'!O:O&lt;&gt;"""",'Students (Vertical)'!P:P&gt;1))})&gt;1))),""""),"""")"),"")</f>
        <v/>
      </c>
      <c r="K50" s="96" t="str">
        <f>IFERROR(__xludf.DUMMYFUNCTION("iferror(join("", "",unique(filter({filter('Students (Vertical)'!D:D,'Students (Vertical)'!C:C=B50,'Students (Vertical)'!D:D&lt;&gt;"""");filter('Students (Vertical)'!D:D,'Students (Vertical)'!C:C=E50,'Students (Vertical)'!D:D&lt;&gt;"""")},countifs({filter('Students "&amp;"(Vertical)'!D:D,'Students (Vertical)'!C:C=B50,'Students (Vertical)'!D:D&lt;&gt;"""");filter('Students (Vertical)'!D:D,'Students (Vertical)'!C:C=E50,'Students (Vertical)'!D:D&lt;&gt;"""")},{filter('Students (Vertical)'!D:D,'Students (Vertical)'!C:C=B50,'Students (Vert"&amp;"ical)'!D:D&lt;&gt;"""");filter('Students (Vertical)'!D:D,'Students (Vertical)'!C:C=E50,'Students (Vertical)'!D:D&lt;&gt;"""")})&gt;1))),"""")"),"Science 8, Sociales 8, Spanish 8, PE 8, Band 8S1, Band 8S2")</f>
        <v>Science 8, Sociales 8, Spanish 8, PE 8, Band 8S1, Band 8S2</v>
      </c>
      <c r="L50" s="96"/>
      <c r="M50" s="96"/>
    </row>
    <row r="51">
      <c r="A51" s="8">
        <v>50.0</v>
      </c>
      <c r="B51" s="12" t="s">
        <v>265</v>
      </c>
      <c r="C51" s="8">
        <v>28087.0</v>
      </c>
      <c r="D51" s="8">
        <v>8.0</v>
      </c>
      <c r="E51" s="12" t="s">
        <v>269</v>
      </c>
      <c r="F51" s="8">
        <v>29068.0</v>
      </c>
      <c r="G51" s="8">
        <v>8.0</v>
      </c>
      <c r="H51" s="12" t="s">
        <v>212</v>
      </c>
      <c r="I51" s="94" t="str">
        <f>IFERROR(__xludf.DUMMYFUNCTION("if(H51=""Must be Together"",iferror(join("", "",unique(filter({filter('Students (Vertical)'!O:O,'Students (Vertical)'!C:C=B51,'Students (Vertical)'!O:O&lt;&gt;"""");filter('Students (Vertical)'!O:O,'Students (Vertical)'!C:C=E51,'Students (Vertical)'!O:O&lt;&gt;"""")}"&amp;",countifs({filter('Students (Vertical)'!O:O,'Students (Vertical)'!C:C=B51,'Students (Vertical)'!O:O&lt;&gt;"""");filter('Students (Vertical)'!O:O,'Students (Vertical)'!C:C=E51,'Students (Vertical)'!O:O&lt;&gt;"""")},{filter('Students (Vertical)'!O:O,'Students (Vertic"&amp;"al)'!C:C=B51,'Students (Vertical)'!O:O&lt;&gt;"""");filter('Students (Vertical)'!O:O,'Students (Vertical)'!C:C=E51,'Students (Vertical)'!O:O&lt;&gt;"""")})&gt;1))),""No shared courses""),"""")"),"")</f>
        <v/>
      </c>
      <c r="J51" s="94" t="str">
        <f>IFERROR(__xludf.DUMMYFUNCTION("if(H51=""Can't be Together"",iferror(join("", "",unique(filter({unique(filter('Students (Vertical)'!O:O,'Students (Vertical)'!C:C=B51,'Students (Vertical)'!O:O&lt;&gt;"""",'Students (Vertical)'!P:P&gt;1));unique(filter('Students (Vertical)'!O:O,'Students (Vertical"&amp;")'!C:C=E51,'Students (Vertical)'!O:O&lt;&gt;"""",'Students (Vertical)'!P:P&gt;1))},countifs({unique(filter('Students (Vertical)'!O:O,'Students (Vertical)'!C:C=B51,'Students (Vertical)'!O:O&lt;&gt;"""",'Students (Vertical)'!P:P&gt;1));unique(filter('Students (Vertical)'!O:O"&amp;",'Students (Vertical)'!C:C=E51,'Students (Vertical)'!O:O&lt;&gt;"""",'Students (Vertical)'!P:P&gt;1))},{unique(filter('Students (Vertical)'!O:O,'Students (Vertical)'!C:C=B51,'Students (Vertical)'!O:O&lt;&gt;"""",'Students (Vertical)'!P:P&gt;1));unique(filter('Students (Ver"&amp;"tical)'!O:O,'Students (Vertical)'!C:C=E51,'Students (Vertical)'!O:O&lt;&gt;"""",'Students (Vertical)'!P:P&gt;1))})&gt;1))),""""),"""")"),"Science 8-3, Spanish 8-4, PE 8-5a")</f>
        <v>Science 8-3, Spanish 8-4, PE 8-5a</v>
      </c>
      <c r="K51" s="96" t="str">
        <f>IFERROR(__xludf.DUMMYFUNCTION("iferror(join("", "",unique(filter({filter('Students (Vertical)'!D:D,'Students (Vertical)'!C:C=B51,'Students (Vertical)'!D:D&lt;&gt;"""");filter('Students (Vertical)'!D:D,'Students (Vertical)'!C:C=E51,'Students (Vertical)'!D:D&lt;&gt;"""")},countifs({filter('Students "&amp;"(Vertical)'!D:D,'Students (Vertical)'!C:C=B51,'Students (Vertical)'!D:D&lt;&gt;"""");filter('Students (Vertical)'!D:D,'Students (Vertical)'!C:C=E51,'Students (Vertical)'!D:D&lt;&gt;"""")},{filter('Students (Vertical)'!D:D,'Students (Vertical)'!C:C=B51,'Students (Vert"&amp;"ical)'!D:D&lt;&gt;"""");filter('Students (Vertical)'!D:D,'Students (Vertical)'!C:C=E51,'Students (Vertical)'!D:D&lt;&gt;"""")})&gt;1))),"""")"),"Science 8, Sociales 8, Spanish 8, PE 8, Band 8S1, Band 8S2")</f>
        <v>Science 8, Sociales 8, Spanish 8, PE 8, Band 8S1, Band 8S2</v>
      </c>
      <c r="L51" s="96"/>
      <c r="M51" s="96"/>
    </row>
    <row r="52">
      <c r="A52" s="8">
        <v>51.0</v>
      </c>
      <c r="B52" s="12" t="s">
        <v>265</v>
      </c>
      <c r="C52" s="8">
        <v>28087.0</v>
      </c>
      <c r="D52" s="8">
        <v>8.0</v>
      </c>
      <c r="E52" s="12" t="s">
        <v>270</v>
      </c>
      <c r="F52" s="8">
        <v>29024.0</v>
      </c>
      <c r="G52" s="8">
        <v>8.0</v>
      </c>
      <c r="H52" s="12" t="s">
        <v>212</v>
      </c>
      <c r="I52" s="94" t="str">
        <f>IFERROR(__xludf.DUMMYFUNCTION("if(H52=""Must be Together"",iferror(join("", "",unique(filter({filter('Students (Vertical)'!O:O,'Students (Vertical)'!C:C=B52,'Students (Vertical)'!O:O&lt;&gt;"""");filter('Students (Vertical)'!O:O,'Students (Vertical)'!C:C=E52,'Students (Vertical)'!O:O&lt;&gt;"""")}"&amp;",countifs({filter('Students (Vertical)'!O:O,'Students (Vertical)'!C:C=B52,'Students (Vertical)'!O:O&lt;&gt;"""");filter('Students (Vertical)'!O:O,'Students (Vertical)'!C:C=E52,'Students (Vertical)'!O:O&lt;&gt;"""")},{filter('Students (Vertical)'!O:O,'Students (Vertic"&amp;"al)'!C:C=B52,'Students (Vertical)'!O:O&lt;&gt;"""");filter('Students (Vertical)'!O:O,'Students (Vertical)'!C:C=E52,'Students (Vertical)'!O:O&lt;&gt;"""")})&gt;1))),""No shared courses""),"""")"),"")</f>
        <v/>
      </c>
      <c r="J52" s="94" t="str">
        <f>IFERROR(__xludf.DUMMYFUNCTION("if(H52=""Can't be Together"",iferror(join("", "",unique(filter({unique(filter('Students (Vertical)'!O:O,'Students (Vertical)'!C:C=B52,'Students (Vertical)'!O:O&lt;&gt;"""",'Students (Vertical)'!P:P&gt;1));unique(filter('Students (Vertical)'!O:O,'Students (Vertical"&amp;")'!C:C=E52,'Students (Vertical)'!O:O&lt;&gt;"""",'Students (Vertical)'!P:P&gt;1))},countifs({unique(filter('Students (Vertical)'!O:O,'Students (Vertical)'!C:C=B52,'Students (Vertical)'!O:O&lt;&gt;"""",'Students (Vertical)'!P:P&gt;1));unique(filter('Students (Vertical)'!O:O"&amp;",'Students (Vertical)'!C:C=E52,'Students (Vertical)'!O:O&lt;&gt;"""",'Students (Vertical)'!P:P&gt;1))},{unique(filter('Students (Vertical)'!O:O,'Students (Vertical)'!C:C=B52,'Students (Vertical)'!O:O&lt;&gt;"""",'Students (Vertical)'!P:P&gt;1));unique(filter('Students (Ver"&amp;"tical)'!O:O,'Students (Vertical)'!C:C=E52,'Students (Vertical)'!O:O&lt;&gt;"""",'Students (Vertical)'!P:P&gt;1))})&gt;1))),""""),"""")"),"")</f>
        <v/>
      </c>
      <c r="K52" s="96" t="str">
        <f>IFERROR(__xludf.DUMMYFUNCTION("iferror(join("", "",unique(filter({filter('Students (Vertical)'!D:D,'Students (Vertical)'!C:C=B52,'Students (Vertical)'!D:D&lt;&gt;"""");filter('Students (Vertical)'!D:D,'Students (Vertical)'!C:C=E52,'Students (Vertical)'!D:D&lt;&gt;"""")},countifs({filter('Students "&amp;"(Vertical)'!D:D,'Students (Vertical)'!C:C=B52,'Students (Vertical)'!D:D&lt;&gt;"""");filter('Students (Vertical)'!D:D,'Students (Vertical)'!C:C=E52,'Students (Vertical)'!D:D&lt;&gt;"""")},{filter('Students (Vertical)'!D:D,'Students (Vertical)'!C:C=B52,'Students (Vert"&amp;"ical)'!D:D&lt;&gt;"""");filter('Students (Vertical)'!D:D,'Students (Vertical)'!C:C=E52,'Students (Vertical)'!D:D&lt;&gt;"""")})&gt;1))),"""")"),"Science 8, Sociales 8, Spanish 8, PE 8, Band 8S1, Band 8S2")</f>
        <v>Science 8, Sociales 8, Spanish 8, PE 8, Band 8S1, Band 8S2</v>
      </c>
      <c r="L52" s="96"/>
      <c r="M52" s="96"/>
    </row>
    <row r="53" hidden="1">
      <c r="A53" s="8">
        <v>52.0</v>
      </c>
      <c r="B53" s="12" t="s">
        <v>265</v>
      </c>
      <c r="C53" s="8">
        <v>28087.0</v>
      </c>
      <c r="D53" s="8">
        <v>8.0</v>
      </c>
      <c r="E53" s="12" t="s">
        <v>271</v>
      </c>
      <c r="F53" s="8">
        <v>29111.0</v>
      </c>
      <c r="G53" s="8">
        <v>8.0</v>
      </c>
      <c r="H53" s="12" t="s">
        <v>214</v>
      </c>
      <c r="I53" s="94" t="str">
        <f>IFERROR(__xludf.DUMMYFUNCTION("if(H53=""Must be Together"",iferror(join("", "",unique(filter({filter('Students (Vertical)'!O:O,'Students (Vertical)'!C:C=B53,'Students (Vertical)'!O:O&lt;&gt;"""");filter('Students (Vertical)'!O:O,'Students (Vertical)'!C:C=E53,'Students (Vertical)'!O:O&lt;&gt;"""")}"&amp;",countifs({filter('Students (Vertical)'!O:O,'Students (Vertical)'!C:C=B53,'Students (Vertical)'!O:O&lt;&gt;"""");filter('Students (Vertical)'!O:O,'Students (Vertical)'!C:C=E53,'Students (Vertical)'!O:O&lt;&gt;"""")},{filter('Students (Vertical)'!O:O,'Students (Vertic"&amp;"al)'!C:C=B53,'Students (Vertical)'!O:O&lt;&gt;"""");filter('Students (Vertical)'!O:O,'Students (Vertical)'!C:C=E53,'Students (Vertical)'!O:O&lt;&gt;"""")})&gt;1))),""No shared courses""),"""")"),"No shared courses")</f>
        <v>No shared courses</v>
      </c>
      <c r="J53" s="94" t="str">
        <f>IFERROR(__xludf.DUMMYFUNCTION("if(H53=""Can't be Together"",iferror(join("", "",unique(filter({unique(filter('Students (Vertical)'!O:O,'Students (Vertical)'!C:C=B53,'Students (Vertical)'!O:O&lt;&gt;"""",'Students (Vertical)'!P:P&gt;1));unique(filter('Students (Vertical)'!O:O,'Students (Vertical"&amp;")'!C:C=E53,'Students (Vertical)'!O:O&lt;&gt;"""",'Students (Vertical)'!P:P&gt;1))},countifs({unique(filter('Students (Vertical)'!O:O,'Students (Vertical)'!C:C=B53,'Students (Vertical)'!O:O&lt;&gt;"""",'Students (Vertical)'!P:P&gt;1));unique(filter('Students (Vertical)'!O:O"&amp;",'Students (Vertical)'!C:C=E53,'Students (Vertical)'!O:O&lt;&gt;"""",'Students (Vertical)'!P:P&gt;1))},{unique(filter('Students (Vertical)'!O:O,'Students (Vertical)'!C:C=B53,'Students (Vertical)'!O:O&lt;&gt;"""",'Students (Vertical)'!P:P&gt;1));unique(filter('Students (Ver"&amp;"tical)'!O:O,'Students (Vertical)'!C:C=E53,'Students (Vertical)'!O:O&lt;&gt;"""",'Students (Vertical)'!P:P&gt;1))})&gt;1))),""""),"""")"),"")</f>
        <v/>
      </c>
      <c r="K53" s="96" t="str">
        <f>IFERROR(__xludf.DUMMYFUNCTION("iferror(join("", "",unique(filter({filter('Students (Vertical)'!D:D,'Students (Vertical)'!C:C=B53,'Students (Vertical)'!D:D&lt;&gt;"""");filter('Students (Vertical)'!D:D,'Students (Vertical)'!C:C=E53,'Students (Vertical)'!D:D&lt;&gt;"""")},countifs({filter('Students "&amp;"(Vertical)'!D:D,'Students (Vertical)'!C:C=B53,'Students (Vertical)'!D:D&lt;&gt;"""");filter('Students (Vertical)'!D:D,'Students (Vertical)'!C:C=E53,'Students (Vertical)'!D:D&lt;&gt;"""")},{filter('Students (Vertical)'!D:D,'Students (Vertical)'!C:C=B53,'Students (Vert"&amp;"ical)'!D:D&lt;&gt;"""");filter('Students (Vertical)'!D:D,'Students (Vertical)'!C:C=E53,'Students (Vertical)'!D:D&lt;&gt;"""")})&gt;1))),"""")"),"Science 8, Sociales 8, Spanish 8, PE 8")</f>
        <v>Science 8, Sociales 8, Spanish 8, PE 8</v>
      </c>
      <c r="L53" s="96"/>
      <c r="M53" s="96"/>
    </row>
    <row r="54" hidden="1">
      <c r="A54" s="8">
        <v>53.0</v>
      </c>
      <c r="B54" s="12" t="s">
        <v>272</v>
      </c>
      <c r="C54" s="8">
        <v>29160.0</v>
      </c>
      <c r="D54" s="8">
        <v>8.0</v>
      </c>
      <c r="E54" s="12" t="s">
        <v>273</v>
      </c>
      <c r="F54" s="8">
        <v>29135.0</v>
      </c>
      <c r="G54" s="8">
        <v>8.0</v>
      </c>
      <c r="H54" s="12" t="s">
        <v>214</v>
      </c>
      <c r="I54" s="94" t="str">
        <f>IFERROR(__xludf.DUMMYFUNCTION("if(H54=""Must be Together"",iferror(join("", "",unique(filter({filter('Students (Vertical)'!O:O,'Students (Vertical)'!C:C=B54,'Students (Vertical)'!O:O&lt;&gt;"""");filter('Students (Vertical)'!O:O,'Students (Vertical)'!C:C=E54,'Students (Vertical)'!O:O&lt;&gt;"""")}"&amp;",countifs({filter('Students (Vertical)'!O:O,'Students (Vertical)'!C:C=B54,'Students (Vertical)'!O:O&lt;&gt;"""");filter('Students (Vertical)'!O:O,'Students (Vertical)'!C:C=E54,'Students (Vertical)'!O:O&lt;&gt;"""")},{filter('Students (Vertical)'!O:O,'Students (Vertic"&amp;"al)'!C:C=B54,'Students (Vertical)'!O:O&lt;&gt;"""");filter('Students (Vertical)'!O:O,'Students (Vertical)'!C:C=E54,'Students (Vertical)'!O:O&lt;&gt;"""")})&gt;1))),""No shared courses""),"""")"),"No shared courses")</f>
        <v>No shared courses</v>
      </c>
      <c r="J54" s="94" t="str">
        <f>IFERROR(__xludf.DUMMYFUNCTION("if(H54=""Can't be Together"",iferror(join("", "",unique(filter({unique(filter('Students (Vertical)'!O:O,'Students (Vertical)'!C:C=B54,'Students (Vertical)'!O:O&lt;&gt;"""",'Students (Vertical)'!P:P&gt;1));unique(filter('Students (Vertical)'!O:O,'Students (Vertical"&amp;")'!C:C=E54,'Students (Vertical)'!O:O&lt;&gt;"""",'Students (Vertical)'!P:P&gt;1))},countifs({unique(filter('Students (Vertical)'!O:O,'Students (Vertical)'!C:C=B54,'Students (Vertical)'!O:O&lt;&gt;"""",'Students (Vertical)'!P:P&gt;1));unique(filter('Students (Vertical)'!O:O"&amp;",'Students (Vertical)'!C:C=E54,'Students (Vertical)'!O:O&lt;&gt;"""",'Students (Vertical)'!P:P&gt;1))},{unique(filter('Students (Vertical)'!O:O,'Students (Vertical)'!C:C=B54,'Students (Vertical)'!O:O&lt;&gt;"""",'Students (Vertical)'!P:P&gt;1));unique(filter('Students (Ver"&amp;"tical)'!O:O,'Students (Vertical)'!C:C=E54,'Students (Vertical)'!O:O&lt;&gt;"""",'Students (Vertical)'!P:P&gt;1))})&gt;1))),""""),"""")"),"")</f>
        <v/>
      </c>
      <c r="K54" s="96" t="str">
        <f>IFERROR(__xludf.DUMMYFUNCTION("iferror(join("", "",unique(filter({filter('Students (Vertical)'!D:D,'Students (Vertical)'!C:C=B54,'Students (Vertical)'!D:D&lt;&gt;"""");filter('Students (Vertical)'!D:D,'Students (Vertical)'!C:C=E54,'Students (Vertical)'!D:D&lt;&gt;"""")},countifs({filter('Students "&amp;"(Vertical)'!D:D,'Students (Vertical)'!C:C=B54,'Students (Vertical)'!D:D&lt;&gt;"""");filter('Students (Vertical)'!D:D,'Students (Vertical)'!C:C=E54,'Students (Vertical)'!D:D&lt;&gt;"""")},{filter('Students (Vertical)'!D:D,'Students (Vertical)'!C:C=B54,'Students (Vert"&amp;"ical)'!D:D&lt;&gt;"""");filter('Students (Vertical)'!D:D,'Students (Vertical)'!C:C=E54,'Students (Vertical)'!D:D&lt;&gt;"""")})&gt;1))),"""")"),"English 8, PE 8")</f>
        <v>English 8, PE 8</v>
      </c>
      <c r="L54" s="96"/>
      <c r="M54" s="96"/>
    </row>
    <row r="55">
      <c r="A55" s="8">
        <v>54.0</v>
      </c>
      <c r="B55" s="12" t="s">
        <v>274</v>
      </c>
      <c r="C55" s="8">
        <v>29138.0</v>
      </c>
      <c r="D55" s="8">
        <v>8.0</v>
      </c>
      <c r="E55" s="12" t="s">
        <v>275</v>
      </c>
      <c r="F55" s="8">
        <v>29087.0</v>
      </c>
      <c r="G55" s="8">
        <v>8.0</v>
      </c>
      <c r="H55" s="12" t="s">
        <v>212</v>
      </c>
      <c r="I55" s="94" t="str">
        <f>IFERROR(__xludf.DUMMYFUNCTION("if(H55=""Must be Together"",iferror(join("", "",unique(filter({filter('Students (Vertical)'!O:O,'Students (Vertical)'!C:C=B55,'Students (Vertical)'!O:O&lt;&gt;"""");filter('Students (Vertical)'!O:O,'Students (Vertical)'!C:C=E55,'Students (Vertical)'!O:O&lt;&gt;"""")}"&amp;",countifs({filter('Students (Vertical)'!O:O,'Students (Vertical)'!C:C=B55,'Students (Vertical)'!O:O&lt;&gt;"""");filter('Students (Vertical)'!O:O,'Students (Vertical)'!C:C=E55,'Students (Vertical)'!O:O&lt;&gt;"""")},{filter('Students (Vertical)'!O:O,'Students (Vertic"&amp;"al)'!C:C=B55,'Students (Vertical)'!O:O&lt;&gt;"""");filter('Students (Vertical)'!O:O,'Students (Vertical)'!C:C=E55,'Students (Vertical)'!O:O&lt;&gt;"""")})&gt;1))),""No shared courses""),"""")"),"")</f>
        <v/>
      </c>
      <c r="J55" s="94" t="str">
        <f>IFERROR(__xludf.DUMMYFUNCTION("if(H55=""Can't be Together"",iferror(join("", "",unique(filter({unique(filter('Students (Vertical)'!O:O,'Students (Vertical)'!C:C=B55,'Students (Vertical)'!O:O&lt;&gt;"""",'Students (Vertical)'!P:P&gt;1));unique(filter('Students (Vertical)'!O:O,'Students (Vertical"&amp;")'!C:C=E55,'Students (Vertical)'!O:O&lt;&gt;"""",'Students (Vertical)'!P:P&gt;1))},countifs({unique(filter('Students (Vertical)'!O:O,'Students (Vertical)'!C:C=B55,'Students (Vertical)'!O:O&lt;&gt;"""",'Students (Vertical)'!P:P&gt;1));unique(filter('Students (Vertical)'!O:O"&amp;",'Students (Vertical)'!C:C=E55,'Students (Vertical)'!O:O&lt;&gt;"""",'Students (Vertical)'!P:P&gt;1))},{unique(filter('Students (Vertical)'!O:O,'Students (Vertical)'!C:C=B55,'Students (Vertical)'!O:O&lt;&gt;"""",'Students (Vertical)'!P:P&gt;1));unique(filter('Students (Ver"&amp;"tical)'!O:O,'Students (Vertical)'!C:C=E55,'Students (Vertical)'!O:O&lt;&gt;"""",'Students (Vertical)'!P:P&gt;1))})&gt;1))),""""),"""")"),"")</f>
        <v/>
      </c>
      <c r="K55" s="96" t="str">
        <f>IFERROR(__xludf.DUMMYFUNCTION("iferror(join("", "",unique(filter({filter('Students (Vertical)'!D:D,'Students (Vertical)'!C:C=B55,'Students (Vertical)'!D:D&lt;&gt;"""");filter('Students (Vertical)'!D:D,'Students (Vertical)'!C:C=E55,'Students (Vertical)'!D:D&lt;&gt;"""")},countifs({filter('Students "&amp;"(Vertical)'!D:D,'Students (Vertical)'!C:C=B55,'Students (Vertical)'!D:D&lt;&gt;"""");filter('Students (Vertical)'!D:D,'Students (Vertical)'!C:C=E55,'Students (Vertical)'!D:D&lt;&gt;"""")},{filter('Students (Vertical)'!D:D,'Students (Vertical)'!C:C=B55,'Students (Vert"&amp;"ical)'!D:D&lt;&gt;"""");filter('Students (Vertical)'!D:D,'Students (Vertical)'!C:C=E55,'Students (Vertical)'!D:D&lt;&gt;"""")})&gt;1))),"""")"),"Science 8, English 8, Sociales 8, Spanish 8, PE 8, Band 8S1, Band 8S2")</f>
        <v>Science 8, English 8, Sociales 8, Spanish 8, PE 8, Band 8S1, Band 8S2</v>
      </c>
      <c r="L55" s="96"/>
      <c r="M55" s="96"/>
    </row>
    <row r="56">
      <c r="A56" s="8">
        <v>55.0</v>
      </c>
      <c r="B56" s="12" t="s">
        <v>274</v>
      </c>
      <c r="C56" s="8">
        <v>29138.0</v>
      </c>
      <c r="D56" s="8">
        <v>8.0</v>
      </c>
      <c r="E56" s="12" t="s">
        <v>276</v>
      </c>
      <c r="F56" s="8">
        <v>29039.0</v>
      </c>
      <c r="G56" s="8">
        <v>8.0</v>
      </c>
      <c r="H56" s="12" t="s">
        <v>212</v>
      </c>
      <c r="I56" s="94" t="str">
        <f>IFERROR(__xludf.DUMMYFUNCTION("if(H56=""Must be Together"",iferror(join("", "",unique(filter({filter('Students (Vertical)'!O:O,'Students (Vertical)'!C:C=B56,'Students (Vertical)'!O:O&lt;&gt;"""");filter('Students (Vertical)'!O:O,'Students (Vertical)'!C:C=E56,'Students (Vertical)'!O:O&lt;&gt;"""")}"&amp;",countifs({filter('Students (Vertical)'!O:O,'Students (Vertical)'!C:C=B56,'Students (Vertical)'!O:O&lt;&gt;"""");filter('Students (Vertical)'!O:O,'Students (Vertical)'!C:C=E56,'Students (Vertical)'!O:O&lt;&gt;"""")},{filter('Students (Vertical)'!O:O,'Students (Vertic"&amp;"al)'!C:C=B56,'Students (Vertical)'!O:O&lt;&gt;"""");filter('Students (Vertical)'!O:O,'Students (Vertical)'!C:C=E56,'Students (Vertical)'!O:O&lt;&gt;"""")})&gt;1))),""No shared courses""),"""")"),"")</f>
        <v/>
      </c>
      <c r="J56" s="94" t="str">
        <f>IFERROR(__xludf.DUMMYFUNCTION("if(H56=""Can't be Together"",iferror(join("", "",unique(filter({unique(filter('Students (Vertical)'!O:O,'Students (Vertical)'!C:C=B56,'Students (Vertical)'!O:O&lt;&gt;"""",'Students (Vertical)'!P:P&gt;1));unique(filter('Students (Vertical)'!O:O,'Students (Vertical"&amp;")'!C:C=E56,'Students (Vertical)'!O:O&lt;&gt;"""",'Students (Vertical)'!P:P&gt;1))},countifs({unique(filter('Students (Vertical)'!O:O,'Students (Vertical)'!C:C=B56,'Students (Vertical)'!O:O&lt;&gt;"""",'Students (Vertical)'!P:P&gt;1));unique(filter('Students (Vertical)'!O:O"&amp;",'Students (Vertical)'!C:C=E56,'Students (Vertical)'!O:O&lt;&gt;"""",'Students (Vertical)'!P:P&gt;1))},{unique(filter('Students (Vertical)'!O:O,'Students (Vertical)'!C:C=B56,'Students (Vertical)'!O:O&lt;&gt;"""",'Students (Vertical)'!P:P&gt;1));unique(filter('Students (Ver"&amp;"tical)'!O:O,'Students (Vertical)'!C:C=E56,'Students (Vertical)'!O:O&lt;&gt;"""",'Students (Vertical)'!P:P&gt;1))})&gt;1))),""""),"""")"),"")</f>
        <v/>
      </c>
      <c r="K56" s="96" t="str">
        <f>IFERROR(__xludf.DUMMYFUNCTION("iferror(join("", "",unique(filter({filter('Students (Vertical)'!D:D,'Students (Vertical)'!C:C=B56,'Students (Vertical)'!D:D&lt;&gt;"""");filter('Students (Vertical)'!D:D,'Students (Vertical)'!C:C=E56,'Students (Vertical)'!D:D&lt;&gt;"""")},countifs({filter('Students "&amp;"(Vertical)'!D:D,'Students (Vertical)'!C:C=B56,'Students (Vertical)'!D:D&lt;&gt;"""");filter('Students (Vertical)'!D:D,'Students (Vertical)'!C:C=E56,'Students (Vertical)'!D:D&lt;&gt;"""")},{filter('Students (Vertical)'!D:D,'Students (Vertical)'!C:C=B56,'Students (Vert"&amp;"ical)'!D:D&lt;&gt;"""");filter('Students (Vertical)'!D:D,'Students (Vertical)'!C:C=E56,'Students (Vertical)'!D:D&lt;&gt;"""")})&gt;1))),"""")"),"Science 8, Sociales 8, Spanish 8, PE 8")</f>
        <v>Science 8, Sociales 8, Spanish 8, PE 8</v>
      </c>
      <c r="L56" s="96"/>
      <c r="M56" s="96"/>
    </row>
    <row r="57">
      <c r="A57" s="8">
        <v>56.0</v>
      </c>
      <c r="B57" s="12" t="s">
        <v>274</v>
      </c>
      <c r="C57" s="8">
        <v>29138.0</v>
      </c>
      <c r="D57" s="8">
        <v>8.0</v>
      </c>
      <c r="E57" s="12" t="s">
        <v>277</v>
      </c>
      <c r="F57" s="8">
        <v>29129.0</v>
      </c>
      <c r="G57" s="8">
        <v>8.0</v>
      </c>
      <c r="H57" s="12" t="s">
        <v>212</v>
      </c>
      <c r="I57" s="94" t="str">
        <f>IFERROR(__xludf.DUMMYFUNCTION("if(H57=""Must be Together"",iferror(join("", "",unique(filter({filter('Students (Vertical)'!O:O,'Students (Vertical)'!C:C=B57,'Students (Vertical)'!O:O&lt;&gt;"""");filter('Students (Vertical)'!O:O,'Students (Vertical)'!C:C=E57,'Students (Vertical)'!O:O&lt;&gt;"""")}"&amp;",countifs({filter('Students (Vertical)'!O:O,'Students (Vertical)'!C:C=B57,'Students (Vertical)'!O:O&lt;&gt;"""");filter('Students (Vertical)'!O:O,'Students (Vertical)'!C:C=E57,'Students (Vertical)'!O:O&lt;&gt;"""")},{filter('Students (Vertical)'!O:O,'Students (Vertic"&amp;"al)'!C:C=B57,'Students (Vertical)'!O:O&lt;&gt;"""");filter('Students (Vertical)'!O:O,'Students (Vertical)'!C:C=E57,'Students (Vertical)'!O:O&lt;&gt;"""")})&gt;1))),""No shared courses""),"""")"),"")</f>
        <v/>
      </c>
      <c r="J57" s="94" t="str">
        <f>IFERROR(__xludf.DUMMYFUNCTION("if(H57=""Can't be Together"",iferror(join("", "",unique(filter({unique(filter('Students (Vertical)'!O:O,'Students (Vertical)'!C:C=B57,'Students (Vertical)'!O:O&lt;&gt;"""",'Students (Vertical)'!P:P&gt;1));unique(filter('Students (Vertical)'!O:O,'Students (Vertical"&amp;")'!C:C=E57,'Students (Vertical)'!O:O&lt;&gt;"""",'Students (Vertical)'!P:P&gt;1))},countifs({unique(filter('Students (Vertical)'!O:O,'Students (Vertical)'!C:C=B57,'Students (Vertical)'!O:O&lt;&gt;"""",'Students (Vertical)'!P:P&gt;1));unique(filter('Students (Vertical)'!O:O"&amp;",'Students (Vertical)'!C:C=E57,'Students (Vertical)'!O:O&lt;&gt;"""",'Students (Vertical)'!P:P&gt;1))},{unique(filter('Students (Vertical)'!O:O,'Students (Vertical)'!C:C=B57,'Students (Vertical)'!O:O&lt;&gt;"""",'Students (Vertical)'!P:P&gt;1));unique(filter('Students (Ver"&amp;"tical)'!O:O,'Students (Vertical)'!C:C=E57,'Students (Vertical)'!O:O&lt;&gt;"""",'Students (Vertical)'!P:P&gt;1))})&gt;1))),""""),"""")"),"English 8-1")</f>
        <v>English 8-1</v>
      </c>
      <c r="K57" s="96" t="str">
        <f>IFERROR(__xludf.DUMMYFUNCTION("iferror(join("", "",unique(filter({filter('Students (Vertical)'!D:D,'Students (Vertical)'!C:C=B57,'Students (Vertical)'!D:D&lt;&gt;"""");filter('Students (Vertical)'!D:D,'Students (Vertical)'!C:C=E57,'Students (Vertical)'!D:D&lt;&gt;"""")},countifs({filter('Students "&amp;"(Vertical)'!D:D,'Students (Vertical)'!C:C=B57,'Students (Vertical)'!D:D&lt;&gt;"""");filter('Students (Vertical)'!D:D,'Students (Vertical)'!C:C=E57,'Students (Vertical)'!D:D&lt;&gt;"""")},{filter('Students (Vertical)'!D:D,'Students (Vertical)'!C:C=B57,'Students (Vert"&amp;"ical)'!D:D&lt;&gt;"""");filter('Students (Vertical)'!D:D,'Students (Vertical)'!C:C=E57,'Students (Vertical)'!D:D&lt;&gt;"""")})&gt;1))),"""")"),"Science 8, English 8, Sociales 8, Spanish 8, PE 8")</f>
        <v>Science 8, English 8, Sociales 8, Spanish 8, PE 8</v>
      </c>
      <c r="L57" s="96"/>
      <c r="M57" s="96"/>
    </row>
    <row r="58">
      <c r="A58" s="8">
        <v>57.0</v>
      </c>
      <c r="B58" s="12" t="s">
        <v>274</v>
      </c>
      <c r="C58" s="8">
        <v>29138.0</v>
      </c>
      <c r="D58" s="8">
        <v>8.0</v>
      </c>
      <c r="E58" s="12" t="s">
        <v>278</v>
      </c>
      <c r="F58" s="8">
        <v>29100.0</v>
      </c>
      <c r="G58" s="8">
        <v>8.0</v>
      </c>
      <c r="H58" s="12" t="s">
        <v>212</v>
      </c>
      <c r="I58" s="94" t="str">
        <f>IFERROR(__xludf.DUMMYFUNCTION("if(H58=""Must be Together"",iferror(join("", "",unique(filter({filter('Students (Vertical)'!O:O,'Students (Vertical)'!C:C=B58,'Students (Vertical)'!O:O&lt;&gt;"""");filter('Students (Vertical)'!O:O,'Students (Vertical)'!C:C=E58,'Students (Vertical)'!O:O&lt;&gt;"""")}"&amp;",countifs({filter('Students (Vertical)'!O:O,'Students (Vertical)'!C:C=B58,'Students (Vertical)'!O:O&lt;&gt;"""");filter('Students (Vertical)'!O:O,'Students (Vertical)'!C:C=E58,'Students (Vertical)'!O:O&lt;&gt;"""")},{filter('Students (Vertical)'!O:O,'Students (Vertic"&amp;"al)'!C:C=B58,'Students (Vertical)'!O:O&lt;&gt;"""");filter('Students (Vertical)'!O:O,'Students (Vertical)'!C:C=E58,'Students (Vertical)'!O:O&lt;&gt;"""")})&gt;1))),""No shared courses""),"""")"),"")</f>
        <v/>
      </c>
      <c r="J58" s="94" t="str">
        <f>IFERROR(__xludf.DUMMYFUNCTION("if(H58=""Can't be Together"",iferror(join("", "",unique(filter({unique(filter('Students (Vertical)'!O:O,'Students (Vertical)'!C:C=B58,'Students (Vertical)'!O:O&lt;&gt;"""",'Students (Vertical)'!P:P&gt;1));unique(filter('Students (Vertical)'!O:O,'Students (Vertical"&amp;")'!C:C=E58,'Students (Vertical)'!O:O&lt;&gt;"""",'Students (Vertical)'!P:P&gt;1))},countifs({unique(filter('Students (Vertical)'!O:O,'Students (Vertical)'!C:C=B58,'Students (Vertical)'!O:O&lt;&gt;"""",'Students (Vertical)'!P:P&gt;1));unique(filter('Students (Vertical)'!O:O"&amp;",'Students (Vertical)'!C:C=E58,'Students (Vertical)'!O:O&lt;&gt;"""",'Students (Vertical)'!P:P&gt;1))},{unique(filter('Students (Vertical)'!O:O,'Students (Vertical)'!C:C=B58,'Students (Vertical)'!O:O&lt;&gt;"""",'Students (Vertical)'!P:P&gt;1));unique(filter('Students (Ver"&amp;"tical)'!O:O,'Students (Vertical)'!C:C=E58,'Students (Vertical)'!O:O&lt;&gt;"""",'Students (Vertical)'!P:P&gt;1))})&gt;1))),""""),"""")"),"PE 8-6a")</f>
        <v>PE 8-6a</v>
      </c>
      <c r="K58" s="96" t="str">
        <f>IFERROR(__xludf.DUMMYFUNCTION("iferror(join("", "",unique(filter({filter('Students (Vertical)'!D:D,'Students (Vertical)'!C:C=B58,'Students (Vertical)'!D:D&lt;&gt;"""");filter('Students (Vertical)'!D:D,'Students (Vertical)'!C:C=E58,'Students (Vertical)'!D:D&lt;&gt;"""")},countifs({filter('Students "&amp;"(Vertical)'!D:D,'Students (Vertical)'!C:C=B58,'Students (Vertical)'!D:D&lt;&gt;"""");filter('Students (Vertical)'!D:D,'Students (Vertical)'!C:C=E58,'Students (Vertical)'!D:D&lt;&gt;"""")},{filter('Students (Vertical)'!D:D,'Students (Vertical)'!C:C=B58,'Students (Vert"&amp;"ical)'!D:D&lt;&gt;"""");filter('Students (Vertical)'!D:D,'Students (Vertical)'!C:C=E58,'Students (Vertical)'!D:D&lt;&gt;"""")})&gt;1))),"""")"),"Science 8, English 8, Sociales 8, Spanish 8, PE 8, Band 8S1, Band 8S2")</f>
        <v>Science 8, English 8, Sociales 8, Spanish 8, PE 8, Band 8S1, Band 8S2</v>
      </c>
      <c r="L58" s="96"/>
      <c r="M58" s="96"/>
    </row>
    <row r="59">
      <c r="A59" s="8">
        <v>58.0</v>
      </c>
      <c r="B59" s="12" t="s">
        <v>275</v>
      </c>
      <c r="C59" s="8">
        <v>29087.0</v>
      </c>
      <c r="D59" s="8">
        <v>8.0</v>
      </c>
      <c r="E59" s="12" t="s">
        <v>274</v>
      </c>
      <c r="F59" s="8">
        <v>29138.0</v>
      </c>
      <c r="G59" s="8">
        <v>8.0</v>
      </c>
      <c r="H59" s="12" t="s">
        <v>212</v>
      </c>
      <c r="I59" s="94" t="str">
        <f>IFERROR(__xludf.DUMMYFUNCTION("if(H59=""Must be Together"",iferror(join("", "",unique(filter({filter('Students (Vertical)'!O:O,'Students (Vertical)'!C:C=B59,'Students (Vertical)'!O:O&lt;&gt;"""");filter('Students (Vertical)'!O:O,'Students (Vertical)'!C:C=E59,'Students (Vertical)'!O:O&lt;&gt;"""")}"&amp;",countifs({filter('Students (Vertical)'!O:O,'Students (Vertical)'!C:C=B59,'Students (Vertical)'!O:O&lt;&gt;"""");filter('Students (Vertical)'!O:O,'Students (Vertical)'!C:C=E59,'Students (Vertical)'!O:O&lt;&gt;"""")},{filter('Students (Vertical)'!O:O,'Students (Vertic"&amp;"al)'!C:C=B59,'Students (Vertical)'!O:O&lt;&gt;"""");filter('Students (Vertical)'!O:O,'Students (Vertical)'!C:C=E59,'Students (Vertical)'!O:O&lt;&gt;"""")})&gt;1))),""No shared courses""),"""")"),"")</f>
        <v/>
      </c>
      <c r="J59" s="94" t="str">
        <f>IFERROR(__xludf.DUMMYFUNCTION("if(H59=""Can't be Together"",iferror(join("", "",unique(filter({unique(filter('Students (Vertical)'!O:O,'Students (Vertical)'!C:C=B59,'Students (Vertical)'!O:O&lt;&gt;"""",'Students (Vertical)'!P:P&gt;1));unique(filter('Students (Vertical)'!O:O,'Students (Vertical"&amp;")'!C:C=E59,'Students (Vertical)'!O:O&lt;&gt;"""",'Students (Vertical)'!P:P&gt;1))},countifs({unique(filter('Students (Vertical)'!O:O,'Students (Vertical)'!C:C=B59,'Students (Vertical)'!O:O&lt;&gt;"""",'Students (Vertical)'!P:P&gt;1));unique(filter('Students (Vertical)'!O:O"&amp;",'Students (Vertical)'!C:C=E59,'Students (Vertical)'!O:O&lt;&gt;"""",'Students (Vertical)'!P:P&gt;1))},{unique(filter('Students (Vertical)'!O:O,'Students (Vertical)'!C:C=B59,'Students (Vertical)'!O:O&lt;&gt;"""",'Students (Vertical)'!P:P&gt;1));unique(filter('Students (Ver"&amp;"tical)'!O:O,'Students (Vertical)'!C:C=E59,'Students (Vertical)'!O:O&lt;&gt;"""",'Students (Vertical)'!P:P&gt;1))})&gt;1))),""""),"""")"),"")</f>
        <v/>
      </c>
      <c r="K59" s="96" t="str">
        <f>IFERROR(__xludf.DUMMYFUNCTION("iferror(join("", "",unique(filter({filter('Students (Vertical)'!D:D,'Students (Vertical)'!C:C=B59,'Students (Vertical)'!D:D&lt;&gt;"""");filter('Students (Vertical)'!D:D,'Students (Vertical)'!C:C=E59,'Students (Vertical)'!D:D&lt;&gt;"""")},countifs({filter('Students "&amp;"(Vertical)'!D:D,'Students (Vertical)'!C:C=B59,'Students (Vertical)'!D:D&lt;&gt;"""");filter('Students (Vertical)'!D:D,'Students (Vertical)'!C:C=E59,'Students (Vertical)'!D:D&lt;&gt;"""")},{filter('Students (Vertical)'!D:D,'Students (Vertical)'!C:C=B59,'Students (Vert"&amp;"ical)'!D:D&lt;&gt;"""");filter('Students (Vertical)'!D:D,'Students (Vertical)'!C:C=E59,'Students (Vertical)'!D:D&lt;&gt;"""")})&gt;1))),"""")"),"Science 8, English 8, Sociales 8, Spanish 8, PE 8, Band 8S1, Band 8S2")</f>
        <v>Science 8, English 8, Sociales 8, Spanish 8, PE 8, Band 8S1, Band 8S2</v>
      </c>
      <c r="L59" s="96"/>
      <c r="M59" s="96"/>
    </row>
    <row r="60">
      <c r="A60" s="8">
        <v>59.0</v>
      </c>
      <c r="B60" s="12" t="s">
        <v>275</v>
      </c>
      <c r="C60" s="8">
        <v>29087.0</v>
      </c>
      <c r="D60" s="8">
        <v>8.0</v>
      </c>
      <c r="E60" s="12" t="s">
        <v>276</v>
      </c>
      <c r="F60" s="8">
        <v>29039.0</v>
      </c>
      <c r="G60" s="8">
        <v>8.0</v>
      </c>
      <c r="H60" s="12" t="s">
        <v>212</v>
      </c>
      <c r="I60" s="94" t="str">
        <f>IFERROR(__xludf.DUMMYFUNCTION("if(H60=""Must be Together"",iferror(join("", "",unique(filter({filter('Students (Vertical)'!O:O,'Students (Vertical)'!C:C=B60,'Students (Vertical)'!O:O&lt;&gt;"""");filter('Students (Vertical)'!O:O,'Students (Vertical)'!C:C=E60,'Students (Vertical)'!O:O&lt;&gt;"""")}"&amp;",countifs({filter('Students (Vertical)'!O:O,'Students (Vertical)'!C:C=B60,'Students (Vertical)'!O:O&lt;&gt;"""");filter('Students (Vertical)'!O:O,'Students (Vertical)'!C:C=E60,'Students (Vertical)'!O:O&lt;&gt;"""")},{filter('Students (Vertical)'!O:O,'Students (Vertic"&amp;"al)'!C:C=B60,'Students (Vertical)'!O:O&lt;&gt;"""");filter('Students (Vertical)'!O:O,'Students (Vertical)'!C:C=E60,'Students (Vertical)'!O:O&lt;&gt;"""")})&gt;1))),""No shared courses""),"""")"),"")</f>
        <v/>
      </c>
      <c r="J60" s="94" t="str">
        <f>IFERROR(__xludf.DUMMYFUNCTION("if(H60=""Can't be Together"",iferror(join("", "",unique(filter({unique(filter('Students (Vertical)'!O:O,'Students (Vertical)'!C:C=B60,'Students (Vertical)'!O:O&lt;&gt;"""",'Students (Vertical)'!P:P&gt;1));unique(filter('Students (Vertical)'!O:O,'Students (Vertical"&amp;")'!C:C=E60,'Students (Vertical)'!O:O&lt;&gt;"""",'Students (Vertical)'!P:P&gt;1))},countifs({unique(filter('Students (Vertical)'!O:O,'Students (Vertical)'!C:C=B60,'Students (Vertical)'!O:O&lt;&gt;"""",'Students (Vertical)'!P:P&gt;1));unique(filter('Students (Vertical)'!O:O"&amp;",'Students (Vertical)'!C:C=E60,'Students (Vertical)'!O:O&lt;&gt;"""",'Students (Vertical)'!P:P&gt;1))},{unique(filter('Students (Vertical)'!O:O,'Students (Vertical)'!C:C=B60,'Students (Vertical)'!O:O&lt;&gt;"""",'Students (Vertical)'!P:P&gt;1));unique(filter('Students (Ver"&amp;"tical)'!O:O,'Students (Vertical)'!C:C=E60,'Students (Vertical)'!O:O&lt;&gt;"""",'Students (Vertical)'!P:P&gt;1))})&gt;1))),""""),"""")"),"")</f>
        <v/>
      </c>
      <c r="K60" s="96" t="str">
        <f>IFERROR(__xludf.DUMMYFUNCTION("iferror(join("", "",unique(filter({filter('Students (Vertical)'!D:D,'Students (Vertical)'!C:C=B60,'Students (Vertical)'!D:D&lt;&gt;"""");filter('Students (Vertical)'!D:D,'Students (Vertical)'!C:C=E60,'Students (Vertical)'!D:D&lt;&gt;"""")},countifs({filter('Students "&amp;"(Vertical)'!D:D,'Students (Vertical)'!C:C=B60,'Students (Vertical)'!D:D&lt;&gt;"""");filter('Students (Vertical)'!D:D,'Students (Vertical)'!C:C=E60,'Students (Vertical)'!D:D&lt;&gt;"""")},{filter('Students (Vertical)'!D:D,'Students (Vertical)'!C:C=B60,'Students (Vert"&amp;"ical)'!D:D&lt;&gt;"""");filter('Students (Vertical)'!D:D,'Students (Vertical)'!C:C=E60,'Students (Vertical)'!D:D&lt;&gt;"""")})&gt;1))),"""")"),"Science 8, Sociales 8, Spanish 8, PE 8")</f>
        <v>Science 8, Sociales 8, Spanish 8, PE 8</v>
      </c>
      <c r="L60" s="96"/>
      <c r="M60" s="96"/>
    </row>
    <row r="61">
      <c r="A61" s="8">
        <v>60.0</v>
      </c>
      <c r="B61" s="12" t="s">
        <v>275</v>
      </c>
      <c r="C61" s="8">
        <v>29087.0</v>
      </c>
      <c r="D61" s="8">
        <v>8.0</v>
      </c>
      <c r="E61" s="12" t="s">
        <v>277</v>
      </c>
      <c r="F61" s="8">
        <v>29129.0</v>
      </c>
      <c r="G61" s="8">
        <v>8.0</v>
      </c>
      <c r="H61" s="12" t="s">
        <v>212</v>
      </c>
      <c r="I61" s="94" t="str">
        <f>IFERROR(__xludf.DUMMYFUNCTION("if(H61=""Must be Together"",iferror(join("", "",unique(filter({filter('Students (Vertical)'!O:O,'Students (Vertical)'!C:C=B61,'Students (Vertical)'!O:O&lt;&gt;"""");filter('Students (Vertical)'!O:O,'Students (Vertical)'!C:C=E61,'Students (Vertical)'!O:O&lt;&gt;"""")}"&amp;",countifs({filter('Students (Vertical)'!O:O,'Students (Vertical)'!C:C=B61,'Students (Vertical)'!O:O&lt;&gt;"""");filter('Students (Vertical)'!O:O,'Students (Vertical)'!C:C=E61,'Students (Vertical)'!O:O&lt;&gt;"""")},{filter('Students (Vertical)'!O:O,'Students (Vertic"&amp;"al)'!C:C=B61,'Students (Vertical)'!O:O&lt;&gt;"""");filter('Students (Vertical)'!O:O,'Students (Vertical)'!C:C=E61,'Students (Vertical)'!O:O&lt;&gt;"""")})&gt;1))),""No shared courses""),"""")"),"")</f>
        <v/>
      </c>
      <c r="J61" s="94" t="str">
        <f>IFERROR(__xludf.DUMMYFUNCTION("if(H61=""Can't be Together"",iferror(join("", "",unique(filter({unique(filter('Students (Vertical)'!O:O,'Students (Vertical)'!C:C=B61,'Students (Vertical)'!O:O&lt;&gt;"""",'Students (Vertical)'!P:P&gt;1));unique(filter('Students (Vertical)'!O:O,'Students (Vertical"&amp;")'!C:C=E61,'Students (Vertical)'!O:O&lt;&gt;"""",'Students (Vertical)'!P:P&gt;1))},countifs({unique(filter('Students (Vertical)'!O:O,'Students (Vertical)'!C:C=B61,'Students (Vertical)'!O:O&lt;&gt;"""",'Students (Vertical)'!P:P&gt;1));unique(filter('Students (Vertical)'!O:O"&amp;",'Students (Vertical)'!C:C=E61,'Students (Vertical)'!O:O&lt;&gt;"""",'Students (Vertical)'!P:P&gt;1))},{unique(filter('Students (Vertical)'!O:O,'Students (Vertical)'!C:C=B61,'Students (Vertical)'!O:O&lt;&gt;"""",'Students (Vertical)'!P:P&gt;1));unique(filter('Students (Ver"&amp;"tical)'!O:O,'Students (Vertical)'!C:C=E61,'Students (Vertical)'!O:O&lt;&gt;"""",'Students (Vertical)'!P:P&gt;1))})&gt;1))),""""),"""")"),"Science 8-3, Spanish 8-4")</f>
        <v>Science 8-3, Spanish 8-4</v>
      </c>
      <c r="K61" s="96" t="str">
        <f>IFERROR(__xludf.DUMMYFUNCTION("iferror(join("", "",unique(filter({filter('Students (Vertical)'!D:D,'Students (Vertical)'!C:C=B61,'Students (Vertical)'!D:D&lt;&gt;"""");filter('Students (Vertical)'!D:D,'Students (Vertical)'!C:C=E61,'Students (Vertical)'!D:D&lt;&gt;"""")},countifs({filter('Students "&amp;"(Vertical)'!D:D,'Students (Vertical)'!C:C=B61,'Students (Vertical)'!D:D&lt;&gt;"""");filter('Students (Vertical)'!D:D,'Students (Vertical)'!C:C=E61,'Students (Vertical)'!D:D&lt;&gt;"""")},{filter('Students (Vertical)'!D:D,'Students (Vertical)'!C:C=B61,'Students (Vert"&amp;"ical)'!D:D&lt;&gt;"""");filter('Students (Vertical)'!D:D,'Students (Vertical)'!C:C=E61,'Students (Vertical)'!D:D&lt;&gt;"""")})&gt;1))),"""")"),"Science 8, Math 8, English 8, Sociales 8, Spanish 8, PE 8")</f>
        <v>Science 8, Math 8, English 8, Sociales 8, Spanish 8, PE 8</v>
      </c>
      <c r="L61" s="96"/>
      <c r="M61" s="96"/>
    </row>
    <row r="62">
      <c r="A62" s="8">
        <v>61.0</v>
      </c>
      <c r="B62" s="12" t="s">
        <v>275</v>
      </c>
      <c r="C62" s="8">
        <v>29087.0</v>
      </c>
      <c r="D62" s="8">
        <v>8.0</v>
      </c>
      <c r="E62" s="12" t="s">
        <v>278</v>
      </c>
      <c r="F62" s="8">
        <v>29100.0</v>
      </c>
      <c r="G62" s="8">
        <v>8.0</v>
      </c>
      <c r="H62" s="12" t="s">
        <v>212</v>
      </c>
      <c r="I62" s="94" t="str">
        <f>IFERROR(__xludf.DUMMYFUNCTION("if(H62=""Must be Together"",iferror(join("", "",unique(filter({filter('Students (Vertical)'!O:O,'Students (Vertical)'!C:C=B62,'Students (Vertical)'!O:O&lt;&gt;"""");filter('Students (Vertical)'!O:O,'Students (Vertical)'!C:C=E62,'Students (Vertical)'!O:O&lt;&gt;"""")}"&amp;",countifs({filter('Students (Vertical)'!O:O,'Students (Vertical)'!C:C=B62,'Students (Vertical)'!O:O&lt;&gt;"""");filter('Students (Vertical)'!O:O,'Students (Vertical)'!C:C=E62,'Students (Vertical)'!O:O&lt;&gt;"""")},{filter('Students (Vertical)'!O:O,'Students (Vertic"&amp;"al)'!C:C=B62,'Students (Vertical)'!O:O&lt;&gt;"""");filter('Students (Vertical)'!O:O,'Students (Vertical)'!C:C=E62,'Students (Vertical)'!O:O&lt;&gt;"""")})&gt;1))),""No shared courses""),"""")"),"")</f>
        <v/>
      </c>
      <c r="J62" s="94" t="str">
        <f>IFERROR(__xludf.DUMMYFUNCTION("if(H62=""Can't be Together"",iferror(join("", "",unique(filter({unique(filter('Students (Vertical)'!O:O,'Students (Vertical)'!C:C=B62,'Students (Vertical)'!O:O&lt;&gt;"""",'Students (Vertical)'!P:P&gt;1));unique(filter('Students (Vertical)'!O:O,'Students (Vertical"&amp;")'!C:C=E62,'Students (Vertical)'!O:O&lt;&gt;"""",'Students (Vertical)'!P:P&gt;1))},countifs({unique(filter('Students (Vertical)'!O:O,'Students (Vertical)'!C:C=B62,'Students (Vertical)'!O:O&lt;&gt;"""",'Students (Vertical)'!P:P&gt;1));unique(filter('Students (Vertical)'!O:O"&amp;",'Students (Vertical)'!C:C=E62,'Students (Vertical)'!O:O&lt;&gt;"""",'Students (Vertical)'!P:P&gt;1))},{unique(filter('Students (Vertical)'!O:O,'Students (Vertical)'!C:C=B62,'Students (Vertical)'!O:O&lt;&gt;"""",'Students (Vertical)'!P:P&gt;1));unique(filter('Students (Ver"&amp;"tical)'!O:O,'Students (Vertical)'!C:C=E62,'Students (Vertical)'!O:O&lt;&gt;"""",'Students (Vertical)'!P:P&gt;1))})&gt;1))),""""),"""")"),"Science 8-3, Spanish 8-4")</f>
        <v>Science 8-3, Spanish 8-4</v>
      </c>
      <c r="K62" s="96" t="str">
        <f>IFERROR(__xludf.DUMMYFUNCTION("iferror(join("", "",unique(filter({filter('Students (Vertical)'!D:D,'Students (Vertical)'!C:C=B62,'Students (Vertical)'!D:D&lt;&gt;"""");filter('Students (Vertical)'!D:D,'Students (Vertical)'!C:C=E62,'Students (Vertical)'!D:D&lt;&gt;"""")},countifs({filter('Students "&amp;"(Vertical)'!D:D,'Students (Vertical)'!C:C=B62,'Students (Vertical)'!D:D&lt;&gt;"""");filter('Students (Vertical)'!D:D,'Students (Vertical)'!C:C=E62,'Students (Vertical)'!D:D&lt;&gt;"""")},{filter('Students (Vertical)'!D:D,'Students (Vertical)'!C:C=B62,'Students (Vert"&amp;"ical)'!D:D&lt;&gt;"""");filter('Students (Vertical)'!D:D,'Students (Vertical)'!C:C=E62,'Students (Vertical)'!D:D&lt;&gt;"""")})&gt;1))),"""")"),"Science 8, English 8, Sociales 8, Spanish 8, PE 8, Band 8S1, Band 8S2")</f>
        <v>Science 8, English 8, Sociales 8, Spanish 8, PE 8, Band 8S1, Band 8S2</v>
      </c>
      <c r="L62" s="96"/>
      <c r="M62" s="96"/>
    </row>
    <row r="63">
      <c r="A63" s="8">
        <v>62.0</v>
      </c>
      <c r="B63" s="12" t="s">
        <v>276</v>
      </c>
      <c r="C63" s="8">
        <v>29039.0</v>
      </c>
      <c r="D63" s="8">
        <v>8.0</v>
      </c>
      <c r="E63" s="12" t="s">
        <v>274</v>
      </c>
      <c r="F63" s="8">
        <v>29138.0</v>
      </c>
      <c r="G63" s="8">
        <v>8.0</v>
      </c>
      <c r="H63" s="12" t="s">
        <v>212</v>
      </c>
      <c r="I63" s="94" t="str">
        <f>IFERROR(__xludf.DUMMYFUNCTION("if(H63=""Must be Together"",iferror(join("", "",unique(filter({filter('Students (Vertical)'!O:O,'Students (Vertical)'!C:C=B63,'Students (Vertical)'!O:O&lt;&gt;"""");filter('Students (Vertical)'!O:O,'Students (Vertical)'!C:C=E63,'Students (Vertical)'!O:O&lt;&gt;"""")}"&amp;",countifs({filter('Students (Vertical)'!O:O,'Students (Vertical)'!C:C=B63,'Students (Vertical)'!O:O&lt;&gt;"""");filter('Students (Vertical)'!O:O,'Students (Vertical)'!C:C=E63,'Students (Vertical)'!O:O&lt;&gt;"""")},{filter('Students (Vertical)'!O:O,'Students (Vertic"&amp;"al)'!C:C=B63,'Students (Vertical)'!O:O&lt;&gt;"""");filter('Students (Vertical)'!O:O,'Students (Vertical)'!C:C=E63,'Students (Vertical)'!O:O&lt;&gt;"""")})&gt;1))),""No shared courses""),"""")"),"")</f>
        <v/>
      </c>
      <c r="J63" s="94" t="str">
        <f>IFERROR(__xludf.DUMMYFUNCTION("if(H63=""Can't be Together"",iferror(join("", "",unique(filter({unique(filter('Students (Vertical)'!O:O,'Students (Vertical)'!C:C=B63,'Students (Vertical)'!O:O&lt;&gt;"""",'Students (Vertical)'!P:P&gt;1));unique(filter('Students (Vertical)'!O:O,'Students (Vertical"&amp;")'!C:C=E63,'Students (Vertical)'!O:O&lt;&gt;"""",'Students (Vertical)'!P:P&gt;1))},countifs({unique(filter('Students (Vertical)'!O:O,'Students (Vertical)'!C:C=B63,'Students (Vertical)'!O:O&lt;&gt;"""",'Students (Vertical)'!P:P&gt;1));unique(filter('Students (Vertical)'!O:O"&amp;",'Students (Vertical)'!C:C=E63,'Students (Vertical)'!O:O&lt;&gt;"""",'Students (Vertical)'!P:P&gt;1))},{unique(filter('Students (Vertical)'!O:O,'Students (Vertical)'!C:C=B63,'Students (Vertical)'!O:O&lt;&gt;"""",'Students (Vertical)'!P:P&gt;1));unique(filter('Students (Ver"&amp;"tical)'!O:O,'Students (Vertical)'!C:C=E63,'Students (Vertical)'!O:O&lt;&gt;"""",'Students (Vertical)'!P:P&gt;1))})&gt;1))),""""),"""")"),"")</f>
        <v/>
      </c>
      <c r="K63" s="96" t="str">
        <f>IFERROR(__xludf.DUMMYFUNCTION("iferror(join("", "",unique(filter({filter('Students (Vertical)'!D:D,'Students (Vertical)'!C:C=B63,'Students (Vertical)'!D:D&lt;&gt;"""");filter('Students (Vertical)'!D:D,'Students (Vertical)'!C:C=E63,'Students (Vertical)'!D:D&lt;&gt;"""")},countifs({filter('Students "&amp;"(Vertical)'!D:D,'Students (Vertical)'!C:C=B63,'Students (Vertical)'!D:D&lt;&gt;"""");filter('Students (Vertical)'!D:D,'Students (Vertical)'!C:C=E63,'Students (Vertical)'!D:D&lt;&gt;"""")},{filter('Students (Vertical)'!D:D,'Students (Vertical)'!C:C=B63,'Students (Vert"&amp;"ical)'!D:D&lt;&gt;"""");filter('Students (Vertical)'!D:D,'Students (Vertical)'!C:C=E63,'Students (Vertical)'!D:D&lt;&gt;"""")})&gt;1))),"""")"),"Science 8, Sociales 8, Spanish 8, PE 8")</f>
        <v>Science 8, Sociales 8, Spanish 8, PE 8</v>
      </c>
      <c r="L63" s="96"/>
      <c r="M63" s="96"/>
    </row>
    <row r="64">
      <c r="A64" s="8">
        <v>63.0</v>
      </c>
      <c r="B64" s="12" t="s">
        <v>276</v>
      </c>
      <c r="C64" s="8">
        <v>29039.0</v>
      </c>
      <c r="D64" s="8">
        <v>8.0</v>
      </c>
      <c r="E64" s="12" t="s">
        <v>275</v>
      </c>
      <c r="F64" s="8">
        <v>29087.0</v>
      </c>
      <c r="G64" s="8">
        <v>8.0</v>
      </c>
      <c r="H64" s="12" t="s">
        <v>212</v>
      </c>
      <c r="I64" s="94" t="str">
        <f>IFERROR(__xludf.DUMMYFUNCTION("if(H64=""Must be Together"",iferror(join("", "",unique(filter({filter('Students (Vertical)'!O:O,'Students (Vertical)'!C:C=B64,'Students (Vertical)'!O:O&lt;&gt;"""");filter('Students (Vertical)'!O:O,'Students (Vertical)'!C:C=E64,'Students (Vertical)'!O:O&lt;&gt;"""")}"&amp;",countifs({filter('Students (Vertical)'!O:O,'Students (Vertical)'!C:C=B64,'Students (Vertical)'!O:O&lt;&gt;"""");filter('Students (Vertical)'!O:O,'Students (Vertical)'!C:C=E64,'Students (Vertical)'!O:O&lt;&gt;"""")},{filter('Students (Vertical)'!O:O,'Students (Vertic"&amp;"al)'!C:C=B64,'Students (Vertical)'!O:O&lt;&gt;"""");filter('Students (Vertical)'!O:O,'Students (Vertical)'!C:C=E64,'Students (Vertical)'!O:O&lt;&gt;"""")})&gt;1))),""No shared courses""),"""")"),"")</f>
        <v/>
      </c>
      <c r="J64" s="94" t="str">
        <f>IFERROR(__xludf.DUMMYFUNCTION("if(H64=""Can't be Together"",iferror(join("", "",unique(filter({unique(filter('Students (Vertical)'!O:O,'Students (Vertical)'!C:C=B64,'Students (Vertical)'!O:O&lt;&gt;"""",'Students (Vertical)'!P:P&gt;1));unique(filter('Students (Vertical)'!O:O,'Students (Vertical"&amp;")'!C:C=E64,'Students (Vertical)'!O:O&lt;&gt;"""",'Students (Vertical)'!P:P&gt;1))},countifs({unique(filter('Students (Vertical)'!O:O,'Students (Vertical)'!C:C=B64,'Students (Vertical)'!O:O&lt;&gt;"""",'Students (Vertical)'!P:P&gt;1));unique(filter('Students (Vertical)'!O:O"&amp;",'Students (Vertical)'!C:C=E64,'Students (Vertical)'!O:O&lt;&gt;"""",'Students (Vertical)'!P:P&gt;1))},{unique(filter('Students (Vertical)'!O:O,'Students (Vertical)'!C:C=B64,'Students (Vertical)'!O:O&lt;&gt;"""",'Students (Vertical)'!P:P&gt;1));unique(filter('Students (Ver"&amp;"tical)'!O:O,'Students (Vertical)'!C:C=E64,'Students (Vertical)'!O:O&lt;&gt;"""",'Students (Vertical)'!P:P&gt;1))})&gt;1))),""""),"""")"),"")</f>
        <v/>
      </c>
      <c r="K64" s="96" t="str">
        <f>IFERROR(__xludf.DUMMYFUNCTION("iferror(join("", "",unique(filter({filter('Students (Vertical)'!D:D,'Students (Vertical)'!C:C=B64,'Students (Vertical)'!D:D&lt;&gt;"""");filter('Students (Vertical)'!D:D,'Students (Vertical)'!C:C=E64,'Students (Vertical)'!D:D&lt;&gt;"""")},countifs({filter('Students "&amp;"(Vertical)'!D:D,'Students (Vertical)'!C:C=B64,'Students (Vertical)'!D:D&lt;&gt;"""");filter('Students (Vertical)'!D:D,'Students (Vertical)'!C:C=E64,'Students (Vertical)'!D:D&lt;&gt;"""")},{filter('Students (Vertical)'!D:D,'Students (Vertical)'!C:C=B64,'Students (Vert"&amp;"ical)'!D:D&lt;&gt;"""");filter('Students (Vertical)'!D:D,'Students (Vertical)'!C:C=E64,'Students (Vertical)'!D:D&lt;&gt;"""")})&gt;1))),"""")"),"Science 8, Sociales 8, Spanish 8, PE 8")</f>
        <v>Science 8, Sociales 8, Spanish 8, PE 8</v>
      </c>
      <c r="L64" s="96"/>
      <c r="M64" s="96"/>
    </row>
    <row r="65">
      <c r="A65" s="8">
        <v>64.0</v>
      </c>
      <c r="B65" s="12" t="s">
        <v>276</v>
      </c>
      <c r="C65" s="8">
        <v>29039.0</v>
      </c>
      <c r="D65" s="8">
        <v>8.0</v>
      </c>
      <c r="E65" s="12" t="s">
        <v>277</v>
      </c>
      <c r="F65" s="8">
        <v>29129.0</v>
      </c>
      <c r="G65" s="8">
        <v>8.0</v>
      </c>
      <c r="H65" s="12" t="s">
        <v>212</v>
      </c>
      <c r="I65" s="94" t="str">
        <f>IFERROR(__xludf.DUMMYFUNCTION("if(H65=""Must be Together"",iferror(join("", "",unique(filter({filter('Students (Vertical)'!O:O,'Students (Vertical)'!C:C=B65,'Students (Vertical)'!O:O&lt;&gt;"""");filter('Students (Vertical)'!O:O,'Students (Vertical)'!C:C=E65,'Students (Vertical)'!O:O&lt;&gt;"""")}"&amp;",countifs({filter('Students (Vertical)'!O:O,'Students (Vertical)'!C:C=B65,'Students (Vertical)'!O:O&lt;&gt;"""");filter('Students (Vertical)'!O:O,'Students (Vertical)'!C:C=E65,'Students (Vertical)'!O:O&lt;&gt;"""")},{filter('Students (Vertical)'!O:O,'Students (Vertic"&amp;"al)'!C:C=B65,'Students (Vertical)'!O:O&lt;&gt;"""");filter('Students (Vertical)'!O:O,'Students (Vertical)'!C:C=E65,'Students (Vertical)'!O:O&lt;&gt;"""")})&gt;1))),""No shared courses""),"""")"),"")</f>
        <v/>
      </c>
      <c r="J65" s="94" t="str">
        <f>IFERROR(__xludf.DUMMYFUNCTION("if(H65=""Can't be Together"",iferror(join("", "",unique(filter({unique(filter('Students (Vertical)'!O:O,'Students (Vertical)'!C:C=B65,'Students (Vertical)'!O:O&lt;&gt;"""",'Students (Vertical)'!P:P&gt;1));unique(filter('Students (Vertical)'!O:O,'Students (Vertical"&amp;")'!C:C=E65,'Students (Vertical)'!O:O&lt;&gt;"""",'Students (Vertical)'!P:P&gt;1))},countifs({unique(filter('Students (Vertical)'!O:O,'Students (Vertical)'!C:C=B65,'Students (Vertical)'!O:O&lt;&gt;"""",'Students (Vertical)'!P:P&gt;1));unique(filter('Students (Vertical)'!O:O"&amp;",'Students (Vertical)'!C:C=E65,'Students (Vertical)'!O:O&lt;&gt;"""",'Students (Vertical)'!P:P&gt;1))},{unique(filter('Students (Vertical)'!O:O,'Students (Vertical)'!C:C=B65,'Students (Vertical)'!O:O&lt;&gt;"""",'Students (Vertical)'!P:P&gt;1));unique(filter('Students (Ver"&amp;"tical)'!O:O,'Students (Vertical)'!C:C=E65,'Students (Vertical)'!O:O&lt;&gt;"""",'Students (Vertical)'!P:P&gt;1))})&gt;1))),""""),"""")"),"PE 8-5b")</f>
        <v>PE 8-5b</v>
      </c>
      <c r="K65" s="96" t="str">
        <f>IFERROR(__xludf.DUMMYFUNCTION("iferror(join("", "",unique(filter({filter('Students (Vertical)'!D:D,'Students (Vertical)'!C:C=B65,'Students (Vertical)'!D:D&lt;&gt;"""");filter('Students (Vertical)'!D:D,'Students (Vertical)'!C:C=E65,'Students (Vertical)'!D:D&lt;&gt;"""")},countifs({filter('Students "&amp;"(Vertical)'!D:D,'Students (Vertical)'!C:C=B65,'Students (Vertical)'!D:D&lt;&gt;"""");filter('Students (Vertical)'!D:D,'Students (Vertical)'!C:C=E65,'Students (Vertical)'!D:D&lt;&gt;"""")},{filter('Students (Vertical)'!D:D,'Students (Vertical)'!C:C=B65,'Students (Vert"&amp;"ical)'!D:D&lt;&gt;"""");filter('Students (Vertical)'!D:D,'Students (Vertical)'!C:C=E65,'Students (Vertical)'!D:D&lt;&gt;"""")})&gt;1))),"""")"),"Science 8, Sociales 8, Spanish 8, PE 8")</f>
        <v>Science 8, Sociales 8, Spanish 8, PE 8</v>
      </c>
      <c r="L65" s="96"/>
      <c r="M65" s="96"/>
    </row>
    <row r="66">
      <c r="A66" s="8">
        <v>65.0</v>
      </c>
      <c r="B66" s="12" t="s">
        <v>276</v>
      </c>
      <c r="C66" s="8">
        <v>29039.0</v>
      </c>
      <c r="D66" s="8">
        <v>8.0</v>
      </c>
      <c r="E66" s="12" t="s">
        <v>278</v>
      </c>
      <c r="F66" s="8">
        <v>29100.0</v>
      </c>
      <c r="G66" s="8">
        <v>8.0</v>
      </c>
      <c r="H66" s="12" t="s">
        <v>212</v>
      </c>
      <c r="I66" s="94" t="str">
        <f>IFERROR(__xludf.DUMMYFUNCTION("if(H66=""Must be Together"",iferror(join("", "",unique(filter({filter('Students (Vertical)'!O:O,'Students (Vertical)'!C:C=B66,'Students (Vertical)'!O:O&lt;&gt;"""");filter('Students (Vertical)'!O:O,'Students (Vertical)'!C:C=E66,'Students (Vertical)'!O:O&lt;&gt;"""")}"&amp;",countifs({filter('Students (Vertical)'!O:O,'Students (Vertical)'!C:C=B66,'Students (Vertical)'!O:O&lt;&gt;"""");filter('Students (Vertical)'!O:O,'Students (Vertical)'!C:C=E66,'Students (Vertical)'!O:O&lt;&gt;"""")},{filter('Students (Vertical)'!O:O,'Students (Vertic"&amp;"al)'!C:C=B66,'Students (Vertical)'!O:O&lt;&gt;"""");filter('Students (Vertical)'!O:O,'Students (Vertical)'!C:C=E66,'Students (Vertical)'!O:O&lt;&gt;"""")})&gt;1))),""No shared courses""),"""")"),"")</f>
        <v/>
      </c>
      <c r="J66" s="94" t="str">
        <f>IFERROR(__xludf.DUMMYFUNCTION("if(H66=""Can't be Together"",iferror(join("", "",unique(filter({unique(filter('Students (Vertical)'!O:O,'Students (Vertical)'!C:C=B66,'Students (Vertical)'!O:O&lt;&gt;"""",'Students (Vertical)'!P:P&gt;1));unique(filter('Students (Vertical)'!O:O,'Students (Vertical"&amp;")'!C:C=E66,'Students (Vertical)'!O:O&lt;&gt;"""",'Students (Vertical)'!P:P&gt;1))},countifs({unique(filter('Students (Vertical)'!O:O,'Students (Vertical)'!C:C=B66,'Students (Vertical)'!O:O&lt;&gt;"""",'Students (Vertical)'!P:P&gt;1));unique(filter('Students (Vertical)'!O:O"&amp;",'Students (Vertical)'!C:C=E66,'Students (Vertical)'!O:O&lt;&gt;"""",'Students (Vertical)'!P:P&gt;1))},{unique(filter('Students (Vertical)'!O:O,'Students (Vertical)'!C:C=B66,'Students (Vertical)'!O:O&lt;&gt;"""",'Students (Vertical)'!P:P&gt;1));unique(filter('Students (Ver"&amp;"tical)'!O:O,'Students (Vertical)'!C:C=E66,'Students (Vertical)'!O:O&lt;&gt;"""",'Students (Vertical)'!P:P&gt;1))})&gt;1))),""""),"""")"),"")</f>
        <v/>
      </c>
      <c r="K66" s="96" t="str">
        <f>IFERROR(__xludf.DUMMYFUNCTION("iferror(join("", "",unique(filter({filter('Students (Vertical)'!D:D,'Students (Vertical)'!C:C=B66,'Students (Vertical)'!D:D&lt;&gt;"""");filter('Students (Vertical)'!D:D,'Students (Vertical)'!C:C=E66,'Students (Vertical)'!D:D&lt;&gt;"""")},countifs({filter('Students "&amp;"(Vertical)'!D:D,'Students (Vertical)'!C:C=B66,'Students (Vertical)'!D:D&lt;&gt;"""");filter('Students (Vertical)'!D:D,'Students (Vertical)'!C:C=E66,'Students (Vertical)'!D:D&lt;&gt;"""")},{filter('Students (Vertical)'!D:D,'Students (Vertical)'!C:C=B66,'Students (Vert"&amp;"ical)'!D:D&lt;&gt;"""");filter('Students (Vertical)'!D:D,'Students (Vertical)'!C:C=E66,'Students (Vertical)'!D:D&lt;&gt;"""")})&gt;1))),"""")"),"Science 8, Math 8A, Sociales 8, Spanish 8, PE 8")</f>
        <v>Science 8, Math 8A, Sociales 8, Spanish 8, PE 8</v>
      </c>
      <c r="L66" s="96"/>
      <c r="M66" s="96"/>
    </row>
    <row r="67">
      <c r="A67" s="8">
        <v>66.0</v>
      </c>
      <c r="B67" s="12" t="s">
        <v>277</v>
      </c>
      <c r="C67" s="8">
        <v>29129.0</v>
      </c>
      <c r="D67" s="8">
        <v>8.0</v>
      </c>
      <c r="E67" s="12" t="s">
        <v>274</v>
      </c>
      <c r="F67" s="8">
        <v>29138.0</v>
      </c>
      <c r="G67" s="8">
        <v>8.0</v>
      </c>
      <c r="H67" s="12" t="s">
        <v>212</v>
      </c>
      <c r="I67" s="94" t="str">
        <f>IFERROR(__xludf.DUMMYFUNCTION("if(H67=""Must be Together"",iferror(join("", "",unique(filter({filter('Students (Vertical)'!O:O,'Students (Vertical)'!C:C=B67,'Students (Vertical)'!O:O&lt;&gt;"""");filter('Students (Vertical)'!O:O,'Students (Vertical)'!C:C=E67,'Students (Vertical)'!O:O&lt;&gt;"""")}"&amp;",countifs({filter('Students (Vertical)'!O:O,'Students (Vertical)'!C:C=B67,'Students (Vertical)'!O:O&lt;&gt;"""");filter('Students (Vertical)'!O:O,'Students (Vertical)'!C:C=E67,'Students (Vertical)'!O:O&lt;&gt;"""")},{filter('Students (Vertical)'!O:O,'Students (Vertic"&amp;"al)'!C:C=B67,'Students (Vertical)'!O:O&lt;&gt;"""");filter('Students (Vertical)'!O:O,'Students (Vertical)'!C:C=E67,'Students (Vertical)'!O:O&lt;&gt;"""")})&gt;1))),""No shared courses""),"""")"),"")</f>
        <v/>
      </c>
      <c r="J67" s="94" t="str">
        <f>IFERROR(__xludf.DUMMYFUNCTION("if(H67=""Can't be Together"",iferror(join("", "",unique(filter({unique(filter('Students (Vertical)'!O:O,'Students (Vertical)'!C:C=B67,'Students (Vertical)'!O:O&lt;&gt;"""",'Students (Vertical)'!P:P&gt;1));unique(filter('Students (Vertical)'!O:O,'Students (Vertical"&amp;")'!C:C=E67,'Students (Vertical)'!O:O&lt;&gt;"""",'Students (Vertical)'!P:P&gt;1))},countifs({unique(filter('Students (Vertical)'!O:O,'Students (Vertical)'!C:C=B67,'Students (Vertical)'!O:O&lt;&gt;"""",'Students (Vertical)'!P:P&gt;1));unique(filter('Students (Vertical)'!O:O"&amp;",'Students (Vertical)'!C:C=E67,'Students (Vertical)'!O:O&lt;&gt;"""",'Students (Vertical)'!P:P&gt;1))},{unique(filter('Students (Vertical)'!O:O,'Students (Vertical)'!C:C=B67,'Students (Vertical)'!O:O&lt;&gt;"""",'Students (Vertical)'!P:P&gt;1));unique(filter('Students (Ver"&amp;"tical)'!O:O,'Students (Vertical)'!C:C=E67,'Students (Vertical)'!O:O&lt;&gt;"""",'Students (Vertical)'!P:P&gt;1))})&gt;1))),""""),"""")"),"English 8-1")</f>
        <v>English 8-1</v>
      </c>
      <c r="K67" s="96" t="str">
        <f>IFERROR(__xludf.DUMMYFUNCTION("iferror(join("", "",unique(filter({filter('Students (Vertical)'!D:D,'Students (Vertical)'!C:C=B67,'Students (Vertical)'!D:D&lt;&gt;"""");filter('Students (Vertical)'!D:D,'Students (Vertical)'!C:C=E67,'Students (Vertical)'!D:D&lt;&gt;"""")},countifs({filter('Students "&amp;"(Vertical)'!D:D,'Students (Vertical)'!C:C=B67,'Students (Vertical)'!D:D&lt;&gt;"""");filter('Students (Vertical)'!D:D,'Students (Vertical)'!C:C=E67,'Students (Vertical)'!D:D&lt;&gt;"""")},{filter('Students (Vertical)'!D:D,'Students (Vertical)'!C:C=B67,'Students (Vert"&amp;"ical)'!D:D&lt;&gt;"""");filter('Students (Vertical)'!D:D,'Students (Vertical)'!C:C=E67,'Students (Vertical)'!D:D&lt;&gt;"""")})&gt;1))),"""")"),"Science 8, English 8, Sociales 8, Spanish 8, PE 8")</f>
        <v>Science 8, English 8, Sociales 8, Spanish 8, PE 8</v>
      </c>
      <c r="L67" s="96"/>
      <c r="M67" s="96"/>
    </row>
    <row r="68">
      <c r="A68" s="8">
        <v>67.0</v>
      </c>
      <c r="B68" s="12" t="s">
        <v>277</v>
      </c>
      <c r="C68" s="8">
        <v>29129.0</v>
      </c>
      <c r="D68" s="8">
        <v>8.0</v>
      </c>
      <c r="E68" s="12" t="s">
        <v>275</v>
      </c>
      <c r="F68" s="8">
        <v>29087.0</v>
      </c>
      <c r="G68" s="8">
        <v>8.0</v>
      </c>
      <c r="H68" s="12" t="s">
        <v>212</v>
      </c>
      <c r="I68" s="94" t="str">
        <f>IFERROR(__xludf.DUMMYFUNCTION("if(H68=""Must be Together"",iferror(join("", "",unique(filter({filter('Students (Vertical)'!O:O,'Students (Vertical)'!C:C=B68,'Students (Vertical)'!O:O&lt;&gt;"""");filter('Students (Vertical)'!O:O,'Students (Vertical)'!C:C=E68,'Students (Vertical)'!O:O&lt;&gt;"""")}"&amp;",countifs({filter('Students (Vertical)'!O:O,'Students (Vertical)'!C:C=B68,'Students (Vertical)'!O:O&lt;&gt;"""");filter('Students (Vertical)'!O:O,'Students (Vertical)'!C:C=E68,'Students (Vertical)'!O:O&lt;&gt;"""")},{filter('Students (Vertical)'!O:O,'Students (Vertic"&amp;"al)'!C:C=B68,'Students (Vertical)'!O:O&lt;&gt;"""");filter('Students (Vertical)'!O:O,'Students (Vertical)'!C:C=E68,'Students (Vertical)'!O:O&lt;&gt;"""")})&gt;1))),""No shared courses""),"""")"),"")</f>
        <v/>
      </c>
      <c r="J68" s="94" t="str">
        <f>IFERROR(__xludf.DUMMYFUNCTION("if(H68=""Can't be Together"",iferror(join("", "",unique(filter({unique(filter('Students (Vertical)'!O:O,'Students (Vertical)'!C:C=B68,'Students (Vertical)'!O:O&lt;&gt;"""",'Students (Vertical)'!P:P&gt;1));unique(filter('Students (Vertical)'!O:O,'Students (Vertical"&amp;")'!C:C=E68,'Students (Vertical)'!O:O&lt;&gt;"""",'Students (Vertical)'!P:P&gt;1))},countifs({unique(filter('Students (Vertical)'!O:O,'Students (Vertical)'!C:C=B68,'Students (Vertical)'!O:O&lt;&gt;"""",'Students (Vertical)'!P:P&gt;1));unique(filter('Students (Vertical)'!O:O"&amp;",'Students (Vertical)'!C:C=E68,'Students (Vertical)'!O:O&lt;&gt;"""",'Students (Vertical)'!P:P&gt;1))},{unique(filter('Students (Vertical)'!O:O,'Students (Vertical)'!C:C=B68,'Students (Vertical)'!O:O&lt;&gt;"""",'Students (Vertical)'!P:P&gt;1));unique(filter('Students (Ver"&amp;"tical)'!O:O,'Students (Vertical)'!C:C=E68,'Students (Vertical)'!O:O&lt;&gt;"""",'Students (Vertical)'!P:P&gt;1))})&gt;1))),""""),"""")"),"Science 8-3, Spanish 8-4")</f>
        <v>Science 8-3, Spanish 8-4</v>
      </c>
      <c r="K68" s="96" t="str">
        <f>IFERROR(__xludf.DUMMYFUNCTION("iferror(join("", "",unique(filter({filter('Students (Vertical)'!D:D,'Students (Vertical)'!C:C=B68,'Students (Vertical)'!D:D&lt;&gt;"""");filter('Students (Vertical)'!D:D,'Students (Vertical)'!C:C=E68,'Students (Vertical)'!D:D&lt;&gt;"""")},countifs({filter('Students "&amp;"(Vertical)'!D:D,'Students (Vertical)'!C:C=B68,'Students (Vertical)'!D:D&lt;&gt;"""");filter('Students (Vertical)'!D:D,'Students (Vertical)'!C:C=E68,'Students (Vertical)'!D:D&lt;&gt;"""")},{filter('Students (Vertical)'!D:D,'Students (Vertical)'!C:C=B68,'Students (Vert"&amp;"ical)'!D:D&lt;&gt;"""");filter('Students (Vertical)'!D:D,'Students (Vertical)'!C:C=E68,'Students (Vertical)'!D:D&lt;&gt;"""")})&gt;1))),"""")"),"Science 8, Math 8, English 8, Sociales 8, Spanish 8, PE 8")</f>
        <v>Science 8, Math 8, English 8, Sociales 8, Spanish 8, PE 8</v>
      </c>
      <c r="L68" s="96"/>
      <c r="M68" s="96"/>
    </row>
    <row r="69">
      <c r="A69" s="8">
        <v>68.0</v>
      </c>
      <c r="B69" s="12" t="s">
        <v>277</v>
      </c>
      <c r="C69" s="8">
        <v>29129.0</v>
      </c>
      <c r="D69" s="8">
        <v>8.0</v>
      </c>
      <c r="E69" s="12" t="s">
        <v>276</v>
      </c>
      <c r="F69" s="8">
        <v>29039.0</v>
      </c>
      <c r="G69" s="8">
        <v>8.0</v>
      </c>
      <c r="H69" s="12" t="s">
        <v>212</v>
      </c>
      <c r="I69" s="94" t="str">
        <f>IFERROR(__xludf.DUMMYFUNCTION("if(H69=""Must be Together"",iferror(join("", "",unique(filter({filter('Students (Vertical)'!O:O,'Students (Vertical)'!C:C=B69,'Students (Vertical)'!O:O&lt;&gt;"""");filter('Students (Vertical)'!O:O,'Students (Vertical)'!C:C=E69,'Students (Vertical)'!O:O&lt;&gt;"""")}"&amp;",countifs({filter('Students (Vertical)'!O:O,'Students (Vertical)'!C:C=B69,'Students (Vertical)'!O:O&lt;&gt;"""");filter('Students (Vertical)'!O:O,'Students (Vertical)'!C:C=E69,'Students (Vertical)'!O:O&lt;&gt;"""")},{filter('Students (Vertical)'!O:O,'Students (Vertic"&amp;"al)'!C:C=B69,'Students (Vertical)'!O:O&lt;&gt;"""");filter('Students (Vertical)'!O:O,'Students (Vertical)'!C:C=E69,'Students (Vertical)'!O:O&lt;&gt;"""")})&gt;1))),""No shared courses""),"""")"),"")</f>
        <v/>
      </c>
      <c r="J69" s="94" t="str">
        <f>IFERROR(__xludf.DUMMYFUNCTION("if(H69=""Can't be Together"",iferror(join("", "",unique(filter({unique(filter('Students (Vertical)'!O:O,'Students (Vertical)'!C:C=B69,'Students (Vertical)'!O:O&lt;&gt;"""",'Students (Vertical)'!P:P&gt;1));unique(filter('Students (Vertical)'!O:O,'Students (Vertical"&amp;")'!C:C=E69,'Students (Vertical)'!O:O&lt;&gt;"""",'Students (Vertical)'!P:P&gt;1))},countifs({unique(filter('Students (Vertical)'!O:O,'Students (Vertical)'!C:C=B69,'Students (Vertical)'!O:O&lt;&gt;"""",'Students (Vertical)'!P:P&gt;1));unique(filter('Students (Vertical)'!O:O"&amp;",'Students (Vertical)'!C:C=E69,'Students (Vertical)'!O:O&lt;&gt;"""",'Students (Vertical)'!P:P&gt;1))},{unique(filter('Students (Vertical)'!O:O,'Students (Vertical)'!C:C=B69,'Students (Vertical)'!O:O&lt;&gt;"""",'Students (Vertical)'!P:P&gt;1));unique(filter('Students (Ver"&amp;"tical)'!O:O,'Students (Vertical)'!C:C=E69,'Students (Vertical)'!O:O&lt;&gt;"""",'Students (Vertical)'!P:P&gt;1))})&gt;1))),""""),"""")"),"PE 8-5b")</f>
        <v>PE 8-5b</v>
      </c>
      <c r="K69" s="96" t="str">
        <f>IFERROR(__xludf.DUMMYFUNCTION("iferror(join("", "",unique(filter({filter('Students (Vertical)'!D:D,'Students (Vertical)'!C:C=B69,'Students (Vertical)'!D:D&lt;&gt;"""");filter('Students (Vertical)'!D:D,'Students (Vertical)'!C:C=E69,'Students (Vertical)'!D:D&lt;&gt;"""")},countifs({filter('Students "&amp;"(Vertical)'!D:D,'Students (Vertical)'!C:C=B69,'Students (Vertical)'!D:D&lt;&gt;"""");filter('Students (Vertical)'!D:D,'Students (Vertical)'!C:C=E69,'Students (Vertical)'!D:D&lt;&gt;"""")},{filter('Students (Vertical)'!D:D,'Students (Vertical)'!C:C=B69,'Students (Vert"&amp;"ical)'!D:D&lt;&gt;"""");filter('Students (Vertical)'!D:D,'Students (Vertical)'!C:C=E69,'Students (Vertical)'!D:D&lt;&gt;"""")})&gt;1))),"""")"),"Science 8, Sociales 8, Spanish 8, PE 8")</f>
        <v>Science 8, Sociales 8, Spanish 8, PE 8</v>
      </c>
      <c r="L69" s="96"/>
      <c r="M69" s="96"/>
    </row>
    <row r="70">
      <c r="A70" s="8">
        <v>69.0</v>
      </c>
      <c r="B70" s="12" t="s">
        <v>277</v>
      </c>
      <c r="C70" s="8">
        <v>29129.0</v>
      </c>
      <c r="D70" s="8">
        <v>8.0</v>
      </c>
      <c r="E70" s="12" t="s">
        <v>278</v>
      </c>
      <c r="F70" s="8">
        <v>29100.0</v>
      </c>
      <c r="G70" s="8">
        <v>8.0</v>
      </c>
      <c r="H70" s="12" t="s">
        <v>212</v>
      </c>
      <c r="I70" s="94" t="str">
        <f>IFERROR(__xludf.DUMMYFUNCTION("if(H70=""Must be Together"",iferror(join("", "",unique(filter({filter('Students (Vertical)'!O:O,'Students (Vertical)'!C:C=B70,'Students (Vertical)'!O:O&lt;&gt;"""");filter('Students (Vertical)'!O:O,'Students (Vertical)'!C:C=E70,'Students (Vertical)'!O:O&lt;&gt;"""")}"&amp;",countifs({filter('Students (Vertical)'!O:O,'Students (Vertical)'!C:C=B70,'Students (Vertical)'!O:O&lt;&gt;"""");filter('Students (Vertical)'!O:O,'Students (Vertical)'!C:C=E70,'Students (Vertical)'!O:O&lt;&gt;"""")},{filter('Students (Vertical)'!O:O,'Students (Vertic"&amp;"al)'!C:C=B70,'Students (Vertical)'!O:O&lt;&gt;"""");filter('Students (Vertical)'!O:O,'Students (Vertical)'!C:C=E70,'Students (Vertical)'!O:O&lt;&gt;"""")})&gt;1))),""No shared courses""),"""")"),"")</f>
        <v/>
      </c>
      <c r="J70" s="94" t="str">
        <f>IFERROR(__xludf.DUMMYFUNCTION("if(H70=""Can't be Together"",iferror(join("", "",unique(filter({unique(filter('Students (Vertical)'!O:O,'Students (Vertical)'!C:C=B70,'Students (Vertical)'!O:O&lt;&gt;"""",'Students (Vertical)'!P:P&gt;1));unique(filter('Students (Vertical)'!O:O,'Students (Vertical"&amp;")'!C:C=E70,'Students (Vertical)'!O:O&lt;&gt;"""",'Students (Vertical)'!P:P&gt;1))},countifs({unique(filter('Students (Vertical)'!O:O,'Students (Vertical)'!C:C=B70,'Students (Vertical)'!O:O&lt;&gt;"""",'Students (Vertical)'!P:P&gt;1));unique(filter('Students (Vertical)'!O:O"&amp;",'Students (Vertical)'!C:C=E70,'Students (Vertical)'!O:O&lt;&gt;"""",'Students (Vertical)'!P:P&gt;1))},{unique(filter('Students (Vertical)'!O:O,'Students (Vertical)'!C:C=B70,'Students (Vertical)'!O:O&lt;&gt;"""",'Students (Vertical)'!P:P&gt;1));unique(filter('Students (Ver"&amp;"tical)'!O:O,'Students (Vertical)'!C:C=E70,'Students (Vertical)'!O:O&lt;&gt;"""",'Students (Vertical)'!P:P&gt;1))})&gt;1))),""""),"""")"),"Science 8-3, Spanish 8-4")</f>
        <v>Science 8-3, Spanish 8-4</v>
      </c>
      <c r="K70" s="96" t="str">
        <f>IFERROR(__xludf.DUMMYFUNCTION("iferror(join("", "",unique(filter({filter('Students (Vertical)'!D:D,'Students (Vertical)'!C:C=B70,'Students (Vertical)'!D:D&lt;&gt;"""");filter('Students (Vertical)'!D:D,'Students (Vertical)'!C:C=E70,'Students (Vertical)'!D:D&lt;&gt;"""")},countifs({filter('Students "&amp;"(Vertical)'!D:D,'Students (Vertical)'!C:C=B70,'Students (Vertical)'!D:D&lt;&gt;"""");filter('Students (Vertical)'!D:D,'Students (Vertical)'!C:C=E70,'Students (Vertical)'!D:D&lt;&gt;"""")},{filter('Students (Vertical)'!D:D,'Students (Vertical)'!C:C=B70,'Students (Vert"&amp;"ical)'!D:D&lt;&gt;"""");filter('Students (Vertical)'!D:D,'Students (Vertical)'!C:C=E70,'Students (Vertical)'!D:D&lt;&gt;"""")})&gt;1))),"""")"),"Science 8, English 8, Sociales 8, Spanish 8, PE 8")</f>
        <v>Science 8, English 8, Sociales 8, Spanish 8, PE 8</v>
      </c>
      <c r="L70" s="96"/>
      <c r="M70" s="96"/>
    </row>
    <row r="71">
      <c r="A71" s="8">
        <v>70.0</v>
      </c>
      <c r="B71" s="12" t="s">
        <v>278</v>
      </c>
      <c r="C71" s="8">
        <v>29100.0</v>
      </c>
      <c r="D71" s="8">
        <v>8.0</v>
      </c>
      <c r="E71" s="12" t="s">
        <v>274</v>
      </c>
      <c r="F71" s="8">
        <v>29138.0</v>
      </c>
      <c r="G71" s="8">
        <v>8.0</v>
      </c>
      <c r="H71" s="12" t="s">
        <v>212</v>
      </c>
      <c r="I71" s="94" t="str">
        <f>IFERROR(__xludf.DUMMYFUNCTION("if(H71=""Must be Together"",iferror(join("", "",unique(filter({filter('Students (Vertical)'!O:O,'Students (Vertical)'!C:C=B71,'Students (Vertical)'!O:O&lt;&gt;"""");filter('Students (Vertical)'!O:O,'Students (Vertical)'!C:C=E71,'Students (Vertical)'!O:O&lt;&gt;"""")}"&amp;",countifs({filter('Students (Vertical)'!O:O,'Students (Vertical)'!C:C=B71,'Students (Vertical)'!O:O&lt;&gt;"""");filter('Students (Vertical)'!O:O,'Students (Vertical)'!C:C=E71,'Students (Vertical)'!O:O&lt;&gt;"""")},{filter('Students (Vertical)'!O:O,'Students (Vertic"&amp;"al)'!C:C=B71,'Students (Vertical)'!O:O&lt;&gt;"""");filter('Students (Vertical)'!O:O,'Students (Vertical)'!C:C=E71,'Students (Vertical)'!O:O&lt;&gt;"""")})&gt;1))),""No shared courses""),"""")"),"")</f>
        <v/>
      </c>
      <c r="J71" s="94" t="str">
        <f>IFERROR(__xludf.DUMMYFUNCTION("if(H71=""Can't be Together"",iferror(join("", "",unique(filter({unique(filter('Students (Vertical)'!O:O,'Students (Vertical)'!C:C=B71,'Students (Vertical)'!O:O&lt;&gt;"""",'Students (Vertical)'!P:P&gt;1));unique(filter('Students (Vertical)'!O:O,'Students (Vertical"&amp;")'!C:C=E71,'Students (Vertical)'!O:O&lt;&gt;"""",'Students (Vertical)'!P:P&gt;1))},countifs({unique(filter('Students (Vertical)'!O:O,'Students (Vertical)'!C:C=B71,'Students (Vertical)'!O:O&lt;&gt;"""",'Students (Vertical)'!P:P&gt;1));unique(filter('Students (Vertical)'!O:O"&amp;",'Students (Vertical)'!C:C=E71,'Students (Vertical)'!O:O&lt;&gt;"""",'Students (Vertical)'!P:P&gt;1))},{unique(filter('Students (Vertical)'!O:O,'Students (Vertical)'!C:C=B71,'Students (Vertical)'!O:O&lt;&gt;"""",'Students (Vertical)'!P:P&gt;1));unique(filter('Students (Ver"&amp;"tical)'!O:O,'Students (Vertical)'!C:C=E71,'Students (Vertical)'!O:O&lt;&gt;"""",'Students (Vertical)'!P:P&gt;1))})&gt;1))),""""),"""")"),"PE 8-6a")</f>
        <v>PE 8-6a</v>
      </c>
      <c r="K71" s="96" t="str">
        <f>IFERROR(__xludf.DUMMYFUNCTION("iferror(join("", "",unique(filter({filter('Students (Vertical)'!D:D,'Students (Vertical)'!C:C=B71,'Students (Vertical)'!D:D&lt;&gt;"""");filter('Students (Vertical)'!D:D,'Students (Vertical)'!C:C=E71,'Students (Vertical)'!D:D&lt;&gt;"""")},countifs({filter('Students "&amp;"(Vertical)'!D:D,'Students (Vertical)'!C:C=B71,'Students (Vertical)'!D:D&lt;&gt;"""");filter('Students (Vertical)'!D:D,'Students (Vertical)'!C:C=E71,'Students (Vertical)'!D:D&lt;&gt;"""")},{filter('Students (Vertical)'!D:D,'Students (Vertical)'!C:C=B71,'Students (Vert"&amp;"ical)'!D:D&lt;&gt;"""");filter('Students (Vertical)'!D:D,'Students (Vertical)'!C:C=E71,'Students (Vertical)'!D:D&lt;&gt;"""")})&gt;1))),"""")"),"Science 8, English 8, Sociales 8, Spanish 8, PE 8, Band 8S1, Band 8S2")</f>
        <v>Science 8, English 8, Sociales 8, Spanish 8, PE 8, Band 8S1, Band 8S2</v>
      </c>
      <c r="L71" s="96"/>
      <c r="M71" s="96"/>
    </row>
    <row r="72">
      <c r="A72" s="8">
        <v>71.0</v>
      </c>
      <c r="B72" s="12" t="s">
        <v>278</v>
      </c>
      <c r="C72" s="8">
        <v>29100.0</v>
      </c>
      <c r="D72" s="8">
        <v>8.0</v>
      </c>
      <c r="E72" s="12" t="s">
        <v>275</v>
      </c>
      <c r="F72" s="8">
        <v>29087.0</v>
      </c>
      <c r="G72" s="8">
        <v>8.0</v>
      </c>
      <c r="H72" s="12" t="s">
        <v>212</v>
      </c>
      <c r="I72" s="94" t="str">
        <f>IFERROR(__xludf.DUMMYFUNCTION("if(H72=""Must be Together"",iferror(join("", "",unique(filter({filter('Students (Vertical)'!O:O,'Students (Vertical)'!C:C=B72,'Students (Vertical)'!O:O&lt;&gt;"""");filter('Students (Vertical)'!O:O,'Students (Vertical)'!C:C=E72,'Students (Vertical)'!O:O&lt;&gt;"""")}"&amp;",countifs({filter('Students (Vertical)'!O:O,'Students (Vertical)'!C:C=B72,'Students (Vertical)'!O:O&lt;&gt;"""");filter('Students (Vertical)'!O:O,'Students (Vertical)'!C:C=E72,'Students (Vertical)'!O:O&lt;&gt;"""")},{filter('Students (Vertical)'!O:O,'Students (Vertic"&amp;"al)'!C:C=B72,'Students (Vertical)'!O:O&lt;&gt;"""");filter('Students (Vertical)'!O:O,'Students (Vertical)'!C:C=E72,'Students (Vertical)'!O:O&lt;&gt;"""")})&gt;1))),""No shared courses""),"""")"),"")</f>
        <v/>
      </c>
      <c r="J72" s="94" t="str">
        <f>IFERROR(__xludf.DUMMYFUNCTION("if(H72=""Can't be Together"",iferror(join("", "",unique(filter({unique(filter('Students (Vertical)'!O:O,'Students (Vertical)'!C:C=B72,'Students (Vertical)'!O:O&lt;&gt;"""",'Students (Vertical)'!P:P&gt;1));unique(filter('Students (Vertical)'!O:O,'Students (Vertical"&amp;")'!C:C=E72,'Students (Vertical)'!O:O&lt;&gt;"""",'Students (Vertical)'!P:P&gt;1))},countifs({unique(filter('Students (Vertical)'!O:O,'Students (Vertical)'!C:C=B72,'Students (Vertical)'!O:O&lt;&gt;"""",'Students (Vertical)'!P:P&gt;1));unique(filter('Students (Vertical)'!O:O"&amp;",'Students (Vertical)'!C:C=E72,'Students (Vertical)'!O:O&lt;&gt;"""",'Students (Vertical)'!P:P&gt;1))},{unique(filter('Students (Vertical)'!O:O,'Students (Vertical)'!C:C=B72,'Students (Vertical)'!O:O&lt;&gt;"""",'Students (Vertical)'!P:P&gt;1));unique(filter('Students (Ver"&amp;"tical)'!O:O,'Students (Vertical)'!C:C=E72,'Students (Vertical)'!O:O&lt;&gt;"""",'Students (Vertical)'!P:P&gt;1))})&gt;1))),""""),"""")"),"Science 8-3, Spanish 8-4")</f>
        <v>Science 8-3, Spanish 8-4</v>
      </c>
      <c r="K72" s="96" t="str">
        <f>IFERROR(__xludf.DUMMYFUNCTION("iferror(join("", "",unique(filter({filter('Students (Vertical)'!D:D,'Students (Vertical)'!C:C=B72,'Students (Vertical)'!D:D&lt;&gt;"""");filter('Students (Vertical)'!D:D,'Students (Vertical)'!C:C=E72,'Students (Vertical)'!D:D&lt;&gt;"""")},countifs({filter('Students "&amp;"(Vertical)'!D:D,'Students (Vertical)'!C:C=B72,'Students (Vertical)'!D:D&lt;&gt;"""");filter('Students (Vertical)'!D:D,'Students (Vertical)'!C:C=E72,'Students (Vertical)'!D:D&lt;&gt;"""")},{filter('Students (Vertical)'!D:D,'Students (Vertical)'!C:C=B72,'Students (Vert"&amp;"ical)'!D:D&lt;&gt;"""");filter('Students (Vertical)'!D:D,'Students (Vertical)'!C:C=E72,'Students (Vertical)'!D:D&lt;&gt;"""")})&gt;1))),"""")"),"Science 8, English 8, Sociales 8, Spanish 8, PE 8, Band 8S1, Band 8S2")</f>
        <v>Science 8, English 8, Sociales 8, Spanish 8, PE 8, Band 8S1, Band 8S2</v>
      </c>
      <c r="L72" s="96"/>
      <c r="M72" s="96"/>
    </row>
    <row r="73">
      <c r="A73" s="8">
        <v>72.0</v>
      </c>
      <c r="B73" s="12" t="s">
        <v>278</v>
      </c>
      <c r="C73" s="8">
        <v>29100.0</v>
      </c>
      <c r="D73" s="8">
        <v>8.0</v>
      </c>
      <c r="E73" s="12" t="s">
        <v>276</v>
      </c>
      <c r="F73" s="8">
        <v>29039.0</v>
      </c>
      <c r="G73" s="8">
        <v>8.0</v>
      </c>
      <c r="H73" s="12" t="s">
        <v>212</v>
      </c>
      <c r="I73" s="94" t="str">
        <f>IFERROR(__xludf.DUMMYFUNCTION("if(H73=""Must be Together"",iferror(join("", "",unique(filter({filter('Students (Vertical)'!O:O,'Students (Vertical)'!C:C=B73,'Students (Vertical)'!O:O&lt;&gt;"""");filter('Students (Vertical)'!O:O,'Students (Vertical)'!C:C=E73,'Students (Vertical)'!O:O&lt;&gt;"""")}"&amp;",countifs({filter('Students (Vertical)'!O:O,'Students (Vertical)'!C:C=B73,'Students (Vertical)'!O:O&lt;&gt;"""");filter('Students (Vertical)'!O:O,'Students (Vertical)'!C:C=E73,'Students (Vertical)'!O:O&lt;&gt;"""")},{filter('Students (Vertical)'!O:O,'Students (Vertic"&amp;"al)'!C:C=B73,'Students (Vertical)'!O:O&lt;&gt;"""");filter('Students (Vertical)'!O:O,'Students (Vertical)'!C:C=E73,'Students (Vertical)'!O:O&lt;&gt;"""")})&gt;1))),""No shared courses""),"""")"),"")</f>
        <v/>
      </c>
      <c r="J73" s="94" t="str">
        <f>IFERROR(__xludf.DUMMYFUNCTION("if(H73=""Can't be Together"",iferror(join("", "",unique(filter({unique(filter('Students (Vertical)'!O:O,'Students (Vertical)'!C:C=B73,'Students (Vertical)'!O:O&lt;&gt;"""",'Students (Vertical)'!P:P&gt;1));unique(filter('Students (Vertical)'!O:O,'Students (Vertical"&amp;")'!C:C=E73,'Students (Vertical)'!O:O&lt;&gt;"""",'Students (Vertical)'!P:P&gt;1))},countifs({unique(filter('Students (Vertical)'!O:O,'Students (Vertical)'!C:C=B73,'Students (Vertical)'!O:O&lt;&gt;"""",'Students (Vertical)'!P:P&gt;1));unique(filter('Students (Vertical)'!O:O"&amp;",'Students (Vertical)'!C:C=E73,'Students (Vertical)'!O:O&lt;&gt;"""",'Students (Vertical)'!P:P&gt;1))},{unique(filter('Students (Vertical)'!O:O,'Students (Vertical)'!C:C=B73,'Students (Vertical)'!O:O&lt;&gt;"""",'Students (Vertical)'!P:P&gt;1));unique(filter('Students (Ver"&amp;"tical)'!O:O,'Students (Vertical)'!C:C=E73,'Students (Vertical)'!O:O&lt;&gt;"""",'Students (Vertical)'!P:P&gt;1))})&gt;1))),""""),"""")"),"")</f>
        <v/>
      </c>
      <c r="K73" s="96" t="str">
        <f>IFERROR(__xludf.DUMMYFUNCTION("iferror(join("", "",unique(filter({filter('Students (Vertical)'!D:D,'Students (Vertical)'!C:C=B73,'Students (Vertical)'!D:D&lt;&gt;"""");filter('Students (Vertical)'!D:D,'Students (Vertical)'!C:C=E73,'Students (Vertical)'!D:D&lt;&gt;"""")},countifs({filter('Students "&amp;"(Vertical)'!D:D,'Students (Vertical)'!C:C=B73,'Students (Vertical)'!D:D&lt;&gt;"""");filter('Students (Vertical)'!D:D,'Students (Vertical)'!C:C=E73,'Students (Vertical)'!D:D&lt;&gt;"""")},{filter('Students (Vertical)'!D:D,'Students (Vertical)'!C:C=B73,'Students (Vert"&amp;"ical)'!D:D&lt;&gt;"""");filter('Students (Vertical)'!D:D,'Students (Vertical)'!C:C=E73,'Students (Vertical)'!D:D&lt;&gt;"""")})&gt;1))),"""")"),"Science 8, Math 8A, Sociales 8, Spanish 8, PE 8")</f>
        <v>Science 8, Math 8A, Sociales 8, Spanish 8, PE 8</v>
      </c>
      <c r="L73" s="96"/>
      <c r="M73" s="96"/>
    </row>
    <row r="74">
      <c r="A74" s="8">
        <v>73.0</v>
      </c>
      <c r="B74" s="12" t="s">
        <v>278</v>
      </c>
      <c r="C74" s="8">
        <v>29100.0</v>
      </c>
      <c r="D74" s="8">
        <v>8.0</v>
      </c>
      <c r="E74" s="12" t="s">
        <v>277</v>
      </c>
      <c r="F74" s="8">
        <v>29129.0</v>
      </c>
      <c r="G74" s="8">
        <v>8.0</v>
      </c>
      <c r="H74" s="12" t="s">
        <v>212</v>
      </c>
      <c r="I74" s="94" t="str">
        <f>IFERROR(__xludf.DUMMYFUNCTION("if(H74=""Must be Together"",iferror(join("", "",unique(filter({filter('Students (Vertical)'!O:O,'Students (Vertical)'!C:C=B74,'Students (Vertical)'!O:O&lt;&gt;"""");filter('Students (Vertical)'!O:O,'Students (Vertical)'!C:C=E74,'Students (Vertical)'!O:O&lt;&gt;"""")}"&amp;",countifs({filter('Students (Vertical)'!O:O,'Students (Vertical)'!C:C=B74,'Students (Vertical)'!O:O&lt;&gt;"""");filter('Students (Vertical)'!O:O,'Students (Vertical)'!C:C=E74,'Students (Vertical)'!O:O&lt;&gt;"""")},{filter('Students (Vertical)'!O:O,'Students (Vertic"&amp;"al)'!C:C=B74,'Students (Vertical)'!O:O&lt;&gt;"""");filter('Students (Vertical)'!O:O,'Students (Vertical)'!C:C=E74,'Students (Vertical)'!O:O&lt;&gt;"""")})&gt;1))),""No shared courses""),"""")"),"")</f>
        <v/>
      </c>
      <c r="J74" s="94" t="str">
        <f>IFERROR(__xludf.DUMMYFUNCTION("if(H74=""Can't be Together"",iferror(join("", "",unique(filter({unique(filter('Students (Vertical)'!O:O,'Students (Vertical)'!C:C=B74,'Students (Vertical)'!O:O&lt;&gt;"""",'Students (Vertical)'!P:P&gt;1));unique(filter('Students (Vertical)'!O:O,'Students (Vertical"&amp;")'!C:C=E74,'Students (Vertical)'!O:O&lt;&gt;"""",'Students (Vertical)'!P:P&gt;1))},countifs({unique(filter('Students (Vertical)'!O:O,'Students (Vertical)'!C:C=B74,'Students (Vertical)'!O:O&lt;&gt;"""",'Students (Vertical)'!P:P&gt;1));unique(filter('Students (Vertical)'!O:O"&amp;",'Students (Vertical)'!C:C=E74,'Students (Vertical)'!O:O&lt;&gt;"""",'Students (Vertical)'!P:P&gt;1))},{unique(filter('Students (Vertical)'!O:O,'Students (Vertical)'!C:C=B74,'Students (Vertical)'!O:O&lt;&gt;"""",'Students (Vertical)'!P:P&gt;1));unique(filter('Students (Ver"&amp;"tical)'!O:O,'Students (Vertical)'!C:C=E74,'Students (Vertical)'!O:O&lt;&gt;"""",'Students (Vertical)'!P:P&gt;1))})&gt;1))),""""),"""")"),"Science 8-3, Spanish 8-4")</f>
        <v>Science 8-3, Spanish 8-4</v>
      </c>
      <c r="K74" s="96" t="str">
        <f>IFERROR(__xludf.DUMMYFUNCTION("iferror(join("", "",unique(filter({filter('Students (Vertical)'!D:D,'Students (Vertical)'!C:C=B74,'Students (Vertical)'!D:D&lt;&gt;"""");filter('Students (Vertical)'!D:D,'Students (Vertical)'!C:C=E74,'Students (Vertical)'!D:D&lt;&gt;"""")},countifs({filter('Students "&amp;"(Vertical)'!D:D,'Students (Vertical)'!C:C=B74,'Students (Vertical)'!D:D&lt;&gt;"""");filter('Students (Vertical)'!D:D,'Students (Vertical)'!C:C=E74,'Students (Vertical)'!D:D&lt;&gt;"""")},{filter('Students (Vertical)'!D:D,'Students (Vertical)'!C:C=B74,'Students (Vert"&amp;"ical)'!D:D&lt;&gt;"""");filter('Students (Vertical)'!D:D,'Students (Vertical)'!C:C=E74,'Students (Vertical)'!D:D&lt;&gt;"""")})&gt;1))),"""")"),"Science 8, English 8, Sociales 8, Spanish 8, PE 8")</f>
        <v>Science 8, English 8, Sociales 8, Spanish 8, PE 8</v>
      </c>
      <c r="L74" s="96"/>
      <c r="M74" s="96"/>
    </row>
    <row r="75">
      <c r="A75" s="8">
        <v>74.0</v>
      </c>
      <c r="B75" s="12" t="s">
        <v>268</v>
      </c>
      <c r="C75" s="8">
        <v>28032.0</v>
      </c>
      <c r="D75" s="8">
        <v>8.0</v>
      </c>
      <c r="E75" s="12" t="s">
        <v>266</v>
      </c>
      <c r="F75" s="8">
        <v>29049.0</v>
      </c>
      <c r="G75" s="8">
        <v>8.0</v>
      </c>
      <c r="H75" s="12" t="s">
        <v>212</v>
      </c>
      <c r="I75" s="94" t="str">
        <f>IFERROR(__xludf.DUMMYFUNCTION("if(H75=""Must be Together"",iferror(join("", "",unique(filter({filter('Students (Vertical)'!O:O,'Students (Vertical)'!C:C=B75,'Students (Vertical)'!O:O&lt;&gt;"""");filter('Students (Vertical)'!O:O,'Students (Vertical)'!C:C=E75,'Students (Vertical)'!O:O&lt;&gt;"""")}"&amp;",countifs({filter('Students (Vertical)'!O:O,'Students (Vertical)'!C:C=B75,'Students (Vertical)'!O:O&lt;&gt;"""");filter('Students (Vertical)'!O:O,'Students (Vertical)'!C:C=E75,'Students (Vertical)'!O:O&lt;&gt;"""")},{filter('Students (Vertical)'!O:O,'Students (Vertic"&amp;"al)'!C:C=B75,'Students (Vertical)'!O:O&lt;&gt;"""");filter('Students (Vertical)'!O:O,'Students (Vertical)'!C:C=E75,'Students (Vertical)'!O:O&lt;&gt;"""")})&gt;1))),""No shared courses""),"""")"),"")</f>
        <v/>
      </c>
      <c r="J75" s="94" t="str">
        <f>IFERROR(__xludf.DUMMYFUNCTION("if(H75=""Can't be Together"",iferror(join("", "",unique(filter({unique(filter('Students (Vertical)'!O:O,'Students (Vertical)'!C:C=B75,'Students (Vertical)'!O:O&lt;&gt;"""",'Students (Vertical)'!P:P&gt;1));unique(filter('Students (Vertical)'!O:O,'Students (Vertical"&amp;")'!C:C=E75,'Students (Vertical)'!O:O&lt;&gt;"""",'Students (Vertical)'!P:P&gt;1))},countifs({unique(filter('Students (Vertical)'!O:O,'Students (Vertical)'!C:C=B75,'Students (Vertical)'!O:O&lt;&gt;"""",'Students (Vertical)'!P:P&gt;1));unique(filter('Students (Vertical)'!O:O"&amp;",'Students (Vertical)'!C:C=E75,'Students (Vertical)'!O:O&lt;&gt;"""",'Students (Vertical)'!P:P&gt;1))},{unique(filter('Students (Vertical)'!O:O,'Students (Vertical)'!C:C=B75,'Students (Vertical)'!O:O&lt;&gt;"""",'Students (Vertical)'!P:P&gt;1));unique(filter('Students (Ver"&amp;"tical)'!O:O,'Students (Vertical)'!C:C=E75,'Students (Vertical)'!O:O&lt;&gt;"""",'Students (Vertical)'!P:P&gt;1))})&gt;1))),""""),"""")"),"English 8-5")</f>
        <v>English 8-5</v>
      </c>
      <c r="K75" s="96" t="str">
        <f>IFERROR(__xludf.DUMMYFUNCTION("iferror(join("", "",unique(filter({filter('Students (Vertical)'!D:D,'Students (Vertical)'!C:C=B75,'Students (Vertical)'!D:D&lt;&gt;"""");filter('Students (Vertical)'!D:D,'Students (Vertical)'!C:C=E75,'Students (Vertical)'!D:D&lt;&gt;"""")},countifs({filter('Students "&amp;"(Vertical)'!D:D,'Students (Vertical)'!C:C=B75,'Students (Vertical)'!D:D&lt;&gt;"""");filter('Students (Vertical)'!D:D,'Students (Vertical)'!C:C=E75,'Students (Vertical)'!D:D&lt;&gt;"""")},{filter('Students (Vertical)'!D:D,'Students (Vertical)'!C:C=B75,'Students (Vert"&amp;"ical)'!D:D&lt;&gt;"""");filter('Students (Vertical)'!D:D,'Students (Vertical)'!C:C=E75,'Students (Vertical)'!D:D&lt;&gt;"""")})&gt;1))),"""")"),"Science 8, English 8, Sociales 8, Spanish 8, PE 8, Band 8S1, Band 8S2")</f>
        <v>Science 8, English 8, Sociales 8, Spanish 8, PE 8, Band 8S1, Band 8S2</v>
      </c>
      <c r="L75" s="96"/>
      <c r="M75" s="96"/>
    </row>
    <row r="76">
      <c r="A76" s="8">
        <v>75.0</v>
      </c>
      <c r="B76" s="12" t="s">
        <v>268</v>
      </c>
      <c r="C76" s="8">
        <v>28032.0</v>
      </c>
      <c r="D76" s="8">
        <v>8.0</v>
      </c>
      <c r="E76" s="12" t="s">
        <v>267</v>
      </c>
      <c r="F76" s="8">
        <v>29050.0</v>
      </c>
      <c r="G76" s="8">
        <v>8.0</v>
      </c>
      <c r="H76" s="12" t="s">
        <v>212</v>
      </c>
      <c r="I76" s="94" t="str">
        <f>IFERROR(__xludf.DUMMYFUNCTION("if(H76=""Must be Together"",iferror(join("", "",unique(filter({filter('Students (Vertical)'!O:O,'Students (Vertical)'!C:C=B76,'Students (Vertical)'!O:O&lt;&gt;"""");filter('Students (Vertical)'!O:O,'Students (Vertical)'!C:C=E76,'Students (Vertical)'!O:O&lt;&gt;"""")}"&amp;",countifs({filter('Students (Vertical)'!O:O,'Students (Vertical)'!C:C=B76,'Students (Vertical)'!O:O&lt;&gt;"""");filter('Students (Vertical)'!O:O,'Students (Vertical)'!C:C=E76,'Students (Vertical)'!O:O&lt;&gt;"""")},{filter('Students (Vertical)'!O:O,'Students (Vertic"&amp;"al)'!C:C=B76,'Students (Vertical)'!O:O&lt;&gt;"""");filter('Students (Vertical)'!O:O,'Students (Vertical)'!C:C=E76,'Students (Vertical)'!O:O&lt;&gt;"""")})&gt;1))),""No shared courses""),"""")"),"")</f>
        <v/>
      </c>
      <c r="J76" s="94" t="str">
        <f>IFERROR(__xludf.DUMMYFUNCTION("if(H76=""Can't be Together"",iferror(join("", "",unique(filter({unique(filter('Students (Vertical)'!O:O,'Students (Vertical)'!C:C=B76,'Students (Vertical)'!O:O&lt;&gt;"""",'Students (Vertical)'!P:P&gt;1));unique(filter('Students (Vertical)'!O:O,'Students (Vertical"&amp;")'!C:C=E76,'Students (Vertical)'!O:O&lt;&gt;"""",'Students (Vertical)'!P:P&gt;1))},countifs({unique(filter('Students (Vertical)'!O:O,'Students (Vertical)'!C:C=B76,'Students (Vertical)'!O:O&lt;&gt;"""",'Students (Vertical)'!P:P&gt;1));unique(filter('Students (Vertical)'!O:O"&amp;",'Students (Vertical)'!C:C=E76,'Students (Vertical)'!O:O&lt;&gt;"""",'Students (Vertical)'!P:P&gt;1))},{unique(filter('Students (Vertical)'!O:O,'Students (Vertical)'!C:C=B76,'Students (Vertical)'!O:O&lt;&gt;"""",'Students (Vertical)'!P:P&gt;1));unique(filter('Students (Ver"&amp;"tical)'!O:O,'Students (Vertical)'!C:C=E76,'Students (Vertical)'!O:O&lt;&gt;"""",'Students (Vertical)'!P:P&gt;1))})&gt;1))),""""),"""")"),"")</f>
        <v/>
      </c>
      <c r="K76" s="96" t="str">
        <f>IFERROR(__xludf.DUMMYFUNCTION("iferror(join("", "",unique(filter({filter('Students (Vertical)'!D:D,'Students (Vertical)'!C:C=B76,'Students (Vertical)'!D:D&lt;&gt;"""");filter('Students (Vertical)'!D:D,'Students (Vertical)'!C:C=E76,'Students (Vertical)'!D:D&lt;&gt;"""")},countifs({filter('Students "&amp;"(Vertical)'!D:D,'Students (Vertical)'!C:C=B76,'Students (Vertical)'!D:D&lt;&gt;"""");filter('Students (Vertical)'!D:D,'Students (Vertical)'!C:C=E76,'Students (Vertical)'!D:D&lt;&gt;"""")},{filter('Students (Vertical)'!D:D,'Students (Vertical)'!C:C=B76,'Students (Vert"&amp;"ical)'!D:D&lt;&gt;"""");filter('Students (Vertical)'!D:D,'Students (Vertical)'!C:C=E76,'Students (Vertical)'!D:D&lt;&gt;"""")})&gt;1))),"""")"),"Science 8, Sociales 8, Spanish 8, PE 8, Band 8S1, Band 8S2")</f>
        <v>Science 8, Sociales 8, Spanish 8, PE 8, Band 8S1, Band 8S2</v>
      </c>
      <c r="L76" s="96"/>
      <c r="M76" s="96"/>
    </row>
    <row r="77">
      <c r="A77" s="8">
        <v>76.0</v>
      </c>
      <c r="B77" s="12" t="s">
        <v>268</v>
      </c>
      <c r="C77" s="8">
        <v>28032.0</v>
      </c>
      <c r="D77" s="8">
        <v>8.0</v>
      </c>
      <c r="E77" s="12" t="s">
        <v>279</v>
      </c>
      <c r="F77" s="8">
        <v>28046.0</v>
      </c>
      <c r="G77" s="8">
        <v>8.0</v>
      </c>
      <c r="H77" s="12" t="s">
        <v>212</v>
      </c>
      <c r="I77" s="94" t="str">
        <f>IFERROR(__xludf.DUMMYFUNCTION("if(H77=""Must be Together"",iferror(join("", "",unique(filter({filter('Students (Vertical)'!O:O,'Students (Vertical)'!C:C=B77,'Students (Vertical)'!O:O&lt;&gt;"""");filter('Students (Vertical)'!O:O,'Students (Vertical)'!C:C=E77,'Students (Vertical)'!O:O&lt;&gt;"""")}"&amp;",countifs({filter('Students (Vertical)'!O:O,'Students (Vertical)'!C:C=B77,'Students (Vertical)'!O:O&lt;&gt;"""");filter('Students (Vertical)'!O:O,'Students (Vertical)'!C:C=E77,'Students (Vertical)'!O:O&lt;&gt;"""")},{filter('Students (Vertical)'!O:O,'Students (Vertic"&amp;"al)'!C:C=B77,'Students (Vertical)'!O:O&lt;&gt;"""");filter('Students (Vertical)'!O:O,'Students (Vertical)'!C:C=E77,'Students (Vertical)'!O:O&lt;&gt;"""")})&gt;1))),""No shared courses""),"""")"),"")</f>
        <v/>
      </c>
      <c r="J77" s="94" t="str">
        <f>IFERROR(__xludf.DUMMYFUNCTION("if(H77=""Can't be Together"",iferror(join("", "",unique(filter({unique(filter('Students (Vertical)'!O:O,'Students (Vertical)'!C:C=B77,'Students (Vertical)'!O:O&lt;&gt;"""",'Students (Vertical)'!P:P&gt;1));unique(filter('Students (Vertical)'!O:O,'Students (Vertical"&amp;")'!C:C=E77,'Students (Vertical)'!O:O&lt;&gt;"""",'Students (Vertical)'!P:P&gt;1))},countifs({unique(filter('Students (Vertical)'!O:O,'Students (Vertical)'!C:C=B77,'Students (Vertical)'!O:O&lt;&gt;"""",'Students (Vertical)'!P:P&gt;1));unique(filter('Students (Vertical)'!O:O"&amp;",'Students (Vertical)'!C:C=E77,'Students (Vertical)'!O:O&lt;&gt;"""",'Students (Vertical)'!P:P&gt;1))},{unique(filter('Students (Vertical)'!O:O,'Students (Vertical)'!C:C=B77,'Students (Vertical)'!O:O&lt;&gt;"""",'Students (Vertical)'!P:P&gt;1));unique(filter('Students (Ver"&amp;"tical)'!O:O,'Students (Vertical)'!C:C=E77,'Students (Vertical)'!O:O&lt;&gt;"""",'Students (Vertical)'!P:P&gt;1))})&gt;1))),""""),"""")"),"")</f>
        <v/>
      </c>
      <c r="K77" s="96" t="str">
        <f>IFERROR(__xludf.DUMMYFUNCTION("iferror(join("", "",unique(filter({filter('Students (Vertical)'!D:D,'Students (Vertical)'!C:C=B77,'Students (Vertical)'!D:D&lt;&gt;"""");filter('Students (Vertical)'!D:D,'Students (Vertical)'!C:C=E77,'Students (Vertical)'!D:D&lt;&gt;"""")},countifs({filter('Students "&amp;"(Vertical)'!D:D,'Students (Vertical)'!C:C=B77,'Students (Vertical)'!D:D&lt;&gt;"""");filter('Students (Vertical)'!D:D,'Students (Vertical)'!C:C=E77,'Students (Vertical)'!D:D&lt;&gt;"""")},{filter('Students (Vertical)'!D:D,'Students (Vertical)'!C:C=B77,'Students (Vert"&amp;"ical)'!D:D&lt;&gt;"""");filter('Students (Vertical)'!D:D,'Students (Vertical)'!C:C=E77,'Students (Vertical)'!D:D&lt;&gt;"""")})&gt;1))),"""")"),"Science 8, Sociales 8, Spanish 8, PE 8, Band 8S1, Band 8S2")</f>
        <v>Science 8, Sociales 8, Spanish 8, PE 8, Band 8S1, Band 8S2</v>
      </c>
      <c r="L77" s="96"/>
      <c r="M77" s="96"/>
    </row>
    <row r="78">
      <c r="A78" s="8">
        <v>77.0</v>
      </c>
      <c r="B78" s="12" t="s">
        <v>268</v>
      </c>
      <c r="C78" s="8">
        <v>28032.0</v>
      </c>
      <c r="D78" s="8">
        <v>8.0</v>
      </c>
      <c r="E78" s="12" t="s">
        <v>280</v>
      </c>
      <c r="F78" s="8">
        <v>29065.0</v>
      </c>
      <c r="G78" s="8">
        <v>8.0</v>
      </c>
      <c r="H78" s="12" t="s">
        <v>212</v>
      </c>
      <c r="I78" s="94" t="str">
        <f>IFERROR(__xludf.DUMMYFUNCTION("if(H78=""Must be Together"",iferror(join("", "",unique(filter({filter('Students (Vertical)'!O:O,'Students (Vertical)'!C:C=B78,'Students (Vertical)'!O:O&lt;&gt;"""");filter('Students (Vertical)'!O:O,'Students (Vertical)'!C:C=E78,'Students (Vertical)'!O:O&lt;&gt;"""")}"&amp;",countifs({filter('Students (Vertical)'!O:O,'Students (Vertical)'!C:C=B78,'Students (Vertical)'!O:O&lt;&gt;"""");filter('Students (Vertical)'!O:O,'Students (Vertical)'!C:C=E78,'Students (Vertical)'!O:O&lt;&gt;"""")},{filter('Students (Vertical)'!O:O,'Students (Vertic"&amp;"al)'!C:C=B78,'Students (Vertical)'!O:O&lt;&gt;"""");filter('Students (Vertical)'!O:O,'Students (Vertical)'!C:C=E78,'Students (Vertical)'!O:O&lt;&gt;"""")})&gt;1))),""No shared courses""),"""")"),"")</f>
        <v/>
      </c>
      <c r="J78" s="94" t="str">
        <f>IFERROR(__xludf.DUMMYFUNCTION("if(H78=""Can't be Together"",iferror(join("", "",unique(filter({unique(filter('Students (Vertical)'!O:O,'Students (Vertical)'!C:C=B78,'Students (Vertical)'!O:O&lt;&gt;"""",'Students (Vertical)'!P:P&gt;1));unique(filter('Students (Vertical)'!O:O,'Students (Vertical"&amp;")'!C:C=E78,'Students (Vertical)'!O:O&lt;&gt;"""",'Students (Vertical)'!P:P&gt;1))},countifs({unique(filter('Students (Vertical)'!O:O,'Students (Vertical)'!C:C=B78,'Students (Vertical)'!O:O&lt;&gt;"""",'Students (Vertical)'!P:P&gt;1));unique(filter('Students (Vertical)'!O:O"&amp;",'Students (Vertical)'!C:C=E78,'Students (Vertical)'!O:O&lt;&gt;"""",'Students (Vertical)'!P:P&gt;1))},{unique(filter('Students (Vertical)'!O:O,'Students (Vertical)'!C:C=B78,'Students (Vertical)'!O:O&lt;&gt;"""",'Students (Vertical)'!P:P&gt;1));unique(filter('Students (Ver"&amp;"tical)'!O:O,'Students (Vertical)'!C:C=E78,'Students (Vertical)'!O:O&lt;&gt;"""",'Students (Vertical)'!P:P&gt;1))})&gt;1))),""""),"""")"),"")</f>
        <v/>
      </c>
      <c r="K78" s="96" t="str">
        <f>IFERROR(__xludf.DUMMYFUNCTION("iferror(join("", "",unique(filter({filter('Students (Vertical)'!D:D,'Students (Vertical)'!C:C=B78,'Students (Vertical)'!D:D&lt;&gt;"""");filter('Students (Vertical)'!D:D,'Students (Vertical)'!C:C=E78,'Students (Vertical)'!D:D&lt;&gt;"""")},countifs({filter('Students "&amp;"(Vertical)'!D:D,'Students (Vertical)'!C:C=B78,'Students (Vertical)'!D:D&lt;&gt;"""");filter('Students (Vertical)'!D:D,'Students (Vertical)'!C:C=E78,'Students (Vertical)'!D:D&lt;&gt;"""")},{filter('Students (Vertical)'!D:D,'Students (Vertical)'!C:C=B78,'Students (Vert"&amp;"ical)'!D:D&lt;&gt;"""");filter('Students (Vertical)'!D:D,'Students (Vertical)'!C:C=E78,'Students (Vertical)'!D:D&lt;&gt;"""")})&gt;1))),"""")"),"Science 8, English 8, Sociales 8, Spanish 8, PE 8, Band 8S1, Band 8S2")</f>
        <v>Science 8, English 8, Sociales 8, Spanish 8, PE 8, Band 8S1, Band 8S2</v>
      </c>
      <c r="L78" s="96"/>
      <c r="M78" s="96"/>
    </row>
    <row r="79">
      <c r="A79" s="8">
        <v>78.0</v>
      </c>
      <c r="B79" s="12" t="s">
        <v>268</v>
      </c>
      <c r="C79" s="8">
        <v>28032.0</v>
      </c>
      <c r="D79" s="8">
        <v>8.0</v>
      </c>
      <c r="E79" s="12" t="s">
        <v>281</v>
      </c>
      <c r="F79" s="8">
        <v>29059.0</v>
      </c>
      <c r="G79" s="8">
        <v>8.0</v>
      </c>
      <c r="H79" s="12" t="s">
        <v>212</v>
      </c>
      <c r="I79" s="94" t="str">
        <f>IFERROR(__xludf.DUMMYFUNCTION("if(H79=""Must be Together"",iferror(join("", "",unique(filter({filter('Students (Vertical)'!O:O,'Students (Vertical)'!C:C=B79,'Students (Vertical)'!O:O&lt;&gt;"""");filter('Students (Vertical)'!O:O,'Students (Vertical)'!C:C=E79,'Students (Vertical)'!O:O&lt;&gt;"""")}"&amp;",countifs({filter('Students (Vertical)'!O:O,'Students (Vertical)'!C:C=B79,'Students (Vertical)'!O:O&lt;&gt;"""");filter('Students (Vertical)'!O:O,'Students (Vertical)'!C:C=E79,'Students (Vertical)'!O:O&lt;&gt;"""")},{filter('Students (Vertical)'!O:O,'Students (Vertic"&amp;"al)'!C:C=B79,'Students (Vertical)'!O:O&lt;&gt;"""");filter('Students (Vertical)'!O:O,'Students (Vertical)'!C:C=E79,'Students (Vertical)'!O:O&lt;&gt;"""")})&gt;1))),""No shared courses""),"""")"),"")</f>
        <v/>
      </c>
      <c r="J79" s="94" t="str">
        <f>IFERROR(__xludf.DUMMYFUNCTION("if(H79=""Can't be Together"",iferror(join("", "",unique(filter({unique(filter('Students (Vertical)'!O:O,'Students (Vertical)'!C:C=B79,'Students (Vertical)'!O:O&lt;&gt;"""",'Students (Vertical)'!P:P&gt;1));unique(filter('Students (Vertical)'!O:O,'Students (Vertical"&amp;")'!C:C=E79,'Students (Vertical)'!O:O&lt;&gt;"""",'Students (Vertical)'!P:P&gt;1))},countifs({unique(filter('Students (Vertical)'!O:O,'Students (Vertical)'!C:C=B79,'Students (Vertical)'!O:O&lt;&gt;"""",'Students (Vertical)'!P:P&gt;1));unique(filter('Students (Vertical)'!O:O"&amp;",'Students (Vertical)'!C:C=E79,'Students (Vertical)'!O:O&lt;&gt;"""",'Students (Vertical)'!P:P&gt;1))},{unique(filter('Students (Vertical)'!O:O,'Students (Vertical)'!C:C=B79,'Students (Vertical)'!O:O&lt;&gt;"""",'Students (Vertical)'!P:P&gt;1));unique(filter('Students (Ver"&amp;"tical)'!O:O,'Students (Vertical)'!C:C=E79,'Students (Vertical)'!O:O&lt;&gt;"""",'Students (Vertical)'!P:P&gt;1))})&gt;1))),""""),"""")"),"")</f>
        <v/>
      </c>
      <c r="K79" s="96" t="str">
        <f>IFERROR(__xludf.DUMMYFUNCTION("iferror(join("", "",unique(filter({filter('Students (Vertical)'!D:D,'Students (Vertical)'!C:C=B79,'Students (Vertical)'!D:D&lt;&gt;"""");filter('Students (Vertical)'!D:D,'Students (Vertical)'!C:C=E79,'Students (Vertical)'!D:D&lt;&gt;"""")},countifs({filter('Students "&amp;"(Vertical)'!D:D,'Students (Vertical)'!C:C=B79,'Students (Vertical)'!D:D&lt;&gt;"""");filter('Students (Vertical)'!D:D,'Students (Vertical)'!C:C=E79,'Students (Vertical)'!D:D&lt;&gt;"""")},{filter('Students (Vertical)'!D:D,'Students (Vertical)'!C:C=B79,'Students (Vert"&amp;"ical)'!D:D&lt;&gt;"""");filter('Students (Vertical)'!D:D,'Students (Vertical)'!C:C=E79,'Students (Vertical)'!D:D&lt;&gt;"""")})&gt;1))),"""")"),"Science 8, Sociales 8, Spanish 8, PE 8, Band 8S1, Band 8S2")</f>
        <v>Science 8, Sociales 8, Spanish 8, PE 8, Band 8S1, Band 8S2</v>
      </c>
      <c r="L79" s="96"/>
      <c r="M79" s="96"/>
    </row>
    <row r="80">
      <c r="A80" s="8">
        <v>79.0</v>
      </c>
      <c r="B80" s="12" t="s">
        <v>268</v>
      </c>
      <c r="C80" s="8">
        <v>28032.0</v>
      </c>
      <c r="D80" s="8">
        <v>8.0</v>
      </c>
      <c r="E80" s="12" t="s">
        <v>269</v>
      </c>
      <c r="F80" s="8">
        <v>29068.0</v>
      </c>
      <c r="G80" s="8">
        <v>8.0</v>
      </c>
      <c r="H80" s="12" t="s">
        <v>212</v>
      </c>
      <c r="I80" s="94" t="str">
        <f>IFERROR(__xludf.DUMMYFUNCTION("if(H80=""Must be Together"",iferror(join("", "",unique(filter({filter('Students (Vertical)'!O:O,'Students (Vertical)'!C:C=B80,'Students (Vertical)'!O:O&lt;&gt;"""");filter('Students (Vertical)'!O:O,'Students (Vertical)'!C:C=E80,'Students (Vertical)'!O:O&lt;&gt;"""")}"&amp;",countifs({filter('Students (Vertical)'!O:O,'Students (Vertical)'!C:C=B80,'Students (Vertical)'!O:O&lt;&gt;"""");filter('Students (Vertical)'!O:O,'Students (Vertical)'!C:C=E80,'Students (Vertical)'!O:O&lt;&gt;"""")},{filter('Students (Vertical)'!O:O,'Students (Vertic"&amp;"al)'!C:C=B80,'Students (Vertical)'!O:O&lt;&gt;"""");filter('Students (Vertical)'!O:O,'Students (Vertical)'!C:C=E80,'Students (Vertical)'!O:O&lt;&gt;"""")})&gt;1))),""No shared courses""),"""")"),"")</f>
        <v/>
      </c>
      <c r="J80" s="94" t="str">
        <f>IFERROR(__xludf.DUMMYFUNCTION("if(H80=""Can't be Together"",iferror(join("", "",unique(filter({unique(filter('Students (Vertical)'!O:O,'Students (Vertical)'!C:C=B80,'Students (Vertical)'!O:O&lt;&gt;"""",'Students (Vertical)'!P:P&gt;1));unique(filter('Students (Vertical)'!O:O,'Students (Vertical"&amp;")'!C:C=E80,'Students (Vertical)'!O:O&lt;&gt;"""",'Students (Vertical)'!P:P&gt;1))},countifs({unique(filter('Students (Vertical)'!O:O,'Students (Vertical)'!C:C=B80,'Students (Vertical)'!O:O&lt;&gt;"""",'Students (Vertical)'!P:P&gt;1));unique(filter('Students (Vertical)'!O:O"&amp;",'Students (Vertical)'!C:C=E80,'Students (Vertical)'!O:O&lt;&gt;"""",'Students (Vertical)'!P:P&gt;1))},{unique(filter('Students (Vertical)'!O:O,'Students (Vertical)'!C:C=B80,'Students (Vertical)'!O:O&lt;&gt;"""",'Students (Vertical)'!P:P&gt;1));unique(filter('Students (Ver"&amp;"tical)'!O:O,'Students (Vertical)'!C:C=E80,'Students (Vertical)'!O:O&lt;&gt;"""",'Students (Vertical)'!P:P&gt;1))})&gt;1))),""""),"""")"),"")</f>
        <v/>
      </c>
      <c r="K80" s="96" t="str">
        <f>IFERROR(__xludf.DUMMYFUNCTION("iferror(join("", "",unique(filter({filter('Students (Vertical)'!D:D,'Students (Vertical)'!C:C=B80,'Students (Vertical)'!D:D&lt;&gt;"""");filter('Students (Vertical)'!D:D,'Students (Vertical)'!C:C=E80,'Students (Vertical)'!D:D&lt;&gt;"""")},countifs({filter('Students "&amp;"(Vertical)'!D:D,'Students (Vertical)'!C:C=B80,'Students (Vertical)'!D:D&lt;&gt;"""");filter('Students (Vertical)'!D:D,'Students (Vertical)'!C:C=E80,'Students (Vertical)'!D:D&lt;&gt;"""")},{filter('Students (Vertical)'!D:D,'Students (Vertical)'!C:C=B80,'Students (Vert"&amp;"ical)'!D:D&lt;&gt;"""");filter('Students (Vertical)'!D:D,'Students (Vertical)'!C:C=E80,'Students (Vertical)'!D:D&lt;&gt;"""")})&gt;1))),"""")"),"Science 8, Math 8, English 8, Sociales 8, Spanish 8, PE 8, Band 8S1, Band 8S2")</f>
        <v>Science 8, Math 8, English 8, Sociales 8, Spanish 8, PE 8, Band 8S1, Band 8S2</v>
      </c>
      <c r="L80" s="96"/>
      <c r="M80" s="96"/>
    </row>
    <row r="81">
      <c r="A81" s="8">
        <v>80.0</v>
      </c>
      <c r="B81" s="12" t="s">
        <v>266</v>
      </c>
      <c r="C81" s="8">
        <v>29049.0</v>
      </c>
      <c r="D81" s="8">
        <v>8.0</v>
      </c>
      <c r="E81" s="12" t="s">
        <v>268</v>
      </c>
      <c r="F81" s="8">
        <v>28032.0</v>
      </c>
      <c r="G81" s="8">
        <v>8.0</v>
      </c>
      <c r="H81" s="12" t="s">
        <v>212</v>
      </c>
      <c r="I81" s="94" t="str">
        <f>IFERROR(__xludf.DUMMYFUNCTION("if(H81=""Must be Together"",iferror(join("", "",unique(filter({filter('Students (Vertical)'!O:O,'Students (Vertical)'!C:C=B81,'Students (Vertical)'!O:O&lt;&gt;"""");filter('Students (Vertical)'!O:O,'Students (Vertical)'!C:C=E81,'Students (Vertical)'!O:O&lt;&gt;"""")}"&amp;",countifs({filter('Students (Vertical)'!O:O,'Students (Vertical)'!C:C=B81,'Students (Vertical)'!O:O&lt;&gt;"""");filter('Students (Vertical)'!O:O,'Students (Vertical)'!C:C=E81,'Students (Vertical)'!O:O&lt;&gt;"""")},{filter('Students (Vertical)'!O:O,'Students (Vertic"&amp;"al)'!C:C=B81,'Students (Vertical)'!O:O&lt;&gt;"""");filter('Students (Vertical)'!O:O,'Students (Vertical)'!C:C=E81,'Students (Vertical)'!O:O&lt;&gt;"""")})&gt;1))),""No shared courses""),"""")"),"")</f>
        <v/>
      </c>
      <c r="J81" s="94" t="str">
        <f>IFERROR(__xludf.DUMMYFUNCTION("if(H81=""Can't be Together"",iferror(join("", "",unique(filter({unique(filter('Students (Vertical)'!O:O,'Students (Vertical)'!C:C=B81,'Students (Vertical)'!O:O&lt;&gt;"""",'Students (Vertical)'!P:P&gt;1));unique(filter('Students (Vertical)'!O:O,'Students (Vertical"&amp;")'!C:C=E81,'Students (Vertical)'!O:O&lt;&gt;"""",'Students (Vertical)'!P:P&gt;1))},countifs({unique(filter('Students (Vertical)'!O:O,'Students (Vertical)'!C:C=B81,'Students (Vertical)'!O:O&lt;&gt;"""",'Students (Vertical)'!P:P&gt;1));unique(filter('Students (Vertical)'!O:O"&amp;",'Students (Vertical)'!C:C=E81,'Students (Vertical)'!O:O&lt;&gt;"""",'Students (Vertical)'!P:P&gt;1))},{unique(filter('Students (Vertical)'!O:O,'Students (Vertical)'!C:C=B81,'Students (Vertical)'!O:O&lt;&gt;"""",'Students (Vertical)'!P:P&gt;1));unique(filter('Students (Ver"&amp;"tical)'!O:O,'Students (Vertical)'!C:C=E81,'Students (Vertical)'!O:O&lt;&gt;"""",'Students (Vertical)'!P:P&gt;1))})&gt;1))),""""),"""")"),"English 8-5")</f>
        <v>English 8-5</v>
      </c>
      <c r="K81" s="96" t="str">
        <f>IFERROR(__xludf.DUMMYFUNCTION("iferror(join("", "",unique(filter({filter('Students (Vertical)'!D:D,'Students (Vertical)'!C:C=B81,'Students (Vertical)'!D:D&lt;&gt;"""");filter('Students (Vertical)'!D:D,'Students (Vertical)'!C:C=E81,'Students (Vertical)'!D:D&lt;&gt;"""")},countifs({filter('Students "&amp;"(Vertical)'!D:D,'Students (Vertical)'!C:C=B81,'Students (Vertical)'!D:D&lt;&gt;"""");filter('Students (Vertical)'!D:D,'Students (Vertical)'!C:C=E81,'Students (Vertical)'!D:D&lt;&gt;"""")},{filter('Students (Vertical)'!D:D,'Students (Vertical)'!C:C=B81,'Students (Vert"&amp;"ical)'!D:D&lt;&gt;"""");filter('Students (Vertical)'!D:D,'Students (Vertical)'!C:C=E81,'Students (Vertical)'!D:D&lt;&gt;"""")})&gt;1))),"""")"),"Science 8, English 8, Sociales 8, Spanish 8, PE 8, Band 8S1, Band 8S2")</f>
        <v>Science 8, English 8, Sociales 8, Spanish 8, PE 8, Band 8S1, Band 8S2</v>
      </c>
      <c r="L81" s="96"/>
      <c r="M81" s="96"/>
    </row>
    <row r="82">
      <c r="A82" s="8">
        <v>81.0</v>
      </c>
      <c r="B82" s="12" t="s">
        <v>266</v>
      </c>
      <c r="C82" s="8">
        <v>29049.0</v>
      </c>
      <c r="D82" s="8">
        <v>8.0</v>
      </c>
      <c r="E82" s="12" t="s">
        <v>267</v>
      </c>
      <c r="F82" s="8">
        <v>29050.0</v>
      </c>
      <c r="G82" s="8">
        <v>8.0</v>
      </c>
      <c r="H82" s="12" t="s">
        <v>212</v>
      </c>
      <c r="I82" s="94" t="str">
        <f>IFERROR(__xludf.DUMMYFUNCTION("if(H82=""Must be Together"",iferror(join("", "",unique(filter({filter('Students (Vertical)'!O:O,'Students (Vertical)'!C:C=B82,'Students (Vertical)'!O:O&lt;&gt;"""");filter('Students (Vertical)'!O:O,'Students (Vertical)'!C:C=E82,'Students (Vertical)'!O:O&lt;&gt;"""")}"&amp;",countifs({filter('Students (Vertical)'!O:O,'Students (Vertical)'!C:C=B82,'Students (Vertical)'!O:O&lt;&gt;"""");filter('Students (Vertical)'!O:O,'Students (Vertical)'!C:C=E82,'Students (Vertical)'!O:O&lt;&gt;"""")},{filter('Students (Vertical)'!O:O,'Students (Vertic"&amp;"al)'!C:C=B82,'Students (Vertical)'!O:O&lt;&gt;"""");filter('Students (Vertical)'!O:O,'Students (Vertical)'!C:C=E82,'Students (Vertical)'!O:O&lt;&gt;"""")})&gt;1))),""No shared courses""),"""")"),"")</f>
        <v/>
      </c>
      <c r="J82" s="94" t="str">
        <f>IFERROR(__xludf.DUMMYFUNCTION("if(H82=""Can't be Together"",iferror(join("", "",unique(filter({unique(filter('Students (Vertical)'!O:O,'Students (Vertical)'!C:C=B82,'Students (Vertical)'!O:O&lt;&gt;"""",'Students (Vertical)'!P:P&gt;1));unique(filter('Students (Vertical)'!O:O,'Students (Vertical"&amp;")'!C:C=E82,'Students (Vertical)'!O:O&lt;&gt;"""",'Students (Vertical)'!P:P&gt;1))},countifs({unique(filter('Students (Vertical)'!O:O,'Students (Vertical)'!C:C=B82,'Students (Vertical)'!O:O&lt;&gt;"""",'Students (Vertical)'!P:P&gt;1));unique(filter('Students (Vertical)'!O:O"&amp;",'Students (Vertical)'!C:C=E82,'Students (Vertical)'!O:O&lt;&gt;"""",'Students (Vertical)'!P:P&gt;1))},{unique(filter('Students (Vertical)'!O:O,'Students (Vertical)'!C:C=B82,'Students (Vertical)'!O:O&lt;&gt;"""",'Students (Vertical)'!P:P&gt;1));unique(filter('Students (Ver"&amp;"tical)'!O:O,'Students (Vertical)'!C:C=E82,'Students (Vertical)'!O:O&lt;&gt;"""",'Students (Vertical)'!P:P&gt;1))})&gt;1))),""""),"""")"),"")</f>
        <v/>
      </c>
      <c r="K82" s="96" t="str">
        <f>IFERROR(__xludf.DUMMYFUNCTION("iferror(join("", "",unique(filter({filter('Students (Vertical)'!D:D,'Students (Vertical)'!C:C=B82,'Students (Vertical)'!D:D&lt;&gt;"""");filter('Students (Vertical)'!D:D,'Students (Vertical)'!C:C=E82,'Students (Vertical)'!D:D&lt;&gt;"""")},countifs({filter('Students "&amp;"(Vertical)'!D:D,'Students (Vertical)'!C:C=B82,'Students (Vertical)'!D:D&lt;&gt;"""");filter('Students (Vertical)'!D:D,'Students (Vertical)'!C:C=E82,'Students (Vertical)'!D:D&lt;&gt;"""")},{filter('Students (Vertical)'!D:D,'Students (Vertical)'!C:C=B82,'Students (Vert"&amp;"ical)'!D:D&lt;&gt;"""");filter('Students (Vertical)'!D:D,'Students (Vertical)'!C:C=E82,'Students (Vertical)'!D:D&lt;&gt;"""")})&gt;1))),"""")"),"Science 8, Math 8A, Sociales 8, Spanish 8, PE 8, Band 8S1, Band 8S2")</f>
        <v>Science 8, Math 8A, Sociales 8, Spanish 8, PE 8, Band 8S1, Band 8S2</v>
      </c>
      <c r="L82" s="96"/>
      <c r="M82" s="96"/>
    </row>
    <row r="83">
      <c r="A83" s="8">
        <v>82.0</v>
      </c>
      <c r="B83" s="12" t="s">
        <v>266</v>
      </c>
      <c r="C83" s="8">
        <v>29049.0</v>
      </c>
      <c r="D83" s="8">
        <v>8.0</v>
      </c>
      <c r="E83" s="12" t="s">
        <v>279</v>
      </c>
      <c r="F83" s="8">
        <v>28046.0</v>
      </c>
      <c r="G83" s="8">
        <v>8.0</v>
      </c>
      <c r="H83" s="12" t="s">
        <v>212</v>
      </c>
      <c r="I83" s="94" t="str">
        <f>IFERROR(__xludf.DUMMYFUNCTION("if(H83=""Must be Together"",iferror(join("", "",unique(filter({filter('Students (Vertical)'!O:O,'Students (Vertical)'!C:C=B83,'Students (Vertical)'!O:O&lt;&gt;"""");filter('Students (Vertical)'!O:O,'Students (Vertical)'!C:C=E83,'Students (Vertical)'!O:O&lt;&gt;"""")}"&amp;",countifs({filter('Students (Vertical)'!O:O,'Students (Vertical)'!C:C=B83,'Students (Vertical)'!O:O&lt;&gt;"""");filter('Students (Vertical)'!O:O,'Students (Vertical)'!C:C=E83,'Students (Vertical)'!O:O&lt;&gt;"""")},{filter('Students (Vertical)'!O:O,'Students (Vertic"&amp;"al)'!C:C=B83,'Students (Vertical)'!O:O&lt;&gt;"""");filter('Students (Vertical)'!O:O,'Students (Vertical)'!C:C=E83,'Students (Vertical)'!O:O&lt;&gt;"""")})&gt;1))),""No shared courses""),"""")"),"")</f>
        <v/>
      </c>
      <c r="J83" s="94" t="str">
        <f>IFERROR(__xludf.DUMMYFUNCTION("if(H83=""Can't be Together"",iferror(join("", "",unique(filter({unique(filter('Students (Vertical)'!O:O,'Students (Vertical)'!C:C=B83,'Students (Vertical)'!O:O&lt;&gt;"""",'Students (Vertical)'!P:P&gt;1));unique(filter('Students (Vertical)'!O:O,'Students (Vertical"&amp;")'!C:C=E83,'Students (Vertical)'!O:O&lt;&gt;"""",'Students (Vertical)'!P:P&gt;1))},countifs({unique(filter('Students (Vertical)'!O:O,'Students (Vertical)'!C:C=B83,'Students (Vertical)'!O:O&lt;&gt;"""",'Students (Vertical)'!P:P&gt;1));unique(filter('Students (Vertical)'!O:O"&amp;",'Students (Vertical)'!C:C=E83,'Students (Vertical)'!O:O&lt;&gt;"""",'Students (Vertical)'!P:P&gt;1))},{unique(filter('Students (Vertical)'!O:O,'Students (Vertical)'!C:C=B83,'Students (Vertical)'!O:O&lt;&gt;"""",'Students (Vertical)'!P:P&gt;1));unique(filter('Students (Ver"&amp;"tical)'!O:O,'Students (Vertical)'!C:C=E83,'Students (Vertical)'!O:O&lt;&gt;"""",'Students (Vertical)'!P:P&gt;1))})&gt;1))),""""),"""")"),"")</f>
        <v/>
      </c>
      <c r="K83" s="96" t="str">
        <f>IFERROR(__xludf.DUMMYFUNCTION("iferror(join("", "",unique(filter({filter('Students (Vertical)'!D:D,'Students (Vertical)'!C:C=B83,'Students (Vertical)'!D:D&lt;&gt;"""");filter('Students (Vertical)'!D:D,'Students (Vertical)'!C:C=E83,'Students (Vertical)'!D:D&lt;&gt;"""")},countifs({filter('Students "&amp;"(Vertical)'!D:D,'Students (Vertical)'!C:C=B83,'Students (Vertical)'!D:D&lt;&gt;"""");filter('Students (Vertical)'!D:D,'Students (Vertical)'!C:C=E83,'Students (Vertical)'!D:D&lt;&gt;"""")},{filter('Students (Vertical)'!D:D,'Students (Vertical)'!C:C=B83,'Students (Vert"&amp;"ical)'!D:D&lt;&gt;"""");filter('Students (Vertical)'!D:D,'Students (Vertical)'!C:C=E83,'Students (Vertical)'!D:D&lt;&gt;"""")})&gt;1))),"""")"),"Science 8, Math 8A, Sociales 8, Spanish 8, PE 8, Band 8S1, Band 8S2")</f>
        <v>Science 8, Math 8A, Sociales 8, Spanish 8, PE 8, Band 8S1, Band 8S2</v>
      </c>
      <c r="L83" s="96"/>
      <c r="M83" s="96"/>
    </row>
    <row r="84">
      <c r="A84" s="8">
        <v>83.0</v>
      </c>
      <c r="B84" s="12" t="s">
        <v>266</v>
      </c>
      <c r="C84" s="8">
        <v>29049.0</v>
      </c>
      <c r="D84" s="8">
        <v>8.0</v>
      </c>
      <c r="E84" s="12" t="s">
        <v>280</v>
      </c>
      <c r="F84" s="8">
        <v>29065.0</v>
      </c>
      <c r="G84" s="8">
        <v>8.0</v>
      </c>
      <c r="H84" s="12" t="s">
        <v>212</v>
      </c>
      <c r="I84" s="94" t="str">
        <f>IFERROR(__xludf.DUMMYFUNCTION("if(H84=""Must be Together"",iferror(join("", "",unique(filter({filter('Students (Vertical)'!O:O,'Students (Vertical)'!C:C=B84,'Students (Vertical)'!O:O&lt;&gt;"""");filter('Students (Vertical)'!O:O,'Students (Vertical)'!C:C=E84,'Students (Vertical)'!O:O&lt;&gt;"""")}"&amp;",countifs({filter('Students (Vertical)'!O:O,'Students (Vertical)'!C:C=B84,'Students (Vertical)'!O:O&lt;&gt;"""");filter('Students (Vertical)'!O:O,'Students (Vertical)'!C:C=E84,'Students (Vertical)'!O:O&lt;&gt;"""")},{filter('Students (Vertical)'!O:O,'Students (Vertic"&amp;"al)'!C:C=B84,'Students (Vertical)'!O:O&lt;&gt;"""");filter('Students (Vertical)'!O:O,'Students (Vertical)'!C:C=E84,'Students (Vertical)'!O:O&lt;&gt;"""")})&gt;1))),""No shared courses""),"""")"),"")</f>
        <v/>
      </c>
      <c r="J84" s="94" t="str">
        <f>IFERROR(__xludf.DUMMYFUNCTION("if(H84=""Can't be Together"",iferror(join("", "",unique(filter({unique(filter('Students (Vertical)'!O:O,'Students (Vertical)'!C:C=B84,'Students (Vertical)'!O:O&lt;&gt;"""",'Students (Vertical)'!P:P&gt;1));unique(filter('Students (Vertical)'!O:O,'Students (Vertical"&amp;")'!C:C=E84,'Students (Vertical)'!O:O&lt;&gt;"""",'Students (Vertical)'!P:P&gt;1))},countifs({unique(filter('Students (Vertical)'!O:O,'Students (Vertical)'!C:C=B84,'Students (Vertical)'!O:O&lt;&gt;"""",'Students (Vertical)'!P:P&gt;1));unique(filter('Students (Vertical)'!O:O"&amp;",'Students (Vertical)'!C:C=E84,'Students (Vertical)'!O:O&lt;&gt;"""",'Students (Vertical)'!P:P&gt;1))},{unique(filter('Students (Vertical)'!O:O,'Students (Vertical)'!C:C=B84,'Students (Vertical)'!O:O&lt;&gt;"""",'Students (Vertical)'!P:P&gt;1));unique(filter('Students (Ver"&amp;"tical)'!O:O,'Students (Vertical)'!C:C=E84,'Students (Vertical)'!O:O&lt;&gt;"""",'Students (Vertical)'!P:P&gt;1))})&gt;1))),""""),"""")"),"")</f>
        <v/>
      </c>
      <c r="K84" s="96" t="str">
        <f>IFERROR(__xludf.DUMMYFUNCTION("iferror(join("", "",unique(filter({filter('Students (Vertical)'!D:D,'Students (Vertical)'!C:C=B84,'Students (Vertical)'!D:D&lt;&gt;"""");filter('Students (Vertical)'!D:D,'Students (Vertical)'!C:C=E84,'Students (Vertical)'!D:D&lt;&gt;"""")},countifs({filter('Students "&amp;"(Vertical)'!D:D,'Students (Vertical)'!C:C=B84,'Students (Vertical)'!D:D&lt;&gt;"""");filter('Students (Vertical)'!D:D,'Students (Vertical)'!C:C=E84,'Students (Vertical)'!D:D&lt;&gt;"""")},{filter('Students (Vertical)'!D:D,'Students (Vertical)'!C:C=B84,'Students (Vert"&amp;"ical)'!D:D&lt;&gt;"""");filter('Students (Vertical)'!D:D,'Students (Vertical)'!C:C=E84,'Students (Vertical)'!D:D&lt;&gt;"""")})&gt;1))),"""")"),"Science 8, English 8, Sociales 8, Spanish 8, PE 8, Band 8S1, Band 8S2")</f>
        <v>Science 8, English 8, Sociales 8, Spanish 8, PE 8, Band 8S1, Band 8S2</v>
      </c>
      <c r="L84" s="96"/>
      <c r="M84" s="96"/>
    </row>
    <row r="85">
      <c r="A85" s="8">
        <v>84.0</v>
      </c>
      <c r="B85" s="12" t="s">
        <v>266</v>
      </c>
      <c r="C85" s="8">
        <v>29049.0</v>
      </c>
      <c r="D85" s="8">
        <v>8.0</v>
      </c>
      <c r="E85" s="12" t="s">
        <v>281</v>
      </c>
      <c r="F85" s="8">
        <v>29059.0</v>
      </c>
      <c r="G85" s="8">
        <v>8.0</v>
      </c>
      <c r="H85" s="12" t="s">
        <v>212</v>
      </c>
      <c r="I85" s="94" t="str">
        <f>IFERROR(__xludf.DUMMYFUNCTION("if(H85=""Must be Together"",iferror(join("", "",unique(filter({filter('Students (Vertical)'!O:O,'Students (Vertical)'!C:C=B85,'Students (Vertical)'!O:O&lt;&gt;"""");filter('Students (Vertical)'!O:O,'Students (Vertical)'!C:C=E85,'Students (Vertical)'!O:O&lt;&gt;"""")}"&amp;",countifs({filter('Students (Vertical)'!O:O,'Students (Vertical)'!C:C=B85,'Students (Vertical)'!O:O&lt;&gt;"""");filter('Students (Vertical)'!O:O,'Students (Vertical)'!C:C=E85,'Students (Vertical)'!O:O&lt;&gt;"""")},{filter('Students (Vertical)'!O:O,'Students (Vertic"&amp;"al)'!C:C=B85,'Students (Vertical)'!O:O&lt;&gt;"""");filter('Students (Vertical)'!O:O,'Students (Vertical)'!C:C=E85,'Students (Vertical)'!O:O&lt;&gt;"""")})&gt;1))),""No shared courses""),"""")"),"")</f>
        <v/>
      </c>
      <c r="J85" s="94" t="str">
        <f>IFERROR(__xludf.DUMMYFUNCTION("if(H85=""Can't be Together"",iferror(join("", "",unique(filter({unique(filter('Students (Vertical)'!O:O,'Students (Vertical)'!C:C=B85,'Students (Vertical)'!O:O&lt;&gt;"""",'Students (Vertical)'!P:P&gt;1));unique(filter('Students (Vertical)'!O:O,'Students (Vertical"&amp;")'!C:C=E85,'Students (Vertical)'!O:O&lt;&gt;"""",'Students (Vertical)'!P:P&gt;1))},countifs({unique(filter('Students (Vertical)'!O:O,'Students (Vertical)'!C:C=B85,'Students (Vertical)'!O:O&lt;&gt;"""",'Students (Vertical)'!P:P&gt;1));unique(filter('Students (Vertical)'!O:O"&amp;",'Students (Vertical)'!C:C=E85,'Students (Vertical)'!O:O&lt;&gt;"""",'Students (Vertical)'!P:P&gt;1))},{unique(filter('Students (Vertical)'!O:O,'Students (Vertical)'!C:C=B85,'Students (Vertical)'!O:O&lt;&gt;"""",'Students (Vertical)'!P:P&gt;1));unique(filter('Students (Ver"&amp;"tical)'!O:O,'Students (Vertical)'!C:C=E85,'Students (Vertical)'!O:O&lt;&gt;"""",'Students (Vertical)'!P:P&gt;1))})&gt;1))),""""),"""")"),"")</f>
        <v/>
      </c>
      <c r="K85" s="96" t="str">
        <f>IFERROR(__xludf.DUMMYFUNCTION("iferror(join("", "",unique(filter({filter('Students (Vertical)'!D:D,'Students (Vertical)'!C:C=B85,'Students (Vertical)'!D:D&lt;&gt;"""");filter('Students (Vertical)'!D:D,'Students (Vertical)'!C:C=E85,'Students (Vertical)'!D:D&lt;&gt;"""")},countifs({filter('Students "&amp;"(Vertical)'!D:D,'Students (Vertical)'!C:C=B85,'Students (Vertical)'!D:D&lt;&gt;"""");filter('Students (Vertical)'!D:D,'Students (Vertical)'!C:C=E85,'Students (Vertical)'!D:D&lt;&gt;"""")},{filter('Students (Vertical)'!D:D,'Students (Vertical)'!C:C=B85,'Students (Vert"&amp;"ical)'!D:D&lt;&gt;"""");filter('Students (Vertical)'!D:D,'Students (Vertical)'!C:C=E85,'Students (Vertical)'!D:D&lt;&gt;"""")})&gt;1))),"""")"),"Science 8, Math 8A, Sociales 8, Spanish 8, PE 8, Band 8S1, Band 8S2")</f>
        <v>Science 8, Math 8A, Sociales 8, Spanish 8, PE 8, Band 8S1, Band 8S2</v>
      </c>
      <c r="L85" s="96"/>
      <c r="M85" s="96"/>
    </row>
    <row r="86">
      <c r="A86" s="8">
        <v>85.0</v>
      </c>
      <c r="B86" s="12" t="s">
        <v>266</v>
      </c>
      <c r="C86" s="8">
        <v>29049.0</v>
      </c>
      <c r="D86" s="8">
        <v>8.0</v>
      </c>
      <c r="E86" s="12" t="s">
        <v>269</v>
      </c>
      <c r="F86" s="8">
        <v>29068.0</v>
      </c>
      <c r="G86" s="8">
        <v>8.0</v>
      </c>
      <c r="H86" s="12" t="s">
        <v>212</v>
      </c>
      <c r="I86" s="94" t="str">
        <f>IFERROR(__xludf.DUMMYFUNCTION("if(H86=""Must be Together"",iferror(join("", "",unique(filter({filter('Students (Vertical)'!O:O,'Students (Vertical)'!C:C=B86,'Students (Vertical)'!O:O&lt;&gt;"""");filter('Students (Vertical)'!O:O,'Students (Vertical)'!C:C=E86,'Students (Vertical)'!O:O&lt;&gt;"""")}"&amp;",countifs({filter('Students (Vertical)'!O:O,'Students (Vertical)'!C:C=B86,'Students (Vertical)'!O:O&lt;&gt;"""");filter('Students (Vertical)'!O:O,'Students (Vertical)'!C:C=E86,'Students (Vertical)'!O:O&lt;&gt;"""")},{filter('Students (Vertical)'!O:O,'Students (Vertic"&amp;"al)'!C:C=B86,'Students (Vertical)'!O:O&lt;&gt;"""");filter('Students (Vertical)'!O:O,'Students (Vertical)'!C:C=E86,'Students (Vertical)'!O:O&lt;&gt;"""")})&gt;1))),""No shared courses""),"""")"),"")</f>
        <v/>
      </c>
      <c r="J86" s="94" t="str">
        <f>IFERROR(__xludf.DUMMYFUNCTION("if(H86=""Can't be Together"",iferror(join("", "",unique(filter({unique(filter('Students (Vertical)'!O:O,'Students (Vertical)'!C:C=B86,'Students (Vertical)'!O:O&lt;&gt;"""",'Students (Vertical)'!P:P&gt;1));unique(filter('Students (Vertical)'!O:O,'Students (Vertical"&amp;")'!C:C=E86,'Students (Vertical)'!O:O&lt;&gt;"""",'Students (Vertical)'!P:P&gt;1))},countifs({unique(filter('Students (Vertical)'!O:O,'Students (Vertical)'!C:C=B86,'Students (Vertical)'!O:O&lt;&gt;"""",'Students (Vertical)'!P:P&gt;1));unique(filter('Students (Vertical)'!O:O"&amp;",'Students (Vertical)'!C:C=E86,'Students (Vertical)'!O:O&lt;&gt;"""",'Students (Vertical)'!P:P&gt;1))},{unique(filter('Students (Vertical)'!O:O,'Students (Vertical)'!C:C=B86,'Students (Vertical)'!O:O&lt;&gt;"""",'Students (Vertical)'!P:P&gt;1));unique(filter('Students (Ver"&amp;"tical)'!O:O,'Students (Vertical)'!C:C=E86,'Students (Vertical)'!O:O&lt;&gt;"""",'Students (Vertical)'!P:P&gt;1))})&gt;1))),""""),"""")"),"")</f>
        <v/>
      </c>
      <c r="K86" s="96" t="str">
        <f>IFERROR(__xludf.DUMMYFUNCTION("iferror(join("", "",unique(filter({filter('Students (Vertical)'!D:D,'Students (Vertical)'!C:C=B86,'Students (Vertical)'!D:D&lt;&gt;"""");filter('Students (Vertical)'!D:D,'Students (Vertical)'!C:C=E86,'Students (Vertical)'!D:D&lt;&gt;"""")},countifs({filter('Students "&amp;"(Vertical)'!D:D,'Students (Vertical)'!C:C=B86,'Students (Vertical)'!D:D&lt;&gt;"""");filter('Students (Vertical)'!D:D,'Students (Vertical)'!C:C=E86,'Students (Vertical)'!D:D&lt;&gt;"""")},{filter('Students (Vertical)'!D:D,'Students (Vertical)'!C:C=B86,'Students (Vert"&amp;"ical)'!D:D&lt;&gt;"""");filter('Students (Vertical)'!D:D,'Students (Vertical)'!C:C=E86,'Students (Vertical)'!D:D&lt;&gt;"""")})&gt;1))),"""")"),"Science 8, English 8, Sociales 8, Spanish 8, PE 8, Band 8S1, Band 8S2")</f>
        <v>Science 8, English 8, Sociales 8, Spanish 8, PE 8, Band 8S1, Band 8S2</v>
      </c>
      <c r="L86" s="96"/>
      <c r="M86" s="96"/>
    </row>
    <row r="87">
      <c r="A87" s="8">
        <v>86.0</v>
      </c>
      <c r="B87" s="12" t="s">
        <v>267</v>
      </c>
      <c r="C87" s="8">
        <v>29050.0</v>
      </c>
      <c r="D87" s="8">
        <v>8.0</v>
      </c>
      <c r="E87" s="12" t="s">
        <v>268</v>
      </c>
      <c r="F87" s="8">
        <v>28032.0</v>
      </c>
      <c r="G87" s="8">
        <v>8.0</v>
      </c>
      <c r="H87" s="12" t="s">
        <v>212</v>
      </c>
      <c r="I87" s="94" t="str">
        <f>IFERROR(__xludf.DUMMYFUNCTION("if(H87=""Must be Together"",iferror(join("", "",unique(filter({filter('Students (Vertical)'!O:O,'Students (Vertical)'!C:C=B87,'Students (Vertical)'!O:O&lt;&gt;"""");filter('Students (Vertical)'!O:O,'Students (Vertical)'!C:C=E87,'Students (Vertical)'!O:O&lt;&gt;"""")}"&amp;",countifs({filter('Students (Vertical)'!O:O,'Students (Vertical)'!C:C=B87,'Students (Vertical)'!O:O&lt;&gt;"""");filter('Students (Vertical)'!O:O,'Students (Vertical)'!C:C=E87,'Students (Vertical)'!O:O&lt;&gt;"""")},{filter('Students (Vertical)'!O:O,'Students (Vertic"&amp;"al)'!C:C=B87,'Students (Vertical)'!O:O&lt;&gt;"""");filter('Students (Vertical)'!O:O,'Students (Vertical)'!C:C=E87,'Students (Vertical)'!O:O&lt;&gt;"""")})&gt;1))),""No shared courses""),"""")"),"")</f>
        <v/>
      </c>
      <c r="J87" s="94" t="str">
        <f>IFERROR(__xludf.DUMMYFUNCTION("if(H87=""Can't be Together"",iferror(join("", "",unique(filter({unique(filter('Students (Vertical)'!O:O,'Students (Vertical)'!C:C=B87,'Students (Vertical)'!O:O&lt;&gt;"""",'Students (Vertical)'!P:P&gt;1));unique(filter('Students (Vertical)'!O:O,'Students (Vertical"&amp;")'!C:C=E87,'Students (Vertical)'!O:O&lt;&gt;"""",'Students (Vertical)'!P:P&gt;1))},countifs({unique(filter('Students (Vertical)'!O:O,'Students (Vertical)'!C:C=B87,'Students (Vertical)'!O:O&lt;&gt;"""",'Students (Vertical)'!P:P&gt;1));unique(filter('Students (Vertical)'!O:O"&amp;",'Students (Vertical)'!C:C=E87,'Students (Vertical)'!O:O&lt;&gt;"""",'Students (Vertical)'!P:P&gt;1))},{unique(filter('Students (Vertical)'!O:O,'Students (Vertical)'!C:C=B87,'Students (Vertical)'!O:O&lt;&gt;"""",'Students (Vertical)'!P:P&gt;1));unique(filter('Students (Ver"&amp;"tical)'!O:O,'Students (Vertical)'!C:C=E87,'Students (Vertical)'!O:O&lt;&gt;"""",'Students (Vertical)'!P:P&gt;1))})&gt;1))),""""),"""")"),"")</f>
        <v/>
      </c>
      <c r="K87" s="96" t="str">
        <f>IFERROR(__xludf.DUMMYFUNCTION("iferror(join("", "",unique(filter({filter('Students (Vertical)'!D:D,'Students (Vertical)'!C:C=B87,'Students (Vertical)'!D:D&lt;&gt;"""");filter('Students (Vertical)'!D:D,'Students (Vertical)'!C:C=E87,'Students (Vertical)'!D:D&lt;&gt;"""")},countifs({filter('Students "&amp;"(Vertical)'!D:D,'Students (Vertical)'!C:C=B87,'Students (Vertical)'!D:D&lt;&gt;"""");filter('Students (Vertical)'!D:D,'Students (Vertical)'!C:C=E87,'Students (Vertical)'!D:D&lt;&gt;"""")},{filter('Students (Vertical)'!D:D,'Students (Vertical)'!C:C=B87,'Students (Vert"&amp;"ical)'!D:D&lt;&gt;"""");filter('Students (Vertical)'!D:D,'Students (Vertical)'!C:C=E87,'Students (Vertical)'!D:D&lt;&gt;"""")})&gt;1))),"""")"),"Science 8, Sociales 8, Spanish 8, PE 8, Band 8S1, Band 8S2")</f>
        <v>Science 8, Sociales 8, Spanish 8, PE 8, Band 8S1, Band 8S2</v>
      </c>
      <c r="L87" s="96"/>
      <c r="M87" s="96"/>
    </row>
    <row r="88">
      <c r="A88" s="8">
        <v>87.0</v>
      </c>
      <c r="B88" s="12" t="s">
        <v>267</v>
      </c>
      <c r="C88" s="8">
        <v>29050.0</v>
      </c>
      <c r="D88" s="8">
        <v>8.0</v>
      </c>
      <c r="E88" s="12" t="s">
        <v>266</v>
      </c>
      <c r="F88" s="8">
        <v>29049.0</v>
      </c>
      <c r="G88" s="8">
        <v>8.0</v>
      </c>
      <c r="H88" s="12" t="s">
        <v>212</v>
      </c>
      <c r="I88" s="94" t="str">
        <f>IFERROR(__xludf.DUMMYFUNCTION("if(H88=""Must be Together"",iferror(join("", "",unique(filter({filter('Students (Vertical)'!O:O,'Students (Vertical)'!C:C=B88,'Students (Vertical)'!O:O&lt;&gt;"""");filter('Students (Vertical)'!O:O,'Students (Vertical)'!C:C=E88,'Students (Vertical)'!O:O&lt;&gt;"""")}"&amp;",countifs({filter('Students (Vertical)'!O:O,'Students (Vertical)'!C:C=B88,'Students (Vertical)'!O:O&lt;&gt;"""");filter('Students (Vertical)'!O:O,'Students (Vertical)'!C:C=E88,'Students (Vertical)'!O:O&lt;&gt;"""")},{filter('Students (Vertical)'!O:O,'Students (Vertic"&amp;"al)'!C:C=B88,'Students (Vertical)'!O:O&lt;&gt;"""");filter('Students (Vertical)'!O:O,'Students (Vertical)'!C:C=E88,'Students (Vertical)'!O:O&lt;&gt;"""")})&gt;1))),""No shared courses""),"""")"),"")</f>
        <v/>
      </c>
      <c r="J88" s="94" t="str">
        <f>IFERROR(__xludf.DUMMYFUNCTION("if(H88=""Can't be Together"",iferror(join("", "",unique(filter({unique(filter('Students (Vertical)'!O:O,'Students (Vertical)'!C:C=B88,'Students (Vertical)'!O:O&lt;&gt;"""",'Students (Vertical)'!P:P&gt;1));unique(filter('Students (Vertical)'!O:O,'Students (Vertical"&amp;")'!C:C=E88,'Students (Vertical)'!O:O&lt;&gt;"""",'Students (Vertical)'!P:P&gt;1))},countifs({unique(filter('Students (Vertical)'!O:O,'Students (Vertical)'!C:C=B88,'Students (Vertical)'!O:O&lt;&gt;"""",'Students (Vertical)'!P:P&gt;1));unique(filter('Students (Vertical)'!O:O"&amp;",'Students (Vertical)'!C:C=E88,'Students (Vertical)'!O:O&lt;&gt;"""",'Students (Vertical)'!P:P&gt;1))},{unique(filter('Students (Vertical)'!O:O,'Students (Vertical)'!C:C=B88,'Students (Vertical)'!O:O&lt;&gt;"""",'Students (Vertical)'!P:P&gt;1));unique(filter('Students (Ver"&amp;"tical)'!O:O,'Students (Vertical)'!C:C=E88,'Students (Vertical)'!O:O&lt;&gt;"""",'Students (Vertical)'!P:P&gt;1))})&gt;1))),""""),"""")"),"")</f>
        <v/>
      </c>
      <c r="K88" s="96" t="str">
        <f>IFERROR(__xludf.DUMMYFUNCTION("iferror(join("", "",unique(filter({filter('Students (Vertical)'!D:D,'Students (Vertical)'!C:C=B88,'Students (Vertical)'!D:D&lt;&gt;"""");filter('Students (Vertical)'!D:D,'Students (Vertical)'!C:C=E88,'Students (Vertical)'!D:D&lt;&gt;"""")},countifs({filter('Students "&amp;"(Vertical)'!D:D,'Students (Vertical)'!C:C=B88,'Students (Vertical)'!D:D&lt;&gt;"""");filter('Students (Vertical)'!D:D,'Students (Vertical)'!C:C=E88,'Students (Vertical)'!D:D&lt;&gt;"""")},{filter('Students (Vertical)'!D:D,'Students (Vertical)'!C:C=B88,'Students (Vert"&amp;"ical)'!D:D&lt;&gt;"""");filter('Students (Vertical)'!D:D,'Students (Vertical)'!C:C=E88,'Students (Vertical)'!D:D&lt;&gt;"""")})&gt;1))),"""")"),"Science 8, Math 8A, Sociales 8, Spanish 8, PE 8, Band 8S1, Band 8S2")</f>
        <v>Science 8, Math 8A, Sociales 8, Spanish 8, PE 8, Band 8S1, Band 8S2</v>
      </c>
      <c r="L88" s="96"/>
      <c r="M88" s="96"/>
    </row>
    <row r="89">
      <c r="A89" s="8">
        <v>88.0</v>
      </c>
      <c r="B89" s="12" t="s">
        <v>267</v>
      </c>
      <c r="C89" s="8">
        <v>29050.0</v>
      </c>
      <c r="D89" s="8">
        <v>8.0</v>
      </c>
      <c r="E89" s="12" t="s">
        <v>279</v>
      </c>
      <c r="F89" s="8">
        <v>28046.0</v>
      </c>
      <c r="G89" s="8">
        <v>8.0</v>
      </c>
      <c r="H89" s="12" t="s">
        <v>212</v>
      </c>
      <c r="I89" s="94" t="str">
        <f>IFERROR(__xludf.DUMMYFUNCTION("if(H89=""Must be Together"",iferror(join("", "",unique(filter({filter('Students (Vertical)'!O:O,'Students (Vertical)'!C:C=B89,'Students (Vertical)'!O:O&lt;&gt;"""");filter('Students (Vertical)'!O:O,'Students (Vertical)'!C:C=E89,'Students (Vertical)'!O:O&lt;&gt;"""")}"&amp;",countifs({filter('Students (Vertical)'!O:O,'Students (Vertical)'!C:C=B89,'Students (Vertical)'!O:O&lt;&gt;"""");filter('Students (Vertical)'!O:O,'Students (Vertical)'!C:C=E89,'Students (Vertical)'!O:O&lt;&gt;"""")},{filter('Students (Vertical)'!O:O,'Students (Vertic"&amp;"al)'!C:C=B89,'Students (Vertical)'!O:O&lt;&gt;"""");filter('Students (Vertical)'!O:O,'Students (Vertical)'!C:C=E89,'Students (Vertical)'!O:O&lt;&gt;"""")})&gt;1))),""No shared courses""),"""")"),"")</f>
        <v/>
      </c>
      <c r="J89" s="94" t="str">
        <f>IFERROR(__xludf.DUMMYFUNCTION("if(H89=""Can't be Together"",iferror(join("", "",unique(filter({unique(filter('Students (Vertical)'!O:O,'Students (Vertical)'!C:C=B89,'Students (Vertical)'!O:O&lt;&gt;"""",'Students (Vertical)'!P:P&gt;1));unique(filter('Students (Vertical)'!O:O,'Students (Vertical"&amp;")'!C:C=E89,'Students (Vertical)'!O:O&lt;&gt;"""",'Students (Vertical)'!P:P&gt;1))},countifs({unique(filter('Students (Vertical)'!O:O,'Students (Vertical)'!C:C=B89,'Students (Vertical)'!O:O&lt;&gt;"""",'Students (Vertical)'!P:P&gt;1));unique(filter('Students (Vertical)'!O:O"&amp;",'Students (Vertical)'!C:C=E89,'Students (Vertical)'!O:O&lt;&gt;"""",'Students (Vertical)'!P:P&gt;1))},{unique(filter('Students (Vertical)'!O:O,'Students (Vertical)'!C:C=B89,'Students (Vertical)'!O:O&lt;&gt;"""",'Students (Vertical)'!P:P&gt;1));unique(filter('Students (Ver"&amp;"tical)'!O:O,'Students (Vertical)'!C:C=E89,'Students (Vertical)'!O:O&lt;&gt;"""",'Students (Vertical)'!P:P&gt;1))})&gt;1))),""""),"""")"),"Science 8-3, Spanish 8-4, PE 8-5a")</f>
        <v>Science 8-3, Spanish 8-4, PE 8-5a</v>
      </c>
      <c r="K89" s="96" t="str">
        <f>IFERROR(__xludf.DUMMYFUNCTION("iferror(join("", "",unique(filter({filter('Students (Vertical)'!D:D,'Students (Vertical)'!C:C=B89,'Students (Vertical)'!D:D&lt;&gt;"""");filter('Students (Vertical)'!D:D,'Students (Vertical)'!C:C=E89,'Students (Vertical)'!D:D&lt;&gt;"""")},countifs({filter('Students "&amp;"(Vertical)'!D:D,'Students (Vertical)'!C:C=B89,'Students (Vertical)'!D:D&lt;&gt;"""");filter('Students (Vertical)'!D:D,'Students (Vertical)'!C:C=E89,'Students (Vertical)'!D:D&lt;&gt;"""")},{filter('Students (Vertical)'!D:D,'Students (Vertical)'!C:C=B89,'Students (Vert"&amp;"ical)'!D:D&lt;&gt;"""");filter('Students (Vertical)'!D:D,'Students (Vertical)'!C:C=E89,'Students (Vertical)'!D:D&lt;&gt;"""")})&gt;1))),"""")"),"Science 8, Math 8A, English 8A, Sociales 8, Spanish 8, PE 8, Band 8S1, Band 8S2")</f>
        <v>Science 8, Math 8A, English 8A, Sociales 8, Spanish 8, PE 8, Band 8S1, Band 8S2</v>
      </c>
      <c r="L89" s="96"/>
      <c r="M89" s="96"/>
    </row>
    <row r="90">
      <c r="A90" s="8">
        <v>89.0</v>
      </c>
      <c r="B90" s="12" t="s">
        <v>267</v>
      </c>
      <c r="C90" s="8">
        <v>29050.0</v>
      </c>
      <c r="D90" s="8">
        <v>8.0</v>
      </c>
      <c r="E90" s="12" t="s">
        <v>280</v>
      </c>
      <c r="F90" s="8">
        <v>29065.0</v>
      </c>
      <c r="G90" s="8">
        <v>8.0</v>
      </c>
      <c r="H90" s="12" t="s">
        <v>212</v>
      </c>
      <c r="I90" s="94" t="str">
        <f>IFERROR(__xludf.DUMMYFUNCTION("if(H90=""Must be Together"",iferror(join("", "",unique(filter({filter('Students (Vertical)'!O:O,'Students (Vertical)'!C:C=B90,'Students (Vertical)'!O:O&lt;&gt;"""");filter('Students (Vertical)'!O:O,'Students (Vertical)'!C:C=E90,'Students (Vertical)'!O:O&lt;&gt;"""")}"&amp;",countifs({filter('Students (Vertical)'!O:O,'Students (Vertical)'!C:C=B90,'Students (Vertical)'!O:O&lt;&gt;"""");filter('Students (Vertical)'!O:O,'Students (Vertical)'!C:C=E90,'Students (Vertical)'!O:O&lt;&gt;"""")},{filter('Students (Vertical)'!O:O,'Students (Vertic"&amp;"al)'!C:C=B90,'Students (Vertical)'!O:O&lt;&gt;"""");filter('Students (Vertical)'!O:O,'Students (Vertical)'!C:C=E90,'Students (Vertical)'!O:O&lt;&gt;"""")})&gt;1))),""No shared courses""),"""")"),"")</f>
        <v/>
      </c>
      <c r="J90" s="94" t="str">
        <f>IFERROR(__xludf.DUMMYFUNCTION("if(H90=""Can't be Together"",iferror(join("", "",unique(filter({unique(filter('Students (Vertical)'!O:O,'Students (Vertical)'!C:C=B90,'Students (Vertical)'!O:O&lt;&gt;"""",'Students (Vertical)'!P:P&gt;1));unique(filter('Students (Vertical)'!O:O,'Students (Vertical"&amp;")'!C:C=E90,'Students (Vertical)'!O:O&lt;&gt;"""",'Students (Vertical)'!P:P&gt;1))},countifs({unique(filter('Students (Vertical)'!O:O,'Students (Vertical)'!C:C=B90,'Students (Vertical)'!O:O&lt;&gt;"""",'Students (Vertical)'!P:P&gt;1));unique(filter('Students (Vertical)'!O:O"&amp;",'Students (Vertical)'!C:C=E90,'Students (Vertical)'!O:O&lt;&gt;"""",'Students (Vertical)'!P:P&gt;1))},{unique(filter('Students (Vertical)'!O:O,'Students (Vertical)'!C:C=B90,'Students (Vertical)'!O:O&lt;&gt;"""",'Students (Vertical)'!P:P&gt;1));unique(filter('Students (Ver"&amp;"tical)'!O:O,'Students (Vertical)'!C:C=E90,'Students (Vertical)'!O:O&lt;&gt;"""",'Students (Vertical)'!P:P&gt;1))})&gt;1))),""""),"""")"),"")</f>
        <v/>
      </c>
      <c r="K90" s="96" t="str">
        <f>IFERROR(__xludf.DUMMYFUNCTION("iferror(join("", "",unique(filter({filter('Students (Vertical)'!D:D,'Students (Vertical)'!C:C=B90,'Students (Vertical)'!D:D&lt;&gt;"""");filter('Students (Vertical)'!D:D,'Students (Vertical)'!C:C=E90,'Students (Vertical)'!D:D&lt;&gt;"""")},countifs({filter('Students "&amp;"(Vertical)'!D:D,'Students (Vertical)'!C:C=B90,'Students (Vertical)'!D:D&lt;&gt;"""");filter('Students (Vertical)'!D:D,'Students (Vertical)'!C:C=E90,'Students (Vertical)'!D:D&lt;&gt;"""")},{filter('Students (Vertical)'!D:D,'Students (Vertical)'!C:C=B90,'Students (Vert"&amp;"ical)'!D:D&lt;&gt;"""");filter('Students (Vertical)'!D:D,'Students (Vertical)'!C:C=E90,'Students (Vertical)'!D:D&lt;&gt;"""")})&gt;1))),"""")"),"Science 8, Sociales 8, Spanish 8, PE 8, Band 8S1, Band 8S2")</f>
        <v>Science 8, Sociales 8, Spanish 8, PE 8, Band 8S1, Band 8S2</v>
      </c>
      <c r="L90" s="96"/>
      <c r="M90" s="96"/>
    </row>
    <row r="91">
      <c r="A91" s="8">
        <v>90.0</v>
      </c>
      <c r="B91" s="12" t="s">
        <v>267</v>
      </c>
      <c r="C91" s="8">
        <v>29050.0</v>
      </c>
      <c r="D91" s="8">
        <v>8.0</v>
      </c>
      <c r="E91" s="12" t="s">
        <v>281</v>
      </c>
      <c r="F91" s="8">
        <v>29059.0</v>
      </c>
      <c r="G91" s="8">
        <v>8.0</v>
      </c>
      <c r="H91" s="12" t="s">
        <v>212</v>
      </c>
      <c r="I91" s="94" t="str">
        <f>IFERROR(__xludf.DUMMYFUNCTION("if(H91=""Must be Together"",iferror(join("", "",unique(filter({filter('Students (Vertical)'!O:O,'Students (Vertical)'!C:C=B91,'Students (Vertical)'!O:O&lt;&gt;"""");filter('Students (Vertical)'!O:O,'Students (Vertical)'!C:C=E91,'Students (Vertical)'!O:O&lt;&gt;"""")}"&amp;",countifs({filter('Students (Vertical)'!O:O,'Students (Vertical)'!C:C=B91,'Students (Vertical)'!O:O&lt;&gt;"""");filter('Students (Vertical)'!O:O,'Students (Vertical)'!C:C=E91,'Students (Vertical)'!O:O&lt;&gt;"""")},{filter('Students (Vertical)'!O:O,'Students (Vertic"&amp;"al)'!C:C=B91,'Students (Vertical)'!O:O&lt;&gt;"""");filter('Students (Vertical)'!O:O,'Students (Vertical)'!C:C=E91,'Students (Vertical)'!O:O&lt;&gt;"""")})&gt;1))),""No shared courses""),"""")"),"")</f>
        <v/>
      </c>
      <c r="J91" s="94" t="str">
        <f>IFERROR(__xludf.DUMMYFUNCTION("if(H91=""Can't be Together"",iferror(join("", "",unique(filter({unique(filter('Students (Vertical)'!O:O,'Students (Vertical)'!C:C=B91,'Students (Vertical)'!O:O&lt;&gt;"""",'Students (Vertical)'!P:P&gt;1));unique(filter('Students (Vertical)'!O:O,'Students (Vertical"&amp;")'!C:C=E91,'Students (Vertical)'!O:O&lt;&gt;"""",'Students (Vertical)'!P:P&gt;1))},countifs({unique(filter('Students (Vertical)'!O:O,'Students (Vertical)'!C:C=B91,'Students (Vertical)'!O:O&lt;&gt;"""",'Students (Vertical)'!P:P&gt;1));unique(filter('Students (Vertical)'!O:O"&amp;",'Students (Vertical)'!C:C=E91,'Students (Vertical)'!O:O&lt;&gt;"""",'Students (Vertical)'!P:P&gt;1))},{unique(filter('Students (Vertical)'!O:O,'Students (Vertical)'!C:C=B91,'Students (Vertical)'!O:O&lt;&gt;"""",'Students (Vertical)'!P:P&gt;1));unique(filter('Students (Ver"&amp;"tical)'!O:O,'Students (Vertical)'!C:C=E91,'Students (Vertical)'!O:O&lt;&gt;"""",'Students (Vertical)'!P:P&gt;1))})&gt;1))),""""),"""")"),"Science 8-3, Spanish 8-4, PE 8-5a")</f>
        <v>Science 8-3, Spanish 8-4, PE 8-5a</v>
      </c>
      <c r="K91" s="96" t="str">
        <f>IFERROR(__xludf.DUMMYFUNCTION("iferror(join("", "",unique(filter({filter('Students (Vertical)'!D:D,'Students (Vertical)'!C:C=B91,'Students (Vertical)'!D:D&lt;&gt;"""");filter('Students (Vertical)'!D:D,'Students (Vertical)'!C:C=E91,'Students (Vertical)'!D:D&lt;&gt;"""")},countifs({filter('Students "&amp;"(Vertical)'!D:D,'Students (Vertical)'!C:C=B91,'Students (Vertical)'!D:D&lt;&gt;"""");filter('Students (Vertical)'!D:D,'Students (Vertical)'!C:C=E91,'Students (Vertical)'!D:D&lt;&gt;"""")},{filter('Students (Vertical)'!D:D,'Students (Vertical)'!C:C=B91,'Students (Vert"&amp;"ical)'!D:D&lt;&gt;"""");filter('Students (Vertical)'!D:D,'Students (Vertical)'!C:C=E91,'Students (Vertical)'!D:D&lt;&gt;"""")})&gt;1))),"""")"),"Science 8, Math 8A, English 8A, Sociales 8, Spanish 8, PE 8, Band 8S1, Band 8S2")</f>
        <v>Science 8, Math 8A, English 8A, Sociales 8, Spanish 8, PE 8, Band 8S1, Band 8S2</v>
      </c>
      <c r="L91" s="96"/>
      <c r="M91" s="96"/>
    </row>
    <row r="92">
      <c r="A92" s="8">
        <v>91.0</v>
      </c>
      <c r="B92" s="12" t="s">
        <v>267</v>
      </c>
      <c r="C92" s="8">
        <v>29050.0</v>
      </c>
      <c r="D92" s="8">
        <v>8.0</v>
      </c>
      <c r="E92" s="12" t="s">
        <v>269</v>
      </c>
      <c r="F92" s="8">
        <v>29068.0</v>
      </c>
      <c r="G92" s="8">
        <v>8.0</v>
      </c>
      <c r="H92" s="12" t="s">
        <v>212</v>
      </c>
      <c r="I92" s="94" t="str">
        <f>IFERROR(__xludf.DUMMYFUNCTION("if(H92=""Must be Together"",iferror(join("", "",unique(filter({filter('Students (Vertical)'!O:O,'Students (Vertical)'!C:C=B92,'Students (Vertical)'!O:O&lt;&gt;"""");filter('Students (Vertical)'!O:O,'Students (Vertical)'!C:C=E92,'Students (Vertical)'!O:O&lt;&gt;"""")}"&amp;",countifs({filter('Students (Vertical)'!O:O,'Students (Vertical)'!C:C=B92,'Students (Vertical)'!O:O&lt;&gt;"""");filter('Students (Vertical)'!O:O,'Students (Vertical)'!C:C=E92,'Students (Vertical)'!O:O&lt;&gt;"""")},{filter('Students (Vertical)'!O:O,'Students (Vertic"&amp;"al)'!C:C=B92,'Students (Vertical)'!O:O&lt;&gt;"""");filter('Students (Vertical)'!O:O,'Students (Vertical)'!C:C=E92,'Students (Vertical)'!O:O&lt;&gt;"""")})&gt;1))),""No shared courses""),"""")"),"")</f>
        <v/>
      </c>
      <c r="J92" s="94" t="str">
        <f>IFERROR(__xludf.DUMMYFUNCTION("if(H92=""Can't be Together"",iferror(join("", "",unique(filter({unique(filter('Students (Vertical)'!O:O,'Students (Vertical)'!C:C=B92,'Students (Vertical)'!O:O&lt;&gt;"""",'Students (Vertical)'!P:P&gt;1));unique(filter('Students (Vertical)'!O:O,'Students (Vertical"&amp;")'!C:C=E92,'Students (Vertical)'!O:O&lt;&gt;"""",'Students (Vertical)'!P:P&gt;1))},countifs({unique(filter('Students (Vertical)'!O:O,'Students (Vertical)'!C:C=B92,'Students (Vertical)'!O:O&lt;&gt;"""",'Students (Vertical)'!P:P&gt;1));unique(filter('Students (Vertical)'!O:O"&amp;",'Students (Vertical)'!C:C=E92,'Students (Vertical)'!O:O&lt;&gt;"""",'Students (Vertical)'!P:P&gt;1))},{unique(filter('Students (Vertical)'!O:O,'Students (Vertical)'!C:C=B92,'Students (Vertical)'!O:O&lt;&gt;"""",'Students (Vertical)'!P:P&gt;1));unique(filter('Students (Ver"&amp;"tical)'!O:O,'Students (Vertical)'!C:C=E92,'Students (Vertical)'!O:O&lt;&gt;"""",'Students (Vertical)'!P:P&gt;1))})&gt;1))),""""),"""")"),"Science 8-3, Spanish 8-4, PE 8-5a")</f>
        <v>Science 8-3, Spanish 8-4, PE 8-5a</v>
      </c>
      <c r="K92" s="96" t="str">
        <f>IFERROR(__xludf.DUMMYFUNCTION("iferror(join("", "",unique(filter({filter('Students (Vertical)'!D:D,'Students (Vertical)'!C:C=B92,'Students (Vertical)'!D:D&lt;&gt;"""");filter('Students (Vertical)'!D:D,'Students (Vertical)'!C:C=E92,'Students (Vertical)'!D:D&lt;&gt;"""")},countifs({filter('Students "&amp;"(Vertical)'!D:D,'Students (Vertical)'!C:C=B92,'Students (Vertical)'!D:D&lt;&gt;"""");filter('Students (Vertical)'!D:D,'Students (Vertical)'!C:C=E92,'Students (Vertical)'!D:D&lt;&gt;"""")},{filter('Students (Vertical)'!D:D,'Students (Vertical)'!C:C=B92,'Students (Vert"&amp;"ical)'!D:D&lt;&gt;"""");filter('Students (Vertical)'!D:D,'Students (Vertical)'!C:C=E92,'Students (Vertical)'!D:D&lt;&gt;"""")})&gt;1))),"""")"),"Science 8, Sociales 8, Spanish 8, PE 8, Band 8S1, Band 8S2")</f>
        <v>Science 8, Sociales 8, Spanish 8, PE 8, Band 8S1, Band 8S2</v>
      </c>
      <c r="L92" s="96"/>
      <c r="M92" s="96"/>
    </row>
    <row r="93">
      <c r="A93" s="8">
        <v>92.0</v>
      </c>
      <c r="B93" s="12" t="s">
        <v>279</v>
      </c>
      <c r="C93" s="8">
        <v>28046.0</v>
      </c>
      <c r="D93" s="8">
        <v>8.0</v>
      </c>
      <c r="E93" s="12" t="s">
        <v>268</v>
      </c>
      <c r="F93" s="8">
        <v>28032.0</v>
      </c>
      <c r="G93" s="8">
        <v>8.0</v>
      </c>
      <c r="H93" s="12" t="s">
        <v>212</v>
      </c>
      <c r="I93" s="94" t="str">
        <f>IFERROR(__xludf.DUMMYFUNCTION("if(H93=""Must be Together"",iferror(join("", "",unique(filter({filter('Students (Vertical)'!O:O,'Students (Vertical)'!C:C=B93,'Students (Vertical)'!O:O&lt;&gt;"""");filter('Students (Vertical)'!O:O,'Students (Vertical)'!C:C=E93,'Students (Vertical)'!O:O&lt;&gt;"""")}"&amp;",countifs({filter('Students (Vertical)'!O:O,'Students (Vertical)'!C:C=B93,'Students (Vertical)'!O:O&lt;&gt;"""");filter('Students (Vertical)'!O:O,'Students (Vertical)'!C:C=E93,'Students (Vertical)'!O:O&lt;&gt;"""")},{filter('Students (Vertical)'!O:O,'Students (Vertic"&amp;"al)'!C:C=B93,'Students (Vertical)'!O:O&lt;&gt;"""");filter('Students (Vertical)'!O:O,'Students (Vertical)'!C:C=E93,'Students (Vertical)'!O:O&lt;&gt;"""")})&gt;1))),""No shared courses""),"""")"),"")</f>
        <v/>
      </c>
      <c r="J93" s="94" t="str">
        <f>IFERROR(__xludf.DUMMYFUNCTION("if(H93=""Can't be Together"",iferror(join("", "",unique(filter({unique(filter('Students (Vertical)'!O:O,'Students (Vertical)'!C:C=B93,'Students (Vertical)'!O:O&lt;&gt;"""",'Students (Vertical)'!P:P&gt;1));unique(filter('Students (Vertical)'!O:O,'Students (Vertical"&amp;")'!C:C=E93,'Students (Vertical)'!O:O&lt;&gt;"""",'Students (Vertical)'!P:P&gt;1))},countifs({unique(filter('Students (Vertical)'!O:O,'Students (Vertical)'!C:C=B93,'Students (Vertical)'!O:O&lt;&gt;"""",'Students (Vertical)'!P:P&gt;1));unique(filter('Students (Vertical)'!O:O"&amp;",'Students (Vertical)'!C:C=E93,'Students (Vertical)'!O:O&lt;&gt;"""",'Students (Vertical)'!P:P&gt;1))},{unique(filter('Students (Vertical)'!O:O,'Students (Vertical)'!C:C=B93,'Students (Vertical)'!O:O&lt;&gt;"""",'Students (Vertical)'!P:P&gt;1));unique(filter('Students (Ver"&amp;"tical)'!O:O,'Students (Vertical)'!C:C=E93,'Students (Vertical)'!O:O&lt;&gt;"""",'Students (Vertical)'!P:P&gt;1))})&gt;1))),""""),"""")"),"")</f>
        <v/>
      </c>
      <c r="K93" s="96" t="str">
        <f>IFERROR(__xludf.DUMMYFUNCTION("iferror(join("", "",unique(filter({filter('Students (Vertical)'!D:D,'Students (Vertical)'!C:C=B93,'Students (Vertical)'!D:D&lt;&gt;"""");filter('Students (Vertical)'!D:D,'Students (Vertical)'!C:C=E93,'Students (Vertical)'!D:D&lt;&gt;"""")},countifs({filter('Students "&amp;"(Vertical)'!D:D,'Students (Vertical)'!C:C=B93,'Students (Vertical)'!D:D&lt;&gt;"""");filter('Students (Vertical)'!D:D,'Students (Vertical)'!C:C=E93,'Students (Vertical)'!D:D&lt;&gt;"""")},{filter('Students (Vertical)'!D:D,'Students (Vertical)'!C:C=B93,'Students (Vert"&amp;"ical)'!D:D&lt;&gt;"""");filter('Students (Vertical)'!D:D,'Students (Vertical)'!C:C=E93,'Students (Vertical)'!D:D&lt;&gt;"""")})&gt;1))),"""")"),"Science 8, Sociales 8, Spanish 8, PE 8, Band 8S1, Band 8S2")</f>
        <v>Science 8, Sociales 8, Spanish 8, PE 8, Band 8S1, Band 8S2</v>
      </c>
      <c r="L93" s="96"/>
      <c r="M93" s="96"/>
    </row>
    <row r="94">
      <c r="A94" s="8">
        <v>93.0</v>
      </c>
      <c r="B94" s="12" t="s">
        <v>279</v>
      </c>
      <c r="C94" s="8">
        <v>28046.0</v>
      </c>
      <c r="D94" s="8">
        <v>8.0</v>
      </c>
      <c r="E94" s="12" t="s">
        <v>266</v>
      </c>
      <c r="F94" s="8">
        <v>29049.0</v>
      </c>
      <c r="G94" s="8">
        <v>8.0</v>
      </c>
      <c r="H94" s="12" t="s">
        <v>212</v>
      </c>
      <c r="I94" s="94" t="str">
        <f>IFERROR(__xludf.DUMMYFUNCTION("if(H94=""Must be Together"",iferror(join("", "",unique(filter({filter('Students (Vertical)'!O:O,'Students (Vertical)'!C:C=B94,'Students (Vertical)'!O:O&lt;&gt;"""");filter('Students (Vertical)'!O:O,'Students (Vertical)'!C:C=E94,'Students (Vertical)'!O:O&lt;&gt;"""")}"&amp;",countifs({filter('Students (Vertical)'!O:O,'Students (Vertical)'!C:C=B94,'Students (Vertical)'!O:O&lt;&gt;"""");filter('Students (Vertical)'!O:O,'Students (Vertical)'!C:C=E94,'Students (Vertical)'!O:O&lt;&gt;"""")},{filter('Students (Vertical)'!O:O,'Students (Vertic"&amp;"al)'!C:C=B94,'Students (Vertical)'!O:O&lt;&gt;"""");filter('Students (Vertical)'!O:O,'Students (Vertical)'!C:C=E94,'Students (Vertical)'!O:O&lt;&gt;"""")})&gt;1))),""No shared courses""),"""")"),"")</f>
        <v/>
      </c>
      <c r="J94" s="94" t="str">
        <f>IFERROR(__xludf.DUMMYFUNCTION("if(H94=""Can't be Together"",iferror(join("", "",unique(filter({unique(filter('Students (Vertical)'!O:O,'Students (Vertical)'!C:C=B94,'Students (Vertical)'!O:O&lt;&gt;"""",'Students (Vertical)'!P:P&gt;1));unique(filter('Students (Vertical)'!O:O,'Students (Vertical"&amp;")'!C:C=E94,'Students (Vertical)'!O:O&lt;&gt;"""",'Students (Vertical)'!P:P&gt;1))},countifs({unique(filter('Students (Vertical)'!O:O,'Students (Vertical)'!C:C=B94,'Students (Vertical)'!O:O&lt;&gt;"""",'Students (Vertical)'!P:P&gt;1));unique(filter('Students (Vertical)'!O:O"&amp;",'Students (Vertical)'!C:C=E94,'Students (Vertical)'!O:O&lt;&gt;"""",'Students (Vertical)'!P:P&gt;1))},{unique(filter('Students (Vertical)'!O:O,'Students (Vertical)'!C:C=B94,'Students (Vertical)'!O:O&lt;&gt;"""",'Students (Vertical)'!P:P&gt;1));unique(filter('Students (Ver"&amp;"tical)'!O:O,'Students (Vertical)'!C:C=E94,'Students (Vertical)'!O:O&lt;&gt;"""",'Students (Vertical)'!P:P&gt;1))})&gt;1))),""""),"""")"),"")</f>
        <v/>
      </c>
      <c r="K94" s="96" t="str">
        <f>IFERROR(__xludf.DUMMYFUNCTION("iferror(join("", "",unique(filter({filter('Students (Vertical)'!D:D,'Students (Vertical)'!C:C=B94,'Students (Vertical)'!D:D&lt;&gt;"""");filter('Students (Vertical)'!D:D,'Students (Vertical)'!C:C=E94,'Students (Vertical)'!D:D&lt;&gt;"""")},countifs({filter('Students "&amp;"(Vertical)'!D:D,'Students (Vertical)'!C:C=B94,'Students (Vertical)'!D:D&lt;&gt;"""");filter('Students (Vertical)'!D:D,'Students (Vertical)'!C:C=E94,'Students (Vertical)'!D:D&lt;&gt;"""")},{filter('Students (Vertical)'!D:D,'Students (Vertical)'!C:C=B94,'Students (Vert"&amp;"ical)'!D:D&lt;&gt;"""");filter('Students (Vertical)'!D:D,'Students (Vertical)'!C:C=E94,'Students (Vertical)'!D:D&lt;&gt;"""")})&gt;1))),"""")"),"Science 8, Math 8A, Sociales 8, Spanish 8, PE 8, Band 8S1, Band 8S2")</f>
        <v>Science 8, Math 8A, Sociales 8, Spanish 8, PE 8, Band 8S1, Band 8S2</v>
      </c>
      <c r="L94" s="96"/>
      <c r="M94" s="96"/>
    </row>
    <row r="95">
      <c r="A95" s="8">
        <v>94.0</v>
      </c>
      <c r="B95" s="12" t="s">
        <v>279</v>
      </c>
      <c r="C95" s="8">
        <v>28046.0</v>
      </c>
      <c r="D95" s="8">
        <v>8.0</v>
      </c>
      <c r="E95" s="12" t="s">
        <v>267</v>
      </c>
      <c r="F95" s="8">
        <v>29050.0</v>
      </c>
      <c r="G95" s="8">
        <v>8.0</v>
      </c>
      <c r="H95" s="12" t="s">
        <v>212</v>
      </c>
      <c r="I95" s="94" t="str">
        <f>IFERROR(__xludf.DUMMYFUNCTION("if(H95=""Must be Together"",iferror(join("", "",unique(filter({filter('Students (Vertical)'!O:O,'Students (Vertical)'!C:C=B95,'Students (Vertical)'!O:O&lt;&gt;"""");filter('Students (Vertical)'!O:O,'Students (Vertical)'!C:C=E95,'Students (Vertical)'!O:O&lt;&gt;"""")}"&amp;",countifs({filter('Students (Vertical)'!O:O,'Students (Vertical)'!C:C=B95,'Students (Vertical)'!O:O&lt;&gt;"""");filter('Students (Vertical)'!O:O,'Students (Vertical)'!C:C=E95,'Students (Vertical)'!O:O&lt;&gt;"""")},{filter('Students (Vertical)'!O:O,'Students (Vertic"&amp;"al)'!C:C=B95,'Students (Vertical)'!O:O&lt;&gt;"""");filter('Students (Vertical)'!O:O,'Students (Vertical)'!C:C=E95,'Students (Vertical)'!O:O&lt;&gt;"""")})&gt;1))),""No shared courses""),"""")"),"")</f>
        <v/>
      </c>
      <c r="J95" s="94" t="str">
        <f>IFERROR(__xludf.DUMMYFUNCTION("if(H95=""Can't be Together"",iferror(join("", "",unique(filter({unique(filter('Students (Vertical)'!O:O,'Students (Vertical)'!C:C=B95,'Students (Vertical)'!O:O&lt;&gt;"""",'Students (Vertical)'!P:P&gt;1));unique(filter('Students (Vertical)'!O:O,'Students (Vertical"&amp;")'!C:C=E95,'Students (Vertical)'!O:O&lt;&gt;"""",'Students (Vertical)'!P:P&gt;1))},countifs({unique(filter('Students (Vertical)'!O:O,'Students (Vertical)'!C:C=B95,'Students (Vertical)'!O:O&lt;&gt;"""",'Students (Vertical)'!P:P&gt;1));unique(filter('Students (Vertical)'!O:O"&amp;",'Students (Vertical)'!C:C=E95,'Students (Vertical)'!O:O&lt;&gt;"""",'Students (Vertical)'!P:P&gt;1))},{unique(filter('Students (Vertical)'!O:O,'Students (Vertical)'!C:C=B95,'Students (Vertical)'!O:O&lt;&gt;"""",'Students (Vertical)'!P:P&gt;1));unique(filter('Students (Ver"&amp;"tical)'!O:O,'Students (Vertical)'!C:C=E95,'Students (Vertical)'!O:O&lt;&gt;"""",'Students (Vertical)'!P:P&gt;1))})&gt;1))),""""),"""")"),"Science 8-3, Spanish 8-4, PE 8-5a")</f>
        <v>Science 8-3, Spanish 8-4, PE 8-5a</v>
      </c>
      <c r="K95" s="96" t="str">
        <f>IFERROR(__xludf.DUMMYFUNCTION("iferror(join("", "",unique(filter({filter('Students (Vertical)'!D:D,'Students (Vertical)'!C:C=B95,'Students (Vertical)'!D:D&lt;&gt;"""");filter('Students (Vertical)'!D:D,'Students (Vertical)'!C:C=E95,'Students (Vertical)'!D:D&lt;&gt;"""")},countifs({filter('Students "&amp;"(Vertical)'!D:D,'Students (Vertical)'!C:C=B95,'Students (Vertical)'!D:D&lt;&gt;"""");filter('Students (Vertical)'!D:D,'Students (Vertical)'!C:C=E95,'Students (Vertical)'!D:D&lt;&gt;"""")},{filter('Students (Vertical)'!D:D,'Students (Vertical)'!C:C=B95,'Students (Vert"&amp;"ical)'!D:D&lt;&gt;"""");filter('Students (Vertical)'!D:D,'Students (Vertical)'!C:C=E95,'Students (Vertical)'!D:D&lt;&gt;"""")})&gt;1))),"""")"),"Science 8, Math 8A, English 8A, Sociales 8, Spanish 8, PE 8, Band 8S1, Band 8S2")</f>
        <v>Science 8, Math 8A, English 8A, Sociales 8, Spanish 8, PE 8, Band 8S1, Band 8S2</v>
      </c>
      <c r="L95" s="96"/>
      <c r="M95" s="96"/>
    </row>
    <row r="96">
      <c r="A96" s="8">
        <v>95.0</v>
      </c>
      <c r="B96" s="12" t="s">
        <v>279</v>
      </c>
      <c r="C96" s="8">
        <v>28046.0</v>
      </c>
      <c r="D96" s="8">
        <v>8.0</v>
      </c>
      <c r="E96" s="12" t="s">
        <v>280</v>
      </c>
      <c r="F96" s="8">
        <v>29065.0</v>
      </c>
      <c r="G96" s="8">
        <v>8.0</v>
      </c>
      <c r="H96" s="12" t="s">
        <v>212</v>
      </c>
      <c r="I96" s="94" t="str">
        <f>IFERROR(__xludf.DUMMYFUNCTION("if(H96=""Must be Together"",iferror(join("", "",unique(filter({filter('Students (Vertical)'!O:O,'Students (Vertical)'!C:C=B96,'Students (Vertical)'!O:O&lt;&gt;"""");filter('Students (Vertical)'!O:O,'Students (Vertical)'!C:C=E96,'Students (Vertical)'!O:O&lt;&gt;"""")}"&amp;",countifs({filter('Students (Vertical)'!O:O,'Students (Vertical)'!C:C=B96,'Students (Vertical)'!O:O&lt;&gt;"""");filter('Students (Vertical)'!O:O,'Students (Vertical)'!C:C=E96,'Students (Vertical)'!O:O&lt;&gt;"""")},{filter('Students (Vertical)'!O:O,'Students (Vertic"&amp;"al)'!C:C=B96,'Students (Vertical)'!O:O&lt;&gt;"""");filter('Students (Vertical)'!O:O,'Students (Vertical)'!C:C=E96,'Students (Vertical)'!O:O&lt;&gt;"""")})&gt;1))),""No shared courses""),"""")"),"")</f>
        <v/>
      </c>
      <c r="J96" s="94" t="str">
        <f>IFERROR(__xludf.DUMMYFUNCTION("if(H96=""Can't be Together"",iferror(join("", "",unique(filter({unique(filter('Students (Vertical)'!O:O,'Students (Vertical)'!C:C=B96,'Students (Vertical)'!O:O&lt;&gt;"""",'Students (Vertical)'!P:P&gt;1));unique(filter('Students (Vertical)'!O:O,'Students (Vertical"&amp;")'!C:C=E96,'Students (Vertical)'!O:O&lt;&gt;"""",'Students (Vertical)'!P:P&gt;1))},countifs({unique(filter('Students (Vertical)'!O:O,'Students (Vertical)'!C:C=B96,'Students (Vertical)'!O:O&lt;&gt;"""",'Students (Vertical)'!P:P&gt;1));unique(filter('Students (Vertical)'!O:O"&amp;",'Students (Vertical)'!C:C=E96,'Students (Vertical)'!O:O&lt;&gt;"""",'Students (Vertical)'!P:P&gt;1))},{unique(filter('Students (Vertical)'!O:O,'Students (Vertical)'!C:C=B96,'Students (Vertical)'!O:O&lt;&gt;"""",'Students (Vertical)'!P:P&gt;1));unique(filter('Students (Ver"&amp;"tical)'!O:O,'Students (Vertical)'!C:C=E96,'Students (Vertical)'!O:O&lt;&gt;"""",'Students (Vertical)'!P:P&gt;1))})&gt;1))),""""),"""")"),"")</f>
        <v/>
      </c>
      <c r="K96" s="96" t="str">
        <f>IFERROR(__xludf.DUMMYFUNCTION("iferror(join("", "",unique(filter({filter('Students (Vertical)'!D:D,'Students (Vertical)'!C:C=B96,'Students (Vertical)'!D:D&lt;&gt;"""");filter('Students (Vertical)'!D:D,'Students (Vertical)'!C:C=E96,'Students (Vertical)'!D:D&lt;&gt;"""")},countifs({filter('Students "&amp;"(Vertical)'!D:D,'Students (Vertical)'!C:C=B96,'Students (Vertical)'!D:D&lt;&gt;"""");filter('Students (Vertical)'!D:D,'Students (Vertical)'!C:C=E96,'Students (Vertical)'!D:D&lt;&gt;"""")},{filter('Students (Vertical)'!D:D,'Students (Vertical)'!C:C=B96,'Students (Vert"&amp;"ical)'!D:D&lt;&gt;"""");filter('Students (Vertical)'!D:D,'Students (Vertical)'!C:C=E96,'Students (Vertical)'!D:D&lt;&gt;"""")})&gt;1))),"""")"),"Science 8, Sociales 8, Spanish 8, PE 8, Band 8S1, Band 8S2")</f>
        <v>Science 8, Sociales 8, Spanish 8, PE 8, Band 8S1, Band 8S2</v>
      </c>
      <c r="L96" s="96"/>
      <c r="M96" s="96"/>
    </row>
    <row r="97">
      <c r="A97" s="8">
        <v>96.0</v>
      </c>
      <c r="B97" s="12" t="s">
        <v>279</v>
      </c>
      <c r="C97" s="8">
        <v>28046.0</v>
      </c>
      <c r="D97" s="8">
        <v>8.0</v>
      </c>
      <c r="E97" s="12" t="s">
        <v>281</v>
      </c>
      <c r="F97" s="8">
        <v>29059.0</v>
      </c>
      <c r="G97" s="8">
        <v>8.0</v>
      </c>
      <c r="H97" s="12" t="s">
        <v>212</v>
      </c>
      <c r="I97" s="94" t="str">
        <f>IFERROR(__xludf.DUMMYFUNCTION("if(H97=""Must be Together"",iferror(join("", "",unique(filter({filter('Students (Vertical)'!O:O,'Students (Vertical)'!C:C=B97,'Students (Vertical)'!O:O&lt;&gt;"""");filter('Students (Vertical)'!O:O,'Students (Vertical)'!C:C=E97,'Students (Vertical)'!O:O&lt;&gt;"""")}"&amp;",countifs({filter('Students (Vertical)'!O:O,'Students (Vertical)'!C:C=B97,'Students (Vertical)'!O:O&lt;&gt;"""");filter('Students (Vertical)'!O:O,'Students (Vertical)'!C:C=E97,'Students (Vertical)'!O:O&lt;&gt;"""")},{filter('Students (Vertical)'!O:O,'Students (Vertic"&amp;"al)'!C:C=B97,'Students (Vertical)'!O:O&lt;&gt;"""");filter('Students (Vertical)'!O:O,'Students (Vertical)'!C:C=E97,'Students (Vertical)'!O:O&lt;&gt;"""")})&gt;1))),""No shared courses""),"""")"),"")</f>
        <v/>
      </c>
      <c r="J97" s="94" t="str">
        <f>IFERROR(__xludf.DUMMYFUNCTION("if(H97=""Can't be Together"",iferror(join("", "",unique(filter({unique(filter('Students (Vertical)'!O:O,'Students (Vertical)'!C:C=B97,'Students (Vertical)'!O:O&lt;&gt;"""",'Students (Vertical)'!P:P&gt;1));unique(filter('Students (Vertical)'!O:O,'Students (Vertical"&amp;")'!C:C=E97,'Students (Vertical)'!O:O&lt;&gt;"""",'Students (Vertical)'!P:P&gt;1))},countifs({unique(filter('Students (Vertical)'!O:O,'Students (Vertical)'!C:C=B97,'Students (Vertical)'!O:O&lt;&gt;"""",'Students (Vertical)'!P:P&gt;1));unique(filter('Students (Vertical)'!O:O"&amp;",'Students (Vertical)'!C:C=E97,'Students (Vertical)'!O:O&lt;&gt;"""",'Students (Vertical)'!P:P&gt;1))},{unique(filter('Students (Vertical)'!O:O,'Students (Vertical)'!C:C=B97,'Students (Vertical)'!O:O&lt;&gt;"""",'Students (Vertical)'!P:P&gt;1));unique(filter('Students (Ver"&amp;"tical)'!O:O,'Students (Vertical)'!C:C=E97,'Students (Vertical)'!O:O&lt;&gt;"""",'Students (Vertical)'!P:P&gt;1))})&gt;1))),""""),"""")"),"Science 8-3, Spanish 8-4, PE 8-5a")</f>
        <v>Science 8-3, Spanish 8-4, PE 8-5a</v>
      </c>
      <c r="K97" s="96" t="str">
        <f>IFERROR(__xludf.DUMMYFUNCTION("iferror(join("", "",unique(filter({filter('Students (Vertical)'!D:D,'Students (Vertical)'!C:C=B97,'Students (Vertical)'!D:D&lt;&gt;"""");filter('Students (Vertical)'!D:D,'Students (Vertical)'!C:C=E97,'Students (Vertical)'!D:D&lt;&gt;"""")},countifs({filter('Students "&amp;"(Vertical)'!D:D,'Students (Vertical)'!C:C=B97,'Students (Vertical)'!D:D&lt;&gt;"""");filter('Students (Vertical)'!D:D,'Students (Vertical)'!C:C=E97,'Students (Vertical)'!D:D&lt;&gt;"""")},{filter('Students (Vertical)'!D:D,'Students (Vertical)'!C:C=B97,'Students (Vert"&amp;"ical)'!D:D&lt;&gt;"""");filter('Students (Vertical)'!D:D,'Students (Vertical)'!C:C=E97,'Students (Vertical)'!D:D&lt;&gt;"""")})&gt;1))),"""")"),"Science 8, Math 8A, English 8A, Sociales 8, Spanish 8, PE 8, Band 8S1, Band 8S2")</f>
        <v>Science 8, Math 8A, English 8A, Sociales 8, Spanish 8, PE 8, Band 8S1, Band 8S2</v>
      </c>
      <c r="L97" s="96"/>
      <c r="M97" s="96"/>
    </row>
    <row r="98">
      <c r="A98" s="8">
        <v>97.0</v>
      </c>
      <c r="B98" s="12" t="s">
        <v>279</v>
      </c>
      <c r="C98" s="8">
        <v>28046.0</v>
      </c>
      <c r="D98" s="8">
        <v>8.0</v>
      </c>
      <c r="E98" s="12" t="s">
        <v>269</v>
      </c>
      <c r="F98" s="8">
        <v>29068.0</v>
      </c>
      <c r="G98" s="8">
        <v>8.0</v>
      </c>
      <c r="H98" s="12" t="s">
        <v>212</v>
      </c>
      <c r="I98" s="94" t="str">
        <f>IFERROR(__xludf.DUMMYFUNCTION("if(H98=""Must be Together"",iferror(join("", "",unique(filter({filter('Students (Vertical)'!O:O,'Students (Vertical)'!C:C=B98,'Students (Vertical)'!O:O&lt;&gt;"""");filter('Students (Vertical)'!O:O,'Students (Vertical)'!C:C=E98,'Students (Vertical)'!O:O&lt;&gt;"""")}"&amp;",countifs({filter('Students (Vertical)'!O:O,'Students (Vertical)'!C:C=B98,'Students (Vertical)'!O:O&lt;&gt;"""");filter('Students (Vertical)'!O:O,'Students (Vertical)'!C:C=E98,'Students (Vertical)'!O:O&lt;&gt;"""")},{filter('Students (Vertical)'!O:O,'Students (Vertic"&amp;"al)'!C:C=B98,'Students (Vertical)'!O:O&lt;&gt;"""");filter('Students (Vertical)'!O:O,'Students (Vertical)'!C:C=E98,'Students (Vertical)'!O:O&lt;&gt;"""")})&gt;1))),""No shared courses""),"""")"),"")</f>
        <v/>
      </c>
      <c r="J98" s="94" t="str">
        <f>IFERROR(__xludf.DUMMYFUNCTION("if(H98=""Can't be Together"",iferror(join("", "",unique(filter({unique(filter('Students (Vertical)'!O:O,'Students (Vertical)'!C:C=B98,'Students (Vertical)'!O:O&lt;&gt;"""",'Students (Vertical)'!P:P&gt;1));unique(filter('Students (Vertical)'!O:O,'Students (Vertical"&amp;")'!C:C=E98,'Students (Vertical)'!O:O&lt;&gt;"""",'Students (Vertical)'!P:P&gt;1))},countifs({unique(filter('Students (Vertical)'!O:O,'Students (Vertical)'!C:C=B98,'Students (Vertical)'!O:O&lt;&gt;"""",'Students (Vertical)'!P:P&gt;1));unique(filter('Students (Vertical)'!O:O"&amp;",'Students (Vertical)'!C:C=E98,'Students (Vertical)'!O:O&lt;&gt;"""",'Students (Vertical)'!P:P&gt;1))},{unique(filter('Students (Vertical)'!O:O,'Students (Vertical)'!C:C=B98,'Students (Vertical)'!O:O&lt;&gt;"""",'Students (Vertical)'!P:P&gt;1));unique(filter('Students (Ver"&amp;"tical)'!O:O,'Students (Vertical)'!C:C=E98,'Students (Vertical)'!O:O&lt;&gt;"""",'Students (Vertical)'!P:P&gt;1))})&gt;1))),""""),"""")"),"Science 8-3, Spanish 8-4, PE 8-5a")</f>
        <v>Science 8-3, Spanish 8-4, PE 8-5a</v>
      </c>
      <c r="K98" s="96" t="str">
        <f>IFERROR(__xludf.DUMMYFUNCTION("iferror(join("", "",unique(filter({filter('Students (Vertical)'!D:D,'Students (Vertical)'!C:C=B98,'Students (Vertical)'!D:D&lt;&gt;"""");filter('Students (Vertical)'!D:D,'Students (Vertical)'!C:C=E98,'Students (Vertical)'!D:D&lt;&gt;"""")},countifs({filter('Students "&amp;"(Vertical)'!D:D,'Students (Vertical)'!C:C=B98,'Students (Vertical)'!D:D&lt;&gt;"""");filter('Students (Vertical)'!D:D,'Students (Vertical)'!C:C=E98,'Students (Vertical)'!D:D&lt;&gt;"""")},{filter('Students (Vertical)'!D:D,'Students (Vertical)'!C:C=B98,'Students (Vert"&amp;"ical)'!D:D&lt;&gt;"""");filter('Students (Vertical)'!D:D,'Students (Vertical)'!C:C=E98,'Students (Vertical)'!D:D&lt;&gt;"""")})&gt;1))),"""")"),"Science 8, Sociales 8, Spanish 8, PE 8, Band 8S1, Band 8S2")</f>
        <v>Science 8, Sociales 8, Spanish 8, PE 8, Band 8S1, Band 8S2</v>
      </c>
      <c r="L98" s="96"/>
      <c r="M98" s="96"/>
    </row>
    <row r="99">
      <c r="A99" s="8">
        <v>98.0</v>
      </c>
      <c r="B99" s="12" t="s">
        <v>280</v>
      </c>
      <c r="C99" s="8">
        <v>29065.0</v>
      </c>
      <c r="D99" s="8">
        <v>8.0</v>
      </c>
      <c r="E99" s="12" t="s">
        <v>268</v>
      </c>
      <c r="F99" s="8">
        <v>28032.0</v>
      </c>
      <c r="G99" s="8">
        <v>8.0</v>
      </c>
      <c r="H99" s="12" t="s">
        <v>212</v>
      </c>
      <c r="I99" s="94" t="str">
        <f>IFERROR(__xludf.DUMMYFUNCTION("if(H99=""Must be Together"",iferror(join("", "",unique(filter({filter('Students (Vertical)'!O:O,'Students (Vertical)'!C:C=B99,'Students (Vertical)'!O:O&lt;&gt;"""");filter('Students (Vertical)'!O:O,'Students (Vertical)'!C:C=E99,'Students (Vertical)'!O:O&lt;&gt;"""")}"&amp;",countifs({filter('Students (Vertical)'!O:O,'Students (Vertical)'!C:C=B99,'Students (Vertical)'!O:O&lt;&gt;"""");filter('Students (Vertical)'!O:O,'Students (Vertical)'!C:C=E99,'Students (Vertical)'!O:O&lt;&gt;"""")},{filter('Students (Vertical)'!O:O,'Students (Vertic"&amp;"al)'!C:C=B99,'Students (Vertical)'!O:O&lt;&gt;"""");filter('Students (Vertical)'!O:O,'Students (Vertical)'!C:C=E99,'Students (Vertical)'!O:O&lt;&gt;"""")})&gt;1))),""No shared courses""),"""")"),"")</f>
        <v/>
      </c>
      <c r="J99" s="94" t="str">
        <f>IFERROR(__xludf.DUMMYFUNCTION("if(H99=""Can't be Together"",iferror(join("", "",unique(filter({unique(filter('Students (Vertical)'!O:O,'Students (Vertical)'!C:C=B99,'Students (Vertical)'!O:O&lt;&gt;"""",'Students (Vertical)'!P:P&gt;1));unique(filter('Students (Vertical)'!O:O,'Students (Vertical"&amp;")'!C:C=E99,'Students (Vertical)'!O:O&lt;&gt;"""",'Students (Vertical)'!P:P&gt;1))},countifs({unique(filter('Students (Vertical)'!O:O,'Students (Vertical)'!C:C=B99,'Students (Vertical)'!O:O&lt;&gt;"""",'Students (Vertical)'!P:P&gt;1));unique(filter('Students (Vertical)'!O:O"&amp;",'Students (Vertical)'!C:C=E99,'Students (Vertical)'!O:O&lt;&gt;"""",'Students (Vertical)'!P:P&gt;1))},{unique(filter('Students (Vertical)'!O:O,'Students (Vertical)'!C:C=B99,'Students (Vertical)'!O:O&lt;&gt;"""",'Students (Vertical)'!P:P&gt;1));unique(filter('Students (Ver"&amp;"tical)'!O:O,'Students (Vertical)'!C:C=E99,'Students (Vertical)'!O:O&lt;&gt;"""",'Students (Vertical)'!P:P&gt;1))})&gt;1))),""""),"""")"),"")</f>
        <v/>
      </c>
      <c r="K99" s="96" t="str">
        <f>IFERROR(__xludf.DUMMYFUNCTION("iferror(join("", "",unique(filter({filter('Students (Vertical)'!D:D,'Students (Vertical)'!C:C=B99,'Students (Vertical)'!D:D&lt;&gt;"""");filter('Students (Vertical)'!D:D,'Students (Vertical)'!C:C=E99,'Students (Vertical)'!D:D&lt;&gt;"""")},countifs({filter('Students "&amp;"(Vertical)'!D:D,'Students (Vertical)'!C:C=B99,'Students (Vertical)'!D:D&lt;&gt;"""");filter('Students (Vertical)'!D:D,'Students (Vertical)'!C:C=E99,'Students (Vertical)'!D:D&lt;&gt;"""")},{filter('Students (Vertical)'!D:D,'Students (Vertical)'!C:C=B99,'Students (Vert"&amp;"ical)'!D:D&lt;&gt;"""");filter('Students (Vertical)'!D:D,'Students (Vertical)'!C:C=E99,'Students (Vertical)'!D:D&lt;&gt;"""")})&gt;1))),"""")"),"Science 8, English 8, Sociales 8, Spanish 8, PE 8, Band 8S1, Band 8S2")</f>
        <v>Science 8, English 8, Sociales 8, Spanish 8, PE 8, Band 8S1, Band 8S2</v>
      </c>
      <c r="L99" s="96"/>
      <c r="M99" s="96"/>
    </row>
    <row r="100">
      <c r="A100" s="8">
        <v>99.0</v>
      </c>
      <c r="B100" s="12" t="s">
        <v>280</v>
      </c>
      <c r="C100" s="8">
        <v>29065.0</v>
      </c>
      <c r="D100" s="8">
        <v>8.0</v>
      </c>
      <c r="E100" s="12" t="s">
        <v>266</v>
      </c>
      <c r="F100" s="8">
        <v>29049.0</v>
      </c>
      <c r="G100" s="8">
        <v>8.0</v>
      </c>
      <c r="H100" s="12" t="s">
        <v>212</v>
      </c>
      <c r="I100" s="94" t="str">
        <f>IFERROR(__xludf.DUMMYFUNCTION("if(H100=""Must be Together"",iferror(join("", "",unique(filter({filter('Students (Vertical)'!O:O,'Students (Vertical)'!C:C=B100,'Students (Vertical)'!O:O&lt;&gt;"""");filter('Students (Vertical)'!O:O,'Students (Vertical)'!C:C=E100,'Students (Vertical)'!O:O&lt;&gt;"""&amp;""")},countifs({filter('Students (Vertical)'!O:O,'Students (Vertical)'!C:C=B100,'Students (Vertical)'!O:O&lt;&gt;"""");filter('Students (Vertical)'!O:O,'Students (Vertical)'!C:C=E100,'Students (Vertical)'!O:O&lt;&gt;"""")},{filter('Students (Vertical)'!O:O,'Students ("&amp;"Vertical)'!C:C=B100,'Students (Vertical)'!O:O&lt;&gt;"""");filter('Students (Vertical)'!O:O,'Students (Vertical)'!C:C=E100,'Students (Vertical)'!O:O&lt;&gt;"""")})&gt;1))),""No shared courses""),"""")"),"")</f>
        <v/>
      </c>
      <c r="J100" s="94" t="str">
        <f>IFERROR(__xludf.DUMMYFUNCTION("if(H100=""Can't be Together"",iferror(join("", "",unique(filter({unique(filter('Students (Vertical)'!O:O,'Students (Vertical)'!C:C=B100,'Students (Vertical)'!O:O&lt;&gt;"""",'Students (Vertical)'!P:P&gt;1));unique(filter('Students (Vertical)'!O:O,'Students (Vertic"&amp;"al)'!C:C=E100,'Students (Vertical)'!O:O&lt;&gt;"""",'Students (Vertical)'!P:P&gt;1))},countifs({unique(filter('Students (Vertical)'!O:O,'Students (Vertical)'!C:C=B100,'Students (Vertical)'!O:O&lt;&gt;"""",'Students (Vertical)'!P:P&gt;1));unique(filter('Students (Vertical)'"&amp;"!O:O,'Students (Vertical)'!C:C=E100,'Students (Vertical)'!O:O&lt;&gt;"""",'Students (Vertical)'!P:P&gt;1))},{unique(filter('Students (Vertical)'!O:O,'Students (Vertical)'!C:C=B100,'Students (Vertical)'!O:O&lt;&gt;"""",'Students (Vertical)'!P:P&gt;1));unique(filter('Student"&amp;"s (Vertical)'!O:O,'Students (Vertical)'!C:C=E100,'Students (Vertical)'!O:O&lt;&gt;"""",'Students (Vertical)'!P:P&gt;1))})&gt;1))),""""),"""")"),"")</f>
        <v/>
      </c>
      <c r="K100" s="96" t="str">
        <f>IFERROR(__xludf.DUMMYFUNCTION("iferror(join("", "",unique(filter({filter('Students (Vertical)'!D:D,'Students (Vertical)'!C:C=B100,'Students (Vertical)'!D:D&lt;&gt;"""");filter('Students (Vertical)'!D:D,'Students (Vertical)'!C:C=E100,'Students (Vertical)'!D:D&lt;&gt;"""")},countifs({filter('Student"&amp;"s (Vertical)'!D:D,'Students (Vertical)'!C:C=B100,'Students (Vertical)'!D:D&lt;&gt;"""");filter('Students (Vertical)'!D:D,'Students (Vertical)'!C:C=E100,'Students (Vertical)'!D:D&lt;&gt;"""")},{filter('Students (Vertical)'!D:D,'Students (Vertical)'!C:C=B100,'Students "&amp;"(Vertical)'!D:D&lt;&gt;"""");filter('Students (Vertical)'!D:D,'Students (Vertical)'!C:C=E100,'Students (Vertical)'!D:D&lt;&gt;"""")})&gt;1))),"""")"),"Science 8, English 8, Sociales 8, Spanish 8, PE 8, Band 8S1, Band 8S2")</f>
        <v>Science 8, English 8, Sociales 8, Spanish 8, PE 8, Band 8S1, Band 8S2</v>
      </c>
      <c r="L100" s="96"/>
      <c r="M100" s="96"/>
    </row>
    <row r="101">
      <c r="A101" s="8">
        <v>100.0</v>
      </c>
      <c r="B101" s="12" t="s">
        <v>280</v>
      </c>
      <c r="C101" s="8">
        <v>29065.0</v>
      </c>
      <c r="D101" s="8">
        <v>8.0</v>
      </c>
      <c r="E101" s="12" t="s">
        <v>267</v>
      </c>
      <c r="F101" s="8">
        <v>29050.0</v>
      </c>
      <c r="G101" s="8">
        <v>8.0</v>
      </c>
      <c r="H101" s="12" t="s">
        <v>212</v>
      </c>
      <c r="I101" s="94" t="str">
        <f>IFERROR(__xludf.DUMMYFUNCTION("if(H101=""Must be Together"",iferror(join("", "",unique(filter({filter('Students (Vertical)'!O:O,'Students (Vertical)'!C:C=B101,'Students (Vertical)'!O:O&lt;&gt;"""");filter('Students (Vertical)'!O:O,'Students (Vertical)'!C:C=E101,'Students (Vertical)'!O:O&lt;&gt;"""&amp;""")},countifs({filter('Students (Vertical)'!O:O,'Students (Vertical)'!C:C=B101,'Students (Vertical)'!O:O&lt;&gt;"""");filter('Students (Vertical)'!O:O,'Students (Vertical)'!C:C=E101,'Students (Vertical)'!O:O&lt;&gt;"""")},{filter('Students (Vertical)'!O:O,'Students ("&amp;"Vertical)'!C:C=B101,'Students (Vertical)'!O:O&lt;&gt;"""");filter('Students (Vertical)'!O:O,'Students (Vertical)'!C:C=E101,'Students (Vertical)'!O:O&lt;&gt;"""")})&gt;1))),""No shared courses""),"""")"),"")</f>
        <v/>
      </c>
      <c r="J101" s="94" t="str">
        <f>IFERROR(__xludf.DUMMYFUNCTION("if(H101=""Can't be Together"",iferror(join("", "",unique(filter({unique(filter('Students (Vertical)'!O:O,'Students (Vertical)'!C:C=B101,'Students (Vertical)'!O:O&lt;&gt;"""",'Students (Vertical)'!P:P&gt;1));unique(filter('Students (Vertical)'!O:O,'Students (Vertic"&amp;"al)'!C:C=E101,'Students (Vertical)'!O:O&lt;&gt;"""",'Students (Vertical)'!P:P&gt;1))},countifs({unique(filter('Students (Vertical)'!O:O,'Students (Vertical)'!C:C=B101,'Students (Vertical)'!O:O&lt;&gt;"""",'Students (Vertical)'!P:P&gt;1));unique(filter('Students (Vertical)'"&amp;"!O:O,'Students (Vertical)'!C:C=E101,'Students (Vertical)'!O:O&lt;&gt;"""",'Students (Vertical)'!P:P&gt;1))},{unique(filter('Students (Vertical)'!O:O,'Students (Vertical)'!C:C=B101,'Students (Vertical)'!O:O&lt;&gt;"""",'Students (Vertical)'!P:P&gt;1));unique(filter('Student"&amp;"s (Vertical)'!O:O,'Students (Vertical)'!C:C=E101,'Students (Vertical)'!O:O&lt;&gt;"""",'Students (Vertical)'!P:P&gt;1))})&gt;1))),""""),"""")"),"")</f>
        <v/>
      </c>
      <c r="K101" s="96" t="str">
        <f>IFERROR(__xludf.DUMMYFUNCTION("iferror(join("", "",unique(filter({filter('Students (Vertical)'!D:D,'Students (Vertical)'!C:C=B101,'Students (Vertical)'!D:D&lt;&gt;"""");filter('Students (Vertical)'!D:D,'Students (Vertical)'!C:C=E101,'Students (Vertical)'!D:D&lt;&gt;"""")},countifs({filter('Student"&amp;"s (Vertical)'!D:D,'Students (Vertical)'!C:C=B101,'Students (Vertical)'!D:D&lt;&gt;"""");filter('Students (Vertical)'!D:D,'Students (Vertical)'!C:C=E101,'Students (Vertical)'!D:D&lt;&gt;"""")},{filter('Students (Vertical)'!D:D,'Students (Vertical)'!C:C=B101,'Students "&amp;"(Vertical)'!D:D&lt;&gt;"""");filter('Students (Vertical)'!D:D,'Students (Vertical)'!C:C=E101,'Students (Vertical)'!D:D&lt;&gt;"""")})&gt;1))),"""")"),"Science 8, Sociales 8, Spanish 8, PE 8, Band 8S1, Band 8S2")</f>
        <v>Science 8, Sociales 8, Spanish 8, PE 8, Band 8S1, Band 8S2</v>
      </c>
      <c r="L101" s="96"/>
      <c r="M101" s="96"/>
    </row>
    <row r="102">
      <c r="A102" s="8">
        <v>101.0</v>
      </c>
      <c r="B102" s="12" t="s">
        <v>280</v>
      </c>
      <c r="C102" s="8">
        <v>29065.0</v>
      </c>
      <c r="D102" s="8">
        <v>8.0</v>
      </c>
      <c r="E102" s="12" t="s">
        <v>279</v>
      </c>
      <c r="F102" s="8">
        <v>28046.0</v>
      </c>
      <c r="G102" s="8">
        <v>8.0</v>
      </c>
      <c r="H102" s="12" t="s">
        <v>212</v>
      </c>
      <c r="I102" s="94" t="str">
        <f>IFERROR(__xludf.DUMMYFUNCTION("if(H102=""Must be Together"",iferror(join("", "",unique(filter({filter('Students (Vertical)'!O:O,'Students (Vertical)'!C:C=B102,'Students (Vertical)'!O:O&lt;&gt;"""");filter('Students (Vertical)'!O:O,'Students (Vertical)'!C:C=E102,'Students (Vertical)'!O:O&lt;&gt;"""&amp;""")},countifs({filter('Students (Vertical)'!O:O,'Students (Vertical)'!C:C=B102,'Students (Vertical)'!O:O&lt;&gt;"""");filter('Students (Vertical)'!O:O,'Students (Vertical)'!C:C=E102,'Students (Vertical)'!O:O&lt;&gt;"""")},{filter('Students (Vertical)'!O:O,'Students ("&amp;"Vertical)'!C:C=B102,'Students (Vertical)'!O:O&lt;&gt;"""");filter('Students (Vertical)'!O:O,'Students (Vertical)'!C:C=E102,'Students (Vertical)'!O:O&lt;&gt;"""")})&gt;1))),""No shared courses""),"""")"),"")</f>
        <v/>
      </c>
      <c r="J102" s="94" t="str">
        <f>IFERROR(__xludf.DUMMYFUNCTION("if(H102=""Can't be Together"",iferror(join("", "",unique(filter({unique(filter('Students (Vertical)'!O:O,'Students (Vertical)'!C:C=B102,'Students (Vertical)'!O:O&lt;&gt;"""",'Students (Vertical)'!P:P&gt;1));unique(filter('Students (Vertical)'!O:O,'Students (Vertic"&amp;"al)'!C:C=E102,'Students (Vertical)'!O:O&lt;&gt;"""",'Students (Vertical)'!P:P&gt;1))},countifs({unique(filter('Students (Vertical)'!O:O,'Students (Vertical)'!C:C=B102,'Students (Vertical)'!O:O&lt;&gt;"""",'Students (Vertical)'!P:P&gt;1));unique(filter('Students (Vertical)'"&amp;"!O:O,'Students (Vertical)'!C:C=E102,'Students (Vertical)'!O:O&lt;&gt;"""",'Students (Vertical)'!P:P&gt;1))},{unique(filter('Students (Vertical)'!O:O,'Students (Vertical)'!C:C=B102,'Students (Vertical)'!O:O&lt;&gt;"""",'Students (Vertical)'!P:P&gt;1));unique(filter('Student"&amp;"s (Vertical)'!O:O,'Students (Vertical)'!C:C=E102,'Students (Vertical)'!O:O&lt;&gt;"""",'Students (Vertical)'!P:P&gt;1))})&gt;1))),""""),"""")"),"")</f>
        <v/>
      </c>
      <c r="K102" s="96" t="str">
        <f>IFERROR(__xludf.DUMMYFUNCTION("iferror(join("", "",unique(filter({filter('Students (Vertical)'!D:D,'Students (Vertical)'!C:C=B102,'Students (Vertical)'!D:D&lt;&gt;"""");filter('Students (Vertical)'!D:D,'Students (Vertical)'!C:C=E102,'Students (Vertical)'!D:D&lt;&gt;"""")},countifs({filter('Student"&amp;"s (Vertical)'!D:D,'Students (Vertical)'!C:C=B102,'Students (Vertical)'!D:D&lt;&gt;"""");filter('Students (Vertical)'!D:D,'Students (Vertical)'!C:C=E102,'Students (Vertical)'!D:D&lt;&gt;"""")},{filter('Students (Vertical)'!D:D,'Students (Vertical)'!C:C=B102,'Students "&amp;"(Vertical)'!D:D&lt;&gt;"""");filter('Students (Vertical)'!D:D,'Students (Vertical)'!C:C=E102,'Students (Vertical)'!D:D&lt;&gt;"""")})&gt;1))),"""")"),"Science 8, Sociales 8, Spanish 8, PE 8, Band 8S1, Band 8S2")</f>
        <v>Science 8, Sociales 8, Spanish 8, PE 8, Band 8S1, Band 8S2</v>
      </c>
      <c r="L102" s="96"/>
      <c r="M102" s="96"/>
    </row>
    <row r="103">
      <c r="A103" s="8">
        <v>102.0</v>
      </c>
      <c r="B103" s="12" t="s">
        <v>280</v>
      </c>
      <c r="C103" s="8">
        <v>29065.0</v>
      </c>
      <c r="D103" s="8">
        <v>8.0</v>
      </c>
      <c r="E103" s="12" t="s">
        <v>281</v>
      </c>
      <c r="F103" s="8">
        <v>29059.0</v>
      </c>
      <c r="G103" s="8">
        <v>8.0</v>
      </c>
      <c r="H103" s="12" t="s">
        <v>212</v>
      </c>
      <c r="I103" s="94" t="str">
        <f>IFERROR(__xludf.DUMMYFUNCTION("if(H103=""Must be Together"",iferror(join("", "",unique(filter({filter('Students (Vertical)'!O:O,'Students (Vertical)'!C:C=B103,'Students (Vertical)'!O:O&lt;&gt;"""");filter('Students (Vertical)'!O:O,'Students (Vertical)'!C:C=E103,'Students (Vertical)'!O:O&lt;&gt;"""&amp;""")},countifs({filter('Students (Vertical)'!O:O,'Students (Vertical)'!C:C=B103,'Students (Vertical)'!O:O&lt;&gt;"""");filter('Students (Vertical)'!O:O,'Students (Vertical)'!C:C=E103,'Students (Vertical)'!O:O&lt;&gt;"""")},{filter('Students (Vertical)'!O:O,'Students ("&amp;"Vertical)'!C:C=B103,'Students (Vertical)'!O:O&lt;&gt;"""");filter('Students (Vertical)'!O:O,'Students (Vertical)'!C:C=E103,'Students (Vertical)'!O:O&lt;&gt;"""")})&gt;1))),""No shared courses""),"""")"),"")</f>
        <v/>
      </c>
      <c r="J103" s="94" t="str">
        <f>IFERROR(__xludf.DUMMYFUNCTION("if(H103=""Can't be Together"",iferror(join("", "",unique(filter({unique(filter('Students (Vertical)'!O:O,'Students (Vertical)'!C:C=B103,'Students (Vertical)'!O:O&lt;&gt;"""",'Students (Vertical)'!P:P&gt;1));unique(filter('Students (Vertical)'!O:O,'Students (Vertic"&amp;"al)'!C:C=E103,'Students (Vertical)'!O:O&lt;&gt;"""",'Students (Vertical)'!P:P&gt;1))},countifs({unique(filter('Students (Vertical)'!O:O,'Students (Vertical)'!C:C=B103,'Students (Vertical)'!O:O&lt;&gt;"""",'Students (Vertical)'!P:P&gt;1));unique(filter('Students (Vertical)'"&amp;"!O:O,'Students (Vertical)'!C:C=E103,'Students (Vertical)'!O:O&lt;&gt;"""",'Students (Vertical)'!P:P&gt;1))},{unique(filter('Students (Vertical)'!O:O,'Students (Vertical)'!C:C=B103,'Students (Vertical)'!O:O&lt;&gt;"""",'Students (Vertical)'!P:P&gt;1));unique(filter('Student"&amp;"s (Vertical)'!O:O,'Students (Vertical)'!C:C=E103,'Students (Vertical)'!O:O&lt;&gt;"""",'Students (Vertical)'!P:P&gt;1))})&gt;1))),""""),"""")"),"")</f>
        <v/>
      </c>
      <c r="K103" s="96" t="str">
        <f>IFERROR(__xludf.DUMMYFUNCTION("iferror(join("", "",unique(filter({filter('Students (Vertical)'!D:D,'Students (Vertical)'!C:C=B103,'Students (Vertical)'!D:D&lt;&gt;"""");filter('Students (Vertical)'!D:D,'Students (Vertical)'!C:C=E103,'Students (Vertical)'!D:D&lt;&gt;"""")},countifs({filter('Student"&amp;"s (Vertical)'!D:D,'Students (Vertical)'!C:C=B103,'Students (Vertical)'!D:D&lt;&gt;"""");filter('Students (Vertical)'!D:D,'Students (Vertical)'!C:C=E103,'Students (Vertical)'!D:D&lt;&gt;"""")},{filter('Students (Vertical)'!D:D,'Students (Vertical)'!C:C=B103,'Students "&amp;"(Vertical)'!D:D&lt;&gt;"""");filter('Students (Vertical)'!D:D,'Students (Vertical)'!C:C=E103,'Students (Vertical)'!D:D&lt;&gt;"""")})&gt;1))),"""")"),"Science 8, Sociales 8, Spanish 8, PE 8, Band 8S1, Band 8S2")</f>
        <v>Science 8, Sociales 8, Spanish 8, PE 8, Band 8S1, Band 8S2</v>
      </c>
      <c r="L103" s="96"/>
      <c r="M103" s="96"/>
    </row>
    <row r="104">
      <c r="A104" s="8">
        <v>103.0</v>
      </c>
      <c r="B104" s="12" t="s">
        <v>280</v>
      </c>
      <c r="C104" s="8">
        <v>29065.0</v>
      </c>
      <c r="D104" s="8">
        <v>8.0</v>
      </c>
      <c r="E104" s="12" t="s">
        <v>269</v>
      </c>
      <c r="F104" s="8">
        <v>29068.0</v>
      </c>
      <c r="G104" s="8">
        <v>8.0</v>
      </c>
      <c r="H104" s="12" t="s">
        <v>212</v>
      </c>
      <c r="I104" s="94" t="str">
        <f>IFERROR(__xludf.DUMMYFUNCTION("if(H104=""Must be Together"",iferror(join("", "",unique(filter({filter('Students (Vertical)'!O:O,'Students (Vertical)'!C:C=B104,'Students (Vertical)'!O:O&lt;&gt;"""");filter('Students (Vertical)'!O:O,'Students (Vertical)'!C:C=E104,'Students (Vertical)'!O:O&lt;&gt;"""&amp;""")},countifs({filter('Students (Vertical)'!O:O,'Students (Vertical)'!C:C=B104,'Students (Vertical)'!O:O&lt;&gt;"""");filter('Students (Vertical)'!O:O,'Students (Vertical)'!C:C=E104,'Students (Vertical)'!O:O&lt;&gt;"""")},{filter('Students (Vertical)'!O:O,'Students ("&amp;"Vertical)'!C:C=B104,'Students (Vertical)'!O:O&lt;&gt;"""");filter('Students (Vertical)'!O:O,'Students (Vertical)'!C:C=E104,'Students (Vertical)'!O:O&lt;&gt;"""")})&gt;1))),""No shared courses""),"""")"),"")</f>
        <v/>
      </c>
      <c r="J104" s="94" t="str">
        <f>IFERROR(__xludf.DUMMYFUNCTION("if(H104=""Can't be Together"",iferror(join("", "",unique(filter({unique(filter('Students (Vertical)'!O:O,'Students (Vertical)'!C:C=B104,'Students (Vertical)'!O:O&lt;&gt;"""",'Students (Vertical)'!P:P&gt;1));unique(filter('Students (Vertical)'!O:O,'Students (Vertic"&amp;"al)'!C:C=E104,'Students (Vertical)'!O:O&lt;&gt;"""",'Students (Vertical)'!P:P&gt;1))},countifs({unique(filter('Students (Vertical)'!O:O,'Students (Vertical)'!C:C=B104,'Students (Vertical)'!O:O&lt;&gt;"""",'Students (Vertical)'!P:P&gt;1));unique(filter('Students (Vertical)'"&amp;"!O:O,'Students (Vertical)'!C:C=E104,'Students (Vertical)'!O:O&lt;&gt;"""",'Students (Vertical)'!P:P&gt;1))},{unique(filter('Students (Vertical)'!O:O,'Students (Vertical)'!C:C=B104,'Students (Vertical)'!O:O&lt;&gt;"""",'Students (Vertical)'!P:P&gt;1));unique(filter('Student"&amp;"s (Vertical)'!O:O,'Students (Vertical)'!C:C=E104,'Students (Vertical)'!O:O&lt;&gt;"""",'Students (Vertical)'!P:P&gt;1))})&gt;1))),""""),"""")"),"")</f>
        <v/>
      </c>
      <c r="K104" s="96" t="str">
        <f>IFERROR(__xludf.DUMMYFUNCTION("iferror(join("", "",unique(filter({filter('Students (Vertical)'!D:D,'Students (Vertical)'!C:C=B104,'Students (Vertical)'!D:D&lt;&gt;"""");filter('Students (Vertical)'!D:D,'Students (Vertical)'!C:C=E104,'Students (Vertical)'!D:D&lt;&gt;"""")},countifs({filter('Student"&amp;"s (Vertical)'!D:D,'Students (Vertical)'!C:C=B104,'Students (Vertical)'!D:D&lt;&gt;"""");filter('Students (Vertical)'!D:D,'Students (Vertical)'!C:C=E104,'Students (Vertical)'!D:D&lt;&gt;"""")},{filter('Students (Vertical)'!D:D,'Students (Vertical)'!C:C=B104,'Students "&amp;"(Vertical)'!D:D&lt;&gt;"""");filter('Students (Vertical)'!D:D,'Students (Vertical)'!C:C=E104,'Students (Vertical)'!D:D&lt;&gt;"""")})&gt;1))),"""")"),"Science 8, English 8, Sociales 8, Spanish 8, PE 8, Band 8S1, Band 8S2")</f>
        <v>Science 8, English 8, Sociales 8, Spanish 8, PE 8, Band 8S1, Band 8S2</v>
      </c>
      <c r="L104" s="96"/>
      <c r="M104" s="96"/>
    </row>
    <row r="105">
      <c r="A105" s="8">
        <v>104.0</v>
      </c>
      <c r="B105" s="12" t="s">
        <v>281</v>
      </c>
      <c r="C105" s="8">
        <v>29059.0</v>
      </c>
      <c r="D105" s="8">
        <v>8.0</v>
      </c>
      <c r="E105" s="12" t="s">
        <v>268</v>
      </c>
      <c r="F105" s="8">
        <v>28032.0</v>
      </c>
      <c r="G105" s="8">
        <v>8.0</v>
      </c>
      <c r="H105" s="12" t="s">
        <v>212</v>
      </c>
      <c r="I105" s="94" t="str">
        <f>IFERROR(__xludf.DUMMYFUNCTION("if(H105=""Must be Together"",iferror(join("", "",unique(filter({filter('Students (Vertical)'!O:O,'Students (Vertical)'!C:C=B105,'Students (Vertical)'!O:O&lt;&gt;"""");filter('Students (Vertical)'!O:O,'Students (Vertical)'!C:C=E105,'Students (Vertical)'!O:O&lt;&gt;"""&amp;""")},countifs({filter('Students (Vertical)'!O:O,'Students (Vertical)'!C:C=B105,'Students (Vertical)'!O:O&lt;&gt;"""");filter('Students (Vertical)'!O:O,'Students (Vertical)'!C:C=E105,'Students (Vertical)'!O:O&lt;&gt;"""")},{filter('Students (Vertical)'!O:O,'Students ("&amp;"Vertical)'!C:C=B105,'Students (Vertical)'!O:O&lt;&gt;"""");filter('Students (Vertical)'!O:O,'Students (Vertical)'!C:C=E105,'Students (Vertical)'!O:O&lt;&gt;"""")})&gt;1))),""No shared courses""),"""")"),"")</f>
        <v/>
      </c>
      <c r="J105" s="94" t="str">
        <f>IFERROR(__xludf.DUMMYFUNCTION("if(H105=""Can't be Together"",iferror(join("", "",unique(filter({unique(filter('Students (Vertical)'!O:O,'Students (Vertical)'!C:C=B105,'Students (Vertical)'!O:O&lt;&gt;"""",'Students (Vertical)'!P:P&gt;1));unique(filter('Students (Vertical)'!O:O,'Students (Vertic"&amp;"al)'!C:C=E105,'Students (Vertical)'!O:O&lt;&gt;"""",'Students (Vertical)'!P:P&gt;1))},countifs({unique(filter('Students (Vertical)'!O:O,'Students (Vertical)'!C:C=B105,'Students (Vertical)'!O:O&lt;&gt;"""",'Students (Vertical)'!P:P&gt;1));unique(filter('Students (Vertical)'"&amp;"!O:O,'Students (Vertical)'!C:C=E105,'Students (Vertical)'!O:O&lt;&gt;"""",'Students (Vertical)'!P:P&gt;1))},{unique(filter('Students (Vertical)'!O:O,'Students (Vertical)'!C:C=B105,'Students (Vertical)'!O:O&lt;&gt;"""",'Students (Vertical)'!P:P&gt;1));unique(filter('Student"&amp;"s (Vertical)'!O:O,'Students (Vertical)'!C:C=E105,'Students (Vertical)'!O:O&lt;&gt;"""",'Students (Vertical)'!P:P&gt;1))})&gt;1))),""""),"""")"),"")</f>
        <v/>
      </c>
      <c r="K105" s="96" t="str">
        <f>IFERROR(__xludf.DUMMYFUNCTION("iferror(join("", "",unique(filter({filter('Students (Vertical)'!D:D,'Students (Vertical)'!C:C=B105,'Students (Vertical)'!D:D&lt;&gt;"""");filter('Students (Vertical)'!D:D,'Students (Vertical)'!C:C=E105,'Students (Vertical)'!D:D&lt;&gt;"""")},countifs({filter('Student"&amp;"s (Vertical)'!D:D,'Students (Vertical)'!C:C=B105,'Students (Vertical)'!D:D&lt;&gt;"""");filter('Students (Vertical)'!D:D,'Students (Vertical)'!C:C=E105,'Students (Vertical)'!D:D&lt;&gt;"""")},{filter('Students (Vertical)'!D:D,'Students (Vertical)'!C:C=B105,'Students "&amp;"(Vertical)'!D:D&lt;&gt;"""");filter('Students (Vertical)'!D:D,'Students (Vertical)'!C:C=E105,'Students (Vertical)'!D:D&lt;&gt;"""")})&gt;1))),"""")"),"Science 8, Sociales 8, Spanish 8, PE 8, Band 8S1, Band 8S2")</f>
        <v>Science 8, Sociales 8, Spanish 8, PE 8, Band 8S1, Band 8S2</v>
      </c>
      <c r="L105" s="96"/>
      <c r="M105" s="96"/>
    </row>
    <row r="106">
      <c r="A106" s="8">
        <v>105.0</v>
      </c>
      <c r="B106" s="12" t="s">
        <v>281</v>
      </c>
      <c r="C106" s="8">
        <v>29059.0</v>
      </c>
      <c r="D106" s="8">
        <v>8.0</v>
      </c>
      <c r="E106" s="12" t="s">
        <v>266</v>
      </c>
      <c r="F106" s="8">
        <v>29049.0</v>
      </c>
      <c r="G106" s="8">
        <v>8.0</v>
      </c>
      <c r="H106" s="12" t="s">
        <v>212</v>
      </c>
      <c r="I106" s="94" t="str">
        <f>IFERROR(__xludf.DUMMYFUNCTION("if(H106=""Must be Together"",iferror(join("", "",unique(filter({filter('Students (Vertical)'!O:O,'Students (Vertical)'!C:C=B106,'Students (Vertical)'!O:O&lt;&gt;"""");filter('Students (Vertical)'!O:O,'Students (Vertical)'!C:C=E106,'Students (Vertical)'!O:O&lt;&gt;"""&amp;""")},countifs({filter('Students (Vertical)'!O:O,'Students (Vertical)'!C:C=B106,'Students (Vertical)'!O:O&lt;&gt;"""");filter('Students (Vertical)'!O:O,'Students (Vertical)'!C:C=E106,'Students (Vertical)'!O:O&lt;&gt;"""")},{filter('Students (Vertical)'!O:O,'Students ("&amp;"Vertical)'!C:C=B106,'Students (Vertical)'!O:O&lt;&gt;"""");filter('Students (Vertical)'!O:O,'Students (Vertical)'!C:C=E106,'Students (Vertical)'!O:O&lt;&gt;"""")})&gt;1))),""No shared courses""),"""")"),"")</f>
        <v/>
      </c>
      <c r="J106" s="94" t="str">
        <f>IFERROR(__xludf.DUMMYFUNCTION("if(H106=""Can't be Together"",iferror(join("", "",unique(filter({unique(filter('Students (Vertical)'!O:O,'Students (Vertical)'!C:C=B106,'Students (Vertical)'!O:O&lt;&gt;"""",'Students (Vertical)'!P:P&gt;1));unique(filter('Students (Vertical)'!O:O,'Students (Vertic"&amp;"al)'!C:C=E106,'Students (Vertical)'!O:O&lt;&gt;"""",'Students (Vertical)'!P:P&gt;1))},countifs({unique(filter('Students (Vertical)'!O:O,'Students (Vertical)'!C:C=B106,'Students (Vertical)'!O:O&lt;&gt;"""",'Students (Vertical)'!P:P&gt;1));unique(filter('Students (Vertical)'"&amp;"!O:O,'Students (Vertical)'!C:C=E106,'Students (Vertical)'!O:O&lt;&gt;"""",'Students (Vertical)'!P:P&gt;1))},{unique(filter('Students (Vertical)'!O:O,'Students (Vertical)'!C:C=B106,'Students (Vertical)'!O:O&lt;&gt;"""",'Students (Vertical)'!P:P&gt;1));unique(filter('Student"&amp;"s (Vertical)'!O:O,'Students (Vertical)'!C:C=E106,'Students (Vertical)'!O:O&lt;&gt;"""",'Students (Vertical)'!P:P&gt;1))})&gt;1))),""""),"""")"),"")</f>
        <v/>
      </c>
      <c r="K106" s="96" t="str">
        <f>IFERROR(__xludf.DUMMYFUNCTION("iferror(join("", "",unique(filter({filter('Students (Vertical)'!D:D,'Students (Vertical)'!C:C=B106,'Students (Vertical)'!D:D&lt;&gt;"""");filter('Students (Vertical)'!D:D,'Students (Vertical)'!C:C=E106,'Students (Vertical)'!D:D&lt;&gt;"""")},countifs({filter('Student"&amp;"s (Vertical)'!D:D,'Students (Vertical)'!C:C=B106,'Students (Vertical)'!D:D&lt;&gt;"""");filter('Students (Vertical)'!D:D,'Students (Vertical)'!C:C=E106,'Students (Vertical)'!D:D&lt;&gt;"""")},{filter('Students (Vertical)'!D:D,'Students (Vertical)'!C:C=B106,'Students "&amp;"(Vertical)'!D:D&lt;&gt;"""");filter('Students (Vertical)'!D:D,'Students (Vertical)'!C:C=E106,'Students (Vertical)'!D:D&lt;&gt;"""")})&gt;1))),"""")"),"Science 8, Math 8A, Sociales 8, Spanish 8, PE 8, Band 8S1, Band 8S2")</f>
        <v>Science 8, Math 8A, Sociales 8, Spanish 8, PE 8, Band 8S1, Band 8S2</v>
      </c>
      <c r="L106" s="96"/>
      <c r="M106" s="96"/>
    </row>
    <row r="107">
      <c r="A107" s="8">
        <v>106.0</v>
      </c>
      <c r="B107" s="12" t="s">
        <v>281</v>
      </c>
      <c r="C107" s="8">
        <v>29059.0</v>
      </c>
      <c r="D107" s="8">
        <v>8.0</v>
      </c>
      <c r="E107" s="12" t="s">
        <v>267</v>
      </c>
      <c r="F107" s="8">
        <v>29050.0</v>
      </c>
      <c r="G107" s="8">
        <v>8.0</v>
      </c>
      <c r="H107" s="12" t="s">
        <v>212</v>
      </c>
      <c r="I107" s="94" t="str">
        <f>IFERROR(__xludf.DUMMYFUNCTION("if(H107=""Must be Together"",iferror(join("", "",unique(filter({filter('Students (Vertical)'!O:O,'Students (Vertical)'!C:C=B107,'Students (Vertical)'!O:O&lt;&gt;"""");filter('Students (Vertical)'!O:O,'Students (Vertical)'!C:C=E107,'Students (Vertical)'!O:O&lt;&gt;"""&amp;""")},countifs({filter('Students (Vertical)'!O:O,'Students (Vertical)'!C:C=B107,'Students (Vertical)'!O:O&lt;&gt;"""");filter('Students (Vertical)'!O:O,'Students (Vertical)'!C:C=E107,'Students (Vertical)'!O:O&lt;&gt;"""")},{filter('Students (Vertical)'!O:O,'Students ("&amp;"Vertical)'!C:C=B107,'Students (Vertical)'!O:O&lt;&gt;"""");filter('Students (Vertical)'!O:O,'Students (Vertical)'!C:C=E107,'Students (Vertical)'!O:O&lt;&gt;"""")})&gt;1))),""No shared courses""),"""")"),"")</f>
        <v/>
      </c>
      <c r="J107" s="94" t="str">
        <f>IFERROR(__xludf.DUMMYFUNCTION("if(H107=""Can't be Together"",iferror(join("", "",unique(filter({unique(filter('Students (Vertical)'!O:O,'Students (Vertical)'!C:C=B107,'Students (Vertical)'!O:O&lt;&gt;"""",'Students (Vertical)'!P:P&gt;1));unique(filter('Students (Vertical)'!O:O,'Students (Vertic"&amp;"al)'!C:C=E107,'Students (Vertical)'!O:O&lt;&gt;"""",'Students (Vertical)'!P:P&gt;1))},countifs({unique(filter('Students (Vertical)'!O:O,'Students (Vertical)'!C:C=B107,'Students (Vertical)'!O:O&lt;&gt;"""",'Students (Vertical)'!P:P&gt;1));unique(filter('Students (Vertical)'"&amp;"!O:O,'Students (Vertical)'!C:C=E107,'Students (Vertical)'!O:O&lt;&gt;"""",'Students (Vertical)'!P:P&gt;1))},{unique(filter('Students (Vertical)'!O:O,'Students (Vertical)'!C:C=B107,'Students (Vertical)'!O:O&lt;&gt;"""",'Students (Vertical)'!P:P&gt;1));unique(filter('Student"&amp;"s (Vertical)'!O:O,'Students (Vertical)'!C:C=E107,'Students (Vertical)'!O:O&lt;&gt;"""",'Students (Vertical)'!P:P&gt;1))})&gt;1))),""""),"""")"),"Science 8-3, Spanish 8-4, PE 8-5a")</f>
        <v>Science 8-3, Spanish 8-4, PE 8-5a</v>
      </c>
      <c r="K107" s="96" t="str">
        <f>IFERROR(__xludf.DUMMYFUNCTION("iferror(join("", "",unique(filter({filter('Students (Vertical)'!D:D,'Students (Vertical)'!C:C=B107,'Students (Vertical)'!D:D&lt;&gt;"""");filter('Students (Vertical)'!D:D,'Students (Vertical)'!C:C=E107,'Students (Vertical)'!D:D&lt;&gt;"""")},countifs({filter('Student"&amp;"s (Vertical)'!D:D,'Students (Vertical)'!C:C=B107,'Students (Vertical)'!D:D&lt;&gt;"""");filter('Students (Vertical)'!D:D,'Students (Vertical)'!C:C=E107,'Students (Vertical)'!D:D&lt;&gt;"""")},{filter('Students (Vertical)'!D:D,'Students (Vertical)'!C:C=B107,'Students "&amp;"(Vertical)'!D:D&lt;&gt;"""");filter('Students (Vertical)'!D:D,'Students (Vertical)'!C:C=E107,'Students (Vertical)'!D:D&lt;&gt;"""")})&gt;1))),"""")"),"Science 8, Math 8A, English 8A, Sociales 8, Spanish 8, PE 8, Band 8S1, Band 8S2")</f>
        <v>Science 8, Math 8A, English 8A, Sociales 8, Spanish 8, PE 8, Band 8S1, Band 8S2</v>
      </c>
      <c r="L107" s="96"/>
      <c r="M107" s="96"/>
    </row>
    <row r="108">
      <c r="A108" s="8">
        <v>107.0</v>
      </c>
      <c r="B108" s="12" t="s">
        <v>281</v>
      </c>
      <c r="C108" s="8">
        <v>29059.0</v>
      </c>
      <c r="D108" s="8">
        <v>8.0</v>
      </c>
      <c r="E108" s="12" t="s">
        <v>279</v>
      </c>
      <c r="F108" s="8">
        <v>28046.0</v>
      </c>
      <c r="G108" s="8">
        <v>8.0</v>
      </c>
      <c r="H108" s="12" t="s">
        <v>212</v>
      </c>
      <c r="I108" s="94" t="str">
        <f>IFERROR(__xludf.DUMMYFUNCTION("if(H108=""Must be Together"",iferror(join("", "",unique(filter({filter('Students (Vertical)'!O:O,'Students (Vertical)'!C:C=B108,'Students (Vertical)'!O:O&lt;&gt;"""");filter('Students (Vertical)'!O:O,'Students (Vertical)'!C:C=E108,'Students (Vertical)'!O:O&lt;&gt;"""&amp;""")},countifs({filter('Students (Vertical)'!O:O,'Students (Vertical)'!C:C=B108,'Students (Vertical)'!O:O&lt;&gt;"""");filter('Students (Vertical)'!O:O,'Students (Vertical)'!C:C=E108,'Students (Vertical)'!O:O&lt;&gt;"""")},{filter('Students (Vertical)'!O:O,'Students ("&amp;"Vertical)'!C:C=B108,'Students (Vertical)'!O:O&lt;&gt;"""");filter('Students (Vertical)'!O:O,'Students (Vertical)'!C:C=E108,'Students (Vertical)'!O:O&lt;&gt;"""")})&gt;1))),""No shared courses""),"""")"),"")</f>
        <v/>
      </c>
      <c r="J108" s="94" t="str">
        <f>IFERROR(__xludf.DUMMYFUNCTION("if(H108=""Can't be Together"",iferror(join("", "",unique(filter({unique(filter('Students (Vertical)'!O:O,'Students (Vertical)'!C:C=B108,'Students (Vertical)'!O:O&lt;&gt;"""",'Students (Vertical)'!P:P&gt;1));unique(filter('Students (Vertical)'!O:O,'Students (Vertic"&amp;"al)'!C:C=E108,'Students (Vertical)'!O:O&lt;&gt;"""",'Students (Vertical)'!P:P&gt;1))},countifs({unique(filter('Students (Vertical)'!O:O,'Students (Vertical)'!C:C=B108,'Students (Vertical)'!O:O&lt;&gt;"""",'Students (Vertical)'!P:P&gt;1));unique(filter('Students (Vertical)'"&amp;"!O:O,'Students (Vertical)'!C:C=E108,'Students (Vertical)'!O:O&lt;&gt;"""",'Students (Vertical)'!P:P&gt;1))},{unique(filter('Students (Vertical)'!O:O,'Students (Vertical)'!C:C=B108,'Students (Vertical)'!O:O&lt;&gt;"""",'Students (Vertical)'!P:P&gt;1));unique(filter('Student"&amp;"s (Vertical)'!O:O,'Students (Vertical)'!C:C=E108,'Students (Vertical)'!O:O&lt;&gt;"""",'Students (Vertical)'!P:P&gt;1))})&gt;1))),""""),"""")"),"Science 8-3, Spanish 8-4, PE 8-5a")</f>
        <v>Science 8-3, Spanish 8-4, PE 8-5a</v>
      </c>
      <c r="K108" s="96" t="str">
        <f>IFERROR(__xludf.DUMMYFUNCTION("iferror(join("", "",unique(filter({filter('Students (Vertical)'!D:D,'Students (Vertical)'!C:C=B108,'Students (Vertical)'!D:D&lt;&gt;"""");filter('Students (Vertical)'!D:D,'Students (Vertical)'!C:C=E108,'Students (Vertical)'!D:D&lt;&gt;"""")},countifs({filter('Student"&amp;"s (Vertical)'!D:D,'Students (Vertical)'!C:C=B108,'Students (Vertical)'!D:D&lt;&gt;"""");filter('Students (Vertical)'!D:D,'Students (Vertical)'!C:C=E108,'Students (Vertical)'!D:D&lt;&gt;"""")},{filter('Students (Vertical)'!D:D,'Students (Vertical)'!C:C=B108,'Students "&amp;"(Vertical)'!D:D&lt;&gt;"""");filter('Students (Vertical)'!D:D,'Students (Vertical)'!C:C=E108,'Students (Vertical)'!D:D&lt;&gt;"""")})&gt;1))),"""")"),"Science 8, Math 8A, English 8A, Sociales 8, Spanish 8, PE 8, Band 8S1, Band 8S2")</f>
        <v>Science 8, Math 8A, English 8A, Sociales 8, Spanish 8, PE 8, Band 8S1, Band 8S2</v>
      </c>
      <c r="L108" s="96"/>
      <c r="M108" s="96"/>
    </row>
    <row r="109">
      <c r="A109" s="8">
        <v>108.0</v>
      </c>
      <c r="B109" s="12" t="s">
        <v>281</v>
      </c>
      <c r="C109" s="8">
        <v>29059.0</v>
      </c>
      <c r="D109" s="8">
        <v>8.0</v>
      </c>
      <c r="E109" s="12" t="s">
        <v>280</v>
      </c>
      <c r="F109" s="8">
        <v>29065.0</v>
      </c>
      <c r="G109" s="8">
        <v>8.0</v>
      </c>
      <c r="H109" s="12" t="s">
        <v>212</v>
      </c>
      <c r="I109" s="94" t="str">
        <f>IFERROR(__xludf.DUMMYFUNCTION("if(H109=""Must be Together"",iferror(join("", "",unique(filter({filter('Students (Vertical)'!O:O,'Students (Vertical)'!C:C=B109,'Students (Vertical)'!O:O&lt;&gt;"""");filter('Students (Vertical)'!O:O,'Students (Vertical)'!C:C=E109,'Students (Vertical)'!O:O&lt;&gt;"""&amp;""")},countifs({filter('Students (Vertical)'!O:O,'Students (Vertical)'!C:C=B109,'Students (Vertical)'!O:O&lt;&gt;"""");filter('Students (Vertical)'!O:O,'Students (Vertical)'!C:C=E109,'Students (Vertical)'!O:O&lt;&gt;"""")},{filter('Students (Vertical)'!O:O,'Students ("&amp;"Vertical)'!C:C=B109,'Students (Vertical)'!O:O&lt;&gt;"""");filter('Students (Vertical)'!O:O,'Students (Vertical)'!C:C=E109,'Students (Vertical)'!O:O&lt;&gt;"""")})&gt;1))),""No shared courses""),"""")"),"")</f>
        <v/>
      </c>
      <c r="J109" s="94" t="str">
        <f>IFERROR(__xludf.DUMMYFUNCTION("if(H109=""Can't be Together"",iferror(join("", "",unique(filter({unique(filter('Students (Vertical)'!O:O,'Students (Vertical)'!C:C=B109,'Students (Vertical)'!O:O&lt;&gt;"""",'Students (Vertical)'!P:P&gt;1));unique(filter('Students (Vertical)'!O:O,'Students (Vertic"&amp;"al)'!C:C=E109,'Students (Vertical)'!O:O&lt;&gt;"""",'Students (Vertical)'!P:P&gt;1))},countifs({unique(filter('Students (Vertical)'!O:O,'Students (Vertical)'!C:C=B109,'Students (Vertical)'!O:O&lt;&gt;"""",'Students (Vertical)'!P:P&gt;1));unique(filter('Students (Vertical)'"&amp;"!O:O,'Students (Vertical)'!C:C=E109,'Students (Vertical)'!O:O&lt;&gt;"""",'Students (Vertical)'!P:P&gt;1))},{unique(filter('Students (Vertical)'!O:O,'Students (Vertical)'!C:C=B109,'Students (Vertical)'!O:O&lt;&gt;"""",'Students (Vertical)'!P:P&gt;1));unique(filter('Student"&amp;"s (Vertical)'!O:O,'Students (Vertical)'!C:C=E109,'Students (Vertical)'!O:O&lt;&gt;"""",'Students (Vertical)'!P:P&gt;1))})&gt;1))),""""),"""")"),"")</f>
        <v/>
      </c>
      <c r="K109" s="96" t="str">
        <f>IFERROR(__xludf.DUMMYFUNCTION("iferror(join("", "",unique(filter({filter('Students (Vertical)'!D:D,'Students (Vertical)'!C:C=B109,'Students (Vertical)'!D:D&lt;&gt;"""");filter('Students (Vertical)'!D:D,'Students (Vertical)'!C:C=E109,'Students (Vertical)'!D:D&lt;&gt;"""")},countifs({filter('Student"&amp;"s (Vertical)'!D:D,'Students (Vertical)'!C:C=B109,'Students (Vertical)'!D:D&lt;&gt;"""");filter('Students (Vertical)'!D:D,'Students (Vertical)'!C:C=E109,'Students (Vertical)'!D:D&lt;&gt;"""")},{filter('Students (Vertical)'!D:D,'Students (Vertical)'!C:C=B109,'Students "&amp;"(Vertical)'!D:D&lt;&gt;"""");filter('Students (Vertical)'!D:D,'Students (Vertical)'!C:C=E109,'Students (Vertical)'!D:D&lt;&gt;"""")})&gt;1))),"""")"),"Science 8, Sociales 8, Spanish 8, PE 8, Band 8S1, Band 8S2")</f>
        <v>Science 8, Sociales 8, Spanish 8, PE 8, Band 8S1, Band 8S2</v>
      </c>
      <c r="L109" s="96"/>
      <c r="M109" s="96"/>
    </row>
    <row r="110">
      <c r="A110" s="8">
        <v>109.0</v>
      </c>
      <c r="B110" s="12" t="s">
        <v>281</v>
      </c>
      <c r="C110" s="8">
        <v>29059.0</v>
      </c>
      <c r="D110" s="8">
        <v>8.0</v>
      </c>
      <c r="E110" s="12" t="s">
        <v>269</v>
      </c>
      <c r="F110" s="8">
        <v>29068.0</v>
      </c>
      <c r="G110" s="8">
        <v>8.0</v>
      </c>
      <c r="H110" s="12" t="s">
        <v>212</v>
      </c>
      <c r="I110" s="94" t="str">
        <f>IFERROR(__xludf.DUMMYFUNCTION("if(H110=""Must be Together"",iferror(join("", "",unique(filter({filter('Students (Vertical)'!O:O,'Students (Vertical)'!C:C=B110,'Students (Vertical)'!O:O&lt;&gt;"""");filter('Students (Vertical)'!O:O,'Students (Vertical)'!C:C=E110,'Students (Vertical)'!O:O&lt;&gt;"""&amp;""")},countifs({filter('Students (Vertical)'!O:O,'Students (Vertical)'!C:C=B110,'Students (Vertical)'!O:O&lt;&gt;"""");filter('Students (Vertical)'!O:O,'Students (Vertical)'!C:C=E110,'Students (Vertical)'!O:O&lt;&gt;"""")},{filter('Students (Vertical)'!O:O,'Students ("&amp;"Vertical)'!C:C=B110,'Students (Vertical)'!O:O&lt;&gt;"""");filter('Students (Vertical)'!O:O,'Students (Vertical)'!C:C=E110,'Students (Vertical)'!O:O&lt;&gt;"""")})&gt;1))),""No shared courses""),"""")"),"")</f>
        <v/>
      </c>
      <c r="J110" s="94" t="str">
        <f>IFERROR(__xludf.DUMMYFUNCTION("if(H110=""Can't be Together"",iferror(join("", "",unique(filter({unique(filter('Students (Vertical)'!O:O,'Students (Vertical)'!C:C=B110,'Students (Vertical)'!O:O&lt;&gt;"""",'Students (Vertical)'!P:P&gt;1));unique(filter('Students (Vertical)'!O:O,'Students (Vertic"&amp;"al)'!C:C=E110,'Students (Vertical)'!O:O&lt;&gt;"""",'Students (Vertical)'!P:P&gt;1))},countifs({unique(filter('Students (Vertical)'!O:O,'Students (Vertical)'!C:C=B110,'Students (Vertical)'!O:O&lt;&gt;"""",'Students (Vertical)'!P:P&gt;1));unique(filter('Students (Vertical)'"&amp;"!O:O,'Students (Vertical)'!C:C=E110,'Students (Vertical)'!O:O&lt;&gt;"""",'Students (Vertical)'!P:P&gt;1))},{unique(filter('Students (Vertical)'!O:O,'Students (Vertical)'!C:C=B110,'Students (Vertical)'!O:O&lt;&gt;"""",'Students (Vertical)'!P:P&gt;1));unique(filter('Student"&amp;"s (Vertical)'!O:O,'Students (Vertical)'!C:C=E110,'Students (Vertical)'!O:O&lt;&gt;"""",'Students (Vertical)'!P:P&gt;1))})&gt;1))),""""),"""")"),"Science 8-3, Spanish 8-4, PE 8-5a")</f>
        <v>Science 8-3, Spanish 8-4, PE 8-5a</v>
      </c>
      <c r="K110" s="96" t="str">
        <f>IFERROR(__xludf.DUMMYFUNCTION("iferror(join("", "",unique(filter({filter('Students (Vertical)'!D:D,'Students (Vertical)'!C:C=B110,'Students (Vertical)'!D:D&lt;&gt;"""");filter('Students (Vertical)'!D:D,'Students (Vertical)'!C:C=E110,'Students (Vertical)'!D:D&lt;&gt;"""")},countifs({filter('Student"&amp;"s (Vertical)'!D:D,'Students (Vertical)'!C:C=B110,'Students (Vertical)'!D:D&lt;&gt;"""");filter('Students (Vertical)'!D:D,'Students (Vertical)'!C:C=E110,'Students (Vertical)'!D:D&lt;&gt;"""")},{filter('Students (Vertical)'!D:D,'Students (Vertical)'!C:C=B110,'Students "&amp;"(Vertical)'!D:D&lt;&gt;"""");filter('Students (Vertical)'!D:D,'Students (Vertical)'!C:C=E110,'Students (Vertical)'!D:D&lt;&gt;"""")})&gt;1))),"""")"),"Science 8, Sociales 8, Spanish 8, PE 8, Band 8S1, Band 8S2")</f>
        <v>Science 8, Sociales 8, Spanish 8, PE 8, Band 8S1, Band 8S2</v>
      </c>
      <c r="L110" s="96"/>
      <c r="M110" s="96"/>
    </row>
    <row r="111">
      <c r="A111" s="8">
        <v>110.0</v>
      </c>
      <c r="B111" s="12" t="s">
        <v>269</v>
      </c>
      <c r="C111" s="8">
        <v>29068.0</v>
      </c>
      <c r="D111" s="8">
        <v>8.0</v>
      </c>
      <c r="E111" s="12" t="s">
        <v>268</v>
      </c>
      <c r="F111" s="8">
        <v>28032.0</v>
      </c>
      <c r="G111" s="8">
        <v>8.0</v>
      </c>
      <c r="H111" s="12" t="s">
        <v>212</v>
      </c>
      <c r="I111" s="94" t="str">
        <f>IFERROR(__xludf.DUMMYFUNCTION("if(H111=""Must be Together"",iferror(join("", "",unique(filter({filter('Students (Vertical)'!O:O,'Students (Vertical)'!C:C=B111,'Students (Vertical)'!O:O&lt;&gt;"""");filter('Students (Vertical)'!O:O,'Students (Vertical)'!C:C=E111,'Students (Vertical)'!O:O&lt;&gt;"""&amp;""")},countifs({filter('Students (Vertical)'!O:O,'Students (Vertical)'!C:C=B111,'Students (Vertical)'!O:O&lt;&gt;"""");filter('Students (Vertical)'!O:O,'Students (Vertical)'!C:C=E111,'Students (Vertical)'!O:O&lt;&gt;"""")},{filter('Students (Vertical)'!O:O,'Students ("&amp;"Vertical)'!C:C=B111,'Students (Vertical)'!O:O&lt;&gt;"""");filter('Students (Vertical)'!O:O,'Students (Vertical)'!C:C=E111,'Students (Vertical)'!O:O&lt;&gt;"""")})&gt;1))),""No shared courses""),"""")"),"")</f>
        <v/>
      </c>
      <c r="J111" s="94" t="str">
        <f>IFERROR(__xludf.DUMMYFUNCTION("if(H111=""Can't be Together"",iferror(join("", "",unique(filter({unique(filter('Students (Vertical)'!O:O,'Students (Vertical)'!C:C=B111,'Students (Vertical)'!O:O&lt;&gt;"""",'Students (Vertical)'!P:P&gt;1));unique(filter('Students (Vertical)'!O:O,'Students (Vertic"&amp;"al)'!C:C=E111,'Students (Vertical)'!O:O&lt;&gt;"""",'Students (Vertical)'!P:P&gt;1))},countifs({unique(filter('Students (Vertical)'!O:O,'Students (Vertical)'!C:C=B111,'Students (Vertical)'!O:O&lt;&gt;"""",'Students (Vertical)'!P:P&gt;1));unique(filter('Students (Vertical)'"&amp;"!O:O,'Students (Vertical)'!C:C=E111,'Students (Vertical)'!O:O&lt;&gt;"""",'Students (Vertical)'!P:P&gt;1))},{unique(filter('Students (Vertical)'!O:O,'Students (Vertical)'!C:C=B111,'Students (Vertical)'!O:O&lt;&gt;"""",'Students (Vertical)'!P:P&gt;1));unique(filter('Student"&amp;"s (Vertical)'!O:O,'Students (Vertical)'!C:C=E111,'Students (Vertical)'!O:O&lt;&gt;"""",'Students (Vertical)'!P:P&gt;1))})&gt;1))),""""),"""")"),"")</f>
        <v/>
      </c>
      <c r="K111" s="96" t="str">
        <f>IFERROR(__xludf.DUMMYFUNCTION("iferror(join("", "",unique(filter({filter('Students (Vertical)'!D:D,'Students (Vertical)'!C:C=B111,'Students (Vertical)'!D:D&lt;&gt;"""");filter('Students (Vertical)'!D:D,'Students (Vertical)'!C:C=E111,'Students (Vertical)'!D:D&lt;&gt;"""")},countifs({filter('Student"&amp;"s (Vertical)'!D:D,'Students (Vertical)'!C:C=B111,'Students (Vertical)'!D:D&lt;&gt;"""");filter('Students (Vertical)'!D:D,'Students (Vertical)'!C:C=E111,'Students (Vertical)'!D:D&lt;&gt;"""")},{filter('Students (Vertical)'!D:D,'Students (Vertical)'!C:C=B111,'Students "&amp;"(Vertical)'!D:D&lt;&gt;"""");filter('Students (Vertical)'!D:D,'Students (Vertical)'!C:C=E111,'Students (Vertical)'!D:D&lt;&gt;"""")})&gt;1))),"""")"),"Science 8, Math 8, English 8, Sociales 8, Spanish 8, PE 8, Band 8S1, Band 8S2")</f>
        <v>Science 8, Math 8, English 8, Sociales 8, Spanish 8, PE 8, Band 8S1, Band 8S2</v>
      </c>
      <c r="L111" s="96"/>
      <c r="M111" s="96"/>
    </row>
    <row r="112">
      <c r="A112" s="8">
        <v>111.0</v>
      </c>
      <c r="B112" s="12" t="s">
        <v>269</v>
      </c>
      <c r="C112" s="8">
        <v>29068.0</v>
      </c>
      <c r="D112" s="8">
        <v>8.0</v>
      </c>
      <c r="E112" s="12" t="s">
        <v>266</v>
      </c>
      <c r="F112" s="8">
        <v>29049.0</v>
      </c>
      <c r="G112" s="8">
        <v>8.0</v>
      </c>
      <c r="H112" s="12" t="s">
        <v>212</v>
      </c>
      <c r="I112" s="94" t="str">
        <f>IFERROR(__xludf.DUMMYFUNCTION("if(H112=""Must be Together"",iferror(join("", "",unique(filter({filter('Students (Vertical)'!O:O,'Students (Vertical)'!C:C=B112,'Students (Vertical)'!O:O&lt;&gt;"""");filter('Students (Vertical)'!O:O,'Students (Vertical)'!C:C=E112,'Students (Vertical)'!O:O&lt;&gt;"""&amp;""")},countifs({filter('Students (Vertical)'!O:O,'Students (Vertical)'!C:C=B112,'Students (Vertical)'!O:O&lt;&gt;"""");filter('Students (Vertical)'!O:O,'Students (Vertical)'!C:C=E112,'Students (Vertical)'!O:O&lt;&gt;"""")},{filter('Students (Vertical)'!O:O,'Students ("&amp;"Vertical)'!C:C=B112,'Students (Vertical)'!O:O&lt;&gt;"""");filter('Students (Vertical)'!O:O,'Students (Vertical)'!C:C=E112,'Students (Vertical)'!O:O&lt;&gt;"""")})&gt;1))),""No shared courses""),"""")"),"")</f>
        <v/>
      </c>
      <c r="J112" s="94" t="str">
        <f>IFERROR(__xludf.DUMMYFUNCTION("if(H112=""Can't be Together"",iferror(join("", "",unique(filter({unique(filter('Students (Vertical)'!O:O,'Students (Vertical)'!C:C=B112,'Students (Vertical)'!O:O&lt;&gt;"""",'Students (Vertical)'!P:P&gt;1));unique(filter('Students (Vertical)'!O:O,'Students (Vertic"&amp;"al)'!C:C=E112,'Students (Vertical)'!O:O&lt;&gt;"""",'Students (Vertical)'!P:P&gt;1))},countifs({unique(filter('Students (Vertical)'!O:O,'Students (Vertical)'!C:C=B112,'Students (Vertical)'!O:O&lt;&gt;"""",'Students (Vertical)'!P:P&gt;1));unique(filter('Students (Vertical)'"&amp;"!O:O,'Students (Vertical)'!C:C=E112,'Students (Vertical)'!O:O&lt;&gt;"""",'Students (Vertical)'!P:P&gt;1))},{unique(filter('Students (Vertical)'!O:O,'Students (Vertical)'!C:C=B112,'Students (Vertical)'!O:O&lt;&gt;"""",'Students (Vertical)'!P:P&gt;1));unique(filter('Student"&amp;"s (Vertical)'!O:O,'Students (Vertical)'!C:C=E112,'Students (Vertical)'!O:O&lt;&gt;"""",'Students (Vertical)'!P:P&gt;1))})&gt;1))),""""),"""")"),"")</f>
        <v/>
      </c>
      <c r="K112" s="96" t="str">
        <f>IFERROR(__xludf.DUMMYFUNCTION("iferror(join("", "",unique(filter({filter('Students (Vertical)'!D:D,'Students (Vertical)'!C:C=B112,'Students (Vertical)'!D:D&lt;&gt;"""");filter('Students (Vertical)'!D:D,'Students (Vertical)'!C:C=E112,'Students (Vertical)'!D:D&lt;&gt;"""")},countifs({filter('Student"&amp;"s (Vertical)'!D:D,'Students (Vertical)'!C:C=B112,'Students (Vertical)'!D:D&lt;&gt;"""");filter('Students (Vertical)'!D:D,'Students (Vertical)'!C:C=E112,'Students (Vertical)'!D:D&lt;&gt;"""")},{filter('Students (Vertical)'!D:D,'Students (Vertical)'!C:C=B112,'Students "&amp;"(Vertical)'!D:D&lt;&gt;"""");filter('Students (Vertical)'!D:D,'Students (Vertical)'!C:C=E112,'Students (Vertical)'!D:D&lt;&gt;"""")})&gt;1))),"""")"),"Science 8, English 8, Sociales 8, Spanish 8, PE 8, Band 8S1, Band 8S2")</f>
        <v>Science 8, English 8, Sociales 8, Spanish 8, PE 8, Band 8S1, Band 8S2</v>
      </c>
      <c r="L112" s="96"/>
      <c r="M112" s="96"/>
    </row>
    <row r="113">
      <c r="A113" s="8">
        <v>112.0</v>
      </c>
      <c r="B113" s="12" t="s">
        <v>269</v>
      </c>
      <c r="C113" s="8">
        <v>29068.0</v>
      </c>
      <c r="D113" s="8">
        <v>8.0</v>
      </c>
      <c r="E113" s="12" t="s">
        <v>267</v>
      </c>
      <c r="F113" s="8">
        <v>29050.0</v>
      </c>
      <c r="G113" s="8">
        <v>8.0</v>
      </c>
      <c r="H113" s="12" t="s">
        <v>212</v>
      </c>
      <c r="I113" s="94" t="str">
        <f>IFERROR(__xludf.DUMMYFUNCTION("if(H113=""Must be Together"",iferror(join("", "",unique(filter({filter('Students (Vertical)'!O:O,'Students (Vertical)'!C:C=B113,'Students (Vertical)'!O:O&lt;&gt;"""");filter('Students (Vertical)'!O:O,'Students (Vertical)'!C:C=E113,'Students (Vertical)'!O:O&lt;&gt;"""&amp;""")},countifs({filter('Students (Vertical)'!O:O,'Students (Vertical)'!C:C=B113,'Students (Vertical)'!O:O&lt;&gt;"""");filter('Students (Vertical)'!O:O,'Students (Vertical)'!C:C=E113,'Students (Vertical)'!O:O&lt;&gt;"""")},{filter('Students (Vertical)'!O:O,'Students ("&amp;"Vertical)'!C:C=B113,'Students (Vertical)'!O:O&lt;&gt;"""");filter('Students (Vertical)'!O:O,'Students (Vertical)'!C:C=E113,'Students (Vertical)'!O:O&lt;&gt;"""")})&gt;1))),""No shared courses""),"""")"),"")</f>
        <v/>
      </c>
      <c r="J113" s="94" t="str">
        <f>IFERROR(__xludf.DUMMYFUNCTION("if(H113=""Can't be Together"",iferror(join("", "",unique(filter({unique(filter('Students (Vertical)'!O:O,'Students (Vertical)'!C:C=B113,'Students (Vertical)'!O:O&lt;&gt;"""",'Students (Vertical)'!P:P&gt;1));unique(filter('Students (Vertical)'!O:O,'Students (Vertic"&amp;"al)'!C:C=E113,'Students (Vertical)'!O:O&lt;&gt;"""",'Students (Vertical)'!P:P&gt;1))},countifs({unique(filter('Students (Vertical)'!O:O,'Students (Vertical)'!C:C=B113,'Students (Vertical)'!O:O&lt;&gt;"""",'Students (Vertical)'!P:P&gt;1));unique(filter('Students (Vertical)'"&amp;"!O:O,'Students (Vertical)'!C:C=E113,'Students (Vertical)'!O:O&lt;&gt;"""",'Students (Vertical)'!P:P&gt;1))},{unique(filter('Students (Vertical)'!O:O,'Students (Vertical)'!C:C=B113,'Students (Vertical)'!O:O&lt;&gt;"""",'Students (Vertical)'!P:P&gt;1));unique(filter('Student"&amp;"s (Vertical)'!O:O,'Students (Vertical)'!C:C=E113,'Students (Vertical)'!O:O&lt;&gt;"""",'Students (Vertical)'!P:P&gt;1))})&gt;1))),""""),"""")"),"Science 8-3, Spanish 8-4, PE 8-5a")</f>
        <v>Science 8-3, Spanish 8-4, PE 8-5a</v>
      </c>
      <c r="K113" s="96" t="str">
        <f>IFERROR(__xludf.DUMMYFUNCTION("iferror(join("", "",unique(filter({filter('Students (Vertical)'!D:D,'Students (Vertical)'!C:C=B113,'Students (Vertical)'!D:D&lt;&gt;"""");filter('Students (Vertical)'!D:D,'Students (Vertical)'!C:C=E113,'Students (Vertical)'!D:D&lt;&gt;"""")},countifs({filter('Student"&amp;"s (Vertical)'!D:D,'Students (Vertical)'!C:C=B113,'Students (Vertical)'!D:D&lt;&gt;"""");filter('Students (Vertical)'!D:D,'Students (Vertical)'!C:C=E113,'Students (Vertical)'!D:D&lt;&gt;"""")},{filter('Students (Vertical)'!D:D,'Students (Vertical)'!C:C=B113,'Students "&amp;"(Vertical)'!D:D&lt;&gt;"""");filter('Students (Vertical)'!D:D,'Students (Vertical)'!C:C=E113,'Students (Vertical)'!D:D&lt;&gt;"""")})&gt;1))),"""")"),"Science 8, Sociales 8, Spanish 8, PE 8, Band 8S1, Band 8S2")</f>
        <v>Science 8, Sociales 8, Spanish 8, PE 8, Band 8S1, Band 8S2</v>
      </c>
      <c r="L113" s="96"/>
      <c r="M113" s="96"/>
    </row>
    <row r="114">
      <c r="A114" s="8">
        <v>113.0</v>
      </c>
      <c r="B114" s="12" t="s">
        <v>269</v>
      </c>
      <c r="C114" s="8">
        <v>29068.0</v>
      </c>
      <c r="D114" s="8">
        <v>8.0</v>
      </c>
      <c r="E114" s="12" t="s">
        <v>279</v>
      </c>
      <c r="F114" s="8">
        <v>28046.0</v>
      </c>
      <c r="G114" s="8">
        <v>8.0</v>
      </c>
      <c r="H114" s="12" t="s">
        <v>212</v>
      </c>
      <c r="I114" s="94" t="str">
        <f>IFERROR(__xludf.DUMMYFUNCTION("if(H114=""Must be Together"",iferror(join("", "",unique(filter({filter('Students (Vertical)'!O:O,'Students (Vertical)'!C:C=B114,'Students (Vertical)'!O:O&lt;&gt;"""");filter('Students (Vertical)'!O:O,'Students (Vertical)'!C:C=E114,'Students (Vertical)'!O:O&lt;&gt;"""&amp;""")},countifs({filter('Students (Vertical)'!O:O,'Students (Vertical)'!C:C=B114,'Students (Vertical)'!O:O&lt;&gt;"""");filter('Students (Vertical)'!O:O,'Students (Vertical)'!C:C=E114,'Students (Vertical)'!O:O&lt;&gt;"""")},{filter('Students (Vertical)'!O:O,'Students ("&amp;"Vertical)'!C:C=B114,'Students (Vertical)'!O:O&lt;&gt;"""");filter('Students (Vertical)'!O:O,'Students (Vertical)'!C:C=E114,'Students (Vertical)'!O:O&lt;&gt;"""")})&gt;1))),""No shared courses""),"""")"),"")</f>
        <v/>
      </c>
      <c r="J114" s="94" t="str">
        <f>IFERROR(__xludf.DUMMYFUNCTION("if(H114=""Can't be Together"",iferror(join("", "",unique(filter({unique(filter('Students (Vertical)'!O:O,'Students (Vertical)'!C:C=B114,'Students (Vertical)'!O:O&lt;&gt;"""",'Students (Vertical)'!P:P&gt;1));unique(filter('Students (Vertical)'!O:O,'Students (Vertic"&amp;"al)'!C:C=E114,'Students (Vertical)'!O:O&lt;&gt;"""",'Students (Vertical)'!P:P&gt;1))},countifs({unique(filter('Students (Vertical)'!O:O,'Students (Vertical)'!C:C=B114,'Students (Vertical)'!O:O&lt;&gt;"""",'Students (Vertical)'!P:P&gt;1));unique(filter('Students (Vertical)'"&amp;"!O:O,'Students (Vertical)'!C:C=E114,'Students (Vertical)'!O:O&lt;&gt;"""",'Students (Vertical)'!P:P&gt;1))},{unique(filter('Students (Vertical)'!O:O,'Students (Vertical)'!C:C=B114,'Students (Vertical)'!O:O&lt;&gt;"""",'Students (Vertical)'!P:P&gt;1));unique(filter('Student"&amp;"s (Vertical)'!O:O,'Students (Vertical)'!C:C=E114,'Students (Vertical)'!O:O&lt;&gt;"""",'Students (Vertical)'!P:P&gt;1))})&gt;1))),""""),"""")"),"Science 8-3, Spanish 8-4, PE 8-5a")</f>
        <v>Science 8-3, Spanish 8-4, PE 8-5a</v>
      </c>
      <c r="K114" s="96" t="str">
        <f>IFERROR(__xludf.DUMMYFUNCTION("iferror(join("", "",unique(filter({filter('Students (Vertical)'!D:D,'Students (Vertical)'!C:C=B114,'Students (Vertical)'!D:D&lt;&gt;"""");filter('Students (Vertical)'!D:D,'Students (Vertical)'!C:C=E114,'Students (Vertical)'!D:D&lt;&gt;"""")},countifs({filter('Student"&amp;"s (Vertical)'!D:D,'Students (Vertical)'!C:C=B114,'Students (Vertical)'!D:D&lt;&gt;"""");filter('Students (Vertical)'!D:D,'Students (Vertical)'!C:C=E114,'Students (Vertical)'!D:D&lt;&gt;"""")},{filter('Students (Vertical)'!D:D,'Students (Vertical)'!C:C=B114,'Students "&amp;"(Vertical)'!D:D&lt;&gt;"""");filter('Students (Vertical)'!D:D,'Students (Vertical)'!C:C=E114,'Students (Vertical)'!D:D&lt;&gt;"""")})&gt;1))),"""")"),"Science 8, Sociales 8, Spanish 8, PE 8, Band 8S1, Band 8S2")</f>
        <v>Science 8, Sociales 8, Spanish 8, PE 8, Band 8S1, Band 8S2</v>
      </c>
      <c r="L114" s="96"/>
      <c r="M114" s="96"/>
    </row>
    <row r="115">
      <c r="A115" s="8">
        <v>114.0</v>
      </c>
      <c r="B115" s="12" t="s">
        <v>269</v>
      </c>
      <c r="C115" s="8">
        <v>29068.0</v>
      </c>
      <c r="D115" s="8">
        <v>8.0</v>
      </c>
      <c r="E115" s="12" t="s">
        <v>280</v>
      </c>
      <c r="F115" s="8">
        <v>29065.0</v>
      </c>
      <c r="G115" s="8">
        <v>8.0</v>
      </c>
      <c r="H115" s="12" t="s">
        <v>212</v>
      </c>
      <c r="I115" s="94" t="str">
        <f>IFERROR(__xludf.DUMMYFUNCTION("if(H115=""Must be Together"",iferror(join("", "",unique(filter({filter('Students (Vertical)'!O:O,'Students (Vertical)'!C:C=B115,'Students (Vertical)'!O:O&lt;&gt;"""");filter('Students (Vertical)'!O:O,'Students (Vertical)'!C:C=E115,'Students (Vertical)'!O:O&lt;&gt;"""&amp;""")},countifs({filter('Students (Vertical)'!O:O,'Students (Vertical)'!C:C=B115,'Students (Vertical)'!O:O&lt;&gt;"""");filter('Students (Vertical)'!O:O,'Students (Vertical)'!C:C=E115,'Students (Vertical)'!O:O&lt;&gt;"""")},{filter('Students (Vertical)'!O:O,'Students ("&amp;"Vertical)'!C:C=B115,'Students (Vertical)'!O:O&lt;&gt;"""");filter('Students (Vertical)'!O:O,'Students (Vertical)'!C:C=E115,'Students (Vertical)'!O:O&lt;&gt;"""")})&gt;1))),""No shared courses""),"""")"),"")</f>
        <v/>
      </c>
      <c r="J115" s="94" t="str">
        <f>IFERROR(__xludf.DUMMYFUNCTION("if(H115=""Can't be Together"",iferror(join("", "",unique(filter({unique(filter('Students (Vertical)'!O:O,'Students (Vertical)'!C:C=B115,'Students (Vertical)'!O:O&lt;&gt;"""",'Students (Vertical)'!P:P&gt;1));unique(filter('Students (Vertical)'!O:O,'Students (Vertic"&amp;"al)'!C:C=E115,'Students (Vertical)'!O:O&lt;&gt;"""",'Students (Vertical)'!P:P&gt;1))},countifs({unique(filter('Students (Vertical)'!O:O,'Students (Vertical)'!C:C=B115,'Students (Vertical)'!O:O&lt;&gt;"""",'Students (Vertical)'!P:P&gt;1));unique(filter('Students (Vertical)'"&amp;"!O:O,'Students (Vertical)'!C:C=E115,'Students (Vertical)'!O:O&lt;&gt;"""",'Students (Vertical)'!P:P&gt;1))},{unique(filter('Students (Vertical)'!O:O,'Students (Vertical)'!C:C=B115,'Students (Vertical)'!O:O&lt;&gt;"""",'Students (Vertical)'!P:P&gt;1));unique(filter('Student"&amp;"s (Vertical)'!O:O,'Students (Vertical)'!C:C=E115,'Students (Vertical)'!O:O&lt;&gt;"""",'Students (Vertical)'!P:P&gt;1))})&gt;1))),""""),"""")"),"")</f>
        <v/>
      </c>
      <c r="K115" s="96" t="str">
        <f>IFERROR(__xludf.DUMMYFUNCTION("iferror(join("", "",unique(filter({filter('Students (Vertical)'!D:D,'Students (Vertical)'!C:C=B115,'Students (Vertical)'!D:D&lt;&gt;"""");filter('Students (Vertical)'!D:D,'Students (Vertical)'!C:C=E115,'Students (Vertical)'!D:D&lt;&gt;"""")},countifs({filter('Student"&amp;"s (Vertical)'!D:D,'Students (Vertical)'!C:C=B115,'Students (Vertical)'!D:D&lt;&gt;"""");filter('Students (Vertical)'!D:D,'Students (Vertical)'!C:C=E115,'Students (Vertical)'!D:D&lt;&gt;"""")},{filter('Students (Vertical)'!D:D,'Students (Vertical)'!C:C=B115,'Students "&amp;"(Vertical)'!D:D&lt;&gt;"""");filter('Students (Vertical)'!D:D,'Students (Vertical)'!C:C=E115,'Students (Vertical)'!D:D&lt;&gt;"""")})&gt;1))),"""")"),"Science 8, English 8, Sociales 8, Spanish 8, PE 8, Band 8S1, Band 8S2")</f>
        <v>Science 8, English 8, Sociales 8, Spanish 8, PE 8, Band 8S1, Band 8S2</v>
      </c>
      <c r="L115" s="96"/>
      <c r="M115" s="96"/>
    </row>
    <row r="116">
      <c r="A116" s="8">
        <v>115.0</v>
      </c>
      <c r="B116" s="12" t="s">
        <v>269</v>
      </c>
      <c r="C116" s="8">
        <v>29068.0</v>
      </c>
      <c r="D116" s="8">
        <v>8.0</v>
      </c>
      <c r="E116" s="12" t="s">
        <v>281</v>
      </c>
      <c r="F116" s="8">
        <v>29059.0</v>
      </c>
      <c r="G116" s="8">
        <v>8.0</v>
      </c>
      <c r="H116" s="12" t="s">
        <v>212</v>
      </c>
      <c r="I116" s="94" t="str">
        <f>IFERROR(__xludf.DUMMYFUNCTION("if(H116=""Must be Together"",iferror(join("", "",unique(filter({filter('Students (Vertical)'!O:O,'Students (Vertical)'!C:C=B116,'Students (Vertical)'!O:O&lt;&gt;"""");filter('Students (Vertical)'!O:O,'Students (Vertical)'!C:C=E116,'Students (Vertical)'!O:O&lt;&gt;"""&amp;""")},countifs({filter('Students (Vertical)'!O:O,'Students (Vertical)'!C:C=B116,'Students (Vertical)'!O:O&lt;&gt;"""");filter('Students (Vertical)'!O:O,'Students (Vertical)'!C:C=E116,'Students (Vertical)'!O:O&lt;&gt;"""")},{filter('Students (Vertical)'!O:O,'Students ("&amp;"Vertical)'!C:C=B116,'Students (Vertical)'!O:O&lt;&gt;"""");filter('Students (Vertical)'!O:O,'Students (Vertical)'!C:C=E116,'Students (Vertical)'!O:O&lt;&gt;"""")})&gt;1))),""No shared courses""),"""")"),"")</f>
        <v/>
      </c>
      <c r="J116" s="94" t="str">
        <f>IFERROR(__xludf.DUMMYFUNCTION("if(H116=""Can't be Together"",iferror(join("", "",unique(filter({unique(filter('Students (Vertical)'!O:O,'Students (Vertical)'!C:C=B116,'Students (Vertical)'!O:O&lt;&gt;"""",'Students (Vertical)'!P:P&gt;1));unique(filter('Students (Vertical)'!O:O,'Students (Vertic"&amp;"al)'!C:C=E116,'Students (Vertical)'!O:O&lt;&gt;"""",'Students (Vertical)'!P:P&gt;1))},countifs({unique(filter('Students (Vertical)'!O:O,'Students (Vertical)'!C:C=B116,'Students (Vertical)'!O:O&lt;&gt;"""",'Students (Vertical)'!P:P&gt;1));unique(filter('Students (Vertical)'"&amp;"!O:O,'Students (Vertical)'!C:C=E116,'Students (Vertical)'!O:O&lt;&gt;"""",'Students (Vertical)'!P:P&gt;1))},{unique(filter('Students (Vertical)'!O:O,'Students (Vertical)'!C:C=B116,'Students (Vertical)'!O:O&lt;&gt;"""",'Students (Vertical)'!P:P&gt;1));unique(filter('Student"&amp;"s (Vertical)'!O:O,'Students (Vertical)'!C:C=E116,'Students (Vertical)'!O:O&lt;&gt;"""",'Students (Vertical)'!P:P&gt;1))})&gt;1))),""""),"""")"),"Science 8-3, Spanish 8-4, PE 8-5a")</f>
        <v>Science 8-3, Spanish 8-4, PE 8-5a</v>
      </c>
      <c r="K116" s="96" t="str">
        <f>IFERROR(__xludf.DUMMYFUNCTION("iferror(join("", "",unique(filter({filter('Students (Vertical)'!D:D,'Students (Vertical)'!C:C=B116,'Students (Vertical)'!D:D&lt;&gt;"""");filter('Students (Vertical)'!D:D,'Students (Vertical)'!C:C=E116,'Students (Vertical)'!D:D&lt;&gt;"""")},countifs({filter('Student"&amp;"s (Vertical)'!D:D,'Students (Vertical)'!C:C=B116,'Students (Vertical)'!D:D&lt;&gt;"""");filter('Students (Vertical)'!D:D,'Students (Vertical)'!C:C=E116,'Students (Vertical)'!D:D&lt;&gt;"""")},{filter('Students (Vertical)'!D:D,'Students (Vertical)'!C:C=B116,'Students "&amp;"(Vertical)'!D:D&lt;&gt;"""");filter('Students (Vertical)'!D:D,'Students (Vertical)'!C:C=E116,'Students (Vertical)'!D:D&lt;&gt;"""")})&gt;1))),"""")"),"Science 8, Sociales 8, Spanish 8, PE 8, Band 8S1, Band 8S2")</f>
        <v>Science 8, Sociales 8, Spanish 8, PE 8, Band 8S1, Band 8S2</v>
      </c>
      <c r="L116" s="96"/>
      <c r="M116" s="96"/>
    </row>
    <row r="117">
      <c r="A117" s="8">
        <v>116.0</v>
      </c>
      <c r="B117" s="12" t="s">
        <v>282</v>
      </c>
      <c r="C117" s="8">
        <v>29038.0</v>
      </c>
      <c r="D117" s="8">
        <v>8.0</v>
      </c>
      <c r="E117" s="12" t="s">
        <v>268</v>
      </c>
      <c r="F117" s="8">
        <v>28032.0</v>
      </c>
      <c r="G117" s="8">
        <v>8.0</v>
      </c>
      <c r="H117" s="12" t="s">
        <v>212</v>
      </c>
      <c r="I117" s="94" t="str">
        <f>IFERROR(__xludf.DUMMYFUNCTION("if(H117=""Must be Together"",iferror(join("", "",unique(filter({filter('Students (Vertical)'!O:O,'Students (Vertical)'!C:C=B117,'Students (Vertical)'!O:O&lt;&gt;"""");filter('Students (Vertical)'!O:O,'Students (Vertical)'!C:C=E117,'Students (Vertical)'!O:O&lt;&gt;"""&amp;""")},countifs({filter('Students (Vertical)'!O:O,'Students (Vertical)'!C:C=B117,'Students (Vertical)'!O:O&lt;&gt;"""");filter('Students (Vertical)'!O:O,'Students (Vertical)'!C:C=E117,'Students (Vertical)'!O:O&lt;&gt;"""")},{filter('Students (Vertical)'!O:O,'Students ("&amp;"Vertical)'!C:C=B117,'Students (Vertical)'!O:O&lt;&gt;"""");filter('Students (Vertical)'!O:O,'Students (Vertical)'!C:C=E117,'Students (Vertical)'!O:O&lt;&gt;"""")})&gt;1))),""No shared courses""),"""")"),"")</f>
        <v/>
      </c>
      <c r="J117" s="94" t="str">
        <f>IFERROR(__xludf.DUMMYFUNCTION("if(H117=""Can't be Together"",iferror(join("", "",unique(filter({unique(filter('Students (Vertical)'!O:O,'Students (Vertical)'!C:C=B117,'Students (Vertical)'!O:O&lt;&gt;"""",'Students (Vertical)'!P:P&gt;1));unique(filter('Students (Vertical)'!O:O,'Students (Vertic"&amp;"al)'!C:C=E117,'Students (Vertical)'!O:O&lt;&gt;"""",'Students (Vertical)'!P:P&gt;1))},countifs({unique(filter('Students (Vertical)'!O:O,'Students (Vertical)'!C:C=B117,'Students (Vertical)'!O:O&lt;&gt;"""",'Students (Vertical)'!P:P&gt;1));unique(filter('Students (Vertical)'"&amp;"!O:O,'Students (Vertical)'!C:C=E117,'Students (Vertical)'!O:O&lt;&gt;"""",'Students (Vertical)'!P:P&gt;1))},{unique(filter('Students (Vertical)'!O:O,'Students (Vertical)'!C:C=B117,'Students (Vertical)'!O:O&lt;&gt;"""",'Students (Vertical)'!P:P&gt;1));unique(filter('Student"&amp;"s (Vertical)'!O:O,'Students (Vertical)'!C:C=E117,'Students (Vertical)'!O:O&lt;&gt;"""",'Students (Vertical)'!P:P&gt;1))})&gt;1))),""""),"""")"),"")</f>
        <v/>
      </c>
      <c r="K117" s="96" t="str">
        <f>IFERROR(__xludf.DUMMYFUNCTION("iferror(join("", "",unique(filter({filter('Students (Vertical)'!D:D,'Students (Vertical)'!C:C=B117,'Students (Vertical)'!D:D&lt;&gt;"""");filter('Students (Vertical)'!D:D,'Students (Vertical)'!C:C=E117,'Students (Vertical)'!D:D&lt;&gt;"""")},countifs({filter('Student"&amp;"s (Vertical)'!D:D,'Students (Vertical)'!C:C=B117,'Students (Vertical)'!D:D&lt;&gt;"""");filter('Students (Vertical)'!D:D,'Students (Vertical)'!C:C=E117,'Students (Vertical)'!D:D&lt;&gt;"""")},{filter('Students (Vertical)'!D:D,'Students (Vertical)'!C:C=B117,'Students "&amp;"(Vertical)'!D:D&lt;&gt;"""");filter('Students (Vertical)'!D:D,'Students (Vertical)'!C:C=E117,'Students (Vertical)'!D:D&lt;&gt;"""")})&gt;1))),"""")"),"Science 8, Math 8, English 8, Sociales 8, Spanish 8, PE 8")</f>
        <v>Science 8, Math 8, English 8, Sociales 8, Spanish 8, PE 8</v>
      </c>
      <c r="L117" s="96"/>
      <c r="M117" s="96"/>
    </row>
    <row r="118">
      <c r="A118" s="8">
        <v>117.0</v>
      </c>
      <c r="B118" s="12" t="s">
        <v>282</v>
      </c>
      <c r="C118" s="8">
        <v>29038.0</v>
      </c>
      <c r="D118" s="8">
        <v>8.0</v>
      </c>
      <c r="E118" s="12" t="s">
        <v>283</v>
      </c>
      <c r="F118" s="8">
        <v>29164.0</v>
      </c>
      <c r="G118" s="8">
        <v>8.0</v>
      </c>
      <c r="H118" s="12" t="s">
        <v>212</v>
      </c>
      <c r="I118" s="94" t="str">
        <f>IFERROR(__xludf.DUMMYFUNCTION("if(H118=""Must be Together"",iferror(join("", "",unique(filter({filter('Students (Vertical)'!O:O,'Students (Vertical)'!C:C=B118,'Students (Vertical)'!O:O&lt;&gt;"""");filter('Students (Vertical)'!O:O,'Students (Vertical)'!C:C=E118,'Students (Vertical)'!O:O&lt;&gt;"""&amp;""")},countifs({filter('Students (Vertical)'!O:O,'Students (Vertical)'!C:C=B118,'Students (Vertical)'!O:O&lt;&gt;"""");filter('Students (Vertical)'!O:O,'Students (Vertical)'!C:C=E118,'Students (Vertical)'!O:O&lt;&gt;"""")},{filter('Students (Vertical)'!O:O,'Students ("&amp;"Vertical)'!C:C=B118,'Students (Vertical)'!O:O&lt;&gt;"""");filter('Students (Vertical)'!O:O,'Students (Vertical)'!C:C=E118,'Students (Vertical)'!O:O&lt;&gt;"""")})&gt;1))),""No shared courses""),"""")"),"")</f>
        <v/>
      </c>
      <c r="J118" s="94" t="str">
        <f>IFERROR(__xludf.DUMMYFUNCTION("if(H118=""Can't be Together"",iferror(join("", "",unique(filter({unique(filter('Students (Vertical)'!O:O,'Students (Vertical)'!C:C=B118,'Students (Vertical)'!O:O&lt;&gt;"""",'Students (Vertical)'!P:P&gt;1));unique(filter('Students (Vertical)'!O:O,'Students (Vertic"&amp;"al)'!C:C=E118,'Students (Vertical)'!O:O&lt;&gt;"""",'Students (Vertical)'!P:P&gt;1))},countifs({unique(filter('Students (Vertical)'!O:O,'Students (Vertical)'!C:C=B118,'Students (Vertical)'!O:O&lt;&gt;"""",'Students (Vertical)'!P:P&gt;1));unique(filter('Students (Vertical)'"&amp;"!O:O,'Students (Vertical)'!C:C=E118,'Students (Vertical)'!O:O&lt;&gt;"""",'Students (Vertical)'!P:P&gt;1))},{unique(filter('Students (Vertical)'!O:O,'Students (Vertical)'!C:C=B118,'Students (Vertical)'!O:O&lt;&gt;"""",'Students (Vertical)'!P:P&gt;1));unique(filter('Student"&amp;"s (Vertical)'!O:O,'Students (Vertical)'!C:C=E118,'Students (Vertical)'!O:O&lt;&gt;"""",'Students (Vertical)'!P:P&gt;1))})&gt;1))),""""),"""")"),"")</f>
        <v/>
      </c>
      <c r="K118" s="96" t="str">
        <f>IFERROR(__xludf.DUMMYFUNCTION("iferror(join("", "",unique(filter({filter('Students (Vertical)'!D:D,'Students (Vertical)'!C:C=B118,'Students (Vertical)'!D:D&lt;&gt;"""");filter('Students (Vertical)'!D:D,'Students (Vertical)'!C:C=E118,'Students (Vertical)'!D:D&lt;&gt;"""")},countifs({filter('Student"&amp;"s (Vertical)'!D:D,'Students (Vertical)'!C:C=B118,'Students (Vertical)'!D:D&lt;&gt;"""");filter('Students (Vertical)'!D:D,'Students (Vertical)'!C:C=E118,'Students (Vertical)'!D:D&lt;&gt;"""")},{filter('Students (Vertical)'!D:D,'Students (Vertical)'!C:C=B118,'Students "&amp;"(Vertical)'!D:D&lt;&gt;"""");filter('Students (Vertical)'!D:D,'Students (Vertical)'!C:C=E118,'Students (Vertical)'!D:D&lt;&gt;"""")})&gt;1))),"""")"),"Science 8, Math 8, English 8, Sociales 8, Spanish 8, PE 8")</f>
        <v>Science 8, Math 8, English 8, Sociales 8, Spanish 8, PE 8</v>
      </c>
      <c r="L118" s="96"/>
      <c r="M118" s="96"/>
    </row>
    <row r="119">
      <c r="A119" s="8">
        <v>118.0</v>
      </c>
      <c r="B119" s="12" t="s">
        <v>284</v>
      </c>
      <c r="C119" s="8">
        <v>29056.0</v>
      </c>
      <c r="D119" s="8">
        <v>8.0</v>
      </c>
      <c r="E119" s="12" t="s">
        <v>285</v>
      </c>
      <c r="F119" s="8">
        <v>29036.0</v>
      </c>
      <c r="G119" s="8">
        <v>8.0</v>
      </c>
      <c r="H119" s="12" t="s">
        <v>212</v>
      </c>
      <c r="I119" s="94" t="str">
        <f>IFERROR(__xludf.DUMMYFUNCTION("if(H119=""Must be Together"",iferror(join("", "",unique(filter({filter('Students (Vertical)'!O:O,'Students (Vertical)'!C:C=B119,'Students (Vertical)'!O:O&lt;&gt;"""");filter('Students (Vertical)'!O:O,'Students (Vertical)'!C:C=E119,'Students (Vertical)'!O:O&lt;&gt;"""&amp;""")},countifs({filter('Students (Vertical)'!O:O,'Students (Vertical)'!C:C=B119,'Students (Vertical)'!O:O&lt;&gt;"""");filter('Students (Vertical)'!O:O,'Students (Vertical)'!C:C=E119,'Students (Vertical)'!O:O&lt;&gt;"""")},{filter('Students (Vertical)'!O:O,'Students ("&amp;"Vertical)'!C:C=B119,'Students (Vertical)'!O:O&lt;&gt;"""");filter('Students (Vertical)'!O:O,'Students (Vertical)'!C:C=E119,'Students (Vertical)'!O:O&lt;&gt;"""")})&gt;1))),""No shared courses""),"""")"),"")</f>
        <v/>
      </c>
      <c r="J119" s="94" t="str">
        <f>IFERROR(__xludf.DUMMYFUNCTION("if(H119=""Can't be Together"",iferror(join("", "",unique(filter({unique(filter('Students (Vertical)'!O:O,'Students (Vertical)'!C:C=B119,'Students (Vertical)'!O:O&lt;&gt;"""",'Students (Vertical)'!P:P&gt;1));unique(filter('Students (Vertical)'!O:O,'Students (Vertic"&amp;"al)'!C:C=E119,'Students (Vertical)'!O:O&lt;&gt;"""",'Students (Vertical)'!P:P&gt;1))},countifs({unique(filter('Students (Vertical)'!O:O,'Students (Vertical)'!C:C=B119,'Students (Vertical)'!O:O&lt;&gt;"""",'Students (Vertical)'!P:P&gt;1));unique(filter('Students (Vertical)'"&amp;"!O:O,'Students (Vertical)'!C:C=E119,'Students (Vertical)'!O:O&lt;&gt;"""",'Students (Vertical)'!P:P&gt;1))},{unique(filter('Students (Vertical)'!O:O,'Students (Vertical)'!C:C=B119,'Students (Vertical)'!O:O&lt;&gt;"""",'Students (Vertical)'!P:P&gt;1));unique(filter('Student"&amp;"s (Vertical)'!O:O,'Students (Vertical)'!C:C=E119,'Students (Vertical)'!O:O&lt;&gt;"""",'Students (Vertical)'!P:P&gt;1))})&gt;1))),""""),"""")"),"")</f>
        <v/>
      </c>
      <c r="K119" s="96" t="str">
        <f>IFERROR(__xludf.DUMMYFUNCTION("iferror(join("", "",unique(filter({filter('Students (Vertical)'!D:D,'Students (Vertical)'!C:C=B119,'Students (Vertical)'!D:D&lt;&gt;"""");filter('Students (Vertical)'!D:D,'Students (Vertical)'!C:C=E119,'Students (Vertical)'!D:D&lt;&gt;"""")},countifs({filter('Student"&amp;"s (Vertical)'!D:D,'Students (Vertical)'!C:C=B119,'Students (Vertical)'!D:D&lt;&gt;"""");filter('Students (Vertical)'!D:D,'Students (Vertical)'!C:C=E119,'Students (Vertical)'!D:D&lt;&gt;"""")},{filter('Students (Vertical)'!D:D,'Students (Vertical)'!C:C=B119,'Students "&amp;"(Vertical)'!D:D&lt;&gt;"""");filter('Students (Vertical)'!D:D,'Students (Vertical)'!C:C=E119,'Students (Vertical)'!D:D&lt;&gt;"""")})&gt;1))),"""")"),"Science 8, English 8, Sociales 8, Spanish 8, PE 8, Band 8S1, Band 8S2")</f>
        <v>Science 8, English 8, Sociales 8, Spanish 8, PE 8, Band 8S1, Band 8S2</v>
      </c>
      <c r="L119" s="96"/>
      <c r="M119" s="96"/>
    </row>
    <row r="120">
      <c r="A120" s="8">
        <v>119.0</v>
      </c>
      <c r="B120" s="12" t="s">
        <v>284</v>
      </c>
      <c r="C120" s="8">
        <v>29056.0</v>
      </c>
      <c r="D120" s="8">
        <v>8.0</v>
      </c>
      <c r="E120" s="12" t="s">
        <v>286</v>
      </c>
      <c r="F120" s="8">
        <v>29040.0</v>
      </c>
      <c r="G120" s="8">
        <v>8.0</v>
      </c>
      <c r="H120" s="12" t="s">
        <v>212</v>
      </c>
      <c r="I120" s="94" t="str">
        <f>IFERROR(__xludf.DUMMYFUNCTION("if(H120=""Must be Together"",iferror(join("", "",unique(filter({filter('Students (Vertical)'!O:O,'Students (Vertical)'!C:C=B120,'Students (Vertical)'!O:O&lt;&gt;"""");filter('Students (Vertical)'!O:O,'Students (Vertical)'!C:C=E120,'Students (Vertical)'!O:O&lt;&gt;"""&amp;""")},countifs({filter('Students (Vertical)'!O:O,'Students (Vertical)'!C:C=B120,'Students (Vertical)'!O:O&lt;&gt;"""");filter('Students (Vertical)'!O:O,'Students (Vertical)'!C:C=E120,'Students (Vertical)'!O:O&lt;&gt;"""")},{filter('Students (Vertical)'!O:O,'Students ("&amp;"Vertical)'!C:C=B120,'Students (Vertical)'!O:O&lt;&gt;"""");filter('Students (Vertical)'!O:O,'Students (Vertical)'!C:C=E120,'Students (Vertical)'!O:O&lt;&gt;"""")})&gt;1))),""No shared courses""),"""")"),"")</f>
        <v/>
      </c>
      <c r="J120" s="94" t="str">
        <f>IFERROR(__xludf.DUMMYFUNCTION("if(H120=""Can't be Together"",iferror(join("", "",unique(filter({unique(filter('Students (Vertical)'!O:O,'Students (Vertical)'!C:C=B120,'Students (Vertical)'!O:O&lt;&gt;"""",'Students (Vertical)'!P:P&gt;1));unique(filter('Students (Vertical)'!O:O,'Students (Vertic"&amp;"al)'!C:C=E120,'Students (Vertical)'!O:O&lt;&gt;"""",'Students (Vertical)'!P:P&gt;1))},countifs({unique(filter('Students (Vertical)'!O:O,'Students (Vertical)'!C:C=B120,'Students (Vertical)'!O:O&lt;&gt;"""",'Students (Vertical)'!P:P&gt;1));unique(filter('Students (Vertical)'"&amp;"!O:O,'Students (Vertical)'!C:C=E120,'Students (Vertical)'!O:O&lt;&gt;"""",'Students (Vertical)'!P:P&gt;1))},{unique(filter('Students (Vertical)'!O:O,'Students (Vertical)'!C:C=B120,'Students (Vertical)'!O:O&lt;&gt;"""",'Students (Vertical)'!P:P&gt;1));unique(filter('Student"&amp;"s (Vertical)'!O:O,'Students (Vertical)'!C:C=E120,'Students (Vertical)'!O:O&lt;&gt;"""",'Students (Vertical)'!P:P&gt;1))})&gt;1))),""""),"""")"),"")</f>
        <v/>
      </c>
      <c r="K120" s="96" t="str">
        <f>IFERROR(__xludf.DUMMYFUNCTION("iferror(join("", "",unique(filter({filter('Students (Vertical)'!D:D,'Students (Vertical)'!C:C=B120,'Students (Vertical)'!D:D&lt;&gt;"""");filter('Students (Vertical)'!D:D,'Students (Vertical)'!C:C=E120,'Students (Vertical)'!D:D&lt;&gt;"""")},countifs({filter('Student"&amp;"s (Vertical)'!D:D,'Students (Vertical)'!C:C=B120,'Students (Vertical)'!D:D&lt;&gt;"""");filter('Students (Vertical)'!D:D,'Students (Vertical)'!C:C=E120,'Students (Vertical)'!D:D&lt;&gt;"""")},{filter('Students (Vertical)'!D:D,'Students (Vertical)'!C:C=B120,'Students "&amp;"(Vertical)'!D:D&lt;&gt;"""");filter('Students (Vertical)'!D:D,'Students (Vertical)'!C:C=E120,'Students (Vertical)'!D:D&lt;&gt;"""")})&gt;1))),"""")"),"Science 8, English 8, Sociales 8, Spanish 8, PE 8, Band 8S1, Band 8S2")</f>
        <v>Science 8, English 8, Sociales 8, Spanish 8, PE 8, Band 8S1, Band 8S2</v>
      </c>
      <c r="L120" s="96"/>
      <c r="M120" s="96"/>
    </row>
    <row r="121" hidden="1">
      <c r="A121" s="8">
        <v>120.0</v>
      </c>
      <c r="B121" s="12" t="s">
        <v>287</v>
      </c>
      <c r="C121" s="8">
        <v>29072.0</v>
      </c>
      <c r="D121" s="8">
        <v>8.0</v>
      </c>
      <c r="E121" s="12" t="s">
        <v>288</v>
      </c>
      <c r="F121" s="8">
        <v>29124.0</v>
      </c>
      <c r="G121" s="8">
        <v>8.0</v>
      </c>
      <c r="H121" s="12" t="s">
        <v>214</v>
      </c>
      <c r="I121" s="94" t="str">
        <f>IFERROR(__xludf.DUMMYFUNCTION("if(H121=""Must be Together"",iferror(join("", "",unique(filter({filter('Students (Vertical)'!O:O,'Students (Vertical)'!C:C=B121,'Students (Vertical)'!O:O&lt;&gt;"""");filter('Students (Vertical)'!O:O,'Students (Vertical)'!C:C=E121,'Students (Vertical)'!O:O&lt;&gt;"""&amp;""")},countifs({filter('Students (Vertical)'!O:O,'Students (Vertical)'!C:C=B121,'Students (Vertical)'!O:O&lt;&gt;"""");filter('Students (Vertical)'!O:O,'Students (Vertical)'!C:C=E121,'Students (Vertical)'!O:O&lt;&gt;"""")},{filter('Students (Vertical)'!O:O,'Students ("&amp;"Vertical)'!C:C=B121,'Students (Vertical)'!O:O&lt;&gt;"""");filter('Students (Vertical)'!O:O,'Students (Vertical)'!C:C=E121,'Students (Vertical)'!O:O&lt;&gt;"""")})&gt;1))),""No shared courses""),"""")"),"Science 8-5, Sociales 8-1, Spanish 8-6")</f>
        <v>Science 8-5, Sociales 8-1, Spanish 8-6</v>
      </c>
      <c r="J121" s="94" t="str">
        <f>IFERROR(__xludf.DUMMYFUNCTION("if(H121=""Can't be Together"",iferror(join("", "",unique(filter({unique(filter('Students (Vertical)'!O:O,'Students (Vertical)'!C:C=B121,'Students (Vertical)'!O:O&lt;&gt;"""",'Students (Vertical)'!P:P&gt;1));unique(filter('Students (Vertical)'!O:O,'Students (Vertic"&amp;"al)'!C:C=E121,'Students (Vertical)'!O:O&lt;&gt;"""",'Students (Vertical)'!P:P&gt;1))},countifs({unique(filter('Students (Vertical)'!O:O,'Students (Vertical)'!C:C=B121,'Students (Vertical)'!O:O&lt;&gt;"""",'Students (Vertical)'!P:P&gt;1));unique(filter('Students (Vertical)'"&amp;"!O:O,'Students (Vertical)'!C:C=E121,'Students (Vertical)'!O:O&lt;&gt;"""",'Students (Vertical)'!P:P&gt;1))},{unique(filter('Students (Vertical)'!O:O,'Students (Vertical)'!C:C=B121,'Students (Vertical)'!O:O&lt;&gt;"""",'Students (Vertical)'!P:P&gt;1));unique(filter('Student"&amp;"s (Vertical)'!O:O,'Students (Vertical)'!C:C=E121,'Students (Vertical)'!O:O&lt;&gt;"""",'Students (Vertical)'!P:P&gt;1))})&gt;1))),""""),"""")"),"")</f>
        <v/>
      </c>
      <c r="K121" s="96" t="str">
        <f>IFERROR(__xludf.DUMMYFUNCTION("iferror(join("", "",unique(filter({filter('Students (Vertical)'!D:D,'Students (Vertical)'!C:C=B121,'Students (Vertical)'!D:D&lt;&gt;"""");filter('Students (Vertical)'!D:D,'Students (Vertical)'!C:C=E121,'Students (Vertical)'!D:D&lt;&gt;"""")},countifs({filter('Student"&amp;"s (Vertical)'!D:D,'Students (Vertical)'!C:C=B121,'Students (Vertical)'!D:D&lt;&gt;"""");filter('Students (Vertical)'!D:D,'Students (Vertical)'!C:C=E121,'Students (Vertical)'!D:D&lt;&gt;"""")},{filter('Students (Vertical)'!D:D,'Students (Vertical)'!C:C=B121,'Students "&amp;"(Vertical)'!D:D&lt;&gt;"""");filter('Students (Vertical)'!D:D,'Students (Vertical)'!C:C=E121,'Students (Vertical)'!D:D&lt;&gt;"""")})&gt;1))),"""")"),"Science 8, Algebra, English 8, Sociales 8, Spanish 8, PE 8")</f>
        <v>Science 8, Algebra, English 8, Sociales 8, Spanish 8, PE 8</v>
      </c>
      <c r="L121" s="96"/>
      <c r="M121" s="96"/>
    </row>
    <row r="122" hidden="1">
      <c r="A122" s="8">
        <v>121.0</v>
      </c>
      <c r="B122" s="12" t="s">
        <v>289</v>
      </c>
      <c r="C122" s="8">
        <v>29161.0</v>
      </c>
      <c r="D122" s="8">
        <v>8.0</v>
      </c>
      <c r="E122" s="12" t="s">
        <v>290</v>
      </c>
      <c r="F122" s="8">
        <v>29011.0</v>
      </c>
      <c r="G122" s="8">
        <v>8.0</v>
      </c>
      <c r="H122" s="12" t="s">
        <v>214</v>
      </c>
      <c r="I122" s="94" t="str">
        <f>IFERROR(__xludf.DUMMYFUNCTION("if(H122=""Must be Together"",iferror(join("", "",unique(filter({filter('Students (Vertical)'!O:O,'Students (Vertical)'!C:C=B122,'Students (Vertical)'!O:O&lt;&gt;"""");filter('Students (Vertical)'!O:O,'Students (Vertical)'!C:C=E122,'Students (Vertical)'!O:O&lt;&gt;"""&amp;""")},countifs({filter('Students (Vertical)'!O:O,'Students (Vertical)'!C:C=B122,'Students (Vertical)'!O:O&lt;&gt;"""");filter('Students (Vertical)'!O:O,'Students (Vertical)'!C:C=E122,'Students (Vertical)'!O:O&lt;&gt;"""")},{filter('Students (Vertical)'!O:O,'Students ("&amp;"Vertical)'!C:C=B122,'Students (Vertical)'!O:O&lt;&gt;"""");filter('Students (Vertical)'!O:O,'Students (Vertical)'!C:C=E122,'Students (Vertical)'!O:O&lt;&gt;"""")})&gt;1))),""No shared courses""),"""")"),"Science 8-4, Algebra-5, English 8-1, Sociales 8-3, Spanish 8-2, PE 8-6a, Band 8S1-6b, Band 8S2-6b")</f>
        <v>Science 8-4, Algebra-5, English 8-1, Sociales 8-3, Spanish 8-2, PE 8-6a, Band 8S1-6b, Band 8S2-6b</v>
      </c>
      <c r="J122" s="94" t="str">
        <f>IFERROR(__xludf.DUMMYFUNCTION("if(H122=""Can't be Together"",iferror(join("", "",unique(filter({unique(filter('Students (Vertical)'!O:O,'Students (Vertical)'!C:C=B122,'Students (Vertical)'!O:O&lt;&gt;"""",'Students (Vertical)'!P:P&gt;1));unique(filter('Students (Vertical)'!O:O,'Students (Vertic"&amp;"al)'!C:C=E122,'Students (Vertical)'!O:O&lt;&gt;"""",'Students (Vertical)'!P:P&gt;1))},countifs({unique(filter('Students (Vertical)'!O:O,'Students (Vertical)'!C:C=B122,'Students (Vertical)'!O:O&lt;&gt;"""",'Students (Vertical)'!P:P&gt;1));unique(filter('Students (Vertical)'"&amp;"!O:O,'Students (Vertical)'!C:C=E122,'Students (Vertical)'!O:O&lt;&gt;"""",'Students (Vertical)'!P:P&gt;1))},{unique(filter('Students (Vertical)'!O:O,'Students (Vertical)'!C:C=B122,'Students (Vertical)'!O:O&lt;&gt;"""",'Students (Vertical)'!P:P&gt;1));unique(filter('Student"&amp;"s (Vertical)'!O:O,'Students (Vertical)'!C:C=E122,'Students (Vertical)'!O:O&lt;&gt;"""",'Students (Vertical)'!P:P&gt;1))})&gt;1))),""""),"""")"),"")</f>
        <v/>
      </c>
      <c r="K122" s="96" t="str">
        <f>IFERROR(__xludf.DUMMYFUNCTION("iferror(join("", "",unique(filter({filter('Students (Vertical)'!D:D,'Students (Vertical)'!C:C=B122,'Students (Vertical)'!D:D&lt;&gt;"""");filter('Students (Vertical)'!D:D,'Students (Vertical)'!C:C=E122,'Students (Vertical)'!D:D&lt;&gt;"""")},countifs({filter('Student"&amp;"s (Vertical)'!D:D,'Students (Vertical)'!C:C=B122,'Students (Vertical)'!D:D&lt;&gt;"""");filter('Students (Vertical)'!D:D,'Students (Vertical)'!C:C=E122,'Students (Vertical)'!D:D&lt;&gt;"""")},{filter('Students (Vertical)'!D:D,'Students (Vertical)'!C:C=B122,'Students "&amp;"(Vertical)'!D:D&lt;&gt;"""");filter('Students (Vertical)'!D:D,'Students (Vertical)'!C:C=E122,'Students (Vertical)'!D:D&lt;&gt;"""")})&gt;1))),"""")"),"Science 8, Algebra, English 8, Sociales 8, Spanish 8, PE 8, Band 8S1, Band 8S2")</f>
        <v>Science 8, Algebra, English 8, Sociales 8, Spanish 8, PE 8, Band 8S1, Band 8S2</v>
      </c>
      <c r="L122" s="96"/>
      <c r="M122" s="96"/>
    </row>
    <row r="123" hidden="1">
      <c r="A123" s="8">
        <v>122.0</v>
      </c>
      <c r="B123" s="12" t="s">
        <v>291</v>
      </c>
      <c r="C123" s="8">
        <v>29153.0</v>
      </c>
      <c r="D123" s="8">
        <v>8.0</v>
      </c>
      <c r="E123" s="12" t="s">
        <v>292</v>
      </c>
      <c r="F123" s="8">
        <v>29108.0</v>
      </c>
      <c r="G123" s="8">
        <v>8.0</v>
      </c>
      <c r="H123" s="12" t="s">
        <v>214</v>
      </c>
      <c r="I123" s="94" t="str">
        <f>IFERROR(__xludf.DUMMYFUNCTION("if(H123=""Must be Together"",iferror(join("", "",unique(filter({filter('Students (Vertical)'!O:O,'Students (Vertical)'!C:C=B123,'Students (Vertical)'!O:O&lt;&gt;"""");filter('Students (Vertical)'!O:O,'Students (Vertical)'!C:C=E123,'Students (Vertical)'!O:O&lt;&gt;"""&amp;""")},countifs({filter('Students (Vertical)'!O:O,'Students (Vertical)'!C:C=B123,'Students (Vertical)'!O:O&lt;&gt;"""");filter('Students (Vertical)'!O:O,'Students (Vertical)'!C:C=E123,'Students (Vertical)'!O:O&lt;&gt;"""")},{filter('Students (Vertical)'!O:O,'Students ("&amp;"Vertical)'!C:C=B123,'Students (Vertical)'!O:O&lt;&gt;"""");filter('Students (Vertical)'!O:O,'Students (Vertical)'!C:C=E123,'Students (Vertical)'!O:O&lt;&gt;"""")})&gt;1))),""No shared courses""),"""")"),"No shared courses")</f>
        <v>No shared courses</v>
      </c>
      <c r="J123" s="94" t="str">
        <f>IFERROR(__xludf.DUMMYFUNCTION("if(H123=""Can't be Together"",iferror(join("", "",unique(filter({unique(filter('Students (Vertical)'!O:O,'Students (Vertical)'!C:C=B123,'Students (Vertical)'!O:O&lt;&gt;"""",'Students (Vertical)'!P:P&gt;1));unique(filter('Students (Vertical)'!O:O,'Students (Vertic"&amp;"al)'!C:C=E123,'Students (Vertical)'!O:O&lt;&gt;"""",'Students (Vertical)'!P:P&gt;1))},countifs({unique(filter('Students (Vertical)'!O:O,'Students (Vertical)'!C:C=B123,'Students (Vertical)'!O:O&lt;&gt;"""",'Students (Vertical)'!P:P&gt;1));unique(filter('Students (Vertical)'"&amp;"!O:O,'Students (Vertical)'!C:C=E123,'Students (Vertical)'!O:O&lt;&gt;"""",'Students (Vertical)'!P:P&gt;1))},{unique(filter('Students (Vertical)'!O:O,'Students (Vertical)'!C:C=B123,'Students (Vertical)'!O:O&lt;&gt;"""",'Students (Vertical)'!P:P&gt;1));unique(filter('Student"&amp;"s (Vertical)'!O:O,'Students (Vertical)'!C:C=E123,'Students (Vertical)'!O:O&lt;&gt;"""",'Students (Vertical)'!P:P&gt;1))})&gt;1))),""""),"""")"),"")</f>
        <v/>
      </c>
      <c r="K123" s="96" t="str">
        <f>IFERROR(__xludf.DUMMYFUNCTION("iferror(join("", "",unique(filter({filter('Students (Vertical)'!D:D,'Students (Vertical)'!C:C=B123,'Students (Vertical)'!D:D&lt;&gt;"""");filter('Students (Vertical)'!D:D,'Students (Vertical)'!C:C=E123,'Students (Vertical)'!D:D&lt;&gt;"""")},countifs({filter('Student"&amp;"s (Vertical)'!D:D,'Students (Vertical)'!C:C=B123,'Students (Vertical)'!D:D&lt;&gt;"""");filter('Students (Vertical)'!D:D,'Students (Vertical)'!C:C=E123,'Students (Vertical)'!D:D&lt;&gt;"""")},{filter('Students (Vertical)'!D:D,'Students (Vertical)'!C:C=B123,'Students "&amp;"(Vertical)'!D:D&lt;&gt;"""");filter('Students (Vertical)'!D:D,'Students (Vertical)'!C:C=E123,'Students (Vertical)'!D:D&lt;&gt;"""")})&gt;1))),"""")"),"English 8, PE 8, Tech 8S1, Art 8S2")</f>
        <v>English 8, PE 8, Tech 8S1, Art 8S2</v>
      </c>
      <c r="L123" s="96"/>
      <c r="M123" s="96"/>
    </row>
    <row r="124">
      <c r="A124" s="8">
        <v>123.0</v>
      </c>
      <c r="B124" s="12" t="s">
        <v>293</v>
      </c>
      <c r="C124" s="8">
        <v>29157.0</v>
      </c>
      <c r="D124" s="8">
        <v>8.0</v>
      </c>
      <c r="E124" s="12" t="s">
        <v>294</v>
      </c>
      <c r="F124" s="8">
        <v>29103.0</v>
      </c>
      <c r="G124" s="8">
        <v>8.0</v>
      </c>
      <c r="H124" s="12" t="s">
        <v>212</v>
      </c>
      <c r="I124" s="94" t="str">
        <f>IFERROR(__xludf.DUMMYFUNCTION("if(H124=""Must be Together"",iferror(join("", "",unique(filter({filter('Students (Vertical)'!O:O,'Students (Vertical)'!C:C=B124,'Students (Vertical)'!O:O&lt;&gt;"""");filter('Students (Vertical)'!O:O,'Students (Vertical)'!C:C=E124,'Students (Vertical)'!O:O&lt;&gt;"""&amp;""")},countifs({filter('Students (Vertical)'!O:O,'Students (Vertical)'!C:C=B124,'Students (Vertical)'!O:O&lt;&gt;"""");filter('Students (Vertical)'!O:O,'Students (Vertical)'!C:C=E124,'Students (Vertical)'!O:O&lt;&gt;"""")},{filter('Students (Vertical)'!O:O,'Students ("&amp;"Vertical)'!C:C=B124,'Students (Vertical)'!O:O&lt;&gt;"""");filter('Students (Vertical)'!O:O,'Students (Vertical)'!C:C=E124,'Students (Vertical)'!O:O&lt;&gt;"""")})&gt;1))),""No shared courses""),"""")"),"")</f>
        <v/>
      </c>
      <c r="J124" s="94" t="str">
        <f>IFERROR(__xludf.DUMMYFUNCTION("if(H124=""Can't be Together"",iferror(join("", "",unique(filter({unique(filter('Students (Vertical)'!O:O,'Students (Vertical)'!C:C=B124,'Students (Vertical)'!O:O&lt;&gt;"""",'Students (Vertical)'!P:P&gt;1));unique(filter('Students (Vertical)'!O:O,'Students (Vertic"&amp;"al)'!C:C=E124,'Students (Vertical)'!O:O&lt;&gt;"""",'Students (Vertical)'!P:P&gt;1))},countifs({unique(filter('Students (Vertical)'!O:O,'Students (Vertical)'!C:C=B124,'Students (Vertical)'!O:O&lt;&gt;"""",'Students (Vertical)'!P:P&gt;1));unique(filter('Students (Vertical)'"&amp;"!O:O,'Students (Vertical)'!C:C=E124,'Students (Vertical)'!O:O&lt;&gt;"""",'Students (Vertical)'!P:P&gt;1))},{unique(filter('Students (Vertical)'!O:O,'Students (Vertical)'!C:C=B124,'Students (Vertical)'!O:O&lt;&gt;"""",'Students (Vertical)'!P:P&gt;1));unique(filter('Student"&amp;"s (Vertical)'!O:O,'Students (Vertical)'!C:C=E124,'Students (Vertical)'!O:O&lt;&gt;"""",'Students (Vertical)'!P:P&gt;1))})&gt;1))),""""),"""")"),"")</f>
        <v/>
      </c>
      <c r="K124" s="96" t="str">
        <f>IFERROR(__xludf.DUMMYFUNCTION("iferror(join("", "",unique(filter({filter('Students (Vertical)'!D:D,'Students (Vertical)'!C:C=B124,'Students (Vertical)'!D:D&lt;&gt;"""");filter('Students (Vertical)'!D:D,'Students (Vertical)'!C:C=E124,'Students (Vertical)'!D:D&lt;&gt;"""")},countifs({filter('Student"&amp;"s (Vertical)'!D:D,'Students (Vertical)'!C:C=B124,'Students (Vertical)'!D:D&lt;&gt;"""");filter('Students (Vertical)'!D:D,'Students (Vertical)'!C:C=E124,'Students (Vertical)'!D:D&lt;&gt;"""")},{filter('Students (Vertical)'!D:D,'Students (Vertical)'!C:C=B124,'Students "&amp;"(Vertical)'!D:D&lt;&gt;"""");filter('Students (Vertical)'!D:D,'Students (Vertical)'!C:C=E124,'Students (Vertical)'!D:D&lt;&gt;"""")})&gt;1))),"""")"),"Science 8, English 8, Sociales 8, Spanish 8, PE 8")</f>
        <v>Science 8, English 8, Sociales 8, Spanish 8, PE 8</v>
      </c>
      <c r="L124" s="96"/>
      <c r="M124" s="96"/>
    </row>
    <row r="125">
      <c r="A125" s="8">
        <v>124.0</v>
      </c>
      <c r="B125" s="12" t="s">
        <v>293</v>
      </c>
      <c r="C125" s="8">
        <v>29157.0</v>
      </c>
      <c r="D125" s="8">
        <v>8.0</v>
      </c>
      <c r="E125" s="12" t="s">
        <v>262</v>
      </c>
      <c r="F125" s="8">
        <v>29122.0</v>
      </c>
      <c r="G125" s="8">
        <v>8.0</v>
      </c>
      <c r="H125" s="12" t="s">
        <v>212</v>
      </c>
      <c r="I125" s="94" t="str">
        <f>IFERROR(__xludf.DUMMYFUNCTION("if(H125=""Must be Together"",iferror(join("", "",unique(filter({filter('Students (Vertical)'!O:O,'Students (Vertical)'!C:C=B125,'Students (Vertical)'!O:O&lt;&gt;"""");filter('Students (Vertical)'!O:O,'Students (Vertical)'!C:C=E125,'Students (Vertical)'!O:O&lt;&gt;"""&amp;""")},countifs({filter('Students (Vertical)'!O:O,'Students (Vertical)'!C:C=B125,'Students (Vertical)'!O:O&lt;&gt;"""");filter('Students (Vertical)'!O:O,'Students (Vertical)'!C:C=E125,'Students (Vertical)'!O:O&lt;&gt;"""")},{filter('Students (Vertical)'!O:O,'Students ("&amp;"Vertical)'!C:C=B125,'Students (Vertical)'!O:O&lt;&gt;"""");filter('Students (Vertical)'!O:O,'Students (Vertical)'!C:C=E125,'Students (Vertical)'!O:O&lt;&gt;"""")})&gt;1))),""No shared courses""),"""")"),"")</f>
        <v/>
      </c>
      <c r="J125" s="94" t="str">
        <f>IFERROR(__xludf.DUMMYFUNCTION("if(H125=""Can't be Together"",iferror(join("", "",unique(filter({unique(filter('Students (Vertical)'!O:O,'Students (Vertical)'!C:C=B125,'Students (Vertical)'!O:O&lt;&gt;"""",'Students (Vertical)'!P:P&gt;1));unique(filter('Students (Vertical)'!O:O,'Students (Vertic"&amp;"al)'!C:C=E125,'Students (Vertical)'!O:O&lt;&gt;"""",'Students (Vertical)'!P:P&gt;1))},countifs({unique(filter('Students (Vertical)'!O:O,'Students (Vertical)'!C:C=B125,'Students (Vertical)'!O:O&lt;&gt;"""",'Students (Vertical)'!P:P&gt;1));unique(filter('Students (Vertical)'"&amp;"!O:O,'Students (Vertical)'!C:C=E125,'Students (Vertical)'!O:O&lt;&gt;"""",'Students (Vertical)'!P:P&gt;1))},{unique(filter('Students (Vertical)'!O:O,'Students (Vertical)'!C:C=B125,'Students (Vertical)'!O:O&lt;&gt;"""",'Students (Vertical)'!P:P&gt;1));unique(filter('Student"&amp;"s (Vertical)'!O:O,'Students (Vertical)'!C:C=E125,'Students (Vertical)'!O:O&lt;&gt;"""",'Students (Vertical)'!P:P&gt;1))})&gt;1))),""""),"""")"),"")</f>
        <v/>
      </c>
      <c r="K125" s="96" t="str">
        <f>IFERROR(__xludf.DUMMYFUNCTION("iferror(join("", "",unique(filter({filter('Students (Vertical)'!D:D,'Students (Vertical)'!C:C=B125,'Students (Vertical)'!D:D&lt;&gt;"""");filter('Students (Vertical)'!D:D,'Students (Vertical)'!C:C=E125,'Students (Vertical)'!D:D&lt;&gt;"""")},countifs({filter('Student"&amp;"s (Vertical)'!D:D,'Students (Vertical)'!C:C=B125,'Students (Vertical)'!D:D&lt;&gt;"""");filter('Students (Vertical)'!D:D,'Students (Vertical)'!C:C=E125,'Students (Vertical)'!D:D&lt;&gt;"""")},{filter('Students (Vertical)'!D:D,'Students (Vertical)'!C:C=B125,'Students "&amp;"(Vertical)'!D:D&lt;&gt;"""");filter('Students (Vertical)'!D:D,'Students (Vertical)'!C:C=E125,'Students (Vertical)'!D:D&lt;&gt;"""")})&gt;1))),"""")"),"Science 8, English 8, Sociales 8, Spanish 8, PE 8, Tech 8S1, Art 8S2")</f>
        <v>Science 8, English 8, Sociales 8, Spanish 8, PE 8, Tech 8S1, Art 8S2</v>
      </c>
      <c r="L125" s="96"/>
      <c r="M125" s="96"/>
    </row>
    <row r="126" hidden="1">
      <c r="A126" s="8">
        <v>125.0</v>
      </c>
      <c r="B126" s="12" t="s">
        <v>295</v>
      </c>
      <c r="C126" s="8">
        <v>29128.0</v>
      </c>
      <c r="D126" s="8">
        <v>8.0</v>
      </c>
      <c r="E126" s="12" t="s">
        <v>296</v>
      </c>
      <c r="F126" s="8">
        <v>29096.0</v>
      </c>
      <c r="G126" s="8">
        <v>8.0</v>
      </c>
      <c r="H126" s="12" t="s">
        <v>214</v>
      </c>
      <c r="I126" s="94" t="str">
        <f>IFERROR(__xludf.DUMMYFUNCTION("if(H126=""Must be Together"",iferror(join("", "",unique(filter({filter('Students (Vertical)'!O:O,'Students (Vertical)'!C:C=B126,'Students (Vertical)'!O:O&lt;&gt;"""");filter('Students (Vertical)'!O:O,'Students (Vertical)'!C:C=E126,'Students (Vertical)'!O:O&lt;&gt;"""&amp;""")},countifs({filter('Students (Vertical)'!O:O,'Students (Vertical)'!C:C=B126,'Students (Vertical)'!O:O&lt;&gt;"""");filter('Students (Vertical)'!O:O,'Students (Vertical)'!C:C=E126,'Students (Vertical)'!O:O&lt;&gt;"""")},{filter('Students (Vertical)'!O:O,'Students ("&amp;"Vertical)'!C:C=B126,'Students (Vertical)'!O:O&lt;&gt;"""");filter('Students (Vertical)'!O:O,'Students (Vertical)'!C:C=E126,'Students (Vertical)'!O:O&lt;&gt;"""")})&gt;1))),""No shared courses""),"""")"),"English 8-1")</f>
        <v>English 8-1</v>
      </c>
      <c r="J126" s="94" t="str">
        <f>IFERROR(__xludf.DUMMYFUNCTION("if(H126=""Can't be Together"",iferror(join("", "",unique(filter({unique(filter('Students (Vertical)'!O:O,'Students (Vertical)'!C:C=B126,'Students (Vertical)'!O:O&lt;&gt;"""",'Students (Vertical)'!P:P&gt;1));unique(filter('Students (Vertical)'!O:O,'Students (Vertic"&amp;"al)'!C:C=E126,'Students (Vertical)'!O:O&lt;&gt;"""",'Students (Vertical)'!P:P&gt;1))},countifs({unique(filter('Students (Vertical)'!O:O,'Students (Vertical)'!C:C=B126,'Students (Vertical)'!O:O&lt;&gt;"""",'Students (Vertical)'!P:P&gt;1));unique(filter('Students (Vertical)'"&amp;"!O:O,'Students (Vertical)'!C:C=E126,'Students (Vertical)'!O:O&lt;&gt;"""",'Students (Vertical)'!P:P&gt;1))},{unique(filter('Students (Vertical)'!O:O,'Students (Vertical)'!C:C=B126,'Students (Vertical)'!O:O&lt;&gt;"""",'Students (Vertical)'!P:P&gt;1));unique(filter('Student"&amp;"s (Vertical)'!O:O,'Students (Vertical)'!C:C=E126,'Students (Vertical)'!O:O&lt;&gt;"""",'Students (Vertical)'!P:P&gt;1))})&gt;1))),""""),"""")"),"")</f>
        <v/>
      </c>
      <c r="K126" s="96" t="str">
        <f>IFERROR(__xludf.DUMMYFUNCTION("iferror(join("", "",unique(filter({filter('Students (Vertical)'!D:D,'Students (Vertical)'!C:C=B126,'Students (Vertical)'!D:D&lt;&gt;"""");filter('Students (Vertical)'!D:D,'Students (Vertical)'!C:C=E126,'Students (Vertical)'!D:D&lt;&gt;"""")},countifs({filter('Student"&amp;"s (Vertical)'!D:D,'Students (Vertical)'!C:C=B126,'Students (Vertical)'!D:D&lt;&gt;"""");filter('Students (Vertical)'!D:D,'Students (Vertical)'!C:C=E126,'Students (Vertical)'!D:D&lt;&gt;"""")},{filter('Students (Vertical)'!D:D,'Students (Vertical)'!C:C=B126,'Students "&amp;"(Vertical)'!D:D&lt;&gt;"""");filter('Students (Vertical)'!D:D,'Students (Vertical)'!C:C=E126,'Students (Vertical)'!D:D&lt;&gt;"""")})&gt;1))),"""")"),"English 8, PE 8, Band 8S1, Band 8S2")</f>
        <v>English 8, PE 8, Band 8S1, Band 8S2</v>
      </c>
      <c r="L126" s="96"/>
      <c r="M126" s="96"/>
    </row>
    <row r="127" hidden="1">
      <c r="A127" s="8">
        <v>126.0</v>
      </c>
      <c r="B127" s="12" t="s">
        <v>295</v>
      </c>
      <c r="C127" s="8">
        <v>29128.0</v>
      </c>
      <c r="D127" s="8">
        <v>8.0</v>
      </c>
      <c r="E127" s="12" t="s">
        <v>297</v>
      </c>
      <c r="F127" s="8">
        <v>29073.0</v>
      </c>
      <c r="G127" s="8">
        <v>8.0</v>
      </c>
      <c r="H127" s="12" t="s">
        <v>214</v>
      </c>
      <c r="I127" s="94" t="str">
        <f>IFERROR(__xludf.DUMMYFUNCTION("if(H127=""Must be Together"",iferror(join("", "",unique(filter({filter('Students (Vertical)'!O:O,'Students (Vertical)'!C:C=B127,'Students (Vertical)'!O:O&lt;&gt;"""");filter('Students (Vertical)'!O:O,'Students (Vertical)'!C:C=E127,'Students (Vertical)'!O:O&lt;&gt;"""&amp;""")},countifs({filter('Students (Vertical)'!O:O,'Students (Vertical)'!C:C=B127,'Students (Vertical)'!O:O&lt;&gt;"""");filter('Students (Vertical)'!O:O,'Students (Vertical)'!C:C=E127,'Students (Vertical)'!O:O&lt;&gt;"""")},{filter('Students (Vertical)'!O:O,'Students ("&amp;"Vertical)'!C:C=B127,'Students (Vertical)'!O:O&lt;&gt;"""");filter('Students (Vertical)'!O:O,'Students (Vertical)'!C:C=E127,'Students (Vertical)'!O:O&lt;&gt;"""")})&gt;1))),""No shared courses""),"""")"),"Science 8-4, English 8-1, Sociales 8-3, Spanish 8-2")</f>
        <v>Science 8-4, English 8-1, Sociales 8-3, Spanish 8-2</v>
      </c>
      <c r="J127" s="94" t="str">
        <f>IFERROR(__xludf.DUMMYFUNCTION("if(H127=""Can't be Together"",iferror(join("", "",unique(filter({unique(filter('Students (Vertical)'!O:O,'Students (Vertical)'!C:C=B127,'Students (Vertical)'!O:O&lt;&gt;"""",'Students (Vertical)'!P:P&gt;1));unique(filter('Students (Vertical)'!O:O,'Students (Vertic"&amp;"al)'!C:C=E127,'Students (Vertical)'!O:O&lt;&gt;"""",'Students (Vertical)'!P:P&gt;1))},countifs({unique(filter('Students (Vertical)'!O:O,'Students (Vertical)'!C:C=B127,'Students (Vertical)'!O:O&lt;&gt;"""",'Students (Vertical)'!P:P&gt;1));unique(filter('Students (Vertical)'"&amp;"!O:O,'Students (Vertical)'!C:C=E127,'Students (Vertical)'!O:O&lt;&gt;"""",'Students (Vertical)'!P:P&gt;1))},{unique(filter('Students (Vertical)'!O:O,'Students (Vertical)'!C:C=B127,'Students (Vertical)'!O:O&lt;&gt;"""",'Students (Vertical)'!P:P&gt;1));unique(filter('Student"&amp;"s (Vertical)'!O:O,'Students (Vertical)'!C:C=E127,'Students (Vertical)'!O:O&lt;&gt;"""",'Students (Vertical)'!P:P&gt;1))})&gt;1))),""""),"""")"),"")</f>
        <v/>
      </c>
      <c r="K127" s="96" t="str">
        <f>IFERROR(__xludf.DUMMYFUNCTION("iferror(join("", "",unique(filter({filter('Students (Vertical)'!D:D,'Students (Vertical)'!C:C=B127,'Students (Vertical)'!D:D&lt;&gt;"""");filter('Students (Vertical)'!D:D,'Students (Vertical)'!C:C=E127,'Students (Vertical)'!D:D&lt;&gt;"""")},countifs({filter('Student"&amp;"s (Vertical)'!D:D,'Students (Vertical)'!C:C=B127,'Students (Vertical)'!D:D&lt;&gt;"""");filter('Students (Vertical)'!D:D,'Students (Vertical)'!C:C=E127,'Students (Vertical)'!D:D&lt;&gt;"""")},{filter('Students (Vertical)'!D:D,'Students (Vertical)'!C:C=B127,'Students "&amp;"(Vertical)'!D:D&lt;&gt;"""");filter('Students (Vertical)'!D:D,'Students (Vertical)'!C:C=E127,'Students (Vertical)'!D:D&lt;&gt;"""")})&gt;1))),"""")"),"Science 8, English 8, Sociales 8, Spanish 8, PE 8, Band 8S1, Band 8S2")</f>
        <v>Science 8, English 8, Sociales 8, Spanish 8, PE 8, Band 8S1, Band 8S2</v>
      </c>
      <c r="L127" s="96"/>
      <c r="M127" s="96"/>
    </row>
    <row r="128" hidden="1">
      <c r="A128" s="8">
        <v>127.0</v>
      </c>
      <c r="B128" s="12" t="s">
        <v>295</v>
      </c>
      <c r="C128" s="8">
        <v>29128.0</v>
      </c>
      <c r="D128" s="8">
        <v>8.0</v>
      </c>
      <c r="E128" s="12" t="s">
        <v>298</v>
      </c>
      <c r="F128" s="8">
        <v>28144.0</v>
      </c>
      <c r="G128" s="8">
        <v>8.0</v>
      </c>
      <c r="H128" s="12" t="s">
        <v>214</v>
      </c>
      <c r="I128" s="94" t="str">
        <f>IFERROR(__xludf.DUMMYFUNCTION("if(H128=""Must be Together"",iferror(join("", "",unique(filter({filter('Students (Vertical)'!O:O,'Students (Vertical)'!C:C=B128,'Students (Vertical)'!O:O&lt;&gt;"""");filter('Students (Vertical)'!O:O,'Students (Vertical)'!C:C=E128,'Students (Vertical)'!O:O&lt;&gt;"""&amp;""")},countifs({filter('Students (Vertical)'!O:O,'Students (Vertical)'!C:C=B128,'Students (Vertical)'!O:O&lt;&gt;"""");filter('Students (Vertical)'!O:O,'Students (Vertical)'!C:C=E128,'Students (Vertical)'!O:O&lt;&gt;"""")},{filter('Students (Vertical)'!O:O,'Students ("&amp;"Vertical)'!C:C=B128,'Students (Vertical)'!O:O&lt;&gt;"""");filter('Students (Vertical)'!O:O,'Students (Vertical)'!C:C=E128,'Students (Vertical)'!O:O&lt;&gt;"""")})&gt;1))),""No shared courses""),"""")"),"Science 8-4, English 8-1, Sociales 8-3, Spanish 8-2")</f>
        <v>Science 8-4, English 8-1, Sociales 8-3, Spanish 8-2</v>
      </c>
      <c r="J128" s="94" t="str">
        <f>IFERROR(__xludf.DUMMYFUNCTION("if(H128=""Can't be Together"",iferror(join("", "",unique(filter({unique(filter('Students (Vertical)'!O:O,'Students (Vertical)'!C:C=B128,'Students (Vertical)'!O:O&lt;&gt;"""",'Students (Vertical)'!P:P&gt;1));unique(filter('Students (Vertical)'!O:O,'Students (Vertic"&amp;"al)'!C:C=E128,'Students (Vertical)'!O:O&lt;&gt;"""",'Students (Vertical)'!P:P&gt;1))},countifs({unique(filter('Students (Vertical)'!O:O,'Students (Vertical)'!C:C=B128,'Students (Vertical)'!O:O&lt;&gt;"""",'Students (Vertical)'!P:P&gt;1));unique(filter('Students (Vertical)'"&amp;"!O:O,'Students (Vertical)'!C:C=E128,'Students (Vertical)'!O:O&lt;&gt;"""",'Students (Vertical)'!P:P&gt;1))},{unique(filter('Students (Vertical)'!O:O,'Students (Vertical)'!C:C=B128,'Students (Vertical)'!O:O&lt;&gt;"""",'Students (Vertical)'!P:P&gt;1));unique(filter('Student"&amp;"s (Vertical)'!O:O,'Students (Vertical)'!C:C=E128,'Students (Vertical)'!O:O&lt;&gt;"""",'Students (Vertical)'!P:P&gt;1))})&gt;1))),""""),"""")"),"")</f>
        <v/>
      </c>
      <c r="K128" s="96" t="str">
        <f>IFERROR(__xludf.DUMMYFUNCTION("iferror(join("", "",unique(filter({filter('Students (Vertical)'!D:D,'Students (Vertical)'!C:C=B128,'Students (Vertical)'!D:D&lt;&gt;"""");filter('Students (Vertical)'!D:D,'Students (Vertical)'!C:C=E128,'Students (Vertical)'!D:D&lt;&gt;"""")},countifs({filter('Student"&amp;"s (Vertical)'!D:D,'Students (Vertical)'!C:C=B128,'Students (Vertical)'!D:D&lt;&gt;"""");filter('Students (Vertical)'!D:D,'Students (Vertical)'!C:C=E128,'Students (Vertical)'!D:D&lt;&gt;"""")},{filter('Students (Vertical)'!D:D,'Students (Vertical)'!C:C=B128,'Students "&amp;"(Vertical)'!D:D&lt;&gt;"""");filter('Students (Vertical)'!D:D,'Students (Vertical)'!C:C=E128,'Students (Vertical)'!D:D&lt;&gt;"""")})&gt;1))),"""")"),"Science 8, English 8, Sociales 8, Spanish 8, PE 8, Band 8S1, Band 8S2")</f>
        <v>Science 8, English 8, Sociales 8, Spanish 8, PE 8, Band 8S1, Band 8S2</v>
      </c>
      <c r="L128" s="96"/>
      <c r="M128" s="96"/>
    </row>
    <row r="129" hidden="1">
      <c r="A129" s="8">
        <v>128.0</v>
      </c>
      <c r="B129" s="12" t="s">
        <v>295</v>
      </c>
      <c r="C129" s="8">
        <v>29128.0</v>
      </c>
      <c r="D129" s="8">
        <v>8.0</v>
      </c>
      <c r="E129" s="12" t="s">
        <v>271</v>
      </c>
      <c r="F129" s="8">
        <v>29111.0</v>
      </c>
      <c r="G129" s="8">
        <v>8.0</v>
      </c>
      <c r="H129" s="12" t="s">
        <v>214</v>
      </c>
      <c r="I129" s="94" t="str">
        <f>IFERROR(__xludf.DUMMYFUNCTION("if(H129=""Must be Together"",iferror(join("", "",unique(filter({filter('Students (Vertical)'!O:O,'Students (Vertical)'!C:C=B129,'Students (Vertical)'!O:O&lt;&gt;"""");filter('Students (Vertical)'!O:O,'Students (Vertical)'!C:C=E129,'Students (Vertical)'!O:O&lt;&gt;"""&amp;""")},countifs({filter('Students (Vertical)'!O:O,'Students (Vertical)'!C:C=B129,'Students (Vertical)'!O:O&lt;&gt;"""");filter('Students (Vertical)'!O:O,'Students (Vertical)'!C:C=E129,'Students (Vertical)'!O:O&lt;&gt;"""")},{filter('Students (Vertical)'!O:O,'Students ("&amp;"Vertical)'!C:C=B129,'Students (Vertical)'!O:O&lt;&gt;"""");filter('Students (Vertical)'!O:O,'Students (Vertical)'!C:C=E129,'Students (Vertical)'!O:O&lt;&gt;"""")})&gt;1))),""No shared courses""),"""")"),"Science 8-4, Math 8-6, English 8-1, Sociales 8-3, Spanish 8-2")</f>
        <v>Science 8-4, Math 8-6, English 8-1, Sociales 8-3, Spanish 8-2</v>
      </c>
      <c r="J129" s="94" t="str">
        <f>IFERROR(__xludf.DUMMYFUNCTION("if(H129=""Can't be Together"",iferror(join("", "",unique(filter({unique(filter('Students (Vertical)'!O:O,'Students (Vertical)'!C:C=B129,'Students (Vertical)'!O:O&lt;&gt;"""",'Students (Vertical)'!P:P&gt;1));unique(filter('Students (Vertical)'!O:O,'Students (Vertic"&amp;"al)'!C:C=E129,'Students (Vertical)'!O:O&lt;&gt;"""",'Students (Vertical)'!P:P&gt;1))},countifs({unique(filter('Students (Vertical)'!O:O,'Students (Vertical)'!C:C=B129,'Students (Vertical)'!O:O&lt;&gt;"""",'Students (Vertical)'!P:P&gt;1));unique(filter('Students (Vertical)'"&amp;"!O:O,'Students (Vertical)'!C:C=E129,'Students (Vertical)'!O:O&lt;&gt;"""",'Students (Vertical)'!P:P&gt;1))},{unique(filter('Students (Vertical)'!O:O,'Students (Vertical)'!C:C=B129,'Students (Vertical)'!O:O&lt;&gt;"""",'Students (Vertical)'!P:P&gt;1));unique(filter('Student"&amp;"s (Vertical)'!O:O,'Students (Vertical)'!C:C=E129,'Students (Vertical)'!O:O&lt;&gt;"""",'Students (Vertical)'!P:P&gt;1))})&gt;1))),""""),"""")"),"")</f>
        <v/>
      </c>
      <c r="K129" s="96" t="str">
        <f>IFERROR(__xludf.DUMMYFUNCTION("iferror(join("", "",unique(filter({filter('Students (Vertical)'!D:D,'Students (Vertical)'!C:C=B129,'Students (Vertical)'!D:D&lt;&gt;"""");filter('Students (Vertical)'!D:D,'Students (Vertical)'!C:C=E129,'Students (Vertical)'!D:D&lt;&gt;"""")},countifs({filter('Student"&amp;"s (Vertical)'!D:D,'Students (Vertical)'!C:C=B129,'Students (Vertical)'!D:D&lt;&gt;"""");filter('Students (Vertical)'!D:D,'Students (Vertical)'!C:C=E129,'Students (Vertical)'!D:D&lt;&gt;"""")},{filter('Students (Vertical)'!D:D,'Students (Vertical)'!C:C=B129,'Students "&amp;"(Vertical)'!D:D&lt;&gt;"""");filter('Students (Vertical)'!D:D,'Students (Vertical)'!C:C=E129,'Students (Vertical)'!D:D&lt;&gt;"""")})&gt;1))),"""")"),"Science 8, Math 8, English 8, Sociales 8, Spanish 8, PE 8")</f>
        <v>Science 8, Math 8, English 8, Sociales 8, Spanish 8, PE 8</v>
      </c>
      <c r="L129" s="96"/>
      <c r="M129" s="96"/>
    </row>
    <row r="130" hidden="1">
      <c r="A130" s="8">
        <v>129.0</v>
      </c>
      <c r="B130" s="12" t="s">
        <v>295</v>
      </c>
      <c r="C130" s="8">
        <v>29128.0</v>
      </c>
      <c r="D130" s="8">
        <v>8.0</v>
      </c>
      <c r="E130" s="12" t="s">
        <v>289</v>
      </c>
      <c r="F130" s="8">
        <v>29161.0</v>
      </c>
      <c r="G130" s="8">
        <v>8.0</v>
      </c>
      <c r="H130" s="12" t="s">
        <v>214</v>
      </c>
      <c r="I130" s="94" t="str">
        <f>IFERROR(__xludf.DUMMYFUNCTION("if(H130=""Must be Together"",iferror(join("", "",unique(filter({filter('Students (Vertical)'!O:O,'Students (Vertical)'!C:C=B130,'Students (Vertical)'!O:O&lt;&gt;"""");filter('Students (Vertical)'!O:O,'Students (Vertical)'!C:C=E130,'Students (Vertical)'!O:O&lt;&gt;"""&amp;""")},countifs({filter('Students (Vertical)'!O:O,'Students (Vertical)'!C:C=B130,'Students (Vertical)'!O:O&lt;&gt;"""");filter('Students (Vertical)'!O:O,'Students (Vertical)'!C:C=E130,'Students (Vertical)'!O:O&lt;&gt;"""")},{filter('Students (Vertical)'!O:O,'Students ("&amp;"Vertical)'!C:C=B130,'Students (Vertical)'!O:O&lt;&gt;"""");filter('Students (Vertical)'!O:O,'Students (Vertical)'!C:C=E130,'Students (Vertical)'!O:O&lt;&gt;"""")})&gt;1))),""No shared courses""),"""")"),"Science 8-4, English 8-1, Sociales 8-3, Spanish 8-2")</f>
        <v>Science 8-4, English 8-1, Sociales 8-3, Spanish 8-2</v>
      </c>
      <c r="J130" s="94" t="str">
        <f>IFERROR(__xludf.DUMMYFUNCTION("if(H130=""Can't be Together"",iferror(join("", "",unique(filter({unique(filter('Students (Vertical)'!O:O,'Students (Vertical)'!C:C=B130,'Students (Vertical)'!O:O&lt;&gt;"""",'Students (Vertical)'!P:P&gt;1));unique(filter('Students (Vertical)'!O:O,'Students (Vertic"&amp;"al)'!C:C=E130,'Students (Vertical)'!O:O&lt;&gt;"""",'Students (Vertical)'!P:P&gt;1))},countifs({unique(filter('Students (Vertical)'!O:O,'Students (Vertical)'!C:C=B130,'Students (Vertical)'!O:O&lt;&gt;"""",'Students (Vertical)'!P:P&gt;1));unique(filter('Students (Vertical)'"&amp;"!O:O,'Students (Vertical)'!C:C=E130,'Students (Vertical)'!O:O&lt;&gt;"""",'Students (Vertical)'!P:P&gt;1))},{unique(filter('Students (Vertical)'!O:O,'Students (Vertical)'!C:C=B130,'Students (Vertical)'!O:O&lt;&gt;"""",'Students (Vertical)'!P:P&gt;1));unique(filter('Student"&amp;"s (Vertical)'!O:O,'Students (Vertical)'!C:C=E130,'Students (Vertical)'!O:O&lt;&gt;"""",'Students (Vertical)'!P:P&gt;1))})&gt;1))),""""),"""")"),"")</f>
        <v/>
      </c>
      <c r="K130" s="96" t="str">
        <f>IFERROR(__xludf.DUMMYFUNCTION("iferror(join("", "",unique(filter({filter('Students (Vertical)'!D:D,'Students (Vertical)'!C:C=B130,'Students (Vertical)'!D:D&lt;&gt;"""");filter('Students (Vertical)'!D:D,'Students (Vertical)'!C:C=E130,'Students (Vertical)'!D:D&lt;&gt;"""")},countifs({filter('Student"&amp;"s (Vertical)'!D:D,'Students (Vertical)'!C:C=B130,'Students (Vertical)'!D:D&lt;&gt;"""");filter('Students (Vertical)'!D:D,'Students (Vertical)'!C:C=E130,'Students (Vertical)'!D:D&lt;&gt;"""")},{filter('Students (Vertical)'!D:D,'Students (Vertical)'!C:C=B130,'Students "&amp;"(Vertical)'!D:D&lt;&gt;"""");filter('Students (Vertical)'!D:D,'Students (Vertical)'!C:C=E130,'Students (Vertical)'!D:D&lt;&gt;"""")})&gt;1))),"""")"),"Science 8, English 8, Sociales 8, Spanish 8, PE 8, Band 8S1, Band 8S2")</f>
        <v>Science 8, English 8, Sociales 8, Spanish 8, PE 8, Band 8S1, Band 8S2</v>
      </c>
      <c r="L130" s="96"/>
      <c r="M130" s="96"/>
    </row>
    <row r="131" hidden="1">
      <c r="A131" s="8" t="s">
        <v>8</v>
      </c>
      <c r="C131" s="8" t="s">
        <v>8</v>
      </c>
      <c r="D131" s="8" t="s">
        <v>8</v>
      </c>
      <c r="F131" s="8" t="s">
        <v>8</v>
      </c>
      <c r="G131" s="8" t="s">
        <v>8</v>
      </c>
      <c r="I131" s="94" t="str">
        <f>IFERROR(__xludf.DUMMYFUNCTION("if(H131=""Must be Together"",iferror(join("", "",unique(filter({filter('Students (Vertical)'!O:O,'Students (Vertical)'!C:C=B131,'Students (Vertical)'!O:O&lt;&gt;"""");filter('Students (Vertical)'!O:O,'Students (Vertical)'!C:C=E131,'Students (Vertical)'!O:O&lt;&gt;"""&amp;""")},countifs({filter('Students (Vertical)'!O:O,'Students (Vertical)'!C:C=B131,'Students (Vertical)'!O:O&lt;&gt;"""");filter('Students (Vertical)'!O:O,'Students (Vertical)'!C:C=E131,'Students (Vertical)'!O:O&lt;&gt;"""")},{filter('Students (Vertical)'!O:O,'Students ("&amp;"Vertical)'!C:C=B131,'Students (Vertical)'!O:O&lt;&gt;"""");filter('Students (Vertical)'!O:O,'Students (Vertical)'!C:C=E131,'Students (Vertical)'!O:O&lt;&gt;"""")})&gt;1))),""No shared courses""),"""")"),"")</f>
        <v/>
      </c>
      <c r="J131" s="94" t="str">
        <f>IFERROR(__xludf.DUMMYFUNCTION("if(H131=""Can't be Together"",iferror(join("", "",unique(filter({unique(filter('Students (Vertical)'!O:O,'Students (Vertical)'!C:C=B131,'Students (Vertical)'!O:O&lt;&gt;"""",'Students (Vertical)'!P:P&gt;1));unique(filter('Students (Vertical)'!O:O,'Students (Vertic"&amp;"al)'!C:C=E131,'Students (Vertical)'!O:O&lt;&gt;"""",'Students (Vertical)'!P:P&gt;1))},countifs({unique(filter('Students (Vertical)'!O:O,'Students (Vertical)'!C:C=B131,'Students (Vertical)'!O:O&lt;&gt;"""",'Students (Vertical)'!P:P&gt;1));unique(filter('Students (Vertical)'"&amp;"!O:O,'Students (Vertical)'!C:C=E131,'Students (Vertical)'!O:O&lt;&gt;"""",'Students (Vertical)'!P:P&gt;1))},{unique(filter('Students (Vertical)'!O:O,'Students (Vertical)'!C:C=B131,'Students (Vertical)'!O:O&lt;&gt;"""",'Students (Vertical)'!P:P&gt;1));unique(filter('Student"&amp;"s (Vertical)'!O:O,'Students (Vertical)'!C:C=E131,'Students (Vertical)'!O:O&lt;&gt;"""",'Students (Vertical)'!P:P&gt;1))})&gt;1))),""""),"""")"),"")</f>
        <v/>
      </c>
      <c r="K131" s="96" t="str">
        <f>IFERROR(__xludf.DUMMYFUNCTION("iferror(join("", "",unique(filter({filter('Students (Vertical)'!D:D,'Students (Vertical)'!C:C=B131,'Students (Vertical)'!D:D&lt;&gt;"""");filter('Students (Vertical)'!D:D,'Students (Vertical)'!C:C=E131,'Students (Vertical)'!D:D&lt;&gt;"""")},countifs({filter('Student"&amp;"s (Vertical)'!D:D,'Students (Vertical)'!C:C=B131,'Students (Vertical)'!D:D&lt;&gt;"""");filter('Students (Vertical)'!D:D,'Students (Vertical)'!C:C=E131,'Students (Vertical)'!D:D&lt;&gt;"""")},{filter('Students (Vertical)'!D:D,'Students (Vertical)'!C:C=B131,'Students "&amp;"(Vertical)'!D:D&lt;&gt;"""");filter('Students (Vertical)'!D:D,'Students (Vertical)'!C:C=E131,'Students (Vertical)'!D:D&lt;&gt;"""")})&gt;1))),"""")"),"")</f>
        <v/>
      </c>
      <c r="L131" s="96"/>
      <c r="M131" s="96"/>
    </row>
    <row r="132" hidden="1">
      <c r="A132" s="8" t="s">
        <v>8</v>
      </c>
      <c r="C132" s="8" t="s">
        <v>8</v>
      </c>
      <c r="D132" s="8" t="s">
        <v>8</v>
      </c>
      <c r="F132" s="8" t="s">
        <v>8</v>
      </c>
      <c r="G132" s="8" t="s">
        <v>8</v>
      </c>
      <c r="I132" s="94" t="str">
        <f>IFERROR(__xludf.DUMMYFUNCTION("if(H132=""Must be Together"",iferror(join("", "",unique(filter({filter('Students (Vertical)'!O:O,'Students (Vertical)'!C:C=B132,'Students (Vertical)'!O:O&lt;&gt;"""");filter('Students (Vertical)'!O:O,'Students (Vertical)'!C:C=E132,'Students (Vertical)'!O:O&lt;&gt;"""&amp;""")},countifs({filter('Students (Vertical)'!O:O,'Students (Vertical)'!C:C=B132,'Students (Vertical)'!O:O&lt;&gt;"""");filter('Students (Vertical)'!O:O,'Students (Vertical)'!C:C=E132,'Students (Vertical)'!O:O&lt;&gt;"""")},{filter('Students (Vertical)'!O:O,'Students ("&amp;"Vertical)'!C:C=B132,'Students (Vertical)'!O:O&lt;&gt;"""");filter('Students (Vertical)'!O:O,'Students (Vertical)'!C:C=E132,'Students (Vertical)'!O:O&lt;&gt;"""")})&gt;1))),""No shared courses""),"""")"),"")</f>
        <v/>
      </c>
      <c r="J132" s="94" t="str">
        <f>IFERROR(__xludf.DUMMYFUNCTION("if(H132=""Can't be Together"",iferror(join("", "",unique(filter({unique(filter('Students (Vertical)'!O:O,'Students (Vertical)'!C:C=B132,'Students (Vertical)'!O:O&lt;&gt;"""",'Students (Vertical)'!P:P&gt;1));unique(filter('Students (Vertical)'!O:O,'Students (Vertic"&amp;"al)'!C:C=E132,'Students (Vertical)'!O:O&lt;&gt;"""",'Students (Vertical)'!P:P&gt;1))},countifs({unique(filter('Students (Vertical)'!O:O,'Students (Vertical)'!C:C=B132,'Students (Vertical)'!O:O&lt;&gt;"""",'Students (Vertical)'!P:P&gt;1));unique(filter('Students (Vertical)'"&amp;"!O:O,'Students (Vertical)'!C:C=E132,'Students (Vertical)'!O:O&lt;&gt;"""",'Students (Vertical)'!P:P&gt;1))},{unique(filter('Students (Vertical)'!O:O,'Students (Vertical)'!C:C=B132,'Students (Vertical)'!O:O&lt;&gt;"""",'Students (Vertical)'!P:P&gt;1));unique(filter('Student"&amp;"s (Vertical)'!O:O,'Students (Vertical)'!C:C=E132,'Students (Vertical)'!O:O&lt;&gt;"""",'Students (Vertical)'!P:P&gt;1))})&gt;1))),""""),"""")"),"")</f>
        <v/>
      </c>
      <c r="K132" s="96" t="str">
        <f>IFERROR(__xludf.DUMMYFUNCTION("iferror(join("", "",unique(filter({filter('Students (Vertical)'!D:D,'Students (Vertical)'!C:C=B132,'Students (Vertical)'!D:D&lt;&gt;"""");filter('Students (Vertical)'!D:D,'Students (Vertical)'!C:C=E132,'Students (Vertical)'!D:D&lt;&gt;"""")},countifs({filter('Student"&amp;"s (Vertical)'!D:D,'Students (Vertical)'!C:C=B132,'Students (Vertical)'!D:D&lt;&gt;"""");filter('Students (Vertical)'!D:D,'Students (Vertical)'!C:C=E132,'Students (Vertical)'!D:D&lt;&gt;"""")},{filter('Students (Vertical)'!D:D,'Students (Vertical)'!C:C=B132,'Students "&amp;"(Vertical)'!D:D&lt;&gt;"""");filter('Students (Vertical)'!D:D,'Students (Vertical)'!C:C=E132,'Students (Vertical)'!D:D&lt;&gt;"""")})&gt;1))),"""")"),"")</f>
        <v/>
      </c>
      <c r="L132" s="96"/>
      <c r="M132" s="96"/>
    </row>
    <row r="133" hidden="1">
      <c r="A133" s="8" t="s">
        <v>8</v>
      </c>
      <c r="C133" s="8" t="s">
        <v>8</v>
      </c>
      <c r="D133" s="8" t="s">
        <v>8</v>
      </c>
      <c r="F133" s="8" t="s">
        <v>8</v>
      </c>
      <c r="G133" s="8" t="s">
        <v>8</v>
      </c>
      <c r="I133" s="94" t="str">
        <f>IFERROR(__xludf.DUMMYFUNCTION("if(H133=""Must be Together"",iferror(join("", "",unique(filter({filter('Students (Vertical)'!O:O,'Students (Vertical)'!C:C=B133,'Students (Vertical)'!O:O&lt;&gt;"""");filter('Students (Vertical)'!O:O,'Students (Vertical)'!C:C=E133,'Students (Vertical)'!O:O&lt;&gt;"""&amp;""")},countifs({filter('Students (Vertical)'!O:O,'Students (Vertical)'!C:C=B133,'Students (Vertical)'!O:O&lt;&gt;"""");filter('Students (Vertical)'!O:O,'Students (Vertical)'!C:C=E133,'Students (Vertical)'!O:O&lt;&gt;"""")},{filter('Students (Vertical)'!O:O,'Students ("&amp;"Vertical)'!C:C=B133,'Students (Vertical)'!O:O&lt;&gt;"""");filter('Students (Vertical)'!O:O,'Students (Vertical)'!C:C=E133,'Students (Vertical)'!O:O&lt;&gt;"""")})&gt;1))),""No shared courses""),"""")"),"")</f>
        <v/>
      </c>
      <c r="J133" s="94" t="str">
        <f>IFERROR(__xludf.DUMMYFUNCTION("if(H133=""Can't be Together"",iferror(join("", "",unique(filter({unique(filter('Students (Vertical)'!O:O,'Students (Vertical)'!C:C=B133,'Students (Vertical)'!O:O&lt;&gt;"""",'Students (Vertical)'!P:P&gt;1));unique(filter('Students (Vertical)'!O:O,'Students (Vertic"&amp;"al)'!C:C=E133,'Students (Vertical)'!O:O&lt;&gt;"""",'Students (Vertical)'!P:P&gt;1))},countifs({unique(filter('Students (Vertical)'!O:O,'Students (Vertical)'!C:C=B133,'Students (Vertical)'!O:O&lt;&gt;"""",'Students (Vertical)'!P:P&gt;1));unique(filter('Students (Vertical)'"&amp;"!O:O,'Students (Vertical)'!C:C=E133,'Students (Vertical)'!O:O&lt;&gt;"""",'Students (Vertical)'!P:P&gt;1))},{unique(filter('Students (Vertical)'!O:O,'Students (Vertical)'!C:C=B133,'Students (Vertical)'!O:O&lt;&gt;"""",'Students (Vertical)'!P:P&gt;1));unique(filter('Student"&amp;"s (Vertical)'!O:O,'Students (Vertical)'!C:C=E133,'Students (Vertical)'!O:O&lt;&gt;"""",'Students (Vertical)'!P:P&gt;1))})&gt;1))),""""),"""")"),"")</f>
        <v/>
      </c>
      <c r="K133" s="96" t="str">
        <f>IFERROR(__xludf.DUMMYFUNCTION("iferror(join("", "",unique(filter({filter('Students (Vertical)'!D:D,'Students (Vertical)'!C:C=B133,'Students (Vertical)'!D:D&lt;&gt;"""");filter('Students (Vertical)'!D:D,'Students (Vertical)'!C:C=E133,'Students (Vertical)'!D:D&lt;&gt;"""")},countifs({filter('Student"&amp;"s (Vertical)'!D:D,'Students (Vertical)'!C:C=B133,'Students (Vertical)'!D:D&lt;&gt;"""");filter('Students (Vertical)'!D:D,'Students (Vertical)'!C:C=E133,'Students (Vertical)'!D:D&lt;&gt;"""")},{filter('Students (Vertical)'!D:D,'Students (Vertical)'!C:C=B133,'Students "&amp;"(Vertical)'!D:D&lt;&gt;"""");filter('Students (Vertical)'!D:D,'Students (Vertical)'!C:C=E133,'Students (Vertical)'!D:D&lt;&gt;"""")})&gt;1))),"""")"),"")</f>
        <v/>
      </c>
      <c r="L133" s="96"/>
      <c r="M133" s="96"/>
    </row>
    <row r="134" hidden="1">
      <c r="A134" s="8" t="s">
        <v>8</v>
      </c>
      <c r="C134" s="8" t="s">
        <v>8</v>
      </c>
      <c r="D134" s="8" t="s">
        <v>8</v>
      </c>
      <c r="F134" s="8" t="s">
        <v>8</v>
      </c>
      <c r="G134" s="8" t="s">
        <v>8</v>
      </c>
      <c r="I134" s="94" t="str">
        <f>IFERROR(__xludf.DUMMYFUNCTION("if(H134=""Must be Together"",iferror(join("", "",unique(filter({filter('Students (Vertical)'!O:O,'Students (Vertical)'!C:C=B134,'Students (Vertical)'!O:O&lt;&gt;"""");filter('Students (Vertical)'!O:O,'Students (Vertical)'!C:C=E134,'Students (Vertical)'!O:O&lt;&gt;"""&amp;""")},countifs({filter('Students (Vertical)'!O:O,'Students (Vertical)'!C:C=B134,'Students (Vertical)'!O:O&lt;&gt;"""");filter('Students (Vertical)'!O:O,'Students (Vertical)'!C:C=E134,'Students (Vertical)'!O:O&lt;&gt;"""")},{filter('Students (Vertical)'!O:O,'Students ("&amp;"Vertical)'!C:C=B134,'Students (Vertical)'!O:O&lt;&gt;"""");filter('Students (Vertical)'!O:O,'Students (Vertical)'!C:C=E134,'Students (Vertical)'!O:O&lt;&gt;"""")})&gt;1))),""No shared courses""),"""")"),"")</f>
        <v/>
      </c>
      <c r="J134" s="94" t="str">
        <f>IFERROR(__xludf.DUMMYFUNCTION("if(H134=""Can't be Together"",iferror(join("", "",unique(filter({unique(filter('Students (Vertical)'!O:O,'Students (Vertical)'!C:C=B134,'Students (Vertical)'!O:O&lt;&gt;"""",'Students (Vertical)'!P:P&gt;1));unique(filter('Students (Vertical)'!O:O,'Students (Vertic"&amp;"al)'!C:C=E134,'Students (Vertical)'!O:O&lt;&gt;"""",'Students (Vertical)'!P:P&gt;1))},countifs({unique(filter('Students (Vertical)'!O:O,'Students (Vertical)'!C:C=B134,'Students (Vertical)'!O:O&lt;&gt;"""",'Students (Vertical)'!P:P&gt;1));unique(filter('Students (Vertical)'"&amp;"!O:O,'Students (Vertical)'!C:C=E134,'Students (Vertical)'!O:O&lt;&gt;"""",'Students (Vertical)'!P:P&gt;1))},{unique(filter('Students (Vertical)'!O:O,'Students (Vertical)'!C:C=B134,'Students (Vertical)'!O:O&lt;&gt;"""",'Students (Vertical)'!P:P&gt;1));unique(filter('Student"&amp;"s (Vertical)'!O:O,'Students (Vertical)'!C:C=E134,'Students (Vertical)'!O:O&lt;&gt;"""",'Students (Vertical)'!P:P&gt;1))})&gt;1))),""""),"""")"),"")</f>
        <v/>
      </c>
      <c r="K134" s="96" t="str">
        <f>IFERROR(__xludf.DUMMYFUNCTION("iferror(join("", "",unique(filter({filter('Students (Vertical)'!D:D,'Students (Vertical)'!C:C=B134,'Students (Vertical)'!D:D&lt;&gt;"""");filter('Students (Vertical)'!D:D,'Students (Vertical)'!C:C=E134,'Students (Vertical)'!D:D&lt;&gt;"""")},countifs({filter('Student"&amp;"s (Vertical)'!D:D,'Students (Vertical)'!C:C=B134,'Students (Vertical)'!D:D&lt;&gt;"""");filter('Students (Vertical)'!D:D,'Students (Vertical)'!C:C=E134,'Students (Vertical)'!D:D&lt;&gt;"""")},{filter('Students (Vertical)'!D:D,'Students (Vertical)'!C:C=B134,'Students "&amp;"(Vertical)'!D:D&lt;&gt;"""");filter('Students (Vertical)'!D:D,'Students (Vertical)'!C:C=E134,'Students (Vertical)'!D:D&lt;&gt;"""")})&gt;1))),"""")"),"")</f>
        <v/>
      </c>
      <c r="L134" s="96"/>
      <c r="M134" s="96"/>
    </row>
    <row r="135" hidden="1">
      <c r="A135" s="8" t="s">
        <v>8</v>
      </c>
      <c r="C135" s="8" t="s">
        <v>8</v>
      </c>
      <c r="D135" s="8" t="s">
        <v>8</v>
      </c>
      <c r="F135" s="8" t="s">
        <v>8</v>
      </c>
      <c r="G135" s="8" t="s">
        <v>8</v>
      </c>
      <c r="I135" s="94" t="str">
        <f>IFERROR(__xludf.DUMMYFUNCTION("if(H135=""Must be Together"",iferror(join("", "",unique(filter({filter('Students (Vertical)'!O:O,'Students (Vertical)'!C:C=B135,'Students (Vertical)'!O:O&lt;&gt;"""");filter('Students (Vertical)'!O:O,'Students (Vertical)'!C:C=E135,'Students (Vertical)'!O:O&lt;&gt;"""&amp;""")},countifs({filter('Students (Vertical)'!O:O,'Students (Vertical)'!C:C=B135,'Students (Vertical)'!O:O&lt;&gt;"""");filter('Students (Vertical)'!O:O,'Students (Vertical)'!C:C=E135,'Students (Vertical)'!O:O&lt;&gt;"""")},{filter('Students (Vertical)'!O:O,'Students ("&amp;"Vertical)'!C:C=B135,'Students (Vertical)'!O:O&lt;&gt;"""");filter('Students (Vertical)'!O:O,'Students (Vertical)'!C:C=E135,'Students (Vertical)'!O:O&lt;&gt;"""")})&gt;1))),""No shared courses""),"""")"),"")</f>
        <v/>
      </c>
      <c r="J135" s="94" t="str">
        <f>IFERROR(__xludf.DUMMYFUNCTION("if(H135=""Can't be Together"",iferror(join("", "",unique(filter({unique(filter('Students (Vertical)'!O:O,'Students (Vertical)'!C:C=B135,'Students (Vertical)'!O:O&lt;&gt;"""",'Students (Vertical)'!P:P&gt;1));unique(filter('Students (Vertical)'!O:O,'Students (Vertic"&amp;"al)'!C:C=E135,'Students (Vertical)'!O:O&lt;&gt;"""",'Students (Vertical)'!P:P&gt;1))},countifs({unique(filter('Students (Vertical)'!O:O,'Students (Vertical)'!C:C=B135,'Students (Vertical)'!O:O&lt;&gt;"""",'Students (Vertical)'!P:P&gt;1));unique(filter('Students (Vertical)'"&amp;"!O:O,'Students (Vertical)'!C:C=E135,'Students (Vertical)'!O:O&lt;&gt;"""",'Students (Vertical)'!P:P&gt;1))},{unique(filter('Students (Vertical)'!O:O,'Students (Vertical)'!C:C=B135,'Students (Vertical)'!O:O&lt;&gt;"""",'Students (Vertical)'!P:P&gt;1));unique(filter('Student"&amp;"s (Vertical)'!O:O,'Students (Vertical)'!C:C=E135,'Students (Vertical)'!O:O&lt;&gt;"""",'Students (Vertical)'!P:P&gt;1))})&gt;1))),""""),"""")"),"")</f>
        <v/>
      </c>
      <c r="K135" s="96" t="str">
        <f>IFERROR(__xludf.DUMMYFUNCTION("iferror(join("", "",unique(filter({filter('Students (Vertical)'!D:D,'Students (Vertical)'!C:C=B135,'Students (Vertical)'!D:D&lt;&gt;"""");filter('Students (Vertical)'!D:D,'Students (Vertical)'!C:C=E135,'Students (Vertical)'!D:D&lt;&gt;"""")},countifs({filter('Student"&amp;"s (Vertical)'!D:D,'Students (Vertical)'!C:C=B135,'Students (Vertical)'!D:D&lt;&gt;"""");filter('Students (Vertical)'!D:D,'Students (Vertical)'!C:C=E135,'Students (Vertical)'!D:D&lt;&gt;"""")},{filter('Students (Vertical)'!D:D,'Students (Vertical)'!C:C=B135,'Students "&amp;"(Vertical)'!D:D&lt;&gt;"""");filter('Students (Vertical)'!D:D,'Students (Vertical)'!C:C=E135,'Students (Vertical)'!D:D&lt;&gt;"""")})&gt;1))),"""")"),"")</f>
        <v/>
      </c>
      <c r="L135" s="96"/>
      <c r="M135" s="96"/>
    </row>
    <row r="136" hidden="1">
      <c r="A136" s="8" t="s">
        <v>8</v>
      </c>
      <c r="C136" s="8" t="s">
        <v>8</v>
      </c>
      <c r="D136" s="8" t="s">
        <v>8</v>
      </c>
      <c r="F136" s="8" t="s">
        <v>8</v>
      </c>
      <c r="G136" s="8" t="s">
        <v>8</v>
      </c>
      <c r="I136" s="94" t="str">
        <f>IFERROR(__xludf.DUMMYFUNCTION("if(H136=""Must be Together"",iferror(join("", "",unique(filter({filter('Students (Vertical)'!O:O,'Students (Vertical)'!C:C=B136,'Students (Vertical)'!O:O&lt;&gt;"""");filter('Students (Vertical)'!O:O,'Students (Vertical)'!C:C=E136,'Students (Vertical)'!O:O&lt;&gt;"""&amp;""")},countifs({filter('Students (Vertical)'!O:O,'Students (Vertical)'!C:C=B136,'Students (Vertical)'!O:O&lt;&gt;"""");filter('Students (Vertical)'!O:O,'Students (Vertical)'!C:C=E136,'Students (Vertical)'!O:O&lt;&gt;"""")},{filter('Students (Vertical)'!O:O,'Students ("&amp;"Vertical)'!C:C=B136,'Students (Vertical)'!O:O&lt;&gt;"""");filter('Students (Vertical)'!O:O,'Students (Vertical)'!C:C=E136,'Students (Vertical)'!O:O&lt;&gt;"""")})&gt;1))),""No shared courses""),"""")"),"")</f>
        <v/>
      </c>
      <c r="J136" s="94" t="str">
        <f>IFERROR(__xludf.DUMMYFUNCTION("if(H136=""Can't be Together"",iferror(join("", "",unique(filter({unique(filter('Students (Vertical)'!O:O,'Students (Vertical)'!C:C=B136,'Students (Vertical)'!O:O&lt;&gt;"""",'Students (Vertical)'!P:P&gt;1));unique(filter('Students (Vertical)'!O:O,'Students (Vertic"&amp;"al)'!C:C=E136,'Students (Vertical)'!O:O&lt;&gt;"""",'Students (Vertical)'!P:P&gt;1))},countifs({unique(filter('Students (Vertical)'!O:O,'Students (Vertical)'!C:C=B136,'Students (Vertical)'!O:O&lt;&gt;"""",'Students (Vertical)'!P:P&gt;1));unique(filter('Students (Vertical)'"&amp;"!O:O,'Students (Vertical)'!C:C=E136,'Students (Vertical)'!O:O&lt;&gt;"""",'Students (Vertical)'!P:P&gt;1))},{unique(filter('Students (Vertical)'!O:O,'Students (Vertical)'!C:C=B136,'Students (Vertical)'!O:O&lt;&gt;"""",'Students (Vertical)'!P:P&gt;1));unique(filter('Student"&amp;"s (Vertical)'!O:O,'Students (Vertical)'!C:C=E136,'Students (Vertical)'!O:O&lt;&gt;"""",'Students (Vertical)'!P:P&gt;1))})&gt;1))),""""),"""")"),"")</f>
        <v/>
      </c>
      <c r="K136" s="96" t="str">
        <f>IFERROR(__xludf.DUMMYFUNCTION("iferror(join("", "",unique(filter({filter('Students (Vertical)'!D:D,'Students (Vertical)'!C:C=B136,'Students (Vertical)'!D:D&lt;&gt;"""");filter('Students (Vertical)'!D:D,'Students (Vertical)'!C:C=E136,'Students (Vertical)'!D:D&lt;&gt;"""")},countifs({filter('Student"&amp;"s (Vertical)'!D:D,'Students (Vertical)'!C:C=B136,'Students (Vertical)'!D:D&lt;&gt;"""");filter('Students (Vertical)'!D:D,'Students (Vertical)'!C:C=E136,'Students (Vertical)'!D:D&lt;&gt;"""")},{filter('Students (Vertical)'!D:D,'Students (Vertical)'!C:C=B136,'Students "&amp;"(Vertical)'!D:D&lt;&gt;"""");filter('Students (Vertical)'!D:D,'Students (Vertical)'!C:C=E136,'Students (Vertical)'!D:D&lt;&gt;"""")})&gt;1))),"""")"),"")</f>
        <v/>
      </c>
      <c r="L136" s="96"/>
      <c r="M136" s="96"/>
    </row>
    <row r="137" hidden="1">
      <c r="A137" s="8" t="s">
        <v>8</v>
      </c>
      <c r="C137" s="8" t="s">
        <v>8</v>
      </c>
      <c r="D137" s="8" t="s">
        <v>8</v>
      </c>
      <c r="F137" s="8" t="s">
        <v>8</v>
      </c>
      <c r="G137" s="8" t="s">
        <v>8</v>
      </c>
      <c r="I137" s="94" t="str">
        <f>IFERROR(__xludf.DUMMYFUNCTION("if(H137=""Must be Together"",iferror(join("", "",unique(filter({filter('Students (Vertical)'!O:O,'Students (Vertical)'!C:C=B137,'Students (Vertical)'!O:O&lt;&gt;"""");filter('Students (Vertical)'!O:O,'Students (Vertical)'!C:C=E137,'Students (Vertical)'!O:O&lt;&gt;"""&amp;""")},countifs({filter('Students (Vertical)'!O:O,'Students (Vertical)'!C:C=B137,'Students (Vertical)'!O:O&lt;&gt;"""");filter('Students (Vertical)'!O:O,'Students (Vertical)'!C:C=E137,'Students (Vertical)'!O:O&lt;&gt;"""")},{filter('Students (Vertical)'!O:O,'Students ("&amp;"Vertical)'!C:C=B137,'Students (Vertical)'!O:O&lt;&gt;"""");filter('Students (Vertical)'!O:O,'Students (Vertical)'!C:C=E137,'Students (Vertical)'!O:O&lt;&gt;"""")})&gt;1))),""No shared courses""),"""")"),"")</f>
        <v/>
      </c>
      <c r="J137" s="94" t="str">
        <f>IFERROR(__xludf.DUMMYFUNCTION("if(H137=""Can't be Together"",iferror(join("", "",unique(filter({unique(filter('Students (Vertical)'!O:O,'Students (Vertical)'!C:C=B137,'Students (Vertical)'!O:O&lt;&gt;"""",'Students (Vertical)'!P:P&gt;1));unique(filter('Students (Vertical)'!O:O,'Students (Vertic"&amp;"al)'!C:C=E137,'Students (Vertical)'!O:O&lt;&gt;"""",'Students (Vertical)'!P:P&gt;1))},countifs({unique(filter('Students (Vertical)'!O:O,'Students (Vertical)'!C:C=B137,'Students (Vertical)'!O:O&lt;&gt;"""",'Students (Vertical)'!P:P&gt;1));unique(filter('Students (Vertical)'"&amp;"!O:O,'Students (Vertical)'!C:C=E137,'Students (Vertical)'!O:O&lt;&gt;"""",'Students (Vertical)'!P:P&gt;1))},{unique(filter('Students (Vertical)'!O:O,'Students (Vertical)'!C:C=B137,'Students (Vertical)'!O:O&lt;&gt;"""",'Students (Vertical)'!P:P&gt;1));unique(filter('Student"&amp;"s (Vertical)'!O:O,'Students (Vertical)'!C:C=E137,'Students (Vertical)'!O:O&lt;&gt;"""",'Students (Vertical)'!P:P&gt;1))})&gt;1))),""""),"""")"),"")</f>
        <v/>
      </c>
      <c r="K137" s="96" t="str">
        <f>IFERROR(__xludf.DUMMYFUNCTION("iferror(join("", "",unique(filter({filter('Students (Vertical)'!D:D,'Students (Vertical)'!C:C=B137,'Students (Vertical)'!D:D&lt;&gt;"""");filter('Students (Vertical)'!D:D,'Students (Vertical)'!C:C=E137,'Students (Vertical)'!D:D&lt;&gt;"""")},countifs({filter('Student"&amp;"s (Vertical)'!D:D,'Students (Vertical)'!C:C=B137,'Students (Vertical)'!D:D&lt;&gt;"""");filter('Students (Vertical)'!D:D,'Students (Vertical)'!C:C=E137,'Students (Vertical)'!D:D&lt;&gt;"""")},{filter('Students (Vertical)'!D:D,'Students (Vertical)'!C:C=B137,'Students "&amp;"(Vertical)'!D:D&lt;&gt;"""");filter('Students (Vertical)'!D:D,'Students (Vertical)'!C:C=E137,'Students (Vertical)'!D:D&lt;&gt;"""")})&gt;1))),"""")"),"")</f>
        <v/>
      </c>
      <c r="L137" s="96"/>
      <c r="M137" s="96"/>
    </row>
    <row r="138" hidden="1">
      <c r="A138" s="8" t="s">
        <v>8</v>
      </c>
      <c r="C138" s="8" t="s">
        <v>8</v>
      </c>
      <c r="D138" s="8" t="s">
        <v>8</v>
      </c>
      <c r="F138" s="8" t="s">
        <v>8</v>
      </c>
      <c r="G138" s="8" t="s">
        <v>8</v>
      </c>
      <c r="I138" s="94" t="str">
        <f>IFERROR(__xludf.DUMMYFUNCTION("if(H138=""Must be Together"",iferror(join("", "",unique(filter({filter('Students (Vertical)'!O:O,'Students (Vertical)'!C:C=B138,'Students (Vertical)'!O:O&lt;&gt;"""");filter('Students (Vertical)'!O:O,'Students (Vertical)'!C:C=E138,'Students (Vertical)'!O:O&lt;&gt;"""&amp;""")},countifs({filter('Students (Vertical)'!O:O,'Students (Vertical)'!C:C=B138,'Students (Vertical)'!O:O&lt;&gt;"""");filter('Students (Vertical)'!O:O,'Students (Vertical)'!C:C=E138,'Students (Vertical)'!O:O&lt;&gt;"""")},{filter('Students (Vertical)'!O:O,'Students ("&amp;"Vertical)'!C:C=B138,'Students (Vertical)'!O:O&lt;&gt;"""");filter('Students (Vertical)'!O:O,'Students (Vertical)'!C:C=E138,'Students (Vertical)'!O:O&lt;&gt;"""")})&gt;1))),""No shared courses""),"""")"),"")</f>
        <v/>
      </c>
      <c r="J138" s="94" t="str">
        <f>IFERROR(__xludf.DUMMYFUNCTION("if(H138=""Can't be Together"",iferror(join("", "",unique(filter({unique(filter('Students (Vertical)'!O:O,'Students (Vertical)'!C:C=B138,'Students (Vertical)'!O:O&lt;&gt;"""",'Students (Vertical)'!P:P&gt;1));unique(filter('Students (Vertical)'!O:O,'Students (Vertic"&amp;"al)'!C:C=E138,'Students (Vertical)'!O:O&lt;&gt;"""",'Students (Vertical)'!P:P&gt;1))},countifs({unique(filter('Students (Vertical)'!O:O,'Students (Vertical)'!C:C=B138,'Students (Vertical)'!O:O&lt;&gt;"""",'Students (Vertical)'!P:P&gt;1));unique(filter('Students (Vertical)'"&amp;"!O:O,'Students (Vertical)'!C:C=E138,'Students (Vertical)'!O:O&lt;&gt;"""",'Students (Vertical)'!P:P&gt;1))},{unique(filter('Students (Vertical)'!O:O,'Students (Vertical)'!C:C=B138,'Students (Vertical)'!O:O&lt;&gt;"""",'Students (Vertical)'!P:P&gt;1));unique(filter('Student"&amp;"s (Vertical)'!O:O,'Students (Vertical)'!C:C=E138,'Students (Vertical)'!O:O&lt;&gt;"""",'Students (Vertical)'!P:P&gt;1))})&gt;1))),""""),"""")"),"")</f>
        <v/>
      </c>
      <c r="K138" s="96" t="str">
        <f>IFERROR(__xludf.DUMMYFUNCTION("iferror(join("", "",unique(filter({filter('Students (Vertical)'!D:D,'Students (Vertical)'!C:C=B138,'Students (Vertical)'!D:D&lt;&gt;"""");filter('Students (Vertical)'!D:D,'Students (Vertical)'!C:C=E138,'Students (Vertical)'!D:D&lt;&gt;"""")},countifs({filter('Student"&amp;"s (Vertical)'!D:D,'Students (Vertical)'!C:C=B138,'Students (Vertical)'!D:D&lt;&gt;"""");filter('Students (Vertical)'!D:D,'Students (Vertical)'!C:C=E138,'Students (Vertical)'!D:D&lt;&gt;"""")},{filter('Students (Vertical)'!D:D,'Students (Vertical)'!C:C=B138,'Students "&amp;"(Vertical)'!D:D&lt;&gt;"""");filter('Students (Vertical)'!D:D,'Students (Vertical)'!C:C=E138,'Students (Vertical)'!D:D&lt;&gt;"""")})&gt;1))),"""")"),"")</f>
        <v/>
      </c>
      <c r="L138" s="96"/>
      <c r="M138" s="96"/>
    </row>
    <row r="139" hidden="1">
      <c r="A139" s="8" t="s">
        <v>8</v>
      </c>
      <c r="C139" s="8" t="s">
        <v>8</v>
      </c>
      <c r="D139" s="8" t="s">
        <v>8</v>
      </c>
      <c r="F139" s="8" t="s">
        <v>8</v>
      </c>
      <c r="G139" s="8" t="s">
        <v>8</v>
      </c>
      <c r="I139" s="94" t="str">
        <f>IFERROR(__xludf.DUMMYFUNCTION("if(H139=""Must be Together"",iferror(join("", "",unique(filter({filter('Students (Vertical)'!O:O,'Students (Vertical)'!C:C=B139,'Students (Vertical)'!O:O&lt;&gt;"""");filter('Students (Vertical)'!O:O,'Students (Vertical)'!C:C=E139,'Students (Vertical)'!O:O&lt;&gt;"""&amp;""")},countifs({filter('Students (Vertical)'!O:O,'Students (Vertical)'!C:C=B139,'Students (Vertical)'!O:O&lt;&gt;"""");filter('Students (Vertical)'!O:O,'Students (Vertical)'!C:C=E139,'Students (Vertical)'!O:O&lt;&gt;"""")},{filter('Students (Vertical)'!O:O,'Students ("&amp;"Vertical)'!C:C=B139,'Students (Vertical)'!O:O&lt;&gt;"""");filter('Students (Vertical)'!O:O,'Students (Vertical)'!C:C=E139,'Students (Vertical)'!O:O&lt;&gt;"""")})&gt;1))),""No shared courses""),"""")"),"")</f>
        <v/>
      </c>
      <c r="J139" s="94" t="str">
        <f>IFERROR(__xludf.DUMMYFUNCTION("if(H139=""Can't be Together"",iferror(join("", "",unique(filter({unique(filter('Students (Vertical)'!O:O,'Students (Vertical)'!C:C=B139,'Students (Vertical)'!O:O&lt;&gt;"""",'Students (Vertical)'!P:P&gt;1));unique(filter('Students (Vertical)'!O:O,'Students (Vertic"&amp;"al)'!C:C=E139,'Students (Vertical)'!O:O&lt;&gt;"""",'Students (Vertical)'!P:P&gt;1))},countifs({unique(filter('Students (Vertical)'!O:O,'Students (Vertical)'!C:C=B139,'Students (Vertical)'!O:O&lt;&gt;"""",'Students (Vertical)'!P:P&gt;1));unique(filter('Students (Vertical)'"&amp;"!O:O,'Students (Vertical)'!C:C=E139,'Students (Vertical)'!O:O&lt;&gt;"""",'Students (Vertical)'!P:P&gt;1))},{unique(filter('Students (Vertical)'!O:O,'Students (Vertical)'!C:C=B139,'Students (Vertical)'!O:O&lt;&gt;"""",'Students (Vertical)'!P:P&gt;1));unique(filter('Student"&amp;"s (Vertical)'!O:O,'Students (Vertical)'!C:C=E139,'Students (Vertical)'!O:O&lt;&gt;"""",'Students (Vertical)'!P:P&gt;1))})&gt;1))),""""),"""")"),"")</f>
        <v/>
      </c>
      <c r="K139" s="96" t="str">
        <f>IFERROR(__xludf.DUMMYFUNCTION("iferror(join("", "",unique(filter({filter('Students (Vertical)'!D:D,'Students (Vertical)'!C:C=B139,'Students (Vertical)'!D:D&lt;&gt;"""");filter('Students (Vertical)'!D:D,'Students (Vertical)'!C:C=E139,'Students (Vertical)'!D:D&lt;&gt;"""")},countifs({filter('Student"&amp;"s (Vertical)'!D:D,'Students (Vertical)'!C:C=B139,'Students (Vertical)'!D:D&lt;&gt;"""");filter('Students (Vertical)'!D:D,'Students (Vertical)'!C:C=E139,'Students (Vertical)'!D:D&lt;&gt;"""")},{filter('Students (Vertical)'!D:D,'Students (Vertical)'!C:C=B139,'Students "&amp;"(Vertical)'!D:D&lt;&gt;"""");filter('Students (Vertical)'!D:D,'Students (Vertical)'!C:C=E139,'Students (Vertical)'!D:D&lt;&gt;"""")})&gt;1))),"""")"),"")</f>
        <v/>
      </c>
      <c r="L139" s="96"/>
      <c r="M139" s="96"/>
    </row>
    <row r="140" hidden="1">
      <c r="A140" s="8" t="s">
        <v>8</v>
      </c>
      <c r="C140" s="8" t="s">
        <v>8</v>
      </c>
      <c r="D140" s="8" t="s">
        <v>8</v>
      </c>
      <c r="F140" s="8" t="s">
        <v>8</v>
      </c>
      <c r="G140" s="8" t="s">
        <v>8</v>
      </c>
      <c r="I140" s="94" t="str">
        <f>IFERROR(__xludf.DUMMYFUNCTION("if(H140=""Must be Together"",iferror(join("", "",unique(filter({filter('Students (Vertical)'!O:O,'Students (Vertical)'!C:C=B140,'Students (Vertical)'!O:O&lt;&gt;"""");filter('Students (Vertical)'!O:O,'Students (Vertical)'!C:C=E140,'Students (Vertical)'!O:O&lt;&gt;"""&amp;""")},countifs({filter('Students (Vertical)'!O:O,'Students (Vertical)'!C:C=B140,'Students (Vertical)'!O:O&lt;&gt;"""");filter('Students (Vertical)'!O:O,'Students (Vertical)'!C:C=E140,'Students (Vertical)'!O:O&lt;&gt;"""")},{filter('Students (Vertical)'!O:O,'Students ("&amp;"Vertical)'!C:C=B140,'Students (Vertical)'!O:O&lt;&gt;"""");filter('Students (Vertical)'!O:O,'Students (Vertical)'!C:C=E140,'Students (Vertical)'!O:O&lt;&gt;"""")})&gt;1))),""No shared courses""),"""")"),"")</f>
        <v/>
      </c>
      <c r="J140" s="94" t="str">
        <f>IFERROR(__xludf.DUMMYFUNCTION("if(H140=""Can't be Together"",iferror(join("", "",unique(filter({unique(filter('Students (Vertical)'!O:O,'Students (Vertical)'!C:C=B140,'Students (Vertical)'!O:O&lt;&gt;"""",'Students (Vertical)'!P:P&gt;1));unique(filter('Students (Vertical)'!O:O,'Students (Vertic"&amp;"al)'!C:C=E140,'Students (Vertical)'!O:O&lt;&gt;"""",'Students (Vertical)'!P:P&gt;1))},countifs({unique(filter('Students (Vertical)'!O:O,'Students (Vertical)'!C:C=B140,'Students (Vertical)'!O:O&lt;&gt;"""",'Students (Vertical)'!P:P&gt;1));unique(filter('Students (Vertical)'"&amp;"!O:O,'Students (Vertical)'!C:C=E140,'Students (Vertical)'!O:O&lt;&gt;"""",'Students (Vertical)'!P:P&gt;1))},{unique(filter('Students (Vertical)'!O:O,'Students (Vertical)'!C:C=B140,'Students (Vertical)'!O:O&lt;&gt;"""",'Students (Vertical)'!P:P&gt;1));unique(filter('Student"&amp;"s (Vertical)'!O:O,'Students (Vertical)'!C:C=E140,'Students (Vertical)'!O:O&lt;&gt;"""",'Students (Vertical)'!P:P&gt;1))})&gt;1))),""""),"""")"),"")</f>
        <v/>
      </c>
      <c r="K140" s="96" t="str">
        <f>IFERROR(__xludf.DUMMYFUNCTION("iferror(join("", "",unique(filter({filter('Students (Vertical)'!D:D,'Students (Vertical)'!C:C=B140,'Students (Vertical)'!D:D&lt;&gt;"""");filter('Students (Vertical)'!D:D,'Students (Vertical)'!C:C=E140,'Students (Vertical)'!D:D&lt;&gt;"""")},countifs({filter('Student"&amp;"s (Vertical)'!D:D,'Students (Vertical)'!C:C=B140,'Students (Vertical)'!D:D&lt;&gt;"""");filter('Students (Vertical)'!D:D,'Students (Vertical)'!C:C=E140,'Students (Vertical)'!D:D&lt;&gt;"""")},{filter('Students (Vertical)'!D:D,'Students (Vertical)'!C:C=B140,'Students "&amp;"(Vertical)'!D:D&lt;&gt;"""");filter('Students (Vertical)'!D:D,'Students (Vertical)'!C:C=E140,'Students (Vertical)'!D:D&lt;&gt;"""")})&gt;1))),"""")"),"")</f>
        <v/>
      </c>
      <c r="L140" s="96"/>
      <c r="M140" s="96"/>
    </row>
    <row r="141" hidden="1">
      <c r="A141" s="8" t="s">
        <v>8</v>
      </c>
      <c r="C141" s="8" t="s">
        <v>8</v>
      </c>
      <c r="D141" s="8" t="s">
        <v>8</v>
      </c>
      <c r="F141" s="8" t="s">
        <v>8</v>
      </c>
      <c r="G141" s="8" t="s">
        <v>8</v>
      </c>
      <c r="I141" s="94" t="str">
        <f>IFERROR(__xludf.DUMMYFUNCTION("if(H141=""Must be Together"",iferror(join("", "",unique(filter({filter('Students (Vertical)'!O:O,'Students (Vertical)'!C:C=B141,'Students (Vertical)'!O:O&lt;&gt;"""");filter('Students (Vertical)'!O:O,'Students (Vertical)'!C:C=E141,'Students (Vertical)'!O:O&lt;&gt;"""&amp;""")},countifs({filter('Students (Vertical)'!O:O,'Students (Vertical)'!C:C=B141,'Students (Vertical)'!O:O&lt;&gt;"""");filter('Students (Vertical)'!O:O,'Students (Vertical)'!C:C=E141,'Students (Vertical)'!O:O&lt;&gt;"""")},{filter('Students (Vertical)'!O:O,'Students ("&amp;"Vertical)'!C:C=B141,'Students (Vertical)'!O:O&lt;&gt;"""");filter('Students (Vertical)'!O:O,'Students (Vertical)'!C:C=E141,'Students (Vertical)'!O:O&lt;&gt;"""")})&gt;1))),""No shared courses""),"""")"),"")</f>
        <v/>
      </c>
      <c r="J141" s="94" t="str">
        <f>IFERROR(__xludf.DUMMYFUNCTION("if(H141=""Can't be Together"",iferror(join("", "",unique(filter({unique(filter('Students (Vertical)'!O:O,'Students (Vertical)'!C:C=B141,'Students (Vertical)'!O:O&lt;&gt;"""",'Students (Vertical)'!P:P&gt;1));unique(filter('Students (Vertical)'!O:O,'Students (Vertic"&amp;"al)'!C:C=E141,'Students (Vertical)'!O:O&lt;&gt;"""",'Students (Vertical)'!P:P&gt;1))},countifs({unique(filter('Students (Vertical)'!O:O,'Students (Vertical)'!C:C=B141,'Students (Vertical)'!O:O&lt;&gt;"""",'Students (Vertical)'!P:P&gt;1));unique(filter('Students (Vertical)'"&amp;"!O:O,'Students (Vertical)'!C:C=E141,'Students (Vertical)'!O:O&lt;&gt;"""",'Students (Vertical)'!P:P&gt;1))},{unique(filter('Students (Vertical)'!O:O,'Students (Vertical)'!C:C=B141,'Students (Vertical)'!O:O&lt;&gt;"""",'Students (Vertical)'!P:P&gt;1));unique(filter('Student"&amp;"s (Vertical)'!O:O,'Students (Vertical)'!C:C=E141,'Students (Vertical)'!O:O&lt;&gt;"""",'Students (Vertical)'!P:P&gt;1))})&gt;1))),""""),"""")"),"")</f>
        <v/>
      </c>
      <c r="K141" s="96" t="str">
        <f>IFERROR(__xludf.DUMMYFUNCTION("iferror(join("", "",unique(filter({filter('Students (Vertical)'!D:D,'Students (Vertical)'!C:C=B141,'Students (Vertical)'!D:D&lt;&gt;"""");filter('Students (Vertical)'!D:D,'Students (Vertical)'!C:C=E141,'Students (Vertical)'!D:D&lt;&gt;"""")},countifs({filter('Student"&amp;"s (Vertical)'!D:D,'Students (Vertical)'!C:C=B141,'Students (Vertical)'!D:D&lt;&gt;"""");filter('Students (Vertical)'!D:D,'Students (Vertical)'!C:C=E141,'Students (Vertical)'!D:D&lt;&gt;"""")},{filter('Students (Vertical)'!D:D,'Students (Vertical)'!C:C=B141,'Students "&amp;"(Vertical)'!D:D&lt;&gt;"""");filter('Students (Vertical)'!D:D,'Students (Vertical)'!C:C=E141,'Students (Vertical)'!D:D&lt;&gt;"""")})&gt;1))),"""")"),"")</f>
        <v/>
      </c>
      <c r="L141" s="96"/>
      <c r="M141" s="96"/>
    </row>
    <row r="142" hidden="1">
      <c r="A142" s="8" t="s">
        <v>8</v>
      </c>
      <c r="C142" s="8" t="s">
        <v>8</v>
      </c>
      <c r="D142" s="8" t="s">
        <v>8</v>
      </c>
      <c r="F142" s="8" t="s">
        <v>8</v>
      </c>
      <c r="G142" s="8" t="s">
        <v>8</v>
      </c>
      <c r="I142" s="94" t="str">
        <f>IFERROR(__xludf.DUMMYFUNCTION("if(H142=""Must be Together"",iferror(join("", "",unique(filter({filter('Students (Vertical)'!O:O,'Students (Vertical)'!C:C=B142,'Students (Vertical)'!O:O&lt;&gt;"""");filter('Students (Vertical)'!O:O,'Students (Vertical)'!C:C=E142,'Students (Vertical)'!O:O&lt;&gt;"""&amp;""")},countifs({filter('Students (Vertical)'!O:O,'Students (Vertical)'!C:C=B142,'Students (Vertical)'!O:O&lt;&gt;"""");filter('Students (Vertical)'!O:O,'Students (Vertical)'!C:C=E142,'Students (Vertical)'!O:O&lt;&gt;"""")},{filter('Students (Vertical)'!O:O,'Students ("&amp;"Vertical)'!C:C=B142,'Students (Vertical)'!O:O&lt;&gt;"""");filter('Students (Vertical)'!O:O,'Students (Vertical)'!C:C=E142,'Students (Vertical)'!O:O&lt;&gt;"""")})&gt;1))),""No shared courses""),"""")"),"")</f>
        <v/>
      </c>
      <c r="J142" s="94" t="str">
        <f>IFERROR(__xludf.DUMMYFUNCTION("if(H142=""Can't be Together"",iferror(join("", "",unique(filter({unique(filter('Students (Vertical)'!O:O,'Students (Vertical)'!C:C=B142,'Students (Vertical)'!O:O&lt;&gt;"""",'Students (Vertical)'!P:P&gt;1));unique(filter('Students (Vertical)'!O:O,'Students (Vertic"&amp;"al)'!C:C=E142,'Students (Vertical)'!O:O&lt;&gt;"""",'Students (Vertical)'!P:P&gt;1))},countifs({unique(filter('Students (Vertical)'!O:O,'Students (Vertical)'!C:C=B142,'Students (Vertical)'!O:O&lt;&gt;"""",'Students (Vertical)'!P:P&gt;1));unique(filter('Students (Vertical)'"&amp;"!O:O,'Students (Vertical)'!C:C=E142,'Students (Vertical)'!O:O&lt;&gt;"""",'Students (Vertical)'!P:P&gt;1))},{unique(filter('Students (Vertical)'!O:O,'Students (Vertical)'!C:C=B142,'Students (Vertical)'!O:O&lt;&gt;"""",'Students (Vertical)'!P:P&gt;1));unique(filter('Student"&amp;"s (Vertical)'!O:O,'Students (Vertical)'!C:C=E142,'Students (Vertical)'!O:O&lt;&gt;"""",'Students (Vertical)'!P:P&gt;1))})&gt;1))),""""),"""")"),"")</f>
        <v/>
      </c>
      <c r="K142" s="96" t="str">
        <f>IFERROR(__xludf.DUMMYFUNCTION("iferror(join("", "",unique(filter({filter('Students (Vertical)'!D:D,'Students (Vertical)'!C:C=B142,'Students (Vertical)'!D:D&lt;&gt;"""");filter('Students (Vertical)'!D:D,'Students (Vertical)'!C:C=E142,'Students (Vertical)'!D:D&lt;&gt;"""")},countifs({filter('Student"&amp;"s (Vertical)'!D:D,'Students (Vertical)'!C:C=B142,'Students (Vertical)'!D:D&lt;&gt;"""");filter('Students (Vertical)'!D:D,'Students (Vertical)'!C:C=E142,'Students (Vertical)'!D:D&lt;&gt;"""")},{filter('Students (Vertical)'!D:D,'Students (Vertical)'!C:C=B142,'Students "&amp;"(Vertical)'!D:D&lt;&gt;"""");filter('Students (Vertical)'!D:D,'Students (Vertical)'!C:C=E142,'Students (Vertical)'!D:D&lt;&gt;"""")})&gt;1))),"""")"),"")</f>
        <v/>
      </c>
      <c r="L142" s="96"/>
      <c r="M142" s="96"/>
    </row>
    <row r="143" hidden="1">
      <c r="A143" s="8" t="s">
        <v>8</v>
      </c>
      <c r="C143" s="8" t="s">
        <v>8</v>
      </c>
      <c r="D143" s="8" t="s">
        <v>8</v>
      </c>
      <c r="F143" s="8" t="s">
        <v>8</v>
      </c>
      <c r="G143" s="8" t="s">
        <v>8</v>
      </c>
      <c r="I143" s="94" t="str">
        <f>IFERROR(__xludf.DUMMYFUNCTION("if(H143=""Must be Together"",iferror(join("", "",unique(filter({filter('Students (Vertical)'!O:O,'Students (Vertical)'!C:C=B143,'Students (Vertical)'!O:O&lt;&gt;"""");filter('Students (Vertical)'!O:O,'Students (Vertical)'!C:C=E143,'Students (Vertical)'!O:O&lt;&gt;"""&amp;""")},countifs({filter('Students (Vertical)'!O:O,'Students (Vertical)'!C:C=B143,'Students (Vertical)'!O:O&lt;&gt;"""");filter('Students (Vertical)'!O:O,'Students (Vertical)'!C:C=E143,'Students (Vertical)'!O:O&lt;&gt;"""")},{filter('Students (Vertical)'!O:O,'Students ("&amp;"Vertical)'!C:C=B143,'Students (Vertical)'!O:O&lt;&gt;"""");filter('Students (Vertical)'!O:O,'Students (Vertical)'!C:C=E143,'Students (Vertical)'!O:O&lt;&gt;"""")})&gt;1))),""No shared courses""),"""")"),"")</f>
        <v/>
      </c>
      <c r="J143" s="94" t="str">
        <f>IFERROR(__xludf.DUMMYFUNCTION("if(H143=""Can't be Together"",iferror(join("", "",unique(filter({unique(filter('Students (Vertical)'!O:O,'Students (Vertical)'!C:C=B143,'Students (Vertical)'!O:O&lt;&gt;"""",'Students (Vertical)'!P:P&gt;1));unique(filter('Students (Vertical)'!O:O,'Students (Vertic"&amp;"al)'!C:C=E143,'Students (Vertical)'!O:O&lt;&gt;"""",'Students (Vertical)'!P:P&gt;1))},countifs({unique(filter('Students (Vertical)'!O:O,'Students (Vertical)'!C:C=B143,'Students (Vertical)'!O:O&lt;&gt;"""",'Students (Vertical)'!P:P&gt;1));unique(filter('Students (Vertical)'"&amp;"!O:O,'Students (Vertical)'!C:C=E143,'Students (Vertical)'!O:O&lt;&gt;"""",'Students (Vertical)'!P:P&gt;1))},{unique(filter('Students (Vertical)'!O:O,'Students (Vertical)'!C:C=B143,'Students (Vertical)'!O:O&lt;&gt;"""",'Students (Vertical)'!P:P&gt;1));unique(filter('Student"&amp;"s (Vertical)'!O:O,'Students (Vertical)'!C:C=E143,'Students (Vertical)'!O:O&lt;&gt;"""",'Students (Vertical)'!P:P&gt;1))})&gt;1))),""""),"""")"),"")</f>
        <v/>
      </c>
      <c r="K143" s="96" t="str">
        <f>IFERROR(__xludf.DUMMYFUNCTION("iferror(join("", "",unique(filter({filter('Students (Vertical)'!D:D,'Students (Vertical)'!C:C=B143,'Students (Vertical)'!D:D&lt;&gt;"""");filter('Students (Vertical)'!D:D,'Students (Vertical)'!C:C=E143,'Students (Vertical)'!D:D&lt;&gt;"""")},countifs({filter('Student"&amp;"s (Vertical)'!D:D,'Students (Vertical)'!C:C=B143,'Students (Vertical)'!D:D&lt;&gt;"""");filter('Students (Vertical)'!D:D,'Students (Vertical)'!C:C=E143,'Students (Vertical)'!D:D&lt;&gt;"""")},{filter('Students (Vertical)'!D:D,'Students (Vertical)'!C:C=B143,'Students "&amp;"(Vertical)'!D:D&lt;&gt;"""");filter('Students (Vertical)'!D:D,'Students (Vertical)'!C:C=E143,'Students (Vertical)'!D:D&lt;&gt;"""")})&gt;1))),"""")"),"")</f>
        <v/>
      </c>
      <c r="L143" s="96"/>
      <c r="M143" s="96"/>
    </row>
    <row r="144" hidden="1">
      <c r="A144" s="8" t="s">
        <v>8</v>
      </c>
      <c r="C144" s="8" t="s">
        <v>8</v>
      </c>
      <c r="D144" s="8" t="s">
        <v>8</v>
      </c>
      <c r="F144" s="8" t="s">
        <v>8</v>
      </c>
      <c r="G144" s="8" t="s">
        <v>8</v>
      </c>
      <c r="I144" s="94" t="str">
        <f>IFERROR(__xludf.DUMMYFUNCTION("if(H144=""Must be Together"",iferror(join("", "",unique(filter({filter('Students (Vertical)'!O:O,'Students (Vertical)'!C:C=B144,'Students (Vertical)'!O:O&lt;&gt;"""");filter('Students (Vertical)'!O:O,'Students (Vertical)'!C:C=E144,'Students (Vertical)'!O:O&lt;&gt;"""&amp;""")},countifs({filter('Students (Vertical)'!O:O,'Students (Vertical)'!C:C=B144,'Students (Vertical)'!O:O&lt;&gt;"""");filter('Students (Vertical)'!O:O,'Students (Vertical)'!C:C=E144,'Students (Vertical)'!O:O&lt;&gt;"""")},{filter('Students (Vertical)'!O:O,'Students ("&amp;"Vertical)'!C:C=B144,'Students (Vertical)'!O:O&lt;&gt;"""");filter('Students (Vertical)'!O:O,'Students (Vertical)'!C:C=E144,'Students (Vertical)'!O:O&lt;&gt;"""")})&gt;1))),""No shared courses""),"""")"),"")</f>
        <v/>
      </c>
      <c r="J144" s="94" t="str">
        <f>IFERROR(__xludf.DUMMYFUNCTION("if(H144=""Can't be Together"",iferror(join("", "",unique(filter({unique(filter('Students (Vertical)'!O:O,'Students (Vertical)'!C:C=B144,'Students (Vertical)'!O:O&lt;&gt;"""",'Students (Vertical)'!P:P&gt;1));unique(filter('Students (Vertical)'!O:O,'Students (Vertic"&amp;"al)'!C:C=E144,'Students (Vertical)'!O:O&lt;&gt;"""",'Students (Vertical)'!P:P&gt;1))},countifs({unique(filter('Students (Vertical)'!O:O,'Students (Vertical)'!C:C=B144,'Students (Vertical)'!O:O&lt;&gt;"""",'Students (Vertical)'!P:P&gt;1));unique(filter('Students (Vertical)'"&amp;"!O:O,'Students (Vertical)'!C:C=E144,'Students (Vertical)'!O:O&lt;&gt;"""",'Students (Vertical)'!P:P&gt;1))},{unique(filter('Students (Vertical)'!O:O,'Students (Vertical)'!C:C=B144,'Students (Vertical)'!O:O&lt;&gt;"""",'Students (Vertical)'!P:P&gt;1));unique(filter('Student"&amp;"s (Vertical)'!O:O,'Students (Vertical)'!C:C=E144,'Students (Vertical)'!O:O&lt;&gt;"""",'Students (Vertical)'!P:P&gt;1))})&gt;1))),""""),"""")"),"")</f>
        <v/>
      </c>
      <c r="K144" s="96" t="str">
        <f>IFERROR(__xludf.DUMMYFUNCTION("iferror(join("", "",unique(filter({filter('Students (Vertical)'!D:D,'Students (Vertical)'!C:C=B144,'Students (Vertical)'!D:D&lt;&gt;"""");filter('Students (Vertical)'!D:D,'Students (Vertical)'!C:C=E144,'Students (Vertical)'!D:D&lt;&gt;"""")},countifs({filter('Student"&amp;"s (Vertical)'!D:D,'Students (Vertical)'!C:C=B144,'Students (Vertical)'!D:D&lt;&gt;"""");filter('Students (Vertical)'!D:D,'Students (Vertical)'!C:C=E144,'Students (Vertical)'!D:D&lt;&gt;"""")},{filter('Students (Vertical)'!D:D,'Students (Vertical)'!C:C=B144,'Students "&amp;"(Vertical)'!D:D&lt;&gt;"""");filter('Students (Vertical)'!D:D,'Students (Vertical)'!C:C=E144,'Students (Vertical)'!D:D&lt;&gt;"""")})&gt;1))),"""")"),"")</f>
        <v/>
      </c>
      <c r="L144" s="96"/>
      <c r="M144" s="96"/>
    </row>
    <row r="145" hidden="1">
      <c r="A145" s="8" t="s">
        <v>8</v>
      </c>
      <c r="C145" s="8" t="s">
        <v>8</v>
      </c>
      <c r="D145" s="8" t="s">
        <v>8</v>
      </c>
      <c r="F145" s="8" t="s">
        <v>8</v>
      </c>
      <c r="G145" s="8" t="s">
        <v>8</v>
      </c>
      <c r="I145" s="94" t="str">
        <f>IFERROR(__xludf.DUMMYFUNCTION("if(H145=""Must be Together"",iferror(join("", "",unique(filter({filter('Students (Vertical)'!O:O,'Students (Vertical)'!C:C=B145,'Students (Vertical)'!O:O&lt;&gt;"""");filter('Students (Vertical)'!O:O,'Students (Vertical)'!C:C=E145,'Students (Vertical)'!O:O&lt;&gt;"""&amp;""")},countifs({filter('Students (Vertical)'!O:O,'Students (Vertical)'!C:C=B145,'Students (Vertical)'!O:O&lt;&gt;"""");filter('Students (Vertical)'!O:O,'Students (Vertical)'!C:C=E145,'Students (Vertical)'!O:O&lt;&gt;"""")},{filter('Students (Vertical)'!O:O,'Students ("&amp;"Vertical)'!C:C=B145,'Students (Vertical)'!O:O&lt;&gt;"""");filter('Students (Vertical)'!O:O,'Students (Vertical)'!C:C=E145,'Students (Vertical)'!O:O&lt;&gt;"""")})&gt;1))),""No shared courses""),"""")"),"")</f>
        <v/>
      </c>
      <c r="J145" s="94" t="str">
        <f>IFERROR(__xludf.DUMMYFUNCTION("if(H145=""Can't be Together"",iferror(join("", "",unique(filter({unique(filter('Students (Vertical)'!O:O,'Students (Vertical)'!C:C=B145,'Students (Vertical)'!O:O&lt;&gt;"""",'Students (Vertical)'!P:P&gt;1));unique(filter('Students (Vertical)'!O:O,'Students (Vertic"&amp;"al)'!C:C=E145,'Students (Vertical)'!O:O&lt;&gt;"""",'Students (Vertical)'!P:P&gt;1))},countifs({unique(filter('Students (Vertical)'!O:O,'Students (Vertical)'!C:C=B145,'Students (Vertical)'!O:O&lt;&gt;"""",'Students (Vertical)'!P:P&gt;1));unique(filter('Students (Vertical)'"&amp;"!O:O,'Students (Vertical)'!C:C=E145,'Students (Vertical)'!O:O&lt;&gt;"""",'Students (Vertical)'!P:P&gt;1))},{unique(filter('Students (Vertical)'!O:O,'Students (Vertical)'!C:C=B145,'Students (Vertical)'!O:O&lt;&gt;"""",'Students (Vertical)'!P:P&gt;1));unique(filter('Student"&amp;"s (Vertical)'!O:O,'Students (Vertical)'!C:C=E145,'Students (Vertical)'!O:O&lt;&gt;"""",'Students (Vertical)'!P:P&gt;1))})&gt;1))),""""),"""")"),"")</f>
        <v/>
      </c>
      <c r="K145" s="96" t="str">
        <f>IFERROR(__xludf.DUMMYFUNCTION("iferror(join("", "",unique(filter({filter('Students (Vertical)'!D:D,'Students (Vertical)'!C:C=B145,'Students (Vertical)'!D:D&lt;&gt;"""");filter('Students (Vertical)'!D:D,'Students (Vertical)'!C:C=E145,'Students (Vertical)'!D:D&lt;&gt;"""")},countifs({filter('Student"&amp;"s (Vertical)'!D:D,'Students (Vertical)'!C:C=B145,'Students (Vertical)'!D:D&lt;&gt;"""");filter('Students (Vertical)'!D:D,'Students (Vertical)'!C:C=E145,'Students (Vertical)'!D:D&lt;&gt;"""")},{filter('Students (Vertical)'!D:D,'Students (Vertical)'!C:C=B145,'Students "&amp;"(Vertical)'!D:D&lt;&gt;"""");filter('Students (Vertical)'!D:D,'Students (Vertical)'!C:C=E145,'Students (Vertical)'!D:D&lt;&gt;"""")})&gt;1))),"""")"),"")</f>
        <v/>
      </c>
      <c r="L145" s="96"/>
      <c r="M145" s="96"/>
    </row>
    <row r="146" hidden="1">
      <c r="A146" s="8" t="s">
        <v>8</v>
      </c>
      <c r="C146" s="8" t="s">
        <v>8</v>
      </c>
      <c r="D146" s="8" t="s">
        <v>8</v>
      </c>
      <c r="F146" s="8" t="s">
        <v>8</v>
      </c>
      <c r="G146" s="8" t="s">
        <v>8</v>
      </c>
      <c r="I146" s="94" t="str">
        <f>IFERROR(__xludf.DUMMYFUNCTION("if(H146=""Must be Together"",iferror(join("", "",unique(filter({filter('Students (Vertical)'!O:O,'Students (Vertical)'!C:C=B146,'Students (Vertical)'!O:O&lt;&gt;"""");filter('Students (Vertical)'!O:O,'Students (Vertical)'!C:C=E146,'Students (Vertical)'!O:O&lt;&gt;"""&amp;""")},countifs({filter('Students (Vertical)'!O:O,'Students (Vertical)'!C:C=B146,'Students (Vertical)'!O:O&lt;&gt;"""");filter('Students (Vertical)'!O:O,'Students (Vertical)'!C:C=E146,'Students (Vertical)'!O:O&lt;&gt;"""")},{filter('Students (Vertical)'!O:O,'Students ("&amp;"Vertical)'!C:C=B146,'Students (Vertical)'!O:O&lt;&gt;"""");filter('Students (Vertical)'!O:O,'Students (Vertical)'!C:C=E146,'Students (Vertical)'!O:O&lt;&gt;"""")})&gt;1))),""No shared courses""),"""")"),"")</f>
        <v/>
      </c>
      <c r="J146" s="94" t="str">
        <f>IFERROR(__xludf.DUMMYFUNCTION("if(H146=""Can't be Together"",iferror(join("", "",unique(filter({unique(filter('Students (Vertical)'!O:O,'Students (Vertical)'!C:C=B146,'Students (Vertical)'!O:O&lt;&gt;"""",'Students (Vertical)'!P:P&gt;1));unique(filter('Students (Vertical)'!O:O,'Students (Vertic"&amp;"al)'!C:C=E146,'Students (Vertical)'!O:O&lt;&gt;"""",'Students (Vertical)'!P:P&gt;1))},countifs({unique(filter('Students (Vertical)'!O:O,'Students (Vertical)'!C:C=B146,'Students (Vertical)'!O:O&lt;&gt;"""",'Students (Vertical)'!P:P&gt;1));unique(filter('Students (Vertical)'"&amp;"!O:O,'Students (Vertical)'!C:C=E146,'Students (Vertical)'!O:O&lt;&gt;"""",'Students (Vertical)'!P:P&gt;1))},{unique(filter('Students (Vertical)'!O:O,'Students (Vertical)'!C:C=B146,'Students (Vertical)'!O:O&lt;&gt;"""",'Students (Vertical)'!P:P&gt;1));unique(filter('Student"&amp;"s (Vertical)'!O:O,'Students (Vertical)'!C:C=E146,'Students (Vertical)'!O:O&lt;&gt;"""",'Students (Vertical)'!P:P&gt;1))})&gt;1))),""""),"""")"),"")</f>
        <v/>
      </c>
      <c r="K146" s="96" t="str">
        <f>IFERROR(__xludf.DUMMYFUNCTION("iferror(join("", "",unique(filter({filter('Students (Vertical)'!D:D,'Students (Vertical)'!C:C=B146,'Students (Vertical)'!D:D&lt;&gt;"""");filter('Students (Vertical)'!D:D,'Students (Vertical)'!C:C=E146,'Students (Vertical)'!D:D&lt;&gt;"""")},countifs({filter('Student"&amp;"s (Vertical)'!D:D,'Students (Vertical)'!C:C=B146,'Students (Vertical)'!D:D&lt;&gt;"""");filter('Students (Vertical)'!D:D,'Students (Vertical)'!C:C=E146,'Students (Vertical)'!D:D&lt;&gt;"""")},{filter('Students (Vertical)'!D:D,'Students (Vertical)'!C:C=B146,'Students "&amp;"(Vertical)'!D:D&lt;&gt;"""");filter('Students (Vertical)'!D:D,'Students (Vertical)'!C:C=E146,'Students (Vertical)'!D:D&lt;&gt;"""")})&gt;1))),"""")"),"")</f>
        <v/>
      </c>
      <c r="L146" s="96"/>
      <c r="M146" s="96"/>
    </row>
    <row r="147" hidden="1">
      <c r="A147" s="8" t="s">
        <v>8</v>
      </c>
      <c r="C147" s="8" t="s">
        <v>8</v>
      </c>
      <c r="D147" s="8" t="s">
        <v>8</v>
      </c>
      <c r="F147" s="8" t="s">
        <v>8</v>
      </c>
      <c r="G147" s="8" t="s">
        <v>8</v>
      </c>
      <c r="I147" s="94" t="str">
        <f>IFERROR(__xludf.DUMMYFUNCTION("if(H147=""Must be Together"",iferror(join("", "",unique(filter({filter('Students (Vertical)'!O:O,'Students (Vertical)'!C:C=B147,'Students (Vertical)'!O:O&lt;&gt;"""");filter('Students (Vertical)'!O:O,'Students (Vertical)'!C:C=E147,'Students (Vertical)'!O:O&lt;&gt;"""&amp;""")},countifs({filter('Students (Vertical)'!O:O,'Students (Vertical)'!C:C=B147,'Students (Vertical)'!O:O&lt;&gt;"""");filter('Students (Vertical)'!O:O,'Students (Vertical)'!C:C=E147,'Students (Vertical)'!O:O&lt;&gt;"""")},{filter('Students (Vertical)'!O:O,'Students ("&amp;"Vertical)'!C:C=B147,'Students (Vertical)'!O:O&lt;&gt;"""");filter('Students (Vertical)'!O:O,'Students (Vertical)'!C:C=E147,'Students (Vertical)'!O:O&lt;&gt;"""")})&gt;1))),""No shared courses""),"""")"),"")</f>
        <v/>
      </c>
      <c r="J147" s="94" t="str">
        <f>IFERROR(__xludf.DUMMYFUNCTION("if(H147=""Can't be Together"",iferror(join("", "",unique(filter({unique(filter('Students (Vertical)'!O:O,'Students (Vertical)'!C:C=B147,'Students (Vertical)'!O:O&lt;&gt;"""",'Students (Vertical)'!P:P&gt;1));unique(filter('Students (Vertical)'!O:O,'Students (Vertic"&amp;"al)'!C:C=E147,'Students (Vertical)'!O:O&lt;&gt;"""",'Students (Vertical)'!P:P&gt;1))},countifs({unique(filter('Students (Vertical)'!O:O,'Students (Vertical)'!C:C=B147,'Students (Vertical)'!O:O&lt;&gt;"""",'Students (Vertical)'!P:P&gt;1));unique(filter('Students (Vertical)'"&amp;"!O:O,'Students (Vertical)'!C:C=E147,'Students (Vertical)'!O:O&lt;&gt;"""",'Students (Vertical)'!P:P&gt;1))},{unique(filter('Students (Vertical)'!O:O,'Students (Vertical)'!C:C=B147,'Students (Vertical)'!O:O&lt;&gt;"""",'Students (Vertical)'!P:P&gt;1));unique(filter('Student"&amp;"s (Vertical)'!O:O,'Students (Vertical)'!C:C=E147,'Students (Vertical)'!O:O&lt;&gt;"""",'Students (Vertical)'!P:P&gt;1))})&gt;1))),""""),"""")"),"")</f>
        <v/>
      </c>
      <c r="K147" s="96" t="str">
        <f>IFERROR(__xludf.DUMMYFUNCTION("iferror(join("", "",unique(filter({filter('Students (Vertical)'!D:D,'Students (Vertical)'!C:C=B147,'Students (Vertical)'!D:D&lt;&gt;"""");filter('Students (Vertical)'!D:D,'Students (Vertical)'!C:C=E147,'Students (Vertical)'!D:D&lt;&gt;"""")},countifs({filter('Student"&amp;"s (Vertical)'!D:D,'Students (Vertical)'!C:C=B147,'Students (Vertical)'!D:D&lt;&gt;"""");filter('Students (Vertical)'!D:D,'Students (Vertical)'!C:C=E147,'Students (Vertical)'!D:D&lt;&gt;"""")},{filter('Students (Vertical)'!D:D,'Students (Vertical)'!C:C=B147,'Students "&amp;"(Vertical)'!D:D&lt;&gt;"""");filter('Students (Vertical)'!D:D,'Students (Vertical)'!C:C=E147,'Students (Vertical)'!D:D&lt;&gt;"""")})&gt;1))),"""")"),"")</f>
        <v/>
      </c>
      <c r="L147" s="96"/>
      <c r="M147" s="96"/>
    </row>
    <row r="148" hidden="1">
      <c r="A148" s="8" t="s">
        <v>8</v>
      </c>
      <c r="C148" s="8" t="s">
        <v>8</v>
      </c>
      <c r="D148" s="8" t="s">
        <v>8</v>
      </c>
      <c r="F148" s="8" t="s">
        <v>8</v>
      </c>
      <c r="G148" s="8" t="s">
        <v>8</v>
      </c>
      <c r="I148" s="94" t="str">
        <f>IFERROR(__xludf.DUMMYFUNCTION("if(H148=""Must be Together"",iferror(join("", "",unique(filter({filter('Students (Vertical)'!O:O,'Students (Vertical)'!C:C=B148,'Students (Vertical)'!O:O&lt;&gt;"""");filter('Students (Vertical)'!O:O,'Students (Vertical)'!C:C=E148,'Students (Vertical)'!O:O&lt;&gt;"""&amp;""")},countifs({filter('Students (Vertical)'!O:O,'Students (Vertical)'!C:C=B148,'Students (Vertical)'!O:O&lt;&gt;"""");filter('Students (Vertical)'!O:O,'Students (Vertical)'!C:C=E148,'Students (Vertical)'!O:O&lt;&gt;"""")},{filter('Students (Vertical)'!O:O,'Students ("&amp;"Vertical)'!C:C=B148,'Students (Vertical)'!O:O&lt;&gt;"""");filter('Students (Vertical)'!O:O,'Students (Vertical)'!C:C=E148,'Students (Vertical)'!O:O&lt;&gt;"""")})&gt;1))),""No shared courses""),"""")"),"")</f>
        <v/>
      </c>
      <c r="J148" s="94" t="str">
        <f>IFERROR(__xludf.DUMMYFUNCTION("if(H148=""Can't be Together"",iferror(join("", "",unique(filter({unique(filter('Students (Vertical)'!O:O,'Students (Vertical)'!C:C=B148,'Students (Vertical)'!O:O&lt;&gt;"""",'Students (Vertical)'!P:P&gt;1));unique(filter('Students (Vertical)'!O:O,'Students (Vertic"&amp;"al)'!C:C=E148,'Students (Vertical)'!O:O&lt;&gt;"""",'Students (Vertical)'!P:P&gt;1))},countifs({unique(filter('Students (Vertical)'!O:O,'Students (Vertical)'!C:C=B148,'Students (Vertical)'!O:O&lt;&gt;"""",'Students (Vertical)'!P:P&gt;1));unique(filter('Students (Vertical)'"&amp;"!O:O,'Students (Vertical)'!C:C=E148,'Students (Vertical)'!O:O&lt;&gt;"""",'Students (Vertical)'!P:P&gt;1))},{unique(filter('Students (Vertical)'!O:O,'Students (Vertical)'!C:C=B148,'Students (Vertical)'!O:O&lt;&gt;"""",'Students (Vertical)'!P:P&gt;1));unique(filter('Student"&amp;"s (Vertical)'!O:O,'Students (Vertical)'!C:C=E148,'Students (Vertical)'!O:O&lt;&gt;"""",'Students (Vertical)'!P:P&gt;1))})&gt;1))),""""),"""")"),"")</f>
        <v/>
      </c>
      <c r="K148" s="96" t="str">
        <f>IFERROR(__xludf.DUMMYFUNCTION("iferror(join("", "",unique(filter({filter('Students (Vertical)'!D:D,'Students (Vertical)'!C:C=B148,'Students (Vertical)'!D:D&lt;&gt;"""");filter('Students (Vertical)'!D:D,'Students (Vertical)'!C:C=E148,'Students (Vertical)'!D:D&lt;&gt;"""")},countifs({filter('Student"&amp;"s (Vertical)'!D:D,'Students (Vertical)'!C:C=B148,'Students (Vertical)'!D:D&lt;&gt;"""");filter('Students (Vertical)'!D:D,'Students (Vertical)'!C:C=E148,'Students (Vertical)'!D:D&lt;&gt;"""")},{filter('Students (Vertical)'!D:D,'Students (Vertical)'!C:C=B148,'Students "&amp;"(Vertical)'!D:D&lt;&gt;"""");filter('Students (Vertical)'!D:D,'Students (Vertical)'!C:C=E148,'Students (Vertical)'!D:D&lt;&gt;"""")})&gt;1))),"""")"),"")</f>
        <v/>
      </c>
      <c r="L148" s="96"/>
      <c r="M148" s="96"/>
    </row>
    <row r="149" hidden="1">
      <c r="A149" s="8" t="s">
        <v>8</v>
      </c>
      <c r="C149" s="8" t="s">
        <v>8</v>
      </c>
      <c r="D149" s="8" t="s">
        <v>8</v>
      </c>
      <c r="F149" s="8" t="s">
        <v>8</v>
      </c>
      <c r="G149" s="8" t="s">
        <v>8</v>
      </c>
      <c r="I149" s="94" t="str">
        <f>IFERROR(__xludf.DUMMYFUNCTION("if(H149=""Must be Together"",iferror(join("", "",unique(filter({filter('Students (Vertical)'!O:O,'Students (Vertical)'!C:C=B149,'Students (Vertical)'!O:O&lt;&gt;"""");filter('Students (Vertical)'!O:O,'Students (Vertical)'!C:C=E149,'Students (Vertical)'!O:O&lt;&gt;"""&amp;""")},countifs({filter('Students (Vertical)'!O:O,'Students (Vertical)'!C:C=B149,'Students (Vertical)'!O:O&lt;&gt;"""");filter('Students (Vertical)'!O:O,'Students (Vertical)'!C:C=E149,'Students (Vertical)'!O:O&lt;&gt;"""")},{filter('Students (Vertical)'!O:O,'Students ("&amp;"Vertical)'!C:C=B149,'Students (Vertical)'!O:O&lt;&gt;"""");filter('Students (Vertical)'!O:O,'Students (Vertical)'!C:C=E149,'Students (Vertical)'!O:O&lt;&gt;"""")})&gt;1))),""No shared courses""),"""")"),"")</f>
        <v/>
      </c>
      <c r="J149" s="94" t="str">
        <f>IFERROR(__xludf.DUMMYFUNCTION("if(H149=""Can't be Together"",iferror(join("", "",unique(filter({unique(filter('Students (Vertical)'!O:O,'Students (Vertical)'!C:C=B149,'Students (Vertical)'!O:O&lt;&gt;"""",'Students (Vertical)'!P:P&gt;1));unique(filter('Students (Vertical)'!O:O,'Students (Vertic"&amp;"al)'!C:C=E149,'Students (Vertical)'!O:O&lt;&gt;"""",'Students (Vertical)'!P:P&gt;1))},countifs({unique(filter('Students (Vertical)'!O:O,'Students (Vertical)'!C:C=B149,'Students (Vertical)'!O:O&lt;&gt;"""",'Students (Vertical)'!P:P&gt;1));unique(filter('Students (Vertical)'"&amp;"!O:O,'Students (Vertical)'!C:C=E149,'Students (Vertical)'!O:O&lt;&gt;"""",'Students (Vertical)'!P:P&gt;1))},{unique(filter('Students (Vertical)'!O:O,'Students (Vertical)'!C:C=B149,'Students (Vertical)'!O:O&lt;&gt;"""",'Students (Vertical)'!P:P&gt;1));unique(filter('Student"&amp;"s (Vertical)'!O:O,'Students (Vertical)'!C:C=E149,'Students (Vertical)'!O:O&lt;&gt;"""",'Students (Vertical)'!P:P&gt;1))})&gt;1))),""""),"""")"),"")</f>
        <v/>
      </c>
      <c r="K149" s="96" t="str">
        <f>IFERROR(__xludf.DUMMYFUNCTION("iferror(join("", "",unique(filter({filter('Students (Vertical)'!D:D,'Students (Vertical)'!C:C=B149,'Students (Vertical)'!D:D&lt;&gt;"""");filter('Students (Vertical)'!D:D,'Students (Vertical)'!C:C=E149,'Students (Vertical)'!D:D&lt;&gt;"""")},countifs({filter('Student"&amp;"s (Vertical)'!D:D,'Students (Vertical)'!C:C=B149,'Students (Vertical)'!D:D&lt;&gt;"""");filter('Students (Vertical)'!D:D,'Students (Vertical)'!C:C=E149,'Students (Vertical)'!D:D&lt;&gt;"""")},{filter('Students (Vertical)'!D:D,'Students (Vertical)'!C:C=B149,'Students "&amp;"(Vertical)'!D:D&lt;&gt;"""");filter('Students (Vertical)'!D:D,'Students (Vertical)'!C:C=E149,'Students (Vertical)'!D:D&lt;&gt;"""")})&gt;1))),"""")"),"")</f>
        <v/>
      </c>
      <c r="L149" s="96"/>
      <c r="M149" s="96"/>
    </row>
    <row r="150" hidden="1">
      <c r="A150" s="8" t="s">
        <v>8</v>
      </c>
      <c r="C150" s="8" t="s">
        <v>8</v>
      </c>
      <c r="D150" s="8" t="s">
        <v>8</v>
      </c>
      <c r="F150" s="8" t="s">
        <v>8</v>
      </c>
      <c r="G150" s="8" t="s">
        <v>8</v>
      </c>
      <c r="I150" s="94" t="str">
        <f>IFERROR(__xludf.DUMMYFUNCTION("if(H150=""Must be Together"",iferror(join("", "",unique(filter({filter('Students (Vertical)'!O:O,'Students (Vertical)'!C:C=B150,'Students (Vertical)'!O:O&lt;&gt;"""");filter('Students (Vertical)'!O:O,'Students (Vertical)'!C:C=E150,'Students (Vertical)'!O:O&lt;&gt;"""&amp;""")},countifs({filter('Students (Vertical)'!O:O,'Students (Vertical)'!C:C=B150,'Students (Vertical)'!O:O&lt;&gt;"""");filter('Students (Vertical)'!O:O,'Students (Vertical)'!C:C=E150,'Students (Vertical)'!O:O&lt;&gt;"""")},{filter('Students (Vertical)'!O:O,'Students ("&amp;"Vertical)'!C:C=B150,'Students (Vertical)'!O:O&lt;&gt;"""");filter('Students (Vertical)'!O:O,'Students (Vertical)'!C:C=E150,'Students (Vertical)'!O:O&lt;&gt;"""")})&gt;1))),""No shared courses""),"""")"),"")</f>
        <v/>
      </c>
      <c r="J150" s="94" t="str">
        <f>IFERROR(__xludf.DUMMYFUNCTION("if(H150=""Can't be Together"",iferror(join("", "",unique(filter({unique(filter('Students (Vertical)'!O:O,'Students (Vertical)'!C:C=B150,'Students (Vertical)'!O:O&lt;&gt;"""",'Students (Vertical)'!P:P&gt;1));unique(filter('Students (Vertical)'!O:O,'Students (Vertic"&amp;"al)'!C:C=E150,'Students (Vertical)'!O:O&lt;&gt;"""",'Students (Vertical)'!P:P&gt;1))},countifs({unique(filter('Students (Vertical)'!O:O,'Students (Vertical)'!C:C=B150,'Students (Vertical)'!O:O&lt;&gt;"""",'Students (Vertical)'!P:P&gt;1));unique(filter('Students (Vertical)'"&amp;"!O:O,'Students (Vertical)'!C:C=E150,'Students (Vertical)'!O:O&lt;&gt;"""",'Students (Vertical)'!P:P&gt;1))},{unique(filter('Students (Vertical)'!O:O,'Students (Vertical)'!C:C=B150,'Students (Vertical)'!O:O&lt;&gt;"""",'Students (Vertical)'!P:P&gt;1));unique(filter('Student"&amp;"s (Vertical)'!O:O,'Students (Vertical)'!C:C=E150,'Students (Vertical)'!O:O&lt;&gt;"""",'Students (Vertical)'!P:P&gt;1))})&gt;1))),""""),"""")"),"")</f>
        <v/>
      </c>
      <c r="K150" s="96" t="str">
        <f>IFERROR(__xludf.DUMMYFUNCTION("iferror(join("", "",unique(filter({filter('Students (Vertical)'!D:D,'Students (Vertical)'!C:C=B150,'Students (Vertical)'!D:D&lt;&gt;"""");filter('Students (Vertical)'!D:D,'Students (Vertical)'!C:C=E150,'Students (Vertical)'!D:D&lt;&gt;"""")},countifs({filter('Student"&amp;"s (Vertical)'!D:D,'Students (Vertical)'!C:C=B150,'Students (Vertical)'!D:D&lt;&gt;"""");filter('Students (Vertical)'!D:D,'Students (Vertical)'!C:C=E150,'Students (Vertical)'!D:D&lt;&gt;"""")},{filter('Students (Vertical)'!D:D,'Students (Vertical)'!C:C=B150,'Students "&amp;"(Vertical)'!D:D&lt;&gt;"""");filter('Students (Vertical)'!D:D,'Students (Vertical)'!C:C=E150,'Students (Vertical)'!D:D&lt;&gt;"""")})&gt;1))),"""")"),"")</f>
        <v/>
      </c>
      <c r="L150" s="96"/>
      <c r="M150" s="96"/>
    </row>
    <row r="151" hidden="1">
      <c r="A151" s="8" t="s">
        <v>8</v>
      </c>
      <c r="C151" s="8" t="s">
        <v>8</v>
      </c>
      <c r="D151" s="8" t="s">
        <v>8</v>
      </c>
      <c r="F151" s="8" t="s">
        <v>8</v>
      </c>
      <c r="G151" s="8" t="s">
        <v>8</v>
      </c>
      <c r="I151" s="94" t="str">
        <f>IFERROR(__xludf.DUMMYFUNCTION("if(H151=""Must be Together"",iferror(join("", "",unique(filter({filter('Students (Vertical)'!O:O,'Students (Vertical)'!C:C=B151,'Students (Vertical)'!O:O&lt;&gt;"""");filter('Students (Vertical)'!O:O,'Students (Vertical)'!C:C=E151,'Students (Vertical)'!O:O&lt;&gt;"""&amp;""")},countifs({filter('Students (Vertical)'!O:O,'Students (Vertical)'!C:C=B151,'Students (Vertical)'!O:O&lt;&gt;"""");filter('Students (Vertical)'!O:O,'Students (Vertical)'!C:C=E151,'Students (Vertical)'!O:O&lt;&gt;"""")},{filter('Students (Vertical)'!O:O,'Students ("&amp;"Vertical)'!C:C=B151,'Students (Vertical)'!O:O&lt;&gt;"""");filter('Students (Vertical)'!O:O,'Students (Vertical)'!C:C=E151,'Students (Vertical)'!O:O&lt;&gt;"""")})&gt;1))),""No shared courses""),"""")"),"")</f>
        <v/>
      </c>
      <c r="J151" s="94" t="str">
        <f>IFERROR(__xludf.DUMMYFUNCTION("if(H151=""Can't be Together"",iferror(join("", "",unique(filter({unique(filter('Students (Vertical)'!O:O,'Students (Vertical)'!C:C=B151,'Students (Vertical)'!O:O&lt;&gt;"""",'Students (Vertical)'!P:P&gt;1));unique(filter('Students (Vertical)'!O:O,'Students (Vertic"&amp;"al)'!C:C=E151,'Students (Vertical)'!O:O&lt;&gt;"""",'Students (Vertical)'!P:P&gt;1))},countifs({unique(filter('Students (Vertical)'!O:O,'Students (Vertical)'!C:C=B151,'Students (Vertical)'!O:O&lt;&gt;"""",'Students (Vertical)'!P:P&gt;1));unique(filter('Students (Vertical)'"&amp;"!O:O,'Students (Vertical)'!C:C=E151,'Students (Vertical)'!O:O&lt;&gt;"""",'Students (Vertical)'!P:P&gt;1))},{unique(filter('Students (Vertical)'!O:O,'Students (Vertical)'!C:C=B151,'Students (Vertical)'!O:O&lt;&gt;"""",'Students (Vertical)'!P:P&gt;1));unique(filter('Student"&amp;"s (Vertical)'!O:O,'Students (Vertical)'!C:C=E151,'Students (Vertical)'!O:O&lt;&gt;"""",'Students (Vertical)'!P:P&gt;1))})&gt;1))),""""),"""")"),"")</f>
        <v/>
      </c>
      <c r="K151" s="96" t="str">
        <f>IFERROR(__xludf.DUMMYFUNCTION("iferror(join("", "",unique(filter({filter('Students (Vertical)'!D:D,'Students (Vertical)'!C:C=B151,'Students (Vertical)'!D:D&lt;&gt;"""");filter('Students (Vertical)'!D:D,'Students (Vertical)'!C:C=E151,'Students (Vertical)'!D:D&lt;&gt;"""")},countifs({filter('Student"&amp;"s (Vertical)'!D:D,'Students (Vertical)'!C:C=B151,'Students (Vertical)'!D:D&lt;&gt;"""");filter('Students (Vertical)'!D:D,'Students (Vertical)'!C:C=E151,'Students (Vertical)'!D:D&lt;&gt;"""")},{filter('Students (Vertical)'!D:D,'Students (Vertical)'!C:C=B151,'Students "&amp;"(Vertical)'!D:D&lt;&gt;"""");filter('Students (Vertical)'!D:D,'Students (Vertical)'!C:C=E151,'Students (Vertical)'!D:D&lt;&gt;"""")})&gt;1))),"""")"),"")</f>
        <v/>
      </c>
      <c r="L151" s="96"/>
      <c r="M151" s="96"/>
    </row>
    <row r="152" hidden="1">
      <c r="A152" s="8" t="s">
        <v>8</v>
      </c>
      <c r="C152" s="8" t="s">
        <v>8</v>
      </c>
      <c r="D152" s="8" t="s">
        <v>8</v>
      </c>
      <c r="F152" s="8" t="s">
        <v>8</v>
      </c>
      <c r="G152" s="8" t="s">
        <v>8</v>
      </c>
      <c r="I152" s="94" t="str">
        <f>IFERROR(__xludf.DUMMYFUNCTION("if(H152=""Must be Together"",iferror(join("", "",unique(filter({filter('Students (Vertical)'!O:O,'Students (Vertical)'!C:C=B152,'Students (Vertical)'!O:O&lt;&gt;"""");filter('Students (Vertical)'!O:O,'Students (Vertical)'!C:C=E152,'Students (Vertical)'!O:O&lt;&gt;"""&amp;""")},countifs({filter('Students (Vertical)'!O:O,'Students (Vertical)'!C:C=B152,'Students (Vertical)'!O:O&lt;&gt;"""");filter('Students (Vertical)'!O:O,'Students (Vertical)'!C:C=E152,'Students (Vertical)'!O:O&lt;&gt;"""")},{filter('Students (Vertical)'!O:O,'Students ("&amp;"Vertical)'!C:C=B152,'Students (Vertical)'!O:O&lt;&gt;"""");filter('Students (Vertical)'!O:O,'Students (Vertical)'!C:C=E152,'Students (Vertical)'!O:O&lt;&gt;"""")})&gt;1))),""No shared courses""),"""")"),"")</f>
        <v/>
      </c>
      <c r="J152" s="94" t="str">
        <f>IFERROR(__xludf.DUMMYFUNCTION("if(H152=""Can't be Together"",iferror(join("", "",unique(filter({unique(filter('Students (Vertical)'!O:O,'Students (Vertical)'!C:C=B152,'Students (Vertical)'!O:O&lt;&gt;"""",'Students (Vertical)'!P:P&gt;1));unique(filter('Students (Vertical)'!O:O,'Students (Vertic"&amp;"al)'!C:C=E152,'Students (Vertical)'!O:O&lt;&gt;"""",'Students (Vertical)'!P:P&gt;1))},countifs({unique(filter('Students (Vertical)'!O:O,'Students (Vertical)'!C:C=B152,'Students (Vertical)'!O:O&lt;&gt;"""",'Students (Vertical)'!P:P&gt;1));unique(filter('Students (Vertical)'"&amp;"!O:O,'Students (Vertical)'!C:C=E152,'Students (Vertical)'!O:O&lt;&gt;"""",'Students (Vertical)'!P:P&gt;1))},{unique(filter('Students (Vertical)'!O:O,'Students (Vertical)'!C:C=B152,'Students (Vertical)'!O:O&lt;&gt;"""",'Students (Vertical)'!P:P&gt;1));unique(filter('Student"&amp;"s (Vertical)'!O:O,'Students (Vertical)'!C:C=E152,'Students (Vertical)'!O:O&lt;&gt;"""",'Students (Vertical)'!P:P&gt;1))})&gt;1))),""""),"""")"),"")</f>
        <v/>
      </c>
      <c r="K152" s="96" t="str">
        <f>IFERROR(__xludf.DUMMYFUNCTION("iferror(join("", "",unique(filter({filter('Students (Vertical)'!D:D,'Students (Vertical)'!C:C=B152,'Students (Vertical)'!D:D&lt;&gt;"""");filter('Students (Vertical)'!D:D,'Students (Vertical)'!C:C=E152,'Students (Vertical)'!D:D&lt;&gt;"""")},countifs({filter('Student"&amp;"s (Vertical)'!D:D,'Students (Vertical)'!C:C=B152,'Students (Vertical)'!D:D&lt;&gt;"""");filter('Students (Vertical)'!D:D,'Students (Vertical)'!C:C=E152,'Students (Vertical)'!D:D&lt;&gt;"""")},{filter('Students (Vertical)'!D:D,'Students (Vertical)'!C:C=B152,'Students "&amp;"(Vertical)'!D:D&lt;&gt;"""");filter('Students (Vertical)'!D:D,'Students (Vertical)'!C:C=E152,'Students (Vertical)'!D:D&lt;&gt;"""")})&gt;1))),"""")"),"")</f>
        <v/>
      </c>
      <c r="L152" s="96"/>
      <c r="M152" s="96"/>
    </row>
    <row r="153" hidden="1">
      <c r="A153" s="8" t="s">
        <v>8</v>
      </c>
      <c r="C153" s="8" t="s">
        <v>8</v>
      </c>
      <c r="D153" s="8" t="s">
        <v>8</v>
      </c>
      <c r="F153" s="8" t="s">
        <v>8</v>
      </c>
      <c r="G153" s="8" t="s">
        <v>8</v>
      </c>
      <c r="I153" s="94" t="str">
        <f>IFERROR(__xludf.DUMMYFUNCTION("if(H153=""Must be Together"",iferror(join("", "",unique(filter({filter('Students (Vertical)'!O:O,'Students (Vertical)'!C:C=B153,'Students (Vertical)'!O:O&lt;&gt;"""");filter('Students (Vertical)'!O:O,'Students (Vertical)'!C:C=E153,'Students (Vertical)'!O:O&lt;&gt;"""&amp;""")},countifs({filter('Students (Vertical)'!O:O,'Students (Vertical)'!C:C=B153,'Students (Vertical)'!O:O&lt;&gt;"""");filter('Students (Vertical)'!O:O,'Students (Vertical)'!C:C=E153,'Students (Vertical)'!O:O&lt;&gt;"""")},{filter('Students (Vertical)'!O:O,'Students ("&amp;"Vertical)'!C:C=B153,'Students (Vertical)'!O:O&lt;&gt;"""");filter('Students (Vertical)'!O:O,'Students (Vertical)'!C:C=E153,'Students (Vertical)'!O:O&lt;&gt;"""")})&gt;1))),""No shared courses""),"""")"),"")</f>
        <v/>
      </c>
      <c r="J153" s="94" t="str">
        <f>IFERROR(__xludf.DUMMYFUNCTION("if(H153=""Can't be Together"",iferror(join("", "",unique(filter({unique(filter('Students (Vertical)'!O:O,'Students (Vertical)'!C:C=B153,'Students (Vertical)'!O:O&lt;&gt;"""",'Students (Vertical)'!P:P&gt;1));unique(filter('Students (Vertical)'!O:O,'Students (Vertic"&amp;"al)'!C:C=E153,'Students (Vertical)'!O:O&lt;&gt;"""",'Students (Vertical)'!P:P&gt;1))},countifs({unique(filter('Students (Vertical)'!O:O,'Students (Vertical)'!C:C=B153,'Students (Vertical)'!O:O&lt;&gt;"""",'Students (Vertical)'!P:P&gt;1));unique(filter('Students (Vertical)'"&amp;"!O:O,'Students (Vertical)'!C:C=E153,'Students (Vertical)'!O:O&lt;&gt;"""",'Students (Vertical)'!P:P&gt;1))},{unique(filter('Students (Vertical)'!O:O,'Students (Vertical)'!C:C=B153,'Students (Vertical)'!O:O&lt;&gt;"""",'Students (Vertical)'!P:P&gt;1));unique(filter('Student"&amp;"s (Vertical)'!O:O,'Students (Vertical)'!C:C=E153,'Students (Vertical)'!O:O&lt;&gt;"""",'Students (Vertical)'!P:P&gt;1))})&gt;1))),""""),"""")"),"")</f>
        <v/>
      </c>
      <c r="K153" s="96" t="str">
        <f>IFERROR(__xludf.DUMMYFUNCTION("iferror(join("", "",unique(filter({filter('Students (Vertical)'!D:D,'Students (Vertical)'!C:C=B153,'Students (Vertical)'!D:D&lt;&gt;"""");filter('Students (Vertical)'!D:D,'Students (Vertical)'!C:C=E153,'Students (Vertical)'!D:D&lt;&gt;"""")},countifs({filter('Student"&amp;"s (Vertical)'!D:D,'Students (Vertical)'!C:C=B153,'Students (Vertical)'!D:D&lt;&gt;"""");filter('Students (Vertical)'!D:D,'Students (Vertical)'!C:C=E153,'Students (Vertical)'!D:D&lt;&gt;"""")},{filter('Students (Vertical)'!D:D,'Students (Vertical)'!C:C=B153,'Students "&amp;"(Vertical)'!D:D&lt;&gt;"""");filter('Students (Vertical)'!D:D,'Students (Vertical)'!C:C=E153,'Students (Vertical)'!D:D&lt;&gt;"""")})&gt;1))),"""")"),"")</f>
        <v/>
      </c>
      <c r="L153" s="96"/>
      <c r="M153" s="96"/>
    </row>
    <row r="154" hidden="1">
      <c r="A154" s="8" t="s">
        <v>8</v>
      </c>
      <c r="C154" s="8" t="s">
        <v>8</v>
      </c>
      <c r="D154" s="8" t="s">
        <v>8</v>
      </c>
      <c r="F154" s="8" t="s">
        <v>8</v>
      </c>
      <c r="G154" s="8" t="s">
        <v>8</v>
      </c>
      <c r="I154" s="94" t="str">
        <f>IFERROR(__xludf.DUMMYFUNCTION("if(H154=""Must be Together"",iferror(join("", "",unique(filter({filter('Students (Vertical)'!O:O,'Students (Vertical)'!C:C=B154,'Students (Vertical)'!O:O&lt;&gt;"""");filter('Students (Vertical)'!O:O,'Students (Vertical)'!C:C=E154,'Students (Vertical)'!O:O&lt;&gt;"""&amp;""")},countifs({filter('Students (Vertical)'!O:O,'Students (Vertical)'!C:C=B154,'Students (Vertical)'!O:O&lt;&gt;"""");filter('Students (Vertical)'!O:O,'Students (Vertical)'!C:C=E154,'Students (Vertical)'!O:O&lt;&gt;"""")},{filter('Students (Vertical)'!O:O,'Students ("&amp;"Vertical)'!C:C=B154,'Students (Vertical)'!O:O&lt;&gt;"""");filter('Students (Vertical)'!O:O,'Students (Vertical)'!C:C=E154,'Students (Vertical)'!O:O&lt;&gt;"""")})&gt;1))),""No shared courses""),"""")"),"")</f>
        <v/>
      </c>
      <c r="J154" s="94" t="str">
        <f>IFERROR(__xludf.DUMMYFUNCTION("if(H154=""Can't be Together"",iferror(join("", "",unique(filter({unique(filter('Students (Vertical)'!O:O,'Students (Vertical)'!C:C=B154,'Students (Vertical)'!O:O&lt;&gt;"""",'Students (Vertical)'!P:P&gt;1));unique(filter('Students (Vertical)'!O:O,'Students (Vertic"&amp;"al)'!C:C=E154,'Students (Vertical)'!O:O&lt;&gt;"""",'Students (Vertical)'!P:P&gt;1))},countifs({unique(filter('Students (Vertical)'!O:O,'Students (Vertical)'!C:C=B154,'Students (Vertical)'!O:O&lt;&gt;"""",'Students (Vertical)'!P:P&gt;1));unique(filter('Students (Vertical)'"&amp;"!O:O,'Students (Vertical)'!C:C=E154,'Students (Vertical)'!O:O&lt;&gt;"""",'Students (Vertical)'!P:P&gt;1))},{unique(filter('Students (Vertical)'!O:O,'Students (Vertical)'!C:C=B154,'Students (Vertical)'!O:O&lt;&gt;"""",'Students (Vertical)'!P:P&gt;1));unique(filter('Student"&amp;"s (Vertical)'!O:O,'Students (Vertical)'!C:C=E154,'Students (Vertical)'!O:O&lt;&gt;"""",'Students (Vertical)'!P:P&gt;1))})&gt;1))),""""),"""")"),"")</f>
        <v/>
      </c>
      <c r="K154" s="96" t="str">
        <f>IFERROR(__xludf.DUMMYFUNCTION("iferror(join("", "",unique(filter({filter('Students (Vertical)'!D:D,'Students (Vertical)'!C:C=B154,'Students (Vertical)'!D:D&lt;&gt;"""");filter('Students (Vertical)'!D:D,'Students (Vertical)'!C:C=E154,'Students (Vertical)'!D:D&lt;&gt;"""")},countifs({filter('Student"&amp;"s (Vertical)'!D:D,'Students (Vertical)'!C:C=B154,'Students (Vertical)'!D:D&lt;&gt;"""");filter('Students (Vertical)'!D:D,'Students (Vertical)'!C:C=E154,'Students (Vertical)'!D:D&lt;&gt;"""")},{filter('Students (Vertical)'!D:D,'Students (Vertical)'!C:C=B154,'Students "&amp;"(Vertical)'!D:D&lt;&gt;"""");filter('Students (Vertical)'!D:D,'Students (Vertical)'!C:C=E154,'Students (Vertical)'!D:D&lt;&gt;"""")})&gt;1))),"""")"),"")</f>
        <v/>
      </c>
      <c r="L154" s="96"/>
      <c r="M154" s="96"/>
    </row>
    <row r="155" hidden="1">
      <c r="A155" s="8" t="s">
        <v>8</v>
      </c>
      <c r="C155" s="8" t="s">
        <v>8</v>
      </c>
      <c r="D155" s="8" t="s">
        <v>8</v>
      </c>
      <c r="F155" s="8" t="s">
        <v>8</v>
      </c>
      <c r="G155" s="8" t="s">
        <v>8</v>
      </c>
      <c r="I155" s="94" t="str">
        <f>IFERROR(__xludf.DUMMYFUNCTION("if(H155=""Must be Together"",iferror(join("", "",unique(filter({filter('Students (Vertical)'!O:O,'Students (Vertical)'!C:C=B155,'Students (Vertical)'!O:O&lt;&gt;"""");filter('Students (Vertical)'!O:O,'Students (Vertical)'!C:C=E155,'Students (Vertical)'!O:O&lt;&gt;"""&amp;""")},countifs({filter('Students (Vertical)'!O:O,'Students (Vertical)'!C:C=B155,'Students (Vertical)'!O:O&lt;&gt;"""");filter('Students (Vertical)'!O:O,'Students (Vertical)'!C:C=E155,'Students (Vertical)'!O:O&lt;&gt;"""")},{filter('Students (Vertical)'!O:O,'Students ("&amp;"Vertical)'!C:C=B155,'Students (Vertical)'!O:O&lt;&gt;"""");filter('Students (Vertical)'!O:O,'Students (Vertical)'!C:C=E155,'Students (Vertical)'!O:O&lt;&gt;"""")})&gt;1))),""No shared courses""),"""")"),"")</f>
        <v/>
      </c>
      <c r="J155" s="94" t="str">
        <f>IFERROR(__xludf.DUMMYFUNCTION("if(H155=""Can't be Together"",iferror(join("", "",unique(filter({unique(filter('Students (Vertical)'!O:O,'Students (Vertical)'!C:C=B155,'Students (Vertical)'!O:O&lt;&gt;"""",'Students (Vertical)'!P:P&gt;1));unique(filter('Students (Vertical)'!O:O,'Students (Vertic"&amp;"al)'!C:C=E155,'Students (Vertical)'!O:O&lt;&gt;"""",'Students (Vertical)'!P:P&gt;1))},countifs({unique(filter('Students (Vertical)'!O:O,'Students (Vertical)'!C:C=B155,'Students (Vertical)'!O:O&lt;&gt;"""",'Students (Vertical)'!P:P&gt;1));unique(filter('Students (Vertical)'"&amp;"!O:O,'Students (Vertical)'!C:C=E155,'Students (Vertical)'!O:O&lt;&gt;"""",'Students (Vertical)'!P:P&gt;1))},{unique(filter('Students (Vertical)'!O:O,'Students (Vertical)'!C:C=B155,'Students (Vertical)'!O:O&lt;&gt;"""",'Students (Vertical)'!P:P&gt;1));unique(filter('Student"&amp;"s (Vertical)'!O:O,'Students (Vertical)'!C:C=E155,'Students (Vertical)'!O:O&lt;&gt;"""",'Students (Vertical)'!P:P&gt;1))})&gt;1))),""""),"""")"),"")</f>
        <v/>
      </c>
      <c r="K155" s="96" t="str">
        <f>IFERROR(__xludf.DUMMYFUNCTION("iferror(join("", "",unique(filter({filter('Students (Vertical)'!D:D,'Students (Vertical)'!C:C=B155,'Students (Vertical)'!D:D&lt;&gt;"""");filter('Students (Vertical)'!D:D,'Students (Vertical)'!C:C=E155,'Students (Vertical)'!D:D&lt;&gt;"""")},countifs({filter('Student"&amp;"s (Vertical)'!D:D,'Students (Vertical)'!C:C=B155,'Students (Vertical)'!D:D&lt;&gt;"""");filter('Students (Vertical)'!D:D,'Students (Vertical)'!C:C=E155,'Students (Vertical)'!D:D&lt;&gt;"""")},{filter('Students (Vertical)'!D:D,'Students (Vertical)'!C:C=B155,'Students "&amp;"(Vertical)'!D:D&lt;&gt;"""");filter('Students (Vertical)'!D:D,'Students (Vertical)'!C:C=E155,'Students (Vertical)'!D:D&lt;&gt;"""")})&gt;1))),"""")"),"")</f>
        <v/>
      </c>
      <c r="L155" s="96"/>
      <c r="M155" s="96"/>
    </row>
    <row r="156" hidden="1">
      <c r="A156" s="8" t="s">
        <v>8</v>
      </c>
      <c r="C156" s="8" t="s">
        <v>8</v>
      </c>
      <c r="D156" s="8" t="s">
        <v>8</v>
      </c>
      <c r="F156" s="8" t="s">
        <v>8</v>
      </c>
      <c r="G156" s="8" t="s">
        <v>8</v>
      </c>
      <c r="I156" s="94" t="str">
        <f>IFERROR(__xludf.DUMMYFUNCTION("if(H156=""Must be Together"",iferror(join("", "",unique(filter({filter('Students (Vertical)'!O:O,'Students (Vertical)'!C:C=B156,'Students (Vertical)'!O:O&lt;&gt;"""");filter('Students (Vertical)'!O:O,'Students (Vertical)'!C:C=E156,'Students (Vertical)'!O:O&lt;&gt;"""&amp;""")},countifs({filter('Students (Vertical)'!O:O,'Students (Vertical)'!C:C=B156,'Students (Vertical)'!O:O&lt;&gt;"""");filter('Students (Vertical)'!O:O,'Students (Vertical)'!C:C=E156,'Students (Vertical)'!O:O&lt;&gt;"""")},{filter('Students (Vertical)'!O:O,'Students ("&amp;"Vertical)'!C:C=B156,'Students (Vertical)'!O:O&lt;&gt;"""");filter('Students (Vertical)'!O:O,'Students (Vertical)'!C:C=E156,'Students (Vertical)'!O:O&lt;&gt;"""")})&gt;1))),""No shared courses""),"""")"),"")</f>
        <v/>
      </c>
      <c r="J156" s="94" t="str">
        <f>IFERROR(__xludf.DUMMYFUNCTION("if(H156=""Can't be Together"",iferror(join("", "",unique(filter({unique(filter('Students (Vertical)'!O:O,'Students (Vertical)'!C:C=B156,'Students (Vertical)'!O:O&lt;&gt;"""",'Students (Vertical)'!P:P&gt;1));unique(filter('Students (Vertical)'!O:O,'Students (Vertic"&amp;"al)'!C:C=E156,'Students (Vertical)'!O:O&lt;&gt;"""",'Students (Vertical)'!P:P&gt;1))},countifs({unique(filter('Students (Vertical)'!O:O,'Students (Vertical)'!C:C=B156,'Students (Vertical)'!O:O&lt;&gt;"""",'Students (Vertical)'!P:P&gt;1));unique(filter('Students (Vertical)'"&amp;"!O:O,'Students (Vertical)'!C:C=E156,'Students (Vertical)'!O:O&lt;&gt;"""",'Students (Vertical)'!P:P&gt;1))},{unique(filter('Students (Vertical)'!O:O,'Students (Vertical)'!C:C=B156,'Students (Vertical)'!O:O&lt;&gt;"""",'Students (Vertical)'!P:P&gt;1));unique(filter('Student"&amp;"s (Vertical)'!O:O,'Students (Vertical)'!C:C=E156,'Students (Vertical)'!O:O&lt;&gt;"""",'Students (Vertical)'!P:P&gt;1))})&gt;1))),""""),"""")"),"")</f>
        <v/>
      </c>
      <c r="K156" s="96" t="str">
        <f>IFERROR(__xludf.DUMMYFUNCTION("iferror(join("", "",unique(filter({filter('Students (Vertical)'!D:D,'Students (Vertical)'!C:C=B156,'Students (Vertical)'!D:D&lt;&gt;"""");filter('Students (Vertical)'!D:D,'Students (Vertical)'!C:C=E156,'Students (Vertical)'!D:D&lt;&gt;"""")},countifs({filter('Student"&amp;"s (Vertical)'!D:D,'Students (Vertical)'!C:C=B156,'Students (Vertical)'!D:D&lt;&gt;"""");filter('Students (Vertical)'!D:D,'Students (Vertical)'!C:C=E156,'Students (Vertical)'!D:D&lt;&gt;"""")},{filter('Students (Vertical)'!D:D,'Students (Vertical)'!C:C=B156,'Students "&amp;"(Vertical)'!D:D&lt;&gt;"""");filter('Students (Vertical)'!D:D,'Students (Vertical)'!C:C=E156,'Students (Vertical)'!D:D&lt;&gt;"""")})&gt;1))),"""")"),"")</f>
        <v/>
      </c>
      <c r="L156" s="96"/>
      <c r="M156" s="96"/>
    </row>
    <row r="157" hidden="1">
      <c r="A157" s="8" t="s">
        <v>8</v>
      </c>
      <c r="C157" s="8" t="s">
        <v>8</v>
      </c>
      <c r="D157" s="8" t="s">
        <v>8</v>
      </c>
      <c r="F157" s="8" t="s">
        <v>8</v>
      </c>
      <c r="G157" s="8" t="s">
        <v>8</v>
      </c>
      <c r="I157" s="94" t="str">
        <f>IFERROR(__xludf.DUMMYFUNCTION("if(H157=""Must be Together"",iferror(join("", "",unique(filter({filter('Students (Vertical)'!O:O,'Students (Vertical)'!C:C=B157,'Students (Vertical)'!O:O&lt;&gt;"""");filter('Students (Vertical)'!O:O,'Students (Vertical)'!C:C=E157,'Students (Vertical)'!O:O&lt;&gt;"""&amp;""")},countifs({filter('Students (Vertical)'!O:O,'Students (Vertical)'!C:C=B157,'Students (Vertical)'!O:O&lt;&gt;"""");filter('Students (Vertical)'!O:O,'Students (Vertical)'!C:C=E157,'Students (Vertical)'!O:O&lt;&gt;"""")},{filter('Students (Vertical)'!O:O,'Students ("&amp;"Vertical)'!C:C=B157,'Students (Vertical)'!O:O&lt;&gt;"""");filter('Students (Vertical)'!O:O,'Students (Vertical)'!C:C=E157,'Students (Vertical)'!O:O&lt;&gt;"""")})&gt;1))),""No shared courses""),"""")"),"")</f>
        <v/>
      </c>
      <c r="J157" s="94" t="str">
        <f>IFERROR(__xludf.DUMMYFUNCTION("if(H157=""Can't be Together"",iferror(join("", "",unique(filter({unique(filter('Students (Vertical)'!O:O,'Students (Vertical)'!C:C=B157,'Students (Vertical)'!O:O&lt;&gt;"""",'Students (Vertical)'!P:P&gt;1));unique(filter('Students (Vertical)'!O:O,'Students (Vertic"&amp;"al)'!C:C=E157,'Students (Vertical)'!O:O&lt;&gt;"""",'Students (Vertical)'!P:P&gt;1))},countifs({unique(filter('Students (Vertical)'!O:O,'Students (Vertical)'!C:C=B157,'Students (Vertical)'!O:O&lt;&gt;"""",'Students (Vertical)'!P:P&gt;1));unique(filter('Students (Vertical)'"&amp;"!O:O,'Students (Vertical)'!C:C=E157,'Students (Vertical)'!O:O&lt;&gt;"""",'Students (Vertical)'!P:P&gt;1))},{unique(filter('Students (Vertical)'!O:O,'Students (Vertical)'!C:C=B157,'Students (Vertical)'!O:O&lt;&gt;"""",'Students (Vertical)'!P:P&gt;1));unique(filter('Student"&amp;"s (Vertical)'!O:O,'Students (Vertical)'!C:C=E157,'Students (Vertical)'!O:O&lt;&gt;"""",'Students (Vertical)'!P:P&gt;1))})&gt;1))),""""),"""")"),"")</f>
        <v/>
      </c>
      <c r="K157" s="96" t="str">
        <f>IFERROR(__xludf.DUMMYFUNCTION("iferror(join("", "",unique(filter({filter('Students (Vertical)'!D:D,'Students (Vertical)'!C:C=B157,'Students (Vertical)'!D:D&lt;&gt;"""");filter('Students (Vertical)'!D:D,'Students (Vertical)'!C:C=E157,'Students (Vertical)'!D:D&lt;&gt;"""")},countifs({filter('Student"&amp;"s (Vertical)'!D:D,'Students (Vertical)'!C:C=B157,'Students (Vertical)'!D:D&lt;&gt;"""");filter('Students (Vertical)'!D:D,'Students (Vertical)'!C:C=E157,'Students (Vertical)'!D:D&lt;&gt;"""")},{filter('Students (Vertical)'!D:D,'Students (Vertical)'!C:C=B157,'Students "&amp;"(Vertical)'!D:D&lt;&gt;"""");filter('Students (Vertical)'!D:D,'Students (Vertical)'!C:C=E157,'Students (Vertical)'!D:D&lt;&gt;"""")})&gt;1))),"""")"),"")</f>
        <v/>
      </c>
      <c r="L157" s="96"/>
      <c r="M157" s="96"/>
    </row>
    <row r="158" hidden="1">
      <c r="A158" s="8" t="s">
        <v>8</v>
      </c>
      <c r="C158" s="8" t="s">
        <v>8</v>
      </c>
      <c r="D158" s="8" t="s">
        <v>8</v>
      </c>
      <c r="F158" s="8" t="s">
        <v>8</v>
      </c>
      <c r="G158" s="8" t="s">
        <v>8</v>
      </c>
      <c r="I158" s="94" t="str">
        <f>IFERROR(__xludf.DUMMYFUNCTION("if(H158=""Must be Together"",iferror(join("", "",unique(filter({filter('Students (Vertical)'!O:O,'Students (Vertical)'!C:C=B158,'Students (Vertical)'!O:O&lt;&gt;"""");filter('Students (Vertical)'!O:O,'Students (Vertical)'!C:C=E158,'Students (Vertical)'!O:O&lt;&gt;"""&amp;""")},countifs({filter('Students (Vertical)'!O:O,'Students (Vertical)'!C:C=B158,'Students (Vertical)'!O:O&lt;&gt;"""");filter('Students (Vertical)'!O:O,'Students (Vertical)'!C:C=E158,'Students (Vertical)'!O:O&lt;&gt;"""")},{filter('Students (Vertical)'!O:O,'Students ("&amp;"Vertical)'!C:C=B158,'Students (Vertical)'!O:O&lt;&gt;"""");filter('Students (Vertical)'!O:O,'Students (Vertical)'!C:C=E158,'Students (Vertical)'!O:O&lt;&gt;"""")})&gt;1))),""No shared courses""),"""")"),"")</f>
        <v/>
      </c>
      <c r="J158" s="94" t="str">
        <f>IFERROR(__xludf.DUMMYFUNCTION("if(H158=""Can't be Together"",iferror(join("", "",unique(filter({unique(filter('Students (Vertical)'!O:O,'Students (Vertical)'!C:C=B158,'Students (Vertical)'!O:O&lt;&gt;"""",'Students (Vertical)'!P:P&gt;1));unique(filter('Students (Vertical)'!O:O,'Students (Vertic"&amp;"al)'!C:C=E158,'Students (Vertical)'!O:O&lt;&gt;"""",'Students (Vertical)'!P:P&gt;1))},countifs({unique(filter('Students (Vertical)'!O:O,'Students (Vertical)'!C:C=B158,'Students (Vertical)'!O:O&lt;&gt;"""",'Students (Vertical)'!P:P&gt;1));unique(filter('Students (Vertical)'"&amp;"!O:O,'Students (Vertical)'!C:C=E158,'Students (Vertical)'!O:O&lt;&gt;"""",'Students (Vertical)'!P:P&gt;1))},{unique(filter('Students (Vertical)'!O:O,'Students (Vertical)'!C:C=B158,'Students (Vertical)'!O:O&lt;&gt;"""",'Students (Vertical)'!P:P&gt;1));unique(filter('Student"&amp;"s (Vertical)'!O:O,'Students (Vertical)'!C:C=E158,'Students (Vertical)'!O:O&lt;&gt;"""",'Students (Vertical)'!P:P&gt;1))})&gt;1))),""""),"""")"),"")</f>
        <v/>
      </c>
      <c r="K158" s="96" t="str">
        <f>IFERROR(__xludf.DUMMYFUNCTION("iferror(join("", "",unique(filter({filter('Students (Vertical)'!D:D,'Students (Vertical)'!C:C=B158,'Students (Vertical)'!D:D&lt;&gt;"""");filter('Students (Vertical)'!D:D,'Students (Vertical)'!C:C=E158,'Students (Vertical)'!D:D&lt;&gt;"""")},countifs({filter('Student"&amp;"s (Vertical)'!D:D,'Students (Vertical)'!C:C=B158,'Students (Vertical)'!D:D&lt;&gt;"""");filter('Students (Vertical)'!D:D,'Students (Vertical)'!C:C=E158,'Students (Vertical)'!D:D&lt;&gt;"""")},{filter('Students (Vertical)'!D:D,'Students (Vertical)'!C:C=B158,'Students "&amp;"(Vertical)'!D:D&lt;&gt;"""");filter('Students (Vertical)'!D:D,'Students (Vertical)'!C:C=E158,'Students (Vertical)'!D:D&lt;&gt;"""")})&gt;1))),"""")"),"")</f>
        <v/>
      </c>
      <c r="L158" s="96"/>
      <c r="M158" s="96"/>
    </row>
    <row r="159" hidden="1">
      <c r="A159" s="8" t="s">
        <v>8</v>
      </c>
      <c r="C159" s="8" t="s">
        <v>8</v>
      </c>
      <c r="D159" s="8" t="s">
        <v>8</v>
      </c>
      <c r="F159" s="8" t="s">
        <v>8</v>
      </c>
      <c r="G159" s="8" t="s">
        <v>8</v>
      </c>
      <c r="I159" s="94" t="str">
        <f>IFERROR(__xludf.DUMMYFUNCTION("if(H159=""Must be Together"",iferror(join("", "",unique(filter({filter('Students (Vertical)'!O:O,'Students (Vertical)'!C:C=B159,'Students (Vertical)'!O:O&lt;&gt;"""");filter('Students (Vertical)'!O:O,'Students (Vertical)'!C:C=E159,'Students (Vertical)'!O:O&lt;&gt;"""&amp;""")},countifs({filter('Students (Vertical)'!O:O,'Students (Vertical)'!C:C=B159,'Students (Vertical)'!O:O&lt;&gt;"""");filter('Students (Vertical)'!O:O,'Students (Vertical)'!C:C=E159,'Students (Vertical)'!O:O&lt;&gt;"""")},{filter('Students (Vertical)'!O:O,'Students ("&amp;"Vertical)'!C:C=B159,'Students (Vertical)'!O:O&lt;&gt;"""");filter('Students (Vertical)'!O:O,'Students (Vertical)'!C:C=E159,'Students (Vertical)'!O:O&lt;&gt;"""")})&gt;1))),""No shared courses""),"""")"),"")</f>
        <v/>
      </c>
      <c r="J159" s="94" t="str">
        <f>IFERROR(__xludf.DUMMYFUNCTION("if(H159=""Can't be Together"",iferror(join("", "",unique(filter({unique(filter('Students (Vertical)'!O:O,'Students (Vertical)'!C:C=B159,'Students (Vertical)'!O:O&lt;&gt;"""",'Students (Vertical)'!P:P&gt;1));unique(filter('Students (Vertical)'!O:O,'Students (Vertic"&amp;"al)'!C:C=E159,'Students (Vertical)'!O:O&lt;&gt;"""",'Students (Vertical)'!P:P&gt;1))},countifs({unique(filter('Students (Vertical)'!O:O,'Students (Vertical)'!C:C=B159,'Students (Vertical)'!O:O&lt;&gt;"""",'Students (Vertical)'!P:P&gt;1));unique(filter('Students (Vertical)'"&amp;"!O:O,'Students (Vertical)'!C:C=E159,'Students (Vertical)'!O:O&lt;&gt;"""",'Students (Vertical)'!P:P&gt;1))},{unique(filter('Students (Vertical)'!O:O,'Students (Vertical)'!C:C=B159,'Students (Vertical)'!O:O&lt;&gt;"""",'Students (Vertical)'!P:P&gt;1));unique(filter('Student"&amp;"s (Vertical)'!O:O,'Students (Vertical)'!C:C=E159,'Students (Vertical)'!O:O&lt;&gt;"""",'Students (Vertical)'!P:P&gt;1))})&gt;1))),""""),"""")"),"")</f>
        <v/>
      </c>
      <c r="K159" s="96" t="str">
        <f>IFERROR(__xludf.DUMMYFUNCTION("iferror(join("", "",unique(filter({filter('Students (Vertical)'!D:D,'Students (Vertical)'!C:C=B159,'Students (Vertical)'!D:D&lt;&gt;"""");filter('Students (Vertical)'!D:D,'Students (Vertical)'!C:C=E159,'Students (Vertical)'!D:D&lt;&gt;"""")},countifs({filter('Student"&amp;"s (Vertical)'!D:D,'Students (Vertical)'!C:C=B159,'Students (Vertical)'!D:D&lt;&gt;"""");filter('Students (Vertical)'!D:D,'Students (Vertical)'!C:C=E159,'Students (Vertical)'!D:D&lt;&gt;"""")},{filter('Students (Vertical)'!D:D,'Students (Vertical)'!C:C=B159,'Students "&amp;"(Vertical)'!D:D&lt;&gt;"""");filter('Students (Vertical)'!D:D,'Students (Vertical)'!C:C=E159,'Students (Vertical)'!D:D&lt;&gt;"""")})&gt;1))),"""")"),"")</f>
        <v/>
      </c>
      <c r="L159" s="96"/>
      <c r="M159" s="96"/>
    </row>
    <row r="160" hidden="1">
      <c r="A160" s="8" t="s">
        <v>8</v>
      </c>
      <c r="C160" s="8" t="s">
        <v>8</v>
      </c>
      <c r="D160" s="8" t="s">
        <v>8</v>
      </c>
      <c r="F160" s="8" t="s">
        <v>8</v>
      </c>
      <c r="G160" s="8" t="s">
        <v>8</v>
      </c>
      <c r="I160" s="94" t="str">
        <f>IFERROR(__xludf.DUMMYFUNCTION("if(H160=""Must be Together"",iferror(join("", "",unique(filter({filter('Students (Vertical)'!O:O,'Students (Vertical)'!C:C=B160,'Students (Vertical)'!O:O&lt;&gt;"""");filter('Students (Vertical)'!O:O,'Students (Vertical)'!C:C=E160,'Students (Vertical)'!O:O&lt;&gt;"""&amp;""")},countifs({filter('Students (Vertical)'!O:O,'Students (Vertical)'!C:C=B160,'Students (Vertical)'!O:O&lt;&gt;"""");filter('Students (Vertical)'!O:O,'Students (Vertical)'!C:C=E160,'Students (Vertical)'!O:O&lt;&gt;"""")},{filter('Students (Vertical)'!O:O,'Students ("&amp;"Vertical)'!C:C=B160,'Students (Vertical)'!O:O&lt;&gt;"""");filter('Students (Vertical)'!O:O,'Students (Vertical)'!C:C=E160,'Students (Vertical)'!O:O&lt;&gt;"""")})&gt;1))),""No shared courses""),"""")"),"")</f>
        <v/>
      </c>
      <c r="J160" s="94" t="str">
        <f>IFERROR(__xludf.DUMMYFUNCTION("if(H160=""Can't be Together"",iferror(join("", "",unique(filter({unique(filter('Students (Vertical)'!O:O,'Students (Vertical)'!C:C=B160,'Students (Vertical)'!O:O&lt;&gt;"""",'Students (Vertical)'!P:P&gt;1));unique(filter('Students (Vertical)'!O:O,'Students (Vertic"&amp;"al)'!C:C=E160,'Students (Vertical)'!O:O&lt;&gt;"""",'Students (Vertical)'!P:P&gt;1))},countifs({unique(filter('Students (Vertical)'!O:O,'Students (Vertical)'!C:C=B160,'Students (Vertical)'!O:O&lt;&gt;"""",'Students (Vertical)'!P:P&gt;1));unique(filter('Students (Vertical)'"&amp;"!O:O,'Students (Vertical)'!C:C=E160,'Students (Vertical)'!O:O&lt;&gt;"""",'Students (Vertical)'!P:P&gt;1))},{unique(filter('Students (Vertical)'!O:O,'Students (Vertical)'!C:C=B160,'Students (Vertical)'!O:O&lt;&gt;"""",'Students (Vertical)'!P:P&gt;1));unique(filter('Student"&amp;"s (Vertical)'!O:O,'Students (Vertical)'!C:C=E160,'Students (Vertical)'!O:O&lt;&gt;"""",'Students (Vertical)'!P:P&gt;1))})&gt;1))),""""),"""")"),"")</f>
        <v/>
      </c>
      <c r="K160" s="96" t="str">
        <f>IFERROR(__xludf.DUMMYFUNCTION("iferror(join("", "",unique(filter({filter('Students (Vertical)'!D:D,'Students (Vertical)'!C:C=B160,'Students (Vertical)'!D:D&lt;&gt;"""");filter('Students (Vertical)'!D:D,'Students (Vertical)'!C:C=E160,'Students (Vertical)'!D:D&lt;&gt;"""")},countifs({filter('Student"&amp;"s (Vertical)'!D:D,'Students (Vertical)'!C:C=B160,'Students (Vertical)'!D:D&lt;&gt;"""");filter('Students (Vertical)'!D:D,'Students (Vertical)'!C:C=E160,'Students (Vertical)'!D:D&lt;&gt;"""")},{filter('Students (Vertical)'!D:D,'Students (Vertical)'!C:C=B160,'Students "&amp;"(Vertical)'!D:D&lt;&gt;"""");filter('Students (Vertical)'!D:D,'Students (Vertical)'!C:C=E160,'Students (Vertical)'!D:D&lt;&gt;"""")})&gt;1))),"""")"),"")</f>
        <v/>
      </c>
      <c r="L160" s="96"/>
      <c r="M160" s="96"/>
    </row>
    <row r="161" hidden="1">
      <c r="A161" s="8" t="s">
        <v>8</v>
      </c>
      <c r="C161" s="8" t="s">
        <v>8</v>
      </c>
      <c r="D161" s="8" t="s">
        <v>8</v>
      </c>
      <c r="F161" s="8" t="s">
        <v>8</v>
      </c>
      <c r="G161" s="8" t="s">
        <v>8</v>
      </c>
      <c r="I161" s="94" t="str">
        <f>IFERROR(__xludf.DUMMYFUNCTION("if(H161=""Must be Together"",iferror(join("", "",unique(filter({filter('Students (Vertical)'!O:O,'Students (Vertical)'!C:C=B161,'Students (Vertical)'!O:O&lt;&gt;"""");filter('Students (Vertical)'!O:O,'Students (Vertical)'!C:C=E161,'Students (Vertical)'!O:O&lt;&gt;"""&amp;""")},countifs({filter('Students (Vertical)'!O:O,'Students (Vertical)'!C:C=B161,'Students (Vertical)'!O:O&lt;&gt;"""");filter('Students (Vertical)'!O:O,'Students (Vertical)'!C:C=E161,'Students (Vertical)'!O:O&lt;&gt;"""")},{filter('Students (Vertical)'!O:O,'Students ("&amp;"Vertical)'!C:C=B161,'Students (Vertical)'!O:O&lt;&gt;"""");filter('Students (Vertical)'!O:O,'Students (Vertical)'!C:C=E161,'Students (Vertical)'!O:O&lt;&gt;"""")})&gt;1))),""No shared courses""),"""")"),"")</f>
        <v/>
      </c>
      <c r="J161" s="94" t="str">
        <f>IFERROR(__xludf.DUMMYFUNCTION("if(H161=""Can't be Together"",iferror(join("", "",unique(filter({unique(filter('Students (Vertical)'!O:O,'Students (Vertical)'!C:C=B161,'Students (Vertical)'!O:O&lt;&gt;"""",'Students (Vertical)'!P:P&gt;1));unique(filter('Students (Vertical)'!O:O,'Students (Vertic"&amp;"al)'!C:C=E161,'Students (Vertical)'!O:O&lt;&gt;"""",'Students (Vertical)'!P:P&gt;1))},countifs({unique(filter('Students (Vertical)'!O:O,'Students (Vertical)'!C:C=B161,'Students (Vertical)'!O:O&lt;&gt;"""",'Students (Vertical)'!P:P&gt;1));unique(filter('Students (Vertical)'"&amp;"!O:O,'Students (Vertical)'!C:C=E161,'Students (Vertical)'!O:O&lt;&gt;"""",'Students (Vertical)'!P:P&gt;1))},{unique(filter('Students (Vertical)'!O:O,'Students (Vertical)'!C:C=B161,'Students (Vertical)'!O:O&lt;&gt;"""",'Students (Vertical)'!P:P&gt;1));unique(filter('Student"&amp;"s (Vertical)'!O:O,'Students (Vertical)'!C:C=E161,'Students (Vertical)'!O:O&lt;&gt;"""",'Students (Vertical)'!P:P&gt;1))})&gt;1))),""""),"""")"),"")</f>
        <v/>
      </c>
      <c r="K161" s="96" t="str">
        <f>IFERROR(__xludf.DUMMYFUNCTION("iferror(join("", "",unique(filter({filter('Students (Vertical)'!D:D,'Students (Vertical)'!C:C=B161,'Students (Vertical)'!D:D&lt;&gt;"""");filter('Students (Vertical)'!D:D,'Students (Vertical)'!C:C=E161,'Students (Vertical)'!D:D&lt;&gt;"""")},countifs({filter('Student"&amp;"s (Vertical)'!D:D,'Students (Vertical)'!C:C=B161,'Students (Vertical)'!D:D&lt;&gt;"""");filter('Students (Vertical)'!D:D,'Students (Vertical)'!C:C=E161,'Students (Vertical)'!D:D&lt;&gt;"""")},{filter('Students (Vertical)'!D:D,'Students (Vertical)'!C:C=B161,'Students "&amp;"(Vertical)'!D:D&lt;&gt;"""");filter('Students (Vertical)'!D:D,'Students (Vertical)'!C:C=E161,'Students (Vertical)'!D:D&lt;&gt;"""")})&gt;1))),"""")"),"")</f>
        <v/>
      </c>
      <c r="L161" s="96"/>
      <c r="M161" s="96"/>
    </row>
    <row r="162" hidden="1">
      <c r="A162" s="8" t="s">
        <v>8</v>
      </c>
      <c r="C162" s="8" t="s">
        <v>8</v>
      </c>
      <c r="D162" s="8" t="s">
        <v>8</v>
      </c>
      <c r="F162" s="8" t="s">
        <v>8</v>
      </c>
      <c r="G162" s="8" t="s">
        <v>8</v>
      </c>
      <c r="I162" s="94" t="str">
        <f>IFERROR(__xludf.DUMMYFUNCTION("if(H162=""Must be Together"",iferror(join("", "",unique(filter({filter('Students (Vertical)'!O:O,'Students (Vertical)'!C:C=B162,'Students (Vertical)'!O:O&lt;&gt;"""");filter('Students (Vertical)'!O:O,'Students (Vertical)'!C:C=E162,'Students (Vertical)'!O:O&lt;&gt;"""&amp;""")},countifs({filter('Students (Vertical)'!O:O,'Students (Vertical)'!C:C=B162,'Students (Vertical)'!O:O&lt;&gt;"""");filter('Students (Vertical)'!O:O,'Students (Vertical)'!C:C=E162,'Students (Vertical)'!O:O&lt;&gt;"""")},{filter('Students (Vertical)'!O:O,'Students ("&amp;"Vertical)'!C:C=B162,'Students (Vertical)'!O:O&lt;&gt;"""");filter('Students (Vertical)'!O:O,'Students (Vertical)'!C:C=E162,'Students (Vertical)'!O:O&lt;&gt;"""")})&gt;1))),""No shared courses""),"""")"),"")</f>
        <v/>
      </c>
      <c r="J162" s="94" t="str">
        <f>IFERROR(__xludf.DUMMYFUNCTION("if(H162=""Can't be Together"",iferror(join("", "",unique(filter({unique(filter('Students (Vertical)'!O:O,'Students (Vertical)'!C:C=B162,'Students (Vertical)'!O:O&lt;&gt;"""",'Students (Vertical)'!P:P&gt;1));unique(filter('Students (Vertical)'!O:O,'Students (Vertic"&amp;"al)'!C:C=E162,'Students (Vertical)'!O:O&lt;&gt;"""",'Students (Vertical)'!P:P&gt;1))},countifs({unique(filter('Students (Vertical)'!O:O,'Students (Vertical)'!C:C=B162,'Students (Vertical)'!O:O&lt;&gt;"""",'Students (Vertical)'!P:P&gt;1));unique(filter('Students (Vertical)'"&amp;"!O:O,'Students (Vertical)'!C:C=E162,'Students (Vertical)'!O:O&lt;&gt;"""",'Students (Vertical)'!P:P&gt;1))},{unique(filter('Students (Vertical)'!O:O,'Students (Vertical)'!C:C=B162,'Students (Vertical)'!O:O&lt;&gt;"""",'Students (Vertical)'!P:P&gt;1));unique(filter('Student"&amp;"s (Vertical)'!O:O,'Students (Vertical)'!C:C=E162,'Students (Vertical)'!O:O&lt;&gt;"""",'Students (Vertical)'!P:P&gt;1))})&gt;1))),""""),"""")"),"")</f>
        <v/>
      </c>
      <c r="K162" s="96" t="str">
        <f>IFERROR(__xludf.DUMMYFUNCTION("iferror(join("", "",unique(filter({filter('Students (Vertical)'!D:D,'Students (Vertical)'!C:C=B162,'Students (Vertical)'!D:D&lt;&gt;"""");filter('Students (Vertical)'!D:D,'Students (Vertical)'!C:C=E162,'Students (Vertical)'!D:D&lt;&gt;"""")},countifs({filter('Student"&amp;"s (Vertical)'!D:D,'Students (Vertical)'!C:C=B162,'Students (Vertical)'!D:D&lt;&gt;"""");filter('Students (Vertical)'!D:D,'Students (Vertical)'!C:C=E162,'Students (Vertical)'!D:D&lt;&gt;"""")},{filter('Students (Vertical)'!D:D,'Students (Vertical)'!C:C=B162,'Students "&amp;"(Vertical)'!D:D&lt;&gt;"""");filter('Students (Vertical)'!D:D,'Students (Vertical)'!C:C=E162,'Students (Vertical)'!D:D&lt;&gt;"""")})&gt;1))),"""")"),"")</f>
        <v/>
      </c>
      <c r="L162" s="96"/>
      <c r="M162" s="96"/>
    </row>
    <row r="163" hidden="1">
      <c r="A163" s="8" t="s">
        <v>8</v>
      </c>
      <c r="C163" s="8" t="s">
        <v>8</v>
      </c>
      <c r="D163" s="8" t="s">
        <v>8</v>
      </c>
      <c r="F163" s="8" t="s">
        <v>8</v>
      </c>
      <c r="G163" s="8" t="s">
        <v>8</v>
      </c>
      <c r="I163" s="94" t="str">
        <f>IFERROR(__xludf.DUMMYFUNCTION("if(H163=""Must be Together"",iferror(join("", "",unique(filter({filter('Students (Vertical)'!O:O,'Students (Vertical)'!C:C=B163,'Students (Vertical)'!O:O&lt;&gt;"""");filter('Students (Vertical)'!O:O,'Students (Vertical)'!C:C=E163,'Students (Vertical)'!O:O&lt;&gt;"""&amp;""")},countifs({filter('Students (Vertical)'!O:O,'Students (Vertical)'!C:C=B163,'Students (Vertical)'!O:O&lt;&gt;"""");filter('Students (Vertical)'!O:O,'Students (Vertical)'!C:C=E163,'Students (Vertical)'!O:O&lt;&gt;"""")},{filter('Students (Vertical)'!O:O,'Students ("&amp;"Vertical)'!C:C=B163,'Students (Vertical)'!O:O&lt;&gt;"""");filter('Students (Vertical)'!O:O,'Students (Vertical)'!C:C=E163,'Students (Vertical)'!O:O&lt;&gt;"""")})&gt;1))),""No shared courses""),"""")"),"")</f>
        <v/>
      </c>
      <c r="J163" s="94" t="str">
        <f>IFERROR(__xludf.DUMMYFUNCTION("if(H163=""Can't be Together"",iferror(join("", "",unique(filter({unique(filter('Students (Vertical)'!O:O,'Students (Vertical)'!C:C=B163,'Students (Vertical)'!O:O&lt;&gt;"""",'Students (Vertical)'!P:P&gt;1));unique(filter('Students (Vertical)'!O:O,'Students (Vertic"&amp;"al)'!C:C=E163,'Students (Vertical)'!O:O&lt;&gt;"""",'Students (Vertical)'!P:P&gt;1))},countifs({unique(filter('Students (Vertical)'!O:O,'Students (Vertical)'!C:C=B163,'Students (Vertical)'!O:O&lt;&gt;"""",'Students (Vertical)'!P:P&gt;1));unique(filter('Students (Vertical)'"&amp;"!O:O,'Students (Vertical)'!C:C=E163,'Students (Vertical)'!O:O&lt;&gt;"""",'Students (Vertical)'!P:P&gt;1))},{unique(filter('Students (Vertical)'!O:O,'Students (Vertical)'!C:C=B163,'Students (Vertical)'!O:O&lt;&gt;"""",'Students (Vertical)'!P:P&gt;1));unique(filter('Student"&amp;"s (Vertical)'!O:O,'Students (Vertical)'!C:C=E163,'Students (Vertical)'!O:O&lt;&gt;"""",'Students (Vertical)'!P:P&gt;1))})&gt;1))),""""),"""")"),"")</f>
        <v/>
      </c>
      <c r="K163" s="96" t="str">
        <f>IFERROR(__xludf.DUMMYFUNCTION("iferror(join("", "",unique(filter({filter('Students (Vertical)'!D:D,'Students (Vertical)'!C:C=B163,'Students (Vertical)'!D:D&lt;&gt;"""");filter('Students (Vertical)'!D:D,'Students (Vertical)'!C:C=E163,'Students (Vertical)'!D:D&lt;&gt;"""")},countifs({filter('Student"&amp;"s (Vertical)'!D:D,'Students (Vertical)'!C:C=B163,'Students (Vertical)'!D:D&lt;&gt;"""");filter('Students (Vertical)'!D:D,'Students (Vertical)'!C:C=E163,'Students (Vertical)'!D:D&lt;&gt;"""")},{filter('Students (Vertical)'!D:D,'Students (Vertical)'!C:C=B163,'Students "&amp;"(Vertical)'!D:D&lt;&gt;"""");filter('Students (Vertical)'!D:D,'Students (Vertical)'!C:C=E163,'Students (Vertical)'!D:D&lt;&gt;"""")})&gt;1))),"""")"),"")</f>
        <v/>
      </c>
      <c r="L163" s="96"/>
      <c r="M163" s="96"/>
    </row>
    <row r="164" hidden="1">
      <c r="A164" s="8" t="s">
        <v>8</v>
      </c>
      <c r="C164" s="8" t="s">
        <v>8</v>
      </c>
      <c r="D164" s="8" t="s">
        <v>8</v>
      </c>
      <c r="F164" s="8" t="s">
        <v>8</v>
      </c>
      <c r="G164" s="8" t="s">
        <v>8</v>
      </c>
      <c r="I164" s="94" t="str">
        <f>IFERROR(__xludf.DUMMYFUNCTION("if(H164=""Must be Together"",iferror(join("", "",unique(filter({filter('Students (Vertical)'!O:O,'Students (Vertical)'!C:C=B164,'Students (Vertical)'!O:O&lt;&gt;"""");filter('Students (Vertical)'!O:O,'Students (Vertical)'!C:C=E164,'Students (Vertical)'!O:O&lt;&gt;"""&amp;""")},countifs({filter('Students (Vertical)'!O:O,'Students (Vertical)'!C:C=B164,'Students (Vertical)'!O:O&lt;&gt;"""");filter('Students (Vertical)'!O:O,'Students (Vertical)'!C:C=E164,'Students (Vertical)'!O:O&lt;&gt;"""")},{filter('Students (Vertical)'!O:O,'Students ("&amp;"Vertical)'!C:C=B164,'Students (Vertical)'!O:O&lt;&gt;"""");filter('Students (Vertical)'!O:O,'Students (Vertical)'!C:C=E164,'Students (Vertical)'!O:O&lt;&gt;"""")})&gt;1))),""No shared courses""),"""")"),"")</f>
        <v/>
      </c>
      <c r="J164" s="94" t="str">
        <f>IFERROR(__xludf.DUMMYFUNCTION("if(H164=""Can't be Together"",iferror(join("", "",unique(filter({unique(filter('Students (Vertical)'!O:O,'Students (Vertical)'!C:C=B164,'Students (Vertical)'!O:O&lt;&gt;"""",'Students (Vertical)'!P:P&gt;1));unique(filter('Students (Vertical)'!O:O,'Students (Vertic"&amp;"al)'!C:C=E164,'Students (Vertical)'!O:O&lt;&gt;"""",'Students (Vertical)'!P:P&gt;1))},countifs({unique(filter('Students (Vertical)'!O:O,'Students (Vertical)'!C:C=B164,'Students (Vertical)'!O:O&lt;&gt;"""",'Students (Vertical)'!P:P&gt;1));unique(filter('Students (Vertical)'"&amp;"!O:O,'Students (Vertical)'!C:C=E164,'Students (Vertical)'!O:O&lt;&gt;"""",'Students (Vertical)'!P:P&gt;1))},{unique(filter('Students (Vertical)'!O:O,'Students (Vertical)'!C:C=B164,'Students (Vertical)'!O:O&lt;&gt;"""",'Students (Vertical)'!P:P&gt;1));unique(filter('Student"&amp;"s (Vertical)'!O:O,'Students (Vertical)'!C:C=E164,'Students (Vertical)'!O:O&lt;&gt;"""",'Students (Vertical)'!P:P&gt;1))})&gt;1))),""""),"""")"),"")</f>
        <v/>
      </c>
      <c r="K164" s="96" t="str">
        <f>IFERROR(__xludf.DUMMYFUNCTION("iferror(join("", "",unique(filter({filter('Students (Vertical)'!D:D,'Students (Vertical)'!C:C=B164,'Students (Vertical)'!D:D&lt;&gt;"""");filter('Students (Vertical)'!D:D,'Students (Vertical)'!C:C=E164,'Students (Vertical)'!D:D&lt;&gt;"""")},countifs({filter('Student"&amp;"s (Vertical)'!D:D,'Students (Vertical)'!C:C=B164,'Students (Vertical)'!D:D&lt;&gt;"""");filter('Students (Vertical)'!D:D,'Students (Vertical)'!C:C=E164,'Students (Vertical)'!D:D&lt;&gt;"""")},{filter('Students (Vertical)'!D:D,'Students (Vertical)'!C:C=B164,'Students "&amp;"(Vertical)'!D:D&lt;&gt;"""");filter('Students (Vertical)'!D:D,'Students (Vertical)'!C:C=E164,'Students (Vertical)'!D:D&lt;&gt;"""")})&gt;1))),"""")"),"")</f>
        <v/>
      </c>
      <c r="L164" s="96"/>
      <c r="M164" s="96"/>
    </row>
    <row r="165" hidden="1">
      <c r="A165" s="8" t="s">
        <v>8</v>
      </c>
      <c r="C165" s="8" t="s">
        <v>8</v>
      </c>
      <c r="D165" s="8" t="s">
        <v>8</v>
      </c>
      <c r="F165" s="8" t="s">
        <v>8</v>
      </c>
      <c r="G165" s="8" t="s">
        <v>8</v>
      </c>
      <c r="I165" s="94" t="str">
        <f>IFERROR(__xludf.DUMMYFUNCTION("if(H165=""Must be Together"",iferror(join("", "",unique(filter({filter('Students (Vertical)'!O:O,'Students (Vertical)'!C:C=B165,'Students (Vertical)'!O:O&lt;&gt;"""");filter('Students (Vertical)'!O:O,'Students (Vertical)'!C:C=E165,'Students (Vertical)'!O:O&lt;&gt;"""&amp;""")},countifs({filter('Students (Vertical)'!O:O,'Students (Vertical)'!C:C=B165,'Students (Vertical)'!O:O&lt;&gt;"""");filter('Students (Vertical)'!O:O,'Students (Vertical)'!C:C=E165,'Students (Vertical)'!O:O&lt;&gt;"""")},{filter('Students (Vertical)'!O:O,'Students ("&amp;"Vertical)'!C:C=B165,'Students (Vertical)'!O:O&lt;&gt;"""");filter('Students (Vertical)'!O:O,'Students (Vertical)'!C:C=E165,'Students (Vertical)'!O:O&lt;&gt;"""")})&gt;1))),""No shared courses""),"""")"),"")</f>
        <v/>
      </c>
      <c r="J165" s="94" t="str">
        <f>IFERROR(__xludf.DUMMYFUNCTION("if(H165=""Can't be Together"",iferror(join("", "",unique(filter({unique(filter('Students (Vertical)'!O:O,'Students (Vertical)'!C:C=B165,'Students (Vertical)'!O:O&lt;&gt;"""",'Students (Vertical)'!P:P&gt;1));unique(filter('Students (Vertical)'!O:O,'Students (Vertic"&amp;"al)'!C:C=E165,'Students (Vertical)'!O:O&lt;&gt;"""",'Students (Vertical)'!P:P&gt;1))},countifs({unique(filter('Students (Vertical)'!O:O,'Students (Vertical)'!C:C=B165,'Students (Vertical)'!O:O&lt;&gt;"""",'Students (Vertical)'!P:P&gt;1));unique(filter('Students (Vertical)'"&amp;"!O:O,'Students (Vertical)'!C:C=E165,'Students (Vertical)'!O:O&lt;&gt;"""",'Students (Vertical)'!P:P&gt;1))},{unique(filter('Students (Vertical)'!O:O,'Students (Vertical)'!C:C=B165,'Students (Vertical)'!O:O&lt;&gt;"""",'Students (Vertical)'!P:P&gt;1));unique(filter('Student"&amp;"s (Vertical)'!O:O,'Students (Vertical)'!C:C=E165,'Students (Vertical)'!O:O&lt;&gt;"""",'Students (Vertical)'!P:P&gt;1))})&gt;1))),""""),"""")"),"")</f>
        <v/>
      </c>
      <c r="K165" s="96" t="str">
        <f>IFERROR(__xludf.DUMMYFUNCTION("iferror(join("", "",unique(filter({filter('Students (Vertical)'!D:D,'Students (Vertical)'!C:C=B165,'Students (Vertical)'!D:D&lt;&gt;"""");filter('Students (Vertical)'!D:D,'Students (Vertical)'!C:C=E165,'Students (Vertical)'!D:D&lt;&gt;"""")},countifs({filter('Student"&amp;"s (Vertical)'!D:D,'Students (Vertical)'!C:C=B165,'Students (Vertical)'!D:D&lt;&gt;"""");filter('Students (Vertical)'!D:D,'Students (Vertical)'!C:C=E165,'Students (Vertical)'!D:D&lt;&gt;"""")},{filter('Students (Vertical)'!D:D,'Students (Vertical)'!C:C=B165,'Students "&amp;"(Vertical)'!D:D&lt;&gt;"""");filter('Students (Vertical)'!D:D,'Students (Vertical)'!C:C=E165,'Students (Vertical)'!D:D&lt;&gt;"""")})&gt;1))),"""")"),"")</f>
        <v/>
      </c>
      <c r="L165" s="96"/>
      <c r="M165" s="96"/>
    </row>
    <row r="166" hidden="1">
      <c r="A166" s="8" t="s">
        <v>8</v>
      </c>
      <c r="C166" s="8" t="s">
        <v>8</v>
      </c>
      <c r="D166" s="8" t="s">
        <v>8</v>
      </c>
      <c r="F166" s="8" t="s">
        <v>8</v>
      </c>
      <c r="G166" s="8" t="s">
        <v>8</v>
      </c>
      <c r="I166" s="94" t="str">
        <f>IFERROR(__xludf.DUMMYFUNCTION("if(H166=""Must be Together"",iferror(join("", "",unique(filter({filter('Students (Vertical)'!O:O,'Students (Vertical)'!C:C=B166,'Students (Vertical)'!O:O&lt;&gt;"""");filter('Students (Vertical)'!O:O,'Students (Vertical)'!C:C=E166,'Students (Vertical)'!O:O&lt;&gt;"""&amp;""")},countifs({filter('Students (Vertical)'!O:O,'Students (Vertical)'!C:C=B166,'Students (Vertical)'!O:O&lt;&gt;"""");filter('Students (Vertical)'!O:O,'Students (Vertical)'!C:C=E166,'Students (Vertical)'!O:O&lt;&gt;"""")},{filter('Students (Vertical)'!O:O,'Students ("&amp;"Vertical)'!C:C=B166,'Students (Vertical)'!O:O&lt;&gt;"""");filter('Students (Vertical)'!O:O,'Students (Vertical)'!C:C=E166,'Students (Vertical)'!O:O&lt;&gt;"""")})&gt;1))),""No shared courses""),"""")"),"")</f>
        <v/>
      </c>
      <c r="J166" s="94" t="str">
        <f>IFERROR(__xludf.DUMMYFUNCTION("if(H166=""Can't be Together"",iferror(join("", "",unique(filter({unique(filter('Students (Vertical)'!O:O,'Students (Vertical)'!C:C=B166,'Students (Vertical)'!O:O&lt;&gt;"""",'Students (Vertical)'!P:P&gt;1));unique(filter('Students (Vertical)'!O:O,'Students (Vertic"&amp;"al)'!C:C=E166,'Students (Vertical)'!O:O&lt;&gt;"""",'Students (Vertical)'!P:P&gt;1))},countifs({unique(filter('Students (Vertical)'!O:O,'Students (Vertical)'!C:C=B166,'Students (Vertical)'!O:O&lt;&gt;"""",'Students (Vertical)'!P:P&gt;1));unique(filter('Students (Vertical)'"&amp;"!O:O,'Students (Vertical)'!C:C=E166,'Students (Vertical)'!O:O&lt;&gt;"""",'Students (Vertical)'!P:P&gt;1))},{unique(filter('Students (Vertical)'!O:O,'Students (Vertical)'!C:C=B166,'Students (Vertical)'!O:O&lt;&gt;"""",'Students (Vertical)'!P:P&gt;1));unique(filter('Student"&amp;"s (Vertical)'!O:O,'Students (Vertical)'!C:C=E166,'Students (Vertical)'!O:O&lt;&gt;"""",'Students (Vertical)'!P:P&gt;1))})&gt;1))),""""),"""")"),"")</f>
        <v/>
      </c>
      <c r="K166" s="96" t="str">
        <f>IFERROR(__xludf.DUMMYFUNCTION("iferror(join("", "",unique(filter({filter('Students (Vertical)'!D:D,'Students (Vertical)'!C:C=B166,'Students (Vertical)'!D:D&lt;&gt;"""");filter('Students (Vertical)'!D:D,'Students (Vertical)'!C:C=E166,'Students (Vertical)'!D:D&lt;&gt;"""")},countifs({filter('Student"&amp;"s (Vertical)'!D:D,'Students (Vertical)'!C:C=B166,'Students (Vertical)'!D:D&lt;&gt;"""");filter('Students (Vertical)'!D:D,'Students (Vertical)'!C:C=E166,'Students (Vertical)'!D:D&lt;&gt;"""")},{filter('Students (Vertical)'!D:D,'Students (Vertical)'!C:C=B166,'Students "&amp;"(Vertical)'!D:D&lt;&gt;"""");filter('Students (Vertical)'!D:D,'Students (Vertical)'!C:C=E166,'Students (Vertical)'!D:D&lt;&gt;"""")})&gt;1))),"""")"),"")</f>
        <v/>
      </c>
      <c r="L166" s="96"/>
      <c r="M166" s="96"/>
    </row>
    <row r="167" hidden="1">
      <c r="A167" s="8" t="s">
        <v>8</v>
      </c>
      <c r="C167" s="8" t="s">
        <v>8</v>
      </c>
      <c r="D167" s="8" t="s">
        <v>8</v>
      </c>
      <c r="F167" s="8" t="s">
        <v>8</v>
      </c>
      <c r="G167" s="8" t="s">
        <v>8</v>
      </c>
      <c r="I167" s="94" t="str">
        <f>IFERROR(__xludf.DUMMYFUNCTION("if(H167=""Must be Together"",iferror(join("", "",unique(filter({filter('Students (Vertical)'!O:O,'Students (Vertical)'!C:C=B167,'Students (Vertical)'!O:O&lt;&gt;"""");filter('Students (Vertical)'!O:O,'Students (Vertical)'!C:C=E167,'Students (Vertical)'!O:O&lt;&gt;"""&amp;""")},countifs({filter('Students (Vertical)'!O:O,'Students (Vertical)'!C:C=B167,'Students (Vertical)'!O:O&lt;&gt;"""");filter('Students (Vertical)'!O:O,'Students (Vertical)'!C:C=E167,'Students (Vertical)'!O:O&lt;&gt;"""")},{filter('Students (Vertical)'!O:O,'Students ("&amp;"Vertical)'!C:C=B167,'Students (Vertical)'!O:O&lt;&gt;"""");filter('Students (Vertical)'!O:O,'Students (Vertical)'!C:C=E167,'Students (Vertical)'!O:O&lt;&gt;"""")})&gt;1))),""No shared courses""),"""")"),"")</f>
        <v/>
      </c>
      <c r="J167" s="94" t="str">
        <f>IFERROR(__xludf.DUMMYFUNCTION("if(H167=""Can't be Together"",iferror(join("", "",unique(filter({unique(filter('Students (Vertical)'!O:O,'Students (Vertical)'!C:C=B167,'Students (Vertical)'!O:O&lt;&gt;"""",'Students (Vertical)'!P:P&gt;1));unique(filter('Students (Vertical)'!O:O,'Students (Vertic"&amp;"al)'!C:C=E167,'Students (Vertical)'!O:O&lt;&gt;"""",'Students (Vertical)'!P:P&gt;1))},countifs({unique(filter('Students (Vertical)'!O:O,'Students (Vertical)'!C:C=B167,'Students (Vertical)'!O:O&lt;&gt;"""",'Students (Vertical)'!P:P&gt;1));unique(filter('Students (Vertical)'"&amp;"!O:O,'Students (Vertical)'!C:C=E167,'Students (Vertical)'!O:O&lt;&gt;"""",'Students (Vertical)'!P:P&gt;1))},{unique(filter('Students (Vertical)'!O:O,'Students (Vertical)'!C:C=B167,'Students (Vertical)'!O:O&lt;&gt;"""",'Students (Vertical)'!P:P&gt;1));unique(filter('Student"&amp;"s (Vertical)'!O:O,'Students (Vertical)'!C:C=E167,'Students (Vertical)'!O:O&lt;&gt;"""",'Students (Vertical)'!P:P&gt;1))})&gt;1))),""""),"""")"),"")</f>
        <v/>
      </c>
      <c r="K167" s="96" t="str">
        <f>IFERROR(__xludf.DUMMYFUNCTION("iferror(join("", "",unique(filter({filter('Students (Vertical)'!D:D,'Students (Vertical)'!C:C=B167,'Students (Vertical)'!D:D&lt;&gt;"""");filter('Students (Vertical)'!D:D,'Students (Vertical)'!C:C=E167,'Students (Vertical)'!D:D&lt;&gt;"""")},countifs({filter('Student"&amp;"s (Vertical)'!D:D,'Students (Vertical)'!C:C=B167,'Students (Vertical)'!D:D&lt;&gt;"""");filter('Students (Vertical)'!D:D,'Students (Vertical)'!C:C=E167,'Students (Vertical)'!D:D&lt;&gt;"""")},{filter('Students (Vertical)'!D:D,'Students (Vertical)'!C:C=B167,'Students "&amp;"(Vertical)'!D:D&lt;&gt;"""");filter('Students (Vertical)'!D:D,'Students (Vertical)'!C:C=E167,'Students (Vertical)'!D:D&lt;&gt;"""")})&gt;1))),"""")"),"")</f>
        <v/>
      </c>
      <c r="L167" s="96"/>
      <c r="M167" s="96"/>
    </row>
    <row r="168" hidden="1">
      <c r="A168" s="8" t="s">
        <v>8</v>
      </c>
      <c r="C168" s="8" t="s">
        <v>8</v>
      </c>
      <c r="D168" s="8" t="s">
        <v>8</v>
      </c>
      <c r="F168" s="8" t="s">
        <v>8</v>
      </c>
      <c r="G168" s="8" t="s">
        <v>8</v>
      </c>
      <c r="I168" s="94" t="str">
        <f>IFERROR(__xludf.DUMMYFUNCTION("if(H168=""Must be Together"",iferror(join("", "",unique(filter({filter('Students (Vertical)'!O:O,'Students (Vertical)'!C:C=B168,'Students (Vertical)'!O:O&lt;&gt;"""");filter('Students (Vertical)'!O:O,'Students (Vertical)'!C:C=E168,'Students (Vertical)'!O:O&lt;&gt;"""&amp;""")},countifs({filter('Students (Vertical)'!O:O,'Students (Vertical)'!C:C=B168,'Students (Vertical)'!O:O&lt;&gt;"""");filter('Students (Vertical)'!O:O,'Students (Vertical)'!C:C=E168,'Students (Vertical)'!O:O&lt;&gt;"""")},{filter('Students (Vertical)'!O:O,'Students ("&amp;"Vertical)'!C:C=B168,'Students (Vertical)'!O:O&lt;&gt;"""");filter('Students (Vertical)'!O:O,'Students (Vertical)'!C:C=E168,'Students (Vertical)'!O:O&lt;&gt;"""")})&gt;1))),""No shared courses""),"""")"),"")</f>
        <v/>
      </c>
      <c r="J168" s="94" t="str">
        <f>IFERROR(__xludf.DUMMYFUNCTION("if(H168=""Can't be Together"",iferror(join("", "",unique(filter({unique(filter('Students (Vertical)'!O:O,'Students (Vertical)'!C:C=B168,'Students (Vertical)'!O:O&lt;&gt;"""",'Students (Vertical)'!P:P&gt;1));unique(filter('Students (Vertical)'!O:O,'Students (Vertic"&amp;"al)'!C:C=E168,'Students (Vertical)'!O:O&lt;&gt;"""",'Students (Vertical)'!P:P&gt;1))},countifs({unique(filter('Students (Vertical)'!O:O,'Students (Vertical)'!C:C=B168,'Students (Vertical)'!O:O&lt;&gt;"""",'Students (Vertical)'!P:P&gt;1));unique(filter('Students (Vertical)'"&amp;"!O:O,'Students (Vertical)'!C:C=E168,'Students (Vertical)'!O:O&lt;&gt;"""",'Students (Vertical)'!P:P&gt;1))},{unique(filter('Students (Vertical)'!O:O,'Students (Vertical)'!C:C=B168,'Students (Vertical)'!O:O&lt;&gt;"""",'Students (Vertical)'!P:P&gt;1));unique(filter('Student"&amp;"s (Vertical)'!O:O,'Students (Vertical)'!C:C=E168,'Students (Vertical)'!O:O&lt;&gt;"""",'Students (Vertical)'!P:P&gt;1))})&gt;1))),""""),"""")"),"")</f>
        <v/>
      </c>
      <c r="K168" s="96" t="str">
        <f>IFERROR(__xludf.DUMMYFUNCTION("iferror(join("", "",unique(filter({filter('Students (Vertical)'!D:D,'Students (Vertical)'!C:C=B168,'Students (Vertical)'!D:D&lt;&gt;"""");filter('Students (Vertical)'!D:D,'Students (Vertical)'!C:C=E168,'Students (Vertical)'!D:D&lt;&gt;"""")},countifs({filter('Student"&amp;"s (Vertical)'!D:D,'Students (Vertical)'!C:C=B168,'Students (Vertical)'!D:D&lt;&gt;"""");filter('Students (Vertical)'!D:D,'Students (Vertical)'!C:C=E168,'Students (Vertical)'!D:D&lt;&gt;"""")},{filter('Students (Vertical)'!D:D,'Students (Vertical)'!C:C=B168,'Students "&amp;"(Vertical)'!D:D&lt;&gt;"""");filter('Students (Vertical)'!D:D,'Students (Vertical)'!C:C=E168,'Students (Vertical)'!D:D&lt;&gt;"""")})&gt;1))),"""")"),"")</f>
        <v/>
      </c>
      <c r="L168" s="96"/>
      <c r="M168" s="96"/>
    </row>
    <row r="169" hidden="1">
      <c r="A169" s="8" t="s">
        <v>8</v>
      </c>
      <c r="C169" s="8" t="s">
        <v>8</v>
      </c>
      <c r="D169" s="8" t="s">
        <v>8</v>
      </c>
      <c r="F169" s="8" t="s">
        <v>8</v>
      </c>
      <c r="G169" s="8" t="s">
        <v>8</v>
      </c>
      <c r="I169" s="94" t="str">
        <f>IFERROR(__xludf.DUMMYFUNCTION("if(H169=""Must be Together"",iferror(join("", "",unique(filter({filter('Students (Vertical)'!O:O,'Students (Vertical)'!C:C=B169,'Students (Vertical)'!O:O&lt;&gt;"""");filter('Students (Vertical)'!O:O,'Students (Vertical)'!C:C=E169,'Students (Vertical)'!O:O&lt;&gt;"""&amp;""")},countifs({filter('Students (Vertical)'!O:O,'Students (Vertical)'!C:C=B169,'Students (Vertical)'!O:O&lt;&gt;"""");filter('Students (Vertical)'!O:O,'Students (Vertical)'!C:C=E169,'Students (Vertical)'!O:O&lt;&gt;"""")},{filter('Students (Vertical)'!O:O,'Students ("&amp;"Vertical)'!C:C=B169,'Students (Vertical)'!O:O&lt;&gt;"""");filter('Students (Vertical)'!O:O,'Students (Vertical)'!C:C=E169,'Students (Vertical)'!O:O&lt;&gt;"""")})&gt;1))),""No shared courses""),"""")"),"")</f>
        <v/>
      </c>
      <c r="J169" s="94" t="str">
        <f>IFERROR(__xludf.DUMMYFUNCTION("if(H169=""Can't be Together"",iferror(join("", "",unique(filter({unique(filter('Students (Vertical)'!O:O,'Students (Vertical)'!C:C=B169,'Students (Vertical)'!O:O&lt;&gt;"""",'Students (Vertical)'!P:P&gt;1));unique(filter('Students (Vertical)'!O:O,'Students (Vertic"&amp;"al)'!C:C=E169,'Students (Vertical)'!O:O&lt;&gt;"""",'Students (Vertical)'!P:P&gt;1))},countifs({unique(filter('Students (Vertical)'!O:O,'Students (Vertical)'!C:C=B169,'Students (Vertical)'!O:O&lt;&gt;"""",'Students (Vertical)'!P:P&gt;1));unique(filter('Students (Vertical)'"&amp;"!O:O,'Students (Vertical)'!C:C=E169,'Students (Vertical)'!O:O&lt;&gt;"""",'Students (Vertical)'!P:P&gt;1))},{unique(filter('Students (Vertical)'!O:O,'Students (Vertical)'!C:C=B169,'Students (Vertical)'!O:O&lt;&gt;"""",'Students (Vertical)'!P:P&gt;1));unique(filter('Student"&amp;"s (Vertical)'!O:O,'Students (Vertical)'!C:C=E169,'Students (Vertical)'!O:O&lt;&gt;"""",'Students (Vertical)'!P:P&gt;1))})&gt;1))),""""),"""")"),"")</f>
        <v/>
      </c>
      <c r="K169" s="96" t="str">
        <f>IFERROR(__xludf.DUMMYFUNCTION("iferror(join("", "",unique(filter({filter('Students (Vertical)'!D:D,'Students (Vertical)'!C:C=B169,'Students (Vertical)'!D:D&lt;&gt;"""");filter('Students (Vertical)'!D:D,'Students (Vertical)'!C:C=E169,'Students (Vertical)'!D:D&lt;&gt;"""")},countifs({filter('Student"&amp;"s (Vertical)'!D:D,'Students (Vertical)'!C:C=B169,'Students (Vertical)'!D:D&lt;&gt;"""");filter('Students (Vertical)'!D:D,'Students (Vertical)'!C:C=E169,'Students (Vertical)'!D:D&lt;&gt;"""")},{filter('Students (Vertical)'!D:D,'Students (Vertical)'!C:C=B169,'Students "&amp;"(Vertical)'!D:D&lt;&gt;"""");filter('Students (Vertical)'!D:D,'Students (Vertical)'!C:C=E169,'Students (Vertical)'!D:D&lt;&gt;"""")})&gt;1))),"""")"),"")</f>
        <v/>
      </c>
      <c r="L169" s="96"/>
      <c r="M169" s="96"/>
    </row>
    <row r="170" hidden="1">
      <c r="A170" s="8" t="s">
        <v>8</v>
      </c>
      <c r="C170" s="8" t="s">
        <v>8</v>
      </c>
      <c r="D170" s="8" t="s">
        <v>8</v>
      </c>
      <c r="F170" s="8" t="s">
        <v>8</v>
      </c>
      <c r="G170" s="8" t="s">
        <v>8</v>
      </c>
      <c r="I170" s="94" t="str">
        <f>IFERROR(__xludf.DUMMYFUNCTION("if(H170=""Must be Together"",iferror(join("", "",unique(filter({filter('Students (Vertical)'!O:O,'Students (Vertical)'!C:C=B170,'Students (Vertical)'!O:O&lt;&gt;"""");filter('Students (Vertical)'!O:O,'Students (Vertical)'!C:C=E170,'Students (Vertical)'!O:O&lt;&gt;"""&amp;""")},countifs({filter('Students (Vertical)'!O:O,'Students (Vertical)'!C:C=B170,'Students (Vertical)'!O:O&lt;&gt;"""");filter('Students (Vertical)'!O:O,'Students (Vertical)'!C:C=E170,'Students (Vertical)'!O:O&lt;&gt;"""")},{filter('Students (Vertical)'!O:O,'Students ("&amp;"Vertical)'!C:C=B170,'Students (Vertical)'!O:O&lt;&gt;"""");filter('Students (Vertical)'!O:O,'Students (Vertical)'!C:C=E170,'Students (Vertical)'!O:O&lt;&gt;"""")})&gt;1))),""No shared courses""),"""")"),"")</f>
        <v/>
      </c>
      <c r="J170" s="94" t="str">
        <f>IFERROR(__xludf.DUMMYFUNCTION("if(H170=""Can't be Together"",iferror(join("", "",unique(filter({unique(filter('Students (Vertical)'!O:O,'Students (Vertical)'!C:C=B170,'Students (Vertical)'!O:O&lt;&gt;"""",'Students (Vertical)'!P:P&gt;1));unique(filter('Students (Vertical)'!O:O,'Students (Vertic"&amp;"al)'!C:C=E170,'Students (Vertical)'!O:O&lt;&gt;"""",'Students (Vertical)'!P:P&gt;1))},countifs({unique(filter('Students (Vertical)'!O:O,'Students (Vertical)'!C:C=B170,'Students (Vertical)'!O:O&lt;&gt;"""",'Students (Vertical)'!P:P&gt;1));unique(filter('Students (Vertical)'"&amp;"!O:O,'Students (Vertical)'!C:C=E170,'Students (Vertical)'!O:O&lt;&gt;"""",'Students (Vertical)'!P:P&gt;1))},{unique(filter('Students (Vertical)'!O:O,'Students (Vertical)'!C:C=B170,'Students (Vertical)'!O:O&lt;&gt;"""",'Students (Vertical)'!P:P&gt;1));unique(filter('Student"&amp;"s (Vertical)'!O:O,'Students (Vertical)'!C:C=E170,'Students (Vertical)'!O:O&lt;&gt;"""",'Students (Vertical)'!P:P&gt;1))})&gt;1))),""""),"""")"),"")</f>
        <v/>
      </c>
      <c r="K170" s="96" t="str">
        <f>IFERROR(__xludf.DUMMYFUNCTION("iferror(join("", "",unique(filter({filter('Students (Vertical)'!D:D,'Students (Vertical)'!C:C=B170,'Students (Vertical)'!D:D&lt;&gt;"""");filter('Students (Vertical)'!D:D,'Students (Vertical)'!C:C=E170,'Students (Vertical)'!D:D&lt;&gt;"""")},countifs({filter('Student"&amp;"s (Vertical)'!D:D,'Students (Vertical)'!C:C=B170,'Students (Vertical)'!D:D&lt;&gt;"""");filter('Students (Vertical)'!D:D,'Students (Vertical)'!C:C=E170,'Students (Vertical)'!D:D&lt;&gt;"""")},{filter('Students (Vertical)'!D:D,'Students (Vertical)'!C:C=B170,'Students "&amp;"(Vertical)'!D:D&lt;&gt;"""");filter('Students (Vertical)'!D:D,'Students (Vertical)'!C:C=E170,'Students (Vertical)'!D:D&lt;&gt;"""")})&gt;1))),"""")"),"")</f>
        <v/>
      </c>
      <c r="L170" s="96"/>
      <c r="M170" s="96"/>
    </row>
    <row r="171" hidden="1">
      <c r="A171" s="8" t="s">
        <v>8</v>
      </c>
      <c r="C171" s="8" t="s">
        <v>8</v>
      </c>
      <c r="D171" s="8" t="s">
        <v>8</v>
      </c>
      <c r="F171" s="8" t="s">
        <v>8</v>
      </c>
      <c r="G171" s="8" t="s">
        <v>8</v>
      </c>
      <c r="I171" s="94" t="str">
        <f>IFERROR(__xludf.DUMMYFUNCTION("if(H171=""Must be Together"",iferror(join("", "",unique(filter({filter('Students (Vertical)'!O:O,'Students (Vertical)'!C:C=B171,'Students (Vertical)'!O:O&lt;&gt;"""");filter('Students (Vertical)'!O:O,'Students (Vertical)'!C:C=E171,'Students (Vertical)'!O:O&lt;&gt;"""&amp;""")},countifs({filter('Students (Vertical)'!O:O,'Students (Vertical)'!C:C=B171,'Students (Vertical)'!O:O&lt;&gt;"""");filter('Students (Vertical)'!O:O,'Students (Vertical)'!C:C=E171,'Students (Vertical)'!O:O&lt;&gt;"""")},{filter('Students (Vertical)'!O:O,'Students ("&amp;"Vertical)'!C:C=B171,'Students (Vertical)'!O:O&lt;&gt;"""");filter('Students (Vertical)'!O:O,'Students (Vertical)'!C:C=E171,'Students (Vertical)'!O:O&lt;&gt;"""")})&gt;1))),""No shared courses""),"""")"),"")</f>
        <v/>
      </c>
      <c r="J171" s="94" t="str">
        <f>IFERROR(__xludf.DUMMYFUNCTION("if(H171=""Can't be Together"",iferror(join("", "",unique(filter({unique(filter('Students (Vertical)'!O:O,'Students (Vertical)'!C:C=B171,'Students (Vertical)'!O:O&lt;&gt;"""",'Students (Vertical)'!P:P&gt;1));unique(filter('Students (Vertical)'!O:O,'Students (Vertic"&amp;"al)'!C:C=E171,'Students (Vertical)'!O:O&lt;&gt;"""",'Students (Vertical)'!P:P&gt;1))},countifs({unique(filter('Students (Vertical)'!O:O,'Students (Vertical)'!C:C=B171,'Students (Vertical)'!O:O&lt;&gt;"""",'Students (Vertical)'!P:P&gt;1));unique(filter('Students (Vertical)'"&amp;"!O:O,'Students (Vertical)'!C:C=E171,'Students (Vertical)'!O:O&lt;&gt;"""",'Students (Vertical)'!P:P&gt;1))},{unique(filter('Students (Vertical)'!O:O,'Students (Vertical)'!C:C=B171,'Students (Vertical)'!O:O&lt;&gt;"""",'Students (Vertical)'!P:P&gt;1));unique(filter('Student"&amp;"s (Vertical)'!O:O,'Students (Vertical)'!C:C=E171,'Students (Vertical)'!O:O&lt;&gt;"""",'Students (Vertical)'!P:P&gt;1))})&gt;1))),""""),"""")"),"")</f>
        <v/>
      </c>
      <c r="K171" s="96" t="str">
        <f>IFERROR(__xludf.DUMMYFUNCTION("iferror(join("", "",unique(filter({filter('Students (Vertical)'!D:D,'Students (Vertical)'!C:C=B171,'Students (Vertical)'!D:D&lt;&gt;"""");filter('Students (Vertical)'!D:D,'Students (Vertical)'!C:C=E171,'Students (Vertical)'!D:D&lt;&gt;"""")},countifs({filter('Student"&amp;"s (Vertical)'!D:D,'Students (Vertical)'!C:C=B171,'Students (Vertical)'!D:D&lt;&gt;"""");filter('Students (Vertical)'!D:D,'Students (Vertical)'!C:C=E171,'Students (Vertical)'!D:D&lt;&gt;"""")},{filter('Students (Vertical)'!D:D,'Students (Vertical)'!C:C=B171,'Students "&amp;"(Vertical)'!D:D&lt;&gt;"""");filter('Students (Vertical)'!D:D,'Students (Vertical)'!C:C=E171,'Students (Vertical)'!D:D&lt;&gt;"""")})&gt;1))),"""")"),"")</f>
        <v/>
      </c>
      <c r="L171" s="96"/>
      <c r="M171" s="96"/>
    </row>
    <row r="172" hidden="1">
      <c r="A172" s="8" t="s">
        <v>8</v>
      </c>
      <c r="C172" s="8" t="s">
        <v>8</v>
      </c>
      <c r="D172" s="8" t="s">
        <v>8</v>
      </c>
      <c r="F172" s="8" t="s">
        <v>8</v>
      </c>
      <c r="G172" s="8" t="s">
        <v>8</v>
      </c>
      <c r="I172" s="94" t="str">
        <f>IFERROR(__xludf.DUMMYFUNCTION("if(H172=""Must be Together"",iferror(join("", "",unique(filter({filter('Students (Vertical)'!O:O,'Students (Vertical)'!C:C=B172,'Students (Vertical)'!O:O&lt;&gt;"""");filter('Students (Vertical)'!O:O,'Students (Vertical)'!C:C=E172,'Students (Vertical)'!O:O&lt;&gt;"""&amp;""")},countifs({filter('Students (Vertical)'!O:O,'Students (Vertical)'!C:C=B172,'Students (Vertical)'!O:O&lt;&gt;"""");filter('Students (Vertical)'!O:O,'Students (Vertical)'!C:C=E172,'Students (Vertical)'!O:O&lt;&gt;"""")},{filter('Students (Vertical)'!O:O,'Students ("&amp;"Vertical)'!C:C=B172,'Students (Vertical)'!O:O&lt;&gt;"""");filter('Students (Vertical)'!O:O,'Students (Vertical)'!C:C=E172,'Students (Vertical)'!O:O&lt;&gt;"""")})&gt;1))),""No shared courses""),"""")"),"")</f>
        <v/>
      </c>
      <c r="J172" s="94" t="str">
        <f>IFERROR(__xludf.DUMMYFUNCTION("if(H172=""Can't be Together"",iferror(join("", "",unique(filter({unique(filter('Students (Vertical)'!O:O,'Students (Vertical)'!C:C=B172,'Students (Vertical)'!O:O&lt;&gt;"""",'Students (Vertical)'!P:P&gt;1));unique(filter('Students (Vertical)'!O:O,'Students (Vertic"&amp;"al)'!C:C=E172,'Students (Vertical)'!O:O&lt;&gt;"""",'Students (Vertical)'!P:P&gt;1))},countifs({unique(filter('Students (Vertical)'!O:O,'Students (Vertical)'!C:C=B172,'Students (Vertical)'!O:O&lt;&gt;"""",'Students (Vertical)'!P:P&gt;1));unique(filter('Students (Vertical)'"&amp;"!O:O,'Students (Vertical)'!C:C=E172,'Students (Vertical)'!O:O&lt;&gt;"""",'Students (Vertical)'!P:P&gt;1))},{unique(filter('Students (Vertical)'!O:O,'Students (Vertical)'!C:C=B172,'Students (Vertical)'!O:O&lt;&gt;"""",'Students (Vertical)'!P:P&gt;1));unique(filter('Student"&amp;"s (Vertical)'!O:O,'Students (Vertical)'!C:C=E172,'Students (Vertical)'!O:O&lt;&gt;"""",'Students (Vertical)'!P:P&gt;1))})&gt;1))),""""),"""")"),"")</f>
        <v/>
      </c>
      <c r="K172" s="96" t="str">
        <f>IFERROR(__xludf.DUMMYFUNCTION("iferror(join("", "",unique(filter({filter('Students (Vertical)'!D:D,'Students (Vertical)'!C:C=B172,'Students (Vertical)'!D:D&lt;&gt;"""");filter('Students (Vertical)'!D:D,'Students (Vertical)'!C:C=E172,'Students (Vertical)'!D:D&lt;&gt;"""")},countifs({filter('Student"&amp;"s (Vertical)'!D:D,'Students (Vertical)'!C:C=B172,'Students (Vertical)'!D:D&lt;&gt;"""");filter('Students (Vertical)'!D:D,'Students (Vertical)'!C:C=E172,'Students (Vertical)'!D:D&lt;&gt;"""")},{filter('Students (Vertical)'!D:D,'Students (Vertical)'!C:C=B172,'Students "&amp;"(Vertical)'!D:D&lt;&gt;"""");filter('Students (Vertical)'!D:D,'Students (Vertical)'!C:C=E172,'Students (Vertical)'!D:D&lt;&gt;"""")})&gt;1))),"""")"),"")</f>
        <v/>
      </c>
      <c r="L172" s="96"/>
      <c r="M172" s="96"/>
    </row>
    <row r="173" hidden="1">
      <c r="A173" s="8" t="s">
        <v>8</v>
      </c>
      <c r="C173" s="8" t="s">
        <v>8</v>
      </c>
      <c r="D173" s="8" t="s">
        <v>8</v>
      </c>
      <c r="F173" s="8" t="s">
        <v>8</v>
      </c>
      <c r="G173" s="8" t="s">
        <v>8</v>
      </c>
      <c r="I173" s="94" t="str">
        <f>IFERROR(__xludf.DUMMYFUNCTION("if(H173=""Must be Together"",iferror(join("", "",unique(filter({filter('Students (Vertical)'!O:O,'Students (Vertical)'!C:C=B173,'Students (Vertical)'!O:O&lt;&gt;"""");filter('Students (Vertical)'!O:O,'Students (Vertical)'!C:C=E173,'Students (Vertical)'!O:O&lt;&gt;"""&amp;""")},countifs({filter('Students (Vertical)'!O:O,'Students (Vertical)'!C:C=B173,'Students (Vertical)'!O:O&lt;&gt;"""");filter('Students (Vertical)'!O:O,'Students (Vertical)'!C:C=E173,'Students (Vertical)'!O:O&lt;&gt;"""")},{filter('Students (Vertical)'!O:O,'Students ("&amp;"Vertical)'!C:C=B173,'Students (Vertical)'!O:O&lt;&gt;"""");filter('Students (Vertical)'!O:O,'Students (Vertical)'!C:C=E173,'Students (Vertical)'!O:O&lt;&gt;"""")})&gt;1))),""No shared courses""),"""")"),"")</f>
        <v/>
      </c>
      <c r="J173" s="94" t="str">
        <f>IFERROR(__xludf.DUMMYFUNCTION("if(H173=""Can't be Together"",iferror(join("", "",unique(filter({unique(filter('Students (Vertical)'!O:O,'Students (Vertical)'!C:C=B173,'Students (Vertical)'!O:O&lt;&gt;"""",'Students (Vertical)'!P:P&gt;1));unique(filter('Students (Vertical)'!O:O,'Students (Vertic"&amp;"al)'!C:C=E173,'Students (Vertical)'!O:O&lt;&gt;"""",'Students (Vertical)'!P:P&gt;1))},countifs({unique(filter('Students (Vertical)'!O:O,'Students (Vertical)'!C:C=B173,'Students (Vertical)'!O:O&lt;&gt;"""",'Students (Vertical)'!P:P&gt;1));unique(filter('Students (Vertical)'"&amp;"!O:O,'Students (Vertical)'!C:C=E173,'Students (Vertical)'!O:O&lt;&gt;"""",'Students (Vertical)'!P:P&gt;1))},{unique(filter('Students (Vertical)'!O:O,'Students (Vertical)'!C:C=B173,'Students (Vertical)'!O:O&lt;&gt;"""",'Students (Vertical)'!P:P&gt;1));unique(filter('Student"&amp;"s (Vertical)'!O:O,'Students (Vertical)'!C:C=E173,'Students (Vertical)'!O:O&lt;&gt;"""",'Students (Vertical)'!P:P&gt;1))})&gt;1))),""""),"""")"),"")</f>
        <v/>
      </c>
      <c r="K173" s="96" t="str">
        <f>IFERROR(__xludf.DUMMYFUNCTION("iferror(join("", "",unique(filter({filter('Students (Vertical)'!D:D,'Students (Vertical)'!C:C=B173,'Students (Vertical)'!D:D&lt;&gt;"""");filter('Students (Vertical)'!D:D,'Students (Vertical)'!C:C=E173,'Students (Vertical)'!D:D&lt;&gt;"""")},countifs({filter('Student"&amp;"s (Vertical)'!D:D,'Students (Vertical)'!C:C=B173,'Students (Vertical)'!D:D&lt;&gt;"""");filter('Students (Vertical)'!D:D,'Students (Vertical)'!C:C=E173,'Students (Vertical)'!D:D&lt;&gt;"""")},{filter('Students (Vertical)'!D:D,'Students (Vertical)'!C:C=B173,'Students "&amp;"(Vertical)'!D:D&lt;&gt;"""");filter('Students (Vertical)'!D:D,'Students (Vertical)'!C:C=E173,'Students (Vertical)'!D:D&lt;&gt;"""")})&gt;1))),"""")"),"")</f>
        <v/>
      </c>
      <c r="L173" s="96"/>
      <c r="M173" s="96"/>
    </row>
    <row r="174" hidden="1">
      <c r="A174" s="8" t="s">
        <v>8</v>
      </c>
      <c r="C174" s="8" t="s">
        <v>8</v>
      </c>
      <c r="D174" s="8" t="s">
        <v>8</v>
      </c>
      <c r="F174" s="8" t="s">
        <v>8</v>
      </c>
      <c r="G174" s="8" t="s">
        <v>8</v>
      </c>
      <c r="I174" s="94" t="str">
        <f>IFERROR(__xludf.DUMMYFUNCTION("if(H174=""Must be Together"",iferror(join("", "",unique(filter({filter('Students (Vertical)'!O:O,'Students (Vertical)'!C:C=B174,'Students (Vertical)'!O:O&lt;&gt;"""");filter('Students (Vertical)'!O:O,'Students (Vertical)'!C:C=E174,'Students (Vertical)'!O:O&lt;&gt;"""&amp;""")},countifs({filter('Students (Vertical)'!O:O,'Students (Vertical)'!C:C=B174,'Students (Vertical)'!O:O&lt;&gt;"""");filter('Students (Vertical)'!O:O,'Students (Vertical)'!C:C=E174,'Students (Vertical)'!O:O&lt;&gt;"""")},{filter('Students (Vertical)'!O:O,'Students ("&amp;"Vertical)'!C:C=B174,'Students (Vertical)'!O:O&lt;&gt;"""");filter('Students (Vertical)'!O:O,'Students (Vertical)'!C:C=E174,'Students (Vertical)'!O:O&lt;&gt;"""")})&gt;1))),""No shared courses""),"""")"),"")</f>
        <v/>
      </c>
      <c r="J174" s="94" t="str">
        <f>IFERROR(__xludf.DUMMYFUNCTION("if(H174=""Can't be Together"",iferror(join("", "",unique(filter({unique(filter('Students (Vertical)'!O:O,'Students (Vertical)'!C:C=B174,'Students (Vertical)'!O:O&lt;&gt;"""",'Students (Vertical)'!P:P&gt;1));unique(filter('Students (Vertical)'!O:O,'Students (Vertic"&amp;"al)'!C:C=E174,'Students (Vertical)'!O:O&lt;&gt;"""",'Students (Vertical)'!P:P&gt;1))},countifs({unique(filter('Students (Vertical)'!O:O,'Students (Vertical)'!C:C=B174,'Students (Vertical)'!O:O&lt;&gt;"""",'Students (Vertical)'!P:P&gt;1));unique(filter('Students (Vertical)'"&amp;"!O:O,'Students (Vertical)'!C:C=E174,'Students (Vertical)'!O:O&lt;&gt;"""",'Students (Vertical)'!P:P&gt;1))},{unique(filter('Students (Vertical)'!O:O,'Students (Vertical)'!C:C=B174,'Students (Vertical)'!O:O&lt;&gt;"""",'Students (Vertical)'!P:P&gt;1));unique(filter('Student"&amp;"s (Vertical)'!O:O,'Students (Vertical)'!C:C=E174,'Students (Vertical)'!O:O&lt;&gt;"""",'Students (Vertical)'!P:P&gt;1))})&gt;1))),""""),"""")"),"")</f>
        <v/>
      </c>
      <c r="K174" s="96" t="str">
        <f>IFERROR(__xludf.DUMMYFUNCTION("iferror(join("", "",unique(filter({filter('Students (Vertical)'!D:D,'Students (Vertical)'!C:C=B174,'Students (Vertical)'!D:D&lt;&gt;"""");filter('Students (Vertical)'!D:D,'Students (Vertical)'!C:C=E174,'Students (Vertical)'!D:D&lt;&gt;"""")},countifs({filter('Student"&amp;"s (Vertical)'!D:D,'Students (Vertical)'!C:C=B174,'Students (Vertical)'!D:D&lt;&gt;"""");filter('Students (Vertical)'!D:D,'Students (Vertical)'!C:C=E174,'Students (Vertical)'!D:D&lt;&gt;"""")},{filter('Students (Vertical)'!D:D,'Students (Vertical)'!C:C=B174,'Students "&amp;"(Vertical)'!D:D&lt;&gt;"""");filter('Students (Vertical)'!D:D,'Students (Vertical)'!C:C=E174,'Students (Vertical)'!D:D&lt;&gt;"""")})&gt;1))),"""")"),"")</f>
        <v/>
      </c>
      <c r="L174" s="96"/>
      <c r="M174" s="96"/>
    </row>
    <row r="175" hidden="1">
      <c r="A175" s="8" t="s">
        <v>8</v>
      </c>
      <c r="C175" s="8" t="s">
        <v>8</v>
      </c>
      <c r="D175" s="8" t="s">
        <v>8</v>
      </c>
      <c r="F175" s="8" t="s">
        <v>8</v>
      </c>
      <c r="G175" s="8" t="s">
        <v>8</v>
      </c>
      <c r="I175" s="94" t="str">
        <f>IFERROR(__xludf.DUMMYFUNCTION("if(H175=""Must be Together"",iferror(join("", "",unique(filter({filter('Students (Vertical)'!O:O,'Students (Vertical)'!C:C=B175,'Students (Vertical)'!O:O&lt;&gt;"""");filter('Students (Vertical)'!O:O,'Students (Vertical)'!C:C=E175,'Students (Vertical)'!O:O&lt;&gt;"""&amp;""")},countifs({filter('Students (Vertical)'!O:O,'Students (Vertical)'!C:C=B175,'Students (Vertical)'!O:O&lt;&gt;"""");filter('Students (Vertical)'!O:O,'Students (Vertical)'!C:C=E175,'Students (Vertical)'!O:O&lt;&gt;"""")},{filter('Students (Vertical)'!O:O,'Students ("&amp;"Vertical)'!C:C=B175,'Students (Vertical)'!O:O&lt;&gt;"""");filter('Students (Vertical)'!O:O,'Students (Vertical)'!C:C=E175,'Students (Vertical)'!O:O&lt;&gt;"""")})&gt;1))),""No shared courses""),"""")"),"")</f>
        <v/>
      </c>
      <c r="J175" s="94" t="str">
        <f>IFERROR(__xludf.DUMMYFUNCTION("if(H175=""Can't be Together"",iferror(join("", "",unique(filter({unique(filter('Students (Vertical)'!O:O,'Students (Vertical)'!C:C=B175,'Students (Vertical)'!O:O&lt;&gt;"""",'Students (Vertical)'!P:P&gt;1));unique(filter('Students (Vertical)'!O:O,'Students (Vertic"&amp;"al)'!C:C=E175,'Students (Vertical)'!O:O&lt;&gt;"""",'Students (Vertical)'!P:P&gt;1))},countifs({unique(filter('Students (Vertical)'!O:O,'Students (Vertical)'!C:C=B175,'Students (Vertical)'!O:O&lt;&gt;"""",'Students (Vertical)'!P:P&gt;1));unique(filter('Students (Vertical)'"&amp;"!O:O,'Students (Vertical)'!C:C=E175,'Students (Vertical)'!O:O&lt;&gt;"""",'Students (Vertical)'!P:P&gt;1))},{unique(filter('Students (Vertical)'!O:O,'Students (Vertical)'!C:C=B175,'Students (Vertical)'!O:O&lt;&gt;"""",'Students (Vertical)'!P:P&gt;1));unique(filter('Student"&amp;"s (Vertical)'!O:O,'Students (Vertical)'!C:C=E175,'Students (Vertical)'!O:O&lt;&gt;"""",'Students (Vertical)'!P:P&gt;1))})&gt;1))),""""),"""")"),"")</f>
        <v/>
      </c>
      <c r="K175" s="96" t="str">
        <f>IFERROR(__xludf.DUMMYFUNCTION("iferror(join("", "",unique(filter({filter('Students (Vertical)'!D:D,'Students (Vertical)'!C:C=B175,'Students (Vertical)'!D:D&lt;&gt;"""");filter('Students (Vertical)'!D:D,'Students (Vertical)'!C:C=E175,'Students (Vertical)'!D:D&lt;&gt;"""")},countifs({filter('Student"&amp;"s (Vertical)'!D:D,'Students (Vertical)'!C:C=B175,'Students (Vertical)'!D:D&lt;&gt;"""");filter('Students (Vertical)'!D:D,'Students (Vertical)'!C:C=E175,'Students (Vertical)'!D:D&lt;&gt;"""")},{filter('Students (Vertical)'!D:D,'Students (Vertical)'!C:C=B175,'Students "&amp;"(Vertical)'!D:D&lt;&gt;"""");filter('Students (Vertical)'!D:D,'Students (Vertical)'!C:C=E175,'Students (Vertical)'!D:D&lt;&gt;"""")})&gt;1))),"""")"),"")</f>
        <v/>
      </c>
      <c r="L175" s="96"/>
      <c r="M175" s="96"/>
    </row>
    <row r="176" hidden="1">
      <c r="A176" s="8" t="s">
        <v>8</v>
      </c>
      <c r="C176" s="8" t="s">
        <v>8</v>
      </c>
      <c r="D176" s="8" t="s">
        <v>8</v>
      </c>
      <c r="F176" s="8" t="s">
        <v>8</v>
      </c>
      <c r="G176" s="8" t="s">
        <v>8</v>
      </c>
      <c r="I176" s="94" t="str">
        <f>IFERROR(__xludf.DUMMYFUNCTION("if(H176=""Must be Together"",iferror(join("", "",unique(filter({filter('Students (Vertical)'!O:O,'Students (Vertical)'!C:C=B176,'Students (Vertical)'!O:O&lt;&gt;"""");filter('Students (Vertical)'!O:O,'Students (Vertical)'!C:C=E176,'Students (Vertical)'!O:O&lt;&gt;"""&amp;""")},countifs({filter('Students (Vertical)'!O:O,'Students (Vertical)'!C:C=B176,'Students (Vertical)'!O:O&lt;&gt;"""");filter('Students (Vertical)'!O:O,'Students (Vertical)'!C:C=E176,'Students (Vertical)'!O:O&lt;&gt;"""")},{filter('Students (Vertical)'!O:O,'Students ("&amp;"Vertical)'!C:C=B176,'Students (Vertical)'!O:O&lt;&gt;"""");filter('Students (Vertical)'!O:O,'Students (Vertical)'!C:C=E176,'Students (Vertical)'!O:O&lt;&gt;"""")})&gt;1))),""No shared courses""),"""")"),"")</f>
        <v/>
      </c>
      <c r="J176" s="94" t="str">
        <f>IFERROR(__xludf.DUMMYFUNCTION("if(H176=""Can't be Together"",iferror(join("", "",unique(filter({unique(filter('Students (Vertical)'!O:O,'Students (Vertical)'!C:C=B176,'Students (Vertical)'!O:O&lt;&gt;"""",'Students (Vertical)'!P:P&gt;1));unique(filter('Students (Vertical)'!O:O,'Students (Vertic"&amp;"al)'!C:C=E176,'Students (Vertical)'!O:O&lt;&gt;"""",'Students (Vertical)'!P:P&gt;1))},countifs({unique(filter('Students (Vertical)'!O:O,'Students (Vertical)'!C:C=B176,'Students (Vertical)'!O:O&lt;&gt;"""",'Students (Vertical)'!P:P&gt;1));unique(filter('Students (Vertical)'"&amp;"!O:O,'Students (Vertical)'!C:C=E176,'Students (Vertical)'!O:O&lt;&gt;"""",'Students (Vertical)'!P:P&gt;1))},{unique(filter('Students (Vertical)'!O:O,'Students (Vertical)'!C:C=B176,'Students (Vertical)'!O:O&lt;&gt;"""",'Students (Vertical)'!P:P&gt;1));unique(filter('Student"&amp;"s (Vertical)'!O:O,'Students (Vertical)'!C:C=E176,'Students (Vertical)'!O:O&lt;&gt;"""",'Students (Vertical)'!P:P&gt;1))})&gt;1))),""""),"""")"),"")</f>
        <v/>
      </c>
      <c r="K176" s="96" t="str">
        <f>IFERROR(__xludf.DUMMYFUNCTION("iferror(join("", "",unique(filter({filter('Students (Vertical)'!D:D,'Students (Vertical)'!C:C=B176,'Students (Vertical)'!D:D&lt;&gt;"""");filter('Students (Vertical)'!D:D,'Students (Vertical)'!C:C=E176,'Students (Vertical)'!D:D&lt;&gt;"""")},countifs({filter('Student"&amp;"s (Vertical)'!D:D,'Students (Vertical)'!C:C=B176,'Students (Vertical)'!D:D&lt;&gt;"""");filter('Students (Vertical)'!D:D,'Students (Vertical)'!C:C=E176,'Students (Vertical)'!D:D&lt;&gt;"""")},{filter('Students (Vertical)'!D:D,'Students (Vertical)'!C:C=B176,'Students "&amp;"(Vertical)'!D:D&lt;&gt;"""");filter('Students (Vertical)'!D:D,'Students (Vertical)'!C:C=E176,'Students (Vertical)'!D:D&lt;&gt;"""")})&gt;1))),"""")"),"")</f>
        <v/>
      </c>
      <c r="L176" s="96"/>
      <c r="M176" s="96"/>
    </row>
    <row r="177" hidden="1">
      <c r="A177" s="8" t="s">
        <v>8</v>
      </c>
      <c r="C177" s="8" t="s">
        <v>8</v>
      </c>
      <c r="D177" s="8" t="s">
        <v>8</v>
      </c>
      <c r="F177" s="8" t="s">
        <v>8</v>
      </c>
      <c r="G177" s="8" t="s">
        <v>8</v>
      </c>
      <c r="I177" s="94" t="str">
        <f>IFERROR(__xludf.DUMMYFUNCTION("if(H177=""Must be Together"",iferror(join("", "",unique(filter({filter('Students (Vertical)'!O:O,'Students (Vertical)'!C:C=B177,'Students (Vertical)'!O:O&lt;&gt;"""");filter('Students (Vertical)'!O:O,'Students (Vertical)'!C:C=E177,'Students (Vertical)'!O:O&lt;&gt;"""&amp;""")},countifs({filter('Students (Vertical)'!O:O,'Students (Vertical)'!C:C=B177,'Students (Vertical)'!O:O&lt;&gt;"""");filter('Students (Vertical)'!O:O,'Students (Vertical)'!C:C=E177,'Students (Vertical)'!O:O&lt;&gt;"""")},{filter('Students (Vertical)'!O:O,'Students ("&amp;"Vertical)'!C:C=B177,'Students (Vertical)'!O:O&lt;&gt;"""");filter('Students (Vertical)'!O:O,'Students (Vertical)'!C:C=E177,'Students (Vertical)'!O:O&lt;&gt;"""")})&gt;1))),""No shared courses""),"""")"),"")</f>
        <v/>
      </c>
      <c r="J177" s="94" t="str">
        <f>IFERROR(__xludf.DUMMYFUNCTION("if(H177=""Can't be Together"",iferror(join("", "",unique(filter({unique(filter('Students (Vertical)'!O:O,'Students (Vertical)'!C:C=B177,'Students (Vertical)'!O:O&lt;&gt;"""",'Students (Vertical)'!P:P&gt;1));unique(filter('Students (Vertical)'!O:O,'Students (Vertic"&amp;"al)'!C:C=E177,'Students (Vertical)'!O:O&lt;&gt;"""",'Students (Vertical)'!P:P&gt;1))},countifs({unique(filter('Students (Vertical)'!O:O,'Students (Vertical)'!C:C=B177,'Students (Vertical)'!O:O&lt;&gt;"""",'Students (Vertical)'!P:P&gt;1));unique(filter('Students (Vertical)'"&amp;"!O:O,'Students (Vertical)'!C:C=E177,'Students (Vertical)'!O:O&lt;&gt;"""",'Students (Vertical)'!P:P&gt;1))},{unique(filter('Students (Vertical)'!O:O,'Students (Vertical)'!C:C=B177,'Students (Vertical)'!O:O&lt;&gt;"""",'Students (Vertical)'!P:P&gt;1));unique(filter('Student"&amp;"s (Vertical)'!O:O,'Students (Vertical)'!C:C=E177,'Students (Vertical)'!O:O&lt;&gt;"""",'Students (Vertical)'!P:P&gt;1))})&gt;1))),""""),"""")"),"")</f>
        <v/>
      </c>
      <c r="K177" s="96" t="str">
        <f>IFERROR(__xludf.DUMMYFUNCTION("iferror(join("", "",unique(filter({filter('Students (Vertical)'!D:D,'Students (Vertical)'!C:C=B177,'Students (Vertical)'!D:D&lt;&gt;"""");filter('Students (Vertical)'!D:D,'Students (Vertical)'!C:C=E177,'Students (Vertical)'!D:D&lt;&gt;"""")},countifs({filter('Student"&amp;"s (Vertical)'!D:D,'Students (Vertical)'!C:C=B177,'Students (Vertical)'!D:D&lt;&gt;"""");filter('Students (Vertical)'!D:D,'Students (Vertical)'!C:C=E177,'Students (Vertical)'!D:D&lt;&gt;"""")},{filter('Students (Vertical)'!D:D,'Students (Vertical)'!C:C=B177,'Students "&amp;"(Vertical)'!D:D&lt;&gt;"""");filter('Students (Vertical)'!D:D,'Students (Vertical)'!C:C=E177,'Students (Vertical)'!D:D&lt;&gt;"""")})&gt;1))),"""")"),"")</f>
        <v/>
      </c>
      <c r="L177" s="96"/>
      <c r="M177" s="96"/>
    </row>
    <row r="178" hidden="1">
      <c r="A178" s="8" t="s">
        <v>8</v>
      </c>
      <c r="C178" s="8" t="s">
        <v>8</v>
      </c>
      <c r="D178" s="8" t="s">
        <v>8</v>
      </c>
      <c r="F178" s="8" t="s">
        <v>8</v>
      </c>
      <c r="G178" s="8" t="s">
        <v>8</v>
      </c>
      <c r="I178" s="94" t="str">
        <f>IFERROR(__xludf.DUMMYFUNCTION("if(H178=""Must be Together"",iferror(join("", "",unique(filter({filter('Students (Vertical)'!O:O,'Students (Vertical)'!C:C=B178,'Students (Vertical)'!O:O&lt;&gt;"""");filter('Students (Vertical)'!O:O,'Students (Vertical)'!C:C=E178,'Students (Vertical)'!O:O&lt;&gt;"""&amp;""")},countifs({filter('Students (Vertical)'!O:O,'Students (Vertical)'!C:C=B178,'Students (Vertical)'!O:O&lt;&gt;"""");filter('Students (Vertical)'!O:O,'Students (Vertical)'!C:C=E178,'Students (Vertical)'!O:O&lt;&gt;"""")},{filter('Students (Vertical)'!O:O,'Students ("&amp;"Vertical)'!C:C=B178,'Students (Vertical)'!O:O&lt;&gt;"""");filter('Students (Vertical)'!O:O,'Students (Vertical)'!C:C=E178,'Students (Vertical)'!O:O&lt;&gt;"""")})&gt;1))),""No shared courses""),"""")"),"")</f>
        <v/>
      </c>
      <c r="J178" s="94" t="str">
        <f>IFERROR(__xludf.DUMMYFUNCTION("if(H178=""Can't be Together"",iferror(join("", "",unique(filter({unique(filter('Students (Vertical)'!O:O,'Students (Vertical)'!C:C=B178,'Students (Vertical)'!O:O&lt;&gt;"""",'Students (Vertical)'!P:P&gt;1));unique(filter('Students (Vertical)'!O:O,'Students (Vertic"&amp;"al)'!C:C=E178,'Students (Vertical)'!O:O&lt;&gt;"""",'Students (Vertical)'!P:P&gt;1))},countifs({unique(filter('Students (Vertical)'!O:O,'Students (Vertical)'!C:C=B178,'Students (Vertical)'!O:O&lt;&gt;"""",'Students (Vertical)'!P:P&gt;1));unique(filter('Students (Vertical)'"&amp;"!O:O,'Students (Vertical)'!C:C=E178,'Students (Vertical)'!O:O&lt;&gt;"""",'Students (Vertical)'!P:P&gt;1))},{unique(filter('Students (Vertical)'!O:O,'Students (Vertical)'!C:C=B178,'Students (Vertical)'!O:O&lt;&gt;"""",'Students (Vertical)'!P:P&gt;1));unique(filter('Student"&amp;"s (Vertical)'!O:O,'Students (Vertical)'!C:C=E178,'Students (Vertical)'!O:O&lt;&gt;"""",'Students (Vertical)'!P:P&gt;1))})&gt;1))),""""),"""")"),"")</f>
        <v/>
      </c>
      <c r="K178" s="96" t="str">
        <f>IFERROR(__xludf.DUMMYFUNCTION("iferror(join("", "",unique(filter({filter('Students (Vertical)'!D:D,'Students (Vertical)'!C:C=B178,'Students (Vertical)'!D:D&lt;&gt;"""");filter('Students (Vertical)'!D:D,'Students (Vertical)'!C:C=E178,'Students (Vertical)'!D:D&lt;&gt;"""")},countifs({filter('Student"&amp;"s (Vertical)'!D:D,'Students (Vertical)'!C:C=B178,'Students (Vertical)'!D:D&lt;&gt;"""");filter('Students (Vertical)'!D:D,'Students (Vertical)'!C:C=E178,'Students (Vertical)'!D:D&lt;&gt;"""")},{filter('Students (Vertical)'!D:D,'Students (Vertical)'!C:C=B178,'Students "&amp;"(Vertical)'!D:D&lt;&gt;"""");filter('Students (Vertical)'!D:D,'Students (Vertical)'!C:C=E178,'Students (Vertical)'!D:D&lt;&gt;"""")})&gt;1))),"""")"),"")</f>
        <v/>
      </c>
      <c r="L178" s="96"/>
      <c r="M178" s="96"/>
    </row>
    <row r="179" hidden="1">
      <c r="A179" s="8" t="s">
        <v>8</v>
      </c>
      <c r="C179" s="8" t="s">
        <v>8</v>
      </c>
      <c r="D179" s="8" t="s">
        <v>8</v>
      </c>
      <c r="F179" s="8" t="s">
        <v>8</v>
      </c>
      <c r="G179" s="8" t="s">
        <v>8</v>
      </c>
      <c r="I179" s="94" t="str">
        <f>IFERROR(__xludf.DUMMYFUNCTION("if(H179=""Must be Together"",iferror(join("", "",unique(filter({filter('Students (Vertical)'!O:O,'Students (Vertical)'!C:C=B179,'Students (Vertical)'!O:O&lt;&gt;"""");filter('Students (Vertical)'!O:O,'Students (Vertical)'!C:C=E179,'Students (Vertical)'!O:O&lt;&gt;"""&amp;""")},countifs({filter('Students (Vertical)'!O:O,'Students (Vertical)'!C:C=B179,'Students (Vertical)'!O:O&lt;&gt;"""");filter('Students (Vertical)'!O:O,'Students (Vertical)'!C:C=E179,'Students (Vertical)'!O:O&lt;&gt;"""")},{filter('Students (Vertical)'!O:O,'Students ("&amp;"Vertical)'!C:C=B179,'Students (Vertical)'!O:O&lt;&gt;"""");filter('Students (Vertical)'!O:O,'Students (Vertical)'!C:C=E179,'Students (Vertical)'!O:O&lt;&gt;"""")})&gt;1))),""No shared courses""),"""")"),"")</f>
        <v/>
      </c>
      <c r="J179" s="94" t="str">
        <f>IFERROR(__xludf.DUMMYFUNCTION("if(H179=""Can't be Together"",iferror(join("", "",unique(filter({unique(filter('Students (Vertical)'!O:O,'Students (Vertical)'!C:C=B179,'Students (Vertical)'!O:O&lt;&gt;"""",'Students (Vertical)'!P:P&gt;1));unique(filter('Students (Vertical)'!O:O,'Students (Vertic"&amp;"al)'!C:C=E179,'Students (Vertical)'!O:O&lt;&gt;"""",'Students (Vertical)'!P:P&gt;1))},countifs({unique(filter('Students (Vertical)'!O:O,'Students (Vertical)'!C:C=B179,'Students (Vertical)'!O:O&lt;&gt;"""",'Students (Vertical)'!P:P&gt;1));unique(filter('Students (Vertical)'"&amp;"!O:O,'Students (Vertical)'!C:C=E179,'Students (Vertical)'!O:O&lt;&gt;"""",'Students (Vertical)'!P:P&gt;1))},{unique(filter('Students (Vertical)'!O:O,'Students (Vertical)'!C:C=B179,'Students (Vertical)'!O:O&lt;&gt;"""",'Students (Vertical)'!P:P&gt;1));unique(filter('Student"&amp;"s (Vertical)'!O:O,'Students (Vertical)'!C:C=E179,'Students (Vertical)'!O:O&lt;&gt;"""",'Students (Vertical)'!P:P&gt;1))})&gt;1))),""""),"""")"),"")</f>
        <v/>
      </c>
      <c r="K179" s="96" t="str">
        <f>IFERROR(__xludf.DUMMYFUNCTION("iferror(join("", "",unique(filter({filter('Students (Vertical)'!D:D,'Students (Vertical)'!C:C=B179,'Students (Vertical)'!D:D&lt;&gt;"""");filter('Students (Vertical)'!D:D,'Students (Vertical)'!C:C=E179,'Students (Vertical)'!D:D&lt;&gt;"""")},countifs({filter('Student"&amp;"s (Vertical)'!D:D,'Students (Vertical)'!C:C=B179,'Students (Vertical)'!D:D&lt;&gt;"""");filter('Students (Vertical)'!D:D,'Students (Vertical)'!C:C=E179,'Students (Vertical)'!D:D&lt;&gt;"""")},{filter('Students (Vertical)'!D:D,'Students (Vertical)'!C:C=B179,'Students "&amp;"(Vertical)'!D:D&lt;&gt;"""");filter('Students (Vertical)'!D:D,'Students (Vertical)'!C:C=E179,'Students (Vertical)'!D:D&lt;&gt;"""")})&gt;1))),"""")"),"")</f>
        <v/>
      </c>
      <c r="L179" s="96"/>
      <c r="M179" s="96"/>
    </row>
    <row r="180" hidden="1">
      <c r="A180" s="8" t="s">
        <v>8</v>
      </c>
      <c r="C180" s="8" t="s">
        <v>8</v>
      </c>
      <c r="D180" s="8" t="s">
        <v>8</v>
      </c>
      <c r="F180" s="8" t="s">
        <v>8</v>
      </c>
      <c r="G180" s="8" t="s">
        <v>8</v>
      </c>
      <c r="I180" s="94" t="str">
        <f>IFERROR(__xludf.DUMMYFUNCTION("if(H180=""Must be Together"",iferror(join("", "",unique(filter({filter('Students (Vertical)'!O:O,'Students (Vertical)'!C:C=B180,'Students (Vertical)'!O:O&lt;&gt;"""");filter('Students (Vertical)'!O:O,'Students (Vertical)'!C:C=E180,'Students (Vertical)'!O:O&lt;&gt;"""&amp;""")},countifs({filter('Students (Vertical)'!O:O,'Students (Vertical)'!C:C=B180,'Students (Vertical)'!O:O&lt;&gt;"""");filter('Students (Vertical)'!O:O,'Students (Vertical)'!C:C=E180,'Students (Vertical)'!O:O&lt;&gt;"""")},{filter('Students (Vertical)'!O:O,'Students ("&amp;"Vertical)'!C:C=B180,'Students (Vertical)'!O:O&lt;&gt;"""");filter('Students (Vertical)'!O:O,'Students (Vertical)'!C:C=E180,'Students (Vertical)'!O:O&lt;&gt;"""")})&gt;1))),""No shared courses""),"""")"),"")</f>
        <v/>
      </c>
      <c r="J180" s="94" t="str">
        <f>IFERROR(__xludf.DUMMYFUNCTION("if(H180=""Can't be Together"",iferror(join("", "",unique(filter({unique(filter('Students (Vertical)'!O:O,'Students (Vertical)'!C:C=B180,'Students (Vertical)'!O:O&lt;&gt;"""",'Students (Vertical)'!P:P&gt;1));unique(filter('Students (Vertical)'!O:O,'Students (Vertic"&amp;"al)'!C:C=E180,'Students (Vertical)'!O:O&lt;&gt;"""",'Students (Vertical)'!P:P&gt;1))},countifs({unique(filter('Students (Vertical)'!O:O,'Students (Vertical)'!C:C=B180,'Students (Vertical)'!O:O&lt;&gt;"""",'Students (Vertical)'!P:P&gt;1));unique(filter('Students (Vertical)'"&amp;"!O:O,'Students (Vertical)'!C:C=E180,'Students (Vertical)'!O:O&lt;&gt;"""",'Students (Vertical)'!P:P&gt;1))},{unique(filter('Students (Vertical)'!O:O,'Students (Vertical)'!C:C=B180,'Students (Vertical)'!O:O&lt;&gt;"""",'Students (Vertical)'!P:P&gt;1));unique(filter('Student"&amp;"s (Vertical)'!O:O,'Students (Vertical)'!C:C=E180,'Students (Vertical)'!O:O&lt;&gt;"""",'Students (Vertical)'!P:P&gt;1))})&gt;1))),""""),"""")"),"")</f>
        <v/>
      </c>
      <c r="K180" s="96" t="str">
        <f>IFERROR(__xludf.DUMMYFUNCTION("iferror(join("", "",unique(filter({filter('Students (Vertical)'!D:D,'Students (Vertical)'!C:C=B180,'Students (Vertical)'!D:D&lt;&gt;"""");filter('Students (Vertical)'!D:D,'Students (Vertical)'!C:C=E180,'Students (Vertical)'!D:D&lt;&gt;"""")},countifs({filter('Student"&amp;"s (Vertical)'!D:D,'Students (Vertical)'!C:C=B180,'Students (Vertical)'!D:D&lt;&gt;"""");filter('Students (Vertical)'!D:D,'Students (Vertical)'!C:C=E180,'Students (Vertical)'!D:D&lt;&gt;"""")},{filter('Students (Vertical)'!D:D,'Students (Vertical)'!C:C=B180,'Students "&amp;"(Vertical)'!D:D&lt;&gt;"""");filter('Students (Vertical)'!D:D,'Students (Vertical)'!C:C=E180,'Students (Vertical)'!D:D&lt;&gt;"""")})&gt;1))),"""")"),"")</f>
        <v/>
      </c>
      <c r="L180" s="96"/>
      <c r="M180" s="96"/>
    </row>
    <row r="181" hidden="1">
      <c r="A181" s="8" t="s">
        <v>8</v>
      </c>
      <c r="C181" s="8" t="s">
        <v>8</v>
      </c>
      <c r="D181" s="8" t="s">
        <v>8</v>
      </c>
      <c r="F181" s="8" t="s">
        <v>8</v>
      </c>
      <c r="G181" s="8" t="s">
        <v>8</v>
      </c>
      <c r="I181" s="94" t="str">
        <f>IFERROR(__xludf.DUMMYFUNCTION("if(H181=""Must be Together"",iferror(join("", "",unique(filter({filter('Students (Vertical)'!O:O,'Students (Vertical)'!C:C=B181,'Students (Vertical)'!O:O&lt;&gt;"""");filter('Students (Vertical)'!O:O,'Students (Vertical)'!C:C=E181,'Students (Vertical)'!O:O&lt;&gt;"""&amp;""")},countifs({filter('Students (Vertical)'!O:O,'Students (Vertical)'!C:C=B181,'Students (Vertical)'!O:O&lt;&gt;"""");filter('Students (Vertical)'!O:O,'Students (Vertical)'!C:C=E181,'Students (Vertical)'!O:O&lt;&gt;"""")},{filter('Students (Vertical)'!O:O,'Students ("&amp;"Vertical)'!C:C=B181,'Students (Vertical)'!O:O&lt;&gt;"""");filter('Students (Vertical)'!O:O,'Students (Vertical)'!C:C=E181,'Students (Vertical)'!O:O&lt;&gt;"""")})&gt;1))),""No shared courses""),"""")"),"")</f>
        <v/>
      </c>
      <c r="J181" s="94" t="str">
        <f>IFERROR(__xludf.DUMMYFUNCTION("if(H181=""Can't be Together"",iferror(join("", "",unique(filter({unique(filter('Students (Vertical)'!O:O,'Students (Vertical)'!C:C=B181,'Students (Vertical)'!O:O&lt;&gt;"""",'Students (Vertical)'!P:P&gt;1));unique(filter('Students (Vertical)'!O:O,'Students (Vertic"&amp;"al)'!C:C=E181,'Students (Vertical)'!O:O&lt;&gt;"""",'Students (Vertical)'!P:P&gt;1))},countifs({unique(filter('Students (Vertical)'!O:O,'Students (Vertical)'!C:C=B181,'Students (Vertical)'!O:O&lt;&gt;"""",'Students (Vertical)'!P:P&gt;1));unique(filter('Students (Vertical)'"&amp;"!O:O,'Students (Vertical)'!C:C=E181,'Students (Vertical)'!O:O&lt;&gt;"""",'Students (Vertical)'!P:P&gt;1))},{unique(filter('Students (Vertical)'!O:O,'Students (Vertical)'!C:C=B181,'Students (Vertical)'!O:O&lt;&gt;"""",'Students (Vertical)'!P:P&gt;1));unique(filter('Student"&amp;"s (Vertical)'!O:O,'Students (Vertical)'!C:C=E181,'Students (Vertical)'!O:O&lt;&gt;"""",'Students (Vertical)'!P:P&gt;1))})&gt;1))),""""),"""")"),"")</f>
        <v/>
      </c>
      <c r="K181" s="96" t="str">
        <f>IFERROR(__xludf.DUMMYFUNCTION("iferror(join("", "",unique(filter({filter('Students (Vertical)'!D:D,'Students (Vertical)'!C:C=B181,'Students (Vertical)'!D:D&lt;&gt;"""");filter('Students (Vertical)'!D:D,'Students (Vertical)'!C:C=E181,'Students (Vertical)'!D:D&lt;&gt;"""")},countifs({filter('Student"&amp;"s (Vertical)'!D:D,'Students (Vertical)'!C:C=B181,'Students (Vertical)'!D:D&lt;&gt;"""");filter('Students (Vertical)'!D:D,'Students (Vertical)'!C:C=E181,'Students (Vertical)'!D:D&lt;&gt;"""")},{filter('Students (Vertical)'!D:D,'Students (Vertical)'!C:C=B181,'Students "&amp;"(Vertical)'!D:D&lt;&gt;"""");filter('Students (Vertical)'!D:D,'Students (Vertical)'!C:C=E181,'Students (Vertical)'!D:D&lt;&gt;"""")})&gt;1))),"""")"),"")</f>
        <v/>
      </c>
      <c r="L181" s="96"/>
      <c r="M181" s="96"/>
    </row>
    <row r="182" hidden="1">
      <c r="A182" s="8" t="s">
        <v>8</v>
      </c>
      <c r="C182" s="8" t="s">
        <v>8</v>
      </c>
      <c r="D182" s="8" t="s">
        <v>8</v>
      </c>
      <c r="F182" s="8" t="s">
        <v>8</v>
      </c>
      <c r="G182" s="8" t="s">
        <v>8</v>
      </c>
      <c r="I182" s="94" t="str">
        <f>IFERROR(__xludf.DUMMYFUNCTION("if(H182=""Must be Together"",iferror(join("", "",unique(filter({filter('Students (Vertical)'!O:O,'Students (Vertical)'!C:C=B182,'Students (Vertical)'!O:O&lt;&gt;"""");filter('Students (Vertical)'!O:O,'Students (Vertical)'!C:C=E182,'Students (Vertical)'!O:O&lt;&gt;"""&amp;""")},countifs({filter('Students (Vertical)'!O:O,'Students (Vertical)'!C:C=B182,'Students (Vertical)'!O:O&lt;&gt;"""");filter('Students (Vertical)'!O:O,'Students (Vertical)'!C:C=E182,'Students (Vertical)'!O:O&lt;&gt;"""")},{filter('Students (Vertical)'!O:O,'Students ("&amp;"Vertical)'!C:C=B182,'Students (Vertical)'!O:O&lt;&gt;"""");filter('Students (Vertical)'!O:O,'Students (Vertical)'!C:C=E182,'Students (Vertical)'!O:O&lt;&gt;"""")})&gt;1))),""No shared courses""),"""")"),"")</f>
        <v/>
      </c>
      <c r="J182" s="94" t="str">
        <f>IFERROR(__xludf.DUMMYFUNCTION("if(H182=""Can't be Together"",iferror(join("", "",unique(filter({unique(filter('Students (Vertical)'!O:O,'Students (Vertical)'!C:C=B182,'Students (Vertical)'!O:O&lt;&gt;"""",'Students (Vertical)'!P:P&gt;1));unique(filter('Students (Vertical)'!O:O,'Students (Vertic"&amp;"al)'!C:C=E182,'Students (Vertical)'!O:O&lt;&gt;"""",'Students (Vertical)'!P:P&gt;1))},countifs({unique(filter('Students (Vertical)'!O:O,'Students (Vertical)'!C:C=B182,'Students (Vertical)'!O:O&lt;&gt;"""",'Students (Vertical)'!P:P&gt;1));unique(filter('Students (Vertical)'"&amp;"!O:O,'Students (Vertical)'!C:C=E182,'Students (Vertical)'!O:O&lt;&gt;"""",'Students (Vertical)'!P:P&gt;1))},{unique(filter('Students (Vertical)'!O:O,'Students (Vertical)'!C:C=B182,'Students (Vertical)'!O:O&lt;&gt;"""",'Students (Vertical)'!P:P&gt;1));unique(filter('Student"&amp;"s (Vertical)'!O:O,'Students (Vertical)'!C:C=E182,'Students (Vertical)'!O:O&lt;&gt;"""",'Students (Vertical)'!P:P&gt;1))})&gt;1))),""""),"""")"),"")</f>
        <v/>
      </c>
      <c r="K182" s="96" t="str">
        <f>IFERROR(__xludf.DUMMYFUNCTION("iferror(join("", "",unique(filter({filter('Students (Vertical)'!D:D,'Students (Vertical)'!C:C=B182,'Students (Vertical)'!D:D&lt;&gt;"""");filter('Students (Vertical)'!D:D,'Students (Vertical)'!C:C=E182,'Students (Vertical)'!D:D&lt;&gt;"""")},countifs({filter('Student"&amp;"s (Vertical)'!D:D,'Students (Vertical)'!C:C=B182,'Students (Vertical)'!D:D&lt;&gt;"""");filter('Students (Vertical)'!D:D,'Students (Vertical)'!C:C=E182,'Students (Vertical)'!D:D&lt;&gt;"""")},{filter('Students (Vertical)'!D:D,'Students (Vertical)'!C:C=B182,'Students "&amp;"(Vertical)'!D:D&lt;&gt;"""");filter('Students (Vertical)'!D:D,'Students (Vertical)'!C:C=E182,'Students (Vertical)'!D:D&lt;&gt;"""")})&gt;1))),"""")"),"")</f>
        <v/>
      </c>
      <c r="L182" s="96"/>
      <c r="M182" s="96"/>
    </row>
    <row r="183" hidden="1">
      <c r="A183" s="8" t="s">
        <v>8</v>
      </c>
      <c r="C183" s="8" t="s">
        <v>8</v>
      </c>
      <c r="D183" s="8" t="s">
        <v>8</v>
      </c>
      <c r="F183" s="8" t="s">
        <v>8</v>
      </c>
      <c r="G183" s="8" t="s">
        <v>8</v>
      </c>
      <c r="I183" s="94" t="str">
        <f>IFERROR(__xludf.DUMMYFUNCTION("if(H183=""Must be Together"",iferror(join("", "",unique(filter({filter('Students (Vertical)'!O:O,'Students (Vertical)'!C:C=B183,'Students (Vertical)'!O:O&lt;&gt;"""");filter('Students (Vertical)'!O:O,'Students (Vertical)'!C:C=E183,'Students (Vertical)'!O:O&lt;&gt;"""&amp;""")},countifs({filter('Students (Vertical)'!O:O,'Students (Vertical)'!C:C=B183,'Students (Vertical)'!O:O&lt;&gt;"""");filter('Students (Vertical)'!O:O,'Students (Vertical)'!C:C=E183,'Students (Vertical)'!O:O&lt;&gt;"""")},{filter('Students (Vertical)'!O:O,'Students ("&amp;"Vertical)'!C:C=B183,'Students (Vertical)'!O:O&lt;&gt;"""");filter('Students (Vertical)'!O:O,'Students (Vertical)'!C:C=E183,'Students (Vertical)'!O:O&lt;&gt;"""")})&gt;1))),""No shared courses""),"""")"),"")</f>
        <v/>
      </c>
      <c r="J183" s="94" t="str">
        <f>IFERROR(__xludf.DUMMYFUNCTION("if(H183=""Can't be Together"",iferror(join("", "",unique(filter({unique(filter('Students (Vertical)'!O:O,'Students (Vertical)'!C:C=B183,'Students (Vertical)'!O:O&lt;&gt;"""",'Students (Vertical)'!P:P&gt;1));unique(filter('Students (Vertical)'!O:O,'Students (Vertic"&amp;"al)'!C:C=E183,'Students (Vertical)'!O:O&lt;&gt;"""",'Students (Vertical)'!P:P&gt;1))},countifs({unique(filter('Students (Vertical)'!O:O,'Students (Vertical)'!C:C=B183,'Students (Vertical)'!O:O&lt;&gt;"""",'Students (Vertical)'!P:P&gt;1));unique(filter('Students (Vertical)'"&amp;"!O:O,'Students (Vertical)'!C:C=E183,'Students (Vertical)'!O:O&lt;&gt;"""",'Students (Vertical)'!P:P&gt;1))},{unique(filter('Students (Vertical)'!O:O,'Students (Vertical)'!C:C=B183,'Students (Vertical)'!O:O&lt;&gt;"""",'Students (Vertical)'!P:P&gt;1));unique(filter('Student"&amp;"s (Vertical)'!O:O,'Students (Vertical)'!C:C=E183,'Students (Vertical)'!O:O&lt;&gt;"""",'Students (Vertical)'!P:P&gt;1))})&gt;1))),""""),"""")"),"")</f>
        <v/>
      </c>
      <c r="K183" s="96" t="str">
        <f>IFERROR(__xludf.DUMMYFUNCTION("iferror(join("", "",unique(filter({filter('Students (Vertical)'!D:D,'Students (Vertical)'!C:C=B183,'Students (Vertical)'!D:D&lt;&gt;"""");filter('Students (Vertical)'!D:D,'Students (Vertical)'!C:C=E183,'Students (Vertical)'!D:D&lt;&gt;"""")},countifs({filter('Student"&amp;"s (Vertical)'!D:D,'Students (Vertical)'!C:C=B183,'Students (Vertical)'!D:D&lt;&gt;"""");filter('Students (Vertical)'!D:D,'Students (Vertical)'!C:C=E183,'Students (Vertical)'!D:D&lt;&gt;"""")},{filter('Students (Vertical)'!D:D,'Students (Vertical)'!C:C=B183,'Students "&amp;"(Vertical)'!D:D&lt;&gt;"""");filter('Students (Vertical)'!D:D,'Students (Vertical)'!C:C=E183,'Students (Vertical)'!D:D&lt;&gt;"""")})&gt;1))),"""")"),"")</f>
        <v/>
      </c>
      <c r="L183" s="96"/>
      <c r="M183" s="96"/>
    </row>
    <row r="184" hidden="1">
      <c r="A184" s="8" t="s">
        <v>8</v>
      </c>
      <c r="C184" s="8" t="s">
        <v>8</v>
      </c>
      <c r="D184" s="8" t="s">
        <v>8</v>
      </c>
      <c r="F184" s="8" t="s">
        <v>8</v>
      </c>
      <c r="G184" s="8" t="s">
        <v>8</v>
      </c>
      <c r="I184" s="94" t="str">
        <f>IFERROR(__xludf.DUMMYFUNCTION("if(H184=""Must be Together"",iferror(join("", "",unique(filter({filter('Students (Vertical)'!O:O,'Students (Vertical)'!C:C=B184,'Students (Vertical)'!O:O&lt;&gt;"""");filter('Students (Vertical)'!O:O,'Students (Vertical)'!C:C=E184,'Students (Vertical)'!O:O&lt;&gt;"""&amp;""")},countifs({filter('Students (Vertical)'!O:O,'Students (Vertical)'!C:C=B184,'Students (Vertical)'!O:O&lt;&gt;"""");filter('Students (Vertical)'!O:O,'Students (Vertical)'!C:C=E184,'Students (Vertical)'!O:O&lt;&gt;"""")},{filter('Students (Vertical)'!O:O,'Students ("&amp;"Vertical)'!C:C=B184,'Students (Vertical)'!O:O&lt;&gt;"""");filter('Students (Vertical)'!O:O,'Students (Vertical)'!C:C=E184,'Students (Vertical)'!O:O&lt;&gt;"""")})&gt;1))),""No shared courses""),"""")"),"")</f>
        <v/>
      </c>
      <c r="J184" s="94" t="str">
        <f>IFERROR(__xludf.DUMMYFUNCTION("if(H184=""Can't be Together"",iferror(join("", "",unique(filter({unique(filter('Students (Vertical)'!O:O,'Students (Vertical)'!C:C=B184,'Students (Vertical)'!O:O&lt;&gt;"""",'Students (Vertical)'!P:P&gt;1));unique(filter('Students (Vertical)'!O:O,'Students (Vertic"&amp;"al)'!C:C=E184,'Students (Vertical)'!O:O&lt;&gt;"""",'Students (Vertical)'!P:P&gt;1))},countifs({unique(filter('Students (Vertical)'!O:O,'Students (Vertical)'!C:C=B184,'Students (Vertical)'!O:O&lt;&gt;"""",'Students (Vertical)'!P:P&gt;1));unique(filter('Students (Vertical)'"&amp;"!O:O,'Students (Vertical)'!C:C=E184,'Students (Vertical)'!O:O&lt;&gt;"""",'Students (Vertical)'!P:P&gt;1))},{unique(filter('Students (Vertical)'!O:O,'Students (Vertical)'!C:C=B184,'Students (Vertical)'!O:O&lt;&gt;"""",'Students (Vertical)'!P:P&gt;1));unique(filter('Student"&amp;"s (Vertical)'!O:O,'Students (Vertical)'!C:C=E184,'Students (Vertical)'!O:O&lt;&gt;"""",'Students (Vertical)'!P:P&gt;1))})&gt;1))),""""),"""")"),"")</f>
        <v/>
      </c>
      <c r="K184" s="96" t="str">
        <f>IFERROR(__xludf.DUMMYFUNCTION("iferror(join("", "",unique(filter({filter('Students (Vertical)'!D:D,'Students (Vertical)'!C:C=B184,'Students (Vertical)'!D:D&lt;&gt;"""");filter('Students (Vertical)'!D:D,'Students (Vertical)'!C:C=E184,'Students (Vertical)'!D:D&lt;&gt;"""")},countifs({filter('Student"&amp;"s (Vertical)'!D:D,'Students (Vertical)'!C:C=B184,'Students (Vertical)'!D:D&lt;&gt;"""");filter('Students (Vertical)'!D:D,'Students (Vertical)'!C:C=E184,'Students (Vertical)'!D:D&lt;&gt;"""")},{filter('Students (Vertical)'!D:D,'Students (Vertical)'!C:C=B184,'Students "&amp;"(Vertical)'!D:D&lt;&gt;"""");filter('Students (Vertical)'!D:D,'Students (Vertical)'!C:C=E184,'Students (Vertical)'!D:D&lt;&gt;"""")})&gt;1))),"""")"),"")</f>
        <v/>
      </c>
      <c r="L184" s="96"/>
      <c r="M184" s="96"/>
    </row>
    <row r="185" hidden="1">
      <c r="A185" s="8" t="s">
        <v>8</v>
      </c>
      <c r="C185" s="8" t="s">
        <v>8</v>
      </c>
      <c r="D185" s="8" t="s">
        <v>8</v>
      </c>
      <c r="F185" s="8" t="s">
        <v>8</v>
      </c>
      <c r="G185" s="8" t="s">
        <v>8</v>
      </c>
      <c r="I185" s="94" t="str">
        <f>IFERROR(__xludf.DUMMYFUNCTION("if(H185=""Must be Together"",iferror(join("", "",unique(filter({filter('Students (Vertical)'!O:O,'Students (Vertical)'!C:C=B185,'Students (Vertical)'!O:O&lt;&gt;"""");filter('Students (Vertical)'!O:O,'Students (Vertical)'!C:C=E185,'Students (Vertical)'!O:O&lt;&gt;"""&amp;""")},countifs({filter('Students (Vertical)'!O:O,'Students (Vertical)'!C:C=B185,'Students (Vertical)'!O:O&lt;&gt;"""");filter('Students (Vertical)'!O:O,'Students (Vertical)'!C:C=E185,'Students (Vertical)'!O:O&lt;&gt;"""")},{filter('Students (Vertical)'!O:O,'Students ("&amp;"Vertical)'!C:C=B185,'Students (Vertical)'!O:O&lt;&gt;"""");filter('Students (Vertical)'!O:O,'Students (Vertical)'!C:C=E185,'Students (Vertical)'!O:O&lt;&gt;"""")})&gt;1))),""No shared courses""),"""")"),"")</f>
        <v/>
      </c>
      <c r="J185" s="94" t="str">
        <f>IFERROR(__xludf.DUMMYFUNCTION("if(H185=""Can't be Together"",iferror(join("", "",unique(filter({unique(filter('Students (Vertical)'!O:O,'Students (Vertical)'!C:C=B185,'Students (Vertical)'!O:O&lt;&gt;"""",'Students (Vertical)'!P:P&gt;1));unique(filter('Students (Vertical)'!O:O,'Students (Vertic"&amp;"al)'!C:C=E185,'Students (Vertical)'!O:O&lt;&gt;"""",'Students (Vertical)'!P:P&gt;1))},countifs({unique(filter('Students (Vertical)'!O:O,'Students (Vertical)'!C:C=B185,'Students (Vertical)'!O:O&lt;&gt;"""",'Students (Vertical)'!P:P&gt;1));unique(filter('Students (Vertical)'"&amp;"!O:O,'Students (Vertical)'!C:C=E185,'Students (Vertical)'!O:O&lt;&gt;"""",'Students (Vertical)'!P:P&gt;1))},{unique(filter('Students (Vertical)'!O:O,'Students (Vertical)'!C:C=B185,'Students (Vertical)'!O:O&lt;&gt;"""",'Students (Vertical)'!P:P&gt;1));unique(filter('Student"&amp;"s (Vertical)'!O:O,'Students (Vertical)'!C:C=E185,'Students (Vertical)'!O:O&lt;&gt;"""",'Students (Vertical)'!P:P&gt;1))})&gt;1))),""""),"""")"),"")</f>
        <v/>
      </c>
      <c r="K185" s="96" t="str">
        <f>IFERROR(__xludf.DUMMYFUNCTION("iferror(join("", "",unique(filter({filter('Students (Vertical)'!D:D,'Students (Vertical)'!C:C=B185,'Students (Vertical)'!D:D&lt;&gt;"""");filter('Students (Vertical)'!D:D,'Students (Vertical)'!C:C=E185,'Students (Vertical)'!D:D&lt;&gt;"""")},countifs({filter('Student"&amp;"s (Vertical)'!D:D,'Students (Vertical)'!C:C=B185,'Students (Vertical)'!D:D&lt;&gt;"""");filter('Students (Vertical)'!D:D,'Students (Vertical)'!C:C=E185,'Students (Vertical)'!D:D&lt;&gt;"""")},{filter('Students (Vertical)'!D:D,'Students (Vertical)'!C:C=B185,'Students "&amp;"(Vertical)'!D:D&lt;&gt;"""");filter('Students (Vertical)'!D:D,'Students (Vertical)'!C:C=E185,'Students (Vertical)'!D:D&lt;&gt;"""")})&gt;1))),"""")"),"")</f>
        <v/>
      </c>
      <c r="L185" s="96"/>
      <c r="M185" s="96"/>
    </row>
    <row r="186" hidden="1">
      <c r="A186" s="8" t="s">
        <v>8</v>
      </c>
      <c r="C186" s="8" t="s">
        <v>8</v>
      </c>
      <c r="D186" s="8" t="s">
        <v>8</v>
      </c>
      <c r="F186" s="8" t="s">
        <v>8</v>
      </c>
      <c r="G186" s="8" t="s">
        <v>8</v>
      </c>
      <c r="I186" s="94" t="str">
        <f>IFERROR(__xludf.DUMMYFUNCTION("if(H186=""Must be Together"",iferror(join("", "",unique(filter({filter('Students (Vertical)'!O:O,'Students (Vertical)'!C:C=B186,'Students (Vertical)'!O:O&lt;&gt;"""");filter('Students (Vertical)'!O:O,'Students (Vertical)'!C:C=E186,'Students (Vertical)'!O:O&lt;&gt;"""&amp;""")},countifs({filter('Students (Vertical)'!O:O,'Students (Vertical)'!C:C=B186,'Students (Vertical)'!O:O&lt;&gt;"""");filter('Students (Vertical)'!O:O,'Students (Vertical)'!C:C=E186,'Students (Vertical)'!O:O&lt;&gt;"""")},{filter('Students (Vertical)'!O:O,'Students ("&amp;"Vertical)'!C:C=B186,'Students (Vertical)'!O:O&lt;&gt;"""");filter('Students (Vertical)'!O:O,'Students (Vertical)'!C:C=E186,'Students (Vertical)'!O:O&lt;&gt;"""")})&gt;1))),""No shared courses""),"""")"),"")</f>
        <v/>
      </c>
      <c r="J186" s="94" t="str">
        <f>IFERROR(__xludf.DUMMYFUNCTION("if(H186=""Can't be Together"",iferror(join("", "",unique(filter({unique(filter('Students (Vertical)'!O:O,'Students (Vertical)'!C:C=B186,'Students (Vertical)'!O:O&lt;&gt;"""",'Students (Vertical)'!P:P&gt;1));unique(filter('Students (Vertical)'!O:O,'Students (Vertic"&amp;"al)'!C:C=E186,'Students (Vertical)'!O:O&lt;&gt;"""",'Students (Vertical)'!P:P&gt;1))},countifs({unique(filter('Students (Vertical)'!O:O,'Students (Vertical)'!C:C=B186,'Students (Vertical)'!O:O&lt;&gt;"""",'Students (Vertical)'!P:P&gt;1));unique(filter('Students (Vertical)'"&amp;"!O:O,'Students (Vertical)'!C:C=E186,'Students (Vertical)'!O:O&lt;&gt;"""",'Students (Vertical)'!P:P&gt;1))},{unique(filter('Students (Vertical)'!O:O,'Students (Vertical)'!C:C=B186,'Students (Vertical)'!O:O&lt;&gt;"""",'Students (Vertical)'!P:P&gt;1));unique(filter('Student"&amp;"s (Vertical)'!O:O,'Students (Vertical)'!C:C=E186,'Students (Vertical)'!O:O&lt;&gt;"""",'Students (Vertical)'!P:P&gt;1))})&gt;1))),""""),"""")"),"")</f>
        <v/>
      </c>
      <c r="K186" s="96" t="str">
        <f>IFERROR(__xludf.DUMMYFUNCTION("iferror(join("", "",unique(filter({filter('Students (Vertical)'!D:D,'Students (Vertical)'!C:C=B186,'Students (Vertical)'!D:D&lt;&gt;"""");filter('Students (Vertical)'!D:D,'Students (Vertical)'!C:C=E186,'Students (Vertical)'!D:D&lt;&gt;"""")},countifs({filter('Student"&amp;"s (Vertical)'!D:D,'Students (Vertical)'!C:C=B186,'Students (Vertical)'!D:D&lt;&gt;"""");filter('Students (Vertical)'!D:D,'Students (Vertical)'!C:C=E186,'Students (Vertical)'!D:D&lt;&gt;"""")},{filter('Students (Vertical)'!D:D,'Students (Vertical)'!C:C=B186,'Students "&amp;"(Vertical)'!D:D&lt;&gt;"""");filter('Students (Vertical)'!D:D,'Students (Vertical)'!C:C=E186,'Students (Vertical)'!D:D&lt;&gt;"""")})&gt;1))),"""")"),"")</f>
        <v/>
      </c>
      <c r="L186" s="96"/>
      <c r="M186" s="96"/>
    </row>
    <row r="187" hidden="1">
      <c r="A187" s="8" t="s">
        <v>8</v>
      </c>
      <c r="C187" s="8" t="s">
        <v>8</v>
      </c>
      <c r="D187" s="8" t="s">
        <v>8</v>
      </c>
      <c r="F187" s="8" t="s">
        <v>8</v>
      </c>
      <c r="G187" s="8" t="s">
        <v>8</v>
      </c>
      <c r="I187" s="94" t="str">
        <f>IFERROR(__xludf.DUMMYFUNCTION("if(H187=""Must be Together"",iferror(join("", "",unique(filter({filter('Students (Vertical)'!O:O,'Students (Vertical)'!C:C=B187,'Students (Vertical)'!O:O&lt;&gt;"""");filter('Students (Vertical)'!O:O,'Students (Vertical)'!C:C=E187,'Students (Vertical)'!O:O&lt;&gt;"""&amp;""")},countifs({filter('Students (Vertical)'!O:O,'Students (Vertical)'!C:C=B187,'Students (Vertical)'!O:O&lt;&gt;"""");filter('Students (Vertical)'!O:O,'Students (Vertical)'!C:C=E187,'Students (Vertical)'!O:O&lt;&gt;"""")},{filter('Students (Vertical)'!O:O,'Students ("&amp;"Vertical)'!C:C=B187,'Students (Vertical)'!O:O&lt;&gt;"""");filter('Students (Vertical)'!O:O,'Students (Vertical)'!C:C=E187,'Students (Vertical)'!O:O&lt;&gt;"""")})&gt;1))),""No shared courses""),"""")"),"")</f>
        <v/>
      </c>
      <c r="J187" s="94" t="str">
        <f>IFERROR(__xludf.DUMMYFUNCTION("if(H187=""Can't be Together"",iferror(join("", "",unique(filter({unique(filter('Students (Vertical)'!O:O,'Students (Vertical)'!C:C=B187,'Students (Vertical)'!O:O&lt;&gt;"""",'Students (Vertical)'!P:P&gt;1));unique(filter('Students (Vertical)'!O:O,'Students (Vertic"&amp;"al)'!C:C=E187,'Students (Vertical)'!O:O&lt;&gt;"""",'Students (Vertical)'!P:P&gt;1))},countifs({unique(filter('Students (Vertical)'!O:O,'Students (Vertical)'!C:C=B187,'Students (Vertical)'!O:O&lt;&gt;"""",'Students (Vertical)'!P:P&gt;1));unique(filter('Students (Vertical)'"&amp;"!O:O,'Students (Vertical)'!C:C=E187,'Students (Vertical)'!O:O&lt;&gt;"""",'Students (Vertical)'!P:P&gt;1))},{unique(filter('Students (Vertical)'!O:O,'Students (Vertical)'!C:C=B187,'Students (Vertical)'!O:O&lt;&gt;"""",'Students (Vertical)'!P:P&gt;1));unique(filter('Student"&amp;"s (Vertical)'!O:O,'Students (Vertical)'!C:C=E187,'Students (Vertical)'!O:O&lt;&gt;"""",'Students (Vertical)'!P:P&gt;1))})&gt;1))),""""),"""")"),"")</f>
        <v/>
      </c>
      <c r="K187" s="96" t="str">
        <f>IFERROR(__xludf.DUMMYFUNCTION("iferror(join("", "",unique(filter({filter('Students (Vertical)'!D:D,'Students (Vertical)'!C:C=B187,'Students (Vertical)'!D:D&lt;&gt;"""");filter('Students (Vertical)'!D:D,'Students (Vertical)'!C:C=E187,'Students (Vertical)'!D:D&lt;&gt;"""")},countifs({filter('Student"&amp;"s (Vertical)'!D:D,'Students (Vertical)'!C:C=B187,'Students (Vertical)'!D:D&lt;&gt;"""");filter('Students (Vertical)'!D:D,'Students (Vertical)'!C:C=E187,'Students (Vertical)'!D:D&lt;&gt;"""")},{filter('Students (Vertical)'!D:D,'Students (Vertical)'!C:C=B187,'Students "&amp;"(Vertical)'!D:D&lt;&gt;"""");filter('Students (Vertical)'!D:D,'Students (Vertical)'!C:C=E187,'Students (Vertical)'!D:D&lt;&gt;"""")})&gt;1))),"""")"),"")</f>
        <v/>
      </c>
      <c r="L187" s="96"/>
      <c r="M187" s="96"/>
    </row>
    <row r="188" hidden="1">
      <c r="A188" s="8" t="s">
        <v>8</v>
      </c>
      <c r="C188" s="8" t="s">
        <v>8</v>
      </c>
      <c r="D188" s="8" t="s">
        <v>8</v>
      </c>
      <c r="F188" s="8" t="s">
        <v>8</v>
      </c>
      <c r="G188" s="8" t="s">
        <v>8</v>
      </c>
      <c r="I188" s="94" t="str">
        <f>IFERROR(__xludf.DUMMYFUNCTION("if(H188=""Must be Together"",iferror(join("", "",unique(filter({filter('Students (Vertical)'!O:O,'Students (Vertical)'!C:C=B188,'Students (Vertical)'!O:O&lt;&gt;"""");filter('Students (Vertical)'!O:O,'Students (Vertical)'!C:C=E188,'Students (Vertical)'!O:O&lt;&gt;"""&amp;""")},countifs({filter('Students (Vertical)'!O:O,'Students (Vertical)'!C:C=B188,'Students (Vertical)'!O:O&lt;&gt;"""");filter('Students (Vertical)'!O:O,'Students (Vertical)'!C:C=E188,'Students (Vertical)'!O:O&lt;&gt;"""")},{filter('Students (Vertical)'!O:O,'Students ("&amp;"Vertical)'!C:C=B188,'Students (Vertical)'!O:O&lt;&gt;"""");filter('Students (Vertical)'!O:O,'Students (Vertical)'!C:C=E188,'Students (Vertical)'!O:O&lt;&gt;"""")})&gt;1))),""No shared courses""),"""")"),"")</f>
        <v/>
      </c>
      <c r="J188" s="94" t="str">
        <f>IFERROR(__xludf.DUMMYFUNCTION("if(H188=""Can't be Together"",iferror(join("", "",unique(filter({unique(filter('Students (Vertical)'!O:O,'Students (Vertical)'!C:C=B188,'Students (Vertical)'!O:O&lt;&gt;"""",'Students (Vertical)'!P:P&gt;1));unique(filter('Students (Vertical)'!O:O,'Students (Vertic"&amp;"al)'!C:C=E188,'Students (Vertical)'!O:O&lt;&gt;"""",'Students (Vertical)'!P:P&gt;1))},countifs({unique(filter('Students (Vertical)'!O:O,'Students (Vertical)'!C:C=B188,'Students (Vertical)'!O:O&lt;&gt;"""",'Students (Vertical)'!P:P&gt;1));unique(filter('Students (Vertical)'"&amp;"!O:O,'Students (Vertical)'!C:C=E188,'Students (Vertical)'!O:O&lt;&gt;"""",'Students (Vertical)'!P:P&gt;1))},{unique(filter('Students (Vertical)'!O:O,'Students (Vertical)'!C:C=B188,'Students (Vertical)'!O:O&lt;&gt;"""",'Students (Vertical)'!P:P&gt;1));unique(filter('Student"&amp;"s (Vertical)'!O:O,'Students (Vertical)'!C:C=E188,'Students (Vertical)'!O:O&lt;&gt;"""",'Students (Vertical)'!P:P&gt;1))})&gt;1))),""""),"""")"),"")</f>
        <v/>
      </c>
      <c r="K188" s="96" t="str">
        <f>IFERROR(__xludf.DUMMYFUNCTION("iferror(join("", "",unique(filter({filter('Students (Vertical)'!D:D,'Students (Vertical)'!C:C=B188,'Students (Vertical)'!D:D&lt;&gt;"""");filter('Students (Vertical)'!D:D,'Students (Vertical)'!C:C=E188,'Students (Vertical)'!D:D&lt;&gt;"""")},countifs({filter('Student"&amp;"s (Vertical)'!D:D,'Students (Vertical)'!C:C=B188,'Students (Vertical)'!D:D&lt;&gt;"""");filter('Students (Vertical)'!D:D,'Students (Vertical)'!C:C=E188,'Students (Vertical)'!D:D&lt;&gt;"""")},{filter('Students (Vertical)'!D:D,'Students (Vertical)'!C:C=B188,'Students "&amp;"(Vertical)'!D:D&lt;&gt;"""");filter('Students (Vertical)'!D:D,'Students (Vertical)'!C:C=E188,'Students (Vertical)'!D:D&lt;&gt;"""")})&gt;1))),"""")"),"")</f>
        <v/>
      </c>
      <c r="L188" s="96"/>
      <c r="M188" s="96"/>
    </row>
    <row r="189" hidden="1">
      <c r="A189" s="8" t="s">
        <v>8</v>
      </c>
      <c r="C189" s="8" t="s">
        <v>8</v>
      </c>
      <c r="D189" s="8" t="s">
        <v>8</v>
      </c>
      <c r="F189" s="8" t="s">
        <v>8</v>
      </c>
      <c r="G189" s="8" t="s">
        <v>8</v>
      </c>
      <c r="I189" s="94" t="str">
        <f>IFERROR(__xludf.DUMMYFUNCTION("if(H189=""Must be Together"",iferror(join("", "",unique(filter({filter('Students (Vertical)'!O:O,'Students (Vertical)'!C:C=B189,'Students (Vertical)'!O:O&lt;&gt;"""");filter('Students (Vertical)'!O:O,'Students (Vertical)'!C:C=E189,'Students (Vertical)'!O:O&lt;&gt;"""&amp;""")},countifs({filter('Students (Vertical)'!O:O,'Students (Vertical)'!C:C=B189,'Students (Vertical)'!O:O&lt;&gt;"""");filter('Students (Vertical)'!O:O,'Students (Vertical)'!C:C=E189,'Students (Vertical)'!O:O&lt;&gt;"""")},{filter('Students (Vertical)'!O:O,'Students ("&amp;"Vertical)'!C:C=B189,'Students (Vertical)'!O:O&lt;&gt;"""");filter('Students (Vertical)'!O:O,'Students (Vertical)'!C:C=E189,'Students (Vertical)'!O:O&lt;&gt;"""")})&gt;1))),""No shared courses""),"""")"),"")</f>
        <v/>
      </c>
      <c r="J189" s="94" t="str">
        <f>IFERROR(__xludf.DUMMYFUNCTION("if(H189=""Can't be Together"",iferror(join("", "",unique(filter({unique(filter('Students (Vertical)'!O:O,'Students (Vertical)'!C:C=B189,'Students (Vertical)'!O:O&lt;&gt;"""",'Students (Vertical)'!P:P&gt;1));unique(filter('Students (Vertical)'!O:O,'Students (Vertic"&amp;"al)'!C:C=E189,'Students (Vertical)'!O:O&lt;&gt;"""",'Students (Vertical)'!P:P&gt;1))},countifs({unique(filter('Students (Vertical)'!O:O,'Students (Vertical)'!C:C=B189,'Students (Vertical)'!O:O&lt;&gt;"""",'Students (Vertical)'!P:P&gt;1));unique(filter('Students (Vertical)'"&amp;"!O:O,'Students (Vertical)'!C:C=E189,'Students (Vertical)'!O:O&lt;&gt;"""",'Students (Vertical)'!P:P&gt;1))},{unique(filter('Students (Vertical)'!O:O,'Students (Vertical)'!C:C=B189,'Students (Vertical)'!O:O&lt;&gt;"""",'Students (Vertical)'!P:P&gt;1));unique(filter('Student"&amp;"s (Vertical)'!O:O,'Students (Vertical)'!C:C=E189,'Students (Vertical)'!O:O&lt;&gt;"""",'Students (Vertical)'!P:P&gt;1))})&gt;1))),""""),"""")"),"")</f>
        <v/>
      </c>
      <c r="K189" s="96" t="str">
        <f>IFERROR(__xludf.DUMMYFUNCTION("iferror(join("", "",unique(filter({filter('Students (Vertical)'!D:D,'Students (Vertical)'!C:C=B189,'Students (Vertical)'!D:D&lt;&gt;"""");filter('Students (Vertical)'!D:D,'Students (Vertical)'!C:C=E189,'Students (Vertical)'!D:D&lt;&gt;"""")},countifs({filter('Student"&amp;"s (Vertical)'!D:D,'Students (Vertical)'!C:C=B189,'Students (Vertical)'!D:D&lt;&gt;"""");filter('Students (Vertical)'!D:D,'Students (Vertical)'!C:C=E189,'Students (Vertical)'!D:D&lt;&gt;"""")},{filter('Students (Vertical)'!D:D,'Students (Vertical)'!C:C=B189,'Students "&amp;"(Vertical)'!D:D&lt;&gt;"""");filter('Students (Vertical)'!D:D,'Students (Vertical)'!C:C=E189,'Students (Vertical)'!D:D&lt;&gt;"""")})&gt;1))),"""")"),"")</f>
        <v/>
      </c>
      <c r="L189" s="96"/>
      <c r="M189" s="96"/>
    </row>
    <row r="190" hidden="1">
      <c r="A190" s="8" t="s">
        <v>8</v>
      </c>
      <c r="C190" s="8" t="s">
        <v>8</v>
      </c>
      <c r="D190" s="8" t="s">
        <v>8</v>
      </c>
      <c r="F190" s="8" t="s">
        <v>8</v>
      </c>
      <c r="G190" s="8" t="s">
        <v>8</v>
      </c>
      <c r="I190" s="94" t="str">
        <f>IFERROR(__xludf.DUMMYFUNCTION("if(H190=""Must be Together"",iferror(join("", "",unique(filter({filter('Students (Vertical)'!O:O,'Students (Vertical)'!C:C=B190,'Students (Vertical)'!O:O&lt;&gt;"""");filter('Students (Vertical)'!O:O,'Students (Vertical)'!C:C=E190,'Students (Vertical)'!O:O&lt;&gt;"""&amp;""")},countifs({filter('Students (Vertical)'!O:O,'Students (Vertical)'!C:C=B190,'Students (Vertical)'!O:O&lt;&gt;"""");filter('Students (Vertical)'!O:O,'Students (Vertical)'!C:C=E190,'Students (Vertical)'!O:O&lt;&gt;"""")},{filter('Students (Vertical)'!O:O,'Students ("&amp;"Vertical)'!C:C=B190,'Students (Vertical)'!O:O&lt;&gt;"""");filter('Students (Vertical)'!O:O,'Students (Vertical)'!C:C=E190,'Students (Vertical)'!O:O&lt;&gt;"""")})&gt;1))),""No shared courses""),"""")"),"")</f>
        <v/>
      </c>
      <c r="J190" s="94" t="str">
        <f>IFERROR(__xludf.DUMMYFUNCTION("if(H190=""Can't be Together"",iferror(join("", "",unique(filter({unique(filter('Students (Vertical)'!O:O,'Students (Vertical)'!C:C=B190,'Students (Vertical)'!O:O&lt;&gt;"""",'Students (Vertical)'!P:P&gt;1));unique(filter('Students (Vertical)'!O:O,'Students (Vertic"&amp;"al)'!C:C=E190,'Students (Vertical)'!O:O&lt;&gt;"""",'Students (Vertical)'!P:P&gt;1))},countifs({unique(filter('Students (Vertical)'!O:O,'Students (Vertical)'!C:C=B190,'Students (Vertical)'!O:O&lt;&gt;"""",'Students (Vertical)'!P:P&gt;1));unique(filter('Students (Vertical)'"&amp;"!O:O,'Students (Vertical)'!C:C=E190,'Students (Vertical)'!O:O&lt;&gt;"""",'Students (Vertical)'!P:P&gt;1))},{unique(filter('Students (Vertical)'!O:O,'Students (Vertical)'!C:C=B190,'Students (Vertical)'!O:O&lt;&gt;"""",'Students (Vertical)'!P:P&gt;1));unique(filter('Student"&amp;"s (Vertical)'!O:O,'Students (Vertical)'!C:C=E190,'Students (Vertical)'!O:O&lt;&gt;"""",'Students (Vertical)'!P:P&gt;1))})&gt;1))),""""),"""")"),"")</f>
        <v/>
      </c>
      <c r="K190" s="96" t="str">
        <f>IFERROR(__xludf.DUMMYFUNCTION("iferror(join("", "",unique(filter({filter('Students (Vertical)'!D:D,'Students (Vertical)'!C:C=B190,'Students (Vertical)'!D:D&lt;&gt;"""");filter('Students (Vertical)'!D:D,'Students (Vertical)'!C:C=E190,'Students (Vertical)'!D:D&lt;&gt;"""")},countifs({filter('Student"&amp;"s (Vertical)'!D:D,'Students (Vertical)'!C:C=B190,'Students (Vertical)'!D:D&lt;&gt;"""");filter('Students (Vertical)'!D:D,'Students (Vertical)'!C:C=E190,'Students (Vertical)'!D:D&lt;&gt;"""")},{filter('Students (Vertical)'!D:D,'Students (Vertical)'!C:C=B190,'Students "&amp;"(Vertical)'!D:D&lt;&gt;"""");filter('Students (Vertical)'!D:D,'Students (Vertical)'!C:C=E190,'Students (Vertical)'!D:D&lt;&gt;"""")})&gt;1))),"""")"),"")</f>
        <v/>
      </c>
      <c r="L190" s="96"/>
      <c r="M190" s="96"/>
    </row>
    <row r="191" hidden="1">
      <c r="A191" s="8" t="s">
        <v>8</v>
      </c>
      <c r="C191" s="8" t="s">
        <v>8</v>
      </c>
      <c r="D191" s="8" t="s">
        <v>8</v>
      </c>
      <c r="F191" s="8" t="s">
        <v>8</v>
      </c>
      <c r="G191" s="8" t="s">
        <v>8</v>
      </c>
      <c r="I191" s="94" t="str">
        <f>IFERROR(__xludf.DUMMYFUNCTION("if(H191=""Must be Together"",iferror(join("", "",unique(filter({filter('Students (Vertical)'!O:O,'Students (Vertical)'!C:C=B191,'Students (Vertical)'!O:O&lt;&gt;"""");filter('Students (Vertical)'!O:O,'Students (Vertical)'!C:C=E191,'Students (Vertical)'!O:O&lt;&gt;"""&amp;""")},countifs({filter('Students (Vertical)'!O:O,'Students (Vertical)'!C:C=B191,'Students (Vertical)'!O:O&lt;&gt;"""");filter('Students (Vertical)'!O:O,'Students (Vertical)'!C:C=E191,'Students (Vertical)'!O:O&lt;&gt;"""")},{filter('Students (Vertical)'!O:O,'Students ("&amp;"Vertical)'!C:C=B191,'Students (Vertical)'!O:O&lt;&gt;"""");filter('Students (Vertical)'!O:O,'Students (Vertical)'!C:C=E191,'Students (Vertical)'!O:O&lt;&gt;"""")})&gt;1))),""No shared courses""),"""")"),"")</f>
        <v/>
      </c>
      <c r="J191" s="94" t="str">
        <f>IFERROR(__xludf.DUMMYFUNCTION("if(H191=""Can't be Together"",iferror(join("", "",unique(filter({unique(filter('Students (Vertical)'!O:O,'Students (Vertical)'!C:C=B191,'Students (Vertical)'!O:O&lt;&gt;"""",'Students (Vertical)'!P:P&gt;1));unique(filter('Students (Vertical)'!O:O,'Students (Vertic"&amp;"al)'!C:C=E191,'Students (Vertical)'!O:O&lt;&gt;"""",'Students (Vertical)'!P:P&gt;1))},countifs({unique(filter('Students (Vertical)'!O:O,'Students (Vertical)'!C:C=B191,'Students (Vertical)'!O:O&lt;&gt;"""",'Students (Vertical)'!P:P&gt;1));unique(filter('Students (Vertical)'"&amp;"!O:O,'Students (Vertical)'!C:C=E191,'Students (Vertical)'!O:O&lt;&gt;"""",'Students (Vertical)'!P:P&gt;1))},{unique(filter('Students (Vertical)'!O:O,'Students (Vertical)'!C:C=B191,'Students (Vertical)'!O:O&lt;&gt;"""",'Students (Vertical)'!P:P&gt;1));unique(filter('Student"&amp;"s (Vertical)'!O:O,'Students (Vertical)'!C:C=E191,'Students (Vertical)'!O:O&lt;&gt;"""",'Students (Vertical)'!P:P&gt;1))})&gt;1))),""""),"""")"),"")</f>
        <v/>
      </c>
      <c r="K191" s="96" t="str">
        <f>IFERROR(__xludf.DUMMYFUNCTION("iferror(join("", "",unique(filter({filter('Students (Vertical)'!D:D,'Students (Vertical)'!C:C=B191,'Students (Vertical)'!D:D&lt;&gt;"""");filter('Students (Vertical)'!D:D,'Students (Vertical)'!C:C=E191,'Students (Vertical)'!D:D&lt;&gt;"""")},countifs({filter('Student"&amp;"s (Vertical)'!D:D,'Students (Vertical)'!C:C=B191,'Students (Vertical)'!D:D&lt;&gt;"""");filter('Students (Vertical)'!D:D,'Students (Vertical)'!C:C=E191,'Students (Vertical)'!D:D&lt;&gt;"""")},{filter('Students (Vertical)'!D:D,'Students (Vertical)'!C:C=B191,'Students "&amp;"(Vertical)'!D:D&lt;&gt;"""");filter('Students (Vertical)'!D:D,'Students (Vertical)'!C:C=E191,'Students (Vertical)'!D:D&lt;&gt;"""")})&gt;1))),"""")"),"")</f>
        <v/>
      </c>
      <c r="L191" s="96"/>
      <c r="M191" s="96"/>
    </row>
    <row r="192" hidden="1">
      <c r="A192" s="8" t="s">
        <v>8</v>
      </c>
      <c r="C192" s="8" t="s">
        <v>8</v>
      </c>
      <c r="D192" s="8" t="s">
        <v>8</v>
      </c>
      <c r="F192" s="8" t="s">
        <v>8</v>
      </c>
      <c r="G192" s="8" t="s">
        <v>8</v>
      </c>
      <c r="I192" s="94" t="str">
        <f>IFERROR(__xludf.DUMMYFUNCTION("if(H192=""Must be Together"",iferror(join("", "",unique(filter({filter('Students (Vertical)'!O:O,'Students (Vertical)'!C:C=B192,'Students (Vertical)'!O:O&lt;&gt;"""");filter('Students (Vertical)'!O:O,'Students (Vertical)'!C:C=E192,'Students (Vertical)'!O:O&lt;&gt;"""&amp;""")},countifs({filter('Students (Vertical)'!O:O,'Students (Vertical)'!C:C=B192,'Students (Vertical)'!O:O&lt;&gt;"""");filter('Students (Vertical)'!O:O,'Students (Vertical)'!C:C=E192,'Students (Vertical)'!O:O&lt;&gt;"""")},{filter('Students (Vertical)'!O:O,'Students ("&amp;"Vertical)'!C:C=B192,'Students (Vertical)'!O:O&lt;&gt;"""");filter('Students (Vertical)'!O:O,'Students (Vertical)'!C:C=E192,'Students (Vertical)'!O:O&lt;&gt;"""")})&gt;1))),""No shared courses""),"""")"),"")</f>
        <v/>
      </c>
      <c r="J192" s="94" t="str">
        <f>IFERROR(__xludf.DUMMYFUNCTION("if(H192=""Can't be Together"",iferror(join("", "",unique(filter({unique(filter('Students (Vertical)'!O:O,'Students (Vertical)'!C:C=B192,'Students (Vertical)'!O:O&lt;&gt;"""",'Students (Vertical)'!P:P&gt;1));unique(filter('Students (Vertical)'!O:O,'Students (Vertic"&amp;"al)'!C:C=E192,'Students (Vertical)'!O:O&lt;&gt;"""",'Students (Vertical)'!P:P&gt;1))},countifs({unique(filter('Students (Vertical)'!O:O,'Students (Vertical)'!C:C=B192,'Students (Vertical)'!O:O&lt;&gt;"""",'Students (Vertical)'!P:P&gt;1));unique(filter('Students (Vertical)'"&amp;"!O:O,'Students (Vertical)'!C:C=E192,'Students (Vertical)'!O:O&lt;&gt;"""",'Students (Vertical)'!P:P&gt;1))},{unique(filter('Students (Vertical)'!O:O,'Students (Vertical)'!C:C=B192,'Students (Vertical)'!O:O&lt;&gt;"""",'Students (Vertical)'!P:P&gt;1));unique(filter('Student"&amp;"s (Vertical)'!O:O,'Students (Vertical)'!C:C=E192,'Students (Vertical)'!O:O&lt;&gt;"""",'Students (Vertical)'!P:P&gt;1))})&gt;1))),""""),"""")"),"")</f>
        <v/>
      </c>
      <c r="K192" s="96" t="str">
        <f>IFERROR(__xludf.DUMMYFUNCTION("iferror(join("", "",unique(filter({filter('Students (Vertical)'!D:D,'Students (Vertical)'!C:C=B192,'Students (Vertical)'!D:D&lt;&gt;"""");filter('Students (Vertical)'!D:D,'Students (Vertical)'!C:C=E192,'Students (Vertical)'!D:D&lt;&gt;"""")},countifs({filter('Student"&amp;"s (Vertical)'!D:D,'Students (Vertical)'!C:C=B192,'Students (Vertical)'!D:D&lt;&gt;"""");filter('Students (Vertical)'!D:D,'Students (Vertical)'!C:C=E192,'Students (Vertical)'!D:D&lt;&gt;"""")},{filter('Students (Vertical)'!D:D,'Students (Vertical)'!C:C=B192,'Students "&amp;"(Vertical)'!D:D&lt;&gt;"""");filter('Students (Vertical)'!D:D,'Students (Vertical)'!C:C=E192,'Students (Vertical)'!D:D&lt;&gt;"""")})&gt;1))),"""")"),"")</f>
        <v/>
      </c>
      <c r="L192" s="96"/>
      <c r="M192" s="96"/>
    </row>
    <row r="193" hidden="1">
      <c r="A193" s="8" t="s">
        <v>8</v>
      </c>
      <c r="C193" s="8" t="s">
        <v>8</v>
      </c>
      <c r="D193" s="8" t="s">
        <v>8</v>
      </c>
      <c r="F193" s="8" t="s">
        <v>8</v>
      </c>
      <c r="G193" s="8" t="s">
        <v>8</v>
      </c>
      <c r="I193" s="94" t="str">
        <f>IFERROR(__xludf.DUMMYFUNCTION("if(H193=""Must be Together"",iferror(join("", "",unique(filter({filter('Students (Vertical)'!O:O,'Students (Vertical)'!C:C=B193,'Students (Vertical)'!O:O&lt;&gt;"""");filter('Students (Vertical)'!O:O,'Students (Vertical)'!C:C=E193,'Students (Vertical)'!O:O&lt;&gt;"""&amp;""")},countifs({filter('Students (Vertical)'!O:O,'Students (Vertical)'!C:C=B193,'Students (Vertical)'!O:O&lt;&gt;"""");filter('Students (Vertical)'!O:O,'Students (Vertical)'!C:C=E193,'Students (Vertical)'!O:O&lt;&gt;"""")},{filter('Students (Vertical)'!O:O,'Students ("&amp;"Vertical)'!C:C=B193,'Students (Vertical)'!O:O&lt;&gt;"""");filter('Students (Vertical)'!O:O,'Students (Vertical)'!C:C=E193,'Students (Vertical)'!O:O&lt;&gt;"""")})&gt;1))),""No shared courses""),"""")"),"")</f>
        <v/>
      </c>
      <c r="J193" s="94" t="str">
        <f>IFERROR(__xludf.DUMMYFUNCTION("if(H193=""Can't be Together"",iferror(join("", "",unique(filter({unique(filter('Students (Vertical)'!O:O,'Students (Vertical)'!C:C=B193,'Students (Vertical)'!O:O&lt;&gt;"""",'Students (Vertical)'!P:P&gt;1));unique(filter('Students (Vertical)'!O:O,'Students (Vertic"&amp;"al)'!C:C=E193,'Students (Vertical)'!O:O&lt;&gt;"""",'Students (Vertical)'!P:P&gt;1))},countifs({unique(filter('Students (Vertical)'!O:O,'Students (Vertical)'!C:C=B193,'Students (Vertical)'!O:O&lt;&gt;"""",'Students (Vertical)'!P:P&gt;1));unique(filter('Students (Vertical)'"&amp;"!O:O,'Students (Vertical)'!C:C=E193,'Students (Vertical)'!O:O&lt;&gt;"""",'Students (Vertical)'!P:P&gt;1))},{unique(filter('Students (Vertical)'!O:O,'Students (Vertical)'!C:C=B193,'Students (Vertical)'!O:O&lt;&gt;"""",'Students (Vertical)'!P:P&gt;1));unique(filter('Student"&amp;"s (Vertical)'!O:O,'Students (Vertical)'!C:C=E193,'Students (Vertical)'!O:O&lt;&gt;"""",'Students (Vertical)'!P:P&gt;1))})&gt;1))),""""),"""")"),"")</f>
        <v/>
      </c>
      <c r="K193" s="96" t="str">
        <f>IFERROR(__xludf.DUMMYFUNCTION("iferror(join("", "",unique(filter({filter('Students (Vertical)'!D:D,'Students (Vertical)'!C:C=B193,'Students (Vertical)'!D:D&lt;&gt;"""");filter('Students (Vertical)'!D:D,'Students (Vertical)'!C:C=E193,'Students (Vertical)'!D:D&lt;&gt;"""")},countifs({filter('Student"&amp;"s (Vertical)'!D:D,'Students (Vertical)'!C:C=B193,'Students (Vertical)'!D:D&lt;&gt;"""");filter('Students (Vertical)'!D:D,'Students (Vertical)'!C:C=E193,'Students (Vertical)'!D:D&lt;&gt;"""")},{filter('Students (Vertical)'!D:D,'Students (Vertical)'!C:C=B193,'Students "&amp;"(Vertical)'!D:D&lt;&gt;"""");filter('Students (Vertical)'!D:D,'Students (Vertical)'!C:C=E193,'Students (Vertical)'!D:D&lt;&gt;"""")})&gt;1))),"""")"),"")</f>
        <v/>
      </c>
      <c r="L193" s="96"/>
      <c r="M193" s="96"/>
    </row>
    <row r="194" hidden="1">
      <c r="A194" s="8" t="s">
        <v>8</v>
      </c>
      <c r="C194" s="8" t="s">
        <v>8</v>
      </c>
      <c r="D194" s="8" t="s">
        <v>8</v>
      </c>
      <c r="F194" s="8" t="s">
        <v>8</v>
      </c>
      <c r="G194" s="8" t="s">
        <v>8</v>
      </c>
      <c r="I194" s="94" t="str">
        <f>IFERROR(__xludf.DUMMYFUNCTION("if(H194=""Must be Together"",iferror(join("", "",unique(filter({filter('Students (Vertical)'!O:O,'Students (Vertical)'!C:C=B194,'Students (Vertical)'!O:O&lt;&gt;"""");filter('Students (Vertical)'!O:O,'Students (Vertical)'!C:C=E194,'Students (Vertical)'!O:O&lt;&gt;"""&amp;""")},countifs({filter('Students (Vertical)'!O:O,'Students (Vertical)'!C:C=B194,'Students (Vertical)'!O:O&lt;&gt;"""");filter('Students (Vertical)'!O:O,'Students (Vertical)'!C:C=E194,'Students (Vertical)'!O:O&lt;&gt;"""")},{filter('Students (Vertical)'!O:O,'Students ("&amp;"Vertical)'!C:C=B194,'Students (Vertical)'!O:O&lt;&gt;"""");filter('Students (Vertical)'!O:O,'Students (Vertical)'!C:C=E194,'Students (Vertical)'!O:O&lt;&gt;"""")})&gt;1))),""No shared courses""),"""")"),"")</f>
        <v/>
      </c>
      <c r="J194" s="94" t="str">
        <f>IFERROR(__xludf.DUMMYFUNCTION("if(H194=""Can't be Together"",iferror(join("", "",unique(filter({unique(filter('Students (Vertical)'!O:O,'Students (Vertical)'!C:C=B194,'Students (Vertical)'!O:O&lt;&gt;"""",'Students (Vertical)'!P:P&gt;1));unique(filter('Students (Vertical)'!O:O,'Students (Vertic"&amp;"al)'!C:C=E194,'Students (Vertical)'!O:O&lt;&gt;"""",'Students (Vertical)'!P:P&gt;1))},countifs({unique(filter('Students (Vertical)'!O:O,'Students (Vertical)'!C:C=B194,'Students (Vertical)'!O:O&lt;&gt;"""",'Students (Vertical)'!P:P&gt;1));unique(filter('Students (Vertical)'"&amp;"!O:O,'Students (Vertical)'!C:C=E194,'Students (Vertical)'!O:O&lt;&gt;"""",'Students (Vertical)'!P:P&gt;1))},{unique(filter('Students (Vertical)'!O:O,'Students (Vertical)'!C:C=B194,'Students (Vertical)'!O:O&lt;&gt;"""",'Students (Vertical)'!P:P&gt;1));unique(filter('Student"&amp;"s (Vertical)'!O:O,'Students (Vertical)'!C:C=E194,'Students (Vertical)'!O:O&lt;&gt;"""",'Students (Vertical)'!P:P&gt;1))})&gt;1))),""""),"""")"),"")</f>
        <v/>
      </c>
      <c r="K194" s="96" t="str">
        <f>IFERROR(__xludf.DUMMYFUNCTION("iferror(join("", "",unique(filter({filter('Students (Vertical)'!D:D,'Students (Vertical)'!C:C=B194,'Students (Vertical)'!D:D&lt;&gt;"""");filter('Students (Vertical)'!D:D,'Students (Vertical)'!C:C=E194,'Students (Vertical)'!D:D&lt;&gt;"""")},countifs({filter('Student"&amp;"s (Vertical)'!D:D,'Students (Vertical)'!C:C=B194,'Students (Vertical)'!D:D&lt;&gt;"""");filter('Students (Vertical)'!D:D,'Students (Vertical)'!C:C=E194,'Students (Vertical)'!D:D&lt;&gt;"""")},{filter('Students (Vertical)'!D:D,'Students (Vertical)'!C:C=B194,'Students "&amp;"(Vertical)'!D:D&lt;&gt;"""");filter('Students (Vertical)'!D:D,'Students (Vertical)'!C:C=E194,'Students (Vertical)'!D:D&lt;&gt;"""")})&gt;1))),"""")"),"")</f>
        <v/>
      </c>
      <c r="L194" s="96"/>
      <c r="M194" s="96"/>
    </row>
    <row r="195" hidden="1">
      <c r="A195" s="8" t="s">
        <v>8</v>
      </c>
      <c r="C195" s="8" t="s">
        <v>8</v>
      </c>
      <c r="D195" s="8" t="s">
        <v>8</v>
      </c>
      <c r="F195" s="8" t="s">
        <v>8</v>
      </c>
      <c r="G195" s="8" t="s">
        <v>8</v>
      </c>
      <c r="I195" s="94" t="str">
        <f>IFERROR(__xludf.DUMMYFUNCTION("if(H195=""Must be Together"",iferror(join("", "",unique(filter({filter('Students (Vertical)'!O:O,'Students (Vertical)'!C:C=B195,'Students (Vertical)'!O:O&lt;&gt;"""");filter('Students (Vertical)'!O:O,'Students (Vertical)'!C:C=E195,'Students (Vertical)'!O:O&lt;&gt;"""&amp;""")},countifs({filter('Students (Vertical)'!O:O,'Students (Vertical)'!C:C=B195,'Students (Vertical)'!O:O&lt;&gt;"""");filter('Students (Vertical)'!O:O,'Students (Vertical)'!C:C=E195,'Students (Vertical)'!O:O&lt;&gt;"""")},{filter('Students (Vertical)'!O:O,'Students ("&amp;"Vertical)'!C:C=B195,'Students (Vertical)'!O:O&lt;&gt;"""");filter('Students (Vertical)'!O:O,'Students (Vertical)'!C:C=E195,'Students (Vertical)'!O:O&lt;&gt;"""")})&gt;1))),""No shared courses""),"""")"),"")</f>
        <v/>
      </c>
      <c r="J195" s="94" t="str">
        <f>IFERROR(__xludf.DUMMYFUNCTION("if(H195=""Can't be Together"",iferror(join("", "",unique(filter({unique(filter('Students (Vertical)'!O:O,'Students (Vertical)'!C:C=B195,'Students (Vertical)'!O:O&lt;&gt;"""",'Students (Vertical)'!P:P&gt;1));unique(filter('Students (Vertical)'!O:O,'Students (Vertic"&amp;"al)'!C:C=E195,'Students (Vertical)'!O:O&lt;&gt;"""",'Students (Vertical)'!P:P&gt;1))},countifs({unique(filter('Students (Vertical)'!O:O,'Students (Vertical)'!C:C=B195,'Students (Vertical)'!O:O&lt;&gt;"""",'Students (Vertical)'!P:P&gt;1));unique(filter('Students (Vertical)'"&amp;"!O:O,'Students (Vertical)'!C:C=E195,'Students (Vertical)'!O:O&lt;&gt;"""",'Students (Vertical)'!P:P&gt;1))},{unique(filter('Students (Vertical)'!O:O,'Students (Vertical)'!C:C=B195,'Students (Vertical)'!O:O&lt;&gt;"""",'Students (Vertical)'!P:P&gt;1));unique(filter('Student"&amp;"s (Vertical)'!O:O,'Students (Vertical)'!C:C=E195,'Students (Vertical)'!O:O&lt;&gt;"""",'Students (Vertical)'!P:P&gt;1))})&gt;1))),""""),"""")"),"")</f>
        <v/>
      </c>
      <c r="K195" s="96" t="str">
        <f>IFERROR(__xludf.DUMMYFUNCTION("iferror(join("", "",unique(filter({filter('Students (Vertical)'!D:D,'Students (Vertical)'!C:C=B195,'Students (Vertical)'!D:D&lt;&gt;"""");filter('Students (Vertical)'!D:D,'Students (Vertical)'!C:C=E195,'Students (Vertical)'!D:D&lt;&gt;"""")},countifs({filter('Student"&amp;"s (Vertical)'!D:D,'Students (Vertical)'!C:C=B195,'Students (Vertical)'!D:D&lt;&gt;"""");filter('Students (Vertical)'!D:D,'Students (Vertical)'!C:C=E195,'Students (Vertical)'!D:D&lt;&gt;"""")},{filter('Students (Vertical)'!D:D,'Students (Vertical)'!C:C=B195,'Students "&amp;"(Vertical)'!D:D&lt;&gt;"""");filter('Students (Vertical)'!D:D,'Students (Vertical)'!C:C=E195,'Students (Vertical)'!D:D&lt;&gt;"""")})&gt;1))),"""")"),"")</f>
        <v/>
      </c>
      <c r="L195" s="96"/>
      <c r="M195" s="96"/>
    </row>
    <row r="196" hidden="1">
      <c r="A196" s="8" t="s">
        <v>8</v>
      </c>
      <c r="C196" s="8" t="s">
        <v>8</v>
      </c>
      <c r="D196" s="8" t="s">
        <v>8</v>
      </c>
      <c r="F196" s="8" t="s">
        <v>8</v>
      </c>
      <c r="G196" s="8" t="s">
        <v>8</v>
      </c>
      <c r="I196" s="94" t="str">
        <f>IFERROR(__xludf.DUMMYFUNCTION("if(H196=""Must be Together"",iferror(join("", "",unique(filter({filter('Students (Vertical)'!O:O,'Students (Vertical)'!C:C=B196,'Students (Vertical)'!O:O&lt;&gt;"""");filter('Students (Vertical)'!O:O,'Students (Vertical)'!C:C=E196,'Students (Vertical)'!O:O&lt;&gt;"""&amp;""")},countifs({filter('Students (Vertical)'!O:O,'Students (Vertical)'!C:C=B196,'Students (Vertical)'!O:O&lt;&gt;"""");filter('Students (Vertical)'!O:O,'Students (Vertical)'!C:C=E196,'Students (Vertical)'!O:O&lt;&gt;"""")},{filter('Students (Vertical)'!O:O,'Students ("&amp;"Vertical)'!C:C=B196,'Students (Vertical)'!O:O&lt;&gt;"""");filter('Students (Vertical)'!O:O,'Students (Vertical)'!C:C=E196,'Students (Vertical)'!O:O&lt;&gt;"""")})&gt;1))),""No shared courses""),"""")"),"")</f>
        <v/>
      </c>
      <c r="J196" s="94" t="str">
        <f>IFERROR(__xludf.DUMMYFUNCTION("if(H196=""Can't be Together"",iferror(join("", "",unique(filter({unique(filter('Students (Vertical)'!O:O,'Students (Vertical)'!C:C=B196,'Students (Vertical)'!O:O&lt;&gt;"""",'Students (Vertical)'!P:P&gt;1));unique(filter('Students (Vertical)'!O:O,'Students (Vertic"&amp;"al)'!C:C=E196,'Students (Vertical)'!O:O&lt;&gt;"""",'Students (Vertical)'!P:P&gt;1))},countifs({unique(filter('Students (Vertical)'!O:O,'Students (Vertical)'!C:C=B196,'Students (Vertical)'!O:O&lt;&gt;"""",'Students (Vertical)'!P:P&gt;1));unique(filter('Students (Vertical)'"&amp;"!O:O,'Students (Vertical)'!C:C=E196,'Students (Vertical)'!O:O&lt;&gt;"""",'Students (Vertical)'!P:P&gt;1))},{unique(filter('Students (Vertical)'!O:O,'Students (Vertical)'!C:C=B196,'Students (Vertical)'!O:O&lt;&gt;"""",'Students (Vertical)'!P:P&gt;1));unique(filter('Student"&amp;"s (Vertical)'!O:O,'Students (Vertical)'!C:C=E196,'Students (Vertical)'!O:O&lt;&gt;"""",'Students (Vertical)'!P:P&gt;1))})&gt;1))),""""),"""")"),"")</f>
        <v/>
      </c>
      <c r="K196" s="96" t="str">
        <f>IFERROR(__xludf.DUMMYFUNCTION("iferror(join("", "",unique(filter({filter('Students (Vertical)'!D:D,'Students (Vertical)'!C:C=B196,'Students (Vertical)'!D:D&lt;&gt;"""");filter('Students (Vertical)'!D:D,'Students (Vertical)'!C:C=E196,'Students (Vertical)'!D:D&lt;&gt;"""")},countifs({filter('Student"&amp;"s (Vertical)'!D:D,'Students (Vertical)'!C:C=B196,'Students (Vertical)'!D:D&lt;&gt;"""");filter('Students (Vertical)'!D:D,'Students (Vertical)'!C:C=E196,'Students (Vertical)'!D:D&lt;&gt;"""")},{filter('Students (Vertical)'!D:D,'Students (Vertical)'!C:C=B196,'Students "&amp;"(Vertical)'!D:D&lt;&gt;"""");filter('Students (Vertical)'!D:D,'Students (Vertical)'!C:C=E196,'Students (Vertical)'!D:D&lt;&gt;"""")})&gt;1))),"""")"),"")</f>
        <v/>
      </c>
      <c r="L196" s="96"/>
      <c r="M196" s="96"/>
    </row>
    <row r="197" hidden="1">
      <c r="A197" s="8" t="s">
        <v>8</v>
      </c>
      <c r="C197" s="8" t="s">
        <v>8</v>
      </c>
      <c r="D197" s="8" t="s">
        <v>8</v>
      </c>
      <c r="F197" s="8" t="s">
        <v>8</v>
      </c>
      <c r="G197" s="8" t="s">
        <v>8</v>
      </c>
      <c r="I197" s="94" t="str">
        <f>IFERROR(__xludf.DUMMYFUNCTION("if(H197=""Must be Together"",iferror(join("", "",unique(filter({filter('Students (Vertical)'!O:O,'Students (Vertical)'!C:C=B197,'Students (Vertical)'!O:O&lt;&gt;"""");filter('Students (Vertical)'!O:O,'Students (Vertical)'!C:C=E197,'Students (Vertical)'!O:O&lt;&gt;"""&amp;""")},countifs({filter('Students (Vertical)'!O:O,'Students (Vertical)'!C:C=B197,'Students (Vertical)'!O:O&lt;&gt;"""");filter('Students (Vertical)'!O:O,'Students (Vertical)'!C:C=E197,'Students (Vertical)'!O:O&lt;&gt;"""")},{filter('Students (Vertical)'!O:O,'Students ("&amp;"Vertical)'!C:C=B197,'Students (Vertical)'!O:O&lt;&gt;"""");filter('Students (Vertical)'!O:O,'Students (Vertical)'!C:C=E197,'Students (Vertical)'!O:O&lt;&gt;"""")})&gt;1))),""No shared courses""),"""")"),"")</f>
        <v/>
      </c>
      <c r="J197" s="94" t="str">
        <f>IFERROR(__xludf.DUMMYFUNCTION("if(H197=""Can't be Together"",iferror(join("", "",unique(filter({unique(filter('Students (Vertical)'!O:O,'Students (Vertical)'!C:C=B197,'Students (Vertical)'!O:O&lt;&gt;"""",'Students (Vertical)'!P:P&gt;1));unique(filter('Students (Vertical)'!O:O,'Students (Vertic"&amp;"al)'!C:C=E197,'Students (Vertical)'!O:O&lt;&gt;"""",'Students (Vertical)'!P:P&gt;1))},countifs({unique(filter('Students (Vertical)'!O:O,'Students (Vertical)'!C:C=B197,'Students (Vertical)'!O:O&lt;&gt;"""",'Students (Vertical)'!P:P&gt;1));unique(filter('Students (Vertical)'"&amp;"!O:O,'Students (Vertical)'!C:C=E197,'Students (Vertical)'!O:O&lt;&gt;"""",'Students (Vertical)'!P:P&gt;1))},{unique(filter('Students (Vertical)'!O:O,'Students (Vertical)'!C:C=B197,'Students (Vertical)'!O:O&lt;&gt;"""",'Students (Vertical)'!P:P&gt;1));unique(filter('Student"&amp;"s (Vertical)'!O:O,'Students (Vertical)'!C:C=E197,'Students (Vertical)'!O:O&lt;&gt;"""",'Students (Vertical)'!P:P&gt;1))})&gt;1))),""""),"""")"),"")</f>
        <v/>
      </c>
      <c r="K197" s="96" t="str">
        <f>IFERROR(__xludf.DUMMYFUNCTION("iferror(join("", "",unique(filter({filter('Students (Vertical)'!D:D,'Students (Vertical)'!C:C=B197,'Students (Vertical)'!D:D&lt;&gt;"""");filter('Students (Vertical)'!D:D,'Students (Vertical)'!C:C=E197,'Students (Vertical)'!D:D&lt;&gt;"""")},countifs({filter('Student"&amp;"s (Vertical)'!D:D,'Students (Vertical)'!C:C=B197,'Students (Vertical)'!D:D&lt;&gt;"""");filter('Students (Vertical)'!D:D,'Students (Vertical)'!C:C=E197,'Students (Vertical)'!D:D&lt;&gt;"""")},{filter('Students (Vertical)'!D:D,'Students (Vertical)'!C:C=B197,'Students "&amp;"(Vertical)'!D:D&lt;&gt;"""");filter('Students (Vertical)'!D:D,'Students (Vertical)'!C:C=E197,'Students (Vertical)'!D:D&lt;&gt;"""")})&gt;1))),"""")"),"")</f>
        <v/>
      </c>
      <c r="L197" s="96"/>
      <c r="M197" s="96"/>
    </row>
    <row r="198" hidden="1">
      <c r="A198" s="8" t="s">
        <v>8</v>
      </c>
      <c r="C198" s="8" t="s">
        <v>8</v>
      </c>
      <c r="D198" s="8" t="s">
        <v>8</v>
      </c>
      <c r="F198" s="8" t="s">
        <v>8</v>
      </c>
      <c r="G198" s="8" t="s">
        <v>8</v>
      </c>
      <c r="I198" s="94" t="str">
        <f>IFERROR(__xludf.DUMMYFUNCTION("if(H198=""Must be Together"",iferror(join("", "",unique(filter({filter('Students (Vertical)'!O:O,'Students (Vertical)'!C:C=B198,'Students (Vertical)'!O:O&lt;&gt;"""");filter('Students (Vertical)'!O:O,'Students (Vertical)'!C:C=E198,'Students (Vertical)'!O:O&lt;&gt;"""&amp;""")},countifs({filter('Students (Vertical)'!O:O,'Students (Vertical)'!C:C=B198,'Students (Vertical)'!O:O&lt;&gt;"""");filter('Students (Vertical)'!O:O,'Students (Vertical)'!C:C=E198,'Students (Vertical)'!O:O&lt;&gt;"""")},{filter('Students (Vertical)'!O:O,'Students ("&amp;"Vertical)'!C:C=B198,'Students (Vertical)'!O:O&lt;&gt;"""");filter('Students (Vertical)'!O:O,'Students (Vertical)'!C:C=E198,'Students (Vertical)'!O:O&lt;&gt;"""")})&gt;1))),""No shared courses""),"""")"),"")</f>
        <v/>
      </c>
      <c r="J198" s="94" t="str">
        <f>IFERROR(__xludf.DUMMYFUNCTION("if(H198=""Can't be Together"",iferror(join("", "",unique(filter({unique(filter('Students (Vertical)'!O:O,'Students (Vertical)'!C:C=B198,'Students (Vertical)'!O:O&lt;&gt;"""",'Students (Vertical)'!P:P&gt;1));unique(filter('Students (Vertical)'!O:O,'Students (Vertic"&amp;"al)'!C:C=E198,'Students (Vertical)'!O:O&lt;&gt;"""",'Students (Vertical)'!P:P&gt;1))},countifs({unique(filter('Students (Vertical)'!O:O,'Students (Vertical)'!C:C=B198,'Students (Vertical)'!O:O&lt;&gt;"""",'Students (Vertical)'!P:P&gt;1));unique(filter('Students (Vertical)'"&amp;"!O:O,'Students (Vertical)'!C:C=E198,'Students (Vertical)'!O:O&lt;&gt;"""",'Students (Vertical)'!P:P&gt;1))},{unique(filter('Students (Vertical)'!O:O,'Students (Vertical)'!C:C=B198,'Students (Vertical)'!O:O&lt;&gt;"""",'Students (Vertical)'!P:P&gt;1));unique(filter('Student"&amp;"s (Vertical)'!O:O,'Students (Vertical)'!C:C=E198,'Students (Vertical)'!O:O&lt;&gt;"""",'Students (Vertical)'!P:P&gt;1))})&gt;1))),""""),"""")"),"")</f>
        <v/>
      </c>
      <c r="K198" s="96" t="str">
        <f>IFERROR(__xludf.DUMMYFUNCTION("iferror(join("", "",unique(filter({filter('Students (Vertical)'!D:D,'Students (Vertical)'!C:C=B198,'Students (Vertical)'!D:D&lt;&gt;"""");filter('Students (Vertical)'!D:D,'Students (Vertical)'!C:C=E198,'Students (Vertical)'!D:D&lt;&gt;"""")},countifs({filter('Student"&amp;"s (Vertical)'!D:D,'Students (Vertical)'!C:C=B198,'Students (Vertical)'!D:D&lt;&gt;"""");filter('Students (Vertical)'!D:D,'Students (Vertical)'!C:C=E198,'Students (Vertical)'!D:D&lt;&gt;"""")},{filter('Students (Vertical)'!D:D,'Students (Vertical)'!C:C=B198,'Students "&amp;"(Vertical)'!D:D&lt;&gt;"""");filter('Students (Vertical)'!D:D,'Students (Vertical)'!C:C=E198,'Students (Vertical)'!D:D&lt;&gt;"""")})&gt;1))),"""")"),"")</f>
        <v/>
      </c>
      <c r="L198" s="96"/>
      <c r="M198" s="96"/>
    </row>
    <row r="199" hidden="1">
      <c r="A199" s="8" t="s">
        <v>8</v>
      </c>
      <c r="C199" s="8" t="s">
        <v>8</v>
      </c>
      <c r="D199" s="8" t="s">
        <v>8</v>
      </c>
      <c r="F199" s="8" t="s">
        <v>8</v>
      </c>
      <c r="G199" s="8" t="s">
        <v>8</v>
      </c>
      <c r="I199" s="94" t="str">
        <f>IFERROR(__xludf.DUMMYFUNCTION("if(H199=""Must be Together"",iferror(join("", "",unique(filter({filter('Students (Vertical)'!O:O,'Students (Vertical)'!C:C=B199,'Students (Vertical)'!O:O&lt;&gt;"""");filter('Students (Vertical)'!O:O,'Students (Vertical)'!C:C=E199,'Students (Vertical)'!O:O&lt;&gt;"""&amp;""")},countifs({filter('Students (Vertical)'!O:O,'Students (Vertical)'!C:C=B199,'Students (Vertical)'!O:O&lt;&gt;"""");filter('Students (Vertical)'!O:O,'Students (Vertical)'!C:C=E199,'Students (Vertical)'!O:O&lt;&gt;"""")},{filter('Students (Vertical)'!O:O,'Students ("&amp;"Vertical)'!C:C=B199,'Students (Vertical)'!O:O&lt;&gt;"""");filter('Students (Vertical)'!O:O,'Students (Vertical)'!C:C=E199,'Students (Vertical)'!O:O&lt;&gt;"""")})&gt;1))),""No shared courses""),"""")"),"")</f>
        <v/>
      </c>
      <c r="J199" s="94" t="str">
        <f>IFERROR(__xludf.DUMMYFUNCTION("if(H199=""Can't be Together"",iferror(join("", "",unique(filter({unique(filter('Students (Vertical)'!O:O,'Students (Vertical)'!C:C=B199,'Students (Vertical)'!O:O&lt;&gt;"""",'Students (Vertical)'!P:P&gt;1));unique(filter('Students (Vertical)'!O:O,'Students (Vertic"&amp;"al)'!C:C=E199,'Students (Vertical)'!O:O&lt;&gt;"""",'Students (Vertical)'!P:P&gt;1))},countifs({unique(filter('Students (Vertical)'!O:O,'Students (Vertical)'!C:C=B199,'Students (Vertical)'!O:O&lt;&gt;"""",'Students (Vertical)'!P:P&gt;1));unique(filter('Students (Vertical)'"&amp;"!O:O,'Students (Vertical)'!C:C=E199,'Students (Vertical)'!O:O&lt;&gt;"""",'Students (Vertical)'!P:P&gt;1))},{unique(filter('Students (Vertical)'!O:O,'Students (Vertical)'!C:C=B199,'Students (Vertical)'!O:O&lt;&gt;"""",'Students (Vertical)'!P:P&gt;1));unique(filter('Student"&amp;"s (Vertical)'!O:O,'Students (Vertical)'!C:C=E199,'Students (Vertical)'!O:O&lt;&gt;"""",'Students (Vertical)'!P:P&gt;1))})&gt;1))),""""),"""")"),"")</f>
        <v/>
      </c>
      <c r="K199" s="96" t="str">
        <f>IFERROR(__xludf.DUMMYFUNCTION("iferror(join("", "",unique(filter({filter('Students (Vertical)'!D:D,'Students (Vertical)'!C:C=B199,'Students (Vertical)'!D:D&lt;&gt;"""");filter('Students (Vertical)'!D:D,'Students (Vertical)'!C:C=E199,'Students (Vertical)'!D:D&lt;&gt;"""")},countifs({filter('Student"&amp;"s (Vertical)'!D:D,'Students (Vertical)'!C:C=B199,'Students (Vertical)'!D:D&lt;&gt;"""");filter('Students (Vertical)'!D:D,'Students (Vertical)'!C:C=E199,'Students (Vertical)'!D:D&lt;&gt;"""")},{filter('Students (Vertical)'!D:D,'Students (Vertical)'!C:C=B199,'Students "&amp;"(Vertical)'!D:D&lt;&gt;"""");filter('Students (Vertical)'!D:D,'Students (Vertical)'!C:C=E199,'Students (Vertical)'!D:D&lt;&gt;"""")})&gt;1))),"""")"),"")</f>
        <v/>
      </c>
      <c r="L199" s="96"/>
      <c r="M199" s="96"/>
    </row>
    <row r="200" hidden="1">
      <c r="A200" s="8" t="s">
        <v>8</v>
      </c>
      <c r="C200" s="8" t="s">
        <v>8</v>
      </c>
      <c r="D200" s="8" t="s">
        <v>8</v>
      </c>
      <c r="F200" s="8" t="s">
        <v>8</v>
      </c>
      <c r="G200" s="8" t="s">
        <v>8</v>
      </c>
      <c r="I200" s="94" t="str">
        <f>IFERROR(__xludf.DUMMYFUNCTION("if(H200=""Must be Together"",iferror(join("", "",unique(filter({filter('Students (Vertical)'!O:O,'Students (Vertical)'!C:C=B200,'Students (Vertical)'!O:O&lt;&gt;"""");filter('Students (Vertical)'!O:O,'Students (Vertical)'!C:C=E200,'Students (Vertical)'!O:O&lt;&gt;"""&amp;""")},countifs({filter('Students (Vertical)'!O:O,'Students (Vertical)'!C:C=B200,'Students (Vertical)'!O:O&lt;&gt;"""");filter('Students (Vertical)'!O:O,'Students (Vertical)'!C:C=E200,'Students (Vertical)'!O:O&lt;&gt;"""")},{filter('Students (Vertical)'!O:O,'Students ("&amp;"Vertical)'!C:C=B200,'Students (Vertical)'!O:O&lt;&gt;"""");filter('Students (Vertical)'!O:O,'Students (Vertical)'!C:C=E200,'Students (Vertical)'!O:O&lt;&gt;"""")})&gt;1))),""No shared courses""),"""")"),"")</f>
        <v/>
      </c>
      <c r="J200" s="94" t="str">
        <f>IFERROR(__xludf.DUMMYFUNCTION("if(H200=""Can't be Together"",iferror(join("", "",unique(filter({unique(filter('Students (Vertical)'!O:O,'Students (Vertical)'!C:C=B200,'Students (Vertical)'!O:O&lt;&gt;"""",'Students (Vertical)'!P:P&gt;1));unique(filter('Students (Vertical)'!O:O,'Students (Vertic"&amp;"al)'!C:C=E200,'Students (Vertical)'!O:O&lt;&gt;"""",'Students (Vertical)'!P:P&gt;1))},countifs({unique(filter('Students (Vertical)'!O:O,'Students (Vertical)'!C:C=B200,'Students (Vertical)'!O:O&lt;&gt;"""",'Students (Vertical)'!P:P&gt;1));unique(filter('Students (Vertical)'"&amp;"!O:O,'Students (Vertical)'!C:C=E200,'Students (Vertical)'!O:O&lt;&gt;"""",'Students (Vertical)'!P:P&gt;1))},{unique(filter('Students (Vertical)'!O:O,'Students (Vertical)'!C:C=B200,'Students (Vertical)'!O:O&lt;&gt;"""",'Students (Vertical)'!P:P&gt;1));unique(filter('Student"&amp;"s (Vertical)'!O:O,'Students (Vertical)'!C:C=E200,'Students (Vertical)'!O:O&lt;&gt;"""",'Students (Vertical)'!P:P&gt;1))})&gt;1))),""""),"""")"),"")</f>
        <v/>
      </c>
      <c r="K200" s="96" t="str">
        <f>IFERROR(__xludf.DUMMYFUNCTION("iferror(join("", "",unique(filter({filter('Students (Vertical)'!D:D,'Students (Vertical)'!C:C=B200,'Students (Vertical)'!D:D&lt;&gt;"""");filter('Students (Vertical)'!D:D,'Students (Vertical)'!C:C=E200,'Students (Vertical)'!D:D&lt;&gt;"""")},countifs({filter('Student"&amp;"s (Vertical)'!D:D,'Students (Vertical)'!C:C=B200,'Students (Vertical)'!D:D&lt;&gt;"""");filter('Students (Vertical)'!D:D,'Students (Vertical)'!C:C=E200,'Students (Vertical)'!D:D&lt;&gt;"""")},{filter('Students (Vertical)'!D:D,'Students (Vertical)'!C:C=B200,'Students "&amp;"(Vertical)'!D:D&lt;&gt;"""");filter('Students (Vertical)'!D:D,'Students (Vertical)'!C:C=E200,'Students (Vertical)'!D:D&lt;&gt;"""")})&gt;1))),"""")"),"")</f>
        <v/>
      </c>
      <c r="L200" s="96"/>
      <c r="M200" s="96"/>
    </row>
    <row r="201" hidden="1">
      <c r="A201" s="8" t="s">
        <v>8</v>
      </c>
      <c r="C201" s="8" t="s">
        <v>8</v>
      </c>
      <c r="D201" s="8" t="s">
        <v>8</v>
      </c>
      <c r="F201" s="8" t="s">
        <v>8</v>
      </c>
      <c r="G201" s="8" t="s">
        <v>8</v>
      </c>
      <c r="I201" s="94" t="str">
        <f>IFERROR(__xludf.DUMMYFUNCTION("if(H201=""Must be Together"",iferror(join("", "",unique(filter({filter('Students (Vertical)'!O:O,'Students (Vertical)'!C:C=B201,'Students (Vertical)'!O:O&lt;&gt;"""");filter('Students (Vertical)'!O:O,'Students (Vertical)'!C:C=E201,'Students (Vertical)'!O:O&lt;&gt;"""&amp;""")},countifs({filter('Students (Vertical)'!O:O,'Students (Vertical)'!C:C=B201,'Students (Vertical)'!O:O&lt;&gt;"""");filter('Students (Vertical)'!O:O,'Students (Vertical)'!C:C=E201,'Students (Vertical)'!O:O&lt;&gt;"""")},{filter('Students (Vertical)'!O:O,'Students ("&amp;"Vertical)'!C:C=B201,'Students (Vertical)'!O:O&lt;&gt;"""");filter('Students (Vertical)'!O:O,'Students (Vertical)'!C:C=E201,'Students (Vertical)'!O:O&lt;&gt;"""")})&gt;1))),""No shared courses""),"""")"),"")</f>
        <v/>
      </c>
      <c r="J201" s="94" t="str">
        <f>IFERROR(__xludf.DUMMYFUNCTION("if(H201=""Can't be Together"",iferror(join("", "",unique(filter({unique(filter('Students (Vertical)'!O:O,'Students (Vertical)'!C:C=B201,'Students (Vertical)'!O:O&lt;&gt;"""",'Students (Vertical)'!P:P&gt;1));unique(filter('Students (Vertical)'!O:O,'Students (Vertic"&amp;"al)'!C:C=E201,'Students (Vertical)'!O:O&lt;&gt;"""",'Students (Vertical)'!P:P&gt;1))},countifs({unique(filter('Students (Vertical)'!O:O,'Students (Vertical)'!C:C=B201,'Students (Vertical)'!O:O&lt;&gt;"""",'Students (Vertical)'!P:P&gt;1));unique(filter('Students (Vertical)'"&amp;"!O:O,'Students (Vertical)'!C:C=E201,'Students (Vertical)'!O:O&lt;&gt;"""",'Students (Vertical)'!P:P&gt;1))},{unique(filter('Students (Vertical)'!O:O,'Students (Vertical)'!C:C=B201,'Students (Vertical)'!O:O&lt;&gt;"""",'Students (Vertical)'!P:P&gt;1));unique(filter('Student"&amp;"s (Vertical)'!O:O,'Students (Vertical)'!C:C=E201,'Students (Vertical)'!O:O&lt;&gt;"""",'Students (Vertical)'!P:P&gt;1))})&gt;1))),""""),"""")"),"")</f>
        <v/>
      </c>
      <c r="K201" s="96" t="str">
        <f>IFERROR(__xludf.DUMMYFUNCTION("iferror(join("", "",unique(filter({filter('Students (Vertical)'!D:D,'Students (Vertical)'!C:C=B201,'Students (Vertical)'!D:D&lt;&gt;"""");filter('Students (Vertical)'!D:D,'Students (Vertical)'!C:C=E201,'Students (Vertical)'!D:D&lt;&gt;"""")},countifs({filter('Student"&amp;"s (Vertical)'!D:D,'Students (Vertical)'!C:C=B201,'Students (Vertical)'!D:D&lt;&gt;"""");filter('Students (Vertical)'!D:D,'Students (Vertical)'!C:C=E201,'Students (Vertical)'!D:D&lt;&gt;"""")},{filter('Students (Vertical)'!D:D,'Students (Vertical)'!C:C=B201,'Students "&amp;"(Vertical)'!D:D&lt;&gt;"""");filter('Students (Vertical)'!D:D,'Students (Vertical)'!C:C=E201,'Students (Vertical)'!D:D&lt;&gt;"""")})&gt;1))),"""")"),"")</f>
        <v/>
      </c>
      <c r="L201" s="96"/>
      <c r="M201" s="96"/>
    </row>
    <row r="202" hidden="1">
      <c r="A202" s="8" t="s">
        <v>8</v>
      </c>
      <c r="C202" s="8" t="s">
        <v>8</v>
      </c>
      <c r="D202" s="8" t="s">
        <v>8</v>
      </c>
      <c r="F202" s="8" t="s">
        <v>8</v>
      </c>
      <c r="G202" s="8" t="s">
        <v>8</v>
      </c>
      <c r="I202" s="94" t="str">
        <f>IFERROR(__xludf.DUMMYFUNCTION("if(H202=""Must be Together"",iferror(join("", "",unique(filter({filter('Students (Vertical)'!O:O,'Students (Vertical)'!C:C=B202,'Students (Vertical)'!O:O&lt;&gt;"""");filter('Students (Vertical)'!O:O,'Students (Vertical)'!C:C=E202,'Students (Vertical)'!O:O&lt;&gt;"""&amp;""")},countifs({filter('Students (Vertical)'!O:O,'Students (Vertical)'!C:C=B202,'Students (Vertical)'!O:O&lt;&gt;"""");filter('Students (Vertical)'!O:O,'Students (Vertical)'!C:C=E202,'Students (Vertical)'!O:O&lt;&gt;"""")},{filter('Students (Vertical)'!O:O,'Students ("&amp;"Vertical)'!C:C=B202,'Students (Vertical)'!O:O&lt;&gt;"""");filter('Students (Vertical)'!O:O,'Students (Vertical)'!C:C=E202,'Students (Vertical)'!O:O&lt;&gt;"""")})&gt;1))),""No shared courses""),"""")"),"")</f>
        <v/>
      </c>
      <c r="J202" s="94" t="str">
        <f>IFERROR(__xludf.DUMMYFUNCTION("if(H202=""Can't be Together"",iferror(join("", "",unique(filter({unique(filter('Students (Vertical)'!O:O,'Students (Vertical)'!C:C=B202,'Students (Vertical)'!O:O&lt;&gt;"""",'Students (Vertical)'!P:P&gt;1));unique(filter('Students (Vertical)'!O:O,'Students (Vertic"&amp;"al)'!C:C=E202,'Students (Vertical)'!O:O&lt;&gt;"""",'Students (Vertical)'!P:P&gt;1))},countifs({unique(filter('Students (Vertical)'!O:O,'Students (Vertical)'!C:C=B202,'Students (Vertical)'!O:O&lt;&gt;"""",'Students (Vertical)'!P:P&gt;1));unique(filter('Students (Vertical)'"&amp;"!O:O,'Students (Vertical)'!C:C=E202,'Students (Vertical)'!O:O&lt;&gt;"""",'Students (Vertical)'!P:P&gt;1))},{unique(filter('Students (Vertical)'!O:O,'Students (Vertical)'!C:C=B202,'Students (Vertical)'!O:O&lt;&gt;"""",'Students (Vertical)'!P:P&gt;1));unique(filter('Student"&amp;"s (Vertical)'!O:O,'Students (Vertical)'!C:C=E202,'Students (Vertical)'!O:O&lt;&gt;"""",'Students (Vertical)'!P:P&gt;1))})&gt;1))),""""),"""")"),"")</f>
        <v/>
      </c>
      <c r="K202" s="96" t="str">
        <f>IFERROR(__xludf.DUMMYFUNCTION("iferror(join("", "",unique(filter({filter('Students (Vertical)'!D:D,'Students (Vertical)'!C:C=B202,'Students (Vertical)'!D:D&lt;&gt;"""");filter('Students (Vertical)'!D:D,'Students (Vertical)'!C:C=E202,'Students (Vertical)'!D:D&lt;&gt;"""")},countifs({filter('Student"&amp;"s (Vertical)'!D:D,'Students (Vertical)'!C:C=B202,'Students (Vertical)'!D:D&lt;&gt;"""");filter('Students (Vertical)'!D:D,'Students (Vertical)'!C:C=E202,'Students (Vertical)'!D:D&lt;&gt;"""")},{filter('Students (Vertical)'!D:D,'Students (Vertical)'!C:C=B202,'Students "&amp;"(Vertical)'!D:D&lt;&gt;"""");filter('Students (Vertical)'!D:D,'Students (Vertical)'!C:C=E202,'Students (Vertical)'!D:D&lt;&gt;"""")})&gt;1))),"""")"),"")</f>
        <v/>
      </c>
      <c r="L202" s="96"/>
      <c r="M202" s="96"/>
    </row>
    <row r="203" hidden="1">
      <c r="A203" s="8" t="s">
        <v>8</v>
      </c>
      <c r="C203" s="8" t="s">
        <v>8</v>
      </c>
      <c r="D203" s="8" t="s">
        <v>8</v>
      </c>
      <c r="F203" s="8" t="s">
        <v>8</v>
      </c>
      <c r="G203" s="8" t="s">
        <v>8</v>
      </c>
      <c r="I203" s="94" t="str">
        <f>IFERROR(__xludf.DUMMYFUNCTION("if(H203=""Must be Together"",iferror(join("", "",unique(filter({filter('Students (Vertical)'!O:O,'Students (Vertical)'!C:C=B203,'Students (Vertical)'!O:O&lt;&gt;"""");filter('Students (Vertical)'!O:O,'Students (Vertical)'!C:C=E203,'Students (Vertical)'!O:O&lt;&gt;"""&amp;""")},countifs({filter('Students (Vertical)'!O:O,'Students (Vertical)'!C:C=B203,'Students (Vertical)'!O:O&lt;&gt;"""");filter('Students (Vertical)'!O:O,'Students (Vertical)'!C:C=E203,'Students (Vertical)'!O:O&lt;&gt;"""")},{filter('Students (Vertical)'!O:O,'Students ("&amp;"Vertical)'!C:C=B203,'Students (Vertical)'!O:O&lt;&gt;"""");filter('Students (Vertical)'!O:O,'Students (Vertical)'!C:C=E203,'Students (Vertical)'!O:O&lt;&gt;"""")})&gt;1))),""No shared courses""),"""")"),"")</f>
        <v/>
      </c>
      <c r="J203" s="94" t="str">
        <f>IFERROR(__xludf.DUMMYFUNCTION("if(H203=""Can't be Together"",iferror(join("", "",unique(filter({unique(filter('Students (Vertical)'!O:O,'Students (Vertical)'!C:C=B203,'Students (Vertical)'!O:O&lt;&gt;"""",'Students (Vertical)'!P:P&gt;1));unique(filter('Students (Vertical)'!O:O,'Students (Vertic"&amp;"al)'!C:C=E203,'Students (Vertical)'!O:O&lt;&gt;"""",'Students (Vertical)'!P:P&gt;1))},countifs({unique(filter('Students (Vertical)'!O:O,'Students (Vertical)'!C:C=B203,'Students (Vertical)'!O:O&lt;&gt;"""",'Students (Vertical)'!P:P&gt;1));unique(filter('Students (Vertical)'"&amp;"!O:O,'Students (Vertical)'!C:C=E203,'Students (Vertical)'!O:O&lt;&gt;"""",'Students (Vertical)'!P:P&gt;1))},{unique(filter('Students (Vertical)'!O:O,'Students (Vertical)'!C:C=B203,'Students (Vertical)'!O:O&lt;&gt;"""",'Students (Vertical)'!P:P&gt;1));unique(filter('Student"&amp;"s (Vertical)'!O:O,'Students (Vertical)'!C:C=E203,'Students (Vertical)'!O:O&lt;&gt;"""",'Students (Vertical)'!P:P&gt;1))})&gt;1))),""""),"""")"),"")</f>
        <v/>
      </c>
      <c r="K203" s="96" t="str">
        <f>IFERROR(__xludf.DUMMYFUNCTION("iferror(join("", "",unique(filter({filter('Students (Vertical)'!D:D,'Students (Vertical)'!C:C=B203,'Students (Vertical)'!D:D&lt;&gt;"""");filter('Students (Vertical)'!D:D,'Students (Vertical)'!C:C=E203,'Students (Vertical)'!D:D&lt;&gt;"""")},countifs({filter('Student"&amp;"s (Vertical)'!D:D,'Students (Vertical)'!C:C=B203,'Students (Vertical)'!D:D&lt;&gt;"""");filter('Students (Vertical)'!D:D,'Students (Vertical)'!C:C=E203,'Students (Vertical)'!D:D&lt;&gt;"""")},{filter('Students (Vertical)'!D:D,'Students (Vertical)'!C:C=B203,'Students "&amp;"(Vertical)'!D:D&lt;&gt;"""");filter('Students (Vertical)'!D:D,'Students (Vertical)'!C:C=E203,'Students (Vertical)'!D:D&lt;&gt;"""")})&gt;1))),"""")"),"")</f>
        <v/>
      </c>
      <c r="L203" s="96"/>
      <c r="M203" s="96"/>
    </row>
    <row r="204" hidden="1">
      <c r="A204" s="8" t="s">
        <v>8</v>
      </c>
      <c r="C204" s="8" t="s">
        <v>8</v>
      </c>
      <c r="D204" s="8" t="s">
        <v>8</v>
      </c>
      <c r="F204" s="8" t="s">
        <v>8</v>
      </c>
      <c r="G204" s="8" t="s">
        <v>8</v>
      </c>
      <c r="I204" s="94" t="str">
        <f>IFERROR(__xludf.DUMMYFUNCTION("if(H204=""Must be Together"",iferror(join("", "",unique(filter({filter('Students (Vertical)'!O:O,'Students (Vertical)'!C:C=B204,'Students (Vertical)'!O:O&lt;&gt;"""");filter('Students (Vertical)'!O:O,'Students (Vertical)'!C:C=E204,'Students (Vertical)'!O:O&lt;&gt;"""&amp;""")},countifs({filter('Students (Vertical)'!O:O,'Students (Vertical)'!C:C=B204,'Students (Vertical)'!O:O&lt;&gt;"""");filter('Students (Vertical)'!O:O,'Students (Vertical)'!C:C=E204,'Students (Vertical)'!O:O&lt;&gt;"""")},{filter('Students (Vertical)'!O:O,'Students ("&amp;"Vertical)'!C:C=B204,'Students (Vertical)'!O:O&lt;&gt;"""");filter('Students (Vertical)'!O:O,'Students (Vertical)'!C:C=E204,'Students (Vertical)'!O:O&lt;&gt;"""")})&gt;1))),""No shared courses""),"""")"),"")</f>
        <v/>
      </c>
      <c r="J204" s="94" t="str">
        <f>IFERROR(__xludf.DUMMYFUNCTION("if(H204=""Can't be Together"",iferror(join("", "",unique(filter({unique(filter('Students (Vertical)'!O:O,'Students (Vertical)'!C:C=B204,'Students (Vertical)'!O:O&lt;&gt;"""",'Students (Vertical)'!P:P&gt;1));unique(filter('Students (Vertical)'!O:O,'Students (Vertic"&amp;"al)'!C:C=E204,'Students (Vertical)'!O:O&lt;&gt;"""",'Students (Vertical)'!P:P&gt;1))},countifs({unique(filter('Students (Vertical)'!O:O,'Students (Vertical)'!C:C=B204,'Students (Vertical)'!O:O&lt;&gt;"""",'Students (Vertical)'!P:P&gt;1));unique(filter('Students (Vertical)'"&amp;"!O:O,'Students (Vertical)'!C:C=E204,'Students (Vertical)'!O:O&lt;&gt;"""",'Students (Vertical)'!P:P&gt;1))},{unique(filter('Students (Vertical)'!O:O,'Students (Vertical)'!C:C=B204,'Students (Vertical)'!O:O&lt;&gt;"""",'Students (Vertical)'!P:P&gt;1));unique(filter('Student"&amp;"s (Vertical)'!O:O,'Students (Vertical)'!C:C=E204,'Students (Vertical)'!O:O&lt;&gt;"""",'Students (Vertical)'!P:P&gt;1))})&gt;1))),""""),"""")"),"")</f>
        <v/>
      </c>
      <c r="K204" s="96" t="str">
        <f>IFERROR(__xludf.DUMMYFUNCTION("iferror(join("", "",unique(filter({filter('Students (Vertical)'!D:D,'Students (Vertical)'!C:C=B204,'Students (Vertical)'!D:D&lt;&gt;"""");filter('Students (Vertical)'!D:D,'Students (Vertical)'!C:C=E204,'Students (Vertical)'!D:D&lt;&gt;"""")},countifs({filter('Student"&amp;"s (Vertical)'!D:D,'Students (Vertical)'!C:C=B204,'Students (Vertical)'!D:D&lt;&gt;"""");filter('Students (Vertical)'!D:D,'Students (Vertical)'!C:C=E204,'Students (Vertical)'!D:D&lt;&gt;"""")},{filter('Students (Vertical)'!D:D,'Students (Vertical)'!C:C=B204,'Students "&amp;"(Vertical)'!D:D&lt;&gt;"""");filter('Students (Vertical)'!D:D,'Students (Vertical)'!C:C=E204,'Students (Vertical)'!D:D&lt;&gt;"""")})&gt;1))),"""")"),"")</f>
        <v/>
      </c>
      <c r="L204" s="96"/>
      <c r="M204" s="96"/>
    </row>
    <row r="205" hidden="1">
      <c r="A205" s="8" t="s">
        <v>8</v>
      </c>
      <c r="C205" s="8" t="s">
        <v>8</v>
      </c>
      <c r="D205" s="8" t="s">
        <v>8</v>
      </c>
      <c r="F205" s="8" t="s">
        <v>8</v>
      </c>
      <c r="G205" s="8" t="s">
        <v>8</v>
      </c>
      <c r="I205" s="94" t="str">
        <f>IFERROR(__xludf.DUMMYFUNCTION("if(H205=""Must be Together"",iferror(join("", "",unique(filter({filter('Students (Vertical)'!O:O,'Students (Vertical)'!C:C=B205,'Students (Vertical)'!O:O&lt;&gt;"""");filter('Students (Vertical)'!O:O,'Students (Vertical)'!C:C=E205,'Students (Vertical)'!O:O&lt;&gt;"""&amp;""")},countifs({filter('Students (Vertical)'!O:O,'Students (Vertical)'!C:C=B205,'Students (Vertical)'!O:O&lt;&gt;"""");filter('Students (Vertical)'!O:O,'Students (Vertical)'!C:C=E205,'Students (Vertical)'!O:O&lt;&gt;"""")},{filter('Students (Vertical)'!O:O,'Students ("&amp;"Vertical)'!C:C=B205,'Students (Vertical)'!O:O&lt;&gt;"""");filter('Students (Vertical)'!O:O,'Students (Vertical)'!C:C=E205,'Students (Vertical)'!O:O&lt;&gt;"""")})&gt;1))),""No shared courses""),"""")"),"")</f>
        <v/>
      </c>
      <c r="J205" s="94" t="str">
        <f>IFERROR(__xludf.DUMMYFUNCTION("if(H205=""Can't be Together"",iferror(join("", "",unique(filter({unique(filter('Students (Vertical)'!O:O,'Students (Vertical)'!C:C=B205,'Students (Vertical)'!O:O&lt;&gt;"""",'Students (Vertical)'!P:P&gt;1));unique(filter('Students (Vertical)'!O:O,'Students (Vertic"&amp;"al)'!C:C=E205,'Students (Vertical)'!O:O&lt;&gt;"""",'Students (Vertical)'!P:P&gt;1))},countifs({unique(filter('Students (Vertical)'!O:O,'Students (Vertical)'!C:C=B205,'Students (Vertical)'!O:O&lt;&gt;"""",'Students (Vertical)'!P:P&gt;1));unique(filter('Students (Vertical)'"&amp;"!O:O,'Students (Vertical)'!C:C=E205,'Students (Vertical)'!O:O&lt;&gt;"""",'Students (Vertical)'!P:P&gt;1))},{unique(filter('Students (Vertical)'!O:O,'Students (Vertical)'!C:C=B205,'Students (Vertical)'!O:O&lt;&gt;"""",'Students (Vertical)'!P:P&gt;1));unique(filter('Student"&amp;"s (Vertical)'!O:O,'Students (Vertical)'!C:C=E205,'Students (Vertical)'!O:O&lt;&gt;"""",'Students (Vertical)'!P:P&gt;1))})&gt;1))),""""),"""")"),"")</f>
        <v/>
      </c>
      <c r="K205" s="96" t="str">
        <f>IFERROR(__xludf.DUMMYFUNCTION("iferror(join("", "",unique(filter({filter('Students (Vertical)'!D:D,'Students (Vertical)'!C:C=B205,'Students (Vertical)'!D:D&lt;&gt;"""");filter('Students (Vertical)'!D:D,'Students (Vertical)'!C:C=E205,'Students (Vertical)'!D:D&lt;&gt;"""")},countifs({filter('Student"&amp;"s (Vertical)'!D:D,'Students (Vertical)'!C:C=B205,'Students (Vertical)'!D:D&lt;&gt;"""");filter('Students (Vertical)'!D:D,'Students (Vertical)'!C:C=E205,'Students (Vertical)'!D:D&lt;&gt;"""")},{filter('Students (Vertical)'!D:D,'Students (Vertical)'!C:C=B205,'Students "&amp;"(Vertical)'!D:D&lt;&gt;"""");filter('Students (Vertical)'!D:D,'Students (Vertical)'!C:C=E205,'Students (Vertical)'!D:D&lt;&gt;"""")})&gt;1))),"""")"),"")</f>
        <v/>
      </c>
      <c r="L205" s="96"/>
      <c r="M205" s="96"/>
    </row>
    <row r="206" hidden="1">
      <c r="A206" s="8" t="s">
        <v>8</v>
      </c>
      <c r="C206" s="8" t="s">
        <v>8</v>
      </c>
      <c r="D206" s="8" t="s">
        <v>8</v>
      </c>
      <c r="F206" s="8" t="s">
        <v>8</v>
      </c>
      <c r="G206" s="8" t="s">
        <v>8</v>
      </c>
      <c r="I206" s="94" t="str">
        <f>IFERROR(__xludf.DUMMYFUNCTION("if(H206=""Must be Together"",iferror(join("", "",unique(filter({filter('Students (Vertical)'!O:O,'Students (Vertical)'!C:C=B206,'Students (Vertical)'!O:O&lt;&gt;"""");filter('Students (Vertical)'!O:O,'Students (Vertical)'!C:C=E206,'Students (Vertical)'!O:O&lt;&gt;"""&amp;""")},countifs({filter('Students (Vertical)'!O:O,'Students (Vertical)'!C:C=B206,'Students (Vertical)'!O:O&lt;&gt;"""");filter('Students (Vertical)'!O:O,'Students (Vertical)'!C:C=E206,'Students (Vertical)'!O:O&lt;&gt;"""")},{filter('Students (Vertical)'!O:O,'Students ("&amp;"Vertical)'!C:C=B206,'Students (Vertical)'!O:O&lt;&gt;"""");filter('Students (Vertical)'!O:O,'Students (Vertical)'!C:C=E206,'Students (Vertical)'!O:O&lt;&gt;"""")})&gt;1))),""No shared courses""),"""")"),"")</f>
        <v/>
      </c>
      <c r="J206" s="94" t="str">
        <f>IFERROR(__xludf.DUMMYFUNCTION("if(H206=""Can't be Together"",iferror(join("", "",unique(filter({unique(filter('Students (Vertical)'!O:O,'Students (Vertical)'!C:C=B206,'Students (Vertical)'!O:O&lt;&gt;"""",'Students (Vertical)'!P:P&gt;1));unique(filter('Students (Vertical)'!O:O,'Students (Vertic"&amp;"al)'!C:C=E206,'Students (Vertical)'!O:O&lt;&gt;"""",'Students (Vertical)'!P:P&gt;1))},countifs({unique(filter('Students (Vertical)'!O:O,'Students (Vertical)'!C:C=B206,'Students (Vertical)'!O:O&lt;&gt;"""",'Students (Vertical)'!P:P&gt;1));unique(filter('Students (Vertical)'"&amp;"!O:O,'Students (Vertical)'!C:C=E206,'Students (Vertical)'!O:O&lt;&gt;"""",'Students (Vertical)'!P:P&gt;1))},{unique(filter('Students (Vertical)'!O:O,'Students (Vertical)'!C:C=B206,'Students (Vertical)'!O:O&lt;&gt;"""",'Students (Vertical)'!P:P&gt;1));unique(filter('Student"&amp;"s (Vertical)'!O:O,'Students (Vertical)'!C:C=E206,'Students (Vertical)'!O:O&lt;&gt;"""",'Students (Vertical)'!P:P&gt;1))})&gt;1))),""""),"""")"),"")</f>
        <v/>
      </c>
      <c r="K206" s="96" t="str">
        <f>IFERROR(__xludf.DUMMYFUNCTION("iferror(join("", "",unique(filter({filter('Students (Vertical)'!D:D,'Students (Vertical)'!C:C=B206,'Students (Vertical)'!D:D&lt;&gt;"""");filter('Students (Vertical)'!D:D,'Students (Vertical)'!C:C=E206,'Students (Vertical)'!D:D&lt;&gt;"""")},countifs({filter('Student"&amp;"s (Vertical)'!D:D,'Students (Vertical)'!C:C=B206,'Students (Vertical)'!D:D&lt;&gt;"""");filter('Students (Vertical)'!D:D,'Students (Vertical)'!C:C=E206,'Students (Vertical)'!D:D&lt;&gt;"""")},{filter('Students (Vertical)'!D:D,'Students (Vertical)'!C:C=B206,'Students "&amp;"(Vertical)'!D:D&lt;&gt;"""");filter('Students (Vertical)'!D:D,'Students (Vertical)'!C:C=E206,'Students (Vertical)'!D:D&lt;&gt;"""")})&gt;1))),"""")"),"")</f>
        <v/>
      </c>
      <c r="L206" s="96"/>
      <c r="M206" s="96"/>
    </row>
    <row r="207" hidden="1">
      <c r="A207" s="8" t="s">
        <v>8</v>
      </c>
      <c r="C207" s="8" t="s">
        <v>8</v>
      </c>
      <c r="D207" s="8" t="s">
        <v>8</v>
      </c>
      <c r="F207" s="8" t="s">
        <v>8</v>
      </c>
      <c r="G207" s="8" t="s">
        <v>8</v>
      </c>
      <c r="I207" s="94" t="str">
        <f>IFERROR(__xludf.DUMMYFUNCTION("if(H207=""Must be Together"",iferror(join("", "",unique(filter({filter('Students (Vertical)'!O:O,'Students (Vertical)'!C:C=B207,'Students (Vertical)'!O:O&lt;&gt;"""");filter('Students (Vertical)'!O:O,'Students (Vertical)'!C:C=E207,'Students (Vertical)'!O:O&lt;&gt;"""&amp;""")},countifs({filter('Students (Vertical)'!O:O,'Students (Vertical)'!C:C=B207,'Students (Vertical)'!O:O&lt;&gt;"""");filter('Students (Vertical)'!O:O,'Students (Vertical)'!C:C=E207,'Students (Vertical)'!O:O&lt;&gt;"""")},{filter('Students (Vertical)'!O:O,'Students ("&amp;"Vertical)'!C:C=B207,'Students (Vertical)'!O:O&lt;&gt;"""");filter('Students (Vertical)'!O:O,'Students (Vertical)'!C:C=E207,'Students (Vertical)'!O:O&lt;&gt;"""")})&gt;1))),""No shared courses""),"""")"),"")</f>
        <v/>
      </c>
      <c r="J207" s="94" t="str">
        <f>IFERROR(__xludf.DUMMYFUNCTION("if(H207=""Can't be Together"",iferror(join("", "",unique(filter({unique(filter('Students (Vertical)'!O:O,'Students (Vertical)'!C:C=B207,'Students (Vertical)'!O:O&lt;&gt;"""",'Students (Vertical)'!P:P&gt;1));unique(filter('Students (Vertical)'!O:O,'Students (Vertic"&amp;"al)'!C:C=E207,'Students (Vertical)'!O:O&lt;&gt;"""",'Students (Vertical)'!P:P&gt;1))},countifs({unique(filter('Students (Vertical)'!O:O,'Students (Vertical)'!C:C=B207,'Students (Vertical)'!O:O&lt;&gt;"""",'Students (Vertical)'!P:P&gt;1));unique(filter('Students (Vertical)'"&amp;"!O:O,'Students (Vertical)'!C:C=E207,'Students (Vertical)'!O:O&lt;&gt;"""",'Students (Vertical)'!P:P&gt;1))},{unique(filter('Students (Vertical)'!O:O,'Students (Vertical)'!C:C=B207,'Students (Vertical)'!O:O&lt;&gt;"""",'Students (Vertical)'!P:P&gt;1));unique(filter('Student"&amp;"s (Vertical)'!O:O,'Students (Vertical)'!C:C=E207,'Students (Vertical)'!O:O&lt;&gt;"""",'Students (Vertical)'!P:P&gt;1))})&gt;1))),""""),"""")"),"")</f>
        <v/>
      </c>
      <c r="K207" s="96" t="str">
        <f>IFERROR(__xludf.DUMMYFUNCTION("iferror(join("", "",unique(filter({filter('Students (Vertical)'!D:D,'Students (Vertical)'!C:C=B207,'Students (Vertical)'!D:D&lt;&gt;"""");filter('Students (Vertical)'!D:D,'Students (Vertical)'!C:C=E207,'Students (Vertical)'!D:D&lt;&gt;"""")},countifs({filter('Student"&amp;"s (Vertical)'!D:D,'Students (Vertical)'!C:C=B207,'Students (Vertical)'!D:D&lt;&gt;"""");filter('Students (Vertical)'!D:D,'Students (Vertical)'!C:C=E207,'Students (Vertical)'!D:D&lt;&gt;"""")},{filter('Students (Vertical)'!D:D,'Students (Vertical)'!C:C=B207,'Students "&amp;"(Vertical)'!D:D&lt;&gt;"""");filter('Students (Vertical)'!D:D,'Students (Vertical)'!C:C=E207,'Students (Vertical)'!D:D&lt;&gt;"""")})&gt;1))),"""")"),"")</f>
        <v/>
      </c>
      <c r="L207" s="96"/>
      <c r="M207" s="96"/>
    </row>
    <row r="208" hidden="1">
      <c r="A208" s="8" t="s">
        <v>8</v>
      </c>
      <c r="C208" s="8" t="s">
        <v>8</v>
      </c>
      <c r="D208" s="8" t="s">
        <v>8</v>
      </c>
      <c r="F208" s="8" t="s">
        <v>8</v>
      </c>
      <c r="G208" s="8" t="s">
        <v>8</v>
      </c>
      <c r="I208" s="94" t="str">
        <f>IFERROR(__xludf.DUMMYFUNCTION("if(H208=""Must be Together"",iferror(join("", "",unique(filter({filter('Students (Vertical)'!O:O,'Students (Vertical)'!C:C=B208,'Students (Vertical)'!O:O&lt;&gt;"""");filter('Students (Vertical)'!O:O,'Students (Vertical)'!C:C=E208,'Students (Vertical)'!O:O&lt;&gt;"""&amp;""")},countifs({filter('Students (Vertical)'!O:O,'Students (Vertical)'!C:C=B208,'Students (Vertical)'!O:O&lt;&gt;"""");filter('Students (Vertical)'!O:O,'Students (Vertical)'!C:C=E208,'Students (Vertical)'!O:O&lt;&gt;"""")},{filter('Students (Vertical)'!O:O,'Students ("&amp;"Vertical)'!C:C=B208,'Students (Vertical)'!O:O&lt;&gt;"""");filter('Students (Vertical)'!O:O,'Students (Vertical)'!C:C=E208,'Students (Vertical)'!O:O&lt;&gt;"""")})&gt;1))),""No shared courses""),"""")"),"")</f>
        <v/>
      </c>
      <c r="J208" s="94" t="str">
        <f>IFERROR(__xludf.DUMMYFUNCTION("if(H208=""Can't be Together"",iferror(join("", "",unique(filter({unique(filter('Students (Vertical)'!O:O,'Students (Vertical)'!C:C=B208,'Students (Vertical)'!O:O&lt;&gt;"""",'Students (Vertical)'!P:P&gt;1));unique(filter('Students (Vertical)'!O:O,'Students (Vertic"&amp;"al)'!C:C=E208,'Students (Vertical)'!O:O&lt;&gt;"""",'Students (Vertical)'!P:P&gt;1))},countifs({unique(filter('Students (Vertical)'!O:O,'Students (Vertical)'!C:C=B208,'Students (Vertical)'!O:O&lt;&gt;"""",'Students (Vertical)'!P:P&gt;1));unique(filter('Students (Vertical)'"&amp;"!O:O,'Students (Vertical)'!C:C=E208,'Students (Vertical)'!O:O&lt;&gt;"""",'Students (Vertical)'!P:P&gt;1))},{unique(filter('Students (Vertical)'!O:O,'Students (Vertical)'!C:C=B208,'Students (Vertical)'!O:O&lt;&gt;"""",'Students (Vertical)'!P:P&gt;1));unique(filter('Student"&amp;"s (Vertical)'!O:O,'Students (Vertical)'!C:C=E208,'Students (Vertical)'!O:O&lt;&gt;"""",'Students (Vertical)'!P:P&gt;1))})&gt;1))),""""),"""")"),"")</f>
        <v/>
      </c>
      <c r="K208" s="96" t="str">
        <f>IFERROR(__xludf.DUMMYFUNCTION("iferror(join("", "",unique(filter({filter('Students (Vertical)'!D:D,'Students (Vertical)'!C:C=B208,'Students (Vertical)'!D:D&lt;&gt;"""");filter('Students (Vertical)'!D:D,'Students (Vertical)'!C:C=E208,'Students (Vertical)'!D:D&lt;&gt;"""")},countifs({filter('Student"&amp;"s (Vertical)'!D:D,'Students (Vertical)'!C:C=B208,'Students (Vertical)'!D:D&lt;&gt;"""");filter('Students (Vertical)'!D:D,'Students (Vertical)'!C:C=E208,'Students (Vertical)'!D:D&lt;&gt;"""")},{filter('Students (Vertical)'!D:D,'Students (Vertical)'!C:C=B208,'Students "&amp;"(Vertical)'!D:D&lt;&gt;"""");filter('Students (Vertical)'!D:D,'Students (Vertical)'!C:C=E208,'Students (Vertical)'!D:D&lt;&gt;"""")})&gt;1))),"""")"),"")</f>
        <v/>
      </c>
      <c r="L208" s="96"/>
      <c r="M208" s="96"/>
    </row>
    <row r="209" hidden="1">
      <c r="A209" s="8" t="s">
        <v>8</v>
      </c>
      <c r="C209" s="8" t="s">
        <v>8</v>
      </c>
      <c r="D209" s="8" t="s">
        <v>8</v>
      </c>
      <c r="F209" s="8" t="s">
        <v>8</v>
      </c>
      <c r="G209" s="8" t="s">
        <v>8</v>
      </c>
      <c r="I209" s="94" t="str">
        <f>IFERROR(__xludf.DUMMYFUNCTION("if(H209=""Must be Together"",iferror(join("", "",unique(filter({filter('Students (Vertical)'!O:O,'Students (Vertical)'!C:C=B209,'Students (Vertical)'!O:O&lt;&gt;"""");filter('Students (Vertical)'!O:O,'Students (Vertical)'!C:C=E209,'Students (Vertical)'!O:O&lt;&gt;"""&amp;""")},countifs({filter('Students (Vertical)'!O:O,'Students (Vertical)'!C:C=B209,'Students (Vertical)'!O:O&lt;&gt;"""");filter('Students (Vertical)'!O:O,'Students (Vertical)'!C:C=E209,'Students (Vertical)'!O:O&lt;&gt;"""")},{filter('Students (Vertical)'!O:O,'Students ("&amp;"Vertical)'!C:C=B209,'Students (Vertical)'!O:O&lt;&gt;"""");filter('Students (Vertical)'!O:O,'Students (Vertical)'!C:C=E209,'Students (Vertical)'!O:O&lt;&gt;"""")})&gt;1))),""No shared courses""),"""")"),"")</f>
        <v/>
      </c>
      <c r="J209" s="94" t="str">
        <f>IFERROR(__xludf.DUMMYFUNCTION("if(H209=""Can't be Together"",iferror(join("", "",unique(filter({unique(filter('Students (Vertical)'!O:O,'Students (Vertical)'!C:C=B209,'Students (Vertical)'!O:O&lt;&gt;"""",'Students (Vertical)'!P:P&gt;1));unique(filter('Students (Vertical)'!O:O,'Students (Vertic"&amp;"al)'!C:C=E209,'Students (Vertical)'!O:O&lt;&gt;"""",'Students (Vertical)'!P:P&gt;1))},countifs({unique(filter('Students (Vertical)'!O:O,'Students (Vertical)'!C:C=B209,'Students (Vertical)'!O:O&lt;&gt;"""",'Students (Vertical)'!P:P&gt;1));unique(filter('Students (Vertical)'"&amp;"!O:O,'Students (Vertical)'!C:C=E209,'Students (Vertical)'!O:O&lt;&gt;"""",'Students (Vertical)'!P:P&gt;1))},{unique(filter('Students (Vertical)'!O:O,'Students (Vertical)'!C:C=B209,'Students (Vertical)'!O:O&lt;&gt;"""",'Students (Vertical)'!P:P&gt;1));unique(filter('Student"&amp;"s (Vertical)'!O:O,'Students (Vertical)'!C:C=E209,'Students (Vertical)'!O:O&lt;&gt;"""",'Students (Vertical)'!P:P&gt;1))})&gt;1))),""""),"""")"),"")</f>
        <v/>
      </c>
      <c r="K209" s="96" t="str">
        <f>IFERROR(__xludf.DUMMYFUNCTION("iferror(join("", "",unique(filter({filter('Students (Vertical)'!D:D,'Students (Vertical)'!C:C=B209,'Students (Vertical)'!D:D&lt;&gt;"""");filter('Students (Vertical)'!D:D,'Students (Vertical)'!C:C=E209,'Students (Vertical)'!D:D&lt;&gt;"""")},countifs({filter('Student"&amp;"s (Vertical)'!D:D,'Students (Vertical)'!C:C=B209,'Students (Vertical)'!D:D&lt;&gt;"""");filter('Students (Vertical)'!D:D,'Students (Vertical)'!C:C=E209,'Students (Vertical)'!D:D&lt;&gt;"""")},{filter('Students (Vertical)'!D:D,'Students (Vertical)'!C:C=B209,'Students "&amp;"(Vertical)'!D:D&lt;&gt;"""");filter('Students (Vertical)'!D:D,'Students (Vertical)'!C:C=E209,'Students (Vertical)'!D:D&lt;&gt;"""")})&gt;1))),"""")"),"")</f>
        <v/>
      </c>
      <c r="L209" s="96"/>
      <c r="M209" s="96"/>
    </row>
    <row r="210" hidden="1">
      <c r="A210" s="8" t="s">
        <v>8</v>
      </c>
      <c r="C210" s="8" t="s">
        <v>8</v>
      </c>
      <c r="D210" s="8" t="s">
        <v>8</v>
      </c>
      <c r="F210" s="8" t="s">
        <v>8</v>
      </c>
      <c r="G210" s="8" t="s">
        <v>8</v>
      </c>
      <c r="I210" s="94" t="str">
        <f>IFERROR(__xludf.DUMMYFUNCTION("if(H210=""Must be Together"",iferror(join("", "",unique(filter({filter('Students (Vertical)'!O:O,'Students (Vertical)'!C:C=B210,'Students (Vertical)'!O:O&lt;&gt;"""");filter('Students (Vertical)'!O:O,'Students (Vertical)'!C:C=E210,'Students (Vertical)'!O:O&lt;&gt;"""&amp;""")},countifs({filter('Students (Vertical)'!O:O,'Students (Vertical)'!C:C=B210,'Students (Vertical)'!O:O&lt;&gt;"""");filter('Students (Vertical)'!O:O,'Students (Vertical)'!C:C=E210,'Students (Vertical)'!O:O&lt;&gt;"""")},{filter('Students (Vertical)'!O:O,'Students ("&amp;"Vertical)'!C:C=B210,'Students (Vertical)'!O:O&lt;&gt;"""");filter('Students (Vertical)'!O:O,'Students (Vertical)'!C:C=E210,'Students (Vertical)'!O:O&lt;&gt;"""")})&gt;1))),""No shared courses""),"""")"),"")</f>
        <v/>
      </c>
      <c r="J210" s="94" t="str">
        <f>IFERROR(__xludf.DUMMYFUNCTION("if(H210=""Can't be Together"",iferror(join("", "",unique(filter({unique(filter('Students (Vertical)'!O:O,'Students (Vertical)'!C:C=B210,'Students (Vertical)'!O:O&lt;&gt;"""",'Students (Vertical)'!P:P&gt;1));unique(filter('Students (Vertical)'!O:O,'Students (Vertic"&amp;"al)'!C:C=E210,'Students (Vertical)'!O:O&lt;&gt;"""",'Students (Vertical)'!P:P&gt;1))},countifs({unique(filter('Students (Vertical)'!O:O,'Students (Vertical)'!C:C=B210,'Students (Vertical)'!O:O&lt;&gt;"""",'Students (Vertical)'!P:P&gt;1));unique(filter('Students (Vertical)'"&amp;"!O:O,'Students (Vertical)'!C:C=E210,'Students (Vertical)'!O:O&lt;&gt;"""",'Students (Vertical)'!P:P&gt;1))},{unique(filter('Students (Vertical)'!O:O,'Students (Vertical)'!C:C=B210,'Students (Vertical)'!O:O&lt;&gt;"""",'Students (Vertical)'!P:P&gt;1));unique(filter('Student"&amp;"s (Vertical)'!O:O,'Students (Vertical)'!C:C=E210,'Students (Vertical)'!O:O&lt;&gt;"""",'Students (Vertical)'!P:P&gt;1))})&gt;1))),""""),"""")"),"")</f>
        <v/>
      </c>
      <c r="K210" s="96" t="str">
        <f>IFERROR(__xludf.DUMMYFUNCTION("iferror(join("", "",unique(filter({filter('Students (Vertical)'!D:D,'Students (Vertical)'!C:C=B210,'Students (Vertical)'!D:D&lt;&gt;"""");filter('Students (Vertical)'!D:D,'Students (Vertical)'!C:C=E210,'Students (Vertical)'!D:D&lt;&gt;"""")},countifs({filter('Student"&amp;"s (Vertical)'!D:D,'Students (Vertical)'!C:C=B210,'Students (Vertical)'!D:D&lt;&gt;"""");filter('Students (Vertical)'!D:D,'Students (Vertical)'!C:C=E210,'Students (Vertical)'!D:D&lt;&gt;"""")},{filter('Students (Vertical)'!D:D,'Students (Vertical)'!C:C=B210,'Students "&amp;"(Vertical)'!D:D&lt;&gt;"""");filter('Students (Vertical)'!D:D,'Students (Vertical)'!C:C=E210,'Students (Vertical)'!D:D&lt;&gt;"""")})&gt;1))),"""")"),"")</f>
        <v/>
      </c>
      <c r="L210" s="96"/>
      <c r="M210" s="96"/>
    </row>
    <row r="211" hidden="1">
      <c r="A211" s="8" t="s">
        <v>8</v>
      </c>
      <c r="C211" s="8" t="s">
        <v>8</v>
      </c>
      <c r="D211" s="8" t="s">
        <v>8</v>
      </c>
      <c r="F211" s="8" t="s">
        <v>8</v>
      </c>
      <c r="G211" s="8" t="s">
        <v>8</v>
      </c>
      <c r="I211" s="94" t="str">
        <f>IFERROR(__xludf.DUMMYFUNCTION("if(H211=""Must be Together"",iferror(join("", "",unique(filter({filter('Students (Vertical)'!O:O,'Students (Vertical)'!C:C=B211,'Students (Vertical)'!O:O&lt;&gt;"""");filter('Students (Vertical)'!O:O,'Students (Vertical)'!C:C=E211,'Students (Vertical)'!O:O&lt;&gt;"""&amp;""")},countifs({filter('Students (Vertical)'!O:O,'Students (Vertical)'!C:C=B211,'Students (Vertical)'!O:O&lt;&gt;"""");filter('Students (Vertical)'!O:O,'Students (Vertical)'!C:C=E211,'Students (Vertical)'!O:O&lt;&gt;"""")},{filter('Students (Vertical)'!O:O,'Students ("&amp;"Vertical)'!C:C=B211,'Students (Vertical)'!O:O&lt;&gt;"""");filter('Students (Vertical)'!O:O,'Students (Vertical)'!C:C=E211,'Students (Vertical)'!O:O&lt;&gt;"""")})&gt;1))),""No shared courses""),"""")"),"")</f>
        <v/>
      </c>
      <c r="J211" s="94" t="str">
        <f>IFERROR(__xludf.DUMMYFUNCTION("if(H211=""Can't be Together"",iferror(join("", "",unique(filter({unique(filter('Students (Vertical)'!O:O,'Students (Vertical)'!C:C=B211,'Students (Vertical)'!O:O&lt;&gt;"""",'Students (Vertical)'!P:P&gt;1));unique(filter('Students (Vertical)'!O:O,'Students (Vertic"&amp;"al)'!C:C=E211,'Students (Vertical)'!O:O&lt;&gt;"""",'Students (Vertical)'!P:P&gt;1))},countifs({unique(filter('Students (Vertical)'!O:O,'Students (Vertical)'!C:C=B211,'Students (Vertical)'!O:O&lt;&gt;"""",'Students (Vertical)'!P:P&gt;1));unique(filter('Students (Vertical)'"&amp;"!O:O,'Students (Vertical)'!C:C=E211,'Students (Vertical)'!O:O&lt;&gt;"""",'Students (Vertical)'!P:P&gt;1))},{unique(filter('Students (Vertical)'!O:O,'Students (Vertical)'!C:C=B211,'Students (Vertical)'!O:O&lt;&gt;"""",'Students (Vertical)'!P:P&gt;1));unique(filter('Student"&amp;"s (Vertical)'!O:O,'Students (Vertical)'!C:C=E211,'Students (Vertical)'!O:O&lt;&gt;"""",'Students (Vertical)'!P:P&gt;1))})&gt;1))),""""),"""")"),"")</f>
        <v/>
      </c>
      <c r="K211" s="96" t="str">
        <f>IFERROR(__xludf.DUMMYFUNCTION("iferror(join("", "",unique(filter({filter('Students (Vertical)'!D:D,'Students (Vertical)'!C:C=B211,'Students (Vertical)'!D:D&lt;&gt;"""");filter('Students (Vertical)'!D:D,'Students (Vertical)'!C:C=E211,'Students (Vertical)'!D:D&lt;&gt;"""")},countifs({filter('Student"&amp;"s (Vertical)'!D:D,'Students (Vertical)'!C:C=B211,'Students (Vertical)'!D:D&lt;&gt;"""");filter('Students (Vertical)'!D:D,'Students (Vertical)'!C:C=E211,'Students (Vertical)'!D:D&lt;&gt;"""")},{filter('Students (Vertical)'!D:D,'Students (Vertical)'!C:C=B211,'Students "&amp;"(Vertical)'!D:D&lt;&gt;"""");filter('Students (Vertical)'!D:D,'Students (Vertical)'!C:C=E211,'Students (Vertical)'!D:D&lt;&gt;"""")})&gt;1))),"""")"),"")</f>
        <v/>
      </c>
      <c r="L211" s="96"/>
      <c r="M211" s="96"/>
    </row>
    <row r="212" hidden="1">
      <c r="A212" s="8" t="s">
        <v>8</v>
      </c>
      <c r="C212" s="8" t="s">
        <v>8</v>
      </c>
      <c r="D212" s="8" t="s">
        <v>8</v>
      </c>
      <c r="F212" s="8" t="s">
        <v>8</v>
      </c>
      <c r="G212" s="8" t="s">
        <v>8</v>
      </c>
      <c r="I212" s="94" t="str">
        <f>IFERROR(__xludf.DUMMYFUNCTION("if(H212=""Must be Together"",iferror(join("", "",unique(filter({filter('Students (Vertical)'!O:O,'Students (Vertical)'!C:C=B212,'Students (Vertical)'!O:O&lt;&gt;"""");filter('Students (Vertical)'!O:O,'Students (Vertical)'!C:C=E212,'Students (Vertical)'!O:O&lt;&gt;"""&amp;""")},countifs({filter('Students (Vertical)'!O:O,'Students (Vertical)'!C:C=B212,'Students (Vertical)'!O:O&lt;&gt;"""");filter('Students (Vertical)'!O:O,'Students (Vertical)'!C:C=E212,'Students (Vertical)'!O:O&lt;&gt;"""")},{filter('Students (Vertical)'!O:O,'Students ("&amp;"Vertical)'!C:C=B212,'Students (Vertical)'!O:O&lt;&gt;"""");filter('Students (Vertical)'!O:O,'Students (Vertical)'!C:C=E212,'Students (Vertical)'!O:O&lt;&gt;"""")})&gt;1))),""No shared courses""),"""")"),"")</f>
        <v/>
      </c>
      <c r="J212" s="94" t="str">
        <f>IFERROR(__xludf.DUMMYFUNCTION("if(H212=""Can't be Together"",iferror(join("", "",unique(filter({unique(filter('Students (Vertical)'!O:O,'Students (Vertical)'!C:C=B212,'Students (Vertical)'!O:O&lt;&gt;"""",'Students (Vertical)'!P:P&gt;1));unique(filter('Students (Vertical)'!O:O,'Students (Vertic"&amp;"al)'!C:C=E212,'Students (Vertical)'!O:O&lt;&gt;"""",'Students (Vertical)'!P:P&gt;1))},countifs({unique(filter('Students (Vertical)'!O:O,'Students (Vertical)'!C:C=B212,'Students (Vertical)'!O:O&lt;&gt;"""",'Students (Vertical)'!P:P&gt;1));unique(filter('Students (Vertical)'"&amp;"!O:O,'Students (Vertical)'!C:C=E212,'Students (Vertical)'!O:O&lt;&gt;"""",'Students (Vertical)'!P:P&gt;1))},{unique(filter('Students (Vertical)'!O:O,'Students (Vertical)'!C:C=B212,'Students (Vertical)'!O:O&lt;&gt;"""",'Students (Vertical)'!P:P&gt;1));unique(filter('Student"&amp;"s (Vertical)'!O:O,'Students (Vertical)'!C:C=E212,'Students (Vertical)'!O:O&lt;&gt;"""",'Students (Vertical)'!P:P&gt;1))})&gt;1))),""""),"""")"),"")</f>
        <v/>
      </c>
      <c r="K212" s="96" t="str">
        <f>IFERROR(__xludf.DUMMYFUNCTION("iferror(join("", "",unique(filter({filter('Students (Vertical)'!D:D,'Students (Vertical)'!C:C=B212,'Students (Vertical)'!D:D&lt;&gt;"""");filter('Students (Vertical)'!D:D,'Students (Vertical)'!C:C=E212,'Students (Vertical)'!D:D&lt;&gt;"""")},countifs({filter('Student"&amp;"s (Vertical)'!D:D,'Students (Vertical)'!C:C=B212,'Students (Vertical)'!D:D&lt;&gt;"""");filter('Students (Vertical)'!D:D,'Students (Vertical)'!C:C=E212,'Students (Vertical)'!D:D&lt;&gt;"""")},{filter('Students (Vertical)'!D:D,'Students (Vertical)'!C:C=B212,'Students "&amp;"(Vertical)'!D:D&lt;&gt;"""");filter('Students (Vertical)'!D:D,'Students (Vertical)'!C:C=E212,'Students (Vertical)'!D:D&lt;&gt;"""")})&gt;1))),"""")"),"")</f>
        <v/>
      </c>
      <c r="L212" s="96"/>
      <c r="M212" s="96"/>
    </row>
    <row r="213" hidden="1">
      <c r="A213" s="8" t="s">
        <v>8</v>
      </c>
      <c r="C213" s="8" t="s">
        <v>8</v>
      </c>
      <c r="D213" s="8" t="s">
        <v>8</v>
      </c>
      <c r="F213" s="8" t="s">
        <v>8</v>
      </c>
      <c r="G213" s="8" t="s">
        <v>8</v>
      </c>
      <c r="I213" s="94" t="str">
        <f>IFERROR(__xludf.DUMMYFUNCTION("if(H213=""Must be Together"",iferror(join("", "",unique(filter({filter('Students (Vertical)'!O:O,'Students (Vertical)'!C:C=B213,'Students (Vertical)'!O:O&lt;&gt;"""");filter('Students (Vertical)'!O:O,'Students (Vertical)'!C:C=E213,'Students (Vertical)'!O:O&lt;&gt;"""&amp;""")},countifs({filter('Students (Vertical)'!O:O,'Students (Vertical)'!C:C=B213,'Students (Vertical)'!O:O&lt;&gt;"""");filter('Students (Vertical)'!O:O,'Students (Vertical)'!C:C=E213,'Students (Vertical)'!O:O&lt;&gt;"""")},{filter('Students (Vertical)'!O:O,'Students ("&amp;"Vertical)'!C:C=B213,'Students (Vertical)'!O:O&lt;&gt;"""");filter('Students (Vertical)'!O:O,'Students (Vertical)'!C:C=E213,'Students (Vertical)'!O:O&lt;&gt;"""")})&gt;1))),""No shared courses""),"""")"),"")</f>
        <v/>
      </c>
      <c r="J213" s="94" t="str">
        <f>IFERROR(__xludf.DUMMYFUNCTION("if(H213=""Can't be Together"",iferror(join("", "",unique(filter({unique(filter('Students (Vertical)'!O:O,'Students (Vertical)'!C:C=B213,'Students (Vertical)'!O:O&lt;&gt;"""",'Students (Vertical)'!P:P&gt;1));unique(filter('Students (Vertical)'!O:O,'Students (Vertic"&amp;"al)'!C:C=E213,'Students (Vertical)'!O:O&lt;&gt;"""",'Students (Vertical)'!P:P&gt;1))},countifs({unique(filter('Students (Vertical)'!O:O,'Students (Vertical)'!C:C=B213,'Students (Vertical)'!O:O&lt;&gt;"""",'Students (Vertical)'!P:P&gt;1));unique(filter('Students (Vertical)'"&amp;"!O:O,'Students (Vertical)'!C:C=E213,'Students (Vertical)'!O:O&lt;&gt;"""",'Students (Vertical)'!P:P&gt;1))},{unique(filter('Students (Vertical)'!O:O,'Students (Vertical)'!C:C=B213,'Students (Vertical)'!O:O&lt;&gt;"""",'Students (Vertical)'!P:P&gt;1));unique(filter('Student"&amp;"s (Vertical)'!O:O,'Students (Vertical)'!C:C=E213,'Students (Vertical)'!O:O&lt;&gt;"""",'Students (Vertical)'!P:P&gt;1))})&gt;1))),""""),"""")"),"")</f>
        <v/>
      </c>
      <c r="K213" s="96" t="str">
        <f>IFERROR(__xludf.DUMMYFUNCTION("iferror(join("", "",unique(filter({filter('Students (Vertical)'!D:D,'Students (Vertical)'!C:C=B213,'Students (Vertical)'!D:D&lt;&gt;"""");filter('Students (Vertical)'!D:D,'Students (Vertical)'!C:C=E213,'Students (Vertical)'!D:D&lt;&gt;"""")},countifs({filter('Student"&amp;"s (Vertical)'!D:D,'Students (Vertical)'!C:C=B213,'Students (Vertical)'!D:D&lt;&gt;"""");filter('Students (Vertical)'!D:D,'Students (Vertical)'!C:C=E213,'Students (Vertical)'!D:D&lt;&gt;"""")},{filter('Students (Vertical)'!D:D,'Students (Vertical)'!C:C=B213,'Students "&amp;"(Vertical)'!D:D&lt;&gt;"""");filter('Students (Vertical)'!D:D,'Students (Vertical)'!C:C=E213,'Students (Vertical)'!D:D&lt;&gt;"""")})&gt;1))),"""")"),"")</f>
        <v/>
      </c>
      <c r="L213" s="96"/>
      <c r="M213" s="96"/>
    </row>
    <row r="214" hidden="1">
      <c r="A214" s="8" t="s">
        <v>8</v>
      </c>
      <c r="C214" s="8" t="s">
        <v>8</v>
      </c>
      <c r="D214" s="8" t="s">
        <v>8</v>
      </c>
      <c r="F214" s="8" t="s">
        <v>8</v>
      </c>
      <c r="G214" s="8" t="s">
        <v>8</v>
      </c>
      <c r="I214" s="94" t="str">
        <f>IFERROR(__xludf.DUMMYFUNCTION("if(H214=""Must be Together"",iferror(join("", "",unique(filter({filter('Students (Vertical)'!O:O,'Students (Vertical)'!C:C=B214,'Students (Vertical)'!O:O&lt;&gt;"""");filter('Students (Vertical)'!O:O,'Students (Vertical)'!C:C=E214,'Students (Vertical)'!O:O&lt;&gt;"""&amp;""")},countifs({filter('Students (Vertical)'!O:O,'Students (Vertical)'!C:C=B214,'Students (Vertical)'!O:O&lt;&gt;"""");filter('Students (Vertical)'!O:O,'Students (Vertical)'!C:C=E214,'Students (Vertical)'!O:O&lt;&gt;"""")},{filter('Students (Vertical)'!O:O,'Students ("&amp;"Vertical)'!C:C=B214,'Students (Vertical)'!O:O&lt;&gt;"""");filter('Students (Vertical)'!O:O,'Students (Vertical)'!C:C=E214,'Students (Vertical)'!O:O&lt;&gt;"""")})&gt;1))),""No shared courses""),"""")"),"")</f>
        <v/>
      </c>
      <c r="J214" s="94" t="str">
        <f>IFERROR(__xludf.DUMMYFUNCTION("if(H214=""Can't be Together"",iferror(join("", "",unique(filter({unique(filter('Students (Vertical)'!O:O,'Students (Vertical)'!C:C=B214,'Students (Vertical)'!O:O&lt;&gt;"""",'Students (Vertical)'!P:P&gt;1));unique(filter('Students (Vertical)'!O:O,'Students (Vertic"&amp;"al)'!C:C=E214,'Students (Vertical)'!O:O&lt;&gt;"""",'Students (Vertical)'!P:P&gt;1))},countifs({unique(filter('Students (Vertical)'!O:O,'Students (Vertical)'!C:C=B214,'Students (Vertical)'!O:O&lt;&gt;"""",'Students (Vertical)'!P:P&gt;1));unique(filter('Students (Vertical)'"&amp;"!O:O,'Students (Vertical)'!C:C=E214,'Students (Vertical)'!O:O&lt;&gt;"""",'Students (Vertical)'!P:P&gt;1))},{unique(filter('Students (Vertical)'!O:O,'Students (Vertical)'!C:C=B214,'Students (Vertical)'!O:O&lt;&gt;"""",'Students (Vertical)'!P:P&gt;1));unique(filter('Student"&amp;"s (Vertical)'!O:O,'Students (Vertical)'!C:C=E214,'Students (Vertical)'!O:O&lt;&gt;"""",'Students (Vertical)'!P:P&gt;1))})&gt;1))),""""),"""")"),"")</f>
        <v/>
      </c>
      <c r="K214" s="96" t="str">
        <f>IFERROR(__xludf.DUMMYFUNCTION("iferror(join("", "",unique(filter({filter('Students (Vertical)'!D:D,'Students (Vertical)'!C:C=B214,'Students (Vertical)'!D:D&lt;&gt;"""");filter('Students (Vertical)'!D:D,'Students (Vertical)'!C:C=E214,'Students (Vertical)'!D:D&lt;&gt;"""")},countifs({filter('Student"&amp;"s (Vertical)'!D:D,'Students (Vertical)'!C:C=B214,'Students (Vertical)'!D:D&lt;&gt;"""");filter('Students (Vertical)'!D:D,'Students (Vertical)'!C:C=E214,'Students (Vertical)'!D:D&lt;&gt;"""")},{filter('Students (Vertical)'!D:D,'Students (Vertical)'!C:C=B214,'Students "&amp;"(Vertical)'!D:D&lt;&gt;"""");filter('Students (Vertical)'!D:D,'Students (Vertical)'!C:C=E214,'Students (Vertical)'!D:D&lt;&gt;"""")})&gt;1))),"""")"),"")</f>
        <v/>
      </c>
      <c r="L214" s="96"/>
      <c r="M214" s="96"/>
    </row>
    <row r="215" hidden="1">
      <c r="A215" s="8" t="s">
        <v>8</v>
      </c>
      <c r="C215" s="8" t="s">
        <v>8</v>
      </c>
      <c r="D215" s="8" t="s">
        <v>8</v>
      </c>
      <c r="F215" s="8" t="s">
        <v>8</v>
      </c>
      <c r="G215" s="8" t="s">
        <v>8</v>
      </c>
      <c r="I215" s="94" t="str">
        <f>IFERROR(__xludf.DUMMYFUNCTION("if(H215=""Must be Together"",iferror(join("", "",unique(filter({filter('Students (Vertical)'!O:O,'Students (Vertical)'!C:C=B215,'Students (Vertical)'!O:O&lt;&gt;"""");filter('Students (Vertical)'!O:O,'Students (Vertical)'!C:C=E215,'Students (Vertical)'!O:O&lt;&gt;"""&amp;""")},countifs({filter('Students (Vertical)'!O:O,'Students (Vertical)'!C:C=B215,'Students (Vertical)'!O:O&lt;&gt;"""");filter('Students (Vertical)'!O:O,'Students (Vertical)'!C:C=E215,'Students (Vertical)'!O:O&lt;&gt;"""")},{filter('Students (Vertical)'!O:O,'Students ("&amp;"Vertical)'!C:C=B215,'Students (Vertical)'!O:O&lt;&gt;"""");filter('Students (Vertical)'!O:O,'Students (Vertical)'!C:C=E215,'Students (Vertical)'!O:O&lt;&gt;"""")})&gt;1))),""No shared courses""),"""")"),"")</f>
        <v/>
      </c>
      <c r="J215" s="94" t="str">
        <f>IFERROR(__xludf.DUMMYFUNCTION("if(H215=""Can't be Together"",iferror(join("", "",unique(filter({unique(filter('Students (Vertical)'!O:O,'Students (Vertical)'!C:C=B215,'Students (Vertical)'!O:O&lt;&gt;"""",'Students (Vertical)'!P:P&gt;1));unique(filter('Students (Vertical)'!O:O,'Students (Vertic"&amp;"al)'!C:C=E215,'Students (Vertical)'!O:O&lt;&gt;"""",'Students (Vertical)'!P:P&gt;1))},countifs({unique(filter('Students (Vertical)'!O:O,'Students (Vertical)'!C:C=B215,'Students (Vertical)'!O:O&lt;&gt;"""",'Students (Vertical)'!P:P&gt;1));unique(filter('Students (Vertical)'"&amp;"!O:O,'Students (Vertical)'!C:C=E215,'Students (Vertical)'!O:O&lt;&gt;"""",'Students (Vertical)'!P:P&gt;1))},{unique(filter('Students (Vertical)'!O:O,'Students (Vertical)'!C:C=B215,'Students (Vertical)'!O:O&lt;&gt;"""",'Students (Vertical)'!P:P&gt;1));unique(filter('Student"&amp;"s (Vertical)'!O:O,'Students (Vertical)'!C:C=E215,'Students (Vertical)'!O:O&lt;&gt;"""",'Students (Vertical)'!P:P&gt;1))})&gt;1))),""""),"""")"),"")</f>
        <v/>
      </c>
      <c r="K215" s="96" t="str">
        <f>IFERROR(__xludf.DUMMYFUNCTION("iferror(join("", "",unique(filter({filter('Students (Vertical)'!D:D,'Students (Vertical)'!C:C=B215,'Students (Vertical)'!D:D&lt;&gt;"""");filter('Students (Vertical)'!D:D,'Students (Vertical)'!C:C=E215,'Students (Vertical)'!D:D&lt;&gt;"""")},countifs({filter('Student"&amp;"s (Vertical)'!D:D,'Students (Vertical)'!C:C=B215,'Students (Vertical)'!D:D&lt;&gt;"""");filter('Students (Vertical)'!D:D,'Students (Vertical)'!C:C=E215,'Students (Vertical)'!D:D&lt;&gt;"""")},{filter('Students (Vertical)'!D:D,'Students (Vertical)'!C:C=B215,'Students "&amp;"(Vertical)'!D:D&lt;&gt;"""");filter('Students (Vertical)'!D:D,'Students (Vertical)'!C:C=E215,'Students (Vertical)'!D:D&lt;&gt;"""")})&gt;1))),"""")"),"")</f>
        <v/>
      </c>
      <c r="L215" s="96"/>
      <c r="M215" s="96"/>
    </row>
    <row r="216" hidden="1">
      <c r="A216" s="8" t="s">
        <v>8</v>
      </c>
      <c r="C216" s="8" t="s">
        <v>8</v>
      </c>
      <c r="D216" s="8" t="s">
        <v>8</v>
      </c>
      <c r="F216" s="8" t="s">
        <v>8</v>
      </c>
      <c r="G216" s="8" t="s">
        <v>8</v>
      </c>
      <c r="I216" s="94" t="str">
        <f>IFERROR(__xludf.DUMMYFUNCTION("if(H216=""Must be Together"",iferror(join("", "",unique(filter({filter('Students (Vertical)'!O:O,'Students (Vertical)'!C:C=B216,'Students (Vertical)'!O:O&lt;&gt;"""");filter('Students (Vertical)'!O:O,'Students (Vertical)'!C:C=E216,'Students (Vertical)'!O:O&lt;&gt;"""&amp;""")},countifs({filter('Students (Vertical)'!O:O,'Students (Vertical)'!C:C=B216,'Students (Vertical)'!O:O&lt;&gt;"""");filter('Students (Vertical)'!O:O,'Students (Vertical)'!C:C=E216,'Students (Vertical)'!O:O&lt;&gt;"""")},{filter('Students (Vertical)'!O:O,'Students ("&amp;"Vertical)'!C:C=B216,'Students (Vertical)'!O:O&lt;&gt;"""");filter('Students (Vertical)'!O:O,'Students (Vertical)'!C:C=E216,'Students (Vertical)'!O:O&lt;&gt;"""")})&gt;1))),""No shared courses""),"""")"),"")</f>
        <v/>
      </c>
      <c r="J216" s="94" t="str">
        <f>IFERROR(__xludf.DUMMYFUNCTION("if(H216=""Can't be Together"",iferror(join("", "",unique(filter({unique(filter('Students (Vertical)'!O:O,'Students (Vertical)'!C:C=B216,'Students (Vertical)'!O:O&lt;&gt;"""",'Students (Vertical)'!P:P&gt;1));unique(filter('Students (Vertical)'!O:O,'Students (Vertic"&amp;"al)'!C:C=E216,'Students (Vertical)'!O:O&lt;&gt;"""",'Students (Vertical)'!P:P&gt;1))},countifs({unique(filter('Students (Vertical)'!O:O,'Students (Vertical)'!C:C=B216,'Students (Vertical)'!O:O&lt;&gt;"""",'Students (Vertical)'!P:P&gt;1));unique(filter('Students (Vertical)'"&amp;"!O:O,'Students (Vertical)'!C:C=E216,'Students (Vertical)'!O:O&lt;&gt;"""",'Students (Vertical)'!P:P&gt;1))},{unique(filter('Students (Vertical)'!O:O,'Students (Vertical)'!C:C=B216,'Students (Vertical)'!O:O&lt;&gt;"""",'Students (Vertical)'!P:P&gt;1));unique(filter('Student"&amp;"s (Vertical)'!O:O,'Students (Vertical)'!C:C=E216,'Students (Vertical)'!O:O&lt;&gt;"""",'Students (Vertical)'!P:P&gt;1))})&gt;1))),""""),"""")"),"")</f>
        <v/>
      </c>
      <c r="K216" s="96" t="str">
        <f>IFERROR(__xludf.DUMMYFUNCTION("iferror(join("", "",unique(filter({filter('Students (Vertical)'!D:D,'Students (Vertical)'!C:C=B216,'Students (Vertical)'!D:D&lt;&gt;"""");filter('Students (Vertical)'!D:D,'Students (Vertical)'!C:C=E216,'Students (Vertical)'!D:D&lt;&gt;"""")},countifs({filter('Student"&amp;"s (Vertical)'!D:D,'Students (Vertical)'!C:C=B216,'Students (Vertical)'!D:D&lt;&gt;"""");filter('Students (Vertical)'!D:D,'Students (Vertical)'!C:C=E216,'Students (Vertical)'!D:D&lt;&gt;"""")},{filter('Students (Vertical)'!D:D,'Students (Vertical)'!C:C=B216,'Students "&amp;"(Vertical)'!D:D&lt;&gt;"""");filter('Students (Vertical)'!D:D,'Students (Vertical)'!C:C=E216,'Students (Vertical)'!D:D&lt;&gt;"""")})&gt;1))),"""")"),"")</f>
        <v/>
      </c>
      <c r="L216" s="96"/>
      <c r="M216" s="96"/>
    </row>
    <row r="217" hidden="1">
      <c r="A217" s="8" t="s">
        <v>8</v>
      </c>
      <c r="C217" s="8" t="s">
        <v>8</v>
      </c>
      <c r="D217" s="8" t="s">
        <v>8</v>
      </c>
      <c r="F217" s="8" t="s">
        <v>8</v>
      </c>
      <c r="G217" s="8" t="s">
        <v>8</v>
      </c>
      <c r="I217" s="94" t="str">
        <f>IFERROR(__xludf.DUMMYFUNCTION("if(H217=""Must be Together"",iferror(join("", "",unique(filter({filter('Students (Vertical)'!O:O,'Students (Vertical)'!C:C=B217,'Students (Vertical)'!O:O&lt;&gt;"""");filter('Students (Vertical)'!O:O,'Students (Vertical)'!C:C=E217,'Students (Vertical)'!O:O&lt;&gt;"""&amp;""")},countifs({filter('Students (Vertical)'!O:O,'Students (Vertical)'!C:C=B217,'Students (Vertical)'!O:O&lt;&gt;"""");filter('Students (Vertical)'!O:O,'Students (Vertical)'!C:C=E217,'Students (Vertical)'!O:O&lt;&gt;"""")},{filter('Students (Vertical)'!O:O,'Students ("&amp;"Vertical)'!C:C=B217,'Students (Vertical)'!O:O&lt;&gt;"""");filter('Students (Vertical)'!O:O,'Students (Vertical)'!C:C=E217,'Students (Vertical)'!O:O&lt;&gt;"""")})&gt;1))),""No shared courses""),"""")"),"")</f>
        <v/>
      </c>
      <c r="J217" s="94" t="str">
        <f>IFERROR(__xludf.DUMMYFUNCTION("if(H217=""Can't be Together"",iferror(join("", "",unique(filter({unique(filter('Students (Vertical)'!O:O,'Students (Vertical)'!C:C=B217,'Students (Vertical)'!O:O&lt;&gt;"""",'Students (Vertical)'!P:P&gt;1));unique(filter('Students (Vertical)'!O:O,'Students (Vertic"&amp;"al)'!C:C=E217,'Students (Vertical)'!O:O&lt;&gt;"""",'Students (Vertical)'!P:P&gt;1))},countifs({unique(filter('Students (Vertical)'!O:O,'Students (Vertical)'!C:C=B217,'Students (Vertical)'!O:O&lt;&gt;"""",'Students (Vertical)'!P:P&gt;1));unique(filter('Students (Vertical)'"&amp;"!O:O,'Students (Vertical)'!C:C=E217,'Students (Vertical)'!O:O&lt;&gt;"""",'Students (Vertical)'!P:P&gt;1))},{unique(filter('Students (Vertical)'!O:O,'Students (Vertical)'!C:C=B217,'Students (Vertical)'!O:O&lt;&gt;"""",'Students (Vertical)'!P:P&gt;1));unique(filter('Student"&amp;"s (Vertical)'!O:O,'Students (Vertical)'!C:C=E217,'Students (Vertical)'!O:O&lt;&gt;"""",'Students (Vertical)'!P:P&gt;1))})&gt;1))),""""),"""")"),"")</f>
        <v/>
      </c>
      <c r="K217" s="96" t="str">
        <f>IFERROR(__xludf.DUMMYFUNCTION("iferror(join("", "",unique(filter({filter('Students (Vertical)'!D:D,'Students (Vertical)'!C:C=B217,'Students (Vertical)'!D:D&lt;&gt;"""");filter('Students (Vertical)'!D:D,'Students (Vertical)'!C:C=E217,'Students (Vertical)'!D:D&lt;&gt;"""")},countifs({filter('Student"&amp;"s (Vertical)'!D:D,'Students (Vertical)'!C:C=B217,'Students (Vertical)'!D:D&lt;&gt;"""");filter('Students (Vertical)'!D:D,'Students (Vertical)'!C:C=E217,'Students (Vertical)'!D:D&lt;&gt;"""")},{filter('Students (Vertical)'!D:D,'Students (Vertical)'!C:C=B217,'Students "&amp;"(Vertical)'!D:D&lt;&gt;"""");filter('Students (Vertical)'!D:D,'Students (Vertical)'!C:C=E217,'Students (Vertical)'!D:D&lt;&gt;"""")})&gt;1))),"""")"),"")</f>
        <v/>
      </c>
      <c r="L217" s="96"/>
      <c r="M217" s="96"/>
    </row>
    <row r="218" hidden="1">
      <c r="A218" s="8" t="s">
        <v>8</v>
      </c>
      <c r="C218" s="8" t="s">
        <v>8</v>
      </c>
      <c r="D218" s="8" t="s">
        <v>8</v>
      </c>
      <c r="F218" s="8" t="s">
        <v>8</v>
      </c>
      <c r="G218" s="8" t="s">
        <v>8</v>
      </c>
      <c r="I218" s="94" t="str">
        <f>IFERROR(__xludf.DUMMYFUNCTION("if(H218=""Must be Together"",iferror(join("", "",unique(filter({filter('Students (Vertical)'!O:O,'Students (Vertical)'!C:C=B218,'Students (Vertical)'!O:O&lt;&gt;"""");filter('Students (Vertical)'!O:O,'Students (Vertical)'!C:C=E218,'Students (Vertical)'!O:O&lt;&gt;"""&amp;""")},countifs({filter('Students (Vertical)'!O:O,'Students (Vertical)'!C:C=B218,'Students (Vertical)'!O:O&lt;&gt;"""");filter('Students (Vertical)'!O:O,'Students (Vertical)'!C:C=E218,'Students (Vertical)'!O:O&lt;&gt;"""")},{filter('Students (Vertical)'!O:O,'Students ("&amp;"Vertical)'!C:C=B218,'Students (Vertical)'!O:O&lt;&gt;"""");filter('Students (Vertical)'!O:O,'Students (Vertical)'!C:C=E218,'Students (Vertical)'!O:O&lt;&gt;"""")})&gt;1))),""No shared courses""),"""")"),"")</f>
        <v/>
      </c>
      <c r="J218" s="94" t="str">
        <f>IFERROR(__xludf.DUMMYFUNCTION("if(H218=""Can't be Together"",iferror(join("", "",unique(filter({unique(filter('Students (Vertical)'!O:O,'Students (Vertical)'!C:C=B218,'Students (Vertical)'!O:O&lt;&gt;"""",'Students (Vertical)'!P:P&gt;1));unique(filter('Students (Vertical)'!O:O,'Students (Vertic"&amp;"al)'!C:C=E218,'Students (Vertical)'!O:O&lt;&gt;"""",'Students (Vertical)'!P:P&gt;1))},countifs({unique(filter('Students (Vertical)'!O:O,'Students (Vertical)'!C:C=B218,'Students (Vertical)'!O:O&lt;&gt;"""",'Students (Vertical)'!P:P&gt;1));unique(filter('Students (Vertical)'"&amp;"!O:O,'Students (Vertical)'!C:C=E218,'Students (Vertical)'!O:O&lt;&gt;"""",'Students (Vertical)'!P:P&gt;1))},{unique(filter('Students (Vertical)'!O:O,'Students (Vertical)'!C:C=B218,'Students (Vertical)'!O:O&lt;&gt;"""",'Students (Vertical)'!P:P&gt;1));unique(filter('Student"&amp;"s (Vertical)'!O:O,'Students (Vertical)'!C:C=E218,'Students (Vertical)'!O:O&lt;&gt;"""",'Students (Vertical)'!P:P&gt;1))})&gt;1))),""""),"""")"),"")</f>
        <v/>
      </c>
      <c r="K218" s="96" t="str">
        <f>IFERROR(__xludf.DUMMYFUNCTION("iferror(join("", "",unique(filter({filter('Students (Vertical)'!D:D,'Students (Vertical)'!C:C=B218,'Students (Vertical)'!D:D&lt;&gt;"""");filter('Students (Vertical)'!D:D,'Students (Vertical)'!C:C=E218,'Students (Vertical)'!D:D&lt;&gt;"""")},countifs({filter('Student"&amp;"s (Vertical)'!D:D,'Students (Vertical)'!C:C=B218,'Students (Vertical)'!D:D&lt;&gt;"""");filter('Students (Vertical)'!D:D,'Students (Vertical)'!C:C=E218,'Students (Vertical)'!D:D&lt;&gt;"""")},{filter('Students (Vertical)'!D:D,'Students (Vertical)'!C:C=B218,'Students "&amp;"(Vertical)'!D:D&lt;&gt;"""");filter('Students (Vertical)'!D:D,'Students (Vertical)'!C:C=E218,'Students (Vertical)'!D:D&lt;&gt;"""")})&gt;1))),"""")"),"")</f>
        <v/>
      </c>
      <c r="L218" s="96"/>
      <c r="M218" s="96"/>
    </row>
    <row r="219" hidden="1">
      <c r="A219" s="8" t="s">
        <v>8</v>
      </c>
      <c r="C219" s="8" t="s">
        <v>8</v>
      </c>
      <c r="D219" s="8" t="s">
        <v>8</v>
      </c>
      <c r="F219" s="8" t="s">
        <v>8</v>
      </c>
      <c r="G219" s="8" t="s">
        <v>8</v>
      </c>
      <c r="I219" s="94" t="str">
        <f>IFERROR(__xludf.DUMMYFUNCTION("if(H219=""Must be Together"",iferror(join("", "",unique(filter({filter('Students (Vertical)'!O:O,'Students (Vertical)'!C:C=B219,'Students (Vertical)'!O:O&lt;&gt;"""");filter('Students (Vertical)'!O:O,'Students (Vertical)'!C:C=E219,'Students (Vertical)'!O:O&lt;&gt;"""&amp;""")},countifs({filter('Students (Vertical)'!O:O,'Students (Vertical)'!C:C=B219,'Students (Vertical)'!O:O&lt;&gt;"""");filter('Students (Vertical)'!O:O,'Students (Vertical)'!C:C=E219,'Students (Vertical)'!O:O&lt;&gt;"""")},{filter('Students (Vertical)'!O:O,'Students ("&amp;"Vertical)'!C:C=B219,'Students (Vertical)'!O:O&lt;&gt;"""");filter('Students (Vertical)'!O:O,'Students (Vertical)'!C:C=E219,'Students (Vertical)'!O:O&lt;&gt;"""")})&gt;1))),""No shared courses""),"""")"),"")</f>
        <v/>
      </c>
      <c r="J219" s="94" t="str">
        <f>IFERROR(__xludf.DUMMYFUNCTION("if(H219=""Can't be Together"",iferror(join("", "",unique(filter({unique(filter('Students (Vertical)'!O:O,'Students (Vertical)'!C:C=B219,'Students (Vertical)'!O:O&lt;&gt;"""",'Students (Vertical)'!P:P&gt;1));unique(filter('Students (Vertical)'!O:O,'Students (Vertic"&amp;"al)'!C:C=E219,'Students (Vertical)'!O:O&lt;&gt;"""",'Students (Vertical)'!P:P&gt;1))},countifs({unique(filter('Students (Vertical)'!O:O,'Students (Vertical)'!C:C=B219,'Students (Vertical)'!O:O&lt;&gt;"""",'Students (Vertical)'!P:P&gt;1));unique(filter('Students (Vertical)'"&amp;"!O:O,'Students (Vertical)'!C:C=E219,'Students (Vertical)'!O:O&lt;&gt;"""",'Students (Vertical)'!P:P&gt;1))},{unique(filter('Students (Vertical)'!O:O,'Students (Vertical)'!C:C=B219,'Students (Vertical)'!O:O&lt;&gt;"""",'Students (Vertical)'!P:P&gt;1));unique(filter('Student"&amp;"s (Vertical)'!O:O,'Students (Vertical)'!C:C=E219,'Students (Vertical)'!O:O&lt;&gt;"""",'Students (Vertical)'!P:P&gt;1))})&gt;1))),""""),"""")"),"")</f>
        <v/>
      </c>
      <c r="K219" s="96" t="str">
        <f>IFERROR(__xludf.DUMMYFUNCTION("iferror(join("", "",unique(filter({filter('Students (Vertical)'!D:D,'Students (Vertical)'!C:C=B219,'Students (Vertical)'!D:D&lt;&gt;"""");filter('Students (Vertical)'!D:D,'Students (Vertical)'!C:C=E219,'Students (Vertical)'!D:D&lt;&gt;"""")},countifs({filter('Student"&amp;"s (Vertical)'!D:D,'Students (Vertical)'!C:C=B219,'Students (Vertical)'!D:D&lt;&gt;"""");filter('Students (Vertical)'!D:D,'Students (Vertical)'!C:C=E219,'Students (Vertical)'!D:D&lt;&gt;"""")},{filter('Students (Vertical)'!D:D,'Students (Vertical)'!C:C=B219,'Students "&amp;"(Vertical)'!D:D&lt;&gt;"""");filter('Students (Vertical)'!D:D,'Students (Vertical)'!C:C=E219,'Students (Vertical)'!D:D&lt;&gt;"""")})&gt;1))),"""")"),"")</f>
        <v/>
      </c>
      <c r="L219" s="96"/>
      <c r="M219" s="96"/>
    </row>
    <row r="220" hidden="1">
      <c r="A220" s="8" t="s">
        <v>8</v>
      </c>
      <c r="C220" s="8" t="s">
        <v>8</v>
      </c>
      <c r="D220" s="8" t="s">
        <v>8</v>
      </c>
      <c r="F220" s="8" t="s">
        <v>8</v>
      </c>
      <c r="G220" s="8" t="s">
        <v>8</v>
      </c>
      <c r="I220" s="94" t="str">
        <f>IFERROR(__xludf.DUMMYFUNCTION("if(H220=""Must be Together"",iferror(join("", "",unique(filter({filter('Students (Vertical)'!O:O,'Students (Vertical)'!C:C=B220,'Students (Vertical)'!O:O&lt;&gt;"""");filter('Students (Vertical)'!O:O,'Students (Vertical)'!C:C=E220,'Students (Vertical)'!O:O&lt;&gt;"""&amp;""")},countifs({filter('Students (Vertical)'!O:O,'Students (Vertical)'!C:C=B220,'Students (Vertical)'!O:O&lt;&gt;"""");filter('Students (Vertical)'!O:O,'Students (Vertical)'!C:C=E220,'Students (Vertical)'!O:O&lt;&gt;"""")},{filter('Students (Vertical)'!O:O,'Students ("&amp;"Vertical)'!C:C=B220,'Students (Vertical)'!O:O&lt;&gt;"""");filter('Students (Vertical)'!O:O,'Students (Vertical)'!C:C=E220,'Students (Vertical)'!O:O&lt;&gt;"""")})&gt;1))),""No shared courses""),"""")"),"")</f>
        <v/>
      </c>
      <c r="J220" s="94" t="str">
        <f>IFERROR(__xludf.DUMMYFUNCTION("if(H220=""Can't be Together"",iferror(join("", "",unique(filter({unique(filter('Students (Vertical)'!O:O,'Students (Vertical)'!C:C=B220,'Students (Vertical)'!O:O&lt;&gt;"""",'Students (Vertical)'!P:P&gt;1));unique(filter('Students (Vertical)'!O:O,'Students (Vertic"&amp;"al)'!C:C=E220,'Students (Vertical)'!O:O&lt;&gt;"""",'Students (Vertical)'!P:P&gt;1))},countifs({unique(filter('Students (Vertical)'!O:O,'Students (Vertical)'!C:C=B220,'Students (Vertical)'!O:O&lt;&gt;"""",'Students (Vertical)'!P:P&gt;1));unique(filter('Students (Vertical)'"&amp;"!O:O,'Students (Vertical)'!C:C=E220,'Students (Vertical)'!O:O&lt;&gt;"""",'Students (Vertical)'!P:P&gt;1))},{unique(filter('Students (Vertical)'!O:O,'Students (Vertical)'!C:C=B220,'Students (Vertical)'!O:O&lt;&gt;"""",'Students (Vertical)'!P:P&gt;1));unique(filter('Student"&amp;"s (Vertical)'!O:O,'Students (Vertical)'!C:C=E220,'Students (Vertical)'!O:O&lt;&gt;"""",'Students (Vertical)'!P:P&gt;1))})&gt;1))),""""),"""")"),"")</f>
        <v/>
      </c>
      <c r="K220" s="96" t="str">
        <f>IFERROR(__xludf.DUMMYFUNCTION("iferror(join("", "",unique(filter({filter('Students (Vertical)'!D:D,'Students (Vertical)'!C:C=B220,'Students (Vertical)'!D:D&lt;&gt;"""");filter('Students (Vertical)'!D:D,'Students (Vertical)'!C:C=E220,'Students (Vertical)'!D:D&lt;&gt;"""")},countifs({filter('Student"&amp;"s (Vertical)'!D:D,'Students (Vertical)'!C:C=B220,'Students (Vertical)'!D:D&lt;&gt;"""");filter('Students (Vertical)'!D:D,'Students (Vertical)'!C:C=E220,'Students (Vertical)'!D:D&lt;&gt;"""")},{filter('Students (Vertical)'!D:D,'Students (Vertical)'!C:C=B220,'Students "&amp;"(Vertical)'!D:D&lt;&gt;"""");filter('Students (Vertical)'!D:D,'Students (Vertical)'!C:C=E220,'Students (Vertical)'!D:D&lt;&gt;"""")})&gt;1))),"""")"),"")</f>
        <v/>
      </c>
      <c r="L220" s="96"/>
      <c r="M220" s="96"/>
    </row>
    <row r="221" hidden="1">
      <c r="A221" s="8" t="s">
        <v>8</v>
      </c>
      <c r="C221" s="8" t="s">
        <v>8</v>
      </c>
      <c r="D221" s="8" t="s">
        <v>8</v>
      </c>
      <c r="F221" s="8" t="s">
        <v>8</v>
      </c>
      <c r="G221" s="8" t="s">
        <v>8</v>
      </c>
      <c r="I221" s="94" t="str">
        <f>IFERROR(__xludf.DUMMYFUNCTION("if(H221=""Must be Together"",iferror(join("", "",unique(filter({filter('Students (Vertical)'!O:O,'Students (Vertical)'!C:C=B221,'Students (Vertical)'!O:O&lt;&gt;"""");filter('Students (Vertical)'!O:O,'Students (Vertical)'!C:C=E221,'Students (Vertical)'!O:O&lt;&gt;"""&amp;""")},countifs({filter('Students (Vertical)'!O:O,'Students (Vertical)'!C:C=B221,'Students (Vertical)'!O:O&lt;&gt;"""");filter('Students (Vertical)'!O:O,'Students (Vertical)'!C:C=E221,'Students (Vertical)'!O:O&lt;&gt;"""")},{filter('Students (Vertical)'!O:O,'Students ("&amp;"Vertical)'!C:C=B221,'Students (Vertical)'!O:O&lt;&gt;"""");filter('Students (Vertical)'!O:O,'Students (Vertical)'!C:C=E221,'Students (Vertical)'!O:O&lt;&gt;"""")})&gt;1))),""No shared courses""),"""")"),"")</f>
        <v/>
      </c>
      <c r="J221" s="94" t="str">
        <f>IFERROR(__xludf.DUMMYFUNCTION("if(H221=""Can't be Together"",iferror(join("", "",unique(filter({unique(filter('Students (Vertical)'!O:O,'Students (Vertical)'!C:C=B221,'Students (Vertical)'!O:O&lt;&gt;"""",'Students (Vertical)'!P:P&gt;1));unique(filter('Students (Vertical)'!O:O,'Students (Vertic"&amp;"al)'!C:C=E221,'Students (Vertical)'!O:O&lt;&gt;"""",'Students (Vertical)'!P:P&gt;1))},countifs({unique(filter('Students (Vertical)'!O:O,'Students (Vertical)'!C:C=B221,'Students (Vertical)'!O:O&lt;&gt;"""",'Students (Vertical)'!P:P&gt;1));unique(filter('Students (Vertical)'"&amp;"!O:O,'Students (Vertical)'!C:C=E221,'Students (Vertical)'!O:O&lt;&gt;"""",'Students (Vertical)'!P:P&gt;1))},{unique(filter('Students (Vertical)'!O:O,'Students (Vertical)'!C:C=B221,'Students (Vertical)'!O:O&lt;&gt;"""",'Students (Vertical)'!P:P&gt;1));unique(filter('Student"&amp;"s (Vertical)'!O:O,'Students (Vertical)'!C:C=E221,'Students (Vertical)'!O:O&lt;&gt;"""",'Students (Vertical)'!P:P&gt;1))})&gt;1))),""""),"""")"),"")</f>
        <v/>
      </c>
      <c r="K221" s="96" t="str">
        <f>IFERROR(__xludf.DUMMYFUNCTION("iferror(join("", "",unique(filter({filter('Students (Vertical)'!D:D,'Students (Vertical)'!C:C=B221,'Students (Vertical)'!D:D&lt;&gt;"""");filter('Students (Vertical)'!D:D,'Students (Vertical)'!C:C=E221,'Students (Vertical)'!D:D&lt;&gt;"""")},countifs({filter('Student"&amp;"s (Vertical)'!D:D,'Students (Vertical)'!C:C=B221,'Students (Vertical)'!D:D&lt;&gt;"""");filter('Students (Vertical)'!D:D,'Students (Vertical)'!C:C=E221,'Students (Vertical)'!D:D&lt;&gt;"""")},{filter('Students (Vertical)'!D:D,'Students (Vertical)'!C:C=B221,'Students "&amp;"(Vertical)'!D:D&lt;&gt;"""");filter('Students (Vertical)'!D:D,'Students (Vertical)'!C:C=E221,'Students (Vertical)'!D:D&lt;&gt;"""")})&gt;1))),"""")"),"")</f>
        <v/>
      </c>
      <c r="L221" s="96"/>
      <c r="M221" s="96"/>
    </row>
    <row r="222" hidden="1">
      <c r="A222" s="8" t="s">
        <v>8</v>
      </c>
      <c r="C222" s="8" t="s">
        <v>8</v>
      </c>
      <c r="D222" s="8" t="s">
        <v>8</v>
      </c>
      <c r="F222" s="8" t="s">
        <v>8</v>
      </c>
      <c r="G222" s="8" t="s">
        <v>8</v>
      </c>
      <c r="I222" s="94" t="str">
        <f>IFERROR(__xludf.DUMMYFUNCTION("if(H222=""Must be Together"",iferror(join("", "",unique(filter({filter('Students (Vertical)'!O:O,'Students (Vertical)'!C:C=B222,'Students (Vertical)'!O:O&lt;&gt;"""");filter('Students (Vertical)'!O:O,'Students (Vertical)'!C:C=E222,'Students (Vertical)'!O:O&lt;&gt;"""&amp;""")},countifs({filter('Students (Vertical)'!O:O,'Students (Vertical)'!C:C=B222,'Students (Vertical)'!O:O&lt;&gt;"""");filter('Students (Vertical)'!O:O,'Students (Vertical)'!C:C=E222,'Students (Vertical)'!O:O&lt;&gt;"""")},{filter('Students (Vertical)'!O:O,'Students ("&amp;"Vertical)'!C:C=B222,'Students (Vertical)'!O:O&lt;&gt;"""");filter('Students (Vertical)'!O:O,'Students (Vertical)'!C:C=E222,'Students (Vertical)'!O:O&lt;&gt;"""")})&gt;1))),""No shared courses""),"""")"),"")</f>
        <v/>
      </c>
      <c r="J222" s="94" t="str">
        <f>IFERROR(__xludf.DUMMYFUNCTION("if(H222=""Can't be Together"",iferror(join("", "",unique(filter({unique(filter('Students (Vertical)'!O:O,'Students (Vertical)'!C:C=B222,'Students (Vertical)'!O:O&lt;&gt;"""",'Students (Vertical)'!P:P&gt;1));unique(filter('Students (Vertical)'!O:O,'Students (Vertic"&amp;"al)'!C:C=E222,'Students (Vertical)'!O:O&lt;&gt;"""",'Students (Vertical)'!P:P&gt;1))},countifs({unique(filter('Students (Vertical)'!O:O,'Students (Vertical)'!C:C=B222,'Students (Vertical)'!O:O&lt;&gt;"""",'Students (Vertical)'!P:P&gt;1));unique(filter('Students (Vertical)'"&amp;"!O:O,'Students (Vertical)'!C:C=E222,'Students (Vertical)'!O:O&lt;&gt;"""",'Students (Vertical)'!P:P&gt;1))},{unique(filter('Students (Vertical)'!O:O,'Students (Vertical)'!C:C=B222,'Students (Vertical)'!O:O&lt;&gt;"""",'Students (Vertical)'!P:P&gt;1));unique(filter('Student"&amp;"s (Vertical)'!O:O,'Students (Vertical)'!C:C=E222,'Students (Vertical)'!O:O&lt;&gt;"""",'Students (Vertical)'!P:P&gt;1))})&gt;1))),""""),"""")"),"")</f>
        <v/>
      </c>
      <c r="K222" s="96" t="str">
        <f>IFERROR(__xludf.DUMMYFUNCTION("iferror(join("", "",unique(filter({filter('Students (Vertical)'!D:D,'Students (Vertical)'!C:C=B222,'Students (Vertical)'!D:D&lt;&gt;"""");filter('Students (Vertical)'!D:D,'Students (Vertical)'!C:C=E222,'Students (Vertical)'!D:D&lt;&gt;"""")},countifs({filter('Student"&amp;"s (Vertical)'!D:D,'Students (Vertical)'!C:C=B222,'Students (Vertical)'!D:D&lt;&gt;"""");filter('Students (Vertical)'!D:D,'Students (Vertical)'!C:C=E222,'Students (Vertical)'!D:D&lt;&gt;"""")},{filter('Students (Vertical)'!D:D,'Students (Vertical)'!C:C=B222,'Students "&amp;"(Vertical)'!D:D&lt;&gt;"""");filter('Students (Vertical)'!D:D,'Students (Vertical)'!C:C=E222,'Students (Vertical)'!D:D&lt;&gt;"""")})&gt;1))),"""")"),"")</f>
        <v/>
      </c>
      <c r="L222" s="96"/>
      <c r="M222" s="96"/>
    </row>
    <row r="223" hidden="1">
      <c r="A223" s="8" t="s">
        <v>8</v>
      </c>
      <c r="C223" s="8" t="s">
        <v>8</v>
      </c>
      <c r="D223" s="8" t="s">
        <v>8</v>
      </c>
      <c r="F223" s="8" t="s">
        <v>8</v>
      </c>
      <c r="G223" s="8" t="s">
        <v>8</v>
      </c>
      <c r="I223" s="94" t="str">
        <f>IFERROR(__xludf.DUMMYFUNCTION("if(H223=""Must be Together"",iferror(join("", "",unique(filter({filter('Students (Vertical)'!O:O,'Students (Vertical)'!C:C=B223,'Students (Vertical)'!O:O&lt;&gt;"""");filter('Students (Vertical)'!O:O,'Students (Vertical)'!C:C=E223,'Students (Vertical)'!O:O&lt;&gt;"""&amp;""")},countifs({filter('Students (Vertical)'!O:O,'Students (Vertical)'!C:C=B223,'Students (Vertical)'!O:O&lt;&gt;"""");filter('Students (Vertical)'!O:O,'Students (Vertical)'!C:C=E223,'Students (Vertical)'!O:O&lt;&gt;"""")},{filter('Students (Vertical)'!O:O,'Students ("&amp;"Vertical)'!C:C=B223,'Students (Vertical)'!O:O&lt;&gt;"""");filter('Students (Vertical)'!O:O,'Students (Vertical)'!C:C=E223,'Students (Vertical)'!O:O&lt;&gt;"""")})&gt;1))),""No shared courses""),"""")"),"")</f>
        <v/>
      </c>
      <c r="J223" s="94" t="str">
        <f>IFERROR(__xludf.DUMMYFUNCTION("if(H223=""Can't be Together"",iferror(join("", "",unique(filter({unique(filter('Students (Vertical)'!O:O,'Students (Vertical)'!C:C=B223,'Students (Vertical)'!O:O&lt;&gt;"""",'Students (Vertical)'!P:P&gt;1));unique(filter('Students (Vertical)'!O:O,'Students (Vertic"&amp;"al)'!C:C=E223,'Students (Vertical)'!O:O&lt;&gt;"""",'Students (Vertical)'!P:P&gt;1))},countifs({unique(filter('Students (Vertical)'!O:O,'Students (Vertical)'!C:C=B223,'Students (Vertical)'!O:O&lt;&gt;"""",'Students (Vertical)'!P:P&gt;1));unique(filter('Students (Vertical)'"&amp;"!O:O,'Students (Vertical)'!C:C=E223,'Students (Vertical)'!O:O&lt;&gt;"""",'Students (Vertical)'!P:P&gt;1))},{unique(filter('Students (Vertical)'!O:O,'Students (Vertical)'!C:C=B223,'Students (Vertical)'!O:O&lt;&gt;"""",'Students (Vertical)'!P:P&gt;1));unique(filter('Student"&amp;"s (Vertical)'!O:O,'Students (Vertical)'!C:C=E223,'Students (Vertical)'!O:O&lt;&gt;"""",'Students (Vertical)'!P:P&gt;1))})&gt;1))),""""),"""")"),"")</f>
        <v/>
      </c>
      <c r="K223" s="96" t="str">
        <f>IFERROR(__xludf.DUMMYFUNCTION("iferror(join("", "",unique(filter({filter('Students (Vertical)'!D:D,'Students (Vertical)'!C:C=B223,'Students (Vertical)'!D:D&lt;&gt;"""");filter('Students (Vertical)'!D:D,'Students (Vertical)'!C:C=E223,'Students (Vertical)'!D:D&lt;&gt;"""")},countifs({filter('Student"&amp;"s (Vertical)'!D:D,'Students (Vertical)'!C:C=B223,'Students (Vertical)'!D:D&lt;&gt;"""");filter('Students (Vertical)'!D:D,'Students (Vertical)'!C:C=E223,'Students (Vertical)'!D:D&lt;&gt;"""")},{filter('Students (Vertical)'!D:D,'Students (Vertical)'!C:C=B223,'Students "&amp;"(Vertical)'!D:D&lt;&gt;"""");filter('Students (Vertical)'!D:D,'Students (Vertical)'!C:C=E223,'Students (Vertical)'!D:D&lt;&gt;"""")})&gt;1))),"""")"),"")</f>
        <v/>
      </c>
      <c r="L223" s="96"/>
      <c r="M223" s="96"/>
    </row>
    <row r="224" hidden="1">
      <c r="A224" s="8" t="s">
        <v>8</v>
      </c>
      <c r="C224" s="8" t="s">
        <v>8</v>
      </c>
      <c r="D224" s="8" t="s">
        <v>8</v>
      </c>
      <c r="F224" s="8" t="s">
        <v>8</v>
      </c>
      <c r="G224" s="8" t="s">
        <v>8</v>
      </c>
      <c r="I224" s="94" t="str">
        <f>IFERROR(__xludf.DUMMYFUNCTION("if(H224=""Must be Together"",iferror(join("", "",unique(filter({filter('Students (Vertical)'!O:O,'Students (Vertical)'!C:C=B224,'Students (Vertical)'!O:O&lt;&gt;"""");filter('Students (Vertical)'!O:O,'Students (Vertical)'!C:C=E224,'Students (Vertical)'!O:O&lt;&gt;"""&amp;""")},countifs({filter('Students (Vertical)'!O:O,'Students (Vertical)'!C:C=B224,'Students (Vertical)'!O:O&lt;&gt;"""");filter('Students (Vertical)'!O:O,'Students (Vertical)'!C:C=E224,'Students (Vertical)'!O:O&lt;&gt;"""")},{filter('Students (Vertical)'!O:O,'Students ("&amp;"Vertical)'!C:C=B224,'Students (Vertical)'!O:O&lt;&gt;"""");filter('Students (Vertical)'!O:O,'Students (Vertical)'!C:C=E224,'Students (Vertical)'!O:O&lt;&gt;"""")})&gt;1))),""No shared courses""),"""")"),"")</f>
        <v/>
      </c>
      <c r="J224" s="94" t="str">
        <f>IFERROR(__xludf.DUMMYFUNCTION("if(H224=""Can't be Together"",iferror(join("", "",unique(filter({unique(filter('Students (Vertical)'!O:O,'Students (Vertical)'!C:C=B224,'Students (Vertical)'!O:O&lt;&gt;"""",'Students (Vertical)'!P:P&gt;1));unique(filter('Students (Vertical)'!O:O,'Students (Vertic"&amp;"al)'!C:C=E224,'Students (Vertical)'!O:O&lt;&gt;"""",'Students (Vertical)'!P:P&gt;1))},countifs({unique(filter('Students (Vertical)'!O:O,'Students (Vertical)'!C:C=B224,'Students (Vertical)'!O:O&lt;&gt;"""",'Students (Vertical)'!P:P&gt;1));unique(filter('Students (Vertical)'"&amp;"!O:O,'Students (Vertical)'!C:C=E224,'Students (Vertical)'!O:O&lt;&gt;"""",'Students (Vertical)'!P:P&gt;1))},{unique(filter('Students (Vertical)'!O:O,'Students (Vertical)'!C:C=B224,'Students (Vertical)'!O:O&lt;&gt;"""",'Students (Vertical)'!P:P&gt;1));unique(filter('Student"&amp;"s (Vertical)'!O:O,'Students (Vertical)'!C:C=E224,'Students (Vertical)'!O:O&lt;&gt;"""",'Students (Vertical)'!P:P&gt;1))})&gt;1))),""""),"""")"),"")</f>
        <v/>
      </c>
      <c r="K224" s="96" t="str">
        <f>IFERROR(__xludf.DUMMYFUNCTION("iferror(join("", "",unique(filter({filter('Students (Vertical)'!D:D,'Students (Vertical)'!C:C=B224,'Students (Vertical)'!D:D&lt;&gt;"""");filter('Students (Vertical)'!D:D,'Students (Vertical)'!C:C=E224,'Students (Vertical)'!D:D&lt;&gt;"""")},countifs({filter('Student"&amp;"s (Vertical)'!D:D,'Students (Vertical)'!C:C=B224,'Students (Vertical)'!D:D&lt;&gt;"""");filter('Students (Vertical)'!D:D,'Students (Vertical)'!C:C=E224,'Students (Vertical)'!D:D&lt;&gt;"""")},{filter('Students (Vertical)'!D:D,'Students (Vertical)'!C:C=B224,'Students "&amp;"(Vertical)'!D:D&lt;&gt;"""");filter('Students (Vertical)'!D:D,'Students (Vertical)'!C:C=E224,'Students (Vertical)'!D:D&lt;&gt;"""")})&gt;1))),"""")"),"")</f>
        <v/>
      </c>
      <c r="L224" s="96"/>
      <c r="M224" s="96"/>
    </row>
    <row r="225" hidden="1">
      <c r="A225" s="8" t="s">
        <v>8</v>
      </c>
      <c r="C225" s="8" t="s">
        <v>8</v>
      </c>
      <c r="D225" s="8" t="s">
        <v>8</v>
      </c>
      <c r="F225" s="8" t="s">
        <v>8</v>
      </c>
      <c r="G225" s="8" t="s">
        <v>8</v>
      </c>
      <c r="I225" s="94" t="str">
        <f>IFERROR(__xludf.DUMMYFUNCTION("if(H225=""Must be Together"",iferror(join("", "",unique(filter({filter('Students (Vertical)'!O:O,'Students (Vertical)'!C:C=B225,'Students (Vertical)'!O:O&lt;&gt;"""");filter('Students (Vertical)'!O:O,'Students (Vertical)'!C:C=E225,'Students (Vertical)'!O:O&lt;&gt;"""&amp;""")},countifs({filter('Students (Vertical)'!O:O,'Students (Vertical)'!C:C=B225,'Students (Vertical)'!O:O&lt;&gt;"""");filter('Students (Vertical)'!O:O,'Students (Vertical)'!C:C=E225,'Students (Vertical)'!O:O&lt;&gt;"""")},{filter('Students (Vertical)'!O:O,'Students ("&amp;"Vertical)'!C:C=B225,'Students (Vertical)'!O:O&lt;&gt;"""");filter('Students (Vertical)'!O:O,'Students (Vertical)'!C:C=E225,'Students (Vertical)'!O:O&lt;&gt;"""")})&gt;1))),""No shared courses""),"""")"),"")</f>
        <v/>
      </c>
      <c r="J225" s="94" t="str">
        <f>IFERROR(__xludf.DUMMYFUNCTION("if(H225=""Can't be Together"",iferror(join("", "",unique(filter({unique(filter('Students (Vertical)'!O:O,'Students (Vertical)'!C:C=B225,'Students (Vertical)'!O:O&lt;&gt;"""",'Students (Vertical)'!P:P&gt;1));unique(filter('Students (Vertical)'!O:O,'Students (Vertic"&amp;"al)'!C:C=E225,'Students (Vertical)'!O:O&lt;&gt;"""",'Students (Vertical)'!P:P&gt;1))},countifs({unique(filter('Students (Vertical)'!O:O,'Students (Vertical)'!C:C=B225,'Students (Vertical)'!O:O&lt;&gt;"""",'Students (Vertical)'!P:P&gt;1));unique(filter('Students (Vertical)'"&amp;"!O:O,'Students (Vertical)'!C:C=E225,'Students (Vertical)'!O:O&lt;&gt;"""",'Students (Vertical)'!P:P&gt;1))},{unique(filter('Students (Vertical)'!O:O,'Students (Vertical)'!C:C=B225,'Students (Vertical)'!O:O&lt;&gt;"""",'Students (Vertical)'!P:P&gt;1));unique(filter('Student"&amp;"s (Vertical)'!O:O,'Students (Vertical)'!C:C=E225,'Students (Vertical)'!O:O&lt;&gt;"""",'Students (Vertical)'!P:P&gt;1))})&gt;1))),""""),"""")"),"")</f>
        <v/>
      </c>
      <c r="K225" s="96" t="str">
        <f>IFERROR(__xludf.DUMMYFUNCTION("iferror(join("", "",unique(filter({filter('Students (Vertical)'!D:D,'Students (Vertical)'!C:C=B225,'Students (Vertical)'!D:D&lt;&gt;"""");filter('Students (Vertical)'!D:D,'Students (Vertical)'!C:C=E225,'Students (Vertical)'!D:D&lt;&gt;"""")},countifs({filter('Student"&amp;"s (Vertical)'!D:D,'Students (Vertical)'!C:C=B225,'Students (Vertical)'!D:D&lt;&gt;"""");filter('Students (Vertical)'!D:D,'Students (Vertical)'!C:C=E225,'Students (Vertical)'!D:D&lt;&gt;"""")},{filter('Students (Vertical)'!D:D,'Students (Vertical)'!C:C=B225,'Students "&amp;"(Vertical)'!D:D&lt;&gt;"""");filter('Students (Vertical)'!D:D,'Students (Vertical)'!C:C=E225,'Students (Vertical)'!D:D&lt;&gt;"""")})&gt;1))),"""")"),"")</f>
        <v/>
      </c>
      <c r="L225" s="96"/>
      <c r="M225" s="96"/>
    </row>
    <row r="226" hidden="1">
      <c r="A226" s="8" t="s">
        <v>8</v>
      </c>
      <c r="C226" s="8" t="s">
        <v>8</v>
      </c>
      <c r="D226" s="8" t="s">
        <v>8</v>
      </c>
      <c r="F226" s="8" t="s">
        <v>8</v>
      </c>
      <c r="G226" s="8" t="s">
        <v>8</v>
      </c>
      <c r="I226" s="94" t="str">
        <f>IFERROR(__xludf.DUMMYFUNCTION("if(H226=""Must be Together"",iferror(join("", "",unique(filter({filter('Students (Vertical)'!O:O,'Students (Vertical)'!C:C=B226,'Students (Vertical)'!O:O&lt;&gt;"""");filter('Students (Vertical)'!O:O,'Students (Vertical)'!C:C=E226,'Students (Vertical)'!O:O&lt;&gt;"""&amp;""")},countifs({filter('Students (Vertical)'!O:O,'Students (Vertical)'!C:C=B226,'Students (Vertical)'!O:O&lt;&gt;"""");filter('Students (Vertical)'!O:O,'Students (Vertical)'!C:C=E226,'Students (Vertical)'!O:O&lt;&gt;"""")},{filter('Students (Vertical)'!O:O,'Students ("&amp;"Vertical)'!C:C=B226,'Students (Vertical)'!O:O&lt;&gt;"""");filter('Students (Vertical)'!O:O,'Students (Vertical)'!C:C=E226,'Students (Vertical)'!O:O&lt;&gt;"""")})&gt;1))),""No shared courses""),"""")"),"")</f>
        <v/>
      </c>
      <c r="J226" s="94" t="str">
        <f>IFERROR(__xludf.DUMMYFUNCTION("if(H226=""Can't be Together"",iferror(join("", "",unique(filter({unique(filter('Students (Vertical)'!O:O,'Students (Vertical)'!C:C=B226,'Students (Vertical)'!O:O&lt;&gt;"""",'Students (Vertical)'!P:P&gt;1));unique(filter('Students (Vertical)'!O:O,'Students (Vertic"&amp;"al)'!C:C=E226,'Students (Vertical)'!O:O&lt;&gt;"""",'Students (Vertical)'!P:P&gt;1))},countifs({unique(filter('Students (Vertical)'!O:O,'Students (Vertical)'!C:C=B226,'Students (Vertical)'!O:O&lt;&gt;"""",'Students (Vertical)'!P:P&gt;1));unique(filter('Students (Vertical)'"&amp;"!O:O,'Students (Vertical)'!C:C=E226,'Students (Vertical)'!O:O&lt;&gt;"""",'Students (Vertical)'!P:P&gt;1))},{unique(filter('Students (Vertical)'!O:O,'Students (Vertical)'!C:C=B226,'Students (Vertical)'!O:O&lt;&gt;"""",'Students (Vertical)'!P:P&gt;1));unique(filter('Student"&amp;"s (Vertical)'!O:O,'Students (Vertical)'!C:C=E226,'Students (Vertical)'!O:O&lt;&gt;"""",'Students (Vertical)'!P:P&gt;1))})&gt;1))),""""),"""")"),"")</f>
        <v/>
      </c>
      <c r="K226" s="96" t="str">
        <f>IFERROR(__xludf.DUMMYFUNCTION("iferror(join("", "",unique(filter({filter('Students (Vertical)'!D:D,'Students (Vertical)'!C:C=B226,'Students (Vertical)'!D:D&lt;&gt;"""");filter('Students (Vertical)'!D:D,'Students (Vertical)'!C:C=E226,'Students (Vertical)'!D:D&lt;&gt;"""")},countifs({filter('Student"&amp;"s (Vertical)'!D:D,'Students (Vertical)'!C:C=B226,'Students (Vertical)'!D:D&lt;&gt;"""");filter('Students (Vertical)'!D:D,'Students (Vertical)'!C:C=E226,'Students (Vertical)'!D:D&lt;&gt;"""")},{filter('Students (Vertical)'!D:D,'Students (Vertical)'!C:C=B226,'Students "&amp;"(Vertical)'!D:D&lt;&gt;"""");filter('Students (Vertical)'!D:D,'Students (Vertical)'!C:C=E226,'Students (Vertical)'!D:D&lt;&gt;"""")})&gt;1))),"""")"),"")</f>
        <v/>
      </c>
      <c r="L226" s="96"/>
      <c r="M226" s="96"/>
    </row>
    <row r="227" hidden="1">
      <c r="A227" s="8" t="s">
        <v>8</v>
      </c>
      <c r="C227" s="8" t="s">
        <v>8</v>
      </c>
      <c r="D227" s="8" t="s">
        <v>8</v>
      </c>
      <c r="F227" s="8" t="s">
        <v>8</v>
      </c>
      <c r="G227" s="8" t="s">
        <v>8</v>
      </c>
      <c r="I227" s="94" t="str">
        <f>IFERROR(__xludf.DUMMYFUNCTION("if(H227=""Must be Together"",iferror(join("", "",unique(filter({filter('Students (Vertical)'!O:O,'Students (Vertical)'!C:C=B227,'Students (Vertical)'!O:O&lt;&gt;"""");filter('Students (Vertical)'!O:O,'Students (Vertical)'!C:C=E227,'Students (Vertical)'!O:O&lt;&gt;"""&amp;""")},countifs({filter('Students (Vertical)'!O:O,'Students (Vertical)'!C:C=B227,'Students (Vertical)'!O:O&lt;&gt;"""");filter('Students (Vertical)'!O:O,'Students (Vertical)'!C:C=E227,'Students (Vertical)'!O:O&lt;&gt;"""")},{filter('Students (Vertical)'!O:O,'Students ("&amp;"Vertical)'!C:C=B227,'Students (Vertical)'!O:O&lt;&gt;"""");filter('Students (Vertical)'!O:O,'Students (Vertical)'!C:C=E227,'Students (Vertical)'!O:O&lt;&gt;"""")})&gt;1))),""No shared courses""),"""")"),"")</f>
        <v/>
      </c>
      <c r="J227" s="94" t="str">
        <f>IFERROR(__xludf.DUMMYFUNCTION("if(H227=""Can't be Together"",iferror(join("", "",unique(filter({unique(filter('Students (Vertical)'!O:O,'Students (Vertical)'!C:C=B227,'Students (Vertical)'!O:O&lt;&gt;"""",'Students (Vertical)'!P:P&gt;1));unique(filter('Students (Vertical)'!O:O,'Students (Vertic"&amp;"al)'!C:C=E227,'Students (Vertical)'!O:O&lt;&gt;"""",'Students (Vertical)'!P:P&gt;1))},countifs({unique(filter('Students (Vertical)'!O:O,'Students (Vertical)'!C:C=B227,'Students (Vertical)'!O:O&lt;&gt;"""",'Students (Vertical)'!P:P&gt;1));unique(filter('Students (Vertical)'"&amp;"!O:O,'Students (Vertical)'!C:C=E227,'Students (Vertical)'!O:O&lt;&gt;"""",'Students (Vertical)'!P:P&gt;1))},{unique(filter('Students (Vertical)'!O:O,'Students (Vertical)'!C:C=B227,'Students (Vertical)'!O:O&lt;&gt;"""",'Students (Vertical)'!P:P&gt;1));unique(filter('Student"&amp;"s (Vertical)'!O:O,'Students (Vertical)'!C:C=E227,'Students (Vertical)'!O:O&lt;&gt;"""",'Students (Vertical)'!P:P&gt;1))})&gt;1))),""""),"""")"),"")</f>
        <v/>
      </c>
      <c r="K227" s="96" t="str">
        <f>IFERROR(__xludf.DUMMYFUNCTION("iferror(join("", "",unique(filter({filter('Students (Vertical)'!D:D,'Students (Vertical)'!C:C=B227,'Students (Vertical)'!D:D&lt;&gt;"""");filter('Students (Vertical)'!D:D,'Students (Vertical)'!C:C=E227,'Students (Vertical)'!D:D&lt;&gt;"""")},countifs({filter('Student"&amp;"s (Vertical)'!D:D,'Students (Vertical)'!C:C=B227,'Students (Vertical)'!D:D&lt;&gt;"""");filter('Students (Vertical)'!D:D,'Students (Vertical)'!C:C=E227,'Students (Vertical)'!D:D&lt;&gt;"""")},{filter('Students (Vertical)'!D:D,'Students (Vertical)'!C:C=B227,'Students "&amp;"(Vertical)'!D:D&lt;&gt;"""");filter('Students (Vertical)'!D:D,'Students (Vertical)'!C:C=E227,'Students (Vertical)'!D:D&lt;&gt;"""")})&gt;1))),"""")"),"")</f>
        <v/>
      </c>
      <c r="L227" s="96"/>
      <c r="M227" s="96"/>
    </row>
    <row r="228" hidden="1">
      <c r="A228" s="8" t="s">
        <v>8</v>
      </c>
      <c r="C228" s="8" t="s">
        <v>8</v>
      </c>
      <c r="D228" s="8" t="s">
        <v>8</v>
      </c>
      <c r="F228" s="8" t="s">
        <v>8</v>
      </c>
      <c r="G228" s="8" t="s">
        <v>8</v>
      </c>
      <c r="I228" s="94" t="str">
        <f>IFERROR(__xludf.DUMMYFUNCTION("if(H228=""Must be Together"",iferror(join("", "",unique(filter({filter('Students (Vertical)'!O:O,'Students (Vertical)'!C:C=B228,'Students (Vertical)'!O:O&lt;&gt;"""");filter('Students (Vertical)'!O:O,'Students (Vertical)'!C:C=E228,'Students (Vertical)'!O:O&lt;&gt;"""&amp;""")},countifs({filter('Students (Vertical)'!O:O,'Students (Vertical)'!C:C=B228,'Students (Vertical)'!O:O&lt;&gt;"""");filter('Students (Vertical)'!O:O,'Students (Vertical)'!C:C=E228,'Students (Vertical)'!O:O&lt;&gt;"""")},{filter('Students (Vertical)'!O:O,'Students ("&amp;"Vertical)'!C:C=B228,'Students (Vertical)'!O:O&lt;&gt;"""");filter('Students (Vertical)'!O:O,'Students (Vertical)'!C:C=E228,'Students (Vertical)'!O:O&lt;&gt;"""")})&gt;1))),""No shared courses""),"""")"),"")</f>
        <v/>
      </c>
      <c r="J228" s="94" t="str">
        <f>IFERROR(__xludf.DUMMYFUNCTION("if(H228=""Can't be Together"",iferror(join("", "",unique(filter({unique(filter('Students (Vertical)'!O:O,'Students (Vertical)'!C:C=B228,'Students (Vertical)'!O:O&lt;&gt;"""",'Students (Vertical)'!P:P&gt;1));unique(filter('Students (Vertical)'!O:O,'Students (Vertic"&amp;"al)'!C:C=E228,'Students (Vertical)'!O:O&lt;&gt;"""",'Students (Vertical)'!P:P&gt;1))},countifs({unique(filter('Students (Vertical)'!O:O,'Students (Vertical)'!C:C=B228,'Students (Vertical)'!O:O&lt;&gt;"""",'Students (Vertical)'!P:P&gt;1));unique(filter('Students (Vertical)'"&amp;"!O:O,'Students (Vertical)'!C:C=E228,'Students (Vertical)'!O:O&lt;&gt;"""",'Students (Vertical)'!P:P&gt;1))},{unique(filter('Students (Vertical)'!O:O,'Students (Vertical)'!C:C=B228,'Students (Vertical)'!O:O&lt;&gt;"""",'Students (Vertical)'!P:P&gt;1));unique(filter('Student"&amp;"s (Vertical)'!O:O,'Students (Vertical)'!C:C=E228,'Students (Vertical)'!O:O&lt;&gt;"""",'Students (Vertical)'!P:P&gt;1))})&gt;1))),""""),"""")"),"")</f>
        <v/>
      </c>
      <c r="K228" s="96" t="str">
        <f>IFERROR(__xludf.DUMMYFUNCTION("iferror(join("", "",unique(filter({filter('Students (Vertical)'!D:D,'Students (Vertical)'!C:C=B228,'Students (Vertical)'!D:D&lt;&gt;"""");filter('Students (Vertical)'!D:D,'Students (Vertical)'!C:C=E228,'Students (Vertical)'!D:D&lt;&gt;"""")},countifs({filter('Student"&amp;"s (Vertical)'!D:D,'Students (Vertical)'!C:C=B228,'Students (Vertical)'!D:D&lt;&gt;"""");filter('Students (Vertical)'!D:D,'Students (Vertical)'!C:C=E228,'Students (Vertical)'!D:D&lt;&gt;"""")},{filter('Students (Vertical)'!D:D,'Students (Vertical)'!C:C=B228,'Students "&amp;"(Vertical)'!D:D&lt;&gt;"""");filter('Students (Vertical)'!D:D,'Students (Vertical)'!C:C=E228,'Students (Vertical)'!D:D&lt;&gt;"""")})&gt;1))),"""")"),"")</f>
        <v/>
      </c>
      <c r="L228" s="96"/>
      <c r="M228" s="96"/>
    </row>
    <row r="229" hidden="1">
      <c r="A229" s="8" t="s">
        <v>8</v>
      </c>
      <c r="C229" s="8" t="s">
        <v>8</v>
      </c>
      <c r="D229" s="8" t="s">
        <v>8</v>
      </c>
      <c r="F229" s="8" t="s">
        <v>8</v>
      </c>
      <c r="G229" s="8" t="s">
        <v>8</v>
      </c>
      <c r="I229" s="94" t="str">
        <f>IFERROR(__xludf.DUMMYFUNCTION("if(H229=""Must be Together"",iferror(join("", "",unique(filter({filter('Students (Vertical)'!O:O,'Students (Vertical)'!C:C=B229,'Students (Vertical)'!O:O&lt;&gt;"""");filter('Students (Vertical)'!O:O,'Students (Vertical)'!C:C=E229,'Students (Vertical)'!O:O&lt;&gt;"""&amp;""")},countifs({filter('Students (Vertical)'!O:O,'Students (Vertical)'!C:C=B229,'Students (Vertical)'!O:O&lt;&gt;"""");filter('Students (Vertical)'!O:O,'Students (Vertical)'!C:C=E229,'Students (Vertical)'!O:O&lt;&gt;"""")},{filter('Students (Vertical)'!O:O,'Students ("&amp;"Vertical)'!C:C=B229,'Students (Vertical)'!O:O&lt;&gt;"""");filter('Students (Vertical)'!O:O,'Students (Vertical)'!C:C=E229,'Students (Vertical)'!O:O&lt;&gt;"""")})&gt;1))),""No shared courses""),"""")"),"")</f>
        <v/>
      </c>
      <c r="J229" s="94" t="str">
        <f>IFERROR(__xludf.DUMMYFUNCTION("if(H229=""Can't be Together"",iferror(join("", "",unique(filter({unique(filter('Students (Vertical)'!O:O,'Students (Vertical)'!C:C=B229,'Students (Vertical)'!O:O&lt;&gt;"""",'Students (Vertical)'!P:P&gt;1));unique(filter('Students (Vertical)'!O:O,'Students (Vertic"&amp;"al)'!C:C=E229,'Students (Vertical)'!O:O&lt;&gt;"""",'Students (Vertical)'!P:P&gt;1))},countifs({unique(filter('Students (Vertical)'!O:O,'Students (Vertical)'!C:C=B229,'Students (Vertical)'!O:O&lt;&gt;"""",'Students (Vertical)'!P:P&gt;1));unique(filter('Students (Vertical)'"&amp;"!O:O,'Students (Vertical)'!C:C=E229,'Students (Vertical)'!O:O&lt;&gt;"""",'Students (Vertical)'!P:P&gt;1))},{unique(filter('Students (Vertical)'!O:O,'Students (Vertical)'!C:C=B229,'Students (Vertical)'!O:O&lt;&gt;"""",'Students (Vertical)'!P:P&gt;1));unique(filter('Student"&amp;"s (Vertical)'!O:O,'Students (Vertical)'!C:C=E229,'Students (Vertical)'!O:O&lt;&gt;"""",'Students (Vertical)'!P:P&gt;1))})&gt;1))),""""),"""")"),"")</f>
        <v/>
      </c>
      <c r="K229" s="96" t="str">
        <f>IFERROR(__xludf.DUMMYFUNCTION("iferror(join("", "",unique(filter({filter('Students (Vertical)'!D:D,'Students (Vertical)'!C:C=B229,'Students (Vertical)'!D:D&lt;&gt;"""");filter('Students (Vertical)'!D:D,'Students (Vertical)'!C:C=E229,'Students (Vertical)'!D:D&lt;&gt;"""")},countifs({filter('Student"&amp;"s (Vertical)'!D:D,'Students (Vertical)'!C:C=B229,'Students (Vertical)'!D:D&lt;&gt;"""");filter('Students (Vertical)'!D:D,'Students (Vertical)'!C:C=E229,'Students (Vertical)'!D:D&lt;&gt;"""")},{filter('Students (Vertical)'!D:D,'Students (Vertical)'!C:C=B229,'Students "&amp;"(Vertical)'!D:D&lt;&gt;"""");filter('Students (Vertical)'!D:D,'Students (Vertical)'!C:C=E229,'Students (Vertical)'!D:D&lt;&gt;"""")})&gt;1))),"""")"),"")</f>
        <v/>
      </c>
      <c r="L229" s="96"/>
      <c r="M229" s="96"/>
    </row>
    <row r="230" hidden="1">
      <c r="A230" s="8" t="s">
        <v>8</v>
      </c>
      <c r="C230" s="8" t="s">
        <v>8</v>
      </c>
      <c r="D230" s="8" t="s">
        <v>8</v>
      </c>
      <c r="F230" s="8" t="s">
        <v>8</v>
      </c>
      <c r="G230" s="8" t="s">
        <v>8</v>
      </c>
      <c r="I230" s="94" t="str">
        <f>IFERROR(__xludf.DUMMYFUNCTION("if(H230=""Must be Together"",iferror(join("", "",unique(filter({filter('Students (Vertical)'!O:O,'Students (Vertical)'!C:C=B230,'Students (Vertical)'!O:O&lt;&gt;"""");filter('Students (Vertical)'!O:O,'Students (Vertical)'!C:C=E230,'Students (Vertical)'!O:O&lt;&gt;"""&amp;""")},countifs({filter('Students (Vertical)'!O:O,'Students (Vertical)'!C:C=B230,'Students (Vertical)'!O:O&lt;&gt;"""");filter('Students (Vertical)'!O:O,'Students (Vertical)'!C:C=E230,'Students (Vertical)'!O:O&lt;&gt;"""")},{filter('Students (Vertical)'!O:O,'Students ("&amp;"Vertical)'!C:C=B230,'Students (Vertical)'!O:O&lt;&gt;"""");filter('Students (Vertical)'!O:O,'Students (Vertical)'!C:C=E230,'Students (Vertical)'!O:O&lt;&gt;"""")})&gt;1))),""No shared courses""),"""")"),"")</f>
        <v/>
      </c>
      <c r="J230" s="94" t="str">
        <f>IFERROR(__xludf.DUMMYFUNCTION("if(H230=""Can't be Together"",iferror(join("", "",unique(filter({unique(filter('Students (Vertical)'!O:O,'Students (Vertical)'!C:C=B230,'Students (Vertical)'!O:O&lt;&gt;"""",'Students (Vertical)'!P:P&gt;1));unique(filter('Students (Vertical)'!O:O,'Students (Vertic"&amp;"al)'!C:C=E230,'Students (Vertical)'!O:O&lt;&gt;"""",'Students (Vertical)'!P:P&gt;1))},countifs({unique(filter('Students (Vertical)'!O:O,'Students (Vertical)'!C:C=B230,'Students (Vertical)'!O:O&lt;&gt;"""",'Students (Vertical)'!P:P&gt;1));unique(filter('Students (Vertical)'"&amp;"!O:O,'Students (Vertical)'!C:C=E230,'Students (Vertical)'!O:O&lt;&gt;"""",'Students (Vertical)'!P:P&gt;1))},{unique(filter('Students (Vertical)'!O:O,'Students (Vertical)'!C:C=B230,'Students (Vertical)'!O:O&lt;&gt;"""",'Students (Vertical)'!P:P&gt;1));unique(filter('Student"&amp;"s (Vertical)'!O:O,'Students (Vertical)'!C:C=E230,'Students (Vertical)'!O:O&lt;&gt;"""",'Students (Vertical)'!P:P&gt;1))})&gt;1))),""""),"""")"),"")</f>
        <v/>
      </c>
      <c r="K230" s="96" t="str">
        <f>IFERROR(__xludf.DUMMYFUNCTION("iferror(join("", "",unique(filter({filter('Students (Vertical)'!D:D,'Students (Vertical)'!C:C=B230,'Students (Vertical)'!D:D&lt;&gt;"""");filter('Students (Vertical)'!D:D,'Students (Vertical)'!C:C=E230,'Students (Vertical)'!D:D&lt;&gt;"""")},countifs({filter('Student"&amp;"s (Vertical)'!D:D,'Students (Vertical)'!C:C=B230,'Students (Vertical)'!D:D&lt;&gt;"""");filter('Students (Vertical)'!D:D,'Students (Vertical)'!C:C=E230,'Students (Vertical)'!D:D&lt;&gt;"""")},{filter('Students (Vertical)'!D:D,'Students (Vertical)'!C:C=B230,'Students "&amp;"(Vertical)'!D:D&lt;&gt;"""");filter('Students (Vertical)'!D:D,'Students (Vertical)'!C:C=E230,'Students (Vertical)'!D:D&lt;&gt;"""")})&gt;1))),"""")"),"")</f>
        <v/>
      </c>
      <c r="L230" s="96"/>
      <c r="M230" s="96"/>
    </row>
    <row r="231" hidden="1">
      <c r="A231" s="8" t="s">
        <v>8</v>
      </c>
      <c r="C231" s="8" t="s">
        <v>8</v>
      </c>
      <c r="D231" s="8" t="s">
        <v>8</v>
      </c>
      <c r="F231" s="8" t="s">
        <v>8</v>
      </c>
      <c r="G231" s="8" t="s">
        <v>8</v>
      </c>
      <c r="I231" s="94" t="str">
        <f>IFERROR(__xludf.DUMMYFUNCTION("if(H231=""Must be Together"",iferror(join("", "",unique(filter({filter('Students (Vertical)'!O:O,'Students (Vertical)'!C:C=B231,'Students (Vertical)'!O:O&lt;&gt;"""");filter('Students (Vertical)'!O:O,'Students (Vertical)'!C:C=E231,'Students (Vertical)'!O:O&lt;&gt;"""&amp;""")},countifs({filter('Students (Vertical)'!O:O,'Students (Vertical)'!C:C=B231,'Students (Vertical)'!O:O&lt;&gt;"""");filter('Students (Vertical)'!O:O,'Students (Vertical)'!C:C=E231,'Students (Vertical)'!O:O&lt;&gt;"""")},{filter('Students (Vertical)'!O:O,'Students ("&amp;"Vertical)'!C:C=B231,'Students (Vertical)'!O:O&lt;&gt;"""");filter('Students (Vertical)'!O:O,'Students (Vertical)'!C:C=E231,'Students (Vertical)'!O:O&lt;&gt;"""")})&gt;1))),""No shared courses""),"""")"),"")</f>
        <v/>
      </c>
      <c r="J231" s="94" t="str">
        <f>IFERROR(__xludf.DUMMYFUNCTION("if(H231=""Can't be Together"",iferror(join("", "",unique(filter({unique(filter('Students (Vertical)'!O:O,'Students (Vertical)'!C:C=B231,'Students (Vertical)'!O:O&lt;&gt;"""",'Students (Vertical)'!P:P&gt;1));unique(filter('Students (Vertical)'!O:O,'Students (Vertic"&amp;"al)'!C:C=E231,'Students (Vertical)'!O:O&lt;&gt;"""",'Students (Vertical)'!P:P&gt;1))},countifs({unique(filter('Students (Vertical)'!O:O,'Students (Vertical)'!C:C=B231,'Students (Vertical)'!O:O&lt;&gt;"""",'Students (Vertical)'!P:P&gt;1));unique(filter('Students (Vertical)'"&amp;"!O:O,'Students (Vertical)'!C:C=E231,'Students (Vertical)'!O:O&lt;&gt;"""",'Students (Vertical)'!P:P&gt;1))},{unique(filter('Students (Vertical)'!O:O,'Students (Vertical)'!C:C=B231,'Students (Vertical)'!O:O&lt;&gt;"""",'Students (Vertical)'!P:P&gt;1));unique(filter('Student"&amp;"s (Vertical)'!O:O,'Students (Vertical)'!C:C=E231,'Students (Vertical)'!O:O&lt;&gt;"""",'Students (Vertical)'!P:P&gt;1))})&gt;1))),""""),"""")"),"")</f>
        <v/>
      </c>
      <c r="K231" s="96" t="str">
        <f>IFERROR(__xludf.DUMMYFUNCTION("iferror(join("", "",unique(filter({filter('Students (Vertical)'!D:D,'Students (Vertical)'!C:C=B231,'Students (Vertical)'!D:D&lt;&gt;"""");filter('Students (Vertical)'!D:D,'Students (Vertical)'!C:C=E231,'Students (Vertical)'!D:D&lt;&gt;"""")},countifs({filter('Student"&amp;"s (Vertical)'!D:D,'Students (Vertical)'!C:C=B231,'Students (Vertical)'!D:D&lt;&gt;"""");filter('Students (Vertical)'!D:D,'Students (Vertical)'!C:C=E231,'Students (Vertical)'!D:D&lt;&gt;"""")},{filter('Students (Vertical)'!D:D,'Students (Vertical)'!C:C=B231,'Students "&amp;"(Vertical)'!D:D&lt;&gt;"""");filter('Students (Vertical)'!D:D,'Students (Vertical)'!C:C=E231,'Students (Vertical)'!D:D&lt;&gt;"""")})&gt;1))),"""")"),"")</f>
        <v/>
      </c>
      <c r="L231" s="96"/>
      <c r="M231" s="96"/>
    </row>
    <row r="232" hidden="1">
      <c r="A232" s="8" t="s">
        <v>8</v>
      </c>
      <c r="C232" s="8" t="s">
        <v>8</v>
      </c>
      <c r="D232" s="8" t="s">
        <v>8</v>
      </c>
      <c r="F232" s="8" t="s">
        <v>8</v>
      </c>
      <c r="G232" s="8" t="s">
        <v>8</v>
      </c>
      <c r="I232" s="94" t="str">
        <f>IFERROR(__xludf.DUMMYFUNCTION("if(H232=""Must be Together"",iferror(join("", "",unique(filter({filter('Students (Vertical)'!O:O,'Students (Vertical)'!C:C=B232,'Students (Vertical)'!O:O&lt;&gt;"""");filter('Students (Vertical)'!O:O,'Students (Vertical)'!C:C=E232,'Students (Vertical)'!O:O&lt;&gt;"""&amp;""")},countifs({filter('Students (Vertical)'!O:O,'Students (Vertical)'!C:C=B232,'Students (Vertical)'!O:O&lt;&gt;"""");filter('Students (Vertical)'!O:O,'Students (Vertical)'!C:C=E232,'Students (Vertical)'!O:O&lt;&gt;"""")},{filter('Students (Vertical)'!O:O,'Students ("&amp;"Vertical)'!C:C=B232,'Students (Vertical)'!O:O&lt;&gt;"""");filter('Students (Vertical)'!O:O,'Students (Vertical)'!C:C=E232,'Students (Vertical)'!O:O&lt;&gt;"""")})&gt;1))),""No shared courses""),"""")"),"")</f>
        <v/>
      </c>
      <c r="J232" s="94" t="str">
        <f>IFERROR(__xludf.DUMMYFUNCTION("if(H232=""Can't be Together"",iferror(join("", "",unique(filter({unique(filter('Students (Vertical)'!O:O,'Students (Vertical)'!C:C=B232,'Students (Vertical)'!O:O&lt;&gt;"""",'Students (Vertical)'!P:P&gt;1));unique(filter('Students (Vertical)'!O:O,'Students (Vertic"&amp;"al)'!C:C=E232,'Students (Vertical)'!O:O&lt;&gt;"""",'Students (Vertical)'!P:P&gt;1))},countifs({unique(filter('Students (Vertical)'!O:O,'Students (Vertical)'!C:C=B232,'Students (Vertical)'!O:O&lt;&gt;"""",'Students (Vertical)'!P:P&gt;1));unique(filter('Students (Vertical)'"&amp;"!O:O,'Students (Vertical)'!C:C=E232,'Students (Vertical)'!O:O&lt;&gt;"""",'Students (Vertical)'!P:P&gt;1))},{unique(filter('Students (Vertical)'!O:O,'Students (Vertical)'!C:C=B232,'Students (Vertical)'!O:O&lt;&gt;"""",'Students (Vertical)'!P:P&gt;1));unique(filter('Student"&amp;"s (Vertical)'!O:O,'Students (Vertical)'!C:C=E232,'Students (Vertical)'!O:O&lt;&gt;"""",'Students (Vertical)'!P:P&gt;1))})&gt;1))),""""),"""")"),"")</f>
        <v/>
      </c>
      <c r="K232" s="96" t="str">
        <f>IFERROR(__xludf.DUMMYFUNCTION("iferror(join("", "",unique(filter({filter('Students (Vertical)'!D:D,'Students (Vertical)'!C:C=B232,'Students (Vertical)'!D:D&lt;&gt;"""");filter('Students (Vertical)'!D:D,'Students (Vertical)'!C:C=E232,'Students (Vertical)'!D:D&lt;&gt;"""")},countifs({filter('Student"&amp;"s (Vertical)'!D:D,'Students (Vertical)'!C:C=B232,'Students (Vertical)'!D:D&lt;&gt;"""");filter('Students (Vertical)'!D:D,'Students (Vertical)'!C:C=E232,'Students (Vertical)'!D:D&lt;&gt;"""")},{filter('Students (Vertical)'!D:D,'Students (Vertical)'!C:C=B232,'Students "&amp;"(Vertical)'!D:D&lt;&gt;"""");filter('Students (Vertical)'!D:D,'Students (Vertical)'!C:C=E232,'Students (Vertical)'!D:D&lt;&gt;"""")})&gt;1))),"""")"),"")</f>
        <v/>
      </c>
      <c r="L232" s="96"/>
      <c r="M232" s="96"/>
    </row>
    <row r="233" hidden="1">
      <c r="A233" s="8" t="s">
        <v>8</v>
      </c>
      <c r="C233" s="8" t="s">
        <v>8</v>
      </c>
      <c r="D233" s="8" t="s">
        <v>8</v>
      </c>
      <c r="F233" s="8" t="s">
        <v>8</v>
      </c>
      <c r="G233" s="8" t="s">
        <v>8</v>
      </c>
      <c r="I233" s="94" t="str">
        <f>IFERROR(__xludf.DUMMYFUNCTION("if(H233=""Must be Together"",iferror(join("", "",unique(filter({filter('Students (Vertical)'!O:O,'Students (Vertical)'!C:C=B233,'Students (Vertical)'!O:O&lt;&gt;"""");filter('Students (Vertical)'!O:O,'Students (Vertical)'!C:C=E233,'Students (Vertical)'!O:O&lt;&gt;"""&amp;""")},countifs({filter('Students (Vertical)'!O:O,'Students (Vertical)'!C:C=B233,'Students (Vertical)'!O:O&lt;&gt;"""");filter('Students (Vertical)'!O:O,'Students (Vertical)'!C:C=E233,'Students (Vertical)'!O:O&lt;&gt;"""")},{filter('Students (Vertical)'!O:O,'Students ("&amp;"Vertical)'!C:C=B233,'Students (Vertical)'!O:O&lt;&gt;"""");filter('Students (Vertical)'!O:O,'Students (Vertical)'!C:C=E233,'Students (Vertical)'!O:O&lt;&gt;"""")})&gt;1))),""No shared courses""),"""")"),"")</f>
        <v/>
      </c>
      <c r="J233" s="94" t="str">
        <f>IFERROR(__xludf.DUMMYFUNCTION("if(H233=""Can't be Together"",iferror(join("", "",unique(filter({unique(filter('Students (Vertical)'!O:O,'Students (Vertical)'!C:C=B233,'Students (Vertical)'!O:O&lt;&gt;"""",'Students (Vertical)'!P:P&gt;1));unique(filter('Students (Vertical)'!O:O,'Students (Vertic"&amp;"al)'!C:C=E233,'Students (Vertical)'!O:O&lt;&gt;"""",'Students (Vertical)'!P:P&gt;1))},countifs({unique(filter('Students (Vertical)'!O:O,'Students (Vertical)'!C:C=B233,'Students (Vertical)'!O:O&lt;&gt;"""",'Students (Vertical)'!P:P&gt;1));unique(filter('Students (Vertical)'"&amp;"!O:O,'Students (Vertical)'!C:C=E233,'Students (Vertical)'!O:O&lt;&gt;"""",'Students (Vertical)'!P:P&gt;1))},{unique(filter('Students (Vertical)'!O:O,'Students (Vertical)'!C:C=B233,'Students (Vertical)'!O:O&lt;&gt;"""",'Students (Vertical)'!P:P&gt;1));unique(filter('Student"&amp;"s (Vertical)'!O:O,'Students (Vertical)'!C:C=E233,'Students (Vertical)'!O:O&lt;&gt;"""",'Students (Vertical)'!P:P&gt;1))})&gt;1))),""""),"""")"),"")</f>
        <v/>
      </c>
      <c r="K233" s="96" t="str">
        <f>IFERROR(__xludf.DUMMYFUNCTION("iferror(join("", "",unique(filter({filter('Students (Vertical)'!D:D,'Students (Vertical)'!C:C=B233,'Students (Vertical)'!D:D&lt;&gt;"""");filter('Students (Vertical)'!D:D,'Students (Vertical)'!C:C=E233,'Students (Vertical)'!D:D&lt;&gt;"""")},countifs({filter('Student"&amp;"s (Vertical)'!D:D,'Students (Vertical)'!C:C=B233,'Students (Vertical)'!D:D&lt;&gt;"""");filter('Students (Vertical)'!D:D,'Students (Vertical)'!C:C=E233,'Students (Vertical)'!D:D&lt;&gt;"""")},{filter('Students (Vertical)'!D:D,'Students (Vertical)'!C:C=B233,'Students "&amp;"(Vertical)'!D:D&lt;&gt;"""");filter('Students (Vertical)'!D:D,'Students (Vertical)'!C:C=E233,'Students (Vertical)'!D:D&lt;&gt;"""")})&gt;1))),"""")"),"")</f>
        <v/>
      </c>
      <c r="L233" s="96"/>
      <c r="M233" s="96"/>
    </row>
    <row r="234" hidden="1">
      <c r="A234" s="8" t="s">
        <v>8</v>
      </c>
      <c r="C234" s="8" t="s">
        <v>8</v>
      </c>
      <c r="D234" s="8" t="s">
        <v>8</v>
      </c>
      <c r="F234" s="8" t="s">
        <v>8</v>
      </c>
      <c r="G234" s="8" t="s">
        <v>8</v>
      </c>
      <c r="I234" s="94" t="str">
        <f>IFERROR(__xludf.DUMMYFUNCTION("if(H234=""Must be Together"",iferror(join("", "",unique(filter({filter('Students (Vertical)'!O:O,'Students (Vertical)'!C:C=B234,'Students (Vertical)'!O:O&lt;&gt;"""");filter('Students (Vertical)'!O:O,'Students (Vertical)'!C:C=E234,'Students (Vertical)'!O:O&lt;&gt;"""&amp;""")},countifs({filter('Students (Vertical)'!O:O,'Students (Vertical)'!C:C=B234,'Students (Vertical)'!O:O&lt;&gt;"""");filter('Students (Vertical)'!O:O,'Students (Vertical)'!C:C=E234,'Students (Vertical)'!O:O&lt;&gt;"""")},{filter('Students (Vertical)'!O:O,'Students ("&amp;"Vertical)'!C:C=B234,'Students (Vertical)'!O:O&lt;&gt;"""");filter('Students (Vertical)'!O:O,'Students (Vertical)'!C:C=E234,'Students (Vertical)'!O:O&lt;&gt;"""")})&gt;1))),""No shared courses""),"""")"),"")</f>
        <v/>
      </c>
      <c r="J234" s="94" t="str">
        <f>IFERROR(__xludf.DUMMYFUNCTION("if(H234=""Can't be Together"",iferror(join("", "",unique(filter({unique(filter('Students (Vertical)'!O:O,'Students (Vertical)'!C:C=B234,'Students (Vertical)'!O:O&lt;&gt;"""",'Students (Vertical)'!P:P&gt;1));unique(filter('Students (Vertical)'!O:O,'Students (Vertic"&amp;"al)'!C:C=E234,'Students (Vertical)'!O:O&lt;&gt;"""",'Students (Vertical)'!P:P&gt;1))},countifs({unique(filter('Students (Vertical)'!O:O,'Students (Vertical)'!C:C=B234,'Students (Vertical)'!O:O&lt;&gt;"""",'Students (Vertical)'!P:P&gt;1));unique(filter('Students (Vertical)'"&amp;"!O:O,'Students (Vertical)'!C:C=E234,'Students (Vertical)'!O:O&lt;&gt;"""",'Students (Vertical)'!P:P&gt;1))},{unique(filter('Students (Vertical)'!O:O,'Students (Vertical)'!C:C=B234,'Students (Vertical)'!O:O&lt;&gt;"""",'Students (Vertical)'!P:P&gt;1));unique(filter('Student"&amp;"s (Vertical)'!O:O,'Students (Vertical)'!C:C=E234,'Students (Vertical)'!O:O&lt;&gt;"""",'Students (Vertical)'!P:P&gt;1))})&gt;1))),""""),"""")"),"")</f>
        <v/>
      </c>
      <c r="K234" s="96" t="str">
        <f>IFERROR(__xludf.DUMMYFUNCTION("iferror(join("", "",unique(filter({filter('Students (Vertical)'!D:D,'Students (Vertical)'!C:C=B234,'Students (Vertical)'!D:D&lt;&gt;"""");filter('Students (Vertical)'!D:D,'Students (Vertical)'!C:C=E234,'Students (Vertical)'!D:D&lt;&gt;"""")},countifs({filter('Student"&amp;"s (Vertical)'!D:D,'Students (Vertical)'!C:C=B234,'Students (Vertical)'!D:D&lt;&gt;"""");filter('Students (Vertical)'!D:D,'Students (Vertical)'!C:C=E234,'Students (Vertical)'!D:D&lt;&gt;"""")},{filter('Students (Vertical)'!D:D,'Students (Vertical)'!C:C=B234,'Students "&amp;"(Vertical)'!D:D&lt;&gt;"""");filter('Students (Vertical)'!D:D,'Students (Vertical)'!C:C=E234,'Students (Vertical)'!D:D&lt;&gt;"""")})&gt;1))),"""")"),"")</f>
        <v/>
      </c>
      <c r="L234" s="96"/>
      <c r="M234" s="96"/>
    </row>
    <row r="235" hidden="1">
      <c r="A235" s="8" t="s">
        <v>8</v>
      </c>
      <c r="C235" s="8" t="s">
        <v>8</v>
      </c>
      <c r="D235" s="8" t="s">
        <v>8</v>
      </c>
      <c r="F235" s="8" t="s">
        <v>8</v>
      </c>
      <c r="G235" s="8" t="s">
        <v>8</v>
      </c>
      <c r="I235" s="94" t="str">
        <f>IFERROR(__xludf.DUMMYFUNCTION("if(H235=""Must be Together"",iferror(join("", "",unique(filter({filter('Students (Vertical)'!O:O,'Students (Vertical)'!C:C=B235,'Students (Vertical)'!O:O&lt;&gt;"""");filter('Students (Vertical)'!O:O,'Students (Vertical)'!C:C=E235,'Students (Vertical)'!O:O&lt;&gt;"""&amp;""")},countifs({filter('Students (Vertical)'!O:O,'Students (Vertical)'!C:C=B235,'Students (Vertical)'!O:O&lt;&gt;"""");filter('Students (Vertical)'!O:O,'Students (Vertical)'!C:C=E235,'Students (Vertical)'!O:O&lt;&gt;"""")},{filter('Students (Vertical)'!O:O,'Students ("&amp;"Vertical)'!C:C=B235,'Students (Vertical)'!O:O&lt;&gt;"""");filter('Students (Vertical)'!O:O,'Students (Vertical)'!C:C=E235,'Students (Vertical)'!O:O&lt;&gt;"""")})&gt;1))),""No shared courses""),"""")"),"")</f>
        <v/>
      </c>
      <c r="J235" s="94" t="str">
        <f>IFERROR(__xludf.DUMMYFUNCTION("if(H235=""Can't be Together"",iferror(join("", "",unique(filter({unique(filter('Students (Vertical)'!O:O,'Students (Vertical)'!C:C=B235,'Students (Vertical)'!O:O&lt;&gt;"""",'Students (Vertical)'!P:P&gt;1));unique(filter('Students (Vertical)'!O:O,'Students (Vertic"&amp;"al)'!C:C=E235,'Students (Vertical)'!O:O&lt;&gt;"""",'Students (Vertical)'!P:P&gt;1))},countifs({unique(filter('Students (Vertical)'!O:O,'Students (Vertical)'!C:C=B235,'Students (Vertical)'!O:O&lt;&gt;"""",'Students (Vertical)'!P:P&gt;1));unique(filter('Students (Vertical)'"&amp;"!O:O,'Students (Vertical)'!C:C=E235,'Students (Vertical)'!O:O&lt;&gt;"""",'Students (Vertical)'!P:P&gt;1))},{unique(filter('Students (Vertical)'!O:O,'Students (Vertical)'!C:C=B235,'Students (Vertical)'!O:O&lt;&gt;"""",'Students (Vertical)'!P:P&gt;1));unique(filter('Student"&amp;"s (Vertical)'!O:O,'Students (Vertical)'!C:C=E235,'Students (Vertical)'!O:O&lt;&gt;"""",'Students (Vertical)'!P:P&gt;1))})&gt;1))),""""),"""")"),"")</f>
        <v/>
      </c>
      <c r="K235" s="96" t="str">
        <f>IFERROR(__xludf.DUMMYFUNCTION("iferror(join("", "",unique(filter({filter('Students (Vertical)'!D:D,'Students (Vertical)'!C:C=B235,'Students (Vertical)'!D:D&lt;&gt;"""");filter('Students (Vertical)'!D:D,'Students (Vertical)'!C:C=E235,'Students (Vertical)'!D:D&lt;&gt;"""")},countifs({filter('Student"&amp;"s (Vertical)'!D:D,'Students (Vertical)'!C:C=B235,'Students (Vertical)'!D:D&lt;&gt;"""");filter('Students (Vertical)'!D:D,'Students (Vertical)'!C:C=E235,'Students (Vertical)'!D:D&lt;&gt;"""")},{filter('Students (Vertical)'!D:D,'Students (Vertical)'!C:C=B235,'Students "&amp;"(Vertical)'!D:D&lt;&gt;"""");filter('Students (Vertical)'!D:D,'Students (Vertical)'!C:C=E235,'Students (Vertical)'!D:D&lt;&gt;"""")})&gt;1))),"""")"),"")</f>
        <v/>
      </c>
      <c r="L235" s="96"/>
      <c r="M235" s="96"/>
    </row>
    <row r="236" hidden="1">
      <c r="A236" s="8" t="s">
        <v>8</v>
      </c>
      <c r="C236" s="8" t="s">
        <v>8</v>
      </c>
      <c r="D236" s="8" t="s">
        <v>8</v>
      </c>
      <c r="F236" s="8" t="s">
        <v>8</v>
      </c>
      <c r="G236" s="8" t="s">
        <v>8</v>
      </c>
      <c r="I236" s="94" t="str">
        <f>IFERROR(__xludf.DUMMYFUNCTION("if(H236=""Must be Together"",iferror(join("", "",unique(filter({filter('Students (Vertical)'!O:O,'Students (Vertical)'!C:C=B236,'Students (Vertical)'!O:O&lt;&gt;"""");filter('Students (Vertical)'!O:O,'Students (Vertical)'!C:C=E236,'Students (Vertical)'!O:O&lt;&gt;"""&amp;""")},countifs({filter('Students (Vertical)'!O:O,'Students (Vertical)'!C:C=B236,'Students (Vertical)'!O:O&lt;&gt;"""");filter('Students (Vertical)'!O:O,'Students (Vertical)'!C:C=E236,'Students (Vertical)'!O:O&lt;&gt;"""")},{filter('Students (Vertical)'!O:O,'Students ("&amp;"Vertical)'!C:C=B236,'Students (Vertical)'!O:O&lt;&gt;"""");filter('Students (Vertical)'!O:O,'Students (Vertical)'!C:C=E236,'Students (Vertical)'!O:O&lt;&gt;"""")})&gt;1))),""No shared courses""),"""")"),"")</f>
        <v/>
      </c>
      <c r="J236" s="94" t="str">
        <f>IFERROR(__xludf.DUMMYFUNCTION("if(H236=""Can't be Together"",iferror(join("", "",unique(filter({unique(filter('Students (Vertical)'!O:O,'Students (Vertical)'!C:C=B236,'Students (Vertical)'!O:O&lt;&gt;"""",'Students (Vertical)'!P:P&gt;1));unique(filter('Students (Vertical)'!O:O,'Students (Vertic"&amp;"al)'!C:C=E236,'Students (Vertical)'!O:O&lt;&gt;"""",'Students (Vertical)'!P:P&gt;1))},countifs({unique(filter('Students (Vertical)'!O:O,'Students (Vertical)'!C:C=B236,'Students (Vertical)'!O:O&lt;&gt;"""",'Students (Vertical)'!P:P&gt;1));unique(filter('Students (Vertical)'"&amp;"!O:O,'Students (Vertical)'!C:C=E236,'Students (Vertical)'!O:O&lt;&gt;"""",'Students (Vertical)'!P:P&gt;1))},{unique(filter('Students (Vertical)'!O:O,'Students (Vertical)'!C:C=B236,'Students (Vertical)'!O:O&lt;&gt;"""",'Students (Vertical)'!P:P&gt;1));unique(filter('Student"&amp;"s (Vertical)'!O:O,'Students (Vertical)'!C:C=E236,'Students (Vertical)'!O:O&lt;&gt;"""",'Students (Vertical)'!P:P&gt;1))})&gt;1))),""""),"""")"),"")</f>
        <v/>
      </c>
      <c r="K236" s="96" t="str">
        <f>IFERROR(__xludf.DUMMYFUNCTION("iferror(join("", "",unique(filter({filter('Students (Vertical)'!D:D,'Students (Vertical)'!C:C=B236,'Students (Vertical)'!D:D&lt;&gt;"""");filter('Students (Vertical)'!D:D,'Students (Vertical)'!C:C=E236,'Students (Vertical)'!D:D&lt;&gt;"""")},countifs({filter('Student"&amp;"s (Vertical)'!D:D,'Students (Vertical)'!C:C=B236,'Students (Vertical)'!D:D&lt;&gt;"""");filter('Students (Vertical)'!D:D,'Students (Vertical)'!C:C=E236,'Students (Vertical)'!D:D&lt;&gt;"""")},{filter('Students (Vertical)'!D:D,'Students (Vertical)'!C:C=B236,'Students "&amp;"(Vertical)'!D:D&lt;&gt;"""");filter('Students (Vertical)'!D:D,'Students (Vertical)'!C:C=E236,'Students (Vertical)'!D:D&lt;&gt;"""")})&gt;1))),"""")"),"")</f>
        <v/>
      </c>
      <c r="L236" s="96"/>
      <c r="M236" s="96"/>
    </row>
    <row r="237" hidden="1">
      <c r="A237" s="8" t="s">
        <v>8</v>
      </c>
      <c r="C237" s="8" t="s">
        <v>8</v>
      </c>
      <c r="D237" s="8" t="s">
        <v>8</v>
      </c>
      <c r="F237" s="8" t="s">
        <v>8</v>
      </c>
      <c r="G237" s="8" t="s">
        <v>8</v>
      </c>
      <c r="I237" s="94" t="str">
        <f>IFERROR(__xludf.DUMMYFUNCTION("if(H237=""Must be Together"",iferror(join("", "",unique(filter({filter('Students (Vertical)'!O:O,'Students (Vertical)'!C:C=B237,'Students (Vertical)'!O:O&lt;&gt;"""");filter('Students (Vertical)'!O:O,'Students (Vertical)'!C:C=E237,'Students (Vertical)'!O:O&lt;&gt;"""&amp;""")},countifs({filter('Students (Vertical)'!O:O,'Students (Vertical)'!C:C=B237,'Students (Vertical)'!O:O&lt;&gt;"""");filter('Students (Vertical)'!O:O,'Students (Vertical)'!C:C=E237,'Students (Vertical)'!O:O&lt;&gt;"""")},{filter('Students (Vertical)'!O:O,'Students ("&amp;"Vertical)'!C:C=B237,'Students (Vertical)'!O:O&lt;&gt;"""");filter('Students (Vertical)'!O:O,'Students (Vertical)'!C:C=E237,'Students (Vertical)'!O:O&lt;&gt;"""")})&gt;1))),""No shared courses""),"""")"),"")</f>
        <v/>
      </c>
      <c r="J237" s="94" t="str">
        <f>IFERROR(__xludf.DUMMYFUNCTION("if(H237=""Can't be Together"",iferror(join("", "",unique(filter({unique(filter('Students (Vertical)'!O:O,'Students (Vertical)'!C:C=B237,'Students (Vertical)'!O:O&lt;&gt;"""",'Students (Vertical)'!P:P&gt;1));unique(filter('Students (Vertical)'!O:O,'Students (Vertic"&amp;"al)'!C:C=E237,'Students (Vertical)'!O:O&lt;&gt;"""",'Students (Vertical)'!P:P&gt;1))},countifs({unique(filter('Students (Vertical)'!O:O,'Students (Vertical)'!C:C=B237,'Students (Vertical)'!O:O&lt;&gt;"""",'Students (Vertical)'!P:P&gt;1));unique(filter('Students (Vertical)'"&amp;"!O:O,'Students (Vertical)'!C:C=E237,'Students (Vertical)'!O:O&lt;&gt;"""",'Students (Vertical)'!P:P&gt;1))},{unique(filter('Students (Vertical)'!O:O,'Students (Vertical)'!C:C=B237,'Students (Vertical)'!O:O&lt;&gt;"""",'Students (Vertical)'!P:P&gt;1));unique(filter('Student"&amp;"s (Vertical)'!O:O,'Students (Vertical)'!C:C=E237,'Students (Vertical)'!O:O&lt;&gt;"""",'Students (Vertical)'!P:P&gt;1))})&gt;1))),""""),"""")"),"")</f>
        <v/>
      </c>
      <c r="K237" s="96" t="str">
        <f>IFERROR(__xludf.DUMMYFUNCTION("iferror(join("", "",unique(filter({filter('Students (Vertical)'!D:D,'Students (Vertical)'!C:C=B237,'Students (Vertical)'!D:D&lt;&gt;"""");filter('Students (Vertical)'!D:D,'Students (Vertical)'!C:C=E237,'Students (Vertical)'!D:D&lt;&gt;"""")},countifs({filter('Student"&amp;"s (Vertical)'!D:D,'Students (Vertical)'!C:C=B237,'Students (Vertical)'!D:D&lt;&gt;"""");filter('Students (Vertical)'!D:D,'Students (Vertical)'!C:C=E237,'Students (Vertical)'!D:D&lt;&gt;"""")},{filter('Students (Vertical)'!D:D,'Students (Vertical)'!C:C=B237,'Students "&amp;"(Vertical)'!D:D&lt;&gt;"""");filter('Students (Vertical)'!D:D,'Students (Vertical)'!C:C=E237,'Students (Vertical)'!D:D&lt;&gt;"""")})&gt;1))),"""")"),"")</f>
        <v/>
      </c>
      <c r="L237" s="96"/>
      <c r="M237" s="96"/>
    </row>
    <row r="238" hidden="1">
      <c r="A238" s="8" t="s">
        <v>8</v>
      </c>
      <c r="C238" s="8" t="s">
        <v>8</v>
      </c>
      <c r="D238" s="8" t="s">
        <v>8</v>
      </c>
      <c r="F238" s="8" t="s">
        <v>8</v>
      </c>
      <c r="G238" s="8" t="s">
        <v>8</v>
      </c>
      <c r="I238" s="94" t="str">
        <f>IFERROR(__xludf.DUMMYFUNCTION("if(H238=""Must be Together"",iferror(join("", "",unique(filter({filter('Students (Vertical)'!O:O,'Students (Vertical)'!C:C=B238,'Students (Vertical)'!O:O&lt;&gt;"""");filter('Students (Vertical)'!O:O,'Students (Vertical)'!C:C=E238,'Students (Vertical)'!O:O&lt;&gt;"""&amp;""")},countifs({filter('Students (Vertical)'!O:O,'Students (Vertical)'!C:C=B238,'Students (Vertical)'!O:O&lt;&gt;"""");filter('Students (Vertical)'!O:O,'Students (Vertical)'!C:C=E238,'Students (Vertical)'!O:O&lt;&gt;"""")},{filter('Students (Vertical)'!O:O,'Students ("&amp;"Vertical)'!C:C=B238,'Students (Vertical)'!O:O&lt;&gt;"""");filter('Students (Vertical)'!O:O,'Students (Vertical)'!C:C=E238,'Students (Vertical)'!O:O&lt;&gt;"""")})&gt;1))),""No shared courses""),"""")"),"")</f>
        <v/>
      </c>
      <c r="J238" s="94" t="str">
        <f>IFERROR(__xludf.DUMMYFUNCTION("if(H238=""Can't be Together"",iferror(join("", "",unique(filter({unique(filter('Students (Vertical)'!O:O,'Students (Vertical)'!C:C=B238,'Students (Vertical)'!O:O&lt;&gt;"""",'Students (Vertical)'!P:P&gt;1));unique(filter('Students (Vertical)'!O:O,'Students (Vertic"&amp;"al)'!C:C=E238,'Students (Vertical)'!O:O&lt;&gt;"""",'Students (Vertical)'!P:P&gt;1))},countifs({unique(filter('Students (Vertical)'!O:O,'Students (Vertical)'!C:C=B238,'Students (Vertical)'!O:O&lt;&gt;"""",'Students (Vertical)'!P:P&gt;1));unique(filter('Students (Vertical)'"&amp;"!O:O,'Students (Vertical)'!C:C=E238,'Students (Vertical)'!O:O&lt;&gt;"""",'Students (Vertical)'!P:P&gt;1))},{unique(filter('Students (Vertical)'!O:O,'Students (Vertical)'!C:C=B238,'Students (Vertical)'!O:O&lt;&gt;"""",'Students (Vertical)'!P:P&gt;1));unique(filter('Student"&amp;"s (Vertical)'!O:O,'Students (Vertical)'!C:C=E238,'Students (Vertical)'!O:O&lt;&gt;"""",'Students (Vertical)'!P:P&gt;1))})&gt;1))),""""),"""")"),"")</f>
        <v/>
      </c>
      <c r="K238" s="96" t="str">
        <f>IFERROR(__xludf.DUMMYFUNCTION("iferror(join("", "",unique(filter({filter('Students (Vertical)'!D:D,'Students (Vertical)'!C:C=B238,'Students (Vertical)'!D:D&lt;&gt;"""");filter('Students (Vertical)'!D:D,'Students (Vertical)'!C:C=E238,'Students (Vertical)'!D:D&lt;&gt;"""")},countifs({filter('Student"&amp;"s (Vertical)'!D:D,'Students (Vertical)'!C:C=B238,'Students (Vertical)'!D:D&lt;&gt;"""");filter('Students (Vertical)'!D:D,'Students (Vertical)'!C:C=E238,'Students (Vertical)'!D:D&lt;&gt;"""")},{filter('Students (Vertical)'!D:D,'Students (Vertical)'!C:C=B238,'Students "&amp;"(Vertical)'!D:D&lt;&gt;"""");filter('Students (Vertical)'!D:D,'Students (Vertical)'!C:C=E238,'Students (Vertical)'!D:D&lt;&gt;"""")})&gt;1))),"""")"),"")</f>
        <v/>
      </c>
      <c r="L238" s="96"/>
      <c r="M238" s="96"/>
    </row>
    <row r="239" hidden="1">
      <c r="A239" s="8" t="s">
        <v>8</v>
      </c>
      <c r="C239" s="8" t="s">
        <v>8</v>
      </c>
      <c r="D239" s="8" t="s">
        <v>8</v>
      </c>
      <c r="F239" s="8" t="s">
        <v>8</v>
      </c>
      <c r="G239" s="8" t="s">
        <v>8</v>
      </c>
      <c r="I239" s="94" t="str">
        <f>IFERROR(__xludf.DUMMYFUNCTION("if(H239=""Must be Together"",iferror(join("", "",unique(filter({filter('Students (Vertical)'!O:O,'Students (Vertical)'!C:C=B239,'Students (Vertical)'!O:O&lt;&gt;"""");filter('Students (Vertical)'!O:O,'Students (Vertical)'!C:C=E239,'Students (Vertical)'!O:O&lt;&gt;"""&amp;""")},countifs({filter('Students (Vertical)'!O:O,'Students (Vertical)'!C:C=B239,'Students (Vertical)'!O:O&lt;&gt;"""");filter('Students (Vertical)'!O:O,'Students (Vertical)'!C:C=E239,'Students (Vertical)'!O:O&lt;&gt;"""")},{filter('Students (Vertical)'!O:O,'Students ("&amp;"Vertical)'!C:C=B239,'Students (Vertical)'!O:O&lt;&gt;"""");filter('Students (Vertical)'!O:O,'Students (Vertical)'!C:C=E239,'Students (Vertical)'!O:O&lt;&gt;"""")})&gt;1))),""No shared courses""),"""")"),"")</f>
        <v/>
      </c>
      <c r="J239" s="94" t="str">
        <f>IFERROR(__xludf.DUMMYFUNCTION("if(H239=""Can't be Together"",iferror(join("", "",unique(filter({unique(filter('Students (Vertical)'!O:O,'Students (Vertical)'!C:C=B239,'Students (Vertical)'!O:O&lt;&gt;"""",'Students (Vertical)'!P:P&gt;1));unique(filter('Students (Vertical)'!O:O,'Students (Vertic"&amp;"al)'!C:C=E239,'Students (Vertical)'!O:O&lt;&gt;"""",'Students (Vertical)'!P:P&gt;1))},countifs({unique(filter('Students (Vertical)'!O:O,'Students (Vertical)'!C:C=B239,'Students (Vertical)'!O:O&lt;&gt;"""",'Students (Vertical)'!P:P&gt;1));unique(filter('Students (Vertical)'"&amp;"!O:O,'Students (Vertical)'!C:C=E239,'Students (Vertical)'!O:O&lt;&gt;"""",'Students (Vertical)'!P:P&gt;1))},{unique(filter('Students (Vertical)'!O:O,'Students (Vertical)'!C:C=B239,'Students (Vertical)'!O:O&lt;&gt;"""",'Students (Vertical)'!P:P&gt;1));unique(filter('Student"&amp;"s (Vertical)'!O:O,'Students (Vertical)'!C:C=E239,'Students (Vertical)'!O:O&lt;&gt;"""",'Students (Vertical)'!P:P&gt;1))})&gt;1))),""""),"""")"),"")</f>
        <v/>
      </c>
      <c r="K239" s="96" t="str">
        <f>IFERROR(__xludf.DUMMYFUNCTION("iferror(join("", "",unique(filter({filter('Students (Vertical)'!D:D,'Students (Vertical)'!C:C=B239,'Students (Vertical)'!D:D&lt;&gt;"""");filter('Students (Vertical)'!D:D,'Students (Vertical)'!C:C=E239,'Students (Vertical)'!D:D&lt;&gt;"""")},countifs({filter('Student"&amp;"s (Vertical)'!D:D,'Students (Vertical)'!C:C=B239,'Students (Vertical)'!D:D&lt;&gt;"""");filter('Students (Vertical)'!D:D,'Students (Vertical)'!C:C=E239,'Students (Vertical)'!D:D&lt;&gt;"""")},{filter('Students (Vertical)'!D:D,'Students (Vertical)'!C:C=B239,'Students "&amp;"(Vertical)'!D:D&lt;&gt;"""");filter('Students (Vertical)'!D:D,'Students (Vertical)'!C:C=E239,'Students (Vertical)'!D:D&lt;&gt;"""")})&gt;1))),"""")"),"")</f>
        <v/>
      </c>
      <c r="L239" s="96"/>
      <c r="M239" s="96"/>
    </row>
    <row r="240" hidden="1">
      <c r="A240" s="8" t="s">
        <v>8</v>
      </c>
      <c r="C240" s="8" t="s">
        <v>8</v>
      </c>
      <c r="D240" s="8" t="s">
        <v>8</v>
      </c>
      <c r="F240" s="8" t="s">
        <v>8</v>
      </c>
      <c r="G240" s="8" t="s">
        <v>8</v>
      </c>
      <c r="I240" s="94" t="str">
        <f>IFERROR(__xludf.DUMMYFUNCTION("if(H240=""Must be Together"",iferror(join("", "",unique(filter({filter('Students (Vertical)'!O:O,'Students (Vertical)'!C:C=B240,'Students (Vertical)'!O:O&lt;&gt;"""");filter('Students (Vertical)'!O:O,'Students (Vertical)'!C:C=E240,'Students (Vertical)'!O:O&lt;&gt;"""&amp;""")},countifs({filter('Students (Vertical)'!O:O,'Students (Vertical)'!C:C=B240,'Students (Vertical)'!O:O&lt;&gt;"""");filter('Students (Vertical)'!O:O,'Students (Vertical)'!C:C=E240,'Students (Vertical)'!O:O&lt;&gt;"""")},{filter('Students (Vertical)'!O:O,'Students ("&amp;"Vertical)'!C:C=B240,'Students (Vertical)'!O:O&lt;&gt;"""");filter('Students (Vertical)'!O:O,'Students (Vertical)'!C:C=E240,'Students (Vertical)'!O:O&lt;&gt;"""")})&gt;1))),""No shared courses""),"""")"),"")</f>
        <v/>
      </c>
      <c r="J240" s="94" t="str">
        <f>IFERROR(__xludf.DUMMYFUNCTION("if(H240=""Can't be Together"",iferror(join("", "",unique(filter({unique(filter('Students (Vertical)'!O:O,'Students (Vertical)'!C:C=B240,'Students (Vertical)'!O:O&lt;&gt;"""",'Students (Vertical)'!P:P&gt;1));unique(filter('Students (Vertical)'!O:O,'Students (Vertic"&amp;"al)'!C:C=E240,'Students (Vertical)'!O:O&lt;&gt;"""",'Students (Vertical)'!P:P&gt;1))},countifs({unique(filter('Students (Vertical)'!O:O,'Students (Vertical)'!C:C=B240,'Students (Vertical)'!O:O&lt;&gt;"""",'Students (Vertical)'!P:P&gt;1));unique(filter('Students (Vertical)'"&amp;"!O:O,'Students (Vertical)'!C:C=E240,'Students (Vertical)'!O:O&lt;&gt;"""",'Students (Vertical)'!P:P&gt;1))},{unique(filter('Students (Vertical)'!O:O,'Students (Vertical)'!C:C=B240,'Students (Vertical)'!O:O&lt;&gt;"""",'Students (Vertical)'!P:P&gt;1));unique(filter('Student"&amp;"s (Vertical)'!O:O,'Students (Vertical)'!C:C=E240,'Students (Vertical)'!O:O&lt;&gt;"""",'Students (Vertical)'!P:P&gt;1))})&gt;1))),""""),"""")"),"")</f>
        <v/>
      </c>
      <c r="K240" s="96" t="str">
        <f>IFERROR(__xludf.DUMMYFUNCTION("iferror(join("", "",unique(filter({filter('Students (Vertical)'!D:D,'Students (Vertical)'!C:C=B240,'Students (Vertical)'!D:D&lt;&gt;"""");filter('Students (Vertical)'!D:D,'Students (Vertical)'!C:C=E240,'Students (Vertical)'!D:D&lt;&gt;"""")},countifs({filter('Student"&amp;"s (Vertical)'!D:D,'Students (Vertical)'!C:C=B240,'Students (Vertical)'!D:D&lt;&gt;"""");filter('Students (Vertical)'!D:D,'Students (Vertical)'!C:C=E240,'Students (Vertical)'!D:D&lt;&gt;"""")},{filter('Students (Vertical)'!D:D,'Students (Vertical)'!C:C=B240,'Students "&amp;"(Vertical)'!D:D&lt;&gt;"""");filter('Students (Vertical)'!D:D,'Students (Vertical)'!C:C=E240,'Students (Vertical)'!D:D&lt;&gt;"""")})&gt;1))),"""")"),"")</f>
        <v/>
      </c>
      <c r="L240" s="96"/>
      <c r="M240" s="96"/>
    </row>
    <row r="241" hidden="1">
      <c r="A241" s="8" t="s">
        <v>8</v>
      </c>
      <c r="C241" s="8" t="s">
        <v>8</v>
      </c>
      <c r="D241" s="8" t="s">
        <v>8</v>
      </c>
      <c r="F241" s="8" t="s">
        <v>8</v>
      </c>
      <c r="G241" s="8" t="s">
        <v>8</v>
      </c>
      <c r="I241" s="94" t="str">
        <f>IFERROR(__xludf.DUMMYFUNCTION("if(H241=""Must be Together"",iferror(join("", "",unique(filter({filter('Students (Vertical)'!O:O,'Students (Vertical)'!C:C=B241,'Students (Vertical)'!O:O&lt;&gt;"""");filter('Students (Vertical)'!O:O,'Students (Vertical)'!C:C=E241,'Students (Vertical)'!O:O&lt;&gt;"""&amp;""")},countifs({filter('Students (Vertical)'!O:O,'Students (Vertical)'!C:C=B241,'Students (Vertical)'!O:O&lt;&gt;"""");filter('Students (Vertical)'!O:O,'Students (Vertical)'!C:C=E241,'Students (Vertical)'!O:O&lt;&gt;"""")},{filter('Students (Vertical)'!O:O,'Students ("&amp;"Vertical)'!C:C=B241,'Students (Vertical)'!O:O&lt;&gt;"""");filter('Students (Vertical)'!O:O,'Students (Vertical)'!C:C=E241,'Students (Vertical)'!O:O&lt;&gt;"""")})&gt;1))),""No shared courses""),"""")"),"")</f>
        <v/>
      </c>
      <c r="J241" s="94" t="str">
        <f>IFERROR(__xludf.DUMMYFUNCTION("if(H241=""Can't be Together"",iferror(join("", "",unique(filter({unique(filter('Students (Vertical)'!O:O,'Students (Vertical)'!C:C=B241,'Students (Vertical)'!O:O&lt;&gt;"""",'Students (Vertical)'!P:P&gt;1));unique(filter('Students (Vertical)'!O:O,'Students (Vertic"&amp;"al)'!C:C=E241,'Students (Vertical)'!O:O&lt;&gt;"""",'Students (Vertical)'!P:P&gt;1))},countifs({unique(filter('Students (Vertical)'!O:O,'Students (Vertical)'!C:C=B241,'Students (Vertical)'!O:O&lt;&gt;"""",'Students (Vertical)'!P:P&gt;1));unique(filter('Students (Vertical)'"&amp;"!O:O,'Students (Vertical)'!C:C=E241,'Students (Vertical)'!O:O&lt;&gt;"""",'Students (Vertical)'!P:P&gt;1))},{unique(filter('Students (Vertical)'!O:O,'Students (Vertical)'!C:C=B241,'Students (Vertical)'!O:O&lt;&gt;"""",'Students (Vertical)'!P:P&gt;1));unique(filter('Student"&amp;"s (Vertical)'!O:O,'Students (Vertical)'!C:C=E241,'Students (Vertical)'!O:O&lt;&gt;"""",'Students (Vertical)'!P:P&gt;1))})&gt;1))),""""),"""")"),"")</f>
        <v/>
      </c>
      <c r="K241" s="96" t="str">
        <f>IFERROR(__xludf.DUMMYFUNCTION("iferror(join("", "",unique(filter({filter('Students (Vertical)'!D:D,'Students (Vertical)'!C:C=B241,'Students (Vertical)'!D:D&lt;&gt;"""");filter('Students (Vertical)'!D:D,'Students (Vertical)'!C:C=E241,'Students (Vertical)'!D:D&lt;&gt;"""")},countifs({filter('Student"&amp;"s (Vertical)'!D:D,'Students (Vertical)'!C:C=B241,'Students (Vertical)'!D:D&lt;&gt;"""");filter('Students (Vertical)'!D:D,'Students (Vertical)'!C:C=E241,'Students (Vertical)'!D:D&lt;&gt;"""")},{filter('Students (Vertical)'!D:D,'Students (Vertical)'!C:C=B241,'Students "&amp;"(Vertical)'!D:D&lt;&gt;"""");filter('Students (Vertical)'!D:D,'Students (Vertical)'!C:C=E241,'Students (Vertical)'!D:D&lt;&gt;"""")})&gt;1))),"""")"),"")</f>
        <v/>
      </c>
      <c r="L241" s="96"/>
      <c r="M241" s="96"/>
    </row>
    <row r="242" hidden="1">
      <c r="A242" s="8" t="s">
        <v>8</v>
      </c>
      <c r="C242" s="8" t="s">
        <v>8</v>
      </c>
      <c r="D242" s="8" t="s">
        <v>8</v>
      </c>
      <c r="F242" s="8" t="s">
        <v>8</v>
      </c>
      <c r="G242" s="8" t="s">
        <v>8</v>
      </c>
      <c r="I242" s="94" t="str">
        <f>IFERROR(__xludf.DUMMYFUNCTION("if(H242=""Must be Together"",iferror(join("", "",unique(filter({filter('Students (Vertical)'!O:O,'Students (Vertical)'!C:C=B242,'Students (Vertical)'!O:O&lt;&gt;"""");filter('Students (Vertical)'!O:O,'Students (Vertical)'!C:C=E242,'Students (Vertical)'!O:O&lt;&gt;"""&amp;""")},countifs({filter('Students (Vertical)'!O:O,'Students (Vertical)'!C:C=B242,'Students (Vertical)'!O:O&lt;&gt;"""");filter('Students (Vertical)'!O:O,'Students (Vertical)'!C:C=E242,'Students (Vertical)'!O:O&lt;&gt;"""")},{filter('Students (Vertical)'!O:O,'Students ("&amp;"Vertical)'!C:C=B242,'Students (Vertical)'!O:O&lt;&gt;"""");filter('Students (Vertical)'!O:O,'Students (Vertical)'!C:C=E242,'Students (Vertical)'!O:O&lt;&gt;"""")})&gt;1))),""No shared courses""),"""")"),"")</f>
        <v/>
      </c>
      <c r="J242" s="94" t="str">
        <f>IFERROR(__xludf.DUMMYFUNCTION("if(H242=""Can't be Together"",iferror(join("", "",unique(filter({unique(filter('Students (Vertical)'!O:O,'Students (Vertical)'!C:C=B242,'Students (Vertical)'!O:O&lt;&gt;"""",'Students (Vertical)'!P:P&gt;1));unique(filter('Students (Vertical)'!O:O,'Students (Vertic"&amp;"al)'!C:C=E242,'Students (Vertical)'!O:O&lt;&gt;"""",'Students (Vertical)'!P:P&gt;1))},countifs({unique(filter('Students (Vertical)'!O:O,'Students (Vertical)'!C:C=B242,'Students (Vertical)'!O:O&lt;&gt;"""",'Students (Vertical)'!P:P&gt;1));unique(filter('Students (Vertical)'"&amp;"!O:O,'Students (Vertical)'!C:C=E242,'Students (Vertical)'!O:O&lt;&gt;"""",'Students (Vertical)'!P:P&gt;1))},{unique(filter('Students (Vertical)'!O:O,'Students (Vertical)'!C:C=B242,'Students (Vertical)'!O:O&lt;&gt;"""",'Students (Vertical)'!P:P&gt;1));unique(filter('Student"&amp;"s (Vertical)'!O:O,'Students (Vertical)'!C:C=E242,'Students (Vertical)'!O:O&lt;&gt;"""",'Students (Vertical)'!P:P&gt;1))})&gt;1))),""""),"""")"),"")</f>
        <v/>
      </c>
      <c r="K242" s="96" t="str">
        <f>IFERROR(__xludf.DUMMYFUNCTION("iferror(join("", "",unique(filter({filter('Students (Vertical)'!D:D,'Students (Vertical)'!C:C=B242,'Students (Vertical)'!D:D&lt;&gt;"""");filter('Students (Vertical)'!D:D,'Students (Vertical)'!C:C=E242,'Students (Vertical)'!D:D&lt;&gt;"""")},countifs({filter('Student"&amp;"s (Vertical)'!D:D,'Students (Vertical)'!C:C=B242,'Students (Vertical)'!D:D&lt;&gt;"""");filter('Students (Vertical)'!D:D,'Students (Vertical)'!C:C=E242,'Students (Vertical)'!D:D&lt;&gt;"""")},{filter('Students (Vertical)'!D:D,'Students (Vertical)'!C:C=B242,'Students "&amp;"(Vertical)'!D:D&lt;&gt;"""");filter('Students (Vertical)'!D:D,'Students (Vertical)'!C:C=E242,'Students (Vertical)'!D:D&lt;&gt;"""")})&gt;1))),"""")"),"")</f>
        <v/>
      </c>
      <c r="L242" s="96"/>
      <c r="M242" s="96"/>
    </row>
    <row r="243" hidden="1">
      <c r="A243" s="8" t="s">
        <v>8</v>
      </c>
      <c r="C243" s="8" t="s">
        <v>8</v>
      </c>
      <c r="D243" s="8" t="s">
        <v>8</v>
      </c>
      <c r="F243" s="8" t="s">
        <v>8</v>
      </c>
      <c r="G243" s="8" t="s">
        <v>8</v>
      </c>
      <c r="I243" s="94" t="str">
        <f>IFERROR(__xludf.DUMMYFUNCTION("if(H243=""Must be Together"",iferror(join("", "",unique(filter({filter('Students (Vertical)'!O:O,'Students (Vertical)'!C:C=B243,'Students (Vertical)'!O:O&lt;&gt;"""");filter('Students (Vertical)'!O:O,'Students (Vertical)'!C:C=E243,'Students (Vertical)'!O:O&lt;&gt;"""&amp;""")},countifs({filter('Students (Vertical)'!O:O,'Students (Vertical)'!C:C=B243,'Students (Vertical)'!O:O&lt;&gt;"""");filter('Students (Vertical)'!O:O,'Students (Vertical)'!C:C=E243,'Students (Vertical)'!O:O&lt;&gt;"""")},{filter('Students (Vertical)'!O:O,'Students ("&amp;"Vertical)'!C:C=B243,'Students (Vertical)'!O:O&lt;&gt;"""");filter('Students (Vertical)'!O:O,'Students (Vertical)'!C:C=E243,'Students (Vertical)'!O:O&lt;&gt;"""")})&gt;1))),""No shared courses""),"""")"),"")</f>
        <v/>
      </c>
      <c r="J243" s="94" t="str">
        <f>IFERROR(__xludf.DUMMYFUNCTION("if(H243=""Can't be Together"",iferror(join("", "",unique(filter({unique(filter('Students (Vertical)'!O:O,'Students (Vertical)'!C:C=B243,'Students (Vertical)'!O:O&lt;&gt;"""",'Students (Vertical)'!P:P&gt;1));unique(filter('Students (Vertical)'!O:O,'Students (Vertic"&amp;"al)'!C:C=E243,'Students (Vertical)'!O:O&lt;&gt;"""",'Students (Vertical)'!P:P&gt;1))},countifs({unique(filter('Students (Vertical)'!O:O,'Students (Vertical)'!C:C=B243,'Students (Vertical)'!O:O&lt;&gt;"""",'Students (Vertical)'!P:P&gt;1));unique(filter('Students (Vertical)'"&amp;"!O:O,'Students (Vertical)'!C:C=E243,'Students (Vertical)'!O:O&lt;&gt;"""",'Students (Vertical)'!P:P&gt;1))},{unique(filter('Students (Vertical)'!O:O,'Students (Vertical)'!C:C=B243,'Students (Vertical)'!O:O&lt;&gt;"""",'Students (Vertical)'!P:P&gt;1));unique(filter('Student"&amp;"s (Vertical)'!O:O,'Students (Vertical)'!C:C=E243,'Students (Vertical)'!O:O&lt;&gt;"""",'Students (Vertical)'!P:P&gt;1))})&gt;1))),""""),"""")"),"")</f>
        <v/>
      </c>
      <c r="K243" s="96" t="str">
        <f>IFERROR(__xludf.DUMMYFUNCTION("iferror(join("", "",unique(filter({filter('Students (Vertical)'!D:D,'Students (Vertical)'!C:C=B243,'Students (Vertical)'!D:D&lt;&gt;"""");filter('Students (Vertical)'!D:D,'Students (Vertical)'!C:C=E243,'Students (Vertical)'!D:D&lt;&gt;"""")},countifs({filter('Student"&amp;"s (Vertical)'!D:D,'Students (Vertical)'!C:C=B243,'Students (Vertical)'!D:D&lt;&gt;"""");filter('Students (Vertical)'!D:D,'Students (Vertical)'!C:C=E243,'Students (Vertical)'!D:D&lt;&gt;"""")},{filter('Students (Vertical)'!D:D,'Students (Vertical)'!C:C=B243,'Students "&amp;"(Vertical)'!D:D&lt;&gt;"""");filter('Students (Vertical)'!D:D,'Students (Vertical)'!C:C=E243,'Students (Vertical)'!D:D&lt;&gt;"""")})&gt;1))),"""")"),"")</f>
        <v/>
      </c>
      <c r="L243" s="96"/>
      <c r="M243" s="96"/>
    </row>
    <row r="244" hidden="1">
      <c r="A244" s="8" t="s">
        <v>8</v>
      </c>
      <c r="C244" s="8" t="s">
        <v>8</v>
      </c>
      <c r="D244" s="8" t="s">
        <v>8</v>
      </c>
      <c r="F244" s="8" t="s">
        <v>8</v>
      </c>
      <c r="G244" s="8" t="s">
        <v>8</v>
      </c>
      <c r="I244" s="94" t="str">
        <f>IFERROR(__xludf.DUMMYFUNCTION("if(H244=""Must be Together"",iferror(join("", "",unique(filter({filter('Students (Vertical)'!O:O,'Students (Vertical)'!C:C=B244,'Students (Vertical)'!O:O&lt;&gt;"""");filter('Students (Vertical)'!O:O,'Students (Vertical)'!C:C=E244,'Students (Vertical)'!O:O&lt;&gt;"""&amp;""")},countifs({filter('Students (Vertical)'!O:O,'Students (Vertical)'!C:C=B244,'Students (Vertical)'!O:O&lt;&gt;"""");filter('Students (Vertical)'!O:O,'Students (Vertical)'!C:C=E244,'Students (Vertical)'!O:O&lt;&gt;"""")},{filter('Students (Vertical)'!O:O,'Students ("&amp;"Vertical)'!C:C=B244,'Students (Vertical)'!O:O&lt;&gt;"""");filter('Students (Vertical)'!O:O,'Students (Vertical)'!C:C=E244,'Students (Vertical)'!O:O&lt;&gt;"""")})&gt;1))),""No shared courses""),"""")"),"")</f>
        <v/>
      </c>
      <c r="J244" s="94" t="str">
        <f>IFERROR(__xludf.DUMMYFUNCTION("if(H244=""Can't be Together"",iferror(join("", "",unique(filter({unique(filter('Students (Vertical)'!O:O,'Students (Vertical)'!C:C=B244,'Students (Vertical)'!O:O&lt;&gt;"""",'Students (Vertical)'!P:P&gt;1));unique(filter('Students (Vertical)'!O:O,'Students (Vertic"&amp;"al)'!C:C=E244,'Students (Vertical)'!O:O&lt;&gt;"""",'Students (Vertical)'!P:P&gt;1))},countifs({unique(filter('Students (Vertical)'!O:O,'Students (Vertical)'!C:C=B244,'Students (Vertical)'!O:O&lt;&gt;"""",'Students (Vertical)'!P:P&gt;1));unique(filter('Students (Vertical)'"&amp;"!O:O,'Students (Vertical)'!C:C=E244,'Students (Vertical)'!O:O&lt;&gt;"""",'Students (Vertical)'!P:P&gt;1))},{unique(filter('Students (Vertical)'!O:O,'Students (Vertical)'!C:C=B244,'Students (Vertical)'!O:O&lt;&gt;"""",'Students (Vertical)'!P:P&gt;1));unique(filter('Student"&amp;"s (Vertical)'!O:O,'Students (Vertical)'!C:C=E244,'Students (Vertical)'!O:O&lt;&gt;"""",'Students (Vertical)'!P:P&gt;1))})&gt;1))),""""),"""")"),"")</f>
        <v/>
      </c>
      <c r="K244" s="96" t="str">
        <f>IFERROR(__xludf.DUMMYFUNCTION("iferror(join("", "",unique(filter({filter('Students (Vertical)'!D:D,'Students (Vertical)'!C:C=B244,'Students (Vertical)'!D:D&lt;&gt;"""");filter('Students (Vertical)'!D:D,'Students (Vertical)'!C:C=E244,'Students (Vertical)'!D:D&lt;&gt;"""")},countifs({filter('Student"&amp;"s (Vertical)'!D:D,'Students (Vertical)'!C:C=B244,'Students (Vertical)'!D:D&lt;&gt;"""");filter('Students (Vertical)'!D:D,'Students (Vertical)'!C:C=E244,'Students (Vertical)'!D:D&lt;&gt;"""")},{filter('Students (Vertical)'!D:D,'Students (Vertical)'!C:C=B244,'Students "&amp;"(Vertical)'!D:D&lt;&gt;"""");filter('Students (Vertical)'!D:D,'Students (Vertical)'!C:C=E244,'Students (Vertical)'!D:D&lt;&gt;"""")})&gt;1))),"""")"),"")</f>
        <v/>
      </c>
      <c r="L244" s="96"/>
      <c r="M244" s="96"/>
    </row>
    <row r="245" hidden="1">
      <c r="A245" s="8" t="s">
        <v>8</v>
      </c>
      <c r="C245" s="8" t="s">
        <v>8</v>
      </c>
      <c r="D245" s="8" t="s">
        <v>8</v>
      </c>
      <c r="F245" s="8" t="s">
        <v>8</v>
      </c>
      <c r="G245" s="8" t="s">
        <v>8</v>
      </c>
      <c r="I245" s="94" t="str">
        <f>IFERROR(__xludf.DUMMYFUNCTION("if(H245=""Must be Together"",iferror(join("", "",unique(filter({filter('Students (Vertical)'!O:O,'Students (Vertical)'!C:C=B245,'Students (Vertical)'!O:O&lt;&gt;"""");filter('Students (Vertical)'!O:O,'Students (Vertical)'!C:C=E245,'Students (Vertical)'!O:O&lt;&gt;"""&amp;""")},countifs({filter('Students (Vertical)'!O:O,'Students (Vertical)'!C:C=B245,'Students (Vertical)'!O:O&lt;&gt;"""");filter('Students (Vertical)'!O:O,'Students (Vertical)'!C:C=E245,'Students (Vertical)'!O:O&lt;&gt;"""")},{filter('Students (Vertical)'!O:O,'Students ("&amp;"Vertical)'!C:C=B245,'Students (Vertical)'!O:O&lt;&gt;"""");filter('Students (Vertical)'!O:O,'Students (Vertical)'!C:C=E245,'Students (Vertical)'!O:O&lt;&gt;"""")})&gt;1))),""No shared courses""),"""")"),"")</f>
        <v/>
      </c>
      <c r="J245" s="94" t="str">
        <f>IFERROR(__xludf.DUMMYFUNCTION("if(H245=""Can't be Together"",iferror(join("", "",unique(filter({unique(filter('Students (Vertical)'!O:O,'Students (Vertical)'!C:C=B245,'Students (Vertical)'!O:O&lt;&gt;"""",'Students (Vertical)'!P:P&gt;1));unique(filter('Students (Vertical)'!O:O,'Students (Vertic"&amp;"al)'!C:C=E245,'Students (Vertical)'!O:O&lt;&gt;"""",'Students (Vertical)'!P:P&gt;1))},countifs({unique(filter('Students (Vertical)'!O:O,'Students (Vertical)'!C:C=B245,'Students (Vertical)'!O:O&lt;&gt;"""",'Students (Vertical)'!P:P&gt;1));unique(filter('Students (Vertical)'"&amp;"!O:O,'Students (Vertical)'!C:C=E245,'Students (Vertical)'!O:O&lt;&gt;"""",'Students (Vertical)'!P:P&gt;1))},{unique(filter('Students (Vertical)'!O:O,'Students (Vertical)'!C:C=B245,'Students (Vertical)'!O:O&lt;&gt;"""",'Students (Vertical)'!P:P&gt;1));unique(filter('Student"&amp;"s (Vertical)'!O:O,'Students (Vertical)'!C:C=E245,'Students (Vertical)'!O:O&lt;&gt;"""",'Students (Vertical)'!P:P&gt;1))})&gt;1))),""""),"""")"),"")</f>
        <v/>
      </c>
      <c r="K245" s="96" t="str">
        <f>IFERROR(__xludf.DUMMYFUNCTION("iferror(join("", "",unique(filter({filter('Students (Vertical)'!D:D,'Students (Vertical)'!C:C=B245,'Students (Vertical)'!D:D&lt;&gt;"""");filter('Students (Vertical)'!D:D,'Students (Vertical)'!C:C=E245,'Students (Vertical)'!D:D&lt;&gt;"""")},countifs({filter('Student"&amp;"s (Vertical)'!D:D,'Students (Vertical)'!C:C=B245,'Students (Vertical)'!D:D&lt;&gt;"""");filter('Students (Vertical)'!D:D,'Students (Vertical)'!C:C=E245,'Students (Vertical)'!D:D&lt;&gt;"""")},{filter('Students (Vertical)'!D:D,'Students (Vertical)'!C:C=B245,'Students "&amp;"(Vertical)'!D:D&lt;&gt;"""");filter('Students (Vertical)'!D:D,'Students (Vertical)'!C:C=E245,'Students (Vertical)'!D:D&lt;&gt;"""")})&gt;1))),"""")"),"")</f>
        <v/>
      </c>
      <c r="L245" s="96"/>
      <c r="M245" s="96"/>
    </row>
    <row r="246" hidden="1">
      <c r="A246" s="8" t="s">
        <v>8</v>
      </c>
      <c r="C246" s="8" t="s">
        <v>8</v>
      </c>
      <c r="D246" s="8" t="s">
        <v>8</v>
      </c>
      <c r="F246" s="8" t="s">
        <v>8</v>
      </c>
      <c r="G246" s="8" t="s">
        <v>8</v>
      </c>
      <c r="I246" s="94" t="str">
        <f>IFERROR(__xludf.DUMMYFUNCTION("if(H246=""Must be Together"",iferror(join("", "",unique(filter({filter('Students (Vertical)'!O:O,'Students (Vertical)'!C:C=B246,'Students (Vertical)'!O:O&lt;&gt;"""");filter('Students (Vertical)'!O:O,'Students (Vertical)'!C:C=E246,'Students (Vertical)'!O:O&lt;&gt;"""&amp;""")},countifs({filter('Students (Vertical)'!O:O,'Students (Vertical)'!C:C=B246,'Students (Vertical)'!O:O&lt;&gt;"""");filter('Students (Vertical)'!O:O,'Students (Vertical)'!C:C=E246,'Students (Vertical)'!O:O&lt;&gt;"""")},{filter('Students (Vertical)'!O:O,'Students ("&amp;"Vertical)'!C:C=B246,'Students (Vertical)'!O:O&lt;&gt;"""");filter('Students (Vertical)'!O:O,'Students (Vertical)'!C:C=E246,'Students (Vertical)'!O:O&lt;&gt;"""")})&gt;1))),""No shared courses""),"""")"),"")</f>
        <v/>
      </c>
      <c r="J246" s="94" t="str">
        <f>IFERROR(__xludf.DUMMYFUNCTION("if(H246=""Can't be Together"",iferror(join("", "",unique(filter({unique(filter('Students (Vertical)'!O:O,'Students (Vertical)'!C:C=B246,'Students (Vertical)'!O:O&lt;&gt;"""",'Students (Vertical)'!P:P&gt;1));unique(filter('Students (Vertical)'!O:O,'Students (Vertic"&amp;"al)'!C:C=E246,'Students (Vertical)'!O:O&lt;&gt;"""",'Students (Vertical)'!P:P&gt;1))},countifs({unique(filter('Students (Vertical)'!O:O,'Students (Vertical)'!C:C=B246,'Students (Vertical)'!O:O&lt;&gt;"""",'Students (Vertical)'!P:P&gt;1));unique(filter('Students (Vertical)'"&amp;"!O:O,'Students (Vertical)'!C:C=E246,'Students (Vertical)'!O:O&lt;&gt;"""",'Students (Vertical)'!P:P&gt;1))},{unique(filter('Students (Vertical)'!O:O,'Students (Vertical)'!C:C=B246,'Students (Vertical)'!O:O&lt;&gt;"""",'Students (Vertical)'!P:P&gt;1));unique(filter('Student"&amp;"s (Vertical)'!O:O,'Students (Vertical)'!C:C=E246,'Students (Vertical)'!O:O&lt;&gt;"""",'Students (Vertical)'!P:P&gt;1))})&gt;1))),""""),"""")"),"")</f>
        <v/>
      </c>
      <c r="K246" s="96" t="str">
        <f>IFERROR(__xludf.DUMMYFUNCTION("iferror(join("", "",unique(filter({filter('Students (Vertical)'!D:D,'Students (Vertical)'!C:C=B246,'Students (Vertical)'!D:D&lt;&gt;"""");filter('Students (Vertical)'!D:D,'Students (Vertical)'!C:C=E246,'Students (Vertical)'!D:D&lt;&gt;"""")},countifs({filter('Student"&amp;"s (Vertical)'!D:D,'Students (Vertical)'!C:C=B246,'Students (Vertical)'!D:D&lt;&gt;"""");filter('Students (Vertical)'!D:D,'Students (Vertical)'!C:C=E246,'Students (Vertical)'!D:D&lt;&gt;"""")},{filter('Students (Vertical)'!D:D,'Students (Vertical)'!C:C=B246,'Students "&amp;"(Vertical)'!D:D&lt;&gt;"""");filter('Students (Vertical)'!D:D,'Students (Vertical)'!C:C=E246,'Students (Vertical)'!D:D&lt;&gt;"""")})&gt;1))),"""")"),"")</f>
        <v/>
      </c>
      <c r="L246" s="96"/>
      <c r="M246" s="96"/>
    </row>
    <row r="247" hidden="1">
      <c r="A247" s="8" t="s">
        <v>8</v>
      </c>
      <c r="C247" s="8" t="s">
        <v>8</v>
      </c>
      <c r="D247" s="8" t="s">
        <v>8</v>
      </c>
      <c r="F247" s="8" t="s">
        <v>8</v>
      </c>
      <c r="G247" s="8" t="s">
        <v>8</v>
      </c>
      <c r="I247" s="94" t="str">
        <f>IFERROR(__xludf.DUMMYFUNCTION("if(H247=""Must be Together"",iferror(join("", "",unique(filter({filter('Students (Vertical)'!O:O,'Students (Vertical)'!C:C=B247,'Students (Vertical)'!O:O&lt;&gt;"""");filter('Students (Vertical)'!O:O,'Students (Vertical)'!C:C=E247,'Students (Vertical)'!O:O&lt;&gt;"""&amp;""")},countifs({filter('Students (Vertical)'!O:O,'Students (Vertical)'!C:C=B247,'Students (Vertical)'!O:O&lt;&gt;"""");filter('Students (Vertical)'!O:O,'Students (Vertical)'!C:C=E247,'Students (Vertical)'!O:O&lt;&gt;"""")},{filter('Students (Vertical)'!O:O,'Students ("&amp;"Vertical)'!C:C=B247,'Students (Vertical)'!O:O&lt;&gt;"""");filter('Students (Vertical)'!O:O,'Students (Vertical)'!C:C=E247,'Students (Vertical)'!O:O&lt;&gt;"""")})&gt;1))),""No shared courses""),"""")"),"")</f>
        <v/>
      </c>
      <c r="J247" s="94" t="str">
        <f>IFERROR(__xludf.DUMMYFUNCTION("if(H247=""Can't be Together"",iferror(join("", "",unique(filter({unique(filter('Students (Vertical)'!O:O,'Students (Vertical)'!C:C=B247,'Students (Vertical)'!O:O&lt;&gt;"""",'Students (Vertical)'!P:P&gt;1));unique(filter('Students (Vertical)'!O:O,'Students (Vertic"&amp;"al)'!C:C=E247,'Students (Vertical)'!O:O&lt;&gt;"""",'Students (Vertical)'!P:P&gt;1))},countifs({unique(filter('Students (Vertical)'!O:O,'Students (Vertical)'!C:C=B247,'Students (Vertical)'!O:O&lt;&gt;"""",'Students (Vertical)'!P:P&gt;1));unique(filter('Students (Vertical)'"&amp;"!O:O,'Students (Vertical)'!C:C=E247,'Students (Vertical)'!O:O&lt;&gt;"""",'Students (Vertical)'!P:P&gt;1))},{unique(filter('Students (Vertical)'!O:O,'Students (Vertical)'!C:C=B247,'Students (Vertical)'!O:O&lt;&gt;"""",'Students (Vertical)'!P:P&gt;1));unique(filter('Student"&amp;"s (Vertical)'!O:O,'Students (Vertical)'!C:C=E247,'Students (Vertical)'!O:O&lt;&gt;"""",'Students (Vertical)'!P:P&gt;1))})&gt;1))),""""),"""")"),"")</f>
        <v/>
      </c>
      <c r="K247" s="96" t="str">
        <f>IFERROR(__xludf.DUMMYFUNCTION("iferror(join("", "",unique(filter({filter('Students (Vertical)'!D:D,'Students (Vertical)'!C:C=B247,'Students (Vertical)'!D:D&lt;&gt;"""");filter('Students (Vertical)'!D:D,'Students (Vertical)'!C:C=E247,'Students (Vertical)'!D:D&lt;&gt;"""")},countifs({filter('Student"&amp;"s (Vertical)'!D:D,'Students (Vertical)'!C:C=B247,'Students (Vertical)'!D:D&lt;&gt;"""");filter('Students (Vertical)'!D:D,'Students (Vertical)'!C:C=E247,'Students (Vertical)'!D:D&lt;&gt;"""")},{filter('Students (Vertical)'!D:D,'Students (Vertical)'!C:C=B247,'Students "&amp;"(Vertical)'!D:D&lt;&gt;"""");filter('Students (Vertical)'!D:D,'Students (Vertical)'!C:C=E247,'Students (Vertical)'!D:D&lt;&gt;"""")})&gt;1))),"""")"),"")</f>
        <v/>
      </c>
      <c r="L247" s="96"/>
      <c r="M247" s="96"/>
    </row>
    <row r="248" hidden="1">
      <c r="A248" s="8" t="s">
        <v>8</v>
      </c>
      <c r="C248" s="8" t="s">
        <v>8</v>
      </c>
      <c r="D248" s="8" t="s">
        <v>8</v>
      </c>
      <c r="F248" s="8" t="s">
        <v>8</v>
      </c>
      <c r="G248" s="8" t="s">
        <v>8</v>
      </c>
      <c r="I248" s="94" t="str">
        <f>IFERROR(__xludf.DUMMYFUNCTION("if(H248=""Must be Together"",iferror(join("", "",unique(filter({filter('Students (Vertical)'!O:O,'Students (Vertical)'!C:C=B248,'Students (Vertical)'!O:O&lt;&gt;"""");filter('Students (Vertical)'!O:O,'Students (Vertical)'!C:C=E248,'Students (Vertical)'!O:O&lt;&gt;"""&amp;""")},countifs({filter('Students (Vertical)'!O:O,'Students (Vertical)'!C:C=B248,'Students (Vertical)'!O:O&lt;&gt;"""");filter('Students (Vertical)'!O:O,'Students (Vertical)'!C:C=E248,'Students (Vertical)'!O:O&lt;&gt;"""")},{filter('Students (Vertical)'!O:O,'Students ("&amp;"Vertical)'!C:C=B248,'Students (Vertical)'!O:O&lt;&gt;"""");filter('Students (Vertical)'!O:O,'Students (Vertical)'!C:C=E248,'Students (Vertical)'!O:O&lt;&gt;"""")})&gt;1))),""No shared courses""),"""")"),"")</f>
        <v/>
      </c>
      <c r="J248" s="94" t="str">
        <f>IFERROR(__xludf.DUMMYFUNCTION("if(H248=""Can't be Together"",iferror(join("", "",unique(filter({unique(filter('Students (Vertical)'!O:O,'Students (Vertical)'!C:C=B248,'Students (Vertical)'!O:O&lt;&gt;"""",'Students (Vertical)'!P:P&gt;1));unique(filter('Students (Vertical)'!O:O,'Students (Vertic"&amp;"al)'!C:C=E248,'Students (Vertical)'!O:O&lt;&gt;"""",'Students (Vertical)'!P:P&gt;1))},countifs({unique(filter('Students (Vertical)'!O:O,'Students (Vertical)'!C:C=B248,'Students (Vertical)'!O:O&lt;&gt;"""",'Students (Vertical)'!P:P&gt;1));unique(filter('Students (Vertical)'"&amp;"!O:O,'Students (Vertical)'!C:C=E248,'Students (Vertical)'!O:O&lt;&gt;"""",'Students (Vertical)'!P:P&gt;1))},{unique(filter('Students (Vertical)'!O:O,'Students (Vertical)'!C:C=B248,'Students (Vertical)'!O:O&lt;&gt;"""",'Students (Vertical)'!P:P&gt;1));unique(filter('Student"&amp;"s (Vertical)'!O:O,'Students (Vertical)'!C:C=E248,'Students (Vertical)'!O:O&lt;&gt;"""",'Students (Vertical)'!P:P&gt;1))})&gt;1))),""""),"""")"),"")</f>
        <v/>
      </c>
      <c r="K248" s="96" t="str">
        <f>IFERROR(__xludf.DUMMYFUNCTION("iferror(join("", "",unique(filter({filter('Students (Vertical)'!D:D,'Students (Vertical)'!C:C=B248,'Students (Vertical)'!D:D&lt;&gt;"""");filter('Students (Vertical)'!D:D,'Students (Vertical)'!C:C=E248,'Students (Vertical)'!D:D&lt;&gt;"""")},countifs({filter('Student"&amp;"s (Vertical)'!D:D,'Students (Vertical)'!C:C=B248,'Students (Vertical)'!D:D&lt;&gt;"""");filter('Students (Vertical)'!D:D,'Students (Vertical)'!C:C=E248,'Students (Vertical)'!D:D&lt;&gt;"""")},{filter('Students (Vertical)'!D:D,'Students (Vertical)'!C:C=B248,'Students "&amp;"(Vertical)'!D:D&lt;&gt;"""");filter('Students (Vertical)'!D:D,'Students (Vertical)'!C:C=E248,'Students (Vertical)'!D:D&lt;&gt;"""")})&gt;1))),"""")"),"")</f>
        <v/>
      </c>
      <c r="L248" s="96"/>
      <c r="M248" s="96"/>
    </row>
    <row r="249" hidden="1">
      <c r="A249" s="8" t="s">
        <v>8</v>
      </c>
      <c r="C249" s="8" t="s">
        <v>8</v>
      </c>
      <c r="D249" s="8" t="s">
        <v>8</v>
      </c>
      <c r="F249" s="8" t="s">
        <v>8</v>
      </c>
      <c r="G249" s="8" t="s">
        <v>8</v>
      </c>
      <c r="I249" s="94" t="str">
        <f>IFERROR(__xludf.DUMMYFUNCTION("if(H249=""Must be Together"",iferror(join("", "",unique(filter({filter('Students (Vertical)'!O:O,'Students (Vertical)'!C:C=B249,'Students (Vertical)'!O:O&lt;&gt;"""");filter('Students (Vertical)'!O:O,'Students (Vertical)'!C:C=E249,'Students (Vertical)'!O:O&lt;&gt;"""&amp;""")},countifs({filter('Students (Vertical)'!O:O,'Students (Vertical)'!C:C=B249,'Students (Vertical)'!O:O&lt;&gt;"""");filter('Students (Vertical)'!O:O,'Students (Vertical)'!C:C=E249,'Students (Vertical)'!O:O&lt;&gt;"""")},{filter('Students (Vertical)'!O:O,'Students ("&amp;"Vertical)'!C:C=B249,'Students (Vertical)'!O:O&lt;&gt;"""");filter('Students (Vertical)'!O:O,'Students (Vertical)'!C:C=E249,'Students (Vertical)'!O:O&lt;&gt;"""")})&gt;1))),""No shared courses""),"""")"),"")</f>
        <v/>
      </c>
      <c r="J249" s="94" t="str">
        <f>IFERROR(__xludf.DUMMYFUNCTION("if(H249=""Can't be Together"",iferror(join("", "",unique(filter({unique(filter('Students (Vertical)'!O:O,'Students (Vertical)'!C:C=B249,'Students (Vertical)'!O:O&lt;&gt;"""",'Students (Vertical)'!P:P&gt;1));unique(filter('Students (Vertical)'!O:O,'Students (Vertic"&amp;"al)'!C:C=E249,'Students (Vertical)'!O:O&lt;&gt;"""",'Students (Vertical)'!P:P&gt;1))},countifs({unique(filter('Students (Vertical)'!O:O,'Students (Vertical)'!C:C=B249,'Students (Vertical)'!O:O&lt;&gt;"""",'Students (Vertical)'!P:P&gt;1));unique(filter('Students (Vertical)'"&amp;"!O:O,'Students (Vertical)'!C:C=E249,'Students (Vertical)'!O:O&lt;&gt;"""",'Students (Vertical)'!P:P&gt;1))},{unique(filter('Students (Vertical)'!O:O,'Students (Vertical)'!C:C=B249,'Students (Vertical)'!O:O&lt;&gt;"""",'Students (Vertical)'!P:P&gt;1));unique(filter('Student"&amp;"s (Vertical)'!O:O,'Students (Vertical)'!C:C=E249,'Students (Vertical)'!O:O&lt;&gt;"""",'Students (Vertical)'!P:P&gt;1))})&gt;1))),""""),"""")"),"")</f>
        <v/>
      </c>
      <c r="K249" s="96" t="str">
        <f>IFERROR(__xludf.DUMMYFUNCTION("iferror(join("", "",unique(filter({filter('Students (Vertical)'!D:D,'Students (Vertical)'!C:C=B249,'Students (Vertical)'!D:D&lt;&gt;"""");filter('Students (Vertical)'!D:D,'Students (Vertical)'!C:C=E249,'Students (Vertical)'!D:D&lt;&gt;"""")},countifs({filter('Student"&amp;"s (Vertical)'!D:D,'Students (Vertical)'!C:C=B249,'Students (Vertical)'!D:D&lt;&gt;"""");filter('Students (Vertical)'!D:D,'Students (Vertical)'!C:C=E249,'Students (Vertical)'!D:D&lt;&gt;"""")},{filter('Students (Vertical)'!D:D,'Students (Vertical)'!C:C=B249,'Students "&amp;"(Vertical)'!D:D&lt;&gt;"""");filter('Students (Vertical)'!D:D,'Students (Vertical)'!C:C=E249,'Students (Vertical)'!D:D&lt;&gt;"""")})&gt;1))),"""")"),"")</f>
        <v/>
      </c>
      <c r="L249" s="96"/>
      <c r="M249" s="96"/>
    </row>
    <row r="250" hidden="1">
      <c r="A250" s="8" t="s">
        <v>8</v>
      </c>
      <c r="C250" s="8" t="s">
        <v>8</v>
      </c>
      <c r="D250" s="8" t="s">
        <v>8</v>
      </c>
      <c r="F250" s="8" t="s">
        <v>8</v>
      </c>
      <c r="G250" s="8" t="s">
        <v>8</v>
      </c>
      <c r="I250" s="94" t="str">
        <f>IFERROR(__xludf.DUMMYFUNCTION("if(H250=""Must be Together"",iferror(join("", "",unique(filter({filter('Students (Vertical)'!O:O,'Students (Vertical)'!C:C=B250,'Students (Vertical)'!O:O&lt;&gt;"""");filter('Students (Vertical)'!O:O,'Students (Vertical)'!C:C=E250,'Students (Vertical)'!O:O&lt;&gt;"""&amp;""")},countifs({filter('Students (Vertical)'!O:O,'Students (Vertical)'!C:C=B250,'Students (Vertical)'!O:O&lt;&gt;"""");filter('Students (Vertical)'!O:O,'Students (Vertical)'!C:C=E250,'Students (Vertical)'!O:O&lt;&gt;"""")},{filter('Students (Vertical)'!O:O,'Students ("&amp;"Vertical)'!C:C=B250,'Students (Vertical)'!O:O&lt;&gt;"""");filter('Students (Vertical)'!O:O,'Students (Vertical)'!C:C=E250,'Students (Vertical)'!O:O&lt;&gt;"""")})&gt;1))),""No shared courses""),"""")"),"")</f>
        <v/>
      </c>
      <c r="J250" s="94" t="str">
        <f>IFERROR(__xludf.DUMMYFUNCTION("if(H250=""Can't be Together"",iferror(join("", "",unique(filter({unique(filter('Students (Vertical)'!O:O,'Students (Vertical)'!C:C=B250,'Students (Vertical)'!O:O&lt;&gt;"""",'Students (Vertical)'!P:P&gt;1));unique(filter('Students (Vertical)'!O:O,'Students (Vertic"&amp;"al)'!C:C=E250,'Students (Vertical)'!O:O&lt;&gt;"""",'Students (Vertical)'!P:P&gt;1))},countifs({unique(filter('Students (Vertical)'!O:O,'Students (Vertical)'!C:C=B250,'Students (Vertical)'!O:O&lt;&gt;"""",'Students (Vertical)'!P:P&gt;1));unique(filter('Students (Vertical)'"&amp;"!O:O,'Students (Vertical)'!C:C=E250,'Students (Vertical)'!O:O&lt;&gt;"""",'Students (Vertical)'!P:P&gt;1))},{unique(filter('Students (Vertical)'!O:O,'Students (Vertical)'!C:C=B250,'Students (Vertical)'!O:O&lt;&gt;"""",'Students (Vertical)'!P:P&gt;1));unique(filter('Student"&amp;"s (Vertical)'!O:O,'Students (Vertical)'!C:C=E250,'Students (Vertical)'!O:O&lt;&gt;"""",'Students (Vertical)'!P:P&gt;1))})&gt;1))),""""),"""")"),"")</f>
        <v/>
      </c>
      <c r="K250" s="96" t="str">
        <f>IFERROR(__xludf.DUMMYFUNCTION("iferror(join("", "",unique(filter({filter('Students (Vertical)'!D:D,'Students (Vertical)'!C:C=B250,'Students (Vertical)'!D:D&lt;&gt;"""");filter('Students (Vertical)'!D:D,'Students (Vertical)'!C:C=E250,'Students (Vertical)'!D:D&lt;&gt;"""")},countifs({filter('Student"&amp;"s (Vertical)'!D:D,'Students (Vertical)'!C:C=B250,'Students (Vertical)'!D:D&lt;&gt;"""");filter('Students (Vertical)'!D:D,'Students (Vertical)'!C:C=E250,'Students (Vertical)'!D:D&lt;&gt;"""")},{filter('Students (Vertical)'!D:D,'Students (Vertical)'!C:C=B250,'Students "&amp;"(Vertical)'!D:D&lt;&gt;"""");filter('Students (Vertical)'!D:D,'Students (Vertical)'!C:C=E250,'Students (Vertical)'!D:D&lt;&gt;"""")})&gt;1))),"""")"),"")</f>
        <v/>
      </c>
      <c r="L250" s="96"/>
      <c r="M250" s="96"/>
    </row>
    <row r="251" hidden="1">
      <c r="A251" s="8" t="s">
        <v>8</v>
      </c>
      <c r="C251" s="8" t="s">
        <v>8</v>
      </c>
      <c r="D251" s="8" t="s">
        <v>8</v>
      </c>
      <c r="F251" s="8" t="s">
        <v>8</v>
      </c>
      <c r="G251" s="8" t="s">
        <v>8</v>
      </c>
      <c r="I251" s="94" t="str">
        <f>IFERROR(__xludf.DUMMYFUNCTION("if(H251=""Must be Together"",iferror(join("", "",unique(filter({filter('Students (Vertical)'!O:O,'Students (Vertical)'!C:C=B251,'Students (Vertical)'!O:O&lt;&gt;"""");filter('Students (Vertical)'!O:O,'Students (Vertical)'!C:C=E251,'Students (Vertical)'!O:O&lt;&gt;"""&amp;""")},countifs({filter('Students (Vertical)'!O:O,'Students (Vertical)'!C:C=B251,'Students (Vertical)'!O:O&lt;&gt;"""");filter('Students (Vertical)'!O:O,'Students (Vertical)'!C:C=E251,'Students (Vertical)'!O:O&lt;&gt;"""")},{filter('Students (Vertical)'!O:O,'Students ("&amp;"Vertical)'!C:C=B251,'Students (Vertical)'!O:O&lt;&gt;"""");filter('Students (Vertical)'!O:O,'Students (Vertical)'!C:C=E251,'Students (Vertical)'!O:O&lt;&gt;"""")})&gt;1))),""No shared courses""),"""")"),"")</f>
        <v/>
      </c>
      <c r="J251" s="94" t="str">
        <f>IFERROR(__xludf.DUMMYFUNCTION("if(H251=""Can't be Together"",iferror(join("", "",unique(filter({unique(filter('Students (Vertical)'!O:O,'Students (Vertical)'!C:C=B251,'Students (Vertical)'!O:O&lt;&gt;"""",'Students (Vertical)'!P:P&gt;1));unique(filter('Students (Vertical)'!O:O,'Students (Vertic"&amp;"al)'!C:C=E251,'Students (Vertical)'!O:O&lt;&gt;"""",'Students (Vertical)'!P:P&gt;1))},countifs({unique(filter('Students (Vertical)'!O:O,'Students (Vertical)'!C:C=B251,'Students (Vertical)'!O:O&lt;&gt;"""",'Students (Vertical)'!P:P&gt;1));unique(filter('Students (Vertical)'"&amp;"!O:O,'Students (Vertical)'!C:C=E251,'Students (Vertical)'!O:O&lt;&gt;"""",'Students (Vertical)'!P:P&gt;1))},{unique(filter('Students (Vertical)'!O:O,'Students (Vertical)'!C:C=B251,'Students (Vertical)'!O:O&lt;&gt;"""",'Students (Vertical)'!P:P&gt;1));unique(filter('Student"&amp;"s (Vertical)'!O:O,'Students (Vertical)'!C:C=E251,'Students (Vertical)'!O:O&lt;&gt;"""",'Students (Vertical)'!P:P&gt;1))})&gt;1))),""""),"""")"),"")</f>
        <v/>
      </c>
      <c r="K251" s="96" t="str">
        <f>IFERROR(__xludf.DUMMYFUNCTION("iferror(join("", "",unique(filter({filter('Students (Vertical)'!D:D,'Students (Vertical)'!C:C=B251,'Students (Vertical)'!D:D&lt;&gt;"""");filter('Students (Vertical)'!D:D,'Students (Vertical)'!C:C=E251,'Students (Vertical)'!D:D&lt;&gt;"""")},countifs({filter('Student"&amp;"s (Vertical)'!D:D,'Students (Vertical)'!C:C=B251,'Students (Vertical)'!D:D&lt;&gt;"""");filter('Students (Vertical)'!D:D,'Students (Vertical)'!C:C=E251,'Students (Vertical)'!D:D&lt;&gt;"""")},{filter('Students (Vertical)'!D:D,'Students (Vertical)'!C:C=B251,'Students "&amp;"(Vertical)'!D:D&lt;&gt;"""");filter('Students (Vertical)'!D:D,'Students (Vertical)'!C:C=E251,'Students (Vertical)'!D:D&lt;&gt;"""")})&gt;1))),"""")"),"")</f>
        <v/>
      </c>
      <c r="L251" s="96"/>
      <c r="M251" s="96"/>
    </row>
    <row r="252" hidden="1">
      <c r="A252" s="8" t="s">
        <v>8</v>
      </c>
      <c r="C252" s="8" t="s">
        <v>8</v>
      </c>
      <c r="D252" s="8" t="s">
        <v>8</v>
      </c>
      <c r="F252" s="8" t="s">
        <v>8</v>
      </c>
      <c r="G252" s="8" t="s">
        <v>8</v>
      </c>
      <c r="I252" s="94" t="str">
        <f>IFERROR(__xludf.DUMMYFUNCTION("if(H252=""Must be Together"",iferror(join("", "",unique(filter({filter('Students (Vertical)'!O:O,'Students (Vertical)'!C:C=B252,'Students (Vertical)'!O:O&lt;&gt;"""");filter('Students (Vertical)'!O:O,'Students (Vertical)'!C:C=E252,'Students (Vertical)'!O:O&lt;&gt;"""&amp;""")},countifs({filter('Students (Vertical)'!O:O,'Students (Vertical)'!C:C=B252,'Students (Vertical)'!O:O&lt;&gt;"""");filter('Students (Vertical)'!O:O,'Students (Vertical)'!C:C=E252,'Students (Vertical)'!O:O&lt;&gt;"""")},{filter('Students (Vertical)'!O:O,'Students ("&amp;"Vertical)'!C:C=B252,'Students (Vertical)'!O:O&lt;&gt;"""");filter('Students (Vertical)'!O:O,'Students (Vertical)'!C:C=E252,'Students (Vertical)'!O:O&lt;&gt;"""")})&gt;1))),""No shared courses""),"""")"),"")</f>
        <v/>
      </c>
      <c r="J252" s="94" t="str">
        <f>IFERROR(__xludf.DUMMYFUNCTION("if(H252=""Can't be Together"",iferror(join("", "",unique(filter({unique(filter('Students (Vertical)'!O:O,'Students (Vertical)'!C:C=B252,'Students (Vertical)'!O:O&lt;&gt;"""",'Students (Vertical)'!P:P&gt;1));unique(filter('Students (Vertical)'!O:O,'Students (Vertic"&amp;"al)'!C:C=E252,'Students (Vertical)'!O:O&lt;&gt;"""",'Students (Vertical)'!P:P&gt;1))},countifs({unique(filter('Students (Vertical)'!O:O,'Students (Vertical)'!C:C=B252,'Students (Vertical)'!O:O&lt;&gt;"""",'Students (Vertical)'!P:P&gt;1));unique(filter('Students (Vertical)'"&amp;"!O:O,'Students (Vertical)'!C:C=E252,'Students (Vertical)'!O:O&lt;&gt;"""",'Students (Vertical)'!P:P&gt;1))},{unique(filter('Students (Vertical)'!O:O,'Students (Vertical)'!C:C=B252,'Students (Vertical)'!O:O&lt;&gt;"""",'Students (Vertical)'!P:P&gt;1));unique(filter('Student"&amp;"s (Vertical)'!O:O,'Students (Vertical)'!C:C=E252,'Students (Vertical)'!O:O&lt;&gt;"""",'Students (Vertical)'!P:P&gt;1))})&gt;1))),""""),"""")"),"")</f>
        <v/>
      </c>
      <c r="K252" s="96" t="str">
        <f>IFERROR(__xludf.DUMMYFUNCTION("iferror(join("", "",unique(filter({filter('Students (Vertical)'!D:D,'Students (Vertical)'!C:C=B252,'Students (Vertical)'!D:D&lt;&gt;"""");filter('Students (Vertical)'!D:D,'Students (Vertical)'!C:C=E252,'Students (Vertical)'!D:D&lt;&gt;"""")},countifs({filter('Student"&amp;"s (Vertical)'!D:D,'Students (Vertical)'!C:C=B252,'Students (Vertical)'!D:D&lt;&gt;"""");filter('Students (Vertical)'!D:D,'Students (Vertical)'!C:C=E252,'Students (Vertical)'!D:D&lt;&gt;"""")},{filter('Students (Vertical)'!D:D,'Students (Vertical)'!C:C=B252,'Students "&amp;"(Vertical)'!D:D&lt;&gt;"""");filter('Students (Vertical)'!D:D,'Students (Vertical)'!C:C=E252,'Students (Vertical)'!D:D&lt;&gt;"""")})&gt;1))),"""")"),"")</f>
        <v/>
      </c>
      <c r="L252" s="96"/>
      <c r="M252" s="96"/>
    </row>
    <row r="253" hidden="1">
      <c r="A253" s="8" t="s">
        <v>8</v>
      </c>
      <c r="C253" s="8" t="s">
        <v>8</v>
      </c>
      <c r="D253" s="8" t="s">
        <v>8</v>
      </c>
      <c r="F253" s="8" t="s">
        <v>8</v>
      </c>
      <c r="G253" s="8" t="s">
        <v>8</v>
      </c>
      <c r="I253" s="94" t="str">
        <f>IFERROR(__xludf.DUMMYFUNCTION("if(H253=""Must be Together"",iferror(join("", "",unique(filter({filter('Students (Vertical)'!O:O,'Students (Vertical)'!C:C=B253,'Students (Vertical)'!O:O&lt;&gt;"""");filter('Students (Vertical)'!O:O,'Students (Vertical)'!C:C=E253,'Students (Vertical)'!O:O&lt;&gt;"""&amp;""")},countifs({filter('Students (Vertical)'!O:O,'Students (Vertical)'!C:C=B253,'Students (Vertical)'!O:O&lt;&gt;"""");filter('Students (Vertical)'!O:O,'Students (Vertical)'!C:C=E253,'Students (Vertical)'!O:O&lt;&gt;"""")},{filter('Students (Vertical)'!O:O,'Students ("&amp;"Vertical)'!C:C=B253,'Students (Vertical)'!O:O&lt;&gt;"""");filter('Students (Vertical)'!O:O,'Students (Vertical)'!C:C=E253,'Students (Vertical)'!O:O&lt;&gt;"""")})&gt;1))),""No shared courses""),"""")"),"")</f>
        <v/>
      </c>
      <c r="J253" s="94" t="str">
        <f>IFERROR(__xludf.DUMMYFUNCTION("if(H253=""Can't be Together"",iferror(join("", "",unique(filter({unique(filter('Students (Vertical)'!O:O,'Students (Vertical)'!C:C=B253,'Students (Vertical)'!O:O&lt;&gt;"""",'Students (Vertical)'!P:P&gt;1));unique(filter('Students (Vertical)'!O:O,'Students (Vertic"&amp;"al)'!C:C=E253,'Students (Vertical)'!O:O&lt;&gt;"""",'Students (Vertical)'!P:P&gt;1))},countifs({unique(filter('Students (Vertical)'!O:O,'Students (Vertical)'!C:C=B253,'Students (Vertical)'!O:O&lt;&gt;"""",'Students (Vertical)'!P:P&gt;1));unique(filter('Students (Vertical)'"&amp;"!O:O,'Students (Vertical)'!C:C=E253,'Students (Vertical)'!O:O&lt;&gt;"""",'Students (Vertical)'!P:P&gt;1))},{unique(filter('Students (Vertical)'!O:O,'Students (Vertical)'!C:C=B253,'Students (Vertical)'!O:O&lt;&gt;"""",'Students (Vertical)'!P:P&gt;1));unique(filter('Student"&amp;"s (Vertical)'!O:O,'Students (Vertical)'!C:C=E253,'Students (Vertical)'!O:O&lt;&gt;"""",'Students (Vertical)'!P:P&gt;1))})&gt;1))),""""),"""")"),"")</f>
        <v/>
      </c>
      <c r="K253" s="96" t="str">
        <f>IFERROR(__xludf.DUMMYFUNCTION("iferror(join("", "",unique(filter({filter('Students (Vertical)'!D:D,'Students (Vertical)'!C:C=B253,'Students (Vertical)'!D:D&lt;&gt;"""");filter('Students (Vertical)'!D:D,'Students (Vertical)'!C:C=E253,'Students (Vertical)'!D:D&lt;&gt;"""")},countifs({filter('Student"&amp;"s (Vertical)'!D:D,'Students (Vertical)'!C:C=B253,'Students (Vertical)'!D:D&lt;&gt;"""");filter('Students (Vertical)'!D:D,'Students (Vertical)'!C:C=E253,'Students (Vertical)'!D:D&lt;&gt;"""")},{filter('Students (Vertical)'!D:D,'Students (Vertical)'!C:C=B253,'Students "&amp;"(Vertical)'!D:D&lt;&gt;"""");filter('Students (Vertical)'!D:D,'Students (Vertical)'!C:C=E253,'Students (Vertical)'!D:D&lt;&gt;"""")})&gt;1))),"""")"),"")</f>
        <v/>
      </c>
      <c r="L253" s="96"/>
      <c r="M253" s="96"/>
    </row>
    <row r="254" hidden="1">
      <c r="A254" s="8" t="s">
        <v>8</v>
      </c>
      <c r="C254" s="8" t="s">
        <v>8</v>
      </c>
      <c r="D254" s="8" t="s">
        <v>8</v>
      </c>
      <c r="F254" s="8" t="s">
        <v>8</v>
      </c>
      <c r="G254" s="8" t="s">
        <v>8</v>
      </c>
      <c r="I254" s="94" t="str">
        <f>IFERROR(__xludf.DUMMYFUNCTION("if(H254=""Must be Together"",iferror(join("", "",unique(filter({filter('Students (Vertical)'!O:O,'Students (Vertical)'!C:C=B254,'Students (Vertical)'!O:O&lt;&gt;"""");filter('Students (Vertical)'!O:O,'Students (Vertical)'!C:C=E254,'Students (Vertical)'!O:O&lt;&gt;"""&amp;""")},countifs({filter('Students (Vertical)'!O:O,'Students (Vertical)'!C:C=B254,'Students (Vertical)'!O:O&lt;&gt;"""");filter('Students (Vertical)'!O:O,'Students (Vertical)'!C:C=E254,'Students (Vertical)'!O:O&lt;&gt;"""")},{filter('Students (Vertical)'!O:O,'Students ("&amp;"Vertical)'!C:C=B254,'Students (Vertical)'!O:O&lt;&gt;"""");filter('Students (Vertical)'!O:O,'Students (Vertical)'!C:C=E254,'Students (Vertical)'!O:O&lt;&gt;"""")})&gt;1))),""No shared courses""),"""")"),"")</f>
        <v/>
      </c>
      <c r="J254" s="94" t="str">
        <f>IFERROR(__xludf.DUMMYFUNCTION("if(H254=""Can't be Together"",iferror(join("", "",unique(filter({unique(filter('Students (Vertical)'!O:O,'Students (Vertical)'!C:C=B254,'Students (Vertical)'!O:O&lt;&gt;"""",'Students (Vertical)'!P:P&gt;1));unique(filter('Students (Vertical)'!O:O,'Students (Vertic"&amp;"al)'!C:C=E254,'Students (Vertical)'!O:O&lt;&gt;"""",'Students (Vertical)'!P:P&gt;1))},countifs({unique(filter('Students (Vertical)'!O:O,'Students (Vertical)'!C:C=B254,'Students (Vertical)'!O:O&lt;&gt;"""",'Students (Vertical)'!P:P&gt;1));unique(filter('Students (Vertical)'"&amp;"!O:O,'Students (Vertical)'!C:C=E254,'Students (Vertical)'!O:O&lt;&gt;"""",'Students (Vertical)'!P:P&gt;1))},{unique(filter('Students (Vertical)'!O:O,'Students (Vertical)'!C:C=B254,'Students (Vertical)'!O:O&lt;&gt;"""",'Students (Vertical)'!P:P&gt;1));unique(filter('Student"&amp;"s (Vertical)'!O:O,'Students (Vertical)'!C:C=E254,'Students (Vertical)'!O:O&lt;&gt;"""",'Students (Vertical)'!P:P&gt;1))})&gt;1))),""""),"""")"),"")</f>
        <v/>
      </c>
      <c r="K254" s="96" t="str">
        <f>IFERROR(__xludf.DUMMYFUNCTION("iferror(join("", "",unique(filter({filter('Students (Vertical)'!D:D,'Students (Vertical)'!C:C=B254,'Students (Vertical)'!D:D&lt;&gt;"""");filter('Students (Vertical)'!D:D,'Students (Vertical)'!C:C=E254,'Students (Vertical)'!D:D&lt;&gt;"""")},countifs({filter('Student"&amp;"s (Vertical)'!D:D,'Students (Vertical)'!C:C=B254,'Students (Vertical)'!D:D&lt;&gt;"""");filter('Students (Vertical)'!D:D,'Students (Vertical)'!C:C=E254,'Students (Vertical)'!D:D&lt;&gt;"""")},{filter('Students (Vertical)'!D:D,'Students (Vertical)'!C:C=B254,'Students "&amp;"(Vertical)'!D:D&lt;&gt;"""");filter('Students (Vertical)'!D:D,'Students (Vertical)'!C:C=E254,'Students (Vertical)'!D:D&lt;&gt;"""")})&gt;1))),"""")"),"")</f>
        <v/>
      </c>
      <c r="L254" s="96"/>
      <c r="M254" s="96"/>
    </row>
    <row r="255" hidden="1">
      <c r="A255" s="8" t="s">
        <v>8</v>
      </c>
      <c r="C255" s="8" t="s">
        <v>8</v>
      </c>
      <c r="D255" s="8" t="s">
        <v>8</v>
      </c>
      <c r="F255" s="8" t="s">
        <v>8</v>
      </c>
      <c r="G255" s="8" t="s">
        <v>8</v>
      </c>
      <c r="I255" s="94" t="str">
        <f>IFERROR(__xludf.DUMMYFUNCTION("if(H255=""Must be Together"",iferror(join("", "",unique(filter({filter('Students (Vertical)'!O:O,'Students (Vertical)'!C:C=B255,'Students (Vertical)'!O:O&lt;&gt;"""");filter('Students (Vertical)'!O:O,'Students (Vertical)'!C:C=E255,'Students (Vertical)'!O:O&lt;&gt;"""&amp;""")},countifs({filter('Students (Vertical)'!O:O,'Students (Vertical)'!C:C=B255,'Students (Vertical)'!O:O&lt;&gt;"""");filter('Students (Vertical)'!O:O,'Students (Vertical)'!C:C=E255,'Students (Vertical)'!O:O&lt;&gt;"""")},{filter('Students (Vertical)'!O:O,'Students ("&amp;"Vertical)'!C:C=B255,'Students (Vertical)'!O:O&lt;&gt;"""");filter('Students (Vertical)'!O:O,'Students (Vertical)'!C:C=E255,'Students (Vertical)'!O:O&lt;&gt;"""")})&gt;1))),""No shared courses""),"""")"),"")</f>
        <v/>
      </c>
      <c r="J255" s="94" t="str">
        <f>IFERROR(__xludf.DUMMYFUNCTION("if(H255=""Can't be Together"",iferror(join("", "",unique(filter({unique(filter('Students (Vertical)'!O:O,'Students (Vertical)'!C:C=B255,'Students (Vertical)'!O:O&lt;&gt;"""",'Students (Vertical)'!P:P&gt;1));unique(filter('Students (Vertical)'!O:O,'Students (Vertic"&amp;"al)'!C:C=E255,'Students (Vertical)'!O:O&lt;&gt;"""",'Students (Vertical)'!P:P&gt;1))},countifs({unique(filter('Students (Vertical)'!O:O,'Students (Vertical)'!C:C=B255,'Students (Vertical)'!O:O&lt;&gt;"""",'Students (Vertical)'!P:P&gt;1));unique(filter('Students (Vertical)'"&amp;"!O:O,'Students (Vertical)'!C:C=E255,'Students (Vertical)'!O:O&lt;&gt;"""",'Students (Vertical)'!P:P&gt;1))},{unique(filter('Students (Vertical)'!O:O,'Students (Vertical)'!C:C=B255,'Students (Vertical)'!O:O&lt;&gt;"""",'Students (Vertical)'!P:P&gt;1));unique(filter('Student"&amp;"s (Vertical)'!O:O,'Students (Vertical)'!C:C=E255,'Students (Vertical)'!O:O&lt;&gt;"""",'Students (Vertical)'!P:P&gt;1))})&gt;1))),""""),"""")"),"")</f>
        <v/>
      </c>
      <c r="K255" s="96" t="str">
        <f>IFERROR(__xludf.DUMMYFUNCTION("iferror(join("", "",unique(filter({filter('Students (Vertical)'!D:D,'Students (Vertical)'!C:C=B255,'Students (Vertical)'!D:D&lt;&gt;"""");filter('Students (Vertical)'!D:D,'Students (Vertical)'!C:C=E255,'Students (Vertical)'!D:D&lt;&gt;"""")},countifs({filter('Student"&amp;"s (Vertical)'!D:D,'Students (Vertical)'!C:C=B255,'Students (Vertical)'!D:D&lt;&gt;"""");filter('Students (Vertical)'!D:D,'Students (Vertical)'!C:C=E255,'Students (Vertical)'!D:D&lt;&gt;"""")},{filter('Students (Vertical)'!D:D,'Students (Vertical)'!C:C=B255,'Students "&amp;"(Vertical)'!D:D&lt;&gt;"""");filter('Students (Vertical)'!D:D,'Students (Vertical)'!C:C=E255,'Students (Vertical)'!D:D&lt;&gt;"""")})&gt;1))),"""")"),"")</f>
        <v/>
      </c>
      <c r="L255" s="96"/>
      <c r="M255" s="96"/>
    </row>
    <row r="256" hidden="1">
      <c r="A256" s="8" t="s">
        <v>8</v>
      </c>
      <c r="C256" s="8" t="s">
        <v>8</v>
      </c>
      <c r="D256" s="8" t="s">
        <v>8</v>
      </c>
      <c r="F256" s="8" t="s">
        <v>8</v>
      </c>
      <c r="G256" s="8" t="s">
        <v>8</v>
      </c>
      <c r="I256" s="94" t="str">
        <f>IFERROR(__xludf.DUMMYFUNCTION("if(H256=""Must be Together"",iferror(join("", "",unique(filter({filter('Students (Vertical)'!O:O,'Students (Vertical)'!C:C=B256,'Students (Vertical)'!O:O&lt;&gt;"""");filter('Students (Vertical)'!O:O,'Students (Vertical)'!C:C=E256,'Students (Vertical)'!O:O&lt;&gt;"""&amp;""")},countifs({filter('Students (Vertical)'!O:O,'Students (Vertical)'!C:C=B256,'Students (Vertical)'!O:O&lt;&gt;"""");filter('Students (Vertical)'!O:O,'Students (Vertical)'!C:C=E256,'Students (Vertical)'!O:O&lt;&gt;"""")},{filter('Students (Vertical)'!O:O,'Students ("&amp;"Vertical)'!C:C=B256,'Students (Vertical)'!O:O&lt;&gt;"""");filter('Students (Vertical)'!O:O,'Students (Vertical)'!C:C=E256,'Students (Vertical)'!O:O&lt;&gt;"""")})&gt;1))),""No shared courses""),"""")"),"")</f>
        <v/>
      </c>
      <c r="J256" s="94" t="str">
        <f>IFERROR(__xludf.DUMMYFUNCTION("if(H256=""Can't be Together"",iferror(join("", "",unique(filter({unique(filter('Students (Vertical)'!O:O,'Students (Vertical)'!C:C=B256,'Students (Vertical)'!O:O&lt;&gt;"""",'Students (Vertical)'!P:P&gt;1));unique(filter('Students (Vertical)'!O:O,'Students (Vertic"&amp;"al)'!C:C=E256,'Students (Vertical)'!O:O&lt;&gt;"""",'Students (Vertical)'!P:P&gt;1))},countifs({unique(filter('Students (Vertical)'!O:O,'Students (Vertical)'!C:C=B256,'Students (Vertical)'!O:O&lt;&gt;"""",'Students (Vertical)'!P:P&gt;1));unique(filter('Students (Vertical)'"&amp;"!O:O,'Students (Vertical)'!C:C=E256,'Students (Vertical)'!O:O&lt;&gt;"""",'Students (Vertical)'!P:P&gt;1))},{unique(filter('Students (Vertical)'!O:O,'Students (Vertical)'!C:C=B256,'Students (Vertical)'!O:O&lt;&gt;"""",'Students (Vertical)'!P:P&gt;1));unique(filter('Student"&amp;"s (Vertical)'!O:O,'Students (Vertical)'!C:C=E256,'Students (Vertical)'!O:O&lt;&gt;"""",'Students (Vertical)'!P:P&gt;1))})&gt;1))),""""),"""")"),"")</f>
        <v/>
      </c>
      <c r="K256" s="96" t="str">
        <f>IFERROR(__xludf.DUMMYFUNCTION("iferror(join("", "",unique(filter({filter('Students (Vertical)'!D:D,'Students (Vertical)'!C:C=B256,'Students (Vertical)'!D:D&lt;&gt;"""");filter('Students (Vertical)'!D:D,'Students (Vertical)'!C:C=E256,'Students (Vertical)'!D:D&lt;&gt;"""")},countifs({filter('Student"&amp;"s (Vertical)'!D:D,'Students (Vertical)'!C:C=B256,'Students (Vertical)'!D:D&lt;&gt;"""");filter('Students (Vertical)'!D:D,'Students (Vertical)'!C:C=E256,'Students (Vertical)'!D:D&lt;&gt;"""")},{filter('Students (Vertical)'!D:D,'Students (Vertical)'!C:C=B256,'Students "&amp;"(Vertical)'!D:D&lt;&gt;"""");filter('Students (Vertical)'!D:D,'Students (Vertical)'!C:C=E256,'Students (Vertical)'!D:D&lt;&gt;"""")})&gt;1))),"""")"),"")</f>
        <v/>
      </c>
      <c r="L256" s="96"/>
      <c r="M256" s="96"/>
    </row>
    <row r="257" hidden="1">
      <c r="A257" s="8" t="s">
        <v>8</v>
      </c>
      <c r="C257" s="8" t="s">
        <v>8</v>
      </c>
      <c r="D257" s="8" t="s">
        <v>8</v>
      </c>
      <c r="F257" s="8" t="s">
        <v>8</v>
      </c>
      <c r="G257" s="8" t="s">
        <v>8</v>
      </c>
      <c r="I257" s="94" t="str">
        <f>IFERROR(__xludf.DUMMYFUNCTION("if(H257=""Must be Together"",iferror(join("", "",unique(filter({filter('Students (Vertical)'!O:O,'Students (Vertical)'!C:C=B257,'Students (Vertical)'!O:O&lt;&gt;"""");filter('Students (Vertical)'!O:O,'Students (Vertical)'!C:C=E257,'Students (Vertical)'!O:O&lt;&gt;"""&amp;""")},countifs({filter('Students (Vertical)'!O:O,'Students (Vertical)'!C:C=B257,'Students (Vertical)'!O:O&lt;&gt;"""");filter('Students (Vertical)'!O:O,'Students (Vertical)'!C:C=E257,'Students (Vertical)'!O:O&lt;&gt;"""")},{filter('Students (Vertical)'!O:O,'Students ("&amp;"Vertical)'!C:C=B257,'Students (Vertical)'!O:O&lt;&gt;"""");filter('Students (Vertical)'!O:O,'Students (Vertical)'!C:C=E257,'Students (Vertical)'!O:O&lt;&gt;"""")})&gt;1))),""No shared courses""),"""")"),"")</f>
        <v/>
      </c>
      <c r="J257" s="94" t="str">
        <f>IFERROR(__xludf.DUMMYFUNCTION("if(H257=""Can't be Together"",iferror(join("", "",unique(filter({unique(filter('Students (Vertical)'!O:O,'Students (Vertical)'!C:C=B257,'Students (Vertical)'!O:O&lt;&gt;"""",'Students (Vertical)'!P:P&gt;1));unique(filter('Students (Vertical)'!O:O,'Students (Vertic"&amp;"al)'!C:C=E257,'Students (Vertical)'!O:O&lt;&gt;"""",'Students (Vertical)'!P:P&gt;1))},countifs({unique(filter('Students (Vertical)'!O:O,'Students (Vertical)'!C:C=B257,'Students (Vertical)'!O:O&lt;&gt;"""",'Students (Vertical)'!P:P&gt;1));unique(filter('Students (Vertical)'"&amp;"!O:O,'Students (Vertical)'!C:C=E257,'Students (Vertical)'!O:O&lt;&gt;"""",'Students (Vertical)'!P:P&gt;1))},{unique(filter('Students (Vertical)'!O:O,'Students (Vertical)'!C:C=B257,'Students (Vertical)'!O:O&lt;&gt;"""",'Students (Vertical)'!P:P&gt;1));unique(filter('Student"&amp;"s (Vertical)'!O:O,'Students (Vertical)'!C:C=E257,'Students (Vertical)'!O:O&lt;&gt;"""",'Students (Vertical)'!P:P&gt;1))})&gt;1))),""""),"""")"),"")</f>
        <v/>
      </c>
      <c r="K257" s="96" t="str">
        <f>IFERROR(__xludf.DUMMYFUNCTION("iferror(join("", "",unique(filter({filter('Students (Vertical)'!D:D,'Students (Vertical)'!C:C=B257,'Students (Vertical)'!D:D&lt;&gt;"""");filter('Students (Vertical)'!D:D,'Students (Vertical)'!C:C=E257,'Students (Vertical)'!D:D&lt;&gt;"""")},countifs({filter('Student"&amp;"s (Vertical)'!D:D,'Students (Vertical)'!C:C=B257,'Students (Vertical)'!D:D&lt;&gt;"""");filter('Students (Vertical)'!D:D,'Students (Vertical)'!C:C=E257,'Students (Vertical)'!D:D&lt;&gt;"""")},{filter('Students (Vertical)'!D:D,'Students (Vertical)'!C:C=B257,'Students "&amp;"(Vertical)'!D:D&lt;&gt;"""");filter('Students (Vertical)'!D:D,'Students (Vertical)'!C:C=E257,'Students (Vertical)'!D:D&lt;&gt;"""")})&gt;1))),"""")"),"")</f>
        <v/>
      </c>
      <c r="L257" s="96"/>
      <c r="M257" s="96"/>
    </row>
    <row r="258" hidden="1">
      <c r="A258" s="8" t="s">
        <v>8</v>
      </c>
      <c r="C258" s="8" t="s">
        <v>8</v>
      </c>
      <c r="D258" s="8" t="s">
        <v>8</v>
      </c>
      <c r="F258" s="8" t="s">
        <v>8</v>
      </c>
      <c r="G258" s="8" t="s">
        <v>8</v>
      </c>
      <c r="I258" s="94" t="str">
        <f>IFERROR(__xludf.DUMMYFUNCTION("if(H258=""Must be Together"",iferror(join("", "",unique(filter({filter('Students (Vertical)'!O:O,'Students (Vertical)'!C:C=B258,'Students (Vertical)'!O:O&lt;&gt;"""");filter('Students (Vertical)'!O:O,'Students (Vertical)'!C:C=E258,'Students (Vertical)'!O:O&lt;&gt;"""&amp;""")},countifs({filter('Students (Vertical)'!O:O,'Students (Vertical)'!C:C=B258,'Students (Vertical)'!O:O&lt;&gt;"""");filter('Students (Vertical)'!O:O,'Students (Vertical)'!C:C=E258,'Students (Vertical)'!O:O&lt;&gt;"""")},{filter('Students (Vertical)'!O:O,'Students ("&amp;"Vertical)'!C:C=B258,'Students (Vertical)'!O:O&lt;&gt;"""");filter('Students (Vertical)'!O:O,'Students (Vertical)'!C:C=E258,'Students (Vertical)'!O:O&lt;&gt;"""")})&gt;1))),""No shared courses""),"""")"),"")</f>
        <v/>
      </c>
      <c r="J258" s="94" t="str">
        <f>IFERROR(__xludf.DUMMYFUNCTION("if(H258=""Can't be Together"",iferror(join("", "",unique(filter({unique(filter('Students (Vertical)'!O:O,'Students (Vertical)'!C:C=B258,'Students (Vertical)'!O:O&lt;&gt;"""",'Students (Vertical)'!P:P&gt;1));unique(filter('Students (Vertical)'!O:O,'Students (Vertic"&amp;"al)'!C:C=E258,'Students (Vertical)'!O:O&lt;&gt;"""",'Students (Vertical)'!P:P&gt;1))},countifs({unique(filter('Students (Vertical)'!O:O,'Students (Vertical)'!C:C=B258,'Students (Vertical)'!O:O&lt;&gt;"""",'Students (Vertical)'!P:P&gt;1));unique(filter('Students (Vertical)'"&amp;"!O:O,'Students (Vertical)'!C:C=E258,'Students (Vertical)'!O:O&lt;&gt;"""",'Students (Vertical)'!P:P&gt;1))},{unique(filter('Students (Vertical)'!O:O,'Students (Vertical)'!C:C=B258,'Students (Vertical)'!O:O&lt;&gt;"""",'Students (Vertical)'!P:P&gt;1));unique(filter('Student"&amp;"s (Vertical)'!O:O,'Students (Vertical)'!C:C=E258,'Students (Vertical)'!O:O&lt;&gt;"""",'Students (Vertical)'!P:P&gt;1))})&gt;1))),""""),"""")"),"")</f>
        <v/>
      </c>
      <c r="K258" s="96" t="str">
        <f>IFERROR(__xludf.DUMMYFUNCTION("iferror(join("", "",unique(filter({filter('Students (Vertical)'!D:D,'Students (Vertical)'!C:C=B258,'Students (Vertical)'!D:D&lt;&gt;"""");filter('Students (Vertical)'!D:D,'Students (Vertical)'!C:C=E258,'Students (Vertical)'!D:D&lt;&gt;"""")},countifs({filter('Student"&amp;"s (Vertical)'!D:D,'Students (Vertical)'!C:C=B258,'Students (Vertical)'!D:D&lt;&gt;"""");filter('Students (Vertical)'!D:D,'Students (Vertical)'!C:C=E258,'Students (Vertical)'!D:D&lt;&gt;"""")},{filter('Students (Vertical)'!D:D,'Students (Vertical)'!C:C=B258,'Students "&amp;"(Vertical)'!D:D&lt;&gt;"""");filter('Students (Vertical)'!D:D,'Students (Vertical)'!C:C=E258,'Students (Vertical)'!D:D&lt;&gt;"""")})&gt;1))),"""")"),"")</f>
        <v/>
      </c>
      <c r="L258" s="96"/>
      <c r="M258" s="96"/>
    </row>
    <row r="259" hidden="1">
      <c r="A259" s="8" t="s">
        <v>8</v>
      </c>
      <c r="C259" s="8" t="s">
        <v>8</v>
      </c>
      <c r="D259" s="8" t="s">
        <v>8</v>
      </c>
      <c r="F259" s="8" t="s">
        <v>8</v>
      </c>
      <c r="G259" s="8" t="s">
        <v>8</v>
      </c>
      <c r="I259" s="94" t="str">
        <f>IFERROR(__xludf.DUMMYFUNCTION("if(H259=""Must be Together"",iferror(join("", "",unique(filter({filter('Students (Vertical)'!O:O,'Students (Vertical)'!C:C=B259,'Students (Vertical)'!O:O&lt;&gt;"""");filter('Students (Vertical)'!O:O,'Students (Vertical)'!C:C=E259,'Students (Vertical)'!O:O&lt;&gt;"""&amp;""")},countifs({filter('Students (Vertical)'!O:O,'Students (Vertical)'!C:C=B259,'Students (Vertical)'!O:O&lt;&gt;"""");filter('Students (Vertical)'!O:O,'Students (Vertical)'!C:C=E259,'Students (Vertical)'!O:O&lt;&gt;"""")},{filter('Students (Vertical)'!O:O,'Students ("&amp;"Vertical)'!C:C=B259,'Students (Vertical)'!O:O&lt;&gt;"""");filter('Students (Vertical)'!O:O,'Students (Vertical)'!C:C=E259,'Students (Vertical)'!O:O&lt;&gt;"""")})&gt;1))),""No shared courses""),"""")"),"")</f>
        <v/>
      </c>
      <c r="J259" s="94" t="str">
        <f>IFERROR(__xludf.DUMMYFUNCTION("if(H259=""Can't be Together"",iferror(join("", "",unique(filter({unique(filter('Students (Vertical)'!O:O,'Students (Vertical)'!C:C=B259,'Students (Vertical)'!O:O&lt;&gt;"""",'Students (Vertical)'!P:P&gt;1));unique(filter('Students (Vertical)'!O:O,'Students (Vertic"&amp;"al)'!C:C=E259,'Students (Vertical)'!O:O&lt;&gt;"""",'Students (Vertical)'!P:P&gt;1))},countifs({unique(filter('Students (Vertical)'!O:O,'Students (Vertical)'!C:C=B259,'Students (Vertical)'!O:O&lt;&gt;"""",'Students (Vertical)'!P:P&gt;1));unique(filter('Students (Vertical)'"&amp;"!O:O,'Students (Vertical)'!C:C=E259,'Students (Vertical)'!O:O&lt;&gt;"""",'Students (Vertical)'!P:P&gt;1))},{unique(filter('Students (Vertical)'!O:O,'Students (Vertical)'!C:C=B259,'Students (Vertical)'!O:O&lt;&gt;"""",'Students (Vertical)'!P:P&gt;1));unique(filter('Student"&amp;"s (Vertical)'!O:O,'Students (Vertical)'!C:C=E259,'Students (Vertical)'!O:O&lt;&gt;"""",'Students (Vertical)'!P:P&gt;1))})&gt;1))),""""),"""")"),"")</f>
        <v/>
      </c>
      <c r="K259" s="96" t="str">
        <f>IFERROR(__xludf.DUMMYFUNCTION("iferror(join("", "",unique(filter({filter('Students (Vertical)'!D:D,'Students (Vertical)'!C:C=B259,'Students (Vertical)'!D:D&lt;&gt;"""");filter('Students (Vertical)'!D:D,'Students (Vertical)'!C:C=E259,'Students (Vertical)'!D:D&lt;&gt;"""")},countifs({filter('Student"&amp;"s (Vertical)'!D:D,'Students (Vertical)'!C:C=B259,'Students (Vertical)'!D:D&lt;&gt;"""");filter('Students (Vertical)'!D:D,'Students (Vertical)'!C:C=E259,'Students (Vertical)'!D:D&lt;&gt;"""")},{filter('Students (Vertical)'!D:D,'Students (Vertical)'!C:C=B259,'Students "&amp;"(Vertical)'!D:D&lt;&gt;"""");filter('Students (Vertical)'!D:D,'Students (Vertical)'!C:C=E259,'Students (Vertical)'!D:D&lt;&gt;"""")})&gt;1))),"""")"),"")</f>
        <v/>
      </c>
      <c r="L259" s="96"/>
      <c r="M259" s="96"/>
    </row>
    <row r="260" hidden="1">
      <c r="A260" s="8" t="s">
        <v>8</v>
      </c>
      <c r="C260" s="8" t="s">
        <v>8</v>
      </c>
      <c r="D260" s="8" t="s">
        <v>8</v>
      </c>
      <c r="F260" s="8" t="s">
        <v>8</v>
      </c>
      <c r="G260" s="8" t="s">
        <v>8</v>
      </c>
      <c r="I260" s="94" t="str">
        <f>IFERROR(__xludf.DUMMYFUNCTION("if(H260=""Must be Together"",iferror(join("", "",unique(filter({filter('Students (Vertical)'!O:O,'Students (Vertical)'!C:C=B260,'Students (Vertical)'!O:O&lt;&gt;"""");filter('Students (Vertical)'!O:O,'Students (Vertical)'!C:C=E260,'Students (Vertical)'!O:O&lt;&gt;"""&amp;""")},countifs({filter('Students (Vertical)'!O:O,'Students (Vertical)'!C:C=B260,'Students (Vertical)'!O:O&lt;&gt;"""");filter('Students (Vertical)'!O:O,'Students (Vertical)'!C:C=E260,'Students (Vertical)'!O:O&lt;&gt;"""")},{filter('Students (Vertical)'!O:O,'Students ("&amp;"Vertical)'!C:C=B260,'Students (Vertical)'!O:O&lt;&gt;"""");filter('Students (Vertical)'!O:O,'Students (Vertical)'!C:C=E260,'Students (Vertical)'!O:O&lt;&gt;"""")})&gt;1))),""No shared courses""),"""")"),"")</f>
        <v/>
      </c>
      <c r="J260" s="94" t="str">
        <f>IFERROR(__xludf.DUMMYFUNCTION("if(H260=""Can't be Together"",iferror(join("", "",unique(filter({unique(filter('Students (Vertical)'!O:O,'Students (Vertical)'!C:C=B260,'Students (Vertical)'!O:O&lt;&gt;"""",'Students (Vertical)'!P:P&gt;1));unique(filter('Students (Vertical)'!O:O,'Students (Vertic"&amp;"al)'!C:C=E260,'Students (Vertical)'!O:O&lt;&gt;"""",'Students (Vertical)'!P:P&gt;1))},countifs({unique(filter('Students (Vertical)'!O:O,'Students (Vertical)'!C:C=B260,'Students (Vertical)'!O:O&lt;&gt;"""",'Students (Vertical)'!P:P&gt;1));unique(filter('Students (Vertical)'"&amp;"!O:O,'Students (Vertical)'!C:C=E260,'Students (Vertical)'!O:O&lt;&gt;"""",'Students (Vertical)'!P:P&gt;1))},{unique(filter('Students (Vertical)'!O:O,'Students (Vertical)'!C:C=B260,'Students (Vertical)'!O:O&lt;&gt;"""",'Students (Vertical)'!P:P&gt;1));unique(filter('Student"&amp;"s (Vertical)'!O:O,'Students (Vertical)'!C:C=E260,'Students (Vertical)'!O:O&lt;&gt;"""",'Students (Vertical)'!P:P&gt;1))})&gt;1))),""""),"""")"),"")</f>
        <v/>
      </c>
      <c r="K260" s="96" t="str">
        <f>IFERROR(__xludf.DUMMYFUNCTION("iferror(join("", "",unique(filter({filter('Students (Vertical)'!D:D,'Students (Vertical)'!C:C=B260,'Students (Vertical)'!D:D&lt;&gt;"""");filter('Students (Vertical)'!D:D,'Students (Vertical)'!C:C=E260,'Students (Vertical)'!D:D&lt;&gt;"""")},countifs({filter('Student"&amp;"s (Vertical)'!D:D,'Students (Vertical)'!C:C=B260,'Students (Vertical)'!D:D&lt;&gt;"""");filter('Students (Vertical)'!D:D,'Students (Vertical)'!C:C=E260,'Students (Vertical)'!D:D&lt;&gt;"""")},{filter('Students (Vertical)'!D:D,'Students (Vertical)'!C:C=B260,'Students "&amp;"(Vertical)'!D:D&lt;&gt;"""");filter('Students (Vertical)'!D:D,'Students (Vertical)'!C:C=E260,'Students (Vertical)'!D:D&lt;&gt;"""")})&gt;1))),"""")"),"")</f>
        <v/>
      </c>
      <c r="L260" s="96"/>
      <c r="M260" s="96"/>
    </row>
    <row r="261" hidden="1">
      <c r="A261" s="8" t="s">
        <v>8</v>
      </c>
      <c r="C261" s="8" t="s">
        <v>8</v>
      </c>
      <c r="D261" s="8" t="s">
        <v>8</v>
      </c>
      <c r="F261" s="8" t="s">
        <v>8</v>
      </c>
      <c r="G261" s="8" t="s">
        <v>8</v>
      </c>
      <c r="I261" s="94" t="str">
        <f>IFERROR(__xludf.DUMMYFUNCTION("if(H261=""Must be Together"",iferror(join("", "",unique(filter({filter('Students (Vertical)'!O:O,'Students (Vertical)'!C:C=B261,'Students (Vertical)'!O:O&lt;&gt;"""");filter('Students (Vertical)'!O:O,'Students (Vertical)'!C:C=E261,'Students (Vertical)'!O:O&lt;&gt;"""&amp;""")},countifs({filter('Students (Vertical)'!O:O,'Students (Vertical)'!C:C=B261,'Students (Vertical)'!O:O&lt;&gt;"""");filter('Students (Vertical)'!O:O,'Students (Vertical)'!C:C=E261,'Students (Vertical)'!O:O&lt;&gt;"""")},{filter('Students (Vertical)'!O:O,'Students ("&amp;"Vertical)'!C:C=B261,'Students (Vertical)'!O:O&lt;&gt;"""");filter('Students (Vertical)'!O:O,'Students (Vertical)'!C:C=E261,'Students (Vertical)'!O:O&lt;&gt;"""")})&gt;1))),""No shared courses""),"""")"),"")</f>
        <v/>
      </c>
      <c r="J261" s="94" t="str">
        <f>IFERROR(__xludf.DUMMYFUNCTION("if(H261=""Can't be Together"",iferror(join("", "",unique(filter({unique(filter('Students (Vertical)'!O:O,'Students (Vertical)'!C:C=B261,'Students (Vertical)'!O:O&lt;&gt;"""",'Students (Vertical)'!P:P&gt;1));unique(filter('Students (Vertical)'!O:O,'Students (Vertic"&amp;"al)'!C:C=E261,'Students (Vertical)'!O:O&lt;&gt;"""",'Students (Vertical)'!P:P&gt;1))},countifs({unique(filter('Students (Vertical)'!O:O,'Students (Vertical)'!C:C=B261,'Students (Vertical)'!O:O&lt;&gt;"""",'Students (Vertical)'!P:P&gt;1));unique(filter('Students (Vertical)'"&amp;"!O:O,'Students (Vertical)'!C:C=E261,'Students (Vertical)'!O:O&lt;&gt;"""",'Students (Vertical)'!P:P&gt;1))},{unique(filter('Students (Vertical)'!O:O,'Students (Vertical)'!C:C=B261,'Students (Vertical)'!O:O&lt;&gt;"""",'Students (Vertical)'!P:P&gt;1));unique(filter('Student"&amp;"s (Vertical)'!O:O,'Students (Vertical)'!C:C=E261,'Students (Vertical)'!O:O&lt;&gt;"""",'Students (Vertical)'!P:P&gt;1))})&gt;1))),""""),"""")"),"")</f>
        <v/>
      </c>
      <c r="K261" s="96" t="str">
        <f>IFERROR(__xludf.DUMMYFUNCTION("iferror(join("", "",unique(filter({filter('Students (Vertical)'!D:D,'Students (Vertical)'!C:C=B261,'Students (Vertical)'!D:D&lt;&gt;"""");filter('Students (Vertical)'!D:D,'Students (Vertical)'!C:C=E261,'Students (Vertical)'!D:D&lt;&gt;"""")},countifs({filter('Student"&amp;"s (Vertical)'!D:D,'Students (Vertical)'!C:C=B261,'Students (Vertical)'!D:D&lt;&gt;"""");filter('Students (Vertical)'!D:D,'Students (Vertical)'!C:C=E261,'Students (Vertical)'!D:D&lt;&gt;"""")},{filter('Students (Vertical)'!D:D,'Students (Vertical)'!C:C=B261,'Students "&amp;"(Vertical)'!D:D&lt;&gt;"""");filter('Students (Vertical)'!D:D,'Students (Vertical)'!C:C=E261,'Students (Vertical)'!D:D&lt;&gt;"""")})&gt;1))),"""")"),"")</f>
        <v/>
      </c>
      <c r="L261" s="96"/>
      <c r="M261" s="96"/>
    </row>
    <row r="262" hidden="1">
      <c r="A262" s="8" t="s">
        <v>8</v>
      </c>
      <c r="C262" s="8" t="s">
        <v>8</v>
      </c>
      <c r="D262" s="8" t="s">
        <v>8</v>
      </c>
      <c r="F262" s="8" t="s">
        <v>8</v>
      </c>
      <c r="G262" s="8" t="s">
        <v>8</v>
      </c>
      <c r="I262" s="94" t="str">
        <f>IFERROR(__xludf.DUMMYFUNCTION("if(H262=""Must be Together"",iferror(join("", "",unique(filter({filter('Students (Vertical)'!O:O,'Students (Vertical)'!C:C=B262,'Students (Vertical)'!O:O&lt;&gt;"""");filter('Students (Vertical)'!O:O,'Students (Vertical)'!C:C=E262,'Students (Vertical)'!O:O&lt;&gt;"""&amp;""")},countifs({filter('Students (Vertical)'!O:O,'Students (Vertical)'!C:C=B262,'Students (Vertical)'!O:O&lt;&gt;"""");filter('Students (Vertical)'!O:O,'Students (Vertical)'!C:C=E262,'Students (Vertical)'!O:O&lt;&gt;"""")},{filter('Students (Vertical)'!O:O,'Students ("&amp;"Vertical)'!C:C=B262,'Students (Vertical)'!O:O&lt;&gt;"""");filter('Students (Vertical)'!O:O,'Students (Vertical)'!C:C=E262,'Students (Vertical)'!O:O&lt;&gt;"""")})&gt;1))),""No shared courses""),"""")"),"")</f>
        <v/>
      </c>
      <c r="J262" s="94" t="str">
        <f>IFERROR(__xludf.DUMMYFUNCTION("if(H262=""Can't be Together"",iferror(join("", "",unique(filter({unique(filter('Students (Vertical)'!O:O,'Students (Vertical)'!C:C=B262,'Students (Vertical)'!O:O&lt;&gt;"""",'Students (Vertical)'!P:P&gt;1));unique(filter('Students (Vertical)'!O:O,'Students (Vertic"&amp;"al)'!C:C=E262,'Students (Vertical)'!O:O&lt;&gt;"""",'Students (Vertical)'!P:P&gt;1))},countifs({unique(filter('Students (Vertical)'!O:O,'Students (Vertical)'!C:C=B262,'Students (Vertical)'!O:O&lt;&gt;"""",'Students (Vertical)'!P:P&gt;1));unique(filter('Students (Vertical)'"&amp;"!O:O,'Students (Vertical)'!C:C=E262,'Students (Vertical)'!O:O&lt;&gt;"""",'Students (Vertical)'!P:P&gt;1))},{unique(filter('Students (Vertical)'!O:O,'Students (Vertical)'!C:C=B262,'Students (Vertical)'!O:O&lt;&gt;"""",'Students (Vertical)'!P:P&gt;1));unique(filter('Student"&amp;"s (Vertical)'!O:O,'Students (Vertical)'!C:C=E262,'Students (Vertical)'!O:O&lt;&gt;"""",'Students (Vertical)'!P:P&gt;1))})&gt;1))),""""),"""")"),"")</f>
        <v/>
      </c>
      <c r="K262" s="96" t="str">
        <f>IFERROR(__xludf.DUMMYFUNCTION("iferror(join("", "",unique(filter({filter('Students (Vertical)'!D:D,'Students (Vertical)'!C:C=B262,'Students (Vertical)'!D:D&lt;&gt;"""");filter('Students (Vertical)'!D:D,'Students (Vertical)'!C:C=E262,'Students (Vertical)'!D:D&lt;&gt;"""")},countifs({filter('Student"&amp;"s (Vertical)'!D:D,'Students (Vertical)'!C:C=B262,'Students (Vertical)'!D:D&lt;&gt;"""");filter('Students (Vertical)'!D:D,'Students (Vertical)'!C:C=E262,'Students (Vertical)'!D:D&lt;&gt;"""")},{filter('Students (Vertical)'!D:D,'Students (Vertical)'!C:C=B262,'Students "&amp;"(Vertical)'!D:D&lt;&gt;"""");filter('Students (Vertical)'!D:D,'Students (Vertical)'!C:C=E262,'Students (Vertical)'!D:D&lt;&gt;"""")})&gt;1))),"""")"),"")</f>
        <v/>
      </c>
      <c r="L262" s="96"/>
      <c r="M262" s="96"/>
    </row>
    <row r="263" hidden="1">
      <c r="A263" s="8" t="s">
        <v>8</v>
      </c>
      <c r="C263" s="8" t="s">
        <v>8</v>
      </c>
      <c r="D263" s="8" t="s">
        <v>8</v>
      </c>
      <c r="F263" s="8" t="s">
        <v>8</v>
      </c>
      <c r="G263" s="8" t="s">
        <v>8</v>
      </c>
      <c r="I263" s="94" t="str">
        <f>IFERROR(__xludf.DUMMYFUNCTION("if(H263=""Must be Together"",iferror(join("", "",unique(filter({filter('Students (Vertical)'!O:O,'Students (Vertical)'!C:C=B263,'Students (Vertical)'!O:O&lt;&gt;"""");filter('Students (Vertical)'!O:O,'Students (Vertical)'!C:C=E263,'Students (Vertical)'!O:O&lt;&gt;"""&amp;""")},countifs({filter('Students (Vertical)'!O:O,'Students (Vertical)'!C:C=B263,'Students (Vertical)'!O:O&lt;&gt;"""");filter('Students (Vertical)'!O:O,'Students (Vertical)'!C:C=E263,'Students (Vertical)'!O:O&lt;&gt;"""")},{filter('Students (Vertical)'!O:O,'Students ("&amp;"Vertical)'!C:C=B263,'Students (Vertical)'!O:O&lt;&gt;"""");filter('Students (Vertical)'!O:O,'Students (Vertical)'!C:C=E263,'Students (Vertical)'!O:O&lt;&gt;"""")})&gt;1))),""No shared courses""),"""")"),"")</f>
        <v/>
      </c>
      <c r="J263" s="94" t="str">
        <f>IFERROR(__xludf.DUMMYFUNCTION("if(H263=""Can't be Together"",iferror(join("", "",unique(filter({unique(filter('Students (Vertical)'!O:O,'Students (Vertical)'!C:C=B263,'Students (Vertical)'!O:O&lt;&gt;"""",'Students (Vertical)'!P:P&gt;1));unique(filter('Students (Vertical)'!O:O,'Students (Vertic"&amp;"al)'!C:C=E263,'Students (Vertical)'!O:O&lt;&gt;"""",'Students (Vertical)'!P:P&gt;1))},countifs({unique(filter('Students (Vertical)'!O:O,'Students (Vertical)'!C:C=B263,'Students (Vertical)'!O:O&lt;&gt;"""",'Students (Vertical)'!P:P&gt;1));unique(filter('Students (Vertical)'"&amp;"!O:O,'Students (Vertical)'!C:C=E263,'Students (Vertical)'!O:O&lt;&gt;"""",'Students (Vertical)'!P:P&gt;1))},{unique(filter('Students (Vertical)'!O:O,'Students (Vertical)'!C:C=B263,'Students (Vertical)'!O:O&lt;&gt;"""",'Students (Vertical)'!P:P&gt;1));unique(filter('Student"&amp;"s (Vertical)'!O:O,'Students (Vertical)'!C:C=E263,'Students (Vertical)'!O:O&lt;&gt;"""",'Students (Vertical)'!P:P&gt;1))})&gt;1))),""""),"""")"),"")</f>
        <v/>
      </c>
      <c r="K263" s="96" t="str">
        <f>IFERROR(__xludf.DUMMYFUNCTION("iferror(join("", "",unique(filter({filter('Students (Vertical)'!D:D,'Students (Vertical)'!C:C=B263,'Students (Vertical)'!D:D&lt;&gt;"""");filter('Students (Vertical)'!D:D,'Students (Vertical)'!C:C=E263,'Students (Vertical)'!D:D&lt;&gt;"""")},countifs({filter('Student"&amp;"s (Vertical)'!D:D,'Students (Vertical)'!C:C=B263,'Students (Vertical)'!D:D&lt;&gt;"""");filter('Students (Vertical)'!D:D,'Students (Vertical)'!C:C=E263,'Students (Vertical)'!D:D&lt;&gt;"""")},{filter('Students (Vertical)'!D:D,'Students (Vertical)'!C:C=B263,'Students "&amp;"(Vertical)'!D:D&lt;&gt;"""");filter('Students (Vertical)'!D:D,'Students (Vertical)'!C:C=E263,'Students (Vertical)'!D:D&lt;&gt;"""")})&gt;1))),"""")"),"")</f>
        <v/>
      </c>
      <c r="L263" s="96"/>
      <c r="M263" s="96"/>
    </row>
    <row r="264" hidden="1">
      <c r="A264" s="8" t="s">
        <v>8</v>
      </c>
      <c r="C264" s="8" t="s">
        <v>8</v>
      </c>
      <c r="D264" s="8" t="s">
        <v>8</v>
      </c>
      <c r="F264" s="8" t="s">
        <v>8</v>
      </c>
      <c r="G264" s="8" t="s">
        <v>8</v>
      </c>
      <c r="I264" s="94" t="str">
        <f>IFERROR(__xludf.DUMMYFUNCTION("if(H264=""Must be Together"",iferror(join("", "",unique(filter({filter('Students (Vertical)'!O:O,'Students (Vertical)'!C:C=B264,'Students (Vertical)'!O:O&lt;&gt;"""");filter('Students (Vertical)'!O:O,'Students (Vertical)'!C:C=E264,'Students (Vertical)'!O:O&lt;&gt;"""&amp;""")},countifs({filter('Students (Vertical)'!O:O,'Students (Vertical)'!C:C=B264,'Students (Vertical)'!O:O&lt;&gt;"""");filter('Students (Vertical)'!O:O,'Students (Vertical)'!C:C=E264,'Students (Vertical)'!O:O&lt;&gt;"""")},{filter('Students (Vertical)'!O:O,'Students ("&amp;"Vertical)'!C:C=B264,'Students (Vertical)'!O:O&lt;&gt;"""");filter('Students (Vertical)'!O:O,'Students (Vertical)'!C:C=E264,'Students (Vertical)'!O:O&lt;&gt;"""")})&gt;1))),""No shared courses""),"""")"),"")</f>
        <v/>
      </c>
      <c r="J264" s="94" t="str">
        <f>IFERROR(__xludf.DUMMYFUNCTION("if(H264=""Can't be Together"",iferror(join("", "",unique(filter({unique(filter('Students (Vertical)'!O:O,'Students (Vertical)'!C:C=B264,'Students (Vertical)'!O:O&lt;&gt;"""",'Students (Vertical)'!P:P&gt;1));unique(filter('Students (Vertical)'!O:O,'Students (Vertic"&amp;"al)'!C:C=E264,'Students (Vertical)'!O:O&lt;&gt;"""",'Students (Vertical)'!P:P&gt;1))},countifs({unique(filter('Students (Vertical)'!O:O,'Students (Vertical)'!C:C=B264,'Students (Vertical)'!O:O&lt;&gt;"""",'Students (Vertical)'!P:P&gt;1));unique(filter('Students (Vertical)'"&amp;"!O:O,'Students (Vertical)'!C:C=E264,'Students (Vertical)'!O:O&lt;&gt;"""",'Students (Vertical)'!P:P&gt;1))},{unique(filter('Students (Vertical)'!O:O,'Students (Vertical)'!C:C=B264,'Students (Vertical)'!O:O&lt;&gt;"""",'Students (Vertical)'!P:P&gt;1));unique(filter('Student"&amp;"s (Vertical)'!O:O,'Students (Vertical)'!C:C=E264,'Students (Vertical)'!O:O&lt;&gt;"""",'Students (Vertical)'!P:P&gt;1))})&gt;1))),""""),"""")"),"")</f>
        <v/>
      </c>
      <c r="K264" s="96" t="str">
        <f>IFERROR(__xludf.DUMMYFUNCTION("iferror(join("", "",unique(filter({filter('Students (Vertical)'!D:D,'Students (Vertical)'!C:C=B264,'Students (Vertical)'!D:D&lt;&gt;"""");filter('Students (Vertical)'!D:D,'Students (Vertical)'!C:C=E264,'Students (Vertical)'!D:D&lt;&gt;"""")},countifs({filter('Student"&amp;"s (Vertical)'!D:D,'Students (Vertical)'!C:C=B264,'Students (Vertical)'!D:D&lt;&gt;"""");filter('Students (Vertical)'!D:D,'Students (Vertical)'!C:C=E264,'Students (Vertical)'!D:D&lt;&gt;"""")},{filter('Students (Vertical)'!D:D,'Students (Vertical)'!C:C=B264,'Students "&amp;"(Vertical)'!D:D&lt;&gt;"""");filter('Students (Vertical)'!D:D,'Students (Vertical)'!C:C=E264,'Students (Vertical)'!D:D&lt;&gt;"""")})&gt;1))),"""")"),"")</f>
        <v/>
      </c>
      <c r="L264" s="96"/>
      <c r="M264" s="96"/>
    </row>
    <row r="265" hidden="1">
      <c r="A265" s="8" t="s">
        <v>8</v>
      </c>
      <c r="C265" s="8" t="s">
        <v>8</v>
      </c>
      <c r="D265" s="8" t="s">
        <v>8</v>
      </c>
      <c r="F265" s="8" t="s">
        <v>8</v>
      </c>
      <c r="G265" s="8" t="s">
        <v>8</v>
      </c>
      <c r="I265" s="94" t="str">
        <f>IFERROR(__xludf.DUMMYFUNCTION("if(H265=""Must be Together"",iferror(join("", "",unique(filter({filter('Students (Vertical)'!O:O,'Students (Vertical)'!C:C=B265,'Students (Vertical)'!O:O&lt;&gt;"""");filter('Students (Vertical)'!O:O,'Students (Vertical)'!C:C=E265,'Students (Vertical)'!O:O&lt;&gt;"""&amp;""")},countifs({filter('Students (Vertical)'!O:O,'Students (Vertical)'!C:C=B265,'Students (Vertical)'!O:O&lt;&gt;"""");filter('Students (Vertical)'!O:O,'Students (Vertical)'!C:C=E265,'Students (Vertical)'!O:O&lt;&gt;"""")},{filter('Students (Vertical)'!O:O,'Students ("&amp;"Vertical)'!C:C=B265,'Students (Vertical)'!O:O&lt;&gt;"""");filter('Students (Vertical)'!O:O,'Students (Vertical)'!C:C=E265,'Students (Vertical)'!O:O&lt;&gt;"""")})&gt;1))),""No shared courses""),"""")"),"")</f>
        <v/>
      </c>
      <c r="J265" s="94" t="str">
        <f>IFERROR(__xludf.DUMMYFUNCTION("if(H265=""Can't be Together"",iferror(join("", "",unique(filter({unique(filter('Students (Vertical)'!O:O,'Students (Vertical)'!C:C=B265,'Students (Vertical)'!O:O&lt;&gt;"""",'Students (Vertical)'!P:P&gt;1));unique(filter('Students (Vertical)'!O:O,'Students (Vertic"&amp;"al)'!C:C=E265,'Students (Vertical)'!O:O&lt;&gt;"""",'Students (Vertical)'!P:P&gt;1))},countifs({unique(filter('Students (Vertical)'!O:O,'Students (Vertical)'!C:C=B265,'Students (Vertical)'!O:O&lt;&gt;"""",'Students (Vertical)'!P:P&gt;1));unique(filter('Students (Vertical)'"&amp;"!O:O,'Students (Vertical)'!C:C=E265,'Students (Vertical)'!O:O&lt;&gt;"""",'Students (Vertical)'!P:P&gt;1))},{unique(filter('Students (Vertical)'!O:O,'Students (Vertical)'!C:C=B265,'Students (Vertical)'!O:O&lt;&gt;"""",'Students (Vertical)'!P:P&gt;1));unique(filter('Student"&amp;"s (Vertical)'!O:O,'Students (Vertical)'!C:C=E265,'Students (Vertical)'!O:O&lt;&gt;"""",'Students (Vertical)'!P:P&gt;1))})&gt;1))),""""),"""")"),"")</f>
        <v/>
      </c>
      <c r="K265" s="96" t="str">
        <f>IFERROR(__xludf.DUMMYFUNCTION("iferror(join("", "",unique(filter({filter('Students (Vertical)'!D:D,'Students (Vertical)'!C:C=B265,'Students (Vertical)'!D:D&lt;&gt;"""");filter('Students (Vertical)'!D:D,'Students (Vertical)'!C:C=E265,'Students (Vertical)'!D:D&lt;&gt;"""")},countifs({filter('Student"&amp;"s (Vertical)'!D:D,'Students (Vertical)'!C:C=B265,'Students (Vertical)'!D:D&lt;&gt;"""");filter('Students (Vertical)'!D:D,'Students (Vertical)'!C:C=E265,'Students (Vertical)'!D:D&lt;&gt;"""")},{filter('Students (Vertical)'!D:D,'Students (Vertical)'!C:C=B265,'Students "&amp;"(Vertical)'!D:D&lt;&gt;"""");filter('Students (Vertical)'!D:D,'Students (Vertical)'!C:C=E265,'Students (Vertical)'!D:D&lt;&gt;"""")})&gt;1))),"""")"),"")</f>
        <v/>
      </c>
      <c r="L265" s="96"/>
      <c r="M265" s="96"/>
    </row>
    <row r="266" hidden="1">
      <c r="A266" s="8" t="s">
        <v>8</v>
      </c>
      <c r="C266" s="8" t="s">
        <v>8</v>
      </c>
      <c r="D266" s="8" t="s">
        <v>8</v>
      </c>
      <c r="F266" s="8" t="s">
        <v>8</v>
      </c>
      <c r="G266" s="8" t="s">
        <v>8</v>
      </c>
      <c r="I266" s="94" t="str">
        <f>IFERROR(__xludf.DUMMYFUNCTION("if(H266=""Must be Together"",iferror(join("", "",unique(filter({filter('Students (Vertical)'!O:O,'Students (Vertical)'!C:C=B266,'Students (Vertical)'!O:O&lt;&gt;"""");filter('Students (Vertical)'!O:O,'Students (Vertical)'!C:C=E266,'Students (Vertical)'!O:O&lt;&gt;"""&amp;""")},countifs({filter('Students (Vertical)'!O:O,'Students (Vertical)'!C:C=B266,'Students (Vertical)'!O:O&lt;&gt;"""");filter('Students (Vertical)'!O:O,'Students (Vertical)'!C:C=E266,'Students (Vertical)'!O:O&lt;&gt;"""")},{filter('Students (Vertical)'!O:O,'Students ("&amp;"Vertical)'!C:C=B266,'Students (Vertical)'!O:O&lt;&gt;"""");filter('Students (Vertical)'!O:O,'Students (Vertical)'!C:C=E266,'Students (Vertical)'!O:O&lt;&gt;"""")})&gt;1))),""No shared courses""),"""")"),"")</f>
        <v/>
      </c>
      <c r="J266" s="94" t="str">
        <f>IFERROR(__xludf.DUMMYFUNCTION("if(H266=""Can't be Together"",iferror(join("", "",unique(filter({unique(filter('Students (Vertical)'!O:O,'Students (Vertical)'!C:C=B266,'Students (Vertical)'!O:O&lt;&gt;"""",'Students (Vertical)'!P:P&gt;1));unique(filter('Students (Vertical)'!O:O,'Students (Vertic"&amp;"al)'!C:C=E266,'Students (Vertical)'!O:O&lt;&gt;"""",'Students (Vertical)'!P:P&gt;1))},countifs({unique(filter('Students (Vertical)'!O:O,'Students (Vertical)'!C:C=B266,'Students (Vertical)'!O:O&lt;&gt;"""",'Students (Vertical)'!P:P&gt;1));unique(filter('Students (Vertical)'"&amp;"!O:O,'Students (Vertical)'!C:C=E266,'Students (Vertical)'!O:O&lt;&gt;"""",'Students (Vertical)'!P:P&gt;1))},{unique(filter('Students (Vertical)'!O:O,'Students (Vertical)'!C:C=B266,'Students (Vertical)'!O:O&lt;&gt;"""",'Students (Vertical)'!P:P&gt;1));unique(filter('Student"&amp;"s (Vertical)'!O:O,'Students (Vertical)'!C:C=E266,'Students (Vertical)'!O:O&lt;&gt;"""",'Students (Vertical)'!P:P&gt;1))})&gt;1))),""""),"""")"),"")</f>
        <v/>
      </c>
      <c r="K266" s="96" t="str">
        <f>IFERROR(__xludf.DUMMYFUNCTION("iferror(join("", "",unique(filter({filter('Students (Vertical)'!D:D,'Students (Vertical)'!C:C=B266,'Students (Vertical)'!D:D&lt;&gt;"""");filter('Students (Vertical)'!D:D,'Students (Vertical)'!C:C=E266,'Students (Vertical)'!D:D&lt;&gt;"""")},countifs({filter('Student"&amp;"s (Vertical)'!D:D,'Students (Vertical)'!C:C=B266,'Students (Vertical)'!D:D&lt;&gt;"""");filter('Students (Vertical)'!D:D,'Students (Vertical)'!C:C=E266,'Students (Vertical)'!D:D&lt;&gt;"""")},{filter('Students (Vertical)'!D:D,'Students (Vertical)'!C:C=B266,'Students "&amp;"(Vertical)'!D:D&lt;&gt;"""");filter('Students (Vertical)'!D:D,'Students (Vertical)'!C:C=E266,'Students (Vertical)'!D:D&lt;&gt;"""")})&gt;1))),"""")"),"")</f>
        <v/>
      </c>
      <c r="L266" s="96"/>
      <c r="M266" s="96"/>
    </row>
    <row r="267" hidden="1">
      <c r="A267" s="8" t="s">
        <v>8</v>
      </c>
      <c r="C267" s="8" t="s">
        <v>8</v>
      </c>
      <c r="D267" s="8" t="s">
        <v>8</v>
      </c>
      <c r="F267" s="8" t="s">
        <v>8</v>
      </c>
      <c r="G267" s="8" t="s">
        <v>8</v>
      </c>
      <c r="I267" s="94" t="str">
        <f>IFERROR(__xludf.DUMMYFUNCTION("if(H267=""Must be Together"",iferror(join("", "",unique(filter({filter('Students (Vertical)'!O:O,'Students (Vertical)'!C:C=B267,'Students (Vertical)'!O:O&lt;&gt;"""");filter('Students (Vertical)'!O:O,'Students (Vertical)'!C:C=E267,'Students (Vertical)'!O:O&lt;&gt;"""&amp;""")},countifs({filter('Students (Vertical)'!O:O,'Students (Vertical)'!C:C=B267,'Students (Vertical)'!O:O&lt;&gt;"""");filter('Students (Vertical)'!O:O,'Students (Vertical)'!C:C=E267,'Students (Vertical)'!O:O&lt;&gt;"""")},{filter('Students (Vertical)'!O:O,'Students ("&amp;"Vertical)'!C:C=B267,'Students (Vertical)'!O:O&lt;&gt;"""");filter('Students (Vertical)'!O:O,'Students (Vertical)'!C:C=E267,'Students (Vertical)'!O:O&lt;&gt;"""")})&gt;1))),""No shared courses""),"""")"),"")</f>
        <v/>
      </c>
      <c r="J267" s="94" t="str">
        <f>IFERROR(__xludf.DUMMYFUNCTION("if(H267=""Can't be Together"",iferror(join("", "",unique(filter({unique(filter('Students (Vertical)'!O:O,'Students (Vertical)'!C:C=B267,'Students (Vertical)'!O:O&lt;&gt;"""",'Students (Vertical)'!P:P&gt;1));unique(filter('Students (Vertical)'!O:O,'Students (Vertic"&amp;"al)'!C:C=E267,'Students (Vertical)'!O:O&lt;&gt;"""",'Students (Vertical)'!P:P&gt;1))},countifs({unique(filter('Students (Vertical)'!O:O,'Students (Vertical)'!C:C=B267,'Students (Vertical)'!O:O&lt;&gt;"""",'Students (Vertical)'!P:P&gt;1));unique(filter('Students (Vertical)'"&amp;"!O:O,'Students (Vertical)'!C:C=E267,'Students (Vertical)'!O:O&lt;&gt;"""",'Students (Vertical)'!P:P&gt;1))},{unique(filter('Students (Vertical)'!O:O,'Students (Vertical)'!C:C=B267,'Students (Vertical)'!O:O&lt;&gt;"""",'Students (Vertical)'!P:P&gt;1));unique(filter('Student"&amp;"s (Vertical)'!O:O,'Students (Vertical)'!C:C=E267,'Students (Vertical)'!O:O&lt;&gt;"""",'Students (Vertical)'!P:P&gt;1))})&gt;1))),""""),"""")"),"")</f>
        <v/>
      </c>
      <c r="K267" s="96" t="str">
        <f>IFERROR(__xludf.DUMMYFUNCTION("iferror(join("", "",unique(filter({filter('Students (Vertical)'!D:D,'Students (Vertical)'!C:C=B267,'Students (Vertical)'!D:D&lt;&gt;"""");filter('Students (Vertical)'!D:D,'Students (Vertical)'!C:C=E267,'Students (Vertical)'!D:D&lt;&gt;"""")},countifs({filter('Student"&amp;"s (Vertical)'!D:D,'Students (Vertical)'!C:C=B267,'Students (Vertical)'!D:D&lt;&gt;"""");filter('Students (Vertical)'!D:D,'Students (Vertical)'!C:C=E267,'Students (Vertical)'!D:D&lt;&gt;"""")},{filter('Students (Vertical)'!D:D,'Students (Vertical)'!C:C=B267,'Students "&amp;"(Vertical)'!D:D&lt;&gt;"""");filter('Students (Vertical)'!D:D,'Students (Vertical)'!C:C=E267,'Students (Vertical)'!D:D&lt;&gt;"""")})&gt;1))),"""")"),"")</f>
        <v/>
      </c>
      <c r="L267" s="96"/>
      <c r="M267" s="96"/>
    </row>
    <row r="268" hidden="1">
      <c r="A268" s="8" t="s">
        <v>8</v>
      </c>
      <c r="C268" s="8" t="s">
        <v>8</v>
      </c>
      <c r="D268" s="8" t="s">
        <v>8</v>
      </c>
      <c r="F268" s="8" t="s">
        <v>8</v>
      </c>
      <c r="G268" s="8" t="s">
        <v>8</v>
      </c>
      <c r="I268" s="94" t="str">
        <f>IFERROR(__xludf.DUMMYFUNCTION("if(H268=""Must be Together"",iferror(join("", "",unique(filter({filter('Students (Vertical)'!O:O,'Students (Vertical)'!C:C=B268,'Students (Vertical)'!O:O&lt;&gt;"""");filter('Students (Vertical)'!O:O,'Students (Vertical)'!C:C=E268,'Students (Vertical)'!O:O&lt;&gt;"""&amp;""")},countifs({filter('Students (Vertical)'!O:O,'Students (Vertical)'!C:C=B268,'Students (Vertical)'!O:O&lt;&gt;"""");filter('Students (Vertical)'!O:O,'Students (Vertical)'!C:C=E268,'Students (Vertical)'!O:O&lt;&gt;"""")},{filter('Students (Vertical)'!O:O,'Students ("&amp;"Vertical)'!C:C=B268,'Students (Vertical)'!O:O&lt;&gt;"""");filter('Students (Vertical)'!O:O,'Students (Vertical)'!C:C=E268,'Students (Vertical)'!O:O&lt;&gt;"""")})&gt;1))),""No shared courses""),"""")"),"")</f>
        <v/>
      </c>
      <c r="J268" s="94" t="str">
        <f>IFERROR(__xludf.DUMMYFUNCTION("if(H268=""Can't be Together"",iferror(join("", "",unique(filter({unique(filter('Students (Vertical)'!O:O,'Students (Vertical)'!C:C=B268,'Students (Vertical)'!O:O&lt;&gt;"""",'Students (Vertical)'!P:P&gt;1));unique(filter('Students (Vertical)'!O:O,'Students (Vertic"&amp;"al)'!C:C=E268,'Students (Vertical)'!O:O&lt;&gt;"""",'Students (Vertical)'!P:P&gt;1))},countifs({unique(filter('Students (Vertical)'!O:O,'Students (Vertical)'!C:C=B268,'Students (Vertical)'!O:O&lt;&gt;"""",'Students (Vertical)'!P:P&gt;1));unique(filter('Students (Vertical)'"&amp;"!O:O,'Students (Vertical)'!C:C=E268,'Students (Vertical)'!O:O&lt;&gt;"""",'Students (Vertical)'!P:P&gt;1))},{unique(filter('Students (Vertical)'!O:O,'Students (Vertical)'!C:C=B268,'Students (Vertical)'!O:O&lt;&gt;"""",'Students (Vertical)'!P:P&gt;1));unique(filter('Student"&amp;"s (Vertical)'!O:O,'Students (Vertical)'!C:C=E268,'Students (Vertical)'!O:O&lt;&gt;"""",'Students (Vertical)'!P:P&gt;1))})&gt;1))),""""),"""")"),"")</f>
        <v/>
      </c>
      <c r="K268" s="96" t="str">
        <f>IFERROR(__xludf.DUMMYFUNCTION("iferror(join("", "",unique(filter({filter('Students (Vertical)'!D:D,'Students (Vertical)'!C:C=B268,'Students (Vertical)'!D:D&lt;&gt;"""");filter('Students (Vertical)'!D:D,'Students (Vertical)'!C:C=E268,'Students (Vertical)'!D:D&lt;&gt;"""")},countifs({filter('Student"&amp;"s (Vertical)'!D:D,'Students (Vertical)'!C:C=B268,'Students (Vertical)'!D:D&lt;&gt;"""");filter('Students (Vertical)'!D:D,'Students (Vertical)'!C:C=E268,'Students (Vertical)'!D:D&lt;&gt;"""")},{filter('Students (Vertical)'!D:D,'Students (Vertical)'!C:C=B268,'Students "&amp;"(Vertical)'!D:D&lt;&gt;"""");filter('Students (Vertical)'!D:D,'Students (Vertical)'!C:C=E268,'Students (Vertical)'!D:D&lt;&gt;"""")})&gt;1))),"""")"),"")</f>
        <v/>
      </c>
      <c r="L268" s="96"/>
      <c r="M268" s="96"/>
    </row>
    <row r="269" hidden="1">
      <c r="A269" s="8" t="s">
        <v>8</v>
      </c>
      <c r="C269" s="8" t="s">
        <v>8</v>
      </c>
      <c r="D269" s="8" t="s">
        <v>8</v>
      </c>
      <c r="F269" s="8" t="s">
        <v>8</v>
      </c>
      <c r="G269" s="8" t="s">
        <v>8</v>
      </c>
      <c r="I269" s="94" t="str">
        <f>IFERROR(__xludf.DUMMYFUNCTION("if(H269=""Must be Together"",iferror(join("", "",unique(filter({filter('Students (Vertical)'!O:O,'Students (Vertical)'!C:C=B269,'Students (Vertical)'!O:O&lt;&gt;"""");filter('Students (Vertical)'!O:O,'Students (Vertical)'!C:C=E269,'Students (Vertical)'!O:O&lt;&gt;"""&amp;""")},countifs({filter('Students (Vertical)'!O:O,'Students (Vertical)'!C:C=B269,'Students (Vertical)'!O:O&lt;&gt;"""");filter('Students (Vertical)'!O:O,'Students (Vertical)'!C:C=E269,'Students (Vertical)'!O:O&lt;&gt;"""")},{filter('Students (Vertical)'!O:O,'Students ("&amp;"Vertical)'!C:C=B269,'Students (Vertical)'!O:O&lt;&gt;"""");filter('Students (Vertical)'!O:O,'Students (Vertical)'!C:C=E269,'Students (Vertical)'!O:O&lt;&gt;"""")})&gt;1))),""No shared courses""),"""")"),"")</f>
        <v/>
      </c>
      <c r="J269" s="94" t="str">
        <f>IFERROR(__xludf.DUMMYFUNCTION("if(H269=""Can't be Together"",iferror(join("", "",unique(filter({unique(filter('Students (Vertical)'!O:O,'Students (Vertical)'!C:C=B269,'Students (Vertical)'!O:O&lt;&gt;"""",'Students (Vertical)'!P:P&gt;1));unique(filter('Students (Vertical)'!O:O,'Students (Vertic"&amp;"al)'!C:C=E269,'Students (Vertical)'!O:O&lt;&gt;"""",'Students (Vertical)'!P:P&gt;1))},countifs({unique(filter('Students (Vertical)'!O:O,'Students (Vertical)'!C:C=B269,'Students (Vertical)'!O:O&lt;&gt;"""",'Students (Vertical)'!P:P&gt;1));unique(filter('Students (Vertical)'"&amp;"!O:O,'Students (Vertical)'!C:C=E269,'Students (Vertical)'!O:O&lt;&gt;"""",'Students (Vertical)'!P:P&gt;1))},{unique(filter('Students (Vertical)'!O:O,'Students (Vertical)'!C:C=B269,'Students (Vertical)'!O:O&lt;&gt;"""",'Students (Vertical)'!P:P&gt;1));unique(filter('Student"&amp;"s (Vertical)'!O:O,'Students (Vertical)'!C:C=E269,'Students (Vertical)'!O:O&lt;&gt;"""",'Students (Vertical)'!P:P&gt;1))})&gt;1))),""""),"""")"),"")</f>
        <v/>
      </c>
      <c r="K269" s="96" t="str">
        <f>IFERROR(__xludf.DUMMYFUNCTION("iferror(join("", "",unique(filter({filter('Students (Vertical)'!D:D,'Students (Vertical)'!C:C=B269,'Students (Vertical)'!D:D&lt;&gt;"""");filter('Students (Vertical)'!D:D,'Students (Vertical)'!C:C=E269,'Students (Vertical)'!D:D&lt;&gt;"""")},countifs({filter('Student"&amp;"s (Vertical)'!D:D,'Students (Vertical)'!C:C=B269,'Students (Vertical)'!D:D&lt;&gt;"""");filter('Students (Vertical)'!D:D,'Students (Vertical)'!C:C=E269,'Students (Vertical)'!D:D&lt;&gt;"""")},{filter('Students (Vertical)'!D:D,'Students (Vertical)'!C:C=B269,'Students "&amp;"(Vertical)'!D:D&lt;&gt;"""");filter('Students (Vertical)'!D:D,'Students (Vertical)'!C:C=E269,'Students (Vertical)'!D:D&lt;&gt;"""")})&gt;1))),"""")"),"")</f>
        <v/>
      </c>
      <c r="L269" s="96"/>
      <c r="M269" s="96"/>
    </row>
    <row r="270" hidden="1">
      <c r="A270" s="8" t="s">
        <v>8</v>
      </c>
      <c r="C270" s="8" t="s">
        <v>8</v>
      </c>
      <c r="D270" s="8" t="s">
        <v>8</v>
      </c>
      <c r="F270" s="8" t="s">
        <v>8</v>
      </c>
      <c r="G270" s="8" t="s">
        <v>8</v>
      </c>
      <c r="I270" s="94" t="str">
        <f>IFERROR(__xludf.DUMMYFUNCTION("if(H270=""Must be Together"",iferror(join("", "",unique(filter({filter('Students (Vertical)'!O:O,'Students (Vertical)'!C:C=B270,'Students (Vertical)'!O:O&lt;&gt;"""");filter('Students (Vertical)'!O:O,'Students (Vertical)'!C:C=E270,'Students (Vertical)'!O:O&lt;&gt;"""&amp;""")},countifs({filter('Students (Vertical)'!O:O,'Students (Vertical)'!C:C=B270,'Students (Vertical)'!O:O&lt;&gt;"""");filter('Students (Vertical)'!O:O,'Students (Vertical)'!C:C=E270,'Students (Vertical)'!O:O&lt;&gt;"""")},{filter('Students (Vertical)'!O:O,'Students ("&amp;"Vertical)'!C:C=B270,'Students (Vertical)'!O:O&lt;&gt;"""");filter('Students (Vertical)'!O:O,'Students (Vertical)'!C:C=E270,'Students (Vertical)'!O:O&lt;&gt;"""")})&gt;1))),""No shared courses""),"""")"),"")</f>
        <v/>
      </c>
      <c r="J270" s="94" t="str">
        <f>IFERROR(__xludf.DUMMYFUNCTION("if(H270=""Can't be Together"",iferror(join("", "",unique(filter({unique(filter('Students (Vertical)'!O:O,'Students (Vertical)'!C:C=B270,'Students (Vertical)'!O:O&lt;&gt;"""",'Students (Vertical)'!P:P&gt;1));unique(filter('Students (Vertical)'!O:O,'Students (Vertic"&amp;"al)'!C:C=E270,'Students (Vertical)'!O:O&lt;&gt;"""",'Students (Vertical)'!P:P&gt;1))},countifs({unique(filter('Students (Vertical)'!O:O,'Students (Vertical)'!C:C=B270,'Students (Vertical)'!O:O&lt;&gt;"""",'Students (Vertical)'!P:P&gt;1));unique(filter('Students (Vertical)'"&amp;"!O:O,'Students (Vertical)'!C:C=E270,'Students (Vertical)'!O:O&lt;&gt;"""",'Students (Vertical)'!P:P&gt;1))},{unique(filter('Students (Vertical)'!O:O,'Students (Vertical)'!C:C=B270,'Students (Vertical)'!O:O&lt;&gt;"""",'Students (Vertical)'!P:P&gt;1));unique(filter('Student"&amp;"s (Vertical)'!O:O,'Students (Vertical)'!C:C=E270,'Students (Vertical)'!O:O&lt;&gt;"""",'Students (Vertical)'!P:P&gt;1))})&gt;1))),""""),"""")"),"")</f>
        <v/>
      </c>
      <c r="K270" s="96" t="str">
        <f>IFERROR(__xludf.DUMMYFUNCTION("iferror(join("", "",unique(filter({filter('Students (Vertical)'!D:D,'Students (Vertical)'!C:C=B270,'Students (Vertical)'!D:D&lt;&gt;"""");filter('Students (Vertical)'!D:D,'Students (Vertical)'!C:C=E270,'Students (Vertical)'!D:D&lt;&gt;"""")},countifs({filter('Student"&amp;"s (Vertical)'!D:D,'Students (Vertical)'!C:C=B270,'Students (Vertical)'!D:D&lt;&gt;"""");filter('Students (Vertical)'!D:D,'Students (Vertical)'!C:C=E270,'Students (Vertical)'!D:D&lt;&gt;"""")},{filter('Students (Vertical)'!D:D,'Students (Vertical)'!C:C=B270,'Students "&amp;"(Vertical)'!D:D&lt;&gt;"""");filter('Students (Vertical)'!D:D,'Students (Vertical)'!C:C=E270,'Students (Vertical)'!D:D&lt;&gt;"""")})&gt;1))),"""")"),"")</f>
        <v/>
      </c>
      <c r="L270" s="96"/>
      <c r="M270" s="96"/>
    </row>
    <row r="271" hidden="1">
      <c r="A271" s="8" t="s">
        <v>8</v>
      </c>
      <c r="C271" s="8" t="s">
        <v>8</v>
      </c>
      <c r="D271" s="8" t="s">
        <v>8</v>
      </c>
      <c r="F271" s="8" t="s">
        <v>8</v>
      </c>
      <c r="G271" s="8" t="s">
        <v>8</v>
      </c>
      <c r="I271" s="94" t="str">
        <f>IFERROR(__xludf.DUMMYFUNCTION("if(H271=""Must be Together"",iferror(join("", "",unique(filter({filter('Students (Vertical)'!O:O,'Students (Vertical)'!C:C=B271,'Students (Vertical)'!O:O&lt;&gt;"""");filter('Students (Vertical)'!O:O,'Students (Vertical)'!C:C=E271,'Students (Vertical)'!O:O&lt;&gt;"""&amp;""")},countifs({filter('Students (Vertical)'!O:O,'Students (Vertical)'!C:C=B271,'Students (Vertical)'!O:O&lt;&gt;"""");filter('Students (Vertical)'!O:O,'Students (Vertical)'!C:C=E271,'Students (Vertical)'!O:O&lt;&gt;"""")},{filter('Students (Vertical)'!O:O,'Students ("&amp;"Vertical)'!C:C=B271,'Students (Vertical)'!O:O&lt;&gt;"""");filter('Students (Vertical)'!O:O,'Students (Vertical)'!C:C=E271,'Students (Vertical)'!O:O&lt;&gt;"""")})&gt;1))),""No shared courses""),"""")"),"")</f>
        <v/>
      </c>
      <c r="J271" s="94" t="str">
        <f>IFERROR(__xludf.DUMMYFUNCTION("if(H271=""Can't be Together"",iferror(join("", "",unique(filter({unique(filter('Students (Vertical)'!O:O,'Students (Vertical)'!C:C=B271,'Students (Vertical)'!O:O&lt;&gt;"""",'Students (Vertical)'!P:P&gt;1));unique(filter('Students (Vertical)'!O:O,'Students (Vertic"&amp;"al)'!C:C=E271,'Students (Vertical)'!O:O&lt;&gt;"""",'Students (Vertical)'!P:P&gt;1))},countifs({unique(filter('Students (Vertical)'!O:O,'Students (Vertical)'!C:C=B271,'Students (Vertical)'!O:O&lt;&gt;"""",'Students (Vertical)'!P:P&gt;1));unique(filter('Students (Vertical)'"&amp;"!O:O,'Students (Vertical)'!C:C=E271,'Students (Vertical)'!O:O&lt;&gt;"""",'Students (Vertical)'!P:P&gt;1))},{unique(filter('Students (Vertical)'!O:O,'Students (Vertical)'!C:C=B271,'Students (Vertical)'!O:O&lt;&gt;"""",'Students (Vertical)'!P:P&gt;1));unique(filter('Student"&amp;"s (Vertical)'!O:O,'Students (Vertical)'!C:C=E271,'Students (Vertical)'!O:O&lt;&gt;"""",'Students (Vertical)'!P:P&gt;1))})&gt;1))),""""),"""")"),"")</f>
        <v/>
      </c>
      <c r="K271" s="96" t="str">
        <f>IFERROR(__xludf.DUMMYFUNCTION("iferror(join("", "",unique(filter({filter('Students (Vertical)'!D:D,'Students (Vertical)'!C:C=B271,'Students (Vertical)'!D:D&lt;&gt;"""");filter('Students (Vertical)'!D:D,'Students (Vertical)'!C:C=E271,'Students (Vertical)'!D:D&lt;&gt;"""")},countifs({filter('Student"&amp;"s (Vertical)'!D:D,'Students (Vertical)'!C:C=B271,'Students (Vertical)'!D:D&lt;&gt;"""");filter('Students (Vertical)'!D:D,'Students (Vertical)'!C:C=E271,'Students (Vertical)'!D:D&lt;&gt;"""")},{filter('Students (Vertical)'!D:D,'Students (Vertical)'!C:C=B271,'Students "&amp;"(Vertical)'!D:D&lt;&gt;"""");filter('Students (Vertical)'!D:D,'Students (Vertical)'!C:C=E271,'Students (Vertical)'!D:D&lt;&gt;"""")})&gt;1))),"""")"),"")</f>
        <v/>
      </c>
      <c r="L271" s="96"/>
      <c r="M271" s="96"/>
    </row>
    <row r="272" hidden="1">
      <c r="A272" s="8" t="s">
        <v>8</v>
      </c>
      <c r="C272" s="8" t="s">
        <v>8</v>
      </c>
      <c r="D272" s="8" t="s">
        <v>8</v>
      </c>
      <c r="F272" s="8" t="s">
        <v>8</v>
      </c>
      <c r="G272" s="8" t="s">
        <v>8</v>
      </c>
      <c r="I272" s="94" t="str">
        <f>IFERROR(__xludf.DUMMYFUNCTION("if(H272=""Must be Together"",iferror(join("", "",unique(filter({filter('Students (Vertical)'!O:O,'Students (Vertical)'!C:C=B272,'Students (Vertical)'!O:O&lt;&gt;"""");filter('Students (Vertical)'!O:O,'Students (Vertical)'!C:C=E272,'Students (Vertical)'!O:O&lt;&gt;"""&amp;""")},countifs({filter('Students (Vertical)'!O:O,'Students (Vertical)'!C:C=B272,'Students (Vertical)'!O:O&lt;&gt;"""");filter('Students (Vertical)'!O:O,'Students (Vertical)'!C:C=E272,'Students (Vertical)'!O:O&lt;&gt;"""")},{filter('Students (Vertical)'!O:O,'Students ("&amp;"Vertical)'!C:C=B272,'Students (Vertical)'!O:O&lt;&gt;"""");filter('Students (Vertical)'!O:O,'Students (Vertical)'!C:C=E272,'Students (Vertical)'!O:O&lt;&gt;"""")})&gt;1))),""No shared courses""),"""")"),"")</f>
        <v/>
      </c>
      <c r="J272" s="94" t="str">
        <f>IFERROR(__xludf.DUMMYFUNCTION("if(H272=""Can't be Together"",iferror(join("", "",unique(filter({unique(filter('Students (Vertical)'!O:O,'Students (Vertical)'!C:C=B272,'Students (Vertical)'!O:O&lt;&gt;"""",'Students (Vertical)'!P:P&gt;1));unique(filter('Students (Vertical)'!O:O,'Students (Vertic"&amp;"al)'!C:C=E272,'Students (Vertical)'!O:O&lt;&gt;"""",'Students (Vertical)'!P:P&gt;1))},countifs({unique(filter('Students (Vertical)'!O:O,'Students (Vertical)'!C:C=B272,'Students (Vertical)'!O:O&lt;&gt;"""",'Students (Vertical)'!P:P&gt;1));unique(filter('Students (Vertical)'"&amp;"!O:O,'Students (Vertical)'!C:C=E272,'Students (Vertical)'!O:O&lt;&gt;"""",'Students (Vertical)'!P:P&gt;1))},{unique(filter('Students (Vertical)'!O:O,'Students (Vertical)'!C:C=B272,'Students (Vertical)'!O:O&lt;&gt;"""",'Students (Vertical)'!P:P&gt;1));unique(filter('Student"&amp;"s (Vertical)'!O:O,'Students (Vertical)'!C:C=E272,'Students (Vertical)'!O:O&lt;&gt;"""",'Students (Vertical)'!P:P&gt;1))})&gt;1))),""""),"""")"),"")</f>
        <v/>
      </c>
      <c r="K272" s="96" t="str">
        <f>IFERROR(__xludf.DUMMYFUNCTION("iferror(join("", "",unique(filter({filter('Students (Vertical)'!D:D,'Students (Vertical)'!C:C=B272,'Students (Vertical)'!D:D&lt;&gt;"""");filter('Students (Vertical)'!D:D,'Students (Vertical)'!C:C=E272,'Students (Vertical)'!D:D&lt;&gt;"""")},countifs({filter('Student"&amp;"s (Vertical)'!D:D,'Students (Vertical)'!C:C=B272,'Students (Vertical)'!D:D&lt;&gt;"""");filter('Students (Vertical)'!D:D,'Students (Vertical)'!C:C=E272,'Students (Vertical)'!D:D&lt;&gt;"""")},{filter('Students (Vertical)'!D:D,'Students (Vertical)'!C:C=B272,'Students "&amp;"(Vertical)'!D:D&lt;&gt;"""");filter('Students (Vertical)'!D:D,'Students (Vertical)'!C:C=E272,'Students (Vertical)'!D:D&lt;&gt;"""")})&gt;1))),"""")"),"")</f>
        <v/>
      </c>
      <c r="L272" s="96"/>
      <c r="M272" s="96"/>
    </row>
    <row r="273" hidden="1">
      <c r="A273" s="8" t="s">
        <v>8</v>
      </c>
      <c r="C273" s="8" t="s">
        <v>8</v>
      </c>
      <c r="D273" s="8" t="s">
        <v>8</v>
      </c>
      <c r="F273" s="8" t="s">
        <v>8</v>
      </c>
      <c r="G273" s="8" t="s">
        <v>8</v>
      </c>
      <c r="I273" s="94" t="str">
        <f>IFERROR(__xludf.DUMMYFUNCTION("if(H273=""Must be Together"",iferror(join("", "",unique(filter({filter('Students (Vertical)'!O:O,'Students (Vertical)'!C:C=B273,'Students (Vertical)'!O:O&lt;&gt;"""");filter('Students (Vertical)'!O:O,'Students (Vertical)'!C:C=E273,'Students (Vertical)'!O:O&lt;&gt;"""&amp;""")},countifs({filter('Students (Vertical)'!O:O,'Students (Vertical)'!C:C=B273,'Students (Vertical)'!O:O&lt;&gt;"""");filter('Students (Vertical)'!O:O,'Students (Vertical)'!C:C=E273,'Students (Vertical)'!O:O&lt;&gt;"""")},{filter('Students (Vertical)'!O:O,'Students ("&amp;"Vertical)'!C:C=B273,'Students (Vertical)'!O:O&lt;&gt;"""");filter('Students (Vertical)'!O:O,'Students (Vertical)'!C:C=E273,'Students (Vertical)'!O:O&lt;&gt;"""")})&gt;1))),""No shared courses""),"""")"),"")</f>
        <v/>
      </c>
      <c r="J273" s="94" t="str">
        <f>IFERROR(__xludf.DUMMYFUNCTION("if(H273=""Can't be Together"",iferror(join("", "",unique(filter({unique(filter('Students (Vertical)'!O:O,'Students (Vertical)'!C:C=B273,'Students (Vertical)'!O:O&lt;&gt;"""",'Students (Vertical)'!P:P&gt;1));unique(filter('Students (Vertical)'!O:O,'Students (Vertic"&amp;"al)'!C:C=E273,'Students (Vertical)'!O:O&lt;&gt;"""",'Students (Vertical)'!P:P&gt;1))},countifs({unique(filter('Students (Vertical)'!O:O,'Students (Vertical)'!C:C=B273,'Students (Vertical)'!O:O&lt;&gt;"""",'Students (Vertical)'!P:P&gt;1));unique(filter('Students (Vertical)'"&amp;"!O:O,'Students (Vertical)'!C:C=E273,'Students (Vertical)'!O:O&lt;&gt;"""",'Students (Vertical)'!P:P&gt;1))},{unique(filter('Students (Vertical)'!O:O,'Students (Vertical)'!C:C=B273,'Students (Vertical)'!O:O&lt;&gt;"""",'Students (Vertical)'!P:P&gt;1));unique(filter('Student"&amp;"s (Vertical)'!O:O,'Students (Vertical)'!C:C=E273,'Students (Vertical)'!O:O&lt;&gt;"""",'Students (Vertical)'!P:P&gt;1))})&gt;1))),""""),"""")"),"")</f>
        <v/>
      </c>
      <c r="K273" s="96" t="str">
        <f>IFERROR(__xludf.DUMMYFUNCTION("iferror(join("", "",unique(filter({filter('Students (Vertical)'!D:D,'Students (Vertical)'!C:C=B273,'Students (Vertical)'!D:D&lt;&gt;"""");filter('Students (Vertical)'!D:D,'Students (Vertical)'!C:C=E273,'Students (Vertical)'!D:D&lt;&gt;"""")},countifs({filter('Student"&amp;"s (Vertical)'!D:D,'Students (Vertical)'!C:C=B273,'Students (Vertical)'!D:D&lt;&gt;"""");filter('Students (Vertical)'!D:D,'Students (Vertical)'!C:C=E273,'Students (Vertical)'!D:D&lt;&gt;"""")},{filter('Students (Vertical)'!D:D,'Students (Vertical)'!C:C=B273,'Students "&amp;"(Vertical)'!D:D&lt;&gt;"""");filter('Students (Vertical)'!D:D,'Students (Vertical)'!C:C=E273,'Students (Vertical)'!D:D&lt;&gt;"""")})&gt;1))),"""")"),"")</f>
        <v/>
      </c>
      <c r="L273" s="96"/>
      <c r="M273" s="96"/>
    </row>
    <row r="274" hidden="1">
      <c r="A274" s="8" t="s">
        <v>8</v>
      </c>
      <c r="C274" s="8" t="s">
        <v>8</v>
      </c>
      <c r="D274" s="8" t="s">
        <v>8</v>
      </c>
      <c r="F274" s="8" t="s">
        <v>8</v>
      </c>
      <c r="G274" s="8" t="s">
        <v>8</v>
      </c>
      <c r="I274" s="94" t="str">
        <f>IFERROR(__xludf.DUMMYFUNCTION("if(H274=""Must be Together"",iferror(join("", "",unique(filter({filter('Students (Vertical)'!O:O,'Students (Vertical)'!C:C=B274,'Students (Vertical)'!O:O&lt;&gt;"""");filter('Students (Vertical)'!O:O,'Students (Vertical)'!C:C=E274,'Students (Vertical)'!O:O&lt;&gt;"""&amp;""")},countifs({filter('Students (Vertical)'!O:O,'Students (Vertical)'!C:C=B274,'Students (Vertical)'!O:O&lt;&gt;"""");filter('Students (Vertical)'!O:O,'Students (Vertical)'!C:C=E274,'Students (Vertical)'!O:O&lt;&gt;"""")},{filter('Students (Vertical)'!O:O,'Students ("&amp;"Vertical)'!C:C=B274,'Students (Vertical)'!O:O&lt;&gt;"""");filter('Students (Vertical)'!O:O,'Students (Vertical)'!C:C=E274,'Students (Vertical)'!O:O&lt;&gt;"""")})&gt;1))),""No shared courses""),"""")"),"")</f>
        <v/>
      </c>
      <c r="J274" s="94" t="str">
        <f>IFERROR(__xludf.DUMMYFUNCTION("if(H274=""Can't be Together"",iferror(join("", "",unique(filter({unique(filter('Students (Vertical)'!O:O,'Students (Vertical)'!C:C=B274,'Students (Vertical)'!O:O&lt;&gt;"""",'Students (Vertical)'!P:P&gt;1));unique(filter('Students (Vertical)'!O:O,'Students (Vertic"&amp;"al)'!C:C=E274,'Students (Vertical)'!O:O&lt;&gt;"""",'Students (Vertical)'!P:P&gt;1))},countifs({unique(filter('Students (Vertical)'!O:O,'Students (Vertical)'!C:C=B274,'Students (Vertical)'!O:O&lt;&gt;"""",'Students (Vertical)'!P:P&gt;1));unique(filter('Students (Vertical)'"&amp;"!O:O,'Students (Vertical)'!C:C=E274,'Students (Vertical)'!O:O&lt;&gt;"""",'Students (Vertical)'!P:P&gt;1))},{unique(filter('Students (Vertical)'!O:O,'Students (Vertical)'!C:C=B274,'Students (Vertical)'!O:O&lt;&gt;"""",'Students (Vertical)'!P:P&gt;1));unique(filter('Student"&amp;"s (Vertical)'!O:O,'Students (Vertical)'!C:C=E274,'Students (Vertical)'!O:O&lt;&gt;"""",'Students (Vertical)'!P:P&gt;1))})&gt;1))),""""),"""")"),"")</f>
        <v/>
      </c>
      <c r="K274" s="96" t="str">
        <f>IFERROR(__xludf.DUMMYFUNCTION("iferror(join("", "",unique(filter({filter('Students (Vertical)'!D:D,'Students (Vertical)'!C:C=B274,'Students (Vertical)'!D:D&lt;&gt;"""");filter('Students (Vertical)'!D:D,'Students (Vertical)'!C:C=E274,'Students (Vertical)'!D:D&lt;&gt;"""")},countifs({filter('Student"&amp;"s (Vertical)'!D:D,'Students (Vertical)'!C:C=B274,'Students (Vertical)'!D:D&lt;&gt;"""");filter('Students (Vertical)'!D:D,'Students (Vertical)'!C:C=E274,'Students (Vertical)'!D:D&lt;&gt;"""")},{filter('Students (Vertical)'!D:D,'Students (Vertical)'!C:C=B274,'Students "&amp;"(Vertical)'!D:D&lt;&gt;"""");filter('Students (Vertical)'!D:D,'Students (Vertical)'!C:C=E274,'Students (Vertical)'!D:D&lt;&gt;"""")})&gt;1))),"""")"),"")</f>
        <v/>
      </c>
      <c r="L274" s="96"/>
      <c r="M274" s="96"/>
    </row>
    <row r="275" hidden="1">
      <c r="A275" s="8" t="s">
        <v>8</v>
      </c>
      <c r="C275" s="8" t="s">
        <v>8</v>
      </c>
      <c r="D275" s="8" t="s">
        <v>8</v>
      </c>
      <c r="F275" s="8" t="s">
        <v>8</v>
      </c>
      <c r="G275" s="8" t="s">
        <v>8</v>
      </c>
      <c r="I275" s="94" t="str">
        <f>IFERROR(__xludf.DUMMYFUNCTION("if(H275=""Must be Together"",iferror(join("", "",unique(filter({filter('Students (Vertical)'!O:O,'Students (Vertical)'!C:C=B275,'Students (Vertical)'!O:O&lt;&gt;"""");filter('Students (Vertical)'!O:O,'Students (Vertical)'!C:C=E275,'Students (Vertical)'!O:O&lt;&gt;"""&amp;""")},countifs({filter('Students (Vertical)'!O:O,'Students (Vertical)'!C:C=B275,'Students (Vertical)'!O:O&lt;&gt;"""");filter('Students (Vertical)'!O:O,'Students (Vertical)'!C:C=E275,'Students (Vertical)'!O:O&lt;&gt;"""")},{filter('Students (Vertical)'!O:O,'Students ("&amp;"Vertical)'!C:C=B275,'Students (Vertical)'!O:O&lt;&gt;"""");filter('Students (Vertical)'!O:O,'Students (Vertical)'!C:C=E275,'Students (Vertical)'!O:O&lt;&gt;"""")})&gt;1))),""No shared courses""),"""")"),"")</f>
        <v/>
      </c>
      <c r="J275" s="94" t="str">
        <f>IFERROR(__xludf.DUMMYFUNCTION("if(H275=""Can't be Together"",iferror(join("", "",unique(filter({unique(filter('Students (Vertical)'!O:O,'Students (Vertical)'!C:C=B275,'Students (Vertical)'!O:O&lt;&gt;"""",'Students (Vertical)'!P:P&gt;1));unique(filter('Students (Vertical)'!O:O,'Students (Vertic"&amp;"al)'!C:C=E275,'Students (Vertical)'!O:O&lt;&gt;"""",'Students (Vertical)'!P:P&gt;1))},countifs({unique(filter('Students (Vertical)'!O:O,'Students (Vertical)'!C:C=B275,'Students (Vertical)'!O:O&lt;&gt;"""",'Students (Vertical)'!P:P&gt;1));unique(filter('Students (Vertical)'"&amp;"!O:O,'Students (Vertical)'!C:C=E275,'Students (Vertical)'!O:O&lt;&gt;"""",'Students (Vertical)'!P:P&gt;1))},{unique(filter('Students (Vertical)'!O:O,'Students (Vertical)'!C:C=B275,'Students (Vertical)'!O:O&lt;&gt;"""",'Students (Vertical)'!P:P&gt;1));unique(filter('Student"&amp;"s (Vertical)'!O:O,'Students (Vertical)'!C:C=E275,'Students (Vertical)'!O:O&lt;&gt;"""",'Students (Vertical)'!P:P&gt;1))})&gt;1))),""""),"""")"),"")</f>
        <v/>
      </c>
      <c r="K275" s="96" t="str">
        <f>IFERROR(__xludf.DUMMYFUNCTION("iferror(join("", "",unique(filter({filter('Students (Vertical)'!D:D,'Students (Vertical)'!C:C=B275,'Students (Vertical)'!D:D&lt;&gt;"""");filter('Students (Vertical)'!D:D,'Students (Vertical)'!C:C=E275,'Students (Vertical)'!D:D&lt;&gt;"""")},countifs({filter('Student"&amp;"s (Vertical)'!D:D,'Students (Vertical)'!C:C=B275,'Students (Vertical)'!D:D&lt;&gt;"""");filter('Students (Vertical)'!D:D,'Students (Vertical)'!C:C=E275,'Students (Vertical)'!D:D&lt;&gt;"""")},{filter('Students (Vertical)'!D:D,'Students (Vertical)'!C:C=B275,'Students "&amp;"(Vertical)'!D:D&lt;&gt;"""");filter('Students (Vertical)'!D:D,'Students (Vertical)'!C:C=E275,'Students (Vertical)'!D:D&lt;&gt;"""")})&gt;1))),"""")"),"")</f>
        <v/>
      </c>
      <c r="L275" s="96"/>
      <c r="M275" s="96"/>
    </row>
    <row r="276" hidden="1">
      <c r="A276" s="8" t="s">
        <v>8</v>
      </c>
      <c r="C276" s="8" t="s">
        <v>8</v>
      </c>
      <c r="D276" s="8" t="s">
        <v>8</v>
      </c>
      <c r="F276" s="8" t="s">
        <v>8</v>
      </c>
      <c r="G276" s="8" t="s">
        <v>8</v>
      </c>
      <c r="I276" s="94" t="str">
        <f>IFERROR(__xludf.DUMMYFUNCTION("if(H276=""Must be Together"",iferror(join("", "",unique(filter({filter('Students (Vertical)'!O:O,'Students (Vertical)'!C:C=B276,'Students (Vertical)'!O:O&lt;&gt;"""");filter('Students (Vertical)'!O:O,'Students (Vertical)'!C:C=E276,'Students (Vertical)'!O:O&lt;&gt;"""&amp;""")},countifs({filter('Students (Vertical)'!O:O,'Students (Vertical)'!C:C=B276,'Students (Vertical)'!O:O&lt;&gt;"""");filter('Students (Vertical)'!O:O,'Students (Vertical)'!C:C=E276,'Students (Vertical)'!O:O&lt;&gt;"""")},{filter('Students (Vertical)'!O:O,'Students ("&amp;"Vertical)'!C:C=B276,'Students (Vertical)'!O:O&lt;&gt;"""");filter('Students (Vertical)'!O:O,'Students (Vertical)'!C:C=E276,'Students (Vertical)'!O:O&lt;&gt;"""")})&gt;1))),""No shared courses""),"""")"),"")</f>
        <v/>
      </c>
      <c r="J276" s="94" t="str">
        <f>IFERROR(__xludf.DUMMYFUNCTION("if(H276=""Can't be Together"",iferror(join("", "",unique(filter({unique(filter('Students (Vertical)'!O:O,'Students (Vertical)'!C:C=B276,'Students (Vertical)'!O:O&lt;&gt;"""",'Students (Vertical)'!P:P&gt;1));unique(filter('Students (Vertical)'!O:O,'Students (Vertic"&amp;"al)'!C:C=E276,'Students (Vertical)'!O:O&lt;&gt;"""",'Students (Vertical)'!P:P&gt;1))},countifs({unique(filter('Students (Vertical)'!O:O,'Students (Vertical)'!C:C=B276,'Students (Vertical)'!O:O&lt;&gt;"""",'Students (Vertical)'!P:P&gt;1));unique(filter('Students (Vertical)'"&amp;"!O:O,'Students (Vertical)'!C:C=E276,'Students (Vertical)'!O:O&lt;&gt;"""",'Students (Vertical)'!P:P&gt;1))},{unique(filter('Students (Vertical)'!O:O,'Students (Vertical)'!C:C=B276,'Students (Vertical)'!O:O&lt;&gt;"""",'Students (Vertical)'!P:P&gt;1));unique(filter('Student"&amp;"s (Vertical)'!O:O,'Students (Vertical)'!C:C=E276,'Students (Vertical)'!O:O&lt;&gt;"""",'Students (Vertical)'!P:P&gt;1))})&gt;1))),""""),"""")"),"")</f>
        <v/>
      </c>
      <c r="K276" s="96" t="str">
        <f>IFERROR(__xludf.DUMMYFUNCTION("iferror(join("", "",unique(filter({filter('Students (Vertical)'!D:D,'Students (Vertical)'!C:C=B276,'Students (Vertical)'!D:D&lt;&gt;"""");filter('Students (Vertical)'!D:D,'Students (Vertical)'!C:C=E276,'Students (Vertical)'!D:D&lt;&gt;"""")},countifs({filter('Student"&amp;"s (Vertical)'!D:D,'Students (Vertical)'!C:C=B276,'Students (Vertical)'!D:D&lt;&gt;"""");filter('Students (Vertical)'!D:D,'Students (Vertical)'!C:C=E276,'Students (Vertical)'!D:D&lt;&gt;"""")},{filter('Students (Vertical)'!D:D,'Students (Vertical)'!C:C=B276,'Students "&amp;"(Vertical)'!D:D&lt;&gt;"""");filter('Students (Vertical)'!D:D,'Students (Vertical)'!C:C=E276,'Students (Vertical)'!D:D&lt;&gt;"""")})&gt;1))),"""")"),"")</f>
        <v/>
      </c>
      <c r="L276" s="96"/>
      <c r="M276" s="96"/>
    </row>
    <row r="277" hidden="1">
      <c r="A277" s="8" t="s">
        <v>8</v>
      </c>
      <c r="C277" s="8" t="s">
        <v>8</v>
      </c>
      <c r="D277" s="8" t="s">
        <v>8</v>
      </c>
      <c r="F277" s="8" t="s">
        <v>8</v>
      </c>
      <c r="G277" s="8" t="s">
        <v>8</v>
      </c>
      <c r="I277" s="94" t="str">
        <f>IFERROR(__xludf.DUMMYFUNCTION("if(H277=""Must be Together"",iferror(join("", "",unique(filter({filter('Students (Vertical)'!O:O,'Students (Vertical)'!C:C=B277,'Students (Vertical)'!O:O&lt;&gt;"""");filter('Students (Vertical)'!O:O,'Students (Vertical)'!C:C=E277,'Students (Vertical)'!O:O&lt;&gt;"""&amp;""")},countifs({filter('Students (Vertical)'!O:O,'Students (Vertical)'!C:C=B277,'Students (Vertical)'!O:O&lt;&gt;"""");filter('Students (Vertical)'!O:O,'Students (Vertical)'!C:C=E277,'Students (Vertical)'!O:O&lt;&gt;"""")},{filter('Students (Vertical)'!O:O,'Students ("&amp;"Vertical)'!C:C=B277,'Students (Vertical)'!O:O&lt;&gt;"""");filter('Students (Vertical)'!O:O,'Students (Vertical)'!C:C=E277,'Students (Vertical)'!O:O&lt;&gt;"""")})&gt;1))),""No shared courses""),"""")"),"")</f>
        <v/>
      </c>
      <c r="J277" s="94" t="str">
        <f>IFERROR(__xludf.DUMMYFUNCTION("if(H277=""Can't be Together"",iferror(join("", "",unique(filter({unique(filter('Students (Vertical)'!O:O,'Students (Vertical)'!C:C=B277,'Students (Vertical)'!O:O&lt;&gt;"""",'Students (Vertical)'!P:P&gt;1));unique(filter('Students (Vertical)'!O:O,'Students (Vertic"&amp;"al)'!C:C=E277,'Students (Vertical)'!O:O&lt;&gt;"""",'Students (Vertical)'!P:P&gt;1))},countifs({unique(filter('Students (Vertical)'!O:O,'Students (Vertical)'!C:C=B277,'Students (Vertical)'!O:O&lt;&gt;"""",'Students (Vertical)'!P:P&gt;1));unique(filter('Students (Vertical)'"&amp;"!O:O,'Students (Vertical)'!C:C=E277,'Students (Vertical)'!O:O&lt;&gt;"""",'Students (Vertical)'!P:P&gt;1))},{unique(filter('Students (Vertical)'!O:O,'Students (Vertical)'!C:C=B277,'Students (Vertical)'!O:O&lt;&gt;"""",'Students (Vertical)'!P:P&gt;1));unique(filter('Student"&amp;"s (Vertical)'!O:O,'Students (Vertical)'!C:C=E277,'Students (Vertical)'!O:O&lt;&gt;"""",'Students (Vertical)'!P:P&gt;1))})&gt;1))),""""),"""")"),"")</f>
        <v/>
      </c>
      <c r="K277" s="96" t="str">
        <f>IFERROR(__xludf.DUMMYFUNCTION("iferror(join("", "",unique(filter({filter('Students (Vertical)'!D:D,'Students (Vertical)'!C:C=B277,'Students (Vertical)'!D:D&lt;&gt;"""");filter('Students (Vertical)'!D:D,'Students (Vertical)'!C:C=E277,'Students (Vertical)'!D:D&lt;&gt;"""")},countifs({filter('Student"&amp;"s (Vertical)'!D:D,'Students (Vertical)'!C:C=B277,'Students (Vertical)'!D:D&lt;&gt;"""");filter('Students (Vertical)'!D:D,'Students (Vertical)'!C:C=E277,'Students (Vertical)'!D:D&lt;&gt;"""")},{filter('Students (Vertical)'!D:D,'Students (Vertical)'!C:C=B277,'Students "&amp;"(Vertical)'!D:D&lt;&gt;"""");filter('Students (Vertical)'!D:D,'Students (Vertical)'!C:C=E277,'Students (Vertical)'!D:D&lt;&gt;"""")})&gt;1))),"""")"),"")</f>
        <v/>
      </c>
      <c r="L277" s="96"/>
      <c r="M277" s="96"/>
    </row>
    <row r="278" hidden="1">
      <c r="A278" s="8" t="s">
        <v>8</v>
      </c>
      <c r="C278" s="8" t="s">
        <v>8</v>
      </c>
      <c r="D278" s="8" t="s">
        <v>8</v>
      </c>
      <c r="F278" s="8" t="s">
        <v>8</v>
      </c>
      <c r="G278" s="8" t="s">
        <v>8</v>
      </c>
      <c r="I278" s="94" t="str">
        <f>IFERROR(__xludf.DUMMYFUNCTION("if(H278=""Must be Together"",iferror(join("", "",unique(filter({filter('Students (Vertical)'!O:O,'Students (Vertical)'!C:C=B278,'Students (Vertical)'!O:O&lt;&gt;"""");filter('Students (Vertical)'!O:O,'Students (Vertical)'!C:C=E278,'Students (Vertical)'!O:O&lt;&gt;"""&amp;""")},countifs({filter('Students (Vertical)'!O:O,'Students (Vertical)'!C:C=B278,'Students (Vertical)'!O:O&lt;&gt;"""");filter('Students (Vertical)'!O:O,'Students (Vertical)'!C:C=E278,'Students (Vertical)'!O:O&lt;&gt;"""")},{filter('Students (Vertical)'!O:O,'Students ("&amp;"Vertical)'!C:C=B278,'Students (Vertical)'!O:O&lt;&gt;"""");filter('Students (Vertical)'!O:O,'Students (Vertical)'!C:C=E278,'Students (Vertical)'!O:O&lt;&gt;"""")})&gt;1))),""No shared courses""),"""")"),"")</f>
        <v/>
      </c>
      <c r="J278" s="94" t="str">
        <f>IFERROR(__xludf.DUMMYFUNCTION("if(H278=""Can't be Together"",iferror(join("", "",unique(filter({unique(filter('Students (Vertical)'!O:O,'Students (Vertical)'!C:C=B278,'Students (Vertical)'!O:O&lt;&gt;"""",'Students (Vertical)'!P:P&gt;1));unique(filter('Students (Vertical)'!O:O,'Students (Vertic"&amp;"al)'!C:C=E278,'Students (Vertical)'!O:O&lt;&gt;"""",'Students (Vertical)'!P:P&gt;1))},countifs({unique(filter('Students (Vertical)'!O:O,'Students (Vertical)'!C:C=B278,'Students (Vertical)'!O:O&lt;&gt;"""",'Students (Vertical)'!P:P&gt;1));unique(filter('Students (Vertical)'"&amp;"!O:O,'Students (Vertical)'!C:C=E278,'Students (Vertical)'!O:O&lt;&gt;"""",'Students (Vertical)'!P:P&gt;1))},{unique(filter('Students (Vertical)'!O:O,'Students (Vertical)'!C:C=B278,'Students (Vertical)'!O:O&lt;&gt;"""",'Students (Vertical)'!P:P&gt;1));unique(filter('Student"&amp;"s (Vertical)'!O:O,'Students (Vertical)'!C:C=E278,'Students (Vertical)'!O:O&lt;&gt;"""",'Students (Vertical)'!P:P&gt;1))})&gt;1))),""""),"""")"),"")</f>
        <v/>
      </c>
      <c r="K278" s="96" t="str">
        <f>IFERROR(__xludf.DUMMYFUNCTION("iferror(join("", "",unique(filter({filter('Students (Vertical)'!D:D,'Students (Vertical)'!C:C=B278,'Students (Vertical)'!D:D&lt;&gt;"""");filter('Students (Vertical)'!D:D,'Students (Vertical)'!C:C=E278,'Students (Vertical)'!D:D&lt;&gt;"""")},countifs({filter('Student"&amp;"s (Vertical)'!D:D,'Students (Vertical)'!C:C=B278,'Students (Vertical)'!D:D&lt;&gt;"""");filter('Students (Vertical)'!D:D,'Students (Vertical)'!C:C=E278,'Students (Vertical)'!D:D&lt;&gt;"""")},{filter('Students (Vertical)'!D:D,'Students (Vertical)'!C:C=B278,'Students "&amp;"(Vertical)'!D:D&lt;&gt;"""");filter('Students (Vertical)'!D:D,'Students (Vertical)'!C:C=E278,'Students (Vertical)'!D:D&lt;&gt;"""")})&gt;1))),"""")"),"")</f>
        <v/>
      </c>
      <c r="L278" s="96"/>
      <c r="M278" s="96"/>
    </row>
    <row r="279" hidden="1">
      <c r="A279" s="8" t="s">
        <v>8</v>
      </c>
      <c r="C279" s="8" t="s">
        <v>8</v>
      </c>
      <c r="D279" s="8" t="s">
        <v>8</v>
      </c>
      <c r="F279" s="8" t="s">
        <v>8</v>
      </c>
      <c r="G279" s="8" t="s">
        <v>8</v>
      </c>
      <c r="I279" s="94" t="str">
        <f>IFERROR(__xludf.DUMMYFUNCTION("if(H279=""Must be Together"",iferror(join("", "",unique(filter({filter('Students (Vertical)'!O:O,'Students (Vertical)'!C:C=B279,'Students (Vertical)'!O:O&lt;&gt;"""");filter('Students (Vertical)'!O:O,'Students (Vertical)'!C:C=E279,'Students (Vertical)'!O:O&lt;&gt;"""&amp;""")},countifs({filter('Students (Vertical)'!O:O,'Students (Vertical)'!C:C=B279,'Students (Vertical)'!O:O&lt;&gt;"""");filter('Students (Vertical)'!O:O,'Students (Vertical)'!C:C=E279,'Students (Vertical)'!O:O&lt;&gt;"""")},{filter('Students (Vertical)'!O:O,'Students ("&amp;"Vertical)'!C:C=B279,'Students (Vertical)'!O:O&lt;&gt;"""");filter('Students (Vertical)'!O:O,'Students (Vertical)'!C:C=E279,'Students (Vertical)'!O:O&lt;&gt;"""")})&gt;1))),""No shared courses""),"""")"),"")</f>
        <v/>
      </c>
      <c r="J279" s="94" t="str">
        <f>IFERROR(__xludf.DUMMYFUNCTION("if(H279=""Can't be Together"",iferror(join("", "",unique(filter({unique(filter('Students (Vertical)'!O:O,'Students (Vertical)'!C:C=B279,'Students (Vertical)'!O:O&lt;&gt;"""",'Students (Vertical)'!P:P&gt;1));unique(filter('Students (Vertical)'!O:O,'Students (Vertic"&amp;"al)'!C:C=E279,'Students (Vertical)'!O:O&lt;&gt;"""",'Students (Vertical)'!P:P&gt;1))},countifs({unique(filter('Students (Vertical)'!O:O,'Students (Vertical)'!C:C=B279,'Students (Vertical)'!O:O&lt;&gt;"""",'Students (Vertical)'!P:P&gt;1));unique(filter('Students (Vertical)'"&amp;"!O:O,'Students (Vertical)'!C:C=E279,'Students (Vertical)'!O:O&lt;&gt;"""",'Students (Vertical)'!P:P&gt;1))},{unique(filter('Students (Vertical)'!O:O,'Students (Vertical)'!C:C=B279,'Students (Vertical)'!O:O&lt;&gt;"""",'Students (Vertical)'!P:P&gt;1));unique(filter('Student"&amp;"s (Vertical)'!O:O,'Students (Vertical)'!C:C=E279,'Students (Vertical)'!O:O&lt;&gt;"""",'Students (Vertical)'!P:P&gt;1))})&gt;1))),""""),"""")"),"")</f>
        <v/>
      </c>
      <c r="K279" s="96" t="str">
        <f>IFERROR(__xludf.DUMMYFUNCTION("iferror(join("", "",unique(filter({filter('Students (Vertical)'!D:D,'Students (Vertical)'!C:C=B279,'Students (Vertical)'!D:D&lt;&gt;"""");filter('Students (Vertical)'!D:D,'Students (Vertical)'!C:C=E279,'Students (Vertical)'!D:D&lt;&gt;"""")},countifs({filter('Student"&amp;"s (Vertical)'!D:D,'Students (Vertical)'!C:C=B279,'Students (Vertical)'!D:D&lt;&gt;"""");filter('Students (Vertical)'!D:D,'Students (Vertical)'!C:C=E279,'Students (Vertical)'!D:D&lt;&gt;"""")},{filter('Students (Vertical)'!D:D,'Students (Vertical)'!C:C=B279,'Students "&amp;"(Vertical)'!D:D&lt;&gt;"""");filter('Students (Vertical)'!D:D,'Students (Vertical)'!C:C=E279,'Students (Vertical)'!D:D&lt;&gt;"""")})&gt;1))),"""")"),"")</f>
        <v/>
      </c>
      <c r="L279" s="96"/>
      <c r="M279" s="96"/>
    </row>
    <row r="280" hidden="1">
      <c r="A280" s="8" t="s">
        <v>8</v>
      </c>
      <c r="C280" s="8" t="s">
        <v>8</v>
      </c>
      <c r="D280" s="8" t="s">
        <v>8</v>
      </c>
      <c r="F280" s="8" t="s">
        <v>8</v>
      </c>
      <c r="G280" s="8" t="s">
        <v>8</v>
      </c>
      <c r="I280" s="94" t="str">
        <f>IFERROR(__xludf.DUMMYFUNCTION("if(H280=""Must be Together"",iferror(join("", "",unique(filter({filter('Students (Vertical)'!O:O,'Students (Vertical)'!C:C=B280,'Students (Vertical)'!O:O&lt;&gt;"""");filter('Students (Vertical)'!O:O,'Students (Vertical)'!C:C=E280,'Students (Vertical)'!O:O&lt;&gt;"""&amp;""")},countifs({filter('Students (Vertical)'!O:O,'Students (Vertical)'!C:C=B280,'Students (Vertical)'!O:O&lt;&gt;"""");filter('Students (Vertical)'!O:O,'Students (Vertical)'!C:C=E280,'Students (Vertical)'!O:O&lt;&gt;"""")},{filter('Students (Vertical)'!O:O,'Students ("&amp;"Vertical)'!C:C=B280,'Students (Vertical)'!O:O&lt;&gt;"""");filter('Students (Vertical)'!O:O,'Students (Vertical)'!C:C=E280,'Students (Vertical)'!O:O&lt;&gt;"""")})&gt;1))),""No shared courses""),"""")"),"")</f>
        <v/>
      </c>
      <c r="J280" s="94" t="str">
        <f>IFERROR(__xludf.DUMMYFUNCTION("if(H280=""Can't be Together"",iferror(join("", "",unique(filter({unique(filter('Students (Vertical)'!O:O,'Students (Vertical)'!C:C=B280,'Students (Vertical)'!O:O&lt;&gt;"""",'Students (Vertical)'!P:P&gt;1));unique(filter('Students (Vertical)'!O:O,'Students (Vertic"&amp;"al)'!C:C=E280,'Students (Vertical)'!O:O&lt;&gt;"""",'Students (Vertical)'!P:P&gt;1))},countifs({unique(filter('Students (Vertical)'!O:O,'Students (Vertical)'!C:C=B280,'Students (Vertical)'!O:O&lt;&gt;"""",'Students (Vertical)'!P:P&gt;1));unique(filter('Students (Vertical)'"&amp;"!O:O,'Students (Vertical)'!C:C=E280,'Students (Vertical)'!O:O&lt;&gt;"""",'Students (Vertical)'!P:P&gt;1))},{unique(filter('Students (Vertical)'!O:O,'Students (Vertical)'!C:C=B280,'Students (Vertical)'!O:O&lt;&gt;"""",'Students (Vertical)'!P:P&gt;1));unique(filter('Student"&amp;"s (Vertical)'!O:O,'Students (Vertical)'!C:C=E280,'Students (Vertical)'!O:O&lt;&gt;"""",'Students (Vertical)'!P:P&gt;1))})&gt;1))),""""),"""")"),"")</f>
        <v/>
      </c>
      <c r="K280" s="96" t="str">
        <f>IFERROR(__xludf.DUMMYFUNCTION("iferror(join("", "",unique(filter({filter('Students (Vertical)'!D:D,'Students (Vertical)'!C:C=B280,'Students (Vertical)'!D:D&lt;&gt;"""");filter('Students (Vertical)'!D:D,'Students (Vertical)'!C:C=E280,'Students (Vertical)'!D:D&lt;&gt;"""")},countifs({filter('Student"&amp;"s (Vertical)'!D:D,'Students (Vertical)'!C:C=B280,'Students (Vertical)'!D:D&lt;&gt;"""");filter('Students (Vertical)'!D:D,'Students (Vertical)'!C:C=E280,'Students (Vertical)'!D:D&lt;&gt;"""")},{filter('Students (Vertical)'!D:D,'Students (Vertical)'!C:C=B280,'Students "&amp;"(Vertical)'!D:D&lt;&gt;"""");filter('Students (Vertical)'!D:D,'Students (Vertical)'!C:C=E280,'Students (Vertical)'!D:D&lt;&gt;"""")})&gt;1))),"""")"),"")</f>
        <v/>
      </c>
      <c r="L280" s="96"/>
      <c r="M280" s="96"/>
    </row>
    <row r="281" hidden="1">
      <c r="A281" s="8" t="s">
        <v>8</v>
      </c>
      <c r="C281" s="8" t="s">
        <v>8</v>
      </c>
      <c r="D281" s="8" t="s">
        <v>8</v>
      </c>
      <c r="F281" s="8" t="s">
        <v>8</v>
      </c>
      <c r="G281" s="8" t="s">
        <v>8</v>
      </c>
      <c r="I281" s="94" t="str">
        <f>IFERROR(__xludf.DUMMYFUNCTION("if(H281=""Must be Together"",iferror(join("", "",unique(filter({filter('Students (Vertical)'!O:O,'Students (Vertical)'!C:C=B281,'Students (Vertical)'!O:O&lt;&gt;"""");filter('Students (Vertical)'!O:O,'Students (Vertical)'!C:C=E281,'Students (Vertical)'!O:O&lt;&gt;"""&amp;""")},countifs({filter('Students (Vertical)'!O:O,'Students (Vertical)'!C:C=B281,'Students (Vertical)'!O:O&lt;&gt;"""");filter('Students (Vertical)'!O:O,'Students (Vertical)'!C:C=E281,'Students (Vertical)'!O:O&lt;&gt;"""")},{filter('Students (Vertical)'!O:O,'Students ("&amp;"Vertical)'!C:C=B281,'Students (Vertical)'!O:O&lt;&gt;"""");filter('Students (Vertical)'!O:O,'Students (Vertical)'!C:C=E281,'Students (Vertical)'!O:O&lt;&gt;"""")})&gt;1))),""No shared courses""),"""")"),"")</f>
        <v/>
      </c>
      <c r="J281" s="94" t="str">
        <f>IFERROR(__xludf.DUMMYFUNCTION("if(H281=""Can't be Together"",iferror(join("", "",unique(filter({unique(filter('Students (Vertical)'!O:O,'Students (Vertical)'!C:C=B281,'Students (Vertical)'!O:O&lt;&gt;"""",'Students (Vertical)'!P:P&gt;1));unique(filter('Students (Vertical)'!O:O,'Students (Vertic"&amp;"al)'!C:C=E281,'Students (Vertical)'!O:O&lt;&gt;"""",'Students (Vertical)'!P:P&gt;1))},countifs({unique(filter('Students (Vertical)'!O:O,'Students (Vertical)'!C:C=B281,'Students (Vertical)'!O:O&lt;&gt;"""",'Students (Vertical)'!P:P&gt;1));unique(filter('Students (Vertical)'"&amp;"!O:O,'Students (Vertical)'!C:C=E281,'Students (Vertical)'!O:O&lt;&gt;"""",'Students (Vertical)'!P:P&gt;1))},{unique(filter('Students (Vertical)'!O:O,'Students (Vertical)'!C:C=B281,'Students (Vertical)'!O:O&lt;&gt;"""",'Students (Vertical)'!P:P&gt;1));unique(filter('Student"&amp;"s (Vertical)'!O:O,'Students (Vertical)'!C:C=E281,'Students (Vertical)'!O:O&lt;&gt;"""",'Students (Vertical)'!P:P&gt;1))})&gt;1))),""""),"""")"),"")</f>
        <v/>
      </c>
      <c r="K281" s="96" t="str">
        <f>IFERROR(__xludf.DUMMYFUNCTION("iferror(join("", "",unique(filter({filter('Students (Vertical)'!D:D,'Students (Vertical)'!C:C=B281,'Students (Vertical)'!D:D&lt;&gt;"""");filter('Students (Vertical)'!D:D,'Students (Vertical)'!C:C=E281,'Students (Vertical)'!D:D&lt;&gt;"""")},countifs({filter('Student"&amp;"s (Vertical)'!D:D,'Students (Vertical)'!C:C=B281,'Students (Vertical)'!D:D&lt;&gt;"""");filter('Students (Vertical)'!D:D,'Students (Vertical)'!C:C=E281,'Students (Vertical)'!D:D&lt;&gt;"""")},{filter('Students (Vertical)'!D:D,'Students (Vertical)'!C:C=B281,'Students "&amp;"(Vertical)'!D:D&lt;&gt;"""");filter('Students (Vertical)'!D:D,'Students (Vertical)'!C:C=E281,'Students (Vertical)'!D:D&lt;&gt;"""")})&gt;1))),"""")"),"")</f>
        <v/>
      </c>
      <c r="L281" s="96"/>
      <c r="M281" s="96"/>
    </row>
    <row r="282" hidden="1">
      <c r="A282" s="8" t="s">
        <v>8</v>
      </c>
      <c r="C282" s="8" t="s">
        <v>8</v>
      </c>
      <c r="D282" s="8" t="s">
        <v>8</v>
      </c>
      <c r="F282" s="8" t="s">
        <v>8</v>
      </c>
      <c r="G282" s="8" t="s">
        <v>8</v>
      </c>
      <c r="I282" s="94" t="str">
        <f>IFERROR(__xludf.DUMMYFUNCTION("if(H282=""Must be Together"",iferror(join("", "",unique(filter({filter('Students (Vertical)'!O:O,'Students (Vertical)'!C:C=B282,'Students (Vertical)'!O:O&lt;&gt;"""");filter('Students (Vertical)'!O:O,'Students (Vertical)'!C:C=E282,'Students (Vertical)'!O:O&lt;&gt;"""&amp;""")},countifs({filter('Students (Vertical)'!O:O,'Students (Vertical)'!C:C=B282,'Students (Vertical)'!O:O&lt;&gt;"""");filter('Students (Vertical)'!O:O,'Students (Vertical)'!C:C=E282,'Students (Vertical)'!O:O&lt;&gt;"""")},{filter('Students (Vertical)'!O:O,'Students ("&amp;"Vertical)'!C:C=B282,'Students (Vertical)'!O:O&lt;&gt;"""");filter('Students (Vertical)'!O:O,'Students (Vertical)'!C:C=E282,'Students (Vertical)'!O:O&lt;&gt;"""")})&gt;1))),""No shared courses""),"""")"),"")</f>
        <v/>
      </c>
      <c r="J282" s="94" t="str">
        <f>IFERROR(__xludf.DUMMYFUNCTION("if(H282=""Can't be Together"",iferror(join("", "",unique(filter({unique(filter('Students (Vertical)'!O:O,'Students (Vertical)'!C:C=B282,'Students (Vertical)'!O:O&lt;&gt;"""",'Students (Vertical)'!P:P&gt;1));unique(filter('Students (Vertical)'!O:O,'Students (Vertic"&amp;"al)'!C:C=E282,'Students (Vertical)'!O:O&lt;&gt;"""",'Students (Vertical)'!P:P&gt;1))},countifs({unique(filter('Students (Vertical)'!O:O,'Students (Vertical)'!C:C=B282,'Students (Vertical)'!O:O&lt;&gt;"""",'Students (Vertical)'!P:P&gt;1));unique(filter('Students (Vertical)'"&amp;"!O:O,'Students (Vertical)'!C:C=E282,'Students (Vertical)'!O:O&lt;&gt;"""",'Students (Vertical)'!P:P&gt;1))},{unique(filter('Students (Vertical)'!O:O,'Students (Vertical)'!C:C=B282,'Students (Vertical)'!O:O&lt;&gt;"""",'Students (Vertical)'!P:P&gt;1));unique(filter('Student"&amp;"s (Vertical)'!O:O,'Students (Vertical)'!C:C=E282,'Students (Vertical)'!O:O&lt;&gt;"""",'Students (Vertical)'!P:P&gt;1))})&gt;1))),""""),"""")"),"")</f>
        <v/>
      </c>
      <c r="K282" s="96" t="str">
        <f>IFERROR(__xludf.DUMMYFUNCTION("iferror(join("", "",unique(filter({filter('Students (Vertical)'!D:D,'Students (Vertical)'!C:C=B282,'Students (Vertical)'!D:D&lt;&gt;"""");filter('Students (Vertical)'!D:D,'Students (Vertical)'!C:C=E282,'Students (Vertical)'!D:D&lt;&gt;"""")},countifs({filter('Student"&amp;"s (Vertical)'!D:D,'Students (Vertical)'!C:C=B282,'Students (Vertical)'!D:D&lt;&gt;"""");filter('Students (Vertical)'!D:D,'Students (Vertical)'!C:C=E282,'Students (Vertical)'!D:D&lt;&gt;"""")},{filter('Students (Vertical)'!D:D,'Students (Vertical)'!C:C=B282,'Students "&amp;"(Vertical)'!D:D&lt;&gt;"""");filter('Students (Vertical)'!D:D,'Students (Vertical)'!C:C=E282,'Students (Vertical)'!D:D&lt;&gt;"""")})&gt;1))),"""")"),"")</f>
        <v/>
      </c>
      <c r="L282" s="96"/>
      <c r="M282" s="96"/>
    </row>
    <row r="283" hidden="1">
      <c r="A283" s="8" t="s">
        <v>8</v>
      </c>
      <c r="C283" s="8" t="s">
        <v>8</v>
      </c>
      <c r="D283" s="8" t="s">
        <v>8</v>
      </c>
      <c r="F283" s="8" t="s">
        <v>8</v>
      </c>
      <c r="G283" s="8" t="s">
        <v>8</v>
      </c>
      <c r="I283" s="94" t="str">
        <f>IFERROR(__xludf.DUMMYFUNCTION("if(H283=""Must be Together"",iferror(join("", "",unique(filter({filter('Students (Vertical)'!O:O,'Students (Vertical)'!C:C=B283,'Students (Vertical)'!O:O&lt;&gt;"""");filter('Students (Vertical)'!O:O,'Students (Vertical)'!C:C=E283,'Students (Vertical)'!O:O&lt;&gt;"""&amp;""")},countifs({filter('Students (Vertical)'!O:O,'Students (Vertical)'!C:C=B283,'Students (Vertical)'!O:O&lt;&gt;"""");filter('Students (Vertical)'!O:O,'Students (Vertical)'!C:C=E283,'Students (Vertical)'!O:O&lt;&gt;"""")},{filter('Students (Vertical)'!O:O,'Students ("&amp;"Vertical)'!C:C=B283,'Students (Vertical)'!O:O&lt;&gt;"""");filter('Students (Vertical)'!O:O,'Students (Vertical)'!C:C=E283,'Students (Vertical)'!O:O&lt;&gt;"""")})&gt;1))),""No shared courses""),"""")"),"")</f>
        <v/>
      </c>
      <c r="J283" s="94" t="str">
        <f>IFERROR(__xludf.DUMMYFUNCTION("if(H283=""Can't be Together"",iferror(join("", "",unique(filter({unique(filter('Students (Vertical)'!O:O,'Students (Vertical)'!C:C=B283,'Students (Vertical)'!O:O&lt;&gt;"""",'Students (Vertical)'!P:P&gt;1));unique(filter('Students (Vertical)'!O:O,'Students (Vertic"&amp;"al)'!C:C=E283,'Students (Vertical)'!O:O&lt;&gt;"""",'Students (Vertical)'!P:P&gt;1))},countifs({unique(filter('Students (Vertical)'!O:O,'Students (Vertical)'!C:C=B283,'Students (Vertical)'!O:O&lt;&gt;"""",'Students (Vertical)'!P:P&gt;1));unique(filter('Students (Vertical)'"&amp;"!O:O,'Students (Vertical)'!C:C=E283,'Students (Vertical)'!O:O&lt;&gt;"""",'Students (Vertical)'!P:P&gt;1))},{unique(filter('Students (Vertical)'!O:O,'Students (Vertical)'!C:C=B283,'Students (Vertical)'!O:O&lt;&gt;"""",'Students (Vertical)'!P:P&gt;1));unique(filter('Student"&amp;"s (Vertical)'!O:O,'Students (Vertical)'!C:C=E283,'Students (Vertical)'!O:O&lt;&gt;"""",'Students (Vertical)'!P:P&gt;1))})&gt;1))),""""),"""")"),"")</f>
        <v/>
      </c>
      <c r="K283" s="96" t="str">
        <f>IFERROR(__xludf.DUMMYFUNCTION("iferror(join("", "",unique(filter({filter('Students (Vertical)'!D:D,'Students (Vertical)'!C:C=B283,'Students (Vertical)'!D:D&lt;&gt;"""");filter('Students (Vertical)'!D:D,'Students (Vertical)'!C:C=E283,'Students (Vertical)'!D:D&lt;&gt;"""")},countifs({filter('Student"&amp;"s (Vertical)'!D:D,'Students (Vertical)'!C:C=B283,'Students (Vertical)'!D:D&lt;&gt;"""");filter('Students (Vertical)'!D:D,'Students (Vertical)'!C:C=E283,'Students (Vertical)'!D:D&lt;&gt;"""")},{filter('Students (Vertical)'!D:D,'Students (Vertical)'!C:C=B283,'Students "&amp;"(Vertical)'!D:D&lt;&gt;"""");filter('Students (Vertical)'!D:D,'Students (Vertical)'!C:C=E283,'Students (Vertical)'!D:D&lt;&gt;"""")})&gt;1))),"""")"),"")</f>
        <v/>
      </c>
      <c r="L283" s="96"/>
      <c r="M283" s="96"/>
    </row>
    <row r="284" hidden="1">
      <c r="A284" s="8" t="s">
        <v>8</v>
      </c>
      <c r="C284" s="8" t="s">
        <v>8</v>
      </c>
      <c r="D284" s="8" t="s">
        <v>8</v>
      </c>
      <c r="F284" s="8" t="s">
        <v>8</v>
      </c>
      <c r="G284" s="8" t="s">
        <v>8</v>
      </c>
      <c r="I284" s="94" t="str">
        <f>IFERROR(__xludf.DUMMYFUNCTION("if(H284=""Must be Together"",iferror(join("", "",unique(filter({filter('Students (Vertical)'!O:O,'Students (Vertical)'!C:C=B284,'Students (Vertical)'!O:O&lt;&gt;"""");filter('Students (Vertical)'!O:O,'Students (Vertical)'!C:C=E284,'Students (Vertical)'!O:O&lt;&gt;"""&amp;""")},countifs({filter('Students (Vertical)'!O:O,'Students (Vertical)'!C:C=B284,'Students (Vertical)'!O:O&lt;&gt;"""");filter('Students (Vertical)'!O:O,'Students (Vertical)'!C:C=E284,'Students (Vertical)'!O:O&lt;&gt;"""")},{filter('Students (Vertical)'!O:O,'Students ("&amp;"Vertical)'!C:C=B284,'Students (Vertical)'!O:O&lt;&gt;"""");filter('Students (Vertical)'!O:O,'Students (Vertical)'!C:C=E284,'Students (Vertical)'!O:O&lt;&gt;"""")})&gt;1))),""No shared courses""),"""")"),"")</f>
        <v/>
      </c>
      <c r="J284" s="94" t="str">
        <f>IFERROR(__xludf.DUMMYFUNCTION("if(H284=""Can't be Together"",iferror(join("", "",unique(filter({unique(filter('Students (Vertical)'!O:O,'Students (Vertical)'!C:C=B284,'Students (Vertical)'!O:O&lt;&gt;"""",'Students (Vertical)'!P:P&gt;1));unique(filter('Students (Vertical)'!O:O,'Students (Vertic"&amp;"al)'!C:C=E284,'Students (Vertical)'!O:O&lt;&gt;"""",'Students (Vertical)'!P:P&gt;1))},countifs({unique(filter('Students (Vertical)'!O:O,'Students (Vertical)'!C:C=B284,'Students (Vertical)'!O:O&lt;&gt;"""",'Students (Vertical)'!P:P&gt;1));unique(filter('Students (Vertical)'"&amp;"!O:O,'Students (Vertical)'!C:C=E284,'Students (Vertical)'!O:O&lt;&gt;"""",'Students (Vertical)'!P:P&gt;1))},{unique(filter('Students (Vertical)'!O:O,'Students (Vertical)'!C:C=B284,'Students (Vertical)'!O:O&lt;&gt;"""",'Students (Vertical)'!P:P&gt;1));unique(filter('Student"&amp;"s (Vertical)'!O:O,'Students (Vertical)'!C:C=E284,'Students (Vertical)'!O:O&lt;&gt;"""",'Students (Vertical)'!P:P&gt;1))})&gt;1))),""""),"""")"),"")</f>
        <v/>
      </c>
      <c r="K284" s="96" t="str">
        <f>IFERROR(__xludf.DUMMYFUNCTION("iferror(join("", "",unique(filter({filter('Students (Vertical)'!D:D,'Students (Vertical)'!C:C=B284,'Students (Vertical)'!D:D&lt;&gt;"""");filter('Students (Vertical)'!D:D,'Students (Vertical)'!C:C=E284,'Students (Vertical)'!D:D&lt;&gt;"""")},countifs({filter('Student"&amp;"s (Vertical)'!D:D,'Students (Vertical)'!C:C=B284,'Students (Vertical)'!D:D&lt;&gt;"""");filter('Students (Vertical)'!D:D,'Students (Vertical)'!C:C=E284,'Students (Vertical)'!D:D&lt;&gt;"""")},{filter('Students (Vertical)'!D:D,'Students (Vertical)'!C:C=B284,'Students "&amp;"(Vertical)'!D:D&lt;&gt;"""");filter('Students (Vertical)'!D:D,'Students (Vertical)'!C:C=E284,'Students (Vertical)'!D:D&lt;&gt;"""")})&gt;1))),"""")"),"")</f>
        <v/>
      </c>
      <c r="L284" s="96"/>
      <c r="M284" s="96"/>
    </row>
    <row r="285" hidden="1">
      <c r="A285" s="8" t="s">
        <v>8</v>
      </c>
      <c r="C285" s="8" t="s">
        <v>8</v>
      </c>
      <c r="D285" s="8" t="s">
        <v>8</v>
      </c>
      <c r="F285" s="8" t="s">
        <v>8</v>
      </c>
      <c r="G285" s="8" t="s">
        <v>8</v>
      </c>
      <c r="I285" s="94" t="str">
        <f>IFERROR(__xludf.DUMMYFUNCTION("if(H285=""Must be Together"",iferror(join("", "",unique(filter({filter('Students (Vertical)'!O:O,'Students (Vertical)'!C:C=B285,'Students (Vertical)'!O:O&lt;&gt;"""");filter('Students (Vertical)'!O:O,'Students (Vertical)'!C:C=E285,'Students (Vertical)'!O:O&lt;&gt;"""&amp;""")},countifs({filter('Students (Vertical)'!O:O,'Students (Vertical)'!C:C=B285,'Students (Vertical)'!O:O&lt;&gt;"""");filter('Students (Vertical)'!O:O,'Students (Vertical)'!C:C=E285,'Students (Vertical)'!O:O&lt;&gt;"""")},{filter('Students (Vertical)'!O:O,'Students ("&amp;"Vertical)'!C:C=B285,'Students (Vertical)'!O:O&lt;&gt;"""");filter('Students (Vertical)'!O:O,'Students (Vertical)'!C:C=E285,'Students (Vertical)'!O:O&lt;&gt;"""")})&gt;1))),""No shared courses""),"""")"),"")</f>
        <v/>
      </c>
      <c r="J285" s="94" t="str">
        <f>IFERROR(__xludf.DUMMYFUNCTION("if(H285=""Can't be Together"",iferror(join("", "",unique(filter({unique(filter('Students (Vertical)'!O:O,'Students (Vertical)'!C:C=B285,'Students (Vertical)'!O:O&lt;&gt;"""",'Students (Vertical)'!P:P&gt;1));unique(filter('Students (Vertical)'!O:O,'Students (Vertic"&amp;"al)'!C:C=E285,'Students (Vertical)'!O:O&lt;&gt;"""",'Students (Vertical)'!P:P&gt;1))},countifs({unique(filter('Students (Vertical)'!O:O,'Students (Vertical)'!C:C=B285,'Students (Vertical)'!O:O&lt;&gt;"""",'Students (Vertical)'!P:P&gt;1));unique(filter('Students (Vertical)'"&amp;"!O:O,'Students (Vertical)'!C:C=E285,'Students (Vertical)'!O:O&lt;&gt;"""",'Students (Vertical)'!P:P&gt;1))},{unique(filter('Students (Vertical)'!O:O,'Students (Vertical)'!C:C=B285,'Students (Vertical)'!O:O&lt;&gt;"""",'Students (Vertical)'!P:P&gt;1));unique(filter('Student"&amp;"s (Vertical)'!O:O,'Students (Vertical)'!C:C=E285,'Students (Vertical)'!O:O&lt;&gt;"""",'Students (Vertical)'!P:P&gt;1))})&gt;1))),""""),"""")"),"")</f>
        <v/>
      </c>
      <c r="K285" s="96" t="str">
        <f>IFERROR(__xludf.DUMMYFUNCTION("iferror(join("", "",unique(filter({filter('Students (Vertical)'!D:D,'Students (Vertical)'!C:C=B285,'Students (Vertical)'!D:D&lt;&gt;"""");filter('Students (Vertical)'!D:D,'Students (Vertical)'!C:C=E285,'Students (Vertical)'!D:D&lt;&gt;"""")},countifs({filter('Student"&amp;"s (Vertical)'!D:D,'Students (Vertical)'!C:C=B285,'Students (Vertical)'!D:D&lt;&gt;"""");filter('Students (Vertical)'!D:D,'Students (Vertical)'!C:C=E285,'Students (Vertical)'!D:D&lt;&gt;"""")},{filter('Students (Vertical)'!D:D,'Students (Vertical)'!C:C=B285,'Students "&amp;"(Vertical)'!D:D&lt;&gt;"""");filter('Students (Vertical)'!D:D,'Students (Vertical)'!C:C=E285,'Students (Vertical)'!D:D&lt;&gt;"""")})&gt;1))),"""")"),"")</f>
        <v/>
      </c>
      <c r="L285" s="96"/>
      <c r="M285" s="96"/>
    </row>
    <row r="286" hidden="1">
      <c r="A286" s="8" t="s">
        <v>8</v>
      </c>
      <c r="C286" s="8" t="s">
        <v>8</v>
      </c>
      <c r="D286" s="8" t="s">
        <v>8</v>
      </c>
      <c r="F286" s="8" t="s">
        <v>8</v>
      </c>
      <c r="G286" s="8" t="s">
        <v>8</v>
      </c>
      <c r="I286" s="94" t="str">
        <f>IFERROR(__xludf.DUMMYFUNCTION("if(H286=""Must be Together"",iferror(join("", "",unique(filter({filter('Students (Vertical)'!O:O,'Students (Vertical)'!C:C=B286,'Students (Vertical)'!O:O&lt;&gt;"""");filter('Students (Vertical)'!O:O,'Students (Vertical)'!C:C=E286,'Students (Vertical)'!O:O&lt;&gt;"""&amp;""")},countifs({filter('Students (Vertical)'!O:O,'Students (Vertical)'!C:C=B286,'Students (Vertical)'!O:O&lt;&gt;"""");filter('Students (Vertical)'!O:O,'Students (Vertical)'!C:C=E286,'Students (Vertical)'!O:O&lt;&gt;"""")},{filter('Students (Vertical)'!O:O,'Students ("&amp;"Vertical)'!C:C=B286,'Students (Vertical)'!O:O&lt;&gt;"""");filter('Students (Vertical)'!O:O,'Students (Vertical)'!C:C=E286,'Students (Vertical)'!O:O&lt;&gt;"""")})&gt;1))),""No shared courses""),"""")"),"")</f>
        <v/>
      </c>
      <c r="J286" s="94" t="str">
        <f>IFERROR(__xludf.DUMMYFUNCTION("if(H286=""Can't be Together"",iferror(join("", "",unique(filter({unique(filter('Students (Vertical)'!O:O,'Students (Vertical)'!C:C=B286,'Students (Vertical)'!O:O&lt;&gt;"""",'Students (Vertical)'!P:P&gt;1));unique(filter('Students (Vertical)'!O:O,'Students (Vertic"&amp;"al)'!C:C=E286,'Students (Vertical)'!O:O&lt;&gt;"""",'Students (Vertical)'!P:P&gt;1))},countifs({unique(filter('Students (Vertical)'!O:O,'Students (Vertical)'!C:C=B286,'Students (Vertical)'!O:O&lt;&gt;"""",'Students (Vertical)'!P:P&gt;1));unique(filter('Students (Vertical)'"&amp;"!O:O,'Students (Vertical)'!C:C=E286,'Students (Vertical)'!O:O&lt;&gt;"""",'Students (Vertical)'!P:P&gt;1))},{unique(filter('Students (Vertical)'!O:O,'Students (Vertical)'!C:C=B286,'Students (Vertical)'!O:O&lt;&gt;"""",'Students (Vertical)'!P:P&gt;1));unique(filter('Student"&amp;"s (Vertical)'!O:O,'Students (Vertical)'!C:C=E286,'Students (Vertical)'!O:O&lt;&gt;"""",'Students (Vertical)'!P:P&gt;1))})&gt;1))),""""),"""")"),"")</f>
        <v/>
      </c>
      <c r="K286" s="96" t="str">
        <f>IFERROR(__xludf.DUMMYFUNCTION("iferror(join("", "",unique(filter({filter('Students (Vertical)'!D:D,'Students (Vertical)'!C:C=B286,'Students (Vertical)'!D:D&lt;&gt;"""");filter('Students (Vertical)'!D:D,'Students (Vertical)'!C:C=E286,'Students (Vertical)'!D:D&lt;&gt;"""")},countifs({filter('Student"&amp;"s (Vertical)'!D:D,'Students (Vertical)'!C:C=B286,'Students (Vertical)'!D:D&lt;&gt;"""");filter('Students (Vertical)'!D:D,'Students (Vertical)'!C:C=E286,'Students (Vertical)'!D:D&lt;&gt;"""")},{filter('Students (Vertical)'!D:D,'Students (Vertical)'!C:C=B286,'Students "&amp;"(Vertical)'!D:D&lt;&gt;"""");filter('Students (Vertical)'!D:D,'Students (Vertical)'!C:C=E286,'Students (Vertical)'!D:D&lt;&gt;"""")})&gt;1))),"""")"),"")</f>
        <v/>
      </c>
      <c r="L286" s="96"/>
      <c r="M286" s="96"/>
    </row>
    <row r="287" hidden="1">
      <c r="A287" s="8" t="s">
        <v>8</v>
      </c>
      <c r="C287" s="8" t="s">
        <v>8</v>
      </c>
      <c r="D287" s="8" t="s">
        <v>8</v>
      </c>
      <c r="F287" s="8" t="s">
        <v>8</v>
      </c>
      <c r="G287" s="8" t="s">
        <v>8</v>
      </c>
      <c r="I287" s="94" t="str">
        <f>IFERROR(__xludf.DUMMYFUNCTION("if(H287=""Must be Together"",iferror(join("", "",unique(filter({filter('Students (Vertical)'!O:O,'Students (Vertical)'!C:C=B287,'Students (Vertical)'!O:O&lt;&gt;"""");filter('Students (Vertical)'!O:O,'Students (Vertical)'!C:C=E287,'Students (Vertical)'!O:O&lt;&gt;"""&amp;""")},countifs({filter('Students (Vertical)'!O:O,'Students (Vertical)'!C:C=B287,'Students (Vertical)'!O:O&lt;&gt;"""");filter('Students (Vertical)'!O:O,'Students (Vertical)'!C:C=E287,'Students (Vertical)'!O:O&lt;&gt;"""")},{filter('Students (Vertical)'!O:O,'Students ("&amp;"Vertical)'!C:C=B287,'Students (Vertical)'!O:O&lt;&gt;"""");filter('Students (Vertical)'!O:O,'Students (Vertical)'!C:C=E287,'Students (Vertical)'!O:O&lt;&gt;"""")})&gt;1))),""No shared courses""),"""")"),"")</f>
        <v/>
      </c>
      <c r="J287" s="94" t="str">
        <f>IFERROR(__xludf.DUMMYFUNCTION("if(H287=""Can't be Together"",iferror(join("", "",unique(filter({unique(filter('Students (Vertical)'!O:O,'Students (Vertical)'!C:C=B287,'Students (Vertical)'!O:O&lt;&gt;"""",'Students (Vertical)'!P:P&gt;1));unique(filter('Students (Vertical)'!O:O,'Students (Vertic"&amp;"al)'!C:C=E287,'Students (Vertical)'!O:O&lt;&gt;"""",'Students (Vertical)'!P:P&gt;1))},countifs({unique(filter('Students (Vertical)'!O:O,'Students (Vertical)'!C:C=B287,'Students (Vertical)'!O:O&lt;&gt;"""",'Students (Vertical)'!P:P&gt;1));unique(filter('Students (Vertical)'"&amp;"!O:O,'Students (Vertical)'!C:C=E287,'Students (Vertical)'!O:O&lt;&gt;"""",'Students (Vertical)'!P:P&gt;1))},{unique(filter('Students (Vertical)'!O:O,'Students (Vertical)'!C:C=B287,'Students (Vertical)'!O:O&lt;&gt;"""",'Students (Vertical)'!P:P&gt;1));unique(filter('Student"&amp;"s (Vertical)'!O:O,'Students (Vertical)'!C:C=E287,'Students (Vertical)'!O:O&lt;&gt;"""",'Students (Vertical)'!P:P&gt;1))})&gt;1))),""""),"""")"),"")</f>
        <v/>
      </c>
      <c r="K287" s="96" t="str">
        <f>IFERROR(__xludf.DUMMYFUNCTION("iferror(join("", "",unique(filter({filter('Students (Vertical)'!D:D,'Students (Vertical)'!C:C=B287,'Students (Vertical)'!D:D&lt;&gt;"""");filter('Students (Vertical)'!D:D,'Students (Vertical)'!C:C=E287,'Students (Vertical)'!D:D&lt;&gt;"""")},countifs({filter('Student"&amp;"s (Vertical)'!D:D,'Students (Vertical)'!C:C=B287,'Students (Vertical)'!D:D&lt;&gt;"""");filter('Students (Vertical)'!D:D,'Students (Vertical)'!C:C=E287,'Students (Vertical)'!D:D&lt;&gt;"""")},{filter('Students (Vertical)'!D:D,'Students (Vertical)'!C:C=B287,'Students "&amp;"(Vertical)'!D:D&lt;&gt;"""");filter('Students (Vertical)'!D:D,'Students (Vertical)'!C:C=E287,'Students (Vertical)'!D:D&lt;&gt;"""")})&gt;1))),"""")"),"")</f>
        <v/>
      </c>
      <c r="L287" s="96"/>
      <c r="M287" s="96"/>
    </row>
    <row r="288" hidden="1">
      <c r="A288" s="8" t="s">
        <v>8</v>
      </c>
      <c r="C288" s="8" t="s">
        <v>8</v>
      </c>
      <c r="D288" s="8" t="s">
        <v>8</v>
      </c>
      <c r="F288" s="8" t="s">
        <v>8</v>
      </c>
      <c r="G288" s="8" t="s">
        <v>8</v>
      </c>
      <c r="I288" s="94" t="str">
        <f>IFERROR(__xludf.DUMMYFUNCTION("if(H288=""Must be Together"",iferror(join("", "",unique(filter({filter('Students (Vertical)'!O:O,'Students (Vertical)'!C:C=B288,'Students (Vertical)'!O:O&lt;&gt;"""");filter('Students (Vertical)'!O:O,'Students (Vertical)'!C:C=E288,'Students (Vertical)'!O:O&lt;&gt;"""&amp;""")},countifs({filter('Students (Vertical)'!O:O,'Students (Vertical)'!C:C=B288,'Students (Vertical)'!O:O&lt;&gt;"""");filter('Students (Vertical)'!O:O,'Students (Vertical)'!C:C=E288,'Students (Vertical)'!O:O&lt;&gt;"""")},{filter('Students (Vertical)'!O:O,'Students ("&amp;"Vertical)'!C:C=B288,'Students (Vertical)'!O:O&lt;&gt;"""");filter('Students (Vertical)'!O:O,'Students (Vertical)'!C:C=E288,'Students (Vertical)'!O:O&lt;&gt;"""")})&gt;1))),""No shared courses""),"""")"),"")</f>
        <v/>
      </c>
      <c r="J288" s="94" t="str">
        <f>IFERROR(__xludf.DUMMYFUNCTION("if(H288=""Can't be Together"",iferror(join("", "",unique(filter({unique(filter('Students (Vertical)'!O:O,'Students (Vertical)'!C:C=B288,'Students (Vertical)'!O:O&lt;&gt;"""",'Students (Vertical)'!P:P&gt;1));unique(filter('Students (Vertical)'!O:O,'Students (Vertic"&amp;"al)'!C:C=E288,'Students (Vertical)'!O:O&lt;&gt;"""",'Students (Vertical)'!P:P&gt;1))},countifs({unique(filter('Students (Vertical)'!O:O,'Students (Vertical)'!C:C=B288,'Students (Vertical)'!O:O&lt;&gt;"""",'Students (Vertical)'!P:P&gt;1));unique(filter('Students (Vertical)'"&amp;"!O:O,'Students (Vertical)'!C:C=E288,'Students (Vertical)'!O:O&lt;&gt;"""",'Students (Vertical)'!P:P&gt;1))},{unique(filter('Students (Vertical)'!O:O,'Students (Vertical)'!C:C=B288,'Students (Vertical)'!O:O&lt;&gt;"""",'Students (Vertical)'!P:P&gt;1));unique(filter('Student"&amp;"s (Vertical)'!O:O,'Students (Vertical)'!C:C=E288,'Students (Vertical)'!O:O&lt;&gt;"""",'Students (Vertical)'!P:P&gt;1))})&gt;1))),""""),"""")"),"")</f>
        <v/>
      </c>
      <c r="K288" s="96" t="str">
        <f>IFERROR(__xludf.DUMMYFUNCTION("iferror(join("", "",unique(filter({filter('Students (Vertical)'!D:D,'Students (Vertical)'!C:C=B288,'Students (Vertical)'!D:D&lt;&gt;"""");filter('Students (Vertical)'!D:D,'Students (Vertical)'!C:C=E288,'Students (Vertical)'!D:D&lt;&gt;"""")},countifs({filter('Student"&amp;"s (Vertical)'!D:D,'Students (Vertical)'!C:C=B288,'Students (Vertical)'!D:D&lt;&gt;"""");filter('Students (Vertical)'!D:D,'Students (Vertical)'!C:C=E288,'Students (Vertical)'!D:D&lt;&gt;"""")},{filter('Students (Vertical)'!D:D,'Students (Vertical)'!C:C=B288,'Students "&amp;"(Vertical)'!D:D&lt;&gt;"""");filter('Students (Vertical)'!D:D,'Students (Vertical)'!C:C=E288,'Students (Vertical)'!D:D&lt;&gt;"""")})&gt;1))),"""")"),"")</f>
        <v/>
      </c>
      <c r="L288" s="96"/>
      <c r="M288" s="96"/>
    </row>
    <row r="289" hidden="1">
      <c r="A289" s="8" t="s">
        <v>8</v>
      </c>
      <c r="C289" s="8" t="s">
        <v>8</v>
      </c>
      <c r="D289" s="8" t="s">
        <v>8</v>
      </c>
      <c r="F289" s="8" t="s">
        <v>8</v>
      </c>
      <c r="G289" s="8" t="s">
        <v>8</v>
      </c>
      <c r="I289" s="94" t="str">
        <f>IFERROR(__xludf.DUMMYFUNCTION("if(H289=""Must be Together"",iferror(join("", "",unique(filter({filter('Students (Vertical)'!O:O,'Students (Vertical)'!C:C=B289,'Students (Vertical)'!O:O&lt;&gt;"""");filter('Students (Vertical)'!O:O,'Students (Vertical)'!C:C=E289,'Students (Vertical)'!O:O&lt;&gt;"""&amp;""")},countifs({filter('Students (Vertical)'!O:O,'Students (Vertical)'!C:C=B289,'Students (Vertical)'!O:O&lt;&gt;"""");filter('Students (Vertical)'!O:O,'Students (Vertical)'!C:C=E289,'Students (Vertical)'!O:O&lt;&gt;"""")},{filter('Students (Vertical)'!O:O,'Students ("&amp;"Vertical)'!C:C=B289,'Students (Vertical)'!O:O&lt;&gt;"""");filter('Students (Vertical)'!O:O,'Students (Vertical)'!C:C=E289,'Students (Vertical)'!O:O&lt;&gt;"""")})&gt;1))),""No shared courses""),"""")"),"")</f>
        <v/>
      </c>
      <c r="J289" s="94" t="str">
        <f>IFERROR(__xludf.DUMMYFUNCTION("if(H289=""Can't be Together"",iferror(join("", "",unique(filter({unique(filter('Students (Vertical)'!O:O,'Students (Vertical)'!C:C=B289,'Students (Vertical)'!O:O&lt;&gt;"""",'Students (Vertical)'!P:P&gt;1));unique(filter('Students (Vertical)'!O:O,'Students (Vertic"&amp;"al)'!C:C=E289,'Students (Vertical)'!O:O&lt;&gt;"""",'Students (Vertical)'!P:P&gt;1))},countifs({unique(filter('Students (Vertical)'!O:O,'Students (Vertical)'!C:C=B289,'Students (Vertical)'!O:O&lt;&gt;"""",'Students (Vertical)'!P:P&gt;1));unique(filter('Students (Vertical)'"&amp;"!O:O,'Students (Vertical)'!C:C=E289,'Students (Vertical)'!O:O&lt;&gt;"""",'Students (Vertical)'!P:P&gt;1))},{unique(filter('Students (Vertical)'!O:O,'Students (Vertical)'!C:C=B289,'Students (Vertical)'!O:O&lt;&gt;"""",'Students (Vertical)'!P:P&gt;1));unique(filter('Student"&amp;"s (Vertical)'!O:O,'Students (Vertical)'!C:C=E289,'Students (Vertical)'!O:O&lt;&gt;"""",'Students (Vertical)'!P:P&gt;1))})&gt;1))),""""),"""")"),"")</f>
        <v/>
      </c>
      <c r="K289" s="96" t="str">
        <f>IFERROR(__xludf.DUMMYFUNCTION("iferror(join("", "",unique(filter({filter('Students (Vertical)'!D:D,'Students (Vertical)'!C:C=B289,'Students (Vertical)'!D:D&lt;&gt;"""");filter('Students (Vertical)'!D:D,'Students (Vertical)'!C:C=E289,'Students (Vertical)'!D:D&lt;&gt;"""")},countifs({filter('Student"&amp;"s (Vertical)'!D:D,'Students (Vertical)'!C:C=B289,'Students (Vertical)'!D:D&lt;&gt;"""");filter('Students (Vertical)'!D:D,'Students (Vertical)'!C:C=E289,'Students (Vertical)'!D:D&lt;&gt;"""")},{filter('Students (Vertical)'!D:D,'Students (Vertical)'!C:C=B289,'Students "&amp;"(Vertical)'!D:D&lt;&gt;"""");filter('Students (Vertical)'!D:D,'Students (Vertical)'!C:C=E289,'Students (Vertical)'!D:D&lt;&gt;"""")})&gt;1))),"""")"),"")</f>
        <v/>
      </c>
      <c r="L289" s="96"/>
      <c r="M289" s="96"/>
    </row>
    <row r="290" hidden="1">
      <c r="A290" s="8" t="s">
        <v>8</v>
      </c>
      <c r="C290" s="8" t="s">
        <v>8</v>
      </c>
      <c r="D290" s="8" t="s">
        <v>8</v>
      </c>
      <c r="F290" s="8" t="s">
        <v>8</v>
      </c>
      <c r="G290" s="8" t="s">
        <v>8</v>
      </c>
      <c r="I290" s="94" t="str">
        <f>IFERROR(__xludf.DUMMYFUNCTION("if(H290=""Must be Together"",iferror(join("", "",unique(filter({filter('Students (Vertical)'!O:O,'Students (Vertical)'!C:C=B290,'Students (Vertical)'!O:O&lt;&gt;"""");filter('Students (Vertical)'!O:O,'Students (Vertical)'!C:C=E290,'Students (Vertical)'!O:O&lt;&gt;"""&amp;""")},countifs({filter('Students (Vertical)'!O:O,'Students (Vertical)'!C:C=B290,'Students (Vertical)'!O:O&lt;&gt;"""");filter('Students (Vertical)'!O:O,'Students (Vertical)'!C:C=E290,'Students (Vertical)'!O:O&lt;&gt;"""")},{filter('Students (Vertical)'!O:O,'Students ("&amp;"Vertical)'!C:C=B290,'Students (Vertical)'!O:O&lt;&gt;"""");filter('Students (Vertical)'!O:O,'Students (Vertical)'!C:C=E290,'Students (Vertical)'!O:O&lt;&gt;"""")})&gt;1))),""No shared courses""),"""")"),"")</f>
        <v/>
      </c>
      <c r="J290" s="94" t="str">
        <f>IFERROR(__xludf.DUMMYFUNCTION("if(H290=""Can't be Together"",iferror(join("", "",unique(filter({unique(filter('Students (Vertical)'!O:O,'Students (Vertical)'!C:C=B290,'Students (Vertical)'!O:O&lt;&gt;"""",'Students (Vertical)'!P:P&gt;1));unique(filter('Students (Vertical)'!O:O,'Students (Vertic"&amp;"al)'!C:C=E290,'Students (Vertical)'!O:O&lt;&gt;"""",'Students (Vertical)'!P:P&gt;1))},countifs({unique(filter('Students (Vertical)'!O:O,'Students (Vertical)'!C:C=B290,'Students (Vertical)'!O:O&lt;&gt;"""",'Students (Vertical)'!P:P&gt;1));unique(filter('Students (Vertical)'"&amp;"!O:O,'Students (Vertical)'!C:C=E290,'Students (Vertical)'!O:O&lt;&gt;"""",'Students (Vertical)'!P:P&gt;1))},{unique(filter('Students (Vertical)'!O:O,'Students (Vertical)'!C:C=B290,'Students (Vertical)'!O:O&lt;&gt;"""",'Students (Vertical)'!P:P&gt;1));unique(filter('Student"&amp;"s (Vertical)'!O:O,'Students (Vertical)'!C:C=E290,'Students (Vertical)'!O:O&lt;&gt;"""",'Students (Vertical)'!P:P&gt;1))})&gt;1))),""""),"""")"),"")</f>
        <v/>
      </c>
      <c r="K290" s="96" t="str">
        <f>IFERROR(__xludf.DUMMYFUNCTION("iferror(join("", "",unique(filter({filter('Students (Vertical)'!D:D,'Students (Vertical)'!C:C=B290,'Students (Vertical)'!D:D&lt;&gt;"""");filter('Students (Vertical)'!D:D,'Students (Vertical)'!C:C=E290,'Students (Vertical)'!D:D&lt;&gt;"""")},countifs({filter('Student"&amp;"s (Vertical)'!D:D,'Students (Vertical)'!C:C=B290,'Students (Vertical)'!D:D&lt;&gt;"""");filter('Students (Vertical)'!D:D,'Students (Vertical)'!C:C=E290,'Students (Vertical)'!D:D&lt;&gt;"""")},{filter('Students (Vertical)'!D:D,'Students (Vertical)'!C:C=B290,'Students "&amp;"(Vertical)'!D:D&lt;&gt;"""");filter('Students (Vertical)'!D:D,'Students (Vertical)'!C:C=E290,'Students (Vertical)'!D:D&lt;&gt;"""")})&gt;1))),"""")"),"")</f>
        <v/>
      </c>
      <c r="L290" s="96"/>
      <c r="M290" s="96"/>
    </row>
    <row r="291" hidden="1">
      <c r="A291" s="8" t="s">
        <v>8</v>
      </c>
      <c r="C291" s="8" t="s">
        <v>8</v>
      </c>
      <c r="D291" s="8" t="s">
        <v>8</v>
      </c>
      <c r="F291" s="8" t="s">
        <v>8</v>
      </c>
      <c r="G291" s="8" t="s">
        <v>8</v>
      </c>
      <c r="I291" s="94" t="str">
        <f>IFERROR(__xludf.DUMMYFUNCTION("if(H291=""Must be Together"",iferror(join("", "",unique(filter({filter('Students (Vertical)'!O:O,'Students (Vertical)'!C:C=B291,'Students (Vertical)'!O:O&lt;&gt;"""");filter('Students (Vertical)'!O:O,'Students (Vertical)'!C:C=E291,'Students (Vertical)'!O:O&lt;&gt;"""&amp;""")},countifs({filter('Students (Vertical)'!O:O,'Students (Vertical)'!C:C=B291,'Students (Vertical)'!O:O&lt;&gt;"""");filter('Students (Vertical)'!O:O,'Students (Vertical)'!C:C=E291,'Students (Vertical)'!O:O&lt;&gt;"""")},{filter('Students (Vertical)'!O:O,'Students ("&amp;"Vertical)'!C:C=B291,'Students (Vertical)'!O:O&lt;&gt;"""");filter('Students (Vertical)'!O:O,'Students (Vertical)'!C:C=E291,'Students (Vertical)'!O:O&lt;&gt;"""")})&gt;1))),""No shared courses""),"""")"),"")</f>
        <v/>
      </c>
      <c r="J291" s="94" t="str">
        <f>IFERROR(__xludf.DUMMYFUNCTION("if(H291=""Can't be Together"",iferror(join("", "",unique(filter({unique(filter('Students (Vertical)'!O:O,'Students (Vertical)'!C:C=B291,'Students (Vertical)'!O:O&lt;&gt;"""",'Students (Vertical)'!P:P&gt;1));unique(filter('Students (Vertical)'!O:O,'Students (Vertic"&amp;"al)'!C:C=E291,'Students (Vertical)'!O:O&lt;&gt;"""",'Students (Vertical)'!P:P&gt;1))},countifs({unique(filter('Students (Vertical)'!O:O,'Students (Vertical)'!C:C=B291,'Students (Vertical)'!O:O&lt;&gt;"""",'Students (Vertical)'!P:P&gt;1));unique(filter('Students (Vertical)'"&amp;"!O:O,'Students (Vertical)'!C:C=E291,'Students (Vertical)'!O:O&lt;&gt;"""",'Students (Vertical)'!P:P&gt;1))},{unique(filter('Students (Vertical)'!O:O,'Students (Vertical)'!C:C=B291,'Students (Vertical)'!O:O&lt;&gt;"""",'Students (Vertical)'!P:P&gt;1));unique(filter('Student"&amp;"s (Vertical)'!O:O,'Students (Vertical)'!C:C=E291,'Students (Vertical)'!O:O&lt;&gt;"""",'Students (Vertical)'!P:P&gt;1))})&gt;1))),""""),"""")"),"")</f>
        <v/>
      </c>
      <c r="K291" s="96" t="str">
        <f>IFERROR(__xludf.DUMMYFUNCTION("iferror(join("", "",unique(filter({filter('Students (Vertical)'!D:D,'Students (Vertical)'!C:C=B291,'Students (Vertical)'!D:D&lt;&gt;"""");filter('Students (Vertical)'!D:D,'Students (Vertical)'!C:C=E291,'Students (Vertical)'!D:D&lt;&gt;"""")},countifs({filter('Student"&amp;"s (Vertical)'!D:D,'Students (Vertical)'!C:C=B291,'Students (Vertical)'!D:D&lt;&gt;"""");filter('Students (Vertical)'!D:D,'Students (Vertical)'!C:C=E291,'Students (Vertical)'!D:D&lt;&gt;"""")},{filter('Students (Vertical)'!D:D,'Students (Vertical)'!C:C=B291,'Students "&amp;"(Vertical)'!D:D&lt;&gt;"""");filter('Students (Vertical)'!D:D,'Students (Vertical)'!C:C=E291,'Students (Vertical)'!D:D&lt;&gt;"""")})&gt;1))),"""")"),"")</f>
        <v/>
      </c>
      <c r="L291" s="96"/>
      <c r="M291" s="96"/>
    </row>
    <row r="292" hidden="1">
      <c r="A292" s="8" t="s">
        <v>8</v>
      </c>
      <c r="C292" s="8" t="s">
        <v>8</v>
      </c>
      <c r="D292" s="8" t="s">
        <v>8</v>
      </c>
      <c r="F292" s="8" t="s">
        <v>8</v>
      </c>
      <c r="G292" s="8" t="s">
        <v>8</v>
      </c>
      <c r="I292" s="94" t="str">
        <f>IFERROR(__xludf.DUMMYFUNCTION("if(H292=""Must be Together"",iferror(join("", "",unique(filter({filter('Students (Vertical)'!O:O,'Students (Vertical)'!C:C=B292,'Students (Vertical)'!O:O&lt;&gt;"""");filter('Students (Vertical)'!O:O,'Students (Vertical)'!C:C=E292,'Students (Vertical)'!O:O&lt;&gt;"""&amp;""")},countifs({filter('Students (Vertical)'!O:O,'Students (Vertical)'!C:C=B292,'Students (Vertical)'!O:O&lt;&gt;"""");filter('Students (Vertical)'!O:O,'Students (Vertical)'!C:C=E292,'Students (Vertical)'!O:O&lt;&gt;"""")},{filter('Students (Vertical)'!O:O,'Students ("&amp;"Vertical)'!C:C=B292,'Students (Vertical)'!O:O&lt;&gt;"""");filter('Students (Vertical)'!O:O,'Students (Vertical)'!C:C=E292,'Students (Vertical)'!O:O&lt;&gt;"""")})&gt;1))),""No shared courses""),"""")"),"")</f>
        <v/>
      </c>
      <c r="J292" s="94" t="str">
        <f>IFERROR(__xludf.DUMMYFUNCTION("if(H292=""Can't be Together"",iferror(join("", "",unique(filter({unique(filter('Students (Vertical)'!O:O,'Students (Vertical)'!C:C=B292,'Students (Vertical)'!O:O&lt;&gt;"""",'Students (Vertical)'!P:P&gt;1));unique(filter('Students (Vertical)'!O:O,'Students (Vertic"&amp;"al)'!C:C=E292,'Students (Vertical)'!O:O&lt;&gt;"""",'Students (Vertical)'!P:P&gt;1))},countifs({unique(filter('Students (Vertical)'!O:O,'Students (Vertical)'!C:C=B292,'Students (Vertical)'!O:O&lt;&gt;"""",'Students (Vertical)'!P:P&gt;1));unique(filter('Students (Vertical)'"&amp;"!O:O,'Students (Vertical)'!C:C=E292,'Students (Vertical)'!O:O&lt;&gt;"""",'Students (Vertical)'!P:P&gt;1))},{unique(filter('Students (Vertical)'!O:O,'Students (Vertical)'!C:C=B292,'Students (Vertical)'!O:O&lt;&gt;"""",'Students (Vertical)'!P:P&gt;1));unique(filter('Student"&amp;"s (Vertical)'!O:O,'Students (Vertical)'!C:C=E292,'Students (Vertical)'!O:O&lt;&gt;"""",'Students (Vertical)'!P:P&gt;1))})&gt;1))),""""),"""")"),"")</f>
        <v/>
      </c>
      <c r="K292" s="96" t="str">
        <f>IFERROR(__xludf.DUMMYFUNCTION("iferror(join("", "",unique(filter({filter('Students (Vertical)'!D:D,'Students (Vertical)'!C:C=B292,'Students (Vertical)'!D:D&lt;&gt;"""");filter('Students (Vertical)'!D:D,'Students (Vertical)'!C:C=E292,'Students (Vertical)'!D:D&lt;&gt;"""")},countifs({filter('Student"&amp;"s (Vertical)'!D:D,'Students (Vertical)'!C:C=B292,'Students (Vertical)'!D:D&lt;&gt;"""");filter('Students (Vertical)'!D:D,'Students (Vertical)'!C:C=E292,'Students (Vertical)'!D:D&lt;&gt;"""")},{filter('Students (Vertical)'!D:D,'Students (Vertical)'!C:C=B292,'Students "&amp;"(Vertical)'!D:D&lt;&gt;"""");filter('Students (Vertical)'!D:D,'Students (Vertical)'!C:C=E292,'Students (Vertical)'!D:D&lt;&gt;"""")})&gt;1))),"""")"),"")</f>
        <v/>
      </c>
      <c r="L292" s="96"/>
      <c r="M292" s="96"/>
    </row>
    <row r="293" hidden="1">
      <c r="A293" s="8" t="s">
        <v>8</v>
      </c>
      <c r="C293" s="8" t="s">
        <v>8</v>
      </c>
      <c r="D293" s="8" t="s">
        <v>8</v>
      </c>
      <c r="F293" s="8" t="s">
        <v>8</v>
      </c>
      <c r="G293" s="8" t="s">
        <v>8</v>
      </c>
      <c r="I293" s="94" t="str">
        <f>IFERROR(__xludf.DUMMYFUNCTION("if(H293=""Must be Together"",iferror(join("", "",unique(filter({filter('Students (Vertical)'!O:O,'Students (Vertical)'!C:C=B293,'Students (Vertical)'!O:O&lt;&gt;"""");filter('Students (Vertical)'!O:O,'Students (Vertical)'!C:C=E293,'Students (Vertical)'!O:O&lt;&gt;"""&amp;""")},countifs({filter('Students (Vertical)'!O:O,'Students (Vertical)'!C:C=B293,'Students (Vertical)'!O:O&lt;&gt;"""");filter('Students (Vertical)'!O:O,'Students (Vertical)'!C:C=E293,'Students (Vertical)'!O:O&lt;&gt;"""")},{filter('Students (Vertical)'!O:O,'Students ("&amp;"Vertical)'!C:C=B293,'Students (Vertical)'!O:O&lt;&gt;"""");filter('Students (Vertical)'!O:O,'Students (Vertical)'!C:C=E293,'Students (Vertical)'!O:O&lt;&gt;"""")})&gt;1))),""No shared courses""),"""")"),"")</f>
        <v/>
      </c>
      <c r="J293" s="94" t="str">
        <f>IFERROR(__xludf.DUMMYFUNCTION("if(H293=""Can't be Together"",iferror(join("", "",unique(filter({unique(filter('Students (Vertical)'!O:O,'Students (Vertical)'!C:C=B293,'Students (Vertical)'!O:O&lt;&gt;"""",'Students (Vertical)'!P:P&gt;1));unique(filter('Students (Vertical)'!O:O,'Students (Vertic"&amp;"al)'!C:C=E293,'Students (Vertical)'!O:O&lt;&gt;"""",'Students (Vertical)'!P:P&gt;1))},countifs({unique(filter('Students (Vertical)'!O:O,'Students (Vertical)'!C:C=B293,'Students (Vertical)'!O:O&lt;&gt;"""",'Students (Vertical)'!P:P&gt;1));unique(filter('Students (Vertical)'"&amp;"!O:O,'Students (Vertical)'!C:C=E293,'Students (Vertical)'!O:O&lt;&gt;"""",'Students (Vertical)'!P:P&gt;1))},{unique(filter('Students (Vertical)'!O:O,'Students (Vertical)'!C:C=B293,'Students (Vertical)'!O:O&lt;&gt;"""",'Students (Vertical)'!P:P&gt;1));unique(filter('Student"&amp;"s (Vertical)'!O:O,'Students (Vertical)'!C:C=E293,'Students (Vertical)'!O:O&lt;&gt;"""",'Students (Vertical)'!P:P&gt;1))})&gt;1))),""""),"""")"),"")</f>
        <v/>
      </c>
      <c r="K293" s="96" t="str">
        <f>IFERROR(__xludf.DUMMYFUNCTION("iferror(join("", "",unique(filter({filter('Students (Vertical)'!D:D,'Students (Vertical)'!C:C=B293,'Students (Vertical)'!D:D&lt;&gt;"""");filter('Students (Vertical)'!D:D,'Students (Vertical)'!C:C=E293,'Students (Vertical)'!D:D&lt;&gt;"""")},countifs({filter('Student"&amp;"s (Vertical)'!D:D,'Students (Vertical)'!C:C=B293,'Students (Vertical)'!D:D&lt;&gt;"""");filter('Students (Vertical)'!D:D,'Students (Vertical)'!C:C=E293,'Students (Vertical)'!D:D&lt;&gt;"""")},{filter('Students (Vertical)'!D:D,'Students (Vertical)'!C:C=B293,'Students "&amp;"(Vertical)'!D:D&lt;&gt;"""");filter('Students (Vertical)'!D:D,'Students (Vertical)'!C:C=E293,'Students (Vertical)'!D:D&lt;&gt;"""")})&gt;1))),"""")"),"")</f>
        <v/>
      </c>
      <c r="L293" s="96"/>
      <c r="M293" s="96"/>
    </row>
    <row r="294" hidden="1">
      <c r="A294" s="8" t="s">
        <v>8</v>
      </c>
      <c r="C294" s="8" t="s">
        <v>8</v>
      </c>
      <c r="D294" s="8" t="s">
        <v>8</v>
      </c>
      <c r="F294" s="8" t="s">
        <v>8</v>
      </c>
      <c r="G294" s="8" t="s">
        <v>8</v>
      </c>
      <c r="I294" s="94" t="str">
        <f>IFERROR(__xludf.DUMMYFUNCTION("if(H294=""Must be Together"",iferror(join("", "",unique(filter({filter('Students (Vertical)'!O:O,'Students (Vertical)'!C:C=B294,'Students (Vertical)'!O:O&lt;&gt;"""");filter('Students (Vertical)'!O:O,'Students (Vertical)'!C:C=E294,'Students (Vertical)'!O:O&lt;&gt;"""&amp;""")},countifs({filter('Students (Vertical)'!O:O,'Students (Vertical)'!C:C=B294,'Students (Vertical)'!O:O&lt;&gt;"""");filter('Students (Vertical)'!O:O,'Students (Vertical)'!C:C=E294,'Students (Vertical)'!O:O&lt;&gt;"""")},{filter('Students (Vertical)'!O:O,'Students ("&amp;"Vertical)'!C:C=B294,'Students (Vertical)'!O:O&lt;&gt;"""");filter('Students (Vertical)'!O:O,'Students (Vertical)'!C:C=E294,'Students (Vertical)'!O:O&lt;&gt;"""")})&gt;1))),""No shared courses""),"""")"),"")</f>
        <v/>
      </c>
      <c r="J294" s="94" t="str">
        <f>IFERROR(__xludf.DUMMYFUNCTION("if(H294=""Can't be Together"",iferror(join("", "",unique(filter({unique(filter('Students (Vertical)'!O:O,'Students (Vertical)'!C:C=B294,'Students (Vertical)'!O:O&lt;&gt;"""",'Students (Vertical)'!P:P&gt;1));unique(filter('Students (Vertical)'!O:O,'Students (Vertic"&amp;"al)'!C:C=E294,'Students (Vertical)'!O:O&lt;&gt;"""",'Students (Vertical)'!P:P&gt;1))},countifs({unique(filter('Students (Vertical)'!O:O,'Students (Vertical)'!C:C=B294,'Students (Vertical)'!O:O&lt;&gt;"""",'Students (Vertical)'!P:P&gt;1));unique(filter('Students (Vertical)'"&amp;"!O:O,'Students (Vertical)'!C:C=E294,'Students (Vertical)'!O:O&lt;&gt;"""",'Students (Vertical)'!P:P&gt;1))},{unique(filter('Students (Vertical)'!O:O,'Students (Vertical)'!C:C=B294,'Students (Vertical)'!O:O&lt;&gt;"""",'Students (Vertical)'!P:P&gt;1));unique(filter('Student"&amp;"s (Vertical)'!O:O,'Students (Vertical)'!C:C=E294,'Students (Vertical)'!O:O&lt;&gt;"""",'Students (Vertical)'!P:P&gt;1))})&gt;1))),""""),"""")"),"")</f>
        <v/>
      </c>
      <c r="K294" s="96" t="str">
        <f>IFERROR(__xludf.DUMMYFUNCTION("iferror(join("", "",unique(filter({filter('Students (Vertical)'!D:D,'Students (Vertical)'!C:C=B294,'Students (Vertical)'!D:D&lt;&gt;"""");filter('Students (Vertical)'!D:D,'Students (Vertical)'!C:C=E294,'Students (Vertical)'!D:D&lt;&gt;"""")},countifs({filter('Student"&amp;"s (Vertical)'!D:D,'Students (Vertical)'!C:C=B294,'Students (Vertical)'!D:D&lt;&gt;"""");filter('Students (Vertical)'!D:D,'Students (Vertical)'!C:C=E294,'Students (Vertical)'!D:D&lt;&gt;"""")},{filter('Students (Vertical)'!D:D,'Students (Vertical)'!C:C=B294,'Students "&amp;"(Vertical)'!D:D&lt;&gt;"""");filter('Students (Vertical)'!D:D,'Students (Vertical)'!C:C=E294,'Students (Vertical)'!D:D&lt;&gt;"""")})&gt;1))),"""")"),"")</f>
        <v/>
      </c>
      <c r="L294" s="96"/>
      <c r="M294" s="96"/>
    </row>
    <row r="295" hidden="1">
      <c r="A295" s="8" t="s">
        <v>8</v>
      </c>
      <c r="C295" s="8" t="s">
        <v>8</v>
      </c>
      <c r="D295" s="8" t="s">
        <v>8</v>
      </c>
      <c r="F295" s="8" t="s">
        <v>8</v>
      </c>
      <c r="G295" s="8" t="s">
        <v>8</v>
      </c>
      <c r="I295" s="94" t="str">
        <f>IFERROR(__xludf.DUMMYFUNCTION("if(H295=""Must be Together"",iferror(join("", "",unique(filter({filter('Students (Vertical)'!O:O,'Students (Vertical)'!C:C=B295,'Students (Vertical)'!O:O&lt;&gt;"""");filter('Students (Vertical)'!O:O,'Students (Vertical)'!C:C=E295,'Students (Vertical)'!O:O&lt;&gt;"""&amp;""")},countifs({filter('Students (Vertical)'!O:O,'Students (Vertical)'!C:C=B295,'Students (Vertical)'!O:O&lt;&gt;"""");filter('Students (Vertical)'!O:O,'Students (Vertical)'!C:C=E295,'Students (Vertical)'!O:O&lt;&gt;"""")},{filter('Students (Vertical)'!O:O,'Students ("&amp;"Vertical)'!C:C=B295,'Students (Vertical)'!O:O&lt;&gt;"""");filter('Students (Vertical)'!O:O,'Students (Vertical)'!C:C=E295,'Students (Vertical)'!O:O&lt;&gt;"""")})&gt;1))),""No shared courses""),"""")"),"")</f>
        <v/>
      </c>
      <c r="J295" s="94" t="str">
        <f>IFERROR(__xludf.DUMMYFUNCTION("if(H295=""Can't be Together"",iferror(join("", "",unique(filter({unique(filter('Students (Vertical)'!O:O,'Students (Vertical)'!C:C=B295,'Students (Vertical)'!O:O&lt;&gt;"""",'Students (Vertical)'!P:P&gt;1));unique(filter('Students (Vertical)'!O:O,'Students (Vertic"&amp;"al)'!C:C=E295,'Students (Vertical)'!O:O&lt;&gt;"""",'Students (Vertical)'!P:P&gt;1))},countifs({unique(filter('Students (Vertical)'!O:O,'Students (Vertical)'!C:C=B295,'Students (Vertical)'!O:O&lt;&gt;"""",'Students (Vertical)'!P:P&gt;1));unique(filter('Students (Vertical)'"&amp;"!O:O,'Students (Vertical)'!C:C=E295,'Students (Vertical)'!O:O&lt;&gt;"""",'Students (Vertical)'!P:P&gt;1))},{unique(filter('Students (Vertical)'!O:O,'Students (Vertical)'!C:C=B295,'Students (Vertical)'!O:O&lt;&gt;"""",'Students (Vertical)'!P:P&gt;1));unique(filter('Student"&amp;"s (Vertical)'!O:O,'Students (Vertical)'!C:C=E295,'Students (Vertical)'!O:O&lt;&gt;"""",'Students (Vertical)'!P:P&gt;1))})&gt;1))),""""),"""")"),"")</f>
        <v/>
      </c>
      <c r="K295" s="96" t="str">
        <f>IFERROR(__xludf.DUMMYFUNCTION("iferror(join("", "",unique(filter({filter('Students (Vertical)'!D:D,'Students (Vertical)'!C:C=B295,'Students (Vertical)'!D:D&lt;&gt;"""");filter('Students (Vertical)'!D:D,'Students (Vertical)'!C:C=E295,'Students (Vertical)'!D:D&lt;&gt;"""")},countifs({filter('Student"&amp;"s (Vertical)'!D:D,'Students (Vertical)'!C:C=B295,'Students (Vertical)'!D:D&lt;&gt;"""");filter('Students (Vertical)'!D:D,'Students (Vertical)'!C:C=E295,'Students (Vertical)'!D:D&lt;&gt;"""")},{filter('Students (Vertical)'!D:D,'Students (Vertical)'!C:C=B295,'Students "&amp;"(Vertical)'!D:D&lt;&gt;"""");filter('Students (Vertical)'!D:D,'Students (Vertical)'!C:C=E295,'Students (Vertical)'!D:D&lt;&gt;"""")})&gt;1))),"""")"),"")</f>
        <v/>
      </c>
      <c r="L295" s="96"/>
      <c r="M295" s="96"/>
    </row>
    <row r="296" hidden="1">
      <c r="A296" s="8" t="s">
        <v>8</v>
      </c>
      <c r="C296" s="8" t="s">
        <v>8</v>
      </c>
      <c r="D296" s="8" t="s">
        <v>8</v>
      </c>
      <c r="F296" s="8" t="s">
        <v>8</v>
      </c>
      <c r="G296" s="8" t="s">
        <v>8</v>
      </c>
      <c r="I296" s="94" t="str">
        <f>IFERROR(__xludf.DUMMYFUNCTION("if(H296=""Must be Together"",iferror(join("", "",unique(filter({filter('Students (Vertical)'!O:O,'Students (Vertical)'!C:C=B296,'Students (Vertical)'!O:O&lt;&gt;"""");filter('Students (Vertical)'!O:O,'Students (Vertical)'!C:C=E296,'Students (Vertical)'!O:O&lt;&gt;"""&amp;""")},countifs({filter('Students (Vertical)'!O:O,'Students (Vertical)'!C:C=B296,'Students (Vertical)'!O:O&lt;&gt;"""");filter('Students (Vertical)'!O:O,'Students (Vertical)'!C:C=E296,'Students (Vertical)'!O:O&lt;&gt;"""")},{filter('Students (Vertical)'!O:O,'Students ("&amp;"Vertical)'!C:C=B296,'Students (Vertical)'!O:O&lt;&gt;"""");filter('Students (Vertical)'!O:O,'Students (Vertical)'!C:C=E296,'Students (Vertical)'!O:O&lt;&gt;"""")})&gt;1))),""No shared courses""),"""")"),"")</f>
        <v/>
      </c>
      <c r="J296" s="94" t="str">
        <f>IFERROR(__xludf.DUMMYFUNCTION("if(H296=""Can't be Together"",iferror(join("", "",unique(filter({unique(filter('Students (Vertical)'!O:O,'Students (Vertical)'!C:C=B296,'Students (Vertical)'!O:O&lt;&gt;"""",'Students (Vertical)'!P:P&gt;1));unique(filter('Students (Vertical)'!O:O,'Students (Vertic"&amp;"al)'!C:C=E296,'Students (Vertical)'!O:O&lt;&gt;"""",'Students (Vertical)'!P:P&gt;1))},countifs({unique(filter('Students (Vertical)'!O:O,'Students (Vertical)'!C:C=B296,'Students (Vertical)'!O:O&lt;&gt;"""",'Students (Vertical)'!P:P&gt;1));unique(filter('Students (Vertical)'"&amp;"!O:O,'Students (Vertical)'!C:C=E296,'Students (Vertical)'!O:O&lt;&gt;"""",'Students (Vertical)'!P:P&gt;1))},{unique(filter('Students (Vertical)'!O:O,'Students (Vertical)'!C:C=B296,'Students (Vertical)'!O:O&lt;&gt;"""",'Students (Vertical)'!P:P&gt;1));unique(filter('Student"&amp;"s (Vertical)'!O:O,'Students (Vertical)'!C:C=E296,'Students (Vertical)'!O:O&lt;&gt;"""",'Students (Vertical)'!P:P&gt;1))})&gt;1))),""""),"""")"),"")</f>
        <v/>
      </c>
      <c r="K296" s="96" t="str">
        <f>IFERROR(__xludf.DUMMYFUNCTION("iferror(join("", "",unique(filter({filter('Students (Vertical)'!D:D,'Students (Vertical)'!C:C=B296,'Students (Vertical)'!D:D&lt;&gt;"""");filter('Students (Vertical)'!D:D,'Students (Vertical)'!C:C=E296,'Students (Vertical)'!D:D&lt;&gt;"""")},countifs({filter('Student"&amp;"s (Vertical)'!D:D,'Students (Vertical)'!C:C=B296,'Students (Vertical)'!D:D&lt;&gt;"""");filter('Students (Vertical)'!D:D,'Students (Vertical)'!C:C=E296,'Students (Vertical)'!D:D&lt;&gt;"""")},{filter('Students (Vertical)'!D:D,'Students (Vertical)'!C:C=B296,'Students "&amp;"(Vertical)'!D:D&lt;&gt;"""");filter('Students (Vertical)'!D:D,'Students (Vertical)'!C:C=E296,'Students (Vertical)'!D:D&lt;&gt;"""")})&gt;1))),"""")"),"")</f>
        <v/>
      </c>
      <c r="L296" s="96"/>
      <c r="M296" s="96"/>
    </row>
    <row r="297" hidden="1">
      <c r="A297" s="8" t="s">
        <v>8</v>
      </c>
      <c r="C297" s="8" t="s">
        <v>8</v>
      </c>
      <c r="D297" s="8" t="s">
        <v>8</v>
      </c>
      <c r="F297" s="8" t="s">
        <v>8</v>
      </c>
      <c r="G297" s="8" t="s">
        <v>8</v>
      </c>
      <c r="I297" s="94" t="str">
        <f>IFERROR(__xludf.DUMMYFUNCTION("if(H297=""Must be Together"",iferror(join("", "",unique(filter({filter('Students (Vertical)'!O:O,'Students (Vertical)'!C:C=B297,'Students (Vertical)'!O:O&lt;&gt;"""");filter('Students (Vertical)'!O:O,'Students (Vertical)'!C:C=E297,'Students (Vertical)'!O:O&lt;&gt;"""&amp;""")},countifs({filter('Students (Vertical)'!O:O,'Students (Vertical)'!C:C=B297,'Students (Vertical)'!O:O&lt;&gt;"""");filter('Students (Vertical)'!O:O,'Students (Vertical)'!C:C=E297,'Students (Vertical)'!O:O&lt;&gt;"""")},{filter('Students (Vertical)'!O:O,'Students ("&amp;"Vertical)'!C:C=B297,'Students (Vertical)'!O:O&lt;&gt;"""");filter('Students (Vertical)'!O:O,'Students (Vertical)'!C:C=E297,'Students (Vertical)'!O:O&lt;&gt;"""")})&gt;1))),""No shared courses""),"""")"),"")</f>
        <v/>
      </c>
      <c r="J297" s="94" t="str">
        <f>IFERROR(__xludf.DUMMYFUNCTION("if(H297=""Can't be Together"",iferror(join("", "",unique(filter({unique(filter('Students (Vertical)'!O:O,'Students (Vertical)'!C:C=B297,'Students (Vertical)'!O:O&lt;&gt;"""",'Students (Vertical)'!P:P&gt;1));unique(filter('Students (Vertical)'!O:O,'Students (Vertic"&amp;"al)'!C:C=E297,'Students (Vertical)'!O:O&lt;&gt;"""",'Students (Vertical)'!P:P&gt;1))},countifs({unique(filter('Students (Vertical)'!O:O,'Students (Vertical)'!C:C=B297,'Students (Vertical)'!O:O&lt;&gt;"""",'Students (Vertical)'!P:P&gt;1));unique(filter('Students (Vertical)'"&amp;"!O:O,'Students (Vertical)'!C:C=E297,'Students (Vertical)'!O:O&lt;&gt;"""",'Students (Vertical)'!P:P&gt;1))},{unique(filter('Students (Vertical)'!O:O,'Students (Vertical)'!C:C=B297,'Students (Vertical)'!O:O&lt;&gt;"""",'Students (Vertical)'!P:P&gt;1));unique(filter('Student"&amp;"s (Vertical)'!O:O,'Students (Vertical)'!C:C=E297,'Students (Vertical)'!O:O&lt;&gt;"""",'Students (Vertical)'!P:P&gt;1))})&gt;1))),""""),"""")"),"")</f>
        <v/>
      </c>
      <c r="K297" s="96" t="str">
        <f>IFERROR(__xludf.DUMMYFUNCTION("iferror(join("", "",unique(filter({filter('Students (Vertical)'!D:D,'Students (Vertical)'!C:C=B297,'Students (Vertical)'!D:D&lt;&gt;"""");filter('Students (Vertical)'!D:D,'Students (Vertical)'!C:C=E297,'Students (Vertical)'!D:D&lt;&gt;"""")},countifs({filter('Student"&amp;"s (Vertical)'!D:D,'Students (Vertical)'!C:C=B297,'Students (Vertical)'!D:D&lt;&gt;"""");filter('Students (Vertical)'!D:D,'Students (Vertical)'!C:C=E297,'Students (Vertical)'!D:D&lt;&gt;"""")},{filter('Students (Vertical)'!D:D,'Students (Vertical)'!C:C=B297,'Students "&amp;"(Vertical)'!D:D&lt;&gt;"""");filter('Students (Vertical)'!D:D,'Students (Vertical)'!C:C=E297,'Students (Vertical)'!D:D&lt;&gt;"""")})&gt;1))),"""")"),"")</f>
        <v/>
      </c>
      <c r="L297" s="96"/>
      <c r="M297" s="96"/>
    </row>
    <row r="298" hidden="1">
      <c r="A298" s="8" t="s">
        <v>8</v>
      </c>
      <c r="C298" s="8" t="s">
        <v>8</v>
      </c>
      <c r="D298" s="8" t="s">
        <v>8</v>
      </c>
      <c r="F298" s="8" t="s">
        <v>8</v>
      </c>
      <c r="G298" s="8" t="s">
        <v>8</v>
      </c>
      <c r="I298" s="94" t="str">
        <f>IFERROR(__xludf.DUMMYFUNCTION("if(H298=""Must be Together"",iferror(join("", "",unique(filter({filter('Students (Vertical)'!O:O,'Students (Vertical)'!C:C=B298,'Students (Vertical)'!O:O&lt;&gt;"""");filter('Students (Vertical)'!O:O,'Students (Vertical)'!C:C=E298,'Students (Vertical)'!O:O&lt;&gt;"""&amp;""")},countifs({filter('Students (Vertical)'!O:O,'Students (Vertical)'!C:C=B298,'Students (Vertical)'!O:O&lt;&gt;"""");filter('Students (Vertical)'!O:O,'Students (Vertical)'!C:C=E298,'Students (Vertical)'!O:O&lt;&gt;"""")},{filter('Students (Vertical)'!O:O,'Students ("&amp;"Vertical)'!C:C=B298,'Students (Vertical)'!O:O&lt;&gt;"""");filter('Students (Vertical)'!O:O,'Students (Vertical)'!C:C=E298,'Students (Vertical)'!O:O&lt;&gt;"""")})&gt;1))),""No shared courses""),"""")"),"")</f>
        <v/>
      </c>
      <c r="J298" s="94" t="str">
        <f>IFERROR(__xludf.DUMMYFUNCTION("if(H298=""Can't be Together"",iferror(join("", "",unique(filter({unique(filter('Students (Vertical)'!O:O,'Students (Vertical)'!C:C=B298,'Students (Vertical)'!O:O&lt;&gt;"""",'Students (Vertical)'!P:P&gt;1));unique(filter('Students (Vertical)'!O:O,'Students (Vertic"&amp;"al)'!C:C=E298,'Students (Vertical)'!O:O&lt;&gt;"""",'Students (Vertical)'!P:P&gt;1))},countifs({unique(filter('Students (Vertical)'!O:O,'Students (Vertical)'!C:C=B298,'Students (Vertical)'!O:O&lt;&gt;"""",'Students (Vertical)'!P:P&gt;1));unique(filter('Students (Vertical)'"&amp;"!O:O,'Students (Vertical)'!C:C=E298,'Students (Vertical)'!O:O&lt;&gt;"""",'Students (Vertical)'!P:P&gt;1))},{unique(filter('Students (Vertical)'!O:O,'Students (Vertical)'!C:C=B298,'Students (Vertical)'!O:O&lt;&gt;"""",'Students (Vertical)'!P:P&gt;1));unique(filter('Student"&amp;"s (Vertical)'!O:O,'Students (Vertical)'!C:C=E298,'Students (Vertical)'!O:O&lt;&gt;"""",'Students (Vertical)'!P:P&gt;1))})&gt;1))),""""),"""")"),"")</f>
        <v/>
      </c>
      <c r="K298" s="96" t="str">
        <f>IFERROR(__xludf.DUMMYFUNCTION("iferror(join("", "",unique(filter({filter('Students (Vertical)'!D:D,'Students (Vertical)'!C:C=B298,'Students (Vertical)'!D:D&lt;&gt;"""");filter('Students (Vertical)'!D:D,'Students (Vertical)'!C:C=E298,'Students (Vertical)'!D:D&lt;&gt;"""")},countifs({filter('Student"&amp;"s (Vertical)'!D:D,'Students (Vertical)'!C:C=B298,'Students (Vertical)'!D:D&lt;&gt;"""");filter('Students (Vertical)'!D:D,'Students (Vertical)'!C:C=E298,'Students (Vertical)'!D:D&lt;&gt;"""")},{filter('Students (Vertical)'!D:D,'Students (Vertical)'!C:C=B298,'Students "&amp;"(Vertical)'!D:D&lt;&gt;"""");filter('Students (Vertical)'!D:D,'Students (Vertical)'!C:C=E298,'Students (Vertical)'!D:D&lt;&gt;"""")})&gt;1))),"""")"),"")</f>
        <v/>
      </c>
      <c r="L298" s="96"/>
      <c r="M298" s="96"/>
    </row>
    <row r="299" hidden="1">
      <c r="A299" s="8" t="s">
        <v>8</v>
      </c>
      <c r="C299" s="8" t="s">
        <v>8</v>
      </c>
      <c r="D299" s="8" t="s">
        <v>8</v>
      </c>
      <c r="F299" s="8" t="s">
        <v>8</v>
      </c>
      <c r="G299" s="8" t="s">
        <v>8</v>
      </c>
      <c r="I299" s="94" t="str">
        <f>IFERROR(__xludf.DUMMYFUNCTION("if(H299=""Must be Together"",iferror(join("", "",unique(filter({filter('Students (Vertical)'!O:O,'Students (Vertical)'!C:C=B299,'Students (Vertical)'!O:O&lt;&gt;"""");filter('Students (Vertical)'!O:O,'Students (Vertical)'!C:C=E299,'Students (Vertical)'!O:O&lt;&gt;"""&amp;""")},countifs({filter('Students (Vertical)'!O:O,'Students (Vertical)'!C:C=B299,'Students (Vertical)'!O:O&lt;&gt;"""");filter('Students (Vertical)'!O:O,'Students (Vertical)'!C:C=E299,'Students (Vertical)'!O:O&lt;&gt;"""")},{filter('Students (Vertical)'!O:O,'Students ("&amp;"Vertical)'!C:C=B299,'Students (Vertical)'!O:O&lt;&gt;"""");filter('Students (Vertical)'!O:O,'Students (Vertical)'!C:C=E299,'Students (Vertical)'!O:O&lt;&gt;"""")})&gt;1))),""No shared courses""),"""")"),"")</f>
        <v/>
      </c>
      <c r="J299" s="94" t="str">
        <f>IFERROR(__xludf.DUMMYFUNCTION("if(H299=""Can't be Together"",iferror(join("", "",unique(filter({unique(filter('Students (Vertical)'!O:O,'Students (Vertical)'!C:C=B299,'Students (Vertical)'!O:O&lt;&gt;"""",'Students (Vertical)'!P:P&gt;1));unique(filter('Students (Vertical)'!O:O,'Students (Vertic"&amp;"al)'!C:C=E299,'Students (Vertical)'!O:O&lt;&gt;"""",'Students (Vertical)'!P:P&gt;1))},countifs({unique(filter('Students (Vertical)'!O:O,'Students (Vertical)'!C:C=B299,'Students (Vertical)'!O:O&lt;&gt;"""",'Students (Vertical)'!P:P&gt;1));unique(filter('Students (Vertical)'"&amp;"!O:O,'Students (Vertical)'!C:C=E299,'Students (Vertical)'!O:O&lt;&gt;"""",'Students (Vertical)'!P:P&gt;1))},{unique(filter('Students (Vertical)'!O:O,'Students (Vertical)'!C:C=B299,'Students (Vertical)'!O:O&lt;&gt;"""",'Students (Vertical)'!P:P&gt;1));unique(filter('Student"&amp;"s (Vertical)'!O:O,'Students (Vertical)'!C:C=E299,'Students (Vertical)'!O:O&lt;&gt;"""",'Students (Vertical)'!P:P&gt;1))})&gt;1))),""""),"""")"),"")</f>
        <v/>
      </c>
      <c r="K299" s="96" t="str">
        <f>IFERROR(__xludf.DUMMYFUNCTION("iferror(join("", "",unique(filter({filter('Students (Vertical)'!D:D,'Students (Vertical)'!C:C=B299,'Students (Vertical)'!D:D&lt;&gt;"""");filter('Students (Vertical)'!D:D,'Students (Vertical)'!C:C=E299,'Students (Vertical)'!D:D&lt;&gt;"""")},countifs({filter('Student"&amp;"s (Vertical)'!D:D,'Students (Vertical)'!C:C=B299,'Students (Vertical)'!D:D&lt;&gt;"""");filter('Students (Vertical)'!D:D,'Students (Vertical)'!C:C=E299,'Students (Vertical)'!D:D&lt;&gt;"""")},{filter('Students (Vertical)'!D:D,'Students (Vertical)'!C:C=B299,'Students "&amp;"(Vertical)'!D:D&lt;&gt;"""");filter('Students (Vertical)'!D:D,'Students (Vertical)'!C:C=E299,'Students (Vertical)'!D:D&lt;&gt;"""")})&gt;1))),"""")"),"")</f>
        <v/>
      </c>
      <c r="L299" s="96"/>
      <c r="M299" s="96"/>
    </row>
    <row r="300" hidden="1">
      <c r="A300" s="8" t="s">
        <v>8</v>
      </c>
      <c r="C300" s="8" t="s">
        <v>8</v>
      </c>
      <c r="D300" s="8" t="s">
        <v>8</v>
      </c>
      <c r="F300" s="8" t="s">
        <v>8</v>
      </c>
      <c r="G300" s="8" t="s">
        <v>8</v>
      </c>
      <c r="I300" s="94" t="str">
        <f>IFERROR(__xludf.DUMMYFUNCTION("if(H300=""Must be Together"",iferror(join("", "",unique(filter({filter('Students (Vertical)'!O:O,'Students (Vertical)'!C:C=B300,'Students (Vertical)'!O:O&lt;&gt;"""");filter('Students (Vertical)'!O:O,'Students (Vertical)'!C:C=E300,'Students (Vertical)'!O:O&lt;&gt;"""&amp;""")},countifs({filter('Students (Vertical)'!O:O,'Students (Vertical)'!C:C=B300,'Students (Vertical)'!O:O&lt;&gt;"""");filter('Students (Vertical)'!O:O,'Students (Vertical)'!C:C=E300,'Students (Vertical)'!O:O&lt;&gt;"""")},{filter('Students (Vertical)'!O:O,'Students ("&amp;"Vertical)'!C:C=B300,'Students (Vertical)'!O:O&lt;&gt;"""");filter('Students (Vertical)'!O:O,'Students (Vertical)'!C:C=E300,'Students (Vertical)'!O:O&lt;&gt;"""")})&gt;1))),""No shared courses""),"""")"),"")</f>
        <v/>
      </c>
      <c r="J300" s="94" t="str">
        <f>IFERROR(__xludf.DUMMYFUNCTION("if(H300=""Can't be Together"",iferror(join("", "",unique(filter({unique(filter('Students (Vertical)'!O:O,'Students (Vertical)'!C:C=B300,'Students (Vertical)'!O:O&lt;&gt;"""",'Students (Vertical)'!P:P&gt;1));unique(filter('Students (Vertical)'!O:O,'Students (Vertic"&amp;"al)'!C:C=E300,'Students (Vertical)'!O:O&lt;&gt;"""",'Students (Vertical)'!P:P&gt;1))},countifs({unique(filter('Students (Vertical)'!O:O,'Students (Vertical)'!C:C=B300,'Students (Vertical)'!O:O&lt;&gt;"""",'Students (Vertical)'!P:P&gt;1));unique(filter('Students (Vertical)'"&amp;"!O:O,'Students (Vertical)'!C:C=E300,'Students (Vertical)'!O:O&lt;&gt;"""",'Students (Vertical)'!P:P&gt;1))},{unique(filter('Students (Vertical)'!O:O,'Students (Vertical)'!C:C=B300,'Students (Vertical)'!O:O&lt;&gt;"""",'Students (Vertical)'!P:P&gt;1));unique(filter('Student"&amp;"s (Vertical)'!O:O,'Students (Vertical)'!C:C=E300,'Students (Vertical)'!O:O&lt;&gt;"""",'Students (Vertical)'!P:P&gt;1))})&gt;1))),""""),"""")"),"")</f>
        <v/>
      </c>
      <c r="K300" s="96" t="str">
        <f>IFERROR(__xludf.DUMMYFUNCTION("iferror(join("", "",unique(filter({filter('Students (Vertical)'!D:D,'Students (Vertical)'!C:C=B300,'Students (Vertical)'!D:D&lt;&gt;"""");filter('Students (Vertical)'!D:D,'Students (Vertical)'!C:C=E300,'Students (Vertical)'!D:D&lt;&gt;"""")},countifs({filter('Student"&amp;"s (Vertical)'!D:D,'Students (Vertical)'!C:C=B300,'Students (Vertical)'!D:D&lt;&gt;"""");filter('Students (Vertical)'!D:D,'Students (Vertical)'!C:C=E300,'Students (Vertical)'!D:D&lt;&gt;"""")},{filter('Students (Vertical)'!D:D,'Students (Vertical)'!C:C=B300,'Students "&amp;"(Vertical)'!D:D&lt;&gt;"""");filter('Students (Vertical)'!D:D,'Students (Vertical)'!C:C=E300,'Students (Vertical)'!D:D&lt;&gt;"""")})&gt;1))),"""")"),"")</f>
        <v/>
      </c>
      <c r="L300" s="96"/>
      <c r="M300" s="96"/>
    </row>
    <row r="301" hidden="1">
      <c r="A301" s="8" t="s">
        <v>8</v>
      </c>
      <c r="C301" s="8" t="s">
        <v>8</v>
      </c>
      <c r="D301" s="8" t="s">
        <v>8</v>
      </c>
      <c r="F301" s="8" t="s">
        <v>8</v>
      </c>
      <c r="G301" s="8" t="s">
        <v>8</v>
      </c>
      <c r="I301" s="94" t="str">
        <f>IFERROR(__xludf.DUMMYFUNCTION("if(H301=""Must be Together"",iferror(join("", "",unique(filter({filter('Students (Vertical)'!O:O,'Students (Vertical)'!C:C=B301,'Students (Vertical)'!O:O&lt;&gt;"""");filter('Students (Vertical)'!O:O,'Students (Vertical)'!C:C=E301,'Students (Vertical)'!O:O&lt;&gt;"""&amp;""")},countifs({filter('Students (Vertical)'!O:O,'Students (Vertical)'!C:C=B301,'Students (Vertical)'!O:O&lt;&gt;"""");filter('Students (Vertical)'!O:O,'Students (Vertical)'!C:C=E301,'Students (Vertical)'!O:O&lt;&gt;"""")},{filter('Students (Vertical)'!O:O,'Students ("&amp;"Vertical)'!C:C=B301,'Students (Vertical)'!O:O&lt;&gt;"""");filter('Students (Vertical)'!O:O,'Students (Vertical)'!C:C=E301,'Students (Vertical)'!O:O&lt;&gt;"""")})&gt;1))),""No shared courses""),"""")"),"")</f>
        <v/>
      </c>
      <c r="J301" s="94" t="str">
        <f>IFERROR(__xludf.DUMMYFUNCTION("if(H301=""Can't be Together"",iferror(join("", "",unique(filter({unique(filter('Students (Vertical)'!O:O,'Students (Vertical)'!C:C=B301,'Students (Vertical)'!O:O&lt;&gt;"""",'Students (Vertical)'!P:P&gt;1));unique(filter('Students (Vertical)'!O:O,'Students (Vertic"&amp;"al)'!C:C=E301,'Students (Vertical)'!O:O&lt;&gt;"""",'Students (Vertical)'!P:P&gt;1))},countifs({unique(filter('Students (Vertical)'!O:O,'Students (Vertical)'!C:C=B301,'Students (Vertical)'!O:O&lt;&gt;"""",'Students (Vertical)'!P:P&gt;1));unique(filter('Students (Vertical)'"&amp;"!O:O,'Students (Vertical)'!C:C=E301,'Students (Vertical)'!O:O&lt;&gt;"""",'Students (Vertical)'!P:P&gt;1))},{unique(filter('Students (Vertical)'!O:O,'Students (Vertical)'!C:C=B301,'Students (Vertical)'!O:O&lt;&gt;"""",'Students (Vertical)'!P:P&gt;1));unique(filter('Student"&amp;"s (Vertical)'!O:O,'Students (Vertical)'!C:C=E301,'Students (Vertical)'!O:O&lt;&gt;"""",'Students (Vertical)'!P:P&gt;1))})&gt;1))),""""),"""")"),"")</f>
        <v/>
      </c>
      <c r="K301" s="96" t="str">
        <f>IFERROR(__xludf.DUMMYFUNCTION("iferror(join("", "",unique(filter({filter('Students (Vertical)'!D:D,'Students (Vertical)'!C:C=B301,'Students (Vertical)'!D:D&lt;&gt;"""");filter('Students (Vertical)'!D:D,'Students (Vertical)'!C:C=E301,'Students (Vertical)'!D:D&lt;&gt;"""")},countifs({filter('Student"&amp;"s (Vertical)'!D:D,'Students (Vertical)'!C:C=B301,'Students (Vertical)'!D:D&lt;&gt;"""");filter('Students (Vertical)'!D:D,'Students (Vertical)'!C:C=E301,'Students (Vertical)'!D:D&lt;&gt;"""")},{filter('Students (Vertical)'!D:D,'Students (Vertical)'!C:C=B301,'Students "&amp;"(Vertical)'!D:D&lt;&gt;"""");filter('Students (Vertical)'!D:D,'Students (Vertical)'!C:C=E301,'Students (Vertical)'!D:D&lt;&gt;"""")})&gt;1))),"""")"),"")</f>
        <v/>
      </c>
      <c r="L301" s="96"/>
      <c r="M301" s="96"/>
    </row>
    <row r="302" hidden="1">
      <c r="A302" s="8" t="s">
        <v>8</v>
      </c>
      <c r="C302" s="8" t="s">
        <v>8</v>
      </c>
      <c r="D302" s="8" t="s">
        <v>8</v>
      </c>
      <c r="F302" s="8" t="s">
        <v>8</v>
      </c>
      <c r="G302" s="8" t="s">
        <v>8</v>
      </c>
      <c r="I302" s="94" t="str">
        <f>IFERROR(__xludf.DUMMYFUNCTION("if(H302=""Must be Together"",iferror(join("", "",unique(filter({filter('Students (Vertical)'!O:O,'Students (Vertical)'!C:C=B302,'Students (Vertical)'!O:O&lt;&gt;"""");filter('Students (Vertical)'!O:O,'Students (Vertical)'!C:C=E302,'Students (Vertical)'!O:O&lt;&gt;"""&amp;""")},countifs({filter('Students (Vertical)'!O:O,'Students (Vertical)'!C:C=B302,'Students (Vertical)'!O:O&lt;&gt;"""");filter('Students (Vertical)'!O:O,'Students (Vertical)'!C:C=E302,'Students (Vertical)'!O:O&lt;&gt;"""")},{filter('Students (Vertical)'!O:O,'Students ("&amp;"Vertical)'!C:C=B302,'Students (Vertical)'!O:O&lt;&gt;"""");filter('Students (Vertical)'!O:O,'Students (Vertical)'!C:C=E302,'Students (Vertical)'!O:O&lt;&gt;"""")})&gt;1))),""No shared courses""),"""")"),"")</f>
        <v/>
      </c>
      <c r="J302" s="94" t="str">
        <f>IFERROR(__xludf.DUMMYFUNCTION("if(H302=""Can't be Together"",iferror(join("", "",unique(filter({unique(filter('Students (Vertical)'!O:O,'Students (Vertical)'!C:C=B302,'Students (Vertical)'!O:O&lt;&gt;"""",'Students (Vertical)'!P:P&gt;1));unique(filter('Students (Vertical)'!O:O,'Students (Vertic"&amp;"al)'!C:C=E302,'Students (Vertical)'!O:O&lt;&gt;"""",'Students (Vertical)'!P:P&gt;1))},countifs({unique(filter('Students (Vertical)'!O:O,'Students (Vertical)'!C:C=B302,'Students (Vertical)'!O:O&lt;&gt;"""",'Students (Vertical)'!P:P&gt;1));unique(filter('Students (Vertical)'"&amp;"!O:O,'Students (Vertical)'!C:C=E302,'Students (Vertical)'!O:O&lt;&gt;"""",'Students (Vertical)'!P:P&gt;1))},{unique(filter('Students (Vertical)'!O:O,'Students (Vertical)'!C:C=B302,'Students (Vertical)'!O:O&lt;&gt;"""",'Students (Vertical)'!P:P&gt;1));unique(filter('Student"&amp;"s (Vertical)'!O:O,'Students (Vertical)'!C:C=E302,'Students (Vertical)'!O:O&lt;&gt;"""",'Students (Vertical)'!P:P&gt;1))})&gt;1))),""""),"""")"),"")</f>
        <v/>
      </c>
      <c r="K302" s="96" t="str">
        <f>IFERROR(__xludf.DUMMYFUNCTION("iferror(join("", "",unique(filter({filter('Students (Vertical)'!D:D,'Students (Vertical)'!C:C=B302,'Students (Vertical)'!D:D&lt;&gt;"""");filter('Students (Vertical)'!D:D,'Students (Vertical)'!C:C=E302,'Students (Vertical)'!D:D&lt;&gt;"""")},countifs({filter('Student"&amp;"s (Vertical)'!D:D,'Students (Vertical)'!C:C=B302,'Students (Vertical)'!D:D&lt;&gt;"""");filter('Students (Vertical)'!D:D,'Students (Vertical)'!C:C=E302,'Students (Vertical)'!D:D&lt;&gt;"""")},{filter('Students (Vertical)'!D:D,'Students (Vertical)'!C:C=B302,'Students "&amp;"(Vertical)'!D:D&lt;&gt;"""");filter('Students (Vertical)'!D:D,'Students (Vertical)'!C:C=E302,'Students (Vertical)'!D:D&lt;&gt;"""")})&gt;1))),"""")"),"")</f>
        <v/>
      </c>
      <c r="L302" s="96"/>
      <c r="M302" s="96"/>
    </row>
    <row r="303" hidden="1">
      <c r="A303" s="8" t="s">
        <v>8</v>
      </c>
      <c r="C303" s="8" t="s">
        <v>8</v>
      </c>
      <c r="D303" s="8" t="s">
        <v>8</v>
      </c>
      <c r="F303" s="8" t="s">
        <v>8</v>
      </c>
      <c r="G303" s="8" t="s">
        <v>8</v>
      </c>
      <c r="I303" s="94" t="str">
        <f>IFERROR(__xludf.DUMMYFUNCTION("if(H303=""Must be Together"",iferror(join("", "",unique(filter({filter('Students (Vertical)'!O:O,'Students (Vertical)'!C:C=B303,'Students (Vertical)'!O:O&lt;&gt;"""");filter('Students (Vertical)'!O:O,'Students (Vertical)'!C:C=E303,'Students (Vertical)'!O:O&lt;&gt;"""&amp;""")},countifs({filter('Students (Vertical)'!O:O,'Students (Vertical)'!C:C=B303,'Students (Vertical)'!O:O&lt;&gt;"""");filter('Students (Vertical)'!O:O,'Students (Vertical)'!C:C=E303,'Students (Vertical)'!O:O&lt;&gt;"""")},{filter('Students (Vertical)'!O:O,'Students ("&amp;"Vertical)'!C:C=B303,'Students (Vertical)'!O:O&lt;&gt;"""");filter('Students (Vertical)'!O:O,'Students (Vertical)'!C:C=E303,'Students (Vertical)'!O:O&lt;&gt;"""")})&gt;1))),""No shared courses""),"""")"),"")</f>
        <v/>
      </c>
      <c r="J303" s="94" t="str">
        <f>IFERROR(__xludf.DUMMYFUNCTION("if(H303=""Can't be Together"",iferror(join("", "",unique(filter({unique(filter('Students (Vertical)'!O:O,'Students (Vertical)'!C:C=B303,'Students (Vertical)'!O:O&lt;&gt;"""",'Students (Vertical)'!P:P&gt;1));unique(filter('Students (Vertical)'!O:O,'Students (Vertic"&amp;"al)'!C:C=E303,'Students (Vertical)'!O:O&lt;&gt;"""",'Students (Vertical)'!P:P&gt;1))},countifs({unique(filter('Students (Vertical)'!O:O,'Students (Vertical)'!C:C=B303,'Students (Vertical)'!O:O&lt;&gt;"""",'Students (Vertical)'!P:P&gt;1));unique(filter('Students (Vertical)'"&amp;"!O:O,'Students (Vertical)'!C:C=E303,'Students (Vertical)'!O:O&lt;&gt;"""",'Students (Vertical)'!P:P&gt;1))},{unique(filter('Students (Vertical)'!O:O,'Students (Vertical)'!C:C=B303,'Students (Vertical)'!O:O&lt;&gt;"""",'Students (Vertical)'!P:P&gt;1));unique(filter('Student"&amp;"s (Vertical)'!O:O,'Students (Vertical)'!C:C=E303,'Students (Vertical)'!O:O&lt;&gt;"""",'Students (Vertical)'!P:P&gt;1))})&gt;1))),""""),"""")"),"")</f>
        <v/>
      </c>
      <c r="K303" s="96" t="str">
        <f>IFERROR(__xludf.DUMMYFUNCTION("iferror(join("", "",unique(filter({filter('Students (Vertical)'!D:D,'Students (Vertical)'!C:C=B303,'Students (Vertical)'!D:D&lt;&gt;"""");filter('Students (Vertical)'!D:D,'Students (Vertical)'!C:C=E303,'Students (Vertical)'!D:D&lt;&gt;"""")},countifs({filter('Student"&amp;"s (Vertical)'!D:D,'Students (Vertical)'!C:C=B303,'Students (Vertical)'!D:D&lt;&gt;"""");filter('Students (Vertical)'!D:D,'Students (Vertical)'!C:C=E303,'Students (Vertical)'!D:D&lt;&gt;"""")},{filter('Students (Vertical)'!D:D,'Students (Vertical)'!C:C=B303,'Students "&amp;"(Vertical)'!D:D&lt;&gt;"""");filter('Students (Vertical)'!D:D,'Students (Vertical)'!C:C=E303,'Students (Vertical)'!D:D&lt;&gt;"""")})&gt;1))),"""")"),"")</f>
        <v/>
      </c>
      <c r="L303" s="96"/>
      <c r="M303" s="96"/>
    </row>
    <row r="304" hidden="1">
      <c r="A304" s="8" t="s">
        <v>8</v>
      </c>
      <c r="C304" s="8" t="s">
        <v>8</v>
      </c>
      <c r="D304" s="8" t="s">
        <v>8</v>
      </c>
      <c r="F304" s="8" t="s">
        <v>8</v>
      </c>
      <c r="G304" s="8" t="s">
        <v>8</v>
      </c>
      <c r="I304" s="94" t="str">
        <f>IFERROR(__xludf.DUMMYFUNCTION("if(H304=""Must be Together"",iferror(join("", "",unique(filter({filter('Students (Vertical)'!O:O,'Students (Vertical)'!C:C=B304,'Students (Vertical)'!O:O&lt;&gt;"""");filter('Students (Vertical)'!O:O,'Students (Vertical)'!C:C=E304,'Students (Vertical)'!O:O&lt;&gt;"""&amp;""")},countifs({filter('Students (Vertical)'!O:O,'Students (Vertical)'!C:C=B304,'Students (Vertical)'!O:O&lt;&gt;"""");filter('Students (Vertical)'!O:O,'Students (Vertical)'!C:C=E304,'Students (Vertical)'!O:O&lt;&gt;"""")},{filter('Students (Vertical)'!O:O,'Students ("&amp;"Vertical)'!C:C=B304,'Students (Vertical)'!O:O&lt;&gt;"""");filter('Students (Vertical)'!O:O,'Students (Vertical)'!C:C=E304,'Students (Vertical)'!O:O&lt;&gt;"""")})&gt;1))),""No shared courses""),"""")"),"")</f>
        <v/>
      </c>
      <c r="J304" s="94" t="str">
        <f>IFERROR(__xludf.DUMMYFUNCTION("if(H304=""Can't be Together"",iferror(join("", "",unique(filter({unique(filter('Students (Vertical)'!O:O,'Students (Vertical)'!C:C=B304,'Students (Vertical)'!O:O&lt;&gt;"""",'Students (Vertical)'!P:P&gt;1));unique(filter('Students (Vertical)'!O:O,'Students (Vertic"&amp;"al)'!C:C=E304,'Students (Vertical)'!O:O&lt;&gt;"""",'Students (Vertical)'!P:P&gt;1))},countifs({unique(filter('Students (Vertical)'!O:O,'Students (Vertical)'!C:C=B304,'Students (Vertical)'!O:O&lt;&gt;"""",'Students (Vertical)'!P:P&gt;1));unique(filter('Students (Vertical)'"&amp;"!O:O,'Students (Vertical)'!C:C=E304,'Students (Vertical)'!O:O&lt;&gt;"""",'Students (Vertical)'!P:P&gt;1))},{unique(filter('Students (Vertical)'!O:O,'Students (Vertical)'!C:C=B304,'Students (Vertical)'!O:O&lt;&gt;"""",'Students (Vertical)'!P:P&gt;1));unique(filter('Student"&amp;"s (Vertical)'!O:O,'Students (Vertical)'!C:C=E304,'Students (Vertical)'!O:O&lt;&gt;"""",'Students (Vertical)'!P:P&gt;1))})&gt;1))),""""),"""")"),"")</f>
        <v/>
      </c>
      <c r="K304" s="96" t="str">
        <f>IFERROR(__xludf.DUMMYFUNCTION("iferror(join("", "",unique(filter({filter('Students (Vertical)'!D:D,'Students (Vertical)'!C:C=B304,'Students (Vertical)'!D:D&lt;&gt;"""");filter('Students (Vertical)'!D:D,'Students (Vertical)'!C:C=E304,'Students (Vertical)'!D:D&lt;&gt;"""")},countifs({filter('Student"&amp;"s (Vertical)'!D:D,'Students (Vertical)'!C:C=B304,'Students (Vertical)'!D:D&lt;&gt;"""");filter('Students (Vertical)'!D:D,'Students (Vertical)'!C:C=E304,'Students (Vertical)'!D:D&lt;&gt;"""")},{filter('Students (Vertical)'!D:D,'Students (Vertical)'!C:C=B304,'Students "&amp;"(Vertical)'!D:D&lt;&gt;"""");filter('Students (Vertical)'!D:D,'Students (Vertical)'!C:C=E304,'Students (Vertical)'!D:D&lt;&gt;"""")})&gt;1))),"""")"),"")</f>
        <v/>
      </c>
      <c r="L304" s="96"/>
      <c r="M304" s="96"/>
    </row>
    <row r="305" hidden="1">
      <c r="A305" s="8" t="s">
        <v>8</v>
      </c>
      <c r="C305" s="8" t="s">
        <v>8</v>
      </c>
      <c r="D305" s="8" t="s">
        <v>8</v>
      </c>
      <c r="F305" s="8" t="s">
        <v>8</v>
      </c>
      <c r="G305" s="8" t="s">
        <v>8</v>
      </c>
      <c r="I305" s="94" t="str">
        <f>IFERROR(__xludf.DUMMYFUNCTION("if(H305=""Must be Together"",iferror(join("", "",unique(filter({filter('Students (Vertical)'!O:O,'Students (Vertical)'!C:C=B305,'Students (Vertical)'!O:O&lt;&gt;"""");filter('Students (Vertical)'!O:O,'Students (Vertical)'!C:C=E305,'Students (Vertical)'!O:O&lt;&gt;"""&amp;""")},countifs({filter('Students (Vertical)'!O:O,'Students (Vertical)'!C:C=B305,'Students (Vertical)'!O:O&lt;&gt;"""");filter('Students (Vertical)'!O:O,'Students (Vertical)'!C:C=E305,'Students (Vertical)'!O:O&lt;&gt;"""")},{filter('Students (Vertical)'!O:O,'Students ("&amp;"Vertical)'!C:C=B305,'Students (Vertical)'!O:O&lt;&gt;"""");filter('Students (Vertical)'!O:O,'Students (Vertical)'!C:C=E305,'Students (Vertical)'!O:O&lt;&gt;"""")})&gt;1))),""No shared courses""),"""")"),"")</f>
        <v/>
      </c>
      <c r="J305" s="94" t="str">
        <f>IFERROR(__xludf.DUMMYFUNCTION("if(H305=""Can't be Together"",iferror(join("", "",unique(filter({unique(filter('Students (Vertical)'!O:O,'Students (Vertical)'!C:C=B305,'Students (Vertical)'!O:O&lt;&gt;"""",'Students (Vertical)'!P:P&gt;1));unique(filter('Students (Vertical)'!O:O,'Students (Vertic"&amp;"al)'!C:C=E305,'Students (Vertical)'!O:O&lt;&gt;"""",'Students (Vertical)'!P:P&gt;1))},countifs({unique(filter('Students (Vertical)'!O:O,'Students (Vertical)'!C:C=B305,'Students (Vertical)'!O:O&lt;&gt;"""",'Students (Vertical)'!P:P&gt;1));unique(filter('Students (Vertical)'"&amp;"!O:O,'Students (Vertical)'!C:C=E305,'Students (Vertical)'!O:O&lt;&gt;"""",'Students (Vertical)'!P:P&gt;1))},{unique(filter('Students (Vertical)'!O:O,'Students (Vertical)'!C:C=B305,'Students (Vertical)'!O:O&lt;&gt;"""",'Students (Vertical)'!P:P&gt;1));unique(filter('Student"&amp;"s (Vertical)'!O:O,'Students (Vertical)'!C:C=E305,'Students (Vertical)'!O:O&lt;&gt;"""",'Students (Vertical)'!P:P&gt;1))})&gt;1))),""""),"""")"),"")</f>
        <v/>
      </c>
      <c r="K305" s="96" t="str">
        <f>IFERROR(__xludf.DUMMYFUNCTION("iferror(join("", "",unique(filter({filter('Students (Vertical)'!D:D,'Students (Vertical)'!C:C=B305,'Students (Vertical)'!D:D&lt;&gt;"""");filter('Students (Vertical)'!D:D,'Students (Vertical)'!C:C=E305,'Students (Vertical)'!D:D&lt;&gt;"""")},countifs({filter('Student"&amp;"s (Vertical)'!D:D,'Students (Vertical)'!C:C=B305,'Students (Vertical)'!D:D&lt;&gt;"""");filter('Students (Vertical)'!D:D,'Students (Vertical)'!C:C=E305,'Students (Vertical)'!D:D&lt;&gt;"""")},{filter('Students (Vertical)'!D:D,'Students (Vertical)'!C:C=B305,'Students "&amp;"(Vertical)'!D:D&lt;&gt;"""");filter('Students (Vertical)'!D:D,'Students (Vertical)'!C:C=E305,'Students (Vertical)'!D:D&lt;&gt;"""")})&gt;1))),"""")"),"")</f>
        <v/>
      </c>
      <c r="L305" s="96"/>
      <c r="M305" s="96"/>
    </row>
    <row r="306" hidden="1">
      <c r="A306" s="8" t="s">
        <v>8</v>
      </c>
      <c r="C306" s="8" t="s">
        <v>8</v>
      </c>
      <c r="D306" s="8" t="s">
        <v>8</v>
      </c>
      <c r="F306" s="8" t="s">
        <v>8</v>
      </c>
      <c r="G306" s="8" t="s">
        <v>8</v>
      </c>
      <c r="I306" s="94" t="str">
        <f>IFERROR(__xludf.DUMMYFUNCTION("if(H306=""Must be Together"",iferror(join("", "",unique(filter({filter('Students (Vertical)'!O:O,'Students (Vertical)'!C:C=B306,'Students (Vertical)'!O:O&lt;&gt;"""");filter('Students (Vertical)'!O:O,'Students (Vertical)'!C:C=E306,'Students (Vertical)'!O:O&lt;&gt;"""&amp;""")},countifs({filter('Students (Vertical)'!O:O,'Students (Vertical)'!C:C=B306,'Students (Vertical)'!O:O&lt;&gt;"""");filter('Students (Vertical)'!O:O,'Students (Vertical)'!C:C=E306,'Students (Vertical)'!O:O&lt;&gt;"""")},{filter('Students (Vertical)'!O:O,'Students ("&amp;"Vertical)'!C:C=B306,'Students (Vertical)'!O:O&lt;&gt;"""");filter('Students (Vertical)'!O:O,'Students (Vertical)'!C:C=E306,'Students (Vertical)'!O:O&lt;&gt;"""")})&gt;1))),""No shared courses""),"""")"),"")</f>
        <v/>
      </c>
      <c r="J306" s="94" t="str">
        <f>IFERROR(__xludf.DUMMYFUNCTION("if(H306=""Can't be Together"",iferror(join("", "",unique(filter({unique(filter('Students (Vertical)'!O:O,'Students (Vertical)'!C:C=B306,'Students (Vertical)'!O:O&lt;&gt;"""",'Students (Vertical)'!P:P&gt;1));unique(filter('Students (Vertical)'!O:O,'Students (Vertic"&amp;"al)'!C:C=E306,'Students (Vertical)'!O:O&lt;&gt;"""",'Students (Vertical)'!P:P&gt;1))},countifs({unique(filter('Students (Vertical)'!O:O,'Students (Vertical)'!C:C=B306,'Students (Vertical)'!O:O&lt;&gt;"""",'Students (Vertical)'!P:P&gt;1));unique(filter('Students (Vertical)'"&amp;"!O:O,'Students (Vertical)'!C:C=E306,'Students (Vertical)'!O:O&lt;&gt;"""",'Students (Vertical)'!P:P&gt;1))},{unique(filter('Students (Vertical)'!O:O,'Students (Vertical)'!C:C=B306,'Students (Vertical)'!O:O&lt;&gt;"""",'Students (Vertical)'!P:P&gt;1));unique(filter('Student"&amp;"s (Vertical)'!O:O,'Students (Vertical)'!C:C=E306,'Students (Vertical)'!O:O&lt;&gt;"""",'Students (Vertical)'!P:P&gt;1))})&gt;1))),""""),"""")"),"")</f>
        <v/>
      </c>
      <c r="K306" s="96" t="str">
        <f>IFERROR(__xludf.DUMMYFUNCTION("iferror(join("", "",unique(filter({filter('Students (Vertical)'!D:D,'Students (Vertical)'!C:C=B306,'Students (Vertical)'!D:D&lt;&gt;"""");filter('Students (Vertical)'!D:D,'Students (Vertical)'!C:C=E306,'Students (Vertical)'!D:D&lt;&gt;"""")},countifs({filter('Student"&amp;"s (Vertical)'!D:D,'Students (Vertical)'!C:C=B306,'Students (Vertical)'!D:D&lt;&gt;"""");filter('Students (Vertical)'!D:D,'Students (Vertical)'!C:C=E306,'Students (Vertical)'!D:D&lt;&gt;"""")},{filter('Students (Vertical)'!D:D,'Students (Vertical)'!C:C=B306,'Students "&amp;"(Vertical)'!D:D&lt;&gt;"""");filter('Students (Vertical)'!D:D,'Students (Vertical)'!C:C=E306,'Students (Vertical)'!D:D&lt;&gt;"""")})&gt;1))),"""")"),"")</f>
        <v/>
      </c>
      <c r="L306" s="96"/>
      <c r="M306" s="96"/>
    </row>
    <row r="307" hidden="1">
      <c r="A307" s="8" t="s">
        <v>8</v>
      </c>
      <c r="C307" s="8" t="s">
        <v>8</v>
      </c>
      <c r="D307" s="8" t="s">
        <v>8</v>
      </c>
      <c r="F307" s="8" t="s">
        <v>8</v>
      </c>
      <c r="G307" s="8" t="s">
        <v>8</v>
      </c>
      <c r="I307" s="94" t="str">
        <f>IFERROR(__xludf.DUMMYFUNCTION("if(H307=""Must be Together"",iferror(join("", "",unique(filter({filter('Students (Vertical)'!O:O,'Students (Vertical)'!C:C=B307,'Students (Vertical)'!O:O&lt;&gt;"""");filter('Students (Vertical)'!O:O,'Students (Vertical)'!C:C=E307,'Students (Vertical)'!O:O&lt;&gt;"""&amp;""")},countifs({filter('Students (Vertical)'!O:O,'Students (Vertical)'!C:C=B307,'Students (Vertical)'!O:O&lt;&gt;"""");filter('Students (Vertical)'!O:O,'Students (Vertical)'!C:C=E307,'Students (Vertical)'!O:O&lt;&gt;"""")},{filter('Students (Vertical)'!O:O,'Students ("&amp;"Vertical)'!C:C=B307,'Students (Vertical)'!O:O&lt;&gt;"""");filter('Students (Vertical)'!O:O,'Students (Vertical)'!C:C=E307,'Students (Vertical)'!O:O&lt;&gt;"""")})&gt;1))),""No shared courses""),"""")"),"")</f>
        <v/>
      </c>
      <c r="J307" s="94" t="str">
        <f>IFERROR(__xludf.DUMMYFUNCTION("if(H307=""Can't be Together"",iferror(join("", "",unique(filter({unique(filter('Students (Vertical)'!O:O,'Students (Vertical)'!C:C=B307,'Students (Vertical)'!O:O&lt;&gt;"""",'Students (Vertical)'!P:P&gt;1));unique(filter('Students (Vertical)'!O:O,'Students (Vertic"&amp;"al)'!C:C=E307,'Students (Vertical)'!O:O&lt;&gt;"""",'Students (Vertical)'!P:P&gt;1))},countifs({unique(filter('Students (Vertical)'!O:O,'Students (Vertical)'!C:C=B307,'Students (Vertical)'!O:O&lt;&gt;"""",'Students (Vertical)'!P:P&gt;1));unique(filter('Students (Vertical)'"&amp;"!O:O,'Students (Vertical)'!C:C=E307,'Students (Vertical)'!O:O&lt;&gt;"""",'Students (Vertical)'!P:P&gt;1))},{unique(filter('Students (Vertical)'!O:O,'Students (Vertical)'!C:C=B307,'Students (Vertical)'!O:O&lt;&gt;"""",'Students (Vertical)'!P:P&gt;1));unique(filter('Student"&amp;"s (Vertical)'!O:O,'Students (Vertical)'!C:C=E307,'Students (Vertical)'!O:O&lt;&gt;"""",'Students (Vertical)'!P:P&gt;1))})&gt;1))),""""),"""")"),"")</f>
        <v/>
      </c>
      <c r="K307" s="96" t="str">
        <f>IFERROR(__xludf.DUMMYFUNCTION("iferror(join("", "",unique(filter({filter('Students (Vertical)'!D:D,'Students (Vertical)'!C:C=B307,'Students (Vertical)'!D:D&lt;&gt;"""");filter('Students (Vertical)'!D:D,'Students (Vertical)'!C:C=E307,'Students (Vertical)'!D:D&lt;&gt;"""")},countifs({filter('Student"&amp;"s (Vertical)'!D:D,'Students (Vertical)'!C:C=B307,'Students (Vertical)'!D:D&lt;&gt;"""");filter('Students (Vertical)'!D:D,'Students (Vertical)'!C:C=E307,'Students (Vertical)'!D:D&lt;&gt;"""")},{filter('Students (Vertical)'!D:D,'Students (Vertical)'!C:C=B307,'Students "&amp;"(Vertical)'!D:D&lt;&gt;"""");filter('Students (Vertical)'!D:D,'Students (Vertical)'!C:C=E307,'Students (Vertical)'!D:D&lt;&gt;"""")})&gt;1))),"""")"),"")</f>
        <v/>
      </c>
      <c r="L307" s="96"/>
      <c r="M307" s="96"/>
    </row>
    <row r="308" hidden="1">
      <c r="A308" s="8" t="s">
        <v>8</v>
      </c>
      <c r="C308" s="8" t="s">
        <v>8</v>
      </c>
      <c r="D308" s="8" t="s">
        <v>8</v>
      </c>
      <c r="F308" s="8" t="s">
        <v>8</v>
      </c>
      <c r="G308" s="8" t="s">
        <v>8</v>
      </c>
      <c r="I308" s="94" t="str">
        <f>IFERROR(__xludf.DUMMYFUNCTION("if(H308=""Must be Together"",iferror(join("", "",unique(filter({filter('Students (Vertical)'!O:O,'Students (Vertical)'!C:C=B308,'Students (Vertical)'!O:O&lt;&gt;"""");filter('Students (Vertical)'!O:O,'Students (Vertical)'!C:C=E308,'Students (Vertical)'!O:O&lt;&gt;"""&amp;""")},countifs({filter('Students (Vertical)'!O:O,'Students (Vertical)'!C:C=B308,'Students (Vertical)'!O:O&lt;&gt;"""");filter('Students (Vertical)'!O:O,'Students (Vertical)'!C:C=E308,'Students (Vertical)'!O:O&lt;&gt;"""")},{filter('Students (Vertical)'!O:O,'Students ("&amp;"Vertical)'!C:C=B308,'Students (Vertical)'!O:O&lt;&gt;"""");filter('Students (Vertical)'!O:O,'Students (Vertical)'!C:C=E308,'Students (Vertical)'!O:O&lt;&gt;"""")})&gt;1))),""No shared courses""),"""")"),"")</f>
        <v/>
      </c>
      <c r="J308" s="94" t="str">
        <f>IFERROR(__xludf.DUMMYFUNCTION("if(H308=""Can't be Together"",iferror(join("", "",unique(filter({unique(filter('Students (Vertical)'!O:O,'Students (Vertical)'!C:C=B308,'Students (Vertical)'!O:O&lt;&gt;"""",'Students (Vertical)'!P:P&gt;1));unique(filter('Students (Vertical)'!O:O,'Students (Vertic"&amp;"al)'!C:C=E308,'Students (Vertical)'!O:O&lt;&gt;"""",'Students (Vertical)'!P:P&gt;1))},countifs({unique(filter('Students (Vertical)'!O:O,'Students (Vertical)'!C:C=B308,'Students (Vertical)'!O:O&lt;&gt;"""",'Students (Vertical)'!P:P&gt;1));unique(filter('Students (Vertical)'"&amp;"!O:O,'Students (Vertical)'!C:C=E308,'Students (Vertical)'!O:O&lt;&gt;"""",'Students (Vertical)'!P:P&gt;1))},{unique(filter('Students (Vertical)'!O:O,'Students (Vertical)'!C:C=B308,'Students (Vertical)'!O:O&lt;&gt;"""",'Students (Vertical)'!P:P&gt;1));unique(filter('Student"&amp;"s (Vertical)'!O:O,'Students (Vertical)'!C:C=E308,'Students (Vertical)'!O:O&lt;&gt;"""",'Students (Vertical)'!P:P&gt;1))})&gt;1))),""""),"""")"),"")</f>
        <v/>
      </c>
      <c r="K308" s="96" t="str">
        <f>IFERROR(__xludf.DUMMYFUNCTION("iferror(join("", "",unique(filter({filter('Students (Vertical)'!D:D,'Students (Vertical)'!C:C=B308,'Students (Vertical)'!D:D&lt;&gt;"""");filter('Students (Vertical)'!D:D,'Students (Vertical)'!C:C=E308,'Students (Vertical)'!D:D&lt;&gt;"""")},countifs({filter('Student"&amp;"s (Vertical)'!D:D,'Students (Vertical)'!C:C=B308,'Students (Vertical)'!D:D&lt;&gt;"""");filter('Students (Vertical)'!D:D,'Students (Vertical)'!C:C=E308,'Students (Vertical)'!D:D&lt;&gt;"""")},{filter('Students (Vertical)'!D:D,'Students (Vertical)'!C:C=B308,'Students "&amp;"(Vertical)'!D:D&lt;&gt;"""");filter('Students (Vertical)'!D:D,'Students (Vertical)'!C:C=E308,'Students (Vertical)'!D:D&lt;&gt;"""")})&gt;1))),"""")"),"")</f>
        <v/>
      </c>
      <c r="L308" s="96"/>
      <c r="M308" s="96"/>
    </row>
    <row r="309" hidden="1">
      <c r="A309" s="8" t="s">
        <v>8</v>
      </c>
      <c r="C309" s="8" t="s">
        <v>8</v>
      </c>
      <c r="D309" s="8" t="s">
        <v>8</v>
      </c>
      <c r="F309" s="8" t="s">
        <v>8</v>
      </c>
      <c r="G309" s="8" t="s">
        <v>8</v>
      </c>
      <c r="I309" s="94" t="str">
        <f>IFERROR(__xludf.DUMMYFUNCTION("if(H309=""Must be Together"",iferror(join("", "",unique(filter({filter('Students (Vertical)'!O:O,'Students (Vertical)'!C:C=B309,'Students (Vertical)'!O:O&lt;&gt;"""");filter('Students (Vertical)'!O:O,'Students (Vertical)'!C:C=E309,'Students (Vertical)'!O:O&lt;&gt;"""&amp;""")},countifs({filter('Students (Vertical)'!O:O,'Students (Vertical)'!C:C=B309,'Students (Vertical)'!O:O&lt;&gt;"""");filter('Students (Vertical)'!O:O,'Students (Vertical)'!C:C=E309,'Students (Vertical)'!O:O&lt;&gt;"""")},{filter('Students (Vertical)'!O:O,'Students ("&amp;"Vertical)'!C:C=B309,'Students (Vertical)'!O:O&lt;&gt;"""");filter('Students (Vertical)'!O:O,'Students (Vertical)'!C:C=E309,'Students (Vertical)'!O:O&lt;&gt;"""")})&gt;1))),""No shared courses""),"""")"),"")</f>
        <v/>
      </c>
      <c r="J309" s="94" t="str">
        <f>IFERROR(__xludf.DUMMYFUNCTION("if(H309=""Can't be Together"",iferror(join("", "",unique(filter({unique(filter('Students (Vertical)'!O:O,'Students (Vertical)'!C:C=B309,'Students (Vertical)'!O:O&lt;&gt;"""",'Students (Vertical)'!P:P&gt;1));unique(filter('Students (Vertical)'!O:O,'Students (Vertic"&amp;"al)'!C:C=E309,'Students (Vertical)'!O:O&lt;&gt;"""",'Students (Vertical)'!P:P&gt;1))},countifs({unique(filter('Students (Vertical)'!O:O,'Students (Vertical)'!C:C=B309,'Students (Vertical)'!O:O&lt;&gt;"""",'Students (Vertical)'!P:P&gt;1));unique(filter('Students (Vertical)'"&amp;"!O:O,'Students (Vertical)'!C:C=E309,'Students (Vertical)'!O:O&lt;&gt;"""",'Students (Vertical)'!P:P&gt;1))},{unique(filter('Students (Vertical)'!O:O,'Students (Vertical)'!C:C=B309,'Students (Vertical)'!O:O&lt;&gt;"""",'Students (Vertical)'!P:P&gt;1));unique(filter('Student"&amp;"s (Vertical)'!O:O,'Students (Vertical)'!C:C=E309,'Students (Vertical)'!O:O&lt;&gt;"""",'Students (Vertical)'!P:P&gt;1))})&gt;1))),""""),"""")"),"")</f>
        <v/>
      </c>
      <c r="K309" s="96" t="str">
        <f>IFERROR(__xludf.DUMMYFUNCTION("iferror(join("", "",unique(filter({filter('Students (Vertical)'!D:D,'Students (Vertical)'!C:C=B309,'Students (Vertical)'!D:D&lt;&gt;"""");filter('Students (Vertical)'!D:D,'Students (Vertical)'!C:C=E309,'Students (Vertical)'!D:D&lt;&gt;"""")},countifs({filter('Student"&amp;"s (Vertical)'!D:D,'Students (Vertical)'!C:C=B309,'Students (Vertical)'!D:D&lt;&gt;"""");filter('Students (Vertical)'!D:D,'Students (Vertical)'!C:C=E309,'Students (Vertical)'!D:D&lt;&gt;"""")},{filter('Students (Vertical)'!D:D,'Students (Vertical)'!C:C=B309,'Students "&amp;"(Vertical)'!D:D&lt;&gt;"""");filter('Students (Vertical)'!D:D,'Students (Vertical)'!C:C=E309,'Students (Vertical)'!D:D&lt;&gt;"""")})&gt;1))),"""")"),"")</f>
        <v/>
      </c>
      <c r="L309" s="96"/>
      <c r="M309" s="96"/>
    </row>
    <row r="310" hidden="1">
      <c r="A310" s="8" t="s">
        <v>8</v>
      </c>
      <c r="C310" s="8" t="s">
        <v>8</v>
      </c>
      <c r="D310" s="8" t="s">
        <v>8</v>
      </c>
      <c r="F310" s="8" t="s">
        <v>8</v>
      </c>
      <c r="G310" s="8" t="s">
        <v>8</v>
      </c>
      <c r="I310" s="94" t="str">
        <f>IFERROR(__xludf.DUMMYFUNCTION("if(H310=""Must be Together"",iferror(join("", "",unique(filter({filter('Students (Vertical)'!O:O,'Students (Vertical)'!C:C=B310,'Students (Vertical)'!O:O&lt;&gt;"""");filter('Students (Vertical)'!O:O,'Students (Vertical)'!C:C=E310,'Students (Vertical)'!O:O&lt;&gt;"""&amp;""")},countifs({filter('Students (Vertical)'!O:O,'Students (Vertical)'!C:C=B310,'Students (Vertical)'!O:O&lt;&gt;"""");filter('Students (Vertical)'!O:O,'Students (Vertical)'!C:C=E310,'Students (Vertical)'!O:O&lt;&gt;"""")},{filter('Students (Vertical)'!O:O,'Students ("&amp;"Vertical)'!C:C=B310,'Students (Vertical)'!O:O&lt;&gt;"""");filter('Students (Vertical)'!O:O,'Students (Vertical)'!C:C=E310,'Students (Vertical)'!O:O&lt;&gt;"""")})&gt;1))),""No shared courses""),"""")"),"")</f>
        <v/>
      </c>
      <c r="J310" s="94" t="str">
        <f>IFERROR(__xludf.DUMMYFUNCTION("if(H310=""Can't be Together"",iferror(join("", "",unique(filter({unique(filter('Students (Vertical)'!O:O,'Students (Vertical)'!C:C=B310,'Students (Vertical)'!O:O&lt;&gt;"""",'Students (Vertical)'!P:P&gt;1));unique(filter('Students (Vertical)'!O:O,'Students (Vertic"&amp;"al)'!C:C=E310,'Students (Vertical)'!O:O&lt;&gt;"""",'Students (Vertical)'!P:P&gt;1))},countifs({unique(filter('Students (Vertical)'!O:O,'Students (Vertical)'!C:C=B310,'Students (Vertical)'!O:O&lt;&gt;"""",'Students (Vertical)'!P:P&gt;1));unique(filter('Students (Vertical)'"&amp;"!O:O,'Students (Vertical)'!C:C=E310,'Students (Vertical)'!O:O&lt;&gt;"""",'Students (Vertical)'!P:P&gt;1))},{unique(filter('Students (Vertical)'!O:O,'Students (Vertical)'!C:C=B310,'Students (Vertical)'!O:O&lt;&gt;"""",'Students (Vertical)'!P:P&gt;1));unique(filter('Student"&amp;"s (Vertical)'!O:O,'Students (Vertical)'!C:C=E310,'Students (Vertical)'!O:O&lt;&gt;"""",'Students (Vertical)'!P:P&gt;1))})&gt;1))),""""),"""")"),"")</f>
        <v/>
      </c>
      <c r="K310" s="96" t="str">
        <f>IFERROR(__xludf.DUMMYFUNCTION("iferror(join("", "",unique(filter({filter('Students (Vertical)'!D:D,'Students (Vertical)'!C:C=B310,'Students (Vertical)'!D:D&lt;&gt;"""");filter('Students (Vertical)'!D:D,'Students (Vertical)'!C:C=E310,'Students (Vertical)'!D:D&lt;&gt;"""")},countifs({filter('Student"&amp;"s (Vertical)'!D:D,'Students (Vertical)'!C:C=B310,'Students (Vertical)'!D:D&lt;&gt;"""");filter('Students (Vertical)'!D:D,'Students (Vertical)'!C:C=E310,'Students (Vertical)'!D:D&lt;&gt;"""")},{filter('Students (Vertical)'!D:D,'Students (Vertical)'!C:C=B310,'Students "&amp;"(Vertical)'!D:D&lt;&gt;"""");filter('Students (Vertical)'!D:D,'Students (Vertical)'!C:C=E310,'Students (Vertical)'!D:D&lt;&gt;"""")})&gt;1))),"""")"),"")</f>
        <v/>
      </c>
      <c r="L310" s="96"/>
      <c r="M310" s="96"/>
    </row>
    <row r="311" hidden="1">
      <c r="A311" s="8" t="s">
        <v>8</v>
      </c>
      <c r="C311" s="8" t="s">
        <v>8</v>
      </c>
      <c r="D311" s="8" t="s">
        <v>8</v>
      </c>
      <c r="F311" s="8" t="s">
        <v>8</v>
      </c>
      <c r="G311" s="8" t="s">
        <v>8</v>
      </c>
      <c r="I311" s="94" t="str">
        <f>IFERROR(__xludf.DUMMYFUNCTION("if(H311=""Must be Together"",iferror(join("", "",unique(filter({filter('Students (Vertical)'!O:O,'Students (Vertical)'!C:C=B311,'Students (Vertical)'!O:O&lt;&gt;"""");filter('Students (Vertical)'!O:O,'Students (Vertical)'!C:C=E311,'Students (Vertical)'!O:O&lt;&gt;"""&amp;""")},countifs({filter('Students (Vertical)'!O:O,'Students (Vertical)'!C:C=B311,'Students (Vertical)'!O:O&lt;&gt;"""");filter('Students (Vertical)'!O:O,'Students (Vertical)'!C:C=E311,'Students (Vertical)'!O:O&lt;&gt;"""")},{filter('Students (Vertical)'!O:O,'Students ("&amp;"Vertical)'!C:C=B311,'Students (Vertical)'!O:O&lt;&gt;"""");filter('Students (Vertical)'!O:O,'Students (Vertical)'!C:C=E311,'Students (Vertical)'!O:O&lt;&gt;"""")})&gt;1))),""No shared courses""),"""")"),"")</f>
        <v/>
      </c>
      <c r="J311" s="94" t="str">
        <f>IFERROR(__xludf.DUMMYFUNCTION("if(H311=""Can't be Together"",iferror(join("", "",unique(filter({unique(filter('Students (Vertical)'!O:O,'Students (Vertical)'!C:C=B311,'Students (Vertical)'!O:O&lt;&gt;"""",'Students (Vertical)'!P:P&gt;1));unique(filter('Students (Vertical)'!O:O,'Students (Vertic"&amp;"al)'!C:C=E311,'Students (Vertical)'!O:O&lt;&gt;"""",'Students (Vertical)'!P:P&gt;1))},countifs({unique(filter('Students (Vertical)'!O:O,'Students (Vertical)'!C:C=B311,'Students (Vertical)'!O:O&lt;&gt;"""",'Students (Vertical)'!P:P&gt;1));unique(filter('Students (Vertical)'"&amp;"!O:O,'Students (Vertical)'!C:C=E311,'Students (Vertical)'!O:O&lt;&gt;"""",'Students (Vertical)'!P:P&gt;1))},{unique(filter('Students (Vertical)'!O:O,'Students (Vertical)'!C:C=B311,'Students (Vertical)'!O:O&lt;&gt;"""",'Students (Vertical)'!P:P&gt;1));unique(filter('Student"&amp;"s (Vertical)'!O:O,'Students (Vertical)'!C:C=E311,'Students (Vertical)'!O:O&lt;&gt;"""",'Students (Vertical)'!P:P&gt;1))})&gt;1))),""""),"""")"),"")</f>
        <v/>
      </c>
      <c r="K311" s="96" t="str">
        <f>IFERROR(__xludf.DUMMYFUNCTION("iferror(join("", "",unique(filter({filter('Students (Vertical)'!D:D,'Students (Vertical)'!C:C=B311,'Students (Vertical)'!D:D&lt;&gt;"""");filter('Students (Vertical)'!D:D,'Students (Vertical)'!C:C=E311,'Students (Vertical)'!D:D&lt;&gt;"""")},countifs({filter('Student"&amp;"s (Vertical)'!D:D,'Students (Vertical)'!C:C=B311,'Students (Vertical)'!D:D&lt;&gt;"""");filter('Students (Vertical)'!D:D,'Students (Vertical)'!C:C=E311,'Students (Vertical)'!D:D&lt;&gt;"""")},{filter('Students (Vertical)'!D:D,'Students (Vertical)'!C:C=B311,'Students "&amp;"(Vertical)'!D:D&lt;&gt;"""");filter('Students (Vertical)'!D:D,'Students (Vertical)'!C:C=E311,'Students (Vertical)'!D:D&lt;&gt;"""")})&gt;1))),"""")"),"")</f>
        <v/>
      </c>
      <c r="L311" s="96"/>
      <c r="M311" s="96"/>
    </row>
    <row r="312" hidden="1">
      <c r="A312" s="8" t="s">
        <v>8</v>
      </c>
      <c r="C312" s="8" t="s">
        <v>8</v>
      </c>
      <c r="D312" s="8" t="s">
        <v>8</v>
      </c>
      <c r="F312" s="8" t="s">
        <v>8</v>
      </c>
      <c r="G312" s="8" t="s">
        <v>8</v>
      </c>
      <c r="I312" s="94" t="str">
        <f>IFERROR(__xludf.DUMMYFUNCTION("if(H312=""Must be Together"",iferror(join("", "",unique(filter({filter('Students (Vertical)'!O:O,'Students (Vertical)'!C:C=B312,'Students (Vertical)'!O:O&lt;&gt;"""");filter('Students (Vertical)'!O:O,'Students (Vertical)'!C:C=E312,'Students (Vertical)'!O:O&lt;&gt;"""&amp;""")},countifs({filter('Students (Vertical)'!O:O,'Students (Vertical)'!C:C=B312,'Students (Vertical)'!O:O&lt;&gt;"""");filter('Students (Vertical)'!O:O,'Students (Vertical)'!C:C=E312,'Students (Vertical)'!O:O&lt;&gt;"""")},{filter('Students (Vertical)'!O:O,'Students ("&amp;"Vertical)'!C:C=B312,'Students (Vertical)'!O:O&lt;&gt;"""");filter('Students (Vertical)'!O:O,'Students (Vertical)'!C:C=E312,'Students (Vertical)'!O:O&lt;&gt;"""")})&gt;1))),""No shared courses""),"""")"),"")</f>
        <v/>
      </c>
      <c r="J312" s="94" t="str">
        <f>IFERROR(__xludf.DUMMYFUNCTION("if(H312=""Can't be Together"",iferror(join("", "",unique(filter({unique(filter('Students (Vertical)'!O:O,'Students (Vertical)'!C:C=B312,'Students (Vertical)'!O:O&lt;&gt;"""",'Students (Vertical)'!P:P&gt;1));unique(filter('Students (Vertical)'!O:O,'Students (Vertic"&amp;"al)'!C:C=E312,'Students (Vertical)'!O:O&lt;&gt;"""",'Students (Vertical)'!P:P&gt;1))},countifs({unique(filter('Students (Vertical)'!O:O,'Students (Vertical)'!C:C=B312,'Students (Vertical)'!O:O&lt;&gt;"""",'Students (Vertical)'!P:P&gt;1));unique(filter('Students (Vertical)'"&amp;"!O:O,'Students (Vertical)'!C:C=E312,'Students (Vertical)'!O:O&lt;&gt;"""",'Students (Vertical)'!P:P&gt;1))},{unique(filter('Students (Vertical)'!O:O,'Students (Vertical)'!C:C=B312,'Students (Vertical)'!O:O&lt;&gt;"""",'Students (Vertical)'!P:P&gt;1));unique(filter('Student"&amp;"s (Vertical)'!O:O,'Students (Vertical)'!C:C=E312,'Students (Vertical)'!O:O&lt;&gt;"""",'Students (Vertical)'!P:P&gt;1))})&gt;1))),""""),"""")"),"")</f>
        <v/>
      </c>
      <c r="K312" s="96" t="str">
        <f>IFERROR(__xludf.DUMMYFUNCTION("iferror(join("", "",unique(filter({filter('Students (Vertical)'!D:D,'Students (Vertical)'!C:C=B312,'Students (Vertical)'!D:D&lt;&gt;"""");filter('Students (Vertical)'!D:D,'Students (Vertical)'!C:C=E312,'Students (Vertical)'!D:D&lt;&gt;"""")},countifs({filter('Student"&amp;"s (Vertical)'!D:D,'Students (Vertical)'!C:C=B312,'Students (Vertical)'!D:D&lt;&gt;"""");filter('Students (Vertical)'!D:D,'Students (Vertical)'!C:C=E312,'Students (Vertical)'!D:D&lt;&gt;"""")},{filter('Students (Vertical)'!D:D,'Students (Vertical)'!C:C=B312,'Students "&amp;"(Vertical)'!D:D&lt;&gt;"""");filter('Students (Vertical)'!D:D,'Students (Vertical)'!C:C=E312,'Students (Vertical)'!D:D&lt;&gt;"""")})&gt;1))),"""")"),"")</f>
        <v/>
      </c>
      <c r="L312" s="96"/>
      <c r="M312" s="96"/>
    </row>
    <row r="313" hidden="1">
      <c r="A313" s="8" t="s">
        <v>8</v>
      </c>
      <c r="C313" s="8" t="s">
        <v>8</v>
      </c>
      <c r="D313" s="8" t="s">
        <v>8</v>
      </c>
      <c r="F313" s="8" t="s">
        <v>8</v>
      </c>
      <c r="G313" s="8" t="s">
        <v>8</v>
      </c>
      <c r="I313" s="94" t="str">
        <f>IFERROR(__xludf.DUMMYFUNCTION("if(H313=""Must be Together"",iferror(join("", "",unique(filter({filter('Students (Vertical)'!O:O,'Students (Vertical)'!C:C=B313,'Students (Vertical)'!O:O&lt;&gt;"""");filter('Students (Vertical)'!O:O,'Students (Vertical)'!C:C=E313,'Students (Vertical)'!O:O&lt;&gt;"""&amp;""")},countifs({filter('Students (Vertical)'!O:O,'Students (Vertical)'!C:C=B313,'Students (Vertical)'!O:O&lt;&gt;"""");filter('Students (Vertical)'!O:O,'Students (Vertical)'!C:C=E313,'Students (Vertical)'!O:O&lt;&gt;"""")},{filter('Students (Vertical)'!O:O,'Students ("&amp;"Vertical)'!C:C=B313,'Students (Vertical)'!O:O&lt;&gt;"""");filter('Students (Vertical)'!O:O,'Students (Vertical)'!C:C=E313,'Students (Vertical)'!O:O&lt;&gt;"""")})&gt;1))),""No shared courses""),"""")"),"")</f>
        <v/>
      </c>
      <c r="J313" s="94" t="str">
        <f>IFERROR(__xludf.DUMMYFUNCTION("if(H313=""Can't be Together"",iferror(join("", "",unique(filter({unique(filter('Students (Vertical)'!O:O,'Students (Vertical)'!C:C=B313,'Students (Vertical)'!O:O&lt;&gt;"""",'Students (Vertical)'!P:P&gt;1));unique(filter('Students (Vertical)'!O:O,'Students (Vertic"&amp;"al)'!C:C=E313,'Students (Vertical)'!O:O&lt;&gt;"""",'Students (Vertical)'!P:P&gt;1))},countifs({unique(filter('Students (Vertical)'!O:O,'Students (Vertical)'!C:C=B313,'Students (Vertical)'!O:O&lt;&gt;"""",'Students (Vertical)'!P:P&gt;1));unique(filter('Students (Vertical)'"&amp;"!O:O,'Students (Vertical)'!C:C=E313,'Students (Vertical)'!O:O&lt;&gt;"""",'Students (Vertical)'!P:P&gt;1))},{unique(filter('Students (Vertical)'!O:O,'Students (Vertical)'!C:C=B313,'Students (Vertical)'!O:O&lt;&gt;"""",'Students (Vertical)'!P:P&gt;1));unique(filter('Student"&amp;"s (Vertical)'!O:O,'Students (Vertical)'!C:C=E313,'Students (Vertical)'!O:O&lt;&gt;"""",'Students (Vertical)'!P:P&gt;1))})&gt;1))),""""),"""")"),"")</f>
        <v/>
      </c>
      <c r="K313" s="96" t="str">
        <f>IFERROR(__xludf.DUMMYFUNCTION("iferror(join("", "",unique(filter({filter('Students (Vertical)'!D:D,'Students (Vertical)'!C:C=B313,'Students (Vertical)'!D:D&lt;&gt;"""");filter('Students (Vertical)'!D:D,'Students (Vertical)'!C:C=E313,'Students (Vertical)'!D:D&lt;&gt;"""")},countifs({filter('Student"&amp;"s (Vertical)'!D:D,'Students (Vertical)'!C:C=B313,'Students (Vertical)'!D:D&lt;&gt;"""");filter('Students (Vertical)'!D:D,'Students (Vertical)'!C:C=E313,'Students (Vertical)'!D:D&lt;&gt;"""")},{filter('Students (Vertical)'!D:D,'Students (Vertical)'!C:C=B313,'Students "&amp;"(Vertical)'!D:D&lt;&gt;"""");filter('Students (Vertical)'!D:D,'Students (Vertical)'!C:C=E313,'Students (Vertical)'!D:D&lt;&gt;"""")})&gt;1))),"""")"),"")</f>
        <v/>
      </c>
      <c r="L313" s="96"/>
      <c r="M313" s="96"/>
    </row>
    <row r="314" hidden="1">
      <c r="A314" s="8" t="s">
        <v>8</v>
      </c>
      <c r="C314" s="8" t="s">
        <v>8</v>
      </c>
      <c r="D314" s="8" t="s">
        <v>8</v>
      </c>
      <c r="F314" s="8" t="s">
        <v>8</v>
      </c>
      <c r="G314" s="8" t="s">
        <v>8</v>
      </c>
      <c r="I314" s="94" t="str">
        <f>IFERROR(__xludf.DUMMYFUNCTION("if(H314=""Must be Together"",iferror(join("", "",unique(filter({filter('Students (Vertical)'!O:O,'Students (Vertical)'!C:C=B314,'Students (Vertical)'!O:O&lt;&gt;"""");filter('Students (Vertical)'!O:O,'Students (Vertical)'!C:C=E314,'Students (Vertical)'!O:O&lt;&gt;"""&amp;""")},countifs({filter('Students (Vertical)'!O:O,'Students (Vertical)'!C:C=B314,'Students (Vertical)'!O:O&lt;&gt;"""");filter('Students (Vertical)'!O:O,'Students (Vertical)'!C:C=E314,'Students (Vertical)'!O:O&lt;&gt;"""")},{filter('Students (Vertical)'!O:O,'Students ("&amp;"Vertical)'!C:C=B314,'Students (Vertical)'!O:O&lt;&gt;"""");filter('Students (Vertical)'!O:O,'Students (Vertical)'!C:C=E314,'Students (Vertical)'!O:O&lt;&gt;"""")})&gt;1))),""No shared courses""),"""")"),"")</f>
        <v/>
      </c>
      <c r="J314" s="94" t="str">
        <f>IFERROR(__xludf.DUMMYFUNCTION("if(H314=""Can't be Together"",iferror(join("", "",unique(filter({unique(filter('Students (Vertical)'!O:O,'Students (Vertical)'!C:C=B314,'Students (Vertical)'!O:O&lt;&gt;"""",'Students (Vertical)'!P:P&gt;1));unique(filter('Students (Vertical)'!O:O,'Students (Vertic"&amp;"al)'!C:C=E314,'Students (Vertical)'!O:O&lt;&gt;"""",'Students (Vertical)'!P:P&gt;1))},countifs({unique(filter('Students (Vertical)'!O:O,'Students (Vertical)'!C:C=B314,'Students (Vertical)'!O:O&lt;&gt;"""",'Students (Vertical)'!P:P&gt;1));unique(filter('Students (Vertical)'"&amp;"!O:O,'Students (Vertical)'!C:C=E314,'Students (Vertical)'!O:O&lt;&gt;"""",'Students (Vertical)'!P:P&gt;1))},{unique(filter('Students (Vertical)'!O:O,'Students (Vertical)'!C:C=B314,'Students (Vertical)'!O:O&lt;&gt;"""",'Students (Vertical)'!P:P&gt;1));unique(filter('Student"&amp;"s (Vertical)'!O:O,'Students (Vertical)'!C:C=E314,'Students (Vertical)'!O:O&lt;&gt;"""",'Students (Vertical)'!P:P&gt;1))})&gt;1))),""""),"""")"),"")</f>
        <v/>
      </c>
      <c r="K314" s="96" t="str">
        <f>IFERROR(__xludf.DUMMYFUNCTION("iferror(join("", "",unique(filter({filter('Students (Vertical)'!D:D,'Students (Vertical)'!C:C=B314,'Students (Vertical)'!D:D&lt;&gt;"""");filter('Students (Vertical)'!D:D,'Students (Vertical)'!C:C=E314,'Students (Vertical)'!D:D&lt;&gt;"""")},countifs({filter('Student"&amp;"s (Vertical)'!D:D,'Students (Vertical)'!C:C=B314,'Students (Vertical)'!D:D&lt;&gt;"""");filter('Students (Vertical)'!D:D,'Students (Vertical)'!C:C=E314,'Students (Vertical)'!D:D&lt;&gt;"""")},{filter('Students (Vertical)'!D:D,'Students (Vertical)'!C:C=B314,'Students "&amp;"(Vertical)'!D:D&lt;&gt;"""");filter('Students (Vertical)'!D:D,'Students (Vertical)'!C:C=E314,'Students (Vertical)'!D:D&lt;&gt;"""")})&gt;1))),"""")"),"")</f>
        <v/>
      </c>
      <c r="L314" s="96"/>
      <c r="M314" s="96"/>
    </row>
    <row r="315" hidden="1">
      <c r="A315" s="8" t="s">
        <v>8</v>
      </c>
      <c r="C315" s="8" t="s">
        <v>8</v>
      </c>
      <c r="D315" s="8" t="s">
        <v>8</v>
      </c>
      <c r="F315" s="8" t="s">
        <v>8</v>
      </c>
      <c r="G315" s="8" t="s">
        <v>8</v>
      </c>
      <c r="I315" s="94" t="str">
        <f>IFERROR(__xludf.DUMMYFUNCTION("if(H315=""Must be Together"",iferror(join("", "",unique(filter({filter('Students (Vertical)'!O:O,'Students (Vertical)'!C:C=B315,'Students (Vertical)'!O:O&lt;&gt;"""");filter('Students (Vertical)'!O:O,'Students (Vertical)'!C:C=E315,'Students (Vertical)'!O:O&lt;&gt;"""&amp;""")},countifs({filter('Students (Vertical)'!O:O,'Students (Vertical)'!C:C=B315,'Students (Vertical)'!O:O&lt;&gt;"""");filter('Students (Vertical)'!O:O,'Students (Vertical)'!C:C=E315,'Students (Vertical)'!O:O&lt;&gt;"""")},{filter('Students (Vertical)'!O:O,'Students ("&amp;"Vertical)'!C:C=B315,'Students (Vertical)'!O:O&lt;&gt;"""");filter('Students (Vertical)'!O:O,'Students (Vertical)'!C:C=E315,'Students (Vertical)'!O:O&lt;&gt;"""")})&gt;1))),""No shared courses""),"""")"),"")</f>
        <v/>
      </c>
      <c r="J315" s="94" t="str">
        <f>IFERROR(__xludf.DUMMYFUNCTION("if(H315=""Can't be Together"",iferror(join("", "",unique(filter({unique(filter('Students (Vertical)'!O:O,'Students (Vertical)'!C:C=B315,'Students (Vertical)'!O:O&lt;&gt;"""",'Students (Vertical)'!P:P&gt;1));unique(filter('Students (Vertical)'!O:O,'Students (Vertic"&amp;"al)'!C:C=E315,'Students (Vertical)'!O:O&lt;&gt;"""",'Students (Vertical)'!P:P&gt;1))},countifs({unique(filter('Students (Vertical)'!O:O,'Students (Vertical)'!C:C=B315,'Students (Vertical)'!O:O&lt;&gt;"""",'Students (Vertical)'!P:P&gt;1));unique(filter('Students (Vertical)'"&amp;"!O:O,'Students (Vertical)'!C:C=E315,'Students (Vertical)'!O:O&lt;&gt;"""",'Students (Vertical)'!P:P&gt;1))},{unique(filter('Students (Vertical)'!O:O,'Students (Vertical)'!C:C=B315,'Students (Vertical)'!O:O&lt;&gt;"""",'Students (Vertical)'!P:P&gt;1));unique(filter('Student"&amp;"s (Vertical)'!O:O,'Students (Vertical)'!C:C=E315,'Students (Vertical)'!O:O&lt;&gt;"""",'Students (Vertical)'!P:P&gt;1))})&gt;1))),""""),"""")"),"")</f>
        <v/>
      </c>
      <c r="K315" s="96" t="str">
        <f>IFERROR(__xludf.DUMMYFUNCTION("iferror(join("", "",unique(filter({filter('Students (Vertical)'!D:D,'Students (Vertical)'!C:C=B315,'Students (Vertical)'!D:D&lt;&gt;"""");filter('Students (Vertical)'!D:D,'Students (Vertical)'!C:C=E315,'Students (Vertical)'!D:D&lt;&gt;"""")},countifs({filter('Student"&amp;"s (Vertical)'!D:D,'Students (Vertical)'!C:C=B315,'Students (Vertical)'!D:D&lt;&gt;"""");filter('Students (Vertical)'!D:D,'Students (Vertical)'!C:C=E315,'Students (Vertical)'!D:D&lt;&gt;"""")},{filter('Students (Vertical)'!D:D,'Students (Vertical)'!C:C=B315,'Students "&amp;"(Vertical)'!D:D&lt;&gt;"""");filter('Students (Vertical)'!D:D,'Students (Vertical)'!C:C=E315,'Students (Vertical)'!D:D&lt;&gt;"""")})&gt;1))),"""")"),"")</f>
        <v/>
      </c>
      <c r="L315" s="96"/>
      <c r="M315" s="96"/>
    </row>
    <row r="316" hidden="1">
      <c r="A316" s="8" t="s">
        <v>8</v>
      </c>
      <c r="C316" s="8" t="s">
        <v>8</v>
      </c>
      <c r="D316" s="8" t="s">
        <v>8</v>
      </c>
      <c r="F316" s="8" t="s">
        <v>8</v>
      </c>
      <c r="G316" s="8" t="s">
        <v>8</v>
      </c>
      <c r="I316" s="94" t="str">
        <f>IFERROR(__xludf.DUMMYFUNCTION("if(H316=""Must be Together"",iferror(join("", "",unique(filter({filter('Students (Vertical)'!O:O,'Students (Vertical)'!C:C=B316,'Students (Vertical)'!O:O&lt;&gt;"""");filter('Students (Vertical)'!O:O,'Students (Vertical)'!C:C=E316,'Students (Vertical)'!O:O&lt;&gt;"""&amp;""")},countifs({filter('Students (Vertical)'!O:O,'Students (Vertical)'!C:C=B316,'Students (Vertical)'!O:O&lt;&gt;"""");filter('Students (Vertical)'!O:O,'Students (Vertical)'!C:C=E316,'Students (Vertical)'!O:O&lt;&gt;"""")},{filter('Students (Vertical)'!O:O,'Students ("&amp;"Vertical)'!C:C=B316,'Students (Vertical)'!O:O&lt;&gt;"""");filter('Students (Vertical)'!O:O,'Students (Vertical)'!C:C=E316,'Students (Vertical)'!O:O&lt;&gt;"""")})&gt;1))),""No shared courses""),"""")"),"")</f>
        <v/>
      </c>
      <c r="J316" s="94" t="str">
        <f>IFERROR(__xludf.DUMMYFUNCTION("if(H316=""Can't be Together"",iferror(join("", "",unique(filter({unique(filter('Students (Vertical)'!O:O,'Students (Vertical)'!C:C=B316,'Students (Vertical)'!O:O&lt;&gt;"""",'Students (Vertical)'!P:P&gt;1));unique(filter('Students (Vertical)'!O:O,'Students (Vertic"&amp;"al)'!C:C=E316,'Students (Vertical)'!O:O&lt;&gt;"""",'Students (Vertical)'!P:P&gt;1))},countifs({unique(filter('Students (Vertical)'!O:O,'Students (Vertical)'!C:C=B316,'Students (Vertical)'!O:O&lt;&gt;"""",'Students (Vertical)'!P:P&gt;1));unique(filter('Students (Vertical)'"&amp;"!O:O,'Students (Vertical)'!C:C=E316,'Students (Vertical)'!O:O&lt;&gt;"""",'Students (Vertical)'!P:P&gt;1))},{unique(filter('Students (Vertical)'!O:O,'Students (Vertical)'!C:C=B316,'Students (Vertical)'!O:O&lt;&gt;"""",'Students (Vertical)'!P:P&gt;1));unique(filter('Student"&amp;"s (Vertical)'!O:O,'Students (Vertical)'!C:C=E316,'Students (Vertical)'!O:O&lt;&gt;"""",'Students (Vertical)'!P:P&gt;1))})&gt;1))),""""),"""")"),"")</f>
        <v/>
      </c>
      <c r="K316" s="96" t="str">
        <f>IFERROR(__xludf.DUMMYFUNCTION("iferror(join("", "",unique(filter({filter('Students (Vertical)'!D:D,'Students (Vertical)'!C:C=B316,'Students (Vertical)'!D:D&lt;&gt;"""");filter('Students (Vertical)'!D:D,'Students (Vertical)'!C:C=E316,'Students (Vertical)'!D:D&lt;&gt;"""")},countifs({filter('Student"&amp;"s (Vertical)'!D:D,'Students (Vertical)'!C:C=B316,'Students (Vertical)'!D:D&lt;&gt;"""");filter('Students (Vertical)'!D:D,'Students (Vertical)'!C:C=E316,'Students (Vertical)'!D:D&lt;&gt;"""")},{filter('Students (Vertical)'!D:D,'Students (Vertical)'!C:C=B316,'Students "&amp;"(Vertical)'!D:D&lt;&gt;"""");filter('Students (Vertical)'!D:D,'Students (Vertical)'!C:C=E316,'Students (Vertical)'!D:D&lt;&gt;"""")})&gt;1))),"""")"),"")</f>
        <v/>
      </c>
      <c r="L316" s="96"/>
      <c r="M316" s="96"/>
    </row>
    <row r="317" hidden="1">
      <c r="A317" s="8" t="s">
        <v>8</v>
      </c>
      <c r="C317" s="8" t="s">
        <v>8</v>
      </c>
      <c r="D317" s="8" t="s">
        <v>8</v>
      </c>
      <c r="F317" s="8" t="s">
        <v>8</v>
      </c>
      <c r="G317" s="8" t="s">
        <v>8</v>
      </c>
      <c r="I317" s="94" t="str">
        <f>IFERROR(__xludf.DUMMYFUNCTION("if(H317=""Must be Together"",iferror(join("", "",unique(filter({filter('Students (Vertical)'!O:O,'Students (Vertical)'!C:C=B317,'Students (Vertical)'!O:O&lt;&gt;"""");filter('Students (Vertical)'!O:O,'Students (Vertical)'!C:C=E317,'Students (Vertical)'!O:O&lt;&gt;"""&amp;""")},countifs({filter('Students (Vertical)'!O:O,'Students (Vertical)'!C:C=B317,'Students (Vertical)'!O:O&lt;&gt;"""");filter('Students (Vertical)'!O:O,'Students (Vertical)'!C:C=E317,'Students (Vertical)'!O:O&lt;&gt;"""")},{filter('Students (Vertical)'!O:O,'Students ("&amp;"Vertical)'!C:C=B317,'Students (Vertical)'!O:O&lt;&gt;"""");filter('Students (Vertical)'!O:O,'Students (Vertical)'!C:C=E317,'Students (Vertical)'!O:O&lt;&gt;"""")})&gt;1))),""No shared courses""),"""")"),"")</f>
        <v/>
      </c>
      <c r="J317" s="94" t="str">
        <f>IFERROR(__xludf.DUMMYFUNCTION("if(H317=""Can't be Together"",iferror(join("", "",unique(filter({unique(filter('Students (Vertical)'!O:O,'Students (Vertical)'!C:C=B317,'Students (Vertical)'!O:O&lt;&gt;"""",'Students (Vertical)'!P:P&gt;1));unique(filter('Students (Vertical)'!O:O,'Students (Vertic"&amp;"al)'!C:C=E317,'Students (Vertical)'!O:O&lt;&gt;"""",'Students (Vertical)'!P:P&gt;1))},countifs({unique(filter('Students (Vertical)'!O:O,'Students (Vertical)'!C:C=B317,'Students (Vertical)'!O:O&lt;&gt;"""",'Students (Vertical)'!P:P&gt;1));unique(filter('Students (Vertical)'"&amp;"!O:O,'Students (Vertical)'!C:C=E317,'Students (Vertical)'!O:O&lt;&gt;"""",'Students (Vertical)'!P:P&gt;1))},{unique(filter('Students (Vertical)'!O:O,'Students (Vertical)'!C:C=B317,'Students (Vertical)'!O:O&lt;&gt;"""",'Students (Vertical)'!P:P&gt;1));unique(filter('Student"&amp;"s (Vertical)'!O:O,'Students (Vertical)'!C:C=E317,'Students (Vertical)'!O:O&lt;&gt;"""",'Students (Vertical)'!P:P&gt;1))})&gt;1))),""""),"""")"),"")</f>
        <v/>
      </c>
      <c r="K317" s="96" t="str">
        <f>IFERROR(__xludf.DUMMYFUNCTION("iferror(join("", "",unique(filter({filter('Students (Vertical)'!D:D,'Students (Vertical)'!C:C=B317,'Students (Vertical)'!D:D&lt;&gt;"""");filter('Students (Vertical)'!D:D,'Students (Vertical)'!C:C=E317,'Students (Vertical)'!D:D&lt;&gt;"""")},countifs({filter('Student"&amp;"s (Vertical)'!D:D,'Students (Vertical)'!C:C=B317,'Students (Vertical)'!D:D&lt;&gt;"""");filter('Students (Vertical)'!D:D,'Students (Vertical)'!C:C=E317,'Students (Vertical)'!D:D&lt;&gt;"""")},{filter('Students (Vertical)'!D:D,'Students (Vertical)'!C:C=B317,'Students "&amp;"(Vertical)'!D:D&lt;&gt;"""");filter('Students (Vertical)'!D:D,'Students (Vertical)'!C:C=E317,'Students (Vertical)'!D:D&lt;&gt;"""")})&gt;1))),"""")"),"")</f>
        <v/>
      </c>
      <c r="L317" s="96"/>
      <c r="M317" s="96"/>
    </row>
    <row r="318" hidden="1">
      <c r="A318" s="8" t="s">
        <v>8</v>
      </c>
      <c r="C318" s="8" t="s">
        <v>8</v>
      </c>
      <c r="D318" s="8" t="s">
        <v>8</v>
      </c>
      <c r="F318" s="8" t="s">
        <v>8</v>
      </c>
      <c r="G318" s="8" t="s">
        <v>8</v>
      </c>
      <c r="I318" s="94" t="str">
        <f>IFERROR(__xludf.DUMMYFUNCTION("if(H318=""Must be Together"",iferror(join("", "",unique(filter({filter('Students (Vertical)'!O:O,'Students (Vertical)'!C:C=B318,'Students (Vertical)'!O:O&lt;&gt;"""");filter('Students (Vertical)'!O:O,'Students (Vertical)'!C:C=E318,'Students (Vertical)'!O:O&lt;&gt;"""&amp;""")},countifs({filter('Students (Vertical)'!O:O,'Students (Vertical)'!C:C=B318,'Students (Vertical)'!O:O&lt;&gt;"""");filter('Students (Vertical)'!O:O,'Students (Vertical)'!C:C=E318,'Students (Vertical)'!O:O&lt;&gt;"""")},{filter('Students (Vertical)'!O:O,'Students ("&amp;"Vertical)'!C:C=B318,'Students (Vertical)'!O:O&lt;&gt;"""");filter('Students (Vertical)'!O:O,'Students (Vertical)'!C:C=E318,'Students (Vertical)'!O:O&lt;&gt;"""")})&gt;1))),""No shared courses""),"""")"),"")</f>
        <v/>
      </c>
      <c r="J318" s="94" t="str">
        <f>IFERROR(__xludf.DUMMYFUNCTION("if(H318=""Can't be Together"",iferror(join("", "",unique(filter({unique(filter('Students (Vertical)'!O:O,'Students (Vertical)'!C:C=B318,'Students (Vertical)'!O:O&lt;&gt;"""",'Students (Vertical)'!P:P&gt;1));unique(filter('Students (Vertical)'!O:O,'Students (Vertic"&amp;"al)'!C:C=E318,'Students (Vertical)'!O:O&lt;&gt;"""",'Students (Vertical)'!P:P&gt;1))},countifs({unique(filter('Students (Vertical)'!O:O,'Students (Vertical)'!C:C=B318,'Students (Vertical)'!O:O&lt;&gt;"""",'Students (Vertical)'!P:P&gt;1));unique(filter('Students (Vertical)'"&amp;"!O:O,'Students (Vertical)'!C:C=E318,'Students (Vertical)'!O:O&lt;&gt;"""",'Students (Vertical)'!P:P&gt;1))},{unique(filter('Students (Vertical)'!O:O,'Students (Vertical)'!C:C=B318,'Students (Vertical)'!O:O&lt;&gt;"""",'Students (Vertical)'!P:P&gt;1));unique(filter('Student"&amp;"s (Vertical)'!O:O,'Students (Vertical)'!C:C=E318,'Students (Vertical)'!O:O&lt;&gt;"""",'Students (Vertical)'!P:P&gt;1))})&gt;1))),""""),"""")"),"")</f>
        <v/>
      </c>
      <c r="K318" s="96" t="str">
        <f>IFERROR(__xludf.DUMMYFUNCTION("iferror(join("", "",unique(filter({filter('Students (Vertical)'!D:D,'Students (Vertical)'!C:C=B318,'Students (Vertical)'!D:D&lt;&gt;"""");filter('Students (Vertical)'!D:D,'Students (Vertical)'!C:C=E318,'Students (Vertical)'!D:D&lt;&gt;"""")},countifs({filter('Student"&amp;"s (Vertical)'!D:D,'Students (Vertical)'!C:C=B318,'Students (Vertical)'!D:D&lt;&gt;"""");filter('Students (Vertical)'!D:D,'Students (Vertical)'!C:C=E318,'Students (Vertical)'!D:D&lt;&gt;"""")},{filter('Students (Vertical)'!D:D,'Students (Vertical)'!C:C=B318,'Students "&amp;"(Vertical)'!D:D&lt;&gt;"""");filter('Students (Vertical)'!D:D,'Students (Vertical)'!C:C=E318,'Students (Vertical)'!D:D&lt;&gt;"""")})&gt;1))),"""")"),"")</f>
        <v/>
      </c>
      <c r="L318" s="96"/>
      <c r="M318" s="96"/>
    </row>
    <row r="319" hidden="1">
      <c r="A319" s="8" t="s">
        <v>8</v>
      </c>
      <c r="C319" s="8" t="s">
        <v>8</v>
      </c>
      <c r="D319" s="8" t="s">
        <v>8</v>
      </c>
      <c r="F319" s="8" t="s">
        <v>8</v>
      </c>
      <c r="G319" s="8" t="s">
        <v>8</v>
      </c>
      <c r="I319" s="94" t="str">
        <f>IFERROR(__xludf.DUMMYFUNCTION("if(H319=""Must be Together"",iferror(join("", "",unique(filter({filter('Students (Vertical)'!O:O,'Students (Vertical)'!C:C=B319,'Students (Vertical)'!O:O&lt;&gt;"""");filter('Students (Vertical)'!O:O,'Students (Vertical)'!C:C=E319,'Students (Vertical)'!O:O&lt;&gt;"""&amp;""")},countifs({filter('Students (Vertical)'!O:O,'Students (Vertical)'!C:C=B319,'Students (Vertical)'!O:O&lt;&gt;"""");filter('Students (Vertical)'!O:O,'Students (Vertical)'!C:C=E319,'Students (Vertical)'!O:O&lt;&gt;"""")},{filter('Students (Vertical)'!O:O,'Students ("&amp;"Vertical)'!C:C=B319,'Students (Vertical)'!O:O&lt;&gt;"""");filter('Students (Vertical)'!O:O,'Students (Vertical)'!C:C=E319,'Students (Vertical)'!O:O&lt;&gt;"""")})&gt;1))),""No shared courses""),"""")"),"")</f>
        <v/>
      </c>
      <c r="J319" s="94" t="str">
        <f>IFERROR(__xludf.DUMMYFUNCTION("if(H319=""Can't be Together"",iferror(join("", "",unique(filter({unique(filter('Students (Vertical)'!O:O,'Students (Vertical)'!C:C=B319,'Students (Vertical)'!O:O&lt;&gt;"""",'Students (Vertical)'!P:P&gt;1));unique(filter('Students (Vertical)'!O:O,'Students (Vertic"&amp;"al)'!C:C=E319,'Students (Vertical)'!O:O&lt;&gt;"""",'Students (Vertical)'!P:P&gt;1))},countifs({unique(filter('Students (Vertical)'!O:O,'Students (Vertical)'!C:C=B319,'Students (Vertical)'!O:O&lt;&gt;"""",'Students (Vertical)'!P:P&gt;1));unique(filter('Students (Vertical)'"&amp;"!O:O,'Students (Vertical)'!C:C=E319,'Students (Vertical)'!O:O&lt;&gt;"""",'Students (Vertical)'!P:P&gt;1))},{unique(filter('Students (Vertical)'!O:O,'Students (Vertical)'!C:C=B319,'Students (Vertical)'!O:O&lt;&gt;"""",'Students (Vertical)'!P:P&gt;1));unique(filter('Student"&amp;"s (Vertical)'!O:O,'Students (Vertical)'!C:C=E319,'Students (Vertical)'!O:O&lt;&gt;"""",'Students (Vertical)'!P:P&gt;1))})&gt;1))),""""),"""")"),"")</f>
        <v/>
      </c>
      <c r="K319" s="96" t="str">
        <f>IFERROR(__xludf.DUMMYFUNCTION("iferror(join("", "",unique(filter({filter('Students (Vertical)'!D:D,'Students (Vertical)'!C:C=B319,'Students (Vertical)'!D:D&lt;&gt;"""");filter('Students (Vertical)'!D:D,'Students (Vertical)'!C:C=E319,'Students (Vertical)'!D:D&lt;&gt;"""")},countifs({filter('Student"&amp;"s (Vertical)'!D:D,'Students (Vertical)'!C:C=B319,'Students (Vertical)'!D:D&lt;&gt;"""");filter('Students (Vertical)'!D:D,'Students (Vertical)'!C:C=E319,'Students (Vertical)'!D:D&lt;&gt;"""")},{filter('Students (Vertical)'!D:D,'Students (Vertical)'!C:C=B319,'Students "&amp;"(Vertical)'!D:D&lt;&gt;"""");filter('Students (Vertical)'!D:D,'Students (Vertical)'!C:C=E319,'Students (Vertical)'!D:D&lt;&gt;"""")})&gt;1))),"""")"),"")</f>
        <v/>
      </c>
      <c r="L319" s="96"/>
      <c r="M319" s="96"/>
    </row>
    <row r="320" hidden="1">
      <c r="A320" s="8" t="s">
        <v>8</v>
      </c>
      <c r="C320" s="8" t="s">
        <v>8</v>
      </c>
      <c r="D320" s="8" t="s">
        <v>8</v>
      </c>
      <c r="F320" s="8" t="s">
        <v>8</v>
      </c>
      <c r="G320" s="8" t="s">
        <v>8</v>
      </c>
      <c r="I320" s="94" t="str">
        <f>IFERROR(__xludf.DUMMYFUNCTION("if(H320=""Must be Together"",iferror(join("", "",unique(filter({filter('Students (Vertical)'!O:O,'Students (Vertical)'!C:C=B320,'Students (Vertical)'!O:O&lt;&gt;"""");filter('Students (Vertical)'!O:O,'Students (Vertical)'!C:C=E320,'Students (Vertical)'!O:O&lt;&gt;"""&amp;""")},countifs({filter('Students (Vertical)'!O:O,'Students (Vertical)'!C:C=B320,'Students (Vertical)'!O:O&lt;&gt;"""");filter('Students (Vertical)'!O:O,'Students (Vertical)'!C:C=E320,'Students (Vertical)'!O:O&lt;&gt;"""")},{filter('Students (Vertical)'!O:O,'Students ("&amp;"Vertical)'!C:C=B320,'Students (Vertical)'!O:O&lt;&gt;"""");filter('Students (Vertical)'!O:O,'Students (Vertical)'!C:C=E320,'Students (Vertical)'!O:O&lt;&gt;"""")})&gt;1))),""No shared courses""),"""")"),"")</f>
        <v/>
      </c>
      <c r="J320" s="94" t="str">
        <f>IFERROR(__xludf.DUMMYFUNCTION("if(H320=""Can't be Together"",iferror(join("", "",unique(filter({unique(filter('Students (Vertical)'!O:O,'Students (Vertical)'!C:C=B320,'Students (Vertical)'!O:O&lt;&gt;"""",'Students (Vertical)'!P:P&gt;1));unique(filter('Students (Vertical)'!O:O,'Students (Vertic"&amp;"al)'!C:C=E320,'Students (Vertical)'!O:O&lt;&gt;"""",'Students (Vertical)'!P:P&gt;1))},countifs({unique(filter('Students (Vertical)'!O:O,'Students (Vertical)'!C:C=B320,'Students (Vertical)'!O:O&lt;&gt;"""",'Students (Vertical)'!P:P&gt;1));unique(filter('Students (Vertical)'"&amp;"!O:O,'Students (Vertical)'!C:C=E320,'Students (Vertical)'!O:O&lt;&gt;"""",'Students (Vertical)'!P:P&gt;1))},{unique(filter('Students (Vertical)'!O:O,'Students (Vertical)'!C:C=B320,'Students (Vertical)'!O:O&lt;&gt;"""",'Students (Vertical)'!P:P&gt;1));unique(filter('Student"&amp;"s (Vertical)'!O:O,'Students (Vertical)'!C:C=E320,'Students (Vertical)'!O:O&lt;&gt;"""",'Students (Vertical)'!P:P&gt;1))})&gt;1))),""""),"""")"),"")</f>
        <v/>
      </c>
      <c r="K320" s="96" t="str">
        <f>IFERROR(__xludf.DUMMYFUNCTION("iferror(join("", "",unique(filter({filter('Students (Vertical)'!D:D,'Students (Vertical)'!C:C=B320,'Students (Vertical)'!D:D&lt;&gt;"""");filter('Students (Vertical)'!D:D,'Students (Vertical)'!C:C=E320,'Students (Vertical)'!D:D&lt;&gt;"""")},countifs({filter('Student"&amp;"s (Vertical)'!D:D,'Students (Vertical)'!C:C=B320,'Students (Vertical)'!D:D&lt;&gt;"""");filter('Students (Vertical)'!D:D,'Students (Vertical)'!C:C=E320,'Students (Vertical)'!D:D&lt;&gt;"""")},{filter('Students (Vertical)'!D:D,'Students (Vertical)'!C:C=B320,'Students "&amp;"(Vertical)'!D:D&lt;&gt;"""");filter('Students (Vertical)'!D:D,'Students (Vertical)'!C:C=E320,'Students (Vertical)'!D:D&lt;&gt;"""")})&gt;1))),"""")"),"")</f>
        <v/>
      </c>
      <c r="L320" s="96"/>
      <c r="M320" s="96"/>
    </row>
    <row r="321" hidden="1">
      <c r="A321" s="8" t="s">
        <v>8</v>
      </c>
      <c r="C321" s="8" t="s">
        <v>8</v>
      </c>
      <c r="D321" s="8" t="s">
        <v>8</v>
      </c>
      <c r="F321" s="8" t="s">
        <v>8</v>
      </c>
      <c r="G321" s="8" t="s">
        <v>8</v>
      </c>
      <c r="I321" s="94" t="str">
        <f>IFERROR(__xludf.DUMMYFUNCTION("if(H321=""Must be Together"",iferror(join("", "",unique(filter({filter('Students (Vertical)'!O:O,'Students (Vertical)'!C:C=B321,'Students (Vertical)'!O:O&lt;&gt;"""");filter('Students (Vertical)'!O:O,'Students (Vertical)'!C:C=E321,'Students (Vertical)'!O:O&lt;&gt;"""&amp;""")},countifs({filter('Students (Vertical)'!O:O,'Students (Vertical)'!C:C=B321,'Students (Vertical)'!O:O&lt;&gt;"""");filter('Students (Vertical)'!O:O,'Students (Vertical)'!C:C=E321,'Students (Vertical)'!O:O&lt;&gt;"""")},{filter('Students (Vertical)'!O:O,'Students ("&amp;"Vertical)'!C:C=B321,'Students (Vertical)'!O:O&lt;&gt;"""");filter('Students (Vertical)'!O:O,'Students (Vertical)'!C:C=E321,'Students (Vertical)'!O:O&lt;&gt;"""")})&gt;1))),""No shared courses""),"""")"),"")</f>
        <v/>
      </c>
      <c r="J321" s="94" t="str">
        <f>IFERROR(__xludf.DUMMYFUNCTION("if(H321=""Can't be Together"",iferror(join("", "",unique(filter({unique(filter('Students (Vertical)'!O:O,'Students (Vertical)'!C:C=B321,'Students (Vertical)'!O:O&lt;&gt;"""",'Students (Vertical)'!P:P&gt;1));unique(filter('Students (Vertical)'!O:O,'Students (Vertic"&amp;"al)'!C:C=E321,'Students (Vertical)'!O:O&lt;&gt;"""",'Students (Vertical)'!P:P&gt;1))},countifs({unique(filter('Students (Vertical)'!O:O,'Students (Vertical)'!C:C=B321,'Students (Vertical)'!O:O&lt;&gt;"""",'Students (Vertical)'!P:P&gt;1));unique(filter('Students (Vertical)'"&amp;"!O:O,'Students (Vertical)'!C:C=E321,'Students (Vertical)'!O:O&lt;&gt;"""",'Students (Vertical)'!P:P&gt;1))},{unique(filter('Students (Vertical)'!O:O,'Students (Vertical)'!C:C=B321,'Students (Vertical)'!O:O&lt;&gt;"""",'Students (Vertical)'!P:P&gt;1));unique(filter('Student"&amp;"s (Vertical)'!O:O,'Students (Vertical)'!C:C=E321,'Students (Vertical)'!O:O&lt;&gt;"""",'Students (Vertical)'!P:P&gt;1))})&gt;1))),""""),"""")"),"")</f>
        <v/>
      </c>
      <c r="K321" s="96" t="str">
        <f>IFERROR(__xludf.DUMMYFUNCTION("iferror(join("", "",unique(filter({filter('Students (Vertical)'!D:D,'Students (Vertical)'!C:C=B321,'Students (Vertical)'!D:D&lt;&gt;"""");filter('Students (Vertical)'!D:D,'Students (Vertical)'!C:C=E321,'Students (Vertical)'!D:D&lt;&gt;"""")},countifs({filter('Student"&amp;"s (Vertical)'!D:D,'Students (Vertical)'!C:C=B321,'Students (Vertical)'!D:D&lt;&gt;"""");filter('Students (Vertical)'!D:D,'Students (Vertical)'!C:C=E321,'Students (Vertical)'!D:D&lt;&gt;"""")},{filter('Students (Vertical)'!D:D,'Students (Vertical)'!C:C=B321,'Students "&amp;"(Vertical)'!D:D&lt;&gt;"""");filter('Students (Vertical)'!D:D,'Students (Vertical)'!C:C=E321,'Students (Vertical)'!D:D&lt;&gt;"""")})&gt;1))),"""")"),"")</f>
        <v/>
      </c>
      <c r="L321" s="96"/>
      <c r="M321" s="96"/>
    </row>
    <row r="322" hidden="1">
      <c r="A322" s="8" t="s">
        <v>8</v>
      </c>
      <c r="C322" s="8" t="s">
        <v>8</v>
      </c>
      <c r="D322" s="8" t="s">
        <v>8</v>
      </c>
      <c r="F322" s="8" t="s">
        <v>8</v>
      </c>
      <c r="G322" s="8" t="s">
        <v>8</v>
      </c>
      <c r="I322" s="94" t="str">
        <f>IFERROR(__xludf.DUMMYFUNCTION("if(H322=""Must be Together"",iferror(join("", "",unique(filter({filter('Students (Vertical)'!O:O,'Students (Vertical)'!C:C=B322,'Students (Vertical)'!O:O&lt;&gt;"""");filter('Students (Vertical)'!O:O,'Students (Vertical)'!C:C=E322,'Students (Vertical)'!O:O&lt;&gt;"""&amp;""")},countifs({filter('Students (Vertical)'!O:O,'Students (Vertical)'!C:C=B322,'Students (Vertical)'!O:O&lt;&gt;"""");filter('Students (Vertical)'!O:O,'Students (Vertical)'!C:C=E322,'Students (Vertical)'!O:O&lt;&gt;"""")},{filter('Students (Vertical)'!O:O,'Students ("&amp;"Vertical)'!C:C=B322,'Students (Vertical)'!O:O&lt;&gt;"""");filter('Students (Vertical)'!O:O,'Students (Vertical)'!C:C=E322,'Students (Vertical)'!O:O&lt;&gt;"""")})&gt;1))),""No shared courses""),"""")"),"")</f>
        <v/>
      </c>
      <c r="J322" s="94" t="str">
        <f>IFERROR(__xludf.DUMMYFUNCTION("if(H322=""Can't be Together"",iferror(join("", "",unique(filter({unique(filter('Students (Vertical)'!O:O,'Students (Vertical)'!C:C=B322,'Students (Vertical)'!O:O&lt;&gt;"""",'Students (Vertical)'!P:P&gt;1));unique(filter('Students (Vertical)'!O:O,'Students (Vertic"&amp;"al)'!C:C=E322,'Students (Vertical)'!O:O&lt;&gt;"""",'Students (Vertical)'!P:P&gt;1))},countifs({unique(filter('Students (Vertical)'!O:O,'Students (Vertical)'!C:C=B322,'Students (Vertical)'!O:O&lt;&gt;"""",'Students (Vertical)'!P:P&gt;1));unique(filter('Students (Vertical)'"&amp;"!O:O,'Students (Vertical)'!C:C=E322,'Students (Vertical)'!O:O&lt;&gt;"""",'Students (Vertical)'!P:P&gt;1))},{unique(filter('Students (Vertical)'!O:O,'Students (Vertical)'!C:C=B322,'Students (Vertical)'!O:O&lt;&gt;"""",'Students (Vertical)'!P:P&gt;1));unique(filter('Student"&amp;"s (Vertical)'!O:O,'Students (Vertical)'!C:C=E322,'Students (Vertical)'!O:O&lt;&gt;"""",'Students (Vertical)'!P:P&gt;1))})&gt;1))),""""),"""")"),"")</f>
        <v/>
      </c>
      <c r="K322" s="96" t="str">
        <f>IFERROR(__xludf.DUMMYFUNCTION("iferror(join("", "",unique(filter({filter('Students (Vertical)'!D:D,'Students (Vertical)'!C:C=B322,'Students (Vertical)'!D:D&lt;&gt;"""");filter('Students (Vertical)'!D:D,'Students (Vertical)'!C:C=E322,'Students (Vertical)'!D:D&lt;&gt;"""")},countifs({filter('Student"&amp;"s (Vertical)'!D:D,'Students (Vertical)'!C:C=B322,'Students (Vertical)'!D:D&lt;&gt;"""");filter('Students (Vertical)'!D:D,'Students (Vertical)'!C:C=E322,'Students (Vertical)'!D:D&lt;&gt;"""")},{filter('Students (Vertical)'!D:D,'Students (Vertical)'!C:C=B322,'Students "&amp;"(Vertical)'!D:D&lt;&gt;"""");filter('Students (Vertical)'!D:D,'Students (Vertical)'!C:C=E322,'Students (Vertical)'!D:D&lt;&gt;"""")})&gt;1))),"""")"),"")</f>
        <v/>
      </c>
      <c r="L322" s="96"/>
      <c r="M322" s="96"/>
    </row>
    <row r="323" hidden="1">
      <c r="A323" s="8" t="s">
        <v>8</v>
      </c>
      <c r="C323" s="8" t="s">
        <v>8</v>
      </c>
      <c r="D323" s="8" t="s">
        <v>8</v>
      </c>
      <c r="F323" s="8" t="s">
        <v>8</v>
      </c>
      <c r="G323" s="8" t="s">
        <v>8</v>
      </c>
      <c r="I323" s="94" t="str">
        <f>IFERROR(__xludf.DUMMYFUNCTION("if(H323=""Must be Together"",iferror(join("", "",unique(filter({filter('Students (Vertical)'!O:O,'Students (Vertical)'!C:C=B323,'Students (Vertical)'!O:O&lt;&gt;"""");filter('Students (Vertical)'!O:O,'Students (Vertical)'!C:C=E323,'Students (Vertical)'!O:O&lt;&gt;"""&amp;""")},countifs({filter('Students (Vertical)'!O:O,'Students (Vertical)'!C:C=B323,'Students (Vertical)'!O:O&lt;&gt;"""");filter('Students (Vertical)'!O:O,'Students (Vertical)'!C:C=E323,'Students (Vertical)'!O:O&lt;&gt;"""")},{filter('Students (Vertical)'!O:O,'Students ("&amp;"Vertical)'!C:C=B323,'Students (Vertical)'!O:O&lt;&gt;"""");filter('Students (Vertical)'!O:O,'Students (Vertical)'!C:C=E323,'Students (Vertical)'!O:O&lt;&gt;"""")})&gt;1))),""No shared courses""),"""")"),"")</f>
        <v/>
      </c>
      <c r="J323" s="94" t="str">
        <f>IFERROR(__xludf.DUMMYFUNCTION("if(H323=""Can't be Together"",iferror(join("", "",unique(filter({unique(filter('Students (Vertical)'!O:O,'Students (Vertical)'!C:C=B323,'Students (Vertical)'!O:O&lt;&gt;"""",'Students (Vertical)'!P:P&gt;1));unique(filter('Students (Vertical)'!O:O,'Students (Vertic"&amp;"al)'!C:C=E323,'Students (Vertical)'!O:O&lt;&gt;"""",'Students (Vertical)'!P:P&gt;1))},countifs({unique(filter('Students (Vertical)'!O:O,'Students (Vertical)'!C:C=B323,'Students (Vertical)'!O:O&lt;&gt;"""",'Students (Vertical)'!P:P&gt;1));unique(filter('Students (Vertical)'"&amp;"!O:O,'Students (Vertical)'!C:C=E323,'Students (Vertical)'!O:O&lt;&gt;"""",'Students (Vertical)'!P:P&gt;1))},{unique(filter('Students (Vertical)'!O:O,'Students (Vertical)'!C:C=B323,'Students (Vertical)'!O:O&lt;&gt;"""",'Students (Vertical)'!P:P&gt;1));unique(filter('Student"&amp;"s (Vertical)'!O:O,'Students (Vertical)'!C:C=E323,'Students (Vertical)'!O:O&lt;&gt;"""",'Students (Vertical)'!P:P&gt;1))})&gt;1))),""""),"""")"),"")</f>
        <v/>
      </c>
      <c r="K323" s="96" t="str">
        <f>IFERROR(__xludf.DUMMYFUNCTION("iferror(join("", "",unique(filter({filter('Students (Vertical)'!D:D,'Students (Vertical)'!C:C=B323,'Students (Vertical)'!D:D&lt;&gt;"""");filter('Students (Vertical)'!D:D,'Students (Vertical)'!C:C=E323,'Students (Vertical)'!D:D&lt;&gt;"""")},countifs({filter('Student"&amp;"s (Vertical)'!D:D,'Students (Vertical)'!C:C=B323,'Students (Vertical)'!D:D&lt;&gt;"""");filter('Students (Vertical)'!D:D,'Students (Vertical)'!C:C=E323,'Students (Vertical)'!D:D&lt;&gt;"""")},{filter('Students (Vertical)'!D:D,'Students (Vertical)'!C:C=B323,'Students "&amp;"(Vertical)'!D:D&lt;&gt;"""");filter('Students (Vertical)'!D:D,'Students (Vertical)'!C:C=E323,'Students (Vertical)'!D:D&lt;&gt;"""")})&gt;1))),"""")"),"")</f>
        <v/>
      </c>
      <c r="L323" s="96"/>
      <c r="M323" s="96"/>
    </row>
    <row r="324" hidden="1">
      <c r="A324" s="8" t="s">
        <v>8</v>
      </c>
      <c r="C324" s="8" t="s">
        <v>8</v>
      </c>
      <c r="D324" s="8" t="s">
        <v>8</v>
      </c>
      <c r="F324" s="8" t="s">
        <v>8</v>
      </c>
      <c r="G324" s="8" t="s">
        <v>8</v>
      </c>
      <c r="I324" s="94" t="str">
        <f>IFERROR(__xludf.DUMMYFUNCTION("if(H324=""Must be Together"",iferror(join("", "",unique(filter({filter('Students (Vertical)'!O:O,'Students (Vertical)'!C:C=B324,'Students (Vertical)'!O:O&lt;&gt;"""");filter('Students (Vertical)'!O:O,'Students (Vertical)'!C:C=E324,'Students (Vertical)'!O:O&lt;&gt;"""&amp;""")},countifs({filter('Students (Vertical)'!O:O,'Students (Vertical)'!C:C=B324,'Students (Vertical)'!O:O&lt;&gt;"""");filter('Students (Vertical)'!O:O,'Students (Vertical)'!C:C=E324,'Students (Vertical)'!O:O&lt;&gt;"""")},{filter('Students (Vertical)'!O:O,'Students ("&amp;"Vertical)'!C:C=B324,'Students (Vertical)'!O:O&lt;&gt;"""");filter('Students (Vertical)'!O:O,'Students (Vertical)'!C:C=E324,'Students (Vertical)'!O:O&lt;&gt;"""")})&gt;1))),""No shared courses""),"""")"),"")</f>
        <v/>
      </c>
      <c r="J324" s="94" t="str">
        <f>IFERROR(__xludf.DUMMYFUNCTION("if(H324=""Can't be Together"",iferror(join("", "",unique(filter({unique(filter('Students (Vertical)'!O:O,'Students (Vertical)'!C:C=B324,'Students (Vertical)'!O:O&lt;&gt;"""",'Students (Vertical)'!P:P&gt;1));unique(filter('Students (Vertical)'!O:O,'Students (Vertic"&amp;"al)'!C:C=E324,'Students (Vertical)'!O:O&lt;&gt;"""",'Students (Vertical)'!P:P&gt;1))},countifs({unique(filter('Students (Vertical)'!O:O,'Students (Vertical)'!C:C=B324,'Students (Vertical)'!O:O&lt;&gt;"""",'Students (Vertical)'!P:P&gt;1));unique(filter('Students (Vertical)'"&amp;"!O:O,'Students (Vertical)'!C:C=E324,'Students (Vertical)'!O:O&lt;&gt;"""",'Students (Vertical)'!P:P&gt;1))},{unique(filter('Students (Vertical)'!O:O,'Students (Vertical)'!C:C=B324,'Students (Vertical)'!O:O&lt;&gt;"""",'Students (Vertical)'!P:P&gt;1));unique(filter('Student"&amp;"s (Vertical)'!O:O,'Students (Vertical)'!C:C=E324,'Students (Vertical)'!O:O&lt;&gt;"""",'Students (Vertical)'!P:P&gt;1))})&gt;1))),""""),"""")"),"")</f>
        <v/>
      </c>
      <c r="K324" s="96" t="str">
        <f>IFERROR(__xludf.DUMMYFUNCTION("iferror(join("", "",unique(filter({filter('Students (Vertical)'!D:D,'Students (Vertical)'!C:C=B324,'Students (Vertical)'!D:D&lt;&gt;"""");filter('Students (Vertical)'!D:D,'Students (Vertical)'!C:C=E324,'Students (Vertical)'!D:D&lt;&gt;"""")},countifs({filter('Student"&amp;"s (Vertical)'!D:D,'Students (Vertical)'!C:C=B324,'Students (Vertical)'!D:D&lt;&gt;"""");filter('Students (Vertical)'!D:D,'Students (Vertical)'!C:C=E324,'Students (Vertical)'!D:D&lt;&gt;"""")},{filter('Students (Vertical)'!D:D,'Students (Vertical)'!C:C=B324,'Students "&amp;"(Vertical)'!D:D&lt;&gt;"""");filter('Students (Vertical)'!D:D,'Students (Vertical)'!C:C=E324,'Students (Vertical)'!D:D&lt;&gt;"""")})&gt;1))),"""")"),"")</f>
        <v/>
      </c>
      <c r="L324" s="96"/>
      <c r="M324" s="96"/>
    </row>
    <row r="325" hidden="1">
      <c r="A325" s="8" t="s">
        <v>8</v>
      </c>
      <c r="C325" s="8" t="s">
        <v>8</v>
      </c>
      <c r="D325" s="8" t="s">
        <v>8</v>
      </c>
      <c r="F325" s="8" t="s">
        <v>8</v>
      </c>
      <c r="G325" s="8" t="s">
        <v>8</v>
      </c>
      <c r="I325" s="94" t="str">
        <f>IFERROR(__xludf.DUMMYFUNCTION("if(H325=""Must be Together"",iferror(join("", "",unique(filter({filter('Students (Vertical)'!O:O,'Students (Vertical)'!C:C=B325,'Students (Vertical)'!O:O&lt;&gt;"""");filter('Students (Vertical)'!O:O,'Students (Vertical)'!C:C=E325,'Students (Vertical)'!O:O&lt;&gt;"""&amp;""")},countifs({filter('Students (Vertical)'!O:O,'Students (Vertical)'!C:C=B325,'Students (Vertical)'!O:O&lt;&gt;"""");filter('Students (Vertical)'!O:O,'Students (Vertical)'!C:C=E325,'Students (Vertical)'!O:O&lt;&gt;"""")},{filter('Students (Vertical)'!O:O,'Students ("&amp;"Vertical)'!C:C=B325,'Students (Vertical)'!O:O&lt;&gt;"""");filter('Students (Vertical)'!O:O,'Students (Vertical)'!C:C=E325,'Students (Vertical)'!O:O&lt;&gt;"""")})&gt;1))),""No shared courses""),"""")"),"")</f>
        <v/>
      </c>
      <c r="J325" s="94" t="str">
        <f>IFERROR(__xludf.DUMMYFUNCTION("if(H325=""Can't be Together"",iferror(join("", "",unique(filter({unique(filter('Students (Vertical)'!O:O,'Students (Vertical)'!C:C=B325,'Students (Vertical)'!O:O&lt;&gt;"""",'Students (Vertical)'!P:P&gt;1));unique(filter('Students (Vertical)'!O:O,'Students (Vertic"&amp;"al)'!C:C=E325,'Students (Vertical)'!O:O&lt;&gt;"""",'Students (Vertical)'!P:P&gt;1))},countifs({unique(filter('Students (Vertical)'!O:O,'Students (Vertical)'!C:C=B325,'Students (Vertical)'!O:O&lt;&gt;"""",'Students (Vertical)'!P:P&gt;1));unique(filter('Students (Vertical)'"&amp;"!O:O,'Students (Vertical)'!C:C=E325,'Students (Vertical)'!O:O&lt;&gt;"""",'Students (Vertical)'!P:P&gt;1))},{unique(filter('Students (Vertical)'!O:O,'Students (Vertical)'!C:C=B325,'Students (Vertical)'!O:O&lt;&gt;"""",'Students (Vertical)'!P:P&gt;1));unique(filter('Student"&amp;"s (Vertical)'!O:O,'Students (Vertical)'!C:C=E325,'Students (Vertical)'!O:O&lt;&gt;"""",'Students (Vertical)'!P:P&gt;1))})&gt;1))),""""),"""")"),"")</f>
        <v/>
      </c>
      <c r="K325" s="96" t="str">
        <f>IFERROR(__xludf.DUMMYFUNCTION("iferror(join("", "",unique(filter({filter('Students (Vertical)'!D:D,'Students (Vertical)'!C:C=B325,'Students (Vertical)'!D:D&lt;&gt;"""");filter('Students (Vertical)'!D:D,'Students (Vertical)'!C:C=E325,'Students (Vertical)'!D:D&lt;&gt;"""")},countifs({filter('Student"&amp;"s (Vertical)'!D:D,'Students (Vertical)'!C:C=B325,'Students (Vertical)'!D:D&lt;&gt;"""");filter('Students (Vertical)'!D:D,'Students (Vertical)'!C:C=E325,'Students (Vertical)'!D:D&lt;&gt;"""")},{filter('Students (Vertical)'!D:D,'Students (Vertical)'!C:C=B325,'Students "&amp;"(Vertical)'!D:D&lt;&gt;"""");filter('Students (Vertical)'!D:D,'Students (Vertical)'!C:C=E325,'Students (Vertical)'!D:D&lt;&gt;"""")})&gt;1))),"""")"),"")</f>
        <v/>
      </c>
      <c r="L325" s="96"/>
      <c r="M325" s="96"/>
    </row>
    <row r="326" hidden="1">
      <c r="A326" s="8" t="s">
        <v>8</v>
      </c>
      <c r="C326" s="8" t="s">
        <v>8</v>
      </c>
      <c r="D326" s="8" t="s">
        <v>8</v>
      </c>
      <c r="F326" s="8" t="s">
        <v>8</v>
      </c>
      <c r="G326" s="8" t="s">
        <v>8</v>
      </c>
      <c r="I326" s="94" t="str">
        <f>IFERROR(__xludf.DUMMYFUNCTION("if(H326=""Must be Together"",iferror(join("", "",unique(filter({filter('Students (Vertical)'!O:O,'Students (Vertical)'!C:C=B326,'Students (Vertical)'!O:O&lt;&gt;"""");filter('Students (Vertical)'!O:O,'Students (Vertical)'!C:C=E326,'Students (Vertical)'!O:O&lt;&gt;"""&amp;""")},countifs({filter('Students (Vertical)'!O:O,'Students (Vertical)'!C:C=B326,'Students (Vertical)'!O:O&lt;&gt;"""");filter('Students (Vertical)'!O:O,'Students (Vertical)'!C:C=E326,'Students (Vertical)'!O:O&lt;&gt;"""")},{filter('Students (Vertical)'!O:O,'Students ("&amp;"Vertical)'!C:C=B326,'Students (Vertical)'!O:O&lt;&gt;"""");filter('Students (Vertical)'!O:O,'Students (Vertical)'!C:C=E326,'Students (Vertical)'!O:O&lt;&gt;"""")})&gt;1))),""No shared courses""),"""")"),"")</f>
        <v/>
      </c>
      <c r="J326" s="94" t="str">
        <f>IFERROR(__xludf.DUMMYFUNCTION("if(H326=""Can't be Together"",iferror(join("", "",unique(filter({unique(filter('Students (Vertical)'!O:O,'Students (Vertical)'!C:C=B326,'Students (Vertical)'!O:O&lt;&gt;"""",'Students (Vertical)'!P:P&gt;1));unique(filter('Students (Vertical)'!O:O,'Students (Vertic"&amp;"al)'!C:C=E326,'Students (Vertical)'!O:O&lt;&gt;"""",'Students (Vertical)'!P:P&gt;1))},countifs({unique(filter('Students (Vertical)'!O:O,'Students (Vertical)'!C:C=B326,'Students (Vertical)'!O:O&lt;&gt;"""",'Students (Vertical)'!P:P&gt;1));unique(filter('Students (Vertical)'"&amp;"!O:O,'Students (Vertical)'!C:C=E326,'Students (Vertical)'!O:O&lt;&gt;"""",'Students (Vertical)'!P:P&gt;1))},{unique(filter('Students (Vertical)'!O:O,'Students (Vertical)'!C:C=B326,'Students (Vertical)'!O:O&lt;&gt;"""",'Students (Vertical)'!P:P&gt;1));unique(filter('Student"&amp;"s (Vertical)'!O:O,'Students (Vertical)'!C:C=E326,'Students (Vertical)'!O:O&lt;&gt;"""",'Students (Vertical)'!P:P&gt;1))})&gt;1))),""""),"""")"),"")</f>
        <v/>
      </c>
      <c r="K326" s="96" t="str">
        <f>IFERROR(__xludf.DUMMYFUNCTION("iferror(join("", "",unique(filter({filter('Students (Vertical)'!D:D,'Students (Vertical)'!C:C=B326,'Students (Vertical)'!D:D&lt;&gt;"""");filter('Students (Vertical)'!D:D,'Students (Vertical)'!C:C=E326,'Students (Vertical)'!D:D&lt;&gt;"""")},countifs({filter('Student"&amp;"s (Vertical)'!D:D,'Students (Vertical)'!C:C=B326,'Students (Vertical)'!D:D&lt;&gt;"""");filter('Students (Vertical)'!D:D,'Students (Vertical)'!C:C=E326,'Students (Vertical)'!D:D&lt;&gt;"""")},{filter('Students (Vertical)'!D:D,'Students (Vertical)'!C:C=B326,'Students "&amp;"(Vertical)'!D:D&lt;&gt;"""");filter('Students (Vertical)'!D:D,'Students (Vertical)'!C:C=E326,'Students (Vertical)'!D:D&lt;&gt;"""")})&gt;1))),"""")"),"")</f>
        <v/>
      </c>
      <c r="L326" s="96"/>
      <c r="M326" s="96"/>
    </row>
    <row r="327" hidden="1">
      <c r="A327" s="8" t="s">
        <v>8</v>
      </c>
      <c r="C327" s="8" t="s">
        <v>8</v>
      </c>
      <c r="D327" s="8" t="s">
        <v>8</v>
      </c>
      <c r="F327" s="8" t="s">
        <v>8</v>
      </c>
      <c r="G327" s="8" t="s">
        <v>8</v>
      </c>
      <c r="I327" s="94" t="str">
        <f>IFERROR(__xludf.DUMMYFUNCTION("if(H327=""Must be Together"",iferror(join("", "",unique(filter({filter('Students (Vertical)'!O:O,'Students (Vertical)'!C:C=B327,'Students (Vertical)'!O:O&lt;&gt;"""");filter('Students (Vertical)'!O:O,'Students (Vertical)'!C:C=E327,'Students (Vertical)'!O:O&lt;&gt;"""&amp;""")},countifs({filter('Students (Vertical)'!O:O,'Students (Vertical)'!C:C=B327,'Students (Vertical)'!O:O&lt;&gt;"""");filter('Students (Vertical)'!O:O,'Students (Vertical)'!C:C=E327,'Students (Vertical)'!O:O&lt;&gt;"""")},{filter('Students (Vertical)'!O:O,'Students ("&amp;"Vertical)'!C:C=B327,'Students (Vertical)'!O:O&lt;&gt;"""");filter('Students (Vertical)'!O:O,'Students (Vertical)'!C:C=E327,'Students (Vertical)'!O:O&lt;&gt;"""")})&gt;1))),""No shared courses""),"""")"),"")</f>
        <v/>
      </c>
      <c r="J327" s="94" t="str">
        <f>IFERROR(__xludf.DUMMYFUNCTION("if(H327=""Can't be Together"",iferror(join("", "",unique(filter({unique(filter('Students (Vertical)'!O:O,'Students (Vertical)'!C:C=B327,'Students (Vertical)'!O:O&lt;&gt;"""",'Students (Vertical)'!P:P&gt;1));unique(filter('Students (Vertical)'!O:O,'Students (Vertic"&amp;"al)'!C:C=E327,'Students (Vertical)'!O:O&lt;&gt;"""",'Students (Vertical)'!P:P&gt;1))},countifs({unique(filter('Students (Vertical)'!O:O,'Students (Vertical)'!C:C=B327,'Students (Vertical)'!O:O&lt;&gt;"""",'Students (Vertical)'!P:P&gt;1));unique(filter('Students (Vertical)'"&amp;"!O:O,'Students (Vertical)'!C:C=E327,'Students (Vertical)'!O:O&lt;&gt;"""",'Students (Vertical)'!P:P&gt;1))},{unique(filter('Students (Vertical)'!O:O,'Students (Vertical)'!C:C=B327,'Students (Vertical)'!O:O&lt;&gt;"""",'Students (Vertical)'!P:P&gt;1));unique(filter('Student"&amp;"s (Vertical)'!O:O,'Students (Vertical)'!C:C=E327,'Students (Vertical)'!O:O&lt;&gt;"""",'Students (Vertical)'!P:P&gt;1))})&gt;1))),""""),"""")"),"")</f>
        <v/>
      </c>
      <c r="K327" s="96" t="str">
        <f>IFERROR(__xludf.DUMMYFUNCTION("iferror(join("", "",unique(filter({filter('Students (Vertical)'!D:D,'Students (Vertical)'!C:C=B327,'Students (Vertical)'!D:D&lt;&gt;"""");filter('Students (Vertical)'!D:D,'Students (Vertical)'!C:C=E327,'Students (Vertical)'!D:D&lt;&gt;"""")},countifs({filter('Student"&amp;"s (Vertical)'!D:D,'Students (Vertical)'!C:C=B327,'Students (Vertical)'!D:D&lt;&gt;"""");filter('Students (Vertical)'!D:D,'Students (Vertical)'!C:C=E327,'Students (Vertical)'!D:D&lt;&gt;"""")},{filter('Students (Vertical)'!D:D,'Students (Vertical)'!C:C=B327,'Students "&amp;"(Vertical)'!D:D&lt;&gt;"""");filter('Students (Vertical)'!D:D,'Students (Vertical)'!C:C=E327,'Students (Vertical)'!D:D&lt;&gt;"""")})&gt;1))),"""")"),"")</f>
        <v/>
      </c>
      <c r="L327" s="96"/>
      <c r="M327" s="96"/>
    </row>
    <row r="328" hidden="1">
      <c r="A328" s="8" t="s">
        <v>8</v>
      </c>
      <c r="C328" s="8" t="s">
        <v>8</v>
      </c>
      <c r="D328" s="8" t="s">
        <v>8</v>
      </c>
      <c r="F328" s="8" t="s">
        <v>8</v>
      </c>
      <c r="G328" s="8" t="s">
        <v>8</v>
      </c>
      <c r="I328" s="94" t="str">
        <f>IFERROR(__xludf.DUMMYFUNCTION("if(H328=""Must be Together"",iferror(join("", "",unique(filter({filter('Students (Vertical)'!O:O,'Students (Vertical)'!C:C=B328,'Students (Vertical)'!O:O&lt;&gt;"""");filter('Students (Vertical)'!O:O,'Students (Vertical)'!C:C=E328,'Students (Vertical)'!O:O&lt;&gt;"""&amp;""")},countifs({filter('Students (Vertical)'!O:O,'Students (Vertical)'!C:C=B328,'Students (Vertical)'!O:O&lt;&gt;"""");filter('Students (Vertical)'!O:O,'Students (Vertical)'!C:C=E328,'Students (Vertical)'!O:O&lt;&gt;"""")},{filter('Students (Vertical)'!O:O,'Students ("&amp;"Vertical)'!C:C=B328,'Students (Vertical)'!O:O&lt;&gt;"""");filter('Students (Vertical)'!O:O,'Students (Vertical)'!C:C=E328,'Students (Vertical)'!O:O&lt;&gt;"""")})&gt;1))),""No shared courses""),"""")"),"")</f>
        <v/>
      </c>
      <c r="J328" s="94" t="str">
        <f>IFERROR(__xludf.DUMMYFUNCTION("if(H328=""Can't be Together"",iferror(join("", "",unique(filter({unique(filter('Students (Vertical)'!O:O,'Students (Vertical)'!C:C=B328,'Students (Vertical)'!O:O&lt;&gt;"""",'Students (Vertical)'!P:P&gt;1));unique(filter('Students (Vertical)'!O:O,'Students (Vertic"&amp;"al)'!C:C=E328,'Students (Vertical)'!O:O&lt;&gt;"""",'Students (Vertical)'!P:P&gt;1))},countifs({unique(filter('Students (Vertical)'!O:O,'Students (Vertical)'!C:C=B328,'Students (Vertical)'!O:O&lt;&gt;"""",'Students (Vertical)'!P:P&gt;1));unique(filter('Students (Vertical)'"&amp;"!O:O,'Students (Vertical)'!C:C=E328,'Students (Vertical)'!O:O&lt;&gt;"""",'Students (Vertical)'!P:P&gt;1))},{unique(filter('Students (Vertical)'!O:O,'Students (Vertical)'!C:C=B328,'Students (Vertical)'!O:O&lt;&gt;"""",'Students (Vertical)'!P:P&gt;1));unique(filter('Student"&amp;"s (Vertical)'!O:O,'Students (Vertical)'!C:C=E328,'Students (Vertical)'!O:O&lt;&gt;"""",'Students (Vertical)'!P:P&gt;1))})&gt;1))),""""),"""")"),"")</f>
        <v/>
      </c>
      <c r="K328" s="96" t="str">
        <f>IFERROR(__xludf.DUMMYFUNCTION("iferror(join("", "",unique(filter({filter('Students (Vertical)'!D:D,'Students (Vertical)'!C:C=B328,'Students (Vertical)'!D:D&lt;&gt;"""");filter('Students (Vertical)'!D:D,'Students (Vertical)'!C:C=E328,'Students (Vertical)'!D:D&lt;&gt;"""")},countifs({filter('Student"&amp;"s (Vertical)'!D:D,'Students (Vertical)'!C:C=B328,'Students (Vertical)'!D:D&lt;&gt;"""");filter('Students (Vertical)'!D:D,'Students (Vertical)'!C:C=E328,'Students (Vertical)'!D:D&lt;&gt;"""")},{filter('Students (Vertical)'!D:D,'Students (Vertical)'!C:C=B328,'Students "&amp;"(Vertical)'!D:D&lt;&gt;"""");filter('Students (Vertical)'!D:D,'Students (Vertical)'!C:C=E328,'Students (Vertical)'!D:D&lt;&gt;"""")})&gt;1))),"""")"),"")</f>
        <v/>
      </c>
      <c r="L328" s="96"/>
      <c r="M328" s="96"/>
    </row>
    <row r="329" hidden="1">
      <c r="A329" s="8" t="s">
        <v>8</v>
      </c>
      <c r="C329" s="8" t="s">
        <v>8</v>
      </c>
      <c r="D329" s="8" t="s">
        <v>8</v>
      </c>
      <c r="F329" s="8" t="s">
        <v>8</v>
      </c>
      <c r="G329" s="8" t="s">
        <v>8</v>
      </c>
      <c r="I329" s="94" t="str">
        <f>IFERROR(__xludf.DUMMYFUNCTION("if(H329=""Must be Together"",iferror(join("", "",unique(filter({filter('Students (Vertical)'!O:O,'Students (Vertical)'!C:C=B329,'Students (Vertical)'!O:O&lt;&gt;"""");filter('Students (Vertical)'!O:O,'Students (Vertical)'!C:C=E329,'Students (Vertical)'!O:O&lt;&gt;"""&amp;""")},countifs({filter('Students (Vertical)'!O:O,'Students (Vertical)'!C:C=B329,'Students (Vertical)'!O:O&lt;&gt;"""");filter('Students (Vertical)'!O:O,'Students (Vertical)'!C:C=E329,'Students (Vertical)'!O:O&lt;&gt;"""")},{filter('Students (Vertical)'!O:O,'Students ("&amp;"Vertical)'!C:C=B329,'Students (Vertical)'!O:O&lt;&gt;"""");filter('Students (Vertical)'!O:O,'Students (Vertical)'!C:C=E329,'Students (Vertical)'!O:O&lt;&gt;"""")})&gt;1))),""No shared courses""),"""")"),"")</f>
        <v/>
      </c>
      <c r="J329" s="94" t="str">
        <f>IFERROR(__xludf.DUMMYFUNCTION("if(H329=""Can't be Together"",iferror(join("", "",unique(filter({unique(filter('Students (Vertical)'!O:O,'Students (Vertical)'!C:C=B329,'Students (Vertical)'!O:O&lt;&gt;"""",'Students (Vertical)'!P:P&gt;1));unique(filter('Students (Vertical)'!O:O,'Students (Vertic"&amp;"al)'!C:C=E329,'Students (Vertical)'!O:O&lt;&gt;"""",'Students (Vertical)'!P:P&gt;1))},countifs({unique(filter('Students (Vertical)'!O:O,'Students (Vertical)'!C:C=B329,'Students (Vertical)'!O:O&lt;&gt;"""",'Students (Vertical)'!P:P&gt;1));unique(filter('Students (Vertical)'"&amp;"!O:O,'Students (Vertical)'!C:C=E329,'Students (Vertical)'!O:O&lt;&gt;"""",'Students (Vertical)'!P:P&gt;1))},{unique(filter('Students (Vertical)'!O:O,'Students (Vertical)'!C:C=B329,'Students (Vertical)'!O:O&lt;&gt;"""",'Students (Vertical)'!P:P&gt;1));unique(filter('Student"&amp;"s (Vertical)'!O:O,'Students (Vertical)'!C:C=E329,'Students (Vertical)'!O:O&lt;&gt;"""",'Students (Vertical)'!P:P&gt;1))})&gt;1))),""""),"""")"),"")</f>
        <v/>
      </c>
      <c r="K329" s="96" t="str">
        <f>IFERROR(__xludf.DUMMYFUNCTION("iferror(join("", "",unique(filter({filter('Students (Vertical)'!D:D,'Students (Vertical)'!C:C=B329,'Students (Vertical)'!D:D&lt;&gt;"""");filter('Students (Vertical)'!D:D,'Students (Vertical)'!C:C=E329,'Students (Vertical)'!D:D&lt;&gt;"""")},countifs({filter('Student"&amp;"s (Vertical)'!D:D,'Students (Vertical)'!C:C=B329,'Students (Vertical)'!D:D&lt;&gt;"""");filter('Students (Vertical)'!D:D,'Students (Vertical)'!C:C=E329,'Students (Vertical)'!D:D&lt;&gt;"""")},{filter('Students (Vertical)'!D:D,'Students (Vertical)'!C:C=B329,'Students "&amp;"(Vertical)'!D:D&lt;&gt;"""");filter('Students (Vertical)'!D:D,'Students (Vertical)'!C:C=E329,'Students (Vertical)'!D:D&lt;&gt;"""")})&gt;1))),"""")"),"")</f>
        <v/>
      </c>
      <c r="L329" s="96"/>
      <c r="M329" s="96"/>
    </row>
    <row r="330" hidden="1">
      <c r="A330" s="8" t="s">
        <v>8</v>
      </c>
      <c r="C330" s="8" t="s">
        <v>8</v>
      </c>
      <c r="D330" s="8" t="s">
        <v>8</v>
      </c>
      <c r="F330" s="8" t="s">
        <v>8</v>
      </c>
      <c r="G330" s="8" t="s">
        <v>8</v>
      </c>
      <c r="I330" s="94" t="str">
        <f>IFERROR(__xludf.DUMMYFUNCTION("if(H330=""Must be Together"",iferror(join("", "",unique(filter({filter('Students (Vertical)'!O:O,'Students (Vertical)'!C:C=B330,'Students (Vertical)'!O:O&lt;&gt;"""");filter('Students (Vertical)'!O:O,'Students (Vertical)'!C:C=E330,'Students (Vertical)'!O:O&lt;&gt;"""&amp;""")},countifs({filter('Students (Vertical)'!O:O,'Students (Vertical)'!C:C=B330,'Students (Vertical)'!O:O&lt;&gt;"""");filter('Students (Vertical)'!O:O,'Students (Vertical)'!C:C=E330,'Students (Vertical)'!O:O&lt;&gt;"""")},{filter('Students (Vertical)'!O:O,'Students ("&amp;"Vertical)'!C:C=B330,'Students (Vertical)'!O:O&lt;&gt;"""");filter('Students (Vertical)'!O:O,'Students (Vertical)'!C:C=E330,'Students (Vertical)'!O:O&lt;&gt;"""")})&gt;1))),""No shared courses""),"""")"),"")</f>
        <v/>
      </c>
      <c r="J330" s="94" t="str">
        <f>IFERROR(__xludf.DUMMYFUNCTION("if(H330=""Can't be Together"",iferror(join("", "",unique(filter({unique(filter('Students (Vertical)'!O:O,'Students (Vertical)'!C:C=B330,'Students (Vertical)'!O:O&lt;&gt;"""",'Students (Vertical)'!P:P&gt;1));unique(filter('Students (Vertical)'!O:O,'Students (Vertic"&amp;"al)'!C:C=E330,'Students (Vertical)'!O:O&lt;&gt;"""",'Students (Vertical)'!P:P&gt;1))},countifs({unique(filter('Students (Vertical)'!O:O,'Students (Vertical)'!C:C=B330,'Students (Vertical)'!O:O&lt;&gt;"""",'Students (Vertical)'!P:P&gt;1));unique(filter('Students (Vertical)'"&amp;"!O:O,'Students (Vertical)'!C:C=E330,'Students (Vertical)'!O:O&lt;&gt;"""",'Students (Vertical)'!P:P&gt;1))},{unique(filter('Students (Vertical)'!O:O,'Students (Vertical)'!C:C=B330,'Students (Vertical)'!O:O&lt;&gt;"""",'Students (Vertical)'!P:P&gt;1));unique(filter('Student"&amp;"s (Vertical)'!O:O,'Students (Vertical)'!C:C=E330,'Students (Vertical)'!O:O&lt;&gt;"""",'Students (Vertical)'!P:P&gt;1))})&gt;1))),""""),"""")"),"")</f>
        <v/>
      </c>
      <c r="K330" s="96" t="str">
        <f>IFERROR(__xludf.DUMMYFUNCTION("iferror(join("", "",unique(filter({filter('Students (Vertical)'!D:D,'Students (Vertical)'!C:C=B330,'Students (Vertical)'!D:D&lt;&gt;"""");filter('Students (Vertical)'!D:D,'Students (Vertical)'!C:C=E330,'Students (Vertical)'!D:D&lt;&gt;"""")},countifs({filter('Student"&amp;"s (Vertical)'!D:D,'Students (Vertical)'!C:C=B330,'Students (Vertical)'!D:D&lt;&gt;"""");filter('Students (Vertical)'!D:D,'Students (Vertical)'!C:C=E330,'Students (Vertical)'!D:D&lt;&gt;"""")},{filter('Students (Vertical)'!D:D,'Students (Vertical)'!C:C=B330,'Students "&amp;"(Vertical)'!D:D&lt;&gt;"""");filter('Students (Vertical)'!D:D,'Students (Vertical)'!C:C=E330,'Students (Vertical)'!D:D&lt;&gt;"""")})&gt;1))),"""")"),"")</f>
        <v/>
      </c>
      <c r="L330" s="96"/>
      <c r="M330" s="96"/>
    </row>
    <row r="331" hidden="1">
      <c r="A331" s="8" t="s">
        <v>8</v>
      </c>
      <c r="C331" s="8" t="s">
        <v>8</v>
      </c>
      <c r="D331" s="8" t="s">
        <v>8</v>
      </c>
      <c r="F331" s="8" t="s">
        <v>8</v>
      </c>
      <c r="G331" s="8" t="s">
        <v>8</v>
      </c>
      <c r="I331" s="94" t="str">
        <f>IFERROR(__xludf.DUMMYFUNCTION("if(H331=""Must be Together"",iferror(join("", "",unique(filter({filter('Students (Vertical)'!O:O,'Students (Vertical)'!C:C=B331,'Students (Vertical)'!O:O&lt;&gt;"""");filter('Students (Vertical)'!O:O,'Students (Vertical)'!C:C=E331,'Students (Vertical)'!O:O&lt;&gt;"""&amp;""")},countifs({filter('Students (Vertical)'!O:O,'Students (Vertical)'!C:C=B331,'Students (Vertical)'!O:O&lt;&gt;"""");filter('Students (Vertical)'!O:O,'Students (Vertical)'!C:C=E331,'Students (Vertical)'!O:O&lt;&gt;"""")},{filter('Students (Vertical)'!O:O,'Students ("&amp;"Vertical)'!C:C=B331,'Students (Vertical)'!O:O&lt;&gt;"""");filter('Students (Vertical)'!O:O,'Students (Vertical)'!C:C=E331,'Students (Vertical)'!O:O&lt;&gt;"""")})&gt;1))),""No shared courses""),"""")"),"")</f>
        <v/>
      </c>
      <c r="J331" s="94" t="str">
        <f>IFERROR(__xludf.DUMMYFUNCTION("if(H331=""Can't be Together"",iferror(join("", "",unique(filter({unique(filter('Students (Vertical)'!O:O,'Students (Vertical)'!C:C=B331,'Students (Vertical)'!O:O&lt;&gt;"""",'Students (Vertical)'!P:P&gt;1));unique(filter('Students (Vertical)'!O:O,'Students (Vertic"&amp;"al)'!C:C=E331,'Students (Vertical)'!O:O&lt;&gt;"""",'Students (Vertical)'!P:P&gt;1))},countifs({unique(filter('Students (Vertical)'!O:O,'Students (Vertical)'!C:C=B331,'Students (Vertical)'!O:O&lt;&gt;"""",'Students (Vertical)'!P:P&gt;1));unique(filter('Students (Vertical)'"&amp;"!O:O,'Students (Vertical)'!C:C=E331,'Students (Vertical)'!O:O&lt;&gt;"""",'Students (Vertical)'!P:P&gt;1))},{unique(filter('Students (Vertical)'!O:O,'Students (Vertical)'!C:C=B331,'Students (Vertical)'!O:O&lt;&gt;"""",'Students (Vertical)'!P:P&gt;1));unique(filter('Student"&amp;"s (Vertical)'!O:O,'Students (Vertical)'!C:C=E331,'Students (Vertical)'!O:O&lt;&gt;"""",'Students (Vertical)'!P:P&gt;1))})&gt;1))),""""),"""")"),"")</f>
        <v/>
      </c>
      <c r="K331" s="96" t="str">
        <f>IFERROR(__xludf.DUMMYFUNCTION("iferror(join("", "",unique(filter({filter('Students (Vertical)'!D:D,'Students (Vertical)'!C:C=B331,'Students (Vertical)'!D:D&lt;&gt;"""");filter('Students (Vertical)'!D:D,'Students (Vertical)'!C:C=E331,'Students (Vertical)'!D:D&lt;&gt;"""")},countifs({filter('Student"&amp;"s (Vertical)'!D:D,'Students (Vertical)'!C:C=B331,'Students (Vertical)'!D:D&lt;&gt;"""");filter('Students (Vertical)'!D:D,'Students (Vertical)'!C:C=E331,'Students (Vertical)'!D:D&lt;&gt;"""")},{filter('Students (Vertical)'!D:D,'Students (Vertical)'!C:C=B331,'Students "&amp;"(Vertical)'!D:D&lt;&gt;"""");filter('Students (Vertical)'!D:D,'Students (Vertical)'!C:C=E331,'Students (Vertical)'!D:D&lt;&gt;"""")})&gt;1))),"""")"),"")</f>
        <v/>
      </c>
      <c r="L331" s="96"/>
      <c r="M331" s="96"/>
    </row>
    <row r="332" hidden="1">
      <c r="A332" s="8" t="s">
        <v>8</v>
      </c>
      <c r="C332" s="8" t="s">
        <v>8</v>
      </c>
      <c r="D332" s="8" t="s">
        <v>8</v>
      </c>
      <c r="F332" s="8" t="s">
        <v>8</v>
      </c>
      <c r="G332" s="8" t="s">
        <v>8</v>
      </c>
      <c r="I332" s="94" t="str">
        <f>IFERROR(__xludf.DUMMYFUNCTION("if(H332=""Must be Together"",iferror(join("", "",unique(filter({filter('Students (Vertical)'!O:O,'Students (Vertical)'!C:C=B332,'Students (Vertical)'!O:O&lt;&gt;"""");filter('Students (Vertical)'!O:O,'Students (Vertical)'!C:C=E332,'Students (Vertical)'!O:O&lt;&gt;"""&amp;""")},countifs({filter('Students (Vertical)'!O:O,'Students (Vertical)'!C:C=B332,'Students (Vertical)'!O:O&lt;&gt;"""");filter('Students (Vertical)'!O:O,'Students (Vertical)'!C:C=E332,'Students (Vertical)'!O:O&lt;&gt;"""")},{filter('Students (Vertical)'!O:O,'Students ("&amp;"Vertical)'!C:C=B332,'Students (Vertical)'!O:O&lt;&gt;"""");filter('Students (Vertical)'!O:O,'Students (Vertical)'!C:C=E332,'Students (Vertical)'!O:O&lt;&gt;"""")})&gt;1))),""No shared courses""),"""")"),"")</f>
        <v/>
      </c>
      <c r="J332" s="94" t="str">
        <f>IFERROR(__xludf.DUMMYFUNCTION("if(H332=""Can't be Together"",iferror(join("", "",unique(filter({unique(filter('Students (Vertical)'!O:O,'Students (Vertical)'!C:C=B332,'Students (Vertical)'!O:O&lt;&gt;"""",'Students (Vertical)'!P:P&gt;1));unique(filter('Students (Vertical)'!O:O,'Students (Vertic"&amp;"al)'!C:C=E332,'Students (Vertical)'!O:O&lt;&gt;"""",'Students (Vertical)'!P:P&gt;1))},countifs({unique(filter('Students (Vertical)'!O:O,'Students (Vertical)'!C:C=B332,'Students (Vertical)'!O:O&lt;&gt;"""",'Students (Vertical)'!P:P&gt;1));unique(filter('Students (Vertical)'"&amp;"!O:O,'Students (Vertical)'!C:C=E332,'Students (Vertical)'!O:O&lt;&gt;"""",'Students (Vertical)'!P:P&gt;1))},{unique(filter('Students (Vertical)'!O:O,'Students (Vertical)'!C:C=B332,'Students (Vertical)'!O:O&lt;&gt;"""",'Students (Vertical)'!P:P&gt;1));unique(filter('Student"&amp;"s (Vertical)'!O:O,'Students (Vertical)'!C:C=E332,'Students (Vertical)'!O:O&lt;&gt;"""",'Students (Vertical)'!P:P&gt;1))})&gt;1))),""""),"""")"),"")</f>
        <v/>
      </c>
      <c r="K332" s="96" t="str">
        <f>IFERROR(__xludf.DUMMYFUNCTION("iferror(join("", "",unique(filter({filter('Students (Vertical)'!D:D,'Students (Vertical)'!C:C=B332,'Students (Vertical)'!D:D&lt;&gt;"""");filter('Students (Vertical)'!D:D,'Students (Vertical)'!C:C=E332,'Students (Vertical)'!D:D&lt;&gt;"""")},countifs({filter('Student"&amp;"s (Vertical)'!D:D,'Students (Vertical)'!C:C=B332,'Students (Vertical)'!D:D&lt;&gt;"""");filter('Students (Vertical)'!D:D,'Students (Vertical)'!C:C=E332,'Students (Vertical)'!D:D&lt;&gt;"""")},{filter('Students (Vertical)'!D:D,'Students (Vertical)'!C:C=B332,'Students "&amp;"(Vertical)'!D:D&lt;&gt;"""");filter('Students (Vertical)'!D:D,'Students (Vertical)'!C:C=E332,'Students (Vertical)'!D:D&lt;&gt;"""")})&gt;1))),"""")"),"")</f>
        <v/>
      </c>
      <c r="L332" s="96"/>
      <c r="M332" s="96"/>
    </row>
    <row r="333" hidden="1">
      <c r="A333" s="8" t="s">
        <v>8</v>
      </c>
      <c r="C333" s="8" t="s">
        <v>8</v>
      </c>
      <c r="D333" s="8" t="s">
        <v>8</v>
      </c>
      <c r="F333" s="8" t="s">
        <v>8</v>
      </c>
      <c r="G333" s="8" t="s">
        <v>8</v>
      </c>
      <c r="I333" s="94" t="str">
        <f>IFERROR(__xludf.DUMMYFUNCTION("if(H333=""Must be Together"",iferror(join("", "",unique(filter({filter('Students (Vertical)'!O:O,'Students (Vertical)'!C:C=B333,'Students (Vertical)'!O:O&lt;&gt;"""");filter('Students (Vertical)'!O:O,'Students (Vertical)'!C:C=E333,'Students (Vertical)'!O:O&lt;&gt;"""&amp;""")},countifs({filter('Students (Vertical)'!O:O,'Students (Vertical)'!C:C=B333,'Students (Vertical)'!O:O&lt;&gt;"""");filter('Students (Vertical)'!O:O,'Students (Vertical)'!C:C=E333,'Students (Vertical)'!O:O&lt;&gt;"""")},{filter('Students (Vertical)'!O:O,'Students ("&amp;"Vertical)'!C:C=B333,'Students (Vertical)'!O:O&lt;&gt;"""");filter('Students (Vertical)'!O:O,'Students (Vertical)'!C:C=E333,'Students (Vertical)'!O:O&lt;&gt;"""")})&gt;1))),""No shared courses""),"""")"),"")</f>
        <v/>
      </c>
      <c r="J333" s="94" t="str">
        <f>IFERROR(__xludf.DUMMYFUNCTION("if(H333=""Can't be Together"",iferror(join("", "",unique(filter({unique(filter('Students (Vertical)'!O:O,'Students (Vertical)'!C:C=B333,'Students (Vertical)'!O:O&lt;&gt;"""",'Students (Vertical)'!P:P&gt;1));unique(filter('Students (Vertical)'!O:O,'Students (Vertic"&amp;"al)'!C:C=E333,'Students (Vertical)'!O:O&lt;&gt;"""",'Students (Vertical)'!P:P&gt;1))},countifs({unique(filter('Students (Vertical)'!O:O,'Students (Vertical)'!C:C=B333,'Students (Vertical)'!O:O&lt;&gt;"""",'Students (Vertical)'!P:P&gt;1));unique(filter('Students (Vertical)'"&amp;"!O:O,'Students (Vertical)'!C:C=E333,'Students (Vertical)'!O:O&lt;&gt;"""",'Students (Vertical)'!P:P&gt;1))},{unique(filter('Students (Vertical)'!O:O,'Students (Vertical)'!C:C=B333,'Students (Vertical)'!O:O&lt;&gt;"""",'Students (Vertical)'!P:P&gt;1));unique(filter('Student"&amp;"s (Vertical)'!O:O,'Students (Vertical)'!C:C=E333,'Students (Vertical)'!O:O&lt;&gt;"""",'Students (Vertical)'!P:P&gt;1))})&gt;1))),""""),"""")"),"")</f>
        <v/>
      </c>
      <c r="K333" s="96" t="str">
        <f>IFERROR(__xludf.DUMMYFUNCTION("iferror(join("", "",unique(filter({filter('Students (Vertical)'!D:D,'Students (Vertical)'!C:C=B333,'Students (Vertical)'!D:D&lt;&gt;"""");filter('Students (Vertical)'!D:D,'Students (Vertical)'!C:C=E333,'Students (Vertical)'!D:D&lt;&gt;"""")},countifs({filter('Student"&amp;"s (Vertical)'!D:D,'Students (Vertical)'!C:C=B333,'Students (Vertical)'!D:D&lt;&gt;"""");filter('Students (Vertical)'!D:D,'Students (Vertical)'!C:C=E333,'Students (Vertical)'!D:D&lt;&gt;"""")},{filter('Students (Vertical)'!D:D,'Students (Vertical)'!C:C=B333,'Students "&amp;"(Vertical)'!D:D&lt;&gt;"""");filter('Students (Vertical)'!D:D,'Students (Vertical)'!C:C=E333,'Students (Vertical)'!D:D&lt;&gt;"""")})&gt;1))),"""")"),"")</f>
        <v/>
      </c>
      <c r="L333" s="96"/>
      <c r="M333" s="96"/>
    </row>
    <row r="334" hidden="1">
      <c r="A334" s="8" t="s">
        <v>8</v>
      </c>
      <c r="C334" s="8" t="s">
        <v>8</v>
      </c>
      <c r="D334" s="8" t="s">
        <v>8</v>
      </c>
      <c r="F334" s="8" t="s">
        <v>8</v>
      </c>
      <c r="G334" s="8" t="s">
        <v>8</v>
      </c>
      <c r="I334" s="94" t="str">
        <f>IFERROR(__xludf.DUMMYFUNCTION("if(H334=""Must be Together"",iferror(join("", "",unique(filter({filter('Students (Vertical)'!O:O,'Students (Vertical)'!C:C=B334,'Students (Vertical)'!O:O&lt;&gt;"""");filter('Students (Vertical)'!O:O,'Students (Vertical)'!C:C=E334,'Students (Vertical)'!O:O&lt;&gt;"""&amp;""")},countifs({filter('Students (Vertical)'!O:O,'Students (Vertical)'!C:C=B334,'Students (Vertical)'!O:O&lt;&gt;"""");filter('Students (Vertical)'!O:O,'Students (Vertical)'!C:C=E334,'Students (Vertical)'!O:O&lt;&gt;"""")},{filter('Students (Vertical)'!O:O,'Students ("&amp;"Vertical)'!C:C=B334,'Students (Vertical)'!O:O&lt;&gt;"""");filter('Students (Vertical)'!O:O,'Students (Vertical)'!C:C=E334,'Students (Vertical)'!O:O&lt;&gt;"""")})&gt;1))),""No shared courses""),"""")"),"")</f>
        <v/>
      </c>
      <c r="J334" s="94" t="str">
        <f>IFERROR(__xludf.DUMMYFUNCTION("if(H334=""Can't be Together"",iferror(join("", "",unique(filter({unique(filter('Students (Vertical)'!O:O,'Students (Vertical)'!C:C=B334,'Students (Vertical)'!O:O&lt;&gt;"""",'Students (Vertical)'!P:P&gt;1));unique(filter('Students (Vertical)'!O:O,'Students (Vertic"&amp;"al)'!C:C=E334,'Students (Vertical)'!O:O&lt;&gt;"""",'Students (Vertical)'!P:P&gt;1))},countifs({unique(filter('Students (Vertical)'!O:O,'Students (Vertical)'!C:C=B334,'Students (Vertical)'!O:O&lt;&gt;"""",'Students (Vertical)'!P:P&gt;1));unique(filter('Students (Vertical)'"&amp;"!O:O,'Students (Vertical)'!C:C=E334,'Students (Vertical)'!O:O&lt;&gt;"""",'Students (Vertical)'!P:P&gt;1))},{unique(filter('Students (Vertical)'!O:O,'Students (Vertical)'!C:C=B334,'Students (Vertical)'!O:O&lt;&gt;"""",'Students (Vertical)'!P:P&gt;1));unique(filter('Student"&amp;"s (Vertical)'!O:O,'Students (Vertical)'!C:C=E334,'Students (Vertical)'!O:O&lt;&gt;"""",'Students (Vertical)'!P:P&gt;1))})&gt;1))),""""),"""")"),"")</f>
        <v/>
      </c>
      <c r="K334" s="96" t="str">
        <f>IFERROR(__xludf.DUMMYFUNCTION("iferror(join("", "",unique(filter({filter('Students (Vertical)'!D:D,'Students (Vertical)'!C:C=B334,'Students (Vertical)'!D:D&lt;&gt;"""");filter('Students (Vertical)'!D:D,'Students (Vertical)'!C:C=E334,'Students (Vertical)'!D:D&lt;&gt;"""")},countifs({filter('Student"&amp;"s (Vertical)'!D:D,'Students (Vertical)'!C:C=B334,'Students (Vertical)'!D:D&lt;&gt;"""");filter('Students (Vertical)'!D:D,'Students (Vertical)'!C:C=E334,'Students (Vertical)'!D:D&lt;&gt;"""")},{filter('Students (Vertical)'!D:D,'Students (Vertical)'!C:C=B334,'Students "&amp;"(Vertical)'!D:D&lt;&gt;"""");filter('Students (Vertical)'!D:D,'Students (Vertical)'!C:C=E334,'Students (Vertical)'!D:D&lt;&gt;"""")})&gt;1))),"""")"),"")</f>
        <v/>
      </c>
      <c r="L334" s="96"/>
      <c r="M334" s="96"/>
    </row>
    <row r="335" hidden="1">
      <c r="A335" s="8" t="s">
        <v>8</v>
      </c>
      <c r="C335" s="8" t="s">
        <v>8</v>
      </c>
      <c r="D335" s="8" t="s">
        <v>8</v>
      </c>
      <c r="F335" s="8" t="s">
        <v>8</v>
      </c>
      <c r="G335" s="8" t="s">
        <v>8</v>
      </c>
      <c r="I335" s="94" t="str">
        <f>IFERROR(__xludf.DUMMYFUNCTION("if(H335=""Must be Together"",iferror(join("", "",unique(filter({filter('Students (Vertical)'!O:O,'Students (Vertical)'!C:C=B335,'Students (Vertical)'!O:O&lt;&gt;"""");filter('Students (Vertical)'!O:O,'Students (Vertical)'!C:C=E335,'Students (Vertical)'!O:O&lt;&gt;"""&amp;""")},countifs({filter('Students (Vertical)'!O:O,'Students (Vertical)'!C:C=B335,'Students (Vertical)'!O:O&lt;&gt;"""");filter('Students (Vertical)'!O:O,'Students (Vertical)'!C:C=E335,'Students (Vertical)'!O:O&lt;&gt;"""")},{filter('Students (Vertical)'!O:O,'Students ("&amp;"Vertical)'!C:C=B335,'Students (Vertical)'!O:O&lt;&gt;"""");filter('Students (Vertical)'!O:O,'Students (Vertical)'!C:C=E335,'Students (Vertical)'!O:O&lt;&gt;"""")})&gt;1))),""No shared courses""),"""")"),"")</f>
        <v/>
      </c>
      <c r="J335" s="94" t="str">
        <f>IFERROR(__xludf.DUMMYFUNCTION("if(H335=""Can't be Together"",iferror(join("", "",unique(filter({unique(filter('Students (Vertical)'!O:O,'Students (Vertical)'!C:C=B335,'Students (Vertical)'!O:O&lt;&gt;"""",'Students (Vertical)'!P:P&gt;1));unique(filter('Students (Vertical)'!O:O,'Students (Vertic"&amp;"al)'!C:C=E335,'Students (Vertical)'!O:O&lt;&gt;"""",'Students (Vertical)'!P:P&gt;1))},countifs({unique(filter('Students (Vertical)'!O:O,'Students (Vertical)'!C:C=B335,'Students (Vertical)'!O:O&lt;&gt;"""",'Students (Vertical)'!P:P&gt;1));unique(filter('Students (Vertical)'"&amp;"!O:O,'Students (Vertical)'!C:C=E335,'Students (Vertical)'!O:O&lt;&gt;"""",'Students (Vertical)'!P:P&gt;1))},{unique(filter('Students (Vertical)'!O:O,'Students (Vertical)'!C:C=B335,'Students (Vertical)'!O:O&lt;&gt;"""",'Students (Vertical)'!P:P&gt;1));unique(filter('Student"&amp;"s (Vertical)'!O:O,'Students (Vertical)'!C:C=E335,'Students (Vertical)'!O:O&lt;&gt;"""",'Students (Vertical)'!P:P&gt;1))})&gt;1))),""""),"""")"),"")</f>
        <v/>
      </c>
      <c r="K335" s="96" t="str">
        <f>IFERROR(__xludf.DUMMYFUNCTION("iferror(join("", "",unique(filter({filter('Students (Vertical)'!D:D,'Students (Vertical)'!C:C=B335,'Students (Vertical)'!D:D&lt;&gt;"""");filter('Students (Vertical)'!D:D,'Students (Vertical)'!C:C=E335,'Students (Vertical)'!D:D&lt;&gt;"""")},countifs({filter('Student"&amp;"s (Vertical)'!D:D,'Students (Vertical)'!C:C=B335,'Students (Vertical)'!D:D&lt;&gt;"""");filter('Students (Vertical)'!D:D,'Students (Vertical)'!C:C=E335,'Students (Vertical)'!D:D&lt;&gt;"""")},{filter('Students (Vertical)'!D:D,'Students (Vertical)'!C:C=B335,'Students "&amp;"(Vertical)'!D:D&lt;&gt;"""");filter('Students (Vertical)'!D:D,'Students (Vertical)'!C:C=E335,'Students (Vertical)'!D:D&lt;&gt;"""")})&gt;1))),"""")"),"")</f>
        <v/>
      </c>
      <c r="L335" s="96"/>
      <c r="M335" s="96"/>
    </row>
    <row r="336" hidden="1">
      <c r="A336" s="8" t="s">
        <v>8</v>
      </c>
      <c r="C336" s="8" t="s">
        <v>8</v>
      </c>
      <c r="D336" s="8" t="s">
        <v>8</v>
      </c>
      <c r="F336" s="8" t="s">
        <v>8</v>
      </c>
      <c r="G336" s="8" t="s">
        <v>8</v>
      </c>
      <c r="I336" s="94" t="str">
        <f>IFERROR(__xludf.DUMMYFUNCTION("if(H336=""Must be Together"",iferror(join("", "",unique(filter({filter('Students (Vertical)'!O:O,'Students (Vertical)'!C:C=B336,'Students (Vertical)'!O:O&lt;&gt;"""");filter('Students (Vertical)'!O:O,'Students (Vertical)'!C:C=E336,'Students (Vertical)'!O:O&lt;&gt;"""&amp;""")},countifs({filter('Students (Vertical)'!O:O,'Students (Vertical)'!C:C=B336,'Students (Vertical)'!O:O&lt;&gt;"""");filter('Students (Vertical)'!O:O,'Students (Vertical)'!C:C=E336,'Students (Vertical)'!O:O&lt;&gt;"""")},{filter('Students (Vertical)'!O:O,'Students ("&amp;"Vertical)'!C:C=B336,'Students (Vertical)'!O:O&lt;&gt;"""");filter('Students (Vertical)'!O:O,'Students (Vertical)'!C:C=E336,'Students (Vertical)'!O:O&lt;&gt;"""")})&gt;1))),""No shared courses""),"""")"),"")</f>
        <v/>
      </c>
      <c r="J336" s="94" t="str">
        <f>IFERROR(__xludf.DUMMYFUNCTION("if(H336=""Can't be Together"",iferror(join("", "",unique(filter({unique(filter('Students (Vertical)'!O:O,'Students (Vertical)'!C:C=B336,'Students (Vertical)'!O:O&lt;&gt;"""",'Students (Vertical)'!P:P&gt;1));unique(filter('Students (Vertical)'!O:O,'Students (Vertic"&amp;"al)'!C:C=E336,'Students (Vertical)'!O:O&lt;&gt;"""",'Students (Vertical)'!P:P&gt;1))},countifs({unique(filter('Students (Vertical)'!O:O,'Students (Vertical)'!C:C=B336,'Students (Vertical)'!O:O&lt;&gt;"""",'Students (Vertical)'!P:P&gt;1));unique(filter('Students (Vertical)'"&amp;"!O:O,'Students (Vertical)'!C:C=E336,'Students (Vertical)'!O:O&lt;&gt;"""",'Students (Vertical)'!P:P&gt;1))},{unique(filter('Students (Vertical)'!O:O,'Students (Vertical)'!C:C=B336,'Students (Vertical)'!O:O&lt;&gt;"""",'Students (Vertical)'!P:P&gt;1));unique(filter('Student"&amp;"s (Vertical)'!O:O,'Students (Vertical)'!C:C=E336,'Students (Vertical)'!O:O&lt;&gt;"""",'Students (Vertical)'!P:P&gt;1))})&gt;1))),""""),"""")"),"")</f>
        <v/>
      </c>
      <c r="K336" s="96" t="str">
        <f>IFERROR(__xludf.DUMMYFUNCTION("iferror(join("", "",unique(filter({filter('Students (Vertical)'!D:D,'Students (Vertical)'!C:C=B336,'Students (Vertical)'!D:D&lt;&gt;"""");filter('Students (Vertical)'!D:D,'Students (Vertical)'!C:C=E336,'Students (Vertical)'!D:D&lt;&gt;"""")},countifs({filter('Student"&amp;"s (Vertical)'!D:D,'Students (Vertical)'!C:C=B336,'Students (Vertical)'!D:D&lt;&gt;"""");filter('Students (Vertical)'!D:D,'Students (Vertical)'!C:C=E336,'Students (Vertical)'!D:D&lt;&gt;"""")},{filter('Students (Vertical)'!D:D,'Students (Vertical)'!C:C=B336,'Students "&amp;"(Vertical)'!D:D&lt;&gt;"""");filter('Students (Vertical)'!D:D,'Students (Vertical)'!C:C=E336,'Students (Vertical)'!D:D&lt;&gt;"""")})&gt;1))),"""")"),"")</f>
        <v/>
      </c>
      <c r="L336" s="96"/>
      <c r="M336" s="96"/>
    </row>
    <row r="337" hidden="1">
      <c r="A337" s="8" t="s">
        <v>8</v>
      </c>
      <c r="C337" s="8" t="s">
        <v>8</v>
      </c>
      <c r="D337" s="8" t="s">
        <v>8</v>
      </c>
      <c r="F337" s="8" t="s">
        <v>8</v>
      </c>
      <c r="G337" s="8" t="s">
        <v>8</v>
      </c>
      <c r="I337" s="94" t="str">
        <f>IFERROR(__xludf.DUMMYFUNCTION("if(H337=""Must be Together"",iferror(join("", "",unique(filter({filter('Students (Vertical)'!O:O,'Students (Vertical)'!C:C=B337,'Students (Vertical)'!O:O&lt;&gt;"""");filter('Students (Vertical)'!O:O,'Students (Vertical)'!C:C=E337,'Students (Vertical)'!O:O&lt;&gt;"""&amp;""")},countifs({filter('Students (Vertical)'!O:O,'Students (Vertical)'!C:C=B337,'Students (Vertical)'!O:O&lt;&gt;"""");filter('Students (Vertical)'!O:O,'Students (Vertical)'!C:C=E337,'Students (Vertical)'!O:O&lt;&gt;"""")},{filter('Students (Vertical)'!O:O,'Students ("&amp;"Vertical)'!C:C=B337,'Students (Vertical)'!O:O&lt;&gt;"""");filter('Students (Vertical)'!O:O,'Students (Vertical)'!C:C=E337,'Students (Vertical)'!O:O&lt;&gt;"""")})&gt;1))),""No shared courses""),"""")"),"")</f>
        <v/>
      </c>
      <c r="J337" s="94" t="str">
        <f>IFERROR(__xludf.DUMMYFUNCTION("if(H337=""Can't be Together"",iferror(join("", "",unique(filter({unique(filter('Students (Vertical)'!O:O,'Students (Vertical)'!C:C=B337,'Students (Vertical)'!O:O&lt;&gt;"""",'Students (Vertical)'!P:P&gt;1));unique(filter('Students (Vertical)'!O:O,'Students (Vertic"&amp;"al)'!C:C=E337,'Students (Vertical)'!O:O&lt;&gt;"""",'Students (Vertical)'!P:P&gt;1))},countifs({unique(filter('Students (Vertical)'!O:O,'Students (Vertical)'!C:C=B337,'Students (Vertical)'!O:O&lt;&gt;"""",'Students (Vertical)'!P:P&gt;1));unique(filter('Students (Vertical)'"&amp;"!O:O,'Students (Vertical)'!C:C=E337,'Students (Vertical)'!O:O&lt;&gt;"""",'Students (Vertical)'!P:P&gt;1))},{unique(filter('Students (Vertical)'!O:O,'Students (Vertical)'!C:C=B337,'Students (Vertical)'!O:O&lt;&gt;"""",'Students (Vertical)'!P:P&gt;1));unique(filter('Student"&amp;"s (Vertical)'!O:O,'Students (Vertical)'!C:C=E337,'Students (Vertical)'!O:O&lt;&gt;"""",'Students (Vertical)'!P:P&gt;1))})&gt;1))),""""),"""")"),"")</f>
        <v/>
      </c>
      <c r="K337" s="96" t="str">
        <f>IFERROR(__xludf.DUMMYFUNCTION("iferror(join("", "",unique(filter({filter('Students (Vertical)'!D:D,'Students (Vertical)'!C:C=B337,'Students (Vertical)'!D:D&lt;&gt;"""");filter('Students (Vertical)'!D:D,'Students (Vertical)'!C:C=E337,'Students (Vertical)'!D:D&lt;&gt;"""")},countifs({filter('Student"&amp;"s (Vertical)'!D:D,'Students (Vertical)'!C:C=B337,'Students (Vertical)'!D:D&lt;&gt;"""");filter('Students (Vertical)'!D:D,'Students (Vertical)'!C:C=E337,'Students (Vertical)'!D:D&lt;&gt;"""")},{filter('Students (Vertical)'!D:D,'Students (Vertical)'!C:C=B337,'Students "&amp;"(Vertical)'!D:D&lt;&gt;"""");filter('Students (Vertical)'!D:D,'Students (Vertical)'!C:C=E337,'Students (Vertical)'!D:D&lt;&gt;"""")})&gt;1))),"""")"),"")</f>
        <v/>
      </c>
      <c r="L337" s="96"/>
      <c r="M337" s="96"/>
    </row>
    <row r="338" hidden="1">
      <c r="A338" s="8" t="s">
        <v>8</v>
      </c>
      <c r="C338" s="8" t="s">
        <v>8</v>
      </c>
      <c r="D338" s="8" t="s">
        <v>8</v>
      </c>
      <c r="F338" s="8" t="s">
        <v>8</v>
      </c>
      <c r="G338" s="8" t="s">
        <v>8</v>
      </c>
      <c r="I338" s="94" t="str">
        <f>IFERROR(__xludf.DUMMYFUNCTION("if(H338=""Must be Together"",iferror(join("", "",unique(filter({filter('Students (Vertical)'!O:O,'Students (Vertical)'!C:C=B338,'Students (Vertical)'!O:O&lt;&gt;"""");filter('Students (Vertical)'!O:O,'Students (Vertical)'!C:C=E338,'Students (Vertical)'!O:O&lt;&gt;"""&amp;""")},countifs({filter('Students (Vertical)'!O:O,'Students (Vertical)'!C:C=B338,'Students (Vertical)'!O:O&lt;&gt;"""");filter('Students (Vertical)'!O:O,'Students (Vertical)'!C:C=E338,'Students (Vertical)'!O:O&lt;&gt;"""")},{filter('Students (Vertical)'!O:O,'Students ("&amp;"Vertical)'!C:C=B338,'Students (Vertical)'!O:O&lt;&gt;"""");filter('Students (Vertical)'!O:O,'Students (Vertical)'!C:C=E338,'Students (Vertical)'!O:O&lt;&gt;"""")})&gt;1))),""No shared courses""),"""")"),"")</f>
        <v/>
      </c>
      <c r="J338" s="94" t="str">
        <f>IFERROR(__xludf.DUMMYFUNCTION("if(H338=""Can't be Together"",iferror(join("", "",unique(filter({unique(filter('Students (Vertical)'!O:O,'Students (Vertical)'!C:C=B338,'Students (Vertical)'!O:O&lt;&gt;"""",'Students (Vertical)'!P:P&gt;1));unique(filter('Students (Vertical)'!O:O,'Students (Vertic"&amp;"al)'!C:C=E338,'Students (Vertical)'!O:O&lt;&gt;"""",'Students (Vertical)'!P:P&gt;1))},countifs({unique(filter('Students (Vertical)'!O:O,'Students (Vertical)'!C:C=B338,'Students (Vertical)'!O:O&lt;&gt;"""",'Students (Vertical)'!P:P&gt;1));unique(filter('Students (Vertical)'"&amp;"!O:O,'Students (Vertical)'!C:C=E338,'Students (Vertical)'!O:O&lt;&gt;"""",'Students (Vertical)'!P:P&gt;1))},{unique(filter('Students (Vertical)'!O:O,'Students (Vertical)'!C:C=B338,'Students (Vertical)'!O:O&lt;&gt;"""",'Students (Vertical)'!P:P&gt;1));unique(filter('Student"&amp;"s (Vertical)'!O:O,'Students (Vertical)'!C:C=E338,'Students (Vertical)'!O:O&lt;&gt;"""",'Students (Vertical)'!P:P&gt;1))})&gt;1))),""""),"""")"),"")</f>
        <v/>
      </c>
      <c r="K338" s="96" t="str">
        <f>IFERROR(__xludf.DUMMYFUNCTION("iferror(join("", "",unique(filter({filter('Students (Vertical)'!D:D,'Students (Vertical)'!C:C=B338,'Students (Vertical)'!D:D&lt;&gt;"""");filter('Students (Vertical)'!D:D,'Students (Vertical)'!C:C=E338,'Students (Vertical)'!D:D&lt;&gt;"""")},countifs({filter('Student"&amp;"s (Vertical)'!D:D,'Students (Vertical)'!C:C=B338,'Students (Vertical)'!D:D&lt;&gt;"""");filter('Students (Vertical)'!D:D,'Students (Vertical)'!C:C=E338,'Students (Vertical)'!D:D&lt;&gt;"""")},{filter('Students (Vertical)'!D:D,'Students (Vertical)'!C:C=B338,'Students "&amp;"(Vertical)'!D:D&lt;&gt;"""");filter('Students (Vertical)'!D:D,'Students (Vertical)'!C:C=E338,'Students (Vertical)'!D:D&lt;&gt;"""")})&gt;1))),"""")"),"")</f>
        <v/>
      </c>
      <c r="L338" s="96"/>
      <c r="M338" s="96"/>
    </row>
    <row r="339" hidden="1">
      <c r="A339" s="8" t="s">
        <v>8</v>
      </c>
      <c r="C339" s="8" t="s">
        <v>8</v>
      </c>
      <c r="D339" s="8" t="s">
        <v>8</v>
      </c>
      <c r="F339" s="8" t="s">
        <v>8</v>
      </c>
      <c r="G339" s="8" t="s">
        <v>8</v>
      </c>
      <c r="I339" s="94" t="str">
        <f>IFERROR(__xludf.DUMMYFUNCTION("if(H339=""Must be Together"",iferror(join("", "",unique(filter({filter('Students (Vertical)'!O:O,'Students (Vertical)'!C:C=B339,'Students (Vertical)'!O:O&lt;&gt;"""");filter('Students (Vertical)'!O:O,'Students (Vertical)'!C:C=E339,'Students (Vertical)'!O:O&lt;&gt;"""&amp;""")},countifs({filter('Students (Vertical)'!O:O,'Students (Vertical)'!C:C=B339,'Students (Vertical)'!O:O&lt;&gt;"""");filter('Students (Vertical)'!O:O,'Students (Vertical)'!C:C=E339,'Students (Vertical)'!O:O&lt;&gt;"""")},{filter('Students (Vertical)'!O:O,'Students ("&amp;"Vertical)'!C:C=B339,'Students (Vertical)'!O:O&lt;&gt;"""");filter('Students (Vertical)'!O:O,'Students (Vertical)'!C:C=E339,'Students (Vertical)'!O:O&lt;&gt;"""")})&gt;1))),""No shared courses""),"""")"),"")</f>
        <v/>
      </c>
      <c r="J339" s="94" t="str">
        <f>IFERROR(__xludf.DUMMYFUNCTION("if(H339=""Can't be Together"",iferror(join("", "",unique(filter({unique(filter('Students (Vertical)'!O:O,'Students (Vertical)'!C:C=B339,'Students (Vertical)'!O:O&lt;&gt;"""",'Students (Vertical)'!P:P&gt;1));unique(filter('Students (Vertical)'!O:O,'Students (Vertic"&amp;"al)'!C:C=E339,'Students (Vertical)'!O:O&lt;&gt;"""",'Students (Vertical)'!P:P&gt;1))},countifs({unique(filter('Students (Vertical)'!O:O,'Students (Vertical)'!C:C=B339,'Students (Vertical)'!O:O&lt;&gt;"""",'Students (Vertical)'!P:P&gt;1));unique(filter('Students (Vertical)'"&amp;"!O:O,'Students (Vertical)'!C:C=E339,'Students (Vertical)'!O:O&lt;&gt;"""",'Students (Vertical)'!P:P&gt;1))},{unique(filter('Students (Vertical)'!O:O,'Students (Vertical)'!C:C=B339,'Students (Vertical)'!O:O&lt;&gt;"""",'Students (Vertical)'!P:P&gt;1));unique(filter('Student"&amp;"s (Vertical)'!O:O,'Students (Vertical)'!C:C=E339,'Students (Vertical)'!O:O&lt;&gt;"""",'Students (Vertical)'!P:P&gt;1))})&gt;1))),""""),"""")"),"")</f>
        <v/>
      </c>
      <c r="K339" s="96" t="str">
        <f>IFERROR(__xludf.DUMMYFUNCTION("iferror(join("", "",unique(filter({filter('Students (Vertical)'!D:D,'Students (Vertical)'!C:C=B339,'Students (Vertical)'!D:D&lt;&gt;"""");filter('Students (Vertical)'!D:D,'Students (Vertical)'!C:C=E339,'Students (Vertical)'!D:D&lt;&gt;"""")},countifs({filter('Student"&amp;"s (Vertical)'!D:D,'Students (Vertical)'!C:C=B339,'Students (Vertical)'!D:D&lt;&gt;"""");filter('Students (Vertical)'!D:D,'Students (Vertical)'!C:C=E339,'Students (Vertical)'!D:D&lt;&gt;"""")},{filter('Students (Vertical)'!D:D,'Students (Vertical)'!C:C=B339,'Students "&amp;"(Vertical)'!D:D&lt;&gt;"""");filter('Students (Vertical)'!D:D,'Students (Vertical)'!C:C=E339,'Students (Vertical)'!D:D&lt;&gt;"""")})&gt;1))),"""")"),"")</f>
        <v/>
      </c>
      <c r="L339" s="96"/>
      <c r="M339" s="96"/>
    </row>
    <row r="340" hidden="1">
      <c r="A340" s="8" t="s">
        <v>8</v>
      </c>
      <c r="C340" s="8" t="s">
        <v>8</v>
      </c>
      <c r="D340" s="8" t="s">
        <v>8</v>
      </c>
      <c r="F340" s="8" t="s">
        <v>8</v>
      </c>
      <c r="G340" s="8" t="s">
        <v>8</v>
      </c>
      <c r="I340" s="94" t="str">
        <f>IFERROR(__xludf.DUMMYFUNCTION("if(H340=""Must be Together"",iferror(join("", "",unique(filter({filter('Students (Vertical)'!O:O,'Students (Vertical)'!C:C=B340,'Students (Vertical)'!O:O&lt;&gt;"""");filter('Students (Vertical)'!O:O,'Students (Vertical)'!C:C=E340,'Students (Vertical)'!O:O&lt;&gt;"""&amp;""")},countifs({filter('Students (Vertical)'!O:O,'Students (Vertical)'!C:C=B340,'Students (Vertical)'!O:O&lt;&gt;"""");filter('Students (Vertical)'!O:O,'Students (Vertical)'!C:C=E340,'Students (Vertical)'!O:O&lt;&gt;"""")},{filter('Students (Vertical)'!O:O,'Students ("&amp;"Vertical)'!C:C=B340,'Students (Vertical)'!O:O&lt;&gt;"""");filter('Students (Vertical)'!O:O,'Students (Vertical)'!C:C=E340,'Students (Vertical)'!O:O&lt;&gt;"""")})&gt;1))),""No shared courses""),"""")"),"")</f>
        <v/>
      </c>
      <c r="J340" s="94" t="str">
        <f>IFERROR(__xludf.DUMMYFUNCTION("if(H340=""Can't be Together"",iferror(join("", "",unique(filter({unique(filter('Students (Vertical)'!O:O,'Students (Vertical)'!C:C=B340,'Students (Vertical)'!O:O&lt;&gt;"""",'Students (Vertical)'!P:P&gt;1));unique(filter('Students (Vertical)'!O:O,'Students (Vertic"&amp;"al)'!C:C=E340,'Students (Vertical)'!O:O&lt;&gt;"""",'Students (Vertical)'!P:P&gt;1))},countifs({unique(filter('Students (Vertical)'!O:O,'Students (Vertical)'!C:C=B340,'Students (Vertical)'!O:O&lt;&gt;"""",'Students (Vertical)'!P:P&gt;1));unique(filter('Students (Vertical)'"&amp;"!O:O,'Students (Vertical)'!C:C=E340,'Students (Vertical)'!O:O&lt;&gt;"""",'Students (Vertical)'!P:P&gt;1))},{unique(filter('Students (Vertical)'!O:O,'Students (Vertical)'!C:C=B340,'Students (Vertical)'!O:O&lt;&gt;"""",'Students (Vertical)'!P:P&gt;1));unique(filter('Student"&amp;"s (Vertical)'!O:O,'Students (Vertical)'!C:C=E340,'Students (Vertical)'!O:O&lt;&gt;"""",'Students (Vertical)'!P:P&gt;1))})&gt;1))),""""),"""")"),"")</f>
        <v/>
      </c>
      <c r="K340" s="96" t="str">
        <f>IFERROR(__xludf.DUMMYFUNCTION("iferror(join("", "",unique(filter({filter('Students (Vertical)'!D:D,'Students (Vertical)'!C:C=B340,'Students (Vertical)'!D:D&lt;&gt;"""");filter('Students (Vertical)'!D:D,'Students (Vertical)'!C:C=E340,'Students (Vertical)'!D:D&lt;&gt;"""")},countifs({filter('Student"&amp;"s (Vertical)'!D:D,'Students (Vertical)'!C:C=B340,'Students (Vertical)'!D:D&lt;&gt;"""");filter('Students (Vertical)'!D:D,'Students (Vertical)'!C:C=E340,'Students (Vertical)'!D:D&lt;&gt;"""")},{filter('Students (Vertical)'!D:D,'Students (Vertical)'!C:C=B340,'Students "&amp;"(Vertical)'!D:D&lt;&gt;"""");filter('Students (Vertical)'!D:D,'Students (Vertical)'!C:C=E340,'Students (Vertical)'!D:D&lt;&gt;"""")})&gt;1))),"""")"),"")</f>
        <v/>
      </c>
      <c r="L340" s="96"/>
      <c r="M340" s="96"/>
    </row>
    <row r="341" hidden="1">
      <c r="A341" s="8" t="s">
        <v>8</v>
      </c>
      <c r="C341" s="8" t="s">
        <v>8</v>
      </c>
      <c r="D341" s="8" t="s">
        <v>8</v>
      </c>
      <c r="F341" s="8" t="s">
        <v>8</v>
      </c>
      <c r="G341" s="8" t="s">
        <v>8</v>
      </c>
      <c r="I341" s="94" t="str">
        <f>IFERROR(__xludf.DUMMYFUNCTION("if(H341=""Must be Together"",iferror(join("", "",unique(filter({filter('Students (Vertical)'!O:O,'Students (Vertical)'!C:C=B341,'Students (Vertical)'!O:O&lt;&gt;"""");filter('Students (Vertical)'!O:O,'Students (Vertical)'!C:C=E341,'Students (Vertical)'!O:O&lt;&gt;"""&amp;""")},countifs({filter('Students (Vertical)'!O:O,'Students (Vertical)'!C:C=B341,'Students (Vertical)'!O:O&lt;&gt;"""");filter('Students (Vertical)'!O:O,'Students (Vertical)'!C:C=E341,'Students (Vertical)'!O:O&lt;&gt;"""")},{filter('Students (Vertical)'!O:O,'Students ("&amp;"Vertical)'!C:C=B341,'Students (Vertical)'!O:O&lt;&gt;"""");filter('Students (Vertical)'!O:O,'Students (Vertical)'!C:C=E341,'Students (Vertical)'!O:O&lt;&gt;"""")})&gt;1))),""No shared courses""),"""")"),"")</f>
        <v/>
      </c>
      <c r="J341" s="94" t="str">
        <f>IFERROR(__xludf.DUMMYFUNCTION("if(H341=""Can't be Together"",iferror(join("", "",unique(filter({unique(filter('Students (Vertical)'!O:O,'Students (Vertical)'!C:C=B341,'Students (Vertical)'!O:O&lt;&gt;"""",'Students (Vertical)'!P:P&gt;1));unique(filter('Students (Vertical)'!O:O,'Students (Vertic"&amp;"al)'!C:C=E341,'Students (Vertical)'!O:O&lt;&gt;"""",'Students (Vertical)'!P:P&gt;1))},countifs({unique(filter('Students (Vertical)'!O:O,'Students (Vertical)'!C:C=B341,'Students (Vertical)'!O:O&lt;&gt;"""",'Students (Vertical)'!P:P&gt;1));unique(filter('Students (Vertical)'"&amp;"!O:O,'Students (Vertical)'!C:C=E341,'Students (Vertical)'!O:O&lt;&gt;"""",'Students (Vertical)'!P:P&gt;1))},{unique(filter('Students (Vertical)'!O:O,'Students (Vertical)'!C:C=B341,'Students (Vertical)'!O:O&lt;&gt;"""",'Students (Vertical)'!P:P&gt;1));unique(filter('Student"&amp;"s (Vertical)'!O:O,'Students (Vertical)'!C:C=E341,'Students (Vertical)'!O:O&lt;&gt;"""",'Students (Vertical)'!P:P&gt;1))})&gt;1))),""""),"""")"),"")</f>
        <v/>
      </c>
      <c r="K341" s="96" t="str">
        <f>IFERROR(__xludf.DUMMYFUNCTION("iferror(join("", "",unique(filter({filter('Students (Vertical)'!D:D,'Students (Vertical)'!C:C=B341,'Students (Vertical)'!D:D&lt;&gt;"""");filter('Students (Vertical)'!D:D,'Students (Vertical)'!C:C=E341,'Students (Vertical)'!D:D&lt;&gt;"""")},countifs({filter('Student"&amp;"s (Vertical)'!D:D,'Students (Vertical)'!C:C=B341,'Students (Vertical)'!D:D&lt;&gt;"""");filter('Students (Vertical)'!D:D,'Students (Vertical)'!C:C=E341,'Students (Vertical)'!D:D&lt;&gt;"""")},{filter('Students (Vertical)'!D:D,'Students (Vertical)'!C:C=B341,'Students "&amp;"(Vertical)'!D:D&lt;&gt;"""");filter('Students (Vertical)'!D:D,'Students (Vertical)'!C:C=E341,'Students (Vertical)'!D:D&lt;&gt;"""")})&gt;1))),"""")"),"")</f>
        <v/>
      </c>
      <c r="L341" s="96"/>
      <c r="M341" s="96"/>
    </row>
    <row r="342" hidden="1">
      <c r="A342" s="8" t="s">
        <v>8</v>
      </c>
      <c r="C342" s="8" t="s">
        <v>8</v>
      </c>
      <c r="D342" s="8" t="s">
        <v>8</v>
      </c>
      <c r="F342" s="8" t="s">
        <v>8</v>
      </c>
      <c r="G342" s="8" t="s">
        <v>8</v>
      </c>
      <c r="I342" s="94" t="str">
        <f>IFERROR(__xludf.DUMMYFUNCTION("if(H342=""Must be Together"",iferror(join("", "",unique(filter({filter('Students (Vertical)'!O:O,'Students (Vertical)'!C:C=B342,'Students (Vertical)'!O:O&lt;&gt;"""");filter('Students (Vertical)'!O:O,'Students (Vertical)'!C:C=E342,'Students (Vertical)'!O:O&lt;&gt;"""&amp;""")},countifs({filter('Students (Vertical)'!O:O,'Students (Vertical)'!C:C=B342,'Students (Vertical)'!O:O&lt;&gt;"""");filter('Students (Vertical)'!O:O,'Students (Vertical)'!C:C=E342,'Students (Vertical)'!O:O&lt;&gt;"""")},{filter('Students (Vertical)'!O:O,'Students ("&amp;"Vertical)'!C:C=B342,'Students (Vertical)'!O:O&lt;&gt;"""");filter('Students (Vertical)'!O:O,'Students (Vertical)'!C:C=E342,'Students (Vertical)'!O:O&lt;&gt;"""")})&gt;1))),""No shared courses""),"""")"),"")</f>
        <v/>
      </c>
      <c r="J342" s="94" t="str">
        <f>IFERROR(__xludf.DUMMYFUNCTION("if(H342=""Can't be Together"",iferror(join("", "",unique(filter({unique(filter('Students (Vertical)'!O:O,'Students (Vertical)'!C:C=B342,'Students (Vertical)'!O:O&lt;&gt;"""",'Students (Vertical)'!P:P&gt;1));unique(filter('Students (Vertical)'!O:O,'Students (Vertic"&amp;"al)'!C:C=E342,'Students (Vertical)'!O:O&lt;&gt;"""",'Students (Vertical)'!P:P&gt;1))},countifs({unique(filter('Students (Vertical)'!O:O,'Students (Vertical)'!C:C=B342,'Students (Vertical)'!O:O&lt;&gt;"""",'Students (Vertical)'!P:P&gt;1));unique(filter('Students (Vertical)'"&amp;"!O:O,'Students (Vertical)'!C:C=E342,'Students (Vertical)'!O:O&lt;&gt;"""",'Students (Vertical)'!P:P&gt;1))},{unique(filter('Students (Vertical)'!O:O,'Students (Vertical)'!C:C=B342,'Students (Vertical)'!O:O&lt;&gt;"""",'Students (Vertical)'!P:P&gt;1));unique(filter('Student"&amp;"s (Vertical)'!O:O,'Students (Vertical)'!C:C=E342,'Students (Vertical)'!O:O&lt;&gt;"""",'Students (Vertical)'!P:P&gt;1))})&gt;1))),""""),"""")"),"")</f>
        <v/>
      </c>
      <c r="K342" s="96" t="str">
        <f>IFERROR(__xludf.DUMMYFUNCTION("iferror(join("", "",unique(filter({filter('Students (Vertical)'!D:D,'Students (Vertical)'!C:C=B342,'Students (Vertical)'!D:D&lt;&gt;"""");filter('Students (Vertical)'!D:D,'Students (Vertical)'!C:C=E342,'Students (Vertical)'!D:D&lt;&gt;"""")},countifs({filter('Student"&amp;"s (Vertical)'!D:D,'Students (Vertical)'!C:C=B342,'Students (Vertical)'!D:D&lt;&gt;"""");filter('Students (Vertical)'!D:D,'Students (Vertical)'!C:C=E342,'Students (Vertical)'!D:D&lt;&gt;"""")},{filter('Students (Vertical)'!D:D,'Students (Vertical)'!C:C=B342,'Students "&amp;"(Vertical)'!D:D&lt;&gt;"""");filter('Students (Vertical)'!D:D,'Students (Vertical)'!C:C=E342,'Students (Vertical)'!D:D&lt;&gt;"""")})&gt;1))),"""")"),"")</f>
        <v/>
      </c>
      <c r="L342" s="96"/>
      <c r="M342" s="96"/>
    </row>
    <row r="343" hidden="1">
      <c r="A343" s="8" t="s">
        <v>8</v>
      </c>
      <c r="C343" s="8" t="s">
        <v>8</v>
      </c>
      <c r="D343" s="8" t="s">
        <v>8</v>
      </c>
      <c r="F343" s="8" t="s">
        <v>8</v>
      </c>
      <c r="G343" s="8" t="s">
        <v>8</v>
      </c>
      <c r="I343" s="94" t="str">
        <f>IFERROR(__xludf.DUMMYFUNCTION("if(H343=""Must be Together"",iferror(join("", "",unique(filter({filter('Students (Vertical)'!O:O,'Students (Vertical)'!C:C=B343,'Students (Vertical)'!O:O&lt;&gt;"""");filter('Students (Vertical)'!O:O,'Students (Vertical)'!C:C=E343,'Students (Vertical)'!O:O&lt;&gt;"""&amp;""")},countifs({filter('Students (Vertical)'!O:O,'Students (Vertical)'!C:C=B343,'Students (Vertical)'!O:O&lt;&gt;"""");filter('Students (Vertical)'!O:O,'Students (Vertical)'!C:C=E343,'Students (Vertical)'!O:O&lt;&gt;"""")},{filter('Students (Vertical)'!O:O,'Students ("&amp;"Vertical)'!C:C=B343,'Students (Vertical)'!O:O&lt;&gt;"""");filter('Students (Vertical)'!O:O,'Students (Vertical)'!C:C=E343,'Students (Vertical)'!O:O&lt;&gt;"""")})&gt;1))),""No shared courses""),"""")"),"")</f>
        <v/>
      </c>
      <c r="J343" s="94" t="str">
        <f>IFERROR(__xludf.DUMMYFUNCTION("if(H343=""Can't be Together"",iferror(join("", "",unique(filter({unique(filter('Students (Vertical)'!O:O,'Students (Vertical)'!C:C=B343,'Students (Vertical)'!O:O&lt;&gt;"""",'Students (Vertical)'!P:P&gt;1));unique(filter('Students (Vertical)'!O:O,'Students (Vertic"&amp;"al)'!C:C=E343,'Students (Vertical)'!O:O&lt;&gt;"""",'Students (Vertical)'!P:P&gt;1))},countifs({unique(filter('Students (Vertical)'!O:O,'Students (Vertical)'!C:C=B343,'Students (Vertical)'!O:O&lt;&gt;"""",'Students (Vertical)'!P:P&gt;1));unique(filter('Students (Vertical)'"&amp;"!O:O,'Students (Vertical)'!C:C=E343,'Students (Vertical)'!O:O&lt;&gt;"""",'Students (Vertical)'!P:P&gt;1))},{unique(filter('Students (Vertical)'!O:O,'Students (Vertical)'!C:C=B343,'Students (Vertical)'!O:O&lt;&gt;"""",'Students (Vertical)'!P:P&gt;1));unique(filter('Student"&amp;"s (Vertical)'!O:O,'Students (Vertical)'!C:C=E343,'Students (Vertical)'!O:O&lt;&gt;"""",'Students (Vertical)'!P:P&gt;1))})&gt;1))),""""),"""")"),"")</f>
        <v/>
      </c>
      <c r="K343" s="96" t="str">
        <f>IFERROR(__xludf.DUMMYFUNCTION("iferror(join("", "",unique(filter({filter('Students (Vertical)'!D:D,'Students (Vertical)'!C:C=B343,'Students (Vertical)'!D:D&lt;&gt;"""");filter('Students (Vertical)'!D:D,'Students (Vertical)'!C:C=E343,'Students (Vertical)'!D:D&lt;&gt;"""")},countifs({filter('Student"&amp;"s (Vertical)'!D:D,'Students (Vertical)'!C:C=B343,'Students (Vertical)'!D:D&lt;&gt;"""");filter('Students (Vertical)'!D:D,'Students (Vertical)'!C:C=E343,'Students (Vertical)'!D:D&lt;&gt;"""")},{filter('Students (Vertical)'!D:D,'Students (Vertical)'!C:C=B343,'Students "&amp;"(Vertical)'!D:D&lt;&gt;"""");filter('Students (Vertical)'!D:D,'Students (Vertical)'!C:C=E343,'Students (Vertical)'!D:D&lt;&gt;"""")})&gt;1))),"""")"),"")</f>
        <v/>
      </c>
      <c r="L343" s="96"/>
      <c r="M343" s="96"/>
    </row>
    <row r="344" hidden="1">
      <c r="A344" s="8" t="s">
        <v>8</v>
      </c>
      <c r="C344" s="8" t="s">
        <v>8</v>
      </c>
      <c r="D344" s="8" t="s">
        <v>8</v>
      </c>
      <c r="F344" s="8" t="s">
        <v>8</v>
      </c>
      <c r="G344" s="8" t="s">
        <v>8</v>
      </c>
      <c r="I344" s="94" t="str">
        <f>IFERROR(__xludf.DUMMYFUNCTION("if(H344=""Must be Together"",iferror(join("", "",unique(filter({filter('Students (Vertical)'!O:O,'Students (Vertical)'!C:C=B344,'Students (Vertical)'!O:O&lt;&gt;"""");filter('Students (Vertical)'!O:O,'Students (Vertical)'!C:C=E344,'Students (Vertical)'!O:O&lt;&gt;"""&amp;""")},countifs({filter('Students (Vertical)'!O:O,'Students (Vertical)'!C:C=B344,'Students (Vertical)'!O:O&lt;&gt;"""");filter('Students (Vertical)'!O:O,'Students (Vertical)'!C:C=E344,'Students (Vertical)'!O:O&lt;&gt;"""")},{filter('Students (Vertical)'!O:O,'Students ("&amp;"Vertical)'!C:C=B344,'Students (Vertical)'!O:O&lt;&gt;"""");filter('Students (Vertical)'!O:O,'Students (Vertical)'!C:C=E344,'Students (Vertical)'!O:O&lt;&gt;"""")})&gt;1))),""No shared courses""),"""")"),"")</f>
        <v/>
      </c>
      <c r="J344" s="94" t="str">
        <f>IFERROR(__xludf.DUMMYFUNCTION("if(H344=""Can't be Together"",iferror(join("", "",unique(filter({unique(filter('Students (Vertical)'!O:O,'Students (Vertical)'!C:C=B344,'Students (Vertical)'!O:O&lt;&gt;"""",'Students (Vertical)'!P:P&gt;1));unique(filter('Students (Vertical)'!O:O,'Students (Vertic"&amp;"al)'!C:C=E344,'Students (Vertical)'!O:O&lt;&gt;"""",'Students (Vertical)'!P:P&gt;1))},countifs({unique(filter('Students (Vertical)'!O:O,'Students (Vertical)'!C:C=B344,'Students (Vertical)'!O:O&lt;&gt;"""",'Students (Vertical)'!P:P&gt;1));unique(filter('Students (Vertical)'"&amp;"!O:O,'Students (Vertical)'!C:C=E344,'Students (Vertical)'!O:O&lt;&gt;"""",'Students (Vertical)'!P:P&gt;1))},{unique(filter('Students (Vertical)'!O:O,'Students (Vertical)'!C:C=B344,'Students (Vertical)'!O:O&lt;&gt;"""",'Students (Vertical)'!P:P&gt;1));unique(filter('Student"&amp;"s (Vertical)'!O:O,'Students (Vertical)'!C:C=E344,'Students (Vertical)'!O:O&lt;&gt;"""",'Students (Vertical)'!P:P&gt;1))})&gt;1))),""""),"""")"),"")</f>
        <v/>
      </c>
      <c r="K344" s="96" t="str">
        <f>IFERROR(__xludf.DUMMYFUNCTION("iferror(join("", "",unique(filter({filter('Students (Vertical)'!D:D,'Students (Vertical)'!C:C=B344,'Students (Vertical)'!D:D&lt;&gt;"""");filter('Students (Vertical)'!D:D,'Students (Vertical)'!C:C=E344,'Students (Vertical)'!D:D&lt;&gt;"""")},countifs({filter('Student"&amp;"s (Vertical)'!D:D,'Students (Vertical)'!C:C=B344,'Students (Vertical)'!D:D&lt;&gt;"""");filter('Students (Vertical)'!D:D,'Students (Vertical)'!C:C=E344,'Students (Vertical)'!D:D&lt;&gt;"""")},{filter('Students (Vertical)'!D:D,'Students (Vertical)'!C:C=B344,'Students "&amp;"(Vertical)'!D:D&lt;&gt;"""");filter('Students (Vertical)'!D:D,'Students (Vertical)'!C:C=E344,'Students (Vertical)'!D:D&lt;&gt;"""")})&gt;1))),"""")"),"")</f>
        <v/>
      </c>
      <c r="L344" s="96"/>
      <c r="M344" s="96"/>
    </row>
    <row r="345" hidden="1">
      <c r="A345" s="8" t="s">
        <v>8</v>
      </c>
      <c r="C345" s="8" t="s">
        <v>8</v>
      </c>
      <c r="D345" s="8" t="s">
        <v>8</v>
      </c>
      <c r="F345" s="8" t="s">
        <v>8</v>
      </c>
      <c r="G345" s="8" t="s">
        <v>8</v>
      </c>
      <c r="I345" s="94" t="str">
        <f>IFERROR(__xludf.DUMMYFUNCTION("if(H345=""Must be Together"",iferror(join("", "",unique(filter({filter('Students (Vertical)'!O:O,'Students (Vertical)'!C:C=B345,'Students (Vertical)'!O:O&lt;&gt;"""");filter('Students (Vertical)'!O:O,'Students (Vertical)'!C:C=E345,'Students (Vertical)'!O:O&lt;&gt;"""&amp;""")},countifs({filter('Students (Vertical)'!O:O,'Students (Vertical)'!C:C=B345,'Students (Vertical)'!O:O&lt;&gt;"""");filter('Students (Vertical)'!O:O,'Students (Vertical)'!C:C=E345,'Students (Vertical)'!O:O&lt;&gt;"""")},{filter('Students (Vertical)'!O:O,'Students ("&amp;"Vertical)'!C:C=B345,'Students (Vertical)'!O:O&lt;&gt;"""");filter('Students (Vertical)'!O:O,'Students (Vertical)'!C:C=E345,'Students (Vertical)'!O:O&lt;&gt;"""")})&gt;1))),""No shared courses""),"""")"),"")</f>
        <v/>
      </c>
      <c r="J345" s="94" t="str">
        <f>IFERROR(__xludf.DUMMYFUNCTION("if(H345=""Can't be Together"",iferror(join("", "",unique(filter({unique(filter('Students (Vertical)'!O:O,'Students (Vertical)'!C:C=B345,'Students (Vertical)'!O:O&lt;&gt;"""",'Students (Vertical)'!P:P&gt;1));unique(filter('Students (Vertical)'!O:O,'Students (Vertic"&amp;"al)'!C:C=E345,'Students (Vertical)'!O:O&lt;&gt;"""",'Students (Vertical)'!P:P&gt;1))},countifs({unique(filter('Students (Vertical)'!O:O,'Students (Vertical)'!C:C=B345,'Students (Vertical)'!O:O&lt;&gt;"""",'Students (Vertical)'!P:P&gt;1));unique(filter('Students (Vertical)'"&amp;"!O:O,'Students (Vertical)'!C:C=E345,'Students (Vertical)'!O:O&lt;&gt;"""",'Students (Vertical)'!P:P&gt;1))},{unique(filter('Students (Vertical)'!O:O,'Students (Vertical)'!C:C=B345,'Students (Vertical)'!O:O&lt;&gt;"""",'Students (Vertical)'!P:P&gt;1));unique(filter('Student"&amp;"s (Vertical)'!O:O,'Students (Vertical)'!C:C=E345,'Students (Vertical)'!O:O&lt;&gt;"""",'Students (Vertical)'!P:P&gt;1))})&gt;1))),""""),"""")"),"")</f>
        <v/>
      </c>
      <c r="K345" s="96" t="str">
        <f>IFERROR(__xludf.DUMMYFUNCTION("iferror(join("", "",unique(filter({filter('Students (Vertical)'!D:D,'Students (Vertical)'!C:C=B345,'Students (Vertical)'!D:D&lt;&gt;"""");filter('Students (Vertical)'!D:D,'Students (Vertical)'!C:C=E345,'Students (Vertical)'!D:D&lt;&gt;"""")},countifs({filter('Student"&amp;"s (Vertical)'!D:D,'Students (Vertical)'!C:C=B345,'Students (Vertical)'!D:D&lt;&gt;"""");filter('Students (Vertical)'!D:D,'Students (Vertical)'!C:C=E345,'Students (Vertical)'!D:D&lt;&gt;"""")},{filter('Students (Vertical)'!D:D,'Students (Vertical)'!C:C=B345,'Students "&amp;"(Vertical)'!D:D&lt;&gt;"""");filter('Students (Vertical)'!D:D,'Students (Vertical)'!C:C=E345,'Students (Vertical)'!D:D&lt;&gt;"""")})&gt;1))),"""")"),"")</f>
        <v/>
      </c>
      <c r="L345" s="96"/>
      <c r="M345" s="96"/>
    </row>
    <row r="346" hidden="1">
      <c r="A346" s="8" t="s">
        <v>8</v>
      </c>
      <c r="C346" s="8" t="s">
        <v>8</v>
      </c>
      <c r="D346" s="8" t="s">
        <v>8</v>
      </c>
      <c r="F346" s="8" t="s">
        <v>8</v>
      </c>
      <c r="G346" s="8" t="s">
        <v>8</v>
      </c>
      <c r="I346" s="94" t="str">
        <f>IFERROR(__xludf.DUMMYFUNCTION("if(H346=""Must be Together"",iferror(join("", "",unique(filter({filter('Students (Vertical)'!O:O,'Students (Vertical)'!C:C=B346,'Students (Vertical)'!O:O&lt;&gt;"""");filter('Students (Vertical)'!O:O,'Students (Vertical)'!C:C=E346,'Students (Vertical)'!O:O&lt;&gt;"""&amp;""")},countifs({filter('Students (Vertical)'!O:O,'Students (Vertical)'!C:C=B346,'Students (Vertical)'!O:O&lt;&gt;"""");filter('Students (Vertical)'!O:O,'Students (Vertical)'!C:C=E346,'Students (Vertical)'!O:O&lt;&gt;"""")},{filter('Students (Vertical)'!O:O,'Students ("&amp;"Vertical)'!C:C=B346,'Students (Vertical)'!O:O&lt;&gt;"""");filter('Students (Vertical)'!O:O,'Students (Vertical)'!C:C=E346,'Students (Vertical)'!O:O&lt;&gt;"""")})&gt;1))),""No shared courses""),"""")"),"")</f>
        <v/>
      </c>
      <c r="J346" s="94" t="str">
        <f>IFERROR(__xludf.DUMMYFUNCTION("if(H346=""Can't be Together"",iferror(join("", "",unique(filter({unique(filter('Students (Vertical)'!O:O,'Students (Vertical)'!C:C=B346,'Students (Vertical)'!O:O&lt;&gt;"""",'Students (Vertical)'!P:P&gt;1));unique(filter('Students (Vertical)'!O:O,'Students (Vertic"&amp;"al)'!C:C=E346,'Students (Vertical)'!O:O&lt;&gt;"""",'Students (Vertical)'!P:P&gt;1))},countifs({unique(filter('Students (Vertical)'!O:O,'Students (Vertical)'!C:C=B346,'Students (Vertical)'!O:O&lt;&gt;"""",'Students (Vertical)'!P:P&gt;1));unique(filter('Students (Vertical)'"&amp;"!O:O,'Students (Vertical)'!C:C=E346,'Students (Vertical)'!O:O&lt;&gt;"""",'Students (Vertical)'!P:P&gt;1))},{unique(filter('Students (Vertical)'!O:O,'Students (Vertical)'!C:C=B346,'Students (Vertical)'!O:O&lt;&gt;"""",'Students (Vertical)'!P:P&gt;1));unique(filter('Student"&amp;"s (Vertical)'!O:O,'Students (Vertical)'!C:C=E346,'Students (Vertical)'!O:O&lt;&gt;"""",'Students (Vertical)'!P:P&gt;1))})&gt;1))),""""),"""")"),"")</f>
        <v/>
      </c>
      <c r="K346" s="96" t="str">
        <f>IFERROR(__xludf.DUMMYFUNCTION("iferror(join("", "",unique(filter({filter('Students (Vertical)'!D:D,'Students (Vertical)'!C:C=B346,'Students (Vertical)'!D:D&lt;&gt;"""");filter('Students (Vertical)'!D:D,'Students (Vertical)'!C:C=E346,'Students (Vertical)'!D:D&lt;&gt;"""")},countifs({filter('Student"&amp;"s (Vertical)'!D:D,'Students (Vertical)'!C:C=B346,'Students (Vertical)'!D:D&lt;&gt;"""");filter('Students (Vertical)'!D:D,'Students (Vertical)'!C:C=E346,'Students (Vertical)'!D:D&lt;&gt;"""")},{filter('Students (Vertical)'!D:D,'Students (Vertical)'!C:C=B346,'Students "&amp;"(Vertical)'!D:D&lt;&gt;"""");filter('Students (Vertical)'!D:D,'Students (Vertical)'!C:C=E346,'Students (Vertical)'!D:D&lt;&gt;"""")})&gt;1))),"""")"),"")</f>
        <v/>
      </c>
      <c r="L346" s="96"/>
      <c r="M346" s="96"/>
    </row>
    <row r="347" hidden="1">
      <c r="A347" s="8" t="s">
        <v>8</v>
      </c>
      <c r="C347" s="8" t="s">
        <v>8</v>
      </c>
      <c r="D347" s="8" t="s">
        <v>8</v>
      </c>
      <c r="F347" s="8" t="s">
        <v>8</v>
      </c>
      <c r="G347" s="8" t="s">
        <v>8</v>
      </c>
      <c r="I347" s="94" t="str">
        <f>IFERROR(__xludf.DUMMYFUNCTION("if(H347=""Must be Together"",iferror(join("", "",unique(filter({filter('Students (Vertical)'!O:O,'Students (Vertical)'!C:C=B347,'Students (Vertical)'!O:O&lt;&gt;"""");filter('Students (Vertical)'!O:O,'Students (Vertical)'!C:C=E347,'Students (Vertical)'!O:O&lt;&gt;"""&amp;""")},countifs({filter('Students (Vertical)'!O:O,'Students (Vertical)'!C:C=B347,'Students (Vertical)'!O:O&lt;&gt;"""");filter('Students (Vertical)'!O:O,'Students (Vertical)'!C:C=E347,'Students (Vertical)'!O:O&lt;&gt;"""")},{filter('Students (Vertical)'!O:O,'Students ("&amp;"Vertical)'!C:C=B347,'Students (Vertical)'!O:O&lt;&gt;"""");filter('Students (Vertical)'!O:O,'Students (Vertical)'!C:C=E347,'Students (Vertical)'!O:O&lt;&gt;"""")})&gt;1))),""No shared courses""),"""")"),"")</f>
        <v/>
      </c>
      <c r="J347" s="94" t="str">
        <f>IFERROR(__xludf.DUMMYFUNCTION("if(H347=""Can't be Together"",iferror(join("", "",unique(filter({unique(filter('Students (Vertical)'!O:O,'Students (Vertical)'!C:C=B347,'Students (Vertical)'!O:O&lt;&gt;"""",'Students (Vertical)'!P:P&gt;1));unique(filter('Students (Vertical)'!O:O,'Students (Vertic"&amp;"al)'!C:C=E347,'Students (Vertical)'!O:O&lt;&gt;"""",'Students (Vertical)'!P:P&gt;1))},countifs({unique(filter('Students (Vertical)'!O:O,'Students (Vertical)'!C:C=B347,'Students (Vertical)'!O:O&lt;&gt;"""",'Students (Vertical)'!P:P&gt;1));unique(filter('Students (Vertical)'"&amp;"!O:O,'Students (Vertical)'!C:C=E347,'Students (Vertical)'!O:O&lt;&gt;"""",'Students (Vertical)'!P:P&gt;1))},{unique(filter('Students (Vertical)'!O:O,'Students (Vertical)'!C:C=B347,'Students (Vertical)'!O:O&lt;&gt;"""",'Students (Vertical)'!P:P&gt;1));unique(filter('Student"&amp;"s (Vertical)'!O:O,'Students (Vertical)'!C:C=E347,'Students (Vertical)'!O:O&lt;&gt;"""",'Students (Vertical)'!P:P&gt;1))})&gt;1))),""""),"""")"),"")</f>
        <v/>
      </c>
      <c r="K347" s="96" t="str">
        <f>IFERROR(__xludf.DUMMYFUNCTION("iferror(join("", "",unique(filter({filter('Students (Vertical)'!D:D,'Students (Vertical)'!C:C=B347,'Students (Vertical)'!D:D&lt;&gt;"""");filter('Students (Vertical)'!D:D,'Students (Vertical)'!C:C=E347,'Students (Vertical)'!D:D&lt;&gt;"""")},countifs({filter('Student"&amp;"s (Vertical)'!D:D,'Students (Vertical)'!C:C=B347,'Students (Vertical)'!D:D&lt;&gt;"""");filter('Students (Vertical)'!D:D,'Students (Vertical)'!C:C=E347,'Students (Vertical)'!D:D&lt;&gt;"""")},{filter('Students (Vertical)'!D:D,'Students (Vertical)'!C:C=B347,'Students "&amp;"(Vertical)'!D:D&lt;&gt;"""");filter('Students (Vertical)'!D:D,'Students (Vertical)'!C:C=E347,'Students (Vertical)'!D:D&lt;&gt;"""")})&gt;1))),"""")"),"")</f>
        <v/>
      </c>
      <c r="L347" s="96"/>
      <c r="M347" s="96"/>
    </row>
    <row r="348" hidden="1">
      <c r="A348" s="8" t="s">
        <v>8</v>
      </c>
      <c r="C348" s="8" t="s">
        <v>8</v>
      </c>
      <c r="D348" s="8" t="s">
        <v>8</v>
      </c>
      <c r="F348" s="8" t="s">
        <v>8</v>
      </c>
      <c r="G348" s="8" t="s">
        <v>8</v>
      </c>
      <c r="I348" s="94" t="str">
        <f>IFERROR(__xludf.DUMMYFUNCTION("if(H348=""Must be Together"",iferror(join("", "",unique(filter({filter('Students (Vertical)'!O:O,'Students (Vertical)'!C:C=B348,'Students (Vertical)'!O:O&lt;&gt;"""");filter('Students (Vertical)'!O:O,'Students (Vertical)'!C:C=E348,'Students (Vertical)'!O:O&lt;&gt;"""&amp;""")},countifs({filter('Students (Vertical)'!O:O,'Students (Vertical)'!C:C=B348,'Students (Vertical)'!O:O&lt;&gt;"""");filter('Students (Vertical)'!O:O,'Students (Vertical)'!C:C=E348,'Students (Vertical)'!O:O&lt;&gt;"""")},{filter('Students (Vertical)'!O:O,'Students ("&amp;"Vertical)'!C:C=B348,'Students (Vertical)'!O:O&lt;&gt;"""");filter('Students (Vertical)'!O:O,'Students (Vertical)'!C:C=E348,'Students (Vertical)'!O:O&lt;&gt;"""")})&gt;1))),""No shared courses""),"""")"),"")</f>
        <v/>
      </c>
      <c r="J348" s="94" t="str">
        <f>IFERROR(__xludf.DUMMYFUNCTION("if(H348=""Can't be Together"",iferror(join("", "",unique(filter({unique(filter('Students (Vertical)'!O:O,'Students (Vertical)'!C:C=B348,'Students (Vertical)'!O:O&lt;&gt;"""",'Students (Vertical)'!P:P&gt;1));unique(filter('Students (Vertical)'!O:O,'Students (Vertic"&amp;"al)'!C:C=E348,'Students (Vertical)'!O:O&lt;&gt;"""",'Students (Vertical)'!P:P&gt;1))},countifs({unique(filter('Students (Vertical)'!O:O,'Students (Vertical)'!C:C=B348,'Students (Vertical)'!O:O&lt;&gt;"""",'Students (Vertical)'!P:P&gt;1));unique(filter('Students (Vertical)'"&amp;"!O:O,'Students (Vertical)'!C:C=E348,'Students (Vertical)'!O:O&lt;&gt;"""",'Students (Vertical)'!P:P&gt;1))},{unique(filter('Students (Vertical)'!O:O,'Students (Vertical)'!C:C=B348,'Students (Vertical)'!O:O&lt;&gt;"""",'Students (Vertical)'!P:P&gt;1));unique(filter('Student"&amp;"s (Vertical)'!O:O,'Students (Vertical)'!C:C=E348,'Students (Vertical)'!O:O&lt;&gt;"""",'Students (Vertical)'!P:P&gt;1))})&gt;1))),""""),"""")"),"")</f>
        <v/>
      </c>
      <c r="K348" s="96" t="str">
        <f>IFERROR(__xludf.DUMMYFUNCTION("iferror(join("", "",unique(filter({filter('Students (Vertical)'!D:D,'Students (Vertical)'!C:C=B348,'Students (Vertical)'!D:D&lt;&gt;"""");filter('Students (Vertical)'!D:D,'Students (Vertical)'!C:C=E348,'Students (Vertical)'!D:D&lt;&gt;"""")},countifs({filter('Student"&amp;"s (Vertical)'!D:D,'Students (Vertical)'!C:C=B348,'Students (Vertical)'!D:D&lt;&gt;"""");filter('Students (Vertical)'!D:D,'Students (Vertical)'!C:C=E348,'Students (Vertical)'!D:D&lt;&gt;"""")},{filter('Students (Vertical)'!D:D,'Students (Vertical)'!C:C=B348,'Students "&amp;"(Vertical)'!D:D&lt;&gt;"""");filter('Students (Vertical)'!D:D,'Students (Vertical)'!C:C=E348,'Students (Vertical)'!D:D&lt;&gt;"""")})&gt;1))),"""")"),"")</f>
        <v/>
      </c>
      <c r="L348" s="96"/>
      <c r="M348" s="96"/>
    </row>
    <row r="349" hidden="1">
      <c r="A349" s="8" t="s">
        <v>8</v>
      </c>
      <c r="C349" s="8" t="s">
        <v>8</v>
      </c>
      <c r="D349" s="8" t="s">
        <v>8</v>
      </c>
      <c r="F349" s="8" t="s">
        <v>8</v>
      </c>
      <c r="G349" s="8" t="s">
        <v>8</v>
      </c>
      <c r="I349" s="94" t="str">
        <f>IFERROR(__xludf.DUMMYFUNCTION("if(H349=""Must be Together"",iferror(join("", "",unique(filter({filter('Students (Vertical)'!O:O,'Students (Vertical)'!C:C=B349,'Students (Vertical)'!O:O&lt;&gt;"""");filter('Students (Vertical)'!O:O,'Students (Vertical)'!C:C=E349,'Students (Vertical)'!O:O&lt;&gt;"""&amp;""")},countifs({filter('Students (Vertical)'!O:O,'Students (Vertical)'!C:C=B349,'Students (Vertical)'!O:O&lt;&gt;"""");filter('Students (Vertical)'!O:O,'Students (Vertical)'!C:C=E349,'Students (Vertical)'!O:O&lt;&gt;"""")},{filter('Students (Vertical)'!O:O,'Students ("&amp;"Vertical)'!C:C=B349,'Students (Vertical)'!O:O&lt;&gt;"""");filter('Students (Vertical)'!O:O,'Students (Vertical)'!C:C=E349,'Students (Vertical)'!O:O&lt;&gt;"""")})&gt;1))),""No shared courses""),"""")"),"")</f>
        <v/>
      </c>
      <c r="J349" s="94" t="str">
        <f>IFERROR(__xludf.DUMMYFUNCTION("if(H349=""Can't be Together"",iferror(join("", "",unique(filter({unique(filter('Students (Vertical)'!O:O,'Students (Vertical)'!C:C=B349,'Students (Vertical)'!O:O&lt;&gt;"""",'Students (Vertical)'!P:P&gt;1));unique(filter('Students (Vertical)'!O:O,'Students (Vertic"&amp;"al)'!C:C=E349,'Students (Vertical)'!O:O&lt;&gt;"""",'Students (Vertical)'!P:P&gt;1))},countifs({unique(filter('Students (Vertical)'!O:O,'Students (Vertical)'!C:C=B349,'Students (Vertical)'!O:O&lt;&gt;"""",'Students (Vertical)'!P:P&gt;1));unique(filter('Students (Vertical)'"&amp;"!O:O,'Students (Vertical)'!C:C=E349,'Students (Vertical)'!O:O&lt;&gt;"""",'Students (Vertical)'!P:P&gt;1))},{unique(filter('Students (Vertical)'!O:O,'Students (Vertical)'!C:C=B349,'Students (Vertical)'!O:O&lt;&gt;"""",'Students (Vertical)'!P:P&gt;1));unique(filter('Student"&amp;"s (Vertical)'!O:O,'Students (Vertical)'!C:C=E349,'Students (Vertical)'!O:O&lt;&gt;"""",'Students (Vertical)'!P:P&gt;1))})&gt;1))),""""),"""")"),"")</f>
        <v/>
      </c>
      <c r="K349" s="96" t="str">
        <f>IFERROR(__xludf.DUMMYFUNCTION("iferror(join("", "",unique(filter({filter('Students (Vertical)'!D:D,'Students (Vertical)'!C:C=B349,'Students (Vertical)'!D:D&lt;&gt;"""");filter('Students (Vertical)'!D:D,'Students (Vertical)'!C:C=E349,'Students (Vertical)'!D:D&lt;&gt;"""")},countifs({filter('Student"&amp;"s (Vertical)'!D:D,'Students (Vertical)'!C:C=B349,'Students (Vertical)'!D:D&lt;&gt;"""");filter('Students (Vertical)'!D:D,'Students (Vertical)'!C:C=E349,'Students (Vertical)'!D:D&lt;&gt;"""")},{filter('Students (Vertical)'!D:D,'Students (Vertical)'!C:C=B349,'Students "&amp;"(Vertical)'!D:D&lt;&gt;"""");filter('Students (Vertical)'!D:D,'Students (Vertical)'!C:C=E349,'Students (Vertical)'!D:D&lt;&gt;"""")})&gt;1))),"""")"),"")</f>
        <v/>
      </c>
      <c r="L349" s="96"/>
      <c r="M349" s="96"/>
    </row>
    <row r="350" hidden="1">
      <c r="A350" s="8" t="s">
        <v>8</v>
      </c>
      <c r="C350" s="8" t="s">
        <v>8</v>
      </c>
      <c r="D350" s="8" t="s">
        <v>8</v>
      </c>
      <c r="F350" s="8" t="s">
        <v>8</v>
      </c>
      <c r="G350" s="8" t="s">
        <v>8</v>
      </c>
      <c r="I350" s="94" t="str">
        <f>IFERROR(__xludf.DUMMYFUNCTION("if(H350=""Must be Together"",iferror(join("", "",unique(filter({filter('Students (Vertical)'!O:O,'Students (Vertical)'!C:C=B350,'Students (Vertical)'!O:O&lt;&gt;"""");filter('Students (Vertical)'!O:O,'Students (Vertical)'!C:C=E350,'Students (Vertical)'!O:O&lt;&gt;"""&amp;""")},countifs({filter('Students (Vertical)'!O:O,'Students (Vertical)'!C:C=B350,'Students (Vertical)'!O:O&lt;&gt;"""");filter('Students (Vertical)'!O:O,'Students (Vertical)'!C:C=E350,'Students (Vertical)'!O:O&lt;&gt;"""")},{filter('Students (Vertical)'!O:O,'Students ("&amp;"Vertical)'!C:C=B350,'Students (Vertical)'!O:O&lt;&gt;"""");filter('Students (Vertical)'!O:O,'Students (Vertical)'!C:C=E350,'Students (Vertical)'!O:O&lt;&gt;"""")})&gt;1))),""No shared courses""),"""")"),"")</f>
        <v/>
      </c>
      <c r="J350" s="94" t="str">
        <f>IFERROR(__xludf.DUMMYFUNCTION("if(H350=""Can't be Together"",iferror(join("", "",unique(filter({unique(filter('Students (Vertical)'!O:O,'Students (Vertical)'!C:C=B350,'Students (Vertical)'!O:O&lt;&gt;"""",'Students (Vertical)'!P:P&gt;1));unique(filter('Students (Vertical)'!O:O,'Students (Vertic"&amp;"al)'!C:C=E350,'Students (Vertical)'!O:O&lt;&gt;"""",'Students (Vertical)'!P:P&gt;1))},countifs({unique(filter('Students (Vertical)'!O:O,'Students (Vertical)'!C:C=B350,'Students (Vertical)'!O:O&lt;&gt;"""",'Students (Vertical)'!P:P&gt;1));unique(filter('Students (Vertical)'"&amp;"!O:O,'Students (Vertical)'!C:C=E350,'Students (Vertical)'!O:O&lt;&gt;"""",'Students (Vertical)'!P:P&gt;1))},{unique(filter('Students (Vertical)'!O:O,'Students (Vertical)'!C:C=B350,'Students (Vertical)'!O:O&lt;&gt;"""",'Students (Vertical)'!P:P&gt;1));unique(filter('Student"&amp;"s (Vertical)'!O:O,'Students (Vertical)'!C:C=E350,'Students (Vertical)'!O:O&lt;&gt;"""",'Students (Vertical)'!P:P&gt;1))})&gt;1))),""""),"""")"),"")</f>
        <v/>
      </c>
      <c r="K350" s="96" t="str">
        <f>IFERROR(__xludf.DUMMYFUNCTION("iferror(join("", "",unique(filter({filter('Students (Vertical)'!D:D,'Students (Vertical)'!C:C=B350,'Students (Vertical)'!D:D&lt;&gt;"""");filter('Students (Vertical)'!D:D,'Students (Vertical)'!C:C=E350,'Students (Vertical)'!D:D&lt;&gt;"""")},countifs({filter('Student"&amp;"s (Vertical)'!D:D,'Students (Vertical)'!C:C=B350,'Students (Vertical)'!D:D&lt;&gt;"""");filter('Students (Vertical)'!D:D,'Students (Vertical)'!C:C=E350,'Students (Vertical)'!D:D&lt;&gt;"""")},{filter('Students (Vertical)'!D:D,'Students (Vertical)'!C:C=B350,'Students "&amp;"(Vertical)'!D:D&lt;&gt;"""");filter('Students (Vertical)'!D:D,'Students (Vertical)'!C:C=E350,'Students (Vertical)'!D:D&lt;&gt;"""")})&gt;1))),"""")"),"")</f>
        <v/>
      </c>
      <c r="L350" s="96"/>
      <c r="M350" s="96"/>
    </row>
    <row r="351" hidden="1">
      <c r="A351" s="8" t="s">
        <v>8</v>
      </c>
      <c r="C351" s="8" t="s">
        <v>8</v>
      </c>
      <c r="D351" s="8" t="s">
        <v>8</v>
      </c>
      <c r="F351" s="8" t="s">
        <v>8</v>
      </c>
      <c r="G351" s="8" t="s">
        <v>8</v>
      </c>
      <c r="I351" s="94" t="str">
        <f>IFERROR(__xludf.DUMMYFUNCTION("if(H351=""Must be Together"",iferror(join("", "",unique(filter({filter('Students (Vertical)'!O:O,'Students (Vertical)'!C:C=B351,'Students (Vertical)'!O:O&lt;&gt;"""");filter('Students (Vertical)'!O:O,'Students (Vertical)'!C:C=E351,'Students (Vertical)'!O:O&lt;&gt;"""&amp;""")},countifs({filter('Students (Vertical)'!O:O,'Students (Vertical)'!C:C=B351,'Students (Vertical)'!O:O&lt;&gt;"""");filter('Students (Vertical)'!O:O,'Students (Vertical)'!C:C=E351,'Students (Vertical)'!O:O&lt;&gt;"""")},{filter('Students (Vertical)'!O:O,'Students ("&amp;"Vertical)'!C:C=B351,'Students (Vertical)'!O:O&lt;&gt;"""");filter('Students (Vertical)'!O:O,'Students (Vertical)'!C:C=E351,'Students (Vertical)'!O:O&lt;&gt;"""")})&gt;1))),""No shared courses""),"""")"),"")</f>
        <v/>
      </c>
      <c r="J351" s="94" t="str">
        <f>IFERROR(__xludf.DUMMYFUNCTION("if(H351=""Can't be Together"",iferror(join("", "",unique(filter({unique(filter('Students (Vertical)'!O:O,'Students (Vertical)'!C:C=B351,'Students (Vertical)'!O:O&lt;&gt;"""",'Students (Vertical)'!P:P&gt;1));unique(filter('Students (Vertical)'!O:O,'Students (Vertic"&amp;"al)'!C:C=E351,'Students (Vertical)'!O:O&lt;&gt;"""",'Students (Vertical)'!P:P&gt;1))},countifs({unique(filter('Students (Vertical)'!O:O,'Students (Vertical)'!C:C=B351,'Students (Vertical)'!O:O&lt;&gt;"""",'Students (Vertical)'!P:P&gt;1));unique(filter('Students (Vertical)'"&amp;"!O:O,'Students (Vertical)'!C:C=E351,'Students (Vertical)'!O:O&lt;&gt;"""",'Students (Vertical)'!P:P&gt;1))},{unique(filter('Students (Vertical)'!O:O,'Students (Vertical)'!C:C=B351,'Students (Vertical)'!O:O&lt;&gt;"""",'Students (Vertical)'!P:P&gt;1));unique(filter('Student"&amp;"s (Vertical)'!O:O,'Students (Vertical)'!C:C=E351,'Students (Vertical)'!O:O&lt;&gt;"""",'Students (Vertical)'!P:P&gt;1))})&gt;1))),""""),"""")"),"")</f>
        <v/>
      </c>
      <c r="K351" s="96" t="str">
        <f>IFERROR(__xludf.DUMMYFUNCTION("iferror(join("", "",unique(filter({filter('Students (Vertical)'!D:D,'Students (Vertical)'!C:C=B351,'Students (Vertical)'!D:D&lt;&gt;"""");filter('Students (Vertical)'!D:D,'Students (Vertical)'!C:C=E351,'Students (Vertical)'!D:D&lt;&gt;"""")},countifs({filter('Student"&amp;"s (Vertical)'!D:D,'Students (Vertical)'!C:C=B351,'Students (Vertical)'!D:D&lt;&gt;"""");filter('Students (Vertical)'!D:D,'Students (Vertical)'!C:C=E351,'Students (Vertical)'!D:D&lt;&gt;"""")},{filter('Students (Vertical)'!D:D,'Students (Vertical)'!C:C=B351,'Students "&amp;"(Vertical)'!D:D&lt;&gt;"""");filter('Students (Vertical)'!D:D,'Students (Vertical)'!C:C=E351,'Students (Vertical)'!D:D&lt;&gt;"""")})&gt;1))),"""")"),"")</f>
        <v/>
      </c>
      <c r="L351" s="96"/>
      <c r="M351" s="96"/>
    </row>
    <row r="352" hidden="1">
      <c r="A352" s="8" t="s">
        <v>8</v>
      </c>
      <c r="C352" s="8" t="s">
        <v>8</v>
      </c>
      <c r="D352" s="8" t="s">
        <v>8</v>
      </c>
      <c r="F352" s="8" t="s">
        <v>8</v>
      </c>
      <c r="G352" s="8" t="s">
        <v>8</v>
      </c>
      <c r="I352" s="94" t="str">
        <f>IFERROR(__xludf.DUMMYFUNCTION("if(H352=""Must be Together"",iferror(join("", "",unique(filter({filter('Students (Vertical)'!O:O,'Students (Vertical)'!C:C=B352,'Students (Vertical)'!O:O&lt;&gt;"""");filter('Students (Vertical)'!O:O,'Students (Vertical)'!C:C=E352,'Students (Vertical)'!O:O&lt;&gt;"""&amp;""")},countifs({filter('Students (Vertical)'!O:O,'Students (Vertical)'!C:C=B352,'Students (Vertical)'!O:O&lt;&gt;"""");filter('Students (Vertical)'!O:O,'Students (Vertical)'!C:C=E352,'Students (Vertical)'!O:O&lt;&gt;"""")},{filter('Students (Vertical)'!O:O,'Students ("&amp;"Vertical)'!C:C=B352,'Students (Vertical)'!O:O&lt;&gt;"""");filter('Students (Vertical)'!O:O,'Students (Vertical)'!C:C=E352,'Students (Vertical)'!O:O&lt;&gt;"""")})&gt;1))),""No shared courses""),"""")"),"")</f>
        <v/>
      </c>
      <c r="J352" s="94" t="str">
        <f>IFERROR(__xludf.DUMMYFUNCTION("if(H352=""Can't be Together"",iferror(join("", "",unique(filter({unique(filter('Students (Vertical)'!O:O,'Students (Vertical)'!C:C=B352,'Students (Vertical)'!O:O&lt;&gt;"""",'Students (Vertical)'!P:P&gt;1));unique(filter('Students (Vertical)'!O:O,'Students (Vertic"&amp;"al)'!C:C=E352,'Students (Vertical)'!O:O&lt;&gt;"""",'Students (Vertical)'!P:P&gt;1))},countifs({unique(filter('Students (Vertical)'!O:O,'Students (Vertical)'!C:C=B352,'Students (Vertical)'!O:O&lt;&gt;"""",'Students (Vertical)'!P:P&gt;1));unique(filter('Students (Vertical)'"&amp;"!O:O,'Students (Vertical)'!C:C=E352,'Students (Vertical)'!O:O&lt;&gt;"""",'Students (Vertical)'!P:P&gt;1))},{unique(filter('Students (Vertical)'!O:O,'Students (Vertical)'!C:C=B352,'Students (Vertical)'!O:O&lt;&gt;"""",'Students (Vertical)'!P:P&gt;1));unique(filter('Student"&amp;"s (Vertical)'!O:O,'Students (Vertical)'!C:C=E352,'Students (Vertical)'!O:O&lt;&gt;"""",'Students (Vertical)'!P:P&gt;1))})&gt;1))),""""),"""")"),"")</f>
        <v/>
      </c>
      <c r="K352" s="96" t="str">
        <f>IFERROR(__xludf.DUMMYFUNCTION("iferror(join("", "",unique(filter({filter('Students (Vertical)'!D:D,'Students (Vertical)'!C:C=B352,'Students (Vertical)'!D:D&lt;&gt;"""");filter('Students (Vertical)'!D:D,'Students (Vertical)'!C:C=E352,'Students (Vertical)'!D:D&lt;&gt;"""")},countifs({filter('Student"&amp;"s (Vertical)'!D:D,'Students (Vertical)'!C:C=B352,'Students (Vertical)'!D:D&lt;&gt;"""");filter('Students (Vertical)'!D:D,'Students (Vertical)'!C:C=E352,'Students (Vertical)'!D:D&lt;&gt;"""")},{filter('Students (Vertical)'!D:D,'Students (Vertical)'!C:C=B352,'Students "&amp;"(Vertical)'!D:D&lt;&gt;"""");filter('Students (Vertical)'!D:D,'Students (Vertical)'!C:C=E352,'Students (Vertical)'!D:D&lt;&gt;"""")})&gt;1))),"""")"),"")</f>
        <v/>
      </c>
      <c r="L352" s="96"/>
      <c r="M352" s="96"/>
    </row>
    <row r="353" hidden="1">
      <c r="A353" s="8" t="s">
        <v>8</v>
      </c>
      <c r="C353" s="8" t="s">
        <v>8</v>
      </c>
      <c r="D353" s="8" t="s">
        <v>8</v>
      </c>
      <c r="F353" s="8" t="s">
        <v>8</v>
      </c>
      <c r="G353" s="8" t="s">
        <v>8</v>
      </c>
      <c r="I353" s="94" t="str">
        <f>IFERROR(__xludf.DUMMYFUNCTION("if(H353=""Must be Together"",iferror(join("", "",unique(filter({filter('Students (Vertical)'!O:O,'Students (Vertical)'!C:C=B353,'Students (Vertical)'!O:O&lt;&gt;"""");filter('Students (Vertical)'!O:O,'Students (Vertical)'!C:C=E353,'Students (Vertical)'!O:O&lt;&gt;"""&amp;""")},countifs({filter('Students (Vertical)'!O:O,'Students (Vertical)'!C:C=B353,'Students (Vertical)'!O:O&lt;&gt;"""");filter('Students (Vertical)'!O:O,'Students (Vertical)'!C:C=E353,'Students (Vertical)'!O:O&lt;&gt;"""")},{filter('Students (Vertical)'!O:O,'Students ("&amp;"Vertical)'!C:C=B353,'Students (Vertical)'!O:O&lt;&gt;"""");filter('Students (Vertical)'!O:O,'Students (Vertical)'!C:C=E353,'Students (Vertical)'!O:O&lt;&gt;"""")})&gt;1))),""No shared courses""),"""")"),"")</f>
        <v/>
      </c>
      <c r="J353" s="94" t="str">
        <f>IFERROR(__xludf.DUMMYFUNCTION("if(H353=""Can't be Together"",iferror(join("", "",unique(filter({unique(filter('Students (Vertical)'!O:O,'Students (Vertical)'!C:C=B353,'Students (Vertical)'!O:O&lt;&gt;"""",'Students (Vertical)'!P:P&gt;1));unique(filter('Students (Vertical)'!O:O,'Students (Vertic"&amp;"al)'!C:C=E353,'Students (Vertical)'!O:O&lt;&gt;"""",'Students (Vertical)'!P:P&gt;1))},countifs({unique(filter('Students (Vertical)'!O:O,'Students (Vertical)'!C:C=B353,'Students (Vertical)'!O:O&lt;&gt;"""",'Students (Vertical)'!P:P&gt;1));unique(filter('Students (Vertical)'"&amp;"!O:O,'Students (Vertical)'!C:C=E353,'Students (Vertical)'!O:O&lt;&gt;"""",'Students (Vertical)'!P:P&gt;1))},{unique(filter('Students (Vertical)'!O:O,'Students (Vertical)'!C:C=B353,'Students (Vertical)'!O:O&lt;&gt;"""",'Students (Vertical)'!P:P&gt;1));unique(filter('Student"&amp;"s (Vertical)'!O:O,'Students (Vertical)'!C:C=E353,'Students (Vertical)'!O:O&lt;&gt;"""",'Students (Vertical)'!P:P&gt;1))})&gt;1))),""""),"""")"),"")</f>
        <v/>
      </c>
      <c r="K353" s="96" t="str">
        <f>IFERROR(__xludf.DUMMYFUNCTION("iferror(join("", "",unique(filter({filter('Students (Vertical)'!D:D,'Students (Vertical)'!C:C=B353,'Students (Vertical)'!D:D&lt;&gt;"""");filter('Students (Vertical)'!D:D,'Students (Vertical)'!C:C=E353,'Students (Vertical)'!D:D&lt;&gt;"""")},countifs({filter('Student"&amp;"s (Vertical)'!D:D,'Students (Vertical)'!C:C=B353,'Students (Vertical)'!D:D&lt;&gt;"""");filter('Students (Vertical)'!D:D,'Students (Vertical)'!C:C=E353,'Students (Vertical)'!D:D&lt;&gt;"""")},{filter('Students (Vertical)'!D:D,'Students (Vertical)'!C:C=B353,'Students "&amp;"(Vertical)'!D:D&lt;&gt;"""");filter('Students (Vertical)'!D:D,'Students (Vertical)'!C:C=E353,'Students (Vertical)'!D:D&lt;&gt;"""")})&gt;1))),"""")"),"")</f>
        <v/>
      </c>
      <c r="L353" s="96"/>
      <c r="M353" s="96"/>
    </row>
    <row r="354" hidden="1">
      <c r="A354" s="8" t="s">
        <v>8</v>
      </c>
      <c r="C354" s="8" t="s">
        <v>8</v>
      </c>
      <c r="D354" s="8" t="s">
        <v>8</v>
      </c>
      <c r="F354" s="8" t="s">
        <v>8</v>
      </c>
      <c r="G354" s="8" t="s">
        <v>8</v>
      </c>
      <c r="I354" s="94" t="str">
        <f>IFERROR(__xludf.DUMMYFUNCTION("if(H354=""Must be Together"",iferror(join("", "",unique(filter({filter('Students (Vertical)'!O:O,'Students (Vertical)'!C:C=B354,'Students (Vertical)'!O:O&lt;&gt;"""");filter('Students (Vertical)'!O:O,'Students (Vertical)'!C:C=E354,'Students (Vertical)'!O:O&lt;&gt;"""&amp;""")},countifs({filter('Students (Vertical)'!O:O,'Students (Vertical)'!C:C=B354,'Students (Vertical)'!O:O&lt;&gt;"""");filter('Students (Vertical)'!O:O,'Students (Vertical)'!C:C=E354,'Students (Vertical)'!O:O&lt;&gt;"""")},{filter('Students (Vertical)'!O:O,'Students ("&amp;"Vertical)'!C:C=B354,'Students (Vertical)'!O:O&lt;&gt;"""");filter('Students (Vertical)'!O:O,'Students (Vertical)'!C:C=E354,'Students (Vertical)'!O:O&lt;&gt;"""")})&gt;1))),""No shared courses""),"""")"),"")</f>
        <v/>
      </c>
      <c r="J354" s="94" t="str">
        <f>IFERROR(__xludf.DUMMYFUNCTION("if(H354=""Can't be Together"",iferror(join("", "",unique(filter({unique(filter('Students (Vertical)'!O:O,'Students (Vertical)'!C:C=B354,'Students (Vertical)'!O:O&lt;&gt;"""",'Students (Vertical)'!P:P&gt;1));unique(filter('Students (Vertical)'!O:O,'Students (Vertic"&amp;"al)'!C:C=E354,'Students (Vertical)'!O:O&lt;&gt;"""",'Students (Vertical)'!P:P&gt;1))},countifs({unique(filter('Students (Vertical)'!O:O,'Students (Vertical)'!C:C=B354,'Students (Vertical)'!O:O&lt;&gt;"""",'Students (Vertical)'!P:P&gt;1));unique(filter('Students (Vertical)'"&amp;"!O:O,'Students (Vertical)'!C:C=E354,'Students (Vertical)'!O:O&lt;&gt;"""",'Students (Vertical)'!P:P&gt;1))},{unique(filter('Students (Vertical)'!O:O,'Students (Vertical)'!C:C=B354,'Students (Vertical)'!O:O&lt;&gt;"""",'Students (Vertical)'!P:P&gt;1));unique(filter('Student"&amp;"s (Vertical)'!O:O,'Students (Vertical)'!C:C=E354,'Students (Vertical)'!O:O&lt;&gt;"""",'Students (Vertical)'!P:P&gt;1))})&gt;1))),""""),"""")"),"")</f>
        <v/>
      </c>
      <c r="K354" s="96" t="str">
        <f>IFERROR(__xludf.DUMMYFUNCTION("iferror(join("", "",unique(filter({filter('Students (Vertical)'!D:D,'Students (Vertical)'!C:C=B354,'Students (Vertical)'!D:D&lt;&gt;"""");filter('Students (Vertical)'!D:D,'Students (Vertical)'!C:C=E354,'Students (Vertical)'!D:D&lt;&gt;"""")},countifs({filter('Student"&amp;"s (Vertical)'!D:D,'Students (Vertical)'!C:C=B354,'Students (Vertical)'!D:D&lt;&gt;"""");filter('Students (Vertical)'!D:D,'Students (Vertical)'!C:C=E354,'Students (Vertical)'!D:D&lt;&gt;"""")},{filter('Students (Vertical)'!D:D,'Students (Vertical)'!C:C=B354,'Students "&amp;"(Vertical)'!D:D&lt;&gt;"""");filter('Students (Vertical)'!D:D,'Students (Vertical)'!C:C=E354,'Students (Vertical)'!D:D&lt;&gt;"""")})&gt;1))),"""")"),"")</f>
        <v/>
      </c>
      <c r="L354" s="96"/>
      <c r="M354" s="96"/>
    </row>
    <row r="355" hidden="1">
      <c r="A355" s="8" t="s">
        <v>8</v>
      </c>
      <c r="C355" s="8" t="s">
        <v>8</v>
      </c>
      <c r="D355" s="8" t="s">
        <v>8</v>
      </c>
      <c r="F355" s="8" t="s">
        <v>8</v>
      </c>
      <c r="G355" s="8" t="s">
        <v>8</v>
      </c>
      <c r="I355" s="94" t="str">
        <f>IFERROR(__xludf.DUMMYFUNCTION("if(H355=""Must be Together"",iferror(join("", "",unique(filter({filter('Students (Vertical)'!O:O,'Students (Vertical)'!C:C=B355,'Students (Vertical)'!O:O&lt;&gt;"""");filter('Students (Vertical)'!O:O,'Students (Vertical)'!C:C=E355,'Students (Vertical)'!O:O&lt;&gt;"""&amp;""")},countifs({filter('Students (Vertical)'!O:O,'Students (Vertical)'!C:C=B355,'Students (Vertical)'!O:O&lt;&gt;"""");filter('Students (Vertical)'!O:O,'Students (Vertical)'!C:C=E355,'Students (Vertical)'!O:O&lt;&gt;"""")},{filter('Students (Vertical)'!O:O,'Students ("&amp;"Vertical)'!C:C=B355,'Students (Vertical)'!O:O&lt;&gt;"""");filter('Students (Vertical)'!O:O,'Students (Vertical)'!C:C=E355,'Students (Vertical)'!O:O&lt;&gt;"""")})&gt;1))),""No shared courses""),"""")"),"")</f>
        <v/>
      </c>
      <c r="J355" s="94" t="str">
        <f>IFERROR(__xludf.DUMMYFUNCTION("if(H355=""Can't be Together"",iferror(join("", "",unique(filter({unique(filter('Students (Vertical)'!O:O,'Students (Vertical)'!C:C=B355,'Students (Vertical)'!O:O&lt;&gt;"""",'Students (Vertical)'!P:P&gt;1));unique(filter('Students (Vertical)'!O:O,'Students (Vertic"&amp;"al)'!C:C=E355,'Students (Vertical)'!O:O&lt;&gt;"""",'Students (Vertical)'!P:P&gt;1))},countifs({unique(filter('Students (Vertical)'!O:O,'Students (Vertical)'!C:C=B355,'Students (Vertical)'!O:O&lt;&gt;"""",'Students (Vertical)'!P:P&gt;1));unique(filter('Students (Vertical)'"&amp;"!O:O,'Students (Vertical)'!C:C=E355,'Students (Vertical)'!O:O&lt;&gt;"""",'Students (Vertical)'!P:P&gt;1))},{unique(filter('Students (Vertical)'!O:O,'Students (Vertical)'!C:C=B355,'Students (Vertical)'!O:O&lt;&gt;"""",'Students (Vertical)'!P:P&gt;1));unique(filter('Student"&amp;"s (Vertical)'!O:O,'Students (Vertical)'!C:C=E355,'Students (Vertical)'!O:O&lt;&gt;"""",'Students (Vertical)'!P:P&gt;1))})&gt;1))),""""),"""")"),"")</f>
        <v/>
      </c>
      <c r="K355" s="96" t="str">
        <f>IFERROR(__xludf.DUMMYFUNCTION("iferror(join("", "",unique(filter({filter('Students (Vertical)'!D:D,'Students (Vertical)'!C:C=B355,'Students (Vertical)'!D:D&lt;&gt;"""");filter('Students (Vertical)'!D:D,'Students (Vertical)'!C:C=E355,'Students (Vertical)'!D:D&lt;&gt;"""")},countifs({filter('Student"&amp;"s (Vertical)'!D:D,'Students (Vertical)'!C:C=B355,'Students (Vertical)'!D:D&lt;&gt;"""");filter('Students (Vertical)'!D:D,'Students (Vertical)'!C:C=E355,'Students (Vertical)'!D:D&lt;&gt;"""")},{filter('Students (Vertical)'!D:D,'Students (Vertical)'!C:C=B355,'Students "&amp;"(Vertical)'!D:D&lt;&gt;"""");filter('Students (Vertical)'!D:D,'Students (Vertical)'!C:C=E355,'Students (Vertical)'!D:D&lt;&gt;"""")})&gt;1))),"""")"),"")</f>
        <v/>
      </c>
      <c r="L355" s="96"/>
      <c r="M355" s="96"/>
    </row>
    <row r="356" hidden="1">
      <c r="A356" s="8" t="s">
        <v>8</v>
      </c>
      <c r="C356" s="8" t="s">
        <v>8</v>
      </c>
      <c r="D356" s="8" t="s">
        <v>8</v>
      </c>
      <c r="F356" s="8" t="s">
        <v>8</v>
      </c>
      <c r="G356" s="8" t="s">
        <v>8</v>
      </c>
      <c r="I356" s="94" t="str">
        <f>IFERROR(__xludf.DUMMYFUNCTION("if(H356=""Must be Together"",iferror(join("", "",unique(filter({filter('Students (Vertical)'!O:O,'Students (Vertical)'!C:C=B356,'Students (Vertical)'!O:O&lt;&gt;"""");filter('Students (Vertical)'!O:O,'Students (Vertical)'!C:C=E356,'Students (Vertical)'!O:O&lt;&gt;"""&amp;""")},countifs({filter('Students (Vertical)'!O:O,'Students (Vertical)'!C:C=B356,'Students (Vertical)'!O:O&lt;&gt;"""");filter('Students (Vertical)'!O:O,'Students (Vertical)'!C:C=E356,'Students (Vertical)'!O:O&lt;&gt;"""")},{filter('Students (Vertical)'!O:O,'Students ("&amp;"Vertical)'!C:C=B356,'Students (Vertical)'!O:O&lt;&gt;"""");filter('Students (Vertical)'!O:O,'Students (Vertical)'!C:C=E356,'Students (Vertical)'!O:O&lt;&gt;"""")})&gt;1))),""No shared courses""),"""")"),"")</f>
        <v/>
      </c>
      <c r="J356" s="94" t="str">
        <f>IFERROR(__xludf.DUMMYFUNCTION("if(H356=""Can't be Together"",iferror(join("", "",unique(filter({unique(filter('Students (Vertical)'!O:O,'Students (Vertical)'!C:C=B356,'Students (Vertical)'!O:O&lt;&gt;"""",'Students (Vertical)'!P:P&gt;1));unique(filter('Students (Vertical)'!O:O,'Students (Vertic"&amp;"al)'!C:C=E356,'Students (Vertical)'!O:O&lt;&gt;"""",'Students (Vertical)'!P:P&gt;1))},countifs({unique(filter('Students (Vertical)'!O:O,'Students (Vertical)'!C:C=B356,'Students (Vertical)'!O:O&lt;&gt;"""",'Students (Vertical)'!P:P&gt;1));unique(filter('Students (Vertical)'"&amp;"!O:O,'Students (Vertical)'!C:C=E356,'Students (Vertical)'!O:O&lt;&gt;"""",'Students (Vertical)'!P:P&gt;1))},{unique(filter('Students (Vertical)'!O:O,'Students (Vertical)'!C:C=B356,'Students (Vertical)'!O:O&lt;&gt;"""",'Students (Vertical)'!P:P&gt;1));unique(filter('Student"&amp;"s (Vertical)'!O:O,'Students (Vertical)'!C:C=E356,'Students (Vertical)'!O:O&lt;&gt;"""",'Students (Vertical)'!P:P&gt;1))})&gt;1))),""""),"""")"),"")</f>
        <v/>
      </c>
      <c r="K356" s="96" t="str">
        <f>IFERROR(__xludf.DUMMYFUNCTION("iferror(join("", "",unique(filter({filter('Students (Vertical)'!D:D,'Students (Vertical)'!C:C=B356,'Students (Vertical)'!D:D&lt;&gt;"""");filter('Students (Vertical)'!D:D,'Students (Vertical)'!C:C=E356,'Students (Vertical)'!D:D&lt;&gt;"""")},countifs({filter('Student"&amp;"s (Vertical)'!D:D,'Students (Vertical)'!C:C=B356,'Students (Vertical)'!D:D&lt;&gt;"""");filter('Students (Vertical)'!D:D,'Students (Vertical)'!C:C=E356,'Students (Vertical)'!D:D&lt;&gt;"""")},{filter('Students (Vertical)'!D:D,'Students (Vertical)'!C:C=B356,'Students "&amp;"(Vertical)'!D:D&lt;&gt;"""");filter('Students (Vertical)'!D:D,'Students (Vertical)'!C:C=E356,'Students (Vertical)'!D:D&lt;&gt;"""")})&gt;1))),"""")"),"")</f>
        <v/>
      </c>
      <c r="L356" s="96"/>
      <c r="M356" s="96"/>
    </row>
    <row r="357" hidden="1">
      <c r="A357" s="8" t="s">
        <v>8</v>
      </c>
      <c r="C357" s="8" t="s">
        <v>8</v>
      </c>
      <c r="D357" s="8" t="s">
        <v>8</v>
      </c>
      <c r="F357" s="8" t="s">
        <v>8</v>
      </c>
      <c r="G357" s="8" t="s">
        <v>8</v>
      </c>
      <c r="I357" s="94" t="str">
        <f>IFERROR(__xludf.DUMMYFUNCTION("if(H357=""Must be Together"",iferror(join("", "",unique(filter({filter('Students (Vertical)'!O:O,'Students (Vertical)'!C:C=B357,'Students (Vertical)'!O:O&lt;&gt;"""");filter('Students (Vertical)'!O:O,'Students (Vertical)'!C:C=E357,'Students (Vertical)'!O:O&lt;&gt;"""&amp;""")},countifs({filter('Students (Vertical)'!O:O,'Students (Vertical)'!C:C=B357,'Students (Vertical)'!O:O&lt;&gt;"""");filter('Students (Vertical)'!O:O,'Students (Vertical)'!C:C=E357,'Students (Vertical)'!O:O&lt;&gt;"""")},{filter('Students (Vertical)'!O:O,'Students ("&amp;"Vertical)'!C:C=B357,'Students (Vertical)'!O:O&lt;&gt;"""");filter('Students (Vertical)'!O:O,'Students (Vertical)'!C:C=E357,'Students (Vertical)'!O:O&lt;&gt;"""")})&gt;1))),""No shared courses""),"""")"),"")</f>
        <v/>
      </c>
      <c r="J357" s="94" t="str">
        <f>IFERROR(__xludf.DUMMYFUNCTION("if(H357=""Can't be Together"",iferror(join("", "",unique(filter({unique(filter('Students (Vertical)'!O:O,'Students (Vertical)'!C:C=B357,'Students (Vertical)'!O:O&lt;&gt;"""",'Students (Vertical)'!P:P&gt;1));unique(filter('Students (Vertical)'!O:O,'Students (Vertic"&amp;"al)'!C:C=E357,'Students (Vertical)'!O:O&lt;&gt;"""",'Students (Vertical)'!P:P&gt;1))},countifs({unique(filter('Students (Vertical)'!O:O,'Students (Vertical)'!C:C=B357,'Students (Vertical)'!O:O&lt;&gt;"""",'Students (Vertical)'!P:P&gt;1));unique(filter('Students (Vertical)'"&amp;"!O:O,'Students (Vertical)'!C:C=E357,'Students (Vertical)'!O:O&lt;&gt;"""",'Students (Vertical)'!P:P&gt;1))},{unique(filter('Students (Vertical)'!O:O,'Students (Vertical)'!C:C=B357,'Students (Vertical)'!O:O&lt;&gt;"""",'Students (Vertical)'!P:P&gt;1));unique(filter('Student"&amp;"s (Vertical)'!O:O,'Students (Vertical)'!C:C=E357,'Students (Vertical)'!O:O&lt;&gt;"""",'Students (Vertical)'!P:P&gt;1))})&gt;1))),""""),"""")"),"")</f>
        <v/>
      </c>
      <c r="K357" s="96" t="str">
        <f>IFERROR(__xludf.DUMMYFUNCTION("iferror(join("", "",unique(filter({filter('Students (Vertical)'!D:D,'Students (Vertical)'!C:C=B357,'Students (Vertical)'!D:D&lt;&gt;"""");filter('Students (Vertical)'!D:D,'Students (Vertical)'!C:C=E357,'Students (Vertical)'!D:D&lt;&gt;"""")},countifs({filter('Student"&amp;"s (Vertical)'!D:D,'Students (Vertical)'!C:C=B357,'Students (Vertical)'!D:D&lt;&gt;"""");filter('Students (Vertical)'!D:D,'Students (Vertical)'!C:C=E357,'Students (Vertical)'!D:D&lt;&gt;"""")},{filter('Students (Vertical)'!D:D,'Students (Vertical)'!C:C=B357,'Students "&amp;"(Vertical)'!D:D&lt;&gt;"""");filter('Students (Vertical)'!D:D,'Students (Vertical)'!C:C=E357,'Students (Vertical)'!D:D&lt;&gt;"""")})&gt;1))),"""")"),"")</f>
        <v/>
      </c>
      <c r="L357" s="96"/>
      <c r="M357" s="96"/>
    </row>
    <row r="358" hidden="1">
      <c r="A358" s="8" t="s">
        <v>8</v>
      </c>
      <c r="C358" s="8" t="s">
        <v>8</v>
      </c>
      <c r="D358" s="8" t="s">
        <v>8</v>
      </c>
      <c r="F358" s="8" t="s">
        <v>8</v>
      </c>
      <c r="G358" s="8" t="s">
        <v>8</v>
      </c>
      <c r="I358" s="94" t="str">
        <f>IFERROR(__xludf.DUMMYFUNCTION("if(H358=""Must be Together"",iferror(join("", "",unique(filter({filter('Students (Vertical)'!O:O,'Students (Vertical)'!C:C=B358,'Students (Vertical)'!O:O&lt;&gt;"""");filter('Students (Vertical)'!O:O,'Students (Vertical)'!C:C=E358,'Students (Vertical)'!O:O&lt;&gt;"""&amp;""")},countifs({filter('Students (Vertical)'!O:O,'Students (Vertical)'!C:C=B358,'Students (Vertical)'!O:O&lt;&gt;"""");filter('Students (Vertical)'!O:O,'Students (Vertical)'!C:C=E358,'Students (Vertical)'!O:O&lt;&gt;"""")},{filter('Students (Vertical)'!O:O,'Students ("&amp;"Vertical)'!C:C=B358,'Students (Vertical)'!O:O&lt;&gt;"""");filter('Students (Vertical)'!O:O,'Students (Vertical)'!C:C=E358,'Students (Vertical)'!O:O&lt;&gt;"""")})&gt;1))),""No shared courses""),"""")"),"")</f>
        <v/>
      </c>
      <c r="J358" s="94" t="str">
        <f>IFERROR(__xludf.DUMMYFUNCTION("if(H358=""Can't be Together"",iferror(join("", "",unique(filter({unique(filter('Students (Vertical)'!O:O,'Students (Vertical)'!C:C=B358,'Students (Vertical)'!O:O&lt;&gt;"""",'Students (Vertical)'!P:P&gt;1));unique(filter('Students (Vertical)'!O:O,'Students (Vertic"&amp;"al)'!C:C=E358,'Students (Vertical)'!O:O&lt;&gt;"""",'Students (Vertical)'!P:P&gt;1))},countifs({unique(filter('Students (Vertical)'!O:O,'Students (Vertical)'!C:C=B358,'Students (Vertical)'!O:O&lt;&gt;"""",'Students (Vertical)'!P:P&gt;1));unique(filter('Students (Vertical)'"&amp;"!O:O,'Students (Vertical)'!C:C=E358,'Students (Vertical)'!O:O&lt;&gt;"""",'Students (Vertical)'!P:P&gt;1))},{unique(filter('Students (Vertical)'!O:O,'Students (Vertical)'!C:C=B358,'Students (Vertical)'!O:O&lt;&gt;"""",'Students (Vertical)'!P:P&gt;1));unique(filter('Student"&amp;"s (Vertical)'!O:O,'Students (Vertical)'!C:C=E358,'Students (Vertical)'!O:O&lt;&gt;"""",'Students (Vertical)'!P:P&gt;1))})&gt;1))),""""),"""")"),"")</f>
        <v/>
      </c>
      <c r="K358" s="96" t="str">
        <f>IFERROR(__xludf.DUMMYFUNCTION("iferror(join("", "",unique(filter({filter('Students (Vertical)'!D:D,'Students (Vertical)'!C:C=B358,'Students (Vertical)'!D:D&lt;&gt;"""");filter('Students (Vertical)'!D:D,'Students (Vertical)'!C:C=E358,'Students (Vertical)'!D:D&lt;&gt;"""")},countifs({filter('Student"&amp;"s (Vertical)'!D:D,'Students (Vertical)'!C:C=B358,'Students (Vertical)'!D:D&lt;&gt;"""");filter('Students (Vertical)'!D:D,'Students (Vertical)'!C:C=E358,'Students (Vertical)'!D:D&lt;&gt;"""")},{filter('Students (Vertical)'!D:D,'Students (Vertical)'!C:C=B358,'Students "&amp;"(Vertical)'!D:D&lt;&gt;"""");filter('Students (Vertical)'!D:D,'Students (Vertical)'!C:C=E358,'Students (Vertical)'!D:D&lt;&gt;"""")})&gt;1))),"""")"),"")</f>
        <v/>
      </c>
      <c r="L358" s="96"/>
      <c r="M358" s="96"/>
    </row>
    <row r="359" hidden="1">
      <c r="A359" s="8" t="s">
        <v>8</v>
      </c>
      <c r="C359" s="8" t="s">
        <v>8</v>
      </c>
      <c r="D359" s="8" t="s">
        <v>8</v>
      </c>
      <c r="F359" s="8" t="s">
        <v>8</v>
      </c>
      <c r="G359" s="8" t="s">
        <v>8</v>
      </c>
      <c r="I359" s="94" t="str">
        <f>IFERROR(__xludf.DUMMYFUNCTION("if(H359=""Must be Together"",iferror(join("", "",unique(filter({filter('Students (Vertical)'!O:O,'Students (Vertical)'!C:C=B359,'Students (Vertical)'!O:O&lt;&gt;"""");filter('Students (Vertical)'!O:O,'Students (Vertical)'!C:C=E359,'Students (Vertical)'!O:O&lt;&gt;"""&amp;""")},countifs({filter('Students (Vertical)'!O:O,'Students (Vertical)'!C:C=B359,'Students (Vertical)'!O:O&lt;&gt;"""");filter('Students (Vertical)'!O:O,'Students (Vertical)'!C:C=E359,'Students (Vertical)'!O:O&lt;&gt;"""")},{filter('Students (Vertical)'!O:O,'Students ("&amp;"Vertical)'!C:C=B359,'Students (Vertical)'!O:O&lt;&gt;"""");filter('Students (Vertical)'!O:O,'Students (Vertical)'!C:C=E359,'Students (Vertical)'!O:O&lt;&gt;"""")})&gt;1))),""No shared courses""),"""")"),"")</f>
        <v/>
      </c>
      <c r="J359" s="94" t="str">
        <f>IFERROR(__xludf.DUMMYFUNCTION("if(H359=""Can't be Together"",iferror(join("", "",unique(filter({unique(filter('Students (Vertical)'!O:O,'Students (Vertical)'!C:C=B359,'Students (Vertical)'!O:O&lt;&gt;"""",'Students (Vertical)'!P:P&gt;1));unique(filter('Students (Vertical)'!O:O,'Students (Vertic"&amp;"al)'!C:C=E359,'Students (Vertical)'!O:O&lt;&gt;"""",'Students (Vertical)'!P:P&gt;1))},countifs({unique(filter('Students (Vertical)'!O:O,'Students (Vertical)'!C:C=B359,'Students (Vertical)'!O:O&lt;&gt;"""",'Students (Vertical)'!P:P&gt;1));unique(filter('Students (Vertical)'"&amp;"!O:O,'Students (Vertical)'!C:C=E359,'Students (Vertical)'!O:O&lt;&gt;"""",'Students (Vertical)'!P:P&gt;1))},{unique(filter('Students (Vertical)'!O:O,'Students (Vertical)'!C:C=B359,'Students (Vertical)'!O:O&lt;&gt;"""",'Students (Vertical)'!P:P&gt;1));unique(filter('Student"&amp;"s (Vertical)'!O:O,'Students (Vertical)'!C:C=E359,'Students (Vertical)'!O:O&lt;&gt;"""",'Students (Vertical)'!P:P&gt;1))})&gt;1))),""""),"""")"),"")</f>
        <v/>
      </c>
      <c r="K359" s="96" t="str">
        <f>IFERROR(__xludf.DUMMYFUNCTION("iferror(join("", "",unique(filter({filter('Students (Vertical)'!D:D,'Students (Vertical)'!C:C=B359,'Students (Vertical)'!D:D&lt;&gt;"""");filter('Students (Vertical)'!D:D,'Students (Vertical)'!C:C=E359,'Students (Vertical)'!D:D&lt;&gt;"""")},countifs({filter('Student"&amp;"s (Vertical)'!D:D,'Students (Vertical)'!C:C=B359,'Students (Vertical)'!D:D&lt;&gt;"""");filter('Students (Vertical)'!D:D,'Students (Vertical)'!C:C=E359,'Students (Vertical)'!D:D&lt;&gt;"""")},{filter('Students (Vertical)'!D:D,'Students (Vertical)'!C:C=B359,'Students "&amp;"(Vertical)'!D:D&lt;&gt;"""");filter('Students (Vertical)'!D:D,'Students (Vertical)'!C:C=E359,'Students (Vertical)'!D:D&lt;&gt;"""")})&gt;1))),"""")"),"")</f>
        <v/>
      </c>
      <c r="L359" s="96"/>
      <c r="M359" s="96"/>
    </row>
    <row r="360" hidden="1">
      <c r="A360" s="8" t="s">
        <v>8</v>
      </c>
      <c r="C360" s="8" t="s">
        <v>8</v>
      </c>
      <c r="D360" s="8" t="s">
        <v>8</v>
      </c>
      <c r="F360" s="8" t="s">
        <v>8</v>
      </c>
      <c r="G360" s="8" t="s">
        <v>8</v>
      </c>
      <c r="I360" s="94" t="str">
        <f>IFERROR(__xludf.DUMMYFUNCTION("if(H360=""Must be Together"",iferror(join("", "",unique(filter({filter('Students (Vertical)'!O:O,'Students (Vertical)'!C:C=B360,'Students (Vertical)'!O:O&lt;&gt;"""");filter('Students (Vertical)'!O:O,'Students (Vertical)'!C:C=E360,'Students (Vertical)'!O:O&lt;&gt;"""&amp;""")},countifs({filter('Students (Vertical)'!O:O,'Students (Vertical)'!C:C=B360,'Students (Vertical)'!O:O&lt;&gt;"""");filter('Students (Vertical)'!O:O,'Students (Vertical)'!C:C=E360,'Students (Vertical)'!O:O&lt;&gt;"""")},{filter('Students (Vertical)'!O:O,'Students ("&amp;"Vertical)'!C:C=B360,'Students (Vertical)'!O:O&lt;&gt;"""");filter('Students (Vertical)'!O:O,'Students (Vertical)'!C:C=E360,'Students (Vertical)'!O:O&lt;&gt;"""")})&gt;1))),""No shared courses""),"""")"),"")</f>
        <v/>
      </c>
      <c r="J360" s="94" t="str">
        <f>IFERROR(__xludf.DUMMYFUNCTION("if(H360=""Can't be Together"",iferror(join("", "",unique(filter({unique(filter('Students (Vertical)'!O:O,'Students (Vertical)'!C:C=B360,'Students (Vertical)'!O:O&lt;&gt;"""",'Students (Vertical)'!P:P&gt;1));unique(filter('Students (Vertical)'!O:O,'Students (Vertic"&amp;"al)'!C:C=E360,'Students (Vertical)'!O:O&lt;&gt;"""",'Students (Vertical)'!P:P&gt;1))},countifs({unique(filter('Students (Vertical)'!O:O,'Students (Vertical)'!C:C=B360,'Students (Vertical)'!O:O&lt;&gt;"""",'Students (Vertical)'!P:P&gt;1));unique(filter('Students (Vertical)'"&amp;"!O:O,'Students (Vertical)'!C:C=E360,'Students (Vertical)'!O:O&lt;&gt;"""",'Students (Vertical)'!P:P&gt;1))},{unique(filter('Students (Vertical)'!O:O,'Students (Vertical)'!C:C=B360,'Students (Vertical)'!O:O&lt;&gt;"""",'Students (Vertical)'!P:P&gt;1));unique(filter('Student"&amp;"s (Vertical)'!O:O,'Students (Vertical)'!C:C=E360,'Students (Vertical)'!O:O&lt;&gt;"""",'Students (Vertical)'!P:P&gt;1))})&gt;1))),""""),"""")"),"")</f>
        <v/>
      </c>
      <c r="K360" s="96" t="str">
        <f>IFERROR(__xludf.DUMMYFUNCTION("iferror(join("", "",unique(filter({filter('Students (Vertical)'!D:D,'Students (Vertical)'!C:C=B360,'Students (Vertical)'!D:D&lt;&gt;"""");filter('Students (Vertical)'!D:D,'Students (Vertical)'!C:C=E360,'Students (Vertical)'!D:D&lt;&gt;"""")},countifs({filter('Student"&amp;"s (Vertical)'!D:D,'Students (Vertical)'!C:C=B360,'Students (Vertical)'!D:D&lt;&gt;"""");filter('Students (Vertical)'!D:D,'Students (Vertical)'!C:C=E360,'Students (Vertical)'!D:D&lt;&gt;"""")},{filter('Students (Vertical)'!D:D,'Students (Vertical)'!C:C=B360,'Students "&amp;"(Vertical)'!D:D&lt;&gt;"""");filter('Students (Vertical)'!D:D,'Students (Vertical)'!C:C=E360,'Students (Vertical)'!D:D&lt;&gt;"""")})&gt;1))),"""")"),"")</f>
        <v/>
      </c>
      <c r="L360" s="96"/>
      <c r="M360" s="96"/>
    </row>
    <row r="361" hidden="1">
      <c r="A361" s="8" t="s">
        <v>8</v>
      </c>
      <c r="C361" s="8" t="s">
        <v>8</v>
      </c>
      <c r="D361" s="8" t="s">
        <v>8</v>
      </c>
      <c r="F361" s="8" t="s">
        <v>8</v>
      </c>
      <c r="G361" s="8" t="s">
        <v>8</v>
      </c>
      <c r="I361" s="94" t="str">
        <f>IFERROR(__xludf.DUMMYFUNCTION("if(H361=""Must be Together"",iferror(join("", "",unique(filter({filter('Students (Vertical)'!O:O,'Students (Vertical)'!C:C=B361,'Students (Vertical)'!O:O&lt;&gt;"""");filter('Students (Vertical)'!O:O,'Students (Vertical)'!C:C=E361,'Students (Vertical)'!O:O&lt;&gt;"""&amp;""")},countifs({filter('Students (Vertical)'!O:O,'Students (Vertical)'!C:C=B361,'Students (Vertical)'!O:O&lt;&gt;"""");filter('Students (Vertical)'!O:O,'Students (Vertical)'!C:C=E361,'Students (Vertical)'!O:O&lt;&gt;"""")},{filter('Students (Vertical)'!O:O,'Students ("&amp;"Vertical)'!C:C=B361,'Students (Vertical)'!O:O&lt;&gt;"""");filter('Students (Vertical)'!O:O,'Students (Vertical)'!C:C=E361,'Students (Vertical)'!O:O&lt;&gt;"""")})&gt;1))),""No shared courses""),"""")"),"")</f>
        <v/>
      </c>
      <c r="J361" s="94" t="str">
        <f>IFERROR(__xludf.DUMMYFUNCTION("if(H361=""Can't be Together"",iferror(join("", "",unique(filter({unique(filter('Students (Vertical)'!O:O,'Students (Vertical)'!C:C=B361,'Students (Vertical)'!O:O&lt;&gt;"""",'Students (Vertical)'!P:P&gt;1));unique(filter('Students (Vertical)'!O:O,'Students (Vertic"&amp;"al)'!C:C=E361,'Students (Vertical)'!O:O&lt;&gt;"""",'Students (Vertical)'!P:P&gt;1))},countifs({unique(filter('Students (Vertical)'!O:O,'Students (Vertical)'!C:C=B361,'Students (Vertical)'!O:O&lt;&gt;"""",'Students (Vertical)'!P:P&gt;1));unique(filter('Students (Vertical)'"&amp;"!O:O,'Students (Vertical)'!C:C=E361,'Students (Vertical)'!O:O&lt;&gt;"""",'Students (Vertical)'!P:P&gt;1))},{unique(filter('Students (Vertical)'!O:O,'Students (Vertical)'!C:C=B361,'Students (Vertical)'!O:O&lt;&gt;"""",'Students (Vertical)'!P:P&gt;1));unique(filter('Student"&amp;"s (Vertical)'!O:O,'Students (Vertical)'!C:C=E361,'Students (Vertical)'!O:O&lt;&gt;"""",'Students (Vertical)'!P:P&gt;1))})&gt;1))),""""),"""")"),"")</f>
        <v/>
      </c>
      <c r="K361" s="96" t="str">
        <f>IFERROR(__xludf.DUMMYFUNCTION("iferror(join("", "",unique(filter({filter('Students (Vertical)'!D:D,'Students (Vertical)'!C:C=B361,'Students (Vertical)'!D:D&lt;&gt;"""");filter('Students (Vertical)'!D:D,'Students (Vertical)'!C:C=E361,'Students (Vertical)'!D:D&lt;&gt;"""")},countifs({filter('Student"&amp;"s (Vertical)'!D:D,'Students (Vertical)'!C:C=B361,'Students (Vertical)'!D:D&lt;&gt;"""");filter('Students (Vertical)'!D:D,'Students (Vertical)'!C:C=E361,'Students (Vertical)'!D:D&lt;&gt;"""")},{filter('Students (Vertical)'!D:D,'Students (Vertical)'!C:C=B361,'Students "&amp;"(Vertical)'!D:D&lt;&gt;"""");filter('Students (Vertical)'!D:D,'Students (Vertical)'!C:C=E361,'Students (Vertical)'!D:D&lt;&gt;"""")})&gt;1))),"""")"),"")</f>
        <v/>
      </c>
      <c r="L361" s="96"/>
      <c r="M361" s="96"/>
    </row>
    <row r="362" hidden="1">
      <c r="A362" s="8" t="s">
        <v>8</v>
      </c>
      <c r="C362" s="8" t="s">
        <v>8</v>
      </c>
      <c r="D362" s="8" t="s">
        <v>8</v>
      </c>
      <c r="F362" s="8" t="s">
        <v>8</v>
      </c>
      <c r="G362" s="8" t="s">
        <v>8</v>
      </c>
      <c r="I362" s="94" t="str">
        <f>IFERROR(__xludf.DUMMYFUNCTION("if(H362=""Must be Together"",iferror(join("", "",unique(filter({filter('Students (Vertical)'!O:O,'Students (Vertical)'!C:C=B362,'Students (Vertical)'!O:O&lt;&gt;"""");filter('Students (Vertical)'!O:O,'Students (Vertical)'!C:C=E362,'Students (Vertical)'!O:O&lt;&gt;"""&amp;""")},countifs({filter('Students (Vertical)'!O:O,'Students (Vertical)'!C:C=B362,'Students (Vertical)'!O:O&lt;&gt;"""");filter('Students (Vertical)'!O:O,'Students (Vertical)'!C:C=E362,'Students (Vertical)'!O:O&lt;&gt;"""")},{filter('Students (Vertical)'!O:O,'Students ("&amp;"Vertical)'!C:C=B362,'Students (Vertical)'!O:O&lt;&gt;"""");filter('Students (Vertical)'!O:O,'Students (Vertical)'!C:C=E362,'Students (Vertical)'!O:O&lt;&gt;"""")})&gt;1))),""No shared courses""),"""")"),"")</f>
        <v/>
      </c>
      <c r="J362" s="94" t="str">
        <f>IFERROR(__xludf.DUMMYFUNCTION("if(H362=""Can't be Together"",iferror(join("", "",unique(filter({unique(filter('Students (Vertical)'!O:O,'Students (Vertical)'!C:C=B362,'Students (Vertical)'!O:O&lt;&gt;"""",'Students (Vertical)'!P:P&gt;1));unique(filter('Students (Vertical)'!O:O,'Students (Vertic"&amp;"al)'!C:C=E362,'Students (Vertical)'!O:O&lt;&gt;"""",'Students (Vertical)'!P:P&gt;1))},countifs({unique(filter('Students (Vertical)'!O:O,'Students (Vertical)'!C:C=B362,'Students (Vertical)'!O:O&lt;&gt;"""",'Students (Vertical)'!P:P&gt;1));unique(filter('Students (Vertical)'"&amp;"!O:O,'Students (Vertical)'!C:C=E362,'Students (Vertical)'!O:O&lt;&gt;"""",'Students (Vertical)'!P:P&gt;1))},{unique(filter('Students (Vertical)'!O:O,'Students (Vertical)'!C:C=B362,'Students (Vertical)'!O:O&lt;&gt;"""",'Students (Vertical)'!P:P&gt;1));unique(filter('Student"&amp;"s (Vertical)'!O:O,'Students (Vertical)'!C:C=E362,'Students (Vertical)'!O:O&lt;&gt;"""",'Students (Vertical)'!P:P&gt;1))})&gt;1))),""""),"""")"),"")</f>
        <v/>
      </c>
      <c r="K362" s="96" t="str">
        <f>IFERROR(__xludf.DUMMYFUNCTION("iferror(join("", "",unique(filter({filter('Students (Vertical)'!D:D,'Students (Vertical)'!C:C=B362,'Students (Vertical)'!D:D&lt;&gt;"""");filter('Students (Vertical)'!D:D,'Students (Vertical)'!C:C=E362,'Students (Vertical)'!D:D&lt;&gt;"""")},countifs({filter('Student"&amp;"s (Vertical)'!D:D,'Students (Vertical)'!C:C=B362,'Students (Vertical)'!D:D&lt;&gt;"""");filter('Students (Vertical)'!D:D,'Students (Vertical)'!C:C=E362,'Students (Vertical)'!D:D&lt;&gt;"""")},{filter('Students (Vertical)'!D:D,'Students (Vertical)'!C:C=B362,'Students "&amp;"(Vertical)'!D:D&lt;&gt;"""");filter('Students (Vertical)'!D:D,'Students (Vertical)'!C:C=E362,'Students (Vertical)'!D:D&lt;&gt;"""")})&gt;1))),"""")"),"")</f>
        <v/>
      </c>
      <c r="L362" s="96"/>
      <c r="M362" s="96"/>
    </row>
    <row r="363" hidden="1">
      <c r="A363" s="8" t="s">
        <v>8</v>
      </c>
      <c r="C363" s="8" t="s">
        <v>8</v>
      </c>
      <c r="D363" s="8" t="s">
        <v>8</v>
      </c>
      <c r="F363" s="8" t="s">
        <v>8</v>
      </c>
      <c r="G363" s="8" t="s">
        <v>8</v>
      </c>
      <c r="I363" s="94" t="str">
        <f>IFERROR(__xludf.DUMMYFUNCTION("if(H363=""Must be Together"",iferror(join("", "",unique(filter({filter('Students (Vertical)'!O:O,'Students (Vertical)'!C:C=B363,'Students (Vertical)'!O:O&lt;&gt;"""");filter('Students (Vertical)'!O:O,'Students (Vertical)'!C:C=E363,'Students (Vertical)'!O:O&lt;&gt;"""&amp;""")},countifs({filter('Students (Vertical)'!O:O,'Students (Vertical)'!C:C=B363,'Students (Vertical)'!O:O&lt;&gt;"""");filter('Students (Vertical)'!O:O,'Students (Vertical)'!C:C=E363,'Students (Vertical)'!O:O&lt;&gt;"""")},{filter('Students (Vertical)'!O:O,'Students ("&amp;"Vertical)'!C:C=B363,'Students (Vertical)'!O:O&lt;&gt;"""");filter('Students (Vertical)'!O:O,'Students (Vertical)'!C:C=E363,'Students (Vertical)'!O:O&lt;&gt;"""")})&gt;1))),""No shared courses""),"""")"),"")</f>
        <v/>
      </c>
      <c r="J363" s="94" t="str">
        <f>IFERROR(__xludf.DUMMYFUNCTION("if(H363=""Can't be Together"",iferror(join("", "",unique(filter({unique(filter('Students (Vertical)'!O:O,'Students (Vertical)'!C:C=B363,'Students (Vertical)'!O:O&lt;&gt;"""",'Students (Vertical)'!P:P&gt;1));unique(filter('Students (Vertical)'!O:O,'Students (Vertic"&amp;"al)'!C:C=E363,'Students (Vertical)'!O:O&lt;&gt;"""",'Students (Vertical)'!P:P&gt;1))},countifs({unique(filter('Students (Vertical)'!O:O,'Students (Vertical)'!C:C=B363,'Students (Vertical)'!O:O&lt;&gt;"""",'Students (Vertical)'!P:P&gt;1));unique(filter('Students (Vertical)'"&amp;"!O:O,'Students (Vertical)'!C:C=E363,'Students (Vertical)'!O:O&lt;&gt;"""",'Students (Vertical)'!P:P&gt;1))},{unique(filter('Students (Vertical)'!O:O,'Students (Vertical)'!C:C=B363,'Students (Vertical)'!O:O&lt;&gt;"""",'Students (Vertical)'!P:P&gt;1));unique(filter('Student"&amp;"s (Vertical)'!O:O,'Students (Vertical)'!C:C=E363,'Students (Vertical)'!O:O&lt;&gt;"""",'Students (Vertical)'!P:P&gt;1))})&gt;1))),""""),"""")"),"")</f>
        <v/>
      </c>
      <c r="K363" s="96" t="str">
        <f>IFERROR(__xludf.DUMMYFUNCTION("iferror(join("", "",unique(filter({filter('Students (Vertical)'!D:D,'Students (Vertical)'!C:C=B363,'Students (Vertical)'!D:D&lt;&gt;"""");filter('Students (Vertical)'!D:D,'Students (Vertical)'!C:C=E363,'Students (Vertical)'!D:D&lt;&gt;"""")},countifs({filter('Student"&amp;"s (Vertical)'!D:D,'Students (Vertical)'!C:C=B363,'Students (Vertical)'!D:D&lt;&gt;"""");filter('Students (Vertical)'!D:D,'Students (Vertical)'!C:C=E363,'Students (Vertical)'!D:D&lt;&gt;"""")},{filter('Students (Vertical)'!D:D,'Students (Vertical)'!C:C=B363,'Students "&amp;"(Vertical)'!D:D&lt;&gt;"""");filter('Students (Vertical)'!D:D,'Students (Vertical)'!C:C=E363,'Students (Vertical)'!D:D&lt;&gt;"""")})&gt;1))),"""")"),"")</f>
        <v/>
      </c>
      <c r="L363" s="96"/>
      <c r="M363" s="96"/>
    </row>
    <row r="364" hidden="1">
      <c r="A364" s="8" t="s">
        <v>8</v>
      </c>
      <c r="C364" s="8" t="s">
        <v>8</v>
      </c>
      <c r="D364" s="8" t="s">
        <v>8</v>
      </c>
      <c r="F364" s="8" t="s">
        <v>8</v>
      </c>
      <c r="G364" s="8" t="s">
        <v>8</v>
      </c>
      <c r="I364" s="94" t="str">
        <f>IFERROR(__xludf.DUMMYFUNCTION("if(H364=""Must be Together"",iferror(join("", "",unique(filter({filter('Students (Vertical)'!O:O,'Students (Vertical)'!C:C=B364,'Students (Vertical)'!O:O&lt;&gt;"""");filter('Students (Vertical)'!O:O,'Students (Vertical)'!C:C=E364,'Students (Vertical)'!O:O&lt;&gt;"""&amp;""")},countifs({filter('Students (Vertical)'!O:O,'Students (Vertical)'!C:C=B364,'Students (Vertical)'!O:O&lt;&gt;"""");filter('Students (Vertical)'!O:O,'Students (Vertical)'!C:C=E364,'Students (Vertical)'!O:O&lt;&gt;"""")},{filter('Students (Vertical)'!O:O,'Students ("&amp;"Vertical)'!C:C=B364,'Students (Vertical)'!O:O&lt;&gt;"""");filter('Students (Vertical)'!O:O,'Students (Vertical)'!C:C=E364,'Students (Vertical)'!O:O&lt;&gt;"""")})&gt;1))),""No shared courses""),"""")"),"")</f>
        <v/>
      </c>
      <c r="J364" s="94" t="str">
        <f>IFERROR(__xludf.DUMMYFUNCTION("if(H364=""Can't be Together"",iferror(join("", "",unique(filter({unique(filter('Students (Vertical)'!O:O,'Students (Vertical)'!C:C=B364,'Students (Vertical)'!O:O&lt;&gt;"""",'Students (Vertical)'!P:P&gt;1));unique(filter('Students (Vertical)'!O:O,'Students (Vertic"&amp;"al)'!C:C=E364,'Students (Vertical)'!O:O&lt;&gt;"""",'Students (Vertical)'!P:P&gt;1))},countifs({unique(filter('Students (Vertical)'!O:O,'Students (Vertical)'!C:C=B364,'Students (Vertical)'!O:O&lt;&gt;"""",'Students (Vertical)'!P:P&gt;1));unique(filter('Students (Vertical)'"&amp;"!O:O,'Students (Vertical)'!C:C=E364,'Students (Vertical)'!O:O&lt;&gt;"""",'Students (Vertical)'!P:P&gt;1))},{unique(filter('Students (Vertical)'!O:O,'Students (Vertical)'!C:C=B364,'Students (Vertical)'!O:O&lt;&gt;"""",'Students (Vertical)'!P:P&gt;1));unique(filter('Student"&amp;"s (Vertical)'!O:O,'Students (Vertical)'!C:C=E364,'Students (Vertical)'!O:O&lt;&gt;"""",'Students (Vertical)'!P:P&gt;1))})&gt;1))),""""),"""")"),"")</f>
        <v/>
      </c>
      <c r="K364" s="96" t="str">
        <f>IFERROR(__xludf.DUMMYFUNCTION("iferror(join("", "",unique(filter({filter('Students (Vertical)'!D:D,'Students (Vertical)'!C:C=B364,'Students (Vertical)'!D:D&lt;&gt;"""");filter('Students (Vertical)'!D:D,'Students (Vertical)'!C:C=E364,'Students (Vertical)'!D:D&lt;&gt;"""")},countifs({filter('Student"&amp;"s (Vertical)'!D:D,'Students (Vertical)'!C:C=B364,'Students (Vertical)'!D:D&lt;&gt;"""");filter('Students (Vertical)'!D:D,'Students (Vertical)'!C:C=E364,'Students (Vertical)'!D:D&lt;&gt;"""")},{filter('Students (Vertical)'!D:D,'Students (Vertical)'!C:C=B364,'Students "&amp;"(Vertical)'!D:D&lt;&gt;"""");filter('Students (Vertical)'!D:D,'Students (Vertical)'!C:C=E364,'Students (Vertical)'!D:D&lt;&gt;"""")})&gt;1))),"""")"),"")</f>
        <v/>
      </c>
      <c r="L364" s="96"/>
      <c r="M364" s="96"/>
    </row>
    <row r="365" hidden="1">
      <c r="A365" s="8" t="s">
        <v>8</v>
      </c>
      <c r="C365" s="8" t="s">
        <v>8</v>
      </c>
      <c r="D365" s="8" t="s">
        <v>8</v>
      </c>
      <c r="F365" s="8" t="s">
        <v>8</v>
      </c>
      <c r="G365" s="8" t="s">
        <v>8</v>
      </c>
      <c r="I365" s="94" t="str">
        <f>IFERROR(__xludf.DUMMYFUNCTION("if(H365=""Must be Together"",iferror(join("", "",unique(filter({filter('Students (Vertical)'!O:O,'Students (Vertical)'!C:C=B365,'Students (Vertical)'!O:O&lt;&gt;"""");filter('Students (Vertical)'!O:O,'Students (Vertical)'!C:C=E365,'Students (Vertical)'!O:O&lt;&gt;"""&amp;""")},countifs({filter('Students (Vertical)'!O:O,'Students (Vertical)'!C:C=B365,'Students (Vertical)'!O:O&lt;&gt;"""");filter('Students (Vertical)'!O:O,'Students (Vertical)'!C:C=E365,'Students (Vertical)'!O:O&lt;&gt;"""")},{filter('Students (Vertical)'!O:O,'Students ("&amp;"Vertical)'!C:C=B365,'Students (Vertical)'!O:O&lt;&gt;"""");filter('Students (Vertical)'!O:O,'Students (Vertical)'!C:C=E365,'Students (Vertical)'!O:O&lt;&gt;"""")})&gt;1))),""No shared courses""),"""")"),"")</f>
        <v/>
      </c>
      <c r="J365" s="94" t="str">
        <f>IFERROR(__xludf.DUMMYFUNCTION("if(H365=""Can't be Together"",iferror(join("", "",unique(filter({unique(filter('Students (Vertical)'!O:O,'Students (Vertical)'!C:C=B365,'Students (Vertical)'!O:O&lt;&gt;"""",'Students (Vertical)'!P:P&gt;1));unique(filter('Students (Vertical)'!O:O,'Students (Vertic"&amp;"al)'!C:C=E365,'Students (Vertical)'!O:O&lt;&gt;"""",'Students (Vertical)'!P:P&gt;1))},countifs({unique(filter('Students (Vertical)'!O:O,'Students (Vertical)'!C:C=B365,'Students (Vertical)'!O:O&lt;&gt;"""",'Students (Vertical)'!P:P&gt;1));unique(filter('Students (Vertical)'"&amp;"!O:O,'Students (Vertical)'!C:C=E365,'Students (Vertical)'!O:O&lt;&gt;"""",'Students (Vertical)'!P:P&gt;1))},{unique(filter('Students (Vertical)'!O:O,'Students (Vertical)'!C:C=B365,'Students (Vertical)'!O:O&lt;&gt;"""",'Students (Vertical)'!P:P&gt;1));unique(filter('Student"&amp;"s (Vertical)'!O:O,'Students (Vertical)'!C:C=E365,'Students (Vertical)'!O:O&lt;&gt;"""",'Students (Vertical)'!P:P&gt;1))})&gt;1))),""""),"""")"),"")</f>
        <v/>
      </c>
      <c r="K365" s="96" t="str">
        <f>IFERROR(__xludf.DUMMYFUNCTION("iferror(join("", "",unique(filter({filter('Students (Vertical)'!D:D,'Students (Vertical)'!C:C=B365,'Students (Vertical)'!D:D&lt;&gt;"""");filter('Students (Vertical)'!D:D,'Students (Vertical)'!C:C=E365,'Students (Vertical)'!D:D&lt;&gt;"""")},countifs({filter('Student"&amp;"s (Vertical)'!D:D,'Students (Vertical)'!C:C=B365,'Students (Vertical)'!D:D&lt;&gt;"""");filter('Students (Vertical)'!D:D,'Students (Vertical)'!C:C=E365,'Students (Vertical)'!D:D&lt;&gt;"""")},{filter('Students (Vertical)'!D:D,'Students (Vertical)'!C:C=B365,'Students "&amp;"(Vertical)'!D:D&lt;&gt;"""");filter('Students (Vertical)'!D:D,'Students (Vertical)'!C:C=E365,'Students (Vertical)'!D:D&lt;&gt;"""")})&gt;1))),"""")"),"")</f>
        <v/>
      </c>
      <c r="L365" s="96"/>
      <c r="M365" s="96"/>
    </row>
    <row r="366" hidden="1">
      <c r="A366" s="8" t="s">
        <v>8</v>
      </c>
      <c r="C366" s="8" t="s">
        <v>8</v>
      </c>
      <c r="D366" s="8" t="s">
        <v>8</v>
      </c>
      <c r="F366" s="8" t="s">
        <v>8</v>
      </c>
      <c r="G366" s="8" t="s">
        <v>8</v>
      </c>
      <c r="I366" s="94" t="str">
        <f>IFERROR(__xludf.DUMMYFUNCTION("if(H366=""Must be Together"",iferror(join("", "",unique(filter({filter('Students (Vertical)'!O:O,'Students (Vertical)'!C:C=B366,'Students (Vertical)'!O:O&lt;&gt;"""");filter('Students (Vertical)'!O:O,'Students (Vertical)'!C:C=E366,'Students (Vertical)'!O:O&lt;&gt;"""&amp;""")},countifs({filter('Students (Vertical)'!O:O,'Students (Vertical)'!C:C=B366,'Students (Vertical)'!O:O&lt;&gt;"""");filter('Students (Vertical)'!O:O,'Students (Vertical)'!C:C=E366,'Students (Vertical)'!O:O&lt;&gt;"""")},{filter('Students (Vertical)'!O:O,'Students ("&amp;"Vertical)'!C:C=B366,'Students (Vertical)'!O:O&lt;&gt;"""");filter('Students (Vertical)'!O:O,'Students (Vertical)'!C:C=E366,'Students (Vertical)'!O:O&lt;&gt;"""")})&gt;1))),""No shared courses""),"""")"),"")</f>
        <v/>
      </c>
      <c r="J366" s="94" t="str">
        <f>IFERROR(__xludf.DUMMYFUNCTION("if(H366=""Can't be Together"",iferror(join("", "",unique(filter({unique(filter('Students (Vertical)'!O:O,'Students (Vertical)'!C:C=B366,'Students (Vertical)'!O:O&lt;&gt;"""",'Students (Vertical)'!P:P&gt;1));unique(filter('Students (Vertical)'!O:O,'Students (Vertic"&amp;"al)'!C:C=E366,'Students (Vertical)'!O:O&lt;&gt;"""",'Students (Vertical)'!P:P&gt;1))},countifs({unique(filter('Students (Vertical)'!O:O,'Students (Vertical)'!C:C=B366,'Students (Vertical)'!O:O&lt;&gt;"""",'Students (Vertical)'!P:P&gt;1));unique(filter('Students (Vertical)'"&amp;"!O:O,'Students (Vertical)'!C:C=E366,'Students (Vertical)'!O:O&lt;&gt;"""",'Students (Vertical)'!P:P&gt;1))},{unique(filter('Students (Vertical)'!O:O,'Students (Vertical)'!C:C=B366,'Students (Vertical)'!O:O&lt;&gt;"""",'Students (Vertical)'!P:P&gt;1));unique(filter('Student"&amp;"s (Vertical)'!O:O,'Students (Vertical)'!C:C=E366,'Students (Vertical)'!O:O&lt;&gt;"""",'Students (Vertical)'!P:P&gt;1))})&gt;1))),""""),"""")"),"")</f>
        <v/>
      </c>
      <c r="K366" s="96" t="str">
        <f>IFERROR(__xludf.DUMMYFUNCTION("iferror(join("", "",unique(filter({filter('Students (Vertical)'!D:D,'Students (Vertical)'!C:C=B366,'Students (Vertical)'!D:D&lt;&gt;"""");filter('Students (Vertical)'!D:D,'Students (Vertical)'!C:C=E366,'Students (Vertical)'!D:D&lt;&gt;"""")},countifs({filter('Student"&amp;"s (Vertical)'!D:D,'Students (Vertical)'!C:C=B366,'Students (Vertical)'!D:D&lt;&gt;"""");filter('Students (Vertical)'!D:D,'Students (Vertical)'!C:C=E366,'Students (Vertical)'!D:D&lt;&gt;"""")},{filter('Students (Vertical)'!D:D,'Students (Vertical)'!C:C=B366,'Students "&amp;"(Vertical)'!D:D&lt;&gt;"""");filter('Students (Vertical)'!D:D,'Students (Vertical)'!C:C=E366,'Students (Vertical)'!D:D&lt;&gt;"""")})&gt;1))),"""")"),"")</f>
        <v/>
      </c>
      <c r="L366" s="96"/>
      <c r="M366" s="96"/>
    </row>
    <row r="367" hidden="1">
      <c r="A367" s="8" t="s">
        <v>8</v>
      </c>
      <c r="C367" s="8" t="s">
        <v>8</v>
      </c>
      <c r="D367" s="8" t="s">
        <v>8</v>
      </c>
      <c r="F367" s="8" t="s">
        <v>8</v>
      </c>
      <c r="G367" s="8" t="s">
        <v>8</v>
      </c>
      <c r="I367" s="94" t="str">
        <f>IFERROR(__xludf.DUMMYFUNCTION("if(H367=""Must be Together"",iferror(join("", "",unique(filter({filter('Students (Vertical)'!O:O,'Students (Vertical)'!C:C=B367,'Students (Vertical)'!O:O&lt;&gt;"""");filter('Students (Vertical)'!O:O,'Students (Vertical)'!C:C=E367,'Students (Vertical)'!O:O&lt;&gt;"""&amp;""")},countifs({filter('Students (Vertical)'!O:O,'Students (Vertical)'!C:C=B367,'Students (Vertical)'!O:O&lt;&gt;"""");filter('Students (Vertical)'!O:O,'Students (Vertical)'!C:C=E367,'Students (Vertical)'!O:O&lt;&gt;"""")},{filter('Students (Vertical)'!O:O,'Students ("&amp;"Vertical)'!C:C=B367,'Students (Vertical)'!O:O&lt;&gt;"""");filter('Students (Vertical)'!O:O,'Students (Vertical)'!C:C=E367,'Students (Vertical)'!O:O&lt;&gt;"""")})&gt;1))),""No shared courses""),"""")"),"")</f>
        <v/>
      </c>
      <c r="J367" s="94" t="str">
        <f>IFERROR(__xludf.DUMMYFUNCTION("if(H367=""Can't be Together"",iferror(join("", "",unique(filter({unique(filter('Students (Vertical)'!O:O,'Students (Vertical)'!C:C=B367,'Students (Vertical)'!O:O&lt;&gt;"""",'Students (Vertical)'!P:P&gt;1));unique(filter('Students (Vertical)'!O:O,'Students (Vertic"&amp;"al)'!C:C=E367,'Students (Vertical)'!O:O&lt;&gt;"""",'Students (Vertical)'!P:P&gt;1))},countifs({unique(filter('Students (Vertical)'!O:O,'Students (Vertical)'!C:C=B367,'Students (Vertical)'!O:O&lt;&gt;"""",'Students (Vertical)'!P:P&gt;1));unique(filter('Students (Vertical)'"&amp;"!O:O,'Students (Vertical)'!C:C=E367,'Students (Vertical)'!O:O&lt;&gt;"""",'Students (Vertical)'!P:P&gt;1))},{unique(filter('Students (Vertical)'!O:O,'Students (Vertical)'!C:C=B367,'Students (Vertical)'!O:O&lt;&gt;"""",'Students (Vertical)'!P:P&gt;1));unique(filter('Student"&amp;"s (Vertical)'!O:O,'Students (Vertical)'!C:C=E367,'Students (Vertical)'!O:O&lt;&gt;"""",'Students (Vertical)'!P:P&gt;1))})&gt;1))),""""),"""")"),"")</f>
        <v/>
      </c>
      <c r="K367" s="96" t="str">
        <f>IFERROR(__xludf.DUMMYFUNCTION("iferror(join("", "",unique(filter({filter('Students (Vertical)'!D:D,'Students (Vertical)'!C:C=B367,'Students (Vertical)'!D:D&lt;&gt;"""");filter('Students (Vertical)'!D:D,'Students (Vertical)'!C:C=E367,'Students (Vertical)'!D:D&lt;&gt;"""")},countifs({filter('Student"&amp;"s (Vertical)'!D:D,'Students (Vertical)'!C:C=B367,'Students (Vertical)'!D:D&lt;&gt;"""");filter('Students (Vertical)'!D:D,'Students (Vertical)'!C:C=E367,'Students (Vertical)'!D:D&lt;&gt;"""")},{filter('Students (Vertical)'!D:D,'Students (Vertical)'!C:C=B367,'Students "&amp;"(Vertical)'!D:D&lt;&gt;"""");filter('Students (Vertical)'!D:D,'Students (Vertical)'!C:C=E367,'Students (Vertical)'!D:D&lt;&gt;"""")})&gt;1))),"""")"),"")</f>
        <v/>
      </c>
      <c r="L367" s="96"/>
      <c r="M367" s="96"/>
    </row>
    <row r="368" hidden="1">
      <c r="A368" s="8" t="s">
        <v>8</v>
      </c>
      <c r="C368" s="8" t="s">
        <v>8</v>
      </c>
      <c r="D368" s="8" t="s">
        <v>8</v>
      </c>
      <c r="F368" s="8" t="s">
        <v>8</v>
      </c>
      <c r="G368" s="8" t="s">
        <v>8</v>
      </c>
      <c r="I368" s="94" t="str">
        <f>IFERROR(__xludf.DUMMYFUNCTION("if(H368=""Must be Together"",iferror(join("", "",unique(filter({filter('Students (Vertical)'!O:O,'Students (Vertical)'!C:C=B368,'Students (Vertical)'!O:O&lt;&gt;"""");filter('Students (Vertical)'!O:O,'Students (Vertical)'!C:C=E368,'Students (Vertical)'!O:O&lt;&gt;"""&amp;""")},countifs({filter('Students (Vertical)'!O:O,'Students (Vertical)'!C:C=B368,'Students (Vertical)'!O:O&lt;&gt;"""");filter('Students (Vertical)'!O:O,'Students (Vertical)'!C:C=E368,'Students (Vertical)'!O:O&lt;&gt;"""")},{filter('Students (Vertical)'!O:O,'Students ("&amp;"Vertical)'!C:C=B368,'Students (Vertical)'!O:O&lt;&gt;"""");filter('Students (Vertical)'!O:O,'Students (Vertical)'!C:C=E368,'Students (Vertical)'!O:O&lt;&gt;"""")})&gt;1))),""No shared courses""),"""")"),"")</f>
        <v/>
      </c>
      <c r="J368" s="94" t="str">
        <f>IFERROR(__xludf.DUMMYFUNCTION("if(H368=""Can't be Together"",iferror(join("", "",unique(filter({unique(filter('Students (Vertical)'!O:O,'Students (Vertical)'!C:C=B368,'Students (Vertical)'!O:O&lt;&gt;"""",'Students (Vertical)'!P:P&gt;1));unique(filter('Students (Vertical)'!O:O,'Students (Vertic"&amp;"al)'!C:C=E368,'Students (Vertical)'!O:O&lt;&gt;"""",'Students (Vertical)'!P:P&gt;1))},countifs({unique(filter('Students (Vertical)'!O:O,'Students (Vertical)'!C:C=B368,'Students (Vertical)'!O:O&lt;&gt;"""",'Students (Vertical)'!P:P&gt;1));unique(filter('Students (Vertical)'"&amp;"!O:O,'Students (Vertical)'!C:C=E368,'Students (Vertical)'!O:O&lt;&gt;"""",'Students (Vertical)'!P:P&gt;1))},{unique(filter('Students (Vertical)'!O:O,'Students (Vertical)'!C:C=B368,'Students (Vertical)'!O:O&lt;&gt;"""",'Students (Vertical)'!P:P&gt;1));unique(filter('Student"&amp;"s (Vertical)'!O:O,'Students (Vertical)'!C:C=E368,'Students (Vertical)'!O:O&lt;&gt;"""",'Students (Vertical)'!P:P&gt;1))})&gt;1))),""""),"""")"),"")</f>
        <v/>
      </c>
      <c r="K368" s="96" t="str">
        <f>IFERROR(__xludf.DUMMYFUNCTION("iferror(join("", "",unique(filter({filter('Students (Vertical)'!D:D,'Students (Vertical)'!C:C=B368,'Students (Vertical)'!D:D&lt;&gt;"""");filter('Students (Vertical)'!D:D,'Students (Vertical)'!C:C=E368,'Students (Vertical)'!D:D&lt;&gt;"""")},countifs({filter('Student"&amp;"s (Vertical)'!D:D,'Students (Vertical)'!C:C=B368,'Students (Vertical)'!D:D&lt;&gt;"""");filter('Students (Vertical)'!D:D,'Students (Vertical)'!C:C=E368,'Students (Vertical)'!D:D&lt;&gt;"""")},{filter('Students (Vertical)'!D:D,'Students (Vertical)'!C:C=B368,'Students "&amp;"(Vertical)'!D:D&lt;&gt;"""");filter('Students (Vertical)'!D:D,'Students (Vertical)'!C:C=E368,'Students (Vertical)'!D:D&lt;&gt;"""")})&gt;1))),"""")"),"")</f>
        <v/>
      </c>
      <c r="L368" s="96"/>
      <c r="M368" s="96"/>
    </row>
    <row r="369" hidden="1">
      <c r="A369" s="8" t="s">
        <v>8</v>
      </c>
      <c r="C369" s="8" t="s">
        <v>8</v>
      </c>
      <c r="D369" s="8" t="s">
        <v>8</v>
      </c>
      <c r="F369" s="8" t="s">
        <v>8</v>
      </c>
      <c r="G369" s="8" t="s">
        <v>8</v>
      </c>
      <c r="I369" s="94" t="str">
        <f>IFERROR(__xludf.DUMMYFUNCTION("if(H369=""Must be Together"",iferror(join("", "",unique(filter({filter('Students (Vertical)'!O:O,'Students (Vertical)'!C:C=B369,'Students (Vertical)'!O:O&lt;&gt;"""");filter('Students (Vertical)'!O:O,'Students (Vertical)'!C:C=E369,'Students (Vertical)'!O:O&lt;&gt;"""&amp;""")},countifs({filter('Students (Vertical)'!O:O,'Students (Vertical)'!C:C=B369,'Students (Vertical)'!O:O&lt;&gt;"""");filter('Students (Vertical)'!O:O,'Students (Vertical)'!C:C=E369,'Students (Vertical)'!O:O&lt;&gt;"""")},{filter('Students (Vertical)'!O:O,'Students ("&amp;"Vertical)'!C:C=B369,'Students (Vertical)'!O:O&lt;&gt;"""");filter('Students (Vertical)'!O:O,'Students (Vertical)'!C:C=E369,'Students (Vertical)'!O:O&lt;&gt;"""")})&gt;1))),""No shared courses""),"""")"),"")</f>
        <v/>
      </c>
      <c r="J369" s="94" t="str">
        <f>IFERROR(__xludf.DUMMYFUNCTION("if(H369=""Can't be Together"",iferror(join("", "",unique(filter({unique(filter('Students (Vertical)'!O:O,'Students (Vertical)'!C:C=B369,'Students (Vertical)'!O:O&lt;&gt;"""",'Students (Vertical)'!P:P&gt;1));unique(filter('Students (Vertical)'!O:O,'Students (Vertic"&amp;"al)'!C:C=E369,'Students (Vertical)'!O:O&lt;&gt;"""",'Students (Vertical)'!P:P&gt;1))},countifs({unique(filter('Students (Vertical)'!O:O,'Students (Vertical)'!C:C=B369,'Students (Vertical)'!O:O&lt;&gt;"""",'Students (Vertical)'!P:P&gt;1));unique(filter('Students (Vertical)'"&amp;"!O:O,'Students (Vertical)'!C:C=E369,'Students (Vertical)'!O:O&lt;&gt;"""",'Students (Vertical)'!P:P&gt;1))},{unique(filter('Students (Vertical)'!O:O,'Students (Vertical)'!C:C=B369,'Students (Vertical)'!O:O&lt;&gt;"""",'Students (Vertical)'!P:P&gt;1));unique(filter('Student"&amp;"s (Vertical)'!O:O,'Students (Vertical)'!C:C=E369,'Students (Vertical)'!O:O&lt;&gt;"""",'Students (Vertical)'!P:P&gt;1))})&gt;1))),""""),"""")"),"")</f>
        <v/>
      </c>
      <c r="K369" s="96" t="str">
        <f>IFERROR(__xludf.DUMMYFUNCTION("iferror(join("", "",unique(filter({filter('Students (Vertical)'!D:D,'Students (Vertical)'!C:C=B369,'Students (Vertical)'!D:D&lt;&gt;"""");filter('Students (Vertical)'!D:D,'Students (Vertical)'!C:C=E369,'Students (Vertical)'!D:D&lt;&gt;"""")},countifs({filter('Student"&amp;"s (Vertical)'!D:D,'Students (Vertical)'!C:C=B369,'Students (Vertical)'!D:D&lt;&gt;"""");filter('Students (Vertical)'!D:D,'Students (Vertical)'!C:C=E369,'Students (Vertical)'!D:D&lt;&gt;"""")},{filter('Students (Vertical)'!D:D,'Students (Vertical)'!C:C=B369,'Students "&amp;"(Vertical)'!D:D&lt;&gt;"""");filter('Students (Vertical)'!D:D,'Students (Vertical)'!C:C=E369,'Students (Vertical)'!D:D&lt;&gt;"""")})&gt;1))),"""")"),"")</f>
        <v/>
      </c>
      <c r="L369" s="96"/>
      <c r="M369" s="96"/>
    </row>
    <row r="370" hidden="1">
      <c r="A370" s="8" t="s">
        <v>8</v>
      </c>
      <c r="C370" s="8" t="s">
        <v>8</v>
      </c>
      <c r="D370" s="8" t="s">
        <v>8</v>
      </c>
      <c r="F370" s="8" t="s">
        <v>8</v>
      </c>
      <c r="G370" s="8" t="s">
        <v>8</v>
      </c>
      <c r="I370" s="94" t="str">
        <f>IFERROR(__xludf.DUMMYFUNCTION("if(H370=""Must be Together"",iferror(join("", "",unique(filter({filter('Students (Vertical)'!O:O,'Students (Vertical)'!C:C=B370,'Students (Vertical)'!O:O&lt;&gt;"""");filter('Students (Vertical)'!O:O,'Students (Vertical)'!C:C=E370,'Students (Vertical)'!O:O&lt;&gt;"""&amp;""")},countifs({filter('Students (Vertical)'!O:O,'Students (Vertical)'!C:C=B370,'Students (Vertical)'!O:O&lt;&gt;"""");filter('Students (Vertical)'!O:O,'Students (Vertical)'!C:C=E370,'Students (Vertical)'!O:O&lt;&gt;"""")},{filter('Students (Vertical)'!O:O,'Students ("&amp;"Vertical)'!C:C=B370,'Students (Vertical)'!O:O&lt;&gt;"""");filter('Students (Vertical)'!O:O,'Students (Vertical)'!C:C=E370,'Students (Vertical)'!O:O&lt;&gt;"""")})&gt;1))),""No shared courses""),"""")"),"")</f>
        <v/>
      </c>
      <c r="J370" s="94" t="str">
        <f>IFERROR(__xludf.DUMMYFUNCTION("if(H370=""Can't be Together"",iferror(join("", "",unique(filter({unique(filter('Students (Vertical)'!O:O,'Students (Vertical)'!C:C=B370,'Students (Vertical)'!O:O&lt;&gt;"""",'Students (Vertical)'!P:P&gt;1));unique(filter('Students (Vertical)'!O:O,'Students (Vertic"&amp;"al)'!C:C=E370,'Students (Vertical)'!O:O&lt;&gt;"""",'Students (Vertical)'!P:P&gt;1))},countifs({unique(filter('Students (Vertical)'!O:O,'Students (Vertical)'!C:C=B370,'Students (Vertical)'!O:O&lt;&gt;"""",'Students (Vertical)'!P:P&gt;1));unique(filter('Students (Vertical)'"&amp;"!O:O,'Students (Vertical)'!C:C=E370,'Students (Vertical)'!O:O&lt;&gt;"""",'Students (Vertical)'!P:P&gt;1))},{unique(filter('Students (Vertical)'!O:O,'Students (Vertical)'!C:C=B370,'Students (Vertical)'!O:O&lt;&gt;"""",'Students (Vertical)'!P:P&gt;1));unique(filter('Student"&amp;"s (Vertical)'!O:O,'Students (Vertical)'!C:C=E370,'Students (Vertical)'!O:O&lt;&gt;"""",'Students (Vertical)'!P:P&gt;1))})&gt;1))),""""),"""")"),"")</f>
        <v/>
      </c>
      <c r="K370" s="96" t="str">
        <f>IFERROR(__xludf.DUMMYFUNCTION("iferror(join("", "",unique(filter({filter('Students (Vertical)'!D:D,'Students (Vertical)'!C:C=B370,'Students (Vertical)'!D:D&lt;&gt;"""");filter('Students (Vertical)'!D:D,'Students (Vertical)'!C:C=E370,'Students (Vertical)'!D:D&lt;&gt;"""")},countifs({filter('Student"&amp;"s (Vertical)'!D:D,'Students (Vertical)'!C:C=B370,'Students (Vertical)'!D:D&lt;&gt;"""");filter('Students (Vertical)'!D:D,'Students (Vertical)'!C:C=E370,'Students (Vertical)'!D:D&lt;&gt;"""")},{filter('Students (Vertical)'!D:D,'Students (Vertical)'!C:C=B370,'Students "&amp;"(Vertical)'!D:D&lt;&gt;"""");filter('Students (Vertical)'!D:D,'Students (Vertical)'!C:C=E370,'Students (Vertical)'!D:D&lt;&gt;"""")})&gt;1))),"""")"),"")</f>
        <v/>
      </c>
      <c r="L370" s="96"/>
      <c r="M370" s="96"/>
    </row>
    <row r="371" hidden="1">
      <c r="A371" s="8" t="s">
        <v>8</v>
      </c>
      <c r="C371" s="8" t="s">
        <v>8</v>
      </c>
      <c r="D371" s="8" t="s">
        <v>8</v>
      </c>
      <c r="F371" s="8" t="s">
        <v>8</v>
      </c>
      <c r="G371" s="8" t="s">
        <v>8</v>
      </c>
      <c r="I371" s="94" t="str">
        <f>IFERROR(__xludf.DUMMYFUNCTION("if(H371=""Must be Together"",iferror(join("", "",unique(filter({filter('Students (Vertical)'!O:O,'Students (Vertical)'!C:C=B371,'Students (Vertical)'!O:O&lt;&gt;"""");filter('Students (Vertical)'!O:O,'Students (Vertical)'!C:C=E371,'Students (Vertical)'!O:O&lt;&gt;"""&amp;""")},countifs({filter('Students (Vertical)'!O:O,'Students (Vertical)'!C:C=B371,'Students (Vertical)'!O:O&lt;&gt;"""");filter('Students (Vertical)'!O:O,'Students (Vertical)'!C:C=E371,'Students (Vertical)'!O:O&lt;&gt;"""")},{filter('Students (Vertical)'!O:O,'Students ("&amp;"Vertical)'!C:C=B371,'Students (Vertical)'!O:O&lt;&gt;"""");filter('Students (Vertical)'!O:O,'Students (Vertical)'!C:C=E371,'Students (Vertical)'!O:O&lt;&gt;"""")})&gt;1))),""No shared courses""),"""")"),"")</f>
        <v/>
      </c>
      <c r="J371" s="94" t="str">
        <f>IFERROR(__xludf.DUMMYFUNCTION("if(H371=""Can't be Together"",iferror(join("", "",unique(filter({unique(filter('Students (Vertical)'!O:O,'Students (Vertical)'!C:C=B371,'Students (Vertical)'!O:O&lt;&gt;"""",'Students (Vertical)'!P:P&gt;1));unique(filter('Students (Vertical)'!O:O,'Students (Vertic"&amp;"al)'!C:C=E371,'Students (Vertical)'!O:O&lt;&gt;"""",'Students (Vertical)'!P:P&gt;1))},countifs({unique(filter('Students (Vertical)'!O:O,'Students (Vertical)'!C:C=B371,'Students (Vertical)'!O:O&lt;&gt;"""",'Students (Vertical)'!P:P&gt;1));unique(filter('Students (Vertical)'"&amp;"!O:O,'Students (Vertical)'!C:C=E371,'Students (Vertical)'!O:O&lt;&gt;"""",'Students (Vertical)'!P:P&gt;1))},{unique(filter('Students (Vertical)'!O:O,'Students (Vertical)'!C:C=B371,'Students (Vertical)'!O:O&lt;&gt;"""",'Students (Vertical)'!P:P&gt;1));unique(filter('Student"&amp;"s (Vertical)'!O:O,'Students (Vertical)'!C:C=E371,'Students (Vertical)'!O:O&lt;&gt;"""",'Students (Vertical)'!P:P&gt;1))})&gt;1))),""""),"""")"),"")</f>
        <v/>
      </c>
      <c r="K371" s="96" t="str">
        <f>IFERROR(__xludf.DUMMYFUNCTION("iferror(join("", "",unique(filter({filter('Students (Vertical)'!D:D,'Students (Vertical)'!C:C=B371,'Students (Vertical)'!D:D&lt;&gt;"""");filter('Students (Vertical)'!D:D,'Students (Vertical)'!C:C=E371,'Students (Vertical)'!D:D&lt;&gt;"""")},countifs({filter('Student"&amp;"s (Vertical)'!D:D,'Students (Vertical)'!C:C=B371,'Students (Vertical)'!D:D&lt;&gt;"""");filter('Students (Vertical)'!D:D,'Students (Vertical)'!C:C=E371,'Students (Vertical)'!D:D&lt;&gt;"""")},{filter('Students (Vertical)'!D:D,'Students (Vertical)'!C:C=B371,'Students "&amp;"(Vertical)'!D:D&lt;&gt;"""");filter('Students (Vertical)'!D:D,'Students (Vertical)'!C:C=E371,'Students (Vertical)'!D:D&lt;&gt;"""")})&gt;1))),"""")"),"")</f>
        <v/>
      </c>
      <c r="L371" s="96"/>
      <c r="M371" s="96"/>
    </row>
    <row r="372" hidden="1">
      <c r="A372" s="8" t="s">
        <v>8</v>
      </c>
      <c r="C372" s="8" t="s">
        <v>8</v>
      </c>
      <c r="D372" s="8" t="s">
        <v>8</v>
      </c>
      <c r="F372" s="8" t="s">
        <v>8</v>
      </c>
      <c r="G372" s="8" t="s">
        <v>8</v>
      </c>
      <c r="I372" s="94" t="str">
        <f>IFERROR(__xludf.DUMMYFUNCTION("if(H372=""Must be Together"",iferror(join("", "",unique(filter({filter('Students (Vertical)'!O:O,'Students (Vertical)'!C:C=B372,'Students (Vertical)'!O:O&lt;&gt;"""");filter('Students (Vertical)'!O:O,'Students (Vertical)'!C:C=E372,'Students (Vertical)'!O:O&lt;&gt;"""&amp;""")},countifs({filter('Students (Vertical)'!O:O,'Students (Vertical)'!C:C=B372,'Students (Vertical)'!O:O&lt;&gt;"""");filter('Students (Vertical)'!O:O,'Students (Vertical)'!C:C=E372,'Students (Vertical)'!O:O&lt;&gt;"""")},{filter('Students (Vertical)'!O:O,'Students ("&amp;"Vertical)'!C:C=B372,'Students (Vertical)'!O:O&lt;&gt;"""");filter('Students (Vertical)'!O:O,'Students (Vertical)'!C:C=E372,'Students (Vertical)'!O:O&lt;&gt;"""")})&gt;1))),""No shared courses""),"""")"),"")</f>
        <v/>
      </c>
      <c r="J372" s="94" t="str">
        <f>IFERROR(__xludf.DUMMYFUNCTION("if(H372=""Can't be Together"",iferror(join("", "",unique(filter({unique(filter('Students (Vertical)'!O:O,'Students (Vertical)'!C:C=B372,'Students (Vertical)'!O:O&lt;&gt;"""",'Students (Vertical)'!P:P&gt;1));unique(filter('Students (Vertical)'!O:O,'Students (Vertic"&amp;"al)'!C:C=E372,'Students (Vertical)'!O:O&lt;&gt;"""",'Students (Vertical)'!P:P&gt;1))},countifs({unique(filter('Students (Vertical)'!O:O,'Students (Vertical)'!C:C=B372,'Students (Vertical)'!O:O&lt;&gt;"""",'Students (Vertical)'!P:P&gt;1));unique(filter('Students (Vertical)'"&amp;"!O:O,'Students (Vertical)'!C:C=E372,'Students (Vertical)'!O:O&lt;&gt;"""",'Students (Vertical)'!P:P&gt;1))},{unique(filter('Students (Vertical)'!O:O,'Students (Vertical)'!C:C=B372,'Students (Vertical)'!O:O&lt;&gt;"""",'Students (Vertical)'!P:P&gt;1));unique(filter('Student"&amp;"s (Vertical)'!O:O,'Students (Vertical)'!C:C=E372,'Students (Vertical)'!O:O&lt;&gt;"""",'Students (Vertical)'!P:P&gt;1))})&gt;1))),""""),"""")"),"")</f>
        <v/>
      </c>
      <c r="K372" s="96" t="str">
        <f>IFERROR(__xludf.DUMMYFUNCTION("iferror(join("", "",unique(filter({filter('Students (Vertical)'!D:D,'Students (Vertical)'!C:C=B372,'Students (Vertical)'!D:D&lt;&gt;"""");filter('Students (Vertical)'!D:D,'Students (Vertical)'!C:C=E372,'Students (Vertical)'!D:D&lt;&gt;"""")},countifs({filter('Student"&amp;"s (Vertical)'!D:D,'Students (Vertical)'!C:C=B372,'Students (Vertical)'!D:D&lt;&gt;"""");filter('Students (Vertical)'!D:D,'Students (Vertical)'!C:C=E372,'Students (Vertical)'!D:D&lt;&gt;"""")},{filter('Students (Vertical)'!D:D,'Students (Vertical)'!C:C=B372,'Students "&amp;"(Vertical)'!D:D&lt;&gt;"""");filter('Students (Vertical)'!D:D,'Students (Vertical)'!C:C=E372,'Students (Vertical)'!D:D&lt;&gt;"""")})&gt;1))),"""")"),"")</f>
        <v/>
      </c>
      <c r="L372" s="96"/>
      <c r="M372" s="96"/>
    </row>
    <row r="373" hidden="1">
      <c r="A373" s="8" t="s">
        <v>8</v>
      </c>
      <c r="C373" s="8" t="s">
        <v>8</v>
      </c>
      <c r="D373" s="8" t="s">
        <v>8</v>
      </c>
      <c r="F373" s="8" t="s">
        <v>8</v>
      </c>
      <c r="G373" s="8" t="s">
        <v>8</v>
      </c>
      <c r="I373" s="94" t="str">
        <f>IFERROR(__xludf.DUMMYFUNCTION("if(H373=""Must be Together"",iferror(join("", "",unique(filter({filter('Students (Vertical)'!O:O,'Students (Vertical)'!C:C=B373,'Students (Vertical)'!O:O&lt;&gt;"""");filter('Students (Vertical)'!O:O,'Students (Vertical)'!C:C=E373,'Students (Vertical)'!O:O&lt;&gt;"""&amp;""")},countifs({filter('Students (Vertical)'!O:O,'Students (Vertical)'!C:C=B373,'Students (Vertical)'!O:O&lt;&gt;"""");filter('Students (Vertical)'!O:O,'Students (Vertical)'!C:C=E373,'Students (Vertical)'!O:O&lt;&gt;"""")},{filter('Students (Vertical)'!O:O,'Students ("&amp;"Vertical)'!C:C=B373,'Students (Vertical)'!O:O&lt;&gt;"""");filter('Students (Vertical)'!O:O,'Students (Vertical)'!C:C=E373,'Students (Vertical)'!O:O&lt;&gt;"""")})&gt;1))),""No shared courses""),"""")"),"")</f>
        <v/>
      </c>
      <c r="J373" s="94" t="str">
        <f>IFERROR(__xludf.DUMMYFUNCTION("if(H373=""Can't be Together"",iferror(join("", "",unique(filter({unique(filter('Students (Vertical)'!O:O,'Students (Vertical)'!C:C=B373,'Students (Vertical)'!O:O&lt;&gt;"""",'Students (Vertical)'!P:P&gt;1));unique(filter('Students (Vertical)'!O:O,'Students (Vertic"&amp;"al)'!C:C=E373,'Students (Vertical)'!O:O&lt;&gt;"""",'Students (Vertical)'!P:P&gt;1))},countifs({unique(filter('Students (Vertical)'!O:O,'Students (Vertical)'!C:C=B373,'Students (Vertical)'!O:O&lt;&gt;"""",'Students (Vertical)'!P:P&gt;1));unique(filter('Students (Vertical)'"&amp;"!O:O,'Students (Vertical)'!C:C=E373,'Students (Vertical)'!O:O&lt;&gt;"""",'Students (Vertical)'!P:P&gt;1))},{unique(filter('Students (Vertical)'!O:O,'Students (Vertical)'!C:C=B373,'Students (Vertical)'!O:O&lt;&gt;"""",'Students (Vertical)'!P:P&gt;1));unique(filter('Student"&amp;"s (Vertical)'!O:O,'Students (Vertical)'!C:C=E373,'Students (Vertical)'!O:O&lt;&gt;"""",'Students (Vertical)'!P:P&gt;1))})&gt;1))),""""),"""")"),"")</f>
        <v/>
      </c>
      <c r="K373" s="96" t="str">
        <f>IFERROR(__xludf.DUMMYFUNCTION("iferror(join("", "",unique(filter({filter('Students (Vertical)'!D:D,'Students (Vertical)'!C:C=B373,'Students (Vertical)'!D:D&lt;&gt;"""");filter('Students (Vertical)'!D:D,'Students (Vertical)'!C:C=E373,'Students (Vertical)'!D:D&lt;&gt;"""")},countifs({filter('Student"&amp;"s (Vertical)'!D:D,'Students (Vertical)'!C:C=B373,'Students (Vertical)'!D:D&lt;&gt;"""");filter('Students (Vertical)'!D:D,'Students (Vertical)'!C:C=E373,'Students (Vertical)'!D:D&lt;&gt;"""")},{filter('Students (Vertical)'!D:D,'Students (Vertical)'!C:C=B373,'Students "&amp;"(Vertical)'!D:D&lt;&gt;"""");filter('Students (Vertical)'!D:D,'Students (Vertical)'!C:C=E373,'Students (Vertical)'!D:D&lt;&gt;"""")})&gt;1))),"""")"),"")</f>
        <v/>
      </c>
      <c r="L373" s="96"/>
      <c r="M373" s="96"/>
    </row>
    <row r="374" hidden="1">
      <c r="A374" s="8" t="s">
        <v>8</v>
      </c>
      <c r="C374" s="8" t="s">
        <v>8</v>
      </c>
      <c r="D374" s="8" t="s">
        <v>8</v>
      </c>
      <c r="F374" s="8" t="s">
        <v>8</v>
      </c>
      <c r="G374" s="8" t="s">
        <v>8</v>
      </c>
      <c r="I374" s="94" t="str">
        <f>IFERROR(__xludf.DUMMYFUNCTION("if(H374=""Must be Together"",iferror(join("", "",unique(filter({filter('Students (Vertical)'!O:O,'Students (Vertical)'!C:C=B374,'Students (Vertical)'!O:O&lt;&gt;"""");filter('Students (Vertical)'!O:O,'Students (Vertical)'!C:C=E374,'Students (Vertical)'!O:O&lt;&gt;"""&amp;""")},countifs({filter('Students (Vertical)'!O:O,'Students (Vertical)'!C:C=B374,'Students (Vertical)'!O:O&lt;&gt;"""");filter('Students (Vertical)'!O:O,'Students (Vertical)'!C:C=E374,'Students (Vertical)'!O:O&lt;&gt;"""")},{filter('Students (Vertical)'!O:O,'Students ("&amp;"Vertical)'!C:C=B374,'Students (Vertical)'!O:O&lt;&gt;"""");filter('Students (Vertical)'!O:O,'Students (Vertical)'!C:C=E374,'Students (Vertical)'!O:O&lt;&gt;"""")})&gt;1))),""No shared courses""),"""")"),"")</f>
        <v/>
      </c>
      <c r="J374" s="94" t="str">
        <f>IFERROR(__xludf.DUMMYFUNCTION("if(H374=""Can't be Together"",iferror(join("", "",unique(filter({unique(filter('Students (Vertical)'!O:O,'Students (Vertical)'!C:C=B374,'Students (Vertical)'!O:O&lt;&gt;"""",'Students (Vertical)'!P:P&gt;1));unique(filter('Students (Vertical)'!O:O,'Students (Vertic"&amp;"al)'!C:C=E374,'Students (Vertical)'!O:O&lt;&gt;"""",'Students (Vertical)'!P:P&gt;1))},countifs({unique(filter('Students (Vertical)'!O:O,'Students (Vertical)'!C:C=B374,'Students (Vertical)'!O:O&lt;&gt;"""",'Students (Vertical)'!P:P&gt;1));unique(filter('Students (Vertical)'"&amp;"!O:O,'Students (Vertical)'!C:C=E374,'Students (Vertical)'!O:O&lt;&gt;"""",'Students (Vertical)'!P:P&gt;1))},{unique(filter('Students (Vertical)'!O:O,'Students (Vertical)'!C:C=B374,'Students (Vertical)'!O:O&lt;&gt;"""",'Students (Vertical)'!P:P&gt;1));unique(filter('Student"&amp;"s (Vertical)'!O:O,'Students (Vertical)'!C:C=E374,'Students (Vertical)'!O:O&lt;&gt;"""",'Students (Vertical)'!P:P&gt;1))})&gt;1))),""""),"""")"),"")</f>
        <v/>
      </c>
      <c r="K374" s="96" t="str">
        <f>IFERROR(__xludf.DUMMYFUNCTION("iferror(join("", "",unique(filter({filter('Students (Vertical)'!D:D,'Students (Vertical)'!C:C=B374,'Students (Vertical)'!D:D&lt;&gt;"""");filter('Students (Vertical)'!D:D,'Students (Vertical)'!C:C=E374,'Students (Vertical)'!D:D&lt;&gt;"""")},countifs({filter('Student"&amp;"s (Vertical)'!D:D,'Students (Vertical)'!C:C=B374,'Students (Vertical)'!D:D&lt;&gt;"""");filter('Students (Vertical)'!D:D,'Students (Vertical)'!C:C=E374,'Students (Vertical)'!D:D&lt;&gt;"""")},{filter('Students (Vertical)'!D:D,'Students (Vertical)'!C:C=B374,'Students "&amp;"(Vertical)'!D:D&lt;&gt;"""");filter('Students (Vertical)'!D:D,'Students (Vertical)'!C:C=E374,'Students (Vertical)'!D:D&lt;&gt;"""")})&gt;1))),"""")"),"")</f>
        <v/>
      </c>
      <c r="L374" s="96"/>
      <c r="M374" s="96"/>
    </row>
    <row r="375" hidden="1">
      <c r="A375" s="8" t="s">
        <v>8</v>
      </c>
      <c r="C375" s="8" t="s">
        <v>8</v>
      </c>
      <c r="D375" s="8" t="s">
        <v>8</v>
      </c>
      <c r="F375" s="8" t="s">
        <v>8</v>
      </c>
      <c r="G375" s="8" t="s">
        <v>8</v>
      </c>
      <c r="I375" s="94" t="str">
        <f>IFERROR(__xludf.DUMMYFUNCTION("if(H375=""Must be Together"",iferror(join("", "",unique(filter({filter('Students (Vertical)'!O:O,'Students (Vertical)'!C:C=B375,'Students (Vertical)'!O:O&lt;&gt;"""");filter('Students (Vertical)'!O:O,'Students (Vertical)'!C:C=E375,'Students (Vertical)'!O:O&lt;&gt;"""&amp;""")},countifs({filter('Students (Vertical)'!O:O,'Students (Vertical)'!C:C=B375,'Students (Vertical)'!O:O&lt;&gt;"""");filter('Students (Vertical)'!O:O,'Students (Vertical)'!C:C=E375,'Students (Vertical)'!O:O&lt;&gt;"""")},{filter('Students (Vertical)'!O:O,'Students ("&amp;"Vertical)'!C:C=B375,'Students (Vertical)'!O:O&lt;&gt;"""");filter('Students (Vertical)'!O:O,'Students (Vertical)'!C:C=E375,'Students (Vertical)'!O:O&lt;&gt;"""")})&gt;1))),""No shared courses""),"""")"),"")</f>
        <v/>
      </c>
      <c r="J375" s="94" t="str">
        <f>IFERROR(__xludf.DUMMYFUNCTION("if(H375=""Can't be Together"",iferror(join("", "",unique(filter({unique(filter('Students (Vertical)'!O:O,'Students (Vertical)'!C:C=B375,'Students (Vertical)'!O:O&lt;&gt;"""",'Students (Vertical)'!P:P&gt;1));unique(filter('Students (Vertical)'!O:O,'Students (Vertic"&amp;"al)'!C:C=E375,'Students (Vertical)'!O:O&lt;&gt;"""",'Students (Vertical)'!P:P&gt;1))},countifs({unique(filter('Students (Vertical)'!O:O,'Students (Vertical)'!C:C=B375,'Students (Vertical)'!O:O&lt;&gt;"""",'Students (Vertical)'!P:P&gt;1));unique(filter('Students (Vertical)'"&amp;"!O:O,'Students (Vertical)'!C:C=E375,'Students (Vertical)'!O:O&lt;&gt;"""",'Students (Vertical)'!P:P&gt;1))},{unique(filter('Students (Vertical)'!O:O,'Students (Vertical)'!C:C=B375,'Students (Vertical)'!O:O&lt;&gt;"""",'Students (Vertical)'!P:P&gt;1));unique(filter('Student"&amp;"s (Vertical)'!O:O,'Students (Vertical)'!C:C=E375,'Students (Vertical)'!O:O&lt;&gt;"""",'Students (Vertical)'!P:P&gt;1))})&gt;1))),""""),"""")"),"")</f>
        <v/>
      </c>
      <c r="K375" s="96" t="str">
        <f>IFERROR(__xludf.DUMMYFUNCTION("iferror(join("", "",unique(filter({filter('Students (Vertical)'!D:D,'Students (Vertical)'!C:C=B375,'Students (Vertical)'!D:D&lt;&gt;"""");filter('Students (Vertical)'!D:D,'Students (Vertical)'!C:C=E375,'Students (Vertical)'!D:D&lt;&gt;"""")},countifs({filter('Student"&amp;"s (Vertical)'!D:D,'Students (Vertical)'!C:C=B375,'Students (Vertical)'!D:D&lt;&gt;"""");filter('Students (Vertical)'!D:D,'Students (Vertical)'!C:C=E375,'Students (Vertical)'!D:D&lt;&gt;"""")},{filter('Students (Vertical)'!D:D,'Students (Vertical)'!C:C=B375,'Students "&amp;"(Vertical)'!D:D&lt;&gt;"""");filter('Students (Vertical)'!D:D,'Students (Vertical)'!C:C=E375,'Students (Vertical)'!D:D&lt;&gt;"""")})&gt;1))),"""")"),"")</f>
        <v/>
      </c>
      <c r="L375" s="96"/>
      <c r="M375" s="96"/>
    </row>
    <row r="376" hidden="1">
      <c r="A376" s="8" t="s">
        <v>8</v>
      </c>
      <c r="C376" s="8" t="s">
        <v>8</v>
      </c>
      <c r="D376" s="8" t="s">
        <v>8</v>
      </c>
      <c r="F376" s="8" t="s">
        <v>8</v>
      </c>
      <c r="G376" s="8" t="s">
        <v>8</v>
      </c>
      <c r="I376" s="94" t="str">
        <f>IFERROR(__xludf.DUMMYFUNCTION("if(H376=""Must be Together"",iferror(join("", "",unique(filter({filter('Students (Vertical)'!O:O,'Students (Vertical)'!C:C=B376,'Students (Vertical)'!O:O&lt;&gt;"""");filter('Students (Vertical)'!O:O,'Students (Vertical)'!C:C=E376,'Students (Vertical)'!O:O&lt;&gt;"""&amp;""")},countifs({filter('Students (Vertical)'!O:O,'Students (Vertical)'!C:C=B376,'Students (Vertical)'!O:O&lt;&gt;"""");filter('Students (Vertical)'!O:O,'Students (Vertical)'!C:C=E376,'Students (Vertical)'!O:O&lt;&gt;"""")},{filter('Students (Vertical)'!O:O,'Students ("&amp;"Vertical)'!C:C=B376,'Students (Vertical)'!O:O&lt;&gt;"""");filter('Students (Vertical)'!O:O,'Students (Vertical)'!C:C=E376,'Students (Vertical)'!O:O&lt;&gt;"""")})&gt;1))),""No shared courses""),"""")"),"")</f>
        <v/>
      </c>
      <c r="J376" s="94" t="str">
        <f>IFERROR(__xludf.DUMMYFUNCTION("if(H376=""Can't be Together"",iferror(join("", "",unique(filter({unique(filter('Students (Vertical)'!O:O,'Students (Vertical)'!C:C=B376,'Students (Vertical)'!O:O&lt;&gt;"""",'Students (Vertical)'!P:P&gt;1));unique(filter('Students (Vertical)'!O:O,'Students (Vertic"&amp;"al)'!C:C=E376,'Students (Vertical)'!O:O&lt;&gt;"""",'Students (Vertical)'!P:P&gt;1))},countifs({unique(filter('Students (Vertical)'!O:O,'Students (Vertical)'!C:C=B376,'Students (Vertical)'!O:O&lt;&gt;"""",'Students (Vertical)'!P:P&gt;1));unique(filter('Students (Vertical)'"&amp;"!O:O,'Students (Vertical)'!C:C=E376,'Students (Vertical)'!O:O&lt;&gt;"""",'Students (Vertical)'!P:P&gt;1))},{unique(filter('Students (Vertical)'!O:O,'Students (Vertical)'!C:C=B376,'Students (Vertical)'!O:O&lt;&gt;"""",'Students (Vertical)'!P:P&gt;1));unique(filter('Student"&amp;"s (Vertical)'!O:O,'Students (Vertical)'!C:C=E376,'Students (Vertical)'!O:O&lt;&gt;"""",'Students (Vertical)'!P:P&gt;1))})&gt;1))),""""),"""")"),"")</f>
        <v/>
      </c>
      <c r="K376" s="96" t="str">
        <f>IFERROR(__xludf.DUMMYFUNCTION("iferror(join("", "",unique(filter({filter('Students (Vertical)'!D:D,'Students (Vertical)'!C:C=B376,'Students (Vertical)'!D:D&lt;&gt;"""");filter('Students (Vertical)'!D:D,'Students (Vertical)'!C:C=E376,'Students (Vertical)'!D:D&lt;&gt;"""")},countifs({filter('Student"&amp;"s (Vertical)'!D:D,'Students (Vertical)'!C:C=B376,'Students (Vertical)'!D:D&lt;&gt;"""");filter('Students (Vertical)'!D:D,'Students (Vertical)'!C:C=E376,'Students (Vertical)'!D:D&lt;&gt;"""")},{filter('Students (Vertical)'!D:D,'Students (Vertical)'!C:C=B376,'Students "&amp;"(Vertical)'!D:D&lt;&gt;"""");filter('Students (Vertical)'!D:D,'Students (Vertical)'!C:C=E376,'Students (Vertical)'!D:D&lt;&gt;"""")})&gt;1))),"""")"),"")</f>
        <v/>
      </c>
      <c r="L376" s="96"/>
      <c r="M376" s="96"/>
    </row>
    <row r="377" hidden="1">
      <c r="A377" s="8" t="s">
        <v>8</v>
      </c>
      <c r="C377" s="8" t="s">
        <v>8</v>
      </c>
      <c r="D377" s="8" t="s">
        <v>8</v>
      </c>
      <c r="F377" s="8" t="s">
        <v>8</v>
      </c>
      <c r="G377" s="8" t="s">
        <v>8</v>
      </c>
      <c r="I377" s="94" t="str">
        <f>IFERROR(__xludf.DUMMYFUNCTION("if(H377=""Must be Together"",iferror(join("", "",unique(filter({filter('Students (Vertical)'!O:O,'Students (Vertical)'!C:C=B377,'Students (Vertical)'!O:O&lt;&gt;"""");filter('Students (Vertical)'!O:O,'Students (Vertical)'!C:C=E377,'Students (Vertical)'!O:O&lt;&gt;"""&amp;""")},countifs({filter('Students (Vertical)'!O:O,'Students (Vertical)'!C:C=B377,'Students (Vertical)'!O:O&lt;&gt;"""");filter('Students (Vertical)'!O:O,'Students (Vertical)'!C:C=E377,'Students (Vertical)'!O:O&lt;&gt;"""")},{filter('Students (Vertical)'!O:O,'Students ("&amp;"Vertical)'!C:C=B377,'Students (Vertical)'!O:O&lt;&gt;"""");filter('Students (Vertical)'!O:O,'Students (Vertical)'!C:C=E377,'Students (Vertical)'!O:O&lt;&gt;"""")})&gt;1))),""No shared courses""),"""")"),"")</f>
        <v/>
      </c>
      <c r="J377" s="94" t="str">
        <f>IFERROR(__xludf.DUMMYFUNCTION("if(H377=""Can't be Together"",iferror(join("", "",unique(filter({unique(filter('Students (Vertical)'!O:O,'Students (Vertical)'!C:C=B377,'Students (Vertical)'!O:O&lt;&gt;"""",'Students (Vertical)'!P:P&gt;1));unique(filter('Students (Vertical)'!O:O,'Students (Vertic"&amp;"al)'!C:C=E377,'Students (Vertical)'!O:O&lt;&gt;"""",'Students (Vertical)'!P:P&gt;1))},countifs({unique(filter('Students (Vertical)'!O:O,'Students (Vertical)'!C:C=B377,'Students (Vertical)'!O:O&lt;&gt;"""",'Students (Vertical)'!P:P&gt;1));unique(filter('Students (Vertical)'"&amp;"!O:O,'Students (Vertical)'!C:C=E377,'Students (Vertical)'!O:O&lt;&gt;"""",'Students (Vertical)'!P:P&gt;1))},{unique(filter('Students (Vertical)'!O:O,'Students (Vertical)'!C:C=B377,'Students (Vertical)'!O:O&lt;&gt;"""",'Students (Vertical)'!P:P&gt;1));unique(filter('Student"&amp;"s (Vertical)'!O:O,'Students (Vertical)'!C:C=E377,'Students (Vertical)'!O:O&lt;&gt;"""",'Students (Vertical)'!P:P&gt;1))})&gt;1))),""""),"""")"),"")</f>
        <v/>
      </c>
      <c r="K377" s="96" t="str">
        <f>IFERROR(__xludf.DUMMYFUNCTION("iferror(join("", "",unique(filter({filter('Students (Vertical)'!D:D,'Students (Vertical)'!C:C=B377,'Students (Vertical)'!D:D&lt;&gt;"""");filter('Students (Vertical)'!D:D,'Students (Vertical)'!C:C=E377,'Students (Vertical)'!D:D&lt;&gt;"""")},countifs({filter('Student"&amp;"s (Vertical)'!D:D,'Students (Vertical)'!C:C=B377,'Students (Vertical)'!D:D&lt;&gt;"""");filter('Students (Vertical)'!D:D,'Students (Vertical)'!C:C=E377,'Students (Vertical)'!D:D&lt;&gt;"""")},{filter('Students (Vertical)'!D:D,'Students (Vertical)'!C:C=B377,'Students "&amp;"(Vertical)'!D:D&lt;&gt;"""");filter('Students (Vertical)'!D:D,'Students (Vertical)'!C:C=E377,'Students (Vertical)'!D:D&lt;&gt;"""")})&gt;1))),"""")"),"")</f>
        <v/>
      </c>
      <c r="L377" s="96"/>
      <c r="M377" s="96"/>
    </row>
    <row r="378" hidden="1">
      <c r="A378" s="8" t="s">
        <v>8</v>
      </c>
      <c r="C378" s="8" t="s">
        <v>8</v>
      </c>
      <c r="D378" s="8" t="s">
        <v>8</v>
      </c>
      <c r="F378" s="8" t="s">
        <v>8</v>
      </c>
      <c r="G378" s="8" t="s">
        <v>8</v>
      </c>
      <c r="I378" s="94" t="str">
        <f>IFERROR(__xludf.DUMMYFUNCTION("if(H378=""Must be Together"",iferror(join("", "",unique(filter({filter('Students (Vertical)'!O:O,'Students (Vertical)'!C:C=B378,'Students (Vertical)'!O:O&lt;&gt;"""");filter('Students (Vertical)'!O:O,'Students (Vertical)'!C:C=E378,'Students (Vertical)'!O:O&lt;&gt;"""&amp;""")},countifs({filter('Students (Vertical)'!O:O,'Students (Vertical)'!C:C=B378,'Students (Vertical)'!O:O&lt;&gt;"""");filter('Students (Vertical)'!O:O,'Students (Vertical)'!C:C=E378,'Students (Vertical)'!O:O&lt;&gt;"""")},{filter('Students (Vertical)'!O:O,'Students ("&amp;"Vertical)'!C:C=B378,'Students (Vertical)'!O:O&lt;&gt;"""");filter('Students (Vertical)'!O:O,'Students (Vertical)'!C:C=E378,'Students (Vertical)'!O:O&lt;&gt;"""")})&gt;1))),""No shared courses""),"""")"),"")</f>
        <v/>
      </c>
      <c r="J378" s="94" t="str">
        <f>IFERROR(__xludf.DUMMYFUNCTION("if(H378=""Can't be Together"",iferror(join("", "",unique(filter({unique(filter('Students (Vertical)'!O:O,'Students (Vertical)'!C:C=B378,'Students (Vertical)'!O:O&lt;&gt;"""",'Students (Vertical)'!P:P&gt;1));unique(filter('Students (Vertical)'!O:O,'Students (Vertic"&amp;"al)'!C:C=E378,'Students (Vertical)'!O:O&lt;&gt;"""",'Students (Vertical)'!P:P&gt;1))},countifs({unique(filter('Students (Vertical)'!O:O,'Students (Vertical)'!C:C=B378,'Students (Vertical)'!O:O&lt;&gt;"""",'Students (Vertical)'!P:P&gt;1));unique(filter('Students (Vertical)'"&amp;"!O:O,'Students (Vertical)'!C:C=E378,'Students (Vertical)'!O:O&lt;&gt;"""",'Students (Vertical)'!P:P&gt;1))},{unique(filter('Students (Vertical)'!O:O,'Students (Vertical)'!C:C=B378,'Students (Vertical)'!O:O&lt;&gt;"""",'Students (Vertical)'!P:P&gt;1));unique(filter('Student"&amp;"s (Vertical)'!O:O,'Students (Vertical)'!C:C=E378,'Students (Vertical)'!O:O&lt;&gt;"""",'Students (Vertical)'!P:P&gt;1))})&gt;1))),""""),"""")"),"")</f>
        <v/>
      </c>
      <c r="K378" s="96" t="str">
        <f>IFERROR(__xludf.DUMMYFUNCTION("iferror(join("", "",unique(filter({filter('Students (Vertical)'!D:D,'Students (Vertical)'!C:C=B378,'Students (Vertical)'!D:D&lt;&gt;"""");filter('Students (Vertical)'!D:D,'Students (Vertical)'!C:C=E378,'Students (Vertical)'!D:D&lt;&gt;"""")},countifs({filter('Student"&amp;"s (Vertical)'!D:D,'Students (Vertical)'!C:C=B378,'Students (Vertical)'!D:D&lt;&gt;"""");filter('Students (Vertical)'!D:D,'Students (Vertical)'!C:C=E378,'Students (Vertical)'!D:D&lt;&gt;"""")},{filter('Students (Vertical)'!D:D,'Students (Vertical)'!C:C=B378,'Students "&amp;"(Vertical)'!D:D&lt;&gt;"""");filter('Students (Vertical)'!D:D,'Students (Vertical)'!C:C=E378,'Students (Vertical)'!D:D&lt;&gt;"""")})&gt;1))),"""")"),"")</f>
        <v/>
      </c>
      <c r="L378" s="96"/>
      <c r="M378" s="96"/>
    </row>
    <row r="379" hidden="1">
      <c r="A379" s="8" t="s">
        <v>8</v>
      </c>
      <c r="C379" s="8" t="s">
        <v>8</v>
      </c>
      <c r="D379" s="8" t="s">
        <v>8</v>
      </c>
      <c r="F379" s="8" t="s">
        <v>8</v>
      </c>
      <c r="G379" s="8" t="s">
        <v>8</v>
      </c>
      <c r="I379" s="94" t="str">
        <f>IFERROR(__xludf.DUMMYFUNCTION("if(H379=""Must be Together"",iferror(join("", "",unique(filter({filter('Students (Vertical)'!O:O,'Students (Vertical)'!C:C=B379,'Students (Vertical)'!O:O&lt;&gt;"""");filter('Students (Vertical)'!O:O,'Students (Vertical)'!C:C=E379,'Students (Vertical)'!O:O&lt;&gt;"""&amp;""")},countifs({filter('Students (Vertical)'!O:O,'Students (Vertical)'!C:C=B379,'Students (Vertical)'!O:O&lt;&gt;"""");filter('Students (Vertical)'!O:O,'Students (Vertical)'!C:C=E379,'Students (Vertical)'!O:O&lt;&gt;"""")},{filter('Students (Vertical)'!O:O,'Students ("&amp;"Vertical)'!C:C=B379,'Students (Vertical)'!O:O&lt;&gt;"""");filter('Students (Vertical)'!O:O,'Students (Vertical)'!C:C=E379,'Students (Vertical)'!O:O&lt;&gt;"""")})&gt;1))),""No shared courses""),"""")"),"")</f>
        <v/>
      </c>
      <c r="J379" s="94" t="str">
        <f>IFERROR(__xludf.DUMMYFUNCTION("if(H379=""Can't be Together"",iferror(join("", "",unique(filter({unique(filter('Students (Vertical)'!O:O,'Students (Vertical)'!C:C=B379,'Students (Vertical)'!O:O&lt;&gt;"""",'Students (Vertical)'!P:P&gt;1));unique(filter('Students (Vertical)'!O:O,'Students (Vertic"&amp;"al)'!C:C=E379,'Students (Vertical)'!O:O&lt;&gt;"""",'Students (Vertical)'!P:P&gt;1))},countifs({unique(filter('Students (Vertical)'!O:O,'Students (Vertical)'!C:C=B379,'Students (Vertical)'!O:O&lt;&gt;"""",'Students (Vertical)'!P:P&gt;1));unique(filter('Students (Vertical)'"&amp;"!O:O,'Students (Vertical)'!C:C=E379,'Students (Vertical)'!O:O&lt;&gt;"""",'Students (Vertical)'!P:P&gt;1))},{unique(filter('Students (Vertical)'!O:O,'Students (Vertical)'!C:C=B379,'Students (Vertical)'!O:O&lt;&gt;"""",'Students (Vertical)'!P:P&gt;1));unique(filter('Student"&amp;"s (Vertical)'!O:O,'Students (Vertical)'!C:C=E379,'Students (Vertical)'!O:O&lt;&gt;"""",'Students (Vertical)'!P:P&gt;1))})&gt;1))),""""),"""")"),"")</f>
        <v/>
      </c>
      <c r="K379" s="96" t="str">
        <f>IFERROR(__xludf.DUMMYFUNCTION("iferror(join("", "",unique(filter({filter('Students (Vertical)'!D:D,'Students (Vertical)'!C:C=B379,'Students (Vertical)'!D:D&lt;&gt;"""");filter('Students (Vertical)'!D:D,'Students (Vertical)'!C:C=E379,'Students (Vertical)'!D:D&lt;&gt;"""")},countifs({filter('Student"&amp;"s (Vertical)'!D:D,'Students (Vertical)'!C:C=B379,'Students (Vertical)'!D:D&lt;&gt;"""");filter('Students (Vertical)'!D:D,'Students (Vertical)'!C:C=E379,'Students (Vertical)'!D:D&lt;&gt;"""")},{filter('Students (Vertical)'!D:D,'Students (Vertical)'!C:C=B379,'Students "&amp;"(Vertical)'!D:D&lt;&gt;"""");filter('Students (Vertical)'!D:D,'Students (Vertical)'!C:C=E379,'Students (Vertical)'!D:D&lt;&gt;"""")})&gt;1))),"""")"),"")</f>
        <v/>
      </c>
      <c r="L379" s="96"/>
      <c r="M379" s="96"/>
    </row>
    <row r="380" hidden="1">
      <c r="A380" s="8" t="s">
        <v>8</v>
      </c>
      <c r="C380" s="8" t="s">
        <v>8</v>
      </c>
      <c r="D380" s="8" t="s">
        <v>8</v>
      </c>
      <c r="F380" s="8" t="s">
        <v>8</v>
      </c>
      <c r="G380" s="8" t="s">
        <v>8</v>
      </c>
      <c r="I380" s="94" t="str">
        <f>IFERROR(__xludf.DUMMYFUNCTION("if(H380=""Must be Together"",iferror(join("", "",unique(filter({filter('Students (Vertical)'!O:O,'Students (Vertical)'!C:C=B380,'Students (Vertical)'!O:O&lt;&gt;"""");filter('Students (Vertical)'!O:O,'Students (Vertical)'!C:C=E380,'Students (Vertical)'!O:O&lt;&gt;"""&amp;""")},countifs({filter('Students (Vertical)'!O:O,'Students (Vertical)'!C:C=B380,'Students (Vertical)'!O:O&lt;&gt;"""");filter('Students (Vertical)'!O:O,'Students (Vertical)'!C:C=E380,'Students (Vertical)'!O:O&lt;&gt;"""")},{filter('Students (Vertical)'!O:O,'Students ("&amp;"Vertical)'!C:C=B380,'Students (Vertical)'!O:O&lt;&gt;"""");filter('Students (Vertical)'!O:O,'Students (Vertical)'!C:C=E380,'Students (Vertical)'!O:O&lt;&gt;"""")})&gt;1))),""No shared courses""),"""")"),"")</f>
        <v/>
      </c>
      <c r="J380" s="94" t="str">
        <f>IFERROR(__xludf.DUMMYFUNCTION("if(H380=""Can't be Together"",iferror(join("", "",unique(filter({unique(filter('Students (Vertical)'!O:O,'Students (Vertical)'!C:C=B380,'Students (Vertical)'!O:O&lt;&gt;"""",'Students (Vertical)'!P:P&gt;1));unique(filter('Students (Vertical)'!O:O,'Students (Vertic"&amp;"al)'!C:C=E380,'Students (Vertical)'!O:O&lt;&gt;"""",'Students (Vertical)'!P:P&gt;1))},countifs({unique(filter('Students (Vertical)'!O:O,'Students (Vertical)'!C:C=B380,'Students (Vertical)'!O:O&lt;&gt;"""",'Students (Vertical)'!P:P&gt;1));unique(filter('Students (Vertical)'"&amp;"!O:O,'Students (Vertical)'!C:C=E380,'Students (Vertical)'!O:O&lt;&gt;"""",'Students (Vertical)'!P:P&gt;1))},{unique(filter('Students (Vertical)'!O:O,'Students (Vertical)'!C:C=B380,'Students (Vertical)'!O:O&lt;&gt;"""",'Students (Vertical)'!P:P&gt;1));unique(filter('Student"&amp;"s (Vertical)'!O:O,'Students (Vertical)'!C:C=E380,'Students (Vertical)'!O:O&lt;&gt;"""",'Students (Vertical)'!P:P&gt;1))})&gt;1))),""""),"""")"),"")</f>
        <v/>
      </c>
      <c r="K380" s="96" t="str">
        <f>IFERROR(__xludf.DUMMYFUNCTION("iferror(join("", "",unique(filter({filter('Students (Vertical)'!D:D,'Students (Vertical)'!C:C=B380,'Students (Vertical)'!D:D&lt;&gt;"""");filter('Students (Vertical)'!D:D,'Students (Vertical)'!C:C=E380,'Students (Vertical)'!D:D&lt;&gt;"""")},countifs({filter('Student"&amp;"s (Vertical)'!D:D,'Students (Vertical)'!C:C=B380,'Students (Vertical)'!D:D&lt;&gt;"""");filter('Students (Vertical)'!D:D,'Students (Vertical)'!C:C=E380,'Students (Vertical)'!D:D&lt;&gt;"""")},{filter('Students (Vertical)'!D:D,'Students (Vertical)'!C:C=B380,'Students "&amp;"(Vertical)'!D:D&lt;&gt;"""");filter('Students (Vertical)'!D:D,'Students (Vertical)'!C:C=E380,'Students (Vertical)'!D:D&lt;&gt;"""")})&gt;1))),"""")"),"")</f>
        <v/>
      </c>
      <c r="L380" s="96"/>
      <c r="M380" s="96"/>
    </row>
    <row r="381" hidden="1">
      <c r="A381" s="8" t="s">
        <v>8</v>
      </c>
      <c r="C381" s="8" t="s">
        <v>8</v>
      </c>
      <c r="D381" s="8" t="s">
        <v>8</v>
      </c>
      <c r="F381" s="8" t="s">
        <v>8</v>
      </c>
      <c r="G381" s="8" t="s">
        <v>8</v>
      </c>
      <c r="I381" s="94" t="str">
        <f>IFERROR(__xludf.DUMMYFUNCTION("if(H381=""Must be Together"",iferror(join("", "",unique(filter({filter('Students (Vertical)'!O:O,'Students (Vertical)'!C:C=B381,'Students (Vertical)'!O:O&lt;&gt;"""");filter('Students (Vertical)'!O:O,'Students (Vertical)'!C:C=E381,'Students (Vertical)'!O:O&lt;&gt;"""&amp;""")},countifs({filter('Students (Vertical)'!O:O,'Students (Vertical)'!C:C=B381,'Students (Vertical)'!O:O&lt;&gt;"""");filter('Students (Vertical)'!O:O,'Students (Vertical)'!C:C=E381,'Students (Vertical)'!O:O&lt;&gt;"""")},{filter('Students (Vertical)'!O:O,'Students ("&amp;"Vertical)'!C:C=B381,'Students (Vertical)'!O:O&lt;&gt;"""");filter('Students (Vertical)'!O:O,'Students (Vertical)'!C:C=E381,'Students (Vertical)'!O:O&lt;&gt;"""")})&gt;1))),""No shared courses""),"""")"),"")</f>
        <v/>
      </c>
      <c r="J381" s="94" t="str">
        <f>IFERROR(__xludf.DUMMYFUNCTION("if(H381=""Can't be Together"",iferror(join("", "",unique(filter({unique(filter('Students (Vertical)'!O:O,'Students (Vertical)'!C:C=B381,'Students (Vertical)'!O:O&lt;&gt;"""",'Students (Vertical)'!P:P&gt;1));unique(filter('Students (Vertical)'!O:O,'Students (Vertic"&amp;"al)'!C:C=E381,'Students (Vertical)'!O:O&lt;&gt;"""",'Students (Vertical)'!P:P&gt;1))},countifs({unique(filter('Students (Vertical)'!O:O,'Students (Vertical)'!C:C=B381,'Students (Vertical)'!O:O&lt;&gt;"""",'Students (Vertical)'!P:P&gt;1));unique(filter('Students (Vertical)'"&amp;"!O:O,'Students (Vertical)'!C:C=E381,'Students (Vertical)'!O:O&lt;&gt;"""",'Students (Vertical)'!P:P&gt;1))},{unique(filter('Students (Vertical)'!O:O,'Students (Vertical)'!C:C=B381,'Students (Vertical)'!O:O&lt;&gt;"""",'Students (Vertical)'!P:P&gt;1));unique(filter('Student"&amp;"s (Vertical)'!O:O,'Students (Vertical)'!C:C=E381,'Students (Vertical)'!O:O&lt;&gt;"""",'Students (Vertical)'!P:P&gt;1))})&gt;1))),""""),"""")"),"")</f>
        <v/>
      </c>
      <c r="K381" s="96" t="str">
        <f>IFERROR(__xludf.DUMMYFUNCTION("iferror(join("", "",unique(filter({filter('Students (Vertical)'!D:D,'Students (Vertical)'!C:C=B381,'Students (Vertical)'!D:D&lt;&gt;"""");filter('Students (Vertical)'!D:D,'Students (Vertical)'!C:C=E381,'Students (Vertical)'!D:D&lt;&gt;"""")},countifs({filter('Student"&amp;"s (Vertical)'!D:D,'Students (Vertical)'!C:C=B381,'Students (Vertical)'!D:D&lt;&gt;"""");filter('Students (Vertical)'!D:D,'Students (Vertical)'!C:C=E381,'Students (Vertical)'!D:D&lt;&gt;"""")},{filter('Students (Vertical)'!D:D,'Students (Vertical)'!C:C=B381,'Students "&amp;"(Vertical)'!D:D&lt;&gt;"""");filter('Students (Vertical)'!D:D,'Students (Vertical)'!C:C=E381,'Students (Vertical)'!D:D&lt;&gt;"""")})&gt;1))),"""")"),"")</f>
        <v/>
      </c>
      <c r="L381" s="96"/>
      <c r="M381" s="96"/>
    </row>
    <row r="382" hidden="1">
      <c r="A382" s="8" t="s">
        <v>8</v>
      </c>
      <c r="C382" s="8" t="s">
        <v>8</v>
      </c>
      <c r="D382" s="8" t="s">
        <v>8</v>
      </c>
      <c r="F382" s="8" t="s">
        <v>8</v>
      </c>
      <c r="G382" s="8" t="s">
        <v>8</v>
      </c>
      <c r="I382" s="94" t="str">
        <f>IFERROR(__xludf.DUMMYFUNCTION("if(H382=""Must be Together"",iferror(join("", "",unique(filter({filter('Students (Vertical)'!O:O,'Students (Vertical)'!C:C=B382,'Students (Vertical)'!O:O&lt;&gt;"""");filter('Students (Vertical)'!O:O,'Students (Vertical)'!C:C=E382,'Students (Vertical)'!O:O&lt;&gt;"""&amp;""")},countifs({filter('Students (Vertical)'!O:O,'Students (Vertical)'!C:C=B382,'Students (Vertical)'!O:O&lt;&gt;"""");filter('Students (Vertical)'!O:O,'Students (Vertical)'!C:C=E382,'Students (Vertical)'!O:O&lt;&gt;"""")},{filter('Students (Vertical)'!O:O,'Students ("&amp;"Vertical)'!C:C=B382,'Students (Vertical)'!O:O&lt;&gt;"""");filter('Students (Vertical)'!O:O,'Students (Vertical)'!C:C=E382,'Students (Vertical)'!O:O&lt;&gt;"""")})&gt;1))),""No shared courses""),"""")"),"")</f>
        <v/>
      </c>
      <c r="J382" s="94" t="str">
        <f>IFERROR(__xludf.DUMMYFUNCTION("if(H382=""Can't be Together"",iferror(join("", "",unique(filter({unique(filter('Students (Vertical)'!O:O,'Students (Vertical)'!C:C=B382,'Students (Vertical)'!O:O&lt;&gt;"""",'Students (Vertical)'!P:P&gt;1));unique(filter('Students (Vertical)'!O:O,'Students (Vertic"&amp;"al)'!C:C=E382,'Students (Vertical)'!O:O&lt;&gt;"""",'Students (Vertical)'!P:P&gt;1))},countifs({unique(filter('Students (Vertical)'!O:O,'Students (Vertical)'!C:C=B382,'Students (Vertical)'!O:O&lt;&gt;"""",'Students (Vertical)'!P:P&gt;1));unique(filter('Students (Vertical)'"&amp;"!O:O,'Students (Vertical)'!C:C=E382,'Students (Vertical)'!O:O&lt;&gt;"""",'Students (Vertical)'!P:P&gt;1))},{unique(filter('Students (Vertical)'!O:O,'Students (Vertical)'!C:C=B382,'Students (Vertical)'!O:O&lt;&gt;"""",'Students (Vertical)'!P:P&gt;1));unique(filter('Student"&amp;"s (Vertical)'!O:O,'Students (Vertical)'!C:C=E382,'Students (Vertical)'!O:O&lt;&gt;"""",'Students (Vertical)'!P:P&gt;1))})&gt;1))),""""),"""")"),"")</f>
        <v/>
      </c>
      <c r="K382" s="96" t="str">
        <f>IFERROR(__xludf.DUMMYFUNCTION("iferror(join("", "",unique(filter({filter('Students (Vertical)'!D:D,'Students (Vertical)'!C:C=B382,'Students (Vertical)'!D:D&lt;&gt;"""");filter('Students (Vertical)'!D:D,'Students (Vertical)'!C:C=E382,'Students (Vertical)'!D:D&lt;&gt;"""")},countifs({filter('Student"&amp;"s (Vertical)'!D:D,'Students (Vertical)'!C:C=B382,'Students (Vertical)'!D:D&lt;&gt;"""");filter('Students (Vertical)'!D:D,'Students (Vertical)'!C:C=E382,'Students (Vertical)'!D:D&lt;&gt;"""")},{filter('Students (Vertical)'!D:D,'Students (Vertical)'!C:C=B382,'Students "&amp;"(Vertical)'!D:D&lt;&gt;"""");filter('Students (Vertical)'!D:D,'Students (Vertical)'!C:C=E382,'Students (Vertical)'!D:D&lt;&gt;"""")})&gt;1))),"""")"),"")</f>
        <v/>
      </c>
      <c r="L382" s="96"/>
      <c r="M382" s="96"/>
    </row>
    <row r="383" hidden="1">
      <c r="A383" s="8" t="s">
        <v>8</v>
      </c>
      <c r="C383" s="8" t="s">
        <v>8</v>
      </c>
      <c r="D383" s="8" t="s">
        <v>8</v>
      </c>
      <c r="F383" s="8" t="s">
        <v>8</v>
      </c>
      <c r="G383" s="8" t="s">
        <v>8</v>
      </c>
      <c r="I383" s="94" t="str">
        <f>IFERROR(__xludf.DUMMYFUNCTION("if(H383=""Must be Together"",iferror(join("", "",unique(filter({filter('Students (Vertical)'!O:O,'Students (Vertical)'!C:C=B383,'Students (Vertical)'!O:O&lt;&gt;"""");filter('Students (Vertical)'!O:O,'Students (Vertical)'!C:C=E383,'Students (Vertical)'!O:O&lt;&gt;"""&amp;""")},countifs({filter('Students (Vertical)'!O:O,'Students (Vertical)'!C:C=B383,'Students (Vertical)'!O:O&lt;&gt;"""");filter('Students (Vertical)'!O:O,'Students (Vertical)'!C:C=E383,'Students (Vertical)'!O:O&lt;&gt;"""")},{filter('Students (Vertical)'!O:O,'Students ("&amp;"Vertical)'!C:C=B383,'Students (Vertical)'!O:O&lt;&gt;"""");filter('Students (Vertical)'!O:O,'Students (Vertical)'!C:C=E383,'Students (Vertical)'!O:O&lt;&gt;"""")})&gt;1))),""No shared courses""),"""")"),"")</f>
        <v/>
      </c>
      <c r="J383" s="94" t="str">
        <f>IFERROR(__xludf.DUMMYFUNCTION("if(H383=""Can't be Together"",iferror(join("", "",unique(filter({unique(filter('Students (Vertical)'!O:O,'Students (Vertical)'!C:C=B383,'Students (Vertical)'!O:O&lt;&gt;"""",'Students (Vertical)'!P:P&gt;1));unique(filter('Students (Vertical)'!O:O,'Students (Vertic"&amp;"al)'!C:C=E383,'Students (Vertical)'!O:O&lt;&gt;"""",'Students (Vertical)'!P:P&gt;1))},countifs({unique(filter('Students (Vertical)'!O:O,'Students (Vertical)'!C:C=B383,'Students (Vertical)'!O:O&lt;&gt;"""",'Students (Vertical)'!P:P&gt;1));unique(filter('Students (Vertical)'"&amp;"!O:O,'Students (Vertical)'!C:C=E383,'Students (Vertical)'!O:O&lt;&gt;"""",'Students (Vertical)'!P:P&gt;1))},{unique(filter('Students (Vertical)'!O:O,'Students (Vertical)'!C:C=B383,'Students (Vertical)'!O:O&lt;&gt;"""",'Students (Vertical)'!P:P&gt;1));unique(filter('Student"&amp;"s (Vertical)'!O:O,'Students (Vertical)'!C:C=E383,'Students (Vertical)'!O:O&lt;&gt;"""",'Students (Vertical)'!P:P&gt;1))})&gt;1))),""""),"""")"),"")</f>
        <v/>
      </c>
      <c r="K383" s="96" t="str">
        <f>IFERROR(__xludf.DUMMYFUNCTION("iferror(join("", "",unique(filter({filter('Students (Vertical)'!D:D,'Students (Vertical)'!C:C=B383,'Students (Vertical)'!D:D&lt;&gt;"""");filter('Students (Vertical)'!D:D,'Students (Vertical)'!C:C=E383,'Students (Vertical)'!D:D&lt;&gt;"""")},countifs({filter('Student"&amp;"s (Vertical)'!D:D,'Students (Vertical)'!C:C=B383,'Students (Vertical)'!D:D&lt;&gt;"""");filter('Students (Vertical)'!D:D,'Students (Vertical)'!C:C=E383,'Students (Vertical)'!D:D&lt;&gt;"""")},{filter('Students (Vertical)'!D:D,'Students (Vertical)'!C:C=B383,'Students "&amp;"(Vertical)'!D:D&lt;&gt;"""");filter('Students (Vertical)'!D:D,'Students (Vertical)'!C:C=E383,'Students (Vertical)'!D:D&lt;&gt;"""")})&gt;1))),"""")"),"")</f>
        <v/>
      </c>
      <c r="L383" s="96"/>
      <c r="M383" s="96"/>
    </row>
    <row r="384" hidden="1">
      <c r="A384" s="8" t="s">
        <v>8</v>
      </c>
      <c r="C384" s="8" t="s">
        <v>8</v>
      </c>
      <c r="D384" s="8" t="s">
        <v>8</v>
      </c>
      <c r="F384" s="8" t="s">
        <v>8</v>
      </c>
      <c r="G384" s="8" t="s">
        <v>8</v>
      </c>
      <c r="I384" s="94" t="str">
        <f>IFERROR(__xludf.DUMMYFUNCTION("if(H384=""Must be Together"",iferror(join("", "",unique(filter({filter('Students (Vertical)'!O:O,'Students (Vertical)'!C:C=B384,'Students (Vertical)'!O:O&lt;&gt;"""");filter('Students (Vertical)'!O:O,'Students (Vertical)'!C:C=E384,'Students (Vertical)'!O:O&lt;&gt;"""&amp;""")},countifs({filter('Students (Vertical)'!O:O,'Students (Vertical)'!C:C=B384,'Students (Vertical)'!O:O&lt;&gt;"""");filter('Students (Vertical)'!O:O,'Students (Vertical)'!C:C=E384,'Students (Vertical)'!O:O&lt;&gt;"""")},{filter('Students (Vertical)'!O:O,'Students ("&amp;"Vertical)'!C:C=B384,'Students (Vertical)'!O:O&lt;&gt;"""");filter('Students (Vertical)'!O:O,'Students (Vertical)'!C:C=E384,'Students (Vertical)'!O:O&lt;&gt;"""")})&gt;1))),""No shared courses""),"""")"),"")</f>
        <v/>
      </c>
      <c r="J384" s="94" t="str">
        <f>IFERROR(__xludf.DUMMYFUNCTION("if(H384=""Can't be Together"",iferror(join("", "",unique(filter({unique(filter('Students (Vertical)'!O:O,'Students (Vertical)'!C:C=B384,'Students (Vertical)'!O:O&lt;&gt;"""",'Students (Vertical)'!P:P&gt;1));unique(filter('Students (Vertical)'!O:O,'Students (Vertic"&amp;"al)'!C:C=E384,'Students (Vertical)'!O:O&lt;&gt;"""",'Students (Vertical)'!P:P&gt;1))},countifs({unique(filter('Students (Vertical)'!O:O,'Students (Vertical)'!C:C=B384,'Students (Vertical)'!O:O&lt;&gt;"""",'Students (Vertical)'!P:P&gt;1));unique(filter('Students (Vertical)'"&amp;"!O:O,'Students (Vertical)'!C:C=E384,'Students (Vertical)'!O:O&lt;&gt;"""",'Students (Vertical)'!P:P&gt;1))},{unique(filter('Students (Vertical)'!O:O,'Students (Vertical)'!C:C=B384,'Students (Vertical)'!O:O&lt;&gt;"""",'Students (Vertical)'!P:P&gt;1));unique(filter('Student"&amp;"s (Vertical)'!O:O,'Students (Vertical)'!C:C=E384,'Students (Vertical)'!O:O&lt;&gt;"""",'Students (Vertical)'!P:P&gt;1))})&gt;1))),""""),"""")"),"")</f>
        <v/>
      </c>
      <c r="K384" s="96" t="str">
        <f>IFERROR(__xludf.DUMMYFUNCTION("iferror(join("", "",unique(filter({filter('Students (Vertical)'!D:D,'Students (Vertical)'!C:C=B384,'Students (Vertical)'!D:D&lt;&gt;"""");filter('Students (Vertical)'!D:D,'Students (Vertical)'!C:C=E384,'Students (Vertical)'!D:D&lt;&gt;"""")},countifs({filter('Student"&amp;"s (Vertical)'!D:D,'Students (Vertical)'!C:C=B384,'Students (Vertical)'!D:D&lt;&gt;"""");filter('Students (Vertical)'!D:D,'Students (Vertical)'!C:C=E384,'Students (Vertical)'!D:D&lt;&gt;"""")},{filter('Students (Vertical)'!D:D,'Students (Vertical)'!C:C=B384,'Students "&amp;"(Vertical)'!D:D&lt;&gt;"""");filter('Students (Vertical)'!D:D,'Students (Vertical)'!C:C=E384,'Students (Vertical)'!D:D&lt;&gt;"""")})&gt;1))),"""")"),"")</f>
        <v/>
      </c>
      <c r="L384" s="96"/>
      <c r="M384" s="96"/>
    </row>
    <row r="385" hidden="1">
      <c r="A385" s="8" t="s">
        <v>8</v>
      </c>
      <c r="C385" s="8" t="s">
        <v>8</v>
      </c>
      <c r="D385" s="8" t="s">
        <v>8</v>
      </c>
      <c r="F385" s="8" t="s">
        <v>8</v>
      </c>
      <c r="G385" s="8" t="s">
        <v>8</v>
      </c>
      <c r="I385" s="94" t="str">
        <f>IFERROR(__xludf.DUMMYFUNCTION("if(H385=""Must be Together"",iferror(join("", "",unique(filter({filter('Students (Vertical)'!O:O,'Students (Vertical)'!C:C=B385,'Students (Vertical)'!O:O&lt;&gt;"""");filter('Students (Vertical)'!O:O,'Students (Vertical)'!C:C=E385,'Students (Vertical)'!O:O&lt;&gt;"""&amp;""")},countifs({filter('Students (Vertical)'!O:O,'Students (Vertical)'!C:C=B385,'Students (Vertical)'!O:O&lt;&gt;"""");filter('Students (Vertical)'!O:O,'Students (Vertical)'!C:C=E385,'Students (Vertical)'!O:O&lt;&gt;"""")},{filter('Students (Vertical)'!O:O,'Students ("&amp;"Vertical)'!C:C=B385,'Students (Vertical)'!O:O&lt;&gt;"""");filter('Students (Vertical)'!O:O,'Students (Vertical)'!C:C=E385,'Students (Vertical)'!O:O&lt;&gt;"""")})&gt;1))),""No shared courses""),"""")"),"")</f>
        <v/>
      </c>
      <c r="J385" s="94" t="str">
        <f>IFERROR(__xludf.DUMMYFUNCTION("if(H385=""Can't be Together"",iferror(join("", "",unique(filter({unique(filter('Students (Vertical)'!O:O,'Students (Vertical)'!C:C=B385,'Students (Vertical)'!O:O&lt;&gt;"""",'Students (Vertical)'!P:P&gt;1));unique(filter('Students (Vertical)'!O:O,'Students (Vertic"&amp;"al)'!C:C=E385,'Students (Vertical)'!O:O&lt;&gt;"""",'Students (Vertical)'!P:P&gt;1))},countifs({unique(filter('Students (Vertical)'!O:O,'Students (Vertical)'!C:C=B385,'Students (Vertical)'!O:O&lt;&gt;"""",'Students (Vertical)'!P:P&gt;1));unique(filter('Students (Vertical)'"&amp;"!O:O,'Students (Vertical)'!C:C=E385,'Students (Vertical)'!O:O&lt;&gt;"""",'Students (Vertical)'!P:P&gt;1))},{unique(filter('Students (Vertical)'!O:O,'Students (Vertical)'!C:C=B385,'Students (Vertical)'!O:O&lt;&gt;"""",'Students (Vertical)'!P:P&gt;1));unique(filter('Student"&amp;"s (Vertical)'!O:O,'Students (Vertical)'!C:C=E385,'Students (Vertical)'!O:O&lt;&gt;"""",'Students (Vertical)'!P:P&gt;1))})&gt;1))),""""),"""")"),"")</f>
        <v/>
      </c>
      <c r="K385" s="96" t="str">
        <f>IFERROR(__xludf.DUMMYFUNCTION("iferror(join("", "",unique(filter({filter('Students (Vertical)'!D:D,'Students (Vertical)'!C:C=B385,'Students (Vertical)'!D:D&lt;&gt;"""");filter('Students (Vertical)'!D:D,'Students (Vertical)'!C:C=E385,'Students (Vertical)'!D:D&lt;&gt;"""")},countifs({filter('Student"&amp;"s (Vertical)'!D:D,'Students (Vertical)'!C:C=B385,'Students (Vertical)'!D:D&lt;&gt;"""");filter('Students (Vertical)'!D:D,'Students (Vertical)'!C:C=E385,'Students (Vertical)'!D:D&lt;&gt;"""")},{filter('Students (Vertical)'!D:D,'Students (Vertical)'!C:C=B385,'Students "&amp;"(Vertical)'!D:D&lt;&gt;"""");filter('Students (Vertical)'!D:D,'Students (Vertical)'!C:C=E385,'Students (Vertical)'!D:D&lt;&gt;"""")})&gt;1))),"""")"),"")</f>
        <v/>
      </c>
      <c r="L385" s="96"/>
      <c r="M385" s="96"/>
    </row>
    <row r="386" hidden="1">
      <c r="A386" s="8" t="s">
        <v>8</v>
      </c>
      <c r="C386" s="8" t="s">
        <v>8</v>
      </c>
      <c r="D386" s="8" t="s">
        <v>8</v>
      </c>
      <c r="F386" s="8" t="s">
        <v>8</v>
      </c>
      <c r="G386" s="8" t="s">
        <v>8</v>
      </c>
      <c r="I386" s="94" t="str">
        <f>IFERROR(__xludf.DUMMYFUNCTION("if(H386=""Must be Together"",iferror(join("", "",unique(filter({filter('Students (Vertical)'!O:O,'Students (Vertical)'!C:C=B386,'Students (Vertical)'!O:O&lt;&gt;"""");filter('Students (Vertical)'!O:O,'Students (Vertical)'!C:C=E386,'Students (Vertical)'!O:O&lt;&gt;"""&amp;""")},countifs({filter('Students (Vertical)'!O:O,'Students (Vertical)'!C:C=B386,'Students (Vertical)'!O:O&lt;&gt;"""");filter('Students (Vertical)'!O:O,'Students (Vertical)'!C:C=E386,'Students (Vertical)'!O:O&lt;&gt;"""")},{filter('Students (Vertical)'!O:O,'Students ("&amp;"Vertical)'!C:C=B386,'Students (Vertical)'!O:O&lt;&gt;"""");filter('Students (Vertical)'!O:O,'Students (Vertical)'!C:C=E386,'Students (Vertical)'!O:O&lt;&gt;"""")})&gt;1))),""No shared courses""),"""")"),"")</f>
        <v/>
      </c>
      <c r="J386" s="94" t="str">
        <f>IFERROR(__xludf.DUMMYFUNCTION("if(H386=""Can't be Together"",iferror(join("", "",unique(filter({unique(filter('Students (Vertical)'!O:O,'Students (Vertical)'!C:C=B386,'Students (Vertical)'!O:O&lt;&gt;"""",'Students (Vertical)'!P:P&gt;1));unique(filter('Students (Vertical)'!O:O,'Students (Vertic"&amp;"al)'!C:C=E386,'Students (Vertical)'!O:O&lt;&gt;"""",'Students (Vertical)'!P:P&gt;1))},countifs({unique(filter('Students (Vertical)'!O:O,'Students (Vertical)'!C:C=B386,'Students (Vertical)'!O:O&lt;&gt;"""",'Students (Vertical)'!P:P&gt;1));unique(filter('Students (Vertical)'"&amp;"!O:O,'Students (Vertical)'!C:C=E386,'Students (Vertical)'!O:O&lt;&gt;"""",'Students (Vertical)'!P:P&gt;1))},{unique(filter('Students (Vertical)'!O:O,'Students (Vertical)'!C:C=B386,'Students (Vertical)'!O:O&lt;&gt;"""",'Students (Vertical)'!P:P&gt;1));unique(filter('Student"&amp;"s (Vertical)'!O:O,'Students (Vertical)'!C:C=E386,'Students (Vertical)'!O:O&lt;&gt;"""",'Students (Vertical)'!P:P&gt;1))})&gt;1))),""""),"""")"),"")</f>
        <v/>
      </c>
      <c r="K386" s="96" t="str">
        <f>IFERROR(__xludf.DUMMYFUNCTION("iferror(join("", "",unique(filter({filter('Students (Vertical)'!D:D,'Students (Vertical)'!C:C=B386,'Students (Vertical)'!D:D&lt;&gt;"""");filter('Students (Vertical)'!D:D,'Students (Vertical)'!C:C=E386,'Students (Vertical)'!D:D&lt;&gt;"""")},countifs({filter('Student"&amp;"s (Vertical)'!D:D,'Students (Vertical)'!C:C=B386,'Students (Vertical)'!D:D&lt;&gt;"""");filter('Students (Vertical)'!D:D,'Students (Vertical)'!C:C=E386,'Students (Vertical)'!D:D&lt;&gt;"""")},{filter('Students (Vertical)'!D:D,'Students (Vertical)'!C:C=B386,'Students "&amp;"(Vertical)'!D:D&lt;&gt;"""");filter('Students (Vertical)'!D:D,'Students (Vertical)'!C:C=E386,'Students (Vertical)'!D:D&lt;&gt;"""")})&gt;1))),"""")"),"")</f>
        <v/>
      </c>
      <c r="L386" s="96"/>
      <c r="M386" s="96"/>
    </row>
    <row r="387" hidden="1">
      <c r="A387" s="8" t="s">
        <v>8</v>
      </c>
      <c r="C387" s="8" t="s">
        <v>8</v>
      </c>
      <c r="D387" s="8" t="s">
        <v>8</v>
      </c>
      <c r="F387" s="8" t="s">
        <v>8</v>
      </c>
      <c r="G387" s="8" t="s">
        <v>8</v>
      </c>
      <c r="I387" s="94" t="str">
        <f>IFERROR(__xludf.DUMMYFUNCTION("if(H387=""Must be Together"",iferror(join("", "",unique(filter({filter('Students (Vertical)'!O:O,'Students (Vertical)'!C:C=B387,'Students (Vertical)'!O:O&lt;&gt;"""");filter('Students (Vertical)'!O:O,'Students (Vertical)'!C:C=E387,'Students (Vertical)'!O:O&lt;&gt;"""&amp;""")},countifs({filter('Students (Vertical)'!O:O,'Students (Vertical)'!C:C=B387,'Students (Vertical)'!O:O&lt;&gt;"""");filter('Students (Vertical)'!O:O,'Students (Vertical)'!C:C=E387,'Students (Vertical)'!O:O&lt;&gt;"""")},{filter('Students (Vertical)'!O:O,'Students ("&amp;"Vertical)'!C:C=B387,'Students (Vertical)'!O:O&lt;&gt;"""");filter('Students (Vertical)'!O:O,'Students (Vertical)'!C:C=E387,'Students (Vertical)'!O:O&lt;&gt;"""")})&gt;1))),""No shared courses""),"""")"),"")</f>
        <v/>
      </c>
      <c r="J387" s="94" t="str">
        <f>IFERROR(__xludf.DUMMYFUNCTION("if(H387=""Can't be Together"",iferror(join("", "",unique(filter({unique(filter('Students (Vertical)'!O:O,'Students (Vertical)'!C:C=B387,'Students (Vertical)'!O:O&lt;&gt;"""",'Students (Vertical)'!P:P&gt;1));unique(filter('Students (Vertical)'!O:O,'Students (Vertic"&amp;"al)'!C:C=E387,'Students (Vertical)'!O:O&lt;&gt;"""",'Students (Vertical)'!P:P&gt;1))},countifs({unique(filter('Students (Vertical)'!O:O,'Students (Vertical)'!C:C=B387,'Students (Vertical)'!O:O&lt;&gt;"""",'Students (Vertical)'!P:P&gt;1));unique(filter('Students (Vertical)'"&amp;"!O:O,'Students (Vertical)'!C:C=E387,'Students (Vertical)'!O:O&lt;&gt;"""",'Students (Vertical)'!P:P&gt;1))},{unique(filter('Students (Vertical)'!O:O,'Students (Vertical)'!C:C=B387,'Students (Vertical)'!O:O&lt;&gt;"""",'Students (Vertical)'!P:P&gt;1));unique(filter('Student"&amp;"s (Vertical)'!O:O,'Students (Vertical)'!C:C=E387,'Students (Vertical)'!O:O&lt;&gt;"""",'Students (Vertical)'!P:P&gt;1))})&gt;1))),""""),"""")"),"")</f>
        <v/>
      </c>
      <c r="K387" s="96" t="str">
        <f>IFERROR(__xludf.DUMMYFUNCTION("iferror(join("", "",unique(filter({filter('Students (Vertical)'!D:D,'Students (Vertical)'!C:C=B387,'Students (Vertical)'!D:D&lt;&gt;"""");filter('Students (Vertical)'!D:D,'Students (Vertical)'!C:C=E387,'Students (Vertical)'!D:D&lt;&gt;"""")},countifs({filter('Student"&amp;"s (Vertical)'!D:D,'Students (Vertical)'!C:C=B387,'Students (Vertical)'!D:D&lt;&gt;"""");filter('Students (Vertical)'!D:D,'Students (Vertical)'!C:C=E387,'Students (Vertical)'!D:D&lt;&gt;"""")},{filter('Students (Vertical)'!D:D,'Students (Vertical)'!C:C=B387,'Students "&amp;"(Vertical)'!D:D&lt;&gt;"""");filter('Students (Vertical)'!D:D,'Students (Vertical)'!C:C=E387,'Students (Vertical)'!D:D&lt;&gt;"""")})&gt;1))),"""")"),"")</f>
        <v/>
      </c>
      <c r="L387" s="96"/>
      <c r="M387" s="96"/>
    </row>
    <row r="388" hidden="1">
      <c r="A388" s="8" t="s">
        <v>8</v>
      </c>
      <c r="C388" s="8" t="s">
        <v>8</v>
      </c>
      <c r="D388" s="8" t="s">
        <v>8</v>
      </c>
      <c r="F388" s="8" t="s">
        <v>8</v>
      </c>
      <c r="G388" s="8" t="s">
        <v>8</v>
      </c>
      <c r="I388" s="94" t="str">
        <f>IFERROR(__xludf.DUMMYFUNCTION("if(H388=""Must be Together"",iferror(join("", "",unique(filter({filter('Students (Vertical)'!O:O,'Students (Vertical)'!C:C=B388,'Students (Vertical)'!O:O&lt;&gt;"""");filter('Students (Vertical)'!O:O,'Students (Vertical)'!C:C=E388,'Students (Vertical)'!O:O&lt;&gt;"""&amp;""")},countifs({filter('Students (Vertical)'!O:O,'Students (Vertical)'!C:C=B388,'Students (Vertical)'!O:O&lt;&gt;"""");filter('Students (Vertical)'!O:O,'Students (Vertical)'!C:C=E388,'Students (Vertical)'!O:O&lt;&gt;"""")},{filter('Students (Vertical)'!O:O,'Students ("&amp;"Vertical)'!C:C=B388,'Students (Vertical)'!O:O&lt;&gt;"""");filter('Students (Vertical)'!O:O,'Students (Vertical)'!C:C=E388,'Students (Vertical)'!O:O&lt;&gt;"""")})&gt;1))),""No shared courses""),"""")"),"")</f>
        <v/>
      </c>
      <c r="J388" s="94" t="str">
        <f>IFERROR(__xludf.DUMMYFUNCTION("if(H388=""Can't be Together"",iferror(join("", "",unique(filter({unique(filter('Students (Vertical)'!O:O,'Students (Vertical)'!C:C=B388,'Students (Vertical)'!O:O&lt;&gt;"""",'Students (Vertical)'!P:P&gt;1));unique(filter('Students (Vertical)'!O:O,'Students (Vertic"&amp;"al)'!C:C=E388,'Students (Vertical)'!O:O&lt;&gt;"""",'Students (Vertical)'!P:P&gt;1))},countifs({unique(filter('Students (Vertical)'!O:O,'Students (Vertical)'!C:C=B388,'Students (Vertical)'!O:O&lt;&gt;"""",'Students (Vertical)'!P:P&gt;1));unique(filter('Students (Vertical)'"&amp;"!O:O,'Students (Vertical)'!C:C=E388,'Students (Vertical)'!O:O&lt;&gt;"""",'Students (Vertical)'!P:P&gt;1))},{unique(filter('Students (Vertical)'!O:O,'Students (Vertical)'!C:C=B388,'Students (Vertical)'!O:O&lt;&gt;"""",'Students (Vertical)'!P:P&gt;1));unique(filter('Student"&amp;"s (Vertical)'!O:O,'Students (Vertical)'!C:C=E388,'Students (Vertical)'!O:O&lt;&gt;"""",'Students (Vertical)'!P:P&gt;1))})&gt;1))),""""),"""")"),"")</f>
        <v/>
      </c>
      <c r="K388" s="96" t="str">
        <f>IFERROR(__xludf.DUMMYFUNCTION("iferror(join("", "",unique(filter({filter('Students (Vertical)'!D:D,'Students (Vertical)'!C:C=B388,'Students (Vertical)'!D:D&lt;&gt;"""");filter('Students (Vertical)'!D:D,'Students (Vertical)'!C:C=E388,'Students (Vertical)'!D:D&lt;&gt;"""")},countifs({filter('Student"&amp;"s (Vertical)'!D:D,'Students (Vertical)'!C:C=B388,'Students (Vertical)'!D:D&lt;&gt;"""");filter('Students (Vertical)'!D:D,'Students (Vertical)'!C:C=E388,'Students (Vertical)'!D:D&lt;&gt;"""")},{filter('Students (Vertical)'!D:D,'Students (Vertical)'!C:C=B388,'Students "&amp;"(Vertical)'!D:D&lt;&gt;"""");filter('Students (Vertical)'!D:D,'Students (Vertical)'!C:C=E388,'Students (Vertical)'!D:D&lt;&gt;"""")})&gt;1))),"""")"),"")</f>
        <v/>
      </c>
      <c r="L388" s="96"/>
      <c r="M388" s="96"/>
    </row>
    <row r="389" hidden="1">
      <c r="A389" s="8" t="s">
        <v>8</v>
      </c>
      <c r="C389" s="8" t="s">
        <v>8</v>
      </c>
      <c r="D389" s="8" t="s">
        <v>8</v>
      </c>
      <c r="F389" s="8" t="s">
        <v>8</v>
      </c>
      <c r="G389" s="8" t="s">
        <v>8</v>
      </c>
      <c r="I389" s="94" t="str">
        <f>IFERROR(__xludf.DUMMYFUNCTION("if(H389=""Must be Together"",iferror(join("", "",unique(filter({filter('Students (Vertical)'!O:O,'Students (Vertical)'!C:C=B389,'Students (Vertical)'!O:O&lt;&gt;"""");filter('Students (Vertical)'!O:O,'Students (Vertical)'!C:C=E389,'Students (Vertical)'!O:O&lt;&gt;"""&amp;""")},countifs({filter('Students (Vertical)'!O:O,'Students (Vertical)'!C:C=B389,'Students (Vertical)'!O:O&lt;&gt;"""");filter('Students (Vertical)'!O:O,'Students (Vertical)'!C:C=E389,'Students (Vertical)'!O:O&lt;&gt;"""")},{filter('Students (Vertical)'!O:O,'Students ("&amp;"Vertical)'!C:C=B389,'Students (Vertical)'!O:O&lt;&gt;"""");filter('Students (Vertical)'!O:O,'Students (Vertical)'!C:C=E389,'Students (Vertical)'!O:O&lt;&gt;"""")})&gt;1))),""No shared courses""),"""")"),"")</f>
        <v/>
      </c>
      <c r="J389" s="94" t="str">
        <f>IFERROR(__xludf.DUMMYFUNCTION("if(H389=""Can't be Together"",iferror(join("", "",unique(filter({unique(filter('Students (Vertical)'!O:O,'Students (Vertical)'!C:C=B389,'Students (Vertical)'!O:O&lt;&gt;"""",'Students (Vertical)'!P:P&gt;1));unique(filter('Students (Vertical)'!O:O,'Students (Vertic"&amp;"al)'!C:C=E389,'Students (Vertical)'!O:O&lt;&gt;"""",'Students (Vertical)'!P:P&gt;1))},countifs({unique(filter('Students (Vertical)'!O:O,'Students (Vertical)'!C:C=B389,'Students (Vertical)'!O:O&lt;&gt;"""",'Students (Vertical)'!P:P&gt;1));unique(filter('Students (Vertical)'"&amp;"!O:O,'Students (Vertical)'!C:C=E389,'Students (Vertical)'!O:O&lt;&gt;"""",'Students (Vertical)'!P:P&gt;1))},{unique(filter('Students (Vertical)'!O:O,'Students (Vertical)'!C:C=B389,'Students (Vertical)'!O:O&lt;&gt;"""",'Students (Vertical)'!P:P&gt;1));unique(filter('Student"&amp;"s (Vertical)'!O:O,'Students (Vertical)'!C:C=E389,'Students (Vertical)'!O:O&lt;&gt;"""",'Students (Vertical)'!P:P&gt;1))})&gt;1))),""""),"""")"),"")</f>
        <v/>
      </c>
      <c r="K389" s="96" t="str">
        <f>IFERROR(__xludf.DUMMYFUNCTION("iferror(join("", "",unique(filter({filter('Students (Vertical)'!D:D,'Students (Vertical)'!C:C=B389,'Students (Vertical)'!D:D&lt;&gt;"""");filter('Students (Vertical)'!D:D,'Students (Vertical)'!C:C=E389,'Students (Vertical)'!D:D&lt;&gt;"""")},countifs({filter('Student"&amp;"s (Vertical)'!D:D,'Students (Vertical)'!C:C=B389,'Students (Vertical)'!D:D&lt;&gt;"""");filter('Students (Vertical)'!D:D,'Students (Vertical)'!C:C=E389,'Students (Vertical)'!D:D&lt;&gt;"""")},{filter('Students (Vertical)'!D:D,'Students (Vertical)'!C:C=B389,'Students "&amp;"(Vertical)'!D:D&lt;&gt;"""");filter('Students (Vertical)'!D:D,'Students (Vertical)'!C:C=E389,'Students (Vertical)'!D:D&lt;&gt;"""")})&gt;1))),"""")"),"")</f>
        <v/>
      </c>
      <c r="L389" s="96"/>
      <c r="M389" s="96"/>
    </row>
    <row r="390" hidden="1">
      <c r="A390" s="8" t="s">
        <v>8</v>
      </c>
      <c r="C390" s="8" t="s">
        <v>8</v>
      </c>
      <c r="D390" s="8" t="s">
        <v>8</v>
      </c>
      <c r="F390" s="8" t="s">
        <v>8</v>
      </c>
      <c r="G390" s="8" t="s">
        <v>8</v>
      </c>
      <c r="I390" s="94" t="str">
        <f>IFERROR(__xludf.DUMMYFUNCTION("if(H390=""Must be Together"",iferror(join("", "",unique(filter({filter('Students (Vertical)'!O:O,'Students (Vertical)'!C:C=B390,'Students (Vertical)'!O:O&lt;&gt;"""");filter('Students (Vertical)'!O:O,'Students (Vertical)'!C:C=E390,'Students (Vertical)'!O:O&lt;&gt;"""&amp;""")},countifs({filter('Students (Vertical)'!O:O,'Students (Vertical)'!C:C=B390,'Students (Vertical)'!O:O&lt;&gt;"""");filter('Students (Vertical)'!O:O,'Students (Vertical)'!C:C=E390,'Students (Vertical)'!O:O&lt;&gt;"""")},{filter('Students (Vertical)'!O:O,'Students ("&amp;"Vertical)'!C:C=B390,'Students (Vertical)'!O:O&lt;&gt;"""");filter('Students (Vertical)'!O:O,'Students (Vertical)'!C:C=E390,'Students (Vertical)'!O:O&lt;&gt;"""")})&gt;1))),""No shared courses""),"""")"),"")</f>
        <v/>
      </c>
      <c r="J390" s="94" t="str">
        <f>IFERROR(__xludf.DUMMYFUNCTION("if(H390=""Can't be Together"",iferror(join("", "",unique(filter({unique(filter('Students (Vertical)'!O:O,'Students (Vertical)'!C:C=B390,'Students (Vertical)'!O:O&lt;&gt;"""",'Students (Vertical)'!P:P&gt;1));unique(filter('Students (Vertical)'!O:O,'Students (Vertic"&amp;"al)'!C:C=E390,'Students (Vertical)'!O:O&lt;&gt;"""",'Students (Vertical)'!P:P&gt;1))},countifs({unique(filter('Students (Vertical)'!O:O,'Students (Vertical)'!C:C=B390,'Students (Vertical)'!O:O&lt;&gt;"""",'Students (Vertical)'!P:P&gt;1));unique(filter('Students (Vertical)'"&amp;"!O:O,'Students (Vertical)'!C:C=E390,'Students (Vertical)'!O:O&lt;&gt;"""",'Students (Vertical)'!P:P&gt;1))},{unique(filter('Students (Vertical)'!O:O,'Students (Vertical)'!C:C=B390,'Students (Vertical)'!O:O&lt;&gt;"""",'Students (Vertical)'!P:P&gt;1));unique(filter('Student"&amp;"s (Vertical)'!O:O,'Students (Vertical)'!C:C=E390,'Students (Vertical)'!O:O&lt;&gt;"""",'Students (Vertical)'!P:P&gt;1))})&gt;1))),""""),"""")"),"")</f>
        <v/>
      </c>
      <c r="K390" s="96" t="str">
        <f>IFERROR(__xludf.DUMMYFUNCTION("iferror(join("", "",unique(filter({filter('Students (Vertical)'!D:D,'Students (Vertical)'!C:C=B390,'Students (Vertical)'!D:D&lt;&gt;"""");filter('Students (Vertical)'!D:D,'Students (Vertical)'!C:C=E390,'Students (Vertical)'!D:D&lt;&gt;"""")},countifs({filter('Student"&amp;"s (Vertical)'!D:D,'Students (Vertical)'!C:C=B390,'Students (Vertical)'!D:D&lt;&gt;"""");filter('Students (Vertical)'!D:D,'Students (Vertical)'!C:C=E390,'Students (Vertical)'!D:D&lt;&gt;"""")},{filter('Students (Vertical)'!D:D,'Students (Vertical)'!C:C=B390,'Students "&amp;"(Vertical)'!D:D&lt;&gt;"""");filter('Students (Vertical)'!D:D,'Students (Vertical)'!C:C=E390,'Students (Vertical)'!D:D&lt;&gt;"""")})&gt;1))),"""")"),"")</f>
        <v/>
      </c>
      <c r="L390" s="96"/>
      <c r="M390" s="96"/>
    </row>
    <row r="391" hidden="1">
      <c r="A391" s="8" t="s">
        <v>8</v>
      </c>
      <c r="C391" s="8" t="s">
        <v>8</v>
      </c>
      <c r="D391" s="8" t="s">
        <v>8</v>
      </c>
      <c r="F391" s="8" t="s">
        <v>8</v>
      </c>
      <c r="G391" s="8" t="s">
        <v>8</v>
      </c>
      <c r="I391" s="94" t="str">
        <f>IFERROR(__xludf.DUMMYFUNCTION("if(H391=""Must be Together"",iferror(join("", "",unique(filter({filter('Students (Vertical)'!O:O,'Students (Vertical)'!C:C=B391,'Students (Vertical)'!O:O&lt;&gt;"""");filter('Students (Vertical)'!O:O,'Students (Vertical)'!C:C=E391,'Students (Vertical)'!O:O&lt;&gt;"""&amp;""")},countifs({filter('Students (Vertical)'!O:O,'Students (Vertical)'!C:C=B391,'Students (Vertical)'!O:O&lt;&gt;"""");filter('Students (Vertical)'!O:O,'Students (Vertical)'!C:C=E391,'Students (Vertical)'!O:O&lt;&gt;"""")},{filter('Students (Vertical)'!O:O,'Students ("&amp;"Vertical)'!C:C=B391,'Students (Vertical)'!O:O&lt;&gt;"""");filter('Students (Vertical)'!O:O,'Students (Vertical)'!C:C=E391,'Students (Vertical)'!O:O&lt;&gt;"""")})&gt;1))),""No shared courses""),"""")"),"")</f>
        <v/>
      </c>
      <c r="J391" s="94" t="str">
        <f>IFERROR(__xludf.DUMMYFUNCTION("if(H391=""Can't be Together"",iferror(join("", "",unique(filter({unique(filter('Students (Vertical)'!O:O,'Students (Vertical)'!C:C=B391,'Students (Vertical)'!O:O&lt;&gt;"""",'Students (Vertical)'!P:P&gt;1));unique(filter('Students (Vertical)'!O:O,'Students (Vertic"&amp;"al)'!C:C=E391,'Students (Vertical)'!O:O&lt;&gt;"""",'Students (Vertical)'!P:P&gt;1))},countifs({unique(filter('Students (Vertical)'!O:O,'Students (Vertical)'!C:C=B391,'Students (Vertical)'!O:O&lt;&gt;"""",'Students (Vertical)'!P:P&gt;1));unique(filter('Students (Vertical)'"&amp;"!O:O,'Students (Vertical)'!C:C=E391,'Students (Vertical)'!O:O&lt;&gt;"""",'Students (Vertical)'!P:P&gt;1))},{unique(filter('Students (Vertical)'!O:O,'Students (Vertical)'!C:C=B391,'Students (Vertical)'!O:O&lt;&gt;"""",'Students (Vertical)'!P:P&gt;1));unique(filter('Student"&amp;"s (Vertical)'!O:O,'Students (Vertical)'!C:C=E391,'Students (Vertical)'!O:O&lt;&gt;"""",'Students (Vertical)'!P:P&gt;1))})&gt;1))),""""),"""")"),"")</f>
        <v/>
      </c>
      <c r="K391" s="96" t="str">
        <f>IFERROR(__xludf.DUMMYFUNCTION("iferror(join("", "",unique(filter({filter('Students (Vertical)'!D:D,'Students (Vertical)'!C:C=B391,'Students (Vertical)'!D:D&lt;&gt;"""");filter('Students (Vertical)'!D:D,'Students (Vertical)'!C:C=E391,'Students (Vertical)'!D:D&lt;&gt;"""")},countifs({filter('Student"&amp;"s (Vertical)'!D:D,'Students (Vertical)'!C:C=B391,'Students (Vertical)'!D:D&lt;&gt;"""");filter('Students (Vertical)'!D:D,'Students (Vertical)'!C:C=E391,'Students (Vertical)'!D:D&lt;&gt;"""")},{filter('Students (Vertical)'!D:D,'Students (Vertical)'!C:C=B391,'Students "&amp;"(Vertical)'!D:D&lt;&gt;"""");filter('Students (Vertical)'!D:D,'Students (Vertical)'!C:C=E391,'Students (Vertical)'!D:D&lt;&gt;"""")})&gt;1))),"""")"),"")</f>
        <v/>
      </c>
      <c r="L391" s="96"/>
      <c r="M391" s="96"/>
    </row>
    <row r="392" hidden="1">
      <c r="A392" s="8" t="s">
        <v>8</v>
      </c>
      <c r="C392" s="8" t="s">
        <v>8</v>
      </c>
      <c r="D392" s="8" t="s">
        <v>8</v>
      </c>
      <c r="F392" s="8" t="s">
        <v>8</v>
      </c>
      <c r="G392" s="8" t="s">
        <v>8</v>
      </c>
      <c r="I392" s="94" t="str">
        <f>IFERROR(__xludf.DUMMYFUNCTION("if(H392=""Must be Together"",iferror(join("", "",unique(filter({filter('Students (Vertical)'!O:O,'Students (Vertical)'!C:C=B392,'Students (Vertical)'!O:O&lt;&gt;"""");filter('Students (Vertical)'!O:O,'Students (Vertical)'!C:C=E392,'Students (Vertical)'!O:O&lt;&gt;"""&amp;""")},countifs({filter('Students (Vertical)'!O:O,'Students (Vertical)'!C:C=B392,'Students (Vertical)'!O:O&lt;&gt;"""");filter('Students (Vertical)'!O:O,'Students (Vertical)'!C:C=E392,'Students (Vertical)'!O:O&lt;&gt;"""")},{filter('Students (Vertical)'!O:O,'Students ("&amp;"Vertical)'!C:C=B392,'Students (Vertical)'!O:O&lt;&gt;"""");filter('Students (Vertical)'!O:O,'Students (Vertical)'!C:C=E392,'Students (Vertical)'!O:O&lt;&gt;"""")})&gt;1))),""No shared courses""),"""")"),"")</f>
        <v/>
      </c>
      <c r="J392" s="94" t="str">
        <f>IFERROR(__xludf.DUMMYFUNCTION("if(H392=""Can't be Together"",iferror(join("", "",unique(filter({unique(filter('Students (Vertical)'!O:O,'Students (Vertical)'!C:C=B392,'Students (Vertical)'!O:O&lt;&gt;"""",'Students (Vertical)'!P:P&gt;1));unique(filter('Students (Vertical)'!O:O,'Students (Vertic"&amp;"al)'!C:C=E392,'Students (Vertical)'!O:O&lt;&gt;"""",'Students (Vertical)'!P:P&gt;1))},countifs({unique(filter('Students (Vertical)'!O:O,'Students (Vertical)'!C:C=B392,'Students (Vertical)'!O:O&lt;&gt;"""",'Students (Vertical)'!P:P&gt;1));unique(filter('Students (Vertical)'"&amp;"!O:O,'Students (Vertical)'!C:C=E392,'Students (Vertical)'!O:O&lt;&gt;"""",'Students (Vertical)'!P:P&gt;1))},{unique(filter('Students (Vertical)'!O:O,'Students (Vertical)'!C:C=B392,'Students (Vertical)'!O:O&lt;&gt;"""",'Students (Vertical)'!P:P&gt;1));unique(filter('Student"&amp;"s (Vertical)'!O:O,'Students (Vertical)'!C:C=E392,'Students (Vertical)'!O:O&lt;&gt;"""",'Students (Vertical)'!P:P&gt;1))})&gt;1))),""""),"""")"),"")</f>
        <v/>
      </c>
      <c r="K392" s="96" t="str">
        <f>IFERROR(__xludf.DUMMYFUNCTION("iferror(join("", "",unique(filter({filter('Students (Vertical)'!D:D,'Students (Vertical)'!C:C=B392,'Students (Vertical)'!D:D&lt;&gt;"""");filter('Students (Vertical)'!D:D,'Students (Vertical)'!C:C=E392,'Students (Vertical)'!D:D&lt;&gt;"""")},countifs({filter('Student"&amp;"s (Vertical)'!D:D,'Students (Vertical)'!C:C=B392,'Students (Vertical)'!D:D&lt;&gt;"""");filter('Students (Vertical)'!D:D,'Students (Vertical)'!C:C=E392,'Students (Vertical)'!D:D&lt;&gt;"""")},{filter('Students (Vertical)'!D:D,'Students (Vertical)'!C:C=B392,'Students "&amp;"(Vertical)'!D:D&lt;&gt;"""");filter('Students (Vertical)'!D:D,'Students (Vertical)'!C:C=E392,'Students (Vertical)'!D:D&lt;&gt;"""")})&gt;1))),"""")"),"")</f>
        <v/>
      </c>
      <c r="L392" s="96"/>
      <c r="M392" s="96"/>
    </row>
    <row r="393" hidden="1">
      <c r="A393" s="8" t="s">
        <v>8</v>
      </c>
      <c r="C393" s="8" t="s">
        <v>8</v>
      </c>
      <c r="D393" s="8" t="s">
        <v>8</v>
      </c>
      <c r="F393" s="8" t="s">
        <v>8</v>
      </c>
      <c r="G393" s="8" t="s">
        <v>8</v>
      </c>
      <c r="I393" s="94" t="str">
        <f>IFERROR(__xludf.DUMMYFUNCTION("if(H393=""Must be Together"",iferror(join("", "",unique(filter({filter('Students (Vertical)'!O:O,'Students (Vertical)'!C:C=B393,'Students (Vertical)'!O:O&lt;&gt;"""");filter('Students (Vertical)'!O:O,'Students (Vertical)'!C:C=E393,'Students (Vertical)'!O:O&lt;&gt;"""&amp;""")},countifs({filter('Students (Vertical)'!O:O,'Students (Vertical)'!C:C=B393,'Students (Vertical)'!O:O&lt;&gt;"""");filter('Students (Vertical)'!O:O,'Students (Vertical)'!C:C=E393,'Students (Vertical)'!O:O&lt;&gt;"""")},{filter('Students (Vertical)'!O:O,'Students ("&amp;"Vertical)'!C:C=B393,'Students (Vertical)'!O:O&lt;&gt;"""");filter('Students (Vertical)'!O:O,'Students (Vertical)'!C:C=E393,'Students (Vertical)'!O:O&lt;&gt;"""")})&gt;1))),""No shared courses""),"""")"),"")</f>
        <v/>
      </c>
      <c r="J393" s="94" t="str">
        <f>IFERROR(__xludf.DUMMYFUNCTION("if(H393=""Can't be Together"",iferror(join("", "",unique(filter({unique(filter('Students (Vertical)'!O:O,'Students (Vertical)'!C:C=B393,'Students (Vertical)'!O:O&lt;&gt;"""",'Students (Vertical)'!P:P&gt;1));unique(filter('Students (Vertical)'!O:O,'Students (Vertic"&amp;"al)'!C:C=E393,'Students (Vertical)'!O:O&lt;&gt;"""",'Students (Vertical)'!P:P&gt;1))},countifs({unique(filter('Students (Vertical)'!O:O,'Students (Vertical)'!C:C=B393,'Students (Vertical)'!O:O&lt;&gt;"""",'Students (Vertical)'!P:P&gt;1));unique(filter('Students (Vertical)'"&amp;"!O:O,'Students (Vertical)'!C:C=E393,'Students (Vertical)'!O:O&lt;&gt;"""",'Students (Vertical)'!P:P&gt;1))},{unique(filter('Students (Vertical)'!O:O,'Students (Vertical)'!C:C=B393,'Students (Vertical)'!O:O&lt;&gt;"""",'Students (Vertical)'!P:P&gt;1));unique(filter('Student"&amp;"s (Vertical)'!O:O,'Students (Vertical)'!C:C=E393,'Students (Vertical)'!O:O&lt;&gt;"""",'Students (Vertical)'!P:P&gt;1))})&gt;1))),""""),"""")"),"")</f>
        <v/>
      </c>
      <c r="K393" s="96" t="str">
        <f>IFERROR(__xludf.DUMMYFUNCTION("iferror(join("", "",unique(filter({filter('Students (Vertical)'!D:D,'Students (Vertical)'!C:C=B393,'Students (Vertical)'!D:D&lt;&gt;"""");filter('Students (Vertical)'!D:D,'Students (Vertical)'!C:C=E393,'Students (Vertical)'!D:D&lt;&gt;"""")},countifs({filter('Student"&amp;"s (Vertical)'!D:D,'Students (Vertical)'!C:C=B393,'Students (Vertical)'!D:D&lt;&gt;"""");filter('Students (Vertical)'!D:D,'Students (Vertical)'!C:C=E393,'Students (Vertical)'!D:D&lt;&gt;"""")},{filter('Students (Vertical)'!D:D,'Students (Vertical)'!C:C=B393,'Students "&amp;"(Vertical)'!D:D&lt;&gt;"""");filter('Students (Vertical)'!D:D,'Students (Vertical)'!C:C=E393,'Students (Vertical)'!D:D&lt;&gt;"""")})&gt;1))),"""")"),"")</f>
        <v/>
      </c>
      <c r="L393" s="96"/>
      <c r="M393" s="96"/>
    </row>
    <row r="394" hidden="1">
      <c r="A394" s="8" t="s">
        <v>8</v>
      </c>
      <c r="C394" s="8" t="s">
        <v>8</v>
      </c>
      <c r="D394" s="8" t="s">
        <v>8</v>
      </c>
      <c r="F394" s="8" t="s">
        <v>8</v>
      </c>
      <c r="G394" s="8" t="s">
        <v>8</v>
      </c>
      <c r="I394" s="94" t="str">
        <f>IFERROR(__xludf.DUMMYFUNCTION("if(H394=""Must be Together"",iferror(join("", "",unique(filter({filter('Students (Vertical)'!O:O,'Students (Vertical)'!C:C=B394,'Students (Vertical)'!O:O&lt;&gt;"""");filter('Students (Vertical)'!O:O,'Students (Vertical)'!C:C=E394,'Students (Vertical)'!O:O&lt;&gt;"""&amp;""")},countifs({filter('Students (Vertical)'!O:O,'Students (Vertical)'!C:C=B394,'Students (Vertical)'!O:O&lt;&gt;"""");filter('Students (Vertical)'!O:O,'Students (Vertical)'!C:C=E394,'Students (Vertical)'!O:O&lt;&gt;"""")},{filter('Students (Vertical)'!O:O,'Students ("&amp;"Vertical)'!C:C=B394,'Students (Vertical)'!O:O&lt;&gt;"""");filter('Students (Vertical)'!O:O,'Students (Vertical)'!C:C=E394,'Students (Vertical)'!O:O&lt;&gt;"""")})&gt;1))),""No shared courses""),"""")"),"")</f>
        <v/>
      </c>
      <c r="J394" s="94" t="str">
        <f>IFERROR(__xludf.DUMMYFUNCTION("if(H394=""Can't be Together"",iferror(join("", "",unique(filter({unique(filter('Students (Vertical)'!O:O,'Students (Vertical)'!C:C=B394,'Students (Vertical)'!O:O&lt;&gt;"""",'Students (Vertical)'!P:P&gt;1));unique(filter('Students (Vertical)'!O:O,'Students (Vertic"&amp;"al)'!C:C=E394,'Students (Vertical)'!O:O&lt;&gt;"""",'Students (Vertical)'!P:P&gt;1))},countifs({unique(filter('Students (Vertical)'!O:O,'Students (Vertical)'!C:C=B394,'Students (Vertical)'!O:O&lt;&gt;"""",'Students (Vertical)'!P:P&gt;1));unique(filter('Students (Vertical)'"&amp;"!O:O,'Students (Vertical)'!C:C=E394,'Students (Vertical)'!O:O&lt;&gt;"""",'Students (Vertical)'!P:P&gt;1))},{unique(filter('Students (Vertical)'!O:O,'Students (Vertical)'!C:C=B394,'Students (Vertical)'!O:O&lt;&gt;"""",'Students (Vertical)'!P:P&gt;1));unique(filter('Student"&amp;"s (Vertical)'!O:O,'Students (Vertical)'!C:C=E394,'Students (Vertical)'!O:O&lt;&gt;"""",'Students (Vertical)'!P:P&gt;1))})&gt;1))),""""),"""")"),"")</f>
        <v/>
      </c>
      <c r="K394" s="96" t="str">
        <f>IFERROR(__xludf.DUMMYFUNCTION("iferror(join("", "",unique(filter({filter('Students (Vertical)'!D:D,'Students (Vertical)'!C:C=B394,'Students (Vertical)'!D:D&lt;&gt;"""");filter('Students (Vertical)'!D:D,'Students (Vertical)'!C:C=E394,'Students (Vertical)'!D:D&lt;&gt;"""")},countifs({filter('Student"&amp;"s (Vertical)'!D:D,'Students (Vertical)'!C:C=B394,'Students (Vertical)'!D:D&lt;&gt;"""");filter('Students (Vertical)'!D:D,'Students (Vertical)'!C:C=E394,'Students (Vertical)'!D:D&lt;&gt;"""")},{filter('Students (Vertical)'!D:D,'Students (Vertical)'!C:C=B394,'Students "&amp;"(Vertical)'!D:D&lt;&gt;"""");filter('Students (Vertical)'!D:D,'Students (Vertical)'!C:C=E394,'Students (Vertical)'!D:D&lt;&gt;"""")})&gt;1))),"""")"),"")</f>
        <v/>
      </c>
      <c r="L394" s="96"/>
      <c r="M394" s="96"/>
    </row>
    <row r="395" hidden="1">
      <c r="A395" s="8" t="s">
        <v>8</v>
      </c>
      <c r="C395" s="8" t="s">
        <v>8</v>
      </c>
      <c r="D395" s="8" t="s">
        <v>8</v>
      </c>
      <c r="F395" s="8" t="s">
        <v>8</v>
      </c>
      <c r="G395" s="8" t="s">
        <v>8</v>
      </c>
      <c r="I395" s="94" t="str">
        <f>IFERROR(__xludf.DUMMYFUNCTION("if(H395=""Must be Together"",iferror(join("", "",unique(filter({filter('Students (Vertical)'!O:O,'Students (Vertical)'!C:C=B395,'Students (Vertical)'!O:O&lt;&gt;"""");filter('Students (Vertical)'!O:O,'Students (Vertical)'!C:C=E395,'Students (Vertical)'!O:O&lt;&gt;"""&amp;""")},countifs({filter('Students (Vertical)'!O:O,'Students (Vertical)'!C:C=B395,'Students (Vertical)'!O:O&lt;&gt;"""");filter('Students (Vertical)'!O:O,'Students (Vertical)'!C:C=E395,'Students (Vertical)'!O:O&lt;&gt;"""")},{filter('Students (Vertical)'!O:O,'Students ("&amp;"Vertical)'!C:C=B395,'Students (Vertical)'!O:O&lt;&gt;"""");filter('Students (Vertical)'!O:O,'Students (Vertical)'!C:C=E395,'Students (Vertical)'!O:O&lt;&gt;"""")})&gt;1))),""No shared courses""),"""")"),"")</f>
        <v/>
      </c>
      <c r="J395" s="94" t="str">
        <f>IFERROR(__xludf.DUMMYFUNCTION("if(H395=""Can't be Together"",iferror(join("", "",unique(filter({unique(filter('Students (Vertical)'!O:O,'Students (Vertical)'!C:C=B395,'Students (Vertical)'!O:O&lt;&gt;"""",'Students (Vertical)'!P:P&gt;1));unique(filter('Students (Vertical)'!O:O,'Students (Vertic"&amp;"al)'!C:C=E395,'Students (Vertical)'!O:O&lt;&gt;"""",'Students (Vertical)'!P:P&gt;1))},countifs({unique(filter('Students (Vertical)'!O:O,'Students (Vertical)'!C:C=B395,'Students (Vertical)'!O:O&lt;&gt;"""",'Students (Vertical)'!P:P&gt;1));unique(filter('Students (Vertical)'"&amp;"!O:O,'Students (Vertical)'!C:C=E395,'Students (Vertical)'!O:O&lt;&gt;"""",'Students (Vertical)'!P:P&gt;1))},{unique(filter('Students (Vertical)'!O:O,'Students (Vertical)'!C:C=B395,'Students (Vertical)'!O:O&lt;&gt;"""",'Students (Vertical)'!P:P&gt;1));unique(filter('Student"&amp;"s (Vertical)'!O:O,'Students (Vertical)'!C:C=E395,'Students (Vertical)'!O:O&lt;&gt;"""",'Students (Vertical)'!P:P&gt;1))})&gt;1))),""""),"""")"),"")</f>
        <v/>
      </c>
      <c r="K395" s="96" t="str">
        <f>IFERROR(__xludf.DUMMYFUNCTION("iferror(join("", "",unique(filter({filter('Students (Vertical)'!D:D,'Students (Vertical)'!C:C=B395,'Students (Vertical)'!D:D&lt;&gt;"""");filter('Students (Vertical)'!D:D,'Students (Vertical)'!C:C=E395,'Students (Vertical)'!D:D&lt;&gt;"""")},countifs({filter('Student"&amp;"s (Vertical)'!D:D,'Students (Vertical)'!C:C=B395,'Students (Vertical)'!D:D&lt;&gt;"""");filter('Students (Vertical)'!D:D,'Students (Vertical)'!C:C=E395,'Students (Vertical)'!D:D&lt;&gt;"""")},{filter('Students (Vertical)'!D:D,'Students (Vertical)'!C:C=B395,'Students "&amp;"(Vertical)'!D:D&lt;&gt;"""");filter('Students (Vertical)'!D:D,'Students (Vertical)'!C:C=E395,'Students (Vertical)'!D:D&lt;&gt;"""")})&gt;1))),"""")"),"")</f>
        <v/>
      </c>
      <c r="L395" s="96"/>
      <c r="M395" s="96"/>
    </row>
    <row r="396" hidden="1">
      <c r="A396" s="8" t="s">
        <v>8</v>
      </c>
      <c r="C396" s="8" t="s">
        <v>8</v>
      </c>
      <c r="D396" s="8" t="s">
        <v>8</v>
      </c>
      <c r="F396" s="8" t="s">
        <v>8</v>
      </c>
      <c r="G396" s="8" t="s">
        <v>8</v>
      </c>
      <c r="I396" s="94" t="str">
        <f>IFERROR(__xludf.DUMMYFUNCTION("if(H396=""Must be Together"",iferror(join("", "",unique(filter({filter('Students (Vertical)'!O:O,'Students (Vertical)'!C:C=B396,'Students (Vertical)'!O:O&lt;&gt;"""");filter('Students (Vertical)'!O:O,'Students (Vertical)'!C:C=E396,'Students (Vertical)'!O:O&lt;&gt;"""&amp;""")},countifs({filter('Students (Vertical)'!O:O,'Students (Vertical)'!C:C=B396,'Students (Vertical)'!O:O&lt;&gt;"""");filter('Students (Vertical)'!O:O,'Students (Vertical)'!C:C=E396,'Students (Vertical)'!O:O&lt;&gt;"""")},{filter('Students (Vertical)'!O:O,'Students ("&amp;"Vertical)'!C:C=B396,'Students (Vertical)'!O:O&lt;&gt;"""");filter('Students (Vertical)'!O:O,'Students (Vertical)'!C:C=E396,'Students (Vertical)'!O:O&lt;&gt;"""")})&gt;1))),""No shared courses""),"""")"),"")</f>
        <v/>
      </c>
      <c r="J396" s="94" t="str">
        <f>IFERROR(__xludf.DUMMYFUNCTION("if(H396=""Can't be Together"",iferror(join("", "",unique(filter({unique(filter('Students (Vertical)'!O:O,'Students (Vertical)'!C:C=B396,'Students (Vertical)'!O:O&lt;&gt;"""",'Students (Vertical)'!P:P&gt;1));unique(filter('Students (Vertical)'!O:O,'Students (Vertic"&amp;"al)'!C:C=E396,'Students (Vertical)'!O:O&lt;&gt;"""",'Students (Vertical)'!P:P&gt;1))},countifs({unique(filter('Students (Vertical)'!O:O,'Students (Vertical)'!C:C=B396,'Students (Vertical)'!O:O&lt;&gt;"""",'Students (Vertical)'!P:P&gt;1));unique(filter('Students (Vertical)'"&amp;"!O:O,'Students (Vertical)'!C:C=E396,'Students (Vertical)'!O:O&lt;&gt;"""",'Students (Vertical)'!P:P&gt;1))},{unique(filter('Students (Vertical)'!O:O,'Students (Vertical)'!C:C=B396,'Students (Vertical)'!O:O&lt;&gt;"""",'Students (Vertical)'!P:P&gt;1));unique(filter('Student"&amp;"s (Vertical)'!O:O,'Students (Vertical)'!C:C=E396,'Students (Vertical)'!O:O&lt;&gt;"""",'Students (Vertical)'!P:P&gt;1))})&gt;1))),""""),"""")"),"")</f>
        <v/>
      </c>
      <c r="K396" s="96" t="str">
        <f>IFERROR(__xludf.DUMMYFUNCTION("iferror(join("", "",unique(filter({filter('Students (Vertical)'!D:D,'Students (Vertical)'!C:C=B396,'Students (Vertical)'!D:D&lt;&gt;"""");filter('Students (Vertical)'!D:D,'Students (Vertical)'!C:C=E396,'Students (Vertical)'!D:D&lt;&gt;"""")},countifs({filter('Student"&amp;"s (Vertical)'!D:D,'Students (Vertical)'!C:C=B396,'Students (Vertical)'!D:D&lt;&gt;"""");filter('Students (Vertical)'!D:D,'Students (Vertical)'!C:C=E396,'Students (Vertical)'!D:D&lt;&gt;"""")},{filter('Students (Vertical)'!D:D,'Students (Vertical)'!C:C=B396,'Students "&amp;"(Vertical)'!D:D&lt;&gt;"""");filter('Students (Vertical)'!D:D,'Students (Vertical)'!C:C=E396,'Students (Vertical)'!D:D&lt;&gt;"""")})&gt;1))),"""")"),"")</f>
        <v/>
      </c>
      <c r="L396" s="96"/>
      <c r="M396" s="96"/>
    </row>
    <row r="397" hidden="1">
      <c r="A397" s="8" t="s">
        <v>8</v>
      </c>
      <c r="C397" s="8" t="s">
        <v>8</v>
      </c>
      <c r="D397" s="8" t="s">
        <v>8</v>
      </c>
      <c r="F397" s="8" t="s">
        <v>8</v>
      </c>
      <c r="G397" s="8" t="s">
        <v>8</v>
      </c>
      <c r="I397" s="94" t="str">
        <f>IFERROR(__xludf.DUMMYFUNCTION("if(H397=""Must be Together"",iferror(join("", "",unique(filter({filter('Students (Vertical)'!O:O,'Students (Vertical)'!C:C=B397,'Students (Vertical)'!O:O&lt;&gt;"""");filter('Students (Vertical)'!O:O,'Students (Vertical)'!C:C=E397,'Students (Vertical)'!O:O&lt;&gt;"""&amp;""")},countifs({filter('Students (Vertical)'!O:O,'Students (Vertical)'!C:C=B397,'Students (Vertical)'!O:O&lt;&gt;"""");filter('Students (Vertical)'!O:O,'Students (Vertical)'!C:C=E397,'Students (Vertical)'!O:O&lt;&gt;"""")},{filter('Students (Vertical)'!O:O,'Students ("&amp;"Vertical)'!C:C=B397,'Students (Vertical)'!O:O&lt;&gt;"""");filter('Students (Vertical)'!O:O,'Students (Vertical)'!C:C=E397,'Students (Vertical)'!O:O&lt;&gt;"""")})&gt;1))),""No shared courses""),"""")"),"")</f>
        <v/>
      </c>
      <c r="J397" s="94" t="str">
        <f>IFERROR(__xludf.DUMMYFUNCTION("if(H397=""Can't be Together"",iferror(join("", "",unique(filter({unique(filter('Students (Vertical)'!O:O,'Students (Vertical)'!C:C=B397,'Students (Vertical)'!O:O&lt;&gt;"""",'Students (Vertical)'!P:P&gt;1));unique(filter('Students (Vertical)'!O:O,'Students (Vertic"&amp;"al)'!C:C=E397,'Students (Vertical)'!O:O&lt;&gt;"""",'Students (Vertical)'!P:P&gt;1))},countifs({unique(filter('Students (Vertical)'!O:O,'Students (Vertical)'!C:C=B397,'Students (Vertical)'!O:O&lt;&gt;"""",'Students (Vertical)'!P:P&gt;1));unique(filter('Students (Vertical)'"&amp;"!O:O,'Students (Vertical)'!C:C=E397,'Students (Vertical)'!O:O&lt;&gt;"""",'Students (Vertical)'!P:P&gt;1))},{unique(filter('Students (Vertical)'!O:O,'Students (Vertical)'!C:C=B397,'Students (Vertical)'!O:O&lt;&gt;"""",'Students (Vertical)'!P:P&gt;1));unique(filter('Student"&amp;"s (Vertical)'!O:O,'Students (Vertical)'!C:C=E397,'Students (Vertical)'!O:O&lt;&gt;"""",'Students (Vertical)'!P:P&gt;1))})&gt;1))),""""),"""")"),"")</f>
        <v/>
      </c>
      <c r="K397" s="96" t="str">
        <f>IFERROR(__xludf.DUMMYFUNCTION("iferror(join("", "",unique(filter({filter('Students (Vertical)'!D:D,'Students (Vertical)'!C:C=B397,'Students (Vertical)'!D:D&lt;&gt;"""");filter('Students (Vertical)'!D:D,'Students (Vertical)'!C:C=E397,'Students (Vertical)'!D:D&lt;&gt;"""")},countifs({filter('Student"&amp;"s (Vertical)'!D:D,'Students (Vertical)'!C:C=B397,'Students (Vertical)'!D:D&lt;&gt;"""");filter('Students (Vertical)'!D:D,'Students (Vertical)'!C:C=E397,'Students (Vertical)'!D:D&lt;&gt;"""")},{filter('Students (Vertical)'!D:D,'Students (Vertical)'!C:C=B397,'Students "&amp;"(Vertical)'!D:D&lt;&gt;"""");filter('Students (Vertical)'!D:D,'Students (Vertical)'!C:C=E397,'Students (Vertical)'!D:D&lt;&gt;"""")})&gt;1))),"""")"),"")</f>
        <v/>
      </c>
      <c r="L397" s="96"/>
      <c r="M397" s="96"/>
    </row>
    <row r="398" hidden="1">
      <c r="A398" s="8" t="s">
        <v>8</v>
      </c>
      <c r="C398" s="8" t="s">
        <v>8</v>
      </c>
      <c r="D398" s="8" t="s">
        <v>8</v>
      </c>
      <c r="F398" s="8" t="s">
        <v>8</v>
      </c>
      <c r="G398" s="8" t="s">
        <v>8</v>
      </c>
      <c r="I398" s="94" t="str">
        <f>IFERROR(__xludf.DUMMYFUNCTION("if(H398=""Must be Together"",iferror(join("", "",unique(filter({filter('Students (Vertical)'!O:O,'Students (Vertical)'!C:C=B398,'Students (Vertical)'!O:O&lt;&gt;"""");filter('Students (Vertical)'!O:O,'Students (Vertical)'!C:C=E398,'Students (Vertical)'!O:O&lt;&gt;"""&amp;""")},countifs({filter('Students (Vertical)'!O:O,'Students (Vertical)'!C:C=B398,'Students (Vertical)'!O:O&lt;&gt;"""");filter('Students (Vertical)'!O:O,'Students (Vertical)'!C:C=E398,'Students (Vertical)'!O:O&lt;&gt;"""")},{filter('Students (Vertical)'!O:O,'Students ("&amp;"Vertical)'!C:C=B398,'Students (Vertical)'!O:O&lt;&gt;"""");filter('Students (Vertical)'!O:O,'Students (Vertical)'!C:C=E398,'Students (Vertical)'!O:O&lt;&gt;"""")})&gt;1))),""No shared courses""),"""")"),"")</f>
        <v/>
      </c>
      <c r="J398" s="94" t="str">
        <f>IFERROR(__xludf.DUMMYFUNCTION("if(H398=""Can't be Together"",iferror(join("", "",unique(filter({unique(filter('Students (Vertical)'!O:O,'Students (Vertical)'!C:C=B398,'Students (Vertical)'!O:O&lt;&gt;"""",'Students (Vertical)'!P:P&gt;1));unique(filter('Students (Vertical)'!O:O,'Students (Vertic"&amp;"al)'!C:C=E398,'Students (Vertical)'!O:O&lt;&gt;"""",'Students (Vertical)'!P:P&gt;1))},countifs({unique(filter('Students (Vertical)'!O:O,'Students (Vertical)'!C:C=B398,'Students (Vertical)'!O:O&lt;&gt;"""",'Students (Vertical)'!P:P&gt;1));unique(filter('Students (Vertical)'"&amp;"!O:O,'Students (Vertical)'!C:C=E398,'Students (Vertical)'!O:O&lt;&gt;"""",'Students (Vertical)'!P:P&gt;1))},{unique(filter('Students (Vertical)'!O:O,'Students (Vertical)'!C:C=B398,'Students (Vertical)'!O:O&lt;&gt;"""",'Students (Vertical)'!P:P&gt;1));unique(filter('Student"&amp;"s (Vertical)'!O:O,'Students (Vertical)'!C:C=E398,'Students (Vertical)'!O:O&lt;&gt;"""",'Students (Vertical)'!P:P&gt;1))})&gt;1))),""""),"""")"),"")</f>
        <v/>
      </c>
      <c r="K398" s="96" t="str">
        <f>IFERROR(__xludf.DUMMYFUNCTION("iferror(join("", "",unique(filter({filter('Students (Vertical)'!D:D,'Students (Vertical)'!C:C=B398,'Students (Vertical)'!D:D&lt;&gt;"""");filter('Students (Vertical)'!D:D,'Students (Vertical)'!C:C=E398,'Students (Vertical)'!D:D&lt;&gt;"""")},countifs({filter('Student"&amp;"s (Vertical)'!D:D,'Students (Vertical)'!C:C=B398,'Students (Vertical)'!D:D&lt;&gt;"""");filter('Students (Vertical)'!D:D,'Students (Vertical)'!C:C=E398,'Students (Vertical)'!D:D&lt;&gt;"""")},{filter('Students (Vertical)'!D:D,'Students (Vertical)'!C:C=B398,'Students "&amp;"(Vertical)'!D:D&lt;&gt;"""");filter('Students (Vertical)'!D:D,'Students (Vertical)'!C:C=E398,'Students (Vertical)'!D:D&lt;&gt;"""")})&gt;1))),"""")"),"")</f>
        <v/>
      </c>
      <c r="L398" s="96"/>
      <c r="M398" s="96"/>
    </row>
    <row r="399" hidden="1">
      <c r="A399" s="8" t="s">
        <v>8</v>
      </c>
      <c r="C399" s="8" t="s">
        <v>8</v>
      </c>
      <c r="D399" s="8" t="s">
        <v>8</v>
      </c>
      <c r="F399" s="8" t="s">
        <v>8</v>
      </c>
      <c r="G399" s="8" t="s">
        <v>8</v>
      </c>
      <c r="I399" s="94" t="str">
        <f>IFERROR(__xludf.DUMMYFUNCTION("if(H399=""Must be Together"",iferror(join("", "",unique(filter({filter('Students (Vertical)'!O:O,'Students (Vertical)'!C:C=B399,'Students (Vertical)'!O:O&lt;&gt;"""");filter('Students (Vertical)'!O:O,'Students (Vertical)'!C:C=E399,'Students (Vertical)'!O:O&lt;&gt;"""&amp;""")},countifs({filter('Students (Vertical)'!O:O,'Students (Vertical)'!C:C=B399,'Students (Vertical)'!O:O&lt;&gt;"""");filter('Students (Vertical)'!O:O,'Students (Vertical)'!C:C=E399,'Students (Vertical)'!O:O&lt;&gt;"""")},{filter('Students (Vertical)'!O:O,'Students ("&amp;"Vertical)'!C:C=B399,'Students (Vertical)'!O:O&lt;&gt;"""");filter('Students (Vertical)'!O:O,'Students (Vertical)'!C:C=E399,'Students (Vertical)'!O:O&lt;&gt;"""")})&gt;1))),""No shared courses""),"""")"),"")</f>
        <v/>
      </c>
      <c r="J399" s="94" t="str">
        <f>IFERROR(__xludf.DUMMYFUNCTION("if(H399=""Can't be Together"",iferror(join("", "",unique(filter({unique(filter('Students (Vertical)'!O:O,'Students (Vertical)'!C:C=B399,'Students (Vertical)'!O:O&lt;&gt;"""",'Students (Vertical)'!P:P&gt;1));unique(filter('Students (Vertical)'!O:O,'Students (Vertic"&amp;"al)'!C:C=E399,'Students (Vertical)'!O:O&lt;&gt;"""",'Students (Vertical)'!P:P&gt;1))},countifs({unique(filter('Students (Vertical)'!O:O,'Students (Vertical)'!C:C=B399,'Students (Vertical)'!O:O&lt;&gt;"""",'Students (Vertical)'!P:P&gt;1));unique(filter('Students (Vertical)'"&amp;"!O:O,'Students (Vertical)'!C:C=E399,'Students (Vertical)'!O:O&lt;&gt;"""",'Students (Vertical)'!P:P&gt;1))},{unique(filter('Students (Vertical)'!O:O,'Students (Vertical)'!C:C=B399,'Students (Vertical)'!O:O&lt;&gt;"""",'Students (Vertical)'!P:P&gt;1));unique(filter('Student"&amp;"s (Vertical)'!O:O,'Students (Vertical)'!C:C=E399,'Students (Vertical)'!O:O&lt;&gt;"""",'Students (Vertical)'!P:P&gt;1))})&gt;1))),""""),"""")"),"")</f>
        <v/>
      </c>
      <c r="K399" s="96" t="str">
        <f>IFERROR(__xludf.DUMMYFUNCTION("iferror(join("", "",unique(filter({filter('Students (Vertical)'!D:D,'Students (Vertical)'!C:C=B399,'Students (Vertical)'!D:D&lt;&gt;"""");filter('Students (Vertical)'!D:D,'Students (Vertical)'!C:C=E399,'Students (Vertical)'!D:D&lt;&gt;"""")},countifs({filter('Student"&amp;"s (Vertical)'!D:D,'Students (Vertical)'!C:C=B399,'Students (Vertical)'!D:D&lt;&gt;"""");filter('Students (Vertical)'!D:D,'Students (Vertical)'!C:C=E399,'Students (Vertical)'!D:D&lt;&gt;"""")},{filter('Students (Vertical)'!D:D,'Students (Vertical)'!C:C=B399,'Students "&amp;"(Vertical)'!D:D&lt;&gt;"""");filter('Students (Vertical)'!D:D,'Students (Vertical)'!C:C=E399,'Students (Vertical)'!D:D&lt;&gt;"""")})&gt;1))),"""")"),"")</f>
        <v/>
      </c>
      <c r="L399" s="96"/>
      <c r="M399" s="96"/>
    </row>
    <row r="400" hidden="1">
      <c r="A400" s="8" t="s">
        <v>8</v>
      </c>
      <c r="C400" s="8" t="s">
        <v>8</v>
      </c>
      <c r="D400" s="8" t="s">
        <v>8</v>
      </c>
      <c r="F400" s="8" t="s">
        <v>8</v>
      </c>
      <c r="G400" s="8" t="s">
        <v>8</v>
      </c>
      <c r="I400" s="94" t="str">
        <f>IFERROR(__xludf.DUMMYFUNCTION("if(H400=""Must be Together"",iferror(join("", "",unique(filter({filter('Students (Vertical)'!O:O,'Students (Vertical)'!C:C=B400,'Students (Vertical)'!O:O&lt;&gt;"""");filter('Students (Vertical)'!O:O,'Students (Vertical)'!C:C=E400,'Students (Vertical)'!O:O&lt;&gt;"""&amp;""")},countifs({filter('Students (Vertical)'!O:O,'Students (Vertical)'!C:C=B400,'Students (Vertical)'!O:O&lt;&gt;"""");filter('Students (Vertical)'!O:O,'Students (Vertical)'!C:C=E400,'Students (Vertical)'!O:O&lt;&gt;"""")},{filter('Students (Vertical)'!O:O,'Students ("&amp;"Vertical)'!C:C=B400,'Students (Vertical)'!O:O&lt;&gt;"""");filter('Students (Vertical)'!O:O,'Students (Vertical)'!C:C=E400,'Students (Vertical)'!O:O&lt;&gt;"""")})&gt;1))),""No shared courses""),"""")"),"")</f>
        <v/>
      </c>
      <c r="J400" s="94" t="str">
        <f>IFERROR(__xludf.DUMMYFUNCTION("if(H400=""Can't be Together"",iferror(join("", "",unique(filter({unique(filter('Students (Vertical)'!O:O,'Students (Vertical)'!C:C=B400,'Students (Vertical)'!O:O&lt;&gt;"""",'Students (Vertical)'!P:P&gt;1));unique(filter('Students (Vertical)'!O:O,'Students (Vertic"&amp;"al)'!C:C=E400,'Students (Vertical)'!O:O&lt;&gt;"""",'Students (Vertical)'!P:P&gt;1))},countifs({unique(filter('Students (Vertical)'!O:O,'Students (Vertical)'!C:C=B400,'Students (Vertical)'!O:O&lt;&gt;"""",'Students (Vertical)'!P:P&gt;1));unique(filter('Students (Vertical)'"&amp;"!O:O,'Students (Vertical)'!C:C=E400,'Students (Vertical)'!O:O&lt;&gt;"""",'Students (Vertical)'!P:P&gt;1))},{unique(filter('Students (Vertical)'!O:O,'Students (Vertical)'!C:C=B400,'Students (Vertical)'!O:O&lt;&gt;"""",'Students (Vertical)'!P:P&gt;1));unique(filter('Student"&amp;"s (Vertical)'!O:O,'Students (Vertical)'!C:C=E400,'Students (Vertical)'!O:O&lt;&gt;"""",'Students (Vertical)'!P:P&gt;1))})&gt;1))),""""),"""")"),"")</f>
        <v/>
      </c>
      <c r="K400" s="96" t="str">
        <f>IFERROR(__xludf.DUMMYFUNCTION("iferror(join("", "",unique(filter({filter('Students (Vertical)'!D:D,'Students (Vertical)'!C:C=B400,'Students (Vertical)'!D:D&lt;&gt;"""");filter('Students (Vertical)'!D:D,'Students (Vertical)'!C:C=E400,'Students (Vertical)'!D:D&lt;&gt;"""")},countifs({filter('Student"&amp;"s (Vertical)'!D:D,'Students (Vertical)'!C:C=B400,'Students (Vertical)'!D:D&lt;&gt;"""");filter('Students (Vertical)'!D:D,'Students (Vertical)'!C:C=E400,'Students (Vertical)'!D:D&lt;&gt;"""")},{filter('Students (Vertical)'!D:D,'Students (Vertical)'!C:C=B400,'Students "&amp;"(Vertical)'!D:D&lt;&gt;"""");filter('Students (Vertical)'!D:D,'Students (Vertical)'!C:C=E400,'Students (Vertical)'!D:D&lt;&gt;"""")})&gt;1))),"""")"),"")</f>
        <v/>
      </c>
      <c r="L400" s="96"/>
      <c r="M400" s="96"/>
    </row>
    <row r="401" hidden="1">
      <c r="A401" s="8" t="s">
        <v>8</v>
      </c>
      <c r="C401" s="8" t="s">
        <v>8</v>
      </c>
      <c r="D401" s="8" t="s">
        <v>8</v>
      </c>
      <c r="F401" s="8" t="s">
        <v>8</v>
      </c>
      <c r="G401" s="8" t="s">
        <v>8</v>
      </c>
      <c r="I401" s="94" t="str">
        <f>IFERROR(__xludf.DUMMYFUNCTION("if(H401=""Must be Together"",iferror(join("", "",unique(filter({filter('Students (Vertical)'!O:O,'Students (Vertical)'!C:C=B401,'Students (Vertical)'!O:O&lt;&gt;"""");filter('Students (Vertical)'!O:O,'Students (Vertical)'!C:C=E401,'Students (Vertical)'!O:O&lt;&gt;"""&amp;""")},countifs({filter('Students (Vertical)'!O:O,'Students (Vertical)'!C:C=B401,'Students (Vertical)'!O:O&lt;&gt;"""");filter('Students (Vertical)'!O:O,'Students (Vertical)'!C:C=E401,'Students (Vertical)'!O:O&lt;&gt;"""")},{filter('Students (Vertical)'!O:O,'Students ("&amp;"Vertical)'!C:C=B401,'Students (Vertical)'!O:O&lt;&gt;"""");filter('Students (Vertical)'!O:O,'Students (Vertical)'!C:C=E401,'Students (Vertical)'!O:O&lt;&gt;"""")})&gt;1))),""No shared courses""),"""")"),"")</f>
        <v/>
      </c>
      <c r="J401" s="94" t="str">
        <f>IFERROR(__xludf.DUMMYFUNCTION("if(H401=""Can't be Together"",iferror(join("", "",unique(filter({unique(filter('Students (Vertical)'!O:O,'Students (Vertical)'!C:C=B401,'Students (Vertical)'!O:O&lt;&gt;"""",'Students (Vertical)'!P:P&gt;1));unique(filter('Students (Vertical)'!O:O,'Students (Vertic"&amp;"al)'!C:C=E401,'Students (Vertical)'!O:O&lt;&gt;"""",'Students (Vertical)'!P:P&gt;1))},countifs({unique(filter('Students (Vertical)'!O:O,'Students (Vertical)'!C:C=B401,'Students (Vertical)'!O:O&lt;&gt;"""",'Students (Vertical)'!P:P&gt;1));unique(filter('Students (Vertical)'"&amp;"!O:O,'Students (Vertical)'!C:C=E401,'Students (Vertical)'!O:O&lt;&gt;"""",'Students (Vertical)'!P:P&gt;1))},{unique(filter('Students (Vertical)'!O:O,'Students (Vertical)'!C:C=B401,'Students (Vertical)'!O:O&lt;&gt;"""",'Students (Vertical)'!P:P&gt;1));unique(filter('Student"&amp;"s (Vertical)'!O:O,'Students (Vertical)'!C:C=E401,'Students (Vertical)'!O:O&lt;&gt;"""",'Students (Vertical)'!P:P&gt;1))})&gt;1))),""""),"""")"),"")</f>
        <v/>
      </c>
      <c r="K401" s="96" t="str">
        <f>IFERROR(__xludf.DUMMYFUNCTION("iferror(join("", "",unique(filter({filter('Students (Vertical)'!D:D,'Students (Vertical)'!C:C=B401,'Students (Vertical)'!D:D&lt;&gt;"""");filter('Students (Vertical)'!D:D,'Students (Vertical)'!C:C=E401,'Students (Vertical)'!D:D&lt;&gt;"""")},countifs({filter('Student"&amp;"s (Vertical)'!D:D,'Students (Vertical)'!C:C=B401,'Students (Vertical)'!D:D&lt;&gt;"""");filter('Students (Vertical)'!D:D,'Students (Vertical)'!C:C=E401,'Students (Vertical)'!D:D&lt;&gt;"""")},{filter('Students (Vertical)'!D:D,'Students (Vertical)'!C:C=B401,'Students "&amp;"(Vertical)'!D:D&lt;&gt;"""");filter('Students (Vertical)'!D:D,'Students (Vertical)'!C:C=E401,'Students (Vertical)'!D:D&lt;&gt;"""")})&gt;1))),"""")"),"")</f>
        <v/>
      </c>
      <c r="L401" s="96"/>
      <c r="M401" s="96"/>
    </row>
    <row r="402" hidden="1">
      <c r="A402" s="8" t="s">
        <v>8</v>
      </c>
      <c r="C402" s="8" t="s">
        <v>8</v>
      </c>
      <c r="D402" s="8" t="s">
        <v>8</v>
      </c>
      <c r="F402" s="8" t="s">
        <v>8</v>
      </c>
      <c r="G402" s="8" t="s">
        <v>8</v>
      </c>
      <c r="I402" s="94" t="str">
        <f>IFERROR(__xludf.DUMMYFUNCTION("if(H402=""Must be Together"",iferror(join("", "",unique(filter({filter('Students (Vertical)'!O:O,'Students (Vertical)'!C:C=B402,'Students (Vertical)'!O:O&lt;&gt;"""");filter('Students (Vertical)'!O:O,'Students (Vertical)'!C:C=E402,'Students (Vertical)'!O:O&lt;&gt;"""&amp;""")},countifs({filter('Students (Vertical)'!O:O,'Students (Vertical)'!C:C=B402,'Students (Vertical)'!O:O&lt;&gt;"""");filter('Students (Vertical)'!O:O,'Students (Vertical)'!C:C=E402,'Students (Vertical)'!O:O&lt;&gt;"""")},{filter('Students (Vertical)'!O:O,'Students ("&amp;"Vertical)'!C:C=B402,'Students (Vertical)'!O:O&lt;&gt;"""");filter('Students (Vertical)'!O:O,'Students (Vertical)'!C:C=E402,'Students (Vertical)'!O:O&lt;&gt;"""")})&gt;1))),""No shared courses""),"""")"),"")</f>
        <v/>
      </c>
      <c r="J402" s="94" t="str">
        <f>IFERROR(__xludf.DUMMYFUNCTION("if(H402=""Can't be Together"",iferror(join("", "",unique(filter({unique(filter('Students (Vertical)'!O:O,'Students (Vertical)'!C:C=B402,'Students (Vertical)'!O:O&lt;&gt;"""",'Students (Vertical)'!P:P&gt;1));unique(filter('Students (Vertical)'!O:O,'Students (Vertic"&amp;"al)'!C:C=E402,'Students (Vertical)'!O:O&lt;&gt;"""",'Students (Vertical)'!P:P&gt;1))},countifs({unique(filter('Students (Vertical)'!O:O,'Students (Vertical)'!C:C=B402,'Students (Vertical)'!O:O&lt;&gt;"""",'Students (Vertical)'!P:P&gt;1));unique(filter('Students (Vertical)'"&amp;"!O:O,'Students (Vertical)'!C:C=E402,'Students (Vertical)'!O:O&lt;&gt;"""",'Students (Vertical)'!P:P&gt;1))},{unique(filter('Students (Vertical)'!O:O,'Students (Vertical)'!C:C=B402,'Students (Vertical)'!O:O&lt;&gt;"""",'Students (Vertical)'!P:P&gt;1));unique(filter('Student"&amp;"s (Vertical)'!O:O,'Students (Vertical)'!C:C=E402,'Students (Vertical)'!O:O&lt;&gt;"""",'Students (Vertical)'!P:P&gt;1))})&gt;1))),""""),"""")"),"")</f>
        <v/>
      </c>
      <c r="K402" s="96" t="str">
        <f>IFERROR(__xludf.DUMMYFUNCTION("iferror(join("", "",unique(filter({filter('Students (Vertical)'!D:D,'Students (Vertical)'!C:C=B402,'Students (Vertical)'!D:D&lt;&gt;"""");filter('Students (Vertical)'!D:D,'Students (Vertical)'!C:C=E402,'Students (Vertical)'!D:D&lt;&gt;"""")},countifs({filter('Student"&amp;"s (Vertical)'!D:D,'Students (Vertical)'!C:C=B402,'Students (Vertical)'!D:D&lt;&gt;"""");filter('Students (Vertical)'!D:D,'Students (Vertical)'!C:C=E402,'Students (Vertical)'!D:D&lt;&gt;"""")},{filter('Students (Vertical)'!D:D,'Students (Vertical)'!C:C=B402,'Students "&amp;"(Vertical)'!D:D&lt;&gt;"""");filter('Students (Vertical)'!D:D,'Students (Vertical)'!C:C=E402,'Students (Vertical)'!D:D&lt;&gt;"""")})&gt;1))),"""")"),"")</f>
        <v/>
      </c>
      <c r="L402" s="96"/>
      <c r="M402" s="96"/>
    </row>
    <row r="403" hidden="1">
      <c r="A403" s="8" t="s">
        <v>8</v>
      </c>
      <c r="C403" s="8" t="s">
        <v>8</v>
      </c>
      <c r="D403" s="8" t="s">
        <v>8</v>
      </c>
      <c r="F403" s="8" t="s">
        <v>8</v>
      </c>
      <c r="G403" s="8" t="s">
        <v>8</v>
      </c>
      <c r="I403" s="94" t="str">
        <f>IFERROR(__xludf.DUMMYFUNCTION("if(H403=""Must be Together"",iferror(join("", "",unique(filter({filter('Students (Vertical)'!O:O,'Students (Vertical)'!C:C=B403,'Students (Vertical)'!O:O&lt;&gt;"""");filter('Students (Vertical)'!O:O,'Students (Vertical)'!C:C=E403,'Students (Vertical)'!O:O&lt;&gt;"""&amp;""")},countifs({filter('Students (Vertical)'!O:O,'Students (Vertical)'!C:C=B403,'Students (Vertical)'!O:O&lt;&gt;"""");filter('Students (Vertical)'!O:O,'Students (Vertical)'!C:C=E403,'Students (Vertical)'!O:O&lt;&gt;"""")},{filter('Students (Vertical)'!O:O,'Students ("&amp;"Vertical)'!C:C=B403,'Students (Vertical)'!O:O&lt;&gt;"""");filter('Students (Vertical)'!O:O,'Students (Vertical)'!C:C=E403,'Students (Vertical)'!O:O&lt;&gt;"""")})&gt;1))),""No shared courses""),"""")"),"")</f>
        <v/>
      </c>
      <c r="J403" s="94" t="str">
        <f>IFERROR(__xludf.DUMMYFUNCTION("if(H403=""Can't be Together"",iferror(join("", "",unique(filter({unique(filter('Students (Vertical)'!O:O,'Students (Vertical)'!C:C=B403,'Students (Vertical)'!O:O&lt;&gt;"""",'Students (Vertical)'!P:P&gt;1));unique(filter('Students (Vertical)'!O:O,'Students (Vertic"&amp;"al)'!C:C=E403,'Students (Vertical)'!O:O&lt;&gt;"""",'Students (Vertical)'!P:P&gt;1))},countifs({unique(filter('Students (Vertical)'!O:O,'Students (Vertical)'!C:C=B403,'Students (Vertical)'!O:O&lt;&gt;"""",'Students (Vertical)'!P:P&gt;1));unique(filter('Students (Vertical)'"&amp;"!O:O,'Students (Vertical)'!C:C=E403,'Students (Vertical)'!O:O&lt;&gt;"""",'Students (Vertical)'!P:P&gt;1))},{unique(filter('Students (Vertical)'!O:O,'Students (Vertical)'!C:C=B403,'Students (Vertical)'!O:O&lt;&gt;"""",'Students (Vertical)'!P:P&gt;1));unique(filter('Student"&amp;"s (Vertical)'!O:O,'Students (Vertical)'!C:C=E403,'Students (Vertical)'!O:O&lt;&gt;"""",'Students (Vertical)'!P:P&gt;1))})&gt;1))),""""),"""")"),"")</f>
        <v/>
      </c>
      <c r="K403" s="96" t="str">
        <f>IFERROR(__xludf.DUMMYFUNCTION("iferror(join("", "",unique(filter({filter('Students (Vertical)'!D:D,'Students (Vertical)'!C:C=B403,'Students (Vertical)'!D:D&lt;&gt;"""");filter('Students (Vertical)'!D:D,'Students (Vertical)'!C:C=E403,'Students (Vertical)'!D:D&lt;&gt;"""")},countifs({filter('Student"&amp;"s (Vertical)'!D:D,'Students (Vertical)'!C:C=B403,'Students (Vertical)'!D:D&lt;&gt;"""");filter('Students (Vertical)'!D:D,'Students (Vertical)'!C:C=E403,'Students (Vertical)'!D:D&lt;&gt;"""")},{filter('Students (Vertical)'!D:D,'Students (Vertical)'!C:C=B403,'Students "&amp;"(Vertical)'!D:D&lt;&gt;"""");filter('Students (Vertical)'!D:D,'Students (Vertical)'!C:C=E403,'Students (Vertical)'!D:D&lt;&gt;"""")})&gt;1))),"""")"),"")</f>
        <v/>
      </c>
      <c r="L403" s="96"/>
      <c r="M403" s="96"/>
    </row>
    <row r="404" hidden="1">
      <c r="A404" s="8" t="s">
        <v>8</v>
      </c>
      <c r="C404" s="8" t="s">
        <v>8</v>
      </c>
      <c r="D404" s="8" t="s">
        <v>8</v>
      </c>
      <c r="F404" s="8" t="s">
        <v>8</v>
      </c>
      <c r="G404" s="8" t="s">
        <v>8</v>
      </c>
      <c r="I404" s="94" t="str">
        <f>IFERROR(__xludf.DUMMYFUNCTION("if(H404=""Must be Together"",iferror(join("", "",unique(filter({filter('Students (Vertical)'!O:O,'Students (Vertical)'!C:C=B404,'Students (Vertical)'!O:O&lt;&gt;"""");filter('Students (Vertical)'!O:O,'Students (Vertical)'!C:C=E404,'Students (Vertical)'!O:O&lt;&gt;"""&amp;""")},countifs({filter('Students (Vertical)'!O:O,'Students (Vertical)'!C:C=B404,'Students (Vertical)'!O:O&lt;&gt;"""");filter('Students (Vertical)'!O:O,'Students (Vertical)'!C:C=E404,'Students (Vertical)'!O:O&lt;&gt;"""")},{filter('Students (Vertical)'!O:O,'Students ("&amp;"Vertical)'!C:C=B404,'Students (Vertical)'!O:O&lt;&gt;"""");filter('Students (Vertical)'!O:O,'Students (Vertical)'!C:C=E404,'Students (Vertical)'!O:O&lt;&gt;"""")})&gt;1))),""No shared courses""),"""")"),"")</f>
        <v/>
      </c>
      <c r="J404" s="94" t="str">
        <f>IFERROR(__xludf.DUMMYFUNCTION("if(H404=""Can't be Together"",iferror(join("", "",unique(filter({unique(filter('Students (Vertical)'!O:O,'Students (Vertical)'!C:C=B404,'Students (Vertical)'!O:O&lt;&gt;"""",'Students (Vertical)'!P:P&gt;1));unique(filter('Students (Vertical)'!O:O,'Students (Vertic"&amp;"al)'!C:C=E404,'Students (Vertical)'!O:O&lt;&gt;"""",'Students (Vertical)'!P:P&gt;1))},countifs({unique(filter('Students (Vertical)'!O:O,'Students (Vertical)'!C:C=B404,'Students (Vertical)'!O:O&lt;&gt;"""",'Students (Vertical)'!P:P&gt;1));unique(filter('Students (Vertical)'"&amp;"!O:O,'Students (Vertical)'!C:C=E404,'Students (Vertical)'!O:O&lt;&gt;"""",'Students (Vertical)'!P:P&gt;1))},{unique(filter('Students (Vertical)'!O:O,'Students (Vertical)'!C:C=B404,'Students (Vertical)'!O:O&lt;&gt;"""",'Students (Vertical)'!P:P&gt;1));unique(filter('Student"&amp;"s (Vertical)'!O:O,'Students (Vertical)'!C:C=E404,'Students (Vertical)'!O:O&lt;&gt;"""",'Students (Vertical)'!P:P&gt;1))})&gt;1))),""""),"""")"),"")</f>
        <v/>
      </c>
      <c r="K404" s="96" t="str">
        <f>IFERROR(__xludf.DUMMYFUNCTION("iferror(join("", "",unique(filter({filter('Students (Vertical)'!D:D,'Students (Vertical)'!C:C=B404,'Students (Vertical)'!D:D&lt;&gt;"""");filter('Students (Vertical)'!D:D,'Students (Vertical)'!C:C=E404,'Students (Vertical)'!D:D&lt;&gt;"""")},countifs({filter('Student"&amp;"s (Vertical)'!D:D,'Students (Vertical)'!C:C=B404,'Students (Vertical)'!D:D&lt;&gt;"""");filter('Students (Vertical)'!D:D,'Students (Vertical)'!C:C=E404,'Students (Vertical)'!D:D&lt;&gt;"""")},{filter('Students (Vertical)'!D:D,'Students (Vertical)'!C:C=B404,'Students "&amp;"(Vertical)'!D:D&lt;&gt;"""");filter('Students (Vertical)'!D:D,'Students (Vertical)'!C:C=E404,'Students (Vertical)'!D:D&lt;&gt;"""")})&gt;1))),"""")"),"")</f>
        <v/>
      </c>
      <c r="L404" s="96"/>
      <c r="M404" s="96"/>
    </row>
    <row r="405" hidden="1">
      <c r="A405" s="8" t="s">
        <v>8</v>
      </c>
      <c r="C405" s="8" t="s">
        <v>8</v>
      </c>
      <c r="D405" s="8" t="s">
        <v>8</v>
      </c>
      <c r="F405" s="8" t="s">
        <v>8</v>
      </c>
      <c r="G405" s="8" t="s">
        <v>8</v>
      </c>
      <c r="I405" s="94" t="str">
        <f>IFERROR(__xludf.DUMMYFUNCTION("if(H405=""Must be Together"",iferror(join("", "",unique(filter({filter('Students (Vertical)'!O:O,'Students (Vertical)'!C:C=B405,'Students (Vertical)'!O:O&lt;&gt;"""");filter('Students (Vertical)'!O:O,'Students (Vertical)'!C:C=E405,'Students (Vertical)'!O:O&lt;&gt;"""&amp;""")},countifs({filter('Students (Vertical)'!O:O,'Students (Vertical)'!C:C=B405,'Students (Vertical)'!O:O&lt;&gt;"""");filter('Students (Vertical)'!O:O,'Students (Vertical)'!C:C=E405,'Students (Vertical)'!O:O&lt;&gt;"""")},{filter('Students (Vertical)'!O:O,'Students ("&amp;"Vertical)'!C:C=B405,'Students (Vertical)'!O:O&lt;&gt;"""");filter('Students (Vertical)'!O:O,'Students (Vertical)'!C:C=E405,'Students (Vertical)'!O:O&lt;&gt;"""")})&gt;1))),""No shared courses""),"""")"),"")</f>
        <v/>
      </c>
      <c r="J405" s="94" t="str">
        <f>IFERROR(__xludf.DUMMYFUNCTION("if(H405=""Can't be Together"",iferror(join("", "",unique(filter({unique(filter('Students (Vertical)'!O:O,'Students (Vertical)'!C:C=B405,'Students (Vertical)'!O:O&lt;&gt;"""",'Students (Vertical)'!P:P&gt;1));unique(filter('Students (Vertical)'!O:O,'Students (Vertic"&amp;"al)'!C:C=E405,'Students (Vertical)'!O:O&lt;&gt;"""",'Students (Vertical)'!P:P&gt;1))},countifs({unique(filter('Students (Vertical)'!O:O,'Students (Vertical)'!C:C=B405,'Students (Vertical)'!O:O&lt;&gt;"""",'Students (Vertical)'!P:P&gt;1));unique(filter('Students (Vertical)'"&amp;"!O:O,'Students (Vertical)'!C:C=E405,'Students (Vertical)'!O:O&lt;&gt;"""",'Students (Vertical)'!P:P&gt;1))},{unique(filter('Students (Vertical)'!O:O,'Students (Vertical)'!C:C=B405,'Students (Vertical)'!O:O&lt;&gt;"""",'Students (Vertical)'!P:P&gt;1));unique(filter('Student"&amp;"s (Vertical)'!O:O,'Students (Vertical)'!C:C=E405,'Students (Vertical)'!O:O&lt;&gt;"""",'Students (Vertical)'!P:P&gt;1))})&gt;1))),""""),"""")"),"")</f>
        <v/>
      </c>
      <c r="K405" s="96" t="str">
        <f>IFERROR(__xludf.DUMMYFUNCTION("iferror(join("", "",unique(filter({filter('Students (Vertical)'!D:D,'Students (Vertical)'!C:C=B405,'Students (Vertical)'!D:D&lt;&gt;"""");filter('Students (Vertical)'!D:D,'Students (Vertical)'!C:C=E405,'Students (Vertical)'!D:D&lt;&gt;"""")},countifs({filter('Student"&amp;"s (Vertical)'!D:D,'Students (Vertical)'!C:C=B405,'Students (Vertical)'!D:D&lt;&gt;"""");filter('Students (Vertical)'!D:D,'Students (Vertical)'!C:C=E405,'Students (Vertical)'!D:D&lt;&gt;"""")},{filter('Students (Vertical)'!D:D,'Students (Vertical)'!C:C=B405,'Students "&amp;"(Vertical)'!D:D&lt;&gt;"""");filter('Students (Vertical)'!D:D,'Students (Vertical)'!C:C=E405,'Students (Vertical)'!D:D&lt;&gt;"""")})&gt;1))),"""")"),"")</f>
        <v/>
      </c>
      <c r="L405" s="96"/>
      <c r="M405" s="96"/>
    </row>
    <row r="406" hidden="1">
      <c r="A406" s="8" t="s">
        <v>8</v>
      </c>
      <c r="C406" s="8" t="s">
        <v>8</v>
      </c>
      <c r="D406" s="8" t="s">
        <v>8</v>
      </c>
      <c r="F406" s="8" t="s">
        <v>8</v>
      </c>
      <c r="G406" s="8" t="s">
        <v>8</v>
      </c>
      <c r="I406" s="94" t="str">
        <f>IFERROR(__xludf.DUMMYFUNCTION("if(H406=""Must be Together"",iferror(join("", "",unique(filter({filter('Students (Vertical)'!O:O,'Students (Vertical)'!C:C=B406,'Students (Vertical)'!O:O&lt;&gt;"""");filter('Students (Vertical)'!O:O,'Students (Vertical)'!C:C=E406,'Students (Vertical)'!O:O&lt;&gt;"""&amp;""")},countifs({filter('Students (Vertical)'!O:O,'Students (Vertical)'!C:C=B406,'Students (Vertical)'!O:O&lt;&gt;"""");filter('Students (Vertical)'!O:O,'Students (Vertical)'!C:C=E406,'Students (Vertical)'!O:O&lt;&gt;"""")},{filter('Students (Vertical)'!O:O,'Students ("&amp;"Vertical)'!C:C=B406,'Students (Vertical)'!O:O&lt;&gt;"""");filter('Students (Vertical)'!O:O,'Students (Vertical)'!C:C=E406,'Students (Vertical)'!O:O&lt;&gt;"""")})&gt;1))),""No shared courses""),"""")"),"")</f>
        <v/>
      </c>
      <c r="J406" s="94" t="str">
        <f>IFERROR(__xludf.DUMMYFUNCTION("if(H406=""Can't be Together"",iferror(join("", "",unique(filter({unique(filter('Students (Vertical)'!O:O,'Students (Vertical)'!C:C=B406,'Students (Vertical)'!O:O&lt;&gt;"""",'Students (Vertical)'!P:P&gt;1));unique(filter('Students (Vertical)'!O:O,'Students (Vertic"&amp;"al)'!C:C=E406,'Students (Vertical)'!O:O&lt;&gt;"""",'Students (Vertical)'!P:P&gt;1))},countifs({unique(filter('Students (Vertical)'!O:O,'Students (Vertical)'!C:C=B406,'Students (Vertical)'!O:O&lt;&gt;"""",'Students (Vertical)'!P:P&gt;1));unique(filter('Students (Vertical)'"&amp;"!O:O,'Students (Vertical)'!C:C=E406,'Students (Vertical)'!O:O&lt;&gt;"""",'Students (Vertical)'!P:P&gt;1))},{unique(filter('Students (Vertical)'!O:O,'Students (Vertical)'!C:C=B406,'Students (Vertical)'!O:O&lt;&gt;"""",'Students (Vertical)'!P:P&gt;1));unique(filter('Student"&amp;"s (Vertical)'!O:O,'Students (Vertical)'!C:C=E406,'Students (Vertical)'!O:O&lt;&gt;"""",'Students (Vertical)'!P:P&gt;1))})&gt;1))),""""),"""")"),"")</f>
        <v/>
      </c>
      <c r="K406" s="96" t="str">
        <f>IFERROR(__xludf.DUMMYFUNCTION("iferror(join("", "",unique(filter({filter('Students (Vertical)'!D:D,'Students (Vertical)'!C:C=B406,'Students (Vertical)'!D:D&lt;&gt;"""");filter('Students (Vertical)'!D:D,'Students (Vertical)'!C:C=E406,'Students (Vertical)'!D:D&lt;&gt;"""")},countifs({filter('Student"&amp;"s (Vertical)'!D:D,'Students (Vertical)'!C:C=B406,'Students (Vertical)'!D:D&lt;&gt;"""");filter('Students (Vertical)'!D:D,'Students (Vertical)'!C:C=E406,'Students (Vertical)'!D:D&lt;&gt;"""")},{filter('Students (Vertical)'!D:D,'Students (Vertical)'!C:C=B406,'Students "&amp;"(Vertical)'!D:D&lt;&gt;"""");filter('Students (Vertical)'!D:D,'Students (Vertical)'!C:C=E406,'Students (Vertical)'!D:D&lt;&gt;"""")})&gt;1))),"""")"),"")</f>
        <v/>
      </c>
      <c r="L406" s="96"/>
      <c r="M406" s="96"/>
    </row>
    <row r="407" hidden="1">
      <c r="A407" s="8" t="s">
        <v>8</v>
      </c>
      <c r="C407" s="8" t="s">
        <v>8</v>
      </c>
      <c r="D407" s="8" t="s">
        <v>8</v>
      </c>
      <c r="F407" s="8" t="s">
        <v>8</v>
      </c>
      <c r="G407" s="8" t="s">
        <v>8</v>
      </c>
      <c r="I407" s="94" t="str">
        <f>IFERROR(__xludf.DUMMYFUNCTION("if(H407=""Must be Together"",iferror(join("", "",unique(filter({filter('Students (Vertical)'!O:O,'Students (Vertical)'!C:C=B407,'Students (Vertical)'!O:O&lt;&gt;"""");filter('Students (Vertical)'!O:O,'Students (Vertical)'!C:C=E407,'Students (Vertical)'!O:O&lt;&gt;"""&amp;""")},countifs({filter('Students (Vertical)'!O:O,'Students (Vertical)'!C:C=B407,'Students (Vertical)'!O:O&lt;&gt;"""");filter('Students (Vertical)'!O:O,'Students (Vertical)'!C:C=E407,'Students (Vertical)'!O:O&lt;&gt;"""")},{filter('Students (Vertical)'!O:O,'Students ("&amp;"Vertical)'!C:C=B407,'Students (Vertical)'!O:O&lt;&gt;"""");filter('Students (Vertical)'!O:O,'Students (Vertical)'!C:C=E407,'Students (Vertical)'!O:O&lt;&gt;"""")})&gt;1))),""No shared courses""),"""")"),"")</f>
        <v/>
      </c>
      <c r="J407" s="94" t="str">
        <f>IFERROR(__xludf.DUMMYFUNCTION("if(H407=""Can't be Together"",iferror(join("", "",unique(filter({unique(filter('Students (Vertical)'!O:O,'Students (Vertical)'!C:C=B407,'Students (Vertical)'!O:O&lt;&gt;"""",'Students (Vertical)'!P:P&gt;1));unique(filter('Students (Vertical)'!O:O,'Students (Vertic"&amp;"al)'!C:C=E407,'Students (Vertical)'!O:O&lt;&gt;"""",'Students (Vertical)'!P:P&gt;1))},countifs({unique(filter('Students (Vertical)'!O:O,'Students (Vertical)'!C:C=B407,'Students (Vertical)'!O:O&lt;&gt;"""",'Students (Vertical)'!P:P&gt;1));unique(filter('Students (Vertical)'"&amp;"!O:O,'Students (Vertical)'!C:C=E407,'Students (Vertical)'!O:O&lt;&gt;"""",'Students (Vertical)'!P:P&gt;1))},{unique(filter('Students (Vertical)'!O:O,'Students (Vertical)'!C:C=B407,'Students (Vertical)'!O:O&lt;&gt;"""",'Students (Vertical)'!P:P&gt;1));unique(filter('Student"&amp;"s (Vertical)'!O:O,'Students (Vertical)'!C:C=E407,'Students (Vertical)'!O:O&lt;&gt;"""",'Students (Vertical)'!P:P&gt;1))})&gt;1))),""""),"""")"),"")</f>
        <v/>
      </c>
      <c r="K407" s="96" t="str">
        <f>IFERROR(__xludf.DUMMYFUNCTION("iferror(join("", "",unique(filter({filter('Students (Vertical)'!D:D,'Students (Vertical)'!C:C=B407,'Students (Vertical)'!D:D&lt;&gt;"""");filter('Students (Vertical)'!D:D,'Students (Vertical)'!C:C=E407,'Students (Vertical)'!D:D&lt;&gt;"""")},countifs({filter('Student"&amp;"s (Vertical)'!D:D,'Students (Vertical)'!C:C=B407,'Students (Vertical)'!D:D&lt;&gt;"""");filter('Students (Vertical)'!D:D,'Students (Vertical)'!C:C=E407,'Students (Vertical)'!D:D&lt;&gt;"""")},{filter('Students (Vertical)'!D:D,'Students (Vertical)'!C:C=B407,'Students "&amp;"(Vertical)'!D:D&lt;&gt;"""");filter('Students (Vertical)'!D:D,'Students (Vertical)'!C:C=E407,'Students (Vertical)'!D:D&lt;&gt;"""")})&gt;1))),"""")"),"")</f>
        <v/>
      </c>
      <c r="L407" s="96"/>
      <c r="M407" s="96"/>
    </row>
    <row r="408" hidden="1">
      <c r="A408" s="8" t="s">
        <v>8</v>
      </c>
      <c r="C408" s="8" t="s">
        <v>8</v>
      </c>
      <c r="D408" s="8" t="s">
        <v>8</v>
      </c>
      <c r="F408" s="8" t="s">
        <v>8</v>
      </c>
      <c r="G408" s="8" t="s">
        <v>8</v>
      </c>
      <c r="I408" s="94" t="str">
        <f>IFERROR(__xludf.DUMMYFUNCTION("if(H408=""Must be Together"",iferror(join("", "",unique(filter({filter('Students (Vertical)'!O:O,'Students (Vertical)'!C:C=B408,'Students (Vertical)'!O:O&lt;&gt;"""");filter('Students (Vertical)'!O:O,'Students (Vertical)'!C:C=E408,'Students (Vertical)'!O:O&lt;&gt;"""&amp;""")},countifs({filter('Students (Vertical)'!O:O,'Students (Vertical)'!C:C=B408,'Students (Vertical)'!O:O&lt;&gt;"""");filter('Students (Vertical)'!O:O,'Students (Vertical)'!C:C=E408,'Students (Vertical)'!O:O&lt;&gt;"""")},{filter('Students (Vertical)'!O:O,'Students ("&amp;"Vertical)'!C:C=B408,'Students (Vertical)'!O:O&lt;&gt;"""");filter('Students (Vertical)'!O:O,'Students (Vertical)'!C:C=E408,'Students (Vertical)'!O:O&lt;&gt;"""")})&gt;1))),""No shared courses""),"""")"),"")</f>
        <v/>
      </c>
      <c r="J408" s="94" t="str">
        <f>IFERROR(__xludf.DUMMYFUNCTION("if(H408=""Can't be Together"",iferror(join("", "",unique(filter({unique(filter('Students (Vertical)'!O:O,'Students (Vertical)'!C:C=B408,'Students (Vertical)'!O:O&lt;&gt;"""",'Students (Vertical)'!P:P&gt;1));unique(filter('Students (Vertical)'!O:O,'Students (Vertic"&amp;"al)'!C:C=E408,'Students (Vertical)'!O:O&lt;&gt;"""",'Students (Vertical)'!P:P&gt;1))},countifs({unique(filter('Students (Vertical)'!O:O,'Students (Vertical)'!C:C=B408,'Students (Vertical)'!O:O&lt;&gt;"""",'Students (Vertical)'!P:P&gt;1));unique(filter('Students (Vertical)'"&amp;"!O:O,'Students (Vertical)'!C:C=E408,'Students (Vertical)'!O:O&lt;&gt;"""",'Students (Vertical)'!P:P&gt;1))},{unique(filter('Students (Vertical)'!O:O,'Students (Vertical)'!C:C=B408,'Students (Vertical)'!O:O&lt;&gt;"""",'Students (Vertical)'!P:P&gt;1));unique(filter('Student"&amp;"s (Vertical)'!O:O,'Students (Vertical)'!C:C=E408,'Students (Vertical)'!O:O&lt;&gt;"""",'Students (Vertical)'!P:P&gt;1))})&gt;1))),""""),"""")"),"")</f>
        <v/>
      </c>
      <c r="K408" s="96" t="str">
        <f>IFERROR(__xludf.DUMMYFUNCTION("iferror(join("", "",unique(filter({filter('Students (Vertical)'!D:D,'Students (Vertical)'!C:C=B408,'Students (Vertical)'!D:D&lt;&gt;"""");filter('Students (Vertical)'!D:D,'Students (Vertical)'!C:C=E408,'Students (Vertical)'!D:D&lt;&gt;"""")},countifs({filter('Student"&amp;"s (Vertical)'!D:D,'Students (Vertical)'!C:C=B408,'Students (Vertical)'!D:D&lt;&gt;"""");filter('Students (Vertical)'!D:D,'Students (Vertical)'!C:C=E408,'Students (Vertical)'!D:D&lt;&gt;"""")},{filter('Students (Vertical)'!D:D,'Students (Vertical)'!C:C=B408,'Students "&amp;"(Vertical)'!D:D&lt;&gt;"""");filter('Students (Vertical)'!D:D,'Students (Vertical)'!C:C=E408,'Students (Vertical)'!D:D&lt;&gt;"""")})&gt;1))),"""")"),"")</f>
        <v/>
      </c>
      <c r="L408" s="96"/>
      <c r="M408" s="96"/>
    </row>
    <row r="409" hidden="1">
      <c r="A409" s="8" t="s">
        <v>8</v>
      </c>
      <c r="C409" s="8" t="s">
        <v>8</v>
      </c>
      <c r="D409" s="8" t="s">
        <v>8</v>
      </c>
      <c r="F409" s="8" t="s">
        <v>8</v>
      </c>
      <c r="G409" s="8" t="s">
        <v>8</v>
      </c>
      <c r="I409" s="94" t="str">
        <f>IFERROR(__xludf.DUMMYFUNCTION("if(H409=""Must be Together"",iferror(join("", "",unique(filter({filter('Students (Vertical)'!O:O,'Students (Vertical)'!C:C=B409,'Students (Vertical)'!O:O&lt;&gt;"""");filter('Students (Vertical)'!O:O,'Students (Vertical)'!C:C=E409,'Students (Vertical)'!O:O&lt;&gt;"""&amp;""")},countifs({filter('Students (Vertical)'!O:O,'Students (Vertical)'!C:C=B409,'Students (Vertical)'!O:O&lt;&gt;"""");filter('Students (Vertical)'!O:O,'Students (Vertical)'!C:C=E409,'Students (Vertical)'!O:O&lt;&gt;"""")},{filter('Students (Vertical)'!O:O,'Students ("&amp;"Vertical)'!C:C=B409,'Students (Vertical)'!O:O&lt;&gt;"""");filter('Students (Vertical)'!O:O,'Students (Vertical)'!C:C=E409,'Students (Vertical)'!O:O&lt;&gt;"""")})&gt;1))),""No shared courses""),"""")"),"")</f>
        <v/>
      </c>
      <c r="J409" s="94" t="str">
        <f>IFERROR(__xludf.DUMMYFUNCTION("if(H409=""Can't be Together"",iferror(join("", "",unique(filter({unique(filter('Students (Vertical)'!O:O,'Students (Vertical)'!C:C=B409,'Students (Vertical)'!O:O&lt;&gt;"""",'Students (Vertical)'!P:P&gt;1));unique(filter('Students (Vertical)'!O:O,'Students (Vertic"&amp;"al)'!C:C=E409,'Students (Vertical)'!O:O&lt;&gt;"""",'Students (Vertical)'!P:P&gt;1))},countifs({unique(filter('Students (Vertical)'!O:O,'Students (Vertical)'!C:C=B409,'Students (Vertical)'!O:O&lt;&gt;"""",'Students (Vertical)'!P:P&gt;1));unique(filter('Students (Vertical)'"&amp;"!O:O,'Students (Vertical)'!C:C=E409,'Students (Vertical)'!O:O&lt;&gt;"""",'Students (Vertical)'!P:P&gt;1))},{unique(filter('Students (Vertical)'!O:O,'Students (Vertical)'!C:C=B409,'Students (Vertical)'!O:O&lt;&gt;"""",'Students (Vertical)'!P:P&gt;1));unique(filter('Student"&amp;"s (Vertical)'!O:O,'Students (Vertical)'!C:C=E409,'Students (Vertical)'!O:O&lt;&gt;"""",'Students (Vertical)'!P:P&gt;1))})&gt;1))),""""),"""")"),"")</f>
        <v/>
      </c>
      <c r="K409" s="96" t="str">
        <f>IFERROR(__xludf.DUMMYFUNCTION("iferror(join("", "",unique(filter({filter('Students (Vertical)'!D:D,'Students (Vertical)'!C:C=B409,'Students (Vertical)'!D:D&lt;&gt;"""");filter('Students (Vertical)'!D:D,'Students (Vertical)'!C:C=E409,'Students (Vertical)'!D:D&lt;&gt;"""")},countifs({filter('Student"&amp;"s (Vertical)'!D:D,'Students (Vertical)'!C:C=B409,'Students (Vertical)'!D:D&lt;&gt;"""");filter('Students (Vertical)'!D:D,'Students (Vertical)'!C:C=E409,'Students (Vertical)'!D:D&lt;&gt;"""")},{filter('Students (Vertical)'!D:D,'Students (Vertical)'!C:C=B409,'Students "&amp;"(Vertical)'!D:D&lt;&gt;"""");filter('Students (Vertical)'!D:D,'Students (Vertical)'!C:C=E409,'Students (Vertical)'!D:D&lt;&gt;"""")})&gt;1))),"""")"),"")</f>
        <v/>
      </c>
      <c r="L409" s="96"/>
      <c r="M409" s="96"/>
    </row>
    <row r="410" hidden="1">
      <c r="A410" s="8" t="s">
        <v>8</v>
      </c>
      <c r="C410" s="8" t="s">
        <v>8</v>
      </c>
      <c r="D410" s="8" t="s">
        <v>8</v>
      </c>
      <c r="F410" s="8" t="s">
        <v>8</v>
      </c>
      <c r="G410" s="8" t="s">
        <v>8</v>
      </c>
      <c r="I410" s="94" t="str">
        <f>IFERROR(__xludf.DUMMYFUNCTION("if(H410=""Must be Together"",iferror(join("", "",unique(filter({filter('Students (Vertical)'!O:O,'Students (Vertical)'!C:C=B410,'Students (Vertical)'!O:O&lt;&gt;"""");filter('Students (Vertical)'!O:O,'Students (Vertical)'!C:C=E410,'Students (Vertical)'!O:O&lt;&gt;"""&amp;""")},countifs({filter('Students (Vertical)'!O:O,'Students (Vertical)'!C:C=B410,'Students (Vertical)'!O:O&lt;&gt;"""");filter('Students (Vertical)'!O:O,'Students (Vertical)'!C:C=E410,'Students (Vertical)'!O:O&lt;&gt;"""")},{filter('Students (Vertical)'!O:O,'Students ("&amp;"Vertical)'!C:C=B410,'Students (Vertical)'!O:O&lt;&gt;"""");filter('Students (Vertical)'!O:O,'Students (Vertical)'!C:C=E410,'Students (Vertical)'!O:O&lt;&gt;"""")})&gt;1))),""No shared courses""),"""")"),"")</f>
        <v/>
      </c>
      <c r="J410" s="94" t="str">
        <f>IFERROR(__xludf.DUMMYFUNCTION("if(H410=""Can't be Together"",iferror(join("", "",unique(filter({unique(filter('Students (Vertical)'!O:O,'Students (Vertical)'!C:C=B410,'Students (Vertical)'!O:O&lt;&gt;"""",'Students (Vertical)'!P:P&gt;1));unique(filter('Students (Vertical)'!O:O,'Students (Vertic"&amp;"al)'!C:C=E410,'Students (Vertical)'!O:O&lt;&gt;"""",'Students (Vertical)'!P:P&gt;1))},countifs({unique(filter('Students (Vertical)'!O:O,'Students (Vertical)'!C:C=B410,'Students (Vertical)'!O:O&lt;&gt;"""",'Students (Vertical)'!P:P&gt;1));unique(filter('Students (Vertical)'"&amp;"!O:O,'Students (Vertical)'!C:C=E410,'Students (Vertical)'!O:O&lt;&gt;"""",'Students (Vertical)'!P:P&gt;1))},{unique(filter('Students (Vertical)'!O:O,'Students (Vertical)'!C:C=B410,'Students (Vertical)'!O:O&lt;&gt;"""",'Students (Vertical)'!P:P&gt;1));unique(filter('Student"&amp;"s (Vertical)'!O:O,'Students (Vertical)'!C:C=E410,'Students (Vertical)'!O:O&lt;&gt;"""",'Students (Vertical)'!P:P&gt;1))})&gt;1))),""""),"""")"),"")</f>
        <v/>
      </c>
      <c r="K410" s="96" t="str">
        <f>IFERROR(__xludf.DUMMYFUNCTION("iferror(join("", "",unique(filter({filter('Students (Vertical)'!D:D,'Students (Vertical)'!C:C=B410,'Students (Vertical)'!D:D&lt;&gt;"""");filter('Students (Vertical)'!D:D,'Students (Vertical)'!C:C=E410,'Students (Vertical)'!D:D&lt;&gt;"""")},countifs({filter('Student"&amp;"s (Vertical)'!D:D,'Students (Vertical)'!C:C=B410,'Students (Vertical)'!D:D&lt;&gt;"""");filter('Students (Vertical)'!D:D,'Students (Vertical)'!C:C=E410,'Students (Vertical)'!D:D&lt;&gt;"""")},{filter('Students (Vertical)'!D:D,'Students (Vertical)'!C:C=B410,'Students "&amp;"(Vertical)'!D:D&lt;&gt;"""");filter('Students (Vertical)'!D:D,'Students (Vertical)'!C:C=E410,'Students (Vertical)'!D:D&lt;&gt;"""")})&gt;1))),"""")"),"")</f>
        <v/>
      </c>
      <c r="L410" s="96"/>
      <c r="M410" s="96"/>
    </row>
    <row r="411" hidden="1">
      <c r="A411" s="8" t="s">
        <v>8</v>
      </c>
      <c r="C411" s="8" t="s">
        <v>8</v>
      </c>
      <c r="D411" s="8" t="s">
        <v>8</v>
      </c>
      <c r="F411" s="8" t="s">
        <v>8</v>
      </c>
      <c r="G411" s="8" t="s">
        <v>8</v>
      </c>
      <c r="I411" s="94" t="str">
        <f>IFERROR(__xludf.DUMMYFUNCTION("if(H411=""Must be Together"",iferror(join("", "",unique(filter({filter('Students (Vertical)'!O:O,'Students (Vertical)'!C:C=B411,'Students (Vertical)'!O:O&lt;&gt;"""");filter('Students (Vertical)'!O:O,'Students (Vertical)'!C:C=E411,'Students (Vertical)'!O:O&lt;&gt;"""&amp;""")},countifs({filter('Students (Vertical)'!O:O,'Students (Vertical)'!C:C=B411,'Students (Vertical)'!O:O&lt;&gt;"""");filter('Students (Vertical)'!O:O,'Students (Vertical)'!C:C=E411,'Students (Vertical)'!O:O&lt;&gt;"""")},{filter('Students (Vertical)'!O:O,'Students ("&amp;"Vertical)'!C:C=B411,'Students (Vertical)'!O:O&lt;&gt;"""");filter('Students (Vertical)'!O:O,'Students (Vertical)'!C:C=E411,'Students (Vertical)'!O:O&lt;&gt;"""")})&gt;1))),""No shared courses""),"""")"),"")</f>
        <v/>
      </c>
      <c r="J411" s="94" t="str">
        <f>IFERROR(__xludf.DUMMYFUNCTION("if(H411=""Can't be Together"",iferror(join("", "",unique(filter({unique(filter('Students (Vertical)'!O:O,'Students (Vertical)'!C:C=B411,'Students (Vertical)'!O:O&lt;&gt;"""",'Students (Vertical)'!P:P&gt;1));unique(filter('Students (Vertical)'!O:O,'Students (Vertic"&amp;"al)'!C:C=E411,'Students (Vertical)'!O:O&lt;&gt;"""",'Students (Vertical)'!P:P&gt;1))},countifs({unique(filter('Students (Vertical)'!O:O,'Students (Vertical)'!C:C=B411,'Students (Vertical)'!O:O&lt;&gt;"""",'Students (Vertical)'!P:P&gt;1));unique(filter('Students (Vertical)'"&amp;"!O:O,'Students (Vertical)'!C:C=E411,'Students (Vertical)'!O:O&lt;&gt;"""",'Students (Vertical)'!P:P&gt;1))},{unique(filter('Students (Vertical)'!O:O,'Students (Vertical)'!C:C=B411,'Students (Vertical)'!O:O&lt;&gt;"""",'Students (Vertical)'!P:P&gt;1));unique(filter('Student"&amp;"s (Vertical)'!O:O,'Students (Vertical)'!C:C=E411,'Students (Vertical)'!O:O&lt;&gt;"""",'Students (Vertical)'!P:P&gt;1))})&gt;1))),""""),"""")"),"")</f>
        <v/>
      </c>
      <c r="K411" s="96" t="str">
        <f>IFERROR(__xludf.DUMMYFUNCTION("iferror(join("", "",unique(filter({filter('Students (Vertical)'!D:D,'Students (Vertical)'!C:C=B411,'Students (Vertical)'!D:D&lt;&gt;"""");filter('Students (Vertical)'!D:D,'Students (Vertical)'!C:C=E411,'Students (Vertical)'!D:D&lt;&gt;"""")},countifs({filter('Student"&amp;"s (Vertical)'!D:D,'Students (Vertical)'!C:C=B411,'Students (Vertical)'!D:D&lt;&gt;"""");filter('Students (Vertical)'!D:D,'Students (Vertical)'!C:C=E411,'Students (Vertical)'!D:D&lt;&gt;"""")},{filter('Students (Vertical)'!D:D,'Students (Vertical)'!C:C=B411,'Students "&amp;"(Vertical)'!D:D&lt;&gt;"""");filter('Students (Vertical)'!D:D,'Students (Vertical)'!C:C=E411,'Students (Vertical)'!D:D&lt;&gt;"""")})&gt;1))),"""")"),"")</f>
        <v/>
      </c>
      <c r="L411" s="96"/>
      <c r="M411" s="96"/>
    </row>
    <row r="412" hidden="1">
      <c r="A412" s="8" t="s">
        <v>8</v>
      </c>
      <c r="C412" s="8" t="s">
        <v>8</v>
      </c>
      <c r="D412" s="8" t="s">
        <v>8</v>
      </c>
      <c r="F412" s="8" t="s">
        <v>8</v>
      </c>
      <c r="G412" s="8" t="s">
        <v>8</v>
      </c>
      <c r="I412" s="94" t="str">
        <f>IFERROR(__xludf.DUMMYFUNCTION("if(H412=""Must be Together"",iferror(join("", "",unique(filter({filter('Students (Vertical)'!O:O,'Students (Vertical)'!C:C=B412,'Students (Vertical)'!O:O&lt;&gt;"""");filter('Students (Vertical)'!O:O,'Students (Vertical)'!C:C=E412,'Students (Vertical)'!O:O&lt;&gt;"""&amp;""")},countifs({filter('Students (Vertical)'!O:O,'Students (Vertical)'!C:C=B412,'Students (Vertical)'!O:O&lt;&gt;"""");filter('Students (Vertical)'!O:O,'Students (Vertical)'!C:C=E412,'Students (Vertical)'!O:O&lt;&gt;"""")},{filter('Students (Vertical)'!O:O,'Students ("&amp;"Vertical)'!C:C=B412,'Students (Vertical)'!O:O&lt;&gt;"""");filter('Students (Vertical)'!O:O,'Students (Vertical)'!C:C=E412,'Students (Vertical)'!O:O&lt;&gt;"""")})&gt;1))),""No shared courses""),"""")"),"")</f>
        <v/>
      </c>
      <c r="J412" s="94" t="str">
        <f>IFERROR(__xludf.DUMMYFUNCTION("if(H412=""Can't be Together"",iferror(join("", "",unique(filter({unique(filter('Students (Vertical)'!O:O,'Students (Vertical)'!C:C=B412,'Students (Vertical)'!O:O&lt;&gt;"""",'Students (Vertical)'!P:P&gt;1));unique(filter('Students (Vertical)'!O:O,'Students (Vertic"&amp;"al)'!C:C=E412,'Students (Vertical)'!O:O&lt;&gt;"""",'Students (Vertical)'!P:P&gt;1))},countifs({unique(filter('Students (Vertical)'!O:O,'Students (Vertical)'!C:C=B412,'Students (Vertical)'!O:O&lt;&gt;"""",'Students (Vertical)'!P:P&gt;1));unique(filter('Students (Vertical)'"&amp;"!O:O,'Students (Vertical)'!C:C=E412,'Students (Vertical)'!O:O&lt;&gt;"""",'Students (Vertical)'!P:P&gt;1))},{unique(filter('Students (Vertical)'!O:O,'Students (Vertical)'!C:C=B412,'Students (Vertical)'!O:O&lt;&gt;"""",'Students (Vertical)'!P:P&gt;1));unique(filter('Student"&amp;"s (Vertical)'!O:O,'Students (Vertical)'!C:C=E412,'Students (Vertical)'!O:O&lt;&gt;"""",'Students (Vertical)'!P:P&gt;1))})&gt;1))),""""),"""")"),"")</f>
        <v/>
      </c>
      <c r="K412" s="96" t="str">
        <f>IFERROR(__xludf.DUMMYFUNCTION("iferror(join("", "",unique(filter({filter('Students (Vertical)'!D:D,'Students (Vertical)'!C:C=B412,'Students (Vertical)'!D:D&lt;&gt;"""");filter('Students (Vertical)'!D:D,'Students (Vertical)'!C:C=E412,'Students (Vertical)'!D:D&lt;&gt;"""")},countifs({filter('Student"&amp;"s (Vertical)'!D:D,'Students (Vertical)'!C:C=B412,'Students (Vertical)'!D:D&lt;&gt;"""");filter('Students (Vertical)'!D:D,'Students (Vertical)'!C:C=E412,'Students (Vertical)'!D:D&lt;&gt;"""")},{filter('Students (Vertical)'!D:D,'Students (Vertical)'!C:C=B412,'Students "&amp;"(Vertical)'!D:D&lt;&gt;"""");filter('Students (Vertical)'!D:D,'Students (Vertical)'!C:C=E412,'Students (Vertical)'!D:D&lt;&gt;"""")})&gt;1))),"""")"),"")</f>
        <v/>
      </c>
      <c r="L412" s="96"/>
      <c r="M412" s="96"/>
    </row>
    <row r="413" hidden="1">
      <c r="A413" s="8" t="s">
        <v>8</v>
      </c>
      <c r="C413" s="8" t="s">
        <v>8</v>
      </c>
      <c r="D413" s="8" t="s">
        <v>8</v>
      </c>
      <c r="F413" s="8" t="s">
        <v>8</v>
      </c>
      <c r="G413" s="8" t="s">
        <v>8</v>
      </c>
      <c r="I413" s="94" t="str">
        <f>IFERROR(__xludf.DUMMYFUNCTION("if(H413=""Must be Together"",iferror(join("", "",unique(filter({filter('Students (Vertical)'!O:O,'Students (Vertical)'!C:C=B413,'Students (Vertical)'!O:O&lt;&gt;"""");filter('Students (Vertical)'!O:O,'Students (Vertical)'!C:C=E413,'Students (Vertical)'!O:O&lt;&gt;"""&amp;""")},countifs({filter('Students (Vertical)'!O:O,'Students (Vertical)'!C:C=B413,'Students (Vertical)'!O:O&lt;&gt;"""");filter('Students (Vertical)'!O:O,'Students (Vertical)'!C:C=E413,'Students (Vertical)'!O:O&lt;&gt;"""")},{filter('Students (Vertical)'!O:O,'Students ("&amp;"Vertical)'!C:C=B413,'Students (Vertical)'!O:O&lt;&gt;"""");filter('Students (Vertical)'!O:O,'Students (Vertical)'!C:C=E413,'Students (Vertical)'!O:O&lt;&gt;"""")})&gt;1))),""No shared courses""),"""")"),"")</f>
        <v/>
      </c>
      <c r="J413" s="94" t="str">
        <f>IFERROR(__xludf.DUMMYFUNCTION("if(H413=""Can't be Together"",iferror(join("", "",unique(filter({unique(filter('Students (Vertical)'!O:O,'Students (Vertical)'!C:C=B413,'Students (Vertical)'!O:O&lt;&gt;"""",'Students (Vertical)'!P:P&gt;1));unique(filter('Students (Vertical)'!O:O,'Students (Vertic"&amp;"al)'!C:C=E413,'Students (Vertical)'!O:O&lt;&gt;"""",'Students (Vertical)'!P:P&gt;1))},countifs({unique(filter('Students (Vertical)'!O:O,'Students (Vertical)'!C:C=B413,'Students (Vertical)'!O:O&lt;&gt;"""",'Students (Vertical)'!P:P&gt;1));unique(filter('Students (Vertical)'"&amp;"!O:O,'Students (Vertical)'!C:C=E413,'Students (Vertical)'!O:O&lt;&gt;"""",'Students (Vertical)'!P:P&gt;1))},{unique(filter('Students (Vertical)'!O:O,'Students (Vertical)'!C:C=B413,'Students (Vertical)'!O:O&lt;&gt;"""",'Students (Vertical)'!P:P&gt;1));unique(filter('Student"&amp;"s (Vertical)'!O:O,'Students (Vertical)'!C:C=E413,'Students (Vertical)'!O:O&lt;&gt;"""",'Students (Vertical)'!P:P&gt;1))})&gt;1))),""""),"""")"),"")</f>
        <v/>
      </c>
      <c r="K413" s="96" t="str">
        <f>IFERROR(__xludf.DUMMYFUNCTION("iferror(join("", "",unique(filter({filter('Students (Vertical)'!D:D,'Students (Vertical)'!C:C=B413,'Students (Vertical)'!D:D&lt;&gt;"""");filter('Students (Vertical)'!D:D,'Students (Vertical)'!C:C=E413,'Students (Vertical)'!D:D&lt;&gt;"""")},countifs({filter('Student"&amp;"s (Vertical)'!D:D,'Students (Vertical)'!C:C=B413,'Students (Vertical)'!D:D&lt;&gt;"""");filter('Students (Vertical)'!D:D,'Students (Vertical)'!C:C=E413,'Students (Vertical)'!D:D&lt;&gt;"""")},{filter('Students (Vertical)'!D:D,'Students (Vertical)'!C:C=B413,'Students "&amp;"(Vertical)'!D:D&lt;&gt;"""");filter('Students (Vertical)'!D:D,'Students (Vertical)'!C:C=E413,'Students (Vertical)'!D:D&lt;&gt;"""")})&gt;1))),"""")"),"")</f>
        <v/>
      </c>
      <c r="L413" s="96"/>
      <c r="M413" s="96"/>
    </row>
    <row r="414" hidden="1">
      <c r="A414" s="8" t="s">
        <v>8</v>
      </c>
      <c r="C414" s="8" t="s">
        <v>8</v>
      </c>
      <c r="D414" s="8" t="s">
        <v>8</v>
      </c>
      <c r="F414" s="8" t="s">
        <v>8</v>
      </c>
      <c r="G414" s="8" t="s">
        <v>8</v>
      </c>
      <c r="I414" s="94" t="str">
        <f>IFERROR(__xludf.DUMMYFUNCTION("if(H414=""Must be Together"",iferror(join("", "",unique(filter({filter('Students (Vertical)'!O:O,'Students (Vertical)'!C:C=B414,'Students (Vertical)'!O:O&lt;&gt;"""");filter('Students (Vertical)'!O:O,'Students (Vertical)'!C:C=E414,'Students (Vertical)'!O:O&lt;&gt;"""&amp;""")},countifs({filter('Students (Vertical)'!O:O,'Students (Vertical)'!C:C=B414,'Students (Vertical)'!O:O&lt;&gt;"""");filter('Students (Vertical)'!O:O,'Students (Vertical)'!C:C=E414,'Students (Vertical)'!O:O&lt;&gt;"""")},{filter('Students (Vertical)'!O:O,'Students ("&amp;"Vertical)'!C:C=B414,'Students (Vertical)'!O:O&lt;&gt;"""");filter('Students (Vertical)'!O:O,'Students (Vertical)'!C:C=E414,'Students (Vertical)'!O:O&lt;&gt;"""")})&gt;1))),""No shared courses""),"""")"),"")</f>
        <v/>
      </c>
      <c r="J414" s="94" t="str">
        <f>IFERROR(__xludf.DUMMYFUNCTION("if(H414=""Can't be Together"",iferror(join("", "",unique(filter({unique(filter('Students (Vertical)'!O:O,'Students (Vertical)'!C:C=B414,'Students (Vertical)'!O:O&lt;&gt;"""",'Students (Vertical)'!P:P&gt;1));unique(filter('Students (Vertical)'!O:O,'Students (Vertic"&amp;"al)'!C:C=E414,'Students (Vertical)'!O:O&lt;&gt;"""",'Students (Vertical)'!P:P&gt;1))},countifs({unique(filter('Students (Vertical)'!O:O,'Students (Vertical)'!C:C=B414,'Students (Vertical)'!O:O&lt;&gt;"""",'Students (Vertical)'!P:P&gt;1));unique(filter('Students (Vertical)'"&amp;"!O:O,'Students (Vertical)'!C:C=E414,'Students (Vertical)'!O:O&lt;&gt;"""",'Students (Vertical)'!P:P&gt;1))},{unique(filter('Students (Vertical)'!O:O,'Students (Vertical)'!C:C=B414,'Students (Vertical)'!O:O&lt;&gt;"""",'Students (Vertical)'!P:P&gt;1));unique(filter('Student"&amp;"s (Vertical)'!O:O,'Students (Vertical)'!C:C=E414,'Students (Vertical)'!O:O&lt;&gt;"""",'Students (Vertical)'!P:P&gt;1))})&gt;1))),""""),"""")"),"")</f>
        <v/>
      </c>
      <c r="K414" s="96" t="str">
        <f>IFERROR(__xludf.DUMMYFUNCTION("iferror(join("", "",unique(filter({filter('Students (Vertical)'!D:D,'Students (Vertical)'!C:C=B414,'Students (Vertical)'!D:D&lt;&gt;"""");filter('Students (Vertical)'!D:D,'Students (Vertical)'!C:C=E414,'Students (Vertical)'!D:D&lt;&gt;"""")},countifs({filter('Student"&amp;"s (Vertical)'!D:D,'Students (Vertical)'!C:C=B414,'Students (Vertical)'!D:D&lt;&gt;"""");filter('Students (Vertical)'!D:D,'Students (Vertical)'!C:C=E414,'Students (Vertical)'!D:D&lt;&gt;"""")},{filter('Students (Vertical)'!D:D,'Students (Vertical)'!C:C=B414,'Students "&amp;"(Vertical)'!D:D&lt;&gt;"""");filter('Students (Vertical)'!D:D,'Students (Vertical)'!C:C=E414,'Students (Vertical)'!D:D&lt;&gt;"""")})&gt;1))),"""")"),"")</f>
        <v/>
      </c>
      <c r="L414" s="96"/>
      <c r="M414" s="96"/>
    </row>
    <row r="415" hidden="1">
      <c r="A415" s="8" t="s">
        <v>8</v>
      </c>
      <c r="C415" s="8" t="s">
        <v>8</v>
      </c>
      <c r="D415" s="8" t="s">
        <v>8</v>
      </c>
      <c r="F415" s="8" t="s">
        <v>8</v>
      </c>
      <c r="G415" s="8" t="s">
        <v>8</v>
      </c>
      <c r="I415" s="94" t="str">
        <f>IFERROR(__xludf.DUMMYFUNCTION("if(H415=""Must be Together"",iferror(join("", "",unique(filter({filter('Students (Vertical)'!O:O,'Students (Vertical)'!C:C=B415,'Students (Vertical)'!O:O&lt;&gt;"""");filter('Students (Vertical)'!O:O,'Students (Vertical)'!C:C=E415,'Students (Vertical)'!O:O&lt;&gt;"""&amp;""")},countifs({filter('Students (Vertical)'!O:O,'Students (Vertical)'!C:C=B415,'Students (Vertical)'!O:O&lt;&gt;"""");filter('Students (Vertical)'!O:O,'Students (Vertical)'!C:C=E415,'Students (Vertical)'!O:O&lt;&gt;"""")},{filter('Students (Vertical)'!O:O,'Students ("&amp;"Vertical)'!C:C=B415,'Students (Vertical)'!O:O&lt;&gt;"""");filter('Students (Vertical)'!O:O,'Students (Vertical)'!C:C=E415,'Students (Vertical)'!O:O&lt;&gt;"""")})&gt;1))),""No shared courses""),"""")"),"")</f>
        <v/>
      </c>
      <c r="J415" s="94" t="str">
        <f>IFERROR(__xludf.DUMMYFUNCTION("if(H415=""Can't be Together"",iferror(join("", "",unique(filter({unique(filter('Students (Vertical)'!O:O,'Students (Vertical)'!C:C=B415,'Students (Vertical)'!O:O&lt;&gt;"""",'Students (Vertical)'!P:P&gt;1));unique(filter('Students (Vertical)'!O:O,'Students (Vertic"&amp;"al)'!C:C=E415,'Students (Vertical)'!O:O&lt;&gt;"""",'Students (Vertical)'!P:P&gt;1))},countifs({unique(filter('Students (Vertical)'!O:O,'Students (Vertical)'!C:C=B415,'Students (Vertical)'!O:O&lt;&gt;"""",'Students (Vertical)'!P:P&gt;1));unique(filter('Students (Vertical)'"&amp;"!O:O,'Students (Vertical)'!C:C=E415,'Students (Vertical)'!O:O&lt;&gt;"""",'Students (Vertical)'!P:P&gt;1))},{unique(filter('Students (Vertical)'!O:O,'Students (Vertical)'!C:C=B415,'Students (Vertical)'!O:O&lt;&gt;"""",'Students (Vertical)'!P:P&gt;1));unique(filter('Student"&amp;"s (Vertical)'!O:O,'Students (Vertical)'!C:C=E415,'Students (Vertical)'!O:O&lt;&gt;"""",'Students (Vertical)'!P:P&gt;1))})&gt;1))),""""),"""")"),"")</f>
        <v/>
      </c>
      <c r="K415" s="96" t="str">
        <f>IFERROR(__xludf.DUMMYFUNCTION("iferror(join("", "",unique(filter({filter('Students (Vertical)'!D:D,'Students (Vertical)'!C:C=B415,'Students (Vertical)'!D:D&lt;&gt;"""");filter('Students (Vertical)'!D:D,'Students (Vertical)'!C:C=E415,'Students (Vertical)'!D:D&lt;&gt;"""")},countifs({filter('Student"&amp;"s (Vertical)'!D:D,'Students (Vertical)'!C:C=B415,'Students (Vertical)'!D:D&lt;&gt;"""");filter('Students (Vertical)'!D:D,'Students (Vertical)'!C:C=E415,'Students (Vertical)'!D:D&lt;&gt;"""")},{filter('Students (Vertical)'!D:D,'Students (Vertical)'!C:C=B415,'Students "&amp;"(Vertical)'!D:D&lt;&gt;"""");filter('Students (Vertical)'!D:D,'Students (Vertical)'!C:C=E415,'Students (Vertical)'!D:D&lt;&gt;"""")})&gt;1))),"""")"),"")</f>
        <v/>
      </c>
      <c r="L415" s="96"/>
      <c r="M415" s="96"/>
    </row>
    <row r="416" hidden="1">
      <c r="A416" s="8" t="s">
        <v>8</v>
      </c>
      <c r="C416" s="8" t="s">
        <v>8</v>
      </c>
      <c r="D416" s="8" t="s">
        <v>8</v>
      </c>
      <c r="F416" s="8" t="s">
        <v>8</v>
      </c>
      <c r="G416" s="8" t="s">
        <v>8</v>
      </c>
      <c r="I416" s="94" t="str">
        <f>IFERROR(__xludf.DUMMYFUNCTION("if(H416=""Must be Together"",iferror(join("", "",unique(filter({filter('Students (Vertical)'!O:O,'Students (Vertical)'!C:C=B416,'Students (Vertical)'!O:O&lt;&gt;"""");filter('Students (Vertical)'!O:O,'Students (Vertical)'!C:C=E416,'Students (Vertical)'!O:O&lt;&gt;"""&amp;""")},countifs({filter('Students (Vertical)'!O:O,'Students (Vertical)'!C:C=B416,'Students (Vertical)'!O:O&lt;&gt;"""");filter('Students (Vertical)'!O:O,'Students (Vertical)'!C:C=E416,'Students (Vertical)'!O:O&lt;&gt;"""")},{filter('Students (Vertical)'!O:O,'Students ("&amp;"Vertical)'!C:C=B416,'Students (Vertical)'!O:O&lt;&gt;"""");filter('Students (Vertical)'!O:O,'Students (Vertical)'!C:C=E416,'Students (Vertical)'!O:O&lt;&gt;"""")})&gt;1))),""No shared courses""),"""")"),"")</f>
        <v/>
      </c>
      <c r="J416" s="94" t="str">
        <f>IFERROR(__xludf.DUMMYFUNCTION("if(H416=""Can't be Together"",iferror(join("", "",unique(filter({unique(filter('Students (Vertical)'!O:O,'Students (Vertical)'!C:C=B416,'Students (Vertical)'!O:O&lt;&gt;"""",'Students (Vertical)'!P:P&gt;1));unique(filter('Students (Vertical)'!O:O,'Students (Vertic"&amp;"al)'!C:C=E416,'Students (Vertical)'!O:O&lt;&gt;"""",'Students (Vertical)'!P:P&gt;1))},countifs({unique(filter('Students (Vertical)'!O:O,'Students (Vertical)'!C:C=B416,'Students (Vertical)'!O:O&lt;&gt;"""",'Students (Vertical)'!P:P&gt;1));unique(filter('Students (Vertical)'"&amp;"!O:O,'Students (Vertical)'!C:C=E416,'Students (Vertical)'!O:O&lt;&gt;"""",'Students (Vertical)'!P:P&gt;1))},{unique(filter('Students (Vertical)'!O:O,'Students (Vertical)'!C:C=B416,'Students (Vertical)'!O:O&lt;&gt;"""",'Students (Vertical)'!P:P&gt;1));unique(filter('Student"&amp;"s (Vertical)'!O:O,'Students (Vertical)'!C:C=E416,'Students (Vertical)'!O:O&lt;&gt;"""",'Students (Vertical)'!P:P&gt;1))})&gt;1))),""""),"""")"),"")</f>
        <v/>
      </c>
      <c r="K416" s="96" t="str">
        <f>IFERROR(__xludf.DUMMYFUNCTION("iferror(join("", "",unique(filter({filter('Students (Vertical)'!D:D,'Students (Vertical)'!C:C=B416,'Students (Vertical)'!D:D&lt;&gt;"""");filter('Students (Vertical)'!D:D,'Students (Vertical)'!C:C=E416,'Students (Vertical)'!D:D&lt;&gt;"""")},countifs({filter('Student"&amp;"s (Vertical)'!D:D,'Students (Vertical)'!C:C=B416,'Students (Vertical)'!D:D&lt;&gt;"""");filter('Students (Vertical)'!D:D,'Students (Vertical)'!C:C=E416,'Students (Vertical)'!D:D&lt;&gt;"""")},{filter('Students (Vertical)'!D:D,'Students (Vertical)'!C:C=B416,'Students "&amp;"(Vertical)'!D:D&lt;&gt;"""");filter('Students (Vertical)'!D:D,'Students (Vertical)'!C:C=E416,'Students (Vertical)'!D:D&lt;&gt;"""")})&gt;1))),"""")"),"")</f>
        <v/>
      </c>
      <c r="L416" s="96"/>
      <c r="M416" s="96"/>
    </row>
    <row r="417" hidden="1">
      <c r="A417" s="8" t="s">
        <v>8</v>
      </c>
      <c r="C417" s="8" t="s">
        <v>8</v>
      </c>
      <c r="D417" s="8" t="s">
        <v>8</v>
      </c>
      <c r="F417" s="8" t="s">
        <v>8</v>
      </c>
      <c r="G417" s="8" t="s">
        <v>8</v>
      </c>
      <c r="I417" s="94" t="str">
        <f>IFERROR(__xludf.DUMMYFUNCTION("if(H417=""Must be Together"",iferror(join("", "",unique(filter({filter('Students (Vertical)'!O:O,'Students (Vertical)'!C:C=B417,'Students (Vertical)'!O:O&lt;&gt;"""");filter('Students (Vertical)'!O:O,'Students (Vertical)'!C:C=E417,'Students (Vertical)'!O:O&lt;&gt;"""&amp;""")},countifs({filter('Students (Vertical)'!O:O,'Students (Vertical)'!C:C=B417,'Students (Vertical)'!O:O&lt;&gt;"""");filter('Students (Vertical)'!O:O,'Students (Vertical)'!C:C=E417,'Students (Vertical)'!O:O&lt;&gt;"""")},{filter('Students (Vertical)'!O:O,'Students ("&amp;"Vertical)'!C:C=B417,'Students (Vertical)'!O:O&lt;&gt;"""");filter('Students (Vertical)'!O:O,'Students (Vertical)'!C:C=E417,'Students (Vertical)'!O:O&lt;&gt;"""")})&gt;1))),""No shared courses""),"""")"),"")</f>
        <v/>
      </c>
      <c r="J417" s="94" t="str">
        <f>IFERROR(__xludf.DUMMYFUNCTION("if(H417=""Can't be Together"",iferror(join("", "",unique(filter({unique(filter('Students (Vertical)'!O:O,'Students (Vertical)'!C:C=B417,'Students (Vertical)'!O:O&lt;&gt;"""",'Students (Vertical)'!P:P&gt;1));unique(filter('Students (Vertical)'!O:O,'Students (Vertic"&amp;"al)'!C:C=E417,'Students (Vertical)'!O:O&lt;&gt;"""",'Students (Vertical)'!P:P&gt;1))},countifs({unique(filter('Students (Vertical)'!O:O,'Students (Vertical)'!C:C=B417,'Students (Vertical)'!O:O&lt;&gt;"""",'Students (Vertical)'!P:P&gt;1));unique(filter('Students (Vertical)'"&amp;"!O:O,'Students (Vertical)'!C:C=E417,'Students (Vertical)'!O:O&lt;&gt;"""",'Students (Vertical)'!P:P&gt;1))},{unique(filter('Students (Vertical)'!O:O,'Students (Vertical)'!C:C=B417,'Students (Vertical)'!O:O&lt;&gt;"""",'Students (Vertical)'!P:P&gt;1));unique(filter('Student"&amp;"s (Vertical)'!O:O,'Students (Vertical)'!C:C=E417,'Students (Vertical)'!O:O&lt;&gt;"""",'Students (Vertical)'!P:P&gt;1))})&gt;1))),""""),"""")"),"")</f>
        <v/>
      </c>
      <c r="K417" s="96" t="str">
        <f>IFERROR(__xludf.DUMMYFUNCTION("iferror(join("", "",unique(filter({filter('Students (Vertical)'!D:D,'Students (Vertical)'!C:C=B417,'Students (Vertical)'!D:D&lt;&gt;"""");filter('Students (Vertical)'!D:D,'Students (Vertical)'!C:C=E417,'Students (Vertical)'!D:D&lt;&gt;"""")},countifs({filter('Student"&amp;"s (Vertical)'!D:D,'Students (Vertical)'!C:C=B417,'Students (Vertical)'!D:D&lt;&gt;"""");filter('Students (Vertical)'!D:D,'Students (Vertical)'!C:C=E417,'Students (Vertical)'!D:D&lt;&gt;"""")},{filter('Students (Vertical)'!D:D,'Students (Vertical)'!C:C=B417,'Students "&amp;"(Vertical)'!D:D&lt;&gt;"""");filter('Students (Vertical)'!D:D,'Students (Vertical)'!C:C=E417,'Students (Vertical)'!D:D&lt;&gt;"""")})&gt;1))),"""")"),"")</f>
        <v/>
      </c>
      <c r="L417" s="96"/>
      <c r="M417" s="96"/>
    </row>
    <row r="418" hidden="1">
      <c r="A418" s="8" t="s">
        <v>8</v>
      </c>
      <c r="C418" s="8" t="s">
        <v>8</v>
      </c>
      <c r="D418" s="8" t="s">
        <v>8</v>
      </c>
      <c r="F418" s="8" t="s">
        <v>8</v>
      </c>
      <c r="G418" s="8" t="s">
        <v>8</v>
      </c>
      <c r="I418" s="94" t="str">
        <f>IFERROR(__xludf.DUMMYFUNCTION("if(H418=""Must be Together"",iferror(join("", "",unique(filter({filter('Students (Vertical)'!O:O,'Students (Vertical)'!C:C=B418,'Students (Vertical)'!O:O&lt;&gt;"""");filter('Students (Vertical)'!O:O,'Students (Vertical)'!C:C=E418,'Students (Vertical)'!O:O&lt;&gt;"""&amp;""")},countifs({filter('Students (Vertical)'!O:O,'Students (Vertical)'!C:C=B418,'Students (Vertical)'!O:O&lt;&gt;"""");filter('Students (Vertical)'!O:O,'Students (Vertical)'!C:C=E418,'Students (Vertical)'!O:O&lt;&gt;"""")},{filter('Students (Vertical)'!O:O,'Students ("&amp;"Vertical)'!C:C=B418,'Students (Vertical)'!O:O&lt;&gt;"""");filter('Students (Vertical)'!O:O,'Students (Vertical)'!C:C=E418,'Students (Vertical)'!O:O&lt;&gt;"""")})&gt;1))),""No shared courses""),"""")"),"")</f>
        <v/>
      </c>
      <c r="J418" s="94" t="str">
        <f>IFERROR(__xludf.DUMMYFUNCTION("if(H418=""Can't be Together"",iferror(join("", "",unique(filter({unique(filter('Students (Vertical)'!O:O,'Students (Vertical)'!C:C=B418,'Students (Vertical)'!O:O&lt;&gt;"""",'Students (Vertical)'!P:P&gt;1));unique(filter('Students (Vertical)'!O:O,'Students (Vertic"&amp;"al)'!C:C=E418,'Students (Vertical)'!O:O&lt;&gt;"""",'Students (Vertical)'!P:P&gt;1))},countifs({unique(filter('Students (Vertical)'!O:O,'Students (Vertical)'!C:C=B418,'Students (Vertical)'!O:O&lt;&gt;"""",'Students (Vertical)'!P:P&gt;1));unique(filter('Students (Vertical)'"&amp;"!O:O,'Students (Vertical)'!C:C=E418,'Students (Vertical)'!O:O&lt;&gt;"""",'Students (Vertical)'!P:P&gt;1))},{unique(filter('Students (Vertical)'!O:O,'Students (Vertical)'!C:C=B418,'Students (Vertical)'!O:O&lt;&gt;"""",'Students (Vertical)'!P:P&gt;1));unique(filter('Student"&amp;"s (Vertical)'!O:O,'Students (Vertical)'!C:C=E418,'Students (Vertical)'!O:O&lt;&gt;"""",'Students (Vertical)'!P:P&gt;1))})&gt;1))),""""),"""")"),"")</f>
        <v/>
      </c>
      <c r="K418" s="96" t="str">
        <f>IFERROR(__xludf.DUMMYFUNCTION("iferror(join("", "",unique(filter({filter('Students (Vertical)'!D:D,'Students (Vertical)'!C:C=B418,'Students (Vertical)'!D:D&lt;&gt;"""");filter('Students (Vertical)'!D:D,'Students (Vertical)'!C:C=E418,'Students (Vertical)'!D:D&lt;&gt;"""")},countifs({filter('Student"&amp;"s (Vertical)'!D:D,'Students (Vertical)'!C:C=B418,'Students (Vertical)'!D:D&lt;&gt;"""");filter('Students (Vertical)'!D:D,'Students (Vertical)'!C:C=E418,'Students (Vertical)'!D:D&lt;&gt;"""")},{filter('Students (Vertical)'!D:D,'Students (Vertical)'!C:C=B418,'Students "&amp;"(Vertical)'!D:D&lt;&gt;"""");filter('Students (Vertical)'!D:D,'Students (Vertical)'!C:C=E418,'Students (Vertical)'!D:D&lt;&gt;"""")})&gt;1))),"""")"),"")</f>
        <v/>
      </c>
      <c r="L418" s="96"/>
      <c r="M418" s="96"/>
    </row>
    <row r="419" hidden="1">
      <c r="A419" s="8" t="s">
        <v>8</v>
      </c>
      <c r="C419" s="8" t="s">
        <v>8</v>
      </c>
      <c r="D419" s="8" t="s">
        <v>8</v>
      </c>
      <c r="F419" s="8" t="s">
        <v>8</v>
      </c>
      <c r="G419" s="8" t="s">
        <v>8</v>
      </c>
      <c r="I419" s="94" t="str">
        <f>IFERROR(__xludf.DUMMYFUNCTION("if(H419=""Must be Together"",iferror(join("", "",unique(filter({filter('Students (Vertical)'!O:O,'Students (Vertical)'!C:C=B419,'Students (Vertical)'!O:O&lt;&gt;"""");filter('Students (Vertical)'!O:O,'Students (Vertical)'!C:C=E419,'Students (Vertical)'!O:O&lt;&gt;"""&amp;""")},countifs({filter('Students (Vertical)'!O:O,'Students (Vertical)'!C:C=B419,'Students (Vertical)'!O:O&lt;&gt;"""");filter('Students (Vertical)'!O:O,'Students (Vertical)'!C:C=E419,'Students (Vertical)'!O:O&lt;&gt;"""")},{filter('Students (Vertical)'!O:O,'Students ("&amp;"Vertical)'!C:C=B419,'Students (Vertical)'!O:O&lt;&gt;"""");filter('Students (Vertical)'!O:O,'Students (Vertical)'!C:C=E419,'Students (Vertical)'!O:O&lt;&gt;"""")})&gt;1))),""No shared courses""),"""")"),"")</f>
        <v/>
      </c>
      <c r="J419" s="94" t="str">
        <f>IFERROR(__xludf.DUMMYFUNCTION("if(H419=""Can't be Together"",iferror(join("", "",unique(filter({unique(filter('Students (Vertical)'!O:O,'Students (Vertical)'!C:C=B419,'Students (Vertical)'!O:O&lt;&gt;"""",'Students (Vertical)'!P:P&gt;1));unique(filter('Students (Vertical)'!O:O,'Students (Vertic"&amp;"al)'!C:C=E419,'Students (Vertical)'!O:O&lt;&gt;"""",'Students (Vertical)'!P:P&gt;1))},countifs({unique(filter('Students (Vertical)'!O:O,'Students (Vertical)'!C:C=B419,'Students (Vertical)'!O:O&lt;&gt;"""",'Students (Vertical)'!P:P&gt;1));unique(filter('Students (Vertical)'"&amp;"!O:O,'Students (Vertical)'!C:C=E419,'Students (Vertical)'!O:O&lt;&gt;"""",'Students (Vertical)'!P:P&gt;1))},{unique(filter('Students (Vertical)'!O:O,'Students (Vertical)'!C:C=B419,'Students (Vertical)'!O:O&lt;&gt;"""",'Students (Vertical)'!P:P&gt;1));unique(filter('Student"&amp;"s (Vertical)'!O:O,'Students (Vertical)'!C:C=E419,'Students (Vertical)'!O:O&lt;&gt;"""",'Students (Vertical)'!P:P&gt;1))})&gt;1))),""""),"""")"),"")</f>
        <v/>
      </c>
      <c r="K419" s="96" t="str">
        <f>IFERROR(__xludf.DUMMYFUNCTION("iferror(join("", "",unique(filter({filter('Students (Vertical)'!D:D,'Students (Vertical)'!C:C=B419,'Students (Vertical)'!D:D&lt;&gt;"""");filter('Students (Vertical)'!D:D,'Students (Vertical)'!C:C=E419,'Students (Vertical)'!D:D&lt;&gt;"""")},countifs({filter('Student"&amp;"s (Vertical)'!D:D,'Students (Vertical)'!C:C=B419,'Students (Vertical)'!D:D&lt;&gt;"""");filter('Students (Vertical)'!D:D,'Students (Vertical)'!C:C=E419,'Students (Vertical)'!D:D&lt;&gt;"""")},{filter('Students (Vertical)'!D:D,'Students (Vertical)'!C:C=B419,'Students "&amp;"(Vertical)'!D:D&lt;&gt;"""");filter('Students (Vertical)'!D:D,'Students (Vertical)'!C:C=E419,'Students (Vertical)'!D:D&lt;&gt;"""")})&gt;1))),"""")"),"")</f>
        <v/>
      </c>
      <c r="L419" s="96"/>
      <c r="M419" s="96"/>
    </row>
    <row r="420" hidden="1">
      <c r="A420" s="8" t="s">
        <v>8</v>
      </c>
      <c r="C420" s="8" t="s">
        <v>8</v>
      </c>
      <c r="D420" s="8" t="s">
        <v>8</v>
      </c>
      <c r="F420" s="8" t="s">
        <v>8</v>
      </c>
      <c r="G420" s="8" t="s">
        <v>8</v>
      </c>
      <c r="I420" s="94" t="str">
        <f>IFERROR(__xludf.DUMMYFUNCTION("if(H420=""Must be Together"",iferror(join("", "",unique(filter({filter('Students (Vertical)'!O:O,'Students (Vertical)'!C:C=B420,'Students (Vertical)'!O:O&lt;&gt;"""");filter('Students (Vertical)'!O:O,'Students (Vertical)'!C:C=E420,'Students (Vertical)'!O:O&lt;&gt;"""&amp;""")},countifs({filter('Students (Vertical)'!O:O,'Students (Vertical)'!C:C=B420,'Students (Vertical)'!O:O&lt;&gt;"""");filter('Students (Vertical)'!O:O,'Students (Vertical)'!C:C=E420,'Students (Vertical)'!O:O&lt;&gt;"""")},{filter('Students (Vertical)'!O:O,'Students ("&amp;"Vertical)'!C:C=B420,'Students (Vertical)'!O:O&lt;&gt;"""");filter('Students (Vertical)'!O:O,'Students (Vertical)'!C:C=E420,'Students (Vertical)'!O:O&lt;&gt;"""")})&gt;1))),""No shared courses""),"""")"),"")</f>
        <v/>
      </c>
      <c r="J420" s="94" t="str">
        <f>IFERROR(__xludf.DUMMYFUNCTION("if(H420=""Can't be Together"",iferror(join("", "",unique(filter({unique(filter('Students (Vertical)'!O:O,'Students (Vertical)'!C:C=B420,'Students (Vertical)'!O:O&lt;&gt;"""",'Students (Vertical)'!P:P&gt;1));unique(filter('Students (Vertical)'!O:O,'Students (Vertic"&amp;"al)'!C:C=E420,'Students (Vertical)'!O:O&lt;&gt;"""",'Students (Vertical)'!P:P&gt;1))},countifs({unique(filter('Students (Vertical)'!O:O,'Students (Vertical)'!C:C=B420,'Students (Vertical)'!O:O&lt;&gt;"""",'Students (Vertical)'!P:P&gt;1));unique(filter('Students (Vertical)'"&amp;"!O:O,'Students (Vertical)'!C:C=E420,'Students (Vertical)'!O:O&lt;&gt;"""",'Students (Vertical)'!P:P&gt;1))},{unique(filter('Students (Vertical)'!O:O,'Students (Vertical)'!C:C=B420,'Students (Vertical)'!O:O&lt;&gt;"""",'Students (Vertical)'!P:P&gt;1));unique(filter('Student"&amp;"s (Vertical)'!O:O,'Students (Vertical)'!C:C=E420,'Students (Vertical)'!O:O&lt;&gt;"""",'Students (Vertical)'!P:P&gt;1))})&gt;1))),""""),"""")"),"")</f>
        <v/>
      </c>
      <c r="K420" s="96" t="str">
        <f>IFERROR(__xludf.DUMMYFUNCTION("iferror(join("", "",unique(filter({filter('Students (Vertical)'!D:D,'Students (Vertical)'!C:C=B420,'Students (Vertical)'!D:D&lt;&gt;"""");filter('Students (Vertical)'!D:D,'Students (Vertical)'!C:C=E420,'Students (Vertical)'!D:D&lt;&gt;"""")},countifs({filter('Student"&amp;"s (Vertical)'!D:D,'Students (Vertical)'!C:C=B420,'Students (Vertical)'!D:D&lt;&gt;"""");filter('Students (Vertical)'!D:D,'Students (Vertical)'!C:C=E420,'Students (Vertical)'!D:D&lt;&gt;"""")},{filter('Students (Vertical)'!D:D,'Students (Vertical)'!C:C=B420,'Students "&amp;"(Vertical)'!D:D&lt;&gt;"""");filter('Students (Vertical)'!D:D,'Students (Vertical)'!C:C=E420,'Students (Vertical)'!D:D&lt;&gt;"""")})&gt;1))),"""")"),"")</f>
        <v/>
      </c>
      <c r="L420" s="96"/>
      <c r="M420" s="96"/>
    </row>
    <row r="421" hidden="1">
      <c r="A421" s="8" t="s">
        <v>8</v>
      </c>
      <c r="C421" s="8" t="s">
        <v>8</v>
      </c>
      <c r="D421" s="8" t="s">
        <v>8</v>
      </c>
      <c r="F421" s="8" t="s">
        <v>8</v>
      </c>
      <c r="G421" s="8" t="s">
        <v>8</v>
      </c>
      <c r="I421" s="94" t="str">
        <f>IFERROR(__xludf.DUMMYFUNCTION("if(H421=""Must be Together"",iferror(join("", "",unique(filter({filter('Students (Vertical)'!O:O,'Students (Vertical)'!C:C=B421,'Students (Vertical)'!O:O&lt;&gt;"""");filter('Students (Vertical)'!O:O,'Students (Vertical)'!C:C=E421,'Students (Vertical)'!O:O&lt;&gt;"""&amp;""")},countifs({filter('Students (Vertical)'!O:O,'Students (Vertical)'!C:C=B421,'Students (Vertical)'!O:O&lt;&gt;"""");filter('Students (Vertical)'!O:O,'Students (Vertical)'!C:C=E421,'Students (Vertical)'!O:O&lt;&gt;"""")},{filter('Students (Vertical)'!O:O,'Students ("&amp;"Vertical)'!C:C=B421,'Students (Vertical)'!O:O&lt;&gt;"""");filter('Students (Vertical)'!O:O,'Students (Vertical)'!C:C=E421,'Students (Vertical)'!O:O&lt;&gt;"""")})&gt;1))),""No shared courses""),"""")"),"")</f>
        <v/>
      </c>
      <c r="J421" s="94" t="str">
        <f>IFERROR(__xludf.DUMMYFUNCTION("if(H421=""Can't be Together"",iferror(join("", "",unique(filter({unique(filter('Students (Vertical)'!O:O,'Students (Vertical)'!C:C=B421,'Students (Vertical)'!O:O&lt;&gt;"""",'Students (Vertical)'!P:P&gt;1));unique(filter('Students (Vertical)'!O:O,'Students (Vertic"&amp;"al)'!C:C=E421,'Students (Vertical)'!O:O&lt;&gt;"""",'Students (Vertical)'!P:P&gt;1))},countifs({unique(filter('Students (Vertical)'!O:O,'Students (Vertical)'!C:C=B421,'Students (Vertical)'!O:O&lt;&gt;"""",'Students (Vertical)'!P:P&gt;1));unique(filter('Students (Vertical)'"&amp;"!O:O,'Students (Vertical)'!C:C=E421,'Students (Vertical)'!O:O&lt;&gt;"""",'Students (Vertical)'!P:P&gt;1))},{unique(filter('Students (Vertical)'!O:O,'Students (Vertical)'!C:C=B421,'Students (Vertical)'!O:O&lt;&gt;"""",'Students (Vertical)'!P:P&gt;1));unique(filter('Student"&amp;"s (Vertical)'!O:O,'Students (Vertical)'!C:C=E421,'Students (Vertical)'!O:O&lt;&gt;"""",'Students (Vertical)'!P:P&gt;1))})&gt;1))),""""),"""")"),"")</f>
        <v/>
      </c>
      <c r="K421" s="96" t="str">
        <f>IFERROR(__xludf.DUMMYFUNCTION("iferror(join("", "",unique(filter({filter('Students (Vertical)'!D:D,'Students (Vertical)'!C:C=B421,'Students (Vertical)'!D:D&lt;&gt;"""");filter('Students (Vertical)'!D:D,'Students (Vertical)'!C:C=E421,'Students (Vertical)'!D:D&lt;&gt;"""")},countifs({filter('Student"&amp;"s (Vertical)'!D:D,'Students (Vertical)'!C:C=B421,'Students (Vertical)'!D:D&lt;&gt;"""");filter('Students (Vertical)'!D:D,'Students (Vertical)'!C:C=E421,'Students (Vertical)'!D:D&lt;&gt;"""")},{filter('Students (Vertical)'!D:D,'Students (Vertical)'!C:C=B421,'Students "&amp;"(Vertical)'!D:D&lt;&gt;"""");filter('Students (Vertical)'!D:D,'Students (Vertical)'!C:C=E421,'Students (Vertical)'!D:D&lt;&gt;"""")})&gt;1))),"""")"),"")</f>
        <v/>
      </c>
      <c r="L421" s="96"/>
      <c r="M421" s="96"/>
    </row>
    <row r="422" hidden="1">
      <c r="A422" s="8" t="s">
        <v>8</v>
      </c>
      <c r="C422" s="8" t="s">
        <v>8</v>
      </c>
      <c r="D422" s="8" t="s">
        <v>8</v>
      </c>
      <c r="F422" s="8" t="s">
        <v>8</v>
      </c>
      <c r="G422" s="8" t="s">
        <v>8</v>
      </c>
      <c r="I422" s="94" t="str">
        <f>IFERROR(__xludf.DUMMYFUNCTION("if(H422=""Must be Together"",iferror(join("", "",unique(filter({filter('Students (Vertical)'!O:O,'Students (Vertical)'!C:C=B422,'Students (Vertical)'!O:O&lt;&gt;"""");filter('Students (Vertical)'!O:O,'Students (Vertical)'!C:C=E422,'Students (Vertical)'!O:O&lt;&gt;"""&amp;""")},countifs({filter('Students (Vertical)'!O:O,'Students (Vertical)'!C:C=B422,'Students (Vertical)'!O:O&lt;&gt;"""");filter('Students (Vertical)'!O:O,'Students (Vertical)'!C:C=E422,'Students (Vertical)'!O:O&lt;&gt;"""")},{filter('Students (Vertical)'!O:O,'Students ("&amp;"Vertical)'!C:C=B422,'Students (Vertical)'!O:O&lt;&gt;"""");filter('Students (Vertical)'!O:O,'Students (Vertical)'!C:C=E422,'Students (Vertical)'!O:O&lt;&gt;"""")})&gt;1))),""No shared courses""),"""")"),"")</f>
        <v/>
      </c>
      <c r="J422" s="94" t="str">
        <f>IFERROR(__xludf.DUMMYFUNCTION("if(H422=""Can't be Together"",iferror(join("", "",unique(filter({unique(filter('Students (Vertical)'!O:O,'Students (Vertical)'!C:C=B422,'Students (Vertical)'!O:O&lt;&gt;"""",'Students (Vertical)'!P:P&gt;1));unique(filter('Students (Vertical)'!O:O,'Students (Vertic"&amp;"al)'!C:C=E422,'Students (Vertical)'!O:O&lt;&gt;"""",'Students (Vertical)'!P:P&gt;1))},countifs({unique(filter('Students (Vertical)'!O:O,'Students (Vertical)'!C:C=B422,'Students (Vertical)'!O:O&lt;&gt;"""",'Students (Vertical)'!P:P&gt;1));unique(filter('Students (Vertical)'"&amp;"!O:O,'Students (Vertical)'!C:C=E422,'Students (Vertical)'!O:O&lt;&gt;"""",'Students (Vertical)'!P:P&gt;1))},{unique(filter('Students (Vertical)'!O:O,'Students (Vertical)'!C:C=B422,'Students (Vertical)'!O:O&lt;&gt;"""",'Students (Vertical)'!P:P&gt;1));unique(filter('Student"&amp;"s (Vertical)'!O:O,'Students (Vertical)'!C:C=E422,'Students (Vertical)'!O:O&lt;&gt;"""",'Students (Vertical)'!P:P&gt;1))})&gt;1))),""""),"""")"),"")</f>
        <v/>
      </c>
      <c r="K422" s="96" t="str">
        <f>IFERROR(__xludf.DUMMYFUNCTION("iferror(join("", "",unique(filter({filter('Students (Vertical)'!D:D,'Students (Vertical)'!C:C=B422,'Students (Vertical)'!D:D&lt;&gt;"""");filter('Students (Vertical)'!D:D,'Students (Vertical)'!C:C=E422,'Students (Vertical)'!D:D&lt;&gt;"""")},countifs({filter('Student"&amp;"s (Vertical)'!D:D,'Students (Vertical)'!C:C=B422,'Students (Vertical)'!D:D&lt;&gt;"""");filter('Students (Vertical)'!D:D,'Students (Vertical)'!C:C=E422,'Students (Vertical)'!D:D&lt;&gt;"""")},{filter('Students (Vertical)'!D:D,'Students (Vertical)'!C:C=B422,'Students "&amp;"(Vertical)'!D:D&lt;&gt;"""");filter('Students (Vertical)'!D:D,'Students (Vertical)'!C:C=E422,'Students (Vertical)'!D:D&lt;&gt;"""")})&gt;1))),"""")"),"")</f>
        <v/>
      </c>
      <c r="L422" s="96"/>
      <c r="M422" s="96"/>
    </row>
    <row r="423" hidden="1">
      <c r="A423" s="8" t="s">
        <v>8</v>
      </c>
      <c r="C423" s="8" t="s">
        <v>8</v>
      </c>
      <c r="D423" s="8" t="s">
        <v>8</v>
      </c>
      <c r="F423" s="8" t="s">
        <v>8</v>
      </c>
      <c r="G423" s="8" t="s">
        <v>8</v>
      </c>
      <c r="I423" s="94" t="str">
        <f>IFERROR(__xludf.DUMMYFUNCTION("if(H423=""Must be Together"",iferror(join("", "",unique(filter({filter('Students (Vertical)'!O:O,'Students (Vertical)'!C:C=B423,'Students (Vertical)'!O:O&lt;&gt;"""");filter('Students (Vertical)'!O:O,'Students (Vertical)'!C:C=E423,'Students (Vertical)'!O:O&lt;&gt;"""&amp;""")},countifs({filter('Students (Vertical)'!O:O,'Students (Vertical)'!C:C=B423,'Students (Vertical)'!O:O&lt;&gt;"""");filter('Students (Vertical)'!O:O,'Students (Vertical)'!C:C=E423,'Students (Vertical)'!O:O&lt;&gt;"""")},{filter('Students (Vertical)'!O:O,'Students ("&amp;"Vertical)'!C:C=B423,'Students (Vertical)'!O:O&lt;&gt;"""");filter('Students (Vertical)'!O:O,'Students (Vertical)'!C:C=E423,'Students (Vertical)'!O:O&lt;&gt;"""")})&gt;1))),""No shared courses""),"""")"),"")</f>
        <v/>
      </c>
      <c r="J423" s="94" t="str">
        <f>IFERROR(__xludf.DUMMYFUNCTION("if(H423=""Can't be Together"",iferror(join("", "",unique(filter({unique(filter('Students (Vertical)'!O:O,'Students (Vertical)'!C:C=B423,'Students (Vertical)'!O:O&lt;&gt;"""",'Students (Vertical)'!P:P&gt;1));unique(filter('Students (Vertical)'!O:O,'Students (Vertic"&amp;"al)'!C:C=E423,'Students (Vertical)'!O:O&lt;&gt;"""",'Students (Vertical)'!P:P&gt;1))},countifs({unique(filter('Students (Vertical)'!O:O,'Students (Vertical)'!C:C=B423,'Students (Vertical)'!O:O&lt;&gt;"""",'Students (Vertical)'!P:P&gt;1));unique(filter('Students (Vertical)'"&amp;"!O:O,'Students (Vertical)'!C:C=E423,'Students (Vertical)'!O:O&lt;&gt;"""",'Students (Vertical)'!P:P&gt;1))},{unique(filter('Students (Vertical)'!O:O,'Students (Vertical)'!C:C=B423,'Students (Vertical)'!O:O&lt;&gt;"""",'Students (Vertical)'!P:P&gt;1));unique(filter('Student"&amp;"s (Vertical)'!O:O,'Students (Vertical)'!C:C=E423,'Students (Vertical)'!O:O&lt;&gt;"""",'Students (Vertical)'!P:P&gt;1))})&gt;1))),""""),"""")"),"")</f>
        <v/>
      </c>
      <c r="K423" s="96" t="str">
        <f>IFERROR(__xludf.DUMMYFUNCTION("iferror(join("", "",unique(filter({filter('Students (Vertical)'!D:D,'Students (Vertical)'!C:C=B423,'Students (Vertical)'!D:D&lt;&gt;"""");filter('Students (Vertical)'!D:D,'Students (Vertical)'!C:C=E423,'Students (Vertical)'!D:D&lt;&gt;"""")},countifs({filter('Student"&amp;"s (Vertical)'!D:D,'Students (Vertical)'!C:C=B423,'Students (Vertical)'!D:D&lt;&gt;"""");filter('Students (Vertical)'!D:D,'Students (Vertical)'!C:C=E423,'Students (Vertical)'!D:D&lt;&gt;"""")},{filter('Students (Vertical)'!D:D,'Students (Vertical)'!C:C=B423,'Students "&amp;"(Vertical)'!D:D&lt;&gt;"""");filter('Students (Vertical)'!D:D,'Students (Vertical)'!C:C=E423,'Students (Vertical)'!D:D&lt;&gt;"""")})&gt;1))),"""")"),"")</f>
        <v/>
      </c>
      <c r="L423" s="96"/>
      <c r="M423" s="96"/>
    </row>
    <row r="424" hidden="1">
      <c r="A424" s="8" t="s">
        <v>8</v>
      </c>
      <c r="C424" s="8" t="s">
        <v>8</v>
      </c>
      <c r="D424" s="8" t="s">
        <v>8</v>
      </c>
      <c r="F424" s="8" t="s">
        <v>8</v>
      </c>
      <c r="G424" s="8" t="s">
        <v>8</v>
      </c>
      <c r="I424" s="94" t="str">
        <f>IFERROR(__xludf.DUMMYFUNCTION("if(H424=""Must be Together"",iferror(join("", "",unique(filter({filter('Students (Vertical)'!O:O,'Students (Vertical)'!C:C=B424,'Students (Vertical)'!O:O&lt;&gt;"""");filter('Students (Vertical)'!O:O,'Students (Vertical)'!C:C=E424,'Students (Vertical)'!O:O&lt;&gt;"""&amp;""")},countifs({filter('Students (Vertical)'!O:O,'Students (Vertical)'!C:C=B424,'Students (Vertical)'!O:O&lt;&gt;"""");filter('Students (Vertical)'!O:O,'Students (Vertical)'!C:C=E424,'Students (Vertical)'!O:O&lt;&gt;"""")},{filter('Students (Vertical)'!O:O,'Students ("&amp;"Vertical)'!C:C=B424,'Students (Vertical)'!O:O&lt;&gt;"""");filter('Students (Vertical)'!O:O,'Students (Vertical)'!C:C=E424,'Students (Vertical)'!O:O&lt;&gt;"""")})&gt;1))),""No shared courses""),"""")"),"")</f>
        <v/>
      </c>
      <c r="J424" s="94" t="str">
        <f>IFERROR(__xludf.DUMMYFUNCTION("if(H424=""Can't be Together"",iferror(join("", "",unique(filter({unique(filter('Students (Vertical)'!O:O,'Students (Vertical)'!C:C=B424,'Students (Vertical)'!O:O&lt;&gt;"""",'Students (Vertical)'!P:P&gt;1));unique(filter('Students (Vertical)'!O:O,'Students (Vertic"&amp;"al)'!C:C=E424,'Students (Vertical)'!O:O&lt;&gt;"""",'Students (Vertical)'!P:P&gt;1))},countifs({unique(filter('Students (Vertical)'!O:O,'Students (Vertical)'!C:C=B424,'Students (Vertical)'!O:O&lt;&gt;"""",'Students (Vertical)'!P:P&gt;1));unique(filter('Students (Vertical)'"&amp;"!O:O,'Students (Vertical)'!C:C=E424,'Students (Vertical)'!O:O&lt;&gt;"""",'Students (Vertical)'!P:P&gt;1))},{unique(filter('Students (Vertical)'!O:O,'Students (Vertical)'!C:C=B424,'Students (Vertical)'!O:O&lt;&gt;"""",'Students (Vertical)'!P:P&gt;1));unique(filter('Student"&amp;"s (Vertical)'!O:O,'Students (Vertical)'!C:C=E424,'Students (Vertical)'!O:O&lt;&gt;"""",'Students (Vertical)'!P:P&gt;1))})&gt;1))),""""),"""")"),"")</f>
        <v/>
      </c>
      <c r="K424" s="96" t="str">
        <f>IFERROR(__xludf.DUMMYFUNCTION("iferror(join("", "",unique(filter({filter('Students (Vertical)'!D:D,'Students (Vertical)'!C:C=B424,'Students (Vertical)'!D:D&lt;&gt;"""");filter('Students (Vertical)'!D:D,'Students (Vertical)'!C:C=E424,'Students (Vertical)'!D:D&lt;&gt;"""")},countifs({filter('Student"&amp;"s (Vertical)'!D:D,'Students (Vertical)'!C:C=B424,'Students (Vertical)'!D:D&lt;&gt;"""");filter('Students (Vertical)'!D:D,'Students (Vertical)'!C:C=E424,'Students (Vertical)'!D:D&lt;&gt;"""")},{filter('Students (Vertical)'!D:D,'Students (Vertical)'!C:C=B424,'Students "&amp;"(Vertical)'!D:D&lt;&gt;"""");filter('Students (Vertical)'!D:D,'Students (Vertical)'!C:C=E424,'Students (Vertical)'!D:D&lt;&gt;"""")})&gt;1))),"""")"),"")</f>
        <v/>
      </c>
      <c r="L424" s="96"/>
      <c r="M424" s="96"/>
    </row>
    <row r="425" hidden="1">
      <c r="A425" s="8" t="s">
        <v>8</v>
      </c>
      <c r="C425" s="8" t="s">
        <v>8</v>
      </c>
      <c r="D425" s="8" t="s">
        <v>8</v>
      </c>
      <c r="F425" s="8" t="s">
        <v>8</v>
      </c>
      <c r="G425" s="8" t="s">
        <v>8</v>
      </c>
      <c r="I425" s="94" t="str">
        <f>IFERROR(__xludf.DUMMYFUNCTION("if(H425=""Must be Together"",iferror(join("", "",unique(filter({filter('Students (Vertical)'!O:O,'Students (Vertical)'!C:C=B425,'Students (Vertical)'!O:O&lt;&gt;"""");filter('Students (Vertical)'!O:O,'Students (Vertical)'!C:C=E425,'Students (Vertical)'!O:O&lt;&gt;"""&amp;""")},countifs({filter('Students (Vertical)'!O:O,'Students (Vertical)'!C:C=B425,'Students (Vertical)'!O:O&lt;&gt;"""");filter('Students (Vertical)'!O:O,'Students (Vertical)'!C:C=E425,'Students (Vertical)'!O:O&lt;&gt;"""")},{filter('Students (Vertical)'!O:O,'Students ("&amp;"Vertical)'!C:C=B425,'Students (Vertical)'!O:O&lt;&gt;"""");filter('Students (Vertical)'!O:O,'Students (Vertical)'!C:C=E425,'Students (Vertical)'!O:O&lt;&gt;"""")})&gt;1))),""No shared courses""),"""")"),"")</f>
        <v/>
      </c>
      <c r="J425" s="94" t="str">
        <f>IFERROR(__xludf.DUMMYFUNCTION("if(H425=""Can't be Together"",iferror(join("", "",unique(filter({unique(filter('Students (Vertical)'!O:O,'Students (Vertical)'!C:C=B425,'Students (Vertical)'!O:O&lt;&gt;"""",'Students (Vertical)'!P:P&gt;1));unique(filter('Students (Vertical)'!O:O,'Students (Vertic"&amp;"al)'!C:C=E425,'Students (Vertical)'!O:O&lt;&gt;"""",'Students (Vertical)'!P:P&gt;1))},countifs({unique(filter('Students (Vertical)'!O:O,'Students (Vertical)'!C:C=B425,'Students (Vertical)'!O:O&lt;&gt;"""",'Students (Vertical)'!P:P&gt;1));unique(filter('Students (Vertical)'"&amp;"!O:O,'Students (Vertical)'!C:C=E425,'Students (Vertical)'!O:O&lt;&gt;"""",'Students (Vertical)'!P:P&gt;1))},{unique(filter('Students (Vertical)'!O:O,'Students (Vertical)'!C:C=B425,'Students (Vertical)'!O:O&lt;&gt;"""",'Students (Vertical)'!P:P&gt;1));unique(filter('Student"&amp;"s (Vertical)'!O:O,'Students (Vertical)'!C:C=E425,'Students (Vertical)'!O:O&lt;&gt;"""",'Students (Vertical)'!P:P&gt;1))})&gt;1))),""""),"""")"),"")</f>
        <v/>
      </c>
      <c r="K425" s="96" t="str">
        <f>IFERROR(__xludf.DUMMYFUNCTION("iferror(join("", "",unique(filter({filter('Students (Vertical)'!D:D,'Students (Vertical)'!C:C=B425,'Students (Vertical)'!D:D&lt;&gt;"""");filter('Students (Vertical)'!D:D,'Students (Vertical)'!C:C=E425,'Students (Vertical)'!D:D&lt;&gt;"""")},countifs({filter('Student"&amp;"s (Vertical)'!D:D,'Students (Vertical)'!C:C=B425,'Students (Vertical)'!D:D&lt;&gt;"""");filter('Students (Vertical)'!D:D,'Students (Vertical)'!C:C=E425,'Students (Vertical)'!D:D&lt;&gt;"""")},{filter('Students (Vertical)'!D:D,'Students (Vertical)'!C:C=B425,'Students "&amp;"(Vertical)'!D:D&lt;&gt;"""");filter('Students (Vertical)'!D:D,'Students (Vertical)'!C:C=E425,'Students (Vertical)'!D:D&lt;&gt;"""")})&gt;1))),"""")"),"")</f>
        <v/>
      </c>
      <c r="L425" s="96"/>
      <c r="M425" s="96"/>
    </row>
    <row r="426" hidden="1">
      <c r="A426" s="8" t="s">
        <v>8</v>
      </c>
      <c r="C426" s="8" t="s">
        <v>8</v>
      </c>
      <c r="D426" s="8" t="s">
        <v>8</v>
      </c>
      <c r="F426" s="8" t="s">
        <v>8</v>
      </c>
      <c r="G426" s="8" t="s">
        <v>8</v>
      </c>
      <c r="I426" s="94" t="str">
        <f>IFERROR(__xludf.DUMMYFUNCTION("if(H426=""Must be Together"",iferror(join("", "",unique(filter({filter('Students (Vertical)'!O:O,'Students (Vertical)'!C:C=B426,'Students (Vertical)'!O:O&lt;&gt;"""");filter('Students (Vertical)'!O:O,'Students (Vertical)'!C:C=E426,'Students (Vertical)'!O:O&lt;&gt;"""&amp;""")},countifs({filter('Students (Vertical)'!O:O,'Students (Vertical)'!C:C=B426,'Students (Vertical)'!O:O&lt;&gt;"""");filter('Students (Vertical)'!O:O,'Students (Vertical)'!C:C=E426,'Students (Vertical)'!O:O&lt;&gt;"""")},{filter('Students (Vertical)'!O:O,'Students ("&amp;"Vertical)'!C:C=B426,'Students (Vertical)'!O:O&lt;&gt;"""");filter('Students (Vertical)'!O:O,'Students (Vertical)'!C:C=E426,'Students (Vertical)'!O:O&lt;&gt;"""")})&gt;1))),""No shared courses""),"""")"),"")</f>
        <v/>
      </c>
      <c r="J426" s="94" t="str">
        <f>IFERROR(__xludf.DUMMYFUNCTION("if(H426=""Can't be Together"",iferror(join("", "",unique(filter({unique(filter('Students (Vertical)'!O:O,'Students (Vertical)'!C:C=B426,'Students (Vertical)'!O:O&lt;&gt;"""",'Students (Vertical)'!P:P&gt;1));unique(filter('Students (Vertical)'!O:O,'Students (Vertic"&amp;"al)'!C:C=E426,'Students (Vertical)'!O:O&lt;&gt;"""",'Students (Vertical)'!P:P&gt;1))},countifs({unique(filter('Students (Vertical)'!O:O,'Students (Vertical)'!C:C=B426,'Students (Vertical)'!O:O&lt;&gt;"""",'Students (Vertical)'!P:P&gt;1));unique(filter('Students (Vertical)'"&amp;"!O:O,'Students (Vertical)'!C:C=E426,'Students (Vertical)'!O:O&lt;&gt;"""",'Students (Vertical)'!P:P&gt;1))},{unique(filter('Students (Vertical)'!O:O,'Students (Vertical)'!C:C=B426,'Students (Vertical)'!O:O&lt;&gt;"""",'Students (Vertical)'!P:P&gt;1));unique(filter('Student"&amp;"s (Vertical)'!O:O,'Students (Vertical)'!C:C=E426,'Students (Vertical)'!O:O&lt;&gt;"""",'Students (Vertical)'!P:P&gt;1))})&gt;1))),""""),"""")"),"")</f>
        <v/>
      </c>
      <c r="K426" s="96" t="str">
        <f>IFERROR(__xludf.DUMMYFUNCTION("iferror(join("", "",unique(filter({filter('Students (Vertical)'!D:D,'Students (Vertical)'!C:C=B426,'Students (Vertical)'!D:D&lt;&gt;"""");filter('Students (Vertical)'!D:D,'Students (Vertical)'!C:C=E426,'Students (Vertical)'!D:D&lt;&gt;"""")},countifs({filter('Student"&amp;"s (Vertical)'!D:D,'Students (Vertical)'!C:C=B426,'Students (Vertical)'!D:D&lt;&gt;"""");filter('Students (Vertical)'!D:D,'Students (Vertical)'!C:C=E426,'Students (Vertical)'!D:D&lt;&gt;"""")},{filter('Students (Vertical)'!D:D,'Students (Vertical)'!C:C=B426,'Students "&amp;"(Vertical)'!D:D&lt;&gt;"""");filter('Students (Vertical)'!D:D,'Students (Vertical)'!C:C=E426,'Students (Vertical)'!D:D&lt;&gt;"""")})&gt;1))),"""")"),"")</f>
        <v/>
      </c>
      <c r="L426" s="96"/>
      <c r="M426" s="96"/>
    </row>
    <row r="427" hidden="1">
      <c r="A427" s="8" t="s">
        <v>8</v>
      </c>
      <c r="C427" s="8" t="s">
        <v>8</v>
      </c>
      <c r="D427" s="8" t="s">
        <v>8</v>
      </c>
      <c r="F427" s="8" t="s">
        <v>8</v>
      </c>
      <c r="G427" s="8" t="s">
        <v>8</v>
      </c>
      <c r="I427" s="94" t="str">
        <f>IFERROR(__xludf.DUMMYFUNCTION("if(H427=""Must be Together"",iferror(join("", "",unique(filter({filter('Students (Vertical)'!O:O,'Students (Vertical)'!C:C=B427,'Students (Vertical)'!O:O&lt;&gt;"""");filter('Students (Vertical)'!O:O,'Students (Vertical)'!C:C=E427,'Students (Vertical)'!O:O&lt;&gt;"""&amp;""")},countifs({filter('Students (Vertical)'!O:O,'Students (Vertical)'!C:C=B427,'Students (Vertical)'!O:O&lt;&gt;"""");filter('Students (Vertical)'!O:O,'Students (Vertical)'!C:C=E427,'Students (Vertical)'!O:O&lt;&gt;"""")},{filter('Students (Vertical)'!O:O,'Students ("&amp;"Vertical)'!C:C=B427,'Students (Vertical)'!O:O&lt;&gt;"""");filter('Students (Vertical)'!O:O,'Students (Vertical)'!C:C=E427,'Students (Vertical)'!O:O&lt;&gt;"""")})&gt;1))),""No shared courses""),"""")"),"")</f>
        <v/>
      </c>
      <c r="J427" s="94" t="str">
        <f>IFERROR(__xludf.DUMMYFUNCTION("if(H427=""Can't be Together"",iferror(join("", "",unique(filter({unique(filter('Students (Vertical)'!O:O,'Students (Vertical)'!C:C=B427,'Students (Vertical)'!O:O&lt;&gt;"""",'Students (Vertical)'!P:P&gt;1));unique(filter('Students (Vertical)'!O:O,'Students (Vertic"&amp;"al)'!C:C=E427,'Students (Vertical)'!O:O&lt;&gt;"""",'Students (Vertical)'!P:P&gt;1))},countifs({unique(filter('Students (Vertical)'!O:O,'Students (Vertical)'!C:C=B427,'Students (Vertical)'!O:O&lt;&gt;"""",'Students (Vertical)'!P:P&gt;1));unique(filter('Students (Vertical)'"&amp;"!O:O,'Students (Vertical)'!C:C=E427,'Students (Vertical)'!O:O&lt;&gt;"""",'Students (Vertical)'!P:P&gt;1))},{unique(filter('Students (Vertical)'!O:O,'Students (Vertical)'!C:C=B427,'Students (Vertical)'!O:O&lt;&gt;"""",'Students (Vertical)'!P:P&gt;1));unique(filter('Student"&amp;"s (Vertical)'!O:O,'Students (Vertical)'!C:C=E427,'Students (Vertical)'!O:O&lt;&gt;"""",'Students (Vertical)'!P:P&gt;1))})&gt;1))),""""),"""")"),"")</f>
        <v/>
      </c>
      <c r="K427" s="96" t="str">
        <f>IFERROR(__xludf.DUMMYFUNCTION("iferror(join("", "",unique(filter({filter('Students (Vertical)'!D:D,'Students (Vertical)'!C:C=B427,'Students (Vertical)'!D:D&lt;&gt;"""");filter('Students (Vertical)'!D:D,'Students (Vertical)'!C:C=E427,'Students (Vertical)'!D:D&lt;&gt;"""")},countifs({filter('Student"&amp;"s (Vertical)'!D:D,'Students (Vertical)'!C:C=B427,'Students (Vertical)'!D:D&lt;&gt;"""");filter('Students (Vertical)'!D:D,'Students (Vertical)'!C:C=E427,'Students (Vertical)'!D:D&lt;&gt;"""")},{filter('Students (Vertical)'!D:D,'Students (Vertical)'!C:C=B427,'Students "&amp;"(Vertical)'!D:D&lt;&gt;"""");filter('Students (Vertical)'!D:D,'Students (Vertical)'!C:C=E427,'Students (Vertical)'!D:D&lt;&gt;"""")})&gt;1))),"""")"),"")</f>
        <v/>
      </c>
      <c r="L427" s="96"/>
      <c r="M427" s="96"/>
    </row>
    <row r="428" hidden="1">
      <c r="A428" s="8" t="s">
        <v>8</v>
      </c>
      <c r="C428" s="8" t="s">
        <v>8</v>
      </c>
      <c r="D428" s="8" t="s">
        <v>8</v>
      </c>
      <c r="F428" s="8" t="s">
        <v>8</v>
      </c>
      <c r="G428" s="8" t="s">
        <v>8</v>
      </c>
      <c r="I428" s="94" t="str">
        <f>IFERROR(__xludf.DUMMYFUNCTION("if(H428=""Must be Together"",iferror(join("", "",unique(filter({filter('Students (Vertical)'!O:O,'Students (Vertical)'!C:C=B428,'Students (Vertical)'!O:O&lt;&gt;"""");filter('Students (Vertical)'!O:O,'Students (Vertical)'!C:C=E428,'Students (Vertical)'!O:O&lt;&gt;"""&amp;""")},countifs({filter('Students (Vertical)'!O:O,'Students (Vertical)'!C:C=B428,'Students (Vertical)'!O:O&lt;&gt;"""");filter('Students (Vertical)'!O:O,'Students (Vertical)'!C:C=E428,'Students (Vertical)'!O:O&lt;&gt;"""")},{filter('Students (Vertical)'!O:O,'Students ("&amp;"Vertical)'!C:C=B428,'Students (Vertical)'!O:O&lt;&gt;"""");filter('Students (Vertical)'!O:O,'Students (Vertical)'!C:C=E428,'Students (Vertical)'!O:O&lt;&gt;"""")})&gt;1))),""No shared courses""),"""")"),"")</f>
        <v/>
      </c>
      <c r="J428" s="94" t="str">
        <f>IFERROR(__xludf.DUMMYFUNCTION("if(H428=""Can't be Together"",iferror(join("", "",unique(filter({unique(filter('Students (Vertical)'!O:O,'Students (Vertical)'!C:C=B428,'Students (Vertical)'!O:O&lt;&gt;"""",'Students (Vertical)'!P:P&gt;1));unique(filter('Students (Vertical)'!O:O,'Students (Vertic"&amp;"al)'!C:C=E428,'Students (Vertical)'!O:O&lt;&gt;"""",'Students (Vertical)'!P:P&gt;1))},countifs({unique(filter('Students (Vertical)'!O:O,'Students (Vertical)'!C:C=B428,'Students (Vertical)'!O:O&lt;&gt;"""",'Students (Vertical)'!P:P&gt;1));unique(filter('Students (Vertical)'"&amp;"!O:O,'Students (Vertical)'!C:C=E428,'Students (Vertical)'!O:O&lt;&gt;"""",'Students (Vertical)'!P:P&gt;1))},{unique(filter('Students (Vertical)'!O:O,'Students (Vertical)'!C:C=B428,'Students (Vertical)'!O:O&lt;&gt;"""",'Students (Vertical)'!P:P&gt;1));unique(filter('Student"&amp;"s (Vertical)'!O:O,'Students (Vertical)'!C:C=E428,'Students (Vertical)'!O:O&lt;&gt;"""",'Students (Vertical)'!P:P&gt;1))})&gt;1))),""""),"""")"),"")</f>
        <v/>
      </c>
      <c r="K428" s="96" t="str">
        <f>IFERROR(__xludf.DUMMYFUNCTION("iferror(join("", "",unique(filter({filter('Students (Vertical)'!D:D,'Students (Vertical)'!C:C=B428,'Students (Vertical)'!D:D&lt;&gt;"""");filter('Students (Vertical)'!D:D,'Students (Vertical)'!C:C=E428,'Students (Vertical)'!D:D&lt;&gt;"""")},countifs({filter('Student"&amp;"s (Vertical)'!D:D,'Students (Vertical)'!C:C=B428,'Students (Vertical)'!D:D&lt;&gt;"""");filter('Students (Vertical)'!D:D,'Students (Vertical)'!C:C=E428,'Students (Vertical)'!D:D&lt;&gt;"""")},{filter('Students (Vertical)'!D:D,'Students (Vertical)'!C:C=B428,'Students "&amp;"(Vertical)'!D:D&lt;&gt;"""");filter('Students (Vertical)'!D:D,'Students (Vertical)'!C:C=E428,'Students (Vertical)'!D:D&lt;&gt;"""")})&gt;1))),"""")"),"")</f>
        <v/>
      </c>
      <c r="L428" s="96"/>
      <c r="M428" s="96"/>
    </row>
    <row r="429" hidden="1">
      <c r="A429" s="8" t="s">
        <v>8</v>
      </c>
      <c r="C429" s="8" t="s">
        <v>8</v>
      </c>
      <c r="D429" s="8" t="s">
        <v>8</v>
      </c>
      <c r="F429" s="8" t="s">
        <v>8</v>
      </c>
      <c r="G429" s="8" t="s">
        <v>8</v>
      </c>
      <c r="I429" s="94" t="str">
        <f>IFERROR(__xludf.DUMMYFUNCTION("if(H429=""Must be Together"",iferror(join("", "",unique(filter({filter('Students (Vertical)'!O:O,'Students (Vertical)'!C:C=B429,'Students (Vertical)'!O:O&lt;&gt;"""");filter('Students (Vertical)'!O:O,'Students (Vertical)'!C:C=E429,'Students (Vertical)'!O:O&lt;&gt;"""&amp;""")},countifs({filter('Students (Vertical)'!O:O,'Students (Vertical)'!C:C=B429,'Students (Vertical)'!O:O&lt;&gt;"""");filter('Students (Vertical)'!O:O,'Students (Vertical)'!C:C=E429,'Students (Vertical)'!O:O&lt;&gt;"""")},{filter('Students (Vertical)'!O:O,'Students ("&amp;"Vertical)'!C:C=B429,'Students (Vertical)'!O:O&lt;&gt;"""");filter('Students (Vertical)'!O:O,'Students (Vertical)'!C:C=E429,'Students (Vertical)'!O:O&lt;&gt;"""")})&gt;1))),""No shared courses""),"""")"),"")</f>
        <v/>
      </c>
      <c r="J429" s="94" t="str">
        <f>IFERROR(__xludf.DUMMYFUNCTION("if(H429=""Can't be Together"",iferror(join("", "",unique(filter({unique(filter('Students (Vertical)'!O:O,'Students (Vertical)'!C:C=B429,'Students (Vertical)'!O:O&lt;&gt;"""",'Students (Vertical)'!P:P&gt;1));unique(filter('Students (Vertical)'!O:O,'Students (Vertic"&amp;"al)'!C:C=E429,'Students (Vertical)'!O:O&lt;&gt;"""",'Students (Vertical)'!P:P&gt;1))},countifs({unique(filter('Students (Vertical)'!O:O,'Students (Vertical)'!C:C=B429,'Students (Vertical)'!O:O&lt;&gt;"""",'Students (Vertical)'!P:P&gt;1));unique(filter('Students (Vertical)'"&amp;"!O:O,'Students (Vertical)'!C:C=E429,'Students (Vertical)'!O:O&lt;&gt;"""",'Students (Vertical)'!P:P&gt;1))},{unique(filter('Students (Vertical)'!O:O,'Students (Vertical)'!C:C=B429,'Students (Vertical)'!O:O&lt;&gt;"""",'Students (Vertical)'!P:P&gt;1));unique(filter('Student"&amp;"s (Vertical)'!O:O,'Students (Vertical)'!C:C=E429,'Students (Vertical)'!O:O&lt;&gt;"""",'Students (Vertical)'!P:P&gt;1))})&gt;1))),""""),"""")"),"")</f>
        <v/>
      </c>
      <c r="K429" s="96" t="str">
        <f>IFERROR(__xludf.DUMMYFUNCTION("iferror(join("", "",unique(filter({filter('Students (Vertical)'!D:D,'Students (Vertical)'!C:C=B429,'Students (Vertical)'!D:D&lt;&gt;"""");filter('Students (Vertical)'!D:D,'Students (Vertical)'!C:C=E429,'Students (Vertical)'!D:D&lt;&gt;"""")},countifs({filter('Student"&amp;"s (Vertical)'!D:D,'Students (Vertical)'!C:C=B429,'Students (Vertical)'!D:D&lt;&gt;"""");filter('Students (Vertical)'!D:D,'Students (Vertical)'!C:C=E429,'Students (Vertical)'!D:D&lt;&gt;"""")},{filter('Students (Vertical)'!D:D,'Students (Vertical)'!C:C=B429,'Students "&amp;"(Vertical)'!D:D&lt;&gt;"""");filter('Students (Vertical)'!D:D,'Students (Vertical)'!C:C=E429,'Students (Vertical)'!D:D&lt;&gt;"""")})&gt;1))),"""")"),"")</f>
        <v/>
      </c>
      <c r="L429" s="96"/>
      <c r="M429" s="96"/>
    </row>
    <row r="430" hidden="1">
      <c r="A430" s="8" t="s">
        <v>8</v>
      </c>
      <c r="C430" s="8" t="s">
        <v>8</v>
      </c>
      <c r="D430" s="8" t="s">
        <v>8</v>
      </c>
      <c r="F430" s="8" t="s">
        <v>8</v>
      </c>
      <c r="G430" s="8" t="s">
        <v>8</v>
      </c>
      <c r="I430" s="94" t="str">
        <f>IFERROR(__xludf.DUMMYFUNCTION("if(H430=""Must be Together"",iferror(join("", "",unique(filter({filter('Students (Vertical)'!O:O,'Students (Vertical)'!C:C=B430,'Students (Vertical)'!O:O&lt;&gt;"""");filter('Students (Vertical)'!O:O,'Students (Vertical)'!C:C=E430,'Students (Vertical)'!O:O&lt;&gt;"""&amp;""")},countifs({filter('Students (Vertical)'!O:O,'Students (Vertical)'!C:C=B430,'Students (Vertical)'!O:O&lt;&gt;"""");filter('Students (Vertical)'!O:O,'Students (Vertical)'!C:C=E430,'Students (Vertical)'!O:O&lt;&gt;"""")},{filter('Students (Vertical)'!O:O,'Students ("&amp;"Vertical)'!C:C=B430,'Students (Vertical)'!O:O&lt;&gt;"""");filter('Students (Vertical)'!O:O,'Students (Vertical)'!C:C=E430,'Students (Vertical)'!O:O&lt;&gt;"""")})&gt;1))),""No shared courses""),"""")"),"")</f>
        <v/>
      </c>
      <c r="J430" s="94" t="str">
        <f>IFERROR(__xludf.DUMMYFUNCTION("if(H430=""Can't be Together"",iferror(join("", "",unique(filter({unique(filter('Students (Vertical)'!O:O,'Students (Vertical)'!C:C=B430,'Students (Vertical)'!O:O&lt;&gt;"""",'Students (Vertical)'!P:P&gt;1));unique(filter('Students (Vertical)'!O:O,'Students (Vertic"&amp;"al)'!C:C=E430,'Students (Vertical)'!O:O&lt;&gt;"""",'Students (Vertical)'!P:P&gt;1))},countifs({unique(filter('Students (Vertical)'!O:O,'Students (Vertical)'!C:C=B430,'Students (Vertical)'!O:O&lt;&gt;"""",'Students (Vertical)'!P:P&gt;1));unique(filter('Students (Vertical)'"&amp;"!O:O,'Students (Vertical)'!C:C=E430,'Students (Vertical)'!O:O&lt;&gt;"""",'Students (Vertical)'!P:P&gt;1))},{unique(filter('Students (Vertical)'!O:O,'Students (Vertical)'!C:C=B430,'Students (Vertical)'!O:O&lt;&gt;"""",'Students (Vertical)'!P:P&gt;1));unique(filter('Student"&amp;"s (Vertical)'!O:O,'Students (Vertical)'!C:C=E430,'Students (Vertical)'!O:O&lt;&gt;"""",'Students (Vertical)'!P:P&gt;1))})&gt;1))),""""),"""")"),"")</f>
        <v/>
      </c>
      <c r="K430" s="96" t="str">
        <f>IFERROR(__xludf.DUMMYFUNCTION("iferror(join("", "",unique(filter({filter('Students (Vertical)'!D:D,'Students (Vertical)'!C:C=B430,'Students (Vertical)'!D:D&lt;&gt;"""");filter('Students (Vertical)'!D:D,'Students (Vertical)'!C:C=E430,'Students (Vertical)'!D:D&lt;&gt;"""")},countifs({filter('Student"&amp;"s (Vertical)'!D:D,'Students (Vertical)'!C:C=B430,'Students (Vertical)'!D:D&lt;&gt;"""");filter('Students (Vertical)'!D:D,'Students (Vertical)'!C:C=E430,'Students (Vertical)'!D:D&lt;&gt;"""")},{filter('Students (Vertical)'!D:D,'Students (Vertical)'!C:C=B430,'Students "&amp;"(Vertical)'!D:D&lt;&gt;"""");filter('Students (Vertical)'!D:D,'Students (Vertical)'!C:C=E430,'Students (Vertical)'!D:D&lt;&gt;"""")})&gt;1))),"""")"),"")</f>
        <v/>
      </c>
      <c r="L430" s="96"/>
      <c r="M430" s="96"/>
    </row>
    <row r="431" hidden="1">
      <c r="A431" s="8" t="s">
        <v>8</v>
      </c>
      <c r="C431" s="8" t="s">
        <v>8</v>
      </c>
      <c r="D431" s="8" t="s">
        <v>8</v>
      </c>
      <c r="F431" s="8" t="s">
        <v>8</v>
      </c>
      <c r="G431" s="8" t="s">
        <v>8</v>
      </c>
      <c r="I431" s="94" t="str">
        <f>IFERROR(__xludf.DUMMYFUNCTION("if(H431=""Must be Together"",iferror(join("", "",unique(filter({filter('Students (Vertical)'!O:O,'Students (Vertical)'!C:C=B431,'Students (Vertical)'!O:O&lt;&gt;"""");filter('Students (Vertical)'!O:O,'Students (Vertical)'!C:C=E431,'Students (Vertical)'!O:O&lt;&gt;"""&amp;""")},countifs({filter('Students (Vertical)'!O:O,'Students (Vertical)'!C:C=B431,'Students (Vertical)'!O:O&lt;&gt;"""");filter('Students (Vertical)'!O:O,'Students (Vertical)'!C:C=E431,'Students (Vertical)'!O:O&lt;&gt;"""")},{filter('Students (Vertical)'!O:O,'Students ("&amp;"Vertical)'!C:C=B431,'Students (Vertical)'!O:O&lt;&gt;"""");filter('Students (Vertical)'!O:O,'Students (Vertical)'!C:C=E431,'Students (Vertical)'!O:O&lt;&gt;"""")})&gt;1))),""No shared courses""),"""")"),"")</f>
        <v/>
      </c>
      <c r="J431" s="94" t="str">
        <f>IFERROR(__xludf.DUMMYFUNCTION("if(H431=""Can't be Together"",iferror(join("", "",unique(filter({unique(filter('Students (Vertical)'!O:O,'Students (Vertical)'!C:C=B431,'Students (Vertical)'!O:O&lt;&gt;"""",'Students (Vertical)'!P:P&gt;1));unique(filter('Students (Vertical)'!O:O,'Students (Vertic"&amp;"al)'!C:C=E431,'Students (Vertical)'!O:O&lt;&gt;"""",'Students (Vertical)'!P:P&gt;1))},countifs({unique(filter('Students (Vertical)'!O:O,'Students (Vertical)'!C:C=B431,'Students (Vertical)'!O:O&lt;&gt;"""",'Students (Vertical)'!P:P&gt;1));unique(filter('Students (Vertical)'"&amp;"!O:O,'Students (Vertical)'!C:C=E431,'Students (Vertical)'!O:O&lt;&gt;"""",'Students (Vertical)'!P:P&gt;1))},{unique(filter('Students (Vertical)'!O:O,'Students (Vertical)'!C:C=B431,'Students (Vertical)'!O:O&lt;&gt;"""",'Students (Vertical)'!P:P&gt;1));unique(filter('Student"&amp;"s (Vertical)'!O:O,'Students (Vertical)'!C:C=E431,'Students (Vertical)'!O:O&lt;&gt;"""",'Students (Vertical)'!P:P&gt;1))})&gt;1))),""""),"""")"),"")</f>
        <v/>
      </c>
      <c r="K431" s="96" t="str">
        <f>IFERROR(__xludf.DUMMYFUNCTION("iferror(join("", "",unique(filter({filter('Students (Vertical)'!D:D,'Students (Vertical)'!C:C=B431,'Students (Vertical)'!D:D&lt;&gt;"""");filter('Students (Vertical)'!D:D,'Students (Vertical)'!C:C=E431,'Students (Vertical)'!D:D&lt;&gt;"""")},countifs({filter('Student"&amp;"s (Vertical)'!D:D,'Students (Vertical)'!C:C=B431,'Students (Vertical)'!D:D&lt;&gt;"""");filter('Students (Vertical)'!D:D,'Students (Vertical)'!C:C=E431,'Students (Vertical)'!D:D&lt;&gt;"""")},{filter('Students (Vertical)'!D:D,'Students (Vertical)'!C:C=B431,'Students "&amp;"(Vertical)'!D:D&lt;&gt;"""");filter('Students (Vertical)'!D:D,'Students (Vertical)'!C:C=E431,'Students (Vertical)'!D:D&lt;&gt;"""")})&gt;1))),"""")"),"")</f>
        <v/>
      </c>
      <c r="L431" s="96"/>
      <c r="M431" s="96"/>
    </row>
    <row r="432" hidden="1">
      <c r="A432" s="8" t="s">
        <v>8</v>
      </c>
      <c r="C432" s="8" t="s">
        <v>8</v>
      </c>
      <c r="D432" s="8" t="s">
        <v>8</v>
      </c>
      <c r="F432" s="8" t="s">
        <v>8</v>
      </c>
      <c r="G432" s="8" t="s">
        <v>8</v>
      </c>
      <c r="I432" s="94" t="str">
        <f>IFERROR(__xludf.DUMMYFUNCTION("if(H432=""Must be Together"",iferror(join("", "",unique(filter({filter('Students (Vertical)'!O:O,'Students (Vertical)'!C:C=B432,'Students (Vertical)'!O:O&lt;&gt;"""");filter('Students (Vertical)'!O:O,'Students (Vertical)'!C:C=E432,'Students (Vertical)'!O:O&lt;&gt;"""&amp;""")},countifs({filter('Students (Vertical)'!O:O,'Students (Vertical)'!C:C=B432,'Students (Vertical)'!O:O&lt;&gt;"""");filter('Students (Vertical)'!O:O,'Students (Vertical)'!C:C=E432,'Students (Vertical)'!O:O&lt;&gt;"""")},{filter('Students (Vertical)'!O:O,'Students ("&amp;"Vertical)'!C:C=B432,'Students (Vertical)'!O:O&lt;&gt;"""");filter('Students (Vertical)'!O:O,'Students (Vertical)'!C:C=E432,'Students (Vertical)'!O:O&lt;&gt;"""")})&gt;1))),""No shared courses""),"""")"),"")</f>
        <v/>
      </c>
      <c r="J432" s="94" t="str">
        <f>IFERROR(__xludf.DUMMYFUNCTION("if(H432=""Can't be Together"",iferror(join("", "",unique(filter({unique(filter('Students (Vertical)'!O:O,'Students (Vertical)'!C:C=B432,'Students (Vertical)'!O:O&lt;&gt;"""",'Students (Vertical)'!P:P&gt;1));unique(filter('Students (Vertical)'!O:O,'Students (Vertic"&amp;"al)'!C:C=E432,'Students (Vertical)'!O:O&lt;&gt;"""",'Students (Vertical)'!P:P&gt;1))},countifs({unique(filter('Students (Vertical)'!O:O,'Students (Vertical)'!C:C=B432,'Students (Vertical)'!O:O&lt;&gt;"""",'Students (Vertical)'!P:P&gt;1));unique(filter('Students (Vertical)'"&amp;"!O:O,'Students (Vertical)'!C:C=E432,'Students (Vertical)'!O:O&lt;&gt;"""",'Students (Vertical)'!P:P&gt;1))},{unique(filter('Students (Vertical)'!O:O,'Students (Vertical)'!C:C=B432,'Students (Vertical)'!O:O&lt;&gt;"""",'Students (Vertical)'!P:P&gt;1));unique(filter('Student"&amp;"s (Vertical)'!O:O,'Students (Vertical)'!C:C=E432,'Students (Vertical)'!O:O&lt;&gt;"""",'Students (Vertical)'!P:P&gt;1))})&gt;1))),""""),"""")"),"")</f>
        <v/>
      </c>
      <c r="K432" s="96" t="str">
        <f>IFERROR(__xludf.DUMMYFUNCTION("iferror(join("", "",unique(filter({filter('Students (Vertical)'!D:D,'Students (Vertical)'!C:C=B432,'Students (Vertical)'!D:D&lt;&gt;"""");filter('Students (Vertical)'!D:D,'Students (Vertical)'!C:C=E432,'Students (Vertical)'!D:D&lt;&gt;"""")},countifs({filter('Student"&amp;"s (Vertical)'!D:D,'Students (Vertical)'!C:C=B432,'Students (Vertical)'!D:D&lt;&gt;"""");filter('Students (Vertical)'!D:D,'Students (Vertical)'!C:C=E432,'Students (Vertical)'!D:D&lt;&gt;"""")},{filter('Students (Vertical)'!D:D,'Students (Vertical)'!C:C=B432,'Students "&amp;"(Vertical)'!D:D&lt;&gt;"""");filter('Students (Vertical)'!D:D,'Students (Vertical)'!C:C=E432,'Students (Vertical)'!D:D&lt;&gt;"""")})&gt;1))),"""")"),"")</f>
        <v/>
      </c>
      <c r="L432" s="96"/>
      <c r="M432" s="96"/>
    </row>
    <row r="433" hidden="1">
      <c r="A433" s="8" t="s">
        <v>8</v>
      </c>
      <c r="C433" s="8" t="s">
        <v>8</v>
      </c>
      <c r="D433" s="8" t="s">
        <v>8</v>
      </c>
      <c r="F433" s="8" t="s">
        <v>8</v>
      </c>
      <c r="G433" s="8" t="s">
        <v>8</v>
      </c>
      <c r="I433" s="94" t="str">
        <f>IFERROR(__xludf.DUMMYFUNCTION("if(H433=""Must be Together"",iferror(join("", "",unique(filter({filter('Students (Vertical)'!O:O,'Students (Vertical)'!C:C=B433,'Students (Vertical)'!O:O&lt;&gt;"""");filter('Students (Vertical)'!O:O,'Students (Vertical)'!C:C=E433,'Students (Vertical)'!O:O&lt;&gt;"""&amp;""")},countifs({filter('Students (Vertical)'!O:O,'Students (Vertical)'!C:C=B433,'Students (Vertical)'!O:O&lt;&gt;"""");filter('Students (Vertical)'!O:O,'Students (Vertical)'!C:C=E433,'Students (Vertical)'!O:O&lt;&gt;"""")},{filter('Students (Vertical)'!O:O,'Students ("&amp;"Vertical)'!C:C=B433,'Students (Vertical)'!O:O&lt;&gt;"""");filter('Students (Vertical)'!O:O,'Students (Vertical)'!C:C=E433,'Students (Vertical)'!O:O&lt;&gt;"""")})&gt;1))),""No shared courses""),"""")"),"")</f>
        <v/>
      </c>
      <c r="J433" s="94" t="str">
        <f>IFERROR(__xludf.DUMMYFUNCTION("if(H433=""Can't be Together"",iferror(join("", "",unique(filter({unique(filter('Students (Vertical)'!O:O,'Students (Vertical)'!C:C=B433,'Students (Vertical)'!O:O&lt;&gt;"""",'Students (Vertical)'!P:P&gt;1));unique(filter('Students (Vertical)'!O:O,'Students (Vertic"&amp;"al)'!C:C=E433,'Students (Vertical)'!O:O&lt;&gt;"""",'Students (Vertical)'!P:P&gt;1))},countifs({unique(filter('Students (Vertical)'!O:O,'Students (Vertical)'!C:C=B433,'Students (Vertical)'!O:O&lt;&gt;"""",'Students (Vertical)'!P:P&gt;1));unique(filter('Students (Vertical)'"&amp;"!O:O,'Students (Vertical)'!C:C=E433,'Students (Vertical)'!O:O&lt;&gt;"""",'Students (Vertical)'!P:P&gt;1))},{unique(filter('Students (Vertical)'!O:O,'Students (Vertical)'!C:C=B433,'Students (Vertical)'!O:O&lt;&gt;"""",'Students (Vertical)'!P:P&gt;1));unique(filter('Student"&amp;"s (Vertical)'!O:O,'Students (Vertical)'!C:C=E433,'Students (Vertical)'!O:O&lt;&gt;"""",'Students (Vertical)'!P:P&gt;1))})&gt;1))),""""),"""")"),"")</f>
        <v/>
      </c>
      <c r="K433" s="96" t="str">
        <f>IFERROR(__xludf.DUMMYFUNCTION("iferror(join("", "",unique(filter({filter('Students (Vertical)'!D:D,'Students (Vertical)'!C:C=B433,'Students (Vertical)'!D:D&lt;&gt;"""");filter('Students (Vertical)'!D:D,'Students (Vertical)'!C:C=E433,'Students (Vertical)'!D:D&lt;&gt;"""")},countifs({filter('Student"&amp;"s (Vertical)'!D:D,'Students (Vertical)'!C:C=B433,'Students (Vertical)'!D:D&lt;&gt;"""");filter('Students (Vertical)'!D:D,'Students (Vertical)'!C:C=E433,'Students (Vertical)'!D:D&lt;&gt;"""")},{filter('Students (Vertical)'!D:D,'Students (Vertical)'!C:C=B433,'Students "&amp;"(Vertical)'!D:D&lt;&gt;"""");filter('Students (Vertical)'!D:D,'Students (Vertical)'!C:C=E433,'Students (Vertical)'!D:D&lt;&gt;"""")})&gt;1))),"""")"),"")</f>
        <v/>
      </c>
      <c r="L433" s="96"/>
      <c r="M433" s="96"/>
    </row>
    <row r="434" hidden="1">
      <c r="A434" s="8" t="s">
        <v>8</v>
      </c>
      <c r="C434" s="8" t="s">
        <v>8</v>
      </c>
      <c r="D434" s="8" t="s">
        <v>8</v>
      </c>
      <c r="F434" s="8" t="s">
        <v>8</v>
      </c>
      <c r="G434" s="8" t="s">
        <v>8</v>
      </c>
      <c r="I434" s="94" t="str">
        <f>IFERROR(__xludf.DUMMYFUNCTION("if(H434=""Must be Together"",iferror(join("", "",unique(filter({filter('Students (Vertical)'!O:O,'Students (Vertical)'!C:C=B434,'Students (Vertical)'!O:O&lt;&gt;"""");filter('Students (Vertical)'!O:O,'Students (Vertical)'!C:C=E434,'Students (Vertical)'!O:O&lt;&gt;"""&amp;""")},countifs({filter('Students (Vertical)'!O:O,'Students (Vertical)'!C:C=B434,'Students (Vertical)'!O:O&lt;&gt;"""");filter('Students (Vertical)'!O:O,'Students (Vertical)'!C:C=E434,'Students (Vertical)'!O:O&lt;&gt;"""")},{filter('Students (Vertical)'!O:O,'Students ("&amp;"Vertical)'!C:C=B434,'Students (Vertical)'!O:O&lt;&gt;"""");filter('Students (Vertical)'!O:O,'Students (Vertical)'!C:C=E434,'Students (Vertical)'!O:O&lt;&gt;"""")})&gt;1))),""No shared courses""),"""")"),"")</f>
        <v/>
      </c>
      <c r="J434" s="94" t="str">
        <f>IFERROR(__xludf.DUMMYFUNCTION("if(H434=""Can't be Together"",iferror(join("", "",unique(filter({unique(filter('Students (Vertical)'!O:O,'Students (Vertical)'!C:C=B434,'Students (Vertical)'!O:O&lt;&gt;"""",'Students (Vertical)'!P:P&gt;1));unique(filter('Students (Vertical)'!O:O,'Students (Vertic"&amp;"al)'!C:C=E434,'Students (Vertical)'!O:O&lt;&gt;"""",'Students (Vertical)'!P:P&gt;1))},countifs({unique(filter('Students (Vertical)'!O:O,'Students (Vertical)'!C:C=B434,'Students (Vertical)'!O:O&lt;&gt;"""",'Students (Vertical)'!P:P&gt;1));unique(filter('Students (Vertical)'"&amp;"!O:O,'Students (Vertical)'!C:C=E434,'Students (Vertical)'!O:O&lt;&gt;"""",'Students (Vertical)'!P:P&gt;1))},{unique(filter('Students (Vertical)'!O:O,'Students (Vertical)'!C:C=B434,'Students (Vertical)'!O:O&lt;&gt;"""",'Students (Vertical)'!P:P&gt;1));unique(filter('Student"&amp;"s (Vertical)'!O:O,'Students (Vertical)'!C:C=E434,'Students (Vertical)'!O:O&lt;&gt;"""",'Students (Vertical)'!P:P&gt;1))})&gt;1))),""""),"""")"),"")</f>
        <v/>
      </c>
      <c r="K434" s="96" t="str">
        <f>IFERROR(__xludf.DUMMYFUNCTION("iferror(join("", "",unique(filter({filter('Students (Vertical)'!D:D,'Students (Vertical)'!C:C=B434,'Students (Vertical)'!D:D&lt;&gt;"""");filter('Students (Vertical)'!D:D,'Students (Vertical)'!C:C=E434,'Students (Vertical)'!D:D&lt;&gt;"""")},countifs({filter('Student"&amp;"s (Vertical)'!D:D,'Students (Vertical)'!C:C=B434,'Students (Vertical)'!D:D&lt;&gt;"""");filter('Students (Vertical)'!D:D,'Students (Vertical)'!C:C=E434,'Students (Vertical)'!D:D&lt;&gt;"""")},{filter('Students (Vertical)'!D:D,'Students (Vertical)'!C:C=B434,'Students "&amp;"(Vertical)'!D:D&lt;&gt;"""");filter('Students (Vertical)'!D:D,'Students (Vertical)'!C:C=E434,'Students (Vertical)'!D:D&lt;&gt;"""")})&gt;1))),"""")"),"")</f>
        <v/>
      </c>
      <c r="L434" s="96"/>
      <c r="M434" s="96"/>
    </row>
    <row r="435" hidden="1">
      <c r="A435" s="8" t="s">
        <v>8</v>
      </c>
      <c r="C435" s="8" t="s">
        <v>8</v>
      </c>
      <c r="D435" s="8" t="s">
        <v>8</v>
      </c>
      <c r="F435" s="8" t="s">
        <v>8</v>
      </c>
      <c r="G435" s="8" t="s">
        <v>8</v>
      </c>
      <c r="I435" s="94" t="str">
        <f>IFERROR(__xludf.DUMMYFUNCTION("if(H435=""Must be Together"",iferror(join("", "",unique(filter({filter('Students (Vertical)'!O:O,'Students (Vertical)'!C:C=B435,'Students (Vertical)'!O:O&lt;&gt;"""");filter('Students (Vertical)'!O:O,'Students (Vertical)'!C:C=E435,'Students (Vertical)'!O:O&lt;&gt;"""&amp;""")},countifs({filter('Students (Vertical)'!O:O,'Students (Vertical)'!C:C=B435,'Students (Vertical)'!O:O&lt;&gt;"""");filter('Students (Vertical)'!O:O,'Students (Vertical)'!C:C=E435,'Students (Vertical)'!O:O&lt;&gt;"""")},{filter('Students (Vertical)'!O:O,'Students ("&amp;"Vertical)'!C:C=B435,'Students (Vertical)'!O:O&lt;&gt;"""");filter('Students (Vertical)'!O:O,'Students (Vertical)'!C:C=E435,'Students (Vertical)'!O:O&lt;&gt;"""")})&gt;1))),""No shared courses""),"""")"),"")</f>
        <v/>
      </c>
      <c r="J435" s="94" t="str">
        <f>IFERROR(__xludf.DUMMYFUNCTION("if(H435=""Can't be Together"",iferror(join("", "",unique(filter({unique(filter('Students (Vertical)'!O:O,'Students (Vertical)'!C:C=B435,'Students (Vertical)'!O:O&lt;&gt;"""",'Students (Vertical)'!P:P&gt;1));unique(filter('Students (Vertical)'!O:O,'Students (Vertic"&amp;"al)'!C:C=E435,'Students (Vertical)'!O:O&lt;&gt;"""",'Students (Vertical)'!P:P&gt;1))},countifs({unique(filter('Students (Vertical)'!O:O,'Students (Vertical)'!C:C=B435,'Students (Vertical)'!O:O&lt;&gt;"""",'Students (Vertical)'!P:P&gt;1));unique(filter('Students (Vertical)'"&amp;"!O:O,'Students (Vertical)'!C:C=E435,'Students (Vertical)'!O:O&lt;&gt;"""",'Students (Vertical)'!P:P&gt;1))},{unique(filter('Students (Vertical)'!O:O,'Students (Vertical)'!C:C=B435,'Students (Vertical)'!O:O&lt;&gt;"""",'Students (Vertical)'!P:P&gt;1));unique(filter('Student"&amp;"s (Vertical)'!O:O,'Students (Vertical)'!C:C=E435,'Students (Vertical)'!O:O&lt;&gt;"""",'Students (Vertical)'!P:P&gt;1))})&gt;1))),""""),"""")"),"")</f>
        <v/>
      </c>
      <c r="K435" s="96" t="str">
        <f>IFERROR(__xludf.DUMMYFUNCTION("iferror(join("", "",unique(filter({filter('Students (Vertical)'!D:D,'Students (Vertical)'!C:C=B435,'Students (Vertical)'!D:D&lt;&gt;"""");filter('Students (Vertical)'!D:D,'Students (Vertical)'!C:C=E435,'Students (Vertical)'!D:D&lt;&gt;"""")},countifs({filter('Student"&amp;"s (Vertical)'!D:D,'Students (Vertical)'!C:C=B435,'Students (Vertical)'!D:D&lt;&gt;"""");filter('Students (Vertical)'!D:D,'Students (Vertical)'!C:C=E435,'Students (Vertical)'!D:D&lt;&gt;"""")},{filter('Students (Vertical)'!D:D,'Students (Vertical)'!C:C=B435,'Students "&amp;"(Vertical)'!D:D&lt;&gt;"""");filter('Students (Vertical)'!D:D,'Students (Vertical)'!C:C=E435,'Students (Vertical)'!D:D&lt;&gt;"""")})&gt;1))),"""")"),"")</f>
        <v/>
      </c>
      <c r="L435" s="96"/>
      <c r="M435" s="96"/>
    </row>
    <row r="436" hidden="1">
      <c r="A436" s="8" t="s">
        <v>8</v>
      </c>
      <c r="C436" s="8" t="s">
        <v>8</v>
      </c>
      <c r="D436" s="8" t="s">
        <v>8</v>
      </c>
      <c r="F436" s="8" t="s">
        <v>8</v>
      </c>
      <c r="G436" s="8" t="s">
        <v>8</v>
      </c>
      <c r="I436" s="94" t="str">
        <f>IFERROR(__xludf.DUMMYFUNCTION("if(H436=""Must be Together"",iferror(join("", "",unique(filter({filter('Students (Vertical)'!O:O,'Students (Vertical)'!C:C=B436,'Students (Vertical)'!O:O&lt;&gt;"""");filter('Students (Vertical)'!O:O,'Students (Vertical)'!C:C=E436,'Students (Vertical)'!O:O&lt;&gt;"""&amp;""")},countifs({filter('Students (Vertical)'!O:O,'Students (Vertical)'!C:C=B436,'Students (Vertical)'!O:O&lt;&gt;"""");filter('Students (Vertical)'!O:O,'Students (Vertical)'!C:C=E436,'Students (Vertical)'!O:O&lt;&gt;"""")},{filter('Students (Vertical)'!O:O,'Students ("&amp;"Vertical)'!C:C=B436,'Students (Vertical)'!O:O&lt;&gt;"""");filter('Students (Vertical)'!O:O,'Students (Vertical)'!C:C=E436,'Students (Vertical)'!O:O&lt;&gt;"""")})&gt;1))),""No shared courses""),"""")"),"")</f>
        <v/>
      </c>
      <c r="J436" s="94" t="str">
        <f>IFERROR(__xludf.DUMMYFUNCTION("if(H436=""Can't be Together"",iferror(join("", "",unique(filter({unique(filter('Students (Vertical)'!O:O,'Students (Vertical)'!C:C=B436,'Students (Vertical)'!O:O&lt;&gt;"""",'Students (Vertical)'!P:P&gt;1));unique(filter('Students (Vertical)'!O:O,'Students (Vertic"&amp;"al)'!C:C=E436,'Students (Vertical)'!O:O&lt;&gt;"""",'Students (Vertical)'!P:P&gt;1))},countifs({unique(filter('Students (Vertical)'!O:O,'Students (Vertical)'!C:C=B436,'Students (Vertical)'!O:O&lt;&gt;"""",'Students (Vertical)'!P:P&gt;1));unique(filter('Students (Vertical)'"&amp;"!O:O,'Students (Vertical)'!C:C=E436,'Students (Vertical)'!O:O&lt;&gt;"""",'Students (Vertical)'!P:P&gt;1))},{unique(filter('Students (Vertical)'!O:O,'Students (Vertical)'!C:C=B436,'Students (Vertical)'!O:O&lt;&gt;"""",'Students (Vertical)'!P:P&gt;1));unique(filter('Student"&amp;"s (Vertical)'!O:O,'Students (Vertical)'!C:C=E436,'Students (Vertical)'!O:O&lt;&gt;"""",'Students (Vertical)'!P:P&gt;1))})&gt;1))),""""),"""")"),"")</f>
        <v/>
      </c>
      <c r="K436" s="96" t="str">
        <f>IFERROR(__xludf.DUMMYFUNCTION("iferror(join("", "",unique(filter({filter('Students (Vertical)'!D:D,'Students (Vertical)'!C:C=B436,'Students (Vertical)'!D:D&lt;&gt;"""");filter('Students (Vertical)'!D:D,'Students (Vertical)'!C:C=E436,'Students (Vertical)'!D:D&lt;&gt;"""")},countifs({filter('Student"&amp;"s (Vertical)'!D:D,'Students (Vertical)'!C:C=B436,'Students (Vertical)'!D:D&lt;&gt;"""");filter('Students (Vertical)'!D:D,'Students (Vertical)'!C:C=E436,'Students (Vertical)'!D:D&lt;&gt;"""")},{filter('Students (Vertical)'!D:D,'Students (Vertical)'!C:C=B436,'Students "&amp;"(Vertical)'!D:D&lt;&gt;"""");filter('Students (Vertical)'!D:D,'Students (Vertical)'!C:C=E436,'Students (Vertical)'!D:D&lt;&gt;"""")})&gt;1))),"""")"),"")</f>
        <v/>
      </c>
      <c r="L436" s="96"/>
      <c r="M436" s="96"/>
    </row>
    <row r="437" hidden="1">
      <c r="A437" s="8" t="s">
        <v>8</v>
      </c>
      <c r="C437" s="8" t="s">
        <v>8</v>
      </c>
      <c r="D437" s="8" t="s">
        <v>8</v>
      </c>
      <c r="F437" s="8" t="s">
        <v>8</v>
      </c>
      <c r="G437" s="8" t="s">
        <v>8</v>
      </c>
      <c r="I437" s="94" t="str">
        <f>IFERROR(__xludf.DUMMYFUNCTION("if(H437=""Must be Together"",iferror(join("", "",unique(filter({filter('Students (Vertical)'!O:O,'Students (Vertical)'!C:C=B437,'Students (Vertical)'!O:O&lt;&gt;"""");filter('Students (Vertical)'!O:O,'Students (Vertical)'!C:C=E437,'Students (Vertical)'!O:O&lt;&gt;"""&amp;""")},countifs({filter('Students (Vertical)'!O:O,'Students (Vertical)'!C:C=B437,'Students (Vertical)'!O:O&lt;&gt;"""");filter('Students (Vertical)'!O:O,'Students (Vertical)'!C:C=E437,'Students (Vertical)'!O:O&lt;&gt;"""")},{filter('Students (Vertical)'!O:O,'Students ("&amp;"Vertical)'!C:C=B437,'Students (Vertical)'!O:O&lt;&gt;"""");filter('Students (Vertical)'!O:O,'Students (Vertical)'!C:C=E437,'Students (Vertical)'!O:O&lt;&gt;"""")})&gt;1))),""No shared courses""),"""")"),"")</f>
        <v/>
      </c>
      <c r="J437" s="94" t="str">
        <f>IFERROR(__xludf.DUMMYFUNCTION("if(H437=""Can't be Together"",iferror(join("", "",unique(filter({unique(filter('Students (Vertical)'!O:O,'Students (Vertical)'!C:C=B437,'Students (Vertical)'!O:O&lt;&gt;"""",'Students (Vertical)'!P:P&gt;1));unique(filter('Students (Vertical)'!O:O,'Students (Vertic"&amp;"al)'!C:C=E437,'Students (Vertical)'!O:O&lt;&gt;"""",'Students (Vertical)'!P:P&gt;1))},countifs({unique(filter('Students (Vertical)'!O:O,'Students (Vertical)'!C:C=B437,'Students (Vertical)'!O:O&lt;&gt;"""",'Students (Vertical)'!P:P&gt;1));unique(filter('Students (Vertical)'"&amp;"!O:O,'Students (Vertical)'!C:C=E437,'Students (Vertical)'!O:O&lt;&gt;"""",'Students (Vertical)'!P:P&gt;1))},{unique(filter('Students (Vertical)'!O:O,'Students (Vertical)'!C:C=B437,'Students (Vertical)'!O:O&lt;&gt;"""",'Students (Vertical)'!P:P&gt;1));unique(filter('Student"&amp;"s (Vertical)'!O:O,'Students (Vertical)'!C:C=E437,'Students (Vertical)'!O:O&lt;&gt;"""",'Students (Vertical)'!P:P&gt;1))})&gt;1))),""""),"""")"),"")</f>
        <v/>
      </c>
      <c r="K437" s="96" t="str">
        <f>IFERROR(__xludf.DUMMYFUNCTION("iferror(join("", "",unique(filter({filter('Students (Vertical)'!D:D,'Students (Vertical)'!C:C=B437,'Students (Vertical)'!D:D&lt;&gt;"""");filter('Students (Vertical)'!D:D,'Students (Vertical)'!C:C=E437,'Students (Vertical)'!D:D&lt;&gt;"""")},countifs({filter('Student"&amp;"s (Vertical)'!D:D,'Students (Vertical)'!C:C=B437,'Students (Vertical)'!D:D&lt;&gt;"""");filter('Students (Vertical)'!D:D,'Students (Vertical)'!C:C=E437,'Students (Vertical)'!D:D&lt;&gt;"""")},{filter('Students (Vertical)'!D:D,'Students (Vertical)'!C:C=B437,'Students "&amp;"(Vertical)'!D:D&lt;&gt;"""");filter('Students (Vertical)'!D:D,'Students (Vertical)'!C:C=E437,'Students (Vertical)'!D:D&lt;&gt;"""")})&gt;1))),"""")"),"")</f>
        <v/>
      </c>
      <c r="L437" s="96"/>
      <c r="M437" s="96"/>
    </row>
    <row r="438" hidden="1">
      <c r="A438" s="8" t="s">
        <v>8</v>
      </c>
      <c r="C438" s="8" t="s">
        <v>8</v>
      </c>
      <c r="D438" s="8" t="s">
        <v>8</v>
      </c>
      <c r="F438" s="8" t="s">
        <v>8</v>
      </c>
      <c r="G438" s="8" t="s">
        <v>8</v>
      </c>
      <c r="I438" s="94" t="str">
        <f>IFERROR(__xludf.DUMMYFUNCTION("if(H438=""Must be Together"",iferror(join("", "",unique(filter({filter('Students (Vertical)'!O:O,'Students (Vertical)'!C:C=B438,'Students (Vertical)'!O:O&lt;&gt;"""");filter('Students (Vertical)'!O:O,'Students (Vertical)'!C:C=E438,'Students (Vertical)'!O:O&lt;&gt;"""&amp;""")},countifs({filter('Students (Vertical)'!O:O,'Students (Vertical)'!C:C=B438,'Students (Vertical)'!O:O&lt;&gt;"""");filter('Students (Vertical)'!O:O,'Students (Vertical)'!C:C=E438,'Students (Vertical)'!O:O&lt;&gt;"""")},{filter('Students (Vertical)'!O:O,'Students ("&amp;"Vertical)'!C:C=B438,'Students (Vertical)'!O:O&lt;&gt;"""");filter('Students (Vertical)'!O:O,'Students (Vertical)'!C:C=E438,'Students (Vertical)'!O:O&lt;&gt;"""")})&gt;1))),""No shared courses""),"""")"),"")</f>
        <v/>
      </c>
      <c r="J438" s="94" t="str">
        <f>IFERROR(__xludf.DUMMYFUNCTION("if(H438=""Can't be Together"",iferror(join("", "",unique(filter({unique(filter('Students (Vertical)'!O:O,'Students (Vertical)'!C:C=B438,'Students (Vertical)'!O:O&lt;&gt;"""",'Students (Vertical)'!P:P&gt;1));unique(filter('Students (Vertical)'!O:O,'Students (Vertic"&amp;"al)'!C:C=E438,'Students (Vertical)'!O:O&lt;&gt;"""",'Students (Vertical)'!P:P&gt;1))},countifs({unique(filter('Students (Vertical)'!O:O,'Students (Vertical)'!C:C=B438,'Students (Vertical)'!O:O&lt;&gt;"""",'Students (Vertical)'!P:P&gt;1));unique(filter('Students (Vertical)'"&amp;"!O:O,'Students (Vertical)'!C:C=E438,'Students (Vertical)'!O:O&lt;&gt;"""",'Students (Vertical)'!P:P&gt;1))},{unique(filter('Students (Vertical)'!O:O,'Students (Vertical)'!C:C=B438,'Students (Vertical)'!O:O&lt;&gt;"""",'Students (Vertical)'!P:P&gt;1));unique(filter('Student"&amp;"s (Vertical)'!O:O,'Students (Vertical)'!C:C=E438,'Students (Vertical)'!O:O&lt;&gt;"""",'Students (Vertical)'!P:P&gt;1))})&gt;1))),""""),"""")"),"")</f>
        <v/>
      </c>
      <c r="K438" s="96" t="str">
        <f>IFERROR(__xludf.DUMMYFUNCTION("iferror(join("", "",unique(filter({filter('Students (Vertical)'!D:D,'Students (Vertical)'!C:C=B438,'Students (Vertical)'!D:D&lt;&gt;"""");filter('Students (Vertical)'!D:D,'Students (Vertical)'!C:C=E438,'Students (Vertical)'!D:D&lt;&gt;"""")},countifs({filter('Student"&amp;"s (Vertical)'!D:D,'Students (Vertical)'!C:C=B438,'Students (Vertical)'!D:D&lt;&gt;"""");filter('Students (Vertical)'!D:D,'Students (Vertical)'!C:C=E438,'Students (Vertical)'!D:D&lt;&gt;"""")},{filter('Students (Vertical)'!D:D,'Students (Vertical)'!C:C=B438,'Students "&amp;"(Vertical)'!D:D&lt;&gt;"""");filter('Students (Vertical)'!D:D,'Students (Vertical)'!C:C=E438,'Students (Vertical)'!D:D&lt;&gt;"""")})&gt;1))),"""")"),"")</f>
        <v/>
      </c>
      <c r="L438" s="96"/>
      <c r="M438" s="96"/>
    </row>
    <row r="439" hidden="1">
      <c r="A439" s="8" t="s">
        <v>8</v>
      </c>
      <c r="C439" s="8" t="s">
        <v>8</v>
      </c>
      <c r="D439" s="8" t="s">
        <v>8</v>
      </c>
      <c r="F439" s="8" t="s">
        <v>8</v>
      </c>
      <c r="G439" s="8" t="s">
        <v>8</v>
      </c>
      <c r="I439" s="94" t="str">
        <f>IFERROR(__xludf.DUMMYFUNCTION("if(H439=""Must be Together"",iferror(join("", "",unique(filter({filter('Students (Vertical)'!O:O,'Students (Vertical)'!C:C=B439,'Students (Vertical)'!O:O&lt;&gt;"""");filter('Students (Vertical)'!O:O,'Students (Vertical)'!C:C=E439,'Students (Vertical)'!O:O&lt;&gt;"""&amp;""")},countifs({filter('Students (Vertical)'!O:O,'Students (Vertical)'!C:C=B439,'Students (Vertical)'!O:O&lt;&gt;"""");filter('Students (Vertical)'!O:O,'Students (Vertical)'!C:C=E439,'Students (Vertical)'!O:O&lt;&gt;"""")},{filter('Students (Vertical)'!O:O,'Students ("&amp;"Vertical)'!C:C=B439,'Students (Vertical)'!O:O&lt;&gt;"""");filter('Students (Vertical)'!O:O,'Students (Vertical)'!C:C=E439,'Students (Vertical)'!O:O&lt;&gt;"""")})&gt;1))),""No shared courses""),"""")"),"")</f>
        <v/>
      </c>
      <c r="J439" s="94" t="str">
        <f>IFERROR(__xludf.DUMMYFUNCTION("if(H439=""Can't be Together"",iferror(join("", "",unique(filter({unique(filter('Students (Vertical)'!O:O,'Students (Vertical)'!C:C=B439,'Students (Vertical)'!O:O&lt;&gt;"""",'Students (Vertical)'!P:P&gt;1));unique(filter('Students (Vertical)'!O:O,'Students (Vertic"&amp;"al)'!C:C=E439,'Students (Vertical)'!O:O&lt;&gt;"""",'Students (Vertical)'!P:P&gt;1))},countifs({unique(filter('Students (Vertical)'!O:O,'Students (Vertical)'!C:C=B439,'Students (Vertical)'!O:O&lt;&gt;"""",'Students (Vertical)'!P:P&gt;1));unique(filter('Students (Vertical)'"&amp;"!O:O,'Students (Vertical)'!C:C=E439,'Students (Vertical)'!O:O&lt;&gt;"""",'Students (Vertical)'!P:P&gt;1))},{unique(filter('Students (Vertical)'!O:O,'Students (Vertical)'!C:C=B439,'Students (Vertical)'!O:O&lt;&gt;"""",'Students (Vertical)'!P:P&gt;1));unique(filter('Student"&amp;"s (Vertical)'!O:O,'Students (Vertical)'!C:C=E439,'Students (Vertical)'!O:O&lt;&gt;"""",'Students (Vertical)'!P:P&gt;1))})&gt;1))),""""),"""")"),"")</f>
        <v/>
      </c>
      <c r="K439" s="96" t="str">
        <f>IFERROR(__xludf.DUMMYFUNCTION("iferror(join("", "",unique(filter({filter('Students (Vertical)'!D:D,'Students (Vertical)'!C:C=B439,'Students (Vertical)'!D:D&lt;&gt;"""");filter('Students (Vertical)'!D:D,'Students (Vertical)'!C:C=E439,'Students (Vertical)'!D:D&lt;&gt;"""")},countifs({filter('Student"&amp;"s (Vertical)'!D:D,'Students (Vertical)'!C:C=B439,'Students (Vertical)'!D:D&lt;&gt;"""");filter('Students (Vertical)'!D:D,'Students (Vertical)'!C:C=E439,'Students (Vertical)'!D:D&lt;&gt;"""")},{filter('Students (Vertical)'!D:D,'Students (Vertical)'!C:C=B439,'Students "&amp;"(Vertical)'!D:D&lt;&gt;"""");filter('Students (Vertical)'!D:D,'Students (Vertical)'!C:C=E439,'Students (Vertical)'!D:D&lt;&gt;"""")})&gt;1))),"""")"),"")</f>
        <v/>
      </c>
      <c r="L439" s="96"/>
      <c r="M439" s="96"/>
    </row>
    <row r="440" hidden="1">
      <c r="A440" s="8" t="s">
        <v>8</v>
      </c>
      <c r="C440" s="8" t="s">
        <v>8</v>
      </c>
      <c r="D440" s="8" t="s">
        <v>8</v>
      </c>
      <c r="F440" s="8" t="s">
        <v>8</v>
      </c>
      <c r="G440" s="8" t="s">
        <v>8</v>
      </c>
      <c r="I440" s="94" t="str">
        <f>IFERROR(__xludf.DUMMYFUNCTION("if(H440=""Must be Together"",iferror(join("", "",unique(filter({filter('Students (Vertical)'!O:O,'Students (Vertical)'!C:C=B440,'Students (Vertical)'!O:O&lt;&gt;"""");filter('Students (Vertical)'!O:O,'Students (Vertical)'!C:C=E440,'Students (Vertical)'!O:O&lt;&gt;"""&amp;""")},countifs({filter('Students (Vertical)'!O:O,'Students (Vertical)'!C:C=B440,'Students (Vertical)'!O:O&lt;&gt;"""");filter('Students (Vertical)'!O:O,'Students (Vertical)'!C:C=E440,'Students (Vertical)'!O:O&lt;&gt;"""")},{filter('Students (Vertical)'!O:O,'Students ("&amp;"Vertical)'!C:C=B440,'Students (Vertical)'!O:O&lt;&gt;"""");filter('Students (Vertical)'!O:O,'Students (Vertical)'!C:C=E440,'Students (Vertical)'!O:O&lt;&gt;"""")})&gt;1))),""No shared courses""),"""")"),"")</f>
        <v/>
      </c>
      <c r="J440" s="94" t="str">
        <f>IFERROR(__xludf.DUMMYFUNCTION("if(H440=""Can't be Together"",iferror(join("", "",unique(filter({unique(filter('Students (Vertical)'!O:O,'Students (Vertical)'!C:C=B440,'Students (Vertical)'!O:O&lt;&gt;"""",'Students (Vertical)'!P:P&gt;1));unique(filter('Students (Vertical)'!O:O,'Students (Vertic"&amp;"al)'!C:C=E440,'Students (Vertical)'!O:O&lt;&gt;"""",'Students (Vertical)'!P:P&gt;1))},countifs({unique(filter('Students (Vertical)'!O:O,'Students (Vertical)'!C:C=B440,'Students (Vertical)'!O:O&lt;&gt;"""",'Students (Vertical)'!P:P&gt;1));unique(filter('Students (Vertical)'"&amp;"!O:O,'Students (Vertical)'!C:C=E440,'Students (Vertical)'!O:O&lt;&gt;"""",'Students (Vertical)'!P:P&gt;1))},{unique(filter('Students (Vertical)'!O:O,'Students (Vertical)'!C:C=B440,'Students (Vertical)'!O:O&lt;&gt;"""",'Students (Vertical)'!P:P&gt;1));unique(filter('Student"&amp;"s (Vertical)'!O:O,'Students (Vertical)'!C:C=E440,'Students (Vertical)'!O:O&lt;&gt;"""",'Students (Vertical)'!P:P&gt;1))})&gt;1))),""""),"""")"),"")</f>
        <v/>
      </c>
      <c r="K440" s="96" t="str">
        <f>IFERROR(__xludf.DUMMYFUNCTION("iferror(join("", "",unique(filter({filter('Students (Vertical)'!D:D,'Students (Vertical)'!C:C=B440,'Students (Vertical)'!D:D&lt;&gt;"""");filter('Students (Vertical)'!D:D,'Students (Vertical)'!C:C=E440,'Students (Vertical)'!D:D&lt;&gt;"""")},countifs({filter('Student"&amp;"s (Vertical)'!D:D,'Students (Vertical)'!C:C=B440,'Students (Vertical)'!D:D&lt;&gt;"""");filter('Students (Vertical)'!D:D,'Students (Vertical)'!C:C=E440,'Students (Vertical)'!D:D&lt;&gt;"""")},{filter('Students (Vertical)'!D:D,'Students (Vertical)'!C:C=B440,'Students "&amp;"(Vertical)'!D:D&lt;&gt;"""");filter('Students (Vertical)'!D:D,'Students (Vertical)'!C:C=E440,'Students (Vertical)'!D:D&lt;&gt;"""")})&gt;1))),"""")"),"")</f>
        <v/>
      </c>
      <c r="L440" s="96"/>
      <c r="M440" s="96"/>
    </row>
    <row r="441" hidden="1">
      <c r="A441" s="8" t="s">
        <v>8</v>
      </c>
      <c r="C441" s="8" t="s">
        <v>8</v>
      </c>
      <c r="D441" s="8" t="s">
        <v>8</v>
      </c>
      <c r="F441" s="8" t="s">
        <v>8</v>
      </c>
      <c r="G441" s="8" t="s">
        <v>8</v>
      </c>
      <c r="I441" s="94" t="str">
        <f>IFERROR(__xludf.DUMMYFUNCTION("if(H441=""Must be Together"",iferror(join("", "",unique(filter({filter('Students (Vertical)'!O:O,'Students (Vertical)'!C:C=B441,'Students (Vertical)'!O:O&lt;&gt;"""");filter('Students (Vertical)'!O:O,'Students (Vertical)'!C:C=E441,'Students (Vertical)'!O:O&lt;&gt;"""&amp;""")},countifs({filter('Students (Vertical)'!O:O,'Students (Vertical)'!C:C=B441,'Students (Vertical)'!O:O&lt;&gt;"""");filter('Students (Vertical)'!O:O,'Students (Vertical)'!C:C=E441,'Students (Vertical)'!O:O&lt;&gt;"""")},{filter('Students (Vertical)'!O:O,'Students ("&amp;"Vertical)'!C:C=B441,'Students (Vertical)'!O:O&lt;&gt;"""");filter('Students (Vertical)'!O:O,'Students (Vertical)'!C:C=E441,'Students (Vertical)'!O:O&lt;&gt;"""")})&gt;1))),""No shared courses""),"""")"),"")</f>
        <v/>
      </c>
      <c r="J441" s="94" t="str">
        <f>IFERROR(__xludf.DUMMYFUNCTION("if(H441=""Can't be Together"",iferror(join("", "",unique(filter({unique(filter('Students (Vertical)'!O:O,'Students (Vertical)'!C:C=B441,'Students (Vertical)'!O:O&lt;&gt;"""",'Students (Vertical)'!P:P&gt;1));unique(filter('Students (Vertical)'!O:O,'Students (Vertic"&amp;"al)'!C:C=E441,'Students (Vertical)'!O:O&lt;&gt;"""",'Students (Vertical)'!P:P&gt;1))},countifs({unique(filter('Students (Vertical)'!O:O,'Students (Vertical)'!C:C=B441,'Students (Vertical)'!O:O&lt;&gt;"""",'Students (Vertical)'!P:P&gt;1));unique(filter('Students (Vertical)'"&amp;"!O:O,'Students (Vertical)'!C:C=E441,'Students (Vertical)'!O:O&lt;&gt;"""",'Students (Vertical)'!P:P&gt;1))},{unique(filter('Students (Vertical)'!O:O,'Students (Vertical)'!C:C=B441,'Students (Vertical)'!O:O&lt;&gt;"""",'Students (Vertical)'!P:P&gt;1));unique(filter('Student"&amp;"s (Vertical)'!O:O,'Students (Vertical)'!C:C=E441,'Students (Vertical)'!O:O&lt;&gt;"""",'Students (Vertical)'!P:P&gt;1))})&gt;1))),""""),"""")"),"")</f>
        <v/>
      </c>
      <c r="K441" s="96" t="str">
        <f>IFERROR(__xludf.DUMMYFUNCTION("iferror(join("", "",unique(filter({filter('Students (Vertical)'!D:D,'Students (Vertical)'!C:C=B441,'Students (Vertical)'!D:D&lt;&gt;"""");filter('Students (Vertical)'!D:D,'Students (Vertical)'!C:C=E441,'Students (Vertical)'!D:D&lt;&gt;"""")},countifs({filter('Student"&amp;"s (Vertical)'!D:D,'Students (Vertical)'!C:C=B441,'Students (Vertical)'!D:D&lt;&gt;"""");filter('Students (Vertical)'!D:D,'Students (Vertical)'!C:C=E441,'Students (Vertical)'!D:D&lt;&gt;"""")},{filter('Students (Vertical)'!D:D,'Students (Vertical)'!C:C=B441,'Students "&amp;"(Vertical)'!D:D&lt;&gt;"""");filter('Students (Vertical)'!D:D,'Students (Vertical)'!C:C=E441,'Students (Vertical)'!D:D&lt;&gt;"""")})&gt;1))),"""")"),"")</f>
        <v/>
      </c>
      <c r="L441" s="96"/>
      <c r="M441" s="96"/>
    </row>
    <row r="442" hidden="1">
      <c r="A442" s="8" t="s">
        <v>8</v>
      </c>
      <c r="C442" s="8" t="s">
        <v>8</v>
      </c>
      <c r="D442" s="8" t="s">
        <v>8</v>
      </c>
      <c r="F442" s="8" t="s">
        <v>8</v>
      </c>
      <c r="G442" s="8" t="s">
        <v>8</v>
      </c>
      <c r="I442" s="94" t="str">
        <f>IFERROR(__xludf.DUMMYFUNCTION("if(H442=""Must be Together"",iferror(join("", "",unique(filter({filter('Students (Vertical)'!O:O,'Students (Vertical)'!C:C=B442,'Students (Vertical)'!O:O&lt;&gt;"""");filter('Students (Vertical)'!O:O,'Students (Vertical)'!C:C=E442,'Students (Vertical)'!O:O&lt;&gt;"""&amp;""")},countifs({filter('Students (Vertical)'!O:O,'Students (Vertical)'!C:C=B442,'Students (Vertical)'!O:O&lt;&gt;"""");filter('Students (Vertical)'!O:O,'Students (Vertical)'!C:C=E442,'Students (Vertical)'!O:O&lt;&gt;"""")},{filter('Students (Vertical)'!O:O,'Students ("&amp;"Vertical)'!C:C=B442,'Students (Vertical)'!O:O&lt;&gt;"""");filter('Students (Vertical)'!O:O,'Students (Vertical)'!C:C=E442,'Students (Vertical)'!O:O&lt;&gt;"""")})&gt;1))),""No shared courses""),"""")"),"")</f>
        <v/>
      </c>
      <c r="J442" s="94" t="str">
        <f>IFERROR(__xludf.DUMMYFUNCTION("if(H442=""Can't be Together"",iferror(join("", "",unique(filter({unique(filter('Students (Vertical)'!O:O,'Students (Vertical)'!C:C=B442,'Students (Vertical)'!O:O&lt;&gt;"""",'Students (Vertical)'!P:P&gt;1));unique(filter('Students (Vertical)'!O:O,'Students (Vertic"&amp;"al)'!C:C=E442,'Students (Vertical)'!O:O&lt;&gt;"""",'Students (Vertical)'!P:P&gt;1))},countifs({unique(filter('Students (Vertical)'!O:O,'Students (Vertical)'!C:C=B442,'Students (Vertical)'!O:O&lt;&gt;"""",'Students (Vertical)'!P:P&gt;1));unique(filter('Students (Vertical)'"&amp;"!O:O,'Students (Vertical)'!C:C=E442,'Students (Vertical)'!O:O&lt;&gt;"""",'Students (Vertical)'!P:P&gt;1))},{unique(filter('Students (Vertical)'!O:O,'Students (Vertical)'!C:C=B442,'Students (Vertical)'!O:O&lt;&gt;"""",'Students (Vertical)'!P:P&gt;1));unique(filter('Student"&amp;"s (Vertical)'!O:O,'Students (Vertical)'!C:C=E442,'Students (Vertical)'!O:O&lt;&gt;"""",'Students (Vertical)'!P:P&gt;1))})&gt;1))),""""),"""")"),"")</f>
        <v/>
      </c>
      <c r="K442" s="96" t="str">
        <f>IFERROR(__xludf.DUMMYFUNCTION("iferror(join("", "",unique(filter({filter('Students (Vertical)'!D:D,'Students (Vertical)'!C:C=B442,'Students (Vertical)'!D:D&lt;&gt;"""");filter('Students (Vertical)'!D:D,'Students (Vertical)'!C:C=E442,'Students (Vertical)'!D:D&lt;&gt;"""")},countifs({filter('Student"&amp;"s (Vertical)'!D:D,'Students (Vertical)'!C:C=B442,'Students (Vertical)'!D:D&lt;&gt;"""");filter('Students (Vertical)'!D:D,'Students (Vertical)'!C:C=E442,'Students (Vertical)'!D:D&lt;&gt;"""")},{filter('Students (Vertical)'!D:D,'Students (Vertical)'!C:C=B442,'Students "&amp;"(Vertical)'!D:D&lt;&gt;"""");filter('Students (Vertical)'!D:D,'Students (Vertical)'!C:C=E442,'Students (Vertical)'!D:D&lt;&gt;"""")})&gt;1))),"""")"),"")</f>
        <v/>
      </c>
      <c r="L442" s="96"/>
      <c r="M442" s="96"/>
    </row>
    <row r="443" hidden="1">
      <c r="A443" s="8" t="s">
        <v>8</v>
      </c>
      <c r="C443" s="8" t="s">
        <v>8</v>
      </c>
      <c r="D443" s="8" t="s">
        <v>8</v>
      </c>
      <c r="F443" s="8" t="s">
        <v>8</v>
      </c>
      <c r="G443" s="8" t="s">
        <v>8</v>
      </c>
      <c r="I443" s="94" t="str">
        <f>IFERROR(__xludf.DUMMYFUNCTION("if(H443=""Must be Together"",iferror(join("", "",unique(filter({filter('Students (Vertical)'!O:O,'Students (Vertical)'!C:C=B443,'Students (Vertical)'!O:O&lt;&gt;"""");filter('Students (Vertical)'!O:O,'Students (Vertical)'!C:C=E443,'Students (Vertical)'!O:O&lt;&gt;"""&amp;""")},countifs({filter('Students (Vertical)'!O:O,'Students (Vertical)'!C:C=B443,'Students (Vertical)'!O:O&lt;&gt;"""");filter('Students (Vertical)'!O:O,'Students (Vertical)'!C:C=E443,'Students (Vertical)'!O:O&lt;&gt;"""")},{filter('Students (Vertical)'!O:O,'Students ("&amp;"Vertical)'!C:C=B443,'Students (Vertical)'!O:O&lt;&gt;"""");filter('Students (Vertical)'!O:O,'Students (Vertical)'!C:C=E443,'Students (Vertical)'!O:O&lt;&gt;"""")})&gt;1))),""No shared courses""),"""")"),"")</f>
        <v/>
      </c>
      <c r="J443" s="94" t="str">
        <f>IFERROR(__xludf.DUMMYFUNCTION("if(H443=""Can't be Together"",iferror(join("", "",unique(filter({unique(filter('Students (Vertical)'!O:O,'Students (Vertical)'!C:C=B443,'Students (Vertical)'!O:O&lt;&gt;"""",'Students (Vertical)'!P:P&gt;1));unique(filter('Students (Vertical)'!O:O,'Students (Vertic"&amp;"al)'!C:C=E443,'Students (Vertical)'!O:O&lt;&gt;"""",'Students (Vertical)'!P:P&gt;1))},countifs({unique(filter('Students (Vertical)'!O:O,'Students (Vertical)'!C:C=B443,'Students (Vertical)'!O:O&lt;&gt;"""",'Students (Vertical)'!P:P&gt;1));unique(filter('Students (Vertical)'"&amp;"!O:O,'Students (Vertical)'!C:C=E443,'Students (Vertical)'!O:O&lt;&gt;"""",'Students (Vertical)'!P:P&gt;1))},{unique(filter('Students (Vertical)'!O:O,'Students (Vertical)'!C:C=B443,'Students (Vertical)'!O:O&lt;&gt;"""",'Students (Vertical)'!P:P&gt;1));unique(filter('Student"&amp;"s (Vertical)'!O:O,'Students (Vertical)'!C:C=E443,'Students (Vertical)'!O:O&lt;&gt;"""",'Students (Vertical)'!P:P&gt;1))})&gt;1))),""""),"""")"),"")</f>
        <v/>
      </c>
      <c r="K443" s="96" t="str">
        <f>IFERROR(__xludf.DUMMYFUNCTION("iferror(join("", "",unique(filter({filter('Students (Vertical)'!D:D,'Students (Vertical)'!C:C=B443,'Students (Vertical)'!D:D&lt;&gt;"""");filter('Students (Vertical)'!D:D,'Students (Vertical)'!C:C=E443,'Students (Vertical)'!D:D&lt;&gt;"""")},countifs({filter('Student"&amp;"s (Vertical)'!D:D,'Students (Vertical)'!C:C=B443,'Students (Vertical)'!D:D&lt;&gt;"""");filter('Students (Vertical)'!D:D,'Students (Vertical)'!C:C=E443,'Students (Vertical)'!D:D&lt;&gt;"""")},{filter('Students (Vertical)'!D:D,'Students (Vertical)'!C:C=B443,'Students "&amp;"(Vertical)'!D:D&lt;&gt;"""");filter('Students (Vertical)'!D:D,'Students (Vertical)'!C:C=E443,'Students (Vertical)'!D:D&lt;&gt;"""")})&gt;1))),"""")"),"")</f>
        <v/>
      </c>
      <c r="L443" s="96"/>
      <c r="M443" s="96"/>
    </row>
    <row r="444" hidden="1">
      <c r="A444" s="8" t="s">
        <v>8</v>
      </c>
      <c r="C444" s="8" t="s">
        <v>8</v>
      </c>
      <c r="D444" s="8" t="s">
        <v>8</v>
      </c>
      <c r="F444" s="8" t="s">
        <v>8</v>
      </c>
      <c r="G444" s="8" t="s">
        <v>8</v>
      </c>
      <c r="I444" s="94" t="str">
        <f>IFERROR(__xludf.DUMMYFUNCTION("if(H444=""Must be Together"",iferror(join("", "",unique(filter({filter('Students (Vertical)'!O:O,'Students (Vertical)'!C:C=B444,'Students (Vertical)'!O:O&lt;&gt;"""");filter('Students (Vertical)'!O:O,'Students (Vertical)'!C:C=E444,'Students (Vertical)'!O:O&lt;&gt;"""&amp;""")},countifs({filter('Students (Vertical)'!O:O,'Students (Vertical)'!C:C=B444,'Students (Vertical)'!O:O&lt;&gt;"""");filter('Students (Vertical)'!O:O,'Students (Vertical)'!C:C=E444,'Students (Vertical)'!O:O&lt;&gt;"""")},{filter('Students (Vertical)'!O:O,'Students ("&amp;"Vertical)'!C:C=B444,'Students (Vertical)'!O:O&lt;&gt;"""");filter('Students (Vertical)'!O:O,'Students (Vertical)'!C:C=E444,'Students (Vertical)'!O:O&lt;&gt;"""")})&gt;1))),""No shared courses""),"""")"),"")</f>
        <v/>
      </c>
      <c r="J444" s="94" t="str">
        <f>IFERROR(__xludf.DUMMYFUNCTION("if(H444=""Can't be Together"",iferror(join("", "",unique(filter({unique(filter('Students (Vertical)'!O:O,'Students (Vertical)'!C:C=B444,'Students (Vertical)'!O:O&lt;&gt;"""",'Students (Vertical)'!P:P&gt;1));unique(filter('Students (Vertical)'!O:O,'Students (Vertic"&amp;"al)'!C:C=E444,'Students (Vertical)'!O:O&lt;&gt;"""",'Students (Vertical)'!P:P&gt;1))},countifs({unique(filter('Students (Vertical)'!O:O,'Students (Vertical)'!C:C=B444,'Students (Vertical)'!O:O&lt;&gt;"""",'Students (Vertical)'!P:P&gt;1));unique(filter('Students (Vertical)'"&amp;"!O:O,'Students (Vertical)'!C:C=E444,'Students (Vertical)'!O:O&lt;&gt;"""",'Students (Vertical)'!P:P&gt;1))},{unique(filter('Students (Vertical)'!O:O,'Students (Vertical)'!C:C=B444,'Students (Vertical)'!O:O&lt;&gt;"""",'Students (Vertical)'!P:P&gt;1));unique(filter('Student"&amp;"s (Vertical)'!O:O,'Students (Vertical)'!C:C=E444,'Students (Vertical)'!O:O&lt;&gt;"""",'Students (Vertical)'!P:P&gt;1))})&gt;1))),""""),"""")"),"")</f>
        <v/>
      </c>
      <c r="K444" s="96" t="str">
        <f>IFERROR(__xludf.DUMMYFUNCTION("iferror(join("", "",unique(filter({filter('Students (Vertical)'!D:D,'Students (Vertical)'!C:C=B444,'Students (Vertical)'!D:D&lt;&gt;"""");filter('Students (Vertical)'!D:D,'Students (Vertical)'!C:C=E444,'Students (Vertical)'!D:D&lt;&gt;"""")},countifs({filter('Student"&amp;"s (Vertical)'!D:D,'Students (Vertical)'!C:C=B444,'Students (Vertical)'!D:D&lt;&gt;"""");filter('Students (Vertical)'!D:D,'Students (Vertical)'!C:C=E444,'Students (Vertical)'!D:D&lt;&gt;"""")},{filter('Students (Vertical)'!D:D,'Students (Vertical)'!C:C=B444,'Students "&amp;"(Vertical)'!D:D&lt;&gt;"""");filter('Students (Vertical)'!D:D,'Students (Vertical)'!C:C=E444,'Students (Vertical)'!D:D&lt;&gt;"""")})&gt;1))),"""")"),"")</f>
        <v/>
      </c>
      <c r="L444" s="96"/>
      <c r="M444" s="96"/>
    </row>
    <row r="445" hidden="1">
      <c r="A445" s="8" t="s">
        <v>8</v>
      </c>
      <c r="C445" s="8" t="s">
        <v>8</v>
      </c>
      <c r="D445" s="8" t="s">
        <v>8</v>
      </c>
      <c r="F445" s="8" t="s">
        <v>8</v>
      </c>
      <c r="G445" s="8" t="s">
        <v>8</v>
      </c>
      <c r="I445" s="94" t="str">
        <f>IFERROR(__xludf.DUMMYFUNCTION("if(H445=""Must be Together"",iferror(join("", "",unique(filter({filter('Students (Vertical)'!O:O,'Students (Vertical)'!C:C=B445,'Students (Vertical)'!O:O&lt;&gt;"""");filter('Students (Vertical)'!O:O,'Students (Vertical)'!C:C=E445,'Students (Vertical)'!O:O&lt;&gt;"""&amp;""")},countifs({filter('Students (Vertical)'!O:O,'Students (Vertical)'!C:C=B445,'Students (Vertical)'!O:O&lt;&gt;"""");filter('Students (Vertical)'!O:O,'Students (Vertical)'!C:C=E445,'Students (Vertical)'!O:O&lt;&gt;"""")},{filter('Students (Vertical)'!O:O,'Students ("&amp;"Vertical)'!C:C=B445,'Students (Vertical)'!O:O&lt;&gt;"""");filter('Students (Vertical)'!O:O,'Students (Vertical)'!C:C=E445,'Students (Vertical)'!O:O&lt;&gt;"""")})&gt;1))),""No shared courses""),"""")"),"")</f>
        <v/>
      </c>
      <c r="J445" s="94" t="str">
        <f>IFERROR(__xludf.DUMMYFUNCTION("if(H445=""Can't be Together"",iferror(join("", "",unique(filter({unique(filter('Students (Vertical)'!O:O,'Students (Vertical)'!C:C=B445,'Students (Vertical)'!O:O&lt;&gt;"""",'Students (Vertical)'!P:P&gt;1));unique(filter('Students (Vertical)'!O:O,'Students (Vertic"&amp;"al)'!C:C=E445,'Students (Vertical)'!O:O&lt;&gt;"""",'Students (Vertical)'!P:P&gt;1))},countifs({unique(filter('Students (Vertical)'!O:O,'Students (Vertical)'!C:C=B445,'Students (Vertical)'!O:O&lt;&gt;"""",'Students (Vertical)'!P:P&gt;1));unique(filter('Students (Vertical)'"&amp;"!O:O,'Students (Vertical)'!C:C=E445,'Students (Vertical)'!O:O&lt;&gt;"""",'Students (Vertical)'!P:P&gt;1))},{unique(filter('Students (Vertical)'!O:O,'Students (Vertical)'!C:C=B445,'Students (Vertical)'!O:O&lt;&gt;"""",'Students (Vertical)'!P:P&gt;1));unique(filter('Student"&amp;"s (Vertical)'!O:O,'Students (Vertical)'!C:C=E445,'Students (Vertical)'!O:O&lt;&gt;"""",'Students (Vertical)'!P:P&gt;1))})&gt;1))),""""),"""")"),"")</f>
        <v/>
      </c>
      <c r="K445" s="96" t="str">
        <f>IFERROR(__xludf.DUMMYFUNCTION("iferror(join("", "",unique(filter({filter('Students (Vertical)'!D:D,'Students (Vertical)'!C:C=B445,'Students (Vertical)'!D:D&lt;&gt;"""");filter('Students (Vertical)'!D:D,'Students (Vertical)'!C:C=E445,'Students (Vertical)'!D:D&lt;&gt;"""")},countifs({filter('Student"&amp;"s (Vertical)'!D:D,'Students (Vertical)'!C:C=B445,'Students (Vertical)'!D:D&lt;&gt;"""");filter('Students (Vertical)'!D:D,'Students (Vertical)'!C:C=E445,'Students (Vertical)'!D:D&lt;&gt;"""")},{filter('Students (Vertical)'!D:D,'Students (Vertical)'!C:C=B445,'Students "&amp;"(Vertical)'!D:D&lt;&gt;"""");filter('Students (Vertical)'!D:D,'Students (Vertical)'!C:C=E445,'Students (Vertical)'!D:D&lt;&gt;"""")})&gt;1))),"""")"),"")</f>
        <v/>
      </c>
      <c r="L445" s="96"/>
      <c r="M445" s="96"/>
    </row>
    <row r="446" hidden="1">
      <c r="A446" s="8" t="s">
        <v>8</v>
      </c>
      <c r="C446" s="8" t="s">
        <v>8</v>
      </c>
      <c r="D446" s="8" t="s">
        <v>8</v>
      </c>
      <c r="F446" s="8" t="s">
        <v>8</v>
      </c>
      <c r="G446" s="8" t="s">
        <v>8</v>
      </c>
      <c r="I446" s="94" t="str">
        <f>IFERROR(__xludf.DUMMYFUNCTION("if(H446=""Must be Together"",iferror(join("", "",unique(filter({filter('Students (Vertical)'!O:O,'Students (Vertical)'!C:C=B446,'Students (Vertical)'!O:O&lt;&gt;"""");filter('Students (Vertical)'!O:O,'Students (Vertical)'!C:C=E446,'Students (Vertical)'!O:O&lt;&gt;"""&amp;""")},countifs({filter('Students (Vertical)'!O:O,'Students (Vertical)'!C:C=B446,'Students (Vertical)'!O:O&lt;&gt;"""");filter('Students (Vertical)'!O:O,'Students (Vertical)'!C:C=E446,'Students (Vertical)'!O:O&lt;&gt;"""")},{filter('Students (Vertical)'!O:O,'Students ("&amp;"Vertical)'!C:C=B446,'Students (Vertical)'!O:O&lt;&gt;"""");filter('Students (Vertical)'!O:O,'Students (Vertical)'!C:C=E446,'Students (Vertical)'!O:O&lt;&gt;"""")})&gt;1))),""No shared courses""),"""")"),"")</f>
        <v/>
      </c>
      <c r="J446" s="94" t="str">
        <f>IFERROR(__xludf.DUMMYFUNCTION("if(H446=""Can't be Together"",iferror(join("", "",unique(filter({unique(filter('Students (Vertical)'!O:O,'Students (Vertical)'!C:C=B446,'Students (Vertical)'!O:O&lt;&gt;"""",'Students (Vertical)'!P:P&gt;1));unique(filter('Students (Vertical)'!O:O,'Students (Vertic"&amp;"al)'!C:C=E446,'Students (Vertical)'!O:O&lt;&gt;"""",'Students (Vertical)'!P:P&gt;1))},countifs({unique(filter('Students (Vertical)'!O:O,'Students (Vertical)'!C:C=B446,'Students (Vertical)'!O:O&lt;&gt;"""",'Students (Vertical)'!P:P&gt;1));unique(filter('Students (Vertical)'"&amp;"!O:O,'Students (Vertical)'!C:C=E446,'Students (Vertical)'!O:O&lt;&gt;"""",'Students (Vertical)'!P:P&gt;1))},{unique(filter('Students (Vertical)'!O:O,'Students (Vertical)'!C:C=B446,'Students (Vertical)'!O:O&lt;&gt;"""",'Students (Vertical)'!P:P&gt;1));unique(filter('Student"&amp;"s (Vertical)'!O:O,'Students (Vertical)'!C:C=E446,'Students (Vertical)'!O:O&lt;&gt;"""",'Students (Vertical)'!P:P&gt;1))})&gt;1))),""""),"""")"),"")</f>
        <v/>
      </c>
      <c r="K446" s="96" t="str">
        <f>IFERROR(__xludf.DUMMYFUNCTION("iferror(join("", "",unique(filter({filter('Students (Vertical)'!D:D,'Students (Vertical)'!C:C=B446,'Students (Vertical)'!D:D&lt;&gt;"""");filter('Students (Vertical)'!D:D,'Students (Vertical)'!C:C=E446,'Students (Vertical)'!D:D&lt;&gt;"""")},countifs({filter('Student"&amp;"s (Vertical)'!D:D,'Students (Vertical)'!C:C=B446,'Students (Vertical)'!D:D&lt;&gt;"""");filter('Students (Vertical)'!D:D,'Students (Vertical)'!C:C=E446,'Students (Vertical)'!D:D&lt;&gt;"""")},{filter('Students (Vertical)'!D:D,'Students (Vertical)'!C:C=B446,'Students "&amp;"(Vertical)'!D:D&lt;&gt;"""");filter('Students (Vertical)'!D:D,'Students (Vertical)'!C:C=E446,'Students (Vertical)'!D:D&lt;&gt;"""")})&gt;1))),"""")"),"")</f>
        <v/>
      </c>
      <c r="L446" s="96"/>
      <c r="M446" s="96"/>
    </row>
    <row r="447" hidden="1">
      <c r="A447" s="8" t="s">
        <v>8</v>
      </c>
      <c r="C447" s="8" t="s">
        <v>8</v>
      </c>
      <c r="D447" s="8" t="s">
        <v>8</v>
      </c>
      <c r="F447" s="8" t="s">
        <v>8</v>
      </c>
      <c r="G447" s="8" t="s">
        <v>8</v>
      </c>
      <c r="I447" s="94" t="str">
        <f>IFERROR(__xludf.DUMMYFUNCTION("if(H447=""Must be Together"",iferror(join("", "",unique(filter({filter('Students (Vertical)'!O:O,'Students (Vertical)'!C:C=B447,'Students (Vertical)'!O:O&lt;&gt;"""");filter('Students (Vertical)'!O:O,'Students (Vertical)'!C:C=E447,'Students (Vertical)'!O:O&lt;&gt;"""&amp;""")},countifs({filter('Students (Vertical)'!O:O,'Students (Vertical)'!C:C=B447,'Students (Vertical)'!O:O&lt;&gt;"""");filter('Students (Vertical)'!O:O,'Students (Vertical)'!C:C=E447,'Students (Vertical)'!O:O&lt;&gt;"""")},{filter('Students (Vertical)'!O:O,'Students ("&amp;"Vertical)'!C:C=B447,'Students (Vertical)'!O:O&lt;&gt;"""");filter('Students (Vertical)'!O:O,'Students (Vertical)'!C:C=E447,'Students (Vertical)'!O:O&lt;&gt;"""")})&gt;1))),""No shared courses""),"""")"),"")</f>
        <v/>
      </c>
      <c r="J447" s="94" t="str">
        <f>IFERROR(__xludf.DUMMYFUNCTION("if(H447=""Can't be Together"",iferror(join("", "",unique(filter({unique(filter('Students (Vertical)'!O:O,'Students (Vertical)'!C:C=B447,'Students (Vertical)'!O:O&lt;&gt;"""",'Students (Vertical)'!P:P&gt;1));unique(filter('Students (Vertical)'!O:O,'Students (Vertic"&amp;"al)'!C:C=E447,'Students (Vertical)'!O:O&lt;&gt;"""",'Students (Vertical)'!P:P&gt;1))},countifs({unique(filter('Students (Vertical)'!O:O,'Students (Vertical)'!C:C=B447,'Students (Vertical)'!O:O&lt;&gt;"""",'Students (Vertical)'!P:P&gt;1));unique(filter('Students (Vertical)'"&amp;"!O:O,'Students (Vertical)'!C:C=E447,'Students (Vertical)'!O:O&lt;&gt;"""",'Students (Vertical)'!P:P&gt;1))},{unique(filter('Students (Vertical)'!O:O,'Students (Vertical)'!C:C=B447,'Students (Vertical)'!O:O&lt;&gt;"""",'Students (Vertical)'!P:P&gt;1));unique(filter('Student"&amp;"s (Vertical)'!O:O,'Students (Vertical)'!C:C=E447,'Students (Vertical)'!O:O&lt;&gt;"""",'Students (Vertical)'!P:P&gt;1))})&gt;1))),""""),"""")"),"")</f>
        <v/>
      </c>
      <c r="K447" s="96" t="str">
        <f>IFERROR(__xludf.DUMMYFUNCTION("iferror(join("", "",unique(filter({filter('Students (Vertical)'!D:D,'Students (Vertical)'!C:C=B447,'Students (Vertical)'!D:D&lt;&gt;"""");filter('Students (Vertical)'!D:D,'Students (Vertical)'!C:C=E447,'Students (Vertical)'!D:D&lt;&gt;"""")},countifs({filter('Student"&amp;"s (Vertical)'!D:D,'Students (Vertical)'!C:C=B447,'Students (Vertical)'!D:D&lt;&gt;"""");filter('Students (Vertical)'!D:D,'Students (Vertical)'!C:C=E447,'Students (Vertical)'!D:D&lt;&gt;"""")},{filter('Students (Vertical)'!D:D,'Students (Vertical)'!C:C=B447,'Students "&amp;"(Vertical)'!D:D&lt;&gt;"""");filter('Students (Vertical)'!D:D,'Students (Vertical)'!C:C=E447,'Students (Vertical)'!D:D&lt;&gt;"""")})&gt;1))),"""")"),"")</f>
        <v/>
      </c>
      <c r="L447" s="96"/>
      <c r="M447" s="96"/>
    </row>
    <row r="448" hidden="1">
      <c r="A448" s="8" t="s">
        <v>8</v>
      </c>
      <c r="C448" s="8" t="s">
        <v>8</v>
      </c>
      <c r="D448" s="8" t="s">
        <v>8</v>
      </c>
      <c r="F448" s="8" t="s">
        <v>8</v>
      </c>
      <c r="G448" s="8" t="s">
        <v>8</v>
      </c>
      <c r="I448" s="94" t="str">
        <f>IFERROR(__xludf.DUMMYFUNCTION("if(H448=""Must be Together"",iferror(join("", "",unique(filter({filter('Students (Vertical)'!O:O,'Students (Vertical)'!C:C=B448,'Students (Vertical)'!O:O&lt;&gt;"""");filter('Students (Vertical)'!O:O,'Students (Vertical)'!C:C=E448,'Students (Vertical)'!O:O&lt;&gt;"""&amp;""")},countifs({filter('Students (Vertical)'!O:O,'Students (Vertical)'!C:C=B448,'Students (Vertical)'!O:O&lt;&gt;"""");filter('Students (Vertical)'!O:O,'Students (Vertical)'!C:C=E448,'Students (Vertical)'!O:O&lt;&gt;"""")},{filter('Students (Vertical)'!O:O,'Students ("&amp;"Vertical)'!C:C=B448,'Students (Vertical)'!O:O&lt;&gt;"""");filter('Students (Vertical)'!O:O,'Students (Vertical)'!C:C=E448,'Students (Vertical)'!O:O&lt;&gt;"""")})&gt;1))),""No shared courses""),"""")"),"")</f>
        <v/>
      </c>
      <c r="J448" s="94" t="str">
        <f>IFERROR(__xludf.DUMMYFUNCTION("if(H448=""Can't be Together"",iferror(join("", "",unique(filter({unique(filter('Students (Vertical)'!O:O,'Students (Vertical)'!C:C=B448,'Students (Vertical)'!O:O&lt;&gt;"""",'Students (Vertical)'!P:P&gt;1));unique(filter('Students (Vertical)'!O:O,'Students (Vertic"&amp;"al)'!C:C=E448,'Students (Vertical)'!O:O&lt;&gt;"""",'Students (Vertical)'!P:P&gt;1))},countifs({unique(filter('Students (Vertical)'!O:O,'Students (Vertical)'!C:C=B448,'Students (Vertical)'!O:O&lt;&gt;"""",'Students (Vertical)'!P:P&gt;1));unique(filter('Students (Vertical)'"&amp;"!O:O,'Students (Vertical)'!C:C=E448,'Students (Vertical)'!O:O&lt;&gt;"""",'Students (Vertical)'!P:P&gt;1))},{unique(filter('Students (Vertical)'!O:O,'Students (Vertical)'!C:C=B448,'Students (Vertical)'!O:O&lt;&gt;"""",'Students (Vertical)'!P:P&gt;1));unique(filter('Student"&amp;"s (Vertical)'!O:O,'Students (Vertical)'!C:C=E448,'Students (Vertical)'!O:O&lt;&gt;"""",'Students (Vertical)'!P:P&gt;1))})&gt;1))),""""),"""")"),"")</f>
        <v/>
      </c>
      <c r="K448" s="96" t="str">
        <f>IFERROR(__xludf.DUMMYFUNCTION("iferror(join("", "",unique(filter({filter('Students (Vertical)'!D:D,'Students (Vertical)'!C:C=B448,'Students (Vertical)'!D:D&lt;&gt;"""");filter('Students (Vertical)'!D:D,'Students (Vertical)'!C:C=E448,'Students (Vertical)'!D:D&lt;&gt;"""")},countifs({filter('Student"&amp;"s (Vertical)'!D:D,'Students (Vertical)'!C:C=B448,'Students (Vertical)'!D:D&lt;&gt;"""");filter('Students (Vertical)'!D:D,'Students (Vertical)'!C:C=E448,'Students (Vertical)'!D:D&lt;&gt;"""")},{filter('Students (Vertical)'!D:D,'Students (Vertical)'!C:C=B448,'Students "&amp;"(Vertical)'!D:D&lt;&gt;"""");filter('Students (Vertical)'!D:D,'Students (Vertical)'!C:C=E448,'Students (Vertical)'!D:D&lt;&gt;"""")})&gt;1))),"""")"),"")</f>
        <v/>
      </c>
      <c r="L448" s="96"/>
      <c r="M448" s="96"/>
    </row>
    <row r="449" hidden="1">
      <c r="A449" s="8" t="s">
        <v>8</v>
      </c>
      <c r="C449" s="8" t="s">
        <v>8</v>
      </c>
      <c r="D449" s="8" t="s">
        <v>8</v>
      </c>
      <c r="F449" s="8" t="s">
        <v>8</v>
      </c>
      <c r="G449" s="8" t="s">
        <v>8</v>
      </c>
      <c r="I449" s="94" t="str">
        <f>IFERROR(__xludf.DUMMYFUNCTION("if(H449=""Must be Together"",iferror(join("", "",unique(filter({filter('Students (Vertical)'!O:O,'Students (Vertical)'!C:C=B449,'Students (Vertical)'!O:O&lt;&gt;"""");filter('Students (Vertical)'!O:O,'Students (Vertical)'!C:C=E449,'Students (Vertical)'!O:O&lt;&gt;"""&amp;""")},countifs({filter('Students (Vertical)'!O:O,'Students (Vertical)'!C:C=B449,'Students (Vertical)'!O:O&lt;&gt;"""");filter('Students (Vertical)'!O:O,'Students (Vertical)'!C:C=E449,'Students (Vertical)'!O:O&lt;&gt;"""")},{filter('Students (Vertical)'!O:O,'Students ("&amp;"Vertical)'!C:C=B449,'Students (Vertical)'!O:O&lt;&gt;"""");filter('Students (Vertical)'!O:O,'Students (Vertical)'!C:C=E449,'Students (Vertical)'!O:O&lt;&gt;"""")})&gt;1))),""No shared courses""),"""")"),"")</f>
        <v/>
      </c>
      <c r="J449" s="94" t="str">
        <f>IFERROR(__xludf.DUMMYFUNCTION("if(H449=""Can't be Together"",iferror(join("", "",unique(filter({unique(filter('Students (Vertical)'!O:O,'Students (Vertical)'!C:C=B449,'Students (Vertical)'!O:O&lt;&gt;"""",'Students (Vertical)'!P:P&gt;1));unique(filter('Students (Vertical)'!O:O,'Students (Vertic"&amp;"al)'!C:C=E449,'Students (Vertical)'!O:O&lt;&gt;"""",'Students (Vertical)'!P:P&gt;1))},countifs({unique(filter('Students (Vertical)'!O:O,'Students (Vertical)'!C:C=B449,'Students (Vertical)'!O:O&lt;&gt;"""",'Students (Vertical)'!P:P&gt;1));unique(filter('Students (Vertical)'"&amp;"!O:O,'Students (Vertical)'!C:C=E449,'Students (Vertical)'!O:O&lt;&gt;"""",'Students (Vertical)'!P:P&gt;1))},{unique(filter('Students (Vertical)'!O:O,'Students (Vertical)'!C:C=B449,'Students (Vertical)'!O:O&lt;&gt;"""",'Students (Vertical)'!P:P&gt;1));unique(filter('Student"&amp;"s (Vertical)'!O:O,'Students (Vertical)'!C:C=E449,'Students (Vertical)'!O:O&lt;&gt;"""",'Students (Vertical)'!P:P&gt;1))})&gt;1))),""""),"""")"),"")</f>
        <v/>
      </c>
      <c r="K449" s="96" t="str">
        <f>IFERROR(__xludf.DUMMYFUNCTION("iferror(join("", "",unique(filter({filter('Students (Vertical)'!D:D,'Students (Vertical)'!C:C=B449,'Students (Vertical)'!D:D&lt;&gt;"""");filter('Students (Vertical)'!D:D,'Students (Vertical)'!C:C=E449,'Students (Vertical)'!D:D&lt;&gt;"""")},countifs({filter('Student"&amp;"s (Vertical)'!D:D,'Students (Vertical)'!C:C=B449,'Students (Vertical)'!D:D&lt;&gt;"""");filter('Students (Vertical)'!D:D,'Students (Vertical)'!C:C=E449,'Students (Vertical)'!D:D&lt;&gt;"""")},{filter('Students (Vertical)'!D:D,'Students (Vertical)'!C:C=B449,'Students "&amp;"(Vertical)'!D:D&lt;&gt;"""");filter('Students (Vertical)'!D:D,'Students (Vertical)'!C:C=E449,'Students (Vertical)'!D:D&lt;&gt;"""")})&gt;1))),"""")"),"")</f>
        <v/>
      </c>
      <c r="L449" s="96"/>
      <c r="M449" s="96"/>
    </row>
    <row r="450" hidden="1">
      <c r="A450" s="8" t="s">
        <v>8</v>
      </c>
      <c r="C450" s="8" t="s">
        <v>8</v>
      </c>
      <c r="D450" s="8" t="s">
        <v>8</v>
      </c>
      <c r="F450" s="8" t="s">
        <v>8</v>
      </c>
      <c r="G450" s="8" t="s">
        <v>8</v>
      </c>
      <c r="I450" s="94" t="str">
        <f>IFERROR(__xludf.DUMMYFUNCTION("if(H450=""Must be Together"",iferror(join("", "",unique(filter({filter('Students (Vertical)'!O:O,'Students (Vertical)'!C:C=B450,'Students (Vertical)'!O:O&lt;&gt;"""");filter('Students (Vertical)'!O:O,'Students (Vertical)'!C:C=E450,'Students (Vertical)'!O:O&lt;&gt;"""&amp;""")},countifs({filter('Students (Vertical)'!O:O,'Students (Vertical)'!C:C=B450,'Students (Vertical)'!O:O&lt;&gt;"""");filter('Students (Vertical)'!O:O,'Students (Vertical)'!C:C=E450,'Students (Vertical)'!O:O&lt;&gt;"""")},{filter('Students (Vertical)'!O:O,'Students ("&amp;"Vertical)'!C:C=B450,'Students (Vertical)'!O:O&lt;&gt;"""");filter('Students (Vertical)'!O:O,'Students (Vertical)'!C:C=E450,'Students (Vertical)'!O:O&lt;&gt;"""")})&gt;1))),""No shared courses""),"""")"),"")</f>
        <v/>
      </c>
      <c r="J450" s="94" t="str">
        <f>IFERROR(__xludf.DUMMYFUNCTION("if(H450=""Can't be Together"",iferror(join("", "",unique(filter({unique(filter('Students (Vertical)'!O:O,'Students (Vertical)'!C:C=B450,'Students (Vertical)'!O:O&lt;&gt;"""",'Students (Vertical)'!P:P&gt;1));unique(filter('Students (Vertical)'!O:O,'Students (Vertic"&amp;"al)'!C:C=E450,'Students (Vertical)'!O:O&lt;&gt;"""",'Students (Vertical)'!P:P&gt;1))},countifs({unique(filter('Students (Vertical)'!O:O,'Students (Vertical)'!C:C=B450,'Students (Vertical)'!O:O&lt;&gt;"""",'Students (Vertical)'!P:P&gt;1));unique(filter('Students (Vertical)'"&amp;"!O:O,'Students (Vertical)'!C:C=E450,'Students (Vertical)'!O:O&lt;&gt;"""",'Students (Vertical)'!P:P&gt;1))},{unique(filter('Students (Vertical)'!O:O,'Students (Vertical)'!C:C=B450,'Students (Vertical)'!O:O&lt;&gt;"""",'Students (Vertical)'!P:P&gt;1));unique(filter('Student"&amp;"s (Vertical)'!O:O,'Students (Vertical)'!C:C=E450,'Students (Vertical)'!O:O&lt;&gt;"""",'Students (Vertical)'!P:P&gt;1))})&gt;1))),""""),"""")"),"")</f>
        <v/>
      </c>
      <c r="K450" s="96" t="str">
        <f>IFERROR(__xludf.DUMMYFUNCTION("iferror(join("", "",unique(filter({filter('Students (Vertical)'!D:D,'Students (Vertical)'!C:C=B450,'Students (Vertical)'!D:D&lt;&gt;"""");filter('Students (Vertical)'!D:D,'Students (Vertical)'!C:C=E450,'Students (Vertical)'!D:D&lt;&gt;"""")},countifs({filter('Student"&amp;"s (Vertical)'!D:D,'Students (Vertical)'!C:C=B450,'Students (Vertical)'!D:D&lt;&gt;"""");filter('Students (Vertical)'!D:D,'Students (Vertical)'!C:C=E450,'Students (Vertical)'!D:D&lt;&gt;"""")},{filter('Students (Vertical)'!D:D,'Students (Vertical)'!C:C=B450,'Students "&amp;"(Vertical)'!D:D&lt;&gt;"""");filter('Students (Vertical)'!D:D,'Students (Vertical)'!C:C=E450,'Students (Vertical)'!D:D&lt;&gt;"""")})&gt;1))),"""")"),"")</f>
        <v/>
      </c>
      <c r="L450" s="96"/>
      <c r="M450" s="96"/>
    </row>
    <row r="451" hidden="1">
      <c r="A451" s="8" t="s">
        <v>8</v>
      </c>
      <c r="C451" s="8" t="s">
        <v>8</v>
      </c>
      <c r="D451" s="8" t="s">
        <v>8</v>
      </c>
      <c r="F451" s="8" t="s">
        <v>8</v>
      </c>
      <c r="G451" s="8" t="s">
        <v>8</v>
      </c>
      <c r="I451" s="94" t="str">
        <f>IFERROR(__xludf.DUMMYFUNCTION("if(H451=""Must be Together"",iferror(join("", "",unique(filter({filter('Students (Vertical)'!O:O,'Students (Vertical)'!C:C=B451,'Students (Vertical)'!O:O&lt;&gt;"""");filter('Students (Vertical)'!O:O,'Students (Vertical)'!C:C=E451,'Students (Vertical)'!O:O&lt;&gt;"""&amp;""")},countifs({filter('Students (Vertical)'!O:O,'Students (Vertical)'!C:C=B451,'Students (Vertical)'!O:O&lt;&gt;"""");filter('Students (Vertical)'!O:O,'Students (Vertical)'!C:C=E451,'Students (Vertical)'!O:O&lt;&gt;"""")},{filter('Students (Vertical)'!O:O,'Students ("&amp;"Vertical)'!C:C=B451,'Students (Vertical)'!O:O&lt;&gt;"""");filter('Students (Vertical)'!O:O,'Students (Vertical)'!C:C=E451,'Students (Vertical)'!O:O&lt;&gt;"""")})&gt;1))),""No shared courses""),"""")"),"")</f>
        <v/>
      </c>
      <c r="J451" s="94" t="str">
        <f>IFERROR(__xludf.DUMMYFUNCTION("if(H451=""Can't be Together"",iferror(join("", "",unique(filter({unique(filter('Students (Vertical)'!O:O,'Students (Vertical)'!C:C=B451,'Students (Vertical)'!O:O&lt;&gt;"""",'Students (Vertical)'!P:P&gt;1));unique(filter('Students (Vertical)'!O:O,'Students (Vertic"&amp;"al)'!C:C=E451,'Students (Vertical)'!O:O&lt;&gt;"""",'Students (Vertical)'!P:P&gt;1))},countifs({unique(filter('Students (Vertical)'!O:O,'Students (Vertical)'!C:C=B451,'Students (Vertical)'!O:O&lt;&gt;"""",'Students (Vertical)'!P:P&gt;1));unique(filter('Students (Vertical)'"&amp;"!O:O,'Students (Vertical)'!C:C=E451,'Students (Vertical)'!O:O&lt;&gt;"""",'Students (Vertical)'!P:P&gt;1))},{unique(filter('Students (Vertical)'!O:O,'Students (Vertical)'!C:C=B451,'Students (Vertical)'!O:O&lt;&gt;"""",'Students (Vertical)'!P:P&gt;1));unique(filter('Student"&amp;"s (Vertical)'!O:O,'Students (Vertical)'!C:C=E451,'Students (Vertical)'!O:O&lt;&gt;"""",'Students (Vertical)'!P:P&gt;1))})&gt;1))),""""),"""")"),"")</f>
        <v/>
      </c>
      <c r="K451" s="96" t="str">
        <f>IFERROR(__xludf.DUMMYFUNCTION("iferror(join("", "",unique(filter({filter('Students (Vertical)'!D:D,'Students (Vertical)'!C:C=B451,'Students (Vertical)'!D:D&lt;&gt;"""");filter('Students (Vertical)'!D:D,'Students (Vertical)'!C:C=E451,'Students (Vertical)'!D:D&lt;&gt;"""")},countifs({filter('Student"&amp;"s (Vertical)'!D:D,'Students (Vertical)'!C:C=B451,'Students (Vertical)'!D:D&lt;&gt;"""");filter('Students (Vertical)'!D:D,'Students (Vertical)'!C:C=E451,'Students (Vertical)'!D:D&lt;&gt;"""")},{filter('Students (Vertical)'!D:D,'Students (Vertical)'!C:C=B451,'Students "&amp;"(Vertical)'!D:D&lt;&gt;"""");filter('Students (Vertical)'!D:D,'Students (Vertical)'!C:C=E451,'Students (Vertical)'!D:D&lt;&gt;"""")})&gt;1))),"""")"),"")</f>
        <v/>
      </c>
      <c r="L451" s="96"/>
      <c r="M451" s="96"/>
    </row>
    <row r="452" hidden="1">
      <c r="A452" s="8" t="s">
        <v>8</v>
      </c>
      <c r="C452" s="8" t="s">
        <v>8</v>
      </c>
      <c r="D452" s="8" t="s">
        <v>8</v>
      </c>
      <c r="F452" s="8" t="s">
        <v>8</v>
      </c>
      <c r="G452" s="8" t="s">
        <v>8</v>
      </c>
      <c r="I452" s="94" t="str">
        <f>IFERROR(__xludf.DUMMYFUNCTION("if(H452=""Must be Together"",iferror(join("", "",unique(filter({filter('Students (Vertical)'!O:O,'Students (Vertical)'!C:C=B452,'Students (Vertical)'!O:O&lt;&gt;"""");filter('Students (Vertical)'!O:O,'Students (Vertical)'!C:C=E452,'Students (Vertical)'!O:O&lt;&gt;"""&amp;""")},countifs({filter('Students (Vertical)'!O:O,'Students (Vertical)'!C:C=B452,'Students (Vertical)'!O:O&lt;&gt;"""");filter('Students (Vertical)'!O:O,'Students (Vertical)'!C:C=E452,'Students (Vertical)'!O:O&lt;&gt;"""")},{filter('Students (Vertical)'!O:O,'Students ("&amp;"Vertical)'!C:C=B452,'Students (Vertical)'!O:O&lt;&gt;"""");filter('Students (Vertical)'!O:O,'Students (Vertical)'!C:C=E452,'Students (Vertical)'!O:O&lt;&gt;"""")})&gt;1))),""No shared courses""),"""")"),"")</f>
        <v/>
      </c>
      <c r="J452" s="94" t="str">
        <f>IFERROR(__xludf.DUMMYFUNCTION("if(H452=""Can't be Together"",iferror(join("", "",unique(filter({unique(filter('Students (Vertical)'!O:O,'Students (Vertical)'!C:C=B452,'Students (Vertical)'!O:O&lt;&gt;"""",'Students (Vertical)'!P:P&gt;1));unique(filter('Students (Vertical)'!O:O,'Students (Vertic"&amp;"al)'!C:C=E452,'Students (Vertical)'!O:O&lt;&gt;"""",'Students (Vertical)'!P:P&gt;1))},countifs({unique(filter('Students (Vertical)'!O:O,'Students (Vertical)'!C:C=B452,'Students (Vertical)'!O:O&lt;&gt;"""",'Students (Vertical)'!P:P&gt;1));unique(filter('Students (Vertical)'"&amp;"!O:O,'Students (Vertical)'!C:C=E452,'Students (Vertical)'!O:O&lt;&gt;"""",'Students (Vertical)'!P:P&gt;1))},{unique(filter('Students (Vertical)'!O:O,'Students (Vertical)'!C:C=B452,'Students (Vertical)'!O:O&lt;&gt;"""",'Students (Vertical)'!P:P&gt;1));unique(filter('Student"&amp;"s (Vertical)'!O:O,'Students (Vertical)'!C:C=E452,'Students (Vertical)'!O:O&lt;&gt;"""",'Students (Vertical)'!P:P&gt;1))})&gt;1))),""""),"""")"),"")</f>
        <v/>
      </c>
      <c r="K452" s="96" t="str">
        <f>IFERROR(__xludf.DUMMYFUNCTION("iferror(join("", "",unique(filter({filter('Students (Vertical)'!D:D,'Students (Vertical)'!C:C=B452,'Students (Vertical)'!D:D&lt;&gt;"""");filter('Students (Vertical)'!D:D,'Students (Vertical)'!C:C=E452,'Students (Vertical)'!D:D&lt;&gt;"""")},countifs({filter('Student"&amp;"s (Vertical)'!D:D,'Students (Vertical)'!C:C=B452,'Students (Vertical)'!D:D&lt;&gt;"""");filter('Students (Vertical)'!D:D,'Students (Vertical)'!C:C=E452,'Students (Vertical)'!D:D&lt;&gt;"""")},{filter('Students (Vertical)'!D:D,'Students (Vertical)'!C:C=B452,'Students "&amp;"(Vertical)'!D:D&lt;&gt;"""");filter('Students (Vertical)'!D:D,'Students (Vertical)'!C:C=E452,'Students (Vertical)'!D:D&lt;&gt;"""")})&gt;1))),"""")"),"")</f>
        <v/>
      </c>
      <c r="L452" s="96"/>
      <c r="M452" s="96"/>
    </row>
    <row r="453" hidden="1">
      <c r="A453" s="8" t="s">
        <v>8</v>
      </c>
      <c r="C453" s="8" t="s">
        <v>8</v>
      </c>
      <c r="D453" s="8" t="s">
        <v>8</v>
      </c>
      <c r="F453" s="8" t="s">
        <v>8</v>
      </c>
      <c r="G453" s="8" t="s">
        <v>8</v>
      </c>
      <c r="I453" s="94" t="str">
        <f>IFERROR(__xludf.DUMMYFUNCTION("if(H453=""Must be Together"",iferror(join("", "",unique(filter({filter('Students (Vertical)'!O:O,'Students (Vertical)'!C:C=B453,'Students (Vertical)'!O:O&lt;&gt;"""");filter('Students (Vertical)'!O:O,'Students (Vertical)'!C:C=E453,'Students (Vertical)'!O:O&lt;&gt;"""&amp;""")},countifs({filter('Students (Vertical)'!O:O,'Students (Vertical)'!C:C=B453,'Students (Vertical)'!O:O&lt;&gt;"""");filter('Students (Vertical)'!O:O,'Students (Vertical)'!C:C=E453,'Students (Vertical)'!O:O&lt;&gt;"""")},{filter('Students (Vertical)'!O:O,'Students ("&amp;"Vertical)'!C:C=B453,'Students (Vertical)'!O:O&lt;&gt;"""");filter('Students (Vertical)'!O:O,'Students (Vertical)'!C:C=E453,'Students (Vertical)'!O:O&lt;&gt;"""")})&gt;1))),""No shared courses""),"""")"),"")</f>
        <v/>
      </c>
      <c r="J453" s="94" t="str">
        <f>IFERROR(__xludf.DUMMYFUNCTION("if(H453=""Can't be Together"",iferror(join("", "",unique(filter({unique(filter('Students (Vertical)'!O:O,'Students (Vertical)'!C:C=B453,'Students (Vertical)'!O:O&lt;&gt;"""",'Students (Vertical)'!P:P&gt;1));unique(filter('Students (Vertical)'!O:O,'Students (Vertic"&amp;"al)'!C:C=E453,'Students (Vertical)'!O:O&lt;&gt;"""",'Students (Vertical)'!P:P&gt;1))},countifs({unique(filter('Students (Vertical)'!O:O,'Students (Vertical)'!C:C=B453,'Students (Vertical)'!O:O&lt;&gt;"""",'Students (Vertical)'!P:P&gt;1));unique(filter('Students (Vertical)'"&amp;"!O:O,'Students (Vertical)'!C:C=E453,'Students (Vertical)'!O:O&lt;&gt;"""",'Students (Vertical)'!P:P&gt;1))},{unique(filter('Students (Vertical)'!O:O,'Students (Vertical)'!C:C=B453,'Students (Vertical)'!O:O&lt;&gt;"""",'Students (Vertical)'!P:P&gt;1));unique(filter('Student"&amp;"s (Vertical)'!O:O,'Students (Vertical)'!C:C=E453,'Students (Vertical)'!O:O&lt;&gt;"""",'Students (Vertical)'!P:P&gt;1))})&gt;1))),""""),"""")"),"")</f>
        <v/>
      </c>
      <c r="K453" s="96" t="str">
        <f>IFERROR(__xludf.DUMMYFUNCTION("iferror(join("", "",unique(filter({filter('Students (Vertical)'!D:D,'Students (Vertical)'!C:C=B453,'Students (Vertical)'!D:D&lt;&gt;"""");filter('Students (Vertical)'!D:D,'Students (Vertical)'!C:C=E453,'Students (Vertical)'!D:D&lt;&gt;"""")},countifs({filter('Student"&amp;"s (Vertical)'!D:D,'Students (Vertical)'!C:C=B453,'Students (Vertical)'!D:D&lt;&gt;"""");filter('Students (Vertical)'!D:D,'Students (Vertical)'!C:C=E453,'Students (Vertical)'!D:D&lt;&gt;"""")},{filter('Students (Vertical)'!D:D,'Students (Vertical)'!C:C=B453,'Students "&amp;"(Vertical)'!D:D&lt;&gt;"""");filter('Students (Vertical)'!D:D,'Students (Vertical)'!C:C=E453,'Students (Vertical)'!D:D&lt;&gt;"""")})&gt;1))),"""")"),"")</f>
        <v/>
      </c>
      <c r="L453" s="96"/>
      <c r="M453" s="96"/>
    </row>
    <row r="454" hidden="1">
      <c r="A454" s="8" t="s">
        <v>8</v>
      </c>
      <c r="C454" s="8" t="s">
        <v>8</v>
      </c>
      <c r="D454" s="8" t="s">
        <v>8</v>
      </c>
      <c r="F454" s="8" t="s">
        <v>8</v>
      </c>
      <c r="G454" s="8" t="s">
        <v>8</v>
      </c>
      <c r="I454" s="94" t="str">
        <f>IFERROR(__xludf.DUMMYFUNCTION("if(H454=""Must be Together"",iferror(join("", "",unique(filter({filter('Students (Vertical)'!O:O,'Students (Vertical)'!C:C=B454,'Students (Vertical)'!O:O&lt;&gt;"""");filter('Students (Vertical)'!O:O,'Students (Vertical)'!C:C=E454,'Students (Vertical)'!O:O&lt;&gt;"""&amp;""")},countifs({filter('Students (Vertical)'!O:O,'Students (Vertical)'!C:C=B454,'Students (Vertical)'!O:O&lt;&gt;"""");filter('Students (Vertical)'!O:O,'Students (Vertical)'!C:C=E454,'Students (Vertical)'!O:O&lt;&gt;"""")},{filter('Students (Vertical)'!O:O,'Students ("&amp;"Vertical)'!C:C=B454,'Students (Vertical)'!O:O&lt;&gt;"""");filter('Students (Vertical)'!O:O,'Students (Vertical)'!C:C=E454,'Students (Vertical)'!O:O&lt;&gt;"""")})&gt;1))),""No shared courses""),"""")"),"")</f>
        <v/>
      </c>
      <c r="J454" s="94" t="str">
        <f>IFERROR(__xludf.DUMMYFUNCTION("if(H454=""Can't be Together"",iferror(join("", "",unique(filter({unique(filter('Students (Vertical)'!O:O,'Students (Vertical)'!C:C=B454,'Students (Vertical)'!O:O&lt;&gt;"""",'Students (Vertical)'!P:P&gt;1));unique(filter('Students (Vertical)'!O:O,'Students (Vertic"&amp;"al)'!C:C=E454,'Students (Vertical)'!O:O&lt;&gt;"""",'Students (Vertical)'!P:P&gt;1))},countifs({unique(filter('Students (Vertical)'!O:O,'Students (Vertical)'!C:C=B454,'Students (Vertical)'!O:O&lt;&gt;"""",'Students (Vertical)'!P:P&gt;1));unique(filter('Students (Vertical)'"&amp;"!O:O,'Students (Vertical)'!C:C=E454,'Students (Vertical)'!O:O&lt;&gt;"""",'Students (Vertical)'!P:P&gt;1))},{unique(filter('Students (Vertical)'!O:O,'Students (Vertical)'!C:C=B454,'Students (Vertical)'!O:O&lt;&gt;"""",'Students (Vertical)'!P:P&gt;1));unique(filter('Student"&amp;"s (Vertical)'!O:O,'Students (Vertical)'!C:C=E454,'Students (Vertical)'!O:O&lt;&gt;"""",'Students (Vertical)'!P:P&gt;1))})&gt;1))),""""),"""")"),"")</f>
        <v/>
      </c>
      <c r="K454" s="96" t="str">
        <f>IFERROR(__xludf.DUMMYFUNCTION("iferror(join("", "",unique(filter({filter('Students (Vertical)'!D:D,'Students (Vertical)'!C:C=B454,'Students (Vertical)'!D:D&lt;&gt;"""");filter('Students (Vertical)'!D:D,'Students (Vertical)'!C:C=E454,'Students (Vertical)'!D:D&lt;&gt;"""")},countifs({filter('Student"&amp;"s (Vertical)'!D:D,'Students (Vertical)'!C:C=B454,'Students (Vertical)'!D:D&lt;&gt;"""");filter('Students (Vertical)'!D:D,'Students (Vertical)'!C:C=E454,'Students (Vertical)'!D:D&lt;&gt;"""")},{filter('Students (Vertical)'!D:D,'Students (Vertical)'!C:C=B454,'Students "&amp;"(Vertical)'!D:D&lt;&gt;"""");filter('Students (Vertical)'!D:D,'Students (Vertical)'!C:C=E454,'Students (Vertical)'!D:D&lt;&gt;"""")})&gt;1))),"""")"),"")</f>
        <v/>
      </c>
      <c r="L454" s="96"/>
      <c r="M454" s="96"/>
    </row>
    <row r="455" hidden="1">
      <c r="A455" s="8" t="s">
        <v>8</v>
      </c>
      <c r="C455" s="8" t="s">
        <v>8</v>
      </c>
      <c r="D455" s="8" t="s">
        <v>8</v>
      </c>
      <c r="F455" s="8" t="s">
        <v>8</v>
      </c>
      <c r="G455" s="8" t="s">
        <v>8</v>
      </c>
      <c r="I455" s="94" t="str">
        <f>IFERROR(__xludf.DUMMYFUNCTION("if(H455=""Must be Together"",iferror(join("", "",unique(filter({filter('Students (Vertical)'!O:O,'Students (Vertical)'!C:C=B455,'Students (Vertical)'!O:O&lt;&gt;"""");filter('Students (Vertical)'!O:O,'Students (Vertical)'!C:C=E455,'Students (Vertical)'!O:O&lt;&gt;"""&amp;""")},countifs({filter('Students (Vertical)'!O:O,'Students (Vertical)'!C:C=B455,'Students (Vertical)'!O:O&lt;&gt;"""");filter('Students (Vertical)'!O:O,'Students (Vertical)'!C:C=E455,'Students (Vertical)'!O:O&lt;&gt;"""")},{filter('Students (Vertical)'!O:O,'Students ("&amp;"Vertical)'!C:C=B455,'Students (Vertical)'!O:O&lt;&gt;"""");filter('Students (Vertical)'!O:O,'Students (Vertical)'!C:C=E455,'Students (Vertical)'!O:O&lt;&gt;"""")})&gt;1))),""No shared courses""),"""")"),"")</f>
        <v/>
      </c>
      <c r="J455" s="94" t="str">
        <f>IFERROR(__xludf.DUMMYFUNCTION("if(H455=""Can't be Together"",iferror(join("", "",unique(filter({unique(filter('Students (Vertical)'!O:O,'Students (Vertical)'!C:C=B455,'Students (Vertical)'!O:O&lt;&gt;"""",'Students (Vertical)'!P:P&gt;1));unique(filter('Students (Vertical)'!O:O,'Students (Vertic"&amp;"al)'!C:C=E455,'Students (Vertical)'!O:O&lt;&gt;"""",'Students (Vertical)'!P:P&gt;1))},countifs({unique(filter('Students (Vertical)'!O:O,'Students (Vertical)'!C:C=B455,'Students (Vertical)'!O:O&lt;&gt;"""",'Students (Vertical)'!P:P&gt;1));unique(filter('Students (Vertical)'"&amp;"!O:O,'Students (Vertical)'!C:C=E455,'Students (Vertical)'!O:O&lt;&gt;"""",'Students (Vertical)'!P:P&gt;1))},{unique(filter('Students (Vertical)'!O:O,'Students (Vertical)'!C:C=B455,'Students (Vertical)'!O:O&lt;&gt;"""",'Students (Vertical)'!P:P&gt;1));unique(filter('Student"&amp;"s (Vertical)'!O:O,'Students (Vertical)'!C:C=E455,'Students (Vertical)'!O:O&lt;&gt;"""",'Students (Vertical)'!P:P&gt;1))})&gt;1))),""""),"""")"),"")</f>
        <v/>
      </c>
      <c r="K455" s="96" t="str">
        <f>IFERROR(__xludf.DUMMYFUNCTION("iferror(join("", "",unique(filter({filter('Students (Vertical)'!D:D,'Students (Vertical)'!C:C=B455,'Students (Vertical)'!D:D&lt;&gt;"""");filter('Students (Vertical)'!D:D,'Students (Vertical)'!C:C=E455,'Students (Vertical)'!D:D&lt;&gt;"""")},countifs({filter('Student"&amp;"s (Vertical)'!D:D,'Students (Vertical)'!C:C=B455,'Students (Vertical)'!D:D&lt;&gt;"""");filter('Students (Vertical)'!D:D,'Students (Vertical)'!C:C=E455,'Students (Vertical)'!D:D&lt;&gt;"""")},{filter('Students (Vertical)'!D:D,'Students (Vertical)'!C:C=B455,'Students "&amp;"(Vertical)'!D:D&lt;&gt;"""");filter('Students (Vertical)'!D:D,'Students (Vertical)'!C:C=E455,'Students (Vertical)'!D:D&lt;&gt;"""")})&gt;1))),"""")"),"")</f>
        <v/>
      </c>
      <c r="L455" s="96"/>
      <c r="M455" s="96"/>
    </row>
    <row r="456" hidden="1">
      <c r="A456" s="8" t="s">
        <v>8</v>
      </c>
      <c r="C456" s="8" t="s">
        <v>8</v>
      </c>
      <c r="D456" s="8" t="s">
        <v>8</v>
      </c>
      <c r="F456" s="8" t="s">
        <v>8</v>
      </c>
      <c r="G456" s="8" t="s">
        <v>8</v>
      </c>
      <c r="I456" s="94" t="str">
        <f>IFERROR(__xludf.DUMMYFUNCTION("if(H456=""Must be Together"",iferror(join("", "",unique(filter({filter('Students (Vertical)'!O:O,'Students (Vertical)'!C:C=B456,'Students (Vertical)'!O:O&lt;&gt;"""");filter('Students (Vertical)'!O:O,'Students (Vertical)'!C:C=E456,'Students (Vertical)'!O:O&lt;&gt;"""&amp;""")},countifs({filter('Students (Vertical)'!O:O,'Students (Vertical)'!C:C=B456,'Students (Vertical)'!O:O&lt;&gt;"""");filter('Students (Vertical)'!O:O,'Students (Vertical)'!C:C=E456,'Students (Vertical)'!O:O&lt;&gt;"""")},{filter('Students (Vertical)'!O:O,'Students ("&amp;"Vertical)'!C:C=B456,'Students (Vertical)'!O:O&lt;&gt;"""");filter('Students (Vertical)'!O:O,'Students (Vertical)'!C:C=E456,'Students (Vertical)'!O:O&lt;&gt;"""")})&gt;1))),""No shared courses""),"""")"),"")</f>
        <v/>
      </c>
      <c r="J456" s="94" t="str">
        <f>IFERROR(__xludf.DUMMYFUNCTION("if(H456=""Can't be Together"",iferror(join("", "",unique(filter({unique(filter('Students (Vertical)'!O:O,'Students (Vertical)'!C:C=B456,'Students (Vertical)'!O:O&lt;&gt;"""",'Students (Vertical)'!P:P&gt;1));unique(filter('Students (Vertical)'!O:O,'Students (Vertic"&amp;"al)'!C:C=E456,'Students (Vertical)'!O:O&lt;&gt;"""",'Students (Vertical)'!P:P&gt;1))},countifs({unique(filter('Students (Vertical)'!O:O,'Students (Vertical)'!C:C=B456,'Students (Vertical)'!O:O&lt;&gt;"""",'Students (Vertical)'!P:P&gt;1));unique(filter('Students (Vertical)'"&amp;"!O:O,'Students (Vertical)'!C:C=E456,'Students (Vertical)'!O:O&lt;&gt;"""",'Students (Vertical)'!P:P&gt;1))},{unique(filter('Students (Vertical)'!O:O,'Students (Vertical)'!C:C=B456,'Students (Vertical)'!O:O&lt;&gt;"""",'Students (Vertical)'!P:P&gt;1));unique(filter('Student"&amp;"s (Vertical)'!O:O,'Students (Vertical)'!C:C=E456,'Students (Vertical)'!O:O&lt;&gt;"""",'Students (Vertical)'!P:P&gt;1))})&gt;1))),""""),"""")"),"")</f>
        <v/>
      </c>
      <c r="K456" s="96" t="str">
        <f>IFERROR(__xludf.DUMMYFUNCTION("iferror(join("", "",unique(filter({filter('Students (Vertical)'!D:D,'Students (Vertical)'!C:C=B456,'Students (Vertical)'!D:D&lt;&gt;"""");filter('Students (Vertical)'!D:D,'Students (Vertical)'!C:C=E456,'Students (Vertical)'!D:D&lt;&gt;"""")},countifs({filter('Student"&amp;"s (Vertical)'!D:D,'Students (Vertical)'!C:C=B456,'Students (Vertical)'!D:D&lt;&gt;"""");filter('Students (Vertical)'!D:D,'Students (Vertical)'!C:C=E456,'Students (Vertical)'!D:D&lt;&gt;"""")},{filter('Students (Vertical)'!D:D,'Students (Vertical)'!C:C=B456,'Students "&amp;"(Vertical)'!D:D&lt;&gt;"""");filter('Students (Vertical)'!D:D,'Students (Vertical)'!C:C=E456,'Students (Vertical)'!D:D&lt;&gt;"""")})&gt;1))),"""")"),"")</f>
        <v/>
      </c>
      <c r="L456" s="96"/>
      <c r="M456" s="96"/>
    </row>
    <row r="457" hidden="1">
      <c r="A457" s="8" t="s">
        <v>8</v>
      </c>
      <c r="C457" s="8" t="s">
        <v>8</v>
      </c>
      <c r="D457" s="8" t="s">
        <v>8</v>
      </c>
      <c r="F457" s="8" t="s">
        <v>8</v>
      </c>
      <c r="G457" s="8" t="s">
        <v>8</v>
      </c>
      <c r="I457" s="94" t="str">
        <f>IFERROR(__xludf.DUMMYFUNCTION("if(H457=""Must be Together"",iferror(join("", "",unique(filter({filter('Students (Vertical)'!O:O,'Students (Vertical)'!C:C=B457,'Students (Vertical)'!O:O&lt;&gt;"""");filter('Students (Vertical)'!O:O,'Students (Vertical)'!C:C=E457,'Students (Vertical)'!O:O&lt;&gt;"""&amp;""")},countifs({filter('Students (Vertical)'!O:O,'Students (Vertical)'!C:C=B457,'Students (Vertical)'!O:O&lt;&gt;"""");filter('Students (Vertical)'!O:O,'Students (Vertical)'!C:C=E457,'Students (Vertical)'!O:O&lt;&gt;"""")},{filter('Students (Vertical)'!O:O,'Students ("&amp;"Vertical)'!C:C=B457,'Students (Vertical)'!O:O&lt;&gt;"""");filter('Students (Vertical)'!O:O,'Students (Vertical)'!C:C=E457,'Students (Vertical)'!O:O&lt;&gt;"""")})&gt;1))),""No shared courses""),"""")"),"")</f>
        <v/>
      </c>
      <c r="J457" s="94" t="str">
        <f>IFERROR(__xludf.DUMMYFUNCTION("if(H457=""Can't be Together"",iferror(join("", "",unique(filter({unique(filter('Students (Vertical)'!O:O,'Students (Vertical)'!C:C=B457,'Students (Vertical)'!O:O&lt;&gt;"""",'Students (Vertical)'!P:P&gt;1));unique(filter('Students (Vertical)'!O:O,'Students (Vertic"&amp;"al)'!C:C=E457,'Students (Vertical)'!O:O&lt;&gt;"""",'Students (Vertical)'!P:P&gt;1))},countifs({unique(filter('Students (Vertical)'!O:O,'Students (Vertical)'!C:C=B457,'Students (Vertical)'!O:O&lt;&gt;"""",'Students (Vertical)'!P:P&gt;1));unique(filter('Students (Vertical)'"&amp;"!O:O,'Students (Vertical)'!C:C=E457,'Students (Vertical)'!O:O&lt;&gt;"""",'Students (Vertical)'!P:P&gt;1))},{unique(filter('Students (Vertical)'!O:O,'Students (Vertical)'!C:C=B457,'Students (Vertical)'!O:O&lt;&gt;"""",'Students (Vertical)'!P:P&gt;1));unique(filter('Student"&amp;"s (Vertical)'!O:O,'Students (Vertical)'!C:C=E457,'Students (Vertical)'!O:O&lt;&gt;"""",'Students (Vertical)'!P:P&gt;1))})&gt;1))),""""),"""")"),"")</f>
        <v/>
      </c>
      <c r="K457" s="96" t="str">
        <f>IFERROR(__xludf.DUMMYFUNCTION("iferror(join("", "",unique(filter({filter('Students (Vertical)'!D:D,'Students (Vertical)'!C:C=B457,'Students (Vertical)'!D:D&lt;&gt;"""");filter('Students (Vertical)'!D:D,'Students (Vertical)'!C:C=E457,'Students (Vertical)'!D:D&lt;&gt;"""")},countifs({filter('Student"&amp;"s (Vertical)'!D:D,'Students (Vertical)'!C:C=B457,'Students (Vertical)'!D:D&lt;&gt;"""");filter('Students (Vertical)'!D:D,'Students (Vertical)'!C:C=E457,'Students (Vertical)'!D:D&lt;&gt;"""")},{filter('Students (Vertical)'!D:D,'Students (Vertical)'!C:C=B457,'Students "&amp;"(Vertical)'!D:D&lt;&gt;"""");filter('Students (Vertical)'!D:D,'Students (Vertical)'!C:C=E457,'Students (Vertical)'!D:D&lt;&gt;"""")})&gt;1))),"""")"),"")</f>
        <v/>
      </c>
      <c r="L457" s="96"/>
      <c r="M457" s="96"/>
    </row>
    <row r="458" hidden="1">
      <c r="A458" s="8" t="s">
        <v>8</v>
      </c>
      <c r="C458" s="8" t="s">
        <v>8</v>
      </c>
      <c r="D458" s="8" t="s">
        <v>8</v>
      </c>
      <c r="F458" s="8" t="s">
        <v>8</v>
      </c>
      <c r="G458" s="8" t="s">
        <v>8</v>
      </c>
      <c r="I458" s="94" t="str">
        <f>IFERROR(__xludf.DUMMYFUNCTION("if(H458=""Must be Together"",iferror(join("", "",unique(filter({filter('Students (Vertical)'!O:O,'Students (Vertical)'!C:C=B458,'Students (Vertical)'!O:O&lt;&gt;"""");filter('Students (Vertical)'!O:O,'Students (Vertical)'!C:C=E458,'Students (Vertical)'!O:O&lt;&gt;"""&amp;""")},countifs({filter('Students (Vertical)'!O:O,'Students (Vertical)'!C:C=B458,'Students (Vertical)'!O:O&lt;&gt;"""");filter('Students (Vertical)'!O:O,'Students (Vertical)'!C:C=E458,'Students (Vertical)'!O:O&lt;&gt;"""")},{filter('Students (Vertical)'!O:O,'Students ("&amp;"Vertical)'!C:C=B458,'Students (Vertical)'!O:O&lt;&gt;"""");filter('Students (Vertical)'!O:O,'Students (Vertical)'!C:C=E458,'Students (Vertical)'!O:O&lt;&gt;"""")})&gt;1))),""No shared courses""),"""")"),"")</f>
        <v/>
      </c>
      <c r="J458" s="94" t="str">
        <f>IFERROR(__xludf.DUMMYFUNCTION("if(H458=""Can't be Together"",iferror(join("", "",unique(filter({unique(filter('Students (Vertical)'!O:O,'Students (Vertical)'!C:C=B458,'Students (Vertical)'!O:O&lt;&gt;"""",'Students (Vertical)'!P:P&gt;1));unique(filter('Students (Vertical)'!O:O,'Students (Vertic"&amp;"al)'!C:C=E458,'Students (Vertical)'!O:O&lt;&gt;"""",'Students (Vertical)'!P:P&gt;1))},countifs({unique(filter('Students (Vertical)'!O:O,'Students (Vertical)'!C:C=B458,'Students (Vertical)'!O:O&lt;&gt;"""",'Students (Vertical)'!P:P&gt;1));unique(filter('Students (Vertical)'"&amp;"!O:O,'Students (Vertical)'!C:C=E458,'Students (Vertical)'!O:O&lt;&gt;"""",'Students (Vertical)'!P:P&gt;1))},{unique(filter('Students (Vertical)'!O:O,'Students (Vertical)'!C:C=B458,'Students (Vertical)'!O:O&lt;&gt;"""",'Students (Vertical)'!P:P&gt;1));unique(filter('Student"&amp;"s (Vertical)'!O:O,'Students (Vertical)'!C:C=E458,'Students (Vertical)'!O:O&lt;&gt;"""",'Students (Vertical)'!P:P&gt;1))})&gt;1))),""""),"""")"),"")</f>
        <v/>
      </c>
      <c r="K458" s="96" t="str">
        <f>IFERROR(__xludf.DUMMYFUNCTION("iferror(join("", "",unique(filter({filter('Students (Vertical)'!D:D,'Students (Vertical)'!C:C=B458,'Students (Vertical)'!D:D&lt;&gt;"""");filter('Students (Vertical)'!D:D,'Students (Vertical)'!C:C=E458,'Students (Vertical)'!D:D&lt;&gt;"""")},countifs({filter('Student"&amp;"s (Vertical)'!D:D,'Students (Vertical)'!C:C=B458,'Students (Vertical)'!D:D&lt;&gt;"""");filter('Students (Vertical)'!D:D,'Students (Vertical)'!C:C=E458,'Students (Vertical)'!D:D&lt;&gt;"""")},{filter('Students (Vertical)'!D:D,'Students (Vertical)'!C:C=B458,'Students "&amp;"(Vertical)'!D:D&lt;&gt;"""");filter('Students (Vertical)'!D:D,'Students (Vertical)'!C:C=E458,'Students (Vertical)'!D:D&lt;&gt;"""")})&gt;1))),"""")"),"")</f>
        <v/>
      </c>
      <c r="L458" s="96"/>
      <c r="M458" s="96"/>
    </row>
    <row r="459" hidden="1">
      <c r="A459" s="8" t="s">
        <v>8</v>
      </c>
      <c r="C459" s="8" t="s">
        <v>8</v>
      </c>
      <c r="D459" s="8" t="s">
        <v>8</v>
      </c>
      <c r="F459" s="8" t="s">
        <v>8</v>
      </c>
      <c r="G459" s="8" t="s">
        <v>8</v>
      </c>
      <c r="I459" s="94" t="str">
        <f>IFERROR(__xludf.DUMMYFUNCTION("if(H459=""Must be Together"",iferror(join("", "",unique(filter({filter('Students (Vertical)'!O:O,'Students (Vertical)'!C:C=B459,'Students (Vertical)'!O:O&lt;&gt;"""");filter('Students (Vertical)'!O:O,'Students (Vertical)'!C:C=E459,'Students (Vertical)'!O:O&lt;&gt;"""&amp;""")},countifs({filter('Students (Vertical)'!O:O,'Students (Vertical)'!C:C=B459,'Students (Vertical)'!O:O&lt;&gt;"""");filter('Students (Vertical)'!O:O,'Students (Vertical)'!C:C=E459,'Students (Vertical)'!O:O&lt;&gt;"""")},{filter('Students (Vertical)'!O:O,'Students ("&amp;"Vertical)'!C:C=B459,'Students (Vertical)'!O:O&lt;&gt;"""");filter('Students (Vertical)'!O:O,'Students (Vertical)'!C:C=E459,'Students (Vertical)'!O:O&lt;&gt;"""")})&gt;1))),""No shared courses""),"""")"),"")</f>
        <v/>
      </c>
      <c r="J459" s="94" t="str">
        <f>IFERROR(__xludf.DUMMYFUNCTION("if(H459=""Can't be Together"",iferror(join("", "",unique(filter({unique(filter('Students (Vertical)'!O:O,'Students (Vertical)'!C:C=B459,'Students (Vertical)'!O:O&lt;&gt;"""",'Students (Vertical)'!P:P&gt;1));unique(filter('Students (Vertical)'!O:O,'Students (Vertic"&amp;"al)'!C:C=E459,'Students (Vertical)'!O:O&lt;&gt;"""",'Students (Vertical)'!P:P&gt;1))},countifs({unique(filter('Students (Vertical)'!O:O,'Students (Vertical)'!C:C=B459,'Students (Vertical)'!O:O&lt;&gt;"""",'Students (Vertical)'!P:P&gt;1));unique(filter('Students (Vertical)'"&amp;"!O:O,'Students (Vertical)'!C:C=E459,'Students (Vertical)'!O:O&lt;&gt;"""",'Students (Vertical)'!P:P&gt;1))},{unique(filter('Students (Vertical)'!O:O,'Students (Vertical)'!C:C=B459,'Students (Vertical)'!O:O&lt;&gt;"""",'Students (Vertical)'!P:P&gt;1));unique(filter('Student"&amp;"s (Vertical)'!O:O,'Students (Vertical)'!C:C=E459,'Students (Vertical)'!O:O&lt;&gt;"""",'Students (Vertical)'!P:P&gt;1))})&gt;1))),""""),"""")"),"")</f>
        <v/>
      </c>
      <c r="K459" s="96" t="str">
        <f>IFERROR(__xludf.DUMMYFUNCTION("iferror(join("", "",unique(filter({filter('Students (Vertical)'!D:D,'Students (Vertical)'!C:C=B459,'Students (Vertical)'!D:D&lt;&gt;"""");filter('Students (Vertical)'!D:D,'Students (Vertical)'!C:C=E459,'Students (Vertical)'!D:D&lt;&gt;"""")},countifs({filter('Student"&amp;"s (Vertical)'!D:D,'Students (Vertical)'!C:C=B459,'Students (Vertical)'!D:D&lt;&gt;"""");filter('Students (Vertical)'!D:D,'Students (Vertical)'!C:C=E459,'Students (Vertical)'!D:D&lt;&gt;"""")},{filter('Students (Vertical)'!D:D,'Students (Vertical)'!C:C=B459,'Students "&amp;"(Vertical)'!D:D&lt;&gt;"""");filter('Students (Vertical)'!D:D,'Students (Vertical)'!C:C=E459,'Students (Vertical)'!D:D&lt;&gt;"""")})&gt;1))),"""")"),"")</f>
        <v/>
      </c>
      <c r="L459" s="96"/>
      <c r="M459" s="96"/>
    </row>
    <row r="460" hidden="1">
      <c r="A460" s="8" t="s">
        <v>8</v>
      </c>
      <c r="C460" s="8" t="s">
        <v>8</v>
      </c>
      <c r="D460" s="8" t="s">
        <v>8</v>
      </c>
      <c r="F460" s="8" t="s">
        <v>8</v>
      </c>
      <c r="G460" s="8" t="s">
        <v>8</v>
      </c>
      <c r="I460" s="94" t="str">
        <f>IFERROR(__xludf.DUMMYFUNCTION("if(H460=""Must be Together"",iferror(join("", "",unique(filter({filter('Students (Vertical)'!O:O,'Students (Vertical)'!C:C=B460,'Students (Vertical)'!O:O&lt;&gt;"""");filter('Students (Vertical)'!O:O,'Students (Vertical)'!C:C=E460,'Students (Vertical)'!O:O&lt;&gt;"""&amp;""")},countifs({filter('Students (Vertical)'!O:O,'Students (Vertical)'!C:C=B460,'Students (Vertical)'!O:O&lt;&gt;"""");filter('Students (Vertical)'!O:O,'Students (Vertical)'!C:C=E460,'Students (Vertical)'!O:O&lt;&gt;"""")},{filter('Students (Vertical)'!O:O,'Students ("&amp;"Vertical)'!C:C=B460,'Students (Vertical)'!O:O&lt;&gt;"""");filter('Students (Vertical)'!O:O,'Students (Vertical)'!C:C=E460,'Students (Vertical)'!O:O&lt;&gt;"""")})&gt;1))),""No shared courses""),"""")"),"")</f>
        <v/>
      </c>
      <c r="J460" s="94" t="str">
        <f>IFERROR(__xludf.DUMMYFUNCTION("if(H460=""Can't be Together"",iferror(join("", "",unique(filter({unique(filter('Students (Vertical)'!O:O,'Students (Vertical)'!C:C=B460,'Students (Vertical)'!O:O&lt;&gt;"""",'Students (Vertical)'!P:P&gt;1));unique(filter('Students (Vertical)'!O:O,'Students (Vertic"&amp;"al)'!C:C=E460,'Students (Vertical)'!O:O&lt;&gt;"""",'Students (Vertical)'!P:P&gt;1))},countifs({unique(filter('Students (Vertical)'!O:O,'Students (Vertical)'!C:C=B460,'Students (Vertical)'!O:O&lt;&gt;"""",'Students (Vertical)'!P:P&gt;1));unique(filter('Students (Vertical)'"&amp;"!O:O,'Students (Vertical)'!C:C=E460,'Students (Vertical)'!O:O&lt;&gt;"""",'Students (Vertical)'!P:P&gt;1))},{unique(filter('Students (Vertical)'!O:O,'Students (Vertical)'!C:C=B460,'Students (Vertical)'!O:O&lt;&gt;"""",'Students (Vertical)'!P:P&gt;1));unique(filter('Student"&amp;"s (Vertical)'!O:O,'Students (Vertical)'!C:C=E460,'Students (Vertical)'!O:O&lt;&gt;"""",'Students (Vertical)'!P:P&gt;1))})&gt;1))),""""),"""")"),"")</f>
        <v/>
      </c>
      <c r="K460" s="96" t="str">
        <f>IFERROR(__xludf.DUMMYFUNCTION("iferror(join("", "",unique(filter({filter('Students (Vertical)'!D:D,'Students (Vertical)'!C:C=B460,'Students (Vertical)'!D:D&lt;&gt;"""");filter('Students (Vertical)'!D:D,'Students (Vertical)'!C:C=E460,'Students (Vertical)'!D:D&lt;&gt;"""")},countifs({filter('Student"&amp;"s (Vertical)'!D:D,'Students (Vertical)'!C:C=B460,'Students (Vertical)'!D:D&lt;&gt;"""");filter('Students (Vertical)'!D:D,'Students (Vertical)'!C:C=E460,'Students (Vertical)'!D:D&lt;&gt;"""")},{filter('Students (Vertical)'!D:D,'Students (Vertical)'!C:C=B460,'Students "&amp;"(Vertical)'!D:D&lt;&gt;"""");filter('Students (Vertical)'!D:D,'Students (Vertical)'!C:C=E460,'Students (Vertical)'!D:D&lt;&gt;"""")})&gt;1))),"""")"),"")</f>
        <v/>
      </c>
      <c r="L460" s="96"/>
      <c r="M460" s="96"/>
    </row>
    <row r="461" hidden="1">
      <c r="A461" s="8" t="s">
        <v>8</v>
      </c>
      <c r="C461" s="8" t="s">
        <v>8</v>
      </c>
      <c r="D461" s="8" t="s">
        <v>8</v>
      </c>
      <c r="F461" s="8" t="s">
        <v>8</v>
      </c>
      <c r="G461" s="8" t="s">
        <v>8</v>
      </c>
      <c r="I461" s="94" t="str">
        <f>IFERROR(__xludf.DUMMYFUNCTION("if(H461=""Must be Together"",iferror(join("", "",unique(filter({filter('Students (Vertical)'!O:O,'Students (Vertical)'!C:C=B461,'Students (Vertical)'!O:O&lt;&gt;"""");filter('Students (Vertical)'!O:O,'Students (Vertical)'!C:C=E461,'Students (Vertical)'!O:O&lt;&gt;"""&amp;""")},countifs({filter('Students (Vertical)'!O:O,'Students (Vertical)'!C:C=B461,'Students (Vertical)'!O:O&lt;&gt;"""");filter('Students (Vertical)'!O:O,'Students (Vertical)'!C:C=E461,'Students (Vertical)'!O:O&lt;&gt;"""")},{filter('Students (Vertical)'!O:O,'Students ("&amp;"Vertical)'!C:C=B461,'Students (Vertical)'!O:O&lt;&gt;"""");filter('Students (Vertical)'!O:O,'Students (Vertical)'!C:C=E461,'Students (Vertical)'!O:O&lt;&gt;"""")})&gt;1))),""No shared courses""),"""")"),"")</f>
        <v/>
      </c>
      <c r="J461" s="94" t="str">
        <f>IFERROR(__xludf.DUMMYFUNCTION("if(H461=""Can't be Together"",iferror(join("", "",unique(filter({unique(filter('Students (Vertical)'!O:O,'Students (Vertical)'!C:C=B461,'Students (Vertical)'!O:O&lt;&gt;"""",'Students (Vertical)'!P:P&gt;1));unique(filter('Students (Vertical)'!O:O,'Students (Vertic"&amp;"al)'!C:C=E461,'Students (Vertical)'!O:O&lt;&gt;"""",'Students (Vertical)'!P:P&gt;1))},countifs({unique(filter('Students (Vertical)'!O:O,'Students (Vertical)'!C:C=B461,'Students (Vertical)'!O:O&lt;&gt;"""",'Students (Vertical)'!P:P&gt;1));unique(filter('Students (Vertical)'"&amp;"!O:O,'Students (Vertical)'!C:C=E461,'Students (Vertical)'!O:O&lt;&gt;"""",'Students (Vertical)'!P:P&gt;1))},{unique(filter('Students (Vertical)'!O:O,'Students (Vertical)'!C:C=B461,'Students (Vertical)'!O:O&lt;&gt;"""",'Students (Vertical)'!P:P&gt;1));unique(filter('Student"&amp;"s (Vertical)'!O:O,'Students (Vertical)'!C:C=E461,'Students (Vertical)'!O:O&lt;&gt;"""",'Students (Vertical)'!P:P&gt;1))})&gt;1))),""""),"""")"),"")</f>
        <v/>
      </c>
      <c r="K461" s="96" t="str">
        <f>IFERROR(__xludf.DUMMYFUNCTION("iferror(join("", "",unique(filter({filter('Students (Vertical)'!D:D,'Students (Vertical)'!C:C=B461,'Students (Vertical)'!D:D&lt;&gt;"""");filter('Students (Vertical)'!D:D,'Students (Vertical)'!C:C=E461,'Students (Vertical)'!D:D&lt;&gt;"""")},countifs({filter('Student"&amp;"s (Vertical)'!D:D,'Students (Vertical)'!C:C=B461,'Students (Vertical)'!D:D&lt;&gt;"""");filter('Students (Vertical)'!D:D,'Students (Vertical)'!C:C=E461,'Students (Vertical)'!D:D&lt;&gt;"""")},{filter('Students (Vertical)'!D:D,'Students (Vertical)'!C:C=B461,'Students "&amp;"(Vertical)'!D:D&lt;&gt;"""");filter('Students (Vertical)'!D:D,'Students (Vertical)'!C:C=E461,'Students (Vertical)'!D:D&lt;&gt;"""")})&gt;1))),"""")"),"")</f>
        <v/>
      </c>
      <c r="L461" s="96"/>
      <c r="M461" s="96"/>
    </row>
    <row r="462" hidden="1">
      <c r="A462" s="8" t="s">
        <v>8</v>
      </c>
      <c r="C462" s="8" t="s">
        <v>8</v>
      </c>
      <c r="D462" s="8" t="s">
        <v>8</v>
      </c>
      <c r="F462" s="8" t="s">
        <v>8</v>
      </c>
      <c r="G462" s="8" t="s">
        <v>8</v>
      </c>
      <c r="I462" s="94" t="str">
        <f>IFERROR(__xludf.DUMMYFUNCTION("if(H462=""Must be Together"",iferror(join("", "",unique(filter({filter('Students (Vertical)'!O:O,'Students (Vertical)'!C:C=B462,'Students (Vertical)'!O:O&lt;&gt;"""");filter('Students (Vertical)'!O:O,'Students (Vertical)'!C:C=E462,'Students (Vertical)'!O:O&lt;&gt;"""&amp;""")},countifs({filter('Students (Vertical)'!O:O,'Students (Vertical)'!C:C=B462,'Students (Vertical)'!O:O&lt;&gt;"""");filter('Students (Vertical)'!O:O,'Students (Vertical)'!C:C=E462,'Students (Vertical)'!O:O&lt;&gt;"""")},{filter('Students (Vertical)'!O:O,'Students ("&amp;"Vertical)'!C:C=B462,'Students (Vertical)'!O:O&lt;&gt;"""");filter('Students (Vertical)'!O:O,'Students (Vertical)'!C:C=E462,'Students (Vertical)'!O:O&lt;&gt;"""")})&gt;1))),""No shared courses""),"""")"),"")</f>
        <v/>
      </c>
      <c r="J462" s="94" t="str">
        <f>IFERROR(__xludf.DUMMYFUNCTION("if(H462=""Can't be Together"",iferror(join("", "",unique(filter({unique(filter('Students (Vertical)'!O:O,'Students (Vertical)'!C:C=B462,'Students (Vertical)'!O:O&lt;&gt;"""",'Students (Vertical)'!P:P&gt;1));unique(filter('Students (Vertical)'!O:O,'Students (Vertic"&amp;"al)'!C:C=E462,'Students (Vertical)'!O:O&lt;&gt;"""",'Students (Vertical)'!P:P&gt;1))},countifs({unique(filter('Students (Vertical)'!O:O,'Students (Vertical)'!C:C=B462,'Students (Vertical)'!O:O&lt;&gt;"""",'Students (Vertical)'!P:P&gt;1));unique(filter('Students (Vertical)'"&amp;"!O:O,'Students (Vertical)'!C:C=E462,'Students (Vertical)'!O:O&lt;&gt;"""",'Students (Vertical)'!P:P&gt;1))},{unique(filter('Students (Vertical)'!O:O,'Students (Vertical)'!C:C=B462,'Students (Vertical)'!O:O&lt;&gt;"""",'Students (Vertical)'!P:P&gt;1));unique(filter('Student"&amp;"s (Vertical)'!O:O,'Students (Vertical)'!C:C=E462,'Students (Vertical)'!O:O&lt;&gt;"""",'Students (Vertical)'!P:P&gt;1))})&gt;1))),""""),"""")"),"")</f>
        <v/>
      </c>
      <c r="K462" s="96" t="str">
        <f>IFERROR(__xludf.DUMMYFUNCTION("iferror(join("", "",unique(filter({filter('Students (Vertical)'!D:D,'Students (Vertical)'!C:C=B462,'Students (Vertical)'!D:D&lt;&gt;"""");filter('Students (Vertical)'!D:D,'Students (Vertical)'!C:C=E462,'Students (Vertical)'!D:D&lt;&gt;"""")},countifs({filter('Student"&amp;"s (Vertical)'!D:D,'Students (Vertical)'!C:C=B462,'Students (Vertical)'!D:D&lt;&gt;"""");filter('Students (Vertical)'!D:D,'Students (Vertical)'!C:C=E462,'Students (Vertical)'!D:D&lt;&gt;"""")},{filter('Students (Vertical)'!D:D,'Students (Vertical)'!C:C=B462,'Students "&amp;"(Vertical)'!D:D&lt;&gt;"""");filter('Students (Vertical)'!D:D,'Students (Vertical)'!C:C=E462,'Students (Vertical)'!D:D&lt;&gt;"""")})&gt;1))),"""")"),"")</f>
        <v/>
      </c>
      <c r="L462" s="96"/>
      <c r="M462" s="96"/>
    </row>
    <row r="463" hidden="1">
      <c r="A463" s="8" t="s">
        <v>8</v>
      </c>
      <c r="C463" s="8" t="s">
        <v>8</v>
      </c>
      <c r="D463" s="8" t="s">
        <v>8</v>
      </c>
      <c r="F463" s="8" t="s">
        <v>8</v>
      </c>
      <c r="G463" s="8" t="s">
        <v>8</v>
      </c>
      <c r="I463" s="94" t="str">
        <f>IFERROR(__xludf.DUMMYFUNCTION("if(H463=""Must be Together"",iferror(join("", "",unique(filter({filter('Students (Vertical)'!O:O,'Students (Vertical)'!C:C=B463,'Students (Vertical)'!O:O&lt;&gt;"""");filter('Students (Vertical)'!O:O,'Students (Vertical)'!C:C=E463,'Students (Vertical)'!O:O&lt;&gt;"""&amp;""")},countifs({filter('Students (Vertical)'!O:O,'Students (Vertical)'!C:C=B463,'Students (Vertical)'!O:O&lt;&gt;"""");filter('Students (Vertical)'!O:O,'Students (Vertical)'!C:C=E463,'Students (Vertical)'!O:O&lt;&gt;"""")},{filter('Students (Vertical)'!O:O,'Students ("&amp;"Vertical)'!C:C=B463,'Students (Vertical)'!O:O&lt;&gt;"""");filter('Students (Vertical)'!O:O,'Students (Vertical)'!C:C=E463,'Students (Vertical)'!O:O&lt;&gt;"""")})&gt;1))),""No shared courses""),"""")"),"")</f>
        <v/>
      </c>
      <c r="J463" s="94" t="str">
        <f>IFERROR(__xludf.DUMMYFUNCTION("if(H463=""Can't be Together"",iferror(join("", "",unique(filter({unique(filter('Students (Vertical)'!O:O,'Students (Vertical)'!C:C=B463,'Students (Vertical)'!O:O&lt;&gt;"""",'Students (Vertical)'!P:P&gt;1));unique(filter('Students (Vertical)'!O:O,'Students (Vertic"&amp;"al)'!C:C=E463,'Students (Vertical)'!O:O&lt;&gt;"""",'Students (Vertical)'!P:P&gt;1))},countifs({unique(filter('Students (Vertical)'!O:O,'Students (Vertical)'!C:C=B463,'Students (Vertical)'!O:O&lt;&gt;"""",'Students (Vertical)'!P:P&gt;1));unique(filter('Students (Vertical)'"&amp;"!O:O,'Students (Vertical)'!C:C=E463,'Students (Vertical)'!O:O&lt;&gt;"""",'Students (Vertical)'!P:P&gt;1))},{unique(filter('Students (Vertical)'!O:O,'Students (Vertical)'!C:C=B463,'Students (Vertical)'!O:O&lt;&gt;"""",'Students (Vertical)'!P:P&gt;1));unique(filter('Student"&amp;"s (Vertical)'!O:O,'Students (Vertical)'!C:C=E463,'Students (Vertical)'!O:O&lt;&gt;"""",'Students (Vertical)'!P:P&gt;1))})&gt;1))),""""),"""")"),"")</f>
        <v/>
      </c>
      <c r="K463" s="96" t="str">
        <f>IFERROR(__xludf.DUMMYFUNCTION("iferror(join("", "",unique(filter({filter('Students (Vertical)'!D:D,'Students (Vertical)'!C:C=B463,'Students (Vertical)'!D:D&lt;&gt;"""");filter('Students (Vertical)'!D:D,'Students (Vertical)'!C:C=E463,'Students (Vertical)'!D:D&lt;&gt;"""")},countifs({filter('Student"&amp;"s (Vertical)'!D:D,'Students (Vertical)'!C:C=B463,'Students (Vertical)'!D:D&lt;&gt;"""");filter('Students (Vertical)'!D:D,'Students (Vertical)'!C:C=E463,'Students (Vertical)'!D:D&lt;&gt;"""")},{filter('Students (Vertical)'!D:D,'Students (Vertical)'!C:C=B463,'Students "&amp;"(Vertical)'!D:D&lt;&gt;"""");filter('Students (Vertical)'!D:D,'Students (Vertical)'!C:C=E463,'Students (Vertical)'!D:D&lt;&gt;"""")})&gt;1))),"""")"),"")</f>
        <v/>
      </c>
      <c r="L463" s="96"/>
      <c r="M463" s="96"/>
    </row>
    <row r="464" hidden="1">
      <c r="A464" s="8" t="s">
        <v>8</v>
      </c>
      <c r="C464" s="8" t="s">
        <v>8</v>
      </c>
      <c r="D464" s="8" t="s">
        <v>8</v>
      </c>
      <c r="F464" s="8" t="s">
        <v>8</v>
      </c>
      <c r="G464" s="8" t="s">
        <v>8</v>
      </c>
      <c r="I464" s="94" t="str">
        <f>IFERROR(__xludf.DUMMYFUNCTION("if(H464=""Must be Together"",iferror(join("", "",unique(filter({filter('Students (Vertical)'!O:O,'Students (Vertical)'!C:C=B464,'Students (Vertical)'!O:O&lt;&gt;"""");filter('Students (Vertical)'!O:O,'Students (Vertical)'!C:C=E464,'Students (Vertical)'!O:O&lt;&gt;"""&amp;""")},countifs({filter('Students (Vertical)'!O:O,'Students (Vertical)'!C:C=B464,'Students (Vertical)'!O:O&lt;&gt;"""");filter('Students (Vertical)'!O:O,'Students (Vertical)'!C:C=E464,'Students (Vertical)'!O:O&lt;&gt;"""")},{filter('Students (Vertical)'!O:O,'Students ("&amp;"Vertical)'!C:C=B464,'Students (Vertical)'!O:O&lt;&gt;"""");filter('Students (Vertical)'!O:O,'Students (Vertical)'!C:C=E464,'Students (Vertical)'!O:O&lt;&gt;"""")})&gt;1))),""No shared courses""),"""")"),"")</f>
        <v/>
      </c>
      <c r="J464" s="94" t="str">
        <f>IFERROR(__xludf.DUMMYFUNCTION("if(H464=""Can't be Together"",iferror(join("", "",unique(filter({unique(filter('Students (Vertical)'!O:O,'Students (Vertical)'!C:C=B464,'Students (Vertical)'!O:O&lt;&gt;"""",'Students (Vertical)'!P:P&gt;1));unique(filter('Students (Vertical)'!O:O,'Students (Vertic"&amp;"al)'!C:C=E464,'Students (Vertical)'!O:O&lt;&gt;"""",'Students (Vertical)'!P:P&gt;1))},countifs({unique(filter('Students (Vertical)'!O:O,'Students (Vertical)'!C:C=B464,'Students (Vertical)'!O:O&lt;&gt;"""",'Students (Vertical)'!P:P&gt;1));unique(filter('Students (Vertical)'"&amp;"!O:O,'Students (Vertical)'!C:C=E464,'Students (Vertical)'!O:O&lt;&gt;"""",'Students (Vertical)'!P:P&gt;1))},{unique(filter('Students (Vertical)'!O:O,'Students (Vertical)'!C:C=B464,'Students (Vertical)'!O:O&lt;&gt;"""",'Students (Vertical)'!P:P&gt;1));unique(filter('Student"&amp;"s (Vertical)'!O:O,'Students (Vertical)'!C:C=E464,'Students (Vertical)'!O:O&lt;&gt;"""",'Students (Vertical)'!P:P&gt;1))})&gt;1))),""""),"""")"),"")</f>
        <v/>
      </c>
      <c r="K464" s="96" t="str">
        <f>IFERROR(__xludf.DUMMYFUNCTION("iferror(join("", "",unique(filter({filter('Students (Vertical)'!D:D,'Students (Vertical)'!C:C=B464,'Students (Vertical)'!D:D&lt;&gt;"""");filter('Students (Vertical)'!D:D,'Students (Vertical)'!C:C=E464,'Students (Vertical)'!D:D&lt;&gt;"""")},countifs({filter('Student"&amp;"s (Vertical)'!D:D,'Students (Vertical)'!C:C=B464,'Students (Vertical)'!D:D&lt;&gt;"""");filter('Students (Vertical)'!D:D,'Students (Vertical)'!C:C=E464,'Students (Vertical)'!D:D&lt;&gt;"""")},{filter('Students (Vertical)'!D:D,'Students (Vertical)'!C:C=B464,'Students "&amp;"(Vertical)'!D:D&lt;&gt;"""");filter('Students (Vertical)'!D:D,'Students (Vertical)'!C:C=E464,'Students (Vertical)'!D:D&lt;&gt;"""")})&gt;1))),"""")"),"")</f>
        <v/>
      </c>
      <c r="L464" s="96"/>
      <c r="M464" s="96"/>
    </row>
    <row r="465" hidden="1">
      <c r="A465" s="8" t="s">
        <v>8</v>
      </c>
      <c r="C465" s="8" t="s">
        <v>8</v>
      </c>
      <c r="D465" s="8" t="s">
        <v>8</v>
      </c>
      <c r="F465" s="8" t="s">
        <v>8</v>
      </c>
      <c r="G465" s="8" t="s">
        <v>8</v>
      </c>
      <c r="I465" s="94" t="str">
        <f>IFERROR(__xludf.DUMMYFUNCTION("if(H465=""Must be Together"",iferror(join("", "",unique(filter({filter('Students (Vertical)'!O:O,'Students (Vertical)'!C:C=B465,'Students (Vertical)'!O:O&lt;&gt;"""");filter('Students (Vertical)'!O:O,'Students (Vertical)'!C:C=E465,'Students (Vertical)'!O:O&lt;&gt;"""&amp;""")},countifs({filter('Students (Vertical)'!O:O,'Students (Vertical)'!C:C=B465,'Students (Vertical)'!O:O&lt;&gt;"""");filter('Students (Vertical)'!O:O,'Students (Vertical)'!C:C=E465,'Students (Vertical)'!O:O&lt;&gt;"""")},{filter('Students (Vertical)'!O:O,'Students ("&amp;"Vertical)'!C:C=B465,'Students (Vertical)'!O:O&lt;&gt;"""");filter('Students (Vertical)'!O:O,'Students (Vertical)'!C:C=E465,'Students (Vertical)'!O:O&lt;&gt;"""")})&gt;1))),""No shared courses""),"""")"),"")</f>
        <v/>
      </c>
      <c r="J465" s="94" t="str">
        <f>IFERROR(__xludf.DUMMYFUNCTION("if(H465=""Can't be Together"",iferror(join("", "",unique(filter({unique(filter('Students (Vertical)'!O:O,'Students (Vertical)'!C:C=B465,'Students (Vertical)'!O:O&lt;&gt;"""",'Students (Vertical)'!P:P&gt;1));unique(filter('Students (Vertical)'!O:O,'Students (Vertic"&amp;"al)'!C:C=E465,'Students (Vertical)'!O:O&lt;&gt;"""",'Students (Vertical)'!P:P&gt;1))},countifs({unique(filter('Students (Vertical)'!O:O,'Students (Vertical)'!C:C=B465,'Students (Vertical)'!O:O&lt;&gt;"""",'Students (Vertical)'!P:P&gt;1));unique(filter('Students (Vertical)'"&amp;"!O:O,'Students (Vertical)'!C:C=E465,'Students (Vertical)'!O:O&lt;&gt;"""",'Students (Vertical)'!P:P&gt;1))},{unique(filter('Students (Vertical)'!O:O,'Students (Vertical)'!C:C=B465,'Students (Vertical)'!O:O&lt;&gt;"""",'Students (Vertical)'!P:P&gt;1));unique(filter('Student"&amp;"s (Vertical)'!O:O,'Students (Vertical)'!C:C=E465,'Students (Vertical)'!O:O&lt;&gt;"""",'Students (Vertical)'!P:P&gt;1))})&gt;1))),""""),"""")"),"")</f>
        <v/>
      </c>
      <c r="K465" s="96" t="str">
        <f>IFERROR(__xludf.DUMMYFUNCTION("iferror(join("", "",unique(filter({filter('Students (Vertical)'!D:D,'Students (Vertical)'!C:C=B465,'Students (Vertical)'!D:D&lt;&gt;"""");filter('Students (Vertical)'!D:D,'Students (Vertical)'!C:C=E465,'Students (Vertical)'!D:D&lt;&gt;"""")},countifs({filter('Student"&amp;"s (Vertical)'!D:D,'Students (Vertical)'!C:C=B465,'Students (Vertical)'!D:D&lt;&gt;"""");filter('Students (Vertical)'!D:D,'Students (Vertical)'!C:C=E465,'Students (Vertical)'!D:D&lt;&gt;"""")},{filter('Students (Vertical)'!D:D,'Students (Vertical)'!C:C=B465,'Students "&amp;"(Vertical)'!D:D&lt;&gt;"""");filter('Students (Vertical)'!D:D,'Students (Vertical)'!C:C=E465,'Students (Vertical)'!D:D&lt;&gt;"""")})&gt;1))),"""")"),"")</f>
        <v/>
      </c>
      <c r="L465" s="96"/>
      <c r="M465" s="96"/>
    </row>
    <row r="466" hidden="1">
      <c r="A466" s="8" t="s">
        <v>8</v>
      </c>
      <c r="C466" s="8" t="s">
        <v>8</v>
      </c>
      <c r="D466" s="8" t="s">
        <v>8</v>
      </c>
      <c r="F466" s="8" t="s">
        <v>8</v>
      </c>
      <c r="G466" s="8" t="s">
        <v>8</v>
      </c>
      <c r="I466" s="94" t="str">
        <f>IFERROR(__xludf.DUMMYFUNCTION("if(H466=""Must be Together"",iferror(join("", "",unique(filter({filter('Students (Vertical)'!O:O,'Students (Vertical)'!C:C=B466,'Students (Vertical)'!O:O&lt;&gt;"""");filter('Students (Vertical)'!O:O,'Students (Vertical)'!C:C=E466,'Students (Vertical)'!O:O&lt;&gt;"""&amp;""")},countifs({filter('Students (Vertical)'!O:O,'Students (Vertical)'!C:C=B466,'Students (Vertical)'!O:O&lt;&gt;"""");filter('Students (Vertical)'!O:O,'Students (Vertical)'!C:C=E466,'Students (Vertical)'!O:O&lt;&gt;"""")},{filter('Students (Vertical)'!O:O,'Students ("&amp;"Vertical)'!C:C=B466,'Students (Vertical)'!O:O&lt;&gt;"""");filter('Students (Vertical)'!O:O,'Students (Vertical)'!C:C=E466,'Students (Vertical)'!O:O&lt;&gt;"""")})&gt;1))),""No shared courses""),"""")"),"")</f>
        <v/>
      </c>
      <c r="J466" s="94" t="str">
        <f>IFERROR(__xludf.DUMMYFUNCTION("if(H466=""Can't be Together"",iferror(join("", "",unique(filter({unique(filter('Students (Vertical)'!O:O,'Students (Vertical)'!C:C=B466,'Students (Vertical)'!O:O&lt;&gt;"""",'Students (Vertical)'!P:P&gt;1));unique(filter('Students (Vertical)'!O:O,'Students (Vertic"&amp;"al)'!C:C=E466,'Students (Vertical)'!O:O&lt;&gt;"""",'Students (Vertical)'!P:P&gt;1))},countifs({unique(filter('Students (Vertical)'!O:O,'Students (Vertical)'!C:C=B466,'Students (Vertical)'!O:O&lt;&gt;"""",'Students (Vertical)'!P:P&gt;1));unique(filter('Students (Vertical)'"&amp;"!O:O,'Students (Vertical)'!C:C=E466,'Students (Vertical)'!O:O&lt;&gt;"""",'Students (Vertical)'!P:P&gt;1))},{unique(filter('Students (Vertical)'!O:O,'Students (Vertical)'!C:C=B466,'Students (Vertical)'!O:O&lt;&gt;"""",'Students (Vertical)'!P:P&gt;1));unique(filter('Student"&amp;"s (Vertical)'!O:O,'Students (Vertical)'!C:C=E466,'Students (Vertical)'!O:O&lt;&gt;"""",'Students (Vertical)'!P:P&gt;1))})&gt;1))),""""),"""")"),"")</f>
        <v/>
      </c>
      <c r="K466" s="96" t="str">
        <f>IFERROR(__xludf.DUMMYFUNCTION("iferror(join("", "",unique(filter({filter('Students (Vertical)'!D:D,'Students (Vertical)'!C:C=B466,'Students (Vertical)'!D:D&lt;&gt;"""");filter('Students (Vertical)'!D:D,'Students (Vertical)'!C:C=E466,'Students (Vertical)'!D:D&lt;&gt;"""")},countifs({filter('Student"&amp;"s (Vertical)'!D:D,'Students (Vertical)'!C:C=B466,'Students (Vertical)'!D:D&lt;&gt;"""");filter('Students (Vertical)'!D:D,'Students (Vertical)'!C:C=E466,'Students (Vertical)'!D:D&lt;&gt;"""")},{filter('Students (Vertical)'!D:D,'Students (Vertical)'!C:C=B466,'Students "&amp;"(Vertical)'!D:D&lt;&gt;"""");filter('Students (Vertical)'!D:D,'Students (Vertical)'!C:C=E466,'Students (Vertical)'!D:D&lt;&gt;"""")})&gt;1))),"""")"),"")</f>
        <v/>
      </c>
      <c r="L466" s="96"/>
      <c r="M466" s="96"/>
    </row>
    <row r="467" hidden="1">
      <c r="A467" s="8" t="s">
        <v>8</v>
      </c>
      <c r="C467" s="8" t="s">
        <v>8</v>
      </c>
      <c r="D467" s="8" t="s">
        <v>8</v>
      </c>
      <c r="F467" s="8" t="s">
        <v>8</v>
      </c>
      <c r="G467" s="8" t="s">
        <v>8</v>
      </c>
      <c r="I467" s="94" t="str">
        <f>IFERROR(__xludf.DUMMYFUNCTION("if(H467=""Must be Together"",iferror(join("", "",unique(filter({filter('Students (Vertical)'!O:O,'Students (Vertical)'!C:C=B467,'Students (Vertical)'!O:O&lt;&gt;"""");filter('Students (Vertical)'!O:O,'Students (Vertical)'!C:C=E467,'Students (Vertical)'!O:O&lt;&gt;"""&amp;""")},countifs({filter('Students (Vertical)'!O:O,'Students (Vertical)'!C:C=B467,'Students (Vertical)'!O:O&lt;&gt;"""");filter('Students (Vertical)'!O:O,'Students (Vertical)'!C:C=E467,'Students (Vertical)'!O:O&lt;&gt;"""")},{filter('Students (Vertical)'!O:O,'Students ("&amp;"Vertical)'!C:C=B467,'Students (Vertical)'!O:O&lt;&gt;"""");filter('Students (Vertical)'!O:O,'Students (Vertical)'!C:C=E467,'Students (Vertical)'!O:O&lt;&gt;"""")})&gt;1))),""No shared courses""),"""")"),"")</f>
        <v/>
      </c>
      <c r="J467" s="94" t="str">
        <f>IFERROR(__xludf.DUMMYFUNCTION("if(H467=""Can't be Together"",iferror(join("", "",unique(filter({unique(filter('Students (Vertical)'!O:O,'Students (Vertical)'!C:C=B467,'Students (Vertical)'!O:O&lt;&gt;"""",'Students (Vertical)'!P:P&gt;1));unique(filter('Students (Vertical)'!O:O,'Students (Vertic"&amp;"al)'!C:C=E467,'Students (Vertical)'!O:O&lt;&gt;"""",'Students (Vertical)'!P:P&gt;1))},countifs({unique(filter('Students (Vertical)'!O:O,'Students (Vertical)'!C:C=B467,'Students (Vertical)'!O:O&lt;&gt;"""",'Students (Vertical)'!P:P&gt;1));unique(filter('Students (Vertical)'"&amp;"!O:O,'Students (Vertical)'!C:C=E467,'Students (Vertical)'!O:O&lt;&gt;"""",'Students (Vertical)'!P:P&gt;1))},{unique(filter('Students (Vertical)'!O:O,'Students (Vertical)'!C:C=B467,'Students (Vertical)'!O:O&lt;&gt;"""",'Students (Vertical)'!P:P&gt;1));unique(filter('Student"&amp;"s (Vertical)'!O:O,'Students (Vertical)'!C:C=E467,'Students (Vertical)'!O:O&lt;&gt;"""",'Students (Vertical)'!P:P&gt;1))})&gt;1))),""""),"""")"),"")</f>
        <v/>
      </c>
      <c r="K467" s="96" t="str">
        <f>IFERROR(__xludf.DUMMYFUNCTION("iferror(join("", "",unique(filter({filter('Students (Vertical)'!D:D,'Students (Vertical)'!C:C=B467,'Students (Vertical)'!D:D&lt;&gt;"""");filter('Students (Vertical)'!D:D,'Students (Vertical)'!C:C=E467,'Students (Vertical)'!D:D&lt;&gt;"""")},countifs({filter('Student"&amp;"s (Vertical)'!D:D,'Students (Vertical)'!C:C=B467,'Students (Vertical)'!D:D&lt;&gt;"""");filter('Students (Vertical)'!D:D,'Students (Vertical)'!C:C=E467,'Students (Vertical)'!D:D&lt;&gt;"""")},{filter('Students (Vertical)'!D:D,'Students (Vertical)'!C:C=B467,'Students "&amp;"(Vertical)'!D:D&lt;&gt;"""");filter('Students (Vertical)'!D:D,'Students (Vertical)'!C:C=E467,'Students (Vertical)'!D:D&lt;&gt;"""")})&gt;1))),"""")"),"")</f>
        <v/>
      </c>
      <c r="L467" s="96"/>
      <c r="M467" s="96"/>
    </row>
    <row r="468" hidden="1">
      <c r="A468" s="8" t="s">
        <v>8</v>
      </c>
      <c r="C468" s="8" t="s">
        <v>8</v>
      </c>
      <c r="D468" s="8" t="s">
        <v>8</v>
      </c>
      <c r="F468" s="8" t="s">
        <v>8</v>
      </c>
      <c r="G468" s="8" t="s">
        <v>8</v>
      </c>
      <c r="I468" s="94" t="str">
        <f>IFERROR(__xludf.DUMMYFUNCTION("if(H468=""Must be Together"",iferror(join("", "",unique(filter({filter('Students (Vertical)'!O:O,'Students (Vertical)'!C:C=B468,'Students (Vertical)'!O:O&lt;&gt;"""");filter('Students (Vertical)'!O:O,'Students (Vertical)'!C:C=E468,'Students (Vertical)'!O:O&lt;&gt;"""&amp;""")},countifs({filter('Students (Vertical)'!O:O,'Students (Vertical)'!C:C=B468,'Students (Vertical)'!O:O&lt;&gt;"""");filter('Students (Vertical)'!O:O,'Students (Vertical)'!C:C=E468,'Students (Vertical)'!O:O&lt;&gt;"""")},{filter('Students (Vertical)'!O:O,'Students ("&amp;"Vertical)'!C:C=B468,'Students (Vertical)'!O:O&lt;&gt;"""");filter('Students (Vertical)'!O:O,'Students (Vertical)'!C:C=E468,'Students (Vertical)'!O:O&lt;&gt;"""")})&gt;1))),""No shared courses""),"""")"),"")</f>
        <v/>
      </c>
      <c r="J468" s="94" t="str">
        <f>IFERROR(__xludf.DUMMYFUNCTION("if(H468=""Can't be Together"",iferror(join("", "",unique(filter({unique(filter('Students (Vertical)'!O:O,'Students (Vertical)'!C:C=B468,'Students (Vertical)'!O:O&lt;&gt;"""",'Students (Vertical)'!P:P&gt;1));unique(filter('Students (Vertical)'!O:O,'Students (Vertic"&amp;"al)'!C:C=E468,'Students (Vertical)'!O:O&lt;&gt;"""",'Students (Vertical)'!P:P&gt;1))},countifs({unique(filter('Students (Vertical)'!O:O,'Students (Vertical)'!C:C=B468,'Students (Vertical)'!O:O&lt;&gt;"""",'Students (Vertical)'!P:P&gt;1));unique(filter('Students (Vertical)'"&amp;"!O:O,'Students (Vertical)'!C:C=E468,'Students (Vertical)'!O:O&lt;&gt;"""",'Students (Vertical)'!P:P&gt;1))},{unique(filter('Students (Vertical)'!O:O,'Students (Vertical)'!C:C=B468,'Students (Vertical)'!O:O&lt;&gt;"""",'Students (Vertical)'!P:P&gt;1));unique(filter('Student"&amp;"s (Vertical)'!O:O,'Students (Vertical)'!C:C=E468,'Students (Vertical)'!O:O&lt;&gt;"""",'Students (Vertical)'!P:P&gt;1))})&gt;1))),""""),"""")"),"")</f>
        <v/>
      </c>
      <c r="K468" s="96" t="str">
        <f>IFERROR(__xludf.DUMMYFUNCTION("iferror(join("", "",unique(filter({filter('Students (Vertical)'!D:D,'Students (Vertical)'!C:C=B468,'Students (Vertical)'!D:D&lt;&gt;"""");filter('Students (Vertical)'!D:D,'Students (Vertical)'!C:C=E468,'Students (Vertical)'!D:D&lt;&gt;"""")},countifs({filter('Student"&amp;"s (Vertical)'!D:D,'Students (Vertical)'!C:C=B468,'Students (Vertical)'!D:D&lt;&gt;"""");filter('Students (Vertical)'!D:D,'Students (Vertical)'!C:C=E468,'Students (Vertical)'!D:D&lt;&gt;"""")},{filter('Students (Vertical)'!D:D,'Students (Vertical)'!C:C=B468,'Students "&amp;"(Vertical)'!D:D&lt;&gt;"""");filter('Students (Vertical)'!D:D,'Students (Vertical)'!C:C=E468,'Students (Vertical)'!D:D&lt;&gt;"""")})&gt;1))),"""")"),"")</f>
        <v/>
      </c>
      <c r="L468" s="96"/>
      <c r="M468" s="96"/>
    </row>
    <row r="469" hidden="1">
      <c r="A469" s="8" t="s">
        <v>8</v>
      </c>
      <c r="C469" s="8" t="s">
        <v>8</v>
      </c>
      <c r="D469" s="8" t="s">
        <v>8</v>
      </c>
      <c r="F469" s="8" t="s">
        <v>8</v>
      </c>
      <c r="G469" s="8" t="s">
        <v>8</v>
      </c>
      <c r="I469" s="94" t="str">
        <f>IFERROR(__xludf.DUMMYFUNCTION("if(H469=""Must be Together"",iferror(join("", "",unique(filter({filter('Students (Vertical)'!O:O,'Students (Vertical)'!C:C=B469,'Students (Vertical)'!O:O&lt;&gt;"""");filter('Students (Vertical)'!O:O,'Students (Vertical)'!C:C=E469,'Students (Vertical)'!O:O&lt;&gt;"""&amp;""")},countifs({filter('Students (Vertical)'!O:O,'Students (Vertical)'!C:C=B469,'Students (Vertical)'!O:O&lt;&gt;"""");filter('Students (Vertical)'!O:O,'Students (Vertical)'!C:C=E469,'Students (Vertical)'!O:O&lt;&gt;"""")},{filter('Students (Vertical)'!O:O,'Students ("&amp;"Vertical)'!C:C=B469,'Students (Vertical)'!O:O&lt;&gt;"""");filter('Students (Vertical)'!O:O,'Students (Vertical)'!C:C=E469,'Students (Vertical)'!O:O&lt;&gt;"""")})&gt;1))),""No shared courses""),"""")"),"")</f>
        <v/>
      </c>
      <c r="J469" s="94" t="str">
        <f>IFERROR(__xludf.DUMMYFUNCTION("if(H469=""Can't be Together"",iferror(join("", "",unique(filter({unique(filter('Students (Vertical)'!O:O,'Students (Vertical)'!C:C=B469,'Students (Vertical)'!O:O&lt;&gt;"""",'Students (Vertical)'!P:P&gt;1));unique(filter('Students (Vertical)'!O:O,'Students (Vertic"&amp;"al)'!C:C=E469,'Students (Vertical)'!O:O&lt;&gt;"""",'Students (Vertical)'!P:P&gt;1))},countifs({unique(filter('Students (Vertical)'!O:O,'Students (Vertical)'!C:C=B469,'Students (Vertical)'!O:O&lt;&gt;"""",'Students (Vertical)'!P:P&gt;1));unique(filter('Students (Vertical)'"&amp;"!O:O,'Students (Vertical)'!C:C=E469,'Students (Vertical)'!O:O&lt;&gt;"""",'Students (Vertical)'!P:P&gt;1))},{unique(filter('Students (Vertical)'!O:O,'Students (Vertical)'!C:C=B469,'Students (Vertical)'!O:O&lt;&gt;"""",'Students (Vertical)'!P:P&gt;1));unique(filter('Student"&amp;"s (Vertical)'!O:O,'Students (Vertical)'!C:C=E469,'Students (Vertical)'!O:O&lt;&gt;"""",'Students (Vertical)'!P:P&gt;1))})&gt;1))),""""),"""")"),"")</f>
        <v/>
      </c>
      <c r="K469" s="96" t="str">
        <f>IFERROR(__xludf.DUMMYFUNCTION("iferror(join("", "",unique(filter({filter('Students (Vertical)'!D:D,'Students (Vertical)'!C:C=B469,'Students (Vertical)'!D:D&lt;&gt;"""");filter('Students (Vertical)'!D:D,'Students (Vertical)'!C:C=E469,'Students (Vertical)'!D:D&lt;&gt;"""")},countifs({filter('Student"&amp;"s (Vertical)'!D:D,'Students (Vertical)'!C:C=B469,'Students (Vertical)'!D:D&lt;&gt;"""");filter('Students (Vertical)'!D:D,'Students (Vertical)'!C:C=E469,'Students (Vertical)'!D:D&lt;&gt;"""")},{filter('Students (Vertical)'!D:D,'Students (Vertical)'!C:C=B469,'Students "&amp;"(Vertical)'!D:D&lt;&gt;"""");filter('Students (Vertical)'!D:D,'Students (Vertical)'!C:C=E469,'Students (Vertical)'!D:D&lt;&gt;"""")})&gt;1))),"""")"),"")</f>
        <v/>
      </c>
      <c r="L469" s="96"/>
      <c r="M469" s="96"/>
    </row>
    <row r="470" hidden="1">
      <c r="A470" s="8" t="s">
        <v>8</v>
      </c>
      <c r="C470" s="8" t="s">
        <v>8</v>
      </c>
      <c r="D470" s="8" t="s">
        <v>8</v>
      </c>
      <c r="F470" s="8" t="s">
        <v>8</v>
      </c>
      <c r="G470" s="8" t="s">
        <v>8</v>
      </c>
      <c r="I470" s="94" t="str">
        <f>IFERROR(__xludf.DUMMYFUNCTION("if(H470=""Must be Together"",iferror(join("", "",unique(filter({filter('Students (Vertical)'!O:O,'Students (Vertical)'!C:C=B470,'Students (Vertical)'!O:O&lt;&gt;"""");filter('Students (Vertical)'!O:O,'Students (Vertical)'!C:C=E470,'Students (Vertical)'!O:O&lt;&gt;"""&amp;""")},countifs({filter('Students (Vertical)'!O:O,'Students (Vertical)'!C:C=B470,'Students (Vertical)'!O:O&lt;&gt;"""");filter('Students (Vertical)'!O:O,'Students (Vertical)'!C:C=E470,'Students (Vertical)'!O:O&lt;&gt;"""")},{filter('Students (Vertical)'!O:O,'Students ("&amp;"Vertical)'!C:C=B470,'Students (Vertical)'!O:O&lt;&gt;"""");filter('Students (Vertical)'!O:O,'Students (Vertical)'!C:C=E470,'Students (Vertical)'!O:O&lt;&gt;"""")})&gt;1))),""No shared courses""),"""")"),"")</f>
        <v/>
      </c>
      <c r="J470" s="94" t="str">
        <f>IFERROR(__xludf.DUMMYFUNCTION("if(H470=""Can't be Together"",iferror(join("", "",unique(filter({unique(filter('Students (Vertical)'!O:O,'Students (Vertical)'!C:C=B470,'Students (Vertical)'!O:O&lt;&gt;"""",'Students (Vertical)'!P:P&gt;1));unique(filter('Students (Vertical)'!O:O,'Students (Vertic"&amp;"al)'!C:C=E470,'Students (Vertical)'!O:O&lt;&gt;"""",'Students (Vertical)'!P:P&gt;1))},countifs({unique(filter('Students (Vertical)'!O:O,'Students (Vertical)'!C:C=B470,'Students (Vertical)'!O:O&lt;&gt;"""",'Students (Vertical)'!P:P&gt;1));unique(filter('Students (Vertical)'"&amp;"!O:O,'Students (Vertical)'!C:C=E470,'Students (Vertical)'!O:O&lt;&gt;"""",'Students (Vertical)'!P:P&gt;1))},{unique(filter('Students (Vertical)'!O:O,'Students (Vertical)'!C:C=B470,'Students (Vertical)'!O:O&lt;&gt;"""",'Students (Vertical)'!P:P&gt;1));unique(filter('Student"&amp;"s (Vertical)'!O:O,'Students (Vertical)'!C:C=E470,'Students (Vertical)'!O:O&lt;&gt;"""",'Students (Vertical)'!P:P&gt;1))})&gt;1))),""""),"""")"),"")</f>
        <v/>
      </c>
      <c r="K470" s="96" t="str">
        <f>IFERROR(__xludf.DUMMYFUNCTION("iferror(join("", "",unique(filter({filter('Students (Vertical)'!D:D,'Students (Vertical)'!C:C=B470,'Students (Vertical)'!D:D&lt;&gt;"""");filter('Students (Vertical)'!D:D,'Students (Vertical)'!C:C=E470,'Students (Vertical)'!D:D&lt;&gt;"""")},countifs({filter('Student"&amp;"s (Vertical)'!D:D,'Students (Vertical)'!C:C=B470,'Students (Vertical)'!D:D&lt;&gt;"""");filter('Students (Vertical)'!D:D,'Students (Vertical)'!C:C=E470,'Students (Vertical)'!D:D&lt;&gt;"""")},{filter('Students (Vertical)'!D:D,'Students (Vertical)'!C:C=B470,'Students "&amp;"(Vertical)'!D:D&lt;&gt;"""");filter('Students (Vertical)'!D:D,'Students (Vertical)'!C:C=E470,'Students (Vertical)'!D:D&lt;&gt;"""")})&gt;1))),"""")"),"")</f>
        <v/>
      </c>
      <c r="L470" s="96"/>
      <c r="M470" s="96"/>
    </row>
    <row r="471" hidden="1">
      <c r="A471" s="8" t="s">
        <v>8</v>
      </c>
      <c r="C471" s="8" t="s">
        <v>8</v>
      </c>
      <c r="D471" s="8" t="s">
        <v>8</v>
      </c>
      <c r="F471" s="8" t="s">
        <v>8</v>
      </c>
      <c r="G471" s="8" t="s">
        <v>8</v>
      </c>
      <c r="I471" s="94" t="str">
        <f>IFERROR(__xludf.DUMMYFUNCTION("if(H471=""Must be Together"",iferror(join("", "",unique(filter({filter('Students (Vertical)'!O:O,'Students (Vertical)'!C:C=B471,'Students (Vertical)'!O:O&lt;&gt;"""");filter('Students (Vertical)'!O:O,'Students (Vertical)'!C:C=E471,'Students (Vertical)'!O:O&lt;&gt;"""&amp;""")},countifs({filter('Students (Vertical)'!O:O,'Students (Vertical)'!C:C=B471,'Students (Vertical)'!O:O&lt;&gt;"""");filter('Students (Vertical)'!O:O,'Students (Vertical)'!C:C=E471,'Students (Vertical)'!O:O&lt;&gt;"""")},{filter('Students (Vertical)'!O:O,'Students ("&amp;"Vertical)'!C:C=B471,'Students (Vertical)'!O:O&lt;&gt;"""");filter('Students (Vertical)'!O:O,'Students (Vertical)'!C:C=E471,'Students (Vertical)'!O:O&lt;&gt;"""")})&gt;1))),""No shared courses""),"""")"),"")</f>
        <v/>
      </c>
      <c r="J471" s="94" t="str">
        <f>IFERROR(__xludf.DUMMYFUNCTION("if(H471=""Can't be Together"",iferror(join("", "",unique(filter({unique(filter('Students (Vertical)'!O:O,'Students (Vertical)'!C:C=B471,'Students (Vertical)'!O:O&lt;&gt;"""",'Students (Vertical)'!P:P&gt;1));unique(filter('Students (Vertical)'!O:O,'Students (Vertic"&amp;"al)'!C:C=E471,'Students (Vertical)'!O:O&lt;&gt;"""",'Students (Vertical)'!P:P&gt;1))},countifs({unique(filter('Students (Vertical)'!O:O,'Students (Vertical)'!C:C=B471,'Students (Vertical)'!O:O&lt;&gt;"""",'Students (Vertical)'!P:P&gt;1));unique(filter('Students (Vertical)'"&amp;"!O:O,'Students (Vertical)'!C:C=E471,'Students (Vertical)'!O:O&lt;&gt;"""",'Students (Vertical)'!P:P&gt;1))},{unique(filter('Students (Vertical)'!O:O,'Students (Vertical)'!C:C=B471,'Students (Vertical)'!O:O&lt;&gt;"""",'Students (Vertical)'!P:P&gt;1));unique(filter('Student"&amp;"s (Vertical)'!O:O,'Students (Vertical)'!C:C=E471,'Students (Vertical)'!O:O&lt;&gt;"""",'Students (Vertical)'!P:P&gt;1))})&gt;1))),""""),"""")"),"")</f>
        <v/>
      </c>
      <c r="K471" s="96" t="str">
        <f>IFERROR(__xludf.DUMMYFUNCTION("iferror(join("", "",unique(filter({filter('Students (Vertical)'!D:D,'Students (Vertical)'!C:C=B471,'Students (Vertical)'!D:D&lt;&gt;"""");filter('Students (Vertical)'!D:D,'Students (Vertical)'!C:C=E471,'Students (Vertical)'!D:D&lt;&gt;"""")},countifs({filter('Student"&amp;"s (Vertical)'!D:D,'Students (Vertical)'!C:C=B471,'Students (Vertical)'!D:D&lt;&gt;"""");filter('Students (Vertical)'!D:D,'Students (Vertical)'!C:C=E471,'Students (Vertical)'!D:D&lt;&gt;"""")},{filter('Students (Vertical)'!D:D,'Students (Vertical)'!C:C=B471,'Students "&amp;"(Vertical)'!D:D&lt;&gt;"""");filter('Students (Vertical)'!D:D,'Students (Vertical)'!C:C=E471,'Students (Vertical)'!D:D&lt;&gt;"""")})&gt;1))),"""")"),"")</f>
        <v/>
      </c>
      <c r="L471" s="96"/>
      <c r="M471" s="96"/>
    </row>
    <row r="472" hidden="1">
      <c r="A472" s="8" t="s">
        <v>8</v>
      </c>
      <c r="C472" s="8" t="s">
        <v>8</v>
      </c>
      <c r="D472" s="8" t="s">
        <v>8</v>
      </c>
      <c r="F472" s="8" t="s">
        <v>8</v>
      </c>
      <c r="G472" s="8" t="s">
        <v>8</v>
      </c>
      <c r="I472" s="94" t="str">
        <f>IFERROR(__xludf.DUMMYFUNCTION("if(H472=""Must be Together"",iferror(join("", "",unique(filter({filter('Students (Vertical)'!O:O,'Students (Vertical)'!C:C=B472,'Students (Vertical)'!O:O&lt;&gt;"""");filter('Students (Vertical)'!O:O,'Students (Vertical)'!C:C=E472,'Students (Vertical)'!O:O&lt;&gt;"""&amp;""")},countifs({filter('Students (Vertical)'!O:O,'Students (Vertical)'!C:C=B472,'Students (Vertical)'!O:O&lt;&gt;"""");filter('Students (Vertical)'!O:O,'Students (Vertical)'!C:C=E472,'Students (Vertical)'!O:O&lt;&gt;"""")},{filter('Students (Vertical)'!O:O,'Students ("&amp;"Vertical)'!C:C=B472,'Students (Vertical)'!O:O&lt;&gt;"""");filter('Students (Vertical)'!O:O,'Students (Vertical)'!C:C=E472,'Students (Vertical)'!O:O&lt;&gt;"""")})&gt;1))),""No shared courses""),"""")"),"")</f>
        <v/>
      </c>
      <c r="J472" s="94" t="str">
        <f>IFERROR(__xludf.DUMMYFUNCTION("if(H472=""Can't be Together"",iferror(join("", "",unique(filter({unique(filter('Students (Vertical)'!O:O,'Students (Vertical)'!C:C=B472,'Students (Vertical)'!O:O&lt;&gt;"""",'Students (Vertical)'!P:P&gt;1));unique(filter('Students (Vertical)'!O:O,'Students (Vertic"&amp;"al)'!C:C=E472,'Students (Vertical)'!O:O&lt;&gt;"""",'Students (Vertical)'!P:P&gt;1))},countifs({unique(filter('Students (Vertical)'!O:O,'Students (Vertical)'!C:C=B472,'Students (Vertical)'!O:O&lt;&gt;"""",'Students (Vertical)'!P:P&gt;1));unique(filter('Students (Vertical)'"&amp;"!O:O,'Students (Vertical)'!C:C=E472,'Students (Vertical)'!O:O&lt;&gt;"""",'Students (Vertical)'!P:P&gt;1))},{unique(filter('Students (Vertical)'!O:O,'Students (Vertical)'!C:C=B472,'Students (Vertical)'!O:O&lt;&gt;"""",'Students (Vertical)'!P:P&gt;1));unique(filter('Student"&amp;"s (Vertical)'!O:O,'Students (Vertical)'!C:C=E472,'Students (Vertical)'!O:O&lt;&gt;"""",'Students (Vertical)'!P:P&gt;1))})&gt;1))),""""),"""")"),"")</f>
        <v/>
      </c>
      <c r="K472" s="96" t="str">
        <f>IFERROR(__xludf.DUMMYFUNCTION("iferror(join("", "",unique(filter({filter('Students (Vertical)'!D:D,'Students (Vertical)'!C:C=B472,'Students (Vertical)'!D:D&lt;&gt;"""");filter('Students (Vertical)'!D:D,'Students (Vertical)'!C:C=E472,'Students (Vertical)'!D:D&lt;&gt;"""")},countifs({filter('Student"&amp;"s (Vertical)'!D:D,'Students (Vertical)'!C:C=B472,'Students (Vertical)'!D:D&lt;&gt;"""");filter('Students (Vertical)'!D:D,'Students (Vertical)'!C:C=E472,'Students (Vertical)'!D:D&lt;&gt;"""")},{filter('Students (Vertical)'!D:D,'Students (Vertical)'!C:C=B472,'Students "&amp;"(Vertical)'!D:D&lt;&gt;"""");filter('Students (Vertical)'!D:D,'Students (Vertical)'!C:C=E472,'Students (Vertical)'!D:D&lt;&gt;"""")})&gt;1))),"""")"),"")</f>
        <v/>
      </c>
      <c r="L472" s="96"/>
      <c r="M472" s="96"/>
    </row>
    <row r="473" hidden="1">
      <c r="A473" s="8" t="s">
        <v>8</v>
      </c>
      <c r="C473" s="8" t="s">
        <v>8</v>
      </c>
      <c r="D473" s="8" t="s">
        <v>8</v>
      </c>
      <c r="F473" s="8" t="s">
        <v>8</v>
      </c>
      <c r="G473" s="8" t="s">
        <v>8</v>
      </c>
      <c r="I473" s="94" t="str">
        <f>IFERROR(__xludf.DUMMYFUNCTION("if(H473=""Must be Together"",iferror(join("", "",unique(filter({filter('Students (Vertical)'!O:O,'Students (Vertical)'!C:C=B473,'Students (Vertical)'!O:O&lt;&gt;"""");filter('Students (Vertical)'!O:O,'Students (Vertical)'!C:C=E473,'Students (Vertical)'!O:O&lt;&gt;"""&amp;""")},countifs({filter('Students (Vertical)'!O:O,'Students (Vertical)'!C:C=B473,'Students (Vertical)'!O:O&lt;&gt;"""");filter('Students (Vertical)'!O:O,'Students (Vertical)'!C:C=E473,'Students (Vertical)'!O:O&lt;&gt;"""")},{filter('Students (Vertical)'!O:O,'Students ("&amp;"Vertical)'!C:C=B473,'Students (Vertical)'!O:O&lt;&gt;"""");filter('Students (Vertical)'!O:O,'Students (Vertical)'!C:C=E473,'Students (Vertical)'!O:O&lt;&gt;"""")})&gt;1))),""No shared courses""),"""")"),"")</f>
        <v/>
      </c>
      <c r="J473" s="94" t="str">
        <f>IFERROR(__xludf.DUMMYFUNCTION("if(H473=""Can't be Together"",iferror(join("", "",unique(filter({unique(filter('Students (Vertical)'!O:O,'Students (Vertical)'!C:C=B473,'Students (Vertical)'!O:O&lt;&gt;"""",'Students (Vertical)'!P:P&gt;1));unique(filter('Students (Vertical)'!O:O,'Students (Vertic"&amp;"al)'!C:C=E473,'Students (Vertical)'!O:O&lt;&gt;"""",'Students (Vertical)'!P:P&gt;1))},countifs({unique(filter('Students (Vertical)'!O:O,'Students (Vertical)'!C:C=B473,'Students (Vertical)'!O:O&lt;&gt;"""",'Students (Vertical)'!P:P&gt;1));unique(filter('Students (Vertical)'"&amp;"!O:O,'Students (Vertical)'!C:C=E473,'Students (Vertical)'!O:O&lt;&gt;"""",'Students (Vertical)'!P:P&gt;1))},{unique(filter('Students (Vertical)'!O:O,'Students (Vertical)'!C:C=B473,'Students (Vertical)'!O:O&lt;&gt;"""",'Students (Vertical)'!P:P&gt;1));unique(filter('Student"&amp;"s (Vertical)'!O:O,'Students (Vertical)'!C:C=E473,'Students (Vertical)'!O:O&lt;&gt;"""",'Students (Vertical)'!P:P&gt;1))})&gt;1))),""""),"""")"),"")</f>
        <v/>
      </c>
      <c r="K473" s="96" t="str">
        <f>IFERROR(__xludf.DUMMYFUNCTION("iferror(join("", "",unique(filter({filter('Students (Vertical)'!D:D,'Students (Vertical)'!C:C=B473,'Students (Vertical)'!D:D&lt;&gt;"""");filter('Students (Vertical)'!D:D,'Students (Vertical)'!C:C=E473,'Students (Vertical)'!D:D&lt;&gt;"""")},countifs({filter('Student"&amp;"s (Vertical)'!D:D,'Students (Vertical)'!C:C=B473,'Students (Vertical)'!D:D&lt;&gt;"""");filter('Students (Vertical)'!D:D,'Students (Vertical)'!C:C=E473,'Students (Vertical)'!D:D&lt;&gt;"""")},{filter('Students (Vertical)'!D:D,'Students (Vertical)'!C:C=B473,'Students "&amp;"(Vertical)'!D:D&lt;&gt;"""");filter('Students (Vertical)'!D:D,'Students (Vertical)'!C:C=E473,'Students (Vertical)'!D:D&lt;&gt;"""")})&gt;1))),"""")"),"")</f>
        <v/>
      </c>
      <c r="L473" s="96"/>
      <c r="M473" s="96"/>
    </row>
    <row r="474" hidden="1">
      <c r="A474" s="8" t="s">
        <v>8</v>
      </c>
      <c r="C474" s="8" t="s">
        <v>8</v>
      </c>
      <c r="D474" s="8" t="s">
        <v>8</v>
      </c>
      <c r="F474" s="8" t="s">
        <v>8</v>
      </c>
      <c r="G474" s="8" t="s">
        <v>8</v>
      </c>
      <c r="I474" s="94" t="str">
        <f>IFERROR(__xludf.DUMMYFUNCTION("if(H474=""Must be Together"",iferror(join("", "",unique(filter({filter('Students (Vertical)'!O:O,'Students (Vertical)'!C:C=B474,'Students (Vertical)'!O:O&lt;&gt;"""");filter('Students (Vertical)'!O:O,'Students (Vertical)'!C:C=E474,'Students (Vertical)'!O:O&lt;&gt;"""&amp;""")},countifs({filter('Students (Vertical)'!O:O,'Students (Vertical)'!C:C=B474,'Students (Vertical)'!O:O&lt;&gt;"""");filter('Students (Vertical)'!O:O,'Students (Vertical)'!C:C=E474,'Students (Vertical)'!O:O&lt;&gt;"""")},{filter('Students (Vertical)'!O:O,'Students ("&amp;"Vertical)'!C:C=B474,'Students (Vertical)'!O:O&lt;&gt;"""");filter('Students (Vertical)'!O:O,'Students (Vertical)'!C:C=E474,'Students (Vertical)'!O:O&lt;&gt;"""")})&gt;1))),""No shared courses""),"""")"),"")</f>
        <v/>
      </c>
      <c r="J474" s="94" t="str">
        <f>IFERROR(__xludf.DUMMYFUNCTION("if(H474=""Can't be Together"",iferror(join("", "",unique(filter({unique(filter('Students (Vertical)'!O:O,'Students (Vertical)'!C:C=B474,'Students (Vertical)'!O:O&lt;&gt;"""",'Students (Vertical)'!P:P&gt;1));unique(filter('Students (Vertical)'!O:O,'Students (Vertic"&amp;"al)'!C:C=E474,'Students (Vertical)'!O:O&lt;&gt;"""",'Students (Vertical)'!P:P&gt;1))},countifs({unique(filter('Students (Vertical)'!O:O,'Students (Vertical)'!C:C=B474,'Students (Vertical)'!O:O&lt;&gt;"""",'Students (Vertical)'!P:P&gt;1));unique(filter('Students (Vertical)'"&amp;"!O:O,'Students (Vertical)'!C:C=E474,'Students (Vertical)'!O:O&lt;&gt;"""",'Students (Vertical)'!P:P&gt;1))},{unique(filter('Students (Vertical)'!O:O,'Students (Vertical)'!C:C=B474,'Students (Vertical)'!O:O&lt;&gt;"""",'Students (Vertical)'!P:P&gt;1));unique(filter('Student"&amp;"s (Vertical)'!O:O,'Students (Vertical)'!C:C=E474,'Students (Vertical)'!O:O&lt;&gt;"""",'Students (Vertical)'!P:P&gt;1))})&gt;1))),""""),"""")"),"")</f>
        <v/>
      </c>
      <c r="K474" s="96" t="str">
        <f>IFERROR(__xludf.DUMMYFUNCTION("iferror(join("", "",unique(filter({filter('Students (Vertical)'!D:D,'Students (Vertical)'!C:C=B474,'Students (Vertical)'!D:D&lt;&gt;"""");filter('Students (Vertical)'!D:D,'Students (Vertical)'!C:C=E474,'Students (Vertical)'!D:D&lt;&gt;"""")},countifs({filter('Student"&amp;"s (Vertical)'!D:D,'Students (Vertical)'!C:C=B474,'Students (Vertical)'!D:D&lt;&gt;"""");filter('Students (Vertical)'!D:D,'Students (Vertical)'!C:C=E474,'Students (Vertical)'!D:D&lt;&gt;"""")},{filter('Students (Vertical)'!D:D,'Students (Vertical)'!C:C=B474,'Students "&amp;"(Vertical)'!D:D&lt;&gt;"""");filter('Students (Vertical)'!D:D,'Students (Vertical)'!C:C=E474,'Students (Vertical)'!D:D&lt;&gt;"""")})&gt;1))),"""")"),"")</f>
        <v/>
      </c>
      <c r="L474" s="96"/>
      <c r="M474" s="96"/>
    </row>
    <row r="475" hidden="1">
      <c r="A475" s="8" t="s">
        <v>8</v>
      </c>
      <c r="C475" s="8" t="s">
        <v>8</v>
      </c>
      <c r="D475" s="8" t="s">
        <v>8</v>
      </c>
      <c r="F475" s="8" t="s">
        <v>8</v>
      </c>
      <c r="G475" s="8" t="s">
        <v>8</v>
      </c>
      <c r="I475" s="94" t="str">
        <f>IFERROR(__xludf.DUMMYFUNCTION("if(H475=""Must be Together"",iferror(join("", "",unique(filter({filter('Students (Vertical)'!O:O,'Students (Vertical)'!C:C=B475,'Students (Vertical)'!O:O&lt;&gt;"""");filter('Students (Vertical)'!O:O,'Students (Vertical)'!C:C=E475,'Students (Vertical)'!O:O&lt;&gt;"""&amp;""")},countifs({filter('Students (Vertical)'!O:O,'Students (Vertical)'!C:C=B475,'Students (Vertical)'!O:O&lt;&gt;"""");filter('Students (Vertical)'!O:O,'Students (Vertical)'!C:C=E475,'Students (Vertical)'!O:O&lt;&gt;"""")},{filter('Students (Vertical)'!O:O,'Students ("&amp;"Vertical)'!C:C=B475,'Students (Vertical)'!O:O&lt;&gt;"""");filter('Students (Vertical)'!O:O,'Students (Vertical)'!C:C=E475,'Students (Vertical)'!O:O&lt;&gt;"""")})&gt;1))),""No shared courses""),"""")"),"")</f>
        <v/>
      </c>
      <c r="J475" s="94" t="str">
        <f>IFERROR(__xludf.DUMMYFUNCTION("if(H475=""Can't be Together"",iferror(join("", "",unique(filter({unique(filter('Students (Vertical)'!O:O,'Students (Vertical)'!C:C=B475,'Students (Vertical)'!O:O&lt;&gt;"""",'Students (Vertical)'!P:P&gt;1));unique(filter('Students (Vertical)'!O:O,'Students (Vertic"&amp;"al)'!C:C=E475,'Students (Vertical)'!O:O&lt;&gt;"""",'Students (Vertical)'!P:P&gt;1))},countifs({unique(filter('Students (Vertical)'!O:O,'Students (Vertical)'!C:C=B475,'Students (Vertical)'!O:O&lt;&gt;"""",'Students (Vertical)'!P:P&gt;1));unique(filter('Students (Vertical)'"&amp;"!O:O,'Students (Vertical)'!C:C=E475,'Students (Vertical)'!O:O&lt;&gt;"""",'Students (Vertical)'!P:P&gt;1))},{unique(filter('Students (Vertical)'!O:O,'Students (Vertical)'!C:C=B475,'Students (Vertical)'!O:O&lt;&gt;"""",'Students (Vertical)'!P:P&gt;1));unique(filter('Student"&amp;"s (Vertical)'!O:O,'Students (Vertical)'!C:C=E475,'Students (Vertical)'!O:O&lt;&gt;"""",'Students (Vertical)'!P:P&gt;1))})&gt;1))),""""),"""")"),"")</f>
        <v/>
      </c>
      <c r="K475" s="96" t="str">
        <f>IFERROR(__xludf.DUMMYFUNCTION("iferror(join("", "",unique(filter({filter('Students (Vertical)'!D:D,'Students (Vertical)'!C:C=B475,'Students (Vertical)'!D:D&lt;&gt;"""");filter('Students (Vertical)'!D:D,'Students (Vertical)'!C:C=E475,'Students (Vertical)'!D:D&lt;&gt;"""")},countifs({filter('Student"&amp;"s (Vertical)'!D:D,'Students (Vertical)'!C:C=B475,'Students (Vertical)'!D:D&lt;&gt;"""");filter('Students (Vertical)'!D:D,'Students (Vertical)'!C:C=E475,'Students (Vertical)'!D:D&lt;&gt;"""")},{filter('Students (Vertical)'!D:D,'Students (Vertical)'!C:C=B475,'Students "&amp;"(Vertical)'!D:D&lt;&gt;"""");filter('Students (Vertical)'!D:D,'Students (Vertical)'!C:C=E475,'Students (Vertical)'!D:D&lt;&gt;"""")})&gt;1))),"""")"),"")</f>
        <v/>
      </c>
      <c r="L475" s="96"/>
      <c r="M475" s="96"/>
    </row>
    <row r="476" hidden="1">
      <c r="A476" s="8" t="s">
        <v>8</v>
      </c>
      <c r="C476" s="8" t="s">
        <v>8</v>
      </c>
      <c r="D476" s="8" t="s">
        <v>8</v>
      </c>
      <c r="F476" s="8" t="s">
        <v>8</v>
      </c>
      <c r="G476" s="8" t="s">
        <v>8</v>
      </c>
      <c r="I476" s="94" t="str">
        <f>IFERROR(__xludf.DUMMYFUNCTION("if(H476=""Must be Together"",iferror(join("", "",unique(filter({filter('Students (Vertical)'!O:O,'Students (Vertical)'!C:C=B476,'Students (Vertical)'!O:O&lt;&gt;"""");filter('Students (Vertical)'!O:O,'Students (Vertical)'!C:C=E476,'Students (Vertical)'!O:O&lt;&gt;"""&amp;""")},countifs({filter('Students (Vertical)'!O:O,'Students (Vertical)'!C:C=B476,'Students (Vertical)'!O:O&lt;&gt;"""");filter('Students (Vertical)'!O:O,'Students (Vertical)'!C:C=E476,'Students (Vertical)'!O:O&lt;&gt;"""")},{filter('Students (Vertical)'!O:O,'Students ("&amp;"Vertical)'!C:C=B476,'Students (Vertical)'!O:O&lt;&gt;"""");filter('Students (Vertical)'!O:O,'Students (Vertical)'!C:C=E476,'Students (Vertical)'!O:O&lt;&gt;"""")})&gt;1))),""No shared courses""),"""")"),"")</f>
        <v/>
      </c>
      <c r="J476" s="94" t="str">
        <f>IFERROR(__xludf.DUMMYFUNCTION("if(H476=""Can't be Together"",iferror(join("", "",unique(filter({unique(filter('Students (Vertical)'!O:O,'Students (Vertical)'!C:C=B476,'Students (Vertical)'!O:O&lt;&gt;"""",'Students (Vertical)'!P:P&gt;1));unique(filter('Students (Vertical)'!O:O,'Students (Vertic"&amp;"al)'!C:C=E476,'Students (Vertical)'!O:O&lt;&gt;"""",'Students (Vertical)'!P:P&gt;1))},countifs({unique(filter('Students (Vertical)'!O:O,'Students (Vertical)'!C:C=B476,'Students (Vertical)'!O:O&lt;&gt;"""",'Students (Vertical)'!P:P&gt;1));unique(filter('Students (Vertical)'"&amp;"!O:O,'Students (Vertical)'!C:C=E476,'Students (Vertical)'!O:O&lt;&gt;"""",'Students (Vertical)'!P:P&gt;1))},{unique(filter('Students (Vertical)'!O:O,'Students (Vertical)'!C:C=B476,'Students (Vertical)'!O:O&lt;&gt;"""",'Students (Vertical)'!P:P&gt;1));unique(filter('Student"&amp;"s (Vertical)'!O:O,'Students (Vertical)'!C:C=E476,'Students (Vertical)'!O:O&lt;&gt;"""",'Students (Vertical)'!P:P&gt;1))})&gt;1))),""""),"""")"),"")</f>
        <v/>
      </c>
      <c r="K476" s="96" t="str">
        <f>IFERROR(__xludf.DUMMYFUNCTION("iferror(join("", "",unique(filter({filter('Students (Vertical)'!D:D,'Students (Vertical)'!C:C=B476,'Students (Vertical)'!D:D&lt;&gt;"""");filter('Students (Vertical)'!D:D,'Students (Vertical)'!C:C=E476,'Students (Vertical)'!D:D&lt;&gt;"""")},countifs({filter('Student"&amp;"s (Vertical)'!D:D,'Students (Vertical)'!C:C=B476,'Students (Vertical)'!D:D&lt;&gt;"""");filter('Students (Vertical)'!D:D,'Students (Vertical)'!C:C=E476,'Students (Vertical)'!D:D&lt;&gt;"""")},{filter('Students (Vertical)'!D:D,'Students (Vertical)'!C:C=B476,'Students "&amp;"(Vertical)'!D:D&lt;&gt;"""");filter('Students (Vertical)'!D:D,'Students (Vertical)'!C:C=E476,'Students (Vertical)'!D:D&lt;&gt;"""")})&gt;1))),"""")"),"")</f>
        <v/>
      </c>
      <c r="L476" s="96"/>
      <c r="M476" s="96"/>
    </row>
    <row r="477" hidden="1">
      <c r="A477" s="8" t="s">
        <v>8</v>
      </c>
      <c r="C477" s="8" t="s">
        <v>8</v>
      </c>
      <c r="D477" s="8" t="s">
        <v>8</v>
      </c>
      <c r="F477" s="8" t="s">
        <v>8</v>
      </c>
      <c r="G477" s="8" t="s">
        <v>8</v>
      </c>
      <c r="I477" s="94" t="str">
        <f>IFERROR(__xludf.DUMMYFUNCTION("if(H477=""Must be Together"",iferror(join("", "",unique(filter({filter('Students (Vertical)'!O:O,'Students (Vertical)'!C:C=B477,'Students (Vertical)'!O:O&lt;&gt;"""");filter('Students (Vertical)'!O:O,'Students (Vertical)'!C:C=E477,'Students (Vertical)'!O:O&lt;&gt;"""&amp;""")},countifs({filter('Students (Vertical)'!O:O,'Students (Vertical)'!C:C=B477,'Students (Vertical)'!O:O&lt;&gt;"""");filter('Students (Vertical)'!O:O,'Students (Vertical)'!C:C=E477,'Students (Vertical)'!O:O&lt;&gt;"""")},{filter('Students (Vertical)'!O:O,'Students ("&amp;"Vertical)'!C:C=B477,'Students (Vertical)'!O:O&lt;&gt;"""");filter('Students (Vertical)'!O:O,'Students (Vertical)'!C:C=E477,'Students (Vertical)'!O:O&lt;&gt;"""")})&gt;1))),""No shared courses""),"""")"),"")</f>
        <v/>
      </c>
      <c r="J477" s="94" t="str">
        <f>IFERROR(__xludf.DUMMYFUNCTION("if(H477=""Can't be Together"",iferror(join("", "",unique(filter({unique(filter('Students (Vertical)'!O:O,'Students (Vertical)'!C:C=B477,'Students (Vertical)'!O:O&lt;&gt;"""",'Students (Vertical)'!P:P&gt;1));unique(filter('Students (Vertical)'!O:O,'Students (Vertic"&amp;"al)'!C:C=E477,'Students (Vertical)'!O:O&lt;&gt;"""",'Students (Vertical)'!P:P&gt;1))},countifs({unique(filter('Students (Vertical)'!O:O,'Students (Vertical)'!C:C=B477,'Students (Vertical)'!O:O&lt;&gt;"""",'Students (Vertical)'!P:P&gt;1));unique(filter('Students (Vertical)'"&amp;"!O:O,'Students (Vertical)'!C:C=E477,'Students (Vertical)'!O:O&lt;&gt;"""",'Students (Vertical)'!P:P&gt;1))},{unique(filter('Students (Vertical)'!O:O,'Students (Vertical)'!C:C=B477,'Students (Vertical)'!O:O&lt;&gt;"""",'Students (Vertical)'!P:P&gt;1));unique(filter('Student"&amp;"s (Vertical)'!O:O,'Students (Vertical)'!C:C=E477,'Students (Vertical)'!O:O&lt;&gt;"""",'Students (Vertical)'!P:P&gt;1))})&gt;1))),""""),"""")"),"")</f>
        <v/>
      </c>
      <c r="K477" s="96" t="str">
        <f>IFERROR(__xludf.DUMMYFUNCTION("iferror(join("", "",unique(filter({filter('Students (Vertical)'!D:D,'Students (Vertical)'!C:C=B477,'Students (Vertical)'!D:D&lt;&gt;"""");filter('Students (Vertical)'!D:D,'Students (Vertical)'!C:C=E477,'Students (Vertical)'!D:D&lt;&gt;"""")},countifs({filter('Student"&amp;"s (Vertical)'!D:D,'Students (Vertical)'!C:C=B477,'Students (Vertical)'!D:D&lt;&gt;"""");filter('Students (Vertical)'!D:D,'Students (Vertical)'!C:C=E477,'Students (Vertical)'!D:D&lt;&gt;"""")},{filter('Students (Vertical)'!D:D,'Students (Vertical)'!C:C=B477,'Students "&amp;"(Vertical)'!D:D&lt;&gt;"""");filter('Students (Vertical)'!D:D,'Students (Vertical)'!C:C=E477,'Students (Vertical)'!D:D&lt;&gt;"""")})&gt;1))),"""")"),"")</f>
        <v/>
      </c>
      <c r="L477" s="96"/>
      <c r="M477" s="96"/>
    </row>
    <row r="478" hidden="1">
      <c r="A478" s="8" t="s">
        <v>8</v>
      </c>
      <c r="C478" s="8" t="s">
        <v>8</v>
      </c>
      <c r="D478" s="8" t="s">
        <v>8</v>
      </c>
      <c r="F478" s="8" t="s">
        <v>8</v>
      </c>
      <c r="G478" s="8" t="s">
        <v>8</v>
      </c>
      <c r="I478" s="94" t="str">
        <f>IFERROR(__xludf.DUMMYFUNCTION("if(H478=""Must be Together"",iferror(join("", "",unique(filter({filter('Students (Vertical)'!O:O,'Students (Vertical)'!C:C=B478,'Students (Vertical)'!O:O&lt;&gt;"""");filter('Students (Vertical)'!O:O,'Students (Vertical)'!C:C=E478,'Students (Vertical)'!O:O&lt;&gt;"""&amp;""")},countifs({filter('Students (Vertical)'!O:O,'Students (Vertical)'!C:C=B478,'Students (Vertical)'!O:O&lt;&gt;"""");filter('Students (Vertical)'!O:O,'Students (Vertical)'!C:C=E478,'Students (Vertical)'!O:O&lt;&gt;"""")},{filter('Students (Vertical)'!O:O,'Students ("&amp;"Vertical)'!C:C=B478,'Students (Vertical)'!O:O&lt;&gt;"""");filter('Students (Vertical)'!O:O,'Students (Vertical)'!C:C=E478,'Students (Vertical)'!O:O&lt;&gt;"""")})&gt;1))),""No shared courses""),"""")"),"")</f>
        <v/>
      </c>
      <c r="J478" s="94" t="str">
        <f>IFERROR(__xludf.DUMMYFUNCTION("if(H478=""Can't be Together"",iferror(join("", "",unique(filter({unique(filter('Students (Vertical)'!O:O,'Students (Vertical)'!C:C=B478,'Students (Vertical)'!O:O&lt;&gt;"""",'Students (Vertical)'!P:P&gt;1));unique(filter('Students (Vertical)'!O:O,'Students (Vertic"&amp;"al)'!C:C=E478,'Students (Vertical)'!O:O&lt;&gt;"""",'Students (Vertical)'!P:P&gt;1))},countifs({unique(filter('Students (Vertical)'!O:O,'Students (Vertical)'!C:C=B478,'Students (Vertical)'!O:O&lt;&gt;"""",'Students (Vertical)'!P:P&gt;1));unique(filter('Students (Vertical)'"&amp;"!O:O,'Students (Vertical)'!C:C=E478,'Students (Vertical)'!O:O&lt;&gt;"""",'Students (Vertical)'!P:P&gt;1))},{unique(filter('Students (Vertical)'!O:O,'Students (Vertical)'!C:C=B478,'Students (Vertical)'!O:O&lt;&gt;"""",'Students (Vertical)'!P:P&gt;1));unique(filter('Student"&amp;"s (Vertical)'!O:O,'Students (Vertical)'!C:C=E478,'Students (Vertical)'!O:O&lt;&gt;"""",'Students (Vertical)'!P:P&gt;1))})&gt;1))),""""),"""")"),"")</f>
        <v/>
      </c>
      <c r="K478" s="96" t="str">
        <f>IFERROR(__xludf.DUMMYFUNCTION("iferror(join("", "",unique(filter({filter('Students (Vertical)'!D:D,'Students (Vertical)'!C:C=B478,'Students (Vertical)'!D:D&lt;&gt;"""");filter('Students (Vertical)'!D:D,'Students (Vertical)'!C:C=E478,'Students (Vertical)'!D:D&lt;&gt;"""")},countifs({filter('Student"&amp;"s (Vertical)'!D:D,'Students (Vertical)'!C:C=B478,'Students (Vertical)'!D:D&lt;&gt;"""");filter('Students (Vertical)'!D:D,'Students (Vertical)'!C:C=E478,'Students (Vertical)'!D:D&lt;&gt;"""")},{filter('Students (Vertical)'!D:D,'Students (Vertical)'!C:C=B478,'Students "&amp;"(Vertical)'!D:D&lt;&gt;"""");filter('Students (Vertical)'!D:D,'Students (Vertical)'!C:C=E478,'Students (Vertical)'!D:D&lt;&gt;"""")})&gt;1))),"""")"),"")</f>
        <v/>
      </c>
      <c r="L478" s="96"/>
      <c r="M478" s="96"/>
    </row>
    <row r="479" hidden="1">
      <c r="A479" s="8" t="s">
        <v>8</v>
      </c>
      <c r="C479" s="8" t="s">
        <v>8</v>
      </c>
      <c r="D479" s="8" t="s">
        <v>8</v>
      </c>
      <c r="F479" s="8" t="s">
        <v>8</v>
      </c>
      <c r="G479" s="8" t="s">
        <v>8</v>
      </c>
      <c r="I479" s="94" t="str">
        <f>IFERROR(__xludf.DUMMYFUNCTION("if(H479=""Must be Together"",iferror(join("", "",unique(filter({filter('Students (Vertical)'!O:O,'Students (Vertical)'!C:C=B479,'Students (Vertical)'!O:O&lt;&gt;"""");filter('Students (Vertical)'!O:O,'Students (Vertical)'!C:C=E479,'Students (Vertical)'!O:O&lt;&gt;"""&amp;""")},countifs({filter('Students (Vertical)'!O:O,'Students (Vertical)'!C:C=B479,'Students (Vertical)'!O:O&lt;&gt;"""");filter('Students (Vertical)'!O:O,'Students (Vertical)'!C:C=E479,'Students (Vertical)'!O:O&lt;&gt;"""")},{filter('Students (Vertical)'!O:O,'Students ("&amp;"Vertical)'!C:C=B479,'Students (Vertical)'!O:O&lt;&gt;"""");filter('Students (Vertical)'!O:O,'Students (Vertical)'!C:C=E479,'Students (Vertical)'!O:O&lt;&gt;"""")})&gt;1))),""No shared courses""),"""")"),"")</f>
        <v/>
      </c>
      <c r="J479" s="94" t="str">
        <f>IFERROR(__xludf.DUMMYFUNCTION("if(H479=""Can't be Together"",iferror(join("", "",unique(filter({unique(filter('Students (Vertical)'!O:O,'Students (Vertical)'!C:C=B479,'Students (Vertical)'!O:O&lt;&gt;"""",'Students (Vertical)'!P:P&gt;1));unique(filter('Students (Vertical)'!O:O,'Students (Vertic"&amp;"al)'!C:C=E479,'Students (Vertical)'!O:O&lt;&gt;"""",'Students (Vertical)'!P:P&gt;1))},countifs({unique(filter('Students (Vertical)'!O:O,'Students (Vertical)'!C:C=B479,'Students (Vertical)'!O:O&lt;&gt;"""",'Students (Vertical)'!P:P&gt;1));unique(filter('Students (Vertical)'"&amp;"!O:O,'Students (Vertical)'!C:C=E479,'Students (Vertical)'!O:O&lt;&gt;"""",'Students (Vertical)'!P:P&gt;1))},{unique(filter('Students (Vertical)'!O:O,'Students (Vertical)'!C:C=B479,'Students (Vertical)'!O:O&lt;&gt;"""",'Students (Vertical)'!P:P&gt;1));unique(filter('Student"&amp;"s (Vertical)'!O:O,'Students (Vertical)'!C:C=E479,'Students (Vertical)'!O:O&lt;&gt;"""",'Students (Vertical)'!P:P&gt;1))})&gt;1))),""""),"""")"),"")</f>
        <v/>
      </c>
      <c r="K479" s="96" t="str">
        <f>IFERROR(__xludf.DUMMYFUNCTION("iferror(join("", "",unique(filter({filter('Students (Vertical)'!D:D,'Students (Vertical)'!C:C=B479,'Students (Vertical)'!D:D&lt;&gt;"""");filter('Students (Vertical)'!D:D,'Students (Vertical)'!C:C=E479,'Students (Vertical)'!D:D&lt;&gt;"""")},countifs({filter('Student"&amp;"s (Vertical)'!D:D,'Students (Vertical)'!C:C=B479,'Students (Vertical)'!D:D&lt;&gt;"""");filter('Students (Vertical)'!D:D,'Students (Vertical)'!C:C=E479,'Students (Vertical)'!D:D&lt;&gt;"""")},{filter('Students (Vertical)'!D:D,'Students (Vertical)'!C:C=B479,'Students "&amp;"(Vertical)'!D:D&lt;&gt;"""");filter('Students (Vertical)'!D:D,'Students (Vertical)'!C:C=E479,'Students (Vertical)'!D:D&lt;&gt;"""")})&gt;1))),"""")"),"")</f>
        <v/>
      </c>
      <c r="L479" s="96"/>
      <c r="M479" s="96"/>
    </row>
    <row r="480" hidden="1">
      <c r="A480" s="8" t="s">
        <v>8</v>
      </c>
      <c r="C480" s="8" t="s">
        <v>8</v>
      </c>
      <c r="D480" s="8" t="s">
        <v>8</v>
      </c>
      <c r="F480" s="8" t="s">
        <v>8</v>
      </c>
      <c r="G480" s="8" t="s">
        <v>8</v>
      </c>
      <c r="I480" s="94" t="str">
        <f>IFERROR(__xludf.DUMMYFUNCTION("if(H480=""Must be Together"",iferror(join("", "",unique(filter({filter('Students (Vertical)'!O:O,'Students (Vertical)'!C:C=B480,'Students (Vertical)'!O:O&lt;&gt;"""");filter('Students (Vertical)'!O:O,'Students (Vertical)'!C:C=E480,'Students (Vertical)'!O:O&lt;&gt;"""&amp;""")},countifs({filter('Students (Vertical)'!O:O,'Students (Vertical)'!C:C=B480,'Students (Vertical)'!O:O&lt;&gt;"""");filter('Students (Vertical)'!O:O,'Students (Vertical)'!C:C=E480,'Students (Vertical)'!O:O&lt;&gt;"""")},{filter('Students (Vertical)'!O:O,'Students ("&amp;"Vertical)'!C:C=B480,'Students (Vertical)'!O:O&lt;&gt;"""");filter('Students (Vertical)'!O:O,'Students (Vertical)'!C:C=E480,'Students (Vertical)'!O:O&lt;&gt;"""")})&gt;1))),""No shared courses""),"""")"),"")</f>
        <v/>
      </c>
      <c r="J480" s="94" t="str">
        <f>IFERROR(__xludf.DUMMYFUNCTION("if(H480=""Can't be Together"",iferror(join("", "",unique(filter({unique(filter('Students (Vertical)'!O:O,'Students (Vertical)'!C:C=B480,'Students (Vertical)'!O:O&lt;&gt;"""",'Students (Vertical)'!P:P&gt;1));unique(filter('Students (Vertical)'!O:O,'Students (Vertic"&amp;"al)'!C:C=E480,'Students (Vertical)'!O:O&lt;&gt;"""",'Students (Vertical)'!P:P&gt;1))},countifs({unique(filter('Students (Vertical)'!O:O,'Students (Vertical)'!C:C=B480,'Students (Vertical)'!O:O&lt;&gt;"""",'Students (Vertical)'!P:P&gt;1));unique(filter('Students (Vertical)'"&amp;"!O:O,'Students (Vertical)'!C:C=E480,'Students (Vertical)'!O:O&lt;&gt;"""",'Students (Vertical)'!P:P&gt;1))},{unique(filter('Students (Vertical)'!O:O,'Students (Vertical)'!C:C=B480,'Students (Vertical)'!O:O&lt;&gt;"""",'Students (Vertical)'!P:P&gt;1));unique(filter('Student"&amp;"s (Vertical)'!O:O,'Students (Vertical)'!C:C=E480,'Students (Vertical)'!O:O&lt;&gt;"""",'Students (Vertical)'!P:P&gt;1))})&gt;1))),""""),"""")"),"")</f>
        <v/>
      </c>
      <c r="K480" s="96" t="str">
        <f>IFERROR(__xludf.DUMMYFUNCTION("iferror(join("", "",unique(filter({filter('Students (Vertical)'!D:D,'Students (Vertical)'!C:C=B480,'Students (Vertical)'!D:D&lt;&gt;"""");filter('Students (Vertical)'!D:D,'Students (Vertical)'!C:C=E480,'Students (Vertical)'!D:D&lt;&gt;"""")},countifs({filter('Student"&amp;"s (Vertical)'!D:D,'Students (Vertical)'!C:C=B480,'Students (Vertical)'!D:D&lt;&gt;"""");filter('Students (Vertical)'!D:D,'Students (Vertical)'!C:C=E480,'Students (Vertical)'!D:D&lt;&gt;"""")},{filter('Students (Vertical)'!D:D,'Students (Vertical)'!C:C=B480,'Students "&amp;"(Vertical)'!D:D&lt;&gt;"""");filter('Students (Vertical)'!D:D,'Students (Vertical)'!C:C=E480,'Students (Vertical)'!D:D&lt;&gt;"""")})&gt;1))),"""")"),"")</f>
        <v/>
      </c>
      <c r="L480" s="96"/>
      <c r="M480" s="96"/>
    </row>
    <row r="481" hidden="1">
      <c r="A481" s="8" t="s">
        <v>8</v>
      </c>
      <c r="C481" s="8" t="s">
        <v>8</v>
      </c>
      <c r="D481" s="8" t="s">
        <v>8</v>
      </c>
      <c r="F481" s="8" t="s">
        <v>8</v>
      </c>
      <c r="G481" s="8" t="s">
        <v>8</v>
      </c>
      <c r="I481" s="94" t="str">
        <f>IFERROR(__xludf.DUMMYFUNCTION("if(H481=""Must be Together"",iferror(join("", "",unique(filter({filter('Students (Vertical)'!O:O,'Students (Vertical)'!C:C=B481,'Students (Vertical)'!O:O&lt;&gt;"""");filter('Students (Vertical)'!O:O,'Students (Vertical)'!C:C=E481,'Students (Vertical)'!O:O&lt;&gt;"""&amp;""")},countifs({filter('Students (Vertical)'!O:O,'Students (Vertical)'!C:C=B481,'Students (Vertical)'!O:O&lt;&gt;"""");filter('Students (Vertical)'!O:O,'Students (Vertical)'!C:C=E481,'Students (Vertical)'!O:O&lt;&gt;"""")},{filter('Students (Vertical)'!O:O,'Students ("&amp;"Vertical)'!C:C=B481,'Students (Vertical)'!O:O&lt;&gt;"""");filter('Students (Vertical)'!O:O,'Students (Vertical)'!C:C=E481,'Students (Vertical)'!O:O&lt;&gt;"""")})&gt;1))),""No shared courses""),"""")"),"")</f>
        <v/>
      </c>
      <c r="J481" s="94" t="str">
        <f>IFERROR(__xludf.DUMMYFUNCTION("if(H481=""Can't be Together"",iferror(join("", "",unique(filter({unique(filter('Students (Vertical)'!O:O,'Students (Vertical)'!C:C=B481,'Students (Vertical)'!O:O&lt;&gt;"""",'Students (Vertical)'!P:P&gt;1));unique(filter('Students (Vertical)'!O:O,'Students (Vertic"&amp;"al)'!C:C=E481,'Students (Vertical)'!O:O&lt;&gt;"""",'Students (Vertical)'!P:P&gt;1))},countifs({unique(filter('Students (Vertical)'!O:O,'Students (Vertical)'!C:C=B481,'Students (Vertical)'!O:O&lt;&gt;"""",'Students (Vertical)'!P:P&gt;1));unique(filter('Students (Vertical)'"&amp;"!O:O,'Students (Vertical)'!C:C=E481,'Students (Vertical)'!O:O&lt;&gt;"""",'Students (Vertical)'!P:P&gt;1))},{unique(filter('Students (Vertical)'!O:O,'Students (Vertical)'!C:C=B481,'Students (Vertical)'!O:O&lt;&gt;"""",'Students (Vertical)'!P:P&gt;1));unique(filter('Student"&amp;"s (Vertical)'!O:O,'Students (Vertical)'!C:C=E481,'Students (Vertical)'!O:O&lt;&gt;"""",'Students (Vertical)'!P:P&gt;1))})&gt;1))),""""),"""")"),"")</f>
        <v/>
      </c>
      <c r="K481" s="96" t="str">
        <f>IFERROR(__xludf.DUMMYFUNCTION("iferror(join("", "",unique(filter({filter('Students (Vertical)'!D:D,'Students (Vertical)'!C:C=B481,'Students (Vertical)'!D:D&lt;&gt;"""");filter('Students (Vertical)'!D:D,'Students (Vertical)'!C:C=E481,'Students (Vertical)'!D:D&lt;&gt;"""")},countifs({filter('Student"&amp;"s (Vertical)'!D:D,'Students (Vertical)'!C:C=B481,'Students (Vertical)'!D:D&lt;&gt;"""");filter('Students (Vertical)'!D:D,'Students (Vertical)'!C:C=E481,'Students (Vertical)'!D:D&lt;&gt;"""")},{filter('Students (Vertical)'!D:D,'Students (Vertical)'!C:C=B481,'Students "&amp;"(Vertical)'!D:D&lt;&gt;"""");filter('Students (Vertical)'!D:D,'Students (Vertical)'!C:C=E481,'Students (Vertical)'!D:D&lt;&gt;"""")})&gt;1))),"""")"),"")</f>
        <v/>
      </c>
      <c r="L481" s="96"/>
      <c r="M481" s="96"/>
    </row>
    <row r="482" hidden="1">
      <c r="A482" s="8" t="s">
        <v>8</v>
      </c>
      <c r="C482" s="8" t="s">
        <v>8</v>
      </c>
      <c r="D482" s="8" t="s">
        <v>8</v>
      </c>
      <c r="F482" s="8" t="s">
        <v>8</v>
      </c>
      <c r="G482" s="8" t="s">
        <v>8</v>
      </c>
      <c r="I482" s="94" t="str">
        <f>IFERROR(__xludf.DUMMYFUNCTION("if(H482=""Must be Together"",iferror(join("", "",unique(filter({filter('Students (Vertical)'!O:O,'Students (Vertical)'!C:C=B482,'Students (Vertical)'!O:O&lt;&gt;"""");filter('Students (Vertical)'!O:O,'Students (Vertical)'!C:C=E482,'Students (Vertical)'!O:O&lt;&gt;"""&amp;""")},countifs({filter('Students (Vertical)'!O:O,'Students (Vertical)'!C:C=B482,'Students (Vertical)'!O:O&lt;&gt;"""");filter('Students (Vertical)'!O:O,'Students (Vertical)'!C:C=E482,'Students (Vertical)'!O:O&lt;&gt;"""")},{filter('Students (Vertical)'!O:O,'Students ("&amp;"Vertical)'!C:C=B482,'Students (Vertical)'!O:O&lt;&gt;"""");filter('Students (Vertical)'!O:O,'Students (Vertical)'!C:C=E482,'Students (Vertical)'!O:O&lt;&gt;"""")})&gt;1))),""No shared courses""),"""")"),"")</f>
        <v/>
      </c>
      <c r="J482" s="94" t="str">
        <f>IFERROR(__xludf.DUMMYFUNCTION("if(H482=""Can't be Together"",iferror(join("", "",unique(filter({unique(filter('Students (Vertical)'!O:O,'Students (Vertical)'!C:C=B482,'Students (Vertical)'!O:O&lt;&gt;"""",'Students (Vertical)'!P:P&gt;1));unique(filter('Students (Vertical)'!O:O,'Students (Vertic"&amp;"al)'!C:C=E482,'Students (Vertical)'!O:O&lt;&gt;"""",'Students (Vertical)'!P:P&gt;1))},countifs({unique(filter('Students (Vertical)'!O:O,'Students (Vertical)'!C:C=B482,'Students (Vertical)'!O:O&lt;&gt;"""",'Students (Vertical)'!P:P&gt;1));unique(filter('Students (Vertical)'"&amp;"!O:O,'Students (Vertical)'!C:C=E482,'Students (Vertical)'!O:O&lt;&gt;"""",'Students (Vertical)'!P:P&gt;1))},{unique(filter('Students (Vertical)'!O:O,'Students (Vertical)'!C:C=B482,'Students (Vertical)'!O:O&lt;&gt;"""",'Students (Vertical)'!P:P&gt;1));unique(filter('Student"&amp;"s (Vertical)'!O:O,'Students (Vertical)'!C:C=E482,'Students (Vertical)'!O:O&lt;&gt;"""",'Students (Vertical)'!P:P&gt;1))})&gt;1))),""""),"""")"),"")</f>
        <v/>
      </c>
      <c r="K482" s="96" t="str">
        <f>IFERROR(__xludf.DUMMYFUNCTION("iferror(join("", "",unique(filter({filter('Students (Vertical)'!D:D,'Students (Vertical)'!C:C=B482,'Students (Vertical)'!D:D&lt;&gt;"""");filter('Students (Vertical)'!D:D,'Students (Vertical)'!C:C=E482,'Students (Vertical)'!D:D&lt;&gt;"""")},countifs({filter('Student"&amp;"s (Vertical)'!D:D,'Students (Vertical)'!C:C=B482,'Students (Vertical)'!D:D&lt;&gt;"""");filter('Students (Vertical)'!D:D,'Students (Vertical)'!C:C=E482,'Students (Vertical)'!D:D&lt;&gt;"""")},{filter('Students (Vertical)'!D:D,'Students (Vertical)'!C:C=B482,'Students "&amp;"(Vertical)'!D:D&lt;&gt;"""");filter('Students (Vertical)'!D:D,'Students (Vertical)'!C:C=E482,'Students (Vertical)'!D:D&lt;&gt;"""")})&gt;1))),"""")"),"")</f>
        <v/>
      </c>
      <c r="L482" s="96"/>
      <c r="M482" s="96"/>
    </row>
    <row r="483" hidden="1">
      <c r="A483" s="8" t="s">
        <v>8</v>
      </c>
      <c r="C483" s="8" t="s">
        <v>8</v>
      </c>
      <c r="D483" s="8" t="s">
        <v>8</v>
      </c>
      <c r="F483" s="8" t="s">
        <v>8</v>
      </c>
      <c r="G483" s="8" t="s">
        <v>8</v>
      </c>
      <c r="I483" s="94" t="str">
        <f>IFERROR(__xludf.DUMMYFUNCTION("if(H483=""Must be Together"",iferror(join("", "",unique(filter({filter('Students (Vertical)'!O:O,'Students (Vertical)'!C:C=B483,'Students (Vertical)'!O:O&lt;&gt;"""");filter('Students (Vertical)'!O:O,'Students (Vertical)'!C:C=E483,'Students (Vertical)'!O:O&lt;&gt;"""&amp;""")},countifs({filter('Students (Vertical)'!O:O,'Students (Vertical)'!C:C=B483,'Students (Vertical)'!O:O&lt;&gt;"""");filter('Students (Vertical)'!O:O,'Students (Vertical)'!C:C=E483,'Students (Vertical)'!O:O&lt;&gt;"""")},{filter('Students (Vertical)'!O:O,'Students ("&amp;"Vertical)'!C:C=B483,'Students (Vertical)'!O:O&lt;&gt;"""");filter('Students (Vertical)'!O:O,'Students (Vertical)'!C:C=E483,'Students (Vertical)'!O:O&lt;&gt;"""")})&gt;1))),""No shared courses""),"""")"),"")</f>
        <v/>
      </c>
      <c r="J483" s="94" t="str">
        <f>IFERROR(__xludf.DUMMYFUNCTION("if(H483=""Can't be Together"",iferror(join("", "",unique(filter({unique(filter('Students (Vertical)'!O:O,'Students (Vertical)'!C:C=B483,'Students (Vertical)'!O:O&lt;&gt;"""",'Students (Vertical)'!P:P&gt;1));unique(filter('Students (Vertical)'!O:O,'Students (Vertic"&amp;"al)'!C:C=E483,'Students (Vertical)'!O:O&lt;&gt;"""",'Students (Vertical)'!P:P&gt;1))},countifs({unique(filter('Students (Vertical)'!O:O,'Students (Vertical)'!C:C=B483,'Students (Vertical)'!O:O&lt;&gt;"""",'Students (Vertical)'!P:P&gt;1));unique(filter('Students (Vertical)'"&amp;"!O:O,'Students (Vertical)'!C:C=E483,'Students (Vertical)'!O:O&lt;&gt;"""",'Students (Vertical)'!P:P&gt;1))},{unique(filter('Students (Vertical)'!O:O,'Students (Vertical)'!C:C=B483,'Students (Vertical)'!O:O&lt;&gt;"""",'Students (Vertical)'!P:P&gt;1));unique(filter('Student"&amp;"s (Vertical)'!O:O,'Students (Vertical)'!C:C=E483,'Students (Vertical)'!O:O&lt;&gt;"""",'Students (Vertical)'!P:P&gt;1))})&gt;1))),""""),"""")"),"")</f>
        <v/>
      </c>
      <c r="K483" s="96" t="str">
        <f>IFERROR(__xludf.DUMMYFUNCTION("iferror(join("", "",unique(filter({filter('Students (Vertical)'!D:D,'Students (Vertical)'!C:C=B483,'Students (Vertical)'!D:D&lt;&gt;"""");filter('Students (Vertical)'!D:D,'Students (Vertical)'!C:C=E483,'Students (Vertical)'!D:D&lt;&gt;"""")},countifs({filter('Student"&amp;"s (Vertical)'!D:D,'Students (Vertical)'!C:C=B483,'Students (Vertical)'!D:D&lt;&gt;"""");filter('Students (Vertical)'!D:D,'Students (Vertical)'!C:C=E483,'Students (Vertical)'!D:D&lt;&gt;"""")},{filter('Students (Vertical)'!D:D,'Students (Vertical)'!C:C=B483,'Students "&amp;"(Vertical)'!D:D&lt;&gt;"""");filter('Students (Vertical)'!D:D,'Students (Vertical)'!C:C=E483,'Students (Vertical)'!D:D&lt;&gt;"""")})&gt;1))),"""")"),"")</f>
        <v/>
      </c>
      <c r="L483" s="96"/>
      <c r="M483" s="96"/>
    </row>
    <row r="484" hidden="1">
      <c r="A484" s="8" t="s">
        <v>8</v>
      </c>
      <c r="C484" s="8" t="s">
        <v>8</v>
      </c>
      <c r="D484" s="8" t="s">
        <v>8</v>
      </c>
      <c r="F484" s="8" t="s">
        <v>8</v>
      </c>
      <c r="G484" s="8" t="s">
        <v>8</v>
      </c>
      <c r="I484" s="94" t="str">
        <f>IFERROR(__xludf.DUMMYFUNCTION("if(H484=""Must be Together"",iferror(join("", "",unique(filter({filter('Students (Vertical)'!O:O,'Students (Vertical)'!C:C=B484,'Students (Vertical)'!O:O&lt;&gt;"""");filter('Students (Vertical)'!O:O,'Students (Vertical)'!C:C=E484,'Students (Vertical)'!O:O&lt;&gt;"""&amp;""")},countifs({filter('Students (Vertical)'!O:O,'Students (Vertical)'!C:C=B484,'Students (Vertical)'!O:O&lt;&gt;"""");filter('Students (Vertical)'!O:O,'Students (Vertical)'!C:C=E484,'Students (Vertical)'!O:O&lt;&gt;"""")},{filter('Students (Vertical)'!O:O,'Students ("&amp;"Vertical)'!C:C=B484,'Students (Vertical)'!O:O&lt;&gt;"""");filter('Students (Vertical)'!O:O,'Students (Vertical)'!C:C=E484,'Students (Vertical)'!O:O&lt;&gt;"""")})&gt;1))),""No shared courses""),"""")"),"")</f>
        <v/>
      </c>
      <c r="J484" s="94" t="str">
        <f>IFERROR(__xludf.DUMMYFUNCTION("if(H484=""Can't be Together"",iferror(join("", "",unique(filter({unique(filter('Students (Vertical)'!O:O,'Students (Vertical)'!C:C=B484,'Students (Vertical)'!O:O&lt;&gt;"""",'Students (Vertical)'!P:P&gt;1));unique(filter('Students (Vertical)'!O:O,'Students (Vertic"&amp;"al)'!C:C=E484,'Students (Vertical)'!O:O&lt;&gt;"""",'Students (Vertical)'!P:P&gt;1))},countifs({unique(filter('Students (Vertical)'!O:O,'Students (Vertical)'!C:C=B484,'Students (Vertical)'!O:O&lt;&gt;"""",'Students (Vertical)'!P:P&gt;1));unique(filter('Students (Vertical)'"&amp;"!O:O,'Students (Vertical)'!C:C=E484,'Students (Vertical)'!O:O&lt;&gt;"""",'Students (Vertical)'!P:P&gt;1))},{unique(filter('Students (Vertical)'!O:O,'Students (Vertical)'!C:C=B484,'Students (Vertical)'!O:O&lt;&gt;"""",'Students (Vertical)'!P:P&gt;1));unique(filter('Student"&amp;"s (Vertical)'!O:O,'Students (Vertical)'!C:C=E484,'Students (Vertical)'!O:O&lt;&gt;"""",'Students (Vertical)'!P:P&gt;1))})&gt;1))),""""),"""")"),"")</f>
        <v/>
      </c>
      <c r="K484" s="96" t="str">
        <f>IFERROR(__xludf.DUMMYFUNCTION("iferror(join("", "",unique(filter({filter('Students (Vertical)'!D:D,'Students (Vertical)'!C:C=B484,'Students (Vertical)'!D:D&lt;&gt;"""");filter('Students (Vertical)'!D:D,'Students (Vertical)'!C:C=E484,'Students (Vertical)'!D:D&lt;&gt;"""")},countifs({filter('Student"&amp;"s (Vertical)'!D:D,'Students (Vertical)'!C:C=B484,'Students (Vertical)'!D:D&lt;&gt;"""");filter('Students (Vertical)'!D:D,'Students (Vertical)'!C:C=E484,'Students (Vertical)'!D:D&lt;&gt;"""")},{filter('Students (Vertical)'!D:D,'Students (Vertical)'!C:C=B484,'Students "&amp;"(Vertical)'!D:D&lt;&gt;"""");filter('Students (Vertical)'!D:D,'Students (Vertical)'!C:C=E484,'Students (Vertical)'!D:D&lt;&gt;"""")})&gt;1))),"""")"),"")</f>
        <v/>
      </c>
      <c r="L484" s="96"/>
      <c r="M484" s="96"/>
    </row>
    <row r="485" hidden="1">
      <c r="A485" s="8" t="s">
        <v>8</v>
      </c>
      <c r="C485" s="8" t="s">
        <v>8</v>
      </c>
      <c r="D485" s="8" t="s">
        <v>8</v>
      </c>
      <c r="F485" s="8" t="s">
        <v>8</v>
      </c>
      <c r="G485" s="8" t="s">
        <v>8</v>
      </c>
      <c r="I485" s="94" t="str">
        <f>IFERROR(__xludf.DUMMYFUNCTION("if(H485=""Must be Together"",iferror(join("", "",unique(filter({filter('Students (Vertical)'!O:O,'Students (Vertical)'!C:C=B485,'Students (Vertical)'!O:O&lt;&gt;"""");filter('Students (Vertical)'!O:O,'Students (Vertical)'!C:C=E485,'Students (Vertical)'!O:O&lt;&gt;"""&amp;""")},countifs({filter('Students (Vertical)'!O:O,'Students (Vertical)'!C:C=B485,'Students (Vertical)'!O:O&lt;&gt;"""");filter('Students (Vertical)'!O:O,'Students (Vertical)'!C:C=E485,'Students (Vertical)'!O:O&lt;&gt;"""")},{filter('Students (Vertical)'!O:O,'Students ("&amp;"Vertical)'!C:C=B485,'Students (Vertical)'!O:O&lt;&gt;"""");filter('Students (Vertical)'!O:O,'Students (Vertical)'!C:C=E485,'Students (Vertical)'!O:O&lt;&gt;"""")})&gt;1))),""No shared courses""),"""")"),"")</f>
        <v/>
      </c>
      <c r="J485" s="94" t="str">
        <f>IFERROR(__xludf.DUMMYFUNCTION("if(H485=""Can't be Together"",iferror(join("", "",unique(filter({unique(filter('Students (Vertical)'!O:O,'Students (Vertical)'!C:C=B485,'Students (Vertical)'!O:O&lt;&gt;"""",'Students (Vertical)'!P:P&gt;1));unique(filter('Students (Vertical)'!O:O,'Students (Vertic"&amp;"al)'!C:C=E485,'Students (Vertical)'!O:O&lt;&gt;"""",'Students (Vertical)'!P:P&gt;1))},countifs({unique(filter('Students (Vertical)'!O:O,'Students (Vertical)'!C:C=B485,'Students (Vertical)'!O:O&lt;&gt;"""",'Students (Vertical)'!P:P&gt;1));unique(filter('Students (Vertical)'"&amp;"!O:O,'Students (Vertical)'!C:C=E485,'Students (Vertical)'!O:O&lt;&gt;"""",'Students (Vertical)'!P:P&gt;1))},{unique(filter('Students (Vertical)'!O:O,'Students (Vertical)'!C:C=B485,'Students (Vertical)'!O:O&lt;&gt;"""",'Students (Vertical)'!P:P&gt;1));unique(filter('Student"&amp;"s (Vertical)'!O:O,'Students (Vertical)'!C:C=E485,'Students (Vertical)'!O:O&lt;&gt;"""",'Students (Vertical)'!P:P&gt;1))})&gt;1))),""""),"""")"),"")</f>
        <v/>
      </c>
      <c r="K485" s="96" t="str">
        <f>IFERROR(__xludf.DUMMYFUNCTION("iferror(join("", "",unique(filter({filter('Students (Vertical)'!D:D,'Students (Vertical)'!C:C=B485,'Students (Vertical)'!D:D&lt;&gt;"""");filter('Students (Vertical)'!D:D,'Students (Vertical)'!C:C=E485,'Students (Vertical)'!D:D&lt;&gt;"""")},countifs({filter('Student"&amp;"s (Vertical)'!D:D,'Students (Vertical)'!C:C=B485,'Students (Vertical)'!D:D&lt;&gt;"""");filter('Students (Vertical)'!D:D,'Students (Vertical)'!C:C=E485,'Students (Vertical)'!D:D&lt;&gt;"""")},{filter('Students (Vertical)'!D:D,'Students (Vertical)'!C:C=B485,'Students "&amp;"(Vertical)'!D:D&lt;&gt;"""");filter('Students (Vertical)'!D:D,'Students (Vertical)'!C:C=E485,'Students (Vertical)'!D:D&lt;&gt;"""")})&gt;1))),"""")"),"")</f>
        <v/>
      </c>
      <c r="L485" s="96"/>
      <c r="M485" s="96"/>
    </row>
    <row r="486" hidden="1">
      <c r="A486" s="8" t="s">
        <v>8</v>
      </c>
      <c r="C486" s="8" t="s">
        <v>8</v>
      </c>
      <c r="D486" s="8" t="s">
        <v>8</v>
      </c>
      <c r="F486" s="8" t="s">
        <v>8</v>
      </c>
      <c r="G486" s="8" t="s">
        <v>8</v>
      </c>
      <c r="I486" s="94" t="str">
        <f>IFERROR(__xludf.DUMMYFUNCTION("if(H486=""Must be Together"",iferror(join("", "",unique(filter({filter('Students (Vertical)'!O:O,'Students (Vertical)'!C:C=B486,'Students (Vertical)'!O:O&lt;&gt;"""");filter('Students (Vertical)'!O:O,'Students (Vertical)'!C:C=E486,'Students (Vertical)'!O:O&lt;&gt;"""&amp;""")},countifs({filter('Students (Vertical)'!O:O,'Students (Vertical)'!C:C=B486,'Students (Vertical)'!O:O&lt;&gt;"""");filter('Students (Vertical)'!O:O,'Students (Vertical)'!C:C=E486,'Students (Vertical)'!O:O&lt;&gt;"""")},{filter('Students (Vertical)'!O:O,'Students ("&amp;"Vertical)'!C:C=B486,'Students (Vertical)'!O:O&lt;&gt;"""");filter('Students (Vertical)'!O:O,'Students (Vertical)'!C:C=E486,'Students (Vertical)'!O:O&lt;&gt;"""")})&gt;1))),""No shared courses""),"""")"),"")</f>
        <v/>
      </c>
      <c r="J486" s="94" t="str">
        <f>IFERROR(__xludf.DUMMYFUNCTION("if(H486=""Can't be Together"",iferror(join("", "",unique(filter({unique(filter('Students (Vertical)'!O:O,'Students (Vertical)'!C:C=B486,'Students (Vertical)'!O:O&lt;&gt;"""",'Students (Vertical)'!P:P&gt;1));unique(filter('Students (Vertical)'!O:O,'Students (Vertic"&amp;"al)'!C:C=E486,'Students (Vertical)'!O:O&lt;&gt;"""",'Students (Vertical)'!P:P&gt;1))},countifs({unique(filter('Students (Vertical)'!O:O,'Students (Vertical)'!C:C=B486,'Students (Vertical)'!O:O&lt;&gt;"""",'Students (Vertical)'!P:P&gt;1));unique(filter('Students (Vertical)'"&amp;"!O:O,'Students (Vertical)'!C:C=E486,'Students (Vertical)'!O:O&lt;&gt;"""",'Students (Vertical)'!P:P&gt;1))},{unique(filter('Students (Vertical)'!O:O,'Students (Vertical)'!C:C=B486,'Students (Vertical)'!O:O&lt;&gt;"""",'Students (Vertical)'!P:P&gt;1));unique(filter('Student"&amp;"s (Vertical)'!O:O,'Students (Vertical)'!C:C=E486,'Students (Vertical)'!O:O&lt;&gt;"""",'Students (Vertical)'!P:P&gt;1))})&gt;1))),""""),"""")"),"")</f>
        <v/>
      </c>
      <c r="K486" s="96" t="str">
        <f>IFERROR(__xludf.DUMMYFUNCTION("iferror(join("", "",unique(filter({filter('Students (Vertical)'!D:D,'Students (Vertical)'!C:C=B486,'Students (Vertical)'!D:D&lt;&gt;"""");filter('Students (Vertical)'!D:D,'Students (Vertical)'!C:C=E486,'Students (Vertical)'!D:D&lt;&gt;"""")},countifs({filter('Student"&amp;"s (Vertical)'!D:D,'Students (Vertical)'!C:C=B486,'Students (Vertical)'!D:D&lt;&gt;"""");filter('Students (Vertical)'!D:D,'Students (Vertical)'!C:C=E486,'Students (Vertical)'!D:D&lt;&gt;"""")},{filter('Students (Vertical)'!D:D,'Students (Vertical)'!C:C=B486,'Students "&amp;"(Vertical)'!D:D&lt;&gt;"""");filter('Students (Vertical)'!D:D,'Students (Vertical)'!C:C=E486,'Students (Vertical)'!D:D&lt;&gt;"""")})&gt;1))),"""")"),"")</f>
        <v/>
      </c>
      <c r="L486" s="96"/>
      <c r="M486" s="96"/>
    </row>
    <row r="487" hidden="1">
      <c r="A487" s="8" t="s">
        <v>8</v>
      </c>
      <c r="C487" s="8" t="s">
        <v>8</v>
      </c>
      <c r="D487" s="8" t="s">
        <v>8</v>
      </c>
      <c r="F487" s="8" t="s">
        <v>8</v>
      </c>
      <c r="G487" s="8" t="s">
        <v>8</v>
      </c>
      <c r="I487" s="94" t="str">
        <f>IFERROR(__xludf.DUMMYFUNCTION("if(H487=""Must be Together"",iferror(join("", "",unique(filter({filter('Students (Vertical)'!O:O,'Students (Vertical)'!C:C=B487,'Students (Vertical)'!O:O&lt;&gt;"""");filter('Students (Vertical)'!O:O,'Students (Vertical)'!C:C=E487,'Students (Vertical)'!O:O&lt;&gt;"""&amp;""")},countifs({filter('Students (Vertical)'!O:O,'Students (Vertical)'!C:C=B487,'Students (Vertical)'!O:O&lt;&gt;"""");filter('Students (Vertical)'!O:O,'Students (Vertical)'!C:C=E487,'Students (Vertical)'!O:O&lt;&gt;"""")},{filter('Students (Vertical)'!O:O,'Students ("&amp;"Vertical)'!C:C=B487,'Students (Vertical)'!O:O&lt;&gt;"""");filter('Students (Vertical)'!O:O,'Students (Vertical)'!C:C=E487,'Students (Vertical)'!O:O&lt;&gt;"""")})&gt;1))),""No shared courses""),"""")"),"")</f>
        <v/>
      </c>
      <c r="J487" s="94" t="str">
        <f>IFERROR(__xludf.DUMMYFUNCTION("if(H487=""Can't be Together"",iferror(join("", "",unique(filter({unique(filter('Students (Vertical)'!O:O,'Students (Vertical)'!C:C=B487,'Students (Vertical)'!O:O&lt;&gt;"""",'Students (Vertical)'!P:P&gt;1));unique(filter('Students (Vertical)'!O:O,'Students (Vertic"&amp;"al)'!C:C=E487,'Students (Vertical)'!O:O&lt;&gt;"""",'Students (Vertical)'!P:P&gt;1))},countifs({unique(filter('Students (Vertical)'!O:O,'Students (Vertical)'!C:C=B487,'Students (Vertical)'!O:O&lt;&gt;"""",'Students (Vertical)'!P:P&gt;1));unique(filter('Students (Vertical)'"&amp;"!O:O,'Students (Vertical)'!C:C=E487,'Students (Vertical)'!O:O&lt;&gt;"""",'Students (Vertical)'!P:P&gt;1))},{unique(filter('Students (Vertical)'!O:O,'Students (Vertical)'!C:C=B487,'Students (Vertical)'!O:O&lt;&gt;"""",'Students (Vertical)'!P:P&gt;1));unique(filter('Student"&amp;"s (Vertical)'!O:O,'Students (Vertical)'!C:C=E487,'Students (Vertical)'!O:O&lt;&gt;"""",'Students (Vertical)'!P:P&gt;1))})&gt;1))),""""),"""")"),"")</f>
        <v/>
      </c>
      <c r="K487" s="96" t="str">
        <f>IFERROR(__xludf.DUMMYFUNCTION("iferror(join("", "",unique(filter({filter('Students (Vertical)'!D:D,'Students (Vertical)'!C:C=B487,'Students (Vertical)'!D:D&lt;&gt;"""");filter('Students (Vertical)'!D:D,'Students (Vertical)'!C:C=E487,'Students (Vertical)'!D:D&lt;&gt;"""")},countifs({filter('Student"&amp;"s (Vertical)'!D:D,'Students (Vertical)'!C:C=B487,'Students (Vertical)'!D:D&lt;&gt;"""");filter('Students (Vertical)'!D:D,'Students (Vertical)'!C:C=E487,'Students (Vertical)'!D:D&lt;&gt;"""")},{filter('Students (Vertical)'!D:D,'Students (Vertical)'!C:C=B487,'Students "&amp;"(Vertical)'!D:D&lt;&gt;"""");filter('Students (Vertical)'!D:D,'Students (Vertical)'!C:C=E487,'Students (Vertical)'!D:D&lt;&gt;"""")})&gt;1))),"""")"),"")</f>
        <v/>
      </c>
      <c r="L487" s="96"/>
      <c r="M487" s="96"/>
    </row>
    <row r="488" hidden="1">
      <c r="A488" s="8" t="s">
        <v>8</v>
      </c>
      <c r="C488" s="8" t="s">
        <v>8</v>
      </c>
      <c r="D488" s="8" t="s">
        <v>8</v>
      </c>
      <c r="F488" s="8" t="s">
        <v>8</v>
      </c>
      <c r="G488" s="8" t="s">
        <v>8</v>
      </c>
      <c r="I488" s="94" t="str">
        <f>IFERROR(__xludf.DUMMYFUNCTION("if(H488=""Must be Together"",iferror(join("", "",unique(filter({filter('Students (Vertical)'!O:O,'Students (Vertical)'!C:C=B488,'Students (Vertical)'!O:O&lt;&gt;"""");filter('Students (Vertical)'!O:O,'Students (Vertical)'!C:C=E488,'Students (Vertical)'!O:O&lt;&gt;"""&amp;""")},countifs({filter('Students (Vertical)'!O:O,'Students (Vertical)'!C:C=B488,'Students (Vertical)'!O:O&lt;&gt;"""");filter('Students (Vertical)'!O:O,'Students (Vertical)'!C:C=E488,'Students (Vertical)'!O:O&lt;&gt;"""")},{filter('Students (Vertical)'!O:O,'Students ("&amp;"Vertical)'!C:C=B488,'Students (Vertical)'!O:O&lt;&gt;"""");filter('Students (Vertical)'!O:O,'Students (Vertical)'!C:C=E488,'Students (Vertical)'!O:O&lt;&gt;"""")})&gt;1))),""No shared courses""),"""")"),"")</f>
        <v/>
      </c>
      <c r="J488" s="94" t="str">
        <f>IFERROR(__xludf.DUMMYFUNCTION("if(H488=""Can't be Together"",iferror(join("", "",unique(filter({unique(filter('Students (Vertical)'!O:O,'Students (Vertical)'!C:C=B488,'Students (Vertical)'!O:O&lt;&gt;"""",'Students (Vertical)'!P:P&gt;1));unique(filter('Students (Vertical)'!O:O,'Students (Vertic"&amp;"al)'!C:C=E488,'Students (Vertical)'!O:O&lt;&gt;"""",'Students (Vertical)'!P:P&gt;1))},countifs({unique(filter('Students (Vertical)'!O:O,'Students (Vertical)'!C:C=B488,'Students (Vertical)'!O:O&lt;&gt;"""",'Students (Vertical)'!P:P&gt;1));unique(filter('Students (Vertical)'"&amp;"!O:O,'Students (Vertical)'!C:C=E488,'Students (Vertical)'!O:O&lt;&gt;"""",'Students (Vertical)'!P:P&gt;1))},{unique(filter('Students (Vertical)'!O:O,'Students (Vertical)'!C:C=B488,'Students (Vertical)'!O:O&lt;&gt;"""",'Students (Vertical)'!P:P&gt;1));unique(filter('Student"&amp;"s (Vertical)'!O:O,'Students (Vertical)'!C:C=E488,'Students (Vertical)'!O:O&lt;&gt;"""",'Students (Vertical)'!P:P&gt;1))})&gt;1))),""""),"""")"),"")</f>
        <v/>
      </c>
      <c r="K488" s="96" t="str">
        <f>IFERROR(__xludf.DUMMYFUNCTION("iferror(join("", "",unique(filter({filter('Students (Vertical)'!D:D,'Students (Vertical)'!C:C=B488,'Students (Vertical)'!D:D&lt;&gt;"""");filter('Students (Vertical)'!D:D,'Students (Vertical)'!C:C=E488,'Students (Vertical)'!D:D&lt;&gt;"""")},countifs({filter('Student"&amp;"s (Vertical)'!D:D,'Students (Vertical)'!C:C=B488,'Students (Vertical)'!D:D&lt;&gt;"""");filter('Students (Vertical)'!D:D,'Students (Vertical)'!C:C=E488,'Students (Vertical)'!D:D&lt;&gt;"""")},{filter('Students (Vertical)'!D:D,'Students (Vertical)'!C:C=B488,'Students "&amp;"(Vertical)'!D:D&lt;&gt;"""");filter('Students (Vertical)'!D:D,'Students (Vertical)'!C:C=E488,'Students (Vertical)'!D:D&lt;&gt;"""")})&gt;1))),"""")"),"")</f>
        <v/>
      </c>
      <c r="L488" s="96"/>
      <c r="M488" s="96"/>
    </row>
    <row r="489" hidden="1">
      <c r="A489" s="8" t="s">
        <v>8</v>
      </c>
      <c r="C489" s="8" t="s">
        <v>8</v>
      </c>
      <c r="D489" s="8" t="s">
        <v>8</v>
      </c>
      <c r="F489" s="8" t="s">
        <v>8</v>
      </c>
      <c r="G489" s="8" t="s">
        <v>8</v>
      </c>
      <c r="I489" s="94" t="str">
        <f>IFERROR(__xludf.DUMMYFUNCTION("if(H489=""Must be Together"",iferror(join("", "",unique(filter({filter('Students (Vertical)'!O:O,'Students (Vertical)'!C:C=B489,'Students (Vertical)'!O:O&lt;&gt;"""");filter('Students (Vertical)'!O:O,'Students (Vertical)'!C:C=E489,'Students (Vertical)'!O:O&lt;&gt;"""&amp;""")},countifs({filter('Students (Vertical)'!O:O,'Students (Vertical)'!C:C=B489,'Students (Vertical)'!O:O&lt;&gt;"""");filter('Students (Vertical)'!O:O,'Students (Vertical)'!C:C=E489,'Students (Vertical)'!O:O&lt;&gt;"""")},{filter('Students (Vertical)'!O:O,'Students ("&amp;"Vertical)'!C:C=B489,'Students (Vertical)'!O:O&lt;&gt;"""");filter('Students (Vertical)'!O:O,'Students (Vertical)'!C:C=E489,'Students (Vertical)'!O:O&lt;&gt;"""")})&gt;1))),""No shared courses""),"""")"),"")</f>
        <v/>
      </c>
      <c r="J489" s="94" t="str">
        <f>IFERROR(__xludf.DUMMYFUNCTION("if(H489=""Can't be Together"",iferror(join("", "",unique(filter({unique(filter('Students (Vertical)'!O:O,'Students (Vertical)'!C:C=B489,'Students (Vertical)'!O:O&lt;&gt;"""",'Students (Vertical)'!P:P&gt;1));unique(filter('Students (Vertical)'!O:O,'Students (Vertic"&amp;"al)'!C:C=E489,'Students (Vertical)'!O:O&lt;&gt;"""",'Students (Vertical)'!P:P&gt;1))},countifs({unique(filter('Students (Vertical)'!O:O,'Students (Vertical)'!C:C=B489,'Students (Vertical)'!O:O&lt;&gt;"""",'Students (Vertical)'!P:P&gt;1));unique(filter('Students (Vertical)'"&amp;"!O:O,'Students (Vertical)'!C:C=E489,'Students (Vertical)'!O:O&lt;&gt;"""",'Students (Vertical)'!P:P&gt;1))},{unique(filter('Students (Vertical)'!O:O,'Students (Vertical)'!C:C=B489,'Students (Vertical)'!O:O&lt;&gt;"""",'Students (Vertical)'!P:P&gt;1));unique(filter('Student"&amp;"s (Vertical)'!O:O,'Students (Vertical)'!C:C=E489,'Students (Vertical)'!O:O&lt;&gt;"""",'Students (Vertical)'!P:P&gt;1))})&gt;1))),""""),"""")"),"")</f>
        <v/>
      </c>
      <c r="K489" s="96" t="str">
        <f>IFERROR(__xludf.DUMMYFUNCTION("iferror(join("", "",unique(filter({filter('Students (Vertical)'!D:D,'Students (Vertical)'!C:C=B489,'Students (Vertical)'!D:D&lt;&gt;"""");filter('Students (Vertical)'!D:D,'Students (Vertical)'!C:C=E489,'Students (Vertical)'!D:D&lt;&gt;"""")},countifs({filter('Student"&amp;"s (Vertical)'!D:D,'Students (Vertical)'!C:C=B489,'Students (Vertical)'!D:D&lt;&gt;"""");filter('Students (Vertical)'!D:D,'Students (Vertical)'!C:C=E489,'Students (Vertical)'!D:D&lt;&gt;"""")},{filter('Students (Vertical)'!D:D,'Students (Vertical)'!C:C=B489,'Students "&amp;"(Vertical)'!D:D&lt;&gt;"""");filter('Students (Vertical)'!D:D,'Students (Vertical)'!C:C=E489,'Students (Vertical)'!D:D&lt;&gt;"""")})&gt;1))),"""")"),"")</f>
        <v/>
      </c>
      <c r="L489" s="96"/>
      <c r="M489" s="96"/>
    </row>
    <row r="490" hidden="1">
      <c r="A490" s="8" t="s">
        <v>8</v>
      </c>
      <c r="C490" s="8" t="s">
        <v>8</v>
      </c>
      <c r="D490" s="8" t="s">
        <v>8</v>
      </c>
      <c r="F490" s="8" t="s">
        <v>8</v>
      </c>
      <c r="G490" s="8" t="s">
        <v>8</v>
      </c>
      <c r="I490" s="94" t="str">
        <f>IFERROR(__xludf.DUMMYFUNCTION("if(H490=""Must be Together"",iferror(join("", "",unique(filter({filter('Students (Vertical)'!O:O,'Students (Vertical)'!C:C=B490,'Students (Vertical)'!O:O&lt;&gt;"""");filter('Students (Vertical)'!O:O,'Students (Vertical)'!C:C=E490,'Students (Vertical)'!O:O&lt;&gt;"""&amp;""")},countifs({filter('Students (Vertical)'!O:O,'Students (Vertical)'!C:C=B490,'Students (Vertical)'!O:O&lt;&gt;"""");filter('Students (Vertical)'!O:O,'Students (Vertical)'!C:C=E490,'Students (Vertical)'!O:O&lt;&gt;"""")},{filter('Students (Vertical)'!O:O,'Students ("&amp;"Vertical)'!C:C=B490,'Students (Vertical)'!O:O&lt;&gt;"""");filter('Students (Vertical)'!O:O,'Students (Vertical)'!C:C=E490,'Students (Vertical)'!O:O&lt;&gt;"""")})&gt;1))),""No shared courses""),"""")"),"")</f>
        <v/>
      </c>
      <c r="J490" s="94" t="str">
        <f>IFERROR(__xludf.DUMMYFUNCTION("if(H490=""Can't be Together"",iferror(join("", "",unique(filter({unique(filter('Students (Vertical)'!O:O,'Students (Vertical)'!C:C=B490,'Students (Vertical)'!O:O&lt;&gt;"""",'Students (Vertical)'!P:P&gt;1));unique(filter('Students (Vertical)'!O:O,'Students (Vertic"&amp;"al)'!C:C=E490,'Students (Vertical)'!O:O&lt;&gt;"""",'Students (Vertical)'!P:P&gt;1))},countifs({unique(filter('Students (Vertical)'!O:O,'Students (Vertical)'!C:C=B490,'Students (Vertical)'!O:O&lt;&gt;"""",'Students (Vertical)'!P:P&gt;1));unique(filter('Students (Vertical)'"&amp;"!O:O,'Students (Vertical)'!C:C=E490,'Students (Vertical)'!O:O&lt;&gt;"""",'Students (Vertical)'!P:P&gt;1))},{unique(filter('Students (Vertical)'!O:O,'Students (Vertical)'!C:C=B490,'Students (Vertical)'!O:O&lt;&gt;"""",'Students (Vertical)'!P:P&gt;1));unique(filter('Student"&amp;"s (Vertical)'!O:O,'Students (Vertical)'!C:C=E490,'Students (Vertical)'!O:O&lt;&gt;"""",'Students (Vertical)'!P:P&gt;1))})&gt;1))),""""),"""")"),"")</f>
        <v/>
      </c>
      <c r="K490" s="96" t="str">
        <f>IFERROR(__xludf.DUMMYFUNCTION("iferror(join("", "",unique(filter({filter('Students (Vertical)'!D:D,'Students (Vertical)'!C:C=B490,'Students (Vertical)'!D:D&lt;&gt;"""");filter('Students (Vertical)'!D:D,'Students (Vertical)'!C:C=E490,'Students (Vertical)'!D:D&lt;&gt;"""")},countifs({filter('Student"&amp;"s (Vertical)'!D:D,'Students (Vertical)'!C:C=B490,'Students (Vertical)'!D:D&lt;&gt;"""");filter('Students (Vertical)'!D:D,'Students (Vertical)'!C:C=E490,'Students (Vertical)'!D:D&lt;&gt;"""")},{filter('Students (Vertical)'!D:D,'Students (Vertical)'!C:C=B490,'Students "&amp;"(Vertical)'!D:D&lt;&gt;"""");filter('Students (Vertical)'!D:D,'Students (Vertical)'!C:C=E490,'Students (Vertical)'!D:D&lt;&gt;"""")})&gt;1))),"""")"),"")</f>
        <v/>
      </c>
      <c r="L490" s="96"/>
      <c r="M490" s="96"/>
    </row>
    <row r="491" hidden="1">
      <c r="A491" s="8" t="s">
        <v>8</v>
      </c>
      <c r="C491" s="8" t="s">
        <v>8</v>
      </c>
      <c r="D491" s="8" t="s">
        <v>8</v>
      </c>
      <c r="F491" s="8" t="s">
        <v>8</v>
      </c>
      <c r="G491" s="8" t="s">
        <v>8</v>
      </c>
      <c r="I491" s="94" t="str">
        <f>IFERROR(__xludf.DUMMYFUNCTION("if(H491=""Must be Together"",iferror(join("", "",unique(filter({filter('Students (Vertical)'!O:O,'Students (Vertical)'!C:C=B491,'Students (Vertical)'!O:O&lt;&gt;"""");filter('Students (Vertical)'!O:O,'Students (Vertical)'!C:C=E491,'Students (Vertical)'!O:O&lt;&gt;"""&amp;""")},countifs({filter('Students (Vertical)'!O:O,'Students (Vertical)'!C:C=B491,'Students (Vertical)'!O:O&lt;&gt;"""");filter('Students (Vertical)'!O:O,'Students (Vertical)'!C:C=E491,'Students (Vertical)'!O:O&lt;&gt;"""")},{filter('Students (Vertical)'!O:O,'Students ("&amp;"Vertical)'!C:C=B491,'Students (Vertical)'!O:O&lt;&gt;"""");filter('Students (Vertical)'!O:O,'Students (Vertical)'!C:C=E491,'Students (Vertical)'!O:O&lt;&gt;"""")})&gt;1))),""No shared courses""),"""")"),"")</f>
        <v/>
      </c>
      <c r="J491" s="94" t="str">
        <f>IFERROR(__xludf.DUMMYFUNCTION("if(H491=""Can't be Together"",iferror(join("", "",unique(filter({unique(filter('Students (Vertical)'!O:O,'Students (Vertical)'!C:C=B491,'Students (Vertical)'!O:O&lt;&gt;"""",'Students (Vertical)'!P:P&gt;1));unique(filter('Students (Vertical)'!O:O,'Students (Vertic"&amp;"al)'!C:C=E491,'Students (Vertical)'!O:O&lt;&gt;"""",'Students (Vertical)'!P:P&gt;1))},countifs({unique(filter('Students (Vertical)'!O:O,'Students (Vertical)'!C:C=B491,'Students (Vertical)'!O:O&lt;&gt;"""",'Students (Vertical)'!P:P&gt;1));unique(filter('Students (Vertical)'"&amp;"!O:O,'Students (Vertical)'!C:C=E491,'Students (Vertical)'!O:O&lt;&gt;"""",'Students (Vertical)'!P:P&gt;1))},{unique(filter('Students (Vertical)'!O:O,'Students (Vertical)'!C:C=B491,'Students (Vertical)'!O:O&lt;&gt;"""",'Students (Vertical)'!P:P&gt;1));unique(filter('Student"&amp;"s (Vertical)'!O:O,'Students (Vertical)'!C:C=E491,'Students (Vertical)'!O:O&lt;&gt;"""",'Students (Vertical)'!P:P&gt;1))})&gt;1))),""""),"""")"),"")</f>
        <v/>
      </c>
      <c r="K491" s="96" t="str">
        <f>IFERROR(__xludf.DUMMYFUNCTION("iferror(join("", "",unique(filter({filter('Students (Vertical)'!D:D,'Students (Vertical)'!C:C=B491,'Students (Vertical)'!D:D&lt;&gt;"""");filter('Students (Vertical)'!D:D,'Students (Vertical)'!C:C=E491,'Students (Vertical)'!D:D&lt;&gt;"""")},countifs({filter('Student"&amp;"s (Vertical)'!D:D,'Students (Vertical)'!C:C=B491,'Students (Vertical)'!D:D&lt;&gt;"""");filter('Students (Vertical)'!D:D,'Students (Vertical)'!C:C=E491,'Students (Vertical)'!D:D&lt;&gt;"""")},{filter('Students (Vertical)'!D:D,'Students (Vertical)'!C:C=B491,'Students "&amp;"(Vertical)'!D:D&lt;&gt;"""");filter('Students (Vertical)'!D:D,'Students (Vertical)'!C:C=E491,'Students (Vertical)'!D:D&lt;&gt;"""")})&gt;1))),"""")"),"")</f>
        <v/>
      </c>
      <c r="L491" s="96"/>
      <c r="M491" s="96"/>
    </row>
    <row r="492" hidden="1">
      <c r="A492" s="8" t="s">
        <v>8</v>
      </c>
      <c r="C492" s="8" t="s">
        <v>8</v>
      </c>
      <c r="D492" s="8" t="s">
        <v>8</v>
      </c>
      <c r="F492" s="8" t="s">
        <v>8</v>
      </c>
      <c r="G492" s="8" t="s">
        <v>8</v>
      </c>
      <c r="I492" s="94" t="str">
        <f>IFERROR(__xludf.DUMMYFUNCTION("if(H492=""Must be Together"",iferror(join("", "",unique(filter({filter('Students (Vertical)'!O:O,'Students (Vertical)'!C:C=B492,'Students (Vertical)'!O:O&lt;&gt;"""");filter('Students (Vertical)'!O:O,'Students (Vertical)'!C:C=E492,'Students (Vertical)'!O:O&lt;&gt;"""&amp;""")},countifs({filter('Students (Vertical)'!O:O,'Students (Vertical)'!C:C=B492,'Students (Vertical)'!O:O&lt;&gt;"""");filter('Students (Vertical)'!O:O,'Students (Vertical)'!C:C=E492,'Students (Vertical)'!O:O&lt;&gt;"""")},{filter('Students (Vertical)'!O:O,'Students ("&amp;"Vertical)'!C:C=B492,'Students (Vertical)'!O:O&lt;&gt;"""");filter('Students (Vertical)'!O:O,'Students (Vertical)'!C:C=E492,'Students (Vertical)'!O:O&lt;&gt;"""")})&gt;1))),""No shared courses""),"""")"),"")</f>
        <v/>
      </c>
      <c r="J492" s="94" t="str">
        <f>IFERROR(__xludf.DUMMYFUNCTION("if(H492=""Can't be Together"",iferror(join("", "",unique(filter({unique(filter('Students (Vertical)'!O:O,'Students (Vertical)'!C:C=B492,'Students (Vertical)'!O:O&lt;&gt;"""",'Students (Vertical)'!P:P&gt;1));unique(filter('Students (Vertical)'!O:O,'Students (Vertic"&amp;"al)'!C:C=E492,'Students (Vertical)'!O:O&lt;&gt;"""",'Students (Vertical)'!P:P&gt;1))},countifs({unique(filter('Students (Vertical)'!O:O,'Students (Vertical)'!C:C=B492,'Students (Vertical)'!O:O&lt;&gt;"""",'Students (Vertical)'!P:P&gt;1));unique(filter('Students (Vertical)'"&amp;"!O:O,'Students (Vertical)'!C:C=E492,'Students (Vertical)'!O:O&lt;&gt;"""",'Students (Vertical)'!P:P&gt;1))},{unique(filter('Students (Vertical)'!O:O,'Students (Vertical)'!C:C=B492,'Students (Vertical)'!O:O&lt;&gt;"""",'Students (Vertical)'!P:P&gt;1));unique(filter('Student"&amp;"s (Vertical)'!O:O,'Students (Vertical)'!C:C=E492,'Students (Vertical)'!O:O&lt;&gt;"""",'Students (Vertical)'!P:P&gt;1))})&gt;1))),""""),"""")"),"")</f>
        <v/>
      </c>
      <c r="K492" s="96" t="str">
        <f>IFERROR(__xludf.DUMMYFUNCTION("iferror(join("", "",unique(filter({filter('Students (Vertical)'!D:D,'Students (Vertical)'!C:C=B492,'Students (Vertical)'!D:D&lt;&gt;"""");filter('Students (Vertical)'!D:D,'Students (Vertical)'!C:C=E492,'Students (Vertical)'!D:D&lt;&gt;"""")},countifs({filter('Student"&amp;"s (Vertical)'!D:D,'Students (Vertical)'!C:C=B492,'Students (Vertical)'!D:D&lt;&gt;"""");filter('Students (Vertical)'!D:D,'Students (Vertical)'!C:C=E492,'Students (Vertical)'!D:D&lt;&gt;"""")},{filter('Students (Vertical)'!D:D,'Students (Vertical)'!C:C=B492,'Students "&amp;"(Vertical)'!D:D&lt;&gt;"""");filter('Students (Vertical)'!D:D,'Students (Vertical)'!C:C=E492,'Students (Vertical)'!D:D&lt;&gt;"""")})&gt;1))),"""")"),"")</f>
        <v/>
      </c>
      <c r="L492" s="96"/>
      <c r="M492" s="96"/>
    </row>
    <row r="493" hidden="1">
      <c r="A493" s="8" t="s">
        <v>8</v>
      </c>
      <c r="C493" s="8" t="s">
        <v>8</v>
      </c>
      <c r="D493" s="8" t="s">
        <v>8</v>
      </c>
      <c r="F493" s="8" t="s">
        <v>8</v>
      </c>
      <c r="G493" s="8" t="s">
        <v>8</v>
      </c>
      <c r="I493" s="94" t="str">
        <f>IFERROR(__xludf.DUMMYFUNCTION("if(H493=""Must be Together"",iferror(join("", "",unique(filter({filter('Students (Vertical)'!O:O,'Students (Vertical)'!C:C=B493,'Students (Vertical)'!O:O&lt;&gt;"""");filter('Students (Vertical)'!O:O,'Students (Vertical)'!C:C=E493,'Students (Vertical)'!O:O&lt;&gt;"""&amp;""")},countifs({filter('Students (Vertical)'!O:O,'Students (Vertical)'!C:C=B493,'Students (Vertical)'!O:O&lt;&gt;"""");filter('Students (Vertical)'!O:O,'Students (Vertical)'!C:C=E493,'Students (Vertical)'!O:O&lt;&gt;"""")},{filter('Students (Vertical)'!O:O,'Students ("&amp;"Vertical)'!C:C=B493,'Students (Vertical)'!O:O&lt;&gt;"""");filter('Students (Vertical)'!O:O,'Students (Vertical)'!C:C=E493,'Students (Vertical)'!O:O&lt;&gt;"""")})&gt;1))),""No shared courses""),"""")"),"")</f>
        <v/>
      </c>
      <c r="J493" s="94" t="str">
        <f>IFERROR(__xludf.DUMMYFUNCTION("if(H493=""Can't be Together"",iferror(join("", "",unique(filter({unique(filter('Students (Vertical)'!O:O,'Students (Vertical)'!C:C=B493,'Students (Vertical)'!O:O&lt;&gt;"""",'Students (Vertical)'!P:P&gt;1));unique(filter('Students (Vertical)'!O:O,'Students (Vertic"&amp;"al)'!C:C=E493,'Students (Vertical)'!O:O&lt;&gt;"""",'Students (Vertical)'!P:P&gt;1))},countifs({unique(filter('Students (Vertical)'!O:O,'Students (Vertical)'!C:C=B493,'Students (Vertical)'!O:O&lt;&gt;"""",'Students (Vertical)'!P:P&gt;1));unique(filter('Students (Vertical)'"&amp;"!O:O,'Students (Vertical)'!C:C=E493,'Students (Vertical)'!O:O&lt;&gt;"""",'Students (Vertical)'!P:P&gt;1))},{unique(filter('Students (Vertical)'!O:O,'Students (Vertical)'!C:C=B493,'Students (Vertical)'!O:O&lt;&gt;"""",'Students (Vertical)'!P:P&gt;1));unique(filter('Student"&amp;"s (Vertical)'!O:O,'Students (Vertical)'!C:C=E493,'Students (Vertical)'!O:O&lt;&gt;"""",'Students (Vertical)'!P:P&gt;1))})&gt;1))),""""),"""")"),"")</f>
        <v/>
      </c>
      <c r="K493" s="96" t="str">
        <f>IFERROR(__xludf.DUMMYFUNCTION("iferror(join("", "",unique(filter({filter('Students (Vertical)'!D:D,'Students (Vertical)'!C:C=B493,'Students (Vertical)'!D:D&lt;&gt;"""");filter('Students (Vertical)'!D:D,'Students (Vertical)'!C:C=E493,'Students (Vertical)'!D:D&lt;&gt;"""")},countifs({filter('Student"&amp;"s (Vertical)'!D:D,'Students (Vertical)'!C:C=B493,'Students (Vertical)'!D:D&lt;&gt;"""");filter('Students (Vertical)'!D:D,'Students (Vertical)'!C:C=E493,'Students (Vertical)'!D:D&lt;&gt;"""")},{filter('Students (Vertical)'!D:D,'Students (Vertical)'!C:C=B493,'Students "&amp;"(Vertical)'!D:D&lt;&gt;"""");filter('Students (Vertical)'!D:D,'Students (Vertical)'!C:C=E493,'Students (Vertical)'!D:D&lt;&gt;"""")})&gt;1))),"""")"),"")</f>
        <v/>
      </c>
      <c r="L493" s="96"/>
      <c r="M493" s="96"/>
    </row>
    <row r="494" hidden="1">
      <c r="A494" s="8" t="s">
        <v>8</v>
      </c>
      <c r="C494" s="8" t="s">
        <v>8</v>
      </c>
      <c r="D494" s="8" t="s">
        <v>8</v>
      </c>
      <c r="F494" s="8" t="s">
        <v>8</v>
      </c>
      <c r="G494" s="8" t="s">
        <v>8</v>
      </c>
      <c r="I494" s="94" t="str">
        <f>IFERROR(__xludf.DUMMYFUNCTION("if(H494=""Must be Together"",iferror(join("", "",unique(filter({filter('Students (Vertical)'!O:O,'Students (Vertical)'!C:C=B494,'Students (Vertical)'!O:O&lt;&gt;"""");filter('Students (Vertical)'!O:O,'Students (Vertical)'!C:C=E494,'Students (Vertical)'!O:O&lt;&gt;"""&amp;""")},countifs({filter('Students (Vertical)'!O:O,'Students (Vertical)'!C:C=B494,'Students (Vertical)'!O:O&lt;&gt;"""");filter('Students (Vertical)'!O:O,'Students (Vertical)'!C:C=E494,'Students (Vertical)'!O:O&lt;&gt;"""")},{filter('Students (Vertical)'!O:O,'Students ("&amp;"Vertical)'!C:C=B494,'Students (Vertical)'!O:O&lt;&gt;"""");filter('Students (Vertical)'!O:O,'Students (Vertical)'!C:C=E494,'Students (Vertical)'!O:O&lt;&gt;"""")})&gt;1))),""No shared courses""),"""")"),"")</f>
        <v/>
      </c>
      <c r="J494" s="94" t="str">
        <f>IFERROR(__xludf.DUMMYFUNCTION("if(H494=""Can't be Together"",iferror(join("", "",unique(filter({unique(filter('Students (Vertical)'!O:O,'Students (Vertical)'!C:C=B494,'Students (Vertical)'!O:O&lt;&gt;"""",'Students (Vertical)'!P:P&gt;1));unique(filter('Students (Vertical)'!O:O,'Students (Vertic"&amp;"al)'!C:C=E494,'Students (Vertical)'!O:O&lt;&gt;"""",'Students (Vertical)'!P:P&gt;1))},countifs({unique(filter('Students (Vertical)'!O:O,'Students (Vertical)'!C:C=B494,'Students (Vertical)'!O:O&lt;&gt;"""",'Students (Vertical)'!P:P&gt;1));unique(filter('Students (Vertical)'"&amp;"!O:O,'Students (Vertical)'!C:C=E494,'Students (Vertical)'!O:O&lt;&gt;"""",'Students (Vertical)'!P:P&gt;1))},{unique(filter('Students (Vertical)'!O:O,'Students (Vertical)'!C:C=B494,'Students (Vertical)'!O:O&lt;&gt;"""",'Students (Vertical)'!P:P&gt;1));unique(filter('Student"&amp;"s (Vertical)'!O:O,'Students (Vertical)'!C:C=E494,'Students (Vertical)'!O:O&lt;&gt;"""",'Students (Vertical)'!P:P&gt;1))})&gt;1))),""""),"""")"),"")</f>
        <v/>
      </c>
      <c r="K494" s="96" t="str">
        <f>IFERROR(__xludf.DUMMYFUNCTION("iferror(join("", "",unique(filter({filter('Students (Vertical)'!D:D,'Students (Vertical)'!C:C=B494,'Students (Vertical)'!D:D&lt;&gt;"""");filter('Students (Vertical)'!D:D,'Students (Vertical)'!C:C=E494,'Students (Vertical)'!D:D&lt;&gt;"""")},countifs({filter('Student"&amp;"s (Vertical)'!D:D,'Students (Vertical)'!C:C=B494,'Students (Vertical)'!D:D&lt;&gt;"""");filter('Students (Vertical)'!D:D,'Students (Vertical)'!C:C=E494,'Students (Vertical)'!D:D&lt;&gt;"""")},{filter('Students (Vertical)'!D:D,'Students (Vertical)'!C:C=B494,'Students "&amp;"(Vertical)'!D:D&lt;&gt;"""");filter('Students (Vertical)'!D:D,'Students (Vertical)'!C:C=E494,'Students (Vertical)'!D:D&lt;&gt;"""")})&gt;1))),"""")"),"")</f>
        <v/>
      </c>
      <c r="L494" s="96"/>
      <c r="M494" s="96"/>
    </row>
    <row r="495" hidden="1">
      <c r="A495" s="8" t="s">
        <v>8</v>
      </c>
      <c r="C495" s="8" t="s">
        <v>8</v>
      </c>
      <c r="D495" s="8" t="s">
        <v>8</v>
      </c>
      <c r="F495" s="8" t="s">
        <v>8</v>
      </c>
      <c r="G495" s="8" t="s">
        <v>8</v>
      </c>
      <c r="I495" s="94" t="str">
        <f>IFERROR(__xludf.DUMMYFUNCTION("if(H495=""Must be Together"",iferror(join("", "",unique(filter({filter('Students (Vertical)'!O:O,'Students (Vertical)'!C:C=B495,'Students (Vertical)'!O:O&lt;&gt;"""");filter('Students (Vertical)'!O:O,'Students (Vertical)'!C:C=E495,'Students (Vertical)'!O:O&lt;&gt;"""&amp;""")},countifs({filter('Students (Vertical)'!O:O,'Students (Vertical)'!C:C=B495,'Students (Vertical)'!O:O&lt;&gt;"""");filter('Students (Vertical)'!O:O,'Students (Vertical)'!C:C=E495,'Students (Vertical)'!O:O&lt;&gt;"""")},{filter('Students (Vertical)'!O:O,'Students ("&amp;"Vertical)'!C:C=B495,'Students (Vertical)'!O:O&lt;&gt;"""");filter('Students (Vertical)'!O:O,'Students (Vertical)'!C:C=E495,'Students (Vertical)'!O:O&lt;&gt;"""")})&gt;1))),""No shared courses""),"""")"),"")</f>
        <v/>
      </c>
      <c r="J495" s="94" t="str">
        <f>IFERROR(__xludf.DUMMYFUNCTION("if(H495=""Can't be Together"",iferror(join("", "",unique(filter({unique(filter('Students (Vertical)'!O:O,'Students (Vertical)'!C:C=B495,'Students (Vertical)'!O:O&lt;&gt;"""",'Students (Vertical)'!P:P&gt;1));unique(filter('Students (Vertical)'!O:O,'Students (Vertic"&amp;"al)'!C:C=E495,'Students (Vertical)'!O:O&lt;&gt;"""",'Students (Vertical)'!P:P&gt;1))},countifs({unique(filter('Students (Vertical)'!O:O,'Students (Vertical)'!C:C=B495,'Students (Vertical)'!O:O&lt;&gt;"""",'Students (Vertical)'!P:P&gt;1));unique(filter('Students (Vertical)'"&amp;"!O:O,'Students (Vertical)'!C:C=E495,'Students (Vertical)'!O:O&lt;&gt;"""",'Students (Vertical)'!P:P&gt;1))},{unique(filter('Students (Vertical)'!O:O,'Students (Vertical)'!C:C=B495,'Students (Vertical)'!O:O&lt;&gt;"""",'Students (Vertical)'!P:P&gt;1));unique(filter('Student"&amp;"s (Vertical)'!O:O,'Students (Vertical)'!C:C=E495,'Students (Vertical)'!O:O&lt;&gt;"""",'Students (Vertical)'!P:P&gt;1))})&gt;1))),""""),"""")"),"")</f>
        <v/>
      </c>
      <c r="K495" s="96" t="str">
        <f>IFERROR(__xludf.DUMMYFUNCTION("iferror(join("", "",unique(filter({filter('Students (Vertical)'!D:D,'Students (Vertical)'!C:C=B495,'Students (Vertical)'!D:D&lt;&gt;"""");filter('Students (Vertical)'!D:D,'Students (Vertical)'!C:C=E495,'Students (Vertical)'!D:D&lt;&gt;"""")},countifs({filter('Student"&amp;"s (Vertical)'!D:D,'Students (Vertical)'!C:C=B495,'Students (Vertical)'!D:D&lt;&gt;"""");filter('Students (Vertical)'!D:D,'Students (Vertical)'!C:C=E495,'Students (Vertical)'!D:D&lt;&gt;"""")},{filter('Students (Vertical)'!D:D,'Students (Vertical)'!C:C=B495,'Students "&amp;"(Vertical)'!D:D&lt;&gt;"""");filter('Students (Vertical)'!D:D,'Students (Vertical)'!C:C=E495,'Students (Vertical)'!D:D&lt;&gt;"""")})&gt;1))),"""")"),"")</f>
        <v/>
      </c>
      <c r="L495" s="96"/>
      <c r="M495" s="96"/>
    </row>
    <row r="496" hidden="1">
      <c r="A496" s="8" t="s">
        <v>8</v>
      </c>
      <c r="C496" s="8" t="s">
        <v>8</v>
      </c>
      <c r="D496" s="8" t="s">
        <v>8</v>
      </c>
      <c r="F496" s="8" t="s">
        <v>8</v>
      </c>
      <c r="G496" s="8" t="s">
        <v>8</v>
      </c>
      <c r="I496" s="94" t="str">
        <f>IFERROR(__xludf.DUMMYFUNCTION("if(H496=""Must be Together"",iferror(join("", "",unique(filter({filter('Students (Vertical)'!O:O,'Students (Vertical)'!C:C=B496,'Students (Vertical)'!O:O&lt;&gt;"""");filter('Students (Vertical)'!O:O,'Students (Vertical)'!C:C=E496,'Students (Vertical)'!O:O&lt;&gt;"""&amp;""")},countifs({filter('Students (Vertical)'!O:O,'Students (Vertical)'!C:C=B496,'Students (Vertical)'!O:O&lt;&gt;"""");filter('Students (Vertical)'!O:O,'Students (Vertical)'!C:C=E496,'Students (Vertical)'!O:O&lt;&gt;"""")},{filter('Students (Vertical)'!O:O,'Students ("&amp;"Vertical)'!C:C=B496,'Students (Vertical)'!O:O&lt;&gt;"""");filter('Students (Vertical)'!O:O,'Students (Vertical)'!C:C=E496,'Students (Vertical)'!O:O&lt;&gt;"""")})&gt;1))),""No shared courses""),"""")"),"")</f>
        <v/>
      </c>
      <c r="J496" s="94" t="str">
        <f>IFERROR(__xludf.DUMMYFUNCTION("if(H496=""Can't be Together"",iferror(join("", "",unique(filter({unique(filter('Students (Vertical)'!O:O,'Students (Vertical)'!C:C=B496,'Students (Vertical)'!O:O&lt;&gt;"""",'Students (Vertical)'!P:P&gt;1));unique(filter('Students (Vertical)'!O:O,'Students (Vertic"&amp;"al)'!C:C=E496,'Students (Vertical)'!O:O&lt;&gt;"""",'Students (Vertical)'!P:P&gt;1))},countifs({unique(filter('Students (Vertical)'!O:O,'Students (Vertical)'!C:C=B496,'Students (Vertical)'!O:O&lt;&gt;"""",'Students (Vertical)'!P:P&gt;1));unique(filter('Students (Vertical)'"&amp;"!O:O,'Students (Vertical)'!C:C=E496,'Students (Vertical)'!O:O&lt;&gt;"""",'Students (Vertical)'!P:P&gt;1))},{unique(filter('Students (Vertical)'!O:O,'Students (Vertical)'!C:C=B496,'Students (Vertical)'!O:O&lt;&gt;"""",'Students (Vertical)'!P:P&gt;1));unique(filter('Student"&amp;"s (Vertical)'!O:O,'Students (Vertical)'!C:C=E496,'Students (Vertical)'!O:O&lt;&gt;"""",'Students (Vertical)'!P:P&gt;1))})&gt;1))),""""),"""")"),"")</f>
        <v/>
      </c>
      <c r="K496" s="96" t="str">
        <f>IFERROR(__xludf.DUMMYFUNCTION("iferror(join("", "",unique(filter({filter('Students (Vertical)'!D:D,'Students (Vertical)'!C:C=B496,'Students (Vertical)'!D:D&lt;&gt;"""");filter('Students (Vertical)'!D:D,'Students (Vertical)'!C:C=E496,'Students (Vertical)'!D:D&lt;&gt;"""")},countifs({filter('Student"&amp;"s (Vertical)'!D:D,'Students (Vertical)'!C:C=B496,'Students (Vertical)'!D:D&lt;&gt;"""");filter('Students (Vertical)'!D:D,'Students (Vertical)'!C:C=E496,'Students (Vertical)'!D:D&lt;&gt;"""")},{filter('Students (Vertical)'!D:D,'Students (Vertical)'!C:C=B496,'Students "&amp;"(Vertical)'!D:D&lt;&gt;"""");filter('Students (Vertical)'!D:D,'Students (Vertical)'!C:C=E496,'Students (Vertical)'!D:D&lt;&gt;"""")})&gt;1))),"""")"),"")</f>
        <v/>
      </c>
      <c r="L496" s="96"/>
      <c r="M496" s="96"/>
    </row>
    <row r="497" hidden="1">
      <c r="A497" s="8" t="s">
        <v>8</v>
      </c>
      <c r="C497" s="8" t="s">
        <v>8</v>
      </c>
      <c r="D497" s="8" t="s">
        <v>8</v>
      </c>
      <c r="F497" s="8" t="s">
        <v>8</v>
      </c>
      <c r="G497" s="8" t="s">
        <v>8</v>
      </c>
      <c r="I497" s="94" t="str">
        <f>IFERROR(__xludf.DUMMYFUNCTION("if(H497=""Must be Together"",iferror(join("", "",unique(filter({filter('Students (Vertical)'!O:O,'Students (Vertical)'!C:C=B497,'Students (Vertical)'!O:O&lt;&gt;"""");filter('Students (Vertical)'!O:O,'Students (Vertical)'!C:C=E497,'Students (Vertical)'!O:O&lt;&gt;"""&amp;""")},countifs({filter('Students (Vertical)'!O:O,'Students (Vertical)'!C:C=B497,'Students (Vertical)'!O:O&lt;&gt;"""");filter('Students (Vertical)'!O:O,'Students (Vertical)'!C:C=E497,'Students (Vertical)'!O:O&lt;&gt;"""")},{filter('Students (Vertical)'!O:O,'Students ("&amp;"Vertical)'!C:C=B497,'Students (Vertical)'!O:O&lt;&gt;"""");filter('Students (Vertical)'!O:O,'Students (Vertical)'!C:C=E497,'Students (Vertical)'!O:O&lt;&gt;"""")})&gt;1))),""No shared courses""),"""")"),"")</f>
        <v/>
      </c>
      <c r="J497" s="94" t="str">
        <f>IFERROR(__xludf.DUMMYFUNCTION("if(H497=""Can't be Together"",iferror(join("", "",unique(filter({unique(filter('Students (Vertical)'!O:O,'Students (Vertical)'!C:C=B497,'Students (Vertical)'!O:O&lt;&gt;"""",'Students (Vertical)'!P:P&gt;1));unique(filter('Students (Vertical)'!O:O,'Students (Vertic"&amp;"al)'!C:C=E497,'Students (Vertical)'!O:O&lt;&gt;"""",'Students (Vertical)'!P:P&gt;1))},countifs({unique(filter('Students (Vertical)'!O:O,'Students (Vertical)'!C:C=B497,'Students (Vertical)'!O:O&lt;&gt;"""",'Students (Vertical)'!P:P&gt;1));unique(filter('Students (Vertical)'"&amp;"!O:O,'Students (Vertical)'!C:C=E497,'Students (Vertical)'!O:O&lt;&gt;"""",'Students (Vertical)'!P:P&gt;1))},{unique(filter('Students (Vertical)'!O:O,'Students (Vertical)'!C:C=B497,'Students (Vertical)'!O:O&lt;&gt;"""",'Students (Vertical)'!P:P&gt;1));unique(filter('Student"&amp;"s (Vertical)'!O:O,'Students (Vertical)'!C:C=E497,'Students (Vertical)'!O:O&lt;&gt;"""",'Students (Vertical)'!P:P&gt;1))})&gt;1))),""""),"""")"),"")</f>
        <v/>
      </c>
      <c r="K497" s="96" t="str">
        <f>IFERROR(__xludf.DUMMYFUNCTION("iferror(join("", "",unique(filter({filter('Students (Vertical)'!D:D,'Students (Vertical)'!C:C=B497,'Students (Vertical)'!D:D&lt;&gt;"""");filter('Students (Vertical)'!D:D,'Students (Vertical)'!C:C=E497,'Students (Vertical)'!D:D&lt;&gt;"""")},countifs({filter('Student"&amp;"s (Vertical)'!D:D,'Students (Vertical)'!C:C=B497,'Students (Vertical)'!D:D&lt;&gt;"""");filter('Students (Vertical)'!D:D,'Students (Vertical)'!C:C=E497,'Students (Vertical)'!D:D&lt;&gt;"""")},{filter('Students (Vertical)'!D:D,'Students (Vertical)'!C:C=B497,'Students "&amp;"(Vertical)'!D:D&lt;&gt;"""");filter('Students (Vertical)'!D:D,'Students (Vertical)'!C:C=E497,'Students (Vertical)'!D:D&lt;&gt;"""")})&gt;1))),"""")"),"")</f>
        <v/>
      </c>
      <c r="L497" s="96"/>
      <c r="M497" s="96"/>
    </row>
    <row r="498" hidden="1">
      <c r="A498" s="8" t="s">
        <v>8</v>
      </c>
      <c r="C498" s="8" t="s">
        <v>8</v>
      </c>
      <c r="D498" s="8" t="s">
        <v>8</v>
      </c>
      <c r="F498" s="8" t="s">
        <v>8</v>
      </c>
      <c r="G498" s="8" t="s">
        <v>8</v>
      </c>
      <c r="I498" s="94" t="str">
        <f>IFERROR(__xludf.DUMMYFUNCTION("if(H498=""Must be Together"",iferror(join("", "",unique(filter({filter('Students (Vertical)'!O:O,'Students (Vertical)'!C:C=B498,'Students (Vertical)'!O:O&lt;&gt;"""");filter('Students (Vertical)'!O:O,'Students (Vertical)'!C:C=E498,'Students (Vertical)'!O:O&lt;&gt;"""&amp;""")},countifs({filter('Students (Vertical)'!O:O,'Students (Vertical)'!C:C=B498,'Students (Vertical)'!O:O&lt;&gt;"""");filter('Students (Vertical)'!O:O,'Students (Vertical)'!C:C=E498,'Students (Vertical)'!O:O&lt;&gt;"""")},{filter('Students (Vertical)'!O:O,'Students ("&amp;"Vertical)'!C:C=B498,'Students (Vertical)'!O:O&lt;&gt;"""");filter('Students (Vertical)'!O:O,'Students (Vertical)'!C:C=E498,'Students (Vertical)'!O:O&lt;&gt;"""")})&gt;1))),""No shared courses""),"""")"),"")</f>
        <v/>
      </c>
      <c r="J498" s="94" t="str">
        <f>IFERROR(__xludf.DUMMYFUNCTION("if(H498=""Can't be Together"",iferror(join("", "",unique(filter({unique(filter('Students (Vertical)'!O:O,'Students (Vertical)'!C:C=B498,'Students (Vertical)'!O:O&lt;&gt;"""",'Students (Vertical)'!P:P&gt;1));unique(filter('Students (Vertical)'!O:O,'Students (Vertic"&amp;"al)'!C:C=E498,'Students (Vertical)'!O:O&lt;&gt;"""",'Students (Vertical)'!P:P&gt;1))},countifs({unique(filter('Students (Vertical)'!O:O,'Students (Vertical)'!C:C=B498,'Students (Vertical)'!O:O&lt;&gt;"""",'Students (Vertical)'!P:P&gt;1));unique(filter('Students (Vertical)'"&amp;"!O:O,'Students (Vertical)'!C:C=E498,'Students (Vertical)'!O:O&lt;&gt;"""",'Students (Vertical)'!P:P&gt;1))},{unique(filter('Students (Vertical)'!O:O,'Students (Vertical)'!C:C=B498,'Students (Vertical)'!O:O&lt;&gt;"""",'Students (Vertical)'!P:P&gt;1));unique(filter('Student"&amp;"s (Vertical)'!O:O,'Students (Vertical)'!C:C=E498,'Students (Vertical)'!O:O&lt;&gt;"""",'Students (Vertical)'!P:P&gt;1))})&gt;1))),""""),"""")"),"")</f>
        <v/>
      </c>
      <c r="K498" s="96" t="str">
        <f>IFERROR(__xludf.DUMMYFUNCTION("iferror(join("", "",unique(filter({filter('Students (Vertical)'!D:D,'Students (Vertical)'!C:C=B498,'Students (Vertical)'!D:D&lt;&gt;"""");filter('Students (Vertical)'!D:D,'Students (Vertical)'!C:C=E498,'Students (Vertical)'!D:D&lt;&gt;"""")},countifs({filter('Student"&amp;"s (Vertical)'!D:D,'Students (Vertical)'!C:C=B498,'Students (Vertical)'!D:D&lt;&gt;"""");filter('Students (Vertical)'!D:D,'Students (Vertical)'!C:C=E498,'Students (Vertical)'!D:D&lt;&gt;"""")},{filter('Students (Vertical)'!D:D,'Students (Vertical)'!C:C=B498,'Students "&amp;"(Vertical)'!D:D&lt;&gt;"""");filter('Students (Vertical)'!D:D,'Students (Vertical)'!C:C=E498,'Students (Vertical)'!D:D&lt;&gt;"""")})&gt;1))),"""")"),"")</f>
        <v/>
      </c>
      <c r="L498" s="96"/>
      <c r="M498" s="96"/>
    </row>
    <row r="499" hidden="1">
      <c r="A499" s="8" t="s">
        <v>8</v>
      </c>
      <c r="C499" s="8" t="s">
        <v>8</v>
      </c>
      <c r="D499" s="8" t="s">
        <v>8</v>
      </c>
      <c r="F499" s="8" t="s">
        <v>8</v>
      </c>
      <c r="G499" s="8" t="s">
        <v>8</v>
      </c>
      <c r="I499" s="94" t="str">
        <f>IFERROR(__xludf.DUMMYFUNCTION("if(H499=""Must be Together"",iferror(join("", "",unique(filter({filter('Students (Vertical)'!O:O,'Students (Vertical)'!C:C=B499,'Students (Vertical)'!O:O&lt;&gt;"""");filter('Students (Vertical)'!O:O,'Students (Vertical)'!C:C=E499,'Students (Vertical)'!O:O&lt;&gt;"""&amp;""")},countifs({filter('Students (Vertical)'!O:O,'Students (Vertical)'!C:C=B499,'Students (Vertical)'!O:O&lt;&gt;"""");filter('Students (Vertical)'!O:O,'Students (Vertical)'!C:C=E499,'Students (Vertical)'!O:O&lt;&gt;"""")},{filter('Students (Vertical)'!O:O,'Students ("&amp;"Vertical)'!C:C=B499,'Students (Vertical)'!O:O&lt;&gt;"""");filter('Students (Vertical)'!O:O,'Students (Vertical)'!C:C=E499,'Students (Vertical)'!O:O&lt;&gt;"""")})&gt;1))),""No shared courses""),"""")"),"")</f>
        <v/>
      </c>
      <c r="J499" s="94" t="str">
        <f>IFERROR(__xludf.DUMMYFUNCTION("if(H499=""Can't be Together"",iferror(join("", "",unique(filter({unique(filter('Students (Vertical)'!O:O,'Students (Vertical)'!C:C=B499,'Students (Vertical)'!O:O&lt;&gt;"""",'Students (Vertical)'!P:P&gt;1));unique(filter('Students (Vertical)'!O:O,'Students (Vertic"&amp;"al)'!C:C=E499,'Students (Vertical)'!O:O&lt;&gt;"""",'Students (Vertical)'!P:P&gt;1))},countifs({unique(filter('Students (Vertical)'!O:O,'Students (Vertical)'!C:C=B499,'Students (Vertical)'!O:O&lt;&gt;"""",'Students (Vertical)'!P:P&gt;1));unique(filter('Students (Vertical)'"&amp;"!O:O,'Students (Vertical)'!C:C=E499,'Students (Vertical)'!O:O&lt;&gt;"""",'Students (Vertical)'!P:P&gt;1))},{unique(filter('Students (Vertical)'!O:O,'Students (Vertical)'!C:C=B499,'Students (Vertical)'!O:O&lt;&gt;"""",'Students (Vertical)'!P:P&gt;1));unique(filter('Student"&amp;"s (Vertical)'!O:O,'Students (Vertical)'!C:C=E499,'Students (Vertical)'!O:O&lt;&gt;"""",'Students (Vertical)'!P:P&gt;1))})&gt;1))),""""),"""")"),"")</f>
        <v/>
      </c>
      <c r="K499" s="96" t="str">
        <f>IFERROR(__xludf.DUMMYFUNCTION("iferror(join("", "",unique(filter({filter('Students (Vertical)'!D:D,'Students (Vertical)'!C:C=B499,'Students (Vertical)'!D:D&lt;&gt;"""");filter('Students (Vertical)'!D:D,'Students (Vertical)'!C:C=E499,'Students (Vertical)'!D:D&lt;&gt;"""")},countifs({filter('Student"&amp;"s (Vertical)'!D:D,'Students (Vertical)'!C:C=B499,'Students (Vertical)'!D:D&lt;&gt;"""");filter('Students (Vertical)'!D:D,'Students (Vertical)'!C:C=E499,'Students (Vertical)'!D:D&lt;&gt;"""")},{filter('Students (Vertical)'!D:D,'Students (Vertical)'!C:C=B499,'Students "&amp;"(Vertical)'!D:D&lt;&gt;"""");filter('Students (Vertical)'!D:D,'Students (Vertical)'!C:C=E499,'Students (Vertical)'!D:D&lt;&gt;"""")})&gt;1))),"""")"),"")</f>
        <v/>
      </c>
      <c r="L499" s="96"/>
      <c r="M499" s="96"/>
    </row>
    <row r="500" hidden="1">
      <c r="A500" s="8" t="s">
        <v>8</v>
      </c>
      <c r="C500" s="8" t="s">
        <v>8</v>
      </c>
      <c r="D500" s="8" t="s">
        <v>8</v>
      </c>
      <c r="F500" s="8" t="s">
        <v>8</v>
      </c>
      <c r="G500" s="8" t="s">
        <v>8</v>
      </c>
      <c r="I500" s="94" t="str">
        <f>IFERROR(__xludf.DUMMYFUNCTION("if(H500=""Must be Together"",iferror(join("", "",unique(filter({filter('Students (Vertical)'!O:O,'Students (Vertical)'!C:C=B500,'Students (Vertical)'!O:O&lt;&gt;"""");filter('Students (Vertical)'!O:O,'Students (Vertical)'!C:C=E500,'Students (Vertical)'!O:O&lt;&gt;"""&amp;""")},countifs({filter('Students (Vertical)'!O:O,'Students (Vertical)'!C:C=B500,'Students (Vertical)'!O:O&lt;&gt;"""");filter('Students (Vertical)'!O:O,'Students (Vertical)'!C:C=E500,'Students (Vertical)'!O:O&lt;&gt;"""")},{filter('Students (Vertical)'!O:O,'Students ("&amp;"Vertical)'!C:C=B500,'Students (Vertical)'!O:O&lt;&gt;"""");filter('Students (Vertical)'!O:O,'Students (Vertical)'!C:C=E500,'Students (Vertical)'!O:O&lt;&gt;"""")})&gt;1))),""No shared courses""),"""")"),"")</f>
        <v/>
      </c>
      <c r="J500" s="94" t="str">
        <f>IFERROR(__xludf.DUMMYFUNCTION("if(H500=""Can't be Together"",iferror(join("", "",unique(filter({unique(filter('Students (Vertical)'!O:O,'Students (Vertical)'!C:C=B500,'Students (Vertical)'!O:O&lt;&gt;"""",'Students (Vertical)'!P:P&gt;1));unique(filter('Students (Vertical)'!O:O,'Students (Vertic"&amp;"al)'!C:C=E500,'Students (Vertical)'!O:O&lt;&gt;"""",'Students (Vertical)'!P:P&gt;1))},countifs({unique(filter('Students (Vertical)'!O:O,'Students (Vertical)'!C:C=B500,'Students (Vertical)'!O:O&lt;&gt;"""",'Students (Vertical)'!P:P&gt;1));unique(filter('Students (Vertical)'"&amp;"!O:O,'Students (Vertical)'!C:C=E500,'Students (Vertical)'!O:O&lt;&gt;"""",'Students (Vertical)'!P:P&gt;1))},{unique(filter('Students (Vertical)'!O:O,'Students (Vertical)'!C:C=B500,'Students (Vertical)'!O:O&lt;&gt;"""",'Students (Vertical)'!P:P&gt;1));unique(filter('Student"&amp;"s (Vertical)'!O:O,'Students (Vertical)'!C:C=E500,'Students (Vertical)'!O:O&lt;&gt;"""",'Students (Vertical)'!P:P&gt;1))})&gt;1))),""""),"""")"),"")</f>
        <v/>
      </c>
      <c r="K500" s="96" t="str">
        <f>IFERROR(__xludf.DUMMYFUNCTION("iferror(join("", "",unique(filter({filter('Students (Vertical)'!D:D,'Students (Vertical)'!C:C=B500,'Students (Vertical)'!D:D&lt;&gt;"""");filter('Students (Vertical)'!D:D,'Students (Vertical)'!C:C=E500,'Students (Vertical)'!D:D&lt;&gt;"""")},countifs({filter('Student"&amp;"s (Vertical)'!D:D,'Students (Vertical)'!C:C=B500,'Students (Vertical)'!D:D&lt;&gt;"""");filter('Students (Vertical)'!D:D,'Students (Vertical)'!C:C=E500,'Students (Vertical)'!D:D&lt;&gt;"""")},{filter('Students (Vertical)'!D:D,'Students (Vertical)'!C:C=B500,'Students "&amp;"(Vertical)'!D:D&lt;&gt;"""");filter('Students (Vertical)'!D:D,'Students (Vertical)'!C:C=E500,'Students (Vertical)'!D:D&lt;&gt;"""")})&gt;1))),"""")"),"")</f>
        <v/>
      </c>
      <c r="L500" s="96"/>
      <c r="M500" s="96"/>
    </row>
    <row r="501" hidden="1">
      <c r="A501" s="8" t="s">
        <v>8</v>
      </c>
      <c r="C501" s="8" t="s">
        <v>8</v>
      </c>
      <c r="D501" s="8" t="s">
        <v>8</v>
      </c>
      <c r="F501" s="8" t="s">
        <v>8</v>
      </c>
      <c r="G501" s="8" t="s">
        <v>8</v>
      </c>
      <c r="I501" s="94" t="str">
        <f>IFERROR(__xludf.DUMMYFUNCTION("if(H501=""Must be Together"",iferror(join("", "",unique(filter({filter('Students (Vertical)'!O:O,'Students (Vertical)'!C:C=B501,'Students (Vertical)'!O:O&lt;&gt;"""");filter('Students (Vertical)'!O:O,'Students (Vertical)'!C:C=E501,'Students (Vertical)'!O:O&lt;&gt;"""&amp;""")},countifs({filter('Students (Vertical)'!O:O,'Students (Vertical)'!C:C=B501,'Students (Vertical)'!O:O&lt;&gt;"""");filter('Students (Vertical)'!O:O,'Students (Vertical)'!C:C=E501,'Students (Vertical)'!O:O&lt;&gt;"""")},{filter('Students (Vertical)'!O:O,'Students ("&amp;"Vertical)'!C:C=B501,'Students (Vertical)'!O:O&lt;&gt;"""");filter('Students (Vertical)'!O:O,'Students (Vertical)'!C:C=E501,'Students (Vertical)'!O:O&lt;&gt;"""")})&gt;1))),""No shared courses""),"""")"),"")</f>
        <v/>
      </c>
      <c r="J501" s="94" t="str">
        <f>IFERROR(__xludf.DUMMYFUNCTION("if(H501=""Can't be Together"",iferror(join("", "",unique(filter({unique(filter('Students (Vertical)'!O:O,'Students (Vertical)'!C:C=B501,'Students (Vertical)'!O:O&lt;&gt;"""",'Students (Vertical)'!P:P&gt;1));unique(filter('Students (Vertical)'!O:O,'Students (Vertic"&amp;"al)'!C:C=E501,'Students (Vertical)'!O:O&lt;&gt;"""",'Students (Vertical)'!P:P&gt;1))},countifs({unique(filter('Students (Vertical)'!O:O,'Students (Vertical)'!C:C=B501,'Students (Vertical)'!O:O&lt;&gt;"""",'Students (Vertical)'!P:P&gt;1));unique(filter('Students (Vertical)'"&amp;"!O:O,'Students (Vertical)'!C:C=E501,'Students (Vertical)'!O:O&lt;&gt;"""",'Students (Vertical)'!P:P&gt;1))},{unique(filter('Students (Vertical)'!O:O,'Students (Vertical)'!C:C=B501,'Students (Vertical)'!O:O&lt;&gt;"""",'Students (Vertical)'!P:P&gt;1));unique(filter('Student"&amp;"s (Vertical)'!O:O,'Students (Vertical)'!C:C=E501,'Students (Vertical)'!O:O&lt;&gt;"""",'Students (Vertical)'!P:P&gt;1))})&gt;1))),""""),"""")"),"")</f>
        <v/>
      </c>
      <c r="K501" s="96" t="str">
        <f>IFERROR(__xludf.DUMMYFUNCTION("iferror(join("", "",unique(filter({filter('Students (Vertical)'!D:D,'Students (Vertical)'!C:C=B501,'Students (Vertical)'!D:D&lt;&gt;"""");filter('Students (Vertical)'!D:D,'Students (Vertical)'!C:C=E501,'Students (Vertical)'!D:D&lt;&gt;"""")},countifs({filter('Student"&amp;"s (Vertical)'!D:D,'Students (Vertical)'!C:C=B501,'Students (Vertical)'!D:D&lt;&gt;"""");filter('Students (Vertical)'!D:D,'Students (Vertical)'!C:C=E501,'Students (Vertical)'!D:D&lt;&gt;"""")},{filter('Students (Vertical)'!D:D,'Students (Vertical)'!C:C=B501,'Students "&amp;"(Vertical)'!D:D&lt;&gt;"""");filter('Students (Vertical)'!D:D,'Students (Vertical)'!C:C=E501,'Students (Vertical)'!D:D&lt;&gt;"""")})&gt;1))),"""")"),"")</f>
        <v/>
      </c>
      <c r="L501" s="96"/>
      <c r="M501" s="96"/>
    </row>
    <row r="502" hidden="1">
      <c r="A502" s="8" t="s">
        <v>8</v>
      </c>
      <c r="C502" s="8" t="s">
        <v>8</v>
      </c>
      <c r="D502" s="8" t="s">
        <v>8</v>
      </c>
      <c r="F502" s="8" t="s">
        <v>8</v>
      </c>
      <c r="G502" s="8" t="s">
        <v>8</v>
      </c>
      <c r="I502" s="94" t="str">
        <f>IFERROR(__xludf.DUMMYFUNCTION("if(H502=""Must be Together"",iferror(join("", "",unique(filter({filter('Students (Vertical)'!O:O,'Students (Vertical)'!C:C=B502,'Students (Vertical)'!O:O&lt;&gt;"""");filter('Students (Vertical)'!O:O,'Students (Vertical)'!C:C=E502,'Students (Vertical)'!O:O&lt;&gt;"""&amp;""")},countifs({filter('Students (Vertical)'!O:O,'Students (Vertical)'!C:C=B502,'Students (Vertical)'!O:O&lt;&gt;"""");filter('Students (Vertical)'!O:O,'Students (Vertical)'!C:C=E502,'Students (Vertical)'!O:O&lt;&gt;"""")},{filter('Students (Vertical)'!O:O,'Students ("&amp;"Vertical)'!C:C=B502,'Students (Vertical)'!O:O&lt;&gt;"""");filter('Students (Vertical)'!O:O,'Students (Vertical)'!C:C=E502,'Students (Vertical)'!O:O&lt;&gt;"""")})&gt;1))),""No shared courses""),"""")"),"")</f>
        <v/>
      </c>
      <c r="J502" s="94" t="str">
        <f>IFERROR(__xludf.DUMMYFUNCTION("if(H502=""Can't be Together"",iferror(join("", "",unique(filter({unique(filter('Students (Vertical)'!O:O,'Students (Vertical)'!C:C=B502,'Students (Vertical)'!O:O&lt;&gt;"""",'Students (Vertical)'!P:P&gt;1));unique(filter('Students (Vertical)'!O:O,'Students (Vertic"&amp;"al)'!C:C=E502,'Students (Vertical)'!O:O&lt;&gt;"""",'Students (Vertical)'!P:P&gt;1))},countifs({unique(filter('Students (Vertical)'!O:O,'Students (Vertical)'!C:C=B502,'Students (Vertical)'!O:O&lt;&gt;"""",'Students (Vertical)'!P:P&gt;1));unique(filter('Students (Vertical)'"&amp;"!O:O,'Students (Vertical)'!C:C=E502,'Students (Vertical)'!O:O&lt;&gt;"""",'Students (Vertical)'!P:P&gt;1))},{unique(filter('Students (Vertical)'!O:O,'Students (Vertical)'!C:C=B502,'Students (Vertical)'!O:O&lt;&gt;"""",'Students (Vertical)'!P:P&gt;1));unique(filter('Student"&amp;"s (Vertical)'!O:O,'Students (Vertical)'!C:C=E502,'Students (Vertical)'!O:O&lt;&gt;"""",'Students (Vertical)'!P:P&gt;1))})&gt;1))),""""),"""")"),"")</f>
        <v/>
      </c>
      <c r="K502" s="96" t="str">
        <f>IFERROR(__xludf.DUMMYFUNCTION("iferror(join("", "",unique(filter({filter('Students (Vertical)'!D:D,'Students (Vertical)'!C:C=B502,'Students (Vertical)'!D:D&lt;&gt;"""");filter('Students (Vertical)'!D:D,'Students (Vertical)'!C:C=E502,'Students (Vertical)'!D:D&lt;&gt;"""")},countifs({filter('Student"&amp;"s (Vertical)'!D:D,'Students (Vertical)'!C:C=B502,'Students (Vertical)'!D:D&lt;&gt;"""");filter('Students (Vertical)'!D:D,'Students (Vertical)'!C:C=E502,'Students (Vertical)'!D:D&lt;&gt;"""")},{filter('Students (Vertical)'!D:D,'Students (Vertical)'!C:C=B502,'Students "&amp;"(Vertical)'!D:D&lt;&gt;"""");filter('Students (Vertical)'!D:D,'Students (Vertical)'!C:C=E502,'Students (Vertical)'!D:D&lt;&gt;"""")})&gt;1))),"""")"),"")</f>
        <v/>
      </c>
      <c r="L502" s="96"/>
      <c r="M502" s="96"/>
    </row>
    <row r="503" hidden="1">
      <c r="A503" s="8" t="s">
        <v>8</v>
      </c>
      <c r="C503" s="8" t="s">
        <v>8</v>
      </c>
      <c r="D503" s="8" t="s">
        <v>8</v>
      </c>
      <c r="F503" s="8" t="s">
        <v>8</v>
      </c>
      <c r="G503" s="8" t="s">
        <v>8</v>
      </c>
      <c r="I503" s="94" t="str">
        <f>IFERROR(__xludf.DUMMYFUNCTION("if(H503=""Must be Together"",iferror(join("", "",unique(filter({filter('Students (Vertical)'!O:O,'Students (Vertical)'!C:C=B503,'Students (Vertical)'!O:O&lt;&gt;"""");filter('Students (Vertical)'!O:O,'Students (Vertical)'!C:C=E503,'Students (Vertical)'!O:O&lt;&gt;"""&amp;""")},countifs({filter('Students (Vertical)'!O:O,'Students (Vertical)'!C:C=B503,'Students (Vertical)'!O:O&lt;&gt;"""");filter('Students (Vertical)'!O:O,'Students (Vertical)'!C:C=E503,'Students (Vertical)'!O:O&lt;&gt;"""")},{filter('Students (Vertical)'!O:O,'Students ("&amp;"Vertical)'!C:C=B503,'Students (Vertical)'!O:O&lt;&gt;"""");filter('Students (Vertical)'!O:O,'Students (Vertical)'!C:C=E503,'Students (Vertical)'!O:O&lt;&gt;"""")})&gt;1))),""No shared courses""),"""")"),"")</f>
        <v/>
      </c>
      <c r="J503" s="94" t="str">
        <f>IFERROR(__xludf.DUMMYFUNCTION("if(H503=""Can't be Together"",iferror(join("", "",unique(filter({unique(filter('Students (Vertical)'!O:O,'Students (Vertical)'!C:C=B503,'Students (Vertical)'!O:O&lt;&gt;"""",'Students (Vertical)'!P:P&gt;1));unique(filter('Students (Vertical)'!O:O,'Students (Vertic"&amp;"al)'!C:C=E503,'Students (Vertical)'!O:O&lt;&gt;"""",'Students (Vertical)'!P:P&gt;1))},countifs({unique(filter('Students (Vertical)'!O:O,'Students (Vertical)'!C:C=B503,'Students (Vertical)'!O:O&lt;&gt;"""",'Students (Vertical)'!P:P&gt;1));unique(filter('Students (Vertical)'"&amp;"!O:O,'Students (Vertical)'!C:C=E503,'Students (Vertical)'!O:O&lt;&gt;"""",'Students (Vertical)'!P:P&gt;1))},{unique(filter('Students (Vertical)'!O:O,'Students (Vertical)'!C:C=B503,'Students (Vertical)'!O:O&lt;&gt;"""",'Students (Vertical)'!P:P&gt;1));unique(filter('Student"&amp;"s (Vertical)'!O:O,'Students (Vertical)'!C:C=E503,'Students (Vertical)'!O:O&lt;&gt;"""",'Students (Vertical)'!P:P&gt;1))})&gt;1))),""""),"""")"),"")</f>
        <v/>
      </c>
      <c r="K503" s="96" t="str">
        <f>IFERROR(__xludf.DUMMYFUNCTION("iferror(join("", "",unique(filter({filter('Students (Vertical)'!D:D,'Students (Vertical)'!C:C=B503,'Students (Vertical)'!D:D&lt;&gt;"""");filter('Students (Vertical)'!D:D,'Students (Vertical)'!C:C=E503,'Students (Vertical)'!D:D&lt;&gt;"""")},countifs({filter('Student"&amp;"s (Vertical)'!D:D,'Students (Vertical)'!C:C=B503,'Students (Vertical)'!D:D&lt;&gt;"""");filter('Students (Vertical)'!D:D,'Students (Vertical)'!C:C=E503,'Students (Vertical)'!D:D&lt;&gt;"""")},{filter('Students (Vertical)'!D:D,'Students (Vertical)'!C:C=B503,'Students "&amp;"(Vertical)'!D:D&lt;&gt;"""");filter('Students (Vertical)'!D:D,'Students (Vertical)'!C:C=E503,'Students (Vertical)'!D:D&lt;&gt;"""")})&gt;1))),"""")"),"")</f>
        <v/>
      </c>
      <c r="L503" s="96"/>
      <c r="M503" s="96"/>
    </row>
    <row r="504" hidden="1">
      <c r="A504" s="8" t="s">
        <v>8</v>
      </c>
      <c r="C504" s="8" t="s">
        <v>8</v>
      </c>
      <c r="D504" s="8" t="s">
        <v>8</v>
      </c>
      <c r="F504" s="8" t="s">
        <v>8</v>
      </c>
      <c r="G504" s="8" t="s">
        <v>8</v>
      </c>
      <c r="I504" s="94" t="str">
        <f>IFERROR(__xludf.DUMMYFUNCTION("if(H504=""Must be Together"",iferror(join("", "",unique(filter({filter('Students (Vertical)'!O:O,'Students (Vertical)'!C:C=B504,'Students (Vertical)'!O:O&lt;&gt;"""");filter('Students (Vertical)'!O:O,'Students (Vertical)'!C:C=E504,'Students (Vertical)'!O:O&lt;&gt;"""&amp;""")},countifs({filter('Students (Vertical)'!O:O,'Students (Vertical)'!C:C=B504,'Students (Vertical)'!O:O&lt;&gt;"""");filter('Students (Vertical)'!O:O,'Students (Vertical)'!C:C=E504,'Students (Vertical)'!O:O&lt;&gt;"""")},{filter('Students (Vertical)'!O:O,'Students ("&amp;"Vertical)'!C:C=B504,'Students (Vertical)'!O:O&lt;&gt;"""");filter('Students (Vertical)'!O:O,'Students (Vertical)'!C:C=E504,'Students (Vertical)'!O:O&lt;&gt;"""")})&gt;1))),""No shared courses""),"""")"),"")</f>
        <v/>
      </c>
      <c r="J504" s="94" t="str">
        <f>IFERROR(__xludf.DUMMYFUNCTION("if(H504=""Can't be Together"",iferror(join("", "",unique(filter({unique(filter('Students (Vertical)'!O:O,'Students (Vertical)'!C:C=B504,'Students (Vertical)'!O:O&lt;&gt;"""",'Students (Vertical)'!P:P&gt;1));unique(filter('Students (Vertical)'!O:O,'Students (Vertic"&amp;"al)'!C:C=E504,'Students (Vertical)'!O:O&lt;&gt;"""",'Students (Vertical)'!P:P&gt;1))},countifs({unique(filter('Students (Vertical)'!O:O,'Students (Vertical)'!C:C=B504,'Students (Vertical)'!O:O&lt;&gt;"""",'Students (Vertical)'!P:P&gt;1));unique(filter('Students (Vertical)'"&amp;"!O:O,'Students (Vertical)'!C:C=E504,'Students (Vertical)'!O:O&lt;&gt;"""",'Students (Vertical)'!P:P&gt;1))},{unique(filter('Students (Vertical)'!O:O,'Students (Vertical)'!C:C=B504,'Students (Vertical)'!O:O&lt;&gt;"""",'Students (Vertical)'!P:P&gt;1));unique(filter('Student"&amp;"s (Vertical)'!O:O,'Students (Vertical)'!C:C=E504,'Students (Vertical)'!O:O&lt;&gt;"""",'Students (Vertical)'!P:P&gt;1))})&gt;1))),""""),"""")"),"")</f>
        <v/>
      </c>
      <c r="K504" s="96" t="str">
        <f>IFERROR(__xludf.DUMMYFUNCTION("iferror(join("", "",unique(filter({filter('Students (Vertical)'!D:D,'Students (Vertical)'!C:C=B504,'Students (Vertical)'!D:D&lt;&gt;"""");filter('Students (Vertical)'!D:D,'Students (Vertical)'!C:C=E504,'Students (Vertical)'!D:D&lt;&gt;"""")},countifs({filter('Student"&amp;"s (Vertical)'!D:D,'Students (Vertical)'!C:C=B504,'Students (Vertical)'!D:D&lt;&gt;"""");filter('Students (Vertical)'!D:D,'Students (Vertical)'!C:C=E504,'Students (Vertical)'!D:D&lt;&gt;"""")},{filter('Students (Vertical)'!D:D,'Students (Vertical)'!C:C=B504,'Students "&amp;"(Vertical)'!D:D&lt;&gt;"""");filter('Students (Vertical)'!D:D,'Students (Vertical)'!C:C=E504,'Students (Vertical)'!D:D&lt;&gt;"""")})&gt;1))),"""")"),"")</f>
        <v/>
      </c>
      <c r="L504" s="96"/>
      <c r="M504" s="96"/>
    </row>
    <row r="505" hidden="1">
      <c r="A505" s="8" t="s">
        <v>8</v>
      </c>
      <c r="C505" s="8" t="s">
        <v>8</v>
      </c>
      <c r="D505" s="8" t="s">
        <v>8</v>
      </c>
      <c r="F505" s="8" t="s">
        <v>8</v>
      </c>
      <c r="G505" s="8" t="s">
        <v>8</v>
      </c>
      <c r="I505" s="94" t="str">
        <f>IFERROR(__xludf.DUMMYFUNCTION("if(H505=""Must be Together"",iferror(join("", "",unique(filter({filter('Students (Vertical)'!O:O,'Students (Vertical)'!C:C=B505,'Students (Vertical)'!O:O&lt;&gt;"""");filter('Students (Vertical)'!O:O,'Students (Vertical)'!C:C=E505,'Students (Vertical)'!O:O&lt;&gt;"""&amp;""")},countifs({filter('Students (Vertical)'!O:O,'Students (Vertical)'!C:C=B505,'Students (Vertical)'!O:O&lt;&gt;"""");filter('Students (Vertical)'!O:O,'Students (Vertical)'!C:C=E505,'Students (Vertical)'!O:O&lt;&gt;"""")},{filter('Students (Vertical)'!O:O,'Students ("&amp;"Vertical)'!C:C=B505,'Students (Vertical)'!O:O&lt;&gt;"""");filter('Students (Vertical)'!O:O,'Students (Vertical)'!C:C=E505,'Students (Vertical)'!O:O&lt;&gt;"""")})&gt;1))),""No shared courses""),"""")"),"")</f>
        <v/>
      </c>
      <c r="J505" s="94" t="str">
        <f>IFERROR(__xludf.DUMMYFUNCTION("if(H505=""Can't be Together"",iferror(join("", "",unique(filter({unique(filter('Students (Vertical)'!O:O,'Students (Vertical)'!C:C=B505,'Students (Vertical)'!O:O&lt;&gt;"""",'Students (Vertical)'!P:P&gt;1));unique(filter('Students (Vertical)'!O:O,'Students (Vertic"&amp;"al)'!C:C=E505,'Students (Vertical)'!O:O&lt;&gt;"""",'Students (Vertical)'!P:P&gt;1))},countifs({unique(filter('Students (Vertical)'!O:O,'Students (Vertical)'!C:C=B505,'Students (Vertical)'!O:O&lt;&gt;"""",'Students (Vertical)'!P:P&gt;1));unique(filter('Students (Vertical)'"&amp;"!O:O,'Students (Vertical)'!C:C=E505,'Students (Vertical)'!O:O&lt;&gt;"""",'Students (Vertical)'!P:P&gt;1))},{unique(filter('Students (Vertical)'!O:O,'Students (Vertical)'!C:C=B505,'Students (Vertical)'!O:O&lt;&gt;"""",'Students (Vertical)'!P:P&gt;1));unique(filter('Student"&amp;"s (Vertical)'!O:O,'Students (Vertical)'!C:C=E505,'Students (Vertical)'!O:O&lt;&gt;"""",'Students (Vertical)'!P:P&gt;1))})&gt;1))),""""),"""")"),"")</f>
        <v/>
      </c>
      <c r="K505" s="96" t="str">
        <f>IFERROR(__xludf.DUMMYFUNCTION("iferror(join("", "",unique(filter({filter('Students (Vertical)'!D:D,'Students (Vertical)'!C:C=B505,'Students (Vertical)'!D:D&lt;&gt;"""");filter('Students (Vertical)'!D:D,'Students (Vertical)'!C:C=E505,'Students (Vertical)'!D:D&lt;&gt;"""")},countifs({filter('Student"&amp;"s (Vertical)'!D:D,'Students (Vertical)'!C:C=B505,'Students (Vertical)'!D:D&lt;&gt;"""");filter('Students (Vertical)'!D:D,'Students (Vertical)'!C:C=E505,'Students (Vertical)'!D:D&lt;&gt;"""")},{filter('Students (Vertical)'!D:D,'Students (Vertical)'!C:C=B505,'Students "&amp;"(Vertical)'!D:D&lt;&gt;"""");filter('Students (Vertical)'!D:D,'Students (Vertical)'!C:C=E505,'Students (Vertical)'!D:D&lt;&gt;"""")})&gt;1))),"""")"),"")</f>
        <v/>
      </c>
      <c r="L505" s="96"/>
      <c r="M505" s="96"/>
    </row>
    <row r="506" hidden="1">
      <c r="A506" s="8" t="s">
        <v>8</v>
      </c>
      <c r="C506" s="8" t="s">
        <v>8</v>
      </c>
      <c r="D506" s="8" t="s">
        <v>8</v>
      </c>
      <c r="F506" s="8" t="s">
        <v>8</v>
      </c>
      <c r="G506" s="8" t="s">
        <v>8</v>
      </c>
      <c r="I506" s="94" t="str">
        <f>IFERROR(__xludf.DUMMYFUNCTION("if(H506=""Must be Together"",iferror(join("", "",unique(filter({filter('Students (Vertical)'!O:O,'Students (Vertical)'!C:C=B506,'Students (Vertical)'!O:O&lt;&gt;"""");filter('Students (Vertical)'!O:O,'Students (Vertical)'!C:C=E506,'Students (Vertical)'!O:O&lt;&gt;"""&amp;""")},countifs({filter('Students (Vertical)'!O:O,'Students (Vertical)'!C:C=B506,'Students (Vertical)'!O:O&lt;&gt;"""");filter('Students (Vertical)'!O:O,'Students (Vertical)'!C:C=E506,'Students (Vertical)'!O:O&lt;&gt;"""")},{filter('Students (Vertical)'!O:O,'Students ("&amp;"Vertical)'!C:C=B506,'Students (Vertical)'!O:O&lt;&gt;"""");filter('Students (Vertical)'!O:O,'Students (Vertical)'!C:C=E506,'Students (Vertical)'!O:O&lt;&gt;"""")})&gt;1))),""No shared courses""),"""")"),"")</f>
        <v/>
      </c>
      <c r="J506" s="94" t="str">
        <f>IFERROR(__xludf.DUMMYFUNCTION("if(H506=""Can't be Together"",iferror(join("", "",unique(filter({unique(filter('Students (Vertical)'!O:O,'Students (Vertical)'!C:C=B506,'Students (Vertical)'!O:O&lt;&gt;"""",'Students (Vertical)'!P:P&gt;1));unique(filter('Students (Vertical)'!O:O,'Students (Vertic"&amp;"al)'!C:C=E506,'Students (Vertical)'!O:O&lt;&gt;"""",'Students (Vertical)'!P:P&gt;1))},countifs({unique(filter('Students (Vertical)'!O:O,'Students (Vertical)'!C:C=B506,'Students (Vertical)'!O:O&lt;&gt;"""",'Students (Vertical)'!P:P&gt;1));unique(filter('Students (Vertical)'"&amp;"!O:O,'Students (Vertical)'!C:C=E506,'Students (Vertical)'!O:O&lt;&gt;"""",'Students (Vertical)'!P:P&gt;1))},{unique(filter('Students (Vertical)'!O:O,'Students (Vertical)'!C:C=B506,'Students (Vertical)'!O:O&lt;&gt;"""",'Students (Vertical)'!P:P&gt;1));unique(filter('Student"&amp;"s (Vertical)'!O:O,'Students (Vertical)'!C:C=E506,'Students (Vertical)'!O:O&lt;&gt;"""",'Students (Vertical)'!P:P&gt;1))})&gt;1))),""""),"""")"),"")</f>
        <v/>
      </c>
      <c r="K506" s="96" t="str">
        <f>IFERROR(__xludf.DUMMYFUNCTION("iferror(join("", "",unique(filter({filter('Students (Vertical)'!D:D,'Students (Vertical)'!C:C=B506,'Students (Vertical)'!D:D&lt;&gt;"""");filter('Students (Vertical)'!D:D,'Students (Vertical)'!C:C=E506,'Students (Vertical)'!D:D&lt;&gt;"""")},countifs({filter('Student"&amp;"s (Vertical)'!D:D,'Students (Vertical)'!C:C=B506,'Students (Vertical)'!D:D&lt;&gt;"""");filter('Students (Vertical)'!D:D,'Students (Vertical)'!C:C=E506,'Students (Vertical)'!D:D&lt;&gt;"""")},{filter('Students (Vertical)'!D:D,'Students (Vertical)'!C:C=B506,'Students "&amp;"(Vertical)'!D:D&lt;&gt;"""");filter('Students (Vertical)'!D:D,'Students (Vertical)'!C:C=E506,'Students (Vertical)'!D:D&lt;&gt;"""")})&gt;1))),"""")"),"")</f>
        <v/>
      </c>
      <c r="L506" s="96"/>
      <c r="M506" s="96"/>
    </row>
    <row r="507" hidden="1">
      <c r="A507" s="8" t="s">
        <v>8</v>
      </c>
      <c r="C507" s="8" t="s">
        <v>8</v>
      </c>
      <c r="D507" s="8" t="s">
        <v>8</v>
      </c>
      <c r="F507" s="8" t="s">
        <v>8</v>
      </c>
      <c r="G507" s="8" t="s">
        <v>8</v>
      </c>
      <c r="I507" s="94" t="str">
        <f>IFERROR(__xludf.DUMMYFUNCTION("if(H507=""Must be Together"",iferror(join("", "",unique(filter({filter('Students (Vertical)'!O:O,'Students (Vertical)'!C:C=B507,'Students (Vertical)'!O:O&lt;&gt;"""");filter('Students (Vertical)'!O:O,'Students (Vertical)'!C:C=E507,'Students (Vertical)'!O:O&lt;&gt;"""&amp;""")},countifs({filter('Students (Vertical)'!O:O,'Students (Vertical)'!C:C=B507,'Students (Vertical)'!O:O&lt;&gt;"""");filter('Students (Vertical)'!O:O,'Students (Vertical)'!C:C=E507,'Students (Vertical)'!O:O&lt;&gt;"""")},{filter('Students (Vertical)'!O:O,'Students ("&amp;"Vertical)'!C:C=B507,'Students (Vertical)'!O:O&lt;&gt;"""");filter('Students (Vertical)'!O:O,'Students (Vertical)'!C:C=E507,'Students (Vertical)'!O:O&lt;&gt;"""")})&gt;1))),""No shared courses""),"""")"),"")</f>
        <v/>
      </c>
      <c r="J507" s="94" t="str">
        <f>IFERROR(__xludf.DUMMYFUNCTION("if(H507=""Can't be Together"",iferror(join("", "",unique(filter({unique(filter('Students (Vertical)'!O:O,'Students (Vertical)'!C:C=B507,'Students (Vertical)'!O:O&lt;&gt;"""",'Students (Vertical)'!P:P&gt;1));unique(filter('Students (Vertical)'!O:O,'Students (Vertic"&amp;"al)'!C:C=E507,'Students (Vertical)'!O:O&lt;&gt;"""",'Students (Vertical)'!P:P&gt;1))},countifs({unique(filter('Students (Vertical)'!O:O,'Students (Vertical)'!C:C=B507,'Students (Vertical)'!O:O&lt;&gt;"""",'Students (Vertical)'!P:P&gt;1));unique(filter('Students (Vertical)'"&amp;"!O:O,'Students (Vertical)'!C:C=E507,'Students (Vertical)'!O:O&lt;&gt;"""",'Students (Vertical)'!P:P&gt;1))},{unique(filter('Students (Vertical)'!O:O,'Students (Vertical)'!C:C=B507,'Students (Vertical)'!O:O&lt;&gt;"""",'Students (Vertical)'!P:P&gt;1));unique(filter('Student"&amp;"s (Vertical)'!O:O,'Students (Vertical)'!C:C=E507,'Students (Vertical)'!O:O&lt;&gt;"""",'Students (Vertical)'!P:P&gt;1))})&gt;1))),""""),"""")"),"")</f>
        <v/>
      </c>
      <c r="K507" s="96" t="str">
        <f>IFERROR(__xludf.DUMMYFUNCTION("iferror(join("", "",unique(filter({filter('Students (Vertical)'!D:D,'Students (Vertical)'!C:C=B507,'Students (Vertical)'!D:D&lt;&gt;"""");filter('Students (Vertical)'!D:D,'Students (Vertical)'!C:C=E507,'Students (Vertical)'!D:D&lt;&gt;"""")},countifs({filter('Student"&amp;"s (Vertical)'!D:D,'Students (Vertical)'!C:C=B507,'Students (Vertical)'!D:D&lt;&gt;"""");filter('Students (Vertical)'!D:D,'Students (Vertical)'!C:C=E507,'Students (Vertical)'!D:D&lt;&gt;"""")},{filter('Students (Vertical)'!D:D,'Students (Vertical)'!C:C=B507,'Students "&amp;"(Vertical)'!D:D&lt;&gt;"""");filter('Students (Vertical)'!D:D,'Students (Vertical)'!C:C=E507,'Students (Vertical)'!D:D&lt;&gt;"""")})&gt;1))),"""")"),"")</f>
        <v/>
      </c>
      <c r="L507" s="96"/>
      <c r="M507" s="96"/>
    </row>
    <row r="508" hidden="1">
      <c r="A508" s="8" t="s">
        <v>8</v>
      </c>
      <c r="C508" s="8" t="s">
        <v>8</v>
      </c>
      <c r="D508" s="8" t="s">
        <v>8</v>
      </c>
      <c r="F508" s="8" t="s">
        <v>8</v>
      </c>
      <c r="G508" s="8" t="s">
        <v>8</v>
      </c>
      <c r="I508" s="94" t="str">
        <f>IFERROR(__xludf.DUMMYFUNCTION("if(H508=""Must be Together"",iferror(join("", "",unique(filter({filter('Students (Vertical)'!O:O,'Students (Vertical)'!C:C=B508,'Students (Vertical)'!O:O&lt;&gt;"""");filter('Students (Vertical)'!O:O,'Students (Vertical)'!C:C=E508,'Students (Vertical)'!O:O&lt;&gt;"""&amp;""")},countifs({filter('Students (Vertical)'!O:O,'Students (Vertical)'!C:C=B508,'Students (Vertical)'!O:O&lt;&gt;"""");filter('Students (Vertical)'!O:O,'Students (Vertical)'!C:C=E508,'Students (Vertical)'!O:O&lt;&gt;"""")},{filter('Students (Vertical)'!O:O,'Students ("&amp;"Vertical)'!C:C=B508,'Students (Vertical)'!O:O&lt;&gt;"""");filter('Students (Vertical)'!O:O,'Students (Vertical)'!C:C=E508,'Students (Vertical)'!O:O&lt;&gt;"""")})&gt;1))),""No shared courses""),"""")"),"")</f>
        <v/>
      </c>
      <c r="J508" s="94" t="str">
        <f>IFERROR(__xludf.DUMMYFUNCTION("if(H508=""Can't be Together"",iferror(join("", "",unique(filter({unique(filter('Students (Vertical)'!O:O,'Students (Vertical)'!C:C=B508,'Students (Vertical)'!O:O&lt;&gt;"""",'Students (Vertical)'!P:P&gt;1));unique(filter('Students (Vertical)'!O:O,'Students (Vertic"&amp;"al)'!C:C=E508,'Students (Vertical)'!O:O&lt;&gt;"""",'Students (Vertical)'!P:P&gt;1))},countifs({unique(filter('Students (Vertical)'!O:O,'Students (Vertical)'!C:C=B508,'Students (Vertical)'!O:O&lt;&gt;"""",'Students (Vertical)'!P:P&gt;1));unique(filter('Students (Vertical)'"&amp;"!O:O,'Students (Vertical)'!C:C=E508,'Students (Vertical)'!O:O&lt;&gt;"""",'Students (Vertical)'!P:P&gt;1))},{unique(filter('Students (Vertical)'!O:O,'Students (Vertical)'!C:C=B508,'Students (Vertical)'!O:O&lt;&gt;"""",'Students (Vertical)'!P:P&gt;1));unique(filter('Student"&amp;"s (Vertical)'!O:O,'Students (Vertical)'!C:C=E508,'Students (Vertical)'!O:O&lt;&gt;"""",'Students (Vertical)'!P:P&gt;1))})&gt;1))),""""),"""")"),"")</f>
        <v/>
      </c>
      <c r="K508" s="96" t="str">
        <f>IFERROR(__xludf.DUMMYFUNCTION("iferror(join("", "",unique(filter({filter('Students (Vertical)'!D:D,'Students (Vertical)'!C:C=B508,'Students (Vertical)'!D:D&lt;&gt;"""");filter('Students (Vertical)'!D:D,'Students (Vertical)'!C:C=E508,'Students (Vertical)'!D:D&lt;&gt;"""")},countifs({filter('Student"&amp;"s (Vertical)'!D:D,'Students (Vertical)'!C:C=B508,'Students (Vertical)'!D:D&lt;&gt;"""");filter('Students (Vertical)'!D:D,'Students (Vertical)'!C:C=E508,'Students (Vertical)'!D:D&lt;&gt;"""")},{filter('Students (Vertical)'!D:D,'Students (Vertical)'!C:C=B508,'Students "&amp;"(Vertical)'!D:D&lt;&gt;"""");filter('Students (Vertical)'!D:D,'Students (Vertical)'!C:C=E508,'Students (Vertical)'!D:D&lt;&gt;"""")})&gt;1))),"""")"),"")</f>
        <v/>
      </c>
      <c r="L508" s="96"/>
      <c r="M508" s="96"/>
    </row>
    <row r="509" hidden="1">
      <c r="A509" s="8" t="s">
        <v>8</v>
      </c>
      <c r="C509" s="8" t="s">
        <v>8</v>
      </c>
      <c r="D509" s="8" t="s">
        <v>8</v>
      </c>
      <c r="F509" s="8" t="s">
        <v>8</v>
      </c>
      <c r="G509" s="8" t="s">
        <v>8</v>
      </c>
      <c r="I509" s="94" t="str">
        <f>IFERROR(__xludf.DUMMYFUNCTION("if(H509=""Must be Together"",iferror(join("", "",unique(filter({filter('Students (Vertical)'!O:O,'Students (Vertical)'!C:C=B509,'Students (Vertical)'!O:O&lt;&gt;"""");filter('Students (Vertical)'!O:O,'Students (Vertical)'!C:C=E509,'Students (Vertical)'!O:O&lt;&gt;"""&amp;""")},countifs({filter('Students (Vertical)'!O:O,'Students (Vertical)'!C:C=B509,'Students (Vertical)'!O:O&lt;&gt;"""");filter('Students (Vertical)'!O:O,'Students (Vertical)'!C:C=E509,'Students (Vertical)'!O:O&lt;&gt;"""")},{filter('Students (Vertical)'!O:O,'Students ("&amp;"Vertical)'!C:C=B509,'Students (Vertical)'!O:O&lt;&gt;"""");filter('Students (Vertical)'!O:O,'Students (Vertical)'!C:C=E509,'Students (Vertical)'!O:O&lt;&gt;"""")})&gt;1))),""No shared courses""),"""")"),"")</f>
        <v/>
      </c>
      <c r="J509" s="94" t="str">
        <f>IFERROR(__xludf.DUMMYFUNCTION("if(H509=""Can't be Together"",iferror(join("", "",unique(filter({unique(filter('Students (Vertical)'!O:O,'Students (Vertical)'!C:C=B509,'Students (Vertical)'!O:O&lt;&gt;"""",'Students (Vertical)'!P:P&gt;1));unique(filter('Students (Vertical)'!O:O,'Students (Vertic"&amp;"al)'!C:C=E509,'Students (Vertical)'!O:O&lt;&gt;"""",'Students (Vertical)'!P:P&gt;1))},countifs({unique(filter('Students (Vertical)'!O:O,'Students (Vertical)'!C:C=B509,'Students (Vertical)'!O:O&lt;&gt;"""",'Students (Vertical)'!P:P&gt;1));unique(filter('Students (Vertical)'"&amp;"!O:O,'Students (Vertical)'!C:C=E509,'Students (Vertical)'!O:O&lt;&gt;"""",'Students (Vertical)'!P:P&gt;1))},{unique(filter('Students (Vertical)'!O:O,'Students (Vertical)'!C:C=B509,'Students (Vertical)'!O:O&lt;&gt;"""",'Students (Vertical)'!P:P&gt;1));unique(filter('Student"&amp;"s (Vertical)'!O:O,'Students (Vertical)'!C:C=E509,'Students (Vertical)'!O:O&lt;&gt;"""",'Students (Vertical)'!P:P&gt;1))})&gt;1))),""""),"""")"),"")</f>
        <v/>
      </c>
      <c r="K509" s="96" t="str">
        <f>IFERROR(__xludf.DUMMYFUNCTION("iferror(join("", "",unique(filter({filter('Students (Vertical)'!D:D,'Students (Vertical)'!C:C=B509,'Students (Vertical)'!D:D&lt;&gt;"""");filter('Students (Vertical)'!D:D,'Students (Vertical)'!C:C=E509,'Students (Vertical)'!D:D&lt;&gt;"""")},countifs({filter('Student"&amp;"s (Vertical)'!D:D,'Students (Vertical)'!C:C=B509,'Students (Vertical)'!D:D&lt;&gt;"""");filter('Students (Vertical)'!D:D,'Students (Vertical)'!C:C=E509,'Students (Vertical)'!D:D&lt;&gt;"""")},{filter('Students (Vertical)'!D:D,'Students (Vertical)'!C:C=B509,'Students "&amp;"(Vertical)'!D:D&lt;&gt;"""");filter('Students (Vertical)'!D:D,'Students (Vertical)'!C:C=E509,'Students (Vertical)'!D:D&lt;&gt;"""")})&gt;1))),"""")"),"")</f>
        <v/>
      </c>
      <c r="L509" s="96"/>
      <c r="M509" s="96"/>
    </row>
    <row r="510" hidden="1">
      <c r="A510" s="8" t="s">
        <v>8</v>
      </c>
      <c r="C510" s="8" t="s">
        <v>8</v>
      </c>
      <c r="D510" s="8" t="s">
        <v>8</v>
      </c>
      <c r="F510" s="8" t="s">
        <v>8</v>
      </c>
      <c r="G510" s="8" t="s">
        <v>8</v>
      </c>
      <c r="I510" s="94" t="str">
        <f>IFERROR(__xludf.DUMMYFUNCTION("if(H510=""Must be Together"",iferror(join("", "",unique(filter({filter('Students (Vertical)'!O:O,'Students (Vertical)'!C:C=B510,'Students (Vertical)'!O:O&lt;&gt;"""");filter('Students (Vertical)'!O:O,'Students (Vertical)'!C:C=E510,'Students (Vertical)'!O:O&lt;&gt;"""&amp;""")},countifs({filter('Students (Vertical)'!O:O,'Students (Vertical)'!C:C=B510,'Students (Vertical)'!O:O&lt;&gt;"""");filter('Students (Vertical)'!O:O,'Students (Vertical)'!C:C=E510,'Students (Vertical)'!O:O&lt;&gt;"""")},{filter('Students (Vertical)'!O:O,'Students ("&amp;"Vertical)'!C:C=B510,'Students (Vertical)'!O:O&lt;&gt;"""");filter('Students (Vertical)'!O:O,'Students (Vertical)'!C:C=E510,'Students (Vertical)'!O:O&lt;&gt;"""")})&gt;1))),""No shared courses""),"""")"),"")</f>
        <v/>
      </c>
      <c r="J510" s="94" t="str">
        <f>IFERROR(__xludf.DUMMYFUNCTION("if(H510=""Can't be Together"",iferror(join("", "",unique(filter({unique(filter('Students (Vertical)'!O:O,'Students (Vertical)'!C:C=B510,'Students (Vertical)'!O:O&lt;&gt;"""",'Students (Vertical)'!P:P&gt;1));unique(filter('Students (Vertical)'!O:O,'Students (Vertic"&amp;"al)'!C:C=E510,'Students (Vertical)'!O:O&lt;&gt;"""",'Students (Vertical)'!P:P&gt;1))},countifs({unique(filter('Students (Vertical)'!O:O,'Students (Vertical)'!C:C=B510,'Students (Vertical)'!O:O&lt;&gt;"""",'Students (Vertical)'!P:P&gt;1));unique(filter('Students (Vertical)'"&amp;"!O:O,'Students (Vertical)'!C:C=E510,'Students (Vertical)'!O:O&lt;&gt;"""",'Students (Vertical)'!P:P&gt;1))},{unique(filter('Students (Vertical)'!O:O,'Students (Vertical)'!C:C=B510,'Students (Vertical)'!O:O&lt;&gt;"""",'Students (Vertical)'!P:P&gt;1));unique(filter('Student"&amp;"s (Vertical)'!O:O,'Students (Vertical)'!C:C=E510,'Students (Vertical)'!O:O&lt;&gt;"""",'Students (Vertical)'!P:P&gt;1))})&gt;1))),""""),"""")"),"")</f>
        <v/>
      </c>
      <c r="K510" s="96" t="str">
        <f>IFERROR(__xludf.DUMMYFUNCTION("iferror(join("", "",unique(filter({filter('Students (Vertical)'!D:D,'Students (Vertical)'!C:C=B510,'Students (Vertical)'!D:D&lt;&gt;"""");filter('Students (Vertical)'!D:D,'Students (Vertical)'!C:C=E510,'Students (Vertical)'!D:D&lt;&gt;"""")},countifs({filter('Student"&amp;"s (Vertical)'!D:D,'Students (Vertical)'!C:C=B510,'Students (Vertical)'!D:D&lt;&gt;"""");filter('Students (Vertical)'!D:D,'Students (Vertical)'!C:C=E510,'Students (Vertical)'!D:D&lt;&gt;"""")},{filter('Students (Vertical)'!D:D,'Students (Vertical)'!C:C=B510,'Students "&amp;"(Vertical)'!D:D&lt;&gt;"""");filter('Students (Vertical)'!D:D,'Students (Vertical)'!C:C=E510,'Students (Vertical)'!D:D&lt;&gt;"""")})&gt;1))),"""")"),"")</f>
        <v/>
      </c>
      <c r="L510" s="96"/>
      <c r="M510" s="96"/>
    </row>
    <row r="511" hidden="1">
      <c r="A511" s="8" t="s">
        <v>8</v>
      </c>
      <c r="C511" s="8" t="s">
        <v>8</v>
      </c>
      <c r="D511" s="8" t="s">
        <v>8</v>
      </c>
      <c r="F511" s="8" t="s">
        <v>8</v>
      </c>
      <c r="G511" s="8" t="s">
        <v>8</v>
      </c>
      <c r="I511" s="94" t="str">
        <f>IFERROR(__xludf.DUMMYFUNCTION("if(H511=""Must be Together"",iferror(join("", "",unique(filter({filter('Students (Vertical)'!O:O,'Students (Vertical)'!C:C=B511,'Students (Vertical)'!O:O&lt;&gt;"""");filter('Students (Vertical)'!O:O,'Students (Vertical)'!C:C=E511,'Students (Vertical)'!O:O&lt;&gt;"""&amp;""")},countifs({filter('Students (Vertical)'!O:O,'Students (Vertical)'!C:C=B511,'Students (Vertical)'!O:O&lt;&gt;"""");filter('Students (Vertical)'!O:O,'Students (Vertical)'!C:C=E511,'Students (Vertical)'!O:O&lt;&gt;"""")},{filter('Students (Vertical)'!O:O,'Students ("&amp;"Vertical)'!C:C=B511,'Students (Vertical)'!O:O&lt;&gt;"""");filter('Students (Vertical)'!O:O,'Students (Vertical)'!C:C=E511,'Students (Vertical)'!O:O&lt;&gt;"""")})&gt;1))),""No shared courses""),"""")"),"")</f>
        <v/>
      </c>
      <c r="J511" s="94" t="str">
        <f>IFERROR(__xludf.DUMMYFUNCTION("if(H511=""Can't be Together"",iferror(join("", "",unique(filter({unique(filter('Students (Vertical)'!O:O,'Students (Vertical)'!C:C=B511,'Students (Vertical)'!O:O&lt;&gt;"""",'Students (Vertical)'!P:P&gt;1));unique(filter('Students (Vertical)'!O:O,'Students (Vertic"&amp;"al)'!C:C=E511,'Students (Vertical)'!O:O&lt;&gt;"""",'Students (Vertical)'!P:P&gt;1))},countifs({unique(filter('Students (Vertical)'!O:O,'Students (Vertical)'!C:C=B511,'Students (Vertical)'!O:O&lt;&gt;"""",'Students (Vertical)'!P:P&gt;1));unique(filter('Students (Vertical)'"&amp;"!O:O,'Students (Vertical)'!C:C=E511,'Students (Vertical)'!O:O&lt;&gt;"""",'Students (Vertical)'!P:P&gt;1))},{unique(filter('Students (Vertical)'!O:O,'Students (Vertical)'!C:C=B511,'Students (Vertical)'!O:O&lt;&gt;"""",'Students (Vertical)'!P:P&gt;1));unique(filter('Student"&amp;"s (Vertical)'!O:O,'Students (Vertical)'!C:C=E511,'Students (Vertical)'!O:O&lt;&gt;"""",'Students (Vertical)'!P:P&gt;1))})&gt;1))),""""),"""")"),"")</f>
        <v/>
      </c>
      <c r="K511" s="96" t="str">
        <f>IFERROR(__xludf.DUMMYFUNCTION("iferror(join("", "",unique(filter({filter('Students (Vertical)'!D:D,'Students (Vertical)'!C:C=B511,'Students (Vertical)'!D:D&lt;&gt;"""");filter('Students (Vertical)'!D:D,'Students (Vertical)'!C:C=E511,'Students (Vertical)'!D:D&lt;&gt;"""")},countifs({filter('Student"&amp;"s (Vertical)'!D:D,'Students (Vertical)'!C:C=B511,'Students (Vertical)'!D:D&lt;&gt;"""");filter('Students (Vertical)'!D:D,'Students (Vertical)'!C:C=E511,'Students (Vertical)'!D:D&lt;&gt;"""")},{filter('Students (Vertical)'!D:D,'Students (Vertical)'!C:C=B511,'Students "&amp;"(Vertical)'!D:D&lt;&gt;"""");filter('Students (Vertical)'!D:D,'Students (Vertical)'!C:C=E511,'Students (Vertical)'!D:D&lt;&gt;"""")})&gt;1))),"""")"),"")</f>
        <v/>
      </c>
      <c r="L511" s="96"/>
      <c r="M511" s="96"/>
    </row>
    <row r="512" hidden="1">
      <c r="A512" s="8" t="s">
        <v>8</v>
      </c>
      <c r="C512" s="8" t="s">
        <v>8</v>
      </c>
      <c r="D512" s="8" t="s">
        <v>8</v>
      </c>
      <c r="F512" s="8" t="s">
        <v>8</v>
      </c>
      <c r="G512" s="8" t="s">
        <v>8</v>
      </c>
      <c r="I512" s="94" t="str">
        <f>IFERROR(__xludf.DUMMYFUNCTION("if(H512=""Must be Together"",iferror(join("", "",unique(filter({filter('Students (Vertical)'!O:O,'Students (Vertical)'!C:C=B512,'Students (Vertical)'!O:O&lt;&gt;"""");filter('Students (Vertical)'!O:O,'Students (Vertical)'!C:C=E512,'Students (Vertical)'!O:O&lt;&gt;"""&amp;""")},countifs({filter('Students (Vertical)'!O:O,'Students (Vertical)'!C:C=B512,'Students (Vertical)'!O:O&lt;&gt;"""");filter('Students (Vertical)'!O:O,'Students (Vertical)'!C:C=E512,'Students (Vertical)'!O:O&lt;&gt;"""")},{filter('Students (Vertical)'!O:O,'Students ("&amp;"Vertical)'!C:C=B512,'Students (Vertical)'!O:O&lt;&gt;"""");filter('Students (Vertical)'!O:O,'Students (Vertical)'!C:C=E512,'Students (Vertical)'!O:O&lt;&gt;"""")})&gt;1))),""No shared courses""),"""")"),"")</f>
        <v/>
      </c>
      <c r="J512" s="94" t="str">
        <f>IFERROR(__xludf.DUMMYFUNCTION("if(H512=""Can't be Together"",iferror(join("", "",unique(filter({unique(filter('Students (Vertical)'!O:O,'Students (Vertical)'!C:C=B512,'Students (Vertical)'!O:O&lt;&gt;"""",'Students (Vertical)'!P:P&gt;1));unique(filter('Students (Vertical)'!O:O,'Students (Vertic"&amp;"al)'!C:C=E512,'Students (Vertical)'!O:O&lt;&gt;"""",'Students (Vertical)'!P:P&gt;1))},countifs({unique(filter('Students (Vertical)'!O:O,'Students (Vertical)'!C:C=B512,'Students (Vertical)'!O:O&lt;&gt;"""",'Students (Vertical)'!P:P&gt;1));unique(filter('Students (Vertical)'"&amp;"!O:O,'Students (Vertical)'!C:C=E512,'Students (Vertical)'!O:O&lt;&gt;"""",'Students (Vertical)'!P:P&gt;1))},{unique(filter('Students (Vertical)'!O:O,'Students (Vertical)'!C:C=B512,'Students (Vertical)'!O:O&lt;&gt;"""",'Students (Vertical)'!P:P&gt;1));unique(filter('Student"&amp;"s (Vertical)'!O:O,'Students (Vertical)'!C:C=E512,'Students (Vertical)'!O:O&lt;&gt;"""",'Students (Vertical)'!P:P&gt;1))})&gt;1))),""""),"""")"),"")</f>
        <v/>
      </c>
      <c r="K512" s="96" t="str">
        <f>IFERROR(__xludf.DUMMYFUNCTION("iferror(join("", "",unique(filter({filter('Students (Vertical)'!D:D,'Students (Vertical)'!C:C=B512,'Students (Vertical)'!D:D&lt;&gt;"""");filter('Students (Vertical)'!D:D,'Students (Vertical)'!C:C=E512,'Students (Vertical)'!D:D&lt;&gt;"""")},countifs({filter('Student"&amp;"s (Vertical)'!D:D,'Students (Vertical)'!C:C=B512,'Students (Vertical)'!D:D&lt;&gt;"""");filter('Students (Vertical)'!D:D,'Students (Vertical)'!C:C=E512,'Students (Vertical)'!D:D&lt;&gt;"""")},{filter('Students (Vertical)'!D:D,'Students (Vertical)'!C:C=B512,'Students "&amp;"(Vertical)'!D:D&lt;&gt;"""");filter('Students (Vertical)'!D:D,'Students (Vertical)'!C:C=E512,'Students (Vertical)'!D:D&lt;&gt;"""")})&gt;1))),"""")"),"")</f>
        <v/>
      </c>
      <c r="L512" s="96"/>
      <c r="M512" s="96"/>
    </row>
    <row r="513" hidden="1">
      <c r="A513" s="8" t="s">
        <v>8</v>
      </c>
      <c r="C513" s="8" t="s">
        <v>8</v>
      </c>
      <c r="D513" s="8" t="s">
        <v>8</v>
      </c>
      <c r="F513" s="8" t="s">
        <v>8</v>
      </c>
      <c r="G513" s="8" t="s">
        <v>8</v>
      </c>
      <c r="I513" s="94" t="str">
        <f>IFERROR(__xludf.DUMMYFUNCTION("if(H513=""Must be Together"",iferror(join("", "",unique(filter({filter('Students (Vertical)'!O:O,'Students (Vertical)'!C:C=B513,'Students (Vertical)'!O:O&lt;&gt;"""");filter('Students (Vertical)'!O:O,'Students (Vertical)'!C:C=E513,'Students (Vertical)'!O:O&lt;&gt;"""&amp;""")},countifs({filter('Students (Vertical)'!O:O,'Students (Vertical)'!C:C=B513,'Students (Vertical)'!O:O&lt;&gt;"""");filter('Students (Vertical)'!O:O,'Students (Vertical)'!C:C=E513,'Students (Vertical)'!O:O&lt;&gt;"""")},{filter('Students (Vertical)'!O:O,'Students ("&amp;"Vertical)'!C:C=B513,'Students (Vertical)'!O:O&lt;&gt;"""");filter('Students (Vertical)'!O:O,'Students (Vertical)'!C:C=E513,'Students (Vertical)'!O:O&lt;&gt;"""")})&gt;1))),""No shared courses""),"""")"),"")</f>
        <v/>
      </c>
      <c r="J513" s="94" t="str">
        <f>IFERROR(__xludf.DUMMYFUNCTION("if(H513=""Can't be Together"",iferror(join("", "",unique(filter({unique(filter('Students (Vertical)'!O:O,'Students (Vertical)'!C:C=B513,'Students (Vertical)'!O:O&lt;&gt;"""",'Students (Vertical)'!P:P&gt;1));unique(filter('Students (Vertical)'!O:O,'Students (Vertic"&amp;"al)'!C:C=E513,'Students (Vertical)'!O:O&lt;&gt;"""",'Students (Vertical)'!P:P&gt;1))},countifs({unique(filter('Students (Vertical)'!O:O,'Students (Vertical)'!C:C=B513,'Students (Vertical)'!O:O&lt;&gt;"""",'Students (Vertical)'!P:P&gt;1));unique(filter('Students (Vertical)'"&amp;"!O:O,'Students (Vertical)'!C:C=E513,'Students (Vertical)'!O:O&lt;&gt;"""",'Students (Vertical)'!P:P&gt;1))},{unique(filter('Students (Vertical)'!O:O,'Students (Vertical)'!C:C=B513,'Students (Vertical)'!O:O&lt;&gt;"""",'Students (Vertical)'!P:P&gt;1));unique(filter('Student"&amp;"s (Vertical)'!O:O,'Students (Vertical)'!C:C=E513,'Students (Vertical)'!O:O&lt;&gt;"""",'Students (Vertical)'!P:P&gt;1))})&gt;1))),""""),"""")"),"")</f>
        <v/>
      </c>
      <c r="K513" s="96" t="str">
        <f>IFERROR(__xludf.DUMMYFUNCTION("iferror(join("", "",unique(filter({filter('Students (Vertical)'!D:D,'Students (Vertical)'!C:C=B513,'Students (Vertical)'!D:D&lt;&gt;"""");filter('Students (Vertical)'!D:D,'Students (Vertical)'!C:C=E513,'Students (Vertical)'!D:D&lt;&gt;"""")},countifs({filter('Student"&amp;"s (Vertical)'!D:D,'Students (Vertical)'!C:C=B513,'Students (Vertical)'!D:D&lt;&gt;"""");filter('Students (Vertical)'!D:D,'Students (Vertical)'!C:C=E513,'Students (Vertical)'!D:D&lt;&gt;"""")},{filter('Students (Vertical)'!D:D,'Students (Vertical)'!C:C=B513,'Students "&amp;"(Vertical)'!D:D&lt;&gt;"""");filter('Students (Vertical)'!D:D,'Students (Vertical)'!C:C=E513,'Students (Vertical)'!D:D&lt;&gt;"""")})&gt;1))),"""")"),"")</f>
        <v/>
      </c>
      <c r="L513" s="96"/>
      <c r="M513" s="96"/>
    </row>
    <row r="514" hidden="1">
      <c r="A514" s="8" t="s">
        <v>8</v>
      </c>
      <c r="C514" s="8" t="s">
        <v>8</v>
      </c>
      <c r="D514" s="8" t="s">
        <v>8</v>
      </c>
      <c r="F514" s="8" t="s">
        <v>8</v>
      </c>
      <c r="G514" s="8" t="s">
        <v>8</v>
      </c>
      <c r="I514" s="94" t="str">
        <f>IFERROR(__xludf.DUMMYFUNCTION("if(H514=""Must be Together"",iferror(join("", "",unique(filter({filter('Students (Vertical)'!O:O,'Students (Vertical)'!C:C=B514,'Students (Vertical)'!O:O&lt;&gt;"""");filter('Students (Vertical)'!O:O,'Students (Vertical)'!C:C=E514,'Students (Vertical)'!O:O&lt;&gt;"""&amp;""")},countifs({filter('Students (Vertical)'!O:O,'Students (Vertical)'!C:C=B514,'Students (Vertical)'!O:O&lt;&gt;"""");filter('Students (Vertical)'!O:O,'Students (Vertical)'!C:C=E514,'Students (Vertical)'!O:O&lt;&gt;"""")},{filter('Students (Vertical)'!O:O,'Students ("&amp;"Vertical)'!C:C=B514,'Students (Vertical)'!O:O&lt;&gt;"""");filter('Students (Vertical)'!O:O,'Students (Vertical)'!C:C=E514,'Students (Vertical)'!O:O&lt;&gt;"""")})&gt;1))),""No shared courses""),"""")"),"")</f>
        <v/>
      </c>
      <c r="J514" s="94" t="str">
        <f>IFERROR(__xludf.DUMMYFUNCTION("if(H514=""Can't be Together"",iferror(join("", "",unique(filter({unique(filter('Students (Vertical)'!O:O,'Students (Vertical)'!C:C=B514,'Students (Vertical)'!O:O&lt;&gt;"""",'Students (Vertical)'!P:P&gt;1));unique(filter('Students (Vertical)'!O:O,'Students (Vertic"&amp;"al)'!C:C=E514,'Students (Vertical)'!O:O&lt;&gt;"""",'Students (Vertical)'!P:P&gt;1))},countifs({unique(filter('Students (Vertical)'!O:O,'Students (Vertical)'!C:C=B514,'Students (Vertical)'!O:O&lt;&gt;"""",'Students (Vertical)'!P:P&gt;1));unique(filter('Students (Vertical)'"&amp;"!O:O,'Students (Vertical)'!C:C=E514,'Students (Vertical)'!O:O&lt;&gt;"""",'Students (Vertical)'!P:P&gt;1))},{unique(filter('Students (Vertical)'!O:O,'Students (Vertical)'!C:C=B514,'Students (Vertical)'!O:O&lt;&gt;"""",'Students (Vertical)'!P:P&gt;1));unique(filter('Student"&amp;"s (Vertical)'!O:O,'Students (Vertical)'!C:C=E514,'Students (Vertical)'!O:O&lt;&gt;"""",'Students (Vertical)'!P:P&gt;1))})&gt;1))),""""),"""")"),"")</f>
        <v/>
      </c>
      <c r="K514" s="96" t="str">
        <f>IFERROR(__xludf.DUMMYFUNCTION("iferror(join("", "",unique(filter({filter('Students (Vertical)'!D:D,'Students (Vertical)'!C:C=B514,'Students (Vertical)'!D:D&lt;&gt;"""");filter('Students (Vertical)'!D:D,'Students (Vertical)'!C:C=E514,'Students (Vertical)'!D:D&lt;&gt;"""")},countifs({filter('Student"&amp;"s (Vertical)'!D:D,'Students (Vertical)'!C:C=B514,'Students (Vertical)'!D:D&lt;&gt;"""");filter('Students (Vertical)'!D:D,'Students (Vertical)'!C:C=E514,'Students (Vertical)'!D:D&lt;&gt;"""")},{filter('Students (Vertical)'!D:D,'Students (Vertical)'!C:C=B514,'Students "&amp;"(Vertical)'!D:D&lt;&gt;"""");filter('Students (Vertical)'!D:D,'Students (Vertical)'!C:C=E514,'Students (Vertical)'!D:D&lt;&gt;"""")})&gt;1))),"""")"),"")</f>
        <v/>
      </c>
      <c r="L514" s="96"/>
      <c r="M514" s="96"/>
    </row>
    <row r="515" hidden="1">
      <c r="A515" s="8" t="s">
        <v>8</v>
      </c>
      <c r="C515" s="8" t="s">
        <v>8</v>
      </c>
      <c r="D515" s="8" t="s">
        <v>8</v>
      </c>
      <c r="F515" s="8" t="s">
        <v>8</v>
      </c>
      <c r="G515" s="8" t="s">
        <v>8</v>
      </c>
      <c r="I515" s="94" t="str">
        <f>IFERROR(__xludf.DUMMYFUNCTION("if(H515=""Must be Together"",iferror(join("", "",unique(filter({filter('Students (Vertical)'!O:O,'Students (Vertical)'!C:C=B515,'Students (Vertical)'!O:O&lt;&gt;"""");filter('Students (Vertical)'!O:O,'Students (Vertical)'!C:C=E515,'Students (Vertical)'!O:O&lt;&gt;"""&amp;""")},countifs({filter('Students (Vertical)'!O:O,'Students (Vertical)'!C:C=B515,'Students (Vertical)'!O:O&lt;&gt;"""");filter('Students (Vertical)'!O:O,'Students (Vertical)'!C:C=E515,'Students (Vertical)'!O:O&lt;&gt;"""")},{filter('Students (Vertical)'!O:O,'Students ("&amp;"Vertical)'!C:C=B515,'Students (Vertical)'!O:O&lt;&gt;"""");filter('Students (Vertical)'!O:O,'Students (Vertical)'!C:C=E515,'Students (Vertical)'!O:O&lt;&gt;"""")})&gt;1))),""No shared courses""),"""")"),"")</f>
        <v/>
      </c>
      <c r="J515" s="94" t="str">
        <f>IFERROR(__xludf.DUMMYFUNCTION("if(H515=""Can't be Together"",iferror(join("", "",unique(filter({unique(filter('Students (Vertical)'!O:O,'Students (Vertical)'!C:C=B515,'Students (Vertical)'!O:O&lt;&gt;"""",'Students (Vertical)'!P:P&gt;1));unique(filter('Students (Vertical)'!O:O,'Students (Vertic"&amp;"al)'!C:C=E515,'Students (Vertical)'!O:O&lt;&gt;"""",'Students (Vertical)'!P:P&gt;1))},countifs({unique(filter('Students (Vertical)'!O:O,'Students (Vertical)'!C:C=B515,'Students (Vertical)'!O:O&lt;&gt;"""",'Students (Vertical)'!P:P&gt;1));unique(filter('Students (Vertical)'"&amp;"!O:O,'Students (Vertical)'!C:C=E515,'Students (Vertical)'!O:O&lt;&gt;"""",'Students (Vertical)'!P:P&gt;1))},{unique(filter('Students (Vertical)'!O:O,'Students (Vertical)'!C:C=B515,'Students (Vertical)'!O:O&lt;&gt;"""",'Students (Vertical)'!P:P&gt;1));unique(filter('Student"&amp;"s (Vertical)'!O:O,'Students (Vertical)'!C:C=E515,'Students (Vertical)'!O:O&lt;&gt;"""",'Students (Vertical)'!P:P&gt;1))})&gt;1))),""""),"""")"),"")</f>
        <v/>
      </c>
      <c r="K515" s="96" t="str">
        <f>IFERROR(__xludf.DUMMYFUNCTION("iferror(join("", "",unique(filter({filter('Students (Vertical)'!D:D,'Students (Vertical)'!C:C=B515,'Students (Vertical)'!D:D&lt;&gt;"""");filter('Students (Vertical)'!D:D,'Students (Vertical)'!C:C=E515,'Students (Vertical)'!D:D&lt;&gt;"""")},countifs({filter('Student"&amp;"s (Vertical)'!D:D,'Students (Vertical)'!C:C=B515,'Students (Vertical)'!D:D&lt;&gt;"""");filter('Students (Vertical)'!D:D,'Students (Vertical)'!C:C=E515,'Students (Vertical)'!D:D&lt;&gt;"""")},{filter('Students (Vertical)'!D:D,'Students (Vertical)'!C:C=B515,'Students "&amp;"(Vertical)'!D:D&lt;&gt;"""");filter('Students (Vertical)'!D:D,'Students (Vertical)'!C:C=E515,'Students (Vertical)'!D:D&lt;&gt;"""")})&gt;1))),"""")"),"")</f>
        <v/>
      </c>
      <c r="L515" s="96"/>
      <c r="M515" s="96"/>
    </row>
    <row r="516" hidden="1">
      <c r="A516" s="8" t="s">
        <v>8</v>
      </c>
      <c r="C516" s="8" t="s">
        <v>8</v>
      </c>
      <c r="D516" s="8" t="s">
        <v>8</v>
      </c>
      <c r="F516" s="8" t="s">
        <v>8</v>
      </c>
      <c r="G516" s="8" t="s">
        <v>8</v>
      </c>
      <c r="I516" s="94" t="str">
        <f>IFERROR(__xludf.DUMMYFUNCTION("if(H516=""Must be Together"",iferror(join("", "",unique(filter({filter('Students (Vertical)'!O:O,'Students (Vertical)'!C:C=B516,'Students (Vertical)'!O:O&lt;&gt;"""");filter('Students (Vertical)'!O:O,'Students (Vertical)'!C:C=E516,'Students (Vertical)'!O:O&lt;&gt;"""&amp;""")},countifs({filter('Students (Vertical)'!O:O,'Students (Vertical)'!C:C=B516,'Students (Vertical)'!O:O&lt;&gt;"""");filter('Students (Vertical)'!O:O,'Students (Vertical)'!C:C=E516,'Students (Vertical)'!O:O&lt;&gt;"""")},{filter('Students (Vertical)'!O:O,'Students ("&amp;"Vertical)'!C:C=B516,'Students (Vertical)'!O:O&lt;&gt;"""");filter('Students (Vertical)'!O:O,'Students (Vertical)'!C:C=E516,'Students (Vertical)'!O:O&lt;&gt;"""")})&gt;1))),""No shared courses""),"""")"),"")</f>
        <v/>
      </c>
      <c r="J516" s="94" t="str">
        <f>IFERROR(__xludf.DUMMYFUNCTION("if(H516=""Can't be Together"",iferror(join("", "",unique(filter({unique(filter('Students (Vertical)'!O:O,'Students (Vertical)'!C:C=B516,'Students (Vertical)'!O:O&lt;&gt;"""",'Students (Vertical)'!P:P&gt;1));unique(filter('Students (Vertical)'!O:O,'Students (Vertic"&amp;"al)'!C:C=E516,'Students (Vertical)'!O:O&lt;&gt;"""",'Students (Vertical)'!P:P&gt;1))},countifs({unique(filter('Students (Vertical)'!O:O,'Students (Vertical)'!C:C=B516,'Students (Vertical)'!O:O&lt;&gt;"""",'Students (Vertical)'!P:P&gt;1));unique(filter('Students (Vertical)'"&amp;"!O:O,'Students (Vertical)'!C:C=E516,'Students (Vertical)'!O:O&lt;&gt;"""",'Students (Vertical)'!P:P&gt;1))},{unique(filter('Students (Vertical)'!O:O,'Students (Vertical)'!C:C=B516,'Students (Vertical)'!O:O&lt;&gt;"""",'Students (Vertical)'!P:P&gt;1));unique(filter('Student"&amp;"s (Vertical)'!O:O,'Students (Vertical)'!C:C=E516,'Students (Vertical)'!O:O&lt;&gt;"""",'Students (Vertical)'!P:P&gt;1))})&gt;1))),""""),"""")"),"")</f>
        <v/>
      </c>
      <c r="K516" s="96" t="str">
        <f>IFERROR(__xludf.DUMMYFUNCTION("iferror(join("", "",unique(filter({filter('Students (Vertical)'!D:D,'Students (Vertical)'!C:C=B516,'Students (Vertical)'!D:D&lt;&gt;"""");filter('Students (Vertical)'!D:D,'Students (Vertical)'!C:C=E516,'Students (Vertical)'!D:D&lt;&gt;"""")},countifs({filter('Student"&amp;"s (Vertical)'!D:D,'Students (Vertical)'!C:C=B516,'Students (Vertical)'!D:D&lt;&gt;"""");filter('Students (Vertical)'!D:D,'Students (Vertical)'!C:C=E516,'Students (Vertical)'!D:D&lt;&gt;"""")},{filter('Students (Vertical)'!D:D,'Students (Vertical)'!C:C=B516,'Students "&amp;"(Vertical)'!D:D&lt;&gt;"""");filter('Students (Vertical)'!D:D,'Students (Vertical)'!C:C=E516,'Students (Vertical)'!D:D&lt;&gt;"""")})&gt;1))),"""")"),"")</f>
        <v/>
      </c>
      <c r="L516" s="96"/>
      <c r="M516" s="96"/>
    </row>
    <row r="517" hidden="1">
      <c r="A517" s="8" t="s">
        <v>8</v>
      </c>
      <c r="C517" s="8" t="s">
        <v>8</v>
      </c>
      <c r="D517" s="8" t="s">
        <v>8</v>
      </c>
      <c r="F517" s="8" t="s">
        <v>8</v>
      </c>
      <c r="G517" s="8" t="s">
        <v>8</v>
      </c>
      <c r="I517" s="94" t="str">
        <f>IFERROR(__xludf.DUMMYFUNCTION("if(H517=""Must be Together"",iferror(join("", "",unique(filter({filter('Students (Vertical)'!O:O,'Students (Vertical)'!C:C=B517,'Students (Vertical)'!O:O&lt;&gt;"""");filter('Students (Vertical)'!O:O,'Students (Vertical)'!C:C=E517,'Students (Vertical)'!O:O&lt;&gt;"""&amp;""")},countifs({filter('Students (Vertical)'!O:O,'Students (Vertical)'!C:C=B517,'Students (Vertical)'!O:O&lt;&gt;"""");filter('Students (Vertical)'!O:O,'Students (Vertical)'!C:C=E517,'Students (Vertical)'!O:O&lt;&gt;"""")},{filter('Students (Vertical)'!O:O,'Students ("&amp;"Vertical)'!C:C=B517,'Students (Vertical)'!O:O&lt;&gt;"""");filter('Students (Vertical)'!O:O,'Students (Vertical)'!C:C=E517,'Students (Vertical)'!O:O&lt;&gt;"""")})&gt;1))),""No shared courses""),"""")"),"")</f>
        <v/>
      </c>
      <c r="J517" s="94" t="str">
        <f>IFERROR(__xludf.DUMMYFUNCTION("if(H517=""Can't be Together"",iferror(join("", "",unique(filter({unique(filter('Students (Vertical)'!O:O,'Students (Vertical)'!C:C=B517,'Students (Vertical)'!O:O&lt;&gt;"""",'Students (Vertical)'!P:P&gt;1));unique(filter('Students (Vertical)'!O:O,'Students (Vertic"&amp;"al)'!C:C=E517,'Students (Vertical)'!O:O&lt;&gt;"""",'Students (Vertical)'!P:P&gt;1))},countifs({unique(filter('Students (Vertical)'!O:O,'Students (Vertical)'!C:C=B517,'Students (Vertical)'!O:O&lt;&gt;"""",'Students (Vertical)'!P:P&gt;1));unique(filter('Students (Vertical)'"&amp;"!O:O,'Students (Vertical)'!C:C=E517,'Students (Vertical)'!O:O&lt;&gt;"""",'Students (Vertical)'!P:P&gt;1))},{unique(filter('Students (Vertical)'!O:O,'Students (Vertical)'!C:C=B517,'Students (Vertical)'!O:O&lt;&gt;"""",'Students (Vertical)'!P:P&gt;1));unique(filter('Student"&amp;"s (Vertical)'!O:O,'Students (Vertical)'!C:C=E517,'Students (Vertical)'!O:O&lt;&gt;"""",'Students (Vertical)'!P:P&gt;1))})&gt;1))),""""),"""")"),"")</f>
        <v/>
      </c>
      <c r="K517" s="96" t="str">
        <f>IFERROR(__xludf.DUMMYFUNCTION("iferror(join("", "",unique(filter({filter('Students (Vertical)'!D:D,'Students (Vertical)'!C:C=B517,'Students (Vertical)'!D:D&lt;&gt;"""");filter('Students (Vertical)'!D:D,'Students (Vertical)'!C:C=E517,'Students (Vertical)'!D:D&lt;&gt;"""")},countifs({filter('Student"&amp;"s (Vertical)'!D:D,'Students (Vertical)'!C:C=B517,'Students (Vertical)'!D:D&lt;&gt;"""");filter('Students (Vertical)'!D:D,'Students (Vertical)'!C:C=E517,'Students (Vertical)'!D:D&lt;&gt;"""")},{filter('Students (Vertical)'!D:D,'Students (Vertical)'!C:C=B517,'Students "&amp;"(Vertical)'!D:D&lt;&gt;"""");filter('Students (Vertical)'!D:D,'Students (Vertical)'!C:C=E517,'Students (Vertical)'!D:D&lt;&gt;"""")})&gt;1))),"""")"),"")</f>
        <v/>
      </c>
      <c r="L517" s="96"/>
      <c r="M517" s="96"/>
    </row>
    <row r="518" hidden="1">
      <c r="A518" s="8" t="s">
        <v>8</v>
      </c>
      <c r="C518" s="8" t="s">
        <v>8</v>
      </c>
      <c r="D518" s="8" t="s">
        <v>8</v>
      </c>
      <c r="F518" s="8" t="s">
        <v>8</v>
      </c>
      <c r="G518" s="8" t="s">
        <v>8</v>
      </c>
      <c r="I518" s="94" t="str">
        <f>IFERROR(__xludf.DUMMYFUNCTION("if(H518=""Must be Together"",iferror(join("", "",unique(filter({filter('Students (Vertical)'!O:O,'Students (Vertical)'!C:C=B518,'Students (Vertical)'!O:O&lt;&gt;"""");filter('Students (Vertical)'!O:O,'Students (Vertical)'!C:C=E518,'Students (Vertical)'!O:O&lt;&gt;"""&amp;""")},countifs({filter('Students (Vertical)'!O:O,'Students (Vertical)'!C:C=B518,'Students (Vertical)'!O:O&lt;&gt;"""");filter('Students (Vertical)'!O:O,'Students (Vertical)'!C:C=E518,'Students (Vertical)'!O:O&lt;&gt;"""")},{filter('Students (Vertical)'!O:O,'Students ("&amp;"Vertical)'!C:C=B518,'Students (Vertical)'!O:O&lt;&gt;"""");filter('Students (Vertical)'!O:O,'Students (Vertical)'!C:C=E518,'Students (Vertical)'!O:O&lt;&gt;"""")})&gt;1))),""No shared courses""),"""")"),"")</f>
        <v/>
      </c>
      <c r="J518" s="94" t="str">
        <f>IFERROR(__xludf.DUMMYFUNCTION("if(H518=""Can't be Together"",iferror(join("", "",unique(filter({unique(filter('Students (Vertical)'!O:O,'Students (Vertical)'!C:C=B518,'Students (Vertical)'!O:O&lt;&gt;"""",'Students (Vertical)'!P:P&gt;1));unique(filter('Students (Vertical)'!O:O,'Students (Vertic"&amp;"al)'!C:C=E518,'Students (Vertical)'!O:O&lt;&gt;"""",'Students (Vertical)'!P:P&gt;1))},countifs({unique(filter('Students (Vertical)'!O:O,'Students (Vertical)'!C:C=B518,'Students (Vertical)'!O:O&lt;&gt;"""",'Students (Vertical)'!P:P&gt;1));unique(filter('Students (Vertical)'"&amp;"!O:O,'Students (Vertical)'!C:C=E518,'Students (Vertical)'!O:O&lt;&gt;"""",'Students (Vertical)'!P:P&gt;1))},{unique(filter('Students (Vertical)'!O:O,'Students (Vertical)'!C:C=B518,'Students (Vertical)'!O:O&lt;&gt;"""",'Students (Vertical)'!P:P&gt;1));unique(filter('Student"&amp;"s (Vertical)'!O:O,'Students (Vertical)'!C:C=E518,'Students (Vertical)'!O:O&lt;&gt;"""",'Students (Vertical)'!P:P&gt;1))})&gt;1))),""""),"""")"),"")</f>
        <v/>
      </c>
      <c r="K518" s="96" t="str">
        <f>IFERROR(__xludf.DUMMYFUNCTION("iferror(join("", "",unique(filter({filter('Students (Vertical)'!D:D,'Students (Vertical)'!C:C=B518,'Students (Vertical)'!D:D&lt;&gt;"""");filter('Students (Vertical)'!D:D,'Students (Vertical)'!C:C=E518,'Students (Vertical)'!D:D&lt;&gt;"""")},countifs({filter('Student"&amp;"s (Vertical)'!D:D,'Students (Vertical)'!C:C=B518,'Students (Vertical)'!D:D&lt;&gt;"""");filter('Students (Vertical)'!D:D,'Students (Vertical)'!C:C=E518,'Students (Vertical)'!D:D&lt;&gt;"""")},{filter('Students (Vertical)'!D:D,'Students (Vertical)'!C:C=B518,'Students "&amp;"(Vertical)'!D:D&lt;&gt;"""");filter('Students (Vertical)'!D:D,'Students (Vertical)'!C:C=E518,'Students (Vertical)'!D:D&lt;&gt;"""")})&gt;1))),"""")"),"")</f>
        <v/>
      </c>
      <c r="L518" s="96"/>
      <c r="M518" s="96"/>
    </row>
    <row r="519" hidden="1">
      <c r="A519" s="8" t="s">
        <v>8</v>
      </c>
      <c r="C519" s="8" t="s">
        <v>8</v>
      </c>
      <c r="D519" s="8" t="s">
        <v>8</v>
      </c>
      <c r="F519" s="8" t="s">
        <v>8</v>
      </c>
      <c r="G519" s="8" t="s">
        <v>8</v>
      </c>
      <c r="I519" s="94" t="str">
        <f>IFERROR(__xludf.DUMMYFUNCTION("if(H519=""Must be Together"",iferror(join("", "",unique(filter({filter('Students (Vertical)'!O:O,'Students (Vertical)'!C:C=B519,'Students (Vertical)'!O:O&lt;&gt;"""");filter('Students (Vertical)'!O:O,'Students (Vertical)'!C:C=E519,'Students (Vertical)'!O:O&lt;&gt;"""&amp;""")},countifs({filter('Students (Vertical)'!O:O,'Students (Vertical)'!C:C=B519,'Students (Vertical)'!O:O&lt;&gt;"""");filter('Students (Vertical)'!O:O,'Students (Vertical)'!C:C=E519,'Students (Vertical)'!O:O&lt;&gt;"""")},{filter('Students (Vertical)'!O:O,'Students ("&amp;"Vertical)'!C:C=B519,'Students (Vertical)'!O:O&lt;&gt;"""");filter('Students (Vertical)'!O:O,'Students (Vertical)'!C:C=E519,'Students (Vertical)'!O:O&lt;&gt;"""")})&gt;1))),""No shared courses""),"""")"),"")</f>
        <v/>
      </c>
      <c r="J519" s="94" t="str">
        <f>IFERROR(__xludf.DUMMYFUNCTION("if(H519=""Can't be Together"",iferror(join("", "",unique(filter({unique(filter('Students (Vertical)'!O:O,'Students (Vertical)'!C:C=B519,'Students (Vertical)'!O:O&lt;&gt;"""",'Students (Vertical)'!P:P&gt;1));unique(filter('Students (Vertical)'!O:O,'Students (Vertic"&amp;"al)'!C:C=E519,'Students (Vertical)'!O:O&lt;&gt;"""",'Students (Vertical)'!P:P&gt;1))},countifs({unique(filter('Students (Vertical)'!O:O,'Students (Vertical)'!C:C=B519,'Students (Vertical)'!O:O&lt;&gt;"""",'Students (Vertical)'!P:P&gt;1));unique(filter('Students (Vertical)'"&amp;"!O:O,'Students (Vertical)'!C:C=E519,'Students (Vertical)'!O:O&lt;&gt;"""",'Students (Vertical)'!P:P&gt;1))},{unique(filter('Students (Vertical)'!O:O,'Students (Vertical)'!C:C=B519,'Students (Vertical)'!O:O&lt;&gt;"""",'Students (Vertical)'!P:P&gt;1));unique(filter('Student"&amp;"s (Vertical)'!O:O,'Students (Vertical)'!C:C=E519,'Students (Vertical)'!O:O&lt;&gt;"""",'Students (Vertical)'!P:P&gt;1))})&gt;1))),""""),"""")"),"")</f>
        <v/>
      </c>
      <c r="K519" s="96" t="str">
        <f>IFERROR(__xludf.DUMMYFUNCTION("iferror(join("", "",unique(filter({filter('Students (Vertical)'!D:D,'Students (Vertical)'!C:C=B519,'Students (Vertical)'!D:D&lt;&gt;"""");filter('Students (Vertical)'!D:D,'Students (Vertical)'!C:C=E519,'Students (Vertical)'!D:D&lt;&gt;"""")},countifs({filter('Student"&amp;"s (Vertical)'!D:D,'Students (Vertical)'!C:C=B519,'Students (Vertical)'!D:D&lt;&gt;"""");filter('Students (Vertical)'!D:D,'Students (Vertical)'!C:C=E519,'Students (Vertical)'!D:D&lt;&gt;"""")},{filter('Students (Vertical)'!D:D,'Students (Vertical)'!C:C=B519,'Students "&amp;"(Vertical)'!D:D&lt;&gt;"""");filter('Students (Vertical)'!D:D,'Students (Vertical)'!C:C=E519,'Students (Vertical)'!D:D&lt;&gt;"""")})&gt;1))),"""")"),"")</f>
        <v/>
      </c>
      <c r="L519" s="96"/>
      <c r="M519" s="96"/>
    </row>
    <row r="520" hidden="1">
      <c r="A520" s="8" t="s">
        <v>8</v>
      </c>
      <c r="C520" s="8" t="s">
        <v>8</v>
      </c>
      <c r="D520" s="8" t="s">
        <v>8</v>
      </c>
      <c r="F520" s="8" t="s">
        <v>8</v>
      </c>
      <c r="G520" s="8" t="s">
        <v>8</v>
      </c>
      <c r="I520" s="94" t="str">
        <f>IFERROR(__xludf.DUMMYFUNCTION("if(H520=""Must be Together"",iferror(join("", "",unique(filter({filter('Students (Vertical)'!O:O,'Students (Vertical)'!C:C=B520,'Students (Vertical)'!O:O&lt;&gt;"""");filter('Students (Vertical)'!O:O,'Students (Vertical)'!C:C=E520,'Students (Vertical)'!O:O&lt;&gt;"""&amp;""")},countifs({filter('Students (Vertical)'!O:O,'Students (Vertical)'!C:C=B520,'Students (Vertical)'!O:O&lt;&gt;"""");filter('Students (Vertical)'!O:O,'Students (Vertical)'!C:C=E520,'Students (Vertical)'!O:O&lt;&gt;"""")},{filter('Students (Vertical)'!O:O,'Students ("&amp;"Vertical)'!C:C=B520,'Students (Vertical)'!O:O&lt;&gt;"""");filter('Students (Vertical)'!O:O,'Students (Vertical)'!C:C=E520,'Students (Vertical)'!O:O&lt;&gt;"""")})&gt;1))),""No shared courses""),"""")"),"")</f>
        <v/>
      </c>
      <c r="J520" s="94" t="str">
        <f>IFERROR(__xludf.DUMMYFUNCTION("if(H520=""Can't be Together"",iferror(join("", "",unique(filter({unique(filter('Students (Vertical)'!O:O,'Students (Vertical)'!C:C=B520,'Students (Vertical)'!O:O&lt;&gt;"""",'Students (Vertical)'!P:P&gt;1));unique(filter('Students (Vertical)'!O:O,'Students (Vertic"&amp;"al)'!C:C=E520,'Students (Vertical)'!O:O&lt;&gt;"""",'Students (Vertical)'!P:P&gt;1))},countifs({unique(filter('Students (Vertical)'!O:O,'Students (Vertical)'!C:C=B520,'Students (Vertical)'!O:O&lt;&gt;"""",'Students (Vertical)'!P:P&gt;1));unique(filter('Students (Vertical)'"&amp;"!O:O,'Students (Vertical)'!C:C=E520,'Students (Vertical)'!O:O&lt;&gt;"""",'Students (Vertical)'!P:P&gt;1))},{unique(filter('Students (Vertical)'!O:O,'Students (Vertical)'!C:C=B520,'Students (Vertical)'!O:O&lt;&gt;"""",'Students (Vertical)'!P:P&gt;1));unique(filter('Student"&amp;"s (Vertical)'!O:O,'Students (Vertical)'!C:C=E520,'Students (Vertical)'!O:O&lt;&gt;"""",'Students (Vertical)'!P:P&gt;1))})&gt;1))),""""),"""")"),"")</f>
        <v/>
      </c>
      <c r="K520" s="96" t="str">
        <f>IFERROR(__xludf.DUMMYFUNCTION("iferror(join("", "",unique(filter({filter('Students (Vertical)'!D:D,'Students (Vertical)'!C:C=B520,'Students (Vertical)'!D:D&lt;&gt;"""");filter('Students (Vertical)'!D:D,'Students (Vertical)'!C:C=E520,'Students (Vertical)'!D:D&lt;&gt;"""")},countifs({filter('Student"&amp;"s (Vertical)'!D:D,'Students (Vertical)'!C:C=B520,'Students (Vertical)'!D:D&lt;&gt;"""");filter('Students (Vertical)'!D:D,'Students (Vertical)'!C:C=E520,'Students (Vertical)'!D:D&lt;&gt;"""")},{filter('Students (Vertical)'!D:D,'Students (Vertical)'!C:C=B520,'Students "&amp;"(Vertical)'!D:D&lt;&gt;"""");filter('Students (Vertical)'!D:D,'Students (Vertical)'!C:C=E520,'Students (Vertical)'!D:D&lt;&gt;"""")})&gt;1))),"""")"),"")</f>
        <v/>
      </c>
      <c r="L520" s="96"/>
      <c r="M520" s="96"/>
    </row>
    <row r="521" hidden="1">
      <c r="A521" s="8" t="s">
        <v>8</v>
      </c>
      <c r="C521" s="8" t="s">
        <v>8</v>
      </c>
      <c r="D521" s="8" t="s">
        <v>8</v>
      </c>
      <c r="F521" s="8" t="s">
        <v>8</v>
      </c>
      <c r="G521" s="8" t="s">
        <v>8</v>
      </c>
      <c r="I521" s="94" t="str">
        <f>IFERROR(__xludf.DUMMYFUNCTION("if(H521=""Must be Together"",iferror(join("", "",unique(filter({filter('Students (Vertical)'!O:O,'Students (Vertical)'!C:C=B521,'Students (Vertical)'!O:O&lt;&gt;"""");filter('Students (Vertical)'!O:O,'Students (Vertical)'!C:C=E521,'Students (Vertical)'!O:O&lt;&gt;"""&amp;""")},countifs({filter('Students (Vertical)'!O:O,'Students (Vertical)'!C:C=B521,'Students (Vertical)'!O:O&lt;&gt;"""");filter('Students (Vertical)'!O:O,'Students (Vertical)'!C:C=E521,'Students (Vertical)'!O:O&lt;&gt;"""")},{filter('Students (Vertical)'!O:O,'Students ("&amp;"Vertical)'!C:C=B521,'Students (Vertical)'!O:O&lt;&gt;"""");filter('Students (Vertical)'!O:O,'Students (Vertical)'!C:C=E521,'Students (Vertical)'!O:O&lt;&gt;"""")})&gt;1))),""No shared courses""),"""")"),"")</f>
        <v/>
      </c>
      <c r="J521" s="94" t="str">
        <f>IFERROR(__xludf.DUMMYFUNCTION("if(H521=""Can't be Together"",iferror(join("", "",unique(filter({unique(filter('Students (Vertical)'!O:O,'Students (Vertical)'!C:C=B521,'Students (Vertical)'!O:O&lt;&gt;"""",'Students (Vertical)'!P:P&gt;1));unique(filter('Students (Vertical)'!O:O,'Students (Vertic"&amp;"al)'!C:C=E521,'Students (Vertical)'!O:O&lt;&gt;"""",'Students (Vertical)'!P:P&gt;1))},countifs({unique(filter('Students (Vertical)'!O:O,'Students (Vertical)'!C:C=B521,'Students (Vertical)'!O:O&lt;&gt;"""",'Students (Vertical)'!P:P&gt;1));unique(filter('Students (Vertical)'"&amp;"!O:O,'Students (Vertical)'!C:C=E521,'Students (Vertical)'!O:O&lt;&gt;"""",'Students (Vertical)'!P:P&gt;1))},{unique(filter('Students (Vertical)'!O:O,'Students (Vertical)'!C:C=B521,'Students (Vertical)'!O:O&lt;&gt;"""",'Students (Vertical)'!P:P&gt;1));unique(filter('Student"&amp;"s (Vertical)'!O:O,'Students (Vertical)'!C:C=E521,'Students (Vertical)'!O:O&lt;&gt;"""",'Students (Vertical)'!P:P&gt;1))})&gt;1))),""""),"""")"),"")</f>
        <v/>
      </c>
      <c r="K521" s="96" t="str">
        <f>IFERROR(__xludf.DUMMYFUNCTION("iferror(join("", "",unique(filter({filter('Students (Vertical)'!D:D,'Students (Vertical)'!C:C=B521,'Students (Vertical)'!D:D&lt;&gt;"""");filter('Students (Vertical)'!D:D,'Students (Vertical)'!C:C=E521,'Students (Vertical)'!D:D&lt;&gt;"""")},countifs({filter('Student"&amp;"s (Vertical)'!D:D,'Students (Vertical)'!C:C=B521,'Students (Vertical)'!D:D&lt;&gt;"""");filter('Students (Vertical)'!D:D,'Students (Vertical)'!C:C=E521,'Students (Vertical)'!D:D&lt;&gt;"""")},{filter('Students (Vertical)'!D:D,'Students (Vertical)'!C:C=B521,'Students "&amp;"(Vertical)'!D:D&lt;&gt;"""");filter('Students (Vertical)'!D:D,'Students (Vertical)'!C:C=E521,'Students (Vertical)'!D:D&lt;&gt;"""")})&gt;1))),"""")"),"")</f>
        <v/>
      </c>
      <c r="L521" s="96"/>
      <c r="M521" s="96"/>
    </row>
    <row r="522" hidden="1">
      <c r="A522" s="8" t="s">
        <v>8</v>
      </c>
      <c r="C522" s="8" t="s">
        <v>8</v>
      </c>
      <c r="D522" s="8" t="s">
        <v>8</v>
      </c>
      <c r="F522" s="8" t="s">
        <v>8</v>
      </c>
      <c r="G522" s="8" t="s">
        <v>8</v>
      </c>
      <c r="I522" s="94" t="str">
        <f>IFERROR(__xludf.DUMMYFUNCTION("if(H522=""Must be Together"",iferror(join("", "",unique(filter({filter('Students (Vertical)'!O:O,'Students (Vertical)'!C:C=B522,'Students (Vertical)'!O:O&lt;&gt;"""");filter('Students (Vertical)'!O:O,'Students (Vertical)'!C:C=E522,'Students (Vertical)'!O:O&lt;&gt;"""&amp;""")},countifs({filter('Students (Vertical)'!O:O,'Students (Vertical)'!C:C=B522,'Students (Vertical)'!O:O&lt;&gt;"""");filter('Students (Vertical)'!O:O,'Students (Vertical)'!C:C=E522,'Students (Vertical)'!O:O&lt;&gt;"""")},{filter('Students (Vertical)'!O:O,'Students ("&amp;"Vertical)'!C:C=B522,'Students (Vertical)'!O:O&lt;&gt;"""");filter('Students (Vertical)'!O:O,'Students (Vertical)'!C:C=E522,'Students (Vertical)'!O:O&lt;&gt;"""")})&gt;1))),""No shared courses""),"""")"),"")</f>
        <v/>
      </c>
      <c r="J522" s="94" t="str">
        <f>IFERROR(__xludf.DUMMYFUNCTION("if(H522=""Can't be Together"",iferror(join("", "",unique(filter({unique(filter('Students (Vertical)'!O:O,'Students (Vertical)'!C:C=B522,'Students (Vertical)'!O:O&lt;&gt;"""",'Students (Vertical)'!P:P&gt;1));unique(filter('Students (Vertical)'!O:O,'Students (Vertic"&amp;"al)'!C:C=E522,'Students (Vertical)'!O:O&lt;&gt;"""",'Students (Vertical)'!P:P&gt;1))},countifs({unique(filter('Students (Vertical)'!O:O,'Students (Vertical)'!C:C=B522,'Students (Vertical)'!O:O&lt;&gt;"""",'Students (Vertical)'!P:P&gt;1));unique(filter('Students (Vertical)'"&amp;"!O:O,'Students (Vertical)'!C:C=E522,'Students (Vertical)'!O:O&lt;&gt;"""",'Students (Vertical)'!P:P&gt;1))},{unique(filter('Students (Vertical)'!O:O,'Students (Vertical)'!C:C=B522,'Students (Vertical)'!O:O&lt;&gt;"""",'Students (Vertical)'!P:P&gt;1));unique(filter('Student"&amp;"s (Vertical)'!O:O,'Students (Vertical)'!C:C=E522,'Students (Vertical)'!O:O&lt;&gt;"""",'Students (Vertical)'!P:P&gt;1))})&gt;1))),""""),"""")"),"")</f>
        <v/>
      </c>
      <c r="K522" s="96" t="str">
        <f>IFERROR(__xludf.DUMMYFUNCTION("iferror(join("", "",unique(filter({filter('Students (Vertical)'!D:D,'Students (Vertical)'!C:C=B522,'Students (Vertical)'!D:D&lt;&gt;"""");filter('Students (Vertical)'!D:D,'Students (Vertical)'!C:C=E522,'Students (Vertical)'!D:D&lt;&gt;"""")},countifs({filter('Student"&amp;"s (Vertical)'!D:D,'Students (Vertical)'!C:C=B522,'Students (Vertical)'!D:D&lt;&gt;"""");filter('Students (Vertical)'!D:D,'Students (Vertical)'!C:C=E522,'Students (Vertical)'!D:D&lt;&gt;"""")},{filter('Students (Vertical)'!D:D,'Students (Vertical)'!C:C=B522,'Students "&amp;"(Vertical)'!D:D&lt;&gt;"""");filter('Students (Vertical)'!D:D,'Students (Vertical)'!C:C=E522,'Students (Vertical)'!D:D&lt;&gt;"""")})&gt;1))),"""")"),"")</f>
        <v/>
      </c>
      <c r="L522" s="96"/>
      <c r="M522" s="96"/>
    </row>
    <row r="523" hidden="1">
      <c r="A523" s="8" t="s">
        <v>8</v>
      </c>
      <c r="C523" s="8" t="s">
        <v>8</v>
      </c>
      <c r="D523" s="8" t="s">
        <v>8</v>
      </c>
      <c r="F523" s="8" t="s">
        <v>8</v>
      </c>
      <c r="G523" s="8" t="s">
        <v>8</v>
      </c>
      <c r="I523" s="94" t="str">
        <f>IFERROR(__xludf.DUMMYFUNCTION("if(H523=""Must be Together"",iferror(join("", "",unique(filter({filter('Students (Vertical)'!O:O,'Students (Vertical)'!C:C=B523,'Students (Vertical)'!O:O&lt;&gt;"""");filter('Students (Vertical)'!O:O,'Students (Vertical)'!C:C=E523,'Students (Vertical)'!O:O&lt;&gt;"""&amp;""")},countifs({filter('Students (Vertical)'!O:O,'Students (Vertical)'!C:C=B523,'Students (Vertical)'!O:O&lt;&gt;"""");filter('Students (Vertical)'!O:O,'Students (Vertical)'!C:C=E523,'Students (Vertical)'!O:O&lt;&gt;"""")},{filter('Students (Vertical)'!O:O,'Students ("&amp;"Vertical)'!C:C=B523,'Students (Vertical)'!O:O&lt;&gt;"""");filter('Students (Vertical)'!O:O,'Students (Vertical)'!C:C=E523,'Students (Vertical)'!O:O&lt;&gt;"""")})&gt;1))),""No shared courses""),"""")"),"")</f>
        <v/>
      </c>
      <c r="J523" s="94" t="str">
        <f>IFERROR(__xludf.DUMMYFUNCTION("if(H523=""Can't be Together"",iferror(join("", "",unique(filter({unique(filter('Students (Vertical)'!O:O,'Students (Vertical)'!C:C=B523,'Students (Vertical)'!O:O&lt;&gt;"""",'Students (Vertical)'!P:P&gt;1));unique(filter('Students (Vertical)'!O:O,'Students (Vertic"&amp;"al)'!C:C=E523,'Students (Vertical)'!O:O&lt;&gt;"""",'Students (Vertical)'!P:P&gt;1))},countifs({unique(filter('Students (Vertical)'!O:O,'Students (Vertical)'!C:C=B523,'Students (Vertical)'!O:O&lt;&gt;"""",'Students (Vertical)'!P:P&gt;1));unique(filter('Students (Vertical)'"&amp;"!O:O,'Students (Vertical)'!C:C=E523,'Students (Vertical)'!O:O&lt;&gt;"""",'Students (Vertical)'!P:P&gt;1))},{unique(filter('Students (Vertical)'!O:O,'Students (Vertical)'!C:C=B523,'Students (Vertical)'!O:O&lt;&gt;"""",'Students (Vertical)'!P:P&gt;1));unique(filter('Student"&amp;"s (Vertical)'!O:O,'Students (Vertical)'!C:C=E523,'Students (Vertical)'!O:O&lt;&gt;"""",'Students (Vertical)'!P:P&gt;1))})&gt;1))),""""),"""")"),"")</f>
        <v/>
      </c>
      <c r="K523" s="96" t="str">
        <f>IFERROR(__xludf.DUMMYFUNCTION("iferror(join("", "",unique(filter({filter('Students (Vertical)'!D:D,'Students (Vertical)'!C:C=B523,'Students (Vertical)'!D:D&lt;&gt;"""");filter('Students (Vertical)'!D:D,'Students (Vertical)'!C:C=E523,'Students (Vertical)'!D:D&lt;&gt;"""")},countifs({filter('Student"&amp;"s (Vertical)'!D:D,'Students (Vertical)'!C:C=B523,'Students (Vertical)'!D:D&lt;&gt;"""");filter('Students (Vertical)'!D:D,'Students (Vertical)'!C:C=E523,'Students (Vertical)'!D:D&lt;&gt;"""")},{filter('Students (Vertical)'!D:D,'Students (Vertical)'!C:C=B523,'Students "&amp;"(Vertical)'!D:D&lt;&gt;"""");filter('Students (Vertical)'!D:D,'Students (Vertical)'!C:C=E523,'Students (Vertical)'!D:D&lt;&gt;"""")})&gt;1))),"""")"),"")</f>
        <v/>
      </c>
      <c r="L523" s="96"/>
      <c r="M523" s="96"/>
    </row>
    <row r="524" hidden="1">
      <c r="A524" s="8" t="s">
        <v>8</v>
      </c>
      <c r="C524" s="8" t="s">
        <v>8</v>
      </c>
      <c r="D524" s="8" t="s">
        <v>8</v>
      </c>
      <c r="F524" s="8" t="s">
        <v>8</v>
      </c>
      <c r="G524" s="8" t="s">
        <v>8</v>
      </c>
      <c r="I524" s="94" t="str">
        <f>IFERROR(__xludf.DUMMYFUNCTION("if(H524=""Must be Together"",iferror(join("", "",unique(filter({filter('Students (Vertical)'!O:O,'Students (Vertical)'!C:C=B524,'Students (Vertical)'!O:O&lt;&gt;"""");filter('Students (Vertical)'!O:O,'Students (Vertical)'!C:C=E524,'Students (Vertical)'!O:O&lt;&gt;"""&amp;""")},countifs({filter('Students (Vertical)'!O:O,'Students (Vertical)'!C:C=B524,'Students (Vertical)'!O:O&lt;&gt;"""");filter('Students (Vertical)'!O:O,'Students (Vertical)'!C:C=E524,'Students (Vertical)'!O:O&lt;&gt;"""")},{filter('Students (Vertical)'!O:O,'Students ("&amp;"Vertical)'!C:C=B524,'Students (Vertical)'!O:O&lt;&gt;"""");filter('Students (Vertical)'!O:O,'Students (Vertical)'!C:C=E524,'Students (Vertical)'!O:O&lt;&gt;"""")})&gt;1))),""No shared courses""),"""")"),"")</f>
        <v/>
      </c>
      <c r="J524" s="94" t="str">
        <f>IFERROR(__xludf.DUMMYFUNCTION("if(H524=""Can't be Together"",iferror(join("", "",unique(filter({unique(filter('Students (Vertical)'!O:O,'Students (Vertical)'!C:C=B524,'Students (Vertical)'!O:O&lt;&gt;"""",'Students (Vertical)'!P:P&gt;1));unique(filter('Students (Vertical)'!O:O,'Students (Vertic"&amp;"al)'!C:C=E524,'Students (Vertical)'!O:O&lt;&gt;"""",'Students (Vertical)'!P:P&gt;1))},countifs({unique(filter('Students (Vertical)'!O:O,'Students (Vertical)'!C:C=B524,'Students (Vertical)'!O:O&lt;&gt;"""",'Students (Vertical)'!P:P&gt;1));unique(filter('Students (Vertical)'"&amp;"!O:O,'Students (Vertical)'!C:C=E524,'Students (Vertical)'!O:O&lt;&gt;"""",'Students (Vertical)'!P:P&gt;1))},{unique(filter('Students (Vertical)'!O:O,'Students (Vertical)'!C:C=B524,'Students (Vertical)'!O:O&lt;&gt;"""",'Students (Vertical)'!P:P&gt;1));unique(filter('Student"&amp;"s (Vertical)'!O:O,'Students (Vertical)'!C:C=E524,'Students (Vertical)'!O:O&lt;&gt;"""",'Students (Vertical)'!P:P&gt;1))})&gt;1))),""""),"""")"),"")</f>
        <v/>
      </c>
      <c r="K524" s="96" t="str">
        <f>IFERROR(__xludf.DUMMYFUNCTION("iferror(join("", "",unique(filter({filter('Students (Vertical)'!D:D,'Students (Vertical)'!C:C=B524,'Students (Vertical)'!D:D&lt;&gt;"""");filter('Students (Vertical)'!D:D,'Students (Vertical)'!C:C=E524,'Students (Vertical)'!D:D&lt;&gt;"""")},countifs({filter('Student"&amp;"s (Vertical)'!D:D,'Students (Vertical)'!C:C=B524,'Students (Vertical)'!D:D&lt;&gt;"""");filter('Students (Vertical)'!D:D,'Students (Vertical)'!C:C=E524,'Students (Vertical)'!D:D&lt;&gt;"""")},{filter('Students (Vertical)'!D:D,'Students (Vertical)'!C:C=B524,'Students "&amp;"(Vertical)'!D:D&lt;&gt;"""");filter('Students (Vertical)'!D:D,'Students (Vertical)'!C:C=E524,'Students (Vertical)'!D:D&lt;&gt;"""")})&gt;1))),"""")"),"")</f>
        <v/>
      </c>
      <c r="L524" s="96"/>
      <c r="M524" s="96"/>
    </row>
    <row r="525" hidden="1">
      <c r="A525" s="8" t="s">
        <v>8</v>
      </c>
      <c r="C525" s="8" t="s">
        <v>8</v>
      </c>
      <c r="D525" s="8" t="s">
        <v>8</v>
      </c>
      <c r="F525" s="8" t="s">
        <v>8</v>
      </c>
      <c r="G525" s="8" t="s">
        <v>8</v>
      </c>
      <c r="I525" s="94" t="str">
        <f>IFERROR(__xludf.DUMMYFUNCTION("if(H525=""Must be Together"",iferror(join("", "",unique(filter({filter('Students (Vertical)'!O:O,'Students (Vertical)'!C:C=B525,'Students (Vertical)'!O:O&lt;&gt;"""");filter('Students (Vertical)'!O:O,'Students (Vertical)'!C:C=E525,'Students (Vertical)'!O:O&lt;&gt;"""&amp;""")},countifs({filter('Students (Vertical)'!O:O,'Students (Vertical)'!C:C=B525,'Students (Vertical)'!O:O&lt;&gt;"""");filter('Students (Vertical)'!O:O,'Students (Vertical)'!C:C=E525,'Students (Vertical)'!O:O&lt;&gt;"""")},{filter('Students (Vertical)'!O:O,'Students ("&amp;"Vertical)'!C:C=B525,'Students (Vertical)'!O:O&lt;&gt;"""");filter('Students (Vertical)'!O:O,'Students (Vertical)'!C:C=E525,'Students (Vertical)'!O:O&lt;&gt;"""")})&gt;1))),""No shared courses""),"""")"),"")</f>
        <v/>
      </c>
      <c r="J525" s="94" t="str">
        <f>IFERROR(__xludf.DUMMYFUNCTION("if(H525=""Can't be Together"",iferror(join("", "",unique(filter({unique(filter('Students (Vertical)'!O:O,'Students (Vertical)'!C:C=B525,'Students (Vertical)'!O:O&lt;&gt;"""",'Students (Vertical)'!P:P&gt;1));unique(filter('Students (Vertical)'!O:O,'Students (Vertic"&amp;"al)'!C:C=E525,'Students (Vertical)'!O:O&lt;&gt;"""",'Students (Vertical)'!P:P&gt;1))},countifs({unique(filter('Students (Vertical)'!O:O,'Students (Vertical)'!C:C=B525,'Students (Vertical)'!O:O&lt;&gt;"""",'Students (Vertical)'!P:P&gt;1));unique(filter('Students (Vertical)'"&amp;"!O:O,'Students (Vertical)'!C:C=E525,'Students (Vertical)'!O:O&lt;&gt;"""",'Students (Vertical)'!P:P&gt;1))},{unique(filter('Students (Vertical)'!O:O,'Students (Vertical)'!C:C=B525,'Students (Vertical)'!O:O&lt;&gt;"""",'Students (Vertical)'!P:P&gt;1));unique(filter('Student"&amp;"s (Vertical)'!O:O,'Students (Vertical)'!C:C=E525,'Students (Vertical)'!O:O&lt;&gt;"""",'Students (Vertical)'!P:P&gt;1))})&gt;1))),""""),"""")"),"")</f>
        <v/>
      </c>
      <c r="K525" s="96" t="str">
        <f>IFERROR(__xludf.DUMMYFUNCTION("iferror(join("", "",unique(filter({filter('Students (Vertical)'!D:D,'Students (Vertical)'!C:C=B525,'Students (Vertical)'!D:D&lt;&gt;"""");filter('Students (Vertical)'!D:D,'Students (Vertical)'!C:C=E525,'Students (Vertical)'!D:D&lt;&gt;"""")},countifs({filter('Student"&amp;"s (Vertical)'!D:D,'Students (Vertical)'!C:C=B525,'Students (Vertical)'!D:D&lt;&gt;"""");filter('Students (Vertical)'!D:D,'Students (Vertical)'!C:C=E525,'Students (Vertical)'!D:D&lt;&gt;"""")},{filter('Students (Vertical)'!D:D,'Students (Vertical)'!C:C=B525,'Students "&amp;"(Vertical)'!D:D&lt;&gt;"""");filter('Students (Vertical)'!D:D,'Students (Vertical)'!C:C=E525,'Students (Vertical)'!D:D&lt;&gt;"""")})&gt;1))),"""")"),"")</f>
        <v/>
      </c>
      <c r="L525" s="96"/>
      <c r="M525" s="96"/>
    </row>
    <row r="526" hidden="1">
      <c r="A526" s="8" t="s">
        <v>8</v>
      </c>
      <c r="C526" s="8" t="s">
        <v>8</v>
      </c>
      <c r="D526" s="8" t="s">
        <v>8</v>
      </c>
      <c r="F526" s="8" t="s">
        <v>8</v>
      </c>
      <c r="G526" s="8" t="s">
        <v>8</v>
      </c>
      <c r="I526" s="94" t="str">
        <f>IFERROR(__xludf.DUMMYFUNCTION("if(H526=""Must be Together"",iferror(join("", "",unique(filter({filter('Students (Vertical)'!O:O,'Students (Vertical)'!C:C=B526,'Students (Vertical)'!O:O&lt;&gt;"""");filter('Students (Vertical)'!O:O,'Students (Vertical)'!C:C=E526,'Students (Vertical)'!O:O&lt;&gt;"""&amp;""")},countifs({filter('Students (Vertical)'!O:O,'Students (Vertical)'!C:C=B526,'Students (Vertical)'!O:O&lt;&gt;"""");filter('Students (Vertical)'!O:O,'Students (Vertical)'!C:C=E526,'Students (Vertical)'!O:O&lt;&gt;"""")},{filter('Students (Vertical)'!O:O,'Students ("&amp;"Vertical)'!C:C=B526,'Students (Vertical)'!O:O&lt;&gt;"""");filter('Students (Vertical)'!O:O,'Students (Vertical)'!C:C=E526,'Students (Vertical)'!O:O&lt;&gt;"""")})&gt;1))),""No shared courses""),"""")"),"")</f>
        <v/>
      </c>
      <c r="J526" s="94" t="str">
        <f>IFERROR(__xludf.DUMMYFUNCTION("if(H526=""Can't be Together"",iferror(join("", "",unique(filter({unique(filter('Students (Vertical)'!O:O,'Students (Vertical)'!C:C=B526,'Students (Vertical)'!O:O&lt;&gt;"""",'Students (Vertical)'!P:P&gt;1));unique(filter('Students (Vertical)'!O:O,'Students (Vertic"&amp;"al)'!C:C=E526,'Students (Vertical)'!O:O&lt;&gt;"""",'Students (Vertical)'!P:P&gt;1))},countifs({unique(filter('Students (Vertical)'!O:O,'Students (Vertical)'!C:C=B526,'Students (Vertical)'!O:O&lt;&gt;"""",'Students (Vertical)'!P:P&gt;1));unique(filter('Students (Vertical)'"&amp;"!O:O,'Students (Vertical)'!C:C=E526,'Students (Vertical)'!O:O&lt;&gt;"""",'Students (Vertical)'!P:P&gt;1))},{unique(filter('Students (Vertical)'!O:O,'Students (Vertical)'!C:C=B526,'Students (Vertical)'!O:O&lt;&gt;"""",'Students (Vertical)'!P:P&gt;1));unique(filter('Student"&amp;"s (Vertical)'!O:O,'Students (Vertical)'!C:C=E526,'Students (Vertical)'!O:O&lt;&gt;"""",'Students (Vertical)'!P:P&gt;1))})&gt;1))),""""),"""")"),"")</f>
        <v/>
      </c>
      <c r="K526" s="96" t="str">
        <f>IFERROR(__xludf.DUMMYFUNCTION("iferror(join("", "",unique(filter({filter('Students (Vertical)'!D:D,'Students (Vertical)'!C:C=B526,'Students (Vertical)'!D:D&lt;&gt;"""");filter('Students (Vertical)'!D:D,'Students (Vertical)'!C:C=E526,'Students (Vertical)'!D:D&lt;&gt;"""")},countifs({filter('Student"&amp;"s (Vertical)'!D:D,'Students (Vertical)'!C:C=B526,'Students (Vertical)'!D:D&lt;&gt;"""");filter('Students (Vertical)'!D:D,'Students (Vertical)'!C:C=E526,'Students (Vertical)'!D:D&lt;&gt;"""")},{filter('Students (Vertical)'!D:D,'Students (Vertical)'!C:C=B526,'Students "&amp;"(Vertical)'!D:D&lt;&gt;"""");filter('Students (Vertical)'!D:D,'Students (Vertical)'!C:C=E526,'Students (Vertical)'!D:D&lt;&gt;"""")})&gt;1))),"""")"),"")</f>
        <v/>
      </c>
      <c r="L526" s="96"/>
      <c r="M526" s="96"/>
    </row>
    <row r="527" hidden="1">
      <c r="A527" s="8" t="s">
        <v>8</v>
      </c>
      <c r="C527" s="8" t="s">
        <v>8</v>
      </c>
      <c r="D527" s="8" t="s">
        <v>8</v>
      </c>
      <c r="F527" s="8" t="s">
        <v>8</v>
      </c>
      <c r="G527" s="8" t="s">
        <v>8</v>
      </c>
      <c r="I527" s="94" t="str">
        <f>IFERROR(__xludf.DUMMYFUNCTION("if(H527=""Must be Together"",iferror(join("", "",unique(filter({filter('Students (Vertical)'!O:O,'Students (Vertical)'!C:C=B527,'Students (Vertical)'!O:O&lt;&gt;"""");filter('Students (Vertical)'!O:O,'Students (Vertical)'!C:C=E527,'Students (Vertical)'!O:O&lt;&gt;"""&amp;""")},countifs({filter('Students (Vertical)'!O:O,'Students (Vertical)'!C:C=B527,'Students (Vertical)'!O:O&lt;&gt;"""");filter('Students (Vertical)'!O:O,'Students (Vertical)'!C:C=E527,'Students (Vertical)'!O:O&lt;&gt;"""")},{filter('Students (Vertical)'!O:O,'Students ("&amp;"Vertical)'!C:C=B527,'Students (Vertical)'!O:O&lt;&gt;"""");filter('Students (Vertical)'!O:O,'Students (Vertical)'!C:C=E527,'Students (Vertical)'!O:O&lt;&gt;"""")})&gt;1))),""No shared courses""),"""")"),"")</f>
        <v/>
      </c>
      <c r="J527" s="94" t="str">
        <f>IFERROR(__xludf.DUMMYFUNCTION("if(H527=""Can't be Together"",iferror(join("", "",unique(filter({unique(filter('Students (Vertical)'!O:O,'Students (Vertical)'!C:C=B527,'Students (Vertical)'!O:O&lt;&gt;"""",'Students (Vertical)'!P:P&gt;1));unique(filter('Students (Vertical)'!O:O,'Students (Vertic"&amp;"al)'!C:C=E527,'Students (Vertical)'!O:O&lt;&gt;"""",'Students (Vertical)'!P:P&gt;1))},countifs({unique(filter('Students (Vertical)'!O:O,'Students (Vertical)'!C:C=B527,'Students (Vertical)'!O:O&lt;&gt;"""",'Students (Vertical)'!P:P&gt;1));unique(filter('Students (Vertical)'"&amp;"!O:O,'Students (Vertical)'!C:C=E527,'Students (Vertical)'!O:O&lt;&gt;"""",'Students (Vertical)'!P:P&gt;1))},{unique(filter('Students (Vertical)'!O:O,'Students (Vertical)'!C:C=B527,'Students (Vertical)'!O:O&lt;&gt;"""",'Students (Vertical)'!P:P&gt;1));unique(filter('Student"&amp;"s (Vertical)'!O:O,'Students (Vertical)'!C:C=E527,'Students (Vertical)'!O:O&lt;&gt;"""",'Students (Vertical)'!P:P&gt;1))})&gt;1))),""""),"""")"),"")</f>
        <v/>
      </c>
      <c r="K527" s="96" t="str">
        <f>IFERROR(__xludf.DUMMYFUNCTION("iferror(join("", "",unique(filter({filter('Students (Vertical)'!D:D,'Students (Vertical)'!C:C=B527,'Students (Vertical)'!D:D&lt;&gt;"""");filter('Students (Vertical)'!D:D,'Students (Vertical)'!C:C=E527,'Students (Vertical)'!D:D&lt;&gt;"""")},countifs({filter('Student"&amp;"s (Vertical)'!D:D,'Students (Vertical)'!C:C=B527,'Students (Vertical)'!D:D&lt;&gt;"""");filter('Students (Vertical)'!D:D,'Students (Vertical)'!C:C=E527,'Students (Vertical)'!D:D&lt;&gt;"""")},{filter('Students (Vertical)'!D:D,'Students (Vertical)'!C:C=B527,'Students "&amp;"(Vertical)'!D:D&lt;&gt;"""");filter('Students (Vertical)'!D:D,'Students (Vertical)'!C:C=E527,'Students (Vertical)'!D:D&lt;&gt;"""")})&gt;1))),"""")"),"")</f>
        <v/>
      </c>
      <c r="L527" s="96"/>
      <c r="M527" s="96"/>
    </row>
    <row r="528" hidden="1">
      <c r="A528" s="8" t="s">
        <v>8</v>
      </c>
      <c r="C528" s="8" t="s">
        <v>8</v>
      </c>
      <c r="D528" s="8" t="s">
        <v>8</v>
      </c>
      <c r="F528" s="8" t="s">
        <v>8</v>
      </c>
      <c r="G528" s="8" t="s">
        <v>8</v>
      </c>
      <c r="I528" s="94" t="str">
        <f>IFERROR(__xludf.DUMMYFUNCTION("if(H528=""Must be Together"",iferror(join("", "",unique(filter({filter('Students (Vertical)'!O:O,'Students (Vertical)'!C:C=B528,'Students (Vertical)'!O:O&lt;&gt;"""");filter('Students (Vertical)'!O:O,'Students (Vertical)'!C:C=E528,'Students (Vertical)'!O:O&lt;&gt;"""&amp;""")},countifs({filter('Students (Vertical)'!O:O,'Students (Vertical)'!C:C=B528,'Students (Vertical)'!O:O&lt;&gt;"""");filter('Students (Vertical)'!O:O,'Students (Vertical)'!C:C=E528,'Students (Vertical)'!O:O&lt;&gt;"""")},{filter('Students (Vertical)'!O:O,'Students ("&amp;"Vertical)'!C:C=B528,'Students (Vertical)'!O:O&lt;&gt;"""");filter('Students (Vertical)'!O:O,'Students (Vertical)'!C:C=E528,'Students (Vertical)'!O:O&lt;&gt;"""")})&gt;1))),""No shared courses""),"""")"),"")</f>
        <v/>
      </c>
      <c r="J528" s="94" t="str">
        <f>IFERROR(__xludf.DUMMYFUNCTION("if(H528=""Can't be Together"",iferror(join("", "",unique(filter({unique(filter('Students (Vertical)'!O:O,'Students (Vertical)'!C:C=B528,'Students (Vertical)'!O:O&lt;&gt;"""",'Students (Vertical)'!P:P&gt;1));unique(filter('Students (Vertical)'!O:O,'Students (Vertic"&amp;"al)'!C:C=E528,'Students (Vertical)'!O:O&lt;&gt;"""",'Students (Vertical)'!P:P&gt;1))},countifs({unique(filter('Students (Vertical)'!O:O,'Students (Vertical)'!C:C=B528,'Students (Vertical)'!O:O&lt;&gt;"""",'Students (Vertical)'!P:P&gt;1));unique(filter('Students (Vertical)'"&amp;"!O:O,'Students (Vertical)'!C:C=E528,'Students (Vertical)'!O:O&lt;&gt;"""",'Students (Vertical)'!P:P&gt;1))},{unique(filter('Students (Vertical)'!O:O,'Students (Vertical)'!C:C=B528,'Students (Vertical)'!O:O&lt;&gt;"""",'Students (Vertical)'!P:P&gt;1));unique(filter('Student"&amp;"s (Vertical)'!O:O,'Students (Vertical)'!C:C=E528,'Students (Vertical)'!O:O&lt;&gt;"""",'Students (Vertical)'!P:P&gt;1))})&gt;1))),""""),"""")"),"")</f>
        <v/>
      </c>
      <c r="K528" s="96" t="str">
        <f>IFERROR(__xludf.DUMMYFUNCTION("iferror(join("", "",unique(filter({filter('Students (Vertical)'!D:D,'Students (Vertical)'!C:C=B528,'Students (Vertical)'!D:D&lt;&gt;"""");filter('Students (Vertical)'!D:D,'Students (Vertical)'!C:C=E528,'Students (Vertical)'!D:D&lt;&gt;"""")},countifs({filter('Student"&amp;"s (Vertical)'!D:D,'Students (Vertical)'!C:C=B528,'Students (Vertical)'!D:D&lt;&gt;"""");filter('Students (Vertical)'!D:D,'Students (Vertical)'!C:C=E528,'Students (Vertical)'!D:D&lt;&gt;"""")},{filter('Students (Vertical)'!D:D,'Students (Vertical)'!C:C=B528,'Students "&amp;"(Vertical)'!D:D&lt;&gt;"""");filter('Students (Vertical)'!D:D,'Students (Vertical)'!C:C=E528,'Students (Vertical)'!D:D&lt;&gt;"""")})&gt;1))),"""")"),"")</f>
        <v/>
      </c>
      <c r="L528" s="96"/>
      <c r="M528" s="96"/>
    </row>
    <row r="529" hidden="1">
      <c r="A529" s="8" t="s">
        <v>8</v>
      </c>
      <c r="C529" s="8" t="s">
        <v>8</v>
      </c>
      <c r="D529" s="8" t="s">
        <v>8</v>
      </c>
      <c r="F529" s="8" t="s">
        <v>8</v>
      </c>
      <c r="G529" s="8" t="s">
        <v>8</v>
      </c>
      <c r="I529" s="94" t="str">
        <f>IFERROR(__xludf.DUMMYFUNCTION("if(H529=""Must be Together"",iferror(join("", "",unique(filter({filter('Students (Vertical)'!O:O,'Students (Vertical)'!C:C=B529,'Students (Vertical)'!O:O&lt;&gt;"""");filter('Students (Vertical)'!O:O,'Students (Vertical)'!C:C=E529,'Students (Vertical)'!O:O&lt;&gt;"""&amp;""")},countifs({filter('Students (Vertical)'!O:O,'Students (Vertical)'!C:C=B529,'Students (Vertical)'!O:O&lt;&gt;"""");filter('Students (Vertical)'!O:O,'Students (Vertical)'!C:C=E529,'Students (Vertical)'!O:O&lt;&gt;"""")},{filter('Students (Vertical)'!O:O,'Students ("&amp;"Vertical)'!C:C=B529,'Students (Vertical)'!O:O&lt;&gt;"""");filter('Students (Vertical)'!O:O,'Students (Vertical)'!C:C=E529,'Students (Vertical)'!O:O&lt;&gt;"""")})&gt;1))),""No shared courses""),"""")"),"")</f>
        <v/>
      </c>
      <c r="J529" s="94" t="str">
        <f>IFERROR(__xludf.DUMMYFUNCTION("if(H529=""Can't be Together"",iferror(join("", "",unique(filter({unique(filter('Students (Vertical)'!O:O,'Students (Vertical)'!C:C=B529,'Students (Vertical)'!O:O&lt;&gt;"""",'Students (Vertical)'!P:P&gt;1));unique(filter('Students (Vertical)'!O:O,'Students (Vertic"&amp;"al)'!C:C=E529,'Students (Vertical)'!O:O&lt;&gt;"""",'Students (Vertical)'!P:P&gt;1))},countifs({unique(filter('Students (Vertical)'!O:O,'Students (Vertical)'!C:C=B529,'Students (Vertical)'!O:O&lt;&gt;"""",'Students (Vertical)'!P:P&gt;1));unique(filter('Students (Vertical)'"&amp;"!O:O,'Students (Vertical)'!C:C=E529,'Students (Vertical)'!O:O&lt;&gt;"""",'Students (Vertical)'!P:P&gt;1))},{unique(filter('Students (Vertical)'!O:O,'Students (Vertical)'!C:C=B529,'Students (Vertical)'!O:O&lt;&gt;"""",'Students (Vertical)'!P:P&gt;1));unique(filter('Student"&amp;"s (Vertical)'!O:O,'Students (Vertical)'!C:C=E529,'Students (Vertical)'!O:O&lt;&gt;"""",'Students (Vertical)'!P:P&gt;1))})&gt;1))),""""),"""")"),"")</f>
        <v/>
      </c>
      <c r="K529" s="96" t="str">
        <f>IFERROR(__xludf.DUMMYFUNCTION("iferror(join("", "",unique(filter({filter('Students (Vertical)'!D:D,'Students (Vertical)'!C:C=B529,'Students (Vertical)'!D:D&lt;&gt;"""");filter('Students (Vertical)'!D:D,'Students (Vertical)'!C:C=E529,'Students (Vertical)'!D:D&lt;&gt;"""")},countifs({filter('Student"&amp;"s (Vertical)'!D:D,'Students (Vertical)'!C:C=B529,'Students (Vertical)'!D:D&lt;&gt;"""");filter('Students (Vertical)'!D:D,'Students (Vertical)'!C:C=E529,'Students (Vertical)'!D:D&lt;&gt;"""")},{filter('Students (Vertical)'!D:D,'Students (Vertical)'!C:C=B529,'Students "&amp;"(Vertical)'!D:D&lt;&gt;"""");filter('Students (Vertical)'!D:D,'Students (Vertical)'!C:C=E529,'Students (Vertical)'!D:D&lt;&gt;"""")})&gt;1))),"""")"),"")</f>
        <v/>
      </c>
      <c r="L529" s="96"/>
      <c r="M529" s="96"/>
    </row>
    <row r="530" hidden="1">
      <c r="A530" s="8" t="s">
        <v>8</v>
      </c>
      <c r="C530" s="8" t="s">
        <v>8</v>
      </c>
      <c r="D530" s="8" t="s">
        <v>8</v>
      </c>
      <c r="F530" s="8" t="s">
        <v>8</v>
      </c>
      <c r="G530" s="8" t="s">
        <v>8</v>
      </c>
      <c r="I530" s="94" t="str">
        <f>IFERROR(__xludf.DUMMYFUNCTION("if(H530=""Must be Together"",iferror(join("", "",unique(filter({filter('Students (Vertical)'!O:O,'Students (Vertical)'!C:C=B530,'Students (Vertical)'!O:O&lt;&gt;"""");filter('Students (Vertical)'!O:O,'Students (Vertical)'!C:C=E530,'Students (Vertical)'!O:O&lt;&gt;"""&amp;""")},countifs({filter('Students (Vertical)'!O:O,'Students (Vertical)'!C:C=B530,'Students (Vertical)'!O:O&lt;&gt;"""");filter('Students (Vertical)'!O:O,'Students (Vertical)'!C:C=E530,'Students (Vertical)'!O:O&lt;&gt;"""")},{filter('Students (Vertical)'!O:O,'Students ("&amp;"Vertical)'!C:C=B530,'Students (Vertical)'!O:O&lt;&gt;"""");filter('Students (Vertical)'!O:O,'Students (Vertical)'!C:C=E530,'Students (Vertical)'!O:O&lt;&gt;"""")})&gt;1))),""No shared courses""),"""")"),"")</f>
        <v/>
      </c>
      <c r="J530" s="94" t="str">
        <f>IFERROR(__xludf.DUMMYFUNCTION("if(H530=""Can't be Together"",iferror(join("", "",unique(filter({unique(filter('Students (Vertical)'!O:O,'Students (Vertical)'!C:C=B530,'Students (Vertical)'!O:O&lt;&gt;"""",'Students (Vertical)'!P:P&gt;1));unique(filter('Students (Vertical)'!O:O,'Students (Vertic"&amp;"al)'!C:C=E530,'Students (Vertical)'!O:O&lt;&gt;"""",'Students (Vertical)'!P:P&gt;1))},countifs({unique(filter('Students (Vertical)'!O:O,'Students (Vertical)'!C:C=B530,'Students (Vertical)'!O:O&lt;&gt;"""",'Students (Vertical)'!P:P&gt;1));unique(filter('Students (Vertical)'"&amp;"!O:O,'Students (Vertical)'!C:C=E530,'Students (Vertical)'!O:O&lt;&gt;"""",'Students (Vertical)'!P:P&gt;1))},{unique(filter('Students (Vertical)'!O:O,'Students (Vertical)'!C:C=B530,'Students (Vertical)'!O:O&lt;&gt;"""",'Students (Vertical)'!P:P&gt;1));unique(filter('Student"&amp;"s (Vertical)'!O:O,'Students (Vertical)'!C:C=E530,'Students (Vertical)'!O:O&lt;&gt;"""",'Students (Vertical)'!P:P&gt;1))})&gt;1))),""""),"""")"),"")</f>
        <v/>
      </c>
      <c r="K530" s="96" t="str">
        <f>IFERROR(__xludf.DUMMYFUNCTION("iferror(join("", "",unique(filter({filter('Students (Vertical)'!D:D,'Students (Vertical)'!C:C=B530,'Students (Vertical)'!D:D&lt;&gt;"""");filter('Students (Vertical)'!D:D,'Students (Vertical)'!C:C=E530,'Students (Vertical)'!D:D&lt;&gt;"""")},countifs({filter('Student"&amp;"s (Vertical)'!D:D,'Students (Vertical)'!C:C=B530,'Students (Vertical)'!D:D&lt;&gt;"""");filter('Students (Vertical)'!D:D,'Students (Vertical)'!C:C=E530,'Students (Vertical)'!D:D&lt;&gt;"""")},{filter('Students (Vertical)'!D:D,'Students (Vertical)'!C:C=B530,'Students "&amp;"(Vertical)'!D:D&lt;&gt;"""");filter('Students (Vertical)'!D:D,'Students (Vertical)'!C:C=E530,'Students (Vertical)'!D:D&lt;&gt;"""")})&gt;1))),"""")"),"")</f>
        <v/>
      </c>
      <c r="L530" s="96"/>
      <c r="M530" s="96"/>
    </row>
    <row r="531" hidden="1">
      <c r="A531" s="8" t="s">
        <v>8</v>
      </c>
      <c r="C531" s="8" t="s">
        <v>8</v>
      </c>
      <c r="D531" s="8" t="s">
        <v>8</v>
      </c>
      <c r="F531" s="8" t="s">
        <v>8</v>
      </c>
      <c r="G531" s="8" t="s">
        <v>8</v>
      </c>
      <c r="I531" s="94" t="str">
        <f>IFERROR(__xludf.DUMMYFUNCTION("if(H531=""Must be Together"",iferror(join("", "",unique(filter({filter('Students (Vertical)'!O:O,'Students (Vertical)'!C:C=B531,'Students (Vertical)'!O:O&lt;&gt;"""");filter('Students (Vertical)'!O:O,'Students (Vertical)'!C:C=E531,'Students (Vertical)'!O:O&lt;&gt;"""&amp;""")},countifs({filter('Students (Vertical)'!O:O,'Students (Vertical)'!C:C=B531,'Students (Vertical)'!O:O&lt;&gt;"""");filter('Students (Vertical)'!O:O,'Students (Vertical)'!C:C=E531,'Students (Vertical)'!O:O&lt;&gt;"""")},{filter('Students (Vertical)'!O:O,'Students ("&amp;"Vertical)'!C:C=B531,'Students (Vertical)'!O:O&lt;&gt;"""");filter('Students (Vertical)'!O:O,'Students (Vertical)'!C:C=E531,'Students (Vertical)'!O:O&lt;&gt;"""")})&gt;1))),""No shared courses""),"""")"),"")</f>
        <v/>
      </c>
      <c r="J531" s="94" t="str">
        <f>IFERROR(__xludf.DUMMYFUNCTION("if(H531=""Can't be Together"",iferror(join("", "",unique(filter({unique(filter('Students (Vertical)'!O:O,'Students (Vertical)'!C:C=B531,'Students (Vertical)'!O:O&lt;&gt;"""",'Students (Vertical)'!P:P&gt;1));unique(filter('Students (Vertical)'!O:O,'Students (Vertic"&amp;"al)'!C:C=E531,'Students (Vertical)'!O:O&lt;&gt;"""",'Students (Vertical)'!P:P&gt;1))},countifs({unique(filter('Students (Vertical)'!O:O,'Students (Vertical)'!C:C=B531,'Students (Vertical)'!O:O&lt;&gt;"""",'Students (Vertical)'!P:P&gt;1));unique(filter('Students (Vertical)'"&amp;"!O:O,'Students (Vertical)'!C:C=E531,'Students (Vertical)'!O:O&lt;&gt;"""",'Students (Vertical)'!P:P&gt;1))},{unique(filter('Students (Vertical)'!O:O,'Students (Vertical)'!C:C=B531,'Students (Vertical)'!O:O&lt;&gt;"""",'Students (Vertical)'!P:P&gt;1));unique(filter('Student"&amp;"s (Vertical)'!O:O,'Students (Vertical)'!C:C=E531,'Students (Vertical)'!O:O&lt;&gt;"""",'Students (Vertical)'!P:P&gt;1))})&gt;1))),""""),"""")"),"")</f>
        <v/>
      </c>
      <c r="K531" s="96" t="str">
        <f>IFERROR(__xludf.DUMMYFUNCTION("iferror(join("", "",unique(filter({filter('Students (Vertical)'!D:D,'Students (Vertical)'!C:C=B531,'Students (Vertical)'!D:D&lt;&gt;"""");filter('Students (Vertical)'!D:D,'Students (Vertical)'!C:C=E531,'Students (Vertical)'!D:D&lt;&gt;"""")},countifs({filter('Student"&amp;"s (Vertical)'!D:D,'Students (Vertical)'!C:C=B531,'Students (Vertical)'!D:D&lt;&gt;"""");filter('Students (Vertical)'!D:D,'Students (Vertical)'!C:C=E531,'Students (Vertical)'!D:D&lt;&gt;"""")},{filter('Students (Vertical)'!D:D,'Students (Vertical)'!C:C=B531,'Students "&amp;"(Vertical)'!D:D&lt;&gt;"""");filter('Students (Vertical)'!D:D,'Students (Vertical)'!C:C=E531,'Students (Vertical)'!D:D&lt;&gt;"""")})&gt;1))),"""")"),"")</f>
        <v/>
      </c>
      <c r="L531" s="96"/>
      <c r="M531" s="96"/>
    </row>
    <row r="532" hidden="1">
      <c r="A532" s="8" t="s">
        <v>8</v>
      </c>
      <c r="C532" s="8" t="s">
        <v>8</v>
      </c>
      <c r="D532" s="8" t="s">
        <v>8</v>
      </c>
      <c r="F532" s="8" t="s">
        <v>8</v>
      </c>
      <c r="G532" s="8" t="s">
        <v>8</v>
      </c>
      <c r="I532" s="94" t="str">
        <f>IFERROR(__xludf.DUMMYFUNCTION("if(H532=""Must be Together"",iferror(join("", "",unique(filter({filter('Students (Vertical)'!O:O,'Students (Vertical)'!C:C=B532,'Students (Vertical)'!O:O&lt;&gt;"""");filter('Students (Vertical)'!O:O,'Students (Vertical)'!C:C=E532,'Students (Vertical)'!O:O&lt;&gt;"""&amp;""")},countifs({filter('Students (Vertical)'!O:O,'Students (Vertical)'!C:C=B532,'Students (Vertical)'!O:O&lt;&gt;"""");filter('Students (Vertical)'!O:O,'Students (Vertical)'!C:C=E532,'Students (Vertical)'!O:O&lt;&gt;"""")},{filter('Students (Vertical)'!O:O,'Students ("&amp;"Vertical)'!C:C=B532,'Students (Vertical)'!O:O&lt;&gt;"""");filter('Students (Vertical)'!O:O,'Students (Vertical)'!C:C=E532,'Students (Vertical)'!O:O&lt;&gt;"""")})&gt;1))),""No shared courses""),"""")"),"")</f>
        <v/>
      </c>
      <c r="J532" s="94" t="str">
        <f>IFERROR(__xludf.DUMMYFUNCTION("if(H532=""Can't be Together"",iferror(join("", "",unique(filter({unique(filter('Students (Vertical)'!O:O,'Students (Vertical)'!C:C=B532,'Students (Vertical)'!O:O&lt;&gt;"""",'Students (Vertical)'!P:P&gt;1));unique(filter('Students (Vertical)'!O:O,'Students (Vertic"&amp;"al)'!C:C=E532,'Students (Vertical)'!O:O&lt;&gt;"""",'Students (Vertical)'!P:P&gt;1))},countifs({unique(filter('Students (Vertical)'!O:O,'Students (Vertical)'!C:C=B532,'Students (Vertical)'!O:O&lt;&gt;"""",'Students (Vertical)'!P:P&gt;1));unique(filter('Students (Vertical)'"&amp;"!O:O,'Students (Vertical)'!C:C=E532,'Students (Vertical)'!O:O&lt;&gt;"""",'Students (Vertical)'!P:P&gt;1))},{unique(filter('Students (Vertical)'!O:O,'Students (Vertical)'!C:C=B532,'Students (Vertical)'!O:O&lt;&gt;"""",'Students (Vertical)'!P:P&gt;1));unique(filter('Student"&amp;"s (Vertical)'!O:O,'Students (Vertical)'!C:C=E532,'Students (Vertical)'!O:O&lt;&gt;"""",'Students (Vertical)'!P:P&gt;1))})&gt;1))),""""),"""")"),"")</f>
        <v/>
      </c>
      <c r="K532" s="96" t="str">
        <f>IFERROR(__xludf.DUMMYFUNCTION("iferror(join("", "",unique(filter({filter('Students (Vertical)'!D:D,'Students (Vertical)'!C:C=B532,'Students (Vertical)'!D:D&lt;&gt;"""");filter('Students (Vertical)'!D:D,'Students (Vertical)'!C:C=E532,'Students (Vertical)'!D:D&lt;&gt;"""")},countifs({filter('Student"&amp;"s (Vertical)'!D:D,'Students (Vertical)'!C:C=B532,'Students (Vertical)'!D:D&lt;&gt;"""");filter('Students (Vertical)'!D:D,'Students (Vertical)'!C:C=E532,'Students (Vertical)'!D:D&lt;&gt;"""")},{filter('Students (Vertical)'!D:D,'Students (Vertical)'!C:C=B532,'Students "&amp;"(Vertical)'!D:D&lt;&gt;"""");filter('Students (Vertical)'!D:D,'Students (Vertical)'!C:C=E532,'Students (Vertical)'!D:D&lt;&gt;"""")})&gt;1))),"""")"),"")</f>
        <v/>
      </c>
      <c r="L532" s="96"/>
      <c r="M532" s="96"/>
    </row>
    <row r="533" hidden="1">
      <c r="A533" s="8" t="s">
        <v>8</v>
      </c>
      <c r="C533" s="8" t="s">
        <v>8</v>
      </c>
      <c r="D533" s="8" t="s">
        <v>8</v>
      </c>
      <c r="F533" s="8" t="s">
        <v>8</v>
      </c>
      <c r="G533" s="8" t="s">
        <v>8</v>
      </c>
      <c r="I533" s="94" t="str">
        <f>IFERROR(__xludf.DUMMYFUNCTION("if(H533=""Must be Together"",iferror(join("", "",unique(filter({filter('Students (Vertical)'!O:O,'Students (Vertical)'!C:C=B533,'Students (Vertical)'!O:O&lt;&gt;"""");filter('Students (Vertical)'!O:O,'Students (Vertical)'!C:C=E533,'Students (Vertical)'!O:O&lt;&gt;"""&amp;""")},countifs({filter('Students (Vertical)'!O:O,'Students (Vertical)'!C:C=B533,'Students (Vertical)'!O:O&lt;&gt;"""");filter('Students (Vertical)'!O:O,'Students (Vertical)'!C:C=E533,'Students (Vertical)'!O:O&lt;&gt;"""")},{filter('Students (Vertical)'!O:O,'Students ("&amp;"Vertical)'!C:C=B533,'Students (Vertical)'!O:O&lt;&gt;"""");filter('Students (Vertical)'!O:O,'Students (Vertical)'!C:C=E533,'Students (Vertical)'!O:O&lt;&gt;"""")})&gt;1))),""No shared courses""),"""")"),"")</f>
        <v/>
      </c>
      <c r="J533" s="94" t="str">
        <f>IFERROR(__xludf.DUMMYFUNCTION("if(H533=""Can't be Together"",iferror(join("", "",unique(filter({unique(filter('Students (Vertical)'!O:O,'Students (Vertical)'!C:C=B533,'Students (Vertical)'!O:O&lt;&gt;"""",'Students (Vertical)'!P:P&gt;1));unique(filter('Students (Vertical)'!O:O,'Students (Vertic"&amp;"al)'!C:C=E533,'Students (Vertical)'!O:O&lt;&gt;"""",'Students (Vertical)'!P:P&gt;1))},countifs({unique(filter('Students (Vertical)'!O:O,'Students (Vertical)'!C:C=B533,'Students (Vertical)'!O:O&lt;&gt;"""",'Students (Vertical)'!P:P&gt;1));unique(filter('Students (Vertical)'"&amp;"!O:O,'Students (Vertical)'!C:C=E533,'Students (Vertical)'!O:O&lt;&gt;"""",'Students (Vertical)'!P:P&gt;1))},{unique(filter('Students (Vertical)'!O:O,'Students (Vertical)'!C:C=B533,'Students (Vertical)'!O:O&lt;&gt;"""",'Students (Vertical)'!P:P&gt;1));unique(filter('Student"&amp;"s (Vertical)'!O:O,'Students (Vertical)'!C:C=E533,'Students (Vertical)'!O:O&lt;&gt;"""",'Students (Vertical)'!P:P&gt;1))})&gt;1))),""""),"""")"),"")</f>
        <v/>
      </c>
      <c r="K533" s="96" t="str">
        <f>IFERROR(__xludf.DUMMYFUNCTION("iferror(join("", "",unique(filter({filter('Students (Vertical)'!D:D,'Students (Vertical)'!C:C=B533,'Students (Vertical)'!D:D&lt;&gt;"""");filter('Students (Vertical)'!D:D,'Students (Vertical)'!C:C=E533,'Students (Vertical)'!D:D&lt;&gt;"""")},countifs({filter('Student"&amp;"s (Vertical)'!D:D,'Students (Vertical)'!C:C=B533,'Students (Vertical)'!D:D&lt;&gt;"""");filter('Students (Vertical)'!D:D,'Students (Vertical)'!C:C=E533,'Students (Vertical)'!D:D&lt;&gt;"""")},{filter('Students (Vertical)'!D:D,'Students (Vertical)'!C:C=B533,'Students "&amp;"(Vertical)'!D:D&lt;&gt;"""");filter('Students (Vertical)'!D:D,'Students (Vertical)'!C:C=E533,'Students (Vertical)'!D:D&lt;&gt;"""")})&gt;1))),"""")"),"")</f>
        <v/>
      </c>
      <c r="L533" s="96"/>
      <c r="M533" s="96"/>
    </row>
    <row r="534" hidden="1">
      <c r="A534" s="8" t="s">
        <v>8</v>
      </c>
      <c r="C534" s="8" t="s">
        <v>8</v>
      </c>
      <c r="D534" s="8" t="s">
        <v>8</v>
      </c>
      <c r="F534" s="8" t="s">
        <v>8</v>
      </c>
      <c r="G534" s="8" t="s">
        <v>8</v>
      </c>
      <c r="I534" s="94" t="str">
        <f>IFERROR(__xludf.DUMMYFUNCTION("if(H534=""Must be Together"",iferror(join("", "",unique(filter({filter('Students (Vertical)'!O:O,'Students (Vertical)'!C:C=B534,'Students (Vertical)'!O:O&lt;&gt;"""");filter('Students (Vertical)'!O:O,'Students (Vertical)'!C:C=E534,'Students (Vertical)'!O:O&lt;&gt;"""&amp;""")},countifs({filter('Students (Vertical)'!O:O,'Students (Vertical)'!C:C=B534,'Students (Vertical)'!O:O&lt;&gt;"""");filter('Students (Vertical)'!O:O,'Students (Vertical)'!C:C=E534,'Students (Vertical)'!O:O&lt;&gt;"""")},{filter('Students (Vertical)'!O:O,'Students ("&amp;"Vertical)'!C:C=B534,'Students (Vertical)'!O:O&lt;&gt;"""");filter('Students (Vertical)'!O:O,'Students (Vertical)'!C:C=E534,'Students (Vertical)'!O:O&lt;&gt;"""")})&gt;1))),""No shared courses""),"""")"),"")</f>
        <v/>
      </c>
      <c r="J534" s="94" t="str">
        <f>IFERROR(__xludf.DUMMYFUNCTION("if(H534=""Can't be Together"",iferror(join("", "",unique(filter({unique(filter('Students (Vertical)'!O:O,'Students (Vertical)'!C:C=B534,'Students (Vertical)'!O:O&lt;&gt;"""",'Students (Vertical)'!P:P&gt;1));unique(filter('Students (Vertical)'!O:O,'Students (Vertic"&amp;"al)'!C:C=E534,'Students (Vertical)'!O:O&lt;&gt;"""",'Students (Vertical)'!P:P&gt;1))},countifs({unique(filter('Students (Vertical)'!O:O,'Students (Vertical)'!C:C=B534,'Students (Vertical)'!O:O&lt;&gt;"""",'Students (Vertical)'!P:P&gt;1));unique(filter('Students (Vertical)'"&amp;"!O:O,'Students (Vertical)'!C:C=E534,'Students (Vertical)'!O:O&lt;&gt;"""",'Students (Vertical)'!P:P&gt;1))},{unique(filter('Students (Vertical)'!O:O,'Students (Vertical)'!C:C=B534,'Students (Vertical)'!O:O&lt;&gt;"""",'Students (Vertical)'!P:P&gt;1));unique(filter('Student"&amp;"s (Vertical)'!O:O,'Students (Vertical)'!C:C=E534,'Students (Vertical)'!O:O&lt;&gt;"""",'Students (Vertical)'!P:P&gt;1))})&gt;1))),""""),"""")"),"")</f>
        <v/>
      </c>
      <c r="K534" s="96" t="str">
        <f>IFERROR(__xludf.DUMMYFUNCTION("iferror(join("", "",unique(filter({filter('Students (Vertical)'!D:D,'Students (Vertical)'!C:C=B534,'Students (Vertical)'!D:D&lt;&gt;"""");filter('Students (Vertical)'!D:D,'Students (Vertical)'!C:C=E534,'Students (Vertical)'!D:D&lt;&gt;"""")},countifs({filter('Student"&amp;"s (Vertical)'!D:D,'Students (Vertical)'!C:C=B534,'Students (Vertical)'!D:D&lt;&gt;"""");filter('Students (Vertical)'!D:D,'Students (Vertical)'!C:C=E534,'Students (Vertical)'!D:D&lt;&gt;"""")},{filter('Students (Vertical)'!D:D,'Students (Vertical)'!C:C=B534,'Students "&amp;"(Vertical)'!D:D&lt;&gt;"""");filter('Students (Vertical)'!D:D,'Students (Vertical)'!C:C=E534,'Students (Vertical)'!D:D&lt;&gt;"""")})&gt;1))),"""")"),"")</f>
        <v/>
      </c>
      <c r="L534" s="96"/>
      <c r="M534" s="96"/>
    </row>
    <row r="535" hidden="1">
      <c r="A535" s="8" t="s">
        <v>8</v>
      </c>
      <c r="C535" s="8" t="s">
        <v>8</v>
      </c>
      <c r="D535" s="8" t="s">
        <v>8</v>
      </c>
      <c r="F535" s="8" t="s">
        <v>8</v>
      </c>
      <c r="G535" s="8" t="s">
        <v>8</v>
      </c>
      <c r="I535" s="94" t="str">
        <f>IFERROR(__xludf.DUMMYFUNCTION("if(H535=""Must be Together"",iferror(join("", "",unique(filter({filter('Students (Vertical)'!O:O,'Students (Vertical)'!C:C=B535,'Students (Vertical)'!O:O&lt;&gt;"""");filter('Students (Vertical)'!O:O,'Students (Vertical)'!C:C=E535,'Students (Vertical)'!O:O&lt;&gt;"""&amp;""")},countifs({filter('Students (Vertical)'!O:O,'Students (Vertical)'!C:C=B535,'Students (Vertical)'!O:O&lt;&gt;"""");filter('Students (Vertical)'!O:O,'Students (Vertical)'!C:C=E535,'Students (Vertical)'!O:O&lt;&gt;"""")},{filter('Students (Vertical)'!O:O,'Students ("&amp;"Vertical)'!C:C=B535,'Students (Vertical)'!O:O&lt;&gt;"""");filter('Students (Vertical)'!O:O,'Students (Vertical)'!C:C=E535,'Students (Vertical)'!O:O&lt;&gt;"""")})&gt;1))),""No shared courses""),"""")"),"")</f>
        <v/>
      </c>
      <c r="J535" s="94" t="str">
        <f>IFERROR(__xludf.DUMMYFUNCTION("if(H535=""Can't be Together"",iferror(join("", "",unique(filter({unique(filter('Students (Vertical)'!O:O,'Students (Vertical)'!C:C=B535,'Students (Vertical)'!O:O&lt;&gt;"""",'Students (Vertical)'!P:P&gt;1));unique(filter('Students (Vertical)'!O:O,'Students (Vertic"&amp;"al)'!C:C=E535,'Students (Vertical)'!O:O&lt;&gt;"""",'Students (Vertical)'!P:P&gt;1))},countifs({unique(filter('Students (Vertical)'!O:O,'Students (Vertical)'!C:C=B535,'Students (Vertical)'!O:O&lt;&gt;"""",'Students (Vertical)'!P:P&gt;1));unique(filter('Students (Vertical)'"&amp;"!O:O,'Students (Vertical)'!C:C=E535,'Students (Vertical)'!O:O&lt;&gt;"""",'Students (Vertical)'!P:P&gt;1))},{unique(filter('Students (Vertical)'!O:O,'Students (Vertical)'!C:C=B535,'Students (Vertical)'!O:O&lt;&gt;"""",'Students (Vertical)'!P:P&gt;1));unique(filter('Student"&amp;"s (Vertical)'!O:O,'Students (Vertical)'!C:C=E535,'Students (Vertical)'!O:O&lt;&gt;"""",'Students (Vertical)'!P:P&gt;1))})&gt;1))),""""),"""")"),"")</f>
        <v/>
      </c>
      <c r="K535" s="96" t="str">
        <f>IFERROR(__xludf.DUMMYFUNCTION("iferror(join("", "",unique(filter({filter('Students (Vertical)'!D:D,'Students (Vertical)'!C:C=B535,'Students (Vertical)'!D:D&lt;&gt;"""");filter('Students (Vertical)'!D:D,'Students (Vertical)'!C:C=E535,'Students (Vertical)'!D:D&lt;&gt;"""")},countifs({filter('Student"&amp;"s (Vertical)'!D:D,'Students (Vertical)'!C:C=B535,'Students (Vertical)'!D:D&lt;&gt;"""");filter('Students (Vertical)'!D:D,'Students (Vertical)'!C:C=E535,'Students (Vertical)'!D:D&lt;&gt;"""")},{filter('Students (Vertical)'!D:D,'Students (Vertical)'!C:C=B535,'Students "&amp;"(Vertical)'!D:D&lt;&gt;"""");filter('Students (Vertical)'!D:D,'Students (Vertical)'!C:C=E535,'Students (Vertical)'!D:D&lt;&gt;"""")})&gt;1))),"""")"),"")</f>
        <v/>
      </c>
      <c r="L535" s="96"/>
      <c r="M535" s="96"/>
    </row>
    <row r="536" hidden="1">
      <c r="A536" s="8" t="s">
        <v>8</v>
      </c>
      <c r="C536" s="8" t="s">
        <v>8</v>
      </c>
      <c r="D536" s="8" t="s">
        <v>8</v>
      </c>
      <c r="F536" s="8" t="s">
        <v>8</v>
      </c>
      <c r="G536" s="8" t="s">
        <v>8</v>
      </c>
      <c r="I536" s="94" t="str">
        <f>IFERROR(__xludf.DUMMYFUNCTION("if(H536=""Must be Together"",iferror(join("", "",unique(filter({filter('Students (Vertical)'!O:O,'Students (Vertical)'!C:C=B536,'Students (Vertical)'!O:O&lt;&gt;"""");filter('Students (Vertical)'!O:O,'Students (Vertical)'!C:C=E536,'Students (Vertical)'!O:O&lt;&gt;"""&amp;""")},countifs({filter('Students (Vertical)'!O:O,'Students (Vertical)'!C:C=B536,'Students (Vertical)'!O:O&lt;&gt;"""");filter('Students (Vertical)'!O:O,'Students (Vertical)'!C:C=E536,'Students (Vertical)'!O:O&lt;&gt;"""")},{filter('Students (Vertical)'!O:O,'Students ("&amp;"Vertical)'!C:C=B536,'Students (Vertical)'!O:O&lt;&gt;"""");filter('Students (Vertical)'!O:O,'Students (Vertical)'!C:C=E536,'Students (Vertical)'!O:O&lt;&gt;"""")})&gt;1))),""No shared courses""),"""")"),"")</f>
        <v/>
      </c>
      <c r="J536" s="94" t="str">
        <f>IFERROR(__xludf.DUMMYFUNCTION("if(H536=""Can't be Together"",iferror(join("", "",unique(filter({unique(filter('Students (Vertical)'!O:O,'Students (Vertical)'!C:C=B536,'Students (Vertical)'!O:O&lt;&gt;"""",'Students (Vertical)'!P:P&gt;1));unique(filter('Students (Vertical)'!O:O,'Students (Vertic"&amp;"al)'!C:C=E536,'Students (Vertical)'!O:O&lt;&gt;"""",'Students (Vertical)'!P:P&gt;1))},countifs({unique(filter('Students (Vertical)'!O:O,'Students (Vertical)'!C:C=B536,'Students (Vertical)'!O:O&lt;&gt;"""",'Students (Vertical)'!P:P&gt;1));unique(filter('Students (Vertical)'"&amp;"!O:O,'Students (Vertical)'!C:C=E536,'Students (Vertical)'!O:O&lt;&gt;"""",'Students (Vertical)'!P:P&gt;1))},{unique(filter('Students (Vertical)'!O:O,'Students (Vertical)'!C:C=B536,'Students (Vertical)'!O:O&lt;&gt;"""",'Students (Vertical)'!P:P&gt;1));unique(filter('Student"&amp;"s (Vertical)'!O:O,'Students (Vertical)'!C:C=E536,'Students (Vertical)'!O:O&lt;&gt;"""",'Students (Vertical)'!P:P&gt;1))})&gt;1))),""""),"""")"),"")</f>
        <v/>
      </c>
      <c r="K536" s="96" t="str">
        <f>IFERROR(__xludf.DUMMYFUNCTION("iferror(join("", "",unique(filter({filter('Students (Vertical)'!D:D,'Students (Vertical)'!C:C=B536,'Students (Vertical)'!D:D&lt;&gt;"""");filter('Students (Vertical)'!D:D,'Students (Vertical)'!C:C=E536,'Students (Vertical)'!D:D&lt;&gt;"""")},countifs({filter('Student"&amp;"s (Vertical)'!D:D,'Students (Vertical)'!C:C=B536,'Students (Vertical)'!D:D&lt;&gt;"""");filter('Students (Vertical)'!D:D,'Students (Vertical)'!C:C=E536,'Students (Vertical)'!D:D&lt;&gt;"""")},{filter('Students (Vertical)'!D:D,'Students (Vertical)'!C:C=B536,'Students "&amp;"(Vertical)'!D:D&lt;&gt;"""");filter('Students (Vertical)'!D:D,'Students (Vertical)'!C:C=E536,'Students (Vertical)'!D:D&lt;&gt;"""")})&gt;1))),"""")"),"")</f>
        <v/>
      </c>
      <c r="L536" s="96"/>
      <c r="M536" s="96"/>
    </row>
    <row r="537" hidden="1">
      <c r="A537" s="8" t="s">
        <v>8</v>
      </c>
      <c r="C537" s="8" t="s">
        <v>8</v>
      </c>
      <c r="D537" s="8" t="s">
        <v>8</v>
      </c>
      <c r="F537" s="8" t="s">
        <v>8</v>
      </c>
      <c r="G537" s="8" t="s">
        <v>8</v>
      </c>
      <c r="I537" s="94" t="str">
        <f>IFERROR(__xludf.DUMMYFUNCTION("if(H537=""Must be Together"",iferror(join("", "",unique(filter({filter('Students (Vertical)'!O:O,'Students (Vertical)'!C:C=B537,'Students (Vertical)'!O:O&lt;&gt;"""");filter('Students (Vertical)'!O:O,'Students (Vertical)'!C:C=E537,'Students (Vertical)'!O:O&lt;&gt;"""&amp;""")},countifs({filter('Students (Vertical)'!O:O,'Students (Vertical)'!C:C=B537,'Students (Vertical)'!O:O&lt;&gt;"""");filter('Students (Vertical)'!O:O,'Students (Vertical)'!C:C=E537,'Students (Vertical)'!O:O&lt;&gt;"""")},{filter('Students (Vertical)'!O:O,'Students ("&amp;"Vertical)'!C:C=B537,'Students (Vertical)'!O:O&lt;&gt;"""");filter('Students (Vertical)'!O:O,'Students (Vertical)'!C:C=E537,'Students (Vertical)'!O:O&lt;&gt;"""")})&gt;1))),""No shared courses""),"""")"),"")</f>
        <v/>
      </c>
      <c r="J537" s="94" t="str">
        <f>IFERROR(__xludf.DUMMYFUNCTION("if(H537=""Can't be Together"",iferror(join("", "",unique(filter({unique(filter('Students (Vertical)'!O:O,'Students (Vertical)'!C:C=B537,'Students (Vertical)'!O:O&lt;&gt;"""",'Students (Vertical)'!P:P&gt;1));unique(filter('Students (Vertical)'!O:O,'Students (Vertic"&amp;"al)'!C:C=E537,'Students (Vertical)'!O:O&lt;&gt;"""",'Students (Vertical)'!P:P&gt;1))},countifs({unique(filter('Students (Vertical)'!O:O,'Students (Vertical)'!C:C=B537,'Students (Vertical)'!O:O&lt;&gt;"""",'Students (Vertical)'!P:P&gt;1));unique(filter('Students (Vertical)'"&amp;"!O:O,'Students (Vertical)'!C:C=E537,'Students (Vertical)'!O:O&lt;&gt;"""",'Students (Vertical)'!P:P&gt;1))},{unique(filter('Students (Vertical)'!O:O,'Students (Vertical)'!C:C=B537,'Students (Vertical)'!O:O&lt;&gt;"""",'Students (Vertical)'!P:P&gt;1));unique(filter('Student"&amp;"s (Vertical)'!O:O,'Students (Vertical)'!C:C=E537,'Students (Vertical)'!O:O&lt;&gt;"""",'Students (Vertical)'!P:P&gt;1))})&gt;1))),""""),"""")"),"")</f>
        <v/>
      </c>
      <c r="K537" s="96" t="str">
        <f>IFERROR(__xludf.DUMMYFUNCTION("iferror(join("", "",unique(filter({filter('Students (Vertical)'!D:D,'Students (Vertical)'!C:C=B537,'Students (Vertical)'!D:D&lt;&gt;"""");filter('Students (Vertical)'!D:D,'Students (Vertical)'!C:C=E537,'Students (Vertical)'!D:D&lt;&gt;"""")},countifs({filter('Student"&amp;"s (Vertical)'!D:D,'Students (Vertical)'!C:C=B537,'Students (Vertical)'!D:D&lt;&gt;"""");filter('Students (Vertical)'!D:D,'Students (Vertical)'!C:C=E537,'Students (Vertical)'!D:D&lt;&gt;"""")},{filter('Students (Vertical)'!D:D,'Students (Vertical)'!C:C=B537,'Students "&amp;"(Vertical)'!D:D&lt;&gt;"""");filter('Students (Vertical)'!D:D,'Students (Vertical)'!C:C=E537,'Students (Vertical)'!D:D&lt;&gt;"""")})&gt;1))),"""")"),"")</f>
        <v/>
      </c>
      <c r="L537" s="96"/>
      <c r="M537" s="96"/>
    </row>
    <row r="538" hidden="1">
      <c r="A538" s="8" t="s">
        <v>8</v>
      </c>
      <c r="C538" s="8" t="s">
        <v>8</v>
      </c>
      <c r="D538" s="8" t="s">
        <v>8</v>
      </c>
      <c r="F538" s="8" t="s">
        <v>8</v>
      </c>
      <c r="G538" s="8" t="s">
        <v>8</v>
      </c>
      <c r="I538" s="94" t="str">
        <f>IFERROR(__xludf.DUMMYFUNCTION("if(H538=""Must be Together"",iferror(join("", "",unique(filter({filter('Students (Vertical)'!O:O,'Students (Vertical)'!C:C=B538,'Students (Vertical)'!O:O&lt;&gt;"""");filter('Students (Vertical)'!O:O,'Students (Vertical)'!C:C=E538,'Students (Vertical)'!O:O&lt;&gt;"""&amp;""")},countifs({filter('Students (Vertical)'!O:O,'Students (Vertical)'!C:C=B538,'Students (Vertical)'!O:O&lt;&gt;"""");filter('Students (Vertical)'!O:O,'Students (Vertical)'!C:C=E538,'Students (Vertical)'!O:O&lt;&gt;"""")},{filter('Students (Vertical)'!O:O,'Students ("&amp;"Vertical)'!C:C=B538,'Students (Vertical)'!O:O&lt;&gt;"""");filter('Students (Vertical)'!O:O,'Students (Vertical)'!C:C=E538,'Students (Vertical)'!O:O&lt;&gt;"""")})&gt;1))),""No shared courses""),"""")"),"")</f>
        <v/>
      </c>
      <c r="J538" s="94" t="str">
        <f>IFERROR(__xludf.DUMMYFUNCTION("if(H538=""Can't be Together"",iferror(join("", "",unique(filter({unique(filter('Students (Vertical)'!O:O,'Students (Vertical)'!C:C=B538,'Students (Vertical)'!O:O&lt;&gt;"""",'Students (Vertical)'!P:P&gt;1));unique(filter('Students (Vertical)'!O:O,'Students (Vertic"&amp;"al)'!C:C=E538,'Students (Vertical)'!O:O&lt;&gt;"""",'Students (Vertical)'!P:P&gt;1))},countifs({unique(filter('Students (Vertical)'!O:O,'Students (Vertical)'!C:C=B538,'Students (Vertical)'!O:O&lt;&gt;"""",'Students (Vertical)'!P:P&gt;1));unique(filter('Students (Vertical)'"&amp;"!O:O,'Students (Vertical)'!C:C=E538,'Students (Vertical)'!O:O&lt;&gt;"""",'Students (Vertical)'!P:P&gt;1))},{unique(filter('Students (Vertical)'!O:O,'Students (Vertical)'!C:C=B538,'Students (Vertical)'!O:O&lt;&gt;"""",'Students (Vertical)'!P:P&gt;1));unique(filter('Student"&amp;"s (Vertical)'!O:O,'Students (Vertical)'!C:C=E538,'Students (Vertical)'!O:O&lt;&gt;"""",'Students (Vertical)'!P:P&gt;1))})&gt;1))),""""),"""")"),"")</f>
        <v/>
      </c>
      <c r="K538" s="96" t="str">
        <f>IFERROR(__xludf.DUMMYFUNCTION("iferror(join("", "",unique(filter({filter('Students (Vertical)'!D:D,'Students (Vertical)'!C:C=B538,'Students (Vertical)'!D:D&lt;&gt;"""");filter('Students (Vertical)'!D:D,'Students (Vertical)'!C:C=E538,'Students (Vertical)'!D:D&lt;&gt;"""")},countifs({filter('Student"&amp;"s (Vertical)'!D:D,'Students (Vertical)'!C:C=B538,'Students (Vertical)'!D:D&lt;&gt;"""");filter('Students (Vertical)'!D:D,'Students (Vertical)'!C:C=E538,'Students (Vertical)'!D:D&lt;&gt;"""")},{filter('Students (Vertical)'!D:D,'Students (Vertical)'!C:C=B538,'Students "&amp;"(Vertical)'!D:D&lt;&gt;"""");filter('Students (Vertical)'!D:D,'Students (Vertical)'!C:C=E538,'Students (Vertical)'!D:D&lt;&gt;"""")})&gt;1))),"""")"),"")</f>
        <v/>
      </c>
      <c r="L538" s="96"/>
      <c r="M538" s="96"/>
    </row>
    <row r="539" hidden="1">
      <c r="A539" s="8" t="s">
        <v>8</v>
      </c>
      <c r="C539" s="8" t="s">
        <v>8</v>
      </c>
      <c r="D539" s="8" t="s">
        <v>8</v>
      </c>
      <c r="F539" s="8" t="s">
        <v>8</v>
      </c>
      <c r="G539" s="8" t="s">
        <v>8</v>
      </c>
      <c r="I539" s="94" t="str">
        <f>IFERROR(__xludf.DUMMYFUNCTION("if(H539=""Must be Together"",iferror(join("", "",unique(filter({filter('Students (Vertical)'!O:O,'Students (Vertical)'!C:C=B539,'Students (Vertical)'!O:O&lt;&gt;"""");filter('Students (Vertical)'!O:O,'Students (Vertical)'!C:C=E539,'Students (Vertical)'!O:O&lt;&gt;"""&amp;""")},countifs({filter('Students (Vertical)'!O:O,'Students (Vertical)'!C:C=B539,'Students (Vertical)'!O:O&lt;&gt;"""");filter('Students (Vertical)'!O:O,'Students (Vertical)'!C:C=E539,'Students (Vertical)'!O:O&lt;&gt;"""")},{filter('Students (Vertical)'!O:O,'Students ("&amp;"Vertical)'!C:C=B539,'Students (Vertical)'!O:O&lt;&gt;"""");filter('Students (Vertical)'!O:O,'Students (Vertical)'!C:C=E539,'Students (Vertical)'!O:O&lt;&gt;"""")})&gt;1))),""No shared courses""),"""")"),"")</f>
        <v/>
      </c>
      <c r="J539" s="94" t="str">
        <f>IFERROR(__xludf.DUMMYFUNCTION("if(H539=""Can't be Together"",iferror(join("", "",unique(filter({unique(filter('Students (Vertical)'!O:O,'Students (Vertical)'!C:C=B539,'Students (Vertical)'!O:O&lt;&gt;"""",'Students (Vertical)'!P:P&gt;1));unique(filter('Students (Vertical)'!O:O,'Students (Vertic"&amp;"al)'!C:C=E539,'Students (Vertical)'!O:O&lt;&gt;"""",'Students (Vertical)'!P:P&gt;1))},countifs({unique(filter('Students (Vertical)'!O:O,'Students (Vertical)'!C:C=B539,'Students (Vertical)'!O:O&lt;&gt;"""",'Students (Vertical)'!P:P&gt;1));unique(filter('Students (Vertical)'"&amp;"!O:O,'Students (Vertical)'!C:C=E539,'Students (Vertical)'!O:O&lt;&gt;"""",'Students (Vertical)'!P:P&gt;1))},{unique(filter('Students (Vertical)'!O:O,'Students (Vertical)'!C:C=B539,'Students (Vertical)'!O:O&lt;&gt;"""",'Students (Vertical)'!P:P&gt;1));unique(filter('Student"&amp;"s (Vertical)'!O:O,'Students (Vertical)'!C:C=E539,'Students (Vertical)'!O:O&lt;&gt;"""",'Students (Vertical)'!P:P&gt;1))})&gt;1))),""""),"""")"),"")</f>
        <v/>
      </c>
      <c r="K539" s="96" t="str">
        <f>IFERROR(__xludf.DUMMYFUNCTION("iferror(join("", "",unique(filter({filter('Students (Vertical)'!D:D,'Students (Vertical)'!C:C=B539,'Students (Vertical)'!D:D&lt;&gt;"""");filter('Students (Vertical)'!D:D,'Students (Vertical)'!C:C=E539,'Students (Vertical)'!D:D&lt;&gt;"""")},countifs({filter('Student"&amp;"s (Vertical)'!D:D,'Students (Vertical)'!C:C=B539,'Students (Vertical)'!D:D&lt;&gt;"""");filter('Students (Vertical)'!D:D,'Students (Vertical)'!C:C=E539,'Students (Vertical)'!D:D&lt;&gt;"""")},{filter('Students (Vertical)'!D:D,'Students (Vertical)'!C:C=B539,'Students "&amp;"(Vertical)'!D:D&lt;&gt;"""");filter('Students (Vertical)'!D:D,'Students (Vertical)'!C:C=E539,'Students (Vertical)'!D:D&lt;&gt;"""")})&gt;1))),"""")"),"")</f>
        <v/>
      </c>
      <c r="L539" s="96"/>
      <c r="M539" s="96"/>
    </row>
    <row r="540" hidden="1">
      <c r="A540" s="8" t="s">
        <v>8</v>
      </c>
      <c r="C540" s="8" t="s">
        <v>8</v>
      </c>
      <c r="D540" s="8" t="s">
        <v>8</v>
      </c>
      <c r="F540" s="8" t="s">
        <v>8</v>
      </c>
      <c r="G540" s="8" t="s">
        <v>8</v>
      </c>
      <c r="I540" s="94" t="str">
        <f>IFERROR(__xludf.DUMMYFUNCTION("if(H540=""Must be Together"",iferror(join("", "",unique(filter({filter('Students (Vertical)'!O:O,'Students (Vertical)'!C:C=B540,'Students (Vertical)'!O:O&lt;&gt;"""");filter('Students (Vertical)'!O:O,'Students (Vertical)'!C:C=E540,'Students (Vertical)'!O:O&lt;&gt;"""&amp;""")},countifs({filter('Students (Vertical)'!O:O,'Students (Vertical)'!C:C=B540,'Students (Vertical)'!O:O&lt;&gt;"""");filter('Students (Vertical)'!O:O,'Students (Vertical)'!C:C=E540,'Students (Vertical)'!O:O&lt;&gt;"""")},{filter('Students (Vertical)'!O:O,'Students ("&amp;"Vertical)'!C:C=B540,'Students (Vertical)'!O:O&lt;&gt;"""");filter('Students (Vertical)'!O:O,'Students (Vertical)'!C:C=E540,'Students (Vertical)'!O:O&lt;&gt;"""")})&gt;1))),""No shared courses""),"""")"),"")</f>
        <v/>
      </c>
      <c r="J540" s="94" t="str">
        <f>IFERROR(__xludf.DUMMYFUNCTION("if(H540=""Can't be Together"",iferror(join("", "",unique(filter({unique(filter('Students (Vertical)'!O:O,'Students (Vertical)'!C:C=B540,'Students (Vertical)'!O:O&lt;&gt;"""",'Students (Vertical)'!P:P&gt;1));unique(filter('Students (Vertical)'!O:O,'Students (Vertic"&amp;"al)'!C:C=E540,'Students (Vertical)'!O:O&lt;&gt;"""",'Students (Vertical)'!P:P&gt;1))},countifs({unique(filter('Students (Vertical)'!O:O,'Students (Vertical)'!C:C=B540,'Students (Vertical)'!O:O&lt;&gt;"""",'Students (Vertical)'!P:P&gt;1));unique(filter('Students (Vertical)'"&amp;"!O:O,'Students (Vertical)'!C:C=E540,'Students (Vertical)'!O:O&lt;&gt;"""",'Students (Vertical)'!P:P&gt;1))},{unique(filter('Students (Vertical)'!O:O,'Students (Vertical)'!C:C=B540,'Students (Vertical)'!O:O&lt;&gt;"""",'Students (Vertical)'!P:P&gt;1));unique(filter('Student"&amp;"s (Vertical)'!O:O,'Students (Vertical)'!C:C=E540,'Students (Vertical)'!O:O&lt;&gt;"""",'Students (Vertical)'!P:P&gt;1))})&gt;1))),""""),"""")"),"")</f>
        <v/>
      </c>
      <c r="K540" s="96" t="str">
        <f>IFERROR(__xludf.DUMMYFUNCTION("iferror(join("", "",unique(filter({filter('Students (Vertical)'!D:D,'Students (Vertical)'!C:C=B540,'Students (Vertical)'!D:D&lt;&gt;"""");filter('Students (Vertical)'!D:D,'Students (Vertical)'!C:C=E540,'Students (Vertical)'!D:D&lt;&gt;"""")},countifs({filter('Student"&amp;"s (Vertical)'!D:D,'Students (Vertical)'!C:C=B540,'Students (Vertical)'!D:D&lt;&gt;"""");filter('Students (Vertical)'!D:D,'Students (Vertical)'!C:C=E540,'Students (Vertical)'!D:D&lt;&gt;"""")},{filter('Students (Vertical)'!D:D,'Students (Vertical)'!C:C=B540,'Students "&amp;"(Vertical)'!D:D&lt;&gt;"""");filter('Students (Vertical)'!D:D,'Students (Vertical)'!C:C=E540,'Students (Vertical)'!D:D&lt;&gt;"""")})&gt;1))),"""")"),"")</f>
        <v/>
      </c>
      <c r="L540" s="96"/>
      <c r="M540" s="96"/>
    </row>
    <row r="541" hidden="1">
      <c r="A541" s="8" t="s">
        <v>8</v>
      </c>
      <c r="C541" s="8" t="s">
        <v>8</v>
      </c>
      <c r="D541" s="8" t="s">
        <v>8</v>
      </c>
      <c r="F541" s="8" t="s">
        <v>8</v>
      </c>
      <c r="G541" s="8" t="s">
        <v>8</v>
      </c>
      <c r="I541" s="94" t="str">
        <f>IFERROR(__xludf.DUMMYFUNCTION("if(H541=""Must be Together"",iferror(join("", "",unique(filter({filter('Students (Vertical)'!O:O,'Students (Vertical)'!C:C=B541,'Students (Vertical)'!O:O&lt;&gt;"""");filter('Students (Vertical)'!O:O,'Students (Vertical)'!C:C=E541,'Students (Vertical)'!O:O&lt;&gt;"""&amp;""")},countifs({filter('Students (Vertical)'!O:O,'Students (Vertical)'!C:C=B541,'Students (Vertical)'!O:O&lt;&gt;"""");filter('Students (Vertical)'!O:O,'Students (Vertical)'!C:C=E541,'Students (Vertical)'!O:O&lt;&gt;"""")},{filter('Students (Vertical)'!O:O,'Students ("&amp;"Vertical)'!C:C=B541,'Students (Vertical)'!O:O&lt;&gt;"""");filter('Students (Vertical)'!O:O,'Students (Vertical)'!C:C=E541,'Students (Vertical)'!O:O&lt;&gt;"""")})&gt;1))),""No shared courses""),"""")"),"")</f>
        <v/>
      </c>
      <c r="J541" s="94" t="str">
        <f>IFERROR(__xludf.DUMMYFUNCTION("if(H541=""Can't be Together"",iferror(join("", "",unique(filter({unique(filter('Students (Vertical)'!O:O,'Students (Vertical)'!C:C=B541,'Students (Vertical)'!O:O&lt;&gt;"""",'Students (Vertical)'!P:P&gt;1));unique(filter('Students (Vertical)'!O:O,'Students (Vertic"&amp;"al)'!C:C=E541,'Students (Vertical)'!O:O&lt;&gt;"""",'Students (Vertical)'!P:P&gt;1))},countifs({unique(filter('Students (Vertical)'!O:O,'Students (Vertical)'!C:C=B541,'Students (Vertical)'!O:O&lt;&gt;"""",'Students (Vertical)'!P:P&gt;1));unique(filter('Students (Vertical)'"&amp;"!O:O,'Students (Vertical)'!C:C=E541,'Students (Vertical)'!O:O&lt;&gt;"""",'Students (Vertical)'!P:P&gt;1))},{unique(filter('Students (Vertical)'!O:O,'Students (Vertical)'!C:C=B541,'Students (Vertical)'!O:O&lt;&gt;"""",'Students (Vertical)'!P:P&gt;1));unique(filter('Student"&amp;"s (Vertical)'!O:O,'Students (Vertical)'!C:C=E541,'Students (Vertical)'!O:O&lt;&gt;"""",'Students (Vertical)'!P:P&gt;1))})&gt;1))),""""),"""")"),"")</f>
        <v/>
      </c>
      <c r="K541" s="96" t="str">
        <f>IFERROR(__xludf.DUMMYFUNCTION("iferror(join("", "",unique(filter({filter('Students (Vertical)'!D:D,'Students (Vertical)'!C:C=B541,'Students (Vertical)'!D:D&lt;&gt;"""");filter('Students (Vertical)'!D:D,'Students (Vertical)'!C:C=E541,'Students (Vertical)'!D:D&lt;&gt;"""")},countifs({filter('Student"&amp;"s (Vertical)'!D:D,'Students (Vertical)'!C:C=B541,'Students (Vertical)'!D:D&lt;&gt;"""");filter('Students (Vertical)'!D:D,'Students (Vertical)'!C:C=E541,'Students (Vertical)'!D:D&lt;&gt;"""")},{filter('Students (Vertical)'!D:D,'Students (Vertical)'!C:C=B541,'Students "&amp;"(Vertical)'!D:D&lt;&gt;"""");filter('Students (Vertical)'!D:D,'Students (Vertical)'!C:C=E541,'Students (Vertical)'!D:D&lt;&gt;"""")})&gt;1))),"""")"),"")</f>
        <v/>
      </c>
      <c r="L541" s="96"/>
      <c r="M541" s="96"/>
    </row>
    <row r="542" hidden="1">
      <c r="A542" s="8" t="s">
        <v>8</v>
      </c>
      <c r="C542" s="8" t="s">
        <v>8</v>
      </c>
      <c r="D542" s="8" t="s">
        <v>8</v>
      </c>
      <c r="F542" s="8" t="s">
        <v>8</v>
      </c>
      <c r="G542" s="8" t="s">
        <v>8</v>
      </c>
      <c r="I542" s="94" t="str">
        <f>IFERROR(__xludf.DUMMYFUNCTION("if(H542=""Must be Together"",iferror(join("", "",unique(filter({filter('Students (Vertical)'!O:O,'Students (Vertical)'!C:C=B542,'Students (Vertical)'!O:O&lt;&gt;"""");filter('Students (Vertical)'!O:O,'Students (Vertical)'!C:C=E542,'Students (Vertical)'!O:O&lt;&gt;"""&amp;""")},countifs({filter('Students (Vertical)'!O:O,'Students (Vertical)'!C:C=B542,'Students (Vertical)'!O:O&lt;&gt;"""");filter('Students (Vertical)'!O:O,'Students (Vertical)'!C:C=E542,'Students (Vertical)'!O:O&lt;&gt;"""")},{filter('Students (Vertical)'!O:O,'Students ("&amp;"Vertical)'!C:C=B542,'Students (Vertical)'!O:O&lt;&gt;"""");filter('Students (Vertical)'!O:O,'Students (Vertical)'!C:C=E542,'Students (Vertical)'!O:O&lt;&gt;"""")})&gt;1))),""No shared courses""),"""")"),"")</f>
        <v/>
      </c>
      <c r="J542" s="94" t="str">
        <f>IFERROR(__xludf.DUMMYFUNCTION("if(H542=""Can't be Together"",iferror(join("", "",unique(filter({unique(filter('Students (Vertical)'!O:O,'Students (Vertical)'!C:C=B542,'Students (Vertical)'!O:O&lt;&gt;"""",'Students (Vertical)'!P:P&gt;1));unique(filter('Students (Vertical)'!O:O,'Students (Vertic"&amp;"al)'!C:C=E542,'Students (Vertical)'!O:O&lt;&gt;"""",'Students (Vertical)'!P:P&gt;1))},countifs({unique(filter('Students (Vertical)'!O:O,'Students (Vertical)'!C:C=B542,'Students (Vertical)'!O:O&lt;&gt;"""",'Students (Vertical)'!P:P&gt;1));unique(filter('Students (Vertical)'"&amp;"!O:O,'Students (Vertical)'!C:C=E542,'Students (Vertical)'!O:O&lt;&gt;"""",'Students (Vertical)'!P:P&gt;1))},{unique(filter('Students (Vertical)'!O:O,'Students (Vertical)'!C:C=B542,'Students (Vertical)'!O:O&lt;&gt;"""",'Students (Vertical)'!P:P&gt;1));unique(filter('Student"&amp;"s (Vertical)'!O:O,'Students (Vertical)'!C:C=E542,'Students (Vertical)'!O:O&lt;&gt;"""",'Students (Vertical)'!P:P&gt;1))})&gt;1))),""""),"""")"),"")</f>
        <v/>
      </c>
      <c r="K542" s="96" t="str">
        <f>IFERROR(__xludf.DUMMYFUNCTION("iferror(join("", "",unique(filter({filter('Students (Vertical)'!D:D,'Students (Vertical)'!C:C=B542,'Students (Vertical)'!D:D&lt;&gt;"""");filter('Students (Vertical)'!D:D,'Students (Vertical)'!C:C=E542,'Students (Vertical)'!D:D&lt;&gt;"""")},countifs({filter('Student"&amp;"s (Vertical)'!D:D,'Students (Vertical)'!C:C=B542,'Students (Vertical)'!D:D&lt;&gt;"""");filter('Students (Vertical)'!D:D,'Students (Vertical)'!C:C=E542,'Students (Vertical)'!D:D&lt;&gt;"""")},{filter('Students (Vertical)'!D:D,'Students (Vertical)'!C:C=B542,'Students "&amp;"(Vertical)'!D:D&lt;&gt;"""");filter('Students (Vertical)'!D:D,'Students (Vertical)'!C:C=E542,'Students (Vertical)'!D:D&lt;&gt;"""")})&gt;1))),"""")"),"")</f>
        <v/>
      </c>
      <c r="L542" s="96"/>
      <c r="M542" s="96"/>
    </row>
    <row r="543" hidden="1">
      <c r="A543" s="8" t="s">
        <v>8</v>
      </c>
      <c r="C543" s="8" t="s">
        <v>8</v>
      </c>
      <c r="D543" s="8" t="s">
        <v>8</v>
      </c>
      <c r="F543" s="8" t="s">
        <v>8</v>
      </c>
      <c r="G543" s="8" t="s">
        <v>8</v>
      </c>
      <c r="I543" s="94" t="str">
        <f>IFERROR(__xludf.DUMMYFUNCTION("if(H543=""Must be Together"",iferror(join("", "",unique(filter({filter('Students (Vertical)'!O:O,'Students (Vertical)'!C:C=B543,'Students (Vertical)'!O:O&lt;&gt;"""");filter('Students (Vertical)'!O:O,'Students (Vertical)'!C:C=E543,'Students (Vertical)'!O:O&lt;&gt;"""&amp;""")},countifs({filter('Students (Vertical)'!O:O,'Students (Vertical)'!C:C=B543,'Students (Vertical)'!O:O&lt;&gt;"""");filter('Students (Vertical)'!O:O,'Students (Vertical)'!C:C=E543,'Students (Vertical)'!O:O&lt;&gt;"""")},{filter('Students (Vertical)'!O:O,'Students ("&amp;"Vertical)'!C:C=B543,'Students (Vertical)'!O:O&lt;&gt;"""");filter('Students (Vertical)'!O:O,'Students (Vertical)'!C:C=E543,'Students (Vertical)'!O:O&lt;&gt;"""")})&gt;1))),""No shared courses""),"""")"),"")</f>
        <v/>
      </c>
      <c r="J543" s="94" t="str">
        <f>IFERROR(__xludf.DUMMYFUNCTION("if(H543=""Can't be Together"",iferror(join("", "",unique(filter({unique(filter('Students (Vertical)'!O:O,'Students (Vertical)'!C:C=B543,'Students (Vertical)'!O:O&lt;&gt;"""",'Students (Vertical)'!P:P&gt;1));unique(filter('Students (Vertical)'!O:O,'Students (Vertic"&amp;"al)'!C:C=E543,'Students (Vertical)'!O:O&lt;&gt;"""",'Students (Vertical)'!P:P&gt;1))},countifs({unique(filter('Students (Vertical)'!O:O,'Students (Vertical)'!C:C=B543,'Students (Vertical)'!O:O&lt;&gt;"""",'Students (Vertical)'!P:P&gt;1));unique(filter('Students (Vertical)'"&amp;"!O:O,'Students (Vertical)'!C:C=E543,'Students (Vertical)'!O:O&lt;&gt;"""",'Students (Vertical)'!P:P&gt;1))},{unique(filter('Students (Vertical)'!O:O,'Students (Vertical)'!C:C=B543,'Students (Vertical)'!O:O&lt;&gt;"""",'Students (Vertical)'!P:P&gt;1));unique(filter('Student"&amp;"s (Vertical)'!O:O,'Students (Vertical)'!C:C=E543,'Students (Vertical)'!O:O&lt;&gt;"""",'Students (Vertical)'!P:P&gt;1))})&gt;1))),""""),"""")"),"")</f>
        <v/>
      </c>
      <c r="K543" s="96" t="str">
        <f>IFERROR(__xludf.DUMMYFUNCTION("iferror(join("", "",unique(filter({filter('Students (Vertical)'!D:D,'Students (Vertical)'!C:C=B543,'Students (Vertical)'!D:D&lt;&gt;"""");filter('Students (Vertical)'!D:D,'Students (Vertical)'!C:C=E543,'Students (Vertical)'!D:D&lt;&gt;"""")},countifs({filter('Student"&amp;"s (Vertical)'!D:D,'Students (Vertical)'!C:C=B543,'Students (Vertical)'!D:D&lt;&gt;"""");filter('Students (Vertical)'!D:D,'Students (Vertical)'!C:C=E543,'Students (Vertical)'!D:D&lt;&gt;"""")},{filter('Students (Vertical)'!D:D,'Students (Vertical)'!C:C=B543,'Students "&amp;"(Vertical)'!D:D&lt;&gt;"""");filter('Students (Vertical)'!D:D,'Students (Vertical)'!C:C=E543,'Students (Vertical)'!D:D&lt;&gt;"""")})&gt;1))),"""")"),"")</f>
        <v/>
      </c>
      <c r="L543" s="96"/>
      <c r="M543" s="96"/>
    </row>
    <row r="544" hidden="1">
      <c r="A544" s="8" t="s">
        <v>8</v>
      </c>
      <c r="C544" s="8" t="s">
        <v>8</v>
      </c>
      <c r="D544" s="8" t="s">
        <v>8</v>
      </c>
      <c r="F544" s="8" t="s">
        <v>8</v>
      </c>
      <c r="G544" s="8" t="s">
        <v>8</v>
      </c>
      <c r="I544" s="94" t="str">
        <f>IFERROR(__xludf.DUMMYFUNCTION("if(H544=""Must be Together"",iferror(join("", "",unique(filter({filter('Students (Vertical)'!O:O,'Students (Vertical)'!C:C=B544,'Students (Vertical)'!O:O&lt;&gt;"""");filter('Students (Vertical)'!O:O,'Students (Vertical)'!C:C=E544,'Students (Vertical)'!O:O&lt;&gt;"""&amp;""")},countifs({filter('Students (Vertical)'!O:O,'Students (Vertical)'!C:C=B544,'Students (Vertical)'!O:O&lt;&gt;"""");filter('Students (Vertical)'!O:O,'Students (Vertical)'!C:C=E544,'Students (Vertical)'!O:O&lt;&gt;"""")},{filter('Students (Vertical)'!O:O,'Students ("&amp;"Vertical)'!C:C=B544,'Students (Vertical)'!O:O&lt;&gt;"""");filter('Students (Vertical)'!O:O,'Students (Vertical)'!C:C=E544,'Students (Vertical)'!O:O&lt;&gt;"""")})&gt;1))),""No shared courses""),"""")"),"")</f>
        <v/>
      </c>
      <c r="J544" s="94" t="str">
        <f>IFERROR(__xludf.DUMMYFUNCTION("if(H544=""Can't be Together"",iferror(join("", "",unique(filter({unique(filter('Students (Vertical)'!O:O,'Students (Vertical)'!C:C=B544,'Students (Vertical)'!O:O&lt;&gt;"""",'Students (Vertical)'!P:P&gt;1));unique(filter('Students (Vertical)'!O:O,'Students (Vertic"&amp;"al)'!C:C=E544,'Students (Vertical)'!O:O&lt;&gt;"""",'Students (Vertical)'!P:P&gt;1))},countifs({unique(filter('Students (Vertical)'!O:O,'Students (Vertical)'!C:C=B544,'Students (Vertical)'!O:O&lt;&gt;"""",'Students (Vertical)'!P:P&gt;1));unique(filter('Students (Vertical)'"&amp;"!O:O,'Students (Vertical)'!C:C=E544,'Students (Vertical)'!O:O&lt;&gt;"""",'Students (Vertical)'!P:P&gt;1))},{unique(filter('Students (Vertical)'!O:O,'Students (Vertical)'!C:C=B544,'Students (Vertical)'!O:O&lt;&gt;"""",'Students (Vertical)'!P:P&gt;1));unique(filter('Student"&amp;"s (Vertical)'!O:O,'Students (Vertical)'!C:C=E544,'Students (Vertical)'!O:O&lt;&gt;"""",'Students (Vertical)'!P:P&gt;1))})&gt;1))),""""),"""")"),"")</f>
        <v/>
      </c>
      <c r="K544" s="96" t="str">
        <f>IFERROR(__xludf.DUMMYFUNCTION("iferror(join("", "",unique(filter({filter('Students (Vertical)'!D:D,'Students (Vertical)'!C:C=B544,'Students (Vertical)'!D:D&lt;&gt;"""");filter('Students (Vertical)'!D:D,'Students (Vertical)'!C:C=E544,'Students (Vertical)'!D:D&lt;&gt;"""")},countifs({filter('Student"&amp;"s (Vertical)'!D:D,'Students (Vertical)'!C:C=B544,'Students (Vertical)'!D:D&lt;&gt;"""");filter('Students (Vertical)'!D:D,'Students (Vertical)'!C:C=E544,'Students (Vertical)'!D:D&lt;&gt;"""")},{filter('Students (Vertical)'!D:D,'Students (Vertical)'!C:C=B544,'Students "&amp;"(Vertical)'!D:D&lt;&gt;"""");filter('Students (Vertical)'!D:D,'Students (Vertical)'!C:C=E544,'Students (Vertical)'!D:D&lt;&gt;"""")})&gt;1))),"""")"),"")</f>
        <v/>
      </c>
      <c r="L544" s="96"/>
      <c r="M544" s="96"/>
    </row>
    <row r="545" hidden="1">
      <c r="A545" s="8" t="s">
        <v>8</v>
      </c>
      <c r="C545" s="8" t="s">
        <v>8</v>
      </c>
      <c r="D545" s="8" t="s">
        <v>8</v>
      </c>
      <c r="F545" s="8" t="s">
        <v>8</v>
      </c>
      <c r="G545" s="8" t="s">
        <v>8</v>
      </c>
      <c r="I545" s="94" t="str">
        <f>IFERROR(__xludf.DUMMYFUNCTION("if(H545=""Must be Together"",iferror(join("", "",unique(filter({filter('Students (Vertical)'!O:O,'Students (Vertical)'!C:C=B545,'Students (Vertical)'!O:O&lt;&gt;"""");filter('Students (Vertical)'!O:O,'Students (Vertical)'!C:C=E545,'Students (Vertical)'!O:O&lt;&gt;"""&amp;""")},countifs({filter('Students (Vertical)'!O:O,'Students (Vertical)'!C:C=B545,'Students (Vertical)'!O:O&lt;&gt;"""");filter('Students (Vertical)'!O:O,'Students (Vertical)'!C:C=E545,'Students (Vertical)'!O:O&lt;&gt;"""")},{filter('Students (Vertical)'!O:O,'Students ("&amp;"Vertical)'!C:C=B545,'Students (Vertical)'!O:O&lt;&gt;"""");filter('Students (Vertical)'!O:O,'Students (Vertical)'!C:C=E545,'Students (Vertical)'!O:O&lt;&gt;"""")})&gt;1))),""No shared courses""),"""")"),"")</f>
        <v/>
      </c>
      <c r="J545" s="94" t="str">
        <f>IFERROR(__xludf.DUMMYFUNCTION("if(H545=""Can't be Together"",iferror(join("", "",unique(filter({unique(filter('Students (Vertical)'!O:O,'Students (Vertical)'!C:C=B545,'Students (Vertical)'!O:O&lt;&gt;"""",'Students (Vertical)'!P:P&gt;1));unique(filter('Students (Vertical)'!O:O,'Students (Vertic"&amp;"al)'!C:C=E545,'Students (Vertical)'!O:O&lt;&gt;"""",'Students (Vertical)'!P:P&gt;1))},countifs({unique(filter('Students (Vertical)'!O:O,'Students (Vertical)'!C:C=B545,'Students (Vertical)'!O:O&lt;&gt;"""",'Students (Vertical)'!P:P&gt;1));unique(filter('Students (Vertical)'"&amp;"!O:O,'Students (Vertical)'!C:C=E545,'Students (Vertical)'!O:O&lt;&gt;"""",'Students (Vertical)'!P:P&gt;1))},{unique(filter('Students (Vertical)'!O:O,'Students (Vertical)'!C:C=B545,'Students (Vertical)'!O:O&lt;&gt;"""",'Students (Vertical)'!P:P&gt;1));unique(filter('Student"&amp;"s (Vertical)'!O:O,'Students (Vertical)'!C:C=E545,'Students (Vertical)'!O:O&lt;&gt;"""",'Students (Vertical)'!P:P&gt;1))})&gt;1))),""""),"""")"),"")</f>
        <v/>
      </c>
      <c r="K545" s="96" t="str">
        <f>IFERROR(__xludf.DUMMYFUNCTION("iferror(join("", "",unique(filter({filter('Students (Vertical)'!D:D,'Students (Vertical)'!C:C=B545,'Students (Vertical)'!D:D&lt;&gt;"""");filter('Students (Vertical)'!D:D,'Students (Vertical)'!C:C=E545,'Students (Vertical)'!D:D&lt;&gt;"""")},countifs({filter('Student"&amp;"s (Vertical)'!D:D,'Students (Vertical)'!C:C=B545,'Students (Vertical)'!D:D&lt;&gt;"""");filter('Students (Vertical)'!D:D,'Students (Vertical)'!C:C=E545,'Students (Vertical)'!D:D&lt;&gt;"""")},{filter('Students (Vertical)'!D:D,'Students (Vertical)'!C:C=B545,'Students "&amp;"(Vertical)'!D:D&lt;&gt;"""");filter('Students (Vertical)'!D:D,'Students (Vertical)'!C:C=E545,'Students (Vertical)'!D:D&lt;&gt;"""")})&gt;1))),"""")"),"")</f>
        <v/>
      </c>
      <c r="L545" s="96"/>
      <c r="M545" s="96"/>
    </row>
    <row r="546" hidden="1">
      <c r="A546" s="8" t="s">
        <v>8</v>
      </c>
      <c r="C546" s="8" t="s">
        <v>8</v>
      </c>
      <c r="D546" s="8" t="s">
        <v>8</v>
      </c>
      <c r="F546" s="8" t="s">
        <v>8</v>
      </c>
      <c r="G546" s="8" t="s">
        <v>8</v>
      </c>
      <c r="I546" s="94" t="str">
        <f>IFERROR(__xludf.DUMMYFUNCTION("if(H546=""Must be Together"",iferror(join("", "",unique(filter({filter('Students (Vertical)'!O:O,'Students (Vertical)'!C:C=B546,'Students (Vertical)'!O:O&lt;&gt;"""");filter('Students (Vertical)'!O:O,'Students (Vertical)'!C:C=E546,'Students (Vertical)'!O:O&lt;&gt;"""&amp;""")},countifs({filter('Students (Vertical)'!O:O,'Students (Vertical)'!C:C=B546,'Students (Vertical)'!O:O&lt;&gt;"""");filter('Students (Vertical)'!O:O,'Students (Vertical)'!C:C=E546,'Students (Vertical)'!O:O&lt;&gt;"""")},{filter('Students (Vertical)'!O:O,'Students ("&amp;"Vertical)'!C:C=B546,'Students (Vertical)'!O:O&lt;&gt;"""");filter('Students (Vertical)'!O:O,'Students (Vertical)'!C:C=E546,'Students (Vertical)'!O:O&lt;&gt;"""")})&gt;1))),""No shared courses""),"""")"),"")</f>
        <v/>
      </c>
      <c r="J546" s="94" t="str">
        <f>IFERROR(__xludf.DUMMYFUNCTION("if(H546=""Can't be Together"",iferror(join("", "",unique(filter({unique(filter('Students (Vertical)'!O:O,'Students (Vertical)'!C:C=B546,'Students (Vertical)'!O:O&lt;&gt;"""",'Students (Vertical)'!P:P&gt;1));unique(filter('Students (Vertical)'!O:O,'Students (Vertic"&amp;"al)'!C:C=E546,'Students (Vertical)'!O:O&lt;&gt;"""",'Students (Vertical)'!P:P&gt;1))},countifs({unique(filter('Students (Vertical)'!O:O,'Students (Vertical)'!C:C=B546,'Students (Vertical)'!O:O&lt;&gt;"""",'Students (Vertical)'!P:P&gt;1));unique(filter('Students (Vertical)'"&amp;"!O:O,'Students (Vertical)'!C:C=E546,'Students (Vertical)'!O:O&lt;&gt;"""",'Students (Vertical)'!P:P&gt;1))},{unique(filter('Students (Vertical)'!O:O,'Students (Vertical)'!C:C=B546,'Students (Vertical)'!O:O&lt;&gt;"""",'Students (Vertical)'!P:P&gt;1));unique(filter('Student"&amp;"s (Vertical)'!O:O,'Students (Vertical)'!C:C=E546,'Students (Vertical)'!O:O&lt;&gt;"""",'Students (Vertical)'!P:P&gt;1))})&gt;1))),""""),"""")"),"")</f>
        <v/>
      </c>
      <c r="K546" s="96" t="str">
        <f>IFERROR(__xludf.DUMMYFUNCTION("iferror(join("", "",unique(filter({filter('Students (Vertical)'!D:D,'Students (Vertical)'!C:C=B546,'Students (Vertical)'!D:D&lt;&gt;"""");filter('Students (Vertical)'!D:D,'Students (Vertical)'!C:C=E546,'Students (Vertical)'!D:D&lt;&gt;"""")},countifs({filter('Student"&amp;"s (Vertical)'!D:D,'Students (Vertical)'!C:C=B546,'Students (Vertical)'!D:D&lt;&gt;"""");filter('Students (Vertical)'!D:D,'Students (Vertical)'!C:C=E546,'Students (Vertical)'!D:D&lt;&gt;"""")},{filter('Students (Vertical)'!D:D,'Students (Vertical)'!C:C=B546,'Students "&amp;"(Vertical)'!D:D&lt;&gt;"""");filter('Students (Vertical)'!D:D,'Students (Vertical)'!C:C=E546,'Students (Vertical)'!D:D&lt;&gt;"""")})&gt;1))),"""")"),"")</f>
        <v/>
      </c>
      <c r="L546" s="96"/>
      <c r="M546" s="96"/>
    </row>
    <row r="547" hidden="1">
      <c r="A547" s="8" t="s">
        <v>8</v>
      </c>
      <c r="C547" s="8" t="s">
        <v>8</v>
      </c>
      <c r="D547" s="8" t="s">
        <v>8</v>
      </c>
      <c r="F547" s="8" t="s">
        <v>8</v>
      </c>
      <c r="G547" s="8" t="s">
        <v>8</v>
      </c>
      <c r="I547" s="94" t="str">
        <f>IFERROR(__xludf.DUMMYFUNCTION("if(H547=""Must be Together"",iferror(join("", "",unique(filter({filter('Students (Vertical)'!O:O,'Students (Vertical)'!C:C=B547,'Students (Vertical)'!O:O&lt;&gt;"""");filter('Students (Vertical)'!O:O,'Students (Vertical)'!C:C=E547,'Students (Vertical)'!O:O&lt;&gt;"""&amp;""")},countifs({filter('Students (Vertical)'!O:O,'Students (Vertical)'!C:C=B547,'Students (Vertical)'!O:O&lt;&gt;"""");filter('Students (Vertical)'!O:O,'Students (Vertical)'!C:C=E547,'Students (Vertical)'!O:O&lt;&gt;"""")},{filter('Students (Vertical)'!O:O,'Students ("&amp;"Vertical)'!C:C=B547,'Students (Vertical)'!O:O&lt;&gt;"""");filter('Students (Vertical)'!O:O,'Students (Vertical)'!C:C=E547,'Students (Vertical)'!O:O&lt;&gt;"""")})&gt;1))),""No shared courses""),"""")"),"")</f>
        <v/>
      </c>
      <c r="J547" s="94" t="str">
        <f>IFERROR(__xludf.DUMMYFUNCTION("if(H547=""Can't be Together"",iferror(join("", "",unique(filter({unique(filter('Students (Vertical)'!O:O,'Students (Vertical)'!C:C=B547,'Students (Vertical)'!O:O&lt;&gt;"""",'Students (Vertical)'!P:P&gt;1));unique(filter('Students (Vertical)'!O:O,'Students (Vertic"&amp;"al)'!C:C=E547,'Students (Vertical)'!O:O&lt;&gt;"""",'Students (Vertical)'!P:P&gt;1))},countifs({unique(filter('Students (Vertical)'!O:O,'Students (Vertical)'!C:C=B547,'Students (Vertical)'!O:O&lt;&gt;"""",'Students (Vertical)'!P:P&gt;1));unique(filter('Students (Vertical)'"&amp;"!O:O,'Students (Vertical)'!C:C=E547,'Students (Vertical)'!O:O&lt;&gt;"""",'Students (Vertical)'!P:P&gt;1))},{unique(filter('Students (Vertical)'!O:O,'Students (Vertical)'!C:C=B547,'Students (Vertical)'!O:O&lt;&gt;"""",'Students (Vertical)'!P:P&gt;1));unique(filter('Student"&amp;"s (Vertical)'!O:O,'Students (Vertical)'!C:C=E547,'Students (Vertical)'!O:O&lt;&gt;"""",'Students (Vertical)'!P:P&gt;1))})&gt;1))),""""),"""")"),"")</f>
        <v/>
      </c>
      <c r="K547" s="96" t="str">
        <f>IFERROR(__xludf.DUMMYFUNCTION("iferror(join("", "",unique(filter({filter('Students (Vertical)'!D:D,'Students (Vertical)'!C:C=B547,'Students (Vertical)'!D:D&lt;&gt;"""");filter('Students (Vertical)'!D:D,'Students (Vertical)'!C:C=E547,'Students (Vertical)'!D:D&lt;&gt;"""")},countifs({filter('Student"&amp;"s (Vertical)'!D:D,'Students (Vertical)'!C:C=B547,'Students (Vertical)'!D:D&lt;&gt;"""");filter('Students (Vertical)'!D:D,'Students (Vertical)'!C:C=E547,'Students (Vertical)'!D:D&lt;&gt;"""")},{filter('Students (Vertical)'!D:D,'Students (Vertical)'!C:C=B547,'Students "&amp;"(Vertical)'!D:D&lt;&gt;"""");filter('Students (Vertical)'!D:D,'Students (Vertical)'!C:C=E547,'Students (Vertical)'!D:D&lt;&gt;"""")})&gt;1))),"""")"),"")</f>
        <v/>
      </c>
      <c r="L547" s="96"/>
      <c r="M547" s="96"/>
    </row>
    <row r="548" hidden="1">
      <c r="A548" s="8" t="s">
        <v>8</v>
      </c>
      <c r="C548" s="8" t="s">
        <v>8</v>
      </c>
      <c r="D548" s="8" t="s">
        <v>8</v>
      </c>
      <c r="F548" s="8" t="s">
        <v>8</v>
      </c>
      <c r="G548" s="8" t="s">
        <v>8</v>
      </c>
      <c r="I548" s="94" t="str">
        <f>IFERROR(__xludf.DUMMYFUNCTION("if(H548=""Must be Together"",iferror(join("", "",unique(filter({filter('Students (Vertical)'!O:O,'Students (Vertical)'!C:C=B548,'Students (Vertical)'!O:O&lt;&gt;"""");filter('Students (Vertical)'!O:O,'Students (Vertical)'!C:C=E548,'Students (Vertical)'!O:O&lt;&gt;"""&amp;""")},countifs({filter('Students (Vertical)'!O:O,'Students (Vertical)'!C:C=B548,'Students (Vertical)'!O:O&lt;&gt;"""");filter('Students (Vertical)'!O:O,'Students (Vertical)'!C:C=E548,'Students (Vertical)'!O:O&lt;&gt;"""")},{filter('Students (Vertical)'!O:O,'Students ("&amp;"Vertical)'!C:C=B548,'Students (Vertical)'!O:O&lt;&gt;"""");filter('Students (Vertical)'!O:O,'Students (Vertical)'!C:C=E548,'Students (Vertical)'!O:O&lt;&gt;"""")})&gt;1))),""No shared courses""),"""")"),"")</f>
        <v/>
      </c>
      <c r="J548" s="94" t="str">
        <f>IFERROR(__xludf.DUMMYFUNCTION("if(H548=""Can't be Together"",iferror(join("", "",unique(filter({unique(filter('Students (Vertical)'!O:O,'Students (Vertical)'!C:C=B548,'Students (Vertical)'!O:O&lt;&gt;"""",'Students (Vertical)'!P:P&gt;1));unique(filter('Students (Vertical)'!O:O,'Students (Vertic"&amp;"al)'!C:C=E548,'Students (Vertical)'!O:O&lt;&gt;"""",'Students (Vertical)'!P:P&gt;1))},countifs({unique(filter('Students (Vertical)'!O:O,'Students (Vertical)'!C:C=B548,'Students (Vertical)'!O:O&lt;&gt;"""",'Students (Vertical)'!P:P&gt;1));unique(filter('Students (Vertical)'"&amp;"!O:O,'Students (Vertical)'!C:C=E548,'Students (Vertical)'!O:O&lt;&gt;"""",'Students (Vertical)'!P:P&gt;1))},{unique(filter('Students (Vertical)'!O:O,'Students (Vertical)'!C:C=B548,'Students (Vertical)'!O:O&lt;&gt;"""",'Students (Vertical)'!P:P&gt;1));unique(filter('Student"&amp;"s (Vertical)'!O:O,'Students (Vertical)'!C:C=E548,'Students (Vertical)'!O:O&lt;&gt;"""",'Students (Vertical)'!P:P&gt;1))})&gt;1))),""""),"""")"),"")</f>
        <v/>
      </c>
      <c r="K548" s="96" t="str">
        <f>IFERROR(__xludf.DUMMYFUNCTION("iferror(join("", "",unique(filter({filter('Students (Vertical)'!D:D,'Students (Vertical)'!C:C=B548,'Students (Vertical)'!D:D&lt;&gt;"""");filter('Students (Vertical)'!D:D,'Students (Vertical)'!C:C=E548,'Students (Vertical)'!D:D&lt;&gt;"""")},countifs({filter('Student"&amp;"s (Vertical)'!D:D,'Students (Vertical)'!C:C=B548,'Students (Vertical)'!D:D&lt;&gt;"""");filter('Students (Vertical)'!D:D,'Students (Vertical)'!C:C=E548,'Students (Vertical)'!D:D&lt;&gt;"""")},{filter('Students (Vertical)'!D:D,'Students (Vertical)'!C:C=B548,'Students "&amp;"(Vertical)'!D:D&lt;&gt;"""");filter('Students (Vertical)'!D:D,'Students (Vertical)'!C:C=E548,'Students (Vertical)'!D:D&lt;&gt;"""")})&gt;1))),"""")"),"")</f>
        <v/>
      </c>
      <c r="L548" s="96"/>
      <c r="M548" s="96"/>
    </row>
    <row r="549" hidden="1">
      <c r="A549" s="8" t="s">
        <v>8</v>
      </c>
      <c r="C549" s="8" t="s">
        <v>8</v>
      </c>
      <c r="D549" s="8" t="s">
        <v>8</v>
      </c>
      <c r="F549" s="8" t="s">
        <v>8</v>
      </c>
      <c r="G549" s="8" t="s">
        <v>8</v>
      </c>
      <c r="I549" s="94" t="str">
        <f>IFERROR(__xludf.DUMMYFUNCTION("if(H549=""Must be Together"",iferror(join("", "",unique(filter({filter('Students (Vertical)'!O:O,'Students (Vertical)'!C:C=B549,'Students (Vertical)'!O:O&lt;&gt;"""");filter('Students (Vertical)'!O:O,'Students (Vertical)'!C:C=E549,'Students (Vertical)'!O:O&lt;&gt;"""&amp;""")},countifs({filter('Students (Vertical)'!O:O,'Students (Vertical)'!C:C=B549,'Students (Vertical)'!O:O&lt;&gt;"""");filter('Students (Vertical)'!O:O,'Students (Vertical)'!C:C=E549,'Students (Vertical)'!O:O&lt;&gt;"""")},{filter('Students (Vertical)'!O:O,'Students ("&amp;"Vertical)'!C:C=B549,'Students (Vertical)'!O:O&lt;&gt;"""");filter('Students (Vertical)'!O:O,'Students (Vertical)'!C:C=E549,'Students (Vertical)'!O:O&lt;&gt;"""")})&gt;1))),""No shared courses""),"""")"),"")</f>
        <v/>
      </c>
      <c r="J549" s="94" t="str">
        <f>IFERROR(__xludf.DUMMYFUNCTION("if(H549=""Can't be Together"",iferror(join("", "",unique(filter({unique(filter('Students (Vertical)'!O:O,'Students (Vertical)'!C:C=B549,'Students (Vertical)'!O:O&lt;&gt;"""",'Students (Vertical)'!P:P&gt;1));unique(filter('Students (Vertical)'!O:O,'Students (Vertic"&amp;"al)'!C:C=E549,'Students (Vertical)'!O:O&lt;&gt;"""",'Students (Vertical)'!P:P&gt;1))},countifs({unique(filter('Students (Vertical)'!O:O,'Students (Vertical)'!C:C=B549,'Students (Vertical)'!O:O&lt;&gt;"""",'Students (Vertical)'!P:P&gt;1));unique(filter('Students (Vertical)'"&amp;"!O:O,'Students (Vertical)'!C:C=E549,'Students (Vertical)'!O:O&lt;&gt;"""",'Students (Vertical)'!P:P&gt;1))},{unique(filter('Students (Vertical)'!O:O,'Students (Vertical)'!C:C=B549,'Students (Vertical)'!O:O&lt;&gt;"""",'Students (Vertical)'!P:P&gt;1));unique(filter('Student"&amp;"s (Vertical)'!O:O,'Students (Vertical)'!C:C=E549,'Students (Vertical)'!O:O&lt;&gt;"""",'Students (Vertical)'!P:P&gt;1))})&gt;1))),""""),"""")"),"")</f>
        <v/>
      </c>
      <c r="K549" s="96" t="str">
        <f>IFERROR(__xludf.DUMMYFUNCTION("iferror(join("", "",unique(filter({filter('Students (Vertical)'!D:D,'Students (Vertical)'!C:C=B549,'Students (Vertical)'!D:D&lt;&gt;"""");filter('Students (Vertical)'!D:D,'Students (Vertical)'!C:C=E549,'Students (Vertical)'!D:D&lt;&gt;"""")},countifs({filter('Student"&amp;"s (Vertical)'!D:D,'Students (Vertical)'!C:C=B549,'Students (Vertical)'!D:D&lt;&gt;"""");filter('Students (Vertical)'!D:D,'Students (Vertical)'!C:C=E549,'Students (Vertical)'!D:D&lt;&gt;"""")},{filter('Students (Vertical)'!D:D,'Students (Vertical)'!C:C=B549,'Students "&amp;"(Vertical)'!D:D&lt;&gt;"""");filter('Students (Vertical)'!D:D,'Students (Vertical)'!C:C=E549,'Students (Vertical)'!D:D&lt;&gt;"""")})&gt;1))),"""")"),"")</f>
        <v/>
      </c>
      <c r="L549" s="96"/>
      <c r="M549" s="96"/>
    </row>
    <row r="550" hidden="1">
      <c r="A550" s="8" t="s">
        <v>8</v>
      </c>
      <c r="C550" s="8" t="s">
        <v>8</v>
      </c>
      <c r="D550" s="8" t="s">
        <v>8</v>
      </c>
      <c r="F550" s="8" t="s">
        <v>8</v>
      </c>
      <c r="G550" s="8" t="s">
        <v>8</v>
      </c>
      <c r="I550" s="94" t="str">
        <f>IFERROR(__xludf.DUMMYFUNCTION("if(H550=""Must be Together"",iferror(join("", "",unique(filter({filter('Students (Vertical)'!O:O,'Students (Vertical)'!C:C=B550,'Students (Vertical)'!O:O&lt;&gt;"""");filter('Students (Vertical)'!O:O,'Students (Vertical)'!C:C=E550,'Students (Vertical)'!O:O&lt;&gt;"""&amp;""")},countifs({filter('Students (Vertical)'!O:O,'Students (Vertical)'!C:C=B550,'Students (Vertical)'!O:O&lt;&gt;"""");filter('Students (Vertical)'!O:O,'Students (Vertical)'!C:C=E550,'Students (Vertical)'!O:O&lt;&gt;"""")},{filter('Students (Vertical)'!O:O,'Students ("&amp;"Vertical)'!C:C=B550,'Students (Vertical)'!O:O&lt;&gt;"""");filter('Students (Vertical)'!O:O,'Students (Vertical)'!C:C=E550,'Students (Vertical)'!O:O&lt;&gt;"""")})&gt;1))),""No shared courses""),"""")"),"")</f>
        <v/>
      </c>
      <c r="J550" s="94" t="str">
        <f>IFERROR(__xludf.DUMMYFUNCTION("if(H550=""Can't be Together"",iferror(join("", "",unique(filter({unique(filter('Students (Vertical)'!O:O,'Students (Vertical)'!C:C=B550,'Students (Vertical)'!O:O&lt;&gt;"""",'Students (Vertical)'!P:P&gt;1));unique(filter('Students (Vertical)'!O:O,'Students (Vertic"&amp;"al)'!C:C=E550,'Students (Vertical)'!O:O&lt;&gt;"""",'Students (Vertical)'!P:P&gt;1))},countifs({unique(filter('Students (Vertical)'!O:O,'Students (Vertical)'!C:C=B550,'Students (Vertical)'!O:O&lt;&gt;"""",'Students (Vertical)'!P:P&gt;1));unique(filter('Students (Vertical)'"&amp;"!O:O,'Students (Vertical)'!C:C=E550,'Students (Vertical)'!O:O&lt;&gt;"""",'Students (Vertical)'!P:P&gt;1))},{unique(filter('Students (Vertical)'!O:O,'Students (Vertical)'!C:C=B550,'Students (Vertical)'!O:O&lt;&gt;"""",'Students (Vertical)'!P:P&gt;1));unique(filter('Student"&amp;"s (Vertical)'!O:O,'Students (Vertical)'!C:C=E550,'Students (Vertical)'!O:O&lt;&gt;"""",'Students (Vertical)'!P:P&gt;1))})&gt;1))),""""),"""")"),"")</f>
        <v/>
      </c>
      <c r="K550" s="96" t="str">
        <f>IFERROR(__xludf.DUMMYFUNCTION("iferror(join("", "",unique(filter({filter('Students (Vertical)'!D:D,'Students (Vertical)'!C:C=B550,'Students (Vertical)'!D:D&lt;&gt;"""");filter('Students (Vertical)'!D:D,'Students (Vertical)'!C:C=E550,'Students (Vertical)'!D:D&lt;&gt;"""")},countifs({filter('Student"&amp;"s (Vertical)'!D:D,'Students (Vertical)'!C:C=B550,'Students (Vertical)'!D:D&lt;&gt;"""");filter('Students (Vertical)'!D:D,'Students (Vertical)'!C:C=E550,'Students (Vertical)'!D:D&lt;&gt;"""")},{filter('Students (Vertical)'!D:D,'Students (Vertical)'!C:C=B550,'Students "&amp;"(Vertical)'!D:D&lt;&gt;"""");filter('Students (Vertical)'!D:D,'Students (Vertical)'!C:C=E550,'Students (Vertical)'!D:D&lt;&gt;"""")})&gt;1))),"""")"),"")</f>
        <v/>
      </c>
      <c r="L550" s="96"/>
      <c r="M550" s="96"/>
    </row>
    <row r="551" hidden="1">
      <c r="A551" s="8" t="s">
        <v>8</v>
      </c>
      <c r="C551" s="8" t="s">
        <v>8</v>
      </c>
      <c r="D551" s="8" t="s">
        <v>8</v>
      </c>
      <c r="F551" s="8" t="s">
        <v>8</v>
      </c>
      <c r="G551" s="8" t="s">
        <v>8</v>
      </c>
      <c r="I551" s="94" t="str">
        <f>IFERROR(__xludf.DUMMYFUNCTION("if(H551=""Must be Together"",iferror(join("", "",unique(filter({filter('Students (Vertical)'!O:O,'Students (Vertical)'!C:C=B551,'Students (Vertical)'!O:O&lt;&gt;"""");filter('Students (Vertical)'!O:O,'Students (Vertical)'!C:C=E551,'Students (Vertical)'!O:O&lt;&gt;"""&amp;""")},countifs({filter('Students (Vertical)'!O:O,'Students (Vertical)'!C:C=B551,'Students (Vertical)'!O:O&lt;&gt;"""");filter('Students (Vertical)'!O:O,'Students (Vertical)'!C:C=E551,'Students (Vertical)'!O:O&lt;&gt;"""")},{filter('Students (Vertical)'!O:O,'Students ("&amp;"Vertical)'!C:C=B551,'Students (Vertical)'!O:O&lt;&gt;"""");filter('Students (Vertical)'!O:O,'Students (Vertical)'!C:C=E551,'Students (Vertical)'!O:O&lt;&gt;"""")})&gt;1))),""No shared courses""),"""")"),"")</f>
        <v/>
      </c>
      <c r="J551" s="94" t="str">
        <f>IFERROR(__xludf.DUMMYFUNCTION("if(H551=""Can't be Together"",iferror(join("", "",unique(filter({unique(filter('Students (Vertical)'!O:O,'Students (Vertical)'!C:C=B551,'Students (Vertical)'!O:O&lt;&gt;"""",'Students (Vertical)'!P:P&gt;1));unique(filter('Students (Vertical)'!O:O,'Students (Vertic"&amp;"al)'!C:C=E551,'Students (Vertical)'!O:O&lt;&gt;"""",'Students (Vertical)'!P:P&gt;1))},countifs({unique(filter('Students (Vertical)'!O:O,'Students (Vertical)'!C:C=B551,'Students (Vertical)'!O:O&lt;&gt;"""",'Students (Vertical)'!P:P&gt;1));unique(filter('Students (Vertical)'"&amp;"!O:O,'Students (Vertical)'!C:C=E551,'Students (Vertical)'!O:O&lt;&gt;"""",'Students (Vertical)'!P:P&gt;1))},{unique(filter('Students (Vertical)'!O:O,'Students (Vertical)'!C:C=B551,'Students (Vertical)'!O:O&lt;&gt;"""",'Students (Vertical)'!P:P&gt;1));unique(filter('Student"&amp;"s (Vertical)'!O:O,'Students (Vertical)'!C:C=E551,'Students (Vertical)'!O:O&lt;&gt;"""",'Students (Vertical)'!P:P&gt;1))})&gt;1))),""""),"""")"),"")</f>
        <v/>
      </c>
      <c r="K551" s="96" t="str">
        <f>IFERROR(__xludf.DUMMYFUNCTION("iferror(join("", "",unique(filter({filter('Students (Vertical)'!D:D,'Students (Vertical)'!C:C=B551,'Students (Vertical)'!D:D&lt;&gt;"""");filter('Students (Vertical)'!D:D,'Students (Vertical)'!C:C=E551,'Students (Vertical)'!D:D&lt;&gt;"""")},countifs({filter('Student"&amp;"s (Vertical)'!D:D,'Students (Vertical)'!C:C=B551,'Students (Vertical)'!D:D&lt;&gt;"""");filter('Students (Vertical)'!D:D,'Students (Vertical)'!C:C=E551,'Students (Vertical)'!D:D&lt;&gt;"""")},{filter('Students (Vertical)'!D:D,'Students (Vertical)'!C:C=B551,'Students "&amp;"(Vertical)'!D:D&lt;&gt;"""");filter('Students (Vertical)'!D:D,'Students (Vertical)'!C:C=E551,'Students (Vertical)'!D:D&lt;&gt;"""")})&gt;1))),"""")"),"")</f>
        <v/>
      </c>
      <c r="L551" s="96"/>
      <c r="M551" s="96"/>
    </row>
    <row r="552" hidden="1">
      <c r="A552" s="8" t="s">
        <v>8</v>
      </c>
      <c r="C552" s="8" t="s">
        <v>8</v>
      </c>
      <c r="D552" s="8" t="s">
        <v>8</v>
      </c>
      <c r="F552" s="8" t="s">
        <v>8</v>
      </c>
      <c r="G552" s="8" t="s">
        <v>8</v>
      </c>
      <c r="I552" s="94" t="str">
        <f>IFERROR(__xludf.DUMMYFUNCTION("if(H552=""Must be Together"",iferror(join("", "",unique(filter({filter('Students (Vertical)'!O:O,'Students (Vertical)'!C:C=B552,'Students (Vertical)'!O:O&lt;&gt;"""");filter('Students (Vertical)'!O:O,'Students (Vertical)'!C:C=E552,'Students (Vertical)'!O:O&lt;&gt;"""&amp;""")},countifs({filter('Students (Vertical)'!O:O,'Students (Vertical)'!C:C=B552,'Students (Vertical)'!O:O&lt;&gt;"""");filter('Students (Vertical)'!O:O,'Students (Vertical)'!C:C=E552,'Students (Vertical)'!O:O&lt;&gt;"""")},{filter('Students (Vertical)'!O:O,'Students ("&amp;"Vertical)'!C:C=B552,'Students (Vertical)'!O:O&lt;&gt;"""");filter('Students (Vertical)'!O:O,'Students (Vertical)'!C:C=E552,'Students (Vertical)'!O:O&lt;&gt;"""")})&gt;1))),""No shared courses""),"""")"),"")</f>
        <v/>
      </c>
      <c r="J552" s="94" t="str">
        <f>IFERROR(__xludf.DUMMYFUNCTION("if(H552=""Can't be Together"",iferror(join("", "",unique(filter({unique(filter('Students (Vertical)'!O:O,'Students (Vertical)'!C:C=B552,'Students (Vertical)'!O:O&lt;&gt;"""",'Students (Vertical)'!P:P&gt;1));unique(filter('Students (Vertical)'!O:O,'Students (Vertic"&amp;"al)'!C:C=E552,'Students (Vertical)'!O:O&lt;&gt;"""",'Students (Vertical)'!P:P&gt;1))},countifs({unique(filter('Students (Vertical)'!O:O,'Students (Vertical)'!C:C=B552,'Students (Vertical)'!O:O&lt;&gt;"""",'Students (Vertical)'!P:P&gt;1));unique(filter('Students (Vertical)'"&amp;"!O:O,'Students (Vertical)'!C:C=E552,'Students (Vertical)'!O:O&lt;&gt;"""",'Students (Vertical)'!P:P&gt;1))},{unique(filter('Students (Vertical)'!O:O,'Students (Vertical)'!C:C=B552,'Students (Vertical)'!O:O&lt;&gt;"""",'Students (Vertical)'!P:P&gt;1));unique(filter('Student"&amp;"s (Vertical)'!O:O,'Students (Vertical)'!C:C=E552,'Students (Vertical)'!O:O&lt;&gt;"""",'Students (Vertical)'!P:P&gt;1))})&gt;1))),""""),"""")"),"")</f>
        <v/>
      </c>
      <c r="K552" s="96" t="str">
        <f>IFERROR(__xludf.DUMMYFUNCTION("iferror(join("", "",unique(filter({filter('Students (Vertical)'!D:D,'Students (Vertical)'!C:C=B552,'Students (Vertical)'!D:D&lt;&gt;"""");filter('Students (Vertical)'!D:D,'Students (Vertical)'!C:C=E552,'Students (Vertical)'!D:D&lt;&gt;"""")},countifs({filter('Student"&amp;"s (Vertical)'!D:D,'Students (Vertical)'!C:C=B552,'Students (Vertical)'!D:D&lt;&gt;"""");filter('Students (Vertical)'!D:D,'Students (Vertical)'!C:C=E552,'Students (Vertical)'!D:D&lt;&gt;"""")},{filter('Students (Vertical)'!D:D,'Students (Vertical)'!C:C=B552,'Students "&amp;"(Vertical)'!D:D&lt;&gt;"""");filter('Students (Vertical)'!D:D,'Students (Vertical)'!C:C=E552,'Students (Vertical)'!D:D&lt;&gt;"""")})&gt;1))),"""")"),"")</f>
        <v/>
      </c>
      <c r="L552" s="96"/>
      <c r="M552" s="96"/>
    </row>
    <row r="553" hidden="1">
      <c r="A553" s="8" t="s">
        <v>8</v>
      </c>
      <c r="C553" s="8" t="s">
        <v>8</v>
      </c>
      <c r="D553" s="8" t="s">
        <v>8</v>
      </c>
      <c r="F553" s="8" t="s">
        <v>8</v>
      </c>
      <c r="G553" s="8" t="s">
        <v>8</v>
      </c>
      <c r="I553" s="94" t="str">
        <f>IFERROR(__xludf.DUMMYFUNCTION("if(H553=""Must be Together"",iferror(join("", "",unique(filter({filter('Students (Vertical)'!O:O,'Students (Vertical)'!C:C=B553,'Students (Vertical)'!O:O&lt;&gt;"""");filter('Students (Vertical)'!O:O,'Students (Vertical)'!C:C=E553,'Students (Vertical)'!O:O&lt;&gt;"""&amp;""")},countifs({filter('Students (Vertical)'!O:O,'Students (Vertical)'!C:C=B553,'Students (Vertical)'!O:O&lt;&gt;"""");filter('Students (Vertical)'!O:O,'Students (Vertical)'!C:C=E553,'Students (Vertical)'!O:O&lt;&gt;"""")},{filter('Students (Vertical)'!O:O,'Students ("&amp;"Vertical)'!C:C=B553,'Students (Vertical)'!O:O&lt;&gt;"""");filter('Students (Vertical)'!O:O,'Students (Vertical)'!C:C=E553,'Students (Vertical)'!O:O&lt;&gt;"""")})&gt;1))),""No shared courses""),"""")"),"")</f>
        <v/>
      </c>
      <c r="J553" s="94" t="str">
        <f>IFERROR(__xludf.DUMMYFUNCTION("if(H553=""Can't be Together"",iferror(join("", "",unique(filter({unique(filter('Students (Vertical)'!O:O,'Students (Vertical)'!C:C=B553,'Students (Vertical)'!O:O&lt;&gt;"""",'Students (Vertical)'!P:P&gt;1));unique(filter('Students (Vertical)'!O:O,'Students (Vertic"&amp;"al)'!C:C=E553,'Students (Vertical)'!O:O&lt;&gt;"""",'Students (Vertical)'!P:P&gt;1))},countifs({unique(filter('Students (Vertical)'!O:O,'Students (Vertical)'!C:C=B553,'Students (Vertical)'!O:O&lt;&gt;"""",'Students (Vertical)'!P:P&gt;1));unique(filter('Students (Vertical)'"&amp;"!O:O,'Students (Vertical)'!C:C=E553,'Students (Vertical)'!O:O&lt;&gt;"""",'Students (Vertical)'!P:P&gt;1))},{unique(filter('Students (Vertical)'!O:O,'Students (Vertical)'!C:C=B553,'Students (Vertical)'!O:O&lt;&gt;"""",'Students (Vertical)'!P:P&gt;1));unique(filter('Student"&amp;"s (Vertical)'!O:O,'Students (Vertical)'!C:C=E553,'Students (Vertical)'!O:O&lt;&gt;"""",'Students (Vertical)'!P:P&gt;1))})&gt;1))),""""),"""")"),"")</f>
        <v/>
      </c>
      <c r="K553" s="96" t="str">
        <f>IFERROR(__xludf.DUMMYFUNCTION("iferror(join("", "",unique(filter({filter('Students (Vertical)'!D:D,'Students (Vertical)'!C:C=B553,'Students (Vertical)'!D:D&lt;&gt;"""");filter('Students (Vertical)'!D:D,'Students (Vertical)'!C:C=E553,'Students (Vertical)'!D:D&lt;&gt;"""")},countifs({filter('Student"&amp;"s (Vertical)'!D:D,'Students (Vertical)'!C:C=B553,'Students (Vertical)'!D:D&lt;&gt;"""");filter('Students (Vertical)'!D:D,'Students (Vertical)'!C:C=E553,'Students (Vertical)'!D:D&lt;&gt;"""")},{filter('Students (Vertical)'!D:D,'Students (Vertical)'!C:C=B553,'Students "&amp;"(Vertical)'!D:D&lt;&gt;"""");filter('Students (Vertical)'!D:D,'Students (Vertical)'!C:C=E553,'Students (Vertical)'!D:D&lt;&gt;"""")})&gt;1))),"""")"),"")</f>
        <v/>
      </c>
      <c r="L553" s="96"/>
      <c r="M553" s="96"/>
    </row>
    <row r="554" hidden="1">
      <c r="A554" s="8" t="s">
        <v>8</v>
      </c>
      <c r="C554" s="8" t="s">
        <v>8</v>
      </c>
      <c r="D554" s="8" t="s">
        <v>8</v>
      </c>
      <c r="F554" s="8" t="s">
        <v>8</v>
      </c>
      <c r="G554" s="8" t="s">
        <v>8</v>
      </c>
      <c r="I554" s="94" t="str">
        <f>IFERROR(__xludf.DUMMYFUNCTION("if(H554=""Must be Together"",iferror(join("", "",unique(filter({filter('Students (Vertical)'!O:O,'Students (Vertical)'!C:C=B554,'Students (Vertical)'!O:O&lt;&gt;"""");filter('Students (Vertical)'!O:O,'Students (Vertical)'!C:C=E554,'Students (Vertical)'!O:O&lt;&gt;"""&amp;""")},countifs({filter('Students (Vertical)'!O:O,'Students (Vertical)'!C:C=B554,'Students (Vertical)'!O:O&lt;&gt;"""");filter('Students (Vertical)'!O:O,'Students (Vertical)'!C:C=E554,'Students (Vertical)'!O:O&lt;&gt;"""")},{filter('Students (Vertical)'!O:O,'Students ("&amp;"Vertical)'!C:C=B554,'Students (Vertical)'!O:O&lt;&gt;"""");filter('Students (Vertical)'!O:O,'Students (Vertical)'!C:C=E554,'Students (Vertical)'!O:O&lt;&gt;"""")})&gt;1))),""No shared courses""),"""")"),"")</f>
        <v/>
      </c>
      <c r="J554" s="94" t="str">
        <f>IFERROR(__xludf.DUMMYFUNCTION("if(H554=""Can't be Together"",iferror(join("", "",unique(filter({unique(filter('Students (Vertical)'!O:O,'Students (Vertical)'!C:C=B554,'Students (Vertical)'!O:O&lt;&gt;"""",'Students (Vertical)'!P:P&gt;1));unique(filter('Students (Vertical)'!O:O,'Students (Vertic"&amp;"al)'!C:C=E554,'Students (Vertical)'!O:O&lt;&gt;"""",'Students (Vertical)'!P:P&gt;1))},countifs({unique(filter('Students (Vertical)'!O:O,'Students (Vertical)'!C:C=B554,'Students (Vertical)'!O:O&lt;&gt;"""",'Students (Vertical)'!P:P&gt;1));unique(filter('Students (Vertical)'"&amp;"!O:O,'Students (Vertical)'!C:C=E554,'Students (Vertical)'!O:O&lt;&gt;"""",'Students (Vertical)'!P:P&gt;1))},{unique(filter('Students (Vertical)'!O:O,'Students (Vertical)'!C:C=B554,'Students (Vertical)'!O:O&lt;&gt;"""",'Students (Vertical)'!P:P&gt;1));unique(filter('Student"&amp;"s (Vertical)'!O:O,'Students (Vertical)'!C:C=E554,'Students (Vertical)'!O:O&lt;&gt;"""",'Students (Vertical)'!P:P&gt;1))})&gt;1))),""""),"""")"),"")</f>
        <v/>
      </c>
      <c r="K554" s="96" t="str">
        <f>IFERROR(__xludf.DUMMYFUNCTION("iferror(join("", "",unique(filter({filter('Students (Vertical)'!D:D,'Students (Vertical)'!C:C=B554,'Students (Vertical)'!D:D&lt;&gt;"""");filter('Students (Vertical)'!D:D,'Students (Vertical)'!C:C=E554,'Students (Vertical)'!D:D&lt;&gt;"""")},countifs({filter('Student"&amp;"s (Vertical)'!D:D,'Students (Vertical)'!C:C=B554,'Students (Vertical)'!D:D&lt;&gt;"""");filter('Students (Vertical)'!D:D,'Students (Vertical)'!C:C=E554,'Students (Vertical)'!D:D&lt;&gt;"""")},{filter('Students (Vertical)'!D:D,'Students (Vertical)'!C:C=B554,'Students "&amp;"(Vertical)'!D:D&lt;&gt;"""");filter('Students (Vertical)'!D:D,'Students (Vertical)'!C:C=E554,'Students (Vertical)'!D:D&lt;&gt;"""")})&gt;1))),"""")"),"")</f>
        <v/>
      </c>
      <c r="L554" s="96"/>
      <c r="M554" s="96"/>
    </row>
    <row r="555" hidden="1">
      <c r="A555" s="8" t="s">
        <v>8</v>
      </c>
      <c r="C555" s="8" t="s">
        <v>8</v>
      </c>
      <c r="D555" s="8" t="s">
        <v>8</v>
      </c>
      <c r="F555" s="8" t="s">
        <v>8</v>
      </c>
      <c r="G555" s="8" t="s">
        <v>8</v>
      </c>
      <c r="I555" s="94" t="str">
        <f>IFERROR(__xludf.DUMMYFUNCTION("if(H555=""Must be Together"",iferror(join("", "",unique(filter({filter('Students (Vertical)'!O:O,'Students (Vertical)'!C:C=B555,'Students (Vertical)'!O:O&lt;&gt;"""");filter('Students (Vertical)'!O:O,'Students (Vertical)'!C:C=E555,'Students (Vertical)'!O:O&lt;&gt;"""&amp;""")},countifs({filter('Students (Vertical)'!O:O,'Students (Vertical)'!C:C=B555,'Students (Vertical)'!O:O&lt;&gt;"""");filter('Students (Vertical)'!O:O,'Students (Vertical)'!C:C=E555,'Students (Vertical)'!O:O&lt;&gt;"""")},{filter('Students (Vertical)'!O:O,'Students ("&amp;"Vertical)'!C:C=B555,'Students (Vertical)'!O:O&lt;&gt;"""");filter('Students (Vertical)'!O:O,'Students (Vertical)'!C:C=E555,'Students (Vertical)'!O:O&lt;&gt;"""")})&gt;1))),""No shared courses""),"""")"),"")</f>
        <v/>
      </c>
      <c r="J555" s="94" t="str">
        <f>IFERROR(__xludf.DUMMYFUNCTION("if(H555=""Can't be Together"",iferror(join("", "",unique(filter({unique(filter('Students (Vertical)'!O:O,'Students (Vertical)'!C:C=B555,'Students (Vertical)'!O:O&lt;&gt;"""",'Students (Vertical)'!P:P&gt;1));unique(filter('Students (Vertical)'!O:O,'Students (Vertic"&amp;"al)'!C:C=E555,'Students (Vertical)'!O:O&lt;&gt;"""",'Students (Vertical)'!P:P&gt;1))},countifs({unique(filter('Students (Vertical)'!O:O,'Students (Vertical)'!C:C=B555,'Students (Vertical)'!O:O&lt;&gt;"""",'Students (Vertical)'!P:P&gt;1));unique(filter('Students (Vertical)'"&amp;"!O:O,'Students (Vertical)'!C:C=E555,'Students (Vertical)'!O:O&lt;&gt;"""",'Students (Vertical)'!P:P&gt;1))},{unique(filter('Students (Vertical)'!O:O,'Students (Vertical)'!C:C=B555,'Students (Vertical)'!O:O&lt;&gt;"""",'Students (Vertical)'!P:P&gt;1));unique(filter('Student"&amp;"s (Vertical)'!O:O,'Students (Vertical)'!C:C=E555,'Students (Vertical)'!O:O&lt;&gt;"""",'Students (Vertical)'!P:P&gt;1))})&gt;1))),""""),"""")"),"")</f>
        <v/>
      </c>
      <c r="K555" s="96" t="str">
        <f>IFERROR(__xludf.DUMMYFUNCTION("iferror(join("", "",unique(filter({filter('Students (Vertical)'!D:D,'Students (Vertical)'!C:C=B555,'Students (Vertical)'!D:D&lt;&gt;"""");filter('Students (Vertical)'!D:D,'Students (Vertical)'!C:C=E555,'Students (Vertical)'!D:D&lt;&gt;"""")},countifs({filter('Student"&amp;"s (Vertical)'!D:D,'Students (Vertical)'!C:C=B555,'Students (Vertical)'!D:D&lt;&gt;"""");filter('Students (Vertical)'!D:D,'Students (Vertical)'!C:C=E555,'Students (Vertical)'!D:D&lt;&gt;"""")},{filter('Students (Vertical)'!D:D,'Students (Vertical)'!C:C=B555,'Students "&amp;"(Vertical)'!D:D&lt;&gt;"""");filter('Students (Vertical)'!D:D,'Students (Vertical)'!C:C=E555,'Students (Vertical)'!D:D&lt;&gt;"""")})&gt;1))),"""")"),"")</f>
        <v/>
      </c>
      <c r="L555" s="96"/>
      <c r="M555" s="96"/>
    </row>
    <row r="556" hidden="1">
      <c r="A556" s="8" t="s">
        <v>8</v>
      </c>
      <c r="C556" s="8" t="s">
        <v>8</v>
      </c>
      <c r="D556" s="8" t="s">
        <v>8</v>
      </c>
      <c r="F556" s="8" t="s">
        <v>8</v>
      </c>
      <c r="G556" s="8" t="s">
        <v>8</v>
      </c>
      <c r="I556" s="94" t="str">
        <f>IFERROR(__xludf.DUMMYFUNCTION("if(H556=""Must be Together"",iferror(join("", "",unique(filter({filter('Students (Vertical)'!O:O,'Students (Vertical)'!C:C=B556,'Students (Vertical)'!O:O&lt;&gt;"""");filter('Students (Vertical)'!O:O,'Students (Vertical)'!C:C=E556,'Students (Vertical)'!O:O&lt;&gt;"""&amp;""")},countifs({filter('Students (Vertical)'!O:O,'Students (Vertical)'!C:C=B556,'Students (Vertical)'!O:O&lt;&gt;"""");filter('Students (Vertical)'!O:O,'Students (Vertical)'!C:C=E556,'Students (Vertical)'!O:O&lt;&gt;"""")},{filter('Students (Vertical)'!O:O,'Students ("&amp;"Vertical)'!C:C=B556,'Students (Vertical)'!O:O&lt;&gt;"""");filter('Students (Vertical)'!O:O,'Students (Vertical)'!C:C=E556,'Students (Vertical)'!O:O&lt;&gt;"""")})&gt;1))),""No shared courses""),"""")"),"")</f>
        <v/>
      </c>
      <c r="J556" s="94" t="str">
        <f>IFERROR(__xludf.DUMMYFUNCTION("if(H556=""Can't be Together"",iferror(join("", "",unique(filter({unique(filter('Students (Vertical)'!O:O,'Students (Vertical)'!C:C=B556,'Students (Vertical)'!O:O&lt;&gt;"""",'Students (Vertical)'!P:P&gt;1));unique(filter('Students (Vertical)'!O:O,'Students (Vertic"&amp;"al)'!C:C=E556,'Students (Vertical)'!O:O&lt;&gt;"""",'Students (Vertical)'!P:P&gt;1))},countifs({unique(filter('Students (Vertical)'!O:O,'Students (Vertical)'!C:C=B556,'Students (Vertical)'!O:O&lt;&gt;"""",'Students (Vertical)'!P:P&gt;1));unique(filter('Students (Vertical)'"&amp;"!O:O,'Students (Vertical)'!C:C=E556,'Students (Vertical)'!O:O&lt;&gt;"""",'Students (Vertical)'!P:P&gt;1))},{unique(filter('Students (Vertical)'!O:O,'Students (Vertical)'!C:C=B556,'Students (Vertical)'!O:O&lt;&gt;"""",'Students (Vertical)'!P:P&gt;1));unique(filter('Student"&amp;"s (Vertical)'!O:O,'Students (Vertical)'!C:C=E556,'Students (Vertical)'!O:O&lt;&gt;"""",'Students (Vertical)'!P:P&gt;1))})&gt;1))),""""),"""")"),"")</f>
        <v/>
      </c>
      <c r="K556" s="96" t="str">
        <f>IFERROR(__xludf.DUMMYFUNCTION("iferror(join("", "",unique(filter({filter('Students (Vertical)'!D:D,'Students (Vertical)'!C:C=B556,'Students (Vertical)'!D:D&lt;&gt;"""");filter('Students (Vertical)'!D:D,'Students (Vertical)'!C:C=E556,'Students (Vertical)'!D:D&lt;&gt;"""")},countifs({filter('Student"&amp;"s (Vertical)'!D:D,'Students (Vertical)'!C:C=B556,'Students (Vertical)'!D:D&lt;&gt;"""");filter('Students (Vertical)'!D:D,'Students (Vertical)'!C:C=E556,'Students (Vertical)'!D:D&lt;&gt;"""")},{filter('Students (Vertical)'!D:D,'Students (Vertical)'!C:C=B556,'Students "&amp;"(Vertical)'!D:D&lt;&gt;"""");filter('Students (Vertical)'!D:D,'Students (Vertical)'!C:C=E556,'Students (Vertical)'!D:D&lt;&gt;"""")})&gt;1))),"""")"),"")</f>
        <v/>
      </c>
      <c r="L556" s="96"/>
      <c r="M556" s="96"/>
    </row>
    <row r="557" hidden="1">
      <c r="A557" s="8" t="s">
        <v>8</v>
      </c>
      <c r="C557" s="8" t="s">
        <v>8</v>
      </c>
      <c r="D557" s="8" t="s">
        <v>8</v>
      </c>
      <c r="F557" s="8" t="s">
        <v>8</v>
      </c>
      <c r="G557" s="8" t="s">
        <v>8</v>
      </c>
      <c r="I557" s="94" t="str">
        <f>IFERROR(__xludf.DUMMYFUNCTION("if(H557=""Must be Together"",iferror(join("", "",unique(filter({filter('Students (Vertical)'!O:O,'Students (Vertical)'!C:C=B557,'Students (Vertical)'!O:O&lt;&gt;"""");filter('Students (Vertical)'!O:O,'Students (Vertical)'!C:C=E557,'Students (Vertical)'!O:O&lt;&gt;"""&amp;""")},countifs({filter('Students (Vertical)'!O:O,'Students (Vertical)'!C:C=B557,'Students (Vertical)'!O:O&lt;&gt;"""");filter('Students (Vertical)'!O:O,'Students (Vertical)'!C:C=E557,'Students (Vertical)'!O:O&lt;&gt;"""")},{filter('Students (Vertical)'!O:O,'Students ("&amp;"Vertical)'!C:C=B557,'Students (Vertical)'!O:O&lt;&gt;"""");filter('Students (Vertical)'!O:O,'Students (Vertical)'!C:C=E557,'Students (Vertical)'!O:O&lt;&gt;"""")})&gt;1))),""No shared courses""),"""")"),"")</f>
        <v/>
      </c>
      <c r="J557" s="94" t="str">
        <f>IFERROR(__xludf.DUMMYFUNCTION("if(H557=""Can't be Together"",iferror(join("", "",unique(filter({unique(filter('Students (Vertical)'!O:O,'Students (Vertical)'!C:C=B557,'Students (Vertical)'!O:O&lt;&gt;"""",'Students (Vertical)'!P:P&gt;1));unique(filter('Students (Vertical)'!O:O,'Students (Vertic"&amp;"al)'!C:C=E557,'Students (Vertical)'!O:O&lt;&gt;"""",'Students (Vertical)'!P:P&gt;1))},countifs({unique(filter('Students (Vertical)'!O:O,'Students (Vertical)'!C:C=B557,'Students (Vertical)'!O:O&lt;&gt;"""",'Students (Vertical)'!P:P&gt;1));unique(filter('Students (Vertical)'"&amp;"!O:O,'Students (Vertical)'!C:C=E557,'Students (Vertical)'!O:O&lt;&gt;"""",'Students (Vertical)'!P:P&gt;1))},{unique(filter('Students (Vertical)'!O:O,'Students (Vertical)'!C:C=B557,'Students (Vertical)'!O:O&lt;&gt;"""",'Students (Vertical)'!P:P&gt;1));unique(filter('Student"&amp;"s (Vertical)'!O:O,'Students (Vertical)'!C:C=E557,'Students (Vertical)'!O:O&lt;&gt;"""",'Students (Vertical)'!P:P&gt;1))})&gt;1))),""""),"""")"),"")</f>
        <v/>
      </c>
      <c r="K557" s="96" t="str">
        <f>IFERROR(__xludf.DUMMYFUNCTION("iferror(join("", "",unique(filter({filter('Students (Vertical)'!D:D,'Students (Vertical)'!C:C=B557,'Students (Vertical)'!D:D&lt;&gt;"""");filter('Students (Vertical)'!D:D,'Students (Vertical)'!C:C=E557,'Students (Vertical)'!D:D&lt;&gt;"""")},countifs({filter('Student"&amp;"s (Vertical)'!D:D,'Students (Vertical)'!C:C=B557,'Students (Vertical)'!D:D&lt;&gt;"""");filter('Students (Vertical)'!D:D,'Students (Vertical)'!C:C=E557,'Students (Vertical)'!D:D&lt;&gt;"""")},{filter('Students (Vertical)'!D:D,'Students (Vertical)'!C:C=B557,'Students "&amp;"(Vertical)'!D:D&lt;&gt;"""");filter('Students (Vertical)'!D:D,'Students (Vertical)'!C:C=E557,'Students (Vertical)'!D:D&lt;&gt;"""")})&gt;1))),"""")"),"")</f>
        <v/>
      </c>
      <c r="L557" s="96"/>
      <c r="M557" s="96"/>
    </row>
    <row r="558" hidden="1">
      <c r="A558" s="8" t="s">
        <v>8</v>
      </c>
      <c r="C558" s="8" t="s">
        <v>8</v>
      </c>
      <c r="D558" s="8" t="s">
        <v>8</v>
      </c>
      <c r="F558" s="8" t="s">
        <v>8</v>
      </c>
      <c r="G558" s="8" t="s">
        <v>8</v>
      </c>
      <c r="I558" s="94" t="str">
        <f>IFERROR(__xludf.DUMMYFUNCTION("if(H558=""Must be Together"",iferror(join("", "",unique(filter({filter('Students (Vertical)'!O:O,'Students (Vertical)'!C:C=B558,'Students (Vertical)'!O:O&lt;&gt;"""");filter('Students (Vertical)'!O:O,'Students (Vertical)'!C:C=E558,'Students (Vertical)'!O:O&lt;&gt;"""&amp;""")},countifs({filter('Students (Vertical)'!O:O,'Students (Vertical)'!C:C=B558,'Students (Vertical)'!O:O&lt;&gt;"""");filter('Students (Vertical)'!O:O,'Students (Vertical)'!C:C=E558,'Students (Vertical)'!O:O&lt;&gt;"""")},{filter('Students (Vertical)'!O:O,'Students ("&amp;"Vertical)'!C:C=B558,'Students (Vertical)'!O:O&lt;&gt;"""");filter('Students (Vertical)'!O:O,'Students (Vertical)'!C:C=E558,'Students (Vertical)'!O:O&lt;&gt;"""")})&gt;1))),""No shared courses""),"""")"),"")</f>
        <v/>
      </c>
      <c r="J558" s="94" t="str">
        <f>IFERROR(__xludf.DUMMYFUNCTION("if(H558=""Can't be Together"",iferror(join("", "",unique(filter({unique(filter('Students (Vertical)'!O:O,'Students (Vertical)'!C:C=B558,'Students (Vertical)'!O:O&lt;&gt;"""",'Students (Vertical)'!P:P&gt;1));unique(filter('Students (Vertical)'!O:O,'Students (Vertic"&amp;"al)'!C:C=E558,'Students (Vertical)'!O:O&lt;&gt;"""",'Students (Vertical)'!P:P&gt;1))},countifs({unique(filter('Students (Vertical)'!O:O,'Students (Vertical)'!C:C=B558,'Students (Vertical)'!O:O&lt;&gt;"""",'Students (Vertical)'!P:P&gt;1));unique(filter('Students (Vertical)'"&amp;"!O:O,'Students (Vertical)'!C:C=E558,'Students (Vertical)'!O:O&lt;&gt;"""",'Students (Vertical)'!P:P&gt;1))},{unique(filter('Students (Vertical)'!O:O,'Students (Vertical)'!C:C=B558,'Students (Vertical)'!O:O&lt;&gt;"""",'Students (Vertical)'!P:P&gt;1));unique(filter('Student"&amp;"s (Vertical)'!O:O,'Students (Vertical)'!C:C=E558,'Students (Vertical)'!O:O&lt;&gt;"""",'Students (Vertical)'!P:P&gt;1))})&gt;1))),""""),"""")"),"")</f>
        <v/>
      </c>
      <c r="K558" s="96" t="str">
        <f>IFERROR(__xludf.DUMMYFUNCTION("iferror(join("", "",unique(filter({filter('Students (Vertical)'!D:D,'Students (Vertical)'!C:C=B558,'Students (Vertical)'!D:D&lt;&gt;"""");filter('Students (Vertical)'!D:D,'Students (Vertical)'!C:C=E558,'Students (Vertical)'!D:D&lt;&gt;"""")},countifs({filter('Student"&amp;"s (Vertical)'!D:D,'Students (Vertical)'!C:C=B558,'Students (Vertical)'!D:D&lt;&gt;"""");filter('Students (Vertical)'!D:D,'Students (Vertical)'!C:C=E558,'Students (Vertical)'!D:D&lt;&gt;"""")},{filter('Students (Vertical)'!D:D,'Students (Vertical)'!C:C=B558,'Students "&amp;"(Vertical)'!D:D&lt;&gt;"""");filter('Students (Vertical)'!D:D,'Students (Vertical)'!C:C=E558,'Students (Vertical)'!D:D&lt;&gt;"""")})&gt;1))),"""")"),"")</f>
        <v/>
      </c>
      <c r="L558" s="96"/>
      <c r="M558" s="96"/>
    </row>
    <row r="559" hidden="1">
      <c r="A559" s="8" t="s">
        <v>8</v>
      </c>
      <c r="C559" s="8" t="s">
        <v>8</v>
      </c>
      <c r="D559" s="8" t="s">
        <v>8</v>
      </c>
      <c r="F559" s="8" t="s">
        <v>8</v>
      </c>
      <c r="G559" s="8" t="s">
        <v>8</v>
      </c>
      <c r="I559" s="94" t="str">
        <f>IFERROR(__xludf.DUMMYFUNCTION("if(H559=""Must be Together"",iferror(join("", "",unique(filter({filter('Students (Vertical)'!O:O,'Students (Vertical)'!C:C=B559,'Students (Vertical)'!O:O&lt;&gt;"""");filter('Students (Vertical)'!O:O,'Students (Vertical)'!C:C=E559,'Students (Vertical)'!O:O&lt;&gt;"""&amp;""")},countifs({filter('Students (Vertical)'!O:O,'Students (Vertical)'!C:C=B559,'Students (Vertical)'!O:O&lt;&gt;"""");filter('Students (Vertical)'!O:O,'Students (Vertical)'!C:C=E559,'Students (Vertical)'!O:O&lt;&gt;"""")},{filter('Students (Vertical)'!O:O,'Students ("&amp;"Vertical)'!C:C=B559,'Students (Vertical)'!O:O&lt;&gt;"""");filter('Students (Vertical)'!O:O,'Students (Vertical)'!C:C=E559,'Students (Vertical)'!O:O&lt;&gt;"""")})&gt;1))),""No shared courses""),"""")"),"")</f>
        <v/>
      </c>
      <c r="J559" s="94" t="str">
        <f>IFERROR(__xludf.DUMMYFUNCTION("if(H559=""Can't be Together"",iferror(join("", "",unique(filter({unique(filter('Students (Vertical)'!O:O,'Students (Vertical)'!C:C=B559,'Students (Vertical)'!O:O&lt;&gt;"""",'Students (Vertical)'!P:P&gt;1));unique(filter('Students (Vertical)'!O:O,'Students (Vertic"&amp;"al)'!C:C=E559,'Students (Vertical)'!O:O&lt;&gt;"""",'Students (Vertical)'!P:P&gt;1))},countifs({unique(filter('Students (Vertical)'!O:O,'Students (Vertical)'!C:C=B559,'Students (Vertical)'!O:O&lt;&gt;"""",'Students (Vertical)'!P:P&gt;1));unique(filter('Students (Vertical)'"&amp;"!O:O,'Students (Vertical)'!C:C=E559,'Students (Vertical)'!O:O&lt;&gt;"""",'Students (Vertical)'!P:P&gt;1))},{unique(filter('Students (Vertical)'!O:O,'Students (Vertical)'!C:C=B559,'Students (Vertical)'!O:O&lt;&gt;"""",'Students (Vertical)'!P:P&gt;1));unique(filter('Student"&amp;"s (Vertical)'!O:O,'Students (Vertical)'!C:C=E559,'Students (Vertical)'!O:O&lt;&gt;"""",'Students (Vertical)'!P:P&gt;1))})&gt;1))),""""),"""")"),"")</f>
        <v/>
      </c>
      <c r="K559" s="96" t="str">
        <f>IFERROR(__xludf.DUMMYFUNCTION("iferror(join("", "",unique(filter({filter('Students (Vertical)'!D:D,'Students (Vertical)'!C:C=B559,'Students (Vertical)'!D:D&lt;&gt;"""");filter('Students (Vertical)'!D:D,'Students (Vertical)'!C:C=E559,'Students (Vertical)'!D:D&lt;&gt;"""")},countifs({filter('Student"&amp;"s (Vertical)'!D:D,'Students (Vertical)'!C:C=B559,'Students (Vertical)'!D:D&lt;&gt;"""");filter('Students (Vertical)'!D:D,'Students (Vertical)'!C:C=E559,'Students (Vertical)'!D:D&lt;&gt;"""")},{filter('Students (Vertical)'!D:D,'Students (Vertical)'!C:C=B559,'Students "&amp;"(Vertical)'!D:D&lt;&gt;"""");filter('Students (Vertical)'!D:D,'Students (Vertical)'!C:C=E559,'Students (Vertical)'!D:D&lt;&gt;"""")})&gt;1))),"""")"),"")</f>
        <v/>
      </c>
      <c r="L559" s="96"/>
      <c r="M559" s="96"/>
    </row>
    <row r="560" hidden="1">
      <c r="A560" s="8" t="s">
        <v>8</v>
      </c>
      <c r="C560" s="8" t="s">
        <v>8</v>
      </c>
      <c r="D560" s="8" t="s">
        <v>8</v>
      </c>
      <c r="F560" s="8" t="s">
        <v>8</v>
      </c>
      <c r="G560" s="8" t="s">
        <v>8</v>
      </c>
      <c r="I560" s="94" t="str">
        <f>IFERROR(__xludf.DUMMYFUNCTION("if(H560=""Must be Together"",iferror(join("", "",unique(filter({filter('Students (Vertical)'!O:O,'Students (Vertical)'!C:C=B560,'Students (Vertical)'!O:O&lt;&gt;"""");filter('Students (Vertical)'!O:O,'Students (Vertical)'!C:C=E560,'Students (Vertical)'!O:O&lt;&gt;"""&amp;""")},countifs({filter('Students (Vertical)'!O:O,'Students (Vertical)'!C:C=B560,'Students (Vertical)'!O:O&lt;&gt;"""");filter('Students (Vertical)'!O:O,'Students (Vertical)'!C:C=E560,'Students (Vertical)'!O:O&lt;&gt;"""")},{filter('Students (Vertical)'!O:O,'Students ("&amp;"Vertical)'!C:C=B560,'Students (Vertical)'!O:O&lt;&gt;"""");filter('Students (Vertical)'!O:O,'Students (Vertical)'!C:C=E560,'Students (Vertical)'!O:O&lt;&gt;"""")})&gt;1))),""No shared courses""),"""")"),"")</f>
        <v/>
      </c>
      <c r="J560" s="94" t="str">
        <f>IFERROR(__xludf.DUMMYFUNCTION("if(H560=""Can't be Together"",iferror(join("", "",unique(filter({unique(filter('Students (Vertical)'!O:O,'Students (Vertical)'!C:C=B560,'Students (Vertical)'!O:O&lt;&gt;"""",'Students (Vertical)'!P:P&gt;1));unique(filter('Students (Vertical)'!O:O,'Students (Vertic"&amp;"al)'!C:C=E560,'Students (Vertical)'!O:O&lt;&gt;"""",'Students (Vertical)'!P:P&gt;1))},countifs({unique(filter('Students (Vertical)'!O:O,'Students (Vertical)'!C:C=B560,'Students (Vertical)'!O:O&lt;&gt;"""",'Students (Vertical)'!P:P&gt;1));unique(filter('Students (Vertical)'"&amp;"!O:O,'Students (Vertical)'!C:C=E560,'Students (Vertical)'!O:O&lt;&gt;"""",'Students (Vertical)'!P:P&gt;1))},{unique(filter('Students (Vertical)'!O:O,'Students (Vertical)'!C:C=B560,'Students (Vertical)'!O:O&lt;&gt;"""",'Students (Vertical)'!P:P&gt;1));unique(filter('Student"&amp;"s (Vertical)'!O:O,'Students (Vertical)'!C:C=E560,'Students (Vertical)'!O:O&lt;&gt;"""",'Students (Vertical)'!P:P&gt;1))})&gt;1))),""""),"""")"),"")</f>
        <v/>
      </c>
      <c r="K560" s="96" t="str">
        <f>IFERROR(__xludf.DUMMYFUNCTION("iferror(join("", "",unique(filter({filter('Students (Vertical)'!D:D,'Students (Vertical)'!C:C=B560,'Students (Vertical)'!D:D&lt;&gt;"""");filter('Students (Vertical)'!D:D,'Students (Vertical)'!C:C=E560,'Students (Vertical)'!D:D&lt;&gt;"""")},countifs({filter('Student"&amp;"s (Vertical)'!D:D,'Students (Vertical)'!C:C=B560,'Students (Vertical)'!D:D&lt;&gt;"""");filter('Students (Vertical)'!D:D,'Students (Vertical)'!C:C=E560,'Students (Vertical)'!D:D&lt;&gt;"""")},{filter('Students (Vertical)'!D:D,'Students (Vertical)'!C:C=B560,'Students "&amp;"(Vertical)'!D:D&lt;&gt;"""");filter('Students (Vertical)'!D:D,'Students (Vertical)'!C:C=E560,'Students (Vertical)'!D:D&lt;&gt;"""")})&gt;1))),"""")"),"")</f>
        <v/>
      </c>
      <c r="L560" s="96"/>
      <c r="M560" s="96"/>
    </row>
    <row r="561" hidden="1">
      <c r="A561" s="8" t="s">
        <v>8</v>
      </c>
      <c r="C561" s="8" t="s">
        <v>8</v>
      </c>
      <c r="D561" s="8" t="s">
        <v>8</v>
      </c>
      <c r="F561" s="8" t="s">
        <v>8</v>
      </c>
      <c r="G561" s="8" t="s">
        <v>8</v>
      </c>
      <c r="I561" s="94" t="str">
        <f>IFERROR(__xludf.DUMMYFUNCTION("if(H561=""Must be Together"",iferror(join("", "",unique(filter({filter('Students (Vertical)'!O:O,'Students (Vertical)'!C:C=B561,'Students (Vertical)'!O:O&lt;&gt;"""");filter('Students (Vertical)'!O:O,'Students (Vertical)'!C:C=E561,'Students (Vertical)'!O:O&lt;&gt;"""&amp;""")},countifs({filter('Students (Vertical)'!O:O,'Students (Vertical)'!C:C=B561,'Students (Vertical)'!O:O&lt;&gt;"""");filter('Students (Vertical)'!O:O,'Students (Vertical)'!C:C=E561,'Students (Vertical)'!O:O&lt;&gt;"""")},{filter('Students (Vertical)'!O:O,'Students ("&amp;"Vertical)'!C:C=B561,'Students (Vertical)'!O:O&lt;&gt;"""");filter('Students (Vertical)'!O:O,'Students (Vertical)'!C:C=E561,'Students (Vertical)'!O:O&lt;&gt;"""")})&gt;1))),""No shared courses""),"""")"),"")</f>
        <v/>
      </c>
      <c r="J561" s="94" t="str">
        <f>IFERROR(__xludf.DUMMYFUNCTION("if(H561=""Can't be Together"",iferror(join("", "",unique(filter({unique(filter('Students (Vertical)'!O:O,'Students (Vertical)'!C:C=B561,'Students (Vertical)'!O:O&lt;&gt;"""",'Students (Vertical)'!P:P&gt;1));unique(filter('Students (Vertical)'!O:O,'Students (Vertic"&amp;"al)'!C:C=E561,'Students (Vertical)'!O:O&lt;&gt;"""",'Students (Vertical)'!P:P&gt;1))},countifs({unique(filter('Students (Vertical)'!O:O,'Students (Vertical)'!C:C=B561,'Students (Vertical)'!O:O&lt;&gt;"""",'Students (Vertical)'!P:P&gt;1));unique(filter('Students (Vertical)'"&amp;"!O:O,'Students (Vertical)'!C:C=E561,'Students (Vertical)'!O:O&lt;&gt;"""",'Students (Vertical)'!P:P&gt;1))},{unique(filter('Students (Vertical)'!O:O,'Students (Vertical)'!C:C=B561,'Students (Vertical)'!O:O&lt;&gt;"""",'Students (Vertical)'!P:P&gt;1));unique(filter('Student"&amp;"s (Vertical)'!O:O,'Students (Vertical)'!C:C=E561,'Students (Vertical)'!O:O&lt;&gt;"""",'Students (Vertical)'!P:P&gt;1))})&gt;1))),""""),"""")"),"")</f>
        <v/>
      </c>
      <c r="K561" s="96" t="str">
        <f>IFERROR(__xludf.DUMMYFUNCTION("iferror(join("", "",unique(filter({filter('Students (Vertical)'!D:D,'Students (Vertical)'!C:C=B561,'Students (Vertical)'!D:D&lt;&gt;"""");filter('Students (Vertical)'!D:D,'Students (Vertical)'!C:C=E561,'Students (Vertical)'!D:D&lt;&gt;"""")},countifs({filter('Student"&amp;"s (Vertical)'!D:D,'Students (Vertical)'!C:C=B561,'Students (Vertical)'!D:D&lt;&gt;"""");filter('Students (Vertical)'!D:D,'Students (Vertical)'!C:C=E561,'Students (Vertical)'!D:D&lt;&gt;"""")},{filter('Students (Vertical)'!D:D,'Students (Vertical)'!C:C=B561,'Students "&amp;"(Vertical)'!D:D&lt;&gt;"""");filter('Students (Vertical)'!D:D,'Students (Vertical)'!C:C=E561,'Students (Vertical)'!D:D&lt;&gt;"""")})&gt;1))),"""")"),"")</f>
        <v/>
      </c>
      <c r="L561" s="96"/>
      <c r="M561" s="96"/>
    </row>
    <row r="562" hidden="1">
      <c r="A562" s="8" t="s">
        <v>8</v>
      </c>
      <c r="C562" s="8" t="s">
        <v>8</v>
      </c>
      <c r="D562" s="8" t="s">
        <v>8</v>
      </c>
      <c r="F562" s="8" t="s">
        <v>8</v>
      </c>
      <c r="G562" s="8" t="s">
        <v>8</v>
      </c>
      <c r="I562" s="94" t="str">
        <f>IFERROR(__xludf.DUMMYFUNCTION("if(H562=""Must be Together"",iferror(join("", "",unique(filter({filter('Students (Vertical)'!O:O,'Students (Vertical)'!C:C=B562,'Students (Vertical)'!O:O&lt;&gt;"""");filter('Students (Vertical)'!O:O,'Students (Vertical)'!C:C=E562,'Students (Vertical)'!O:O&lt;&gt;"""&amp;""")},countifs({filter('Students (Vertical)'!O:O,'Students (Vertical)'!C:C=B562,'Students (Vertical)'!O:O&lt;&gt;"""");filter('Students (Vertical)'!O:O,'Students (Vertical)'!C:C=E562,'Students (Vertical)'!O:O&lt;&gt;"""")},{filter('Students (Vertical)'!O:O,'Students ("&amp;"Vertical)'!C:C=B562,'Students (Vertical)'!O:O&lt;&gt;"""");filter('Students (Vertical)'!O:O,'Students (Vertical)'!C:C=E562,'Students (Vertical)'!O:O&lt;&gt;"""")})&gt;1))),""No shared courses""),"""")"),"")</f>
        <v/>
      </c>
      <c r="J562" s="94" t="str">
        <f>IFERROR(__xludf.DUMMYFUNCTION("if(H562=""Can't be Together"",iferror(join("", "",unique(filter({unique(filter('Students (Vertical)'!O:O,'Students (Vertical)'!C:C=B562,'Students (Vertical)'!O:O&lt;&gt;"""",'Students (Vertical)'!P:P&gt;1));unique(filter('Students (Vertical)'!O:O,'Students (Vertic"&amp;"al)'!C:C=E562,'Students (Vertical)'!O:O&lt;&gt;"""",'Students (Vertical)'!P:P&gt;1))},countifs({unique(filter('Students (Vertical)'!O:O,'Students (Vertical)'!C:C=B562,'Students (Vertical)'!O:O&lt;&gt;"""",'Students (Vertical)'!P:P&gt;1));unique(filter('Students (Vertical)'"&amp;"!O:O,'Students (Vertical)'!C:C=E562,'Students (Vertical)'!O:O&lt;&gt;"""",'Students (Vertical)'!P:P&gt;1))},{unique(filter('Students (Vertical)'!O:O,'Students (Vertical)'!C:C=B562,'Students (Vertical)'!O:O&lt;&gt;"""",'Students (Vertical)'!P:P&gt;1));unique(filter('Student"&amp;"s (Vertical)'!O:O,'Students (Vertical)'!C:C=E562,'Students (Vertical)'!O:O&lt;&gt;"""",'Students (Vertical)'!P:P&gt;1))})&gt;1))),""""),"""")"),"")</f>
        <v/>
      </c>
      <c r="K562" s="96" t="str">
        <f>IFERROR(__xludf.DUMMYFUNCTION("iferror(join("", "",unique(filter({filter('Students (Vertical)'!D:D,'Students (Vertical)'!C:C=B562,'Students (Vertical)'!D:D&lt;&gt;"""");filter('Students (Vertical)'!D:D,'Students (Vertical)'!C:C=E562,'Students (Vertical)'!D:D&lt;&gt;"""")},countifs({filter('Student"&amp;"s (Vertical)'!D:D,'Students (Vertical)'!C:C=B562,'Students (Vertical)'!D:D&lt;&gt;"""");filter('Students (Vertical)'!D:D,'Students (Vertical)'!C:C=E562,'Students (Vertical)'!D:D&lt;&gt;"""")},{filter('Students (Vertical)'!D:D,'Students (Vertical)'!C:C=B562,'Students "&amp;"(Vertical)'!D:D&lt;&gt;"""");filter('Students (Vertical)'!D:D,'Students (Vertical)'!C:C=E562,'Students (Vertical)'!D:D&lt;&gt;"""")})&gt;1))),"""")"),"")</f>
        <v/>
      </c>
      <c r="L562" s="96"/>
      <c r="M562" s="96"/>
    </row>
    <row r="563" hidden="1">
      <c r="A563" s="8" t="s">
        <v>8</v>
      </c>
      <c r="C563" s="8" t="s">
        <v>8</v>
      </c>
      <c r="D563" s="8" t="s">
        <v>8</v>
      </c>
      <c r="F563" s="8" t="s">
        <v>8</v>
      </c>
      <c r="G563" s="8" t="s">
        <v>8</v>
      </c>
      <c r="I563" s="94" t="str">
        <f>IFERROR(__xludf.DUMMYFUNCTION("if(H563=""Must be Together"",iferror(join("", "",unique(filter({filter('Students (Vertical)'!O:O,'Students (Vertical)'!C:C=B563,'Students (Vertical)'!O:O&lt;&gt;"""");filter('Students (Vertical)'!O:O,'Students (Vertical)'!C:C=E563,'Students (Vertical)'!O:O&lt;&gt;"""&amp;""")},countifs({filter('Students (Vertical)'!O:O,'Students (Vertical)'!C:C=B563,'Students (Vertical)'!O:O&lt;&gt;"""");filter('Students (Vertical)'!O:O,'Students (Vertical)'!C:C=E563,'Students (Vertical)'!O:O&lt;&gt;"""")},{filter('Students (Vertical)'!O:O,'Students ("&amp;"Vertical)'!C:C=B563,'Students (Vertical)'!O:O&lt;&gt;"""");filter('Students (Vertical)'!O:O,'Students (Vertical)'!C:C=E563,'Students (Vertical)'!O:O&lt;&gt;"""")})&gt;1))),""No shared courses""),"""")"),"")</f>
        <v/>
      </c>
      <c r="J563" s="94" t="str">
        <f>IFERROR(__xludf.DUMMYFUNCTION("if(H563=""Can't be Together"",iferror(join("", "",unique(filter({unique(filter('Students (Vertical)'!O:O,'Students (Vertical)'!C:C=B563,'Students (Vertical)'!O:O&lt;&gt;"""",'Students (Vertical)'!P:P&gt;1));unique(filter('Students (Vertical)'!O:O,'Students (Vertic"&amp;"al)'!C:C=E563,'Students (Vertical)'!O:O&lt;&gt;"""",'Students (Vertical)'!P:P&gt;1))},countifs({unique(filter('Students (Vertical)'!O:O,'Students (Vertical)'!C:C=B563,'Students (Vertical)'!O:O&lt;&gt;"""",'Students (Vertical)'!P:P&gt;1));unique(filter('Students (Vertical)'"&amp;"!O:O,'Students (Vertical)'!C:C=E563,'Students (Vertical)'!O:O&lt;&gt;"""",'Students (Vertical)'!P:P&gt;1))},{unique(filter('Students (Vertical)'!O:O,'Students (Vertical)'!C:C=B563,'Students (Vertical)'!O:O&lt;&gt;"""",'Students (Vertical)'!P:P&gt;1));unique(filter('Student"&amp;"s (Vertical)'!O:O,'Students (Vertical)'!C:C=E563,'Students (Vertical)'!O:O&lt;&gt;"""",'Students (Vertical)'!P:P&gt;1))})&gt;1))),""""),"""")"),"")</f>
        <v/>
      </c>
      <c r="K563" s="96" t="str">
        <f>IFERROR(__xludf.DUMMYFUNCTION("iferror(join("", "",unique(filter({filter('Students (Vertical)'!D:D,'Students (Vertical)'!C:C=B563,'Students (Vertical)'!D:D&lt;&gt;"""");filter('Students (Vertical)'!D:D,'Students (Vertical)'!C:C=E563,'Students (Vertical)'!D:D&lt;&gt;"""")},countifs({filter('Student"&amp;"s (Vertical)'!D:D,'Students (Vertical)'!C:C=B563,'Students (Vertical)'!D:D&lt;&gt;"""");filter('Students (Vertical)'!D:D,'Students (Vertical)'!C:C=E563,'Students (Vertical)'!D:D&lt;&gt;"""")},{filter('Students (Vertical)'!D:D,'Students (Vertical)'!C:C=B563,'Students "&amp;"(Vertical)'!D:D&lt;&gt;"""");filter('Students (Vertical)'!D:D,'Students (Vertical)'!C:C=E563,'Students (Vertical)'!D:D&lt;&gt;"""")})&gt;1))),"""")"),"")</f>
        <v/>
      </c>
      <c r="L563" s="96"/>
      <c r="M563" s="96"/>
    </row>
    <row r="564" hidden="1">
      <c r="A564" s="8" t="s">
        <v>8</v>
      </c>
      <c r="C564" s="8" t="s">
        <v>8</v>
      </c>
      <c r="D564" s="8" t="s">
        <v>8</v>
      </c>
      <c r="F564" s="8" t="s">
        <v>8</v>
      </c>
      <c r="G564" s="8" t="s">
        <v>8</v>
      </c>
      <c r="I564" s="94" t="str">
        <f>IFERROR(__xludf.DUMMYFUNCTION("if(H564=""Must be Together"",iferror(join("", "",unique(filter({filter('Students (Vertical)'!O:O,'Students (Vertical)'!C:C=B564,'Students (Vertical)'!O:O&lt;&gt;"""");filter('Students (Vertical)'!O:O,'Students (Vertical)'!C:C=E564,'Students (Vertical)'!O:O&lt;&gt;"""&amp;""")},countifs({filter('Students (Vertical)'!O:O,'Students (Vertical)'!C:C=B564,'Students (Vertical)'!O:O&lt;&gt;"""");filter('Students (Vertical)'!O:O,'Students (Vertical)'!C:C=E564,'Students (Vertical)'!O:O&lt;&gt;"""")},{filter('Students (Vertical)'!O:O,'Students ("&amp;"Vertical)'!C:C=B564,'Students (Vertical)'!O:O&lt;&gt;"""");filter('Students (Vertical)'!O:O,'Students (Vertical)'!C:C=E564,'Students (Vertical)'!O:O&lt;&gt;"""")})&gt;1))),""No shared courses""),"""")"),"")</f>
        <v/>
      </c>
      <c r="J564" s="94" t="str">
        <f>IFERROR(__xludf.DUMMYFUNCTION("if(H564=""Can't be Together"",iferror(join("", "",unique(filter({unique(filter('Students (Vertical)'!O:O,'Students (Vertical)'!C:C=B564,'Students (Vertical)'!O:O&lt;&gt;"""",'Students (Vertical)'!P:P&gt;1));unique(filter('Students (Vertical)'!O:O,'Students (Vertic"&amp;"al)'!C:C=E564,'Students (Vertical)'!O:O&lt;&gt;"""",'Students (Vertical)'!P:P&gt;1))},countifs({unique(filter('Students (Vertical)'!O:O,'Students (Vertical)'!C:C=B564,'Students (Vertical)'!O:O&lt;&gt;"""",'Students (Vertical)'!P:P&gt;1));unique(filter('Students (Vertical)'"&amp;"!O:O,'Students (Vertical)'!C:C=E564,'Students (Vertical)'!O:O&lt;&gt;"""",'Students (Vertical)'!P:P&gt;1))},{unique(filter('Students (Vertical)'!O:O,'Students (Vertical)'!C:C=B564,'Students (Vertical)'!O:O&lt;&gt;"""",'Students (Vertical)'!P:P&gt;1));unique(filter('Student"&amp;"s (Vertical)'!O:O,'Students (Vertical)'!C:C=E564,'Students (Vertical)'!O:O&lt;&gt;"""",'Students (Vertical)'!P:P&gt;1))})&gt;1))),""""),"""")"),"")</f>
        <v/>
      </c>
      <c r="K564" s="96" t="str">
        <f>IFERROR(__xludf.DUMMYFUNCTION("iferror(join("", "",unique(filter({filter('Students (Vertical)'!D:D,'Students (Vertical)'!C:C=B564,'Students (Vertical)'!D:D&lt;&gt;"""");filter('Students (Vertical)'!D:D,'Students (Vertical)'!C:C=E564,'Students (Vertical)'!D:D&lt;&gt;"""")},countifs({filter('Student"&amp;"s (Vertical)'!D:D,'Students (Vertical)'!C:C=B564,'Students (Vertical)'!D:D&lt;&gt;"""");filter('Students (Vertical)'!D:D,'Students (Vertical)'!C:C=E564,'Students (Vertical)'!D:D&lt;&gt;"""")},{filter('Students (Vertical)'!D:D,'Students (Vertical)'!C:C=B564,'Students "&amp;"(Vertical)'!D:D&lt;&gt;"""");filter('Students (Vertical)'!D:D,'Students (Vertical)'!C:C=E564,'Students (Vertical)'!D:D&lt;&gt;"""")})&gt;1))),"""")"),"")</f>
        <v/>
      </c>
      <c r="L564" s="96"/>
      <c r="M564" s="96"/>
    </row>
    <row r="565" hidden="1">
      <c r="A565" s="8" t="s">
        <v>8</v>
      </c>
      <c r="C565" s="8" t="s">
        <v>8</v>
      </c>
      <c r="D565" s="8" t="s">
        <v>8</v>
      </c>
      <c r="F565" s="8" t="s">
        <v>8</v>
      </c>
      <c r="G565" s="8" t="s">
        <v>8</v>
      </c>
      <c r="I565" s="94" t="str">
        <f>IFERROR(__xludf.DUMMYFUNCTION("if(H565=""Must be Together"",iferror(join("", "",unique(filter({filter('Students (Vertical)'!O:O,'Students (Vertical)'!C:C=B565,'Students (Vertical)'!O:O&lt;&gt;"""");filter('Students (Vertical)'!O:O,'Students (Vertical)'!C:C=E565,'Students (Vertical)'!O:O&lt;&gt;"""&amp;""")},countifs({filter('Students (Vertical)'!O:O,'Students (Vertical)'!C:C=B565,'Students (Vertical)'!O:O&lt;&gt;"""");filter('Students (Vertical)'!O:O,'Students (Vertical)'!C:C=E565,'Students (Vertical)'!O:O&lt;&gt;"""")},{filter('Students (Vertical)'!O:O,'Students ("&amp;"Vertical)'!C:C=B565,'Students (Vertical)'!O:O&lt;&gt;"""");filter('Students (Vertical)'!O:O,'Students (Vertical)'!C:C=E565,'Students (Vertical)'!O:O&lt;&gt;"""")})&gt;1))),""No shared courses""),"""")"),"")</f>
        <v/>
      </c>
      <c r="J565" s="94" t="str">
        <f>IFERROR(__xludf.DUMMYFUNCTION("if(H565=""Can't be Together"",iferror(join("", "",unique(filter({unique(filter('Students (Vertical)'!O:O,'Students (Vertical)'!C:C=B565,'Students (Vertical)'!O:O&lt;&gt;"""",'Students (Vertical)'!P:P&gt;1));unique(filter('Students (Vertical)'!O:O,'Students (Vertic"&amp;"al)'!C:C=E565,'Students (Vertical)'!O:O&lt;&gt;"""",'Students (Vertical)'!P:P&gt;1))},countifs({unique(filter('Students (Vertical)'!O:O,'Students (Vertical)'!C:C=B565,'Students (Vertical)'!O:O&lt;&gt;"""",'Students (Vertical)'!P:P&gt;1));unique(filter('Students (Vertical)'"&amp;"!O:O,'Students (Vertical)'!C:C=E565,'Students (Vertical)'!O:O&lt;&gt;"""",'Students (Vertical)'!P:P&gt;1))},{unique(filter('Students (Vertical)'!O:O,'Students (Vertical)'!C:C=B565,'Students (Vertical)'!O:O&lt;&gt;"""",'Students (Vertical)'!P:P&gt;1));unique(filter('Student"&amp;"s (Vertical)'!O:O,'Students (Vertical)'!C:C=E565,'Students (Vertical)'!O:O&lt;&gt;"""",'Students (Vertical)'!P:P&gt;1))})&gt;1))),""""),"""")"),"")</f>
        <v/>
      </c>
      <c r="K565" s="96" t="str">
        <f>IFERROR(__xludf.DUMMYFUNCTION("iferror(join("", "",unique(filter({filter('Students (Vertical)'!D:D,'Students (Vertical)'!C:C=B565,'Students (Vertical)'!D:D&lt;&gt;"""");filter('Students (Vertical)'!D:D,'Students (Vertical)'!C:C=E565,'Students (Vertical)'!D:D&lt;&gt;"""")},countifs({filter('Student"&amp;"s (Vertical)'!D:D,'Students (Vertical)'!C:C=B565,'Students (Vertical)'!D:D&lt;&gt;"""");filter('Students (Vertical)'!D:D,'Students (Vertical)'!C:C=E565,'Students (Vertical)'!D:D&lt;&gt;"""")},{filter('Students (Vertical)'!D:D,'Students (Vertical)'!C:C=B565,'Students "&amp;"(Vertical)'!D:D&lt;&gt;"""");filter('Students (Vertical)'!D:D,'Students (Vertical)'!C:C=E565,'Students (Vertical)'!D:D&lt;&gt;"""")})&gt;1))),"""")"),"")</f>
        <v/>
      </c>
      <c r="L565" s="96"/>
      <c r="M565" s="96"/>
    </row>
    <row r="566" hidden="1">
      <c r="A566" s="8" t="s">
        <v>8</v>
      </c>
      <c r="C566" s="8" t="s">
        <v>8</v>
      </c>
      <c r="D566" s="8" t="s">
        <v>8</v>
      </c>
      <c r="F566" s="8" t="s">
        <v>8</v>
      </c>
      <c r="G566" s="8" t="s">
        <v>8</v>
      </c>
      <c r="I566" s="94" t="str">
        <f>IFERROR(__xludf.DUMMYFUNCTION("if(H566=""Must be Together"",iferror(join("", "",unique(filter({filter('Students (Vertical)'!O:O,'Students (Vertical)'!C:C=B566,'Students (Vertical)'!O:O&lt;&gt;"""");filter('Students (Vertical)'!O:O,'Students (Vertical)'!C:C=E566,'Students (Vertical)'!O:O&lt;&gt;"""&amp;""")},countifs({filter('Students (Vertical)'!O:O,'Students (Vertical)'!C:C=B566,'Students (Vertical)'!O:O&lt;&gt;"""");filter('Students (Vertical)'!O:O,'Students (Vertical)'!C:C=E566,'Students (Vertical)'!O:O&lt;&gt;"""")},{filter('Students (Vertical)'!O:O,'Students ("&amp;"Vertical)'!C:C=B566,'Students (Vertical)'!O:O&lt;&gt;"""");filter('Students (Vertical)'!O:O,'Students (Vertical)'!C:C=E566,'Students (Vertical)'!O:O&lt;&gt;"""")})&gt;1))),""No shared courses""),"""")"),"")</f>
        <v/>
      </c>
      <c r="J566" s="94" t="str">
        <f>IFERROR(__xludf.DUMMYFUNCTION("if(H566=""Can't be Together"",iferror(join("", "",unique(filter({unique(filter('Students (Vertical)'!O:O,'Students (Vertical)'!C:C=B566,'Students (Vertical)'!O:O&lt;&gt;"""",'Students (Vertical)'!P:P&gt;1));unique(filter('Students (Vertical)'!O:O,'Students (Vertic"&amp;"al)'!C:C=E566,'Students (Vertical)'!O:O&lt;&gt;"""",'Students (Vertical)'!P:P&gt;1))},countifs({unique(filter('Students (Vertical)'!O:O,'Students (Vertical)'!C:C=B566,'Students (Vertical)'!O:O&lt;&gt;"""",'Students (Vertical)'!P:P&gt;1));unique(filter('Students (Vertical)'"&amp;"!O:O,'Students (Vertical)'!C:C=E566,'Students (Vertical)'!O:O&lt;&gt;"""",'Students (Vertical)'!P:P&gt;1))},{unique(filter('Students (Vertical)'!O:O,'Students (Vertical)'!C:C=B566,'Students (Vertical)'!O:O&lt;&gt;"""",'Students (Vertical)'!P:P&gt;1));unique(filter('Student"&amp;"s (Vertical)'!O:O,'Students (Vertical)'!C:C=E566,'Students (Vertical)'!O:O&lt;&gt;"""",'Students (Vertical)'!P:P&gt;1))})&gt;1))),""""),"""")"),"")</f>
        <v/>
      </c>
      <c r="K566" s="96" t="str">
        <f>IFERROR(__xludf.DUMMYFUNCTION("iferror(join("", "",unique(filter({filter('Students (Vertical)'!D:D,'Students (Vertical)'!C:C=B566,'Students (Vertical)'!D:D&lt;&gt;"""");filter('Students (Vertical)'!D:D,'Students (Vertical)'!C:C=E566,'Students (Vertical)'!D:D&lt;&gt;"""")},countifs({filter('Student"&amp;"s (Vertical)'!D:D,'Students (Vertical)'!C:C=B566,'Students (Vertical)'!D:D&lt;&gt;"""");filter('Students (Vertical)'!D:D,'Students (Vertical)'!C:C=E566,'Students (Vertical)'!D:D&lt;&gt;"""")},{filter('Students (Vertical)'!D:D,'Students (Vertical)'!C:C=B566,'Students "&amp;"(Vertical)'!D:D&lt;&gt;"""");filter('Students (Vertical)'!D:D,'Students (Vertical)'!C:C=E566,'Students (Vertical)'!D:D&lt;&gt;"""")})&gt;1))),"""")"),"")</f>
        <v/>
      </c>
      <c r="L566" s="96"/>
      <c r="M566" s="96"/>
    </row>
    <row r="567" hidden="1">
      <c r="A567" s="8" t="s">
        <v>8</v>
      </c>
      <c r="C567" s="8" t="s">
        <v>8</v>
      </c>
      <c r="D567" s="8" t="s">
        <v>8</v>
      </c>
      <c r="F567" s="8" t="s">
        <v>8</v>
      </c>
      <c r="G567" s="8" t="s">
        <v>8</v>
      </c>
      <c r="I567" s="94" t="str">
        <f>IFERROR(__xludf.DUMMYFUNCTION("if(H567=""Must be Together"",iferror(join("", "",unique(filter({filter('Students (Vertical)'!O:O,'Students (Vertical)'!C:C=B567,'Students (Vertical)'!O:O&lt;&gt;"""");filter('Students (Vertical)'!O:O,'Students (Vertical)'!C:C=E567,'Students (Vertical)'!O:O&lt;&gt;"""&amp;""")},countifs({filter('Students (Vertical)'!O:O,'Students (Vertical)'!C:C=B567,'Students (Vertical)'!O:O&lt;&gt;"""");filter('Students (Vertical)'!O:O,'Students (Vertical)'!C:C=E567,'Students (Vertical)'!O:O&lt;&gt;"""")},{filter('Students (Vertical)'!O:O,'Students ("&amp;"Vertical)'!C:C=B567,'Students (Vertical)'!O:O&lt;&gt;"""");filter('Students (Vertical)'!O:O,'Students (Vertical)'!C:C=E567,'Students (Vertical)'!O:O&lt;&gt;"""")})&gt;1))),""No shared courses""),"""")"),"")</f>
        <v/>
      </c>
      <c r="J567" s="94" t="str">
        <f>IFERROR(__xludf.DUMMYFUNCTION("if(H567=""Can't be Together"",iferror(join("", "",unique(filter({unique(filter('Students (Vertical)'!O:O,'Students (Vertical)'!C:C=B567,'Students (Vertical)'!O:O&lt;&gt;"""",'Students (Vertical)'!P:P&gt;1));unique(filter('Students (Vertical)'!O:O,'Students (Vertic"&amp;"al)'!C:C=E567,'Students (Vertical)'!O:O&lt;&gt;"""",'Students (Vertical)'!P:P&gt;1))},countifs({unique(filter('Students (Vertical)'!O:O,'Students (Vertical)'!C:C=B567,'Students (Vertical)'!O:O&lt;&gt;"""",'Students (Vertical)'!P:P&gt;1));unique(filter('Students (Vertical)'"&amp;"!O:O,'Students (Vertical)'!C:C=E567,'Students (Vertical)'!O:O&lt;&gt;"""",'Students (Vertical)'!P:P&gt;1))},{unique(filter('Students (Vertical)'!O:O,'Students (Vertical)'!C:C=B567,'Students (Vertical)'!O:O&lt;&gt;"""",'Students (Vertical)'!P:P&gt;1));unique(filter('Student"&amp;"s (Vertical)'!O:O,'Students (Vertical)'!C:C=E567,'Students (Vertical)'!O:O&lt;&gt;"""",'Students (Vertical)'!P:P&gt;1))})&gt;1))),""""),"""")"),"")</f>
        <v/>
      </c>
      <c r="K567" s="96" t="str">
        <f>IFERROR(__xludf.DUMMYFUNCTION("iferror(join("", "",unique(filter({filter('Students (Vertical)'!D:D,'Students (Vertical)'!C:C=B567,'Students (Vertical)'!D:D&lt;&gt;"""");filter('Students (Vertical)'!D:D,'Students (Vertical)'!C:C=E567,'Students (Vertical)'!D:D&lt;&gt;"""")},countifs({filter('Student"&amp;"s (Vertical)'!D:D,'Students (Vertical)'!C:C=B567,'Students (Vertical)'!D:D&lt;&gt;"""");filter('Students (Vertical)'!D:D,'Students (Vertical)'!C:C=E567,'Students (Vertical)'!D:D&lt;&gt;"""")},{filter('Students (Vertical)'!D:D,'Students (Vertical)'!C:C=B567,'Students "&amp;"(Vertical)'!D:D&lt;&gt;"""");filter('Students (Vertical)'!D:D,'Students (Vertical)'!C:C=E567,'Students (Vertical)'!D:D&lt;&gt;"""")})&gt;1))),"""")"),"")</f>
        <v/>
      </c>
      <c r="L567" s="96"/>
      <c r="M567" s="96"/>
    </row>
    <row r="568" hidden="1">
      <c r="A568" s="8" t="s">
        <v>8</v>
      </c>
      <c r="C568" s="8" t="s">
        <v>8</v>
      </c>
      <c r="D568" s="8" t="s">
        <v>8</v>
      </c>
      <c r="F568" s="8" t="s">
        <v>8</v>
      </c>
      <c r="G568" s="8" t="s">
        <v>8</v>
      </c>
      <c r="I568" s="94" t="str">
        <f>IFERROR(__xludf.DUMMYFUNCTION("if(H568=""Must be Together"",iferror(join("", "",unique(filter({filter('Students (Vertical)'!O:O,'Students (Vertical)'!C:C=B568,'Students (Vertical)'!O:O&lt;&gt;"""");filter('Students (Vertical)'!O:O,'Students (Vertical)'!C:C=E568,'Students (Vertical)'!O:O&lt;&gt;"""&amp;""")},countifs({filter('Students (Vertical)'!O:O,'Students (Vertical)'!C:C=B568,'Students (Vertical)'!O:O&lt;&gt;"""");filter('Students (Vertical)'!O:O,'Students (Vertical)'!C:C=E568,'Students (Vertical)'!O:O&lt;&gt;"""")},{filter('Students (Vertical)'!O:O,'Students ("&amp;"Vertical)'!C:C=B568,'Students (Vertical)'!O:O&lt;&gt;"""");filter('Students (Vertical)'!O:O,'Students (Vertical)'!C:C=E568,'Students (Vertical)'!O:O&lt;&gt;"""")})&gt;1))),""No shared courses""),"""")"),"")</f>
        <v/>
      </c>
      <c r="J568" s="94" t="str">
        <f>IFERROR(__xludf.DUMMYFUNCTION("if(H568=""Can't be Together"",iferror(join("", "",unique(filter({unique(filter('Students (Vertical)'!O:O,'Students (Vertical)'!C:C=B568,'Students (Vertical)'!O:O&lt;&gt;"""",'Students (Vertical)'!P:P&gt;1));unique(filter('Students (Vertical)'!O:O,'Students (Vertic"&amp;"al)'!C:C=E568,'Students (Vertical)'!O:O&lt;&gt;"""",'Students (Vertical)'!P:P&gt;1))},countifs({unique(filter('Students (Vertical)'!O:O,'Students (Vertical)'!C:C=B568,'Students (Vertical)'!O:O&lt;&gt;"""",'Students (Vertical)'!P:P&gt;1));unique(filter('Students (Vertical)'"&amp;"!O:O,'Students (Vertical)'!C:C=E568,'Students (Vertical)'!O:O&lt;&gt;"""",'Students (Vertical)'!P:P&gt;1))},{unique(filter('Students (Vertical)'!O:O,'Students (Vertical)'!C:C=B568,'Students (Vertical)'!O:O&lt;&gt;"""",'Students (Vertical)'!P:P&gt;1));unique(filter('Student"&amp;"s (Vertical)'!O:O,'Students (Vertical)'!C:C=E568,'Students (Vertical)'!O:O&lt;&gt;"""",'Students (Vertical)'!P:P&gt;1))})&gt;1))),""""),"""")"),"")</f>
        <v/>
      </c>
      <c r="K568" s="96" t="str">
        <f>IFERROR(__xludf.DUMMYFUNCTION("iferror(join("", "",unique(filter({filter('Students (Vertical)'!D:D,'Students (Vertical)'!C:C=B568,'Students (Vertical)'!D:D&lt;&gt;"""");filter('Students (Vertical)'!D:D,'Students (Vertical)'!C:C=E568,'Students (Vertical)'!D:D&lt;&gt;"""")},countifs({filter('Student"&amp;"s (Vertical)'!D:D,'Students (Vertical)'!C:C=B568,'Students (Vertical)'!D:D&lt;&gt;"""");filter('Students (Vertical)'!D:D,'Students (Vertical)'!C:C=E568,'Students (Vertical)'!D:D&lt;&gt;"""")},{filter('Students (Vertical)'!D:D,'Students (Vertical)'!C:C=B568,'Students "&amp;"(Vertical)'!D:D&lt;&gt;"""");filter('Students (Vertical)'!D:D,'Students (Vertical)'!C:C=E568,'Students (Vertical)'!D:D&lt;&gt;"""")})&gt;1))),"""")"),"")</f>
        <v/>
      </c>
      <c r="L568" s="96"/>
      <c r="M568" s="96"/>
    </row>
    <row r="569" hidden="1">
      <c r="A569" s="8" t="s">
        <v>8</v>
      </c>
      <c r="C569" s="8" t="s">
        <v>8</v>
      </c>
      <c r="D569" s="8" t="s">
        <v>8</v>
      </c>
      <c r="F569" s="8" t="s">
        <v>8</v>
      </c>
      <c r="G569" s="8" t="s">
        <v>8</v>
      </c>
      <c r="I569" s="94" t="str">
        <f>IFERROR(__xludf.DUMMYFUNCTION("if(H569=""Must be Together"",iferror(join("", "",unique(filter({filter('Students (Vertical)'!O:O,'Students (Vertical)'!C:C=B569,'Students (Vertical)'!O:O&lt;&gt;"""");filter('Students (Vertical)'!O:O,'Students (Vertical)'!C:C=E569,'Students (Vertical)'!O:O&lt;&gt;"""&amp;""")},countifs({filter('Students (Vertical)'!O:O,'Students (Vertical)'!C:C=B569,'Students (Vertical)'!O:O&lt;&gt;"""");filter('Students (Vertical)'!O:O,'Students (Vertical)'!C:C=E569,'Students (Vertical)'!O:O&lt;&gt;"""")},{filter('Students (Vertical)'!O:O,'Students ("&amp;"Vertical)'!C:C=B569,'Students (Vertical)'!O:O&lt;&gt;"""");filter('Students (Vertical)'!O:O,'Students (Vertical)'!C:C=E569,'Students (Vertical)'!O:O&lt;&gt;"""")})&gt;1))),""No shared courses""),"""")"),"")</f>
        <v/>
      </c>
      <c r="J569" s="94" t="str">
        <f>IFERROR(__xludf.DUMMYFUNCTION("if(H569=""Can't be Together"",iferror(join("", "",unique(filter({unique(filter('Students (Vertical)'!O:O,'Students (Vertical)'!C:C=B569,'Students (Vertical)'!O:O&lt;&gt;"""",'Students (Vertical)'!P:P&gt;1));unique(filter('Students (Vertical)'!O:O,'Students (Vertic"&amp;"al)'!C:C=E569,'Students (Vertical)'!O:O&lt;&gt;"""",'Students (Vertical)'!P:P&gt;1))},countifs({unique(filter('Students (Vertical)'!O:O,'Students (Vertical)'!C:C=B569,'Students (Vertical)'!O:O&lt;&gt;"""",'Students (Vertical)'!P:P&gt;1));unique(filter('Students (Vertical)'"&amp;"!O:O,'Students (Vertical)'!C:C=E569,'Students (Vertical)'!O:O&lt;&gt;"""",'Students (Vertical)'!P:P&gt;1))},{unique(filter('Students (Vertical)'!O:O,'Students (Vertical)'!C:C=B569,'Students (Vertical)'!O:O&lt;&gt;"""",'Students (Vertical)'!P:P&gt;1));unique(filter('Student"&amp;"s (Vertical)'!O:O,'Students (Vertical)'!C:C=E569,'Students (Vertical)'!O:O&lt;&gt;"""",'Students (Vertical)'!P:P&gt;1))})&gt;1))),""""),"""")"),"")</f>
        <v/>
      </c>
      <c r="K569" s="96" t="str">
        <f>IFERROR(__xludf.DUMMYFUNCTION("iferror(join("", "",unique(filter({filter('Students (Vertical)'!D:D,'Students (Vertical)'!C:C=B569,'Students (Vertical)'!D:D&lt;&gt;"""");filter('Students (Vertical)'!D:D,'Students (Vertical)'!C:C=E569,'Students (Vertical)'!D:D&lt;&gt;"""")},countifs({filter('Student"&amp;"s (Vertical)'!D:D,'Students (Vertical)'!C:C=B569,'Students (Vertical)'!D:D&lt;&gt;"""");filter('Students (Vertical)'!D:D,'Students (Vertical)'!C:C=E569,'Students (Vertical)'!D:D&lt;&gt;"""")},{filter('Students (Vertical)'!D:D,'Students (Vertical)'!C:C=B569,'Students "&amp;"(Vertical)'!D:D&lt;&gt;"""");filter('Students (Vertical)'!D:D,'Students (Vertical)'!C:C=E569,'Students (Vertical)'!D:D&lt;&gt;"""")})&gt;1))),"""")"),"")</f>
        <v/>
      </c>
      <c r="L569" s="96"/>
      <c r="M569" s="96"/>
    </row>
    <row r="570" hidden="1">
      <c r="A570" s="8" t="s">
        <v>8</v>
      </c>
      <c r="C570" s="8" t="s">
        <v>8</v>
      </c>
      <c r="D570" s="8" t="s">
        <v>8</v>
      </c>
      <c r="F570" s="8" t="s">
        <v>8</v>
      </c>
      <c r="G570" s="8" t="s">
        <v>8</v>
      </c>
      <c r="I570" s="94" t="str">
        <f>IFERROR(__xludf.DUMMYFUNCTION("if(H570=""Must be Together"",iferror(join("", "",unique(filter({filter('Students (Vertical)'!O:O,'Students (Vertical)'!C:C=B570,'Students (Vertical)'!O:O&lt;&gt;"""");filter('Students (Vertical)'!O:O,'Students (Vertical)'!C:C=E570,'Students (Vertical)'!O:O&lt;&gt;"""&amp;""")},countifs({filter('Students (Vertical)'!O:O,'Students (Vertical)'!C:C=B570,'Students (Vertical)'!O:O&lt;&gt;"""");filter('Students (Vertical)'!O:O,'Students (Vertical)'!C:C=E570,'Students (Vertical)'!O:O&lt;&gt;"""")},{filter('Students (Vertical)'!O:O,'Students ("&amp;"Vertical)'!C:C=B570,'Students (Vertical)'!O:O&lt;&gt;"""");filter('Students (Vertical)'!O:O,'Students (Vertical)'!C:C=E570,'Students (Vertical)'!O:O&lt;&gt;"""")})&gt;1))),""No shared courses""),"""")"),"")</f>
        <v/>
      </c>
      <c r="J570" s="94" t="str">
        <f>IFERROR(__xludf.DUMMYFUNCTION("if(H570=""Can't be Together"",iferror(join("", "",unique(filter({unique(filter('Students (Vertical)'!O:O,'Students (Vertical)'!C:C=B570,'Students (Vertical)'!O:O&lt;&gt;"""",'Students (Vertical)'!P:P&gt;1));unique(filter('Students (Vertical)'!O:O,'Students (Vertic"&amp;"al)'!C:C=E570,'Students (Vertical)'!O:O&lt;&gt;"""",'Students (Vertical)'!P:P&gt;1))},countifs({unique(filter('Students (Vertical)'!O:O,'Students (Vertical)'!C:C=B570,'Students (Vertical)'!O:O&lt;&gt;"""",'Students (Vertical)'!P:P&gt;1));unique(filter('Students (Vertical)'"&amp;"!O:O,'Students (Vertical)'!C:C=E570,'Students (Vertical)'!O:O&lt;&gt;"""",'Students (Vertical)'!P:P&gt;1))},{unique(filter('Students (Vertical)'!O:O,'Students (Vertical)'!C:C=B570,'Students (Vertical)'!O:O&lt;&gt;"""",'Students (Vertical)'!P:P&gt;1));unique(filter('Student"&amp;"s (Vertical)'!O:O,'Students (Vertical)'!C:C=E570,'Students (Vertical)'!O:O&lt;&gt;"""",'Students (Vertical)'!P:P&gt;1))})&gt;1))),""""),"""")"),"")</f>
        <v/>
      </c>
      <c r="K570" s="96" t="str">
        <f>IFERROR(__xludf.DUMMYFUNCTION("iferror(join("", "",unique(filter({filter('Students (Vertical)'!D:D,'Students (Vertical)'!C:C=B570,'Students (Vertical)'!D:D&lt;&gt;"""");filter('Students (Vertical)'!D:D,'Students (Vertical)'!C:C=E570,'Students (Vertical)'!D:D&lt;&gt;"""")},countifs({filter('Student"&amp;"s (Vertical)'!D:D,'Students (Vertical)'!C:C=B570,'Students (Vertical)'!D:D&lt;&gt;"""");filter('Students (Vertical)'!D:D,'Students (Vertical)'!C:C=E570,'Students (Vertical)'!D:D&lt;&gt;"""")},{filter('Students (Vertical)'!D:D,'Students (Vertical)'!C:C=B570,'Students "&amp;"(Vertical)'!D:D&lt;&gt;"""");filter('Students (Vertical)'!D:D,'Students (Vertical)'!C:C=E570,'Students (Vertical)'!D:D&lt;&gt;"""")})&gt;1))),"""")"),"")</f>
        <v/>
      </c>
      <c r="L570" s="96"/>
      <c r="M570" s="96"/>
    </row>
    <row r="571" hidden="1">
      <c r="A571" s="8" t="s">
        <v>8</v>
      </c>
      <c r="C571" s="8" t="s">
        <v>8</v>
      </c>
      <c r="D571" s="8" t="s">
        <v>8</v>
      </c>
      <c r="F571" s="8" t="s">
        <v>8</v>
      </c>
      <c r="G571" s="8" t="s">
        <v>8</v>
      </c>
      <c r="I571" s="94" t="str">
        <f>IFERROR(__xludf.DUMMYFUNCTION("if(H571=""Must be Together"",iferror(join("", "",unique(filter({filter('Students (Vertical)'!O:O,'Students (Vertical)'!C:C=B571,'Students (Vertical)'!O:O&lt;&gt;"""");filter('Students (Vertical)'!O:O,'Students (Vertical)'!C:C=E571,'Students (Vertical)'!O:O&lt;&gt;"""&amp;""")},countifs({filter('Students (Vertical)'!O:O,'Students (Vertical)'!C:C=B571,'Students (Vertical)'!O:O&lt;&gt;"""");filter('Students (Vertical)'!O:O,'Students (Vertical)'!C:C=E571,'Students (Vertical)'!O:O&lt;&gt;"""")},{filter('Students (Vertical)'!O:O,'Students ("&amp;"Vertical)'!C:C=B571,'Students (Vertical)'!O:O&lt;&gt;"""");filter('Students (Vertical)'!O:O,'Students (Vertical)'!C:C=E571,'Students (Vertical)'!O:O&lt;&gt;"""")})&gt;1))),""No shared courses""),"""")"),"")</f>
        <v/>
      </c>
      <c r="J571" s="94" t="str">
        <f>IFERROR(__xludf.DUMMYFUNCTION("if(H571=""Can't be Together"",iferror(join("", "",unique(filter({unique(filter('Students (Vertical)'!O:O,'Students (Vertical)'!C:C=B571,'Students (Vertical)'!O:O&lt;&gt;"""",'Students (Vertical)'!P:P&gt;1));unique(filter('Students (Vertical)'!O:O,'Students (Vertic"&amp;"al)'!C:C=E571,'Students (Vertical)'!O:O&lt;&gt;"""",'Students (Vertical)'!P:P&gt;1))},countifs({unique(filter('Students (Vertical)'!O:O,'Students (Vertical)'!C:C=B571,'Students (Vertical)'!O:O&lt;&gt;"""",'Students (Vertical)'!P:P&gt;1));unique(filter('Students (Vertical)'"&amp;"!O:O,'Students (Vertical)'!C:C=E571,'Students (Vertical)'!O:O&lt;&gt;"""",'Students (Vertical)'!P:P&gt;1))},{unique(filter('Students (Vertical)'!O:O,'Students (Vertical)'!C:C=B571,'Students (Vertical)'!O:O&lt;&gt;"""",'Students (Vertical)'!P:P&gt;1));unique(filter('Student"&amp;"s (Vertical)'!O:O,'Students (Vertical)'!C:C=E571,'Students (Vertical)'!O:O&lt;&gt;"""",'Students (Vertical)'!P:P&gt;1))})&gt;1))),""""),"""")"),"")</f>
        <v/>
      </c>
      <c r="K571" s="96" t="str">
        <f>IFERROR(__xludf.DUMMYFUNCTION("iferror(join("", "",unique(filter({filter('Students (Vertical)'!D:D,'Students (Vertical)'!C:C=B571,'Students (Vertical)'!D:D&lt;&gt;"""");filter('Students (Vertical)'!D:D,'Students (Vertical)'!C:C=E571,'Students (Vertical)'!D:D&lt;&gt;"""")},countifs({filter('Student"&amp;"s (Vertical)'!D:D,'Students (Vertical)'!C:C=B571,'Students (Vertical)'!D:D&lt;&gt;"""");filter('Students (Vertical)'!D:D,'Students (Vertical)'!C:C=E571,'Students (Vertical)'!D:D&lt;&gt;"""")},{filter('Students (Vertical)'!D:D,'Students (Vertical)'!C:C=B571,'Students "&amp;"(Vertical)'!D:D&lt;&gt;"""");filter('Students (Vertical)'!D:D,'Students (Vertical)'!C:C=E571,'Students (Vertical)'!D:D&lt;&gt;"""")})&gt;1))),"""")"),"")</f>
        <v/>
      </c>
      <c r="L571" s="96"/>
      <c r="M571" s="96"/>
    </row>
    <row r="572" hidden="1">
      <c r="A572" s="8" t="s">
        <v>8</v>
      </c>
      <c r="C572" s="8" t="s">
        <v>8</v>
      </c>
      <c r="D572" s="8" t="s">
        <v>8</v>
      </c>
      <c r="F572" s="8" t="s">
        <v>8</v>
      </c>
      <c r="G572" s="8" t="s">
        <v>8</v>
      </c>
      <c r="I572" s="94" t="str">
        <f>IFERROR(__xludf.DUMMYFUNCTION("if(H572=""Must be Together"",iferror(join("", "",unique(filter({filter('Students (Vertical)'!O:O,'Students (Vertical)'!C:C=B572,'Students (Vertical)'!O:O&lt;&gt;"""");filter('Students (Vertical)'!O:O,'Students (Vertical)'!C:C=E572,'Students (Vertical)'!O:O&lt;&gt;"""&amp;""")},countifs({filter('Students (Vertical)'!O:O,'Students (Vertical)'!C:C=B572,'Students (Vertical)'!O:O&lt;&gt;"""");filter('Students (Vertical)'!O:O,'Students (Vertical)'!C:C=E572,'Students (Vertical)'!O:O&lt;&gt;"""")},{filter('Students (Vertical)'!O:O,'Students ("&amp;"Vertical)'!C:C=B572,'Students (Vertical)'!O:O&lt;&gt;"""");filter('Students (Vertical)'!O:O,'Students (Vertical)'!C:C=E572,'Students (Vertical)'!O:O&lt;&gt;"""")})&gt;1))),""No shared courses""),"""")"),"")</f>
        <v/>
      </c>
      <c r="J572" s="94" t="str">
        <f>IFERROR(__xludf.DUMMYFUNCTION("if(H572=""Can't be Together"",iferror(join("", "",unique(filter({unique(filter('Students (Vertical)'!O:O,'Students (Vertical)'!C:C=B572,'Students (Vertical)'!O:O&lt;&gt;"""",'Students (Vertical)'!P:P&gt;1));unique(filter('Students (Vertical)'!O:O,'Students (Vertic"&amp;"al)'!C:C=E572,'Students (Vertical)'!O:O&lt;&gt;"""",'Students (Vertical)'!P:P&gt;1))},countifs({unique(filter('Students (Vertical)'!O:O,'Students (Vertical)'!C:C=B572,'Students (Vertical)'!O:O&lt;&gt;"""",'Students (Vertical)'!P:P&gt;1));unique(filter('Students (Vertical)'"&amp;"!O:O,'Students (Vertical)'!C:C=E572,'Students (Vertical)'!O:O&lt;&gt;"""",'Students (Vertical)'!P:P&gt;1))},{unique(filter('Students (Vertical)'!O:O,'Students (Vertical)'!C:C=B572,'Students (Vertical)'!O:O&lt;&gt;"""",'Students (Vertical)'!P:P&gt;1));unique(filter('Student"&amp;"s (Vertical)'!O:O,'Students (Vertical)'!C:C=E572,'Students (Vertical)'!O:O&lt;&gt;"""",'Students (Vertical)'!P:P&gt;1))})&gt;1))),""""),"""")"),"")</f>
        <v/>
      </c>
      <c r="K572" s="96" t="str">
        <f>IFERROR(__xludf.DUMMYFUNCTION("iferror(join("", "",unique(filter({filter('Students (Vertical)'!D:D,'Students (Vertical)'!C:C=B572,'Students (Vertical)'!D:D&lt;&gt;"""");filter('Students (Vertical)'!D:D,'Students (Vertical)'!C:C=E572,'Students (Vertical)'!D:D&lt;&gt;"""")},countifs({filter('Student"&amp;"s (Vertical)'!D:D,'Students (Vertical)'!C:C=B572,'Students (Vertical)'!D:D&lt;&gt;"""");filter('Students (Vertical)'!D:D,'Students (Vertical)'!C:C=E572,'Students (Vertical)'!D:D&lt;&gt;"""")},{filter('Students (Vertical)'!D:D,'Students (Vertical)'!C:C=B572,'Students "&amp;"(Vertical)'!D:D&lt;&gt;"""");filter('Students (Vertical)'!D:D,'Students (Vertical)'!C:C=E572,'Students (Vertical)'!D:D&lt;&gt;"""")})&gt;1))),"""")"),"")</f>
        <v/>
      </c>
      <c r="L572" s="96"/>
      <c r="M572" s="96"/>
    </row>
    <row r="573" hidden="1">
      <c r="A573" s="8" t="s">
        <v>8</v>
      </c>
      <c r="C573" s="8" t="s">
        <v>8</v>
      </c>
      <c r="D573" s="8" t="s">
        <v>8</v>
      </c>
      <c r="F573" s="8" t="s">
        <v>8</v>
      </c>
      <c r="G573" s="8" t="s">
        <v>8</v>
      </c>
      <c r="I573" s="94" t="str">
        <f>IFERROR(__xludf.DUMMYFUNCTION("if(H573=""Must be Together"",iferror(join("", "",unique(filter({filter('Students (Vertical)'!O:O,'Students (Vertical)'!C:C=B573,'Students (Vertical)'!O:O&lt;&gt;"""");filter('Students (Vertical)'!O:O,'Students (Vertical)'!C:C=E573,'Students (Vertical)'!O:O&lt;&gt;"""&amp;""")},countifs({filter('Students (Vertical)'!O:O,'Students (Vertical)'!C:C=B573,'Students (Vertical)'!O:O&lt;&gt;"""");filter('Students (Vertical)'!O:O,'Students (Vertical)'!C:C=E573,'Students (Vertical)'!O:O&lt;&gt;"""")},{filter('Students (Vertical)'!O:O,'Students ("&amp;"Vertical)'!C:C=B573,'Students (Vertical)'!O:O&lt;&gt;"""");filter('Students (Vertical)'!O:O,'Students (Vertical)'!C:C=E573,'Students (Vertical)'!O:O&lt;&gt;"""")})&gt;1))),""No shared courses""),"""")"),"")</f>
        <v/>
      </c>
      <c r="J573" s="94" t="str">
        <f>IFERROR(__xludf.DUMMYFUNCTION("if(H573=""Can't be Together"",iferror(join("", "",unique(filter({unique(filter('Students (Vertical)'!O:O,'Students (Vertical)'!C:C=B573,'Students (Vertical)'!O:O&lt;&gt;"""",'Students (Vertical)'!P:P&gt;1));unique(filter('Students (Vertical)'!O:O,'Students (Vertic"&amp;"al)'!C:C=E573,'Students (Vertical)'!O:O&lt;&gt;"""",'Students (Vertical)'!P:P&gt;1))},countifs({unique(filter('Students (Vertical)'!O:O,'Students (Vertical)'!C:C=B573,'Students (Vertical)'!O:O&lt;&gt;"""",'Students (Vertical)'!P:P&gt;1));unique(filter('Students (Vertical)'"&amp;"!O:O,'Students (Vertical)'!C:C=E573,'Students (Vertical)'!O:O&lt;&gt;"""",'Students (Vertical)'!P:P&gt;1))},{unique(filter('Students (Vertical)'!O:O,'Students (Vertical)'!C:C=B573,'Students (Vertical)'!O:O&lt;&gt;"""",'Students (Vertical)'!P:P&gt;1));unique(filter('Student"&amp;"s (Vertical)'!O:O,'Students (Vertical)'!C:C=E573,'Students (Vertical)'!O:O&lt;&gt;"""",'Students (Vertical)'!P:P&gt;1))})&gt;1))),""""),"""")"),"")</f>
        <v/>
      </c>
      <c r="K573" s="96" t="str">
        <f>IFERROR(__xludf.DUMMYFUNCTION("iferror(join("", "",unique(filter({filter('Students (Vertical)'!D:D,'Students (Vertical)'!C:C=B573,'Students (Vertical)'!D:D&lt;&gt;"""");filter('Students (Vertical)'!D:D,'Students (Vertical)'!C:C=E573,'Students (Vertical)'!D:D&lt;&gt;"""")},countifs({filter('Student"&amp;"s (Vertical)'!D:D,'Students (Vertical)'!C:C=B573,'Students (Vertical)'!D:D&lt;&gt;"""");filter('Students (Vertical)'!D:D,'Students (Vertical)'!C:C=E573,'Students (Vertical)'!D:D&lt;&gt;"""")},{filter('Students (Vertical)'!D:D,'Students (Vertical)'!C:C=B573,'Students "&amp;"(Vertical)'!D:D&lt;&gt;"""");filter('Students (Vertical)'!D:D,'Students (Vertical)'!C:C=E573,'Students (Vertical)'!D:D&lt;&gt;"""")})&gt;1))),"""")"),"")</f>
        <v/>
      </c>
      <c r="L573" s="96"/>
      <c r="M573" s="96"/>
    </row>
    <row r="574" hidden="1">
      <c r="A574" s="8" t="s">
        <v>8</v>
      </c>
      <c r="C574" s="8" t="s">
        <v>8</v>
      </c>
      <c r="D574" s="8" t="s">
        <v>8</v>
      </c>
      <c r="F574" s="8" t="s">
        <v>8</v>
      </c>
      <c r="G574" s="8" t="s">
        <v>8</v>
      </c>
      <c r="I574" s="94" t="str">
        <f>IFERROR(__xludf.DUMMYFUNCTION("if(H574=""Must be Together"",iferror(join("", "",unique(filter({filter('Students (Vertical)'!O:O,'Students (Vertical)'!C:C=B574,'Students (Vertical)'!O:O&lt;&gt;"""");filter('Students (Vertical)'!O:O,'Students (Vertical)'!C:C=E574,'Students (Vertical)'!O:O&lt;&gt;"""&amp;""")},countifs({filter('Students (Vertical)'!O:O,'Students (Vertical)'!C:C=B574,'Students (Vertical)'!O:O&lt;&gt;"""");filter('Students (Vertical)'!O:O,'Students (Vertical)'!C:C=E574,'Students (Vertical)'!O:O&lt;&gt;"""")},{filter('Students (Vertical)'!O:O,'Students ("&amp;"Vertical)'!C:C=B574,'Students (Vertical)'!O:O&lt;&gt;"""");filter('Students (Vertical)'!O:O,'Students (Vertical)'!C:C=E574,'Students (Vertical)'!O:O&lt;&gt;"""")})&gt;1))),""No shared courses""),"""")"),"")</f>
        <v/>
      </c>
      <c r="J574" s="94" t="str">
        <f>IFERROR(__xludf.DUMMYFUNCTION("if(H574=""Can't be Together"",iferror(join("", "",unique(filter({unique(filter('Students (Vertical)'!O:O,'Students (Vertical)'!C:C=B574,'Students (Vertical)'!O:O&lt;&gt;"""",'Students (Vertical)'!P:P&gt;1));unique(filter('Students (Vertical)'!O:O,'Students (Vertic"&amp;"al)'!C:C=E574,'Students (Vertical)'!O:O&lt;&gt;"""",'Students (Vertical)'!P:P&gt;1))},countifs({unique(filter('Students (Vertical)'!O:O,'Students (Vertical)'!C:C=B574,'Students (Vertical)'!O:O&lt;&gt;"""",'Students (Vertical)'!P:P&gt;1));unique(filter('Students (Vertical)'"&amp;"!O:O,'Students (Vertical)'!C:C=E574,'Students (Vertical)'!O:O&lt;&gt;"""",'Students (Vertical)'!P:P&gt;1))},{unique(filter('Students (Vertical)'!O:O,'Students (Vertical)'!C:C=B574,'Students (Vertical)'!O:O&lt;&gt;"""",'Students (Vertical)'!P:P&gt;1));unique(filter('Student"&amp;"s (Vertical)'!O:O,'Students (Vertical)'!C:C=E574,'Students (Vertical)'!O:O&lt;&gt;"""",'Students (Vertical)'!P:P&gt;1))})&gt;1))),""""),"""")"),"")</f>
        <v/>
      </c>
      <c r="K574" s="96" t="str">
        <f>IFERROR(__xludf.DUMMYFUNCTION("iferror(join("", "",unique(filter({filter('Students (Vertical)'!D:D,'Students (Vertical)'!C:C=B574,'Students (Vertical)'!D:D&lt;&gt;"""");filter('Students (Vertical)'!D:D,'Students (Vertical)'!C:C=E574,'Students (Vertical)'!D:D&lt;&gt;"""")},countifs({filter('Student"&amp;"s (Vertical)'!D:D,'Students (Vertical)'!C:C=B574,'Students (Vertical)'!D:D&lt;&gt;"""");filter('Students (Vertical)'!D:D,'Students (Vertical)'!C:C=E574,'Students (Vertical)'!D:D&lt;&gt;"""")},{filter('Students (Vertical)'!D:D,'Students (Vertical)'!C:C=B574,'Students "&amp;"(Vertical)'!D:D&lt;&gt;"""");filter('Students (Vertical)'!D:D,'Students (Vertical)'!C:C=E574,'Students (Vertical)'!D:D&lt;&gt;"""")})&gt;1))),"""")"),"")</f>
        <v/>
      </c>
      <c r="L574" s="96"/>
      <c r="M574" s="96"/>
    </row>
    <row r="575" hidden="1">
      <c r="A575" s="8" t="s">
        <v>8</v>
      </c>
      <c r="C575" s="8" t="s">
        <v>8</v>
      </c>
      <c r="D575" s="8" t="s">
        <v>8</v>
      </c>
      <c r="F575" s="8" t="s">
        <v>8</v>
      </c>
      <c r="G575" s="8" t="s">
        <v>8</v>
      </c>
      <c r="I575" s="94" t="str">
        <f>IFERROR(__xludf.DUMMYFUNCTION("if(H575=""Must be Together"",iferror(join("", "",unique(filter({filter('Students (Vertical)'!O:O,'Students (Vertical)'!C:C=B575,'Students (Vertical)'!O:O&lt;&gt;"""");filter('Students (Vertical)'!O:O,'Students (Vertical)'!C:C=E575,'Students (Vertical)'!O:O&lt;&gt;"""&amp;""")},countifs({filter('Students (Vertical)'!O:O,'Students (Vertical)'!C:C=B575,'Students (Vertical)'!O:O&lt;&gt;"""");filter('Students (Vertical)'!O:O,'Students (Vertical)'!C:C=E575,'Students (Vertical)'!O:O&lt;&gt;"""")},{filter('Students (Vertical)'!O:O,'Students ("&amp;"Vertical)'!C:C=B575,'Students (Vertical)'!O:O&lt;&gt;"""");filter('Students (Vertical)'!O:O,'Students (Vertical)'!C:C=E575,'Students (Vertical)'!O:O&lt;&gt;"""")})&gt;1))),""No shared courses""),"""")"),"")</f>
        <v/>
      </c>
      <c r="J575" s="94" t="str">
        <f>IFERROR(__xludf.DUMMYFUNCTION("if(H575=""Can't be Together"",iferror(join("", "",unique(filter({unique(filter('Students (Vertical)'!O:O,'Students (Vertical)'!C:C=B575,'Students (Vertical)'!O:O&lt;&gt;"""",'Students (Vertical)'!P:P&gt;1));unique(filter('Students (Vertical)'!O:O,'Students (Vertic"&amp;"al)'!C:C=E575,'Students (Vertical)'!O:O&lt;&gt;"""",'Students (Vertical)'!P:P&gt;1))},countifs({unique(filter('Students (Vertical)'!O:O,'Students (Vertical)'!C:C=B575,'Students (Vertical)'!O:O&lt;&gt;"""",'Students (Vertical)'!P:P&gt;1));unique(filter('Students (Vertical)'"&amp;"!O:O,'Students (Vertical)'!C:C=E575,'Students (Vertical)'!O:O&lt;&gt;"""",'Students (Vertical)'!P:P&gt;1))},{unique(filter('Students (Vertical)'!O:O,'Students (Vertical)'!C:C=B575,'Students (Vertical)'!O:O&lt;&gt;"""",'Students (Vertical)'!P:P&gt;1));unique(filter('Student"&amp;"s (Vertical)'!O:O,'Students (Vertical)'!C:C=E575,'Students (Vertical)'!O:O&lt;&gt;"""",'Students (Vertical)'!P:P&gt;1))})&gt;1))),""""),"""")"),"")</f>
        <v/>
      </c>
      <c r="K575" s="96" t="str">
        <f>IFERROR(__xludf.DUMMYFUNCTION("iferror(join("", "",unique(filter({filter('Students (Vertical)'!D:D,'Students (Vertical)'!C:C=B575,'Students (Vertical)'!D:D&lt;&gt;"""");filter('Students (Vertical)'!D:D,'Students (Vertical)'!C:C=E575,'Students (Vertical)'!D:D&lt;&gt;"""")},countifs({filter('Student"&amp;"s (Vertical)'!D:D,'Students (Vertical)'!C:C=B575,'Students (Vertical)'!D:D&lt;&gt;"""");filter('Students (Vertical)'!D:D,'Students (Vertical)'!C:C=E575,'Students (Vertical)'!D:D&lt;&gt;"""")},{filter('Students (Vertical)'!D:D,'Students (Vertical)'!C:C=B575,'Students "&amp;"(Vertical)'!D:D&lt;&gt;"""");filter('Students (Vertical)'!D:D,'Students (Vertical)'!C:C=E575,'Students (Vertical)'!D:D&lt;&gt;"""")})&gt;1))),"""")"),"")</f>
        <v/>
      </c>
      <c r="L575" s="96"/>
      <c r="M575" s="96"/>
    </row>
    <row r="576" hidden="1">
      <c r="A576" s="8" t="s">
        <v>8</v>
      </c>
      <c r="C576" s="8" t="s">
        <v>8</v>
      </c>
      <c r="D576" s="8" t="s">
        <v>8</v>
      </c>
      <c r="F576" s="8" t="s">
        <v>8</v>
      </c>
      <c r="G576" s="8" t="s">
        <v>8</v>
      </c>
      <c r="I576" s="94" t="str">
        <f>IFERROR(__xludf.DUMMYFUNCTION("if(H576=""Must be Together"",iferror(join("", "",unique(filter({filter('Students (Vertical)'!O:O,'Students (Vertical)'!C:C=B576,'Students (Vertical)'!O:O&lt;&gt;"""");filter('Students (Vertical)'!O:O,'Students (Vertical)'!C:C=E576,'Students (Vertical)'!O:O&lt;&gt;"""&amp;""")},countifs({filter('Students (Vertical)'!O:O,'Students (Vertical)'!C:C=B576,'Students (Vertical)'!O:O&lt;&gt;"""");filter('Students (Vertical)'!O:O,'Students (Vertical)'!C:C=E576,'Students (Vertical)'!O:O&lt;&gt;"""")},{filter('Students (Vertical)'!O:O,'Students ("&amp;"Vertical)'!C:C=B576,'Students (Vertical)'!O:O&lt;&gt;"""");filter('Students (Vertical)'!O:O,'Students (Vertical)'!C:C=E576,'Students (Vertical)'!O:O&lt;&gt;"""")})&gt;1))),""No shared courses""),"""")"),"")</f>
        <v/>
      </c>
      <c r="J576" s="94" t="str">
        <f>IFERROR(__xludf.DUMMYFUNCTION("if(H576=""Can't be Together"",iferror(join("", "",unique(filter({unique(filter('Students (Vertical)'!O:O,'Students (Vertical)'!C:C=B576,'Students (Vertical)'!O:O&lt;&gt;"""",'Students (Vertical)'!P:P&gt;1));unique(filter('Students (Vertical)'!O:O,'Students (Vertic"&amp;"al)'!C:C=E576,'Students (Vertical)'!O:O&lt;&gt;"""",'Students (Vertical)'!P:P&gt;1))},countifs({unique(filter('Students (Vertical)'!O:O,'Students (Vertical)'!C:C=B576,'Students (Vertical)'!O:O&lt;&gt;"""",'Students (Vertical)'!P:P&gt;1));unique(filter('Students (Vertical)'"&amp;"!O:O,'Students (Vertical)'!C:C=E576,'Students (Vertical)'!O:O&lt;&gt;"""",'Students (Vertical)'!P:P&gt;1))},{unique(filter('Students (Vertical)'!O:O,'Students (Vertical)'!C:C=B576,'Students (Vertical)'!O:O&lt;&gt;"""",'Students (Vertical)'!P:P&gt;1));unique(filter('Student"&amp;"s (Vertical)'!O:O,'Students (Vertical)'!C:C=E576,'Students (Vertical)'!O:O&lt;&gt;"""",'Students (Vertical)'!P:P&gt;1))})&gt;1))),""""),"""")"),"")</f>
        <v/>
      </c>
      <c r="K576" s="96" t="str">
        <f>IFERROR(__xludf.DUMMYFUNCTION("iferror(join("", "",unique(filter({filter('Students (Vertical)'!D:D,'Students (Vertical)'!C:C=B576,'Students (Vertical)'!D:D&lt;&gt;"""");filter('Students (Vertical)'!D:D,'Students (Vertical)'!C:C=E576,'Students (Vertical)'!D:D&lt;&gt;"""")},countifs({filter('Student"&amp;"s (Vertical)'!D:D,'Students (Vertical)'!C:C=B576,'Students (Vertical)'!D:D&lt;&gt;"""");filter('Students (Vertical)'!D:D,'Students (Vertical)'!C:C=E576,'Students (Vertical)'!D:D&lt;&gt;"""")},{filter('Students (Vertical)'!D:D,'Students (Vertical)'!C:C=B576,'Students "&amp;"(Vertical)'!D:D&lt;&gt;"""");filter('Students (Vertical)'!D:D,'Students (Vertical)'!C:C=E576,'Students (Vertical)'!D:D&lt;&gt;"""")})&gt;1))),"""")"),"")</f>
        <v/>
      </c>
      <c r="L576" s="96"/>
      <c r="M576" s="96"/>
    </row>
    <row r="577" hidden="1">
      <c r="A577" s="8" t="s">
        <v>8</v>
      </c>
      <c r="C577" s="8" t="s">
        <v>8</v>
      </c>
      <c r="D577" s="8" t="s">
        <v>8</v>
      </c>
      <c r="F577" s="8" t="s">
        <v>8</v>
      </c>
      <c r="G577" s="8" t="s">
        <v>8</v>
      </c>
      <c r="I577" s="94" t="str">
        <f>IFERROR(__xludf.DUMMYFUNCTION("if(H577=""Must be Together"",iferror(join("", "",unique(filter({filter('Students (Vertical)'!O:O,'Students (Vertical)'!C:C=B577,'Students (Vertical)'!O:O&lt;&gt;"""");filter('Students (Vertical)'!O:O,'Students (Vertical)'!C:C=E577,'Students (Vertical)'!O:O&lt;&gt;"""&amp;""")},countifs({filter('Students (Vertical)'!O:O,'Students (Vertical)'!C:C=B577,'Students (Vertical)'!O:O&lt;&gt;"""");filter('Students (Vertical)'!O:O,'Students (Vertical)'!C:C=E577,'Students (Vertical)'!O:O&lt;&gt;"""")},{filter('Students (Vertical)'!O:O,'Students ("&amp;"Vertical)'!C:C=B577,'Students (Vertical)'!O:O&lt;&gt;"""");filter('Students (Vertical)'!O:O,'Students (Vertical)'!C:C=E577,'Students (Vertical)'!O:O&lt;&gt;"""")})&gt;1))),""No shared courses""),"""")"),"")</f>
        <v/>
      </c>
      <c r="J577" s="94" t="str">
        <f>IFERROR(__xludf.DUMMYFUNCTION("if(H577=""Can't be Together"",iferror(join("", "",unique(filter({unique(filter('Students (Vertical)'!O:O,'Students (Vertical)'!C:C=B577,'Students (Vertical)'!O:O&lt;&gt;"""",'Students (Vertical)'!P:P&gt;1));unique(filter('Students (Vertical)'!O:O,'Students (Vertic"&amp;"al)'!C:C=E577,'Students (Vertical)'!O:O&lt;&gt;"""",'Students (Vertical)'!P:P&gt;1))},countifs({unique(filter('Students (Vertical)'!O:O,'Students (Vertical)'!C:C=B577,'Students (Vertical)'!O:O&lt;&gt;"""",'Students (Vertical)'!P:P&gt;1));unique(filter('Students (Vertical)'"&amp;"!O:O,'Students (Vertical)'!C:C=E577,'Students (Vertical)'!O:O&lt;&gt;"""",'Students (Vertical)'!P:P&gt;1))},{unique(filter('Students (Vertical)'!O:O,'Students (Vertical)'!C:C=B577,'Students (Vertical)'!O:O&lt;&gt;"""",'Students (Vertical)'!P:P&gt;1));unique(filter('Student"&amp;"s (Vertical)'!O:O,'Students (Vertical)'!C:C=E577,'Students (Vertical)'!O:O&lt;&gt;"""",'Students (Vertical)'!P:P&gt;1))})&gt;1))),""""),"""")"),"")</f>
        <v/>
      </c>
      <c r="K577" s="96" t="str">
        <f>IFERROR(__xludf.DUMMYFUNCTION("iferror(join("", "",unique(filter({filter('Students (Vertical)'!D:D,'Students (Vertical)'!C:C=B577,'Students (Vertical)'!D:D&lt;&gt;"""");filter('Students (Vertical)'!D:D,'Students (Vertical)'!C:C=E577,'Students (Vertical)'!D:D&lt;&gt;"""")},countifs({filter('Student"&amp;"s (Vertical)'!D:D,'Students (Vertical)'!C:C=B577,'Students (Vertical)'!D:D&lt;&gt;"""");filter('Students (Vertical)'!D:D,'Students (Vertical)'!C:C=E577,'Students (Vertical)'!D:D&lt;&gt;"""")},{filter('Students (Vertical)'!D:D,'Students (Vertical)'!C:C=B577,'Students "&amp;"(Vertical)'!D:D&lt;&gt;"""");filter('Students (Vertical)'!D:D,'Students (Vertical)'!C:C=E577,'Students (Vertical)'!D:D&lt;&gt;"""")})&gt;1))),"""")"),"")</f>
        <v/>
      </c>
      <c r="L577" s="96"/>
      <c r="M577" s="96"/>
    </row>
    <row r="578" hidden="1">
      <c r="A578" s="8" t="s">
        <v>8</v>
      </c>
      <c r="C578" s="8" t="s">
        <v>8</v>
      </c>
      <c r="D578" s="8" t="s">
        <v>8</v>
      </c>
      <c r="F578" s="8" t="s">
        <v>8</v>
      </c>
      <c r="G578" s="8" t="s">
        <v>8</v>
      </c>
      <c r="I578" s="94" t="str">
        <f>IFERROR(__xludf.DUMMYFUNCTION("if(H578=""Must be Together"",iferror(join("", "",unique(filter({filter('Students (Vertical)'!O:O,'Students (Vertical)'!C:C=B578,'Students (Vertical)'!O:O&lt;&gt;"""");filter('Students (Vertical)'!O:O,'Students (Vertical)'!C:C=E578,'Students (Vertical)'!O:O&lt;&gt;"""&amp;""")},countifs({filter('Students (Vertical)'!O:O,'Students (Vertical)'!C:C=B578,'Students (Vertical)'!O:O&lt;&gt;"""");filter('Students (Vertical)'!O:O,'Students (Vertical)'!C:C=E578,'Students (Vertical)'!O:O&lt;&gt;"""")},{filter('Students (Vertical)'!O:O,'Students ("&amp;"Vertical)'!C:C=B578,'Students (Vertical)'!O:O&lt;&gt;"""");filter('Students (Vertical)'!O:O,'Students (Vertical)'!C:C=E578,'Students (Vertical)'!O:O&lt;&gt;"""")})&gt;1))),""No shared courses""),"""")"),"")</f>
        <v/>
      </c>
      <c r="J578" s="94" t="str">
        <f>IFERROR(__xludf.DUMMYFUNCTION("if(H578=""Can't be Together"",iferror(join("", "",unique(filter({unique(filter('Students (Vertical)'!O:O,'Students (Vertical)'!C:C=B578,'Students (Vertical)'!O:O&lt;&gt;"""",'Students (Vertical)'!P:P&gt;1));unique(filter('Students (Vertical)'!O:O,'Students (Vertic"&amp;"al)'!C:C=E578,'Students (Vertical)'!O:O&lt;&gt;"""",'Students (Vertical)'!P:P&gt;1))},countifs({unique(filter('Students (Vertical)'!O:O,'Students (Vertical)'!C:C=B578,'Students (Vertical)'!O:O&lt;&gt;"""",'Students (Vertical)'!P:P&gt;1));unique(filter('Students (Vertical)'"&amp;"!O:O,'Students (Vertical)'!C:C=E578,'Students (Vertical)'!O:O&lt;&gt;"""",'Students (Vertical)'!P:P&gt;1))},{unique(filter('Students (Vertical)'!O:O,'Students (Vertical)'!C:C=B578,'Students (Vertical)'!O:O&lt;&gt;"""",'Students (Vertical)'!P:P&gt;1));unique(filter('Student"&amp;"s (Vertical)'!O:O,'Students (Vertical)'!C:C=E578,'Students (Vertical)'!O:O&lt;&gt;"""",'Students (Vertical)'!P:P&gt;1))})&gt;1))),""""),"""")"),"")</f>
        <v/>
      </c>
      <c r="K578" s="96" t="str">
        <f>IFERROR(__xludf.DUMMYFUNCTION("iferror(join("", "",unique(filter({filter('Students (Vertical)'!D:D,'Students (Vertical)'!C:C=B578,'Students (Vertical)'!D:D&lt;&gt;"""");filter('Students (Vertical)'!D:D,'Students (Vertical)'!C:C=E578,'Students (Vertical)'!D:D&lt;&gt;"""")},countifs({filter('Student"&amp;"s (Vertical)'!D:D,'Students (Vertical)'!C:C=B578,'Students (Vertical)'!D:D&lt;&gt;"""");filter('Students (Vertical)'!D:D,'Students (Vertical)'!C:C=E578,'Students (Vertical)'!D:D&lt;&gt;"""")},{filter('Students (Vertical)'!D:D,'Students (Vertical)'!C:C=B578,'Students "&amp;"(Vertical)'!D:D&lt;&gt;"""");filter('Students (Vertical)'!D:D,'Students (Vertical)'!C:C=E578,'Students (Vertical)'!D:D&lt;&gt;"""")})&gt;1))),"""")"),"")</f>
        <v/>
      </c>
      <c r="L578" s="96"/>
      <c r="M578" s="96"/>
    </row>
    <row r="579" hidden="1">
      <c r="A579" s="8" t="s">
        <v>8</v>
      </c>
      <c r="C579" s="8" t="s">
        <v>8</v>
      </c>
      <c r="D579" s="8" t="s">
        <v>8</v>
      </c>
      <c r="F579" s="8" t="s">
        <v>8</v>
      </c>
      <c r="G579" s="8" t="s">
        <v>8</v>
      </c>
      <c r="I579" s="94" t="str">
        <f>IFERROR(__xludf.DUMMYFUNCTION("if(H579=""Must be Together"",iferror(join("", "",unique(filter({filter('Students (Vertical)'!O:O,'Students (Vertical)'!C:C=B579,'Students (Vertical)'!O:O&lt;&gt;"""");filter('Students (Vertical)'!O:O,'Students (Vertical)'!C:C=E579,'Students (Vertical)'!O:O&lt;&gt;"""&amp;""")},countifs({filter('Students (Vertical)'!O:O,'Students (Vertical)'!C:C=B579,'Students (Vertical)'!O:O&lt;&gt;"""");filter('Students (Vertical)'!O:O,'Students (Vertical)'!C:C=E579,'Students (Vertical)'!O:O&lt;&gt;"""")},{filter('Students (Vertical)'!O:O,'Students ("&amp;"Vertical)'!C:C=B579,'Students (Vertical)'!O:O&lt;&gt;"""");filter('Students (Vertical)'!O:O,'Students (Vertical)'!C:C=E579,'Students (Vertical)'!O:O&lt;&gt;"""")})&gt;1))),""No shared courses""),"""")"),"")</f>
        <v/>
      </c>
      <c r="J579" s="94" t="str">
        <f>IFERROR(__xludf.DUMMYFUNCTION("if(H579=""Can't be Together"",iferror(join("", "",unique(filter({unique(filter('Students (Vertical)'!O:O,'Students (Vertical)'!C:C=B579,'Students (Vertical)'!O:O&lt;&gt;"""",'Students (Vertical)'!P:P&gt;1));unique(filter('Students (Vertical)'!O:O,'Students (Vertic"&amp;"al)'!C:C=E579,'Students (Vertical)'!O:O&lt;&gt;"""",'Students (Vertical)'!P:P&gt;1))},countifs({unique(filter('Students (Vertical)'!O:O,'Students (Vertical)'!C:C=B579,'Students (Vertical)'!O:O&lt;&gt;"""",'Students (Vertical)'!P:P&gt;1));unique(filter('Students (Vertical)'"&amp;"!O:O,'Students (Vertical)'!C:C=E579,'Students (Vertical)'!O:O&lt;&gt;"""",'Students (Vertical)'!P:P&gt;1))},{unique(filter('Students (Vertical)'!O:O,'Students (Vertical)'!C:C=B579,'Students (Vertical)'!O:O&lt;&gt;"""",'Students (Vertical)'!P:P&gt;1));unique(filter('Student"&amp;"s (Vertical)'!O:O,'Students (Vertical)'!C:C=E579,'Students (Vertical)'!O:O&lt;&gt;"""",'Students (Vertical)'!P:P&gt;1))})&gt;1))),""""),"""")"),"")</f>
        <v/>
      </c>
      <c r="K579" s="96" t="str">
        <f>IFERROR(__xludf.DUMMYFUNCTION("iferror(join("", "",unique(filter({filter('Students (Vertical)'!D:D,'Students (Vertical)'!C:C=B579,'Students (Vertical)'!D:D&lt;&gt;"""");filter('Students (Vertical)'!D:D,'Students (Vertical)'!C:C=E579,'Students (Vertical)'!D:D&lt;&gt;"""")},countifs({filter('Student"&amp;"s (Vertical)'!D:D,'Students (Vertical)'!C:C=B579,'Students (Vertical)'!D:D&lt;&gt;"""");filter('Students (Vertical)'!D:D,'Students (Vertical)'!C:C=E579,'Students (Vertical)'!D:D&lt;&gt;"""")},{filter('Students (Vertical)'!D:D,'Students (Vertical)'!C:C=B579,'Students "&amp;"(Vertical)'!D:D&lt;&gt;"""");filter('Students (Vertical)'!D:D,'Students (Vertical)'!C:C=E579,'Students (Vertical)'!D:D&lt;&gt;"""")})&gt;1))),"""")"),"")</f>
        <v/>
      </c>
      <c r="L579" s="96"/>
      <c r="M579" s="96"/>
    </row>
    <row r="580" hidden="1">
      <c r="A580" s="8" t="s">
        <v>8</v>
      </c>
      <c r="C580" s="8" t="s">
        <v>8</v>
      </c>
      <c r="D580" s="8" t="s">
        <v>8</v>
      </c>
      <c r="F580" s="8" t="s">
        <v>8</v>
      </c>
      <c r="G580" s="8" t="s">
        <v>8</v>
      </c>
      <c r="I580" s="94" t="str">
        <f>IFERROR(__xludf.DUMMYFUNCTION("if(H580=""Must be Together"",iferror(join("", "",unique(filter({filter('Students (Vertical)'!O:O,'Students (Vertical)'!C:C=B580,'Students (Vertical)'!O:O&lt;&gt;"""");filter('Students (Vertical)'!O:O,'Students (Vertical)'!C:C=E580,'Students (Vertical)'!O:O&lt;&gt;"""&amp;""")},countifs({filter('Students (Vertical)'!O:O,'Students (Vertical)'!C:C=B580,'Students (Vertical)'!O:O&lt;&gt;"""");filter('Students (Vertical)'!O:O,'Students (Vertical)'!C:C=E580,'Students (Vertical)'!O:O&lt;&gt;"""")},{filter('Students (Vertical)'!O:O,'Students ("&amp;"Vertical)'!C:C=B580,'Students (Vertical)'!O:O&lt;&gt;"""");filter('Students (Vertical)'!O:O,'Students (Vertical)'!C:C=E580,'Students (Vertical)'!O:O&lt;&gt;"""")})&gt;1))),""No shared courses""),"""")"),"")</f>
        <v/>
      </c>
      <c r="J580" s="94" t="str">
        <f>IFERROR(__xludf.DUMMYFUNCTION("if(H580=""Can't be Together"",iferror(join("", "",unique(filter({unique(filter('Students (Vertical)'!O:O,'Students (Vertical)'!C:C=B580,'Students (Vertical)'!O:O&lt;&gt;"""",'Students (Vertical)'!P:P&gt;1));unique(filter('Students (Vertical)'!O:O,'Students (Vertic"&amp;"al)'!C:C=E580,'Students (Vertical)'!O:O&lt;&gt;"""",'Students (Vertical)'!P:P&gt;1))},countifs({unique(filter('Students (Vertical)'!O:O,'Students (Vertical)'!C:C=B580,'Students (Vertical)'!O:O&lt;&gt;"""",'Students (Vertical)'!P:P&gt;1));unique(filter('Students (Vertical)'"&amp;"!O:O,'Students (Vertical)'!C:C=E580,'Students (Vertical)'!O:O&lt;&gt;"""",'Students (Vertical)'!P:P&gt;1))},{unique(filter('Students (Vertical)'!O:O,'Students (Vertical)'!C:C=B580,'Students (Vertical)'!O:O&lt;&gt;"""",'Students (Vertical)'!P:P&gt;1));unique(filter('Student"&amp;"s (Vertical)'!O:O,'Students (Vertical)'!C:C=E580,'Students (Vertical)'!O:O&lt;&gt;"""",'Students (Vertical)'!P:P&gt;1))})&gt;1))),""""),"""")"),"")</f>
        <v/>
      </c>
      <c r="K580" s="96" t="str">
        <f>IFERROR(__xludf.DUMMYFUNCTION("iferror(join("", "",unique(filter({filter('Students (Vertical)'!D:D,'Students (Vertical)'!C:C=B580,'Students (Vertical)'!D:D&lt;&gt;"""");filter('Students (Vertical)'!D:D,'Students (Vertical)'!C:C=E580,'Students (Vertical)'!D:D&lt;&gt;"""")},countifs({filter('Student"&amp;"s (Vertical)'!D:D,'Students (Vertical)'!C:C=B580,'Students (Vertical)'!D:D&lt;&gt;"""");filter('Students (Vertical)'!D:D,'Students (Vertical)'!C:C=E580,'Students (Vertical)'!D:D&lt;&gt;"""")},{filter('Students (Vertical)'!D:D,'Students (Vertical)'!C:C=B580,'Students "&amp;"(Vertical)'!D:D&lt;&gt;"""");filter('Students (Vertical)'!D:D,'Students (Vertical)'!C:C=E580,'Students (Vertical)'!D:D&lt;&gt;"""")})&gt;1))),"""")"),"")</f>
        <v/>
      </c>
      <c r="L580" s="96"/>
      <c r="M580" s="96"/>
    </row>
    <row r="581" hidden="1">
      <c r="A581" s="8" t="s">
        <v>8</v>
      </c>
      <c r="C581" s="8" t="s">
        <v>8</v>
      </c>
      <c r="D581" s="8" t="s">
        <v>8</v>
      </c>
      <c r="F581" s="8" t="s">
        <v>8</v>
      </c>
      <c r="G581" s="8" t="s">
        <v>8</v>
      </c>
      <c r="I581" s="94" t="str">
        <f>IFERROR(__xludf.DUMMYFUNCTION("if(H581=""Must be Together"",iferror(join("", "",unique(filter({filter('Students (Vertical)'!O:O,'Students (Vertical)'!C:C=B581,'Students (Vertical)'!O:O&lt;&gt;"""");filter('Students (Vertical)'!O:O,'Students (Vertical)'!C:C=E581,'Students (Vertical)'!O:O&lt;&gt;"""&amp;""")},countifs({filter('Students (Vertical)'!O:O,'Students (Vertical)'!C:C=B581,'Students (Vertical)'!O:O&lt;&gt;"""");filter('Students (Vertical)'!O:O,'Students (Vertical)'!C:C=E581,'Students (Vertical)'!O:O&lt;&gt;"""")},{filter('Students (Vertical)'!O:O,'Students ("&amp;"Vertical)'!C:C=B581,'Students (Vertical)'!O:O&lt;&gt;"""");filter('Students (Vertical)'!O:O,'Students (Vertical)'!C:C=E581,'Students (Vertical)'!O:O&lt;&gt;"""")})&gt;1))),""No shared courses""),"""")"),"")</f>
        <v/>
      </c>
      <c r="J581" s="94" t="str">
        <f>IFERROR(__xludf.DUMMYFUNCTION("if(H581=""Can't be Together"",iferror(join("", "",unique(filter({unique(filter('Students (Vertical)'!O:O,'Students (Vertical)'!C:C=B581,'Students (Vertical)'!O:O&lt;&gt;"""",'Students (Vertical)'!P:P&gt;1));unique(filter('Students (Vertical)'!O:O,'Students (Vertic"&amp;"al)'!C:C=E581,'Students (Vertical)'!O:O&lt;&gt;"""",'Students (Vertical)'!P:P&gt;1))},countifs({unique(filter('Students (Vertical)'!O:O,'Students (Vertical)'!C:C=B581,'Students (Vertical)'!O:O&lt;&gt;"""",'Students (Vertical)'!P:P&gt;1));unique(filter('Students (Vertical)'"&amp;"!O:O,'Students (Vertical)'!C:C=E581,'Students (Vertical)'!O:O&lt;&gt;"""",'Students (Vertical)'!P:P&gt;1))},{unique(filter('Students (Vertical)'!O:O,'Students (Vertical)'!C:C=B581,'Students (Vertical)'!O:O&lt;&gt;"""",'Students (Vertical)'!P:P&gt;1));unique(filter('Student"&amp;"s (Vertical)'!O:O,'Students (Vertical)'!C:C=E581,'Students (Vertical)'!O:O&lt;&gt;"""",'Students (Vertical)'!P:P&gt;1))})&gt;1))),""""),"""")"),"")</f>
        <v/>
      </c>
      <c r="K581" s="96" t="str">
        <f>IFERROR(__xludf.DUMMYFUNCTION("iferror(join("", "",unique(filter({filter('Students (Vertical)'!D:D,'Students (Vertical)'!C:C=B581,'Students (Vertical)'!D:D&lt;&gt;"""");filter('Students (Vertical)'!D:D,'Students (Vertical)'!C:C=E581,'Students (Vertical)'!D:D&lt;&gt;"""")},countifs({filter('Student"&amp;"s (Vertical)'!D:D,'Students (Vertical)'!C:C=B581,'Students (Vertical)'!D:D&lt;&gt;"""");filter('Students (Vertical)'!D:D,'Students (Vertical)'!C:C=E581,'Students (Vertical)'!D:D&lt;&gt;"""")},{filter('Students (Vertical)'!D:D,'Students (Vertical)'!C:C=B581,'Students "&amp;"(Vertical)'!D:D&lt;&gt;"""");filter('Students (Vertical)'!D:D,'Students (Vertical)'!C:C=E581,'Students (Vertical)'!D:D&lt;&gt;"""")})&gt;1))),"""")"),"")</f>
        <v/>
      </c>
      <c r="L581" s="96"/>
      <c r="M581" s="96"/>
    </row>
    <row r="582" hidden="1">
      <c r="A582" s="8" t="s">
        <v>8</v>
      </c>
      <c r="C582" s="8" t="s">
        <v>8</v>
      </c>
      <c r="D582" s="8" t="s">
        <v>8</v>
      </c>
      <c r="F582" s="8" t="s">
        <v>8</v>
      </c>
      <c r="G582" s="8" t="s">
        <v>8</v>
      </c>
      <c r="I582" s="94" t="str">
        <f>IFERROR(__xludf.DUMMYFUNCTION("if(H582=""Must be Together"",iferror(join("", "",unique(filter({filter('Students (Vertical)'!O:O,'Students (Vertical)'!C:C=B582,'Students (Vertical)'!O:O&lt;&gt;"""");filter('Students (Vertical)'!O:O,'Students (Vertical)'!C:C=E582,'Students (Vertical)'!O:O&lt;&gt;"""&amp;""")},countifs({filter('Students (Vertical)'!O:O,'Students (Vertical)'!C:C=B582,'Students (Vertical)'!O:O&lt;&gt;"""");filter('Students (Vertical)'!O:O,'Students (Vertical)'!C:C=E582,'Students (Vertical)'!O:O&lt;&gt;"""")},{filter('Students (Vertical)'!O:O,'Students ("&amp;"Vertical)'!C:C=B582,'Students (Vertical)'!O:O&lt;&gt;"""");filter('Students (Vertical)'!O:O,'Students (Vertical)'!C:C=E582,'Students (Vertical)'!O:O&lt;&gt;"""")})&gt;1))),""No shared courses""),"""")"),"")</f>
        <v/>
      </c>
      <c r="J582" s="94" t="str">
        <f>IFERROR(__xludf.DUMMYFUNCTION("if(H582=""Can't be Together"",iferror(join("", "",unique(filter({unique(filter('Students (Vertical)'!O:O,'Students (Vertical)'!C:C=B582,'Students (Vertical)'!O:O&lt;&gt;"""",'Students (Vertical)'!P:P&gt;1));unique(filter('Students (Vertical)'!O:O,'Students (Vertic"&amp;"al)'!C:C=E582,'Students (Vertical)'!O:O&lt;&gt;"""",'Students (Vertical)'!P:P&gt;1))},countifs({unique(filter('Students (Vertical)'!O:O,'Students (Vertical)'!C:C=B582,'Students (Vertical)'!O:O&lt;&gt;"""",'Students (Vertical)'!P:P&gt;1));unique(filter('Students (Vertical)'"&amp;"!O:O,'Students (Vertical)'!C:C=E582,'Students (Vertical)'!O:O&lt;&gt;"""",'Students (Vertical)'!P:P&gt;1))},{unique(filter('Students (Vertical)'!O:O,'Students (Vertical)'!C:C=B582,'Students (Vertical)'!O:O&lt;&gt;"""",'Students (Vertical)'!P:P&gt;1));unique(filter('Student"&amp;"s (Vertical)'!O:O,'Students (Vertical)'!C:C=E582,'Students (Vertical)'!O:O&lt;&gt;"""",'Students (Vertical)'!P:P&gt;1))})&gt;1))),""""),"""")"),"")</f>
        <v/>
      </c>
      <c r="K582" s="96" t="str">
        <f>IFERROR(__xludf.DUMMYFUNCTION("iferror(join("", "",unique(filter({filter('Students (Vertical)'!D:D,'Students (Vertical)'!C:C=B582,'Students (Vertical)'!D:D&lt;&gt;"""");filter('Students (Vertical)'!D:D,'Students (Vertical)'!C:C=E582,'Students (Vertical)'!D:D&lt;&gt;"""")},countifs({filter('Student"&amp;"s (Vertical)'!D:D,'Students (Vertical)'!C:C=B582,'Students (Vertical)'!D:D&lt;&gt;"""");filter('Students (Vertical)'!D:D,'Students (Vertical)'!C:C=E582,'Students (Vertical)'!D:D&lt;&gt;"""")},{filter('Students (Vertical)'!D:D,'Students (Vertical)'!C:C=B582,'Students "&amp;"(Vertical)'!D:D&lt;&gt;"""");filter('Students (Vertical)'!D:D,'Students (Vertical)'!C:C=E582,'Students (Vertical)'!D:D&lt;&gt;"""")})&gt;1))),"""")"),"")</f>
        <v/>
      </c>
      <c r="L582" s="96"/>
      <c r="M582" s="96"/>
    </row>
    <row r="583" hidden="1">
      <c r="A583" s="8" t="s">
        <v>8</v>
      </c>
      <c r="C583" s="8" t="s">
        <v>8</v>
      </c>
      <c r="D583" s="8" t="s">
        <v>8</v>
      </c>
      <c r="F583" s="8" t="s">
        <v>8</v>
      </c>
      <c r="G583" s="8" t="s">
        <v>8</v>
      </c>
      <c r="I583" s="94" t="str">
        <f>IFERROR(__xludf.DUMMYFUNCTION("if(H583=""Must be Together"",iferror(join("", "",unique(filter({filter('Students (Vertical)'!O:O,'Students (Vertical)'!C:C=B583,'Students (Vertical)'!O:O&lt;&gt;"""");filter('Students (Vertical)'!O:O,'Students (Vertical)'!C:C=E583,'Students (Vertical)'!O:O&lt;&gt;"""&amp;""")},countifs({filter('Students (Vertical)'!O:O,'Students (Vertical)'!C:C=B583,'Students (Vertical)'!O:O&lt;&gt;"""");filter('Students (Vertical)'!O:O,'Students (Vertical)'!C:C=E583,'Students (Vertical)'!O:O&lt;&gt;"""")},{filter('Students (Vertical)'!O:O,'Students ("&amp;"Vertical)'!C:C=B583,'Students (Vertical)'!O:O&lt;&gt;"""");filter('Students (Vertical)'!O:O,'Students (Vertical)'!C:C=E583,'Students (Vertical)'!O:O&lt;&gt;"""")})&gt;1))),""No shared courses""),"""")"),"")</f>
        <v/>
      </c>
      <c r="J583" s="94" t="str">
        <f>IFERROR(__xludf.DUMMYFUNCTION("if(H583=""Can't be Together"",iferror(join("", "",unique(filter({unique(filter('Students (Vertical)'!O:O,'Students (Vertical)'!C:C=B583,'Students (Vertical)'!O:O&lt;&gt;"""",'Students (Vertical)'!P:P&gt;1));unique(filter('Students (Vertical)'!O:O,'Students (Vertic"&amp;"al)'!C:C=E583,'Students (Vertical)'!O:O&lt;&gt;"""",'Students (Vertical)'!P:P&gt;1))},countifs({unique(filter('Students (Vertical)'!O:O,'Students (Vertical)'!C:C=B583,'Students (Vertical)'!O:O&lt;&gt;"""",'Students (Vertical)'!P:P&gt;1));unique(filter('Students (Vertical)'"&amp;"!O:O,'Students (Vertical)'!C:C=E583,'Students (Vertical)'!O:O&lt;&gt;"""",'Students (Vertical)'!P:P&gt;1))},{unique(filter('Students (Vertical)'!O:O,'Students (Vertical)'!C:C=B583,'Students (Vertical)'!O:O&lt;&gt;"""",'Students (Vertical)'!P:P&gt;1));unique(filter('Student"&amp;"s (Vertical)'!O:O,'Students (Vertical)'!C:C=E583,'Students (Vertical)'!O:O&lt;&gt;"""",'Students (Vertical)'!P:P&gt;1))})&gt;1))),""""),"""")"),"")</f>
        <v/>
      </c>
      <c r="K583" s="96" t="str">
        <f>IFERROR(__xludf.DUMMYFUNCTION("iferror(join("", "",unique(filter({filter('Students (Vertical)'!D:D,'Students (Vertical)'!C:C=B583,'Students (Vertical)'!D:D&lt;&gt;"""");filter('Students (Vertical)'!D:D,'Students (Vertical)'!C:C=E583,'Students (Vertical)'!D:D&lt;&gt;"""")},countifs({filter('Student"&amp;"s (Vertical)'!D:D,'Students (Vertical)'!C:C=B583,'Students (Vertical)'!D:D&lt;&gt;"""");filter('Students (Vertical)'!D:D,'Students (Vertical)'!C:C=E583,'Students (Vertical)'!D:D&lt;&gt;"""")},{filter('Students (Vertical)'!D:D,'Students (Vertical)'!C:C=B583,'Students "&amp;"(Vertical)'!D:D&lt;&gt;"""");filter('Students (Vertical)'!D:D,'Students (Vertical)'!C:C=E583,'Students (Vertical)'!D:D&lt;&gt;"""")})&gt;1))),"""")"),"")</f>
        <v/>
      </c>
      <c r="L583" s="96"/>
      <c r="M583" s="96"/>
    </row>
    <row r="584" hidden="1">
      <c r="A584" s="8" t="s">
        <v>8</v>
      </c>
      <c r="C584" s="8" t="s">
        <v>8</v>
      </c>
      <c r="D584" s="8" t="s">
        <v>8</v>
      </c>
      <c r="F584" s="8" t="s">
        <v>8</v>
      </c>
      <c r="G584" s="8" t="s">
        <v>8</v>
      </c>
      <c r="I584" s="94" t="str">
        <f>IFERROR(__xludf.DUMMYFUNCTION("if(H584=""Must be Together"",iferror(join("", "",unique(filter({filter('Students (Vertical)'!O:O,'Students (Vertical)'!C:C=B584,'Students (Vertical)'!O:O&lt;&gt;"""");filter('Students (Vertical)'!O:O,'Students (Vertical)'!C:C=E584,'Students (Vertical)'!O:O&lt;&gt;"""&amp;""")},countifs({filter('Students (Vertical)'!O:O,'Students (Vertical)'!C:C=B584,'Students (Vertical)'!O:O&lt;&gt;"""");filter('Students (Vertical)'!O:O,'Students (Vertical)'!C:C=E584,'Students (Vertical)'!O:O&lt;&gt;"""")},{filter('Students (Vertical)'!O:O,'Students ("&amp;"Vertical)'!C:C=B584,'Students (Vertical)'!O:O&lt;&gt;"""");filter('Students (Vertical)'!O:O,'Students (Vertical)'!C:C=E584,'Students (Vertical)'!O:O&lt;&gt;"""")})&gt;1))),""No shared courses""),"""")"),"")</f>
        <v/>
      </c>
      <c r="J584" s="94" t="str">
        <f>IFERROR(__xludf.DUMMYFUNCTION("if(H584=""Can't be Together"",iferror(join("", "",unique(filter({unique(filter('Students (Vertical)'!O:O,'Students (Vertical)'!C:C=B584,'Students (Vertical)'!O:O&lt;&gt;"""",'Students (Vertical)'!P:P&gt;1));unique(filter('Students (Vertical)'!O:O,'Students (Vertic"&amp;"al)'!C:C=E584,'Students (Vertical)'!O:O&lt;&gt;"""",'Students (Vertical)'!P:P&gt;1))},countifs({unique(filter('Students (Vertical)'!O:O,'Students (Vertical)'!C:C=B584,'Students (Vertical)'!O:O&lt;&gt;"""",'Students (Vertical)'!P:P&gt;1));unique(filter('Students (Vertical)'"&amp;"!O:O,'Students (Vertical)'!C:C=E584,'Students (Vertical)'!O:O&lt;&gt;"""",'Students (Vertical)'!P:P&gt;1))},{unique(filter('Students (Vertical)'!O:O,'Students (Vertical)'!C:C=B584,'Students (Vertical)'!O:O&lt;&gt;"""",'Students (Vertical)'!P:P&gt;1));unique(filter('Student"&amp;"s (Vertical)'!O:O,'Students (Vertical)'!C:C=E584,'Students (Vertical)'!O:O&lt;&gt;"""",'Students (Vertical)'!P:P&gt;1))})&gt;1))),""""),"""")"),"")</f>
        <v/>
      </c>
      <c r="K584" s="96" t="str">
        <f>IFERROR(__xludf.DUMMYFUNCTION("iferror(join("", "",unique(filter({filter('Students (Vertical)'!D:D,'Students (Vertical)'!C:C=B584,'Students (Vertical)'!D:D&lt;&gt;"""");filter('Students (Vertical)'!D:D,'Students (Vertical)'!C:C=E584,'Students (Vertical)'!D:D&lt;&gt;"""")},countifs({filter('Student"&amp;"s (Vertical)'!D:D,'Students (Vertical)'!C:C=B584,'Students (Vertical)'!D:D&lt;&gt;"""");filter('Students (Vertical)'!D:D,'Students (Vertical)'!C:C=E584,'Students (Vertical)'!D:D&lt;&gt;"""")},{filter('Students (Vertical)'!D:D,'Students (Vertical)'!C:C=B584,'Students "&amp;"(Vertical)'!D:D&lt;&gt;"""");filter('Students (Vertical)'!D:D,'Students (Vertical)'!C:C=E584,'Students (Vertical)'!D:D&lt;&gt;"""")})&gt;1))),"""")"),"")</f>
        <v/>
      </c>
      <c r="L584" s="96"/>
      <c r="M584" s="96"/>
    </row>
    <row r="585" hidden="1">
      <c r="A585" s="8" t="s">
        <v>8</v>
      </c>
      <c r="C585" s="8" t="s">
        <v>8</v>
      </c>
      <c r="D585" s="8" t="s">
        <v>8</v>
      </c>
      <c r="F585" s="8" t="s">
        <v>8</v>
      </c>
      <c r="G585" s="8" t="s">
        <v>8</v>
      </c>
      <c r="I585" s="94" t="str">
        <f>IFERROR(__xludf.DUMMYFUNCTION("if(H585=""Must be Together"",iferror(join("", "",unique(filter({filter('Students (Vertical)'!O:O,'Students (Vertical)'!C:C=B585,'Students (Vertical)'!O:O&lt;&gt;"""");filter('Students (Vertical)'!O:O,'Students (Vertical)'!C:C=E585,'Students (Vertical)'!O:O&lt;&gt;"""&amp;""")},countifs({filter('Students (Vertical)'!O:O,'Students (Vertical)'!C:C=B585,'Students (Vertical)'!O:O&lt;&gt;"""");filter('Students (Vertical)'!O:O,'Students (Vertical)'!C:C=E585,'Students (Vertical)'!O:O&lt;&gt;"""")},{filter('Students (Vertical)'!O:O,'Students ("&amp;"Vertical)'!C:C=B585,'Students (Vertical)'!O:O&lt;&gt;"""");filter('Students (Vertical)'!O:O,'Students (Vertical)'!C:C=E585,'Students (Vertical)'!O:O&lt;&gt;"""")})&gt;1))),""No shared courses""),"""")"),"")</f>
        <v/>
      </c>
      <c r="J585" s="94" t="str">
        <f>IFERROR(__xludf.DUMMYFUNCTION("if(H585=""Can't be Together"",iferror(join("", "",unique(filter({unique(filter('Students (Vertical)'!O:O,'Students (Vertical)'!C:C=B585,'Students (Vertical)'!O:O&lt;&gt;"""",'Students (Vertical)'!P:P&gt;1));unique(filter('Students (Vertical)'!O:O,'Students (Vertic"&amp;"al)'!C:C=E585,'Students (Vertical)'!O:O&lt;&gt;"""",'Students (Vertical)'!P:P&gt;1))},countifs({unique(filter('Students (Vertical)'!O:O,'Students (Vertical)'!C:C=B585,'Students (Vertical)'!O:O&lt;&gt;"""",'Students (Vertical)'!P:P&gt;1));unique(filter('Students (Vertical)'"&amp;"!O:O,'Students (Vertical)'!C:C=E585,'Students (Vertical)'!O:O&lt;&gt;"""",'Students (Vertical)'!P:P&gt;1))},{unique(filter('Students (Vertical)'!O:O,'Students (Vertical)'!C:C=B585,'Students (Vertical)'!O:O&lt;&gt;"""",'Students (Vertical)'!P:P&gt;1));unique(filter('Student"&amp;"s (Vertical)'!O:O,'Students (Vertical)'!C:C=E585,'Students (Vertical)'!O:O&lt;&gt;"""",'Students (Vertical)'!P:P&gt;1))})&gt;1))),""""),"""")"),"")</f>
        <v/>
      </c>
      <c r="K585" s="96" t="str">
        <f>IFERROR(__xludf.DUMMYFUNCTION("iferror(join("", "",unique(filter({filter('Students (Vertical)'!D:D,'Students (Vertical)'!C:C=B585,'Students (Vertical)'!D:D&lt;&gt;"""");filter('Students (Vertical)'!D:D,'Students (Vertical)'!C:C=E585,'Students (Vertical)'!D:D&lt;&gt;"""")},countifs({filter('Student"&amp;"s (Vertical)'!D:D,'Students (Vertical)'!C:C=B585,'Students (Vertical)'!D:D&lt;&gt;"""");filter('Students (Vertical)'!D:D,'Students (Vertical)'!C:C=E585,'Students (Vertical)'!D:D&lt;&gt;"""")},{filter('Students (Vertical)'!D:D,'Students (Vertical)'!C:C=B585,'Students "&amp;"(Vertical)'!D:D&lt;&gt;"""");filter('Students (Vertical)'!D:D,'Students (Vertical)'!C:C=E585,'Students (Vertical)'!D:D&lt;&gt;"""")})&gt;1))),"""")"),"")</f>
        <v/>
      </c>
      <c r="L585" s="96"/>
      <c r="M585" s="96"/>
    </row>
    <row r="586" hidden="1">
      <c r="A586" s="8" t="s">
        <v>8</v>
      </c>
      <c r="C586" s="8" t="s">
        <v>8</v>
      </c>
      <c r="D586" s="8" t="s">
        <v>8</v>
      </c>
      <c r="F586" s="8" t="s">
        <v>8</v>
      </c>
      <c r="G586" s="8" t="s">
        <v>8</v>
      </c>
      <c r="I586" s="94" t="str">
        <f>IFERROR(__xludf.DUMMYFUNCTION("if(H586=""Must be Together"",iferror(join("", "",unique(filter({filter('Students (Vertical)'!O:O,'Students (Vertical)'!C:C=B586,'Students (Vertical)'!O:O&lt;&gt;"""");filter('Students (Vertical)'!O:O,'Students (Vertical)'!C:C=E586,'Students (Vertical)'!O:O&lt;&gt;"""&amp;""")},countifs({filter('Students (Vertical)'!O:O,'Students (Vertical)'!C:C=B586,'Students (Vertical)'!O:O&lt;&gt;"""");filter('Students (Vertical)'!O:O,'Students (Vertical)'!C:C=E586,'Students (Vertical)'!O:O&lt;&gt;"""")},{filter('Students (Vertical)'!O:O,'Students ("&amp;"Vertical)'!C:C=B586,'Students (Vertical)'!O:O&lt;&gt;"""");filter('Students (Vertical)'!O:O,'Students (Vertical)'!C:C=E586,'Students (Vertical)'!O:O&lt;&gt;"""")})&gt;1))),""No shared courses""),"""")"),"")</f>
        <v/>
      </c>
      <c r="J586" s="94" t="str">
        <f>IFERROR(__xludf.DUMMYFUNCTION("if(H586=""Can't be Together"",iferror(join("", "",unique(filter({unique(filter('Students (Vertical)'!O:O,'Students (Vertical)'!C:C=B586,'Students (Vertical)'!O:O&lt;&gt;"""",'Students (Vertical)'!P:P&gt;1));unique(filter('Students (Vertical)'!O:O,'Students (Vertic"&amp;"al)'!C:C=E586,'Students (Vertical)'!O:O&lt;&gt;"""",'Students (Vertical)'!P:P&gt;1))},countifs({unique(filter('Students (Vertical)'!O:O,'Students (Vertical)'!C:C=B586,'Students (Vertical)'!O:O&lt;&gt;"""",'Students (Vertical)'!P:P&gt;1));unique(filter('Students (Vertical)'"&amp;"!O:O,'Students (Vertical)'!C:C=E586,'Students (Vertical)'!O:O&lt;&gt;"""",'Students (Vertical)'!P:P&gt;1))},{unique(filter('Students (Vertical)'!O:O,'Students (Vertical)'!C:C=B586,'Students (Vertical)'!O:O&lt;&gt;"""",'Students (Vertical)'!P:P&gt;1));unique(filter('Student"&amp;"s (Vertical)'!O:O,'Students (Vertical)'!C:C=E586,'Students (Vertical)'!O:O&lt;&gt;"""",'Students (Vertical)'!P:P&gt;1))})&gt;1))),""""),"""")"),"")</f>
        <v/>
      </c>
      <c r="K586" s="96" t="str">
        <f>IFERROR(__xludf.DUMMYFUNCTION("iferror(join("", "",unique(filter({filter('Students (Vertical)'!D:D,'Students (Vertical)'!C:C=B586,'Students (Vertical)'!D:D&lt;&gt;"""");filter('Students (Vertical)'!D:D,'Students (Vertical)'!C:C=E586,'Students (Vertical)'!D:D&lt;&gt;"""")},countifs({filter('Student"&amp;"s (Vertical)'!D:D,'Students (Vertical)'!C:C=B586,'Students (Vertical)'!D:D&lt;&gt;"""");filter('Students (Vertical)'!D:D,'Students (Vertical)'!C:C=E586,'Students (Vertical)'!D:D&lt;&gt;"""")},{filter('Students (Vertical)'!D:D,'Students (Vertical)'!C:C=B586,'Students "&amp;"(Vertical)'!D:D&lt;&gt;"""");filter('Students (Vertical)'!D:D,'Students (Vertical)'!C:C=E586,'Students (Vertical)'!D:D&lt;&gt;"""")})&gt;1))),"""")"),"")</f>
        <v/>
      </c>
      <c r="L586" s="96"/>
      <c r="M586" s="96"/>
    </row>
    <row r="587" hidden="1">
      <c r="A587" s="8" t="s">
        <v>8</v>
      </c>
      <c r="C587" s="8" t="s">
        <v>8</v>
      </c>
      <c r="D587" s="8" t="s">
        <v>8</v>
      </c>
      <c r="F587" s="8" t="s">
        <v>8</v>
      </c>
      <c r="G587" s="8" t="s">
        <v>8</v>
      </c>
      <c r="I587" s="94" t="str">
        <f>IFERROR(__xludf.DUMMYFUNCTION("if(H587=""Must be Together"",iferror(join("", "",unique(filter({filter('Students (Vertical)'!O:O,'Students (Vertical)'!C:C=B587,'Students (Vertical)'!O:O&lt;&gt;"""");filter('Students (Vertical)'!O:O,'Students (Vertical)'!C:C=E587,'Students (Vertical)'!O:O&lt;&gt;"""&amp;""")},countifs({filter('Students (Vertical)'!O:O,'Students (Vertical)'!C:C=B587,'Students (Vertical)'!O:O&lt;&gt;"""");filter('Students (Vertical)'!O:O,'Students (Vertical)'!C:C=E587,'Students (Vertical)'!O:O&lt;&gt;"""")},{filter('Students (Vertical)'!O:O,'Students ("&amp;"Vertical)'!C:C=B587,'Students (Vertical)'!O:O&lt;&gt;"""");filter('Students (Vertical)'!O:O,'Students (Vertical)'!C:C=E587,'Students (Vertical)'!O:O&lt;&gt;"""")})&gt;1))),""No shared courses""),"""")"),"")</f>
        <v/>
      </c>
      <c r="J587" s="94" t="str">
        <f>IFERROR(__xludf.DUMMYFUNCTION("if(H587=""Can't be Together"",iferror(join("", "",unique(filter({unique(filter('Students (Vertical)'!O:O,'Students (Vertical)'!C:C=B587,'Students (Vertical)'!O:O&lt;&gt;"""",'Students (Vertical)'!P:P&gt;1));unique(filter('Students (Vertical)'!O:O,'Students (Vertic"&amp;"al)'!C:C=E587,'Students (Vertical)'!O:O&lt;&gt;"""",'Students (Vertical)'!P:P&gt;1))},countifs({unique(filter('Students (Vertical)'!O:O,'Students (Vertical)'!C:C=B587,'Students (Vertical)'!O:O&lt;&gt;"""",'Students (Vertical)'!P:P&gt;1));unique(filter('Students (Vertical)'"&amp;"!O:O,'Students (Vertical)'!C:C=E587,'Students (Vertical)'!O:O&lt;&gt;"""",'Students (Vertical)'!P:P&gt;1))},{unique(filter('Students (Vertical)'!O:O,'Students (Vertical)'!C:C=B587,'Students (Vertical)'!O:O&lt;&gt;"""",'Students (Vertical)'!P:P&gt;1));unique(filter('Student"&amp;"s (Vertical)'!O:O,'Students (Vertical)'!C:C=E587,'Students (Vertical)'!O:O&lt;&gt;"""",'Students (Vertical)'!P:P&gt;1))})&gt;1))),""""),"""")"),"")</f>
        <v/>
      </c>
      <c r="K587" s="96" t="str">
        <f>IFERROR(__xludf.DUMMYFUNCTION("iferror(join("", "",unique(filter({filter('Students (Vertical)'!D:D,'Students (Vertical)'!C:C=B587,'Students (Vertical)'!D:D&lt;&gt;"""");filter('Students (Vertical)'!D:D,'Students (Vertical)'!C:C=E587,'Students (Vertical)'!D:D&lt;&gt;"""")},countifs({filter('Student"&amp;"s (Vertical)'!D:D,'Students (Vertical)'!C:C=B587,'Students (Vertical)'!D:D&lt;&gt;"""");filter('Students (Vertical)'!D:D,'Students (Vertical)'!C:C=E587,'Students (Vertical)'!D:D&lt;&gt;"""")},{filter('Students (Vertical)'!D:D,'Students (Vertical)'!C:C=B587,'Students "&amp;"(Vertical)'!D:D&lt;&gt;"""");filter('Students (Vertical)'!D:D,'Students (Vertical)'!C:C=E587,'Students (Vertical)'!D:D&lt;&gt;"""")})&gt;1))),"""")"),"")</f>
        <v/>
      </c>
      <c r="L587" s="96"/>
      <c r="M587" s="96"/>
    </row>
    <row r="588" hidden="1">
      <c r="A588" s="8" t="s">
        <v>8</v>
      </c>
      <c r="C588" s="8" t="s">
        <v>8</v>
      </c>
      <c r="D588" s="8" t="s">
        <v>8</v>
      </c>
      <c r="F588" s="8" t="s">
        <v>8</v>
      </c>
      <c r="G588" s="8" t="s">
        <v>8</v>
      </c>
      <c r="I588" s="94" t="str">
        <f>IFERROR(__xludf.DUMMYFUNCTION("if(H588=""Must be Together"",iferror(join("", "",unique(filter({filter('Students (Vertical)'!O:O,'Students (Vertical)'!C:C=B588,'Students (Vertical)'!O:O&lt;&gt;"""");filter('Students (Vertical)'!O:O,'Students (Vertical)'!C:C=E588,'Students (Vertical)'!O:O&lt;&gt;"""&amp;""")},countifs({filter('Students (Vertical)'!O:O,'Students (Vertical)'!C:C=B588,'Students (Vertical)'!O:O&lt;&gt;"""");filter('Students (Vertical)'!O:O,'Students (Vertical)'!C:C=E588,'Students (Vertical)'!O:O&lt;&gt;"""")},{filter('Students (Vertical)'!O:O,'Students ("&amp;"Vertical)'!C:C=B588,'Students (Vertical)'!O:O&lt;&gt;"""");filter('Students (Vertical)'!O:O,'Students (Vertical)'!C:C=E588,'Students (Vertical)'!O:O&lt;&gt;"""")})&gt;1))),""No shared courses""),"""")"),"")</f>
        <v/>
      </c>
      <c r="J588" s="94" t="str">
        <f>IFERROR(__xludf.DUMMYFUNCTION("if(H588=""Can't be Together"",iferror(join("", "",unique(filter({unique(filter('Students (Vertical)'!O:O,'Students (Vertical)'!C:C=B588,'Students (Vertical)'!O:O&lt;&gt;"""",'Students (Vertical)'!P:P&gt;1));unique(filter('Students (Vertical)'!O:O,'Students (Vertic"&amp;"al)'!C:C=E588,'Students (Vertical)'!O:O&lt;&gt;"""",'Students (Vertical)'!P:P&gt;1))},countifs({unique(filter('Students (Vertical)'!O:O,'Students (Vertical)'!C:C=B588,'Students (Vertical)'!O:O&lt;&gt;"""",'Students (Vertical)'!P:P&gt;1));unique(filter('Students (Vertical)'"&amp;"!O:O,'Students (Vertical)'!C:C=E588,'Students (Vertical)'!O:O&lt;&gt;"""",'Students (Vertical)'!P:P&gt;1))},{unique(filter('Students (Vertical)'!O:O,'Students (Vertical)'!C:C=B588,'Students (Vertical)'!O:O&lt;&gt;"""",'Students (Vertical)'!P:P&gt;1));unique(filter('Student"&amp;"s (Vertical)'!O:O,'Students (Vertical)'!C:C=E588,'Students (Vertical)'!O:O&lt;&gt;"""",'Students (Vertical)'!P:P&gt;1))})&gt;1))),""""),"""")"),"")</f>
        <v/>
      </c>
      <c r="K588" s="96" t="str">
        <f>IFERROR(__xludf.DUMMYFUNCTION("iferror(join("", "",unique(filter({filter('Students (Vertical)'!D:D,'Students (Vertical)'!C:C=B588,'Students (Vertical)'!D:D&lt;&gt;"""");filter('Students (Vertical)'!D:D,'Students (Vertical)'!C:C=E588,'Students (Vertical)'!D:D&lt;&gt;"""")},countifs({filter('Student"&amp;"s (Vertical)'!D:D,'Students (Vertical)'!C:C=B588,'Students (Vertical)'!D:D&lt;&gt;"""");filter('Students (Vertical)'!D:D,'Students (Vertical)'!C:C=E588,'Students (Vertical)'!D:D&lt;&gt;"""")},{filter('Students (Vertical)'!D:D,'Students (Vertical)'!C:C=B588,'Students "&amp;"(Vertical)'!D:D&lt;&gt;"""");filter('Students (Vertical)'!D:D,'Students (Vertical)'!C:C=E588,'Students (Vertical)'!D:D&lt;&gt;"""")})&gt;1))),"""")"),"")</f>
        <v/>
      </c>
      <c r="L588" s="96"/>
      <c r="M588" s="96"/>
    </row>
    <row r="589" hidden="1">
      <c r="A589" s="8" t="s">
        <v>8</v>
      </c>
      <c r="C589" s="8" t="s">
        <v>8</v>
      </c>
      <c r="D589" s="8" t="s">
        <v>8</v>
      </c>
      <c r="F589" s="8" t="s">
        <v>8</v>
      </c>
      <c r="G589" s="8" t="s">
        <v>8</v>
      </c>
      <c r="I589" s="94" t="str">
        <f>IFERROR(__xludf.DUMMYFUNCTION("if(H589=""Must be Together"",iferror(join("", "",unique(filter({filter('Students (Vertical)'!O:O,'Students (Vertical)'!C:C=B589,'Students (Vertical)'!O:O&lt;&gt;"""");filter('Students (Vertical)'!O:O,'Students (Vertical)'!C:C=E589,'Students (Vertical)'!O:O&lt;&gt;"""&amp;""")},countifs({filter('Students (Vertical)'!O:O,'Students (Vertical)'!C:C=B589,'Students (Vertical)'!O:O&lt;&gt;"""");filter('Students (Vertical)'!O:O,'Students (Vertical)'!C:C=E589,'Students (Vertical)'!O:O&lt;&gt;"""")},{filter('Students (Vertical)'!O:O,'Students ("&amp;"Vertical)'!C:C=B589,'Students (Vertical)'!O:O&lt;&gt;"""");filter('Students (Vertical)'!O:O,'Students (Vertical)'!C:C=E589,'Students (Vertical)'!O:O&lt;&gt;"""")})&gt;1))),""No shared courses""),"""")"),"")</f>
        <v/>
      </c>
      <c r="J589" s="94" t="str">
        <f>IFERROR(__xludf.DUMMYFUNCTION("if(H589=""Can't be Together"",iferror(join("", "",unique(filter({unique(filter('Students (Vertical)'!O:O,'Students (Vertical)'!C:C=B589,'Students (Vertical)'!O:O&lt;&gt;"""",'Students (Vertical)'!P:P&gt;1));unique(filter('Students (Vertical)'!O:O,'Students (Vertic"&amp;"al)'!C:C=E589,'Students (Vertical)'!O:O&lt;&gt;"""",'Students (Vertical)'!P:P&gt;1))},countifs({unique(filter('Students (Vertical)'!O:O,'Students (Vertical)'!C:C=B589,'Students (Vertical)'!O:O&lt;&gt;"""",'Students (Vertical)'!P:P&gt;1));unique(filter('Students (Vertical)'"&amp;"!O:O,'Students (Vertical)'!C:C=E589,'Students (Vertical)'!O:O&lt;&gt;"""",'Students (Vertical)'!P:P&gt;1))},{unique(filter('Students (Vertical)'!O:O,'Students (Vertical)'!C:C=B589,'Students (Vertical)'!O:O&lt;&gt;"""",'Students (Vertical)'!P:P&gt;1));unique(filter('Student"&amp;"s (Vertical)'!O:O,'Students (Vertical)'!C:C=E589,'Students (Vertical)'!O:O&lt;&gt;"""",'Students (Vertical)'!P:P&gt;1))})&gt;1))),""""),"""")"),"")</f>
        <v/>
      </c>
      <c r="K589" s="96" t="str">
        <f>IFERROR(__xludf.DUMMYFUNCTION("iferror(join("", "",unique(filter({filter('Students (Vertical)'!D:D,'Students (Vertical)'!C:C=B589,'Students (Vertical)'!D:D&lt;&gt;"""");filter('Students (Vertical)'!D:D,'Students (Vertical)'!C:C=E589,'Students (Vertical)'!D:D&lt;&gt;"""")},countifs({filter('Student"&amp;"s (Vertical)'!D:D,'Students (Vertical)'!C:C=B589,'Students (Vertical)'!D:D&lt;&gt;"""");filter('Students (Vertical)'!D:D,'Students (Vertical)'!C:C=E589,'Students (Vertical)'!D:D&lt;&gt;"""")},{filter('Students (Vertical)'!D:D,'Students (Vertical)'!C:C=B589,'Students "&amp;"(Vertical)'!D:D&lt;&gt;"""");filter('Students (Vertical)'!D:D,'Students (Vertical)'!C:C=E589,'Students (Vertical)'!D:D&lt;&gt;"""")})&gt;1))),"""")"),"")</f>
        <v/>
      </c>
      <c r="L589" s="96"/>
      <c r="M589" s="96"/>
    </row>
    <row r="590" hidden="1">
      <c r="A590" s="8" t="s">
        <v>8</v>
      </c>
      <c r="C590" s="8" t="s">
        <v>8</v>
      </c>
      <c r="D590" s="8" t="s">
        <v>8</v>
      </c>
      <c r="F590" s="8" t="s">
        <v>8</v>
      </c>
      <c r="G590" s="8" t="s">
        <v>8</v>
      </c>
      <c r="I590" s="94" t="str">
        <f>IFERROR(__xludf.DUMMYFUNCTION("if(H590=""Must be Together"",iferror(join("", "",unique(filter({filter('Students (Vertical)'!O:O,'Students (Vertical)'!C:C=B590,'Students (Vertical)'!O:O&lt;&gt;"""");filter('Students (Vertical)'!O:O,'Students (Vertical)'!C:C=E590,'Students (Vertical)'!O:O&lt;&gt;"""&amp;""")},countifs({filter('Students (Vertical)'!O:O,'Students (Vertical)'!C:C=B590,'Students (Vertical)'!O:O&lt;&gt;"""");filter('Students (Vertical)'!O:O,'Students (Vertical)'!C:C=E590,'Students (Vertical)'!O:O&lt;&gt;"""")},{filter('Students (Vertical)'!O:O,'Students ("&amp;"Vertical)'!C:C=B590,'Students (Vertical)'!O:O&lt;&gt;"""");filter('Students (Vertical)'!O:O,'Students (Vertical)'!C:C=E590,'Students (Vertical)'!O:O&lt;&gt;"""")})&gt;1))),""No shared courses""),"""")"),"")</f>
        <v/>
      </c>
      <c r="J590" s="94" t="str">
        <f>IFERROR(__xludf.DUMMYFUNCTION("if(H590=""Can't be Together"",iferror(join("", "",unique(filter({unique(filter('Students (Vertical)'!O:O,'Students (Vertical)'!C:C=B590,'Students (Vertical)'!O:O&lt;&gt;"""",'Students (Vertical)'!P:P&gt;1));unique(filter('Students (Vertical)'!O:O,'Students (Vertic"&amp;"al)'!C:C=E590,'Students (Vertical)'!O:O&lt;&gt;"""",'Students (Vertical)'!P:P&gt;1))},countifs({unique(filter('Students (Vertical)'!O:O,'Students (Vertical)'!C:C=B590,'Students (Vertical)'!O:O&lt;&gt;"""",'Students (Vertical)'!P:P&gt;1));unique(filter('Students (Vertical)'"&amp;"!O:O,'Students (Vertical)'!C:C=E590,'Students (Vertical)'!O:O&lt;&gt;"""",'Students (Vertical)'!P:P&gt;1))},{unique(filter('Students (Vertical)'!O:O,'Students (Vertical)'!C:C=B590,'Students (Vertical)'!O:O&lt;&gt;"""",'Students (Vertical)'!P:P&gt;1));unique(filter('Student"&amp;"s (Vertical)'!O:O,'Students (Vertical)'!C:C=E590,'Students (Vertical)'!O:O&lt;&gt;"""",'Students (Vertical)'!P:P&gt;1))})&gt;1))),""""),"""")"),"")</f>
        <v/>
      </c>
      <c r="K590" s="96" t="str">
        <f>IFERROR(__xludf.DUMMYFUNCTION("iferror(join("", "",unique(filter({filter('Students (Vertical)'!D:D,'Students (Vertical)'!C:C=B590,'Students (Vertical)'!D:D&lt;&gt;"""");filter('Students (Vertical)'!D:D,'Students (Vertical)'!C:C=E590,'Students (Vertical)'!D:D&lt;&gt;"""")},countifs({filter('Student"&amp;"s (Vertical)'!D:D,'Students (Vertical)'!C:C=B590,'Students (Vertical)'!D:D&lt;&gt;"""");filter('Students (Vertical)'!D:D,'Students (Vertical)'!C:C=E590,'Students (Vertical)'!D:D&lt;&gt;"""")},{filter('Students (Vertical)'!D:D,'Students (Vertical)'!C:C=B590,'Students "&amp;"(Vertical)'!D:D&lt;&gt;"""");filter('Students (Vertical)'!D:D,'Students (Vertical)'!C:C=E590,'Students (Vertical)'!D:D&lt;&gt;"""")})&gt;1))),"""")"),"")</f>
        <v/>
      </c>
      <c r="L590" s="96"/>
      <c r="M590" s="96"/>
    </row>
    <row r="591" hidden="1">
      <c r="A591" s="8" t="s">
        <v>8</v>
      </c>
      <c r="C591" s="8" t="s">
        <v>8</v>
      </c>
      <c r="D591" s="8" t="s">
        <v>8</v>
      </c>
      <c r="F591" s="8" t="s">
        <v>8</v>
      </c>
      <c r="G591" s="8" t="s">
        <v>8</v>
      </c>
      <c r="I591" s="94" t="str">
        <f>IFERROR(__xludf.DUMMYFUNCTION("if(H591=""Must be Together"",iferror(join("", "",unique(filter({filter('Students (Vertical)'!O:O,'Students (Vertical)'!C:C=B591,'Students (Vertical)'!O:O&lt;&gt;"""");filter('Students (Vertical)'!O:O,'Students (Vertical)'!C:C=E591,'Students (Vertical)'!O:O&lt;&gt;"""&amp;""")},countifs({filter('Students (Vertical)'!O:O,'Students (Vertical)'!C:C=B591,'Students (Vertical)'!O:O&lt;&gt;"""");filter('Students (Vertical)'!O:O,'Students (Vertical)'!C:C=E591,'Students (Vertical)'!O:O&lt;&gt;"""")},{filter('Students (Vertical)'!O:O,'Students ("&amp;"Vertical)'!C:C=B591,'Students (Vertical)'!O:O&lt;&gt;"""");filter('Students (Vertical)'!O:O,'Students (Vertical)'!C:C=E591,'Students (Vertical)'!O:O&lt;&gt;"""")})&gt;1))),""No shared courses""),"""")"),"")</f>
        <v/>
      </c>
      <c r="J591" s="94" t="str">
        <f>IFERROR(__xludf.DUMMYFUNCTION("if(H591=""Can't be Together"",iferror(join("", "",unique(filter({unique(filter('Students (Vertical)'!O:O,'Students (Vertical)'!C:C=B591,'Students (Vertical)'!O:O&lt;&gt;"""",'Students (Vertical)'!P:P&gt;1));unique(filter('Students (Vertical)'!O:O,'Students (Vertic"&amp;"al)'!C:C=E591,'Students (Vertical)'!O:O&lt;&gt;"""",'Students (Vertical)'!P:P&gt;1))},countifs({unique(filter('Students (Vertical)'!O:O,'Students (Vertical)'!C:C=B591,'Students (Vertical)'!O:O&lt;&gt;"""",'Students (Vertical)'!P:P&gt;1));unique(filter('Students (Vertical)'"&amp;"!O:O,'Students (Vertical)'!C:C=E591,'Students (Vertical)'!O:O&lt;&gt;"""",'Students (Vertical)'!P:P&gt;1))},{unique(filter('Students (Vertical)'!O:O,'Students (Vertical)'!C:C=B591,'Students (Vertical)'!O:O&lt;&gt;"""",'Students (Vertical)'!P:P&gt;1));unique(filter('Student"&amp;"s (Vertical)'!O:O,'Students (Vertical)'!C:C=E591,'Students (Vertical)'!O:O&lt;&gt;"""",'Students (Vertical)'!P:P&gt;1))})&gt;1))),""""),"""")"),"")</f>
        <v/>
      </c>
      <c r="K591" s="96" t="str">
        <f>IFERROR(__xludf.DUMMYFUNCTION("iferror(join("", "",unique(filter({filter('Students (Vertical)'!D:D,'Students (Vertical)'!C:C=B591,'Students (Vertical)'!D:D&lt;&gt;"""");filter('Students (Vertical)'!D:D,'Students (Vertical)'!C:C=E591,'Students (Vertical)'!D:D&lt;&gt;"""")},countifs({filter('Student"&amp;"s (Vertical)'!D:D,'Students (Vertical)'!C:C=B591,'Students (Vertical)'!D:D&lt;&gt;"""");filter('Students (Vertical)'!D:D,'Students (Vertical)'!C:C=E591,'Students (Vertical)'!D:D&lt;&gt;"""")},{filter('Students (Vertical)'!D:D,'Students (Vertical)'!C:C=B591,'Students "&amp;"(Vertical)'!D:D&lt;&gt;"""");filter('Students (Vertical)'!D:D,'Students (Vertical)'!C:C=E591,'Students (Vertical)'!D:D&lt;&gt;"""")})&gt;1))),"""")"),"")</f>
        <v/>
      </c>
      <c r="L591" s="96"/>
      <c r="M591" s="96"/>
    </row>
    <row r="592" hidden="1">
      <c r="A592" s="8" t="s">
        <v>8</v>
      </c>
      <c r="C592" s="8" t="s">
        <v>8</v>
      </c>
      <c r="D592" s="8" t="s">
        <v>8</v>
      </c>
      <c r="F592" s="8" t="s">
        <v>8</v>
      </c>
      <c r="G592" s="8" t="s">
        <v>8</v>
      </c>
      <c r="I592" s="94" t="str">
        <f>IFERROR(__xludf.DUMMYFUNCTION("if(H592=""Must be Together"",iferror(join("", "",unique(filter({filter('Students (Vertical)'!O:O,'Students (Vertical)'!C:C=B592,'Students (Vertical)'!O:O&lt;&gt;"""");filter('Students (Vertical)'!O:O,'Students (Vertical)'!C:C=E592,'Students (Vertical)'!O:O&lt;&gt;"""&amp;""")},countifs({filter('Students (Vertical)'!O:O,'Students (Vertical)'!C:C=B592,'Students (Vertical)'!O:O&lt;&gt;"""");filter('Students (Vertical)'!O:O,'Students (Vertical)'!C:C=E592,'Students (Vertical)'!O:O&lt;&gt;"""")},{filter('Students (Vertical)'!O:O,'Students ("&amp;"Vertical)'!C:C=B592,'Students (Vertical)'!O:O&lt;&gt;"""");filter('Students (Vertical)'!O:O,'Students (Vertical)'!C:C=E592,'Students (Vertical)'!O:O&lt;&gt;"""")})&gt;1))),""No shared courses""),"""")"),"")</f>
        <v/>
      </c>
      <c r="J592" s="94" t="str">
        <f>IFERROR(__xludf.DUMMYFUNCTION("if(H592=""Can't be Together"",iferror(join("", "",unique(filter({unique(filter('Students (Vertical)'!O:O,'Students (Vertical)'!C:C=B592,'Students (Vertical)'!O:O&lt;&gt;"""",'Students (Vertical)'!P:P&gt;1));unique(filter('Students (Vertical)'!O:O,'Students (Vertic"&amp;"al)'!C:C=E592,'Students (Vertical)'!O:O&lt;&gt;"""",'Students (Vertical)'!P:P&gt;1))},countifs({unique(filter('Students (Vertical)'!O:O,'Students (Vertical)'!C:C=B592,'Students (Vertical)'!O:O&lt;&gt;"""",'Students (Vertical)'!P:P&gt;1));unique(filter('Students (Vertical)'"&amp;"!O:O,'Students (Vertical)'!C:C=E592,'Students (Vertical)'!O:O&lt;&gt;"""",'Students (Vertical)'!P:P&gt;1))},{unique(filter('Students (Vertical)'!O:O,'Students (Vertical)'!C:C=B592,'Students (Vertical)'!O:O&lt;&gt;"""",'Students (Vertical)'!P:P&gt;1));unique(filter('Student"&amp;"s (Vertical)'!O:O,'Students (Vertical)'!C:C=E592,'Students (Vertical)'!O:O&lt;&gt;"""",'Students (Vertical)'!P:P&gt;1))})&gt;1))),""""),"""")"),"")</f>
        <v/>
      </c>
      <c r="K592" s="96" t="str">
        <f>IFERROR(__xludf.DUMMYFUNCTION("iferror(join("", "",unique(filter({filter('Students (Vertical)'!D:D,'Students (Vertical)'!C:C=B592,'Students (Vertical)'!D:D&lt;&gt;"""");filter('Students (Vertical)'!D:D,'Students (Vertical)'!C:C=E592,'Students (Vertical)'!D:D&lt;&gt;"""")},countifs({filter('Student"&amp;"s (Vertical)'!D:D,'Students (Vertical)'!C:C=B592,'Students (Vertical)'!D:D&lt;&gt;"""");filter('Students (Vertical)'!D:D,'Students (Vertical)'!C:C=E592,'Students (Vertical)'!D:D&lt;&gt;"""")},{filter('Students (Vertical)'!D:D,'Students (Vertical)'!C:C=B592,'Students "&amp;"(Vertical)'!D:D&lt;&gt;"""");filter('Students (Vertical)'!D:D,'Students (Vertical)'!C:C=E592,'Students (Vertical)'!D:D&lt;&gt;"""")})&gt;1))),"""")"),"")</f>
        <v/>
      </c>
      <c r="L592" s="96"/>
      <c r="M592" s="96"/>
    </row>
    <row r="593" hidden="1">
      <c r="A593" s="8" t="s">
        <v>8</v>
      </c>
      <c r="C593" s="8" t="s">
        <v>8</v>
      </c>
      <c r="D593" s="8" t="s">
        <v>8</v>
      </c>
      <c r="F593" s="8" t="s">
        <v>8</v>
      </c>
      <c r="G593" s="8" t="s">
        <v>8</v>
      </c>
      <c r="I593" s="94" t="str">
        <f>IFERROR(__xludf.DUMMYFUNCTION("if(H593=""Must be Together"",iferror(join("", "",unique(filter({filter('Students (Vertical)'!O:O,'Students (Vertical)'!C:C=B593,'Students (Vertical)'!O:O&lt;&gt;"""");filter('Students (Vertical)'!O:O,'Students (Vertical)'!C:C=E593,'Students (Vertical)'!O:O&lt;&gt;"""&amp;""")},countifs({filter('Students (Vertical)'!O:O,'Students (Vertical)'!C:C=B593,'Students (Vertical)'!O:O&lt;&gt;"""");filter('Students (Vertical)'!O:O,'Students (Vertical)'!C:C=E593,'Students (Vertical)'!O:O&lt;&gt;"""")},{filter('Students (Vertical)'!O:O,'Students ("&amp;"Vertical)'!C:C=B593,'Students (Vertical)'!O:O&lt;&gt;"""");filter('Students (Vertical)'!O:O,'Students (Vertical)'!C:C=E593,'Students (Vertical)'!O:O&lt;&gt;"""")})&gt;1))),""No shared courses""),"""")"),"")</f>
        <v/>
      </c>
      <c r="J593" s="94" t="str">
        <f>IFERROR(__xludf.DUMMYFUNCTION("if(H593=""Can't be Together"",iferror(join("", "",unique(filter({unique(filter('Students (Vertical)'!O:O,'Students (Vertical)'!C:C=B593,'Students (Vertical)'!O:O&lt;&gt;"""",'Students (Vertical)'!P:P&gt;1));unique(filter('Students (Vertical)'!O:O,'Students (Vertic"&amp;"al)'!C:C=E593,'Students (Vertical)'!O:O&lt;&gt;"""",'Students (Vertical)'!P:P&gt;1))},countifs({unique(filter('Students (Vertical)'!O:O,'Students (Vertical)'!C:C=B593,'Students (Vertical)'!O:O&lt;&gt;"""",'Students (Vertical)'!P:P&gt;1));unique(filter('Students (Vertical)'"&amp;"!O:O,'Students (Vertical)'!C:C=E593,'Students (Vertical)'!O:O&lt;&gt;"""",'Students (Vertical)'!P:P&gt;1))},{unique(filter('Students (Vertical)'!O:O,'Students (Vertical)'!C:C=B593,'Students (Vertical)'!O:O&lt;&gt;"""",'Students (Vertical)'!P:P&gt;1));unique(filter('Student"&amp;"s (Vertical)'!O:O,'Students (Vertical)'!C:C=E593,'Students (Vertical)'!O:O&lt;&gt;"""",'Students (Vertical)'!P:P&gt;1))})&gt;1))),""""),"""")"),"")</f>
        <v/>
      </c>
      <c r="K593" s="96" t="str">
        <f>IFERROR(__xludf.DUMMYFUNCTION("iferror(join("", "",unique(filter({filter('Students (Vertical)'!D:D,'Students (Vertical)'!C:C=B593,'Students (Vertical)'!D:D&lt;&gt;"""");filter('Students (Vertical)'!D:D,'Students (Vertical)'!C:C=E593,'Students (Vertical)'!D:D&lt;&gt;"""")},countifs({filter('Student"&amp;"s (Vertical)'!D:D,'Students (Vertical)'!C:C=B593,'Students (Vertical)'!D:D&lt;&gt;"""");filter('Students (Vertical)'!D:D,'Students (Vertical)'!C:C=E593,'Students (Vertical)'!D:D&lt;&gt;"""")},{filter('Students (Vertical)'!D:D,'Students (Vertical)'!C:C=B593,'Students "&amp;"(Vertical)'!D:D&lt;&gt;"""");filter('Students (Vertical)'!D:D,'Students (Vertical)'!C:C=E593,'Students (Vertical)'!D:D&lt;&gt;"""")})&gt;1))),"""")"),"")</f>
        <v/>
      </c>
      <c r="L593" s="96"/>
      <c r="M593" s="96"/>
    </row>
    <row r="594" hidden="1">
      <c r="A594" s="8" t="s">
        <v>8</v>
      </c>
      <c r="C594" s="8" t="s">
        <v>8</v>
      </c>
      <c r="D594" s="8" t="s">
        <v>8</v>
      </c>
      <c r="F594" s="8" t="s">
        <v>8</v>
      </c>
      <c r="G594" s="8" t="s">
        <v>8</v>
      </c>
      <c r="I594" s="94" t="str">
        <f>IFERROR(__xludf.DUMMYFUNCTION("if(H594=""Must be Together"",iferror(join("", "",unique(filter({filter('Students (Vertical)'!O:O,'Students (Vertical)'!C:C=B594,'Students (Vertical)'!O:O&lt;&gt;"""");filter('Students (Vertical)'!O:O,'Students (Vertical)'!C:C=E594,'Students (Vertical)'!O:O&lt;&gt;"""&amp;""")},countifs({filter('Students (Vertical)'!O:O,'Students (Vertical)'!C:C=B594,'Students (Vertical)'!O:O&lt;&gt;"""");filter('Students (Vertical)'!O:O,'Students (Vertical)'!C:C=E594,'Students (Vertical)'!O:O&lt;&gt;"""")},{filter('Students (Vertical)'!O:O,'Students ("&amp;"Vertical)'!C:C=B594,'Students (Vertical)'!O:O&lt;&gt;"""");filter('Students (Vertical)'!O:O,'Students (Vertical)'!C:C=E594,'Students (Vertical)'!O:O&lt;&gt;"""")})&gt;1))),""No shared courses""),"""")"),"")</f>
        <v/>
      </c>
      <c r="J594" s="94" t="str">
        <f>IFERROR(__xludf.DUMMYFUNCTION("if(H594=""Can't be Together"",iferror(join("", "",unique(filter({unique(filter('Students (Vertical)'!O:O,'Students (Vertical)'!C:C=B594,'Students (Vertical)'!O:O&lt;&gt;"""",'Students (Vertical)'!P:P&gt;1));unique(filter('Students (Vertical)'!O:O,'Students (Vertic"&amp;"al)'!C:C=E594,'Students (Vertical)'!O:O&lt;&gt;"""",'Students (Vertical)'!P:P&gt;1))},countifs({unique(filter('Students (Vertical)'!O:O,'Students (Vertical)'!C:C=B594,'Students (Vertical)'!O:O&lt;&gt;"""",'Students (Vertical)'!P:P&gt;1));unique(filter('Students (Vertical)'"&amp;"!O:O,'Students (Vertical)'!C:C=E594,'Students (Vertical)'!O:O&lt;&gt;"""",'Students (Vertical)'!P:P&gt;1))},{unique(filter('Students (Vertical)'!O:O,'Students (Vertical)'!C:C=B594,'Students (Vertical)'!O:O&lt;&gt;"""",'Students (Vertical)'!P:P&gt;1));unique(filter('Student"&amp;"s (Vertical)'!O:O,'Students (Vertical)'!C:C=E594,'Students (Vertical)'!O:O&lt;&gt;"""",'Students (Vertical)'!P:P&gt;1))})&gt;1))),""""),"""")"),"")</f>
        <v/>
      </c>
      <c r="K594" s="96" t="str">
        <f>IFERROR(__xludf.DUMMYFUNCTION("iferror(join("", "",unique(filter({filter('Students (Vertical)'!D:D,'Students (Vertical)'!C:C=B594,'Students (Vertical)'!D:D&lt;&gt;"""");filter('Students (Vertical)'!D:D,'Students (Vertical)'!C:C=E594,'Students (Vertical)'!D:D&lt;&gt;"""")},countifs({filter('Student"&amp;"s (Vertical)'!D:D,'Students (Vertical)'!C:C=B594,'Students (Vertical)'!D:D&lt;&gt;"""");filter('Students (Vertical)'!D:D,'Students (Vertical)'!C:C=E594,'Students (Vertical)'!D:D&lt;&gt;"""")},{filter('Students (Vertical)'!D:D,'Students (Vertical)'!C:C=B594,'Students "&amp;"(Vertical)'!D:D&lt;&gt;"""");filter('Students (Vertical)'!D:D,'Students (Vertical)'!C:C=E594,'Students (Vertical)'!D:D&lt;&gt;"""")})&gt;1))),"""")"),"")</f>
        <v/>
      </c>
      <c r="L594" s="96"/>
      <c r="M594" s="96"/>
    </row>
    <row r="595" hidden="1">
      <c r="A595" s="8" t="s">
        <v>8</v>
      </c>
      <c r="C595" s="8" t="s">
        <v>8</v>
      </c>
      <c r="D595" s="8" t="s">
        <v>8</v>
      </c>
      <c r="F595" s="8" t="s">
        <v>8</v>
      </c>
      <c r="G595" s="8" t="s">
        <v>8</v>
      </c>
      <c r="I595" s="94" t="str">
        <f>IFERROR(__xludf.DUMMYFUNCTION("if(H595=""Must be Together"",iferror(join("", "",unique(filter({filter('Students (Vertical)'!O:O,'Students (Vertical)'!C:C=B595,'Students (Vertical)'!O:O&lt;&gt;"""");filter('Students (Vertical)'!O:O,'Students (Vertical)'!C:C=E595,'Students (Vertical)'!O:O&lt;&gt;"""&amp;""")},countifs({filter('Students (Vertical)'!O:O,'Students (Vertical)'!C:C=B595,'Students (Vertical)'!O:O&lt;&gt;"""");filter('Students (Vertical)'!O:O,'Students (Vertical)'!C:C=E595,'Students (Vertical)'!O:O&lt;&gt;"""")},{filter('Students (Vertical)'!O:O,'Students ("&amp;"Vertical)'!C:C=B595,'Students (Vertical)'!O:O&lt;&gt;"""");filter('Students (Vertical)'!O:O,'Students (Vertical)'!C:C=E595,'Students (Vertical)'!O:O&lt;&gt;"""")})&gt;1))),""No shared courses""),"""")"),"")</f>
        <v/>
      </c>
      <c r="J595" s="94" t="str">
        <f>IFERROR(__xludf.DUMMYFUNCTION("if(H595=""Can't be Together"",iferror(join("", "",unique(filter({unique(filter('Students (Vertical)'!O:O,'Students (Vertical)'!C:C=B595,'Students (Vertical)'!O:O&lt;&gt;"""",'Students (Vertical)'!P:P&gt;1));unique(filter('Students (Vertical)'!O:O,'Students (Vertic"&amp;"al)'!C:C=E595,'Students (Vertical)'!O:O&lt;&gt;"""",'Students (Vertical)'!P:P&gt;1))},countifs({unique(filter('Students (Vertical)'!O:O,'Students (Vertical)'!C:C=B595,'Students (Vertical)'!O:O&lt;&gt;"""",'Students (Vertical)'!P:P&gt;1));unique(filter('Students (Vertical)'"&amp;"!O:O,'Students (Vertical)'!C:C=E595,'Students (Vertical)'!O:O&lt;&gt;"""",'Students (Vertical)'!P:P&gt;1))},{unique(filter('Students (Vertical)'!O:O,'Students (Vertical)'!C:C=B595,'Students (Vertical)'!O:O&lt;&gt;"""",'Students (Vertical)'!P:P&gt;1));unique(filter('Student"&amp;"s (Vertical)'!O:O,'Students (Vertical)'!C:C=E595,'Students (Vertical)'!O:O&lt;&gt;"""",'Students (Vertical)'!P:P&gt;1))})&gt;1))),""""),"""")"),"")</f>
        <v/>
      </c>
      <c r="K595" s="96" t="str">
        <f>IFERROR(__xludf.DUMMYFUNCTION("iferror(join("", "",unique(filter({filter('Students (Vertical)'!D:D,'Students (Vertical)'!C:C=B595,'Students (Vertical)'!D:D&lt;&gt;"""");filter('Students (Vertical)'!D:D,'Students (Vertical)'!C:C=E595,'Students (Vertical)'!D:D&lt;&gt;"""")},countifs({filter('Student"&amp;"s (Vertical)'!D:D,'Students (Vertical)'!C:C=B595,'Students (Vertical)'!D:D&lt;&gt;"""");filter('Students (Vertical)'!D:D,'Students (Vertical)'!C:C=E595,'Students (Vertical)'!D:D&lt;&gt;"""")},{filter('Students (Vertical)'!D:D,'Students (Vertical)'!C:C=B595,'Students "&amp;"(Vertical)'!D:D&lt;&gt;"""");filter('Students (Vertical)'!D:D,'Students (Vertical)'!C:C=E595,'Students (Vertical)'!D:D&lt;&gt;"""")})&gt;1))),"""")"),"")</f>
        <v/>
      </c>
      <c r="L595" s="96"/>
      <c r="M595" s="96"/>
    </row>
    <row r="596" hidden="1">
      <c r="A596" s="8" t="s">
        <v>8</v>
      </c>
      <c r="C596" s="8" t="s">
        <v>8</v>
      </c>
      <c r="D596" s="8" t="s">
        <v>8</v>
      </c>
      <c r="F596" s="8" t="s">
        <v>8</v>
      </c>
      <c r="G596" s="8" t="s">
        <v>8</v>
      </c>
      <c r="I596" s="94" t="str">
        <f>IFERROR(__xludf.DUMMYFUNCTION("if(H596=""Must be Together"",iferror(join("", "",unique(filter({filter('Students (Vertical)'!O:O,'Students (Vertical)'!C:C=B596,'Students (Vertical)'!O:O&lt;&gt;"""");filter('Students (Vertical)'!O:O,'Students (Vertical)'!C:C=E596,'Students (Vertical)'!O:O&lt;&gt;"""&amp;""")},countifs({filter('Students (Vertical)'!O:O,'Students (Vertical)'!C:C=B596,'Students (Vertical)'!O:O&lt;&gt;"""");filter('Students (Vertical)'!O:O,'Students (Vertical)'!C:C=E596,'Students (Vertical)'!O:O&lt;&gt;"""")},{filter('Students (Vertical)'!O:O,'Students ("&amp;"Vertical)'!C:C=B596,'Students (Vertical)'!O:O&lt;&gt;"""");filter('Students (Vertical)'!O:O,'Students (Vertical)'!C:C=E596,'Students (Vertical)'!O:O&lt;&gt;"""")})&gt;1))),""No shared courses""),"""")"),"")</f>
        <v/>
      </c>
      <c r="J596" s="94" t="str">
        <f>IFERROR(__xludf.DUMMYFUNCTION("if(H596=""Can't be Together"",iferror(join("", "",unique(filter({unique(filter('Students (Vertical)'!O:O,'Students (Vertical)'!C:C=B596,'Students (Vertical)'!O:O&lt;&gt;"""",'Students (Vertical)'!P:P&gt;1));unique(filter('Students (Vertical)'!O:O,'Students (Vertic"&amp;"al)'!C:C=E596,'Students (Vertical)'!O:O&lt;&gt;"""",'Students (Vertical)'!P:P&gt;1))},countifs({unique(filter('Students (Vertical)'!O:O,'Students (Vertical)'!C:C=B596,'Students (Vertical)'!O:O&lt;&gt;"""",'Students (Vertical)'!P:P&gt;1));unique(filter('Students (Vertical)'"&amp;"!O:O,'Students (Vertical)'!C:C=E596,'Students (Vertical)'!O:O&lt;&gt;"""",'Students (Vertical)'!P:P&gt;1))},{unique(filter('Students (Vertical)'!O:O,'Students (Vertical)'!C:C=B596,'Students (Vertical)'!O:O&lt;&gt;"""",'Students (Vertical)'!P:P&gt;1));unique(filter('Student"&amp;"s (Vertical)'!O:O,'Students (Vertical)'!C:C=E596,'Students (Vertical)'!O:O&lt;&gt;"""",'Students (Vertical)'!P:P&gt;1))})&gt;1))),""""),"""")"),"")</f>
        <v/>
      </c>
      <c r="K596" s="96" t="str">
        <f>IFERROR(__xludf.DUMMYFUNCTION("iferror(join("", "",unique(filter({filter('Students (Vertical)'!D:D,'Students (Vertical)'!C:C=B596,'Students (Vertical)'!D:D&lt;&gt;"""");filter('Students (Vertical)'!D:D,'Students (Vertical)'!C:C=E596,'Students (Vertical)'!D:D&lt;&gt;"""")},countifs({filter('Student"&amp;"s (Vertical)'!D:D,'Students (Vertical)'!C:C=B596,'Students (Vertical)'!D:D&lt;&gt;"""");filter('Students (Vertical)'!D:D,'Students (Vertical)'!C:C=E596,'Students (Vertical)'!D:D&lt;&gt;"""")},{filter('Students (Vertical)'!D:D,'Students (Vertical)'!C:C=B596,'Students "&amp;"(Vertical)'!D:D&lt;&gt;"""");filter('Students (Vertical)'!D:D,'Students (Vertical)'!C:C=E596,'Students (Vertical)'!D:D&lt;&gt;"""")})&gt;1))),"""")"),"")</f>
        <v/>
      </c>
      <c r="L596" s="96"/>
      <c r="M596" s="96"/>
    </row>
    <row r="597" hidden="1">
      <c r="A597" s="8" t="s">
        <v>8</v>
      </c>
      <c r="C597" s="8" t="s">
        <v>8</v>
      </c>
      <c r="D597" s="8" t="s">
        <v>8</v>
      </c>
      <c r="F597" s="8" t="s">
        <v>8</v>
      </c>
      <c r="G597" s="8" t="s">
        <v>8</v>
      </c>
      <c r="I597" s="94" t="str">
        <f>IFERROR(__xludf.DUMMYFUNCTION("if(H597=""Must be Together"",iferror(join("", "",unique(filter({filter('Students (Vertical)'!O:O,'Students (Vertical)'!C:C=B597,'Students (Vertical)'!O:O&lt;&gt;"""");filter('Students (Vertical)'!O:O,'Students (Vertical)'!C:C=E597,'Students (Vertical)'!O:O&lt;&gt;"""&amp;""")},countifs({filter('Students (Vertical)'!O:O,'Students (Vertical)'!C:C=B597,'Students (Vertical)'!O:O&lt;&gt;"""");filter('Students (Vertical)'!O:O,'Students (Vertical)'!C:C=E597,'Students (Vertical)'!O:O&lt;&gt;"""")},{filter('Students (Vertical)'!O:O,'Students ("&amp;"Vertical)'!C:C=B597,'Students (Vertical)'!O:O&lt;&gt;"""");filter('Students (Vertical)'!O:O,'Students (Vertical)'!C:C=E597,'Students (Vertical)'!O:O&lt;&gt;"""")})&gt;1))),""No shared courses""),"""")"),"")</f>
        <v/>
      </c>
      <c r="J597" s="94" t="str">
        <f>IFERROR(__xludf.DUMMYFUNCTION("if(H597=""Can't be Together"",iferror(join("", "",unique(filter({unique(filter('Students (Vertical)'!O:O,'Students (Vertical)'!C:C=B597,'Students (Vertical)'!O:O&lt;&gt;"""",'Students (Vertical)'!P:P&gt;1));unique(filter('Students (Vertical)'!O:O,'Students (Vertic"&amp;"al)'!C:C=E597,'Students (Vertical)'!O:O&lt;&gt;"""",'Students (Vertical)'!P:P&gt;1))},countifs({unique(filter('Students (Vertical)'!O:O,'Students (Vertical)'!C:C=B597,'Students (Vertical)'!O:O&lt;&gt;"""",'Students (Vertical)'!P:P&gt;1));unique(filter('Students (Vertical)'"&amp;"!O:O,'Students (Vertical)'!C:C=E597,'Students (Vertical)'!O:O&lt;&gt;"""",'Students (Vertical)'!P:P&gt;1))},{unique(filter('Students (Vertical)'!O:O,'Students (Vertical)'!C:C=B597,'Students (Vertical)'!O:O&lt;&gt;"""",'Students (Vertical)'!P:P&gt;1));unique(filter('Student"&amp;"s (Vertical)'!O:O,'Students (Vertical)'!C:C=E597,'Students (Vertical)'!O:O&lt;&gt;"""",'Students (Vertical)'!P:P&gt;1))})&gt;1))),""""),"""")"),"")</f>
        <v/>
      </c>
      <c r="K597" s="96" t="str">
        <f>IFERROR(__xludf.DUMMYFUNCTION("iferror(join("", "",unique(filter({filter('Students (Vertical)'!D:D,'Students (Vertical)'!C:C=B597,'Students (Vertical)'!D:D&lt;&gt;"""");filter('Students (Vertical)'!D:D,'Students (Vertical)'!C:C=E597,'Students (Vertical)'!D:D&lt;&gt;"""")},countifs({filter('Student"&amp;"s (Vertical)'!D:D,'Students (Vertical)'!C:C=B597,'Students (Vertical)'!D:D&lt;&gt;"""");filter('Students (Vertical)'!D:D,'Students (Vertical)'!C:C=E597,'Students (Vertical)'!D:D&lt;&gt;"""")},{filter('Students (Vertical)'!D:D,'Students (Vertical)'!C:C=B597,'Students "&amp;"(Vertical)'!D:D&lt;&gt;"""");filter('Students (Vertical)'!D:D,'Students (Vertical)'!C:C=E597,'Students (Vertical)'!D:D&lt;&gt;"""")})&gt;1))),"""")"),"")</f>
        <v/>
      </c>
      <c r="L597" s="96"/>
      <c r="M597" s="96"/>
    </row>
    <row r="598" hidden="1">
      <c r="A598" s="8" t="s">
        <v>8</v>
      </c>
      <c r="C598" s="8" t="s">
        <v>8</v>
      </c>
      <c r="D598" s="8" t="s">
        <v>8</v>
      </c>
      <c r="F598" s="8" t="s">
        <v>8</v>
      </c>
      <c r="G598" s="8" t="s">
        <v>8</v>
      </c>
      <c r="I598" s="94" t="str">
        <f>IFERROR(__xludf.DUMMYFUNCTION("if(H598=""Must be Together"",iferror(join("", "",unique(filter({filter('Students (Vertical)'!O:O,'Students (Vertical)'!C:C=B598,'Students (Vertical)'!O:O&lt;&gt;"""");filter('Students (Vertical)'!O:O,'Students (Vertical)'!C:C=E598,'Students (Vertical)'!O:O&lt;&gt;"""&amp;""")},countifs({filter('Students (Vertical)'!O:O,'Students (Vertical)'!C:C=B598,'Students (Vertical)'!O:O&lt;&gt;"""");filter('Students (Vertical)'!O:O,'Students (Vertical)'!C:C=E598,'Students (Vertical)'!O:O&lt;&gt;"""")},{filter('Students (Vertical)'!O:O,'Students ("&amp;"Vertical)'!C:C=B598,'Students (Vertical)'!O:O&lt;&gt;"""");filter('Students (Vertical)'!O:O,'Students (Vertical)'!C:C=E598,'Students (Vertical)'!O:O&lt;&gt;"""")})&gt;1))),""No shared courses""),"""")"),"")</f>
        <v/>
      </c>
      <c r="J598" s="94" t="str">
        <f>IFERROR(__xludf.DUMMYFUNCTION("if(H598=""Can't be Together"",iferror(join("", "",unique(filter({unique(filter('Students (Vertical)'!O:O,'Students (Vertical)'!C:C=B598,'Students (Vertical)'!O:O&lt;&gt;"""",'Students (Vertical)'!P:P&gt;1));unique(filter('Students (Vertical)'!O:O,'Students (Vertic"&amp;"al)'!C:C=E598,'Students (Vertical)'!O:O&lt;&gt;"""",'Students (Vertical)'!P:P&gt;1))},countifs({unique(filter('Students (Vertical)'!O:O,'Students (Vertical)'!C:C=B598,'Students (Vertical)'!O:O&lt;&gt;"""",'Students (Vertical)'!P:P&gt;1));unique(filter('Students (Vertical)'"&amp;"!O:O,'Students (Vertical)'!C:C=E598,'Students (Vertical)'!O:O&lt;&gt;"""",'Students (Vertical)'!P:P&gt;1))},{unique(filter('Students (Vertical)'!O:O,'Students (Vertical)'!C:C=B598,'Students (Vertical)'!O:O&lt;&gt;"""",'Students (Vertical)'!P:P&gt;1));unique(filter('Student"&amp;"s (Vertical)'!O:O,'Students (Vertical)'!C:C=E598,'Students (Vertical)'!O:O&lt;&gt;"""",'Students (Vertical)'!P:P&gt;1))})&gt;1))),""""),"""")"),"")</f>
        <v/>
      </c>
      <c r="K598" s="96" t="str">
        <f>IFERROR(__xludf.DUMMYFUNCTION("iferror(join("", "",unique(filter({filter('Students (Vertical)'!D:D,'Students (Vertical)'!C:C=B598,'Students (Vertical)'!D:D&lt;&gt;"""");filter('Students (Vertical)'!D:D,'Students (Vertical)'!C:C=E598,'Students (Vertical)'!D:D&lt;&gt;"""")},countifs({filter('Student"&amp;"s (Vertical)'!D:D,'Students (Vertical)'!C:C=B598,'Students (Vertical)'!D:D&lt;&gt;"""");filter('Students (Vertical)'!D:D,'Students (Vertical)'!C:C=E598,'Students (Vertical)'!D:D&lt;&gt;"""")},{filter('Students (Vertical)'!D:D,'Students (Vertical)'!C:C=B598,'Students "&amp;"(Vertical)'!D:D&lt;&gt;"""");filter('Students (Vertical)'!D:D,'Students (Vertical)'!C:C=E598,'Students (Vertical)'!D:D&lt;&gt;"""")})&gt;1))),"""")"),"")</f>
        <v/>
      </c>
      <c r="L598" s="96"/>
      <c r="M598" s="96"/>
    </row>
    <row r="599" hidden="1">
      <c r="A599" s="8" t="s">
        <v>8</v>
      </c>
      <c r="C599" s="8" t="s">
        <v>8</v>
      </c>
      <c r="D599" s="8" t="s">
        <v>8</v>
      </c>
      <c r="F599" s="8" t="s">
        <v>8</v>
      </c>
      <c r="G599" s="8" t="s">
        <v>8</v>
      </c>
      <c r="I599" s="94" t="str">
        <f>IFERROR(__xludf.DUMMYFUNCTION("if(H599=""Must be Together"",iferror(join("", "",unique(filter({filter('Students (Vertical)'!O:O,'Students (Vertical)'!C:C=B599,'Students (Vertical)'!O:O&lt;&gt;"""");filter('Students (Vertical)'!O:O,'Students (Vertical)'!C:C=E599,'Students (Vertical)'!O:O&lt;&gt;"""&amp;""")},countifs({filter('Students (Vertical)'!O:O,'Students (Vertical)'!C:C=B599,'Students (Vertical)'!O:O&lt;&gt;"""");filter('Students (Vertical)'!O:O,'Students (Vertical)'!C:C=E599,'Students (Vertical)'!O:O&lt;&gt;"""")},{filter('Students (Vertical)'!O:O,'Students ("&amp;"Vertical)'!C:C=B599,'Students (Vertical)'!O:O&lt;&gt;"""");filter('Students (Vertical)'!O:O,'Students (Vertical)'!C:C=E599,'Students (Vertical)'!O:O&lt;&gt;"""")})&gt;1))),""No shared courses""),"""")"),"")</f>
        <v/>
      </c>
      <c r="J599" s="94" t="str">
        <f>IFERROR(__xludf.DUMMYFUNCTION("if(H599=""Can't be Together"",iferror(join("", "",unique(filter({unique(filter('Students (Vertical)'!O:O,'Students (Vertical)'!C:C=B599,'Students (Vertical)'!O:O&lt;&gt;"""",'Students (Vertical)'!P:P&gt;1));unique(filter('Students (Vertical)'!O:O,'Students (Vertic"&amp;"al)'!C:C=E599,'Students (Vertical)'!O:O&lt;&gt;"""",'Students (Vertical)'!P:P&gt;1))},countifs({unique(filter('Students (Vertical)'!O:O,'Students (Vertical)'!C:C=B599,'Students (Vertical)'!O:O&lt;&gt;"""",'Students (Vertical)'!P:P&gt;1));unique(filter('Students (Vertical)'"&amp;"!O:O,'Students (Vertical)'!C:C=E599,'Students (Vertical)'!O:O&lt;&gt;"""",'Students (Vertical)'!P:P&gt;1))},{unique(filter('Students (Vertical)'!O:O,'Students (Vertical)'!C:C=B599,'Students (Vertical)'!O:O&lt;&gt;"""",'Students (Vertical)'!P:P&gt;1));unique(filter('Student"&amp;"s (Vertical)'!O:O,'Students (Vertical)'!C:C=E599,'Students (Vertical)'!O:O&lt;&gt;"""",'Students (Vertical)'!P:P&gt;1))})&gt;1))),""""),"""")"),"")</f>
        <v/>
      </c>
      <c r="K599" s="96" t="str">
        <f>IFERROR(__xludf.DUMMYFUNCTION("iferror(join("", "",unique(filter({filter('Students (Vertical)'!D:D,'Students (Vertical)'!C:C=B599,'Students (Vertical)'!D:D&lt;&gt;"""");filter('Students (Vertical)'!D:D,'Students (Vertical)'!C:C=E599,'Students (Vertical)'!D:D&lt;&gt;"""")},countifs({filter('Student"&amp;"s (Vertical)'!D:D,'Students (Vertical)'!C:C=B599,'Students (Vertical)'!D:D&lt;&gt;"""");filter('Students (Vertical)'!D:D,'Students (Vertical)'!C:C=E599,'Students (Vertical)'!D:D&lt;&gt;"""")},{filter('Students (Vertical)'!D:D,'Students (Vertical)'!C:C=B599,'Students "&amp;"(Vertical)'!D:D&lt;&gt;"""");filter('Students (Vertical)'!D:D,'Students (Vertical)'!C:C=E599,'Students (Vertical)'!D:D&lt;&gt;"""")})&gt;1))),"""")"),"")</f>
        <v/>
      </c>
      <c r="L599" s="96"/>
      <c r="M599" s="96"/>
    </row>
    <row r="600" hidden="1">
      <c r="A600" s="8" t="s">
        <v>8</v>
      </c>
      <c r="C600" s="8" t="s">
        <v>8</v>
      </c>
      <c r="D600" s="8" t="s">
        <v>8</v>
      </c>
      <c r="F600" s="8" t="s">
        <v>8</v>
      </c>
      <c r="G600" s="8" t="s">
        <v>8</v>
      </c>
      <c r="I600" s="94" t="str">
        <f>IFERROR(__xludf.DUMMYFUNCTION("if(H600=""Must be Together"",iferror(join("", "",unique(filter({filter('Students (Vertical)'!O:O,'Students (Vertical)'!C:C=B600,'Students (Vertical)'!O:O&lt;&gt;"""");filter('Students (Vertical)'!O:O,'Students (Vertical)'!C:C=E600,'Students (Vertical)'!O:O&lt;&gt;"""&amp;""")},countifs({filter('Students (Vertical)'!O:O,'Students (Vertical)'!C:C=B600,'Students (Vertical)'!O:O&lt;&gt;"""");filter('Students (Vertical)'!O:O,'Students (Vertical)'!C:C=E600,'Students (Vertical)'!O:O&lt;&gt;"""")},{filter('Students (Vertical)'!O:O,'Students ("&amp;"Vertical)'!C:C=B600,'Students (Vertical)'!O:O&lt;&gt;"""");filter('Students (Vertical)'!O:O,'Students (Vertical)'!C:C=E600,'Students (Vertical)'!O:O&lt;&gt;"""")})&gt;1))),""No shared courses""),"""")"),"")</f>
        <v/>
      </c>
      <c r="J600" s="94" t="str">
        <f>IFERROR(__xludf.DUMMYFUNCTION("if(H600=""Can't be Together"",iferror(join("", "",unique(filter({unique(filter('Students (Vertical)'!O:O,'Students (Vertical)'!C:C=B600,'Students (Vertical)'!O:O&lt;&gt;"""",'Students (Vertical)'!P:P&gt;1));unique(filter('Students (Vertical)'!O:O,'Students (Vertic"&amp;"al)'!C:C=E600,'Students (Vertical)'!O:O&lt;&gt;"""",'Students (Vertical)'!P:P&gt;1))},countifs({unique(filter('Students (Vertical)'!O:O,'Students (Vertical)'!C:C=B600,'Students (Vertical)'!O:O&lt;&gt;"""",'Students (Vertical)'!P:P&gt;1));unique(filter('Students (Vertical)'"&amp;"!O:O,'Students (Vertical)'!C:C=E600,'Students (Vertical)'!O:O&lt;&gt;"""",'Students (Vertical)'!P:P&gt;1))},{unique(filter('Students (Vertical)'!O:O,'Students (Vertical)'!C:C=B600,'Students (Vertical)'!O:O&lt;&gt;"""",'Students (Vertical)'!P:P&gt;1));unique(filter('Student"&amp;"s (Vertical)'!O:O,'Students (Vertical)'!C:C=E600,'Students (Vertical)'!O:O&lt;&gt;"""",'Students (Vertical)'!P:P&gt;1))})&gt;1))),""""),"""")"),"")</f>
        <v/>
      </c>
      <c r="K600" s="96" t="str">
        <f>IFERROR(__xludf.DUMMYFUNCTION("iferror(join("", "",unique(filter({filter('Students (Vertical)'!D:D,'Students (Vertical)'!C:C=B600,'Students (Vertical)'!D:D&lt;&gt;"""");filter('Students (Vertical)'!D:D,'Students (Vertical)'!C:C=E600,'Students (Vertical)'!D:D&lt;&gt;"""")},countifs({filter('Student"&amp;"s (Vertical)'!D:D,'Students (Vertical)'!C:C=B600,'Students (Vertical)'!D:D&lt;&gt;"""");filter('Students (Vertical)'!D:D,'Students (Vertical)'!C:C=E600,'Students (Vertical)'!D:D&lt;&gt;"""")},{filter('Students (Vertical)'!D:D,'Students (Vertical)'!C:C=B600,'Students "&amp;"(Vertical)'!D:D&lt;&gt;"""");filter('Students (Vertical)'!D:D,'Students (Vertical)'!C:C=E600,'Students (Vertical)'!D:D&lt;&gt;"""")})&gt;1))),"""")"),"")</f>
        <v/>
      </c>
      <c r="L600" s="96"/>
      <c r="M600" s="96"/>
    </row>
    <row r="601" hidden="1">
      <c r="A601" s="8" t="s">
        <v>8</v>
      </c>
      <c r="C601" s="8" t="s">
        <v>8</v>
      </c>
      <c r="D601" s="8" t="s">
        <v>8</v>
      </c>
      <c r="F601" s="8" t="s">
        <v>8</v>
      </c>
      <c r="G601" s="8" t="s">
        <v>8</v>
      </c>
      <c r="I601" s="94" t="str">
        <f>IFERROR(__xludf.DUMMYFUNCTION("if(H601=""Must be Together"",iferror(join("", "",unique(filter({filter('Students (Vertical)'!O:O,'Students (Vertical)'!C:C=B601,'Students (Vertical)'!O:O&lt;&gt;"""");filter('Students (Vertical)'!O:O,'Students (Vertical)'!C:C=E601,'Students (Vertical)'!O:O&lt;&gt;"""&amp;""")},countifs({filter('Students (Vertical)'!O:O,'Students (Vertical)'!C:C=B601,'Students (Vertical)'!O:O&lt;&gt;"""");filter('Students (Vertical)'!O:O,'Students (Vertical)'!C:C=E601,'Students (Vertical)'!O:O&lt;&gt;"""")},{filter('Students (Vertical)'!O:O,'Students ("&amp;"Vertical)'!C:C=B601,'Students (Vertical)'!O:O&lt;&gt;"""");filter('Students (Vertical)'!O:O,'Students (Vertical)'!C:C=E601,'Students (Vertical)'!O:O&lt;&gt;"""")})&gt;1))),""No shared courses""),"""")"),"")</f>
        <v/>
      </c>
      <c r="J601" s="94" t="str">
        <f>IFERROR(__xludf.DUMMYFUNCTION("if(H601=""Can't be Together"",iferror(join("", "",unique(filter({unique(filter('Students (Vertical)'!O:O,'Students (Vertical)'!C:C=B601,'Students (Vertical)'!O:O&lt;&gt;"""",'Students (Vertical)'!P:P&gt;1));unique(filter('Students (Vertical)'!O:O,'Students (Vertic"&amp;"al)'!C:C=E601,'Students (Vertical)'!O:O&lt;&gt;"""",'Students (Vertical)'!P:P&gt;1))},countifs({unique(filter('Students (Vertical)'!O:O,'Students (Vertical)'!C:C=B601,'Students (Vertical)'!O:O&lt;&gt;"""",'Students (Vertical)'!P:P&gt;1));unique(filter('Students (Vertical)'"&amp;"!O:O,'Students (Vertical)'!C:C=E601,'Students (Vertical)'!O:O&lt;&gt;"""",'Students (Vertical)'!P:P&gt;1))},{unique(filter('Students (Vertical)'!O:O,'Students (Vertical)'!C:C=B601,'Students (Vertical)'!O:O&lt;&gt;"""",'Students (Vertical)'!P:P&gt;1));unique(filter('Student"&amp;"s (Vertical)'!O:O,'Students (Vertical)'!C:C=E601,'Students (Vertical)'!O:O&lt;&gt;"""",'Students (Vertical)'!P:P&gt;1))})&gt;1))),""""),"""")"),"")</f>
        <v/>
      </c>
      <c r="K601" s="96" t="str">
        <f>IFERROR(__xludf.DUMMYFUNCTION("iferror(join("", "",unique(filter({filter('Students (Vertical)'!D:D,'Students (Vertical)'!C:C=B601,'Students (Vertical)'!D:D&lt;&gt;"""");filter('Students (Vertical)'!D:D,'Students (Vertical)'!C:C=E601,'Students (Vertical)'!D:D&lt;&gt;"""")},countifs({filter('Student"&amp;"s (Vertical)'!D:D,'Students (Vertical)'!C:C=B601,'Students (Vertical)'!D:D&lt;&gt;"""");filter('Students (Vertical)'!D:D,'Students (Vertical)'!C:C=E601,'Students (Vertical)'!D:D&lt;&gt;"""")},{filter('Students (Vertical)'!D:D,'Students (Vertical)'!C:C=B601,'Students "&amp;"(Vertical)'!D:D&lt;&gt;"""");filter('Students (Vertical)'!D:D,'Students (Vertical)'!C:C=E601,'Students (Vertical)'!D:D&lt;&gt;"""")})&gt;1))),"""")"),"")</f>
        <v/>
      </c>
      <c r="L601" s="96"/>
      <c r="M601" s="96"/>
    </row>
    <row r="602" hidden="1">
      <c r="A602" s="8" t="s">
        <v>8</v>
      </c>
      <c r="C602" s="8" t="s">
        <v>8</v>
      </c>
      <c r="D602" s="8" t="s">
        <v>8</v>
      </c>
      <c r="F602" s="8" t="s">
        <v>8</v>
      </c>
      <c r="G602" s="8" t="s">
        <v>8</v>
      </c>
      <c r="I602" s="94" t="str">
        <f>IFERROR(__xludf.DUMMYFUNCTION("if(H602=""Must be Together"",iferror(join("", "",unique(filter({filter('Students (Vertical)'!O:O,'Students (Vertical)'!C:C=B602,'Students (Vertical)'!O:O&lt;&gt;"""");filter('Students (Vertical)'!O:O,'Students (Vertical)'!C:C=E602,'Students (Vertical)'!O:O&lt;&gt;"""&amp;""")},countifs({filter('Students (Vertical)'!O:O,'Students (Vertical)'!C:C=B602,'Students (Vertical)'!O:O&lt;&gt;"""");filter('Students (Vertical)'!O:O,'Students (Vertical)'!C:C=E602,'Students (Vertical)'!O:O&lt;&gt;"""")},{filter('Students (Vertical)'!O:O,'Students ("&amp;"Vertical)'!C:C=B602,'Students (Vertical)'!O:O&lt;&gt;"""");filter('Students (Vertical)'!O:O,'Students (Vertical)'!C:C=E602,'Students (Vertical)'!O:O&lt;&gt;"""")})&gt;1))),""No shared courses""),"""")"),"")</f>
        <v/>
      </c>
      <c r="J602" s="94" t="str">
        <f>IFERROR(__xludf.DUMMYFUNCTION("if(H602=""Can't be Together"",iferror(join("", "",unique(filter({unique(filter('Students (Vertical)'!O:O,'Students (Vertical)'!C:C=B602,'Students (Vertical)'!O:O&lt;&gt;"""",'Students (Vertical)'!P:P&gt;1));unique(filter('Students (Vertical)'!O:O,'Students (Vertic"&amp;"al)'!C:C=E602,'Students (Vertical)'!O:O&lt;&gt;"""",'Students (Vertical)'!P:P&gt;1))},countifs({unique(filter('Students (Vertical)'!O:O,'Students (Vertical)'!C:C=B602,'Students (Vertical)'!O:O&lt;&gt;"""",'Students (Vertical)'!P:P&gt;1));unique(filter('Students (Vertical)'"&amp;"!O:O,'Students (Vertical)'!C:C=E602,'Students (Vertical)'!O:O&lt;&gt;"""",'Students (Vertical)'!P:P&gt;1))},{unique(filter('Students (Vertical)'!O:O,'Students (Vertical)'!C:C=B602,'Students (Vertical)'!O:O&lt;&gt;"""",'Students (Vertical)'!P:P&gt;1));unique(filter('Student"&amp;"s (Vertical)'!O:O,'Students (Vertical)'!C:C=E602,'Students (Vertical)'!O:O&lt;&gt;"""",'Students (Vertical)'!P:P&gt;1))})&gt;1))),""""),"""")"),"")</f>
        <v/>
      </c>
      <c r="K602" s="96" t="str">
        <f>IFERROR(__xludf.DUMMYFUNCTION("iferror(join("", "",unique(filter({filter('Students (Vertical)'!D:D,'Students (Vertical)'!C:C=B602,'Students (Vertical)'!D:D&lt;&gt;"""");filter('Students (Vertical)'!D:D,'Students (Vertical)'!C:C=E602,'Students (Vertical)'!D:D&lt;&gt;"""")},countifs({filter('Student"&amp;"s (Vertical)'!D:D,'Students (Vertical)'!C:C=B602,'Students (Vertical)'!D:D&lt;&gt;"""");filter('Students (Vertical)'!D:D,'Students (Vertical)'!C:C=E602,'Students (Vertical)'!D:D&lt;&gt;"""")},{filter('Students (Vertical)'!D:D,'Students (Vertical)'!C:C=B602,'Students "&amp;"(Vertical)'!D:D&lt;&gt;"""");filter('Students (Vertical)'!D:D,'Students (Vertical)'!C:C=E602,'Students (Vertical)'!D:D&lt;&gt;"""")})&gt;1))),"""")"),"")</f>
        <v/>
      </c>
      <c r="L602" s="96"/>
      <c r="M602" s="96"/>
    </row>
    <row r="603" hidden="1">
      <c r="A603" s="8" t="s">
        <v>8</v>
      </c>
      <c r="C603" s="8" t="s">
        <v>8</v>
      </c>
      <c r="D603" s="8" t="s">
        <v>8</v>
      </c>
      <c r="F603" s="8" t="s">
        <v>8</v>
      </c>
      <c r="G603" s="8" t="s">
        <v>8</v>
      </c>
      <c r="I603" s="94" t="str">
        <f>IFERROR(__xludf.DUMMYFUNCTION("if(H603=""Must be Together"",iferror(join("", "",unique(filter({filter('Students (Vertical)'!O:O,'Students (Vertical)'!C:C=B603,'Students (Vertical)'!O:O&lt;&gt;"""");filter('Students (Vertical)'!O:O,'Students (Vertical)'!C:C=E603,'Students (Vertical)'!O:O&lt;&gt;"""&amp;""")},countifs({filter('Students (Vertical)'!O:O,'Students (Vertical)'!C:C=B603,'Students (Vertical)'!O:O&lt;&gt;"""");filter('Students (Vertical)'!O:O,'Students (Vertical)'!C:C=E603,'Students (Vertical)'!O:O&lt;&gt;"""")},{filter('Students (Vertical)'!O:O,'Students ("&amp;"Vertical)'!C:C=B603,'Students (Vertical)'!O:O&lt;&gt;"""");filter('Students (Vertical)'!O:O,'Students (Vertical)'!C:C=E603,'Students (Vertical)'!O:O&lt;&gt;"""")})&gt;1))),""No shared courses""),"""")"),"")</f>
        <v/>
      </c>
      <c r="J603" s="94" t="str">
        <f>IFERROR(__xludf.DUMMYFUNCTION("if(H603=""Can't be Together"",iferror(join("", "",unique(filter({unique(filter('Students (Vertical)'!O:O,'Students (Vertical)'!C:C=B603,'Students (Vertical)'!O:O&lt;&gt;"""",'Students (Vertical)'!P:P&gt;1));unique(filter('Students (Vertical)'!O:O,'Students (Vertic"&amp;"al)'!C:C=E603,'Students (Vertical)'!O:O&lt;&gt;"""",'Students (Vertical)'!P:P&gt;1))},countifs({unique(filter('Students (Vertical)'!O:O,'Students (Vertical)'!C:C=B603,'Students (Vertical)'!O:O&lt;&gt;"""",'Students (Vertical)'!P:P&gt;1));unique(filter('Students (Vertical)'"&amp;"!O:O,'Students (Vertical)'!C:C=E603,'Students (Vertical)'!O:O&lt;&gt;"""",'Students (Vertical)'!P:P&gt;1))},{unique(filter('Students (Vertical)'!O:O,'Students (Vertical)'!C:C=B603,'Students (Vertical)'!O:O&lt;&gt;"""",'Students (Vertical)'!P:P&gt;1));unique(filter('Student"&amp;"s (Vertical)'!O:O,'Students (Vertical)'!C:C=E603,'Students (Vertical)'!O:O&lt;&gt;"""",'Students (Vertical)'!P:P&gt;1))})&gt;1))),""""),"""")"),"")</f>
        <v/>
      </c>
      <c r="K603" s="96" t="str">
        <f>IFERROR(__xludf.DUMMYFUNCTION("iferror(join("", "",unique(filter({filter('Students (Vertical)'!D:D,'Students (Vertical)'!C:C=B603,'Students (Vertical)'!D:D&lt;&gt;"""");filter('Students (Vertical)'!D:D,'Students (Vertical)'!C:C=E603,'Students (Vertical)'!D:D&lt;&gt;"""")},countifs({filter('Student"&amp;"s (Vertical)'!D:D,'Students (Vertical)'!C:C=B603,'Students (Vertical)'!D:D&lt;&gt;"""");filter('Students (Vertical)'!D:D,'Students (Vertical)'!C:C=E603,'Students (Vertical)'!D:D&lt;&gt;"""")},{filter('Students (Vertical)'!D:D,'Students (Vertical)'!C:C=B603,'Students "&amp;"(Vertical)'!D:D&lt;&gt;"""");filter('Students (Vertical)'!D:D,'Students (Vertical)'!C:C=E603,'Students (Vertical)'!D:D&lt;&gt;"""")})&gt;1))),"""")"),"")</f>
        <v/>
      </c>
      <c r="L603" s="96"/>
      <c r="M603" s="96"/>
    </row>
    <row r="604" hidden="1">
      <c r="A604" s="8" t="s">
        <v>8</v>
      </c>
      <c r="C604" s="8" t="s">
        <v>8</v>
      </c>
      <c r="D604" s="8" t="s">
        <v>8</v>
      </c>
      <c r="F604" s="8" t="s">
        <v>8</v>
      </c>
      <c r="G604" s="8" t="s">
        <v>8</v>
      </c>
      <c r="I604" s="94" t="str">
        <f>IFERROR(__xludf.DUMMYFUNCTION("if(H604=""Must be Together"",iferror(join("", "",unique(filter({filter('Students (Vertical)'!O:O,'Students (Vertical)'!C:C=B604,'Students (Vertical)'!O:O&lt;&gt;"""");filter('Students (Vertical)'!O:O,'Students (Vertical)'!C:C=E604,'Students (Vertical)'!O:O&lt;&gt;"""&amp;""")},countifs({filter('Students (Vertical)'!O:O,'Students (Vertical)'!C:C=B604,'Students (Vertical)'!O:O&lt;&gt;"""");filter('Students (Vertical)'!O:O,'Students (Vertical)'!C:C=E604,'Students (Vertical)'!O:O&lt;&gt;"""")},{filter('Students (Vertical)'!O:O,'Students ("&amp;"Vertical)'!C:C=B604,'Students (Vertical)'!O:O&lt;&gt;"""");filter('Students (Vertical)'!O:O,'Students (Vertical)'!C:C=E604,'Students (Vertical)'!O:O&lt;&gt;"""")})&gt;1))),""No shared courses""),"""")"),"")</f>
        <v/>
      </c>
      <c r="J604" s="94" t="str">
        <f>IFERROR(__xludf.DUMMYFUNCTION("if(H604=""Can't be Together"",iferror(join("", "",unique(filter({unique(filter('Students (Vertical)'!O:O,'Students (Vertical)'!C:C=B604,'Students (Vertical)'!O:O&lt;&gt;"""",'Students (Vertical)'!P:P&gt;1));unique(filter('Students (Vertical)'!O:O,'Students (Vertic"&amp;"al)'!C:C=E604,'Students (Vertical)'!O:O&lt;&gt;"""",'Students (Vertical)'!P:P&gt;1))},countifs({unique(filter('Students (Vertical)'!O:O,'Students (Vertical)'!C:C=B604,'Students (Vertical)'!O:O&lt;&gt;"""",'Students (Vertical)'!P:P&gt;1));unique(filter('Students (Vertical)'"&amp;"!O:O,'Students (Vertical)'!C:C=E604,'Students (Vertical)'!O:O&lt;&gt;"""",'Students (Vertical)'!P:P&gt;1))},{unique(filter('Students (Vertical)'!O:O,'Students (Vertical)'!C:C=B604,'Students (Vertical)'!O:O&lt;&gt;"""",'Students (Vertical)'!P:P&gt;1));unique(filter('Student"&amp;"s (Vertical)'!O:O,'Students (Vertical)'!C:C=E604,'Students (Vertical)'!O:O&lt;&gt;"""",'Students (Vertical)'!P:P&gt;1))})&gt;1))),""""),"""")"),"")</f>
        <v/>
      </c>
      <c r="K604" s="96" t="str">
        <f>IFERROR(__xludf.DUMMYFUNCTION("iferror(join("", "",unique(filter({filter('Students (Vertical)'!D:D,'Students (Vertical)'!C:C=B604,'Students (Vertical)'!D:D&lt;&gt;"""");filter('Students (Vertical)'!D:D,'Students (Vertical)'!C:C=E604,'Students (Vertical)'!D:D&lt;&gt;"""")},countifs({filter('Student"&amp;"s (Vertical)'!D:D,'Students (Vertical)'!C:C=B604,'Students (Vertical)'!D:D&lt;&gt;"""");filter('Students (Vertical)'!D:D,'Students (Vertical)'!C:C=E604,'Students (Vertical)'!D:D&lt;&gt;"""")},{filter('Students (Vertical)'!D:D,'Students (Vertical)'!C:C=B604,'Students "&amp;"(Vertical)'!D:D&lt;&gt;"""");filter('Students (Vertical)'!D:D,'Students (Vertical)'!C:C=E604,'Students (Vertical)'!D:D&lt;&gt;"""")})&gt;1))),"""")"),"")</f>
        <v/>
      </c>
      <c r="L604" s="96"/>
      <c r="M604" s="96"/>
    </row>
    <row r="605" hidden="1">
      <c r="A605" s="8" t="s">
        <v>8</v>
      </c>
      <c r="C605" s="8" t="s">
        <v>8</v>
      </c>
      <c r="D605" s="8" t="s">
        <v>8</v>
      </c>
      <c r="F605" s="8" t="s">
        <v>8</v>
      </c>
      <c r="G605" s="8" t="s">
        <v>8</v>
      </c>
      <c r="I605" s="94" t="str">
        <f>IFERROR(__xludf.DUMMYFUNCTION("if(H605=""Must be Together"",iferror(join("", "",unique(filter({filter('Students (Vertical)'!O:O,'Students (Vertical)'!C:C=B605,'Students (Vertical)'!O:O&lt;&gt;"""");filter('Students (Vertical)'!O:O,'Students (Vertical)'!C:C=E605,'Students (Vertical)'!O:O&lt;&gt;"""&amp;""")},countifs({filter('Students (Vertical)'!O:O,'Students (Vertical)'!C:C=B605,'Students (Vertical)'!O:O&lt;&gt;"""");filter('Students (Vertical)'!O:O,'Students (Vertical)'!C:C=E605,'Students (Vertical)'!O:O&lt;&gt;"""")},{filter('Students (Vertical)'!O:O,'Students ("&amp;"Vertical)'!C:C=B605,'Students (Vertical)'!O:O&lt;&gt;"""");filter('Students (Vertical)'!O:O,'Students (Vertical)'!C:C=E605,'Students (Vertical)'!O:O&lt;&gt;"""")})&gt;1))),""No shared courses""),"""")"),"")</f>
        <v/>
      </c>
      <c r="J605" s="94" t="str">
        <f>IFERROR(__xludf.DUMMYFUNCTION("if(H605=""Can't be Together"",iferror(join("", "",unique(filter({unique(filter('Students (Vertical)'!O:O,'Students (Vertical)'!C:C=B605,'Students (Vertical)'!O:O&lt;&gt;"""",'Students (Vertical)'!P:P&gt;1));unique(filter('Students (Vertical)'!O:O,'Students (Vertic"&amp;"al)'!C:C=E605,'Students (Vertical)'!O:O&lt;&gt;"""",'Students (Vertical)'!P:P&gt;1))},countifs({unique(filter('Students (Vertical)'!O:O,'Students (Vertical)'!C:C=B605,'Students (Vertical)'!O:O&lt;&gt;"""",'Students (Vertical)'!P:P&gt;1));unique(filter('Students (Vertical)'"&amp;"!O:O,'Students (Vertical)'!C:C=E605,'Students (Vertical)'!O:O&lt;&gt;"""",'Students (Vertical)'!P:P&gt;1))},{unique(filter('Students (Vertical)'!O:O,'Students (Vertical)'!C:C=B605,'Students (Vertical)'!O:O&lt;&gt;"""",'Students (Vertical)'!P:P&gt;1));unique(filter('Student"&amp;"s (Vertical)'!O:O,'Students (Vertical)'!C:C=E605,'Students (Vertical)'!O:O&lt;&gt;"""",'Students (Vertical)'!P:P&gt;1))})&gt;1))),""""),"""")"),"")</f>
        <v/>
      </c>
      <c r="K605" s="96" t="str">
        <f>IFERROR(__xludf.DUMMYFUNCTION("iferror(join("", "",unique(filter({filter('Students (Vertical)'!D:D,'Students (Vertical)'!C:C=B605,'Students (Vertical)'!D:D&lt;&gt;"""");filter('Students (Vertical)'!D:D,'Students (Vertical)'!C:C=E605,'Students (Vertical)'!D:D&lt;&gt;"""")},countifs({filter('Student"&amp;"s (Vertical)'!D:D,'Students (Vertical)'!C:C=B605,'Students (Vertical)'!D:D&lt;&gt;"""");filter('Students (Vertical)'!D:D,'Students (Vertical)'!C:C=E605,'Students (Vertical)'!D:D&lt;&gt;"""")},{filter('Students (Vertical)'!D:D,'Students (Vertical)'!C:C=B605,'Students "&amp;"(Vertical)'!D:D&lt;&gt;"""");filter('Students (Vertical)'!D:D,'Students (Vertical)'!C:C=E605,'Students (Vertical)'!D:D&lt;&gt;"""")})&gt;1))),"""")"),"")</f>
        <v/>
      </c>
      <c r="L605" s="96"/>
      <c r="M605" s="96"/>
    </row>
    <row r="606" hidden="1">
      <c r="A606" s="8" t="s">
        <v>8</v>
      </c>
      <c r="C606" s="8" t="s">
        <v>8</v>
      </c>
      <c r="D606" s="8" t="s">
        <v>8</v>
      </c>
      <c r="F606" s="8" t="s">
        <v>8</v>
      </c>
      <c r="G606" s="8" t="s">
        <v>8</v>
      </c>
      <c r="I606" s="94" t="str">
        <f>IFERROR(__xludf.DUMMYFUNCTION("if(H606=""Must be Together"",iferror(join("", "",unique(filter({filter('Students (Vertical)'!O:O,'Students (Vertical)'!C:C=B606,'Students (Vertical)'!O:O&lt;&gt;"""");filter('Students (Vertical)'!O:O,'Students (Vertical)'!C:C=E606,'Students (Vertical)'!O:O&lt;&gt;"""&amp;""")},countifs({filter('Students (Vertical)'!O:O,'Students (Vertical)'!C:C=B606,'Students (Vertical)'!O:O&lt;&gt;"""");filter('Students (Vertical)'!O:O,'Students (Vertical)'!C:C=E606,'Students (Vertical)'!O:O&lt;&gt;"""")},{filter('Students (Vertical)'!O:O,'Students ("&amp;"Vertical)'!C:C=B606,'Students (Vertical)'!O:O&lt;&gt;"""");filter('Students (Vertical)'!O:O,'Students (Vertical)'!C:C=E606,'Students (Vertical)'!O:O&lt;&gt;"""")})&gt;1))),""No shared courses""),"""")"),"")</f>
        <v/>
      </c>
      <c r="J606" s="94" t="str">
        <f>IFERROR(__xludf.DUMMYFUNCTION("if(H606=""Can't be Together"",iferror(join("", "",unique(filter({unique(filter('Students (Vertical)'!O:O,'Students (Vertical)'!C:C=B606,'Students (Vertical)'!O:O&lt;&gt;"""",'Students (Vertical)'!P:P&gt;1));unique(filter('Students (Vertical)'!O:O,'Students (Vertic"&amp;"al)'!C:C=E606,'Students (Vertical)'!O:O&lt;&gt;"""",'Students (Vertical)'!P:P&gt;1))},countifs({unique(filter('Students (Vertical)'!O:O,'Students (Vertical)'!C:C=B606,'Students (Vertical)'!O:O&lt;&gt;"""",'Students (Vertical)'!P:P&gt;1));unique(filter('Students (Vertical)'"&amp;"!O:O,'Students (Vertical)'!C:C=E606,'Students (Vertical)'!O:O&lt;&gt;"""",'Students (Vertical)'!P:P&gt;1))},{unique(filter('Students (Vertical)'!O:O,'Students (Vertical)'!C:C=B606,'Students (Vertical)'!O:O&lt;&gt;"""",'Students (Vertical)'!P:P&gt;1));unique(filter('Student"&amp;"s (Vertical)'!O:O,'Students (Vertical)'!C:C=E606,'Students (Vertical)'!O:O&lt;&gt;"""",'Students (Vertical)'!P:P&gt;1))})&gt;1))),""""),"""")"),"")</f>
        <v/>
      </c>
      <c r="K606" s="96" t="str">
        <f>IFERROR(__xludf.DUMMYFUNCTION("iferror(join("", "",unique(filter({filter('Students (Vertical)'!D:D,'Students (Vertical)'!C:C=B606,'Students (Vertical)'!D:D&lt;&gt;"""");filter('Students (Vertical)'!D:D,'Students (Vertical)'!C:C=E606,'Students (Vertical)'!D:D&lt;&gt;"""")},countifs({filter('Student"&amp;"s (Vertical)'!D:D,'Students (Vertical)'!C:C=B606,'Students (Vertical)'!D:D&lt;&gt;"""");filter('Students (Vertical)'!D:D,'Students (Vertical)'!C:C=E606,'Students (Vertical)'!D:D&lt;&gt;"""")},{filter('Students (Vertical)'!D:D,'Students (Vertical)'!C:C=B606,'Students "&amp;"(Vertical)'!D:D&lt;&gt;"""");filter('Students (Vertical)'!D:D,'Students (Vertical)'!C:C=E606,'Students (Vertical)'!D:D&lt;&gt;"""")})&gt;1))),"""")"),"")</f>
        <v/>
      </c>
      <c r="L606" s="96"/>
      <c r="M606" s="96"/>
    </row>
    <row r="607" hidden="1">
      <c r="A607" s="8" t="s">
        <v>8</v>
      </c>
      <c r="C607" s="8" t="s">
        <v>8</v>
      </c>
      <c r="D607" s="8" t="s">
        <v>8</v>
      </c>
      <c r="F607" s="8" t="s">
        <v>8</v>
      </c>
      <c r="G607" s="8" t="s">
        <v>8</v>
      </c>
      <c r="I607" s="94" t="str">
        <f>IFERROR(__xludf.DUMMYFUNCTION("if(H607=""Must be Together"",iferror(join("", "",unique(filter({filter('Students (Vertical)'!O:O,'Students (Vertical)'!C:C=B607,'Students (Vertical)'!O:O&lt;&gt;"""");filter('Students (Vertical)'!O:O,'Students (Vertical)'!C:C=E607,'Students (Vertical)'!O:O&lt;&gt;"""&amp;""")},countifs({filter('Students (Vertical)'!O:O,'Students (Vertical)'!C:C=B607,'Students (Vertical)'!O:O&lt;&gt;"""");filter('Students (Vertical)'!O:O,'Students (Vertical)'!C:C=E607,'Students (Vertical)'!O:O&lt;&gt;"""")},{filter('Students (Vertical)'!O:O,'Students ("&amp;"Vertical)'!C:C=B607,'Students (Vertical)'!O:O&lt;&gt;"""");filter('Students (Vertical)'!O:O,'Students (Vertical)'!C:C=E607,'Students (Vertical)'!O:O&lt;&gt;"""")})&gt;1))),""No shared courses""),"""")"),"")</f>
        <v/>
      </c>
      <c r="J607" s="94" t="str">
        <f>IFERROR(__xludf.DUMMYFUNCTION("if(H607=""Can't be Together"",iferror(join("", "",unique(filter({unique(filter('Students (Vertical)'!O:O,'Students (Vertical)'!C:C=B607,'Students (Vertical)'!O:O&lt;&gt;"""",'Students (Vertical)'!P:P&gt;1));unique(filter('Students (Vertical)'!O:O,'Students (Vertic"&amp;"al)'!C:C=E607,'Students (Vertical)'!O:O&lt;&gt;"""",'Students (Vertical)'!P:P&gt;1))},countifs({unique(filter('Students (Vertical)'!O:O,'Students (Vertical)'!C:C=B607,'Students (Vertical)'!O:O&lt;&gt;"""",'Students (Vertical)'!P:P&gt;1));unique(filter('Students (Vertical)'"&amp;"!O:O,'Students (Vertical)'!C:C=E607,'Students (Vertical)'!O:O&lt;&gt;"""",'Students (Vertical)'!P:P&gt;1))},{unique(filter('Students (Vertical)'!O:O,'Students (Vertical)'!C:C=B607,'Students (Vertical)'!O:O&lt;&gt;"""",'Students (Vertical)'!P:P&gt;1));unique(filter('Student"&amp;"s (Vertical)'!O:O,'Students (Vertical)'!C:C=E607,'Students (Vertical)'!O:O&lt;&gt;"""",'Students (Vertical)'!P:P&gt;1))})&gt;1))),""""),"""")"),"")</f>
        <v/>
      </c>
      <c r="K607" s="96" t="str">
        <f>IFERROR(__xludf.DUMMYFUNCTION("iferror(join("", "",unique(filter({filter('Students (Vertical)'!D:D,'Students (Vertical)'!C:C=B607,'Students (Vertical)'!D:D&lt;&gt;"""");filter('Students (Vertical)'!D:D,'Students (Vertical)'!C:C=E607,'Students (Vertical)'!D:D&lt;&gt;"""")},countifs({filter('Student"&amp;"s (Vertical)'!D:D,'Students (Vertical)'!C:C=B607,'Students (Vertical)'!D:D&lt;&gt;"""");filter('Students (Vertical)'!D:D,'Students (Vertical)'!C:C=E607,'Students (Vertical)'!D:D&lt;&gt;"""")},{filter('Students (Vertical)'!D:D,'Students (Vertical)'!C:C=B607,'Students "&amp;"(Vertical)'!D:D&lt;&gt;"""");filter('Students (Vertical)'!D:D,'Students (Vertical)'!C:C=E607,'Students (Vertical)'!D:D&lt;&gt;"""")})&gt;1))),"""")"),"")</f>
        <v/>
      </c>
      <c r="L607" s="96"/>
      <c r="M607" s="96"/>
    </row>
    <row r="608" hidden="1">
      <c r="A608" s="8" t="s">
        <v>8</v>
      </c>
      <c r="C608" s="8" t="s">
        <v>8</v>
      </c>
      <c r="D608" s="8" t="s">
        <v>8</v>
      </c>
      <c r="F608" s="8" t="s">
        <v>8</v>
      </c>
      <c r="G608" s="8" t="s">
        <v>8</v>
      </c>
      <c r="I608" s="94" t="str">
        <f>IFERROR(__xludf.DUMMYFUNCTION("if(H608=""Must be Together"",iferror(join("", "",unique(filter({filter('Students (Vertical)'!O:O,'Students (Vertical)'!C:C=B608,'Students (Vertical)'!O:O&lt;&gt;"""");filter('Students (Vertical)'!O:O,'Students (Vertical)'!C:C=E608,'Students (Vertical)'!O:O&lt;&gt;"""&amp;""")},countifs({filter('Students (Vertical)'!O:O,'Students (Vertical)'!C:C=B608,'Students (Vertical)'!O:O&lt;&gt;"""");filter('Students (Vertical)'!O:O,'Students (Vertical)'!C:C=E608,'Students (Vertical)'!O:O&lt;&gt;"""")},{filter('Students (Vertical)'!O:O,'Students ("&amp;"Vertical)'!C:C=B608,'Students (Vertical)'!O:O&lt;&gt;"""");filter('Students (Vertical)'!O:O,'Students (Vertical)'!C:C=E608,'Students (Vertical)'!O:O&lt;&gt;"""")})&gt;1))),""No shared courses""),"""")"),"")</f>
        <v/>
      </c>
      <c r="J608" s="94" t="str">
        <f>IFERROR(__xludf.DUMMYFUNCTION("if(H608=""Can't be Together"",iferror(join("", "",unique(filter({unique(filter('Students (Vertical)'!O:O,'Students (Vertical)'!C:C=B608,'Students (Vertical)'!O:O&lt;&gt;"""",'Students (Vertical)'!P:P&gt;1));unique(filter('Students (Vertical)'!O:O,'Students (Vertic"&amp;"al)'!C:C=E608,'Students (Vertical)'!O:O&lt;&gt;"""",'Students (Vertical)'!P:P&gt;1))},countifs({unique(filter('Students (Vertical)'!O:O,'Students (Vertical)'!C:C=B608,'Students (Vertical)'!O:O&lt;&gt;"""",'Students (Vertical)'!P:P&gt;1));unique(filter('Students (Vertical)'"&amp;"!O:O,'Students (Vertical)'!C:C=E608,'Students (Vertical)'!O:O&lt;&gt;"""",'Students (Vertical)'!P:P&gt;1))},{unique(filter('Students (Vertical)'!O:O,'Students (Vertical)'!C:C=B608,'Students (Vertical)'!O:O&lt;&gt;"""",'Students (Vertical)'!P:P&gt;1));unique(filter('Student"&amp;"s (Vertical)'!O:O,'Students (Vertical)'!C:C=E608,'Students (Vertical)'!O:O&lt;&gt;"""",'Students (Vertical)'!P:P&gt;1))})&gt;1))),""""),"""")"),"")</f>
        <v/>
      </c>
      <c r="K608" s="96" t="str">
        <f>IFERROR(__xludf.DUMMYFUNCTION("iferror(join("", "",unique(filter({filter('Students (Vertical)'!D:D,'Students (Vertical)'!C:C=B608,'Students (Vertical)'!D:D&lt;&gt;"""");filter('Students (Vertical)'!D:D,'Students (Vertical)'!C:C=E608,'Students (Vertical)'!D:D&lt;&gt;"""")},countifs({filter('Student"&amp;"s (Vertical)'!D:D,'Students (Vertical)'!C:C=B608,'Students (Vertical)'!D:D&lt;&gt;"""");filter('Students (Vertical)'!D:D,'Students (Vertical)'!C:C=E608,'Students (Vertical)'!D:D&lt;&gt;"""")},{filter('Students (Vertical)'!D:D,'Students (Vertical)'!C:C=B608,'Students "&amp;"(Vertical)'!D:D&lt;&gt;"""");filter('Students (Vertical)'!D:D,'Students (Vertical)'!C:C=E608,'Students (Vertical)'!D:D&lt;&gt;"""")})&gt;1))),"""")"),"")</f>
        <v/>
      </c>
      <c r="L608" s="96"/>
      <c r="M608" s="96"/>
    </row>
    <row r="609" hidden="1">
      <c r="A609" s="8" t="s">
        <v>8</v>
      </c>
      <c r="C609" s="8" t="s">
        <v>8</v>
      </c>
      <c r="D609" s="8" t="s">
        <v>8</v>
      </c>
      <c r="F609" s="8" t="s">
        <v>8</v>
      </c>
      <c r="G609" s="8" t="s">
        <v>8</v>
      </c>
      <c r="I609" s="94" t="str">
        <f>IFERROR(__xludf.DUMMYFUNCTION("if(H609=""Must be Together"",iferror(join("", "",unique(filter({filter('Students (Vertical)'!O:O,'Students (Vertical)'!C:C=B609,'Students (Vertical)'!O:O&lt;&gt;"""");filter('Students (Vertical)'!O:O,'Students (Vertical)'!C:C=E609,'Students (Vertical)'!O:O&lt;&gt;"""&amp;""")},countifs({filter('Students (Vertical)'!O:O,'Students (Vertical)'!C:C=B609,'Students (Vertical)'!O:O&lt;&gt;"""");filter('Students (Vertical)'!O:O,'Students (Vertical)'!C:C=E609,'Students (Vertical)'!O:O&lt;&gt;"""")},{filter('Students (Vertical)'!O:O,'Students ("&amp;"Vertical)'!C:C=B609,'Students (Vertical)'!O:O&lt;&gt;"""");filter('Students (Vertical)'!O:O,'Students (Vertical)'!C:C=E609,'Students (Vertical)'!O:O&lt;&gt;"""")})&gt;1))),""No shared courses""),"""")"),"")</f>
        <v/>
      </c>
      <c r="J609" s="94" t="str">
        <f>IFERROR(__xludf.DUMMYFUNCTION("if(H609=""Can't be Together"",iferror(join("", "",unique(filter({unique(filter('Students (Vertical)'!O:O,'Students (Vertical)'!C:C=B609,'Students (Vertical)'!O:O&lt;&gt;"""",'Students (Vertical)'!P:P&gt;1));unique(filter('Students (Vertical)'!O:O,'Students (Vertic"&amp;"al)'!C:C=E609,'Students (Vertical)'!O:O&lt;&gt;"""",'Students (Vertical)'!P:P&gt;1))},countifs({unique(filter('Students (Vertical)'!O:O,'Students (Vertical)'!C:C=B609,'Students (Vertical)'!O:O&lt;&gt;"""",'Students (Vertical)'!P:P&gt;1));unique(filter('Students (Vertical)'"&amp;"!O:O,'Students (Vertical)'!C:C=E609,'Students (Vertical)'!O:O&lt;&gt;"""",'Students (Vertical)'!P:P&gt;1))},{unique(filter('Students (Vertical)'!O:O,'Students (Vertical)'!C:C=B609,'Students (Vertical)'!O:O&lt;&gt;"""",'Students (Vertical)'!P:P&gt;1));unique(filter('Student"&amp;"s (Vertical)'!O:O,'Students (Vertical)'!C:C=E609,'Students (Vertical)'!O:O&lt;&gt;"""",'Students (Vertical)'!P:P&gt;1))})&gt;1))),""""),"""")"),"")</f>
        <v/>
      </c>
      <c r="K609" s="96" t="str">
        <f>IFERROR(__xludf.DUMMYFUNCTION("iferror(join("", "",unique(filter({filter('Students (Vertical)'!D:D,'Students (Vertical)'!C:C=B609,'Students (Vertical)'!D:D&lt;&gt;"""");filter('Students (Vertical)'!D:D,'Students (Vertical)'!C:C=E609,'Students (Vertical)'!D:D&lt;&gt;"""")},countifs({filter('Student"&amp;"s (Vertical)'!D:D,'Students (Vertical)'!C:C=B609,'Students (Vertical)'!D:D&lt;&gt;"""");filter('Students (Vertical)'!D:D,'Students (Vertical)'!C:C=E609,'Students (Vertical)'!D:D&lt;&gt;"""")},{filter('Students (Vertical)'!D:D,'Students (Vertical)'!C:C=B609,'Students "&amp;"(Vertical)'!D:D&lt;&gt;"""");filter('Students (Vertical)'!D:D,'Students (Vertical)'!C:C=E609,'Students (Vertical)'!D:D&lt;&gt;"""")})&gt;1))),"""")"),"")</f>
        <v/>
      </c>
      <c r="L609" s="96"/>
      <c r="M609" s="96"/>
    </row>
    <row r="610" hidden="1">
      <c r="A610" s="8" t="s">
        <v>8</v>
      </c>
      <c r="C610" s="8" t="s">
        <v>8</v>
      </c>
      <c r="D610" s="8" t="s">
        <v>8</v>
      </c>
      <c r="F610" s="8" t="s">
        <v>8</v>
      </c>
      <c r="G610" s="8" t="s">
        <v>8</v>
      </c>
      <c r="I610" s="94" t="str">
        <f>IFERROR(__xludf.DUMMYFUNCTION("if(H610=""Must be Together"",iferror(join("", "",unique(filter({filter('Students (Vertical)'!O:O,'Students (Vertical)'!C:C=B610,'Students (Vertical)'!O:O&lt;&gt;"""");filter('Students (Vertical)'!O:O,'Students (Vertical)'!C:C=E610,'Students (Vertical)'!O:O&lt;&gt;"""&amp;""")},countifs({filter('Students (Vertical)'!O:O,'Students (Vertical)'!C:C=B610,'Students (Vertical)'!O:O&lt;&gt;"""");filter('Students (Vertical)'!O:O,'Students (Vertical)'!C:C=E610,'Students (Vertical)'!O:O&lt;&gt;"""")},{filter('Students (Vertical)'!O:O,'Students ("&amp;"Vertical)'!C:C=B610,'Students (Vertical)'!O:O&lt;&gt;"""");filter('Students (Vertical)'!O:O,'Students (Vertical)'!C:C=E610,'Students (Vertical)'!O:O&lt;&gt;"""")})&gt;1))),""No shared courses""),"""")"),"")</f>
        <v/>
      </c>
      <c r="J610" s="94" t="str">
        <f>IFERROR(__xludf.DUMMYFUNCTION("if(H610=""Can't be Together"",iferror(join("", "",unique(filter({unique(filter('Students (Vertical)'!O:O,'Students (Vertical)'!C:C=B610,'Students (Vertical)'!O:O&lt;&gt;"""",'Students (Vertical)'!P:P&gt;1));unique(filter('Students (Vertical)'!O:O,'Students (Vertic"&amp;"al)'!C:C=E610,'Students (Vertical)'!O:O&lt;&gt;"""",'Students (Vertical)'!P:P&gt;1))},countifs({unique(filter('Students (Vertical)'!O:O,'Students (Vertical)'!C:C=B610,'Students (Vertical)'!O:O&lt;&gt;"""",'Students (Vertical)'!P:P&gt;1));unique(filter('Students (Vertical)'"&amp;"!O:O,'Students (Vertical)'!C:C=E610,'Students (Vertical)'!O:O&lt;&gt;"""",'Students (Vertical)'!P:P&gt;1))},{unique(filter('Students (Vertical)'!O:O,'Students (Vertical)'!C:C=B610,'Students (Vertical)'!O:O&lt;&gt;"""",'Students (Vertical)'!P:P&gt;1));unique(filter('Student"&amp;"s (Vertical)'!O:O,'Students (Vertical)'!C:C=E610,'Students (Vertical)'!O:O&lt;&gt;"""",'Students (Vertical)'!P:P&gt;1))})&gt;1))),""""),"""")"),"")</f>
        <v/>
      </c>
      <c r="K610" s="96" t="str">
        <f>IFERROR(__xludf.DUMMYFUNCTION("iferror(join("", "",unique(filter({filter('Students (Vertical)'!D:D,'Students (Vertical)'!C:C=B610,'Students (Vertical)'!D:D&lt;&gt;"""");filter('Students (Vertical)'!D:D,'Students (Vertical)'!C:C=E610,'Students (Vertical)'!D:D&lt;&gt;"""")},countifs({filter('Student"&amp;"s (Vertical)'!D:D,'Students (Vertical)'!C:C=B610,'Students (Vertical)'!D:D&lt;&gt;"""");filter('Students (Vertical)'!D:D,'Students (Vertical)'!C:C=E610,'Students (Vertical)'!D:D&lt;&gt;"""")},{filter('Students (Vertical)'!D:D,'Students (Vertical)'!C:C=B610,'Students "&amp;"(Vertical)'!D:D&lt;&gt;"""");filter('Students (Vertical)'!D:D,'Students (Vertical)'!C:C=E610,'Students (Vertical)'!D:D&lt;&gt;"""")})&gt;1))),"""")"),"")</f>
        <v/>
      </c>
      <c r="L610" s="96"/>
      <c r="M610" s="96"/>
    </row>
    <row r="611" hidden="1">
      <c r="A611" s="8" t="s">
        <v>8</v>
      </c>
      <c r="C611" s="8" t="s">
        <v>8</v>
      </c>
      <c r="D611" s="8" t="s">
        <v>8</v>
      </c>
      <c r="F611" s="8" t="s">
        <v>8</v>
      </c>
      <c r="G611" s="8" t="s">
        <v>8</v>
      </c>
      <c r="I611" s="94" t="str">
        <f>IFERROR(__xludf.DUMMYFUNCTION("if(H611=""Must be Together"",iferror(join("", "",unique(filter({filter('Students (Vertical)'!O:O,'Students (Vertical)'!C:C=B611,'Students (Vertical)'!O:O&lt;&gt;"""");filter('Students (Vertical)'!O:O,'Students (Vertical)'!C:C=E611,'Students (Vertical)'!O:O&lt;&gt;"""&amp;""")},countifs({filter('Students (Vertical)'!O:O,'Students (Vertical)'!C:C=B611,'Students (Vertical)'!O:O&lt;&gt;"""");filter('Students (Vertical)'!O:O,'Students (Vertical)'!C:C=E611,'Students (Vertical)'!O:O&lt;&gt;"""")},{filter('Students (Vertical)'!O:O,'Students ("&amp;"Vertical)'!C:C=B611,'Students (Vertical)'!O:O&lt;&gt;"""");filter('Students (Vertical)'!O:O,'Students (Vertical)'!C:C=E611,'Students (Vertical)'!O:O&lt;&gt;"""")})&gt;1))),""No shared courses""),"""")"),"")</f>
        <v/>
      </c>
      <c r="J611" s="94" t="str">
        <f>IFERROR(__xludf.DUMMYFUNCTION("if(H611=""Can't be Together"",iferror(join("", "",unique(filter({unique(filter('Students (Vertical)'!O:O,'Students (Vertical)'!C:C=B611,'Students (Vertical)'!O:O&lt;&gt;"""",'Students (Vertical)'!P:P&gt;1));unique(filter('Students (Vertical)'!O:O,'Students (Vertic"&amp;"al)'!C:C=E611,'Students (Vertical)'!O:O&lt;&gt;"""",'Students (Vertical)'!P:P&gt;1))},countifs({unique(filter('Students (Vertical)'!O:O,'Students (Vertical)'!C:C=B611,'Students (Vertical)'!O:O&lt;&gt;"""",'Students (Vertical)'!P:P&gt;1));unique(filter('Students (Vertical)'"&amp;"!O:O,'Students (Vertical)'!C:C=E611,'Students (Vertical)'!O:O&lt;&gt;"""",'Students (Vertical)'!P:P&gt;1))},{unique(filter('Students (Vertical)'!O:O,'Students (Vertical)'!C:C=B611,'Students (Vertical)'!O:O&lt;&gt;"""",'Students (Vertical)'!P:P&gt;1));unique(filter('Student"&amp;"s (Vertical)'!O:O,'Students (Vertical)'!C:C=E611,'Students (Vertical)'!O:O&lt;&gt;"""",'Students (Vertical)'!P:P&gt;1))})&gt;1))),""""),"""")"),"")</f>
        <v/>
      </c>
      <c r="K611" s="96" t="str">
        <f>IFERROR(__xludf.DUMMYFUNCTION("iferror(join("", "",unique(filter({filter('Students (Vertical)'!D:D,'Students (Vertical)'!C:C=B611,'Students (Vertical)'!D:D&lt;&gt;"""");filter('Students (Vertical)'!D:D,'Students (Vertical)'!C:C=E611,'Students (Vertical)'!D:D&lt;&gt;"""")},countifs({filter('Student"&amp;"s (Vertical)'!D:D,'Students (Vertical)'!C:C=B611,'Students (Vertical)'!D:D&lt;&gt;"""");filter('Students (Vertical)'!D:D,'Students (Vertical)'!C:C=E611,'Students (Vertical)'!D:D&lt;&gt;"""")},{filter('Students (Vertical)'!D:D,'Students (Vertical)'!C:C=B611,'Students "&amp;"(Vertical)'!D:D&lt;&gt;"""");filter('Students (Vertical)'!D:D,'Students (Vertical)'!C:C=E611,'Students (Vertical)'!D:D&lt;&gt;"""")})&gt;1))),"""")"),"")</f>
        <v/>
      </c>
      <c r="L611" s="96"/>
      <c r="M611" s="96"/>
    </row>
    <row r="612" hidden="1">
      <c r="A612" s="8" t="s">
        <v>8</v>
      </c>
      <c r="C612" s="8" t="s">
        <v>8</v>
      </c>
      <c r="D612" s="8" t="s">
        <v>8</v>
      </c>
      <c r="F612" s="8" t="s">
        <v>8</v>
      </c>
      <c r="G612" s="8" t="s">
        <v>8</v>
      </c>
      <c r="I612" s="94" t="str">
        <f>IFERROR(__xludf.DUMMYFUNCTION("if(H612=""Must be Together"",iferror(join("", "",unique(filter({filter('Students (Vertical)'!O:O,'Students (Vertical)'!C:C=B612,'Students (Vertical)'!O:O&lt;&gt;"""");filter('Students (Vertical)'!O:O,'Students (Vertical)'!C:C=E612,'Students (Vertical)'!O:O&lt;&gt;"""&amp;""")},countifs({filter('Students (Vertical)'!O:O,'Students (Vertical)'!C:C=B612,'Students (Vertical)'!O:O&lt;&gt;"""");filter('Students (Vertical)'!O:O,'Students (Vertical)'!C:C=E612,'Students (Vertical)'!O:O&lt;&gt;"""")},{filter('Students (Vertical)'!O:O,'Students ("&amp;"Vertical)'!C:C=B612,'Students (Vertical)'!O:O&lt;&gt;"""");filter('Students (Vertical)'!O:O,'Students (Vertical)'!C:C=E612,'Students (Vertical)'!O:O&lt;&gt;"""")})&gt;1))),""No shared courses""),"""")"),"")</f>
        <v/>
      </c>
      <c r="J612" s="94" t="str">
        <f>IFERROR(__xludf.DUMMYFUNCTION("if(H612=""Can't be Together"",iferror(join("", "",unique(filter({unique(filter('Students (Vertical)'!O:O,'Students (Vertical)'!C:C=B612,'Students (Vertical)'!O:O&lt;&gt;"""",'Students (Vertical)'!P:P&gt;1));unique(filter('Students (Vertical)'!O:O,'Students (Vertic"&amp;"al)'!C:C=E612,'Students (Vertical)'!O:O&lt;&gt;"""",'Students (Vertical)'!P:P&gt;1))},countifs({unique(filter('Students (Vertical)'!O:O,'Students (Vertical)'!C:C=B612,'Students (Vertical)'!O:O&lt;&gt;"""",'Students (Vertical)'!P:P&gt;1));unique(filter('Students (Vertical)'"&amp;"!O:O,'Students (Vertical)'!C:C=E612,'Students (Vertical)'!O:O&lt;&gt;"""",'Students (Vertical)'!P:P&gt;1))},{unique(filter('Students (Vertical)'!O:O,'Students (Vertical)'!C:C=B612,'Students (Vertical)'!O:O&lt;&gt;"""",'Students (Vertical)'!P:P&gt;1));unique(filter('Student"&amp;"s (Vertical)'!O:O,'Students (Vertical)'!C:C=E612,'Students (Vertical)'!O:O&lt;&gt;"""",'Students (Vertical)'!P:P&gt;1))})&gt;1))),""""),"""")"),"")</f>
        <v/>
      </c>
      <c r="K612" s="96" t="str">
        <f>IFERROR(__xludf.DUMMYFUNCTION("iferror(join("", "",unique(filter({filter('Students (Vertical)'!D:D,'Students (Vertical)'!C:C=B612,'Students (Vertical)'!D:D&lt;&gt;"""");filter('Students (Vertical)'!D:D,'Students (Vertical)'!C:C=E612,'Students (Vertical)'!D:D&lt;&gt;"""")},countifs({filter('Student"&amp;"s (Vertical)'!D:D,'Students (Vertical)'!C:C=B612,'Students (Vertical)'!D:D&lt;&gt;"""");filter('Students (Vertical)'!D:D,'Students (Vertical)'!C:C=E612,'Students (Vertical)'!D:D&lt;&gt;"""")},{filter('Students (Vertical)'!D:D,'Students (Vertical)'!C:C=B612,'Students "&amp;"(Vertical)'!D:D&lt;&gt;"""");filter('Students (Vertical)'!D:D,'Students (Vertical)'!C:C=E612,'Students (Vertical)'!D:D&lt;&gt;"""")})&gt;1))),"""")"),"")</f>
        <v/>
      </c>
      <c r="L612" s="96"/>
      <c r="M612" s="96"/>
    </row>
    <row r="613" hidden="1">
      <c r="A613" s="8" t="s">
        <v>8</v>
      </c>
      <c r="C613" s="8" t="s">
        <v>8</v>
      </c>
      <c r="D613" s="8" t="s">
        <v>8</v>
      </c>
      <c r="F613" s="8" t="s">
        <v>8</v>
      </c>
      <c r="G613" s="8" t="s">
        <v>8</v>
      </c>
      <c r="I613" s="94" t="str">
        <f>IFERROR(__xludf.DUMMYFUNCTION("if(H613=""Must be Together"",iferror(join("", "",unique(filter({filter('Students (Vertical)'!O:O,'Students (Vertical)'!C:C=B613,'Students (Vertical)'!O:O&lt;&gt;"""");filter('Students (Vertical)'!O:O,'Students (Vertical)'!C:C=E613,'Students (Vertical)'!O:O&lt;&gt;"""&amp;""")},countifs({filter('Students (Vertical)'!O:O,'Students (Vertical)'!C:C=B613,'Students (Vertical)'!O:O&lt;&gt;"""");filter('Students (Vertical)'!O:O,'Students (Vertical)'!C:C=E613,'Students (Vertical)'!O:O&lt;&gt;"""")},{filter('Students (Vertical)'!O:O,'Students ("&amp;"Vertical)'!C:C=B613,'Students (Vertical)'!O:O&lt;&gt;"""");filter('Students (Vertical)'!O:O,'Students (Vertical)'!C:C=E613,'Students (Vertical)'!O:O&lt;&gt;"""")})&gt;1))),""No shared courses""),"""")"),"")</f>
        <v/>
      </c>
      <c r="J613" s="94" t="str">
        <f>IFERROR(__xludf.DUMMYFUNCTION("if(H613=""Can't be Together"",iferror(join("", "",unique(filter({unique(filter('Students (Vertical)'!O:O,'Students (Vertical)'!C:C=B613,'Students (Vertical)'!O:O&lt;&gt;"""",'Students (Vertical)'!P:P&gt;1));unique(filter('Students (Vertical)'!O:O,'Students (Vertic"&amp;"al)'!C:C=E613,'Students (Vertical)'!O:O&lt;&gt;"""",'Students (Vertical)'!P:P&gt;1))},countifs({unique(filter('Students (Vertical)'!O:O,'Students (Vertical)'!C:C=B613,'Students (Vertical)'!O:O&lt;&gt;"""",'Students (Vertical)'!P:P&gt;1));unique(filter('Students (Vertical)'"&amp;"!O:O,'Students (Vertical)'!C:C=E613,'Students (Vertical)'!O:O&lt;&gt;"""",'Students (Vertical)'!P:P&gt;1))},{unique(filter('Students (Vertical)'!O:O,'Students (Vertical)'!C:C=B613,'Students (Vertical)'!O:O&lt;&gt;"""",'Students (Vertical)'!P:P&gt;1));unique(filter('Student"&amp;"s (Vertical)'!O:O,'Students (Vertical)'!C:C=E613,'Students (Vertical)'!O:O&lt;&gt;"""",'Students (Vertical)'!P:P&gt;1))})&gt;1))),""""),"""")"),"")</f>
        <v/>
      </c>
      <c r="K613" s="96" t="str">
        <f>IFERROR(__xludf.DUMMYFUNCTION("iferror(join("", "",unique(filter({filter('Students (Vertical)'!D:D,'Students (Vertical)'!C:C=B613,'Students (Vertical)'!D:D&lt;&gt;"""");filter('Students (Vertical)'!D:D,'Students (Vertical)'!C:C=E613,'Students (Vertical)'!D:D&lt;&gt;"""")},countifs({filter('Student"&amp;"s (Vertical)'!D:D,'Students (Vertical)'!C:C=B613,'Students (Vertical)'!D:D&lt;&gt;"""");filter('Students (Vertical)'!D:D,'Students (Vertical)'!C:C=E613,'Students (Vertical)'!D:D&lt;&gt;"""")},{filter('Students (Vertical)'!D:D,'Students (Vertical)'!C:C=B613,'Students "&amp;"(Vertical)'!D:D&lt;&gt;"""");filter('Students (Vertical)'!D:D,'Students (Vertical)'!C:C=E613,'Students (Vertical)'!D:D&lt;&gt;"""")})&gt;1))),"""")"),"")</f>
        <v/>
      </c>
      <c r="L613" s="96"/>
      <c r="M613" s="96"/>
    </row>
    <row r="614" hidden="1">
      <c r="A614" s="8" t="s">
        <v>8</v>
      </c>
      <c r="C614" s="8" t="s">
        <v>8</v>
      </c>
      <c r="D614" s="8" t="s">
        <v>8</v>
      </c>
      <c r="F614" s="8" t="s">
        <v>8</v>
      </c>
      <c r="G614" s="8" t="s">
        <v>8</v>
      </c>
      <c r="I614" s="94" t="str">
        <f>IFERROR(__xludf.DUMMYFUNCTION("if(H614=""Must be Together"",iferror(join("", "",unique(filter({filter('Students (Vertical)'!O:O,'Students (Vertical)'!C:C=B614,'Students (Vertical)'!O:O&lt;&gt;"""");filter('Students (Vertical)'!O:O,'Students (Vertical)'!C:C=E614,'Students (Vertical)'!O:O&lt;&gt;"""&amp;""")},countifs({filter('Students (Vertical)'!O:O,'Students (Vertical)'!C:C=B614,'Students (Vertical)'!O:O&lt;&gt;"""");filter('Students (Vertical)'!O:O,'Students (Vertical)'!C:C=E614,'Students (Vertical)'!O:O&lt;&gt;"""")},{filter('Students (Vertical)'!O:O,'Students ("&amp;"Vertical)'!C:C=B614,'Students (Vertical)'!O:O&lt;&gt;"""");filter('Students (Vertical)'!O:O,'Students (Vertical)'!C:C=E614,'Students (Vertical)'!O:O&lt;&gt;"""")})&gt;1))),""No shared courses""),"""")"),"")</f>
        <v/>
      </c>
      <c r="J614" s="94" t="str">
        <f>IFERROR(__xludf.DUMMYFUNCTION("if(H614=""Can't be Together"",iferror(join("", "",unique(filter({unique(filter('Students (Vertical)'!O:O,'Students (Vertical)'!C:C=B614,'Students (Vertical)'!O:O&lt;&gt;"""",'Students (Vertical)'!P:P&gt;1));unique(filter('Students (Vertical)'!O:O,'Students (Vertic"&amp;"al)'!C:C=E614,'Students (Vertical)'!O:O&lt;&gt;"""",'Students (Vertical)'!P:P&gt;1))},countifs({unique(filter('Students (Vertical)'!O:O,'Students (Vertical)'!C:C=B614,'Students (Vertical)'!O:O&lt;&gt;"""",'Students (Vertical)'!P:P&gt;1));unique(filter('Students (Vertical)'"&amp;"!O:O,'Students (Vertical)'!C:C=E614,'Students (Vertical)'!O:O&lt;&gt;"""",'Students (Vertical)'!P:P&gt;1))},{unique(filter('Students (Vertical)'!O:O,'Students (Vertical)'!C:C=B614,'Students (Vertical)'!O:O&lt;&gt;"""",'Students (Vertical)'!P:P&gt;1));unique(filter('Student"&amp;"s (Vertical)'!O:O,'Students (Vertical)'!C:C=E614,'Students (Vertical)'!O:O&lt;&gt;"""",'Students (Vertical)'!P:P&gt;1))})&gt;1))),""""),"""")"),"")</f>
        <v/>
      </c>
      <c r="K614" s="96" t="str">
        <f>IFERROR(__xludf.DUMMYFUNCTION("iferror(join("", "",unique(filter({filter('Students (Vertical)'!D:D,'Students (Vertical)'!C:C=B614,'Students (Vertical)'!D:D&lt;&gt;"""");filter('Students (Vertical)'!D:D,'Students (Vertical)'!C:C=E614,'Students (Vertical)'!D:D&lt;&gt;"""")},countifs({filter('Student"&amp;"s (Vertical)'!D:D,'Students (Vertical)'!C:C=B614,'Students (Vertical)'!D:D&lt;&gt;"""");filter('Students (Vertical)'!D:D,'Students (Vertical)'!C:C=E614,'Students (Vertical)'!D:D&lt;&gt;"""")},{filter('Students (Vertical)'!D:D,'Students (Vertical)'!C:C=B614,'Students "&amp;"(Vertical)'!D:D&lt;&gt;"""");filter('Students (Vertical)'!D:D,'Students (Vertical)'!C:C=E614,'Students (Vertical)'!D:D&lt;&gt;"""")})&gt;1))),"""")"),"")</f>
        <v/>
      </c>
      <c r="L614" s="96"/>
      <c r="M614" s="96"/>
    </row>
    <row r="615" hidden="1">
      <c r="A615" s="8" t="s">
        <v>8</v>
      </c>
      <c r="C615" s="8" t="s">
        <v>8</v>
      </c>
      <c r="D615" s="8" t="s">
        <v>8</v>
      </c>
      <c r="F615" s="8" t="s">
        <v>8</v>
      </c>
      <c r="G615" s="8" t="s">
        <v>8</v>
      </c>
      <c r="I615" s="94" t="str">
        <f>IFERROR(__xludf.DUMMYFUNCTION("if(H615=""Must be Together"",iferror(join("", "",unique(filter({filter('Students (Vertical)'!O:O,'Students (Vertical)'!C:C=B615,'Students (Vertical)'!O:O&lt;&gt;"""");filter('Students (Vertical)'!O:O,'Students (Vertical)'!C:C=E615,'Students (Vertical)'!O:O&lt;&gt;"""&amp;""")},countifs({filter('Students (Vertical)'!O:O,'Students (Vertical)'!C:C=B615,'Students (Vertical)'!O:O&lt;&gt;"""");filter('Students (Vertical)'!O:O,'Students (Vertical)'!C:C=E615,'Students (Vertical)'!O:O&lt;&gt;"""")},{filter('Students (Vertical)'!O:O,'Students ("&amp;"Vertical)'!C:C=B615,'Students (Vertical)'!O:O&lt;&gt;"""");filter('Students (Vertical)'!O:O,'Students (Vertical)'!C:C=E615,'Students (Vertical)'!O:O&lt;&gt;"""")})&gt;1))),""No shared courses""),"""")"),"")</f>
        <v/>
      </c>
      <c r="J615" s="94" t="str">
        <f>IFERROR(__xludf.DUMMYFUNCTION("if(H615=""Can't be Together"",iferror(join("", "",unique(filter({unique(filter('Students (Vertical)'!O:O,'Students (Vertical)'!C:C=B615,'Students (Vertical)'!O:O&lt;&gt;"""",'Students (Vertical)'!P:P&gt;1));unique(filter('Students (Vertical)'!O:O,'Students (Vertic"&amp;"al)'!C:C=E615,'Students (Vertical)'!O:O&lt;&gt;"""",'Students (Vertical)'!P:P&gt;1))},countifs({unique(filter('Students (Vertical)'!O:O,'Students (Vertical)'!C:C=B615,'Students (Vertical)'!O:O&lt;&gt;"""",'Students (Vertical)'!P:P&gt;1));unique(filter('Students (Vertical)'"&amp;"!O:O,'Students (Vertical)'!C:C=E615,'Students (Vertical)'!O:O&lt;&gt;"""",'Students (Vertical)'!P:P&gt;1))},{unique(filter('Students (Vertical)'!O:O,'Students (Vertical)'!C:C=B615,'Students (Vertical)'!O:O&lt;&gt;"""",'Students (Vertical)'!P:P&gt;1));unique(filter('Student"&amp;"s (Vertical)'!O:O,'Students (Vertical)'!C:C=E615,'Students (Vertical)'!O:O&lt;&gt;"""",'Students (Vertical)'!P:P&gt;1))})&gt;1))),""""),"""")"),"")</f>
        <v/>
      </c>
      <c r="K615" s="96" t="str">
        <f>IFERROR(__xludf.DUMMYFUNCTION("iferror(join("", "",unique(filter({filter('Students (Vertical)'!D:D,'Students (Vertical)'!C:C=B615,'Students (Vertical)'!D:D&lt;&gt;"""");filter('Students (Vertical)'!D:D,'Students (Vertical)'!C:C=E615,'Students (Vertical)'!D:D&lt;&gt;"""")},countifs({filter('Student"&amp;"s (Vertical)'!D:D,'Students (Vertical)'!C:C=B615,'Students (Vertical)'!D:D&lt;&gt;"""");filter('Students (Vertical)'!D:D,'Students (Vertical)'!C:C=E615,'Students (Vertical)'!D:D&lt;&gt;"""")},{filter('Students (Vertical)'!D:D,'Students (Vertical)'!C:C=B615,'Students "&amp;"(Vertical)'!D:D&lt;&gt;"""");filter('Students (Vertical)'!D:D,'Students (Vertical)'!C:C=E615,'Students (Vertical)'!D:D&lt;&gt;"""")})&gt;1))),"""")"),"")</f>
        <v/>
      </c>
      <c r="L615" s="96"/>
      <c r="M615" s="96"/>
    </row>
    <row r="616" hidden="1">
      <c r="A616" s="8" t="s">
        <v>8</v>
      </c>
      <c r="C616" s="8" t="s">
        <v>8</v>
      </c>
      <c r="D616" s="8" t="s">
        <v>8</v>
      </c>
      <c r="F616" s="8" t="s">
        <v>8</v>
      </c>
      <c r="G616" s="8" t="s">
        <v>8</v>
      </c>
      <c r="I616" s="94" t="str">
        <f>IFERROR(__xludf.DUMMYFUNCTION("if(H616=""Must be Together"",iferror(join("", "",unique(filter({filter('Students (Vertical)'!O:O,'Students (Vertical)'!C:C=B616,'Students (Vertical)'!O:O&lt;&gt;"""");filter('Students (Vertical)'!O:O,'Students (Vertical)'!C:C=E616,'Students (Vertical)'!O:O&lt;&gt;"""&amp;""")},countifs({filter('Students (Vertical)'!O:O,'Students (Vertical)'!C:C=B616,'Students (Vertical)'!O:O&lt;&gt;"""");filter('Students (Vertical)'!O:O,'Students (Vertical)'!C:C=E616,'Students (Vertical)'!O:O&lt;&gt;"""")},{filter('Students (Vertical)'!O:O,'Students ("&amp;"Vertical)'!C:C=B616,'Students (Vertical)'!O:O&lt;&gt;"""");filter('Students (Vertical)'!O:O,'Students (Vertical)'!C:C=E616,'Students (Vertical)'!O:O&lt;&gt;"""")})&gt;1))),""No shared courses""),"""")"),"")</f>
        <v/>
      </c>
      <c r="J616" s="94" t="str">
        <f>IFERROR(__xludf.DUMMYFUNCTION("if(H616=""Can't be Together"",iferror(join("", "",unique(filter({unique(filter('Students (Vertical)'!O:O,'Students (Vertical)'!C:C=B616,'Students (Vertical)'!O:O&lt;&gt;"""",'Students (Vertical)'!P:P&gt;1));unique(filter('Students (Vertical)'!O:O,'Students (Vertic"&amp;"al)'!C:C=E616,'Students (Vertical)'!O:O&lt;&gt;"""",'Students (Vertical)'!P:P&gt;1))},countifs({unique(filter('Students (Vertical)'!O:O,'Students (Vertical)'!C:C=B616,'Students (Vertical)'!O:O&lt;&gt;"""",'Students (Vertical)'!P:P&gt;1));unique(filter('Students (Vertical)'"&amp;"!O:O,'Students (Vertical)'!C:C=E616,'Students (Vertical)'!O:O&lt;&gt;"""",'Students (Vertical)'!P:P&gt;1))},{unique(filter('Students (Vertical)'!O:O,'Students (Vertical)'!C:C=B616,'Students (Vertical)'!O:O&lt;&gt;"""",'Students (Vertical)'!P:P&gt;1));unique(filter('Student"&amp;"s (Vertical)'!O:O,'Students (Vertical)'!C:C=E616,'Students (Vertical)'!O:O&lt;&gt;"""",'Students (Vertical)'!P:P&gt;1))})&gt;1))),""""),"""")"),"")</f>
        <v/>
      </c>
      <c r="K616" s="96" t="str">
        <f>IFERROR(__xludf.DUMMYFUNCTION("iferror(join("", "",unique(filter({filter('Students (Vertical)'!D:D,'Students (Vertical)'!C:C=B616,'Students (Vertical)'!D:D&lt;&gt;"""");filter('Students (Vertical)'!D:D,'Students (Vertical)'!C:C=E616,'Students (Vertical)'!D:D&lt;&gt;"""")},countifs({filter('Student"&amp;"s (Vertical)'!D:D,'Students (Vertical)'!C:C=B616,'Students (Vertical)'!D:D&lt;&gt;"""");filter('Students (Vertical)'!D:D,'Students (Vertical)'!C:C=E616,'Students (Vertical)'!D:D&lt;&gt;"""")},{filter('Students (Vertical)'!D:D,'Students (Vertical)'!C:C=B616,'Students "&amp;"(Vertical)'!D:D&lt;&gt;"""");filter('Students (Vertical)'!D:D,'Students (Vertical)'!C:C=E616,'Students (Vertical)'!D:D&lt;&gt;"""")})&gt;1))),"""")"),"")</f>
        <v/>
      </c>
      <c r="L616" s="96"/>
      <c r="M616" s="96"/>
    </row>
    <row r="617" hidden="1">
      <c r="A617" s="8" t="s">
        <v>8</v>
      </c>
      <c r="C617" s="8" t="s">
        <v>8</v>
      </c>
      <c r="D617" s="8" t="s">
        <v>8</v>
      </c>
      <c r="F617" s="8" t="s">
        <v>8</v>
      </c>
      <c r="G617" s="8" t="s">
        <v>8</v>
      </c>
      <c r="I617" s="94" t="str">
        <f>IFERROR(__xludf.DUMMYFUNCTION("if(H617=""Must be Together"",iferror(join("", "",unique(filter({filter('Students (Vertical)'!O:O,'Students (Vertical)'!C:C=B617,'Students (Vertical)'!O:O&lt;&gt;"""");filter('Students (Vertical)'!O:O,'Students (Vertical)'!C:C=E617,'Students (Vertical)'!O:O&lt;&gt;"""&amp;""")},countifs({filter('Students (Vertical)'!O:O,'Students (Vertical)'!C:C=B617,'Students (Vertical)'!O:O&lt;&gt;"""");filter('Students (Vertical)'!O:O,'Students (Vertical)'!C:C=E617,'Students (Vertical)'!O:O&lt;&gt;"""")},{filter('Students (Vertical)'!O:O,'Students ("&amp;"Vertical)'!C:C=B617,'Students (Vertical)'!O:O&lt;&gt;"""");filter('Students (Vertical)'!O:O,'Students (Vertical)'!C:C=E617,'Students (Vertical)'!O:O&lt;&gt;"""")})&gt;1))),""No shared courses""),"""")"),"")</f>
        <v/>
      </c>
      <c r="J617" s="94" t="str">
        <f>IFERROR(__xludf.DUMMYFUNCTION("if(H617=""Can't be Together"",iferror(join("", "",unique(filter({unique(filter('Students (Vertical)'!O:O,'Students (Vertical)'!C:C=B617,'Students (Vertical)'!O:O&lt;&gt;"""",'Students (Vertical)'!P:P&gt;1));unique(filter('Students (Vertical)'!O:O,'Students (Vertic"&amp;"al)'!C:C=E617,'Students (Vertical)'!O:O&lt;&gt;"""",'Students (Vertical)'!P:P&gt;1))},countifs({unique(filter('Students (Vertical)'!O:O,'Students (Vertical)'!C:C=B617,'Students (Vertical)'!O:O&lt;&gt;"""",'Students (Vertical)'!P:P&gt;1));unique(filter('Students (Vertical)'"&amp;"!O:O,'Students (Vertical)'!C:C=E617,'Students (Vertical)'!O:O&lt;&gt;"""",'Students (Vertical)'!P:P&gt;1))},{unique(filter('Students (Vertical)'!O:O,'Students (Vertical)'!C:C=B617,'Students (Vertical)'!O:O&lt;&gt;"""",'Students (Vertical)'!P:P&gt;1));unique(filter('Student"&amp;"s (Vertical)'!O:O,'Students (Vertical)'!C:C=E617,'Students (Vertical)'!O:O&lt;&gt;"""",'Students (Vertical)'!P:P&gt;1))})&gt;1))),""""),"""")"),"")</f>
        <v/>
      </c>
      <c r="K617" s="96" t="str">
        <f>IFERROR(__xludf.DUMMYFUNCTION("iferror(join("", "",unique(filter({filter('Students (Vertical)'!D:D,'Students (Vertical)'!C:C=B617,'Students (Vertical)'!D:D&lt;&gt;"""");filter('Students (Vertical)'!D:D,'Students (Vertical)'!C:C=E617,'Students (Vertical)'!D:D&lt;&gt;"""")},countifs({filter('Student"&amp;"s (Vertical)'!D:D,'Students (Vertical)'!C:C=B617,'Students (Vertical)'!D:D&lt;&gt;"""");filter('Students (Vertical)'!D:D,'Students (Vertical)'!C:C=E617,'Students (Vertical)'!D:D&lt;&gt;"""")},{filter('Students (Vertical)'!D:D,'Students (Vertical)'!C:C=B617,'Students "&amp;"(Vertical)'!D:D&lt;&gt;"""");filter('Students (Vertical)'!D:D,'Students (Vertical)'!C:C=E617,'Students (Vertical)'!D:D&lt;&gt;"""")})&gt;1))),"""")"),"")</f>
        <v/>
      </c>
      <c r="L617" s="96"/>
      <c r="M617" s="96"/>
    </row>
    <row r="618" hidden="1">
      <c r="A618" s="8" t="s">
        <v>8</v>
      </c>
      <c r="C618" s="8" t="s">
        <v>8</v>
      </c>
      <c r="D618" s="8" t="s">
        <v>8</v>
      </c>
      <c r="F618" s="8" t="s">
        <v>8</v>
      </c>
      <c r="G618" s="8" t="s">
        <v>8</v>
      </c>
      <c r="I618" s="94" t="str">
        <f>IFERROR(__xludf.DUMMYFUNCTION("if(H618=""Must be Together"",iferror(join("", "",unique(filter({filter('Students (Vertical)'!O:O,'Students (Vertical)'!C:C=B618,'Students (Vertical)'!O:O&lt;&gt;"""");filter('Students (Vertical)'!O:O,'Students (Vertical)'!C:C=E618,'Students (Vertical)'!O:O&lt;&gt;"""&amp;""")},countifs({filter('Students (Vertical)'!O:O,'Students (Vertical)'!C:C=B618,'Students (Vertical)'!O:O&lt;&gt;"""");filter('Students (Vertical)'!O:O,'Students (Vertical)'!C:C=E618,'Students (Vertical)'!O:O&lt;&gt;"""")},{filter('Students (Vertical)'!O:O,'Students ("&amp;"Vertical)'!C:C=B618,'Students (Vertical)'!O:O&lt;&gt;"""");filter('Students (Vertical)'!O:O,'Students (Vertical)'!C:C=E618,'Students (Vertical)'!O:O&lt;&gt;"""")})&gt;1))),""No shared courses""),"""")"),"")</f>
        <v/>
      </c>
      <c r="J618" s="94" t="str">
        <f>IFERROR(__xludf.DUMMYFUNCTION("if(H618=""Can't be Together"",iferror(join("", "",unique(filter({unique(filter('Students (Vertical)'!O:O,'Students (Vertical)'!C:C=B618,'Students (Vertical)'!O:O&lt;&gt;"""",'Students (Vertical)'!P:P&gt;1));unique(filter('Students (Vertical)'!O:O,'Students (Vertic"&amp;"al)'!C:C=E618,'Students (Vertical)'!O:O&lt;&gt;"""",'Students (Vertical)'!P:P&gt;1))},countifs({unique(filter('Students (Vertical)'!O:O,'Students (Vertical)'!C:C=B618,'Students (Vertical)'!O:O&lt;&gt;"""",'Students (Vertical)'!P:P&gt;1));unique(filter('Students (Vertical)'"&amp;"!O:O,'Students (Vertical)'!C:C=E618,'Students (Vertical)'!O:O&lt;&gt;"""",'Students (Vertical)'!P:P&gt;1))},{unique(filter('Students (Vertical)'!O:O,'Students (Vertical)'!C:C=B618,'Students (Vertical)'!O:O&lt;&gt;"""",'Students (Vertical)'!P:P&gt;1));unique(filter('Student"&amp;"s (Vertical)'!O:O,'Students (Vertical)'!C:C=E618,'Students (Vertical)'!O:O&lt;&gt;"""",'Students (Vertical)'!P:P&gt;1))})&gt;1))),""""),"""")"),"")</f>
        <v/>
      </c>
      <c r="K618" s="96" t="str">
        <f>IFERROR(__xludf.DUMMYFUNCTION("iferror(join("", "",unique(filter({filter('Students (Vertical)'!D:D,'Students (Vertical)'!C:C=B618,'Students (Vertical)'!D:D&lt;&gt;"""");filter('Students (Vertical)'!D:D,'Students (Vertical)'!C:C=E618,'Students (Vertical)'!D:D&lt;&gt;"""")},countifs({filter('Student"&amp;"s (Vertical)'!D:D,'Students (Vertical)'!C:C=B618,'Students (Vertical)'!D:D&lt;&gt;"""");filter('Students (Vertical)'!D:D,'Students (Vertical)'!C:C=E618,'Students (Vertical)'!D:D&lt;&gt;"""")},{filter('Students (Vertical)'!D:D,'Students (Vertical)'!C:C=B618,'Students "&amp;"(Vertical)'!D:D&lt;&gt;"""");filter('Students (Vertical)'!D:D,'Students (Vertical)'!C:C=E618,'Students (Vertical)'!D:D&lt;&gt;"""")})&gt;1))),"""")"),"")</f>
        <v/>
      </c>
      <c r="L618" s="96"/>
      <c r="M618" s="96"/>
    </row>
    <row r="619" hidden="1">
      <c r="A619" s="8" t="s">
        <v>8</v>
      </c>
      <c r="C619" s="8" t="s">
        <v>8</v>
      </c>
      <c r="D619" s="8" t="s">
        <v>8</v>
      </c>
      <c r="F619" s="8" t="s">
        <v>8</v>
      </c>
      <c r="G619" s="8" t="s">
        <v>8</v>
      </c>
      <c r="I619" s="94" t="str">
        <f>IFERROR(__xludf.DUMMYFUNCTION("if(H619=""Must be Together"",iferror(join("", "",unique(filter({filter('Students (Vertical)'!O:O,'Students (Vertical)'!C:C=B619,'Students (Vertical)'!O:O&lt;&gt;"""");filter('Students (Vertical)'!O:O,'Students (Vertical)'!C:C=E619,'Students (Vertical)'!O:O&lt;&gt;"""&amp;""")},countifs({filter('Students (Vertical)'!O:O,'Students (Vertical)'!C:C=B619,'Students (Vertical)'!O:O&lt;&gt;"""");filter('Students (Vertical)'!O:O,'Students (Vertical)'!C:C=E619,'Students (Vertical)'!O:O&lt;&gt;"""")},{filter('Students (Vertical)'!O:O,'Students ("&amp;"Vertical)'!C:C=B619,'Students (Vertical)'!O:O&lt;&gt;"""");filter('Students (Vertical)'!O:O,'Students (Vertical)'!C:C=E619,'Students (Vertical)'!O:O&lt;&gt;"""")})&gt;1))),""No shared courses""),"""")"),"")</f>
        <v/>
      </c>
      <c r="J619" s="94" t="str">
        <f>IFERROR(__xludf.DUMMYFUNCTION("if(H619=""Can't be Together"",iferror(join("", "",unique(filter({unique(filter('Students (Vertical)'!O:O,'Students (Vertical)'!C:C=B619,'Students (Vertical)'!O:O&lt;&gt;"""",'Students (Vertical)'!P:P&gt;1));unique(filter('Students (Vertical)'!O:O,'Students (Vertic"&amp;"al)'!C:C=E619,'Students (Vertical)'!O:O&lt;&gt;"""",'Students (Vertical)'!P:P&gt;1))},countifs({unique(filter('Students (Vertical)'!O:O,'Students (Vertical)'!C:C=B619,'Students (Vertical)'!O:O&lt;&gt;"""",'Students (Vertical)'!P:P&gt;1));unique(filter('Students (Vertical)'"&amp;"!O:O,'Students (Vertical)'!C:C=E619,'Students (Vertical)'!O:O&lt;&gt;"""",'Students (Vertical)'!P:P&gt;1))},{unique(filter('Students (Vertical)'!O:O,'Students (Vertical)'!C:C=B619,'Students (Vertical)'!O:O&lt;&gt;"""",'Students (Vertical)'!P:P&gt;1));unique(filter('Student"&amp;"s (Vertical)'!O:O,'Students (Vertical)'!C:C=E619,'Students (Vertical)'!O:O&lt;&gt;"""",'Students (Vertical)'!P:P&gt;1))})&gt;1))),""""),"""")"),"")</f>
        <v/>
      </c>
      <c r="K619" s="96" t="str">
        <f>IFERROR(__xludf.DUMMYFUNCTION("iferror(join("", "",unique(filter({filter('Students (Vertical)'!D:D,'Students (Vertical)'!C:C=B619,'Students (Vertical)'!D:D&lt;&gt;"""");filter('Students (Vertical)'!D:D,'Students (Vertical)'!C:C=E619,'Students (Vertical)'!D:D&lt;&gt;"""")},countifs({filter('Student"&amp;"s (Vertical)'!D:D,'Students (Vertical)'!C:C=B619,'Students (Vertical)'!D:D&lt;&gt;"""");filter('Students (Vertical)'!D:D,'Students (Vertical)'!C:C=E619,'Students (Vertical)'!D:D&lt;&gt;"""")},{filter('Students (Vertical)'!D:D,'Students (Vertical)'!C:C=B619,'Students "&amp;"(Vertical)'!D:D&lt;&gt;"""");filter('Students (Vertical)'!D:D,'Students (Vertical)'!C:C=E619,'Students (Vertical)'!D:D&lt;&gt;"""")})&gt;1))),"""")"),"")</f>
        <v/>
      </c>
      <c r="L619" s="96"/>
      <c r="M619" s="96"/>
    </row>
    <row r="620" hidden="1">
      <c r="A620" s="8" t="s">
        <v>8</v>
      </c>
      <c r="C620" s="8" t="s">
        <v>8</v>
      </c>
      <c r="D620" s="8" t="s">
        <v>8</v>
      </c>
      <c r="F620" s="8" t="s">
        <v>8</v>
      </c>
      <c r="G620" s="8" t="s">
        <v>8</v>
      </c>
      <c r="I620" s="94" t="str">
        <f>IFERROR(__xludf.DUMMYFUNCTION("if(H620=""Must be Together"",iferror(join("", "",unique(filter({filter('Students (Vertical)'!O:O,'Students (Vertical)'!C:C=B620,'Students (Vertical)'!O:O&lt;&gt;"""");filter('Students (Vertical)'!O:O,'Students (Vertical)'!C:C=E620,'Students (Vertical)'!O:O&lt;&gt;"""&amp;""")},countifs({filter('Students (Vertical)'!O:O,'Students (Vertical)'!C:C=B620,'Students (Vertical)'!O:O&lt;&gt;"""");filter('Students (Vertical)'!O:O,'Students (Vertical)'!C:C=E620,'Students (Vertical)'!O:O&lt;&gt;"""")},{filter('Students (Vertical)'!O:O,'Students ("&amp;"Vertical)'!C:C=B620,'Students (Vertical)'!O:O&lt;&gt;"""");filter('Students (Vertical)'!O:O,'Students (Vertical)'!C:C=E620,'Students (Vertical)'!O:O&lt;&gt;"""")})&gt;1))),""No shared courses""),"""")"),"")</f>
        <v/>
      </c>
      <c r="J620" s="94" t="str">
        <f>IFERROR(__xludf.DUMMYFUNCTION("if(H620=""Can't be Together"",iferror(join("", "",unique(filter({unique(filter('Students (Vertical)'!O:O,'Students (Vertical)'!C:C=B620,'Students (Vertical)'!O:O&lt;&gt;"""",'Students (Vertical)'!P:P&gt;1));unique(filter('Students (Vertical)'!O:O,'Students (Vertic"&amp;"al)'!C:C=E620,'Students (Vertical)'!O:O&lt;&gt;"""",'Students (Vertical)'!P:P&gt;1))},countifs({unique(filter('Students (Vertical)'!O:O,'Students (Vertical)'!C:C=B620,'Students (Vertical)'!O:O&lt;&gt;"""",'Students (Vertical)'!P:P&gt;1));unique(filter('Students (Vertical)'"&amp;"!O:O,'Students (Vertical)'!C:C=E620,'Students (Vertical)'!O:O&lt;&gt;"""",'Students (Vertical)'!P:P&gt;1))},{unique(filter('Students (Vertical)'!O:O,'Students (Vertical)'!C:C=B620,'Students (Vertical)'!O:O&lt;&gt;"""",'Students (Vertical)'!P:P&gt;1));unique(filter('Student"&amp;"s (Vertical)'!O:O,'Students (Vertical)'!C:C=E620,'Students (Vertical)'!O:O&lt;&gt;"""",'Students (Vertical)'!P:P&gt;1))})&gt;1))),""""),"""")"),"")</f>
        <v/>
      </c>
      <c r="K620" s="96" t="str">
        <f>IFERROR(__xludf.DUMMYFUNCTION("iferror(join("", "",unique(filter({filter('Students (Vertical)'!D:D,'Students (Vertical)'!C:C=B620,'Students (Vertical)'!D:D&lt;&gt;"""");filter('Students (Vertical)'!D:D,'Students (Vertical)'!C:C=E620,'Students (Vertical)'!D:D&lt;&gt;"""")},countifs({filter('Student"&amp;"s (Vertical)'!D:D,'Students (Vertical)'!C:C=B620,'Students (Vertical)'!D:D&lt;&gt;"""");filter('Students (Vertical)'!D:D,'Students (Vertical)'!C:C=E620,'Students (Vertical)'!D:D&lt;&gt;"""")},{filter('Students (Vertical)'!D:D,'Students (Vertical)'!C:C=B620,'Students "&amp;"(Vertical)'!D:D&lt;&gt;"""");filter('Students (Vertical)'!D:D,'Students (Vertical)'!C:C=E620,'Students (Vertical)'!D:D&lt;&gt;"""")})&gt;1))),"""")"),"")</f>
        <v/>
      </c>
      <c r="L620" s="96"/>
      <c r="M620" s="96"/>
    </row>
    <row r="621" hidden="1">
      <c r="A621" s="8" t="s">
        <v>8</v>
      </c>
      <c r="C621" s="8" t="s">
        <v>8</v>
      </c>
      <c r="D621" s="8" t="s">
        <v>8</v>
      </c>
      <c r="F621" s="8" t="s">
        <v>8</v>
      </c>
      <c r="G621" s="8" t="s">
        <v>8</v>
      </c>
      <c r="I621" s="94" t="str">
        <f>IFERROR(__xludf.DUMMYFUNCTION("if(H621=""Must be Together"",iferror(join("", "",unique(filter({filter('Students (Vertical)'!O:O,'Students (Vertical)'!C:C=B621,'Students (Vertical)'!O:O&lt;&gt;"""");filter('Students (Vertical)'!O:O,'Students (Vertical)'!C:C=E621,'Students (Vertical)'!O:O&lt;&gt;"""&amp;""")},countifs({filter('Students (Vertical)'!O:O,'Students (Vertical)'!C:C=B621,'Students (Vertical)'!O:O&lt;&gt;"""");filter('Students (Vertical)'!O:O,'Students (Vertical)'!C:C=E621,'Students (Vertical)'!O:O&lt;&gt;"""")},{filter('Students (Vertical)'!O:O,'Students ("&amp;"Vertical)'!C:C=B621,'Students (Vertical)'!O:O&lt;&gt;"""");filter('Students (Vertical)'!O:O,'Students (Vertical)'!C:C=E621,'Students (Vertical)'!O:O&lt;&gt;"""")})&gt;1))),""No shared courses""),"""")"),"")</f>
        <v/>
      </c>
      <c r="J621" s="94" t="str">
        <f>IFERROR(__xludf.DUMMYFUNCTION("if(H621=""Can't be Together"",iferror(join("", "",unique(filter({unique(filter('Students (Vertical)'!O:O,'Students (Vertical)'!C:C=B621,'Students (Vertical)'!O:O&lt;&gt;"""",'Students (Vertical)'!P:P&gt;1));unique(filter('Students (Vertical)'!O:O,'Students (Vertic"&amp;"al)'!C:C=E621,'Students (Vertical)'!O:O&lt;&gt;"""",'Students (Vertical)'!P:P&gt;1))},countifs({unique(filter('Students (Vertical)'!O:O,'Students (Vertical)'!C:C=B621,'Students (Vertical)'!O:O&lt;&gt;"""",'Students (Vertical)'!P:P&gt;1));unique(filter('Students (Vertical)'"&amp;"!O:O,'Students (Vertical)'!C:C=E621,'Students (Vertical)'!O:O&lt;&gt;"""",'Students (Vertical)'!P:P&gt;1))},{unique(filter('Students (Vertical)'!O:O,'Students (Vertical)'!C:C=B621,'Students (Vertical)'!O:O&lt;&gt;"""",'Students (Vertical)'!P:P&gt;1));unique(filter('Student"&amp;"s (Vertical)'!O:O,'Students (Vertical)'!C:C=E621,'Students (Vertical)'!O:O&lt;&gt;"""",'Students (Vertical)'!P:P&gt;1))})&gt;1))),""""),"""")"),"")</f>
        <v/>
      </c>
      <c r="K621" s="96" t="str">
        <f>IFERROR(__xludf.DUMMYFUNCTION("iferror(join("", "",unique(filter({filter('Students (Vertical)'!D:D,'Students (Vertical)'!C:C=B621,'Students (Vertical)'!D:D&lt;&gt;"""");filter('Students (Vertical)'!D:D,'Students (Vertical)'!C:C=E621,'Students (Vertical)'!D:D&lt;&gt;"""")},countifs({filter('Student"&amp;"s (Vertical)'!D:D,'Students (Vertical)'!C:C=B621,'Students (Vertical)'!D:D&lt;&gt;"""");filter('Students (Vertical)'!D:D,'Students (Vertical)'!C:C=E621,'Students (Vertical)'!D:D&lt;&gt;"""")},{filter('Students (Vertical)'!D:D,'Students (Vertical)'!C:C=B621,'Students "&amp;"(Vertical)'!D:D&lt;&gt;"""");filter('Students (Vertical)'!D:D,'Students (Vertical)'!C:C=E621,'Students (Vertical)'!D:D&lt;&gt;"""")})&gt;1))),"""")"),"")</f>
        <v/>
      </c>
      <c r="L621" s="96"/>
      <c r="M621" s="96"/>
    </row>
    <row r="622" hidden="1">
      <c r="A622" s="8" t="s">
        <v>8</v>
      </c>
      <c r="C622" s="8" t="s">
        <v>8</v>
      </c>
      <c r="D622" s="8" t="s">
        <v>8</v>
      </c>
      <c r="F622" s="8" t="s">
        <v>8</v>
      </c>
      <c r="G622" s="8" t="s">
        <v>8</v>
      </c>
      <c r="I622" s="94" t="str">
        <f>IFERROR(__xludf.DUMMYFUNCTION("if(H622=""Must be Together"",iferror(join("", "",unique(filter({filter('Students (Vertical)'!O:O,'Students (Vertical)'!C:C=B622,'Students (Vertical)'!O:O&lt;&gt;"""");filter('Students (Vertical)'!O:O,'Students (Vertical)'!C:C=E622,'Students (Vertical)'!O:O&lt;&gt;"""&amp;""")},countifs({filter('Students (Vertical)'!O:O,'Students (Vertical)'!C:C=B622,'Students (Vertical)'!O:O&lt;&gt;"""");filter('Students (Vertical)'!O:O,'Students (Vertical)'!C:C=E622,'Students (Vertical)'!O:O&lt;&gt;"""")},{filter('Students (Vertical)'!O:O,'Students ("&amp;"Vertical)'!C:C=B622,'Students (Vertical)'!O:O&lt;&gt;"""");filter('Students (Vertical)'!O:O,'Students (Vertical)'!C:C=E622,'Students (Vertical)'!O:O&lt;&gt;"""")})&gt;1))),""No shared courses""),"""")"),"")</f>
        <v/>
      </c>
      <c r="J622" s="94" t="str">
        <f>IFERROR(__xludf.DUMMYFUNCTION("if(H622=""Can't be Together"",iferror(join("", "",unique(filter({unique(filter('Students (Vertical)'!O:O,'Students (Vertical)'!C:C=B622,'Students (Vertical)'!O:O&lt;&gt;"""",'Students (Vertical)'!P:P&gt;1));unique(filter('Students (Vertical)'!O:O,'Students (Vertic"&amp;"al)'!C:C=E622,'Students (Vertical)'!O:O&lt;&gt;"""",'Students (Vertical)'!P:P&gt;1))},countifs({unique(filter('Students (Vertical)'!O:O,'Students (Vertical)'!C:C=B622,'Students (Vertical)'!O:O&lt;&gt;"""",'Students (Vertical)'!P:P&gt;1));unique(filter('Students (Vertical)'"&amp;"!O:O,'Students (Vertical)'!C:C=E622,'Students (Vertical)'!O:O&lt;&gt;"""",'Students (Vertical)'!P:P&gt;1))},{unique(filter('Students (Vertical)'!O:O,'Students (Vertical)'!C:C=B622,'Students (Vertical)'!O:O&lt;&gt;"""",'Students (Vertical)'!P:P&gt;1));unique(filter('Student"&amp;"s (Vertical)'!O:O,'Students (Vertical)'!C:C=E622,'Students (Vertical)'!O:O&lt;&gt;"""",'Students (Vertical)'!P:P&gt;1))})&gt;1))),""""),"""")"),"")</f>
        <v/>
      </c>
      <c r="K622" s="96" t="str">
        <f>IFERROR(__xludf.DUMMYFUNCTION("iferror(join("", "",unique(filter({filter('Students (Vertical)'!D:D,'Students (Vertical)'!C:C=B622,'Students (Vertical)'!D:D&lt;&gt;"""");filter('Students (Vertical)'!D:D,'Students (Vertical)'!C:C=E622,'Students (Vertical)'!D:D&lt;&gt;"""")},countifs({filter('Student"&amp;"s (Vertical)'!D:D,'Students (Vertical)'!C:C=B622,'Students (Vertical)'!D:D&lt;&gt;"""");filter('Students (Vertical)'!D:D,'Students (Vertical)'!C:C=E622,'Students (Vertical)'!D:D&lt;&gt;"""")},{filter('Students (Vertical)'!D:D,'Students (Vertical)'!C:C=B622,'Students "&amp;"(Vertical)'!D:D&lt;&gt;"""");filter('Students (Vertical)'!D:D,'Students (Vertical)'!C:C=E622,'Students (Vertical)'!D:D&lt;&gt;"""")})&gt;1))),"""")"),"")</f>
        <v/>
      </c>
      <c r="L622" s="96"/>
      <c r="M622" s="96"/>
    </row>
    <row r="623" hidden="1">
      <c r="A623" s="8" t="s">
        <v>8</v>
      </c>
      <c r="C623" s="8" t="s">
        <v>8</v>
      </c>
      <c r="D623" s="8" t="s">
        <v>8</v>
      </c>
      <c r="F623" s="8" t="s">
        <v>8</v>
      </c>
      <c r="G623" s="8" t="s">
        <v>8</v>
      </c>
      <c r="I623" s="94" t="str">
        <f>IFERROR(__xludf.DUMMYFUNCTION("if(H623=""Must be Together"",iferror(join("", "",unique(filter({filter('Students (Vertical)'!O:O,'Students (Vertical)'!C:C=B623,'Students (Vertical)'!O:O&lt;&gt;"""");filter('Students (Vertical)'!O:O,'Students (Vertical)'!C:C=E623,'Students (Vertical)'!O:O&lt;&gt;"""&amp;""")},countifs({filter('Students (Vertical)'!O:O,'Students (Vertical)'!C:C=B623,'Students (Vertical)'!O:O&lt;&gt;"""");filter('Students (Vertical)'!O:O,'Students (Vertical)'!C:C=E623,'Students (Vertical)'!O:O&lt;&gt;"""")},{filter('Students (Vertical)'!O:O,'Students ("&amp;"Vertical)'!C:C=B623,'Students (Vertical)'!O:O&lt;&gt;"""");filter('Students (Vertical)'!O:O,'Students (Vertical)'!C:C=E623,'Students (Vertical)'!O:O&lt;&gt;"""")})&gt;1))),""No shared courses""),"""")"),"")</f>
        <v/>
      </c>
      <c r="J623" s="94" t="str">
        <f>IFERROR(__xludf.DUMMYFUNCTION("if(H623=""Can't be Together"",iferror(join("", "",unique(filter({unique(filter('Students (Vertical)'!O:O,'Students (Vertical)'!C:C=B623,'Students (Vertical)'!O:O&lt;&gt;"""",'Students (Vertical)'!P:P&gt;1));unique(filter('Students (Vertical)'!O:O,'Students (Vertic"&amp;"al)'!C:C=E623,'Students (Vertical)'!O:O&lt;&gt;"""",'Students (Vertical)'!P:P&gt;1))},countifs({unique(filter('Students (Vertical)'!O:O,'Students (Vertical)'!C:C=B623,'Students (Vertical)'!O:O&lt;&gt;"""",'Students (Vertical)'!P:P&gt;1));unique(filter('Students (Vertical)'"&amp;"!O:O,'Students (Vertical)'!C:C=E623,'Students (Vertical)'!O:O&lt;&gt;"""",'Students (Vertical)'!P:P&gt;1))},{unique(filter('Students (Vertical)'!O:O,'Students (Vertical)'!C:C=B623,'Students (Vertical)'!O:O&lt;&gt;"""",'Students (Vertical)'!P:P&gt;1));unique(filter('Student"&amp;"s (Vertical)'!O:O,'Students (Vertical)'!C:C=E623,'Students (Vertical)'!O:O&lt;&gt;"""",'Students (Vertical)'!P:P&gt;1))})&gt;1))),""""),"""")"),"")</f>
        <v/>
      </c>
      <c r="K623" s="96" t="str">
        <f>IFERROR(__xludf.DUMMYFUNCTION("iferror(join("", "",unique(filter({filter('Students (Vertical)'!D:D,'Students (Vertical)'!C:C=B623,'Students (Vertical)'!D:D&lt;&gt;"""");filter('Students (Vertical)'!D:D,'Students (Vertical)'!C:C=E623,'Students (Vertical)'!D:D&lt;&gt;"""")},countifs({filter('Student"&amp;"s (Vertical)'!D:D,'Students (Vertical)'!C:C=B623,'Students (Vertical)'!D:D&lt;&gt;"""");filter('Students (Vertical)'!D:D,'Students (Vertical)'!C:C=E623,'Students (Vertical)'!D:D&lt;&gt;"""")},{filter('Students (Vertical)'!D:D,'Students (Vertical)'!C:C=B623,'Students "&amp;"(Vertical)'!D:D&lt;&gt;"""");filter('Students (Vertical)'!D:D,'Students (Vertical)'!C:C=E623,'Students (Vertical)'!D:D&lt;&gt;"""")})&gt;1))),"""")"),"")</f>
        <v/>
      </c>
      <c r="L623" s="96"/>
      <c r="M623" s="96"/>
    </row>
    <row r="624" hidden="1">
      <c r="A624" s="8" t="s">
        <v>8</v>
      </c>
      <c r="C624" s="8" t="s">
        <v>8</v>
      </c>
      <c r="D624" s="8" t="s">
        <v>8</v>
      </c>
      <c r="F624" s="8" t="s">
        <v>8</v>
      </c>
      <c r="G624" s="8" t="s">
        <v>8</v>
      </c>
      <c r="I624" s="94" t="str">
        <f>IFERROR(__xludf.DUMMYFUNCTION("if(H624=""Must be Together"",iferror(join("", "",unique(filter({filter('Students (Vertical)'!O:O,'Students (Vertical)'!C:C=B624,'Students (Vertical)'!O:O&lt;&gt;"""");filter('Students (Vertical)'!O:O,'Students (Vertical)'!C:C=E624,'Students (Vertical)'!O:O&lt;&gt;"""&amp;""")},countifs({filter('Students (Vertical)'!O:O,'Students (Vertical)'!C:C=B624,'Students (Vertical)'!O:O&lt;&gt;"""");filter('Students (Vertical)'!O:O,'Students (Vertical)'!C:C=E624,'Students (Vertical)'!O:O&lt;&gt;"""")},{filter('Students (Vertical)'!O:O,'Students ("&amp;"Vertical)'!C:C=B624,'Students (Vertical)'!O:O&lt;&gt;"""");filter('Students (Vertical)'!O:O,'Students (Vertical)'!C:C=E624,'Students (Vertical)'!O:O&lt;&gt;"""")})&gt;1))),""No shared courses""),"""")"),"")</f>
        <v/>
      </c>
      <c r="J624" s="94" t="str">
        <f>IFERROR(__xludf.DUMMYFUNCTION("if(H624=""Can't be Together"",iferror(join("", "",unique(filter({unique(filter('Students (Vertical)'!O:O,'Students (Vertical)'!C:C=B624,'Students (Vertical)'!O:O&lt;&gt;"""",'Students (Vertical)'!P:P&gt;1));unique(filter('Students (Vertical)'!O:O,'Students (Vertic"&amp;"al)'!C:C=E624,'Students (Vertical)'!O:O&lt;&gt;"""",'Students (Vertical)'!P:P&gt;1))},countifs({unique(filter('Students (Vertical)'!O:O,'Students (Vertical)'!C:C=B624,'Students (Vertical)'!O:O&lt;&gt;"""",'Students (Vertical)'!P:P&gt;1));unique(filter('Students (Vertical)'"&amp;"!O:O,'Students (Vertical)'!C:C=E624,'Students (Vertical)'!O:O&lt;&gt;"""",'Students (Vertical)'!P:P&gt;1))},{unique(filter('Students (Vertical)'!O:O,'Students (Vertical)'!C:C=B624,'Students (Vertical)'!O:O&lt;&gt;"""",'Students (Vertical)'!P:P&gt;1));unique(filter('Student"&amp;"s (Vertical)'!O:O,'Students (Vertical)'!C:C=E624,'Students (Vertical)'!O:O&lt;&gt;"""",'Students (Vertical)'!P:P&gt;1))})&gt;1))),""""),"""")"),"")</f>
        <v/>
      </c>
      <c r="K624" s="96" t="str">
        <f>IFERROR(__xludf.DUMMYFUNCTION("iferror(join("", "",unique(filter({filter('Students (Vertical)'!D:D,'Students (Vertical)'!C:C=B624,'Students (Vertical)'!D:D&lt;&gt;"""");filter('Students (Vertical)'!D:D,'Students (Vertical)'!C:C=E624,'Students (Vertical)'!D:D&lt;&gt;"""")},countifs({filter('Student"&amp;"s (Vertical)'!D:D,'Students (Vertical)'!C:C=B624,'Students (Vertical)'!D:D&lt;&gt;"""");filter('Students (Vertical)'!D:D,'Students (Vertical)'!C:C=E624,'Students (Vertical)'!D:D&lt;&gt;"""")},{filter('Students (Vertical)'!D:D,'Students (Vertical)'!C:C=B624,'Students "&amp;"(Vertical)'!D:D&lt;&gt;"""");filter('Students (Vertical)'!D:D,'Students (Vertical)'!C:C=E624,'Students (Vertical)'!D:D&lt;&gt;"""")})&gt;1))),"""")"),"")</f>
        <v/>
      </c>
      <c r="L624" s="96"/>
      <c r="M624" s="96"/>
    </row>
    <row r="625" hidden="1">
      <c r="A625" s="8" t="s">
        <v>8</v>
      </c>
      <c r="C625" s="8" t="s">
        <v>8</v>
      </c>
      <c r="D625" s="8" t="s">
        <v>8</v>
      </c>
      <c r="F625" s="8" t="s">
        <v>8</v>
      </c>
      <c r="G625" s="8" t="s">
        <v>8</v>
      </c>
      <c r="I625" s="94" t="str">
        <f>IFERROR(__xludf.DUMMYFUNCTION("if(H625=""Must be Together"",iferror(join("", "",unique(filter({filter('Students (Vertical)'!O:O,'Students (Vertical)'!C:C=B625,'Students (Vertical)'!O:O&lt;&gt;"""");filter('Students (Vertical)'!O:O,'Students (Vertical)'!C:C=E625,'Students (Vertical)'!O:O&lt;&gt;"""&amp;""")},countifs({filter('Students (Vertical)'!O:O,'Students (Vertical)'!C:C=B625,'Students (Vertical)'!O:O&lt;&gt;"""");filter('Students (Vertical)'!O:O,'Students (Vertical)'!C:C=E625,'Students (Vertical)'!O:O&lt;&gt;"""")},{filter('Students (Vertical)'!O:O,'Students ("&amp;"Vertical)'!C:C=B625,'Students (Vertical)'!O:O&lt;&gt;"""");filter('Students (Vertical)'!O:O,'Students (Vertical)'!C:C=E625,'Students (Vertical)'!O:O&lt;&gt;"""")})&gt;1))),""No shared courses""),"""")"),"")</f>
        <v/>
      </c>
      <c r="J625" s="94" t="str">
        <f>IFERROR(__xludf.DUMMYFUNCTION("if(H625=""Can't be Together"",iferror(join("", "",unique(filter({unique(filter('Students (Vertical)'!O:O,'Students (Vertical)'!C:C=B625,'Students (Vertical)'!O:O&lt;&gt;"""",'Students (Vertical)'!P:P&gt;1));unique(filter('Students (Vertical)'!O:O,'Students (Vertic"&amp;"al)'!C:C=E625,'Students (Vertical)'!O:O&lt;&gt;"""",'Students (Vertical)'!P:P&gt;1))},countifs({unique(filter('Students (Vertical)'!O:O,'Students (Vertical)'!C:C=B625,'Students (Vertical)'!O:O&lt;&gt;"""",'Students (Vertical)'!P:P&gt;1));unique(filter('Students (Vertical)'"&amp;"!O:O,'Students (Vertical)'!C:C=E625,'Students (Vertical)'!O:O&lt;&gt;"""",'Students (Vertical)'!P:P&gt;1))},{unique(filter('Students (Vertical)'!O:O,'Students (Vertical)'!C:C=B625,'Students (Vertical)'!O:O&lt;&gt;"""",'Students (Vertical)'!P:P&gt;1));unique(filter('Student"&amp;"s (Vertical)'!O:O,'Students (Vertical)'!C:C=E625,'Students (Vertical)'!O:O&lt;&gt;"""",'Students (Vertical)'!P:P&gt;1))})&gt;1))),""""),"""")"),"")</f>
        <v/>
      </c>
      <c r="K625" s="96" t="str">
        <f>IFERROR(__xludf.DUMMYFUNCTION("iferror(join("", "",unique(filter({filter('Students (Vertical)'!D:D,'Students (Vertical)'!C:C=B625,'Students (Vertical)'!D:D&lt;&gt;"""");filter('Students (Vertical)'!D:D,'Students (Vertical)'!C:C=E625,'Students (Vertical)'!D:D&lt;&gt;"""")},countifs({filter('Student"&amp;"s (Vertical)'!D:D,'Students (Vertical)'!C:C=B625,'Students (Vertical)'!D:D&lt;&gt;"""");filter('Students (Vertical)'!D:D,'Students (Vertical)'!C:C=E625,'Students (Vertical)'!D:D&lt;&gt;"""")},{filter('Students (Vertical)'!D:D,'Students (Vertical)'!C:C=B625,'Students "&amp;"(Vertical)'!D:D&lt;&gt;"""");filter('Students (Vertical)'!D:D,'Students (Vertical)'!C:C=E625,'Students (Vertical)'!D:D&lt;&gt;"""")})&gt;1))),"""")"),"")</f>
        <v/>
      </c>
      <c r="L625" s="96"/>
      <c r="M625" s="96"/>
    </row>
    <row r="626" hidden="1">
      <c r="A626" s="8" t="s">
        <v>8</v>
      </c>
      <c r="C626" s="8" t="s">
        <v>8</v>
      </c>
      <c r="D626" s="8" t="s">
        <v>8</v>
      </c>
      <c r="F626" s="8" t="s">
        <v>8</v>
      </c>
      <c r="G626" s="8" t="s">
        <v>8</v>
      </c>
      <c r="I626" s="94" t="str">
        <f>IFERROR(__xludf.DUMMYFUNCTION("if(H626=""Must be Together"",iferror(join("", "",unique(filter({filter('Students (Vertical)'!O:O,'Students (Vertical)'!C:C=B626,'Students (Vertical)'!O:O&lt;&gt;"""");filter('Students (Vertical)'!O:O,'Students (Vertical)'!C:C=E626,'Students (Vertical)'!O:O&lt;&gt;"""&amp;""")},countifs({filter('Students (Vertical)'!O:O,'Students (Vertical)'!C:C=B626,'Students (Vertical)'!O:O&lt;&gt;"""");filter('Students (Vertical)'!O:O,'Students (Vertical)'!C:C=E626,'Students (Vertical)'!O:O&lt;&gt;"""")},{filter('Students (Vertical)'!O:O,'Students ("&amp;"Vertical)'!C:C=B626,'Students (Vertical)'!O:O&lt;&gt;"""");filter('Students (Vertical)'!O:O,'Students (Vertical)'!C:C=E626,'Students (Vertical)'!O:O&lt;&gt;"""")})&gt;1))),""No shared courses""),"""")"),"")</f>
        <v/>
      </c>
      <c r="J626" s="94" t="str">
        <f>IFERROR(__xludf.DUMMYFUNCTION("if(H626=""Can't be Together"",iferror(join("", "",unique(filter({unique(filter('Students (Vertical)'!O:O,'Students (Vertical)'!C:C=B626,'Students (Vertical)'!O:O&lt;&gt;"""",'Students (Vertical)'!P:P&gt;1));unique(filter('Students (Vertical)'!O:O,'Students (Vertic"&amp;"al)'!C:C=E626,'Students (Vertical)'!O:O&lt;&gt;"""",'Students (Vertical)'!P:P&gt;1))},countifs({unique(filter('Students (Vertical)'!O:O,'Students (Vertical)'!C:C=B626,'Students (Vertical)'!O:O&lt;&gt;"""",'Students (Vertical)'!P:P&gt;1));unique(filter('Students (Vertical)'"&amp;"!O:O,'Students (Vertical)'!C:C=E626,'Students (Vertical)'!O:O&lt;&gt;"""",'Students (Vertical)'!P:P&gt;1))},{unique(filter('Students (Vertical)'!O:O,'Students (Vertical)'!C:C=B626,'Students (Vertical)'!O:O&lt;&gt;"""",'Students (Vertical)'!P:P&gt;1));unique(filter('Student"&amp;"s (Vertical)'!O:O,'Students (Vertical)'!C:C=E626,'Students (Vertical)'!O:O&lt;&gt;"""",'Students (Vertical)'!P:P&gt;1))})&gt;1))),""""),"""")"),"")</f>
        <v/>
      </c>
      <c r="K626" s="96" t="str">
        <f>IFERROR(__xludf.DUMMYFUNCTION("iferror(join("", "",unique(filter({filter('Students (Vertical)'!D:D,'Students (Vertical)'!C:C=B626,'Students (Vertical)'!D:D&lt;&gt;"""");filter('Students (Vertical)'!D:D,'Students (Vertical)'!C:C=E626,'Students (Vertical)'!D:D&lt;&gt;"""")},countifs({filter('Student"&amp;"s (Vertical)'!D:D,'Students (Vertical)'!C:C=B626,'Students (Vertical)'!D:D&lt;&gt;"""");filter('Students (Vertical)'!D:D,'Students (Vertical)'!C:C=E626,'Students (Vertical)'!D:D&lt;&gt;"""")},{filter('Students (Vertical)'!D:D,'Students (Vertical)'!C:C=B626,'Students "&amp;"(Vertical)'!D:D&lt;&gt;"""");filter('Students (Vertical)'!D:D,'Students (Vertical)'!C:C=E626,'Students (Vertical)'!D:D&lt;&gt;"""")})&gt;1))),"""")"),"")</f>
        <v/>
      </c>
      <c r="L626" s="96"/>
      <c r="M626" s="96"/>
    </row>
    <row r="627" hidden="1">
      <c r="A627" s="8" t="s">
        <v>8</v>
      </c>
      <c r="C627" s="8" t="s">
        <v>8</v>
      </c>
      <c r="D627" s="8" t="s">
        <v>8</v>
      </c>
      <c r="F627" s="8" t="s">
        <v>8</v>
      </c>
      <c r="G627" s="8" t="s">
        <v>8</v>
      </c>
      <c r="I627" s="94" t="str">
        <f>IFERROR(__xludf.DUMMYFUNCTION("if(H627=""Must be Together"",iferror(join("", "",unique(filter({filter('Students (Vertical)'!O:O,'Students (Vertical)'!C:C=B627,'Students (Vertical)'!O:O&lt;&gt;"""");filter('Students (Vertical)'!O:O,'Students (Vertical)'!C:C=E627,'Students (Vertical)'!O:O&lt;&gt;"""&amp;""")},countifs({filter('Students (Vertical)'!O:O,'Students (Vertical)'!C:C=B627,'Students (Vertical)'!O:O&lt;&gt;"""");filter('Students (Vertical)'!O:O,'Students (Vertical)'!C:C=E627,'Students (Vertical)'!O:O&lt;&gt;"""")},{filter('Students (Vertical)'!O:O,'Students ("&amp;"Vertical)'!C:C=B627,'Students (Vertical)'!O:O&lt;&gt;"""");filter('Students (Vertical)'!O:O,'Students (Vertical)'!C:C=E627,'Students (Vertical)'!O:O&lt;&gt;"""")})&gt;1))),""No shared courses""),"""")"),"")</f>
        <v/>
      </c>
      <c r="J627" s="94" t="str">
        <f>IFERROR(__xludf.DUMMYFUNCTION("if(H627=""Can't be Together"",iferror(join("", "",unique(filter({unique(filter('Students (Vertical)'!O:O,'Students (Vertical)'!C:C=B627,'Students (Vertical)'!O:O&lt;&gt;"""",'Students (Vertical)'!P:P&gt;1));unique(filter('Students (Vertical)'!O:O,'Students (Vertic"&amp;"al)'!C:C=E627,'Students (Vertical)'!O:O&lt;&gt;"""",'Students (Vertical)'!P:P&gt;1))},countifs({unique(filter('Students (Vertical)'!O:O,'Students (Vertical)'!C:C=B627,'Students (Vertical)'!O:O&lt;&gt;"""",'Students (Vertical)'!P:P&gt;1));unique(filter('Students (Vertical)'"&amp;"!O:O,'Students (Vertical)'!C:C=E627,'Students (Vertical)'!O:O&lt;&gt;"""",'Students (Vertical)'!P:P&gt;1))},{unique(filter('Students (Vertical)'!O:O,'Students (Vertical)'!C:C=B627,'Students (Vertical)'!O:O&lt;&gt;"""",'Students (Vertical)'!P:P&gt;1));unique(filter('Student"&amp;"s (Vertical)'!O:O,'Students (Vertical)'!C:C=E627,'Students (Vertical)'!O:O&lt;&gt;"""",'Students (Vertical)'!P:P&gt;1))})&gt;1))),""""),"""")"),"")</f>
        <v/>
      </c>
      <c r="K627" s="96" t="str">
        <f>IFERROR(__xludf.DUMMYFUNCTION("iferror(join("", "",unique(filter({filter('Students (Vertical)'!D:D,'Students (Vertical)'!C:C=B627,'Students (Vertical)'!D:D&lt;&gt;"""");filter('Students (Vertical)'!D:D,'Students (Vertical)'!C:C=E627,'Students (Vertical)'!D:D&lt;&gt;"""")},countifs({filter('Student"&amp;"s (Vertical)'!D:D,'Students (Vertical)'!C:C=B627,'Students (Vertical)'!D:D&lt;&gt;"""");filter('Students (Vertical)'!D:D,'Students (Vertical)'!C:C=E627,'Students (Vertical)'!D:D&lt;&gt;"""")},{filter('Students (Vertical)'!D:D,'Students (Vertical)'!C:C=B627,'Students "&amp;"(Vertical)'!D:D&lt;&gt;"""");filter('Students (Vertical)'!D:D,'Students (Vertical)'!C:C=E627,'Students (Vertical)'!D:D&lt;&gt;"""")})&gt;1))),"""")"),"")</f>
        <v/>
      </c>
      <c r="L627" s="96"/>
      <c r="M627" s="96"/>
    </row>
    <row r="628" hidden="1">
      <c r="A628" s="8" t="s">
        <v>8</v>
      </c>
      <c r="C628" s="8" t="s">
        <v>8</v>
      </c>
      <c r="D628" s="8" t="s">
        <v>8</v>
      </c>
      <c r="F628" s="8" t="s">
        <v>8</v>
      </c>
      <c r="G628" s="8" t="s">
        <v>8</v>
      </c>
      <c r="I628" s="94" t="str">
        <f>IFERROR(__xludf.DUMMYFUNCTION("if(H628=""Must be Together"",iferror(join("", "",unique(filter({filter('Students (Vertical)'!O:O,'Students (Vertical)'!C:C=B628,'Students (Vertical)'!O:O&lt;&gt;"""");filter('Students (Vertical)'!O:O,'Students (Vertical)'!C:C=E628,'Students (Vertical)'!O:O&lt;&gt;"""&amp;""")},countifs({filter('Students (Vertical)'!O:O,'Students (Vertical)'!C:C=B628,'Students (Vertical)'!O:O&lt;&gt;"""");filter('Students (Vertical)'!O:O,'Students (Vertical)'!C:C=E628,'Students (Vertical)'!O:O&lt;&gt;"""")},{filter('Students (Vertical)'!O:O,'Students ("&amp;"Vertical)'!C:C=B628,'Students (Vertical)'!O:O&lt;&gt;"""");filter('Students (Vertical)'!O:O,'Students (Vertical)'!C:C=E628,'Students (Vertical)'!O:O&lt;&gt;"""")})&gt;1))),""No shared courses""),"""")"),"")</f>
        <v/>
      </c>
      <c r="J628" s="94" t="str">
        <f>IFERROR(__xludf.DUMMYFUNCTION("if(H628=""Can't be Together"",iferror(join("", "",unique(filter({unique(filter('Students (Vertical)'!O:O,'Students (Vertical)'!C:C=B628,'Students (Vertical)'!O:O&lt;&gt;"""",'Students (Vertical)'!P:P&gt;1));unique(filter('Students (Vertical)'!O:O,'Students (Vertic"&amp;"al)'!C:C=E628,'Students (Vertical)'!O:O&lt;&gt;"""",'Students (Vertical)'!P:P&gt;1))},countifs({unique(filter('Students (Vertical)'!O:O,'Students (Vertical)'!C:C=B628,'Students (Vertical)'!O:O&lt;&gt;"""",'Students (Vertical)'!P:P&gt;1));unique(filter('Students (Vertical)'"&amp;"!O:O,'Students (Vertical)'!C:C=E628,'Students (Vertical)'!O:O&lt;&gt;"""",'Students (Vertical)'!P:P&gt;1))},{unique(filter('Students (Vertical)'!O:O,'Students (Vertical)'!C:C=B628,'Students (Vertical)'!O:O&lt;&gt;"""",'Students (Vertical)'!P:P&gt;1));unique(filter('Student"&amp;"s (Vertical)'!O:O,'Students (Vertical)'!C:C=E628,'Students (Vertical)'!O:O&lt;&gt;"""",'Students (Vertical)'!P:P&gt;1))})&gt;1))),""""),"""")"),"")</f>
        <v/>
      </c>
      <c r="K628" s="96" t="str">
        <f>IFERROR(__xludf.DUMMYFUNCTION("iferror(join("", "",unique(filter({filter('Students (Vertical)'!D:D,'Students (Vertical)'!C:C=B628,'Students (Vertical)'!D:D&lt;&gt;"""");filter('Students (Vertical)'!D:D,'Students (Vertical)'!C:C=E628,'Students (Vertical)'!D:D&lt;&gt;"""")},countifs({filter('Student"&amp;"s (Vertical)'!D:D,'Students (Vertical)'!C:C=B628,'Students (Vertical)'!D:D&lt;&gt;"""");filter('Students (Vertical)'!D:D,'Students (Vertical)'!C:C=E628,'Students (Vertical)'!D:D&lt;&gt;"""")},{filter('Students (Vertical)'!D:D,'Students (Vertical)'!C:C=B628,'Students "&amp;"(Vertical)'!D:D&lt;&gt;"""");filter('Students (Vertical)'!D:D,'Students (Vertical)'!C:C=E628,'Students (Vertical)'!D:D&lt;&gt;"""")})&gt;1))),"""")"),"")</f>
        <v/>
      </c>
      <c r="L628" s="96"/>
      <c r="M628" s="96"/>
    </row>
    <row r="629" hidden="1">
      <c r="A629" s="8" t="s">
        <v>8</v>
      </c>
      <c r="C629" s="8" t="s">
        <v>8</v>
      </c>
      <c r="D629" s="8" t="s">
        <v>8</v>
      </c>
      <c r="F629" s="8" t="s">
        <v>8</v>
      </c>
      <c r="G629" s="8" t="s">
        <v>8</v>
      </c>
      <c r="I629" s="94" t="str">
        <f>IFERROR(__xludf.DUMMYFUNCTION("if(H629=""Must be Together"",iferror(join("", "",unique(filter({filter('Students (Vertical)'!O:O,'Students (Vertical)'!C:C=B629,'Students (Vertical)'!O:O&lt;&gt;"""");filter('Students (Vertical)'!O:O,'Students (Vertical)'!C:C=E629,'Students (Vertical)'!O:O&lt;&gt;"""&amp;""")},countifs({filter('Students (Vertical)'!O:O,'Students (Vertical)'!C:C=B629,'Students (Vertical)'!O:O&lt;&gt;"""");filter('Students (Vertical)'!O:O,'Students (Vertical)'!C:C=E629,'Students (Vertical)'!O:O&lt;&gt;"""")},{filter('Students (Vertical)'!O:O,'Students ("&amp;"Vertical)'!C:C=B629,'Students (Vertical)'!O:O&lt;&gt;"""");filter('Students (Vertical)'!O:O,'Students (Vertical)'!C:C=E629,'Students (Vertical)'!O:O&lt;&gt;"""")})&gt;1))),""No shared courses""),"""")"),"")</f>
        <v/>
      </c>
      <c r="J629" s="94" t="str">
        <f>IFERROR(__xludf.DUMMYFUNCTION("if(H629=""Can't be Together"",iferror(join("", "",unique(filter({unique(filter('Students (Vertical)'!O:O,'Students (Vertical)'!C:C=B629,'Students (Vertical)'!O:O&lt;&gt;"""",'Students (Vertical)'!P:P&gt;1));unique(filter('Students (Vertical)'!O:O,'Students (Vertic"&amp;"al)'!C:C=E629,'Students (Vertical)'!O:O&lt;&gt;"""",'Students (Vertical)'!P:P&gt;1))},countifs({unique(filter('Students (Vertical)'!O:O,'Students (Vertical)'!C:C=B629,'Students (Vertical)'!O:O&lt;&gt;"""",'Students (Vertical)'!P:P&gt;1));unique(filter('Students (Vertical)'"&amp;"!O:O,'Students (Vertical)'!C:C=E629,'Students (Vertical)'!O:O&lt;&gt;"""",'Students (Vertical)'!P:P&gt;1))},{unique(filter('Students (Vertical)'!O:O,'Students (Vertical)'!C:C=B629,'Students (Vertical)'!O:O&lt;&gt;"""",'Students (Vertical)'!P:P&gt;1));unique(filter('Student"&amp;"s (Vertical)'!O:O,'Students (Vertical)'!C:C=E629,'Students (Vertical)'!O:O&lt;&gt;"""",'Students (Vertical)'!P:P&gt;1))})&gt;1))),""""),"""")"),"")</f>
        <v/>
      </c>
      <c r="K629" s="96" t="str">
        <f>IFERROR(__xludf.DUMMYFUNCTION("iferror(join("", "",unique(filter({filter('Students (Vertical)'!D:D,'Students (Vertical)'!C:C=B629,'Students (Vertical)'!D:D&lt;&gt;"""");filter('Students (Vertical)'!D:D,'Students (Vertical)'!C:C=E629,'Students (Vertical)'!D:D&lt;&gt;"""")},countifs({filter('Student"&amp;"s (Vertical)'!D:D,'Students (Vertical)'!C:C=B629,'Students (Vertical)'!D:D&lt;&gt;"""");filter('Students (Vertical)'!D:D,'Students (Vertical)'!C:C=E629,'Students (Vertical)'!D:D&lt;&gt;"""")},{filter('Students (Vertical)'!D:D,'Students (Vertical)'!C:C=B629,'Students "&amp;"(Vertical)'!D:D&lt;&gt;"""");filter('Students (Vertical)'!D:D,'Students (Vertical)'!C:C=E629,'Students (Vertical)'!D:D&lt;&gt;"""")})&gt;1))),"""")"),"")</f>
        <v/>
      </c>
      <c r="L629" s="96"/>
      <c r="M629" s="96"/>
    </row>
    <row r="630" hidden="1">
      <c r="A630" s="8" t="s">
        <v>8</v>
      </c>
      <c r="C630" s="8" t="s">
        <v>8</v>
      </c>
      <c r="D630" s="8" t="s">
        <v>8</v>
      </c>
      <c r="F630" s="8" t="s">
        <v>8</v>
      </c>
      <c r="G630" s="8" t="s">
        <v>8</v>
      </c>
      <c r="I630" s="94" t="str">
        <f>IFERROR(__xludf.DUMMYFUNCTION("if(H630=""Must be Together"",iferror(join("", "",unique(filter({filter('Students (Vertical)'!O:O,'Students (Vertical)'!C:C=B630,'Students (Vertical)'!O:O&lt;&gt;"""");filter('Students (Vertical)'!O:O,'Students (Vertical)'!C:C=E630,'Students (Vertical)'!O:O&lt;&gt;"""&amp;""")},countifs({filter('Students (Vertical)'!O:O,'Students (Vertical)'!C:C=B630,'Students (Vertical)'!O:O&lt;&gt;"""");filter('Students (Vertical)'!O:O,'Students (Vertical)'!C:C=E630,'Students (Vertical)'!O:O&lt;&gt;"""")},{filter('Students (Vertical)'!O:O,'Students ("&amp;"Vertical)'!C:C=B630,'Students (Vertical)'!O:O&lt;&gt;"""");filter('Students (Vertical)'!O:O,'Students (Vertical)'!C:C=E630,'Students (Vertical)'!O:O&lt;&gt;"""")})&gt;1))),""No shared courses""),"""")"),"")</f>
        <v/>
      </c>
      <c r="J630" s="94" t="str">
        <f>IFERROR(__xludf.DUMMYFUNCTION("if(H630=""Can't be Together"",iferror(join("", "",unique(filter({unique(filter('Students (Vertical)'!O:O,'Students (Vertical)'!C:C=B630,'Students (Vertical)'!O:O&lt;&gt;"""",'Students (Vertical)'!P:P&gt;1));unique(filter('Students (Vertical)'!O:O,'Students (Vertic"&amp;"al)'!C:C=E630,'Students (Vertical)'!O:O&lt;&gt;"""",'Students (Vertical)'!P:P&gt;1))},countifs({unique(filter('Students (Vertical)'!O:O,'Students (Vertical)'!C:C=B630,'Students (Vertical)'!O:O&lt;&gt;"""",'Students (Vertical)'!P:P&gt;1));unique(filter('Students (Vertical)'"&amp;"!O:O,'Students (Vertical)'!C:C=E630,'Students (Vertical)'!O:O&lt;&gt;"""",'Students (Vertical)'!P:P&gt;1))},{unique(filter('Students (Vertical)'!O:O,'Students (Vertical)'!C:C=B630,'Students (Vertical)'!O:O&lt;&gt;"""",'Students (Vertical)'!P:P&gt;1));unique(filter('Student"&amp;"s (Vertical)'!O:O,'Students (Vertical)'!C:C=E630,'Students (Vertical)'!O:O&lt;&gt;"""",'Students (Vertical)'!P:P&gt;1))})&gt;1))),""""),"""")"),"")</f>
        <v/>
      </c>
      <c r="K630" s="96" t="str">
        <f>IFERROR(__xludf.DUMMYFUNCTION("iferror(join("", "",unique(filter({filter('Students (Vertical)'!D:D,'Students (Vertical)'!C:C=B630,'Students (Vertical)'!D:D&lt;&gt;"""");filter('Students (Vertical)'!D:D,'Students (Vertical)'!C:C=E630,'Students (Vertical)'!D:D&lt;&gt;"""")},countifs({filter('Student"&amp;"s (Vertical)'!D:D,'Students (Vertical)'!C:C=B630,'Students (Vertical)'!D:D&lt;&gt;"""");filter('Students (Vertical)'!D:D,'Students (Vertical)'!C:C=E630,'Students (Vertical)'!D:D&lt;&gt;"""")},{filter('Students (Vertical)'!D:D,'Students (Vertical)'!C:C=B630,'Students "&amp;"(Vertical)'!D:D&lt;&gt;"""");filter('Students (Vertical)'!D:D,'Students (Vertical)'!C:C=E630,'Students (Vertical)'!D:D&lt;&gt;"""")})&gt;1))),"""")"),"")</f>
        <v/>
      </c>
      <c r="L630" s="96"/>
      <c r="M630" s="96"/>
    </row>
    <row r="631" hidden="1">
      <c r="A631" s="8" t="s">
        <v>8</v>
      </c>
      <c r="C631" s="8" t="s">
        <v>8</v>
      </c>
      <c r="D631" s="8" t="s">
        <v>8</v>
      </c>
      <c r="F631" s="8" t="s">
        <v>8</v>
      </c>
      <c r="G631" s="8" t="s">
        <v>8</v>
      </c>
      <c r="I631" s="94" t="str">
        <f>IFERROR(__xludf.DUMMYFUNCTION("if(H631=""Must be Together"",iferror(join("", "",unique(filter({filter('Students (Vertical)'!O:O,'Students (Vertical)'!C:C=B631,'Students (Vertical)'!O:O&lt;&gt;"""");filter('Students (Vertical)'!O:O,'Students (Vertical)'!C:C=E631,'Students (Vertical)'!O:O&lt;&gt;"""&amp;""")},countifs({filter('Students (Vertical)'!O:O,'Students (Vertical)'!C:C=B631,'Students (Vertical)'!O:O&lt;&gt;"""");filter('Students (Vertical)'!O:O,'Students (Vertical)'!C:C=E631,'Students (Vertical)'!O:O&lt;&gt;"""")},{filter('Students (Vertical)'!O:O,'Students ("&amp;"Vertical)'!C:C=B631,'Students (Vertical)'!O:O&lt;&gt;"""");filter('Students (Vertical)'!O:O,'Students (Vertical)'!C:C=E631,'Students (Vertical)'!O:O&lt;&gt;"""")})&gt;1))),""No shared courses""),"""")"),"")</f>
        <v/>
      </c>
      <c r="J631" s="94" t="str">
        <f>IFERROR(__xludf.DUMMYFUNCTION("if(H631=""Can't be Together"",iferror(join("", "",unique(filter({unique(filter('Students (Vertical)'!O:O,'Students (Vertical)'!C:C=B631,'Students (Vertical)'!O:O&lt;&gt;"""",'Students (Vertical)'!P:P&gt;1));unique(filter('Students (Vertical)'!O:O,'Students (Vertic"&amp;"al)'!C:C=E631,'Students (Vertical)'!O:O&lt;&gt;"""",'Students (Vertical)'!P:P&gt;1))},countifs({unique(filter('Students (Vertical)'!O:O,'Students (Vertical)'!C:C=B631,'Students (Vertical)'!O:O&lt;&gt;"""",'Students (Vertical)'!P:P&gt;1));unique(filter('Students (Vertical)'"&amp;"!O:O,'Students (Vertical)'!C:C=E631,'Students (Vertical)'!O:O&lt;&gt;"""",'Students (Vertical)'!P:P&gt;1))},{unique(filter('Students (Vertical)'!O:O,'Students (Vertical)'!C:C=B631,'Students (Vertical)'!O:O&lt;&gt;"""",'Students (Vertical)'!P:P&gt;1));unique(filter('Student"&amp;"s (Vertical)'!O:O,'Students (Vertical)'!C:C=E631,'Students (Vertical)'!O:O&lt;&gt;"""",'Students (Vertical)'!P:P&gt;1))})&gt;1))),""""),"""")"),"")</f>
        <v/>
      </c>
      <c r="K631" s="96" t="str">
        <f>IFERROR(__xludf.DUMMYFUNCTION("iferror(join("", "",unique(filter({filter('Students (Vertical)'!D:D,'Students (Vertical)'!C:C=B631,'Students (Vertical)'!D:D&lt;&gt;"""");filter('Students (Vertical)'!D:D,'Students (Vertical)'!C:C=E631,'Students (Vertical)'!D:D&lt;&gt;"""")},countifs({filter('Student"&amp;"s (Vertical)'!D:D,'Students (Vertical)'!C:C=B631,'Students (Vertical)'!D:D&lt;&gt;"""");filter('Students (Vertical)'!D:D,'Students (Vertical)'!C:C=E631,'Students (Vertical)'!D:D&lt;&gt;"""")},{filter('Students (Vertical)'!D:D,'Students (Vertical)'!C:C=B631,'Students "&amp;"(Vertical)'!D:D&lt;&gt;"""");filter('Students (Vertical)'!D:D,'Students (Vertical)'!C:C=E631,'Students (Vertical)'!D:D&lt;&gt;"""")})&gt;1))),"""")"),"")</f>
        <v/>
      </c>
      <c r="L631" s="96"/>
      <c r="M631" s="96"/>
    </row>
    <row r="632" hidden="1">
      <c r="A632" s="8" t="s">
        <v>8</v>
      </c>
      <c r="C632" s="8" t="s">
        <v>8</v>
      </c>
      <c r="D632" s="8" t="s">
        <v>8</v>
      </c>
      <c r="F632" s="8" t="s">
        <v>8</v>
      </c>
      <c r="G632" s="8" t="s">
        <v>8</v>
      </c>
      <c r="I632" s="94" t="str">
        <f>IFERROR(__xludf.DUMMYFUNCTION("if(H632=""Must be Together"",iferror(join("", "",unique(filter({filter('Students (Vertical)'!O:O,'Students (Vertical)'!C:C=B632,'Students (Vertical)'!O:O&lt;&gt;"""");filter('Students (Vertical)'!O:O,'Students (Vertical)'!C:C=E632,'Students (Vertical)'!O:O&lt;&gt;"""&amp;""")},countifs({filter('Students (Vertical)'!O:O,'Students (Vertical)'!C:C=B632,'Students (Vertical)'!O:O&lt;&gt;"""");filter('Students (Vertical)'!O:O,'Students (Vertical)'!C:C=E632,'Students (Vertical)'!O:O&lt;&gt;"""")},{filter('Students (Vertical)'!O:O,'Students ("&amp;"Vertical)'!C:C=B632,'Students (Vertical)'!O:O&lt;&gt;"""");filter('Students (Vertical)'!O:O,'Students (Vertical)'!C:C=E632,'Students (Vertical)'!O:O&lt;&gt;"""")})&gt;1))),""No shared courses""),"""")"),"")</f>
        <v/>
      </c>
      <c r="J632" s="94" t="str">
        <f>IFERROR(__xludf.DUMMYFUNCTION("if(H632=""Can't be Together"",iferror(join("", "",unique(filter({unique(filter('Students (Vertical)'!O:O,'Students (Vertical)'!C:C=B632,'Students (Vertical)'!O:O&lt;&gt;"""",'Students (Vertical)'!P:P&gt;1));unique(filter('Students (Vertical)'!O:O,'Students (Vertic"&amp;"al)'!C:C=E632,'Students (Vertical)'!O:O&lt;&gt;"""",'Students (Vertical)'!P:P&gt;1))},countifs({unique(filter('Students (Vertical)'!O:O,'Students (Vertical)'!C:C=B632,'Students (Vertical)'!O:O&lt;&gt;"""",'Students (Vertical)'!P:P&gt;1));unique(filter('Students (Vertical)'"&amp;"!O:O,'Students (Vertical)'!C:C=E632,'Students (Vertical)'!O:O&lt;&gt;"""",'Students (Vertical)'!P:P&gt;1))},{unique(filter('Students (Vertical)'!O:O,'Students (Vertical)'!C:C=B632,'Students (Vertical)'!O:O&lt;&gt;"""",'Students (Vertical)'!P:P&gt;1));unique(filter('Student"&amp;"s (Vertical)'!O:O,'Students (Vertical)'!C:C=E632,'Students (Vertical)'!O:O&lt;&gt;"""",'Students (Vertical)'!P:P&gt;1))})&gt;1))),""""),"""")"),"")</f>
        <v/>
      </c>
      <c r="K632" s="96" t="str">
        <f>IFERROR(__xludf.DUMMYFUNCTION("iferror(join("", "",unique(filter({filter('Students (Vertical)'!D:D,'Students (Vertical)'!C:C=B632,'Students (Vertical)'!D:D&lt;&gt;"""");filter('Students (Vertical)'!D:D,'Students (Vertical)'!C:C=E632,'Students (Vertical)'!D:D&lt;&gt;"""")},countifs({filter('Student"&amp;"s (Vertical)'!D:D,'Students (Vertical)'!C:C=B632,'Students (Vertical)'!D:D&lt;&gt;"""");filter('Students (Vertical)'!D:D,'Students (Vertical)'!C:C=E632,'Students (Vertical)'!D:D&lt;&gt;"""")},{filter('Students (Vertical)'!D:D,'Students (Vertical)'!C:C=B632,'Students "&amp;"(Vertical)'!D:D&lt;&gt;"""");filter('Students (Vertical)'!D:D,'Students (Vertical)'!C:C=E632,'Students (Vertical)'!D:D&lt;&gt;"""")})&gt;1))),"""")"),"")</f>
        <v/>
      </c>
      <c r="L632" s="96"/>
      <c r="M632" s="96"/>
    </row>
    <row r="633" hidden="1">
      <c r="A633" s="8" t="s">
        <v>8</v>
      </c>
      <c r="C633" s="8" t="s">
        <v>8</v>
      </c>
      <c r="D633" s="8" t="s">
        <v>8</v>
      </c>
      <c r="F633" s="8" t="s">
        <v>8</v>
      </c>
      <c r="G633" s="8" t="s">
        <v>8</v>
      </c>
      <c r="I633" s="94" t="str">
        <f>IFERROR(__xludf.DUMMYFUNCTION("if(H633=""Must be Together"",iferror(join("", "",unique(filter({filter('Students (Vertical)'!O:O,'Students (Vertical)'!C:C=B633,'Students (Vertical)'!O:O&lt;&gt;"""");filter('Students (Vertical)'!O:O,'Students (Vertical)'!C:C=E633,'Students (Vertical)'!O:O&lt;&gt;"""&amp;""")},countifs({filter('Students (Vertical)'!O:O,'Students (Vertical)'!C:C=B633,'Students (Vertical)'!O:O&lt;&gt;"""");filter('Students (Vertical)'!O:O,'Students (Vertical)'!C:C=E633,'Students (Vertical)'!O:O&lt;&gt;"""")},{filter('Students (Vertical)'!O:O,'Students ("&amp;"Vertical)'!C:C=B633,'Students (Vertical)'!O:O&lt;&gt;"""");filter('Students (Vertical)'!O:O,'Students (Vertical)'!C:C=E633,'Students (Vertical)'!O:O&lt;&gt;"""")})&gt;1))),""No shared courses""),"""")"),"")</f>
        <v/>
      </c>
      <c r="J633" s="94" t="str">
        <f>IFERROR(__xludf.DUMMYFUNCTION("if(H633=""Can't be Together"",iferror(join("", "",unique(filter({unique(filter('Students (Vertical)'!O:O,'Students (Vertical)'!C:C=B633,'Students (Vertical)'!O:O&lt;&gt;"""",'Students (Vertical)'!P:P&gt;1));unique(filter('Students (Vertical)'!O:O,'Students (Vertic"&amp;"al)'!C:C=E633,'Students (Vertical)'!O:O&lt;&gt;"""",'Students (Vertical)'!P:P&gt;1))},countifs({unique(filter('Students (Vertical)'!O:O,'Students (Vertical)'!C:C=B633,'Students (Vertical)'!O:O&lt;&gt;"""",'Students (Vertical)'!P:P&gt;1));unique(filter('Students (Vertical)'"&amp;"!O:O,'Students (Vertical)'!C:C=E633,'Students (Vertical)'!O:O&lt;&gt;"""",'Students (Vertical)'!P:P&gt;1))},{unique(filter('Students (Vertical)'!O:O,'Students (Vertical)'!C:C=B633,'Students (Vertical)'!O:O&lt;&gt;"""",'Students (Vertical)'!P:P&gt;1));unique(filter('Student"&amp;"s (Vertical)'!O:O,'Students (Vertical)'!C:C=E633,'Students (Vertical)'!O:O&lt;&gt;"""",'Students (Vertical)'!P:P&gt;1))})&gt;1))),""""),"""")"),"")</f>
        <v/>
      </c>
      <c r="K633" s="96" t="str">
        <f>IFERROR(__xludf.DUMMYFUNCTION("iferror(join("", "",unique(filter({filter('Students (Vertical)'!D:D,'Students (Vertical)'!C:C=B633,'Students (Vertical)'!D:D&lt;&gt;"""");filter('Students (Vertical)'!D:D,'Students (Vertical)'!C:C=E633,'Students (Vertical)'!D:D&lt;&gt;"""")},countifs({filter('Student"&amp;"s (Vertical)'!D:D,'Students (Vertical)'!C:C=B633,'Students (Vertical)'!D:D&lt;&gt;"""");filter('Students (Vertical)'!D:D,'Students (Vertical)'!C:C=E633,'Students (Vertical)'!D:D&lt;&gt;"""")},{filter('Students (Vertical)'!D:D,'Students (Vertical)'!C:C=B633,'Students "&amp;"(Vertical)'!D:D&lt;&gt;"""");filter('Students (Vertical)'!D:D,'Students (Vertical)'!C:C=E633,'Students (Vertical)'!D:D&lt;&gt;"""")})&gt;1))),"""")"),"")</f>
        <v/>
      </c>
      <c r="L633" s="96"/>
      <c r="M633" s="96"/>
    </row>
    <row r="634" hidden="1">
      <c r="A634" s="8" t="s">
        <v>8</v>
      </c>
      <c r="C634" s="8" t="s">
        <v>8</v>
      </c>
      <c r="D634" s="8" t="s">
        <v>8</v>
      </c>
      <c r="F634" s="8" t="s">
        <v>8</v>
      </c>
      <c r="G634" s="8" t="s">
        <v>8</v>
      </c>
      <c r="I634" s="94" t="str">
        <f>IFERROR(__xludf.DUMMYFUNCTION("if(H634=""Must be Together"",iferror(join("", "",unique(filter({filter('Students (Vertical)'!O:O,'Students (Vertical)'!C:C=B634,'Students (Vertical)'!O:O&lt;&gt;"""");filter('Students (Vertical)'!O:O,'Students (Vertical)'!C:C=E634,'Students (Vertical)'!O:O&lt;&gt;"""&amp;""")},countifs({filter('Students (Vertical)'!O:O,'Students (Vertical)'!C:C=B634,'Students (Vertical)'!O:O&lt;&gt;"""");filter('Students (Vertical)'!O:O,'Students (Vertical)'!C:C=E634,'Students (Vertical)'!O:O&lt;&gt;"""")},{filter('Students (Vertical)'!O:O,'Students ("&amp;"Vertical)'!C:C=B634,'Students (Vertical)'!O:O&lt;&gt;"""");filter('Students (Vertical)'!O:O,'Students (Vertical)'!C:C=E634,'Students (Vertical)'!O:O&lt;&gt;"""")})&gt;1))),""No shared courses""),"""")"),"")</f>
        <v/>
      </c>
      <c r="J634" s="94" t="str">
        <f>IFERROR(__xludf.DUMMYFUNCTION("if(H634=""Can't be Together"",iferror(join("", "",unique(filter({unique(filter('Students (Vertical)'!O:O,'Students (Vertical)'!C:C=B634,'Students (Vertical)'!O:O&lt;&gt;"""",'Students (Vertical)'!P:P&gt;1));unique(filter('Students (Vertical)'!O:O,'Students (Vertic"&amp;"al)'!C:C=E634,'Students (Vertical)'!O:O&lt;&gt;"""",'Students (Vertical)'!P:P&gt;1))},countifs({unique(filter('Students (Vertical)'!O:O,'Students (Vertical)'!C:C=B634,'Students (Vertical)'!O:O&lt;&gt;"""",'Students (Vertical)'!P:P&gt;1));unique(filter('Students (Vertical)'"&amp;"!O:O,'Students (Vertical)'!C:C=E634,'Students (Vertical)'!O:O&lt;&gt;"""",'Students (Vertical)'!P:P&gt;1))},{unique(filter('Students (Vertical)'!O:O,'Students (Vertical)'!C:C=B634,'Students (Vertical)'!O:O&lt;&gt;"""",'Students (Vertical)'!P:P&gt;1));unique(filter('Student"&amp;"s (Vertical)'!O:O,'Students (Vertical)'!C:C=E634,'Students (Vertical)'!O:O&lt;&gt;"""",'Students (Vertical)'!P:P&gt;1))})&gt;1))),""""),"""")"),"")</f>
        <v/>
      </c>
      <c r="K634" s="96" t="str">
        <f>IFERROR(__xludf.DUMMYFUNCTION("iferror(join("", "",unique(filter({filter('Students (Vertical)'!D:D,'Students (Vertical)'!C:C=B634,'Students (Vertical)'!D:D&lt;&gt;"""");filter('Students (Vertical)'!D:D,'Students (Vertical)'!C:C=E634,'Students (Vertical)'!D:D&lt;&gt;"""")},countifs({filter('Student"&amp;"s (Vertical)'!D:D,'Students (Vertical)'!C:C=B634,'Students (Vertical)'!D:D&lt;&gt;"""");filter('Students (Vertical)'!D:D,'Students (Vertical)'!C:C=E634,'Students (Vertical)'!D:D&lt;&gt;"""")},{filter('Students (Vertical)'!D:D,'Students (Vertical)'!C:C=B634,'Students "&amp;"(Vertical)'!D:D&lt;&gt;"""");filter('Students (Vertical)'!D:D,'Students (Vertical)'!C:C=E634,'Students (Vertical)'!D:D&lt;&gt;"""")})&gt;1))),"""")"),"")</f>
        <v/>
      </c>
      <c r="L634" s="96"/>
      <c r="M634" s="96"/>
    </row>
    <row r="635" hidden="1">
      <c r="A635" s="8" t="s">
        <v>8</v>
      </c>
      <c r="C635" s="8" t="s">
        <v>8</v>
      </c>
      <c r="D635" s="8" t="s">
        <v>8</v>
      </c>
      <c r="F635" s="8" t="s">
        <v>8</v>
      </c>
      <c r="G635" s="8" t="s">
        <v>8</v>
      </c>
      <c r="I635" s="94" t="str">
        <f>IFERROR(__xludf.DUMMYFUNCTION("if(H635=""Must be Together"",iferror(join("", "",unique(filter({filter('Students (Vertical)'!O:O,'Students (Vertical)'!C:C=B635,'Students (Vertical)'!O:O&lt;&gt;"""");filter('Students (Vertical)'!O:O,'Students (Vertical)'!C:C=E635,'Students (Vertical)'!O:O&lt;&gt;"""&amp;""")},countifs({filter('Students (Vertical)'!O:O,'Students (Vertical)'!C:C=B635,'Students (Vertical)'!O:O&lt;&gt;"""");filter('Students (Vertical)'!O:O,'Students (Vertical)'!C:C=E635,'Students (Vertical)'!O:O&lt;&gt;"""")},{filter('Students (Vertical)'!O:O,'Students ("&amp;"Vertical)'!C:C=B635,'Students (Vertical)'!O:O&lt;&gt;"""");filter('Students (Vertical)'!O:O,'Students (Vertical)'!C:C=E635,'Students (Vertical)'!O:O&lt;&gt;"""")})&gt;1))),""No shared courses""),"""")"),"")</f>
        <v/>
      </c>
      <c r="J635" s="94" t="str">
        <f>IFERROR(__xludf.DUMMYFUNCTION("if(H635=""Can't be Together"",iferror(join("", "",unique(filter({unique(filter('Students (Vertical)'!O:O,'Students (Vertical)'!C:C=B635,'Students (Vertical)'!O:O&lt;&gt;"""",'Students (Vertical)'!P:P&gt;1));unique(filter('Students (Vertical)'!O:O,'Students (Vertic"&amp;"al)'!C:C=E635,'Students (Vertical)'!O:O&lt;&gt;"""",'Students (Vertical)'!P:P&gt;1))},countifs({unique(filter('Students (Vertical)'!O:O,'Students (Vertical)'!C:C=B635,'Students (Vertical)'!O:O&lt;&gt;"""",'Students (Vertical)'!P:P&gt;1));unique(filter('Students (Vertical)'"&amp;"!O:O,'Students (Vertical)'!C:C=E635,'Students (Vertical)'!O:O&lt;&gt;"""",'Students (Vertical)'!P:P&gt;1))},{unique(filter('Students (Vertical)'!O:O,'Students (Vertical)'!C:C=B635,'Students (Vertical)'!O:O&lt;&gt;"""",'Students (Vertical)'!P:P&gt;1));unique(filter('Student"&amp;"s (Vertical)'!O:O,'Students (Vertical)'!C:C=E635,'Students (Vertical)'!O:O&lt;&gt;"""",'Students (Vertical)'!P:P&gt;1))})&gt;1))),""""),"""")"),"")</f>
        <v/>
      </c>
      <c r="K635" s="96" t="str">
        <f>IFERROR(__xludf.DUMMYFUNCTION("iferror(join("", "",unique(filter({filter('Students (Vertical)'!D:D,'Students (Vertical)'!C:C=B635,'Students (Vertical)'!D:D&lt;&gt;"""");filter('Students (Vertical)'!D:D,'Students (Vertical)'!C:C=E635,'Students (Vertical)'!D:D&lt;&gt;"""")},countifs({filter('Student"&amp;"s (Vertical)'!D:D,'Students (Vertical)'!C:C=B635,'Students (Vertical)'!D:D&lt;&gt;"""");filter('Students (Vertical)'!D:D,'Students (Vertical)'!C:C=E635,'Students (Vertical)'!D:D&lt;&gt;"""")},{filter('Students (Vertical)'!D:D,'Students (Vertical)'!C:C=B635,'Students "&amp;"(Vertical)'!D:D&lt;&gt;"""");filter('Students (Vertical)'!D:D,'Students (Vertical)'!C:C=E635,'Students (Vertical)'!D:D&lt;&gt;"""")})&gt;1))),"""")"),"")</f>
        <v/>
      </c>
      <c r="L635" s="96"/>
      <c r="M635" s="96"/>
    </row>
    <row r="636" hidden="1">
      <c r="A636" s="8" t="s">
        <v>8</v>
      </c>
      <c r="C636" s="8" t="s">
        <v>8</v>
      </c>
      <c r="D636" s="8" t="s">
        <v>8</v>
      </c>
      <c r="F636" s="8" t="s">
        <v>8</v>
      </c>
      <c r="G636" s="8" t="s">
        <v>8</v>
      </c>
      <c r="I636" s="94" t="str">
        <f>IFERROR(__xludf.DUMMYFUNCTION("if(H636=""Must be Together"",iferror(join("", "",unique(filter({filter('Students (Vertical)'!O:O,'Students (Vertical)'!C:C=B636,'Students (Vertical)'!O:O&lt;&gt;"""");filter('Students (Vertical)'!O:O,'Students (Vertical)'!C:C=E636,'Students (Vertical)'!O:O&lt;&gt;"""&amp;""")},countifs({filter('Students (Vertical)'!O:O,'Students (Vertical)'!C:C=B636,'Students (Vertical)'!O:O&lt;&gt;"""");filter('Students (Vertical)'!O:O,'Students (Vertical)'!C:C=E636,'Students (Vertical)'!O:O&lt;&gt;"""")},{filter('Students (Vertical)'!O:O,'Students ("&amp;"Vertical)'!C:C=B636,'Students (Vertical)'!O:O&lt;&gt;"""");filter('Students (Vertical)'!O:O,'Students (Vertical)'!C:C=E636,'Students (Vertical)'!O:O&lt;&gt;"""")})&gt;1))),""No shared courses""),"""")"),"")</f>
        <v/>
      </c>
      <c r="J636" s="94" t="str">
        <f>IFERROR(__xludf.DUMMYFUNCTION("if(H636=""Can't be Together"",iferror(join("", "",unique(filter({unique(filter('Students (Vertical)'!O:O,'Students (Vertical)'!C:C=B636,'Students (Vertical)'!O:O&lt;&gt;"""",'Students (Vertical)'!P:P&gt;1));unique(filter('Students (Vertical)'!O:O,'Students (Vertic"&amp;"al)'!C:C=E636,'Students (Vertical)'!O:O&lt;&gt;"""",'Students (Vertical)'!P:P&gt;1))},countifs({unique(filter('Students (Vertical)'!O:O,'Students (Vertical)'!C:C=B636,'Students (Vertical)'!O:O&lt;&gt;"""",'Students (Vertical)'!P:P&gt;1));unique(filter('Students (Vertical)'"&amp;"!O:O,'Students (Vertical)'!C:C=E636,'Students (Vertical)'!O:O&lt;&gt;"""",'Students (Vertical)'!P:P&gt;1))},{unique(filter('Students (Vertical)'!O:O,'Students (Vertical)'!C:C=B636,'Students (Vertical)'!O:O&lt;&gt;"""",'Students (Vertical)'!P:P&gt;1));unique(filter('Student"&amp;"s (Vertical)'!O:O,'Students (Vertical)'!C:C=E636,'Students (Vertical)'!O:O&lt;&gt;"""",'Students (Vertical)'!P:P&gt;1))})&gt;1))),""""),"""")"),"")</f>
        <v/>
      </c>
      <c r="K636" s="96" t="str">
        <f>IFERROR(__xludf.DUMMYFUNCTION("iferror(join("", "",unique(filter({filter('Students (Vertical)'!D:D,'Students (Vertical)'!C:C=B636,'Students (Vertical)'!D:D&lt;&gt;"""");filter('Students (Vertical)'!D:D,'Students (Vertical)'!C:C=E636,'Students (Vertical)'!D:D&lt;&gt;"""")},countifs({filter('Student"&amp;"s (Vertical)'!D:D,'Students (Vertical)'!C:C=B636,'Students (Vertical)'!D:D&lt;&gt;"""");filter('Students (Vertical)'!D:D,'Students (Vertical)'!C:C=E636,'Students (Vertical)'!D:D&lt;&gt;"""")},{filter('Students (Vertical)'!D:D,'Students (Vertical)'!C:C=B636,'Students "&amp;"(Vertical)'!D:D&lt;&gt;"""");filter('Students (Vertical)'!D:D,'Students (Vertical)'!C:C=E636,'Students (Vertical)'!D:D&lt;&gt;"""")})&gt;1))),"""")"),"")</f>
        <v/>
      </c>
      <c r="L636" s="96"/>
      <c r="M636" s="96"/>
    </row>
    <row r="637" hidden="1">
      <c r="A637" s="8" t="s">
        <v>8</v>
      </c>
      <c r="C637" s="8" t="s">
        <v>8</v>
      </c>
      <c r="D637" s="8" t="s">
        <v>8</v>
      </c>
      <c r="F637" s="8" t="s">
        <v>8</v>
      </c>
      <c r="G637" s="8" t="s">
        <v>8</v>
      </c>
      <c r="I637" s="94" t="str">
        <f>IFERROR(__xludf.DUMMYFUNCTION("if(H637=""Must be Together"",iferror(join("", "",unique(filter({filter('Students (Vertical)'!O:O,'Students (Vertical)'!C:C=B637,'Students (Vertical)'!O:O&lt;&gt;"""");filter('Students (Vertical)'!O:O,'Students (Vertical)'!C:C=E637,'Students (Vertical)'!O:O&lt;&gt;"""&amp;""")},countifs({filter('Students (Vertical)'!O:O,'Students (Vertical)'!C:C=B637,'Students (Vertical)'!O:O&lt;&gt;"""");filter('Students (Vertical)'!O:O,'Students (Vertical)'!C:C=E637,'Students (Vertical)'!O:O&lt;&gt;"""")},{filter('Students (Vertical)'!O:O,'Students ("&amp;"Vertical)'!C:C=B637,'Students (Vertical)'!O:O&lt;&gt;"""");filter('Students (Vertical)'!O:O,'Students (Vertical)'!C:C=E637,'Students (Vertical)'!O:O&lt;&gt;"""")})&gt;1))),""No shared courses""),"""")"),"")</f>
        <v/>
      </c>
      <c r="J637" s="94" t="str">
        <f>IFERROR(__xludf.DUMMYFUNCTION("if(H637=""Can't be Together"",iferror(join("", "",unique(filter({unique(filter('Students (Vertical)'!O:O,'Students (Vertical)'!C:C=B637,'Students (Vertical)'!O:O&lt;&gt;"""",'Students (Vertical)'!P:P&gt;1));unique(filter('Students (Vertical)'!O:O,'Students (Vertic"&amp;"al)'!C:C=E637,'Students (Vertical)'!O:O&lt;&gt;"""",'Students (Vertical)'!P:P&gt;1))},countifs({unique(filter('Students (Vertical)'!O:O,'Students (Vertical)'!C:C=B637,'Students (Vertical)'!O:O&lt;&gt;"""",'Students (Vertical)'!P:P&gt;1));unique(filter('Students (Vertical)'"&amp;"!O:O,'Students (Vertical)'!C:C=E637,'Students (Vertical)'!O:O&lt;&gt;"""",'Students (Vertical)'!P:P&gt;1))},{unique(filter('Students (Vertical)'!O:O,'Students (Vertical)'!C:C=B637,'Students (Vertical)'!O:O&lt;&gt;"""",'Students (Vertical)'!P:P&gt;1));unique(filter('Student"&amp;"s (Vertical)'!O:O,'Students (Vertical)'!C:C=E637,'Students (Vertical)'!O:O&lt;&gt;"""",'Students (Vertical)'!P:P&gt;1))})&gt;1))),""""),"""")"),"")</f>
        <v/>
      </c>
      <c r="K637" s="96" t="str">
        <f>IFERROR(__xludf.DUMMYFUNCTION("iferror(join("", "",unique(filter({filter('Students (Vertical)'!D:D,'Students (Vertical)'!C:C=B637,'Students (Vertical)'!D:D&lt;&gt;"""");filter('Students (Vertical)'!D:D,'Students (Vertical)'!C:C=E637,'Students (Vertical)'!D:D&lt;&gt;"""")},countifs({filter('Student"&amp;"s (Vertical)'!D:D,'Students (Vertical)'!C:C=B637,'Students (Vertical)'!D:D&lt;&gt;"""");filter('Students (Vertical)'!D:D,'Students (Vertical)'!C:C=E637,'Students (Vertical)'!D:D&lt;&gt;"""")},{filter('Students (Vertical)'!D:D,'Students (Vertical)'!C:C=B637,'Students "&amp;"(Vertical)'!D:D&lt;&gt;"""");filter('Students (Vertical)'!D:D,'Students (Vertical)'!C:C=E637,'Students (Vertical)'!D:D&lt;&gt;"""")})&gt;1))),"""")"),"")</f>
        <v/>
      </c>
      <c r="L637" s="96"/>
      <c r="M637" s="96"/>
    </row>
    <row r="638" hidden="1">
      <c r="A638" s="8" t="s">
        <v>8</v>
      </c>
      <c r="C638" s="8" t="s">
        <v>8</v>
      </c>
      <c r="D638" s="8" t="s">
        <v>8</v>
      </c>
      <c r="F638" s="8" t="s">
        <v>8</v>
      </c>
      <c r="G638" s="8" t="s">
        <v>8</v>
      </c>
      <c r="I638" s="94" t="str">
        <f>IFERROR(__xludf.DUMMYFUNCTION("if(H638=""Must be Together"",iferror(join("", "",unique(filter({filter('Students (Vertical)'!O:O,'Students (Vertical)'!C:C=B638,'Students (Vertical)'!O:O&lt;&gt;"""");filter('Students (Vertical)'!O:O,'Students (Vertical)'!C:C=E638,'Students (Vertical)'!O:O&lt;&gt;"""&amp;""")},countifs({filter('Students (Vertical)'!O:O,'Students (Vertical)'!C:C=B638,'Students (Vertical)'!O:O&lt;&gt;"""");filter('Students (Vertical)'!O:O,'Students (Vertical)'!C:C=E638,'Students (Vertical)'!O:O&lt;&gt;"""")},{filter('Students (Vertical)'!O:O,'Students ("&amp;"Vertical)'!C:C=B638,'Students (Vertical)'!O:O&lt;&gt;"""");filter('Students (Vertical)'!O:O,'Students (Vertical)'!C:C=E638,'Students (Vertical)'!O:O&lt;&gt;"""")})&gt;1))),""No shared courses""),"""")"),"")</f>
        <v/>
      </c>
      <c r="J638" s="94" t="str">
        <f>IFERROR(__xludf.DUMMYFUNCTION("if(H638=""Can't be Together"",iferror(join("", "",unique(filter({unique(filter('Students (Vertical)'!O:O,'Students (Vertical)'!C:C=B638,'Students (Vertical)'!O:O&lt;&gt;"""",'Students (Vertical)'!P:P&gt;1));unique(filter('Students (Vertical)'!O:O,'Students (Vertic"&amp;"al)'!C:C=E638,'Students (Vertical)'!O:O&lt;&gt;"""",'Students (Vertical)'!P:P&gt;1))},countifs({unique(filter('Students (Vertical)'!O:O,'Students (Vertical)'!C:C=B638,'Students (Vertical)'!O:O&lt;&gt;"""",'Students (Vertical)'!P:P&gt;1));unique(filter('Students (Vertical)'"&amp;"!O:O,'Students (Vertical)'!C:C=E638,'Students (Vertical)'!O:O&lt;&gt;"""",'Students (Vertical)'!P:P&gt;1))},{unique(filter('Students (Vertical)'!O:O,'Students (Vertical)'!C:C=B638,'Students (Vertical)'!O:O&lt;&gt;"""",'Students (Vertical)'!P:P&gt;1));unique(filter('Student"&amp;"s (Vertical)'!O:O,'Students (Vertical)'!C:C=E638,'Students (Vertical)'!O:O&lt;&gt;"""",'Students (Vertical)'!P:P&gt;1))})&gt;1))),""""),"""")"),"")</f>
        <v/>
      </c>
      <c r="K638" s="96" t="str">
        <f>IFERROR(__xludf.DUMMYFUNCTION("iferror(join("", "",unique(filter({filter('Students (Vertical)'!D:D,'Students (Vertical)'!C:C=B638,'Students (Vertical)'!D:D&lt;&gt;"""");filter('Students (Vertical)'!D:D,'Students (Vertical)'!C:C=E638,'Students (Vertical)'!D:D&lt;&gt;"""")},countifs({filter('Student"&amp;"s (Vertical)'!D:D,'Students (Vertical)'!C:C=B638,'Students (Vertical)'!D:D&lt;&gt;"""");filter('Students (Vertical)'!D:D,'Students (Vertical)'!C:C=E638,'Students (Vertical)'!D:D&lt;&gt;"""")},{filter('Students (Vertical)'!D:D,'Students (Vertical)'!C:C=B638,'Students "&amp;"(Vertical)'!D:D&lt;&gt;"""");filter('Students (Vertical)'!D:D,'Students (Vertical)'!C:C=E638,'Students (Vertical)'!D:D&lt;&gt;"""")})&gt;1))),"""")"),"")</f>
        <v/>
      </c>
      <c r="L638" s="96"/>
      <c r="M638" s="96"/>
    </row>
    <row r="639" hidden="1">
      <c r="A639" s="8" t="s">
        <v>8</v>
      </c>
      <c r="C639" s="8" t="s">
        <v>8</v>
      </c>
      <c r="D639" s="8" t="s">
        <v>8</v>
      </c>
      <c r="F639" s="8" t="s">
        <v>8</v>
      </c>
      <c r="G639" s="8" t="s">
        <v>8</v>
      </c>
      <c r="I639" s="94" t="str">
        <f>IFERROR(__xludf.DUMMYFUNCTION("if(H639=""Must be Together"",iferror(join("", "",unique(filter({filter('Students (Vertical)'!O:O,'Students (Vertical)'!C:C=B639,'Students (Vertical)'!O:O&lt;&gt;"""");filter('Students (Vertical)'!O:O,'Students (Vertical)'!C:C=E639,'Students (Vertical)'!O:O&lt;&gt;"""&amp;""")},countifs({filter('Students (Vertical)'!O:O,'Students (Vertical)'!C:C=B639,'Students (Vertical)'!O:O&lt;&gt;"""");filter('Students (Vertical)'!O:O,'Students (Vertical)'!C:C=E639,'Students (Vertical)'!O:O&lt;&gt;"""")},{filter('Students (Vertical)'!O:O,'Students ("&amp;"Vertical)'!C:C=B639,'Students (Vertical)'!O:O&lt;&gt;"""");filter('Students (Vertical)'!O:O,'Students (Vertical)'!C:C=E639,'Students (Vertical)'!O:O&lt;&gt;"""")})&gt;1))),""No shared courses""),"""")"),"")</f>
        <v/>
      </c>
      <c r="J639" s="94" t="str">
        <f>IFERROR(__xludf.DUMMYFUNCTION("if(H639=""Can't be Together"",iferror(join("", "",unique(filter({unique(filter('Students (Vertical)'!O:O,'Students (Vertical)'!C:C=B639,'Students (Vertical)'!O:O&lt;&gt;"""",'Students (Vertical)'!P:P&gt;1));unique(filter('Students (Vertical)'!O:O,'Students (Vertic"&amp;"al)'!C:C=E639,'Students (Vertical)'!O:O&lt;&gt;"""",'Students (Vertical)'!P:P&gt;1))},countifs({unique(filter('Students (Vertical)'!O:O,'Students (Vertical)'!C:C=B639,'Students (Vertical)'!O:O&lt;&gt;"""",'Students (Vertical)'!P:P&gt;1));unique(filter('Students (Vertical)'"&amp;"!O:O,'Students (Vertical)'!C:C=E639,'Students (Vertical)'!O:O&lt;&gt;"""",'Students (Vertical)'!P:P&gt;1))},{unique(filter('Students (Vertical)'!O:O,'Students (Vertical)'!C:C=B639,'Students (Vertical)'!O:O&lt;&gt;"""",'Students (Vertical)'!P:P&gt;1));unique(filter('Student"&amp;"s (Vertical)'!O:O,'Students (Vertical)'!C:C=E639,'Students (Vertical)'!O:O&lt;&gt;"""",'Students (Vertical)'!P:P&gt;1))})&gt;1))),""""),"""")"),"")</f>
        <v/>
      </c>
      <c r="K639" s="96" t="str">
        <f>IFERROR(__xludf.DUMMYFUNCTION("iferror(join("", "",unique(filter({filter('Students (Vertical)'!D:D,'Students (Vertical)'!C:C=B639,'Students (Vertical)'!D:D&lt;&gt;"""");filter('Students (Vertical)'!D:D,'Students (Vertical)'!C:C=E639,'Students (Vertical)'!D:D&lt;&gt;"""")},countifs({filter('Student"&amp;"s (Vertical)'!D:D,'Students (Vertical)'!C:C=B639,'Students (Vertical)'!D:D&lt;&gt;"""");filter('Students (Vertical)'!D:D,'Students (Vertical)'!C:C=E639,'Students (Vertical)'!D:D&lt;&gt;"""")},{filter('Students (Vertical)'!D:D,'Students (Vertical)'!C:C=B639,'Students "&amp;"(Vertical)'!D:D&lt;&gt;"""");filter('Students (Vertical)'!D:D,'Students (Vertical)'!C:C=E639,'Students (Vertical)'!D:D&lt;&gt;"""")})&gt;1))),"""")"),"")</f>
        <v/>
      </c>
      <c r="L639" s="96"/>
      <c r="M639" s="96"/>
    </row>
    <row r="640" hidden="1">
      <c r="A640" s="8" t="s">
        <v>8</v>
      </c>
      <c r="C640" s="8" t="s">
        <v>8</v>
      </c>
      <c r="D640" s="8" t="s">
        <v>8</v>
      </c>
      <c r="F640" s="8" t="s">
        <v>8</v>
      </c>
      <c r="G640" s="8" t="s">
        <v>8</v>
      </c>
      <c r="I640" s="94" t="str">
        <f>IFERROR(__xludf.DUMMYFUNCTION("if(H640=""Must be Together"",iferror(join("", "",unique(filter({filter('Students (Vertical)'!O:O,'Students (Vertical)'!C:C=B640,'Students (Vertical)'!O:O&lt;&gt;"""");filter('Students (Vertical)'!O:O,'Students (Vertical)'!C:C=E640,'Students (Vertical)'!O:O&lt;&gt;"""&amp;""")},countifs({filter('Students (Vertical)'!O:O,'Students (Vertical)'!C:C=B640,'Students (Vertical)'!O:O&lt;&gt;"""");filter('Students (Vertical)'!O:O,'Students (Vertical)'!C:C=E640,'Students (Vertical)'!O:O&lt;&gt;"""")},{filter('Students (Vertical)'!O:O,'Students ("&amp;"Vertical)'!C:C=B640,'Students (Vertical)'!O:O&lt;&gt;"""");filter('Students (Vertical)'!O:O,'Students (Vertical)'!C:C=E640,'Students (Vertical)'!O:O&lt;&gt;"""")})&gt;1))),""No shared courses""),"""")"),"")</f>
        <v/>
      </c>
      <c r="J640" s="94" t="str">
        <f>IFERROR(__xludf.DUMMYFUNCTION("if(H640=""Can't be Together"",iferror(join("", "",unique(filter({unique(filter('Students (Vertical)'!O:O,'Students (Vertical)'!C:C=B640,'Students (Vertical)'!O:O&lt;&gt;"""",'Students (Vertical)'!P:P&gt;1));unique(filter('Students (Vertical)'!O:O,'Students (Vertic"&amp;"al)'!C:C=E640,'Students (Vertical)'!O:O&lt;&gt;"""",'Students (Vertical)'!P:P&gt;1))},countifs({unique(filter('Students (Vertical)'!O:O,'Students (Vertical)'!C:C=B640,'Students (Vertical)'!O:O&lt;&gt;"""",'Students (Vertical)'!P:P&gt;1));unique(filter('Students (Vertical)'"&amp;"!O:O,'Students (Vertical)'!C:C=E640,'Students (Vertical)'!O:O&lt;&gt;"""",'Students (Vertical)'!P:P&gt;1))},{unique(filter('Students (Vertical)'!O:O,'Students (Vertical)'!C:C=B640,'Students (Vertical)'!O:O&lt;&gt;"""",'Students (Vertical)'!P:P&gt;1));unique(filter('Student"&amp;"s (Vertical)'!O:O,'Students (Vertical)'!C:C=E640,'Students (Vertical)'!O:O&lt;&gt;"""",'Students (Vertical)'!P:P&gt;1))})&gt;1))),""""),"""")"),"")</f>
        <v/>
      </c>
      <c r="K640" s="96" t="str">
        <f>IFERROR(__xludf.DUMMYFUNCTION("iferror(join("", "",unique(filter({filter('Students (Vertical)'!D:D,'Students (Vertical)'!C:C=B640,'Students (Vertical)'!D:D&lt;&gt;"""");filter('Students (Vertical)'!D:D,'Students (Vertical)'!C:C=E640,'Students (Vertical)'!D:D&lt;&gt;"""")},countifs({filter('Student"&amp;"s (Vertical)'!D:D,'Students (Vertical)'!C:C=B640,'Students (Vertical)'!D:D&lt;&gt;"""");filter('Students (Vertical)'!D:D,'Students (Vertical)'!C:C=E640,'Students (Vertical)'!D:D&lt;&gt;"""")},{filter('Students (Vertical)'!D:D,'Students (Vertical)'!C:C=B640,'Students "&amp;"(Vertical)'!D:D&lt;&gt;"""");filter('Students (Vertical)'!D:D,'Students (Vertical)'!C:C=E640,'Students (Vertical)'!D:D&lt;&gt;"""")})&gt;1))),"""")"),"")</f>
        <v/>
      </c>
      <c r="L640" s="96"/>
      <c r="M640" s="96"/>
    </row>
    <row r="641" hidden="1">
      <c r="A641" s="8" t="s">
        <v>8</v>
      </c>
      <c r="C641" s="8" t="s">
        <v>8</v>
      </c>
      <c r="D641" s="8" t="s">
        <v>8</v>
      </c>
      <c r="F641" s="8" t="s">
        <v>8</v>
      </c>
      <c r="G641" s="8" t="s">
        <v>8</v>
      </c>
      <c r="I641" s="94" t="str">
        <f>IFERROR(__xludf.DUMMYFUNCTION("if(H641=""Must be Together"",iferror(join("", "",unique(filter({filter('Students (Vertical)'!O:O,'Students (Vertical)'!C:C=B641,'Students (Vertical)'!O:O&lt;&gt;"""");filter('Students (Vertical)'!O:O,'Students (Vertical)'!C:C=E641,'Students (Vertical)'!O:O&lt;&gt;"""&amp;""")},countifs({filter('Students (Vertical)'!O:O,'Students (Vertical)'!C:C=B641,'Students (Vertical)'!O:O&lt;&gt;"""");filter('Students (Vertical)'!O:O,'Students (Vertical)'!C:C=E641,'Students (Vertical)'!O:O&lt;&gt;"""")},{filter('Students (Vertical)'!O:O,'Students ("&amp;"Vertical)'!C:C=B641,'Students (Vertical)'!O:O&lt;&gt;"""");filter('Students (Vertical)'!O:O,'Students (Vertical)'!C:C=E641,'Students (Vertical)'!O:O&lt;&gt;"""")})&gt;1))),""No shared courses""),"""")"),"")</f>
        <v/>
      </c>
      <c r="J641" s="94" t="str">
        <f>IFERROR(__xludf.DUMMYFUNCTION("if(H641=""Can't be Together"",iferror(join("", "",unique(filter({unique(filter('Students (Vertical)'!O:O,'Students (Vertical)'!C:C=B641,'Students (Vertical)'!O:O&lt;&gt;"""",'Students (Vertical)'!P:P&gt;1));unique(filter('Students (Vertical)'!O:O,'Students (Vertic"&amp;"al)'!C:C=E641,'Students (Vertical)'!O:O&lt;&gt;"""",'Students (Vertical)'!P:P&gt;1))},countifs({unique(filter('Students (Vertical)'!O:O,'Students (Vertical)'!C:C=B641,'Students (Vertical)'!O:O&lt;&gt;"""",'Students (Vertical)'!P:P&gt;1));unique(filter('Students (Vertical)'"&amp;"!O:O,'Students (Vertical)'!C:C=E641,'Students (Vertical)'!O:O&lt;&gt;"""",'Students (Vertical)'!P:P&gt;1))},{unique(filter('Students (Vertical)'!O:O,'Students (Vertical)'!C:C=B641,'Students (Vertical)'!O:O&lt;&gt;"""",'Students (Vertical)'!P:P&gt;1));unique(filter('Student"&amp;"s (Vertical)'!O:O,'Students (Vertical)'!C:C=E641,'Students (Vertical)'!O:O&lt;&gt;"""",'Students (Vertical)'!P:P&gt;1))})&gt;1))),""""),"""")"),"")</f>
        <v/>
      </c>
      <c r="K641" s="96" t="str">
        <f>IFERROR(__xludf.DUMMYFUNCTION("iferror(join("", "",unique(filter({filter('Students (Vertical)'!D:D,'Students (Vertical)'!C:C=B641,'Students (Vertical)'!D:D&lt;&gt;"""");filter('Students (Vertical)'!D:D,'Students (Vertical)'!C:C=E641,'Students (Vertical)'!D:D&lt;&gt;"""")},countifs({filter('Student"&amp;"s (Vertical)'!D:D,'Students (Vertical)'!C:C=B641,'Students (Vertical)'!D:D&lt;&gt;"""");filter('Students (Vertical)'!D:D,'Students (Vertical)'!C:C=E641,'Students (Vertical)'!D:D&lt;&gt;"""")},{filter('Students (Vertical)'!D:D,'Students (Vertical)'!C:C=B641,'Students "&amp;"(Vertical)'!D:D&lt;&gt;"""");filter('Students (Vertical)'!D:D,'Students (Vertical)'!C:C=E641,'Students (Vertical)'!D:D&lt;&gt;"""")})&gt;1))),"""")"),"")</f>
        <v/>
      </c>
      <c r="L641" s="96"/>
      <c r="M641" s="96"/>
    </row>
    <row r="642" hidden="1">
      <c r="A642" s="8" t="s">
        <v>8</v>
      </c>
      <c r="C642" s="8" t="s">
        <v>8</v>
      </c>
      <c r="D642" s="8" t="s">
        <v>8</v>
      </c>
      <c r="F642" s="8" t="s">
        <v>8</v>
      </c>
      <c r="G642" s="8" t="s">
        <v>8</v>
      </c>
      <c r="I642" s="94" t="str">
        <f>IFERROR(__xludf.DUMMYFUNCTION("if(H642=""Must be Together"",iferror(join("", "",unique(filter({filter('Students (Vertical)'!O:O,'Students (Vertical)'!C:C=B642,'Students (Vertical)'!O:O&lt;&gt;"""");filter('Students (Vertical)'!O:O,'Students (Vertical)'!C:C=E642,'Students (Vertical)'!O:O&lt;&gt;"""&amp;""")},countifs({filter('Students (Vertical)'!O:O,'Students (Vertical)'!C:C=B642,'Students (Vertical)'!O:O&lt;&gt;"""");filter('Students (Vertical)'!O:O,'Students (Vertical)'!C:C=E642,'Students (Vertical)'!O:O&lt;&gt;"""")},{filter('Students (Vertical)'!O:O,'Students ("&amp;"Vertical)'!C:C=B642,'Students (Vertical)'!O:O&lt;&gt;"""");filter('Students (Vertical)'!O:O,'Students (Vertical)'!C:C=E642,'Students (Vertical)'!O:O&lt;&gt;"""")})&gt;1))),""No shared courses""),"""")"),"")</f>
        <v/>
      </c>
      <c r="J642" s="94" t="str">
        <f>IFERROR(__xludf.DUMMYFUNCTION("if(H642=""Can't be Together"",iferror(join("", "",unique(filter({unique(filter('Students (Vertical)'!O:O,'Students (Vertical)'!C:C=B642,'Students (Vertical)'!O:O&lt;&gt;"""",'Students (Vertical)'!P:P&gt;1));unique(filter('Students (Vertical)'!O:O,'Students (Vertic"&amp;"al)'!C:C=E642,'Students (Vertical)'!O:O&lt;&gt;"""",'Students (Vertical)'!P:P&gt;1))},countifs({unique(filter('Students (Vertical)'!O:O,'Students (Vertical)'!C:C=B642,'Students (Vertical)'!O:O&lt;&gt;"""",'Students (Vertical)'!P:P&gt;1));unique(filter('Students (Vertical)'"&amp;"!O:O,'Students (Vertical)'!C:C=E642,'Students (Vertical)'!O:O&lt;&gt;"""",'Students (Vertical)'!P:P&gt;1))},{unique(filter('Students (Vertical)'!O:O,'Students (Vertical)'!C:C=B642,'Students (Vertical)'!O:O&lt;&gt;"""",'Students (Vertical)'!P:P&gt;1));unique(filter('Student"&amp;"s (Vertical)'!O:O,'Students (Vertical)'!C:C=E642,'Students (Vertical)'!O:O&lt;&gt;"""",'Students (Vertical)'!P:P&gt;1))})&gt;1))),""""),"""")"),"")</f>
        <v/>
      </c>
      <c r="K642" s="96" t="str">
        <f>IFERROR(__xludf.DUMMYFUNCTION("iferror(join("", "",unique(filter({filter('Students (Vertical)'!D:D,'Students (Vertical)'!C:C=B642,'Students (Vertical)'!D:D&lt;&gt;"""");filter('Students (Vertical)'!D:D,'Students (Vertical)'!C:C=E642,'Students (Vertical)'!D:D&lt;&gt;"""")},countifs({filter('Student"&amp;"s (Vertical)'!D:D,'Students (Vertical)'!C:C=B642,'Students (Vertical)'!D:D&lt;&gt;"""");filter('Students (Vertical)'!D:D,'Students (Vertical)'!C:C=E642,'Students (Vertical)'!D:D&lt;&gt;"""")},{filter('Students (Vertical)'!D:D,'Students (Vertical)'!C:C=B642,'Students "&amp;"(Vertical)'!D:D&lt;&gt;"""");filter('Students (Vertical)'!D:D,'Students (Vertical)'!C:C=E642,'Students (Vertical)'!D:D&lt;&gt;"""")})&gt;1))),"""")"),"")</f>
        <v/>
      </c>
      <c r="L642" s="96"/>
      <c r="M642" s="96"/>
    </row>
    <row r="643" hidden="1">
      <c r="A643" s="8" t="s">
        <v>8</v>
      </c>
      <c r="C643" s="8" t="s">
        <v>8</v>
      </c>
      <c r="D643" s="8" t="s">
        <v>8</v>
      </c>
      <c r="F643" s="8" t="s">
        <v>8</v>
      </c>
      <c r="G643" s="8" t="s">
        <v>8</v>
      </c>
      <c r="I643" s="94" t="str">
        <f>IFERROR(__xludf.DUMMYFUNCTION("if(H643=""Must be Together"",iferror(join("", "",unique(filter({filter('Students (Vertical)'!O:O,'Students (Vertical)'!C:C=B643,'Students (Vertical)'!O:O&lt;&gt;"""");filter('Students (Vertical)'!O:O,'Students (Vertical)'!C:C=E643,'Students (Vertical)'!O:O&lt;&gt;"""&amp;""")},countifs({filter('Students (Vertical)'!O:O,'Students (Vertical)'!C:C=B643,'Students (Vertical)'!O:O&lt;&gt;"""");filter('Students (Vertical)'!O:O,'Students (Vertical)'!C:C=E643,'Students (Vertical)'!O:O&lt;&gt;"""")},{filter('Students (Vertical)'!O:O,'Students ("&amp;"Vertical)'!C:C=B643,'Students (Vertical)'!O:O&lt;&gt;"""");filter('Students (Vertical)'!O:O,'Students (Vertical)'!C:C=E643,'Students (Vertical)'!O:O&lt;&gt;"""")})&gt;1))),""No shared courses""),"""")"),"")</f>
        <v/>
      </c>
      <c r="J643" s="94" t="str">
        <f>IFERROR(__xludf.DUMMYFUNCTION("if(H643=""Can't be Together"",iferror(join("", "",unique(filter({unique(filter('Students (Vertical)'!O:O,'Students (Vertical)'!C:C=B643,'Students (Vertical)'!O:O&lt;&gt;"""",'Students (Vertical)'!P:P&gt;1));unique(filter('Students (Vertical)'!O:O,'Students (Vertic"&amp;"al)'!C:C=E643,'Students (Vertical)'!O:O&lt;&gt;"""",'Students (Vertical)'!P:P&gt;1))},countifs({unique(filter('Students (Vertical)'!O:O,'Students (Vertical)'!C:C=B643,'Students (Vertical)'!O:O&lt;&gt;"""",'Students (Vertical)'!P:P&gt;1));unique(filter('Students (Vertical)'"&amp;"!O:O,'Students (Vertical)'!C:C=E643,'Students (Vertical)'!O:O&lt;&gt;"""",'Students (Vertical)'!P:P&gt;1))},{unique(filter('Students (Vertical)'!O:O,'Students (Vertical)'!C:C=B643,'Students (Vertical)'!O:O&lt;&gt;"""",'Students (Vertical)'!P:P&gt;1));unique(filter('Student"&amp;"s (Vertical)'!O:O,'Students (Vertical)'!C:C=E643,'Students (Vertical)'!O:O&lt;&gt;"""",'Students (Vertical)'!P:P&gt;1))})&gt;1))),""""),"""")"),"")</f>
        <v/>
      </c>
      <c r="K643" s="96" t="str">
        <f>IFERROR(__xludf.DUMMYFUNCTION("iferror(join("", "",unique(filter({filter('Students (Vertical)'!D:D,'Students (Vertical)'!C:C=B643,'Students (Vertical)'!D:D&lt;&gt;"""");filter('Students (Vertical)'!D:D,'Students (Vertical)'!C:C=E643,'Students (Vertical)'!D:D&lt;&gt;"""")},countifs({filter('Student"&amp;"s (Vertical)'!D:D,'Students (Vertical)'!C:C=B643,'Students (Vertical)'!D:D&lt;&gt;"""");filter('Students (Vertical)'!D:D,'Students (Vertical)'!C:C=E643,'Students (Vertical)'!D:D&lt;&gt;"""")},{filter('Students (Vertical)'!D:D,'Students (Vertical)'!C:C=B643,'Students "&amp;"(Vertical)'!D:D&lt;&gt;"""");filter('Students (Vertical)'!D:D,'Students (Vertical)'!C:C=E643,'Students (Vertical)'!D:D&lt;&gt;"""")})&gt;1))),"""")"),"")</f>
        <v/>
      </c>
      <c r="L643" s="96"/>
      <c r="M643" s="96"/>
    </row>
    <row r="644" hidden="1">
      <c r="A644" s="8" t="s">
        <v>8</v>
      </c>
      <c r="C644" s="8" t="s">
        <v>8</v>
      </c>
      <c r="D644" s="8" t="s">
        <v>8</v>
      </c>
      <c r="F644" s="8" t="s">
        <v>8</v>
      </c>
      <c r="G644" s="8" t="s">
        <v>8</v>
      </c>
      <c r="I644" s="94" t="str">
        <f>IFERROR(__xludf.DUMMYFUNCTION("if(H644=""Must be Together"",iferror(join("", "",unique(filter({filter('Students (Vertical)'!O:O,'Students (Vertical)'!C:C=B644,'Students (Vertical)'!O:O&lt;&gt;"""");filter('Students (Vertical)'!O:O,'Students (Vertical)'!C:C=E644,'Students (Vertical)'!O:O&lt;&gt;"""&amp;""")},countifs({filter('Students (Vertical)'!O:O,'Students (Vertical)'!C:C=B644,'Students (Vertical)'!O:O&lt;&gt;"""");filter('Students (Vertical)'!O:O,'Students (Vertical)'!C:C=E644,'Students (Vertical)'!O:O&lt;&gt;"""")},{filter('Students (Vertical)'!O:O,'Students ("&amp;"Vertical)'!C:C=B644,'Students (Vertical)'!O:O&lt;&gt;"""");filter('Students (Vertical)'!O:O,'Students (Vertical)'!C:C=E644,'Students (Vertical)'!O:O&lt;&gt;"""")})&gt;1))),""No shared courses""),"""")"),"")</f>
        <v/>
      </c>
      <c r="J644" s="94" t="str">
        <f>IFERROR(__xludf.DUMMYFUNCTION("if(H644=""Can't be Together"",iferror(join("", "",unique(filter({unique(filter('Students (Vertical)'!O:O,'Students (Vertical)'!C:C=B644,'Students (Vertical)'!O:O&lt;&gt;"""",'Students (Vertical)'!P:P&gt;1));unique(filter('Students (Vertical)'!O:O,'Students (Vertic"&amp;"al)'!C:C=E644,'Students (Vertical)'!O:O&lt;&gt;"""",'Students (Vertical)'!P:P&gt;1))},countifs({unique(filter('Students (Vertical)'!O:O,'Students (Vertical)'!C:C=B644,'Students (Vertical)'!O:O&lt;&gt;"""",'Students (Vertical)'!P:P&gt;1));unique(filter('Students (Vertical)'"&amp;"!O:O,'Students (Vertical)'!C:C=E644,'Students (Vertical)'!O:O&lt;&gt;"""",'Students (Vertical)'!P:P&gt;1))},{unique(filter('Students (Vertical)'!O:O,'Students (Vertical)'!C:C=B644,'Students (Vertical)'!O:O&lt;&gt;"""",'Students (Vertical)'!P:P&gt;1));unique(filter('Student"&amp;"s (Vertical)'!O:O,'Students (Vertical)'!C:C=E644,'Students (Vertical)'!O:O&lt;&gt;"""",'Students (Vertical)'!P:P&gt;1))})&gt;1))),""""),"""")"),"")</f>
        <v/>
      </c>
      <c r="K644" s="96" t="str">
        <f>IFERROR(__xludf.DUMMYFUNCTION("iferror(join("", "",unique(filter({filter('Students (Vertical)'!D:D,'Students (Vertical)'!C:C=B644,'Students (Vertical)'!D:D&lt;&gt;"""");filter('Students (Vertical)'!D:D,'Students (Vertical)'!C:C=E644,'Students (Vertical)'!D:D&lt;&gt;"""")},countifs({filter('Student"&amp;"s (Vertical)'!D:D,'Students (Vertical)'!C:C=B644,'Students (Vertical)'!D:D&lt;&gt;"""");filter('Students (Vertical)'!D:D,'Students (Vertical)'!C:C=E644,'Students (Vertical)'!D:D&lt;&gt;"""")},{filter('Students (Vertical)'!D:D,'Students (Vertical)'!C:C=B644,'Students "&amp;"(Vertical)'!D:D&lt;&gt;"""");filter('Students (Vertical)'!D:D,'Students (Vertical)'!C:C=E644,'Students (Vertical)'!D:D&lt;&gt;"""")})&gt;1))),"""")"),"")</f>
        <v/>
      </c>
      <c r="L644" s="96"/>
      <c r="M644" s="96"/>
    </row>
    <row r="645" hidden="1">
      <c r="A645" s="8" t="s">
        <v>8</v>
      </c>
      <c r="C645" s="8" t="s">
        <v>8</v>
      </c>
      <c r="D645" s="8" t="s">
        <v>8</v>
      </c>
      <c r="F645" s="8" t="s">
        <v>8</v>
      </c>
      <c r="G645" s="8" t="s">
        <v>8</v>
      </c>
      <c r="I645" s="94" t="str">
        <f>IFERROR(__xludf.DUMMYFUNCTION("if(H645=""Must be Together"",iferror(join("", "",unique(filter({filter('Students (Vertical)'!O:O,'Students (Vertical)'!C:C=B645,'Students (Vertical)'!O:O&lt;&gt;"""");filter('Students (Vertical)'!O:O,'Students (Vertical)'!C:C=E645,'Students (Vertical)'!O:O&lt;&gt;"""&amp;""")},countifs({filter('Students (Vertical)'!O:O,'Students (Vertical)'!C:C=B645,'Students (Vertical)'!O:O&lt;&gt;"""");filter('Students (Vertical)'!O:O,'Students (Vertical)'!C:C=E645,'Students (Vertical)'!O:O&lt;&gt;"""")},{filter('Students (Vertical)'!O:O,'Students ("&amp;"Vertical)'!C:C=B645,'Students (Vertical)'!O:O&lt;&gt;"""");filter('Students (Vertical)'!O:O,'Students (Vertical)'!C:C=E645,'Students (Vertical)'!O:O&lt;&gt;"""")})&gt;1))),""No shared courses""),"""")"),"")</f>
        <v/>
      </c>
      <c r="J645" s="94" t="str">
        <f>IFERROR(__xludf.DUMMYFUNCTION("if(H645=""Can't be Together"",iferror(join("", "",unique(filter({unique(filter('Students (Vertical)'!O:O,'Students (Vertical)'!C:C=B645,'Students (Vertical)'!O:O&lt;&gt;"""",'Students (Vertical)'!P:P&gt;1));unique(filter('Students (Vertical)'!O:O,'Students (Vertic"&amp;"al)'!C:C=E645,'Students (Vertical)'!O:O&lt;&gt;"""",'Students (Vertical)'!P:P&gt;1))},countifs({unique(filter('Students (Vertical)'!O:O,'Students (Vertical)'!C:C=B645,'Students (Vertical)'!O:O&lt;&gt;"""",'Students (Vertical)'!P:P&gt;1));unique(filter('Students (Vertical)'"&amp;"!O:O,'Students (Vertical)'!C:C=E645,'Students (Vertical)'!O:O&lt;&gt;"""",'Students (Vertical)'!P:P&gt;1))},{unique(filter('Students (Vertical)'!O:O,'Students (Vertical)'!C:C=B645,'Students (Vertical)'!O:O&lt;&gt;"""",'Students (Vertical)'!P:P&gt;1));unique(filter('Student"&amp;"s (Vertical)'!O:O,'Students (Vertical)'!C:C=E645,'Students (Vertical)'!O:O&lt;&gt;"""",'Students (Vertical)'!P:P&gt;1))})&gt;1))),""""),"""")"),"")</f>
        <v/>
      </c>
      <c r="K645" s="96" t="str">
        <f>IFERROR(__xludf.DUMMYFUNCTION("iferror(join("", "",unique(filter({filter('Students (Vertical)'!D:D,'Students (Vertical)'!C:C=B645,'Students (Vertical)'!D:D&lt;&gt;"""");filter('Students (Vertical)'!D:D,'Students (Vertical)'!C:C=E645,'Students (Vertical)'!D:D&lt;&gt;"""")},countifs({filter('Student"&amp;"s (Vertical)'!D:D,'Students (Vertical)'!C:C=B645,'Students (Vertical)'!D:D&lt;&gt;"""");filter('Students (Vertical)'!D:D,'Students (Vertical)'!C:C=E645,'Students (Vertical)'!D:D&lt;&gt;"""")},{filter('Students (Vertical)'!D:D,'Students (Vertical)'!C:C=B645,'Students "&amp;"(Vertical)'!D:D&lt;&gt;"""");filter('Students (Vertical)'!D:D,'Students (Vertical)'!C:C=E645,'Students (Vertical)'!D:D&lt;&gt;"""")})&gt;1))),"""")"),"")</f>
        <v/>
      </c>
      <c r="L645" s="96"/>
      <c r="M645" s="96"/>
    </row>
    <row r="646" hidden="1">
      <c r="A646" s="8" t="s">
        <v>8</v>
      </c>
      <c r="C646" s="8" t="s">
        <v>8</v>
      </c>
      <c r="D646" s="8" t="s">
        <v>8</v>
      </c>
      <c r="F646" s="8" t="s">
        <v>8</v>
      </c>
      <c r="G646" s="8" t="s">
        <v>8</v>
      </c>
      <c r="I646" s="94" t="str">
        <f>IFERROR(__xludf.DUMMYFUNCTION("if(H646=""Must be Together"",iferror(join("", "",unique(filter({filter('Students (Vertical)'!O:O,'Students (Vertical)'!C:C=B646,'Students (Vertical)'!O:O&lt;&gt;"""");filter('Students (Vertical)'!O:O,'Students (Vertical)'!C:C=E646,'Students (Vertical)'!O:O&lt;&gt;"""&amp;""")},countifs({filter('Students (Vertical)'!O:O,'Students (Vertical)'!C:C=B646,'Students (Vertical)'!O:O&lt;&gt;"""");filter('Students (Vertical)'!O:O,'Students (Vertical)'!C:C=E646,'Students (Vertical)'!O:O&lt;&gt;"""")},{filter('Students (Vertical)'!O:O,'Students ("&amp;"Vertical)'!C:C=B646,'Students (Vertical)'!O:O&lt;&gt;"""");filter('Students (Vertical)'!O:O,'Students (Vertical)'!C:C=E646,'Students (Vertical)'!O:O&lt;&gt;"""")})&gt;1))),""No shared courses""),"""")"),"")</f>
        <v/>
      </c>
      <c r="J646" s="94" t="str">
        <f>IFERROR(__xludf.DUMMYFUNCTION("if(H646=""Can't be Together"",iferror(join("", "",unique(filter({unique(filter('Students (Vertical)'!O:O,'Students (Vertical)'!C:C=B646,'Students (Vertical)'!O:O&lt;&gt;"""",'Students (Vertical)'!P:P&gt;1));unique(filter('Students (Vertical)'!O:O,'Students (Vertic"&amp;"al)'!C:C=E646,'Students (Vertical)'!O:O&lt;&gt;"""",'Students (Vertical)'!P:P&gt;1))},countifs({unique(filter('Students (Vertical)'!O:O,'Students (Vertical)'!C:C=B646,'Students (Vertical)'!O:O&lt;&gt;"""",'Students (Vertical)'!P:P&gt;1));unique(filter('Students (Vertical)'"&amp;"!O:O,'Students (Vertical)'!C:C=E646,'Students (Vertical)'!O:O&lt;&gt;"""",'Students (Vertical)'!P:P&gt;1))},{unique(filter('Students (Vertical)'!O:O,'Students (Vertical)'!C:C=B646,'Students (Vertical)'!O:O&lt;&gt;"""",'Students (Vertical)'!P:P&gt;1));unique(filter('Student"&amp;"s (Vertical)'!O:O,'Students (Vertical)'!C:C=E646,'Students (Vertical)'!O:O&lt;&gt;"""",'Students (Vertical)'!P:P&gt;1))})&gt;1))),""""),"""")"),"")</f>
        <v/>
      </c>
      <c r="K646" s="96" t="str">
        <f>IFERROR(__xludf.DUMMYFUNCTION("iferror(join("", "",unique(filter({filter('Students (Vertical)'!D:D,'Students (Vertical)'!C:C=B646,'Students (Vertical)'!D:D&lt;&gt;"""");filter('Students (Vertical)'!D:D,'Students (Vertical)'!C:C=E646,'Students (Vertical)'!D:D&lt;&gt;"""")},countifs({filter('Student"&amp;"s (Vertical)'!D:D,'Students (Vertical)'!C:C=B646,'Students (Vertical)'!D:D&lt;&gt;"""");filter('Students (Vertical)'!D:D,'Students (Vertical)'!C:C=E646,'Students (Vertical)'!D:D&lt;&gt;"""")},{filter('Students (Vertical)'!D:D,'Students (Vertical)'!C:C=B646,'Students "&amp;"(Vertical)'!D:D&lt;&gt;"""");filter('Students (Vertical)'!D:D,'Students (Vertical)'!C:C=E646,'Students (Vertical)'!D:D&lt;&gt;"""")})&gt;1))),"""")"),"")</f>
        <v/>
      </c>
      <c r="L646" s="96"/>
      <c r="M646" s="96"/>
    </row>
    <row r="647" hidden="1">
      <c r="A647" s="8" t="s">
        <v>8</v>
      </c>
      <c r="C647" s="8" t="s">
        <v>8</v>
      </c>
      <c r="D647" s="8" t="s">
        <v>8</v>
      </c>
      <c r="F647" s="8" t="s">
        <v>8</v>
      </c>
      <c r="G647" s="8" t="s">
        <v>8</v>
      </c>
      <c r="I647" s="94" t="str">
        <f>IFERROR(__xludf.DUMMYFUNCTION("if(H647=""Must be Together"",iferror(join("", "",unique(filter({filter('Students (Vertical)'!O:O,'Students (Vertical)'!C:C=B647,'Students (Vertical)'!O:O&lt;&gt;"""");filter('Students (Vertical)'!O:O,'Students (Vertical)'!C:C=E647,'Students (Vertical)'!O:O&lt;&gt;"""&amp;""")},countifs({filter('Students (Vertical)'!O:O,'Students (Vertical)'!C:C=B647,'Students (Vertical)'!O:O&lt;&gt;"""");filter('Students (Vertical)'!O:O,'Students (Vertical)'!C:C=E647,'Students (Vertical)'!O:O&lt;&gt;"""")},{filter('Students (Vertical)'!O:O,'Students ("&amp;"Vertical)'!C:C=B647,'Students (Vertical)'!O:O&lt;&gt;"""");filter('Students (Vertical)'!O:O,'Students (Vertical)'!C:C=E647,'Students (Vertical)'!O:O&lt;&gt;"""")})&gt;1))),""No shared courses""),"""")"),"")</f>
        <v/>
      </c>
      <c r="J647" s="94" t="str">
        <f>IFERROR(__xludf.DUMMYFUNCTION("if(H647=""Can't be Together"",iferror(join("", "",unique(filter({unique(filter('Students (Vertical)'!O:O,'Students (Vertical)'!C:C=B647,'Students (Vertical)'!O:O&lt;&gt;"""",'Students (Vertical)'!P:P&gt;1));unique(filter('Students (Vertical)'!O:O,'Students (Vertic"&amp;"al)'!C:C=E647,'Students (Vertical)'!O:O&lt;&gt;"""",'Students (Vertical)'!P:P&gt;1))},countifs({unique(filter('Students (Vertical)'!O:O,'Students (Vertical)'!C:C=B647,'Students (Vertical)'!O:O&lt;&gt;"""",'Students (Vertical)'!P:P&gt;1));unique(filter('Students (Vertical)'"&amp;"!O:O,'Students (Vertical)'!C:C=E647,'Students (Vertical)'!O:O&lt;&gt;"""",'Students (Vertical)'!P:P&gt;1))},{unique(filter('Students (Vertical)'!O:O,'Students (Vertical)'!C:C=B647,'Students (Vertical)'!O:O&lt;&gt;"""",'Students (Vertical)'!P:P&gt;1));unique(filter('Student"&amp;"s (Vertical)'!O:O,'Students (Vertical)'!C:C=E647,'Students (Vertical)'!O:O&lt;&gt;"""",'Students (Vertical)'!P:P&gt;1))})&gt;1))),""""),"""")"),"")</f>
        <v/>
      </c>
      <c r="K647" s="96" t="str">
        <f>IFERROR(__xludf.DUMMYFUNCTION("iferror(join("", "",unique(filter({filter('Students (Vertical)'!D:D,'Students (Vertical)'!C:C=B647,'Students (Vertical)'!D:D&lt;&gt;"""");filter('Students (Vertical)'!D:D,'Students (Vertical)'!C:C=E647,'Students (Vertical)'!D:D&lt;&gt;"""")},countifs({filter('Student"&amp;"s (Vertical)'!D:D,'Students (Vertical)'!C:C=B647,'Students (Vertical)'!D:D&lt;&gt;"""");filter('Students (Vertical)'!D:D,'Students (Vertical)'!C:C=E647,'Students (Vertical)'!D:D&lt;&gt;"""")},{filter('Students (Vertical)'!D:D,'Students (Vertical)'!C:C=B647,'Students "&amp;"(Vertical)'!D:D&lt;&gt;"""");filter('Students (Vertical)'!D:D,'Students (Vertical)'!C:C=E647,'Students (Vertical)'!D:D&lt;&gt;"""")})&gt;1))),"""")"),"")</f>
        <v/>
      </c>
      <c r="L647" s="96"/>
      <c r="M647" s="96"/>
    </row>
    <row r="648" hidden="1">
      <c r="A648" s="8" t="s">
        <v>8</v>
      </c>
      <c r="C648" s="8" t="s">
        <v>8</v>
      </c>
      <c r="D648" s="8" t="s">
        <v>8</v>
      </c>
      <c r="F648" s="8" t="s">
        <v>8</v>
      </c>
      <c r="G648" s="8" t="s">
        <v>8</v>
      </c>
      <c r="I648" s="94" t="str">
        <f>IFERROR(__xludf.DUMMYFUNCTION("if(H648=""Must be Together"",iferror(join("", "",unique(filter({filter('Students (Vertical)'!O:O,'Students (Vertical)'!C:C=B648,'Students (Vertical)'!O:O&lt;&gt;"""");filter('Students (Vertical)'!O:O,'Students (Vertical)'!C:C=E648,'Students (Vertical)'!O:O&lt;&gt;"""&amp;""")},countifs({filter('Students (Vertical)'!O:O,'Students (Vertical)'!C:C=B648,'Students (Vertical)'!O:O&lt;&gt;"""");filter('Students (Vertical)'!O:O,'Students (Vertical)'!C:C=E648,'Students (Vertical)'!O:O&lt;&gt;"""")},{filter('Students (Vertical)'!O:O,'Students ("&amp;"Vertical)'!C:C=B648,'Students (Vertical)'!O:O&lt;&gt;"""");filter('Students (Vertical)'!O:O,'Students (Vertical)'!C:C=E648,'Students (Vertical)'!O:O&lt;&gt;"""")})&gt;1))),""No shared courses""),"""")"),"")</f>
        <v/>
      </c>
      <c r="J648" s="94" t="str">
        <f>IFERROR(__xludf.DUMMYFUNCTION("if(H648=""Can't be Together"",iferror(join("", "",unique(filter({unique(filter('Students (Vertical)'!O:O,'Students (Vertical)'!C:C=B648,'Students (Vertical)'!O:O&lt;&gt;"""",'Students (Vertical)'!P:P&gt;1));unique(filter('Students (Vertical)'!O:O,'Students (Vertic"&amp;"al)'!C:C=E648,'Students (Vertical)'!O:O&lt;&gt;"""",'Students (Vertical)'!P:P&gt;1))},countifs({unique(filter('Students (Vertical)'!O:O,'Students (Vertical)'!C:C=B648,'Students (Vertical)'!O:O&lt;&gt;"""",'Students (Vertical)'!P:P&gt;1));unique(filter('Students (Vertical)'"&amp;"!O:O,'Students (Vertical)'!C:C=E648,'Students (Vertical)'!O:O&lt;&gt;"""",'Students (Vertical)'!P:P&gt;1))},{unique(filter('Students (Vertical)'!O:O,'Students (Vertical)'!C:C=B648,'Students (Vertical)'!O:O&lt;&gt;"""",'Students (Vertical)'!P:P&gt;1));unique(filter('Student"&amp;"s (Vertical)'!O:O,'Students (Vertical)'!C:C=E648,'Students (Vertical)'!O:O&lt;&gt;"""",'Students (Vertical)'!P:P&gt;1))})&gt;1))),""""),"""")"),"")</f>
        <v/>
      </c>
      <c r="K648" s="96" t="str">
        <f>IFERROR(__xludf.DUMMYFUNCTION("iferror(join("", "",unique(filter({filter('Students (Vertical)'!D:D,'Students (Vertical)'!C:C=B648,'Students (Vertical)'!D:D&lt;&gt;"""");filter('Students (Vertical)'!D:D,'Students (Vertical)'!C:C=E648,'Students (Vertical)'!D:D&lt;&gt;"""")},countifs({filter('Student"&amp;"s (Vertical)'!D:D,'Students (Vertical)'!C:C=B648,'Students (Vertical)'!D:D&lt;&gt;"""");filter('Students (Vertical)'!D:D,'Students (Vertical)'!C:C=E648,'Students (Vertical)'!D:D&lt;&gt;"""")},{filter('Students (Vertical)'!D:D,'Students (Vertical)'!C:C=B648,'Students "&amp;"(Vertical)'!D:D&lt;&gt;"""");filter('Students (Vertical)'!D:D,'Students (Vertical)'!C:C=E648,'Students (Vertical)'!D:D&lt;&gt;"""")})&gt;1))),"""")"),"")</f>
        <v/>
      </c>
      <c r="L648" s="96"/>
      <c r="M648" s="96"/>
    </row>
    <row r="649" hidden="1">
      <c r="A649" s="8" t="s">
        <v>8</v>
      </c>
      <c r="C649" s="8" t="s">
        <v>8</v>
      </c>
      <c r="D649" s="8" t="s">
        <v>8</v>
      </c>
      <c r="F649" s="8" t="s">
        <v>8</v>
      </c>
      <c r="G649" s="8" t="s">
        <v>8</v>
      </c>
      <c r="I649" s="94" t="str">
        <f>IFERROR(__xludf.DUMMYFUNCTION("if(H649=""Must be Together"",iferror(join("", "",unique(filter({filter('Students (Vertical)'!O:O,'Students (Vertical)'!C:C=B649,'Students (Vertical)'!O:O&lt;&gt;"""");filter('Students (Vertical)'!O:O,'Students (Vertical)'!C:C=E649,'Students (Vertical)'!O:O&lt;&gt;"""&amp;""")},countifs({filter('Students (Vertical)'!O:O,'Students (Vertical)'!C:C=B649,'Students (Vertical)'!O:O&lt;&gt;"""");filter('Students (Vertical)'!O:O,'Students (Vertical)'!C:C=E649,'Students (Vertical)'!O:O&lt;&gt;"""")},{filter('Students (Vertical)'!O:O,'Students ("&amp;"Vertical)'!C:C=B649,'Students (Vertical)'!O:O&lt;&gt;"""");filter('Students (Vertical)'!O:O,'Students (Vertical)'!C:C=E649,'Students (Vertical)'!O:O&lt;&gt;"""")})&gt;1))),""No shared courses""),"""")"),"")</f>
        <v/>
      </c>
      <c r="J649" s="94" t="str">
        <f>IFERROR(__xludf.DUMMYFUNCTION("if(H649=""Can't be Together"",iferror(join("", "",unique(filter({unique(filter('Students (Vertical)'!O:O,'Students (Vertical)'!C:C=B649,'Students (Vertical)'!O:O&lt;&gt;"""",'Students (Vertical)'!P:P&gt;1));unique(filter('Students (Vertical)'!O:O,'Students (Vertic"&amp;"al)'!C:C=E649,'Students (Vertical)'!O:O&lt;&gt;"""",'Students (Vertical)'!P:P&gt;1))},countifs({unique(filter('Students (Vertical)'!O:O,'Students (Vertical)'!C:C=B649,'Students (Vertical)'!O:O&lt;&gt;"""",'Students (Vertical)'!P:P&gt;1));unique(filter('Students (Vertical)'"&amp;"!O:O,'Students (Vertical)'!C:C=E649,'Students (Vertical)'!O:O&lt;&gt;"""",'Students (Vertical)'!P:P&gt;1))},{unique(filter('Students (Vertical)'!O:O,'Students (Vertical)'!C:C=B649,'Students (Vertical)'!O:O&lt;&gt;"""",'Students (Vertical)'!P:P&gt;1));unique(filter('Student"&amp;"s (Vertical)'!O:O,'Students (Vertical)'!C:C=E649,'Students (Vertical)'!O:O&lt;&gt;"""",'Students (Vertical)'!P:P&gt;1))})&gt;1))),""""),"""")"),"")</f>
        <v/>
      </c>
      <c r="K649" s="96" t="str">
        <f>IFERROR(__xludf.DUMMYFUNCTION("iferror(join("", "",unique(filter({filter('Students (Vertical)'!D:D,'Students (Vertical)'!C:C=B649,'Students (Vertical)'!D:D&lt;&gt;"""");filter('Students (Vertical)'!D:D,'Students (Vertical)'!C:C=E649,'Students (Vertical)'!D:D&lt;&gt;"""")},countifs({filter('Student"&amp;"s (Vertical)'!D:D,'Students (Vertical)'!C:C=B649,'Students (Vertical)'!D:D&lt;&gt;"""");filter('Students (Vertical)'!D:D,'Students (Vertical)'!C:C=E649,'Students (Vertical)'!D:D&lt;&gt;"""")},{filter('Students (Vertical)'!D:D,'Students (Vertical)'!C:C=B649,'Students "&amp;"(Vertical)'!D:D&lt;&gt;"""");filter('Students (Vertical)'!D:D,'Students (Vertical)'!C:C=E649,'Students (Vertical)'!D:D&lt;&gt;"""")})&gt;1))),"""")"),"")</f>
        <v/>
      </c>
      <c r="L649" s="96"/>
      <c r="M649" s="96"/>
    </row>
    <row r="650" hidden="1">
      <c r="A650" s="8" t="s">
        <v>8</v>
      </c>
      <c r="C650" s="8" t="s">
        <v>8</v>
      </c>
      <c r="D650" s="8" t="s">
        <v>8</v>
      </c>
      <c r="F650" s="8" t="s">
        <v>8</v>
      </c>
      <c r="G650" s="8" t="s">
        <v>8</v>
      </c>
      <c r="I650" s="94" t="str">
        <f>IFERROR(__xludf.DUMMYFUNCTION("if(H650=""Must be Together"",iferror(join("", "",unique(filter({filter('Students (Vertical)'!O:O,'Students (Vertical)'!C:C=B650,'Students (Vertical)'!O:O&lt;&gt;"""");filter('Students (Vertical)'!O:O,'Students (Vertical)'!C:C=E650,'Students (Vertical)'!O:O&lt;&gt;"""&amp;""")},countifs({filter('Students (Vertical)'!O:O,'Students (Vertical)'!C:C=B650,'Students (Vertical)'!O:O&lt;&gt;"""");filter('Students (Vertical)'!O:O,'Students (Vertical)'!C:C=E650,'Students (Vertical)'!O:O&lt;&gt;"""")},{filter('Students (Vertical)'!O:O,'Students ("&amp;"Vertical)'!C:C=B650,'Students (Vertical)'!O:O&lt;&gt;"""");filter('Students (Vertical)'!O:O,'Students (Vertical)'!C:C=E650,'Students (Vertical)'!O:O&lt;&gt;"""")})&gt;1))),""No shared courses""),"""")"),"")</f>
        <v/>
      </c>
      <c r="J650" s="94" t="str">
        <f>IFERROR(__xludf.DUMMYFUNCTION("if(H650=""Can't be Together"",iferror(join("", "",unique(filter({unique(filter('Students (Vertical)'!O:O,'Students (Vertical)'!C:C=B650,'Students (Vertical)'!O:O&lt;&gt;"""",'Students (Vertical)'!P:P&gt;1));unique(filter('Students (Vertical)'!O:O,'Students (Vertic"&amp;"al)'!C:C=E650,'Students (Vertical)'!O:O&lt;&gt;"""",'Students (Vertical)'!P:P&gt;1))},countifs({unique(filter('Students (Vertical)'!O:O,'Students (Vertical)'!C:C=B650,'Students (Vertical)'!O:O&lt;&gt;"""",'Students (Vertical)'!P:P&gt;1));unique(filter('Students (Vertical)'"&amp;"!O:O,'Students (Vertical)'!C:C=E650,'Students (Vertical)'!O:O&lt;&gt;"""",'Students (Vertical)'!P:P&gt;1))},{unique(filter('Students (Vertical)'!O:O,'Students (Vertical)'!C:C=B650,'Students (Vertical)'!O:O&lt;&gt;"""",'Students (Vertical)'!P:P&gt;1));unique(filter('Student"&amp;"s (Vertical)'!O:O,'Students (Vertical)'!C:C=E650,'Students (Vertical)'!O:O&lt;&gt;"""",'Students (Vertical)'!P:P&gt;1))})&gt;1))),""""),"""")"),"")</f>
        <v/>
      </c>
      <c r="K650" s="96" t="str">
        <f>IFERROR(__xludf.DUMMYFUNCTION("iferror(join("", "",unique(filter({filter('Students (Vertical)'!D:D,'Students (Vertical)'!C:C=B650,'Students (Vertical)'!D:D&lt;&gt;"""");filter('Students (Vertical)'!D:D,'Students (Vertical)'!C:C=E650,'Students (Vertical)'!D:D&lt;&gt;"""")},countifs({filter('Student"&amp;"s (Vertical)'!D:D,'Students (Vertical)'!C:C=B650,'Students (Vertical)'!D:D&lt;&gt;"""");filter('Students (Vertical)'!D:D,'Students (Vertical)'!C:C=E650,'Students (Vertical)'!D:D&lt;&gt;"""")},{filter('Students (Vertical)'!D:D,'Students (Vertical)'!C:C=B650,'Students "&amp;"(Vertical)'!D:D&lt;&gt;"""");filter('Students (Vertical)'!D:D,'Students (Vertical)'!C:C=E650,'Students (Vertical)'!D:D&lt;&gt;"""")})&gt;1))),"""")"),"")</f>
        <v/>
      </c>
      <c r="L650" s="96"/>
      <c r="M650" s="96"/>
    </row>
    <row r="651" hidden="1">
      <c r="A651" s="8" t="s">
        <v>8</v>
      </c>
      <c r="C651" s="8" t="s">
        <v>8</v>
      </c>
      <c r="D651" s="8" t="s">
        <v>8</v>
      </c>
      <c r="F651" s="8" t="s">
        <v>8</v>
      </c>
      <c r="G651" s="8" t="s">
        <v>8</v>
      </c>
      <c r="I651" s="94" t="str">
        <f>IFERROR(__xludf.DUMMYFUNCTION("if(H651=""Must be Together"",iferror(join("", "",unique(filter({filter('Students (Vertical)'!O:O,'Students (Vertical)'!C:C=B651,'Students (Vertical)'!O:O&lt;&gt;"""");filter('Students (Vertical)'!O:O,'Students (Vertical)'!C:C=E651,'Students (Vertical)'!O:O&lt;&gt;"""&amp;""")},countifs({filter('Students (Vertical)'!O:O,'Students (Vertical)'!C:C=B651,'Students (Vertical)'!O:O&lt;&gt;"""");filter('Students (Vertical)'!O:O,'Students (Vertical)'!C:C=E651,'Students (Vertical)'!O:O&lt;&gt;"""")},{filter('Students (Vertical)'!O:O,'Students ("&amp;"Vertical)'!C:C=B651,'Students (Vertical)'!O:O&lt;&gt;"""");filter('Students (Vertical)'!O:O,'Students (Vertical)'!C:C=E651,'Students (Vertical)'!O:O&lt;&gt;"""")})&gt;1))),""No shared courses""),"""")"),"")</f>
        <v/>
      </c>
      <c r="J651" s="94" t="str">
        <f>IFERROR(__xludf.DUMMYFUNCTION("if(H651=""Can't be Together"",iferror(join("", "",unique(filter({unique(filter('Students (Vertical)'!O:O,'Students (Vertical)'!C:C=B651,'Students (Vertical)'!O:O&lt;&gt;"""",'Students (Vertical)'!P:P&gt;1));unique(filter('Students (Vertical)'!O:O,'Students (Vertic"&amp;"al)'!C:C=E651,'Students (Vertical)'!O:O&lt;&gt;"""",'Students (Vertical)'!P:P&gt;1))},countifs({unique(filter('Students (Vertical)'!O:O,'Students (Vertical)'!C:C=B651,'Students (Vertical)'!O:O&lt;&gt;"""",'Students (Vertical)'!P:P&gt;1));unique(filter('Students (Vertical)'"&amp;"!O:O,'Students (Vertical)'!C:C=E651,'Students (Vertical)'!O:O&lt;&gt;"""",'Students (Vertical)'!P:P&gt;1))},{unique(filter('Students (Vertical)'!O:O,'Students (Vertical)'!C:C=B651,'Students (Vertical)'!O:O&lt;&gt;"""",'Students (Vertical)'!P:P&gt;1));unique(filter('Student"&amp;"s (Vertical)'!O:O,'Students (Vertical)'!C:C=E651,'Students (Vertical)'!O:O&lt;&gt;"""",'Students (Vertical)'!P:P&gt;1))})&gt;1))),""""),"""")"),"")</f>
        <v/>
      </c>
      <c r="K651" s="96" t="str">
        <f>IFERROR(__xludf.DUMMYFUNCTION("iferror(join("", "",unique(filter({filter('Students (Vertical)'!D:D,'Students (Vertical)'!C:C=B651,'Students (Vertical)'!D:D&lt;&gt;"""");filter('Students (Vertical)'!D:D,'Students (Vertical)'!C:C=E651,'Students (Vertical)'!D:D&lt;&gt;"""")},countifs({filter('Student"&amp;"s (Vertical)'!D:D,'Students (Vertical)'!C:C=B651,'Students (Vertical)'!D:D&lt;&gt;"""");filter('Students (Vertical)'!D:D,'Students (Vertical)'!C:C=E651,'Students (Vertical)'!D:D&lt;&gt;"""")},{filter('Students (Vertical)'!D:D,'Students (Vertical)'!C:C=B651,'Students "&amp;"(Vertical)'!D:D&lt;&gt;"""");filter('Students (Vertical)'!D:D,'Students (Vertical)'!C:C=E651,'Students (Vertical)'!D:D&lt;&gt;"""")})&gt;1))),"""")"),"")</f>
        <v/>
      </c>
      <c r="L651" s="96"/>
      <c r="M651" s="96"/>
    </row>
    <row r="652" hidden="1">
      <c r="A652" s="8" t="s">
        <v>8</v>
      </c>
      <c r="C652" s="8" t="s">
        <v>8</v>
      </c>
      <c r="D652" s="8" t="s">
        <v>8</v>
      </c>
      <c r="F652" s="8" t="s">
        <v>8</v>
      </c>
      <c r="G652" s="8" t="s">
        <v>8</v>
      </c>
      <c r="I652" s="94" t="str">
        <f>IFERROR(__xludf.DUMMYFUNCTION("if(H652=""Must be Together"",iferror(join("", "",unique(filter({filter('Students (Vertical)'!O:O,'Students (Vertical)'!C:C=B652,'Students (Vertical)'!O:O&lt;&gt;"""");filter('Students (Vertical)'!O:O,'Students (Vertical)'!C:C=E652,'Students (Vertical)'!O:O&lt;&gt;"""&amp;""")},countifs({filter('Students (Vertical)'!O:O,'Students (Vertical)'!C:C=B652,'Students (Vertical)'!O:O&lt;&gt;"""");filter('Students (Vertical)'!O:O,'Students (Vertical)'!C:C=E652,'Students (Vertical)'!O:O&lt;&gt;"""")},{filter('Students (Vertical)'!O:O,'Students ("&amp;"Vertical)'!C:C=B652,'Students (Vertical)'!O:O&lt;&gt;"""");filter('Students (Vertical)'!O:O,'Students (Vertical)'!C:C=E652,'Students (Vertical)'!O:O&lt;&gt;"""")})&gt;1))),""No shared courses""),"""")"),"")</f>
        <v/>
      </c>
      <c r="J652" s="94" t="str">
        <f>IFERROR(__xludf.DUMMYFUNCTION("if(H652=""Can't be Together"",iferror(join("", "",unique(filter({unique(filter('Students (Vertical)'!O:O,'Students (Vertical)'!C:C=B652,'Students (Vertical)'!O:O&lt;&gt;"""",'Students (Vertical)'!P:P&gt;1));unique(filter('Students (Vertical)'!O:O,'Students (Vertic"&amp;"al)'!C:C=E652,'Students (Vertical)'!O:O&lt;&gt;"""",'Students (Vertical)'!P:P&gt;1))},countifs({unique(filter('Students (Vertical)'!O:O,'Students (Vertical)'!C:C=B652,'Students (Vertical)'!O:O&lt;&gt;"""",'Students (Vertical)'!P:P&gt;1));unique(filter('Students (Vertical)'"&amp;"!O:O,'Students (Vertical)'!C:C=E652,'Students (Vertical)'!O:O&lt;&gt;"""",'Students (Vertical)'!P:P&gt;1))},{unique(filter('Students (Vertical)'!O:O,'Students (Vertical)'!C:C=B652,'Students (Vertical)'!O:O&lt;&gt;"""",'Students (Vertical)'!P:P&gt;1));unique(filter('Student"&amp;"s (Vertical)'!O:O,'Students (Vertical)'!C:C=E652,'Students (Vertical)'!O:O&lt;&gt;"""",'Students (Vertical)'!P:P&gt;1))})&gt;1))),""""),"""")"),"")</f>
        <v/>
      </c>
      <c r="K652" s="96" t="str">
        <f>IFERROR(__xludf.DUMMYFUNCTION("iferror(join("", "",unique(filter({filter('Students (Vertical)'!D:D,'Students (Vertical)'!C:C=B652,'Students (Vertical)'!D:D&lt;&gt;"""");filter('Students (Vertical)'!D:D,'Students (Vertical)'!C:C=E652,'Students (Vertical)'!D:D&lt;&gt;"""")},countifs({filter('Student"&amp;"s (Vertical)'!D:D,'Students (Vertical)'!C:C=B652,'Students (Vertical)'!D:D&lt;&gt;"""");filter('Students (Vertical)'!D:D,'Students (Vertical)'!C:C=E652,'Students (Vertical)'!D:D&lt;&gt;"""")},{filter('Students (Vertical)'!D:D,'Students (Vertical)'!C:C=B652,'Students "&amp;"(Vertical)'!D:D&lt;&gt;"""");filter('Students (Vertical)'!D:D,'Students (Vertical)'!C:C=E652,'Students (Vertical)'!D:D&lt;&gt;"""")})&gt;1))),"""")"),"")</f>
        <v/>
      </c>
      <c r="L652" s="96"/>
      <c r="M652" s="96"/>
    </row>
    <row r="653" hidden="1">
      <c r="A653" s="8" t="s">
        <v>8</v>
      </c>
      <c r="C653" s="8" t="s">
        <v>8</v>
      </c>
      <c r="D653" s="8" t="s">
        <v>8</v>
      </c>
      <c r="F653" s="8" t="s">
        <v>8</v>
      </c>
      <c r="G653" s="8" t="s">
        <v>8</v>
      </c>
      <c r="I653" s="94" t="str">
        <f>IFERROR(__xludf.DUMMYFUNCTION("if(H653=""Must be Together"",iferror(join("", "",unique(filter({filter('Students (Vertical)'!O:O,'Students (Vertical)'!C:C=B653,'Students (Vertical)'!O:O&lt;&gt;"""");filter('Students (Vertical)'!O:O,'Students (Vertical)'!C:C=E653,'Students (Vertical)'!O:O&lt;&gt;"""&amp;""")},countifs({filter('Students (Vertical)'!O:O,'Students (Vertical)'!C:C=B653,'Students (Vertical)'!O:O&lt;&gt;"""");filter('Students (Vertical)'!O:O,'Students (Vertical)'!C:C=E653,'Students (Vertical)'!O:O&lt;&gt;"""")},{filter('Students (Vertical)'!O:O,'Students ("&amp;"Vertical)'!C:C=B653,'Students (Vertical)'!O:O&lt;&gt;"""");filter('Students (Vertical)'!O:O,'Students (Vertical)'!C:C=E653,'Students (Vertical)'!O:O&lt;&gt;"""")})&gt;1))),""No shared courses""),"""")"),"")</f>
        <v/>
      </c>
      <c r="J653" s="94" t="str">
        <f>IFERROR(__xludf.DUMMYFUNCTION("if(H653=""Can't be Together"",iferror(join("", "",unique(filter({unique(filter('Students (Vertical)'!O:O,'Students (Vertical)'!C:C=B653,'Students (Vertical)'!O:O&lt;&gt;"""",'Students (Vertical)'!P:P&gt;1));unique(filter('Students (Vertical)'!O:O,'Students (Vertic"&amp;"al)'!C:C=E653,'Students (Vertical)'!O:O&lt;&gt;"""",'Students (Vertical)'!P:P&gt;1))},countifs({unique(filter('Students (Vertical)'!O:O,'Students (Vertical)'!C:C=B653,'Students (Vertical)'!O:O&lt;&gt;"""",'Students (Vertical)'!P:P&gt;1));unique(filter('Students (Vertical)'"&amp;"!O:O,'Students (Vertical)'!C:C=E653,'Students (Vertical)'!O:O&lt;&gt;"""",'Students (Vertical)'!P:P&gt;1))},{unique(filter('Students (Vertical)'!O:O,'Students (Vertical)'!C:C=B653,'Students (Vertical)'!O:O&lt;&gt;"""",'Students (Vertical)'!P:P&gt;1));unique(filter('Student"&amp;"s (Vertical)'!O:O,'Students (Vertical)'!C:C=E653,'Students (Vertical)'!O:O&lt;&gt;"""",'Students (Vertical)'!P:P&gt;1))})&gt;1))),""""),"""")"),"")</f>
        <v/>
      </c>
      <c r="K653" s="96" t="str">
        <f>IFERROR(__xludf.DUMMYFUNCTION("iferror(join("", "",unique(filter({filter('Students (Vertical)'!D:D,'Students (Vertical)'!C:C=B653,'Students (Vertical)'!D:D&lt;&gt;"""");filter('Students (Vertical)'!D:D,'Students (Vertical)'!C:C=E653,'Students (Vertical)'!D:D&lt;&gt;"""")},countifs({filter('Student"&amp;"s (Vertical)'!D:D,'Students (Vertical)'!C:C=B653,'Students (Vertical)'!D:D&lt;&gt;"""");filter('Students (Vertical)'!D:D,'Students (Vertical)'!C:C=E653,'Students (Vertical)'!D:D&lt;&gt;"""")},{filter('Students (Vertical)'!D:D,'Students (Vertical)'!C:C=B653,'Students "&amp;"(Vertical)'!D:D&lt;&gt;"""");filter('Students (Vertical)'!D:D,'Students (Vertical)'!C:C=E653,'Students (Vertical)'!D:D&lt;&gt;"""")})&gt;1))),"""")"),"")</f>
        <v/>
      </c>
      <c r="L653" s="96"/>
      <c r="M653" s="96"/>
    </row>
    <row r="654" hidden="1">
      <c r="A654" s="8" t="s">
        <v>8</v>
      </c>
      <c r="C654" s="8" t="s">
        <v>8</v>
      </c>
      <c r="D654" s="8" t="s">
        <v>8</v>
      </c>
      <c r="F654" s="8" t="s">
        <v>8</v>
      </c>
      <c r="G654" s="8" t="s">
        <v>8</v>
      </c>
      <c r="I654" s="94" t="str">
        <f>IFERROR(__xludf.DUMMYFUNCTION("if(H654=""Must be Together"",iferror(join("", "",unique(filter({filter('Students (Vertical)'!O:O,'Students (Vertical)'!C:C=B654,'Students (Vertical)'!O:O&lt;&gt;"""");filter('Students (Vertical)'!O:O,'Students (Vertical)'!C:C=E654,'Students (Vertical)'!O:O&lt;&gt;"""&amp;""")},countifs({filter('Students (Vertical)'!O:O,'Students (Vertical)'!C:C=B654,'Students (Vertical)'!O:O&lt;&gt;"""");filter('Students (Vertical)'!O:O,'Students (Vertical)'!C:C=E654,'Students (Vertical)'!O:O&lt;&gt;"""")},{filter('Students (Vertical)'!O:O,'Students ("&amp;"Vertical)'!C:C=B654,'Students (Vertical)'!O:O&lt;&gt;"""");filter('Students (Vertical)'!O:O,'Students (Vertical)'!C:C=E654,'Students (Vertical)'!O:O&lt;&gt;"""")})&gt;1))),""No shared courses""),"""")"),"")</f>
        <v/>
      </c>
      <c r="J654" s="94" t="str">
        <f>IFERROR(__xludf.DUMMYFUNCTION("if(H654=""Can't be Together"",iferror(join("", "",unique(filter({unique(filter('Students (Vertical)'!O:O,'Students (Vertical)'!C:C=B654,'Students (Vertical)'!O:O&lt;&gt;"""",'Students (Vertical)'!P:P&gt;1));unique(filter('Students (Vertical)'!O:O,'Students (Vertic"&amp;"al)'!C:C=E654,'Students (Vertical)'!O:O&lt;&gt;"""",'Students (Vertical)'!P:P&gt;1))},countifs({unique(filter('Students (Vertical)'!O:O,'Students (Vertical)'!C:C=B654,'Students (Vertical)'!O:O&lt;&gt;"""",'Students (Vertical)'!P:P&gt;1));unique(filter('Students (Vertical)'"&amp;"!O:O,'Students (Vertical)'!C:C=E654,'Students (Vertical)'!O:O&lt;&gt;"""",'Students (Vertical)'!P:P&gt;1))},{unique(filter('Students (Vertical)'!O:O,'Students (Vertical)'!C:C=B654,'Students (Vertical)'!O:O&lt;&gt;"""",'Students (Vertical)'!P:P&gt;1));unique(filter('Student"&amp;"s (Vertical)'!O:O,'Students (Vertical)'!C:C=E654,'Students (Vertical)'!O:O&lt;&gt;"""",'Students (Vertical)'!P:P&gt;1))})&gt;1))),""""),"""")"),"")</f>
        <v/>
      </c>
      <c r="K654" s="96" t="str">
        <f>IFERROR(__xludf.DUMMYFUNCTION("iferror(join("", "",unique(filter({filter('Students (Vertical)'!D:D,'Students (Vertical)'!C:C=B654,'Students (Vertical)'!D:D&lt;&gt;"""");filter('Students (Vertical)'!D:D,'Students (Vertical)'!C:C=E654,'Students (Vertical)'!D:D&lt;&gt;"""")},countifs({filter('Student"&amp;"s (Vertical)'!D:D,'Students (Vertical)'!C:C=B654,'Students (Vertical)'!D:D&lt;&gt;"""");filter('Students (Vertical)'!D:D,'Students (Vertical)'!C:C=E654,'Students (Vertical)'!D:D&lt;&gt;"""")},{filter('Students (Vertical)'!D:D,'Students (Vertical)'!C:C=B654,'Students "&amp;"(Vertical)'!D:D&lt;&gt;"""");filter('Students (Vertical)'!D:D,'Students (Vertical)'!C:C=E654,'Students (Vertical)'!D:D&lt;&gt;"""")})&gt;1))),"""")"),"")</f>
        <v/>
      </c>
      <c r="L654" s="96"/>
      <c r="M654" s="96"/>
    </row>
    <row r="655" hidden="1">
      <c r="A655" s="8" t="s">
        <v>8</v>
      </c>
      <c r="C655" s="8" t="s">
        <v>8</v>
      </c>
      <c r="D655" s="8" t="s">
        <v>8</v>
      </c>
      <c r="F655" s="8" t="s">
        <v>8</v>
      </c>
      <c r="G655" s="8" t="s">
        <v>8</v>
      </c>
      <c r="I655" s="94" t="str">
        <f>IFERROR(__xludf.DUMMYFUNCTION("if(H655=""Must be Together"",iferror(join("", "",unique(filter({filter('Students (Vertical)'!O:O,'Students (Vertical)'!C:C=B655,'Students (Vertical)'!O:O&lt;&gt;"""");filter('Students (Vertical)'!O:O,'Students (Vertical)'!C:C=E655,'Students (Vertical)'!O:O&lt;&gt;"""&amp;""")},countifs({filter('Students (Vertical)'!O:O,'Students (Vertical)'!C:C=B655,'Students (Vertical)'!O:O&lt;&gt;"""");filter('Students (Vertical)'!O:O,'Students (Vertical)'!C:C=E655,'Students (Vertical)'!O:O&lt;&gt;"""")},{filter('Students (Vertical)'!O:O,'Students ("&amp;"Vertical)'!C:C=B655,'Students (Vertical)'!O:O&lt;&gt;"""");filter('Students (Vertical)'!O:O,'Students (Vertical)'!C:C=E655,'Students (Vertical)'!O:O&lt;&gt;"""")})&gt;1))),""No shared courses""),"""")"),"")</f>
        <v/>
      </c>
      <c r="J655" s="94" t="str">
        <f>IFERROR(__xludf.DUMMYFUNCTION("if(H655=""Can't be Together"",iferror(join("", "",unique(filter({unique(filter('Students (Vertical)'!O:O,'Students (Vertical)'!C:C=B655,'Students (Vertical)'!O:O&lt;&gt;"""",'Students (Vertical)'!P:P&gt;1));unique(filter('Students (Vertical)'!O:O,'Students (Vertic"&amp;"al)'!C:C=E655,'Students (Vertical)'!O:O&lt;&gt;"""",'Students (Vertical)'!P:P&gt;1))},countifs({unique(filter('Students (Vertical)'!O:O,'Students (Vertical)'!C:C=B655,'Students (Vertical)'!O:O&lt;&gt;"""",'Students (Vertical)'!P:P&gt;1));unique(filter('Students (Vertical)'"&amp;"!O:O,'Students (Vertical)'!C:C=E655,'Students (Vertical)'!O:O&lt;&gt;"""",'Students (Vertical)'!P:P&gt;1))},{unique(filter('Students (Vertical)'!O:O,'Students (Vertical)'!C:C=B655,'Students (Vertical)'!O:O&lt;&gt;"""",'Students (Vertical)'!P:P&gt;1));unique(filter('Student"&amp;"s (Vertical)'!O:O,'Students (Vertical)'!C:C=E655,'Students (Vertical)'!O:O&lt;&gt;"""",'Students (Vertical)'!P:P&gt;1))})&gt;1))),""""),"""")"),"")</f>
        <v/>
      </c>
      <c r="K655" s="96" t="str">
        <f>IFERROR(__xludf.DUMMYFUNCTION("iferror(join("", "",unique(filter({filter('Students (Vertical)'!D:D,'Students (Vertical)'!C:C=B655,'Students (Vertical)'!D:D&lt;&gt;"""");filter('Students (Vertical)'!D:D,'Students (Vertical)'!C:C=E655,'Students (Vertical)'!D:D&lt;&gt;"""")},countifs({filter('Student"&amp;"s (Vertical)'!D:D,'Students (Vertical)'!C:C=B655,'Students (Vertical)'!D:D&lt;&gt;"""");filter('Students (Vertical)'!D:D,'Students (Vertical)'!C:C=E655,'Students (Vertical)'!D:D&lt;&gt;"""")},{filter('Students (Vertical)'!D:D,'Students (Vertical)'!C:C=B655,'Students "&amp;"(Vertical)'!D:D&lt;&gt;"""");filter('Students (Vertical)'!D:D,'Students (Vertical)'!C:C=E655,'Students (Vertical)'!D:D&lt;&gt;"""")})&gt;1))),"""")"),"")</f>
        <v/>
      </c>
      <c r="L655" s="96"/>
      <c r="M655" s="96"/>
    </row>
    <row r="656" hidden="1">
      <c r="A656" s="8" t="s">
        <v>8</v>
      </c>
      <c r="C656" s="8" t="s">
        <v>8</v>
      </c>
      <c r="D656" s="8" t="s">
        <v>8</v>
      </c>
      <c r="F656" s="8" t="s">
        <v>8</v>
      </c>
      <c r="G656" s="8" t="s">
        <v>8</v>
      </c>
      <c r="I656" s="94" t="str">
        <f>IFERROR(__xludf.DUMMYFUNCTION("if(H656=""Must be Together"",iferror(join("", "",unique(filter({filter('Students (Vertical)'!O:O,'Students (Vertical)'!C:C=B656,'Students (Vertical)'!O:O&lt;&gt;"""");filter('Students (Vertical)'!O:O,'Students (Vertical)'!C:C=E656,'Students (Vertical)'!O:O&lt;&gt;"""&amp;""")},countifs({filter('Students (Vertical)'!O:O,'Students (Vertical)'!C:C=B656,'Students (Vertical)'!O:O&lt;&gt;"""");filter('Students (Vertical)'!O:O,'Students (Vertical)'!C:C=E656,'Students (Vertical)'!O:O&lt;&gt;"""")},{filter('Students (Vertical)'!O:O,'Students ("&amp;"Vertical)'!C:C=B656,'Students (Vertical)'!O:O&lt;&gt;"""");filter('Students (Vertical)'!O:O,'Students (Vertical)'!C:C=E656,'Students (Vertical)'!O:O&lt;&gt;"""")})&gt;1))),""No shared courses""),"""")"),"")</f>
        <v/>
      </c>
      <c r="J656" s="94" t="str">
        <f>IFERROR(__xludf.DUMMYFUNCTION("if(H656=""Can't be Together"",iferror(join("", "",unique(filter({unique(filter('Students (Vertical)'!O:O,'Students (Vertical)'!C:C=B656,'Students (Vertical)'!O:O&lt;&gt;"""",'Students (Vertical)'!P:P&gt;1));unique(filter('Students (Vertical)'!O:O,'Students (Vertic"&amp;"al)'!C:C=E656,'Students (Vertical)'!O:O&lt;&gt;"""",'Students (Vertical)'!P:P&gt;1))},countifs({unique(filter('Students (Vertical)'!O:O,'Students (Vertical)'!C:C=B656,'Students (Vertical)'!O:O&lt;&gt;"""",'Students (Vertical)'!P:P&gt;1));unique(filter('Students (Vertical)'"&amp;"!O:O,'Students (Vertical)'!C:C=E656,'Students (Vertical)'!O:O&lt;&gt;"""",'Students (Vertical)'!P:P&gt;1))},{unique(filter('Students (Vertical)'!O:O,'Students (Vertical)'!C:C=B656,'Students (Vertical)'!O:O&lt;&gt;"""",'Students (Vertical)'!P:P&gt;1));unique(filter('Student"&amp;"s (Vertical)'!O:O,'Students (Vertical)'!C:C=E656,'Students (Vertical)'!O:O&lt;&gt;"""",'Students (Vertical)'!P:P&gt;1))})&gt;1))),""""),"""")"),"")</f>
        <v/>
      </c>
      <c r="K656" s="96" t="str">
        <f>IFERROR(__xludf.DUMMYFUNCTION("iferror(join("", "",unique(filter({filter('Students (Vertical)'!D:D,'Students (Vertical)'!C:C=B656,'Students (Vertical)'!D:D&lt;&gt;"""");filter('Students (Vertical)'!D:D,'Students (Vertical)'!C:C=E656,'Students (Vertical)'!D:D&lt;&gt;"""")},countifs({filter('Student"&amp;"s (Vertical)'!D:D,'Students (Vertical)'!C:C=B656,'Students (Vertical)'!D:D&lt;&gt;"""");filter('Students (Vertical)'!D:D,'Students (Vertical)'!C:C=E656,'Students (Vertical)'!D:D&lt;&gt;"""")},{filter('Students (Vertical)'!D:D,'Students (Vertical)'!C:C=B656,'Students "&amp;"(Vertical)'!D:D&lt;&gt;"""");filter('Students (Vertical)'!D:D,'Students (Vertical)'!C:C=E656,'Students (Vertical)'!D:D&lt;&gt;"""")})&gt;1))),"""")"),"")</f>
        <v/>
      </c>
      <c r="L656" s="96"/>
      <c r="M656" s="96"/>
    </row>
    <row r="657" hidden="1">
      <c r="A657" s="8" t="s">
        <v>8</v>
      </c>
      <c r="C657" s="8" t="s">
        <v>8</v>
      </c>
      <c r="D657" s="8" t="s">
        <v>8</v>
      </c>
      <c r="F657" s="8" t="s">
        <v>8</v>
      </c>
      <c r="G657" s="8" t="s">
        <v>8</v>
      </c>
      <c r="I657" s="94" t="str">
        <f>IFERROR(__xludf.DUMMYFUNCTION("if(H657=""Must be Together"",iferror(join("", "",unique(filter({filter('Students (Vertical)'!O:O,'Students (Vertical)'!C:C=B657,'Students (Vertical)'!O:O&lt;&gt;"""");filter('Students (Vertical)'!O:O,'Students (Vertical)'!C:C=E657,'Students (Vertical)'!O:O&lt;&gt;"""&amp;""")},countifs({filter('Students (Vertical)'!O:O,'Students (Vertical)'!C:C=B657,'Students (Vertical)'!O:O&lt;&gt;"""");filter('Students (Vertical)'!O:O,'Students (Vertical)'!C:C=E657,'Students (Vertical)'!O:O&lt;&gt;"""")},{filter('Students (Vertical)'!O:O,'Students ("&amp;"Vertical)'!C:C=B657,'Students (Vertical)'!O:O&lt;&gt;"""");filter('Students (Vertical)'!O:O,'Students (Vertical)'!C:C=E657,'Students (Vertical)'!O:O&lt;&gt;"""")})&gt;1))),""No shared courses""),"""")"),"")</f>
        <v/>
      </c>
      <c r="J657" s="94" t="str">
        <f>IFERROR(__xludf.DUMMYFUNCTION("if(H657=""Can't be Together"",iferror(join("", "",unique(filter({unique(filter('Students (Vertical)'!O:O,'Students (Vertical)'!C:C=B657,'Students (Vertical)'!O:O&lt;&gt;"""",'Students (Vertical)'!P:P&gt;1));unique(filter('Students (Vertical)'!O:O,'Students (Vertic"&amp;"al)'!C:C=E657,'Students (Vertical)'!O:O&lt;&gt;"""",'Students (Vertical)'!P:P&gt;1))},countifs({unique(filter('Students (Vertical)'!O:O,'Students (Vertical)'!C:C=B657,'Students (Vertical)'!O:O&lt;&gt;"""",'Students (Vertical)'!P:P&gt;1));unique(filter('Students (Vertical)'"&amp;"!O:O,'Students (Vertical)'!C:C=E657,'Students (Vertical)'!O:O&lt;&gt;"""",'Students (Vertical)'!P:P&gt;1))},{unique(filter('Students (Vertical)'!O:O,'Students (Vertical)'!C:C=B657,'Students (Vertical)'!O:O&lt;&gt;"""",'Students (Vertical)'!P:P&gt;1));unique(filter('Student"&amp;"s (Vertical)'!O:O,'Students (Vertical)'!C:C=E657,'Students (Vertical)'!O:O&lt;&gt;"""",'Students (Vertical)'!P:P&gt;1))})&gt;1))),""""),"""")"),"")</f>
        <v/>
      </c>
      <c r="K657" s="96" t="str">
        <f>IFERROR(__xludf.DUMMYFUNCTION("iferror(join("", "",unique(filter({filter('Students (Vertical)'!D:D,'Students (Vertical)'!C:C=B657,'Students (Vertical)'!D:D&lt;&gt;"""");filter('Students (Vertical)'!D:D,'Students (Vertical)'!C:C=E657,'Students (Vertical)'!D:D&lt;&gt;"""")},countifs({filter('Student"&amp;"s (Vertical)'!D:D,'Students (Vertical)'!C:C=B657,'Students (Vertical)'!D:D&lt;&gt;"""");filter('Students (Vertical)'!D:D,'Students (Vertical)'!C:C=E657,'Students (Vertical)'!D:D&lt;&gt;"""")},{filter('Students (Vertical)'!D:D,'Students (Vertical)'!C:C=B657,'Students "&amp;"(Vertical)'!D:D&lt;&gt;"""");filter('Students (Vertical)'!D:D,'Students (Vertical)'!C:C=E657,'Students (Vertical)'!D:D&lt;&gt;"""")})&gt;1))),"""")"),"")</f>
        <v/>
      </c>
      <c r="L657" s="96"/>
      <c r="M657" s="96"/>
    </row>
    <row r="658" hidden="1">
      <c r="A658" s="8" t="s">
        <v>8</v>
      </c>
      <c r="C658" s="8" t="s">
        <v>8</v>
      </c>
      <c r="D658" s="8" t="s">
        <v>8</v>
      </c>
      <c r="F658" s="8" t="s">
        <v>8</v>
      </c>
      <c r="G658" s="8" t="s">
        <v>8</v>
      </c>
      <c r="I658" s="94" t="str">
        <f>IFERROR(__xludf.DUMMYFUNCTION("if(H658=""Must be Together"",iferror(join("", "",unique(filter({filter('Students (Vertical)'!O:O,'Students (Vertical)'!C:C=B658,'Students (Vertical)'!O:O&lt;&gt;"""");filter('Students (Vertical)'!O:O,'Students (Vertical)'!C:C=E658,'Students (Vertical)'!O:O&lt;&gt;"""&amp;""")},countifs({filter('Students (Vertical)'!O:O,'Students (Vertical)'!C:C=B658,'Students (Vertical)'!O:O&lt;&gt;"""");filter('Students (Vertical)'!O:O,'Students (Vertical)'!C:C=E658,'Students (Vertical)'!O:O&lt;&gt;"""")},{filter('Students (Vertical)'!O:O,'Students ("&amp;"Vertical)'!C:C=B658,'Students (Vertical)'!O:O&lt;&gt;"""");filter('Students (Vertical)'!O:O,'Students (Vertical)'!C:C=E658,'Students (Vertical)'!O:O&lt;&gt;"""")})&gt;1))),""No shared courses""),"""")"),"")</f>
        <v/>
      </c>
      <c r="J658" s="94" t="str">
        <f>IFERROR(__xludf.DUMMYFUNCTION("if(H658=""Can't be Together"",iferror(join("", "",unique(filter({unique(filter('Students (Vertical)'!O:O,'Students (Vertical)'!C:C=B658,'Students (Vertical)'!O:O&lt;&gt;"""",'Students (Vertical)'!P:P&gt;1));unique(filter('Students (Vertical)'!O:O,'Students (Vertic"&amp;"al)'!C:C=E658,'Students (Vertical)'!O:O&lt;&gt;"""",'Students (Vertical)'!P:P&gt;1))},countifs({unique(filter('Students (Vertical)'!O:O,'Students (Vertical)'!C:C=B658,'Students (Vertical)'!O:O&lt;&gt;"""",'Students (Vertical)'!P:P&gt;1));unique(filter('Students (Vertical)'"&amp;"!O:O,'Students (Vertical)'!C:C=E658,'Students (Vertical)'!O:O&lt;&gt;"""",'Students (Vertical)'!P:P&gt;1))},{unique(filter('Students (Vertical)'!O:O,'Students (Vertical)'!C:C=B658,'Students (Vertical)'!O:O&lt;&gt;"""",'Students (Vertical)'!P:P&gt;1));unique(filter('Student"&amp;"s (Vertical)'!O:O,'Students (Vertical)'!C:C=E658,'Students (Vertical)'!O:O&lt;&gt;"""",'Students (Vertical)'!P:P&gt;1))})&gt;1))),""""),"""")"),"")</f>
        <v/>
      </c>
      <c r="K658" s="96" t="str">
        <f>IFERROR(__xludf.DUMMYFUNCTION("iferror(join("", "",unique(filter({filter('Students (Vertical)'!D:D,'Students (Vertical)'!C:C=B658,'Students (Vertical)'!D:D&lt;&gt;"""");filter('Students (Vertical)'!D:D,'Students (Vertical)'!C:C=E658,'Students (Vertical)'!D:D&lt;&gt;"""")},countifs({filter('Student"&amp;"s (Vertical)'!D:D,'Students (Vertical)'!C:C=B658,'Students (Vertical)'!D:D&lt;&gt;"""");filter('Students (Vertical)'!D:D,'Students (Vertical)'!C:C=E658,'Students (Vertical)'!D:D&lt;&gt;"""")},{filter('Students (Vertical)'!D:D,'Students (Vertical)'!C:C=B658,'Students "&amp;"(Vertical)'!D:D&lt;&gt;"""");filter('Students (Vertical)'!D:D,'Students (Vertical)'!C:C=E658,'Students (Vertical)'!D:D&lt;&gt;"""")})&gt;1))),"""")"),"")</f>
        <v/>
      </c>
      <c r="L658" s="96"/>
      <c r="M658" s="96"/>
    </row>
    <row r="659" hidden="1">
      <c r="A659" s="8" t="s">
        <v>8</v>
      </c>
      <c r="C659" s="8" t="s">
        <v>8</v>
      </c>
      <c r="D659" s="8" t="s">
        <v>8</v>
      </c>
      <c r="F659" s="8" t="s">
        <v>8</v>
      </c>
      <c r="G659" s="8" t="s">
        <v>8</v>
      </c>
      <c r="I659" s="94" t="str">
        <f>IFERROR(__xludf.DUMMYFUNCTION("if(H659=""Must be Together"",iferror(join("", "",unique(filter({filter('Students (Vertical)'!O:O,'Students (Vertical)'!C:C=B659,'Students (Vertical)'!O:O&lt;&gt;"""");filter('Students (Vertical)'!O:O,'Students (Vertical)'!C:C=E659,'Students (Vertical)'!O:O&lt;&gt;"""&amp;""")},countifs({filter('Students (Vertical)'!O:O,'Students (Vertical)'!C:C=B659,'Students (Vertical)'!O:O&lt;&gt;"""");filter('Students (Vertical)'!O:O,'Students (Vertical)'!C:C=E659,'Students (Vertical)'!O:O&lt;&gt;"""")},{filter('Students (Vertical)'!O:O,'Students ("&amp;"Vertical)'!C:C=B659,'Students (Vertical)'!O:O&lt;&gt;"""");filter('Students (Vertical)'!O:O,'Students (Vertical)'!C:C=E659,'Students (Vertical)'!O:O&lt;&gt;"""")})&gt;1))),""No shared courses""),"""")"),"")</f>
        <v/>
      </c>
      <c r="J659" s="94" t="str">
        <f>IFERROR(__xludf.DUMMYFUNCTION("if(H659=""Can't be Together"",iferror(join("", "",unique(filter({unique(filter('Students (Vertical)'!O:O,'Students (Vertical)'!C:C=B659,'Students (Vertical)'!O:O&lt;&gt;"""",'Students (Vertical)'!P:P&gt;1));unique(filter('Students (Vertical)'!O:O,'Students (Vertic"&amp;"al)'!C:C=E659,'Students (Vertical)'!O:O&lt;&gt;"""",'Students (Vertical)'!P:P&gt;1))},countifs({unique(filter('Students (Vertical)'!O:O,'Students (Vertical)'!C:C=B659,'Students (Vertical)'!O:O&lt;&gt;"""",'Students (Vertical)'!P:P&gt;1));unique(filter('Students (Vertical)'"&amp;"!O:O,'Students (Vertical)'!C:C=E659,'Students (Vertical)'!O:O&lt;&gt;"""",'Students (Vertical)'!P:P&gt;1))},{unique(filter('Students (Vertical)'!O:O,'Students (Vertical)'!C:C=B659,'Students (Vertical)'!O:O&lt;&gt;"""",'Students (Vertical)'!P:P&gt;1));unique(filter('Student"&amp;"s (Vertical)'!O:O,'Students (Vertical)'!C:C=E659,'Students (Vertical)'!O:O&lt;&gt;"""",'Students (Vertical)'!P:P&gt;1))})&gt;1))),""""),"""")"),"")</f>
        <v/>
      </c>
      <c r="K659" s="96" t="str">
        <f>IFERROR(__xludf.DUMMYFUNCTION("iferror(join("", "",unique(filter({filter('Students (Vertical)'!D:D,'Students (Vertical)'!C:C=B659,'Students (Vertical)'!D:D&lt;&gt;"""");filter('Students (Vertical)'!D:D,'Students (Vertical)'!C:C=E659,'Students (Vertical)'!D:D&lt;&gt;"""")},countifs({filter('Student"&amp;"s (Vertical)'!D:D,'Students (Vertical)'!C:C=B659,'Students (Vertical)'!D:D&lt;&gt;"""");filter('Students (Vertical)'!D:D,'Students (Vertical)'!C:C=E659,'Students (Vertical)'!D:D&lt;&gt;"""")},{filter('Students (Vertical)'!D:D,'Students (Vertical)'!C:C=B659,'Students "&amp;"(Vertical)'!D:D&lt;&gt;"""");filter('Students (Vertical)'!D:D,'Students (Vertical)'!C:C=E659,'Students (Vertical)'!D:D&lt;&gt;"""")})&gt;1))),"""")"),"")</f>
        <v/>
      </c>
      <c r="L659" s="96"/>
      <c r="M659" s="96"/>
    </row>
    <row r="660" hidden="1">
      <c r="A660" s="8" t="s">
        <v>8</v>
      </c>
      <c r="C660" s="8" t="s">
        <v>8</v>
      </c>
      <c r="D660" s="8" t="s">
        <v>8</v>
      </c>
      <c r="F660" s="8" t="s">
        <v>8</v>
      </c>
      <c r="G660" s="8" t="s">
        <v>8</v>
      </c>
      <c r="I660" s="94" t="str">
        <f>IFERROR(__xludf.DUMMYFUNCTION("if(H660=""Must be Together"",iferror(join("", "",unique(filter({filter('Students (Vertical)'!O:O,'Students (Vertical)'!C:C=B660,'Students (Vertical)'!O:O&lt;&gt;"""");filter('Students (Vertical)'!O:O,'Students (Vertical)'!C:C=E660,'Students (Vertical)'!O:O&lt;&gt;"""&amp;""")},countifs({filter('Students (Vertical)'!O:O,'Students (Vertical)'!C:C=B660,'Students (Vertical)'!O:O&lt;&gt;"""");filter('Students (Vertical)'!O:O,'Students (Vertical)'!C:C=E660,'Students (Vertical)'!O:O&lt;&gt;"""")},{filter('Students (Vertical)'!O:O,'Students ("&amp;"Vertical)'!C:C=B660,'Students (Vertical)'!O:O&lt;&gt;"""");filter('Students (Vertical)'!O:O,'Students (Vertical)'!C:C=E660,'Students (Vertical)'!O:O&lt;&gt;"""")})&gt;1))),""No shared courses""),"""")"),"")</f>
        <v/>
      </c>
      <c r="J660" s="94" t="str">
        <f>IFERROR(__xludf.DUMMYFUNCTION("if(H660=""Can't be Together"",iferror(join("", "",unique(filter({unique(filter('Students (Vertical)'!O:O,'Students (Vertical)'!C:C=B660,'Students (Vertical)'!O:O&lt;&gt;"""",'Students (Vertical)'!P:P&gt;1));unique(filter('Students (Vertical)'!O:O,'Students (Vertic"&amp;"al)'!C:C=E660,'Students (Vertical)'!O:O&lt;&gt;"""",'Students (Vertical)'!P:P&gt;1))},countifs({unique(filter('Students (Vertical)'!O:O,'Students (Vertical)'!C:C=B660,'Students (Vertical)'!O:O&lt;&gt;"""",'Students (Vertical)'!P:P&gt;1));unique(filter('Students (Vertical)'"&amp;"!O:O,'Students (Vertical)'!C:C=E660,'Students (Vertical)'!O:O&lt;&gt;"""",'Students (Vertical)'!P:P&gt;1))},{unique(filter('Students (Vertical)'!O:O,'Students (Vertical)'!C:C=B660,'Students (Vertical)'!O:O&lt;&gt;"""",'Students (Vertical)'!P:P&gt;1));unique(filter('Student"&amp;"s (Vertical)'!O:O,'Students (Vertical)'!C:C=E660,'Students (Vertical)'!O:O&lt;&gt;"""",'Students (Vertical)'!P:P&gt;1))})&gt;1))),""""),"""")"),"")</f>
        <v/>
      </c>
      <c r="K660" s="96" t="str">
        <f>IFERROR(__xludf.DUMMYFUNCTION("iferror(join("", "",unique(filter({filter('Students (Vertical)'!D:D,'Students (Vertical)'!C:C=B660,'Students (Vertical)'!D:D&lt;&gt;"""");filter('Students (Vertical)'!D:D,'Students (Vertical)'!C:C=E660,'Students (Vertical)'!D:D&lt;&gt;"""")},countifs({filter('Student"&amp;"s (Vertical)'!D:D,'Students (Vertical)'!C:C=B660,'Students (Vertical)'!D:D&lt;&gt;"""");filter('Students (Vertical)'!D:D,'Students (Vertical)'!C:C=E660,'Students (Vertical)'!D:D&lt;&gt;"""")},{filter('Students (Vertical)'!D:D,'Students (Vertical)'!C:C=B660,'Students "&amp;"(Vertical)'!D:D&lt;&gt;"""");filter('Students (Vertical)'!D:D,'Students (Vertical)'!C:C=E660,'Students (Vertical)'!D:D&lt;&gt;"""")})&gt;1))),"""")"),"")</f>
        <v/>
      </c>
      <c r="L660" s="96"/>
      <c r="M660" s="96"/>
    </row>
    <row r="661" hidden="1">
      <c r="A661" s="8" t="s">
        <v>8</v>
      </c>
      <c r="C661" s="8" t="s">
        <v>8</v>
      </c>
      <c r="D661" s="8" t="s">
        <v>8</v>
      </c>
      <c r="F661" s="8" t="s">
        <v>8</v>
      </c>
      <c r="G661" s="8" t="s">
        <v>8</v>
      </c>
      <c r="I661" s="94" t="str">
        <f>IFERROR(__xludf.DUMMYFUNCTION("if(H661=""Must be Together"",iferror(join("", "",unique(filter({filter('Students (Vertical)'!O:O,'Students (Vertical)'!C:C=B661,'Students (Vertical)'!O:O&lt;&gt;"""");filter('Students (Vertical)'!O:O,'Students (Vertical)'!C:C=E661,'Students (Vertical)'!O:O&lt;&gt;"""&amp;""")},countifs({filter('Students (Vertical)'!O:O,'Students (Vertical)'!C:C=B661,'Students (Vertical)'!O:O&lt;&gt;"""");filter('Students (Vertical)'!O:O,'Students (Vertical)'!C:C=E661,'Students (Vertical)'!O:O&lt;&gt;"""")},{filter('Students (Vertical)'!O:O,'Students ("&amp;"Vertical)'!C:C=B661,'Students (Vertical)'!O:O&lt;&gt;"""");filter('Students (Vertical)'!O:O,'Students (Vertical)'!C:C=E661,'Students (Vertical)'!O:O&lt;&gt;"""")})&gt;1))),""No shared courses""),"""")"),"")</f>
        <v/>
      </c>
      <c r="J661" s="94" t="str">
        <f>IFERROR(__xludf.DUMMYFUNCTION("if(H661=""Can't be Together"",iferror(join("", "",unique(filter({unique(filter('Students (Vertical)'!O:O,'Students (Vertical)'!C:C=B661,'Students (Vertical)'!O:O&lt;&gt;"""",'Students (Vertical)'!P:P&gt;1));unique(filter('Students (Vertical)'!O:O,'Students (Vertic"&amp;"al)'!C:C=E661,'Students (Vertical)'!O:O&lt;&gt;"""",'Students (Vertical)'!P:P&gt;1))},countifs({unique(filter('Students (Vertical)'!O:O,'Students (Vertical)'!C:C=B661,'Students (Vertical)'!O:O&lt;&gt;"""",'Students (Vertical)'!P:P&gt;1));unique(filter('Students (Vertical)'"&amp;"!O:O,'Students (Vertical)'!C:C=E661,'Students (Vertical)'!O:O&lt;&gt;"""",'Students (Vertical)'!P:P&gt;1))},{unique(filter('Students (Vertical)'!O:O,'Students (Vertical)'!C:C=B661,'Students (Vertical)'!O:O&lt;&gt;"""",'Students (Vertical)'!P:P&gt;1));unique(filter('Student"&amp;"s (Vertical)'!O:O,'Students (Vertical)'!C:C=E661,'Students (Vertical)'!O:O&lt;&gt;"""",'Students (Vertical)'!P:P&gt;1))})&gt;1))),""""),"""")"),"")</f>
        <v/>
      </c>
      <c r="K661" s="96" t="str">
        <f>IFERROR(__xludf.DUMMYFUNCTION("iferror(join("", "",unique(filter({filter('Students (Vertical)'!D:D,'Students (Vertical)'!C:C=B661,'Students (Vertical)'!D:D&lt;&gt;"""");filter('Students (Vertical)'!D:D,'Students (Vertical)'!C:C=E661,'Students (Vertical)'!D:D&lt;&gt;"""")},countifs({filter('Student"&amp;"s (Vertical)'!D:D,'Students (Vertical)'!C:C=B661,'Students (Vertical)'!D:D&lt;&gt;"""");filter('Students (Vertical)'!D:D,'Students (Vertical)'!C:C=E661,'Students (Vertical)'!D:D&lt;&gt;"""")},{filter('Students (Vertical)'!D:D,'Students (Vertical)'!C:C=B661,'Students "&amp;"(Vertical)'!D:D&lt;&gt;"""");filter('Students (Vertical)'!D:D,'Students (Vertical)'!C:C=E661,'Students (Vertical)'!D:D&lt;&gt;"""")})&gt;1))),"""")"),"")</f>
        <v/>
      </c>
      <c r="L661" s="96"/>
      <c r="M661" s="96"/>
    </row>
    <row r="662" hidden="1">
      <c r="A662" s="8" t="s">
        <v>8</v>
      </c>
      <c r="C662" s="8" t="s">
        <v>8</v>
      </c>
      <c r="D662" s="8" t="s">
        <v>8</v>
      </c>
      <c r="F662" s="8" t="s">
        <v>8</v>
      </c>
      <c r="G662" s="8" t="s">
        <v>8</v>
      </c>
      <c r="I662" s="94" t="str">
        <f>IFERROR(__xludf.DUMMYFUNCTION("if(H662=""Must be Together"",iferror(join("", "",unique(filter({filter('Students (Vertical)'!O:O,'Students (Vertical)'!C:C=B662,'Students (Vertical)'!O:O&lt;&gt;"""");filter('Students (Vertical)'!O:O,'Students (Vertical)'!C:C=E662,'Students (Vertical)'!O:O&lt;&gt;"""&amp;""")},countifs({filter('Students (Vertical)'!O:O,'Students (Vertical)'!C:C=B662,'Students (Vertical)'!O:O&lt;&gt;"""");filter('Students (Vertical)'!O:O,'Students (Vertical)'!C:C=E662,'Students (Vertical)'!O:O&lt;&gt;"""")},{filter('Students (Vertical)'!O:O,'Students ("&amp;"Vertical)'!C:C=B662,'Students (Vertical)'!O:O&lt;&gt;"""");filter('Students (Vertical)'!O:O,'Students (Vertical)'!C:C=E662,'Students (Vertical)'!O:O&lt;&gt;"""")})&gt;1))),""No shared courses""),"""")"),"")</f>
        <v/>
      </c>
      <c r="J662" s="94" t="str">
        <f>IFERROR(__xludf.DUMMYFUNCTION("if(H662=""Can't be Together"",iferror(join("", "",unique(filter({unique(filter('Students (Vertical)'!O:O,'Students (Vertical)'!C:C=B662,'Students (Vertical)'!O:O&lt;&gt;"""",'Students (Vertical)'!P:P&gt;1));unique(filter('Students (Vertical)'!O:O,'Students (Vertic"&amp;"al)'!C:C=E662,'Students (Vertical)'!O:O&lt;&gt;"""",'Students (Vertical)'!P:P&gt;1))},countifs({unique(filter('Students (Vertical)'!O:O,'Students (Vertical)'!C:C=B662,'Students (Vertical)'!O:O&lt;&gt;"""",'Students (Vertical)'!P:P&gt;1));unique(filter('Students (Vertical)'"&amp;"!O:O,'Students (Vertical)'!C:C=E662,'Students (Vertical)'!O:O&lt;&gt;"""",'Students (Vertical)'!P:P&gt;1))},{unique(filter('Students (Vertical)'!O:O,'Students (Vertical)'!C:C=B662,'Students (Vertical)'!O:O&lt;&gt;"""",'Students (Vertical)'!P:P&gt;1));unique(filter('Student"&amp;"s (Vertical)'!O:O,'Students (Vertical)'!C:C=E662,'Students (Vertical)'!O:O&lt;&gt;"""",'Students (Vertical)'!P:P&gt;1))})&gt;1))),""""),"""")"),"")</f>
        <v/>
      </c>
      <c r="K662" s="96" t="str">
        <f>IFERROR(__xludf.DUMMYFUNCTION("iferror(join("", "",unique(filter({filter('Students (Vertical)'!D:D,'Students (Vertical)'!C:C=B662,'Students (Vertical)'!D:D&lt;&gt;"""");filter('Students (Vertical)'!D:D,'Students (Vertical)'!C:C=E662,'Students (Vertical)'!D:D&lt;&gt;"""")},countifs({filter('Student"&amp;"s (Vertical)'!D:D,'Students (Vertical)'!C:C=B662,'Students (Vertical)'!D:D&lt;&gt;"""");filter('Students (Vertical)'!D:D,'Students (Vertical)'!C:C=E662,'Students (Vertical)'!D:D&lt;&gt;"""")},{filter('Students (Vertical)'!D:D,'Students (Vertical)'!C:C=B662,'Students "&amp;"(Vertical)'!D:D&lt;&gt;"""");filter('Students (Vertical)'!D:D,'Students (Vertical)'!C:C=E662,'Students (Vertical)'!D:D&lt;&gt;"""")})&gt;1))),"""")"),"")</f>
        <v/>
      </c>
      <c r="L662" s="96"/>
      <c r="M662" s="96"/>
    </row>
    <row r="663" hidden="1">
      <c r="A663" s="8" t="s">
        <v>8</v>
      </c>
      <c r="C663" s="8" t="s">
        <v>8</v>
      </c>
      <c r="D663" s="8" t="s">
        <v>8</v>
      </c>
      <c r="F663" s="8" t="s">
        <v>8</v>
      </c>
      <c r="G663" s="8" t="s">
        <v>8</v>
      </c>
      <c r="I663" s="94" t="str">
        <f>IFERROR(__xludf.DUMMYFUNCTION("if(H663=""Must be Together"",iferror(join("", "",unique(filter({filter('Students (Vertical)'!O:O,'Students (Vertical)'!C:C=B663,'Students (Vertical)'!O:O&lt;&gt;"""");filter('Students (Vertical)'!O:O,'Students (Vertical)'!C:C=E663,'Students (Vertical)'!O:O&lt;&gt;"""&amp;""")},countifs({filter('Students (Vertical)'!O:O,'Students (Vertical)'!C:C=B663,'Students (Vertical)'!O:O&lt;&gt;"""");filter('Students (Vertical)'!O:O,'Students (Vertical)'!C:C=E663,'Students (Vertical)'!O:O&lt;&gt;"""")},{filter('Students (Vertical)'!O:O,'Students ("&amp;"Vertical)'!C:C=B663,'Students (Vertical)'!O:O&lt;&gt;"""");filter('Students (Vertical)'!O:O,'Students (Vertical)'!C:C=E663,'Students (Vertical)'!O:O&lt;&gt;"""")})&gt;1))),""No shared courses""),"""")"),"")</f>
        <v/>
      </c>
      <c r="J663" s="94" t="str">
        <f>IFERROR(__xludf.DUMMYFUNCTION("if(H663=""Can't be Together"",iferror(join("", "",unique(filter({unique(filter('Students (Vertical)'!O:O,'Students (Vertical)'!C:C=B663,'Students (Vertical)'!O:O&lt;&gt;"""",'Students (Vertical)'!P:P&gt;1));unique(filter('Students (Vertical)'!O:O,'Students (Vertic"&amp;"al)'!C:C=E663,'Students (Vertical)'!O:O&lt;&gt;"""",'Students (Vertical)'!P:P&gt;1))},countifs({unique(filter('Students (Vertical)'!O:O,'Students (Vertical)'!C:C=B663,'Students (Vertical)'!O:O&lt;&gt;"""",'Students (Vertical)'!P:P&gt;1));unique(filter('Students (Vertical)'"&amp;"!O:O,'Students (Vertical)'!C:C=E663,'Students (Vertical)'!O:O&lt;&gt;"""",'Students (Vertical)'!P:P&gt;1))},{unique(filter('Students (Vertical)'!O:O,'Students (Vertical)'!C:C=B663,'Students (Vertical)'!O:O&lt;&gt;"""",'Students (Vertical)'!P:P&gt;1));unique(filter('Student"&amp;"s (Vertical)'!O:O,'Students (Vertical)'!C:C=E663,'Students (Vertical)'!O:O&lt;&gt;"""",'Students (Vertical)'!P:P&gt;1))})&gt;1))),""""),"""")"),"")</f>
        <v/>
      </c>
      <c r="K663" s="96" t="str">
        <f>IFERROR(__xludf.DUMMYFUNCTION("iferror(join("", "",unique(filter({filter('Students (Vertical)'!D:D,'Students (Vertical)'!C:C=B663,'Students (Vertical)'!D:D&lt;&gt;"""");filter('Students (Vertical)'!D:D,'Students (Vertical)'!C:C=E663,'Students (Vertical)'!D:D&lt;&gt;"""")},countifs({filter('Student"&amp;"s (Vertical)'!D:D,'Students (Vertical)'!C:C=B663,'Students (Vertical)'!D:D&lt;&gt;"""");filter('Students (Vertical)'!D:D,'Students (Vertical)'!C:C=E663,'Students (Vertical)'!D:D&lt;&gt;"""")},{filter('Students (Vertical)'!D:D,'Students (Vertical)'!C:C=B663,'Students "&amp;"(Vertical)'!D:D&lt;&gt;"""");filter('Students (Vertical)'!D:D,'Students (Vertical)'!C:C=E663,'Students (Vertical)'!D:D&lt;&gt;"""")})&gt;1))),"""")"),"")</f>
        <v/>
      </c>
      <c r="L663" s="96"/>
      <c r="M663" s="96"/>
    </row>
    <row r="664" hidden="1">
      <c r="A664" s="8" t="s">
        <v>8</v>
      </c>
      <c r="C664" s="8" t="s">
        <v>8</v>
      </c>
      <c r="D664" s="8" t="s">
        <v>8</v>
      </c>
      <c r="F664" s="8" t="s">
        <v>8</v>
      </c>
      <c r="G664" s="8" t="s">
        <v>8</v>
      </c>
      <c r="I664" s="94" t="str">
        <f>IFERROR(__xludf.DUMMYFUNCTION("if(H664=""Must be Together"",iferror(join("", "",unique(filter({filter('Students (Vertical)'!O:O,'Students (Vertical)'!C:C=B664,'Students (Vertical)'!O:O&lt;&gt;"""");filter('Students (Vertical)'!O:O,'Students (Vertical)'!C:C=E664,'Students (Vertical)'!O:O&lt;&gt;"""&amp;""")},countifs({filter('Students (Vertical)'!O:O,'Students (Vertical)'!C:C=B664,'Students (Vertical)'!O:O&lt;&gt;"""");filter('Students (Vertical)'!O:O,'Students (Vertical)'!C:C=E664,'Students (Vertical)'!O:O&lt;&gt;"""")},{filter('Students (Vertical)'!O:O,'Students ("&amp;"Vertical)'!C:C=B664,'Students (Vertical)'!O:O&lt;&gt;"""");filter('Students (Vertical)'!O:O,'Students (Vertical)'!C:C=E664,'Students (Vertical)'!O:O&lt;&gt;"""")})&gt;1))),""No shared courses""),"""")"),"")</f>
        <v/>
      </c>
      <c r="J664" s="94" t="str">
        <f>IFERROR(__xludf.DUMMYFUNCTION("if(H664=""Can't be Together"",iferror(join("", "",unique(filter({unique(filter('Students (Vertical)'!O:O,'Students (Vertical)'!C:C=B664,'Students (Vertical)'!O:O&lt;&gt;"""",'Students (Vertical)'!P:P&gt;1));unique(filter('Students (Vertical)'!O:O,'Students (Vertic"&amp;"al)'!C:C=E664,'Students (Vertical)'!O:O&lt;&gt;"""",'Students (Vertical)'!P:P&gt;1))},countifs({unique(filter('Students (Vertical)'!O:O,'Students (Vertical)'!C:C=B664,'Students (Vertical)'!O:O&lt;&gt;"""",'Students (Vertical)'!P:P&gt;1));unique(filter('Students (Vertical)'"&amp;"!O:O,'Students (Vertical)'!C:C=E664,'Students (Vertical)'!O:O&lt;&gt;"""",'Students (Vertical)'!P:P&gt;1))},{unique(filter('Students (Vertical)'!O:O,'Students (Vertical)'!C:C=B664,'Students (Vertical)'!O:O&lt;&gt;"""",'Students (Vertical)'!P:P&gt;1));unique(filter('Student"&amp;"s (Vertical)'!O:O,'Students (Vertical)'!C:C=E664,'Students (Vertical)'!O:O&lt;&gt;"""",'Students (Vertical)'!P:P&gt;1))})&gt;1))),""""),"""")"),"")</f>
        <v/>
      </c>
      <c r="K664" s="96" t="str">
        <f>IFERROR(__xludf.DUMMYFUNCTION("iferror(join("", "",unique(filter({filter('Students (Vertical)'!D:D,'Students (Vertical)'!C:C=B664,'Students (Vertical)'!D:D&lt;&gt;"""");filter('Students (Vertical)'!D:D,'Students (Vertical)'!C:C=E664,'Students (Vertical)'!D:D&lt;&gt;"""")},countifs({filter('Student"&amp;"s (Vertical)'!D:D,'Students (Vertical)'!C:C=B664,'Students (Vertical)'!D:D&lt;&gt;"""");filter('Students (Vertical)'!D:D,'Students (Vertical)'!C:C=E664,'Students (Vertical)'!D:D&lt;&gt;"""")},{filter('Students (Vertical)'!D:D,'Students (Vertical)'!C:C=B664,'Students "&amp;"(Vertical)'!D:D&lt;&gt;"""");filter('Students (Vertical)'!D:D,'Students (Vertical)'!C:C=E664,'Students (Vertical)'!D:D&lt;&gt;"""")})&gt;1))),"""")"),"")</f>
        <v/>
      </c>
      <c r="L664" s="96"/>
      <c r="M664" s="96"/>
    </row>
    <row r="665" hidden="1">
      <c r="A665" s="8" t="s">
        <v>8</v>
      </c>
      <c r="C665" s="8" t="s">
        <v>8</v>
      </c>
      <c r="D665" s="8" t="s">
        <v>8</v>
      </c>
      <c r="F665" s="8" t="s">
        <v>8</v>
      </c>
      <c r="G665" s="8" t="s">
        <v>8</v>
      </c>
      <c r="I665" s="94" t="str">
        <f>IFERROR(__xludf.DUMMYFUNCTION("if(H665=""Must be Together"",iferror(join("", "",unique(filter({filter('Students (Vertical)'!O:O,'Students (Vertical)'!C:C=B665,'Students (Vertical)'!O:O&lt;&gt;"""");filter('Students (Vertical)'!O:O,'Students (Vertical)'!C:C=E665,'Students (Vertical)'!O:O&lt;&gt;"""&amp;""")},countifs({filter('Students (Vertical)'!O:O,'Students (Vertical)'!C:C=B665,'Students (Vertical)'!O:O&lt;&gt;"""");filter('Students (Vertical)'!O:O,'Students (Vertical)'!C:C=E665,'Students (Vertical)'!O:O&lt;&gt;"""")},{filter('Students (Vertical)'!O:O,'Students ("&amp;"Vertical)'!C:C=B665,'Students (Vertical)'!O:O&lt;&gt;"""");filter('Students (Vertical)'!O:O,'Students (Vertical)'!C:C=E665,'Students (Vertical)'!O:O&lt;&gt;"""")})&gt;1))),""No shared courses""),"""")"),"")</f>
        <v/>
      </c>
      <c r="J665" s="94" t="str">
        <f>IFERROR(__xludf.DUMMYFUNCTION("if(H665=""Can't be Together"",iferror(join("", "",unique(filter({unique(filter('Students (Vertical)'!O:O,'Students (Vertical)'!C:C=B665,'Students (Vertical)'!O:O&lt;&gt;"""",'Students (Vertical)'!P:P&gt;1));unique(filter('Students (Vertical)'!O:O,'Students (Vertic"&amp;"al)'!C:C=E665,'Students (Vertical)'!O:O&lt;&gt;"""",'Students (Vertical)'!P:P&gt;1))},countifs({unique(filter('Students (Vertical)'!O:O,'Students (Vertical)'!C:C=B665,'Students (Vertical)'!O:O&lt;&gt;"""",'Students (Vertical)'!P:P&gt;1));unique(filter('Students (Vertical)'"&amp;"!O:O,'Students (Vertical)'!C:C=E665,'Students (Vertical)'!O:O&lt;&gt;"""",'Students (Vertical)'!P:P&gt;1))},{unique(filter('Students (Vertical)'!O:O,'Students (Vertical)'!C:C=B665,'Students (Vertical)'!O:O&lt;&gt;"""",'Students (Vertical)'!P:P&gt;1));unique(filter('Student"&amp;"s (Vertical)'!O:O,'Students (Vertical)'!C:C=E665,'Students (Vertical)'!O:O&lt;&gt;"""",'Students (Vertical)'!P:P&gt;1))})&gt;1))),""""),"""")"),"")</f>
        <v/>
      </c>
      <c r="K665" s="96" t="str">
        <f>IFERROR(__xludf.DUMMYFUNCTION("iferror(join("", "",unique(filter({filter('Students (Vertical)'!D:D,'Students (Vertical)'!C:C=B665,'Students (Vertical)'!D:D&lt;&gt;"""");filter('Students (Vertical)'!D:D,'Students (Vertical)'!C:C=E665,'Students (Vertical)'!D:D&lt;&gt;"""")},countifs({filter('Student"&amp;"s (Vertical)'!D:D,'Students (Vertical)'!C:C=B665,'Students (Vertical)'!D:D&lt;&gt;"""");filter('Students (Vertical)'!D:D,'Students (Vertical)'!C:C=E665,'Students (Vertical)'!D:D&lt;&gt;"""")},{filter('Students (Vertical)'!D:D,'Students (Vertical)'!C:C=B665,'Students "&amp;"(Vertical)'!D:D&lt;&gt;"""");filter('Students (Vertical)'!D:D,'Students (Vertical)'!C:C=E665,'Students (Vertical)'!D:D&lt;&gt;"""")})&gt;1))),"""")"),"")</f>
        <v/>
      </c>
      <c r="L665" s="96"/>
      <c r="M665" s="96"/>
    </row>
    <row r="666" hidden="1">
      <c r="A666" s="8" t="s">
        <v>8</v>
      </c>
      <c r="C666" s="8" t="s">
        <v>8</v>
      </c>
      <c r="D666" s="8" t="s">
        <v>8</v>
      </c>
      <c r="F666" s="8" t="s">
        <v>8</v>
      </c>
      <c r="G666" s="8" t="s">
        <v>8</v>
      </c>
      <c r="I666" s="94" t="str">
        <f>IFERROR(__xludf.DUMMYFUNCTION("if(H666=""Must be Together"",iferror(join("", "",unique(filter({filter('Students (Vertical)'!O:O,'Students (Vertical)'!C:C=B666,'Students (Vertical)'!O:O&lt;&gt;"""");filter('Students (Vertical)'!O:O,'Students (Vertical)'!C:C=E666,'Students (Vertical)'!O:O&lt;&gt;"""&amp;""")},countifs({filter('Students (Vertical)'!O:O,'Students (Vertical)'!C:C=B666,'Students (Vertical)'!O:O&lt;&gt;"""");filter('Students (Vertical)'!O:O,'Students (Vertical)'!C:C=E666,'Students (Vertical)'!O:O&lt;&gt;"""")},{filter('Students (Vertical)'!O:O,'Students ("&amp;"Vertical)'!C:C=B666,'Students (Vertical)'!O:O&lt;&gt;"""");filter('Students (Vertical)'!O:O,'Students (Vertical)'!C:C=E666,'Students (Vertical)'!O:O&lt;&gt;"""")})&gt;1))),""No shared courses""),"""")"),"")</f>
        <v/>
      </c>
      <c r="J666" s="94" t="str">
        <f>IFERROR(__xludf.DUMMYFUNCTION("if(H666=""Can't be Together"",iferror(join("", "",unique(filter({unique(filter('Students (Vertical)'!O:O,'Students (Vertical)'!C:C=B666,'Students (Vertical)'!O:O&lt;&gt;"""",'Students (Vertical)'!P:P&gt;1));unique(filter('Students (Vertical)'!O:O,'Students (Vertic"&amp;"al)'!C:C=E666,'Students (Vertical)'!O:O&lt;&gt;"""",'Students (Vertical)'!P:P&gt;1))},countifs({unique(filter('Students (Vertical)'!O:O,'Students (Vertical)'!C:C=B666,'Students (Vertical)'!O:O&lt;&gt;"""",'Students (Vertical)'!P:P&gt;1));unique(filter('Students (Vertical)'"&amp;"!O:O,'Students (Vertical)'!C:C=E666,'Students (Vertical)'!O:O&lt;&gt;"""",'Students (Vertical)'!P:P&gt;1))},{unique(filter('Students (Vertical)'!O:O,'Students (Vertical)'!C:C=B666,'Students (Vertical)'!O:O&lt;&gt;"""",'Students (Vertical)'!P:P&gt;1));unique(filter('Student"&amp;"s (Vertical)'!O:O,'Students (Vertical)'!C:C=E666,'Students (Vertical)'!O:O&lt;&gt;"""",'Students (Vertical)'!P:P&gt;1))})&gt;1))),""""),"""")"),"")</f>
        <v/>
      </c>
      <c r="K666" s="96" t="str">
        <f>IFERROR(__xludf.DUMMYFUNCTION("iferror(join("", "",unique(filter({filter('Students (Vertical)'!D:D,'Students (Vertical)'!C:C=B666,'Students (Vertical)'!D:D&lt;&gt;"""");filter('Students (Vertical)'!D:D,'Students (Vertical)'!C:C=E666,'Students (Vertical)'!D:D&lt;&gt;"""")},countifs({filter('Student"&amp;"s (Vertical)'!D:D,'Students (Vertical)'!C:C=B666,'Students (Vertical)'!D:D&lt;&gt;"""");filter('Students (Vertical)'!D:D,'Students (Vertical)'!C:C=E666,'Students (Vertical)'!D:D&lt;&gt;"""")},{filter('Students (Vertical)'!D:D,'Students (Vertical)'!C:C=B666,'Students "&amp;"(Vertical)'!D:D&lt;&gt;"""");filter('Students (Vertical)'!D:D,'Students (Vertical)'!C:C=E666,'Students (Vertical)'!D:D&lt;&gt;"""")})&gt;1))),"""")"),"")</f>
        <v/>
      </c>
      <c r="L666" s="96"/>
      <c r="M666" s="96"/>
    </row>
    <row r="667" hidden="1">
      <c r="A667" s="8" t="s">
        <v>8</v>
      </c>
      <c r="C667" s="8" t="s">
        <v>8</v>
      </c>
      <c r="D667" s="8" t="s">
        <v>8</v>
      </c>
      <c r="F667" s="8" t="s">
        <v>8</v>
      </c>
      <c r="G667" s="8" t="s">
        <v>8</v>
      </c>
      <c r="I667" s="94" t="str">
        <f>IFERROR(__xludf.DUMMYFUNCTION("if(H667=""Must be Together"",iferror(join("", "",unique(filter({filter('Students (Vertical)'!O:O,'Students (Vertical)'!C:C=B667,'Students (Vertical)'!O:O&lt;&gt;"""");filter('Students (Vertical)'!O:O,'Students (Vertical)'!C:C=E667,'Students (Vertical)'!O:O&lt;&gt;"""&amp;""")},countifs({filter('Students (Vertical)'!O:O,'Students (Vertical)'!C:C=B667,'Students (Vertical)'!O:O&lt;&gt;"""");filter('Students (Vertical)'!O:O,'Students (Vertical)'!C:C=E667,'Students (Vertical)'!O:O&lt;&gt;"""")},{filter('Students (Vertical)'!O:O,'Students ("&amp;"Vertical)'!C:C=B667,'Students (Vertical)'!O:O&lt;&gt;"""");filter('Students (Vertical)'!O:O,'Students (Vertical)'!C:C=E667,'Students (Vertical)'!O:O&lt;&gt;"""")})&gt;1))),""No shared courses""),"""")"),"")</f>
        <v/>
      </c>
      <c r="J667" s="94" t="str">
        <f>IFERROR(__xludf.DUMMYFUNCTION("if(H667=""Can't be Together"",iferror(join("", "",unique(filter({unique(filter('Students (Vertical)'!O:O,'Students (Vertical)'!C:C=B667,'Students (Vertical)'!O:O&lt;&gt;"""",'Students (Vertical)'!P:P&gt;1));unique(filter('Students (Vertical)'!O:O,'Students (Vertic"&amp;"al)'!C:C=E667,'Students (Vertical)'!O:O&lt;&gt;"""",'Students (Vertical)'!P:P&gt;1))},countifs({unique(filter('Students (Vertical)'!O:O,'Students (Vertical)'!C:C=B667,'Students (Vertical)'!O:O&lt;&gt;"""",'Students (Vertical)'!P:P&gt;1));unique(filter('Students (Vertical)'"&amp;"!O:O,'Students (Vertical)'!C:C=E667,'Students (Vertical)'!O:O&lt;&gt;"""",'Students (Vertical)'!P:P&gt;1))},{unique(filter('Students (Vertical)'!O:O,'Students (Vertical)'!C:C=B667,'Students (Vertical)'!O:O&lt;&gt;"""",'Students (Vertical)'!P:P&gt;1));unique(filter('Student"&amp;"s (Vertical)'!O:O,'Students (Vertical)'!C:C=E667,'Students (Vertical)'!O:O&lt;&gt;"""",'Students (Vertical)'!P:P&gt;1))})&gt;1))),""""),"""")"),"")</f>
        <v/>
      </c>
      <c r="K667" s="96" t="str">
        <f>IFERROR(__xludf.DUMMYFUNCTION("iferror(join("", "",unique(filter({filter('Students (Vertical)'!D:D,'Students (Vertical)'!C:C=B667,'Students (Vertical)'!D:D&lt;&gt;"""");filter('Students (Vertical)'!D:D,'Students (Vertical)'!C:C=E667,'Students (Vertical)'!D:D&lt;&gt;"""")},countifs({filter('Student"&amp;"s (Vertical)'!D:D,'Students (Vertical)'!C:C=B667,'Students (Vertical)'!D:D&lt;&gt;"""");filter('Students (Vertical)'!D:D,'Students (Vertical)'!C:C=E667,'Students (Vertical)'!D:D&lt;&gt;"""")},{filter('Students (Vertical)'!D:D,'Students (Vertical)'!C:C=B667,'Students "&amp;"(Vertical)'!D:D&lt;&gt;"""");filter('Students (Vertical)'!D:D,'Students (Vertical)'!C:C=E667,'Students (Vertical)'!D:D&lt;&gt;"""")})&gt;1))),"""")"),"")</f>
        <v/>
      </c>
      <c r="L667" s="96"/>
      <c r="M667" s="96"/>
    </row>
    <row r="668" hidden="1">
      <c r="A668" s="8" t="s">
        <v>8</v>
      </c>
      <c r="C668" s="8" t="s">
        <v>8</v>
      </c>
      <c r="D668" s="8" t="s">
        <v>8</v>
      </c>
      <c r="F668" s="8" t="s">
        <v>8</v>
      </c>
      <c r="G668" s="8" t="s">
        <v>8</v>
      </c>
      <c r="I668" s="94" t="str">
        <f>IFERROR(__xludf.DUMMYFUNCTION("if(H668=""Must be Together"",iferror(join("", "",unique(filter({filter('Students (Vertical)'!O:O,'Students (Vertical)'!C:C=B668,'Students (Vertical)'!O:O&lt;&gt;"""");filter('Students (Vertical)'!O:O,'Students (Vertical)'!C:C=E668,'Students (Vertical)'!O:O&lt;&gt;"""&amp;""")},countifs({filter('Students (Vertical)'!O:O,'Students (Vertical)'!C:C=B668,'Students (Vertical)'!O:O&lt;&gt;"""");filter('Students (Vertical)'!O:O,'Students (Vertical)'!C:C=E668,'Students (Vertical)'!O:O&lt;&gt;"""")},{filter('Students (Vertical)'!O:O,'Students ("&amp;"Vertical)'!C:C=B668,'Students (Vertical)'!O:O&lt;&gt;"""");filter('Students (Vertical)'!O:O,'Students (Vertical)'!C:C=E668,'Students (Vertical)'!O:O&lt;&gt;"""")})&gt;1))),""No shared courses""),"""")"),"")</f>
        <v/>
      </c>
      <c r="J668" s="94" t="str">
        <f>IFERROR(__xludf.DUMMYFUNCTION("if(H668=""Can't be Together"",iferror(join("", "",unique(filter({unique(filter('Students (Vertical)'!O:O,'Students (Vertical)'!C:C=B668,'Students (Vertical)'!O:O&lt;&gt;"""",'Students (Vertical)'!P:P&gt;1));unique(filter('Students (Vertical)'!O:O,'Students (Vertic"&amp;"al)'!C:C=E668,'Students (Vertical)'!O:O&lt;&gt;"""",'Students (Vertical)'!P:P&gt;1))},countifs({unique(filter('Students (Vertical)'!O:O,'Students (Vertical)'!C:C=B668,'Students (Vertical)'!O:O&lt;&gt;"""",'Students (Vertical)'!P:P&gt;1));unique(filter('Students (Vertical)'"&amp;"!O:O,'Students (Vertical)'!C:C=E668,'Students (Vertical)'!O:O&lt;&gt;"""",'Students (Vertical)'!P:P&gt;1))},{unique(filter('Students (Vertical)'!O:O,'Students (Vertical)'!C:C=B668,'Students (Vertical)'!O:O&lt;&gt;"""",'Students (Vertical)'!P:P&gt;1));unique(filter('Student"&amp;"s (Vertical)'!O:O,'Students (Vertical)'!C:C=E668,'Students (Vertical)'!O:O&lt;&gt;"""",'Students (Vertical)'!P:P&gt;1))})&gt;1))),""""),"""")"),"")</f>
        <v/>
      </c>
      <c r="K668" s="96" t="str">
        <f>IFERROR(__xludf.DUMMYFUNCTION("iferror(join("", "",unique(filter({filter('Students (Vertical)'!D:D,'Students (Vertical)'!C:C=B668,'Students (Vertical)'!D:D&lt;&gt;"""");filter('Students (Vertical)'!D:D,'Students (Vertical)'!C:C=E668,'Students (Vertical)'!D:D&lt;&gt;"""")},countifs({filter('Student"&amp;"s (Vertical)'!D:D,'Students (Vertical)'!C:C=B668,'Students (Vertical)'!D:D&lt;&gt;"""");filter('Students (Vertical)'!D:D,'Students (Vertical)'!C:C=E668,'Students (Vertical)'!D:D&lt;&gt;"""")},{filter('Students (Vertical)'!D:D,'Students (Vertical)'!C:C=B668,'Students "&amp;"(Vertical)'!D:D&lt;&gt;"""");filter('Students (Vertical)'!D:D,'Students (Vertical)'!C:C=E668,'Students (Vertical)'!D:D&lt;&gt;"""")})&gt;1))),"""")"),"")</f>
        <v/>
      </c>
      <c r="L668" s="96"/>
      <c r="M668" s="96"/>
    </row>
    <row r="669" hidden="1">
      <c r="A669" s="8" t="s">
        <v>8</v>
      </c>
      <c r="C669" s="8" t="s">
        <v>8</v>
      </c>
      <c r="D669" s="8" t="s">
        <v>8</v>
      </c>
      <c r="F669" s="8" t="s">
        <v>8</v>
      </c>
      <c r="G669" s="8" t="s">
        <v>8</v>
      </c>
      <c r="I669" s="94" t="str">
        <f>IFERROR(__xludf.DUMMYFUNCTION("if(H669=""Must be Together"",iferror(join("", "",unique(filter({filter('Students (Vertical)'!O:O,'Students (Vertical)'!C:C=B669,'Students (Vertical)'!O:O&lt;&gt;"""");filter('Students (Vertical)'!O:O,'Students (Vertical)'!C:C=E669,'Students (Vertical)'!O:O&lt;&gt;"""&amp;""")},countifs({filter('Students (Vertical)'!O:O,'Students (Vertical)'!C:C=B669,'Students (Vertical)'!O:O&lt;&gt;"""");filter('Students (Vertical)'!O:O,'Students (Vertical)'!C:C=E669,'Students (Vertical)'!O:O&lt;&gt;"""")},{filter('Students (Vertical)'!O:O,'Students ("&amp;"Vertical)'!C:C=B669,'Students (Vertical)'!O:O&lt;&gt;"""");filter('Students (Vertical)'!O:O,'Students (Vertical)'!C:C=E669,'Students (Vertical)'!O:O&lt;&gt;"""")})&gt;1))),""No shared courses""),"""")"),"")</f>
        <v/>
      </c>
      <c r="J669" s="94" t="str">
        <f>IFERROR(__xludf.DUMMYFUNCTION("if(H669=""Can't be Together"",iferror(join("", "",unique(filter({unique(filter('Students (Vertical)'!O:O,'Students (Vertical)'!C:C=B669,'Students (Vertical)'!O:O&lt;&gt;"""",'Students (Vertical)'!P:P&gt;1));unique(filter('Students (Vertical)'!O:O,'Students (Vertic"&amp;"al)'!C:C=E669,'Students (Vertical)'!O:O&lt;&gt;"""",'Students (Vertical)'!P:P&gt;1))},countifs({unique(filter('Students (Vertical)'!O:O,'Students (Vertical)'!C:C=B669,'Students (Vertical)'!O:O&lt;&gt;"""",'Students (Vertical)'!P:P&gt;1));unique(filter('Students (Vertical)'"&amp;"!O:O,'Students (Vertical)'!C:C=E669,'Students (Vertical)'!O:O&lt;&gt;"""",'Students (Vertical)'!P:P&gt;1))},{unique(filter('Students (Vertical)'!O:O,'Students (Vertical)'!C:C=B669,'Students (Vertical)'!O:O&lt;&gt;"""",'Students (Vertical)'!P:P&gt;1));unique(filter('Student"&amp;"s (Vertical)'!O:O,'Students (Vertical)'!C:C=E669,'Students (Vertical)'!O:O&lt;&gt;"""",'Students (Vertical)'!P:P&gt;1))})&gt;1))),""""),"""")"),"")</f>
        <v/>
      </c>
      <c r="K669" s="96" t="str">
        <f>IFERROR(__xludf.DUMMYFUNCTION("iferror(join("", "",unique(filter({filter('Students (Vertical)'!D:D,'Students (Vertical)'!C:C=B669,'Students (Vertical)'!D:D&lt;&gt;"""");filter('Students (Vertical)'!D:D,'Students (Vertical)'!C:C=E669,'Students (Vertical)'!D:D&lt;&gt;"""")},countifs({filter('Student"&amp;"s (Vertical)'!D:D,'Students (Vertical)'!C:C=B669,'Students (Vertical)'!D:D&lt;&gt;"""");filter('Students (Vertical)'!D:D,'Students (Vertical)'!C:C=E669,'Students (Vertical)'!D:D&lt;&gt;"""")},{filter('Students (Vertical)'!D:D,'Students (Vertical)'!C:C=B669,'Students "&amp;"(Vertical)'!D:D&lt;&gt;"""");filter('Students (Vertical)'!D:D,'Students (Vertical)'!C:C=E669,'Students (Vertical)'!D:D&lt;&gt;"""")})&gt;1))),"""")"),"")</f>
        <v/>
      </c>
      <c r="L669" s="96"/>
      <c r="M669" s="96"/>
    </row>
    <row r="670" hidden="1">
      <c r="A670" s="8" t="s">
        <v>8</v>
      </c>
      <c r="C670" s="8" t="s">
        <v>8</v>
      </c>
      <c r="D670" s="8" t="s">
        <v>8</v>
      </c>
      <c r="F670" s="8" t="s">
        <v>8</v>
      </c>
      <c r="G670" s="8" t="s">
        <v>8</v>
      </c>
      <c r="I670" s="94" t="str">
        <f>IFERROR(__xludf.DUMMYFUNCTION("if(H670=""Must be Together"",iferror(join("", "",unique(filter({filter('Students (Vertical)'!O:O,'Students (Vertical)'!C:C=B670,'Students (Vertical)'!O:O&lt;&gt;"""");filter('Students (Vertical)'!O:O,'Students (Vertical)'!C:C=E670,'Students (Vertical)'!O:O&lt;&gt;"""&amp;""")},countifs({filter('Students (Vertical)'!O:O,'Students (Vertical)'!C:C=B670,'Students (Vertical)'!O:O&lt;&gt;"""");filter('Students (Vertical)'!O:O,'Students (Vertical)'!C:C=E670,'Students (Vertical)'!O:O&lt;&gt;"""")},{filter('Students (Vertical)'!O:O,'Students ("&amp;"Vertical)'!C:C=B670,'Students (Vertical)'!O:O&lt;&gt;"""");filter('Students (Vertical)'!O:O,'Students (Vertical)'!C:C=E670,'Students (Vertical)'!O:O&lt;&gt;"""")})&gt;1))),""No shared courses""),"""")"),"")</f>
        <v/>
      </c>
      <c r="J670" s="94" t="str">
        <f>IFERROR(__xludf.DUMMYFUNCTION("if(H670=""Can't be Together"",iferror(join("", "",unique(filter({unique(filter('Students (Vertical)'!O:O,'Students (Vertical)'!C:C=B670,'Students (Vertical)'!O:O&lt;&gt;"""",'Students (Vertical)'!P:P&gt;1));unique(filter('Students (Vertical)'!O:O,'Students (Vertic"&amp;"al)'!C:C=E670,'Students (Vertical)'!O:O&lt;&gt;"""",'Students (Vertical)'!P:P&gt;1))},countifs({unique(filter('Students (Vertical)'!O:O,'Students (Vertical)'!C:C=B670,'Students (Vertical)'!O:O&lt;&gt;"""",'Students (Vertical)'!P:P&gt;1));unique(filter('Students (Vertical)'"&amp;"!O:O,'Students (Vertical)'!C:C=E670,'Students (Vertical)'!O:O&lt;&gt;"""",'Students (Vertical)'!P:P&gt;1))},{unique(filter('Students (Vertical)'!O:O,'Students (Vertical)'!C:C=B670,'Students (Vertical)'!O:O&lt;&gt;"""",'Students (Vertical)'!P:P&gt;1));unique(filter('Student"&amp;"s (Vertical)'!O:O,'Students (Vertical)'!C:C=E670,'Students (Vertical)'!O:O&lt;&gt;"""",'Students (Vertical)'!P:P&gt;1))})&gt;1))),""""),"""")"),"")</f>
        <v/>
      </c>
      <c r="K670" s="96" t="str">
        <f>IFERROR(__xludf.DUMMYFUNCTION("iferror(join("", "",unique(filter({filter('Students (Vertical)'!D:D,'Students (Vertical)'!C:C=B670,'Students (Vertical)'!D:D&lt;&gt;"""");filter('Students (Vertical)'!D:D,'Students (Vertical)'!C:C=E670,'Students (Vertical)'!D:D&lt;&gt;"""")},countifs({filter('Student"&amp;"s (Vertical)'!D:D,'Students (Vertical)'!C:C=B670,'Students (Vertical)'!D:D&lt;&gt;"""");filter('Students (Vertical)'!D:D,'Students (Vertical)'!C:C=E670,'Students (Vertical)'!D:D&lt;&gt;"""")},{filter('Students (Vertical)'!D:D,'Students (Vertical)'!C:C=B670,'Students "&amp;"(Vertical)'!D:D&lt;&gt;"""");filter('Students (Vertical)'!D:D,'Students (Vertical)'!C:C=E670,'Students (Vertical)'!D:D&lt;&gt;"""")})&gt;1))),"""")"),"")</f>
        <v/>
      </c>
      <c r="L670" s="96"/>
      <c r="M670" s="96"/>
    </row>
    <row r="671" hidden="1">
      <c r="A671" s="8" t="s">
        <v>8</v>
      </c>
      <c r="C671" s="8" t="s">
        <v>8</v>
      </c>
      <c r="D671" s="8" t="s">
        <v>8</v>
      </c>
      <c r="F671" s="8" t="s">
        <v>8</v>
      </c>
      <c r="G671" s="8" t="s">
        <v>8</v>
      </c>
      <c r="I671" s="94" t="str">
        <f>IFERROR(__xludf.DUMMYFUNCTION("if(H671=""Must be Together"",iferror(join("", "",unique(filter({filter('Students (Vertical)'!O:O,'Students (Vertical)'!C:C=B671,'Students (Vertical)'!O:O&lt;&gt;"""");filter('Students (Vertical)'!O:O,'Students (Vertical)'!C:C=E671,'Students (Vertical)'!O:O&lt;&gt;"""&amp;""")},countifs({filter('Students (Vertical)'!O:O,'Students (Vertical)'!C:C=B671,'Students (Vertical)'!O:O&lt;&gt;"""");filter('Students (Vertical)'!O:O,'Students (Vertical)'!C:C=E671,'Students (Vertical)'!O:O&lt;&gt;"""")},{filter('Students (Vertical)'!O:O,'Students ("&amp;"Vertical)'!C:C=B671,'Students (Vertical)'!O:O&lt;&gt;"""");filter('Students (Vertical)'!O:O,'Students (Vertical)'!C:C=E671,'Students (Vertical)'!O:O&lt;&gt;"""")})&gt;1))),""No shared courses""),"""")"),"")</f>
        <v/>
      </c>
      <c r="J671" s="94" t="str">
        <f>IFERROR(__xludf.DUMMYFUNCTION("if(H671=""Can't be Together"",iferror(join("", "",unique(filter({unique(filter('Students (Vertical)'!O:O,'Students (Vertical)'!C:C=B671,'Students (Vertical)'!O:O&lt;&gt;"""",'Students (Vertical)'!P:P&gt;1));unique(filter('Students (Vertical)'!O:O,'Students (Vertic"&amp;"al)'!C:C=E671,'Students (Vertical)'!O:O&lt;&gt;"""",'Students (Vertical)'!P:P&gt;1))},countifs({unique(filter('Students (Vertical)'!O:O,'Students (Vertical)'!C:C=B671,'Students (Vertical)'!O:O&lt;&gt;"""",'Students (Vertical)'!P:P&gt;1));unique(filter('Students (Vertical)'"&amp;"!O:O,'Students (Vertical)'!C:C=E671,'Students (Vertical)'!O:O&lt;&gt;"""",'Students (Vertical)'!P:P&gt;1))},{unique(filter('Students (Vertical)'!O:O,'Students (Vertical)'!C:C=B671,'Students (Vertical)'!O:O&lt;&gt;"""",'Students (Vertical)'!P:P&gt;1));unique(filter('Student"&amp;"s (Vertical)'!O:O,'Students (Vertical)'!C:C=E671,'Students (Vertical)'!O:O&lt;&gt;"""",'Students (Vertical)'!P:P&gt;1))})&gt;1))),""""),"""")"),"")</f>
        <v/>
      </c>
      <c r="K671" s="96" t="str">
        <f>IFERROR(__xludf.DUMMYFUNCTION("iferror(join("", "",unique(filter({filter('Students (Vertical)'!D:D,'Students (Vertical)'!C:C=B671,'Students (Vertical)'!D:D&lt;&gt;"""");filter('Students (Vertical)'!D:D,'Students (Vertical)'!C:C=E671,'Students (Vertical)'!D:D&lt;&gt;"""")},countifs({filter('Student"&amp;"s (Vertical)'!D:D,'Students (Vertical)'!C:C=B671,'Students (Vertical)'!D:D&lt;&gt;"""");filter('Students (Vertical)'!D:D,'Students (Vertical)'!C:C=E671,'Students (Vertical)'!D:D&lt;&gt;"""")},{filter('Students (Vertical)'!D:D,'Students (Vertical)'!C:C=B671,'Students "&amp;"(Vertical)'!D:D&lt;&gt;"""");filter('Students (Vertical)'!D:D,'Students (Vertical)'!C:C=E671,'Students (Vertical)'!D:D&lt;&gt;"""")})&gt;1))),"""")"),"")</f>
        <v/>
      </c>
      <c r="L671" s="96"/>
      <c r="M671" s="96"/>
    </row>
    <row r="672" hidden="1">
      <c r="A672" s="8" t="s">
        <v>8</v>
      </c>
      <c r="C672" s="8" t="s">
        <v>8</v>
      </c>
      <c r="D672" s="8" t="s">
        <v>8</v>
      </c>
      <c r="F672" s="8" t="s">
        <v>8</v>
      </c>
      <c r="G672" s="8" t="s">
        <v>8</v>
      </c>
      <c r="I672" s="94" t="str">
        <f>IFERROR(__xludf.DUMMYFUNCTION("if(H672=""Must be Together"",iferror(join("", "",unique(filter({filter('Students (Vertical)'!O:O,'Students (Vertical)'!C:C=B672,'Students (Vertical)'!O:O&lt;&gt;"""");filter('Students (Vertical)'!O:O,'Students (Vertical)'!C:C=E672,'Students (Vertical)'!O:O&lt;&gt;"""&amp;""")},countifs({filter('Students (Vertical)'!O:O,'Students (Vertical)'!C:C=B672,'Students (Vertical)'!O:O&lt;&gt;"""");filter('Students (Vertical)'!O:O,'Students (Vertical)'!C:C=E672,'Students (Vertical)'!O:O&lt;&gt;"""")},{filter('Students (Vertical)'!O:O,'Students ("&amp;"Vertical)'!C:C=B672,'Students (Vertical)'!O:O&lt;&gt;"""");filter('Students (Vertical)'!O:O,'Students (Vertical)'!C:C=E672,'Students (Vertical)'!O:O&lt;&gt;"""")})&gt;1))),""No shared courses""),"""")"),"")</f>
        <v/>
      </c>
      <c r="J672" s="94" t="str">
        <f>IFERROR(__xludf.DUMMYFUNCTION("if(H672=""Can't be Together"",iferror(join("", "",unique(filter({unique(filter('Students (Vertical)'!O:O,'Students (Vertical)'!C:C=B672,'Students (Vertical)'!O:O&lt;&gt;"""",'Students (Vertical)'!P:P&gt;1));unique(filter('Students (Vertical)'!O:O,'Students (Vertic"&amp;"al)'!C:C=E672,'Students (Vertical)'!O:O&lt;&gt;"""",'Students (Vertical)'!P:P&gt;1))},countifs({unique(filter('Students (Vertical)'!O:O,'Students (Vertical)'!C:C=B672,'Students (Vertical)'!O:O&lt;&gt;"""",'Students (Vertical)'!P:P&gt;1));unique(filter('Students (Vertical)'"&amp;"!O:O,'Students (Vertical)'!C:C=E672,'Students (Vertical)'!O:O&lt;&gt;"""",'Students (Vertical)'!P:P&gt;1))},{unique(filter('Students (Vertical)'!O:O,'Students (Vertical)'!C:C=B672,'Students (Vertical)'!O:O&lt;&gt;"""",'Students (Vertical)'!P:P&gt;1));unique(filter('Student"&amp;"s (Vertical)'!O:O,'Students (Vertical)'!C:C=E672,'Students (Vertical)'!O:O&lt;&gt;"""",'Students (Vertical)'!P:P&gt;1))})&gt;1))),""""),"""")"),"")</f>
        <v/>
      </c>
      <c r="K672" s="96" t="str">
        <f>IFERROR(__xludf.DUMMYFUNCTION("iferror(join("", "",unique(filter({filter('Students (Vertical)'!D:D,'Students (Vertical)'!C:C=B672,'Students (Vertical)'!D:D&lt;&gt;"""");filter('Students (Vertical)'!D:D,'Students (Vertical)'!C:C=E672,'Students (Vertical)'!D:D&lt;&gt;"""")},countifs({filter('Student"&amp;"s (Vertical)'!D:D,'Students (Vertical)'!C:C=B672,'Students (Vertical)'!D:D&lt;&gt;"""");filter('Students (Vertical)'!D:D,'Students (Vertical)'!C:C=E672,'Students (Vertical)'!D:D&lt;&gt;"""")},{filter('Students (Vertical)'!D:D,'Students (Vertical)'!C:C=B672,'Students "&amp;"(Vertical)'!D:D&lt;&gt;"""");filter('Students (Vertical)'!D:D,'Students (Vertical)'!C:C=E672,'Students (Vertical)'!D:D&lt;&gt;"""")})&gt;1))),"""")"),"")</f>
        <v/>
      </c>
      <c r="L672" s="96"/>
      <c r="M672" s="96"/>
    </row>
    <row r="673" hidden="1">
      <c r="A673" s="8" t="s">
        <v>8</v>
      </c>
      <c r="C673" s="8" t="s">
        <v>8</v>
      </c>
      <c r="D673" s="8" t="s">
        <v>8</v>
      </c>
      <c r="F673" s="8" t="s">
        <v>8</v>
      </c>
      <c r="G673" s="8" t="s">
        <v>8</v>
      </c>
      <c r="I673" s="94" t="str">
        <f>IFERROR(__xludf.DUMMYFUNCTION("if(H673=""Must be Together"",iferror(join("", "",unique(filter({filter('Students (Vertical)'!O:O,'Students (Vertical)'!C:C=B673,'Students (Vertical)'!O:O&lt;&gt;"""");filter('Students (Vertical)'!O:O,'Students (Vertical)'!C:C=E673,'Students (Vertical)'!O:O&lt;&gt;"""&amp;""")},countifs({filter('Students (Vertical)'!O:O,'Students (Vertical)'!C:C=B673,'Students (Vertical)'!O:O&lt;&gt;"""");filter('Students (Vertical)'!O:O,'Students (Vertical)'!C:C=E673,'Students (Vertical)'!O:O&lt;&gt;"""")},{filter('Students (Vertical)'!O:O,'Students ("&amp;"Vertical)'!C:C=B673,'Students (Vertical)'!O:O&lt;&gt;"""");filter('Students (Vertical)'!O:O,'Students (Vertical)'!C:C=E673,'Students (Vertical)'!O:O&lt;&gt;"""")})&gt;1))),""No shared courses""),"""")"),"")</f>
        <v/>
      </c>
      <c r="J673" s="94" t="str">
        <f>IFERROR(__xludf.DUMMYFUNCTION("if(H673=""Can't be Together"",iferror(join("", "",unique(filter({unique(filter('Students (Vertical)'!O:O,'Students (Vertical)'!C:C=B673,'Students (Vertical)'!O:O&lt;&gt;"""",'Students (Vertical)'!P:P&gt;1));unique(filter('Students (Vertical)'!O:O,'Students (Vertic"&amp;"al)'!C:C=E673,'Students (Vertical)'!O:O&lt;&gt;"""",'Students (Vertical)'!P:P&gt;1))},countifs({unique(filter('Students (Vertical)'!O:O,'Students (Vertical)'!C:C=B673,'Students (Vertical)'!O:O&lt;&gt;"""",'Students (Vertical)'!P:P&gt;1));unique(filter('Students (Vertical)'"&amp;"!O:O,'Students (Vertical)'!C:C=E673,'Students (Vertical)'!O:O&lt;&gt;"""",'Students (Vertical)'!P:P&gt;1))},{unique(filter('Students (Vertical)'!O:O,'Students (Vertical)'!C:C=B673,'Students (Vertical)'!O:O&lt;&gt;"""",'Students (Vertical)'!P:P&gt;1));unique(filter('Student"&amp;"s (Vertical)'!O:O,'Students (Vertical)'!C:C=E673,'Students (Vertical)'!O:O&lt;&gt;"""",'Students (Vertical)'!P:P&gt;1))})&gt;1))),""""),"""")"),"")</f>
        <v/>
      </c>
      <c r="K673" s="96" t="str">
        <f>IFERROR(__xludf.DUMMYFUNCTION("iferror(join("", "",unique(filter({filter('Students (Vertical)'!D:D,'Students (Vertical)'!C:C=B673,'Students (Vertical)'!D:D&lt;&gt;"""");filter('Students (Vertical)'!D:D,'Students (Vertical)'!C:C=E673,'Students (Vertical)'!D:D&lt;&gt;"""")},countifs({filter('Student"&amp;"s (Vertical)'!D:D,'Students (Vertical)'!C:C=B673,'Students (Vertical)'!D:D&lt;&gt;"""");filter('Students (Vertical)'!D:D,'Students (Vertical)'!C:C=E673,'Students (Vertical)'!D:D&lt;&gt;"""")},{filter('Students (Vertical)'!D:D,'Students (Vertical)'!C:C=B673,'Students "&amp;"(Vertical)'!D:D&lt;&gt;"""");filter('Students (Vertical)'!D:D,'Students (Vertical)'!C:C=E673,'Students (Vertical)'!D:D&lt;&gt;"""")})&gt;1))),"""")"),"")</f>
        <v/>
      </c>
      <c r="L673" s="96"/>
      <c r="M673" s="96"/>
    </row>
    <row r="674" hidden="1">
      <c r="A674" s="8" t="s">
        <v>8</v>
      </c>
      <c r="C674" s="8" t="s">
        <v>8</v>
      </c>
      <c r="D674" s="8" t="s">
        <v>8</v>
      </c>
      <c r="F674" s="8" t="s">
        <v>8</v>
      </c>
      <c r="G674" s="8" t="s">
        <v>8</v>
      </c>
      <c r="I674" s="94" t="str">
        <f>IFERROR(__xludf.DUMMYFUNCTION("if(H674=""Must be Together"",iferror(join("", "",unique(filter({filter('Students (Vertical)'!O:O,'Students (Vertical)'!C:C=B674,'Students (Vertical)'!O:O&lt;&gt;"""");filter('Students (Vertical)'!O:O,'Students (Vertical)'!C:C=E674,'Students (Vertical)'!O:O&lt;&gt;"""&amp;""")},countifs({filter('Students (Vertical)'!O:O,'Students (Vertical)'!C:C=B674,'Students (Vertical)'!O:O&lt;&gt;"""");filter('Students (Vertical)'!O:O,'Students (Vertical)'!C:C=E674,'Students (Vertical)'!O:O&lt;&gt;"""")},{filter('Students (Vertical)'!O:O,'Students ("&amp;"Vertical)'!C:C=B674,'Students (Vertical)'!O:O&lt;&gt;"""");filter('Students (Vertical)'!O:O,'Students (Vertical)'!C:C=E674,'Students (Vertical)'!O:O&lt;&gt;"""")})&gt;1))),""No shared courses""),"""")"),"")</f>
        <v/>
      </c>
      <c r="J674" s="94" t="str">
        <f>IFERROR(__xludf.DUMMYFUNCTION("if(H674=""Can't be Together"",iferror(join("", "",unique(filter({unique(filter('Students (Vertical)'!O:O,'Students (Vertical)'!C:C=B674,'Students (Vertical)'!O:O&lt;&gt;"""",'Students (Vertical)'!P:P&gt;1));unique(filter('Students (Vertical)'!O:O,'Students (Vertic"&amp;"al)'!C:C=E674,'Students (Vertical)'!O:O&lt;&gt;"""",'Students (Vertical)'!P:P&gt;1))},countifs({unique(filter('Students (Vertical)'!O:O,'Students (Vertical)'!C:C=B674,'Students (Vertical)'!O:O&lt;&gt;"""",'Students (Vertical)'!P:P&gt;1));unique(filter('Students (Vertical)'"&amp;"!O:O,'Students (Vertical)'!C:C=E674,'Students (Vertical)'!O:O&lt;&gt;"""",'Students (Vertical)'!P:P&gt;1))},{unique(filter('Students (Vertical)'!O:O,'Students (Vertical)'!C:C=B674,'Students (Vertical)'!O:O&lt;&gt;"""",'Students (Vertical)'!P:P&gt;1));unique(filter('Student"&amp;"s (Vertical)'!O:O,'Students (Vertical)'!C:C=E674,'Students (Vertical)'!O:O&lt;&gt;"""",'Students (Vertical)'!P:P&gt;1))})&gt;1))),""""),"""")"),"")</f>
        <v/>
      </c>
      <c r="K674" s="96" t="str">
        <f>IFERROR(__xludf.DUMMYFUNCTION("iferror(join("", "",unique(filter({filter('Students (Vertical)'!D:D,'Students (Vertical)'!C:C=B674,'Students (Vertical)'!D:D&lt;&gt;"""");filter('Students (Vertical)'!D:D,'Students (Vertical)'!C:C=E674,'Students (Vertical)'!D:D&lt;&gt;"""")},countifs({filter('Student"&amp;"s (Vertical)'!D:D,'Students (Vertical)'!C:C=B674,'Students (Vertical)'!D:D&lt;&gt;"""");filter('Students (Vertical)'!D:D,'Students (Vertical)'!C:C=E674,'Students (Vertical)'!D:D&lt;&gt;"""")},{filter('Students (Vertical)'!D:D,'Students (Vertical)'!C:C=B674,'Students "&amp;"(Vertical)'!D:D&lt;&gt;"""");filter('Students (Vertical)'!D:D,'Students (Vertical)'!C:C=E674,'Students (Vertical)'!D:D&lt;&gt;"""")})&gt;1))),"""")"),"")</f>
        <v/>
      </c>
      <c r="L674" s="96"/>
      <c r="M674" s="96"/>
    </row>
    <row r="675" hidden="1">
      <c r="A675" s="8" t="s">
        <v>8</v>
      </c>
      <c r="C675" s="8" t="s">
        <v>8</v>
      </c>
      <c r="D675" s="8" t="s">
        <v>8</v>
      </c>
      <c r="F675" s="8" t="s">
        <v>8</v>
      </c>
      <c r="G675" s="8" t="s">
        <v>8</v>
      </c>
      <c r="I675" s="94" t="str">
        <f>IFERROR(__xludf.DUMMYFUNCTION("if(H675=""Must be Together"",iferror(join("", "",unique(filter({filter('Students (Vertical)'!O:O,'Students (Vertical)'!C:C=B675,'Students (Vertical)'!O:O&lt;&gt;"""");filter('Students (Vertical)'!O:O,'Students (Vertical)'!C:C=E675,'Students (Vertical)'!O:O&lt;&gt;"""&amp;""")},countifs({filter('Students (Vertical)'!O:O,'Students (Vertical)'!C:C=B675,'Students (Vertical)'!O:O&lt;&gt;"""");filter('Students (Vertical)'!O:O,'Students (Vertical)'!C:C=E675,'Students (Vertical)'!O:O&lt;&gt;"""")},{filter('Students (Vertical)'!O:O,'Students ("&amp;"Vertical)'!C:C=B675,'Students (Vertical)'!O:O&lt;&gt;"""");filter('Students (Vertical)'!O:O,'Students (Vertical)'!C:C=E675,'Students (Vertical)'!O:O&lt;&gt;"""")})&gt;1))),""No shared courses""),"""")"),"")</f>
        <v/>
      </c>
      <c r="J675" s="94" t="str">
        <f>IFERROR(__xludf.DUMMYFUNCTION("if(H675=""Can't be Together"",iferror(join("", "",unique(filter({unique(filter('Students (Vertical)'!O:O,'Students (Vertical)'!C:C=B675,'Students (Vertical)'!O:O&lt;&gt;"""",'Students (Vertical)'!P:P&gt;1));unique(filter('Students (Vertical)'!O:O,'Students (Vertic"&amp;"al)'!C:C=E675,'Students (Vertical)'!O:O&lt;&gt;"""",'Students (Vertical)'!P:P&gt;1))},countifs({unique(filter('Students (Vertical)'!O:O,'Students (Vertical)'!C:C=B675,'Students (Vertical)'!O:O&lt;&gt;"""",'Students (Vertical)'!P:P&gt;1));unique(filter('Students (Vertical)'"&amp;"!O:O,'Students (Vertical)'!C:C=E675,'Students (Vertical)'!O:O&lt;&gt;"""",'Students (Vertical)'!P:P&gt;1))},{unique(filter('Students (Vertical)'!O:O,'Students (Vertical)'!C:C=B675,'Students (Vertical)'!O:O&lt;&gt;"""",'Students (Vertical)'!P:P&gt;1));unique(filter('Student"&amp;"s (Vertical)'!O:O,'Students (Vertical)'!C:C=E675,'Students (Vertical)'!O:O&lt;&gt;"""",'Students (Vertical)'!P:P&gt;1))})&gt;1))),""""),"""")"),"")</f>
        <v/>
      </c>
      <c r="K675" s="96" t="str">
        <f>IFERROR(__xludf.DUMMYFUNCTION("iferror(join("", "",unique(filter({filter('Students (Vertical)'!D:D,'Students (Vertical)'!C:C=B675,'Students (Vertical)'!D:D&lt;&gt;"""");filter('Students (Vertical)'!D:D,'Students (Vertical)'!C:C=E675,'Students (Vertical)'!D:D&lt;&gt;"""")},countifs({filter('Student"&amp;"s (Vertical)'!D:D,'Students (Vertical)'!C:C=B675,'Students (Vertical)'!D:D&lt;&gt;"""");filter('Students (Vertical)'!D:D,'Students (Vertical)'!C:C=E675,'Students (Vertical)'!D:D&lt;&gt;"""")},{filter('Students (Vertical)'!D:D,'Students (Vertical)'!C:C=B675,'Students "&amp;"(Vertical)'!D:D&lt;&gt;"""");filter('Students (Vertical)'!D:D,'Students (Vertical)'!C:C=E675,'Students (Vertical)'!D:D&lt;&gt;"""")})&gt;1))),"""")"),"")</f>
        <v/>
      </c>
      <c r="L675" s="96"/>
      <c r="M675" s="96"/>
    </row>
    <row r="676" hidden="1">
      <c r="A676" s="8" t="s">
        <v>8</v>
      </c>
      <c r="C676" s="8" t="s">
        <v>8</v>
      </c>
      <c r="D676" s="8" t="s">
        <v>8</v>
      </c>
      <c r="F676" s="8" t="s">
        <v>8</v>
      </c>
      <c r="G676" s="8" t="s">
        <v>8</v>
      </c>
      <c r="I676" s="94" t="str">
        <f>IFERROR(__xludf.DUMMYFUNCTION("if(H676=""Must be Together"",iferror(join("", "",unique(filter({filter('Students (Vertical)'!O:O,'Students (Vertical)'!C:C=B676,'Students (Vertical)'!O:O&lt;&gt;"""");filter('Students (Vertical)'!O:O,'Students (Vertical)'!C:C=E676,'Students (Vertical)'!O:O&lt;&gt;"""&amp;""")},countifs({filter('Students (Vertical)'!O:O,'Students (Vertical)'!C:C=B676,'Students (Vertical)'!O:O&lt;&gt;"""");filter('Students (Vertical)'!O:O,'Students (Vertical)'!C:C=E676,'Students (Vertical)'!O:O&lt;&gt;"""")},{filter('Students (Vertical)'!O:O,'Students ("&amp;"Vertical)'!C:C=B676,'Students (Vertical)'!O:O&lt;&gt;"""");filter('Students (Vertical)'!O:O,'Students (Vertical)'!C:C=E676,'Students (Vertical)'!O:O&lt;&gt;"""")})&gt;1))),""No shared courses""),"""")"),"")</f>
        <v/>
      </c>
      <c r="J676" s="94" t="str">
        <f>IFERROR(__xludf.DUMMYFUNCTION("if(H676=""Can't be Together"",iferror(join("", "",unique(filter({unique(filter('Students (Vertical)'!O:O,'Students (Vertical)'!C:C=B676,'Students (Vertical)'!O:O&lt;&gt;"""",'Students (Vertical)'!P:P&gt;1));unique(filter('Students (Vertical)'!O:O,'Students (Vertic"&amp;"al)'!C:C=E676,'Students (Vertical)'!O:O&lt;&gt;"""",'Students (Vertical)'!P:P&gt;1))},countifs({unique(filter('Students (Vertical)'!O:O,'Students (Vertical)'!C:C=B676,'Students (Vertical)'!O:O&lt;&gt;"""",'Students (Vertical)'!P:P&gt;1));unique(filter('Students (Vertical)'"&amp;"!O:O,'Students (Vertical)'!C:C=E676,'Students (Vertical)'!O:O&lt;&gt;"""",'Students (Vertical)'!P:P&gt;1))},{unique(filter('Students (Vertical)'!O:O,'Students (Vertical)'!C:C=B676,'Students (Vertical)'!O:O&lt;&gt;"""",'Students (Vertical)'!P:P&gt;1));unique(filter('Student"&amp;"s (Vertical)'!O:O,'Students (Vertical)'!C:C=E676,'Students (Vertical)'!O:O&lt;&gt;"""",'Students (Vertical)'!P:P&gt;1))})&gt;1))),""""),"""")"),"")</f>
        <v/>
      </c>
      <c r="K676" s="96" t="str">
        <f>IFERROR(__xludf.DUMMYFUNCTION("iferror(join("", "",unique(filter({filter('Students (Vertical)'!D:D,'Students (Vertical)'!C:C=B676,'Students (Vertical)'!D:D&lt;&gt;"""");filter('Students (Vertical)'!D:D,'Students (Vertical)'!C:C=E676,'Students (Vertical)'!D:D&lt;&gt;"""")},countifs({filter('Student"&amp;"s (Vertical)'!D:D,'Students (Vertical)'!C:C=B676,'Students (Vertical)'!D:D&lt;&gt;"""");filter('Students (Vertical)'!D:D,'Students (Vertical)'!C:C=E676,'Students (Vertical)'!D:D&lt;&gt;"""")},{filter('Students (Vertical)'!D:D,'Students (Vertical)'!C:C=B676,'Students "&amp;"(Vertical)'!D:D&lt;&gt;"""");filter('Students (Vertical)'!D:D,'Students (Vertical)'!C:C=E676,'Students (Vertical)'!D:D&lt;&gt;"""")})&gt;1))),"""")"),"")</f>
        <v/>
      </c>
      <c r="L676" s="96"/>
      <c r="M676" s="96"/>
    </row>
    <row r="677" hidden="1">
      <c r="A677" s="8" t="s">
        <v>8</v>
      </c>
      <c r="C677" s="8" t="s">
        <v>8</v>
      </c>
      <c r="D677" s="8" t="s">
        <v>8</v>
      </c>
      <c r="F677" s="8" t="s">
        <v>8</v>
      </c>
      <c r="G677" s="8" t="s">
        <v>8</v>
      </c>
      <c r="I677" s="94" t="str">
        <f>IFERROR(__xludf.DUMMYFUNCTION("if(H677=""Must be Together"",iferror(join("", "",unique(filter({filter('Students (Vertical)'!O:O,'Students (Vertical)'!C:C=B677,'Students (Vertical)'!O:O&lt;&gt;"""");filter('Students (Vertical)'!O:O,'Students (Vertical)'!C:C=E677,'Students (Vertical)'!O:O&lt;&gt;"""&amp;""")},countifs({filter('Students (Vertical)'!O:O,'Students (Vertical)'!C:C=B677,'Students (Vertical)'!O:O&lt;&gt;"""");filter('Students (Vertical)'!O:O,'Students (Vertical)'!C:C=E677,'Students (Vertical)'!O:O&lt;&gt;"""")},{filter('Students (Vertical)'!O:O,'Students ("&amp;"Vertical)'!C:C=B677,'Students (Vertical)'!O:O&lt;&gt;"""");filter('Students (Vertical)'!O:O,'Students (Vertical)'!C:C=E677,'Students (Vertical)'!O:O&lt;&gt;"""")})&gt;1))),""No shared courses""),"""")"),"")</f>
        <v/>
      </c>
      <c r="J677" s="94" t="str">
        <f>IFERROR(__xludf.DUMMYFUNCTION("if(H677=""Can't be Together"",iferror(join("", "",unique(filter({unique(filter('Students (Vertical)'!O:O,'Students (Vertical)'!C:C=B677,'Students (Vertical)'!O:O&lt;&gt;"""",'Students (Vertical)'!P:P&gt;1));unique(filter('Students (Vertical)'!O:O,'Students (Vertic"&amp;"al)'!C:C=E677,'Students (Vertical)'!O:O&lt;&gt;"""",'Students (Vertical)'!P:P&gt;1))},countifs({unique(filter('Students (Vertical)'!O:O,'Students (Vertical)'!C:C=B677,'Students (Vertical)'!O:O&lt;&gt;"""",'Students (Vertical)'!P:P&gt;1));unique(filter('Students (Vertical)'"&amp;"!O:O,'Students (Vertical)'!C:C=E677,'Students (Vertical)'!O:O&lt;&gt;"""",'Students (Vertical)'!P:P&gt;1))},{unique(filter('Students (Vertical)'!O:O,'Students (Vertical)'!C:C=B677,'Students (Vertical)'!O:O&lt;&gt;"""",'Students (Vertical)'!P:P&gt;1));unique(filter('Student"&amp;"s (Vertical)'!O:O,'Students (Vertical)'!C:C=E677,'Students (Vertical)'!O:O&lt;&gt;"""",'Students (Vertical)'!P:P&gt;1))})&gt;1))),""""),"""")"),"")</f>
        <v/>
      </c>
      <c r="K677" s="96" t="str">
        <f>IFERROR(__xludf.DUMMYFUNCTION("iferror(join("", "",unique(filter({filter('Students (Vertical)'!D:D,'Students (Vertical)'!C:C=B677,'Students (Vertical)'!D:D&lt;&gt;"""");filter('Students (Vertical)'!D:D,'Students (Vertical)'!C:C=E677,'Students (Vertical)'!D:D&lt;&gt;"""")},countifs({filter('Student"&amp;"s (Vertical)'!D:D,'Students (Vertical)'!C:C=B677,'Students (Vertical)'!D:D&lt;&gt;"""");filter('Students (Vertical)'!D:D,'Students (Vertical)'!C:C=E677,'Students (Vertical)'!D:D&lt;&gt;"""")},{filter('Students (Vertical)'!D:D,'Students (Vertical)'!C:C=B677,'Students "&amp;"(Vertical)'!D:D&lt;&gt;"""");filter('Students (Vertical)'!D:D,'Students (Vertical)'!C:C=E677,'Students (Vertical)'!D:D&lt;&gt;"""")})&gt;1))),"""")"),"")</f>
        <v/>
      </c>
      <c r="L677" s="96"/>
      <c r="M677" s="96"/>
    </row>
    <row r="678" hidden="1">
      <c r="A678" s="8" t="s">
        <v>8</v>
      </c>
      <c r="C678" s="8" t="s">
        <v>8</v>
      </c>
      <c r="D678" s="8" t="s">
        <v>8</v>
      </c>
      <c r="F678" s="8" t="s">
        <v>8</v>
      </c>
      <c r="G678" s="8" t="s">
        <v>8</v>
      </c>
      <c r="I678" s="94" t="str">
        <f>IFERROR(__xludf.DUMMYFUNCTION("if(H678=""Must be Together"",iferror(join("", "",unique(filter({filter('Students (Vertical)'!O:O,'Students (Vertical)'!C:C=B678,'Students (Vertical)'!O:O&lt;&gt;"""");filter('Students (Vertical)'!O:O,'Students (Vertical)'!C:C=E678,'Students (Vertical)'!O:O&lt;&gt;"""&amp;""")},countifs({filter('Students (Vertical)'!O:O,'Students (Vertical)'!C:C=B678,'Students (Vertical)'!O:O&lt;&gt;"""");filter('Students (Vertical)'!O:O,'Students (Vertical)'!C:C=E678,'Students (Vertical)'!O:O&lt;&gt;"""")},{filter('Students (Vertical)'!O:O,'Students ("&amp;"Vertical)'!C:C=B678,'Students (Vertical)'!O:O&lt;&gt;"""");filter('Students (Vertical)'!O:O,'Students (Vertical)'!C:C=E678,'Students (Vertical)'!O:O&lt;&gt;"""")})&gt;1))),""No shared courses""),"""")"),"")</f>
        <v/>
      </c>
      <c r="J678" s="94" t="str">
        <f>IFERROR(__xludf.DUMMYFUNCTION("if(H678=""Can't be Together"",iferror(join("", "",unique(filter({unique(filter('Students (Vertical)'!O:O,'Students (Vertical)'!C:C=B678,'Students (Vertical)'!O:O&lt;&gt;"""",'Students (Vertical)'!P:P&gt;1));unique(filter('Students (Vertical)'!O:O,'Students (Vertic"&amp;"al)'!C:C=E678,'Students (Vertical)'!O:O&lt;&gt;"""",'Students (Vertical)'!P:P&gt;1))},countifs({unique(filter('Students (Vertical)'!O:O,'Students (Vertical)'!C:C=B678,'Students (Vertical)'!O:O&lt;&gt;"""",'Students (Vertical)'!P:P&gt;1));unique(filter('Students (Vertical)'"&amp;"!O:O,'Students (Vertical)'!C:C=E678,'Students (Vertical)'!O:O&lt;&gt;"""",'Students (Vertical)'!P:P&gt;1))},{unique(filter('Students (Vertical)'!O:O,'Students (Vertical)'!C:C=B678,'Students (Vertical)'!O:O&lt;&gt;"""",'Students (Vertical)'!P:P&gt;1));unique(filter('Student"&amp;"s (Vertical)'!O:O,'Students (Vertical)'!C:C=E678,'Students (Vertical)'!O:O&lt;&gt;"""",'Students (Vertical)'!P:P&gt;1))})&gt;1))),""""),"""")"),"")</f>
        <v/>
      </c>
      <c r="K678" s="96" t="str">
        <f>IFERROR(__xludf.DUMMYFUNCTION("iferror(join("", "",unique(filter({filter('Students (Vertical)'!D:D,'Students (Vertical)'!C:C=B678,'Students (Vertical)'!D:D&lt;&gt;"""");filter('Students (Vertical)'!D:D,'Students (Vertical)'!C:C=E678,'Students (Vertical)'!D:D&lt;&gt;"""")},countifs({filter('Student"&amp;"s (Vertical)'!D:D,'Students (Vertical)'!C:C=B678,'Students (Vertical)'!D:D&lt;&gt;"""");filter('Students (Vertical)'!D:D,'Students (Vertical)'!C:C=E678,'Students (Vertical)'!D:D&lt;&gt;"""")},{filter('Students (Vertical)'!D:D,'Students (Vertical)'!C:C=B678,'Students "&amp;"(Vertical)'!D:D&lt;&gt;"""");filter('Students (Vertical)'!D:D,'Students (Vertical)'!C:C=E678,'Students (Vertical)'!D:D&lt;&gt;"""")})&gt;1))),"""")"),"")</f>
        <v/>
      </c>
      <c r="L678" s="96"/>
      <c r="M678" s="96"/>
    </row>
    <row r="679" hidden="1">
      <c r="A679" s="8" t="s">
        <v>8</v>
      </c>
      <c r="C679" s="8" t="s">
        <v>8</v>
      </c>
      <c r="D679" s="8" t="s">
        <v>8</v>
      </c>
      <c r="F679" s="8" t="s">
        <v>8</v>
      </c>
      <c r="G679" s="8" t="s">
        <v>8</v>
      </c>
      <c r="I679" s="94" t="str">
        <f>IFERROR(__xludf.DUMMYFUNCTION("if(H679=""Must be Together"",iferror(join("", "",unique(filter({filter('Students (Vertical)'!O:O,'Students (Vertical)'!C:C=B679,'Students (Vertical)'!O:O&lt;&gt;"""");filter('Students (Vertical)'!O:O,'Students (Vertical)'!C:C=E679,'Students (Vertical)'!O:O&lt;&gt;"""&amp;""")},countifs({filter('Students (Vertical)'!O:O,'Students (Vertical)'!C:C=B679,'Students (Vertical)'!O:O&lt;&gt;"""");filter('Students (Vertical)'!O:O,'Students (Vertical)'!C:C=E679,'Students (Vertical)'!O:O&lt;&gt;"""")},{filter('Students (Vertical)'!O:O,'Students ("&amp;"Vertical)'!C:C=B679,'Students (Vertical)'!O:O&lt;&gt;"""");filter('Students (Vertical)'!O:O,'Students (Vertical)'!C:C=E679,'Students (Vertical)'!O:O&lt;&gt;"""")})&gt;1))),""No shared courses""),"""")"),"")</f>
        <v/>
      </c>
      <c r="J679" s="94" t="str">
        <f>IFERROR(__xludf.DUMMYFUNCTION("if(H679=""Can't be Together"",iferror(join("", "",unique(filter({unique(filter('Students (Vertical)'!O:O,'Students (Vertical)'!C:C=B679,'Students (Vertical)'!O:O&lt;&gt;"""",'Students (Vertical)'!P:P&gt;1));unique(filter('Students (Vertical)'!O:O,'Students (Vertic"&amp;"al)'!C:C=E679,'Students (Vertical)'!O:O&lt;&gt;"""",'Students (Vertical)'!P:P&gt;1))},countifs({unique(filter('Students (Vertical)'!O:O,'Students (Vertical)'!C:C=B679,'Students (Vertical)'!O:O&lt;&gt;"""",'Students (Vertical)'!P:P&gt;1));unique(filter('Students (Vertical)'"&amp;"!O:O,'Students (Vertical)'!C:C=E679,'Students (Vertical)'!O:O&lt;&gt;"""",'Students (Vertical)'!P:P&gt;1))},{unique(filter('Students (Vertical)'!O:O,'Students (Vertical)'!C:C=B679,'Students (Vertical)'!O:O&lt;&gt;"""",'Students (Vertical)'!P:P&gt;1));unique(filter('Student"&amp;"s (Vertical)'!O:O,'Students (Vertical)'!C:C=E679,'Students (Vertical)'!O:O&lt;&gt;"""",'Students (Vertical)'!P:P&gt;1))})&gt;1))),""""),"""")"),"")</f>
        <v/>
      </c>
      <c r="K679" s="96" t="str">
        <f>IFERROR(__xludf.DUMMYFUNCTION("iferror(join("", "",unique(filter({filter('Students (Vertical)'!D:D,'Students (Vertical)'!C:C=B679,'Students (Vertical)'!D:D&lt;&gt;"""");filter('Students (Vertical)'!D:D,'Students (Vertical)'!C:C=E679,'Students (Vertical)'!D:D&lt;&gt;"""")},countifs({filter('Student"&amp;"s (Vertical)'!D:D,'Students (Vertical)'!C:C=B679,'Students (Vertical)'!D:D&lt;&gt;"""");filter('Students (Vertical)'!D:D,'Students (Vertical)'!C:C=E679,'Students (Vertical)'!D:D&lt;&gt;"""")},{filter('Students (Vertical)'!D:D,'Students (Vertical)'!C:C=B679,'Students "&amp;"(Vertical)'!D:D&lt;&gt;"""");filter('Students (Vertical)'!D:D,'Students (Vertical)'!C:C=E679,'Students (Vertical)'!D:D&lt;&gt;"""")})&gt;1))),"""")"),"")</f>
        <v/>
      </c>
      <c r="L679" s="96"/>
      <c r="M679" s="96"/>
    </row>
    <row r="680" hidden="1">
      <c r="A680" s="8" t="s">
        <v>8</v>
      </c>
      <c r="C680" s="8" t="s">
        <v>8</v>
      </c>
      <c r="D680" s="8" t="s">
        <v>8</v>
      </c>
      <c r="F680" s="8" t="s">
        <v>8</v>
      </c>
      <c r="G680" s="8" t="s">
        <v>8</v>
      </c>
      <c r="I680" s="94" t="str">
        <f>IFERROR(__xludf.DUMMYFUNCTION("if(H680=""Must be Together"",iferror(join("", "",unique(filter({filter('Students (Vertical)'!O:O,'Students (Vertical)'!C:C=B680,'Students (Vertical)'!O:O&lt;&gt;"""");filter('Students (Vertical)'!O:O,'Students (Vertical)'!C:C=E680,'Students (Vertical)'!O:O&lt;&gt;"""&amp;""")},countifs({filter('Students (Vertical)'!O:O,'Students (Vertical)'!C:C=B680,'Students (Vertical)'!O:O&lt;&gt;"""");filter('Students (Vertical)'!O:O,'Students (Vertical)'!C:C=E680,'Students (Vertical)'!O:O&lt;&gt;"""")},{filter('Students (Vertical)'!O:O,'Students ("&amp;"Vertical)'!C:C=B680,'Students (Vertical)'!O:O&lt;&gt;"""");filter('Students (Vertical)'!O:O,'Students (Vertical)'!C:C=E680,'Students (Vertical)'!O:O&lt;&gt;"""")})&gt;1))),""No shared courses""),"""")"),"")</f>
        <v/>
      </c>
      <c r="J680" s="94" t="str">
        <f>IFERROR(__xludf.DUMMYFUNCTION("if(H680=""Can't be Together"",iferror(join("", "",unique(filter({unique(filter('Students (Vertical)'!O:O,'Students (Vertical)'!C:C=B680,'Students (Vertical)'!O:O&lt;&gt;"""",'Students (Vertical)'!P:P&gt;1));unique(filter('Students (Vertical)'!O:O,'Students (Vertic"&amp;"al)'!C:C=E680,'Students (Vertical)'!O:O&lt;&gt;"""",'Students (Vertical)'!P:P&gt;1))},countifs({unique(filter('Students (Vertical)'!O:O,'Students (Vertical)'!C:C=B680,'Students (Vertical)'!O:O&lt;&gt;"""",'Students (Vertical)'!P:P&gt;1));unique(filter('Students (Vertical)'"&amp;"!O:O,'Students (Vertical)'!C:C=E680,'Students (Vertical)'!O:O&lt;&gt;"""",'Students (Vertical)'!P:P&gt;1))},{unique(filter('Students (Vertical)'!O:O,'Students (Vertical)'!C:C=B680,'Students (Vertical)'!O:O&lt;&gt;"""",'Students (Vertical)'!P:P&gt;1));unique(filter('Student"&amp;"s (Vertical)'!O:O,'Students (Vertical)'!C:C=E680,'Students (Vertical)'!O:O&lt;&gt;"""",'Students (Vertical)'!P:P&gt;1))})&gt;1))),""""),"""")"),"")</f>
        <v/>
      </c>
      <c r="K680" s="96" t="str">
        <f>IFERROR(__xludf.DUMMYFUNCTION("iferror(join("", "",unique(filter({filter('Students (Vertical)'!D:D,'Students (Vertical)'!C:C=B680,'Students (Vertical)'!D:D&lt;&gt;"""");filter('Students (Vertical)'!D:D,'Students (Vertical)'!C:C=E680,'Students (Vertical)'!D:D&lt;&gt;"""")},countifs({filter('Student"&amp;"s (Vertical)'!D:D,'Students (Vertical)'!C:C=B680,'Students (Vertical)'!D:D&lt;&gt;"""");filter('Students (Vertical)'!D:D,'Students (Vertical)'!C:C=E680,'Students (Vertical)'!D:D&lt;&gt;"""")},{filter('Students (Vertical)'!D:D,'Students (Vertical)'!C:C=B680,'Students "&amp;"(Vertical)'!D:D&lt;&gt;"""");filter('Students (Vertical)'!D:D,'Students (Vertical)'!C:C=E680,'Students (Vertical)'!D:D&lt;&gt;"""")})&gt;1))),"""")"),"")</f>
        <v/>
      </c>
      <c r="L680" s="96"/>
      <c r="M680" s="96"/>
    </row>
    <row r="681" hidden="1">
      <c r="A681" s="8" t="s">
        <v>8</v>
      </c>
      <c r="C681" s="8" t="s">
        <v>8</v>
      </c>
      <c r="D681" s="8" t="s">
        <v>8</v>
      </c>
      <c r="F681" s="8" t="s">
        <v>8</v>
      </c>
      <c r="G681" s="8" t="s">
        <v>8</v>
      </c>
      <c r="I681" s="94" t="str">
        <f>IFERROR(__xludf.DUMMYFUNCTION("if(H681=""Must be Together"",iferror(join("", "",unique(filter({filter('Students (Vertical)'!O:O,'Students (Vertical)'!C:C=B681,'Students (Vertical)'!O:O&lt;&gt;"""");filter('Students (Vertical)'!O:O,'Students (Vertical)'!C:C=E681,'Students (Vertical)'!O:O&lt;&gt;"""&amp;""")},countifs({filter('Students (Vertical)'!O:O,'Students (Vertical)'!C:C=B681,'Students (Vertical)'!O:O&lt;&gt;"""");filter('Students (Vertical)'!O:O,'Students (Vertical)'!C:C=E681,'Students (Vertical)'!O:O&lt;&gt;"""")},{filter('Students (Vertical)'!O:O,'Students ("&amp;"Vertical)'!C:C=B681,'Students (Vertical)'!O:O&lt;&gt;"""");filter('Students (Vertical)'!O:O,'Students (Vertical)'!C:C=E681,'Students (Vertical)'!O:O&lt;&gt;"""")})&gt;1))),""No shared courses""),"""")"),"")</f>
        <v/>
      </c>
      <c r="J681" s="94" t="str">
        <f>IFERROR(__xludf.DUMMYFUNCTION("if(H681=""Can't be Together"",iferror(join("", "",unique(filter({unique(filter('Students (Vertical)'!O:O,'Students (Vertical)'!C:C=B681,'Students (Vertical)'!O:O&lt;&gt;"""",'Students (Vertical)'!P:P&gt;1));unique(filter('Students (Vertical)'!O:O,'Students (Vertic"&amp;"al)'!C:C=E681,'Students (Vertical)'!O:O&lt;&gt;"""",'Students (Vertical)'!P:P&gt;1))},countifs({unique(filter('Students (Vertical)'!O:O,'Students (Vertical)'!C:C=B681,'Students (Vertical)'!O:O&lt;&gt;"""",'Students (Vertical)'!P:P&gt;1));unique(filter('Students (Vertical)'"&amp;"!O:O,'Students (Vertical)'!C:C=E681,'Students (Vertical)'!O:O&lt;&gt;"""",'Students (Vertical)'!P:P&gt;1))},{unique(filter('Students (Vertical)'!O:O,'Students (Vertical)'!C:C=B681,'Students (Vertical)'!O:O&lt;&gt;"""",'Students (Vertical)'!P:P&gt;1));unique(filter('Student"&amp;"s (Vertical)'!O:O,'Students (Vertical)'!C:C=E681,'Students (Vertical)'!O:O&lt;&gt;"""",'Students (Vertical)'!P:P&gt;1))})&gt;1))),""""),"""")"),"")</f>
        <v/>
      </c>
      <c r="K681" s="96" t="str">
        <f>IFERROR(__xludf.DUMMYFUNCTION("iferror(join("", "",unique(filter({filter('Students (Vertical)'!D:D,'Students (Vertical)'!C:C=B681,'Students (Vertical)'!D:D&lt;&gt;"""");filter('Students (Vertical)'!D:D,'Students (Vertical)'!C:C=E681,'Students (Vertical)'!D:D&lt;&gt;"""")},countifs({filter('Student"&amp;"s (Vertical)'!D:D,'Students (Vertical)'!C:C=B681,'Students (Vertical)'!D:D&lt;&gt;"""");filter('Students (Vertical)'!D:D,'Students (Vertical)'!C:C=E681,'Students (Vertical)'!D:D&lt;&gt;"""")},{filter('Students (Vertical)'!D:D,'Students (Vertical)'!C:C=B681,'Students "&amp;"(Vertical)'!D:D&lt;&gt;"""");filter('Students (Vertical)'!D:D,'Students (Vertical)'!C:C=E681,'Students (Vertical)'!D:D&lt;&gt;"""")})&gt;1))),"""")"),"")</f>
        <v/>
      </c>
      <c r="L681" s="96"/>
      <c r="M681" s="96"/>
    </row>
    <row r="682" hidden="1">
      <c r="A682" s="8" t="s">
        <v>8</v>
      </c>
      <c r="C682" s="8" t="s">
        <v>8</v>
      </c>
      <c r="D682" s="8" t="s">
        <v>8</v>
      </c>
      <c r="F682" s="8" t="s">
        <v>8</v>
      </c>
      <c r="G682" s="8" t="s">
        <v>8</v>
      </c>
      <c r="I682" s="94" t="str">
        <f>IFERROR(__xludf.DUMMYFUNCTION("if(H682=""Must be Together"",iferror(join("", "",unique(filter({filter('Students (Vertical)'!O:O,'Students (Vertical)'!C:C=B682,'Students (Vertical)'!O:O&lt;&gt;"""");filter('Students (Vertical)'!O:O,'Students (Vertical)'!C:C=E682,'Students (Vertical)'!O:O&lt;&gt;"""&amp;""")},countifs({filter('Students (Vertical)'!O:O,'Students (Vertical)'!C:C=B682,'Students (Vertical)'!O:O&lt;&gt;"""");filter('Students (Vertical)'!O:O,'Students (Vertical)'!C:C=E682,'Students (Vertical)'!O:O&lt;&gt;"""")},{filter('Students (Vertical)'!O:O,'Students ("&amp;"Vertical)'!C:C=B682,'Students (Vertical)'!O:O&lt;&gt;"""");filter('Students (Vertical)'!O:O,'Students (Vertical)'!C:C=E682,'Students (Vertical)'!O:O&lt;&gt;"""")})&gt;1))),""No shared courses""),"""")"),"")</f>
        <v/>
      </c>
      <c r="J682" s="94" t="str">
        <f>IFERROR(__xludf.DUMMYFUNCTION("if(H682=""Can't be Together"",iferror(join("", "",unique(filter({unique(filter('Students (Vertical)'!O:O,'Students (Vertical)'!C:C=B682,'Students (Vertical)'!O:O&lt;&gt;"""",'Students (Vertical)'!P:P&gt;1));unique(filter('Students (Vertical)'!O:O,'Students (Vertic"&amp;"al)'!C:C=E682,'Students (Vertical)'!O:O&lt;&gt;"""",'Students (Vertical)'!P:P&gt;1))},countifs({unique(filter('Students (Vertical)'!O:O,'Students (Vertical)'!C:C=B682,'Students (Vertical)'!O:O&lt;&gt;"""",'Students (Vertical)'!P:P&gt;1));unique(filter('Students (Vertical)'"&amp;"!O:O,'Students (Vertical)'!C:C=E682,'Students (Vertical)'!O:O&lt;&gt;"""",'Students (Vertical)'!P:P&gt;1))},{unique(filter('Students (Vertical)'!O:O,'Students (Vertical)'!C:C=B682,'Students (Vertical)'!O:O&lt;&gt;"""",'Students (Vertical)'!P:P&gt;1));unique(filter('Student"&amp;"s (Vertical)'!O:O,'Students (Vertical)'!C:C=E682,'Students (Vertical)'!O:O&lt;&gt;"""",'Students (Vertical)'!P:P&gt;1))})&gt;1))),""""),"""")"),"")</f>
        <v/>
      </c>
      <c r="K682" s="96" t="str">
        <f>IFERROR(__xludf.DUMMYFUNCTION("iferror(join("", "",unique(filter({filter('Students (Vertical)'!D:D,'Students (Vertical)'!C:C=B682,'Students (Vertical)'!D:D&lt;&gt;"""");filter('Students (Vertical)'!D:D,'Students (Vertical)'!C:C=E682,'Students (Vertical)'!D:D&lt;&gt;"""")},countifs({filter('Student"&amp;"s (Vertical)'!D:D,'Students (Vertical)'!C:C=B682,'Students (Vertical)'!D:D&lt;&gt;"""");filter('Students (Vertical)'!D:D,'Students (Vertical)'!C:C=E682,'Students (Vertical)'!D:D&lt;&gt;"""")},{filter('Students (Vertical)'!D:D,'Students (Vertical)'!C:C=B682,'Students "&amp;"(Vertical)'!D:D&lt;&gt;"""");filter('Students (Vertical)'!D:D,'Students (Vertical)'!C:C=E682,'Students (Vertical)'!D:D&lt;&gt;"""")})&gt;1))),"""")"),"")</f>
        <v/>
      </c>
      <c r="L682" s="96"/>
      <c r="M682" s="96"/>
    </row>
    <row r="683" hidden="1">
      <c r="A683" s="8" t="s">
        <v>8</v>
      </c>
      <c r="C683" s="8" t="s">
        <v>8</v>
      </c>
      <c r="D683" s="8" t="s">
        <v>8</v>
      </c>
      <c r="F683" s="8" t="s">
        <v>8</v>
      </c>
      <c r="G683" s="8" t="s">
        <v>8</v>
      </c>
      <c r="I683" s="94" t="str">
        <f>IFERROR(__xludf.DUMMYFUNCTION("if(H683=""Must be Together"",iferror(join("", "",unique(filter({filter('Students (Vertical)'!O:O,'Students (Vertical)'!C:C=B683,'Students (Vertical)'!O:O&lt;&gt;"""");filter('Students (Vertical)'!O:O,'Students (Vertical)'!C:C=E683,'Students (Vertical)'!O:O&lt;&gt;"""&amp;""")},countifs({filter('Students (Vertical)'!O:O,'Students (Vertical)'!C:C=B683,'Students (Vertical)'!O:O&lt;&gt;"""");filter('Students (Vertical)'!O:O,'Students (Vertical)'!C:C=E683,'Students (Vertical)'!O:O&lt;&gt;"""")},{filter('Students (Vertical)'!O:O,'Students ("&amp;"Vertical)'!C:C=B683,'Students (Vertical)'!O:O&lt;&gt;"""");filter('Students (Vertical)'!O:O,'Students (Vertical)'!C:C=E683,'Students (Vertical)'!O:O&lt;&gt;"""")})&gt;1))),""No shared courses""),"""")"),"")</f>
        <v/>
      </c>
      <c r="J683" s="94" t="str">
        <f>IFERROR(__xludf.DUMMYFUNCTION("if(H683=""Can't be Together"",iferror(join("", "",unique(filter({unique(filter('Students (Vertical)'!O:O,'Students (Vertical)'!C:C=B683,'Students (Vertical)'!O:O&lt;&gt;"""",'Students (Vertical)'!P:P&gt;1));unique(filter('Students (Vertical)'!O:O,'Students (Vertic"&amp;"al)'!C:C=E683,'Students (Vertical)'!O:O&lt;&gt;"""",'Students (Vertical)'!P:P&gt;1))},countifs({unique(filter('Students (Vertical)'!O:O,'Students (Vertical)'!C:C=B683,'Students (Vertical)'!O:O&lt;&gt;"""",'Students (Vertical)'!P:P&gt;1));unique(filter('Students (Vertical)'"&amp;"!O:O,'Students (Vertical)'!C:C=E683,'Students (Vertical)'!O:O&lt;&gt;"""",'Students (Vertical)'!P:P&gt;1))},{unique(filter('Students (Vertical)'!O:O,'Students (Vertical)'!C:C=B683,'Students (Vertical)'!O:O&lt;&gt;"""",'Students (Vertical)'!P:P&gt;1));unique(filter('Student"&amp;"s (Vertical)'!O:O,'Students (Vertical)'!C:C=E683,'Students (Vertical)'!O:O&lt;&gt;"""",'Students (Vertical)'!P:P&gt;1))})&gt;1))),""""),"""")"),"")</f>
        <v/>
      </c>
      <c r="K683" s="96" t="str">
        <f>IFERROR(__xludf.DUMMYFUNCTION("iferror(join("", "",unique(filter({filter('Students (Vertical)'!D:D,'Students (Vertical)'!C:C=B683,'Students (Vertical)'!D:D&lt;&gt;"""");filter('Students (Vertical)'!D:D,'Students (Vertical)'!C:C=E683,'Students (Vertical)'!D:D&lt;&gt;"""")},countifs({filter('Student"&amp;"s (Vertical)'!D:D,'Students (Vertical)'!C:C=B683,'Students (Vertical)'!D:D&lt;&gt;"""");filter('Students (Vertical)'!D:D,'Students (Vertical)'!C:C=E683,'Students (Vertical)'!D:D&lt;&gt;"""")},{filter('Students (Vertical)'!D:D,'Students (Vertical)'!C:C=B683,'Students "&amp;"(Vertical)'!D:D&lt;&gt;"""");filter('Students (Vertical)'!D:D,'Students (Vertical)'!C:C=E683,'Students (Vertical)'!D:D&lt;&gt;"""")})&gt;1))),"""")"),"")</f>
        <v/>
      </c>
      <c r="L683" s="96"/>
      <c r="M683" s="96"/>
    </row>
    <row r="684" hidden="1">
      <c r="A684" s="8" t="s">
        <v>8</v>
      </c>
      <c r="C684" s="8" t="s">
        <v>8</v>
      </c>
      <c r="D684" s="8" t="s">
        <v>8</v>
      </c>
      <c r="F684" s="8" t="s">
        <v>8</v>
      </c>
      <c r="G684" s="8" t="s">
        <v>8</v>
      </c>
      <c r="I684" s="94" t="str">
        <f>IFERROR(__xludf.DUMMYFUNCTION("if(H684=""Must be Together"",iferror(join("", "",unique(filter({filter('Students (Vertical)'!O:O,'Students (Vertical)'!C:C=B684,'Students (Vertical)'!O:O&lt;&gt;"""");filter('Students (Vertical)'!O:O,'Students (Vertical)'!C:C=E684,'Students (Vertical)'!O:O&lt;&gt;"""&amp;""")},countifs({filter('Students (Vertical)'!O:O,'Students (Vertical)'!C:C=B684,'Students (Vertical)'!O:O&lt;&gt;"""");filter('Students (Vertical)'!O:O,'Students (Vertical)'!C:C=E684,'Students (Vertical)'!O:O&lt;&gt;"""")},{filter('Students (Vertical)'!O:O,'Students ("&amp;"Vertical)'!C:C=B684,'Students (Vertical)'!O:O&lt;&gt;"""");filter('Students (Vertical)'!O:O,'Students (Vertical)'!C:C=E684,'Students (Vertical)'!O:O&lt;&gt;"""")})&gt;1))),""No shared courses""),"""")"),"")</f>
        <v/>
      </c>
      <c r="J684" s="94" t="str">
        <f>IFERROR(__xludf.DUMMYFUNCTION("if(H684=""Can't be Together"",iferror(join("", "",unique(filter({unique(filter('Students (Vertical)'!O:O,'Students (Vertical)'!C:C=B684,'Students (Vertical)'!O:O&lt;&gt;"""",'Students (Vertical)'!P:P&gt;1));unique(filter('Students (Vertical)'!O:O,'Students (Vertic"&amp;"al)'!C:C=E684,'Students (Vertical)'!O:O&lt;&gt;"""",'Students (Vertical)'!P:P&gt;1))},countifs({unique(filter('Students (Vertical)'!O:O,'Students (Vertical)'!C:C=B684,'Students (Vertical)'!O:O&lt;&gt;"""",'Students (Vertical)'!P:P&gt;1));unique(filter('Students (Vertical)'"&amp;"!O:O,'Students (Vertical)'!C:C=E684,'Students (Vertical)'!O:O&lt;&gt;"""",'Students (Vertical)'!P:P&gt;1))},{unique(filter('Students (Vertical)'!O:O,'Students (Vertical)'!C:C=B684,'Students (Vertical)'!O:O&lt;&gt;"""",'Students (Vertical)'!P:P&gt;1));unique(filter('Student"&amp;"s (Vertical)'!O:O,'Students (Vertical)'!C:C=E684,'Students (Vertical)'!O:O&lt;&gt;"""",'Students (Vertical)'!P:P&gt;1))})&gt;1))),""""),"""")"),"")</f>
        <v/>
      </c>
      <c r="K684" s="96" t="str">
        <f>IFERROR(__xludf.DUMMYFUNCTION("iferror(join("", "",unique(filter({filter('Students (Vertical)'!D:D,'Students (Vertical)'!C:C=B684,'Students (Vertical)'!D:D&lt;&gt;"""");filter('Students (Vertical)'!D:D,'Students (Vertical)'!C:C=E684,'Students (Vertical)'!D:D&lt;&gt;"""")},countifs({filter('Student"&amp;"s (Vertical)'!D:D,'Students (Vertical)'!C:C=B684,'Students (Vertical)'!D:D&lt;&gt;"""");filter('Students (Vertical)'!D:D,'Students (Vertical)'!C:C=E684,'Students (Vertical)'!D:D&lt;&gt;"""")},{filter('Students (Vertical)'!D:D,'Students (Vertical)'!C:C=B684,'Students "&amp;"(Vertical)'!D:D&lt;&gt;"""");filter('Students (Vertical)'!D:D,'Students (Vertical)'!C:C=E684,'Students (Vertical)'!D:D&lt;&gt;"""")})&gt;1))),"""")"),"")</f>
        <v/>
      </c>
      <c r="L684" s="96"/>
      <c r="M684" s="96"/>
    </row>
    <row r="685" hidden="1">
      <c r="A685" s="8" t="s">
        <v>8</v>
      </c>
      <c r="C685" s="8" t="s">
        <v>8</v>
      </c>
      <c r="D685" s="8" t="s">
        <v>8</v>
      </c>
      <c r="F685" s="8" t="s">
        <v>8</v>
      </c>
      <c r="G685" s="8" t="s">
        <v>8</v>
      </c>
      <c r="I685" s="94" t="str">
        <f>IFERROR(__xludf.DUMMYFUNCTION("if(H685=""Must be Together"",iferror(join("", "",unique(filter({filter('Students (Vertical)'!O:O,'Students (Vertical)'!C:C=B685,'Students (Vertical)'!O:O&lt;&gt;"""");filter('Students (Vertical)'!O:O,'Students (Vertical)'!C:C=E685,'Students (Vertical)'!O:O&lt;&gt;"""&amp;""")},countifs({filter('Students (Vertical)'!O:O,'Students (Vertical)'!C:C=B685,'Students (Vertical)'!O:O&lt;&gt;"""");filter('Students (Vertical)'!O:O,'Students (Vertical)'!C:C=E685,'Students (Vertical)'!O:O&lt;&gt;"""")},{filter('Students (Vertical)'!O:O,'Students ("&amp;"Vertical)'!C:C=B685,'Students (Vertical)'!O:O&lt;&gt;"""");filter('Students (Vertical)'!O:O,'Students (Vertical)'!C:C=E685,'Students (Vertical)'!O:O&lt;&gt;"""")})&gt;1))),""No shared courses""),"""")"),"")</f>
        <v/>
      </c>
      <c r="J685" s="94" t="str">
        <f>IFERROR(__xludf.DUMMYFUNCTION("if(H685=""Can't be Together"",iferror(join("", "",unique(filter({unique(filter('Students (Vertical)'!O:O,'Students (Vertical)'!C:C=B685,'Students (Vertical)'!O:O&lt;&gt;"""",'Students (Vertical)'!P:P&gt;1));unique(filter('Students (Vertical)'!O:O,'Students (Vertic"&amp;"al)'!C:C=E685,'Students (Vertical)'!O:O&lt;&gt;"""",'Students (Vertical)'!P:P&gt;1))},countifs({unique(filter('Students (Vertical)'!O:O,'Students (Vertical)'!C:C=B685,'Students (Vertical)'!O:O&lt;&gt;"""",'Students (Vertical)'!P:P&gt;1));unique(filter('Students (Vertical)'"&amp;"!O:O,'Students (Vertical)'!C:C=E685,'Students (Vertical)'!O:O&lt;&gt;"""",'Students (Vertical)'!P:P&gt;1))},{unique(filter('Students (Vertical)'!O:O,'Students (Vertical)'!C:C=B685,'Students (Vertical)'!O:O&lt;&gt;"""",'Students (Vertical)'!P:P&gt;1));unique(filter('Student"&amp;"s (Vertical)'!O:O,'Students (Vertical)'!C:C=E685,'Students (Vertical)'!O:O&lt;&gt;"""",'Students (Vertical)'!P:P&gt;1))})&gt;1))),""""),"""")"),"")</f>
        <v/>
      </c>
      <c r="K685" s="96" t="str">
        <f>IFERROR(__xludf.DUMMYFUNCTION("iferror(join("", "",unique(filter({filter('Students (Vertical)'!D:D,'Students (Vertical)'!C:C=B685,'Students (Vertical)'!D:D&lt;&gt;"""");filter('Students (Vertical)'!D:D,'Students (Vertical)'!C:C=E685,'Students (Vertical)'!D:D&lt;&gt;"""")},countifs({filter('Student"&amp;"s (Vertical)'!D:D,'Students (Vertical)'!C:C=B685,'Students (Vertical)'!D:D&lt;&gt;"""");filter('Students (Vertical)'!D:D,'Students (Vertical)'!C:C=E685,'Students (Vertical)'!D:D&lt;&gt;"""")},{filter('Students (Vertical)'!D:D,'Students (Vertical)'!C:C=B685,'Students "&amp;"(Vertical)'!D:D&lt;&gt;"""");filter('Students (Vertical)'!D:D,'Students (Vertical)'!C:C=E685,'Students (Vertical)'!D:D&lt;&gt;"""")})&gt;1))),"""")"),"")</f>
        <v/>
      </c>
      <c r="L685" s="96"/>
      <c r="M685" s="96"/>
    </row>
    <row r="686" hidden="1">
      <c r="A686" s="8" t="s">
        <v>8</v>
      </c>
      <c r="C686" s="8" t="s">
        <v>8</v>
      </c>
      <c r="D686" s="8" t="s">
        <v>8</v>
      </c>
      <c r="F686" s="8" t="s">
        <v>8</v>
      </c>
      <c r="G686" s="8" t="s">
        <v>8</v>
      </c>
      <c r="I686" s="94" t="str">
        <f>IFERROR(__xludf.DUMMYFUNCTION("if(H686=""Must be Together"",iferror(join("", "",unique(filter({filter('Students (Vertical)'!O:O,'Students (Vertical)'!C:C=B686,'Students (Vertical)'!O:O&lt;&gt;"""");filter('Students (Vertical)'!O:O,'Students (Vertical)'!C:C=E686,'Students (Vertical)'!O:O&lt;&gt;"""&amp;""")},countifs({filter('Students (Vertical)'!O:O,'Students (Vertical)'!C:C=B686,'Students (Vertical)'!O:O&lt;&gt;"""");filter('Students (Vertical)'!O:O,'Students (Vertical)'!C:C=E686,'Students (Vertical)'!O:O&lt;&gt;"""")},{filter('Students (Vertical)'!O:O,'Students ("&amp;"Vertical)'!C:C=B686,'Students (Vertical)'!O:O&lt;&gt;"""");filter('Students (Vertical)'!O:O,'Students (Vertical)'!C:C=E686,'Students (Vertical)'!O:O&lt;&gt;"""")})&gt;1))),""No shared courses""),"""")"),"")</f>
        <v/>
      </c>
      <c r="J686" s="94" t="str">
        <f>IFERROR(__xludf.DUMMYFUNCTION("if(H686=""Can't be Together"",iferror(join("", "",unique(filter({unique(filter('Students (Vertical)'!O:O,'Students (Vertical)'!C:C=B686,'Students (Vertical)'!O:O&lt;&gt;"""",'Students (Vertical)'!P:P&gt;1));unique(filter('Students (Vertical)'!O:O,'Students (Vertic"&amp;"al)'!C:C=E686,'Students (Vertical)'!O:O&lt;&gt;"""",'Students (Vertical)'!P:P&gt;1))},countifs({unique(filter('Students (Vertical)'!O:O,'Students (Vertical)'!C:C=B686,'Students (Vertical)'!O:O&lt;&gt;"""",'Students (Vertical)'!P:P&gt;1));unique(filter('Students (Vertical)'"&amp;"!O:O,'Students (Vertical)'!C:C=E686,'Students (Vertical)'!O:O&lt;&gt;"""",'Students (Vertical)'!P:P&gt;1))},{unique(filter('Students (Vertical)'!O:O,'Students (Vertical)'!C:C=B686,'Students (Vertical)'!O:O&lt;&gt;"""",'Students (Vertical)'!P:P&gt;1));unique(filter('Student"&amp;"s (Vertical)'!O:O,'Students (Vertical)'!C:C=E686,'Students (Vertical)'!O:O&lt;&gt;"""",'Students (Vertical)'!P:P&gt;1))})&gt;1))),""""),"""")"),"")</f>
        <v/>
      </c>
      <c r="K686" s="96" t="str">
        <f>IFERROR(__xludf.DUMMYFUNCTION("iferror(join("", "",unique(filter({filter('Students (Vertical)'!D:D,'Students (Vertical)'!C:C=B686,'Students (Vertical)'!D:D&lt;&gt;"""");filter('Students (Vertical)'!D:D,'Students (Vertical)'!C:C=E686,'Students (Vertical)'!D:D&lt;&gt;"""")},countifs({filter('Student"&amp;"s (Vertical)'!D:D,'Students (Vertical)'!C:C=B686,'Students (Vertical)'!D:D&lt;&gt;"""");filter('Students (Vertical)'!D:D,'Students (Vertical)'!C:C=E686,'Students (Vertical)'!D:D&lt;&gt;"""")},{filter('Students (Vertical)'!D:D,'Students (Vertical)'!C:C=B686,'Students "&amp;"(Vertical)'!D:D&lt;&gt;"""");filter('Students (Vertical)'!D:D,'Students (Vertical)'!C:C=E686,'Students (Vertical)'!D:D&lt;&gt;"""")})&gt;1))),"""")"),"")</f>
        <v/>
      </c>
      <c r="L686" s="96"/>
      <c r="M686" s="96"/>
    </row>
    <row r="687" hidden="1">
      <c r="A687" s="8" t="s">
        <v>8</v>
      </c>
      <c r="C687" s="8" t="s">
        <v>8</v>
      </c>
      <c r="D687" s="8" t="s">
        <v>8</v>
      </c>
      <c r="F687" s="8" t="s">
        <v>8</v>
      </c>
      <c r="G687" s="8" t="s">
        <v>8</v>
      </c>
      <c r="I687" s="94" t="str">
        <f>IFERROR(__xludf.DUMMYFUNCTION("if(H687=""Must be Together"",iferror(join("", "",unique(filter({filter('Students (Vertical)'!O:O,'Students (Vertical)'!C:C=B687,'Students (Vertical)'!O:O&lt;&gt;"""");filter('Students (Vertical)'!O:O,'Students (Vertical)'!C:C=E687,'Students (Vertical)'!O:O&lt;&gt;"""&amp;""")},countifs({filter('Students (Vertical)'!O:O,'Students (Vertical)'!C:C=B687,'Students (Vertical)'!O:O&lt;&gt;"""");filter('Students (Vertical)'!O:O,'Students (Vertical)'!C:C=E687,'Students (Vertical)'!O:O&lt;&gt;"""")},{filter('Students (Vertical)'!O:O,'Students ("&amp;"Vertical)'!C:C=B687,'Students (Vertical)'!O:O&lt;&gt;"""");filter('Students (Vertical)'!O:O,'Students (Vertical)'!C:C=E687,'Students (Vertical)'!O:O&lt;&gt;"""")})&gt;1))),""No shared courses""),"""")"),"")</f>
        <v/>
      </c>
      <c r="J687" s="94" t="str">
        <f>IFERROR(__xludf.DUMMYFUNCTION("if(H687=""Can't be Together"",iferror(join("", "",unique(filter({unique(filter('Students (Vertical)'!O:O,'Students (Vertical)'!C:C=B687,'Students (Vertical)'!O:O&lt;&gt;"""",'Students (Vertical)'!P:P&gt;1));unique(filter('Students (Vertical)'!O:O,'Students (Vertic"&amp;"al)'!C:C=E687,'Students (Vertical)'!O:O&lt;&gt;"""",'Students (Vertical)'!P:P&gt;1))},countifs({unique(filter('Students (Vertical)'!O:O,'Students (Vertical)'!C:C=B687,'Students (Vertical)'!O:O&lt;&gt;"""",'Students (Vertical)'!P:P&gt;1));unique(filter('Students (Vertical)'"&amp;"!O:O,'Students (Vertical)'!C:C=E687,'Students (Vertical)'!O:O&lt;&gt;"""",'Students (Vertical)'!P:P&gt;1))},{unique(filter('Students (Vertical)'!O:O,'Students (Vertical)'!C:C=B687,'Students (Vertical)'!O:O&lt;&gt;"""",'Students (Vertical)'!P:P&gt;1));unique(filter('Student"&amp;"s (Vertical)'!O:O,'Students (Vertical)'!C:C=E687,'Students (Vertical)'!O:O&lt;&gt;"""",'Students (Vertical)'!P:P&gt;1))})&gt;1))),""""),"""")"),"")</f>
        <v/>
      </c>
      <c r="K687" s="96" t="str">
        <f>IFERROR(__xludf.DUMMYFUNCTION("iferror(join("", "",unique(filter({filter('Students (Vertical)'!D:D,'Students (Vertical)'!C:C=B687,'Students (Vertical)'!D:D&lt;&gt;"""");filter('Students (Vertical)'!D:D,'Students (Vertical)'!C:C=E687,'Students (Vertical)'!D:D&lt;&gt;"""")},countifs({filter('Student"&amp;"s (Vertical)'!D:D,'Students (Vertical)'!C:C=B687,'Students (Vertical)'!D:D&lt;&gt;"""");filter('Students (Vertical)'!D:D,'Students (Vertical)'!C:C=E687,'Students (Vertical)'!D:D&lt;&gt;"""")},{filter('Students (Vertical)'!D:D,'Students (Vertical)'!C:C=B687,'Students "&amp;"(Vertical)'!D:D&lt;&gt;"""");filter('Students (Vertical)'!D:D,'Students (Vertical)'!C:C=E687,'Students (Vertical)'!D:D&lt;&gt;"""")})&gt;1))),"""")"),"")</f>
        <v/>
      </c>
      <c r="L687" s="96"/>
      <c r="M687" s="96"/>
    </row>
    <row r="688" hidden="1">
      <c r="A688" s="8" t="s">
        <v>8</v>
      </c>
      <c r="C688" s="8" t="s">
        <v>8</v>
      </c>
      <c r="D688" s="8" t="s">
        <v>8</v>
      </c>
      <c r="F688" s="8" t="s">
        <v>8</v>
      </c>
      <c r="G688" s="8" t="s">
        <v>8</v>
      </c>
      <c r="I688" s="94" t="str">
        <f>IFERROR(__xludf.DUMMYFUNCTION("if(H688=""Must be Together"",iferror(join("", "",unique(filter({filter('Students (Vertical)'!O:O,'Students (Vertical)'!C:C=B688,'Students (Vertical)'!O:O&lt;&gt;"""");filter('Students (Vertical)'!O:O,'Students (Vertical)'!C:C=E688,'Students (Vertical)'!O:O&lt;&gt;"""&amp;""")},countifs({filter('Students (Vertical)'!O:O,'Students (Vertical)'!C:C=B688,'Students (Vertical)'!O:O&lt;&gt;"""");filter('Students (Vertical)'!O:O,'Students (Vertical)'!C:C=E688,'Students (Vertical)'!O:O&lt;&gt;"""")},{filter('Students (Vertical)'!O:O,'Students ("&amp;"Vertical)'!C:C=B688,'Students (Vertical)'!O:O&lt;&gt;"""");filter('Students (Vertical)'!O:O,'Students (Vertical)'!C:C=E688,'Students (Vertical)'!O:O&lt;&gt;"""")})&gt;1))),""No shared courses""),"""")"),"")</f>
        <v/>
      </c>
      <c r="J688" s="94" t="str">
        <f>IFERROR(__xludf.DUMMYFUNCTION("if(H688=""Can't be Together"",iferror(join("", "",unique(filter({unique(filter('Students (Vertical)'!O:O,'Students (Vertical)'!C:C=B688,'Students (Vertical)'!O:O&lt;&gt;"""",'Students (Vertical)'!P:P&gt;1));unique(filter('Students (Vertical)'!O:O,'Students (Vertic"&amp;"al)'!C:C=E688,'Students (Vertical)'!O:O&lt;&gt;"""",'Students (Vertical)'!P:P&gt;1))},countifs({unique(filter('Students (Vertical)'!O:O,'Students (Vertical)'!C:C=B688,'Students (Vertical)'!O:O&lt;&gt;"""",'Students (Vertical)'!P:P&gt;1));unique(filter('Students (Vertical)'"&amp;"!O:O,'Students (Vertical)'!C:C=E688,'Students (Vertical)'!O:O&lt;&gt;"""",'Students (Vertical)'!P:P&gt;1))},{unique(filter('Students (Vertical)'!O:O,'Students (Vertical)'!C:C=B688,'Students (Vertical)'!O:O&lt;&gt;"""",'Students (Vertical)'!P:P&gt;1));unique(filter('Student"&amp;"s (Vertical)'!O:O,'Students (Vertical)'!C:C=E688,'Students (Vertical)'!O:O&lt;&gt;"""",'Students (Vertical)'!P:P&gt;1))})&gt;1))),""""),"""")"),"")</f>
        <v/>
      </c>
      <c r="K688" s="96" t="str">
        <f>IFERROR(__xludf.DUMMYFUNCTION("iferror(join("", "",unique(filter({filter('Students (Vertical)'!D:D,'Students (Vertical)'!C:C=B688,'Students (Vertical)'!D:D&lt;&gt;"""");filter('Students (Vertical)'!D:D,'Students (Vertical)'!C:C=E688,'Students (Vertical)'!D:D&lt;&gt;"""")},countifs({filter('Student"&amp;"s (Vertical)'!D:D,'Students (Vertical)'!C:C=B688,'Students (Vertical)'!D:D&lt;&gt;"""");filter('Students (Vertical)'!D:D,'Students (Vertical)'!C:C=E688,'Students (Vertical)'!D:D&lt;&gt;"""")},{filter('Students (Vertical)'!D:D,'Students (Vertical)'!C:C=B688,'Students "&amp;"(Vertical)'!D:D&lt;&gt;"""");filter('Students (Vertical)'!D:D,'Students (Vertical)'!C:C=E688,'Students (Vertical)'!D:D&lt;&gt;"""")})&gt;1))),"""")"),"")</f>
        <v/>
      </c>
      <c r="L688" s="96"/>
      <c r="M688" s="96"/>
    </row>
    <row r="689" hidden="1">
      <c r="A689" s="8" t="s">
        <v>8</v>
      </c>
      <c r="C689" s="8" t="s">
        <v>8</v>
      </c>
      <c r="D689" s="8" t="s">
        <v>8</v>
      </c>
      <c r="F689" s="8" t="s">
        <v>8</v>
      </c>
      <c r="G689" s="8" t="s">
        <v>8</v>
      </c>
      <c r="I689" s="94" t="str">
        <f>IFERROR(__xludf.DUMMYFUNCTION("if(H689=""Must be Together"",iferror(join("", "",unique(filter({filter('Students (Vertical)'!O:O,'Students (Vertical)'!C:C=B689,'Students (Vertical)'!O:O&lt;&gt;"""");filter('Students (Vertical)'!O:O,'Students (Vertical)'!C:C=E689,'Students (Vertical)'!O:O&lt;&gt;"""&amp;""")},countifs({filter('Students (Vertical)'!O:O,'Students (Vertical)'!C:C=B689,'Students (Vertical)'!O:O&lt;&gt;"""");filter('Students (Vertical)'!O:O,'Students (Vertical)'!C:C=E689,'Students (Vertical)'!O:O&lt;&gt;"""")},{filter('Students (Vertical)'!O:O,'Students ("&amp;"Vertical)'!C:C=B689,'Students (Vertical)'!O:O&lt;&gt;"""");filter('Students (Vertical)'!O:O,'Students (Vertical)'!C:C=E689,'Students (Vertical)'!O:O&lt;&gt;"""")})&gt;1))),""No shared courses""),"""")"),"")</f>
        <v/>
      </c>
      <c r="J689" s="94" t="str">
        <f>IFERROR(__xludf.DUMMYFUNCTION("if(H689=""Can't be Together"",iferror(join("", "",unique(filter({unique(filter('Students (Vertical)'!O:O,'Students (Vertical)'!C:C=B689,'Students (Vertical)'!O:O&lt;&gt;"""",'Students (Vertical)'!P:P&gt;1));unique(filter('Students (Vertical)'!O:O,'Students (Vertic"&amp;"al)'!C:C=E689,'Students (Vertical)'!O:O&lt;&gt;"""",'Students (Vertical)'!P:P&gt;1))},countifs({unique(filter('Students (Vertical)'!O:O,'Students (Vertical)'!C:C=B689,'Students (Vertical)'!O:O&lt;&gt;"""",'Students (Vertical)'!P:P&gt;1));unique(filter('Students (Vertical)'"&amp;"!O:O,'Students (Vertical)'!C:C=E689,'Students (Vertical)'!O:O&lt;&gt;"""",'Students (Vertical)'!P:P&gt;1))},{unique(filter('Students (Vertical)'!O:O,'Students (Vertical)'!C:C=B689,'Students (Vertical)'!O:O&lt;&gt;"""",'Students (Vertical)'!P:P&gt;1));unique(filter('Student"&amp;"s (Vertical)'!O:O,'Students (Vertical)'!C:C=E689,'Students (Vertical)'!O:O&lt;&gt;"""",'Students (Vertical)'!P:P&gt;1))})&gt;1))),""""),"""")"),"")</f>
        <v/>
      </c>
      <c r="K689" s="96" t="str">
        <f>IFERROR(__xludf.DUMMYFUNCTION("iferror(join("", "",unique(filter({filter('Students (Vertical)'!D:D,'Students (Vertical)'!C:C=B689,'Students (Vertical)'!D:D&lt;&gt;"""");filter('Students (Vertical)'!D:D,'Students (Vertical)'!C:C=E689,'Students (Vertical)'!D:D&lt;&gt;"""")},countifs({filter('Student"&amp;"s (Vertical)'!D:D,'Students (Vertical)'!C:C=B689,'Students (Vertical)'!D:D&lt;&gt;"""");filter('Students (Vertical)'!D:D,'Students (Vertical)'!C:C=E689,'Students (Vertical)'!D:D&lt;&gt;"""")},{filter('Students (Vertical)'!D:D,'Students (Vertical)'!C:C=B689,'Students "&amp;"(Vertical)'!D:D&lt;&gt;"""");filter('Students (Vertical)'!D:D,'Students (Vertical)'!C:C=E689,'Students (Vertical)'!D:D&lt;&gt;"""")})&gt;1))),"""")"),"")</f>
        <v/>
      </c>
      <c r="L689" s="96"/>
      <c r="M689" s="96"/>
    </row>
    <row r="690" hidden="1">
      <c r="A690" s="8" t="s">
        <v>8</v>
      </c>
      <c r="C690" s="8" t="s">
        <v>8</v>
      </c>
      <c r="D690" s="8" t="s">
        <v>8</v>
      </c>
      <c r="F690" s="8" t="s">
        <v>8</v>
      </c>
      <c r="G690" s="8" t="s">
        <v>8</v>
      </c>
      <c r="I690" s="94" t="str">
        <f>IFERROR(__xludf.DUMMYFUNCTION("if(H690=""Must be Together"",iferror(join("", "",unique(filter({filter('Students (Vertical)'!O:O,'Students (Vertical)'!C:C=B690,'Students (Vertical)'!O:O&lt;&gt;"""");filter('Students (Vertical)'!O:O,'Students (Vertical)'!C:C=E690,'Students (Vertical)'!O:O&lt;&gt;"""&amp;""")},countifs({filter('Students (Vertical)'!O:O,'Students (Vertical)'!C:C=B690,'Students (Vertical)'!O:O&lt;&gt;"""");filter('Students (Vertical)'!O:O,'Students (Vertical)'!C:C=E690,'Students (Vertical)'!O:O&lt;&gt;"""")},{filter('Students (Vertical)'!O:O,'Students ("&amp;"Vertical)'!C:C=B690,'Students (Vertical)'!O:O&lt;&gt;"""");filter('Students (Vertical)'!O:O,'Students (Vertical)'!C:C=E690,'Students (Vertical)'!O:O&lt;&gt;"""")})&gt;1))),""No shared courses""),"""")"),"")</f>
        <v/>
      </c>
      <c r="J690" s="94" t="str">
        <f>IFERROR(__xludf.DUMMYFUNCTION("if(H690=""Can't be Together"",iferror(join("", "",unique(filter({unique(filter('Students (Vertical)'!O:O,'Students (Vertical)'!C:C=B690,'Students (Vertical)'!O:O&lt;&gt;"""",'Students (Vertical)'!P:P&gt;1));unique(filter('Students (Vertical)'!O:O,'Students (Vertic"&amp;"al)'!C:C=E690,'Students (Vertical)'!O:O&lt;&gt;"""",'Students (Vertical)'!P:P&gt;1))},countifs({unique(filter('Students (Vertical)'!O:O,'Students (Vertical)'!C:C=B690,'Students (Vertical)'!O:O&lt;&gt;"""",'Students (Vertical)'!P:P&gt;1));unique(filter('Students (Vertical)'"&amp;"!O:O,'Students (Vertical)'!C:C=E690,'Students (Vertical)'!O:O&lt;&gt;"""",'Students (Vertical)'!P:P&gt;1))},{unique(filter('Students (Vertical)'!O:O,'Students (Vertical)'!C:C=B690,'Students (Vertical)'!O:O&lt;&gt;"""",'Students (Vertical)'!P:P&gt;1));unique(filter('Student"&amp;"s (Vertical)'!O:O,'Students (Vertical)'!C:C=E690,'Students (Vertical)'!O:O&lt;&gt;"""",'Students (Vertical)'!P:P&gt;1))})&gt;1))),""""),"""")"),"")</f>
        <v/>
      </c>
      <c r="K690" s="96" t="str">
        <f>IFERROR(__xludf.DUMMYFUNCTION("iferror(join("", "",unique(filter({filter('Students (Vertical)'!D:D,'Students (Vertical)'!C:C=B690,'Students (Vertical)'!D:D&lt;&gt;"""");filter('Students (Vertical)'!D:D,'Students (Vertical)'!C:C=E690,'Students (Vertical)'!D:D&lt;&gt;"""")},countifs({filter('Student"&amp;"s (Vertical)'!D:D,'Students (Vertical)'!C:C=B690,'Students (Vertical)'!D:D&lt;&gt;"""");filter('Students (Vertical)'!D:D,'Students (Vertical)'!C:C=E690,'Students (Vertical)'!D:D&lt;&gt;"""")},{filter('Students (Vertical)'!D:D,'Students (Vertical)'!C:C=B690,'Students "&amp;"(Vertical)'!D:D&lt;&gt;"""");filter('Students (Vertical)'!D:D,'Students (Vertical)'!C:C=E690,'Students (Vertical)'!D:D&lt;&gt;"""")})&gt;1))),"""")"),"")</f>
        <v/>
      </c>
      <c r="L690" s="96"/>
      <c r="M690" s="96"/>
    </row>
    <row r="691" hidden="1">
      <c r="A691" s="8" t="s">
        <v>8</v>
      </c>
      <c r="C691" s="8" t="s">
        <v>8</v>
      </c>
      <c r="D691" s="8" t="s">
        <v>8</v>
      </c>
      <c r="F691" s="8" t="s">
        <v>8</v>
      </c>
      <c r="G691" s="8" t="s">
        <v>8</v>
      </c>
      <c r="I691" s="94" t="str">
        <f>IFERROR(__xludf.DUMMYFUNCTION("if(H691=""Must be Together"",iferror(join("", "",unique(filter({filter('Students (Vertical)'!O:O,'Students (Vertical)'!C:C=B691,'Students (Vertical)'!O:O&lt;&gt;"""");filter('Students (Vertical)'!O:O,'Students (Vertical)'!C:C=E691,'Students (Vertical)'!O:O&lt;&gt;"""&amp;""")},countifs({filter('Students (Vertical)'!O:O,'Students (Vertical)'!C:C=B691,'Students (Vertical)'!O:O&lt;&gt;"""");filter('Students (Vertical)'!O:O,'Students (Vertical)'!C:C=E691,'Students (Vertical)'!O:O&lt;&gt;"""")},{filter('Students (Vertical)'!O:O,'Students ("&amp;"Vertical)'!C:C=B691,'Students (Vertical)'!O:O&lt;&gt;"""");filter('Students (Vertical)'!O:O,'Students (Vertical)'!C:C=E691,'Students (Vertical)'!O:O&lt;&gt;"""")})&gt;1))),""No shared courses""),"""")"),"")</f>
        <v/>
      </c>
      <c r="J691" s="94" t="str">
        <f>IFERROR(__xludf.DUMMYFUNCTION("if(H691=""Can't be Together"",iferror(join("", "",unique(filter({unique(filter('Students (Vertical)'!O:O,'Students (Vertical)'!C:C=B691,'Students (Vertical)'!O:O&lt;&gt;"""",'Students (Vertical)'!P:P&gt;1));unique(filter('Students (Vertical)'!O:O,'Students (Vertic"&amp;"al)'!C:C=E691,'Students (Vertical)'!O:O&lt;&gt;"""",'Students (Vertical)'!P:P&gt;1))},countifs({unique(filter('Students (Vertical)'!O:O,'Students (Vertical)'!C:C=B691,'Students (Vertical)'!O:O&lt;&gt;"""",'Students (Vertical)'!P:P&gt;1));unique(filter('Students (Vertical)'"&amp;"!O:O,'Students (Vertical)'!C:C=E691,'Students (Vertical)'!O:O&lt;&gt;"""",'Students (Vertical)'!P:P&gt;1))},{unique(filter('Students (Vertical)'!O:O,'Students (Vertical)'!C:C=B691,'Students (Vertical)'!O:O&lt;&gt;"""",'Students (Vertical)'!P:P&gt;1));unique(filter('Student"&amp;"s (Vertical)'!O:O,'Students (Vertical)'!C:C=E691,'Students (Vertical)'!O:O&lt;&gt;"""",'Students (Vertical)'!P:P&gt;1))})&gt;1))),""""),"""")"),"")</f>
        <v/>
      </c>
      <c r="K691" s="96" t="str">
        <f>IFERROR(__xludf.DUMMYFUNCTION("iferror(join("", "",unique(filter({filter('Students (Vertical)'!D:D,'Students (Vertical)'!C:C=B691,'Students (Vertical)'!D:D&lt;&gt;"""");filter('Students (Vertical)'!D:D,'Students (Vertical)'!C:C=E691,'Students (Vertical)'!D:D&lt;&gt;"""")},countifs({filter('Student"&amp;"s (Vertical)'!D:D,'Students (Vertical)'!C:C=B691,'Students (Vertical)'!D:D&lt;&gt;"""");filter('Students (Vertical)'!D:D,'Students (Vertical)'!C:C=E691,'Students (Vertical)'!D:D&lt;&gt;"""")},{filter('Students (Vertical)'!D:D,'Students (Vertical)'!C:C=B691,'Students "&amp;"(Vertical)'!D:D&lt;&gt;"""");filter('Students (Vertical)'!D:D,'Students (Vertical)'!C:C=E691,'Students (Vertical)'!D:D&lt;&gt;"""")})&gt;1))),"""")"),"")</f>
        <v/>
      </c>
      <c r="L691" s="96"/>
      <c r="M691" s="96"/>
    </row>
    <row r="692" hidden="1">
      <c r="A692" s="8" t="s">
        <v>8</v>
      </c>
      <c r="C692" s="8" t="s">
        <v>8</v>
      </c>
      <c r="D692" s="8" t="s">
        <v>8</v>
      </c>
      <c r="F692" s="8" t="s">
        <v>8</v>
      </c>
      <c r="G692" s="8" t="s">
        <v>8</v>
      </c>
      <c r="I692" s="94" t="str">
        <f>IFERROR(__xludf.DUMMYFUNCTION("if(H692=""Must be Together"",iferror(join("", "",unique(filter({filter('Students (Vertical)'!O:O,'Students (Vertical)'!C:C=B692,'Students (Vertical)'!O:O&lt;&gt;"""");filter('Students (Vertical)'!O:O,'Students (Vertical)'!C:C=E692,'Students (Vertical)'!O:O&lt;&gt;"""&amp;""")},countifs({filter('Students (Vertical)'!O:O,'Students (Vertical)'!C:C=B692,'Students (Vertical)'!O:O&lt;&gt;"""");filter('Students (Vertical)'!O:O,'Students (Vertical)'!C:C=E692,'Students (Vertical)'!O:O&lt;&gt;"""")},{filter('Students (Vertical)'!O:O,'Students ("&amp;"Vertical)'!C:C=B692,'Students (Vertical)'!O:O&lt;&gt;"""");filter('Students (Vertical)'!O:O,'Students (Vertical)'!C:C=E692,'Students (Vertical)'!O:O&lt;&gt;"""")})&gt;1))),""No shared courses""),"""")"),"")</f>
        <v/>
      </c>
      <c r="J692" s="94" t="str">
        <f>IFERROR(__xludf.DUMMYFUNCTION("if(H692=""Can't be Together"",iferror(join("", "",unique(filter({unique(filter('Students (Vertical)'!O:O,'Students (Vertical)'!C:C=B692,'Students (Vertical)'!O:O&lt;&gt;"""",'Students (Vertical)'!P:P&gt;1));unique(filter('Students (Vertical)'!O:O,'Students (Vertic"&amp;"al)'!C:C=E692,'Students (Vertical)'!O:O&lt;&gt;"""",'Students (Vertical)'!P:P&gt;1))},countifs({unique(filter('Students (Vertical)'!O:O,'Students (Vertical)'!C:C=B692,'Students (Vertical)'!O:O&lt;&gt;"""",'Students (Vertical)'!P:P&gt;1));unique(filter('Students (Vertical)'"&amp;"!O:O,'Students (Vertical)'!C:C=E692,'Students (Vertical)'!O:O&lt;&gt;"""",'Students (Vertical)'!P:P&gt;1))},{unique(filter('Students (Vertical)'!O:O,'Students (Vertical)'!C:C=B692,'Students (Vertical)'!O:O&lt;&gt;"""",'Students (Vertical)'!P:P&gt;1));unique(filter('Student"&amp;"s (Vertical)'!O:O,'Students (Vertical)'!C:C=E692,'Students (Vertical)'!O:O&lt;&gt;"""",'Students (Vertical)'!P:P&gt;1))})&gt;1))),""""),"""")"),"")</f>
        <v/>
      </c>
      <c r="K692" s="96" t="str">
        <f>IFERROR(__xludf.DUMMYFUNCTION("iferror(join("", "",unique(filter({filter('Students (Vertical)'!D:D,'Students (Vertical)'!C:C=B692,'Students (Vertical)'!D:D&lt;&gt;"""");filter('Students (Vertical)'!D:D,'Students (Vertical)'!C:C=E692,'Students (Vertical)'!D:D&lt;&gt;"""")},countifs({filter('Student"&amp;"s (Vertical)'!D:D,'Students (Vertical)'!C:C=B692,'Students (Vertical)'!D:D&lt;&gt;"""");filter('Students (Vertical)'!D:D,'Students (Vertical)'!C:C=E692,'Students (Vertical)'!D:D&lt;&gt;"""")},{filter('Students (Vertical)'!D:D,'Students (Vertical)'!C:C=B692,'Students "&amp;"(Vertical)'!D:D&lt;&gt;"""");filter('Students (Vertical)'!D:D,'Students (Vertical)'!C:C=E692,'Students (Vertical)'!D:D&lt;&gt;"""")})&gt;1))),"""")"),"")</f>
        <v/>
      </c>
      <c r="L692" s="96"/>
      <c r="M692" s="96"/>
    </row>
    <row r="693" hidden="1">
      <c r="A693" s="8" t="s">
        <v>8</v>
      </c>
      <c r="C693" s="8" t="s">
        <v>8</v>
      </c>
      <c r="D693" s="8" t="s">
        <v>8</v>
      </c>
      <c r="F693" s="8" t="s">
        <v>8</v>
      </c>
      <c r="G693" s="8" t="s">
        <v>8</v>
      </c>
      <c r="I693" s="94" t="str">
        <f>IFERROR(__xludf.DUMMYFUNCTION("if(H693=""Must be Together"",iferror(join("", "",unique(filter({filter('Students (Vertical)'!O:O,'Students (Vertical)'!C:C=B693,'Students (Vertical)'!O:O&lt;&gt;"""");filter('Students (Vertical)'!O:O,'Students (Vertical)'!C:C=E693,'Students (Vertical)'!O:O&lt;&gt;"""&amp;""")},countifs({filter('Students (Vertical)'!O:O,'Students (Vertical)'!C:C=B693,'Students (Vertical)'!O:O&lt;&gt;"""");filter('Students (Vertical)'!O:O,'Students (Vertical)'!C:C=E693,'Students (Vertical)'!O:O&lt;&gt;"""")},{filter('Students (Vertical)'!O:O,'Students ("&amp;"Vertical)'!C:C=B693,'Students (Vertical)'!O:O&lt;&gt;"""");filter('Students (Vertical)'!O:O,'Students (Vertical)'!C:C=E693,'Students (Vertical)'!O:O&lt;&gt;"""")})&gt;1))),""No shared courses""),"""")"),"")</f>
        <v/>
      </c>
      <c r="J693" s="94" t="str">
        <f>IFERROR(__xludf.DUMMYFUNCTION("if(H693=""Can't be Together"",iferror(join("", "",unique(filter({unique(filter('Students (Vertical)'!O:O,'Students (Vertical)'!C:C=B693,'Students (Vertical)'!O:O&lt;&gt;"""",'Students (Vertical)'!P:P&gt;1));unique(filter('Students (Vertical)'!O:O,'Students (Vertic"&amp;"al)'!C:C=E693,'Students (Vertical)'!O:O&lt;&gt;"""",'Students (Vertical)'!P:P&gt;1))},countifs({unique(filter('Students (Vertical)'!O:O,'Students (Vertical)'!C:C=B693,'Students (Vertical)'!O:O&lt;&gt;"""",'Students (Vertical)'!P:P&gt;1));unique(filter('Students (Vertical)'"&amp;"!O:O,'Students (Vertical)'!C:C=E693,'Students (Vertical)'!O:O&lt;&gt;"""",'Students (Vertical)'!P:P&gt;1))},{unique(filter('Students (Vertical)'!O:O,'Students (Vertical)'!C:C=B693,'Students (Vertical)'!O:O&lt;&gt;"""",'Students (Vertical)'!P:P&gt;1));unique(filter('Student"&amp;"s (Vertical)'!O:O,'Students (Vertical)'!C:C=E693,'Students (Vertical)'!O:O&lt;&gt;"""",'Students (Vertical)'!P:P&gt;1))})&gt;1))),""""),"""")"),"")</f>
        <v/>
      </c>
      <c r="K693" s="96" t="str">
        <f>IFERROR(__xludf.DUMMYFUNCTION("iferror(join("", "",unique(filter({filter('Students (Vertical)'!D:D,'Students (Vertical)'!C:C=B693,'Students (Vertical)'!D:D&lt;&gt;"""");filter('Students (Vertical)'!D:D,'Students (Vertical)'!C:C=E693,'Students (Vertical)'!D:D&lt;&gt;"""")},countifs({filter('Student"&amp;"s (Vertical)'!D:D,'Students (Vertical)'!C:C=B693,'Students (Vertical)'!D:D&lt;&gt;"""");filter('Students (Vertical)'!D:D,'Students (Vertical)'!C:C=E693,'Students (Vertical)'!D:D&lt;&gt;"""")},{filter('Students (Vertical)'!D:D,'Students (Vertical)'!C:C=B693,'Students "&amp;"(Vertical)'!D:D&lt;&gt;"""");filter('Students (Vertical)'!D:D,'Students (Vertical)'!C:C=E693,'Students (Vertical)'!D:D&lt;&gt;"""")})&gt;1))),"""")"),"")</f>
        <v/>
      </c>
      <c r="L693" s="96"/>
      <c r="M693" s="96"/>
    </row>
    <row r="694" hidden="1">
      <c r="A694" s="8" t="s">
        <v>8</v>
      </c>
      <c r="C694" s="8" t="s">
        <v>8</v>
      </c>
      <c r="D694" s="8" t="s">
        <v>8</v>
      </c>
      <c r="F694" s="8" t="s">
        <v>8</v>
      </c>
      <c r="G694" s="8" t="s">
        <v>8</v>
      </c>
      <c r="I694" s="94" t="str">
        <f>IFERROR(__xludf.DUMMYFUNCTION("if(H694=""Must be Together"",iferror(join("", "",unique(filter({filter('Students (Vertical)'!O:O,'Students (Vertical)'!C:C=B694,'Students (Vertical)'!O:O&lt;&gt;"""");filter('Students (Vertical)'!O:O,'Students (Vertical)'!C:C=E694,'Students (Vertical)'!O:O&lt;&gt;"""&amp;""")},countifs({filter('Students (Vertical)'!O:O,'Students (Vertical)'!C:C=B694,'Students (Vertical)'!O:O&lt;&gt;"""");filter('Students (Vertical)'!O:O,'Students (Vertical)'!C:C=E694,'Students (Vertical)'!O:O&lt;&gt;"""")},{filter('Students (Vertical)'!O:O,'Students ("&amp;"Vertical)'!C:C=B694,'Students (Vertical)'!O:O&lt;&gt;"""");filter('Students (Vertical)'!O:O,'Students (Vertical)'!C:C=E694,'Students (Vertical)'!O:O&lt;&gt;"""")})&gt;1))),""No shared courses""),"""")"),"")</f>
        <v/>
      </c>
      <c r="J694" s="94" t="str">
        <f>IFERROR(__xludf.DUMMYFUNCTION("if(H694=""Can't be Together"",iferror(join("", "",unique(filter({unique(filter('Students (Vertical)'!O:O,'Students (Vertical)'!C:C=B694,'Students (Vertical)'!O:O&lt;&gt;"""",'Students (Vertical)'!P:P&gt;1));unique(filter('Students (Vertical)'!O:O,'Students (Vertic"&amp;"al)'!C:C=E694,'Students (Vertical)'!O:O&lt;&gt;"""",'Students (Vertical)'!P:P&gt;1))},countifs({unique(filter('Students (Vertical)'!O:O,'Students (Vertical)'!C:C=B694,'Students (Vertical)'!O:O&lt;&gt;"""",'Students (Vertical)'!P:P&gt;1));unique(filter('Students (Vertical)'"&amp;"!O:O,'Students (Vertical)'!C:C=E694,'Students (Vertical)'!O:O&lt;&gt;"""",'Students (Vertical)'!P:P&gt;1))},{unique(filter('Students (Vertical)'!O:O,'Students (Vertical)'!C:C=B694,'Students (Vertical)'!O:O&lt;&gt;"""",'Students (Vertical)'!P:P&gt;1));unique(filter('Student"&amp;"s (Vertical)'!O:O,'Students (Vertical)'!C:C=E694,'Students (Vertical)'!O:O&lt;&gt;"""",'Students (Vertical)'!P:P&gt;1))})&gt;1))),""""),"""")"),"")</f>
        <v/>
      </c>
      <c r="K694" s="96" t="str">
        <f>IFERROR(__xludf.DUMMYFUNCTION("iferror(join("", "",unique(filter({filter('Students (Vertical)'!D:D,'Students (Vertical)'!C:C=B694,'Students (Vertical)'!D:D&lt;&gt;"""");filter('Students (Vertical)'!D:D,'Students (Vertical)'!C:C=E694,'Students (Vertical)'!D:D&lt;&gt;"""")},countifs({filter('Student"&amp;"s (Vertical)'!D:D,'Students (Vertical)'!C:C=B694,'Students (Vertical)'!D:D&lt;&gt;"""");filter('Students (Vertical)'!D:D,'Students (Vertical)'!C:C=E694,'Students (Vertical)'!D:D&lt;&gt;"""")},{filter('Students (Vertical)'!D:D,'Students (Vertical)'!C:C=B694,'Students "&amp;"(Vertical)'!D:D&lt;&gt;"""");filter('Students (Vertical)'!D:D,'Students (Vertical)'!C:C=E694,'Students (Vertical)'!D:D&lt;&gt;"""")})&gt;1))),"""")"),"")</f>
        <v/>
      </c>
      <c r="L694" s="96"/>
      <c r="M694" s="96"/>
    </row>
    <row r="695" hidden="1">
      <c r="A695" s="8" t="s">
        <v>8</v>
      </c>
      <c r="C695" s="8" t="s">
        <v>8</v>
      </c>
      <c r="D695" s="8" t="s">
        <v>8</v>
      </c>
      <c r="F695" s="8" t="s">
        <v>8</v>
      </c>
      <c r="G695" s="8" t="s">
        <v>8</v>
      </c>
      <c r="I695" s="94" t="str">
        <f>IFERROR(__xludf.DUMMYFUNCTION("if(H695=""Must be Together"",iferror(join("", "",unique(filter({filter('Students (Vertical)'!O:O,'Students (Vertical)'!C:C=B695,'Students (Vertical)'!O:O&lt;&gt;"""");filter('Students (Vertical)'!O:O,'Students (Vertical)'!C:C=E695,'Students (Vertical)'!O:O&lt;&gt;"""&amp;""")},countifs({filter('Students (Vertical)'!O:O,'Students (Vertical)'!C:C=B695,'Students (Vertical)'!O:O&lt;&gt;"""");filter('Students (Vertical)'!O:O,'Students (Vertical)'!C:C=E695,'Students (Vertical)'!O:O&lt;&gt;"""")},{filter('Students (Vertical)'!O:O,'Students ("&amp;"Vertical)'!C:C=B695,'Students (Vertical)'!O:O&lt;&gt;"""");filter('Students (Vertical)'!O:O,'Students (Vertical)'!C:C=E695,'Students (Vertical)'!O:O&lt;&gt;"""")})&gt;1))),""No shared courses""),"""")"),"")</f>
        <v/>
      </c>
      <c r="J695" s="94" t="str">
        <f>IFERROR(__xludf.DUMMYFUNCTION("if(H695=""Can't be Together"",iferror(join("", "",unique(filter({unique(filter('Students (Vertical)'!O:O,'Students (Vertical)'!C:C=B695,'Students (Vertical)'!O:O&lt;&gt;"""",'Students (Vertical)'!P:P&gt;1));unique(filter('Students (Vertical)'!O:O,'Students (Vertic"&amp;"al)'!C:C=E695,'Students (Vertical)'!O:O&lt;&gt;"""",'Students (Vertical)'!P:P&gt;1))},countifs({unique(filter('Students (Vertical)'!O:O,'Students (Vertical)'!C:C=B695,'Students (Vertical)'!O:O&lt;&gt;"""",'Students (Vertical)'!P:P&gt;1));unique(filter('Students (Vertical)'"&amp;"!O:O,'Students (Vertical)'!C:C=E695,'Students (Vertical)'!O:O&lt;&gt;"""",'Students (Vertical)'!P:P&gt;1))},{unique(filter('Students (Vertical)'!O:O,'Students (Vertical)'!C:C=B695,'Students (Vertical)'!O:O&lt;&gt;"""",'Students (Vertical)'!P:P&gt;1));unique(filter('Student"&amp;"s (Vertical)'!O:O,'Students (Vertical)'!C:C=E695,'Students (Vertical)'!O:O&lt;&gt;"""",'Students (Vertical)'!P:P&gt;1))})&gt;1))),""""),"""")"),"")</f>
        <v/>
      </c>
      <c r="K695" s="96" t="str">
        <f>IFERROR(__xludf.DUMMYFUNCTION("iferror(join("", "",unique(filter({filter('Students (Vertical)'!D:D,'Students (Vertical)'!C:C=B695,'Students (Vertical)'!D:D&lt;&gt;"""");filter('Students (Vertical)'!D:D,'Students (Vertical)'!C:C=E695,'Students (Vertical)'!D:D&lt;&gt;"""")},countifs({filter('Student"&amp;"s (Vertical)'!D:D,'Students (Vertical)'!C:C=B695,'Students (Vertical)'!D:D&lt;&gt;"""");filter('Students (Vertical)'!D:D,'Students (Vertical)'!C:C=E695,'Students (Vertical)'!D:D&lt;&gt;"""")},{filter('Students (Vertical)'!D:D,'Students (Vertical)'!C:C=B695,'Students "&amp;"(Vertical)'!D:D&lt;&gt;"""");filter('Students (Vertical)'!D:D,'Students (Vertical)'!C:C=E695,'Students (Vertical)'!D:D&lt;&gt;"""")})&gt;1))),"""")"),"")</f>
        <v/>
      </c>
      <c r="L695" s="96"/>
      <c r="M695" s="96"/>
    </row>
    <row r="696" hidden="1">
      <c r="A696" s="8" t="s">
        <v>8</v>
      </c>
      <c r="C696" s="8" t="s">
        <v>8</v>
      </c>
      <c r="D696" s="8" t="s">
        <v>8</v>
      </c>
      <c r="F696" s="8" t="s">
        <v>8</v>
      </c>
      <c r="G696" s="8" t="s">
        <v>8</v>
      </c>
      <c r="I696" s="94" t="str">
        <f>IFERROR(__xludf.DUMMYFUNCTION("if(H696=""Must be Together"",iferror(join("", "",unique(filter({filter('Students (Vertical)'!O:O,'Students (Vertical)'!C:C=B696,'Students (Vertical)'!O:O&lt;&gt;"""");filter('Students (Vertical)'!O:O,'Students (Vertical)'!C:C=E696,'Students (Vertical)'!O:O&lt;&gt;"""&amp;""")},countifs({filter('Students (Vertical)'!O:O,'Students (Vertical)'!C:C=B696,'Students (Vertical)'!O:O&lt;&gt;"""");filter('Students (Vertical)'!O:O,'Students (Vertical)'!C:C=E696,'Students (Vertical)'!O:O&lt;&gt;"""")},{filter('Students (Vertical)'!O:O,'Students ("&amp;"Vertical)'!C:C=B696,'Students (Vertical)'!O:O&lt;&gt;"""");filter('Students (Vertical)'!O:O,'Students (Vertical)'!C:C=E696,'Students (Vertical)'!O:O&lt;&gt;"""")})&gt;1))),""No shared courses""),"""")"),"")</f>
        <v/>
      </c>
      <c r="J696" s="94" t="str">
        <f>IFERROR(__xludf.DUMMYFUNCTION("if(H696=""Can't be Together"",iferror(join("", "",unique(filter({unique(filter('Students (Vertical)'!O:O,'Students (Vertical)'!C:C=B696,'Students (Vertical)'!O:O&lt;&gt;"""",'Students (Vertical)'!P:P&gt;1));unique(filter('Students (Vertical)'!O:O,'Students (Vertic"&amp;"al)'!C:C=E696,'Students (Vertical)'!O:O&lt;&gt;"""",'Students (Vertical)'!P:P&gt;1))},countifs({unique(filter('Students (Vertical)'!O:O,'Students (Vertical)'!C:C=B696,'Students (Vertical)'!O:O&lt;&gt;"""",'Students (Vertical)'!P:P&gt;1));unique(filter('Students (Vertical)'"&amp;"!O:O,'Students (Vertical)'!C:C=E696,'Students (Vertical)'!O:O&lt;&gt;"""",'Students (Vertical)'!P:P&gt;1))},{unique(filter('Students (Vertical)'!O:O,'Students (Vertical)'!C:C=B696,'Students (Vertical)'!O:O&lt;&gt;"""",'Students (Vertical)'!P:P&gt;1));unique(filter('Student"&amp;"s (Vertical)'!O:O,'Students (Vertical)'!C:C=E696,'Students (Vertical)'!O:O&lt;&gt;"""",'Students (Vertical)'!P:P&gt;1))})&gt;1))),""""),"""")"),"")</f>
        <v/>
      </c>
      <c r="K696" s="96" t="str">
        <f>IFERROR(__xludf.DUMMYFUNCTION("iferror(join("", "",unique(filter({filter('Students (Vertical)'!D:D,'Students (Vertical)'!C:C=B696,'Students (Vertical)'!D:D&lt;&gt;"""");filter('Students (Vertical)'!D:D,'Students (Vertical)'!C:C=E696,'Students (Vertical)'!D:D&lt;&gt;"""")},countifs({filter('Student"&amp;"s (Vertical)'!D:D,'Students (Vertical)'!C:C=B696,'Students (Vertical)'!D:D&lt;&gt;"""");filter('Students (Vertical)'!D:D,'Students (Vertical)'!C:C=E696,'Students (Vertical)'!D:D&lt;&gt;"""")},{filter('Students (Vertical)'!D:D,'Students (Vertical)'!C:C=B696,'Students "&amp;"(Vertical)'!D:D&lt;&gt;"""");filter('Students (Vertical)'!D:D,'Students (Vertical)'!C:C=E696,'Students (Vertical)'!D:D&lt;&gt;"""")})&gt;1))),"""")"),"")</f>
        <v/>
      </c>
      <c r="L696" s="96"/>
      <c r="M696" s="96"/>
    </row>
    <row r="697" hidden="1">
      <c r="A697" s="8" t="s">
        <v>8</v>
      </c>
      <c r="C697" s="8" t="s">
        <v>8</v>
      </c>
      <c r="D697" s="8" t="s">
        <v>8</v>
      </c>
      <c r="F697" s="8" t="s">
        <v>8</v>
      </c>
      <c r="G697" s="8" t="s">
        <v>8</v>
      </c>
      <c r="I697" s="94" t="str">
        <f>IFERROR(__xludf.DUMMYFUNCTION("if(H697=""Must be Together"",iferror(join("", "",unique(filter({filter('Students (Vertical)'!O:O,'Students (Vertical)'!C:C=B697,'Students (Vertical)'!O:O&lt;&gt;"""");filter('Students (Vertical)'!O:O,'Students (Vertical)'!C:C=E697,'Students (Vertical)'!O:O&lt;&gt;"""&amp;""")},countifs({filter('Students (Vertical)'!O:O,'Students (Vertical)'!C:C=B697,'Students (Vertical)'!O:O&lt;&gt;"""");filter('Students (Vertical)'!O:O,'Students (Vertical)'!C:C=E697,'Students (Vertical)'!O:O&lt;&gt;"""")},{filter('Students (Vertical)'!O:O,'Students ("&amp;"Vertical)'!C:C=B697,'Students (Vertical)'!O:O&lt;&gt;"""");filter('Students (Vertical)'!O:O,'Students (Vertical)'!C:C=E697,'Students (Vertical)'!O:O&lt;&gt;"""")})&gt;1))),""No shared courses""),"""")"),"")</f>
        <v/>
      </c>
      <c r="J697" s="94" t="str">
        <f>IFERROR(__xludf.DUMMYFUNCTION("if(H697=""Can't be Together"",iferror(join("", "",unique(filter({unique(filter('Students (Vertical)'!O:O,'Students (Vertical)'!C:C=B697,'Students (Vertical)'!O:O&lt;&gt;"""",'Students (Vertical)'!P:P&gt;1));unique(filter('Students (Vertical)'!O:O,'Students (Vertic"&amp;"al)'!C:C=E697,'Students (Vertical)'!O:O&lt;&gt;"""",'Students (Vertical)'!P:P&gt;1))},countifs({unique(filter('Students (Vertical)'!O:O,'Students (Vertical)'!C:C=B697,'Students (Vertical)'!O:O&lt;&gt;"""",'Students (Vertical)'!P:P&gt;1));unique(filter('Students (Vertical)'"&amp;"!O:O,'Students (Vertical)'!C:C=E697,'Students (Vertical)'!O:O&lt;&gt;"""",'Students (Vertical)'!P:P&gt;1))},{unique(filter('Students (Vertical)'!O:O,'Students (Vertical)'!C:C=B697,'Students (Vertical)'!O:O&lt;&gt;"""",'Students (Vertical)'!P:P&gt;1));unique(filter('Student"&amp;"s (Vertical)'!O:O,'Students (Vertical)'!C:C=E697,'Students (Vertical)'!O:O&lt;&gt;"""",'Students (Vertical)'!P:P&gt;1))})&gt;1))),""""),"""")"),"")</f>
        <v/>
      </c>
      <c r="K697" s="96" t="str">
        <f>IFERROR(__xludf.DUMMYFUNCTION("iferror(join("", "",unique(filter({filter('Students (Vertical)'!D:D,'Students (Vertical)'!C:C=B697,'Students (Vertical)'!D:D&lt;&gt;"""");filter('Students (Vertical)'!D:D,'Students (Vertical)'!C:C=E697,'Students (Vertical)'!D:D&lt;&gt;"""")},countifs({filter('Student"&amp;"s (Vertical)'!D:D,'Students (Vertical)'!C:C=B697,'Students (Vertical)'!D:D&lt;&gt;"""");filter('Students (Vertical)'!D:D,'Students (Vertical)'!C:C=E697,'Students (Vertical)'!D:D&lt;&gt;"""")},{filter('Students (Vertical)'!D:D,'Students (Vertical)'!C:C=B697,'Students "&amp;"(Vertical)'!D:D&lt;&gt;"""");filter('Students (Vertical)'!D:D,'Students (Vertical)'!C:C=E697,'Students (Vertical)'!D:D&lt;&gt;"""")})&gt;1))),"""")"),"")</f>
        <v/>
      </c>
      <c r="L697" s="96"/>
      <c r="M697" s="96"/>
    </row>
    <row r="698" hidden="1">
      <c r="A698" s="8" t="s">
        <v>8</v>
      </c>
      <c r="C698" s="8" t="s">
        <v>8</v>
      </c>
      <c r="D698" s="8" t="s">
        <v>8</v>
      </c>
      <c r="F698" s="8" t="s">
        <v>8</v>
      </c>
      <c r="G698" s="8" t="s">
        <v>8</v>
      </c>
      <c r="I698" s="94" t="str">
        <f>IFERROR(__xludf.DUMMYFUNCTION("if(H698=""Must be Together"",iferror(join("", "",unique(filter({filter('Students (Vertical)'!O:O,'Students (Vertical)'!C:C=B698,'Students (Vertical)'!O:O&lt;&gt;"""");filter('Students (Vertical)'!O:O,'Students (Vertical)'!C:C=E698,'Students (Vertical)'!O:O&lt;&gt;"""&amp;""")},countifs({filter('Students (Vertical)'!O:O,'Students (Vertical)'!C:C=B698,'Students (Vertical)'!O:O&lt;&gt;"""");filter('Students (Vertical)'!O:O,'Students (Vertical)'!C:C=E698,'Students (Vertical)'!O:O&lt;&gt;"""")},{filter('Students (Vertical)'!O:O,'Students ("&amp;"Vertical)'!C:C=B698,'Students (Vertical)'!O:O&lt;&gt;"""");filter('Students (Vertical)'!O:O,'Students (Vertical)'!C:C=E698,'Students (Vertical)'!O:O&lt;&gt;"""")})&gt;1))),""No shared courses""),"""")"),"")</f>
        <v/>
      </c>
      <c r="J698" s="94" t="str">
        <f>IFERROR(__xludf.DUMMYFUNCTION("if(H698=""Can't be Together"",iferror(join("", "",unique(filter({unique(filter('Students (Vertical)'!O:O,'Students (Vertical)'!C:C=B698,'Students (Vertical)'!O:O&lt;&gt;"""",'Students (Vertical)'!P:P&gt;1));unique(filter('Students (Vertical)'!O:O,'Students (Vertic"&amp;"al)'!C:C=E698,'Students (Vertical)'!O:O&lt;&gt;"""",'Students (Vertical)'!P:P&gt;1))},countifs({unique(filter('Students (Vertical)'!O:O,'Students (Vertical)'!C:C=B698,'Students (Vertical)'!O:O&lt;&gt;"""",'Students (Vertical)'!P:P&gt;1));unique(filter('Students (Vertical)'"&amp;"!O:O,'Students (Vertical)'!C:C=E698,'Students (Vertical)'!O:O&lt;&gt;"""",'Students (Vertical)'!P:P&gt;1))},{unique(filter('Students (Vertical)'!O:O,'Students (Vertical)'!C:C=B698,'Students (Vertical)'!O:O&lt;&gt;"""",'Students (Vertical)'!P:P&gt;1));unique(filter('Student"&amp;"s (Vertical)'!O:O,'Students (Vertical)'!C:C=E698,'Students (Vertical)'!O:O&lt;&gt;"""",'Students (Vertical)'!P:P&gt;1))})&gt;1))),""""),"""")"),"")</f>
        <v/>
      </c>
      <c r="K698" s="96" t="str">
        <f>IFERROR(__xludf.DUMMYFUNCTION("iferror(join("", "",unique(filter({filter('Students (Vertical)'!D:D,'Students (Vertical)'!C:C=B698,'Students (Vertical)'!D:D&lt;&gt;"""");filter('Students (Vertical)'!D:D,'Students (Vertical)'!C:C=E698,'Students (Vertical)'!D:D&lt;&gt;"""")},countifs({filter('Student"&amp;"s (Vertical)'!D:D,'Students (Vertical)'!C:C=B698,'Students (Vertical)'!D:D&lt;&gt;"""");filter('Students (Vertical)'!D:D,'Students (Vertical)'!C:C=E698,'Students (Vertical)'!D:D&lt;&gt;"""")},{filter('Students (Vertical)'!D:D,'Students (Vertical)'!C:C=B698,'Students "&amp;"(Vertical)'!D:D&lt;&gt;"""");filter('Students (Vertical)'!D:D,'Students (Vertical)'!C:C=E698,'Students (Vertical)'!D:D&lt;&gt;"""")})&gt;1))),"""")"),"")</f>
        <v/>
      </c>
      <c r="L698" s="96"/>
      <c r="M698" s="96"/>
    </row>
    <row r="699" hidden="1">
      <c r="A699" s="8" t="s">
        <v>8</v>
      </c>
      <c r="C699" s="8" t="s">
        <v>8</v>
      </c>
      <c r="D699" s="8" t="s">
        <v>8</v>
      </c>
      <c r="F699" s="8" t="s">
        <v>8</v>
      </c>
      <c r="G699" s="8" t="s">
        <v>8</v>
      </c>
      <c r="I699" s="94" t="str">
        <f>IFERROR(__xludf.DUMMYFUNCTION("if(H699=""Must be Together"",iferror(join("", "",unique(filter({filter('Students (Vertical)'!O:O,'Students (Vertical)'!C:C=B699,'Students (Vertical)'!O:O&lt;&gt;"""");filter('Students (Vertical)'!O:O,'Students (Vertical)'!C:C=E699,'Students (Vertical)'!O:O&lt;&gt;"""&amp;""")},countifs({filter('Students (Vertical)'!O:O,'Students (Vertical)'!C:C=B699,'Students (Vertical)'!O:O&lt;&gt;"""");filter('Students (Vertical)'!O:O,'Students (Vertical)'!C:C=E699,'Students (Vertical)'!O:O&lt;&gt;"""")},{filter('Students (Vertical)'!O:O,'Students ("&amp;"Vertical)'!C:C=B699,'Students (Vertical)'!O:O&lt;&gt;"""");filter('Students (Vertical)'!O:O,'Students (Vertical)'!C:C=E699,'Students (Vertical)'!O:O&lt;&gt;"""")})&gt;1))),""No shared courses""),"""")"),"")</f>
        <v/>
      </c>
      <c r="J699" s="94" t="str">
        <f>IFERROR(__xludf.DUMMYFUNCTION("if(H699=""Can't be Together"",iferror(join("", "",unique(filter({unique(filter('Students (Vertical)'!O:O,'Students (Vertical)'!C:C=B699,'Students (Vertical)'!O:O&lt;&gt;"""",'Students (Vertical)'!P:P&gt;1));unique(filter('Students (Vertical)'!O:O,'Students (Vertic"&amp;"al)'!C:C=E699,'Students (Vertical)'!O:O&lt;&gt;"""",'Students (Vertical)'!P:P&gt;1))},countifs({unique(filter('Students (Vertical)'!O:O,'Students (Vertical)'!C:C=B699,'Students (Vertical)'!O:O&lt;&gt;"""",'Students (Vertical)'!P:P&gt;1));unique(filter('Students (Vertical)'"&amp;"!O:O,'Students (Vertical)'!C:C=E699,'Students (Vertical)'!O:O&lt;&gt;"""",'Students (Vertical)'!P:P&gt;1))},{unique(filter('Students (Vertical)'!O:O,'Students (Vertical)'!C:C=B699,'Students (Vertical)'!O:O&lt;&gt;"""",'Students (Vertical)'!P:P&gt;1));unique(filter('Student"&amp;"s (Vertical)'!O:O,'Students (Vertical)'!C:C=E699,'Students (Vertical)'!O:O&lt;&gt;"""",'Students (Vertical)'!P:P&gt;1))})&gt;1))),""""),"""")"),"")</f>
        <v/>
      </c>
      <c r="K699" s="96" t="str">
        <f>IFERROR(__xludf.DUMMYFUNCTION("iferror(join("", "",unique(filter({filter('Students (Vertical)'!D:D,'Students (Vertical)'!C:C=B699,'Students (Vertical)'!D:D&lt;&gt;"""");filter('Students (Vertical)'!D:D,'Students (Vertical)'!C:C=E699,'Students (Vertical)'!D:D&lt;&gt;"""")},countifs({filter('Student"&amp;"s (Vertical)'!D:D,'Students (Vertical)'!C:C=B699,'Students (Vertical)'!D:D&lt;&gt;"""");filter('Students (Vertical)'!D:D,'Students (Vertical)'!C:C=E699,'Students (Vertical)'!D:D&lt;&gt;"""")},{filter('Students (Vertical)'!D:D,'Students (Vertical)'!C:C=B699,'Students "&amp;"(Vertical)'!D:D&lt;&gt;"""");filter('Students (Vertical)'!D:D,'Students (Vertical)'!C:C=E699,'Students (Vertical)'!D:D&lt;&gt;"""")})&gt;1))),"""")"),"")</f>
        <v/>
      </c>
      <c r="L699" s="96"/>
      <c r="M699" s="96"/>
    </row>
    <row r="700" hidden="1">
      <c r="A700" s="8" t="s">
        <v>8</v>
      </c>
      <c r="C700" s="8" t="s">
        <v>8</v>
      </c>
      <c r="D700" s="8" t="s">
        <v>8</v>
      </c>
      <c r="F700" s="8" t="s">
        <v>8</v>
      </c>
      <c r="G700" s="8" t="s">
        <v>8</v>
      </c>
      <c r="I700" s="94" t="str">
        <f>IFERROR(__xludf.DUMMYFUNCTION("if(H700=""Must be Together"",iferror(join("", "",unique(filter({filter('Students (Vertical)'!O:O,'Students (Vertical)'!C:C=B700,'Students (Vertical)'!O:O&lt;&gt;"""");filter('Students (Vertical)'!O:O,'Students (Vertical)'!C:C=E700,'Students (Vertical)'!O:O&lt;&gt;"""&amp;""")},countifs({filter('Students (Vertical)'!O:O,'Students (Vertical)'!C:C=B700,'Students (Vertical)'!O:O&lt;&gt;"""");filter('Students (Vertical)'!O:O,'Students (Vertical)'!C:C=E700,'Students (Vertical)'!O:O&lt;&gt;"""")},{filter('Students (Vertical)'!O:O,'Students ("&amp;"Vertical)'!C:C=B700,'Students (Vertical)'!O:O&lt;&gt;"""");filter('Students (Vertical)'!O:O,'Students (Vertical)'!C:C=E700,'Students (Vertical)'!O:O&lt;&gt;"""")})&gt;1))),""No shared courses""),"""")"),"")</f>
        <v/>
      </c>
      <c r="J700" s="94" t="str">
        <f>IFERROR(__xludf.DUMMYFUNCTION("if(H700=""Can't be Together"",iferror(join("", "",unique(filter({unique(filter('Students (Vertical)'!O:O,'Students (Vertical)'!C:C=B700,'Students (Vertical)'!O:O&lt;&gt;"""",'Students (Vertical)'!P:P&gt;1));unique(filter('Students (Vertical)'!O:O,'Students (Vertic"&amp;"al)'!C:C=E700,'Students (Vertical)'!O:O&lt;&gt;"""",'Students (Vertical)'!P:P&gt;1))},countifs({unique(filter('Students (Vertical)'!O:O,'Students (Vertical)'!C:C=B700,'Students (Vertical)'!O:O&lt;&gt;"""",'Students (Vertical)'!P:P&gt;1));unique(filter('Students (Vertical)'"&amp;"!O:O,'Students (Vertical)'!C:C=E700,'Students (Vertical)'!O:O&lt;&gt;"""",'Students (Vertical)'!P:P&gt;1))},{unique(filter('Students (Vertical)'!O:O,'Students (Vertical)'!C:C=B700,'Students (Vertical)'!O:O&lt;&gt;"""",'Students (Vertical)'!P:P&gt;1));unique(filter('Student"&amp;"s (Vertical)'!O:O,'Students (Vertical)'!C:C=E700,'Students (Vertical)'!O:O&lt;&gt;"""",'Students (Vertical)'!P:P&gt;1))})&gt;1))),""""),"""")"),"")</f>
        <v/>
      </c>
      <c r="K700" s="96" t="str">
        <f>IFERROR(__xludf.DUMMYFUNCTION("iferror(join("", "",unique(filter({filter('Students (Vertical)'!D:D,'Students (Vertical)'!C:C=B700,'Students (Vertical)'!D:D&lt;&gt;"""");filter('Students (Vertical)'!D:D,'Students (Vertical)'!C:C=E700,'Students (Vertical)'!D:D&lt;&gt;"""")},countifs({filter('Student"&amp;"s (Vertical)'!D:D,'Students (Vertical)'!C:C=B700,'Students (Vertical)'!D:D&lt;&gt;"""");filter('Students (Vertical)'!D:D,'Students (Vertical)'!C:C=E700,'Students (Vertical)'!D:D&lt;&gt;"""")},{filter('Students (Vertical)'!D:D,'Students (Vertical)'!C:C=B700,'Students "&amp;"(Vertical)'!D:D&lt;&gt;"""");filter('Students (Vertical)'!D:D,'Students (Vertical)'!C:C=E700,'Students (Vertical)'!D:D&lt;&gt;"""")})&gt;1))),"""")"),"")</f>
        <v/>
      </c>
      <c r="L700" s="96"/>
      <c r="M700" s="96"/>
    </row>
    <row r="701" hidden="1">
      <c r="A701" s="8" t="s">
        <v>8</v>
      </c>
      <c r="C701" s="8" t="s">
        <v>8</v>
      </c>
      <c r="D701" s="8" t="s">
        <v>8</v>
      </c>
      <c r="F701" s="8" t="s">
        <v>8</v>
      </c>
      <c r="G701" s="8" t="s">
        <v>8</v>
      </c>
      <c r="I701" s="94" t="str">
        <f>IFERROR(__xludf.DUMMYFUNCTION("if(H701=""Must be Together"",iferror(join("", "",unique(filter({filter('Students (Vertical)'!O:O,'Students (Vertical)'!C:C=B701,'Students (Vertical)'!O:O&lt;&gt;"""");filter('Students (Vertical)'!O:O,'Students (Vertical)'!C:C=E701,'Students (Vertical)'!O:O&lt;&gt;"""&amp;""")},countifs({filter('Students (Vertical)'!O:O,'Students (Vertical)'!C:C=B701,'Students (Vertical)'!O:O&lt;&gt;"""");filter('Students (Vertical)'!O:O,'Students (Vertical)'!C:C=E701,'Students (Vertical)'!O:O&lt;&gt;"""")},{filter('Students (Vertical)'!O:O,'Students ("&amp;"Vertical)'!C:C=B701,'Students (Vertical)'!O:O&lt;&gt;"""");filter('Students (Vertical)'!O:O,'Students (Vertical)'!C:C=E701,'Students (Vertical)'!O:O&lt;&gt;"""")})&gt;1))),""No shared courses""),"""")"),"")</f>
        <v/>
      </c>
      <c r="J701" s="94" t="str">
        <f>IFERROR(__xludf.DUMMYFUNCTION("if(H701=""Can't be Together"",iferror(join("", "",unique(filter({unique(filter('Students (Vertical)'!O:O,'Students (Vertical)'!C:C=B701,'Students (Vertical)'!O:O&lt;&gt;"""",'Students (Vertical)'!P:P&gt;1));unique(filter('Students (Vertical)'!O:O,'Students (Vertic"&amp;"al)'!C:C=E701,'Students (Vertical)'!O:O&lt;&gt;"""",'Students (Vertical)'!P:P&gt;1))},countifs({unique(filter('Students (Vertical)'!O:O,'Students (Vertical)'!C:C=B701,'Students (Vertical)'!O:O&lt;&gt;"""",'Students (Vertical)'!P:P&gt;1));unique(filter('Students (Vertical)'"&amp;"!O:O,'Students (Vertical)'!C:C=E701,'Students (Vertical)'!O:O&lt;&gt;"""",'Students (Vertical)'!P:P&gt;1))},{unique(filter('Students (Vertical)'!O:O,'Students (Vertical)'!C:C=B701,'Students (Vertical)'!O:O&lt;&gt;"""",'Students (Vertical)'!P:P&gt;1));unique(filter('Student"&amp;"s (Vertical)'!O:O,'Students (Vertical)'!C:C=E701,'Students (Vertical)'!O:O&lt;&gt;"""",'Students (Vertical)'!P:P&gt;1))})&gt;1))),""""),"""")"),"")</f>
        <v/>
      </c>
      <c r="K701" s="96" t="str">
        <f>IFERROR(__xludf.DUMMYFUNCTION("iferror(join("", "",unique(filter({filter('Students (Vertical)'!D:D,'Students (Vertical)'!C:C=B701,'Students (Vertical)'!D:D&lt;&gt;"""");filter('Students (Vertical)'!D:D,'Students (Vertical)'!C:C=E701,'Students (Vertical)'!D:D&lt;&gt;"""")},countifs({filter('Student"&amp;"s (Vertical)'!D:D,'Students (Vertical)'!C:C=B701,'Students (Vertical)'!D:D&lt;&gt;"""");filter('Students (Vertical)'!D:D,'Students (Vertical)'!C:C=E701,'Students (Vertical)'!D:D&lt;&gt;"""")},{filter('Students (Vertical)'!D:D,'Students (Vertical)'!C:C=B701,'Students "&amp;"(Vertical)'!D:D&lt;&gt;"""");filter('Students (Vertical)'!D:D,'Students (Vertical)'!C:C=E701,'Students (Vertical)'!D:D&lt;&gt;"""")})&gt;1))),"""")"),"")</f>
        <v/>
      </c>
      <c r="L701" s="96"/>
      <c r="M701" s="96"/>
    </row>
    <row r="702" hidden="1">
      <c r="A702" s="8" t="s">
        <v>8</v>
      </c>
      <c r="C702" s="8" t="s">
        <v>8</v>
      </c>
      <c r="D702" s="8" t="s">
        <v>8</v>
      </c>
      <c r="F702" s="8" t="s">
        <v>8</v>
      </c>
      <c r="G702" s="8" t="s">
        <v>8</v>
      </c>
      <c r="I702" s="94" t="str">
        <f>IFERROR(__xludf.DUMMYFUNCTION("if(H702=""Must be Together"",iferror(join("", "",unique(filter({filter('Students (Vertical)'!O:O,'Students (Vertical)'!C:C=B702,'Students (Vertical)'!O:O&lt;&gt;"""");filter('Students (Vertical)'!O:O,'Students (Vertical)'!C:C=E702,'Students (Vertical)'!O:O&lt;&gt;"""&amp;""")},countifs({filter('Students (Vertical)'!O:O,'Students (Vertical)'!C:C=B702,'Students (Vertical)'!O:O&lt;&gt;"""");filter('Students (Vertical)'!O:O,'Students (Vertical)'!C:C=E702,'Students (Vertical)'!O:O&lt;&gt;"""")},{filter('Students (Vertical)'!O:O,'Students ("&amp;"Vertical)'!C:C=B702,'Students (Vertical)'!O:O&lt;&gt;"""");filter('Students (Vertical)'!O:O,'Students (Vertical)'!C:C=E702,'Students (Vertical)'!O:O&lt;&gt;"""")})&gt;1))),""No shared courses""),"""")"),"")</f>
        <v/>
      </c>
      <c r="J702" s="94" t="str">
        <f>IFERROR(__xludf.DUMMYFUNCTION("if(H702=""Can't be Together"",iferror(join("", "",unique(filter({unique(filter('Students (Vertical)'!O:O,'Students (Vertical)'!C:C=B702,'Students (Vertical)'!O:O&lt;&gt;"""",'Students (Vertical)'!P:P&gt;1));unique(filter('Students (Vertical)'!O:O,'Students (Vertic"&amp;"al)'!C:C=E702,'Students (Vertical)'!O:O&lt;&gt;"""",'Students (Vertical)'!P:P&gt;1))},countifs({unique(filter('Students (Vertical)'!O:O,'Students (Vertical)'!C:C=B702,'Students (Vertical)'!O:O&lt;&gt;"""",'Students (Vertical)'!P:P&gt;1));unique(filter('Students (Vertical)'"&amp;"!O:O,'Students (Vertical)'!C:C=E702,'Students (Vertical)'!O:O&lt;&gt;"""",'Students (Vertical)'!P:P&gt;1))},{unique(filter('Students (Vertical)'!O:O,'Students (Vertical)'!C:C=B702,'Students (Vertical)'!O:O&lt;&gt;"""",'Students (Vertical)'!P:P&gt;1));unique(filter('Student"&amp;"s (Vertical)'!O:O,'Students (Vertical)'!C:C=E702,'Students (Vertical)'!O:O&lt;&gt;"""",'Students (Vertical)'!P:P&gt;1))})&gt;1))),""""),"""")"),"")</f>
        <v/>
      </c>
      <c r="K702" s="96" t="str">
        <f>IFERROR(__xludf.DUMMYFUNCTION("iferror(join("", "",unique(filter({filter('Students (Vertical)'!D:D,'Students (Vertical)'!C:C=B702,'Students (Vertical)'!D:D&lt;&gt;"""");filter('Students (Vertical)'!D:D,'Students (Vertical)'!C:C=E702,'Students (Vertical)'!D:D&lt;&gt;"""")},countifs({filter('Student"&amp;"s (Vertical)'!D:D,'Students (Vertical)'!C:C=B702,'Students (Vertical)'!D:D&lt;&gt;"""");filter('Students (Vertical)'!D:D,'Students (Vertical)'!C:C=E702,'Students (Vertical)'!D:D&lt;&gt;"""")},{filter('Students (Vertical)'!D:D,'Students (Vertical)'!C:C=B702,'Students "&amp;"(Vertical)'!D:D&lt;&gt;"""");filter('Students (Vertical)'!D:D,'Students (Vertical)'!C:C=E702,'Students (Vertical)'!D:D&lt;&gt;"""")})&gt;1))),"""")"),"")</f>
        <v/>
      </c>
      <c r="L702" s="96"/>
      <c r="M702" s="96"/>
    </row>
    <row r="703" hidden="1">
      <c r="A703" s="8" t="s">
        <v>8</v>
      </c>
      <c r="C703" s="8" t="s">
        <v>8</v>
      </c>
      <c r="D703" s="8" t="s">
        <v>8</v>
      </c>
      <c r="F703" s="8" t="s">
        <v>8</v>
      </c>
      <c r="G703" s="8" t="s">
        <v>8</v>
      </c>
      <c r="I703" s="94" t="str">
        <f>IFERROR(__xludf.DUMMYFUNCTION("if(H703=""Must be Together"",iferror(join("", "",unique(filter({filter('Students (Vertical)'!O:O,'Students (Vertical)'!C:C=B703,'Students (Vertical)'!O:O&lt;&gt;"""");filter('Students (Vertical)'!O:O,'Students (Vertical)'!C:C=E703,'Students (Vertical)'!O:O&lt;&gt;"""&amp;""")},countifs({filter('Students (Vertical)'!O:O,'Students (Vertical)'!C:C=B703,'Students (Vertical)'!O:O&lt;&gt;"""");filter('Students (Vertical)'!O:O,'Students (Vertical)'!C:C=E703,'Students (Vertical)'!O:O&lt;&gt;"""")},{filter('Students (Vertical)'!O:O,'Students ("&amp;"Vertical)'!C:C=B703,'Students (Vertical)'!O:O&lt;&gt;"""");filter('Students (Vertical)'!O:O,'Students (Vertical)'!C:C=E703,'Students (Vertical)'!O:O&lt;&gt;"""")})&gt;1))),""No shared courses""),"""")"),"")</f>
        <v/>
      </c>
      <c r="J703" s="94" t="str">
        <f>IFERROR(__xludf.DUMMYFUNCTION("if(H703=""Can't be Together"",iferror(join("", "",unique(filter({unique(filter('Students (Vertical)'!O:O,'Students (Vertical)'!C:C=B703,'Students (Vertical)'!O:O&lt;&gt;"""",'Students (Vertical)'!P:P&gt;1));unique(filter('Students (Vertical)'!O:O,'Students (Vertic"&amp;"al)'!C:C=E703,'Students (Vertical)'!O:O&lt;&gt;"""",'Students (Vertical)'!P:P&gt;1))},countifs({unique(filter('Students (Vertical)'!O:O,'Students (Vertical)'!C:C=B703,'Students (Vertical)'!O:O&lt;&gt;"""",'Students (Vertical)'!P:P&gt;1));unique(filter('Students (Vertical)'"&amp;"!O:O,'Students (Vertical)'!C:C=E703,'Students (Vertical)'!O:O&lt;&gt;"""",'Students (Vertical)'!P:P&gt;1))},{unique(filter('Students (Vertical)'!O:O,'Students (Vertical)'!C:C=B703,'Students (Vertical)'!O:O&lt;&gt;"""",'Students (Vertical)'!P:P&gt;1));unique(filter('Student"&amp;"s (Vertical)'!O:O,'Students (Vertical)'!C:C=E703,'Students (Vertical)'!O:O&lt;&gt;"""",'Students (Vertical)'!P:P&gt;1))})&gt;1))),""""),"""")"),"")</f>
        <v/>
      </c>
      <c r="K703" s="96" t="str">
        <f>IFERROR(__xludf.DUMMYFUNCTION("iferror(join("", "",unique(filter({filter('Students (Vertical)'!D:D,'Students (Vertical)'!C:C=B703,'Students (Vertical)'!D:D&lt;&gt;"""");filter('Students (Vertical)'!D:D,'Students (Vertical)'!C:C=E703,'Students (Vertical)'!D:D&lt;&gt;"""")},countifs({filter('Student"&amp;"s (Vertical)'!D:D,'Students (Vertical)'!C:C=B703,'Students (Vertical)'!D:D&lt;&gt;"""");filter('Students (Vertical)'!D:D,'Students (Vertical)'!C:C=E703,'Students (Vertical)'!D:D&lt;&gt;"""")},{filter('Students (Vertical)'!D:D,'Students (Vertical)'!C:C=B703,'Students "&amp;"(Vertical)'!D:D&lt;&gt;"""");filter('Students (Vertical)'!D:D,'Students (Vertical)'!C:C=E703,'Students (Vertical)'!D:D&lt;&gt;"""")})&gt;1))),"""")"),"")</f>
        <v/>
      </c>
      <c r="L703" s="96"/>
      <c r="M703" s="96"/>
    </row>
    <row r="704" hidden="1">
      <c r="A704" s="8" t="s">
        <v>8</v>
      </c>
      <c r="C704" s="8" t="s">
        <v>8</v>
      </c>
      <c r="D704" s="8" t="s">
        <v>8</v>
      </c>
      <c r="F704" s="8" t="s">
        <v>8</v>
      </c>
      <c r="G704" s="8" t="s">
        <v>8</v>
      </c>
      <c r="I704" s="94" t="str">
        <f>IFERROR(__xludf.DUMMYFUNCTION("if(H704=""Must be Together"",iferror(join("", "",unique(filter({filter('Students (Vertical)'!O:O,'Students (Vertical)'!C:C=B704,'Students (Vertical)'!O:O&lt;&gt;"""");filter('Students (Vertical)'!O:O,'Students (Vertical)'!C:C=E704,'Students (Vertical)'!O:O&lt;&gt;"""&amp;""")},countifs({filter('Students (Vertical)'!O:O,'Students (Vertical)'!C:C=B704,'Students (Vertical)'!O:O&lt;&gt;"""");filter('Students (Vertical)'!O:O,'Students (Vertical)'!C:C=E704,'Students (Vertical)'!O:O&lt;&gt;"""")},{filter('Students (Vertical)'!O:O,'Students ("&amp;"Vertical)'!C:C=B704,'Students (Vertical)'!O:O&lt;&gt;"""");filter('Students (Vertical)'!O:O,'Students (Vertical)'!C:C=E704,'Students (Vertical)'!O:O&lt;&gt;"""")})&gt;1))),""No shared courses""),"""")"),"")</f>
        <v/>
      </c>
      <c r="J704" s="94" t="str">
        <f>IFERROR(__xludf.DUMMYFUNCTION("if(H704=""Can't be Together"",iferror(join("", "",unique(filter({unique(filter('Students (Vertical)'!O:O,'Students (Vertical)'!C:C=B704,'Students (Vertical)'!O:O&lt;&gt;"""",'Students (Vertical)'!P:P&gt;1));unique(filter('Students (Vertical)'!O:O,'Students (Vertic"&amp;"al)'!C:C=E704,'Students (Vertical)'!O:O&lt;&gt;"""",'Students (Vertical)'!P:P&gt;1))},countifs({unique(filter('Students (Vertical)'!O:O,'Students (Vertical)'!C:C=B704,'Students (Vertical)'!O:O&lt;&gt;"""",'Students (Vertical)'!P:P&gt;1));unique(filter('Students (Vertical)'"&amp;"!O:O,'Students (Vertical)'!C:C=E704,'Students (Vertical)'!O:O&lt;&gt;"""",'Students (Vertical)'!P:P&gt;1))},{unique(filter('Students (Vertical)'!O:O,'Students (Vertical)'!C:C=B704,'Students (Vertical)'!O:O&lt;&gt;"""",'Students (Vertical)'!P:P&gt;1));unique(filter('Student"&amp;"s (Vertical)'!O:O,'Students (Vertical)'!C:C=E704,'Students (Vertical)'!O:O&lt;&gt;"""",'Students (Vertical)'!P:P&gt;1))})&gt;1))),""""),"""")"),"")</f>
        <v/>
      </c>
      <c r="K704" s="96" t="str">
        <f>IFERROR(__xludf.DUMMYFUNCTION("iferror(join("", "",unique(filter({filter('Students (Vertical)'!D:D,'Students (Vertical)'!C:C=B704,'Students (Vertical)'!D:D&lt;&gt;"""");filter('Students (Vertical)'!D:D,'Students (Vertical)'!C:C=E704,'Students (Vertical)'!D:D&lt;&gt;"""")},countifs({filter('Student"&amp;"s (Vertical)'!D:D,'Students (Vertical)'!C:C=B704,'Students (Vertical)'!D:D&lt;&gt;"""");filter('Students (Vertical)'!D:D,'Students (Vertical)'!C:C=E704,'Students (Vertical)'!D:D&lt;&gt;"""")},{filter('Students (Vertical)'!D:D,'Students (Vertical)'!C:C=B704,'Students "&amp;"(Vertical)'!D:D&lt;&gt;"""");filter('Students (Vertical)'!D:D,'Students (Vertical)'!C:C=E704,'Students (Vertical)'!D:D&lt;&gt;"""")})&gt;1))),"""")"),"")</f>
        <v/>
      </c>
      <c r="L704" s="96"/>
      <c r="M704" s="96"/>
    </row>
    <row r="705" hidden="1">
      <c r="A705" s="8" t="s">
        <v>8</v>
      </c>
      <c r="C705" s="8" t="s">
        <v>8</v>
      </c>
      <c r="D705" s="8" t="s">
        <v>8</v>
      </c>
      <c r="F705" s="8" t="s">
        <v>8</v>
      </c>
      <c r="G705" s="8" t="s">
        <v>8</v>
      </c>
      <c r="I705" s="94" t="str">
        <f>IFERROR(__xludf.DUMMYFUNCTION("if(H705=""Must be Together"",iferror(join("", "",unique(filter({filter('Students (Vertical)'!O:O,'Students (Vertical)'!C:C=B705,'Students (Vertical)'!O:O&lt;&gt;"""");filter('Students (Vertical)'!O:O,'Students (Vertical)'!C:C=E705,'Students (Vertical)'!O:O&lt;&gt;"""&amp;""")},countifs({filter('Students (Vertical)'!O:O,'Students (Vertical)'!C:C=B705,'Students (Vertical)'!O:O&lt;&gt;"""");filter('Students (Vertical)'!O:O,'Students (Vertical)'!C:C=E705,'Students (Vertical)'!O:O&lt;&gt;"""")},{filter('Students (Vertical)'!O:O,'Students ("&amp;"Vertical)'!C:C=B705,'Students (Vertical)'!O:O&lt;&gt;"""");filter('Students (Vertical)'!O:O,'Students (Vertical)'!C:C=E705,'Students (Vertical)'!O:O&lt;&gt;"""")})&gt;1))),""No shared courses""),"""")"),"")</f>
        <v/>
      </c>
      <c r="J705" s="94" t="str">
        <f>IFERROR(__xludf.DUMMYFUNCTION("if(H705=""Can't be Together"",iferror(join("", "",unique(filter({unique(filter('Students (Vertical)'!O:O,'Students (Vertical)'!C:C=B705,'Students (Vertical)'!O:O&lt;&gt;"""",'Students (Vertical)'!P:P&gt;1));unique(filter('Students (Vertical)'!O:O,'Students (Vertic"&amp;"al)'!C:C=E705,'Students (Vertical)'!O:O&lt;&gt;"""",'Students (Vertical)'!P:P&gt;1))},countifs({unique(filter('Students (Vertical)'!O:O,'Students (Vertical)'!C:C=B705,'Students (Vertical)'!O:O&lt;&gt;"""",'Students (Vertical)'!P:P&gt;1));unique(filter('Students (Vertical)'"&amp;"!O:O,'Students (Vertical)'!C:C=E705,'Students (Vertical)'!O:O&lt;&gt;"""",'Students (Vertical)'!P:P&gt;1))},{unique(filter('Students (Vertical)'!O:O,'Students (Vertical)'!C:C=B705,'Students (Vertical)'!O:O&lt;&gt;"""",'Students (Vertical)'!P:P&gt;1));unique(filter('Student"&amp;"s (Vertical)'!O:O,'Students (Vertical)'!C:C=E705,'Students (Vertical)'!O:O&lt;&gt;"""",'Students (Vertical)'!P:P&gt;1))})&gt;1))),""""),"""")"),"")</f>
        <v/>
      </c>
      <c r="K705" s="96" t="str">
        <f>IFERROR(__xludf.DUMMYFUNCTION("iferror(join("", "",unique(filter({filter('Students (Vertical)'!D:D,'Students (Vertical)'!C:C=B705,'Students (Vertical)'!D:D&lt;&gt;"""");filter('Students (Vertical)'!D:D,'Students (Vertical)'!C:C=E705,'Students (Vertical)'!D:D&lt;&gt;"""")},countifs({filter('Student"&amp;"s (Vertical)'!D:D,'Students (Vertical)'!C:C=B705,'Students (Vertical)'!D:D&lt;&gt;"""");filter('Students (Vertical)'!D:D,'Students (Vertical)'!C:C=E705,'Students (Vertical)'!D:D&lt;&gt;"""")},{filter('Students (Vertical)'!D:D,'Students (Vertical)'!C:C=B705,'Students "&amp;"(Vertical)'!D:D&lt;&gt;"""");filter('Students (Vertical)'!D:D,'Students (Vertical)'!C:C=E705,'Students (Vertical)'!D:D&lt;&gt;"""")})&gt;1))),"""")"),"")</f>
        <v/>
      </c>
      <c r="L705" s="96"/>
      <c r="M705" s="96"/>
    </row>
    <row r="706" hidden="1">
      <c r="A706" s="8" t="s">
        <v>8</v>
      </c>
      <c r="C706" s="8" t="s">
        <v>8</v>
      </c>
      <c r="D706" s="8" t="s">
        <v>8</v>
      </c>
      <c r="F706" s="8" t="s">
        <v>8</v>
      </c>
      <c r="G706" s="8" t="s">
        <v>8</v>
      </c>
      <c r="I706" s="94" t="str">
        <f>IFERROR(__xludf.DUMMYFUNCTION("if(H706=""Must be Together"",iferror(join("", "",unique(filter({filter('Students (Vertical)'!O:O,'Students (Vertical)'!C:C=B706,'Students (Vertical)'!O:O&lt;&gt;"""");filter('Students (Vertical)'!O:O,'Students (Vertical)'!C:C=E706,'Students (Vertical)'!O:O&lt;&gt;"""&amp;""")},countifs({filter('Students (Vertical)'!O:O,'Students (Vertical)'!C:C=B706,'Students (Vertical)'!O:O&lt;&gt;"""");filter('Students (Vertical)'!O:O,'Students (Vertical)'!C:C=E706,'Students (Vertical)'!O:O&lt;&gt;"""")},{filter('Students (Vertical)'!O:O,'Students ("&amp;"Vertical)'!C:C=B706,'Students (Vertical)'!O:O&lt;&gt;"""");filter('Students (Vertical)'!O:O,'Students (Vertical)'!C:C=E706,'Students (Vertical)'!O:O&lt;&gt;"""")})&gt;1))),""No shared courses""),"""")"),"")</f>
        <v/>
      </c>
      <c r="J706" s="94" t="str">
        <f>IFERROR(__xludf.DUMMYFUNCTION("if(H706=""Can't be Together"",iferror(join("", "",unique(filter({unique(filter('Students (Vertical)'!O:O,'Students (Vertical)'!C:C=B706,'Students (Vertical)'!O:O&lt;&gt;"""",'Students (Vertical)'!P:P&gt;1));unique(filter('Students (Vertical)'!O:O,'Students (Vertic"&amp;"al)'!C:C=E706,'Students (Vertical)'!O:O&lt;&gt;"""",'Students (Vertical)'!P:P&gt;1))},countifs({unique(filter('Students (Vertical)'!O:O,'Students (Vertical)'!C:C=B706,'Students (Vertical)'!O:O&lt;&gt;"""",'Students (Vertical)'!P:P&gt;1));unique(filter('Students (Vertical)'"&amp;"!O:O,'Students (Vertical)'!C:C=E706,'Students (Vertical)'!O:O&lt;&gt;"""",'Students (Vertical)'!P:P&gt;1))},{unique(filter('Students (Vertical)'!O:O,'Students (Vertical)'!C:C=B706,'Students (Vertical)'!O:O&lt;&gt;"""",'Students (Vertical)'!P:P&gt;1));unique(filter('Student"&amp;"s (Vertical)'!O:O,'Students (Vertical)'!C:C=E706,'Students (Vertical)'!O:O&lt;&gt;"""",'Students (Vertical)'!P:P&gt;1))})&gt;1))),""""),"""")"),"")</f>
        <v/>
      </c>
      <c r="K706" s="96" t="str">
        <f>IFERROR(__xludf.DUMMYFUNCTION("iferror(join("", "",unique(filter({filter('Students (Vertical)'!D:D,'Students (Vertical)'!C:C=B706,'Students (Vertical)'!D:D&lt;&gt;"""");filter('Students (Vertical)'!D:D,'Students (Vertical)'!C:C=E706,'Students (Vertical)'!D:D&lt;&gt;"""")},countifs({filter('Student"&amp;"s (Vertical)'!D:D,'Students (Vertical)'!C:C=B706,'Students (Vertical)'!D:D&lt;&gt;"""");filter('Students (Vertical)'!D:D,'Students (Vertical)'!C:C=E706,'Students (Vertical)'!D:D&lt;&gt;"""")},{filter('Students (Vertical)'!D:D,'Students (Vertical)'!C:C=B706,'Students "&amp;"(Vertical)'!D:D&lt;&gt;"""");filter('Students (Vertical)'!D:D,'Students (Vertical)'!C:C=E706,'Students (Vertical)'!D:D&lt;&gt;"""")})&gt;1))),"""")"),"")</f>
        <v/>
      </c>
      <c r="L706" s="96"/>
      <c r="M706" s="96"/>
    </row>
    <row r="707" hidden="1">
      <c r="A707" s="8" t="s">
        <v>8</v>
      </c>
      <c r="C707" s="8" t="s">
        <v>8</v>
      </c>
      <c r="D707" s="8" t="s">
        <v>8</v>
      </c>
      <c r="F707" s="8" t="s">
        <v>8</v>
      </c>
      <c r="G707" s="8" t="s">
        <v>8</v>
      </c>
      <c r="I707" s="94" t="str">
        <f>IFERROR(__xludf.DUMMYFUNCTION("if(H707=""Must be Together"",iferror(join("", "",unique(filter({filter('Students (Vertical)'!O:O,'Students (Vertical)'!C:C=B707,'Students (Vertical)'!O:O&lt;&gt;"""");filter('Students (Vertical)'!O:O,'Students (Vertical)'!C:C=E707,'Students (Vertical)'!O:O&lt;&gt;"""&amp;""")},countifs({filter('Students (Vertical)'!O:O,'Students (Vertical)'!C:C=B707,'Students (Vertical)'!O:O&lt;&gt;"""");filter('Students (Vertical)'!O:O,'Students (Vertical)'!C:C=E707,'Students (Vertical)'!O:O&lt;&gt;"""")},{filter('Students (Vertical)'!O:O,'Students ("&amp;"Vertical)'!C:C=B707,'Students (Vertical)'!O:O&lt;&gt;"""");filter('Students (Vertical)'!O:O,'Students (Vertical)'!C:C=E707,'Students (Vertical)'!O:O&lt;&gt;"""")})&gt;1))),""No shared courses""),"""")"),"")</f>
        <v/>
      </c>
      <c r="J707" s="94" t="str">
        <f>IFERROR(__xludf.DUMMYFUNCTION("if(H707=""Can't be Together"",iferror(join("", "",unique(filter({unique(filter('Students (Vertical)'!O:O,'Students (Vertical)'!C:C=B707,'Students (Vertical)'!O:O&lt;&gt;"""",'Students (Vertical)'!P:P&gt;1));unique(filter('Students (Vertical)'!O:O,'Students (Vertic"&amp;"al)'!C:C=E707,'Students (Vertical)'!O:O&lt;&gt;"""",'Students (Vertical)'!P:P&gt;1))},countifs({unique(filter('Students (Vertical)'!O:O,'Students (Vertical)'!C:C=B707,'Students (Vertical)'!O:O&lt;&gt;"""",'Students (Vertical)'!P:P&gt;1));unique(filter('Students (Vertical)'"&amp;"!O:O,'Students (Vertical)'!C:C=E707,'Students (Vertical)'!O:O&lt;&gt;"""",'Students (Vertical)'!P:P&gt;1))},{unique(filter('Students (Vertical)'!O:O,'Students (Vertical)'!C:C=B707,'Students (Vertical)'!O:O&lt;&gt;"""",'Students (Vertical)'!P:P&gt;1));unique(filter('Student"&amp;"s (Vertical)'!O:O,'Students (Vertical)'!C:C=E707,'Students (Vertical)'!O:O&lt;&gt;"""",'Students (Vertical)'!P:P&gt;1))})&gt;1))),""""),"""")"),"")</f>
        <v/>
      </c>
      <c r="K707" s="96" t="str">
        <f>IFERROR(__xludf.DUMMYFUNCTION("iferror(join("", "",unique(filter({filter('Students (Vertical)'!D:D,'Students (Vertical)'!C:C=B707,'Students (Vertical)'!D:D&lt;&gt;"""");filter('Students (Vertical)'!D:D,'Students (Vertical)'!C:C=E707,'Students (Vertical)'!D:D&lt;&gt;"""")},countifs({filter('Student"&amp;"s (Vertical)'!D:D,'Students (Vertical)'!C:C=B707,'Students (Vertical)'!D:D&lt;&gt;"""");filter('Students (Vertical)'!D:D,'Students (Vertical)'!C:C=E707,'Students (Vertical)'!D:D&lt;&gt;"""")},{filter('Students (Vertical)'!D:D,'Students (Vertical)'!C:C=B707,'Students "&amp;"(Vertical)'!D:D&lt;&gt;"""");filter('Students (Vertical)'!D:D,'Students (Vertical)'!C:C=E707,'Students (Vertical)'!D:D&lt;&gt;"""")})&gt;1))),"""")"),"")</f>
        <v/>
      </c>
      <c r="L707" s="96"/>
      <c r="M707" s="96"/>
    </row>
    <row r="708" hidden="1">
      <c r="A708" s="8" t="s">
        <v>8</v>
      </c>
      <c r="C708" s="8" t="s">
        <v>8</v>
      </c>
      <c r="D708" s="8" t="s">
        <v>8</v>
      </c>
      <c r="F708" s="8" t="s">
        <v>8</v>
      </c>
      <c r="G708" s="8" t="s">
        <v>8</v>
      </c>
      <c r="I708" s="94" t="str">
        <f>IFERROR(__xludf.DUMMYFUNCTION("if(H708=""Must be Together"",iferror(join("", "",unique(filter({filter('Students (Vertical)'!O:O,'Students (Vertical)'!C:C=B708,'Students (Vertical)'!O:O&lt;&gt;"""");filter('Students (Vertical)'!O:O,'Students (Vertical)'!C:C=E708,'Students (Vertical)'!O:O&lt;&gt;"""&amp;""")},countifs({filter('Students (Vertical)'!O:O,'Students (Vertical)'!C:C=B708,'Students (Vertical)'!O:O&lt;&gt;"""");filter('Students (Vertical)'!O:O,'Students (Vertical)'!C:C=E708,'Students (Vertical)'!O:O&lt;&gt;"""")},{filter('Students (Vertical)'!O:O,'Students ("&amp;"Vertical)'!C:C=B708,'Students (Vertical)'!O:O&lt;&gt;"""");filter('Students (Vertical)'!O:O,'Students (Vertical)'!C:C=E708,'Students (Vertical)'!O:O&lt;&gt;"""")})&gt;1))),""No shared courses""),"""")"),"")</f>
        <v/>
      </c>
      <c r="J708" s="94" t="str">
        <f>IFERROR(__xludf.DUMMYFUNCTION("if(H708=""Can't be Together"",iferror(join("", "",unique(filter({unique(filter('Students (Vertical)'!O:O,'Students (Vertical)'!C:C=B708,'Students (Vertical)'!O:O&lt;&gt;"""",'Students (Vertical)'!P:P&gt;1));unique(filter('Students (Vertical)'!O:O,'Students (Vertic"&amp;"al)'!C:C=E708,'Students (Vertical)'!O:O&lt;&gt;"""",'Students (Vertical)'!P:P&gt;1))},countifs({unique(filter('Students (Vertical)'!O:O,'Students (Vertical)'!C:C=B708,'Students (Vertical)'!O:O&lt;&gt;"""",'Students (Vertical)'!P:P&gt;1));unique(filter('Students (Vertical)'"&amp;"!O:O,'Students (Vertical)'!C:C=E708,'Students (Vertical)'!O:O&lt;&gt;"""",'Students (Vertical)'!P:P&gt;1))},{unique(filter('Students (Vertical)'!O:O,'Students (Vertical)'!C:C=B708,'Students (Vertical)'!O:O&lt;&gt;"""",'Students (Vertical)'!P:P&gt;1));unique(filter('Student"&amp;"s (Vertical)'!O:O,'Students (Vertical)'!C:C=E708,'Students (Vertical)'!O:O&lt;&gt;"""",'Students (Vertical)'!P:P&gt;1))})&gt;1))),""""),"""")"),"")</f>
        <v/>
      </c>
      <c r="K708" s="96" t="str">
        <f>IFERROR(__xludf.DUMMYFUNCTION("iferror(join("", "",unique(filter({filter('Students (Vertical)'!D:D,'Students (Vertical)'!C:C=B708,'Students (Vertical)'!D:D&lt;&gt;"""");filter('Students (Vertical)'!D:D,'Students (Vertical)'!C:C=E708,'Students (Vertical)'!D:D&lt;&gt;"""")},countifs({filter('Student"&amp;"s (Vertical)'!D:D,'Students (Vertical)'!C:C=B708,'Students (Vertical)'!D:D&lt;&gt;"""");filter('Students (Vertical)'!D:D,'Students (Vertical)'!C:C=E708,'Students (Vertical)'!D:D&lt;&gt;"""")},{filter('Students (Vertical)'!D:D,'Students (Vertical)'!C:C=B708,'Students "&amp;"(Vertical)'!D:D&lt;&gt;"""");filter('Students (Vertical)'!D:D,'Students (Vertical)'!C:C=E708,'Students (Vertical)'!D:D&lt;&gt;"""")})&gt;1))),"""")"),"")</f>
        <v/>
      </c>
      <c r="L708" s="96"/>
      <c r="M708" s="96"/>
    </row>
    <row r="709" hidden="1">
      <c r="A709" s="8" t="s">
        <v>8</v>
      </c>
      <c r="C709" s="8" t="s">
        <v>8</v>
      </c>
      <c r="D709" s="8" t="s">
        <v>8</v>
      </c>
      <c r="F709" s="8" t="s">
        <v>8</v>
      </c>
      <c r="G709" s="8" t="s">
        <v>8</v>
      </c>
      <c r="I709" s="94" t="str">
        <f>IFERROR(__xludf.DUMMYFUNCTION("if(H709=""Must be Together"",iferror(join("", "",unique(filter({filter('Students (Vertical)'!O:O,'Students (Vertical)'!C:C=B709,'Students (Vertical)'!O:O&lt;&gt;"""");filter('Students (Vertical)'!O:O,'Students (Vertical)'!C:C=E709,'Students (Vertical)'!O:O&lt;&gt;"""&amp;""")},countifs({filter('Students (Vertical)'!O:O,'Students (Vertical)'!C:C=B709,'Students (Vertical)'!O:O&lt;&gt;"""");filter('Students (Vertical)'!O:O,'Students (Vertical)'!C:C=E709,'Students (Vertical)'!O:O&lt;&gt;"""")},{filter('Students (Vertical)'!O:O,'Students ("&amp;"Vertical)'!C:C=B709,'Students (Vertical)'!O:O&lt;&gt;"""");filter('Students (Vertical)'!O:O,'Students (Vertical)'!C:C=E709,'Students (Vertical)'!O:O&lt;&gt;"""")})&gt;1))),""No shared courses""),"""")"),"")</f>
        <v/>
      </c>
      <c r="J709" s="94" t="str">
        <f>IFERROR(__xludf.DUMMYFUNCTION("if(H709=""Can't be Together"",iferror(join("", "",unique(filter({unique(filter('Students (Vertical)'!O:O,'Students (Vertical)'!C:C=B709,'Students (Vertical)'!O:O&lt;&gt;"""",'Students (Vertical)'!P:P&gt;1));unique(filter('Students (Vertical)'!O:O,'Students (Vertic"&amp;"al)'!C:C=E709,'Students (Vertical)'!O:O&lt;&gt;"""",'Students (Vertical)'!P:P&gt;1))},countifs({unique(filter('Students (Vertical)'!O:O,'Students (Vertical)'!C:C=B709,'Students (Vertical)'!O:O&lt;&gt;"""",'Students (Vertical)'!P:P&gt;1));unique(filter('Students (Vertical)'"&amp;"!O:O,'Students (Vertical)'!C:C=E709,'Students (Vertical)'!O:O&lt;&gt;"""",'Students (Vertical)'!P:P&gt;1))},{unique(filter('Students (Vertical)'!O:O,'Students (Vertical)'!C:C=B709,'Students (Vertical)'!O:O&lt;&gt;"""",'Students (Vertical)'!P:P&gt;1));unique(filter('Student"&amp;"s (Vertical)'!O:O,'Students (Vertical)'!C:C=E709,'Students (Vertical)'!O:O&lt;&gt;"""",'Students (Vertical)'!P:P&gt;1))})&gt;1))),""""),"""")"),"")</f>
        <v/>
      </c>
      <c r="K709" s="96" t="str">
        <f>IFERROR(__xludf.DUMMYFUNCTION("iferror(join("", "",unique(filter({filter('Students (Vertical)'!D:D,'Students (Vertical)'!C:C=B709,'Students (Vertical)'!D:D&lt;&gt;"""");filter('Students (Vertical)'!D:D,'Students (Vertical)'!C:C=E709,'Students (Vertical)'!D:D&lt;&gt;"""")},countifs({filter('Student"&amp;"s (Vertical)'!D:D,'Students (Vertical)'!C:C=B709,'Students (Vertical)'!D:D&lt;&gt;"""");filter('Students (Vertical)'!D:D,'Students (Vertical)'!C:C=E709,'Students (Vertical)'!D:D&lt;&gt;"""")},{filter('Students (Vertical)'!D:D,'Students (Vertical)'!C:C=B709,'Students "&amp;"(Vertical)'!D:D&lt;&gt;"""");filter('Students (Vertical)'!D:D,'Students (Vertical)'!C:C=E709,'Students (Vertical)'!D:D&lt;&gt;"""")})&gt;1))),"""")"),"")</f>
        <v/>
      </c>
      <c r="L709" s="96"/>
      <c r="M709" s="96"/>
    </row>
    <row r="710" hidden="1">
      <c r="A710" s="8" t="s">
        <v>8</v>
      </c>
      <c r="C710" s="8" t="s">
        <v>8</v>
      </c>
      <c r="D710" s="8" t="s">
        <v>8</v>
      </c>
      <c r="F710" s="8" t="s">
        <v>8</v>
      </c>
      <c r="G710" s="8" t="s">
        <v>8</v>
      </c>
      <c r="I710" s="94" t="str">
        <f>IFERROR(__xludf.DUMMYFUNCTION("if(H710=""Must be Together"",iferror(join("", "",unique(filter({filter('Students (Vertical)'!O:O,'Students (Vertical)'!C:C=B710,'Students (Vertical)'!O:O&lt;&gt;"""");filter('Students (Vertical)'!O:O,'Students (Vertical)'!C:C=E710,'Students (Vertical)'!O:O&lt;&gt;"""&amp;""")},countifs({filter('Students (Vertical)'!O:O,'Students (Vertical)'!C:C=B710,'Students (Vertical)'!O:O&lt;&gt;"""");filter('Students (Vertical)'!O:O,'Students (Vertical)'!C:C=E710,'Students (Vertical)'!O:O&lt;&gt;"""")},{filter('Students (Vertical)'!O:O,'Students ("&amp;"Vertical)'!C:C=B710,'Students (Vertical)'!O:O&lt;&gt;"""");filter('Students (Vertical)'!O:O,'Students (Vertical)'!C:C=E710,'Students (Vertical)'!O:O&lt;&gt;"""")})&gt;1))),""No shared courses""),"""")"),"")</f>
        <v/>
      </c>
      <c r="J710" s="94" t="str">
        <f>IFERROR(__xludf.DUMMYFUNCTION("if(H710=""Can't be Together"",iferror(join("", "",unique(filter({unique(filter('Students (Vertical)'!O:O,'Students (Vertical)'!C:C=B710,'Students (Vertical)'!O:O&lt;&gt;"""",'Students (Vertical)'!P:P&gt;1));unique(filter('Students (Vertical)'!O:O,'Students (Vertic"&amp;"al)'!C:C=E710,'Students (Vertical)'!O:O&lt;&gt;"""",'Students (Vertical)'!P:P&gt;1))},countifs({unique(filter('Students (Vertical)'!O:O,'Students (Vertical)'!C:C=B710,'Students (Vertical)'!O:O&lt;&gt;"""",'Students (Vertical)'!P:P&gt;1));unique(filter('Students (Vertical)'"&amp;"!O:O,'Students (Vertical)'!C:C=E710,'Students (Vertical)'!O:O&lt;&gt;"""",'Students (Vertical)'!P:P&gt;1))},{unique(filter('Students (Vertical)'!O:O,'Students (Vertical)'!C:C=B710,'Students (Vertical)'!O:O&lt;&gt;"""",'Students (Vertical)'!P:P&gt;1));unique(filter('Student"&amp;"s (Vertical)'!O:O,'Students (Vertical)'!C:C=E710,'Students (Vertical)'!O:O&lt;&gt;"""",'Students (Vertical)'!P:P&gt;1))})&gt;1))),""""),"""")"),"")</f>
        <v/>
      </c>
      <c r="K710" s="96" t="str">
        <f>IFERROR(__xludf.DUMMYFUNCTION("iferror(join("", "",unique(filter({filter('Students (Vertical)'!D:D,'Students (Vertical)'!C:C=B710,'Students (Vertical)'!D:D&lt;&gt;"""");filter('Students (Vertical)'!D:D,'Students (Vertical)'!C:C=E710,'Students (Vertical)'!D:D&lt;&gt;"""")},countifs({filter('Student"&amp;"s (Vertical)'!D:D,'Students (Vertical)'!C:C=B710,'Students (Vertical)'!D:D&lt;&gt;"""");filter('Students (Vertical)'!D:D,'Students (Vertical)'!C:C=E710,'Students (Vertical)'!D:D&lt;&gt;"""")},{filter('Students (Vertical)'!D:D,'Students (Vertical)'!C:C=B710,'Students "&amp;"(Vertical)'!D:D&lt;&gt;"""");filter('Students (Vertical)'!D:D,'Students (Vertical)'!C:C=E710,'Students (Vertical)'!D:D&lt;&gt;"""")})&gt;1))),"""")"),"")</f>
        <v/>
      </c>
      <c r="L710" s="96"/>
      <c r="M710" s="96"/>
    </row>
    <row r="711" hidden="1">
      <c r="A711" s="8" t="s">
        <v>8</v>
      </c>
      <c r="C711" s="8" t="s">
        <v>8</v>
      </c>
      <c r="D711" s="8" t="s">
        <v>8</v>
      </c>
      <c r="F711" s="8" t="s">
        <v>8</v>
      </c>
      <c r="G711" s="8" t="s">
        <v>8</v>
      </c>
      <c r="I711" s="94" t="str">
        <f>IFERROR(__xludf.DUMMYFUNCTION("if(H711=""Must be Together"",iferror(join("", "",unique(filter({filter('Students (Vertical)'!O:O,'Students (Vertical)'!C:C=B711,'Students (Vertical)'!O:O&lt;&gt;"""");filter('Students (Vertical)'!O:O,'Students (Vertical)'!C:C=E711,'Students (Vertical)'!O:O&lt;&gt;"""&amp;""")},countifs({filter('Students (Vertical)'!O:O,'Students (Vertical)'!C:C=B711,'Students (Vertical)'!O:O&lt;&gt;"""");filter('Students (Vertical)'!O:O,'Students (Vertical)'!C:C=E711,'Students (Vertical)'!O:O&lt;&gt;"""")},{filter('Students (Vertical)'!O:O,'Students ("&amp;"Vertical)'!C:C=B711,'Students (Vertical)'!O:O&lt;&gt;"""");filter('Students (Vertical)'!O:O,'Students (Vertical)'!C:C=E711,'Students (Vertical)'!O:O&lt;&gt;"""")})&gt;1))),""No shared courses""),"""")"),"")</f>
        <v/>
      </c>
      <c r="J711" s="94" t="str">
        <f>IFERROR(__xludf.DUMMYFUNCTION("if(H711=""Can't be Together"",iferror(join("", "",unique(filter({unique(filter('Students (Vertical)'!O:O,'Students (Vertical)'!C:C=B711,'Students (Vertical)'!O:O&lt;&gt;"""",'Students (Vertical)'!P:P&gt;1));unique(filter('Students (Vertical)'!O:O,'Students (Vertic"&amp;"al)'!C:C=E711,'Students (Vertical)'!O:O&lt;&gt;"""",'Students (Vertical)'!P:P&gt;1))},countifs({unique(filter('Students (Vertical)'!O:O,'Students (Vertical)'!C:C=B711,'Students (Vertical)'!O:O&lt;&gt;"""",'Students (Vertical)'!P:P&gt;1));unique(filter('Students (Vertical)'"&amp;"!O:O,'Students (Vertical)'!C:C=E711,'Students (Vertical)'!O:O&lt;&gt;"""",'Students (Vertical)'!P:P&gt;1))},{unique(filter('Students (Vertical)'!O:O,'Students (Vertical)'!C:C=B711,'Students (Vertical)'!O:O&lt;&gt;"""",'Students (Vertical)'!P:P&gt;1));unique(filter('Student"&amp;"s (Vertical)'!O:O,'Students (Vertical)'!C:C=E711,'Students (Vertical)'!O:O&lt;&gt;"""",'Students (Vertical)'!P:P&gt;1))})&gt;1))),""""),"""")"),"")</f>
        <v/>
      </c>
      <c r="K711" s="96" t="str">
        <f>IFERROR(__xludf.DUMMYFUNCTION("iferror(join("", "",unique(filter({filter('Students (Vertical)'!D:D,'Students (Vertical)'!C:C=B711,'Students (Vertical)'!D:D&lt;&gt;"""");filter('Students (Vertical)'!D:D,'Students (Vertical)'!C:C=E711,'Students (Vertical)'!D:D&lt;&gt;"""")},countifs({filter('Student"&amp;"s (Vertical)'!D:D,'Students (Vertical)'!C:C=B711,'Students (Vertical)'!D:D&lt;&gt;"""");filter('Students (Vertical)'!D:D,'Students (Vertical)'!C:C=E711,'Students (Vertical)'!D:D&lt;&gt;"""")},{filter('Students (Vertical)'!D:D,'Students (Vertical)'!C:C=B711,'Students "&amp;"(Vertical)'!D:D&lt;&gt;"""");filter('Students (Vertical)'!D:D,'Students (Vertical)'!C:C=E711,'Students (Vertical)'!D:D&lt;&gt;"""")})&gt;1))),"""")"),"")</f>
        <v/>
      </c>
      <c r="L711" s="96"/>
      <c r="M711" s="96"/>
    </row>
    <row r="712" hidden="1">
      <c r="A712" s="8" t="s">
        <v>8</v>
      </c>
      <c r="C712" s="8" t="s">
        <v>8</v>
      </c>
      <c r="D712" s="8" t="s">
        <v>8</v>
      </c>
      <c r="F712" s="8" t="s">
        <v>8</v>
      </c>
      <c r="G712" s="8" t="s">
        <v>8</v>
      </c>
      <c r="I712" s="94" t="str">
        <f>IFERROR(__xludf.DUMMYFUNCTION("if(H712=""Must be Together"",iferror(join("", "",unique(filter({filter('Students (Vertical)'!O:O,'Students (Vertical)'!C:C=B712,'Students (Vertical)'!O:O&lt;&gt;"""");filter('Students (Vertical)'!O:O,'Students (Vertical)'!C:C=E712,'Students (Vertical)'!O:O&lt;&gt;"""&amp;""")},countifs({filter('Students (Vertical)'!O:O,'Students (Vertical)'!C:C=B712,'Students (Vertical)'!O:O&lt;&gt;"""");filter('Students (Vertical)'!O:O,'Students (Vertical)'!C:C=E712,'Students (Vertical)'!O:O&lt;&gt;"""")},{filter('Students (Vertical)'!O:O,'Students ("&amp;"Vertical)'!C:C=B712,'Students (Vertical)'!O:O&lt;&gt;"""");filter('Students (Vertical)'!O:O,'Students (Vertical)'!C:C=E712,'Students (Vertical)'!O:O&lt;&gt;"""")})&gt;1))),""No shared courses""),"""")"),"")</f>
        <v/>
      </c>
      <c r="J712" s="94" t="str">
        <f>IFERROR(__xludf.DUMMYFUNCTION("if(H712=""Can't be Together"",iferror(join("", "",unique(filter({unique(filter('Students (Vertical)'!O:O,'Students (Vertical)'!C:C=B712,'Students (Vertical)'!O:O&lt;&gt;"""",'Students (Vertical)'!P:P&gt;1));unique(filter('Students (Vertical)'!O:O,'Students (Vertic"&amp;"al)'!C:C=E712,'Students (Vertical)'!O:O&lt;&gt;"""",'Students (Vertical)'!P:P&gt;1))},countifs({unique(filter('Students (Vertical)'!O:O,'Students (Vertical)'!C:C=B712,'Students (Vertical)'!O:O&lt;&gt;"""",'Students (Vertical)'!P:P&gt;1));unique(filter('Students (Vertical)'"&amp;"!O:O,'Students (Vertical)'!C:C=E712,'Students (Vertical)'!O:O&lt;&gt;"""",'Students (Vertical)'!P:P&gt;1))},{unique(filter('Students (Vertical)'!O:O,'Students (Vertical)'!C:C=B712,'Students (Vertical)'!O:O&lt;&gt;"""",'Students (Vertical)'!P:P&gt;1));unique(filter('Student"&amp;"s (Vertical)'!O:O,'Students (Vertical)'!C:C=E712,'Students (Vertical)'!O:O&lt;&gt;"""",'Students (Vertical)'!P:P&gt;1))})&gt;1))),""""),"""")"),"")</f>
        <v/>
      </c>
      <c r="K712" s="96" t="str">
        <f>IFERROR(__xludf.DUMMYFUNCTION("iferror(join("", "",unique(filter({filter('Students (Vertical)'!D:D,'Students (Vertical)'!C:C=B712,'Students (Vertical)'!D:D&lt;&gt;"""");filter('Students (Vertical)'!D:D,'Students (Vertical)'!C:C=E712,'Students (Vertical)'!D:D&lt;&gt;"""")},countifs({filter('Student"&amp;"s (Vertical)'!D:D,'Students (Vertical)'!C:C=B712,'Students (Vertical)'!D:D&lt;&gt;"""");filter('Students (Vertical)'!D:D,'Students (Vertical)'!C:C=E712,'Students (Vertical)'!D:D&lt;&gt;"""")},{filter('Students (Vertical)'!D:D,'Students (Vertical)'!C:C=B712,'Students "&amp;"(Vertical)'!D:D&lt;&gt;"""");filter('Students (Vertical)'!D:D,'Students (Vertical)'!C:C=E712,'Students (Vertical)'!D:D&lt;&gt;"""")})&gt;1))),"""")"),"")</f>
        <v/>
      </c>
      <c r="L712" s="96"/>
      <c r="M712" s="96"/>
    </row>
    <row r="713" hidden="1">
      <c r="A713" s="8" t="s">
        <v>8</v>
      </c>
      <c r="C713" s="8" t="s">
        <v>8</v>
      </c>
      <c r="D713" s="8" t="s">
        <v>8</v>
      </c>
      <c r="F713" s="8" t="s">
        <v>8</v>
      </c>
      <c r="G713" s="8" t="s">
        <v>8</v>
      </c>
      <c r="I713" s="94" t="str">
        <f>IFERROR(__xludf.DUMMYFUNCTION("if(H713=""Must be Together"",iferror(join("", "",unique(filter({filter('Students (Vertical)'!O:O,'Students (Vertical)'!C:C=B713,'Students (Vertical)'!O:O&lt;&gt;"""");filter('Students (Vertical)'!O:O,'Students (Vertical)'!C:C=E713,'Students (Vertical)'!O:O&lt;&gt;"""&amp;""")},countifs({filter('Students (Vertical)'!O:O,'Students (Vertical)'!C:C=B713,'Students (Vertical)'!O:O&lt;&gt;"""");filter('Students (Vertical)'!O:O,'Students (Vertical)'!C:C=E713,'Students (Vertical)'!O:O&lt;&gt;"""")},{filter('Students (Vertical)'!O:O,'Students ("&amp;"Vertical)'!C:C=B713,'Students (Vertical)'!O:O&lt;&gt;"""");filter('Students (Vertical)'!O:O,'Students (Vertical)'!C:C=E713,'Students (Vertical)'!O:O&lt;&gt;"""")})&gt;1))),""No shared courses""),"""")"),"")</f>
        <v/>
      </c>
      <c r="J713" s="94" t="str">
        <f>IFERROR(__xludf.DUMMYFUNCTION("if(H713=""Can't be Together"",iferror(join("", "",unique(filter({unique(filter('Students (Vertical)'!O:O,'Students (Vertical)'!C:C=B713,'Students (Vertical)'!O:O&lt;&gt;"""",'Students (Vertical)'!P:P&gt;1));unique(filter('Students (Vertical)'!O:O,'Students (Vertic"&amp;"al)'!C:C=E713,'Students (Vertical)'!O:O&lt;&gt;"""",'Students (Vertical)'!P:P&gt;1))},countifs({unique(filter('Students (Vertical)'!O:O,'Students (Vertical)'!C:C=B713,'Students (Vertical)'!O:O&lt;&gt;"""",'Students (Vertical)'!P:P&gt;1));unique(filter('Students (Vertical)'"&amp;"!O:O,'Students (Vertical)'!C:C=E713,'Students (Vertical)'!O:O&lt;&gt;"""",'Students (Vertical)'!P:P&gt;1))},{unique(filter('Students (Vertical)'!O:O,'Students (Vertical)'!C:C=B713,'Students (Vertical)'!O:O&lt;&gt;"""",'Students (Vertical)'!P:P&gt;1));unique(filter('Student"&amp;"s (Vertical)'!O:O,'Students (Vertical)'!C:C=E713,'Students (Vertical)'!O:O&lt;&gt;"""",'Students (Vertical)'!P:P&gt;1))})&gt;1))),""""),"""")"),"")</f>
        <v/>
      </c>
      <c r="K713" s="96" t="str">
        <f>IFERROR(__xludf.DUMMYFUNCTION("iferror(join("", "",unique(filter({filter('Students (Vertical)'!D:D,'Students (Vertical)'!C:C=B713,'Students (Vertical)'!D:D&lt;&gt;"""");filter('Students (Vertical)'!D:D,'Students (Vertical)'!C:C=E713,'Students (Vertical)'!D:D&lt;&gt;"""")},countifs({filter('Student"&amp;"s (Vertical)'!D:D,'Students (Vertical)'!C:C=B713,'Students (Vertical)'!D:D&lt;&gt;"""");filter('Students (Vertical)'!D:D,'Students (Vertical)'!C:C=E713,'Students (Vertical)'!D:D&lt;&gt;"""")},{filter('Students (Vertical)'!D:D,'Students (Vertical)'!C:C=B713,'Students "&amp;"(Vertical)'!D:D&lt;&gt;"""");filter('Students (Vertical)'!D:D,'Students (Vertical)'!C:C=E713,'Students (Vertical)'!D:D&lt;&gt;"""")})&gt;1))),"""")"),"")</f>
        <v/>
      </c>
      <c r="L713" s="96"/>
      <c r="M713" s="96"/>
    </row>
    <row r="714" hidden="1">
      <c r="A714" s="8" t="s">
        <v>8</v>
      </c>
      <c r="C714" s="8" t="s">
        <v>8</v>
      </c>
      <c r="D714" s="8" t="s">
        <v>8</v>
      </c>
      <c r="F714" s="8" t="s">
        <v>8</v>
      </c>
      <c r="G714" s="8" t="s">
        <v>8</v>
      </c>
      <c r="I714" s="94" t="str">
        <f>IFERROR(__xludf.DUMMYFUNCTION("if(H714=""Must be Together"",iferror(join("", "",unique(filter({filter('Students (Vertical)'!O:O,'Students (Vertical)'!C:C=B714,'Students (Vertical)'!O:O&lt;&gt;"""");filter('Students (Vertical)'!O:O,'Students (Vertical)'!C:C=E714,'Students (Vertical)'!O:O&lt;&gt;"""&amp;""")},countifs({filter('Students (Vertical)'!O:O,'Students (Vertical)'!C:C=B714,'Students (Vertical)'!O:O&lt;&gt;"""");filter('Students (Vertical)'!O:O,'Students (Vertical)'!C:C=E714,'Students (Vertical)'!O:O&lt;&gt;"""")},{filter('Students (Vertical)'!O:O,'Students ("&amp;"Vertical)'!C:C=B714,'Students (Vertical)'!O:O&lt;&gt;"""");filter('Students (Vertical)'!O:O,'Students (Vertical)'!C:C=E714,'Students (Vertical)'!O:O&lt;&gt;"""")})&gt;1))),""No shared courses""),"""")"),"")</f>
        <v/>
      </c>
      <c r="J714" s="94" t="str">
        <f>IFERROR(__xludf.DUMMYFUNCTION("if(H714=""Can't be Together"",iferror(join("", "",unique(filter({unique(filter('Students (Vertical)'!O:O,'Students (Vertical)'!C:C=B714,'Students (Vertical)'!O:O&lt;&gt;"""",'Students (Vertical)'!P:P&gt;1));unique(filter('Students (Vertical)'!O:O,'Students (Vertic"&amp;"al)'!C:C=E714,'Students (Vertical)'!O:O&lt;&gt;"""",'Students (Vertical)'!P:P&gt;1))},countifs({unique(filter('Students (Vertical)'!O:O,'Students (Vertical)'!C:C=B714,'Students (Vertical)'!O:O&lt;&gt;"""",'Students (Vertical)'!P:P&gt;1));unique(filter('Students (Vertical)'"&amp;"!O:O,'Students (Vertical)'!C:C=E714,'Students (Vertical)'!O:O&lt;&gt;"""",'Students (Vertical)'!P:P&gt;1))},{unique(filter('Students (Vertical)'!O:O,'Students (Vertical)'!C:C=B714,'Students (Vertical)'!O:O&lt;&gt;"""",'Students (Vertical)'!P:P&gt;1));unique(filter('Student"&amp;"s (Vertical)'!O:O,'Students (Vertical)'!C:C=E714,'Students (Vertical)'!O:O&lt;&gt;"""",'Students (Vertical)'!P:P&gt;1))})&gt;1))),""""),"""")"),"")</f>
        <v/>
      </c>
      <c r="K714" s="96" t="str">
        <f>IFERROR(__xludf.DUMMYFUNCTION("iferror(join("", "",unique(filter({filter('Students (Vertical)'!D:D,'Students (Vertical)'!C:C=B714,'Students (Vertical)'!D:D&lt;&gt;"""");filter('Students (Vertical)'!D:D,'Students (Vertical)'!C:C=E714,'Students (Vertical)'!D:D&lt;&gt;"""")},countifs({filter('Student"&amp;"s (Vertical)'!D:D,'Students (Vertical)'!C:C=B714,'Students (Vertical)'!D:D&lt;&gt;"""");filter('Students (Vertical)'!D:D,'Students (Vertical)'!C:C=E714,'Students (Vertical)'!D:D&lt;&gt;"""")},{filter('Students (Vertical)'!D:D,'Students (Vertical)'!C:C=B714,'Students "&amp;"(Vertical)'!D:D&lt;&gt;"""");filter('Students (Vertical)'!D:D,'Students (Vertical)'!C:C=E714,'Students (Vertical)'!D:D&lt;&gt;"""")})&gt;1))),"""")"),"")</f>
        <v/>
      </c>
      <c r="L714" s="96"/>
      <c r="M714" s="96"/>
    </row>
    <row r="715" hidden="1">
      <c r="A715" s="8" t="s">
        <v>8</v>
      </c>
      <c r="C715" s="8" t="s">
        <v>8</v>
      </c>
      <c r="D715" s="8" t="s">
        <v>8</v>
      </c>
      <c r="F715" s="8" t="s">
        <v>8</v>
      </c>
      <c r="G715" s="8" t="s">
        <v>8</v>
      </c>
      <c r="I715" s="94" t="str">
        <f>IFERROR(__xludf.DUMMYFUNCTION("if(H715=""Must be Together"",iferror(join("", "",unique(filter({filter('Students (Vertical)'!O:O,'Students (Vertical)'!C:C=B715,'Students (Vertical)'!O:O&lt;&gt;"""");filter('Students (Vertical)'!O:O,'Students (Vertical)'!C:C=E715,'Students (Vertical)'!O:O&lt;&gt;"""&amp;""")},countifs({filter('Students (Vertical)'!O:O,'Students (Vertical)'!C:C=B715,'Students (Vertical)'!O:O&lt;&gt;"""");filter('Students (Vertical)'!O:O,'Students (Vertical)'!C:C=E715,'Students (Vertical)'!O:O&lt;&gt;"""")},{filter('Students (Vertical)'!O:O,'Students ("&amp;"Vertical)'!C:C=B715,'Students (Vertical)'!O:O&lt;&gt;"""");filter('Students (Vertical)'!O:O,'Students (Vertical)'!C:C=E715,'Students (Vertical)'!O:O&lt;&gt;"""")})&gt;1))),""No shared courses""),"""")"),"")</f>
        <v/>
      </c>
      <c r="J715" s="94" t="str">
        <f>IFERROR(__xludf.DUMMYFUNCTION("if(H715=""Can't be Together"",iferror(join("", "",unique(filter({unique(filter('Students (Vertical)'!O:O,'Students (Vertical)'!C:C=B715,'Students (Vertical)'!O:O&lt;&gt;"""",'Students (Vertical)'!P:P&gt;1));unique(filter('Students (Vertical)'!O:O,'Students (Vertic"&amp;"al)'!C:C=E715,'Students (Vertical)'!O:O&lt;&gt;"""",'Students (Vertical)'!P:P&gt;1))},countifs({unique(filter('Students (Vertical)'!O:O,'Students (Vertical)'!C:C=B715,'Students (Vertical)'!O:O&lt;&gt;"""",'Students (Vertical)'!P:P&gt;1));unique(filter('Students (Vertical)'"&amp;"!O:O,'Students (Vertical)'!C:C=E715,'Students (Vertical)'!O:O&lt;&gt;"""",'Students (Vertical)'!P:P&gt;1))},{unique(filter('Students (Vertical)'!O:O,'Students (Vertical)'!C:C=B715,'Students (Vertical)'!O:O&lt;&gt;"""",'Students (Vertical)'!P:P&gt;1));unique(filter('Student"&amp;"s (Vertical)'!O:O,'Students (Vertical)'!C:C=E715,'Students (Vertical)'!O:O&lt;&gt;"""",'Students (Vertical)'!P:P&gt;1))})&gt;1))),""""),"""")"),"")</f>
        <v/>
      </c>
      <c r="K715" s="96" t="str">
        <f>IFERROR(__xludf.DUMMYFUNCTION("iferror(join("", "",unique(filter({filter('Students (Vertical)'!D:D,'Students (Vertical)'!C:C=B715,'Students (Vertical)'!D:D&lt;&gt;"""");filter('Students (Vertical)'!D:D,'Students (Vertical)'!C:C=E715,'Students (Vertical)'!D:D&lt;&gt;"""")},countifs({filter('Student"&amp;"s (Vertical)'!D:D,'Students (Vertical)'!C:C=B715,'Students (Vertical)'!D:D&lt;&gt;"""");filter('Students (Vertical)'!D:D,'Students (Vertical)'!C:C=E715,'Students (Vertical)'!D:D&lt;&gt;"""")},{filter('Students (Vertical)'!D:D,'Students (Vertical)'!C:C=B715,'Students "&amp;"(Vertical)'!D:D&lt;&gt;"""");filter('Students (Vertical)'!D:D,'Students (Vertical)'!C:C=E715,'Students (Vertical)'!D:D&lt;&gt;"""")})&gt;1))),"""")"),"")</f>
        <v/>
      </c>
      <c r="L715" s="96"/>
      <c r="M715" s="96"/>
    </row>
    <row r="716" hidden="1">
      <c r="A716" s="8" t="s">
        <v>8</v>
      </c>
      <c r="C716" s="8" t="s">
        <v>8</v>
      </c>
      <c r="D716" s="8" t="s">
        <v>8</v>
      </c>
      <c r="F716" s="8" t="s">
        <v>8</v>
      </c>
      <c r="G716" s="8" t="s">
        <v>8</v>
      </c>
      <c r="I716" s="94" t="str">
        <f>IFERROR(__xludf.DUMMYFUNCTION("if(H716=""Must be Together"",iferror(join("", "",unique(filter({filter('Students (Vertical)'!O:O,'Students (Vertical)'!C:C=B716,'Students (Vertical)'!O:O&lt;&gt;"""");filter('Students (Vertical)'!O:O,'Students (Vertical)'!C:C=E716,'Students (Vertical)'!O:O&lt;&gt;"""&amp;""")},countifs({filter('Students (Vertical)'!O:O,'Students (Vertical)'!C:C=B716,'Students (Vertical)'!O:O&lt;&gt;"""");filter('Students (Vertical)'!O:O,'Students (Vertical)'!C:C=E716,'Students (Vertical)'!O:O&lt;&gt;"""")},{filter('Students (Vertical)'!O:O,'Students ("&amp;"Vertical)'!C:C=B716,'Students (Vertical)'!O:O&lt;&gt;"""");filter('Students (Vertical)'!O:O,'Students (Vertical)'!C:C=E716,'Students (Vertical)'!O:O&lt;&gt;"""")})&gt;1))),""No shared courses""),"""")"),"")</f>
        <v/>
      </c>
      <c r="J716" s="94" t="str">
        <f>IFERROR(__xludf.DUMMYFUNCTION("if(H716=""Can't be Together"",iferror(join("", "",unique(filter({unique(filter('Students (Vertical)'!O:O,'Students (Vertical)'!C:C=B716,'Students (Vertical)'!O:O&lt;&gt;"""",'Students (Vertical)'!P:P&gt;1));unique(filter('Students (Vertical)'!O:O,'Students (Vertic"&amp;"al)'!C:C=E716,'Students (Vertical)'!O:O&lt;&gt;"""",'Students (Vertical)'!P:P&gt;1))},countifs({unique(filter('Students (Vertical)'!O:O,'Students (Vertical)'!C:C=B716,'Students (Vertical)'!O:O&lt;&gt;"""",'Students (Vertical)'!P:P&gt;1));unique(filter('Students (Vertical)'"&amp;"!O:O,'Students (Vertical)'!C:C=E716,'Students (Vertical)'!O:O&lt;&gt;"""",'Students (Vertical)'!P:P&gt;1))},{unique(filter('Students (Vertical)'!O:O,'Students (Vertical)'!C:C=B716,'Students (Vertical)'!O:O&lt;&gt;"""",'Students (Vertical)'!P:P&gt;1));unique(filter('Student"&amp;"s (Vertical)'!O:O,'Students (Vertical)'!C:C=E716,'Students (Vertical)'!O:O&lt;&gt;"""",'Students (Vertical)'!P:P&gt;1))})&gt;1))),""""),"""")"),"")</f>
        <v/>
      </c>
      <c r="K716" s="96" t="str">
        <f>IFERROR(__xludf.DUMMYFUNCTION("iferror(join("", "",unique(filter({filter('Students (Vertical)'!D:D,'Students (Vertical)'!C:C=B716,'Students (Vertical)'!D:D&lt;&gt;"""");filter('Students (Vertical)'!D:D,'Students (Vertical)'!C:C=E716,'Students (Vertical)'!D:D&lt;&gt;"""")},countifs({filter('Student"&amp;"s (Vertical)'!D:D,'Students (Vertical)'!C:C=B716,'Students (Vertical)'!D:D&lt;&gt;"""");filter('Students (Vertical)'!D:D,'Students (Vertical)'!C:C=E716,'Students (Vertical)'!D:D&lt;&gt;"""")},{filter('Students (Vertical)'!D:D,'Students (Vertical)'!C:C=B716,'Students "&amp;"(Vertical)'!D:D&lt;&gt;"""");filter('Students (Vertical)'!D:D,'Students (Vertical)'!C:C=E716,'Students (Vertical)'!D:D&lt;&gt;"""")})&gt;1))),"""")"),"")</f>
        <v/>
      </c>
      <c r="L716" s="96"/>
      <c r="M716" s="96"/>
    </row>
    <row r="717" hidden="1">
      <c r="A717" s="8" t="s">
        <v>8</v>
      </c>
      <c r="C717" s="8" t="s">
        <v>8</v>
      </c>
      <c r="D717" s="8" t="s">
        <v>8</v>
      </c>
      <c r="F717" s="8" t="s">
        <v>8</v>
      </c>
      <c r="G717" s="8" t="s">
        <v>8</v>
      </c>
      <c r="I717" s="94" t="str">
        <f>IFERROR(__xludf.DUMMYFUNCTION("if(H717=""Must be Together"",iferror(join("", "",unique(filter({filter('Students (Vertical)'!O:O,'Students (Vertical)'!C:C=B717,'Students (Vertical)'!O:O&lt;&gt;"""");filter('Students (Vertical)'!O:O,'Students (Vertical)'!C:C=E717,'Students (Vertical)'!O:O&lt;&gt;"""&amp;""")},countifs({filter('Students (Vertical)'!O:O,'Students (Vertical)'!C:C=B717,'Students (Vertical)'!O:O&lt;&gt;"""");filter('Students (Vertical)'!O:O,'Students (Vertical)'!C:C=E717,'Students (Vertical)'!O:O&lt;&gt;"""")},{filter('Students (Vertical)'!O:O,'Students ("&amp;"Vertical)'!C:C=B717,'Students (Vertical)'!O:O&lt;&gt;"""");filter('Students (Vertical)'!O:O,'Students (Vertical)'!C:C=E717,'Students (Vertical)'!O:O&lt;&gt;"""")})&gt;1))),""No shared courses""),"""")"),"")</f>
        <v/>
      </c>
      <c r="J717" s="94" t="str">
        <f>IFERROR(__xludf.DUMMYFUNCTION("if(H717=""Can't be Together"",iferror(join("", "",unique(filter({unique(filter('Students (Vertical)'!O:O,'Students (Vertical)'!C:C=B717,'Students (Vertical)'!O:O&lt;&gt;"""",'Students (Vertical)'!P:P&gt;1));unique(filter('Students (Vertical)'!O:O,'Students (Vertic"&amp;"al)'!C:C=E717,'Students (Vertical)'!O:O&lt;&gt;"""",'Students (Vertical)'!P:P&gt;1))},countifs({unique(filter('Students (Vertical)'!O:O,'Students (Vertical)'!C:C=B717,'Students (Vertical)'!O:O&lt;&gt;"""",'Students (Vertical)'!P:P&gt;1));unique(filter('Students (Vertical)'"&amp;"!O:O,'Students (Vertical)'!C:C=E717,'Students (Vertical)'!O:O&lt;&gt;"""",'Students (Vertical)'!P:P&gt;1))},{unique(filter('Students (Vertical)'!O:O,'Students (Vertical)'!C:C=B717,'Students (Vertical)'!O:O&lt;&gt;"""",'Students (Vertical)'!P:P&gt;1));unique(filter('Student"&amp;"s (Vertical)'!O:O,'Students (Vertical)'!C:C=E717,'Students (Vertical)'!O:O&lt;&gt;"""",'Students (Vertical)'!P:P&gt;1))})&gt;1))),""""),"""")"),"")</f>
        <v/>
      </c>
      <c r="K717" s="96" t="str">
        <f>IFERROR(__xludf.DUMMYFUNCTION("iferror(join("", "",unique(filter({filter('Students (Vertical)'!D:D,'Students (Vertical)'!C:C=B717,'Students (Vertical)'!D:D&lt;&gt;"""");filter('Students (Vertical)'!D:D,'Students (Vertical)'!C:C=E717,'Students (Vertical)'!D:D&lt;&gt;"""")},countifs({filter('Student"&amp;"s (Vertical)'!D:D,'Students (Vertical)'!C:C=B717,'Students (Vertical)'!D:D&lt;&gt;"""");filter('Students (Vertical)'!D:D,'Students (Vertical)'!C:C=E717,'Students (Vertical)'!D:D&lt;&gt;"""")},{filter('Students (Vertical)'!D:D,'Students (Vertical)'!C:C=B717,'Students "&amp;"(Vertical)'!D:D&lt;&gt;"""");filter('Students (Vertical)'!D:D,'Students (Vertical)'!C:C=E717,'Students (Vertical)'!D:D&lt;&gt;"""")})&gt;1))),"""")"),"")</f>
        <v/>
      </c>
      <c r="L717" s="96"/>
      <c r="M717" s="96"/>
    </row>
    <row r="718" hidden="1">
      <c r="A718" s="8" t="s">
        <v>8</v>
      </c>
      <c r="C718" s="8" t="s">
        <v>8</v>
      </c>
      <c r="D718" s="8" t="s">
        <v>8</v>
      </c>
      <c r="F718" s="8" t="s">
        <v>8</v>
      </c>
      <c r="G718" s="8" t="s">
        <v>8</v>
      </c>
      <c r="I718" s="94" t="str">
        <f>IFERROR(__xludf.DUMMYFUNCTION("if(H718=""Must be Together"",iferror(join("", "",unique(filter({filter('Students (Vertical)'!O:O,'Students (Vertical)'!C:C=B718,'Students (Vertical)'!O:O&lt;&gt;"""");filter('Students (Vertical)'!O:O,'Students (Vertical)'!C:C=E718,'Students (Vertical)'!O:O&lt;&gt;"""&amp;""")},countifs({filter('Students (Vertical)'!O:O,'Students (Vertical)'!C:C=B718,'Students (Vertical)'!O:O&lt;&gt;"""");filter('Students (Vertical)'!O:O,'Students (Vertical)'!C:C=E718,'Students (Vertical)'!O:O&lt;&gt;"""")},{filter('Students (Vertical)'!O:O,'Students ("&amp;"Vertical)'!C:C=B718,'Students (Vertical)'!O:O&lt;&gt;"""");filter('Students (Vertical)'!O:O,'Students (Vertical)'!C:C=E718,'Students (Vertical)'!O:O&lt;&gt;"""")})&gt;1))),""No shared courses""),"""")"),"")</f>
        <v/>
      </c>
      <c r="J718" s="94" t="str">
        <f>IFERROR(__xludf.DUMMYFUNCTION("if(H718=""Can't be Together"",iferror(join("", "",unique(filter({unique(filter('Students (Vertical)'!O:O,'Students (Vertical)'!C:C=B718,'Students (Vertical)'!O:O&lt;&gt;"""",'Students (Vertical)'!P:P&gt;1));unique(filter('Students (Vertical)'!O:O,'Students (Vertic"&amp;"al)'!C:C=E718,'Students (Vertical)'!O:O&lt;&gt;"""",'Students (Vertical)'!P:P&gt;1))},countifs({unique(filter('Students (Vertical)'!O:O,'Students (Vertical)'!C:C=B718,'Students (Vertical)'!O:O&lt;&gt;"""",'Students (Vertical)'!P:P&gt;1));unique(filter('Students (Vertical)'"&amp;"!O:O,'Students (Vertical)'!C:C=E718,'Students (Vertical)'!O:O&lt;&gt;"""",'Students (Vertical)'!P:P&gt;1))},{unique(filter('Students (Vertical)'!O:O,'Students (Vertical)'!C:C=B718,'Students (Vertical)'!O:O&lt;&gt;"""",'Students (Vertical)'!P:P&gt;1));unique(filter('Student"&amp;"s (Vertical)'!O:O,'Students (Vertical)'!C:C=E718,'Students (Vertical)'!O:O&lt;&gt;"""",'Students (Vertical)'!P:P&gt;1))})&gt;1))),""""),"""")"),"")</f>
        <v/>
      </c>
      <c r="K718" s="96" t="str">
        <f>IFERROR(__xludf.DUMMYFUNCTION("iferror(join("", "",unique(filter({filter('Students (Vertical)'!D:D,'Students (Vertical)'!C:C=B718,'Students (Vertical)'!D:D&lt;&gt;"""");filter('Students (Vertical)'!D:D,'Students (Vertical)'!C:C=E718,'Students (Vertical)'!D:D&lt;&gt;"""")},countifs({filter('Student"&amp;"s (Vertical)'!D:D,'Students (Vertical)'!C:C=B718,'Students (Vertical)'!D:D&lt;&gt;"""");filter('Students (Vertical)'!D:D,'Students (Vertical)'!C:C=E718,'Students (Vertical)'!D:D&lt;&gt;"""")},{filter('Students (Vertical)'!D:D,'Students (Vertical)'!C:C=B718,'Students "&amp;"(Vertical)'!D:D&lt;&gt;"""");filter('Students (Vertical)'!D:D,'Students (Vertical)'!C:C=E718,'Students (Vertical)'!D:D&lt;&gt;"""")})&gt;1))),"""")"),"")</f>
        <v/>
      </c>
      <c r="L718" s="96"/>
      <c r="M718" s="96"/>
    </row>
    <row r="719" hidden="1">
      <c r="A719" s="8" t="s">
        <v>8</v>
      </c>
      <c r="C719" s="8" t="s">
        <v>8</v>
      </c>
      <c r="D719" s="8" t="s">
        <v>8</v>
      </c>
      <c r="F719" s="8" t="s">
        <v>8</v>
      </c>
      <c r="G719" s="8" t="s">
        <v>8</v>
      </c>
      <c r="I719" s="94" t="str">
        <f>IFERROR(__xludf.DUMMYFUNCTION("if(H719=""Must be Together"",iferror(join("", "",unique(filter({filter('Students (Vertical)'!O:O,'Students (Vertical)'!C:C=B719,'Students (Vertical)'!O:O&lt;&gt;"""");filter('Students (Vertical)'!O:O,'Students (Vertical)'!C:C=E719,'Students (Vertical)'!O:O&lt;&gt;"""&amp;""")},countifs({filter('Students (Vertical)'!O:O,'Students (Vertical)'!C:C=B719,'Students (Vertical)'!O:O&lt;&gt;"""");filter('Students (Vertical)'!O:O,'Students (Vertical)'!C:C=E719,'Students (Vertical)'!O:O&lt;&gt;"""")},{filter('Students (Vertical)'!O:O,'Students ("&amp;"Vertical)'!C:C=B719,'Students (Vertical)'!O:O&lt;&gt;"""");filter('Students (Vertical)'!O:O,'Students (Vertical)'!C:C=E719,'Students (Vertical)'!O:O&lt;&gt;"""")})&gt;1))),""No shared courses""),"""")"),"")</f>
        <v/>
      </c>
      <c r="J719" s="94" t="str">
        <f>IFERROR(__xludf.DUMMYFUNCTION("if(H719=""Can't be Together"",iferror(join("", "",unique(filter({unique(filter('Students (Vertical)'!O:O,'Students (Vertical)'!C:C=B719,'Students (Vertical)'!O:O&lt;&gt;"""",'Students (Vertical)'!P:P&gt;1));unique(filter('Students (Vertical)'!O:O,'Students (Vertic"&amp;"al)'!C:C=E719,'Students (Vertical)'!O:O&lt;&gt;"""",'Students (Vertical)'!P:P&gt;1))},countifs({unique(filter('Students (Vertical)'!O:O,'Students (Vertical)'!C:C=B719,'Students (Vertical)'!O:O&lt;&gt;"""",'Students (Vertical)'!P:P&gt;1));unique(filter('Students (Vertical)'"&amp;"!O:O,'Students (Vertical)'!C:C=E719,'Students (Vertical)'!O:O&lt;&gt;"""",'Students (Vertical)'!P:P&gt;1))},{unique(filter('Students (Vertical)'!O:O,'Students (Vertical)'!C:C=B719,'Students (Vertical)'!O:O&lt;&gt;"""",'Students (Vertical)'!P:P&gt;1));unique(filter('Student"&amp;"s (Vertical)'!O:O,'Students (Vertical)'!C:C=E719,'Students (Vertical)'!O:O&lt;&gt;"""",'Students (Vertical)'!P:P&gt;1))})&gt;1))),""""),"""")"),"")</f>
        <v/>
      </c>
      <c r="K719" s="96" t="str">
        <f>IFERROR(__xludf.DUMMYFUNCTION("iferror(join("", "",unique(filter({filter('Students (Vertical)'!D:D,'Students (Vertical)'!C:C=B719,'Students (Vertical)'!D:D&lt;&gt;"""");filter('Students (Vertical)'!D:D,'Students (Vertical)'!C:C=E719,'Students (Vertical)'!D:D&lt;&gt;"""")},countifs({filter('Student"&amp;"s (Vertical)'!D:D,'Students (Vertical)'!C:C=B719,'Students (Vertical)'!D:D&lt;&gt;"""");filter('Students (Vertical)'!D:D,'Students (Vertical)'!C:C=E719,'Students (Vertical)'!D:D&lt;&gt;"""")},{filter('Students (Vertical)'!D:D,'Students (Vertical)'!C:C=B719,'Students "&amp;"(Vertical)'!D:D&lt;&gt;"""");filter('Students (Vertical)'!D:D,'Students (Vertical)'!C:C=E719,'Students (Vertical)'!D:D&lt;&gt;"""")})&gt;1))),"""")"),"")</f>
        <v/>
      </c>
      <c r="L719" s="96"/>
      <c r="M719" s="96"/>
    </row>
    <row r="720" hidden="1">
      <c r="A720" s="8" t="s">
        <v>8</v>
      </c>
      <c r="C720" s="8" t="s">
        <v>8</v>
      </c>
      <c r="D720" s="8" t="s">
        <v>8</v>
      </c>
      <c r="F720" s="8" t="s">
        <v>8</v>
      </c>
      <c r="G720" s="8" t="s">
        <v>8</v>
      </c>
      <c r="I720" s="94" t="str">
        <f>IFERROR(__xludf.DUMMYFUNCTION("if(H720=""Must be Together"",iferror(join("", "",unique(filter({filter('Students (Vertical)'!O:O,'Students (Vertical)'!C:C=B720,'Students (Vertical)'!O:O&lt;&gt;"""");filter('Students (Vertical)'!O:O,'Students (Vertical)'!C:C=E720,'Students (Vertical)'!O:O&lt;&gt;"""&amp;""")},countifs({filter('Students (Vertical)'!O:O,'Students (Vertical)'!C:C=B720,'Students (Vertical)'!O:O&lt;&gt;"""");filter('Students (Vertical)'!O:O,'Students (Vertical)'!C:C=E720,'Students (Vertical)'!O:O&lt;&gt;"""")},{filter('Students (Vertical)'!O:O,'Students ("&amp;"Vertical)'!C:C=B720,'Students (Vertical)'!O:O&lt;&gt;"""");filter('Students (Vertical)'!O:O,'Students (Vertical)'!C:C=E720,'Students (Vertical)'!O:O&lt;&gt;"""")})&gt;1))),""No shared courses""),"""")"),"")</f>
        <v/>
      </c>
      <c r="J720" s="94" t="str">
        <f>IFERROR(__xludf.DUMMYFUNCTION("if(H720=""Can't be Together"",iferror(join("", "",unique(filter({unique(filter('Students (Vertical)'!O:O,'Students (Vertical)'!C:C=B720,'Students (Vertical)'!O:O&lt;&gt;"""",'Students (Vertical)'!P:P&gt;1));unique(filter('Students (Vertical)'!O:O,'Students (Vertic"&amp;"al)'!C:C=E720,'Students (Vertical)'!O:O&lt;&gt;"""",'Students (Vertical)'!P:P&gt;1))},countifs({unique(filter('Students (Vertical)'!O:O,'Students (Vertical)'!C:C=B720,'Students (Vertical)'!O:O&lt;&gt;"""",'Students (Vertical)'!P:P&gt;1));unique(filter('Students (Vertical)'"&amp;"!O:O,'Students (Vertical)'!C:C=E720,'Students (Vertical)'!O:O&lt;&gt;"""",'Students (Vertical)'!P:P&gt;1))},{unique(filter('Students (Vertical)'!O:O,'Students (Vertical)'!C:C=B720,'Students (Vertical)'!O:O&lt;&gt;"""",'Students (Vertical)'!P:P&gt;1));unique(filter('Student"&amp;"s (Vertical)'!O:O,'Students (Vertical)'!C:C=E720,'Students (Vertical)'!O:O&lt;&gt;"""",'Students (Vertical)'!P:P&gt;1))})&gt;1))),""""),"""")"),"")</f>
        <v/>
      </c>
      <c r="K720" s="96" t="str">
        <f>IFERROR(__xludf.DUMMYFUNCTION("iferror(join("", "",unique(filter({filter('Students (Vertical)'!D:D,'Students (Vertical)'!C:C=B720,'Students (Vertical)'!D:D&lt;&gt;"""");filter('Students (Vertical)'!D:D,'Students (Vertical)'!C:C=E720,'Students (Vertical)'!D:D&lt;&gt;"""")},countifs({filter('Student"&amp;"s (Vertical)'!D:D,'Students (Vertical)'!C:C=B720,'Students (Vertical)'!D:D&lt;&gt;"""");filter('Students (Vertical)'!D:D,'Students (Vertical)'!C:C=E720,'Students (Vertical)'!D:D&lt;&gt;"""")},{filter('Students (Vertical)'!D:D,'Students (Vertical)'!C:C=B720,'Students "&amp;"(Vertical)'!D:D&lt;&gt;"""");filter('Students (Vertical)'!D:D,'Students (Vertical)'!C:C=E720,'Students (Vertical)'!D:D&lt;&gt;"""")})&gt;1))),"""")"),"")</f>
        <v/>
      </c>
      <c r="L720" s="96"/>
      <c r="M720" s="96"/>
    </row>
    <row r="721" hidden="1">
      <c r="A721" s="8" t="s">
        <v>8</v>
      </c>
      <c r="C721" s="8" t="s">
        <v>8</v>
      </c>
      <c r="D721" s="8" t="s">
        <v>8</v>
      </c>
      <c r="F721" s="8" t="s">
        <v>8</v>
      </c>
      <c r="G721" s="8" t="s">
        <v>8</v>
      </c>
      <c r="I721" s="94" t="str">
        <f>IFERROR(__xludf.DUMMYFUNCTION("if(H721=""Must be Together"",iferror(join("", "",unique(filter({filter('Students (Vertical)'!O:O,'Students (Vertical)'!C:C=B721,'Students (Vertical)'!O:O&lt;&gt;"""");filter('Students (Vertical)'!O:O,'Students (Vertical)'!C:C=E721,'Students (Vertical)'!O:O&lt;&gt;"""&amp;""")},countifs({filter('Students (Vertical)'!O:O,'Students (Vertical)'!C:C=B721,'Students (Vertical)'!O:O&lt;&gt;"""");filter('Students (Vertical)'!O:O,'Students (Vertical)'!C:C=E721,'Students (Vertical)'!O:O&lt;&gt;"""")},{filter('Students (Vertical)'!O:O,'Students ("&amp;"Vertical)'!C:C=B721,'Students (Vertical)'!O:O&lt;&gt;"""");filter('Students (Vertical)'!O:O,'Students (Vertical)'!C:C=E721,'Students (Vertical)'!O:O&lt;&gt;"""")})&gt;1))),""No shared courses""),"""")"),"")</f>
        <v/>
      </c>
      <c r="J721" s="94" t="str">
        <f>IFERROR(__xludf.DUMMYFUNCTION("if(H721=""Can't be Together"",iferror(join("", "",unique(filter({unique(filter('Students (Vertical)'!O:O,'Students (Vertical)'!C:C=B721,'Students (Vertical)'!O:O&lt;&gt;"""",'Students (Vertical)'!P:P&gt;1));unique(filter('Students (Vertical)'!O:O,'Students (Vertic"&amp;"al)'!C:C=E721,'Students (Vertical)'!O:O&lt;&gt;"""",'Students (Vertical)'!P:P&gt;1))},countifs({unique(filter('Students (Vertical)'!O:O,'Students (Vertical)'!C:C=B721,'Students (Vertical)'!O:O&lt;&gt;"""",'Students (Vertical)'!P:P&gt;1));unique(filter('Students (Vertical)'"&amp;"!O:O,'Students (Vertical)'!C:C=E721,'Students (Vertical)'!O:O&lt;&gt;"""",'Students (Vertical)'!P:P&gt;1))},{unique(filter('Students (Vertical)'!O:O,'Students (Vertical)'!C:C=B721,'Students (Vertical)'!O:O&lt;&gt;"""",'Students (Vertical)'!P:P&gt;1));unique(filter('Student"&amp;"s (Vertical)'!O:O,'Students (Vertical)'!C:C=E721,'Students (Vertical)'!O:O&lt;&gt;"""",'Students (Vertical)'!P:P&gt;1))})&gt;1))),""""),"""")"),"")</f>
        <v/>
      </c>
      <c r="K721" s="96" t="str">
        <f>IFERROR(__xludf.DUMMYFUNCTION("iferror(join("", "",unique(filter({filter('Students (Vertical)'!D:D,'Students (Vertical)'!C:C=B721,'Students (Vertical)'!D:D&lt;&gt;"""");filter('Students (Vertical)'!D:D,'Students (Vertical)'!C:C=E721,'Students (Vertical)'!D:D&lt;&gt;"""")},countifs({filter('Student"&amp;"s (Vertical)'!D:D,'Students (Vertical)'!C:C=B721,'Students (Vertical)'!D:D&lt;&gt;"""");filter('Students (Vertical)'!D:D,'Students (Vertical)'!C:C=E721,'Students (Vertical)'!D:D&lt;&gt;"""")},{filter('Students (Vertical)'!D:D,'Students (Vertical)'!C:C=B721,'Students "&amp;"(Vertical)'!D:D&lt;&gt;"""");filter('Students (Vertical)'!D:D,'Students (Vertical)'!C:C=E721,'Students (Vertical)'!D:D&lt;&gt;"""")})&gt;1))),"""")"),"")</f>
        <v/>
      </c>
      <c r="L721" s="96"/>
      <c r="M721" s="96"/>
    </row>
    <row r="722" hidden="1">
      <c r="A722" s="8" t="s">
        <v>8</v>
      </c>
      <c r="C722" s="8" t="s">
        <v>8</v>
      </c>
      <c r="D722" s="8" t="s">
        <v>8</v>
      </c>
      <c r="F722" s="8" t="s">
        <v>8</v>
      </c>
      <c r="G722" s="8" t="s">
        <v>8</v>
      </c>
      <c r="I722" s="94" t="str">
        <f>IFERROR(__xludf.DUMMYFUNCTION("if(H722=""Must be Together"",iferror(join("", "",unique(filter({filter('Students (Vertical)'!O:O,'Students (Vertical)'!C:C=B722,'Students (Vertical)'!O:O&lt;&gt;"""");filter('Students (Vertical)'!O:O,'Students (Vertical)'!C:C=E722,'Students (Vertical)'!O:O&lt;&gt;"""&amp;""")},countifs({filter('Students (Vertical)'!O:O,'Students (Vertical)'!C:C=B722,'Students (Vertical)'!O:O&lt;&gt;"""");filter('Students (Vertical)'!O:O,'Students (Vertical)'!C:C=E722,'Students (Vertical)'!O:O&lt;&gt;"""")},{filter('Students (Vertical)'!O:O,'Students ("&amp;"Vertical)'!C:C=B722,'Students (Vertical)'!O:O&lt;&gt;"""");filter('Students (Vertical)'!O:O,'Students (Vertical)'!C:C=E722,'Students (Vertical)'!O:O&lt;&gt;"""")})&gt;1))),""No shared courses""),"""")"),"")</f>
        <v/>
      </c>
      <c r="J722" s="94" t="str">
        <f>IFERROR(__xludf.DUMMYFUNCTION("if(H722=""Can't be Together"",iferror(join("", "",unique(filter({unique(filter('Students (Vertical)'!O:O,'Students (Vertical)'!C:C=B722,'Students (Vertical)'!O:O&lt;&gt;"""",'Students (Vertical)'!P:P&gt;1));unique(filter('Students (Vertical)'!O:O,'Students (Vertic"&amp;"al)'!C:C=E722,'Students (Vertical)'!O:O&lt;&gt;"""",'Students (Vertical)'!P:P&gt;1))},countifs({unique(filter('Students (Vertical)'!O:O,'Students (Vertical)'!C:C=B722,'Students (Vertical)'!O:O&lt;&gt;"""",'Students (Vertical)'!P:P&gt;1));unique(filter('Students (Vertical)'"&amp;"!O:O,'Students (Vertical)'!C:C=E722,'Students (Vertical)'!O:O&lt;&gt;"""",'Students (Vertical)'!P:P&gt;1))},{unique(filter('Students (Vertical)'!O:O,'Students (Vertical)'!C:C=B722,'Students (Vertical)'!O:O&lt;&gt;"""",'Students (Vertical)'!P:P&gt;1));unique(filter('Student"&amp;"s (Vertical)'!O:O,'Students (Vertical)'!C:C=E722,'Students (Vertical)'!O:O&lt;&gt;"""",'Students (Vertical)'!P:P&gt;1))})&gt;1))),""""),"""")"),"")</f>
        <v/>
      </c>
      <c r="K722" s="96" t="str">
        <f>IFERROR(__xludf.DUMMYFUNCTION("iferror(join("", "",unique(filter({filter('Students (Vertical)'!D:D,'Students (Vertical)'!C:C=B722,'Students (Vertical)'!D:D&lt;&gt;"""");filter('Students (Vertical)'!D:D,'Students (Vertical)'!C:C=E722,'Students (Vertical)'!D:D&lt;&gt;"""")},countifs({filter('Student"&amp;"s (Vertical)'!D:D,'Students (Vertical)'!C:C=B722,'Students (Vertical)'!D:D&lt;&gt;"""");filter('Students (Vertical)'!D:D,'Students (Vertical)'!C:C=E722,'Students (Vertical)'!D:D&lt;&gt;"""")},{filter('Students (Vertical)'!D:D,'Students (Vertical)'!C:C=B722,'Students "&amp;"(Vertical)'!D:D&lt;&gt;"""");filter('Students (Vertical)'!D:D,'Students (Vertical)'!C:C=E722,'Students (Vertical)'!D:D&lt;&gt;"""")})&gt;1))),"""")"),"")</f>
        <v/>
      </c>
      <c r="L722" s="96"/>
      <c r="M722" s="96"/>
    </row>
    <row r="723" hidden="1">
      <c r="A723" s="8" t="s">
        <v>8</v>
      </c>
      <c r="C723" s="8" t="s">
        <v>8</v>
      </c>
      <c r="D723" s="8" t="s">
        <v>8</v>
      </c>
      <c r="F723" s="8" t="s">
        <v>8</v>
      </c>
      <c r="G723" s="8" t="s">
        <v>8</v>
      </c>
      <c r="I723" s="94" t="str">
        <f>IFERROR(__xludf.DUMMYFUNCTION("if(H723=""Must be Together"",iferror(join("", "",unique(filter({filter('Students (Vertical)'!O:O,'Students (Vertical)'!C:C=B723,'Students (Vertical)'!O:O&lt;&gt;"""");filter('Students (Vertical)'!O:O,'Students (Vertical)'!C:C=E723,'Students (Vertical)'!O:O&lt;&gt;"""&amp;""")},countifs({filter('Students (Vertical)'!O:O,'Students (Vertical)'!C:C=B723,'Students (Vertical)'!O:O&lt;&gt;"""");filter('Students (Vertical)'!O:O,'Students (Vertical)'!C:C=E723,'Students (Vertical)'!O:O&lt;&gt;"""")},{filter('Students (Vertical)'!O:O,'Students ("&amp;"Vertical)'!C:C=B723,'Students (Vertical)'!O:O&lt;&gt;"""");filter('Students (Vertical)'!O:O,'Students (Vertical)'!C:C=E723,'Students (Vertical)'!O:O&lt;&gt;"""")})&gt;1))),""No shared courses""),"""")"),"")</f>
        <v/>
      </c>
      <c r="J723" s="94" t="str">
        <f>IFERROR(__xludf.DUMMYFUNCTION("if(H723=""Can't be Together"",iferror(join("", "",unique(filter({unique(filter('Students (Vertical)'!O:O,'Students (Vertical)'!C:C=B723,'Students (Vertical)'!O:O&lt;&gt;"""",'Students (Vertical)'!P:P&gt;1));unique(filter('Students (Vertical)'!O:O,'Students (Vertic"&amp;"al)'!C:C=E723,'Students (Vertical)'!O:O&lt;&gt;"""",'Students (Vertical)'!P:P&gt;1))},countifs({unique(filter('Students (Vertical)'!O:O,'Students (Vertical)'!C:C=B723,'Students (Vertical)'!O:O&lt;&gt;"""",'Students (Vertical)'!P:P&gt;1));unique(filter('Students (Vertical)'"&amp;"!O:O,'Students (Vertical)'!C:C=E723,'Students (Vertical)'!O:O&lt;&gt;"""",'Students (Vertical)'!P:P&gt;1))},{unique(filter('Students (Vertical)'!O:O,'Students (Vertical)'!C:C=B723,'Students (Vertical)'!O:O&lt;&gt;"""",'Students (Vertical)'!P:P&gt;1));unique(filter('Student"&amp;"s (Vertical)'!O:O,'Students (Vertical)'!C:C=E723,'Students (Vertical)'!O:O&lt;&gt;"""",'Students (Vertical)'!P:P&gt;1))})&gt;1))),""""),"""")"),"")</f>
        <v/>
      </c>
      <c r="K723" s="96" t="str">
        <f>IFERROR(__xludf.DUMMYFUNCTION("iferror(join("", "",unique(filter({filter('Students (Vertical)'!D:D,'Students (Vertical)'!C:C=B723,'Students (Vertical)'!D:D&lt;&gt;"""");filter('Students (Vertical)'!D:D,'Students (Vertical)'!C:C=E723,'Students (Vertical)'!D:D&lt;&gt;"""")},countifs({filter('Student"&amp;"s (Vertical)'!D:D,'Students (Vertical)'!C:C=B723,'Students (Vertical)'!D:D&lt;&gt;"""");filter('Students (Vertical)'!D:D,'Students (Vertical)'!C:C=E723,'Students (Vertical)'!D:D&lt;&gt;"""")},{filter('Students (Vertical)'!D:D,'Students (Vertical)'!C:C=B723,'Students "&amp;"(Vertical)'!D:D&lt;&gt;"""");filter('Students (Vertical)'!D:D,'Students (Vertical)'!C:C=E723,'Students (Vertical)'!D:D&lt;&gt;"""")})&gt;1))),"""")"),"")</f>
        <v/>
      </c>
      <c r="L723" s="96"/>
      <c r="M723" s="96"/>
    </row>
    <row r="724" hidden="1">
      <c r="A724" s="8" t="s">
        <v>8</v>
      </c>
      <c r="C724" s="8" t="s">
        <v>8</v>
      </c>
      <c r="D724" s="8" t="s">
        <v>8</v>
      </c>
      <c r="F724" s="8" t="s">
        <v>8</v>
      </c>
      <c r="G724" s="8" t="s">
        <v>8</v>
      </c>
      <c r="I724" s="94" t="str">
        <f>IFERROR(__xludf.DUMMYFUNCTION("if(H724=""Must be Together"",iferror(join("", "",unique(filter({filter('Students (Vertical)'!O:O,'Students (Vertical)'!C:C=B724,'Students (Vertical)'!O:O&lt;&gt;"""");filter('Students (Vertical)'!O:O,'Students (Vertical)'!C:C=E724,'Students (Vertical)'!O:O&lt;&gt;"""&amp;""")},countifs({filter('Students (Vertical)'!O:O,'Students (Vertical)'!C:C=B724,'Students (Vertical)'!O:O&lt;&gt;"""");filter('Students (Vertical)'!O:O,'Students (Vertical)'!C:C=E724,'Students (Vertical)'!O:O&lt;&gt;"""")},{filter('Students (Vertical)'!O:O,'Students ("&amp;"Vertical)'!C:C=B724,'Students (Vertical)'!O:O&lt;&gt;"""");filter('Students (Vertical)'!O:O,'Students (Vertical)'!C:C=E724,'Students (Vertical)'!O:O&lt;&gt;"""")})&gt;1))),""No shared courses""),"""")"),"")</f>
        <v/>
      </c>
      <c r="J724" s="94" t="str">
        <f>IFERROR(__xludf.DUMMYFUNCTION("if(H724=""Can't be Together"",iferror(join("", "",unique(filter({unique(filter('Students (Vertical)'!O:O,'Students (Vertical)'!C:C=B724,'Students (Vertical)'!O:O&lt;&gt;"""",'Students (Vertical)'!P:P&gt;1));unique(filter('Students (Vertical)'!O:O,'Students (Vertic"&amp;"al)'!C:C=E724,'Students (Vertical)'!O:O&lt;&gt;"""",'Students (Vertical)'!P:P&gt;1))},countifs({unique(filter('Students (Vertical)'!O:O,'Students (Vertical)'!C:C=B724,'Students (Vertical)'!O:O&lt;&gt;"""",'Students (Vertical)'!P:P&gt;1));unique(filter('Students (Vertical)'"&amp;"!O:O,'Students (Vertical)'!C:C=E724,'Students (Vertical)'!O:O&lt;&gt;"""",'Students (Vertical)'!P:P&gt;1))},{unique(filter('Students (Vertical)'!O:O,'Students (Vertical)'!C:C=B724,'Students (Vertical)'!O:O&lt;&gt;"""",'Students (Vertical)'!P:P&gt;1));unique(filter('Student"&amp;"s (Vertical)'!O:O,'Students (Vertical)'!C:C=E724,'Students (Vertical)'!O:O&lt;&gt;"""",'Students (Vertical)'!P:P&gt;1))})&gt;1))),""""),"""")"),"")</f>
        <v/>
      </c>
      <c r="K724" s="96" t="str">
        <f>IFERROR(__xludf.DUMMYFUNCTION("iferror(join("", "",unique(filter({filter('Students (Vertical)'!D:D,'Students (Vertical)'!C:C=B724,'Students (Vertical)'!D:D&lt;&gt;"""");filter('Students (Vertical)'!D:D,'Students (Vertical)'!C:C=E724,'Students (Vertical)'!D:D&lt;&gt;"""")},countifs({filter('Student"&amp;"s (Vertical)'!D:D,'Students (Vertical)'!C:C=B724,'Students (Vertical)'!D:D&lt;&gt;"""");filter('Students (Vertical)'!D:D,'Students (Vertical)'!C:C=E724,'Students (Vertical)'!D:D&lt;&gt;"""")},{filter('Students (Vertical)'!D:D,'Students (Vertical)'!C:C=B724,'Students "&amp;"(Vertical)'!D:D&lt;&gt;"""");filter('Students (Vertical)'!D:D,'Students (Vertical)'!C:C=E724,'Students (Vertical)'!D:D&lt;&gt;"""")})&gt;1))),"""")"),"")</f>
        <v/>
      </c>
      <c r="L724" s="96"/>
      <c r="M724" s="96"/>
    </row>
    <row r="725" hidden="1">
      <c r="A725" s="8" t="s">
        <v>8</v>
      </c>
      <c r="C725" s="8" t="s">
        <v>8</v>
      </c>
      <c r="D725" s="8" t="s">
        <v>8</v>
      </c>
      <c r="F725" s="8" t="s">
        <v>8</v>
      </c>
      <c r="G725" s="8" t="s">
        <v>8</v>
      </c>
      <c r="I725" s="94" t="str">
        <f>IFERROR(__xludf.DUMMYFUNCTION("if(H725=""Must be Together"",iferror(join("", "",unique(filter({filter('Students (Vertical)'!O:O,'Students (Vertical)'!C:C=B725,'Students (Vertical)'!O:O&lt;&gt;"""");filter('Students (Vertical)'!O:O,'Students (Vertical)'!C:C=E725,'Students (Vertical)'!O:O&lt;&gt;"""&amp;""")},countifs({filter('Students (Vertical)'!O:O,'Students (Vertical)'!C:C=B725,'Students (Vertical)'!O:O&lt;&gt;"""");filter('Students (Vertical)'!O:O,'Students (Vertical)'!C:C=E725,'Students (Vertical)'!O:O&lt;&gt;"""")},{filter('Students (Vertical)'!O:O,'Students ("&amp;"Vertical)'!C:C=B725,'Students (Vertical)'!O:O&lt;&gt;"""");filter('Students (Vertical)'!O:O,'Students (Vertical)'!C:C=E725,'Students (Vertical)'!O:O&lt;&gt;"""")})&gt;1))),""No shared courses""),"""")"),"")</f>
        <v/>
      </c>
      <c r="J725" s="94" t="str">
        <f>IFERROR(__xludf.DUMMYFUNCTION("if(H725=""Can't be Together"",iferror(join("", "",unique(filter({unique(filter('Students (Vertical)'!O:O,'Students (Vertical)'!C:C=B725,'Students (Vertical)'!O:O&lt;&gt;"""",'Students (Vertical)'!P:P&gt;1));unique(filter('Students (Vertical)'!O:O,'Students (Vertic"&amp;"al)'!C:C=E725,'Students (Vertical)'!O:O&lt;&gt;"""",'Students (Vertical)'!P:P&gt;1))},countifs({unique(filter('Students (Vertical)'!O:O,'Students (Vertical)'!C:C=B725,'Students (Vertical)'!O:O&lt;&gt;"""",'Students (Vertical)'!P:P&gt;1));unique(filter('Students (Vertical)'"&amp;"!O:O,'Students (Vertical)'!C:C=E725,'Students (Vertical)'!O:O&lt;&gt;"""",'Students (Vertical)'!P:P&gt;1))},{unique(filter('Students (Vertical)'!O:O,'Students (Vertical)'!C:C=B725,'Students (Vertical)'!O:O&lt;&gt;"""",'Students (Vertical)'!P:P&gt;1));unique(filter('Student"&amp;"s (Vertical)'!O:O,'Students (Vertical)'!C:C=E725,'Students (Vertical)'!O:O&lt;&gt;"""",'Students (Vertical)'!P:P&gt;1))})&gt;1))),""""),"""")"),"")</f>
        <v/>
      </c>
      <c r="K725" s="96" t="str">
        <f>IFERROR(__xludf.DUMMYFUNCTION("iferror(join("", "",unique(filter({filter('Students (Vertical)'!D:D,'Students (Vertical)'!C:C=B725,'Students (Vertical)'!D:D&lt;&gt;"""");filter('Students (Vertical)'!D:D,'Students (Vertical)'!C:C=E725,'Students (Vertical)'!D:D&lt;&gt;"""")},countifs({filter('Student"&amp;"s (Vertical)'!D:D,'Students (Vertical)'!C:C=B725,'Students (Vertical)'!D:D&lt;&gt;"""");filter('Students (Vertical)'!D:D,'Students (Vertical)'!C:C=E725,'Students (Vertical)'!D:D&lt;&gt;"""")},{filter('Students (Vertical)'!D:D,'Students (Vertical)'!C:C=B725,'Students "&amp;"(Vertical)'!D:D&lt;&gt;"""");filter('Students (Vertical)'!D:D,'Students (Vertical)'!C:C=E725,'Students (Vertical)'!D:D&lt;&gt;"""")})&gt;1))),"""")"),"")</f>
        <v/>
      </c>
      <c r="L725" s="96"/>
      <c r="M725" s="96"/>
    </row>
    <row r="726" hidden="1">
      <c r="A726" s="8" t="s">
        <v>8</v>
      </c>
      <c r="C726" s="8" t="s">
        <v>8</v>
      </c>
      <c r="D726" s="8" t="s">
        <v>8</v>
      </c>
      <c r="F726" s="8" t="s">
        <v>8</v>
      </c>
      <c r="G726" s="8" t="s">
        <v>8</v>
      </c>
      <c r="I726" s="94" t="str">
        <f>IFERROR(__xludf.DUMMYFUNCTION("if(H726=""Must be Together"",iferror(join("", "",unique(filter({filter('Students (Vertical)'!O:O,'Students (Vertical)'!C:C=B726,'Students (Vertical)'!O:O&lt;&gt;"""");filter('Students (Vertical)'!O:O,'Students (Vertical)'!C:C=E726,'Students (Vertical)'!O:O&lt;&gt;"""&amp;""")},countifs({filter('Students (Vertical)'!O:O,'Students (Vertical)'!C:C=B726,'Students (Vertical)'!O:O&lt;&gt;"""");filter('Students (Vertical)'!O:O,'Students (Vertical)'!C:C=E726,'Students (Vertical)'!O:O&lt;&gt;"""")},{filter('Students (Vertical)'!O:O,'Students ("&amp;"Vertical)'!C:C=B726,'Students (Vertical)'!O:O&lt;&gt;"""");filter('Students (Vertical)'!O:O,'Students (Vertical)'!C:C=E726,'Students (Vertical)'!O:O&lt;&gt;"""")})&gt;1))),""No shared courses""),"""")"),"")</f>
        <v/>
      </c>
      <c r="J726" s="94" t="str">
        <f>IFERROR(__xludf.DUMMYFUNCTION("if(H726=""Can't be Together"",iferror(join("", "",unique(filter({unique(filter('Students (Vertical)'!O:O,'Students (Vertical)'!C:C=B726,'Students (Vertical)'!O:O&lt;&gt;"""",'Students (Vertical)'!P:P&gt;1));unique(filter('Students (Vertical)'!O:O,'Students (Vertic"&amp;"al)'!C:C=E726,'Students (Vertical)'!O:O&lt;&gt;"""",'Students (Vertical)'!P:P&gt;1))},countifs({unique(filter('Students (Vertical)'!O:O,'Students (Vertical)'!C:C=B726,'Students (Vertical)'!O:O&lt;&gt;"""",'Students (Vertical)'!P:P&gt;1));unique(filter('Students (Vertical)'"&amp;"!O:O,'Students (Vertical)'!C:C=E726,'Students (Vertical)'!O:O&lt;&gt;"""",'Students (Vertical)'!P:P&gt;1))},{unique(filter('Students (Vertical)'!O:O,'Students (Vertical)'!C:C=B726,'Students (Vertical)'!O:O&lt;&gt;"""",'Students (Vertical)'!P:P&gt;1));unique(filter('Student"&amp;"s (Vertical)'!O:O,'Students (Vertical)'!C:C=E726,'Students (Vertical)'!O:O&lt;&gt;"""",'Students (Vertical)'!P:P&gt;1))})&gt;1))),""""),"""")"),"")</f>
        <v/>
      </c>
      <c r="K726" s="96" t="str">
        <f>IFERROR(__xludf.DUMMYFUNCTION("iferror(join("", "",unique(filter({filter('Students (Vertical)'!D:D,'Students (Vertical)'!C:C=B726,'Students (Vertical)'!D:D&lt;&gt;"""");filter('Students (Vertical)'!D:D,'Students (Vertical)'!C:C=E726,'Students (Vertical)'!D:D&lt;&gt;"""")},countifs({filter('Student"&amp;"s (Vertical)'!D:D,'Students (Vertical)'!C:C=B726,'Students (Vertical)'!D:D&lt;&gt;"""");filter('Students (Vertical)'!D:D,'Students (Vertical)'!C:C=E726,'Students (Vertical)'!D:D&lt;&gt;"""")},{filter('Students (Vertical)'!D:D,'Students (Vertical)'!C:C=B726,'Students "&amp;"(Vertical)'!D:D&lt;&gt;"""");filter('Students (Vertical)'!D:D,'Students (Vertical)'!C:C=E726,'Students (Vertical)'!D:D&lt;&gt;"""")})&gt;1))),"""")"),"")</f>
        <v/>
      </c>
      <c r="L726" s="96"/>
      <c r="M726" s="96"/>
    </row>
    <row r="727" hidden="1">
      <c r="A727" s="8" t="s">
        <v>8</v>
      </c>
      <c r="C727" s="8" t="s">
        <v>8</v>
      </c>
      <c r="D727" s="8" t="s">
        <v>8</v>
      </c>
      <c r="F727" s="8" t="s">
        <v>8</v>
      </c>
      <c r="G727" s="8" t="s">
        <v>8</v>
      </c>
      <c r="I727" s="94" t="str">
        <f>IFERROR(__xludf.DUMMYFUNCTION("if(H727=""Must be Together"",iferror(join("", "",unique(filter({filter('Students (Vertical)'!O:O,'Students (Vertical)'!C:C=B727,'Students (Vertical)'!O:O&lt;&gt;"""");filter('Students (Vertical)'!O:O,'Students (Vertical)'!C:C=E727,'Students (Vertical)'!O:O&lt;&gt;"""&amp;""")},countifs({filter('Students (Vertical)'!O:O,'Students (Vertical)'!C:C=B727,'Students (Vertical)'!O:O&lt;&gt;"""");filter('Students (Vertical)'!O:O,'Students (Vertical)'!C:C=E727,'Students (Vertical)'!O:O&lt;&gt;"""")},{filter('Students (Vertical)'!O:O,'Students ("&amp;"Vertical)'!C:C=B727,'Students (Vertical)'!O:O&lt;&gt;"""");filter('Students (Vertical)'!O:O,'Students (Vertical)'!C:C=E727,'Students (Vertical)'!O:O&lt;&gt;"""")})&gt;1))),""No shared courses""),"""")"),"")</f>
        <v/>
      </c>
      <c r="J727" s="94" t="str">
        <f>IFERROR(__xludf.DUMMYFUNCTION("if(H727=""Can't be Together"",iferror(join("", "",unique(filter({unique(filter('Students (Vertical)'!O:O,'Students (Vertical)'!C:C=B727,'Students (Vertical)'!O:O&lt;&gt;"""",'Students (Vertical)'!P:P&gt;1));unique(filter('Students (Vertical)'!O:O,'Students (Vertic"&amp;"al)'!C:C=E727,'Students (Vertical)'!O:O&lt;&gt;"""",'Students (Vertical)'!P:P&gt;1))},countifs({unique(filter('Students (Vertical)'!O:O,'Students (Vertical)'!C:C=B727,'Students (Vertical)'!O:O&lt;&gt;"""",'Students (Vertical)'!P:P&gt;1));unique(filter('Students (Vertical)'"&amp;"!O:O,'Students (Vertical)'!C:C=E727,'Students (Vertical)'!O:O&lt;&gt;"""",'Students (Vertical)'!P:P&gt;1))},{unique(filter('Students (Vertical)'!O:O,'Students (Vertical)'!C:C=B727,'Students (Vertical)'!O:O&lt;&gt;"""",'Students (Vertical)'!P:P&gt;1));unique(filter('Student"&amp;"s (Vertical)'!O:O,'Students (Vertical)'!C:C=E727,'Students (Vertical)'!O:O&lt;&gt;"""",'Students (Vertical)'!P:P&gt;1))})&gt;1))),""""),"""")"),"")</f>
        <v/>
      </c>
      <c r="K727" s="96" t="str">
        <f>IFERROR(__xludf.DUMMYFUNCTION("iferror(join("", "",unique(filter({filter('Students (Vertical)'!D:D,'Students (Vertical)'!C:C=B727,'Students (Vertical)'!D:D&lt;&gt;"""");filter('Students (Vertical)'!D:D,'Students (Vertical)'!C:C=E727,'Students (Vertical)'!D:D&lt;&gt;"""")},countifs({filter('Student"&amp;"s (Vertical)'!D:D,'Students (Vertical)'!C:C=B727,'Students (Vertical)'!D:D&lt;&gt;"""");filter('Students (Vertical)'!D:D,'Students (Vertical)'!C:C=E727,'Students (Vertical)'!D:D&lt;&gt;"""")},{filter('Students (Vertical)'!D:D,'Students (Vertical)'!C:C=B727,'Students "&amp;"(Vertical)'!D:D&lt;&gt;"""");filter('Students (Vertical)'!D:D,'Students (Vertical)'!C:C=E727,'Students (Vertical)'!D:D&lt;&gt;"""")})&gt;1))),"""")"),"")</f>
        <v/>
      </c>
      <c r="L727" s="96"/>
      <c r="M727" s="96"/>
    </row>
    <row r="728" hidden="1">
      <c r="A728" s="8" t="s">
        <v>8</v>
      </c>
      <c r="C728" s="8" t="s">
        <v>8</v>
      </c>
      <c r="D728" s="8" t="s">
        <v>8</v>
      </c>
      <c r="F728" s="8" t="s">
        <v>8</v>
      </c>
      <c r="G728" s="8" t="s">
        <v>8</v>
      </c>
      <c r="I728" s="94" t="str">
        <f>IFERROR(__xludf.DUMMYFUNCTION("if(H728=""Must be Together"",iferror(join("", "",unique(filter({filter('Students (Vertical)'!O:O,'Students (Vertical)'!C:C=B728,'Students (Vertical)'!O:O&lt;&gt;"""");filter('Students (Vertical)'!O:O,'Students (Vertical)'!C:C=E728,'Students (Vertical)'!O:O&lt;&gt;"""&amp;""")},countifs({filter('Students (Vertical)'!O:O,'Students (Vertical)'!C:C=B728,'Students (Vertical)'!O:O&lt;&gt;"""");filter('Students (Vertical)'!O:O,'Students (Vertical)'!C:C=E728,'Students (Vertical)'!O:O&lt;&gt;"""")},{filter('Students (Vertical)'!O:O,'Students ("&amp;"Vertical)'!C:C=B728,'Students (Vertical)'!O:O&lt;&gt;"""");filter('Students (Vertical)'!O:O,'Students (Vertical)'!C:C=E728,'Students (Vertical)'!O:O&lt;&gt;"""")})&gt;1))),""No shared courses""),"""")"),"")</f>
        <v/>
      </c>
      <c r="J728" s="94" t="str">
        <f>IFERROR(__xludf.DUMMYFUNCTION("if(H728=""Can't be Together"",iferror(join("", "",unique(filter({unique(filter('Students (Vertical)'!O:O,'Students (Vertical)'!C:C=B728,'Students (Vertical)'!O:O&lt;&gt;"""",'Students (Vertical)'!P:P&gt;1));unique(filter('Students (Vertical)'!O:O,'Students (Vertic"&amp;"al)'!C:C=E728,'Students (Vertical)'!O:O&lt;&gt;"""",'Students (Vertical)'!P:P&gt;1))},countifs({unique(filter('Students (Vertical)'!O:O,'Students (Vertical)'!C:C=B728,'Students (Vertical)'!O:O&lt;&gt;"""",'Students (Vertical)'!P:P&gt;1));unique(filter('Students (Vertical)'"&amp;"!O:O,'Students (Vertical)'!C:C=E728,'Students (Vertical)'!O:O&lt;&gt;"""",'Students (Vertical)'!P:P&gt;1))},{unique(filter('Students (Vertical)'!O:O,'Students (Vertical)'!C:C=B728,'Students (Vertical)'!O:O&lt;&gt;"""",'Students (Vertical)'!P:P&gt;1));unique(filter('Student"&amp;"s (Vertical)'!O:O,'Students (Vertical)'!C:C=E728,'Students (Vertical)'!O:O&lt;&gt;"""",'Students (Vertical)'!P:P&gt;1))})&gt;1))),""""),"""")"),"")</f>
        <v/>
      </c>
      <c r="K728" s="96" t="str">
        <f>IFERROR(__xludf.DUMMYFUNCTION("iferror(join("", "",unique(filter({filter('Students (Vertical)'!D:D,'Students (Vertical)'!C:C=B728,'Students (Vertical)'!D:D&lt;&gt;"""");filter('Students (Vertical)'!D:D,'Students (Vertical)'!C:C=E728,'Students (Vertical)'!D:D&lt;&gt;"""")},countifs({filter('Student"&amp;"s (Vertical)'!D:D,'Students (Vertical)'!C:C=B728,'Students (Vertical)'!D:D&lt;&gt;"""");filter('Students (Vertical)'!D:D,'Students (Vertical)'!C:C=E728,'Students (Vertical)'!D:D&lt;&gt;"""")},{filter('Students (Vertical)'!D:D,'Students (Vertical)'!C:C=B728,'Students "&amp;"(Vertical)'!D:D&lt;&gt;"""");filter('Students (Vertical)'!D:D,'Students (Vertical)'!C:C=E728,'Students (Vertical)'!D:D&lt;&gt;"""")})&gt;1))),"""")"),"")</f>
        <v/>
      </c>
      <c r="L728" s="96"/>
      <c r="M728" s="96"/>
    </row>
    <row r="729" hidden="1">
      <c r="A729" s="8" t="s">
        <v>8</v>
      </c>
      <c r="C729" s="8" t="s">
        <v>8</v>
      </c>
      <c r="D729" s="8" t="s">
        <v>8</v>
      </c>
      <c r="F729" s="8" t="s">
        <v>8</v>
      </c>
      <c r="G729" s="8" t="s">
        <v>8</v>
      </c>
      <c r="I729" s="94" t="str">
        <f>IFERROR(__xludf.DUMMYFUNCTION("if(H729=""Must be Together"",iferror(join("", "",unique(filter({filter('Students (Vertical)'!O:O,'Students (Vertical)'!C:C=B729,'Students (Vertical)'!O:O&lt;&gt;"""");filter('Students (Vertical)'!O:O,'Students (Vertical)'!C:C=E729,'Students (Vertical)'!O:O&lt;&gt;"""&amp;""")},countifs({filter('Students (Vertical)'!O:O,'Students (Vertical)'!C:C=B729,'Students (Vertical)'!O:O&lt;&gt;"""");filter('Students (Vertical)'!O:O,'Students (Vertical)'!C:C=E729,'Students (Vertical)'!O:O&lt;&gt;"""")},{filter('Students (Vertical)'!O:O,'Students ("&amp;"Vertical)'!C:C=B729,'Students (Vertical)'!O:O&lt;&gt;"""");filter('Students (Vertical)'!O:O,'Students (Vertical)'!C:C=E729,'Students (Vertical)'!O:O&lt;&gt;"""")})&gt;1))),""No shared courses""),"""")"),"")</f>
        <v/>
      </c>
      <c r="J729" s="94" t="str">
        <f>IFERROR(__xludf.DUMMYFUNCTION("if(H729=""Can't be Together"",iferror(join("", "",unique(filter({unique(filter('Students (Vertical)'!O:O,'Students (Vertical)'!C:C=B729,'Students (Vertical)'!O:O&lt;&gt;"""",'Students (Vertical)'!P:P&gt;1));unique(filter('Students (Vertical)'!O:O,'Students (Vertic"&amp;"al)'!C:C=E729,'Students (Vertical)'!O:O&lt;&gt;"""",'Students (Vertical)'!P:P&gt;1))},countifs({unique(filter('Students (Vertical)'!O:O,'Students (Vertical)'!C:C=B729,'Students (Vertical)'!O:O&lt;&gt;"""",'Students (Vertical)'!P:P&gt;1));unique(filter('Students (Vertical)'"&amp;"!O:O,'Students (Vertical)'!C:C=E729,'Students (Vertical)'!O:O&lt;&gt;"""",'Students (Vertical)'!P:P&gt;1))},{unique(filter('Students (Vertical)'!O:O,'Students (Vertical)'!C:C=B729,'Students (Vertical)'!O:O&lt;&gt;"""",'Students (Vertical)'!P:P&gt;1));unique(filter('Student"&amp;"s (Vertical)'!O:O,'Students (Vertical)'!C:C=E729,'Students (Vertical)'!O:O&lt;&gt;"""",'Students (Vertical)'!P:P&gt;1))})&gt;1))),""""),"""")"),"")</f>
        <v/>
      </c>
      <c r="K729" s="96" t="str">
        <f>IFERROR(__xludf.DUMMYFUNCTION("iferror(join("", "",unique(filter({filter('Students (Vertical)'!D:D,'Students (Vertical)'!C:C=B729,'Students (Vertical)'!D:D&lt;&gt;"""");filter('Students (Vertical)'!D:D,'Students (Vertical)'!C:C=E729,'Students (Vertical)'!D:D&lt;&gt;"""")},countifs({filter('Student"&amp;"s (Vertical)'!D:D,'Students (Vertical)'!C:C=B729,'Students (Vertical)'!D:D&lt;&gt;"""");filter('Students (Vertical)'!D:D,'Students (Vertical)'!C:C=E729,'Students (Vertical)'!D:D&lt;&gt;"""")},{filter('Students (Vertical)'!D:D,'Students (Vertical)'!C:C=B729,'Students "&amp;"(Vertical)'!D:D&lt;&gt;"""");filter('Students (Vertical)'!D:D,'Students (Vertical)'!C:C=E729,'Students (Vertical)'!D:D&lt;&gt;"""")})&gt;1))),"""")"),"")</f>
        <v/>
      </c>
      <c r="L729" s="96"/>
      <c r="M729" s="96"/>
    </row>
    <row r="730" hidden="1">
      <c r="A730" s="8" t="s">
        <v>8</v>
      </c>
      <c r="C730" s="8" t="s">
        <v>8</v>
      </c>
      <c r="D730" s="8" t="s">
        <v>8</v>
      </c>
      <c r="F730" s="8" t="s">
        <v>8</v>
      </c>
      <c r="G730" s="8" t="s">
        <v>8</v>
      </c>
      <c r="I730" s="94" t="str">
        <f>IFERROR(__xludf.DUMMYFUNCTION("if(H730=""Must be Together"",iferror(join("", "",unique(filter({filter('Students (Vertical)'!O:O,'Students (Vertical)'!C:C=B730,'Students (Vertical)'!O:O&lt;&gt;"""");filter('Students (Vertical)'!O:O,'Students (Vertical)'!C:C=E730,'Students (Vertical)'!O:O&lt;&gt;"""&amp;""")},countifs({filter('Students (Vertical)'!O:O,'Students (Vertical)'!C:C=B730,'Students (Vertical)'!O:O&lt;&gt;"""");filter('Students (Vertical)'!O:O,'Students (Vertical)'!C:C=E730,'Students (Vertical)'!O:O&lt;&gt;"""")},{filter('Students (Vertical)'!O:O,'Students ("&amp;"Vertical)'!C:C=B730,'Students (Vertical)'!O:O&lt;&gt;"""");filter('Students (Vertical)'!O:O,'Students (Vertical)'!C:C=E730,'Students (Vertical)'!O:O&lt;&gt;"""")})&gt;1))),""No shared courses""),"""")"),"")</f>
        <v/>
      </c>
      <c r="J730" s="94" t="str">
        <f>IFERROR(__xludf.DUMMYFUNCTION("if(H730=""Can't be Together"",iferror(join("", "",unique(filter({unique(filter('Students (Vertical)'!O:O,'Students (Vertical)'!C:C=B730,'Students (Vertical)'!O:O&lt;&gt;"""",'Students (Vertical)'!P:P&gt;1));unique(filter('Students (Vertical)'!O:O,'Students (Vertic"&amp;"al)'!C:C=E730,'Students (Vertical)'!O:O&lt;&gt;"""",'Students (Vertical)'!P:P&gt;1))},countifs({unique(filter('Students (Vertical)'!O:O,'Students (Vertical)'!C:C=B730,'Students (Vertical)'!O:O&lt;&gt;"""",'Students (Vertical)'!P:P&gt;1));unique(filter('Students (Vertical)'"&amp;"!O:O,'Students (Vertical)'!C:C=E730,'Students (Vertical)'!O:O&lt;&gt;"""",'Students (Vertical)'!P:P&gt;1))},{unique(filter('Students (Vertical)'!O:O,'Students (Vertical)'!C:C=B730,'Students (Vertical)'!O:O&lt;&gt;"""",'Students (Vertical)'!P:P&gt;1));unique(filter('Student"&amp;"s (Vertical)'!O:O,'Students (Vertical)'!C:C=E730,'Students (Vertical)'!O:O&lt;&gt;"""",'Students (Vertical)'!P:P&gt;1))})&gt;1))),""""),"""")"),"")</f>
        <v/>
      </c>
      <c r="K730" s="96" t="str">
        <f>IFERROR(__xludf.DUMMYFUNCTION("iferror(join("", "",unique(filter({filter('Students (Vertical)'!D:D,'Students (Vertical)'!C:C=B730,'Students (Vertical)'!D:D&lt;&gt;"""");filter('Students (Vertical)'!D:D,'Students (Vertical)'!C:C=E730,'Students (Vertical)'!D:D&lt;&gt;"""")},countifs({filter('Student"&amp;"s (Vertical)'!D:D,'Students (Vertical)'!C:C=B730,'Students (Vertical)'!D:D&lt;&gt;"""");filter('Students (Vertical)'!D:D,'Students (Vertical)'!C:C=E730,'Students (Vertical)'!D:D&lt;&gt;"""")},{filter('Students (Vertical)'!D:D,'Students (Vertical)'!C:C=B730,'Students "&amp;"(Vertical)'!D:D&lt;&gt;"""");filter('Students (Vertical)'!D:D,'Students (Vertical)'!C:C=E730,'Students (Vertical)'!D:D&lt;&gt;"""")})&gt;1))),"""")"),"")</f>
        <v/>
      </c>
      <c r="L730" s="96"/>
      <c r="M730" s="96"/>
    </row>
    <row r="731" hidden="1">
      <c r="A731" s="8" t="s">
        <v>8</v>
      </c>
      <c r="C731" s="8" t="s">
        <v>8</v>
      </c>
      <c r="D731" s="8" t="s">
        <v>8</v>
      </c>
      <c r="F731" s="8" t="s">
        <v>8</v>
      </c>
      <c r="G731" s="8" t="s">
        <v>8</v>
      </c>
      <c r="I731" s="94" t="str">
        <f>IFERROR(__xludf.DUMMYFUNCTION("if(H731=""Must be Together"",iferror(join("", "",unique(filter({filter('Students (Vertical)'!O:O,'Students (Vertical)'!C:C=B731,'Students (Vertical)'!O:O&lt;&gt;"""");filter('Students (Vertical)'!O:O,'Students (Vertical)'!C:C=E731,'Students (Vertical)'!O:O&lt;&gt;"""&amp;""")},countifs({filter('Students (Vertical)'!O:O,'Students (Vertical)'!C:C=B731,'Students (Vertical)'!O:O&lt;&gt;"""");filter('Students (Vertical)'!O:O,'Students (Vertical)'!C:C=E731,'Students (Vertical)'!O:O&lt;&gt;"""")},{filter('Students (Vertical)'!O:O,'Students ("&amp;"Vertical)'!C:C=B731,'Students (Vertical)'!O:O&lt;&gt;"""");filter('Students (Vertical)'!O:O,'Students (Vertical)'!C:C=E731,'Students (Vertical)'!O:O&lt;&gt;"""")})&gt;1))),""No shared courses""),"""")"),"")</f>
        <v/>
      </c>
      <c r="J731" s="94" t="str">
        <f>IFERROR(__xludf.DUMMYFUNCTION("if(H731=""Can't be Together"",iferror(join("", "",unique(filter({unique(filter('Students (Vertical)'!O:O,'Students (Vertical)'!C:C=B731,'Students (Vertical)'!O:O&lt;&gt;"""",'Students (Vertical)'!P:P&gt;1));unique(filter('Students (Vertical)'!O:O,'Students (Vertic"&amp;"al)'!C:C=E731,'Students (Vertical)'!O:O&lt;&gt;"""",'Students (Vertical)'!P:P&gt;1))},countifs({unique(filter('Students (Vertical)'!O:O,'Students (Vertical)'!C:C=B731,'Students (Vertical)'!O:O&lt;&gt;"""",'Students (Vertical)'!P:P&gt;1));unique(filter('Students (Vertical)'"&amp;"!O:O,'Students (Vertical)'!C:C=E731,'Students (Vertical)'!O:O&lt;&gt;"""",'Students (Vertical)'!P:P&gt;1))},{unique(filter('Students (Vertical)'!O:O,'Students (Vertical)'!C:C=B731,'Students (Vertical)'!O:O&lt;&gt;"""",'Students (Vertical)'!P:P&gt;1));unique(filter('Student"&amp;"s (Vertical)'!O:O,'Students (Vertical)'!C:C=E731,'Students (Vertical)'!O:O&lt;&gt;"""",'Students (Vertical)'!P:P&gt;1))})&gt;1))),""""),"""")"),"")</f>
        <v/>
      </c>
      <c r="K731" s="96" t="str">
        <f>IFERROR(__xludf.DUMMYFUNCTION("iferror(join("", "",unique(filter({filter('Students (Vertical)'!D:D,'Students (Vertical)'!C:C=B731,'Students (Vertical)'!D:D&lt;&gt;"""");filter('Students (Vertical)'!D:D,'Students (Vertical)'!C:C=E731,'Students (Vertical)'!D:D&lt;&gt;"""")},countifs({filter('Student"&amp;"s (Vertical)'!D:D,'Students (Vertical)'!C:C=B731,'Students (Vertical)'!D:D&lt;&gt;"""");filter('Students (Vertical)'!D:D,'Students (Vertical)'!C:C=E731,'Students (Vertical)'!D:D&lt;&gt;"""")},{filter('Students (Vertical)'!D:D,'Students (Vertical)'!C:C=B731,'Students "&amp;"(Vertical)'!D:D&lt;&gt;"""");filter('Students (Vertical)'!D:D,'Students (Vertical)'!C:C=E731,'Students (Vertical)'!D:D&lt;&gt;"""")})&gt;1))),"""")"),"")</f>
        <v/>
      </c>
      <c r="L731" s="96"/>
      <c r="M731" s="96"/>
    </row>
    <row r="732" hidden="1">
      <c r="A732" s="8" t="s">
        <v>8</v>
      </c>
      <c r="C732" s="8" t="s">
        <v>8</v>
      </c>
      <c r="D732" s="8" t="s">
        <v>8</v>
      </c>
      <c r="F732" s="8" t="s">
        <v>8</v>
      </c>
      <c r="G732" s="8" t="s">
        <v>8</v>
      </c>
      <c r="I732" s="94" t="str">
        <f>IFERROR(__xludf.DUMMYFUNCTION("if(H732=""Must be Together"",iferror(join("", "",unique(filter({filter('Students (Vertical)'!O:O,'Students (Vertical)'!C:C=B732,'Students (Vertical)'!O:O&lt;&gt;"""");filter('Students (Vertical)'!O:O,'Students (Vertical)'!C:C=E732,'Students (Vertical)'!O:O&lt;&gt;"""&amp;""")},countifs({filter('Students (Vertical)'!O:O,'Students (Vertical)'!C:C=B732,'Students (Vertical)'!O:O&lt;&gt;"""");filter('Students (Vertical)'!O:O,'Students (Vertical)'!C:C=E732,'Students (Vertical)'!O:O&lt;&gt;"""")},{filter('Students (Vertical)'!O:O,'Students ("&amp;"Vertical)'!C:C=B732,'Students (Vertical)'!O:O&lt;&gt;"""");filter('Students (Vertical)'!O:O,'Students (Vertical)'!C:C=E732,'Students (Vertical)'!O:O&lt;&gt;"""")})&gt;1))),""No shared courses""),"""")"),"")</f>
        <v/>
      </c>
      <c r="J732" s="94" t="str">
        <f>IFERROR(__xludf.DUMMYFUNCTION("if(H732=""Can't be Together"",iferror(join("", "",unique(filter({unique(filter('Students (Vertical)'!O:O,'Students (Vertical)'!C:C=B732,'Students (Vertical)'!O:O&lt;&gt;"""",'Students (Vertical)'!P:P&gt;1));unique(filter('Students (Vertical)'!O:O,'Students (Vertic"&amp;"al)'!C:C=E732,'Students (Vertical)'!O:O&lt;&gt;"""",'Students (Vertical)'!P:P&gt;1))},countifs({unique(filter('Students (Vertical)'!O:O,'Students (Vertical)'!C:C=B732,'Students (Vertical)'!O:O&lt;&gt;"""",'Students (Vertical)'!P:P&gt;1));unique(filter('Students (Vertical)'"&amp;"!O:O,'Students (Vertical)'!C:C=E732,'Students (Vertical)'!O:O&lt;&gt;"""",'Students (Vertical)'!P:P&gt;1))},{unique(filter('Students (Vertical)'!O:O,'Students (Vertical)'!C:C=B732,'Students (Vertical)'!O:O&lt;&gt;"""",'Students (Vertical)'!P:P&gt;1));unique(filter('Student"&amp;"s (Vertical)'!O:O,'Students (Vertical)'!C:C=E732,'Students (Vertical)'!O:O&lt;&gt;"""",'Students (Vertical)'!P:P&gt;1))})&gt;1))),""""),"""")"),"")</f>
        <v/>
      </c>
      <c r="K732" s="96" t="str">
        <f>IFERROR(__xludf.DUMMYFUNCTION("iferror(join("", "",unique(filter({filter('Students (Vertical)'!D:D,'Students (Vertical)'!C:C=B732,'Students (Vertical)'!D:D&lt;&gt;"""");filter('Students (Vertical)'!D:D,'Students (Vertical)'!C:C=E732,'Students (Vertical)'!D:D&lt;&gt;"""")},countifs({filter('Student"&amp;"s (Vertical)'!D:D,'Students (Vertical)'!C:C=B732,'Students (Vertical)'!D:D&lt;&gt;"""");filter('Students (Vertical)'!D:D,'Students (Vertical)'!C:C=E732,'Students (Vertical)'!D:D&lt;&gt;"""")},{filter('Students (Vertical)'!D:D,'Students (Vertical)'!C:C=B732,'Students "&amp;"(Vertical)'!D:D&lt;&gt;"""");filter('Students (Vertical)'!D:D,'Students (Vertical)'!C:C=E732,'Students (Vertical)'!D:D&lt;&gt;"""")})&gt;1))),"""")"),"")</f>
        <v/>
      </c>
      <c r="L732" s="96"/>
      <c r="M732" s="96"/>
    </row>
    <row r="733" hidden="1">
      <c r="A733" s="8" t="s">
        <v>8</v>
      </c>
      <c r="C733" s="8" t="s">
        <v>8</v>
      </c>
      <c r="D733" s="8" t="s">
        <v>8</v>
      </c>
      <c r="F733" s="8" t="s">
        <v>8</v>
      </c>
      <c r="G733" s="8" t="s">
        <v>8</v>
      </c>
      <c r="I733" s="94" t="str">
        <f>IFERROR(__xludf.DUMMYFUNCTION("if(H733=""Must be Together"",iferror(join("", "",unique(filter({filter('Students (Vertical)'!O:O,'Students (Vertical)'!C:C=B733,'Students (Vertical)'!O:O&lt;&gt;"""");filter('Students (Vertical)'!O:O,'Students (Vertical)'!C:C=E733,'Students (Vertical)'!O:O&lt;&gt;"""&amp;""")},countifs({filter('Students (Vertical)'!O:O,'Students (Vertical)'!C:C=B733,'Students (Vertical)'!O:O&lt;&gt;"""");filter('Students (Vertical)'!O:O,'Students (Vertical)'!C:C=E733,'Students (Vertical)'!O:O&lt;&gt;"""")},{filter('Students (Vertical)'!O:O,'Students ("&amp;"Vertical)'!C:C=B733,'Students (Vertical)'!O:O&lt;&gt;"""");filter('Students (Vertical)'!O:O,'Students (Vertical)'!C:C=E733,'Students (Vertical)'!O:O&lt;&gt;"""")})&gt;1))),""No shared courses""),"""")"),"")</f>
        <v/>
      </c>
      <c r="J733" s="94" t="str">
        <f>IFERROR(__xludf.DUMMYFUNCTION("if(H733=""Can't be Together"",iferror(join("", "",unique(filter({unique(filter('Students (Vertical)'!O:O,'Students (Vertical)'!C:C=B733,'Students (Vertical)'!O:O&lt;&gt;"""",'Students (Vertical)'!P:P&gt;1));unique(filter('Students (Vertical)'!O:O,'Students (Vertic"&amp;"al)'!C:C=E733,'Students (Vertical)'!O:O&lt;&gt;"""",'Students (Vertical)'!P:P&gt;1))},countifs({unique(filter('Students (Vertical)'!O:O,'Students (Vertical)'!C:C=B733,'Students (Vertical)'!O:O&lt;&gt;"""",'Students (Vertical)'!P:P&gt;1));unique(filter('Students (Vertical)'"&amp;"!O:O,'Students (Vertical)'!C:C=E733,'Students (Vertical)'!O:O&lt;&gt;"""",'Students (Vertical)'!P:P&gt;1))},{unique(filter('Students (Vertical)'!O:O,'Students (Vertical)'!C:C=B733,'Students (Vertical)'!O:O&lt;&gt;"""",'Students (Vertical)'!P:P&gt;1));unique(filter('Student"&amp;"s (Vertical)'!O:O,'Students (Vertical)'!C:C=E733,'Students (Vertical)'!O:O&lt;&gt;"""",'Students (Vertical)'!P:P&gt;1))})&gt;1))),""""),"""")"),"")</f>
        <v/>
      </c>
      <c r="K733" s="96" t="str">
        <f>IFERROR(__xludf.DUMMYFUNCTION("iferror(join("", "",unique(filter({filter('Students (Vertical)'!D:D,'Students (Vertical)'!C:C=B733,'Students (Vertical)'!D:D&lt;&gt;"""");filter('Students (Vertical)'!D:D,'Students (Vertical)'!C:C=E733,'Students (Vertical)'!D:D&lt;&gt;"""")},countifs({filter('Student"&amp;"s (Vertical)'!D:D,'Students (Vertical)'!C:C=B733,'Students (Vertical)'!D:D&lt;&gt;"""");filter('Students (Vertical)'!D:D,'Students (Vertical)'!C:C=E733,'Students (Vertical)'!D:D&lt;&gt;"""")},{filter('Students (Vertical)'!D:D,'Students (Vertical)'!C:C=B733,'Students "&amp;"(Vertical)'!D:D&lt;&gt;"""");filter('Students (Vertical)'!D:D,'Students (Vertical)'!C:C=E733,'Students (Vertical)'!D:D&lt;&gt;"""")})&gt;1))),"""")"),"")</f>
        <v/>
      </c>
      <c r="L733" s="96"/>
      <c r="M733" s="96"/>
    </row>
    <row r="734" hidden="1">
      <c r="A734" s="8" t="s">
        <v>8</v>
      </c>
      <c r="C734" s="8" t="s">
        <v>8</v>
      </c>
      <c r="D734" s="8" t="s">
        <v>8</v>
      </c>
      <c r="F734" s="8" t="s">
        <v>8</v>
      </c>
      <c r="G734" s="8" t="s">
        <v>8</v>
      </c>
      <c r="I734" s="94" t="str">
        <f>IFERROR(__xludf.DUMMYFUNCTION("if(H734=""Must be Together"",iferror(join("", "",unique(filter({filter('Students (Vertical)'!O:O,'Students (Vertical)'!C:C=B734,'Students (Vertical)'!O:O&lt;&gt;"""");filter('Students (Vertical)'!O:O,'Students (Vertical)'!C:C=E734,'Students (Vertical)'!O:O&lt;&gt;"""&amp;""")},countifs({filter('Students (Vertical)'!O:O,'Students (Vertical)'!C:C=B734,'Students (Vertical)'!O:O&lt;&gt;"""");filter('Students (Vertical)'!O:O,'Students (Vertical)'!C:C=E734,'Students (Vertical)'!O:O&lt;&gt;"""")},{filter('Students (Vertical)'!O:O,'Students ("&amp;"Vertical)'!C:C=B734,'Students (Vertical)'!O:O&lt;&gt;"""");filter('Students (Vertical)'!O:O,'Students (Vertical)'!C:C=E734,'Students (Vertical)'!O:O&lt;&gt;"""")})&gt;1))),""No shared courses""),"""")"),"")</f>
        <v/>
      </c>
      <c r="J734" s="94" t="str">
        <f>IFERROR(__xludf.DUMMYFUNCTION("if(H734=""Can't be Together"",iferror(join("", "",unique(filter({unique(filter('Students (Vertical)'!O:O,'Students (Vertical)'!C:C=B734,'Students (Vertical)'!O:O&lt;&gt;"""",'Students (Vertical)'!P:P&gt;1));unique(filter('Students (Vertical)'!O:O,'Students (Vertic"&amp;"al)'!C:C=E734,'Students (Vertical)'!O:O&lt;&gt;"""",'Students (Vertical)'!P:P&gt;1))},countifs({unique(filter('Students (Vertical)'!O:O,'Students (Vertical)'!C:C=B734,'Students (Vertical)'!O:O&lt;&gt;"""",'Students (Vertical)'!P:P&gt;1));unique(filter('Students (Vertical)'"&amp;"!O:O,'Students (Vertical)'!C:C=E734,'Students (Vertical)'!O:O&lt;&gt;"""",'Students (Vertical)'!P:P&gt;1))},{unique(filter('Students (Vertical)'!O:O,'Students (Vertical)'!C:C=B734,'Students (Vertical)'!O:O&lt;&gt;"""",'Students (Vertical)'!P:P&gt;1));unique(filter('Student"&amp;"s (Vertical)'!O:O,'Students (Vertical)'!C:C=E734,'Students (Vertical)'!O:O&lt;&gt;"""",'Students (Vertical)'!P:P&gt;1))})&gt;1))),""""),"""")"),"")</f>
        <v/>
      </c>
      <c r="K734" s="96" t="str">
        <f>IFERROR(__xludf.DUMMYFUNCTION("iferror(join("", "",unique(filter({filter('Students (Vertical)'!D:D,'Students (Vertical)'!C:C=B734,'Students (Vertical)'!D:D&lt;&gt;"""");filter('Students (Vertical)'!D:D,'Students (Vertical)'!C:C=E734,'Students (Vertical)'!D:D&lt;&gt;"""")},countifs({filter('Student"&amp;"s (Vertical)'!D:D,'Students (Vertical)'!C:C=B734,'Students (Vertical)'!D:D&lt;&gt;"""");filter('Students (Vertical)'!D:D,'Students (Vertical)'!C:C=E734,'Students (Vertical)'!D:D&lt;&gt;"""")},{filter('Students (Vertical)'!D:D,'Students (Vertical)'!C:C=B734,'Students "&amp;"(Vertical)'!D:D&lt;&gt;"""");filter('Students (Vertical)'!D:D,'Students (Vertical)'!C:C=E734,'Students (Vertical)'!D:D&lt;&gt;"""")})&gt;1))),"""")"),"")</f>
        <v/>
      </c>
      <c r="L734" s="96"/>
      <c r="M734" s="96"/>
    </row>
    <row r="735" hidden="1">
      <c r="A735" s="8" t="s">
        <v>8</v>
      </c>
      <c r="C735" s="8" t="s">
        <v>8</v>
      </c>
      <c r="D735" s="8" t="s">
        <v>8</v>
      </c>
      <c r="F735" s="8" t="s">
        <v>8</v>
      </c>
      <c r="G735" s="8" t="s">
        <v>8</v>
      </c>
      <c r="I735" s="94" t="str">
        <f>IFERROR(__xludf.DUMMYFUNCTION("if(H735=""Must be Together"",iferror(join("", "",unique(filter({filter('Students (Vertical)'!O:O,'Students (Vertical)'!C:C=B735,'Students (Vertical)'!O:O&lt;&gt;"""");filter('Students (Vertical)'!O:O,'Students (Vertical)'!C:C=E735,'Students (Vertical)'!O:O&lt;&gt;"""&amp;""")},countifs({filter('Students (Vertical)'!O:O,'Students (Vertical)'!C:C=B735,'Students (Vertical)'!O:O&lt;&gt;"""");filter('Students (Vertical)'!O:O,'Students (Vertical)'!C:C=E735,'Students (Vertical)'!O:O&lt;&gt;"""")},{filter('Students (Vertical)'!O:O,'Students ("&amp;"Vertical)'!C:C=B735,'Students (Vertical)'!O:O&lt;&gt;"""");filter('Students (Vertical)'!O:O,'Students (Vertical)'!C:C=E735,'Students (Vertical)'!O:O&lt;&gt;"""")})&gt;1))),""No shared courses""),"""")"),"")</f>
        <v/>
      </c>
      <c r="J735" s="94" t="str">
        <f>IFERROR(__xludf.DUMMYFUNCTION("if(H735=""Can't be Together"",iferror(join("", "",unique(filter({unique(filter('Students (Vertical)'!O:O,'Students (Vertical)'!C:C=B735,'Students (Vertical)'!O:O&lt;&gt;"""",'Students (Vertical)'!P:P&gt;1));unique(filter('Students (Vertical)'!O:O,'Students (Vertic"&amp;"al)'!C:C=E735,'Students (Vertical)'!O:O&lt;&gt;"""",'Students (Vertical)'!P:P&gt;1))},countifs({unique(filter('Students (Vertical)'!O:O,'Students (Vertical)'!C:C=B735,'Students (Vertical)'!O:O&lt;&gt;"""",'Students (Vertical)'!P:P&gt;1));unique(filter('Students (Vertical)'"&amp;"!O:O,'Students (Vertical)'!C:C=E735,'Students (Vertical)'!O:O&lt;&gt;"""",'Students (Vertical)'!P:P&gt;1))},{unique(filter('Students (Vertical)'!O:O,'Students (Vertical)'!C:C=B735,'Students (Vertical)'!O:O&lt;&gt;"""",'Students (Vertical)'!P:P&gt;1));unique(filter('Student"&amp;"s (Vertical)'!O:O,'Students (Vertical)'!C:C=E735,'Students (Vertical)'!O:O&lt;&gt;"""",'Students (Vertical)'!P:P&gt;1))})&gt;1))),""""),"""")"),"")</f>
        <v/>
      </c>
      <c r="K735" s="96" t="str">
        <f>IFERROR(__xludf.DUMMYFUNCTION("iferror(join("", "",unique(filter({filter('Students (Vertical)'!D:D,'Students (Vertical)'!C:C=B735,'Students (Vertical)'!D:D&lt;&gt;"""");filter('Students (Vertical)'!D:D,'Students (Vertical)'!C:C=E735,'Students (Vertical)'!D:D&lt;&gt;"""")},countifs({filter('Student"&amp;"s (Vertical)'!D:D,'Students (Vertical)'!C:C=B735,'Students (Vertical)'!D:D&lt;&gt;"""");filter('Students (Vertical)'!D:D,'Students (Vertical)'!C:C=E735,'Students (Vertical)'!D:D&lt;&gt;"""")},{filter('Students (Vertical)'!D:D,'Students (Vertical)'!C:C=B735,'Students "&amp;"(Vertical)'!D:D&lt;&gt;"""");filter('Students (Vertical)'!D:D,'Students (Vertical)'!C:C=E735,'Students (Vertical)'!D:D&lt;&gt;"""")})&gt;1))),"""")"),"")</f>
        <v/>
      </c>
      <c r="L735" s="96"/>
      <c r="M735" s="96"/>
    </row>
    <row r="736" hidden="1">
      <c r="A736" s="8" t="s">
        <v>8</v>
      </c>
      <c r="C736" s="8" t="s">
        <v>8</v>
      </c>
      <c r="D736" s="8" t="s">
        <v>8</v>
      </c>
      <c r="F736" s="8" t="s">
        <v>8</v>
      </c>
      <c r="G736" s="8" t="s">
        <v>8</v>
      </c>
      <c r="I736" s="94" t="str">
        <f>IFERROR(__xludf.DUMMYFUNCTION("if(H736=""Must be Together"",iferror(join("", "",unique(filter({filter('Students (Vertical)'!O:O,'Students (Vertical)'!C:C=B736,'Students (Vertical)'!O:O&lt;&gt;"""");filter('Students (Vertical)'!O:O,'Students (Vertical)'!C:C=E736,'Students (Vertical)'!O:O&lt;&gt;"""&amp;""")},countifs({filter('Students (Vertical)'!O:O,'Students (Vertical)'!C:C=B736,'Students (Vertical)'!O:O&lt;&gt;"""");filter('Students (Vertical)'!O:O,'Students (Vertical)'!C:C=E736,'Students (Vertical)'!O:O&lt;&gt;"""")},{filter('Students (Vertical)'!O:O,'Students ("&amp;"Vertical)'!C:C=B736,'Students (Vertical)'!O:O&lt;&gt;"""");filter('Students (Vertical)'!O:O,'Students (Vertical)'!C:C=E736,'Students (Vertical)'!O:O&lt;&gt;"""")})&gt;1))),""No shared courses""),"""")"),"")</f>
        <v/>
      </c>
      <c r="J736" s="94" t="str">
        <f>IFERROR(__xludf.DUMMYFUNCTION("if(H736=""Can't be Together"",iferror(join("", "",unique(filter({unique(filter('Students (Vertical)'!O:O,'Students (Vertical)'!C:C=B736,'Students (Vertical)'!O:O&lt;&gt;"""",'Students (Vertical)'!P:P&gt;1));unique(filter('Students (Vertical)'!O:O,'Students (Vertic"&amp;"al)'!C:C=E736,'Students (Vertical)'!O:O&lt;&gt;"""",'Students (Vertical)'!P:P&gt;1))},countifs({unique(filter('Students (Vertical)'!O:O,'Students (Vertical)'!C:C=B736,'Students (Vertical)'!O:O&lt;&gt;"""",'Students (Vertical)'!P:P&gt;1));unique(filter('Students (Vertical)'"&amp;"!O:O,'Students (Vertical)'!C:C=E736,'Students (Vertical)'!O:O&lt;&gt;"""",'Students (Vertical)'!P:P&gt;1))},{unique(filter('Students (Vertical)'!O:O,'Students (Vertical)'!C:C=B736,'Students (Vertical)'!O:O&lt;&gt;"""",'Students (Vertical)'!P:P&gt;1));unique(filter('Student"&amp;"s (Vertical)'!O:O,'Students (Vertical)'!C:C=E736,'Students (Vertical)'!O:O&lt;&gt;"""",'Students (Vertical)'!P:P&gt;1))})&gt;1))),""""),"""")"),"")</f>
        <v/>
      </c>
      <c r="K736" s="96" t="str">
        <f>IFERROR(__xludf.DUMMYFUNCTION("iferror(join("", "",unique(filter({filter('Students (Vertical)'!D:D,'Students (Vertical)'!C:C=B736,'Students (Vertical)'!D:D&lt;&gt;"""");filter('Students (Vertical)'!D:D,'Students (Vertical)'!C:C=E736,'Students (Vertical)'!D:D&lt;&gt;"""")},countifs({filter('Student"&amp;"s (Vertical)'!D:D,'Students (Vertical)'!C:C=B736,'Students (Vertical)'!D:D&lt;&gt;"""");filter('Students (Vertical)'!D:D,'Students (Vertical)'!C:C=E736,'Students (Vertical)'!D:D&lt;&gt;"""")},{filter('Students (Vertical)'!D:D,'Students (Vertical)'!C:C=B736,'Students "&amp;"(Vertical)'!D:D&lt;&gt;"""");filter('Students (Vertical)'!D:D,'Students (Vertical)'!C:C=E736,'Students (Vertical)'!D:D&lt;&gt;"""")})&gt;1))),"""")"),"")</f>
        <v/>
      </c>
      <c r="L736" s="96"/>
      <c r="M736" s="96"/>
    </row>
    <row r="737" hidden="1">
      <c r="A737" s="8" t="s">
        <v>8</v>
      </c>
      <c r="C737" s="8" t="s">
        <v>8</v>
      </c>
      <c r="D737" s="8" t="s">
        <v>8</v>
      </c>
      <c r="F737" s="8" t="s">
        <v>8</v>
      </c>
      <c r="G737" s="8" t="s">
        <v>8</v>
      </c>
      <c r="I737" s="94" t="str">
        <f>IFERROR(__xludf.DUMMYFUNCTION("if(H737=""Must be Together"",iferror(join("", "",unique(filter({filter('Students (Vertical)'!O:O,'Students (Vertical)'!C:C=B737,'Students (Vertical)'!O:O&lt;&gt;"""");filter('Students (Vertical)'!O:O,'Students (Vertical)'!C:C=E737,'Students (Vertical)'!O:O&lt;&gt;"""&amp;""")},countifs({filter('Students (Vertical)'!O:O,'Students (Vertical)'!C:C=B737,'Students (Vertical)'!O:O&lt;&gt;"""");filter('Students (Vertical)'!O:O,'Students (Vertical)'!C:C=E737,'Students (Vertical)'!O:O&lt;&gt;"""")},{filter('Students (Vertical)'!O:O,'Students ("&amp;"Vertical)'!C:C=B737,'Students (Vertical)'!O:O&lt;&gt;"""");filter('Students (Vertical)'!O:O,'Students (Vertical)'!C:C=E737,'Students (Vertical)'!O:O&lt;&gt;"""")})&gt;1))),""No shared courses""),"""")"),"")</f>
        <v/>
      </c>
      <c r="J737" s="94" t="str">
        <f>IFERROR(__xludf.DUMMYFUNCTION("if(H737=""Can't be Together"",iferror(join("", "",unique(filter({unique(filter('Students (Vertical)'!O:O,'Students (Vertical)'!C:C=B737,'Students (Vertical)'!O:O&lt;&gt;"""",'Students (Vertical)'!P:P&gt;1));unique(filter('Students (Vertical)'!O:O,'Students (Vertic"&amp;"al)'!C:C=E737,'Students (Vertical)'!O:O&lt;&gt;"""",'Students (Vertical)'!P:P&gt;1))},countifs({unique(filter('Students (Vertical)'!O:O,'Students (Vertical)'!C:C=B737,'Students (Vertical)'!O:O&lt;&gt;"""",'Students (Vertical)'!P:P&gt;1));unique(filter('Students (Vertical)'"&amp;"!O:O,'Students (Vertical)'!C:C=E737,'Students (Vertical)'!O:O&lt;&gt;"""",'Students (Vertical)'!P:P&gt;1))},{unique(filter('Students (Vertical)'!O:O,'Students (Vertical)'!C:C=B737,'Students (Vertical)'!O:O&lt;&gt;"""",'Students (Vertical)'!P:P&gt;1));unique(filter('Student"&amp;"s (Vertical)'!O:O,'Students (Vertical)'!C:C=E737,'Students (Vertical)'!O:O&lt;&gt;"""",'Students (Vertical)'!P:P&gt;1))})&gt;1))),""""),"""")"),"")</f>
        <v/>
      </c>
      <c r="K737" s="96" t="str">
        <f>IFERROR(__xludf.DUMMYFUNCTION("iferror(join("", "",unique(filter({filter('Students (Vertical)'!D:D,'Students (Vertical)'!C:C=B737,'Students (Vertical)'!D:D&lt;&gt;"""");filter('Students (Vertical)'!D:D,'Students (Vertical)'!C:C=E737,'Students (Vertical)'!D:D&lt;&gt;"""")},countifs({filter('Student"&amp;"s (Vertical)'!D:D,'Students (Vertical)'!C:C=B737,'Students (Vertical)'!D:D&lt;&gt;"""");filter('Students (Vertical)'!D:D,'Students (Vertical)'!C:C=E737,'Students (Vertical)'!D:D&lt;&gt;"""")},{filter('Students (Vertical)'!D:D,'Students (Vertical)'!C:C=B737,'Students "&amp;"(Vertical)'!D:D&lt;&gt;"""");filter('Students (Vertical)'!D:D,'Students (Vertical)'!C:C=E737,'Students (Vertical)'!D:D&lt;&gt;"""")})&gt;1))),"""")"),"")</f>
        <v/>
      </c>
      <c r="L737" s="96"/>
      <c r="M737" s="96"/>
    </row>
    <row r="738" hidden="1">
      <c r="A738" s="8" t="s">
        <v>8</v>
      </c>
      <c r="C738" s="8" t="s">
        <v>8</v>
      </c>
      <c r="D738" s="8" t="s">
        <v>8</v>
      </c>
      <c r="F738" s="8" t="s">
        <v>8</v>
      </c>
      <c r="G738" s="8" t="s">
        <v>8</v>
      </c>
      <c r="I738" s="94" t="str">
        <f>IFERROR(__xludf.DUMMYFUNCTION("if(H738=""Must be Together"",iferror(join("", "",unique(filter({filter('Students (Vertical)'!O:O,'Students (Vertical)'!C:C=B738,'Students (Vertical)'!O:O&lt;&gt;"""");filter('Students (Vertical)'!O:O,'Students (Vertical)'!C:C=E738,'Students (Vertical)'!O:O&lt;&gt;"""&amp;""")},countifs({filter('Students (Vertical)'!O:O,'Students (Vertical)'!C:C=B738,'Students (Vertical)'!O:O&lt;&gt;"""");filter('Students (Vertical)'!O:O,'Students (Vertical)'!C:C=E738,'Students (Vertical)'!O:O&lt;&gt;"""")},{filter('Students (Vertical)'!O:O,'Students ("&amp;"Vertical)'!C:C=B738,'Students (Vertical)'!O:O&lt;&gt;"""");filter('Students (Vertical)'!O:O,'Students (Vertical)'!C:C=E738,'Students (Vertical)'!O:O&lt;&gt;"""")})&gt;1))),""No shared courses""),"""")"),"")</f>
        <v/>
      </c>
      <c r="J738" s="94" t="str">
        <f>IFERROR(__xludf.DUMMYFUNCTION("if(H738=""Can't be Together"",iferror(join("", "",unique(filter({unique(filter('Students (Vertical)'!O:O,'Students (Vertical)'!C:C=B738,'Students (Vertical)'!O:O&lt;&gt;"""",'Students (Vertical)'!P:P&gt;1));unique(filter('Students (Vertical)'!O:O,'Students (Vertic"&amp;"al)'!C:C=E738,'Students (Vertical)'!O:O&lt;&gt;"""",'Students (Vertical)'!P:P&gt;1))},countifs({unique(filter('Students (Vertical)'!O:O,'Students (Vertical)'!C:C=B738,'Students (Vertical)'!O:O&lt;&gt;"""",'Students (Vertical)'!P:P&gt;1));unique(filter('Students (Vertical)'"&amp;"!O:O,'Students (Vertical)'!C:C=E738,'Students (Vertical)'!O:O&lt;&gt;"""",'Students (Vertical)'!P:P&gt;1))},{unique(filter('Students (Vertical)'!O:O,'Students (Vertical)'!C:C=B738,'Students (Vertical)'!O:O&lt;&gt;"""",'Students (Vertical)'!P:P&gt;1));unique(filter('Student"&amp;"s (Vertical)'!O:O,'Students (Vertical)'!C:C=E738,'Students (Vertical)'!O:O&lt;&gt;"""",'Students (Vertical)'!P:P&gt;1))})&gt;1))),""""),"""")"),"")</f>
        <v/>
      </c>
      <c r="K738" s="96" t="str">
        <f>IFERROR(__xludf.DUMMYFUNCTION("iferror(join("", "",unique(filter({filter('Students (Vertical)'!D:D,'Students (Vertical)'!C:C=B738,'Students (Vertical)'!D:D&lt;&gt;"""");filter('Students (Vertical)'!D:D,'Students (Vertical)'!C:C=E738,'Students (Vertical)'!D:D&lt;&gt;"""")},countifs({filter('Student"&amp;"s (Vertical)'!D:D,'Students (Vertical)'!C:C=B738,'Students (Vertical)'!D:D&lt;&gt;"""");filter('Students (Vertical)'!D:D,'Students (Vertical)'!C:C=E738,'Students (Vertical)'!D:D&lt;&gt;"""")},{filter('Students (Vertical)'!D:D,'Students (Vertical)'!C:C=B738,'Students "&amp;"(Vertical)'!D:D&lt;&gt;"""");filter('Students (Vertical)'!D:D,'Students (Vertical)'!C:C=E738,'Students (Vertical)'!D:D&lt;&gt;"""")})&gt;1))),"""")"),"")</f>
        <v/>
      </c>
      <c r="L738" s="96"/>
      <c r="M738" s="96"/>
    </row>
    <row r="739" hidden="1">
      <c r="A739" s="8" t="s">
        <v>8</v>
      </c>
      <c r="C739" s="8" t="s">
        <v>8</v>
      </c>
      <c r="D739" s="8" t="s">
        <v>8</v>
      </c>
      <c r="F739" s="8" t="s">
        <v>8</v>
      </c>
      <c r="G739" s="8" t="s">
        <v>8</v>
      </c>
      <c r="I739" s="94" t="str">
        <f>IFERROR(__xludf.DUMMYFUNCTION("if(H739=""Must be Together"",iferror(join("", "",unique(filter({filter('Students (Vertical)'!O:O,'Students (Vertical)'!C:C=B739,'Students (Vertical)'!O:O&lt;&gt;"""");filter('Students (Vertical)'!O:O,'Students (Vertical)'!C:C=E739,'Students (Vertical)'!O:O&lt;&gt;"""&amp;""")},countifs({filter('Students (Vertical)'!O:O,'Students (Vertical)'!C:C=B739,'Students (Vertical)'!O:O&lt;&gt;"""");filter('Students (Vertical)'!O:O,'Students (Vertical)'!C:C=E739,'Students (Vertical)'!O:O&lt;&gt;"""")},{filter('Students (Vertical)'!O:O,'Students ("&amp;"Vertical)'!C:C=B739,'Students (Vertical)'!O:O&lt;&gt;"""");filter('Students (Vertical)'!O:O,'Students (Vertical)'!C:C=E739,'Students (Vertical)'!O:O&lt;&gt;"""")})&gt;1))),""No shared courses""),"""")"),"")</f>
        <v/>
      </c>
      <c r="J739" s="94" t="str">
        <f>IFERROR(__xludf.DUMMYFUNCTION("if(H739=""Can't be Together"",iferror(join("", "",unique(filter({unique(filter('Students (Vertical)'!O:O,'Students (Vertical)'!C:C=B739,'Students (Vertical)'!O:O&lt;&gt;"""",'Students (Vertical)'!P:P&gt;1));unique(filter('Students (Vertical)'!O:O,'Students (Vertic"&amp;"al)'!C:C=E739,'Students (Vertical)'!O:O&lt;&gt;"""",'Students (Vertical)'!P:P&gt;1))},countifs({unique(filter('Students (Vertical)'!O:O,'Students (Vertical)'!C:C=B739,'Students (Vertical)'!O:O&lt;&gt;"""",'Students (Vertical)'!P:P&gt;1));unique(filter('Students (Vertical)'"&amp;"!O:O,'Students (Vertical)'!C:C=E739,'Students (Vertical)'!O:O&lt;&gt;"""",'Students (Vertical)'!P:P&gt;1))},{unique(filter('Students (Vertical)'!O:O,'Students (Vertical)'!C:C=B739,'Students (Vertical)'!O:O&lt;&gt;"""",'Students (Vertical)'!P:P&gt;1));unique(filter('Student"&amp;"s (Vertical)'!O:O,'Students (Vertical)'!C:C=E739,'Students (Vertical)'!O:O&lt;&gt;"""",'Students (Vertical)'!P:P&gt;1))})&gt;1))),""""),"""")"),"")</f>
        <v/>
      </c>
      <c r="K739" s="96" t="str">
        <f>IFERROR(__xludf.DUMMYFUNCTION("iferror(join("", "",unique(filter({filter('Students (Vertical)'!D:D,'Students (Vertical)'!C:C=B739,'Students (Vertical)'!D:D&lt;&gt;"""");filter('Students (Vertical)'!D:D,'Students (Vertical)'!C:C=E739,'Students (Vertical)'!D:D&lt;&gt;"""")},countifs({filter('Student"&amp;"s (Vertical)'!D:D,'Students (Vertical)'!C:C=B739,'Students (Vertical)'!D:D&lt;&gt;"""");filter('Students (Vertical)'!D:D,'Students (Vertical)'!C:C=E739,'Students (Vertical)'!D:D&lt;&gt;"""")},{filter('Students (Vertical)'!D:D,'Students (Vertical)'!C:C=B739,'Students "&amp;"(Vertical)'!D:D&lt;&gt;"""");filter('Students (Vertical)'!D:D,'Students (Vertical)'!C:C=E739,'Students (Vertical)'!D:D&lt;&gt;"""")})&gt;1))),"""")"),"")</f>
        <v/>
      </c>
      <c r="L739" s="96"/>
      <c r="M739" s="96"/>
    </row>
    <row r="740" hidden="1">
      <c r="A740" s="8" t="s">
        <v>8</v>
      </c>
      <c r="C740" s="8" t="s">
        <v>8</v>
      </c>
      <c r="D740" s="8" t="s">
        <v>8</v>
      </c>
      <c r="F740" s="8" t="s">
        <v>8</v>
      </c>
      <c r="G740" s="8" t="s">
        <v>8</v>
      </c>
      <c r="I740" s="94" t="str">
        <f>IFERROR(__xludf.DUMMYFUNCTION("if(H740=""Must be Together"",iferror(join("", "",unique(filter({filter('Students (Vertical)'!O:O,'Students (Vertical)'!C:C=B740,'Students (Vertical)'!O:O&lt;&gt;"""");filter('Students (Vertical)'!O:O,'Students (Vertical)'!C:C=E740,'Students (Vertical)'!O:O&lt;&gt;"""&amp;""")},countifs({filter('Students (Vertical)'!O:O,'Students (Vertical)'!C:C=B740,'Students (Vertical)'!O:O&lt;&gt;"""");filter('Students (Vertical)'!O:O,'Students (Vertical)'!C:C=E740,'Students (Vertical)'!O:O&lt;&gt;"""")},{filter('Students (Vertical)'!O:O,'Students ("&amp;"Vertical)'!C:C=B740,'Students (Vertical)'!O:O&lt;&gt;"""");filter('Students (Vertical)'!O:O,'Students (Vertical)'!C:C=E740,'Students (Vertical)'!O:O&lt;&gt;"""")})&gt;1))),""No shared courses""),"""")"),"")</f>
        <v/>
      </c>
      <c r="J740" s="94" t="str">
        <f>IFERROR(__xludf.DUMMYFUNCTION("if(H740=""Can't be Together"",iferror(join("", "",unique(filter({unique(filter('Students (Vertical)'!O:O,'Students (Vertical)'!C:C=B740,'Students (Vertical)'!O:O&lt;&gt;"""",'Students (Vertical)'!P:P&gt;1));unique(filter('Students (Vertical)'!O:O,'Students (Vertic"&amp;"al)'!C:C=E740,'Students (Vertical)'!O:O&lt;&gt;"""",'Students (Vertical)'!P:P&gt;1))},countifs({unique(filter('Students (Vertical)'!O:O,'Students (Vertical)'!C:C=B740,'Students (Vertical)'!O:O&lt;&gt;"""",'Students (Vertical)'!P:P&gt;1));unique(filter('Students (Vertical)'"&amp;"!O:O,'Students (Vertical)'!C:C=E740,'Students (Vertical)'!O:O&lt;&gt;"""",'Students (Vertical)'!P:P&gt;1))},{unique(filter('Students (Vertical)'!O:O,'Students (Vertical)'!C:C=B740,'Students (Vertical)'!O:O&lt;&gt;"""",'Students (Vertical)'!P:P&gt;1));unique(filter('Student"&amp;"s (Vertical)'!O:O,'Students (Vertical)'!C:C=E740,'Students (Vertical)'!O:O&lt;&gt;"""",'Students (Vertical)'!P:P&gt;1))})&gt;1))),""""),"""")"),"")</f>
        <v/>
      </c>
      <c r="K740" s="96" t="str">
        <f>IFERROR(__xludf.DUMMYFUNCTION("iferror(join("", "",unique(filter({filter('Students (Vertical)'!D:D,'Students (Vertical)'!C:C=B740,'Students (Vertical)'!D:D&lt;&gt;"""");filter('Students (Vertical)'!D:D,'Students (Vertical)'!C:C=E740,'Students (Vertical)'!D:D&lt;&gt;"""")},countifs({filter('Student"&amp;"s (Vertical)'!D:D,'Students (Vertical)'!C:C=B740,'Students (Vertical)'!D:D&lt;&gt;"""");filter('Students (Vertical)'!D:D,'Students (Vertical)'!C:C=E740,'Students (Vertical)'!D:D&lt;&gt;"""")},{filter('Students (Vertical)'!D:D,'Students (Vertical)'!C:C=B740,'Students "&amp;"(Vertical)'!D:D&lt;&gt;"""");filter('Students (Vertical)'!D:D,'Students (Vertical)'!C:C=E740,'Students (Vertical)'!D:D&lt;&gt;"""")})&gt;1))),"""")"),"")</f>
        <v/>
      </c>
      <c r="L740" s="96"/>
      <c r="M740" s="96"/>
    </row>
    <row r="741" hidden="1">
      <c r="A741" s="8" t="s">
        <v>8</v>
      </c>
      <c r="C741" s="8" t="s">
        <v>8</v>
      </c>
      <c r="D741" s="8" t="s">
        <v>8</v>
      </c>
      <c r="F741" s="8" t="s">
        <v>8</v>
      </c>
      <c r="G741" s="8" t="s">
        <v>8</v>
      </c>
      <c r="I741" s="94" t="str">
        <f>IFERROR(__xludf.DUMMYFUNCTION("if(H741=""Must be Together"",iferror(join("", "",unique(filter({filter('Students (Vertical)'!O:O,'Students (Vertical)'!C:C=B741,'Students (Vertical)'!O:O&lt;&gt;"""");filter('Students (Vertical)'!O:O,'Students (Vertical)'!C:C=E741,'Students (Vertical)'!O:O&lt;&gt;"""&amp;""")},countifs({filter('Students (Vertical)'!O:O,'Students (Vertical)'!C:C=B741,'Students (Vertical)'!O:O&lt;&gt;"""");filter('Students (Vertical)'!O:O,'Students (Vertical)'!C:C=E741,'Students (Vertical)'!O:O&lt;&gt;"""")},{filter('Students (Vertical)'!O:O,'Students ("&amp;"Vertical)'!C:C=B741,'Students (Vertical)'!O:O&lt;&gt;"""");filter('Students (Vertical)'!O:O,'Students (Vertical)'!C:C=E741,'Students (Vertical)'!O:O&lt;&gt;"""")})&gt;1))),""No shared courses""),"""")"),"")</f>
        <v/>
      </c>
      <c r="J741" s="94" t="str">
        <f>IFERROR(__xludf.DUMMYFUNCTION("if(H741=""Can't be Together"",iferror(join("", "",unique(filter({unique(filter('Students (Vertical)'!O:O,'Students (Vertical)'!C:C=B741,'Students (Vertical)'!O:O&lt;&gt;"""",'Students (Vertical)'!P:P&gt;1));unique(filter('Students (Vertical)'!O:O,'Students (Vertic"&amp;"al)'!C:C=E741,'Students (Vertical)'!O:O&lt;&gt;"""",'Students (Vertical)'!P:P&gt;1))},countifs({unique(filter('Students (Vertical)'!O:O,'Students (Vertical)'!C:C=B741,'Students (Vertical)'!O:O&lt;&gt;"""",'Students (Vertical)'!P:P&gt;1));unique(filter('Students (Vertical)'"&amp;"!O:O,'Students (Vertical)'!C:C=E741,'Students (Vertical)'!O:O&lt;&gt;"""",'Students (Vertical)'!P:P&gt;1))},{unique(filter('Students (Vertical)'!O:O,'Students (Vertical)'!C:C=B741,'Students (Vertical)'!O:O&lt;&gt;"""",'Students (Vertical)'!P:P&gt;1));unique(filter('Student"&amp;"s (Vertical)'!O:O,'Students (Vertical)'!C:C=E741,'Students (Vertical)'!O:O&lt;&gt;"""",'Students (Vertical)'!P:P&gt;1))})&gt;1))),""""),"""")"),"")</f>
        <v/>
      </c>
      <c r="K741" s="96" t="str">
        <f>IFERROR(__xludf.DUMMYFUNCTION("iferror(join("", "",unique(filter({filter('Students (Vertical)'!D:D,'Students (Vertical)'!C:C=B741,'Students (Vertical)'!D:D&lt;&gt;"""");filter('Students (Vertical)'!D:D,'Students (Vertical)'!C:C=E741,'Students (Vertical)'!D:D&lt;&gt;"""")},countifs({filter('Student"&amp;"s (Vertical)'!D:D,'Students (Vertical)'!C:C=B741,'Students (Vertical)'!D:D&lt;&gt;"""");filter('Students (Vertical)'!D:D,'Students (Vertical)'!C:C=E741,'Students (Vertical)'!D:D&lt;&gt;"""")},{filter('Students (Vertical)'!D:D,'Students (Vertical)'!C:C=B741,'Students "&amp;"(Vertical)'!D:D&lt;&gt;"""");filter('Students (Vertical)'!D:D,'Students (Vertical)'!C:C=E741,'Students (Vertical)'!D:D&lt;&gt;"""")})&gt;1))),"""")"),"")</f>
        <v/>
      </c>
      <c r="L741" s="96"/>
      <c r="M741" s="96"/>
    </row>
    <row r="742" hidden="1">
      <c r="A742" s="8" t="s">
        <v>8</v>
      </c>
      <c r="C742" s="8" t="s">
        <v>8</v>
      </c>
      <c r="D742" s="8" t="s">
        <v>8</v>
      </c>
      <c r="F742" s="8" t="s">
        <v>8</v>
      </c>
      <c r="G742" s="8" t="s">
        <v>8</v>
      </c>
      <c r="I742" s="94" t="str">
        <f>IFERROR(__xludf.DUMMYFUNCTION("if(H742=""Must be Together"",iferror(join("", "",unique(filter({filter('Students (Vertical)'!O:O,'Students (Vertical)'!C:C=B742,'Students (Vertical)'!O:O&lt;&gt;"""");filter('Students (Vertical)'!O:O,'Students (Vertical)'!C:C=E742,'Students (Vertical)'!O:O&lt;&gt;"""&amp;""")},countifs({filter('Students (Vertical)'!O:O,'Students (Vertical)'!C:C=B742,'Students (Vertical)'!O:O&lt;&gt;"""");filter('Students (Vertical)'!O:O,'Students (Vertical)'!C:C=E742,'Students (Vertical)'!O:O&lt;&gt;"""")},{filter('Students (Vertical)'!O:O,'Students ("&amp;"Vertical)'!C:C=B742,'Students (Vertical)'!O:O&lt;&gt;"""");filter('Students (Vertical)'!O:O,'Students (Vertical)'!C:C=E742,'Students (Vertical)'!O:O&lt;&gt;"""")})&gt;1))),""No shared courses""),"""")"),"")</f>
        <v/>
      </c>
      <c r="J742" s="94" t="str">
        <f>IFERROR(__xludf.DUMMYFUNCTION("if(H742=""Can't be Together"",iferror(join("", "",unique(filter({unique(filter('Students (Vertical)'!O:O,'Students (Vertical)'!C:C=B742,'Students (Vertical)'!O:O&lt;&gt;"""",'Students (Vertical)'!P:P&gt;1));unique(filter('Students (Vertical)'!O:O,'Students (Vertic"&amp;"al)'!C:C=E742,'Students (Vertical)'!O:O&lt;&gt;"""",'Students (Vertical)'!P:P&gt;1))},countifs({unique(filter('Students (Vertical)'!O:O,'Students (Vertical)'!C:C=B742,'Students (Vertical)'!O:O&lt;&gt;"""",'Students (Vertical)'!P:P&gt;1));unique(filter('Students (Vertical)'"&amp;"!O:O,'Students (Vertical)'!C:C=E742,'Students (Vertical)'!O:O&lt;&gt;"""",'Students (Vertical)'!P:P&gt;1))},{unique(filter('Students (Vertical)'!O:O,'Students (Vertical)'!C:C=B742,'Students (Vertical)'!O:O&lt;&gt;"""",'Students (Vertical)'!P:P&gt;1));unique(filter('Student"&amp;"s (Vertical)'!O:O,'Students (Vertical)'!C:C=E742,'Students (Vertical)'!O:O&lt;&gt;"""",'Students (Vertical)'!P:P&gt;1))})&gt;1))),""""),"""")"),"")</f>
        <v/>
      </c>
      <c r="K742" s="96" t="str">
        <f>IFERROR(__xludf.DUMMYFUNCTION("iferror(join("", "",unique(filter({filter('Students (Vertical)'!D:D,'Students (Vertical)'!C:C=B742,'Students (Vertical)'!D:D&lt;&gt;"""");filter('Students (Vertical)'!D:D,'Students (Vertical)'!C:C=E742,'Students (Vertical)'!D:D&lt;&gt;"""")},countifs({filter('Student"&amp;"s (Vertical)'!D:D,'Students (Vertical)'!C:C=B742,'Students (Vertical)'!D:D&lt;&gt;"""");filter('Students (Vertical)'!D:D,'Students (Vertical)'!C:C=E742,'Students (Vertical)'!D:D&lt;&gt;"""")},{filter('Students (Vertical)'!D:D,'Students (Vertical)'!C:C=B742,'Students "&amp;"(Vertical)'!D:D&lt;&gt;"""");filter('Students (Vertical)'!D:D,'Students (Vertical)'!C:C=E742,'Students (Vertical)'!D:D&lt;&gt;"""")})&gt;1))),"""")"),"")</f>
        <v/>
      </c>
      <c r="L742" s="96"/>
      <c r="M742" s="96"/>
    </row>
    <row r="743" hidden="1">
      <c r="A743" s="8" t="s">
        <v>8</v>
      </c>
      <c r="C743" s="8" t="s">
        <v>8</v>
      </c>
      <c r="D743" s="8" t="s">
        <v>8</v>
      </c>
      <c r="F743" s="8" t="s">
        <v>8</v>
      </c>
      <c r="G743" s="8" t="s">
        <v>8</v>
      </c>
      <c r="I743" s="94" t="str">
        <f>IFERROR(__xludf.DUMMYFUNCTION("if(H743=""Must be Together"",iferror(join("", "",unique(filter({filter('Students (Vertical)'!O:O,'Students (Vertical)'!C:C=B743,'Students (Vertical)'!O:O&lt;&gt;"""");filter('Students (Vertical)'!O:O,'Students (Vertical)'!C:C=E743,'Students (Vertical)'!O:O&lt;&gt;"""&amp;""")},countifs({filter('Students (Vertical)'!O:O,'Students (Vertical)'!C:C=B743,'Students (Vertical)'!O:O&lt;&gt;"""");filter('Students (Vertical)'!O:O,'Students (Vertical)'!C:C=E743,'Students (Vertical)'!O:O&lt;&gt;"""")},{filter('Students (Vertical)'!O:O,'Students ("&amp;"Vertical)'!C:C=B743,'Students (Vertical)'!O:O&lt;&gt;"""");filter('Students (Vertical)'!O:O,'Students (Vertical)'!C:C=E743,'Students (Vertical)'!O:O&lt;&gt;"""")})&gt;1))),""No shared courses""),"""")"),"")</f>
        <v/>
      </c>
      <c r="J743" s="94" t="str">
        <f>IFERROR(__xludf.DUMMYFUNCTION("if(H743=""Can't be Together"",iferror(join("", "",unique(filter({unique(filter('Students (Vertical)'!O:O,'Students (Vertical)'!C:C=B743,'Students (Vertical)'!O:O&lt;&gt;"""",'Students (Vertical)'!P:P&gt;1));unique(filter('Students (Vertical)'!O:O,'Students (Vertic"&amp;"al)'!C:C=E743,'Students (Vertical)'!O:O&lt;&gt;"""",'Students (Vertical)'!P:P&gt;1))},countifs({unique(filter('Students (Vertical)'!O:O,'Students (Vertical)'!C:C=B743,'Students (Vertical)'!O:O&lt;&gt;"""",'Students (Vertical)'!P:P&gt;1));unique(filter('Students (Vertical)'"&amp;"!O:O,'Students (Vertical)'!C:C=E743,'Students (Vertical)'!O:O&lt;&gt;"""",'Students (Vertical)'!P:P&gt;1))},{unique(filter('Students (Vertical)'!O:O,'Students (Vertical)'!C:C=B743,'Students (Vertical)'!O:O&lt;&gt;"""",'Students (Vertical)'!P:P&gt;1));unique(filter('Student"&amp;"s (Vertical)'!O:O,'Students (Vertical)'!C:C=E743,'Students (Vertical)'!O:O&lt;&gt;"""",'Students (Vertical)'!P:P&gt;1))})&gt;1))),""""),"""")"),"")</f>
        <v/>
      </c>
      <c r="K743" s="96" t="str">
        <f>IFERROR(__xludf.DUMMYFUNCTION("iferror(join("", "",unique(filter({filter('Students (Vertical)'!D:D,'Students (Vertical)'!C:C=B743,'Students (Vertical)'!D:D&lt;&gt;"""");filter('Students (Vertical)'!D:D,'Students (Vertical)'!C:C=E743,'Students (Vertical)'!D:D&lt;&gt;"""")},countifs({filter('Student"&amp;"s (Vertical)'!D:D,'Students (Vertical)'!C:C=B743,'Students (Vertical)'!D:D&lt;&gt;"""");filter('Students (Vertical)'!D:D,'Students (Vertical)'!C:C=E743,'Students (Vertical)'!D:D&lt;&gt;"""")},{filter('Students (Vertical)'!D:D,'Students (Vertical)'!C:C=B743,'Students "&amp;"(Vertical)'!D:D&lt;&gt;"""");filter('Students (Vertical)'!D:D,'Students (Vertical)'!C:C=E743,'Students (Vertical)'!D:D&lt;&gt;"""")})&gt;1))),"""")"),"")</f>
        <v/>
      </c>
      <c r="L743" s="96"/>
      <c r="M743" s="96"/>
    </row>
    <row r="744" hidden="1">
      <c r="A744" s="8" t="s">
        <v>8</v>
      </c>
      <c r="C744" s="8" t="s">
        <v>8</v>
      </c>
      <c r="D744" s="8" t="s">
        <v>8</v>
      </c>
      <c r="F744" s="8" t="s">
        <v>8</v>
      </c>
      <c r="G744" s="8" t="s">
        <v>8</v>
      </c>
      <c r="I744" s="94" t="str">
        <f>IFERROR(__xludf.DUMMYFUNCTION("if(H744=""Must be Together"",iferror(join("", "",unique(filter({filter('Students (Vertical)'!O:O,'Students (Vertical)'!C:C=B744,'Students (Vertical)'!O:O&lt;&gt;"""");filter('Students (Vertical)'!O:O,'Students (Vertical)'!C:C=E744,'Students (Vertical)'!O:O&lt;&gt;"""&amp;""")},countifs({filter('Students (Vertical)'!O:O,'Students (Vertical)'!C:C=B744,'Students (Vertical)'!O:O&lt;&gt;"""");filter('Students (Vertical)'!O:O,'Students (Vertical)'!C:C=E744,'Students (Vertical)'!O:O&lt;&gt;"""")},{filter('Students (Vertical)'!O:O,'Students ("&amp;"Vertical)'!C:C=B744,'Students (Vertical)'!O:O&lt;&gt;"""");filter('Students (Vertical)'!O:O,'Students (Vertical)'!C:C=E744,'Students (Vertical)'!O:O&lt;&gt;"""")})&gt;1))),""No shared courses""),"""")"),"")</f>
        <v/>
      </c>
      <c r="J744" s="94" t="str">
        <f>IFERROR(__xludf.DUMMYFUNCTION("if(H744=""Can't be Together"",iferror(join("", "",unique(filter({unique(filter('Students (Vertical)'!O:O,'Students (Vertical)'!C:C=B744,'Students (Vertical)'!O:O&lt;&gt;"""",'Students (Vertical)'!P:P&gt;1));unique(filter('Students (Vertical)'!O:O,'Students (Vertic"&amp;"al)'!C:C=E744,'Students (Vertical)'!O:O&lt;&gt;"""",'Students (Vertical)'!P:P&gt;1))},countifs({unique(filter('Students (Vertical)'!O:O,'Students (Vertical)'!C:C=B744,'Students (Vertical)'!O:O&lt;&gt;"""",'Students (Vertical)'!P:P&gt;1));unique(filter('Students (Vertical)'"&amp;"!O:O,'Students (Vertical)'!C:C=E744,'Students (Vertical)'!O:O&lt;&gt;"""",'Students (Vertical)'!P:P&gt;1))},{unique(filter('Students (Vertical)'!O:O,'Students (Vertical)'!C:C=B744,'Students (Vertical)'!O:O&lt;&gt;"""",'Students (Vertical)'!P:P&gt;1));unique(filter('Student"&amp;"s (Vertical)'!O:O,'Students (Vertical)'!C:C=E744,'Students (Vertical)'!O:O&lt;&gt;"""",'Students (Vertical)'!P:P&gt;1))})&gt;1))),""""),"""")"),"")</f>
        <v/>
      </c>
      <c r="K744" s="96" t="str">
        <f>IFERROR(__xludf.DUMMYFUNCTION("iferror(join("", "",unique(filter({filter('Students (Vertical)'!D:D,'Students (Vertical)'!C:C=B744,'Students (Vertical)'!D:D&lt;&gt;"""");filter('Students (Vertical)'!D:D,'Students (Vertical)'!C:C=E744,'Students (Vertical)'!D:D&lt;&gt;"""")},countifs({filter('Student"&amp;"s (Vertical)'!D:D,'Students (Vertical)'!C:C=B744,'Students (Vertical)'!D:D&lt;&gt;"""");filter('Students (Vertical)'!D:D,'Students (Vertical)'!C:C=E744,'Students (Vertical)'!D:D&lt;&gt;"""")},{filter('Students (Vertical)'!D:D,'Students (Vertical)'!C:C=B744,'Students "&amp;"(Vertical)'!D:D&lt;&gt;"""");filter('Students (Vertical)'!D:D,'Students (Vertical)'!C:C=E744,'Students (Vertical)'!D:D&lt;&gt;"""")})&gt;1))),"""")"),"")</f>
        <v/>
      </c>
      <c r="L744" s="96"/>
      <c r="M744" s="96"/>
    </row>
    <row r="745" hidden="1">
      <c r="A745" s="8" t="s">
        <v>8</v>
      </c>
      <c r="C745" s="8" t="s">
        <v>8</v>
      </c>
      <c r="D745" s="8" t="s">
        <v>8</v>
      </c>
      <c r="F745" s="8" t="s">
        <v>8</v>
      </c>
      <c r="G745" s="8" t="s">
        <v>8</v>
      </c>
      <c r="I745" s="94" t="str">
        <f>IFERROR(__xludf.DUMMYFUNCTION("if(H745=""Must be Together"",iferror(join("", "",unique(filter({filter('Students (Vertical)'!O:O,'Students (Vertical)'!C:C=B745,'Students (Vertical)'!O:O&lt;&gt;"""");filter('Students (Vertical)'!O:O,'Students (Vertical)'!C:C=E745,'Students (Vertical)'!O:O&lt;&gt;"""&amp;""")},countifs({filter('Students (Vertical)'!O:O,'Students (Vertical)'!C:C=B745,'Students (Vertical)'!O:O&lt;&gt;"""");filter('Students (Vertical)'!O:O,'Students (Vertical)'!C:C=E745,'Students (Vertical)'!O:O&lt;&gt;"""")},{filter('Students (Vertical)'!O:O,'Students ("&amp;"Vertical)'!C:C=B745,'Students (Vertical)'!O:O&lt;&gt;"""");filter('Students (Vertical)'!O:O,'Students (Vertical)'!C:C=E745,'Students (Vertical)'!O:O&lt;&gt;"""")})&gt;1))),""No shared courses""),"""")"),"")</f>
        <v/>
      </c>
      <c r="J745" s="94" t="str">
        <f>IFERROR(__xludf.DUMMYFUNCTION("if(H745=""Can't be Together"",iferror(join("", "",unique(filter({unique(filter('Students (Vertical)'!O:O,'Students (Vertical)'!C:C=B745,'Students (Vertical)'!O:O&lt;&gt;"""",'Students (Vertical)'!P:P&gt;1));unique(filter('Students (Vertical)'!O:O,'Students (Vertic"&amp;"al)'!C:C=E745,'Students (Vertical)'!O:O&lt;&gt;"""",'Students (Vertical)'!P:P&gt;1))},countifs({unique(filter('Students (Vertical)'!O:O,'Students (Vertical)'!C:C=B745,'Students (Vertical)'!O:O&lt;&gt;"""",'Students (Vertical)'!P:P&gt;1));unique(filter('Students (Vertical)'"&amp;"!O:O,'Students (Vertical)'!C:C=E745,'Students (Vertical)'!O:O&lt;&gt;"""",'Students (Vertical)'!P:P&gt;1))},{unique(filter('Students (Vertical)'!O:O,'Students (Vertical)'!C:C=B745,'Students (Vertical)'!O:O&lt;&gt;"""",'Students (Vertical)'!P:P&gt;1));unique(filter('Student"&amp;"s (Vertical)'!O:O,'Students (Vertical)'!C:C=E745,'Students (Vertical)'!O:O&lt;&gt;"""",'Students (Vertical)'!P:P&gt;1))})&gt;1))),""""),"""")"),"")</f>
        <v/>
      </c>
      <c r="K745" s="96" t="str">
        <f>IFERROR(__xludf.DUMMYFUNCTION("iferror(join("", "",unique(filter({filter('Students (Vertical)'!D:D,'Students (Vertical)'!C:C=B745,'Students (Vertical)'!D:D&lt;&gt;"""");filter('Students (Vertical)'!D:D,'Students (Vertical)'!C:C=E745,'Students (Vertical)'!D:D&lt;&gt;"""")},countifs({filter('Student"&amp;"s (Vertical)'!D:D,'Students (Vertical)'!C:C=B745,'Students (Vertical)'!D:D&lt;&gt;"""");filter('Students (Vertical)'!D:D,'Students (Vertical)'!C:C=E745,'Students (Vertical)'!D:D&lt;&gt;"""")},{filter('Students (Vertical)'!D:D,'Students (Vertical)'!C:C=B745,'Students "&amp;"(Vertical)'!D:D&lt;&gt;"""");filter('Students (Vertical)'!D:D,'Students (Vertical)'!C:C=E745,'Students (Vertical)'!D:D&lt;&gt;"""")})&gt;1))),"""")"),"")</f>
        <v/>
      </c>
      <c r="L745" s="96"/>
      <c r="M745" s="96"/>
    </row>
    <row r="746" hidden="1">
      <c r="A746" s="8" t="s">
        <v>8</v>
      </c>
      <c r="C746" s="8" t="s">
        <v>8</v>
      </c>
      <c r="D746" s="8" t="s">
        <v>8</v>
      </c>
      <c r="F746" s="8" t="s">
        <v>8</v>
      </c>
      <c r="G746" s="8" t="s">
        <v>8</v>
      </c>
      <c r="I746" s="94" t="str">
        <f>IFERROR(__xludf.DUMMYFUNCTION("if(H746=""Must be Together"",iferror(join("", "",unique(filter({filter('Students (Vertical)'!O:O,'Students (Vertical)'!C:C=B746,'Students (Vertical)'!O:O&lt;&gt;"""");filter('Students (Vertical)'!O:O,'Students (Vertical)'!C:C=E746,'Students (Vertical)'!O:O&lt;&gt;"""&amp;""")},countifs({filter('Students (Vertical)'!O:O,'Students (Vertical)'!C:C=B746,'Students (Vertical)'!O:O&lt;&gt;"""");filter('Students (Vertical)'!O:O,'Students (Vertical)'!C:C=E746,'Students (Vertical)'!O:O&lt;&gt;"""")},{filter('Students (Vertical)'!O:O,'Students ("&amp;"Vertical)'!C:C=B746,'Students (Vertical)'!O:O&lt;&gt;"""");filter('Students (Vertical)'!O:O,'Students (Vertical)'!C:C=E746,'Students (Vertical)'!O:O&lt;&gt;"""")})&gt;1))),""No shared courses""),"""")"),"")</f>
        <v/>
      </c>
      <c r="J746" s="94" t="str">
        <f>IFERROR(__xludf.DUMMYFUNCTION("if(H746=""Can't be Together"",iferror(join("", "",unique(filter({unique(filter('Students (Vertical)'!O:O,'Students (Vertical)'!C:C=B746,'Students (Vertical)'!O:O&lt;&gt;"""",'Students (Vertical)'!P:P&gt;1));unique(filter('Students (Vertical)'!O:O,'Students (Vertic"&amp;"al)'!C:C=E746,'Students (Vertical)'!O:O&lt;&gt;"""",'Students (Vertical)'!P:P&gt;1))},countifs({unique(filter('Students (Vertical)'!O:O,'Students (Vertical)'!C:C=B746,'Students (Vertical)'!O:O&lt;&gt;"""",'Students (Vertical)'!P:P&gt;1));unique(filter('Students (Vertical)'"&amp;"!O:O,'Students (Vertical)'!C:C=E746,'Students (Vertical)'!O:O&lt;&gt;"""",'Students (Vertical)'!P:P&gt;1))},{unique(filter('Students (Vertical)'!O:O,'Students (Vertical)'!C:C=B746,'Students (Vertical)'!O:O&lt;&gt;"""",'Students (Vertical)'!P:P&gt;1));unique(filter('Student"&amp;"s (Vertical)'!O:O,'Students (Vertical)'!C:C=E746,'Students (Vertical)'!O:O&lt;&gt;"""",'Students (Vertical)'!P:P&gt;1))})&gt;1))),""""),"""")"),"")</f>
        <v/>
      </c>
      <c r="K746" s="96" t="str">
        <f>IFERROR(__xludf.DUMMYFUNCTION("iferror(join("", "",unique(filter({filter('Students (Vertical)'!D:D,'Students (Vertical)'!C:C=B746,'Students (Vertical)'!D:D&lt;&gt;"""");filter('Students (Vertical)'!D:D,'Students (Vertical)'!C:C=E746,'Students (Vertical)'!D:D&lt;&gt;"""")},countifs({filter('Student"&amp;"s (Vertical)'!D:D,'Students (Vertical)'!C:C=B746,'Students (Vertical)'!D:D&lt;&gt;"""");filter('Students (Vertical)'!D:D,'Students (Vertical)'!C:C=E746,'Students (Vertical)'!D:D&lt;&gt;"""")},{filter('Students (Vertical)'!D:D,'Students (Vertical)'!C:C=B746,'Students "&amp;"(Vertical)'!D:D&lt;&gt;"""");filter('Students (Vertical)'!D:D,'Students (Vertical)'!C:C=E746,'Students (Vertical)'!D:D&lt;&gt;"""")})&gt;1))),"""")"),"")</f>
        <v/>
      </c>
      <c r="L746" s="96"/>
      <c r="M746" s="96"/>
    </row>
    <row r="747" hidden="1">
      <c r="A747" s="8" t="s">
        <v>8</v>
      </c>
      <c r="C747" s="8" t="s">
        <v>8</v>
      </c>
      <c r="D747" s="8" t="s">
        <v>8</v>
      </c>
      <c r="F747" s="8" t="s">
        <v>8</v>
      </c>
      <c r="G747" s="8" t="s">
        <v>8</v>
      </c>
      <c r="I747" s="94" t="str">
        <f>IFERROR(__xludf.DUMMYFUNCTION("if(H747=""Must be Together"",iferror(join("", "",unique(filter({filter('Students (Vertical)'!O:O,'Students (Vertical)'!C:C=B747,'Students (Vertical)'!O:O&lt;&gt;"""");filter('Students (Vertical)'!O:O,'Students (Vertical)'!C:C=E747,'Students (Vertical)'!O:O&lt;&gt;"""&amp;""")},countifs({filter('Students (Vertical)'!O:O,'Students (Vertical)'!C:C=B747,'Students (Vertical)'!O:O&lt;&gt;"""");filter('Students (Vertical)'!O:O,'Students (Vertical)'!C:C=E747,'Students (Vertical)'!O:O&lt;&gt;"""")},{filter('Students (Vertical)'!O:O,'Students ("&amp;"Vertical)'!C:C=B747,'Students (Vertical)'!O:O&lt;&gt;"""");filter('Students (Vertical)'!O:O,'Students (Vertical)'!C:C=E747,'Students (Vertical)'!O:O&lt;&gt;"""")})&gt;1))),""No shared courses""),"""")"),"")</f>
        <v/>
      </c>
      <c r="J747" s="94" t="str">
        <f>IFERROR(__xludf.DUMMYFUNCTION("if(H747=""Can't be Together"",iferror(join("", "",unique(filter({unique(filter('Students (Vertical)'!O:O,'Students (Vertical)'!C:C=B747,'Students (Vertical)'!O:O&lt;&gt;"""",'Students (Vertical)'!P:P&gt;1));unique(filter('Students (Vertical)'!O:O,'Students (Vertic"&amp;"al)'!C:C=E747,'Students (Vertical)'!O:O&lt;&gt;"""",'Students (Vertical)'!P:P&gt;1))},countifs({unique(filter('Students (Vertical)'!O:O,'Students (Vertical)'!C:C=B747,'Students (Vertical)'!O:O&lt;&gt;"""",'Students (Vertical)'!P:P&gt;1));unique(filter('Students (Vertical)'"&amp;"!O:O,'Students (Vertical)'!C:C=E747,'Students (Vertical)'!O:O&lt;&gt;"""",'Students (Vertical)'!P:P&gt;1))},{unique(filter('Students (Vertical)'!O:O,'Students (Vertical)'!C:C=B747,'Students (Vertical)'!O:O&lt;&gt;"""",'Students (Vertical)'!P:P&gt;1));unique(filter('Student"&amp;"s (Vertical)'!O:O,'Students (Vertical)'!C:C=E747,'Students (Vertical)'!O:O&lt;&gt;"""",'Students (Vertical)'!P:P&gt;1))})&gt;1))),""""),"""")"),"")</f>
        <v/>
      </c>
      <c r="K747" s="96" t="str">
        <f>IFERROR(__xludf.DUMMYFUNCTION("iferror(join("", "",unique(filter({filter('Students (Vertical)'!D:D,'Students (Vertical)'!C:C=B747,'Students (Vertical)'!D:D&lt;&gt;"""");filter('Students (Vertical)'!D:D,'Students (Vertical)'!C:C=E747,'Students (Vertical)'!D:D&lt;&gt;"""")},countifs({filter('Student"&amp;"s (Vertical)'!D:D,'Students (Vertical)'!C:C=B747,'Students (Vertical)'!D:D&lt;&gt;"""");filter('Students (Vertical)'!D:D,'Students (Vertical)'!C:C=E747,'Students (Vertical)'!D:D&lt;&gt;"""")},{filter('Students (Vertical)'!D:D,'Students (Vertical)'!C:C=B747,'Students "&amp;"(Vertical)'!D:D&lt;&gt;"""");filter('Students (Vertical)'!D:D,'Students (Vertical)'!C:C=E747,'Students (Vertical)'!D:D&lt;&gt;"""")})&gt;1))),"""")"),"")</f>
        <v/>
      </c>
      <c r="L747" s="96"/>
      <c r="M747" s="96"/>
    </row>
    <row r="748" hidden="1">
      <c r="A748" s="8" t="s">
        <v>8</v>
      </c>
      <c r="C748" s="8" t="s">
        <v>8</v>
      </c>
      <c r="D748" s="8" t="s">
        <v>8</v>
      </c>
      <c r="F748" s="8" t="s">
        <v>8</v>
      </c>
      <c r="G748" s="8" t="s">
        <v>8</v>
      </c>
      <c r="I748" s="94" t="str">
        <f>IFERROR(__xludf.DUMMYFUNCTION("if(H748=""Must be Together"",iferror(join("", "",unique(filter({filter('Students (Vertical)'!O:O,'Students (Vertical)'!C:C=B748,'Students (Vertical)'!O:O&lt;&gt;"""");filter('Students (Vertical)'!O:O,'Students (Vertical)'!C:C=E748,'Students (Vertical)'!O:O&lt;&gt;"""&amp;""")},countifs({filter('Students (Vertical)'!O:O,'Students (Vertical)'!C:C=B748,'Students (Vertical)'!O:O&lt;&gt;"""");filter('Students (Vertical)'!O:O,'Students (Vertical)'!C:C=E748,'Students (Vertical)'!O:O&lt;&gt;"""")},{filter('Students (Vertical)'!O:O,'Students ("&amp;"Vertical)'!C:C=B748,'Students (Vertical)'!O:O&lt;&gt;"""");filter('Students (Vertical)'!O:O,'Students (Vertical)'!C:C=E748,'Students (Vertical)'!O:O&lt;&gt;"""")})&gt;1))),""No shared courses""),"""")"),"")</f>
        <v/>
      </c>
      <c r="J748" s="94" t="str">
        <f>IFERROR(__xludf.DUMMYFUNCTION("if(H748=""Can't be Together"",iferror(join("", "",unique(filter({unique(filter('Students (Vertical)'!O:O,'Students (Vertical)'!C:C=B748,'Students (Vertical)'!O:O&lt;&gt;"""",'Students (Vertical)'!P:P&gt;1));unique(filter('Students (Vertical)'!O:O,'Students (Vertic"&amp;"al)'!C:C=E748,'Students (Vertical)'!O:O&lt;&gt;"""",'Students (Vertical)'!P:P&gt;1))},countifs({unique(filter('Students (Vertical)'!O:O,'Students (Vertical)'!C:C=B748,'Students (Vertical)'!O:O&lt;&gt;"""",'Students (Vertical)'!P:P&gt;1));unique(filter('Students (Vertical)'"&amp;"!O:O,'Students (Vertical)'!C:C=E748,'Students (Vertical)'!O:O&lt;&gt;"""",'Students (Vertical)'!P:P&gt;1))},{unique(filter('Students (Vertical)'!O:O,'Students (Vertical)'!C:C=B748,'Students (Vertical)'!O:O&lt;&gt;"""",'Students (Vertical)'!P:P&gt;1));unique(filter('Student"&amp;"s (Vertical)'!O:O,'Students (Vertical)'!C:C=E748,'Students (Vertical)'!O:O&lt;&gt;"""",'Students (Vertical)'!P:P&gt;1))})&gt;1))),""""),"""")"),"")</f>
        <v/>
      </c>
      <c r="K748" s="96" t="str">
        <f>IFERROR(__xludf.DUMMYFUNCTION("iferror(join("", "",unique(filter({filter('Students (Vertical)'!D:D,'Students (Vertical)'!C:C=B748,'Students (Vertical)'!D:D&lt;&gt;"""");filter('Students (Vertical)'!D:D,'Students (Vertical)'!C:C=E748,'Students (Vertical)'!D:D&lt;&gt;"""")},countifs({filter('Student"&amp;"s (Vertical)'!D:D,'Students (Vertical)'!C:C=B748,'Students (Vertical)'!D:D&lt;&gt;"""");filter('Students (Vertical)'!D:D,'Students (Vertical)'!C:C=E748,'Students (Vertical)'!D:D&lt;&gt;"""")},{filter('Students (Vertical)'!D:D,'Students (Vertical)'!C:C=B748,'Students "&amp;"(Vertical)'!D:D&lt;&gt;"""");filter('Students (Vertical)'!D:D,'Students (Vertical)'!C:C=E748,'Students (Vertical)'!D:D&lt;&gt;"""")})&gt;1))),"""")"),"")</f>
        <v/>
      </c>
      <c r="L748" s="96"/>
      <c r="M748" s="96"/>
    </row>
    <row r="749" hidden="1">
      <c r="A749" s="8" t="s">
        <v>8</v>
      </c>
      <c r="C749" s="8" t="s">
        <v>8</v>
      </c>
      <c r="D749" s="8" t="s">
        <v>8</v>
      </c>
      <c r="F749" s="8" t="s">
        <v>8</v>
      </c>
      <c r="G749" s="8" t="s">
        <v>8</v>
      </c>
      <c r="I749" s="94" t="str">
        <f>IFERROR(__xludf.DUMMYFUNCTION("if(H749=""Must be Together"",iferror(join("", "",unique(filter({filter('Students (Vertical)'!O:O,'Students (Vertical)'!C:C=B749,'Students (Vertical)'!O:O&lt;&gt;"""");filter('Students (Vertical)'!O:O,'Students (Vertical)'!C:C=E749,'Students (Vertical)'!O:O&lt;&gt;"""&amp;""")},countifs({filter('Students (Vertical)'!O:O,'Students (Vertical)'!C:C=B749,'Students (Vertical)'!O:O&lt;&gt;"""");filter('Students (Vertical)'!O:O,'Students (Vertical)'!C:C=E749,'Students (Vertical)'!O:O&lt;&gt;"""")},{filter('Students (Vertical)'!O:O,'Students ("&amp;"Vertical)'!C:C=B749,'Students (Vertical)'!O:O&lt;&gt;"""");filter('Students (Vertical)'!O:O,'Students (Vertical)'!C:C=E749,'Students (Vertical)'!O:O&lt;&gt;"""")})&gt;1))),""No shared courses""),"""")"),"")</f>
        <v/>
      </c>
      <c r="J749" s="94" t="str">
        <f>IFERROR(__xludf.DUMMYFUNCTION("if(H749=""Can't be Together"",iferror(join("", "",unique(filter({unique(filter('Students (Vertical)'!O:O,'Students (Vertical)'!C:C=B749,'Students (Vertical)'!O:O&lt;&gt;"""",'Students (Vertical)'!P:P&gt;1));unique(filter('Students (Vertical)'!O:O,'Students (Vertic"&amp;"al)'!C:C=E749,'Students (Vertical)'!O:O&lt;&gt;"""",'Students (Vertical)'!P:P&gt;1))},countifs({unique(filter('Students (Vertical)'!O:O,'Students (Vertical)'!C:C=B749,'Students (Vertical)'!O:O&lt;&gt;"""",'Students (Vertical)'!P:P&gt;1));unique(filter('Students (Vertical)'"&amp;"!O:O,'Students (Vertical)'!C:C=E749,'Students (Vertical)'!O:O&lt;&gt;"""",'Students (Vertical)'!P:P&gt;1))},{unique(filter('Students (Vertical)'!O:O,'Students (Vertical)'!C:C=B749,'Students (Vertical)'!O:O&lt;&gt;"""",'Students (Vertical)'!P:P&gt;1));unique(filter('Student"&amp;"s (Vertical)'!O:O,'Students (Vertical)'!C:C=E749,'Students (Vertical)'!O:O&lt;&gt;"""",'Students (Vertical)'!P:P&gt;1))})&gt;1))),""""),"""")"),"")</f>
        <v/>
      </c>
      <c r="K749" s="96" t="str">
        <f>IFERROR(__xludf.DUMMYFUNCTION("iferror(join("", "",unique(filter({filter('Students (Vertical)'!D:D,'Students (Vertical)'!C:C=B749,'Students (Vertical)'!D:D&lt;&gt;"""");filter('Students (Vertical)'!D:D,'Students (Vertical)'!C:C=E749,'Students (Vertical)'!D:D&lt;&gt;"""")},countifs({filter('Student"&amp;"s (Vertical)'!D:D,'Students (Vertical)'!C:C=B749,'Students (Vertical)'!D:D&lt;&gt;"""");filter('Students (Vertical)'!D:D,'Students (Vertical)'!C:C=E749,'Students (Vertical)'!D:D&lt;&gt;"""")},{filter('Students (Vertical)'!D:D,'Students (Vertical)'!C:C=B749,'Students "&amp;"(Vertical)'!D:D&lt;&gt;"""");filter('Students (Vertical)'!D:D,'Students (Vertical)'!C:C=E749,'Students (Vertical)'!D:D&lt;&gt;"""")})&gt;1))),"""")"),"")</f>
        <v/>
      </c>
      <c r="L749" s="96"/>
      <c r="M749" s="96"/>
    </row>
    <row r="750" hidden="1">
      <c r="A750" s="8" t="s">
        <v>8</v>
      </c>
      <c r="C750" s="8" t="s">
        <v>8</v>
      </c>
      <c r="D750" s="8" t="s">
        <v>8</v>
      </c>
      <c r="F750" s="8" t="s">
        <v>8</v>
      </c>
      <c r="G750" s="8" t="s">
        <v>8</v>
      </c>
      <c r="I750" s="94" t="str">
        <f>IFERROR(__xludf.DUMMYFUNCTION("if(H750=""Must be Together"",iferror(join("", "",unique(filter({filter('Students (Vertical)'!O:O,'Students (Vertical)'!C:C=B750,'Students (Vertical)'!O:O&lt;&gt;"""");filter('Students (Vertical)'!O:O,'Students (Vertical)'!C:C=E750,'Students (Vertical)'!O:O&lt;&gt;"""&amp;""")},countifs({filter('Students (Vertical)'!O:O,'Students (Vertical)'!C:C=B750,'Students (Vertical)'!O:O&lt;&gt;"""");filter('Students (Vertical)'!O:O,'Students (Vertical)'!C:C=E750,'Students (Vertical)'!O:O&lt;&gt;"""")},{filter('Students (Vertical)'!O:O,'Students ("&amp;"Vertical)'!C:C=B750,'Students (Vertical)'!O:O&lt;&gt;"""");filter('Students (Vertical)'!O:O,'Students (Vertical)'!C:C=E750,'Students (Vertical)'!O:O&lt;&gt;"""")})&gt;1))),""No shared courses""),"""")"),"")</f>
        <v/>
      </c>
      <c r="J750" s="94" t="str">
        <f>IFERROR(__xludf.DUMMYFUNCTION("if(H750=""Can't be Together"",iferror(join("", "",unique(filter({unique(filter('Students (Vertical)'!O:O,'Students (Vertical)'!C:C=B750,'Students (Vertical)'!O:O&lt;&gt;"""",'Students (Vertical)'!P:P&gt;1));unique(filter('Students (Vertical)'!O:O,'Students (Vertic"&amp;"al)'!C:C=E750,'Students (Vertical)'!O:O&lt;&gt;"""",'Students (Vertical)'!P:P&gt;1))},countifs({unique(filter('Students (Vertical)'!O:O,'Students (Vertical)'!C:C=B750,'Students (Vertical)'!O:O&lt;&gt;"""",'Students (Vertical)'!P:P&gt;1));unique(filter('Students (Vertical)'"&amp;"!O:O,'Students (Vertical)'!C:C=E750,'Students (Vertical)'!O:O&lt;&gt;"""",'Students (Vertical)'!P:P&gt;1))},{unique(filter('Students (Vertical)'!O:O,'Students (Vertical)'!C:C=B750,'Students (Vertical)'!O:O&lt;&gt;"""",'Students (Vertical)'!P:P&gt;1));unique(filter('Student"&amp;"s (Vertical)'!O:O,'Students (Vertical)'!C:C=E750,'Students (Vertical)'!O:O&lt;&gt;"""",'Students (Vertical)'!P:P&gt;1))})&gt;1))),""""),"""")"),"")</f>
        <v/>
      </c>
      <c r="K750" s="96" t="str">
        <f>IFERROR(__xludf.DUMMYFUNCTION("iferror(join("", "",unique(filter({filter('Students (Vertical)'!D:D,'Students (Vertical)'!C:C=B750,'Students (Vertical)'!D:D&lt;&gt;"""");filter('Students (Vertical)'!D:D,'Students (Vertical)'!C:C=E750,'Students (Vertical)'!D:D&lt;&gt;"""")},countifs({filter('Student"&amp;"s (Vertical)'!D:D,'Students (Vertical)'!C:C=B750,'Students (Vertical)'!D:D&lt;&gt;"""");filter('Students (Vertical)'!D:D,'Students (Vertical)'!C:C=E750,'Students (Vertical)'!D:D&lt;&gt;"""")},{filter('Students (Vertical)'!D:D,'Students (Vertical)'!C:C=B750,'Students "&amp;"(Vertical)'!D:D&lt;&gt;"""");filter('Students (Vertical)'!D:D,'Students (Vertical)'!C:C=E750,'Students (Vertical)'!D:D&lt;&gt;"""")})&gt;1))),"""")"),"")</f>
        <v/>
      </c>
      <c r="L750" s="96"/>
      <c r="M750" s="96"/>
    </row>
    <row r="751" hidden="1">
      <c r="A751" s="8" t="s">
        <v>8</v>
      </c>
      <c r="C751" s="8" t="s">
        <v>8</v>
      </c>
      <c r="D751" s="8" t="s">
        <v>8</v>
      </c>
      <c r="F751" s="8" t="s">
        <v>8</v>
      </c>
      <c r="G751" s="8" t="s">
        <v>8</v>
      </c>
      <c r="I751" s="94" t="str">
        <f>IFERROR(__xludf.DUMMYFUNCTION("if(H751=""Must be Together"",iferror(join("", "",unique(filter({filter('Students (Vertical)'!O:O,'Students (Vertical)'!C:C=B751,'Students (Vertical)'!O:O&lt;&gt;"""");filter('Students (Vertical)'!O:O,'Students (Vertical)'!C:C=E751,'Students (Vertical)'!O:O&lt;&gt;"""&amp;""")},countifs({filter('Students (Vertical)'!O:O,'Students (Vertical)'!C:C=B751,'Students (Vertical)'!O:O&lt;&gt;"""");filter('Students (Vertical)'!O:O,'Students (Vertical)'!C:C=E751,'Students (Vertical)'!O:O&lt;&gt;"""")},{filter('Students (Vertical)'!O:O,'Students ("&amp;"Vertical)'!C:C=B751,'Students (Vertical)'!O:O&lt;&gt;"""");filter('Students (Vertical)'!O:O,'Students (Vertical)'!C:C=E751,'Students (Vertical)'!O:O&lt;&gt;"""")})&gt;1))),""No shared courses""),"""")"),"")</f>
        <v/>
      </c>
      <c r="J751" s="94" t="str">
        <f>IFERROR(__xludf.DUMMYFUNCTION("if(H751=""Can't be Together"",iferror(join("", "",unique(filter({unique(filter('Students (Vertical)'!O:O,'Students (Vertical)'!C:C=B751,'Students (Vertical)'!O:O&lt;&gt;"""",'Students (Vertical)'!P:P&gt;1));unique(filter('Students (Vertical)'!O:O,'Students (Vertic"&amp;"al)'!C:C=E751,'Students (Vertical)'!O:O&lt;&gt;"""",'Students (Vertical)'!P:P&gt;1))},countifs({unique(filter('Students (Vertical)'!O:O,'Students (Vertical)'!C:C=B751,'Students (Vertical)'!O:O&lt;&gt;"""",'Students (Vertical)'!P:P&gt;1));unique(filter('Students (Vertical)'"&amp;"!O:O,'Students (Vertical)'!C:C=E751,'Students (Vertical)'!O:O&lt;&gt;"""",'Students (Vertical)'!P:P&gt;1))},{unique(filter('Students (Vertical)'!O:O,'Students (Vertical)'!C:C=B751,'Students (Vertical)'!O:O&lt;&gt;"""",'Students (Vertical)'!P:P&gt;1));unique(filter('Student"&amp;"s (Vertical)'!O:O,'Students (Vertical)'!C:C=E751,'Students (Vertical)'!O:O&lt;&gt;"""",'Students (Vertical)'!P:P&gt;1))})&gt;1))),""""),"""")"),"")</f>
        <v/>
      </c>
      <c r="K751" s="96" t="str">
        <f>IFERROR(__xludf.DUMMYFUNCTION("iferror(join("", "",unique(filter({filter('Students (Vertical)'!D:D,'Students (Vertical)'!C:C=B751,'Students (Vertical)'!D:D&lt;&gt;"""");filter('Students (Vertical)'!D:D,'Students (Vertical)'!C:C=E751,'Students (Vertical)'!D:D&lt;&gt;"""")},countifs({filter('Student"&amp;"s (Vertical)'!D:D,'Students (Vertical)'!C:C=B751,'Students (Vertical)'!D:D&lt;&gt;"""");filter('Students (Vertical)'!D:D,'Students (Vertical)'!C:C=E751,'Students (Vertical)'!D:D&lt;&gt;"""")},{filter('Students (Vertical)'!D:D,'Students (Vertical)'!C:C=B751,'Students "&amp;"(Vertical)'!D:D&lt;&gt;"""");filter('Students (Vertical)'!D:D,'Students (Vertical)'!C:C=E751,'Students (Vertical)'!D:D&lt;&gt;"""")})&gt;1))),"""")"),"")</f>
        <v/>
      </c>
      <c r="L751" s="96"/>
      <c r="M751" s="96"/>
    </row>
    <row r="752" hidden="1">
      <c r="A752" s="8" t="s">
        <v>8</v>
      </c>
      <c r="C752" s="8" t="s">
        <v>8</v>
      </c>
      <c r="D752" s="8" t="s">
        <v>8</v>
      </c>
      <c r="F752" s="8" t="s">
        <v>8</v>
      </c>
      <c r="G752" s="8" t="s">
        <v>8</v>
      </c>
      <c r="I752" s="94" t="str">
        <f>IFERROR(__xludf.DUMMYFUNCTION("if(H752=""Must be Together"",iferror(join("", "",unique(filter({filter('Students (Vertical)'!O:O,'Students (Vertical)'!C:C=B752,'Students (Vertical)'!O:O&lt;&gt;"""");filter('Students (Vertical)'!O:O,'Students (Vertical)'!C:C=E752,'Students (Vertical)'!O:O&lt;&gt;"""&amp;""")},countifs({filter('Students (Vertical)'!O:O,'Students (Vertical)'!C:C=B752,'Students (Vertical)'!O:O&lt;&gt;"""");filter('Students (Vertical)'!O:O,'Students (Vertical)'!C:C=E752,'Students (Vertical)'!O:O&lt;&gt;"""")},{filter('Students (Vertical)'!O:O,'Students ("&amp;"Vertical)'!C:C=B752,'Students (Vertical)'!O:O&lt;&gt;"""");filter('Students (Vertical)'!O:O,'Students (Vertical)'!C:C=E752,'Students (Vertical)'!O:O&lt;&gt;"""")})&gt;1))),""No shared courses""),"""")"),"")</f>
        <v/>
      </c>
      <c r="J752" s="94" t="str">
        <f>IFERROR(__xludf.DUMMYFUNCTION("if(H752=""Can't be Together"",iferror(join("", "",unique(filter({unique(filter('Students (Vertical)'!O:O,'Students (Vertical)'!C:C=B752,'Students (Vertical)'!O:O&lt;&gt;"""",'Students (Vertical)'!P:P&gt;1));unique(filter('Students (Vertical)'!O:O,'Students (Vertic"&amp;"al)'!C:C=E752,'Students (Vertical)'!O:O&lt;&gt;"""",'Students (Vertical)'!P:P&gt;1))},countifs({unique(filter('Students (Vertical)'!O:O,'Students (Vertical)'!C:C=B752,'Students (Vertical)'!O:O&lt;&gt;"""",'Students (Vertical)'!P:P&gt;1));unique(filter('Students (Vertical)'"&amp;"!O:O,'Students (Vertical)'!C:C=E752,'Students (Vertical)'!O:O&lt;&gt;"""",'Students (Vertical)'!P:P&gt;1))},{unique(filter('Students (Vertical)'!O:O,'Students (Vertical)'!C:C=B752,'Students (Vertical)'!O:O&lt;&gt;"""",'Students (Vertical)'!P:P&gt;1));unique(filter('Student"&amp;"s (Vertical)'!O:O,'Students (Vertical)'!C:C=E752,'Students (Vertical)'!O:O&lt;&gt;"""",'Students (Vertical)'!P:P&gt;1))})&gt;1))),""""),"""")"),"")</f>
        <v/>
      </c>
      <c r="K752" s="96" t="str">
        <f>IFERROR(__xludf.DUMMYFUNCTION("iferror(join("", "",unique(filter({filter('Students (Vertical)'!D:D,'Students (Vertical)'!C:C=B752,'Students (Vertical)'!D:D&lt;&gt;"""");filter('Students (Vertical)'!D:D,'Students (Vertical)'!C:C=E752,'Students (Vertical)'!D:D&lt;&gt;"""")},countifs({filter('Student"&amp;"s (Vertical)'!D:D,'Students (Vertical)'!C:C=B752,'Students (Vertical)'!D:D&lt;&gt;"""");filter('Students (Vertical)'!D:D,'Students (Vertical)'!C:C=E752,'Students (Vertical)'!D:D&lt;&gt;"""")},{filter('Students (Vertical)'!D:D,'Students (Vertical)'!C:C=B752,'Students "&amp;"(Vertical)'!D:D&lt;&gt;"""");filter('Students (Vertical)'!D:D,'Students (Vertical)'!C:C=E752,'Students (Vertical)'!D:D&lt;&gt;"""")})&gt;1))),"""")"),"")</f>
        <v/>
      </c>
      <c r="L752" s="96"/>
      <c r="M752" s="96"/>
    </row>
    <row r="753" hidden="1">
      <c r="A753" s="8" t="s">
        <v>8</v>
      </c>
      <c r="C753" s="8" t="s">
        <v>8</v>
      </c>
      <c r="D753" s="8" t="s">
        <v>8</v>
      </c>
      <c r="F753" s="8" t="s">
        <v>8</v>
      </c>
      <c r="G753" s="8" t="s">
        <v>8</v>
      </c>
      <c r="I753" s="94" t="str">
        <f>IFERROR(__xludf.DUMMYFUNCTION("if(H753=""Must be Together"",iferror(join("", "",unique(filter({filter('Students (Vertical)'!O:O,'Students (Vertical)'!C:C=B753,'Students (Vertical)'!O:O&lt;&gt;"""");filter('Students (Vertical)'!O:O,'Students (Vertical)'!C:C=E753,'Students (Vertical)'!O:O&lt;&gt;"""&amp;""")},countifs({filter('Students (Vertical)'!O:O,'Students (Vertical)'!C:C=B753,'Students (Vertical)'!O:O&lt;&gt;"""");filter('Students (Vertical)'!O:O,'Students (Vertical)'!C:C=E753,'Students (Vertical)'!O:O&lt;&gt;"""")},{filter('Students (Vertical)'!O:O,'Students ("&amp;"Vertical)'!C:C=B753,'Students (Vertical)'!O:O&lt;&gt;"""");filter('Students (Vertical)'!O:O,'Students (Vertical)'!C:C=E753,'Students (Vertical)'!O:O&lt;&gt;"""")})&gt;1))),""No shared courses""),"""")"),"")</f>
        <v/>
      </c>
      <c r="J753" s="94" t="str">
        <f>IFERROR(__xludf.DUMMYFUNCTION("if(H753=""Can't be Together"",iferror(join("", "",unique(filter({unique(filter('Students (Vertical)'!O:O,'Students (Vertical)'!C:C=B753,'Students (Vertical)'!O:O&lt;&gt;"""",'Students (Vertical)'!P:P&gt;1));unique(filter('Students (Vertical)'!O:O,'Students (Vertic"&amp;"al)'!C:C=E753,'Students (Vertical)'!O:O&lt;&gt;"""",'Students (Vertical)'!P:P&gt;1))},countifs({unique(filter('Students (Vertical)'!O:O,'Students (Vertical)'!C:C=B753,'Students (Vertical)'!O:O&lt;&gt;"""",'Students (Vertical)'!P:P&gt;1));unique(filter('Students (Vertical)'"&amp;"!O:O,'Students (Vertical)'!C:C=E753,'Students (Vertical)'!O:O&lt;&gt;"""",'Students (Vertical)'!P:P&gt;1))},{unique(filter('Students (Vertical)'!O:O,'Students (Vertical)'!C:C=B753,'Students (Vertical)'!O:O&lt;&gt;"""",'Students (Vertical)'!P:P&gt;1));unique(filter('Student"&amp;"s (Vertical)'!O:O,'Students (Vertical)'!C:C=E753,'Students (Vertical)'!O:O&lt;&gt;"""",'Students (Vertical)'!P:P&gt;1))})&gt;1))),""""),"""")"),"")</f>
        <v/>
      </c>
      <c r="K753" s="96" t="str">
        <f>IFERROR(__xludf.DUMMYFUNCTION("iferror(join("", "",unique(filter({filter('Students (Vertical)'!D:D,'Students (Vertical)'!C:C=B753,'Students (Vertical)'!D:D&lt;&gt;"""");filter('Students (Vertical)'!D:D,'Students (Vertical)'!C:C=E753,'Students (Vertical)'!D:D&lt;&gt;"""")},countifs({filter('Student"&amp;"s (Vertical)'!D:D,'Students (Vertical)'!C:C=B753,'Students (Vertical)'!D:D&lt;&gt;"""");filter('Students (Vertical)'!D:D,'Students (Vertical)'!C:C=E753,'Students (Vertical)'!D:D&lt;&gt;"""")},{filter('Students (Vertical)'!D:D,'Students (Vertical)'!C:C=B753,'Students "&amp;"(Vertical)'!D:D&lt;&gt;"""");filter('Students (Vertical)'!D:D,'Students (Vertical)'!C:C=E753,'Students (Vertical)'!D:D&lt;&gt;"""")})&gt;1))),"""")"),"")</f>
        <v/>
      </c>
      <c r="L753" s="96"/>
      <c r="M753" s="96"/>
    </row>
    <row r="754" hidden="1">
      <c r="A754" s="8" t="s">
        <v>8</v>
      </c>
      <c r="C754" s="8" t="s">
        <v>8</v>
      </c>
      <c r="D754" s="8" t="s">
        <v>8</v>
      </c>
      <c r="F754" s="8" t="s">
        <v>8</v>
      </c>
      <c r="G754" s="8" t="s">
        <v>8</v>
      </c>
      <c r="I754" s="94" t="str">
        <f>IFERROR(__xludf.DUMMYFUNCTION("if(H754=""Must be Together"",iferror(join("", "",unique(filter({filter('Students (Vertical)'!O:O,'Students (Vertical)'!C:C=B754,'Students (Vertical)'!O:O&lt;&gt;"""");filter('Students (Vertical)'!O:O,'Students (Vertical)'!C:C=E754,'Students (Vertical)'!O:O&lt;&gt;"""&amp;""")},countifs({filter('Students (Vertical)'!O:O,'Students (Vertical)'!C:C=B754,'Students (Vertical)'!O:O&lt;&gt;"""");filter('Students (Vertical)'!O:O,'Students (Vertical)'!C:C=E754,'Students (Vertical)'!O:O&lt;&gt;"""")},{filter('Students (Vertical)'!O:O,'Students ("&amp;"Vertical)'!C:C=B754,'Students (Vertical)'!O:O&lt;&gt;"""");filter('Students (Vertical)'!O:O,'Students (Vertical)'!C:C=E754,'Students (Vertical)'!O:O&lt;&gt;"""")})&gt;1))),""No shared courses""),"""")"),"")</f>
        <v/>
      </c>
      <c r="J754" s="94" t="str">
        <f>IFERROR(__xludf.DUMMYFUNCTION("if(H754=""Can't be Together"",iferror(join("", "",unique(filter({unique(filter('Students (Vertical)'!O:O,'Students (Vertical)'!C:C=B754,'Students (Vertical)'!O:O&lt;&gt;"""",'Students (Vertical)'!P:P&gt;1));unique(filter('Students (Vertical)'!O:O,'Students (Vertic"&amp;"al)'!C:C=E754,'Students (Vertical)'!O:O&lt;&gt;"""",'Students (Vertical)'!P:P&gt;1))},countifs({unique(filter('Students (Vertical)'!O:O,'Students (Vertical)'!C:C=B754,'Students (Vertical)'!O:O&lt;&gt;"""",'Students (Vertical)'!P:P&gt;1));unique(filter('Students (Vertical)'"&amp;"!O:O,'Students (Vertical)'!C:C=E754,'Students (Vertical)'!O:O&lt;&gt;"""",'Students (Vertical)'!P:P&gt;1))},{unique(filter('Students (Vertical)'!O:O,'Students (Vertical)'!C:C=B754,'Students (Vertical)'!O:O&lt;&gt;"""",'Students (Vertical)'!P:P&gt;1));unique(filter('Student"&amp;"s (Vertical)'!O:O,'Students (Vertical)'!C:C=E754,'Students (Vertical)'!O:O&lt;&gt;"""",'Students (Vertical)'!P:P&gt;1))})&gt;1))),""""),"""")"),"")</f>
        <v/>
      </c>
      <c r="K754" s="96" t="str">
        <f>IFERROR(__xludf.DUMMYFUNCTION("iferror(join("", "",unique(filter({filter('Students (Vertical)'!D:D,'Students (Vertical)'!C:C=B754,'Students (Vertical)'!D:D&lt;&gt;"""");filter('Students (Vertical)'!D:D,'Students (Vertical)'!C:C=E754,'Students (Vertical)'!D:D&lt;&gt;"""")},countifs({filter('Student"&amp;"s (Vertical)'!D:D,'Students (Vertical)'!C:C=B754,'Students (Vertical)'!D:D&lt;&gt;"""");filter('Students (Vertical)'!D:D,'Students (Vertical)'!C:C=E754,'Students (Vertical)'!D:D&lt;&gt;"""")},{filter('Students (Vertical)'!D:D,'Students (Vertical)'!C:C=B754,'Students "&amp;"(Vertical)'!D:D&lt;&gt;"""");filter('Students (Vertical)'!D:D,'Students (Vertical)'!C:C=E754,'Students (Vertical)'!D:D&lt;&gt;"""")})&gt;1))),"""")"),"")</f>
        <v/>
      </c>
      <c r="L754" s="96"/>
      <c r="M754" s="96"/>
    </row>
    <row r="755" hidden="1">
      <c r="A755" s="8" t="s">
        <v>8</v>
      </c>
      <c r="C755" s="8" t="s">
        <v>8</v>
      </c>
      <c r="D755" s="8" t="s">
        <v>8</v>
      </c>
      <c r="F755" s="8" t="s">
        <v>8</v>
      </c>
      <c r="G755" s="8" t="s">
        <v>8</v>
      </c>
      <c r="I755" s="94" t="str">
        <f>IFERROR(__xludf.DUMMYFUNCTION("if(H755=""Must be Together"",iferror(join("", "",unique(filter({filter('Students (Vertical)'!O:O,'Students (Vertical)'!C:C=B755,'Students (Vertical)'!O:O&lt;&gt;"""");filter('Students (Vertical)'!O:O,'Students (Vertical)'!C:C=E755,'Students (Vertical)'!O:O&lt;&gt;"""&amp;""")},countifs({filter('Students (Vertical)'!O:O,'Students (Vertical)'!C:C=B755,'Students (Vertical)'!O:O&lt;&gt;"""");filter('Students (Vertical)'!O:O,'Students (Vertical)'!C:C=E755,'Students (Vertical)'!O:O&lt;&gt;"""")},{filter('Students (Vertical)'!O:O,'Students ("&amp;"Vertical)'!C:C=B755,'Students (Vertical)'!O:O&lt;&gt;"""");filter('Students (Vertical)'!O:O,'Students (Vertical)'!C:C=E755,'Students (Vertical)'!O:O&lt;&gt;"""")})&gt;1))),""No shared courses""),"""")"),"")</f>
        <v/>
      </c>
      <c r="J755" s="94" t="str">
        <f>IFERROR(__xludf.DUMMYFUNCTION("if(H755=""Can't be Together"",iferror(join("", "",unique(filter({unique(filter('Students (Vertical)'!O:O,'Students (Vertical)'!C:C=B755,'Students (Vertical)'!O:O&lt;&gt;"""",'Students (Vertical)'!P:P&gt;1));unique(filter('Students (Vertical)'!O:O,'Students (Vertic"&amp;"al)'!C:C=E755,'Students (Vertical)'!O:O&lt;&gt;"""",'Students (Vertical)'!P:P&gt;1))},countifs({unique(filter('Students (Vertical)'!O:O,'Students (Vertical)'!C:C=B755,'Students (Vertical)'!O:O&lt;&gt;"""",'Students (Vertical)'!P:P&gt;1));unique(filter('Students (Vertical)'"&amp;"!O:O,'Students (Vertical)'!C:C=E755,'Students (Vertical)'!O:O&lt;&gt;"""",'Students (Vertical)'!P:P&gt;1))},{unique(filter('Students (Vertical)'!O:O,'Students (Vertical)'!C:C=B755,'Students (Vertical)'!O:O&lt;&gt;"""",'Students (Vertical)'!P:P&gt;1));unique(filter('Student"&amp;"s (Vertical)'!O:O,'Students (Vertical)'!C:C=E755,'Students (Vertical)'!O:O&lt;&gt;"""",'Students (Vertical)'!P:P&gt;1))})&gt;1))),""""),"""")"),"")</f>
        <v/>
      </c>
      <c r="K755" s="96" t="str">
        <f>IFERROR(__xludf.DUMMYFUNCTION("iferror(join("", "",unique(filter({filter('Students (Vertical)'!D:D,'Students (Vertical)'!C:C=B755,'Students (Vertical)'!D:D&lt;&gt;"""");filter('Students (Vertical)'!D:D,'Students (Vertical)'!C:C=E755,'Students (Vertical)'!D:D&lt;&gt;"""")},countifs({filter('Student"&amp;"s (Vertical)'!D:D,'Students (Vertical)'!C:C=B755,'Students (Vertical)'!D:D&lt;&gt;"""");filter('Students (Vertical)'!D:D,'Students (Vertical)'!C:C=E755,'Students (Vertical)'!D:D&lt;&gt;"""")},{filter('Students (Vertical)'!D:D,'Students (Vertical)'!C:C=B755,'Students "&amp;"(Vertical)'!D:D&lt;&gt;"""");filter('Students (Vertical)'!D:D,'Students (Vertical)'!C:C=E755,'Students (Vertical)'!D:D&lt;&gt;"""")})&gt;1))),"""")"),"")</f>
        <v/>
      </c>
      <c r="L755" s="96"/>
      <c r="M755" s="96"/>
    </row>
    <row r="756" hidden="1">
      <c r="A756" s="8" t="s">
        <v>8</v>
      </c>
      <c r="C756" s="8" t="s">
        <v>8</v>
      </c>
      <c r="D756" s="8" t="s">
        <v>8</v>
      </c>
      <c r="F756" s="8" t="s">
        <v>8</v>
      </c>
      <c r="G756" s="8" t="s">
        <v>8</v>
      </c>
      <c r="I756" s="94" t="str">
        <f>IFERROR(__xludf.DUMMYFUNCTION("if(H756=""Must be Together"",iferror(join("", "",unique(filter({filter('Students (Vertical)'!O:O,'Students (Vertical)'!C:C=B756,'Students (Vertical)'!O:O&lt;&gt;"""");filter('Students (Vertical)'!O:O,'Students (Vertical)'!C:C=E756,'Students (Vertical)'!O:O&lt;&gt;"""&amp;""")},countifs({filter('Students (Vertical)'!O:O,'Students (Vertical)'!C:C=B756,'Students (Vertical)'!O:O&lt;&gt;"""");filter('Students (Vertical)'!O:O,'Students (Vertical)'!C:C=E756,'Students (Vertical)'!O:O&lt;&gt;"""")},{filter('Students (Vertical)'!O:O,'Students ("&amp;"Vertical)'!C:C=B756,'Students (Vertical)'!O:O&lt;&gt;"""");filter('Students (Vertical)'!O:O,'Students (Vertical)'!C:C=E756,'Students (Vertical)'!O:O&lt;&gt;"""")})&gt;1))),""No shared courses""),"""")"),"")</f>
        <v/>
      </c>
      <c r="J756" s="94" t="str">
        <f>IFERROR(__xludf.DUMMYFUNCTION("if(H756=""Can't be Together"",iferror(join("", "",unique(filter({unique(filter('Students (Vertical)'!O:O,'Students (Vertical)'!C:C=B756,'Students (Vertical)'!O:O&lt;&gt;"""",'Students (Vertical)'!P:P&gt;1));unique(filter('Students (Vertical)'!O:O,'Students (Vertic"&amp;"al)'!C:C=E756,'Students (Vertical)'!O:O&lt;&gt;"""",'Students (Vertical)'!P:P&gt;1))},countifs({unique(filter('Students (Vertical)'!O:O,'Students (Vertical)'!C:C=B756,'Students (Vertical)'!O:O&lt;&gt;"""",'Students (Vertical)'!P:P&gt;1));unique(filter('Students (Vertical)'"&amp;"!O:O,'Students (Vertical)'!C:C=E756,'Students (Vertical)'!O:O&lt;&gt;"""",'Students (Vertical)'!P:P&gt;1))},{unique(filter('Students (Vertical)'!O:O,'Students (Vertical)'!C:C=B756,'Students (Vertical)'!O:O&lt;&gt;"""",'Students (Vertical)'!P:P&gt;1));unique(filter('Student"&amp;"s (Vertical)'!O:O,'Students (Vertical)'!C:C=E756,'Students (Vertical)'!O:O&lt;&gt;"""",'Students (Vertical)'!P:P&gt;1))})&gt;1))),""""),"""")"),"")</f>
        <v/>
      </c>
      <c r="K756" s="96" t="str">
        <f>IFERROR(__xludf.DUMMYFUNCTION("iferror(join("", "",unique(filter({filter('Students (Vertical)'!D:D,'Students (Vertical)'!C:C=B756,'Students (Vertical)'!D:D&lt;&gt;"""");filter('Students (Vertical)'!D:D,'Students (Vertical)'!C:C=E756,'Students (Vertical)'!D:D&lt;&gt;"""")},countifs({filter('Student"&amp;"s (Vertical)'!D:D,'Students (Vertical)'!C:C=B756,'Students (Vertical)'!D:D&lt;&gt;"""");filter('Students (Vertical)'!D:D,'Students (Vertical)'!C:C=E756,'Students (Vertical)'!D:D&lt;&gt;"""")},{filter('Students (Vertical)'!D:D,'Students (Vertical)'!C:C=B756,'Students "&amp;"(Vertical)'!D:D&lt;&gt;"""");filter('Students (Vertical)'!D:D,'Students (Vertical)'!C:C=E756,'Students (Vertical)'!D:D&lt;&gt;"""")})&gt;1))),"""")"),"")</f>
        <v/>
      </c>
      <c r="L756" s="96"/>
      <c r="M756" s="96"/>
    </row>
    <row r="757" hidden="1">
      <c r="A757" s="8" t="s">
        <v>8</v>
      </c>
      <c r="C757" s="8" t="s">
        <v>8</v>
      </c>
      <c r="D757" s="8" t="s">
        <v>8</v>
      </c>
      <c r="F757" s="8" t="s">
        <v>8</v>
      </c>
      <c r="G757" s="8" t="s">
        <v>8</v>
      </c>
      <c r="I757" s="94" t="str">
        <f>IFERROR(__xludf.DUMMYFUNCTION("if(H757=""Must be Together"",iferror(join("", "",unique(filter({filter('Students (Vertical)'!O:O,'Students (Vertical)'!C:C=B757,'Students (Vertical)'!O:O&lt;&gt;"""");filter('Students (Vertical)'!O:O,'Students (Vertical)'!C:C=E757,'Students (Vertical)'!O:O&lt;&gt;"""&amp;""")},countifs({filter('Students (Vertical)'!O:O,'Students (Vertical)'!C:C=B757,'Students (Vertical)'!O:O&lt;&gt;"""");filter('Students (Vertical)'!O:O,'Students (Vertical)'!C:C=E757,'Students (Vertical)'!O:O&lt;&gt;"""")},{filter('Students (Vertical)'!O:O,'Students ("&amp;"Vertical)'!C:C=B757,'Students (Vertical)'!O:O&lt;&gt;"""");filter('Students (Vertical)'!O:O,'Students (Vertical)'!C:C=E757,'Students (Vertical)'!O:O&lt;&gt;"""")})&gt;1))),""No shared courses""),"""")"),"")</f>
        <v/>
      </c>
      <c r="J757" s="94" t="str">
        <f>IFERROR(__xludf.DUMMYFUNCTION("if(H757=""Can't be Together"",iferror(join("", "",unique(filter({unique(filter('Students (Vertical)'!O:O,'Students (Vertical)'!C:C=B757,'Students (Vertical)'!O:O&lt;&gt;"""",'Students (Vertical)'!P:P&gt;1));unique(filter('Students (Vertical)'!O:O,'Students (Vertic"&amp;"al)'!C:C=E757,'Students (Vertical)'!O:O&lt;&gt;"""",'Students (Vertical)'!P:P&gt;1))},countifs({unique(filter('Students (Vertical)'!O:O,'Students (Vertical)'!C:C=B757,'Students (Vertical)'!O:O&lt;&gt;"""",'Students (Vertical)'!P:P&gt;1));unique(filter('Students (Vertical)'"&amp;"!O:O,'Students (Vertical)'!C:C=E757,'Students (Vertical)'!O:O&lt;&gt;"""",'Students (Vertical)'!P:P&gt;1))},{unique(filter('Students (Vertical)'!O:O,'Students (Vertical)'!C:C=B757,'Students (Vertical)'!O:O&lt;&gt;"""",'Students (Vertical)'!P:P&gt;1));unique(filter('Student"&amp;"s (Vertical)'!O:O,'Students (Vertical)'!C:C=E757,'Students (Vertical)'!O:O&lt;&gt;"""",'Students (Vertical)'!P:P&gt;1))})&gt;1))),""""),"""")"),"")</f>
        <v/>
      </c>
      <c r="K757" s="96" t="str">
        <f>IFERROR(__xludf.DUMMYFUNCTION("iferror(join("", "",unique(filter({filter('Students (Vertical)'!D:D,'Students (Vertical)'!C:C=B757,'Students (Vertical)'!D:D&lt;&gt;"""");filter('Students (Vertical)'!D:D,'Students (Vertical)'!C:C=E757,'Students (Vertical)'!D:D&lt;&gt;"""")},countifs({filter('Student"&amp;"s (Vertical)'!D:D,'Students (Vertical)'!C:C=B757,'Students (Vertical)'!D:D&lt;&gt;"""");filter('Students (Vertical)'!D:D,'Students (Vertical)'!C:C=E757,'Students (Vertical)'!D:D&lt;&gt;"""")},{filter('Students (Vertical)'!D:D,'Students (Vertical)'!C:C=B757,'Students "&amp;"(Vertical)'!D:D&lt;&gt;"""");filter('Students (Vertical)'!D:D,'Students (Vertical)'!C:C=E757,'Students (Vertical)'!D:D&lt;&gt;"""")})&gt;1))),"""")"),"")</f>
        <v/>
      </c>
      <c r="L757" s="96"/>
      <c r="M757" s="96"/>
    </row>
    <row r="758" hidden="1">
      <c r="A758" s="8" t="s">
        <v>8</v>
      </c>
      <c r="C758" s="8" t="s">
        <v>8</v>
      </c>
      <c r="D758" s="8" t="s">
        <v>8</v>
      </c>
      <c r="F758" s="8" t="s">
        <v>8</v>
      </c>
      <c r="G758" s="8" t="s">
        <v>8</v>
      </c>
      <c r="I758" s="94" t="str">
        <f>IFERROR(__xludf.DUMMYFUNCTION("if(H758=""Must be Together"",iferror(join("", "",unique(filter({filter('Students (Vertical)'!O:O,'Students (Vertical)'!C:C=B758,'Students (Vertical)'!O:O&lt;&gt;"""");filter('Students (Vertical)'!O:O,'Students (Vertical)'!C:C=E758,'Students (Vertical)'!O:O&lt;&gt;"""&amp;""")},countifs({filter('Students (Vertical)'!O:O,'Students (Vertical)'!C:C=B758,'Students (Vertical)'!O:O&lt;&gt;"""");filter('Students (Vertical)'!O:O,'Students (Vertical)'!C:C=E758,'Students (Vertical)'!O:O&lt;&gt;"""")},{filter('Students (Vertical)'!O:O,'Students ("&amp;"Vertical)'!C:C=B758,'Students (Vertical)'!O:O&lt;&gt;"""");filter('Students (Vertical)'!O:O,'Students (Vertical)'!C:C=E758,'Students (Vertical)'!O:O&lt;&gt;"""")})&gt;1))),""No shared courses""),"""")"),"")</f>
        <v/>
      </c>
      <c r="J758" s="94" t="str">
        <f>IFERROR(__xludf.DUMMYFUNCTION("if(H758=""Can't be Together"",iferror(join("", "",unique(filter({unique(filter('Students (Vertical)'!O:O,'Students (Vertical)'!C:C=B758,'Students (Vertical)'!O:O&lt;&gt;"""",'Students (Vertical)'!P:P&gt;1));unique(filter('Students (Vertical)'!O:O,'Students (Vertic"&amp;"al)'!C:C=E758,'Students (Vertical)'!O:O&lt;&gt;"""",'Students (Vertical)'!P:P&gt;1))},countifs({unique(filter('Students (Vertical)'!O:O,'Students (Vertical)'!C:C=B758,'Students (Vertical)'!O:O&lt;&gt;"""",'Students (Vertical)'!P:P&gt;1));unique(filter('Students (Vertical)'"&amp;"!O:O,'Students (Vertical)'!C:C=E758,'Students (Vertical)'!O:O&lt;&gt;"""",'Students (Vertical)'!P:P&gt;1))},{unique(filter('Students (Vertical)'!O:O,'Students (Vertical)'!C:C=B758,'Students (Vertical)'!O:O&lt;&gt;"""",'Students (Vertical)'!P:P&gt;1));unique(filter('Student"&amp;"s (Vertical)'!O:O,'Students (Vertical)'!C:C=E758,'Students (Vertical)'!O:O&lt;&gt;"""",'Students (Vertical)'!P:P&gt;1))})&gt;1))),""""),"""")"),"")</f>
        <v/>
      </c>
      <c r="K758" s="96" t="str">
        <f>IFERROR(__xludf.DUMMYFUNCTION("iferror(join("", "",unique(filter({filter('Students (Vertical)'!D:D,'Students (Vertical)'!C:C=B758,'Students (Vertical)'!D:D&lt;&gt;"""");filter('Students (Vertical)'!D:D,'Students (Vertical)'!C:C=E758,'Students (Vertical)'!D:D&lt;&gt;"""")},countifs({filter('Student"&amp;"s (Vertical)'!D:D,'Students (Vertical)'!C:C=B758,'Students (Vertical)'!D:D&lt;&gt;"""");filter('Students (Vertical)'!D:D,'Students (Vertical)'!C:C=E758,'Students (Vertical)'!D:D&lt;&gt;"""")},{filter('Students (Vertical)'!D:D,'Students (Vertical)'!C:C=B758,'Students "&amp;"(Vertical)'!D:D&lt;&gt;"""");filter('Students (Vertical)'!D:D,'Students (Vertical)'!C:C=E758,'Students (Vertical)'!D:D&lt;&gt;"""")})&gt;1))),"""")"),"")</f>
        <v/>
      </c>
      <c r="L758" s="96"/>
      <c r="M758" s="96"/>
    </row>
    <row r="759" hidden="1">
      <c r="A759" s="8" t="s">
        <v>8</v>
      </c>
      <c r="C759" s="8" t="s">
        <v>8</v>
      </c>
      <c r="D759" s="8" t="s">
        <v>8</v>
      </c>
      <c r="F759" s="8" t="s">
        <v>8</v>
      </c>
      <c r="G759" s="8" t="s">
        <v>8</v>
      </c>
      <c r="I759" s="94" t="str">
        <f>IFERROR(__xludf.DUMMYFUNCTION("if(H759=""Must be Together"",iferror(join("", "",unique(filter({filter('Students (Vertical)'!O:O,'Students (Vertical)'!C:C=B759,'Students (Vertical)'!O:O&lt;&gt;"""");filter('Students (Vertical)'!O:O,'Students (Vertical)'!C:C=E759,'Students (Vertical)'!O:O&lt;&gt;"""&amp;""")},countifs({filter('Students (Vertical)'!O:O,'Students (Vertical)'!C:C=B759,'Students (Vertical)'!O:O&lt;&gt;"""");filter('Students (Vertical)'!O:O,'Students (Vertical)'!C:C=E759,'Students (Vertical)'!O:O&lt;&gt;"""")},{filter('Students (Vertical)'!O:O,'Students ("&amp;"Vertical)'!C:C=B759,'Students (Vertical)'!O:O&lt;&gt;"""");filter('Students (Vertical)'!O:O,'Students (Vertical)'!C:C=E759,'Students (Vertical)'!O:O&lt;&gt;"""")})&gt;1))),""No shared courses""),"""")"),"")</f>
        <v/>
      </c>
      <c r="J759" s="94" t="str">
        <f>IFERROR(__xludf.DUMMYFUNCTION("if(H759=""Can't be Together"",iferror(join("", "",unique(filter({unique(filter('Students (Vertical)'!O:O,'Students (Vertical)'!C:C=B759,'Students (Vertical)'!O:O&lt;&gt;"""",'Students (Vertical)'!P:P&gt;1));unique(filter('Students (Vertical)'!O:O,'Students (Vertic"&amp;"al)'!C:C=E759,'Students (Vertical)'!O:O&lt;&gt;"""",'Students (Vertical)'!P:P&gt;1))},countifs({unique(filter('Students (Vertical)'!O:O,'Students (Vertical)'!C:C=B759,'Students (Vertical)'!O:O&lt;&gt;"""",'Students (Vertical)'!P:P&gt;1));unique(filter('Students (Vertical)'"&amp;"!O:O,'Students (Vertical)'!C:C=E759,'Students (Vertical)'!O:O&lt;&gt;"""",'Students (Vertical)'!P:P&gt;1))},{unique(filter('Students (Vertical)'!O:O,'Students (Vertical)'!C:C=B759,'Students (Vertical)'!O:O&lt;&gt;"""",'Students (Vertical)'!P:P&gt;1));unique(filter('Student"&amp;"s (Vertical)'!O:O,'Students (Vertical)'!C:C=E759,'Students (Vertical)'!O:O&lt;&gt;"""",'Students (Vertical)'!P:P&gt;1))})&gt;1))),""""),"""")"),"")</f>
        <v/>
      </c>
      <c r="K759" s="96" t="str">
        <f>IFERROR(__xludf.DUMMYFUNCTION("iferror(join("", "",unique(filter({filter('Students (Vertical)'!D:D,'Students (Vertical)'!C:C=B759,'Students (Vertical)'!D:D&lt;&gt;"""");filter('Students (Vertical)'!D:D,'Students (Vertical)'!C:C=E759,'Students (Vertical)'!D:D&lt;&gt;"""")},countifs({filter('Student"&amp;"s (Vertical)'!D:D,'Students (Vertical)'!C:C=B759,'Students (Vertical)'!D:D&lt;&gt;"""");filter('Students (Vertical)'!D:D,'Students (Vertical)'!C:C=E759,'Students (Vertical)'!D:D&lt;&gt;"""")},{filter('Students (Vertical)'!D:D,'Students (Vertical)'!C:C=B759,'Students "&amp;"(Vertical)'!D:D&lt;&gt;"""");filter('Students (Vertical)'!D:D,'Students (Vertical)'!C:C=E759,'Students (Vertical)'!D:D&lt;&gt;"""")})&gt;1))),"""")"),"")</f>
        <v/>
      </c>
      <c r="L759" s="96"/>
      <c r="M759" s="96"/>
    </row>
    <row r="760" hidden="1">
      <c r="A760" s="8" t="s">
        <v>8</v>
      </c>
      <c r="C760" s="8" t="s">
        <v>8</v>
      </c>
      <c r="D760" s="8" t="s">
        <v>8</v>
      </c>
      <c r="F760" s="8" t="s">
        <v>8</v>
      </c>
      <c r="G760" s="8" t="s">
        <v>8</v>
      </c>
      <c r="I760" s="94" t="str">
        <f>IFERROR(__xludf.DUMMYFUNCTION("if(H760=""Must be Together"",iferror(join("", "",unique(filter({filter('Students (Vertical)'!O:O,'Students (Vertical)'!C:C=B760,'Students (Vertical)'!O:O&lt;&gt;"""");filter('Students (Vertical)'!O:O,'Students (Vertical)'!C:C=E760,'Students (Vertical)'!O:O&lt;&gt;"""&amp;""")},countifs({filter('Students (Vertical)'!O:O,'Students (Vertical)'!C:C=B760,'Students (Vertical)'!O:O&lt;&gt;"""");filter('Students (Vertical)'!O:O,'Students (Vertical)'!C:C=E760,'Students (Vertical)'!O:O&lt;&gt;"""")},{filter('Students (Vertical)'!O:O,'Students ("&amp;"Vertical)'!C:C=B760,'Students (Vertical)'!O:O&lt;&gt;"""");filter('Students (Vertical)'!O:O,'Students (Vertical)'!C:C=E760,'Students (Vertical)'!O:O&lt;&gt;"""")})&gt;1))),""No shared courses""),"""")"),"")</f>
        <v/>
      </c>
      <c r="J760" s="94" t="str">
        <f>IFERROR(__xludf.DUMMYFUNCTION("if(H760=""Can't be Together"",iferror(join("", "",unique(filter({unique(filter('Students (Vertical)'!O:O,'Students (Vertical)'!C:C=B760,'Students (Vertical)'!O:O&lt;&gt;"""",'Students (Vertical)'!P:P&gt;1));unique(filter('Students (Vertical)'!O:O,'Students (Vertic"&amp;"al)'!C:C=E760,'Students (Vertical)'!O:O&lt;&gt;"""",'Students (Vertical)'!P:P&gt;1))},countifs({unique(filter('Students (Vertical)'!O:O,'Students (Vertical)'!C:C=B760,'Students (Vertical)'!O:O&lt;&gt;"""",'Students (Vertical)'!P:P&gt;1));unique(filter('Students (Vertical)'"&amp;"!O:O,'Students (Vertical)'!C:C=E760,'Students (Vertical)'!O:O&lt;&gt;"""",'Students (Vertical)'!P:P&gt;1))},{unique(filter('Students (Vertical)'!O:O,'Students (Vertical)'!C:C=B760,'Students (Vertical)'!O:O&lt;&gt;"""",'Students (Vertical)'!P:P&gt;1));unique(filter('Student"&amp;"s (Vertical)'!O:O,'Students (Vertical)'!C:C=E760,'Students (Vertical)'!O:O&lt;&gt;"""",'Students (Vertical)'!P:P&gt;1))})&gt;1))),""""),"""")"),"")</f>
        <v/>
      </c>
      <c r="K760" s="96" t="str">
        <f>IFERROR(__xludf.DUMMYFUNCTION("iferror(join("", "",unique(filter({filter('Students (Vertical)'!D:D,'Students (Vertical)'!C:C=B760,'Students (Vertical)'!D:D&lt;&gt;"""");filter('Students (Vertical)'!D:D,'Students (Vertical)'!C:C=E760,'Students (Vertical)'!D:D&lt;&gt;"""")},countifs({filter('Student"&amp;"s (Vertical)'!D:D,'Students (Vertical)'!C:C=B760,'Students (Vertical)'!D:D&lt;&gt;"""");filter('Students (Vertical)'!D:D,'Students (Vertical)'!C:C=E760,'Students (Vertical)'!D:D&lt;&gt;"""")},{filter('Students (Vertical)'!D:D,'Students (Vertical)'!C:C=B760,'Students "&amp;"(Vertical)'!D:D&lt;&gt;"""");filter('Students (Vertical)'!D:D,'Students (Vertical)'!C:C=E760,'Students (Vertical)'!D:D&lt;&gt;"""")})&gt;1))),"""")"),"")</f>
        <v/>
      </c>
      <c r="L760" s="96"/>
      <c r="M760" s="96"/>
    </row>
    <row r="761" hidden="1">
      <c r="A761" s="8" t="s">
        <v>8</v>
      </c>
      <c r="C761" s="8" t="s">
        <v>8</v>
      </c>
      <c r="D761" s="8" t="s">
        <v>8</v>
      </c>
      <c r="F761" s="8" t="s">
        <v>8</v>
      </c>
      <c r="G761" s="8" t="s">
        <v>8</v>
      </c>
      <c r="I761" s="94" t="str">
        <f>IFERROR(__xludf.DUMMYFUNCTION("if(H761=""Must be Together"",iferror(join("", "",unique(filter({filter('Students (Vertical)'!O:O,'Students (Vertical)'!C:C=B761,'Students (Vertical)'!O:O&lt;&gt;"""");filter('Students (Vertical)'!O:O,'Students (Vertical)'!C:C=E761,'Students (Vertical)'!O:O&lt;&gt;"""&amp;""")},countifs({filter('Students (Vertical)'!O:O,'Students (Vertical)'!C:C=B761,'Students (Vertical)'!O:O&lt;&gt;"""");filter('Students (Vertical)'!O:O,'Students (Vertical)'!C:C=E761,'Students (Vertical)'!O:O&lt;&gt;"""")},{filter('Students (Vertical)'!O:O,'Students ("&amp;"Vertical)'!C:C=B761,'Students (Vertical)'!O:O&lt;&gt;"""");filter('Students (Vertical)'!O:O,'Students (Vertical)'!C:C=E761,'Students (Vertical)'!O:O&lt;&gt;"""")})&gt;1))),""No shared courses""),"""")"),"")</f>
        <v/>
      </c>
      <c r="J761" s="94" t="str">
        <f>IFERROR(__xludf.DUMMYFUNCTION("if(H761=""Can't be Together"",iferror(join("", "",unique(filter({unique(filter('Students (Vertical)'!O:O,'Students (Vertical)'!C:C=B761,'Students (Vertical)'!O:O&lt;&gt;"""",'Students (Vertical)'!P:P&gt;1));unique(filter('Students (Vertical)'!O:O,'Students (Vertic"&amp;"al)'!C:C=E761,'Students (Vertical)'!O:O&lt;&gt;"""",'Students (Vertical)'!P:P&gt;1))},countifs({unique(filter('Students (Vertical)'!O:O,'Students (Vertical)'!C:C=B761,'Students (Vertical)'!O:O&lt;&gt;"""",'Students (Vertical)'!P:P&gt;1));unique(filter('Students (Vertical)'"&amp;"!O:O,'Students (Vertical)'!C:C=E761,'Students (Vertical)'!O:O&lt;&gt;"""",'Students (Vertical)'!P:P&gt;1))},{unique(filter('Students (Vertical)'!O:O,'Students (Vertical)'!C:C=B761,'Students (Vertical)'!O:O&lt;&gt;"""",'Students (Vertical)'!P:P&gt;1));unique(filter('Student"&amp;"s (Vertical)'!O:O,'Students (Vertical)'!C:C=E761,'Students (Vertical)'!O:O&lt;&gt;"""",'Students (Vertical)'!P:P&gt;1))})&gt;1))),""""),"""")"),"")</f>
        <v/>
      </c>
      <c r="K761" s="96" t="str">
        <f>IFERROR(__xludf.DUMMYFUNCTION("iferror(join("", "",unique(filter({filter('Students (Vertical)'!D:D,'Students (Vertical)'!C:C=B761,'Students (Vertical)'!D:D&lt;&gt;"""");filter('Students (Vertical)'!D:D,'Students (Vertical)'!C:C=E761,'Students (Vertical)'!D:D&lt;&gt;"""")},countifs({filter('Student"&amp;"s (Vertical)'!D:D,'Students (Vertical)'!C:C=B761,'Students (Vertical)'!D:D&lt;&gt;"""");filter('Students (Vertical)'!D:D,'Students (Vertical)'!C:C=E761,'Students (Vertical)'!D:D&lt;&gt;"""")},{filter('Students (Vertical)'!D:D,'Students (Vertical)'!C:C=B761,'Students "&amp;"(Vertical)'!D:D&lt;&gt;"""");filter('Students (Vertical)'!D:D,'Students (Vertical)'!C:C=E761,'Students (Vertical)'!D:D&lt;&gt;"""")})&gt;1))),"""")"),"")</f>
        <v/>
      </c>
      <c r="L761" s="96"/>
      <c r="M761" s="96"/>
    </row>
    <row r="762" hidden="1">
      <c r="A762" s="8" t="s">
        <v>8</v>
      </c>
      <c r="C762" s="8" t="s">
        <v>8</v>
      </c>
      <c r="D762" s="8" t="s">
        <v>8</v>
      </c>
      <c r="F762" s="8" t="s">
        <v>8</v>
      </c>
      <c r="G762" s="8" t="s">
        <v>8</v>
      </c>
      <c r="I762" s="94" t="str">
        <f>IFERROR(__xludf.DUMMYFUNCTION("if(H762=""Must be Together"",iferror(join("", "",unique(filter({filter('Students (Vertical)'!O:O,'Students (Vertical)'!C:C=B762,'Students (Vertical)'!O:O&lt;&gt;"""");filter('Students (Vertical)'!O:O,'Students (Vertical)'!C:C=E762,'Students (Vertical)'!O:O&lt;&gt;"""&amp;""")},countifs({filter('Students (Vertical)'!O:O,'Students (Vertical)'!C:C=B762,'Students (Vertical)'!O:O&lt;&gt;"""");filter('Students (Vertical)'!O:O,'Students (Vertical)'!C:C=E762,'Students (Vertical)'!O:O&lt;&gt;"""")},{filter('Students (Vertical)'!O:O,'Students ("&amp;"Vertical)'!C:C=B762,'Students (Vertical)'!O:O&lt;&gt;"""");filter('Students (Vertical)'!O:O,'Students (Vertical)'!C:C=E762,'Students (Vertical)'!O:O&lt;&gt;"""")})&gt;1))),""No shared courses""),"""")"),"")</f>
        <v/>
      </c>
      <c r="J762" s="94" t="str">
        <f>IFERROR(__xludf.DUMMYFUNCTION("if(H762=""Can't be Together"",iferror(join("", "",unique(filter({unique(filter('Students (Vertical)'!O:O,'Students (Vertical)'!C:C=B762,'Students (Vertical)'!O:O&lt;&gt;"""",'Students (Vertical)'!P:P&gt;1));unique(filter('Students (Vertical)'!O:O,'Students (Vertic"&amp;"al)'!C:C=E762,'Students (Vertical)'!O:O&lt;&gt;"""",'Students (Vertical)'!P:P&gt;1))},countifs({unique(filter('Students (Vertical)'!O:O,'Students (Vertical)'!C:C=B762,'Students (Vertical)'!O:O&lt;&gt;"""",'Students (Vertical)'!P:P&gt;1));unique(filter('Students (Vertical)'"&amp;"!O:O,'Students (Vertical)'!C:C=E762,'Students (Vertical)'!O:O&lt;&gt;"""",'Students (Vertical)'!P:P&gt;1))},{unique(filter('Students (Vertical)'!O:O,'Students (Vertical)'!C:C=B762,'Students (Vertical)'!O:O&lt;&gt;"""",'Students (Vertical)'!P:P&gt;1));unique(filter('Student"&amp;"s (Vertical)'!O:O,'Students (Vertical)'!C:C=E762,'Students (Vertical)'!O:O&lt;&gt;"""",'Students (Vertical)'!P:P&gt;1))})&gt;1))),""""),"""")"),"")</f>
        <v/>
      </c>
      <c r="K762" s="96" t="str">
        <f>IFERROR(__xludf.DUMMYFUNCTION("iferror(join("", "",unique(filter({filter('Students (Vertical)'!D:D,'Students (Vertical)'!C:C=B762,'Students (Vertical)'!D:D&lt;&gt;"""");filter('Students (Vertical)'!D:D,'Students (Vertical)'!C:C=E762,'Students (Vertical)'!D:D&lt;&gt;"""")},countifs({filter('Student"&amp;"s (Vertical)'!D:D,'Students (Vertical)'!C:C=B762,'Students (Vertical)'!D:D&lt;&gt;"""");filter('Students (Vertical)'!D:D,'Students (Vertical)'!C:C=E762,'Students (Vertical)'!D:D&lt;&gt;"""")},{filter('Students (Vertical)'!D:D,'Students (Vertical)'!C:C=B762,'Students "&amp;"(Vertical)'!D:D&lt;&gt;"""");filter('Students (Vertical)'!D:D,'Students (Vertical)'!C:C=E762,'Students (Vertical)'!D:D&lt;&gt;"""")})&gt;1))),"""")"),"")</f>
        <v/>
      </c>
      <c r="L762" s="96"/>
      <c r="M762" s="96"/>
    </row>
    <row r="763" hidden="1">
      <c r="A763" s="8" t="s">
        <v>8</v>
      </c>
      <c r="C763" s="8" t="s">
        <v>8</v>
      </c>
      <c r="D763" s="8" t="s">
        <v>8</v>
      </c>
      <c r="F763" s="8" t="s">
        <v>8</v>
      </c>
      <c r="G763" s="8" t="s">
        <v>8</v>
      </c>
      <c r="I763" s="94" t="str">
        <f>IFERROR(__xludf.DUMMYFUNCTION("if(H763=""Must be Together"",iferror(join("", "",unique(filter({filter('Students (Vertical)'!O:O,'Students (Vertical)'!C:C=B763,'Students (Vertical)'!O:O&lt;&gt;"""");filter('Students (Vertical)'!O:O,'Students (Vertical)'!C:C=E763,'Students (Vertical)'!O:O&lt;&gt;"""&amp;""")},countifs({filter('Students (Vertical)'!O:O,'Students (Vertical)'!C:C=B763,'Students (Vertical)'!O:O&lt;&gt;"""");filter('Students (Vertical)'!O:O,'Students (Vertical)'!C:C=E763,'Students (Vertical)'!O:O&lt;&gt;"""")},{filter('Students (Vertical)'!O:O,'Students ("&amp;"Vertical)'!C:C=B763,'Students (Vertical)'!O:O&lt;&gt;"""");filter('Students (Vertical)'!O:O,'Students (Vertical)'!C:C=E763,'Students (Vertical)'!O:O&lt;&gt;"""")})&gt;1))),""No shared courses""),"""")"),"")</f>
        <v/>
      </c>
      <c r="J763" s="94" t="str">
        <f>IFERROR(__xludf.DUMMYFUNCTION("if(H763=""Can't be Together"",iferror(join("", "",unique(filter({unique(filter('Students (Vertical)'!O:O,'Students (Vertical)'!C:C=B763,'Students (Vertical)'!O:O&lt;&gt;"""",'Students (Vertical)'!P:P&gt;1));unique(filter('Students (Vertical)'!O:O,'Students (Vertic"&amp;"al)'!C:C=E763,'Students (Vertical)'!O:O&lt;&gt;"""",'Students (Vertical)'!P:P&gt;1))},countifs({unique(filter('Students (Vertical)'!O:O,'Students (Vertical)'!C:C=B763,'Students (Vertical)'!O:O&lt;&gt;"""",'Students (Vertical)'!P:P&gt;1));unique(filter('Students (Vertical)'"&amp;"!O:O,'Students (Vertical)'!C:C=E763,'Students (Vertical)'!O:O&lt;&gt;"""",'Students (Vertical)'!P:P&gt;1))},{unique(filter('Students (Vertical)'!O:O,'Students (Vertical)'!C:C=B763,'Students (Vertical)'!O:O&lt;&gt;"""",'Students (Vertical)'!P:P&gt;1));unique(filter('Student"&amp;"s (Vertical)'!O:O,'Students (Vertical)'!C:C=E763,'Students (Vertical)'!O:O&lt;&gt;"""",'Students (Vertical)'!P:P&gt;1))})&gt;1))),""""),"""")"),"")</f>
        <v/>
      </c>
      <c r="K763" s="96" t="str">
        <f>IFERROR(__xludf.DUMMYFUNCTION("iferror(join("", "",unique(filter({filter('Students (Vertical)'!D:D,'Students (Vertical)'!C:C=B763,'Students (Vertical)'!D:D&lt;&gt;"""");filter('Students (Vertical)'!D:D,'Students (Vertical)'!C:C=E763,'Students (Vertical)'!D:D&lt;&gt;"""")},countifs({filter('Student"&amp;"s (Vertical)'!D:D,'Students (Vertical)'!C:C=B763,'Students (Vertical)'!D:D&lt;&gt;"""");filter('Students (Vertical)'!D:D,'Students (Vertical)'!C:C=E763,'Students (Vertical)'!D:D&lt;&gt;"""")},{filter('Students (Vertical)'!D:D,'Students (Vertical)'!C:C=B763,'Students "&amp;"(Vertical)'!D:D&lt;&gt;"""");filter('Students (Vertical)'!D:D,'Students (Vertical)'!C:C=E763,'Students (Vertical)'!D:D&lt;&gt;"""")})&gt;1))),"""")"),"")</f>
        <v/>
      </c>
      <c r="L763" s="96"/>
      <c r="M763" s="96"/>
    </row>
    <row r="764" hidden="1">
      <c r="A764" s="8" t="s">
        <v>8</v>
      </c>
      <c r="C764" s="8" t="s">
        <v>8</v>
      </c>
      <c r="D764" s="8" t="s">
        <v>8</v>
      </c>
      <c r="F764" s="8" t="s">
        <v>8</v>
      </c>
      <c r="G764" s="8" t="s">
        <v>8</v>
      </c>
      <c r="I764" s="94" t="str">
        <f>IFERROR(__xludf.DUMMYFUNCTION("if(H764=""Must be Together"",iferror(join("", "",unique(filter({filter('Students (Vertical)'!O:O,'Students (Vertical)'!C:C=B764,'Students (Vertical)'!O:O&lt;&gt;"""");filter('Students (Vertical)'!O:O,'Students (Vertical)'!C:C=E764,'Students (Vertical)'!O:O&lt;&gt;"""&amp;""")},countifs({filter('Students (Vertical)'!O:O,'Students (Vertical)'!C:C=B764,'Students (Vertical)'!O:O&lt;&gt;"""");filter('Students (Vertical)'!O:O,'Students (Vertical)'!C:C=E764,'Students (Vertical)'!O:O&lt;&gt;"""")},{filter('Students (Vertical)'!O:O,'Students ("&amp;"Vertical)'!C:C=B764,'Students (Vertical)'!O:O&lt;&gt;"""");filter('Students (Vertical)'!O:O,'Students (Vertical)'!C:C=E764,'Students (Vertical)'!O:O&lt;&gt;"""")})&gt;1))),""No shared courses""),"""")"),"")</f>
        <v/>
      </c>
      <c r="J764" s="94" t="str">
        <f>IFERROR(__xludf.DUMMYFUNCTION("if(H764=""Can't be Together"",iferror(join("", "",unique(filter({unique(filter('Students (Vertical)'!O:O,'Students (Vertical)'!C:C=B764,'Students (Vertical)'!O:O&lt;&gt;"""",'Students (Vertical)'!P:P&gt;1));unique(filter('Students (Vertical)'!O:O,'Students (Vertic"&amp;"al)'!C:C=E764,'Students (Vertical)'!O:O&lt;&gt;"""",'Students (Vertical)'!P:P&gt;1))},countifs({unique(filter('Students (Vertical)'!O:O,'Students (Vertical)'!C:C=B764,'Students (Vertical)'!O:O&lt;&gt;"""",'Students (Vertical)'!P:P&gt;1));unique(filter('Students (Vertical)'"&amp;"!O:O,'Students (Vertical)'!C:C=E764,'Students (Vertical)'!O:O&lt;&gt;"""",'Students (Vertical)'!P:P&gt;1))},{unique(filter('Students (Vertical)'!O:O,'Students (Vertical)'!C:C=B764,'Students (Vertical)'!O:O&lt;&gt;"""",'Students (Vertical)'!P:P&gt;1));unique(filter('Student"&amp;"s (Vertical)'!O:O,'Students (Vertical)'!C:C=E764,'Students (Vertical)'!O:O&lt;&gt;"""",'Students (Vertical)'!P:P&gt;1))})&gt;1))),""""),"""")"),"")</f>
        <v/>
      </c>
      <c r="K764" s="96" t="str">
        <f>IFERROR(__xludf.DUMMYFUNCTION("iferror(join("", "",unique(filter({filter('Students (Vertical)'!D:D,'Students (Vertical)'!C:C=B764,'Students (Vertical)'!D:D&lt;&gt;"""");filter('Students (Vertical)'!D:D,'Students (Vertical)'!C:C=E764,'Students (Vertical)'!D:D&lt;&gt;"""")},countifs({filter('Student"&amp;"s (Vertical)'!D:D,'Students (Vertical)'!C:C=B764,'Students (Vertical)'!D:D&lt;&gt;"""");filter('Students (Vertical)'!D:D,'Students (Vertical)'!C:C=E764,'Students (Vertical)'!D:D&lt;&gt;"""")},{filter('Students (Vertical)'!D:D,'Students (Vertical)'!C:C=B764,'Students "&amp;"(Vertical)'!D:D&lt;&gt;"""");filter('Students (Vertical)'!D:D,'Students (Vertical)'!C:C=E764,'Students (Vertical)'!D:D&lt;&gt;"""")})&gt;1))),"""")"),"")</f>
        <v/>
      </c>
      <c r="L764" s="96"/>
      <c r="M764" s="96"/>
    </row>
    <row r="765" hidden="1">
      <c r="A765" s="8" t="s">
        <v>8</v>
      </c>
      <c r="C765" s="8" t="s">
        <v>8</v>
      </c>
      <c r="D765" s="8" t="s">
        <v>8</v>
      </c>
      <c r="F765" s="8" t="s">
        <v>8</v>
      </c>
      <c r="G765" s="8" t="s">
        <v>8</v>
      </c>
      <c r="I765" s="94" t="str">
        <f>IFERROR(__xludf.DUMMYFUNCTION("if(H765=""Must be Together"",iferror(join("", "",unique(filter({filter('Students (Vertical)'!O:O,'Students (Vertical)'!C:C=B765,'Students (Vertical)'!O:O&lt;&gt;"""");filter('Students (Vertical)'!O:O,'Students (Vertical)'!C:C=E765,'Students (Vertical)'!O:O&lt;&gt;"""&amp;""")},countifs({filter('Students (Vertical)'!O:O,'Students (Vertical)'!C:C=B765,'Students (Vertical)'!O:O&lt;&gt;"""");filter('Students (Vertical)'!O:O,'Students (Vertical)'!C:C=E765,'Students (Vertical)'!O:O&lt;&gt;"""")},{filter('Students (Vertical)'!O:O,'Students ("&amp;"Vertical)'!C:C=B765,'Students (Vertical)'!O:O&lt;&gt;"""");filter('Students (Vertical)'!O:O,'Students (Vertical)'!C:C=E765,'Students (Vertical)'!O:O&lt;&gt;"""")})&gt;1))),""No shared courses""),"""")"),"")</f>
        <v/>
      </c>
      <c r="J765" s="94" t="str">
        <f>IFERROR(__xludf.DUMMYFUNCTION("if(H765=""Can't be Together"",iferror(join("", "",unique(filter({unique(filter('Students (Vertical)'!O:O,'Students (Vertical)'!C:C=B765,'Students (Vertical)'!O:O&lt;&gt;"""",'Students (Vertical)'!P:P&gt;1));unique(filter('Students (Vertical)'!O:O,'Students (Vertic"&amp;"al)'!C:C=E765,'Students (Vertical)'!O:O&lt;&gt;"""",'Students (Vertical)'!P:P&gt;1))},countifs({unique(filter('Students (Vertical)'!O:O,'Students (Vertical)'!C:C=B765,'Students (Vertical)'!O:O&lt;&gt;"""",'Students (Vertical)'!P:P&gt;1));unique(filter('Students (Vertical)'"&amp;"!O:O,'Students (Vertical)'!C:C=E765,'Students (Vertical)'!O:O&lt;&gt;"""",'Students (Vertical)'!P:P&gt;1))},{unique(filter('Students (Vertical)'!O:O,'Students (Vertical)'!C:C=B765,'Students (Vertical)'!O:O&lt;&gt;"""",'Students (Vertical)'!P:P&gt;1));unique(filter('Student"&amp;"s (Vertical)'!O:O,'Students (Vertical)'!C:C=E765,'Students (Vertical)'!O:O&lt;&gt;"""",'Students (Vertical)'!P:P&gt;1))})&gt;1))),""""),"""")"),"")</f>
        <v/>
      </c>
      <c r="K765" s="96" t="str">
        <f>IFERROR(__xludf.DUMMYFUNCTION("iferror(join("", "",unique(filter({filter('Students (Vertical)'!D:D,'Students (Vertical)'!C:C=B765,'Students (Vertical)'!D:D&lt;&gt;"""");filter('Students (Vertical)'!D:D,'Students (Vertical)'!C:C=E765,'Students (Vertical)'!D:D&lt;&gt;"""")},countifs({filter('Student"&amp;"s (Vertical)'!D:D,'Students (Vertical)'!C:C=B765,'Students (Vertical)'!D:D&lt;&gt;"""");filter('Students (Vertical)'!D:D,'Students (Vertical)'!C:C=E765,'Students (Vertical)'!D:D&lt;&gt;"""")},{filter('Students (Vertical)'!D:D,'Students (Vertical)'!C:C=B765,'Students "&amp;"(Vertical)'!D:D&lt;&gt;"""");filter('Students (Vertical)'!D:D,'Students (Vertical)'!C:C=E765,'Students (Vertical)'!D:D&lt;&gt;"""")})&gt;1))),"""")"),"")</f>
        <v/>
      </c>
      <c r="L765" s="96"/>
      <c r="M765" s="96"/>
    </row>
    <row r="766" hidden="1">
      <c r="A766" s="8" t="s">
        <v>8</v>
      </c>
      <c r="C766" s="8" t="s">
        <v>8</v>
      </c>
      <c r="D766" s="8" t="s">
        <v>8</v>
      </c>
      <c r="F766" s="8" t="s">
        <v>8</v>
      </c>
      <c r="G766" s="8" t="s">
        <v>8</v>
      </c>
      <c r="I766" s="94" t="str">
        <f>IFERROR(__xludf.DUMMYFUNCTION("if(H766=""Must be Together"",iferror(join("", "",unique(filter({filter('Students (Vertical)'!O:O,'Students (Vertical)'!C:C=B766,'Students (Vertical)'!O:O&lt;&gt;"""");filter('Students (Vertical)'!O:O,'Students (Vertical)'!C:C=E766,'Students (Vertical)'!O:O&lt;&gt;"""&amp;""")},countifs({filter('Students (Vertical)'!O:O,'Students (Vertical)'!C:C=B766,'Students (Vertical)'!O:O&lt;&gt;"""");filter('Students (Vertical)'!O:O,'Students (Vertical)'!C:C=E766,'Students (Vertical)'!O:O&lt;&gt;"""")},{filter('Students (Vertical)'!O:O,'Students ("&amp;"Vertical)'!C:C=B766,'Students (Vertical)'!O:O&lt;&gt;"""");filter('Students (Vertical)'!O:O,'Students (Vertical)'!C:C=E766,'Students (Vertical)'!O:O&lt;&gt;"""")})&gt;1))),""No shared courses""),"""")"),"")</f>
        <v/>
      </c>
      <c r="J766" s="94" t="str">
        <f>IFERROR(__xludf.DUMMYFUNCTION("if(H766=""Can't be Together"",iferror(join("", "",unique(filter({unique(filter('Students (Vertical)'!O:O,'Students (Vertical)'!C:C=B766,'Students (Vertical)'!O:O&lt;&gt;"""",'Students (Vertical)'!P:P&gt;1));unique(filter('Students (Vertical)'!O:O,'Students (Vertic"&amp;"al)'!C:C=E766,'Students (Vertical)'!O:O&lt;&gt;"""",'Students (Vertical)'!P:P&gt;1))},countifs({unique(filter('Students (Vertical)'!O:O,'Students (Vertical)'!C:C=B766,'Students (Vertical)'!O:O&lt;&gt;"""",'Students (Vertical)'!P:P&gt;1));unique(filter('Students (Vertical)'"&amp;"!O:O,'Students (Vertical)'!C:C=E766,'Students (Vertical)'!O:O&lt;&gt;"""",'Students (Vertical)'!P:P&gt;1))},{unique(filter('Students (Vertical)'!O:O,'Students (Vertical)'!C:C=B766,'Students (Vertical)'!O:O&lt;&gt;"""",'Students (Vertical)'!P:P&gt;1));unique(filter('Student"&amp;"s (Vertical)'!O:O,'Students (Vertical)'!C:C=E766,'Students (Vertical)'!O:O&lt;&gt;"""",'Students (Vertical)'!P:P&gt;1))})&gt;1))),""""),"""")"),"")</f>
        <v/>
      </c>
      <c r="K766" s="96" t="str">
        <f>IFERROR(__xludf.DUMMYFUNCTION("iferror(join("", "",unique(filter({filter('Students (Vertical)'!D:D,'Students (Vertical)'!C:C=B766,'Students (Vertical)'!D:D&lt;&gt;"""");filter('Students (Vertical)'!D:D,'Students (Vertical)'!C:C=E766,'Students (Vertical)'!D:D&lt;&gt;"""")},countifs({filter('Student"&amp;"s (Vertical)'!D:D,'Students (Vertical)'!C:C=B766,'Students (Vertical)'!D:D&lt;&gt;"""");filter('Students (Vertical)'!D:D,'Students (Vertical)'!C:C=E766,'Students (Vertical)'!D:D&lt;&gt;"""")},{filter('Students (Vertical)'!D:D,'Students (Vertical)'!C:C=B766,'Students "&amp;"(Vertical)'!D:D&lt;&gt;"""");filter('Students (Vertical)'!D:D,'Students (Vertical)'!C:C=E766,'Students (Vertical)'!D:D&lt;&gt;"""")})&gt;1))),"""")"),"")</f>
        <v/>
      </c>
      <c r="L766" s="96"/>
      <c r="M766" s="96"/>
    </row>
    <row r="767" hidden="1">
      <c r="A767" s="8" t="s">
        <v>8</v>
      </c>
      <c r="C767" s="8" t="s">
        <v>8</v>
      </c>
      <c r="D767" s="8" t="s">
        <v>8</v>
      </c>
      <c r="F767" s="8" t="s">
        <v>8</v>
      </c>
      <c r="G767" s="8" t="s">
        <v>8</v>
      </c>
      <c r="I767" s="94" t="str">
        <f>IFERROR(__xludf.DUMMYFUNCTION("if(H767=""Must be Together"",iferror(join("", "",unique(filter({filter('Students (Vertical)'!O:O,'Students (Vertical)'!C:C=B767,'Students (Vertical)'!O:O&lt;&gt;"""");filter('Students (Vertical)'!O:O,'Students (Vertical)'!C:C=E767,'Students (Vertical)'!O:O&lt;&gt;"""&amp;""")},countifs({filter('Students (Vertical)'!O:O,'Students (Vertical)'!C:C=B767,'Students (Vertical)'!O:O&lt;&gt;"""");filter('Students (Vertical)'!O:O,'Students (Vertical)'!C:C=E767,'Students (Vertical)'!O:O&lt;&gt;"""")},{filter('Students (Vertical)'!O:O,'Students ("&amp;"Vertical)'!C:C=B767,'Students (Vertical)'!O:O&lt;&gt;"""");filter('Students (Vertical)'!O:O,'Students (Vertical)'!C:C=E767,'Students (Vertical)'!O:O&lt;&gt;"""")})&gt;1))),""No shared courses""),"""")"),"")</f>
        <v/>
      </c>
      <c r="J767" s="94" t="str">
        <f>IFERROR(__xludf.DUMMYFUNCTION("if(H767=""Can't be Together"",iferror(join("", "",unique(filter({unique(filter('Students (Vertical)'!O:O,'Students (Vertical)'!C:C=B767,'Students (Vertical)'!O:O&lt;&gt;"""",'Students (Vertical)'!P:P&gt;1));unique(filter('Students (Vertical)'!O:O,'Students (Vertic"&amp;"al)'!C:C=E767,'Students (Vertical)'!O:O&lt;&gt;"""",'Students (Vertical)'!P:P&gt;1))},countifs({unique(filter('Students (Vertical)'!O:O,'Students (Vertical)'!C:C=B767,'Students (Vertical)'!O:O&lt;&gt;"""",'Students (Vertical)'!P:P&gt;1));unique(filter('Students (Vertical)'"&amp;"!O:O,'Students (Vertical)'!C:C=E767,'Students (Vertical)'!O:O&lt;&gt;"""",'Students (Vertical)'!P:P&gt;1))},{unique(filter('Students (Vertical)'!O:O,'Students (Vertical)'!C:C=B767,'Students (Vertical)'!O:O&lt;&gt;"""",'Students (Vertical)'!P:P&gt;1));unique(filter('Student"&amp;"s (Vertical)'!O:O,'Students (Vertical)'!C:C=E767,'Students (Vertical)'!O:O&lt;&gt;"""",'Students (Vertical)'!P:P&gt;1))})&gt;1))),""""),"""")"),"")</f>
        <v/>
      </c>
      <c r="K767" s="96" t="str">
        <f>IFERROR(__xludf.DUMMYFUNCTION("iferror(join("", "",unique(filter({filter('Students (Vertical)'!D:D,'Students (Vertical)'!C:C=B767,'Students (Vertical)'!D:D&lt;&gt;"""");filter('Students (Vertical)'!D:D,'Students (Vertical)'!C:C=E767,'Students (Vertical)'!D:D&lt;&gt;"""")},countifs({filter('Student"&amp;"s (Vertical)'!D:D,'Students (Vertical)'!C:C=B767,'Students (Vertical)'!D:D&lt;&gt;"""");filter('Students (Vertical)'!D:D,'Students (Vertical)'!C:C=E767,'Students (Vertical)'!D:D&lt;&gt;"""")},{filter('Students (Vertical)'!D:D,'Students (Vertical)'!C:C=B767,'Students "&amp;"(Vertical)'!D:D&lt;&gt;"""");filter('Students (Vertical)'!D:D,'Students (Vertical)'!C:C=E767,'Students (Vertical)'!D:D&lt;&gt;"""")})&gt;1))),"""")"),"")</f>
        <v/>
      </c>
      <c r="L767" s="96"/>
      <c r="M767" s="96"/>
    </row>
    <row r="768" hidden="1">
      <c r="A768" s="8" t="s">
        <v>8</v>
      </c>
      <c r="C768" s="8" t="s">
        <v>8</v>
      </c>
      <c r="D768" s="8" t="s">
        <v>8</v>
      </c>
      <c r="F768" s="8" t="s">
        <v>8</v>
      </c>
      <c r="G768" s="8" t="s">
        <v>8</v>
      </c>
      <c r="I768" s="94" t="str">
        <f>IFERROR(__xludf.DUMMYFUNCTION("if(H768=""Must be Together"",iferror(join("", "",unique(filter({filter('Students (Vertical)'!O:O,'Students (Vertical)'!C:C=B768,'Students (Vertical)'!O:O&lt;&gt;"""");filter('Students (Vertical)'!O:O,'Students (Vertical)'!C:C=E768,'Students (Vertical)'!O:O&lt;&gt;"""&amp;""")},countifs({filter('Students (Vertical)'!O:O,'Students (Vertical)'!C:C=B768,'Students (Vertical)'!O:O&lt;&gt;"""");filter('Students (Vertical)'!O:O,'Students (Vertical)'!C:C=E768,'Students (Vertical)'!O:O&lt;&gt;"""")},{filter('Students (Vertical)'!O:O,'Students ("&amp;"Vertical)'!C:C=B768,'Students (Vertical)'!O:O&lt;&gt;"""");filter('Students (Vertical)'!O:O,'Students (Vertical)'!C:C=E768,'Students (Vertical)'!O:O&lt;&gt;"""")})&gt;1))),""No shared courses""),"""")"),"")</f>
        <v/>
      </c>
      <c r="J768" s="94" t="str">
        <f>IFERROR(__xludf.DUMMYFUNCTION("if(H768=""Can't be Together"",iferror(join("", "",unique(filter({unique(filter('Students (Vertical)'!O:O,'Students (Vertical)'!C:C=B768,'Students (Vertical)'!O:O&lt;&gt;"""",'Students (Vertical)'!P:P&gt;1));unique(filter('Students (Vertical)'!O:O,'Students (Vertic"&amp;"al)'!C:C=E768,'Students (Vertical)'!O:O&lt;&gt;"""",'Students (Vertical)'!P:P&gt;1))},countifs({unique(filter('Students (Vertical)'!O:O,'Students (Vertical)'!C:C=B768,'Students (Vertical)'!O:O&lt;&gt;"""",'Students (Vertical)'!P:P&gt;1));unique(filter('Students (Vertical)'"&amp;"!O:O,'Students (Vertical)'!C:C=E768,'Students (Vertical)'!O:O&lt;&gt;"""",'Students (Vertical)'!P:P&gt;1))},{unique(filter('Students (Vertical)'!O:O,'Students (Vertical)'!C:C=B768,'Students (Vertical)'!O:O&lt;&gt;"""",'Students (Vertical)'!P:P&gt;1));unique(filter('Student"&amp;"s (Vertical)'!O:O,'Students (Vertical)'!C:C=E768,'Students (Vertical)'!O:O&lt;&gt;"""",'Students (Vertical)'!P:P&gt;1))})&gt;1))),""""),"""")"),"")</f>
        <v/>
      </c>
      <c r="K768" s="96" t="str">
        <f>IFERROR(__xludf.DUMMYFUNCTION("iferror(join("", "",unique(filter({filter('Students (Vertical)'!D:D,'Students (Vertical)'!C:C=B768,'Students (Vertical)'!D:D&lt;&gt;"""");filter('Students (Vertical)'!D:D,'Students (Vertical)'!C:C=E768,'Students (Vertical)'!D:D&lt;&gt;"""")},countifs({filter('Student"&amp;"s (Vertical)'!D:D,'Students (Vertical)'!C:C=B768,'Students (Vertical)'!D:D&lt;&gt;"""");filter('Students (Vertical)'!D:D,'Students (Vertical)'!C:C=E768,'Students (Vertical)'!D:D&lt;&gt;"""")},{filter('Students (Vertical)'!D:D,'Students (Vertical)'!C:C=B768,'Students "&amp;"(Vertical)'!D:D&lt;&gt;"""");filter('Students (Vertical)'!D:D,'Students (Vertical)'!C:C=E768,'Students (Vertical)'!D:D&lt;&gt;"""")})&gt;1))),"""")"),"")</f>
        <v/>
      </c>
      <c r="L768" s="96"/>
      <c r="M768" s="96"/>
    </row>
    <row r="769" hidden="1">
      <c r="A769" s="8" t="s">
        <v>8</v>
      </c>
      <c r="C769" s="8" t="s">
        <v>8</v>
      </c>
      <c r="D769" s="8" t="s">
        <v>8</v>
      </c>
      <c r="F769" s="8" t="s">
        <v>8</v>
      </c>
      <c r="G769" s="8" t="s">
        <v>8</v>
      </c>
      <c r="I769" s="94" t="str">
        <f>IFERROR(__xludf.DUMMYFUNCTION("if(H769=""Must be Together"",iferror(join("", "",unique(filter({filter('Students (Vertical)'!O:O,'Students (Vertical)'!C:C=B769,'Students (Vertical)'!O:O&lt;&gt;"""");filter('Students (Vertical)'!O:O,'Students (Vertical)'!C:C=E769,'Students (Vertical)'!O:O&lt;&gt;"""&amp;""")},countifs({filter('Students (Vertical)'!O:O,'Students (Vertical)'!C:C=B769,'Students (Vertical)'!O:O&lt;&gt;"""");filter('Students (Vertical)'!O:O,'Students (Vertical)'!C:C=E769,'Students (Vertical)'!O:O&lt;&gt;"""")},{filter('Students (Vertical)'!O:O,'Students ("&amp;"Vertical)'!C:C=B769,'Students (Vertical)'!O:O&lt;&gt;"""");filter('Students (Vertical)'!O:O,'Students (Vertical)'!C:C=E769,'Students (Vertical)'!O:O&lt;&gt;"""")})&gt;1))),""No shared courses""),"""")"),"")</f>
        <v/>
      </c>
      <c r="J769" s="94" t="str">
        <f>IFERROR(__xludf.DUMMYFUNCTION("if(H769=""Can't be Together"",iferror(join("", "",unique(filter({unique(filter('Students (Vertical)'!O:O,'Students (Vertical)'!C:C=B769,'Students (Vertical)'!O:O&lt;&gt;"""",'Students (Vertical)'!P:P&gt;1));unique(filter('Students (Vertical)'!O:O,'Students (Vertic"&amp;"al)'!C:C=E769,'Students (Vertical)'!O:O&lt;&gt;"""",'Students (Vertical)'!P:P&gt;1))},countifs({unique(filter('Students (Vertical)'!O:O,'Students (Vertical)'!C:C=B769,'Students (Vertical)'!O:O&lt;&gt;"""",'Students (Vertical)'!P:P&gt;1));unique(filter('Students (Vertical)'"&amp;"!O:O,'Students (Vertical)'!C:C=E769,'Students (Vertical)'!O:O&lt;&gt;"""",'Students (Vertical)'!P:P&gt;1))},{unique(filter('Students (Vertical)'!O:O,'Students (Vertical)'!C:C=B769,'Students (Vertical)'!O:O&lt;&gt;"""",'Students (Vertical)'!P:P&gt;1));unique(filter('Student"&amp;"s (Vertical)'!O:O,'Students (Vertical)'!C:C=E769,'Students (Vertical)'!O:O&lt;&gt;"""",'Students (Vertical)'!P:P&gt;1))})&gt;1))),""""),"""")"),"")</f>
        <v/>
      </c>
      <c r="K769" s="96" t="str">
        <f>IFERROR(__xludf.DUMMYFUNCTION("iferror(join("", "",unique(filter({filter('Students (Vertical)'!D:D,'Students (Vertical)'!C:C=B769,'Students (Vertical)'!D:D&lt;&gt;"""");filter('Students (Vertical)'!D:D,'Students (Vertical)'!C:C=E769,'Students (Vertical)'!D:D&lt;&gt;"""")},countifs({filter('Student"&amp;"s (Vertical)'!D:D,'Students (Vertical)'!C:C=B769,'Students (Vertical)'!D:D&lt;&gt;"""");filter('Students (Vertical)'!D:D,'Students (Vertical)'!C:C=E769,'Students (Vertical)'!D:D&lt;&gt;"""")},{filter('Students (Vertical)'!D:D,'Students (Vertical)'!C:C=B769,'Students "&amp;"(Vertical)'!D:D&lt;&gt;"""");filter('Students (Vertical)'!D:D,'Students (Vertical)'!C:C=E769,'Students (Vertical)'!D:D&lt;&gt;"""")})&gt;1))),"""")"),"")</f>
        <v/>
      </c>
      <c r="L769" s="96"/>
      <c r="M769" s="96"/>
    </row>
    <row r="770" hidden="1">
      <c r="A770" s="8" t="s">
        <v>8</v>
      </c>
      <c r="C770" s="8" t="s">
        <v>8</v>
      </c>
      <c r="D770" s="8" t="s">
        <v>8</v>
      </c>
      <c r="F770" s="8" t="s">
        <v>8</v>
      </c>
      <c r="G770" s="8" t="s">
        <v>8</v>
      </c>
      <c r="I770" s="94" t="str">
        <f>IFERROR(__xludf.DUMMYFUNCTION("if(H770=""Must be Together"",iferror(join("", "",unique(filter({filter('Students (Vertical)'!O:O,'Students (Vertical)'!C:C=B770,'Students (Vertical)'!O:O&lt;&gt;"""");filter('Students (Vertical)'!O:O,'Students (Vertical)'!C:C=E770,'Students (Vertical)'!O:O&lt;&gt;"""&amp;""")},countifs({filter('Students (Vertical)'!O:O,'Students (Vertical)'!C:C=B770,'Students (Vertical)'!O:O&lt;&gt;"""");filter('Students (Vertical)'!O:O,'Students (Vertical)'!C:C=E770,'Students (Vertical)'!O:O&lt;&gt;"""")},{filter('Students (Vertical)'!O:O,'Students ("&amp;"Vertical)'!C:C=B770,'Students (Vertical)'!O:O&lt;&gt;"""");filter('Students (Vertical)'!O:O,'Students (Vertical)'!C:C=E770,'Students (Vertical)'!O:O&lt;&gt;"""")})&gt;1))),""No shared courses""),"""")"),"")</f>
        <v/>
      </c>
      <c r="J770" s="94" t="str">
        <f>IFERROR(__xludf.DUMMYFUNCTION("if(H770=""Can't be Together"",iferror(join("", "",unique(filter({unique(filter('Students (Vertical)'!O:O,'Students (Vertical)'!C:C=B770,'Students (Vertical)'!O:O&lt;&gt;"""",'Students (Vertical)'!P:P&gt;1));unique(filter('Students (Vertical)'!O:O,'Students (Vertic"&amp;"al)'!C:C=E770,'Students (Vertical)'!O:O&lt;&gt;"""",'Students (Vertical)'!P:P&gt;1))},countifs({unique(filter('Students (Vertical)'!O:O,'Students (Vertical)'!C:C=B770,'Students (Vertical)'!O:O&lt;&gt;"""",'Students (Vertical)'!P:P&gt;1));unique(filter('Students (Vertical)'"&amp;"!O:O,'Students (Vertical)'!C:C=E770,'Students (Vertical)'!O:O&lt;&gt;"""",'Students (Vertical)'!P:P&gt;1))},{unique(filter('Students (Vertical)'!O:O,'Students (Vertical)'!C:C=B770,'Students (Vertical)'!O:O&lt;&gt;"""",'Students (Vertical)'!P:P&gt;1));unique(filter('Student"&amp;"s (Vertical)'!O:O,'Students (Vertical)'!C:C=E770,'Students (Vertical)'!O:O&lt;&gt;"""",'Students (Vertical)'!P:P&gt;1))})&gt;1))),""""),"""")"),"")</f>
        <v/>
      </c>
      <c r="K770" s="96" t="str">
        <f>IFERROR(__xludf.DUMMYFUNCTION("iferror(join("", "",unique(filter({filter('Students (Vertical)'!D:D,'Students (Vertical)'!C:C=B770,'Students (Vertical)'!D:D&lt;&gt;"""");filter('Students (Vertical)'!D:D,'Students (Vertical)'!C:C=E770,'Students (Vertical)'!D:D&lt;&gt;"""")},countifs({filter('Student"&amp;"s (Vertical)'!D:D,'Students (Vertical)'!C:C=B770,'Students (Vertical)'!D:D&lt;&gt;"""");filter('Students (Vertical)'!D:D,'Students (Vertical)'!C:C=E770,'Students (Vertical)'!D:D&lt;&gt;"""")},{filter('Students (Vertical)'!D:D,'Students (Vertical)'!C:C=B770,'Students "&amp;"(Vertical)'!D:D&lt;&gt;"""");filter('Students (Vertical)'!D:D,'Students (Vertical)'!C:C=E770,'Students (Vertical)'!D:D&lt;&gt;"""")})&gt;1))),"""")"),"")</f>
        <v/>
      </c>
      <c r="L770" s="96"/>
      <c r="M770" s="96"/>
    </row>
    <row r="771" hidden="1">
      <c r="A771" s="8" t="s">
        <v>8</v>
      </c>
      <c r="C771" s="8" t="s">
        <v>8</v>
      </c>
      <c r="D771" s="8" t="s">
        <v>8</v>
      </c>
      <c r="F771" s="8" t="s">
        <v>8</v>
      </c>
      <c r="G771" s="8" t="s">
        <v>8</v>
      </c>
      <c r="I771" s="94" t="str">
        <f>IFERROR(__xludf.DUMMYFUNCTION("if(H771=""Must be Together"",iferror(join("", "",unique(filter({filter('Students (Vertical)'!O:O,'Students (Vertical)'!C:C=B771,'Students (Vertical)'!O:O&lt;&gt;"""");filter('Students (Vertical)'!O:O,'Students (Vertical)'!C:C=E771,'Students (Vertical)'!O:O&lt;&gt;"""&amp;""")},countifs({filter('Students (Vertical)'!O:O,'Students (Vertical)'!C:C=B771,'Students (Vertical)'!O:O&lt;&gt;"""");filter('Students (Vertical)'!O:O,'Students (Vertical)'!C:C=E771,'Students (Vertical)'!O:O&lt;&gt;"""")},{filter('Students (Vertical)'!O:O,'Students ("&amp;"Vertical)'!C:C=B771,'Students (Vertical)'!O:O&lt;&gt;"""");filter('Students (Vertical)'!O:O,'Students (Vertical)'!C:C=E771,'Students (Vertical)'!O:O&lt;&gt;"""")})&gt;1))),""No shared courses""),"""")"),"")</f>
        <v/>
      </c>
      <c r="J771" s="94" t="str">
        <f>IFERROR(__xludf.DUMMYFUNCTION("if(H771=""Can't be Together"",iferror(join("", "",unique(filter({unique(filter('Students (Vertical)'!O:O,'Students (Vertical)'!C:C=B771,'Students (Vertical)'!O:O&lt;&gt;"""",'Students (Vertical)'!P:P&gt;1));unique(filter('Students (Vertical)'!O:O,'Students (Vertic"&amp;"al)'!C:C=E771,'Students (Vertical)'!O:O&lt;&gt;"""",'Students (Vertical)'!P:P&gt;1))},countifs({unique(filter('Students (Vertical)'!O:O,'Students (Vertical)'!C:C=B771,'Students (Vertical)'!O:O&lt;&gt;"""",'Students (Vertical)'!P:P&gt;1));unique(filter('Students (Vertical)'"&amp;"!O:O,'Students (Vertical)'!C:C=E771,'Students (Vertical)'!O:O&lt;&gt;"""",'Students (Vertical)'!P:P&gt;1))},{unique(filter('Students (Vertical)'!O:O,'Students (Vertical)'!C:C=B771,'Students (Vertical)'!O:O&lt;&gt;"""",'Students (Vertical)'!P:P&gt;1));unique(filter('Student"&amp;"s (Vertical)'!O:O,'Students (Vertical)'!C:C=E771,'Students (Vertical)'!O:O&lt;&gt;"""",'Students (Vertical)'!P:P&gt;1))})&gt;1))),""""),"""")"),"")</f>
        <v/>
      </c>
      <c r="K771" s="96" t="str">
        <f>IFERROR(__xludf.DUMMYFUNCTION("iferror(join("", "",unique(filter({filter('Students (Vertical)'!D:D,'Students (Vertical)'!C:C=B771,'Students (Vertical)'!D:D&lt;&gt;"""");filter('Students (Vertical)'!D:D,'Students (Vertical)'!C:C=E771,'Students (Vertical)'!D:D&lt;&gt;"""")},countifs({filter('Student"&amp;"s (Vertical)'!D:D,'Students (Vertical)'!C:C=B771,'Students (Vertical)'!D:D&lt;&gt;"""");filter('Students (Vertical)'!D:D,'Students (Vertical)'!C:C=E771,'Students (Vertical)'!D:D&lt;&gt;"""")},{filter('Students (Vertical)'!D:D,'Students (Vertical)'!C:C=B771,'Students "&amp;"(Vertical)'!D:D&lt;&gt;"""");filter('Students (Vertical)'!D:D,'Students (Vertical)'!C:C=E771,'Students (Vertical)'!D:D&lt;&gt;"""")})&gt;1))),"""")"),"")</f>
        <v/>
      </c>
      <c r="L771" s="96"/>
      <c r="M771" s="96"/>
    </row>
    <row r="772" hidden="1">
      <c r="A772" s="8" t="s">
        <v>8</v>
      </c>
      <c r="C772" s="8" t="s">
        <v>8</v>
      </c>
      <c r="D772" s="8" t="s">
        <v>8</v>
      </c>
      <c r="F772" s="8" t="s">
        <v>8</v>
      </c>
      <c r="G772" s="8" t="s">
        <v>8</v>
      </c>
      <c r="I772" s="94" t="str">
        <f>IFERROR(__xludf.DUMMYFUNCTION("if(H772=""Must be Together"",iferror(join("", "",unique(filter({filter('Students (Vertical)'!O:O,'Students (Vertical)'!C:C=B772,'Students (Vertical)'!O:O&lt;&gt;"""");filter('Students (Vertical)'!O:O,'Students (Vertical)'!C:C=E772,'Students (Vertical)'!O:O&lt;&gt;"""&amp;""")},countifs({filter('Students (Vertical)'!O:O,'Students (Vertical)'!C:C=B772,'Students (Vertical)'!O:O&lt;&gt;"""");filter('Students (Vertical)'!O:O,'Students (Vertical)'!C:C=E772,'Students (Vertical)'!O:O&lt;&gt;"""")},{filter('Students (Vertical)'!O:O,'Students ("&amp;"Vertical)'!C:C=B772,'Students (Vertical)'!O:O&lt;&gt;"""");filter('Students (Vertical)'!O:O,'Students (Vertical)'!C:C=E772,'Students (Vertical)'!O:O&lt;&gt;"""")})&gt;1))),""No shared courses""),"""")"),"")</f>
        <v/>
      </c>
      <c r="J772" s="94" t="str">
        <f>IFERROR(__xludf.DUMMYFUNCTION("if(H772=""Can't be Together"",iferror(join("", "",unique(filter({unique(filter('Students (Vertical)'!O:O,'Students (Vertical)'!C:C=B772,'Students (Vertical)'!O:O&lt;&gt;"""",'Students (Vertical)'!P:P&gt;1));unique(filter('Students (Vertical)'!O:O,'Students (Vertic"&amp;"al)'!C:C=E772,'Students (Vertical)'!O:O&lt;&gt;"""",'Students (Vertical)'!P:P&gt;1))},countifs({unique(filter('Students (Vertical)'!O:O,'Students (Vertical)'!C:C=B772,'Students (Vertical)'!O:O&lt;&gt;"""",'Students (Vertical)'!P:P&gt;1));unique(filter('Students (Vertical)'"&amp;"!O:O,'Students (Vertical)'!C:C=E772,'Students (Vertical)'!O:O&lt;&gt;"""",'Students (Vertical)'!P:P&gt;1))},{unique(filter('Students (Vertical)'!O:O,'Students (Vertical)'!C:C=B772,'Students (Vertical)'!O:O&lt;&gt;"""",'Students (Vertical)'!P:P&gt;1));unique(filter('Student"&amp;"s (Vertical)'!O:O,'Students (Vertical)'!C:C=E772,'Students (Vertical)'!O:O&lt;&gt;"""",'Students (Vertical)'!P:P&gt;1))})&gt;1))),""""),"""")"),"")</f>
        <v/>
      </c>
      <c r="K772" s="96" t="str">
        <f>IFERROR(__xludf.DUMMYFUNCTION("iferror(join("", "",unique(filter({filter('Students (Vertical)'!D:D,'Students (Vertical)'!C:C=B772,'Students (Vertical)'!D:D&lt;&gt;"""");filter('Students (Vertical)'!D:D,'Students (Vertical)'!C:C=E772,'Students (Vertical)'!D:D&lt;&gt;"""")},countifs({filter('Student"&amp;"s (Vertical)'!D:D,'Students (Vertical)'!C:C=B772,'Students (Vertical)'!D:D&lt;&gt;"""");filter('Students (Vertical)'!D:D,'Students (Vertical)'!C:C=E772,'Students (Vertical)'!D:D&lt;&gt;"""")},{filter('Students (Vertical)'!D:D,'Students (Vertical)'!C:C=B772,'Students "&amp;"(Vertical)'!D:D&lt;&gt;"""");filter('Students (Vertical)'!D:D,'Students (Vertical)'!C:C=E772,'Students (Vertical)'!D:D&lt;&gt;"""")})&gt;1))),"""")"),"")</f>
        <v/>
      </c>
      <c r="L772" s="96"/>
      <c r="M772" s="96"/>
    </row>
    <row r="773" hidden="1">
      <c r="A773" s="8" t="s">
        <v>8</v>
      </c>
      <c r="C773" s="8" t="s">
        <v>8</v>
      </c>
      <c r="D773" s="8" t="s">
        <v>8</v>
      </c>
      <c r="F773" s="8" t="s">
        <v>8</v>
      </c>
      <c r="G773" s="8" t="s">
        <v>8</v>
      </c>
      <c r="I773" s="94" t="str">
        <f>IFERROR(__xludf.DUMMYFUNCTION("if(H773=""Must be Together"",iferror(join("", "",unique(filter({filter('Students (Vertical)'!O:O,'Students (Vertical)'!C:C=B773,'Students (Vertical)'!O:O&lt;&gt;"""");filter('Students (Vertical)'!O:O,'Students (Vertical)'!C:C=E773,'Students (Vertical)'!O:O&lt;&gt;"""&amp;""")},countifs({filter('Students (Vertical)'!O:O,'Students (Vertical)'!C:C=B773,'Students (Vertical)'!O:O&lt;&gt;"""");filter('Students (Vertical)'!O:O,'Students (Vertical)'!C:C=E773,'Students (Vertical)'!O:O&lt;&gt;"""")},{filter('Students (Vertical)'!O:O,'Students ("&amp;"Vertical)'!C:C=B773,'Students (Vertical)'!O:O&lt;&gt;"""");filter('Students (Vertical)'!O:O,'Students (Vertical)'!C:C=E773,'Students (Vertical)'!O:O&lt;&gt;"""")})&gt;1))),""No shared courses""),"""")"),"")</f>
        <v/>
      </c>
      <c r="J773" s="94" t="str">
        <f>IFERROR(__xludf.DUMMYFUNCTION("if(H773=""Can't be Together"",iferror(join("", "",unique(filter({unique(filter('Students (Vertical)'!O:O,'Students (Vertical)'!C:C=B773,'Students (Vertical)'!O:O&lt;&gt;"""",'Students (Vertical)'!P:P&gt;1));unique(filter('Students (Vertical)'!O:O,'Students (Vertic"&amp;"al)'!C:C=E773,'Students (Vertical)'!O:O&lt;&gt;"""",'Students (Vertical)'!P:P&gt;1))},countifs({unique(filter('Students (Vertical)'!O:O,'Students (Vertical)'!C:C=B773,'Students (Vertical)'!O:O&lt;&gt;"""",'Students (Vertical)'!P:P&gt;1));unique(filter('Students (Vertical)'"&amp;"!O:O,'Students (Vertical)'!C:C=E773,'Students (Vertical)'!O:O&lt;&gt;"""",'Students (Vertical)'!P:P&gt;1))},{unique(filter('Students (Vertical)'!O:O,'Students (Vertical)'!C:C=B773,'Students (Vertical)'!O:O&lt;&gt;"""",'Students (Vertical)'!P:P&gt;1));unique(filter('Student"&amp;"s (Vertical)'!O:O,'Students (Vertical)'!C:C=E773,'Students (Vertical)'!O:O&lt;&gt;"""",'Students (Vertical)'!P:P&gt;1))})&gt;1))),""""),"""")"),"")</f>
        <v/>
      </c>
      <c r="K773" s="96" t="str">
        <f>IFERROR(__xludf.DUMMYFUNCTION("iferror(join("", "",unique(filter({filter('Students (Vertical)'!D:D,'Students (Vertical)'!C:C=B773,'Students (Vertical)'!D:D&lt;&gt;"""");filter('Students (Vertical)'!D:D,'Students (Vertical)'!C:C=E773,'Students (Vertical)'!D:D&lt;&gt;"""")},countifs({filter('Student"&amp;"s (Vertical)'!D:D,'Students (Vertical)'!C:C=B773,'Students (Vertical)'!D:D&lt;&gt;"""");filter('Students (Vertical)'!D:D,'Students (Vertical)'!C:C=E773,'Students (Vertical)'!D:D&lt;&gt;"""")},{filter('Students (Vertical)'!D:D,'Students (Vertical)'!C:C=B773,'Students "&amp;"(Vertical)'!D:D&lt;&gt;"""");filter('Students (Vertical)'!D:D,'Students (Vertical)'!C:C=E773,'Students (Vertical)'!D:D&lt;&gt;"""")})&gt;1))),"""")"),"")</f>
        <v/>
      </c>
      <c r="L773" s="96"/>
      <c r="M773" s="96"/>
    </row>
    <row r="774" hidden="1">
      <c r="A774" s="8" t="s">
        <v>8</v>
      </c>
      <c r="C774" s="8" t="s">
        <v>8</v>
      </c>
      <c r="D774" s="8" t="s">
        <v>8</v>
      </c>
      <c r="F774" s="8" t="s">
        <v>8</v>
      </c>
      <c r="G774" s="8" t="s">
        <v>8</v>
      </c>
      <c r="I774" s="94" t="str">
        <f>IFERROR(__xludf.DUMMYFUNCTION("if(H774=""Must be Together"",iferror(join("", "",unique(filter({filter('Students (Vertical)'!O:O,'Students (Vertical)'!C:C=B774,'Students (Vertical)'!O:O&lt;&gt;"""");filter('Students (Vertical)'!O:O,'Students (Vertical)'!C:C=E774,'Students (Vertical)'!O:O&lt;&gt;"""&amp;""")},countifs({filter('Students (Vertical)'!O:O,'Students (Vertical)'!C:C=B774,'Students (Vertical)'!O:O&lt;&gt;"""");filter('Students (Vertical)'!O:O,'Students (Vertical)'!C:C=E774,'Students (Vertical)'!O:O&lt;&gt;"""")},{filter('Students (Vertical)'!O:O,'Students ("&amp;"Vertical)'!C:C=B774,'Students (Vertical)'!O:O&lt;&gt;"""");filter('Students (Vertical)'!O:O,'Students (Vertical)'!C:C=E774,'Students (Vertical)'!O:O&lt;&gt;"""")})&gt;1))),""No shared courses""),"""")"),"")</f>
        <v/>
      </c>
      <c r="J774" s="94" t="str">
        <f>IFERROR(__xludf.DUMMYFUNCTION("if(H774=""Can't be Together"",iferror(join("", "",unique(filter({unique(filter('Students (Vertical)'!O:O,'Students (Vertical)'!C:C=B774,'Students (Vertical)'!O:O&lt;&gt;"""",'Students (Vertical)'!P:P&gt;1));unique(filter('Students (Vertical)'!O:O,'Students (Vertic"&amp;"al)'!C:C=E774,'Students (Vertical)'!O:O&lt;&gt;"""",'Students (Vertical)'!P:P&gt;1))},countifs({unique(filter('Students (Vertical)'!O:O,'Students (Vertical)'!C:C=B774,'Students (Vertical)'!O:O&lt;&gt;"""",'Students (Vertical)'!P:P&gt;1));unique(filter('Students (Vertical)'"&amp;"!O:O,'Students (Vertical)'!C:C=E774,'Students (Vertical)'!O:O&lt;&gt;"""",'Students (Vertical)'!P:P&gt;1))},{unique(filter('Students (Vertical)'!O:O,'Students (Vertical)'!C:C=B774,'Students (Vertical)'!O:O&lt;&gt;"""",'Students (Vertical)'!P:P&gt;1));unique(filter('Student"&amp;"s (Vertical)'!O:O,'Students (Vertical)'!C:C=E774,'Students (Vertical)'!O:O&lt;&gt;"""",'Students (Vertical)'!P:P&gt;1))})&gt;1))),""""),"""")"),"")</f>
        <v/>
      </c>
      <c r="K774" s="96" t="str">
        <f>IFERROR(__xludf.DUMMYFUNCTION("iferror(join("", "",unique(filter({filter('Students (Vertical)'!D:D,'Students (Vertical)'!C:C=B774,'Students (Vertical)'!D:D&lt;&gt;"""");filter('Students (Vertical)'!D:D,'Students (Vertical)'!C:C=E774,'Students (Vertical)'!D:D&lt;&gt;"""")},countifs({filter('Student"&amp;"s (Vertical)'!D:D,'Students (Vertical)'!C:C=B774,'Students (Vertical)'!D:D&lt;&gt;"""");filter('Students (Vertical)'!D:D,'Students (Vertical)'!C:C=E774,'Students (Vertical)'!D:D&lt;&gt;"""")},{filter('Students (Vertical)'!D:D,'Students (Vertical)'!C:C=B774,'Students "&amp;"(Vertical)'!D:D&lt;&gt;"""");filter('Students (Vertical)'!D:D,'Students (Vertical)'!C:C=E774,'Students (Vertical)'!D:D&lt;&gt;"""")})&gt;1))),"""")"),"")</f>
        <v/>
      </c>
      <c r="L774" s="96"/>
      <c r="M774" s="96"/>
    </row>
    <row r="775" hidden="1">
      <c r="A775" s="8" t="s">
        <v>8</v>
      </c>
      <c r="C775" s="8" t="s">
        <v>8</v>
      </c>
      <c r="D775" s="8" t="s">
        <v>8</v>
      </c>
      <c r="F775" s="8" t="s">
        <v>8</v>
      </c>
      <c r="G775" s="8" t="s">
        <v>8</v>
      </c>
      <c r="I775" s="94" t="str">
        <f>IFERROR(__xludf.DUMMYFUNCTION("if(H775=""Must be Together"",iferror(join("", "",unique(filter({filter('Students (Vertical)'!O:O,'Students (Vertical)'!C:C=B775,'Students (Vertical)'!O:O&lt;&gt;"""");filter('Students (Vertical)'!O:O,'Students (Vertical)'!C:C=E775,'Students (Vertical)'!O:O&lt;&gt;"""&amp;""")},countifs({filter('Students (Vertical)'!O:O,'Students (Vertical)'!C:C=B775,'Students (Vertical)'!O:O&lt;&gt;"""");filter('Students (Vertical)'!O:O,'Students (Vertical)'!C:C=E775,'Students (Vertical)'!O:O&lt;&gt;"""")},{filter('Students (Vertical)'!O:O,'Students ("&amp;"Vertical)'!C:C=B775,'Students (Vertical)'!O:O&lt;&gt;"""");filter('Students (Vertical)'!O:O,'Students (Vertical)'!C:C=E775,'Students (Vertical)'!O:O&lt;&gt;"""")})&gt;1))),""No shared courses""),"""")"),"")</f>
        <v/>
      </c>
      <c r="J775" s="94" t="str">
        <f>IFERROR(__xludf.DUMMYFUNCTION("if(H775=""Can't be Together"",iferror(join("", "",unique(filter({unique(filter('Students (Vertical)'!O:O,'Students (Vertical)'!C:C=B775,'Students (Vertical)'!O:O&lt;&gt;"""",'Students (Vertical)'!P:P&gt;1));unique(filter('Students (Vertical)'!O:O,'Students (Vertic"&amp;"al)'!C:C=E775,'Students (Vertical)'!O:O&lt;&gt;"""",'Students (Vertical)'!P:P&gt;1))},countifs({unique(filter('Students (Vertical)'!O:O,'Students (Vertical)'!C:C=B775,'Students (Vertical)'!O:O&lt;&gt;"""",'Students (Vertical)'!P:P&gt;1));unique(filter('Students (Vertical)'"&amp;"!O:O,'Students (Vertical)'!C:C=E775,'Students (Vertical)'!O:O&lt;&gt;"""",'Students (Vertical)'!P:P&gt;1))},{unique(filter('Students (Vertical)'!O:O,'Students (Vertical)'!C:C=B775,'Students (Vertical)'!O:O&lt;&gt;"""",'Students (Vertical)'!P:P&gt;1));unique(filter('Student"&amp;"s (Vertical)'!O:O,'Students (Vertical)'!C:C=E775,'Students (Vertical)'!O:O&lt;&gt;"""",'Students (Vertical)'!P:P&gt;1))})&gt;1))),""""),"""")"),"")</f>
        <v/>
      </c>
      <c r="K775" s="96" t="str">
        <f>IFERROR(__xludf.DUMMYFUNCTION("iferror(join("", "",unique(filter({filter('Students (Vertical)'!D:D,'Students (Vertical)'!C:C=B775,'Students (Vertical)'!D:D&lt;&gt;"""");filter('Students (Vertical)'!D:D,'Students (Vertical)'!C:C=E775,'Students (Vertical)'!D:D&lt;&gt;"""")},countifs({filter('Student"&amp;"s (Vertical)'!D:D,'Students (Vertical)'!C:C=B775,'Students (Vertical)'!D:D&lt;&gt;"""");filter('Students (Vertical)'!D:D,'Students (Vertical)'!C:C=E775,'Students (Vertical)'!D:D&lt;&gt;"""")},{filter('Students (Vertical)'!D:D,'Students (Vertical)'!C:C=B775,'Students "&amp;"(Vertical)'!D:D&lt;&gt;"""");filter('Students (Vertical)'!D:D,'Students (Vertical)'!C:C=E775,'Students (Vertical)'!D:D&lt;&gt;"""")})&gt;1))),"""")"),"")</f>
        <v/>
      </c>
      <c r="L775" s="96"/>
      <c r="M775" s="96"/>
    </row>
    <row r="776" hidden="1">
      <c r="A776" s="8" t="s">
        <v>8</v>
      </c>
      <c r="C776" s="8" t="s">
        <v>8</v>
      </c>
      <c r="D776" s="8" t="s">
        <v>8</v>
      </c>
      <c r="F776" s="8" t="s">
        <v>8</v>
      </c>
      <c r="G776" s="8" t="s">
        <v>8</v>
      </c>
      <c r="I776" s="94" t="str">
        <f>IFERROR(__xludf.DUMMYFUNCTION("if(H776=""Must be Together"",iferror(join("", "",unique(filter({filter('Students (Vertical)'!O:O,'Students (Vertical)'!C:C=B776,'Students (Vertical)'!O:O&lt;&gt;"""");filter('Students (Vertical)'!O:O,'Students (Vertical)'!C:C=E776,'Students (Vertical)'!O:O&lt;&gt;"""&amp;""")},countifs({filter('Students (Vertical)'!O:O,'Students (Vertical)'!C:C=B776,'Students (Vertical)'!O:O&lt;&gt;"""");filter('Students (Vertical)'!O:O,'Students (Vertical)'!C:C=E776,'Students (Vertical)'!O:O&lt;&gt;"""")},{filter('Students (Vertical)'!O:O,'Students ("&amp;"Vertical)'!C:C=B776,'Students (Vertical)'!O:O&lt;&gt;"""");filter('Students (Vertical)'!O:O,'Students (Vertical)'!C:C=E776,'Students (Vertical)'!O:O&lt;&gt;"""")})&gt;1))),""No shared courses""),"""")"),"")</f>
        <v/>
      </c>
      <c r="J776" s="94" t="str">
        <f>IFERROR(__xludf.DUMMYFUNCTION("if(H776=""Can't be Together"",iferror(join("", "",unique(filter({unique(filter('Students (Vertical)'!O:O,'Students (Vertical)'!C:C=B776,'Students (Vertical)'!O:O&lt;&gt;"""",'Students (Vertical)'!P:P&gt;1));unique(filter('Students (Vertical)'!O:O,'Students (Vertic"&amp;"al)'!C:C=E776,'Students (Vertical)'!O:O&lt;&gt;"""",'Students (Vertical)'!P:P&gt;1))},countifs({unique(filter('Students (Vertical)'!O:O,'Students (Vertical)'!C:C=B776,'Students (Vertical)'!O:O&lt;&gt;"""",'Students (Vertical)'!P:P&gt;1));unique(filter('Students (Vertical)'"&amp;"!O:O,'Students (Vertical)'!C:C=E776,'Students (Vertical)'!O:O&lt;&gt;"""",'Students (Vertical)'!P:P&gt;1))},{unique(filter('Students (Vertical)'!O:O,'Students (Vertical)'!C:C=B776,'Students (Vertical)'!O:O&lt;&gt;"""",'Students (Vertical)'!P:P&gt;1));unique(filter('Student"&amp;"s (Vertical)'!O:O,'Students (Vertical)'!C:C=E776,'Students (Vertical)'!O:O&lt;&gt;"""",'Students (Vertical)'!P:P&gt;1))})&gt;1))),""""),"""")"),"")</f>
        <v/>
      </c>
      <c r="K776" s="96" t="str">
        <f>IFERROR(__xludf.DUMMYFUNCTION("iferror(join("", "",unique(filter({filter('Students (Vertical)'!D:D,'Students (Vertical)'!C:C=B776,'Students (Vertical)'!D:D&lt;&gt;"""");filter('Students (Vertical)'!D:D,'Students (Vertical)'!C:C=E776,'Students (Vertical)'!D:D&lt;&gt;"""")},countifs({filter('Student"&amp;"s (Vertical)'!D:D,'Students (Vertical)'!C:C=B776,'Students (Vertical)'!D:D&lt;&gt;"""");filter('Students (Vertical)'!D:D,'Students (Vertical)'!C:C=E776,'Students (Vertical)'!D:D&lt;&gt;"""")},{filter('Students (Vertical)'!D:D,'Students (Vertical)'!C:C=B776,'Students "&amp;"(Vertical)'!D:D&lt;&gt;"""");filter('Students (Vertical)'!D:D,'Students (Vertical)'!C:C=E776,'Students (Vertical)'!D:D&lt;&gt;"""")})&gt;1))),"""")"),"")</f>
        <v/>
      </c>
      <c r="L776" s="96"/>
      <c r="M776" s="96"/>
    </row>
    <row r="777" hidden="1">
      <c r="A777" s="8" t="s">
        <v>8</v>
      </c>
      <c r="C777" s="8" t="s">
        <v>8</v>
      </c>
      <c r="D777" s="8" t="s">
        <v>8</v>
      </c>
      <c r="F777" s="8" t="s">
        <v>8</v>
      </c>
      <c r="G777" s="8" t="s">
        <v>8</v>
      </c>
      <c r="I777" s="94" t="str">
        <f>IFERROR(__xludf.DUMMYFUNCTION("if(H777=""Must be Together"",iferror(join("", "",unique(filter({filter('Students (Vertical)'!O:O,'Students (Vertical)'!C:C=B777,'Students (Vertical)'!O:O&lt;&gt;"""");filter('Students (Vertical)'!O:O,'Students (Vertical)'!C:C=E777,'Students (Vertical)'!O:O&lt;&gt;"""&amp;""")},countifs({filter('Students (Vertical)'!O:O,'Students (Vertical)'!C:C=B777,'Students (Vertical)'!O:O&lt;&gt;"""");filter('Students (Vertical)'!O:O,'Students (Vertical)'!C:C=E777,'Students (Vertical)'!O:O&lt;&gt;"""")},{filter('Students (Vertical)'!O:O,'Students ("&amp;"Vertical)'!C:C=B777,'Students (Vertical)'!O:O&lt;&gt;"""");filter('Students (Vertical)'!O:O,'Students (Vertical)'!C:C=E777,'Students (Vertical)'!O:O&lt;&gt;"""")})&gt;1))),""No shared courses""),"""")"),"")</f>
        <v/>
      </c>
      <c r="J777" s="94" t="str">
        <f>IFERROR(__xludf.DUMMYFUNCTION("if(H777=""Can't be Together"",iferror(join("", "",unique(filter({unique(filter('Students (Vertical)'!O:O,'Students (Vertical)'!C:C=B777,'Students (Vertical)'!O:O&lt;&gt;"""",'Students (Vertical)'!P:P&gt;1));unique(filter('Students (Vertical)'!O:O,'Students (Vertic"&amp;"al)'!C:C=E777,'Students (Vertical)'!O:O&lt;&gt;"""",'Students (Vertical)'!P:P&gt;1))},countifs({unique(filter('Students (Vertical)'!O:O,'Students (Vertical)'!C:C=B777,'Students (Vertical)'!O:O&lt;&gt;"""",'Students (Vertical)'!P:P&gt;1));unique(filter('Students (Vertical)'"&amp;"!O:O,'Students (Vertical)'!C:C=E777,'Students (Vertical)'!O:O&lt;&gt;"""",'Students (Vertical)'!P:P&gt;1))},{unique(filter('Students (Vertical)'!O:O,'Students (Vertical)'!C:C=B777,'Students (Vertical)'!O:O&lt;&gt;"""",'Students (Vertical)'!P:P&gt;1));unique(filter('Student"&amp;"s (Vertical)'!O:O,'Students (Vertical)'!C:C=E777,'Students (Vertical)'!O:O&lt;&gt;"""",'Students (Vertical)'!P:P&gt;1))})&gt;1))),""""),"""")"),"")</f>
        <v/>
      </c>
      <c r="K777" s="96" t="str">
        <f>IFERROR(__xludf.DUMMYFUNCTION("iferror(join("", "",unique(filter({filter('Students (Vertical)'!D:D,'Students (Vertical)'!C:C=B777,'Students (Vertical)'!D:D&lt;&gt;"""");filter('Students (Vertical)'!D:D,'Students (Vertical)'!C:C=E777,'Students (Vertical)'!D:D&lt;&gt;"""")},countifs({filter('Student"&amp;"s (Vertical)'!D:D,'Students (Vertical)'!C:C=B777,'Students (Vertical)'!D:D&lt;&gt;"""");filter('Students (Vertical)'!D:D,'Students (Vertical)'!C:C=E777,'Students (Vertical)'!D:D&lt;&gt;"""")},{filter('Students (Vertical)'!D:D,'Students (Vertical)'!C:C=B777,'Students "&amp;"(Vertical)'!D:D&lt;&gt;"""");filter('Students (Vertical)'!D:D,'Students (Vertical)'!C:C=E777,'Students (Vertical)'!D:D&lt;&gt;"""")})&gt;1))),"""")"),"")</f>
        <v/>
      </c>
      <c r="L777" s="96"/>
      <c r="M777" s="96"/>
    </row>
    <row r="778" hidden="1">
      <c r="A778" s="8" t="s">
        <v>8</v>
      </c>
      <c r="C778" s="8" t="s">
        <v>8</v>
      </c>
      <c r="D778" s="8" t="s">
        <v>8</v>
      </c>
      <c r="F778" s="8" t="s">
        <v>8</v>
      </c>
      <c r="G778" s="8" t="s">
        <v>8</v>
      </c>
      <c r="I778" s="94" t="str">
        <f>IFERROR(__xludf.DUMMYFUNCTION("if(H778=""Must be Together"",iferror(join("", "",unique(filter({filter('Students (Vertical)'!O:O,'Students (Vertical)'!C:C=B778,'Students (Vertical)'!O:O&lt;&gt;"""");filter('Students (Vertical)'!O:O,'Students (Vertical)'!C:C=E778,'Students (Vertical)'!O:O&lt;&gt;"""&amp;""")},countifs({filter('Students (Vertical)'!O:O,'Students (Vertical)'!C:C=B778,'Students (Vertical)'!O:O&lt;&gt;"""");filter('Students (Vertical)'!O:O,'Students (Vertical)'!C:C=E778,'Students (Vertical)'!O:O&lt;&gt;"""")},{filter('Students (Vertical)'!O:O,'Students ("&amp;"Vertical)'!C:C=B778,'Students (Vertical)'!O:O&lt;&gt;"""");filter('Students (Vertical)'!O:O,'Students (Vertical)'!C:C=E778,'Students (Vertical)'!O:O&lt;&gt;"""")})&gt;1))),""No shared courses""),"""")"),"")</f>
        <v/>
      </c>
      <c r="J778" s="94" t="str">
        <f>IFERROR(__xludf.DUMMYFUNCTION("if(H778=""Can't be Together"",iferror(join("", "",unique(filter({unique(filter('Students (Vertical)'!O:O,'Students (Vertical)'!C:C=B778,'Students (Vertical)'!O:O&lt;&gt;"""",'Students (Vertical)'!P:P&gt;1));unique(filter('Students (Vertical)'!O:O,'Students (Vertic"&amp;"al)'!C:C=E778,'Students (Vertical)'!O:O&lt;&gt;"""",'Students (Vertical)'!P:P&gt;1))},countifs({unique(filter('Students (Vertical)'!O:O,'Students (Vertical)'!C:C=B778,'Students (Vertical)'!O:O&lt;&gt;"""",'Students (Vertical)'!P:P&gt;1));unique(filter('Students (Vertical)'"&amp;"!O:O,'Students (Vertical)'!C:C=E778,'Students (Vertical)'!O:O&lt;&gt;"""",'Students (Vertical)'!P:P&gt;1))},{unique(filter('Students (Vertical)'!O:O,'Students (Vertical)'!C:C=B778,'Students (Vertical)'!O:O&lt;&gt;"""",'Students (Vertical)'!P:P&gt;1));unique(filter('Student"&amp;"s (Vertical)'!O:O,'Students (Vertical)'!C:C=E778,'Students (Vertical)'!O:O&lt;&gt;"""",'Students (Vertical)'!P:P&gt;1))})&gt;1))),""""),"""")"),"")</f>
        <v/>
      </c>
      <c r="K778" s="96" t="str">
        <f>IFERROR(__xludf.DUMMYFUNCTION("iferror(join("", "",unique(filter({filter('Students (Vertical)'!D:D,'Students (Vertical)'!C:C=B778,'Students (Vertical)'!D:D&lt;&gt;"""");filter('Students (Vertical)'!D:D,'Students (Vertical)'!C:C=E778,'Students (Vertical)'!D:D&lt;&gt;"""")},countifs({filter('Student"&amp;"s (Vertical)'!D:D,'Students (Vertical)'!C:C=B778,'Students (Vertical)'!D:D&lt;&gt;"""");filter('Students (Vertical)'!D:D,'Students (Vertical)'!C:C=E778,'Students (Vertical)'!D:D&lt;&gt;"""")},{filter('Students (Vertical)'!D:D,'Students (Vertical)'!C:C=B778,'Students "&amp;"(Vertical)'!D:D&lt;&gt;"""");filter('Students (Vertical)'!D:D,'Students (Vertical)'!C:C=E778,'Students (Vertical)'!D:D&lt;&gt;"""")})&gt;1))),"""")"),"")</f>
        <v/>
      </c>
      <c r="L778" s="96"/>
      <c r="M778" s="96"/>
    </row>
    <row r="779" hidden="1">
      <c r="A779" s="8" t="s">
        <v>8</v>
      </c>
      <c r="C779" s="8" t="s">
        <v>8</v>
      </c>
      <c r="D779" s="8" t="s">
        <v>8</v>
      </c>
      <c r="F779" s="8" t="s">
        <v>8</v>
      </c>
      <c r="G779" s="8" t="s">
        <v>8</v>
      </c>
      <c r="I779" s="94" t="str">
        <f>IFERROR(__xludf.DUMMYFUNCTION("if(H779=""Must be Together"",iferror(join("", "",unique(filter({filter('Students (Vertical)'!O:O,'Students (Vertical)'!C:C=B779,'Students (Vertical)'!O:O&lt;&gt;"""");filter('Students (Vertical)'!O:O,'Students (Vertical)'!C:C=E779,'Students (Vertical)'!O:O&lt;&gt;"""&amp;""")},countifs({filter('Students (Vertical)'!O:O,'Students (Vertical)'!C:C=B779,'Students (Vertical)'!O:O&lt;&gt;"""");filter('Students (Vertical)'!O:O,'Students (Vertical)'!C:C=E779,'Students (Vertical)'!O:O&lt;&gt;"""")},{filter('Students (Vertical)'!O:O,'Students ("&amp;"Vertical)'!C:C=B779,'Students (Vertical)'!O:O&lt;&gt;"""");filter('Students (Vertical)'!O:O,'Students (Vertical)'!C:C=E779,'Students (Vertical)'!O:O&lt;&gt;"""")})&gt;1))),""No shared courses""),"""")"),"")</f>
        <v/>
      </c>
      <c r="J779" s="94" t="str">
        <f>IFERROR(__xludf.DUMMYFUNCTION("if(H779=""Can't be Together"",iferror(join("", "",unique(filter({unique(filter('Students (Vertical)'!O:O,'Students (Vertical)'!C:C=B779,'Students (Vertical)'!O:O&lt;&gt;"""",'Students (Vertical)'!P:P&gt;1));unique(filter('Students (Vertical)'!O:O,'Students (Vertic"&amp;"al)'!C:C=E779,'Students (Vertical)'!O:O&lt;&gt;"""",'Students (Vertical)'!P:P&gt;1))},countifs({unique(filter('Students (Vertical)'!O:O,'Students (Vertical)'!C:C=B779,'Students (Vertical)'!O:O&lt;&gt;"""",'Students (Vertical)'!P:P&gt;1));unique(filter('Students (Vertical)'"&amp;"!O:O,'Students (Vertical)'!C:C=E779,'Students (Vertical)'!O:O&lt;&gt;"""",'Students (Vertical)'!P:P&gt;1))},{unique(filter('Students (Vertical)'!O:O,'Students (Vertical)'!C:C=B779,'Students (Vertical)'!O:O&lt;&gt;"""",'Students (Vertical)'!P:P&gt;1));unique(filter('Student"&amp;"s (Vertical)'!O:O,'Students (Vertical)'!C:C=E779,'Students (Vertical)'!O:O&lt;&gt;"""",'Students (Vertical)'!P:P&gt;1))})&gt;1))),""""),"""")"),"")</f>
        <v/>
      </c>
      <c r="K779" s="96" t="str">
        <f>IFERROR(__xludf.DUMMYFUNCTION("iferror(join("", "",unique(filter({filter('Students (Vertical)'!D:D,'Students (Vertical)'!C:C=B779,'Students (Vertical)'!D:D&lt;&gt;"""");filter('Students (Vertical)'!D:D,'Students (Vertical)'!C:C=E779,'Students (Vertical)'!D:D&lt;&gt;"""")},countifs({filter('Student"&amp;"s (Vertical)'!D:D,'Students (Vertical)'!C:C=B779,'Students (Vertical)'!D:D&lt;&gt;"""");filter('Students (Vertical)'!D:D,'Students (Vertical)'!C:C=E779,'Students (Vertical)'!D:D&lt;&gt;"""")},{filter('Students (Vertical)'!D:D,'Students (Vertical)'!C:C=B779,'Students "&amp;"(Vertical)'!D:D&lt;&gt;"""");filter('Students (Vertical)'!D:D,'Students (Vertical)'!C:C=E779,'Students (Vertical)'!D:D&lt;&gt;"""")})&gt;1))),"""")"),"")</f>
        <v/>
      </c>
      <c r="L779" s="96"/>
      <c r="M779" s="96"/>
    </row>
    <row r="780" hidden="1">
      <c r="A780" s="8" t="s">
        <v>8</v>
      </c>
      <c r="C780" s="8" t="s">
        <v>8</v>
      </c>
      <c r="D780" s="8" t="s">
        <v>8</v>
      </c>
      <c r="F780" s="8" t="s">
        <v>8</v>
      </c>
      <c r="G780" s="8" t="s">
        <v>8</v>
      </c>
      <c r="I780" s="94" t="str">
        <f>IFERROR(__xludf.DUMMYFUNCTION("if(H780=""Must be Together"",iferror(join("", "",unique(filter({filter('Students (Vertical)'!O:O,'Students (Vertical)'!C:C=B780,'Students (Vertical)'!O:O&lt;&gt;"""");filter('Students (Vertical)'!O:O,'Students (Vertical)'!C:C=E780,'Students (Vertical)'!O:O&lt;&gt;"""&amp;""")},countifs({filter('Students (Vertical)'!O:O,'Students (Vertical)'!C:C=B780,'Students (Vertical)'!O:O&lt;&gt;"""");filter('Students (Vertical)'!O:O,'Students (Vertical)'!C:C=E780,'Students (Vertical)'!O:O&lt;&gt;"""")},{filter('Students (Vertical)'!O:O,'Students ("&amp;"Vertical)'!C:C=B780,'Students (Vertical)'!O:O&lt;&gt;"""");filter('Students (Vertical)'!O:O,'Students (Vertical)'!C:C=E780,'Students (Vertical)'!O:O&lt;&gt;"""")})&gt;1))),""No shared courses""),"""")"),"")</f>
        <v/>
      </c>
      <c r="J780" s="94" t="str">
        <f>IFERROR(__xludf.DUMMYFUNCTION("if(H780=""Can't be Together"",iferror(join("", "",unique(filter({unique(filter('Students (Vertical)'!O:O,'Students (Vertical)'!C:C=B780,'Students (Vertical)'!O:O&lt;&gt;"""",'Students (Vertical)'!P:P&gt;1));unique(filter('Students (Vertical)'!O:O,'Students (Vertic"&amp;"al)'!C:C=E780,'Students (Vertical)'!O:O&lt;&gt;"""",'Students (Vertical)'!P:P&gt;1))},countifs({unique(filter('Students (Vertical)'!O:O,'Students (Vertical)'!C:C=B780,'Students (Vertical)'!O:O&lt;&gt;"""",'Students (Vertical)'!P:P&gt;1));unique(filter('Students (Vertical)'"&amp;"!O:O,'Students (Vertical)'!C:C=E780,'Students (Vertical)'!O:O&lt;&gt;"""",'Students (Vertical)'!P:P&gt;1))},{unique(filter('Students (Vertical)'!O:O,'Students (Vertical)'!C:C=B780,'Students (Vertical)'!O:O&lt;&gt;"""",'Students (Vertical)'!P:P&gt;1));unique(filter('Student"&amp;"s (Vertical)'!O:O,'Students (Vertical)'!C:C=E780,'Students (Vertical)'!O:O&lt;&gt;"""",'Students (Vertical)'!P:P&gt;1))})&gt;1))),""""),"""")"),"")</f>
        <v/>
      </c>
      <c r="K780" s="96" t="str">
        <f>IFERROR(__xludf.DUMMYFUNCTION("iferror(join("", "",unique(filter({filter('Students (Vertical)'!D:D,'Students (Vertical)'!C:C=B780,'Students (Vertical)'!D:D&lt;&gt;"""");filter('Students (Vertical)'!D:D,'Students (Vertical)'!C:C=E780,'Students (Vertical)'!D:D&lt;&gt;"""")},countifs({filter('Student"&amp;"s (Vertical)'!D:D,'Students (Vertical)'!C:C=B780,'Students (Vertical)'!D:D&lt;&gt;"""");filter('Students (Vertical)'!D:D,'Students (Vertical)'!C:C=E780,'Students (Vertical)'!D:D&lt;&gt;"""")},{filter('Students (Vertical)'!D:D,'Students (Vertical)'!C:C=B780,'Students "&amp;"(Vertical)'!D:D&lt;&gt;"""");filter('Students (Vertical)'!D:D,'Students (Vertical)'!C:C=E780,'Students (Vertical)'!D:D&lt;&gt;"""")})&gt;1))),"""")"),"")</f>
        <v/>
      </c>
      <c r="L780" s="96"/>
      <c r="M780" s="96"/>
    </row>
    <row r="781" hidden="1">
      <c r="A781" s="8" t="s">
        <v>8</v>
      </c>
      <c r="C781" s="8" t="s">
        <v>8</v>
      </c>
      <c r="D781" s="8" t="s">
        <v>8</v>
      </c>
      <c r="F781" s="8" t="s">
        <v>8</v>
      </c>
      <c r="G781" s="8" t="s">
        <v>8</v>
      </c>
      <c r="I781" s="94" t="str">
        <f>IFERROR(__xludf.DUMMYFUNCTION("if(H781=""Must be Together"",iferror(join("", "",unique(filter({filter('Students (Vertical)'!O:O,'Students (Vertical)'!C:C=B781,'Students (Vertical)'!O:O&lt;&gt;"""");filter('Students (Vertical)'!O:O,'Students (Vertical)'!C:C=E781,'Students (Vertical)'!O:O&lt;&gt;"""&amp;""")},countifs({filter('Students (Vertical)'!O:O,'Students (Vertical)'!C:C=B781,'Students (Vertical)'!O:O&lt;&gt;"""");filter('Students (Vertical)'!O:O,'Students (Vertical)'!C:C=E781,'Students (Vertical)'!O:O&lt;&gt;"""")},{filter('Students (Vertical)'!O:O,'Students ("&amp;"Vertical)'!C:C=B781,'Students (Vertical)'!O:O&lt;&gt;"""");filter('Students (Vertical)'!O:O,'Students (Vertical)'!C:C=E781,'Students (Vertical)'!O:O&lt;&gt;"""")})&gt;1))),""No shared courses""),"""")"),"")</f>
        <v/>
      </c>
      <c r="J781" s="94" t="str">
        <f>IFERROR(__xludf.DUMMYFUNCTION("if(H781=""Can't be Together"",iferror(join("", "",unique(filter({unique(filter('Students (Vertical)'!O:O,'Students (Vertical)'!C:C=B781,'Students (Vertical)'!O:O&lt;&gt;"""",'Students (Vertical)'!P:P&gt;1));unique(filter('Students (Vertical)'!O:O,'Students (Vertic"&amp;"al)'!C:C=E781,'Students (Vertical)'!O:O&lt;&gt;"""",'Students (Vertical)'!P:P&gt;1))},countifs({unique(filter('Students (Vertical)'!O:O,'Students (Vertical)'!C:C=B781,'Students (Vertical)'!O:O&lt;&gt;"""",'Students (Vertical)'!P:P&gt;1));unique(filter('Students (Vertical)'"&amp;"!O:O,'Students (Vertical)'!C:C=E781,'Students (Vertical)'!O:O&lt;&gt;"""",'Students (Vertical)'!P:P&gt;1))},{unique(filter('Students (Vertical)'!O:O,'Students (Vertical)'!C:C=B781,'Students (Vertical)'!O:O&lt;&gt;"""",'Students (Vertical)'!P:P&gt;1));unique(filter('Student"&amp;"s (Vertical)'!O:O,'Students (Vertical)'!C:C=E781,'Students (Vertical)'!O:O&lt;&gt;"""",'Students (Vertical)'!P:P&gt;1))})&gt;1))),""""),"""")"),"")</f>
        <v/>
      </c>
      <c r="K781" s="96" t="str">
        <f>IFERROR(__xludf.DUMMYFUNCTION("iferror(join("", "",unique(filter({filter('Students (Vertical)'!D:D,'Students (Vertical)'!C:C=B781,'Students (Vertical)'!D:D&lt;&gt;"""");filter('Students (Vertical)'!D:D,'Students (Vertical)'!C:C=E781,'Students (Vertical)'!D:D&lt;&gt;"""")},countifs({filter('Student"&amp;"s (Vertical)'!D:D,'Students (Vertical)'!C:C=B781,'Students (Vertical)'!D:D&lt;&gt;"""");filter('Students (Vertical)'!D:D,'Students (Vertical)'!C:C=E781,'Students (Vertical)'!D:D&lt;&gt;"""")},{filter('Students (Vertical)'!D:D,'Students (Vertical)'!C:C=B781,'Students "&amp;"(Vertical)'!D:D&lt;&gt;"""");filter('Students (Vertical)'!D:D,'Students (Vertical)'!C:C=E781,'Students (Vertical)'!D:D&lt;&gt;"""")})&gt;1))),"""")"),"")</f>
        <v/>
      </c>
      <c r="L781" s="96"/>
      <c r="M781" s="96"/>
    </row>
    <row r="782" hidden="1">
      <c r="A782" s="8" t="s">
        <v>8</v>
      </c>
      <c r="C782" s="8" t="s">
        <v>8</v>
      </c>
      <c r="D782" s="8" t="s">
        <v>8</v>
      </c>
      <c r="F782" s="8" t="s">
        <v>8</v>
      </c>
      <c r="G782" s="8" t="s">
        <v>8</v>
      </c>
      <c r="I782" s="94" t="str">
        <f>IFERROR(__xludf.DUMMYFUNCTION("if(H782=""Must be Together"",iferror(join("", "",unique(filter({filter('Students (Vertical)'!O:O,'Students (Vertical)'!C:C=B782,'Students (Vertical)'!O:O&lt;&gt;"""");filter('Students (Vertical)'!O:O,'Students (Vertical)'!C:C=E782,'Students (Vertical)'!O:O&lt;&gt;"""&amp;""")},countifs({filter('Students (Vertical)'!O:O,'Students (Vertical)'!C:C=B782,'Students (Vertical)'!O:O&lt;&gt;"""");filter('Students (Vertical)'!O:O,'Students (Vertical)'!C:C=E782,'Students (Vertical)'!O:O&lt;&gt;"""")},{filter('Students (Vertical)'!O:O,'Students ("&amp;"Vertical)'!C:C=B782,'Students (Vertical)'!O:O&lt;&gt;"""");filter('Students (Vertical)'!O:O,'Students (Vertical)'!C:C=E782,'Students (Vertical)'!O:O&lt;&gt;"""")})&gt;1))),""No shared courses""),"""")"),"")</f>
        <v/>
      </c>
      <c r="J782" s="94" t="str">
        <f>IFERROR(__xludf.DUMMYFUNCTION("if(H782=""Can't be Together"",iferror(join("", "",unique(filter({unique(filter('Students (Vertical)'!O:O,'Students (Vertical)'!C:C=B782,'Students (Vertical)'!O:O&lt;&gt;"""",'Students (Vertical)'!P:P&gt;1));unique(filter('Students (Vertical)'!O:O,'Students (Vertic"&amp;"al)'!C:C=E782,'Students (Vertical)'!O:O&lt;&gt;"""",'Students (Vertical)'!P:P&gt;1))},countifs({unique(filter('Students (Vertical)'!O:O,'Students (Vertical)'!C:C=B782,'Students (Vertical)'!O:O&lt;&gt;"""",'Students (Vertical)'!P:P&gt;1));unique(filter('Students (Vertical)'"&amp;"!O:O,'Students (Vertical)'!C:C=E782,'Students (Vertical)'!O:O&lt;&gt;"""",'Students (Vertical)'!P:P&gt;1))},{unique(filter('Students (Vertical)'!O:O,'Students (Vertical)'!C:C=B782,'Students (Vertical)'!O:O&lt;&gt;"""",'Students (Vertical)'!P:P&gt;1));unique(filter('Student"&amp;"s (Vertical)'!O:O,'Students (Vertical)'!C:C=E782,'Students (Vertical)'!O:O&lt;&gt;"""",'Students (Vertical)'!P:P&gt;1))})&gt;1))),""""),"""")"),"")</f>
        <v/>
      </c>
      <c r="K782" s="96" t="str">
        <f>IFERROR(__xludf.DUMMYFUNCTION("iferror(join("", "",unique(filter({filter('Students (Vertical)'!D:D,'Students (Vertical)'!C:C=B782,'Students (Vertical)'!D:D&lt;&gt;"""");filter('Students (Vertical)'!D:D,'Students (Vertical)'!C:C=E782,'Students (Vertical)'!D:D&lt;&gt;"""")},countifs({filter('Student"&amp;"s (Vertical)'!D:D,'Students (Vertical)'!C:C=B782,'Students (Vertical)'!D:D&lt;&gt;"""");filter('Students (Vertical)'!D:D,'Students (Vertical)'!C:C=E782,'Students (Vertical)'!D:D&lt;&gt;"""")},{filter('Students (Vertical)'!D:D,'Students (Vertical)'!C:C=B782,'Students "&amp;"(Vertical)'!D:D&lt;&gt;"""");filter('Students (Vertical)'!D:D,'Students (Vertical)'!C:C=E782,'Students (Vertical)'!D:D&lt;&gt;"""")})&gt;1))),"""")"),"")</f>
        <v/>
      </c>
      <c r="L782" s="96"/>
      <c r="M782" s="96"/>
    </row>
    <row r="783" hidden="1">
      <c r="A783" s="8" t="s">
        <v>8</v>
      </c>
      <c r="C783" s="8" t="s">
        <v>8</v>
      </c>
      <c r="D783" s="8" t="s">
        <v>8</v>
      </c>
      <c r="F783" s="8" t="s">
        <v>8</v>
      </c>
      <c r="G783" s="8" t="s">
        <v>8</v>
      </c>
      <c r="I783" s="94" t="str">
        <f>IFERROR(__xludf.DUMMYFUNCTION("if(H783=""Must be Together"",iferror(join("", "",unique(filter({filter('Students (Vertical)'!O:O,'Students (Vertical)'!C:C=B783,'Students (Vertical)'!O:O&lt;&gt;"""");filter('Students (Vertical)'!O:O,'Students (Vertical)'!C:C=E783,'Students (Vertical)'!O:O&lt;&gt;"""&amp;""")},countifs({filter('Students (Vertical)'!O:O,'Students (Vertical)'!C:C=B783,'Students (Vertical)'!O:O&lt;&gt;"""");filter('Students (Vertical)'!O:O,'Students (Vertical)'!C:C=E783,'Students (Vertical)'!O:O&lt;&gt;"""")},{filter('Students (Vertical)'!O:O,'Students ("&amp;"Vertical)'!C:C=B783,'Students (Vertical)'!O:O&lt;&gt;"""");filter('Students (Vertical)'!O:O,'Students (Vertical)'!C:C=E783,'Students (Vertical)'!O:O&lt;&gt;"""")})&gt;1))),""No shared courses""),"""")"),"")</f>
        <v/>
      </c>
      <c r="J783" s="94" t="str">
        <f>IFERROR(__xludf.DUMMYFUNCTION("if(H783=""Can't be Together"",iferror(join("", "",unique(filter({unique(filter('Students (Vertical)'!O:O,'Students (Vertical)'!C:C=B783,'Students (Vertical)'!O:O&lt;&gt;"""",'Students (Vertical)'!P:P&gt;1));unique(filter('Students (Vertical)'!O:O,'Students (Vertic"&amp;"al)'!C:C=E783,'Students (Vertical)'!O:O&lt;&gt;"""",'Students (Vertical)'!P:P&gt;1))},countifs({unique(filter('Students (Vertical)'!O:O,'Students (Vertical)'!C:C=B783,'Students (Vertical)'!O:O&lt;&gt;"""",'Students (Vertical)'!P:P&gt;1));unique(filter('Students (Vertical)'"&amp;"!O:O,'Students (Vertical)'!C:C=E783,'Students (Vertical)'!O:O&lt;&gt;"""",'Students (Vertical)'!P:P&gt;1))},{unique(filter('Students (Vertical)'!O:O,'Students (Vertical)'!C:C=B783,'Students (Vertical)'!O:O&lt;&gt;"""",'Students (Vertical)'!P:P&gt;1));unique(filter('Student"&amp;"s (Vertical)'!O:O,'Students (Vertical)'!C:C=E783,'Students (Vertical)'!O:O&lt;&gt;"""",'Students (Vertical)'!P:P&gt;1))})&gt;1))),""""),"""")"),"")</f>
        <v/>
      </c>
      <c r="K783" s="96" t="str">
        <f>IFERROR(__xludf.DUMMYFUNCTION("iferror(join("", "",unique(filter({filter('Students (Vertical)'!D:D,'Students (Vertical)'!C:C=B783,'Students (Vertical)'!D:D&lt;&gt;"""");filter('Students (Vertical)'!D:D,'Students (Vertical)'!C:C=E783,'Students (Vertical)'!D:D&lt;&gt;"""")},countifs({filter('Student"&amp;"s (Vertical)'!D:D,'Students (Vertical)'!C:C=B783,'Students (Vertical)'!D:D&lt;&gt;"""");filter('Students (Vertical)'!D:D,'Students (Vertical)'!C:C=E783,'Students (Vertical)'!D:D&lt;&gt;"""")},{filter('Students (Vertical)'!D:D,'Students (Vertical)'!C:C=B783,'Students "&amp;"(Vertical)'!D:D&lt;&gt;"""");filter('Students (Vertical)'!D:D,'Students (Vertical)'!C:C=E783,'Students (Vertical)'!D:D&lt;&gt;"""")})&gt;1))),"""")"),"")</f>
        <v/>
      </c>
      <c r="L783" s="96"/>
      <c r="M783" s="96"/>
    </row>
    <row r="784" hidden="1">
      <c r="A784" s="8" t="s">
        <v>8</v>
      </c>
      <c r="C784" s="8" t="s">
        <v>8</v>
      </c>
      <c r="D784" s="8" t="s">
        <v>8</v>
      </c>
      <c r="F784" s="8" t="s">
        <v>8</v>
      </c>
      <c r="G784" s="8" t="s">
        <v>8</v>
      </c>
      <c r="I784" s="94" t="str">
        <f>IFERROR(__xludf.DUMMYFUNCTION("if(H784=""Must be Together"",iferror(join("", "",unique(filter({filter('Students (Vertical)'!O:O,'Students (Vertical)'!C:C=B784,'Students (Vertical)'!O:O&lt;&gt;"""");filter('Students (Vertical)'!O:O,'Students (Vertical)'!C:C=E784,'Students (Vertical)'!O:O&lt;&gt;"""&amp;""")},countifs({filter('Students (Vertical)'!O:O,'Students (Vertical)'!C:C=B784,'Students (Vertical)'!O:O&lt;&gt;"""");filter('Students (Vertical)'!O:O,'Students (Vertical)'!C:C=E784,'Students (Vertical)'!O:O&lt;&gt;"""")},{filter('Students (Vertical)'!O:O,'Students ("&amp;"Vertical)'!C:C=B784,'Students (Vertical)'!O:O&lt;&gt;"""");filter('Students (Vertical)'!O:O,'Students (Vertical)'!C:C=E784,'Students (Vertical)'!O:O&lt;&gt;"""")})&gt;1))),""No shared courses""),"""")"),"")</f>
        <v/>
      </c>
      <c r="J784" s="94" t="str">
        <f>IFERROR(__xludf.DUMMYFUNCTION("if(H784=""Can't be Together"",iferror(join("", "",unique(filter({unique(filter('Students (Vertical)'!O:O,'Students (Vertical)'!C:C=B784,'Students (Vertical)'!O:O&lt;&gt;"""",'Students (Vertical)'!P:P&gt;1));unique(filter('Students (Vertical)'!O:O,'Students (Vertic"&amp;"al)'!C:C=E784,'Students (Vertical)'!O:O&lt;&gt;"""",'Students (Vertical)'!P:P&gt;1))},countifs({unique(filter('Students (Vertical)'!O:O,'Students (Vertical)'!C:C=B784,'Students (Vertical)'!O:O&lt;&gt;"""",'Students (Vertical)'!P:P&gt;1));unique(filter('Students (Vertical)'"&amp;"!O:O,'Students (Vertical)'!C:C=E784,'Students (Vertical)'!O:O&lt;&gt;"""",'Students (Vertical)'!P:P&gt;1))},{unique(filter('Students (Vertical)'!O:O,'Students (Vertical)'!C:C=B784,'Students (Vertical)'!O:O&lt;&gt;"""",'Students (Vertical)'!P:P&gt;1));unique(filter('Student"&amp;"s (Vertical)'!O:O,'Students (Vertical)'!C:C=E784,'Students (Vertical)'!O:O&lt;&gt;"""",'Students (Vertical)'!P:P&gt;1))})&gt;1))),""""),"""")"),"")</f>
        <v/>
      </c>
      <c r="K784" s="96" t="str">
        <f>IFERROR(__xludf.DUMMYFUNCTION("iferror(join("", "",unique(filter({filter('Students (Vertical)'!D:D,'Students (Vertical)'!C:C=B784,'Students (Vertical)'!D:D&lt;&gt;"""");filter('Students (Vertical)'!D:D,'Students (Vertical)'!C:C=E784,'Students (Vertical)'!D:D&lt;&gt;"""")},countifs({filter('Student"&amp;"s (Vertical)'!D:D,'Students (Vertical)'!C:C=B784,'Students (Vertical)'!D:D&lt;&gt;"""");filter('Students (Vertical)'!D:D,'Students (Vertical)'!C:C=E784,'Students (Vertical)'!D:D&lt;&gt;"""")},{filter('Students (Vertical)'!D:D,'Students (Vertical)'!C:C=B784,'Students "&amp;"(Vertical)'!D:D&lt;&gt;"""");filter('Students (Vertical)'!D:D,'Students (Vertical)'!C:C=E784,'Students (Vertical)'!D:D&lt;&gt;"""")})&gt;1))),"""")"),"")</f>
        <v/>
      </c>
      <c r="L784" s="96"/>
      <c r="M784" s="96"/>
    </row>
    <row r="785" hidden="1">
      <c r="A785" s="8" t="s">
        <v>8</v>
      </c>
      <c r="C785" s="8" t="s">
        <v>8</v>
      </c>
      <c r="D785" s="8" t="s">
        <v>8</v>
      </c>
      <c r="F785" s="8" t="s">
        <v>8</v>
      </c>
      <c r="G785" s="8" t="s">
        <v>8</v>
      </c>
      <c r="I785" s="94" t="str">
        <f>IFERROR(__xludf.DUMMYFUNCTION("if(H785=""Must be Together"",iferror(join("", "",unique(filter({filter('Students (Vertical)'!O:O,'Students (Vertical)'!C:C=B785,'Students (Vertical)'!O:O&lt;&gt;"""");filter('Students (Vertical)'!O:O,'Students (Vertical)'!C:C=E785,'Students (Vertical)'!O:O&lt;&gt;"""&amp;""")},countifs({filter('Students (Vertical)'!O:O,'Students (Vertical)'!C:C=B785,'Students (Vertical)'!O:O&lt;&gt;"""");filter('Students (Vertical)'!O:O,'Students (Vertical)'!C:C=E785,'Students (Vertical)'!O:O&lt;&gt;"""")},{filter('Students (Vertical)'!O:O,'Students ("&amp;"Vertical)'!C:C=B785,'Students (Vertical)'!O:O&lt;&gt;"""");filter('Students (Vertical)'!O:O,'Students (Vertical)'!C:C=E785,'Students (Vertical)'!O:O&lt;&gt;"""")})&gt;1))),""No shared courses""),"""")"),"")</f>
        <v/>
      </c>
      <c r="J785" s="94" t="str">
        <f>IFERROR(__xludf.DUMMYFUNCTION("if(H785=""Can't be Together"",iferror(join("", "",unique(filter({unique(filter('Students (Vertical)'!O:O,'Students (Vertical)'!C:C=B785,'Students (Vertical)'!O:O&lt;&gt;"""",'Students (Vertical)'!P:P&gt;1));unique(filter('Students (Vertical)'!O:O,'Students (Vertic"&amp;"al)'!C:C=E785,'Students (Vertical)'!O:O&lt;&gt;"""",'Students (Vertical)'!P:P&gt;1))},countifs({unique(filter('Students (Vertical)'!O:O,'Students (Vertical)'!C:C=B785,'Students (Vertical)'!O:O&lt;&gt;"""",'Students (Vertical)'!P:P&gt;1));unique(filter('Students (Vertical)'"&amp;"!O:O,'Students (Vertical)'!C:C=E785,'Students (Vertical)'!O:O&lt;&gt;"""",'Students (Vertical)'!P:P&gt;1))},{unique(filter('Students (Vertical)'!O:O,'Students (Vertical)'!C:C=B785,'Students (Vertical)'!O:O&lt;&gt;"""",'Students (Vertical)'!P:P&gt;1));unique(filter('Student"&amp;"s (Vertical)'!O:O,'Students (Vertical)'!C:C=E785,'Students (Vertical)'!O:O&lt;&gt;"""",'Students (Vertical)'!P:P&gt;1))})&gt;1))),""""),"""")"),"")</f>
        <v/>
      </c>
      <c r="K785" s="96" t="str">
        <f>IFERROR(__xludf.DUMMYFUNCTION("iferror(join("", "",unique(filter({filter('Students (Vertical)'!D:D,'Students (Vertical)'!C:C=B785,'Students (Vertical)'!D:D&lt;&gt;"""");filter('Students (Vertical)'!D:D,'Students (Vertical)'!C:C=E785,'Students (Vertical)'!D:D&lt;&gt;"""")},countifs({filter('Student"&amp;"s (Vertical)'!D:D,'Students (Vertical)'!C:C=B785,'Students (Vertical)'!D:D&lt;&gt;"""");filter('Students (Vertical)'!D:D,'Students (Vertical)'!C:C=E785,'Students (Vertical)'!D:D&lt;&gt;"""")},{filter('Students (Vertical)'!D:D,'Students (Vertical)'!C:C=B785,'Students "&amp;"(Vertical)'!D:D&lt;&gt;"""");filter('Students (Vertical)'!D:D,'Students (Vertical)'!C:C=E785,'Students (Vertical)'!D:D&lt;&gt;"""")})&gt;1))),"""")"),"")</f>
        <v/>
      </c>
      <c r="L785" s="96"/>
      <c r="M785" s="96"/>
    </row>
    <row r="786" hidden="1">
      <c r="A786" s="8" t="s">
        <v>8</v>
      </c>
      <c r="C786" s="8" t="s">
        <v>8</v>
      </c>
      <c r="D786" s="8" t="s">
        <v>8</v>
      </c>
      <c r="F786" s="8" t="s">
        <v>8</v>
      </c>
      <c r="G786" s="8" t="s">
        <v>8</v>
      </c>
      <c r="I786" s="94" t="str">
        <f>IFERROR(__xludf.DUMMYFUNCTION("if(H786=""Must be Together"",iferror(join("", "",unique(filter({filter('Students (Vertical)'!O:O,'Students (Vertical)'!C:C=B786,'Students (Vertical)'!O:O&lt;&gt;"""");filter('Students (Vertical)'!O:O,'Students (Vertical)'!C:C=E786,'Students (Vertical)'!O:O&lt;&gt;"""&amp;""")},countifs({filter('Students (Vertical)'!O:O,'Students (Vertical)'!C:C=B786,'Students (Vertical)'!O:O&lt;&gt;"""");filter('Students (Vertical)'!O:O,'Students (Vertical)'!C:C=E786,'Students (Vertical)'!O:O&lt;&gt;"""")},{filter('Students (Vertical)'!O:O,'Students ("&amp;"Vertical)'!C:C=B786,'Students (Vertical)'!O:O&lt;&gt;"""");filter('Students (Vertical)'!O:O,'Students (Vertical)'!C:C=E786,'Students (Vertical)'!O:O&lt;&gt;"""")})&gt;1))),""No shared courses""),"""")"),"")</f>
        <v/>
      </c>
      <c r="J786" s="94" t="str">
        <f>IFERROR(__xludf.DUMMYFUNCTION("if(H786=""Can't be Together"",iferror(join("", "",unique(filter({unique(filter('Students (Vertical)'!O:O,'Students (Vertical)'!C:C=B786,'Students (Vertical)'!O:O&lt;&gt;"""",'Students (Vertical)'!P:P&gt;1));unique(filter('Students (Vertical)'!O:O,'Students (Vertic"&amp;"al)'!C:C=E786,'Students (Vertical)'!O:O&lt;&gt;"""",'Students (Vertical)'!P:P&gt;1))},countifs({unique(filter('Students (Vertical)'!O:O,'Students (Vertical)'!C:C=B786,'Students (Vertical)'!O:O&lt;&gt;"""",'Students (Vertical)'!P:P&gt;1));unique(filter('Students (Vertical)'"&amp;"!O:O,'Students (Vertical)'!C:C=E786,'Students (Vertical)'!O:O&lt;&gt;"""",'Students (Vertical)'!P:P&gt;1))},{unique(filter('Students (Vertical)'!O:O,'Students (Vertical)'!C:C=B786,'Students (Vertical)'!O:O&lt;&gt;"""",'Students (Vertical)'!P:P&gt;1));unique(filter('Student"&amp;"s (Vertical)'!O:O,'Students (Vertical)'!C:C=E786,'Students (Vertical)'!O:O&lt;&gt;"""",'Students (Vertical)'!P:P&gt;1))})&gt;1))),""""),"""")"),"")</f>
        <v/>
      </c>
      <c r="K786" s="96" t="str">
        <f>IFERROR(__xludf.DUMMYFUNCTION("iferror(join("", "",unique(filter({filter('Students (Vertical)'!D:D,'Students (Vertical)'!C:C=B786,'Students (Vertical)'!D:D&lt;&gt;"""");filter('Students (Vertical)'!D:D,'Students (Vertical)'!C:C=E786,'Students (Vertical)'!D:D&lt;&gt;"""")},countifs({filter('Student"&amp;"s (Vertical)'!D:D,'Students (Vertical)'!C:C=B786,'Students (Vertical)'!D:D&lt;&gt;"""");filter('Students (Vertical)'!D:D,'Students (Vertical)'!C:C=E786,'Students (Vertical)'!D:D&lt;&gt;"""")},{filter('Students (Vertical)'!D:D,'Students (Vertical)'!C:C=B786,'Students "&amp;"(Vertical)'!D:D&lt;&gt;"""");filter('Students (Vertical)'!D:D,'Students (Vertical)'!C:C=E786,'Students (Vertical)'!D:D&lt;&gt;"""")})&gt;1))),"""")"),"")</f>
        <v/>
      </c>
      <c r="L786" s="96"/>
      <c r="M786" s="96"/>
    </row>
    <row r="787" hidden="1">
      <c r="A787" s="8" t="s">
        <v>8</v>
      </c>
      <c r="C787" s="8" t="s">
        <v>8</v>
      </c>
      <c r="D787" s="8" t="s">
        <v>8</v>
      </c>
      <c r="F787" s="8" t="s">
        <v>8</v>
      </c>
      <c r="G787" s="8" t="s">
        <v>8</v>
      </c>
      <c r="I787" s="94" t="str">
        <f>IFERROR(__xludf.DUMMYFUNCTION("if(H787=""Must be Together"",iferror(join("", "",unique(filter({filter('Students (Vertical)'!O:O,'Students (Vertical)'!C:C=B787,'Students (Vertical)'!O:O&lt;&gt;"""");filter('Students (Vertical)'!O:O,'Students (Vertical)'!C:C=E787,'Students (Vertical)'!O:O&lt;&gt;"""&amp;""")},countifs({filter('Students (Vertical)'!O:O,'Students (Vertical)'!C:C=B787,'Students (Vertical)'!O:O&lt;&gt;"""");filter('Students (Vertical)'!O:O,'Students (Vertical)'!C:C=E787,'Students (Vertical)'!O:O&lt;&gt;"""")},{filter('Students (Vertical)'!O:O,'Students ("&amp;"Vertical)'!C:C=B787,'Students (Vertical)'!O:O&lt;&gt;"""");filter('Students (Vertical)'!O:O,'Students (Vertical)'!C:C=E787,'Students (Vertical)'!O:O&lt;&gt;"""")})&gt;1))),""No shared courses""),"""")"),"")</f>
        <v/>
      </c>
      <c r="J787" s="94" t="str">
        <f>IFERROR(__xludf.DUMMYFUNCTION("if(H787=""Can't be Together"",iferror(join("", "",unique(filter({unique(filter('Students (Vertical)'!O:O,'Students (Vertical)'!C:C=B787,'Students (Vertical)'!O:O&lt;&gt;"""",'Students (Vertical)'!P:P&gt;1));unique(filter('Students (Vertical)'!O:O,'Students (Vertic"&amp;"al)'!C:C=E787,'Students (Vertical)'!O:O&lt;&gt;"""",'Students (Vertical)'!P:P&gt;1))},countifs({unique(filter('Students (Vertical)'!O:O,'Students (Vertical)'!C:C=B787,'Students (Vertical)'!O:O&lt;&gt;"""",'Students (Vertical)'!P:P&gt;1));unique(filter('Students (Vertical)'"&amp;"!O:O,'Students (Vertical)'!C:C=E787,'Students (Vertical)'!O:O&lt;&gt;"""",'Students (Vertical)'!P:P&gt;1))},{unique(filter('Students (Vertical)'!O:O,'Students (Vertical)'!C:C=B787,'Students (Vertical)'!O:O&lt;&gt;"""",'Students (Vertical)'!P:P&gt;1));unique(filter('Student"&amp;"s (Vertical)'!O:O,'Students (Vertical)'!C:C=E787,'Students (Vertical)'!O:O&lt;&gt;"""",'Students (Vertical)'!P:P&gt;1))})&gt;1))),""""),"""")"),"")</f>
        <v/>
      </c>
      <c r="K787" s="96" t="str">
        <f>IFERROR(__xludf.DUMMYFUNCTION("iferror(join("", "",unique(filter({filter('Students (Vertical)'!D:D,'Students (Vertical)'!C:C=B787,'Students (Vertical)'!D:D&lt;&gt;"""");filter('Students (Vertical)'!D:D,'Students (Vertical)'!C:C=E787,'Students (Vertical)'!D:D&lt;&gt;"""")},countifs({filter('Student"&amp;"s (Vertical)'!D:D,'Students (Vertical)'!C:C=B787,'Students (Vertical)'!D:D&lt;&gt;"""");filter('Students (Vertical)'!D:D,'Students (Vertical)'!C:C=E787,'Students (Vertical)'!D:D&lt;&gt;"""")},{filter('Students (Vertical)'!D:D,'Students (Vertical)'!C:C=B787,'Students "&amp;"(Vertical)'!D:D&lt;&gt;"""");filter('Students (Vertical)'!D:D,'Students (Vertical)'!C:C=E787,'Students (Vertical)'!D:D&lt;&gt;"""")})&gt;1))),"""")"),"")</f>
        <v/>
      </c>
      <c r="L787" s="96"/>
      <c r="M787" s="96"/>
    </row>
    <row r="788" hidden="1">
      <c r="A788" s="8" t="s">
        <v>8</v>
      </c>
      <c r="C788" s="8" t="s">
        <v>8</v>
      </c>
      <c r="D788" s="8" t="s">
        <v>8</v>
      </c>
      <c r="F788" s="8" t="s">
        <v>8</v>
      </c>
      <c r="G788" s="8" t="s">
        <v>8</v>
      </c>
      <c r="I788" s="94" t="str">
        <f>IFERROR(__xludf.DUMMYFUNCTION("if(H788=""Must be Together"",iferror(join("", "",unique(filter({filter('Students (Vertical)'!O:O,'Students (Vertical)'!C:C=B788,'Students (Vertical)'!O:O&lt;&gt;"""");filter('Students (Vertical)'!O:O,'Students (Vertical)'!C:C=E788,'Students (Vertical)'!O:O&lt;&gt;"""&amp;""")},countifs({filter('Students (Vertical)'!O:O,'Students (Vertical)'!C:C=B788,'Students (Vertical)'!O:O&lt;&gt;"""");filter('Students (Vertical)'!O:O,'Students (Vertical)'!C:C=E788,'Students (Vertical)'!O:O&lt;&gt;"""")},{filter('Students (Vertical)'!O:O,'Students ("&amp;"Vertical)'!C:C=B788,'Students (Vertical)'!O:O&lt;&gt;"""");filter('Students (Vertical)'!O:O,'Students (Vertical)'!C:C=E788,'Students (Vertical)'!O:O&lt;&gt;"""")})&gt;1))),""No shared courses""),"""")"),"")</f>
        <v/>
      </c>
      <c r="J788" s="94" t="str">
        <f>IFERROR(__xludf.DUMMYFUNCTION("if(H788=""Can't be Together"",iferror(join("", "",unique(filter({unique(filter('Students (Vertical)'!O:O,'Students (Vertical)'!C:C=B788,'Students (Vertical)'!O:O&lt;&gt;"""",'Students (Vertical)'!P:P&gt;1));unique(filter('Students (Vertical)'!O:O,'Students (Vertic"&amp;"al)'!C:C=E788,'Students (Vertical)'!O:O&lt;&gt;"""",'Students (Vertical)'!P:P&gt;1))},countifs({unique(filter('Students (Vertical)'!O:O,'Students (Vertical)'!C:C=B788,'Students (Vertical)'!O:O&lt;&gt;"""",'Students (Vertical)'!P:P&gt;1));unique(filter('Students (Vertical)'"&amp;"!O:O,'Students (Vertical)'!C:C=E788,'Students (Vertical)'!O:O&lt;&gt;"""",'Students (Vertical)'!P:P&gt;1))},{unique(filter('Students (Vertical)'!O:O,'Students (Vertical)'!C:C=B788,'Students (Vertical)'!O:O&lt;&gt;"""",'Students (Vertical)'!P:P&gt;1));unique(filter('Student"&amp;"s (Vertical)'!O:O,'Students (Vertical)'!C:C=E788,'Students (Vertical)'!O:O&lt;&gt;"""",'Students (Vertical)'!P:P&gt;1))})&gt;1))),""""),"""")"),"")</f>
        <v/>
      </c>
      <c r="K788" s="96" t="str">
        <f>IFERROR(__xludf.DUMMYFUNCTION("iferror(join("", "",unique(filter({filter('Students (Vertical)'!D:D,'Students (Vertical)'!C:C=B788,'Students (Vertical)'!D:D&lt;&gt;"""");filter('Students (Vertical)'!D:D,'Students (Vertical)'!C:C=E788,'Students (Vertical)'!D:D&lt;&gt;"""")},countifs({filter('Student"&amp;"s (Vertical)'!D:D,'Students (Vertical)'!C:C=B788,'Students (Vertical)'!D:D&lt;&gt;"""");filter('Students (Vertical)'!D:D,'Students (Vertical)'!C:C=E788,'Students (Vertical)'!D:D&lt;&gt;"""")},{filter('Students (Vertical)'!D:D,'Students (Vertical)'!C:C=B788,'Students "&amp;"(Vertical)'!D:D&lt;&gt;"""");filter('Students (Vertical)'!D:D,'Students (Vertical)'!C:C=E788,'Students (Vertical)'!D:D&lt;&gt;"""")})&gt;1))),"""")"),"")</f>
        <v/>
      </c>
      <c r="L788" s="96"/>
      <c r="M788" s="96"/>
    </row>
    <row r="789" hidden="1">
      <c r="A789" s="8" t="s">
        <v>8</v>
      </c>
      <c r="C789" s="8" t="s">
        <v>8</v>
      </c>
      <c r="D789" s="8" t="s">
        <v>8</v>
      </c>
      <c r="F789" s="8" t="s">
        <v>8</v>
      </c>
      <c r="G789" s="8" t="s">
        <v>8</v>
      </c>
      <c r="I789" s="94" t="str">
        <f>IFERROR(__xludf.DUMMYFUNCTION("if(H789=""Must be Together"",iferror(join("", "",unique(filter({filter('Students (Vertical)'!O:O,'Students (Vertical)'!C:C=B789,'Students (Vertical)'!O:O&lt;&gt;"""");filter('Students (Vertical)'!O:O,'Students (Vertical)'!C:C=E789,'Students (Vertical)'!O:O&lt;&gt;"""&amp;""")},countifs({filter('Students (Vertical)'!O:O,'Students (Vertical)'!C:C=B789,'Students (Vertical)'!O:O&lt;&gt;"""");filter('Students (Vertical)'!O:O,'Students (Vertical)'!C:C=E789,'Students (Vertical)'!O:O&lt;&gt;"""")},{filter('Students (Vertical)'!O:O,'Students ("&amp;"Vertical)'!C:C=B789,'Students (Vertical)'!O:O&lt;&gt;"""");filter('Students (Vertical)'!O:O,'Students (Vertical)'!C:C=E789,'Students (Vertical)'!O:O&lt;&gt;"""")})&gt;1))),""No shared courses""),"""")"),"")</f>
        <v/>
      </c>
      <c r="J789" s="94" t="str">
        <f>IFERROR(__xludf.DUMMYFUNCTION("if(H789=""Can't be Together"",iferror(join("", "",unique(filter({unique(filter('Students (Vertical)'!O:O,'Students (Vertical)'!C:C=B789,'Students (Vertical)'!O:O&lt;&gt;"""",'Students (Vertical)'!P:P&gt;1));unique(filter('Students (Vertical)'!O:O,'Students (Vertic"&amp;"al)'!C:C=E789,'Students (Vertical)'!O:O&lt;&gt;"""",'Students (Vertical)'!P:P&gt;1))},countifs({unique(filter('Students (Vertical)'!O:O,'Students (Vertical)'!C:C=B789,'Students (Vertical)'!O:O&lt;&gt;"""",'Students (Vertical)'!P:P&gt;1));unique(filter('Students (Vertical)'"&amp;"!O:O,'Students (Vertical)'!C:C=E789,'Students (Vertical)'!O:O&lt;&gt;"""",'Students (Vertical)'!P:P&gt;1))},{unique(filter('Students (Vertical)'!O:O,'Students (Vertical)'!C:C=B789,'Students (Vertical)'!O:O&lt;&gt;"""",'Students (Vertical)'!P:P&gt;1));unique(filter('Student"&amp;"s (Vertical)'!O:O,'Students (Vertical)'!C:C=E789,'Students (Vertical)'!O:O&lt;&gt;"""",'Students (Vertical)'!P:P&gt;1))})&gt;1))),""""),"""")"),"")</f>
        <v/>
      </c>
      <c r="K789" s="96" t="str">
        <f>IFERROR(__xludf.DUMMYFUNCTION("iferror(join("", "",unique(filter({filter('Students (Vertical)'!D:D,'Students (Vertical)'!C:C=B789,'Students (Vertical)'!D:D&lt;&gt;"""");filter('Students (Vertical)'!D:D,'Students (Vertical)'!C:C=E789,'Students (Vertical)'!D:D&lt;&gt;"""")},countifs({filter('Student"&amp;"s (Vertical)'!D:D,'Students (Vertical)'!C:C=B789,'Students (Vertical)'!D:D&lt;&gt;"""");filter('Students (Vertical)'!D:D,'Students (Vertical)'!C:C=E789,'Students (Vertical)'!D:D&lt;&gt;"""")},{filter('Students (Vertical)'!D:D,'Students (Vertical)'!C:C=B789,'Students "&amp;"(Vertical)'!D:D&lt;&gt;"""");filter('Students (Vertical)'!D:D,'Students (Vertical)'!C:C=E789,'Students (Vertical)'!D:D&lt;&gt;"""")})&gt;1))),"""")"),"")</f>
        <v/>
      </c>
      <c r="L789" s="96"/>
      <c r="M789" s="96"/>
    </row>
    <row r="790" hidden="1">
      <c r="A790" s="8" t="s">
        <v>8</v>
      </c>
      <c r="C790" s="8" t="s">
        <v>8</v>
      </c>
      <c r="D790" s="8" t="s">
        <v>8</v>
      </c>
      <c r="F790" s="8" t="s">
        <v>8</v>
      </c>
      <c r="G790" s="8" t="s">
        <v>8</v>
      </c>
      <c r="I790" s="94" t="str">
        <f>IFERROR(__xludf.DUMMYFUNCTION("if(H790=""Must be Together"",iferror(join("", "",unique(filter({filter('Students (Vertical)'!O:O,'Students (Vertical)'!C:C=B790,'Students (Vertical)'!O:O&lt;&gt;"""");filter('Students (Vertical)'!O:O,'Students (Vertical)'!C:C=E790,'Students (Vertical)'!O:O&lt;&gt;"""&amp;""")},countifs({filter('Students (Vertical)'!O:O,'Students (Vertical)'!C:C=B790,'Students (Vertical)'!O:O&lt;&gt;"""");filter('Students (Vertical)'!O:O,'Students (Vertical)'!C:C=E790,'Students (Vertical)'!O:O&lt;&gt;"""")},{filter('Students (Vertical)'!O:O,'Students ("&amp;"Vertical)'!C:C=B790,'Students (Vertical)'!O:O&lt;&gt;"""");filter('Students (Vertical)'!O:O,'Students (Vertical)'!C:C=E790,'Students (Vertical)'!O:O&lt;&gt;"""")})&gt;1))),""No shared courses""),"""")"),"")</f>
        <v/>
      </c>
      <c r="J790" s="94" t="str">
        <f>IFERROR(__xludf.DUMMYFUNCTION("if(H790=""Can't be Together"",iferror(join("", "",unique(filter({unique(filter('Students (Vertical)'!O:O,'Students (Vertical)'!C:C=B790,'Students (Vertical)'!O:O&lt;&gt;"""",'Students (Vertical)'!P:P&gt;1));unique(filter('Students (Vertical)'!O:O,'Students (Vertic"&amp;"al)'!C:C=E790,'Students (Vertical)'!O:O&lt;&gt;"""",'Students (Vertical)'!P:P&gt;1))},countifs({unique(filter('Students (Vertical)'!O:O,'Students (Vertical)'!C:C=B790,'Students (Vertical)'!O:O&lt;&gt;"""",'Students (Vertical)'!P:P&gt;1));unique(filter('Students (Vertical)'"&amp;"!O:O,'Students (Vertical)'!C:C=E790,'Students (Vertical)'!O:O&lt;&gt;"""",'Students (Vertical)'!P:P&gt;1))},{unique(filter('Students (Vertical)'!O:O,'Students (Vertical)'!C:C=B790,'Students (Vertical)'!O:O&lt;&gt;"""",'Students (Vertical)'!P:P&gt;1));unique(filter('Student"&amp;"s (Vertical)'!O:O,'Students (Vertical)'!C:C=E790,'Students (Vertical)'!O:O&lt;&gt;"""",'Students (Vertical)'!P:P&gt;1))})&gt;1))),""""),"""")"),"")</f>
        <v/>
      </c>
      <c r="K790" s="96" t="str">
        <f>IFERROR(__xludf.DUMMYFUNCTION("iferror(join("", "",unique(filter({filter('Students (Vertical)'!D:D,'Students (Vertical)'!C:C=B790,'Students (Vertical)'!D:D&lt;&gt;"""");filter('Students (Vertical)'!D:D,'Students (Vertical)'!C:C=E790,'Students (Vertical)'!D:D&lt;&gt;"""")},countifs({filter('Student"&amp;"s (Vertical)'!D:D,'Students (Vertical)'!C:C=B790,'Students (Vertical)'!D:D&lt;&gt;"""");filter('Students (Vertical)'!D:D,'Students (Vertical)'!C:C=E790,'Students (Vertical)'!D:D&lt;&gt;"""")},{filter('Students (Vertical)'!D:D,'Students (Vertical)'!C:C=B790,'Students "&amp;"(Vertical)'!D:D&lt;&gt;"""");filter('Students (Vertical)'!D:D,'Students (Vertical)'!C:C=E790,'Students (Vertical)'!D:D&lt;&gt;"""")})&gt;1))),"""")"),"")</f>
        <v/>
      </c>
      <c r="L790" s="96"/>
      <c r="M790" s="96"/>
    </row>
    <row r="791" hidden="1">
      <c r="A791" s="8" t="s">
        <v>8</v>
      </c>
      <c r="C791" s="8" t="s">
        <v>8</v>
      </c>
      <c r="D791" s="8" t="s">
        <v>8</v>
      </c>
      <c r="F791" s="8" t="s">
        <v>8</v>
      </c>
      <c r="G791" s="8" t="s">
        <v>8</v>
      </c>
      <c r="I791" s="94" t="str">
        <f>IFERROR(__xludf.DUMMYFUNCTION("if(H791=""Must be Together"",iferror(join("", "",unique(filter({filter('Students (Vertical)'!O:O,'Students (Vertical)'!C:C=B791,'Students (Vertical)'!O:O&lt;&gt;"""");filter('Students (Vertical)'!O:O,'Students (Vertical)'!C:C=E791,'Students (Vertical)'!O:O&lt;&gt;"""&amp;""")},countifs({filter('Students (Vertical)'!O:O,'Students (Vertical)'!C:C=B791,'Students (Vertical)'!O:O&lt;&gt;"""");filter('Students (Vertical)'!O:O,'Students (Vertical)'!C:C=E791,'Students (Vertical)'!O:O&lt;&gt;"""")},{filter('Students (Vertical)'!O:O,'Students ("&amp;"Vertical)'!C:C=B791,'Students (Vertical)'!O:O&lt;&gt;"""");filter('Students (Vertical)'!O:O,'Students (Vertical)'!C:C=E791,'Students (Vertical)'!O:O&lt;&gt;"""")})&gt;1))),""No shared courses""),"""")"),"")</f>
        <v/>
      </c>
      <c r="J791" s="94" t="str">
        <f>IFERROR(__xludf.DUMMYFUNCTION("if(H791=""Can't be Together"",iferror(join("", "",unique(filter({unique(filter('Students (Vertical)'!O:O,'Students (Vertical)'!C:C=B791,'Students (Vertical)'!O:O&lt;&gt;"""",'Students (Vertical)'!P:P&gt;1));unique(filter('Students (Vertical)'!O:O,'Students (Vertic"&amp;"al)'!C:C=E791,'Students (Vertical)'!O:O&lt;&gt;"""",'Students (Vertical)'!P:P&gt;1))},countifs({unique(filter('Students (Vertical)'!O:O,'Students (Vertical)'!C:C=B791,'Students (Vertical)'!O:O&lt;&gt;"""",'Students (Vertical)'!P:P&gt;1));unique(filter('Students (Vertical)'"&amp;"!O:O,'Students (Vertical)'!C:C=E791,'Students (Vertical)'!O:O&lt;&gt;"""",'Students (Vertical)'!P:P&gt;1))},{unique(filter('Students (Vertical)'!O:O,'Students (Vertical)'!C:C=B791,'Students (Vertical)'!O:O&lt;&gt;"""",'Students (Vertical)'!P:P&gt;1));unique(filter('Student"&amp;"s (Vertical)'!O:O,'Students (Vertical)'!C:C=E791,'Students (Vertical)'!O:O&lt;&gt;"""",'Students (Vertical)'!P:P&gt;1))})&gt;1))),""""),"""")"),"")</f>
        <v/>
      </c>
      <c r="K791" s="96" t="str">
        <f>IFERROR(__xludf.DUMMYFUNCTION("iferror(join("", "",unique(filter({filter('Students (Vertical)'!D:D,'Students (Vertical)'!C:C=B791,'Students (Vertical)'!D:D&lt;&gt;"""");filter('Students (Vertical)'!D:D,'Students (Vertical)'!C:C=E791,'Students (Vertical)'!D:D&lt;&gt;"""")},countifs({filter('Student"&amp;"s (Vertical)'!D:D,'Students (Vertical)'!C:C=B791,'Students (Vertical)'!D:D&lt;&gt;"""");filter('Students (Vertical)'!D:D,'Students (Vertical)'!C:C=E791,'Students (Vertical)'!D:D&lt;&gt;"""")},{filter('Students (Vertical)'!D:D,'Students (Vertical)'!C:C=B791,'Students "&amp;"(Vertical)'!D:D&lt;&gt;"""");filter('Students (Vertical)'!D:D,'Students (Vertical)'!C:C=E791,'Students (Vertical)'!D:D&lt;&gt;"""")})&gt;1))),"""")"),"")</f>
        <v/>
      </c>
      <c r="L791" s="96"/>
      <c r="M791" s="96"/>
    </row>
    <row r="792" hidden="1">
      <c r="A792" s="8" t="s">
        <v>8</v>
      </c>
      <c r="C792" s="8" t="s">
        <v>8</v>
      </c>
      <c r="D792" s="8" t="s">
        <v>8</v>
      </c>
      <c r="F792" s="8" t="s">
        <v>8</v>
      </c>
      <c r="G792" s="8" t="s">
        <v>8</v>
      </c>
      <c r="I792" s="94" t="str">
        <f>IFERROR(__xludf.DUMMYFUNCTION("if(H792=""Must be Together"",iferror(join("", "",unique(filter({filter('Students (Vertical)'!O:O,'Students (Vertical)'!C:C=B792,'Students (Vertical)'!O:O&lt;&gt;"""");filter('Students (Vertical)'!O:O,'Students (Vertical)'!C:C=E792,'Students (Vertical)'!O:O&lt;&gt;"""&amp;""")},countifs({filter('Students (Vertical)'!O:O,'Students (Vertical)'!C:C=B792,'Students (Vertical)'!O:O&lt;&gt;"""");filter('Students (Vertical)'!O:O,'Students (Vertical)'!C:C=E792,'Students (Vertical)'!O:O&lt;&gt;"""")},{filter('Students (Vertical)'!O:O,'Students ("&amp;"Vertical)'!C:C=B792,'Students (Vertical)'!O:O&lt;&gt;"""");filter('Students (Vertical)'!O:O,'Students (Vertical)'!C:C=E792,'Students (Vertical)'!O:O&lt;&gt;"""")})&gt;1))),""No shared courses""),"""")"),"")</f>
        <v/>
      </c>
      <c r="J792" s="94" t="str">
        <f>IFERROR(__xludf.DUMMYFUNCTION("if(H792=""Can't be Together"",iferror(join("", "",unique(filter({unique(filter('Students (Vertical)'!O:O,'Students (Vertical)'!C:C=B792,'Students (Vertical)'!O:O&lt;&gt;"""",'Students (Vertical)'!P:P&gt;1));unique(filter('Students (Vertical)'!O:O,'Students (Vertic"&amp;"al)'!C:C=E792,'Students (Vertical)'!O:O&lt;&gt;"""",'Students (Vertical)'!P:P&gt;1))},countifs({unique(filter('Students (Vertical)'!O:O,'Students (Vertical)'!C:C=B792,'Students (Vertical)'!O:O&lt;&gt;"""",'Students (Vertical)'!P:P&gt;1));unique(filter('Students (Vertical)'"&amp;"!O:O,'Students (Vertical)'!C:C=E792,'Students (Vertical)'!O:O&lt;&gt;"""",'Students (Vertical)'!P:P&gt;1))},{unique(filter('Students (Vertical)'!O:O,'Students (Vertical)'!C:C=B792,'Students (Vertical)'!O:O&lt;&gt;"""",'Students (Vertical)'!P:P&gt;1));unique(filter('Student"&amp;"s (Vertical)'!O:O,'Students (Vertical)'!C:C=E792,'Students (Vertical)'!O:O&lt;&gt;"""",'Students (Vertical)'!P:P&gt;1))})&gt;1))),""""),"""")"),"")</f>
        <v/>
      </c>
      <c r="K792" s="96" t="str">
        <f>IFERROR(__xludf.DUMMYFUNCTION("iferror(join("", "",unique(filter({filter('Students (Vertical)'!D:D,'Students (Vertical)'!C:C=B792,'Students (Vertical)'!D:D&lt;&gt;"""");filter('Students (Vertical)'!D:D,'Students (Vertical)'!C:C=E792,'Students (Vertical)'!D:D&lt;&gt;"""")},countifs({filter('Student"&amp;"s (Vertical)'!D:D,'Students (Vertical)'!C:C=B792,'Students (Vertical)'!D:D&lt;&gt;"""");filter('Students (Vertical)'!D:D,'Students (Vertical)'!C:C=E792,'Students (Vertical)'!D:D&lt;&gt;"""")},{filter('Students (Vertical)'!D:D,'Students (Vertical)'!C:C=B792,'Students "&amp;"(Vertical)'!D:D&lt;&gt;"""");filter('Students (Vertical)'!D:D,'Students (Vertical)'!C:C=E792,'Students (Vertical)'!D:D&lt;&gt;"""")})&gt;1))),"""")"),"")</f>
        <v/>
      </c>
      <c r="L792" s="96"/>
      <c r="M792" s="96"/>
    </row>
    <row r="793" hidden="1">
      <c r="A793" s="8" t="s">
        <v>8</v>
      </c>
      <c r="C793" s="8" t="s">
        <v>8</v>
      </c>
      <c r="D793" s="8" t="s">
        <v>8</v>
      </c>
      <c r="F793" s="8" t="s">
        <v>8</v>
      </c>
      <c r="G793" s="8" t="s">
        <v>8</v>
      </c>
      <c r="I793" s="94" t="str">
        <f>IFERROR(__xludf.DUMMYFUNCTION("if(H793=""Must be Together"",iferror(join("", "",unique(filter({filter('Students (Vertical)'!O:O,'Students (Vertical)'!C:C=B793,'Students (Vertical)'!O:O&lt;&gt;"""");filter('Students (Vertical)'!O:O,'Students (Vertical)'!C:C=E793,'Students (Vertical)'!O:O&lt;&gt;"""&amp;""")},countifs({filter('Students (Vertical)'!O:O,'Students (Vertical)'!C:C=B793,'Students (Vertical)'!O:O&lt;&gt;"""");filter('Students (Vertical)'!O:O,'Students (Vertical)'!C:C=E793,'Students (Vertical)'!O:O&lt;&gt;"""")},{filter('Students (Vertical)'!O:O,'Students ("&amp;"Vertical)'!C:C=B793,'Students (Vertical)'!O:O&lt;&gt;"""");filter('Students (Vertical)'!O:O,'Students (Vertical)'!C:C=E793,'Students (Vertical)'!O:O&lt;&gt;"""")})&gt;1))),""No shared courses""),"""")"),"")</f>
        <v/>
      </c>
      <c r="J793" s="94" t="str">
        <f>IFERROR(__xludf.DUMMYFUNCTION("if(H793=""Can't be Together"",iferror(join("", "",unique(filter({unique(filter('Students (Vertical)'!O:O,'Students (Vertical)'!C:C=B793,'Students (Vertical)'!O:O&lt;&gt;"""",'Students (Vertical)'!P:P&gt;1));unique(filter('Students (Vertical)'!O:O,'Students (Vertic"&amp;"al)'!C:C=E793,'Students (Vertical)'!O:O&lt;&gt;"""",'Students (Vertical)'!P:P&gt;1))},countifs({unique(filter('Students (Vertical)'!O:O,'Students (Vertical)'!C:C=B793,'Students (Vertical)'!O:O&lt;&gt;"""",'Students (Vertical)'!P:P&gt;1));unique(filter('Students (Vertical)'"&amp;"!O:O,'Students (Vertical)'!C:C=E793,'Students (Vertical)'!O:O&lt;&gt;"""",'Students (Vertical)'!P:P&gt;1))},{unique(filter('Students (Vertical)'!O:O,'Students (Vertical)'!C:C=B793,'Students (Vertical)'!O:O&lt;&gt;"""",'Students (Vertical)'!P:P&gt;1));unique(filter('Student"&amp;"s (Vertical)'!O:O,'Students (Vertical)'!C:C=E793,'Students (Vertical)'!O:O&lt;&gt;"""",'Students (Vertical)'!P:P&gt;1))})&gt;1))),""""),"""")"),"")</f>
        <v/>
      </c>
      <c r="K793" s="96" t="str">
        <f>IFERROR(__xludf.DUMMYFUNCTION("iferror(join("", "",unique(filter({filter('Students (Vertical)'!D:D,'Students (Vertical)'!C:C=B793,'Students (Vertical)'!D:D&lt;&gt;"""");filter('Students (Vertical)'!D:D,'Students (Vertical)'!C:C=E793,'Students (Vertical)'!D:D&lt;&gt;"""")},countifs({filter('Student"&amp;"s (Vertical)'!D:D,'Students (Vertical)'!C:C=B793,'Students (Vertical)'!D:D&lt;&gt;"""");filter('Students (Vertical)'!D:D,'Students (Vertical)'!C:C=E793,'Students (Vertical)'!D:D&lt;&gt;"""")},{filter('Students (Vertical)'!D:D,'Students (Vertical)'!C:C=B793,'Students "&amp;"(Vertical)'!D:D&lt;&gt;"""");filter('Students (Vertical)'!D:D,'Students (Vertical)'!C:C=E793,'Students (Vertical)'!D:D&lt;&gt;"""")})&gt;1))),"""")"),"")</f>
        <v/>
      </c>
      <c r="L793" s="96"/>
      <c r="M793" s="96"/>
    </row>
    <row r="794" hidden="1">
      <c r="A794" s="8" t="s">
        <v>8</v>
      </c>
      <c r="C794" s="8" t="s">
        <v>8</v>
      </c>
      <c r="D794" s="8" t="s">
        <v>8</v>
      </c>
      <c r="F794" s="8" t="s">
        <v>8</v>
      </c>
      <c r="G794" s="8" t="s">
        <v>8</v>
      </c>
      <c r="I794" s="94" t="str">
        <f>IFERROR(__xludf.DUMMYFUNCTION("if(H794=""Must be Together"",iferror(join("", "",unique(filter({filter('Students (Vertical)'!O:O,'Students (Vertical)'!C:C=B794,'Students (Vertical)'!O:O&lt;&gt;"""");filter('Students (Vertical)'!O:O,'Students (Vertical)'!C:C=E794,'Students (Vertical)'!O:O&lt;&gt;"""&amp;""")},countifs({filter('Students (Vertical)'!O:O,'Students (Vertical)'!C:C=B794,'Students (Vertical)'!O:O&lt;&gt;"""");filter('Students (Vertical)'!O:O,'Students (Vertical)'!C:C=E794,'Students (Vertical)'!O:O&lt;&gt;"""")},{filter('Students (Vertical)'!O:O,'Students ("&amp;"Vertical)'!C:C=B794,'Students (Vertical)'!O:O&lt;&gt;"""");filter('Students (Vertical)'!O:O,'Students (Vertical)'!C:C=E794,'Students (Vertical)'!O:O&lt;&gt;"""")})&gt;1))),""No shared courses""),"""")"),"")</f>
        <v/>
      </c>
      <c r="J794" s="94" t="str">
        <f>IFERROR(__xludf.DUMMYFUNCTION("if(H794=""Can't be Together"",iferror(join("", "",unique(filter({unique(filter('Students (Vertical)'!O:O,'Students (Vertical)'!C:C=B794,'Students (Vertical)'!O:O&lt;&gt;"""",'Students (Vertical)'!P:P&gt;1));unique(filter('Students (Vertical)'!O:O,'Students (Vertic"&amp;"al)'!C:C=E794,'Students (Vertical)'!O:O&lt;&gt;"""",'Students (Vertical)'!P:P&gt;1))},countifs({unique(filter('Students (Vertical)'!O:O,'Students (Vertical)'!C:C=B794,'Students (Vertical)'!O:O&lt;&gt;"""",'Students (Vertical)'!P:P&gt;1));unique(filter('Students (Vertical)'"&amp;"!O:O,'Students (Vertical)'!C:C=E794,'Students (Vertical)'!O:O&lt;&gt;"""",'Students (Vertical)'!P:P&gt;1))},{unique(filter('Students (Vertical)'!O:O,'Students (Vertical)'!C:C=B794,'Students (Vertical)'!O:O&lt;&gt;"""",'Students (Vertical)'!P:P&gt;1));unique(filter('Student"&amp;"s (Vertical)'!O:O,'Students (Vertical)'!C:C=E794,'Students (Vertical)'!O:O&lt;&gt;"""",'Students (Vertical)'!P:P&gt;1))})&gt;1))),""""),"""")"),"")</f>
        <v/>
      </c>
      <c r="K794" s="96" t="str">
        <f>IFERROR(__xludf.DUMMYFUNCTION("iferror(join("", "",unique(filter({filter('Students (Vertical)'!D:D,'Students (Vertical)'!C:C=B794,'Students (Vertical)'!D:D&lt;&gt;"""");filter('Students (Vertical)'!D:D,'Students (Vertical)'!C:C=E794,'Students (Vertical)'!D:D&lt;&gt;"""")},countifs({filter('Student"&amp;"s (Vertical)'!D:D,'Students (Vertical)'!C:C=B794,'Students (Vertical)'!D:D&lt;&gt;"""");filter('Students (Vertical)'!D:D,'Students (Vertical)'!C:C=E794,'Students (Vertical)'!D:D&lt;&gt;"""")},{filter('Students (Vertical)'!D:D,'Students (Vertical)'!C:C=B794,'Students "&amp;"(Vertical)'!D:D&lt;&gt;"""");filter('Students (Vertical)'!D:D,'Students (Vertical)'!C:C=E794,'Students (Vertical)'!D:D&lt;&gt;"""")})&gt;1))),"""")"),"")</f>
        <v/>
      </c>
      <c r="L794" s="96"/>
      <c r="M794" s="96"/>
    </row>
    <row r="795" hidden="1">
      <c r="A795" s="8" t="s">
        <v>8</v>
      </c>
      <c r="C795" s="8" t="s">
        <v>8</v>
      </c>
      <c r="D795" s="8" t="s">
        <v>8</v>
      </c>
      <c r="F795" s="8" t="s">
        <v>8</v>
      </c>
      <c r="G795" s="8" t="s">
        <v>8</v>
      </c>
      <c r="I795" s="94" t="str">
        <f>IFERROR(__xludf.DUMMYFUNCTION("if(H795=""Must be Together"",iferror(join("", "",unique(filter({filter('Students (Vertical)'!O:O,'Students (Vertical)'!C:C=B795,'Students (Vertical)'!O:O&lt;&gt;"""");filter('Students (Vertical)'!O:O,'Students (Vertical)'!C:C=E795,'Students (Vertical)'!O:O&lt;&gt;"""&amp;""")},countifs({filter('Students (Vertical)'!O:O,'Students (Vertical)'!C:C=B795,'Students (Vertical)'!O:O&lt;&gt;"""");filter('Students (Vertical)'!O:O,'Students (Vertical)'!C:C=E795,'Students (Vertical)'!O:O&lt;&gt;"""")},{filter('Students (Vertical)'!O:O,'Students ("&amp;"Vertical)'!C:C=B795,'Students (Vertical)'!O:O&lt;&gt;"""");filter('Students (Vertical)'!O:O,'Students (Vertical)'!C:C=E795,'Students (Vertical)'!O:O&lt;&gt;"""")})&gt;1))),""No shared courses""),"""")"),"")</f>
        <v/>
      </c>
      <c r="J795" s="94" t="str">
        <f>IFERROR(__xludf.DUMMYFUNCTION("if(H795=""Can't be Together"",iferror(join("", "",unique(filter({unique(filter('Students (Vertical)'!O:O,'Students (Vertical)'!C:C=B795,'Students (Vertical)'!O:O&lt;&gt;"""",'Students (Vertical)'!P:P&gt;1));unique(filter('Students (Vertical)'!O:O,'Students (Vertic"&amp;"al)'!C:C=E795,'Students (Vertical)'!O:O&lt;&gt;"""",'Students (Vertical)'!P:P&gt;1))},countifs({unique(filter('Students (Vertical)'!O:O,'Students (Vertical)'!C:C=B795,'Students (Vertical)'!O:O&lt;&gt;"""",'Students (Vertical)'!P:P&gt;1));unique(filter('Students (Vertical)'"&amp;"!O:O,'Students (Vertical)'!C:C=E795,'Students (Vertical)'!O:O&lt;&gt;"""",'Students (Vertical)'!P:P&gt;1))},{unique(filter('Students (Vertical)'!O:O,'Students (Vertical)'!C:C=B795,'Students (Vertical)'!O:O&lt;&gt;"""",'Students (Vertical)'!P:P&gt;1));unique(filter('Student"&amp;"s (Vertical)'!O:O,'Students (Vertical)'!C:C=E795,'Students (Vertical)'!O:O&lt;&gt;"""",'Students (Vertical)'!P:P&gt;1))})&gt;1))),""""),"""")"),"")</f>
        <v/>
      </c>
      <c r="K795" s="96" t="str">
        <f>IFERROR(__xludf.DUMMYFUNCTION("iferror(join("", "",unique(filter({filter('Students (Vertical)'!D:D,'Students (Vertical)'!C:C=B795,'Students (Vertical)'!D:D&lt;&gt;"""");filter('Students (Vertical)'!D:D,'Students (Vertical)'!C:C=E795,'Students (Vertical)'!D:D&lt;&gt;"""")},countifs({filter('Student"&amp;"s (Vertical)'!D:D,'Students (Vertical)'!C:C=B795,'Students (Vertical)'!D:D&lt;&gt;"""");filter('Students (Vertical)'!D:D,'Students (Vertical)'!C:C=E795,'Students (Vertical)'!D:D&lt;&gt;"""")},{filter('Students (Vertical)'!D:D,'Students (Vertical)'!C:C=B795,'Students "&amp;"(Vertical)'!D:D&lt;&gt;"""");filter('Students (Vertical)'!D:D,'Students (Vertical)'!C:C=E795,'Students (Vertical)'!D:D&lt;&gt;"""")})&gt;1))),"""")"),"")</f>
        <v/>
      </c>
      <c r="L795" s="96"/>
      <c r="M795" s="96"/>
    </row>
    <row r="796" hidden="1">
      <c r="A796" s="8" t="s">
        <v>8</v>
      </c>
      <c r="C796" s="8" t="s">
        <v>8</v>
      </c>
      <c r="D796" s="8" t="s">
        <v>8</v>
      </c>
      <c r="F796" s="8" t="s">
        <v>8</v>
      </c>
      <c r="G796" s="8" t="s">
        <v>8</v>
      </c>
      <c r="I796" s="94" t="str">
        <f>IFERROR(__xludf.DUMMYFUNCTION("if(H796=""Must be Together"",iferror(join("", "",unique(filter({filter('Students (Vertical)'!O:O,'Students (Vertical)'!C:C=B796,'Students (Vertical)'!O:O&lt;&gt;"""");filter('Students (Vertical)'!O:O,'Students (Vertical)'!C:C=E796,'Students (Vertical)'!O:O&lt;&gt;"""&amp;""")},countifs({filter('Students (Vertical)'!O:O,'Students (Vertical)'!C:C=B796,'Students (Vertical)'!O:O&lt;&gt;"""");filter('Students (Vertical)'!O:O,'Students (Vertical)'!C:C=E796,'Students (Vertical)'!O:O&lt;&gt;"""")},{filter('Students (Vertical)'!O:O,'Students ("&amp;"Vertical)'!C:C=B796,'Students (Vertical)'!O:O&lt;&gt;"""");filter('Students (Vertical)'!O:O,'Students (Vertical)'!C:C=E796,'Students (Vertical)'!O:O&lt;&gt;"""")})&gt;1))),""No shared courses""),"""")"),"")</f>
        <v/>
      </c>
      <c r="J796" s="94" t="str">
        <f>IFERROR(__xludf.DUMMYFUNCTION("if(H796=""Can't be Together"",iferror(join("", "",unique(filter({unique(filter('Students (Vertical)'!O:O,'Students (Vertical)'!C:C=B796,'Students (Vertical)'!O:O&lt;&gt;"""",'Students (Vertical)'!P:P&gt;1));unique(filter('Students (Vertical)'!O:O,'Students (Vertic"&amp;"al)'!C:C=E796,'Students (Vertical)'!O:O&lt;&gt;"""",'Students (Vertical)'!P:P&gt;1))},countifs({unique(filter('Students (Vertical)'!O:O,'Students (Vertical)'!C:C=B796,'Students (Vertical)'!O:O&lt;&gt;"""",'Students (Vertical)'!P:P&gt;1));unique(filter('Students (Vertical)'"&amp;"!O:O,'Students (Vertical)'!C:C=E796,'Students (Vertical)'!O:O&lt;&gt;"""",'Students (Vertical)'!P:P&gt;1))},{unique(filter('Students (Vertical)'!O:O,'Students (Vertical)'!C:C=B796,'Students (Vertical)'!O:O&lt;&gt;"""",'Students (Vertical)'!P:P&gt;1));unique(filter('Student"&amp;"s (Vertical)'!O:O,'Students (Vertical)'!C:C=E796,'Students (Vertical)'!O:O&lt;&gt;"""",'Students (Vertical)'!P:P&gt;1))})&gt;1))),""""),"""")"),"")</f>
        <v/>
      </c>
      <c r="K796" s="96" t="str">
        <f>IFERROR(__xludf.DUMMYFUNCTION("iferror(join("", "",unique(filter({filter('Students (Vertical)'!D:D,'Students (Vertical)'!C:C=B796,'Students (Vertical)'!D:D&lt;&gt;"""");filter('Students (Vertical)'!D:D,'Students (Vertical)'!C:C=E796,'Students (Vertical)'!D:D&lt;&gt;"""")},countifs({filter('Student"&amp;"s (Vertical)'!D:D,'Students (Vertical)'!C:C=B796,'Students (Vertical)'!D:D&lt;&gt;"""");filter('Students (Vertical)'!D:D,'Students (Vertical)'!C:C=E796,'Students (Vertical)'!D:D&lt;&gt;"""")},{filter('Students (Vertical)'!D:D,'Students (Vertical)'!C:C=B796,'Students "&amp;"(Vertical)'!D:D&lt;&gt;"""");filter('Students (Vertical)'!D:D,'Students (Vertical)'!C:C=E796,'Students (Vertical)'!D:D&lt;&gt;"""")})&gt;1))),"""")"),"")</f>
        <v/>
      </c>
      <c r="L796" s="96"/>
      <c r="M796" s="96"/>
    </row>
    <row r="797" hidden="1">
      <c r="A797" s="8" t="s">
        <v>8</v>
      </c>
      <c r="C797" s="8" t="s">
        <v>8</v>
      </c>
      <c r="D797" s="8" t="s">
        <v>8</v>
      </c>
      <c r="F797" s="8" t="s">
        <v>8</v>
      </c>
      <c r="G797" s="8" t="s">
        <v>8</v>
      </c>
      <c r="I797" s="94" t="str">
        <f>IFERROR(__xludf.DUMMYFUNCTION("if(H797=""Must be Together"",iferror(join("", "",unique(filter({filter('Students (Vertical)'!O:O,'Students (Vertical)'!C:C=B797,'Students (Vertical)'!O:O&lt;&gt;"""");filter('Students (Vertical)'!O:O,'Students (Vertical)'!C:C=E797,'Students (Vertical)'!O:O&lt;&gt;"""&amp;""")},countifs({filter('Students (Vertical)'!O:O,'Students (Vertical)'!C:C=B797,'Students (Vertical)'!O:O&lt;&gt;"""");filter('Students (Vertical)'!O:O,'Students (Vertical)'!C:C=E797,'Students (Vertical)'!O:O&lt;&gt;"""")},{filter('Students (Vertical)'!O:O,'Students ("&amp;"Vertical)'!C:C=B797,'Students (Vertical)'!O:O&lt;&gt;"""");filter('Students (Vertical)'!O:O,'Students (Vertical)'!C:C=E797,'Students (Vertical)'!O:O&lt;&gt;"""")})&gt;1))),""No shared courses""),"""")"),"")</f>
        <v/>
      </c>
      <c r="J797" s="94" t="str">
        <f>IFERROR(__xludf.DUMMYFUNCTION("if(H797=""Can't be Together"",iferror(join("", "",unique(filter({unique(filter('Students (Vertical)'!O:O,'Students (Vertical)'!C:C=B797,'Students (Vertical)'!O:O&lt;&gt;"""",'Students (Vertical)'!P:P&gt;1));unique(filter('Students (Vertical)'!O:O,'Students (Vertic"&amp;"al)'!C:C=E797,'Students (Vertical)'!O:O&lt;&gt;"""",'Students (Vertical)'!P:P&gt;1))},countifs({unique(filter('Students (Vertical)'!O:O,'Students (Vertical)'!C:C=B797,'Students (Vertical)'!O:O&lt;&gt;"""",'Students (Vertical)'!P:P&gt;1));unique(filter('Students (Vertical)'"&amp;"!O:O,'Students (Vertical)'!C:C=E797,'Students (Vertical)'!O:O&lt;&gt;"""",'Students (Vertical)'!P:P&gt;1))},{unique(filter('Students (Vertical)'!O:O,'Students (Vertical)'!C:C=B797,'Students (Vertical)'!O:O&lt;&gt;"""",'Students (Vertical)'!P:P&gt;1));unique(filter('Student"&amp;"s (Vertical)'!O:O,'Students (Vertical)'!C:C=E797,'Students (Vertical)'!O:O&lt;&gt;"""",'Students (Vertical)'!P:P&gt;1))})&gt;1))),""""),"""")"),"")</f>
        <v/>
      </c>
      <c r="K797" s="96" t="str">
        <f>IFERROR(__xludf.DUMMYFUNCTION("iferror(join("", "",unique(filter({filter('Students (Vertical)'!D:D,'Students (Vertical)'!C:C=B797,'Students (Vertical)'!D:D&lt;&gt;"""");filter('Students (Vertical)'!D:D,'Students (Vertical)'!C:C=E797,'Students (Vertical)'!D:D&lt;&gt;"""")},countifs({filter('Student"&amp;"s (Vertical)'!D:D,'Students (Vertical)'!C:C=B797,'Students (Vertical)'!D:D&lt;&gt;"""");filter('Students (Vertical)'!D:D,'Students (Vertical)'!C:C=E797,'Students (Vertical)'!D:D&lt;&gt;"""")},{filter('Students (Vertical)'!D:D,'Students (Vertical)'!C:C=B797,'Students "&amp;"(Vertical)'!D:D&lt;&gt;"""");filter('Students (Vertical)'!D:D,'Students (Vertical)'!C:C=E797,'Students (Vertical)'!D:D&lt;&gt;"""")})&gt;1))),"""")"),"")</f>
        <v/>
      </c>
      <c r="L797" s="96"/>
      <c r="M797" s="96"/>
    </row>
    <row r="798" hidden="1">
      <c r="A798" s="8" t="s">
        <v>8</v>
      </c>
      <c r="C798" s="8" t="s">
        <v>8</v>
      </c>
      <c r="D798" s="8" t="s">
        <v>8</v>
      </c>
      <c r="F798" s="8" t="s">
        <v>8</v>
      </c>
      <c r="G798" s="8" t="s">
        <v>8</v>
      </c>
      <c r="I798" s="94" t="str">
        <f>IFERROR(__xludf.DUMMYFUNCTION("if(H798=""Must be Together"",iferror(join("", "",unique(filter({filter('Students (Vertical)'!O:O,'Students (Vertical)'!C:C=B798,'Students (Vertical)'!O:O&lt;&gt;"""");filter('Students (Vertical)'!O:O,'Students (Vertical)'!C:C=E798,'Students (Vertical)'!O:O&lt;&gt;"""&amp;""")},countifs({filter('Students (Vertical)'!O:O,'Students (Vertical)'!C:C=B798,'Students (Vertical)'!O:O&lt;&gt;"""");filter('Students (Vertical)'!O:O,'Students (Vertical)'!C:C=E798,'Students (Vertical)'!O:O&lt;&gt;"""")},{filter('Students (Vertical)'!O:O,'Students ("&amp;"Vertical)'!C:C=B798,'Students (Vertical)'!O:O&lt;&gt;"""");filter('Students (Vertical)'!O:O,'Students (Vertical)'!C:C=E798,'Students (Vertical)'!O:O&lt;&gt;"""")})&gt;1))),""No shared courses""),"""")"),"")</f>
        <v/>
      </c>
      <c r="J798" s="94" t="str">
        <f>IFERROR(__xludf.DUMMYFUNCTION("if(H798=""Can't be Together"",iferror(join("", "",unique(filter({unique(filter('Students (Vertical)'!O:O,'Students (Vertical)'!C:C=B798,'Students (Vertical)'!O:O&lt;&gt;"""",'Students (Vertical)'!P:P&gt;1));unique(filter('Students (Vertical)'!O:O,'Students (Vertic"&amp;"al)'!C:C=E798,'Students (Vertical)'!O:O&lt;&gt;"""",'Students (Vertical)'!P:P&gt;1))},countifs({unique(filter('Students (Vertical)'!O:O,'Students (Vertical)'!C:C=B798,'Students (Vertical)'!O:O&lt;&gt;"""",'Students (Vertical)'!P:P&gt;1));unique(filter('Students (Vertical)'"&amp;"!O:O,'Students (Vertical)'!C:C=E798,'Students (Vertical)'!O:O&lt;&gt;"""",'Students (Vertical)'!P:P&gt;1))},{unique(filter('Students (Vertical)'!O:O,'Students (Vertical)'!C:C=B798,'Students (Vertical)'!O:O&lt;&gt;"""",'Students (Vertical)'!P:P&gt;1));unique(filter('Student"&amp;"s (Vertical)'!O:O,'Students (Vertical)'!C:C=E798,'Students (Vertical)'!O:O&lt;&gt;"""",'Students (Vertical)'!P:P&gt;1))})&gt;1))),""""),"""")"),"")</f>
        <v/>
      </c>
      <c r="K798" s="96" t="str">
        <f>IFERROR(__xludf.DUMMYFUNCTION("iferror(join("", "",unique(filter({filter('Students (Vertical)'!D:D,'Students (Vertical)'!C:C=B798,'Students (Vertical)'!D:D&lt;&gt;"""");filter('Students (Vertical)'!D:D,'Students (Vertical)'!C:C=E798,'Students (Vertical)'!D:D&lt;&gt;"""")},countifs({filter('Student"&amp;"s (Vertical)'!D:D,'Students (Vertical)'!C:C=B798,'Students (Vertical)'!D:D&lt;&gt;"""");filter('Students (Vertical)'!D:D,'Students (Vertical)'!C:C=E798,'Students (Vertical)'!D:D&lt;&gt;"""")},{filter('Students (Vertical)'!D:D,'Students (Vertical)'!C:C=B798,'Students "&amp;"(Vertical)'!D:D&lt;&gt;"""");filter('Students (Vertical)'!D:D,'Students (Vertical)'!C:C=E798,'Students (Vertical)'!D:D&lt;&gt;"""")})&gt;1))),"""")"),"")</f>
        <v/>
      </c>
      <c r="L798" s="96"/>
      <c r="M798" s="96"/>
    </row>
    <row r="799" hidden="1">
      <c r="A799" s="8" t="s">
        <v>8</v>
      </c>
      <c r="C799" s="8" t="s">
        <v>8</v>
      </c>
      <c r="D799" s="8" t="s">
        <v>8</v>
      </c>
      <c r="F799" s="8" t="s">
        <v>8</v>
      </c>
      <c r="G799" s="8" t="s">
        <v>8</v>
      </c>
      <c r="I799" s="94" t="str">
        <f>IFERROR(__xludf.DUMMYFUNCTION("if(H799=""Must be Together"",iferror(join("", "",unique(filter({filter('Students (Vertical)'!O:O,'Students (Vertical)'!C:C=B799,'Students (Vertical)'!O:O&lt;&gt;"""");filter('Students (Vertical)'!O:O,'Students (Vertical)'!C:C=E799,'Students (Vertical)'!O:O&lt;&gt;"""&amp;""")},countifs({filter('Students (Vertical)'!O:O,'Students (Vertical)'!C:C=B799,'Students (Vertical)'!O:O&lt;&gt;"""");filter('Students (Vertical)'!O:O,'Students (Vertical)'!C:C=E799,'Students (Vertical)'!O:O&lt;&gt;"""")},{filter('Students (Vertical)'!O:O,'Students ("&amp;"Vertical)'!C:C=B799,'Students (Vertical)'!O:O&lt;&gt;"""");filter('Students (Vertical)'!O:O,'Students (Vertical)'!C:C=E799,'Students (Vertical)'!O:O&lt;&gt;"""")})&gt;1))),""No shared courses""),"""")"),"")</f>
        <v/>
      </c>
      <c r="J799" s="94" t="str">
        <f>IFERROR(__xludf.DUMMYFUNCTION("if(H799=""Can't be Together"",iferror(join("", "",unique(filter({unique(filter('Students (Vertical)'!O:O,'Students (Vertical)'!C:C=B799,'Students (Vertical)'!O:O&lt;&gt;"""",'Students (Vertical)'!P:P&gt;1));unique(filter('Students (Vertical)'!O:O,'Students (Vertic"&amp;"al)'!C:C=E799,'Students (Vertical)'!O:O&lt;&gt;"""",'Students (Vertical)'!P:P&gt;1))},countifs({unique(filter('Students (Vertical)'!O:O,'Students (Vertical)'!C:C=B799,'Students (Vertical)'!O:O&lt;&gt;"""",'Students (Vertical)'!P:P&gt;1));unique(filter('Students (Vertical)'"&amp;"!O:O,'Students (Vertical)'!C:C=E799,'Students (Vertical)'!O:O&lt;&gt;"""",'Students (Vertical)'!P:P&gt;1))},{unique(filter('Students (Vertical)'!O:O,'Students (Vertical)'!C:C=B799,'Students (Vertical)'!O:O&lt;&gt;"""",'Students (Vertical)'!P:P&gt;1));unique(filter('Student"&amp;"s (Vertical)'!O:O,'Students (Vertical)'!C:C=E799,'Students (Vertical)'!O:O&lt;&gt;"""",'Students (Vertical)'!P:P&gt;1))})&gt;1))),""""),"""")"),"")</f>
        <v/>
      </c>
      <c r="K799" s="96" t="str">
        <f>IFERROR(__xludf.DUMMYFUNCTION("iferror(join("", "",unique(filter({filter('Students (Vertical)'!D:D,'Students (Vertical)'!C:C=B799,'Students (Vertical)'!D:D&lt;&gt;"""");filter('Students (Vertical)'!D:D,'Students (Vertical)'!C:C=E799,'Students (Vertical)'!D:D&lt;&gt;"""")},countifs({filter('Student"&amp;"s (Vertical)'!D:D,'Students (Vertical)'!C:C=B799,'Students (Vertical)'!D:D&lt;&gt;"""");filter('Students (Vertical)'!D:D,'Students (Vertical)'!C:C=E799,'Students (Vertical)'!D:D&lt;&gt;"""")},{filter('Students (Vertical)'!D:D,'Students (Vertical)'!C:C=B799,'Students "&amp;"(Vertical)'!D:D&lt;&gt;"""");filter('Students (Vertical)'!D:D,'Students (Vertical)'!C:C=E799,'Students (Vertical)'!D:D&lt;&gt;"""")})&gt;1))),"""")"),"")</f>
        <v/>
      </c>
      <c r="L799" s="96"/>
      <c r="M799" s="96"/>
    </row>
    <row r="800" hidden="1">
      <c r="A800" s="8" t="s">
        <v>8</v>
      </c>
      <c r="C800" s="8" t="s">
        <v>8</v>
      </c>
      <c r="D800" s="8" t="s">
        <v>8</v>
      </c>
      <c r="F800" s="8" t="s">
        <v>8</v>
      </c>
      <c r="G800" s="8" t="s">
        <v>8</v>
      </c>
      <c r="I800" s="94" t="str">
        <f>IFERROR(__xludf.DUMMYFUNCTION("if(H800=""Must be Together"",iferror(join("", "",unique(filter({filter('Students (Vertical)'!O:O,'Students (Vertical)'!C:C=B800,'Students (Vertical)'!O:O&lt;&gt;"""");filter('Students (Vertical)'!O:O,'Students (Vertical)'!C:C=E800,'Students (Vertical)'!O:O&lt;&gt;"""&amp;""")},countifs({filter('Students (Vertical)'!O:O,'Students (Vertical)'!C:C=B800,'Students (Vertical)'!O:O&lt;&gt;"""");filter('Students (Vertical)'!O:O,'Students (Vertical)'!C:C=E800,'Students (Vertical)'!O:O&lt;&gt;"""")},{filter('Students (Vertical)'!O:O,'Students ("&amp;"Vertical)'!C:C=B800,'Students (Vertical)'!O:O&lt;&gt;"""");filter('Students (Vertical)'!O:O,'Students (Vertical)'!C:C=E800,'Students (Vertical)'!O:O&lt;&gt;"""")})&gt;1))),""No shared courses""),"""")"),"")</f>
        <v/>
      </c>
      <c r="J800" s="94" t="str">
        <f>IFERROR(__xludf.DUMMYFUNCTION("if(H800=""Can't be Together"",iferror(join("", "",unique(filter({unique(filter('Students (Vertical)'!O:O,'Students (Vertical)'!C:C=B800,'Students (Vertical)'!O:O&lt;&gt;"""",'Students (Vertical)'!P:P&gt;1));unique(filter('Students (Vertical)'!O:O,'Students (Vertic"&amp;"al)'!C:C=E800,'Students (Vertical)'!O:O&lt;&gt;"""",'Students (Vertical)'!P:P&gt;1))},countifs({unique(filter('Students (Vertical)'!O:O,'Students (Vertical)'!C:C=B800,'Students (Vertical)'!O:O&lt;&gt;"""",'Students (Vertical)'!P:P&gt;1));unique(filter('Students (Vertical)'"&amp;"!O:O,'Students (Vertical)'!C:C=E800,'Students (Vertical)'!O:O&lt;&gt;"""",'Students (Vertical)'!P:P&gt;1))},{unique(filter('Students (Vertical)'!O:O,'Students (Vertical)'!C:C=B800,'Students (Vertical)'!O:O&lt;&gt;"""",'Students (Vertical)'!P:P&gt;1));unique(filter('Student"&amp;"s (Vertical)'!O:O,'Students (Vertical)'!C:C=E800,'Students (Vertical)'!O:O&lt;&gt;"""",'Students (Vertical)'!P:P&gt;1))})&gt;1))),""""),"""")"),"")</f>
        <v/>
      </c>
      <c r="K800" s="96" t="str">
        <f>IFERROR(__xludf.DUMMYFUNCTION("iferror(join("", "",unique(filter({filter('Students (Vertical)'!D:D,'Students (Vertical)'!C:C=B800,'Students (Vertical)'!D:D&lt;&gt;"""");filter('Students (Vertical)'!D:D,'Students (Vertical)'!C:C=E800,'Students (Vertical)'!D:D&lt;&gt;"""")},countifs({filter('Student"&amp;"s (Vertical)'!D:D,'Students (Vertical)'!C:C=B800,'Students (Vertical)'!D:D&lt;&gt;"""");filter('Students (Vertical)'!D:D,'Students (Vertical)'!C:C=E800,'Students (Vertical)'!D:D&lt;&gt;"""")},{filter('Students (Vertical)'!D:D,'Students (Vertical)'!C:C=B800,'Students "&amp;"(Vertical)'!D:D&lt;&gt;"""");filter('Students (Vertical)'!D:D,'Students (Vertical)'!C:C=E800,'Students (Vertical)'!D:D&lt;&gt;"""")})&gt;1))),"""")"),"")</f>
        <v/>
      </c>
      <c r="L800" s="96"/>
      <c r="M800" s="96"/>
    </row>
    <row r="801" hidden="1">
      <c r="A801" s="8" t="s">
        <v>8</v>
      </c>
      <c r="C801" s="8" t="s">
        <v>8</v>
      </c>
      <c r="D801" s="8" t="s">
        <v>8</v>
      </c>
      <c r="F801" s="8" t="s">
        <v>8</v>
      </c>
      <c r="G801" s="8" t="s">
        <v>8</v>
      </c>
      <c r="I801" s="94" t="str">
        <f>IFERROR(__xludf.DUMMYFUNCTION("if(H801=""Must be Together"",iferror(join("", "",unique(filter({filter('Students (Vertical)'!O:O,'Students (Vertical)'!C:C=B801,'Students (Vertical)'!O:O&lt;&gt;"""");filter('Students (Vertical)'!O:O,'Students (Vertical)'!C:C=E801,'Students (Vertical)'!O:O&lt;&gt;"""&amp;""")},countifs({filter('Students (Vertical)'!O:O,'Students (Vertical)'!C:C=B801,'Students (Vertical)'!O:O&lt;&gt;"""");filter('Students (Vertical)'!O:O,'Students (Vertical)'!C:C=E801,'Students (Vertical)'!O:O&lt;&gt;"""")},{filter('Students (Vertical)'!O:O,'Students ("&amp;"Vertical)'!C:C=B801,'Students (Vertical)'!O:O&lt;&gt;"""");filter('Students (Vertical)'!O:O,'Students (Vertical)'!C:C=E801,'Students (Vertical)'!O:O&lt;&gt;"""")})&gt;1))),""No shared courses""),"""")"),"")</f>
        <v/>
      </c>
      <c r="J801" s="94" t="str">
        <f>IFERROR(__xludf.DUMMYFUNCTION("if(H801=""Can't be Together"",iferror(join("", "",unique(filter({unique(filter('Students (Vertical)'!O:O,'Students (Vertical)'!C:C=B801,'Students (Vertical)'!O:O&lt;&gt;"""",'Students (Vertical)'!P:P&gt;1));unique(filter('Students (Vertical)'!O:O,'Students (Vertic"&amp;"al)'!C:C=E801,'Students (Vertical)'!O:O&lt;&gt;"""",'Students (Vertical)'!P:P&gt;1))},countifs({unique(filter('Students (Vertical)'!O:O,'Students (Vertical)'!C:C=B801,'Students (Vertical)'!O:O&lt;&gt;"""",'Students (Vertical)'!P:P&gt;1));unique(filter('Students (Vertical)'"&amp;"!O:O,'Students (Vertical)'!C:C=E801,'Students (Vertical)'!O:O&lt;&gt;"""",'Students (Vertical)'!P:P&gt;1))},{unique(filter('Students (Vertical)'!O:O,'Students (Vertical)'!C:C=B801,'Students (Vertical)'!O:O&lt;&gt;"""",'Students (Vertical)'!P:P&gt;1));unique(filter('Student"&amp;"s (Vertical)'!O:O,'Students (Vertical)'!C:C=E801,'Students (Vertical)'!O:O&lt;&gt;"""",'Students (Vertical)'!P:P&gt;1))})&gt;1))),""""),"""")"),"")</f>
        <v/>
      </c>
      <c r="K801" s="96" t="str">
        <f>IFERROR(__xludf.DUMMYFUNCTION("iferror(join("", "",unique(filter({filter('Students (Vertical)'!D:D,'Students (Vertical)'!C:C=B801,'Students (Vertical)'!D:D&lt;&gt;"""");filter('Students (Vertical)'!D:D,'Students (Vertical)'!C:C=E801,'Students (Vertical)'!D:D&lt;&gt;"""")},countifs({filter('Student"&amp;"s (Vertical)'!D:D,'Students (Vertical)'!C:C=B801,'Students (Vertical)'!D:D&lt;&gt;"""");filter('Students (Vertical)'!D:D,'Students (Vertical)'!C:C=E801,'Students (Vertical)'!D:D&lt;&gt;"""")},{filter('Students (Vertical)'!D:D,'Students (Vertical)'!C:C=B801,'Students "&amp;"(Vertical)'!D:D&lt;&gt;"""");filter('Students (Vertical)'!D:D,'Students (Vertical)'!C:C=E801,'Students (Vertical)'!D:D&lt;&gt;"""")})&gt;1))),"""")"),"")</f>
        <v/>
      </c>
      <c r="L801" s="96"/>
      <c r="M801" s="96"/>
    </row>
    <row r="802" hidden="1">
      <c r="A802" s="8" t="s">
        <v>8</v>
      </c>
      <c r="C802" s="8" t="s">
        <v>8</v>
      </c>
      <c r="D802" s="8" t="s">
        <v>8</v>
      </c>
      <c r="F802" s="8" t="s">
        <v>8</v>
      </c>
      <c r="G802" s="8" t="s">
        <v>8</v>
      </c>
      <c r="I802" s="94" t="str">
        <f>IFERROR(__xludf.DUMMYFUNCTION("if(H802=""Must be Together"",iferror(join("", "",unique(filter({filter('Students (Vertical)'!O:O,'Students (Vertical)'!C:C=B802,'Students (Vertical)'!O:O&lt;&gt;"""");filter('Students (Vertical)'!O:O,'Students (Vertical)'!C:C=E802,'Students (Vertical)'!O:O&lt;&gt;"""&amp;""")},countifs({filter('Students (Vertical)'!O:O,'Students (Vertical)'!C:C=B802,'Students (Vertical)'!O:O&lt;&gt;"""");filter('Students (Vertical)'!O:O,'Students (Vertical)'!C:C=E802,'Students (Vertical)'!O:O&lt;&gt;"""")},{filter('Students (Vertical)'!O:O,'Students ("&amp;"Vertical)'!C:C=B802,'Students (Vertical)'!O:O&lt;&gt;"""");filter('Students (Vertical)'!O:O,'Students (Vertical)'!C:C=E802,'Students (Vertical)'!O:O&lt;&gt;"""")})&gt;1))),""No shared courses""),"""")"),"")</f>
        <v/>
      </c>
      <c r="J802" s="94" t="str">
        <f>IFERROR(__xludf.DUMMYFUNCTION("if(H802=""Can't be Together"",iferror(join("", "",unique(filter({unique(filter('Students (Vertical)'!O:O,'Students (Vertical)'!C:C=B802,'Students (Vertical)'!O:O&lt;&gt;"""",'Students (Vertical)'!P:P&gt;1));unique(filter('Students (Vertical)'!O:O,'Students (Vertic"&amp;"al)'!C:C=E802,'Students (Vertical)'!O:O&lt;&gt;"""",'Students (Vertical)'!P:P&gt;1))},countifs({unique(filter('Students (Vertical)'!O:O,'Students (Vertical)'!C:C=B802,'Students (Vertical)'!O:O&lt;&gt;"""",'Students (Vertical)'!P:P&gt;1));unique(filter('Students (Vertical)'"&amp;"!O:O,'Students (Vertical)'!C:C=E802,'Students (Vertical)'!O:O&lt;&gt;"""",'Students (Vertical)'!P:P&gt;1))},{unique(filter('Students (Vertical)'!O:O,'Students (Vertical)'!C:C=B802,'Students (Vertical)'!O:O&lt;&gt;"""",'Students (Vertical)'!P:P&gt;1));unique(filter('Student"&amp;"s (Vertical)'!O:O,'Students (Vertical)'!C:C=E802,'Students (Vertical)'!O:O&lt;&gt;"""",'Students (Vertical)'!P:P&gt;1))})&gt;1))),""""),"""")"),"")</f>
        <v/>
      </c>
      <c r="K802" s="96" t="str">
        <f>IFERROR(__xludf.DUMMYFUNCTION("iferror(join("", "",unique(filter({filter('Students (Vertical)'!D:D,'Students (Vertical)'!C:C=B802,'Students (Vertical)'!D:D&lt;&gt;"""");filter('Students (Vertical)'!D:D,'Students (Vertical)'!C:C=E802,'Students (Vertical)'!D:D&lt;&gt;"""")},countifs({filter('Student"&amp;"s (Vertical)'!D:D,'Students (Vertical)'!C:C=B802,'Students (Vertical)'!D:D&lt;&gt;"""");filter('Students (Vertical)'!D:D,'Students (Vertical)'!C:C=E802,'Students (Vertical)'!D:D&lt;&gt;"""")},{filter('Students (Vertical)'!D:D,'Students (Vertical)'!C:C=B802,'Students "&amp;"(Vertical)'!D:D&lt;&gt;"""");filter('Students (Vertical)'!D:D,'Students (Vertical)'!C:C=E802,'Students (Vertical)'!D:D&lt;&gt;"""")})&gt;1))),"""")"),"")</f>
        <v/>
      </c>
      <c r="L802" s="96"/>
      <c r="M802" s="96"/>
    </row>
    <row r="803" hidden="1">
      <c r="A803" s="8" t="s">
        <v>8</v>
      </c>
      <c r="C803" s="8" t="s">
        <v>8</v>
      </c>
      <c r="D803" s="8" t="s">
        <v>8</v>
      </c>
      <c r="F803" s="8" t="s">
        <v>8</v>
      </c>
      <c r="G803" s="8" t="s">
        <v>8</v>
      </c>
      <c r="I803" s="94" t="str">
        <f>IFERROR(__xludf.DUMMYFUNCTION("if(H803=""Must be Together"",iferror(join("", "",unique(filter({filter('Students (Vertical)'!O:O,'Students (Vertical)'!C:C=B803,'Students (Vertical)'!O:O&lt;&gt;"""");filter('Students (Vertical)'!O:O,'Students (Vertical)'!C:C=E803,'Students (Vertical)'!O:O&lt;&gt;"""&amp;""")},countifs({filter('Students (Vertical)'!O:O,'Students (Vertical)'!C:C=B803,'Students (Vertical)'!O:O&lt;&gt;"""");filter('Students (Vertical)'!O:O,'Students (Vertical)'!C:C=E803,'Students (Vertical)'!O:O&lt;&gt;"""")},{filter('Students (Vertical)'!O:O,'Students ("&amp;"Vertical)'!C:C=B803,'Students (Vertical)'!O:O&lt;&gt;"""");filter('Students (Vertical)'!O:O,'Students (Vertical)'!C:C=E803,'Students (Vertical)'!O:O&lt;&gt;"""")})&gt;1))),""No shared courses""),"""")"),"")</f>
        <v/>
      </c>
      <c r="J803" s="94" t="str">
        <f>IFERROR(__xludf.DUMMYFUNCTION("if(H803=""Can't be Together"",iferror(join("", "",unique(filter({unique(filter('Students (Vertical)'!O:O,'Students (Vertical)'!C:C=B803,'Students (Vertical)'!O:O&lt;&gt;"""",'Students (Vertical)'!P:P&gt;1));unique(filter('Students (Vertical)'!O:O,'Students (Vertic"&amp;"al)'!C:C=E803,'Students (Vertical)'!O:O&lt;&gt;"""",'Students (Vertical)'!P:P&gt;1))},countifs({unique(filter('Students (Vertical)'!O:O,'Students (Vertical)'!C:C=B803,'Students (Vertical)'!O:O&lt;&gt;"""",'Students (Vertical)'!P:P&gt;1));unique(filter('Students (Vertical)'"&amp;"!O:O,'Students (Vertical)'!C:C=E803,'Students (Vertical)'!O:O&lt;&gt;"""",'Students (Vertical)'!P:P&gt;1))},{unique(filter('Students (Vertical)'!O:O,'Students (Vertical)'!C:C=B803,'Students (Vertical)'!O:O&lt;&gt;"""",'Students (Vertical)'!P:P&gt;1));unique(filter('Student"&amp;"s (Vertical)'!O:O,'Students (Vertical)'!C:C=E803,'Students (Vertical)'!O:O&lt;&gt;"""",'Students (Vertical)'!P:P&gt;1))})&gt;1))),""""),"""")"),"")</f>
        <v/>
      </c>
      <c r="K803" s="96" t="str">
        <f>IFERROR(__xludf.DUMMYFUNCTION("iferror(join("", "",unique(filter({filter('Students (Vertical)'!D:D,'Students (Vertical)'!C:C=B803,'Students (Vertical)'!D:D&lt;&gt;"""");filter('Students (Vertical)'!D:D,'Students (Vertical)'!C:C=E803,'Students (Vertical)'!D:D&lt;&gt;"""")},countifs({filter('Student"&amp;"s (Vertical)'!D:D,'Students (Vertical)'!C:C=B803,'Students (Vertical)'!D:D&lt;&gt;"""");filter('Students (Vertical)'!D:D,'Students (Vertical)'!C:C=E803,'Students (Vertical)'!D:D&lt;&gt;"""")},{filter('Students (Vertical)'!D:D,'Students (Vertical)'!C:C=B803,'Students "&amp;"(Vertical)'!D:D&lt;&gt;"""");filter('Students (Vertical)'!D:D,'Students (Vertical)'!C:C=E803,'Students (Vertical)'!D:D&lt;&gt;"""")})&gt;1))),"""")"),"")</f>
        <v/>
      </c>
      <c r="L803" s="96"/>
      <c r="M803" s="96"/>
    </row>
    <row r="804" hidden="1">
      <c r="A804" s="8" t="s">
        <v>8</v>
      </c>
      <c r="C804" s="8" t="s">
        <v>8</v>
      </c>
      <c r="D804" s="8" t="s">
        <v>8</v>
      </c>
      <c r="F804" s="8" t="s">
        <v>8</v>
      </c>
      <c r="G804" s="8" t="s">
        <v>8</v>
      </c>
      <c r="I804" s="94" t="str">
        <f>IFERROR(__xludf.DUMMYFUNCTION("if(H804=""Must be Together"",iferror(join("", "",unique(filter({filter('Students (Vertical)'!O:O,'Students (Vertical)'!C:C=B804,'Students (Vertical)'!O:O&lt;&gt;"""");filter('Students (Vertical)'!O:O,'Students (Vertical)'!C:C=E804,'Students (Vertical)'!O:O&lt;&gt;"""&amp;""")},countifs({filter('Students (Vertical)'!O:O,'Students (Vertical)'!C:C=B804,'Students (Vertical)'!O:O&lt;&gt;"""");filter('Students (Vertical)'!O:O,'Students (Vertical)'!C:C=E804,'Students (Vertical)'!O:O&lt;&gt;"""")},{filter('Students (Vertical)'!O:O,'Students ("&amp;"Vertical)'!C:C=B804,'Students (Vertical)'!O:O&lt;&gt;"""");filter('Students (Vertical)'!O:O,'Students (Vertical)'!C:C=E804,'Students (Vertical)'!O:O&lt;&gt;"""")})&gt;1))),""No shared courses""),"""")"),"")</f>
        <v/>
      </c>
      <c r="J804" s="94" t="str">
        <f>IFERROR(__xludf.DUMMYFUNCTION("if(H804=""Can't be Together"",iferror(join("", "",unique(filter({unique(filter('Students (Vertical)'!O:O,'Students (Vertical)'!C:C=B804,'Students (Vertical)'!O:O&lt;&gt;"""",'Students (Vertical)'!P:P&gt;1));unique(filter('Students (Vertical)'!O:O,'Students (Vertic"&amp;"al)'!C:C=E804,'Students (Vertical)'!O:O&lt;&gt;"""",'Students (Vertical)'!P:P&gt;1))},countifs({unique(filter('Students (Vertical)'!O:O,'Students (Vertical)'!C:C=B804,'Students (Vertical)'!O:O&lt;&gt;"""",'Students (Vertical)'!P:P&gt;1));unique(filter('Students (Vertical)'"&amp;"!O:O,'Students (Vertical)'!C:C=E804,'Students (Vertical)'!O:O&lt;&gt;"""",'Students (Vertical)'!P:P&gt;1))},{unique(filter('Students (Vertical)'!O:O,'Students (Vertical)'!C:C=B804,'Students (Vertical)'!O:O&lt;&gt;"""",'Students (Vertical)'!P:P&gt;1));unique(filter('Student"&amp;"s (Vertical)'!O:O,'Students (Vertical)'!C:C=E804,'Students (Vertical)'!O:O&lt;&gt;"""",'Students (Vertical)'!P:P&gt;1))})&gt;1))),""""),"""")"),"")</f>
        <v/>
      </c>
      <c r="K804" s="96" t="str">
        <f>IFERROR(__xludf.DUMMYFUNCTION("iferror(join("", "",unique(filter({filter('Students (Vertical)'!D:D,'Students (Vertical)'!C:C=B804,'Students (Vertical)'!D:D&lt;&gt;"""");filter('Students (Vertical)'!D:D,'Students (Vertical)'!C:C=E804,'Students (Vertical)'!D:D&lt;&gt;"""")},countifs({filter('Student"&amp;"s (Vertical)'!D:D,'Students (Vertical)'!C:C=B804,'Students (Vertical)'!D:D&lt;&gt;"""");filter('Students (Vertical)'!D:D,'Students (Vertical)'!C:C=E804,'Students (Vertical)'!D:D&lt;&gt;"""")},{filter('Students (Vertical)'!D:D,'Students (Vertical)'!C:C=B804,'Students "&amp;"(Vertical)'!D:D&lt;&gt;"""");filter('Students (Vertical)'!D:D,'Students (Vertical)'!C:C=E804,'Students (Vertical)'!D:D&lt;&gt;"""")})&gt;1))),"""")"),"")</f>
        <v/>
      </c>
      <c r="L804" s="96"/>
      <c r="M804" s="96"/>
    </row>
    <row r="805" hidden="1">
      <c r="A805" s="8" t="s">
        <v>8</v>
      </c>
      <c r="C805" s="8" t="s">
        <v>8</v>
      </c>
      <c r="D805" s="8" t="s">
        <v>8</v>
      </c>
      <c r="F805" s="8" t="s">
        <v>8</v>
      </c>
      <c r="G805" s="8" t="s">
        <v>8</v>
      </c>
      <c r="I805" s="94" t="str">
        <f>IFERROR(__xludf.DUMMYFUNCTION("if(H805=""Must be Together"",iferror(join("", "",unique(filter({filter('Students (Vertical)'!O:O,'Students (Vertical)'!C:C=B805,'Students (Vertical)'!O:O&lt;&gt;"""");filter('Students (Vertical)'!O:O,'Students (Vertical)'!C:C=E805,'Students (Vertical)'!O:O&lt;&gt;"""&amp;""")},countifs({filter('Students (Vertical)'!O:O,'Students (Vertical)'!C:C=B805,'Students (Vertical)'!O:O&lt;&gt;"""");filter('Students (Vertical)'!O:O,'Students (Vertical)'!C:C=E805,'Students (Vertical)'!O:O&lt;&gt;"""")},{filter('Students (Vertical)'!O:O,'Students ("&amp;"Vertical)'!C:C=B805,'Students (Vertical)'!O:O&lt;&gt;"""");filter('Students (Vertical)'!O:O,'Students (Vertical)'!C:C=E805,'Students (Vertical)'!O:O&lt;&gt;"""")})&gt;1))),""No shared courses""),"""")"),"")</f>
        <v/>
      </c>
      <c r="J805" s="94" t="str">
        <f>IFERROR(__xludf.DUMMYFUNCTION("if(H805=""Can't be Together"",iferror(join("", "",unique(filter({unique(filter('Students (Vertical)'!O:O,'Students (Vertical)'!C:C=B805,'Students (Vertical)'!O:O&lt;&gt;"""",'Students (Vertical)'!P:P&gt;1));unique(filter('Students (Vertical)'!O:O,'Students (Vertic"&amp;"al)'!C:C=E805,'Students (Vertical)'!O:O&lt;&gt;"""",'Students (Vertical)'!P:P&gt;1))},countifs({unique(filter('Students (Vertical)'!O:O,'Students (Vertical)'!C:C=B805,'Students (Vertical)'!O:O&lt;&gt;"""",'Students (Vertical)'!P:P&gt;1));unique(filter('Students (Vertical)'"&amp;"!O:O,'Students (Vertical)'!C:C=E805,'Students (Vertical)'!O:O&lt;&gt;"""",'Students (Vertical)'!P:P&gt;1))},{unique(filter('Students (Vertical)'!O:O,'Students (Vertical)'!C:C=B805,'Students (Vertical)'!O:O&lt;&gt;"""",'Students (Vertical)'!P:P&gt;1));unique(filter('Student"&amp;"s (Vertical)'!O:O,'Students (Vertical)'!C:C=E805,'Students (Vertical)'!O:O&lt;&gt;"""",'Students (Vertical)'!P:P&gt;1))})&gt;1))),""""),"""")"),"")</f>
        <v/>
      </c>
      <c r="K805" s="96" t="str">
        <f>IFERROR(__xludf.DUMMYFUNCTION("iferror(join("", "",unique(filter({filter('Students (Vertical)'!D:D,'Students (Vertical)'!C:C=B805,'Students (Vertical)'!D:D&lt;&gt;"""");filter('Students (Vertical)'!D:D,'Students (Vertical)'!C:C=E805,'Students (Vertical)'!D:D&lt;&gt;"""")},countifs({filter('Student"&amp;"s (Vertical)'!D:D,'Students (Vertical)'!C:C=B805,'Students (Vertical)'!D:D&lt;&gt;"""");filter('Students (Vertical)'!D:D,'Students (Vertical)'!C:C=E805,'Students (Vertical)'!D:D&lt;&gt;"""")},{filter('Students (Vertical)'!D:D,'Students (Vertical)'!C:C=B805,'Students "&amp;"(Vertical)'!D:D&lt;&gt;"""");filter('Students (Vertical)'!D:D,'Students (Vertical)'!C:C=E805,'Students (Vertical)'!D:D&lt;&gt;"""")})&gt;1))),"""")"),"")</f>
        <v/>
      </c>
      <c r="L805" s="96"/>
      <c r="M805" s="96"/>
    </row>
    <row r="806" hidden="1">
      <c r="A806" s="8" t="s">
        <v>8</v>
      </c>
      <c r="C806" s="8" t="s">
        <v>8</v>
      </c>
      <c r="D806" s="8" t="s">
        <v>8</v>
      </c>
      <c r="F806" s="8" t="s">
        <v>8</v>
      </c>
      <c r="G806" s="8" t="s">
        <v>8</v>
      </c>
      <c r="I806" s="94" t="str">
        <f>IFERROR(__xludf.DUMMYFUNCTION("if(H806=""Must be Together"",iferror(join("", "",unique(filter({filter('Students (Vertical)'!O:O,'Students (Vertical)'!C:C=B806,'Students (Vertical)'!O:O&lt;&gt;"""");filter('Students (Vertical)'!O:O,'Students (Vertical)'!C:C=E806,'Students (Vertical)'!O:O&lt;&gt;"""&amp;""")},countifs({filter('Students (Vertical)'!O:O,'Students (Vertical)'!C:C=B806,'Students (Vertical)'!O:O&lt;&gt;"""");filter('Students (Vertical)'!O:O,'Students (Vertical)'!C:C=E806,'Students (Vertical)'!O:O&lt;&gt;"""")},{filter('Students (Vertical)'!O:O,'Students ("&amp;"Vertical)'!C:C=B806,'Students (Vertical)'!O:O&lt;&gt;"""");filter('Students (Vertical)'!O:O,'Students (Vertical)'!C:C=E806,'Students (Vertical)'!O:O&lt;&gt;"""")})&gt;1))),""No shared courses""),"""")"),"")</f>
        <v/>
      </c>
      <c r="J806" s="94" t="str">
        <f>IFERROR(__xludf.DUMMYFUNCTION("if(H806=""Can't be Together"",iferror(join("", "",unique(filter({unique(filter('Students (Vertical)'!O:O,'Students (Vertical)'!C:C=B806,'Students (Vertical)'!O:O&lt;&gt;"""",'Students (Vertical)'!P:P&gt;1));unique(filter('Students (Vertical)'!O:O,'Students (Vertic"&amp;"al)'!C:C=E806,'Students (Vertical)'!O:O&lt;&gt;"""",'Students (Vertical)'!P:P&gt;1))},countifs({unique(filter('Students (Vertical)'!O:O,'Students (Vertical)'!C:C=B806,'Students (Vertical)'!O:O&lt;&gt;"""",'Students (Vertical)'!P:P&gt;1));unique(filter('Students (Vertical)'"&amp;"!O:O,'Students (Vertical)'!C:C=E806,'Students (Vertical)'!O:O&lt;&gt;"""",'Students (Vertical)'!P:P&gt;1))},{unique(filter('Students (Vertical)'!O:O,'Students (Vertical)'!C:C=B806,'Students (Vertical)'!O:O&lt;&gt;"""",'Students (Vertical)'!P:P&gt;1));unique(filter('Student"&amp;"s (Vertical)'!O:O,'Students (Vertical)'!C:C=E806,'Students (Vertical)'!O:O&lt;&gt;"""",'Students (Vertical)'!P:P&gt;1))})&gt;1))),""""),"""")"),"")</f>
        <v/>
      </c>
      <c r="K806" s="96" t="str">
        <f>IFERROR(__xludf.DUMMYFUNCTION("iferror(join("", "",unique(filter({filter('Students (Vertical)'!D:D,'Students (Vertical)'!C:C=B806,'Students (Vertical)'!D:D&lt;&gt;"""");filter('Students (Vertical)'!D:D,'Students (Vertical)'!C:C=E806,'Students (Vertical)'!D:D&lt;&gt;"""")},countifs({filter('Student"&amp;"s (Vertical)'!D:D,'Students (Vertical)'!C:C=B806,'Students (Vertical)'!D:D&lt;&gt;"""");filter('Students (Vertical)'!D:D,'Students (Vertical)'!C:C=E806,'Students (Vertical)'!D:D&lt;&gt;"""")},{filter('Students (Vertical)'!D:D,'Students (Vertical)'!C:C=B806,'Students "&amp;"(Vertical)'!D:D&lt;&gt;"""");filter('Students (Vertical)'!D:D,'Students (Vertical)'!C:C=E806,'Students (Vertical)'!D:D&lt;&gt;"""")})&gt;1))),"""")"),"")</f>
        <v/>
      </c>
      <c r="L806" s="96"/>
      <c r="M806" s="96"/>
    </row>
    <row r="807" hidden="1">
      <c r="A807" s="8" t="s">
        <v>8</v>
      </c>
      <c r="C807" s="8" t="s">
        <v>8</v>
      </c>
      <c r="D807" s="8" t="s">
        <v>8</v>
      </c>
      <c r="F807" s="8" t="s">
        <v>8</v>
      </c>
      <c r="G807" s="8" t="s">
        <v>8</v>
      </c>
      <c r="I807" s="94" t="str">
        <f>IFERROR(__xludf.DUMMYFUNCTION("if(H807=""Must be Together"",iferror(join("", "",unique(filter({filter('Students (Vertical)'!O:O,'Students (Vertical)'!C:C=B807,'Students (Vertical)'!O:O&lt;&gt;"""");filter('Students (Vertical)'!O:O,'Students (Vertical)'!C:C=E807,'Students (Vertical)'!O:O&lt;&gt;"""&amp;""")},countifs({filter('Students (Vertical)'!O:O,'Students (Vertical)'!C:C=B807,'Students (Vertical)'!O:O&lt;&gt;"""");filter('Students (Vertical)'!O:O,'Students (Vertical)'!C:C=E807,'Students (Vertical)'!O:O&lt;&gt;"""")},{filter('Students (Vertical)'!O:O,'Students ("&amp;"Vertical)'!C:C=B807,'Students (Vertical)'!O:O&lt;&gt;"""");filter('Students (Vertical)'!O:O,'Students (Vertical)'!C:C=E807,'Students (Vertical)'!O:O&lt;&gt;"""")})&gt;1))),""No shared courses""),"""")"),"")</f>
        <v/>
      </c>
      <c r="J807" s="94" t="str">
        <f>IFERROR(__xludf.DUMMYFUNCTION("if(H807=""Can't be Together"",iferror(join("", "",unique(filter({unique(filter('Students (Vertical)'!O:O,'Students (Vertical)'!C:C=B807,'Students (Vertical)'!O:O&lt;&gt;"""",'Students (Vertical)'!P:P&gt;1));unique(filter('Students (Vertical)'!O:O,'Students (Vertic"&amp;"al)'!C:C=E807,'Students (Vertical)'!O:O&lt;&gt;"""",'Students (Vertical)'!P:P&gt;1))},countifs({unique(filter('Students (Vertical)'!O:O,'Students (Vertical)'!C:C=B807,'Students (Vertical)'!O:O&lt;&gt;"""",'Students (Vertical)'!P:P&gt;1));unique(filter('Students (Vertical)'"&amp;"!O:O,'Students (Vertical)'!C:C=E807,'Students (Vertical)'!O:O&lt;&gt;"""",'Students (Vertical)'!P:P&gt;1))},{unique(filter('Students (Vertical)'!O:O,'Students (Vertical)'!C:C=B807,'Students (Vertical)'!O:O&lt;&gt;"""",'Students (Vertical)'!P:P&gt;1));unique(filter('Student"&amp;"s (Vertical)'!O:O,'Students (Vertical)'!C:C=E807,'Students (Vertical)'!O:O&lt;&gt;"""",'Students (Vertical)'!P:P&gt;1))})&gt;1))),""""),"""")"),"")</f>
        <v/>
      </c>
      <c r="K807" s="96" t="str">
        <f>IFERROR(__xludf.DUMMYFUNCTION("iferror(join("", "",unique(filter({filter('Students (Vertical)'!D:D,'Students (Vertical)'!C:C=B807,'Students (Vertical)'!D:D&lt;&gt;"""");filter('Students (Vertical)'!D:D,'Students (Vertical)'!C:C=E807,'Students (Vertical)'!D:D&lt;&gt;"""")},countifs({filter('Student"&amp;"s (Vertical)'!D:D,'Students (Vertical)'!C:C=B807,'Students (Vertical)'!D:D&lt;&gt;"""");filter('Students (Vertical)'!D:D,'Students (Vertical)'!C:C=E807,'Students (Vertical)'!D:D&lt;&gt;"""")},{filter('Students (Vertical)'!D:D,'Students (Vertical)'!C:C=B807,'Students "&amp;"(Vertical)'!D:D&lt;&gt;"""");filter('Students (Vertical)'!D:D,'Students (Vertical)'!C:C=E807,'Students (Vertical)'!D:D&lt;&gt;"""")})&gt;1))),"""")"),"")</f>
        <v/>
      </c>
      <c r="L807" s="96"/>
      <c r="M807" s="96"/>
    </row>
    <row r="808" hidden="1">
      <c r="A808" s="8" t="s">
        <v>8</v>
      </c>
      <c r="C808" s="8" t="s">
        <v>8</v>
      </c>
      <c r="D808" s="8" t="s">
        <v>8</v>
      </c>
      <c r="F808" s="8" t="s">
        <v>8</v>
      </c>
      <c r="G808" s="8" t="s">
        <v>8</v>
      </c>
      <c r="I808" s="94" t="str">
        <f>IFERROR(__xludf.DUMMYFUNCTION("if(H808=""Must be Together"",iferror(join("", "",unique(filter({filter('Students (Vertical)'!O:O,'Students (Vertical)'!C:C=B808,'Students (Vertical)'!O:O&lt;&gt;"""");filter('Students (Vertical)'!O:O,'Students (Vertical)'!C:C=E808,'Students (Vertical)'!O:O&lt;&gt;"""&amp;""")},countifs({filter('Students (Vertical)'!O:O,'Students (Vertical)'!C:C=B808,'Students (Vertical)'!O:O&lt;&gt;"""");filter('Students (Vertical)'!O:O,'Students (Vertical)'!C:C=E808,'Students (Vertical)'!O:O&lt;&gt;"""")},{filter('Students (Vertical)'!O:O,'Students ("&amp;"Vertical)'!C:C=B808,'Students (Vertical)'!O:O&lt;&gt;"""");filter('Students (Vertical)'!O:O,'Students (Vertical)'!C:C=E808,'Students (Vertical)'!O:O&lt;&gt;"""")})&gt;1))),""No shared courses""),"""")"),"")</f>
        <v/>
      </c>
      <c r="J808" s="94" t="str">
        <f>IFERROR(__xludf.DUMMYFUNCTION("if(H808=""Can't be Together"",iferror(join("", "",unique(filter({unique(filter('Students (Vertical)'!O:O,'Students (Vertical)'!C:C=B808,'Students (Vertical)'!O:O&lt;&gt;"""",'Students (Vertical)'!P:P&gt;1));unique(filter('Students (Vertical)'!O:O,'Students (Vertic"&amp;"al)'!C:C=E808,'Students (Vertical)'!O:O&lt;&gt;"""",'Students (Vertical)'!P:P&gt;1))},countifs({unique(filter('Students (Vertical)'!O:O,'Students (Vertical)'!C:C=B808,'Students (Vertical)'!O:O&lt;&gt;"""",'Students (Vertical)'!P:P&gt;1));unique(filter('Students (Vertical)'"&amp;"!O:O,'Students (Vertical)'!C:C=E808,'Students (Vertical)'!O:O&lt;&gt;"""",'Students (Vertical)'!P:P&gt;1))},{unique(filter('Students (Vertical)'!O:O,'Students (Vertical)'!C:C=B808,'Students (Vertical)'!O:O&lt;&gt;"""",'Students (Vertical)'!P:P&gt;1));unique(filter('Student"&amp;"s (Vertical)'!O:O,'Students (Vertical)'!C:C=E808,'Students (Vertical)'!O:O&lt;&gt;"""",'Students (Vertical)'!P:P&gt;1))})&gt;1))),""""),"""")"),"")</f>
        <v/>
      </c>
      <c r="K808" s="96" t="str">
        <f>IFERROR(__xludf.DUMMYFUNCTION("iferror(join("", "",unique(filter({filter('Students (Vertical)'!D:D,'Students (Vertical)'!C:C=B808,'Students (Vertical)'!D:D&lt;&gt;"""");filter('Students (Vertical)'!D:D,'Students (Vertical)'!C:C=E808,'Students (Vertical)'!D:D&lt;&gt;"""")},countifs({filter('Student"&amp;"s (Vertical)'!D:D,'Students (Vertical)'!C:C=B808,'Students (Vertical)'!D:D&lt;&gt;"""");filter('Students (Vertical)'!D:D,'Students (Vertical)'!C:C=E808,'Students (Vertical)'!D:D&lt;&gt;"""")},{filter('Students (Vertical)'!D:D,'Students (Vertical)'!C:C=B808,'Students "&amp;"(Vertical)'!D:D&lt;&gt;"""");filter('Students (Vertical)'!D:D,'Students (Vertical)'!C:C=E808,'Students (Vertical)'!D:D&lt;&gt;"""")})&gt;1))),"""")"),"")</f>
        <v/>
      </c>
      <c r="L808" s="96"/>
      <c r="M808" s="96"/>
    </row>
    <row r="809" hidden="1">
      <c r="A809" s="8" t="s">
        <v>8</v>
      </c>
      <c r="C809" s="8" t="s">
        <v>8</v>
      </c>
      <c r="D809" s="8" t="s">
        <v>8</v>
      </c>
      <c r="F809" s="8" t="s">
        <v>8</v>
      </c>
      <c r="G809" s="8" t="s">
        <v>8</v>
      </c>
      <c r="I809" s="94" t="str">
        <f>IFERROR(__xludf.DUMMYFUNCTION("if(H809=""Must be Together"",iferror(join("", "",unique(filter({filter('Students (Vertical)'!O:O,'Students (Vertical)'!C:C=B809,'Students (Vertical)'!O:O&lt;&gt;"""");filter('Students (Vertical)'!O:O,'Students (Vertical)'!C:C=E809,'Students (Vertical)'!O:O&lt;&gt;"""&amp;""")},countifs({filter('Students (Vertical)'!O:O,'Students (Vertical)'!C:C=B809,'Students (Vertical)'!O:O&lt;&gt;"""");filter('Students (Vertical)'!O:O,'Students (Vertical)'!C:C=E809,'Students (Vertical)'!O:O&lt;&gt;"""")},{filter('Students (Vertical)'!O:O,'Students ("&amp;"Vertical)'!C:C=B809,'Students (Vertical)'!O:O&lt;&gt;"""");filter('Students (Vertical)'!O:O,'Students (Vertical)'!C:C=E809,'Students (Vertical)'!O:O&lt;&gt;"""")})&gt;1))),""No shared courses""),"""")"),"")</f>
        <v/>
      </c>
      <c r="J809" s="94" t="str">
        <f>IFERROR(__xludf.DUMMYFUNCTION("if(H809=""Can't be Together"",iferror(join("", "",unique(filter({unique(filter('Students (Vertical)'!O:O,'Students (Vertical)'!C:C=B809,'Students (Vertical)'!O:O&lt;&gt;"""",'Students (Vertical)'!P:P&gt;1));unique(filter('Students (Vertical)'!O:O,'Students (Vertic"&amp;"al)'!C:C=E809,'Students (Vertical)'!O:O&lt;&gt;"""",'Students (Vertical)'!P:P&gt;1))},countifs({unique(filter('Students (Vertical)'!O:O,'Students (Vertical)'!C:C=B809,'Students (Vertical)'!O:O&lt;&gt;"""",'Students (Vertical)'!P:P&gt;1));unique(filter('Students (Vertical)'"&amp;"!O:O,'Students (Vertical)'!C:C=E809,'Students (Vertical)'!O:O&lt;&gt;"""",'Students (Vertical)'!P:P&gt;1))},{unique(filter('Students (Vertical)'!O:O,'Students (Vertical)'!C:C=B809,'Students (Vertical)'!O:O&lt;&gt;"""",'Students (Vertical)'!P:P&gt;1));unique(filter('Student"&amp;"s (Vertical)'!O:O,'Students (Vertical)'!C:C=E809,'Students (Vertical)'!O:O&lt;&gt;"""",'Students (Vertical)'!P:P&gt;1))})&gt;1))),""""),"""")"),"")</f>
        <v/>
      </c>
      <c r="K809" s="96" t="str">
        <f>IFERROR(__xludf.DUMMYFUNCTION("iferror(join("", "",unique(filter({filter('Students (Vertical)'!D:D,'Students (Vertical)'!C:C=B809,'Students (Vertical)'!D:D&lt;&gt;"""");filter('Students (Vertical)'!D:D,'Students (Vertical)'!C:C=E809,'Students (Vertical)'!D:D&lt;&gt;"""")},countifs({filter('Student"&amp;"s (Vertical)'!D:D,'Students (Vertical)'!C:C=B809,'Students (Vertical)'!D:D&lt;&gt;"""");filter('Students (Vertical)'!D:D,'Students (Vertical)'!C:C=E809,'Students (Vertical)'!D:D&lt;&gt;"""")},{filter('Students (Vertical)'!D:D,'Students (Vertical)'!C:C=B809,'Students "&amp;"(Vertical)'!D:D&lt;&gt;"""");filter('Students (Vertical)'!D:D,'Students (Vertical)'!C:C=E809,'Students (Vertical)'!D:D&lt;&gt;"""")})&gt;1))),"""")"),"")</f>
        <v/>
      </c>
      <c r="L809" s="96"/>
      <c r="M809" s="96"/>
    </row>
    <row r="810" hidden="1">
      <c r="A810" s="8" t="s">
        <v>8</v>
      </c>
      <c r="C810" s="8" t="s">
        <v>8</v>
      </c>
      <c r="D810" s="8" t="s">
        <v>8</v>
      </c>
      <c r="F810" s="8" t="s">
        <v>8</v>
      </c>
      <c r="G810" s="8" t="s">
        <v>8</v>
      </c>
      <c r="I810" s="94" t="str">
        <f>IFERROR(__xludf.DUMMYFUNCTION("if(H810=""Must be Together"",iferror(join("", "",unique(filter({filter('Students (Vertical)'!O:O,'Students (Vertical)'!C:C=B810,'Students (Vertical)'!O:O&lt;&gt;"""");filter('Students (Vertical)'!O:O,'Students (Vertical)'!C:C=E810,'Students (Vertical)'!O:O&lt;&gt;"""&amp;""")},countifs({filter('Students (Vertical)'!O:O,'Students (Vertical)'!C:C=B810,'Students (Vertical)'!O:O&lt;&gt;"""");filter('Students (Vertical)'!O:O,'Students (Vertical)'!C:C=E810,'Students (Vertical)'!O:O&lt;&gt;"""")},{filter('Students (Vertical)'!O:O,'Students ("&amp;"Vertical)'!C:C=B810,'Students (Vertical)'!O:O&lt;&gt;"""");filter('Students (Vertical)'!O:O,'Students (Vertical)'!C:C=E810,'Students (Vertical)'!O:O&lt;&gt;"""")})&gt;1))),""No shared courses""),"""")"),"")</f>
        <v/>
      </c>
      <c r="J810" s="94" t="str">
        <f>IFERROR(__xludf.DUMMYFUNCTION("if(H810=""Can't be Together"",iferror(join("", "",unique(filter({unique(filter('Students (Vertical)'!O:O,'Students (Vertical)'!C:C=B810,'Students (Vertical)'!O:O&lt;&gt;"""",'Students (Vertical)'!P:P&gt;1));unique(filter('Students (Vertical)'!O:O,'Students (Vertic"&amp;"al)'!C:C=E810,'Students (Vertical)'!O:O&lt;&gt;"""",'Students (Vertical)'!P:P&gt;1))},countifs({unique(filter('Students (Vertical)'!O:O,'Students (Vertical)'!C:C=B810,'Students (Vertical)'!O:O&lt;&gt;"""",'Students (Vertical)'!P:P&gt;1));unique(filter('Students (Vertical)'"&amp;"!O:O,'Students (Vertical)'!C:C=E810,'Students (Vertical)'!O:O&lt;&gt;"""",'Students (Vertical)'!P:P&gt;1))},{unique(filter('Students (Vertical)'!O:O,'Students (Vertical)'!C:C=B810,'Students (Vertical)'!O:O&lt;&gt;"""",'Students (Vertical)'!P:P&gt;1));unique(filter('Student"&amp;"s (Vertical)'!O:O,'Students (Vertical)'!C:C=E810,'Students (Vertical)'!O:O&lt;&gt;"""",'Students (Vertical)'!P:P&gt;1))})&gt;1))),""""),"""")"),"")</f>
        <v/>
      </c>
      <c r="K810" s="96" t="str">
        <f>IFERROR(__xludf.DUMMYFUNCTION("iferror(join("", "",unique(filter({filter('Students (Vertical)'!D:D,'Students (Vertical)'!C:C=B810,'Students (Vertical)'!D:D&lt;&gt;"""");filter('Students (Vertical)'!D:D,'Students (Vertical)'!C:C=E810,'Students (Vertical)'!D:D&lt;&gt;"""")},countifs({filter('Student"&amp;"s (Vertical)'!D:D,'Students (Vertical)'!C:C=B810,'Students (Vertical)'!D:D&lt;&gt;"""");filter('Students (Vertical)'!D:D,'Students (Vertical)'!C:C=E810,'Students (Vertical)'!D:D&lt;&gt;"""")},{filter('Students (Vertical)'!D:D,'Students (Vertical)'!C:C=B810,'Students "&amp;"(Vertical)'!D:D&lt;&gt;"""");filter('Students (Vertical)'!D:D,'Students (Vertical)'!C:C=E810,'Students (Vertical)'!D:D&lt;&gt;"""")})&gt;1))),"""")"),"")</f>
        <v/>
      </c>
      <c r="L810" s="96"/>
      <c r="M810" s="96"/>
    </row>
    <row r="811" hidden="1">
      <c r="A811" s="8" t="s">
        <v>8</v>
      </c>
      <c r="C811" s="8" t="s">
        <v>8</v>
      </c>
      <c r="D811" s="8" t="s">
        <v>8</v>
      </c>
      <c r="F811" s="8" t="s">
        <v>8</v>
      </c>
      <c r="G811" s="8" t="s">
        <v>8</v>
      </c>
      <c r="I811" s="94" t="str">
        <f>IFERROR(__xludf.DUMMYFUNCTION("if(H811=""Must be Together"",iferror(join("", "",unique(filter({filter('Students (Vertical)'!O:O,'Students (Vertical)'!C:C=B811,'Students (Vertical)'!O:O&lt;&gt;"""");filter('Students (Vertical)'!O:O,'Students (Vertical)'!C:C=E811,'Students (Vertical)'!O:O&lt;&gt;"""&amp;""")},countifs({filter('Students (Vertical)'!O:O,'Students (Vertical)'!C:C=B811,'Students (Vertical)'!O:O&lt;&gt;"""");filter('Students (Vertical)'!O:O,'Students (Vertical)'!C:C=E811,'Students (Vertical)'!O:O&lt;&gt;"""")},{filter('Students (Vertical)'!O:O,'Students ("&amp;"Vertical)'!C:C=B811,'Students (Vertical)'!O:O&lt;&gt;"""");filter('Students (Vertical)'!O:O,'Students (Vertical)'!C:C=E811,'Students (Vertical)'!O:O&lt;&gt;"""")})&gt;1))),""No shared courses""),"""")"),"")</f>
        <v/>
      </c>
      <c r="J811" s="94" t="str">
        <f>IFERROR(__xludf.DUMMYFUNCTION("if(H811=""Can't be Together"",iferror(join("", "",unique(filter({unique(filter('Students (Vertical)'!O:O,'Students (Vertical)'!C:C=B811,'Students (Vertical)'!O:O&lt;&gt;"""",'Students (Vertical)'!P:P&gt;1));unique(filter('Students (Vertical)'!O:O,'Students (Vertic"&amp;"al)'!C:C=E811,'Students (Vertical)'!O:O&lt;&gt;"""",'Students (Vertical)'!P:P&gt;1))},countifs({unique(filter('Students (Vertical)'!O:O,'Students (Vertical)'!C:C=B811,'Students (Vertical)'!O:O&lt;&gt;"""",'Students (Vertical)'!P:P&gt;1));unique(filter('Students (Vertical)'"&amp;"!O:O,'Students (Vertical)'!C:C=E811,'Students (Vertical)'!O:O&lt;&gt;"""",'Students (Vertical)'!P:P&gt;1))},{unique(filter('Students (Vertical)'!O:O,'Students (Vertical)'!C:C=B811,'Students (Vertical)'!O:O&lt;&gt;"""",'Students (Vertical)'!P:P&gt;1));unique(filter('Student"&amp;"s (Vertical)'!O:O,'Students (Vertical)'!C:C=E811,'Students (Vertical)'!O:O&lt;&gt;"""",'Students (Vertical)'!P:P&gt;1))})&gt;1))),""""),"""")"),"")</f>
        <v/>
      </c>
      <c r="K811" s="96" t="str">
        <f>IFERROR(__xludf.DUMMYFUNCTION("iferror(join("", "",unique(filter({filter('Students (Vertical)'!D:D,'Students (Vertical)'!C:C=B811,'Students (Vertical)'!D:D&lt;&gt;"""");filter('Students (Vertical)'!D:D,'Students (Vertical)'!C:C=E811,'Students (Vertical)'!D:D&lt;&gt;"""")},countifs({filter('Student"&amp;"s (Vertical)'!D:D,'Students (Vertical)'!C:C=B811,'Students (Vertical)'!D:D&lt;&gt;"""");filter('Students (Vertical)'!D:D,'Students (Vertical)'!C:C=E811,'Students (Vertical)'!D:D&lt;&gt;"""")},{filter('Students (Vertical)'!D:D,'Students (Vertical)'!C:C=B811,'Students "&amp;"(Vertical)'!D:D&lt;&gt;"""");filter('Students (Vertical)'!D:D,'Students (Vertical)'!C:C=E811,'Students (Vertical)'!D:D&lt;&gt;"""")})&gt;1))),"""")"),"")</f>
        <v/>
      </c>
      <c r="L811" s="96"/>
      <c r="M811" s="96"/>
    </row>
    <row r="812" hidden="1">
      <c r="A812" s="8" t="s">
        <v>8</v>
      </c>
      <c r="C812" s="8" t="s">
        <v>8</v>
      </c>
      <c r="D812" s="8" t="s">
        <v>8</v>
      </c>
      <c r="F812" s="8" t="s">
        <v>8</v>
      </c>
      <c r="G812" s="8" t="s">
        <v>8</v>
      </c>
      <c r="I812" s="94" t="str">
        <f>IFERROR(__xludf.DUMMYFUNCTION("if(H812=""Must be Together"",iferror(join("", "",unique(filter({filter('Students (Vertical)'!O:O,'Students (Vertical)'!C:C=B812,'Students (Vertical)'!O:O&lt;&gt;"""");filter('Students (Vertical)'!O:O,'Students (Vertical)'!C:C=E812,'Students (Vertical)'!O:O&lt;&gt;"""&amp;""")},countifs({filter('Students (Vertical)'!O:O,'Students (Vertical)'!C:C=B812,'Students (Vertical)'!O:O&lt;&gt;"""");filter('Students (Vertical)'!O:O,'Students (Vertical)'!C:C=E812,'Students (Vertical)'!O:O&lt;&gt;"""")},{filter('Students (Vertical)'!O:O,'Students ("&amp;"Vertical)'!C:C=B812,'Students (Vertical)'!O:O&lt;&gt;"""");filter('Students (Vertical)'!O:O,'Students (Vertical)'!C:C=E812,'Students (Vertical)'!O:O&lt;&gt;"""")})&gt;1))),""No shared courses""),"""")"),"")</f>
        <v/>
      </c>
      <c r="J812" s="94" t="str">
        <f>IFERROR(__xludf.DUMMYFUNCTION("if(H812=""Can't be Together"",iferror(join("", "",unique(filter({unique(filter('Students (Vertical)'!O:O,'Students (Vertical)'!C:C=B812,'Students (Vertical)'!O:O&lt;&gt;"""",'Students (Vertical)'!P:P&gt;1));unique(filter('Students (Vertical)'!O:O,'Students (Vertic"&amp;"al)'!C:C=E812,'Students (Vertical)'!O:O&lt;&gt;"""",'Students (Vertical)'!P:P&gt;1))},countifs({unique(filter('Students (Vertical)'!O:O,'Students (Vertical)'!C:C=B812,'Students (Vertical)'!O:O&lt;&gt;"""",'Students (Vertical)'!P:P&gt;1));unique(filter('Students (Vertical)'"&amp;"!O:O,'Students (Vertical)'!C:C=E812,'Students (Vertical)'!O:O&lt;&gt;"""",'Students (Vertical)'!P:P&gt;1))},{unique(filter('Students (Vertical)'!O:O,'Students (Vertical)'!C:C=B812,'Students (Vertical)'!O:O&lt;&gt;"""",'Students (Vertical)'!P:P&gt;1));unique(filter('Student"&amp;"s (Vertical)'!O:O,'Students (Vertical)'!C:C=E812,'Students (Vertical)'!O:O&lt;&gt;"""",'Students (Vertical)'!P:P&gt;1))})&gt;1))),""""),"""")"),"")</f>
        <v/>
      </c>
      <c r="K812" s="96" t="str">
        <f>IFERROR(__xludf.DUMMYFUNCTION("iferror(join("", "",unique(filter({filter('Students (Vertical)'!D:D,'Students (Vertical)'!C:C=B812,'Students (Vertical)'!D:D&lt;&gt;"""");filter('Students (Vertical)'!D:D,'Students (Vertical)'!C:C=E812,'Students (Vertical)'!D:D&lt;&gt;"""")},countifs({filter('Student"&amp;"s (Vertical)'!D:D,'Students (Vertical)'!C:C=B812,'Students (Vertical)'!D:D&lt;&gt;"""");filter('Students (Vertical)'!D:D,'Students (Vertical)'!C:C=E812,'Students (Vertical)'!D:D&lt;&gt;"""")},{filter('Students (Vertical)'!D:D,'Students (Vertical)'!C:C=B812,'Students "&amp;"(Vertical)'!D:D&lt;&gt;"""");filter('Students (Vertical)'!D:D,'Students (Vertical)'!C:C=E812,'Students (Vertical)'!D:D&lt;&gt;"""")})&gt;1))),"""")"),"")</f>
        <v/>
      </c>
      <c r="L812" s="96"/>
      <c r="M812" s="96"/>
    </row>
    <row r="813" hidden="1">
      <c r="A813" s="8" t="s">
        <v>8</v>
      </c>
      <c r="C813" s="8" t="s">
        <v>8</v>
      </c>
      <c r="D813" s="8" t="s">
        <v>8</v>
      </c>
      <c r="F813" s="8" t="s">
        <v>8</v>
      </c>
      <c r="G813" s="8" t="s">
        <v>8</v>
      </c>
      <c r="I813" s="94" t="str">
        <f>IFERROR(__xludf.DUMMYFUNCTION("if(H813=""Must be Together"",iferror(join("", "",unique(filter({filter('Students (Vertical)'!O:O,'Students (Vertical)'!C:C=B813,'Students (Vertical)'!O:O&lt;&gt;"""");filter('Students (Vertical)'!O:O,'Students (Vertical)'!C:C=E813,'Students (Vertical)'!O:O&lt;&gt;"""&amp;""")},countifs({filter('Students (Vertical)'!O:O,'Students (Vertical)'!C:C=B813,'Students (Vertical)'!O:O&lt;&gt;"""");filter('Students (Vertical)'!O:O,'Students (Vertical)'!C:C=E813,'Students (Vertical)'!O:O&lt;&gt;"""")},{filter('Students (Vertical)'!O:O,'Students ("&amp;"Vertical)'!C:C=B813,'Students (Vertical)'!O:O&lt;&gt;"""");filter('Students (Vertical)'!O:O,'Students (Vertical)'!C:C=E813,'Students (Vertical)'!O:O&lt;&gt;"""")})&gt;1))),""No shared courses""),"""")"),"")</f>
        <v/>
      </c>
      <c r="J813" s="94" t="str">
        <f>IFERROR(__xludf.DUMMYFUNCTION("if(H813=""Can't be Together"",iferror(join("", "",unique(filter({unique(filter('Students (Vertical)'!O:O,'Students (Vertical)'!C:C=B813,'Students (Vertical)'!O:O&lt;&gt;"""",'Students (Vertical)'!P:P&gt;1));unique(filter('Students (Vertical)'!O:O,'Students (Vertic"&amp;"al)'!C:C=E813,'Students (Vertical)'!O:O&lt;&gt;"""",'Students (Vertical)'!P:P&gt;1))},countifs({unique(filter('Students (Vertical)'!O:O,'Students (Vertical)'!C:C=B813,'Students (Vertical)'!O:O&lt;&gt;"""",'Students (Vertical)'!P:P&gt;1));unique(filter('Students (Vertical)'"&amp;"!O:O,'Students (Vertical)'!C:C=E813,'Students (Vertical)'!O:O&lt;&gt;"""",'Students (Vertical)'!P:P&gt;1))},{unique(filter('Students (Vertical)'!O:O,'Students (Vertical)'!C:C=B813,'Students (Vertical)'!O:O&lt;&gt;"""",'Students (Vertical)'!P:P&gt;1));unique(filter('Student"&amp;"s (Vertical)'!O:O,'Students (Vertical)'!C:C=E813,'Students (Vertical)'!O:O&lt;&gt;"""",'Students (Vertical)'!P:P&gt;1))})&gt;1))),""""),"""")"),"")</f>
        <v/>
      </c>
      <c r="K813" s="96" t="str">
        <f>IFERROR(__xludf.DUMMYFUNCTION("iferror(join("", "",unique(filter({filter('Students (Vertical)'!D:D,'Students (Vertical)'!C:C=B813,'Students (Vertical)'!D:D&lt;&gt;"""");filter('Students (Vertical)'!D:D,'Students (Vertical)'!C:C=E813,'Students (Vertical)'!D:D&lt;&gt;"""")},countifs({filter('Student"&amp;"s (Vertical)'!D:D,'Students (Vertical)'!C:C=B813,'Students (Vertical)'!D:D&lt;&gt;"""");filter('Students (Vertical)'!D:D,'Students (Vertical)'!C:C=E813,'Students (Vertical)'!D:D&lt;&gt;"""")},{filter('Students (Vertical)'!D:D,'Students (Vertical)'!C:C=B813,'Students "&amp;"(Vertical)'!D:D&lt;&gt;"""");filter('Students (Vertical)'!D:D,'Students (Vertical)'!C:C=E813,'Students (Vertical)'!D:D&lt;&gt;"""")})&gt;1))),"""")"),"")</f>
        <v/>
      </c>
      <c r="L813" s="96"/>
      <c r="M813" s="96"/>
    </row>
    <row r="814" hidden="1">
      <c r="A814" s="8" t="s">
        <v>8</v>
      </c>
      <c r="C814" s="8" t="s">
        <v>8</v>
      </c>
      <c r="D814" s="8" t="s">
        <v>8</v>
      </c>
      <c r="F814" s="8" t="s">
        <v>8</v>
      </c>
      <c r="G814" s="8" t="s">
        <v>8</v>
      </c>
      <c r="I814" s="94" t="str">
        <f>IFERROR(__xludf.DUMMYFUNCTION("if(H814=""Must be Together"",iferror(join("", "",unique(filter({filter('Students (Vertical)'!O:O,'Students (Vertical)'!C:C=B814,'Students (Vertical)'!O:O&lt;&gt;"""");filter('Students (Vertical)'!O:O,'Students (Vertical)'!C:C=E814,'Students (Vertical)'!O:O&lt;&gt;"""&amp;""")},countifs({filter('Students (Vertical)'!O:O,'Students (Vertical)'!C:C=B814,'Students (Vertical)'!O:O&lt;&gt;"""");filter('Students (Vertical)'!O:O,'Students (Vertical)'!C:C=E814,'Students (Vertical)'!O:O&lt;&gt;"""")},{filter('Students (Vertical)'!O:O,'Students ("&amp;"Vertical)'!C:C=B814,'Students (Vertical)'!O:O&lt;&gt;"""");filter('Students (Vertical)'!O:O,'Students (Vertical)'!C:C=E814,'Students (Vertical)'!O:O&lt;&gt;"""")})&gt;1))),""No shared courses""),"""")"),"")</f>
        <v/>
      </c>
      <c r="J814" s="94" t="str">
        <f>IFERROR(__xludf.DUMMYFUNCTION("if(H814=""Can't be Together"",iferror(join("", "",unique(filter({unique(filter('Students (Vertical)'!O:O,'Students (Vertical)'!C:C=B814,'Students (Vertical)'!O:O&lt;&gt;"""",'Students (Vertical)'!P:P&gt;1));unique(filter('Students (Vertical)'!O:O,'Students (Vertic"&amp;"al)'!C:C=E814,'Students (Vertical)'!O:O&lt;&gt;"""",'Students (Vertical)'!P:P&gt;1))},countifs({unique(filter('Students (Vertical)'!O:O,'Students (Vertical)'!C:C=B814,'Students (Vertical)'!O:O&lt;&gt;"""",'Students (Vertical)'!P:P&gt;1));unique(filter('Students (Vertical)'"&amp;"!O:O,'Students (Vertical)'!C:C=E814,'Students (Vertical)'!O:O&lt;&gt;"""",'Students (Vertical)'!P:P&gt;1))},{unique(filter('Students (Vertical)'!O:O,'Students (Vertical)'!C:C=B814,'Students (Vertical)'!O:O&lt;&gt;"""",'Students (Vertical)'!P:P&gt;1));unique(filter('Student"&amp;"s (Vertical)'!O:O,'Students (Vertical)'!C:C=E814,'Students (Vertical)'!O:O&lt;&gt;"""",'Students (Vertical)'!P:P&gt;1))})&gt;1))),""""),"""")"),"")</f>
        <v/>
      </c>
      <c r="K814" s="96" t="str">
        <f>IFERROR(__xludf.DUMMYFUNCTION("iferror(join("", "",unique(filter({filter('Students (Vertical)'!D:D,'Students (Vertical)'!C:C=B814,'Students (Vertical)'!D:D&lt;&gt;"""");filter('Students (Vertical)'!D:D,'Students (Vertical)'!C:C=E814,'Students (Vertical)'!D:D&lt;&gt;"""")},countifs({filter('Student"&amp;"s (Vertical)'!D:D,'Students (Vertical)'!C:C=B814,'Students (Vertical)'!D:D&lt;&gt;"""");filter('Students (Vertical)'!D:D,'Students (Vertical)'!C:C=E814,'Students (Vertical)'!D:D&lt;&gt;"""")},{filter('Students (Vertical)'!D:D,'Students (Vertical)'!C:C=B814,'Students "&amp;"(Vertical)'!D:D&lt;&gt;"""");filter('Students (Vertical)'!D:D,'Students (Vertical)'!C:C=E814,'Students (Vertical)'!D:D&lt;&gt;"""")})&gt;1))),"""")"),"")</f>
        <v/>
      </c>
      <c r="L814" s="96"/>
      <c r="M814" s="96"/>
    </row>
    <row r="815" hidden="1">
      <c r="A815" s="8" t="s">
        <v>8</v>
      </c>
      <c r="C815" s="8" t="s">
        <v>8</v>
      </c>
      <c r="D815" s="8" t="s">
        <v>8</v>
      </c>
      <c r="F815" s="8" t="s">
        <v>8</v>
      </c>
      <c r="G815" s="8" t="s">
        <v>8</v>
      </c>
      <c r="I815" s="94" t="str">
        <f>IFERROR(__xludf.DUMMYFUNCTION("if(H815=""Must be Together"",iferror(join("", "",unique(filter({filter('Students (Vertical)'!O:O,'Students (Vertical)'!C:C=B815,'Students (Vertical)'!O:O&lt;&gt;"""");filter('Students (Vertical)'!O:O,'Students (Vertical)'!C:C=E815,'Students (Vertical)'!O:O&lt;&gt;"""&amp;""")},countifs({filter('Students (Vertical)'!O:O,'Students (Vertical)'!C:C=B815,'Students (Vertical)'!O:O&lt;&gt;"""");filter('Students (Vertical)'!O:O,'Students (Vertical)'!C:C=E815,'Students (Vertical)'!O:O&lt;&gt;"""")},{filter('Students (Vertical)'!O:O,'Students ("&amp;"Vertical)'!C:C=B815,'Students (Vertical)'!O:O&lt;&gt;"""");filter('Students (Vertical)'!O:O,'Students (Vertical)'!C:C=E815,'Students (Vertical)'!O:O&lt;&gt;"""")})&gt;1))),""No shared courses""),"""")"),"")</f>
        <v/>
      </c>
      <c r="J815" s="94" t="str">
        <f>IFERROR(__xludf.DUMMYFUNCTION("if(H815=""Can't be Together"",iferror(join("", "",unique(filter({unique(filter('Students (Vertical)'!O:O,'Students (Vertical)'!C:C=B815,'Students (Vertical)'!O:O&lt;&gt;"""",'Students (Vertical)'!P:P&gt;1));unique(filter('Students (Vertical)'!O:O,'Students (Vertic"&amp;"al)'!C:C=E815,'Students (Vertical)'!O:O&lt;&gt;"""",'Students (Vertical)'!P:P&gt;1))},countifs({unique(filter('Students (Vertical)'!O:O,'Students (Vertical)'!C:C=B815,'Students (Vertical)'!O:O&lt;&gt;"""",'Students (Vertical)'!P:P&gt;1));unique(filter('Students (Vertical)'"&amp;"!O:O,'Students (Vertical)'!C:C=E815,'Students (Vertical)'!O:O&lt;&gt;"""",'Students (Vertical)'!P:P&gt;1))},{unique(filter('Students (Vertical)'!O:O,'Students (Vertical)'!C:C=B815,'Students (Vertical)'!O:O&lt;&gt;"""",'Students (Vertical)'!P:P&gt;1));unique(filter('Student"&amp;"s (Vertical)'!O:O,'Students (Vertical)'!C:C=E815,'Students (Vertical)'!O:O&lt;&gt;"""",'Students (Vertical)'!P:P&gt;1))})&gt;1))),""""),"""")"),"")</f>
        <v/>
      </c>
      <c r="K815" s="96" t="str">
        <f>IFERROR(__xludf.DUMMYFUNCTION("iferror(join("", "",unique(filter({filter('Students (Vertical)'!D:D,'Students (Vertical)'!C:C=B815,'Students (Vertical)'!D:D&lt;&gt;"""");filter('Students (Vertical)'!D:D,'Students (Vertical)'!C:C=E815,'Students (Vertical)'!D:D&lt;&gt;"""")},countifs({filter('Student"&amp;"s (Vertical)'!D:D,'Students (Vertical)'!C:C=B815,'Students (Vertical)'!D:D&lt;&gt;"""");filter('Students (Vertical)'!D:D,'Students (Vertical)'!C:C=E815,'Students (Vertical)'!D:D&lt;&gt;"""")},{filter('Students (Vertical)'!D:D,'Students (Vertical)'!C:C=B815,'Students "&amp;"(Vertical)'!D:D&lt;&gt;"""");filter('Students (Vertical)'!D:D,'Students (Vertical)'!C:C=E815,'Students (Vertical)'!D:D&lt;&gt;"""")})&gt;1))),"""")"),"")</f>
        <v/>
      </c>
      <c r="L815" s="96"/>
      <c r="M815" s="96"/>
    </row>
    <row r="816" hidden="1">
      <c r="A816" s="8" t="s">
        <v>8</v>
      </c>
      <c r="C816" s="8" t="s">
        <v>8</v>
      </c>
      <c r="D816" s="8" t="s">
        <v>8</v>
      </c>
      <c r="F816" s="8" t="s">
        <v>8</v>
      </c>
      <c r="G816" s="8" t="s">
        <v>8</v>
      </c>
      <c r="I816" s="94" t="str">
        <f>IFERROR(__xludf.DUMMYFUNCTION("if(H816=""Must be Together"",iferror(join("", "",unique(filter({filter('Students (Vertical)'!O:O,'Students (Vertical)'!C:C=B816,'Students (Vertical)'!O:O&lt;&gt;"""");filter('Students (Vertical)'!O:O,'Students (Vertical)'!C:C=E816,'Students (Vertical)'!O:O&lt;&gt;"""&amp;""")},countifs({filter('Students (Vertical)'!O:O,'Students (Vertical)'!C:C=B816,'Students (Vertical)'!O:O&lt;&gt;"""");filter('Students (Vertical)'!O:O,'Students (Vertical)'!C:C=E816,'Students (Vertical)'!O:O&lt;&gt;"""")},{filter('Students (Vertical)'!O:O,'Students ("&amp;"Vertical)'!C:C=B816,'Students (Vertical)'!O:O&lt;&gt;"""");filter('Students (Vertical)'!O:O,'Students (Vertical)'!C:C=E816,'Students (Vertical)'!O:O&lt;&gt;"""")})&gt;1))),""No shared courses""),"""")"),"")</f>
        <v/>
      </c>
      <c r="J816" s="94" t="str">
        <f>IFERROR(__xludf.DUMMYFUNCTION("if(H816=""Can't be Together"",iferror(join("", "",unique(filter({unique(filter('Students (Vertical)'!O:O,'Students (Vertical)'!C:C=B816,'Students (Vertical)'!O:O&lt;&gt;"""",'Students (Vertical)'!P:P&gt;1));unique(filter('Students (Vertical)'!O:O,'Students (Vertic"&amp;"al)'!C:C=E816,'Students (Vertical)'!O:O&lt;&gt;"""",'Students (Vertical)'!P:P&gt;1))},countifs({unique(filter('Students (Vertical)'!O:O,'Students (Vertical)'!C:C=B816,'Students (Vertical)'!O:O&lt;&gt;"""",'Students (Vertical)'!P:P&gt;1));unique(filter('Students (Vertical)'"&amp;"!O:O,'Students (Vertical)'!C:C=E816,'Students (Vertical)'!O:O&lt;&gt;"""",'Students (Vertical)'!P:P&gt;1))},{unique(filter('Students (Vertical)'!O:O,'Students (Vertical)'!C:C=B816,'Students (Vertical)'!O:O&lt;&gt;"""",'Students (Vertical)'!P:P&gt;1));unique(filter('Student"&amp;"s (Vertical)'!O:O,'Students (Vertical)'!C:C=E816,'Students (Vertical)'!O:O&lt;&gt;"""",'Students (Vertical)'!P:P&gt;1))})&gt;1))),""""),"""")"),"")</f>
        <v/>
      </c>
      <c r="K816" s="96" t="str">
        <f>IFERROR(__xludf.DUMMYFUNCTION("iferror(join("", "",unique(filter({filter('Students (Vertical)'!D:D,'Students (Vertical)'!C:C=B816,'Students (Vertical)'!D:D&lt;&gt;"""");filter('Students (Vertical)'!D:D,'Students (Vertical)'!C:C=E816,'Students (Vertical)'!D:D&lt;&gt;"""")},countifs({filter('Student"&amp;"s (Vertical)'!D:D,'Students (Vertical)'!C:C=B816,'Students (Vertical)'!D:D&lt;&gt;"""");filter('Students (Vertical)'!D:D,'Students (Vertical)'!C:C=E816,'Students (Vertical)'!D:D&lt;&gt;"""")},{filter('Students (Vertical)'!D:D,'Students (Vertical)'!C:C=B816,'Students "&amp;"(Vertical)'!D:D&lt;&gt;"""");filter('Students (Vertical)'!D:D,'Students (Vertical)'!C:C=E816,'Students (Vertical)'!D:D&lt;&gt;"""")})&gt;1))),"""")"),"")</f>
        <v/>
      </c>
      <c r="L816" s="96"/>
      <c r="M816" s="96"/>
    </row>
    <row r="817" hidden="1">
      <c r="A817" s="8" t="s">
        <v>8</v>
      </c>
      <c r="C817" s="8" t="s">
        <v>8</v>
      </c>
      <c r="D817" s="8" t="s">
        <v>8</v>
      </c>
      <c r="F817" s="8" t="s">
        <v>8</v>
      </c>
      <c r="G817" s="8" t="s">
        <v>8</v>
      </c>
      <c r="I817" s="94" t="str">
        <f>IFERROR(__xludf.DUMMYFUNCTION("if(H817=""Must be Together"",iferror(join("", "",unique(filter({filter('Students (Vertical)'!O:O,'Students (Vertical)'!C:C=B817,'Students (Vertical)'!O:O&lt;&gt;"""");filter('Students (Vertical)'!O:O,'Students (Vertical)'!C:C=E817,'Students (Vertical)'!O:O&lt;&gt;"""&amp;""")},countifs({filter('Students (Vertical)'!O:O,'Students (Vertical)'!C:C=B817,'Students (Vertical)'!O:O&lt;&gt;"""");filter('Students (Vertical)'!O:O,'Students (Vertical)'!C:C=E817,'Students (Vertical)'!O:O&lt;&gt;"""")},{filter('Students (Vertical)'!O:O,'Students ("&amp;"Vertical)'!C:C=B817,'Students (Vertical)'!O:O&lt;&gt;"""");filter('Students (Vertical)'!O:O,'Students (Vertical)'!C:C=E817,'Students (Vertical)'!O:O&lt;&gt;"""")})&gt;1))),""No shared courses""),"""")"),"")</f>
        <v/>
      </c>
      <c r="J817" s="94" t="str">
        <f>IFERROR(__xludf.DUMMYFUNCTION("if(H817=""Can't be Together"",iferror(join("", "",unique(filter({unique(filter('Students (Vertical)'!O:O,'Students (Vertical)'!C:C=B817,'Students (Vertical)'!O:O&lt;&gt;"""",'Students (Vertical)'!P:P&gt;1));unique(filter('Students (Vertical)'!O:O,'Students (Vertic"&amp;"al)'!C:C=E817,'Students (Vertical)'!O:O&lt;&gt;"""",'Students (Vertical)'!P:P&gt;1))},countifs({unique(filter('Students (Vertical)'!O:O,'Students (Vertical)'!C:C=B817,'Students (Vertical)'!O:O&lt;&gt;"""",'Students (Vertical)'!P:P&gt;1));unique(filter('Students (Vertical)'"&amp;"!O:O,'Students (Vertical)'!C:C=E817,'Students (Vertical)'!O:O&lt;&gt;"""",'Students (Vertical)'!P:P&gt;1))},{unique(filter('Students (Vertical)'!O:O,'Students (Vertical)'!C:C=B817,'Students (Vertical)'!O:O&lt;&gt;"""",'Students (Vertical)'!P:P&gt;1));unique(filter('Student"&amp;"s (Vertical)'!O:O,'Students (Vertical)'!C:C=E817,'Students (Vertical)'!O:O&lt;&gt;"""",'Students (Vertical)'!P:P&gt;1))})&gt;1))),""""),"""")"),"")</f>
        <v/>
      </c>
      <c r="K817" s="96" t="str">
        <f>IFERROR(__xludf.DUMMYFUNCTION("iferror(join("", "",unique(filter({filter('Students (Vertical)'!D:D,'Students (Vertical)'!C:C=B817,'Students (Vertical)'!D:D&lt;&gt;"""");filter('Students (Vertical)'!D:D,'Students (Vertical)'!C:C=E817,'Students (Vertical)'!D:D&lt;&gt;"""")},countifs({filter('Student"&amp;"s (Vertical)'!D:D,'Students (Vertical)'!C:C=B817,'Students (Vertical)'!D:D&lt;&gt;"""");filter('Students (Vertical)'!D:D,'Students (Vertical)'!C:C=E817,'Students (Vertical)'!D:D&lt;&gt;"""")},{filter('Students (Vertical)'!D:D,'Students (Vertical)'!C:C=B817,'Students "&amp;"(Vertical)'!D:D&lt;&gt;"""");filter('Students (Vertical)'!D:D,'Students (Vertical)'!C:C=E817,'Students (Vertical)'!D:D&lt;&gt;"""")})&gt;1))),"""")"),"")</f>
        <v/>
      </c>
      <c r="L817" s="96"/>
      <c r="M817" s="96"/>
    </row>
    <row r="818" hidden="1">
      <c r="A818" s="8" t="s">
        <v>8</v>
      </c>
      <c r="C818" s="8" t="s">
        <v>8</v>
      </c>
      <c r="D818" s="8" t="s">
        <v>8</v>
      </c>
      <c r="F818" s="8" t="s">
        <v>8</v>
      </c>
      <c r="G818" s="8" t="s">
        <v>8</v>
      </c>
      <c r="I818" s="94" t="str">
        <f>IFERROR(__xludf.DUMMYFUNCTION("if(H818=""Must be Together"",iferror(join("", "",unique(filter({filter('Students (Vertical)'!O:O,'Students (Vertical)'!C:C=B818,'Students (Vertical)'!O:O&lt;&gt;"""");filter('Students (Vertical)'!O:O,'Students (Vertical)'!C:C=E818,'Students (Vertical)'!O:O&lt;&gt;"""&amp;""")},countifs({filter('Students (Vertical)'!O:O,'Students (Vertical)'!C:C=B818,'Students (Vertical)'!O:O&lt;&gt;"""");filter('Students (Vertical)'!O:O,'Students (Vertical)'!C:C=E818,'Students (Vertical)'!O:O&lt;&gt;"""")},{filter('Students (Vertical)'!O:O,'Students ("&amp;"Vertical)'!C:C=B818,'Students (Vertical)'!O:O&lt;&gt;"""");filter('Students (Vertical)'!O:O,'Students (Vertical)'!C:C=E818,'Students (Vertical)'!O:O&lt;&gt;"""")})&gt;1))),""No shared courses""),"""")"),"")</f>
        <v/>
      </c>
      <c r="J818" s="94" t="str">
        <f>IFERROR(__xludf.DUMMYFUNCTION("if(H818=""Can't be Together"",iferror(join("", "",unique(filter({unique(filter('Students (Vertical)'!O:O,'Students (Vertical)'!C:C=B818,'Students (Vertical)'!O:O&lt;&gt;"""",'Students (Vertical)'!P:P&gt;1));unique(filter('Students (Vertical)'!O:O,'Students (Vertic"&amp;"al)'!C:C=E818,'Students (Vertical)'!O:O&lt;&gt;"""",'Students (Vertical)'!P:P&gt;1))},countifs({unique(filter('Students (Vertical)'!O:O,'Students (Vertical)'!C:C=B818,'Students (Vertical)'!O:O&lt;&gt;"""",'Students (Vertical)'!P:P&gt;1));unique(filter('Students (Vertical)'"&amp;"!O:O,'Students (Vertical)'!C:C=E818,'Students (Vertical)'!O:O&lt;&gt;"""",'Students (Vertical)'!P:P&gt;1))},{unique(filter('Students (Vertical)'!O:O,'Students (Vertical)'!C:C=B818,'Students (Vertical)'!O:O&lt;&gt;"""",'Students (Vertical)'!P:P&gt;1));unique(filter('Student"&amp;"s (Vertical)'!O:O,'Students (Vertical)'!C:C=E818,'Students (Vertical)'!O:O&lt;&gt;"""",'Students (Vertical)'!P:P&gt;1))})&gt;1))),""""),"""")"),"")</f>
        <v/>
      </c>
      <c r="K818" s="96" t="str">
        <f>IFERROR(__xludf.DUMMYFUNCTION("iferror(join("", "",unique(filter({filter('Students (Vertical)'!D:D,'Students (Vertical)'!C:C=B818,'Students (Vertical)'!D:D&lt;&gt;"""");filter('Students (Vertical)'!D:D,'Students (Vertical)'!C:C=E818,'Students (Vertical)'!D:D&lt;&gt;"""")},countifs({filter('Student"&amp;"s (Vertical)'!D:D,'Students (Vertical)'!C:C=B818,'Students (Vertical)'!D:D&lt;&gt;"""");filter('Students (Vertical)'!D:D,'Students (Vertical)'!C:C=E818,'Students (Vertical)'!D:D&lt;&gt;"""")},{filter('Students (Vertical)'!D:D,'Students (Vertical)'!C:C=B818,'Students "&amp;"(Vertical)'!D:D&lt;&gt;"""");filter('Students (Vertical)'!D:D,'Students (Vertical)'!C:C=E818,'Students (Vertical)'!D:D&lt;&gt;"""")})&gt;1))),"""")"),"")</f>
        <v/>
      </c>
      <c r="L818" s="96"/>
      <c r="M818" s="96"/>
    </row>
    <row r="819" hidden="1">
      <c r="A819" s="8" t="s">
        <v>8</v>
      </c>
      <c r="C819" s="8" t="s">
        <v>8</v>
      </c>
      <c r="D819" s="8" t="s">
        <v>8</v>
      </c>
      <c r="F819" s="8" t="s">
        <v>8</v>
      </c>
      <c r="G819" s="8" t="s">
        <v>8</v>
      </c>
      <c r="I819" s="94" t="str">
        <f>IFERROR(__xludf.DUMMYFUNCTION("if(H819=""Must be Together"",iferror(join("", "",unique(filter({filter('Students (Vertical)'!O:O,'Students (Vertical)'!C:C=B819,'Students (Vertical)'!O:O&lt;&gt;"""");filter('Students (Vertical)'!O:O,'Students (Vertical)'!C:C=E819,'Students (Vertical)'!O:O&lt;&gt;"""&amp;""")},countifs({filter('Students (Vertical)'!O:O,'Students (Vertical)'!C:C=B819,'Students (Vertical)'!O:O&lt;&gt;"""");filter('Students (Vertical)'!O:O,'Students (Vertical)'!C:C=E819,'Students (Vertical)'!O:O&lt;&gt;"""")},{filter('Students (Vertical)'!O:O,'Students ("&amp;"Vertical)'!C:C=B819,'Students (Vertical)'!O:O&lt;&gt;"""");filter('Students (Vertical)'!O:O,'Students (Vertical)'!C:C=E819,'Students (Vertical)'!O:O&lt;&gt;"""")})&gt;1))),""No shared courses""),"""")"),"")</f>
        <v/>
      </c>
      <c r="J819" s="94" t="str">
        <f>IFERROR(__xludf.DUMMYFUNCTION("if(H819=""Can't be Together"",iferror(join("", "",unique(filter({unique(filter('Students (Vertical)'!O:O,'Students (Vertical)'!C:C=B819,'Students (Vertical)'!O:O&lt;&gt;"""",'Students (Vertical)'!P:P&gt;1));unique(filter('Students (Vertical)'!O:O,'Students (Vertic"&amp;"al)'!C:C=E819,'Students (Vertical)'!O:O&lt;&gt;"""",'Students (Vertical)'!P:P&gt;1))},countifs({unique(filter('Students (Vertical)'!O:O,'Students (Vertical)'!C:C=B819,'Students (Vertical)'!O:O&lt;&gt;"""",'Students (Vertical)'!P:P&gt;1));unique(filter('Students (Vertical)'"&amp;"!O:O,'Students (Vertical)'!C:C=E819,'Students (Vertical)'!O:O&lt;&gt;"""",'Students (Vertical)'!P:P&gt;1))},{unique(filter('Students (Vertical)'!O:O,'Students (Vertical)'!C:C=B819,'Students (Vertical)'!O:O&lt;&gt;"""",'Students (Vertical)'!P:P&gt;1));unique(filter('Student"&amp;"s (Vertical)'!O:O,'Students (Vertical)'!C:C=E819,'Students (Vertical)'!O:O&lt;&gt;"""",'Students (Vertical)'!P:P&gt;1))})&gt;1))),""""),"""")"),"")</f>
        <v/>
      </c>
      <c r="K819" s="96" t="str">
        <f>IFERROR(__xludf.DUMMYFUNCTION("iferror(join("", "",unique(filter({filter('Students (Vertical)'!D:D,'Students (Vertical)'!C:C=B819,'Students (Vertical)'!D:D&lt;&gt;"""");filter('Students (Vertical)'!D:D,'Students (Vertical)'!C:C=E819,'Students (Vertical)'!D:D&lt;&gt;"""")},countifs({filter('Student"&amp;"s (Vertical)'!D:D,'Students (Vertical)'!C:C=B819,'Students (Vertical)'!D:D&lt;&gt;"""");filter('Students (Vertical)'!D:D,'Students (Vertical)'!C:C=E819,'Students (Vertical)'!D:D&lt;&gt;"""")},{filter('Students (Vertical)'!D:D,'Students (Vertical)'!C:C=B819,'Students "&amp;"(Vertical)'!D:D&lt;&gt;"""");filter('Students (Vertical)'!D:D,'Students (Vertical)'!C:C=E819,'Students (Vertical)'!D:D&lt;&gt;"""")})&gt;1))),"""")"),"")</f>
        <v/>
      </c>
      <c r="L819" s="96"/>
      <c r="M819" s="96"/>
    </row>
    <row r="820" hidden="1">
      <c r="A820" s="8" t="s">
        <v>8</v>
      </c>
      <c r="C820" s="8" t="s">
        <v>8</v>
      </c>
      <c r="D820" s="8" t="s">
        <v>8</v>
      </c>
      <c r="F820" s="8" t="s">
        <v>8</v>
      </c>
      <c r="G820" s="8" t="s">
        <v>8</v>
      </c>
      <c r="I820" s="94" t="str">
        <f>IFERROR(__xludf.DUMMYFUNCTION("if(H820=""Must be Together"",iferror(join("", "",unique(filter({filter('Students (Vertical)'!O:O,'Students (Vertical)'!C:C=B820,'Students (Vertical)'!O:O&lt;&gt;"""");filter('Students (Vertical)'!O:O,'Students (Vertical)'!C:C=E820,'Students (Vertical)'!O:O&lt;&gt;"""&amp;""")},countifs({filter('Students (Vertical)'!O:O,'Students (Vertical)'!C:C=B820,'Students (Vertical)'!O:O&lt;&gt;"""");filter('Students (Vertical)'!O:O,'Students (Vertical)'!C:C=E820,'Students (Vertical)'!O:O&lt;&gt;"""")},{filter('Students (Vertical)'!O:O,'Students ("&amp;"Vertical)'!C:C=B820,'Students (Vertical)'!O:O&lt;&gt;"""");filter('Students (Vertical)'!O:O,'Students (Vertical)'!C:C=E820,'Students (Vertical)'!O:O&lt;&gt;"""")})&gt;1))),""No shared courses""),"""")"),"")</f>
        <v/>
      </c>
      <c r="J820" s="94" t="str">
        <f>IFERROR(__xludf.DUMMYFUNCTION("if(H820=""Can't be Together"",iferror(join("", "",unique(filter({unique(filter('Students (Vertical)'!O:O,'Students (Vertical)'!C:C=B820,'Students (Vertical)'!O:O&lt;&gt;"""",'Students (Vertical)'!P:P&gt;1));unique(filter('Students (Vertical)'!O:O,'Students (Vertic"&amp;"al)'!C:C=E820,'Students (Vertical)'!O:O&lt;&gt;"""",'Students (Vertical)'!P:P&gt;1))},countifs({unique(filter('Students (Vertical)'!O:O,'Students (Vertical)'!C:C=B820,'Students (Vertical)'!O:O&lt;&gt;"""",'Students (Vertical)'!P:P&gt;1));unique(filter('Students (Vertical)'"&amp;"!O:O,'Students (Vertical)'!C:C=E820,'Students (Vertical)'!O:O&lt;&gt;"""",'Students (Vertical)'!P:P&gt;1))},{unique(filter('Students (Vertical)'!O:O,'Students (Vertical)'!C:C=B820,'Students (Vertical)'!O:O&lt;&gt;"""",'Students (Vertical)'!P:P&gt;1));unique(filter('Student"&amp;"s (Vertical)'!O:O,'Students (Vertical)'!C:C=E820,'Students (Vertical)'!O:O&lt;&gt;"""",'Students (Vertical)'!P:P&gt;1))})&gt;1))),""""),"""")"),"")</f>
        <v/>
      </c>
      <c r="K820" s="96" t="str">
        <f>IFERROR(__xludf.DUMMYFUNCTION("iferror(join("", "",unique(filter({filter('Students (Vertical)'!D:D,'Students (Vertical)'!C:C=B820,'Students (Vertical)'!D:D&lt;&gt;"""");filter('Students (Vertical)'!D:D,'Students (Vertical)'!C:C=E820,'Students (Vertical)'!D:D&lt;&gt;"""")},countifs({filter('Student"&amp;"s (Vertical)'!D:D,'Students (Vertical)'!C:C=B820,'Students (Vertical)'!D:D&lt;&gt;"""");filter('Students (Vertical)'!D:D,'Students (Vertical)'!C:C=E820,'Students (Vertical)'!D:D&lt;&gt;"""")},{filter('Students (Vertical)'!D:D,'Students (Vertical)'!C:C=B820,'Students "&amp;"(Vertical)'!D:D&lt;&gt;"""");filter('Students (Vertical)'!D:D,'Students (Vertical)'!C:C=E820,'Students (Vertical)'!D:D&lt;&gt;"""")})&gt;1))),"""")"),"")</f>
        <v/>
      </c>
      <c r="L820" s="96"/>
      <c r="M820" s="96"/>
    </row>
    <row r="821" hidden="1">
      <c r="A821" s="8" t="s">
        <v>8</v>
      </c>
      <c r="C821" s="8" t="s">
        <v>8</v>
      </c>
      <c r="D821" s="8" t="s">
        <v>8</v>
      </c>
      <c r="F821" s="8" t="s">
        <v>8</v>
      </c>
      <c r="G821" s="8" t="s">
        <v>8</v>
      </c>
      <c r="I821" s="94" t="str">
        <f>IFERROR(__xludf.DUMMYFUNCTION("if(H821=""Must be Together"",iferror(join("", "",unique(filter({filter('Students (Vertical)'!O:O,'Students (Vertical)'!C:C=B821,'Students (Vertical)'!O:O&lt;&gt;"""");filter('Students (Vertical)'!O:O,'Students (Vertical)'!C:C=E821,'Students (Vertical)'!O:O&lt;&gt;"""&amp;""")},countifs({filter('Students (Vertical)'!O:O,'Students (Vertical)'!C:C=B821,'Students (Vertical)'!O:O&lt;&gt;"""");filter('Students (Vertical)'!O:O,'Students (Vertical)'!C:C=E821,'Students (Vertical)'!O:O&lt;&gt;"""")},{filter('Students (Vertical)'!O:O,'Students ("&amp;"Vertical)'!C:C=B821,'Students (Vertical)'!O:O&lt;&gt;"""");filter('Students (Vertical)'!O:O,'Students (Vertical)'!C:C=E821,'Students (Vertical)'!O:O&lt;&gt;"""")})&gt;1))),""No shared courses""),"""")"),"")</f>
        <v/>
      </c>
      <c r="J821" s="94" t="str">
        <f>IFERROR(__xludf.DUMMYFUNCTION("if(H821=""Can't be Together"",iferror(join("", "",unique(filter({unique(filter('Students (Vertical)'!O:O,'Students (Vertical)'!C:C=B821,'Students (Vertical)'!O:O&lt;&gt;"""",'Students (Vertical)'!P:P&gt;1));unique(filter('Students (Vertical)'!O:O,'Students (Vertic"&amp;"al)'!C:C=E821,'Students (Vertical)'!O:O&lt;&gt;"""",'Students (Vertical)'!P:P&gt;1))},countifs({unique(filter('Students (Vertical)'!O:O,'Students (Vertical)'!C:C=B821,'Students (Vertical)'!O:O&lt;&gt;"""",'Students (Vertical)'!P:P&gt;1));unique(filter('Students (Vertical)'"&amp;"!O:O,'Students (Vertical)'!C:C=E821,'Students (Vertical)'!O:O&lt;&gt;"""",'Students (Vertical)'!P:P&gt;1))},{unique(filter('Students (Vertical)'!O:O,'Students (Vertical)'!C:C=B821,'Students (Vertical)'!O:O&lt;&gt;"""",'Students (Vertical)'!P:P&gt;1));unique(filter('Student"&amp;"s (Vertical)'!O:O,'Students (Vertical)'!C:C=E821,'Students (Vertical)'!O:O&lt;&gt;"""",'Students (Vertical)'!P:P&gt;1))})&gt;1))),""""),"""")"),"")</f>
        <v/>
      </c>
      <c r="K821" s="96" t="str">
        <f>IFERROR(__xludf.DUMMYFUNCTION("iferror(join("", "",unique(filter({filter('Students (Vertical)'!D:D,'Students (Vertical)'!C:C=B821,'Students (Vertical)'!D:D&lt;&gt;"""");filter('Students (Vertical)'!D:D,'Students (Vertical)'!C:C=E821,'Students (Vertical)'!D:D&lt;&gt;"""")},countifs({filter('Student"&amp;"s (Vertical)'!D:D,'Students (Vertical)'!C:C=B821,'Students (Vertical)'!D:D&lt;&gt;"""");filter('Students (Vertical)'!D:D,'Students (Vertical)'!C:C=E821,'Students (Vertical)'!D:D&lt;&gt;"""")},{filter('Students (Vertical)'!D:D,'Students (Vertical)'!C:C=B821,'Students "&amp;"(Vertical)'!D:D&lt;&gt;"""");filter('Students (Vertical)'!D:D,'Students (Vertical)'!C:C=E821,'Students (Vertical)'!D:D&lt;&gt;"""")})&gt;1))),"""")"),"")</f>
        <v/>
      </c>
      <c r="L821" s="96"/>
      <c r="M821" s="96"/>
    </row>
    <row r="822" hidden="1">
      <c r="A822" s="8" t="s">
        <v>8</v>
      </c>
      <c r="C822" s="8" t="s">
        <v>8</v>
      </c>
      <c r="D822" s="8" t="s">
        <v>8</v>
      </c>
      <c r="F822" s="8" t="s">
        <v>8</v>
      </c>
      <c r="G822" s="8" t="s">
        <v>8</v>
      </c>
      <c r="I822" s="94" t="str">
        <f>IFERROR(__xludf.DUMMYFUNCTION("if(H822=""Must be Together"",iferror(join("", "",unique(filter({filter('Students (Vertical)'!O:O,'Students (Vertical)'!C:C=B822,'Students (Vertical)'!O:O&lt;&gt;"""");filter('Students (Vertical)'!O:O,'Students (Vertical)'!C:C=E822,'Students (Vertical)'!O:O&lt;&gt;"""&amp;""")},countifs({filter('Students (Vertical)'!O:O,'Students (Vertical)'!C:C=B822,'Students (Vertical)'!O:O&lt;&gt;"""");filter('Students (Vertical)'!O:O,'Students (Vertical)'!C:C=E822,'Students (Vertical)'!O:O&lt;&gt;"""")},{filter('Students (Vertical)'!O:O,'Students ("&amp;"Vertical)'!C:C=B822,'Students (Vertical)'!O:O&lt;&gt;"""");filter('Students (Vertical)'!O:O,'Students (Vertical)'!C:C=E822,'Students (Vertical)'!O:O&lt;&gt;"""")})&gt;1))),""No shared courses""),"""")"),"")</f>
        <v/>
      </c>
      <c r="J822" s="94" t="str">
        <f>IFERROR(__xludf.DUMMYFUNCTION("if(H822=""Can't be Together"",iferror(join("", "",unique(filter({unique(filter('Students (Vertical)'!O:O,'Students (Vertical)'!C:C=B822,'Students (Vertical)'!O:O&lt;&gt;"""",'Students (Vertical)'!P:P&gt;1));unique(filter('Students (Vertical)'!O:O,'Students (Vertic"&amp;"al)'!C:C=E822,'Students (Vertical)'!O:O&lt;&gt;"""",'Students (Vertical)'!P:P&gt;1))},countifs({unique(filter('Students (Vertical)'!O:O,'Students (Vertical)'!C:C=B822,'Students (Vertical)'!O:O&lt;&gt;"""",'Students (Vertical)'!P:P&gt;1));unique(filter('Students (Vertical)'"&amp;"!O:O,'Students (Vertical)'!C:C=E822,'Students (Vertical)'!O:O&lt;&gt;"""",'Students (Vertical)'!P:P&gt;1))},{unique(filter('Students (Vertical)'!O:O,'Students (Vertical)'!C:C=B822,'Students (Vertical)'!O:O&lt;&gt;"""",'Students (Vertical)'!P:P&gt;1));unique(filter('Student"&amp;"s (Vertical)'!O:O,'Students (Vertical)'!C:C=E822,'Students (Vertical)'!O:O&lt;&gt;"""",'Students (Vertical)'!P:P&gt;1))})&gt;1))),""""),"""")"),"")</f>
        <v/>
      </c>
      <c r="K822" s="96" t="str">
        <f>IFERROR(__xludf.DUMMYFUNCTION("iferror(join("", "",unique(filter({filter('Students (Vertical)'!D:D,'Students (Vertical)'!C:C=B822,'Students (Vertical)'!D:D&lt;&gt;"""");filter('Students (Vertical)'!D:D,'Students (Vertical)'!C:C=E822,'Students (Vertical)'!D:D&lt;&gt;"""")},countifs({filter('Student"&amp;"s (Vertical)'!D:D,'Students (Vertical)'!C:C=B822,'Students (Vertical)'!D:D&lt;&gt;"""");filter('Students (Vertical)'!D:D,'Students (Vertical)'!C:C=E822,'Students (Vertical)'!D:D&lt;&gt;"""")},{filter('Students (Vertical)'!D:D,'Students (Vertical)'!C:C=B822,'Students "&amp;"(Vertical)'!D:D&lt;&gt;"""");filter('Students (Vertical)'!D:D,'Students (Vertical)'!C:C=E822,'Students (Vertical)'!D:D&lt;&gt;"""")})&gt;1))),"""")"),"")</f>
        <v/>
      </c>
      <c r="L822" s="96"/>
      <c r="M822" s="96"/>
    </row>
    <row r="823" hidden="1">
      <c r="A823" s="8" t="s">
        <v>8</v>
      </c>
      <c r="C823" s="8" t="s">
        <v>8</v>
      </c>
      <c r="D823" s="8" t="s">
        <v>8</v>
      </c>
      <c r="F823" s="8" t="s">
        <v>8</v>
      </c>
      <c r="G823" s="8" t="s">
        <v>8</v>
      </c>
      <c r="I823" s="94" t="str">
        <f>IFERROR(__xludf.DUMMYFUNCTION("if(H823=""Must be Together"",iferror(join("", "",unique(filter({filter('Students (Vertical)'!O:O,'Students (Vertical)'!C:C=B823,'Students (Vertical)'!O:O&lt;&gt;"""");filter('Students (Vertical)'!O:O,'Students (Vertical)'!C:C=E823,'Students (Vertical)'!O:O&lt;&gt;"""&amp;""")},countifs({filter('Students (Vertical)'!O:O,'Students (Vertical)'!C:C=B823,'Students (Vertical)'!O:O&lt;&gt;"""");filter('Students (Vertical)'!O:O,'Students (Vertical)'!C:C=E823,'Students (Vertical)'!O:O&lt;&gt;"""")},{filter('Students (Vertical)'!O:O,'Students ("&amp;"Vertical)'!C:C=B823,'Students (Vertical)'!O:O&lt;&gt;"""");filter('Students (Vertical)'!O:O,'Students (Vertical)'!C:C=E823,'Students (Vertical)'!O:O&lt;&gt;"""")})&gt;1))),""No shared courses""),"""")"),"")</f>
        <v/>
      </c>
      <c r="J823" s="94" t="str">
        <f>IFERROR(__xludf.DUMMYFUNCTION("if(H823=""Can't be Together"",iferror(join("", "",unique(filter({unique(filter('Students (Vertical)'!O:O,'Students (Vertical)'!C:C=B823,'Students (Vertical)'!O:O&lt;&gt;"""",'Students (Vertical)'!P:P&gt;1));unique(filter('Students (Vertical)'!O:O,'Students (Vertic"&amp;"al)'!C:C=E823,'Students (Vertical)'!O:O&lt;&gt;"""",'Students (Vertical)'!P:P&gt;1))},countifs({unique(filter('Students (Vertical)'!O:O,'Students (Vertical)'!C:C=B823,'Students (Vertical)'!O:O&lt;&gt;"""",'Students (Vertical)'!P:P&gt;1));unique(filter('Students (Vertical)'"&amp;"!O:O,'Students (Vertical)'!C:C=E823,'Students (Vertical)'!O:O&lt;&gt;"""",'Students (Vertical)'!P:P&gt;1))},{unique(filter('Students (Vertical)'!O:O,'Students (Vertical)'!C:C=B823,'Students (Vertical)'!O:O&lt;&gt;"""",'Students (Vertical)'!P:P&gt;1));unique(filter('Student"&amp;"s (Vertical)'!O:O,'Students (Vertical)'!C:C=E823,'Students (Vertical)'!O:O&lt;&gt;"""",'Students (Vertical)'!P:P&gt;1))})&gt;1))),""""),"""")"),"")</f>
        <v/>
      </c>
      <c r="K823" s="96" t="str">
        <f>IFERROR(__xludf.DUMMYFUNCTION("iferror(join("", "",unique(filter({filter('Students (Vertical)'!D:D,'Students (Vertical)'!C:C=B823,'Students (Vertical)'!D:D&lt;&gt;"""");filter('Students (Vertical)'!D:D,'Students (Vertical)'!C:C=E823,'Students (Vertical)'!D:D&lt;&gt;"""")},countifs({filter('Student"&amp;"s (Vertical)'!D:D,'Students (Vertical)'!C:C=B823,'Students (Vertical)'!D:D&lt;&gt;"""");filter('Students (Vertical)'!D:D,'Students (Vertical)'!C:C=E823,'Students (Vertical)'!D:D&lt;&gt;"""")},{filter('Students (Vertical)'!D:D,'Students (Vertical)'!C:C=B823,'Students "&amp;"(Vertical)'!D:D&lt;&gt;"""");filter('Students (Vertical)'!D:D,'Students (Vertical)'!C:C=E823,'Students (Vertical)'!D:D&lt;&gt;"""")})&gt;1))),"""")"),"")</f>
        <v/>
      </c>
      <c r="L823" s="96"/>
      <c r="M823" s="96"/>
    </row>
    <row r="824" hidden="1">
      <c r="A824" s="8" t="s">
        <v>8</v>
      </c>
      <c r="C824" s="8" t="s">
        <v>8</v>
      </c>
      <c r="D824" s="8" t="s">
        <v>8</v>
      </c>
      <c r="F824" s="8" t="s">
        <v>8</v>
      </c>
      <c r="G824" s="8" t="s">
        <v>8</v>
      </c>
      <c r="I824" s="94" t="str">
        <f>IFERROR(__xludf.DUMMYFUNCTION("if(H824=""Must be Together"",iferror(join("", "",unique(filter({filter('Students (Vertical)'!O:O,'Students (Vertical)'!C:C=B824,'Students (Vertical)'!O:O&lt;&gt;"""");filter('Students (Vertical)'!O:O,'Students (Vertical)'!C:C=E824,'Students (Vertical)'!O:O&lt;&gt;"""&amp;""")},countifs({filter('Students (Vertical)'!O:O,'Students (Vertical)'!C:C=B824,'Students (Vertical)'!O:O&lt;&gt;"""");filter('Students (Vertical)'!O:O,'Students (Vertical)'!C:C=E824,'Students (Vertical)'!O:O&lt;&gt;"""")},{filter('Students (Vertical)'!O:O,'Students ("&amp;"Vertical)'!C:C=B824,'Students (Vertical)'!O:O&lt;&gt;"""");filter('Students (Vertical)'!O:O,'Students (Vertical)'!C:C=E824,'Students (Vertical)'!O:O&lt;&gt;"""")})&gt;1))),""No shared courses""),"""")"),"")</f>
        <v/>
      </c>
      <c r="J824" s="94" t="str">
        <f>IFERROR(__xludf.DUMMYFUNCTION("if(H824=""Can't be Together"",iferror(join("", "",unique(filter({unique(filter('Students (Vertical)'!O:O,'Students (Vertical)'!C:C=B824,'Students (Vertical)'!O:O&lt;&gt;"""",'Students (Vertical)'!P:P&gt;1));unique(filter('Students (Vertical)'!O:O,'Students (Vertic"&amp;"al)'!C:C=E824,'Students (Vertical)'!O:O&lt;&gt;"""",'Students (Vertical)'!P:P&gt;1))},countifs({unique(filter('Students (Vertical)'!O:O,'Students (Vertical)'!C:C=B824,'Students (Vertical)'!O:O&lt;&gt;"""",'Students (Vertical)'!P:P&gt;1));unique(filter('Students (Vertical)'"&amp;"!O:O,'Students (Vertical)'!C:C=E824,'Students (Vertical)'!O:O&lt;&gt;"""",'Students (Vertical)'!P:P&gt;1))},{unique(filter('Students (Vertical)'!O:O,'Students (Vertical)'!C:C=B824,'Students (Vertical)'!O:O&lt;&gt;"""",'Students (Vertical)'!P:P&gt;1));unique(filter('Student"&amp;"s (Vertical)'!O:O,'Students (Vertical)'!C:C=E824,'Students (Vertical)'!O:O&lt;&gt;"""",'Students (Vertical)'!P:P&gt;1))})&gt;1))),""""),"""")"),"")</f>
        <v/>
      </c>
      <c r="K824" s="96" t="str">
        <f>IFERROR(__xludf.DUMMYFUNCTION("iferror(join("", "",unique(filter({filter('Students (Vertical)'!D:D,'Students (Vertical)'!C:C=B824,'Students (Vertical)'!D:D&lt;&gt;"""");filter('Students (Vertical)'!D:D,'Students (Vertical)'!C:C=E824,'Students (Vertical)'!D:D&lt;&gt;"""")},countifs({filter('Student"&amp;"s (Vertical)'!D:D,'Students (Vertical)'!C:C=B824,'Students (Vertical)'!D:D&lt;&gt;"""");filter('Students (Vertical)'!D:D,'Students (Vertical)'!C:C=E824,'Students (Vertical)'!D:D&lt;&gt;"""")},{filter('Students (Vertical)'!D:D,'Students (Vertical)'!C:C=B824,'Students "&amp;"(Vertical)'!D:D&lt;&gt;"""");filter('Students (Vertical)'!D:D,'Students (Vertical)'!C:C=E824,'Students (Vertical)'!D:D&lt;&gt;"""")})&gt;1))),"""")"),"")</f>
        <v/>
      </c>
      <c r="L824" s="96"/>
      <c r="M824" s="96"/>
    </row>
    <row r="825" hidden="1">
      <c r="A825" s="8" t="s">
        <v>8</v>
      </c>
      <c r="C825" s="8" t="s">
        <v>8</v>
      </c>
      <c r="D825" s="8" t="s">
        <v>8</v>
      </c>
      <c r="F825" s="8" t="s">
        <v>8</v>
      </c>
      <c r="G825" s="8" t="s">
        <v>8</v>
      </c>
      <c r="I825" s="94" t="str">
        <f>IFERROR(__xludf.DUMMYFUNCTION("if(H825=""Must be Together"",iferror(join("", "",unique(filter({filter('Students (Vertical)'!O:O,'Students (Vertical)'!C:C=B825,'Students (Vertical)'!O:O&lt;&gt;"""");filter('Students (Vertical)'!O:O,'Students (Vertical)'!C:C=E825,'Students (Vertical)'!O:O&lt;&gt;"""&amp;""")},countifs({filter('Students (Vertical)'!O:O,'Students (Vertical)'!C:C=B825,'Students (Vertical)'!O:O&lt;&gt;"""");filter('Students (Vertical)'!O:O,'Students (Vertical)'!C:C=E825,'Students (Vertical)'!O:O&lt;&gt;"""")},{filter('Students (Vertical)'!O:O,'Students ("&amp;"Vertical)'!C:C=B825,'Students (Vertical)'!O:O&lt;&gt;"""");filter('Students (Vertical)'!O:O,'Students (Vertical)'!C:C=E825,'Students (Vertical)'!O:O&lt;&gt;"""")})&gt;1))),""No shared courses""),"""")"),"")</f>
        <v/>
      </c>
      <c r="J825" s="94" t="str">
        <f>IFERROR(__xludf.DUMMYFUNCTION("if(H825=""Can't be Together"",iferror(join("", "",unique(filter({unique(filter('Students (Vertical)'!O:O,'Students (Vertical)'!C:C=B825,'Students (Vertical)'!O:O&lt;&gt;"""",'Students (Vertical)'!P:P&gt;1));unique(filter('Students (Vertical)'!O:O,'Students (Vertic"&amp;"al)'!C:C=E825,'Students (Vertical)'!O:O&lt;&gt;"""",'Students (Vertical)'!P:P&gt;1))},countifs({unique(filter('Students (Vertical)'!O:O,'Students (Vertical)'!C:C=B825,'Students (Vertical)'!O:O&lt;&gt;"""",'Students (Vertical)'!P:P&gt;1));unique(filter('Students (Vertical)'"&amp;"!O:O,'Students (Vertical)'!C:C=E825,'Students (Vertical)'!O:O&lt;&gt;"""",'Students (Vertical)'!P:P&gt;1))},{unique(filter('Students (Vertical)'!O:O,'Students (Vertical)'!C:C=B825,'Students (Vertical)'!O:O&lt;&gt;"""",'Students (Vertical)'!P:P&gt;1));unique(filter('Student"&amp;"s (Vertical)'!O:O,'Students (Vertical)'!C:C=E825,'Students (Vertical)'!O:O&lt;&gt;"""",'Students (Vertical)'!P:P&gt;1))})&gt;1))),""""),"""")"),"")</f>
        <v/>
      </c>
      <c r="K825" s="96" t="str">
        <f>IFERROR(__xludf.DUMMYFUNCTION("iferror(join("", "",unique(filter({filter('Students (Vertical)'!D:D,'Students (Vertical)'!C:C=B825,'Students (Vertical)'!D:D&lt;&gt;"""");filter('Students (Vertical)'!D:D,'Students (Vertical)'!C:C=E825,'Students (Vertical)'!D:D&lt;&gt;"""")},countifs({filter('Student"&amp;"s (Vertical)'!D:D,'Students (Vertical)'!C:C=B825,'Students (Vertical)'!D:D&lt;&gt;"""");filter('Students (Vertical)'!D:D,'Students (Vertical)'!C:C=E825,'Students (Vertical)'!D:D&lt;&gt;"""")},{filter('Students (Vertical)'!D:D,'Students (Vertical)'!C:C=B825,'Students "&amp;"(Vertical)'!D:D&lt;&gt;"""");filter('Students (Vertical)'!D:D,'Students (Vertical)'!C:C=E825,'Students (Vertical)'!D:D&lt;&gt;"""")})&gt;1))),"""")"),"")</f>
        <v/>
      </c>
      <c r="L825" s="96"/>
      <c r="M825" s="96"/>
    </row>
    <row r="826" hidden="1">
      <c r="A826" s="8" t="s">
        <v>8</v>
      </c>
      <c r="C826" s="8" t="s">
        <v>8</v>
      </c>
      <c r="D826" s="8" t="s">
        <v>8</v>
      </c>
      <c r="F826" s="8" t="s">
        <v>8</v>
      </c>
      <c r="G826" s="8" t="s">
        <v>8</v>
      </c>
      <c r="I826" s="94" t="str">
        <f>IFERROR(__xludf.DUMMYFUNCTION("if(H826=""Must be Together"",iferror(join("", "",unique(filter({filter('Students (Vertical)'!O:O,'Students (Vertical)'!C:C=B826,'Students (Vertical)'!O:O&lt;&gt;"""");filter('Students (Vertical)'!O:O,'Students (Vertical)'!C:C=E826,'Students (Vertical)'!O:O&lt;&gt;"""&amp;""")},countifs({filter('Students (Vertical)'!O:O,'Students (Vertical)'!C:C=B826,'Students (Vertical)'!O:O&lt;&gt;"""");filter('Students (Vertical)'!O:O,'Students (Vertical)'!C:C=E826,'Students (Vertical)'!O:O&lt;&gt;"""")},{filter('Students (Vertical)'!O:O,'Students ("&amp;"Vertical)'!C:C=B826,'Students (Vertical)'!O:O&lt;&gt;"""");filter('Students (Vertical)'!O:O,'Students (Vertical)'!C:C=E826,'Students (Vertical)'!O:O&lt;&gt;"""")})&gt;1))),""No shared courses""),"""")"),"")</f>
        <v/>
      </c>
      <c r="J826" s="94" t="str">
        <f>IFERROR(__xludf.DUMMYFUNCTION("if(H826=""Can't be Together"",iferror(join("", "",unique(filter({unique(filter('Students (Vertical)'!O:O,'Students (Vertical)'!C:C=B826,'Students (Vertical)'!O:O&lt;&gt;"""",'Students (Vertical)'!P:P&gt;1));unique(filter('Students (Vertical)'!O:O,'Students (Vertic"&amp;"al)'!C:C=E826,'Students (Vertical)'!O:O&lt;&gt;"""",'Students (Vertical)'!P:P&gt;1))},countifs({unique(filter('Students (Vertical)'!O:O,'Students (Vertical)'!C:C=B826,'Students (Vertical)'!O:O&lt;&gt;"""",'Students (Vertical)'!P:P&gt;1));unique(filter('Students (Vertical)'"&amp;"!O:O,'Students (Vertical)'!C:C=E826,'Students (Vertical)'!O:O&lt;&gt;"""",'Students (Vertical)'!P:P&gt;1))},{unique(filter('Students (Vertical)'!O:O,'Students (Vertical)'!C:C=B826,'Students (Vertical)'!O:O&lt;&gt;"""",'Students (Vertical)'!P:P&gt;1));unique(filter('Student"&amp;"s (Vertical)'!O:O,'Students (Vertical)'!C:C=E826,'Students (Vertical)'!O:O&lt;&gt;"""",'Students (Vertical)'!P:P&gt;1))})&gt;1))),""""),"""")"),"")</f>
        <v/>
      </c>
      <c r="K826" s="96" t="str">
        <f>IFERROR(__xludf.DUMMYFUNCTION("iferror(join("", "",unique(filter({filter('Students (Vertical)'!D:D,'Students (Vertical)'!C:C=B826,'Students (Vertical)'!D:D&lt;&gt;"""");filter('Students (Vertical)'!D:D,'Students (Vertical)'!C:C=E826,'Students (Vertical)'!D:D&lt;&gt;"""")},countifs({filter('Student"&amp;"s (Vertical)'!D:D,'Students (Vertical)'!C:C=B826,'Students (Vertical)'!D:D&lt;&gt;"""");filter('Students (Vertical)'!D:D,'Students (Vertical)'!C:C=E826,'Students (Vertical)'!D:D&lt;&gt;"""")},{filter('Students (Vertical)'!D:D,'Students (Vertical)'!C:C=B826,'Students "&amp;"(Vertical)'!D:D&lt;&gt;"""");filter('Students (Vertical)'!D:D,'Students (Vertical)'!C:C=E826,'Students (Vertical)'!D:D&lt;&gt;"""")})&gt;1))),"""")"),"")</f>
        <v/>
      </c>
      <c r="L826" s="96"/>
      <c r="M826" s="96"/>
    </row>
    <row r="827" hidden="1">
      <c r="A827" s="8" t="s">
        <v>8</v>
      </c>
      <c r="C827" s="8" t="s">
        <v>8</v>
      </c>
      <c r="D827" s="8" t="s">
        <v>8</v>
      </c>
      <c r="F827" s="8" t="s">
        <v>8</v>
      </c>
      <c r="G827" s="8" t="s">
        <v>8</v>
      </c>
      <c r="I827" s="94" t="str">
        <f>IFERROR(__xludf.DUMMYFUNCTION("if(H827=""Must be Together"",iferror(join("", "",unique(filter({filter('Students (Vertical)'!O:O,'Students (Vertical)'!C:C=B827,'Students (Vertical)'!O:O&lt;&gt;"""");filter('Students (Vertical)'!O:O,'Students (Vertical)'!C:C=E827,'Students (Vertical)'!O:O&lt;&gt;"""&amp;""")},countifs({filter('Students (Vertical)'!O:O,'Students (Vertical)'!C:C=B827,'Students (Vertical)'!O:O&lt;&gt;"""");filter('Students (Vertical)'!O:O,'Students (Vertical)'!C:C=E827,'Students (Vertical)'!O:O&lt;&gt;"""")},{filter('Students (Vertical)'!O:O,'Students ("&amp;"Vertical)'!C:C=B827,'Students (Vertical)'!O:O&lt;&gt;"""");filter('Students (Vertical)'!O:O,'Students (Vertical)'!C:C=E827,'Students (Vertical)'!O:O&lt;&gt;"""")})&gt;1))),""No shared courses""),"""")"),"")</f>
        <v/>
      </c>
      <c r="J827" s="94" t="str">
        <f>IFERROR(__xludf.DUMMYFUNCTION("if(H827=""Can't be Together"",iferror(join("", "",unique(filter({unique(filter('Students (Vertical)'!O:O,'Students (Vertical)'!C:C=B827,'Students (Vertical)'!O:O&lt;&gt;"""",'Students (Vertical)'!P:P&gt;1));unique(filter('Students (Vertical)'!O:O,'Students (Vertic"&amp;"al)'!C:C=E827,'Students (Vertical)'!O:O&lt;&gt;"""",'Students (Vertical)'!P:P&gt;1))},countifs({unique(filter('Students (Vertical)'!O:O,'Students (Vertical)'!C:C=B827,'Students (Vertical)'!O:O&lt;&gt;"""",'Students (Vertical)'!P:P&gt;1));unique(filter('Students (Vertical)'"&amp;"!O:O,'Students (Vertical)'!C:C=E827,'Students (Vertical)'!O:O&lt;&gt;"""",'Students (Vertical)'!P:P&gt;1))},{unique(filter('Students (Vertical)'!O:O,'Students (Vertical)'!C:C=B827,'Students (Vertical)'!O:O&lt;&gt;"""",'Students (Vertical)'!P:P&gt;1));unique(filter('Student"&amp;"s (Vertical)'!O:O,'Students (Vertical)'!C:C=E827,'Students (Vertical)'!O:O&lt;&gt;"""",'Students (Vertical)'!P:P&gt;1))})&gt;1))),""""),"""")"),"")</f>
        <v/>
      </c>
      <c r="K827" s="96" t="str">
        <f>IFERROR(__xludf.DUMMYFUNCTION("iferror(join("", "",unique(filter({filter('Students (Vertical)'!D:D,'Students (Vertical)'!C:C=B827,'Students (Vertical)'!D:D&lt;&gt;"""");filter('Students (Vertical)'!D:D,'Students (Vertical)'!C:C=E827,'Students (Vertical)'!D:D&lt;&gt;"""")},countifs({filter('Student"&amp;"s (Vertical)'!D:D,'Students (Vertical)'!C:C=B827,'Students (Vertical)'!D:D&lt;&gt;"""");filter('Students (Vertical)'!D:D,'Students (Vertical)'!C:C=E827,'Students (Vertical)'!D:D&lt;&gt;"""")},{filter('Students (Vertical)'!D:D,'Students (Vertical)'!C:C=B827,'Students "&amp;"(Vertical)'!D:D&lt;&gt;"""");filter('Students (Vertical)'!D:D,'Students (Vertical)'!C:C=E827,'Students (Vertical)'!D:D&lt;&gt;"""")})&gt;1))),"""")"),"")</f>
        <v/>
      </c>
      <c r="L827" s="96"/>
      <c r="M827" s="96"/>
    </row>
    <row r="828" hidden="1">
      <c r="A828" s="8" t="s">
        <v>8</v>
      </c>
      <c r="C828" s="8" t="s">
        <v>8</v>
      </c>
      <c r="D828" s="8" t="s">
        <v>8</v>
      </c>
      <c r="F828" s="8" t="s">
        <v>8</v>
      </c>
      <c r="G828" s="8" t="s">
        <v>8</v>
      </c>
      <c r="I828" s="94" t="str">
        <f>IFERROR(__xludf.DUMMYFUNCTION("if(H828=""Must be Together"",iferror(join("", "",unique(filter({filter('Students (Vertical)'!O:O,'Students (Vertical)'!C:C=B828,'Students (Vertical)'!O:O&lt;&gt;"""");filter('Students (Vertical)'!O:O,'Students (Vertical)'!C:C=E828,'Students (Vertical)'!O:O&lt;&gt;"""&amp;""")},countifs({filter('Students (Vertical)'!O:O,'Students (Vertical)'!C:C=B828,'Students (Vertical)'!O:O&lt;&gt;"""");filter('Students (Vertical)'!O:O,'Students (Vertical)'!C:C=E828,'Students (Vertical)'!O:O&lt;&gt;"""")},{filter('Students (Vertical)'!O:O,'Students ("&amp;"Vertical)'!C:C=B828,'Students (Vertical)'!O:O&lt;&gt;"""");filter('Students (Vertical)'!O:O,'Students (Vertical)'!C:C=E828,'Students (Vertical)'!O:O&lt;&gt;"""")})&gt;1))),""No shared courses""),"""")"),"")</f>
        <v/>
      </c>
      <c r="J828" s="94" t="str">
        <f>IFERROR(__xludf.DUMMYFUNCTION("if(H828=""Can't be Together"",iferror(join("", "",unique(filter({unique(filter('Students (Vertical)'!O:O,'Students (Vertical)'!C:C=B828,'Students (Vertical)'!O:O&lt;&gt;"""",'Students (Vertical)'!P:P&gt;1));unique(filter('Students (Vertical)'!O:O,'Students (Vertic"&amp;"al)'!C:C=E828,'Students (Vertical)'!O:O&lt;&gt;"""",'Students (Vertical)'!P:P&gt;1))},countifs({unique(filter('Students (Vertical)'!O:O,'Students (Vertical)'!C:C=B828,'Students (Vertical)'!O:O&lt;&gt;"""",'Students (Vertical)'!P:P&gt;1));unique(filter('Students (Vertical)'"&amp;"!O:O,'Students (Vertical)'!C:C=E828,'Students (Vertical)'!O:O&lt;&gt;"""",'Students (Vertical)'!P:P&gt;1))},{unique(filter('Students (Vertical)'!O:O,'Students (Vertical)'!C:C=B828,'Students (Vertical)'!O:O&lt;&gt;"""",'Students (Vertical)'!P:P&gt;1));unique(filter('Student"&amp;"s (Vertical)'!O:O,'Students (Vertical)'!C:C=E828,'Students (Vertical)'!O:O&lt;&gt;"""",'Students (Vertical)'!P:P&gt;1))})&gt;1))),""""),"""")"),"")</f>
        <v/>
      </c>
      <c r="K828" s="96" t="str">
        <f>IFERROR(__xludf.DUMMYFUNCTION("iferror(join("", "",unique(filter({filter('Students (Vertical)'!D:D,'Students (Vertical)'!C:C=B828,'Students (Vertical)'!D:D&lt;&gt;"""");filter('Students (Vertical)'!D:D,'Students (Vertical)'!C:C=E828,'Students (Vertical)'!D:D&lt;&gt;"""")},countifs({filter('Student"&amp;"s (Vertical)'!D:D,'Students (Vertical)'!C:C=B828,'Students (Vertical)'!D:D&lt;&gt;"""");filter('Students (Vertical)'!D:D,'Students (Vertical)'!C:C=E828,'Students (Vertical)'!D:D&lt;&gt;"""")},{filter('Students (Vertical)'!D:D,'Students (Vertical)'!C:C=B828,'Students "&amp;"(Vertical)'!D:D&lt;&gt;"""");filter('Students (Vertical)'!D:D,'Students (Vertical)'!C:C=E828,'Students (Vertical)'!D:D&lt;&gt;"""")})&gt;1))),"""")"),"")</f>
        <v/>
      </c>
      <c r="L828" s="96"/>
      <c r="M828" s="96"/>
    </row>
    <row r="829" hidden="1">
      <c r="A829" s="8" t="s">
        <v>8</v>
      </c>
      <c r="C829" s="8" t="s">
        <v>8</v>
      </c>
      <c r="D829" s="8" t="s">
        <v>8</v>
      </c>
      <c r="F829" s="8" t="s">
        <v>8</v>
      </c>
      <c r="G829" s="8" t="s">
        <v>8</v>
      </c>
      <c r="I829" s="94" t="str">
        <f>IFERROR(__xludf.DUMMYFUNCTION("if(H829=""Must be Together"",iferror(join("", "",unique(filter({filter('Students (Vertical)'!O:O,'Students (Vertical)'!C:C=B829,'Students (Vertical)'!O:O&lt;&gt;"""");filter('Students (Vertical)'!O:O,'Students (Vertical)'!C:C=E829,'Students (Vertical)'!O:O&lt;&gt;"""&amp;""")},countifs({filter('Students (Vertical)'!O:O,'Students (Vertical)'!C:C=B829,'Students (Vertical)'!O:O&lt;&gt;"""");filter('Students (Vertical)'!O:O,'Students (Vertical)'!C:C=E829,'Students (Vertical)'!O:O&lt;&gt;"""")},{filter('Students (Vertical)'!O:O,'Students ("&amp;"Vertical)'!C:C=B829,'Students (Vertical)'!O:O&lt;&gt;"""");filter('Students (Vertical)'!O:O,'Students (Vertical)'!C:C=E829,'Students (Vertical)'!O:O&lt;&gt;"""")})&gt;1))),""No shared courses""),"""")"),"")</f>
        <v/>
      </c>
      <c r="J829" s="94" t="str">
        <f>IFERROR(__xludf.DUMMYFUNCTION("if(H829=""Can't be Together"",iferror(join("", "",unique(filter({unique(filter('Students (Vertical)'!O:O,'Students (Vertical)'!C:C=B829,'Students (Vertical)'!O:O&lt;&gt;"""",'Students (Vertical)'!P:P&gt;1));unique(filter('Students (Vertical)'!O:O,'Students (Vertic"&amp;"al)'!C:C=E829,'Students (Vertical)'!O:O&lt;&gt;"""",'Students (Vertical)'!P:P&gt;1))},countifs({unique(filter('Students (Vertical)'!O:O,'Students (Vertical)'!C:C=B829,'Students (Vertical)'!O:O&lt;&gt;"""",'Students (Vertical)'!P:P&gt;1));unique(filter('Students (Vertical)'"&amp;"!O:O,'Students (Vertical)'!C:C=E829,'Students (Vertical)'!O:O&lt;&gt;"""",'Students (Vertical)'!P:P&gt;1))},{unique(filter('Students (Vertical)'!O:O,'Students (Vertical)'!C:C=B829,'Students (Vertical)'!O:O&lt;&gt;"""",'Students (Vertical)'!P:P&gt;1));unique(filter('Student"&amp;"s (Vertical)'!O:O,'Students (Vertical)'!C:C=E829,'Students (Vertical)'!O:O&lt;&gt;"""",'Students (Vertical)'!P:P&gt;1))})&gt;1))),""""),"""")"),"")</f>
        <v/>
      </c>
      <c r="K829" s="96" t="str">
        <f>IFERROR(__xludf.DUMMYFUNCTION("iferror(join("", "",unique(filter({filter('Students (Vertical)'!D:D,'Students (Vertical)'!C:C=B829,'Students (Vertical)'!D:D&lt;&gt;"""");filter('Students (Vertical)'!D:D,'Students (Vertical)'!C:C=E829,'Students (Vertical)'!D:D&lt;&gt;"""")},countifs({filter('Student"&amp;"s (Vertical)'!D:D,'Students (Vertical)'!C:C=B829,'Students (Vertical)'!D:D&lt;&gt;"""");filter('Students (Vertical)'!D:D,'Students (Vertical)'!C:C=E829,'Students (Vertical)'!D:D&lt;&gt;"""")},{filter('Students (Vertical)'!D:D,'Students (Vertical)'!C:C=B829,'Students "&amp;"(Vertical)'!D:D&lt;&gt;"""");filter('Students (Vertical)'!D:D,'Students (Vertical)'!C:C=E829,'Students (Vertical)'!D:D&lt;&gt;"""")})&gt;1))),"""")"),"")</f>
        <v/>
      </c>
      <c r="L829" s="96"/>
      <c r="M829" s="96"/>
    </row>
    <row r="830" hidden="1">
      <c r="A830" s="8" t="s">
        <v>8</v>
      </c>
      <c r="C830" s="8" t="s">
        <v>8</v>
      </c>
      <c r="D830" s="8" t="s">
        <v>8</v>
      </c>
      <c r="F830" s="8" t="s">
        <v>8</v>
      </c>
      <c r="G830" s="8" t="s">
        <v>8</v>
      </c>
      <c r="I830" s="94" t="str">
        <f>IFERROR(__xludf.DUMMYFUNCTION("if(H830=""Must be Together"",iferror(join("", "",unique(filter({filter('Students (Vertical)'!O:O,'Students (Vertical)'!C:C=B830,'Students (Vertical)'!O:O&lt;&gt;"""");filter('Students (Vertical)'!O:O,'Students (Vertical)'!C:C=E830,'Students (Vertical)'!O:O&lt;&gt;"""&amp;""")},countifs({filter('Students (Vertical)'!O:O,'Students (Vertical)'!C:C=B830,'Students (Vertical)'!O:O&lt;&gt;"""");filter('Students (Vertical)'!O:O,'Students (Vertical)'!C:C=E830,'Students (Vertical)'!O:O&lt;&gt;"""")},{filter('Students (Vertical)'!O:O,'Students ("&amp;"Vertical)'!C:C=B830,'Students (Vertical)'!O:O&lt;&gt;"""");filter('Students (Vertical)'!O:O,'Students (Vertical)'!C:C=E830,'Students (Vertical)'!O:O&lt;&gt;"""")})&gt;1))),""No shared courses""),"""")"),"")</f>
        <v/>
      </c>
      <c r="J830" s="94" t="str">
        <f>IFERROR(__xludf.DUMMYFUNCTION("if(H830=""Can't be Together"",iferror(join("", "",unique(filter({unique(filter('Students (Vertical)'!O:O,'Students (Vertical)'!C:C=B830,'Students (Vertical)'!O:O&lt;&gt;"""",'Students (Vertical)'!P:P&gt;1));unique(filter('Students (Vertical)'!O:O,'Students (Vertic"&amp;"al)'!C:C=E830,'Students (Vertical)'!O:O&lt;&gt;"""",'Students (Vertical)'!P:P&gt;1))},countifs({unique(filter('Students (Vertical)'!O:O,'Students (Vertical)'!C:C=B830,'Students (Vertical)'!O:O&lt;&gt;"""",'Students (Vertical)'!P:P&gt;1));unique(filter('Students (Vertical)'"&amp;"!O:O,'Students (Vertical)'!C:C=E830,'Students (Vertical)'!O:O&lt;&gt;"""",'Students (Vertical)'!P:P&gt;1))},{unique(filter('Students (Vertical)'!O:O,'Students (Vertical)'!C:C=B830,'Students (Vertical)'!O:O&lt;&gt;"""",'Students (Vertical)'!P:P&gt;1));unique(filter('Student"&amp;"s (Vertical)'!O:O,'Students (Vertical)'!C:C=E830,'Students (Vertical)'!O:O&lt;&gt;"""",'Students (Vertical)'!P:P&gt;1))})&gt;1))),""""),"""")"),"")</f>
        <v/>
      </c>
      <c r="K830" s="96" t="str">
        <f>IFERROR(__xludf.DUMMYFUNCTION("iferror(join("", "",unique(filter({filter('Students (Vertical)'!D:D,'Students (Vertical)'!C:C=B830,'Students (Vertical)'!D:D&lt;&gt;"""");filter('Students (Vertical)'!D:D,'Students (Vertical)'!C:C=E830,'Students (Vertical)'!D:D&lt;&gt;"""")},countifs({filter('Student"&amp;"s (Vertical)'!D:D,'Students (Vertical)'!C:C=B830,'Students (Vertical)'!D:D&lt;&gt;"""");filter('Students (Vertical)'!D:D,'Students (Vertical)'!C:C=E830,'Students (Vertical)'!D:D&lt;&gt;"""")},{filter('Students (Vertical)'!D:D,'Students (Vertical)'!C:C=B830,'Students "&amp;"(Vertical)'!D:D&lt;&gt;"""");filter('Students (Vertical)'!D:D,'Students (Vertical)'!C:C=E830,'Students (Vertical)'!D:D&lt;&gt;"""")})&gt;1))),"""")"),"")</f>
        <v/>
      </c>
      <c r="L830" s="96"/>
      <c r="M830" s="96"/>
    </row>
    <row r="831" hidden="1">
      <c r="A831" s="8" t="s">
        <v>8</v>
      </c>
      <c r="C831" s="8" t="s">
        <v>8</v>
      </c>
      <c r="D831" s="8" t="s">
        <v>8</v>
      </c>
      <c r="F831" s="8" t="s">
        <v>8</v>
      </c>
      <c r="G831" s="8" t="s">
        <v>8</v>
      </c>
      <c r="I831" s="94" t="str">
        <f>IFERROR(__xludf.DUMMYFUNCTION("if(H831=""Must be Together"",iferror(join("", "",unique(filter({filter('Students (Vertical)'!O:O,'Students (Vertical)'!C:C=B831,'Students (Vertical)'!O:O&lt;&gt;"""");filter('Students (Vertical)'!O:O,'Students (Vertical)'!C:C=E831,'Students (Vertical)'!O:O&lt;&gt;"""&amp;""")},countifs({filter('Students (Vertical)'!O:O,'Students (Vertical)'!C:C=B831,'Students (Vertical)'!O:O&lt;&gt;"""");filter('Students (Vertical)'!O:O,'Students (Vertical)'!C:C=E831,'Students (Vertical)'!O:O&lt;&gt;"""")},{filter('Students (Vertical)'!O:O,'Students ("&amp;"Vertical)'!C:C=B831,'Students (Vertical)'!O:O&lt;&gt;"""");filter('Students (Vertical)'!O:O,'Students (Vertical)'!C:C=E831,'Students (Vertical)'!O:O&lt;&gt;"""")})&gt;1))),""No shared courses""),"""")"),"")</f>
        <v/>
      </c>
      <c r="J831" s="94" t="str">
        <f>IFERROR(__xludf.DUMMYFUNCTION("if(H831=""Can't be Together"",iferror(join("", "",unique(filter({unique(filter('Students (Vertical)'!O:O,'Students (Vertical)'!C:C=B831,'Students (Vertical)'!O:O&lt;&gt;"""",'Students (Vertical)'!P:P&gt;1));unique(filter('Students (Vertical)'!O:O,'Students (Vertic"&amp;"al)'!C:C=E831,'Students (Vertical)'!O:O&lt;&gt;"""",'Students (Vertical)'!P:P&gt;1))},countifs({unique(filter('Students (Vertical)'!O:O,'Students (Vertical)'!C:C=B831,'Students (Vertical)'!O:O&lt;&gt;"""",'Students (Vertical)'!P:P&gt;1));unique(filter('Students (Vertical)'"&amp;"!O:O,'Students (Vertical)'!C:C=E831,'Students (Vertical)'!O:O&lt;&gt;"""",'Students (Vertical)'!P:P&gt;1))},{unique(filter('Students (Vertical)'!O:O,'Students (Vertical)'!C:C=B831,'Students (Vertical)'!O:O&lt;&gt;"""",'Students (Vertical)'!P:P&gt;1));unique(filter('Student"&amp;"s (Vertical)'!O:O,'Students (Vertical)'!C:C=E831,'Students (Vertical)'!O:O&lt;&gt;"""",'Students (Vertical)'!P:P&gt;1))})&gt;1))),""""),"""")"),"")</f>
        <v/>
      </c>
      <c r="K831" s="96" t="str">
        <f>IFERROR(__xludf.DUMMYFUNCTION("iferror(join("", "",unique(filter({filter('Students (Vertical)'!D:D,'Students (Vertical)'!C:C=B831,'Students (Vertical)'!D:D&lt;&gt;"""");filter('Students (Vertical)'!D:D,'Students (Vertical)'!C:C=E831,'Students (Vertical)'!D:D&lt;&gt;"""")},countifs({filter('Student"&amp;"s (Vertical)'!D:D,'Students (Vertical)'!C:C=B831,'Students (Vertical)'!D:D&lt;&gt;"""");filter('Students (Vertical)'!D:D,'Students (Vertical)'!C:C=E831,'Students (Vertical)'!D:D&lt;&gt;"""")},{filter('Students (Vertical)'!D:D,'Students (Vertical)'!C:C=B831,'Students "&amp;"(Vertical)'!D:D&lt;&gt;"""");filter('Students (Vertical)'!D:D,'Students (Vertical)'!C:C=E831,'Students (Vertical)'!D:D&lt;&gt;"""")})&gt;1))),"""")"),"")</f>
        <v/>
      </c>
      <c r="L831" s="96"/>
      <c r="M831" s="96"/>
    </row>
    <row r="832" hidden="1">
      <c r="A832" s="8" t="s">
        <v>8</v>
      </c>
      <c r="C832" s="8" t="s">
        <v>8</v>
      </c>
      <c r="D832" s="8" t="s">
        <v>8</v>
      </c>
      <c r="F832" s="8" t="s">
        <v>8</v>
      </c>
      <c r="G832" s="8" t="s">
        <v>8</v>
      </c>
      <c r="I832" s="94" t="str">
        <f>IFERROR(__xludf.DUMMYFUNCTION("if(H832=""Must be Together"",iferror(join("", "",unique(filter({filter('Students (Vertical)'!O:O,'Students (Vertical)'!C:C=B832,'Students (Vertical)'!O:O&lt;&gt;"""");filter('Students (Vertical)'!O:O,'Students (Vertical)'!C:C=E832,'Students (Vertical)'!O:O&lt;&gt;"""&amp;""")},countifs({filter('Students (Vertical)'!O:O,'Students (Vertical)'!C:C=B832,'Students (Vertical)'!O:O&lt;&gt;"""");filter('Students (Vertical)'!O:O,'Students (Vertical)'!C:C=E832,'Students (Vertical)'!O:O&lt;&gt;"""")},{filter('Students (Vertical)'!O:O,'Students ("&amp;"Vertical)'!C:C=B832,'Students (Vertical)'!O:O&lt;&gt;"""");filter('Students (Vertical)'!O:O,'Students (Vertical)'!C:C=E832,'Students (Vertical)'!O:O&lt;&gt;"""")})&gt;1))),""No shared courses""),"""")"),"")</f>
        <v/>
      </c>
      <c r="J832" s="94" t="str">
        <f>IFERROR(__xludf.DUMMYFUNCTION("if(H832=""Can't be Together"",iferror(join("", "",unique(filter({unique(filter('Students (Vertical)'!O:O,'Students (Vertical)'!C:C=B832,'Students (Vertical)'!O:O&lt;&gt;"""",'Students (Vertical)'!P:P&gt;1));unique(filter('Students (Vertical)'!O:O,'Students (Vertic"&amp;"al)'!C:C=E832,'Students (Vertical)'!O:O&lt;&gt;"""",'Students (Vertical)'!P:P&gt;1))},countifs({unique(filter('Students (Vertical)'!O:O,'Students (Vertical)'!C:C=B832,'Students (Vertical)'!O:O&lt;&gt;"""",'Students (Vertical)'!P:P&gt;1));unique(filter('Students (Vertical)'"&amp;"!O:O,'Students (Vertical)'!C:C=E832,'Students (Vertical)'!O:O&lt;&gt;"""",'Students (Vertical)'!P:P&gt;1))},{unique(filter('Students (Vertical)'!O:O,'Students (Vertical)'!C:C=B832,'Students (Vertical)'!O:O&lt;&gt;"""",'Students (Vertical)'!P:P&gt;1));unique(filter('Student"&amp;"s (Vertical)'!O:O,'Students (Vertical)'!C:C=E832,'Students (Vertical)'!O:O&lt;&gt;"""",'Students (Vertical)'!P:P&gt;1))})&gt;1))),""""),"""")"),"")</f>
        <v/>
      </c>
      <c r="K832" s="96" t="str">
        <f>IFERROR(__xludf.DUMMYFUNCTION("iferror(join("", "",unique(filter({filter('Students (Vertical)'!D:D,'Students (Vertical)'!C:C=B832,'Students (Vertical)'!D:D&lt;&gt;"""");filter('Students (Vertical)'!D:D,'Students (Vertical)'!C:C=E832,'Students (Vertical)'!D:D&lt;&gt;"""")},countifs({filter('Student"&amp;"s (Vertical)'!D:D,'Students (Vertical)'!C:C=B832,'Students (Vertical)'!D:D&lt;&gt;"""");filter('Students (Vertical)'!D:D,'Students (Vertical)'!C:C=E832,'Students (Vertical)'!D:D&lt;&gt;"""")},{filter('Students (Vertical)'!D:D,'Students (Vertical)'!C:C=B832,'Students "&amp;"(Vertical)'!D:D&lt;&gt;"""");filter('Students (Vertical)'!D:D,'Students (Vertical)'!C:C=E832,'Students (Vertical)'!D:D&lt;&gt;"""")})&gt;1))),"""")"),"")</f>
        <v/>
      </c>
      <c r="L832" s="96"/>
      <c r="M832" s="96"/>
    </row>
    <row r="833" hidden="1">
      <c r="A833" s="8" t="s">
        <v>8</v>
      </c>
      <c r="C833" s="8" t="s">
        <v>8</v>
      </c>
      <c r="D833" s="8" t="s">
        <v>8</v>
      </c>
      <c r="F833" s="8" t="s">
        <v>8</v>
      </c>
      <c r="G833" s="8" t="s">
        <v>8</v>
      </c>
      <c r="I833" s="94" t="str">
        <f>IFERROR(__xludf.DUMMYFUNCTION("if(H833=""Must be Together"",iferror(join("", "",unique(filter({filter('Students (Vertical)'!O:O,'Students (Vertical)'!C:C=B833,'Students (Vertical)'!O:O&lt;&gt;"""");filter('Students (Vertical)'!O:O,'Students (Vertical)'!C:C=E833,'Students (Vertical)'!O:O&lt;&gt;"""&amp;""")},countifs({filter('Students (Vertical)'!O:O,'Students (Vertical)'!C:C=B833,'Students (Vertical)'!O:O&lt;&gt;"""");filter('Students (Vertical)'!O:O,'Students (Vertical)'!C:C=E833,'Students (Vertical)'!O:O&lt;&gt;"""")},{filter('Students (Vertical)'!O:O,'Students ("&amp;"Vertical)'!C:C=B833,'Students (Vertical)'!O:O&lt;&gt;"""");filter('Students (Vertical)'!O:O,'Students (Vertical)'!C:C=E833,'Students (Vertical)'!O:O&lt;&gt;"""")})&gt;1))),""No shared courses""),"""")"),"")</f>
        <v/>
      </c>
      <c r="J833" s="94" t="str">
        <f>IFERROR(__xludf.DUMMYFUNCTION("if(H833=""Can't be Together"",iferror(join("", "",unique(filter({unique(filter('Students (Vertical)'!O:O,'Students (Vertical)'!C:C=B833,'Students (Vertical)'!O:O&lt;&gt;"""",'Students (Vertical)'!P:P&gt;1));unique(filter('Students (Vertical)'!O:O,'Students (Vertic"&amp;"al)'!C:C=E833,'Students (Vertical)'!O:O&lt;&gt;"""",'Students (Vertical)'!P:P&gt;1))},countifs({unique(filter('Students (Vertical)'!O:O,'Students (Vertical)'!C:C=B833,'Students (Vertical)'!O:O&lt;&gt;"""",'Students (Vertical)'!P:P&gt;1));unique(filter('Students (Vertical)'"&amp;"!O:O,'Students (Vertical)'!C:C=E833,'Students (Vertical)'!O:O&lt;&gt;"""",'Students (Vertical)'!P:P&gt;1))},{unique(filter('Students (Vertical)'!O:O,'Students (Vertical)'!C:C=B833,'Students (Vertical)'!O:O&lt;&gt;"""",'Students (Vertical)'!P:P&gt;1));unique(filter('Student"&amp;"s (Vertical)'!O:O,'Students (Vertical)'!C:C=E833,'Students (Vertical)'!O:O&lt;&gt;"""",'Students (Vertical)'!P:P&gt;1))})&gt;1))),""""),"""")"),"")</f>
        <v/>
      </c>
      <c r="K833" s="96" t="str">
        <f>IFERROR(__xludf.DUMMYFUNCTION("iferror(join("", "",unique(filter({filter('Students (Vertical)'!D:D,'Students (Vertical)'!C:C=B833,'Students (Vertical)'!D:D&lt;&gt;"""");filter('Students (Vertical)'!D:D,'Students (Vertical)'!C:C=E833,'Students (Vertical)'!D:D&lt;&gt;"""")},countifs({filter('Student"&amp;"s (Vertical)'!D:D,'Students (Vertical)'!C:C=B833,'Students (Vertical)'!D:D&lt;&gt;"""");filter('Students (Vertical)'!D:D,'Students (Vertical)'!C:C=E833,'Students (Vertical)'!D:D&lt;&gt;"""")},{filter('Students (Vertical)'!D:D,'Students (Vertical)'!C:C=B833,'Students "&amp;"(Vertical)'!D:D&lt;&gt;"""");filter('Students (Vertical)'!D:D,'Students (Vertical)'!C:C=E833,'Students (Vertical)'!D:D&lt;&gt;"""")})&gt;1))),"""")"),"")</f>
        <v/>
      </c>
      <c r="L833" s="96"/>
      <c r="M833" s="96"/>
    </row>
    <row r="834" hidden="1">
      <c r="A834" s="8" t="s">
        <v>8</v>
      </c>
      <c r="C834" s="8" t="s">
        <v>8</v>
      </c>
      <c r="D834" s="8" t="s">
        <v>8</v>
      </c>
      <c r="F834" s="8" t="s">
        <v>8</v>
      </c>
      <c r="G834" s="8" t="s">
        <v>8</v>
      </c>
      <c r="I834" s="94" t="str">
        <f>IFERROR(__xludf.DUMMYFUNCTION("if(H834=""Must be Together"",iferror(join("", "",unique(filter({filter('Students (Vertical)'!O:O,'Students (Vertical)'!C:C=B834,'Students (Vertical)'!O:O&lt;&gt;"""");filter('Students (Vertical)'!O:O,'Students (Vertical)'!C:C=E834,'Students (Vertical)'!O:O&lt;&gt;"""&amp;""")},countifs({filter('Students (Vertical)'!O:O,'Students (Vertical)'!C:C=B834,'Students (Vertical)'!O:O&lt;&gt;"""");filter('Students (Vertical)'!O:O,'Students (Vertical)'!C:C=E834,'Students (Vertical)'!O:O&lt;&gt;"""")},{filter('Students (Vertical)'!O:O,'Students ("&amp;"Vertical)'!C:C=B834,'Students (Vertical)'!O:O&lt;&gt;"""");filter('Students (Vertical)'!O:O,'Students (Vertical)'!C:C=E834,'Students (Vertical)'!O:O&lt;&gt;"""")})&gt;1))),""No shared courses""),"""")"),"")</f>
        <v/>
      </c>
      <c r="J834" s="94" t="str">
        <f>IFERROR(__xludf.DUMMYFUNCTION("if(H834=""Can't be Together"",iferror(join("", "",unique(filter({unique(filter('Students (Vertical)'!O:O,'Students (Vertical)'!C:C=B834,'Students (Vertical)'!O:O&lt;&gt;"""",'Students (Vertical)'!P:P&gt;1));unique(filter('Students (Vertical)'!O:O,'Students (Vertic"&amp;"al)'!C:C=E834,'Students (Vertical)'!O:O&lt;&gt;"""",'Students (Vertical)'!P:P&gt;1))},countifs({unique(filter('Students (Vertical)'!O:O,'Students (Vertical)'!C:C=B834,'Students (Vertical)'!O:O&lt;&gt;"""",'Students (Vertical)'!P:P&gt;1));unique(filter('Students (Vertical)'"&amp;"!O:O,'Students (Vertical)'!C:C=E834,'Students (Vertical)'!O:O&lt;&gt;"""",'Students (Vertical)'!P:P&gt;1))},{unique(filter('Students (Vertical)'!O:O,'Students (Vertical)'!C:C=B834,'Students (Vertical)'!O:O&lt;&gt;"""",'Students (Vertical)'!P:P&gt;1));unique(filter('Student"&amp;"s (Vertical)'!O:O,'Students (Vertical)'!C:C=E834,'Students (Vertical)'!O:O&lt;&gt;"""",'Students (Vertical)'!P:P&gt;1))})&gt;1))),""""),"""")"),"")</f>
        <v/>
      </c>
      <c r="K834" s="96" t="str">
        <f>IFERROR(__xludf.DUMMYFUNCTION("iferror(join("", "",unique(filter({filter('Students (Vertical)'!D:D,'Students (Vertical)'!C:C=B834,'Students (Vertical)'!D:D&lt;&gt;"""");filter('Students (Vertical)'!D:D,'Students (Vertical)'!C:C=E834,'Students (Vertical)'!D:D&lt;&gt;"""")},countifs({filter('Student"&amp;"s (Vertical)'!D:D,'Students (Vertical)'!C:C=B834,'Students (Vertical)'!D:D&lt;&gt;"""");filter('Students (Vertical)'!D:D,'Students (Vertical)'!C:C=E834,'Students (Vertical)'!D:D&lt;&gt;"""")},{filter('Students (Vertical)'!D:D,'Students (Vertical)'!C:C=B834,'Students "&amp;"(Vertical)'!D:D&lt;&gt;"""");filter('Students (Vertical)'!D:D,'Students (Vertical)'!C:C=E834,'Students (Vertical)'!D:D&lt;&gt;"""")})&gt;1))),"""")"),"")</f>
        <v/>
      </c>
      <c r="L834" s="96"/>
      <c r="M834" s="96"/>
    </row>
    <row r="835" hidden="1">
      <c r="A835" s="8" t="s">
        <v>8</v>
      </c>
      <c r="C835" s="8" t="s">
        <v>8</v>
      </c>
      <c r="D835" s="8" t="s">
        <v>8</v>
      </c>
      <c r="F835" s="8" t="s">
        <v>8</v>
      </c>
      <c r="G835" s="8" t="s">
        <v>8</v>
      </c>
      <c r="I835" s="94" t="str">
        <f>IFERROR(__xludf.DUMMYFUNCTION("if(H835=""Must be Together"",iferror(join("", "",unique(filter({filter('Students (Vertical)'!O:O,'Students (Vertical)'!C:C=B835,'Students (Vertical)'!O:O&lt;&gt;"""");filter('Students (Vertical)'!O:O,'Students (Vertical)'!C:C=E835,'Students (Vertical)'!O:O&lt;&gt;"""&amp;""")},countifs({filter('Students (Vertical)'!O:O,'Students (Vertical)'!C:C=B835,'Students (Vertical)'!O:O&lt;&gt;"""");filter('Students (Vertical)'!O:O,'Students (Vertical)'!C:C=E835,'Students (Vertical)'!O:O&lt;&gt;"""")},{filter('Students (Vertical)'!O:O,'Students ("&amp;"Vertical)'!C:C=B835,'Students (Vertical)'!O:O&lt;&gt;"""");filter('Students (Vertical)'!O:O,'Students (Vertical)'!C:C=E835,'Students (Vertical)'!O:O&lt;&gt;"""")})&gt;1))),""No shared courses""),"""")"),"")</f>
        <v/>
      </c>
      <c r="J835" s="94" t="str">
        <f>IFERROR(__xludf.DUMMYFUNCTION("if(H835=""Can't be Together"",iferror(join("", "",unique(filter({unique(filter('Students (Vertical)'!O:O,'Students (Vertical)'!C:C=B835,'Students (Vertical)'!O:O&lt;&gt;"""",'Students (Vertical)'!P:P&gt;1));unique(filter('Students (Vertical)'!O:O,'Students (Vertic"&amp;"al)'!C:C=E835,'Students (Vertical)'!O:O&lt;&gt;"""",'Students (Vertical)'!P:P&gt;1))},countifs({unique(filter('Students (Vertical)'!O:O,'Students (Vertical)'!C:C=B835,'Students (Vertical)'!O:O&lt;&gt;"""",'Students (Vertical)'!P:P&gt;1));unique(filter('Students (Vertical)'"&amp;"!O:O,'Students (Vertical)'!C:C=E835,'Students (Vertical)'!O:O&lt;&gt;"""",'Students (Vertical)'!P:P&gt;1))},{unique(filter('Students (Vertical)'!O:O,'Students (Vertical)'!C:C=B835,'Students (Vertical)'!O:O&lt;&gt;"""",'Students (Vertical)'!P:P&gt;1));unique(filter('Student"&amp;"s (Vertical)'!O:O,'Students (Vertical)'!C:C=E835,'Students (Vertical)'!O:O&lt;&gt;"""",'Students (Vertical)'!P:P&gt;1))})&gt;1))),""""),"""")"),"")</f>
        <v/>
      </c>
      <c r="K835" s="96" t="str">
        <f>IFERROR(__xludf.DUMMYFUNCTION("iferror(join("", "",unique(filter({filter('Students (Vertical)'!D:D,'Students (Vertical)'!C:C=B835,'Students (Vertical)'!D:D&lt;&gt;"""");filter('Students (Vertical)'!D:D,'Students (Vertical)'!C:C=E835,'Students (Vertical)'!D:D&lt;&gt;"""")},countifs({filter('Student"&amp;"s (Vertical)'!D:D,'Students (Vertical)'!C:C=B835,'Students (Vertical)'!D:D&lt;&gt;"""");filter('Students (Vertical)'!D:D,'Students (Vertical)'!C:C=E835,'Students (Vertical)'!D:D&lt;&gt;"""")},{filter('Students (Vertical)'!D:D,'Students (Vertical)'!C:C=B835,'Students "&amp;"(Vertical)'!D:D&lt;&gt;"""");filter('Students (Vertical)'!D:D,'Students (Vertical)'!C:C=E835,'Students (Vertical)'!D:D&lt;&gt;"""")})&gt;1))),"""")"),"")</f>
        <v/>
      </c>
      <c r="L835" s="96"/>
      <c r="M835" s="96"/>
    </row>
    <row r="836" hidden="1">
      <c r="A836" s="8" t="s">
        <v>8</v>
      </c>
      <c r="C836" s="8" t="s">
        <v>8</v>
      </c>
      <c r="D836" s="8" t="s">
        <v>8</v>
      </c>
      <c r="F836" s="8" t="s">
        <v>8</v>
      </c>
      <c r="G836" s="8" t="s">
        <v>8</v>
      </c>
      <c r="I836" s="94" t="str">
        <f>IFERROR(__xludf.DUMMYFUNCTION("if(H836=""Must be Together"",iferror(join("", "",unique(filter({filter('Students (Vertical)'!O:O,'Students (Vertical)'!C:C=B836,'Students (Vertical)'!O:O&lt;&gt;"""");filter('Students (Vertical)'!O:O,'Students (Vertical)'!C:C=E836,'Students (Vertical)'!O:O&lt;&gt;"""&amp;""")},countifs({filter('Students (Vertical)'!O:O,'Students (Vertical)'!C:C=B836,'Students (Vertical)'!O:O&lt;&gt;"""");filter('Students (Vertical)'!O:O,'Students (Vertical)'!C:C=E836,'Students (Vertical)'!O:O&lt;&gt;"""")},{filter('Students (Vertical)'!O:O,'Students ("&amp;"Vertical)'!C:C=B836,'Students (Vertical)'!O:O&lt;&gt;"""");filter('Students (Vertical)'!O:O,'Students (Vertical)'!C:C=E836,'Students (Vertical)'!O:O&lt;&gt;"""")})&gt;1))),""No shared courses""),"""")"),"")</f>
        <v/>
      </c>
      <c r="J836" s="94" t="str">
        <f>IFERROR(__xludf.DUMMYFUNCTION("if(H836=""Can't be Together"",iferror(join("", "",unique(filter({unique(filter('Students (Vertical)'!O:O,'Students (Vertical)'!C:C=B836,'Students (Vertical)'!O:O&lt;&gt;"""",'Students (Vertical)'!P:P&gt;1));unique(filter('Students (Vertical)'!O:O,'Students (Vertic"&amp;"al)'!C:C=E836,'Students (Vertical)'!O:O&lt;&gt;"""",'Students (Vertical)'!P:P&gt;1))},countifs({unique(filter('Students (Vertical)'!O:O,'Students (Vertical)'!C:C=B836,'Students (Vertical)'!O:O&lt;&gt;"""",'Students (Vertical)'!P:P&gt;1));unique(filter('Students (Vertical)'"&amp;"!O:O,'Students (Vertical)'!C:C=E836,'Students (Vertical)'!O:O&lt;&gt;"""",'Students (Vertical)'!P:P&gt;1))},{unique(filter('Students (Vertical)'!O:O,'Students (Vertical)'!C:C=B836,'Students (Vertical)'!O:O&lt;&gt;"""",'Students (Vertical)'!P:P&gt;1));unique(filter('Student"&amp;"s (Vertical)'!O:O,'Students (Vertical)'!C:C=E836,'Students (Vertical)'!O:O&lt;&gt;"""",'Students (Vertical)'!P:P&gt;1))})&gt;1))),""""),"""")"),"")</f>
        <v/>
      </c>
      <c r="K836" s="96" t="str">
        <f>IFERROR(__xludf.DUMMYFUNCTION("iferror(join("", "",unique(filter({filter('Students (Vertical)'!D:D,'Students (Vertical)'!C:C=B836,'Students (Vertical)'!D:D&lt;&gt;"""");filter('Students (Vertical)'!D:D,'Students (Vertical)'!C:C=E836,'Students (Vertical)'!D:D&lt;&gt;"""")},countifs({filter('Student"&amp;"s (Vertical)'!D:D,'Students (Vertical)'!C:C=B836,'Students (Vertical)'!D:D&lt;&gt;"""");filter('Students (Vertical)'!D:D,'Students (Vertical)'!C:C=E836,'Students (Vertical)'!D:D&lt;&gt;"""")},{filter('Students (Vertical)'!D:D,'Students (Vertical)'!C:C=B836,'Students "&amp;"(Vertical)'!D:D&lt;&gt;"""");filter('Students (Vertical)'!D:D,'Students (Vertical)'!C:C=E836,'Students (Vertical)'!D:D&lt;&gt;"""")})&gt;1))),"""")"),"")</f>
        <v/>
      </c>
      <c r="L836" s="96"/>
      <c r="M836" s="96"/>
    </row>
    <row r="837" hidden="1">
      <c r="A837" s="8" t="s">
        <v>8</v>
      </c>
      <c r="C837" s="8" t="s">
        <v>8</v>
      </c>
      <c r="D837" s="8" t="s">
        <v>8</v>
      </c>
      <c r="F837" s="8" t="s">
        <v>8</v>
      </c>
      <c r="G837" s="8" t="s">
        <v>8</v>
      </c>
      <c r="I837" s="94" t="str">
        <f>IFERROR(__xludf.DUMMYFUNCTION("if(H837=""Must be Together"",iferror(join("", "",unique(filter({filter('Students (Vertical)'!O:O,'Students (Vertical)'!C:C=B837,'Students (Vertical)'!O:O&lt;&gt;"""");filter('Students (Vertical)'!O:O,'Students (Vertical)'!C:C=E837,'Students (Vertical)'!O:O&lt;&gt;"""&amp;""")},countifs({filter('Students (Vertical)'!O:O,'Students (Vertical)'!C:C=B837,'Students (Vertical)'!O:O&lt;&gt;"""");filter('Students (Vertical)'!O:O,'Students (Vertical)'!C:C=E837,'Students (Vertical)'!O:O&lt;&gt;"""")},{filter('Students (Vertical)'!O:O,'Students ("&amp;"Vertical)'!C:C=B837,'Students (Vertical)'!O:O&lt;&gt;"""");filter('Students (Vertical)'!O:O,'Students (Vertical)'!C:C=E837,'Students (Vertical)'!O:O&lt;&gt;"""")})&gt;1))),""No shared courses""),"""")"),"")</f>
        <v/>
      </c>
      <c r="J837" s="94" t="str">
        <f>IFERROR(__xludf.DUMMYFUNCTION("if(H837=""Can't be Together"",iferror(join("", "",unique(filter({unique(filter('Students (Vertical)'!O:O,'Students (Vertical)'!C:C=B837,'Students (Vertical)'!O:O&lt;&gt;"""",'Students (Vertical)'!P:P&gt;1));unique(filter('Students (Vertical)'!O:O,'Students (Vertic"&amp;"al)'!C:C=E837,'Students (Vertical)'!O:O&lt;&gt;"""",'Students (Vertical)'!P:P&gt;1))},countifs({unique(filter('Students (Vertical)'!O:O,'Students (Vertical)'!C:C=B837,'Students (Vertical)'!O:O&lt;&gt;"""",'Students (Vertical)'!P:P&gt;1));unique(filter('Students (Vertical)'"&amp;"!O:O,'Students (Vertical)'!C:C=E837,'Students (Vertical)'!O:O&lt;&gt;"""",'Students (Vertical)'!P:P&gt;1))},{unique(filter('Students (Vertical)'!O:O,'Students (Vertical)'!C:C=B837,'Students (Vertical)'!O:O&lt;&gt;"""",'Students (Vertical)'!P:P&gt;1));unique(filter('Student"&amp;"s (Vertical)'!O:O,'Students (Vertical)'!C:C=E837,'Students (Vertical)'!O:O&lt;&gt;"""",'Students (Vertical)'!P:P&gt;1))})&gt;1))),""""),"""")"),"")</f>
        <v/>
      </c>
      <c r="K837" s="96" t="str">
        <f>IFERROR(__xludf.DUMMYFUNCTION("iferror(join("", "",unique(filter({filter('Students (Vertical)'!D:D,'Students (Vertical)'!C:C=B837,'Students (Vertical)'!D:D&lt;&gt;"""");filter('Students (Vertical)'!D:D,'Students (Vertical)'!C:C=E837,'Students (Vertical)'!D:D&lt;&gt;"""")},countifs({filter('Student"&amp;"s (Vertical)'!D:D,'Students (Vertical)'!C:C=B837,'Students (Vertical)'!D:D&lt;&gt;"""");filter('Students (Vertical)'!D:D,'Students (Vertical)'!C:C=E837,'Students (Vertical)'!D:D&lt;&gt;"""")},{filter('Students (Vertical)'!D:D,'Students (Vertical)'!C:C=B837,'Students "&amp;"(Vertical)'!D:D&lt;&gt;"""");filter('Students (Vertical)'!D:D,'Students (Vertical)'!C:C=E837,'Students (Vertical)'!D:D&lt;&gt;"""")})&gt;1))),"""")"),"")</f>
        <v/>
      </c>
      <c r="L837" s="96"/>
      <c r="M837" s="96"/>
    </row>
    <row r="838" hidden="1">
      <c r="A838" s="8" t="s">
        <v>8</v>
      </c>
      <c r="C838" s="8" t="s">
        <v>8</v>
      </c>
      <c r="D838" s="8" t="s">
        <v>8</v>
      </c>
      <c r="F838" s="8" t="s">
        <v>8</v>
      </c>
      <c r="G838" s="8" t="s">
        <v>8</v>
      </c>
      <c r="I838" s="94" t="str">
        <f>IFERROR(__xludf.DUMMYFUNCTION("if(H838=""Must be Together"",iferror(join("", "",unique(filter({filter('Students (Vertical)'!O:O,'Students (Vertical)'!C:C=B838,'Students (Vertical)'!O:O&lt;&gt;"""");filter('Students (Vertical)'!O:O,'Students (Vertical)'!C:C=E838,'Students (Vertical)'!O:O&lt;&gt;"""&amp;""")},countifs({filter('Students (Vertical)'!O:O,'Students (Vertical)'!C:C=B838,'Students (Vertical)'!O:O&lt;&gt;"""");filter('Students (Vertical)'!O:O,'Students (Vertical)'!C:C=E838,'Students (Vertical)'!O:O&lt;&gt;"""")},{filter('Students (Vertical)'!O:O,'Students ("&amp;"Vertical)'!C:C=B838,'Students (Vertical)'!O:O&lt;&gt;"""");filter('Students (Vertical)'!O:O,'Students (Vertical)'!C:C=E838,'Students (Vertical)'!O:O&lt;&gt;"""")})&gt;1))),""No shared courses""),"""")"),"")</f>
        <v/>
      </c>
      <c r="J838" s="94" t="str">
        <f>IFERROR(__xludf.DUMMYFUNCTION("if(H838=""Can't be Together"",iferror(join("", "",unique(filter({unique(filter('Students (Vertical)'!O:O,'Students (Vertical)'!C:C=B838,'Students (Vertical)'!O:O&lt;&gt;"""",'Students (Vertical)'!P:P&gt;1));unique(filter('Students (Vertical)'!O:O,'Students (Vertic"&amp;"al)'!C:C=E838,'Students (Vertical)'!O:O&lt;&gt;"""",'Students (Vertical)'!P:P&gt;1))},countifs({unique(filter('Students (Vertical)'!O:O,'Students (Vertical)'!C:C=B838,'Students (Vertical)'!O:O&lt;&gt;"""",'Students (Vertical)'!P:P&gt;1));unique(filter('Students (Vertical)'"&amp;"!O:O,'Students (Vertical)'!C:C=E838,'Students (Vertical)'!O:O&lt;&gt;"""",'Students (Vertical)'!P:P&gt;1))},{unique(filter('Students (Vertical)'!O:O,'Students (Vertical)'!C:C=B838,'Students (Vertical)'!O:O&lt;&gt;"""",'Students (Vertical)'!P:P&gt;1));unique(filter('Student"&amp;"s (Vertical)'!O:O,'Students (Vertical)'!C:C=E838,'Students (Vertical)'!O:O&lt;&gt;"""",'Students (Vertical)'!P:P&gt;1))})&gt;1))),""""),"""")"),"")</f>
        <v/>
      </c>
      <c r="K838" s="96" t="str">
        <f>IFERROR(__xludf.DUMMYFUNCTION("iferror(join("", "",unique(filter({filter('Students (Vertical)'!D:D,'Students (Vertical)'!C:C=B838,'Students (Vertical)'!D:D&lt;&gt;"""");filter('Students (Vertical)'!D:D,'Students (Vertical)'!C:C=E838,'Students (Vertical)'!D:D&lt;&gt;"""")},countifs({filter('Student"&amp;"s (Vertical)'!D:D,'Students (Vertical)'!C:C=B838,'Students (Vertical)'!D:D&lt;&gt;"""");filter('Students (Vertical)'!D:D,'Students (Vertical)'!C:C=E838,'Students (Vertical)'!D:D&lt;&gt;"""")},{filter('Students (Vertical)'!D:D,'Students (Vertical)'!C:C=B838,'Students "&amp;"(Vertical)'!D:D&lt;&gt;"""");filter('Students (Vertical)'!D:D,'Students (Vertical)'!C:C=E838,'Students (Vertical)'!D:D&lt;&gt;"""")})&gt;1))),"""")"),"")</f>
        <v/>
      </c>
      <c r="L838" s="96"/>
      <c r="M838" s="96"/>
    </row>
    <row r="839" hidden="1">
      <c r="A839" s="8" t="s">
        <v>8</v>
      </c>
      <c r="C839" s="8" t="s">
        <v>8</v>
      </c>
      <c r="D839" s="8" t="s">
        <v>8</v>
      </c>
      <c r="F839" s="8" t="s">
        <v>8</v>
      </c>
      <c r="G839" s="8" t="s">
        <v>8</v>
      </c>
      <c r="I839" s="94" t="str">
        <f>IFERROR(__xludf.DUMMYFUNCTION("if(H839=""Must be Together"",iferror(join("", "",unique(filter({filter('Students (Vertical)'!O:O,'Students (Vertical)'!C:C=B839,'Students (Vertical)'!O:O&lt;&gt;"""");filter('Students (Vertical)'!O:O,'Students (Vertical)'!C:C=E839,'Students (Vertical)'!O:O&lt;&gt;"""&amp;""")},countifs({filter('Students (Vertical)'!O:O,'Students (Vertical)'!C:C=B839,'Students (Vertical)'!O:O&lt;&gt;"""");filter('Students (Vertical)'!O:O,'Students (Vertical)'!C:C=E839,'Students (Vertical)'!O:O&lt;&gt;"""")},{filter('Students (Vertical)'!O:O,'Students ("&amp;"Vertical)'!C:C=B839,'Students (Vertical)'!O:O&lt;&gt;"""");filter('Students (Vertical)'!O:O,'Students (Vertical)'!C:C=E839,'Students (Vertical)'!O:O&lt;&gt;"""")})&gt;1))),""No shared courses""),"""")"),"")</f>
        <v/>
      </c>
      <c r="J839" s="94" t="str">
        <f>IFERROR(__xludf.DUMMYFUNCTION("if(H839=""Can't be Together"",iferror(join("", "",unique(filter({unique(filter('Students (Vertical)'!O:O,'Students (Vertical)'!C:C=B839,'Students (Vertical)'!O:O&lt;&gt;"""",'Students (Vertical)'!P:P&gt;1));unique(filter('Students (Vertical)'!O:O,'Students (Vertic"&amp;"al)'!C:C=E839,'Students (Vertical)'!O:O&lt;&gt;"""",'Students (Vertical)'!P:P&gt;1))},countifs({unique(filter('Students (Vertical)'!O:O,'Students (Vertical)'!C:C=B839,'Students (Vertical)'!O:O&lt;&gt;"""",'Students (Vertical)'!P:P&gt;1));unique(filter('Students (Vertical)'"&amp;"!O:O,'Students (Vertical)'!C:C=E839,'Students (Vertical)'!O:O&lt;&gt;"""",'Students (Vertical)'!P:P&gt;1))},{unique(filter('Students (Vertical)'!O:O,'Students (Vertical)'!C:C=B839,'Students (Vertical)'!O:O&lt;&gt;"""",'Students (Vertical)'!P:P&gt;1));unique(filter('Student"&amp;"s (Vertical)'!O:O,'Students (Vertical)'!C:C=E839,'Students (Vertical)'!O:O&lt;&gt;"""",'Students (Vertical)'!P:P&gt;1))})&gt;1))),""""),"""")"),"")</f>
        <v/>
      </c>
      <c r="K839" s="96" t="str">
        <f>IFERROR(__xludf.DUMMYFUNCTION("iferror(join("", "",unique(filter({filter('Students (Vertical)'!D:D,'Students (Vertical)'!C:C=B839,'Students (Vertical)'!D:D&lt;&gt;"""");filter('Students (Vertical)'!D:D,'Students (Vertical)'!C:C=E839,'Students (Vertical)'!D:D&lt;&gt;"""")},countifs({filter('Student"&amp;"s (Vertical)'!D:D,'Students (Vertical)'!C:C=B839,'Students (Vertical)'!D:D&lt;&gt;"""");filter('Students (Vertical)'!D:D,'Students (Vertical)'!C:C=E839,'Students (Vertical)'!D:D&lt;&gt;"""")},{filter('Students (Vertical)'!D:D,'Students (Vertical)'!C:C=B839,'Students "&amp;"(Vertical)'!D:D&lt;&gt;"""");filter('Students (Vertical)'!D:D,'Students (Vertical)'!C:C=E839,'Students (Vertical)'!D:D&lt;&gt;"""")})&gt;1))),"""")"),"")</f>
        <v/>
      </c>
      <c r="L839" s="96"/>
      <c r="M839" s="96"/>
    </row>
    <row r="840" hidden="1">
      <c r="A840" s="8" t="s">
        <v>8</v>
      </c>
      <c r="C840" s="8" t="s">
        <v>8</v>
      </c>
      <c r="D840" s="8" t="s">
        <v>8</v>
      </c>
      <c r="F840" s="8" t="s">
        <v>8</v>
      </c>
      <c r="G840" s="8" t="s">
        <v>8</v>
      </c>
      <c r="I840" s="94" t="str">
        <f>IFERROR(__xludf.DUMMYFUNCTION("if(H840=""Must be Together"",iferror(join("", "",unique(filter({filter('Students (Vertical)'!O:O,'Students (Vertical)'!C:C=B840,'Students (Vertical)'!O:O&lt;&gt;"""");filter('Students (Vertical)'!O:O,'Students (Vertical)'!C:C=E840,'Students (Vertical)'!O:O&lt;&gt;"""&amp;""")},countifs({filter('Students (Vertical)'!O:O,'Students (Vertical)'!C:C=B840,'Students (Vertical)'!O:O&lt;&gt;"""");filter('Students (Vertical)'!O:O,'Students (Vertical)'!C:C=E840,'Students (Vertical)'!O:O&lt;&gt;"""")},{filter('Students (Vertical)'!O:O,'Students ("&amp;"Vertical)'!C:C=B840,'Students (Vertical)'!O:O&lt;&gt;"""");filter('Students (Vertical)'!O:O,'Students (Vertical)'!C:C=E840,'Students (Vertical)'!O:O&lt;&gt;"""")})&gt;1))),""No shared courses""),"""")"),"")</f>
        <v/>
      </c>
      <c r="J840" s="94" t="str">
        <f>IFERROR(__xludf.DUMMYFUNCTION("if(H840=""Can't be Together"",iferror(join("", "",unique(filter({unique(filter('Students (Vertical)'!O:O,'Students (Vertical)'!C:C=B840,'Students (Vertical)'!O:O&lt;&gt;"""",'Students (Vertical)'!P:P&gt;1));unique(filter('Students (Vertical)'!O:O,'Students (Vertic"&amp;"al)'!C:C=E840,'Students (Vertical)'!O:O&lt;&gt;"""",'Students (Vertical)'!P:P&gt;1))},countifs({unique(filter('Students (Vertical)'!O:O,'Students (Vertical)'!C:C=B840,'Students (Vertical)'!O:O&lt;&gt;"""",'Students (Vertical)'!P:P&gt;1));unique(filter('Students (Vertical)'"&amp;"!O:O,'Students (Vertical)'!C:C=E840,'Students (Vertical)'!O:O&lt;&gt;"""",'Students (Vertical)'!P:P&gt;1))},{unique(filter('Students (Vertical)'!O:O,'Students (Vertical)'!C:C=B840,'Students (Vertical)'!O:O&lt;&gt;"""",'Students (Vertical)'!P:P&gt;1));unique(filter('Student"&amp;"s (Vertical)'!O:O,'Students (Vertical)'!C:C=E840,'Students (Vertical)'!O:O&lt;&gt;"""",'Students (Vertical)'!P:P&gt;1))})&gt;1))),""""),"""")"),"")</f>
        <v/>
      </c>
      <c r="K840" s="96" t="str">
        <f>IFERROR(__xludf.DUMMYFUNCTION("iferror(join("", "",unique(filter({filter('Students (Vertical)'!D:D,'Students (Vertical)'!C:C=B840,'Students (Vertical)'!D:D&lt;&gt;"""");filter('Students (Vertical)'!D:D,'Students (Vertical)'!C:C=E840,'Students (Vertical)'!D:D&lt;&gt;"""")},countifs({filter('Student"&amp;"s (Vertical)'!D:D,'Students (Vertical)'!C:C=B840,'Students (Vertical)'!D:D&lt;&gt;"""");filter('Students (Vertical)'!D:D,'Students (Vertical)'!C:C=E840,'Students (Vertical)'!D:D&lt;&gt;"""")},{filter('Students (Vertical)'!D:D,'Students (Vertical)'!C:C=B840,'Students "&amp;"(Vertical)'!D:D&lt;&gt;"""");filter('Students (Vertical)'!D:D,'Students (Vertical)'!C:C=E840,'Students (Vertical)'!D:D&lt;&gt;"""")})&gt;1))),"""")"),"")</f>
        <v/>
      </c>
      <c r="L840" s="96"/>
      <c r="M840" s="96"/>
    </row>
    <row r="841" hidden="1">
      <c r="A841" s="8" t="s">
        <v>8</v>
      </c>
      <c r="C841" s="8" t="s">
        <v>8</v>
      </c>
      <c r="D841" s="8" t="s">
        <v>8</v>
      </c>
      <c r="F841" s="8" t="s">
        <v>8</v>
      </c>
      <c r="G841" s="8" t="s">
        <v>8</v>
      </c>
      <c r="I841" s="94" t="str">
        <f>IFERROR(__xludf.DUMMYFUNCTION("if(H841=""Must be Together"",iferror(join("", "",unique(filter({filter('Students (Vertical)'!O:O,'Students (Vertical)'!C:C=B841,'Students (Vertical)'!O:O&lt;&gt;"""");filter('Students (Vertical)'!O:O,'Students (Vertical)'!C:C=E841,'Students (Vertical)'!O:O&lt;&gt;"""&amp;""")},countifs({filter('Students (Vertical)'!O:O,'Students (Vertical)'!C:C=B841,'Students (Vertical)'!O:O&lt;&gt;"""");filter('Students (Vertical)'!O:O,'Students (Vertical)'!C:C=E841,'Students (Vertical)'!O:O&lt;&gt;"""")},{filter('Students (Vertical)'!O:O,'Students ("&amp;"Vertical)'!C:C=B841,'Students (Vertical)'!O:O&lt;&gt;"""");filter('Students (Vertical)'!O:O,'Students (Vertical)'!C:C=E841,'Students (Vertical)'!O:O&lt;&gt;"""")})&gt;1))),""No shared courses""),"""")"),"")</f>
        <v/>
      </c>
      <c r="J841" s="94" t="str">
        <f>IFERROR(__xludf.DUMMYFUNCTION("if(H841=""Can't be Together"",iferror(join("", "",unique(filter({unique(filter('Students (Vertical)'!O:O,'Students (Vertical)'!C:C=B841,'Students (Vertical)'!O:O&lt;&gt;"""",'Students (Vertical)'!P:P&gt;1));unique(filter('Students (Vertical)'!O:O,'Students (Vertic"&amp;"al)'!C:C=E841,'Students (Vertical)'!O:O&lt;&gt;"""",'Students (Vertical)'!P:P&gt;1))},countifs({unique(filter('Students (Vertical)'!O:O,'Students (Vertical)'!C:C=B841,'Students (Vertical)'!O:O&lt;&gt;"""",'Students (Vertical)'!P:P&gt;1));unique(filter('Students (Vertical)'"&amp;"!O:O,'Students (Vertical)'!C:C=E841,'Students (Vertical)'!O:O&lt;&gt;"""",'Students (Vertical)'!P:P&gt;1))},{unique(filter('Students (Vertical)'!O:O,'Students (Vertical)'!C:C=B841,'Students (Vertical)'!O:O&lt;&gt;"""",'Students (Vertical)'!P:P&gt;1));unique(filter('Student"&amp;"s (Vertical)'!O:O,'Students (Vertical)'!C:C=E841,'Students (Vertical)'!O:O&lt;&gt;"""",'Students (Vertical)'!P:P&gt;1))})&gt;1))),""""),"""")"),"")</f>
        <v/>
      </c>
      <c r="K841" s="96" t="str">
        <f>IFERROR(__xludf.DUMMYFUNCTION("iferror(join("", "",unique(filter({filter('Students (Vertical)'!D:D,'Students (Vertical)'!C:C=B841,'Students (Vertical)'!D:D&lt;&gt;"""");filter('Students (Vertical)'!D:D,'Students (Vertical)'!C:C=E841,'Students (Vertical)'!D:D&lt;&gt;"""")},countifs({filter('Student"&amp;"s (Vertical)'!D:D,'Students (Vertical)'!C:C=B841,'Students (Vertical)'!D:D&lt;&gt;"""");filter('Students (Vertical)'!D:D,'Students (Vertical)'!C:C=E841,'Students (Vertical)'!D:D&lt;&gt;"""")},{filter('Students (Vertical)'!D:D,'Students (Vertical)'!C:C=B841,'Students "&amp;"(Vertical)'!D:D&lt;&gt;"""");filter('Students (Vertical)'!D:D,'Students (Vertical)'!C:C=E841,'Students (Vertical)'!D:D&lt;&gt;"""")})&gt;1))),"""")"),"")</f>
        <v/>
      </c>
      <c r="L841" s="96"/>
      <c r="M841" s="96"/>
    </row>
    <row r="842" hidden="1">
      <c r="A842" s="8" t="s">
        <v>8</v>
      </c>
      <c r="C842" s="8" t="s">
        <v>8</v>
      </c>
      <c r="D842" s="8" t="s">
        <v>8</v>
      </c>
      <c r="F842" s="8" t="s">
        <v>8</v>
      </c>
      <c r="G842" s="8" t="s">
        <v>8</v>
      </c>
      <c r="I842" s="94" t="str">
        <f>IFERROR(__xludf.DUMMYFUNCTION("if(H842=""Must be Together"",iferror(join("", "",unique(filter({filter('Students (Vertical)'!O:O,'Students (Vertical)'!C:C=B842,'Students (Vertical)'!O:O&lt;&gt;"""");filter('Students (Vertical)'!O:O,'Students (Vertical)'!C:C=E842,'Students (Vertical)'!O:O&lt;&gt;"""&amp;""")},countifs({filter('Students (Vertical)'!O:O,'Students (Vertical)'!C:C=B842,'Students (Vertical)'!O:O&lt;&gt;"""");filter('Students (Vertical)'!O:O,'Students (Vertical)'!C:C=E842,'Students (Vertical)'!O:O&lt;&gt;"""")},{filter('Students (Vertical)'!O:O,'Students ("&amp;"Vertical)'!C:C=B842,'Students (Vertical)'!O:O&lt;&gt;"""");filter('Students (Vertical)'!O:O,'Students (Vertical)'!C:C=E842,'Students (Vertical)'!O:O&lt;&gt;"""")})&gt;1))),""No shared courses""),"""")"),"")</f>
        <v/>
      </c>
      <c r="J842" s="94" t="str">
        <f>IFERROR(__xludf.DUMMYFUNCTION("if(H842=""Can't be Together"",iferror(join("", "",unique(filter({unique(filter('Students (Vertical)'!O:O,'Students (Vertical)'!C:C=B842,'Students (Vertical)'!O:O&lt;&gt;"""",'Students (Vertical)'!P:P&gt;1));unique(filter('Students (Vertical)'!O:O,'Students (Vertic"&amp;"al)'!C:C=E842,'Students (Vertical)'!O:O&lt;&gt;"""",'Students (Vertical)'!P:P&gt;1))},countifs({unique(filter('Students (Vertical)'!O:O,'Students (Vertical)'!C:C=B842,'Students (Vertical)'!O:O&lt;&gt;"""",'Students (Vertical)'!P:P&gt;1));unique(filter('Students (Vertical)'"&amp;"!O:O,'Students (Vertical)'!C:C=E842,'Students (Vertical)'!O:O&lt;&gt;"""",'Students (Vertical)'!P:P&gt;1))},{unique(filter('Students (Vertical)'!O:O,'Students (Vertical)'!C:C=B842,'Students (Vertical)'!O:O&lt;&gt;"""",'Students (Vertical)'!P:P&gt;1));unique(filter('Student"&amp;"s (Vertical)'!O:O,'Students (Vertical)'!C:C=E842,'Students (Vertical)'!O:O&lt;&gt;"""",'Students (Vertical)'!P:P&gt;1))})&gt;1))),""""),"""")"),"")</f>
        <v/>
      </c>
      <c r="K842" s="96" t="str">
        <f>IFERROR(__xludf.DUMMYFUNCTION("iferror(join("", "",unique(filter({filter('Students (Vertical)'!D:D,'Students (Vertical)'!C:C=B842,'Students (Vertical)'!D:D&lt;&gt;"""");filter('Students (Vertical)'!D:D,'Students (Vertical)'!C:C=E842,'Students (Vertical)'!D:D&lt;&gt;"""")},countifs({filter('Student"&amp;"s (Vertical)'!D:D,'Students (Vertical)'!C:C=B842,'Students (Vertical)'!D:D&lt;&gt;"""");filter('Students (Vertical)'!D:D,'Students (Vertical)'!C:C=E842,'Students (Vertical)'!D:D&lt;&gt;"""")},{filter('Students (Vertical)'!D:D,'Students (Vertical)'!C:C=B842,'Students "&amp;"(Vertical)'!D:D&lt;&gt;"""");filter('Students (Vertical)'!D:D,'Students (Vertical)'!C:C=E842,'Students (Vertical)'!D:D&lt;&gt;"""")})&gt;1))),"""")"),"")</f>
        <v/>
      </c>
      <c r="L842" s="96"/>
      <c r="M842" s="96"/>
    </row>
    <row r="843" hidden="1">
      <c r="A843" s="8" t="s">
        <v>8</v>
      </c>
      <c r="C843" s="8" t="s">
        <v>8</v>
      </c>
      <c r="D843" s="8" t="s">
        <v>8</v>
      </c>
      <c r="F843" s="8" t="s">
        <v>8</v>
      </c>
      <c r="G843" s="8" t="s">
        <v>8</v>
      </c>
      <c r="I843" s="94" t="str">
        <f>IFERROR(__xludf.DUMMYFUNCTION("if(H843=""Must be Together"",iferror(join("", "",unique(filter({filter('Students (Vertical)'!O:O,'Students (Vertical)'!C:C=B843,'Students (Vertical)'!O:O&lt;&gt;"""");filter('Students (Vertical)'!O:O,'Students (Vertical)'!C:C=E843,'Students (Vertical)'!O:O&lt;&gt;"""&amp;""")},countifs({filter('Students (Vertical)'!O:O,'Students (Vertical)'!C:C=B843,'Students (Vertical)'!O:O&lt;&gt;"""");filter('Students (Vertical)'!O:O,'Students (Vertical)'!C:C=E843,'Students (Vertical)'!O:O&lt;&gt;"""")},{filter('Students (Vertical)'!O:O,'Students ("&amp;"Vertical)'!C:C=B843,'Students (Vertical)'!O:O&lt;&gt;"""");filter('Students (Vertical)'!O:O,'Students (Vertical)'!C:C=E843,'Students (Vertical)'!O:O&lt;&gt;"""")})&gt;1))),""No shared courses""),"""")"),"")</f>
        <v/>
      </c>
      <c r="J843" s="94" t="str">
        <f>IFERROR(__xludf.DUMMYFUNCTION("if(H843=""Can't be Together"",iferror(join("", "",unique(filter({unique(filter('Students (Vertical)'!O:O,'Students (Vertical)'!C:C=B843,'Students (Vertical)'!O:O&lt;&gt;"""",'Students (Vertical)'!P:P&gt;1));unique(filter('Students (Vertical)'!O:O,'Students (Vertic"&amp;"al)'!C:C=E843,'Students (Vertical)'!O:O&lt;&gt;"""",'Students (Vertical)'!P:P&gt;1))},countifs({unique(filter('Students (Vertical)'!O:O,'Students (Vertical)'!C:C=B843,'Students (Vertical)'!O:O&lt;&gt;"""",'Students (Vertical)'!P:P&gt;1));unique(filter('Students (Vertical)'"&amp;"!O:O,'Students (Vertical)'!C:C=E843,'Students (Vertical)'!O:O&lt;&gt;"""",'Students (Vertical)'!P:P&gt;1))},{unique(filter('Students (Vertical)'!O:O,'Students (Vertical)'!C:C=B843,'Students (Vertical)'!O:O&lt;&gt;"""",'Students (Vertical)'!P:P&gt;1));unique(filter('Student"&amp;"s (Vertical)'!O:O,'Students (Vertical)'!C:C=E843,'Students (Vertical)'!O:O&lt;&gt;"""",'Students (Vertical)'!P:P&gt;1))})&gt;1))),""""),"""")"),"")</f>
        <v/>
      </c>
      <c r="K843" s="96" t="str">
        <f>IFERROR(__xludf.DUMMYFUNCTION("iferror(join("", "",unique(filter({filter('Students (Vertical)'!D:D,'Students (Vertical)'!C:C=B843,'Students (Vertical)'!D:D&lt;&gt;"""");filter('Students (Vertical)'!D:D,'Students (Vertical)'!C:C=E843,'Students (Vertical)'!D:D&lt;&gt;"""")},countifs({filter('Student"&amp;"s (Vertical)'!D:D,'Students (Vertical)'!C:C=B843,'Students (Vertical)'!D:D&lt;&gt;"""");filter('Students (Vertical)'!D:D,'Students (Vertical)'!C:C=E843,'Students (Vertical)'!D:D&lt;&gt;"""")},{filter('Students (Vertical)'!D:D,'Students (Vertical)'!C:C=B843,'Students "&amp;"(Vertical)'!D:D&lt;&gt;"""");filter('Students (Vertical)'!D:D,'Students (Vertical)'!C:C=E843,'Students (Vertical)'!D:D&lt;&gt;"""")})&gt;1))),"""")"),"")</f>
        <v/>
      </c>
      <c r="L843" s="96"/>
      <c r="M843" s="96"/>
    </row>
    <row r="844" hidden="1">
      <c r="A844" s="8" t="s">
        <v>8</v>
      </c>
      <c r="C844" s="8" t="s">
        <v>8</v>
      </c>
      <c r="D844" s="8" t="s">
        <v>8</v>
      </c>
      <c r="F844" s="8" t="s">
        <v>8</v>
      </c>
      <c r="G844" s="8" t="s">
        <v>8</v>
      </c>
      <c r="I844" s="94" t="str">
        <f>IFERROR(__xludf.DUMMYFUNCTION("if(H844=""Must be Together"",iferror(join("", "",unique(filter({filter('Students (Vertical)'!O:O,'Students (Vertical)'!C:C=B844,'Students (Vertical)'!O:O&lt;&gt;"""");filter('Students (Vertical)'!O:O,'Students (Vertical)'!C:C=E844,'Students (Vertical)'!O:O&lt;&gt;"""&amp;""")},countifs({filter('Students (Vertical)'!O:O,'Students (Vertical)'!C:C=B844,'Students (Vertical)'!O:O&lt;&gt;"""");filter('Students (Vertical)'!O:O,'Students (Vertical)'!C:C=E844,'Students (Vertical)'!O:O&lt;&gt;"""")},{filter('Students (Vertical)'!O:O,'Students ("&amp;"Vertical)'!C:C=B844,'Students (Vertical)'!O:O&lt;&gt;"""");filter('Students (Vertical)'!O:O,'Students (Vertical)'!C:C=E844,'Students (Vertical)'!O:O&lt;&gt;"""")})&gt;1))),""No shared courses""),"""")"),"")</f>
        <v/>
      </c>
      <c r="J844" s="94" t="str">
        <f>IFERROR(__xludf.DUMMYFUNCTION("if(H844=""Can't be Together"",iferror(join("", "",unique(filter({unique(filter('Students (Vertical)'!O:O,'Students (Vertical)'!C:C=B844,'Students (Vertical)'!O:O&lt;&gt;"""",'Students (Vertical)'!P:P&gt;1));unique(filter('Students (Vertical)'!O:O,'Students (Vertic"&amp;"al)'!C:C=E844,'Students (Vertical)'!O:O&lt;&gt;"""",'Students (Vertical)'!P:P&gt;1))},countifs({unique(filter('Students (Vertical)'!O:O,'Students (Vertical)'!C:C=B844,'Students (Vertical)'!O:O&lt;&gt;"""",'Students (Vertical)'!P:P&gt;1));unique(filter('Students (Vertical)'"&amp;"!O:O,'Students (Vertical)'!C:C=E844,'Students (Vertical)'!O:O&lt;&gt;"""",'Students (Vertical)'!P:P&gt;1))},{unique(filter('Students (Vertical)'!O:O,'Students (Vertical)'!C:C=B844,'Students (Vertical)'!O:O&lt;&gt;"""",'Students (Vertical)'!P:P&gt;1));unique(filter('Student"&amp;"s (Vertical)'!O:O,'Students (Vertical)'!C:C=E844,'Students (Vertical)'!O:O&lt;&gt;"""",'Students (Vertical)'!P:P&gt;1))})&gt;1))),""""),"""")"),"")</f>
        <v/>
      </c>
      <c r="K844" s="96" t="str">
        <f>IFERROR(__xludf.DUMMYFUNCTION("iferror(join("", "",unique(filter({filter('Students (Vertical)'!D:D,'Students (Vertical)'!C:C=B844,'Students (Vertical)'!D:D&lt;&gt;"""");filter('Students (Vertical)'!D:D,'Students (Vertical)'!C:C=E844,'Students (Vertical)'!D:D&lt;&gt;"""")},countifs({filter('Student"&amp;"s (Vertical)'!D:D,'Students (Vertical)'!C:C=B844,'Students (Vertical)'!D:D&lt;&gt;"""");filter('Students (Vertical)'!D:D,'Students (Vertical)'!C:C=E844,'Students (Vertical)'!D:D&lt;&gt;"""")},{filter('Students (Vertical)'!D:D,'Students (Vertical)'!C:C=B844,'Students "&amp;"(Vertical)'!D:D&lt;&gt;"""");filter('Students (Vertical)'!D:D,'Students (Vertical)'!C:C=E844,'Students (Vertical)'!D:D&lt;&gt;"""")})&gt;1))),"""")"),"")</f>
        <v/>
      </c>
      <c r="L844" s="96"/>
      <c r="M844" s="96"/>
    </row>
    <row r="845" hidden="1">
      <c r="A845" s="8" t="s">
        <v>8</v>
      </c>
      <c r="C845" s="8" t="s">
        <v>8</v>
      </c>
      <c r="D845" s="8" t="s">
        <v>8</v>
      </c>
      <c r="F845" s="8" t="s">
        <v>8</v>
      </c>
      <c r="G845" s="8" t="s">
        <v>8</v>
      </c>
      <c r="I845" s="94" t="str">
        <f>IFERROR(__xludf.DUMMYFUNCTION("if(H845=""Must be Together"",iferror(join("", "",unique(filter({filter('Students (Vertical)'!O:O,'Students (Vertical)'!C:C=B845,'Students (Vertical)'!O:O&lt;&gt;"""");filter('Students (Vertical)'!O:O,'Students (Vertical)'!C:C=E845,'Students (Vertical)'!O:O&lt;&gt;"""&amp;""")},countifs({filter('Students (Vertical)'!O:O,'Students (Vertical)'!C:C=B845,'Students (Vertical)'!O:O&lt;&gt;"""");filter('Students (Vertical)'!O:O,'Students (Vertical)'!C:C=E845,'Students (Vertical)'!O:O&lt;&gt;"""")},{filter('Students (Vertical)'!O:O,'Students ("&amp;"Vertical)'!C:C=B845,'Students (Vertical)'!O:O&lt;&gt;"""");filter('Students (Vertical)'!O:O,'Students (Vertical)'!C:C=E845,'Students (Vertical)'!O:O&lt;&gt;"""")})&gt;1))),""No shared courses""),"""")"),"")</f>
        <v/>
      </c>
      <c r="J845" s="94" t="str">
        <f>IFERROR(__xludf.DUMMYFUNCTION("if(H845=""Can't be Together"",iferror(join("", "",unique(filter({unique(filter('Students (Vertical)'!O:O,'Students (Vertical)'!C:C=B845,'Students (Vertical)'!O:O&lt;&gt;"""",'Students (Vertical)'!P:P&gt;1));unique(filter('Students (Vertical)'!O:O,'Students (Vertic"&amp;"al)'!C:C=E845,'Students (Vertical)'!O:O&lt;&gt;"""",'Students (Vertical)'!P:P&gt;1))},countifs({unique(filter('Students (Vertical)'!O:O,'Students (Vertical)'!C:C=B845,'Students (Vertical)'!O:O&lt;&gt;"""",'Students (Vertical)'!P:P&gt;1));unique(filter('Students (Vertical)'"&amp;"!O:O,'Students (Vertical)'!C:C=E845,'Students (Vertical)'!O:O&lt;&gt;"""",'Students (Vertical)'!P:P&gt;1))},{unique(filter('Students (Vertical)'!O:O,'Students (Vertical)'!C:C=B845,'Students (Vertical)'!O:O&lt;&gt;"""",'Students (Vertical)'!P:P&gt;1));unique(filter('Student"&amp;"s (Vertical)'!O:O,'Students (Vertical)'!C:C=E845,'Students (Vertical)'!O:O&lt;&gt;"""",'Students (Vertical)'!P:P&gt;1))})&gt;1))),""""),"""")"),"")</f>
        <v/>
      </c>
      <c r="K845" s="96" t="str">
        <f>IFERROR(__xludf.DUMMYFUNCTION("iferror(join("", "",unique(filter({filter('Students (Vertical)'!D:D,'Students (Vertical)'!C:C=B845,'Students (Vertical)'!D:D&lt;&gt;"""");filter('Students (Vertical)'!D:D,'Students (Vertical)'!C:C=E845,'Students (Vertical)'!D:D&lt;&gt;"""")},countifs({filter('Student"&amp;"s (Vertical)'!D:D,'Students (Vertical)'!C:C=B845,'Students (Vertical)'!D:D&lt;&gt;"""");filter('Students (Vertical)'!D:D,'Students (Vertical)'!C:C=E845,'Students (Vertical)'!D:D&lt;&gt;"""")},{filter('Students (Vertical)'!D:D,'Students (Vertical)'!C:C=B845,'Students "&amp;"(Vertical)'!D:D&lt;&gt;"""");filter('Students (Vertical)'!D:D,'Students (Vertical)'!C:C=E845,'Students (Vertical)'!D:D&lt;&gt;"""")})&gt;1))),"""")"),"")</f>
        <v/>
      </c>
      <c r="L845" s="96"/>
      <c r="M845" s="96"/>
    </row>
    <row r="846" hidden="1">
      <c r="A846" s="8" t="s">
        <v>8</v>
      </c>
      <c r="C846" s="8" t="s">
        <v>8</v>
      </c>
      <c r="D846" s="8" t="s">
        <v>8</v>
      </c>
      <c r="F846" s="8" t="s">
        <v>8</v>
      </c>
      <c r="G846" s="8" t="s">
        <v>8</v>
      </c>
      <c r="I846" s="94" t="str">
        <f>IFERROR(__xludf.DUMMYFUNCTION("if(H846=""Must be Together"",iferror(join("", "",unique(filter({filter('Students (Vertical)'!O:O,'Students (Vertical)'!C:C=B846,'Students (Vertical)'!O:O&lt;&gt;"""");filter('Students (Vertical)'!O:O,'Students (Vertical)'!C:C=E846,'Students (Vertical)'!O:O&lt;&gt;"""&amp;""")},countifs({filter('Students (Vertical)'!O:O,'Students (Vertical)'!C:C=B846,'Students (Vertical)'!O:O&lt;&gt;"""");filter('Students (Vertical)'!O:O,'Students (Vertical)'!C:C=E846,'Students (Vertical)'!O:O&lt;&gt;"""")},{filter('Students (Vertical)'!O:O,'Students ("&amp;"Vertical)'!C:C=B846,'Students (Vertical)'!O:O&lt;&gt;"""");filter('Students (Vertical)'!O:O,'Students (Vertical)'!C:C=E846,'Students (Vertical)'!O:O&lt;&gt;"""")})&gt;1))),""No shared courses""),"""")"),"")</f>
        <v/>
      </c>
      <c r="J846" s="94" t="str">
        <f>IFERROR(__xludf.DUMMYFUNCTION("if(H846=""Can't be Together"",iferror(join("", "",unique(filter({unique(filter('Students (Vertical)'!O:O,'Students (Vertical)'!C:C=B846,'Students (Vertical)'!O:O&lt;&gt;"""",'Students (Vertical)'!P:P&gt;1));unique(filter('Students (Vertical)'!O:O,'Students (Vertic"&amp;"al)'!C:C=E846,'Students (Vertical)'!O:O&lt;&gt;"""",'Students (Vertical)'!P:P&gt;1))},countifs({unique(filter('Students (Vertical)'!O:O,'Students (Vertical)'!C:C=B846,'Students (Vertical)'!O:O&lt;&gt;"""",'Students (Vertical)'!P:P&gt;1));unique(filter('Students (Vertical)'"&amp;"!O:O,'Students (Vertical)'!C:C=E846,'Students (Vertical)'!O:O&lt;&gt;"""",'Students (Vertical)'!P:P&gt;1))},{unique(filter('Students (Vertical)'!O:O,'Students (Vertical)'!C:C=B846,'Students (Vertical)'!O:O&lt;&gt;"""",'Students (Vertical)'!P:P&gt;1));unique(filter('Student"&amp;"s (Vertical)'!O:O,'Students (Vertical)'!C:C=E846,'Students (Vertical)'!O:O&lt;&gt;"""",'Students (Vertical)'!P:P&gt;1))})&gt;1))),""""),"""")"),"")</f>
        <v/>
      </c>
      <c r="K846" s="96" t="str">
        <f>IFERROR(__xludf.DUMMYFUNCTION("iferror(join("", "",unique(filter({filter('Students (Vertical)'!D:D,'Students (Vertical)'!C:C=B846,'Students (Vertical)'!D:D&lt;&gt;"""");filter('Students (Vertical)'!D:D,'Students (Vertical)'!C:C=E846,'Students (Vertical)'!D:D&lt;&gt;"""")},countifs({filter('Student"&amp;"s (Vertical)'!D:D,'Students (Vertical)'!C:C=B846,'Students (Vertical)'!D:D&lt;&gt;"""");filter('Students (Vertical)'!D:D,'Students (Vertical)'!C:C=E846,'Students (Vertical)'!D:D&lt;&gt;"""")},{filter('Students (Vertical)'!D:D,'Students (Vertical)'!C:C=B846,'Students "&amp;"(Vertical)'!D:D&lt;&gt;"""");filter('Students (Vertical)'!D:D,'Students (Vertical)'!C:C=E846,'Students (Vertical)'!D:D&lt;&gt;"""")})&gt;1))),"""")"),"")</f>
        <v/>
      </c>
      <c r="L846" s="96"/>
      <c r="M846" s="96"/>
    </row>
    <row r="847" hidden="1">
      <c r="A847" s="8" t="s">
        <v>8</v>
      </c>
      <c r="C847" s="8" t="s">
        <v>8</v>
      </c>
      <c r="D847" s="8" t="s">
        <v>8</v>
      </c>
      <c r="F847" s="8" t="s">
        <v>8</v>
      </c>
      <c r="G847" s="8" t="s">
        <v>8</v>
      </c>
      <c r="I847" s="94" t="str">
        <f>IFERROR(__xludf.DUMMYFUNCTION("if(H847=""Must be Together"",iferror(join("", "",unique(filter({filter('Students (Vertical)'!O:O,'Students (Vertical)'!C:C=B847,'Students (Vertical)'!O:O&lt;&gt;"""");filter('Students (Vertical)'!O:O,'Students (Vertical)'!C:C=E847,'Students (Vertical)'!O:O&lt;&gt;"""&amp;""")},countifs({filter('Students (Vertical)'!O:O,'Students (Vertical)'!C:C=B847,'Students (Vertical)'!O:O&lt;&gt;"""");filter('Students (Vertical)'!O:O,'Students (Vertical)'!C:C=E847,'Students (Vertical)'!O:O&lt;&gt;"""")},{filter('Students (Vertical)'!O:O,'Students ("&amp;"Vertical)'!C:C=B847,'Students (Vertical)'!O:O&lt;&gt;"""");filter('Students (Vertical)'!O:O,'Students (Vertical)'!C:C=E847,'Students (Vertical)'!O:O&lt;&gt;"""")})&gt;1))),""No shared courses""),"""")"),"")</f>
        <v/>
      </c>
      <c r="J847" s="94" t="str">
        <f>IFERROR(__xludf.DUMMYFUNCTION("if(H847=""Can't be Together"",iferror(join("", "",unique(filter({unique(filter('Students (Vertical)'!O:O,'Students (Vertical)'!C:C=B847,'Students (Vertical)'!O:O&lt;&gt;"""",'Students (Vertical)'!P:P&gt;1));unique(filter('Students (Vertical)'!O:O,'Students (Vertic"&amp;"al)'!C:C=E847,'Students (Vertical)'!O:O&lt;&gt;"""",'Students (Vertical)'!P:P&gt;1))},countifs({unique(filter('Students (Vertical)'!O:O,'Students (Vertical)'!C:C=B847,'Students (Vertical)'!O:O&lt;&gt;"""",'Students (Vertical)'!P:P&gt;1));unique(filter('Students (Vertical)'"&amp;"!O:O,'Students (Vertical)'!C:C=E847,'Students (Vertical)'!O:O&lt;&gt;"""",'Students (Vertical)'!P:P&gt;1))},{unique(filter('Students (Vertical)'!O:O,'Students (Vertical)'!C:C=B847,'Students (Vertical)'!O:O&lt;&gt;"""",'Students (Vertical)'!P:P&gt;1));unique(filter('Student"&amp;"s (Vertical)'!O:O,'Students (Vertical)'!C:C=E847,'Students (Vertical)'!O:O&lt;&gt;"""",'Students (Vertical)'!P:P&gt;1))})&gt;1))),""""),"""")"),"")</f>
        <v/>
      </c>
      <c r="K847" s="96" t="str">
        <f>IFERROR(__xludf.DUMMYFUNCTION("iferror(join("", "",unique(filter({filter('Students (Vertical)'!D:D,'Students (Vertical)'!C:C=B847,'Students (Vertical)'!D:D&lt;&gt;"""");filter('Students (Vertical)'!D:D,'Students (Vertical)'!C:C=E847,'Students (Vertical)'!D:D&lt;&gt;"""")},countifs({filter('Student"&amp;"s (Vertical)'!D:D,'Students (Vertical)'!C:C=B847,'Students (Vertical)'!D:D&lt;&gt;"""");filter('Students (Vertical)'!D:D,'Students (Vertical)'!C:C=E847,'Students (Vertical)'!D:D&lt;&gt;"""")},{filter('Students (Vertical)'!D:D,'Students (Vertical)'!C:C=B847,'Students "&amp;"(Vertical)'!D:D&lt;&gt;"""");filter('Students (Vertical)'!D:D,'Students (Vertical)'!C:C=E847,'Students (Vertical)'!D:D&lt;&gt;"""")})&gt;1))),"""")"),"")</f>
        <v/>
      </c>
      <c r="L847" s="96"/>
      <c r="M847" s="96"/>
    </row>
    <row r="848" hidden="1">
      <c r="A848" s="8" t="s">
        <v>8</v>
      </c>
      <c r="C848" s="8" t="s">
        <v>8</v>
      </c>
      <c r="D848" s="8" t="s">
        <v>8</v>
      </c>
      <c r="F848" s="8" t="s">
        <v>8</v>
      </c>
      <c r="G848" s="8" t="s">
        <v>8</v>
      </c>
      <c r="I848" s="94" t="str">
        <f>IFERROR(__xludf.DUMMYFUNCTION("if(H848=""Must be Together"",iferror(join("", "",unique(filter({filter('Students (Vertical)'!O:O,'Students (Vertical)'!C:C=B848,'Students (Vertical)'!O:O&lt;&gt;"""");filter('Students (Vertical)'!O:O,'Students (Vertical)'!C:C=E848,'Students (Vertical)'!O:O&lt;&gt;"""&amp;""")},countifs({filter('Students (Vertical)'!O:O,'Students (Vertical)'!C:C=B848,'Students (Vertical)'!O:O&lt;&gt;"""");filter('Students (Vertical)'!O:O,'Students (Vertical)'!C:C=E848,'Students (Vertical)'!O:O&lt;&gt;"""")},{filter('Students (Vertical)'!O:O,'Students ("&amp;"Vertical)'!C:C=B848,'Students (Vertical)'!O:O&lt;&gt;"""");filter('Students (Vertical)'!O:O,'Students (Vertical)'!C:C=E848,'Students (Vertical)'!O:O&lt;&gt;"""")})&gt;1))),""No shared courses""),"""")"),"")</f>
        <v/>
      </c>
      <c r="J848" s="94" t="str">
        <f>IFERROR(__xludf.DUMMYFUNCTION("if(H848=""Can't be Together"",iferror(join("", "",unique(filter({unique(filter('Students (Vertical)'!O:O,'Students (Vertical)'!C:C=B848,'Students (Vertical)'!O:O&lt;&gt;"""",'Students (Vertical)'!P:P&gt;1));unique(filter('Students (Vertical)'!O:O,'Students (Vertic"&amp;"al)'!C:C=E848,'Students (Vertical)'!O:O&lt;&gt;"""",'Students (Vertical)'!P:P&gt;1))},countifs({unique(filter('Students (Vertical)'!O:O,'Students (Vertical)'!C:C=B848,'Students (Vertical)'!O:O&lt;&gt;"""",'Students (Vertical)'!P:P&gt;1));unique(filter('Students (Vertical)'"&amp;"!O:O,'Students (Vertical)'!C:C=E848,'Students (Vertical)'!O:O&lt;&gt;"""",'Students (Vertical)'!P:P&gt;1))},{unique(filter('Students (Vertical)'!O:O,'Students (Vertical)'!C:C=B848,'Students (Vertical)'!O:O&lt;&gt;"""",'Students (Vertical)'!P:P&gt;1));unique(filter('Student"&amp;"s (Vertical)'!O:O,'Students (Vertical)'!C:C=E848,'Students (Vertical)'!O:O&lt;&gt;"""",'Students (Vertical)'!P:P&gt;1))})&gt;1))),""""),"""")"),"")</f>
        <v/>
      </c>
      <c r="K848" s="96" t="str">
        <f>IFERROR(__xludf.DUMMYFUNCTION("iferror(join("", "",unique(filter({filter('Students (Vertical)'!D:D,'Students (Vertical)'!C:C=B848,'Students (Vertical)'!D:D&lt;&gt;"""");filter('Students (Vertical)'!D:D,'Students (Vertical)'!C:C=E848,'Students (Vertical)'!D:D&lt;&gt;"""")},countifs({filter('Student"&amp;"s (Vertical)'!D:D,'Students (Vertical)'!C:C=B848,'Students (Vertical)'!D:D&lt;&gt;"""");filter('Students (Vertical)'!D:D,'Students (Vertical)'!C:C=E848,'Students (Vertical)'!D:D&lt;&gt;"""")},{filter('Students (Vertical)'!D:D,'Students (Vertical)'!C:C=B848,'Students "&amp;"(Vertical)'!D:D&lt;&gt;"""");filter('Students (Vertical)'!D:D,'Students (Vertical)'!C:C=E848,'Students (Vertical)'!D:D&lt;&gt;"""")})&gt;1))),"""")"),"")</f>
        <v/>
      </c>
      <c r="L848" s="96"/>
      <c r="M848" s="96"/>
    </row>
    <row r="849" hidden="1">
      <c r="A849" s="8" t="s">
        <v>8</v>
      </c>
      <c r="C849" s="8" t="s">
        <v>8</v>
      </c>
      <c r="D849" s="8" t="s">
        <v>8</v>
      </c>
      <c r="F849" s="8" t="s">
        <v>8</v>
      </c>
      <c r="G849" s="8" t="s">
        <v>8</v>
      </c>
      <c r="I849" s="94" t="str">
        <f>IFERROR(__xludf.DUMMYFUNCTION("if(H849=""Must be Together"",iferror(join("", "",unique(filter({filter('Students (Vertical)'!O:O,'Students (Vertical)'!C:C=B849,'Students (Vertical)'!O:O&lt;&gt;"""");filter('Students (Vertical)'!O:O,'Students (Vertical)'!C:C=E849,'Students (Vertical)'!O:O&lt;&gt;"""&amp;""")},countifs({filter('Students (Vertical)'!O:O,'Students (Vertical)'!C:C=B849,'Students (Vertical)'!O:O&lt;&gt;"""");filter('Students (Vertical)'!O:O,'Students (Vertical)'!C:C=E849,'Students (Vertical)'!O:O&lt;&gt;"""")},{filter('Students (Vertical)'!O:O,'Students ("&amp;"Vertical)'!C:C=B849,'Students (Vertical)'!O:O&lt;&gt;"""");filter('Students (Vertical)'!O:O,'Students (Vertical)'!C:C=E849,'Students (Vertical)'!O:O&lt;&gt;"""")})&gt;1))),""No shared courses""),"""")"),"")</f>
        <v/>
      </c>
      <c r="J849" s="94" t="str">
        <f>IFERROR(__xludf.DUMMYFUNCTION("if(H849=""Can't be Together"",iferror(join("", "",unique(filter({unique(filter('Students (Vertical)'!O:O,'Students (Vertical)'!C:C=B849,'Students (Vertical)'!O:O&lt;&gt;"""",'Students (Vertical)'!P:P&gt;1));unique(filter('Students (Vertical)'!O:O,'Students (Vertic"&amp;"al)'!C:C=E849,'Students (Vertical)'!O:O&lt;&gt;"""",'Students (Vertical)'!P:P&gt;1))},countifs({unique(filter('Students (Vertical)'!O:O,'Students (Vertical)'!C:C=B849,'Students (Vertical)'!O:O&lt;&gt;"""",'Students (Vertical)'!P:P&gt;1));unique(filter('Students (Vertical)'"&amp;"!O:O,'Students (Vertical)'!C:C=E849,'Students (Vertical)'!O:O&lt;&gt;"""",'Students (Vertical)'!P:P&gt;1))},{unique(filter('Students (Vertical)'!O:O,'Students (Vertical)'!C:C=B849,'Students (Vertical)'!O:O&lt;&gt;"""",'Students (Vertical)'!P:P&gt;1));unique(filter('Student"&amp;"s (Vertical)'!O:O,'Students (Vertical)'!C:C=E849,'Students (Vertical)'!O:O&lt;&gt;"""",'Students (Vertical)'!P:P&gt;1))})&gt;1))),""""),"""")"),"")</f>
        <v/>
      </c>
      <c r="K849" s="96" t="str">
        <f>IFERROR(__xludf.DUMMYFUNCTION("iferror(join("", "",unique(filter({filter('Students (Vertical)'!D:D,'Students (Vertical)'!C:C=B849,'Students (Vertical)'!D:D&lt;&gt;"""");filter('Students (Vertical)'!D:D,'Students (Vertical)'!C:C=E849,'Students (Vertical)'!D:D&lt;&gt;"""")},countifs({filter('Student"&amp;"s (Vertical)'!D:D,'Students (Vertical)'!C:C=B849,'Students (Vertical)'!D:D&lt;&gt;"""");filter('Students (Vertical)'!D:D,'Students (Vertical)'!C:C=E849,'Students (Vertical)'!D:D&lt;&gt;"""")},{filter('Students (Vertical)'!D:D,'Students (Vertical)'!C:C=B849,'Students "&amp;"(Vertical)'!D:D&lt;&gt;"""");filter('Students (Vertical)'!D:D,'Students (Vertical)'!C:C=E849,'Students (Vertical)'!D:D&lt;&gt;"""")})&gt;1))),"""")"),"")</f>
        <v/>
      </c>
      <c r="L849" s="96"/>
      <c r="M849" s="96"/>
    </row>
    <row r="850" hidden="1">
      <c r="A850" s="8" t="s">
        <v>8</v>
      </c>
      <c r="C850" s="8" t="s">
        <v>8</v>
      </c>
      <c r="D850" s="8" t="s">
        <v>8</v>
      </c>
      <c r="F850" s="8" t="s">
        <v>8</v>
      </c>
      <c r="G850" s="8" t="s">
        <v>8</v>
      </c>
      <c r="I850" s="94" t="str">
        <f>IFERROR(__xludf.DUMMYFUNCTION("if(H850=""Must be Together"",iferror(join("", "",unique(filter({filter('Students (Vertical)'!O:O,'Students (Vertical)'!C:C=B850,'Students (Vertical)'!O:O&lt;&gt;"""");filter('Students (Vertical)'!O:O,'Students (Vertical)'!C:C=E850,'Students (Vertical)'!O:O&lt;&gt;"""&amp;""")},countifs({filter('Students (Vertical)'!O:O,'Students (Vertical)'!C:C=B850,'Students (Vertical)'!O:O&lt;&gt;"""");filter('Students (Vertical)'!O:O,'Students (Vertical)'!C:C=E850,'Students (Vertical)'!O:O&lt;&gt;"""")},{filter('Students (Vertical)'!O:O,'Students ("&amp;"Vertical)'!C:C=B850,'Students (Vertical)'!O:O&lt;&gt;"""");filter('Students (Vertical)'!O:O,'Students (Vertical)'!C:C=E850,'Students (Vertical)'!O:O&lt;&gt;"""")})&gt;1))),""No shared courses""),"""")"),"")</f>
        <v/>
      </c>
      <c r="J850" s="94" t="str">
        <f>IFERROR(__xludf.DUMMYFUNCTION("if(H850=""Can't be Together"",iferror(join("", "",unique(filter({unique(filter('Students (Vertical)'!O:O,'Students (Vertical)'!C:C=B850,'Students (Vertical)'!O:O&lt;&gt;"""",'Students (Vertical)'!P:P&gt;1));unique(filter('Students (Vertical)'!O:O,'Students (Vertic"&amp;"al)'!C:C=E850,'Students (Vertical)'!O:O&lt;&gt;"""",'Students (Vertical)'!P:P&gt;1))},countifs({unique(filter('Students (Vertical)'!O:O,'Students (Vertical)'!C:C=B850,'Students (Vertical)'!O:O&lt;&gt;"""",'Students (Vertical)'!P:P&gt;1));unique(filter('Students (Vertical)'"&amp;"!O:O,'Students (Vertical)'!C:C=E850,'Students (Vertical)'!O:O&lt;&gt;"""",'Students (Vertical)'!P:P&gt;1))},{unique(filter('Students (Vertical)'!O:O,'Students (Vertical)'!C:C=B850,'Students (Vertical)'!O:O&lt;&gt;"""",'Students (Vertical)'!P:P&gt;1));unique(filter('Student"&amp;"s (Vertical)'!O:O,'Students (Vertical)'!C:C=E850,'Students (Vertical)'!O:O&lt;&gt;"""",'Students (Vertical)'!P:P&gt;1))})&gt;1))),""""),"""")"),"")</f>
        <v/>
      </c>
      <c r="K850" s="96" t="str">
        <f>IFERROR(__xludf.DUMMYFUNCTION("iferror(join("", "",unique(filter({filter('Students (Vertical)'!D:D,'Students (Vertical)'!C:C=B850,'Students (Vertical)'!D:D&lt;&gt;"""");filter('Students (Vertical)'!D:D,'Students (Vertical)'!C:C=E850,'Students (Vertical)'!D:D&lt;&gt;"""")},countifs({filter('Student"&amp;"s (Vertical)'!D:D,'Students (Vertical)'!C:C=B850,'Students (Vertical)'!D:D&lt;&gt;"""");filter('Students (Vertical)'!D:D,'Students (Vertical)'!C:C=E850,'Students (Vertical)'!D:D&lt;&gt;"""")},{filter('Students (Vertical)'!D:D,'Students (Vertical)'!C:C=B850,'Students "&amp;"(Vertical)'!D:D&lt;&gt;"""");filter('Students (Vertical)'!D:D,'Students (Vertical)'!C:C=E850,'Students (Vertical)'!D:D&lt;&gt;"""")})&gt;1))),"""")"),"")</f>
        <v/>
      </c>
      <c r="L850" s="96"/>
      <c r="M850" s="96"/>
    </row>
    <row r="851" hidden="1">
      <c r="A851" s="8" t="s">
        <v>8</v>
      </c>
      <c r="C851" s="8" t="s">
        <v>8</v>
      </c>
      <c r="D851" s="8" t="s">
        <v>8</v>
      </c>
      <c r="F851" s="8" t="s">
        <v>8</v>
      </c>
      <c r="G851" s="8" t="s">
        <v>8</v>
      </c>
      <c r="I851" s="94" t="str">
        <f>IFERROR(__xludf.DUMMYFUNCTION("if(H851=""Must be Together"",iferror(join("", "",unique(filter({filter('Students (Vertical)'!O:O,'Students (Vertical)'!C:C=B851,'Students (Vertical)'!O:O&lt;&gt;"""");filter('Students (Vertical)'!O:O,'Students (Vertical)'!C:C=E851,'Students (Vertical)'!O:O&lt;&gt;"""&amp;""")},countifs({filter('Students (Vertical)'!O:O,'Students (Vertical)'!C:C=B851,'Students (Vertical)'!O:O&lt;&gt;"""");filter('Students (Vertical)'!O:O,'Students (Vertical)'!C:C=E851,'Students (Vertical)'!O:O&lt;&gt;"""")},{filter('Students (Vertical)'!O:O,'Students ("&amp;"Vertical)'!C:C=B851,'Students (Vertical)'!O:O&lt;&gt;"""");filter('Students (Vertical)'!O:O,'Students (Vertical)'!C:C=E851,'Students (Vertical)'!O:O&lt;&gt;"""")})&gt;1))),""No shared courses""),"""")"),"")</f>
        <v/>
      </c>
      <c r="J851" s="94" t="str">
        <f>IFERROR(__xludf.DUMMYFUNCTION("if(H851=""Can't be Together"",iferror(join("", "",unique(filter({unique(filter('Students (Vertical)'!O:O,'Students (Vertical)'!C:C=B851,'Students (Vertical)'!O:O&lt;&gt;"""",'Students (Vertical)'!P:P&gt;1));unique(filter('Students (Vertical)'!O:O,'Students (Vertic"&amp;"al)'!C:C=E851,'Students (Vertical)'!O:O&lt;&gt;"""",'Students (Vertical)'!P:P&gt;1))},countifs({unique(filter('Students (Vertical)'!O:O,'Students (Vertical)'!C:C=B851,'Students (Vertical)'!O:O&lt;&gt;"""",'Students (Vertical)'!P:P&gt;1));unique(filter('Students (Vertical)'"&amp;"!O:O,'Students (Vertical)'!C:C=E851,'Students (Vertical)'!O:O&lt;&gt;"""",'Students (Vertical)'!P:P&gt;1))},{unique(filter('Students (Vertical)'!O:O,'Students (Vertical)'!C:C=B851,'Students (Vertical)'!O:O&lt;&gt;"""",'Students (Vertical)'!P:P&gt;1));unique(filter('Student"&amp;"s (Vertical)'!O:O,'Students (Vertical)'!C:C=E851,'Students (Vertical)'!O:O&lt;&gt;"""",'Students (Vertical)'!P:P&gt;1))})&gt;1))),""""),"""")"),"")</f>
        <v/>
      </c>
      <c r="K851" s="96" t="str">
        <f>IFERROR(__xludf.DUMMYFUNCTION("iferror(join("", "",unique(filter({filter('Students (Vertical)'!D:D,'Students (Vertical)'!C:C=B851,'Students (Vertical)'!D:D&lt;&gt;"""");filter('Students (Vertical)'!D:D,'Students (Vertical)'!C:C=E851,'Students (Vertical)'!D:D&lt;&gt;"""")},countifs({filter('Student"&amp;"s (Vertical)'!D:D,'Students (Vertical)'!C:C=B851,'Students (Vertical)'!D:D&lt;&gt;"""");filter('Students (Vertical)'!D:D,'Students (Vertical)'!C:C=E851,'Students (Vertical)'!D:D&lt;&gt;"""")},{filter('Students (Vertical)'!D:D,'Students (Vertical)'!C:C=B851,'Students "&amp;"(Vertical)'!D:D&lt;&gt;"""");filter('Students (Vertical)'!D:D,'Students (Vertical)'!C:C=E851,'Students (Vertical)'!D:D&lt;&gt;"""")})&gt;1))),"""")"),"")</f>
        <v/>
      </c>
      <c r="L851" s="96"/>
      <c r="M851" s="96"/>
    </row>
    <row r="852" hidden="1">
      <c r="A852" s="8" t="s">
        <v>8</v>
      </c>
      <c r="C852" s="8" t="s">
        <v>8</v>
      </c>
      <c r="D852" s="8" t="s">
        <v>8</v>
      </c>
      <c r="F852" s="8" t="s">
        <v>8</v>
      </c>
      <c r="G852" s="8" t="s">
        <v>8</v>
      </c>
      <c r="I852" s="94" t="str">
        <f>IFERROR(__xludf.DUMMYFUNCTION("if(H852=""Must be Together"",iferror(join("", "",unique(filter({filter('Students (Vertical)'!O:O,'Students (Vertical)'!C:C=B852,'Students (Vertical)'!O:O&lt;&gt;"""");filter('Students (Vertical)'!O:O,'Students (Vertical)'!C:C=E852,'Students (Vertical)'!O:O&lt;&gt;"""&amp;""")},countifs({filter('Students (Vertical)'!O:O,'Students (Vertical)'!C:C=B852,'Students (Vertical)'!O:O&lt;&gt;"""");filter('Students (Vertical)'!O:O,'Students (Vertical)'!C:C=E852,'Students (Vertical)'!O:O&lt;&gt;"""")},{filter('Students (Vertical)'!O:O,'Students ("&amp;"Vertical)'!C:C=B852,'Students (Vertical)'!O:O&lt;&gt;"""");filter('Students (Vertical)'!O:O,'Students (Vertical)'!C:C=E852,'Students (Vertical)'!O:O&lt;&gt;"""")})&gt;1))),""No shared courses""),"""")"),"")</f>
        <v/>
      </c>
      <c r="J852" s="94" t="str">
        <f>IFERROR(__xludf.DUMMYFUNCTION("if(H852=""Can't be Together"",iferror(join("", "",unique(filter({unique(filter('Students (Vertical)'!O:O,'Students (Vertical)'!C:C=B852,'Students (Vertical)'!O:O&lt;&gt;"""",'Students (Vertical)'!P:P&gt;1));unique(filter('Students (Vertical)'!O:O,'Students (Vertic"&amp;"al)'!C:C=E852,'Students (Vertical)'!O:O&lt;&gt;"""",'Students (Vertical)'!P:P&gt;1))},countifs({unique(filter('Students (Vertical)'!O:O,'Students (Vertical)'!C:C=B852,'Students (Vertical)'!O:O&lt;&gt;"""",'Students (Vertical)'!P:P&gt;1));unique(filter('Students (Vertical)'"&amp;"!O:O,'Students (Vertical)'!C:C=E852,'Students (Vertical)'!O:O&lt;&gt;"""",'Students (Vertical)'!P:P&gt;1))},{unique(filter('Students (Vertical)'!O:O,'Students (Vertical)'!C:C=B852,'Students (Vertical)'!O:O&lt;&gt;"""",'Students (Vertical)'!P:P&gt;1));unique(filter('Student"&amp;"s (Vertical)'!O:O,'Students (Vertical)'!C:C=E852,'Students (Vertical)'!O:O&lt;&gt;"""",'Students (Vertical)'!P:P&gt;1))})&gt;1))),""""),"""")"),"")</f>
        <v/>
      </c>
      <c r="K852" s="96" t="str">
        <f>IFERROR(__xludf.DUMMYFUNCTION("iferror(join("", "",unique(filter({filter('Students (Vertical)'!D:D,'Students (Vertical)'!C:C=B852,'Students (Vertical)'!D:D&lt;&gt;"""");filter('Students (Vertical)'!D:D,'Students (Vertical)'!C:C=E852,'Students (Vertical)'!D:D&lt;&gt;"""")},countifs({filter('Student"&amp;"s (Vertical)'!D:D,'Students (Vertical)'!C:C=B852,'Students (Vertical)'!D:D&lt;&gt;"""");filter('Students (Vertical)'!D:D,'Students (Vertical)'!C:C=E852,'Students (Vertical)'!D:D&lt;&gt;"""")},{filter('Students (Vertical)'!D:D,'Students (Vertical)'!C:C=B852,'Students "&amp;"(Vertical)'!D:D&lt;&gt;"""");filter('Students (Vertical)'!D:D,'Students (Vertical)'!C:C=E852,'Students (Vertical)'!D:D&lt;&gt;"""")})&gt;1))),"""")"),"")</f>
        <v/>
      </c>
      <c r="L852" s="96"/>
      <c r="M852" s="96"/>
    </row>
    <row r="853" hidden="1">
      <c r="A853" s="8" t="s">
        <v>8</v>
      </c>
      <c r="C853" s="8" t="s">
        <v>8</v>
      </c>
      <c r="D853" s="8" t="s">
        <v>8</v>
      </c>
      <c r="F853" s="8" t="s">
        <v>8</v>
      </c>
      <c r="G853" s="8" t="s">
        <v>8</v>
      </c>
      <c r="I853" s="94" t="str">
        <f>IFERROR(__xludf.DUMMYFUNCTION("if(H853=""Must be Together"",iferror(join("", "",unique(filter({filter('Students (Vertical)'!O:O,'Students (Vertical)'!C:C=B853,'Students (Vertical)'!O:O&lt;&gt;"""");filter('Students (Vertical)'!O:O,'Students (Vertical)'!C:C=E853,'Students (Vertical)'!O:O&lt;&gt;"""&amp;""")},countifs({filter('Students (Vertical)'!O:O,'Students (Vertical)'!C:C=B853,'Students (Vertical)'!O:O&lt;&gt;"""");filter('Students (Vertical)'!O:O,'Students (Vertical)'!C:C=E853,'Students (Vertical)'!O:O&lt;&gt;"""")},{filter('Students (Vertical)'!O:O,'Students ("&amp;"Vertical)'!C:C=B853,'Students (Vertical)'!O:O&lt;&gt;"""");filter('Students (Vertical)'!O:O,'Students (Vertical)'!C:C=E853,'Students (Vertical)'!O:O&lt;&gt;"""")})&gt;1))),""No shared courses""),"""")"),"")</f>
        <v/>
      </c>
      <c r="J853" s="94" t="str">
        <f>IFERROR(__xludf.DUMMYFUNCTION("if(H853=""Can't be Together"",iferror(join("", "",unique(filter({unique(filter('Students (Vertical)'!O:O,'Students (Vertical)'!C:C=B853,'Students (Vertical)'!O:O&lt;&gt;"""",'Students (Vertical)'!P:P&gt;1));unique(filter('Students (Vertical)'!O:O,'Students (Vertic"&amp;"al)'!C:C=E853,'Students (Vertical)'!O:O&lt;&gt;"""",'Students (Vertical)'!P:P&gt;1))},countifs({unique(filter('Students (Vertical)'!O:O,'Students (Vertical)'!C:C=B853,'Students (Vertical)'!O:O&lt;&gt;"""",'Students (Vertical)'!P:P&gt;1));unique(filter('Students (Vertical)'"&amp;"!O:O,'Students (Vertical)'!C:C=E853,'Students (Vertical)'!O:O&lt;&gt;"""",'Students (Vertical)'!P:P&gt;1))},{unique(filter('Students (Vertical)'!O:O,'Students (Vertical)'!C:C=B853,'Students (Vertical)'!O:O&lt;&gt;"""",'Students (Vertical)'!P:P&gt;1));unique(filter('Student"&amp;"s (Vertical)'!O:O,'Students (Vertical)'!C:C=E853,'Students (Vertical)'!O:O&lt;&gt;"""",'Students (Vertical)'!P:P&gt;1))})&gt;1))),""""),"""")"),"")</f>
        <v/>
      </c>
      <c r="K853" s="96" t="str">
        <f>IFERROR(__xludf.DUMMYFUNCTION("iferror(join("", "",unique(filter({filter('Students (Vertical)'!D:D,'Students (Vertical)'!C:C=B853,'Students (Vertical)'!D:D&lt;&gt;"""");filter('Students (Vertical)'!D:D,'Students (Vertical)'!C:C=E853,'Students (Vertical)'!D:D&lt;&gt;"""")},countifs({filter('Student"&amp;"s (Vertical)'!D:D,'Students (Vertical)'!C:C=B853,'Students (Vertical)'!D:D&lt;&gt;"""");filter('Students (Vertical)'!D:D,'Students (Vertical)'!C:C=E853,'Students (Vertical)'!D:D&lt;&gt;"""")},{filter('Students (Vertical)'!D:D,'Students (Vertical)'!C:C=B853,'Students "&amp;"(Vertical)'!D:D&lt;&gt;"""");filter('Students (Vertical)'!D:D,'Students (Vertical)'!C:C=E853,'Students (Vertical)'!D:D&lt;&gt;"""")})&gt;1))),"""")"),"")</f>
        <v/>
      </c>
      <c r="L853" s="96"/>
      <c r="M853" s="96"/>
    </row>
    <row r="854" hidden="1">
      <c r="A854" s="8" t="s">
        <v>8</v>
      </c>
      <c r="C854" s="8" t="s">
        <v>8</v>
      </c>
      <c r="D854" s="8" t="s">
        <v>8</v>
      </c>
      <c r="F854" s="8" t="s">
        <v>8</v>
      </c>
      <c r="G854" s="8" t="s">
        <v>8</v>
      </c>
      <c r="I854" s="94" t="str">
        <f>IFERROR(__xludf.DUMMYFUNCTION("if(H854=""Must be Together"",iferror(join("", "",unique(filter({filter('Students (Vertical)'!O:O,'Students (Vertical)'!C:C=B854,'Students (Vertical)'!O:O&lt;&gt;"""");filter('Students (Vertical)'!O:O,'Students (Vertical)'!C:C=E854,'Students (Vertical)'!O:O&lt;&gt;"""&amp;""")},countifs({filter('Students (Vertical)'!O:O,'Students (Vertical)'!C:C=B854,'Students (Vertical)'!O:O&lt;&gt;"""");filter('Students (Vertical)'!O:O,'Students (Vertical)'!C:C=E854,'Students (Vertical)'!O:O&lt;&gt;"""")},{filter('Students (Vertical)'!O:O,'Students ("&amp;"Vertical)'!C:C=B854,'Students (Vertical)'!O:O&lt;&gt;"""");filter('Students (Vertical)'!O:O,'Students (Vertical)'!C:C=E854,'Students (Vertical)'!O:O&lt;&gt;"""")})&gt;1))),""No shared courses""),"""")"),"")</f>
        <v/>
      </c>
      <c r="J854" s="94" t="str">
        <f>IFERROR(__xludf.DUMMYFUNCTION("if(H854=""Can't be Together"",iferror(join("", "",unique(filter({unique(filter('Students (Vertical)'!O:O,'Students (Vertical)'!C:C=B854,'Students (Vertical)'!O:O&lt;&gt;"""",'Students (Vertical)'!P:P&gt;1));unique(filter('Students (Vertical)'!O:O,'Students (Vertic"&amp;"al)'!C:C=E854,'Students (Vertical)'!O:O&lt;&gt;"""",'Students (Vertical)'!P:P&gt;1))},countifs({unique(filter('Students (Vertical)'!O:O,'Students (Vertical)'!C:C=B854,'Students (Vertical)'!O:O&lt;&gt;"""",'Students (Vertical)'!P:P&gt;1));unique(filter('Students (Vertical)'"&amp;"!O:O,'Students (Vertical)'!C:C=E854,'Students (Vertical)'!O:O&lt;&gt;"""",'Students (Vertical)'!P:P&gt;1))},{unique(filter('Students (Vertical)'!O:O,'Students (Vertical)'!C:C=B854,'Students (Vertical)'!O:O&lt;&gt;"""",'Students (Vertical)'!P:P&gt;1));unique(filter('Student"&amp;"s (Vertical)'!O:O,'Students (Vertical)'!C:C=E854,'Students (Vertical)'!O:O&lt;&gt;"""",'Students (Vertical)'!P:P&gt;1))})&gt;1))),""""),"""")"),"")</f>
        <v/>
      </c>
      <c r="K854" s="96" t="str">
        <f>IFERROR(__xludf.DUMMYFUNCTION("iferror(join("", "",unique(filter({filter('Students (Vertical)'!D:D,'Students (Vertical)'!C:C=B854,'Students (Vertical)'!D:D&lt;&gt;"""");filter('Students (Vertical)'!D:D,'Students (Vertical)'!C:C=E854,'Students (Vertical)'!D:D&lt;&gt;"""")},countifs({filter('Student"&amp;"s (Vertical)'!D:D,'Students (Vertical)'!C:C=B854,'Students (Vertical)'!D:D&lt;&gt;"""");filter('Students (Vertical)'!D:D,'Students (Vertical)'!C:C=E854,'Students (Vertical)'!D:D&lt;&gt;"""")},{filter('Students (Vertical)'!D:D,'Students (Vertical)'!C:C=B854,'Students "&amp;"(Vertical)'!D:D&lt;&gt;"""");filter('Students (Vertical)'!D:D,'Students (Vertical)'!C:C=E854,'Students (Vertical)'!D:D&lt;&gt;"""")})&gt;1))),"""")"),"")</f>
        <v/>
      </c>
      <c r="L854" s="96"/>
      <c r="M854" s="96"/>
    </row>
    <row r="855" hidden="1">
      <c r="A855" s="8" t="s">
        <v>8</v>
      </c>
      <c r="C855" s="8" t="s">
        <v>8</v>
      </c>
      <c r="D855" s="8" t="s">
        <v>8</v>
      </c>
      <c r="F855" s="8" t="s">
        <v>8</v>
      </c>
      <c r="G855" s="8" t="s">
        <v>8</v>
      </c>
      <c r="I855" s="94" t="str">
        <f>IFERROR(__xludf.DUMMYFUNCTION("if(H855=""Must be Together"",iferror(join("", "",unique(filter({filter('Students (Vertical)'!O:O,'Students (Vertical)'!C:C=B855,'Students (Vertical)'!O:O&lt;&gt;"""");filter('Students (Vertical)'!O:O,'Students (Vertical)'!C:C=E855,'Students (Vertical)'!O:O&lt;&gt;"""&amp;""")},countifs({filter('Students (Vertical)'!O:O,'Students (Vertical)'!C:C=B855,'Students (Vertical)'!O:O&lt;&gt;"""");filter('Students (Vertical)'!O:O,'Students (Vertical)'!C:C=E855,'Students (Vertical)'!O:O&lt;&gt;"""")},{filter('Students (Vertical)'!O:O,'Students ("&amp;"Vertical)'!C:C=B855,'Students (Vertical)'!O:O&lt;&gt;"""");filter('Students (Vertical)'!O:O,'Students (Vertical)'!C:C=E855,'Students (Vertical)'!O:O&lt;&gt;"""")})&gt;1))),""No shared courses""),"""")"),"")</f>
        <v/>
      </c>
      <c r="J855" s="94" t="str">
        <f>IFERROR(__xludf.DUMMYFUNCTION("if(H855=""Can't be Together"",iferror(join("", "",unique(filter({unique(filter('Students (Vertical)'!O:O,'Students (Vertical)'!C:C=B855,'Students (Vertical)'!O:O&lt;&gt;"""",'Students (Vertical)'!P:P&gt;1));unique(filter('Students (Vertical)'!O:O,'Students (Vertic"&amp;"al)'!C:C=E855,'Students (Vertical)'!O:O&lt;&gt;"""",'Students (Vertical)'!P:P&gt;1))},countifs({unique(filter('Students (Vertical)'!O:O,'Students (Vertical)'!C:C=B855,'Students (Vertical)'!O:O&lt;&gt;"""",'Students (Vertical)'!P:P&gt;1));unique(filter('Students (Vertical)'"&amp;"!O:O,'Students (Vertical)'!C:C=E855,'Students (Vertical)'!O:O&lt;&gt;"""",'Students (Vertical)'!P:P&gt;1))},{unique(filter('Students (Vertical)'!O:O,'Students (Vertical)'!C:C=B855,'Students (Vertical)'!O:O&lt;&gt;"""",'Students (Vertical)'!P:P&gt;1));unique(filter('Student"&amp;"s (Vertical)'!O:O,'Students (Vertical)'!C:C=E855,'Students (Vertical)'!O:O&lt;&gt;"""",'Students (Vertical)'!P:P&gt;1))})&gt;1))),""""),"""")"),"")</f>
        <v/>
      </c>
      <c r="K855" s="96" t="str">
        <f>IFERROR(__xludf.DUMMYFUNCTION("iferror(join("", "",unique(filter({filter('Students (Vertical)'!D:D,'Students (Vertical)'!C:C=B855,'Students (Vertical)'!D:D&lt;&gt;"""");filter('Students (Vertical)'!D:D,'Students (Vertical)'!C:C=E855,'Students (Vertical)'!D:D&lt;&gt;"""")},countifs({filter('Student"&amp;"s (Vertical)'!D:D,'Students (Vertical)'!C:C=B855,'Students (Vertical)'!D:D&lt;&gt;"""");filter('Students (Vertical)'!D:D,'Students (Vertical)'!C:C=E855,'Students (Vertical)'!D:D&lt;&gt;"""")},{filter('Students (Vertical)'!D:D,'Students (Vertical)'!C:C=B855,'Students "&amp;"(Vertical)'!D:D&lt;&gt;"""");filter('Students (Vertical)'!D:D,'Students (Vertical)'!C:C=E855,'Students (Vertical)'!D:D&lt;&gt;"""")})&gt;1))),"""")"),"")</f>
        <v/>
      </c>
      <c r="L855" s="96"/>
      <c r="M855" s="96"/>
    </row>
    <row r="856" hidden="1">
      <c r="A856" s="8" t="s">
        <v>8</v>
      </c>
      <c r="C856" s="8" t="s">
        <v>8</v>
      </c>
      <c r="D856" s="8" t="s">
        <v>8</v>
      </c>
      <c r="F856" s="8" t="s">
        <v>8</v>
      </c>
      <c r="G856" s="8" t="s">
        <v>8</v>
      </c>
      <c r="I856" s="94" t="str">
        <f>IFERROR(__xludf.DUMMYFUNCTION("if(H856=""Must be Together"",iferror(join("", "",unique(filter({filter('Students (Vertical)'!O:O,'Students (Vertical)'!C:C=B856,'Students (Vertical)'!O:O&lt;&gt;"""");filter('Students (Vertical)'!O:O,'Students (Vertical)'!C:C=E856,'Students (Vertical)'!O:O&lt;&gt;"""&amp;""")},countifs({filter('Students (Vertical)'!O:O,'Students (Vertical)'!C:C=B856,'Students (Vertical)'!O:O&lt;&gt;"""");filter('Students (Vertical)'!O:O,'Students (Vertical)'!C:C=E856,'Students (Vertical)'!O:O&lt;&gt;"""")},{filter('Students (Vertical)'!O:O,'Students ("&amp;"Vertical)'!C:C=B856,'Students (Vertical)'!O:O&lt;&gt;"""");filter('Students (Vertical)'!O:O,'Students (Vertical)'!C:C=E856,'Students (Vertical)'!O:O&lt;&gt;"""")})&gt;1))),""No shared courses""),"""")"),"")</f>
        <v/>
      </c>
      <c r="J856" s="94" t="str">
        <f>IFERROR(__xludf.DUMMYFUNCTION("if(H856=""Can't be Together"",iferror(join("", "",unique(filter({unique(filter('Students (Vertical)'!O:O,'Students (Vertical)'!C:C=B856,'Students (Vertical)'!O:O&lt;&gt;"""",'Students (Vertical)'!P:P&gt;1));unique(filter('Students (Vertical)'!O:O,'Students (Vertic"&amp;"al)'!C:C=E856,'Students (Vertical)'!O:O&lt;&gt;"""",'Students (Vertical)'!P:P&gt;1))},countifs({unique(filter('Students (Vertical)'!O:O,'Students (Vertical)'!C:C=B856,'Students (Vertical)'!O:O&lt;&gt;"""",'Students (Vertical)'!P:P&gt;1));unique(filter('Students (Vertical)'"&amp;"!O:O,'Students (Vertical)'!C:C=E856,'Students (Vertical)'!O:O&lt;&gt;"""",'Students (Vertical)'!P:P&gt;1))},{unique(filter('Students (Vertical)'!O:O,'Students (Vertical)'!C:C=B856,'Students (Vertical)'!O:O&lt;&gt;"""",'Students (Vertical)'!P:P&gt;1));unique(filter('Student"&amp;"s (Vertical)'!O:O,'Students (Vertical)'!C:C=E856,'Students (Vertical)'!O:O&lt;&gt;"""",'Students (Vertical)'!P:P&gt;1))})&gt;1))),""""),"""")"),"")</f>
        <v/>
      </c>
      <c r="K856" s="96" t="str">
        <f>IFERROR(__xludf.DUMMYFUNCTION("iferror(join("", "",unique(filter({filter('Students (Vertical)'!D:D,'Students (Vertical)'!C:C=B856,'Students (Vertical)'!D:D&lt;&gt;"""");filter('Students (Vertical)'!D:D,'Students (Vertical)'!C:C=E856,'Students (Vertical)'!D:D&lt;&gt;"""")},countifs({filter('Student"&amp;"s (Vertical)'!D:D,'Students (Vertical)'!C:C=B856,'Students (Vertical)'!D:D&lt;&gt;"""");filter('Students (Vertical)'!D:D,'Students (Vertical)'!C:C=E856,'Students (Vertical)'!D:D&lt;&gt;"""")},{filter('Students (Vertical)'!D:D,'Students (Vertical)'!C:C=B856,'Students "&amp;"(Vertical)'!D:D&lt;&gt;"""");filter('Students (Vertical)'!D:D,'Students (Vertical)'!C:C=E856,'Students (Vertical)'!D:D&lt;&gt;"""")})&gt;1))),"""")"),"")</f>
        <v/>
      </c>
      <c r="L856" s="96"/>
      <c r="M856" s="96"/>
    </row>
    <row r="857" hidden="1">
      <c r="A857" s="8" t="s">
        <v>8</v>
      </c>
      <c r="C857" s="8" t="s">
        <v>8</v>
      </c>
      <c r="D857" s="8" t="s">
        <v>8</v>
      </c>
      <c r="F857" s="8" t="s">
        <v>8</v>
      </c>
      <c r="G857" s="8" t="s">
        <v>8</v>
      </c>
      <c r="I857" s="94" t="str">
        <f>IFERROR(__xludf.DUMMYFUNCTION("if(H857=""Must be Together"",iferror(join("", "",unique(filter({filter('Students (Vertical)'!O:O,'Students (Vertical)'!C:C=B857,'Students (Vertical)'!O:O&lt;&gt;"""");filter('Students (Vertical)'!O:O,'Students (Vertical)'!C:C=E857,'Students (Vertical)'!O:O&lt;&gt;"""&amp;""")},countifs({filter('Students (Vertical)'!O:O,'Students (Vertical)'!C:C=B857,'Students (Vertical)'!O:O&lt;&gt;"""");filter('Students (Vertical)'!O:O,'Students (Vertical)'!C:C=E857,'Students (Vertical)'!O:O&lt;&gt;"""")},{filter('Students (Vertical)'!O:O,'Students ("&amp;"Vertical)'!C:C=B857,'Students (Vertical)'!O:O&lt;&gt;"""");filter('Students (Vertical)'!O:O,'Students (Vertical)'!C:C=E857,'Students (Vertical)'!O:O&lt;&gt;"""")})&gt;1))),""No shared courses""),"""")"),"")</f>
        <v/>
      </c>
      <c r="J857" s="94" t="str">
        <f>IFERROR(__xludf.DUMMYFUNCTION("if(H857=""Can't be Together"",iferror(join("", "",unique(filter({unique(filter('Students (Vertical)'!O:O,'Students (Vertical)'!C:C=B857,'Students (Vertical)'!O:O&lt;&gt;"""",'Students (Vertical)'!P:P&gt;1));unique(filter('Students (Vertical)'!O:O,'Students (Vertic"&amp;"al)'!C:C=E857,'Students (Vertical)'!O:O&lt;&gt;"""",'Students (Vertical)'!P:P&gt;1))},countifs({unique(filter('Students (Vertical)'!O:O,'Students (Vertical)'!C:C=B857,'Students (Vertical)'!O:O&lt;&gt;"""",'Students (Vertical)'!P:P&gt;1));unique(filter('Students (Vertical)'"&amp;"!O:O,'Students (Vertical)'!C:C=E857,'Students (Vertical)'!O:O&lt;&gt;"""",'Students (Vertical)'!P:P&gt;1))},{unique(filter('Students (Vertical)'!O:O,'Students (Vertical)'!C:C=B857,'Students (Vertical)'!O:O&lt;&gt;"""",'Students (Vertical)'!P:P&gt;1));unique(filter('Student"&amp;"s (Vertical)'!O:O,'Students (Vertical)'!C:C=E857,'Students (Vertical)'!O:O&lt;&gt;"""",'Students (Vertical)'!P:P&gt;1))})&gt;1))),""""),"""")"),"")</f>
        <v/>
      </c>
      <c r="K857" s="96" t="str">
        <f>IFERROR(__xludf.DUMMYFUNCTION("iferror(join("", "",unique(filter({filter('Students (Vertical)'!D:D,'Students (Vertical)'!C:C=B857,'Students (Vertical)'!D:D&lt;&gt;"""");filter('Students (Vertical)'!D:D,'Students (Vertical)'!C:C=E857,'Students (Vertical)'!D:D&lt;&gt;"""")},countifs({filter('Student"&amp;"s (Vertical)'!D:D,'Students (Vertical)'!C:C=B857,'Students (Vertical)'!D:D&lt;&gt;"""");filter('Students (Vertical)'!D:D,'Students (Vertical)'!C:C=E857,'Students (Vertical)'!D:D&lt;&gt;"""")},{filter('Students (Vertical)'!D:D,'Students (Vertical)'!C:C=B857,'Students "&amp;"(Vertical)'!D:D&lt;&gt;"""");filter('Students (Vertical)'!D:D,'Students (Vertical)'!C:C=E857,'Students (Vertical)'!D:D&lt;&gt;"""")})&gt;1))),"""")"),"")</f>
        <v/>
      </c>
      <c r="L857" s="96"/>
      <c r="M857" s="96"/>
    </row>
    <row r="858" hidden="1">
      <c r="A858" s="8" t="s">
        <v>8</v>
      </c>
      <c r="C858" s="8" t="s">
        <v>8</v>
      </c>
      <c r="D858" s="8" t="s">
        <v>8</v>
      </c>
      <c r="F858" s="8" t="s">
        <v>8</v>
      </c>
      <c r="G858" s="8" t="s">
        <v>8</v>
      </c>
      <c r="I858" s="94" t="str">
        <f>IFERROR(__xludf.DUMMYFUNCTION("if(H858=""Must be Together"",iferror(join("", "",unique(filter({filter('Students (Vertical)'!O:O,'Students (Vertical)'!C:C=B858,'Students (Vertical)'!O:O&lt;&gt;"""");filter('Students (Vertical)'!O:O,'Students (Vertical)'!C:C=E858,'Students (Vertical)'!O:O&lt;&gt;"""&amp;""")},countifs({filter('Students (Vertical)'!O:O,'Students (Vertical)'!C:C=B858,'Students (Vertical)'!O:O&lt;&gt;"""");filter('Students (Vertical)'!O:O,'Students (Vertical)'!C:C=E858,'Students (Vertical)'!O:O&lt;&gt;"""")},{filter('Students (Vertical)'!O:O,'Students ("&amp;"Vertical)'!C:C=B858,'Students (Vertical)'!O:O&lt;&gt;"""");filter('Students (Vertical)'!O:O,'Students (Vertical)'!C:C=E858,'Students (Vertical)'!O:O&lt;&gt;"""")})&gt;1))),""No shared courses""),"""")"),"")</f>
        <v/>
      </c>
      <c r="J858" s="94" t="str">
        <f>IFERROR(__xludf.DUMMYFUNCTION("if(H858=""Can't be Together"",iferror(join("", "",unique(filter({unique(filter('Students (Vertical)'!O:O,'Students (Vertical)'!C:C=B858,'Students (Vertical)'!O:O&lt;&gt;"""",'Students (Vertical)'!P:P&gt;1));unique(filter('Students (Vertical)'!O:O,'Students (Vertic"&amp;"al)'!C:C=E858,'Students (Vertical)'!O:O&lt;&gt;"""",'Students (Vertical)'!P:P&gt;1))},countifs({unique(filter('Students (Vertical)'!O:O,'Students (Vertical)'!C:C=B858,'Students (Vertical)'!O:O&lt;&gt;"""",'Students (Vertical)'!P:P&gt;1));unique(filter('Students (Vertical)'"&amp;"!O:O,'Students (Vertical)'!C:C=E858,'Students (Vertical)'!O:O&lt;&gt;"""",'Students (Vertical)'!P:P&gt;1))},{unique(filter('Students (Vertical)'!O:O,'Students (Vertical)'!C:C=B858,'Students (Vertical)'!O:O&lt;&gt;"""",'Students (Vertical)'!P:P&gt;1));unique(filter('Student"&amp;"s (Vertical)'!O:O,'Students (Vertical)'!C:C=E858,'Students (Vertical)'!O:O&lt;&gt;"""",'Students (Vertical)'!P:P&gt;1))})&gt;1))),""""),"""")"),"")</f>
        <v/>
      </c>
      <c r="K858" s="96" t="str">
        <f>IFERROR(__xludf.DUMMYFUNCTION("iferror(join("", "",unique(filter({filter('Students (Vertical)'!D:D,'Students (Vertical)'!C:C=B858,'Students (Vertical)'!D:D&lt;&gt;"""");filter('Students (Vertical)'!D:D,'Students (Vertical)'!C:C=E858,'Students (Vertical)'!D:D&lt;&gt;"""")},countifs({filter('Student"&amp;"s (Vertical)'!D:D,'Students (Vertical)'!C:C=B858,'Students (Vertical)'!D:D&lt;&gt;"""");filter('Students (Vertical)'!D:D,'Students (Vertical)'!C:C=E858,'Students (Vertical)'!D:D&lt;&gt;"""")},{filter('Students (Vertical)'!D:D,'Students (Vertical)'!C:C=B858,'Students "&amp;"(Vertical)'!D:D&lt;&gt;"""");filter('Students (Vertical)'!D:D,'Students (Vertical)'!C:C=E858,'Students (Vertical)'!D:D&lt;&gt;"""")})&gt;1))),"""")"),"")</f>
        <v/>
      </c>
      <c r="L858" s="96"/>
      <c r="M858" s="96"/>
    </row>
    <row r="859" hidden="1">
      <c r="A859" s="8" t="s">
        <v>8</v>
      </c>
      <c r="C859" s="8" t="s">
        <v>8</v>
      </c>
      <c r="D859" s="8" t="s">
        <v>8</v>
      </c>
      <c r="F859" s="8" t="s">
        <v>8</v>
      </c>
      <c r="G859" s="8" t="s">
        <v>8</v>
      </c>
      <c r="I859" s="94" t="str">
        <f>IFERROR(__xludf.DUMMYFUNCTION("if(H859=""Must be Together"",iferror(join("", "",unique(filter({filter('Students (Vertical)'!O:O,'Students (Vertical)'!C:C=B859,'Students (Vertical)'!O:O&lt;&gt;"""");filter('Students (Vertical)'!O:O,'Students (Vertical)'!C:C=E859,'Students (Vertical)'!O:O&lt;&gt;"""&amp;""")},countifs({filter('Students (Vertical)'!O:O,'Students (Vertical)'!C:C=B859,'Students (Vertical)'!O:O&lt;&gt;"""");filter('Students (Vertical)'!O:O,'Students (Vertical)'!C:C=E859,'Students (Vertical)'!O:O&lt;&gt;"""")},{filter('Students (Vertical)'!O:O,'Students ("&amp;"Vertical)'!C:C=B859,'Students (Vertical)'!O:O&lt;&gt;"""");filter('Students (Vertical)'!O:O,'Students (Vertical)'!C:C=E859,'Students (Vertical)'!O:O&lt;&gt;"""")})&gt;1))),""No shared courses""),"""")"),"")</f>
        <v/>
      </c>
      <c r="J859" s="94" t="str">
        <f>IFERROR(__xludf.DUMMYFUNCTION("if(H859=""Can't be Together"",iferror(join("", "",unique(filter({unique(filter('Students (Vertical)'!O:O,'Students (Vertical)'!C:C=B859,'Students (Vertical)'!O:O&lt;&gt;"""",'Students (Vertical)'!P:P&gt;1));unique(filter('Students (Vertical)'!O:O,'Students (Vertic"&amp;"al)'!C:C=E859,'Students (Vertical)'!O:O&lt;&gt;"""",'Students (Vertical)'!P:P&gt;1))},countifs({unique(filter('Students (Vertical)'!O:O,'Students (Vertical)'!C:C=B859,'Students (Vertical)'!O:O&lt;&gt;"""",'Students (Vertical)'!P:P&gt;1));unique(filter('Students (Vertical)'"&amp;"!O:O,'Students (Vertical)'!C:C=E859,'Students (Vertical)'!O:O&lt;&gt;"""",'Students (Vertical)'!P:P&gt;1))},{unique(filter('Students (Vertical)'!O:O,'Students (Vertical)'!C:C=B859,'Students (Vertical)'!O:O&lt;&gt;"""",'Students (Vertical)'!P:P&gt;1));unique(filter('Student"&amp;"s (Vertical)'!O:O,'Students (Vertical)'!C:C=E859,'Students (Vertical)'!O:O&lt;&gt;"""",'Students (Vertical)'!P:P&gt;1))})&gt;1))),""""),"""")"),"")</f>
        <v/>
      </c>
      <c r="K859" s="96" t="str">
        <f>IFERROR(__xludf.DUMMYFUNCTION("iferror(join("", "",unique(filter({filter('Students (Vertical)'!D:D,'Students (Vertical)'!C:C=B859,'Students (Vertical)'!D:D&lt;&gt;"""");filter('Students (Vertical)'!D:D,'Students (Vertical)'!C:C=E859,'Students (Vertical)'!D:D&lt;&gt;"""")},countifs({filter('Student"&amp;"s (Vertical)'!D:D,'Students (Vertical)'!C:C=B859,'Students (Vertical)'!D:D&lt;&gt;"""");filter('Students (Vertical)'!D:D,'Students (Vertical)'!C:C=E859,'Students (Vertical)'!D:D&lt;&gt;"""")},{filter('Students (Vertical)'!D:D,'Students (Vertical)'!C:C=B859,'Students "&amp;"(Vertical)'!D:D&lt;&gt;"""");filter('Students (Vertical)'!D:D,'Students (Vertical)'!C:C=E859,'Students (Vertical)'!D:D&lt;&gt;"""")})&gt;1))),"""")"),"")</f>
        <v/>
      </c>
      <c r="L859" s="96"/>
      <c r="M859" s="96"/>
    </row>
    <row r="860" hidden="1">
      <c r="A860" s="8" t="s">
        <v>8</v>
      </c>
      <c r="C860" s="8" t="s">
        <v>8</v>
      </c>
      <c r="D860" s="8" t="s">
        <v>8</v>
      </c>
      <c r="F860" s="8" t="s">
        <v>8</v>
      </c>
      <c r="G860" s="8" t="s">
        <v>8</v>
      </c>
      <c r="I860" s="94" t="str">
        <f>IFERROR(__xludf.DUMMYFUNCTION("if(H860=""Must be Together"",iferror(join("", "",unique(filter({filter('Students (Vertical)'!O:O,'Students (Vertical)'!C:C=B860,'Students (Vertical)'!O:O&lt;&gt;"""");filter('Students (Vertical)'!O:O,'Students (Vertical)'!C:C=E860,'Students (Vertical)'!O:O&lt;&gt;"""&amp;""")},countifs({filter('Students (Vertical)'!O:O,'Students (Vertical)'!C:C=B860,'Students (Vertical)'!O:O&lt;&gt;"""");filter('Students (Vertical)'!O:O,'Students (Vertical)'!C:C=E860,'Students (Vertical)'!O:O&lt;&gt;"""")},{filter('Students (Vertical)'!O:O,'Students ("&amp;"Vertical)'!C:C=B860,'Students (Vertical)'!O:O&lt;&gt;"""");filter('Students (Vertical)'!O:O,'Students (Vertical)'!C:C=E860,'Students (Vertical)'!O:O&lt;&gt;"""")})&gt;1))),""No shared courses""),"""")"),"")</f>
        <v/>
      </c>
      <c r="J860" s="94" t="str">
        <f>IFERROR(__xludf.DUMMYFUNCTION("if(H860=""Can't be Together"",iferror(join("", "",unique(filter({unique(filter('Students (Vertical)'!O:O,'Students (Vertical)'!C:C=B860,'Students (Vertical)'!O:O&lt;&gt;"""",'Students (Vertical)'!P:P&gt;1));unique(filter('Students (Vertical)'!O:O,'Students (Vertic"&amp;"al)'!C:C=E860,'Students (Vertical)'!O:O&lt;&gt;"""",'Students (Vertical)'!P:P&gt;1))},countifs({unique(filter('Students (Vertical)'!O:O,'Students (Vertical)'!C:C=B860,'Students (Vertical)'!O:O&lt;&gt;"""",'Students (Vertical)'!P:P&gt;1));unique(filter('Students (Vertical)'"&amp;"!O:O,'Students (Vertical)'!C:C=E860,'Students (Vertical)'!O:O&lt;&gt;"""",'Students (Vertical)'!P:P&gt;1))},{unique(filter('Students (Vertical)'!O:O,'Students (Vertical)'!C:C=B860,'Students (Vertical)'!O:O&lt;&gt;"""",'Students (Vertical)'!P:P&gt;1));unique(filter('Student"&amp;"s (Vertical)'!O:O,'Students (Vertical)'!C:C=E860,'Students (Vertical)'!O:O&lt;&gt;"""",'Students (Vertical)'!P:P&gt;1))})&gt;1))),""""),"""")"),"")</f>
        <v/>
      </c>
      <c r="K860" s="96" t="str">
        <f>IFERROR(__xludf.DUMMYFUNCTION("iferror(join("", "",unique(filter({filter('Students (Vertical)'!D:D,'Students (Vertical)'!C:C=B860,'Students (Vertical)'!D:D&lt;&gt;"""");filter('Students (Vertical)'!D:D,'Students (Vertical)'!C:C=E860,'Students (Vertical)'!D:D&lt;&gt;"""")},countifs({filter('Student"&amp;"s (Vertical)'!D:D,'Students (Vertical)'!C:C=B860,'Students (Vertical)'!D:D&lt;&gt;"""");filter('Students (Vertical)'!D:D,'Students (Vertical)'!C:C=E860,'Students (Vertical)'!D:D&lt;&gt;"""")},{filter('Students (Vertical)'!D:D,'Students (Vertical)'!C:C=B860,'Students "&amp;"(Vertical)'!D:D&lt;&gt;"""");filter('Students (Vertical)'!D:D,'Students (Vertical)'!C:C=E860,'Students (Vertical)'!D:D&lt;&gt;"""")})&gt;1))),"""")"),"")</f>
        <v/>
      </c>
      <c r="L860" s="96"/>
      <c r="M860" s="96"/>
    </row>
    <row r="861" hidden="1">
      <c r="A861" s="8" t="s">
        <v>8</v>
      </c>
      <c r="C861" s="8" t="s">
        <v>8</v>
      </c>
      <c r="D861" s="8" t="s">
        <v>8</v>
      </c>
      <c r="F861" s="8" t="s">
        <v>8</v>
      </c>
      <c r="G861" s="8" t="s">
        <v>8</v>
      </c>
      <c r="I861" s="94" t="str">
        <f>IFERROR(__xludf.DUMMYFUNCTION("if(H861=""Must be Together"",iferror(join("", "",unique(filter({filter('Students (Vertical)'!O:O,'Students (Vertical)'!C:C=B861,'Students (Vertical)'!O:O&lt;&gt;"""");filter('Students (Vertical)'!O:O,'Students (Vertical)'!C:C=E861,'Students (Vertical)'!O:O&lt;&gt;"""&amp;""")},countifs({filter('Students (Vertical)'!O:O,'Students (Vertical)'!C:C=B861,'Students (Vertical)'!O:O&lt;&gt;"""");filter('Students (Vertical)'!O:O,'Students (Vertical)'!C:C=E861,'Students (Vertical)'!O:O&lt;&gt;"""")},{filter('Students (Vertical)'!O:O,'Students ("&amp;"Vertical)'!C:C=B861,'Students (Vertical)'!O:O&lt;&gt;"""");filter('Students (Vertical)'!O:O,'Students (Vertical)'!C:C=E861,'Students (Vertical)'!O:O&lt;&gt;"""")})&gt;1))),""No shared courses""),"""")"),"")</f>
        <v/>
      </c>
      <c r="J861" s="94" t="str">
        <f>IFERROR(__xludf.DUMMYFUNCTION("if(H861=""Can't be Together"",iferror(join("", "",unique(filter({unique(filter('Students (Vertical)'!O:O,'Students (Vertical)'!C:C=B861,'Students (Vertical)'!O:O&lt;&gt;"""",'Students (Vertical)'!P:P&gt;1));unique(filter('Students (Vertical)'!O:O,'Students (Vertic"&amp;"al)'!C:C=E861,'Students (Vertical)'!O:O&lt;&gt;"""",'Students (Vertical)'!P:P&gt;1))},countifs({unique(filter('Students (Vertical)'!O:O,'Students (Vertical)'!C:C=B861,'Students (Vertical)'!O:O&lt;&gt;"""",'Students (Vertical)'!P:P&gt;1));unique(filter('Students (Vertical)'"&amp;"!O:O,'Students (Vertical)'!C:C=E861,'Students (Vertical)'!O:O&lt;&gt;"""",'Students (Vertical)'!P:P&gt;1))},{unique(filter('Students (Vertical)'!O:O,'Students (Vertical)'!C:C=B861,'Students (Vertical)'!O:O&lt;&gt;"""",'Students (Vertical)'!P:P&gt;1));unique(filter('Student"&amp;"s (Vertical)'!O:O,'Students (Vertical)'!C:C=E861,'Students (Vertical)'!O:O&lt;&gt;"""",'Students (Vertical)'!P:P&gt;1))})&gt;1))),""""),"""")"),"")</f>
        <v/>
      </c>
      <c r="K861" s="96" t="str">
        <f>IFERROR(__xludf.DUMMYFUNCTION("iferror(join("", "",unique(filter({filter('Students (Vertical)'!D:D,'Students (Vertical)'!C:C=B861,'Students (Vertical)'!D:D&lt;&gt;"""");filter('Students (Vertical)'!D:D,'Students (Vertical)'!C:C=E861,'Students (Vertical)'!D:D&lt;&gt;"""")},countifs({filter('Student"&amp;"s (Vertical)'!D:D,'Students (Vertical)'!C:C=B861,'Students (Vertical)'!D:D&lt;&gt;"""");filter('Students (Vertical)'!D:D,'Students (Vertical)'!C:C=E861,'Students (Vertical)'!D:D&lt;&gt;"""")},{filter('Students (Vertical)'!D:D,'Students (Vertical)'!C:C=B861,'Students "&amp;"(Vertical)'!D:D&lt;&gt;"""");filter('Students (Vertical)'!D:D,'Students (Vertical)'!C:C=E861,'Students (Vertical)'!D:D&lt;&gt;"""")})&gt;1))),"""")"),"")</f>
        <v/>
      </c>
      <c r="L861" s="96"/>
      <c r="M861" s="96"/>
    </row>
    <row r="862" hidden="1">
      <c r="A862" s="8" t="s">
        <v>8</v>
      </c>
      <c r="C862" s="8" t="s">
        <v>8</v>
      </c>
      <c r="D862" s="8" t="s">
        <v>8</v>
      </c>
      <c r="F862" s="8" t="s">
        <v>8</v>
      </c>
      <c r="G862" s="8" t="s">
        <v>8</v>
      </c>
      <c r="I862" s="94" t="str">
        <f>IFERROR(__xludf.DUMMYFUNCTION("if(H862=""Must be Together"",iferror(join("", "",unique(filter({filter('Students (Vertical)'!O:O,'Students (Vertical)'!C:C=B862,'Students (Vertical)'!O:O&lt;&gt;"""");filter('Students (Vertical)'!O:O,'Students (Vertical)'!C:C=E862,'Students (Vertical)'!O:O&lt;&gt;"""&amp;""")},countifs({filter('Students (Vertical)'!O:O,'Students (Vertical)'!C:C=B862,'Students (Vertical)'!O:O&lt;&gt;"""");filter('Students (Vertical)'!O:O,'Students (Vertical)'!C:C=E862,'Students (Vertical)'!O:O&lt;&gt;"""")},{filter('Students (Vertical)'!O:O,'Students ("&amp;"Vertical)'!C:C=B862,'Students (Vertical)'!O:O&lt;&gt;"""");filter('Students (Vertical)'!O:O,'Students (Vertical)'!C:C=E862,'Students (Vertical)'!O:O&lt;&gt;"""")})&gt;1))),""No shared courses""),"""")"),"")</f>
        <v/>
      </c>
      <c r="J862" s="94" t="str">
        <f>IFERROR(__xludf.DUMMYFUNCTION("if(H862=""Can't be Together"",iferror(join("", "",unique(filter({unique(filter('Students (Vertical)'!O:O,'Students (Vertical)'!C:C=B862,'Students (Vertical)'!O:O&lt;&gt;"""",'Students (Vertical)'!P:P&gt;1));unique(filter('Students (Vertical)'!O:O,'Students (Vertic"&amp;"al)'!C:C=E862,'Students (Vertical)'!O:O&lt;&gt;"""",'Students (Vertical)'!P:P&gt;1))},countifs({unique(filter('Students (Vertical)'!O:O,'Students (Vertical)'!C:C=B862,'Students (Vertical)'!O:O&lt;&gt;"""",'Students (Vertical)'!P:P&gt;1));unique(filter('Students (Vertical)'"&amp;"!O:O,'Students (Vertical)'!C:C=E862,'Students (Vertical)'!O:O&lt;&gt;"""",'Students (Vertical)'!P:P&gt;1))},{unique(filter('Students (Vertical)'!O:O,'Students (Vertical)'!C:C=B862,'Students (Vertical)'!O:O&lt;&gt;"""",'Students (Vertical)'!P:P&gt;1));unique(filter('Student"&amp;"s (Vertical)'!O:O,'Students (Vertical)'!C:C=E862,'Students (Vertical)'!O:O&lt;&gt;"""",'Students (Vertical)'!P:P&gt;1))})&gt;1))),""""),"""")"),"")</f>
        <v/>
      </c>
      <c r="K862" s="96" t="str">
        <f>IFERROR(__xludf.DUMMYFUNCTION("iferror(join("", "",unique(filter({filter('Students (Vertical)'!D:D,'Students (Vertical)'!C:C=B862,'Students (Vertical)'!D:D&lt;&gt;"""");filter('Students (Vertical)'!D:D,'Students (Vertical)'!C:C=E862,'Students (Vertical)'!D:D&lt;&gt;"""")},countifs({filter('Student"&amp;"s (Vertical)'!D:D,'Students (Vertical)'!C:C=B862,'Students (Vertical)'!D:D&lt;&gt;"""");filter('Students (Vertical)'!D:D,'Students (Vertical)'!C:C=E862,'Students (Vertical)'!D:D&lt;&gt;"""")},{filter('Students (Vertical)'!D:D,'Students (Vertical)'!C:C=B862,'Students "&amp;"(Vertical)'!D:D&lt;&gt;"""");filter('Students (Vertical)'!D:D,'Students (Vertical)'!C:C=E862,'Students (Vertical)'!D:D&lt;&gt;"""")})&gt;1))),"""")"),"")</f>
        <v/>
      </c>
      <c r="L862" s="96"/>
      <c r="M862" s="96"/>
    </row>
    <row r="863" hidden="1">
      <c r="A863" s="8" t="s">
        <v>8</v>
      </c>
      <c r="C863" s="8" t="s">
        <v>8</v>
      </c>
      <c r="D863" s="8" t="s">
        <v>8</v>
      </c>
      <c r="F863" s="8" t="s">
        <v>8</v>
      </c>
      <c r="G863" s="8" t="s">
        <v>8</v>
      </c>
      <c r="I863" s="94" t="str">
        <f>IFERROR(__xludf.DUMMYFUNCTION("if(H863=""Must be Together"",iferror(join("", "",unique(filter({filter('Students (Vertical)'!O:O,'Students (Vertical)'!C:C=B863,'Students (Vertical)'!O:O&lt;&gt;"""");filter('Students (Vertical)'!O:O,'Students (Vertical)'!C:C=E863,'Students (Vertical)'!O:O&lt;&gt;"""&amp;""")},countifs({filter('Students (Vertical)'!O:O,'Students (Vertical)'!C:C=B863,'Students (Vertical)'!O:O&lt;&gt;"""");filter('Students (Vertical)'!O:O,'Students (Vertical)'!C:C=E863,'Students (Vertical)'!O:O&lt;&gt;"""")},{filter('Students (Vertical)'!O:O,'Students ("&amp;"Vertical)'!C:C=B863,'Students (Vertical)'!O:O&lt;&gt;"""");filter('Students (Vertical)'!O:O,'Students (Vertical)'!C:C=E863,'Students (Vertical)'!O:O&lt;&gt;"""")})&gt;1))),""No shared courses""),"""")"),"")</f>
        <v/>
      </c>
      <c r="J863" s="94" t="str">
        <f>IFERROR(__xludf.DUMMYFUNCTION("if(H863=""Can't be Together"",iferror(join("", "",unique(filter({unique(filter('Students (Vertical)'!O:O,'Students (Vertical)'!C:C=B863,'Students (Vertical)'!O:O&lt;&gt;"""",'Students (Vertical)'!P:P&gt;1));unique(filter('Students (Vertical)'!O:O,'Students (Vertic"&amp;"al)'!C:C=E863,'Students (Vertical)'!O:O&lt;&gt;"""",'Students (Vertical)'!P:P&gt;1))},countifs({unique(filter('Students (Vertical)'!O:O,'Students (Vertical)'!C:C=B863,'Students (Vertical)'!O:O&lt;&gt;"""",'Students (Vertical)'!P:P&gt;1));unique(filter('Students (Vertical)'"&amp;"!O:O,'Students (Vertical)'!C:C=E863,'Students (Vertical)'!O:O&lt;&gt;"""",'Students (Vertical)'!P:P&gt;1))},{unique(filter('Students (Vertical)'!O:O,'Students (Vertical)'!C:C=B863,'Students (Vertical)'!O:O&lt;&gt;"""",'Students (Vertical)'!P:P&gt;1));unique(filter('Student"&amp;"s (Vertical)'!O:O,'Students (Vertical)'!C:C=E863,'Students (Vertical)'!O:O&lt;&gt;"""",'Students (Vertical)'!P:P&gt;1))})&gt;1))),""""),"""")"),"")</f>
        <v/>
      </c>
      <c r="K863" s="96" t="str">
        <f>IFERROR(__xludf.DUMMYFUNCTION("iferror(join("", "",unique(filter({filter('Students (Vertical)'!D:D,'Students (Vertical)'!C:C=B863,'Students (Vertical)'!D:D&lt;&gt;"""");filter('Students (Vertical)'!D:D,'Students (Vertical)'!C:C=E863,'Students (Vertical)'!D:D&lt;&gt;"""")},countifs({filter('Student"&amp;"s (Vertical)'!D:D,'Students (Vertical)'!C:C=B863,'Students (Vertical)'!D:D&lt;&gt;"""");filter('Students (Vertical)'!D:D,'Students (Vertical)'!C:C=E863,'Students (Vertical)'!D:D&lt;&gt;"""")},{filter('Students (Vertical)'!D:D,'Students (Vertical)'!C:C=B863,'Students "&amp;"(Vertical)'!D:D&lt;&gt;"""");filter('Students (Vertical)'!D:D,'Students (Vertical)'!C:C=E863,'Students (Vertical)'!D:D&lt;&gt;"""")})&gt;1))),"""")"),"")</f>
        <v/>
      </c>
      <c r="L863" s="96"/>
      <c r="M863" s="96"/>
    </row>
    <row r="864" hidden="1">
      <c r="A864" s="8" t="s">
        <v>8</v>
      </c>
      <c r="C864" s="8" t="s">
        <v>8</v>
      </c>
      <c r="D864" s="8" t="s">
        <v>8</v>
      </c>
      <c r="F864" s="8" t="s">
        <v>8</v>
      </c>
      <c r="G864" s="8" t="s">
        <v>8</v>
      </c>
      <c r="I864" s="94" t="str">
        <f>IFERROR(__xludf.DUMMYFUNCTION("if(H864=""Must be Together"",iferror(join("", "",unique(filter({filter('Students (Vertical)'!O:O,'Students (Vertical)'!C:C=B864,'Students (Vertical)'!O:O&lt;&gt;"""");filter('Students (Vertical)'!O:O,'Students (Vertical)'!C:C=E864,'Students (Vertical)'!O:O&lt;&gt;"""&amp;""")},countifs({filter('Students (Vertical)'!O:O,'Students (Vertical)'!C:C=B864,'Students (Vertical)'!O:O&lt;&gt;"""");filter('Students (Vertical)'!O:O,'Students (Vertical)'!C:C=E864,'Students (Vertical)'!O:O&lt;&gt;"""")},{filter('Students (Vertical)'!O:O,'Students ("&amp;"Vertical)'!C:C=B864,'Students (Vertical)'!O:O&lt;&gt;"""");filter('Students (Vertical)'!O:O,'Students (Vertical)'!C:C=E864,'Students (Vertical)'!O:O&lt;&gt;"""")})&gt;1))),""No shared courses""),"""")"),"")</f>
        <v/>
      </c>
      <c r="J864" s="94" t="str">
        <f>IFERROR(__xludf.DUMMYFUNCTION("if(H864=""Can't be Together"",iferror(join("", "",unique(filter({unique(filter('Students (Vertical)'!O:O,'Students (Vertical)'!C:C=B864,'Students (Vertical)'!O:O&lt;&gt;"""",'Students (Vertical)'!P:P&gt;1));unique(filter('Students (Vertical)'!O:O,'Students (Vertic"&amp;"al)'!C:C=E864,'Students (Vertical)'!O:O&lt;&gt;"""",'Students (Vertical)'!P:P&gt;1))},countifs({unique(filter('Students (Vertical)'!O:O,'Students (Vertical)'!C:C=B864,'Students (Vertical)'!O:O&lt;&gt;"""",'Students (Vertical)'!P:P&gt;1));unique(filter('Students (Vertical)'"&amp;"!O:O,'Students (Vertical)'!C:C=E864,'Students (Vertical)'!O:O&lt;&gt;"""",'Students (Vertical)'!P:P&gt;1))},{unique(filter('Students (Vertical)'!O:O,'Students (Vertical)'!C:C=B864,'Students (Vertical)'!O:O&lt;&gt;"""",'Students (Vertical)'!P:P&gt;1));unique(filter('Student"&amp;"s (Vertical)'!O:O,'Students (Vertical)'!C:C=E864,'Students (Vertical)'!O:O&lt;&gt;"""",'Students (Vertical)'!P:P&gt;1))})&gt;1))),""""),"""")"),"")</f>
        <v/>
      </c>
      <c r="K864" s="96" t="str">
        <f>IFERROR(__xludf.DUMMYFUNCTION("iferror(join("", "",unique(filter({filter('Students (Vertical)'!D:D,'Students (Vertical)'!C:C=B864,'Students (Vertical)'!D:D&lt;&gt;"""");filter('Students (Vertical)'!D:D,'Students (Vertical)'!C:C=E864,'Students (Vertical)'!D:D&lt;&gt;"""")},countifs({filter('Student"&amp;"s (Vertical)'!D:D,'Students (Vertical)'!C:C=B864,'Students (Vertical)'!D:D&lt;&gt;"""");filter('Students (Vertical)'!D:D,'Students (Vertical)'!C:C=E864,'Students (Vertical)'!D:D&lt;&gt;"""")},{filter('Students (Vertical)'!D:D,'Students (Vertical)'!C:C=B864,'Students "&amp;"(Vertical)'!D:D&lt;&gt;"""");filter('Students (Vertical)'!D:D,'Students (Vertical)'!C:C=E864,'Students (Vertical)'!D:D&lt;&gt;"""")})&gt;1))),"""")"),"")</f>
        <v/>
      </c>
      <c r="L864" s="96"/>
      <c r="M864" s="96"/>
    </row>
    <row r="865" hidden="1">
      <c r="A865" s="8" t="s">
        <v>8</v>
      </c>
      <c r="C865" s="8" t="s">
        <v>8</v>
      </c>
      <c r="D865" s="8" t="s">
        <v>8</v>
      </c>
      <c r="F865" s="8" t="s">
        <v>8</v>
      </c>
      <c r="G865" s="8" t="s">
        <v>8</v>
      </c>
      <c r="I865" s="94" t="str">
        <f>IFERROR(__xludf.DUMMYFUNCTION("if(H865=""Must be Together"",iferror(join("", "",unique(filter({filter('Students (Vertical)'!O:O,'Students (Vertical)'!C:C=B865,'Students (Vertical)'!O:O&lt;&gt;"""");filter('Students (Vertical)'!O:O,'Students (Vertical)'!C:C=E865,'Students (Vertical)'!O:O&lt;&gt;"""&amp;""")},countifs({filter('Students (Vertical)'!O:O,'Students (Vertical)'!C:C=B865,'Students (Vertical)'!O:O&lt;&gt;"""");filter('Students (Vertical)'!O:O,'Students (Vertical)'!C:C=E865,'Students (Vertical)'!O:O&lt;&gt;"""")},{filter('Students (Vertical)'!O:O,'Students ("&amp;"Vertical)'!C:C=B865,'Students (Vertical)'!O:O&lt;&gt;"""");filter('Students (Vertical)'!O:O,'Students (Vertical)'!C:C=E865,'Students (Vertical)'!O:O&lt;&gt;"""")})&gt;1))),""No shared courses""),"""")"),"")</f>
        <v/>
      </c>
      <c r="J865" s="94" t="str">
        <f>IFERROR(__xludf.DUMMYFUNCTION("if(H865=""Can't be Together"",iferror(join("", "",unique(filter({unique(filter('Students (Vertical)'!O:O,'Students (Vertical)'!C:C=B865,'Students (Vertical)'!O:O&lt;&gt;"""",'Students (Vertical)'!P:P&gt;1));unique(filter('Students (Vertical)'!O:O,'Students (Vertic"&amp;"al)'!C:C=E865,'Students (Vertical)'!O:O&lt;&gt;"""",'Students (Vertical)'!P:P&gt;1))},countifs({unique(filter('Students (Vertical)'!O:O,'Students (Vertical)'!C:C=B865,'Students (Vertical)'!O:O&lt;&gt;"""",'Students (Vertical)'!P:P&gt;1));unique(filter('Students (Vertical)'"&amp;"!O:O,'Students (Vertical)'!C:C=E865,'Students (Vertical)'!O:O&lt;&gt;"""",'Students (Vertical)'!P:P&gt;1))},{unique(filter('Students (Vertical)'!O:O,'Students (Vertical)'!C:C=B865,'Students (Vertical)'!O:O&lt;&gt;"""",'Students (Vertical)'!P:P&gt;1));unique(filter('Student"&amp;"s (Vertical)'!O:O,'Students (Vertical)'!C:C=E865,'Students (Vertical)'!O:O&lt;&gt;"""",'Students (Vertical)'!P:P&gt;1))})&gt;1))),""""),"""")"),"")</f>
        <v/>
      </c>
      <c r="K865" s="96" t="str">
        <f>IFERROR(__xludf.DUMMYFUNCTION("iferror(join("", "",unique(filter({filter('Students (Vertical)'!D:D,'Students (Vertical)'!C:C=B865,'Students (Vertical)'!D:D&lt;&gt;"""");filter('Students (Vertical)'!D:D,'Students (Vertical)'!C:C=E865,'Students (Vertical)'!D:D&lt;&gt;"""")},countifs({filter('Student"&amp;"s (Vertical)'!D:D,'Students (Vertical)'!C:C=B865,'Students (Vertical)'!D:D&lt;&gt;"""");filter('Students (Vertical)'!D:D,'Students (Vertical)'!C:C=E865,'Students (Vertical)'!D:D&lt;&gt;"""")},{filter('Students (Vertical)'!D:D,'Students (Vertical)'!C:C=B865,'Students "&amp;"(Vertical)'!D:D&lt;&gt;"""");filter('Students (Vertical)'!D:D,'Students (Vertical)'!C:C=E865,'Students (Vertical)'!D:D&lt;&gt;"""")})&gt;1))),"""")"),"")</f>
        <v/>
      </c>
      <c r="L865" s="96"/>
      <c r="M865" s="96"/>
    </row>
    <row r="866" hidden="1">
      <c r="A866" s="8" t="s">
        <v>8</v>
      </c>
      <c r="C866" s="8" t="s">
        <v>8</v>
      </c>
      <c r="D866" s="8" t="s">
        <v>8</v>
      </c>
      <c r="F866" s="8" t="s">
        <v>8</v>
      </c>
      <c r="G866" s="8" t="s">
        <v>8</v>
      </c>
      <c r="I866" s="94" t="str">
        <f>IFERROR(__xludf.DUMMYFUNCTION("if(H866=""Must be Together"",iferror(join("", "",unique(filter({filter('Students (Vertical)'!O:O,'Students (Vertical)'!C:C=B866,'Students (Vertical)'!O:O&lt;&gt;"""");filter('Students (Vertical)'!O:O,'Students (Vertical)'!C:C=E866,'Students (Vertical)'!O:O&lt;&gt;"""&amp;""")},countifs({filter('Students (Vertical)'!O:O,'Students (Vertical)'!C:C=B866,'Students (Vertical)'!O:O&lt;&gt;"""");filter('Students (Vertical)'!O:O,'Students (Vertical)'!C:C=E866,'Students (Vertical)'!O:O&lt;&gt;"""")},{filter('Students (Vertical)'!O:O,'Students ("&amp;"Vertical)'!C:C=B866,'Students (Vertical)'!O:O&lt;&gt;"""");filter('Students (Vertical)'!O:O,'Students (Vertical)'!C:C=E866,'Students (Vertical)'!O:O&lt;&gt;"""")})&gt;1))),""No shared courses""),"""")"),"")</f>
        <v/>
      </c>
      <c r="J866" s="94" t="str">
        <f>IFERROR(__xludf.DUMMYFUNCTION("if(H866=""Can't be Together"",iferror(join("", "",unique(filter({unique(filter('Students (Vertical)'!O:O,'Students (Vertical)'!C:C=B866,'Students (Vertical)'!O:O&lt;&gt;"""",'Students (Vertical)'!P:P&gt;1));unique(filter('Students (Vertical)'!O:O,'Students (Vertic"&amp;"al)'!C:C=E866,'Students (Vertical)'!O:O&lt;&gt;"""",'Students (Vertical)'!P:P&gt;1))},countifs({unique(filter('Students (Vertical)'!O:O,'Students (Vertical)'!C:C=B866,'Students (Vertical)'!O:O&lt;&gt;"""",'Students (Vertical)'!P:P&gt;1));unique(filter('Students (Vertical)'"&amp;"!O:O,'Students (Vertical)'!C:C=E866,'Students (Vertical)'!O:O&lt;&gt;"""",'Students (Vertical)'!P:P&gt;1))},{unique(filter('Students (Vertical)'!O:O,'Students (Vertical)'!C:C=B866,'Students (Vertical)'!O:O&lt;&gt;"""",'Students (Vertical)'!P:P&gt;1));unique(filter('Student"&amp;"s (Vertical)'!O:O,'Students (Vertical)'!C:C=E866,'Students (Vertical)'!O:O&lt;&gt;"""",'Students (Vertical)'!P:P&gt;1))})&gt;1))),""""),"""")"),"")</f>
        <v/>
      </c>
      <c r="K866" s="96" t="str">
        <f>IFERROR(__xludf.DUMMYFUNCTION("iferror(join("", "",unique(filter({filter('Students (Vertical)'!D:D,'Students (Vertical)'!C:C=B866,'Students (Vertical)'!D:D&lt;&gt;"""");filter('Students (Vertical)'!D:D,'Students (Vertical)'!C:C=E866,'Students (Vertical)'!D:D&lt;&gt;"""")},countifs({filter('Student"&amp;"s (Vertical)'!D:D,'Students (Vertical)'!C:C=B866,'Students (Vertical)'!D:D&lt;&gt;"""");filter('Students (Vertical)'!D:D,'Students (Vertical)'!C:C=E866,'Students (Vertical)'!D:D&lt;&gt;"""")},{filter('Students (Vertical)'!D:D,'Students (Vertical)'!C:C=B866,'Students "&amp;"(Vertical)'!D:D&lt;&gt;"""");filter('Students (Vertical)'!D:D,'Students (Vertical)'!C:C=E866,'Students (Vertical)'!D:D&lt;&gt;"""")})&gt;1))),"""")"),"")</f>
        <v/>
      </c>
      <c r="L866" s="96"/>
      <c r="M866" s="96"/>
    </row>
    <row r="867" hidden="1">
      <c r="A867" s="8" t="s">
        <v>8</v>
      </c>
      <c r="C867" s="8" t="s">
        <v>8</v>
      </c>
      <c r="D867" s="8" t="s">
        <v>8</v>
      </c>
      <c r="F867" s="8" t="s">
        <v>8</v>
      </c>
      <c r="G867" s="8" t="s">
        <v>8</v>
      </c>
      <c r="I867" s="94" t="str">
        <f>IFERROR(__xludf.DUMMYFUNCTION("if(H867=""Must be Together"",iferror(join("", "",unique(filter({filter('Students (Vertical)'!O:O,'Students (Vertical)'!C:C=B867,'Students (Vertical)'!O:O&lt;&gt;"""");filter('Students (Vertical)'!O:O,'Students (Vertical)'!C:C=E867,'Students (Vertical)'!O:O&lt;&gt;"""&amp;""")},countifs({filter('Students (Vertical)'!O:O,'Students (Vertical)'!C:C=B867,'Students (Vertical)'!O:O&lt;&gt;"""");filter('Students (Vertical)'!O:O,'Students (Vertical)'!C:C=E867,'Students (Vertical)'!O:O&lt;&gt;"""")},{filter('Students (Vertical)'!O:O,'Students ("&amp;"Vertical)'!C:C=B867,'Students (Vertical)'!O:O&lt;&gt;"""");filter('Students (Vertical)'!O:O,'Students (Vertical)'!C:C=E867,'Students (Vertical)'!O:O&lt;&gt;"""")})&gt;1))),""No shared courses""),"""")"),"")</f>
        <v/>
      </c>
      <c r="J867" s="94" t="str">
        <f>IFERROR(__xludf.DUMMYFUNCTION("if(H867=""Can't be Together"",iferror(join("", "",unique(filter({unique(filter('Students (Vertical)'!O:O,'Students (Vertical)'!C:C=B867,'Students (Vertical)'!O:O&lt;&gt;"""",'Students (Vertical)'!P:P&gt;1));unique(filter('Students (Vertical)'!O:O,'Students (Vertic"&amp;"al)'!C:C=E867,'Students (Vertical)'!O:O&lt;&gt;"""",'Students (Vertical)'!P:P&gt;1))},countifs({unique(filter('Students (Vertical)'!O:O,'Students (Vertical)'!C:C=B867,'Students (Vertical)'!O:O&lt;&gt;"""",'Students (Vertical)'!P:P&gt;1));unique(filter('Students (Vertical)'"&amp;"!O:O,'Students (Vertical)'!C:C=E867,'Students (Vertical)'!O:O&lt;&gt;"""",'Students (Vertical)'!P:P&gt;1))},{unique(filter('Students (Vertical)'!O:O,'Students (Vertical)'!C:C=B867,'Students (Vertical)'!O:O&lt;&gt;"""",'Students (Vertical)'!P:P&gt;1));unique(filter('Student"&amp;"s (Vertical)'!O:O,'Students (Vertical)'!C:C=E867,'Students (Vertical)'!O:O&lt;&gt;"""",'Students (Vertical)'!P:P&gt;1))})&gt;1))),""""),"""")"),"")</f>
        <v/>
      </c>
      <c r="K867" s="96" t="str">
        <f>IFERROR(__xludf.DUMMYFUNCTION("iferror(join("", "",unique(filter({filter('Students (Vertical)'!D:D,'Students (Vertical)'!C:C=B867,'Students (Vertical)'!D:D&lt;&gt;"""");filter('Students (Vertical)'!D:D,'Students (Vertical)'!C:C=E867,'Students (Vertical)'!D:D&lt;&gt;"""")},countifs({filter('Student"&amp;"s (Vertical)'!D:D,'Students (Vertical)'!C:C=B867,'Students (Vertical)'!D:D&lt;&gt;"""");filter('Students (Vertical)'!D:D,'Students (Vertical)'!C:C=E867,'Students (Vertical)'!D:D&lt;&gt;"""")},{filter('Students (Vertical)'!D:D,'Students (Vertical)'!C:C=B867,'Students "&amp;"(Vertical)'!D:D&lt;&gt;"""");filter('Students (Vertical)'!D:D,'Students (Vertical)'!C:C=E867,'Students (Vertical)'!D:D&lt;&gt;"""")})&gt;1))),"""")"),"")</f>
        <v/>
      </c>
      <c r="L867" s="96"/>
      <c r="M867" s="96"/>
    </row>
    <row r="868" hidden="1">
      <c r="A868" s="8" t="s">
        <v>8</v>
      </c>
      <c r="C868" s="8" t="s">
        <v>8</v>
      </c>
      <c r="D868" s="8" t="s">
        <v>8</v>
      </c>
      <c r="F868" s="8" t="s">
        <v>8</v>
      </c>
      <c r="G868" s="8" t="s">
        <v>8</v>
      </c>
      <c r="I868" s="94" t="str">
        <f>IFERROR(__xludf.DUMMYFUNCTION("if(H868=""Must be Together"",iferror(join("", "",unique(filter({filter('Students (Vertical)'!O:O,'Students (Vertical)'!C:C=B868,'Students (Vertical)'!O:O&lt;&gt;"""");filter('Students (Vertical)'!O:O,'Students (Vertical)'!C:C=E868,'Students (Vertical)'!O:O&lt;&gt;"""&amp;""")},countifs({filter('Students (Vertical)'!O:O,'Students (Vertical)'!C:C=B868,'Students (Vertical)'!O:O&lt;&gt;"""");filter('Students (Vertical)'!O:O,'Students (Vertical)'!C:C=E868,'Students (Vertical)'!O:O&lt;&gt;"""")},{filter('Students (Vertical)'!O:O,'Students ("&amp;"Vertical)'!C:C=B868,'Students (Vertical)'!O:O&lt;&gt;"""");filter('Students (Vertical)'!O:O,'Students (Vertical)'!C:C=E868,'Students (Vertical)'!O:O&lt;&gt;"""")})&gt;1))),""No shared courses""),"""")"),"")</f>
        <v/>
      </c>
      <c r="J868" s="94" t="str">
        <f>IFERROR(__xludf.DUMMYFUNCTION("if(H868=""Can't be Together"",iferror(join("", "",unique(filter({unique(filter('Students (Vertical)'!O:O,'Students (Vertical)'!C:C=B868,'Students (Vertical)'!O:O&lt;&gt;"""",'Students (Vertical)'!P:P&gt;1));unique(filter('Students (Vertical)'!O:O,'Students (Vertic"&amp;"al)'!C:C=E868,'Students (Vertical)'!O:O&lt;&gt;"""",'Students (Vertical)'!P:P&gt;1))},countifs({unique(filter('Students (Vertical)'!O:O,'Students (Vertical)'!C:C=B868,'Students (Vertical)'!O:O&lt;&gt;"""",'Students (Vertical)'!P:P&gt;1));unique(filter('Students (Vertical)'"&amp;"!O:O,'Students (Vertical)'!C:C=E868,'Students (Vertical)'!O:O&lt;&gt;"""",'Students (Vertical)'!P:P&gt;1))},{unique(filter('Students (Vertical)'!O:O,'Students (Vertical)'!C:C=B868,'Students (Vertical)'!O:O&lt;&gt;"""",'Students (Vertical)'!P:P&gt;1));unique(filter('Student"&amp;"s (Vertical)'!O:O,'Students (Vertical)'!C:C=E868,'Students (Vertical)'!O:O&lt;&gt;"""",'Students (Vertical)'!P:P&gt;1))})&gt;1))),""""),"""")"),"")</f>
        <v/>
      </c>
      <c r="K868" s="96" t="str">
        <f>IFERROR(__xludf.DUMMYFUNCTION("iferror(join("", "",unique(filter({filter('Students (Vertical)'!D:D,'Students (Vertical)'!C:C=B868,'Students (Vertical)'!D:D&lt;&gt;"""");filter('Students (Vertical)'!D:D,'Students (Vertical)'!C:C=E868,'Students (Vertical)'!D:D&lt;&gt;"""")},countifs({filter('Student"&amp;"s (Vertical)'!D:D,'Students (Vertical)'!C:C=B868,'Students (Vertical)'!D:D&lt;&gt;"""");filter('Students (Vertical)'!D:D,'Students (Vertical)'!C:C=E868,'Students (Vertical)'!D:D&lt;&gt;"""")},{filter('Students (Vertical)'!D:D,'Students (Vertical)'!C:C=B868,'Students "&amp;"(Vertical)'!D:D&lt;&gt;"""");filter('Students (Vertical)'!D:D,'Students (Vertical)'!C:C=E868,'Students (Vertical)'!D:D&lt;&gt;"""")})&gt;1))),"""")"),"")</f>
        <v/>
      </c>
      <c r="L868" s="96"/>
      <c r="M868" s="96"/>
    </row>
    <row r="869" hidden="1">
      <c r="A869" s="8" t="s">
        <v>8</v>
      </c>
      <c r="C869" s="8" t="s">
        <v>8</v>
      </c>
      <c r="D869" s="8" t="s">
        <v>8</v>
      </c>
      <c r="F869" s="8" t="s">
        <v>8</v>
      </c>
      <c r="G869" s="8" t="s">
        <v>8</v>
      </c>
      <c r="I869" s="94" t="str">
        <f>IFERROR(__xludf.DUMMYFUNCTION("if(H869=""Must be Together"",iferror(join("", "",unique(filter({filter('Students (Vertical)'!O:O,'Students (Vertical)'!C:C=B869,'Students (Vertical)'!O:O&lt;&gt;"""");filter('Students (Vertical)'!O:O,'Students (Vertical)'!C:C=E869,'Students (Vertical)'!O:O&lt;&gt;"""&amp;""")},countifs({filter('Students (Vertical)'!O:O,'Students (Vertical)'!C:C=B869,'Students (Vertical)'!O:O&lt;&gt;"""");filter('Students (Vertical)'!O:O,'Students (Vertical)'!C:C=E869,'Students (Vertical)'!O:O&lt;&gt;"""")},{filter('Students (Vertical)'!O:O,'Students ("&amp;"Vertical)'!C:C=B869,'Students (Vertical)'!O:O&lt;&gt;"""");filter('Students (Vertical)'!O:O,'Students (Vertical)'!C:C=E869,'Students (Vertical)'!O:O&lt;&gt;"""")})&gt;1))),""No shared courses""),"""")"),"")</f>
        <v/>
      </c>
      <c r="J869" s="94" t="str">
        <f>IFERROR(__xludf.DUMMYFUNCTION("if(H869=""Can't be Together"",iferror(join("", "",unique(filter({unique(filter('Students (Vertical)'!O:O,'Students (Vertical)'!C:C=B869,'Students (Vertical)'!O:O&lt;&gt;"""",'Students (Vertical)'!P:P&gt;1));unique(filter('Students (Vertical)'!O:O,'Students (Vertic"&amp;"al)'!C:C=E869,'Students (Vertical)'!O:O&lt;&gt;"""",'Students (Vertical)'!P:P&gt;1))},countifs({unique(filter('Students (Vertical)'!O:O,'Students (Vertical)'!C:C=B869,'Students (Vertical)'!O:O&lt;&gt;"""",'Students (Vertical)'!P:P&gt;1));unique(filter('Students (Vertical)'"&amp;"!O:O,'Students (Vertical)'!C:C=E869,'Students (Vertical)'!O:O&lt;&gt;"""",'Students (Vertical)'!P:P&gt;1))},{unique(filter('Students (Vertical)'!O:O,'Students (Vertical)'!C:C=B869,'Students (Vertical)'!O:O&lt;&gt;"""",'Students (Vertical)'!P:P&gt;1));unique(filter('Student"&amp;"s (Vertical)'!O:O,'Students (Vertical)'!C:C=E869,'Students (Vertical)'!O:O&lt;&gt;"""",'Students (Vertical)'!P:P&gt;1))})&gt;1))),""""),"""")"),"")</f>
        <v/>
      </c>
      <c r="K869" s="96" t="str">
        <f>IFERROR(__xludf.DUMMYFUNCTION("iferror(join("", "",unique(filter({filter('Students (Vertical)'!D:D,'Students (Vertical)'!C:C=B869,'Students (Vertical)'!D:D&lt;&gt;"""");filter('Students (Vertical)'!D:D,'Students (Vertical)'!C:C=E869,'Students (Vertical)'!D:D&lt;&gt;"""")},countifs({filter('Student"&amp;"s (Vertical)'!D:D,'Students (Vertical)'!C:C=B869,'Students (Vertical)'!D:D&lt;&gt;"""");filter('Students (Vertical)'!D:D,'Students (Vertical)'!C:C=E869,'Students (Vertical)'!D:D&lt;&gt;"""")},{filter('Students (Vertical)'!D:D,'Students (Vertical)'!C:C=B869,'Students "&amp;"(Vertical)'!D:D&lt;&gt;"""");filter('Students (Vertical)'!D:D,'Students (Vertical)'!C:C=E869,'Students (Vertical)'!D:D&lt;&gt;"""")})&gt;1))),"""")"),"")</f>
        <v/>
      </c>
      <c r="L869" s="96"/>
      <c r="M869" s="96"/>
    </row>
    <row r="870" hidden="1">
      <c r="A870" s="8" t="s">
        <v>8</v>
      </c>
      <c r="C870" s="8" t="s">
        <v>8</v>
      </c>
      <c r="D870" s="8" t="s">
        <v>8</v>
      </c>
      <c r="F870" s="8" t="s">
        <v>8</v>
      </c>
      <c r="G870" s="8" t="s">
        <v>8</v>
      </c>
      <c r="I870" s="94" t="str">
        <f>IFERROR(__xludf.DUMMYFUNCTION("if(H870=""Must be Together"",iferror(join("", "",unique(filter({filter('Students (Vertical)'!O:O,'Students (Vertical)'!C:C=B870,'Students (Vertical)'!O:O&lt;&gt;"""");filter('Students (Vertical)'!O:O,'Students (Vertical)'!C:C=E870,'Students (Vertical)'!O:O&lt;&gt;"""&amp;""")},countifs({filter('Students (Vertical)'!O:O,'Students (Vertical)'!C:C=B870,'Students (Vertical)'!O:O&lt;&gt;"""");filter('Students (Vertical)'!O:O,'Students (Vertical)'!C:C=E870,'Students (Vertical)'!O:O&lt;&gt;"""")},{filter('Students (Vertical)'!O:O,'Students ("&amp;"Vertical)'!C:C=B870,'Students (Vertical)'!O:O&lt;&gt;"""");filter('Students (Vertical)'!O:O,'Students (Vertical)'!C:C=E870,'Students (Vertical)'!O:O&lt;&gt;"""")})&gt;1))),""No shared courses""),"""")"),"")</f>
        <v/>
      </c>
      <c r="J870" s="94" t="str">
        <f>IFERROR(__xludf.DUMMYFUNCTION("if(H870=""Can't be Together"",iferror(join("", "",unique(filter({unique(filter('Students (Vertical)'!O:O,'Students (Vertical)'!C:C=B870,'Students (Vertical)'!O:O&lt;&gt;"""",'Students (Vertical)'!P:P&gt;1));unique(filter('Students (Vertical)'!O:O,'Students (Vertic"&amp;"al)'!C:C=E870,'Students (Vertical)'!O:O&lt;&gt;"""",'Students (Vertical)'!P:P&gt;1))},countifs({unique(filter('Students (Vertical)'!O:O,'Students (Vertical)'!C:C=B870,'Students (Vertical)'!O:O&lt;&gt;"""",'Students (Vertical)'!P:P&gt;1));unique(filter('Students (Vertical)'"&amp;"!O:O,'Students (Vertical)'!C:C=E870,'Students (Vertical)'!O:O&lt;&gt;"""",'Students (Vertical)'!P:P&gt;1))},{unique(filter('Students (Vertical)'!O:O,'Students (Vertical)'!C:C=B870,'Students (Vertical)'!O:O&lt;&gt;"""",'Students (Vertical)'!P:P&gt;1));unique(filter('Student"&amp;"s (Vertical)'!O:O,'Students (Vertical)'!C:C=E870,'Students (Vertical)'!O:O&lt;&gt;"""",'Students (Vertical)'!P:P&gt;1))})&gt;1))),""""),"""")"),"")</f>
        <v/>
      </c>
      <c r="K870" s="96" t="str">
        <f>IFERROR(__xludf.DUMMYFUNCTION("iferror(join("", "",unique(filter({filter('Students (Vertical)'!D:D,'Students (Vertical)'!C:C=B870,'Students (Vertical)'!D:D&lt;&gt;"""");filter('Students (Vertical)'!D:D,'Students (Vertical)'!C:C=E870,'Students (Vertical)'!D:D&lt;&gt;"""")},countifs({filter('Student"&amp;"s (Vertical)'!D:D,'Students (Vertical)'!C:C=B870,'Students (Vertical)'!D:D&lt;&gt;"""");filter('Students (Vertical)'!D:D,'Students (Vertical)'!C:C=E870,'Students (Vertical)'!D:D&lt;&gt;"""")},{filter('Students (Vertical)'!D:D,'Students (Vertical)'!C:C=B870,'Students "&amp;"(Vertical)'!D:D&lt;&gt;"""");filter('Students (Vertical)'!D:D,'Students (Vertical)'!C:C=E870,'Students (Vertical)'!D:D&lt;&gt;"""")})&gt;1))),"""")"),"")</f>
        <v/>
      </c>
      <c r="L870" s="96"/>
      <c r="M870" s="96"/>
    </row>
    <row r="871" hidden="1">
      <c r="A871" s="8" t="s">
        <v>8</v>
      </c>
      <c r="C871" s="8" t="s">
        <v>8</v>
      </c>
      <c r="D871" s="8" t="s">
        <v>8</v>
      </c>
      <c r="F871" s="8" t="s">
        <v>8</v>
      </c>
      <c r="G871" s="8" t="s">
        <v>8</v>
      </c>
      <c r="I871" s="94" t="str">
        <f>IFERROR(__xludf.DUMMYFUNCTION("if(H871=""Must be Together"",iferror(join("", "",unique(filter({filter('Students (Vertical)'!O:O,'Students (Vertical)'!C:C=B871,'Students (Vertical)'!O:O&lt;&gt;"""");filter('Students (Vertical)'!O:O,'Students (Vertical)'!C:C=E871,'Students (Vertical)'!O:O&lt;&gt;"""&amp;""")},countifs({filter('Students (Vertical)'!O:O,'Students (Vertical)'!C:C=B871,'Students (Vertical)'!O:O&lt;&gt;"""");filter('Students (Vertical)'!O:O,'Students (Vertical)'!C:C=E871,'Students (Vertical)'!O:O&lt;&gt;"""")},{filter('Students (Vertical)'!O:O,'Students ("&amp;"Vertical)'!C:C=B871,'Students (Vertical)'!O:O&lt;&gt;"""");filter('Students (Vertical)'!O:O,'Students (Vertical)'!C:C=E871,'Students (Vertical)'!O:O&lt;&gt;"""")})&gt;1))),""No shared courses""),"""")"),"")</f>
        <v/>
      </c>
      <c r="J871" s="94" t="str">
        <f>IFERROR(__xludf.DUMMYFUNCTION("if(H871=""Can't be Together"",iferror(join("", "",unique(filter({unique(filter('Students (Vertical)'!O:O,'Students (Vertical)'!C:C=B871,'Students (Vertical)'!O:O&lt;&gt;"""",'Students (Vertical)'!P:P&gt;1));unique(filter('Students (Vertical)'!O:O,'Students (Vertic"&amp;"al)'!C:C=E871,'Students (Vertical)'!O:O&lt;&gt;"""",'Students (Vertical)'!P:P&gt;1))},countifs({unique(filter('Students (Vertical)'!O:O,'Students (Vertical)'!C:C=B871,'Students (Vertical)'!O:O&lt;&gt;"""",'Students (Vertical)'!P:P&gt;1));unique(filter('Students (Vertical)'"&amp;"!O:O,'Students (Vertical)'!C:C=E871,'Students (Vertical)'!O:O&lt;&gt;"""",'Students (Vertical)'!P:P&gt;1))},{unique(filter('Students (Vertical)'!O:O,'Students (Vertical)'!C:C=B871,'Students (Vertical)'!O:O&lt;&gt;"""",'Students (Vertical)'!P:P&gt;1));unique(filter('Student"&amp;"s (Vertical)'!O:O,'Students (Vertical)'!C:C=E871,'Students (Vertical)'!O:O&lt;&gt;"""",'Students (Vertical)'!P:P&gt;1))})&gt;1))),""""),"""")"),"")</f>
        <v/>
      </c>
      <c r="K871" s="96" t="str">
        <f>IFERROR(__xludf.DUMMYFUNCTION("iferror(join("", "",unique(filter({filter('Students (Vertical)'!D:D,'Students (Vertical)'!C:C=B871,'Students (Vertical)'!D:D&lt;&gt;"""");filter('Students (Vertical)'!D:D,'Students (Vertical)'!C:C=E871,'Students (Vertical)'!D:D&lt;&gt;"""")},countifs({filter('Student"&amp;"s (Vertical)'!D:D,'Students (Vertical)'!C:C=B871,'Students (Vertical)'!D:D&lt;&gt;"""");filter('Students (Vertical)'!D:D,'Students (Vertical)'!C:C=E871,'Students (Vertical)'!D:D&lt;&gt;"""")},{filter('Students (Vertical)'!D:D,'Students (Vertical)'!C:C=B871,'Students "&amp;"(Vertical)'!D:D&lt;&gt;"""");filter('Students (Vertical)'!D:D,'Students (Vertical)'!C:C=E871,'Students (Vertical)'!D:D&lt;&gt;"""")})&gt;1))),"""")"),"")</f>
        <v/>
      </c>
      <c r="L871" s="96"/>
      <c r="M871" s="96"/>
    </row>
    <row r="872" hidden="1">
      <c r="A872" s="8" t="s">
        <v>8</v>
      </c>
      <c r="C872" s="8" t="s">
        <v>8</v>
      </c>
      <c r="D872" s="8" t="s">
        <v>8</v>
      </c>
      <c r="F872" s="8" t="s">
        <v>8</v>
      </c>
      <c r="G872" s="8" t="s">
        <v>8</v>
      </c>
      <c r="I872" s="94" t="str">
        <f>IFERROR(__xludf.DUMMYFUNCTION("if(H872=""Must be Together"",iferror(join("", "",unique(filter({filter('Students (Vertical)'!O:O,'Students (Vertical)'!C:C=B872,'Students (Vertical)'!O:O&lt;&gt;"""");filter('Students (Vertical)'!O:O,'Students (Vertical)'!C:C=E872,'Students (Vertical)'!O:O&lt;&gt;"""&amp;""")},countifs({filter('Students (Vertical)'!O:O,'Students (Vertical)'!C:C=B872,'Students (Vertical)'!O:O&lt;&gt;"""");filter('Students (Vertical)'!O:O,'Students (Vertical)'!C:C=E872,'Students (Vertical)'!O:O&lt;&gt;"""")},{filter('Students (Vertical)'!O:O,'Students ("&amp;"Vertical)'!C:C=B872,'Students (Vertical)'!O:O&lt;&gt;"""");filter('Students (Vertical)'!O:O,'Students (Vertical)'!C:C=E872,'Students (Vertical)'!O:O&lt;&gt;"""")})&gt;1))),""No shared courses""),"""")"),"")</f>
        <v/>
      </c>
      <c r="J872" s="94" t="str">
        <f>IFERROR(__xludf.DUMMYFUNCTION("if(H872=""Can't be Together"",iferror(join("", "",unique(filter({unique(filter('Students (Vertical)'!O:O,'Students (Vertical)'!C:C=B872,'Students (Vertical)'!O:O&lt;&gt;"""",'Students (Vertical)'!P:P&gt;1));unique(filter('Students (Vertical)'!O:O,'Students (Vertic"&amp;"al)'!C:C=E872,'Students (Vertical)'!O:O&lt;&gt;"""",'Students (Vertical)'!P:P&gt;1))},countifs({unique(filter('Students (Vertical)'!O:O,'Students (Vertical)'!C:C=B872,'Students (Vertical)'!O:O&lt;&gt;"""",'Students (Vertical)'!P:P&gt;1));unique(filter('Students (Vertical)'"&amp;"!O:O,'Students (Vertical)'!C:C=E872,'Students (Vertical)'!O:O&lt;&gt;"""",'Students (Vertical)'!P:P&gt;1))},{unique(filter('Students (Vertical)'!O:O,'Students (Vertical)'!C:C=B872,'Students (Vertical)'!O:O&lt;&gt;"""",'Students (Vertical)'!P:P&gt;1));unique(filter('Student"&amp;"s (Vertical)'!O:O,'Students (Vertical)'!C:C=E872,'Students (Vertical)'!O:O&lt;&gt;"""",'Students (Vertical)'!P:P&gt;1))})&gt;1))),""""),"""")"),"")</f>
        <v/>
      </c>
      <c r="K872" s="96" t="str">
        <f>IFERROR(__xludf.DUMMYFUNCTION("iferror(join("", "",unique(filter({filter('Students (Vertical)'!D:D,'Students (Vertical)'!C:C=B872,'Students (Vertical)'!D:D&lt;&gt;"""");filter('Students (Vertical)'!D:D,'Students (Vertical)'!C:C=E872,'Students (Vertical)'!D:D&lt;&gt;"""")},countifs({filter('Student"&amp;"s (Vertical)'!D:D,'Students (Vertical)'!C:C=B872,'Students (Vertical)'!D:D&lt;&gt;"""");filter('Students (Vertical)'!D:D,'Students (Vertical)'!C:C=E872,'Students (Vertical)'!D:D&lt;&gt;"""")},{filter('Students (Vertical)'!D:D,'Students (Vertical)'!C:C=B872,'Students "&amp;"(Vertical)'!D:D&lt;&gt;"""");filter('Students (Vertical)'!D:D,'Students (Vertical)'!C:C=E872,'Students (Vertical)'!D:D&lt;&gt;"""")})&gt;1))),"""")"),"")</f>
        <v/>
      </c>
      <c r="L872" s="96"/>
      <c r="M872" s="96"/>
    </row>
    <row r="873" hidden="1">
      <c r="A873" s="8" t="s">
        <v>8</v>
      </c>
      <c r="C873" s="8" t="s">
        <v>8</v>
      </c>
      <c r="D873" s="8" t="s">
        <v>8</v>
      </c>
      <c r="F873" s="8" t="s">
        <v>8</v>
      </c>
      <c r="G873" s="8" t="s">
        <v>8</v>
      </c>
      <c r="I873" s="94" t="str">
        <f>IFERROR(__xludf.DUMMYFUNCTION("if(H873=""Must be Together"",iferror(join("", "",unique(filter({filter('Students (Vertical)'!O:O,'Students (Vertical)'!C:C=B873,'Students (Vertical)'!O:O&lt;&gt;"""");filter('Students (Vertical)'!O:O,'Students (Vertical)'!C:C=E873,'Students (Vertical)'!O:O&lt;&gt;"""&amp;""")},countifs({filter('Students (Vertical)'!O:O,'Students (Vertical)'!C:C=B873,'Students (Vertical)'!O:O&lt;&gt;"""");filter('Students (Vertical)'!O:O,'Students (Vertical)'!C:C=E873,'Students (Vertical)'!O:O&lt;&gt;"""")},{filter('Students (Vertical)'!O:O,'Students ("&amp;"Vertical)'!C:C=B873,'Students (Vertical)'!O:O&lt;&gt;"""");filter('Students (Vertical)'!O:O,'Students (Vertical)'!C:C=E873,'Students (Vertical)'!O:O&lt;&gt;"""")})&gt;1))),""No shared courses""),"""")"),"")</f>
        <v/>
      </c>
      <c r="J873" s="94" t="str">
        <f>IFERROR(__xludf.DUMMYFUNCTION("if(H873=""Can't be Together"",iferror(join("", "",unique(filter({unique(filter('Students (Vertical)'!O:O,'Students (Vertical)'!C:C=B873,'Students (Vertical)'!O:O&lt;&gt;"""",'Students (Vertical)'!P:P&gt;1));unique(filter('Students (Vertical)'!O:O,'Students (Vertic"&amp;"al)'!C:C=E873,'Students (Vertical)'!O:O&lt;&gt;"""",'Students (Vertical)'!P:P&gt;1))},countifs({unique(filter('Students (Vertical)'!O:O,'Students (Vertical)'!C:C=B873,'Students (Vertical)'!O:O&lt;&gt;"""",'Students (Vertical)'!P:P&gt;1));unique(filter('Students (Vertical)'"&amp;"!O:O,'Students (Vertical)'!C:C=E873,'Students (Vertical)'!O:O&lt;&gt;"""",'Students (Vertical)'!P:P&gt;1))},{unique(filter('Students (Vertical)'!O:O,'Students (Vertical)'!C:C=B873,'Students (Vertical)'!O:O&lt;&gt;"""",'Students (Vertical)'!P:P&gt;1));unique(filter('Student"&amp;"s (Vertical)'!O:O,'Students (Vertical)'!C:C=E873,'Students (Vertical)'!O:O&lt;&gt;"""",'Students (Vertical)'!P:P&gt;1))})&gt;1))),""""),"""")"),"")</f>
        <v/>
      </c>
      <c r="K873" s="96" t="str">
        <f>IFERROR(__xludf.DUMMYFUNCTION("iferror(join("", "",unique(filter({filter('Students (Vertical)'!D:D,'Students (Vertical)'!C:C=B873,'Students (Vertical)'!D:D&lt;&gt;"""");filter('Students (Vertical)'!D:D,'Students (Vertical)'!C:C=E873,'Students (Vertical)'!D:D&lt;&gt;"""")},countifs({filter('Student"&amp;"s (Vertical)'!D:D,'Students (Vertical)'!C:C=B873,'Students (Vertical)'!D:D&lt;&gt;"""");filter('Students (Vertical)'!D:D,'Students (Vertical)'!C:C=E873,'Students (Vertical)'!D:D&lt;&gt;"""")},{filter('Students (Vertical)'!D:D,'Students (Vertical)'!C:C=B873,'Students "&amp;"(Vertical)'!D:D&lt;&gt;"""");filter('Students (Vertical)'!D:D,'Students (Vertical)'!C:C=E873,'Students (Vertical)'!D:D&lt;&gt;"""")})&gt;1))),"""")"),"")</f>
        <v/>
      </c>
      <c r="L873" s="96"/>
      <c r="M873" s="96"/>
    </row>
    <row r="874" hidden="1">
      <c r="A874" s="8" t="s">
        <v>8</v>
      </c>
      <c r="C874" s="8" t="s">
        <v>8</v>
      </c>
      <c r="D874" s="8" t="s">
        <v>8</v>
      </c>
      <c r="F874" s="8" t="s">
        <v>8</v>
      </c>
      <c r="G874" s="8" t="s">
        <v>8</v>
      </c>
      <c r="I874" s="94" t="str">
        <f>IFERROR(__xludf.DUMMYFUNCTION("if(H874=""Must be Together"",iferror(join("", "",unique(filter({filter('Students (Vertical)'!O:O,'Students (Vertical)'!C:C=B874,'Students (Vertical)'!O:O&lt;&gt;"""");filter('Students (Vertical)'!O:O,'Students (Vertical)'!C:C=E874,'Students (Vertical)'!O:O&lt;&gt;"""&amp;""")},countifs({filter('Students (Vertical)'!O:O,'Students (Vertical)'!C:C=B874,'Students (Vertical)'!O:O&lt;&gt;"""");filter('Students (Vertical)'!O:O,'Students (Vertical)'!C:C=E874,'Students (Vertical)'!O:O&lt;&gt;"""")},{filter('Students (Vertical)'!O:O,'Students ("&amp;"Vertical)'!C:C=B874,'Students (Vertical)'!O:O&lt;&gt;"""");filter('Students (Vertical)'!O:O,'Students (Vertical)'!C:C=E874,'Students (Vertical)'!O:O&lt;&gt;"""")})&gt;1))),""No shared courses""),"""")"),"")</f>
        <v/>
      </c>
      <c r="J874" s="94" t="str">
        <f>IFERROR(__xludf.DUMMYFUNCTION("if(H874=""Can't be Together"",iferror(join("", "",unique(filter({unique(filter('Students (Vertical)'!O:O,'Students (Vertical)'!C:C=B874,'Students (Vertical)'!O:O&lt;&gt;"""",'Students (Vertical)'!P:P&gt;1));unique(filter('Students (Vertical)'!O:O,'Students (Vertic"&amp;"al)'!C:C=E874,'Students (Vertical)'!O:O&lt;&gt;"""",'Students (Vertical)'!P:P&gt;1))},countifs({unique(filter('Students (Vertical)'!O:O,'Students (Vertical)'!C:C=B874,'Students (Vertical)'!O:O&lt;&gt;"""",'Students (Vertical)'!P:P&gt;1));unique(filter('Students (Vertical)'"&amp;"!O:O,'Students (Vertical)'!C:C=E874,'Students (Vertical)'!O:O&lt;&gt;"""",'Students (Vertical)'!P:P&gt;1))},{unique(filter('Students (Vertical)'!O:O,'Students (Vertical)'!C:C=B874,'Students (Vertical)'!O:O&lt;&gt;"""",'Students (Vertical)'!P:P&gt;1));unique(filter('Student"&amp;"s (Vertical)'!O:O,'Students (Vertical)'!C:C=E874,'Students (Vertical)'!O:O&lt;&gt;"""",'Students (Vertical)'!P:P&gt;1))})&gt;1))),""""),"""")"),"")</f>
        <v/>
      </c>
      <c r="K874" s="96" t="str">
        <f>IFERROR(__xludf.DUMMYFUNCTION("iferror(join("", "",unique(filter({filter('Students (Vertical)'!D:D,'Students (Vertical)'!C:C=B874,'Students (Vertical)'!D:D&lt;&gt;"""");filter('Students (Vertical)'!D:D,'Students (Vertical)'!C:C=E874,'Students (Vertical)'!D:D&lt;&gt;"""")},countifs({filter('Student"&amp;"s (Vertical)'!D:D,'Students (Vertical)'!C:C=B874,'Students (Vertical)'!D:D&lt;&gt;"""");filter('Students (Vertical)'!D:D,'Students (Vertical)'!C:C=E874,'Students (Vertical)'!D:D&lt;&gt;"""")},{filter('Students (Vertical)'!D:D,'Students (Vertical)'!C:C=B874,'Students "&amp;"(Vertical)'!D:D&lt;&gt;"""");filter('Students (Vertical)'!D:D,'Students (Vertical)'!C:C=E874,'Students (Vertical)'!D:D&lt;&gt;"""")})&gt;1))),"""")"),"")</f>
        <v/>
      </c>
      <c r="L874" s="96"/>
      <c r="M874" s="96"/>
    </row>
    <row r="875" hidden="1">
      <c r="A875" s="8" t="s">
        <v>8</v>
      </c>
      <c r="C875" s="8" t="s">
        <v>8</v>
      </c>
      <c r="D875" s="8" t="s">
        <v>8</v>
      </c>
      <c r="F875" s="8" t="s">
        <v>8</v>
      </c>
      <c r="G875" s="8" t="s">
        <v>8</v>
      </c>
      <c r="I875" s="94" t="str">
        <f>IFERROR(__xludf.DUMMYFUNCTION("if(H875=""Must be Together"",iferror(join("", "",unique(filter({filter('Students (Vertical)'!O:O,'Students (Vertical)'!C:C=B875,'Students (Vertical)'!O:O&lt;&gt;"""");filter('Students (Vertical)'!O:O,'Students (Vertical)'!C:C=E875,'Students (Vertical)'!O:O&lt;&gt;"""&amp;""")},countifs({filter('Students (Vertical)'!O:O,'Students (Vertical)'!C:C=B875,'Students (Vertical)'!O:O&lt;&gt;"""");filter('Students (Vertical)'!O:O,'Students (Vertical)'!C:C=E875,'Students (Vertical)'!O:O&lt;&gt;"""")},{filter('Students (Vertical)'!O:O,'Students ("&amp;"Vertical)'!C:C=B875,'Students (Vertical)'!O:O&lt;&gt;"""");filter('Students (Vertical)'!O:O,'Students (Vertical)'!C:C=E875,'Students (Vertical)'!O:O&lt;&gt;"""")})&gt;1))),""No shared courses""),"""")"),"")</f>
        <v/>
      </c>
      <c r="J875" s="94" t="str">
        <f>IFERROR(__xludf.DUMMYFUNCTION("if(H875=""Can't be Together"",iferror(join("", "",unique(filter({unique(filter('Students (Vertical)'!O:O,'Students (Vertical)'!C:C=B875,'Students (Vertical)'!O:O&lt;&gt;"""",'Students (Vertical)'!P:P&gt;1));unique(filter('Students (Vertical)'!O:O,'Students (Vertic"&amp;"al)'!C:C=E875,'Students (Vertical)'!O:O&lt;&gt;"""",'Students (Vertical)'!P:P&gt;1))},countifs({unique(filter('Students (Vertical)'!O:O,'Students (Vertical)'!C:C=B875,'Students (Vertical)'!O:O&lt;&gt;"""",'Students (Vertical)'!P:P&gt;1));unique(filter('Students (Vertical)'"&amp;"!O:O,'Students (Vertical)'!C:C=E875,'Students (Vertical)'!O:O&lt;&gt;"""",'Students (Vertical)'!P:P&gt;1))},{unique(filter('Students (Vertical)'!O:O,'Students (Vertical)'!C:C=B875,'Students (Vertical)'!O:O&lt;&gt;"""",'Students (Vertical)'!P:P&gt;1));unique(filter('Student"&amp;"s (Vertical)'!O:O,'Students (Vertical)'!C:C=E875,'Students (Vertical)'!O:O&lt;&gt;"""",'Students (Vertical)'!P:P&gt;1))})&gt;1))),""""),"""")"),"")</f>
        <v/>
      </c>
      <c r="K875" s="96" t="str">
        <f>IFERROR(__xludf.DUMMYFUNCTION("iferror(join("", "",unique(filter({filter('Students (Vertical)'!D:D,'Students (Vertical)'!C:C=B875,'Students (Vertical)'!D:D&lt;&gt;"""");filter('Students (Vertical)'!D:D,'Students (Vertical)'!C:C=E875,'Students (Vertical)'!D:D&lt;&gt;"""")},countifs({filter('Student"&amp;"s (Vertical)'!D:D,'Students (Vertical)'!C:C=B875,'Students (Vertical)'!D:D&lt;&gt;"""");filter('Students (Vertical)'!D:D,'Students (Vertical)'!C:C=E875,'Students (Vertical)'!D:D&lt;&gt;"""")},{filter('Students (Vertical)'!D:D,'Students (Vertical)'!C:C=B875,'Students "&amp;"(Vertical)'!D:D&lt;&gt;"""");filter('Students (Vertical)'!D:D,'Students (Vertical)'!C:C=E875,'Students (Vertical)'!D:D&lt;&gt;"""")})&gt;1))),"""")"),"")</f>
        <v/>
      </c>
      <c r="L875" s="96"/>
      <c r="M875" s="96"/>
    </row>
    <row r="876" hidden="1">
      <c r="A876" s="8" t="s">
        <v>8</v>
      </c>
      <c r="C876" s="8" t="s">
        <v>8</v>
      </c>
      <c r="D876" s="8" t="s">
        <v>8</v>
      </c>
      <c r="F876" s="8" t="s">
        <v>8</v>
      </c>
      <c r="G876" s="8" t="s">
        <v>8</v>
      </c>
      <c r="I876" s="94" t="str">
        <f>IFERROR(__xludf.DUMMYFUNCTION("if(H876=""Must be Together"",iferror(join("", "",unique(filter({filter('Students (Vertical)'!O:O,'Students (Vertical)'!C:C=B876,'Students (Vertical)'!O:O&lt;&gt;"""");filter('Students (Vertical)'!O:O,'Students (Vertical)'!C:C=E876,'Students (Vertical)'!O:O&lt;&gt;"""&amp;""")},countifs({filter('Students (Vertical)'!O:O,'Students (Vertical)'!C:C=B876,'Students (Vertical)'!O:O&lt;&gt;"""");filter('Students (Vertical)'!O:O,'Students (Vertical)'!C:C=E876,'Students (Vertical)'!O:O&lt;&gt;"""")},{filter('Students (Vertical)'!O:O,'Students ("&amp;"Vertical)'!C:C=B876,'Students (Vertical)'!O:O&lt;&gt;"""");filter('Students (Vertical)'!O:O,'Students (Vertical)'!C:C=E876,'Students (Vertical)'!O:O&lt;&gt;"""")})&gt;1))),""No shared courses""),"""")"),"")</f>
        <v/>
      </c>
      <c r="J876" s="94" t="str">
        <f>IFERROR(__xludf.DUMMYFUNCTION("if(H876=""Can't be Together"",iferror(join("", "",unique(filter({unique(filter('Students (Vertical)'!O:O,'Students (Vertical)'!C:C=B876,'Students (Vertical)'!O:O&lt;&gt;"""",'Students (Vertical)'!P:P&gt;1));unique(filter('Students (Vertical)'!O:O,'Students (Vertic"&amp;"al)'!C:C=E876,'Students (Vertical)'!O:O&lt;&gt;"""",'Students (Vertical)'!P:P&gt;1))},countifs({unique(filter('Students (Vertical)'!O:O,'Students (Vertical)'!C:C=B876,'Students (Vertical)'!O:O&lt;&gt;"""",'Students (Vertical)'!P:P&gt;1));unique(filter('Students (Vertical)'"&amp;"!O:O,'Students (Vertical)'!C:C=E876,'Students (Vertical)'!O:O&lt;&gt;"""",'Students (Vertical)'!P:P&gt;1))},{unique(filter('Students (Vertical)'!O:O,'Students (Vertical)'!C:C=B876,'Students (Vertical)'!O:O&lt;&gt;"""",'Students (Vertical)'!P:P&gt;1));unique(filter('Student"&amp;"s (Vertical)'!O:O,'Students (Vertical)'!C:C=E876,'Students (Vertical)'!O:O&lt;&gt;"""",'Students (Vertical)'!P:P&gt;1))})&gt;1))),""""),"""")"),"")</f>
        <v/>
      </c>
      <c r="K876" s="96" t="str">
        <f>IFERROR(__xludf.DUMMYFUNCTION("iferror(join("", "",unique(filter({filter('Students (Vertical)'!D:D,'Students (Vertical)'!C:C=B876,'Students (Vertical)'!D:D&lt;&gt;"""");filter('Students (Vertical)'!D:D,'Students (Vertical)'!C:C=E876,'Students (Vertical)'!D:D&lt;&gt;"""")},countifs({filter('Student"&amp;"s (Vertical)'!D:D,'Students (Vertical)'!C:C=B876,'Students (Vertical)'!D:D&lt;&gt;"""");filter('Students (Vertical)'!D:D,'Students (Vertical)'!C:C=E876,'Students (Vertical)'!D:D&lt;&gt;"""")},{filter('Students (Vertical)'!D:D,'Students (Vertical)'!C:C=B876,'Students "&amp;"(Vertical)'!D:D&lt;&gt;"""");filter('Students (Vertical)'!D:D,'Students (Vertical)'!C:C=E876,'Students (Vertical)'!D:D&lt;&gt;"""")})&gt;1))),"""")"),"")</f>
        <v/>
      </c>
      <c r="L876" s="96"/>
      <c r="M876" s="96"/>
    </row>
    <row r="877" hidden="1">
      <c r="A877" s="8" t="s">
        <v>8</v>
      </c>
      <c r="C877" s="8" t="s">
        <v>8</v>
      </c>
      <c r="D877" s="8" t="s">
        <v>8</v>
      </c>
      <c r="F877" s="8" t="s">
        <v>8</v>
      </c>
      <c r="G877" s="8" t="s">
        <v>8</v>
      </c>
      <c r="I877" s="94" t="str">
        <f>IFERROR(__xludf.DUMMYFUNCTION("if(H877=""Must be Together"",iferror(join("", "",unique(filter({filter('Students (Vertical)'!O:O,'Students (Vertical)'!C:C=B877,'Students (Vertical)'!O:O&lt;&gt;"""");filter('Students (Vertical)'!O:O,'Students (Vertical)'!C:C=E877,'Students (Vertical)'!O:O&lt;&gt;"""&amp;""")},countifs({filter('Students (Vertical)'!O:O,'Students (Vertical)'!C:C=B877,'Students (Vertical)'!O:O&lt;&gt;"""");filter('Students (Vertical)'!O:O,'Students (Vertical)'!C:C=E877,'Students (Vertical)'!O:O&lt;&gt;"""")},{filter('Students (Vertical)'!O:O,'Students ("&amp;"Vertical)'!C:C=B877,'Students (Vertical)'!O:O&lt;&gt;"""");filter('Students (Vertical)'!O:O,'Students (Vertical)'!C:C=E877,'Students (Vertical)'!O:O&lt;&gt;"""")})&gt;1))),""No shared courses""),"""")"),"")</f>
        <v/>
      </c>
      <c r="J877" s="94" t="str">
        <f>IFERROR(__xludf.DUMMYFUNCTION("if(H877=""Can't be Together"",iferror(join("", "",unique(filter({unique(filter('Students (Vertical)'!O:O,'Students (Vertical)'!C:C=B877,'Students (Vertical)'!O:O&lt;&gt;"""",'Students (Vertical)'!P:P&gt;1));unique(filter('Students (Vertical)'!O:O,'Students (Vertic"&amp;"al)'!C:C=E877,'Students (Vertical)'!O:O&lt;&gt;"""",'Students (Vertical)'!P:P&gt;1))},countifs({unique(filter('Students (Vertical)'!O:O,'Students (Vertical)'!C:C=B877,'Students (Vertical)'!O:O&lt;&gt;"""",'Students (Vertical)'!P:P&gt;1));unique(filter('Students (Vertical)'"&amp;"!O:O,'Students (Vertical)'!C:C=E877,'Students (Vertical)'!O:O&lt;&gt;"""",'Students (Vertical)'!P:P&gt;1))},{unique(filter('Students (Vertical)'!O:O,'Students (Vertical)'!C:C=B877,'Students (Vertical)'!O:O&lt;&gt;"""",'Students (Vertical)'!P:P&gt;1));unique(filter('Student"&amp;"s (Vertical)'!O:O,'Students (Vertical)'!C:C=E877,'Students (Vertical)'!O:O&lt;&gt;"""",'Students (Vertical)'!P:P&gt;1))})&gt;1))),""""),"""")"),"")</f>
        <v/>
      </c>
      <c r="K877" s="96" t="str">
        <f>IFERROR(__xludf.DUMMYFUNCTION("iferror(join("", "",unique(filter({filter('Students (Vertical)'!D:D,'Students (Vertical)'!C:C=B877,'Students (Vertical)'!D:D&lt;&gt;"""");filter('Students (Vertical)'!D:D,'Students (Vertical)'!C:C=E877,'Students (Vertical)'!D:D&lt;&gt;"""")},countifs({filter('Student"&amp;"s (Vertical)'!D:D,'Students (Vertical)'!C:C=B877,'Students (Vertical)'!D:D&lt;&gt;"""");filter('Students (Vertical)'!D:D,'Students (Vertical)'!C:C=E877,'Students (Vertical)'!D:D&lt;&gt;"""")},{filter('Students (Vertical)'!D:D,'Students (Vertical)'!C:C=B877,'Students "&amp;"(Vertical)'!D:D&lt;&gt;"""");filter('Students (Vertical)'!D:D,'Students (Vertical)'!C:C=E877,'Students (Vertical)'!D:D&lt;&gt;"""")})&gt;1))),"""")"),"")</f>
        <v/>
      </c>
      <c r="L877" s="96"/>
      <c r="M877" s="96"/>
    </row>
    <row r="878" hidden="1">
      <c r="A878" s="8" t="s">
        <v>8</v>
      </c>
      <c r="C878" s="8" t="s">
        <v>8</v>
      </c>
      <c r="D878" s="8" t="s">
        <v>8</v>
      </c>
      <c r="F878" s="8" t="s">
        <v>8</v>
      </c>
      <c r="G878" s="8" t="s">
        <v>8</v>
      </c>
      <c r="I878" s="94" t="str">
        <f>IFERROR(__xludf.DUMMYFUNCTION("if(H878=""Must be Together"",iferror(join("", "",unique(filter({filter('Students (Vertical)'!O:O,'Students (Vertical)'!C:C=B878,'Students (Vertical)'!O:O&lt;&gt;"""");filter('Students (Vertical)'!O:O,'Students (Vertical)'!C:C=E878,'Students (Vertical)'!O:O&lt;&gt;"""&amp;""")},countifs({filter('Students (Vertical)'!O:O,'Students (Vertical)'!C:C=B878,'Students (Vertical)'!O:O&lt;&gt;"""");filter('Students (Vertical)'!O:O,'Students (Vertical)'!C:C=E878,'Students (Vertical)'!O:O&lt;&gt;"""")},{filter('Students (Vertical)'!O:O,'Students ("&amp;"Vertical)'!C:C=B878,'Students (Vertical)'!O:O&lt;&gt;"""");filter('Students (Vertical)'!O:O,'Students (Vertical)'!C:C=E878,'Students (Vertical)'!O:O&lt;&gt;"""")})&gt;1))),""No shared courses""),"""")"),"")</f>
        <v/>
      </c>
      <c r="J878" s="94" t="str">
        <f>IFERROR(__xludf.DUMMYFUNCTION("if(H878=""Can't be Together"",iferror(join("", "",unique(filter({unique(filter('Students (Vertical)'!O:O,'Students (Vertical)'!C:C=B878,'Students (Vertical)'!O:O&lt;&gt;"""",'Students (Vertical)'!P:P&gt;1));unique(filter('Students (Vertical)'!O:O,'Students (Vertic"&amp;"al)'!C:C=E878,'Students (Vertical)'!O:O&lt;&gt;"""",'Students (Vertical)'!P:P&gt;1))},countifs({unique(filter('Students (Vertical)'!O:O,'Students (Vertical)'!C:C=B878,'Students (Vertical)'!O:O&lt;&gt;"""",'Students (Vertical)'!P:P&gt;1));unique(filter('Students (Vertical)'"&amp;"!O:O,'Students (Vertical)'!C:C=E878,'Students (Vertical)'!O:O&lt;&gt;"""",'Students (Vertical)'!P:P&gt;1))},{unique(filter('Students (Vertical)'!O:O,'Students (Vertical)'!C:C=B878,'Students (Vertical)'!O:O&lt;&gt;"""",'Students (Vertical)'!P:P&gt;1));unique(filter('Student"&amp;"s (Vertical)'!O:O,'Students (Vertical)'!C:C=E878,'Students (Vertical)'!O:O&lt;&gt;"""",'Students (Vertical)'!P:P&gt;1))})&gt;1))),""""),"""")"),"")</f>
        <v/>
      </c>
      <c r="K878" s="96" t="str">
        <f>IFERROR(__xludf.DUMMYFUNCTION("iferror(join("", "",unique(filter({filter('Students (Vertical)'!D:D,'Students (Vertical)'!C:C=B878,'Students (Vertical)'!D:D&lt;&gt;"""");filter('Students (Vertical)'!D:D,'Students (Vertical)'!C:C=E878,'Students (Vertical)'!D:D&lt;&gt;"""")},countifs({filter('Student"&amp;"s (Vertical)'!D:D,'Students (Vertical)'!C:C=B878,'Students (Vertical)'!D:D&lt;&gt;"""");filter('Students (Vertical)'!D:D,'Students (Vertical)'!C:C=E878,'Students (Vertical)'!D:D&lt;&gt;"""")},{filter('Students (Vertical)'!D:D,'Students (Vertical)'!C:C=B878,'Students "&amp;"(Vertical)'!D:D&lt;&gt;"""");filter('Students (Vertical)'!D:D,'Students (Vertical)'!C:C=E878,'Students (Vertical)'!D:D&lt;&gt;"""")})&gt;1))),"""")"),"")</f>
        <v/>
      </c>
      <c r="L878" s="96"/>
      <c r="M878" s="96"/>
    </row>
    <row r="879" hidden="1">
      <c r="A879" s="8" t="s">
        <v>8</v>
      </c>
      <c r="C879" s="8" t="s">
        <v>8</v>
      </c>
      <c r="D879" s="8" t="s">
        <v>8</v>
      </c>
      <c r="F879" s="8" t="s">
        <v>8</v>
      </c>
      <c r="G879" s="8" t="s">
        <v>8</v>
      </c>
      <c r="I879" s="94" t="str">
        <f>IFERROR(__xludf.DUMMYFUNCTION("if(H879=""Must be Together"",iferror(join("", "",unique(filter({filter('Students (Vertical)'!O:O,'Students (Vertical)'!C:C=B879,'Students (Vertical)'!O:O&lt;&gt;"""");filter('Students (Vertical)'!O:O,'Students (Vertical)'!C:C=E879,'Students (Vertical)'!O:O&lt;&gt;"""&amp;""")},countifs({filter('Students (Vertical)'!O:O,'Students (Vertical)'!C:C=B879,'Students (Vertical)'!O:O&lt;&gt;"""");filter('Students (Vertical)'!O:O,'Students (Vertical)'!C:C=E879,'Students (Vertical)'!O:O&lt;&gt;"""")},{filter('Students (Vertical)'!O:O,'Students ("&amp;"Vertical)'!C:C=B879,'Students (Vertical)'!O:O&lt;&gt;"""");filter('Students (Vertical)'!O:O,'Students (Vertical)'!C:C=E879,'Students (Vertical)'!O:O&lt;&gt;"""")})&gt;1))),""No shared courses""),"""")"),"")</f>
        <v/>
      </c>
      <c r="J879" s="94" t="str">
        <f>IFERROR(__xludf.DUMMYFUNCTION("if(H879=""Can't be Together"",iferror(join("", "",unique(filter({unique(filter('Students (Vertical)'!O:O,'Students (Vertical)'!C:C=B879,'Students (Vertical)'!O:O&lt;&gt;"""",'Students (Vertical)'!P:P&gt;1));unique(filter('Students (Vertical)'!O:O,'Students (Vertic"&amp;"al)'!C:C=E879,'Students (Vertical)'!O:O&lt;&gt;"""",'Students (Vertical)'!P:P&gt;1))},countifs({unique(filter('Students (Vertical)'!O:O,'Students (Vertical)'!C:C=B879,'Students (Vertical)'!O:O&lt;&gt;"""",'Students (Vertical)'!P:P&gt;1));unique(filter('Students (Vertical)'"&amp;"!O:O,'Students (Vertical)'!C:C=E879,'Students (Vertical)'!O:O&lt;&gt;"""",'Students (Vertical)'!P:P&gt;1))},{unique(filter('Students (Vertical)'!O:O,'Students (Vertical)'!C:C=B879,'Students (Vertical)'!O:O&lt;&gt;"""",'Students (Vertical)'!P:P&gt;1));unique(filter('Student"&amp;"s (Vertical)'!O:O,'Students (Vertical)'!C:C=E879,'Students (Vertical)'!O:O&lt;&gt;"""",'Students (Vertical)'!P:P&gt;1))})&gt;1))),""""),"""")"),"")</f>
        <v/>
      </c>
      <c r="K879" s="96" t="str">
        <f>IFERROR(__xludf.DUMMYFUNCTION("iferror(join("", "",unique(filter({filter('Students (Vertical)'!D:D,'Students (Vertical)'!C:C=B879,'Students (Vertical)'!D:D&lt;&gt;"""");filter('Students (Vertical)'!D:D,'Students (Vertical)'!C:C=E879,'Students (Vertical)'!D:D&lt;&gt;"""")},countifs({filter('Student"&amp;"s (Vertical)'!D:D,'Students (Vertical)'!C:C=B879,'Students (Vertical)'!D:D&lt;&gt;"""");filter('Students (Vertical)'!D:D,'Students (Vertical)'!C:C=E879,'Students (Vertical)'!D:D&lt;&gt;"""")},{filter('Students (Vertical)'!D:D,'Students (Vertical)'!C:C=B879,'Students "&amp;"(Vertical)'!D:D&lt;&gt;"""");filter('Students (Vertical)'!D:D,'Students (Vertical)'!C:C=E879,'Students (Vertical)'!D:D&lt;&gt;"""")})&gt;1))),"""")"),"")</f>
        <v/>
      </c>
      <c r="L879" s="96"/>
      <c r="M879" s="96"/>
    </row>
    <row r="880" hidden="1">
      <c r="A880" s="8" t="s">
        <v>8</v>
      </c>
      <c r="C880" s="8" t="s">
        <v>8</v>
      </c>
      <c r="D880" s="8" t="s">
        <v>8</v>
      </c>
      <c r="F880" s="8" t="s">
        <v>8</v>
      </c>
      <c r="G880" s="8" t="s">
        <v>8</v>
      </c>
      <c r="I880" s="94" t="str">
        <f>IFERROR(__xludf.DUMMYFUNCTION("if(H880=""Must be Together"",iferror(join("", "",unique(filter({filter('Students (Vertical)'!O:O,'Students (Vertical)'!C:C=B880,'Students (Vertical)'!O:O&lt;&gt;"""");filter('Students (Vertical)'!O:O,'Students (Vertical)'!C:C=E880,'Students (Vertical)'!O:O&lt;&gt;"""&amp;""")},countifs({filter('Students (Vertical)'!O:O,'Students (Vertical)'!C:C=B880,'Students (Vertical)'!O:O&lt;&gt;"""");filter('Students (Vertical)'!O:O,'Students (Vertical)'!C:C=E880,'Students (Vertical)'!O:O&lt;&gt;"""")},{filter('Students (Vertical)'!O:O,'Students ("&amp;"Vertical)'!C:C=B880,'Students (Vertical)'!O:O&lt;&gt;"""");filter('Students (Vertical)'!O:O,'Students (Vertical)'!C:C=E880,'Students (Vertical)'!O:O&lt;&gt;"""")})&gt;1))),""No shared courses""),"""")"),"")</f>
        <v/>
      </c>
      <c r="J880" s="94" t="str">
        <f>IFERROR(__xludf.DUMMYFUNCTION("if(H880=""Can't be Together"",iferror(join("", "",unique(filter({unique(filter('Students (Vertical)'!O:O,'Students (Vertical)'!C:C=B880,'Students (Vertical)'!O:O&lt;&gt;"""",'Students (Vertical)'!P:P&gt;1));unique(filter('Students (Vertical)'!O:O,'Students (Vertic"&amp;"al)'!C:C=E880,'Students (Vertical)'!O:O&lt;&gt;"""",'Students (Vertical)'!P:P&gt;1))},countifs({unique(filter('Students (Vertical)'!O:O,'Students (Vertical)'!C:C=B880,'Students (Vertical)'!O:O&lt;&gt;"""",'Students (Vertical)'!P:P&gt;1));unique(filter('Students (Vertical)'"&amp;"!O:O,'Students (Vertical)'!C:C=E880,'Students (Vertical)'!O:O&lt;&gt;"""",'Students (Vertical)'!P:P&gt;1))},{unique(filter('Students (Vertical)'!O:O,'Students (Vertical)'!C:C=B880,'Students (Vertical)'!O:O&lt;&gt;"""",'Students (Vertical)'!P:P&gt;1));unique(filter('Student"&amp;"s (Vertical)'!O:O,'Students (Vertical)'!C:C=E880,'Students (Vertical)'!O:O&lt;&gt;"""",'Students (Vertical)'!P:P&gt;1))})&gt;1))),""""),"""")"),"")</f>
        <v/>
      </c>
      <c r="K880" s="96" t="str">
        <f>IFERROR(__xludf.DUMMYFUNCTION("iferror(join("", "",unique(filter({filter('Students (Vertical)'!D:D,'Students (Vertical)'!C:C=B880,'Students (Vertical)'!D:D&lt;&gt;"""");filter('Students (Vertical)'!D:D,'Students (Vertical)'!C:C=E880,'Students (Vertical)'!D:D&lt;&gt;"""")},countifs({filter('Student"&amp;"s (Vertical)'!D:D,'Students (Vertical)'!C:C=B880,'Students (Vertical)'!D:D&lt;&gt;"""");filter('Students (Vertical)'!D:D,'Students (Vertical)'!C:C=E880,'Students (Vertical)'!D:D&lt;&gt;"""")},{filter('Students (Vertical)'!D:D,'Students (Vertical)'!C:C=B880,'Students "&amp;"(Vertical)'!D:D&lt;&gt;"""");filter('Students (Vertical)'!D:D,'Students (Vertical)'!C:C=E880,'Students (Vertical)'!D:D&lt;&gt;"""")})&gt;1))),"""")"),"")</f>
        <v/>
      </c>
      <c r="L880" s="96"/>
      <c r="M880" s="96"/>
    </row>
    <row r="881" hidden="1">
      <c r="A881" s="8" t="s">
        <v>8</v>
      </c>
      <c r="C881" s="8" t="s">
        <v>8</v>
      </c>
      <c r="D881" s="8" t="s">
        <v>8</v>
      </c>
      <c r="F881" s="8" t="s">
        <v>8</v>
      </c>
      <c r="G881" s="8" t="s">
        <v>8</v>
      </c>
      <c r="I881" s="94" t="str">
        <f>IFERROR(__xludf.DUMMYFUNCTION("if(H881=""Must be Together"",iferror(join("", "",unique(filter({filter('Students (Vertical)'!O:O,'Students (Vertical)'!C:C=B881,'Students (Vertical)'!O:O&lt;&gt;"""");filter('Students (Vertical)'!O:O,'Students (Vertical)'!C:C=E881,'Students (Vertical)'!O:O&lt;&gt;"""&amp;""")},countifs({filter('Students (Vertical)'!O:O,'Students (Vertical)'!C:C=B881,'Students (Vertical)'!O:O&lt;&gt;"""");filter('Students (Vertical)'!O:O,'Students (Vertical)'!C:C=E881,'Students (Vertical)'!O:O&lt;&gt;"""")},{filter('Students (Vertical)'!O:O,'Students ("&amp;"Vertical)'!C:C=B881,'Students (Vertical)'!O:O&lt;&gt;"""");filter('Students (Vertical)'!O:O,'Students (Vertical)'!C:C=E881,'Students (Vertical)'!O:O&lt;&gt;"""")})&gt;1))),""No shared courses""),"""")"),"")</f>
        <v/>
      </c>
      <c r="J881" s="94" t="str">
        <f>IFERROR(__xludf.DUMMYFUNCTION("if(H881=""Can't be Together"",iferror(join("", "",unique(filter({unique(filter('Students (Vertical)'!O:O,'Students (Vertical)'!C:C=B881,'Students (Vertical)'!O:O&lt;&gt;"""",'Students (Vertical)'!P:P&gt;1));unique(filter('Students (Vertical)'!O:O,'Students (Vertic"&amp;"al)'!C:C=E881,'Students (Vertical)'!O:O&lt;&gt;"""",'Students (Vertical)'!P:P&gt;1))},countifs({unique(filter('Students (Vertical)'!O:O,'Students (Vertical)'!C:C=B881,'Students (Vertical)'!O:O&lt;&gt;"""",'Students (Vertical)'!P:P&gt;1));unique(filter('Students (Vertical)'"&amp;"!O:O,'Students (Vertical)'!C:C=E881,'Students (Vertical)'!O:O&lt;&gt;"""",'Students (Vertical)'!P:P&gt;1))},{unique(filter('Students (Vertical)'!O:O,'Students (Vertical)'!C:C=B881,'Students (Vertical)'!O:O&lt;&gt;"""",'Students (Vertical)'!P:P&gt;1));unique(filter('Student"&amp;"s (Vertical)'!O:O,'Students (Vertical)'!C:C=E881,'Students (Vertical)'!O:O&lt;&gt;"""",'Students (Vertical)'!P:P&gt;1))})&gt;1))),""""),"""")"),"")</f>
        <v/>
      </c>
      <c r="K881" s="96" t="str">
        <f>IFERROR(__xludf.DUMMYFUNCTION("iferror(join("", "",unique(filter({filter('Students (Vertical)'!D:D,'Students (Vertical)'!C:C=B881,'Students (Vertical)'!D:D&lt;&gt;"""");filter('Students (Vertical)'!D:D,'Students (Vertical)'!C:C=E881,'Students (Vertical)'!D:D&lt;&gt;"""")},countifs({filter('Student"&amp;"s (Vertical)'!D:D,'Students (Vertical)'!C:C=B881,'Students (Vertical)'!D:D&lt;&gt;"""");filter('Students (Vertical)'!D:D,'Students (Vertical)'!C:C=E881,'Students (Vertical)'!D:D&lt;&gt;"""")},{filter('Students (Vertical)'!D:D,'Students (Vertical)'!C:C=B881,'Students "&amp;"(Vertical)'!D:D&lt;&gt;"""");filter('Students (Vertical)'!D:D,'Students (Vertical)'!C:C=E881,'Students (Vertical)'!D:D&lt;&gt;"""")})&gt;1))),"""")"),"")</f>
        <v/>
      </c>
      <c r="L881" s="96"/>
      <c r="M881" s="96"/>
    </row>
    <row r="882" hidden="1">
      <c r="A882" s="8" t="s">
        <v>8</v>
      </c>
      <c r="C882" s="8" t="s">
        <v>8</v>
      </c>
      <c r="D882" s="8" t="s">
        <v>8</v>
      </c>
      <c r="F882" s="8" t="s">
        <v>8</v>
      </c>
      <c r="G882" s="8" t="s">
        <v>8</v>
      </c>
      <c r="I882" s="94" t="str">
        <f>IFERROR(__xludf.DUMMYFUNCTION("if(H882=""Must be Together"",iferror(join("", "",unique(filter({filter('Students (Vertical)'!O:O,'Students (Vertical)'!C:C=B882,'Students (Vertical)'!O:O&lt;&gt;"""");filter('Students (Vertical)'!O:O,'Students (Vertical)'!C:C=E882,'Students (Vertical)'!O:O&lt;&gt;"""&amp;""")},countifs({filter('Students (Vertical)'!O:O,'Students (Vertical)'!C:C=B882,'Students (Vertical)'!O:O&lt;&gt;"""");filter('Students (Vertical)'!O:O,'Students (Vertical)'!C:C=E882,'Students (Vertical)'!O:O&lt;&gt;"""")},{filter('Students (Vertical)'!O:O,'Students ("&amp;"Vertical)'!C:C=B882,'Students (Vertical)'!O:O&lt;&gt;"""");filter('Students (Vertical)'!O:O,'Students (Vertical)'!C:C=E882,'Students (Vertical)'!O:O&lt;&gt;"""")})&gt;1))),""No shared courses""),"""")"),"")</f>
        <v/>
      </c>
      <c r="J882" s="94" t="str">
        <f>IFERROR(__xludf.DUMMYFUNCTION("if(H882=""Can't be Together"",iferror(join("", "",unique(filter({unique(filter('Students (Vertical)'!O:O,'Students (Vertical)'!C:C=B882,'Students (Vertical)'!O:O&lt;&gt;"""",'Students (Vertical)'!P:P&gt;1));unique(filter('Students (Vertical)'!O:O,'Students (Vertic"&amp;"al)'!C:C=E882,'Students (Vertical)'!O:O&lt;&gt;"""",'Students (Vertical)'!P:P&gt;1))},countifs({unique(filter('Students (Vertical)'!O:O,'Students (Vertical)'!C:C=B882,'Students (Vertical)'!O:O&lt;&gt;"""",'Students (Vertical)'!P:P&gt;1));unique(filter('Students (Vertical)'"&amp;"!O:O,'Students (Vertical)'!C:C=E882,'Students (Vertical)'!O:O&lt;&gt;"""",'Students (Vertical)'!P:P&gt;1))},{unique(filter('Students (Vertical)'!O:O,'Students (Vertical)'!C:C=B882,'Students (Vertical)'!O:O&lt;&gt;"""",'Students (Vertical)'!P:P&gt;1));unique(filter('Student"&amp;"s (Vertical)'!O:O,'Students (Vertical)'!C:C=E882,'Students (Vertical)'!O:O&lt;&gt;"""",'Students (Vertical)'!P:P&gt;1))})&gt;1))),""""),"""")"),"")</f>
        <v/>
      </c>
      <c r="K882" s="96" t="str">
        <f>IFERROR(__xludf.DUMMYFUNCTION("iferror(join("", "",unique(filter({filter('Students (Vertical)'!D:D,'Students (Vertical)'!C:C=B882,'Students (Vertical)'!D:D&lt;&gt;"""");filter('Students (Vertical)'!D:D,'Students (Vertical)'!C:C=E882,'Students (Vertical)'!D:D&lt;&gt;"""")},countifs({filter('Student"&amp;"s (Vertical)'!D:D,'Students (Vertical)'!C:C=B882,'Students (Vertical)'!D:D&lt;&gt;"""");filter('Students (Vertical)'!D:D,'Students (Vertical)'!C:C=E882,'Students (Vertical)'!D:D&lt;&gt;"""")},{filter('Students (Vertical)'!D:D,'Students (Vertical)'!C:C=B882,'Students "&amp;"(Vertical)'!D:D&lt;&gt;"""");filter('Students (Vertical)'!D:D,'Students (Vertical)'!C:C=E882,'Students (Vertical)'!D:D&lt;&gt;"""")})&gt;1))),"""")"),"")</f>
        <v/>
      </c>
      <c r="L882" s="96"/>
      <c r="M882" s="96"/>
    </row>
    <row r="883" hidden="1">
      <c r="A883" s="8" t="s">
        <v>8</v>
      </c>
      <c r="C883" s="8" t="s">
        <v>8</v>
      </c>
      <c r="D883" s="8" t="s">
        <v>8</v>
      </c>
      <c r="F883" s="8" t="s">
        <v>8</v>
      </c>
      <c r="G883" s="8" t="s">
        <v>8</v>
      </c>
      <c r="I883" s="94" t="str">
        <f>IFERROR(__xludf.DUMMYFUNCTION("if(H883=""Must be Together"",iferror(join("", "",unique(filter({filter('Students (Vertical)'!O:O,'Students (Vertical)'!C:C=B883,'Students (Vertical)'!O:O&lt;&gt;"""");filter('Students (Vertical)'!O:O,'Students (Vertical)'!C:C=E883,'Students (Vertical)'!O:O&lt;&gt;"""&amp;""")},countifs({filter('Students (Vertical)'!O:O,'Students (Vertical)'!C:C=B883,'Students (Vertical)'!O:O&lt;&gt;"""");filter('Students (Vertical)'!O:O,'Students (Vertical)'!C:C=E883,'Students (Vertical)'!O:O&lt;&gt;"""")},{filter('Students (Vertical)'!O:O,'Students ("&amp;"Vertical)'!C:C=B883,'Students (Vertical)'!O:O&lt;&gt;"""");filter('Students (Vertical)'!O:O,'Students (Vertical)'!C:C=E883,'Students (Vertical)'!O:O&lt;&gt;"""")})&gt;1))),""No shared courses""),"""")"),"")</f>
        <v/>
      </c>
      <c r="J883" s="94" t="str">
        <f>IFERROR(__xludf.DUMMYFUNCTION("if(H883=""Can't be Together"",iferror(join("", "",unique(filter({unique(filter('Students (Vertical)'!O:O,'Students (Vertical)'!C:C=B883,'Students (Vertical)'!O:O&lt;&gt;"""",'Students (Vertical)'!P:P&gt;1));unique(filter('Students (Vertical)'!O:O,'Students (Vertic"&amp;"al)'!C:C=E883,'Students (Vertical)'!O:O&lt;&gt;"""",'Students (Vertical)'!P:P&gt;1))},countifs({unique(filter('Students (Vertical)'!O:O,'Students (Vertical)'!C:C=B883,'Students (Vertical)'!O:O&lt;&gt;"""",'Students (Vertical)'!P:P&gt;1));unique(filter('Students (Vertical)'"&amp;"!O:O,'Students (Vertical)'!C:C=E883,'Students (Vertical)'!O:O&lt;&gt;"""",'Students (Vertical)'!P:P&gt;1))},{unique(filter('Students (Vertical)'!O:O,'Students (Vertical)'!C:C=B883,'Students (Vertical)'!O:O&lt;&gt;"""",'Students (Vertical)'!P:P&gt;1));unique(filter('Student"&amp;"s (Vertical)'!O:O,'Students (Vertical)'!C:C=E883,'Students (Vertical)'!O:O&lt;&gt;"""",'Students (Vertical)'!P:P&gt;1))})&gt;1))),""""),"""")"),"")</f>
        <v/>
      </c>
      <c r="K883" s="96" t="str">
        <f>IFERROR(__xludf.DUMMYFUNCTION("iferror(join("", "",unique(filter({filter('Students (Vertical)'!D:D,'Students (Vertical)'!C:C=B883,'Students (Vertical)'!D:D&lt;&gt;"""");filter('Students (Vertical)'!D:D,'Students (Vertical)'!C:C=E883,'Students (Vertical)'!D:D&lt;&gt;"""")},countifs({filter('Student"&amp;"s (Vertical)'!D:D,'Students (Vertical)'!C:C=B883,'Students (Vertical)'!D:D&lt;&gt;"""");filter('Students (Vertical)'!D:D,'Students (Vertical)'!C:C=E883,'Students (Vertical)'!D:D&lt;&gt;"""")},{filter('Students (Vertical)'!D:D,'Students (Vertical)'!C:C=B883,'Students "&amp;"(Vertical)'!D:D&lt;&gt;"""");filter('Students (Vertical)'!D:D,'Students (Vertical)'!C:C=E883,'Students (Vertical)'!D:D&lt;&gt;"""")})&gt;1))),"""")"),"")</f>
        <v/>
      </c>
      <c r="L883" s="96"/>
      <c r="M883" s="96"/>
    </row>
    <row r="884" hidden="1">
      <c r="A884" s="8" t="s">
        <v>8</v>
      </c>
      <c r="C884" s="8" t="s">
        <v>8</v>
      </c>
      <c r="D884" s="8" t="s">
        <v>8</v>
      </c>
      <c r="F884" s="8" t="s">
        <v>8</v>
      </c>
      <c r="G884" s="8" t="s">
        <v>8</v>
      </c>
      <c r="I884" s="94" t="str">
        <f>IFERROR(__xludf.DUMMYFUNCTION("if(H884=""Must be Together"",iferror(join("", "",unique(filter({filter('Students (Vertical)'!O:O,'Students (Vertical)'!C:C=B884,'Students (Vertical)'!O:O&lt;&gt;"""");filter('Students (Vertical)'!O:O,'Students (Vertical)'!C:C=E884,'Students (Vertical)'!O:O&lt;&gt;"""&amp;""")},countifs({filter('Students (Vertical)'!O:O,'Students (Vertical)'!C:C=B884,'Students (Vertical)'!O:O&lt;&gt;"""");filter('Students (Vertical)'!O:O,'Students (Vertical)'!C:C=E884,'Students (Vertical)'!O:O&lt;&gt;"""")},{filter('Students (Vertical)'!O:O,'Students ("&amp;"Vertical)'!C:C=B884,'Students (Vertical)'!O:O&lt;&gt;"""");filter('Students (Vertical)'!O:O,'Students (Vertical)'!C:C=E884,'Students (Vertical)'!O:O&lt;&gt;"""")})&gt;1))),""No shared courses""),"""")"),"")</f>
        <v/>
      </c>
      <c r="J884" s="94" t="str">
        <f>IFERROR(__xludf.DUMMYFUNCTION("if(H884=""Can't be Together"",iferror(join("", "",unique(filter({unique(filter('Students (Vertical)'!O:O,'Students (Vertical)'!C:C=B884,'Students (Vertical)'!O:O&lt;&gt;"""",'Students (Vertical)'!P:P&gt;1));unique(filter('Students (Vertical)'!O:O,'Students (Vertic"&amp;"al)'!C:C=E884,'Students (Vertical)'!O:O&lt;&gt;"""",'Students (Vertical)'!P:P&gt;1))},countifs({unique(filter('Students (Vertical)'!O:O,'Students (Vertical)'!C:C=B884,'Students (Vertical)'!O:O&lt;&gt;"""",'Students (Vertical)'!P:P&gt;1));unique(filter('Students (Vertical)'"&amp;"!O:O,'Students (Vertical)'!C:C=E884,'Students (Vertical)'!O:O&lt;&gt;"""",'Students (Vertical)'!P:P&gt;1))},{unique(filter('Students (Vertical)'!O:O,'Students (Vertical)'!C:C=B884,'Students (Vertical)'!O:O&lt;&gt;"""",'Students (Vertical)'!P:P&gt;1));unique(filter('Student"&amp;"s (Vertical)'!O:O,'Students (Vertical)'!C:C=E884,'Students (Vertical)'!O:O&lt;&gt;"""",'Students (Vertical)'!P:P&gt;1))})&gt;1))),""""),"""")"),"")</f>
        <v/>
      </c>
      <c r="K884" s="96" t="str">
        <f>IFERROR(__xludf.DUMMYFUNCTION("iferror(join("", "",unique(filter({filter('Students (Vertical)'!D:D,'Students (Vertical)'!C:C=B884,'Students (Vertical)'!D:D&lt;&gt;"""");filter('Students (Vertical)'!D:D,'Students (Vertical)'!C:C=E884,'Students (Vertical)'!D:D&lt;&gt;"""")},countifs({filter('Student"&amp;"s (Vertical)'!D:D,'Students (Vertical)'!C:C=B884,'Students (Vertical)'!D:D&lt;&gt;"""");filter('Students (Vertical)'!D:D,'Students (Vertical)'!C:C=E884,'Students (Vertical)'!D:D&lt;&gt;"""")},{filter('Students (Vertical)'!D:D,'Students (Vertical)'!C:C=B884,'Students "&amp;"(Vertical)'!D:D&lt;&gt;"""");filter('Students (Vertical)'!D:D,'Students (Vertical)'!C:C=E884,'Students (Vertical)'!D:D&lt;&gt;"""")})&gt;1))),"""")"),"")</f>
        <v/>
      </c>
      <c r="L884" s="96"/>
      <c r="M884" s="96"/>
    </row>
    <row r="885" hidden="1">
      <c r="A885" s="8" t="s">
        <v>8</v>
      </c>
      <c r="C885" s="8" t="s">
        <v>8</v>
      </c>
      <c r="D885" s="8" t="s">
        <v>8</v>
      </c>
      <c r="F885" s="8" t="s">
        <v>8</v>
      </c>
      <c r="G885" s="8" t="s">
        <v>8</v>
      </c>
      <c r="I885" s="94" t="str">
        <f>IFERROR(__xludf.DUMMYFUNCTION("if(H885=""Must be Together"",iferror(join("", "",unique(filter({filter('Students (Vertical)'!O:O,'Students (Vertical)'!C:C=B885,'Students (Vertical)'!O:O&lt;&gt;"""");filter('Students (Vertical)'!O:O,'Students (Vertical)'!C:C=E885,'Students (Vertical)'!O:O&lt;&gt;"""&amp;""")},countifs({filter('Students (Vertical)'!O:O,'Students (Vertical)'!C:C=B885,'Students (Vertical)'!O:O&lt;&gt;"""");filter('Students (Vertical)'!O:O,'Students (Vertical)'!C:C=E885,'Students (Vertical)'!O:O&lt;&gt;"""")},{filter('Students (Vertical)'!O:O,'Students ("&amp;"Vertical)'!C:C=B885,'Students (Vertical)'!O:O&lt;&gt;"""");filter('Students (Vertical)'!O:O,'Students (Vertical)'!C:C=E885,'Students (Vertical)'!O:O&lt;&gt;"""")})&gt;1))),""No shared courses""),"""")"),"")</f>
        <v/>
      </c>
      <c r="J885" s="94" t="str">
        <f>IFERROR(__xludf.DUMMYFUNCTION("if(H885=""Can't be Together"",iferror(join("", "",unique(filter({unique(filter('Students (Vertical)'!O:O,'Students (Vertical)'!C:C=B885,'Students (Vertical)'!O:O&lt;&gt;"""",'Students (Vertical)'!P:P&gt;1));unique(filter('Students (Vertical)'!O:O,'Students (Vertic"&amp;"al)'!C:C=E885,'Students (Vertical)'!O:O&lt;&gt;"""",'Students (Vertical)'!P:P&gt;1))},countifs({unique(filter('Students (Vertical)'!O:O,'Students (Vertical)'!C:C=B885,'Students (Vertical)'!O:O&lt;&gt;"""",'Students (Vertical)'!P:P&gt;1));unique(filter('Students (Vertical)'"&amp;"!O:O,'Students (Vertical)'!C:C=E885,'Students (Vertical)'!O:O&lt;&gt;"""",'Students (Vertical)'!P:P&gt;1))},{unique(filter('Students (Vertical)'!O:O,'Students (Vertical)'!C:C=B885,'Students (Vertical)'!O:O&lt;&gt;"""",'Students (Vertical)'!P:P&gt;1));unique(filter('Student"&amp;"s (Vertical)'!O:O,'Students (Vertical)'!C:C=E885,'Students (Vertical)'!O:O&lt;&gt;"""",'Students (Vertical)'!P:P&gt;1))})&gt;1))),""""),"""")"),"")</f>
        <v/>
      </c>
      <c r="K885" s="96" t="str">
        <f>IFERROR(__xludf.DUMMYFUNCTION("iferror(join("", "",unique(filter({filter('Students (Vertical)'!D:D,'Students (Vertical)'!C:C=B885,'Students (Vertical)'!D:D&lt;&gt;"""");filter('Students (Vertical)'!D:D,'Students (Vertical)'!C:C=E885,'Students (Vertical)'!D:D&lt;&gt;"""")},countifs({filter('Student"&amp;"s (Vertical)'!D:D,'Students (Vertical)'!C:C=B885,'Students (Vertical)'!D:D&lt;&gt;"""");filter('Students (Vertical)'!D:D,'Students (Vertical)'!C:C=E885,'Students (Vertical)'!D:D&lt;&gt;"""")},{filter('Students (Vertical)'!D:D,'Students (Vertical)'!C:C=B885,'Students "&amp;"(Vertical)'!D:D&lt;&gt;"""");filter('Students (Vertical)'!D:D,'Students (Vertical)'!C:C=E885,'Students (Vertical)'!D:D&lt;&gt;"""")})&gt;1))),"""")"),"")</f>
        <v/>
      </c>
      <c r="L885" s="96"/>
      <c r="M885" s="96"/>
    </row>
    <row r="886" hidden="1">
      <c r="A886" s="8" t="s">
        <v>8</v>
      </c>
      <c r="C886" s="8" t="s">
        <v>8</v>
      </c>
      <c r="D886" s="8" t="s">
        <v>8</v>
      </c>
      <c r="F886" s="8" t="s">
        <v>8</v>
      </c>
      <c r="G886" s="8" t="s">
        <v>8</v>
      </c>
      <c r="I886" s="94" t="str">
        <f>IFERROR(__xludf.DUMMYFUNCTION("if(H886=""Must be Together"",iferror(join("", "",unique(filter({filter('Students (Vertical)'!O:O,'Students (Vertical)'!C:C=B886,'Students (Vertical)'!O:O&lt;&gt;"""");filter('Students (Vertical)'!O:O,'Students (Vertical)'!C:C=E886,'Students (Vertical)'!O:O&lt;&gt;"""&amp;""")},countifs({filter('Students (Vertical)'!O:O,'Students (Vertical)'!C:C=B886,'Students (Vertical)'!O:O&lt;&gt;"""");filter('Students (Vertical)'!O:O,'Students (Vertical)'!C:C=E886,'Students (Vertical)'!O:O&lt;&gt;"""")},{filter('Students (Vertical)'!O:O,'Students ("&amp;"Vertical)'!C:C=B886,'Students (Vertical)'!O:O&lt;&gt;"""");filter('Students (Vertical)'!O:O,'Students (Vertical)'!C:C=E886,'Students (Vertical)'!O:O&lt;&gt;"""")})&gt;1))),""No shared courses""),"""")"),"")</f>
        <v/>
      </c>
      <c r="J886" s="94" t="str">
        <f>IFERROR(__xludf.DUMMYFUNCTION("if(H886=""Can't be Together"",iferror(join("", "",unique(filter({unique(filter('Students (Vertical)'!O:O,'Students (Vertical)'!C:C=B886,'Students (Vertical)'!O:O&lt;&gt;"""",'Students (Vertical)'!P:P&gt;1));unique(filter('Students (Vertical)'!O:O,'Students (Vertic"&amp;"al)'!C:C=E886,'Students (Vertical)'!O:O&lt;&gt;"""",'Students (Vertical)'!P:P&gt;1))},countifs({unique(filter('Students (Vertical)'!O:O,'Students (Vertical)'!C:C=B886,'Students (Vertical)'!O:O&lt;&gt;"""",'Students (Vertical)'!P:P&gt;1));unique(filter('Students (Vertical)'"&amp;"!O:O,'Students (Vertical)'!C:C=E886,'Students (Vertical)'!O:O&lt;&gt;"""",'Students (Vertical)'!P:P&gt;1))},{unique(filter('Students (Vertical)'!O:O,'Students (Vertical)'!C:C=B886,'Students (Vertical)'!O:O&lt;&gt;"""",'Students (Vertical)'!P:P&gt;1));unique(filter('Student"&amp;"s (Vertical)'!O:O,'Students (Vertical)'!C:C=E886,'Students (Vertical)'!O:O&lt;&gt;"""",'Students (Vertical)'!P:P&gt;1))})&gt;1))),""""),"""")"),"")</f>
        <v/>
      </c>
      <c r="K886" s="96" t="str">
        <f>IFERROR(__xludf.DUMMYFUNCTION("iferror(join("", "",unique(filter({filter('Students (Vertical)'!D:D,'Students (Vertical)'!C:C=B886,'Students (Vertical)'!D:D&lt;&gt;"""");filter('Students (Vertical)'!D:D,'Students (Vertical)'!C:C=E886,'Students (Vertical)'!D:D&lt;&gt;"""")},countifs({filter('Student"&amp;"s (Vertical)'!D:D,'Students (Vertical)'!C:C=B886,'Students (Vertical)'!D:D&lt;&gt;"""");filter('Students (Vertical)'!D:D,'Students (Vertical)'!C:C=E886,'Students (Vertical)'!D:D&lt;&gt;"""")},{filter('Students (Vertical)'!D:D,'Students (Vertical)'!C:C=B886,'Students "&amp;"(Vertical)'!D:D&lt;&gt;"""");filter('Students (Vertical)'!D:D,'Students (Vertical)'!C:C=E886,'Students (Vertical)'!D:D&lt;&gt;"""")})&gt;1))),"""")"),"")</f>
        <v/>
      </c>
      <c r="L886" s="96"/>
      <c r="M886" s="96"/>
    </row>
    <row r="887" hidden="1">
      <c r="A887" s="8" t="s">
        <v>8</v>
      </c>
      <c r="C887" s="8" t="s">
        <v>8</v>
      </c>
      <c r="D887" s="8" t="s">
        <v>8</v>
      </c>
      <c r="F887" s="8" t="s">
        <v>8</v>
      </c>
      <c r="G887" s="8" t="s">
        <v>8</v>
      </c>
      <c r="I887" s="94" t="str">
        <f>IFERROR(__xludf.DUMMYFUNCTION("if(H887=""Must be Together"",iferror(join("", "",unique(filter({filter('Students (Vertical)'!O:O,'Students (Vertical)'!C:C=B887,'Students (Vertical)'!O:O&lt;&gt;"""");filter('Students (Vertical)'!O:O,'Students (Vertical)'!C:C=E887,'Students (Vertical)'!O:O&lt;&gt;"""&amp;""")},countifs({filter('Students (Vertical)'!O:O,'Students (Vertical)'!C:C=B887,'Students (Vertical)'!O:O&lt;&gt;"""");filter('Students (Vertical)'!O:O,'Students (Vertical)'!C:C=E887,'Students (Vertical)'!O:O&lt;&gt;"""")},{filter('Students (Vertical)'!O:O,'Students ("&amp;"Vertical)'!C:C=B887,'Students (Vertical)'!O:O&lt;&gt;"""");filter('Students (Vertical)'!O:O,'Students (Vertical)'!C:C=E887,'Students (Vertical)'!O:O&lt;&gt;"""")})&gt;1))),""No shared courses""),"""")"),"")</f>
        <v/>
      </c>
      <c r="J887" s="94" t="str">
        <f>IFERROR(__xludf.DUMMYFUNCTION("if(H887=""Can't be Together"",iferror(join("", "",unique(filter({unique(filter('Students (Vertical)'!O:O,'Students (Vertical)'!C:C=B887,'Students (Vertical)'!O:O&lt;&gt;"""",'Students (Vertical)'!P:P&gt;1));unique(filter('Students (Vertical)'!O:O,'Students (Vertic"&amp;"al)'!C:C=E887,'Students (Vertical)'!O:O&lt;&gt;"""",'Students (Vertical)'!P:P&gt;1))},countifs({unique(filter('Students (Vertical)'!O:O,'Students (Vertical)'!C:C=B887,'Students (Vertical)'!O:O&lt;&gt;"""",'Students (Vertical)'!P:P&gt;1));unique(filter('Students (Vertical)'"&amp;"!O:O,'Students (Vertical)'!C:C=E887,'Students (Vertical)'!O:O&lt;&gt;"""",'Students (Vertical)'!P:P&gt;1))},{unique(filter('Students (Vertical)'!O:O,'Students (Vertical)'!C:C=B887,'Students (Vertical)'!O:O&lt;&gt;"""",'Students (Vertical)'!P:P&gt;1));unique(filter('Student"&amp;"s (Vertical)'!O:O,'Students (Vertical)'!C:C=E887,'Students (Vertical)'!O:O&lt;&gt;"""",'Students (Vertical)'!P:P&gt;1))})&gt;1))),""""),"""")"),"")</f>
        <v/>
      </c>
      <c r="K887" s="96" t="str">
        <f>IFERROR(__xludf.DUMMYFUNCTION("iferror(join("", "",unique(filter({filter('Students (Vertical)'!D:D,'Students (Vertical)'!C:C=B887,'Students (Vertical)'!D:D&lt;&gt;"""");filter('Students (Vertical)'!D:D,'Students (Vertical)'!C:C=E887,'Students (Vertical)'!D:D&lt;&gt;"""")},countifs({filter('Student"&amp;"s (Vertical)'!D:D,'Students (Vertical)'!C:C=B887,'Students (Vertical)'!D:D&lt;&gt;"""");filter('Students (Vertical)'!D:D,'Students (Vertical)'!C:C=E887,'Students (Vertical)'!D:D&lt;&gt;"""")},{filter('Students (Vertical)'!D:D,'Students (Vertical)'!C:C=B887,'Students "&amp;"(Vertical)'!D:D&lt;&gt;"""");filter('Students (Vertical)'!D:D,'Students (Vertical)'!C:C=E887,'Students (Vertical)'!D:D&lt;&gt;"""")})&gt;1))),"""")"),"")</f>
        <v/>
      </c>
      <c r="L887" s="96"/>
      <c r="M887" s="96"/>
    </row>
    <row r="888" hidden="1">
      <c r="A888" s="8" t="s">
        <v>8</v>
      </c>
      <c r="C888" s="8" t="s">
        <v>8</v>
      </c>
      <c r="D888" s="8" t="s">
        <v>8</v>
      </c>
      <c r="F888" s="8" t="s">
        <v>8</v>
      </c>
      <c r="G888" s="8" t="s">
        <v>8</v>
      </c>
      <c r="I888" s="94" t="str">
        <f>IFERROR(__xludf.DUMMYFUNCTION("if(H888=""Must be Together"",iferror(join("", "",unique(filter({filter('Students (Vertical)'!O:O,'Students (Vertical)'!C:C=B888,'Students (Vertical)'!O:O&lt;&gt;"""");filter('Students (Vertical)'!O:O,'Students (Vertical)'!C:C=E888,'Students (Vertical)'!O:O&lt;&gt;"""&amp;""")},countifs({filter('Students (Vertical)'!O:O,'Students (Vertical)'!C:C=B888,'Students (Vertical)'!O:O&lt;&gt;"""");filter('Students (Vertical)'!O:O,'Students (Vertical)'!C:C=E888,'Students (Vertical)'!O:O&lt;&gt;"""")},{filter('Students (Vertical)'!O:O,'Students ("&amp;"Vertical)'!C:C=B888,'Students (Vertical)'!O:O&lt;&gt;"""");filter('Students (Vertical)'!O:O,'Students (Vertical)'!C:C=E888,'Students (Vertical)'!O:O&lt;&gt;"""")})&gt;1))),""No shared courses""),"""")"),"")</f>
        <v/>
      </c>
      <c r="J888" s="94" t="str">
        <f>IFERROR(__xludf.DUMMYFUNCTION("if(H888=""Can't be Together"",iferror(join("", "",unique(filter({unique(filter('Students (Vertical)'!O:O,'Students (Vertical)'!C:C=B888,'Students (Vertical)'!O:O&lt;&gt;"""",'Students (Vertical)'!P:P&gt;1));unique(filter('Students (Vertical)'!O:O,'Students (Vertic"&amp;"al)'!C:C=E888,'Students (Vertical)'!O:O&lt;&gt;"""",'Students (Vertical)'!P:P&gt;1))},countifs({unique(filter('Students (Vertical)'!O:O,'Students (Vertical)'!C:C=B888,'Students (Vertical)'!O:O&lt;&gt;"""",'Students (Vertical)'!P:P&gt;1));unique(filter('Students (Vertical)'"&amp;"!O:O,'Students (Vertical)'!C:C=E888,'Students (Vertical)'!O:O&lt;&gt;"""",'Students (Vertical)'!P:P&gt;1))},{unique(filter('Students (Vertical)'!O:O,'Students (Vertical)'!C:C=B888,'Students (Vertical)'!O:O&lt;&gt;"""",'Students (Vertical)'!P:P&gt;1));unique(filter('Student"&amp;"s (Vertical)'!O:O,'Students (Vertical)'!C:C=E888,'Students (Vertical)'!O:O&lt;&gt;"""",'Students (Vertical)'!P:P&gt;1))})&gt;1))),""""),"""")"),"")</f>
        <v/>
      </c>
      <c r="K888" s="96" t="str">
        <f>IFERROR(__xludf.DUMMYFUNCTION("iferror(join("", "",unique(filter({filter('Students (Vertical)'!D:D,'Students (Vertical)'!C:C=B888,'Students (Vertical)'!D:D&lt;&gt;"""");filter('Students (Vertical)'!D:D,'Students (Vertical)'!C:C=E888,'Students (Vertical)'!D:D&lt;&gt;"""")},countifs({filter('Student"&amp;"s (Vertical)'!D:D,'Students (Vertical)'!C:C=B888,'Students (Vertical)'!D:D&lt;&gt;"""");filter('Students (Vertical)'!D:D,'Students (Vertical)'!C:C=E888,'Students (Vertical)'!D:D&lt;&gt;"""")},{filter('Students (Vertical)'!D:D,'Students (Vertical)'!C:C=B888,'Students "&amp;"(Vertical)'!D:D&lt;&gt;"""");filter('Students (Vertical)'!D:D,'Students (Vertical)'!C:C=E888,'Students (Vertical)'!D:D&lt;&gt;"""")})&gt;1))),"""")"),"")</f>
        <v/>
      </c>
      <c r="L888" s="96"/>
      <c r="M888" s="96"/>
    </row>
    <row r="889" hidden="1">
      <c r="A889" s="8" t="s">
        <v>8</v>
      </c>
      <c r="C889" s="8" t="s">
        <v>8</v>
      </c>
      <c r="D889" s="8" t="s">
        <v>8</v>
      </c>
      <c r="F889" s="8" t="s">
        <v>8</v>
      </c>
      <c r="G889" s="8" t="s">
        <v>8</v>
      </c>
      <c r="I889" s="94" t="str">
        <f>IFERROR(__xludf.DUMMYFUNCTION("if(H889=""Must be Together"",iferror(join("", "",unique(filter({filter('Students (Vertical)'!O:O,'Students (Vertical)'!C:C=B889,'Students (Vertical)'!O:O&lt;&gt;"""");filter('Students (Vertical)'!O:O,'Students (Vertical)'!C:C=E889,'Students (Vertical)'!O:O&lt;&gt;"""&amp;""")},countifs({filter('Students (Vertical)'!O:O,'Students (Vertical)'!C:C=B889,'Students (Vertical)'!O:O&lt;&gt;"""");filter('Students (Vertical)'!O:O,'Students (Vertical)'!C:C=E889,'Students (Vertical)'!O:O&lt;&gt;"""")},{filter('Students (Vertical)'!O:O,'Students ("&amp;"Vertical)'!C:C=B889,'Students (Vertical)'!O:O&lt;&gt;"""");filter('Students (Vertical)'!O:O,'Students (Vertical)'!C:C=E889,'Students (Vertical)'!O:O&lt;&gt;"""")})&gt;1))),""No shared courses""),"""")"),"")</f>
        <v/>
      </c>
      <c r="J889" s="94" t="str">
        <f>IFERROR(__xludf.DUMMYFUNCTION("if(H889=""Can't be Together"",iferror(join("", "",unique(filter({unique(filter('Students (Vertical)'!O:O,'Students (Vertical)'!C:C=B889,'Students (Vertical)'!O:O&lt;&gt;"""",'Students (Vertical)'!P:P&gt;1));unique(filter('Students (Vertical)'!O:O,'Students (Vertic"&amp;"al)'!C:C=E889,'Students (Vertical)'!O:O&lt;&gt;"""",'Students (Vertical)'!P:P&gt;1))},countifs({unique(filter('Students (Vertical)'!O:O,'Students (Vertical)'!C:C=B889,'Students (Vertical)'!O:O&lt;&gt;"""",'Students (Vertical)'!P:P&gt;1));unique(filter('Students (Vertical)'"&amp;"!O:O,'Students (Vertical)'!C:C=E889,'Students (Vertical)'!O:O&lt;&gt;"""",'Students (Vertical)'!P:P&gt;1))},{unique(filter('Students (Vertical)'!O:O,'Students (Vertical)'!C:C=B889,'Students (Vertical)'!O:O&lt;&gt;"""",'Students (Vertical)'!P:P&gt;1));unique(filter('Student"&amp;"s (Vertical)'!O:O,'Students (Vertical)'!C:C=E889,'Students (Vertical)'!O:O&lt;&gt;"""",'Students (Vertical)'!P:P&gt;1))})&gt;1))),""""),"""")"),"")</f>
        <v/>
      </c>
      <c r="K889" s="96" t="str">
        <f>IFERROR(__xludf.DUMMYFUNCTION("iferror(join("", "",unique(filter({filter('Students (Vertical)'!D:D,'Students (Vertical)'!C:C=B889,'Students (Vertical)'!D:D&lt;&gt;"""");filter('Students (Vertical)'!D:D,'Students (Vertical)'!C:C=E889,'Students (Vertical)'!D:D&lt;&gt;"""")},countifs({filter('Student"&amp;"s (Vertical)'!D:D,'Students (Vertical)'!C:C=B889,'Students (Vertical)'!D:D&lt;&gt;"""");filter('Students (Vertical)'!D:D,'Students (Vertical)'!C:C=E889,'Students (Vertical)'!D:D&lt;&gt;"""")},{filter('Students (Vertical)'!D:D,'Students (Vertical)'!C:C=B889,'Students "&amp;"(Vertical)'!D:D&lt;&gt;"""");filter('Students (Vertical)'!D:D,'Students (Vertical)'!C:C=E889,'Students (Vertical)'!D:D&lt;&gt;"""")})&gt;1))),"""")"),"")</f>
        <v/>
      </c>
      <c r="L889" s="96"/>
      <c r="M889" s="96"/>
    </row>
    <row r="890" hidden="1">
      <c r="A890" s="8" t="s">
        <v>8</v>
      </c>
      <c r="C890" s="8" t="s">
        <v>8</v>
      </c>
      <c r="D890" s="8" t="s">
        <v>8</v>
      </c>
      <c r="F890" s="8" t="s">
        <v>8</v>
      </c>
      <c r="G890" s="8" t="s">
        <v>8</v>
      </c>
      <c r="I890" s="94" t="str">
        <f>IFERROR(__xludf.DUMMYFUNCTION("if(H890=""Must be Together"",iferror(join("", "",unique(filter({filter('Students (Vertical)'!O:O,'Students (Vertical)'!C:C=B890,'Students (Vertical)'!O:O&lt;&gt;"""");filter('Students (Vertical)'!O:O,'Students (Vertical)'!C:C=E890,'Students (Vertical)'!O:O&lt;&gt;"""&amp;""")},countifs({filter('Students (Vertical)'!O:O,'Students (Vertical)'!C:C=B890,'Students (Vertical)'!O:O&lt;&gt;"""");filter('Students (Vertical)'!O:O,'Students (Vertical)'!C:C=E890,'Students (Vertical)'!O:O&lt;&gt;"""")},{filter('Students (Vertical)'!O:O,'Students ("&amp;"Vertical)'!C:C=B890,'Students (Vertical)'!O:O&lt;&gt;"""");filter('Students (Vertical)'!O:O,'Students (Vertical)'!C:C=E890,'Students (Vertical)'!O:O&lt;&gt;"""")})&gt;1))),""No shared courses""),"""")"),"")</f>
        <v/>
      </c>
      <c r="J890" s="94" t="str">
        <f>IFERROR(__xludf.DUMMYFUNCTION("if(H890=""Can't be Together"",iferror(join("", "",unique(filter({unique(filter('Students (Vertical)'!O:O,'Students (Vertical)'!C:C=B890,'Students (Vertical)'!O:O&lt;&gt;"""",'Students (Vertical)'!P:P&gt;1));unique(filter('Students (Vertical)'!O:O,'Students (Vertic"&amp;"al)'!C:C=E890,'Students (Vertical)'!O:O&lt;&gt;"""",'Students (Vertical)'!P:P&gt;1))},countifs({unique(filter('Students (Vertical)'!O:O,'Students (Vertical)'!C:C=B890,'Students (Vertical)'!O:O&lt;&gt;"""",'Students (Vertical)'!P:P&gt;1));unique(filter('Students (Vertical)'"&amp;"!O:O,'Students (Vertical)'!C:C=E890,'Students (Vertical)'!O:O&lt;&gt;"""",'Students (Vertical)'!P:P&gt;1))},{unique(filter('Students (Vertical)'!O:O,'Students (Vertical)'!C:C=B890,'Students (Vertical)'!O:O&lt;&gt;"""",'Students (Vertical)'!P:P&gt;1));unique(filter('Student"&amp;"s (Vertical)'!O:O,'Students (Vertical)'!C:C=E890,'Students (Vertical)'!O:O&lt;&gt;"""",'Students (Vertical)'!P:P&gt;1))})&gt;1))),""""),"""")"),"")</f>
        <v/>
      </c>
      <c r="K890" s="96" t="str">
        <f>IFERROR(__xludf.DUMMYFUNCTION("iferror(join("", "",unique(filter({filter('Students (Vertical)'!D:D,'Students (Vertical)'!C:C=B890,'Students (Vertical)'!D:D&lt;&gt;"""");filter('Students (Vertical)'!D:D,'Students (Vertical)'!C:C=E890,'Students (Vertical)'!D:D&lt;&gt;"""")},countifs({filter('Student"&amp;"s (Vertical)'!D:D,'Students (Vertical)'!C:C=B890,'Students (Vertical)'!D:D&lt;&gt;"""");filter('Students (Vertical)'!D:D,'Students (Vertical)'!C:C=E890,'Students (Vertical)'!D:D&lt;&gt;"""")},{filter('Students (Vertical)'!D:D,'Students (Vertical)'!C:C=B890,'Students "&amp;"(Vertical)'!D:D&lt;&gt;"""");filter('Students (Vertical)'!D:D,'Students (Vertical)'!C:C=E890,'Students (Vertical)'!D:D&lt;&gt;"""")})&gt;1))),"""")"),"")</f>
        <v/>
      </c>
      <c r="L890" s="96"/>
      <c r="M890" s="96"/>
    </row>
    <row r="891" hidden="1">
      <c r="A891" s="8" t="s">
        <v>8</v>
      </c>
      <c r="C891" s="8" t="s">
        <v>8</v>
      </c>
      <c r="D891" s="8" t="s">
        <v>8</v>
      </c>
      <c r="F891" s="8" t="s">
        <v>8</v>
      </c>
      <c r="G891" s="8" t="s">
        <v>8</v>
      </c>
      <c r="I891" s="94" t="str">
        <f>IFERROR(__xludf.DUMMYFUNCTION("if(H891=""Must be Together"",iferror(join("", "",unique(filter({filter('Students (Vertical)'!O:O,'Students (Vertical)'!C:C=B891,'Students (Vertical)'!O:O&lt;&gt;"""");filter('Students (Vertical)'!O:O,'Students (Vertical)'!C:C=E891,'Students (Vertical)'!O:O&lt;&gt;"""&amp;""")},countifs({filter('Students (Vertical)'!O:O,'Students (Vertical)'!C:C=B891,'Students (Vertical)'!O:O&lt;&gt;"""");filter('Students (Vertical)'!O:O,'Students (Vertical)'!C:C=E891,'Students (Vertical)'!O:O&lt;&gt;"""")},{filter('Students (Vertical)'!O:O,'Students ("&amp;"Vertical)'!C:C=B891,'Students (Vertical)'!O:O&lt;&gt;"""");filter('Students (Vertical)'!O:O,'Students (Vertical)'!C:C=E891,'Students (Vertical)'!O:O&lt;&gt;"""")})&gt;1))),""No shared courses""),"""")"),"")</f>
        <v/>
      </c>
      <c r="J891" s="94" t="str">
        <f>IFERROR(__xludf.DUMMYFUNCTION("if(H891=""Can't be Together"",iferror(join("", "",unique(filter({unique(filter('Students (Vertical)'!O:O,'Students (Vertical)'!C:C=B891,'Students (Vertical)'!O:O&lt;&gt;"""",'Students (Vertical)'!P:P&gt;1));unique(filter('Students (Vertical)'!O:O,'Students (Vertic"&amp;"al)'!C:C=E891,'Students (Vertical)'!O:O&lt;&gt;"""",'Students (Vertical)'!P:P&gt;1))},countifs({unique(filter('Students (Vertical)'!O:O,'Students (Vertical)'!C:C=B891,'Students (Vertical)'!O:O&lt;&gt;"""",'Students (Vertical)'!P:P&gt;1));unique(filter('Students (Vertical)'"&amp;"!O:O,'Students (Vertical)'!C:C=E891,'Students (Vertical)'!O:O&lt;&gt;"""",'Students (Vertical)'!P:P&gt;1))},{unique(filter('Students (Vertical)'!O:O,'Students (Vertical)'!C:C=B891,'Students (Vertical)'!O:O&lt;&gt;"""",'Students (Vertical)'!P:P&gt;1));unique(filter('Student"&amp;"s (Vertical)'!O:O,'Students (Vertical)'!C:C=E891,'Students (Vertical)'!O:O&lt;&gt;"""",'Students (Vertical)'!P:P&gt;1))})&gt;1))),""""),"""")"),"")</f>
        <v/>
      </c>
      <c r="K891" s="96" t="str">
        <f>IFERROR(__xludf.DUMMYFUNCTION("iferror(join("", "",unique(filter({filter('Students (Vertical)'!D:D,'Students (Vertical)'!C:C=B891,'Students (Vertical)'!D:D&lt;&gt;"""");filter('Students (Vertical)'!D:D,'Students (Vertical)'!C:C=E891,'Students (Vertical)'!D:D&lt;&gt;"""")},countifs({filter('Student"&amp;"s (Vertical)'!D:D,'Students (Vertical)'!C:C=B891,'Students (Vertical)'!D:D&lt;&gt;"""");filter('Students (Vertical)'!D:D,'Students (Vertical)'!C:C=E891,'Students (Vertical)'!D:D&lt;&gt;"""")},{filter('Students (Vertical)'!D:D,'Students (Vertical)'!C:C=B891,'Students "&amp;"(Vertical)'!D:D&lt;&gt;"""");filter('Students (Vertical)'!D:D,'Students (Vertical)'!C:C=E891,'Students (Vertical)'!D:D&lt;&gt;"""")})&gt;1))),"""")"),"")</f>
        <v/>
      </c>
      <c r="L891" s="96"/>
      <c r="M891" s="96"/>
    </row>
    <row r="892" hidden="1">
      <c r="A892" s="8" t="s">
        <v>8</v>
      </c>
      <c r="C892" s="8" t="s">
        <v>8</v>
      </c>
      <c r="D892" s="8" t="s">
        <v>8</v>
      </c>
      <c r="F892" s="8" t="s">
        <v>8</v>
      </c>
      <c r="G892" s="8" t="s">
        <v>8</v>
      </c>
      <c r="I892" s="94" t="str">
        <f>IFERROR(__xludf.DUMMYFUNCTION("if(H892=""Must be Together"",iferror(join("", "",unique(filter({filter('Students (Vertical)'!O:O,'Students (Vertical)'!C:C=B892,'Students (Vertical)'!O:O&lt;&gt;"""");filter('Students (Vertical)'!O:O,'Students (Vertical)'!C:C=E892,'Students (Vertical)'!O:O&lt;&gt;"""&amp;""")},countifs({filter('Students (Vertical)'!O:O,'Students (Vertical)'!C:C=B892,'Students (Vertical)'!O:O&lt;&gt;"""");filter('Students (Vertical)'!O:O,'Students (Vertical)'!C:C=E892,'Students (Vertical)'!O:O&lt;&gt;"""")},{filter('Students (Vertical)'!O:O,'Students ("&amp;"Vertical)'!C:C=B892,'Students (Vertical)'!O:O&lt;&gt;"""");filter('Students (Vertical)'!O:O,'Students (Vertical)'!C:C=E892,'Students (Vertical)'!O:O&lt;&gt;"""")})&gt;1))),""No shared courses""),"""")"),"")</f>
        <v/>
      </c>
      <c r="J892" s="94" t="str">
        <f>IFERROR(__xludf.DUMMYFUNCTION("if(H892=""Can't be Together"",iferror(join("", "",unique(filter({unique(filter('Students (Vertical)'!O:O,'Students (Vertical)'!C:C=B892,'Students (Vertical)'!O:O&lt;&gt;"""",'Students (Vertical)'!P:P&gt;1));unique(filter('Students (Vertical)'!O:O,'Students (Vertic"&amp;"al)'!C:C=E892,'Students (Vertical)'!O:O&lt;&gt;"""",'Students (Vertical)'!P:P&gt;1))},countifs({unique(filter('Students (Vertical)'!O:O,'Students (Vertical)'!C:C=B892,'Students (Vertical)'!O:O&lt;&gt;"""",'Students (Vertical)'!P:P&gt;1));unique(filter('Students (Vertical)'"&amp;"!O:O,'Students (Vertical)'!C:C=E892,'Students (Vertical)'!O:O&lt;&gt;"""",'Students (Vertical)'!P:P&gt;1))},{unique(filter('Students (Vertical)'!O:O,'Students (Vertical)'!C:C=B892,'Students (Vertical)'!O:O&lt;&gt;"""",'Students (Vertical)'!P:P&gt;1));unique(filter('Student"&amp;"s (Vertical)'!O:O,'Students (Vertical)'!C:C=E892,'Students (Vertical)'!O:O&lt;&gt;"""",'Students (Vertical)'!P:P&gt;1))})&gt;1))),""""),"""")"),"")</f>
        <v/>
      </c>
      <c r="K892" s="96" t="str">
        <f>IFERROR(__xludf.DUMMYFUNCTION("iferror(join("", "",unique(filter({filter('Students (Vertical)'!D:D,'Students (Vertical)'!C:C=B892,'Students (Vertical)'!D:D&lt;&gt;"""");filter('Students (Vertical)'!D:D,'Students (Vertical)'!C:C=E892,'Students (Vertical)'!D:D&lt;&gt;"""")},countifs({filter('Student"&amp;"s (Vertical)'!D:D,'Students (Vertical)'!C:C=B892,'Students (Vertical)'!D:D&lt;&gt;"""");filter('Students (Vertical)'!D:D,'Students (Vertical)'!C:C=E892,'Students (Vertical)'!D:D&lt;&gt;"""")},{filter('Students (Vertical)'!D:D,'Students (Vertical)'!C:C=B892,'Students "&amp;"(Vertical)'!D:D&lt;&gt;"""");filter('Students (Vertical)'!D:D,'Students (Vertical)'!C:C=E892,'Students (Vertical)'!D:D&lt;&gt;"""")})&gt;1))),"""")"),"")</f>
        <v/>
      </c>
      <c r="L892" s="96"/>
      <c r="M892" s="96"/>
    </row>
    <row r="893" hidden="1">
      <c r="A893" s="8" t="s">
        <v>8</v>
      </c>
      <c r="C893" s="8" t="s">
        <v>8</v>
      </c>
      <c r="D893" s="8" t="s">
        <v>8</v>
      </c>
      <c r="F893" s="8" t="s">
        <v>8</v>
      </c>
      <c r="G893" s="8" t="s">
        <v>8</v>
      </c>
      <c r="I893" s="94" t="str">
        <f>IFERROR(__xludf.DUMMYFUNCTION("if(H893=""Must be Together"",iferror(join("", "",unique(filter({filter('Students (Vertical)'!O:O,'Students (Vertical)'!C:C=B893,'Students (Vertical)'!O:O&lt;&gt;"""");filter('Students (Vertical)'!O:O,'Students (Vertical)'!C:C=E893,'Students (Vertical)'!O:O&lt;&gt;"""&amp;""")},countifs({filter('Students (Vertical)'!O:O,'Students (Vertical)'!C:C=B893,'Students (Vertical)'!O:O&lt;&gt;"""");filter('Students (Vertical)'!O:O,'Students (Vertical)'!C:C=E893,'Students (Vertical)'!O:O&lt;&gt;"""")},{filter('Students (Vertical)'!O:O,'Students ("&amp;"Vertical)'!C:C=B893,'Students (Vertical)'!O:O&lt;&gt;"""");filter('Students (Vertical)'!O:O,'Students (Vertical)'!C:C=E893,'Students (Vertical)'!O:O&lt;&gt;"""")})&gt;1))),""No shared courses""),"""")"),"")</f>
        <v/>
      </c>
      <c r="J893" s="94" t="str">
        <f>IFERROR(__xludf.DUMMYFUNCTION("if(H893=""Can't be Together"",iferror(join("", "",unique(filter({unique(filter('Students (Vertical)'!O:O,'Students (Vertical)'!C:C=B893,'Students (Vertical)'!O:O&lt;&gt;"""",'Students (Vertical)'!P:P&gt;1));unique(filter('Students (Vertical)'!O:O,'Students (Vertic"&amp;"al)'!C:C=E893,'Students (Vertical)'!O:O&lt;&gt;"""",'Students (Vertical)'!P:P&gt;1))},countifs({unique(filter('Students (Vertical)'!O:O,'Students (Vertical)'!C:C=B893,'Students (Vertical)'!O:O&lt;&gt;"""",'Students (Vertical)'!P:P&gt;1));unique(filter('Students (Vertical)'"&amp;"!O:O,'Students (Vertical)'!C:C=E893,'Students (Vertical)'!O:O&lt;&gt;"""",'Students (Vertical)'!P:P&gt;1))},{unique(filter('Students (Vertical)'!O:O,'Students (Vertical)'!C:C=B893,'Students (Vertical)'!O:O&lt;&gt;"""",'Students (Vertical)'!P:P&gt;1));unique(filter('Student"&amp;"s (Vertical)'!O:O,'Students (Vertical)'!C:C=E893,'Students (Vertical)'!O:O&lt;&gt;"""",'Students (Vertical)'!P:P&gt;1))})&gt;1))),""""),"""")"),"")</f>
        <v/>
      </c>
      <c r="K893" s="96" t="str">
        <f>IFERROR(__xludf.DUMMYFUNCTION("iferror(join("", "",unique(filter({filter('Students (Vertical)'!D:D,'Students (Vertical)'!C:C=B893,'Students (Vertical)'!D:D&lt;&gt;"""");filter('Students (Vertical)'!D:D,'Students (Vertical)'!C:C=E893,'Students (Vertical)'!D:D&lt;&gt;"""")},countifs({filter('Student"&amp;"s (Vertical)'!D:D,'Students (Vertical)'!C:C=B893,'Students (Vertical)'!D:D&lt;&gt;"""");filter('Students (Vertical)'!D:D,'Students (Vertical)'!C:C=E893,'Students (Vertical)'!D:D&lt;&gt;"""")},{filter('Students (Vertical)'!D:D,'Students (Vertical)'!C:C=B893,'Students "&amp;"(Vertical)'!D:D&lt;&gt;"""");filter('Students (Vertical)'!D:D,'Students (Vertical)'!C:C=E893,'Students (Vertical)'!D:D&lt;&gt;"""")})&gt;1))),"""")"),"")</f>
        <v/>
      </c>
      <c r="L893" s="96"/>
      <c r="M893" s="96"/>
    </row>
    <row r="894" hidden="1">
      <c r="A894" s="8" t="s">
        <v>8</v>
      </c>
      <c r="C894" s="8" t="s">
        <v>8</v>
      </c>
      <c r="D894" s="8" t="s">
        <v>8</v>
      </c>
      <c r="F894" s="8" t="s">
        <v>8</v>
      </c>
      <c r="G894" s="8" t="s">
        <v>8</v>
      </c>
      <c r="I894" s="94" t="str">
        <f>IFERROR(__xludf.DUMMYFUNCTION("if(H894=""Must be Together"",iferror(join("", "",unique(filter({filter('Students (Vertical)'!O:O,'Students (Vertical)'!C:C=B894,'Students (Vertical)'!O:O&lt;&gt;"""");filter('Students (Vertical)'!O:O,'Students (Vertical)'!C:C=E894,'Students (Vertical)'!O:O&lt;&gt;"""&amp;""")},countifs({filter('Students (Vertical)'!O:O,'Students (Vertical)'!C:C=B894,'Students (Vertical)'!O:O&lt;&gt;"""");filter('Students (Vertical)'!O:O,'Students (Vertical)'!C:C=E894,'Students (Vertical)'!O:O&lt;&gt;"""")},{filter('Students (Vertical)'!O:O,'Students ("&amp;"Vertical)'!C:C=B894,'Students (Vertical)'!O:O&lt;&gt;"""");filter('Students (Vertical)'!O:O,'Students (Vertical)'!C:C=E894,'Students (Vertical)'!O:O&lt;&gt;"""")})&gt;1))),""No shared courses""),"""")"),"")</f>
        <v/>
      </c>
      <c r="J894" s="94" t="str">
        <f>IFERROR(__xludf.DUMMYFUNCTION("if(H894=""Can't be Together"",iferror(join("", "",unique(filter({unique(filter('Students (Vertical)'!O:O,'Students (Vertical)'!C:C=B894,'Students (Vertical)'!O:O&lt;&gt;"""",'Students (Vertical)'!P:P&gt;1));unique(filter('Students (Vertical)'!O:O,'Students (Vertic"&amp;"al)'!C:C=E894,'Students (Vertical)'!O:O&lt;&gt;"""",'Students (Vertical)'!P:P&gt;1))},countifs({unique(filter('Students (Vertical)'!O:O,'Students (Vertical)'!C:C=B894,'Students (Vertical)'!O:O&lt;&gt;"""",'Students (Vertical)'!P:P&gt;1));unique(filter('Students (Vertical)'"&amp;"!O:O,'Students (Vertical)'!C:C=E894,'Students (Vertical)'!O:O&lt;&gt;"""",'Students (Vertical)'!P:P&gt;1))},{unique(filter('Students (Vertical)'!O:O,'Students (Vertical)'!C:C=B894,'Students (Vertical)'!O:O&lt;&gt;"""",'Students (Vertical)'!P:P&gt;1));unique(filter('Student"&amp;"s (Vertical)'!O:O,'Students (Vertical)'!C:C=E894,'Students (Vertical)'!O:O&lt;&gt;"""",'Students (Vertical)'!P:P&gt;1))})&gt;1))),""""),"""")"),"")</f>
        <v/>
      </c>
      <c r="K894" s="96" t="str">
        <f>IFERROR(__xludf.DUMMYFUNCTION("iferror(join("", "",unique(filter({filter('Students (Vertical)'!D:D,'Students (Vertical)'!C:C=B894,'Students (Vertical)'!D:D&lt;&gt;"""");filter('Students (Vertical)'!D:D,'Students (Vertical)'!C:C=E894,'Students (Vertical)'!D:D&lt;&gt;"""")},countifs({filter('Student"&amp;"s (Vertical)'!D:D,'Students (Vertical)'!C:C=B894,'Students (Vertical)'!D:D&lt;&gt;"""");filter('Students (Vertical)'!D:D,'Students (Vertical)'!C:C=E894,'Students (Vertical)'!D:D&lt;&gt;"""")},{filter('Students (Vertical)'!D:D,'Students (Vertical)'!C:C=B894,'Students "&amp;"(Vertical)'!D:D&lt;&gt;"""");filter('Students (Vertical)'!D:D,'Students (Vertical)'!C:C=E894,'Students (Vertical)'!D:D&lt;&gt;"""")})&gt;1))),"""")"),"")</f>
        <v/>
      </c>
      <c r="L894" s="96"/>
      <c r="M894" s="96"/>
    </row>
    <row r="895" hidden="1">
      <c r="A895" s="8" t="s">
        <v>8</v>
      </c>
      <c r="C895" s="8" t="s">
        <v>8</v>
      </c>
      <c r="D895" s="8" t="s">
        <v>8</v>
      </c>
      <c r="F895" s="8" t="s">
        <v>8</v>
      </c>
      <c r="G895" s="8" t="s">
        <v>8</v>
      </c>
      <c r="I895" s="94" t="str">
        <f>IFERROR(__xludf.DUMMYFUNCTION("if(H895=""Must be Together"",iferror(join("", "",unique(filter({filter('Students (Vertical)'!O:O,'Students (Vertical)'!C:C=B895,'Students (Vertical)'!O:O&lt;&gt;"""");filter('Students (Vertical)'!O:O,'Students (Vertical)'!C:C=E895,'Students (Vertical)'!O:O&lt;&gt;"""&amp;""")},countifs({filter('Students (Vertical)'!O:O,'Students (Vertical)'!C:C=B895,'Students (Vertical)'!O:O&lt;&gt;"""");filter('Students (Vertical)'!O:O,'Students (Vertical)'!C:C=E895,'Students (Vertical)'!O:O&lt;&gt;"""")},{filter('Students (Vertical)'!O:O,'Students ("&amp;"Vertical)'!C:C=B895,'Students (Vertical)'!O:O&lt;&gt;"""");filter('Students (Vertical)'!O:O,'Students (Vertical)'!C:C=E895,'Students (Vertical)'!O:O&lt;&gt;"""")})&gt;1))),""No shared courses""),"""")"),"")</f>
        <v/>
      </c>
      <c r="J895" s="94" t="str">
        <f>IFERROR(__xludf.DUMMYFUNCTION("if(H895=""Can't be Together"",iferror(join("", "",unique(filter({unique(filter('Students (Vertical)'!O:O,'Students (Vertical)'!C:C=B895,'Students (Vertical)'!O:O&lt;&gt;"""",'Students (Vertical)'!P:P&gt;1));unique(filter('Students (Vertical)'!O:O,'Students (Vertic"&amp;"al)'!C:C=E895,'Students (Vertical)'!O:O&lt;&gt;"""",'Students (Vertical)'!P:P&gt;1))},countifs({unique(filter('Students (Vertical)'!O:O,'Students (Vertical)'!C:C=B895,'Students (Vertical)'!O:O&lt;&gt;"""",'Students (Vertical)'!P:P&gt;1));unique(filter('Students (Vertical)'"&amp;"!O:O,'Students (Vertical)'!C:C=E895,'Students (Vertical)'!O:O&lt;&gt;"""",'Students (Vertical)'!P:P&gt;1))},{unique(filter('Students (Vertical)'!O:O,'Students (Vertical)'!C:C=B895,'Students (Vertical)'!O:O&lt;&gt;"""",'Students (Vertical)'!P:P&gt;1));unique(filter('Student"&amp;"s (Vertical)'!O:O,'Students (Vertical)'!C:C=E895,'Students (Vertical)'!O:O&lt;&gt;"""",'Students (Vertical)'!P:P&gt;1))})&gt;1))),""""),"""")"),"")</f>
        <v/>
      </c>
      <c r="K895" s="96" t="str">
        <f>IFERROR(__xludf.DUMMYFUNCTION("iferror(join("", "",unique(filter({filter('Students (Vertical)'!D:D,'Students (Vertical)'!C:C=B895,'Students (Vertical)'!D:D&lt;&gt;"""");filter('Students (Vertical)'!D:D,'Students (Vertical)'!C:C=E895,'Students (Vertical)'!D:D&lt;&gt;"""")},countifs({filter('Student"&amp;"s (Vertical)'!D:D,'Students (Vertical)'!C:C=B895,'Students (Vertical)'!D:D&lt;&gt;"""");filter('Students (Vertical)'!D:D,'Students (Vertical)'!C:C=E895,'Students (Vertical)'!D:D&lt;&gt;"""")},{filter('Students (Vertical)'!D:D,'Students (Vertical)'!C:C=B895,'Students "&amp;"(Vertical)'!D:D&lt;&gt;"""");filter('Students (Vertical)'!D:D,'Students (Vertical)'!C:C=E895,'Students (Vertical)'!D:D&lt;&gt;"""")})&gt;1))),"""")"),"")</f>
        <v/>
      </c>
      <c r="L895" s="96"/>
      <c r="M895" s="96"/>
    </row>
    <row r="896" hidden="1">
      <c r="A896" s="8" t="s">
        <v>8</v>
      </c>
      <c r="C896" s="8" t="s">
        <v>8</v>
      </c>
      <c r="D896" s="8" t="s">
        <v>8</v>
      </c>
      <c r="F896" s="8" t="s">
        <v>8</v>
      </c>
      <c r="G896" s="8" t="s">
        <v>8</v>
      </c>
      <c r="I896" s="94" t="str">
        <f>IFERROR(__xludf.DUMMYFUNCTION("if(H896=""Must be Together"",iferror(join("", "",unique(filter({filter('Students (Vertical)'!O:O,'Students (Vertical)'!C:C=B896,'Students (Vertical)'!O:O&lt;&gt;"""");filter('Students (Vertical)'!O:O,'Students (Vertical)'!C:C=E896,'Students (Vertical)'!O:O&lt;&gt;"""&amp;""")},countifs({filter('Students (Vertical)'!O:O,'Students (Vertical)'!C:C=B896,'Students (Vertical)'!O:O&lt;&gt;"""");filter('Students (Vertical)'!O:O,'Students (Vertical)'!C:C=E896,'Students (Vertical)'!O:O&lt;&gt;"""")},{filter('Students (Vertical)'!O:O,'Students ("&amp;"Vertical)'!C:C=B896,'Students (Vertical)'!O:O&lt;&gt;"""");filter('Students (Vertical)'!O:O,'Students (Vertical)'!C:C=E896,'Students (Vertical)'!O:O&lt;&gt;"""")})&gt;1))),""No shared courses""),"""")"),"")</f>
        <v/>
      </c>
      <c r="J896" s="94" t="str">
        <f>IFERROR(__xludf.DUMMYFUNCTION("if(H896=""Can't be Together"",iferror(join("", "",unique(filter({unique(filter('Students (Vertical)'!O:O,'Students (Vertical)'!C:C=B896,'Students (Vertical)'!O:O&lt;&gt;"""",'Students (Vertical)'!P:P&gt;1));unique(filter('Students (Vertical)'!O:O,'Students (Vertic"&amp;"al)'!C:C=E896,'Students (Vertical)'!O:O&lt;&gt;"""",'Students (Vertical)'!P:P&gt;1))},countifs({unique(filter('Students (Vertical)'!O:O,'Students (Vertical)'!C:C=B896,'Students (Vertical)'!O:O&lt;&gt;"""",'Students (Vertical)'!P:P&gt;1));unique(filter('Students (Vertical)'"&amp;"!O:O,'Students (Vertical)'!C:C=E896,'Students (Vertical)'!O:O&lt;&gt;"""",'Students (Vertical)'!P:P&gt;1))},{unique(filter('Students (Vertical)'!O:O,'Students (Vertical)'!C:C=B896,'Students (Vertical)'!O:O&lt;&gt;"""",'Students (Vertical)'!P:P&gt;1));unique(filter('Student"&amp;"s (Vertical)'!O:O,'Students (Vertical)'!C:C=E896,'Students (Vertical)'!O:O&lt;&gt;"""",'Students (Vertical)'!P:P&gt;1))})&gt;1))),""""),"""")"),"")</f>
        <v/>
      </c>
      <c r="K896" s="96" t="str">
        <f>IFERROR(__xludf.DUMMYFUNCTION("iferror(join("", "",unique(filter({filter('Students (Vertical)'!D:D,'Students (Vertical)'!C:C=B896,'Students (Vertical)'!D:D&lt;&gt;"""");filter('Students (Vertical)'!D:D,'Students (Vertical)'!C:C=E896,'Students (Vertical)'!D:D&lt;&gt;"""")},countifs({filter('Student"&amp;"s (Vertical)'!D:D,'Students (Vertical)'!C:C=B896,'Students (Vertical)'!D:D&lt;&gt;"""");filter('Students (Vertical)'!D:D,'Students (Vertical)'!C:C=E896,'Students (Vertical)'!D:D&lt;&gt;"""")},{filter('Students (Vertical)'!D:D,'Students (Vertical)'!C:C=B896,'Students "&amp;"(Vertical)'!D:D&lt;&gt;"""");filter('Students (Vertical)'!D:D,'Students (Vertical)'!C:C=E896,'Students (Vertical)'!D:D&lt;&gt;"""")})&gt;1))),"""")"),"")</f>
        <v/>
      </c>
      <c r="L896" s="96"/>
      <c r="M896" s="96"/>
    </row>
    <row r="897" hidden="1">
      <c r="A897" s="8" t="s">
        <v>8</v>
      </c>
      <c r="C897" s="8" t="s">
        <v>8</v>
      </c>
      <c r="D897" s="8" t="s">
        <v>8</v>
      </c>
      <c r="F897" s="8" t="s">
        <v>8</v>
      </c>
      <c r="G897" s="8" t="s">
        <v>8</v>
      </c>
      <c r="I897" s="94" t="str">
        <f>IFERROR(__xludf.DUMMYFUNCTION("if(H897=""Must be Together"",iferror(join("", "",unique(filter({filter('Students (Vertical)'!O:O,'Students (Vertical)'!C:C=B897,'Students (Vertical)'!O:O&lt;&gt;"""");filter('Students (Vertical)'!O:O,'Students (Vertical)'!C:C=E897,'Students (Vertical)'!O:O&lt;&gt;"""&amp;""")},countifs({filter('Students (Vertical)'!O:O,'Students (Vertical)'!C:C=B897,'Students (Vertical)'!O:O&lt;&gt;"""");filter('Students (Vertical)'!O:O,'Students (Vertical)'!C:C=E897,'Students (Vertical)'!O:O&lt;&gt;"""")},{filter('Students (Vertical)'!O:O,'Students ("&amp;"Vertical)'!C:C=B897,'Students (Vertical)'!O:O&lt;&gt;"""");filter('Students (Vertical)'!O:O,'Students (Vertical)'!C:C=E897,'Students (Vertical)'!O:O&lt;&gt;"""")})&gt;1))),""No shared courses""),"""")"),"")</f>
        <v/>
      </c>
      <c r="J897" s="94" t="str">
        <f>IFERROR(__xludf.DUMMYFUNCTION("if(H897=""Can't be Together"",iferror(join("", "",unique(filter({unique(filter('Students (Vertical)'!O:O,'Students (Vertical)'!C:C=B897,'Students (Vertical)'!O:O&lt;&gt;"""",'Students (Vertical)'!P:P&gt;1));unique(filter('Students (Vertical)'!O:O,'Students (Vertic"&amp;"al)'!C:C=E897,'Students (Vertical)'!O:O&lt;&gt;"""",'Students (Vertical)'!P:P&gt;1))},countifs({unique(filter('Students (Vertical)'!O:O,'Students (Vertical)'!C:C=B897,'Students (Vertical)'!O:O&lt;&gt;"""",'Students (Vertical)'!P:P&gt;1));unique(filter('Students (Vertical)'"&amp;"!O:O,'Students (Vertical)'!C:C=E897,'Students (Vertical)'!O:O&lt;&gt;"""",'Students (Vertical)'!P:P&gt;1))},{unique(filter('Students (Vertical)'!O:O,'Students (Vertical)'!C:C=B897,'Students (Vertical)'!O:O&lt;&gt;"""",'Students (Vertical)'!P:P&gt;1));unique(filter('Student"&amp;"s (Vertical)'!O:O,'Students (Vertical)'!C:C=E897,'Students (Vertical)'!O:O&lt;&gt;"""",'Students (Vertical)'!P:P&gt;1))})&gt;1))),""""),"""")"),"")</f>
        <v/>
      </c>
      <c r="K897" s="96" t="str">
        <f>IFERROR(__xludf.DUMMYFUNCTION("iferror(join("", "",unique(filter({filter('Students (Vertical)'!D:D,'Students (Vertical)'!C:C=B897,'Students (Vertical)'!D:D&lt;&gt;"""");filter('Students (Vertical)'!D:D,'Students (Vertical)'!C:C=E897,'Students (Vertical)'!D:D&lt;&gt;"""")},countifs({filter('Student"&amp;"s (Vertical)'!D:D,'Students (Vertical)'!C:C=B897,'Students (Vertical)'!D:D&lt;&gt;"""");filter('Students (Vertical)'!D:D,'Students (Vertical)'!C:C=E897,'Students (Vertical)'!D:D&lt;&gt;"""")},{filter('Students (Vertical)'!D:D,'Students (Vertical)'!C:C=B897,'Students "&amp;"(Vertical)'!D:D&lt;&gt;"""");filter('Students (Vertical)'!D:D,'Students (Vertical)'!C:C=E897,'Students (Vertical)'!D:D&lt;&gt;"""")})&gt;1))),"""")"),"")</f>
        <v/>
      </c>
      <c r="L897" s="96"/>
      <c r="M897" s="96"/>
    </row>
    <row r="898" hidden="1">
      <c r="A898" s="8" t="s">
        <v>8</v>
      </c>
      <c r="C898" s="8" t="s">
        <v>8</v>
      </c>
      <c r="D898" s="8" t="s">
        <v>8</v>
      </c>
      <c r="F898" s="8" t="s">
        <v>8</v>
      </c>
      <c r="G898" s="8" t="s">
        <v>8</v>
      </c>
      <c r="I898" s="94" t="str">
        <f>IFERROR(__xludf.DUMMYFUNCTION("if(H898=""Must be Together"",iferror(join("", "",unique(filter({filter('Students (Vertical)'!O:O,'Students (Vertical)'!C:C=B898,'Students (Vertical)'!O:O&lt;&gt;"""");filter('Students (Vertical)'!O:O,'Students (Vertical)'!C:C=E898,'Students (Vertical)'!O:O&lt;&gt;"""&amp;""")},countifs({filter('Students (Vertical)'!O:O,'Students (Vertical)'!C:C=B898,'Students (Vertical)'!O:O&lt;&gt;"""");filter('Students (Vertical)'!O:O,'Students (Vertical)'!C:C=E898,'Students (Vertical)'!O:O&lt;&gt;"""")},{filter('Students (Vertical)'!O:O,'Students ("&amp;"Vertical)'!C:C=B898,'Students (Vertical)'!O:O&lt;&gt;"""");filter('Students (Vertical)'!O:O,'Students (Vertical)'!C:C=E898,'Students (Vertical)'!O:O&lt;&gt;"""")})&gt;1))),""No shared courses""),"""")"),"")</f>
        <v/>
      </c>
      <c r="J898" s="94" t="str">
        <f>IFERROR(__xludf.DUMMYFUNCTION("if(H898=""Can't be Together"",iferror(join("", "",unique(filter({unique(filter('Students (Vertical)'!O:O,'Students (Vertical)'!C:C=B898,'Students (Vertical)'!O:O&lt;&gt;"""",'Students (Vertical)'!P:P&gt;1));unique(filter('Students (Vertical)'!O:O,'Students (Vertic"&amp;"al)'!C:C=E898,'Students (Vertical)'!O:O&lt;&gt;"""",'Students (Vertical)'!P:P&gt;1))},countifs({unique(filter('Students (Vertical)'!O:O,'Students (Vertical)'!C:C=B898,'Students (Vertical)'!O:O&lt;&gt;"""",'Students (Vertical)'!P:P&gt;1));unique(filter('Students (Vertical)'"&amp;"!O:O,'Students (Vertical)'!C:C=E898,'Students (Vertical)'!O:O&lt;&gt;"""",'Students (Vertical)'!P:P&gt;1))},{unique(filter('Students (Vertical)'!O:O,'Students (Vertical)'!C:C=B898,'Students (Vertical)'!O:O&lt;&gt;"""",'Students (Vertical)'!P:P&gt;1));unique(filter('Student"&amp;"s (Vertical)'!O:O,'Students (Vertical)'!C:C=E898,'Students (Vertical)'!O:O&lt;&gt;"""",'Students (Vertical)'!P:P&gt;1))})&gt;1))),""""),"""")"),"")</f>
        <v/>
      </c>
      <c r="K898" s="96" t="str">
        <f>IFERROR(__xludf.DUMMYFUNCTION("iferror(join("", "",unique(filter({filter('Students (Vertical)'!D:D,'Students (Vertical)'!C:C=B898,'Students (Vertical)'!D:D&lt;&gt;"""");filter('Students (Vertical)'!D:D,'Students (Vertical)'!C:C=E898,'Students (Vertical)'!D:D&lt;&gt;"""")},countifs({filter('Student"&amp;"s (Vertical)'!D:D,'Students (Vertical)'!C:C=B898,'Students (Vertical)'!D:D&lt;&gt;"""");filter('Students (Vertical)'!D:D,'Students (Vertical)'!C:C=E898,'Students (Vertical)'!D:D&lt;&gt;"""")},{filter('Students (Vertical)'!D:D,'Students (Vertical)'!C:C=B898,'Students "&amp;"(Vertical)'!D:D&lt;&gt;"""");filter('Students (Vertical)'!D:D,'Students (Vertical)'!C:C=E898,'Students (Vertical)'!D:D&lt;&gt;"""")})&gt;1))),"""")"),"")</f>
        <v/>
      </c>
      <c r="L898" s="96"/>
      <c r="M898" s="96"/>
    </row>
    <row r="899" hidden="1">
      <c r="A899" s="8" t="s">
        <v>8</v>
      </c>
      <c r="C899" s="8" t="s">
        <v>8</v>
      </c>
      <c r="D899" s="8" t="s">
        <v>8</v>
      </c>
      <c r="F899" s="8" t="s">
        <v>8</v>
      </c>
      <c r="G899" s="8" t="s">
        <v>8</v>
      </c>
      <c r="I899" s="94" t="str">
        <f>IFERROR(__xludf.DUMMYFUNCTION("if(H899=""Must be Together"",iferror(join("", "",unique(filter({filter('Students (Vertical)'!O:O,'Students (Vertical)'!C:C=B899,'Students (Vertical)'!O:O&lt;&gt;"""");filter('Students (Vertical)'!O:O,'Students (Vertical)'!C:C=E899,'Students (Vertical)'!O:O&lt;&gt;"""&amp;""")},countifs({filter('Students (Vertical)'!O:O,'Students (Vertical)'!C:C=B899,'Students (Vertical)'!O:O&lt;&gt;"""");filter('Students (Vertical)'!O:O,'Students (Vertical)'!C:C=E899,'Students (Vertical)'!O:O&lt;&gt;"""")},{filter('Students (Vertical)'!O:O,'Students ("&amp;"Vertical)'!C:C=B899,'Students (Vertical)'!O:O&lt;&gt;"""");filter('Students (Vertical)'!O:O,'Students (Vertical)'!C:C=E899,'Students (Vertical)'!O:O&lt;&gt;"""")})&gt;1))),""No shared courses""),"""")"),"")</f>
        <v/>
      </c>
      <c r="J899" s="94" t="str">
        <f>IFERROR(__xludf.DUMMYFUNCTION("if(H899=""Can't be Together"",iferror(join("", "",unique(filter({unique(filter('Students (Vertical)'!O:O,'Students (Vertical)'!C:C=B899,'Students (Vertical)'!O:O&lt;&gt;"""",'Students (Vertical)'!P:P&gt;1));unique(filter('Students (Vertical)'!O:O,'Students (Vertic"&amp;"al)'!C:C=E899,'Students (Vertical)'!O:O&lt;&gt;"""",'Students (Vertical)'!P:P&gt;1))},countifs({unique(filter('Students (Vertical)'!O:O,'Students (Vertical)'!C:C=B899,'Students (Vertical)'!O:O&lt;&gt;"""",'Students (Vertical)'!P:P&gt;1));unique(filter('Students (Vertical)'"&amp;"!O:O,'Students (Vertical)'!C:C=E899,'Students (Vertical)'!O:O&lt;&gt;"""",'Students (Vertical)'!P:P&gt;1))},{unique(filter('Students (Vertical)'!O:O,'Students (Vertical)'!C:C=B899,'Students (Vertical)'!O:O&lt;&gt;"""",'Students (Vertical)'!P:P&gt;1));unique(filter('Student"&amp;"s (Vertical)'!O:O,'Students (Vertical)'!C:C=E899,'Students (Vertical)'!O:O&lt;&gt;"""",'Students (Vertical)'!P:P&gt;1))})&gt;1))),""""),"""")"),"")</f>
        <v/>
      </c>
      <c r="K899" s="96" t="str">
        <f>IFERROR(__xludf.DUMMYFUNCTION("iferror(join("", "",unique(filter({filter('Students (Vertical)'!D:D,'Students (Vertical)'!C:C=B899,'Students (Vertical)'!D:D&lt;&gt;"""");filter('Students (Vertical)'!D:D,'Students (Vertical)'!C:C=E899,'Students (Vertical)'!D:D&lt;&gt;"""")},countifs({filter('Student"&amp;"s (Vertical)'!D:D,'Students (Vertical)'!C:C=B899,'Students (Vertical)'!D:D&lt;&gt;"""");filter('Students (Vertical)'!D:D,'Students (Vertical)'!C:C=E899,'Students (Vertical)'!D:D&lt;&gt;"""")},{filter('Students (Vertical)'!D:D,'Students (Vertical)'!C:C=B899,'Students "&amp;"(Vertical)'!D:D&lt;&gt;"""");filter('Students (Vertical)'!D:D,'Students (Vertical)'!C:C=E899,'Students (Vertical)'!D:D&lt;&gt;"""")})&gt;1))),"""")"),"")</f>
        <v/>
      </c>
      <c r="L899" s="96"/>
      <c r="M899" s="96"/>
    </row>
    <row r="900" hidden="1">
      <c r="A900" s="8" t="s">
        <v>8</v>
      </c>
      <c r="C900" s="8" t="s">
        <v>8</v>
      </c>
      <c r="D900" s="8" t="s">
        <v>8</v>
      </c>
      <c r="F900" s="8" t="s">
        <v>8</v>
      </c>
      <c r="G900" s="8" t="s">
        <v>8</v>
      </c>
      <c r="I900" s="94" t="str">
        <f>IFERROR(__xludf.DUMMYFUNCTION("if(H900=""Must be Together"",iferror(join("", "",unique(filter({filter('Students (Vertical)'!O:O,'Students (Vertical)'!C:C=B900,'Students (Vertical)'!O:O&lt;&gt;"""");filter('Students (Vertical)'!O:O,'Students (Vertical)'!C:C=E900,'Students (Vertical)'!O:O&lt;&gt;"""&amp;""")},countifs({filter('Students (Vertical)'!O:O,'Students (Vertical)'!C:C=B900,'Students (Vertical)'!O:O&lt;&gt;"""");filter('Students (Vertical)'!O:O,'Students (Vertical)'!C:C=E900,'Students (Vertical)'!O:O&lt;&gt;"""")},{filter('Students (Vertical)'!O:O,'Students ("&amp;"Vertical)'!C:C=B900,'Students (Vertical)'!O:O&lt;&gt;"""");filter('Students (Vertical)'!O:O,'Students (Vertical)'!C:C=E900,'Students (Vertical)'!O:O&lt;&gt;"""")})&gt;1))),""No shared courses""),"""")"),"")</f>
        <v/>
      </c>
      <c r="J900" s="94" t="str">
        <f>IFERROR(__xludf.DUMMYFUNCTION("if(H900=""Can't be Together"",iferror(join("", "",unique(filter({unique(filter('Students (Vertical)'!O:O,'Students (Vertical)'!C:C=B900,'Students (Vertical)'!O:O&lt;&gt;"""",'Students (Vertical)'!P:P&gt;1));unique(filter('Students (Vertical)'!O:O,'Students (Vertic"&amp;"al)'!C:C=E900,'Students (Vertical)'!O:O&lt;&gt;"""",'Students (Vertical)'!P:P&gt;1))},countifs({unique(filter('Students (Vertical)'!O:O,'Students (Vertical)'!C:C=B900,'Students (Vertical)'!O:O&lt;&gt;"""",'Students (Vertical)'!P:P&gt;1));unique(filter('Students (Vertical)'"&amp;"!O:O,'Students (Vertical)'!C:C=E900,'Students (Vertical)'!O:O&lt;&gt;"""",'Students (Vertical)'!P:P&gt;1))},{unique(filter('Students (Vertical)'!O:O,'Students (Vertical)'!C:C=B900,'Students (Vertical)'!O:O&lt;&gt;"""",'Students (Vertical)'!P:P&gt;1));unique(filter('Student"&amp;"s (Vertical)'!O:O,'Students (Vertical)'!C:C=E900,'Students (Vertical)'!O:O&lt;&gt;"""",'Students (Vertical)'!P:P&gt;1))})&gt;1))),""""),"""")"),"")</f>
        <v/>
      </c>
      <c r="K900" s="96" t="str">
        <f>IFERROR(__xludf.DUMMYFUNCTION("iferror(join("", "",unique(filter({filter('Students (Vertical)'!D:D,'Students (Vertical)'!C:C=B900,'Students (Vertical)'!D:D&lt;&gt;"""");filter('Students (Vertical)'!D:D,'Students (Vertical)'!C:C=E900,'Students (Vertical)'!D:D&lt;&gt;"""")},countifs({filter('Student"&amp;"s (Vertical)'!D:D,'Students (Vertical)'!C:C=B900,'Students (Vertical)'!D:D&lt;&gt;"""");filter('Students (Vertical)'!D:D,'Students (Vertical)'!C:C=E900,'Students (Vertical)'!D:D&lt;&gt;"""")},{filter('Students (Vertical)'!D:D,'Students (Vertical)'!C:C=B900,'Students "&amp;"(Vertical)'!D:D&lt;&gt;"""");filter('Students (Vertical)'!D:D,'Students (Vertical)'!C:C=E900,'Students (Vertical)'!D:D&lt;&gt;"""")})&gt;1))),"""")"),"")</f>
        <v/>
      </c>
      <c r="L900" s="96"/>
      <c r="M900" s="96"/>
    </row>
    <row r="901" hidden="1">
      <c r="A901" s="8" t="s">
        <v>8</v>
      </c>
      <c r="C901" s="8" t="s">
        <v>8</v>
      </c>
      <c r="D901" s="8" t="s">
        <v>8</v>
      </c>
      <c r="F901" s="8" t="s">
        <v>8</v>
      </c>
      <c r="G901" s="8" t="s">
        <v>8</v>
      </c>
      <c r="I901" s="94" t="str">
        <f>IFERROR(__xludf.DUMMYFUNCTION("if(H901=""Must be Together"",iferror(join("", "",unique(filter({filter('Students (Vertical)'!O:O,'Students (Vertical)'!C:C=B901,'Students (Vertical)'!O:O&lt;&gt;"""");filter('Students (Vertical)'!O:O,'Students (Vertical)'!C:C=E901,'Students (Vertical)'!O:O&lt;&gt;"""&amp;""")},countifs({filter('Students (Vertical)'!O:O,'Students (Vertical)'!C:C=B901,'Students (Vertical)'!O:O&lt;&gt;"""");filter('Students (Vertical)'!O:O,'Students (Vertical)'!C:C=E901,'Students (Vertical)'!O:O&lt;&gt;"""")},{filter('Students (Vertical)'!O:O,'Students ("&amp;"Vertical)'!C:C=B901,'Students (Vertical)'!O:O&lt;&gt;"""");filter('Students (Vertical)'!O:O,'Students (Vertical)'!C:C=E901,'Students (Vertical)'!O:O&lt;&gt;"""")})&gt;1))),""No shared courses""),"""")"),"")</f>
        <v/>
      </c>
      <c r="J901" s="94" t="str">
        <f>IFERROR(__xludf.DUMMYFUNCTION("if(H901=""Can't be Together"",iferror(join("", "",unique(filter({unique(filter('Students (Vertical)'!O:O,'Students (Vertical)'!C:C=B901,'Students (Vertical)'!O:O&lt;&gt;"""",'Students (Vertical)'!P:P&gt;1));unique(filter('Students (Vertical)'!O:O,'Students (Vertic"&amp;"al)'!C:C=E901,'Students (Vertical)'!O:O&lt;&gt;"""",'Students (Vertical)'!P:P&gt;1))},countifs({unique(filter('Students (Vertical)'!O:O,'Students (Vertical)'!C:C=B901,'Students (Vertical)'!O:O&lt;&gt;"""",'Students (Vertical)'!P:P&gt;1));unique(filter('Students (Vertical)'"&amp;"!O:O,'Students (Vertical)'!C:C=E901,'Students (Vertical)'!O:O&lt;&gt;"""",'Students (Vertical)'!P:P&gt;1))},{unique(filter('Students (Vertical)'!O:O,'Students (Vertical)'!C:C=B901,'Students (Vertical)'!O:O&lt;&gt;"""",'Students (Vertical)'!P:P&gt;1));unique(filter('Student"&amp;"s (Vertical)'!O:O,'Students (Vertical)'!C:C=E901,'Students (Vertical)'!O:O&lt;&gt;"""",'Students (Vertical)'!P:P&gt;1))})&gt;1))),""""),"""")"),"")</f>
        <v/>
      </c>
      <c r="K901" s="96" t="str">
        <f>IFERROR(__xludf.DUMMYFUNCTION("iferror(join("", "",unique(filter({filter('Students (Vertical)'!D:D,'Students (Vertical)'!C:C=B901,'Students (Vertical)'!D:D&lt;&gt;"""");filter('Students (Vertical)'!D:D,'Students (Vertical)'!C:C=E901,'Students (Vertical)'!D:D&lt;&gt;"""")},countifs({filter('Student"&amp;"s (Vertical)'!D:D,'Students (Vertical)'!C:C=B901,'Students (Vertical)'!D:D&lt;&gt;"""");filter('Students (Vertical)'!D:D,'Students (Vertical)'!C:C=E901,'Students (Vertical)'!D:D&lt;&gt;"""")},{filter('Students (Vertical)'!D:D,'Students (Vertical)'!C:C=B901,'Students "&amp;"(Vertical)'!D:D&lt;&gt;"""");filter('Students (Vertical)'!D:D,'Students (Vertical)'!C:C=E901,'Students (Vertical)'!D:D&lt;&gt;"""")})&gt;1))),"""")"),"")</f>
        <v/>
      </c>
      <c r="L901" s="96"/>
      <c r="M901" s="96"/>
    </row>
    <row r="902" hidden="1">
      <c r="A902" s="8" t="s">
        <v>8</v>
      </c>
      <c r="C902" s="8" t="s">
        <v>8</v>
      </c>
      <c r="D902" s="8" t="s">
        <v>8</v>
      </c>
      <c r="F902" s="8" t="s">
        <v>8</v>
      </c>
      <c r="G902" s="8" t="s">
        <v>8</v>
      </c>
      <c r="I902" s="94" t="str">
        <f>IFERROR(__xludf.DUMMYFUNCTION("if(H902=""Must be Together"",iferror(join("", "",unique(filter({filter('Students (Vertical)'!O:O,'Students (Vertical)'!C:C=B902,'Students (Vertical)'!O:O&lt;&gt;"""");filter('Students (Vertical)'!O:O,'Students (Vertical)'!C:C=E902,'Students (Vertical)'!O:O&lt;&gt;"""&amp;""")},countifs({filter('Students (Vertical)'!O:O,'Students (Vertical)'!C:C=B902,'Students (Vertical)'!O:O&lt;&gt;"""");filter('Students (Vertical)'!O:O,'Students (Vertical)'!C:C=E902,'Students (Vertical)'!O:O&lt;&gt;"""")},{filter('Students (Vertical)'!O:O,'Students ("&amp;"Vertical)'!C:C=B902,'Students (Vertical)'!O:O&lt;&gt;"""");filter('Students (Vertical)'!O:O,'Students (Vertical)'!C:C=E902,'Students (Vertical)'!O:O&lt;&gt;"""")})&gt;1))),""No shared courses""),"""")"),"")</f>
        <v/>
      </c>
      <c r="J902" s="94" t="str">
        <f>IFERROR(__xludf.DUMMYFUNCTION("if(H902=""Can't be Together"",iferror(join("", "",unique(filter({unique(filter('Students (Vertical)'!O:O,'Students (Vertical)'!C:C=B902,'Students (Vertical)'!O:O&lt;&gt;"""",'Students (Vertical)'!P:P&gt;1));unique(filter('Students (Vertical)'!O:O,'Students (Vertic"&amp;"al)'!C:C=E902,'Students (Vertical)'!O:O&lt;&gt;"""",'Students (Vertical)'!P:P&gt;1))},countifs({unique(filter('Students (Vertical)'!O:O,'Students (Vertical)'!C:C=B902,'Students (Vertical)'!O:O&lt;&gt;"""",'Students (Vertical)'!P:P&gt;1));unique(filter('Students (Vertical)'"&amp;"!O:O,'Students (Vertical)'!C:C=E902,'Students (Vertical)'!O:O&lt;&gt;"""",'Students (Vertical)'!P:P&gt;1))},{unique(filter('Students (Vertical)'!O:O,'Students (Vertical)'!C:C=B902,'Students (Vertical)'!O:O&lt;&gt;"""",'Students (Vertical)'!P:P&gt;1));unique(filter('Student"&amp;"s (Vertical)'!O:O,'Students (Vertical)'!C:C=E902,'Students (Vertical)'!O:O&lt;&gt;"""",'Students (Vertical)'!P:P&gt;1))})&gt;1))),""""),"""")"),"")</f>
        <v/>
      </c>
      <c r="K902" s="96" t="str">
        <f>IFERROR(__xludf.DUMMYFUNCTION("iferror(join("", "",unique(filter({filter('Students (Vertical)'!D:D,'Students (Vertical)'!C:C=B902,'Students (Vertical)'!D:D&lt;&gt;"""");filter('Students (Vertical)'!D:D,'Students (Vertical)'!C:C=E902,'Students (Vertical)'!D:D&lt;&gt;"""")},countifs({filter('Student"&amp;"s (Vertical)'!D:D,'Students (Vertical)'!C:C=B902,'Students (Vertical)'!D:D&lt;&gt;"""");filter('Students (Vertical)'!D:D,'Students (Vertical)'!C:C=E902,'Students (Vertical)'!D:D&lt;&gt;"""")},{filter('Students (Vertical)'!D:D,'Students (Vertical)'!C:C=B902,'Students "&amp;"(Vertical)'!D:D&lt;&gt;"""");filter('Students (Vertical)'!D:D,'Students (Vertical)'!C:C=E902,'Students (Vertical)'!D:D&lt;&gt;"""")})&gt;1))),"""")"),"")</f>
        <v/>
      </c>
      <c r="L902" s="96"/>
      <c r="M902" s="96"/>
    </row>
    <row r="903" hidden="1">
      <c r="A903" s="8" t="s">
        <v>8</v>
      </c>
      <c r="C903" s="8" t="s">
        <v>8</v>
      </c>
      <c r="D903" s="8" t="s">
        <v>8</v>
      </c>
      <c r="F903" s="8" t="s">
        <v>8</v>
      </c>
      <c r="G903" s="8" t="s">
        <v>8</v>
      </c>
      <c r="I903" s="94" t="str">
        <f>IFERROR(__xludf.DUMMYFUNCTION("if(H903=""Must be Together"",iferror(join("", "",unique(filter({filter('Students (Vertical)'!O:O,'Students (Vertical)'!C:C=B903,'Students (Vertical)'!O:O&lt;&gt;"""");filter('Students (Vertical)'!O:O,'Students (Vertical)'!C:C=E903,'Students (Vertical)'!O:O&lt;&gt;"""&amp;""")},countifs({filter('Students (Vertical)'!O:O,'Students (Vertical)'!C:C=B903,'Students (Vertical)'!O:O&lt;&gt;"""");filter('Students (Vertical)'!O:O,'Students (Vertical)'!C:C=E903,'Students (Vertical)'!O:O&lt;&gt;"""")},{filter('Students (Vertical)'!O:O,'Students ("&amp;"Vertical)'!C:C=B903,'Students (Vertical)'!O:O&lt;&gt;"""");filter('Students (Vertical)'!O:O,'Students (Vertical)'!C:C=E903,'Students (Vertical)'!O:O&lt;&gt;"""")})&gt;1))),""No shared courses""),"""")"),"")</f>
        <v/>
      </c>
      <c r="J903" s="94" t="str">
        <f>IFERROR(__xludf.DUMMYFUNCTION("if(H903=""Can't be Together"",iferror(join("", "",unique(filter({unique(filter('Students (Vertical)'!O:O,'Students (Vertical)'!C:C=B903,'Students (Vertical)'!O:O&lt;&gt;"""",'Students (Vertical)'!P:P&gt;1));unique(filter('Students (Vertical)'!O:O,'Students (Vertic"&amp;"al)'!C:C=E903,'Students (Vertical)'!O:O&lt;&gt;"""",'Students (Vertical)'!P:P&gt;1))},countifs({unique(filter('Students (Vertical)'!O:O,'Students (Vertical)'!C:C=B903,'Students (Vertical)'!O:O&lt;&gt;"""",'Students (Vertical)'!P:P&gt;1));unique(filter('Students (Vertical)'"&amp;"!O:O,'Students (Vertical)'!C:C=E903,'Students (Vertical)'!O:O&lt;&gt;"""",'Students (Vertical)'!P:P&gt;1))},{unique(filter('Students (Vertical)'!O:O,'Students (Vertical)'!C:C=B903,'Students (Vertical)'!O:O&lt;&gt;"""",'Students (Vertical)'!P:P&gt;1));unique(filter('Student"&amp;"s (Vertical)'!O:O,'Students (Vertical)'!C:C=E903,'Students (Vertical)'!O:O&lt;&gt;"""",'Students (Vertical)'!P:P&gt;1))})&gt;1))),""""),"""")"),"")</f>
        <v/>
      </c>
      <c r="K903" s="96" t="str">
        <f>IFERROR(__xludf.DUMMYFUNCTION("iferror(join("", "",unique(filter({filter('Students (Vertical)'!D:D,'Students (Vertical)'!C:C=B903,'Students (Vertical)'!D:D&lt;&gt;"""");filter('Students (Vertical)'!D:D,'Students (Vertical)'!C:C=E903,'Students (Vertical)'!D:D&lt;&gt;"""")},countifs({filter('Student"&amp;"s (Vertical)'!D:D,'Students (Vertical)'!C:C=B903,'Students (Vertical)'!D:D&lt;&gt;"""");filter('Students (Vertical)'!D:D,'Students (Vertical)'!C:C=E903,'Students (Vertical)'!D:D&lt;&gt;"""")},{filter('Students (Vertical)'!D:D,'Students (Vertical)'!C:C=B903,'Students "&amp;"(Vertical)'!D:D&lt;&gt;"""");filter('Students (Vertical)'!D:D,'Students (Vertical)'!C:C=E903,'Students (Vertical)'!D:D&lt;&gt;"""")})&gt;1))),"""")"),"")</f>
        <v/>
      </c>
      <c r="L903" s="96"/>
      <c r="M903" s="96"/>
    </row>
    <row r="904" hidden="1">
      <c r="A904" s="8" t="s">
        <v>8</v>
      </c>
      <c r="C904" s="8" t="s">
        <v>8</v>
      </c>
      <c r="D904" s="8" t="s">
        <v>8</v>
      </c>
      <c r="F904" s="8" t="s">
        <v>8</v>
      </c>
      <c r="G904" s="8" t="s">
        <v>8</v>
      </c>
      <c r="I904" s="94" t="str">
        <f>IFERROR(__xludf.DUMMYFUNCTION("if(H904=""Must be Together"",iferror(join("", "",unique(filter({filter('Students (Vertical)'!O:O,'Students (Vertical)'!C:C=B904,'Students (Vertical)'!O:O&lt;&gt;"""");filter('Students (Vertical)'!O:O,'Students (Vertical)'!C:C=E904,'Students (Vertical)'!O:O&lt;&gt;"""&amp;""")},countifs({filter('Students (Vertical)'!O:O,'Students (Vertical)'!C:C=B904,'Students (Vertical)'!O:O&lt;&gt;"""");filter('Students (Vertical)'!O:O,'Students (Vertical)'!C:C=E904,'Students (Vertical)'!O:O&lt;&gt;"""")},{filter('Students (Vertical)'!O:O,'Students ("&amp;"Vertical)'!C:C=B904,'Students (Vertical)'!O:O&lt;&gt;"""");filter('Students (Vertical)'!O:O,'Students (Vertical)'!C:C=E904,'Students (Vertical)'!O:O&lt;&gt;"""")})&gt;1))),""No shared courses""),"""")"),"")</f>
        <v/>
      </c>
      <c r="J904" s="94" t="str">
        <f>IFERROR(__xludf.DUMMYFUNCTION("if(H904=""Can't be Together"",iferror(join("", "",unique(filter({unique(filter('Students (Vertical)'!O:O,'Students (Vertical)'!C:C=B904,'Students (Vertical)'!O:O&lt;&gt;"""",'Students (Vertical)'!P:P&gt;1));unique(filter('Students (Vertical)'!O:O,'Students (Vertic"&amp;"al)'!C:C=E904,'Students (Vertical)'!O:O&lt;&gt;"""",'Students (Vertical)'!P:P&gt;1))},countifs({unique(filter('Students (Vertical)'!O:O,'Students (Vertical)'!C:C=B904,'Students (Vertical)'!O:O&lt;&gt;"""",'Students (Vertical)'!P:P&gt;1));unique(filter('Students (Vertical)'"&amp;"!O:O,'Students (Vertical)'!C:C=E904,'Students (Vertical)'!O:O&lt;&gt;"""",'Students (Vertical)'!P:P&gt;1))},{unique(filter('Students (Vertical)'!O:O,'Students (Vertical)'!C:C=B904,'Students (Vertical)'!O:O&lt;&gt;"""",'Students (Vertical)'!P:P&gt;1));unique(filter('Student"&amp;"s (Vertical)'!O:O,'Students (Vertical)'!C:C=E904,'Students (Vertical)'!O:O&lt;&gt;"""",'Students (Vertical)'!P:P&gt;1))})&gt;1))),""""),"""")"),"")</f>
        <v/>
      </c>
      <c r="K904" s="96" t="str">
        <f>IFERROR(__xludf.DUMMYFUNCTION("iferror(join("", "",unique(filter({filter('Students (Vertical)'!D:D,'Students (Vertical)'!C:C=B904,'Students (Vertical)'!D:D&lt;&gt;"""");filter('Students (Vertical)'!D:D,'Students (Vertical)'!C:C=E904,'Students (Vertical)'!D:D&lt;&gt;"""")},countifs({filter('Student"&amp;"s (Vertical)'!D:D,'Students (Vertical)'!C:C=B904,'Students (Vertical)'!D:D&lt;&gt;"""");filter('Students (Vertical)'!D:D,'Students (Vertical)'!C:C=E904,'Students (Vertical)'!D:D&lt;&gt;"""")},{filter('Students (Vertical)'!D:D,'Students (Vertical)'!C:C=B904,'Students "&amp;"(Vertical)'!D:D&lt;&gt;"""");filter('Students (Vertical)'!D:D,'Students (Vertical)'!C:C=E904,'Students (Vertical)'!D:D&lt;&gt;"""")})&gt;1))),"""")"),"")</f>
        <v/>
      </c>
      <c r="L904" s="96"/>
      <c r="M904" s="96"/>
    </row>
    <row r="905" hidden="1">
      <c r="A905" s="8" t="s">
        <v>8</v>
      </c>
      <c r="C905" s="8" t="s">
        <v>8</v>
      </c>
      <c r="D905" s="8" t="s">
        <v>8</v>
      </c>
      <c r="F905" s="8" t="s">
        <v>8</v>
      </c>
      <c r="G905" s="8" t="s">
        <v>8</v>
      </c>
      <c r="I905" s="94" t="str">
        <f>IFERROR(__xludf.DUMMYFUNCTION("if(H905=""Must be Together"",iferror(join("", "",unique(filter({filter('Students (Vertical)'!O:O,'Students (Vertical)'!C:C=B905,'Students (Vertical)'!O:O&lt;&gt;"""");filter('Students (Vertical)'!O:O,'Students (Vertical)'!C:C=E905,'Students (Vertical)'!O:O&lt;&gt;"""&amp;""")},countifs({filter('Students (Vertical)'!O:O,'Students (Vertical)'!C:C=B905,'Students (Vertical)'!O:O&lt;&gt;"""");filter('Students (Vertical)'!O:O,'Students (Vertical)'!C:C=E905,'Students (Vertical)'!O:O&lt;&gt;"""")},{filter('Students (Vertical)'!O:O,'Students ("&amp;"Vertical)'!C:C=B905,'Students (Vertical)'!O:O&lt;&gt;"""");filter('Students (Vertical)'!O:O,'Students (Vertical)'!C:C=E905,'Students (Vertical)'!O:O&lt;&gt;"""")})&gt;1))),""No shared courses""),"""")"),"")</f>
        <v/>
      </c>
      <c r="J905" s="94" t="str">
        <f>IFERROR(__xludf.DUMMYFUNCTION("if(H905=""Can't be Together"",iferror(join("", "",unique(filter({unique(filter('Students (Vertical)'!O:O,'Students (Vertical)'!C:C=B905,'Students (Vertical)'!O:O&lt;&gt;"""",'Students (Vertical)'!P:P&gt;1));unique(filter('Students (Vertical)'!O:O,'Students (Vertic"&amp;"al)'!C:C=E905,'Students (Vertical)'!O:O&lt;&gt;"""",'Students (Vertical)'!P:P&gt;1))},countifs({unique(filter('Students (Vertical)'!O:O,'Students (Vertical)'!C:C=B905,'Students (Vertical)'!O:O&lt;&gt;"""",'Students (Vertical)'!P:P&gt;1));unique(filter('Students (Vertical)'"&amp;"!O:O,'Students (Vertical)'!C:C=E905,'Students (Vertical)'!O:O&lt;&gt;"""",'Students (Vertical)'!P:P&gt;1))},{unique(filter('Students (Vertical)'!O:O,'Students (Vertical)'!C:C=B905,'Students (Vertical)'!O:O&lt;&gt;"""",'Students (Vertical)'!P:P&gt;1));unique(filter('Student"&amp;"s (Vertical)'!O:O,'Students (Vertical)'!C:C=E905,'Students (Vertical)'!O:O&lt;&gt;"""",'Students (Vertical)'!P:P&gt;1))})&gt;1))),""""),"""")"),"")</f>
        <v/>
      </c>
      <c r="K905" s="96" t="str">
        <f>IFERROR(__xludf.DUMMYFUNCTION("iferror(join("", "",unique(filter({filter('Students (Vertical)'!D:D,'Students (Vertical)'!C:C=B905,'Students (Vertical)'!D:D&lt;&gt;"""");filter('Students (Vertical)'!D:D,'Students (Vertical)'!C:C=E905,'Students (Vertical)'!D:D&lt;&gt;"""")},countifs({filter('Student"&amp;"s (Vertical)'!D:D,'Students (Vertical)'!C:C=B905,'Students (Vertical)'!D:D&lt;&gt;"""");filter('Students (Vertical)'!D:D,'Students (Vertical)'!C:C=E905,'Students (Vertical)'!D:D&lt;&gt;"""")},{filter('Students (Vertical)'!D:D,'Students (Vertical)'!C:C=B905,'Students "&amp;"(Vertical)'!D:D&lt;&gt;"""");filter('Students (Vertical)'!D:D,'Students (Vertical)'!C:C=E905,'Students (Vertical)'!D:D&lt;&gt;"""")})&gt;1))),"""")"),"")</f>
        <v/>
      </c>
      <c r="L905" s="96"/>
      <c r="M905" s="96"/>
    </row>
    <row r="906" hidden="1">
      <c r="A906" s="8" t="s">
        <v>8</v>
      </c>
      <c r="C906" s="8" t="s">
        <v>8</v>
      </c>
      <c r="D906" s="8" t="s">
        <v>8</v>
      </c>
      <c r="F906" s="8" t="s">
        <v>8</v>
      </c>
      <c r="G906" s="8" t="s">
        <v>8</v>
      </c>
      <c r="I906" s="94" t="str">
        <f>IFERROR(__xludf.DUMMYFUNCTION("if(H906=""Must be Together"",iferror(join("", "",unique(filter({filter('Students (Vertical)'!O:O,'Students (Vertical)'!C:C=B906,'Students (Vertical)'!O:O&lt;&gt;"""");filter('Students (Vertical)'!O:O,'Students (Vertical)'!C:C=E906,'Students (Vertical)'!O:O&lt;&gt;"""&amp;""")},countifs({filter('Students (Vertical)'!O:O,'Students (Vertical)'!C:C=B906,'Students (Vertical)'!O:O&lt;&gt;"""");filter('Students (Vertical)'!O:O,'Students (Vertical)'!C:C=E906,'Students (Vertical)'!O:O&lt;&gt;"""")},{filter('Students (Vertical)'!O:O,'Students ("&amp;"Vertical)'!C:C=B906,'Students (Vertical)'!O:O&lt;&gt;"""");filter('Students (Vertical)'!O:O,'Students (Vertical)'!C:C=E906,'Students (Vertical)'!O:O&lt;&gt;"""")})&gt;1))),""No shared courses""),"""")"),"")</f>
        <v/>
      </c>
      <c r="J906" s="94" t="str">
        <f>IFERROR(__xludf.DUMMYFUNCTION("if(H906=""Can't be Together"",iferror(join("", "",unique(filter({unique(filter('Students (Vertical)'!O:O,'Students (Vertical)'!C:C=B906,'Students (Vertical)'!O:O&lt;&gt;"""",'Students (Vertical)'!P:P&gt;1));unique(filter('Students (Vertical)'!O:O,'Students (Vertic"&amp;"al)'!C:C=E906,'Students (Vertical)'!O:O&lt;&gt;"""",'Students (Vertical)'!P:P&gt;1))},countifs({unique(filter('Students (Vertical)'!O:O,'Students (Vertical)'!C:C=B906,'Students (Vertical)'!O:O&lt;&gt;"""",'Students (Vertical)'!P:P&gt;1));unique(filter('Students (Vertical)'"&amp;"!O:O,'Students (Vertical)'!C:C=E906,'Students (Vertical)'!O:O&lt;&gt;"""",'Students (Vertical)'!P:P&gt;1))},{unique(filter('Students (Vertical)'!O:O,'Students (Vertical)'!C:C=B906,'Students (Vertical)'!O:O&lt;&gt;"""",'Students (Vertical)'!P:P&gt;1));unique(filter('Student"&amp;"s (Vertical)'!O:O,'Students (Vertical)'!C:C=E906,'Students (Vertical)'!O:O&lt;&gt;"""",'Students (Vertical)'!P:P&gt;1))})&gt;1))),""""),"""")"),"")</f>
        <v/>
      </c>
      <c r="K906" s="96" t="str">
        <f>IFERROR(__xludf.DUMMYFUNCTION("iferror(join("", "",unique(filter({filter('Students (Vertical)'!D:D,'Students (Vertical)'!C:C=B906,'Students (Vertical)'!D:D&lt;&gt;"""");filter('Students (Vertical)'!D:D,'Students (Vertical)'!C:C=E906,'Students (Vertical)'!D:D&lt;&gt;"""")},countifs({filter('Student"&amp;"s (Vertical)'!D:D,'Students (Vertical)'!C:C=B906,'Students (Vertical)'!D:D&lt;&gt;"""");filter('Students (Vertical)'!D:D,'Students (Vertical)'!C:C=E906,'Students (Vertical)'!D:D&lt;&gt;"""")},{filter('Students (Vertical)'!D:D,'Students (Vertical)'!C:C=B906,'Students "&amp;"(Vertical)'!D:D&lt;&gt;"""");filter('Students (Vertical)'!D:D,'Students (Vertical)'!C:C=E906,'Students (Vertical)'!D:D&lt;&gt;"""")})&gt;1))),"""")"),"")</f>
        <v/>
      </c>
      <c r="L906" s="96"/>
      <c r="M906" s="96"/>
    </row>
    <row r="907" hidden="1">
      <c r="A907" s="8" t="s">
        <v>8</v>
      </c>
      <c r="C907" s="8" t="s">
        <v>8</v>
      </c>
      <c r="D907" s="8" t="s">
        <v>8</v>
      </c>
      <c r="F907" s="8" t="s">
        <v>8</v>
      </c>
      <c r="G907" s="8" t="s">
        <v>8</v>
      </c>
      <c r="I907" s="94" t="str">
        <f>IFERROR(__xludf.DUMMYFUNCTION("if(H907=""Must be Together"",iferror(join("", "",unique(filter({filter('Students (Vertical)'!O:O,'Students (Vertical)'!C:C=B907,'Students (Vertical)'!O:O&lt;&gt;"""");filter('Students (Vertical)'!O:O,'Students (Vertical)'!C:C=E907,'Students (Vertical)'!O:O&lt;&gt;"""&amp;""")},countifs({filter('Students (Vertical)'!O:O,'Students (Vertical)'!C:C=B907,'Students (Vertical)'!O:O&lt;&gt;"""");filter('Students (Vertical)'!O:O,'Students (Vertical)'!C:C=E907,'Students (Vertical)'!O:O&lt;&gt;"""")},{filter('Students (Vertical)'!O:O,'Students ("&amp;"Vertical)'!C:C=B907,'Students (Vertical)'!O:O&lt;&gt;"""");filter('Students (Vertical)'!O:O,'Students (Vertical)'!C:C=E907,'Students (Vertical)'!O:O&lt;&gt;"""")})&gt;1))),""No shared courses""),"""")"),"")</f>
        <v/>
      </c>
      <c r="J907" s="94" t="str">
        <f>IFERROR(__xludf.DUMMYFUNCTION("if(H907=""Can't be Together"",iferror(join("", "",unique(filter({unique(filter('Students (Vertical)'!O:O,'Students (Vertical)'!C:C=B907,'Students (Vertical)'!O:O&lt;&gt;"""",'Students (Vertical)'!P:P&gt;1));unique(filter('Students (Vertical)'!O:O,'Students (Vertic"&amp;"al)'!C:C=E907,'Students (Vertical)'!O:O&lt;&gt;"""",'Students (Vertical)'!P:P&gt;1))},countifs({unique(filter('Students (Vertical)'!O:O,'Students (Vertical)'!C:C=B907,'Students (Vertical)'!O:O&lt;&gt;"""",'Students (Vertical)'!P:P&gt;1));unique(filter('Students (Vertical)'"&amp;"!O:O,'Students (Vertical)'!C:C=E907,'Students (Vertical)'!O:O&lt;&gt;"""",'Students (Vertical)'!P:P&gt;1))},{unique(filter('Students (Vertical)'!O:O,'Students (Vertical)'!C:C=B907,'Students (Vertical)'!O:O&lt;&gt;"""",'Students (Vertical)'!P:P&gt;1));unique(filter('Student"&amp;"s (Vertical)'!O:O,'Students (Vertical)'!C:C=E907,'Students (Vertical)'!O:O&lt;&gt;"""",'Students (Vertical)'!P:P&gt;1))})&gt;1))),""""),"""")"),"")</f>
        <v/>
      </c>
      <c r="K907" s="96" t="str">
        <f>IFERROR(__xludf.DUMMYFUNCTION("iferror(join("", "",unique(filter({filter('Students (Vertical)'!D:D,'Students (Vertical)'!C:C=B907,'Students (Vertical)'!D:D&lt;&gt;"""");filter('Students (Vertical)'!D:D,'Students (Vertical)'!C:C=E907,'Students (Vertical)'!D:D&lt;&gt;"""")},countifs({filter('Student"&amp;"s (Vertical)'!D:D,'Students (Vertical)'!C:C=B907,'Students (Vertical)'!D:D&lt;&gt;"""");filter('Students (Vertical)'!D:D,'Students (Vertical)'!C:C=E907,'Students (Vertical)'!D:D&lt;&gt;"""")},{filter('Students (Vertical)'!D:D,'Students (Vertical)'!C:C=B907,'Students "&amp;"(Vertical)'!D:D&lt;&gt;"""");filter('Students (Vertical)'!D:D,'Students (Vertical)'!C:C=E907,'Students (Vertical)'!D:D&lt;&gt;"""")})&gt;1))),"""")"),"")</f>
        <v/>
      </c>
      <c r="L907" s="96"/>
      <c r="M907" s="96"/>
    </row>
    <row r="908" hidden="1">
      <c r="A908" s="8" t="s">
        <v>8</v>
      </c>
      <c r="C908" s="8" t="s">
        <v>8</v>
      </c>
      <c r="D908" s="8" t="s">
        <v>8</v>
      </c>
      <c r="F908" s="8" t="s">
        <v>8</v>
      </c>
      <c r="G908" s="8" t="s">
        <v>8</v>
      </c>
      <c r="I908" s="94" t="str">
        <f>IFERROR(__xludf.DUMMYFUNCTION("if(H908=""Must be Together"",iferror(join("", "",unique(filter({filter('Students (Vertical)'!O:O,'Students (Vertical)'!C:C=B908,'Students (Vertical)'!O:O&lt;&gt;"""");filter('Students (Vertical)'!O:O,'Students (Vertical)'!C:C=E908,'Students (Vertical)'!O:O&lt;&gt;"""&amp;""")},countifs({filter('Students (Vertical)'!O:O,'Students (Vertical)'!C:C=B908,'Students (Vertical)'!O:O&lt;&gt;"""");filter('Students (Vertical)'!O:O,'Students (Vertical)'!C:C=E908,'Students (Vertical)'!O:O&lt;&gt;"""")},{filter('Students (Vertical)'!O:O,'Students ("&amp;"Vertical)'!C:C=B908,'Students (Vertical)'!O:O&lt;&gt;"""");filter('Students (Vertical)'!O:O,'Students (Vertical)'!C:C=E908,'Students (Vertical)'!O:O&lt;&gt;"""")})&gt;1))),""No shared courses""),"""")"),"")</f>
        <v/>
      </c>
      <c r="J908" s="94" t="str">
        <f>IFERROR(__xludf.DUMMYFUNCTION("if(H908=""Can't be Together"",iferror(join("", "",unique(filter({unique(filter('Students (Vertical)'!O:O,'Students (Vertical)'!C:C=B908,'Students (Vertical)'!O:O&lt;&gt;"""",'Students (Vertical)'!P:P&gt;1));unique(filter('Students (Vertical)'!O:O,'Students (Vertic"&amp;"al)'!C:C=E908,'Students (Vertical)'!O:O&lt;&gt;"""",'Students (Vertical)'!P:P&gt;1))},countifs({unique(filter('Students (Vertical)'!O:O,'Students (Vertical)'!C:C=B908,'Students (Vertical)'!O:O&lt;&gt;"""",'Students (Vertical)'!P:P&gt;1));unique(filter('Students (Vertical)'"&amp;"!O:O,'Students (Vertical)'!C:C=E908,'Students (Vertical)'!O:O&lt;&gt;"""",'Students (Vertical)'!P:P&gt;1))},{unique(filter('Students (Vertical)'!O:O,'Students (Vertical)'!C:C=B908,'Students (Vertical)'!O:O&lt;&gt;"""",'Students (Vertical)'!P:P&gt;1));unique(filter('Student"&amp;"s (Vertical)'!O:O,'Students (Vertical)'!C:C=E908,'Students (Vertical)'!O:O&lt;&gt;"""",'Students (Vertical)'!P:P&gt;1))})&gt;1))),""""),"""")"),"")</f>
        <v/>
      </c>
      <c r="K908" s="96" t="str">
        <f>IFERROR(__xludf.DUMMYFUNCTION("iferror(join("", "",unique(filter({filter('Students (Vertical)'!D:D,'Students (Vertical)'!C:C=B908,'Students (Vertical)'!D:D&lt;&gt;"""");filter('Students (Vertical)'!D:D,'Students (Vertical)'!C:C=E908,'Students (Vertical)'!D:D&lt;&gt;"""")},countifs({filter('Student"&amp;"s (Vertical)'!D:D,'Students (Vertical)'!C:C=B908,'Students (Vertical)'!D:D&lt;&gt;"""");filter('Students (Vertical)'!D:D,'Students (Vertical)'!C:C=E908,'Students (Vertical)'!D:D&lt;&gt;"""")},{filter('Students (Vertical)'!D:D,'Students (Vertical)'!C:C=B908,'Students "&amp;"(Vertical)'!D:D&lt;&gt;"""");filter('Students (Vertical)'!D:D,'Students (Vertical)'!C:C=E908,'Students (Vertical)'!D:D&lt;&gt;"""")})&gt;1))),"""")"),"")</f>
        <v/>
      </c>
      <c r="L908" s="96"/>
      <c r="M908" s="96"/>
    </row>
    <row r="909" hidden="1">
      <c r="A909" s="8" t="s">
        <v>8</v>
      </c>
      <c r="C909" s="8" t="s">
        <v>8</v>
      </c>
      <c r="D909" s="8" t="s">
        <v>8</v>
      </c>
      <c r="F909" s="8" t="s">
        <v>8</v>
      </c>
      <c r="G909" s="8" t="s">
        <v>8</v>
      </c>
      <c r="I909" s="94" t="str">
        <f>IFERROR(__xludf.DUMMYFUNCTION("if(H909=""Must be Together"",iferror(join("", "",unique(filter({filter('Students (Vertical)'!O:O,'Students (Vertical)'!C:C=B909,'Students (Vertical)'!O:O&lt;&gt;"""");filter('Students (Vertical)'!O:O,'Students (Vertical)'!C:C=E909,'Students (Vertical)'!O:O&lt;&gt;"""&amp;""")},countifs({filter('Students (Vertical)'!O:O,'Students (Vertical)'!C:C=B909,'Students (Vertical)'!O:O&lt;&gt;"""");filter('Students (Vertical)'!O:O,'Students (Vertical)'!C:C=E909,'Students (Vertical)'!O:O&lt;&gt;"""")},{filter('Students (Vertical)'!O:O,'Students ("&amp;"Vertical)'!C:C=B909,'Students (Vertical)'!O:O&lt;&gt;"""");filter('Students (Vertical)'!O:O,'Students (Vertical)'!C:C=E909,'Students (Vertical)'!O:O&lt;&gt;"""")})&gt;1))),""No shared courses""),"""")"),"")</f>
        <v/>
      </c>
      <c r="J909" s="94" t="str">
        <f>IFERROR(__xludf.DUMMYFUNCTION("if(H909=""Can't be Together"",iferror(join("", "",unique(filter({unique(filter('Students (Vertical)'!O:O,'Students (Vertical)'!C:C=B909,'Students (Vertical)'!O:O&lt;&gt;"""",'Students (Vertical)'!P:P&gt;1));unique(filter('Students (Vertical)'!O:O,'Students (Vertic"&amp;"al)'!C:C=E909,'Students (Vertical)'!O:O&lt;&gt;"""",'Students (Vertical)'!P:P&gt;1))},countifs({unique(filter('Students (Vertical)'!O:O,'Students (Vertical)'!C:C=B909,'Students (Vertical)'!O:O&lt;&gt;"""",'Students (Vertical)'!P:P&gt;1));unique(filter('Students (Vertical)'"&amp;"!O:O,'Students (Vertical)'!C:C=E909,'Students (Vertical)'!O:O&lt;&gt;"""",'Students (Vertical)'!P:P&gt;1))},{unique(filter('Students (Vertical)'!O:O,'Students (Vertical)'!C:C=B909,'Students (Vertical)'!O:O&lt;&gt;"""",'Students (Vertical)'!P:P&gt;1));unique(filter('Student"&amp;"s (Vertical)'!O:O,'Students (Vertical)'!C:C=E909,'Students (Vertical)'!O:O&lt;&gt;"""",'Students (Vertical)'!P:P&gt;1))})&gt;1))),""""),"""")"),"")</f>
        <v/>
      </c>
      <c r="K909" s="96" t="str">
        <f>IFERROR(__xludf.DUMMYFUNCTION("iferror(join("", "",unique(filter({filter('Students (Vertical)'!D:D,'Students (Vertical)'!C:C=B909,'Students (Vertical)'!D:D&lt;&gt;"""");filter('Students (Vertical)'!D:D,'Students (Vertical)'!C:C=E909,'Students (Vertical)'!D:D&lt;&gt;"""")},countifs({filter('Student"&amp;"s (Vertical)'!D:D,'Students (Vertical)'!C:C=B909,'Students (Vertical)'!D:D&lt;&gt;"""");filter('Students (Vertical)'!D:D,'Students (Vertical)'!C:C=E909,'Students (Vertical)'!D:D&lt;&gt;"""")},{filter('Students (Vertical)'!D:D,'Students (Vertical)'!C:C=B909,'Students "&amp;"(Vertical)'!D:D&lt;&gt;"""");filter('Students (Vertical)'!D:D,'Students (Vertical)'!C:C=E909,'Students (Vertical)'!D:D&lt;&gt;"""")})&gt;1))),"""")"),"")</f>
        <v/>
      </c>
      <c r="L909" s="96"/>
      <c r="M909" s="96"/>
    </row>
    <row r="910" hidden="1">
      <c r="A910" s="8" t="s">
        <v>8</v>
      </c>
      <c r="C910" s="8" t="s">
        <v>8</v>
      </c>
      <c r="D910" s="8" t="s">
        <v>8</v>
      </c>
      <c r="F910" s="8" t="s">
        <v>8</v>
      </c>
      <c r="G910" s="8" t="s">
        <v>8</v>
      </c>
      <c r="I910" s="94" t="str">
        <f>IFERROR(__xludf.DUMMYFUNCTION("if(H910=""Must be Together"",iferror(join("", "",unique(filter({filter('Students (Vertical)'!O:O,'Students (Vertical)'!C:C=B910,'Students (Vertical)'!O:O&lt;&gt;"""");filter('Students (Vertical)'!O:O,'Students (Vertical)'!C:C=E910,'Students (Vertical)'!O:O&lt;&gt;"""&amp;""")},countifs({filter('Students (Vertical)'!O:O,'Students (Vertical)'!C:C=B910,'Students (Vertical)'!O:O&lt;&gt;"""");filter('Students (Vertical)'!O:O,'Students (Vertical)'!C:C=E910,'Students (Vertical)'!O:O&lt;&gt;"""")},{filter('Students (Vertical)'!O:O,'Students ("&amp;"Vertical)'!C:C=B910,'Students (Vertical)'!O:O&lt;&gt;"""");filter('Students (Vertical)'!O:O,'Students (Vertical)'!C:C=E910,'Students (Vertical)'!O:O&lt;&gt;"""")})&gt;1))),""No shared courses""),"""")"),"")</f>
        <v/>
      </c>
      <c r="J910" s="94" t="str">
        <f>IFERROR(__xludf.DUMMYFUNCTION("if(H910=""Can't be Together"",iferror(join("", "",unique(filter({unique(filter('Students (Vertical)'!O:O,'Students (Vertical)'!C:C=B910,'Students (Vertical)'!O:O&lt;&gt;"""",'Students (Vertical)'!P:P&gt;1));unique(filter('Students (Vertical)'!O:O,'Students (Vertic"&amp;"al)'!C:C=E910,'Students (Vertical)'!O:O&lt;&gt;"""",'Students (Vertical)'!P:P&gt;1))},countifs({unique(filter('Students (Vertical)'!O:O,'Students (Vertical)'!C:C=B910,'Students (Vertical)'!O:O&lt;&gt;"""",'Students (Vertical)'!P:P&gt;1));unique(filter('Students (Vertical)'"&amp;"!O:O,'Students (Vertical)'!C:C=E910,'Students (Vertical)'!O:O&lt;&gt;"""",'Students (Vertical)'!P:P&gt;1))},{unique(filter('Students (Vertical)'!O:O,'Students (Vertical)'!C:C=B910,'Students (Vertical)'!O:O&lt;&gt;"""",'Students (Vertical)'!P:P&gt;1));unique(filter('Student"&amp;"s (Vertical)'!O:O,'Students (Vertical)'!C:C=E910,'Students (Vertical)'!O:O&lt;&gt;"""",'Students (Vertical)'!P:P&gt;1))})&gt;1))),""""),"""")"),"")</f>
        <v/>
      </c>
      <c r="K910" s="96" t="str">
        <f>IFERROR(__xludf.DUMMYFUNCTION("iferror(join("", "",unique(filter({filter('Students (Vertical)'!D:D,'Students (Vertical)'!C:C=B910,'Students (Vertical)'!D:D&lt;&gt;"""");filter('Students (Vertical)'!D:D,'Students (Vertical)'!C:C=E910,'Students (Vertical)'!D:D&lt;&gt;"""")},countifs({filter('Student"&amp;"s (Vertical)'!D:D,'Students (Vertical)'!C:C=B910,'Students (Vertical)'!D:D&lt;&gt;"""");filter('Students (Vertical)'!D:D,'Students (Vertical)'!C:C=E910,'Students (Vertical)'!D:D&lt;&gt;"""")},{filter('Students (Vertical)'!D:D,'Students (Vertical)'!C:C=B910,'Students "&amp;"(Vertical)'!D:D&lt;&gt;"""");filter('Students (Vertical)'!D:D,'Students (Vertical)'!C:C=E910,'Students (Vertical)'!D:D&lt;&gt;"""")})&gt;1))),"""")"),"")</f>
        <v/>
      </c>
      <c r="L910" s="96"/>
      <c r="M910" s="96"/>
    </row>
    <row r="911" hidden="1">
      <c r="A911" s="8" t="s">
        <v>8</v>
      </c>
      <c r="C911" s="8" t="s">
        <v>8</v>
      </c>
      <c r="D911" s="8" t="s">
        <v>8</v>
      </c>
      <c r="F911" s="8" t="s">
        <v>8</v>
      </c>
      <c r="G911" s="8" t="s">
        <v>8</v>
      </c>
      <c r="I911" s="94" t="str">
        <f>IFERROR(__xludf.DUMMYFUNCTION("if(H911=""Must be Together"",iferror(join("", "",unique(filter({filter('Students (Vertical)'!O:O,'Students (Vertical)'!C:C=B911,'Students (Vertical)'!O:O&lt;&gt;"""");filter('Students (Vertical)'!O:O,'Students (Vertical)'!C:C=E911,'Students (Vertical)'!O:O&lt;&gt;"""&amp;""")},countifs({filter('Students (Vertical)'!O:O,'Students (Vertical)'!C:C=B911,'Students (Vertical)'!O:O&lt;&gt;"""");filter('Students (Vertical)'!O:O,'Students (Vertical)'!C:C=E911,'Students (Vertical)'!O:O&lt;&gt;"""")},{filter('Students (Vertical)'!O:O,'Students ("&amp;"Vertical)'!C:C=B911,'Students (Vertical)'!O:O&lt;&gt;"""");filter('Students (Vertical)'!O:O,'Students (Vertical)'!C:C=E911,'Students (Vertical)'!O:O&lt;&gt;"""")})&gt;1))),""No shared courses""),"""")"),"")</f>
        <v/>
      </c>
      <c r="J911" s="94" t="str">
        <f>IFERROR(__xludf.DUMMYFUNCTION("if(H911=""Can't be Together"",iferror(join("", "",unique(filter({unique(filter('Students (Vertical)'!O:O,'Students (Vertical)'!C:C=B911,'Students (Vertical)'!O:O&lt;&gt;"""",'Students (Vertical)'!P:P&gt;1));unique(filter('Students (Vertical)'!O:O,'Students (Vertic"&amp;"al)'!C:C=E911,'Students (Vertical)'!O:O&lt;&gt;"""",'Students (Vertical)'!P:P&gt;1))},countifs({unique(filter('Students (Vertical)'!O:O,'Students (Vertical)'!C:C=B911,'Students (Vertical)'!O:O&lt;&gt;"""",'Students (Vertical)'!P:P&gt;1));unique(filter('Students (Vertical)'"&amp;"!O:O,'Students (Vertical)'!C:C=E911,'Students (Vertical)'!O:O&lt;&gt;"""",'Students (Vertical)'!P:P&gt;1))},{unique(filter('Students (Vertical)'!O:O,'Students (Vertical)'!C:C=B911,'Students (Vertical)'!O:O&lt;&gt;"""",'Students (Vertical)'!P:P&gt;1));unique(filter('Student"&amp;"s (Vertical)'!O:O,'Students (Vertical)'!C:C=E911,'Students (Vertical)'!O:O&lt;&gt;"""",'Students (Vertical)'!P:P&gt;1))})&gt;1))),""""),"""")"),"")</f>
        <v/>
      </c>
      <c r="K911" s="96" t="str">
        <f>IFERROR(__xludf.DUMMYFUNCTION("iferror(join("", "",unique(filter({filter('Students (Vertical)'!D:D,'Students (Vertical)'!C:C=B911,'Students (Vertical)'!D:D&lt;&gt;"""");filter('Students (Vertical)'!D:D,'Students (Vertical)'!C:C=E911,'Students (Vertical)'!D:D&lt;&gt;"""")},countifs({filter('Student"&amp;"s (Vertical)'!D:D,'Students (Vertical)'!C:C=B911,'Students (Vertical)'!D:D&lt;&gt;"""");filter('Students (Vertical)'!D:D,'Students (Vertical)'!C:C=E911,'Students (Vertical)'!D:D&lt;&gt;"""")},{filter('Students (Vertical)'!D:D,'Students (Vertical)'!C:C=B911,'Students "&amp;"(Vertical)'!D:D&lt;&gt;"""");filter('Students (Vertical)'!D:D,'Students (Vertical)'!C:C=E911,'Students (Vertical)'!D:D&lt;&gt;"""")})&gt;1))),"""")"),"")</f>
        <v/>
      </c>
      <c r="L911" s="96"/>
      <c r="M911" s="96"/>
    </row>
    <row r="912" hidden="1">
      <c r="A912" s="8" t="s">
        <v>8</v>
      </c>
      <c r="C912" s="8" t="s">
        <v>8</v>
      </c>
      <c r="D912" s="8" t="s">
        <v>8</v>
      </c>
      <c r="F912" s="8" t="s">
        <v>8</v>
      </c>
      <c r="G912" s="8" t="s">
        <v>8</v>
      </c>
      <c r="I912" s="94" t="str">
        <f>IFERROR(__xludf.DUMMYFUNCTION("if(H912=""Must be Together"",iferror(join("", "",unique(filter({filter('Students (Vertical)'!O:O,'Students (Vertical)'!C:C=B912,'Students (Vertical)'!O:O&lt;&gt;"""");filter('Students (Vertical)'!O:O,'Students (Vertical)'!C:C=E912,'Students (Vertical)'!O:O&lt;&gt;"""&amp;""")},countifs({filter('Students (Vertical)'!O:O,'Students (Vertical)'!C:C=B912,'Students (Vertical)'!O:O&lt;&gt;"""");filter('Students (Vertical)'!O:O,'Students (Vertical)'!C:C=E912,'Students (Vertical)'!O:O&lt;&gt;"""")},{filter('Students (Vertical)'!O:O,'Students ("&amp;"Vertical)'!C:C=B912,'Students (Vertical)'!O:O&lt;&gt;"""");filter('Students (Vertical)'!O:O,'Students (Vertical)'!C:C=E912,'Students (Vertical)'!O:O&lt;&gt;"""")})&gt;1))),""No shared courses""),"""")"),"")</f>
        <v/>
      </c>
      <c r="J912" s="94" t="str">
        <f>IFERROR(__xludf.DUMMYFUNCTION("if(H912=""Can't be Together"",iferror(join("", "",unique(filter({unique(filter('Students (Vertical)'!O:O,'Students (Vertical)'!C:C=B912,'Students (Vertical)'!O:O&lt;&gt;"""",'Students (Vertical)'!P:P&gt;1));unique(filter('Students (Vertical)'!O:O,'Students (Vertic"&amp;"al)'!C:C=E912,'Students (Vertical)'!O:O&lt;&gt;"""",'Students (Vertical)'!P:P&gt;1))},countifs({unique(filter('Students (Vertical)'!O:O,'Students (Vertical)'!C:C=B912,'Students (Vertical)'!O:O&lt;&gt;"""",'Students (Vertical)'!P:P&gt;1));unique(filter('Students (Vertical)'"&amp;"!O:O,'Students (Vertical)'!C:C=E912,'Students (Vertical)'!O:O&lt;&gt;"""",'Students (Vertical)'!P:P&gt;1))},{unique(filter('Students (Vertical)'!O:O,'Students (Vertical)'!C:C=B912,'Students (Vertical)'!O:O&lt;&gt;"""",'Students (Vertical)'!P:P&gt;1));unique(filter('Student"&amp;"s (Vertical)'!O:O,'Students (Vertical)'!C:C=E912,'Students (Vertical)'!O:O&lt;&gt;"""",'Students (Vertical)'!P:P&gt;1))})&gt;1))),""""),"""")"),"")</f>
        <v/>
      </c>
      <c r="K912" s="96" t="str">
        <f>IFERROR(__xludf.DUMMYFUNCTION("iferror(join("", "",unique(filter({filter('Students (Vertical)'!D:D,'Students (Vertical)'!C:C=B912,'Students (Vertical)'!D:D&lt;&gt;"""");filter('Students (Vertical)'!D:D,'Students (Vertical)'!C:C=E912,'Students (Vertical)'!D:D&lt;&gt;"""")},countifs({filter('Student"&amp;"s (Vertical)'!D:D,'Students (Vertical)'!C:C=B912,'Students (Vertical)'!D:D&lt;&gt;"""");filter('Students (Vertical)'!D:D,'Students (Vertical)'!C:C=E912,'Students (Vertical)'!D:D&lt;&gt;"""")},{filter('Students (Vertical)'!D:D,'Students (Vertical)'!C:C=B912,'Students "&amp;"(Vertical)'!D:D&lt;&gt;"""");filter('Students (Vertical)'!D:D,'Students (Vertical)'!C:C=E912,'Students (Vertical)'!D:D&lt;&gt;"""")})&gt;1))),"""")"),"")</f>
        <v/>
      </c>
      <c r="L912" s="96"/>
      <c r="M912" s="96"/>
    </row>
    <row r="913" hidden="1">
      <c r="A913" s="8" t="s">
        <v>8</v>
      </c>
      <c r="C913" s="8" t="s">
        <v>8</v>
      </c>
      <c r="D913" s="8" t="s">
        <v>8</v>
      </c>
      <c r="F913" s="8" t="s">
        <v>8</v>
      </c>
      <c r="G913" s="8" t="s">
        <v>8</v>
      </c>
      <c r="I913" s="94" t="str">
        <f>IFERROR(__xludf.DUMMYFUNCTION("if(H913=""Must be Together"",iferror(join("", "",unique(filter({filter('Students (Vertical)'!O:O,'Students (Vertical)'!C:C=B913,'Students (Vertical)'!O:O&lt;&gt;"""");filter('Students (Vertical)'!O:O,'Students (Vertical)'!C:C=E913,'Students (Vertical)'!O:O&lt;&gt;"""&amp;""")},countifs({filter('Students (Vertical)'!O:O,'Students (Vertical)'!C:C=B913,'Students (Vertical)'!O:O&lt;&gt;"""");filter('Students (Vertical)'!O:O,'Students (Vertical)'!C:C=E913,'Students (Vertical)'!O:O&lt;&gt;"""")},{filter('Students (Vertical)'!O:O,'Students ("&amp;"Vertical)'!C:C=B913,'Students (Vertical)'!O:O&lt;&gt;"""");filter('Students (Vertical)'!O:O,'Students (Vertical)'!C:C=E913,'Students (Vertical)'!O:O&lt;&gt;"""")})&gt;1))),""No shared courses""),"""")"),"")</f>
        <v/>
      </c>
      <c r="J913" s="94" t="str">
        <f>IFERROR(__xludf.DUMMYFUNCTION("if(H913=""Can't be Together"",iferror(join("", "",unique(filter({unique(filter('Students (Vertical)'!O:O,'Students (Vertical)'!C:C=B913,'Students (Vertical)'!O:O&lt;&gt;"""",'Students (Vertical)'!P:P&gt;1));unique(filter('Students (Vertical)'!O:O,'Students (Vertic"&amp;"al)'!C:C=E913,'Students (Vertical)'!O:O&lt;&gt;"""",'Students (Vertical)'!P:P&gt;1))},countifs({unique(filter('Students (Vertical)'!O:O,'Students (Vertical)'!C:C=B913,'Students (Vertical)'!O:O&lt;&gt;"""",'Students (Vertical)'!P:P&gt;1));unique(filter('Students (Vertical)'"&amp;"!O:O,'Students (Vertical)'!C:C=E913,'Students (Vertical)'!O:O&lt;&gt;"""",'Students (Vertical)'!P:P&gt;1))},{unique(filter('Students (Vertical)'!O:O,'Students (Vertical)'!C:C=B913,'Students (Vertical)'!O:O&lt;&gt;"""",'Students (Vertical)'!P:P&gt;1));unique(filter('Student"&amp;"s (Vertical)'!O:O,'Students (Vertical)'!C:C=E913,'Students (Vertical)'!O:O&lt;&gt;"""",'Students (Vertical)'!P:P&gt;1))})&gt;1))),""""),"""")"),"")</f>
        <v/>
      </c>
      <c r="K913" s="96" t="str">
        <f>IFERROR(__xludf.DUMMYFUNCTION("iferror(join("", "",unique(filter({filter('Students (Vertical)'!D:D,'Students (Vertical)'!C:C=B913,'Students (Vertical)'!D:D&lt;&gt;"""");filter('Students (Vertical)'!D:D,'Students (Vertical)'!C:C=E913,'Students (Vertical)'!D:D&lt;&gt;"""")},countifs({filter('Student"&amp;"s (Vertical)'!D:D,'Students (Vertical)'!C:C=B913,'Students (Vertical)'!D:D&lt;&gt;"""");filter('Students (Vertical)'!D:D,'Students (Vertical)'!C:C=E913,'Students (Vertical)'!D:D&lt;&gt;"""")},{filter('Students (Vertical)'!D:D,'Students (Vertical)'!C:C=B913,'Students "&amp;"(Vertical)'!D:D&lt;&gt;"""");filter('Students (Vertical)'!D:D,'Students (Vertical)'!C:C=E913,'Students (Vertical)'!D:D&lt;&gt;"""")})&gt;1))),"""")"),"")</f>
        <v/>
      </c>
      <c r="L913" s="96"/>
      <c r="M913" s="96"/>
    </row>
    <row r="914" hidden="1">
      <c r="A914" s="8" t="s">
        <v>8</v>
      </c>
      <c r="C914" s="8" t="s">
        <v>8</v>
      </c>
      <c r="D914" s="8" t="s">
        <v>8</v>
      </c>
      <c r="F914" s="8" t="s">
        <v>8</v>
      </c>
      <c r="G914" s="8" t="s">
        <v>8</v>
      </c>
      <c r="I914" s="94" t="str">
        <f>IFERROR(__xludf.DUMMYFUNCTION("if(H914=""Must be Together"",iferror(join("", "",unique(filter({filter('Students (Vertical)'!O:O,'Students (Vertical)'!C:C=B914,'Students (Vertical)'!O:O&lt;&gt;"""");filter('Students (Vertical)'!O:O,'Students (Vertical)'!C:C=E914,'Students (Vertical)'!O:O&lt;&gt;"""&amp;""")},countifs({filter('Students (Vertical)'!O:O,'Students (Vertical)'!C:C=B914,'Students (Vertical)'!O:O&lt;&gt;"""");filter('Students (Vertical)'!O:O,'Students (Vertical)'!C:C=E914,'Students (Vertical)'!O:O&lt;&gt;"""")},{filter('Students (Vertical)'!O:O,'Students ("&amp;"Vertical)'!C:C=B914,'Students (Vertical)'!O:O&lt;&gt;"""");filter('Students (Vertical)'!O:O,'Students (Vertical)'!C:C=E914,'Students (Vertical)'!O:O&lt;&gt;"""")})&gt;1))),""No shared courses""),"""")"),"")</f>
        <v/>
      </c>
      <c r="J914" s="94" t="str">
        <f>IFERROR(__xludf.DUMMYFUNCTION("if(H914=""Can't be Together"",iferror(join("", "",unique(filter({unique(filter('Students (Vertical)'!O:O,'Students (Vertical)'!C:C=B914,'Students (Vertical)'!O:O&lt;&gt;"""",'Students (Vertical)'!P:P&gt;1));unique(filter('Students (Vertical)'!O:O,'Students (Vertic"&amp;"al)'!C:C=E914,'Students (Vertical)'!O:O&lt;&gt;"""",'Students (Vertical)'!P:P&gt;1))},countifs({unique(filter('Students (Vertical)'!O:O,'Students (Vertical)'!C:C=B914,'Students (Vertical)'!O:O&lt;&gt;"""",'Students (Vertical)'!P:P&gt;1));unique(filter('Students (Vertical)'"&amp;"!O:O,'Students (Vertical)'!C:C=E914,'Students (Vertical)'!O:O&lt;&gt;"""",'Students (Vertical)'!P:P&gt;1))},{unique(filter('Students (Vertical)'!O:O,'Students (Vertical)'!C:C=B914,'Students (Vertical)'!O:O&lt;&gt;"""",'Students (Vertical)'!P:P&gt;1));unique(filter('Student"&amp;"s (Vertical)'!O:O,'Students (Vertical)'!C:C=E914,'Students (Vertical)'!O:O&lt;&gt;"""",'Students (Vertical)'!P:P&gt;1))})&gt;1))),""""),"""")"),"")</f>
        <v/>
      </c>
      <c r="K914" s="96" t="str">
        <f>IFERROR(__xludf.DUMMYFUNCTION("iferror(join("", "",unique(filter({filter('Students (Vertical)'!D:D,'Students (Vertical)'!C:C=B914,'Students (Vertical)'!D:D&lt;&gt;"""");filter('Students (Vertical)'!D:D,'Students (Vertical)'!C:C=E914,'Students (Vertical)'!D:D&lt;&gt;"""")},countifs({filter('Student"&amp;"s (Vertical)'!D:D,'Students (Vertical)'!C:C=B914,'Students (Vertical)'!D:D&lt;&gt;"""");filter('Students (Vertical)'!D:D,'Students (Vertical)'!C:C=E914,'Students (Vertical)'!D:D&lt;&gt;"""")},{filter('Students (Vertical)'!D:D,'Students (Vertical)'!C:C=B914,'Students "&amp;"(Vertical)'!D:D&lt;&gt;"""");filter('Students (Vertical)'!D:D,'Students (Vertical)'!C:C=E914,'Students (Vertical)'!D:D&lt;&gt;"""")})&gt;1))),"""")"),"")</f>
        <v/>
      </c>
      <c r="L914" s="96"/>
      <c r="M914" s="96"/>
    </row>
    <row r="915" hidden="1">
      <c r="A915" s="8" t="s">
        <v>8</v>
      </c>
      <c r="C915" s="8" t="s">
        <v>8</v>
      </c>
      <c r="D915" s="8" t="s">
        <v>8</v>
      </c>
      <c r="F915" s="8" t="s">
        <v>8</v>
      </c>
      <c r="G915" s="8" t="s">
        <v>8</v>
      </c>
      <c r="I915" s="94" t="str">
        <f>IFERROR(__xludf.DUMMYFUNCTION("if(H915=""Must be Together"",iferror(join("", "",unique(filter({filter('Students (Vertical)'!O:O,'Students (Vertical)'!C:C=B915,'Students (Vertical)'!O:O&lt;&gt;"""");filter('Students (Vertical)'!O:O,'Students (Vertical)'!C:C=E915,'Students (Vertical)'!O:O&lt;&gt;"""&amp;""")},countifs({filter('Students (Vertical)'!O:O,'Students (Vertical)'!C:C=B915,'Students (Vertical)'!O:O&lt;&gt;"""");filter('Students (Vertical)'!O:O,'Students (Vertical)'!C:C=E915,'Students (Vertical)'!O:O&lt;&gt;"""")},{filter('Students (Vertical)'!O:O,'Students ("&amp;"Vertical)'!C:C=B915,'Students (Vertical)'!O:O&lt;&gt;"""");filter('Students (Vertical)'!O:O,'Students (Vertical)'!C:C=E915,'Students (Vertical)'!O:O&lt;&gt;"""")})&gt;1))),""No shared courses""),"""")"),"")</f>
        <v/>
      </c>
      <c r="J915" s="94" t="str">
        <f>IFERROR(__xludf.DUMMYFUNCTION("if(H915=""Can't be Together"",iferror(join("", "",unique(filter({unique(filter('Students (Vertical)'!O:O,'Students (Vertical)'!C:C=B915,'Students (Vertical)'!O:O&lt;&gt;"""",'Students (Vertical)'!P:P&gt;1));unique(filter('Students (Vertical)'!O:O,'Students (Vertic"&amp;"al)'!C:C=E915,'Students (Vertical)'!O:O&lt;&gt;"""",'Students (Vertical)'!P:P&gt;1))},countifs({unique(filter('Students (Vertical)'!O:O,'Students (Vertical)'!C:C=B915,'Students (Vertical)'!O:O&lt;&gt;"""",'Students (Vertical)'!P:P&gt;1));unique(filter('Students (Vertical)'"&amp;"!O:O,'Students (Vertical)'!C:C=E915,'Students (Vertical)'!O:O&lt;&gt;"""",'Students (Vertical)'!P:P&gt;1))},{unique(filter('Students (Vertical)'!O:O,'Students (Vertical)'!C:C=B915,'Students (Vertical)'!O:O&lt;&gt;"""",'Students (Vertical)'!P:P&gt;1));unique(filter('Student"&amp;"s (Vertical)'!O:O,'Students (Vertical)'!C:C=E915,'Students (Vertical)'!O:O&lt;&gt;"""",'Students (Vertical)'!P:P&gt;1))})&gt;1))),""""),"""")"),"")</f>
        <v/>
      </c>
      <c r="K915" s="96" t="str">
        <f>IFERROR(__xludf.DUMMYFUNCTION("iferror(join("", "",unique(filter({filter('Students (Vertical)'!D:D,'Students (Vertical)'!C:C=B915,'Students (Vertical)'!D:D&lt;&gt;"""");filter('Students (Vertical)'!D:D,'Students (Vertical)'!C:C=E915,'Students (Vertical)'!D:D&lt;&gt;"""")},countifs({filter('Student"&amp;"s (Vertical)'!D:D,'Students (Vertical)'!C:C=B915,'Students (Vertical)'!D:D&lt;&gt;"""");filter('Students (Vertical)'!D:D,'Students (Vertical)'!C:C=E915,'Students (Vertical)'!D:D&lt;&gt;"""")},{filter('Students (Vertical)'!D:D,'Students (Vertical)'!C:C=B915,'Students "&amp;"(Vertical)'!D:D&lt;&gt;"""");filter('Students (Vertical)'!D:D,'Students (Vertical)'!C:C=E915,'Students (Vertical)'!D:D&lt;&gt;"""")})&gt;1))),"""")"),"")</f>
        <v/>
      </c>
      <c r="L915" s="96"/>
      <c r="M915" s="96"/>
    </row>
    <row r="916" hidden="1">
      <c r="A916" s="8" t="s">
        <v>8</v>
      </c>
      <c r="C916" s="8" t="s">
        <v>8</v>
      </c>
      <c r="D916" s="8" t="s">
        <v>8</v>
      </c>
      <c r="F916" s="8" t="s">
        <v>8</v>
      </c>
      <c r="G916" s="8" t="s">
        <v>8</v>
      </c>
      <c r="I916" s="94" t="str">
        <f>IFERROR(__xludf.DUMMYFUNCTION("if(H916=""Must be Together"",iferror(join("", "",unique(filter({filter('Students (Vertical)'!O:O,'Students (Vertical)'!C:C=B916,'Students (Vertical)'!O:O&lt;&gt;"""");filter('Students (Vertical)'!O:O,'Students (Vertical)'!C:C=E916,'Students (Vertical)'!O:O&lt;&gt;"""&amp;""")},countifs({filter('Students (Vertical)'!O:O,'Students (Vertical)'!C:C=B916,'Students (Vertical)'!O:O&lt;&gt;"""");filter('Students (Vertical)'!O:O,'Students (Vertical)'!C:C=E916,'Students (Vertical)'!O:O&lt;&gt;"""")},{filter('Students (Vertical)'!O:O,'Students ("&amp;"Vertical)'!C:C=B916,'Students (Vertical)'!O:O&lt;&gt;"""");filter('Students (Vertical)'!O:O,'Students (Vertical)'!C:C=E916,'Students (Vertical)'!O:O&lt;&gt;"""")})&gt;1))),""No shared courses""),"""")"),"")</f>
        <v/>
      </c>
      <c r="J916" s="94" t="str">
        <f>IFERROR(__xludf.DUMMYFUNCTION("if(H916=""Can't be Together"",iferror(join("", "",unique(filter({unique(filter('Students (Vertical)'!O:O,'Students (Vertical)'!C:C=B916,'Students (Vertical)'!O:O&lt;&gt;"""",'Students (Vertical)'!P:P&gt;1));unique(filter('Students (Vertical)'!O:O,'Students (Vertic"&amp;"al)'!C:C=E916,'Students (Vertical)'!O:O&lt;&gt;"""",'Students (Vertical)'!P:P&gt;1))},countifs({unique(filter('Students (Vertical)'!O:O,'Students (Vertical)'!C:C=B916,'Students (Vertical)'!O:O&lt;&gt;"""",'Students (Vertical)'!P:P&gt;1));unique(filter('Students (Vertical)'"&amp;"!O:O,'Students (Vertical)'!C:C=E916,'Students (Vertical)'!O:O&lt;&gt;"""",'Students (Vertical)'!P:P&gt;1))},{unique(filter('Students (Vertical)'!O:O,'Students (Vertical)'!C:C=B916,'Students (Vertical)'!O:O&lt;&gt;"""",'Students (Vertical)'!P:P&gt;1));unique(filter('Student"&amp;"s (Vertical)'!O:O,'Students (Vertical)'!C:C=E916,'Students (Vertical)'!O:O&lt;&gt;"""",'Students (Vertical)'!P:P&gt;1))})&gt;1))),""""),"""")"),"")</f>
        <v/>
      </c>
      <c r="K916" s="96" t="str">
        <f>IFERROR(__xludf.DUMMYFUNCTION("iferror(join("", "",unique(filter({filter('Students (Vertical)'!D:D,'Students (Vertical)'!C:C=B916,'Students (Vertical)'!D:D&lt;&gt;"""");filter('Students (Vertical)'!D:D,'Students (Vertical)'!C:C=E916,'Students (Vertical)'!D:D&lt;&gt;"""")},countifs({filter('Student"&amp;"s (Vertical)'!D:D,'Students (Vertical)'!C:C=B916,'Students (Vertical)'!D:D&lt;&gt;"""");filter('Students (Vertical)'!D:D,'Students (Vertical)'!C:C=E916,'Students (Vertical)'!D:D&lt;&gt;"""")},{filter('Students (Vertical)'!D:D,'Students (Vertical)'!C:C=B916,'Students "&amp;"(Vertical)'!D:D&lt;&gt;"""");filter('Students (Vertical)'!D:D,'Students (Vertical)'!C:C=E916,'Students (Vertical)'!D:D&lt;&gt;"""")})&gt;1))),"""")"),"")</f>
        <v/>
      </c>
      <c r="L916" s="96"/>
      <c r="M916" s="96"/>
    </row>
    <row r="917" hidden="1">
      <c r="A917" s="8" t="s">
        <v>8</v>
      </c>
      <c r="C917" s="8" t="s">
        <v>8</v>
      </c>
      <c r="D917" s="8" t="s">
        <v>8</v>
      </c>
      <c r="F917" s="8" t="s">
        <v>8</v>
      </c>
      <c r="G917" s="8" t="s">
        <v>8</v>
      </c>
      <c r="I917" s="94" t="str">
        <f>IFERROR(__xludf.DUMMYFUNCTION("if(H917=""Must be Together"",iferror(join("", "",unique(filter({filter('Students (Vertical)'!O:O,'Students (Vertical)'!C:C=B917,'Students (Vertical)'!O:O&lt;&gt;"""");filter('Students (Vertical)'!O:O,'Students (Vertical)'!C:C=E917,'Students (Vertical)'!O:O&lt;&gt;"""&amp;""")},countifs({filter('Students (Vertical)'!O:O,'Students (Vertical)'!C:C=B917,'Students (Vertical)'!O:O&lt;&gt;"""");filter('Students (Vertical)'!O:O,'Students (Vertical)'!C:C=E917,'Students (Vertical)'!O:O&lt;&gt;"""")},{filter('Students (Vertical)'!O:O,'Students ("&amp;"Vertical)'!C:C=B917,'Students (Vertical)'!O:O&lt;&gt;"""");filter('Students (Vertical)'!O:O,'Students (Vertical)'!C:C=E917,'Students (Vertical)'!O:O&lt;&gt;"""")})&gt;1))),""No shared courses""),"""")"),"")</f>
        <v/>
      </c>
      <c r="J917" s="94" t="str">
        <f>IFERROR(__xludf.DUMMYFUNCTION("if(H917=""Can't be Together"",iferror(join("", "",unique(filter({unique(filter('Students (Vertical)'!O:O,'Students (Vertical)'!C:C=B917,'Students (Vertical)'!O:O&lt;&gt;"""",'Students (Vertical)'!P:P&gt;1));unique(filter('Students (Vertical)'!O:O,'Students (Vertic"&amp;"al)'!C:C=E917,'Students (Vertical)'!O:O&lt;&gt;"""",'Students (Vertical)'!P:P&gt;1))},countifs({unique(filter('Students (Vertical)'!O:O,'Students (Vertical)'!C:C=B917,'Students (Vertical)'!O:O&lt;&gt;"""",'Students (Vertical)'!P:P&gt;1));unique(filter('Students (Vertical)'"&amp;"!O:O,'Students (Vertical)'!C:C=E917,'Students (Vertical)'!O:O&lt;&gt;"""",'Students (Vertical)'!P:P&gt;1))},{unique(filter('Students (Vertical)'!O:O,'Students (Vertical)'!C:C=B917,'Students (Vertical)'!O:O&lt;&gt;"""",'Students (Vertical)'!P:P&gt;1));unique(filter('Student"&amp;"s (Vertical)'!O:O,'Students (Vertical)'!C:C=E917,'Students (Vertical)'!O:O&lt;&gt;"""",'Students (Vertical)'!P:P&gt;1))})&gt;1))),""""),"""")"),"")</f>
        <v/>
      </c>
      <c r="K917" s="96" t="str">
        <f>IFERROR(__xludf.DUMMYFUNCTION("iferror(join("", "",unique(filter({filter('Students (Vertical)'!D:D,'Students (Vertical)'!C:C=B917,'Students (Vertical)'!D:D&lt;&gt;"""");filter('Students (Vertical)'!D:D,'Students (Vertical)'!C:C=E917,'Students (Vertical)'!D:D&lt;&gt;"""")},countifs({filter('Student"&amp;"s (Vertical)'!D:D,'Students (Vertical)'!C:C=B917,'Students (Vertical)'!D:D&lt;&gt;"""");filter('Students (Vertical)'!D:D,'Students (Vertical)'!C:C=E917,'Students (Vertical)'!D:D&lt;&gt;"""")},{filter('Students (Vertical)'!D:D,'Students (Vertical)'!C:C=B917,'Students "&amp;"(Vertical)'!D:D&lt;&gt;"""");filter('Students (Vertical)'!D:D,'Students (Vertical)'!C:C=E917,'Students (Vertical)'!D:D&lt;&gt;"""")})&gt;1))),"""")"),"")</f>
        <v/>
      </c>
      <c r="L917" s="96"/>
      <c r="M917" s="96"/>
    </row>
    <row r="918" hidden="1">
      <c r="A918" s="8" t="s">
        <v>8</v>
      </c>
      <c r="C918" s="8" t="s">
        <v>8</v>
      </c>
      <c r="D918" s="8" t="s">
        <v>8</v>
      </c>
      <c r="F918" s="8" t="s">
        <v>8</v>
      </c>
      <c r="G918" s="8" t="s">
        <v>8</v>
      </c>
      <c r="I918" s="94" t="str">
        <f>IFERROR(__xludf.DUMMYFUNCTION("if(H918=""Must be Together"",iferror(join("", "",unique(filter({filter('Students (Vertical)'!O:O,'Students (Vertical)'!C:C=B918,'Students (Vertical)'!O:O&lt;&gt;"""");filter('Students (Vertical)'!O:O,'Students (Vertical)'!C:C=E918,'Students (Vertical)'!O:O&lt;&gt;"""&amp;""")},countifs({filter('Students (Vertical)'!O:O,'Students (Vertical)'!C:C=B918,'Students (Vertical)'!O:O&lt;&gt;"""");filter('Students (Vertical)'!O:O,'Students (Vertical)'!C:C=E918,'Students (Vertical)'!O:O&lt;&gt;"""")},{filter('Students (Vertical)'!O:O,'Students ("&amp;"Vertical)'!C:C=B918,'Students (Vertical)'!O:O&lt;&gt;"""");filter('Students (Vertical)'!O:O,'Students (Vertical)'!C:C=E918,'Students (Vertical)'!O:O&lt;&gt;"""")})&gt;1))),""No shared courses""),"""")"),"")</f>
        <v/>
      </c>
      <c r="J918" s="94" t="str">
        <f>IFERROR(__xludf.DUMMYFUNCTION("if(H918=""Can't be Together"",iferror(join("", "",unique(filter({unique(filter('Students (Vertical)'!O:O,'Students (Vertical)'!C:C=B918,'Students (Vertical)'!O:O&lt;&gt;"""",'Students (Vertical)'!P:P&gt;1));unique(filter('Students (Vertical)'!O:O,'Students (Vertic"&amp;"al)'!C:C=E918,'Students (Vertical)'!O:O&lt;&gt;"""",'Students (Vertical)'!P:P&gt;1))},countifs({unique(filter('Students (Vertical)'!O:O,'Students (Vertical)'!C:C=B918,'Students (Vertical)'!O:O&lt;&gt;"""",'Students (Vertical)'!P:P&gt;1));unique(filter('Students (Vertical)'"&amp;"!O:O,'Students (Vertical)'!C:C=E918,'Students (Vertical)'!O:O&lt;&gt;"""",'Students (Vertical)'!P:P&gt;1))},{unique(filter('Students (Vertical)'!O:O,'Students (Vertical)'!C:C=B918,'Students (Vertical)'!O:O&lt;&gt;"""",'Students (Vertical)'!P:P&gt;1));unique(filter('Student"&amp;"s (Vertical)'!O:O,'Students (Vertical)'!C:C=E918,'Students (Vertical)'!O:O&lt;&gt;"""",'Students (Vertical)'!P:P&gt;1))})&gt;1))),""""),"""")"),"")</f>
        <v/>
      </c>
      <c r="K918" s="96" t="str">
        <f>IFERROR(__xludf.DUMMYFUNCTION("iferror(join("", "",unique(filter({filter('Students (Vertical)'!D:D,'Students (Vertical)'!C:C=B918,'Students (Vertical)'!D:D&lt;&gt;"""");filter('Students (Vertical)'!D:D,'Students (Vertical)'!C:C=E918,'Students (Vertical)'!D:D&lt;&gt;"""")},countifs({filter('Student"&amp;"s (Vertical)'!D:D,'Students (Vertical)'!C:C=B918,'Students (Vertical)'!D:D&lt;&gt;"""");filter('Students (Vertical)'!D:D,'Students (Vertical)'!C:C=E918,'Students (Vertical)'!D:D&lt;&gt;"""")},{filter('Students (Vertical)'!D:D,'Students (Vertical)'!C:C=B918,'Students "&amp;"(Vertical)'!D:D&lt;&gt;"""");filter('Students (Vertical)'!D:D,'Students (Vertical)'!C:C=E918,'Students (Vertical)'!D:D&lt;&gt;"""")})&gt;1))),"""")"),"")</f>
        <v/>
      </c>
      <c r="L918" s="96"/>
      <c r="M918" s="96"/>
    </row>
    <row r="919" hidden="1">
      <c r="A919" s="8" t="s">
        <v>8</v>
      </c>
      <c r="C919" s="8" t="s">
        <v>8</v>
      </c>
      <c r="D919" s="8" t="s">
        <v>8</v>
      </c>
      <c r="F919" s="8" t="s">
        <v>8</v>
      </c>
      <c r="G919" s="8" t="s">
        <v>8</v>
      </c>
      <c r="I919" s="94" t="str">
        <f>IFERROR(__xludf.DUMMYFUNCTION("if(H919=""Must be Together"",iferror(join("", "",unique(filter({filter('Students (Vertical)'!O:O,'Students (Vertical)'!C:C=B919,'Students (Vertical)'!O:O&lt;&gt;"""");filter('Students (Vertical)'!O:O,'Students (Vertical)'!C:C=E919,'Students (Vertical)'!O:O&lt;&gt;"""&amp;""")},countifs({filter('Students (Vertical)'!O:O,'Students (Vertical)'!C:C=B919,'Students (Vertical)'!O:O&lt;&gt;"""");filter('Students (Vertical)'!O:O,'Students (Vertical)'!C:C=E919,'Students (Vertical)'!O:O&lt;&gt;"""")},{filter('Students (Vertical)'!O:O,'Students ("&amp;"Vertical)'!C:C=B919,'Students (Vertical)'!O:O&lt;&gt;"""");filter('Students (Vertical)'!O:O,'Students (Vertical)'!C:C=E919,'Students (Vertical)'!O:O&lt;&gt;"""")})&gt;1))),""No shared courses""),"""")"),"")</f>
        <v/>
      </c>
      <c r="J919" s="94" t="str">
        <f>IFERROR(__xludf.DUMMYFUNCTION("if(H919=""Can't be Together"",iferror(join("", "",unique(filter({unique(filter('Students (Vertical)'!O:O,'Students (Vertical)'!C:C=B919,'Students (Vertical)'!O:O&lt;&gt;"""",'Students (Vertical)'!P:P&gt;1));unique(filter('Students (Vertical)'!O:O,'Students (Vertic"&amp;"al)'!C:C=E919,'Students (Vertical)'!O:O&lt;&gt;"""",'Students (Vertical)'!P:P&gt;1))},countifs({unique(filter('Students (Vertical)'!O:O,'Students (Vertical)'!C:C=B919,'Students (Vertical)'!O:O&lt;&gt;"""",'Students (Vertical)'!P:P&gt;1));unique(filter('Students (Vertical)'"&amp;"!O:O,'Students (Vertical)'!C:C=E919,'Students (Vertical)'!O:O&lt;&gt;"""",'Students (Vertical)'!P:P&gt;1))},{unique(filter('Students (Vertical)'!O:O,'Students (Vertical)'!C:C=B919,'Students (Vertical)'!O:O&lt;&gt;"""",'Students (Vertical)'!P:P&gt;1));unique(filter('Student"&amp;"s (Vertical)'!O:O,'Students (Vertical)'!C:C=E919,'Students (Vertical)'!O:O&lt;&gt;"""",'Students (Vertical)'!P:P&gt;1))})&gt;1))),""""),"""")"),"")</f>
        <v/>
      </c>
      <c r="K919" s="96" t="str">
        <f>IFERROR(__xludf.DUMMYFUNCTION("iferror(join("", "",unique(filter({filter('Students (Vertical)'!D:D,'Students (Vertical)'!C:C=B919,'Students (Vertical)'!D:D&lt;&gt;"""");filter('Students (Vertical)'!D:D,'Students (Vertical)'!C:C=E919,'Students (Vertical)'!D:D&lt;&gt;"""")},countifs({filter('Student"&amp;"s (Vertical)'!D:D,'Students (Vertical)'!C:C=B919,'Students (Vertical)'!D:D&lt;&gt;"""");filter('Students (Vertical)'!D:D,'Students (Vertical)'!C:C=E919,'Students (Vertical)'!D:D&lt;&gt;"""")},{filter('Students (Vertical)'!D:D,'Students (Vertical)'!C:C=B919,'Students "&amp;"(Vertical)'!D:D&lt;&gt;"""");filter('Students (Vertical)'!D:D,'Students (Vertical)'!C:C=E919,'Students (Vertical)'!D:D&lt;&gt;"""")})&gt;1))),"""")"),"")</f>
        <v/>
      </c>
      <c r="L919" s="96"/>
      <c r="M919" s="96"/>
    </row>
    <row r="920" hidden="1">
      <c r="A920" s="8" t="s">
        <v>8</v>
      </c>
      <c r="C920" s="8" t="s">
        <v>8</v>
      </c>
      <c r="D920" s="8" t="s">
        <v>8</v>
      </c>
      <c r="F920" s="8" t="s">
        <v>8</v>
      </c>
      <c r="G920" s="8" t="s">
        <v>8</v>
      </c>
      <c r="I920" s="94" t="str">
        <f>IFERROR(__xludf.DUMMYFUNCTION("if(H920=""Must be Together"",iferror(join("", "",unique(filter({filter('Students (Vertical)'!O:O,'Students (Vertical)'!C:C=B920,'Students (Vertical)'!O:O&lt;&gt;"""");filter('Students (Vertical)'!O:O,'Students (Vertical)'!C:C=E920,'Students (Vertical)'!O:O&lt;&gt;"""&amp;""")},countifs({filter('Students (Vertical)'!O:O,'Students (Vertical)'!C:C=B920,'Students (Vertical)'!O:O&lt;&gt;"""");filter('Students (Vertical)'!O:O,'Students (Vertical)'!C:C=E920,'Students (Vertical)'!O:O&lt;&gt;"""")},{filter('Students (Vertical)'!O:O,'Students ("&amp;"Vertical)'!C:C=B920,'Students (Vertical)'!O:O&lt;&gt;"""");filter('Students (Vertical)'!O:O,'Students (Vertical)'!C:C=E920,'Students (Vertical)'!O:O&lt;&gt;"""")})&gt;1))),""No shared courses""),"""")"),"")</f>
        <v/>
      </c>
      <c r="J920" s="94" t="str">
        <f>IFERROR(__xludf.DUMMYFUNCTION("if(H920=""Can't be Together"",iferror(join("", "",unique(filter({unique(filter('Students (Vertical)'!O:O,'Students (Vertical)'!C:C=B920,'Students (Vertical)'!O:O&lt;&gt;"""",'Students (Vertical)'!P:P&gt;1));unique(filter('Students (Vertical)'!O:O,'Students (Vertic"&amp;"al)'!C:C=E920,'Students (Vertical)'!O:O&lt;&gt;"""",'Students (Vertical)'!P:P&gt;1))},countifs({unique(filter('Students (Vertical)'!O:O,'Students (Vertical)'!C:C=B920,'Students (Vertical)'!O:O&lt;&gt;"""",'Students (Vertical)'!P:P&gt;1));unique(filter('Students (Vertical)'"&amp;"!O:O,'Students (Vertical)'!C:C=E920,'Students (Vertical)'!O:O&lt;&gt;"""",'Students (Vertical)'!P:P&gt;1))},{unique(filter('Students (Vertical)'!O:O,'Students (Vertical)'!C:C=B920,'Students (Vertical)'!O:O&lt;&gt;"""",'Students (Vertical)'!P:P&gt;1));unique(filter('Student"&amp;"s (Vertical)'!O:O,'Students (Vertical)'!C:C=E920,'Students (Vertical)'!O:O&lt;&gt;"""",'Students (Vertical)'!P:P&gt;1))})&gt;1))),""""),"""")"),"")</f>
        <v/>
      </c>
      <c r="K920" s="96" t="str">
        <f>IFERROR(__xludf.DUMMYFUNCTION("iferror(join("", "",unique(filter({filter('Students (Vertical)'!D:D,'Students (Vertical)'!C:C=B920,'Students (Vertical)'!D:D&lt;&gt;"""");filter('Students (Vertical)'!D:D,'Students (Vertical)'!C:C=E920,'Students (Vertical)'!D:D&lt;&gt;"""")},countifs({filter('Student"&amp;"s (Vertical)'!D:D,'Students (Vertical)'!C:C=B920,'Students (Vertical)'!D:D&lt;&gt;"""");filter('Students (Vertical)'!D:D,'Students (Vertical)'!C:C=E920,'Students (Vertical)'!D:D&lt;&gt;"""")},{filter('Students (Vertical)'!D:D,'Students (Vertical)'!C:C=B920,'Students "&amp;"(Vertical)'!D:D&lt;&gt;"""");filter('Students (Vertical)'!D:D,'Students (Vertical)'!C:C=E920,'Students (Vertical)'!D:D&lt;&gt;"""")})&gt;1))),"""")"),"")</f>
        <v/>
      </c>
      <c r="L920" s="96"/>
      <c r="M920" s="96"/>
    </row>
    <row r="921" hidden="1">
      <c r="A921" s="8" t="s">
        <v>8</v>
      </c>
      <c r="C921" s="8" t="s">
        <v>8</v>
      </c>
      <c r="D921" s="8" t="s">
        <v>8</v>
      </c>
      <c r="F921" s="8" t="s">
        <v>8</v>
      </c>
      <c r="G921" s="8" t="s">
        <v>8</v>
      </c>
      <c r="I921" s="94" t="str">
        <f>IFERROR(__xludf.DUMMYFUNCTION("if(H921=""Must be Together"",iferror(join("", "",unique(filter({filter('Students (Vertical)'!O:O,'Students (Vertical)'!C:C=B921,'Students (Vertical)'!O:O&lt;&gt;"""");filter('Students (Vertical)'!O:O,'Students (Vertical)'!C:C=E921,'Students (Vertical)'!O:O&lt;&gt;"""&amp;""")},countifs({filter('Students (Vertical)'!O:O,'Students (Vertical)'!C:C=B921,'Students (Vertical)'!O:O&lt;&gt;"""");filter('Students (Vertical)'!O:O,'Students (Vertical)'!C:C=E921,'Students (Vertical)'!O:O&lt;&gt;"""")},{filter('Students (Vertical)'!O:O,'Students ("&amp;"Vertical)'!C:C=B921,'Students (Vertical)'!O:O&lt;&gt;"""");filter('Students (Vertical)'!O:O,'Students (Vertical)'!C:C=E921,'Students (Vertical)'!O:O&lt;&gt;"""")})&gt;1))),""No shared courses""),"""")"),"")</f>
        <v/>
      </c>
      <c r="J921" s="94" t="str">
        <f>IFERROR(__xludf.DUMMYFUNCTION("if(H921=""Can't be Together"",iferror(join("", "",unique(filter({unique(filter('Students (Vertical)'!O:O,'Students (Vertical)'!C:C=B921,'Students (Vertical)'!O:O&lt;&gt;"""",'Students (Vertical)'!P:P&gt;1));unique(filter('Students (Vertical)'!O:O,'Students (Vertic"&amp;"al)'!C:C=E921,'Students (Vertical)'!O:O&lt;&gt;"""",'Students (Vertical)'!P:P&gt;1))},countifs({unique(filter('Students (Vertical)'!O:O,'Students (Vertical)'!C:C=B921,'Students (Vertical)'!O:O&lt;&gt;"""",'Students (Vertical)'!P:P&gt;1));unique(filter('Students (Vertical)'"&amp;"!O:O,'Students (Vertical)'!C:C=E921,'Students (Vertical)'!O:O&lt;&gt;"""",'Students (Vertical)'!P:P&gt;1))},{unique(filter('Students (Vertical)'!O:O,'Students (Vertical)'!C:C=B921,'Students (Vertical)'!O:O&lt;&gt;"""",'Students (Vertical)'!P:P&gt;1));unique(filter('Student"&amp;"s (Vertical)'!O:O,'Students (Vertical)'!C:C=E921,'Students (Vertical)'!O:O&lt;&gt;"""",'Students (Vertical)'!P:P&gt;1))})&gt;1))),""""),"""")"),"")</f>
        <v/>
      </c>
      <c r="K921" s="96" t="str">
        <f>IFERROR(__xludf.DUMMYFUNCTION("iferror(join("", "",unique(filter({filter('Students (Vertical)'!D:D,'Students (Vertical)'!C:C=B921,'Students (Vertical)'!D:D&lt;&gt;"""");filter('Students (Vertical)'!D:D,'Students (Vertical)'!C:C=E921,'Students (Vertical)'!D:D&lt;&gt;"""")},countifs({filter('Student"&amp;"s (Vertical)'!D:D,'Students (Vertical)'!C:C=B921,'Students (Vertical)'!D:D&lt;&gt;"""");filter('Students (Vertical)'!D:D,'Students (Vertical)'!C:C=E921,'Students (Vertical)'!D:D&lt;&gt;"""")},{filter('Students (Vertical)'!D:D,'Students (Vertical)'!C:C=B921,'Students "&amp;"(Vertical)'!D:D&lt;&gt;"""");filter('Students (Vertical)'!D:D,'Students (Vertical)'!C:C=E921,'Students (Vertical)'!D:D&lt;&gt;"""")})&gt;1))),"""")"),"")</f>
        <v/>
      </c>
      <c r="L921" s="96"/>
      <c r="M921" s="96"/>
    </row>
    <row r="922" hidden="1">
      <c r="A922" s="8" t="s">
        <v>8</v>
      </c>
      <c r="C922" s="8" t="s">
        <v>8</v>
      </c>
      <c r="D922" s="8" t="s">
        <v>8</v>
      </c>
      <c r="F922" s="8" t="s">
        <v>8</v>
      </c>
      <c r="G922" s="8" t="s">
        <v>8</v>
      </c>
      <c r="I922" s="94" t="str">
        <f>IFERROR(__xludf.DUMMYFUNCTION("if(H922=""Must be Together"",iferror(join("", "",unique(filter({filter('Students (Vertical)'!O:O,'Students (Vertical)'!C:C=B922,'Students (Vertical)'!O:O&lt;&gt;"""");filter('Students (Vertical)'!O:O,'Students (Vertical)'!C:C=E922,'Students (Vertical)'!O:O&lt;&gt;"""&amp;""")},countifs({filter('Students (Vertical)'!O:O,'Students (Vertical)'!C:C=B922,'Students (Vertical)'!O:O&lt;&gt;"""");filter('Students (Vertical)'!O:O,'Students (Vertical)'!C:C=E922,'Students (Vertical)'!O:O&lt;&gt;"""")},{filter('Students (Vertical)'!O:O,'Students ("&amp;"Vertical)'!C:C=B922,'Students (Vertical)'!O:O&lt;&gt;"""");filter('Students (Vertical)'!O:O,'Students (Vertical)'!C:C=E922,'Students (Vertical)'!O:O&lt;&gt;"""")})&gt;1))),""No shared courses""),"""")"),"")</f>
        <v/>
      </c>
      <c r="J922" s="94" t="str">
        <f>IFERROR(__xludf.DUMMYFUNCTION("if(H922=""Can't be Together"",iferror(join("", "",unique(filter({unique(filter('Students (Vertical)'!O:O,'Students (Vertical)'!C:C=B922,'Students (Vertical)'!O:O&lt;&gt;"""",'Students (Vertical)'!P:P&gt;1));unique(filter('Students (Vertical)'!O:O,'Students (Vertic"&amp;"al)'!C:C=E922,'Students (Vertical)'!O:O&lt;&gt;"""",'Students (Vertical)'!P:P&gt;1))},countifs({unique(filter('Students (Vertical)'!O:O,'Students (Vertical)'!C:C=B922,'Students (Vertical)'!O:O&lt;&gt;"""",'Students (Vertical)'!P:P&gt;1));unique(filter('Students (Vertical)'"&amp;"!O:O,'Students (Vertical)'!C:C=E922,'Students (Vertical)'!O:O&lt;&gt;"""",'Students (Vertical)'!P:P&gt;1))},{unique(filter('Students (Vertical)'!O:O,'Students (Vertical)'!C:C=B922,'Students (Vertical)'!O:O&lt;&gt;"""",'Students (Vertical)'!P:P&gt;1));unique(filter('Student"&amp;"s (Vertical)'!O:O,'Students (Vertical)'!C:C=E922,'Students (Vertical)'!O:O&lt;&gt;"""",'Students (Vertical)'!P:P&gt;1))})&gt;1))),""""),"""")"),"")</f>
        <v/>
      </c>
      <c r="K922" s="96" t="str">
        <f>IFERROR(__xludf.DUMMYFUNCTION("iferror(join("", "",unique(filter({filter('Students (Vertical)'!D:D,'Students (Vertical)'!C:C=B922,'Students (Vertical)'!D:D&lt;&gt;"""");filter('Students (Vertical)'!D:D,'Students (Vertical)'!C:C=E922,'Students (Vertical)'!D:D&lt;&gt;"""")},countifs({filter('Student"&amp;"s (Vertical)'!D:D,'Students (Vertical)'!C:C=B922,'Students (Vertical)'!D:D&lt;&gt;"""");filter('Students (Vertical)'!D:D,'Students (Vertical)'!C:C=E922,'Students (Vertical)'!D:D&lt;&gt;"""")},{filter('Students (Vertical)'!D:D,'Students (Vertical)'!C:C=B922,'Students "&amp;"(Vertical)'!D:D&lt;&gt;"""");filter('Students (Vertical)'!D:D,'Students (Vertical)'!C:C=E922,'Students (Vertical)'!D:D&lt;&gt;"""")})&gt;1))),"""")"),"")</f>
        <v/>
      </c>
      <c r="L922" s="96"/>
      <c r="M922" s="96"/>
    </row>
    <row r="923" hidden="1">
      <c r="A923" s="8" t="s">
        <v>8</v>
      </c>
      <c r="C923" s="8" t="s">
        <v>8</v>
      </c>
      <c r="D923" s="8" t="s">
        <v>8</v>
      </c>
      <c r="F923" s="8" t="s">
        <v>8</v>
      </c>
      <c r="G923" s="8" t="s">
        <v>8</v>
      </c>
      <c r="I923" s="94" t="str">
        <f>IFERROR(__xludf.DUMMYFUNCTION("if(H923=""Must be Together"",iferror(join("", "",unique(filter({filter('Students (Vertical)'!O:O,'Students (Vertical)'!C:C=B923,'Students (Vertical)'!O:O&lt;&gt;"""");filter('Students (Vertical)'!O:O,'Students (Vertical)'!C:C=E923,'Students (Vertical)'!O:O&lt;&gt;"""&amp;""")},countifs({filter('Students (Vertical)'!O:O,'Students (Vertical)'!C:C=B923,'Students (Vertical)'!O:O&lt;&gt;"""");filter('Students (Vertical)'!O:O,'Students (Vertical)'!C:C=E923,'Students (Vertical)'!O:O&lt;&gt;"""")},{filter('Students (Vertical)'!O:O,'Students ("&amp;"Vertical)'!C:C=B923,'Students (Vertical)'!O:O&lt;&gt;"""");filter('Students (Vertical)'!O:O,'Students (Vertical)'!C:C=E923,'Students (Vertical)'!O:O&lt;&gt;"""")})&gt;1))),""No shared courses""),"""")"),"")</f>
        <v/>
      </c>
      <c r="J923" s="94" t="str">
        <f>IFERROR(__xludf.DUMMYFUNCTION("if(H923=""Can't be Together"",iferror(join("", "",unique(filter({unique(filter('Students (Vertical)'!O:O,'Students (Vertical)'!C:C=B923,'Students (Vertical)'!O:O&lt;&gt;"""",'Students (Vertical)'!P:P&gt;1));unique(filter('Students (Vertical)'!O:O,'Students (Vertic"&amp;"al)'!C:C=E923,'Students (Vertical)'!O:O&lt;&gt;"""",'Students (Vertical)'!P:P&gt;1))},countifs({unique(filter('Students (Vertical)'!O:O,'Students (Vertical)'!C:C=B923,'Students (Vertical)'!O:O&lt;&gt;"""",'Students (Vertical)'!P:P&gt;1));unique(filter('Students (Vertical)'"&amp;"!O:O,'Students (Vertical)'!C:C=E923,'Students (Vertical)'!O:O&lt;&gt;"""",'Students (Vertical)'!P:P&gt;1))},{unique(filter('Students (Vertical)'!O:O,'Students (Vertical)'!C:C=B923,'Students (Vertical)'!O:O&lt;&gt;"""",'Students (Vertical)'!P:P&gt;1));unique(filter('Student"&amp;"s (Vertical)'!O:O,'Students (Vertical)'!C:C=E923,'Students (Vertical)'!O:O&lt;&gt;"""",'Students (Vertical)'!P:P&gt;1))})&gt;1))),""""),"""")"),"")</f>
        <v/>
      </c>
      <c r="K923" s="96" t="str">
        <f>IFERROR(__xludf.DUMMYFUNCTION("iferror(join("", "",unique(filter({filter('Students (Vertical)'!D:D,'Students (Vertical)'!C:C=B923,'Students (Vertical)'!D:D&lt;&gt;"""");filter('Students (Vertical)'!D:D,'Students (Vertical)'!C:C=E923,'Students (Vertical)'!D:D&lt;&gt;"""")},countifs({filter('Student"&amp;"s (Vertical)'!D:D,'Students (Vertical)'!C:C=B923,'Students (Vertical)'!D:D&lt;&gt;"""");filter('Students (Vertical)'!D:D,'Students (Vertical)'!C:C=E923,'Students (Vertical)'!D:D&lt;&gt;"""")},{filter('Students (Vertical)'!D:D,'Students (Vertical)'!C:C=B923,'Students "&amp;"(Vertical)'!D:D&lt;&gt;"""");filter('Students (Vertical)'!D:D,'Students (Vertical)'!C:C=E923,'Students (Vertical)'!D:D&lt;&gt;"""")})&gt;1))),"""")"),"")</f>
        <v/>
      </c>
      <c r="L923" s="96"/>
      <c r="M923" s="96"/>
    </row>
    <row r="924" hidden="1">
      <c r="A924" s="8" t="s">
        <v>8</v>
      </c>
      <c r="C924" s="8" t="s">
        <v>8</v>
      </c>
      <c r="D924" s="8" t="s">
        <v>8</v>
      </c>
      <c r="F924" s="8" t="s">
        <v>8</v>
      </c>
      <c r="G924" s="8" t="s">
        <v>8</v>
      </c>
      <c r="I924" s="94" t="str">
        <f>IFERROR(__xludf.DUMMYFUNCTION("if(H924=""Must be Together"",iferror(join("", "",unique(filter({filter('Students (Vertical)'!O:O,'Students (Vertical)'!C:C=B924,'Students (Vertical)'!O:O&lt;&gt;"""");filter('Students (Vertical)'!O:O,'Students (Vertical)'!C:C=E924,'Students (Vertical)'!O:O&lt;&gt;"""&amp;""")},countifs({filter('Students (Vertical)'!O:O,'Students (Vertical)'!C:C=B924,'Students (Vertical)'!O:O&lt;&gt;"""");filter('Students (Vertical)'!O:O,'Students (Vertical)'!C:C=E924,'Students (Vertical)'!O:O&lt;&gt;"""")},{filter('Students (Vertical)'!O:O,'Students ("&amp;"Vertical)'!C:C=B924,'Students (Vertical)'!O:O&lt;&gt;"""");filter('Students (Vertical)'!O:O,'Students (Vertical)'!C:C=E924,'Students (Vertical)'!O:O&lt;&gt;"""")})&gt;1))),""No shared courses""),"""")"),"")</f>
        <v/>
      </c>
      <c r="J924" s="94" t="str">
        <f>IFERROR(__xludf.DUMMYFUNCTION("if(H924=""Can't be Together"",iferror(join("", "",unique(filter({unique(filter('Students (Vertical)'!O:O,'Students (Vertical)'!C:C=B924,'Students (Vertical)'!O:O&lt;&gt;"""",'Students (Vertical)'!P:P&gt;1));unique(filter('Students (Vertical)'!O:O,'Students (Vertic"&amp;"al)'!C:C=E924,'Students (Vertical)'!O:O&lt;&gt;"""",'Students (Vertical)'!P:P&gt;1))},countifs({unique(filter('Students (Vertical)'!O:O,'Students (Vertical)'!C:C=B924,'Students (Vertical)'!O:O&lt;&gt;"""",'Students (Vertical)'!P:P&gt;1));unique(filter('Students (Vertical)'"&amp;"!O:O,'Students (Vertical)'!C:C=E924,'Students (Vertical)'!O:O&lt;&gt;"""",'Students (Vertical)'!P:P&gt;1))},{unique(filter('Students (Vertical)'!O:O,'Students (Vertical)'!C:C=B924,'Students (Vertical)'!O:O&lt;&gt;"""",'Students (Vertical)'!P:P&gt;1));unique(filter('Student"&amp;"s (Vertical)'!O:O,'Students (Vertical)'!C:C=E924,'Students (Vertical)'!O:O&lt;&gt;"""",'Students (Vertical)'!P:P&gt;1))})&gt;1))),""""),"""")"),"")</f>
        <v/>
      </c>
      <c r="K924" s="96" t="str">
        <f>IFERROR(__xludf.DUMMYFUNCTION("iferror(join("", "",unique(filter({filter('Students (Vertical)'!D:D,'Students (Vertical)'!C:C=B924,'Students (Vertical)'!D:D&lt;&gt;"""");filter('Students (Vertical)'!D:D,'Students (Vertical)'!C:C=E924,'Students (Vertical)'!D:D&lt;&gt;"""")},countifs({filter('Student"&amp;"s (Vertical)'!D:D,'Students (Vertical)'!C:C=B924,'Students (Vertical)'!D:D&lt;&gt;"""");filter('Students (Vertical)'!D:D,'Students (Vertical)'!C:C=E924,'Students (Vertical)'!D:D&lt;&gt;"""")},{filter('Students (Vertical)'!D:D,'Students (Vertical)'!C:C=B924,'Students "&amp;"(Vertical)'!D:D&lt;&gt;"""");filter('Students (Vertical)'!D:D,'Students (Vertical)'!C:C=E924,'Students (Vertical)'!D:D&lt;&gt;"""")})&gt;1))),"""")"),"")</f>
        <v/>
      </c>
      <c r="L924" s="96"/>
      <c r="M924" s="96"/>
    </row>
    <row r="925" hidden="1">
      <c r="A925" s="8" t="s">
        <v>8</v>
      </c>
      <c r="C925" s="8" t="s">
        <v>8</v>
      </c>
      <c r="D925" s="8" t="s">
        <v>8</v>
      </c>
      <c r="F925" s="8" t="s">
        <v>8</v>
      </c>
      <c r="G925" s="8" t="s">
        <v>8</v>
      </c>
      <c r="I925" s="94" t="str">
        <f>IFERROR(__xludf.DUMMYFUNCTION("if(H925=""Must be Together"",iferror(join("", "",unique(filter({filter('Students (Vertical)'!O:O,'Students (Vertical)'!C:C=B925,'Students (Vertical)'!O:O&lt;&gt;"""");filter('Students (Vertical)'!O:O,'Students (Vertical)'!C:C=E925,'Students (Vertical)'!O:O&lt;&gt;"""&amp;""")},countifs({filter('Students (Vertical)'!O:O,'Students (Vertical)'!C:C=B925,'Students (Vertical)'!O:O&lt;&gt;"""");filter('Students (Vertical)'!O:O,'Students (Vertical)'!C:C=E925,'Students (Vertical)'!O:O&lt;&gt;"""")},{filter('Students (Vertical)'!O:O,'Students ("&amp;"Vertical)'!C:C=B925,'Students (Vertical)'!O:O&lt;&gt;"""");filter('Students (Vertical)'!O:O,'Students (Vertical)'!C:C=E925,'Students (Vertical)'!O:O&lt;&gt;"""")})&gt;1))),""No shared courses""),"""")"),"")</f>
        <v/>
      </c>
      <c r="J925" s="94" t="str">
        <f>IFERROR(__xludf.DUMMYFUNCTION("if(H925=""Can't be Together"",iferror(join("", "",unique(filter({unique(filter('Students (Vertical)'!O:O,'Students (Vertical)'!C:C=B925,'Students (Vertical)'!O:O&lt;&gt;"""",'Students (Vertical)'!P:P&gt;1));unique(filter('Students (Vertical)'!O:O,'Students (Vertic"&amp;"al)'!C:C=E925,'Students (Vertical)'!O:O&lt;&gt;"""",'Students (Vertical)'!P:P&gt;1))},countifs({unique(filter('Students (Vertical)'!O:O,'Students (Vertical)'!C:C=B925,'Students (Vertical)'!O:O&lt;&gt;"""",'Students (Vertical)'!P:P&gt;1));unique(filter('Students (Vertical)'"&amp;"!O:O,'Students (Vertical)'!C:C=E925,'Students (Vertical)'!O:O&lt;&gt;"""",'Students (Vertical)'!P:P&gt;1))},{unique(filter('Students (Vertical)'!O:O,'Students (Vertical)'!C:C=B925,'Students (Vertical)'!O:O&lt;&gt;"""",'Students (Vertical)'!P:P&gt;1));unique(filter('Student"&amp;"s (Vertical)'!O:O,'Students (Vertical)'!C:C=E925,'Students (Vertical)'!O:O&lt;&gt;"""",'Students (Vertical)'!P:P&gt;1))})&gt;1))),""""),"""")"),"")</f>
        <v/>
      </c>
      <c r="K925" s="96" t="str">
        <f>IFERROR(__xludf.DUMMYFUNCTION("iferror(join("", "",unique(filter({filter('Students (Vertical)'!D:D,'Students (Vertical)'!C:C=B925,'Students (Vertical)'!D:D&lt;&gt;"""");filter('Students (Vertical)'!D:D,'Students (Vertical)'!C:C=E925,'Students (Vertical)'!D:D&lt;&gt;"""")},countifs({filter('Student"&amp;"s (Vertical)'!D:D,'Students (Vertical)'!C:C=B925,'Students (Vertical)'!D:D&lt;&gt;"""");filter('Students (Vertical)'!D:D,'Students (Vertical)'!C:C=E925,'Students (Vertical)'!D:D&lt;&gt;"""")},{filter('Students (Vertical)'!D:D,'Students (Vertical)'!C:C=B925,'Students "&amp;"(Vertical)'!D:D&lt;&gt;"""");filter('Students (Vertical)'!D:D,'Students (Vertical)'!C:C=E925,'Students (Vertical)'!D:D&lt;&gt;"""")})&gt;1))),"""")"),"")</f>
        <v/>
      </c>
      <c r="L925" s="96"/>
      <c r="M925" s="96"/>
    </row>
    <row r="926" hidden="1">
      <c r="A926" s="8" t="s">
        <v>8</v>
      </c>
      <c r="C926" s="8" t="s">
        <v>8</v>
      </c>
      <c r="D926" s="8" t="s">
        <v>8</v>
      </c>
      <c r="F926" s="8" t="s">
        <v>8</v>
      </c>
      <c r="G926" s="8" t="s">
        <v>8</v>
      </c>
      <c r="I926" s="94" t="str">
        <f>IFERROR(__xludf.DUMMYFUNCTION("if(H926=""Must be Together"",iferror(join("", "",unique(filter({filter('Students (Vertical)'!O:O,'Students (Vertical)'!C:C=B926,'Students (Vertical)'!O:O&lt;&gt;"""");filter('Students (Vertical)'!O:O,'Students (Vertical)'!C:C=E926,'Students (Vertical)'!O:O&lt;&gt;"""&amp;""")},countifs({filter('Students (Vertical)'!O:O,'Students (Vertical)'!C:C=B926,'Students (Vertical)'!O:O&lt;&gt;"""");filter('Students (Vertical)'!O:O,'Students (Vertical)'!C:C=E926,'Students (Vertical)'!O:O&lt;&gt;"""")},{filter('Students (Vertical)'!O:O,'Students ("&amp;"Vertical)'!C:C=B926,'Students (Vertical)'!O:O&lt;&gt;"""");filter('Students (Vertical)'!O:O,'Students (Vertical)'!C:C=E926,'Students (Vertical)'!O:O&lt;&gt;"""")})&gt;1))),""No shared courses""),"""")"),"")</f>
        <v/>
      </c>
      <c r="J926" s="94" t="str">
        <f>IFERROR(__xludf.DUMMYFUNCTION("if(H926=""Can't be Together"",iferror(join("", "",unique(filter({unique(filter('Students (Vertical)'!O:O,'Students (Vertical)'!C:C=B926,'Students (Vertical)'!O:O&lt;&gt;"""",'Students (Vertical)'!P:P&gt;1));unique(filter('Students (Vertical)'!O:O,'Students (Vertic"&amp;"al)'!C:C=E926,'Students (Vertical)'!O:O&lt;&gt;"""",'Students (Vertical)'!P:P&gt;1))},countifs({unique(filter('Students (Vertical)'!O:O,'Students (Vertical)'!C:C=B926,'Students (Vertical)'!O:O&lt;&gt;"""",'Students (Vertical)'!P:P&gt;1));unique(filter('Students (Vertical)'"&amp;"!O:O,'Students (Vertical)'!C:C=E926,'Students (Vertical)'!O:O&lt;&gt;"""",'Students (Vertical)'!P:P&gt;1))},{unique(filter('Students (Vertical)'!O:O,'Students (Vertical)'!C:C=B926,'Students (Vertical)'!O:O&lt;&gt;"""",'Students (Vertical)'!P:P&gt;1));unique(filter('Student"&amp;"s (Vertical)'!O:O,'Students (Vertical)'!C:C=E926,'Students (Vertical)'!O:O&lt;&gt;"""",'Students (Vertical)'!P:P&gt;1))})&gt;1))),""""),"""")"),"")</f>
        <v/>
      </c>
      <c r="K926" s="96" t="str">
        <f>IFERROR(__xludf.DUMMYFUNCTION("iferror(join("", "",unique(filter({filter('Students (Vertical)'!D:D,'Students (Vertical)'!C:C=B926,'Students (Vertical)'!D:D&lt;&gt;"""");filter('Students (Vertical)'!D:D,'Students (Vertical)'!C:C=E926,'Students (Vertical)'!D:D&lt;&gt;"""")},countifs({filter('Student"&amp;"s (Vertical)'!D:D,'Students (Vertical)'!C:C=B926,'Students (Vertical)'!D:D&lt;&gt;"""");filter('Students (Vertical)'!D:D,'Students (Vertical)'!C:C=E926,'Students (Vertical)'!D:D&lt;&gt;"""")},{filter('Students (Vertical)'!D:D,'Students (Vertical)'!C:C=B926,'Students "&amp;"(Vertical)'!D:D&lt;&gt;"""");filter('Students (Vertical)'!D:D,'Students (Vertical)'!C:C=E926,'Students (Vertical)'!D:D&lt;&gt;"""")})&gt;1))),"""")"),"")</f>
        <v/>
      </c>
      <c r="L926" s="96"/>
      <c r="M926" s="96"/>
    </row>
    <row r="927" hidden="1">
      <c r="A927" s="8" t="s">
        <v>8</v>
      </c>
      <c r="C927" s="8" t="s">
        <v>8</v>
      </c>
      <c r="D927" s="8" t="s">
        <v>8</v>
      </c>
      <c r="F927" s="8" t="s">
        <v>8</v>
      </c>
      <c r="G927" s="8" t="s">
        <v>8</v>
      </c>
      <c r="I927" s="94" t="str">
        <f>IFERROR(__xludf.DUMMYFUNCTION("if(H927=""Must be Together"",iferror(join("", "",unique(filter({filter('Students (Vertical)'!O:O,'Students (Vertical)'!C:C=B927,'Students (Vertical)'!O:O&lt;&gt;"""");filter('Students (Vertical)'!O:O,'Students (Vertical)'!C:C=E927,'Students (Vertical)'!O:O&lt;&gt;"""&amp;""")},countifs({filter('Students (Vertical)'!O:O,'Students (Vertical)'!C:C=B927,'Students (Vertical)'!O:O&lt;&gt;"""");filter('Students (Vertical)'!O:O,'Students (Vertical)'!C:C=E927,'Students (Vertical)'!O:O&lt;&gt;"""")},{filter('Students (Vertical)'!O:O,'Students ("&amp;"Vertical)'!C:C=B927,'Students (Vertical)'!O:O&lt;&gt;"""");filter('Students (Vertical)'!O:O,'Students (Vertical)'!C:C=E927,'Students (Vertical)'!O:O&lt;&gt;"""")})&gt;1))),""No shared courses""),"""")"),"")</f>
        <v/>
      </c>
      <c r="J927" s="94" t="str">
        <f>IFERROR(__xludf.DUMMYFUNCTION("if(H927=""Can't be Together"",iferror(join("", "",unique(filter({unique(filter('Students (Vertical)'!O:O,'Students (Vertical)'!C:C=B927,'Students (Vertical)'!O:O&lt;&gt;"""",'Students (Vertical)'!P:P&gt;1));unique(filter('Students (Vertical)'!O:O,'Students (Vertic"&amp;"al)'!C:C=E927,'Students (Vertical)'!O:O&lt;&gt;"""",'Students (Vertical)'!P:P&gt;1))},countifs({unique(filter('Students (Vertical)'!O:O,'Students (Vertical)'!C:C=B927,'Students (Vertical)'!O:O&lt;&gt;"""",'Students (Vertical)'!P:P&gt;1));unique(filter('Students (Vertical)'"&amp;"!O:O,'Students (Vertical)'!C:C=E927,'Students (Vertical)'!O:O&lt;&gt;"""",'Students (Vertical)'!P:P&gt;1))},{unique(filter('Students (Vertical)'!O:O,'Students (Vertical)'!C:C=B927,'Students (Vertical)'!O:O&lt;&gt;"""",'Students (Vertical)'!P:P&gt;1));unique(filter('Student"&amp;"s (Vertical)'!O:O,'Students (Vertical)'!C:C=E927,'Students (Vertical)'!O:O&lt;&gt;"""",'Students (Vertical)'!P:P&gt;1))})&gt;1))),""""),"""")"),"")</f>
        <v/>
      </c>
      <c r="K927" s="96" t="str">
        <f>IFERROR(__xludf.DUMMYFUNCTION("iferror(join("", "",unique(filter({filter('Students (Vertical)'!D:D,'Students (Vertical)'!C:C=B927,'Students (Vertical)'!D:D&lt;&gt;"""");filter('Students (Vertical)'!D:D,'Students (Vertical)'!C:C=E927,'Students (Vertical)'!D:D&lt;&gt;"""")},countifs({filter('Student"&amp;"s (Vertical)'!D:D,'Students (Vertical)'!C:C=B927,'Students (Vertical)'!D:D&lt;&gt;"""");filter('Students (Vertical)'!D:D,'Students (Vertical)'!C:C=E927,'Students (Vertical)'!D:D&lt;&gt;"""")},{filter('Students (Vertical)'!D:D,'Students (Vertical)'!C:C=B927,'Students "&amp;"(Vertical)'!D:D&lt;&gt;"""");filter('Students (Vertical)'!D:D,'Students (Vertical)'!C:C=E927,'Students (Vertical)'!D:D&lt;&gt;"""")})&gt;1))),"""")"),"")</f>
        <v/>
      </c>
      <c r="L927" s="96"/>
      <c r="M927" s="96"/>
    </row>
    <row r="928" hidden="1">
      <c r="A928" s="8" t="s">
        <v>8</v>
      </c>
      <c r="C928" s="8" t="s">
        <v>8</v>
      </c>
      <c r="D928" s="8" t="s">
        <v>8</v>
      </c>
      <c r="F928" s="8" t="s">
        <v>8</v>
      </c>
      <c r="G928" s="8" t="s">
        <v>8</v>
      </c>
      <c r="I928" s="94" t="str">
        <f>IFERROR(__xludf.DUMMYFUNCTION("if(H928=""Must be Together"",iferror(join("", "",unique(filter({filter('Students (Vertical)'!O:O,'Students (Vertical)'!C:C=B928,'Students (Vertical)'!O:O&lt;&gt;"""");filter('Students (Vertical)'!O:O,'Students (Vertical)'!C:C=E928,'Students (Vertical)'!O:O&lt;&gt;"""&amp;""")},countifs({filter('Students (Vertical)'!O:O,'Students (Vertical)'!C:C=B928,'Students (Vertical)'!O:O&lt;&gt;"""");filter('Students (Vertical)'!O:O,'Students (Vertical)'!C:C=E928,'Students (Vertical)'!O:O&lt;&gt;"""")},{filter('Students (Vertical)'!O:O,'Students ("&amp;"Vertical)'!C:C=B928,'Students (Vertical)'!O:O&lt;&gt;"""");filter('Students (Vertical)'!O:O,'Students (Vertical)'!C:C=E928,'Students (Vertical)'!O:O&lt;&gt;"""")})&gt;1))),""No shared courses""),"""")"),"")</f>
        <v/>
      </c>
      <c r="J928" s="94" t="str">
        <f>IFERROR(__xludf.DUMMYFUNCTION("if(H928=""Can't be Together"",iferror(join("", "",unique(filter({unique(filter('Students (Vertical)'!O:O,'Students (Vertical)'!C:C=B928,'Students (Vertical)'!O:O&lt;&gt;"""",'Students (Vertical)'!P:P&gt;1));unique(filter('Students (Vertical)'!O:O,'Students (Vertic"&amp;"al)'!C:C=E928,'Students (Vertical)'!O:O&lt;&gt;"""",'Students (Vertical)'!P:P&gt;1))},countifs({unique(filter('Students (Vertical)'!O:O,'Students (Vertical)'!C:C=B928,'Students (Vertical)'!O:O&lt;&gt;"""",'Students (Vertical)'!P:P&gt;1));unique(filter('Students (Vertical)'"&amp;"!O:O,'Students (Vertical)'!C:C=E928,'Students (Vertical)'!O:O&lt;&gt;"""",'Students (Vertical)'!P:P&gt;1))},{unique(filter('Students (Vertical)'!O:O,'Students (Vertical)'!C:C=B928,'Students (Vertical)'!O:O&lt;&gt;"""",'Students (Vertical)'!P:P&gt;1));unique(filter('Student"&amp;"s (Vertical)'!O:O,'Students (Vertical)'!C:C=E928,'Students (Vertical)'!O:O&lt;&gt;"""",'Students (Vertical)'!P:P&gt;1))})&gt;1))),""""),"""")"),"")</f>
        <v/>
      </c>
      <c r="K928" s="96" t="str">
        <f>IFERROR(__xludf.DUMMYFUNCTION("iferror(join("", "",unique(filter({filter('Students (Vertical)'!D:D,'Students (Vertical)'!C:C=B928,'Students (Vertical)'!D:D&lt;&gt;"""");filter('Students (Vertical)'!D:D,'Students (Vertical)'!C:C=E928,'Students (Vertical)'!D:D&lt;&gt;"""")},countifs({filter('Student"&amp;"s (Vertical)'!D:D,'Students (Vertical)'!C:C=B928,'Students (Vertical)'!D:D&lt;&gt;"""");filter('Students (Vertical)'!D:D,'Students (Vertical)'!C:C=E928,'Students (Vertical)'!D:D&lt;&gt;"""")},{filter('Students (Vertical)'!D:D,'Students (Vertical)'!C:C=B928,'Students "&amp;"(Vertical)'!D:D&lt;&gt;"""");filter('Students (Vertical)'!D:D,'Students (Vertical)'!C:C=E928,'Students (Vertical)'!D:D&lt;&gt;"""")})&gt;1))),"""")"),"")</f>
        <v/>
      </c>
      <c r="L928" s="96"/>
      <c r="M928" s="96"/>
    </row>
    <row r="929" hidden="1">
      <c r="A929" s="8" t="s">
        <v>8</v>
      </c>
      <c r="C929" s="8" t="s">
        <v>8</v>
      </c>
      <c r="D929" s="8" t="s">
        <v>8</v>
      </c>
      <c r="F929" s="8" t="s">
        <v>8</v>
      </c>
      <c r="G929" s="8" t="s">
        <v>8</v>
      </c>
      <c r="I929" s="94" t="str">
        <f>IFERROR(__xludf.DUMMYFUNCTION("if(H929=""Must be Together"",iferror(join("", "",unique(filter({filter('Students (Vertical)'!O:O,'Students (Vertical)'!C:C=B929,'Students (Vertical)'!O:O&lt;&gt;"""");filter('Students (Vertical)'!O:O,'Students (Vertical)'!C:C=E929,'Students (Vertical)'!O:O&lt;&gt;"""&amp;""")},countifs({filter('Students (Vertical)'!O:O,'Students (Vertical)'!C:C=B929,'Students (Vertical)'!O:O&lt;&gt;"""");filter('Students (Vertical)'!O:O,'Students (Vertical)'!C:C=E929,'Students (Vertical)'!O:O&lt;&gt;"""")},{filter('Students (Vertical)'!O:O,'Students ("&amp;"Vertical)'!C:C=B929,'Students (Vertical)'!O:O&lt;&gt;"""");filter('Students (Vertical)'!O:O,'Students (Vertical)'!C:C=E929,'Students (Vertical)'!O:O&lt;&gt;"""")})&gt;1))),""No shared courses""),"""")"),"")</f>
        <v/>
      </c>
      <c r="J929" s="94" t="str">
        <f>IFERROR(__xludf.DUMMYFUNCTION("if(H929=""Can't be Together"",iferror(join("", "",unique(filter({unique(filter('Students (Vertical)'!O:O,'Students (Vertical)'!C:C=B929,'Students (Vertical)'!O:O&lt;&gt;"""",'Students (Vertical)'!P:P&gt;1));unique(filter('Students (Vertical)'!O:O,'Students (Vertic"&amp;"al)'!C:C=E929,'Students (Vertical)'!O:O&lt;&gt;"""",'Students (Vertical)'!P:P&gt;1))},countifs({unique(filter('Students (Vertical)'!O:O,'Students (Vertical)'!C:C=B929,'Students (Vertical)'!O:O&lt;&gt;"""",'Students (Vertical)'!P:P&gt;1));unique(filter('Students (Vertical)'"&amp;"!O:O,'Students (Vertical)'!C:C=E929,'Students (Vertical)'!O:O&lt;&gt;"""",'Students (Vertical)'!P:P&gt;1))},{unique(filter('Students (Vertical)'!O:O,'Students (Vertical)'!C:C=B929,'Students (Vertical)'!O:O&lt;&gt;"""",'Students (Vertical)'!P:P&gt;1));unique(filter('Student"&amp;"s (Vertical)'!O:O,'Students (Vertical)'!C:C=E929,'Students (Vertical)'!O:O&lt;&gt;"""",'Students (Vertical)'!P:P&gt;1))})&gt;1))),""""),"""")"),"")</f>
        <v/>
      </c>
      <c r="K929" s="96" t="str">
        <f>IFERROR(__xludf.DUMMYFUNCTION("iferror(join("", "",unique(filter({filter('Students (Vertical)'!D:D,'Students (Vertical)'!C:C=B929,'Students (Vertical)'!D:D&lt;&gt;"""");filter('Students (Vertical)'!D:D,'Students (Vertical)'!C:C=E929,'Students (Vertical)'!D:D&lt;&gt;"""")},countifs({filter('Student"&amp;"s (Vertical)'!D:D,'Students (Vertical)'!C:C=B929,'Students (Vertical)'!D:D&lt;&gt;"""");filter('Students (Vertical)'!D:D,'Students (Vertical)'!C:C=E929,'Students (Vertical)'!D:D&lt;&gt;"""")},{filter('Students (Vertical)'!D:D,'Students (Vertical)'!C:C=B929,'Students "&amp;"(Vertical)'!D:D&lt;&gt;"""");filter('Students (Vertical)'!D:D,'Students (Vertical)'!C:C=E929,'Students (Vertical)'!D:D&lt;&gt;"""")})&gt;1))),"""")"),"")</f>
        <v/>
      </c>
      <c r="L929" s="96"/>
      <c r="M929" s="96"/>
    </row>
    <row r="930" hidden="1">
      <c r="A930" s="8" t="s">
        <v>8</v>
      </c>
      <c r="C930" s="8" t="s">
        <v>8</v>
      </c>
      <c r="D930" s="8" t="s">
        <v>8</v>
      </c>
      <c r="F930" s="8" t="s">
        <v>8</v>
      </c>
      <c r="G930" s="8" t="s">
        <v>8</v>
      </c>
      <c r="I930" s="94" t="str">
        <f>IFERROR(__xludf.DUMMYFUNCTION("if(H930=""Must be Together"",iferror(join("", "",unique(filter({filter('Students (Vertical)'!O:O,'Students (Vertical)'!C:C=B930,'Students (Vertical)'!O:O&lt;&gt;"""");filter('Students (Vertical)'!O:O,'Students (Vertical)'!C:C=E930,'Students (Vertical)'!O:O&lt;&gt;"""&amp;""")},countifs({filter('Students (Vertical)'!O:O,'Students (Vertical)'!C:C=B930,'Students (Vertical)'!O:O&lt;&gt;"""");filter('Students (Vertical)'!O:O,'Students (Vertical)'!C:C=E930,'Students (Vertical)'!O:O&lt;&gt;"""")},{filter('Students (Vertical)'!O:O,'Students ("&amp;"Vertical)'!C:C=B930,'Students (Vertical)'!O:O&lt;&gt;"""");filter('Students (Vertical)'!O:O,'Students (Vertical)'!C:C=E930,'Students (Vertical)'!O:O&lt;&gt;"""")})&gt;1))),""No shared courses""),"""")"),"")</f>
        <v/>
      </c>
      <c r="J930" s="94" t="str">
        <f>IFERROR(__xludf.DUMMYFUNCTION("if(H930=""Can't be Together"",iferror(join("", "",unique(filter({unique(filter('Students (Vertical)'!O:O,'Students (Vertical)'!C:C=B930,'Students (Vertical)'!O:O&lt;&gt;"""",'Students (Vertical)'!P:P&gt;1));unique(filter('Students (Vertical)'!O:O,'Students (Vertic"&amp;"al)'!C:C=E930,'Students (Vertical)'!O:O&lt;&gt;"""",'Students (Vertical)'!P:P&gt;1))},countifs({unique(filter('Students (Vertical)'!O:O,'Students (Vertical)'!C:C=B930,'Students (Vertical)'!O:O&lt;&gt;"""",'Students (Vertical)'!P:P&gt;1));unique(filter('Students (Vertical)'"&amp;"!O:O,'Students (Vertical)'!C:C=E930,'Students (Vertical)'!O:O&lt;&gt;"""",'Students (Vertical)'!P:P&gt;1))},{unique(filter('Students (Vertical)'!O:O,'Students (Vertical)'!C:C=B930,'Students (Vertical)'!O:O&lt;&gt;"""",'Students (Vertical)'!P:P&gt;1));unique(filter('Student"&amp;"s (Vertical)'!O:O,'Students (Vertical)'!C:C=E930,'Students (Vertical)'!O:O&lt;&gt;"""",'Students (Vertical)'!P:P&gt;1))})&gt;1))),""""),"""")"),"")</f>
        <v/>
      </c>
      <c r="K930" s="96" t="str">
        <f>IFERROR(__xludf.DUMMYFUNCTION("iferror(join("", "",unique(filter({filter('Students (Vertical)'!D:D,'Students (Vertical)'!C:C=B930,'Students (Vertical)'!D:D&lt;&gt;"""");filter('Students (Vertical)'!D:D,'Students (Vertical)'!C:C=E930,'Students (Vertical)'!D:D&lt;&gt;"""")},countifs({filter('Student"&amp;"s (Vertical)'!D:D,'Students (Vertical)'!C:C=B930,'Students (Vertical)'!D:D&lt;&gt;"""");filter('Students (Vertical)'!D:D,'Students (Vertical)'!C:C=E930,'Students (Vertical)'!D:D&lt;&gt;"""")},{filter('Students (Vertical)'!D:D,'Students (Vertical)'!C:C=B930,'Students "&amp;"(Vertical)'!D:D&lt;&gt;"""");filter('Students (Vertical)'!D:D,'Students (Vertical)'!C:C=E930,'Students (Vertical)'!D:D&lt;&gt;"""")})&gt;1))),"""")"),"")</f>
        <v/>
      </c>
      <c r="L930" s="96"/>
      <c r="M930" s="96"/>
    </row>
    <row r="931" hidden="1">
      <c r="A931" s="8" t="s">
        <v>8</v>
      </c>
      <c r="C931" s="8" t="s">
        <v>8</v>
      </c>
      <c r="D931" s="8" t="s">
        <v>8</v>
      </c>
      <c r="F931" s="8" t="s">
        <v>8</v>
      </c>
      <c r="G931" s="8" t="s">
        <v>8</v>
      </c>
      <c r="I931" s="94" t="str">
        <f>IFERROR(__xludf.DUMMYFUNCTION("if(H931=""Must be Together"",iferror(join("", "",unique(filter({filter('Students (Vertical)'!O:O,'Students (Vertical)'!C:C=B931,'Students (Vertical)'!O:O&lt;&gt;"""");filter('Students (Vertical)'!O:O,'Students (Vertical)'!C:C=E931,'Students (Vertical)'!O:O&lt;&gt;"""&amp;""")},countifs({filter('Students (Vertical)'!O:O,'Students (Vertical)'!C:C=B931,'Students (Vertical)'!O:O&lt;&gt;"""");filter('Students (Vertical)'!O:O,'Students (Vertical)'!C:C=E931,'Students (Vertical)'!O:O&lt;&gt;"""")},{filter('Students (Vertical)'!O:O,'Students ("&amp;"Vertical)'!C:C=B931,'Students (Vertical)'!O:O&lt;&gt;"""");filter('Students (Vertical)'!O:O,'Students (Vertical)'!C:C=E931,'Students (Vertical)'!O:O&lt;&gt;"""")})&gt;1))),""No shared courses""),"""")"),"")</f>
        <v/>
      </c>
      <c r="J931" s="94" t="str">
        <f>IFERROR(__xludf.DUMMYFUNCTION("if(H931=""Can't be Together"",iferror(join("", "",unique(filter({unique(filter('Students (Vertical)'!O:O,'Students (Vertical)'!C:C=B931,'Students (Vertical)'!O:O&lt;&gt;"""",'Students (Vertical)'!P:P&gt;1));unique(filter('Students (Vertical)'!O:O,'Students (Vertic"&amp;"al)'!C:C=E931,'Students (Vertical)'!O:O&lt;&gt;"""",'Students (Vertical)'!P:P&gt;1))},countifs({unique(filter('Students (Vertical)'!O:O,'Students (Vertical)'!C:C=B931,'Students (Vertical)'!O:O&lt;&gt;"""",'Students (Vertical)'!P:P&gt;1));unique(filter('Students (Vertical)'"&amp;"!O:O,'Students (Vertical)'!C:C=E931,'Students (Vertical)'!O:O&lt;&gt;"""",'Students (Vertical)'!P:P&gt;1))},{unique(filter('Students (Vertical)'!O:O,'Students (Vertical)'!C:C=B931,'Students (Vertical)'!O:O&lt;&gt;"""",'Students (Vertical)'!P:P&gt;1));unique(filter('Student"&amp;"s (Vertical)'!O:O,'Students (Vertical)'!C:C=E931,'Students (Vertical)'!O:O&lt;&gt;"""",'Students (Vertical)'!P:P&gt;1))})&gt;1))),""""),"""")"),"")</f>
        <v/>
      </c>
      <c r="K931" s="96" t="str">
        <f>IFERROR(__xludf.DUMMYFUNCTION("iferror(join("", "",unique(filter({filter('Students (Vertical)'!D:D,'Students (Vertical)'!C:C=B931,'Students (Vertical)'!D:D&lt;&gt;"""");filter('Students (Vertical)'!D:D,'Students (Vertical)'!C:C=E931,'Students (Vertical)'!D:D&lt;&gt;"""")},countifs({filter('Student"&amp;"s (Vertical)'!D:D,'Students (Vertical)'!C:C=B931,'Students (Vertical)'!D:D&lt;&gt;"""");filter('Students (Vertical)'!D:D,'Students (Vertical)'!C:C=E931,'Students (Vertical)'!D:D&lt;&gt;"""")},{filter('Students (Vertical)'!D:D,'Students (Vertical)'!C:C=B931,'Students "&amp;"(Vertical)'!D:D&lt;&gt;"""");filter('Students (Vertical)'!D:D,'Students (Vertical)'!C:C=E931,'Students (Vertical)'!D:D&lt;&gt;"""")})&gt;1))),"""")"),"")</f>
        <v/>
      </c>
      <c r="L931" s="96"/>
      <c r="M931" s="96"/>
    </row>
    <row r="932" hidden="1">
      <c r="A932" s="8" t="s">
        <v>8</v>
      </c>
      <c r="C932" s="8" t="s">
        <v>8</v>
      </c>
      <c r="D932" s="8" t="s">
        <v>8</v>
      </c>
      <c r="F932" s="8" t="s">
        <v>8</v>
      </c>
      <c r="G932" s="8" t="s">
        <v>8</v>
      </c>
      <c r="I932" s="94" t="str">
        <f>IFERROR(__xludf.DUMMYFUNCTION("if(H932=""Must be Together"",iferror(join("", "",unique(filter({filter('Students (Vertical)'!O:O,'Students (Vertical)'!C:C=B932,'Students (Vertical)'!O:O&lt;&gt;"""");filter('Students (Vertical)'!O:O,'Students (Vertical)'!C:C=E932,'Students (Vertical)'!O:O&lt;&gt;"""&amp;""")},countifs({filter('Students (Vertical)'!O:O,'Students (Vertical)'!C:C=B932,'Students (Vertical)'!O:O&lt;&gt;"""");filter('Students (Vertical)'!O:O,'Students (Vertical)'!C:C=E932,'Students (Vertical)'!O:O&lt;&gt;"""")},{filter('Students (Vertical)'!O:O,'Students ("&amp;"Vertical)'!C:C=B932,'Students (Vertical)'!O:O&lt;&gt;"""");filter('Students (Vertical)'!O:O,'Students (Vertical)'!C:C=E932,'Students (Vertical)'!O:O&lt;&gt;"""")})&gt;1))),""No shared courses""),"""")"),"")</f>
        <v/>
      </c>
      <c r="J932" s="94" t="str">
        <f>IFERROR(__xludf.DUMMYFUNCTION("if(H932=""Can't be Together"",iferror(join("", "",unique(filter({unique(filter('Students (Vertical)'!O:O,'Students (Vertical)'!C:C=B932,'Students (Vertical)'!O:O&lt;&gt;"""",'Students (Vertical)'!P:P&gt;1));unique(filter('Students (Vertical)'!O:O,'Students (Vertic"&amp;"al)'!C:C=E932,'Students (Vertical)'!O:O&lt;&gt;"""",'Students (Vertical)'!P:P&gt;1))},countifs({unique(filter('Students (Vertical)'!O:O,'Students (Vertical)'!C:C=B932,'Students (Vertical)'!O:O&lt;&gt;"""",'Students (Vertical)'!P:P&gt;1));unique(filter('Students (Vertical)'"&amp;"!O:O,'Students (Vertical)'!C:C=E932,'Students (Vertical)'!O:O&lt;&gt;"""",'Students (Vertical)'!P:P&gt;1))},{unique(filter('Students (Vertical)'!O:O,'Students (Vertical)'!C:C=B932,'Students (Vertical)'!O:O&lt;&gt;"""",'Students (Vertical)'!P:P&gt;1));unique(filter('Student"&amp;"s (Vertical)'!O:O,'Students (Vertical)'!C:C=E932,'Students (Vertical)'!O:O&lt;&gt;"""",'Students (Vertical)'!P:P&gt;1))})&gt;1))),""""),"""")"),"")</f>
        <v/>
      </c>
      <c r="K932" s="96" t="str">
        <f>IFERROR(__xludf.DUMMYFUNCTION("iferror(join("", "",unique(filter({filter('Students (Vertical)'!D:D,'Students (Vertical)'!C:C=B932,'Students (Vertical)'!D:D&lt;&gt;"""");filter('Students (Vertical)'!D:D,'Students (Vertical)'!C:C=E932,'Students (Vertical)'!D:D&lt;&gt;"""")},countifs({filter('Student"&amp;"s (Vertical)'!D:D,'Students (Vertical)'!C:C=B932,'Students (Vertical)'!D:D&lt;&gt;"""");filter('Students (Vertical)'!D:D,'Students (Vertical)'!C:C=E932,'Students (Vertical)'!D:D&lt;&gt;"""")},{filter('Students (Vertical)'!D:D,'Students (Vertical)'!C:C=B932,'Students "&amp;"(Vertical)'!D:D&lt;&gt;"""");filter('Students (Vertical)'!D:D,'Students (Vertical)'!C:C=E932,'Students (Vertical)'!D:D&lt;&gt;"""")})&gt;1))),"""")"),"")</f>
        <v/>
      </c>
      <c r="L932" s="96"/>
      <c r="M932" s="96"/>
    </row>
    <row r="933" hidden="1">
      <c r="A933" s="8" t="s">
        <v>8</v>
      </c>
      <c r="C933" s="8" t="s">
        <v>8</v>
      </c>
      <c r="D933" s="8" t="s">
        <v>8</v>
      </c>
      <c r="F933" s="8" t="s">
        <v>8</v>
      </c>
      <c r="G933" s="8" t="s">
        <v>8</v>
      </c>
      <c r="I933" s="94" t="str">
        <f>IFERROR(__xludf.DUMMYFUNCTION("if(H933=""Must be Together"",iferror(join("", "",unique(filter({filter('Students (Vertical)'!O:O,'Students (Vertical)'!C:C=B933,'Students (Vertical)'!O:O&lt;&gt;"""");filter('Students (Vertical)'!O:O,'Students (Vertical)'!C:C=E933,'Students (Vertical)'!O:O&lt;&gt;"""&amp;""")},countifs({filter('Students (Vertical)'!O:O,'Students (Vertical)'!C:C=B933,'Students (Vertical)'!O:O&lt;&gt;"""");filter('Students (Vertical)'!O:O,'Students (Vertical)'!C:C=E933,'Students (Vertical)'!O:O&lt;&gt;"""")},{filter('Students (Vertical)'!O:O,'Students ("&amp;"Vertical)'!C:C=B933,'Students (Vertical)'!O:O&lt;&gt;"""");filter('Students (Vertical)'!O:O,'Students (Vertical)'!C:C=E933,'Students (Vertical)'!O:O&lt;&gt;"""")})&gt;1))),""No shared courses""),"""")"),"")</f>
        <v/>
      </c>
      <c r="J933" s="94" t="str">
        <f>IFERROR(__xludf.DUMMYFUNCTION("if(H933=""Can't be Together"",iferror(join("", "",unique(filter({unique(filter('Students (Vertical)'!O:O,'Students (Vertical)'!C:C=B933,'Students (Vertical)'!O:O&lt;&gt;"""",'Students (Vertical)'!P:P&gt;1));unique(filter('Students (Vertical)'!O:O,'Students (Vertic"&amp;"al)'!C:C=E933,'Students (Vertical)'!O:O&lt;&gt;"""",'Students (Vertical)'!P:P&gt;1))},countifs({unique(filter('Students (Vertical)'!O:O,'Students (Vertical)'!C:C=B933,'Students (Vertical)'!O:O&lt;&gt;"""",'Students (Vertical)'!P:P&gt;1));unique(filter('Students (Vertical)'"&amp;"!O:O,'Students (Vertical)'!C:C=E933,'Students (Vertical)'!O:O&lt;&gt;"""",'Students (Vertical)'!P:P&gt;1))},{unique(filter('Students (Vertical)'!O:O,'Students (Vertical)'!C:C=B933,'Students (Vertical)'!O:O&lt;&gt;"""",'Students (Vertical)'!P:P&gt;1));unique(filter('Student"&amp;"s (Vertical)'!O:O,'Students (Vertical)'!C:C=E933,'Students (Vertical)'!O:O&lt;&gt;"""",'Students (Vertical)'!P:P&gt;1))})&gt;1))),""""),"""")"),"")</f>
        <v/>
      </c>
      <c r="K933" s="96" t="str">
        <f>IFERROR(__xludf.DUMMYFUNCTION("iferror(join("", "",unique(filter({filter('Students (Vertical)'!D:D,'Students (Vertical)'!C:C=B933,'Students (Vertical)'!D:D&lt;&gt;"""");filter('Students (Vertical)'!D:D,'Students (Vertical)'!C:C=E933,'Students (Vertical)'!D:D&lt;&gt;"""")},countifs({filter('Student"&amp;"s (Vertical)'!D:D,'Students (Vertical)'!C:C=B933,'Students (Vertical)'!D:D&lt;&gt;"""");filter('Students (Vertical)'!D:D,'Students (Vertical)'!C:C=E933,'Students (Vertical)'!D:D&lt;&gt;"""")},{filter('Students (Vertical)'!D:D,'Students (Vertical)'!C:C=B933,'Students "&amp;"(Vertical)'!D:D&lt;&gt;"""");filter('Students (Vertical)'!D:D,'Students (Vertical)'!C:C=E933,'Students (Vertical)'!D:D&lt;&gt;"""")})&gt;1))),"""")"),"")</f>
        <v/>
      </c>
      <c r="L933" s="96"/>
      <c r="M933" s="96"/>
    </row>
    <row r="934" hidden="1">
      <c r="A934" s="8" t="s">
        <v>8</v>
      </c>
      <c r="C934" s="8" t="s">
        <v>8</v>
      </c>
      <c r="D934" s="8" t="s">
        <v>8</v>
      </c>
      <c r="F934" s="8" t="s">
        <v>8</v>
      </c>
      <c r="G934" s="8" t="s">
        <v>8</v>
      </c>
      <c r="I934" s="94" t="str">
        <f>IFERROR(__xludf.DUMMYFUNCTION("if(H934=""Must be Together"",iferror(join("", "",unique(filter({filter('Students (Vertical)'!O:O,'Students (Vertical)'!C:C=B934,'Students (Vertical)'!O:O&lt;&gt;"""");filter('Students (Vertical)'!O:O,'Students (Vertical)'!C:C=E934,'Students (Vertical)'!O:O&lt;&gt;"""&amp;""")},countifs({filter('Students (Vertical)'!O:O,'Students (Vertical)'!C:C=B934,'Students (Vertical)'!O:O&lt;&gt;"""");filter('Students (Vertical)'!O:O,'Students (Vertical)'!C:C=E934,'Students (Vertical)'!O:O&lt;&gt;"""")},{filter('Students (Vertical)'!O:O,'Students ("&amp;"Vertical)'!C:C=B934,'Students (Vertical)'!O:O&lt;&gt;"""");filter('Students (Vertical)'!O:O,'Students (Vertical)'!C:C=E934,'Students (Vertical)'!O:O&lt;&gt;"""")})&gt;1))),""No shared courses""),"""")"),"")</f>
        <v/>
      </c>
      <c r="J934" s="94" t="str">
        <f>IFERROR(__xludf.DUMMYFUNCTION("if(H934=""Can't be Together"",iferror(join("", "",unique(filter({unique(filter('Students (Vertical)'!O:O,'Students (Vertical)'!C:C=B934,'Students (Vertical)'!O:O&lt;&gt;"""",'Students (Vertical)'!P:P&gt;1));unique(filter('Students (Vertical)'!O:O,'Students (Vertic"&amp;"al)'!C:C=E934,'Students (Vertical)'!O:O&lt;&gt;"""",'Students (Vertical)'!P:P&gt;1))},countifs({unique(filter('Students (Vertical)'!O:O,'Students (Vertical)'!C:C=B934,'Students (Vertical)'!O:O&lt;&gt;"""",'Students (Vertical)'!P:P&gt;1));unique(filter('Students (Vertical)'"&amp;"!O:O,'Students (Vertical)'!C:C=E934,'Students (Vertical)'!O:O&lt;&gt;"""",'Students (Vertical)'!P:P&gt;1))},{unique(filter('Students (Vertical)'!O:O,'Students (Vertical)'!C:C=B934,'Students (Vertical)'!O:O&lt;&gt;"""",'Students (Vertical)'!P:P&gt;1));unique(filter('Student"&amp;"s (Vertical)'!O:O,'Students (Vertical)'!C:C=E934,'Students (Vertical)'!O:O&lt;&gt;"""",'Students (Vertical)'!P:P&gt;1))})&gt;1))),""""),"""")"),"")</f>
        <v/>
      </c>
      <c r="K934" s="96" t="str">
        <f>IFERROR(__xludf.DUMMYFUNCTION("iferror(join("", "",unique(filter({filter('Students (Vertical)'!D:D,'Students (Vertical)'!C:C=B934,'Students (Vertical)'!D:D&lt;&gt;"""");filter('Students (Vertical)'!D:D,'Students (Vertical)'!C:C=E934,'Students (Vertical)'!D:D&lt;&gt;"""")},countifs({filter('Student"&amp;"s (Vertical)'!D:D,'Students (Vertical)'!C:C=B934,'Students (Vertical)'!D:D&lt;&gt;"""");filter('Students (Vertical)'!D:D,'Students (Vertical)'!C:C=E934,'Students (Vertical)'!D:D&lt;&gt;"""")},{filter('Students (Vertical)'!D:D,'Students (Vertical)'!C:C=B934,'Students "&amp;"(Vertical)'!D:D&lt;&gt;"""");filter('Students (Vertical)'!D:D,'Students (Vertical)'!C:C=E934,'Students (Vertical)'!D:D&lt;&gt;"""")})&gt;1))),"""")"),"")</f>
        <v/>
      </c>
      <c r="L934" s="96"/>
      <c r="M934" s="96"/>
    </row>
    <row r="935" hidden="1">
      <c r="A935" s="8" t="s">
        <v>8</v>
      </c>
      <c r="C935" s="8" t="s">
        <v>8</v>
      </c>
      <c r="D935" s="8" t="s">
        <v>8</v>
      </c>
      <c r="F935" s="8" t="s">
        <v>8</v>
      </c>
      <c r="G935" s="8" t="s">
        <v>8</v>
      </c>
      <c r="I935" s="94" t="str">
        <f>IFERROR(__xludf.DUMMYFUNCTION("if(H935=""Must be Together"",iferror(join("", "",unique(filter({filter('Students (Vertical)'!O:O,'Students (Vertical)'!C:C=B935,'Students (Vertical)'!O:O&lt;&gt;"""");filter('Students (Vertical)'!O:O,'Students (Vertical)'!C:C=E935,'Students (Vertical)'!O:O&lt;&gt;"""&amp;""")},countifs({filter('Students (Vertical)'!O:O,'Students (Vertical)'!C:C=B935,'Students (Vertical)'!O:O&lt;&gt;"""");filter('Students (Vertical)'!O:O,'Students (Vertical)'!C:C=E935,'Students (Vertical)'!O:O&lt;&gt;"""")},{filter('Students (Vertical)'!O:O,'Students ("&amp;"Vertical)'!C:C=B935,'Students (Vertical)'!O:O&lt;&gt;"""");filter('Students (Vertical)'!O:O,'Students (Vertical)'!C:C=E935,'Students (Vertical)'!O:O&lt;&gt;"""")})&gt;1))),""No shared courses""),"""")"),"")</f>
        <v/>
      </c>
      <c r="J935" s="94" t="str">
        <f>IFERROR(__xludf.DUMMYFUNCTION("if(H935=""Can't be Together"",iferror(join("", "",unique(filter({unique(filter('Students (Vertical)'!O:O,'Students (Vertical)'!C:C=B935,'Students (Vertical)'!O:O&lt;&gt;"""",'Students (Vertical)'!P:P&gt;1));unique(filter('Students (Vertical)'!O:O,'Students (Vertic"&amp;"al)'!C:C=E935,'Students (Vertical)'!O:O&lt;&gt;"""",'Students (Vertical)'!P:P&gt;1))},countifs({unique(filter('Students (Vertical)'!O:O,'Students (Vertical)'!C:C=B935,'Students (Vertical)'!O:O&lt;&gt;"""",'Students (Vertical)'!P:P&gt;1));unique(filter('Students (Vertical)'"&amp;"!O:O,'Students (Vertical)'!C:C=E935,'Students (Vertical)'!O:O&lt;&gt;"""",'Students (Vertical)'!P:P&gt;1))},{unique(filter('Students (Vertical)'!O:O,'Students (Vertical)'!C:C=B935,'Students (Vertical)'!O:O&lt;&gt;"""",'Students (Vertical)'!P:P&gt;1));unique(filter('Student"&amp;"s (Vertical)'!O:O,'Students (Vertical)'!C:C=E935,'Students (Vertical)'!O:O&lt;&gt;"""",'Students (Vertical)'!P:P&gt;1))})&gt;1))),""""),"""")"),"")</f>
        <v/>
      </c>
      <c r="K935" s="96" t="str">
        <f>IFERROR(__xludf.DUMMYFUNCTION("iferror(join("", "",unique(filter({filter('Students (Vertical)'!D:D,'Students (Vertical)'!C:C=B935,'Students (Vertical)'!D:D&lt;&gt;"""");filter('Students (Vertical)'!D:D,'Students (Vertical)'!C:C=E935,'Students (Vertical)'!D:D&lt;&gt;"""")},countifs({filter('Student"&amp;"s (Vertical)'!D:D,'Students (Vertical)'!C:C=B935,'Students (Vertical)'!D:D&lt;&gt;"""");filter('Students (Vertical)'!D:D,'Students (Vertical)'!C:C=E935,'Students (Vertical)'!D:D&lt;&gt;"""")},{filter('Students (Vertical)'!D:D,'Students (Vertical)'!C:C=B935,'Students "&amp;"(Vertical)'!D:D&lt;&gt;"""");filter('Students (Vertical)'!D:D,'Students (Vertical)'!C:C=E935,'Students (Vertical)'!D:D&lt;&gt;"""")})&gt;1))),"""")"),"")</f>
        <v/>
      </c>
      <c r="L935" s="96"/>
      <c r="M935" s="96"/>
    </row>
    <row r="936" hidden="1">
      <c r="A936" s="8" t="s">
        <v>8</v>
      </c>
      <c r="C936" s="8" t="s">
        <v>8</v>
      </c>
      <c r="D936" s="8" t="s">
        <v>8</v>
      </c>
      <c r="F936" s="8" t="s">
        <v>8</v>
      </c>
      <c r="G936" s="8" t="s">
        <v>8</v>
      </c>
      <c r="I936" s="94" t="str">
        <f>IFERROR(__xludf.DUMMYFUNCTION("if(H936=""Must be Together"",iferror(join("", "",unique(filter({filter('Students (Vertical)'!O:O,'Students (Vertical)'!C:C=B936,'Students (Vertical)'!O:O&lt;&gt;"""");filter('Students (Vertical)'!O:O,'Students (Vertical)'!C:C=E936,'Students (Vertical)'!O:O&lt;&gt;"""&amp;""")},countifs({filter('Students (Vertical)'!O:O,'Students (Vertical)'!C:C=B936,'Students (Vertical)'!O:O&lt;&gt;"""");filter('Students (Vertical)'!O:O,'Students (Vertical)'!C:C=E936,'Students (Vertical)'!O:O&lt;&gt;"""")},{filter('Students (Vertical)'!O:O,'Students ("&amp;"Vertical)'!C:C=B936,'Students (Vertical)'!O:O&lt;&gt;"""");filter('Students (Vertical)'!O:O,'Students (Vertical)'!C:C=E936,'Students (Vertical)'!O:O&lt;&gt;"""")})&gt;1))),""No shared courses""),"""")"),"")</f>
        <v/>
      </c>
      <c r="J936" s="94" t="str">
        <f>IFERROR(__xludf.DUMMYFUNCTION("if(H936=""Can't be Together"",iferror(join("", "",unique(filter({unique(filter('Students (Vertical)'!O:O,'Students (Vertical)'!C:C=B936,'Students (Vertical)'!O:O&lt;&gt;"""",'Students (Vertical)'!P:P&gt;1));unique(filter('Students (Vertical)'!O:O,'Students (Vertic"&amp;"al)'!C:C=E936,'Students (Vertical)'!O:O&lt;&gt;"""",'Students (Vertical)'!P:P&gt;1))},countifs({unique(filter('Students (Vertical)'!O:O,'Students (Vertical)'!C:C=B936,'Students (Vertical)'!O:O&lt;&gt;"""",'Students (Vertical)'!P:P&gt;1));unique(filter('Students (Vertical)'"&amp;"!O:O,'Students (Vertical)'!C:C=E936,'Students (Vertical)'!O:O&lt;&gt;"""",'Students (Vertical)'!P:P&gt;1))},{unique(filter('Students (Vertical)'!O:O,'Students (Vertical)'!C:C=B936,'Students (Vertical)'!O:O&lt;&gt;"""",'Students (Vertical)'!P:P&gt;1));unique(filter('Student"&amp;"s (Vertical)'!O:O,'Students (Vertical)'!C:C=E936,'Students (Vertical)'!O:O&lt;&gt;"""",'Students (Vertical)'!P:P&gt;1))})&gt;1))),""""),"""")"),"")</f>
        <v/>
      </c>
      <c r="K936" s="96" t="str">
        <f>IFERROR(__xludf.DUMMYFUNCTION("iferror(join("", "",unique(filter({filter('Students (Vertical)'!D:D,'Students (Vertical)'!C:C=B936,'Students (Vertical)'!D:D&lt;&gt;"""");filter('Students (Vertical)'!D:D,'Students (Vertical)'!C:C=E936,'Students (Vertical)'!D:D&lt;&gt;"""")},countifs({filter('Student"&amp;"s (Vertical)'!D:D,'Students (Vertical)'!C:C=B936,'Students (Vertical)'!D:D&lt;&gt;"""");filter('Students (Vertical)'!D:D,'Students (Vertical)'!C:C=E936,'Students (Vertical)'!D:D&lt;&gt;"""")},{filter('Students (Vertical)'!D:D,'Students (Vertical)'!C:C=B936,'Students "&amp;"(Vertical)'!D:D&lt;&gt;"""");filter('Students (Vertical)'!D:D,'Students (Vertical)'!C:C=E936,'Students (Vertical)'!D:D&lt;&gt;"""")})&gt;1))),"""")"),"")</f>
        <v/>
      </c>
      <c r="L936" s="96"/>
      <c r="M936" s="96"/>
    </row>
    <row r="937" hidden="1">
      <c r="A937" s="8" t="s">
        <v>8</v>
      </c>
      <c r="C937" s="8" t="s">
        <v>8</v>
      </c>
      <c r="D937" s="8" t="s">
        <v>8</v>
      </c>
      <c r="F937" s="8" t="s">
        <v>8</v>
      </c>
      <c r="G937" s="8" t="s">
        <v>8</v>
      </c>
      <c r="I937" s="94" t="str">
        <f>IFERROR(__xludf.DUMMYFUNCTION("if(H937=""Must be Together"",iferror(join("", "",unique(filter({filter('Students (Vertical)'!O:O,'Students (Vertical)'!C:C=B937,'Students (Vertical)'!O:O&lt;&gt;"""");filter('Students (Vertical)'!O:O,'Students (Vertical)'!C:C=E937,'Students (Vertical)'!O:O&lt;&gt;"""&amp;""")},countifs({filter('Students (Vertical)'!O:O,'Students (Vertical)'!C:C=B937,'Students (Vertical)'!O:O&lt;&gt;"""");filter('Students (Vertical)'!O:O,'Students (Vertical)'!C:C=E937,'Students (Vertical)'!O:O&lt;&gt;"""")},{filter('Students (Vertical)'!O:O,'Students ("&amp;"Vertical)'!C:C=B937,'Students (Vertical)'!O:O&lt;&gt;"""");filter('Students (Vertical)'!O:O,'Students (Vertical)'!C:C=E937,'Students (Vertical)'!O:O&lt;&gt;"""")})&gt;1))),""No shared courses""),"""")"),"")</f>
        <v/>
      </c>
      <c r="J937" s="94" t="str">
        <f>IFERROR(__xludf.DUMMYFUNCTION("if(H937=""Can't be Together"",iferror(join("", "",unique(filter({unique(filter('Students (Vertical)'!O:O,'Students (Vertical)'!C:C=B937,'Students (Vertical)'!O:O&lt;&gt;"""",'Students (Vertical)'!P:P&gt;1));unique(filter('Students (Vertical)'!O:O,'Students (Vertic"&amp;"al)'!C:C=E937,'Students (Vertical)'!O:O&lt;&gt;"""",'Students (Vertical)'!P:P&gt;1))},countifs({unique(filter('Students (Vertical)'!O:O,'Students (Vertical)'!C:C=B937,'Students (Vertical)'!O:O&lt;&gt;"""",'Students (Vertical)'!P:P&gt;1));unique(filter('Students (Vertical)'"&amp;"!O:O,'Students (Vertical)'!C:C=E937,'Students (Vertical)'!O:O&lt;&gt;"""",'Students (Vertical)'!P:P&gt;1))},{unique(filter('Students (Vertical)'!O:O,'Students (Vertical)'!C:C=B937,'Students (Vertical)'!O:O&lt;&gt;"""",'Students (Vertical)'!P:P&gt;1));unique(filter('Student"&amp;"s (Vertical)'!O:O,'Students (Vertical)'!C:C=E937,'Students (Vertical)'!O:O&lt;&gt;"""",'Students (Vertical)'!P:P&gt;1))})&gt;1))),""""),"""")"),"")</f>
        <v/>
      </c>
      <c r="K937" s="96" t="str">
        <f>IFERROR(__xludf.DUMMYFUNCTION("iferror(join("", "",unique(filter({filter('Students (Vertical)'!D:D,'Students (Vertical)'!C:C=B937,'Students (Vertical)'!D:D&lt;&gt;"""");filter('Students (Vertical)'!D:D,'Students (Vertical)'!C:C=E937,'Students (Vertical)'!D:D&lt;&gt;"""")},countifs({filter('Student"&amp;"s (Vertical)'!D:D,'Students (Vertical)'!C:C=B937,'Students (Vertical)'!D:D&lt;&gt;"""");filter('Students (Vertical)'!D:D,'Students (Vertical)'!C:C=E937,'Students (Vertical)'!D:D&lt;&gt;"""")},{filter('Students (Vertical)'!D:D,'Students (Vertical)'!C:C=B937,'Students "&amp;"(Vertical)'!D:D&lt;&gt;"""");filter('Students (Vertical)'!D:D,'Students (Vertical)'!C:C=E937,'Students (Vertical)'!D:D&lt;&gt;"""")})&gt;1))),"""")"),"")</f>
        <v/>
      </c>
      <c r="L937" s="96"/>
      <c r="M937" s="96"/>
    </row>
    <row r="938" hidden="1">
      <c r="A938" s="8" t="s">
        <v>8</v>
      </c>
      <c r="C938" s="8" t="s">
        <v>8</v>
      </c>
      <c r="D938" s="8" t="s">
        <v>8</v>
      </c>
      <c r="F938" s="8" t="s">
        <v>8</v>
      </c>
      <c r="G938" s="8" t="s">
        <v>8</v>
      </c>
      <c r="I938" s="94" t="str">
        <f>IFERROR(__xludf.DUMMYFUNCTION("if(H938=""Must be Together"",iferror(join("", "",unique(filter({filter('Students (Vertical)'!O:O,'Students (Vertical)'!C:C=B938,'Students (Vertical)'!O:O&lt;&gt;"""");filter('Students (Vertical)'!O:O,'Students (Vertical)'!C:C=E938,'Students (Vertical)'!O:O&lt;&gt;"""&amp;""")},countifs({filter('Students (Vertical)'!O:O,'Students (Vertical)'!C:C=B938,'Students (Vertical)'!O:O&lt;&gt;"""");filter('Students (Vertical)'!O:O,'Students (Vertical)'!C:C=E938,'Students (Vertical)'!O:O&lt;&gt;"""")},{filter('Students (Vertical)'!O:O,'Students ("&amp;"Vertical)'!C:C=B938,'Students (Vertical)'!O:O&lt;&gt;"""");filter('Students (Vertical)'!O:O,'Students (Vertical)'!C:C=E938,'Students (Vertical)'!O:O&lt;&gt;"""")})&gt;1))),""No shared courses""),"""")"),"")</f>
        <v/>
      </c>
      <c r="J938" s="94" t="str">
        <f>IFERROR(__xludf.DUMMYFUNCTION("if(H938=""Can't be Together"",iferror(join("", "",unique(filter({unique(filter('Students (Vertical)'!O:O,'Students (Vertical)'!C:C=B938,'Students (Vertical)'!O:O&lt;&gt;"""",'Students (Vertical)'!P:P&gt;1));unique(filter('Students (Vertical)'!O:O,'Students (Vertic"&amp;"al)'!C:C=E938,'Students (Vertical)'!O:O&lt;&gt;"""",'Students (Vertical)'!P:P&gt;1))},countifs({unique(filter('Students (Vertical)'!O:O,'Students (Vertical)'!C:C=B938,'Students (Vertical)'!O:O&lt;&gt;"""",'Students (Vertical)'!P:P&gt;1));unique(filter('Students (Vertical)'"&amp;"!O:O,'Students (Vertical)'!C:C=E938,'Students (Vertical)'!O:O&lt;&gt;"""",'Students (Vertical)'!P:P&gt;1))},{unique(filter('Students (Vertical)'!O:O,'Students (Vertical)'!C:C=B938,'Students (Vertical)'!O:O&lt;&gt;"""",'Students (Vertical)'!P:P&gt;1));unique(filter('Student"&amp;"s (Vertical)'!O:O,'Students (Vertical)'!C:C=E938,'Students (Vertical)'!O:O&lt;&gt;"""",'Students (Vertical)'!P:P&gt;1))})&gt;1))),""""),"""")"),"")</f>
        <v/>
      </c>
      <c r="K938" s="96" t="str">
        <f>IFERROR(__xludf.DUMMYFUNCTION("iferror(join("", "",unique(filter({filter('Students (Vertical)'!D:D,'Students (Vertical)'!C:C=B938,'Students (Vertical)'!D:D&lt;&gt;"""");filter('Students (Vertical)'!D:D,'Students (Vertical)'!C:C=E938,'Students (Vertical)'!D:D&lt;&gt;"""")},countifs({filter('Student"&amp;"s (Vertical)'!D:D,'Students (Vertical)'!C:C=B938,'Students (Vertical)'!D:D&lt;&gt;"""");filter('Students (Vertical)'!D:D,'Students (Vertical)'!C:C=E938,'Students (Vertical)'!D:D&lt;&gt;"""")},{filter('Students (Vertical)'!D:D,'Students (Vertical)'!C:C=B938,'Students "&amp;"(Vertical)'!D:D&lt;&gt;"""");filter('Students (Vertical)'!D:D,'Students (Vertical)'!C:C=E938,'Students (Vertical)'!D:D&lt;&gt;"""")})&gt;1))),"""")"),"")</f>
        <v/>
      </c>
      <c r="L938" s="96"/>
      <c r="M938" s="96"/>
    </row>
    <row r="939" hidden="1">
      <c r="A939" s="8" t="s">
        <v>8</v>
      </c>
      <c r="C939" s="8" t="s">
        <v>8</v>
      </c>
      <c r="D939" s="8" t="s">
        <v>8</v>
      </c>
      <c r="F939" s="8" t="s">
        <v>8</v>
      </c>
      <c r="G939" s="8" t="s">
        <v>8</v>
      </c>
      <c r="I939" s="94" t="str">
        <f>IFERROR(__xludf.DUMMYFUNCTION("if(H939=""Must be Together"",iferror(join("", "",unique(filter({filter('Students (Vertical)'!O:O,'Students (Vertical)'!C:C=B939,'Students (Vertical)'!O:O&lt;&gt;"""");filter('Students (Vertical)'!O:O,'Students (Vertical)'!C:C=E939,'Students (Vertical)'!O:O&lt;&gt;"""&amp;""")},countifs({filter('Students (Vertical)'!O:O,'Students (Vertical)'!C:C=B939,'Students (Vertical)'!O:O&lt;&gt;"""");filter('Students (Vertical)'!O:O,'Students (Vertical)'!C:C=E939,'Students (Vertical)'!O:O&lt;&gt;"""")},{filter('Students (Vertical)'!O:O,'Students ("&amp;"Vertical)'!C:C=B939,'Students (Vertical)'!O:O&lt;&gt;"""");filter('Students (Vertical)'!O:O,'Students (Vertical)'!C:C=E939,'Students (Vertical)'!O:O&lt;&gt;"""")})&gt;1))),""No shared courses""),"""")"),"")</f>
        <v/>
      </c>
      <c r="J939" s="94" t="str">
        <f>IFERROR(__xludf.DUMMYFUNCTION("if(H939=""Can't be Together"",iferror(join("", "",unique(filter({unique(filter('Students (Vertical)'!O:O,'Students (Vertical)'!C:C=B939,'Students (Vertical)'!O:O&lt;&gt;"""",'Students (Vertical)'!P:P&gt;1));unique(filter('Students (Vertical)'!O:O,'Students (Vertic"&amp;"al)'!C:C=E939,'Students (Vertical)'!O:O&lt;&gt;"""",'Students (Vertical)'!P:P&gt;1))},countifs({unique(filter('Students (Vertical)'!O:O,'Students (Vertical)'!C:C=B939,'Students (Vertical)'!O:O&lt;&gt;"""",'Students (Vertical)'!P:P&gt;1));unique(filter('Students (Vertical)'"&amp;"!O:O,'Students (Vertical)'!C:C=E939,'Students (Vertical)'!O:O&lt;&gt;"""",'Students (Vertical)'!P:P&gt;1))},{unique(filter('Students (Vertical)'!O:O,'Students (Vertical)'!C:C=B939,'Students (Vertical)'!O:O&lt;&gt;"""",'Students (Vertical)'!P:P&gt;1));unique(filter('Student"&amp;"s (Vertical)'!O:O,'Students (Vertical)'!C:C=E939,'Students (Vertical)'!O:O&lt;&gt;"""",'Students (Vertical)'!P:P&gt;1))})&gt;1))),""""),"""")"),"")</f>
        <v/>
      </c>
      <c r="K939" s="96" t="str">
        <f>IFERROR(__xludf.DUMMYFUNCTION("iferror(join("", "",unique(filter({filter('Students (Vertical)'!D:D,'Students (Vertical)'!C:C=B939,'Students (Vertical)'!D:D&lt;&gt;"""");filter('Students (Vertical)'!D:D,'Students (Vertical)'!C:C=E939,'Students (Vertical)'!D:D&lt;&gt;"""")},countifs({filter('Student"&amp;"s (Vertical)'!D:D,'Students (Vertical)'!C:C=B939,'Students (Vertical)'!D:D&lt;&gt;"""");filter('Students (Vertical)'!D:D,'Students (Vertical)'!C:C=E939,'Students (Vertical)'!D:D&lt;&gt;"""")},{filter('Students (Vertical)'!D:D,'Students (Vertical)'!C:C=B939,'Students "&amp;"(Vertical)'!D:D&lt;&gt;"""");filter('Students (Vertical)'!D:D,'Students (Vertical)'!C:C=E939,'Students (Vertical)'!D:D&lt;&gt;"""")})&gt;1))),"""")"),"")</f>
        <v/>
      </c>
      <c r="L939" s="96"/>
      <c r="M939" s="96"/>
    </row>
    <row r="940" hidden="1">
      <c r="A940" s="8" t="s">
        <v>8</v>
      </c>
      <c r="C940" s="8" t="s">
        <v>8</v>
      </c>
      <c r="D940" s="8" t="s">
        <v>8</v>
      </c>
      <c r="F940" s="8" t="s">
        <v>8</v>
      </c>
      <c r="G940" s="8" t="s">
        <v>8</v>
      </c>
      <c r="I940" s="94" t="str">
        <f>IFERROR(__xludf.DUMMYFUNCTION("if(H940=""Must be Together"",iferror(join("", "",unique(filter({filter('Students (Vertical)'!O:O,'Students (Vertical)'!C:C=B940,'Students (Vertical)'!O:O&lt;&gt;"""");filter('Students (Vertical)'!O:O,'Students (Vertical)'!C:C=E940,'Students (Vertical)'!O:O&lt;&gt;"""&amp;""")},countifs({filter('Students (Vertical)'!O:O,'Students (Vertical)'!C:C=B940,'Students (Vertical)'!O:O&lt;&gt;"""");filter('Students (Vertical)'!O:O,'Students (Vertical)'!C:C=E940,'Students (Vertical)'!O:O&lt;&gt;"""")},{filter('Students (Vertical)'!O:O,'Students ("&amp;"Vertical)'!C:C=B940,'Students (Vertical)'!O:O&lt;&gt;"""");filter('Students (Vertical)'!O:O,'Students (Vertical)'!C:C=E940,'Students (Vertical)'!O:O&lt;&gt;"""")})&gt;1))),""No shared courses""),"""")"),"")</f>
        <v/>
      </c>
      <c r="J940" s="94" t="str">
        <f>IFERROR(__xludf.DUMMYFUNCTION("if(H940=""Can't be Together"",iferror(join("", "",unique(filter({unique(filter('Students (Vertical)'!O:O,'Students (Vertical)'!C:C=B940,'Students (Vertical)'!O:O&lt;&gt;"""",'Students (Vertical)'!P:P&gt;1));unique(filter('Students (Vertical)'!O:O,'Students (Vertic"&amp;"al)'!C:C=E940,'Students (Vertical)'!O:O&lt;&gt;"""",'Students (Vertical)'!P:P&gt;1))},countifs({unique(filter('Students (Vertical)'!O:O,'Students (Vertical)'!C:C=B940,'Students (Vertical)'!O:O&lt;&gt;"""",'Students (Vertical)'!P:P&gt;1));unique(filter('Students (Vertical)'"&amp;"!O:O,'Students (Vertical)'!C:C=E940,'Students (Vertical)'!O:O&lt;&gt;"""",'Students (Vertical)'!P:P&gt;1))},{unique(filter('Students (Vertical)'!O:O,'Students (Vertical)'!C:C=B940,'Students (Vertical)'!O:O&lt;&gt;"""",'Students (Vertical)'!P:P&gt;1));unique(filter('Student"&amp;"s (Vertical)'!O:O,'Students (Vertical)'!C:C=E940,'Students (Vertical)'!O:O&lt;&gt;"""",'Students (Vertical)'!P:P&gt;1))})&gt;1))),""""),"""")"),"")</f>
        <v/>
      </c>
      <c r="K940" s="96" t="str">
        <f>IFERROR(__xludf.DUMMYFUNCTION("iferror(join("", "",unique(filter({filter('Students (Vertical)'!D:D,'Students (Vertical)'!C:C=B940,'Students (Vertical)'!D:D&lt;&gt;"""");filter('Students (Vertical)'!D:D,'Students (Vertical)'!C:C=E940,'Students (Vertical)'!D:D&lt;&gt;"""")},countifs({filter('Student"&amp;"s (Vertical)'!D:D,'Students (Vertical)'!C:C=B940,'Students (Vertical)'!D:D&lt;&gt;"""");filter('Students (Vertical)'!D:D,'Students (Vertical)'!C:C=E940,'Students (Vertical)'!D:D&lt;&gt;"""")},{filter('Students (Vertical)'!D:D,'Students (Vertical)'!C:C=B940,'Students "&amp;"(Vertical)'!D:D&lt;&gt;"""");filter('Students (Vertical)'!D:D,'Students (Vertical)'!C:C=E940,'Students (Vertical)'!D:D&lt;&gt;"""")})&gt;1))),"""")"),"")</f>
        <v/>
      </c>
      <c r="L940" s="96"/>
      <c r="M940" s="96"/>
    </row>
    <row r="941" hidden="1">
      <c r="A941" s="8" t="s">
        <v>8</v>
      </c>
      <c r="C941" s="8" t="s">
        <v>8</v>
      </c>
      <c r="D941" s="8" t="s">
        <v>8</v>
      </c>
      <c r="F941" s="8" t="s">
        <v>8</v>
      </c>
      <c r="G941" s="8" t="s">
        <v>8</v>
      </c>
      <c r="I941" s="94" t="str">
        <f>IFERROR(__xludf.DUMMYFUNCTION("if(H941=""Must be Together"",iferror(join("", "",unique(filter({filter('Students (Vertical)'!O:O,'Students (Vertical)'!C:C=B941,'Students (Vertical)'!O:O&lt;&gt;"""");filter('Students (Vertical)'!O:O,'Students (Vertical)'!C:C=E941,'Students (Vertical)'!O:O&lt;&gt;"""&amp;""")},countifs({filter('Students (Vertical)'!O:O,'Students (Vertical)'!C:C=B941,'Students (Vertical)'!O:O&lt;&gt;"""");filter('Students (Vertical)'!O:O,'Students (Vertical)'!C:C=E941,'Students (Vertical)'!O:O&lt;&gt;"""")},{filter('Students (Vertical)'!O:O,'Students ("&amp;"Vertical)'!C:C=B941,'Students (Vertical)'!O:O&lt;&gt;"""");filter('Students (Vertical)'!O:O,'Students (Vertical)'!C:C=E941,'Students (Vertical)'!O:O&lt;&gt;"""")})&gt;1))),""No shared courses""),"""")"),"")</f>
        <v/>
      </c>
      <c r="J941" s="94" t="str">
        <f>IFERROR(__xludf.DUMMYFUNCTION("if(H941=""Can't be Together"",iferror(join("", "",unique(filter({unique(filter('Students (Vertical)'!O:O,'Students (Vertical)'!C:C=B941,'Students (Vertical)'!O:O&lt;&gt;"""",'Students (Vertical)'!P:P&gt;1));unique(filter('Students (Vertical)'!O:O,'Students (Vertic"&amp;"al)'!C:C=E941,'Students (Vertical)'!O:O&lt;&gt;"""",'Students (Vertical)'!P:P&gt;1))},countifs({unique(filter('Students (Vertical)'!O:O,'Students (Vertical)'!C:C=B941,'Students (Vertical)'!O:O&lt;&gt;"""",'Students (Vertical)'!P:P&gt;1));unique(filter('Students (Vertical)'"&amp;"!O:O,'Students (Vertical)'!C:C=E941,'Students (Vertical)'!O:O&lt;&gt;"""",'Students (Vertical)'!P:P&gt;1))},{unique(filter('Students (Vertical)'!O:O,'Students (Vertical)'!C:C=B941,'Students (Vertical)'!O:O&lt;&gt;"""",'Students (Vertical)'!P:P&gt;1));unique(filter('Student"&amp;"s (Vertical)'!O:O,'Students (Vertical)'!C:C=E941,'Students (Vertical)'!O:O&lt;&gt;"""",'Students (Vertical)'!P:P&gt;1))})&gt;1))),""""),"""")"),"")</f>
        <v/>
      </c>
      <c r="K941" s="96" t="str">
        <f>IFERROR(__xludf.DUMMYFUNCTION("iferror(join("", "",unique(filter({filter('Students (Vertical)'!D:D,'Students (Vertical)'!C:C=B941,'Students (Vertical)'!D:D&lt;&gt;"""");filter('Students (Vertical)'!D:D,'Students (Vertical)'!C:C=E941,'Students (Vertical)'!D:D&lt;&gt;"""")},countifs({filter('Student"&amp;"s (Vertical)'!D:D,'Students (Vertical)'!C:C=B941,'Students (Vertical)'!D:D&lt;&gt;"""");filter('Students (Vertical)'!D:D,'Students (Vertical)'!C:C=E941,'Students (Vertical)'!D:D&lt;&gt;"""")},{filter('Students (Vertical)'!D:D,'Students (Vertical)'!C:C=B941,'Students "&amp;"(Vertical)'!D:D&lt;&gt;"""");filter('Students (Vertical)'!D:D,'Students (Vertical)'!C:C=E941,'Students (Vertical)'!D:D&lt;&gt;"""")})&gt;1))),"""")"),"")</f>
        <v/>
      </c>
      <c r="L941" s="96"/>
      <c r="M941" s="96"/>
    </row>
    <row r="942" hidden="1">
      <c r="A942" s="8" t="s">
        <v>8</v>
      </c>
      <c r="C942" s="8" t="s">
        <v>8</v>
      </c>
      <c r="D942" s="8" t="s">
        <v>8</v>
      </c>
      <c r="F942" s="8" t="s">
        <v>8</v>
      </c>
      <c r="G942" s="8" t="s">
        <v>8</v>
      </c>
      <c r="I942" s="94" t="str">
        <f>IFERROR(__xludf.DUMMYFUNCTION("if(H942=""Must be Together"",iferror(join("", "",unique(filter({filter('Students (Vertical)'!O:O,'Students (Vertical)'!C:C=B942,'Students (Vertical)'!O:O&lt;&gt;"""");filter('Students (Vertical)'!O:O,'Students (Vertical)'!C:C=E942,'Students (Vertical)'!O:O&lt;&gt;"""&amp;""")},countifs({filter('Students (Vertical)'!O:O,'Students (Vertical)'!C:C=B942,'Students (Vertical)'!O:O&lt;&gt;"""");filter('Students (Vertical)'!O:O,'Students (Vertical)'!C:C=E942,'Students (Vertical)'!O:O&lt;&gt;"""")},{filter('Students (Vertical)'!O:O,'Students ("&amp;"Vertical)'!C:C=B942,'Students (Vertical)'!O:O&lt;&gt;"""");filter('Students (Vertical)'!O:O,'Students (Vertical)'!C:C=E942,'Students (Vertical)'!O:O&lt;&gt;"""")})&gt;1))),""No shared courses""),"""")"),"")</f>
        <v/>
      </c>
      <c r="J942" s="94" t="str">
        <f>IFERROR(__xludf.DUMMYFUNCTION("if(H942=""Can't be Together"",iferror(join("", "",unique(filter({unique(filter('Students (Vertical)'!O:O,'Students (Vertical)'!C:C=B942,'Students (Vertical)'!O:O&lt;&gt;"""",'Students (Vertical)'!P:P&gt;1));unique(filter('Students (Vertical)'!O:O,'Students (Vertic"&amp;"al)'!C:C=E942,'Students (Vertical)'!O:O&lt;&gt;"""",'Students (Vertical)'!P:P&gt;1))},countifs({unique(filter('Students (Vertical)'!O:O,'Students (Vertical)'!C:C=B942,'Students (Vertical)'!O:O&lt;&gt;"""",'Students (Vertical)'!P:P&gt;1));unique(filter('Students (Vertical)'"&amp;"!O:O,'Students (Vertical)'!C:C=E942,'Students (Vertical)'!O:O&lt;&gt;"""",'Students (Vertical)'!P:P&gt;1))},{unique(filter('Students (Vertical)'!O:O,'Students (Vertical)'!C:C=B942,'Students (Vertical)'!O:O&lt;&gt;"""",'Students (Vertical)'!P:P&gt;1));unique(filter('Student"&amp;"s (Vertical)'!O:O,'Students (Vertical)'!C:C=E942,'Students (Vertical)'!O:O&lt;&gt;"""",'Students (Vertical)'!P:P&gt;1))})&gt;1))),""""),"""")"),"")</f>
        <v/>
      </c>
      <c r="K942" s="96" t="str">
        <f>IFERROR(__xludf.DUMMYFUNCTION("iferror(join("", "",unique(filter({filter('Students (Vertical)'!D:D,'Students (Vertical)'!C:C=B942,'Students (Vertical)'!D:D&lt;&gt;"""");filter('Students (Vertical)'!D:D,'Students (Vertical)'!C:C=E942,'Students (Vertical)'!D:D&lt;&gt;"""")},countifs({filter('Student"&amp;"s (Vertical)'!D:D,'Students (Vertical)'!C:C=B942,'Students (Vertical)'!D:D&lt;&gt;"""");filter('Students (Vertical)'!D:D,'Students (Vertical)'!C:C=E942,'Students (Vertical)'!D:D&lt;&gt;"""")},{filter('Students (Vertical)'!D:D,'Students (Vertical)'!C:C=B942,'Students "&amp;"(Vertical)'!D:D&lt;&gt;"""");filter('Students (Vertical)'!D:D,'Students (Vertical)'!C:C=E942,'Students (Vertical)'!D:D&lt;&gt;"""")})&gt;1))),"""")"),"")</f>
        <v/>
      </c>
      <c r="L942" s="96"/>
      <c r="M942" s="96"/>
    </row>
    <row r="943" hidden="1">
      <c r="A943" s="8" t="s">
        <v>8</v>
      </c>
      <c r="C943" s="8" t="s">
        <v>8</v>
      </c>
      <c r="D943" s="8" t="s">
        <v>8</v>
      </c>
      <c r="F943" s="8" t="s">
        <v>8</v>
      </c>
      <c r="G943" s="8" t="s">
        <v>8</v>
      </c>
      <c r="I943" s="94" t="str">
        <f>IFERROR(__xludf.DUMMYFUNCTION("if(H943=""Must be Together"",iferror(join("", "",unique(filter({filter('Students (Vertical)'!O:O,'Students (Vertical)'!C:C=B943,'Students (Vertical)'!O:O&lt;&gt;"""");filter('Students (Vertical)'!O:O,'Students (Vertical)'!C:C=E943,'Students (Vertical)'!O:O&lt;&gt;"""&amp;""")},countifs({filter('Students (Vertical)'!O:O,'Students (Vertical)'!C:C=B943,'Students (Vertical)'!O:O&lt;&gt;"""");filter('Students (Vertical)'!O:O,'Students (Vertical)'!C:C=E943,'Students (Vertical)'!O:O&lt;&gt;"""")},{filter('Students (Vertical)'!O:O,'Students ("&amp;"Vertical)'!C:C=B943,'Students (Vertical)'!O:O&lt;&gt;"""");filter('Students (Vertical)'!O:O,'Students (Vertical)'!C:C=E943,'Students (Vertical)'!O:O&lt;&gt;"""")})&gt;1))),""No shared courses""),"""")"),"")</f>
        <v/>
      </c>
      <c r="J943" s="94" t="str">
        <f>IFERROR(__xludf.DUMMYFUNCTION("if(H943=""Can't be Together"",iferror(join("", "",unique(filter({unique(filter('Students (Vertical)'!O:O,'Students (Vertical)'!C:C=B943,'Students (Vertical)'!O:O&lt;&gt;"""",'Students (Vertical)'!P:P&gt;1));unique(filter('Students (Vertical)'!O:O,'Students (Vertic"&amp;"al)'!C:C=E943,'Students (Vertical)'!O:O&lt;&gt;"""",'Students (Vertical)'!P:P&gt;1))},countifs({unique(filter('Students (Vertical)'!O:O,'Students (Vertical)'!C:C=B943,'Students (Vertical)'!O:O&lt;&gt;"""",'Students (Vertical)'!P:P&gt;1));unique(filter('Students (Vertical)'"&amp;"!O:O,'Students (Vertical)'!C:C=E943,'Students (Vertical)'!O:O&lt;&gt;"""",'Students (Vertical)'!P:P&gt;1))},{unique(filter('Students (Vertical)'!O:O,'Students (Vertical)'!C:C=B943,'Students (Vertical)'!O:O&lt;&gt;"""",'Students (Vertical)'!P:P&gt;1));unique(filter('Student"&amp;"s (Vertical)'!O:O,'Students (Vertical)'!C:C=E943,'Students (Vertical)'!O:O&lt;&gt;"""",'Students (Vertical)'!P:P&gt;1))})&gt;1))),""""),"""")"),"")</f>
        <v/>
      </c>
      <c r="K943" s="96" t="str">
        <f>IFERROR(__xludf.DUMMYFUNCTION("iferror(join("", "",unique(filter({filter('Students (Vertical)'!D:D,'Students (Vertical)'!C:C=B943,'Students (Vertical)'!D:D&lt;&gt;"""");filter('Students (Vertical)'!D:D,'Students (Vertical)'!C:C=E943,'Students (Vertical)'!D:D&lt;&gt;"""")},countifs({filter('Student"&amp;"s (Vertical)'!D:D,'Students (Vertical)'!C:C=B943,'Students (Vertical)'!D:D&lt;&gt;"""");filter('Students (Vertical)'!D:D,'Students (Vertical)'!C:C=E943,'Students (Vertical)'!D:D&lt;&gt;"""")},{filter('Students (Vertical)'!D:D,'Students (Vertical)'!C:C=B943,'Students "&amp;"(Vertical)'!D:D&lt;&gt;"""");filter('Students (Vertical)'!D:D,'Students (Vertical)'!C:C=E943,'Students (Vertical)'!D:D&lt;&gt;"""")})&gt;1))),"""")"),"")</f>
        <v/>
      </c>
      <c r="L943" s="96"/>
      <c r="M943" s="96"/>
    </row>
    <row r="944" hidden="1">
      <c r="A944" s="8" t="s">
        <v>8</v>
      </c>
      <c r="C944" s="8" t="s">
        <v>8</v>
      </c>
      <c r="D944" s="8" t="s">
        <v>8</v>
      </c>
      <c r="F944" s="8" t="s">
        <v>8</v>
      </c>
      <c r="G944" s="8" t="s">
        <v>8</v>
      </c>
      <c r="I944" s="94" t="str">
        <f>IFERROR(__xludf.DUMMYFUNCTION("if(H944=""Must be Together"",iferror(join("", "",unique(filter({filter('Students (Vertical)'!O:O,'Students (Vertical)'!C:C=B944,'Students (Vertical)'!O:O&lt;&gt;"""");filter('Students (Vertical)'!O:O,'Students (Vertical)'!C:C=E944,'Students (Vertical)'!O:O&lt;&gt;"""&amp;""")},countifs({filter('Students (Vertical)'!O:O,'Students (Vertical)'!C:C=B944,'Students (Vertical)'!O:O&lt;&gt;"""");filter('Students (Vertical)'!O:O,'Students (Vertical)'!C:C=E944,'Students (Vertical)'!O:O&lt;&gt;"""")},{filter('Students (Vertical)'!O:O,'Students ("&amp;"Vertical)'!C:C=B944,'Students (Vertical)'!O:O&lt;&gt;"""");filter('Students (Vertical)'!O:O,'Students (Vertical)'!C:C=E944,'Students (Vertical)'!O:O&lt;&gt;"""")})&gt;1))),""No shared courses""),"""")"),"")</f>
        <v/>
      </c>
      <c r="J944" s="94" t="str">
        <f>IFERROR(__xludf.DUMMYFUNCTION("if(H944=""Can't be Together"",iferror(join("", "",unique(filter({unique(filter('Students (Vertical)'!O:O,'Students (Vertical)'!C:C=B944,'Students (Vertical)'!O:O&lt;&gt;"""",'Students (Vertical)'!P:P&gt;1));unique(filter('Students (Vertical)'!O:O,'Students (Vertic"&amp;"al)'!C:C=E944,'Students (Vertical)'!O:O&lt;&gt;"""",'Students (Vertical)'!P:P&gt;1))},countifs({unique(filter('Students (Vertical)'!O:O,'Students (Vertical)'!C:C=B944,'Students (Vertical)'!O:O&lt;&gt;"""",'Students (Vertical)'!P:P&gt;1));unique(filter('Students (Vertical)'"&amp;"!O:O,'Students (Vertical)'!C:C=E944,'Students (Vertical)'!O:O&lt;&gt;"""",'Students (Vertical)'!P:P&gt;1))},{unique(filter('Students (Vertical)'!O:O,'Students (Vertical)'!C:C=B944,'Students (Vertical)'!O:O&lt;&gt;"""",'Students (Vertical)'!P:P&gt;1));unique(filter('Student"&amp;"s (Vertical)'!O:O,'Students (Vertical)'!C:C=E944,'Students (Vertical)'!O:O&lt;&gt;"""",'Students (Vertical)'!P:P&gt;1))})&gt;1))),""""),"""")"),"")</f>
        <v/>
      </c>
      <c r="K944" s="96" t="str">
        <f>IFERROR(__xludf.DUMMYFUNCTION("iferror(join("", "",unique(filter({filter('Students (Vertical)'!D:D,'Students (Vertical)'!C:C=B944,'Students (Vertical)'!D:D&lt;&gt;"""");filter('Students (Vertical)'!D:D,'Students (Vertical)'!C:C=E944,'Students (Vertical)'!D:D&lt;&gt;"""")},countifs({filter('Student"&amp;"s (Vertical)'!D:D,'Students (Vertical)'!C:C=B944,'Students (Vertical)'!D:D&lt;&gt;"""");filter('Students (Vertical)'!D:D,'Students (Vertical)'!C:C=E944,'Students (Vertical)'!D:D&lt;&gt;"""")},{filter('Students (Vertical)'!D:D,'Students (Vertical)'!C:C=B944,'Students "&amp;"(Vertical)'!D:D&lt;&gt;"""");filter('Students (Vertical)'!D:D,'Students (Vertical)'!C:C=E944,'Students (Vertical)'!D:D&lt;&gt;"""")})&gt;1))),"""")"),"")</f>
        <v/>
      </c>
      <c r="L944" s="96"/>
      <c r="M944" s="96"/>
    </row>
    <row r="945" hidden="1">
      <c r="A945" s="8" t="s">
        <v>8</v>
      </c>
      <c r="C945" s="8" t="s">
        <v>8</v>
      </c>
      <c r="D945" s="8" t="s">
        <v>8</v>
      </c>
      <c r="F945" s="8" t="s">
        <v>8</v>
      </c>
      <c r="G945" s="8" t="s">
        <v>8</v>
      </c>
      <c r="I945" s="94" t="str">
        <f>IFERROR(__xludf.DUMMYFUNCTION("if(H945=""Must be Together"",iferror(join("", "",unique(filter({filter('Students (Vertical)'!O:O,'Students (Vertical)'!C:C=B945,'Students (Vertical)'!O:O&lt;&gt;"""");filter('Students (Vertical)'!O:O,'Students (Vertical)'!C:C=E945,'Students (Vertical)'!O:O&lt;&gt;"""&amp;""")},countifs({filter('Students (Vertical)'!O:O,'Students (Vertical)'!C:C=B945,'Students (Vertical)'!O:O&lt;&gt;"""");filter('Students (Vertical)'!O:O,'Students (Vertical)'!C:C=E945,'Students (Vertical)'!O:O&lt;&gt;"""")},{filter('Students (Vertical)'!O:O,'Students ("&amp;"Vertical)'!C:C=B945,'Students (Vertical)'!O:O&lt;&gt;"""");filter('Students (Vertical)'!O:O,'Students (Vertical)'!C:C=E945,'Students (Vertical)'!O:O&lt;&gt;"""")})&gt;1))),""No shared courses""),"""")"),"")</f>
        <v/>
      </c>
      <c r="J945" s="94" t="str">
        <f>IFERROR(__xludf.DUMMYFUNCTION("if(H945=""Can't be Together"",iferror(join("", "",unique(filter({unique(filter('Students (Vertical)'!O:O,'Students (Vertical)'!C:C=B945,'Students (Vertical)'!O:O&lt;&gt;"""",'Students (Vertical)'!P:P&gt;1));unique(filter('Students (Vertical)'!O:O,'Students (Vertic"&amp;"al)'!C:C=E945,'Students (Vertical)'!O:O&lt;&gt;"""",'Students (Vertical)'!P:P&gt;1))},countifs({unique(filter('Students (Vertical)'!O:O,'Students (Vertical)'!C:C=B945,'Students (Vertical)'!O:O&lt;&gt;"""",'Students (Vertical)'!P:P&gt;1));unique(filter('Students (Vertical)'"&amp;"!O:O,'Students (Vertical)'!C:C=E945,'Students (Vertical)'!O:O&lt;&gt;"""",'Students (Vertical)'!P:P&gt;1))},{unique(filter('Students (Vertical)'!O:O,'Students (Vertical)'!C:C=B945,'Students (Vertical)'!O:O&lt;&gt;"""",'Students (Vertical)'!P:P&gt;1));unique(filter('Student"&amp;"s (Vertical)'!O:O,'Students (Vertical)'!C:C=E945,'Students (Vertical)'!O:O&lt;&gt;"""",'Students (Vertical)'!P:P&gt;1))})&gt;1))),""""),"""")"),"")</f>
        <v/>
      </c>
      <c r="K945" s="96" t="str">
        <f>IFERROR(__xludf.DUMMYFUNCTION("iferror(join("", "",unique(filter({filter('Students (Vertical)'!D:D,'Students (Vertical)'!C:C=B945,'Students (Vertical)'!D:D&lt;&gt;"""");filter('Students (Vertical)'!D:D,'Students (Vertical)'!C:C=E945,'Students (Vertical)'!D:D&lt;&gt;"""")},countifs({filter('Student"&amp;"s (Vertical)'!D:D,'Students (Vertical)'!C:C=B945,'Students (Vertical)'!D:D&lt;&gt;"""");filter('Students (Vertical)'!D:D,'Students (Vertical)'!C:C=E945,'Students (Vertical)'!D:D&lt;&gt;"""")},{filter('Students (Vertical)'!D:D,'Students (Vertical)'!C:C=B945,'Students "&amp;"(Vertical)'!D:D&lt;&gt;"""");filter('Students (Vertical)'!D:D,'Students (Vertical)'!C:C=E945,'Students (Vertical)'!D:D&lt;&gt;"""")})&gt;1))),"""")"),"")</f>
        <v/>
      </c>
      <c r="L945" s="96"/>
      <c r="M945" s="96"/>
    </row>
    <row r="946" hidden="1">
      <c r="A946" s="8" t="s">
        <v>8</v>
      </c>
      <c r="C946" s="8" t="s">
        <v>8</v>
      </c>
      <c r="D946" s="8" t="s">
        <v>8</v>
      </c>
      <c r="F946" s="8" t="s">
        <v>8</v>
      </c>
      <c r="G946" s="8" t="s">
        <v>8</v>
      </c>
      <c r="I946" s="94" t="str">
        <f>IFERROR(__xludf.DUMMYFUNCTION("if(H946=""Must be Together"",iferror(join("", "",unique(filter({filter('Students (Vertical)'!O:O,'Students (Vertical)'!C:C=B946,'Students (Vertical)'!O:O&lt;&gt;"""");filter('Students (Vertical)'!O:O,'Students (Vertical)'!C:C=E946,'Students (Vertical)'!O:O&lt;&gt;"""&amp;""")},countifs({filter('Students (Vertical)'!O:O,'Students (Vertical)'!C:C=B946,'Students (Vertical)'!O:O&lt;&gt;"""");filter('Students (Vertical)'!O:O,'Students (Vertical)'!C:C=E946,'Students (Vertical)'!O:O&lt;&gt;"""")},{filter('Students (Vertical)'!O:O,'Students ("&amp;"Vertical)'!C:C=B946,'Students (Vertical)'!O:O&lt;&gt;"""");filter('Students (Vertical)'!O:O,'Students (Vertical)'!C:C=E946,'Students (Vertical)'!O:O&lt;&gt;"""")})&gt;1))),""No shared courses""),"""")"),"")</f>
        <v/>
      </c>
      <c r="J946" s="94" t="str">
        <f>IFERROR(__xludf.DUMMYFUNCTION("if(H946=""Can't be Together"",iferror(join("", "",unique(filter({unique(filter('Students (Vertical)'!O:O,'Students (Vertical)'!C:C=B946,'Students (Vertical)'!O:O&lt;&gt;"""",'Students (Vertical)'!P:P&gt;1));unique(filter('Students (Vertical)'!O:O,'Students (Vertic"&amp;"al)'!C:C=E946,'Students (Vertical)'!O:O&lt;&gt;"""",'Students (Vertical)'!P:P&gt;1))},countifs({unique(filter('Students (Vertical)'!O:O,'Students (Vertical)'!C:C=B946,'Students (Vertical)'!O:O&lt;&gt;"""",'Students (Vertical)'!P:P&gt;1));unique(filter('Students (Vertical)'"&amp;"!O:O,'Students (Vertical)'!C:C=E946,'Students (Vertical)'!O:O&lt;&gt;"""",'Students (Vertical)'!P:P&gt;1))},{unique(filter('Students (Vertical)'!O:O,'Students (Vertical)'!C:C=B946,'Students (Vertical)'!O:O&lt;&gt;"""",'Students (Vertical)'!P:P&gt;1));unique(filter('Student"&amp;"s (Vertical)'!O:O,'Students (Vertical)'!C:C=E946,'Students (Vertical)'!O:O&lt;&gt;"""",'Students (Vertical)'!P:P&gt;1))})&gt;1))),""""),"""")"),"")</f>
        <v/>
      </c>
      <c r="K946" s="96" t="str">
        <f>IFERROR(__xludf.DUMMYFUNCTION("iferror(join("", "",unique(filter({filter('Students (Vertical)'!D:D,'Students (Vertical)'!C:C=B946,'Students (Vertical)'!D:D&lt;&gt;"""");filter('Students (Vertical)'!D:D,'Students (Vertical)'!C:C=E946,'Students (Vertical)'!D:D&lt;&gt;"""")},countifs({filter('Student"&amp;"s (Vertical)'!D:D,'Students (Vertical)'!C:C=B946,'Students (Vertical)'!D:D&lt;&gt;"""");filter('Students (Vertical)'!D:D,'Students (Vertical)'!C:C=E946,'Students (Vertical)'!D:D&lt;&gt;"""")},{filter('Students (Vertical)'!D:D,'Students (Vertical)'!C:C=B946,'Students "&amp;"(Vertical)'!D:D&lt;&gt;"""");filter('Students (Vertical)'!D:D,'Students (Vertical)'!C:C=E946,'Students (Vertical)'!D:D&lt;&gt;"""")})&gt;1))),"""")"),"")</f>
        <v/>
      </c>
      <c r="L946" s="96"/>
      <c r="M946" s="96"/>
    </row>
    <row r="947" hidden="1">
      <c r="A947" s="8" t="s">
        <v>8</v>
      </c>
      <c r="C947" s="8" t="s">
        <v>8</v>
      </c>
      <c r="D947" s="8" t="s">
        <v>8</v>
      </c>
      <c r="F947" s="8" t="s">
        <v>8</v>
      </c>
      <c r="G947" s="8" t="s">
        <v>8</v>
      </c>
      <c r="I947" s="94" t="str">
        <f>IFERROR(__xludf.DUMMYFUNCTION("if(H947=""Must be Together"",iferror(join("", "",unique(filter({filter('Students (Vertical)'!O:O,'Students (Vertical)'!C:C=B947,'Students (Vertical)'!O:O&lt;&gt;"""");filter('Students (Vertical)'!O:O,'Students (Vertical)'!C:C=E947,'Students (Vertical)'!O:O&lt;&gt;"""&amp;""")},countifs({filter('Students (Vertical)'!O:O,'Students (Vertical)'!C:C=B947,'Students (Vertical)'!O:O&lt;&gt;"""");filter('Students (Vertical)'!O:O,'Students (Vertical)'!C:C=E947,'Students (Vertical)'!O:O&lt;&gt;"""")},{filter('Students (Vertical)'!O:O,'Students ("&amp;"Vertical)'!C:C=B947,'Students (Vertical)'!O:O&lt;&gt;"""");filter('Students (Vertical)'!O:O,'Students (Vertical)'!C:C=E947,'Students (Vertical)'!O:O&lt;&gt;"""")})&gt;1))),""No shared courses""),"""")"),"")</f>
        <v/>
      </c>
      <c r="J947" s="94" t="str">
        <f>IFERROR(__xludf.DUMMYFUNCTION("if(H947=""Can't be Together"",iferror(join("", "",unique(filter({unique(filter('Students (Vertical)'!O:O,'Students (Vertical)'!C:C=B947,'Students (Vertical)'!O:O&lt;&gt;"""",'Students (Vertical)'!P:P&gt;1));unique(filter('Students (Vertical)'!O:O,'Students (Vertic"&amp;"al)'!C:C=E947,'Students (Vertical)'!O:O&lt;&gt;"""",'Students (Vertical)'!P:P&gt;1))},countifs({unique(filter('Students (Vertical)'!O:O,'Students (Vertical)'!C:C=B947,'Students (Vertical)'!O:O&lt;&gt;"""",'Students (Vertical)'!P:P&gt;1));unique(filter('Students (Vertical)'"&amp;"!O:O,'Students (Vertical)'!C:C=E947,'Students (Vertical)'!O:O&lt;&gt;"""",'Students (Vertical)'!P:P&gt;1))},{unique(filter('Students (Vertical)'!O:O,'Students (Vertical)'!C:C=B947,'Students (Vertical)'!O:O&lt;&gt;"""",'Students (Vertical)'!P:P&gt;1));unique(filter('Student"&amp;"s (Vertical)'!O:O,'Students (Vertical)'!C:C=E947,'Students (Vertical)'!O:O&lt;&gt;"""",'Students (Vertical)'!P:P&gt;1))})&gt;1))),""""),"""")"),"")</f>
        <v/>
      </c>
      <c r="K947" s="96" t="str">
        <f>IFERROR(__xludf.DUMMYFUNCTION("iferror(join("", "",unique(filter({filter('Students (Vertical)'!D:D,'Students (Vertical)'!C:C=B947,'Students (Vertical)'!D:D&lt;&gt;"""");filter('Students (Vertical)'!D:D,'Students (Vertical)'!C:C=E947,'Students (Vertical)'!D:D&lt;&gt;"""")},countifs({filter('Student"&amp;"s (Vertical)'!D:D,'Students (Vertical)'!C:C=B947,'Students (Vertical)'!D:D&lt;&gt;"""");filter('Students (Vertical)'!D:D,'Students (Vertical)'!C:C=E947,'Students (Vertical)'!D:D&lt;&gt;"""")},{filter('Students (Vertical)'!D:D,'Students (Vertical)'!C:C=B947,'Students "&amp;"(Vertical)'!D:D&lt;&gt;"""");filter('Students (Vertical)'!D:D,'Students (Vertical)'!C:C=E947,'Students (Vertical)'!D:D&lt;&gt;"""")})&gt;1))),"""")"),"")</f>
        <v/>
      </c>
      <c r="L947" s="96"/>
      <c r="M947" s="96"/>
    </row>
    <row r="948" hidden="1">
      <c r="A948" s="8" t="s">
        <v>8</v>
      </c>
      <c r="C948" s="8" t="s">
        <v>8</v>
      </c>
      <c r="D948" s="8" t="s">
        <v>8</v>
      </c>
      <c r="F948" s="8" t="s">
        <v>8</v>
      </c>
      <c r="G948" s="8" t="s">
        <v>8</v>
      </c>
      <c r="I948" s="94" t="str">
        <f>IFERROR(__xludf.DUMMYFUNCTION("if(H948=""Must be Together"",iferror(join("", "",unique(filter({filter('Students (Vertical)'!O:O,'Students (Vertical)'!C:C=B948,'Students (Vertical)'!O:O&lt;&gt;"""");filter('Students (Vertical)'!O:O,'Students (Vertical)'!C:C=E948,'Students (Vertical)'!O:O&lt;&gt;"""&amp;""")},countifs({filter('Students (Vertical)'!O:O,'Students (Vertical)'!C:C=B948,'Students (Vertical)'!O:O&lt;&gt;"""");filter('Students (Vertical)'!O:O,'Students (Vertical)'!C:C=E948,'Students (Vertical)'!O:O&lt;&gt;"""")},{filter('Students (Vertical)'!O:O,'Students ("&amp;"Vertical)'!C:C=B948,'Students (Vertical)'!O:O&lt;&gt;"""");filter('Students (Vertical)'!O:O,'Students (Vertical)'!C:C=E948,'Students (Vertical)'!O:O&lt;&gt;"""")})&gt;1))),""No shared courses""),"""")"),"")</f>
        <v/>
      </c>
      <c r="J948" s="94" t="str">
        <f>IFERROR(__xludf.DUMMYFUNCTION("if(H948=""Can't be Together"",iferror(join("", "",unique(filter({unique(filter('Students (Vertical)'!O:O,'Students (Vertical)'!C:C=B948,'Students (Vertical)'!O:O&lt;&gt;"""",'Students (Vertical)'!P:P&gt;1));unique(filter('Students (Vertical)'!O:O,'Students (Vertic"&amp;"al)'!C:C=E948,'Students (Vertical)'!O:O&lt;&gt;"""",'Students (Vertical)'!P:P&gt;1))},countifs({unique(filter('Students (Vertical)'!O:O,'Students (Vertical)'!C:C=B948,'Students (Vertical)'!O:O&lt;&gt;"""",'Students (Vertical)'!P:P&gt;1));unique(filter('Students (Vertical)'"&amp;"!O:O,'Students (Vertical)'!C:C=E948,'Students (Vertical)'!O:O&lt;&gt;"""",'Students (Vertical)'!P:P&gt;1))},{unique(filter('Students (Vertical)'!O:O,'Students (Vertical)'!C:C=B948,'Students (Vertical)'!O:O&lt;&gt;"""",'Students (Vertical)'!P:P&gt;1));unique(filter('Student"&amp;"s (Vertical)'!O:O,'Students (Vertical)'!C:C=E948,'Students (Vertical)'!O:O&lt;&gt;"""",'Students (Vertical)'!P:P&gt;1))})&gt;1))),""""),"""")"),"")</f>
        <v/>
      </c>
      <c r="K948" s="96" t="str">
        <f>IFERROR(__xludf.DUMMYFUNCTION("iferror(join("", "",unique(filter({filter('Students (Vertical)'!D:D,'Students (Vertical)'!C:C=B948,'Students (Vertical)'!D:D&lt;&gt;"""");filter('Students (Vertical)'!D:D,'Students (Vertical)'!C:C=E948,'Students (Vertical)'!D:D&lt;&gt;"""")},countifs({filter('Student"&amp;"s (Vertical)'!D:D,'Students (Vertical)'!C:C=B948,'Students (Vertical)'!D:D&lt;&gt;"""");filter('Students (Vertical)'!D:D,'Students (Vertical)'!C:C=E948,'Students (Vertical)'!D:D&lt;&gt;"""")},{filter('Students (Vertical)'!D:D,'Students (Vertical)'!C:C=B948,'Students "&amp;"(Vertical)'!D:D&lt;&gt;"""");filter('Students (Vertical)'!D:D,'Students (Vertical)'!C:C=E948,'Students (Vertical)'!D:D&lt;&gt;"""")})&gt;1))),"""")"),"")</f>
        <v/>
      </c>
      <c r="L948" s="96"/>
      <c r="M948" s="96"/>
    </row>
    <row r="949" hidden="1">
      <c r="A949" s="8" t="s">
        <v>8</v>
      </c>
      <c r="C949" s="8" t="s">
        <v>8</v>
      </c>
      <c r="D949" s="8" t="s">
        <v>8</v>
      </c>
      <c r="F949" s="8" t="s">
        <v>8</v>
      </c>
      <c r="G949" s="8" t="s">
        <v>8</v>
      </c>
      <c r="I949" s="94" t="str">
        <f>IFERROR(__xludf.DUMMYFUNCTION("if(H949=""Must be Together"",iferror(join("", "",unique(filter({filter('Students (Vertical)'!O:O,'Students (Vertical)'!C:C=B949,'Students (Vertical)'!O:O&lt;&gt;"""");filter('Students (Vertical)'!O:O,'Students (Vertical)'!C:C=E949,'Students (Vertical)'!O:O&lt;&gt;"""&amp;""")},countifs({filter('Students (Vertical)'!O:O,'Students (Vertical)'!C:C=B949,'Students (Vertical)'!O:O&lt;&gt;"""");filter('Students (Vertical)'!O:O,'Students (Vertical)'!C:C=E949,'Students (Vertical)'!O:O&lt;&gt;"""")},{filter('Students (Vertical)'!O:O,'Students ("&amp;"Vertical)'!C:C=B949,'Students (Vertical)'!O:O&lt;&gt;"""");filter('Students (Vertical)'!O:O,'Students (Vertical)'!C:C=E949,'Students (Vertical)'!O:O&lt;&gt;"""")})&gt;1))),""No shared courses""),"""")"),"")</f>
        <v/>
      </c>
      <c r="J949" s="94" t="str">
        <f>IFERROR(__xludf.DUMMYFUNCTION("if(H949=""Can't be Together"",iferror(join("", "",unique(filter({unique(filter('Students (Vertical)'!O:O,'Students (Vertical)'!C:C=B949,'Students (Vertical)'!O:O&lt;&gt;"""",'Students (Vertical)'!P:P&gt;1));unique(filter('Students (Vertical)'!O:O,'Students (Vertic"&amp;"al)'!C:C=E949,'Students (Vertical)'!O:O&lt;&gt;"""",'Students (Vertical)'!P:P&gt;1))},countifs({unique(filter('Students (Vertical)'!O:O,'Students (Vertical)'!C:C=B949,'Students (Vertical)'!O:O&lt;&gt;"""",'Students (Vertical)'!P:P&gt;1));unique(filter('Students (Vertical)'"&amp;"!O:O,'Students (Vertical)'!C:C=E949,'Students (Vertical)'!O:O&lt;&gt;"""",'Students (Vertical)'!P:P&gt;1))},{unique(filter('Students (Vertical)'!O:O,'Students (Vertical)'!C:C=B949,'Students (Vertical)'!O:O&lt;&gt;"""",'Students (Vertical)'!P:P&gt;1));unique(filter('Student"&amp;"s (Vertical)'!O:O,'Students (Vertical)'!C:C=E949,'Students (Vertical)'!O:O&lt;&gt;"""",'Students (Vertical)'!P:P&gt;1))})&gt;1))),""""),"""")"),"")</f>
        <v/>
      </c>
      <c r="K949" s="96" t="str">
        <f>IFERROR(__xludf.DUMMYFUNCTION("iferror(join("", "",unique(filter({filter('Students (Vertical)'!D:D,'Students (Vertical)'!C:C=B949,'Students (Vertical)'!D:D&lt;&gt;"""");filter('Students (Vertical)'!D:D,'Students (Vertical)'!C:C=E949,'Students (Vertical)'!D:D&lt;&gt;"""")},countifs({filter('Student"&amp;"s (Vertical)'!D:D,'Students (Vertical)'!C:C=B949,'Students (Vertical)'!D:D&lt;&gt;"""");filter('Students (Vertical)'!D:D,'Students (Vertical)'!C:C=E949,'Students (Vertical)'!D:D&lt;&gt;"""")},{filter('Students (Vertical)'!D:D,'Students (Vertical)'!C:C=B949,'Students "&amp;"(Vertical)'!D:D&lt;&gt;"""");filter('Students (Vertical)'!D:D,'Students (Vertical)'!C:C=E949,'Students (Vertical)'!D:D&lt;&gt;"""")})&gt;1))),"""")"),"")</f>
        <v/>
      </c>
      <c r="L949" s="96"/>
      <c r="M949" s="96"/>
    </row>
    <row r="950" hidden="1">
      <c r="A950" s="8" t="s">
        <v>8</v>
      </c>
      <c r="C950" s="8" t="s">
        <v>8</v>
      </c>
      <c r="D950" s="8" t="s">
        <v>8</v>
      </c>
      <c r="F950" s="8" t="s">
        <v>8</v>
      </c>
      <c r="G950" s="8" t="s">
        <v>8</v>
      </c>
      <c r="I950" s="94" t="str">
        <f>IFERROR(__xludf.DUMMYFUNCTION("if(H950=""Must be Together"",iferror(join("", "",unique(filter({filter('Students (Vertical)'!O:O,'Students (Vertical)'!C:C=B950,'Students (Vertical)'!O:O&lt;&gt;"""");filter('Students (Vertical)'!O:O,'Students (Vertical)'!C:C=E950,'Students (Vertical)'!O:O&lt;&gt;"""&amp;""")},countifs({filter('Students (Vertical)'!O:O,'Students (Vertical)'!C:C=B950,'Students (Vertical)'!O:O&lt;&gt;"""");filter('Students (Vertical)'!O:O,'Students (Vertical)'!C:C=E950,'Students (Vertical)'!O:O&lt;&gt;"""")},{filter('Students (Vertical)'!O:O,'Students ("&amp;"Vertical)'!C:C=B950,'Students (Vertical)'!O:O&lt;&gt;"""");filter('Students (Vertical)'!O:O,'Students (Vertical)'!C:C=E950,'Students (Vertical)'!O:O&lt;&gt;"""")})&gt;1))),""No shared courses""),"""")"),"")</f>
        <v/>
      </c>
      <c r="J950" s="94" t="str">
        <f>IFERROR(__xludf.DUMMYFUNCTION("if(H950=""Can't be Together"",iferror(join("", "",unique(filter({unique(filter('Students (Vertical)'!O:O,'Students (Vertical)'!C:C=B950,'Students (Vertical)'!O:O&lt;&gt;"""",'Students (Vertical)'!P:P&gt;1));unique(filter('Students (Vertical)'!O:O,'Students (Vertic"&amp;"al)'!C:C=E950,'Students (Vertical)'!O:O&lt;&gt;"""",'Students (Vertical)'!P:P&gt;1))},countifs({unique(filter('Students (Vertical)'!O:O,'Students (Vertical)'!C:C=B950,'Students (Vertical)'!O:O&lt;&gt;"""",'Students (Vertical)'!P:P&gt;1));unique(filter('Students (Vertical)'"&amp;"!O:O,'Students (Vertical)'!C:C=E950,'Students (Vertical)'!O:O&lt;&gt;"""",'Students (Vertical)'!P:P&gt;1))},{unique(filter('Students (Vertical)'!O:O,'Students (Vertical)'!C:C=B950,'Students (Vertical)'!O:O&lt;&gt;"""",'Students (Vertical)'!P:P&gt;1));unique(filter('Student"&amp;"s (Vertical)'!O:O,'Students (Vertical)'!C:C=E950,'Students (Vertical)'!O:O&lt;&gt;"""",'Students (Vertical)'!P:P&gt;1))})&gt;1))),""""),"""")"),"")</f>
        <v/>
      </c>
      <c r="K950" s="96" t="str">
        <f>IFERROR(__xludf.DUMMYFUNCTION("iferror(join("", "",unique(filter({filter('Students (Vertical)'!D:D,'Students (Vertical)'!C:C=B950,'Students (Vertical)'!D:D&lt;&gt;"""");filter('Students (Vertical)'!D:D,'Students (Vertical)'!C:C=E950,'Students (Vertical)'!D:D&lt;&gt;"""")},countifs({filter('Student"&amp;"s (Vertical)'!D:D,'Students (Vertical)'!C:C=B950,'Students (Vertical)'!D:D&lt;&gt;"""");filter('Students (Vertical)'!D:D,'Students (Vertical)'!C:C=E950,'Students (Vertical)'!D:D&lt;&gt;"""")},{filter('Students (Vertical)'!D:D,'Students (Vertical)'!C:C=B950,'Students "&amp;"(Vertical)'!D:D&lt;&gt;"""");filter('Students (Vertical)'!D:D,'Students (Vertical)'!C:C=E950,'Students (Vertical)'!D:D&lt;&gt;"""")})&gt;1))),"""")"),"")</f>
        <v/>
      </c>
      <c r="L950" s="96"/>
      <c r="M950" s="96"/>
    </row>
    <row r="951" hidden="1">
      <c r="A951" s="8" t="s">
        <v>8</v>
      </c>
      <c r="C951" s="8" t="s">
        <v>8</v>
      </c>
      <c r="D951" s="8" t="s">
        <v>8</v>
      </c>
      <c r="F951" s="8" t="s">
        <v>8</v>
      </c>
      <c r="G951" s="8" t="s">
        <v>8</v>
      </c>
      <c r="I951" s="94" t="str">
        <f>IFERROR(__xludf.DUMMYFUNCTION("if(H951=""Must be Together"",iferror(join("", "",unique(filter({filter('Students (Vertical)'!O:O,'Students (Vertical)'!C:C=B951,'Students (Vertical)'!O:O&lt;&gt;"""");filter('Students (Vertical)'!O:O,'Students (Vertical)'!C:C=E951,'Students (Vertical)'!O:O&lt;&gt;"""&amp;""")},countifs({filter('Students (Vertical)'!O:O,'Students (Vertical)'!C:C=B951,'Students (Vertical)'!O:O&lt;&gt;"""");filter('Students (Vertical)'!O:O,'Students (Vertical)'!C:C=E951,'Students (Vertical)'!O:O&lt;&gt;"""")},{filter('Students (Vertical)'!O:O,'Students ("&amp;"Vertical)'!C:C=B951,'Students (Vertical)'!O:O&lt;&gt;"""");filter('Students (Vertical)'!O:O,'Students (Vertical)'!C:C=E951,'Students (Vertical)'!O:O&lt;&gt;"""")})&gt;1))),""No shared courses""),"""")"),"")</f>
        <v/>
      </c>
      <c r="J951" s="94" t="str">
        <f>IFERROR(__xludf.DUMMYFUNCTION("if(H951=""Can't be Together"",iferror(join("", "",unique(filter({unique(filter('Students (Vertical)'!O:O,'Students (Vertical)'!C:C=B951,'Students (Vertical)'!O:O&lt;&gt;"""",'Students (Vertical)'!P:P&gt;1));unique(filter('Students (Vertical)'!O:O,'Students (Vertic"&amp;"al)'!C:C=E951,'Students (Vertical)'!O:O&lt;&gt;"""",'Students (Vertical)'!P:P&gt;1))},countifs({unique(filter('Students (Vertical)'!O:O,'Students (Vertical)'!C:C=B951,'Students (Vertical)'!O:O&lt;&gt;"""",'Students (Vertical)'!P:P&gt;1));unique(filter('Students (Vertical)'"&amp;"!O:O,'Students (Vertical)'!C:C=E951,'Students (Vertical)'!O:O&lt;&gt;"""",'Students (Vertical)'!P:P&gt;1))},{unique(filter('Students (Vertical)'!O:O,'Students (Vertical)'!C:C=B951,'Students (Vertical)'!O:O&lt;&gt;"""",'Students (Vertical)'!P:P&gt;1));unique(filter('Student"&amp;"s (Vertical)'!O:O,'Students (Vertical)'!C:C=E951,'Students (Vertical)'!O:O&lt;&gt;"""",'Students (Vertical)'!P:P&gt;1))})&gt;1))),""""),"""")"),"")</f>
        <v/>
      </c>
      <c r="K951" s="96" t="str">
        <f>IFERROR(__xludf.DUMMYFUNCTION("iferror(join("", "",unique(filter({filter('Students (Vertical)'!D:D,'Students (Vertical)'!C:C=B951,'Students (Vertical)'!D:D&lt;&gt;"""");filter('Students (Vertical)'!D:D,'Students (Vertical)'!C:C=E951,'Students (Vertical)'!D:D&lt;&gt;"""")},countifs({filter('Student"&amp;"s (Vertical)'!D:D,'Students (Vertical)'!C:C=B951,'Students (Vertical)'!D:D&lt;&gt;"""");filter('Students (Vertical)'!D:D,'Students (Vertical)'!C:C=E951,'Students (Vertical)'!D:D&lt;&gt;"""")},{filter('Students (Vertical)'!D:D,'Students (Vertical)'!C:C=B951,'Students "&amp;"(Vertical)'!D:D&lt;&gt;"""");filter('Students (Vertical)'!D:D,'Students (Vertical)'!C:C=E951,'Students (Vertical)'!D:D&lt;&gt;"""")})&gt;1))),"""")"),"")</f>
        <v/>
      </c>
      <c r="L951" s="96"/>
      <c r="M951" s="96"/>
    </row>
    <row r="952" hidden="1">
      <c r="A952" s="8" t="s">
        <v>8</v>
      </c>
      <c r="C952" s="8" t="s">
        <v>8</v>
      </c>
      <c r="D952" s="8" t="s">
        <v>8</v>
      </c>
      <c r="F952" s="8" t="s">
        <v>8</v>
      </c>
      <c r="G952" s="8" t="s">
        <v>8</v>
      </c>
      <c r="I952" s="94" t="str">
        <f>IFERROR(__xludf.DUMMYFUNCTION("if(H952=""Must be Together"",iferror(join("", "",unique(filter({filter('Students (Vertical)'!O:O,'Students (Vertical)'!C:C=B952,'Students (Vertical)'!O:O&lt;&gt;"""");filter('Students (Vertical)'!O:O,'Students (Vertical)'!C:C=E952,'Students (Vertical)'!O:O&lt;&gt;"""&amp;""")},countifs({filter('Students (Vertical)'!O:O,'Students (Vertical)'!C:C=B952,'Students (Vertical)'!O:O&lt;&gt;"""");filter('Students (Vertical)'!O:O,'Students (Vertical)'!C:C=E952,'Students (Vertical)'!O:O&lt;&gt;"""")},{filter('Students (Vertical)'!O:O,'Students ("&amp;"Vertical)'!C:C=B952,'Students (Vertical)'!O:O&lt;&gt;"""");filter('Students (Vertical)'!O:O,'Students (Vertical)'!C:C=E952,'Students (Vertical)'!O:O&lt;&gt;"""")})&gt;1))),""No shared courses""),"""")"),"")</f>
        <v/>
      </c>
      <c r="J952" s="94" t="str">
        <f>IFERROR(__xludf.DUMMYFUNCTION("if(H952=""Can't be Together"",iferror(join("", "",unique(filter({unique(filter('Students (Vertical)'!O:O,'Students (Vertical)'!C:C=B952,'Students (Vertical)'!O:O&lt;&gt;"""",'Students (Vertical)'!P:P&gt;1));unique(filter('Students (Vertical)'!O:O,'Students (Vertic"&amp;"al)'!C:C=E952,'Students (Vertical)'!O:O&lt;&gt;"""",'Students (Vertical)'!P:P&gt;1))},countifs({unique(filter('Students (Vertical)'!O:O,'Students (Vertical)'!C:C=B952,'Students (Vertical)'!O:O&lt;&gt;"""",'Students (Vertical)'!P:P&gt;1));unique(filter('Students (Vertical)'"&amp;"!O:O,'Students (Vertical)'!C:C=E952,'Students (Vertical)'!O:O&lt;&gt;"""",'Students (Vertical)'!P:P&gt;1))},{unique(filter('Students (Vertical)'!O:O,'Students (Vertical)'!C:C=B952,'Students (Vertical)'!O:O&lt;&gt;"""",'Students (Vertical)'!P:P&gt;1));unique(filter('Student"&amp;"s (Vertical)'!O:O,'Students (Vertical)'!C:C=E952,'Students (Vertical)'!O:O&lt;&gt;"""",'Students (Vertical)'!P:P&gt;1))})&gt;1))),""""),"""")"),"")</f>
        <v/>
      </c>
      <c r="K952" s="96" t="str">
        <f>IFERROR(__xludf.DUMMYFUNCTION("iferror(join("", "",unique(filter({filter('Students (Vertical)'!D:D,'Students (Vertical)'!C:C=B952,'Students (Vertical)'!D:D&lt;&gt;"""");filter('Students (Vertical)'!D:D,'Students (Vertical)'!C:C=E952,'Students (Vertical)'!D:D&lt;&gt;"""")},countifs({filter('Student"&amp;"s (Vertical)'!D:D,'Students (Vertical)'!C:C=B952,'Students (Vertical)'!D:D&lt;&gt;"""");filter('Students (Vertical)'!D:D,'Students (Vertical)'!C:C=E952,'Students (Vertical)'!D:D&lt;&gt;"""")},{filter('Students (Vertical)'!D:D,'Students (Vertical)'!C:C=B952,'Students "&amp;"(Vertical)'!D:D&lt;&gt;"""");filter('Students (Vertical)'!D:D,'Students (Vertical)'!C:C=E952,'Students (Vertical)'!D:D&lt;&gt;"""")})&gt;1))),"""")"),"")</f>
        <v/>
      </c>
      <c r="L952" s="96"/>
      <c r="M952" s="96"/>
    </row>
    <row r="953" hidden="1">
      <c r="A953" s="8" t="s">
        <v>8</v>
      </c>
      <c r="C953" s="8" t="s">
        <v>8</v>
      </c>
      <c r="D953" s="8" t="s">
        <v>8</v>
      </c>
      <c r="F953" s="8" t="s">
        <v>8</v>
      </c>
      <c r="G953" s="8" t="s">
        <v>8</v>
      </c>
      <c r="I953" s="94" t="str">
        <f>IFERROR(__xludf.DUMMYFUNCTION("if(H953=""Must be Together"",iferror(join("", "",unique(filter({filter('Students (Vertical)'!O:O,'Students (Vertical)'!C:C=B953,'Students (Vertical)'!O:O&lt;&gt;"""");filter('Students (Vertical)'!O:O,'Students (Vertical)'!C:C=E953,'Students (Vertical)'!O:O&lt;&gt;"""&amp;""")},countifs({filter('Students (Vertical)'!O:O,'Students (Vertical)'!C:C=B953,'Students (Vertical)'!O:O&lt;&gt;"""");filter('Students (Vertical)'!O:O,'Students (Vertical)'!C:C=E953,'Students (Vertical)'!O:O&lt;&gt;"""")},{filter('Students (Vertical)'!O:O,'Students ("&amp;"Vertical)'!C:C=B953,'Students (Vertical)'!O:O&lt;&gt;"""");filter('Students (Vertical)'!O:O,'Students (Vertical)'!C:C=E953,'Students (Vertical)'!O:O&lt;&gt;"""")})&gt;1))),""No shared courses""),"""")"),"")</f>
        <v/>
      </c>
      <c r="J953" s="94" t="str">
        <f>IFERROR(__xludf.DUMMYFUNCTION("if(H953=""Can't be Together"",iferror(join("", "",unique(filter({unique(filter('Students (Vertical)'!O:O,'Students (Vertical)'!C:C=B953,'Students (Vertical)'!O:O&lt;&gt;"""",'Students (Vertical)'!P:P&gt;1));unique(filter('Students (Vertical)'!O:O,'Students (Vertic"&amp;"al)'!C:C=E953,'Students (Vertical)'!O:O&lt;&gt;"""",'Students (Vertical)'!P:P&gt;1))},countifs({unique(filter('Students (Vertical)'!O:O,'Students (Vertical)'!C:C=B953,'Students (Vertical)'!O:O&lt;&gt;"""",'Students (Vertical)'!P:P&gt;1));unique(filter('Students (Vertical)'"&amp;"!O:O,'Students (Vertical)'!C:C=E953,'Students (Vertical)'!O:O&lt;&gt;"""",'Students (Vertical)'!P:P&gt;1))},{unique(filter('Students (Vertical)'!O:O,'Students (Vertical)'!C:C=B953,'Students (Vertical)'!O:O&lt;&gt;"""",'Students (Vertical)'!P:P&gt;1));unique(filter('Student"&amp;"s (Vertical)'!O:O,'Students (Vertical)'!C:C=E953,'Students (Vertical)'!O:O&lt;&gt;"""",'Students (Vertical)'!P:P&gt;1))})&gt;1))),""""),"""")"),"")</f>
        <v/>
      </c>
      <c r="K953" s="96" t="str">
        <f>IFERROR(__xludf.DUMMYFUNCTION("iferror(join("", "",unique(filter({filter('Students (Vertical)'!D:D,'Students (Vertical)'!C:C=B953,'Students (Vertical)'!D:D&lt;&gt;"""");filter('Students (Vertical)'!D:D,'Students (Vertical)'!C:C=E953,'Students (Vertical)'!D:D&lt;&gt;"""")},countifs({filter('Student"&amp;"s (Vertical)'!D:D,'Students (Vertical)'!C:C=B953,'Students (Vertical)'!D:D&lt;&gt;"""");filter('Students (Vertical)'!D:D,'Students (Vertical)'!C:C=E953,'Students (Vertical)'!D:D&lt;&gt;"""")},{filter('Students (Vertical)'!D:D,'Students (Vertical)'!C:C=B953,'Students "&amp;"(Vertical)'!D:D&lt;&gt;"""");filter('Students (Vertical)'!D:D,'Students (Vertical)'!C:C=E953,'Students (Vertical)'!D:D&lt;&gt;"""")})&gt;1))),"""")"),"")</f>
        <v/>
      </c>
      <c r="L953" s="96"/>
      <c r="M953" s="96"/>
    </row>
    <row r="954" hidden="1">
      <c r="A954" s="8" t="s">
        <v>8</v>
      </c>
      <c r="C954" s="8" t="s">
        <v>8</v>
      </c>
      <c r="D954" s="8" t="s">
        <v>8</v>
      </c>
      <c r="F954" s="8" t="s">
        <v>8</v>
      </c>
      <c r="G954" s="8" t="s">
        <v>8</v>
      </c>
      <c r="I954" s="94" t="str">
        <f>IFERROR(__xludf.DUMMYFUNCTION("if(H954=""Must be Together"",iferror(join("", "",unique(filter({filter('Students (Vertical)'!O:O,'Students (Vertical)'!C:C=B954,'Students (Vertical)'!O:O&lt;&gt;"""");filter('Students (Vertical)'!O:O,'Students (Vertical)'!C:C=E954,'Students (Vertical)'!O:O&lt;&gt;"""&amp;""")},countifs({filter('Students (Vertical)'!O:O,'Students (Vertical)'!C:C=B954,'Students (Vertical)'!O:O&lt;&gt;"""");filter('Students (Vertical)'!O:O,'Students (Vertical)'!C:C=E954,'Students (Vertical)'!O:O&lt;&gt;"""")},{filter('Students (Vertical)'!O:O,'Students ("&amp;"Vertical)'!C:C=B954,'Students (Vertical)'!O:O&lt;&gt;"""");filter('Students (Vertical)'!O:O,'Students (Vertical)'!C:C=E954,'Students (Vertical)'!O:O&lt;&gt;"""")})&gt;1))),""No shared courses""),"""")"),"")</f>
        <v/>
      </c>
      <c r="J954" s="94" t="str">
        <f>IFERROR(__xludf.DUMMYFUNCTION("if(H954=""Can't be Together"",iferror(join("", "",unique(filter({unique(filter('Students (Vertical)'!O:O,'Students (Vertical)'!C:C=B954,'Students (Vertical)'!O:O&lt;&gt;"""",'Students (Vertical)'!P:P&gt;1));unique(filter('Students (Vertical)'!O:O,'Students (Vertic"&amp;"al)'!C:C=E954,'Students (Vertical)'!O:O&lt;&gt;"""",'Students (Vertical)'!P:P&gt;1))},countifs({unique(filter('Students (Vertical)'!O:O,'Students (Vertical)'!C:C=B954,'Students (Vertical)'!O:O&lt;&gt;"""",'Students (Vertical)'!P:P&gt;1));unique(filter('Students (Vertical)'"&amp;"!O:O,'Students (Vertical)'!C:C=E954,'Students (Vertical)'!O:O&lt;&gt;"""",'Students (Vertical)'!P:P&gt;1))},{unique(filter('Students (Vertical)'!O:O,'Students (Vertical)'!C:C=B954,'Students (Vertical)'!O:O&lt;&gt;"""",'Students (Vertical)'!P:P&gt;1));unique(filter('Student"&amp;"s (Vertical)'!O:O,'Students (Vertical)'!C:C=E954,'Students (Vertical)'!O:O&lt;&gt;"""",'Students (Vertical)'!P:P&gt;1))})&gt;1))),""""),"""")"),"")</f>
        <v/>
      </c>
      <c r="K954" s="96" t="str">
        <f>IFERROR(__xludf.DUMMYFUNCTION("iferror(join("", "",unique(filter({filter('Students (Vertical)'!D:D,'Students (Vertical)'!C:C=B954,'Students (Vertical)'!D:D&lt;&gt;"""");filter('Students (Vertical)'!D:D,'Students (Vertical)'!C:C=E954,'Students (Vertical)'!D:D&lt;&gt;"""")},countifs({filter('Student"&amp;"s (Vertical)'!D:D,'Students (Vertical)'!C:C=B954,'Students (Vertical)'!D:D&lt;&gt;"""");filter('Students (Vertical)'!D:D,'Students (Vertical)'!C:C=E954,'Students (Vertical)'!D:D&lt;&gt;"""")},{filter('Students (Vertical)'!D:D,'Students (Vertical)'!C:C=B954,'Students "&amp;"(Vertical)'!D:D&lt;&gt;"""");filter('Students (Vertical)'!D:D,'Students (Vertical)'!C:C=E954,'Students (Vertical)'!D:D&lt;&gt;"""")})&gt;1))),"""")"),"")</f>
        <v/>
      </c>
      <c r="L954" s="96"/>
      <c r="M954" s="96"/>
    </row>
    <row r="955" hidden="1">
      <c r="A955" s="8" t="s">
        <v>8</v>
      </c>
      <c r="C955" s="8" t="s">
        <v>8</v>
      </c>
      <c r="D955" s="8" t="s">
        <v>8</v>
      </c>
      <c r="F955" s="8" t="s">
        <v>8</v>
      </c>
      <c r="G955" s="8" t="s">
        <v>8</v>
      </c>
      <c r="I955" s="94" t="str">
        <f>IFERROR(__xludf.DUMMYFUNCTION("if(H955=""Must be Together"",iferror(join("", "",unique(filter({filter('Students (Vertical)'!O:O,'Students (Vertical)'!C:C=B955,'Students (Vertical)'!O:O&lt;&gt;"""");filter('Students (Vertical)'!O:O,'Students (Vertical)'!C:C=E955,'Students (Vertical)'!O:O&lt;&gt;"""&amp;""")},countifs({filter('Students (Vertical)'!O:O,'Students (Vertical)'!C:C=B955,'Students (Vertical)'!O:O&lt;&gt;"""");filter('Students (Vertical)'!O:O,'Students (Vertical)'!C:C=E955,'Students (Vertical)'!O:O&lt;&gt;"""")},{filter('Students (Vertical)'!O:O,'Students ("&amp;"Vertical)'!C:C=B955,'Students (Vertical)'!O:O&lt;&gt;"""");filter('Students (Vertical)'!O:O,'Students (Vertical)'!C:C=E955,'Students (Vertical)'!O:O&lt;&gt;"""")})&gt;1))),""No shared courses""),"""")"),"")</f>
        <v/>
      </c>
      <c r="J955" s="94" t="str">
        <f>IFERROR(__xludf.DUMMYFUNCTION("if(H955=""Can't be Together"",iferror(join("", "",unique(filter({unique(filter('Students (Vertical)'!O:O,'Students (Vertical)'!C:C=B955,'Students (Vertical)'!O:O&lt;&gt;"""",'Students (Vertical)'!P:P&gt;1));unique(filter('Students (Vertical)'!O:O,'Students (Vertic"&amp;"al)'!C:C=E955,'Students (Vertical)'!O:O&lt;&gt;"""",'Students (Vertical)'!P:P&gt;1))},countifs({unique(filter('Students (Vertical)'!O:O,'Students (Vertical)'!C:C=B955,'Students (Vertical)'!O:O&lt;&gt;"""",'Students (Vertical)'!P:P&gt;1));unique(filter('Students (Vertical)'"&amp;"!O:O,'Students (Vertical)'!C:C=E955,'Students (Vertical)'!O:O&lt;&gt;"""",'Students (Vertical)'!P:P&gt;1))},{unique(filter('Students (Vertical)'!O:O,'Students (Vertical)'!C:C=B955,'Students (Vertical)'!O:O&lt;&gt;"""",'Students (Vertical)'!P:P&gt;1));unique(filter('Student"&amp;"s (Vertical)'!O:O,'Students (Vertical)'!C:C=E955,'Students (Vertical)'!O:O&lt;&gt;"""",'Students (Vertical)'!P:P&gt;1))})&gt;1))),""""),"""")"),"")</f>
        <v/>
      </c>
      <c r="K955" s="96" t="str">
        <f>IFERROR(__xludf.DUMMYFUNCTION("iferror(join("", "",unique(filter({filter('Students (Vertical)'!D:D,'Students (Vertical)'!C:C=B955,'Students (Vertical)'!D:D&lt;&gt;"""");filter('Students (Vertical)'!D:D,'Students (Vertical)'!C:C=E955,'Students (Vertical)'!D:D&lt;&gt;"""")},countifs({filter('Student"&amp;"s (Vertical)'!D:D,'Students (Vertical)'!C:C=B955,'Students (Vertical)'!D:D&lt;&gt;"""");filter('Students (Vertical)'!D:D,'Students (Vertical)'!C:C=E955,'Students (Vertical)'!D:D&lt;&gt;"""")},{filter('Students (Vertical)'!D:D,'Students (Vertical)'!C:C=B955,'Students "&amp;"(Vertical)'!D:D&lt;&gt;"""");filter('Students (Vertical)'!D:D,'Students (Vertical)'!C:C=E955,'Students (Vertical)'!D:D&lt;&gt;"""")})&gt;1))),"""")"),"")</f>
        <v/>
      </c>
      <c r="L955" s="96"/>
      <c r="M955" s="96"/>
    </row>
    <row r="956" hidden="1">
      <c r="A956" s="8" t="s">
        <v>8</v>
      </c>
      <c r="C956" s="8" t="s">
        <v>8</v>
      </c>
      <c r="D956" s="8" t="s">
        <v>8</v>
      </c>
      <c r="F956" s="8" t="s">
        <v>8</v>
      </c>
      <c r="G956" s="8" t="s">
        <v>8</v>
      </c>
      <c r="I956" s="94" t="str">
        <f>IFERROR(__xludf.DUMMYFUNCTION("if(H956=""Must be Together"",iferror(join("", "",unique(filter({filter('Students (Vertical)'!O:O,'Students (Vertical)'!C:C=B956,'Students (Vertical)'!O:O&lt;&gt;"""");filter('Students (Vertical)'!O:O,'Students (Vertical)'!C:C=E956,'Students (Vertical)'!O:O&lt;&gt;"""&amp;""")},countifs({filter('Students (Vertical)'!O:O,'Students (Vertical)'!C:C=B956,'Students (Vertical)'!O:O&lt;&gt;"""");filter('Students (Vertical)'!O:O,'Students (Vertical)'!C:C=E956,'Students (Vertical)'!O:O&lt;&gt;"""")},{filter('Students (Vertical)'!O:O,'Students ("&amp;"Vertical)'!C:C=B956,'Students (Vertical)'!O:O&lt;&gt;"""");filter('Students (Vertical)'!O:O,'Students (Vertical)'!C:C=E956,'Students (Vertical)'!O:O&lt;&gt;"""")})&gt;1))),""No shared courses""),"""")"),"")</f>
        <v/>
      </c>
      <c r="J956" s="94" t="str">
        <f>IFERROR(__xludf.DUMMYFUNCTION("if(H956=""Can't be Together"",iferror(join("", "",unique(filter({unique(filter('Students (Vertical)'!O:O,'Students (Vertical)'!C:C=B956,'Students (Vertical)'!O:O&lt;&gt;"""",'Students (Vertical)'!P:P&gt;1));unique(filter('Students (Vertical)'!O:O,'Students (Vertic"&amp;"al)'!C:C=E956,'Students (Vertical)'!O:O&lt;&gt;"""",'Students (Vertical)'!P:P&gt;1))},countifs({unique(filter('Students (Vertical)'!O:O,'Students (Vertical)'!C:C=B956,'Students (Vertical)'!O:O&lt;&gt;"""",'Students (Vertical)'!P:P&gt;1));unique(filter('Students (Vertical)'"&amp;"!O:O,'Students (Vertical)'!C:C=E956,'Students (Vertical)'!O:O&lt;&gt;"""",'Students (Vertical)'!P:P&gt;1))},{unique(filter('Students (Vertical)'!O:O,'Students (Vertical)'!C:C=B956,'Students (Vertical)'!O:O&lt;&gt;"""",'Students (Vertical)'!P:P&gt;1));unique(filter('Student"&amp;"s (Vertical)'!O:O,'Students (Vertical)'!C:C=E956,'Students (Vertical)'!O:O&lt;&gt;"""",'Students (Vertical)'!P:P&gt;1))})&gt;1))),""""),"""")"),"")</f>
        <v/>
      </c>
      <c r="K956" s="96" t="str">
        <f>IFERROR(__xludf.DUMMYFUNCTION("iferror(join("", "",unique(filter({filter('Students (Vertical)'!D:D,'Students (Vertical)'!C:C=B956,'Students (Vertical)'!D:D&lt;&gt;"""");filter('Students (Vertical)'!D:D,'Students (Vertical)'!C:C=E956,'Students (Vertical)'!D:D&lt;&gt;"""")},countifs({filter('Student"&amp;"s (Vertical)'!D:D,'Students (Vertical)'!C:C=B956,'Students (Vertical)'!D:D&lt;&gt;"""");filter('Students (Vertical)'!D:D,'Students (Vertical)'!C:C=E956,'Students (Vertical)'!D:D&lt;&gt;"""")},{filter('Students (Vertical)'!D:D,'Students (Vertical)'!C:C=B956,'Students "&amp;"(Vertical)'!D:D&lt;&gt;"""");filter('Students (Vertical)'!D:D,'Students (Vertical)'!C:C=E956,'Students (Vertical)'!D:D&lt;&gt;"""")})&gt;1))),"""")"),"")</f>
        <v/>
      </c>
      <c r="L956" s="96"/>
      <c r="M956" s="96"/>
    </row>
    <row r="957" hidden="1">
      <c r="A957" s="8" t="s">
        <v>8</v>
      </c>
      <c r="C957" s="8" t="s">
        <v>8</v>
      </c>
      <c r="D957" s="8" t="s">
        <v>8</v>
      </c>
      <c r="F957" s="8" t="s">
        <v>8</v>
      </c>
      <c r="G957" s="8" t="s">
        <v>8</v>
      </c>
      <c r="I957" s="94" t="str">
        <f>IFERROR(__xludf.DUMMYFUNCTION("if(H957=""Must be Together"",iferror(join("", "",unique(filter({filter('Students (Vertical)'!O:O,'Students (Vertical)'!C:C=B957,'Students (Vertical)'!O:O&lt;&gt;"""");filter('Students (Vertical)'!O:O,'Students (Vertical)'!C:C=E957,'Students (Vertical)'!O:O&lt;&gt;"""&amp;""")},countifs({filter('Students (Vertical)'!O:O,'Students (Vertical)'!C:C=B957,'Students (Vertical)'!O:O&lt;&gt;"""");filter('Students (Vertical)'!O:O,'Students (Vertical)'!C:C=E957,'Students (Vertical)'!O:O&lt;&gt;"""")},{filter('Students (Vertical)'!O:O,'Students ("&amp;"Vertical)'!C:C=B957,'Students (Vertical)'!O:O&lt;&gt;"""");filter('Students (Vertical)'!O:O,'Students (Vertical)'!C:C=E957,'Students (Vertical)'!O:O&lt;&gt;"""")})&gt;1))),""No shared courses""),"""")"),"")</f>
        <v/>
      </c>
      <c r="J957" s="94" t="str">
        <f>IFERROR(__xludf.DUMMYFUNCTION("if(H957=""Can't be Together"",iferror(join("", "",unique(filter({unique(filter('Students (Vertical)'!O:O,'Students (Vertical)'!C:C=B957,'Students (Vertical)'!O:O&lt;&gt;"""",'Students (Vertical)'!P:P&gt;1));unique(filter('Students (Vertical)'!O:O,'Students (Vertic"&amp;"al)'!C:C=E957,'Students (Vertical)'!O:O&lt;&gt;"""",'Students (Vertical)'!P:P&gt;1))},countifs({unique(filter('Students (Vertical)'!O:O,'Students (Vertical)'!C:C=B957,'Students (Vertical)'!O:O&lt;&gt;"""",'Students (Vertical)'!P:P&gt;1));unique(filter('Students (Vertical)'"&amp;"!O:O,'Students (Vertical)'!C:C=E957,'Students (Vertical)'!O:O&lt;&gt;"""",'Students (Vertical)'!P:P&gt;1))},{unique(filter('Students (Vertical)'!O:O,'Students (Vertical)'!C:C=B957,'Students (Vertical)'!O:O&lt;&gt;"""",'Students (Vertical)'!P:P&gt;1));unique(filter('Student"&amp;"s (Vertical)'!O:O,'Students (Vertical)'!C:C=E957,'Students (Vertical)'!O:O&lt;&gt;"""",'Students (Vertical)'!P:P&gt;1))})&gt;1))),""""),"""")"),"")</f>
        <v/>
      </c>
      <c r="K957" s="96" t="str">
        <f>IFERROR(__xludf.DUMMYFUNCTION("iferror(join("", "",unique(filter({filter('Students (Vertical)'!D:D,'Students (Vertical)'!C:C=B957,'Students (Vertical)'!D:D&lt;&gt;"""");filter('Students (Vertical)'!D:D,'Students (Vertical)'!C:C=E957,'Students (Vertical)'!D:D&lt;&gt;"""")},countifs({filter('Student"&amp;"s (Vertical)'!D:D,'Students (Vertical)'!C:C=B957,'Students (Vertical)'!D:D&lt;&gt;"""");filter('Students (Vertical)'!D:D,'Students (Vertical)'!C:C=E957,'Students (Vertical)'!D:D&lt;&gt;"""")},{filter('Students (Vertical)'!D:D,'Students (Vertical)'!C:C=B957,'Students "&amp;"(Vertical)'!D:D&lt;&gt;"""");filter('Students (Vertical)'!D:D,'Students (Vertical)'!C:C=E957,'Students (Vertical)'!D:D&lt;&gt;"""")})&gt;1))),"""")"),"")</f>
        <v/>
      </c>
      <c r="L957" s="96"/>
      <c r="M957" s="96"/>
    </row>
    <row r="958" hidden="1">
      <c r="A958" s="8" t="s">
        <v>8</v>
      </c>
      <c r="C958" s="8" t="s">
        <v>8</v>
      </c>
      <c r="D958" s="8" t="s">
        <v>8</v>
      </c>
      <c r="F958" s="8" t="s">
        <v>8</v>
      </c>
      <c r="G958" s="8" t="s">
        <v>8</v>
      </c>
      <c r="I958" s="94" t="str">
        <f>IFERROR(__xludf.DUMMYFUNCTION("if(H958=""Must be Together"",iferror(join("", "",unique(filter({filter('Students (Vertical)'!O:O,'Students (Vertical)'!C:C=B958,'Students (Vertical)'!O:O&lt;&gt;"""");filter('Students (Vertical)'!O:O,'Students (Vertical)'!C:C=E958,'Students (Vertical)'!O:O&lt;&gt;"""&amp;""")},countifs({filter('Students (Vertical)'!O:O,'Students (Vertical)'!C:C=B958,'Students (Vertical)'!O:O&lt;&gt;"""");filter('Students (Vertical)'!O:O,'Students (Vertical)'!C:C=E958,'Students (Vertical)'!O:O&lt;&gt;"""")},{filter('Students (Vertical)'!O:O,'Students ("&amp;"Vertical)'!C:C=B958,'Students (Vertical)'!O:O&lt;&gt;"""");filter('Students (Vertical)'!O:O,'Students (Vertical)'!C:C=E958,'Students (Vertical)'!O:O&lt;&gt;"""")})&gt;1))),""No shared courses""),"""")"),"")</f>
        <v/>
      </c>
      <c r="J958" s="94" t="str">
        <f>IFERROR(__xludf.DUMMYFUNCTION("if(H958=""Can't be Together"",iferror(join("", "",unique(filter({unique(filter('Students (Vertical)'!O:O,'Students (Vertical)'!C:C=B958,'Students (Vertical)'!O:O&lt;&gt;"""",'Students (Vertical)'!P:P&gt;1));unique(filter('Students (Vertical)'!O:O,'Students (Vertic"&amp;"al)'!C:C=E958,'Students (Vertical)'!O:O&lt;&gt;"""",'Students (Vertical)'!P:P&gt;1))},countifs({unique(filter('Students (Vertical)'!O:O,'Students (Vertical)'!C:C=B958,'Students (Vertical)'!O:O&lt;&gt;"""",'Students (Vertical)'!P:P&gt;1));unique(filter('Students (Vertical)'"&amp;"!O:O,'Students (Vertical)'!C:C=E958,'Students (Vertical)'!O:O&lt;&gt;"""",'Students (Vertical)'!P:P&gt;1))},{unique(filter('Students (Vertical)'!O:O,'Students (Vertical)'!C:C=B958,'Students (Vertical)'!O:O&lt;&gt;"""",'Students (Vertical)'!P:P&gt;1));unique(filter('Student"&amp;"s (Vertical)'!O:O,'Students (Vertical)'!C:C=E958,'Students (Vertical)'!O:O&lt;&gt;"""",'Students (Vertical)'!P:P&gt;1))})&gt;1))),""""),"""")"),"")</f>
        <v/>
      </c>
      <c r="K958" s="96" t="str">
        <f>IFERROR(__xludf.DUMMYFUNCTION("iferror(join("", "",unique(filter({filter('Students (Vertical)'!D:D,'Students (Vertical)'!C:C=B958,'Students (Vertical)'!D:D&lt;&gt;"""");filter('Students (Vertical)'!D:D,'Students (Vertical)'!C:C=E958,'Students (Vertical)'!D:D&lt;&gt;"""")},countifs({filter('Student"&amp;"s (Vertical)'!D:D,'Students (Vertical)'!C:C=B958,'Students (Vertical)'!D:D&lt;&gt;"""");filter('Students (Vertical)'!D:D,'Students (Vertical)'!C:C=E958,'Students (Vertical)'!D:D&lt;&gt;"""")},{filter('Students (Vertical)'!D:D,'Students (Vertical)'!C:C=B958,'Students "&amp;"(Vertical)'!D:D&lt;&gt;"""");filter('Students (Vertical)'!D:D,'Students (Vertical)'!C:C=E958,'Students (Vertical)'!D:D&lt;&gt;"""")})&gt;1))),"""")"),"")</f>
        <v/>
      </c>
      <c r="L958" s="96"/>
      <c r="M958" s="96"/>
    </row>
    <row r="959" hidden="1">
      <c r="A959" s="8" t="s">
        <v>8</v>
      </c>
      <c r="C959" s="8" t="s">
        <v>8</v>
      </c>
      <c r="D959" s="8" t="s">
        <v>8</v>
      </c>
      <c r="F959" s="8" t="s">
        <v>8</v>
      </c>
      <c r="G959" s="8" t="s">
        <v>8</v>
      </c>
      <c r="I959" s="94" t="str">
        <f>IFERROR(__xludf.DUMMYFUNCTION("if(H959=""Must be Together"",iferror(join("", "",unique(filter({filter('Students (Vertical)'!O:O,'Students (Vertical)'!C:C=B959,'Students (Vertical)'!O:O&lt;&gt;"""");filter('Students (Vertical)'!O:O,'Students (Vertical)'!C:C=E959,'Students (Vertical)'!O:O&lt;&gt;"""&amp;""")},countifs({filter('Students (Vertical)'!O:O,'Students (Vertical)'!C:C=B959,'Students (Vertical)'!O:O&lt;&gt;"""");filter('Students (Vertical)'!O:O,'Students (Vertical)'!C:C=E959,'Students (Vertical)'!O:O&lt;&gt;"""")},{filter('Students (Vertical)'!O:O,'Students ("&amp;"Vertical)'!C:C=B959,'Students (Vertical)'!O:O&lt;&gt;"""");filter('Students (Vertical)'!O:O,'Students (Vertical)'!C:C=E959,'Students (Vertical)'!O:O&lt;&gt;"""")})&gt;1))),""No shared courses""),"""")"),"")</f>
        <v/>
      </c>
      <c r="J959" s="94" t="str">
        <f>IFERROR(__xludf.DUMMYFUNCTION("if(H959=""Can't be Together"",iferror(join("", "",unique(filter({unique(filter('Students (Vertical)'!O:O,'Students (Vertical)'!C:C=B959,'Students (Vertical)'!O:O&lt;&gt;"""",'Students (Vertical)'!P:P&gt;1));unique(filter('Students (Vertical)'!O:O,'Students (Vertic"&amp;"al)'!C:C=E959,'Students (Vertical)'!O:O&lt;&gt;"""",'Students (Vertical)'!P:P&gt;1))},countifs({unique(filter('Students (Vertical)'!O:O,'Students (Vertical)'!C:C=B959,'Students (Vertical)'!O:O&lt;&gt;"""",'Students (Vertical)'!P:P&gt;1));unique(filter('Students (Vertical)'"&amp;"!O:O,'Students (Vertical)'!C:C=E959,'Students (Vertical)'!O:O&lt;&gt;"""",'Students (Vertical)'!P:P&gt;1))},{unique(filter('Students (Vertical)'!O:O,'Students (Vertical)'!C:C=B959,'Students (Vertical)'!O:O&lt;&gt;"""",'Students (Vertical)'!P:P&gt;1));unique(filter('Student"&amp;"s (Vertical)'!O:O,'Students (Vertical)'!C:C=E959,'Students (Vertical)'!O:O&lt;&gt;"""",'Students (Vertical)'!P:P&gt;1))})&gt;1))),""""),"""")"),"")</f>
        <v/>
      </c>
      <c r="K959" s="96" t="str">
        <f>IFERROR(__xludf.DUMMYFUNCTION("iferror(join("", "",unique(filter({filter('Students (Vertical)'!D:D,'Students (Vertical)'!C:C=B959,'Students (Vertical)'!D:D&lt;&gt;"""");filter('Students (Vertical)'!D:D,'Students (Vertical)'!C:C=E959,'Students (Vertical)'!D:D&lt;&gt;"""")},countifs({filter('Student"&amp;"s (Vertical)'!D:D,'Students (Vertical)'!C:C=B959,'Students (Vertical)'!D:D&lt;&gt;"""");filter('Students (Vertical)'!D:D,'Students (Vertical)'!C:C=E959,'Students (Vertical)'!D:D&lt;&gt;"""")},{filter('Students (Vertical)'!D:D,'Students (Vertical)'!C:C=B959,'Students "&amp;"(Vertical)'!D:D&lt;&gt;"""");filter('Students (Vertical)'!D:D,'Students (Vertical)'!C:C=E959,'Students (Vertical)'!D:D&lt;&gt;"""")})&gt;1))),"""")"),"")</f>
        <v/>
      </c>
      <c r="L959" s="96"/>
      <c r="M959" s="96"/>
    </row>
    <row r="960" hidden="1">
      <c r="A960" s="8" t="s">
        <v>8</v>
      </c>
      <c r="C960" s="8" t="s">
        <v>8</v>
      </c>
      <c r="D960" s="8" t="s">
        <v>8</v>
      </c>
      <c r="F960" s="8" t="s">
        <v>8</v>
      </c>
      <c r="G960" s="8" t="s">
        <v>8</v>
      </c>
      <c r="I960" s="94" t="str">
        <f>IFERROR(__xludf.DUMMYFUNCTION("if(H960=""Must be Together"",iferror(join("", "",unique(filter({filter('Students (Vertical)'!O:O,'Students (Vertical)'!C:C=B960,'Students (Vertical)'!O:O&lt;&gt;"""");filter('Students (Vertical)'!O:O,'Students (Vertical)'!C:C=E960,'Students (Vertical)'!O:O&lt;&gt;"""&amp;""")},countifs({filter('Students (Vertical)'!O:O,'Students (Vertical)'!C:C=B960,'Students (Vertical)'!O:O&lt;&gt;"""");filter('Students (Vertical)'!O:O,'Students (Vertical)'!C:C=E960,'Students (Vertical)'!O:O&lt;&gt;"""")},{filter('Students (Vertical)'!O:O,'Students ("&amp;"Vertical)'!C:C=B960,'Students (Vertical)'!O:O&lt;&gt;"""");filter('Students (Vertical)'!O:O,'Students (Vertical)'!C:C=E960,'Students (Vertical)'!O:O&lt;&gt;"""")})&gt;1))),""No shared courses""),"""")"),"")</f>
        <v/>
      </c>
      <c r="J960" s="94" t="str">
        <f>IFERROR(__xludf.DUMMYFUNCTION("if(H960=""Can't be Together"",iferror(join("", "",unique(filter({unique(filter('Students (Vertical)'!O:O,'Students (Vertical)'!C:C=B960,'Students (Vertical)'!O:O&lt;&gt;"""",'Students (Vertical)'!P:P&gt;1));unique(filter('Students (Vertical)'!O:O,'Students (Vertic"&amp;"al)'!C:C=E960,'Students (Vertical)'!O:O&lt;&gt;"""",'Students (Vertical)'!P:P&gt;1))},countifs({unique(filter('Students (Vertical)'!O:O,'Students (Vertical)'!C:C=B960,'Students (Vertical)'!O:O&lt;&gt;"""",'Students (Vertical)'!P:P&gt;1));unique(filter('Students (Vertical)'"&amp;"!O:O,'Students (Vertical)'!C:C=E960,'Students (Vertical)'!O:O&lt;&gt;"""",'Students (Vertical)'!P:P&gt;1))},{unique(filter('Students (Vertical)'!O:O,'Students (Vertical)'!C:C=B960,'Students (Vertical)'!O:O&lt;&gt;"""",'Students (Vertical)'!P:P&gt;1));unique(filter('Student"&amp;"s (Vertical)'!O:O,'Students (Vertical)'!C:C=E960,'Students (Vertical)'!O:O&lt;&gt;"""",'Students (Vertical)'!P:P&gt;1))})&gt;1))),""""),"""")"),"")</f>
        <v/>
      </c>
      <c r="K960" s="96" t="str">
        <f>IFERROR(__xludf.DUMMYFUNCTION("iferror(join("", "",unique(filter({filter('Students (Vertical)'!D:D,'Students (Vertical)'!C:C=B960,'Students (Vertical)'!D:D&lt;&gt;"""");filter('Students (Vertical)'!D:D,'Students (Vertical)'!C:C=E960,'Students (Vertical)'!D:D&lt;&gt;"""")},countifs({filter('Student"&amp;"s (Vertical)'!D:D,'Students (Vertical)'!C:C=B960,'Students (Vertical)'!D:D&lt;&gt;"""");filter('Students (Vertical)'!D:D,'Students (Vertical)'!C:C=E960,'Students (Vertical)'!D:D&lt;&gt;"""")},{filter('Students (Vertical)'!D:D,'Students (Vertical)'!C:C=B960,'Students "&amp;"(Vertical)'!D:D&lt;&gt;"""");filter('Students (Vertical)'!D:D,'Students (Vertical)'!C:C=E960,'Students (Vertical)'!D:D&lt;&gt;"""")})&gt;1))),"""")"),"")</f>
        <v/>
      </c>
      <c r="L960" s="96"/>
      <c r="M960" s="96"/>
    </row>
    <row r="961" hidden="1">
      <c r="A961" s="8" t="s">
        <v>8</v>
      </c>
      <c r="C961" s="8" t="s">
        <v>8</v>
      </c>
      <c r="D961" s="8" t="s">
        <v>8</v>
      </c>
      <c r="F961" s="8" t="s">
        <v>8</v>
      </c>
      <c r="G961" s="8" t="s">
        <v>8</v>
      </c>
      <c r="I961" s="94" t="str">
        <f>IFERROR(__xludf.DUMMYFUNCTION("if(H961=""Must be Together"",iferror(join("", "",unique(filter({filter('Students (Vertical)'!O:O,'Students (Vertical)'!C:C=B961,'Students (Vertical)'!O:O&lt;&gt;"""");filter('Students (Vertical)'!O:O,'Students (Vertical)'!C:C=E961,'Students (Vertical)'!O:O&lt;&gt;"""&amp;""")},countifs({filter('Students (Vertical)'!O:O,'Students (Vertical)'!C:C=B961,'Students (Vertical)'!O:O&lt;&gt;"""");filter('Students (Vertical)'!O:O,'Students (Vertical)'!C:C=E961,'Students (Vertical)'!O:O&lt;&gt;"""")},{filter('Students (Vertical)'!O:O,'Students ("&amp;"Vertical)'!C:C=B961,'Students (Vertical)'!O:O&lt;&gt;"""");filter('Students (Vertical)'!O:O,'Students (Vertical)'!C:C=E961,'Students (Vertical)'!O:O&lt;&gt;"""")})&gt;1))),""No shared courses""),"""")"),"")</f>
        <v/>
      </c>
      <c r="J961" s="94" t="str">
        <f>IFERROR(__xludf.DUMMYFUNCTION("if(H961=""Can't be Together"",iferror(join("", "",unique(filter({unique(filter('Students (Vertical)'!O:O,'Students (Vertical)'!C:C=B961,'Students (Vertical)'!O:O&lt;&gt;"""",'Students (Vertical)'!P:P&gt;1));unique(filter('Students (Vertical)'!O:O,'Students (Vertic"&amp;"al)'!C:C=E961,'Students (Vertical)'!O:O&lt;&gt;"""",'Students (Vertical)'!P:P&gt;1))},countifs({unique(filter('Students (Vertical)'!O:O,'Students (Vertical)'!C:C=B961,'Students (Vertical)'!O:O&lt;&gt;"""",'Students (Vertical)'!P:P&gt;1));unique(filter('Students (Vertical)'"&amp;"!O:O,'Students (Vertical)'!C:C=E961,'Students (Vertical)'!O:O&lt;&gt;"""",'Students (Vertical)'!P:P&gt;1))},{unique(filter('Students (Vertical)'!O:O,'Students (Vertical)'!C:C=B961,'Students (Vertical)'!O:O&lt;&gt;"""",'Students (Vertical)'!P:P&gt;1));unique(filter('Student"&amp;"s (Vertical)'!O:O,'Students (Vertical)'!C:C=E961,'Students (Vertical)'!O:O&lt;&gt;"""",'Students (Vertical)'!P:P&gt;1))})&gt;1))),""""),"""")"),"")</f>
        <v/>
      </c>
      <c r="K961" s="96" t="str">
        <f>IFERROR(__xludf.DUMMYFUNCTION("iferror(join("", "",unique(filter({filter('Students (Vertical)'!D:D,'Students (Vertical)'!C:C=B961,'Students (Vertical)'!D:D&lt;&gt;"""");filter('Students (Vertical)'!D:D,'Students (Vertical)'!C:C=E961,'Students (Vertical)'!D:D&lt;&gt;"""")},countifs({filter('Student"&amp;"s (Vertical)'!D:D,'Students (Vertical)'!C:C=B961,'Students (Vertical)'!D:D&lt;&gt;"""");filter('Students (Vertical)'!D:D,'Students (Vertical)'!C:C=E961,'Students (Vertical)'!D:D&lt;&gt;"""")},{filter('Students (Vertical)'!D:D,'Students (Vertical)'!C:C=B961,'Students "&amp;"(Vertical)'!D:D&lt;&gt;"""");filter('Students (Vertical)'!D:D,'Students (Vertical)'!C:C=E961,'Students (Vertical)'!D:D&lt;&gt;"""")})&gt;1))),"""")"),"")</f>
        <v/>
      </c>
      <c r="L961" s="96"/>
      <c r="M961" s="96"/>
    </row>
    <row r="962" hidden="1">
      <c r="A962" s="8" t="s">
        <v>8</v>
      </c>
      <c r="C962" s="8" t="s">
        <v>8</v>
      </c>
      <c r="D962" s="8" t="s">
        <v>8</v>
      </c>
      <c r="F962" s="8" t="s">
        <v>8</v>
      </c>
      <c r="G962" s="8" t="s">
        <v>8</v>
      </c>
      <c r="I962" s="94" t="str">
        <f>IFERROR(__xludf.DUMMYFUNCTION("if(H962=""Must be Together"",iferror(join("", "",unique(filter({filter('Students (Vertical)'!O:O,'Students (Vertical)'!C:C=B962,'Students (Vertical)'!O:O&lt;&gt;"""");filter('Students (Vertical)'!O:O,'Students (Vertical)'!C:C=E962,'Students (Vertical)'!O:O&lt;&gt;"""&amp;""")},countifs({filter('Students (Vertical)'!O:O,'Students (Vertical)'!C:C=B962,'Students (Vertical)'!O:O&lt;&gt;"""");filter('Students (Vertical)'!O:O,'Students (Vertical)'!C:C=E962,'Students (Vertical)'!O:O&lt;&gt;"""")},{filter('Students (Vertical)'!O:O,'Students ("&amp;"Vertical)'!C:C=B962,'Students (Vertical)'!O:O&lt;&gt;"""");filter('Students (Vertical)'!O:O,'Students (Vertical)'!C:C=E962,'Students (Vertical)'!O:O&lt;&gt;"""")})&gt;1))),""No shared courses""),"""")"),"")</f>
        <v/>
      </c>
      <c r="J962" s="94" t="str">
        <f>IFERROR(__xludf.DUMMYFUNCTION("if(H962=""Can't be Together"",iferror(join("", "",unique(filter({unique(filter('Students (Vertical)'!O:O,'Students (Vertical)'!C:C=B962,'Students (Vertical)'!O:O&lt;&gt;"""",'Students (Vertical)'!P:P&gt;1));unique(filter('Students (Vertical)'!O:O,'Students (Vertic"&amp;"al)'!C:C=E962,'Students (Vertical)'!O:O&lt;&gt;"""",'Students (Vertical)'!P:P&gt;1))},countifs({unique(filter('Students (Vertical)'!O:O,'Students (Vertical)'!C:C=B962,'Students (Vertical)'!O:O&lt;&gt;"""",'Students (Vertical)'!P:P&gt;1));unique(filter('Students (Vertical)'"&amp;"!O:O,'Students (Vertical)'!C:C=E962,'Students (Vertical)'!O:O&lt;&gt;"""",'Students (Vertical)'!P:P&gt;1))},{unique(filter('Students (Vertical)'!O:O,'Students (Vertical)'!C:C=B962,'Students (Vertical)'!O:O&lt;&gt;"""",'Students (Vertical)'!P:P&gt;1));unique(filter('Student"&amp;"s (Vertical)'!O:O,'Students (Vertical)'!C:C=E962,'Students (Vertical)'!O:O&lt;&gt;"""",'Students (Vertical)'!P:P&gt;1))})&gt;1))),""""),"""")"),"")</f>
        <v/>
      </c>
      <c r="K962" s="96" t="str">
        <f>IFERROR(__xludf.DUMMYFUNCTION("iferror(join("", "",unique(filter({filter('Students (Vertical)'!D:D,'Students (Vertical)'!C:C=B962,'Students (Vertical)'!D:D&lt;&gt;"""");filter('Students (Vertical)'!D:D,'Students (Vertical)'!C:C=E962,'Students (Vertical)'!D:D&lt;&gt;"""")},countifs({filter('Student"&amp;"s (Vertical)'!D:D,'Students (Vertical)'!C:C=B962,'Students (Vertical)'!D:D&lt;&gt;"""");filter('Students (Vertical)'!D:D,'Students (Vertical)'!C:C=E962,'Students (Vertical)'!D:D&lt;&gt;"""")},{filter('Students (Vertical)'!D:D,'Students (Vertical)'!C:C=B962,'Students "&amp;"(Vertical)'!D:D&lt;&gt;"""");filter('Students (Vertical)'!D:D,'Students (Vertical)'!C:C=E962,'Students (Vertical)'!D:D&lt;&gt;"""")})&gt;1))),"""")"),"")</f>
        <v/>
      </c>
      <c r="L962" s="96"/>
      <c r="M962" s="96"/>
    </row>
    <row r="963" hidden="1">
      <c r="A963" s="8" t="s">
        <v>8</v>
      </c>
      <c r="C963" s="8" t="s">
        <v>8</v>
      </c>
      <c r="D963" s="8" t="s">
        <v>8</v>
      </c>
      <c r="F963" s="8" t="s">
        <v>8</v>
      </c>
      <c r="G963" s="8" t="s">
        <v>8</v>
      </c>
      <c r="I963" s="94" t="str">
        <f>IFERROR(__xludf.DUMMYFUNCTION("if(H963=""Must be Together"",iferror(join("", "",unique(filter({filter('Students (Vertical)'!O:O,'Students (Vertical)'!C:C=B963,'Students (Vertical)'!O:O&lt;&gt;"""");filter('Students (Vertical)'!O:O,'Students (Vertical)'!C:C=E963,'Students (Vertical)'!O:O&lt;&gt;"""&amp;""")},countifs({filter('Students (Vertical)'!O:O,'Students (Vertical)'!C:C=B963,'Students (Vertical)'!O:O&lt;&gt;"""");filter('Students (Vertical)'!O:O,'Students (Vertical)'!C:C=E963,'Students (Vertical)'!O:O&lt;&gt;"""")},{filter('Students (Vertical)'!O:O,'Students ("&amp;"Vertical)'!C:C=B963,'Students (Vertical)'!O:O&lt;&gt;"""");filter('Students (Vertical)'!O:O,'Students (Vertical)'!C:C=E963,'Students (Vertical)'!O:O&lt;&gt;"""")})&gt;1))),""No shared courses""),"""")"),"")</f>
        <v/>
      </c>
      <c r="J963" s="94" t="str">
        <f>IFERROR(__xludf.DUMMYFUNCTION("if(H963=""Can't be Together"",iferror(join("", "",unique(filter({unique(filter('Students (Vertical)'!O:O,'Students (Vertical)'!C:C=B963,'Students (Vertical)'!O:O&lt;&gt;"""",'Students (Vertical)'!P:P&gt;1));unique(filter('Students (Vertical)'!O:O,'Students (Vertic"&amp;"al)'!C:C=E963,'Students (Vertical)'!O:O&lt;&gt;"""",'Students (Vertical)'!P:P&gt;1))},countifs({unique(filter('Students (Vertical)'!O:O,'Students (Vertical)'!C:C=B963,'Students (Vertical)'!O:O&lt;&gt;"""",'Students (Vertical)'!P:P&gt;1));unique(filter('Students (Vertical)'"&amp;"!O:O,'Students (Vertical)'!C:C=E963,'Students (Vertical)'!O:O&lt;&gt;"""",'Students (Vertical)'!P:P&gt;1))},{unique(filter('Students (Vertical)'!O:O,'Students (Vertical)'!C:C=B963,'Students (Vertical)'!O:O&lt;&gt;"""",'Students (Vertical)'!P:P&gt;1));unique(filter('Student"&amp;"s (Vertical)'!O:O,'Students (Vertical)'!C:C=E963,'Students (Vertical)'!O:O&lt;&gt;"""",'Students (Vertical)'!P:P&gt;1))})&gt;1))),""""),"""")"),"")</f>
        <v/>
      </c>
      <c r="K963" s="96" t="str">
        <f>IFERROR(__xludf.DUMMYFUNCTION("iferror(join("", "",unique(filter({filter('Students (Vertical)'!D:D,'Students (Vertical)'!C:C=B963,'Students (Vertical)'!D:D&lt;&gt;"""");filter('Students (Vertical)'!D:D,'Students (Vertical)'!C:C=E963,'Students (Vertical)'!D:D&lt;&gt;"""")},countifs({filter('Student"&amp;"s (Vertical)'!D:D,'Students (Vertical)'!C:C=B963,'Students (Vertical)'!D:D&lt;&gt;"""");filter('Students (Vertical)'!D:D,'Students (Vertical)'!C:C=E963,'Students (Vertical)'!D:D&lt;&gt;"""")},{filter('Students (Vertical)'!D:D,'Students (Vertical)'!C:C=B963,'Students "&amp;"(Vertical)'!D:D&lt;&gt;"""");filter('Students (Vertical)'!D:D,'Students (Vertical)'!C:C=E963,'Students (Vertical)'!D:D&lt;&gt;"""")})&gt;1))),"""")"),"")</f>
        <v/>
      </c>
      <c r="L963" s="96"/>
      <c r="M963" s="96"/>
    </row>
    <row r="964" hidden="1">
      <c r="A964" s="8" t="s">
        <v>8</v>
      </c>
      <c r="C964" s="8" t="s">
        <v>8</v>
      </c>
      <c r="D964" s="8" t="s">
        <v>8</v>
      </c>
      <c r="F964" s="8" t="s">
        <v>8</v>
      </c>
      <c r="G964" s="8" t="s">
        <v>8</v>
      </c>
      <c r="I964" s="94" t="str">
        <f>IFERROR(__xludf.DUMMYFUNCTION("if(H964=""Must be Together"",iferror(join("", "",unique(filter({filter('Students (Vertical)'!O:O,'Students (Vertical)'!C:C=B964,'Students (Vertical)'!O:O&lt;&gt;"""");filter('Students (Vertical)'!O:O,'Students (Vertical)'!C:C=E964,'Students (Vertical)'!O:O&lt;&gt;"""&amp;""")},countifs({filter('Students (Vertical)'!O:O,'Students (Vertical)'!C:C=B964,'Students (Vertical)'!O:O&lt;&gt;"""");filter('Students (Vertical)'!O:O,'Students (Vertical)'!C:C=E964,'Students (Vertical)'!O:O&lt;&gt;"""")},{filter('Students (Vertical)'!O:O,'Students ("&amp;"Vertical)'!C:C=B964,'Students (Vertical)'!O:O&lt;&gt;"""");filter('Students (Vertical)'!O:O,'Students (Vertical)'!C:C=E964,'Students (Vertical)'!O:O&lt;&gt;"""")})&gt;1))),""No shared courses""),"""")"),"")</f>
        <v/>
      </c>
      <c r="J964" s="94" t="str">
        <f>IFERROR(__xludf.DUMMYFUNCTION("if(H964=""Can't be Together"",iferror(join("", "",unique(filter({unique(filter('Students (Vertical)'!O:O,'Students (Vertical)'!C:C=B964,'Students (Vertical)'!O:O&lt;&gt;"""",'Students (Vertical)'!P:P&gt;1));unique(filter('Students (Vertical)'!O:O,'Students (Vertic"&amp;"al)'!C:C=E964,'Students (Vertical)'!O:O&lt;&gt;"""",'Students (Vertical)'!P:P&gt;1))},countifs({unique(filter('Students (Vertical)'!O:O,'Students (Vertical)'!C:C=B964,'Students (Vertical)'!O:O&lt;&gt;"""",'Students (Vertical)'!P:P&gt;1));unique(filter('Students (Vertical)'"&amp;"!O:O,'Students (Vertical)'!C:C=E964,'Students (Vertical)'!O:O&lt;&gt;"""",'Students (Vertical)'!P:P&gt;1))},{unique(filter('Students (Vertical)'!O:O,'Students (Vertical)'!C:C=B964,'Students (Vertical)'!O:O&lt;&gt;"""",'Students (Vertical)'!P:P&gt;1));unique(filter('Student"&amp;"s (Vertical)'!O:O,'Students (Vertical)'!C:C=E964,'Students (Vertical)'!O:O&lt;&gt;"""",'Students (Vertical)'!P:P&gt;1))})&gt;1))),""""),"""")"),"")</f>
        <v/>
      </c>
      <c r="K964" s="96" t="str">
        <f>IFERROR(__xludf.DUMMYFUNCTION("iferror(join("", "",unique(filter({filter('Students (Vertical)'!D:D,'Students (Vertical)'!C:C=B964,'Students (Vertical)'!D:D&lt;&gt;"""");filter('Students (Vertical)'!D:D,'Students (Vertical)'!C:C=E964,'Students (Vertical)'!D:D&lt;&gt;"""")},countifs({filter('Student"&amp;"s (Vertical)'!D:D,'Students (Vertical)'!C:C=B964,'Students (Vertical)'!D:D&lt;&gt;"""");filter('Students (Vertical)'!D:D,'Students (Vertical)'!C:C=E964,'Students (Vertical)'!D:D&lt;&gt;"""")},{filter('Students (Vertical)'!D:D,'Students (Vertical)'!C:C=B964,'Students "&amp;"(Vertical)'!D:D&lt;&gt;"""");filter('Students (Vertical)'!D:D,'Students (Vertical)'!C:C=E964,'Students (Vertical)'!D:D&lt;&gt;"""")})&gt;1))),"""")"),"")</f>
        <v/>
      </c>
      <c r="L964" s="96"/>
      <c r="M964" s="96"/>
    </row>
    <row r="965" hidden="1">
      <c r="A965" s="8" t="s">
        <v>8</v>
      </c>
      <c r="C965" s="8" t="s">
        <v>8</v>
      </c>
      <c r="D965" s="8" t="s">
        <v>8</v>
      </c>
      <c r="F965" s="8" t="s">
        <v>8</v>
      </c>
      <c r="G965" s="8" t="s">
        <v>8</v>
      </c>
      <c r="I965" s="94" t="str">
        <f>IFERROR(__xludf.DUMMYFUNCTION("if(H965=""Must be Together"",iferror(join("", "",unique(filter({filter('Students (Vertical)'!O:O,'Students (Vertical)'!C:C=B965,'Students (Vertical)'!O:O&lt;&gt;"""");filter('Students (Vertical)'!O:O,'Students (Vertical)'!C:C=E965,'Students (Vertical)'!O:O&lt;&gt;"""&amp;""")},countifs({filter('Students (Vertical)'!O:O,'Students (Vertical)'!C:C=B965,'Students (Vertical)'!O:O&lt;&gt;"""");filter('Students (Vertical)'!O:O,'Students (Vertical)'!C:C=E965,'Students (Vertical)'!O:O&lt;&gt;"""")},{filter('Students (Vertical)'!O:O,'Students ("&amp;"Vertical)'!C:C=B965,'Students (Vertical)'!O:O&lt;&gt;"""");filter('Students (Vertical)'!O:O,'Students (Vertical)'!C:C=E965,'Students (Vertical)'!O:O&lt;&gt;"""")})&gt;1))),""No shared courses""),"""")"),"")</f>
        <v/>
      </c>
      <c r="J965" s="94" t="str">
        <f>IFERROR(__xludf.DUMMYFUNCTION("if(H965=""Can't be Together"",iferror(join("", "",unique(filter({unique(filter('Students (Vertical)'!O:O,'Students (Vertical)'!C:C=B965,'Students (Vertical)'!O:O&lt;&gt;"""",'Students (Vertical)'!P:P&gt;1));unique(filter('Students (Vertical)'!O:O,'Students (Vertic"&amp;"al)'!C:C=E965,'Students (Vertical)'!O:O&lt;&gt;"""",'Students (Vertical)'!P:P&gt;1))},countifs({unique(filter('Students (Vertical)'!O:O,'Students (Vertical)'!C:C=B965,'Students (Vertical)'!O:O&lt;&gt;"""",'Students (Vertical)'!P:P&gt;1));unique(filter('Students (Vertical)'"&amp;"!O:O,'Students (Vertical)'!C:C=E965,'Students (Vertical)'!O:O&lt;&gt;"""",'Students (Vertical)'!P:P&gt;1))},{unique(filter('Students (Vertical)'!O:O,'Students (Vertical)'!C:C=B965,'Students (Vertical)'!O:O&lt;&gt;"""",'Students (Vertical)'!P:P&gt;1));unique(filter('Student"&amp;"s (Vertical)'!O:O,'Students (Vertical)'!C:C=E965,'Students (Vertical)'!O:O&lt;&gt;"""",'Students (Vertical)'!P:P&gt;1))})&gt;1))),""""),"""")"),"")</f>
        <v/>
      </c>
      <c r="K965" s="96" t="str">
        <f>IFERROR(__xludf.DUMMYFUNCTION("iferror(join("", "",unique(filter({filter('Students (Vertical)'!D:D,'Students (Vertical)'!C:C=B965,'Students (Vertical)'!D:D&lt;&gt;"""");filter('Students (Vertical)'!D:D,'Students (Vertical)'!C:C=E965,'Students (Vertical)'!D:D&lt;&gt;"""")},countifs({filter('Student"&amp;"s (Vertical)'!D:D,'Students (Vertical)'!C:C=B965,'Students (Vertical)'!D:D&lt;&gt;"""");filter('Students (Vertical)'!D:D,'Students (Vertical)'!C:C=E965,'Students (Vertical)'!D:D&lt;&gt;"""")},{filter('Students (Vertical)'!D:D,'Students (Vertical)'!C:C=B965,'Students "&amp;"(Vertical)'!D:D&lt;&gt;"""");filter('Students (Vertical)'!D:D,'Students (Vertical)'!C:C=E965,'Students (Vertical)'!D:D&lt;&gt;"""")})&gt;1))),"""")"),"")</f>
        <v/>
      </c>
      <c r="L965" s="96"/>
      <c r="M965" s="96"/>
    </row>
    <row r="966" hidden="1">
      <c r="A966" s="8" t="s">
        <v>8</v>
      </c>
      <c r="C966" s="8" t="s">
        <v>8</v>
      </c>
      <c r="D966" s="8" t="s">
        <v>8</v>
      </c>
      <c r="F966" s="8" t="s">
        <v>8</v>
      </c>
      <c r="G966" s="8" t="s">
        <v>8</v>
      </c>
      <c r="I966" s="94" t="str">
        <f>IFERROR(__xludf.DUMMYFUNCTION("if(H966=""Must be Together"",iferror(join("", "",unique(filter({filter('Students (Vertical)'!O:O,'Students (Vertical)'!C:C=B966,'Students (Vertical)'!O:O&lt;&gt;"""");filter('Students (Vertical)'!O:O,'Students (Vertical)'!C:C=E966,'Students (Vertical)'!O:O&lt;&gt;"""&amp;""")},countifs({filter('Students (Vertical)'!O:O,'Students (Vertical)'!C:C=B966,'Students (Vertical)'!O:O&lt;&gt;"""");filter('Students (Vertical)'!O:O,'Students (Vertical)'!C:C=E966,'Students (Vertical)'!O:O&lt;&gt;"""")},{filter('Students (Vertical)'!O:O,'Students ("&amp;"Vertical)'!C:C=B966,'Students (Vertical)'!O:O&lt;&gt;"""");filter('Students (Vertical)'!O:O,'Students (Vertical)'!C:C=E966,'Students (Vertical)'!O:O&lt;&gt;"""")})&gt;1))),""No shared courses""),"""")"),"")</f>
        <v/>
      </c>
      <c r="J966" s="94" t="str">
        <f>IFERROR(__xludf.DUMMYFUNCTION("if(H966=""Can't be Together"",iferror(join("", "",unique(filter({unique(filter('Students (Vertical)'!O:O,'Students (Vertical)'!C:C=B966,'Students (Vertical)'!O:O&lt;&gt;"""",'Students (Vertical)'!P:P&gt;1));unique(filter('Students (Vertical)'!O:O,'Students (Vertic"&amp;"al)'!C:C=E966,'Students (Vertical)'!O:O&lt;&gt;"""",'Students (Vertical)'!P:P&gt;1))},countifs({unique(filter('Students (Vertical)'!O:O,'Students (Vertical)'!C:C=B966,'Students (Vertical)'!O:O&lt;&gt;"""",'Students (Vertical)'!P:P&gt;1));unique(filter('Students (Vertical)'"&amp;"!O:O,'Students (Vertical)'!C:C=E966,'Students (Vertical)'!O:O&lt;&gt;"""",'Students (Vertical)'!P:P&gt;1))},{unique(filter('Students (Vertical)'!O:O,'Students (Vertical)'!C:C=B966,'Students (Vertical)'!O:O&lt;&gt;"""",'Students (Vertical)'!P:P&gt;1));unique(filter('Student"&amp;"s (Vertical)'!O:O,'Students (Vertical)'!C:C=E966,'Students (Vertical)'!O:O&lt;&gt;"""",'Students (Vertical)'!P:P&gt;1))})&gt;1))),""""),"""")"),"")</f>
        <v/>
      </c>
      <c r="K966" s="96" t="str">
        <f>IFERROR(__xludf.DUMMYFUNCTION("iferror(join("", "",unique(filter({filter('Students (Vertical)'!D:D,'Students (Vertical)'!C:C=B966,'Students (Vertical)'!D:D&lt;&gt;"""");filter('Students (Vertical)'!D:D,'Students (Vertical)'!C:C=E966,'Students (Vertical)'!D:D&lt;&gt;"""")},countifs({filter('Student"&amp;"s (Vertical)'!D:D,'Students (Vertical)'!C:C=B966,'Students (Vertical)'!D:D&lt;&gt;"""");filter('Students (Vertical)'!D:D,'Students (Vertical)'!C:C=E966,'Students (Vertical)'!D:D&lt;&gt;"""")},{filter('Students (Vertical)'!D:D,'Students (Vertical)'!C:C=B966,'Students "&amp;"(Vertical)'!D:D&lt;&gt;"""");filter('Students (Vertical)'!D:D,'Students (Vertical)'!C:C=E966,'Students (Vertical)'!D:D&lt;&gt;"""")})&gt;1))),"""")"),"")</f>
        <v/>
      </c>
      <c r="L966" s="96"/>
      <c r="M966" s="96"/>
    </row>
    <row r="967" hidden="1">
      <c r="A967" s="8" t="s">
        <v>8</v>
      </c>
      <c r="C967" s="8" t="s">
        <v>8</v>
      </c>
      <c r="D967" s="8" t="s">
        <v>8</v>
      </c>
      <c r="F967" s="8" t="s">
        <v>8</v>
      </c>
      <c r="G967" s="8" t="s">
        <v>8</v>
      </c>
      <c r="I967" s="94" t="str">
        <f>IFERROR(__xludf.DUMMYFUNCTION("if(H967=""Must be Together"",iferror(join("", "",unique(filter({filter('Students (Vertical)'!O:O,'Students (Vertical)'!C:C=B967,'Students (Vertical)'!O:O&lt;&gt;"""");filter('Students (Vertical)'!O:O,'Students (Vertical)'!C:C=E967,'Students (Vertical)'!O:O&lt;&gt;"""&amp;""")},countifs({filter('Students (Vertical)'!O:O,'Students (Vertical)'!C:C=B967,'Students (Vertical)'!O:O&lt;&gt;"""");filter('Students (Vertical)'!O:O,'Students (Vertical)'!C:C=E967,'Students (Vertical)'!O:O&lt;&gt;"""")},{filter('Students (Vertical)'!O:O,'Students ("&amp;"Vertical)'!C:C=B967,'Students (Vertical)'!O:O&lt;&gt;"""");filter('Students (Vertical)'!O:O,'Students (Vertical)'!C:C=E967,'Students (Vertical)'!O:O&lt;&gt;"""")})&gt;1))),""No shared courses""),"""")"),"")</f>
        <v/>
      </c>
      <c r="J967" s="94" t="str">
        <f>IFERROR(__xludf.DUMMYFUNCTION("if(H967=""Can't be Together"",iferror(join("", "",unique(filter({unique(filter('Students (Vertical)'!O:O,'Students (Vertical)'!C:C=B967,'Students (Vertical)'!O:O&lt;&gt;"""",'Students (Vertical)'!P:P&gt;1));unique(filter('Students (Vertical)'!O:O,'Students (Vertic"&amp;"al)'!C:C=E967,'Students (Vertical)'!O:O&lt;&gt;"""",'Students (Vertical)'!P:P&gt;1))},countifs({unique(filter('Students (Vertical)'!O:O,'Students (Vertical)'!C:C=B967,'Students (Vertical)'!O:O&lt;&gt;"""",'Students (Vertical)'!P:P&gt;1));unique(filter('Students (Vertical)'"&amp;"!O:O,'Students (Vertical)'!C:C=E967,'Students (Vertical)'!O:O&lt;&gt;"""",'Students (Vertical)'!P:P&gt;1))},{unique(filter('Students (Vertical)'!O:O,'Students (Vertical)'!C:C=B967,'Students (Vertical)'!O:O&lt;&gt;"""",'Students (Vertical)'!P:P&gt;1));unique(filter('Student"&amp;"s (Vertical)'!O:O,'Students (Vertical)'!C:C=E967,'Students (Vertical)'!O:O&lt;&gt;"""",'Students (Vertical)'!P:P&gt;1))})&gt;1))),""""),"""")"),"")</f>
        <v/>
      </c>
      <c r="K967" s="96" t="str">
        <f>IFERROR(__xludf.DUMMYFUNCTION("iferror(join("", "",unique(filter({filter('Students (Vertical)'!D:D,'Students (Vertical)'!C:C=B967,'Students (Vertical)'!D:D&lt;&gt;"""");filter('Students (Vertical)'!D:D,'Students (Vertical)'!C:C=E967,'Students (Vertical)'!D:D&lt;&gt;"""")},countifs({filter('Student"&amp;"s (Vertical)'!D:D,'Students (Vertical)'!C:C=B967,'Students (Vertical)'!D:D&lt;&gt;"""");filter('Students (Vertical)'!D:D,'Students (Vertical)'!C:C=E967,'Students (Vertical)'!D:D&lt;&gt;"""")},{filter('Students (Vertical)'!D:D,'Students (Vertical)'!C:C=B967,'Students "&amp;"(Vertical)'!D:D&lt;&gt;"""");filter('Students (Vertical)'!D:D,'Students (Vertical)'!C:C=E967,'Students (Vertical)'!D:D&lt;&gt;"""")})&gt;1))),"""")"),"")</f>
        <v/>
      </c>
      <c r="L967" s="96"/>
      <c r="M967" s="96"/>
    </row>
    <row r="968" hidden="1">
      <c r="A968" s="8" t="s">
        <v>8</v>
      </c>
      <c r="C968" s="8" t="s">
        <v>8</v>
      </c>
      <c r="D968" s="8" t="s">
        <v>8</v>
      </c>
      <c r="F968" s="8" t="s">
        <v>8</v>
      </c>
      <c r="G968" s="8" t="s">
        <v>8</v>
      </c>
      <c r="I968" s="94" t="str">
        <f>IFERROR(__xludf.DUMMYFUNCTION("if(H968=""Must be Together"",iferror(join("", "",unique(filter({filter('Students (Vertical)'!O:O,'Students (Vertical)'!C:C=B968,'Students (Vertical)'!O:O&lt;&gt;"""");filter('Students (Vertical)'!O:O,'Students (Vertical)'!C:C=E968,'Students (Vertical)'!O:O&lt;&gt;"""&amp;""")},countifs({filter('Students (Vertical)'!O:O,'Students (Vertical)'!C:C=B968,'Students (Vertical)'!O:O&lt;&gt;"""");filter('Students (Vertical)'!O:O,'Students (Vertical)'!C:C=E968,'Students (Vertical)'!O:O&lt;&gt;"""")},{filter('Students (Vertical)'!O:O,'Students ("&amp;"Vertical)'!C:C=B968,'Students (Vertical)'!O:O&lt;&gt;"""");filter('Students (Vertical)'!O:O,'Students (Vertical)'!C:C=E968,'Students (Vertical)'!O:O&lt;&gt;"""")})&gt;1))),""No shared courses""),"""")"),"")</f>
        <v/>
      </c>
      <c r="J968" s="94" t="str">
        <f>IFERROR(__xludf.DUMMYFUNCTION("if(H968=""Can't be Together"",iferror(join("", "",unique(filter({unique(filter('Students (Vertical)'!O:O,'Students (Vertical)'!C:C=B968,'Students (Vertical)'!O:O&lt;&gt;"""",'Students (Vertical)'!P:P&gt;1));unique(filter('Students (Vertical)'!O:O,'Students (Vertic"&amp;"al)'!C:C=E968,'Students (Vertical)'!O:O&lt;&gt;"""",'Students (Vertical)'!P:P&gt;1))},countifs({unique(filter('Students (Vertical)'!O:O,'Students (Vertical)'!C:C=B968,'Students (Vertical)'!O:O&lt;&gt;"""",'Students (Vertical)'!P:P&gt;1));unique(filter('Students (Vertical)'"&amp;"!O:O,'Students (Vertical)'!C:C=E968,'Students (Vertical)'!O:O&lt;&gt;"""",'Students (Vertical)'!P:P&gt;1))},{unique(filter('Students (Vertical)'!O:O,'Students (Vertical)'!C:C=B968,'Students (Vertical)'!O:O&lt;&gt;"""",'Students (Vertical)'!P:P&gt;1));unique(filter('Student"&amp;"s (Vertical)'!O:O,'Students (Vertical)'!C:C=E968,'Students (Vertical)'!O:O&lt;&gt;"""",'Students (Vertical)'!P:P&gt;1))})&gt;1))),""""),"""")"),"")</f>
        <v/>
      </c>
      <c r="K968" s="96" t="str">
        <f>IFERROR(__xludf.DUMMYFUNCTION("iferror(join("", "",unique(filter({filter('Students (Vertical)'!D:D,'Students (Vertical)'!C:C=B968,'Students (Vertical)'!D:D&lt;&gt;"""");filter('Students (Vertical)'!D:D,'Students (Vertical)'!C:C=E968,'Students (Vertical)'!D:D&lt;&gt;"""")},countifs({filter('Student"&amp;"s (Vertical)'!D:D,'Students (Vertical)'!C:C=B968,'Students (Vertical)'!D:D&lt;&gt;"""");filter('Students (Vertical)'!D:D,'Students (Vertical)'!C:C=E968,'Students (Vertical)'!D:D&lt;&gt;"""")},{filter('Students (Vertical)'!D:D,'Students (Vertical)'!C:C=B968,'Students "&amp;"(Vertical)'!D:D&lt;&gt;"""");filter('Students (Vertical)'!D:D,'Students (Vertical)'!C:C=E968,'Students (Vertical)'!D:D&lt;&gt;"""")})&gt;1))),"""")"),"")</f>
        <v/>
      </c>
      <c r="L968" s="96"/>
      <c r="M968" s="96"/>
    </row>
    <row r="969" hidden="1">
      <c r="A969" s="8" t="s">
        <v>8</v>
      </c>
      <c r="C969" s="8" t="s">
        <v>8</v>
      </c>
      <c r="D969" s="8" t="s">
        <v>8</v>
      </c>
      <c r="F969" s="8" t="s">
        <v>8</v>
      </c>
      <c r="G969" s="8" t="s">
        <v>8</v>
      </c>
      <c r="I969" s="94" t="str">
        <f>IFERROR(__xludf.DUMMYFUNCTION("if(H969=""Must be Together"",iferror(join("", "",unique(filter({filter('Students (Vertical)'!O:O,'Students (Vertical)'!C:C=B969,'Students (Vertical)'!O:O&lt;&gt;"""");filter('Students (Vertical)'!O:O,'Students (Vertical)'!C:C=E969,'Students (Vertical)'!O:O&lt;&gt;"""&amp;""")},countifs({filter('Students (Vertical)'!O:O,'Students (Vertical)'!C:C=B969,'Students (Vertical)'!O:O&lt;&gt;"""");filter('Students (Vertical)'!O:O,'Students (Vertical)'!C:C=E969,'Students (Vertical)'!O:O&lt;&gt;"""")},{filter('Students (Vertical)'!O:O,'Students ("&amp;"Vertical)'!C:C=B969,'Students (Vertical)'!O:O&lt;&gt;"""");filter('Students (Vertical)'!O:O,'Students (Vertical)'!C:C=E969,'Students (Vertical)'!O:O&lt;&gt;"""")})&gt;1))),""No shared courses""),"""")"),"")</f>
        <v/>
      </c>
      <c r="J969" s="94" t="str">
        <f>IFERROR(__xludf.DUMMYFUNCTION("if(H969=""Can't be Together"",iferror(join("", "",unique(filter({unique(filter('Students (Vertical)'!O:O,'Students (Vertical)'!C:C=B969,'Students (Vertical)'!O:O&lt;&gt;"""",'Students (Vertical)'!P:P&gt;1));unique(filter('Students (Vertical)'!O:O,'Students (Vertic"&amp;"al)'!C:C=E969,'Students (Vertical)'!O:O&lt;&gt;"""",'Students (Vertical)'!P:P&gt;1))},countifs({unique(filter('Students (Vertical)'!O:O,'Students (Vertical)'!C:C=B969,'Students (Vertical)'!O:O&lt;&gt;"""",'Students (Vertical)'!P:P&gt;1));unique(filter('Students (Vertical)'"&amp;"!O:O,'Students (Vertical)'!C:C=E969,'Students (Vertical)'!O:O&lt;&gt;"""",'Students (Vertical)'!P:P&gt;1))},{unique(filter('Students (Vertical)'!O:O,'Students (Vertical)'!C:C=B969,'Students (Vertical)'!O:O&lt;&gt;"""",'Students (Vertical)'!P:P&gt;1));unique(filter('Student"&amp;"s (Vertical)'!O:O,'Students (Vertical)'!C:C=E969,'Students (Vertical)'!O:O&lt;&gt;"""",'Students (Vertical)'!P:P&gt;1))})&gt;1))),""""),"""")"),"")</f>
        <v/>
      </c>
      <c r="K969" s="96" t="str">
        <f>IFERROR(__xludf.DUMMYFUNCTION("iferror(join("", "",unique(filter({filter('Students (Vertical)'!D:D,'Students (Vertical)'!C:C=B969,'Students (Vertical)'!D:D&lt;&gt;"""");filter('Students (Vertical)'!D:D,'Students (Vertical)'!C:C=E969,'Students (Vertical)'!D:D&lt;&gt;"""")},countifs({filter('Student"&amp;"s (Vertical)'!D:D,'Students (Vertical)'!C:C=B969,'Students (Vertical)'!D:D&lt;&gt;"""");filter('Students (Vertical)'!D:D,'Students (Vertical)'!C:C=E969,'Students (Vertical)'!D:D&lt;&gt;"""")},{filter('Students (Vertical)'!D:D,'Students (Vertical)'!C:C=B969,'Students "&amp;"(Vertical)'!D:D&lt;&gt;"""");filter('Students (Vertical)'!D:D,'Students (Vertical)'!C:C=E969,'Students (Vertical)'!D:D&lt;&gt;"""")})&gt;1))),"""")"),"")</f>
        <v/>
      </c>
      <c r="L969" s="96"/>
      <c r="M969" s="96"/>
    </row>
    <row r="970" hidden="1">
      <c r="A970" s="8" t="s">
        <v>8</v>
      </c>
      <c r="C970" s="8" t="s">
        <v>8</v>
      </c>
      <c r="D970" s="8" t="s">
        <v>8</v>
      </c>
      <c r="F970" s="8" t="s">
        <v>8</v>
      </c>
      <c r="G970" s="8" t="s">
        <v>8</v>
      </c>
      <c r="I970" s="94" t="str">
        <f>IFERROR(__xludf.DUMMYFUNCTION("if(H970=""Must be Together"",iferror(join("", "",unique(filter({filter('Students (Vertical)'!O:O,'Students (Vertical)'!C:C=B970,'Students (Vertical)'!O:O&lt;&gt;"""");filter('Students (Vertical)'!O:O,'Students (Vertical)'!C:C=E970,'Students (Vertical)'!O:O&lt;&gt;"""&amp;""")},countifs({filter('Students (Vertical)'!O:O,'Students (Vertical)'!C:C=B970,'Students (Vertical)'!O:O&lt;&gt;"""");filter('Students (Vertical)'!O:O,'Students (Vertical)'!C:C=E970,'Students (Vertical)'!O:O&lt;&gt;"""")},{filter('Students (Vertical)'!O:O,'Students ("&amp;"Vertical)'!C:C=B970,'Students (Vertical)'!O:O&lt;&gt;"""");filter('Students (Vertical)'!O:O,'Students (Vertical)'!C:C=E970,'Students (Vertical)'!O:O&lt;&gt;"""")})&gt;1))),""No shared courses""),"""")"),"")</f>
        <v/>
      </c>
      <c r="J970" s="94" t="str">
        <f>IFERROR(__xludf.DUMMYFUNCTION("if(H970=""Can't be Together"",iferror(join("", "",unique(filter({unique(filter('Students (Vertical)'!O:O,'Students (Vertical)'!C:C=B970,'Students (Vertical)'!O:O&lt;&gt;"""",'Students (Vertical)'!P:P&gt;1));unique(filter('Students (Vertical)'!O:O,'Students (Vertic"&amp;"al)'!C:C=E970,'Students (Vertical)'!O:O&lt;&gt;"""",'Students (Vertical)'!P:P&gt;1))},countifs({unique(filter('Students (Vertical)'!O:O,'Students (Vertical)'!C:C=B970,'Students (Vertical)'!O:O&lt;&gt;"""",'Students (Vertical)'!P:P&gt;1));unique(filter('Students (Vertical)'"&amp;"!O:O,'Students (Vertical)'!C:C=E970,'Students (Vertical)'!O:O&lt;&gt;"""",'Students (Vertical)'!P:P&gt;1))},{unique(filter('Students (Vertical)'!O:O,'Students (Vertical)'!C:C=B970,'Students (Vertical)'!O:O&lt;&gt;"""",'Students (Vertical)'!P:P&gt;1));unique(filter('Student"&amp;"s (Vertical)'!O:O,'Students (Vertical)'!C:C=E970,'Students (Vertical)'!O:O&lt;&gt;"""",'Students (Vertical)'!P:P&gt;1))})&gt;1))),""""),"""")"),"")</f>
        <v/>
      </c>
      <c r="K970" s="96" t="str">
        <f>IFERROR(__xludf.DUMMYFUNCTION("iferror(join("", "",unique(filter({filter('Students (Vertical)'!D:D,'Students (Vertical)'!C:C=B970,'Students (Vertical)'!D:D&lt;&gt;"""");filter('Students (Vertical)'!D:D,'Students (Vertical)'!C:C=E970,'Students (Vertical)'!D:D&lt;&gt;"""")},countifs({filter('Student"&amp;"s (Vertical)'!D:D,'Students (Vertical)'!C:C=B970,'Students (Vertical)'!D:D&lt;&gt;"""");filter('Students (Vertical)'!D:D,'Students (Vertical)'!C:C=E970,'Students (Vertical)'!D:D&lt;&gt;"""")},{filter('Students (Vertical)'!D:D,'Students (Vertical)'!C:C=B970,'Students "&amp;"(Vertical)'!D:D&lt;&gt;"""");filter('Students (Vertical)'!D:D,'Students (Vertical)'!C:C=E970,'Students (Vertical)'!D:D&lt;&gt;"""")})&gt;1))),"""")"),"")</f>
        <v/>
      </c>
      <c r="L970" s="96"/>
      <c r="M970" s="96"/>
    </row>
    <row r="971" hidden="1">
      <c r="A971" s="8" t="s">
        <v>8</v>
      </c>
      <c r="C971" s="8" t="s">
        <v>8</v>
      </c>
      <c r="D971" s="8" t="s">
        <v>8</v>
      </c>
      <c r="F971" s="8" t="s">
        <v>8</v>
      </c>
      <c r="G971" s="8" t="s">
        <v>8</v>
      </c>
      <c r="I971" s="94" t="str">
        <f>IFERROR(__xludf.DUMMYFUNCTION("if(H971=""Must be Together"",iferror(join("", "",unique(filter({filter('Students (Vertical)'!O:O,'Students (Vertical)'!C:C=B971,'Students (Vertical)'!O:O&lt;&gt;"""");filter('Students (Vertical)'!O:O,'Students (Vertical)'!C:C=E971,'Students (Vertical)'!O:O&lt;&gt;"""&amp;""")},countifs({filter('Students (Vertical)'!O:O,'Students (Vertical)'!C:C=B971,'Students (Vertical)'!O:O&lt;&gt;"""");filter('Students (Vertical)'!O:O,'Students (Vertical)'!C:C=E971,'Students (Vertical)'!O:O&lt;&gt;"""")},{filter('Students (Vertical)'!O:O,'Students ("&amp;"Vertical)'!C:C=B971,'Students (Vertical)'!O:O&lt;&gt;"""");filter('Students (Vertical)'!O:O,'Students (Vertical)'!C:C=E971,'Students (Vertical)'!O:O&lt;&gt;"""")})&gt;1))),""No shared courses""),"""")"),"")</f>
        <v/>
      </c>
      <c r="J971" s="94" t="str">
        <f>IFERROR(__xludf.DUMMYFUNCTION("if(H971=""Can't be Together"",iferror(join("", "",unique(filter({unique(filter('Students (Vertical)'!O:O,'Students (Vertical)'!C:C=B971,'Students (Vertical)'!O:O&lt;&gt;"""",'Students (Vertical)'!P:P&gt;1));unique(filter('Students (Vertical)'!O:O,'Students (Vertic"&amp;"al)'!C:C=E971,'Students (Vertical)'!O:O&lt;&gt;"""",'Students (Vertical)'!P:P&gt;1))},countifs({unique(filter('Students (Vertical)'!O:O,'Students (Vertical)'!C:C=B971,'Students (Vertical)'!O:O&lt;&gt;"""",'Students (Vertical)'!P:P&gt;1));unique(filter('Students (Vertical)'"&amp;"!O:O,'Students (Vertical)'!C:C=E971,'Students (Vertical)'!O:O&lt;&gt;"""",'Students (Vertical)'!P:P&gt;1))},{unique(filter('Students (Vertical)'!O:O,'Students (Vertical)'!C:C=B971,'Students (Vertical)'!O:O&lt;&gt;"""",'Students (Vertical)'!P:P&gt;1));unique(filter('Student"&amp;"s (Vertical)'!O:O,'Students (Vertical)'!C:C=E971,'Students (Vertical)'!O:O&lt;&gt;"""",'Students (Vertical)'!P:P&gt;1))})&gt;1))),""""),"""")"),"")</f>
        <v/>
      </c>
      <c r="K971" s="96" t="str">
        <f>IFERROR(__xludf.DUMMYFUNCTION("iferror(join("", "",unique(filter({filter('Students (Vertical)'!D:D,'Students (Vertical)'!C:C=B971,'Students (Vertical)'!D:D&lt;&gt;"""");filter('Students (Vertical)'!D:D,'Students (Vertical)'!C:C=E971,'Students (Vertical)'!D:D&lt;&gt;"""")},countifs({filter('Student"&amp;"s (Vertical)'!D:D,'Students (Vertical)'!C:C=B971,'Students (Vertical)'!D:D&lt;&gt;"""");filter('Students (Vertical)'!D:D,'Students (Vertical)'!C:C=E971,'Students (Vertical)'!D:D&lt;&gt;"""")},{filter('Students (Vertical)'!D:D,'Students (Vertical)'!C:C=B971,'Students "&amp;"(Vertical)'!D:D&lt;&gt;"""");filter('Students (Vertical)'!D:D,'Students (Vertical)'!C:C=E971,'Students (Vertical)'!D:D&lt;&gt;"""")})&gt;1))),"""")"),"")</f>
        <v/>
      </c>
      <c r="L971" s="96"/>
      <c r="M971" s="96"/>
    </row>
    <row r="972" hidden="1">
      <c r="A972" s="8" t="s">
        <v>8</v>
      </c>
      <c r="C972" s="8" t="s">
        <v>8</v>
      </c>
      <c r="D972" s="8" t="s">
        <v>8</v>
      </c>
      <c r="F972" s="8" t="s">
        <v>8</v>
      </c>
      <c r="G972" s="8" t="s">
        <v>8</v>
      </c>
      <c r="I972" s="94" t="str">
        <f>IFERROR(__xludf.DUMMYFUNCTION("if(H972=""Must be Together"",iferror(join("", "",unique(filter({filter('Students (Vertical)'!O:O,'Students (Vertical)'!C:C=B972,'Students (Vertical)'!O:O&lt;&gt;"""");filter('Students (Vertical)'!O:O,'Students (Vertical)'!C:C=E972,'Students (Vertical)'!O:O&lt;&gt;"""&amp;""")},countifs({filter('Students (Vertical)'!O:O,'Students (Vertical)'!C:C=B972,'Students (Vertical)'!O:O&lt;&gt;"""");filter('Students (Vertical)'!O:O,'Students (Vertical)'!C:C=E972,'Students (Vertical)'!O:O&lt;&gt;"""")},{filter('Students (Vertical)'!O:O,'Students ("&amp;"Vertical)'!C:C=B972,'Students (Vertical)'!O:O&lt;&gt;"""");filter('Students (Vertical)'!O:O,'Students (Vertical)'!C:C=E972,'Students (Vertical)'!O:O&lt;&gt;"""")})&gt;1))),""No shared courses""),"""")"),"")</f>
        <v/>
      </c>
      <c r="J972" s="94" t="str">
        <f>IFERROR(__xludf.DUMMYFUNCTION("if(H972=""Can't be Together"",iferror(join("", "",unique(filter({unique(filter('Students (Vertical)'!O:O,'Students (Vertical)'!C:C=B972,'Students (Vertical)'!O:O&lt;&gt;"""",'Students (Vertical)'!P:P&gt;1));unique(filter('Students (Vertical)'!O:O,'Students (Vertic"&amp;"al)'!C:C=E972,'Students (Vertical)'!O:O&lt;&gt;"""",'Students (Vertical)'!P:P&gt;1))},countifs({unique(filter('Students (Vertical)'!O:O,'Students (Vertical)'!C:C=B972,'Students (Vertical)'!O:O&lt;&gt;"""",'Students (Vertical)'!P:P&gt;1));unique(filter('Students (Vertical)'"&amp;"!O:O,'Students (Vertical)'!C:C=E972,'Students (Vertical)'!O:O&lt;&gt;"""",'Students (Vertical)'!P:P&gt;1))},{unique(filter('Students (Vertical)'!O:O,'Students (Vertical)'!C:C=B972,'Students (Vertical)'!O:O&lt;&gt;"""",'Students (Vertical)'!P:P&gt;1));unique(filter('Student"&amp;"s (Vertical)'!O:O,'Students (Vertical)'!C:C=E972,'Students (Vertical)'!O:O&lt;&gt;"""",'Students (Vertical)'!P:P&gt;1))})&gt;1))),""""),"""")"),"")</f>
        <v/>
      </c>
      <c r="K972" s="96" t="str">
        <f>IFERROR(__xludf.DUMMYFUNCTION("iferror(join("", "",unique(filter({filter('Students (Vertical)'!D:D,'Students (Vertical)'!C:C=B972,'Students (Vertical)'!D:D&lt;&gt;"""");filter('Students (Vertical)'!D:D,'Students (Vertical)'!C:C=E972,'Students (Vertical)'!D:D&lt;&gt;"""")},countifs({filter('Student"&amp;"s (Vertical)'!D:D,'Students (Vertical)'!C:C=B972,'Students (Vertical)'!D:D&lt;&gt;"""");filter('Students (Vertical)'!D:D,'Students (Vertical)'!C:C=E972,'Students (Vertical)'!D:D&lt;&gt;"""")},{filter('Students (Vertical)'!D:D,'Students (Vertical)'!C:C=B972,'Students "&amp;"(Vertical)'!D:D&lt;&gt;"""");filter('Students (Vertical)'!D:D,'Students (Vertical)'!C:C=E972,'Students (Vertical)'!D:D&lt;&gt;"""")})&gt;1))),"""")"),"")</f>
        <v/>
      </c>
      <c r="L972" s="96"/>
      <c r="M972" s="96"/>
    </row>
    <row r="973" hidden="1">
      <c r="A973" s="8" t="s">
        <v>8</v>
      </c>
      <c r="C973" s="8" t="s">
        <v>8</v>
      </c>
      <c r="D973" s="8" t="s">
        <v>8</v>
      </c>
      <c r="F973" s="8" t="s">
        <v>8</v>
      </c>
      <c r="G973" s="8" t="s">
        <v>8</v>
      </c>
      <c r="I973" s="94" t="str">
        <f>IFERROR(__xludf.DUMMYFUNCTION("if(H973=""Must be Together"",iferror(join("", "",unique(filter({filter('Students (Vertical)'!O:O,'Students (Vertical)'!C:C=B973,'Students (Vertical)'!O:O&lt;&gt;"""");filter('Students (Vertical)'!O:O,'Students (Vertical)'!C:C=E973,'Students (Vertical)'!O:O&lt;&gt;"""&amp;""")},countifs({filter('Students (Vertical)'!O:O,'Students (Vertical)'!C:C=B973,'Students (Vertical)'!O:O&lt;&gt;"""");filter('Students (Vertical)'!O:O,'Students (Vertical)'!C:C=E973,'Students (Vertical)'!O:O&lt;&gt;"""")},{filter('Students (Vertical)'!O:O,'Students ("&amp;"Vertical)'!C:C=B973,'Students (Vertical)'!O:O&lt;&gt;"""");filter('Students (Vertical)'!O:O,'Students (Vertical)'!C:C=E973,'Students (Vertical)'!O:O&lt;&gt;"""")})&gt;1))),""No shared courses""),"""")"),"")</f>
        <v/>
      </c>
      <c r="J973" s="94" t="str">
        <f>IFERROR(__xludf.DUMMYFUNCTION("if(H973=""Can't be Together"",iferror(join("", "",unique(filter({unique(filter('Students (Vertical)'!O:O,'Students (Vertical)'!C:C=B973,'Students (Vertical)'!O:O&lt;&gt;"""",'Students (Vertical)'!P:P&gt;1));unique(filter('Students (Vertical)'!O:O,'Students (Vertic"&amp;"al)'!C:C=E973,'Students (Vertical)'!O:O&lt;&gt;"""",'Students (Vertical)'!P:P&gt;1))},countifs({unique(filter('Students (Vertical)'!O:O,'Students (Vertical)'!C:C=B973,'Students (Vertical)'!O:O&lt;&gt;"""",'Students (Vertical)'!P:P&gt;1));unique(filter('Students (Vertical)'"&amp;"!O:O,'Students (Vertical)'!C:C=E973,'Students (Vertical)'!O:O&lt;&gt;"""",'Students (Vertical)'!P:P&gt;1))},{unique(filter('Students (Vertical)'!O:O,'Students (Vertical)'!C:C=B973,'Students (Vertical)'!O:O&lt;&gt;"""",'Students (Vertical)'!P:P&gt;1));unique(filter('Student"&amp;"s (Vertical)'!O:O,'Students (Vertical)'!C:C=E973,'Students (Vertical)'!O:O&lt;&gt;"""",'Students (Vertical)'!P:P&gt;1))})&gt;1))),""""),"""")"),"")</f>
        <v/>
      </c>
      <c r="K973" s="96" t="str">
        <f>IFERROR(__xludf.DUMMYFUNCTION("iferror(join("", "",unique(filter({filter('Students (Vertical)'!D:D,'Students (Vertical)'!C:C=B973,'Students (Vertical)'!D:D&lt;&gt;"""");filter('Students (Vertical)'!D:D,'Students (Vertical)'!C:C=E973,'Students (Vertical)'!D:D&lt;&gt;"""")},countifs({filter('Student"&amp;"s (Vertical)'!D:D,'Students (Vertical)'!C:C=B973,'Students (Vertical)'!D:D&lt;&gt;"""");filter('Students (Vertical)'!D:D,'Students (Vertical)'!C:C=E973,'Students (Vertical)'!D:D&lt;&gt;"""")},{filter('Students (Vertical)'!D:D,'Students (Vertical)'!C:C=B973,'Students "&amp;"(Vertical)'!D:D&lt;&gt;"""");filter('Students (Vertical)'!D:D,'Students (Vertical)'!C:C=E973,'Students (Vertical)'!D:D&lt;&gt;"""")})&gt;1))),"""")"),"")</f>
        <v/>
      </c>
      <c r="L973" s="96"/>
      <c r="M973" s="96"/>
    </row>
    <row r="974" hidden="1">
      <c r="A974" s="8" t="s">
        <v>8</v>
      </c>
      <c r="C974" s="8" t="s">
        <v>8</v>
      </c>
      <c r="D974" s="8" t="s">
        <v>8</v>
      </c>
      <c r="F974" s="8" t="s">
        <v>8</v>
      </c>
      <c r="G974" s="8" t="s">
        <v>8</v>
      </c>
      <c r="I974" s="94" t="str">
        <f>IFERROR(__xludf.DUMMYFUNCTION("if(H974=""Must be Together"",iferror(join("", "",unique(filter({filter('Students (Vertical)'!O:O,'Students (Vertical)'!C:C=B974,'Students (Vertical)'!O:O&lt;&gt;"""");filter('Students (Vertical)'!O:O,'Students (Vertical)'!C:C=E974,'Students (Vertical)'!O:O&lt;&gt;"""&amp;""")},countifs({filter('Students (Vertical)'!O:O,'Students (Vertical)'!C:C=B974,'Students (Vertical)'!O:O&lt;&gt;"""");filter('Students (Vertical)'!O:O,'Students (Vertical)'!C:C=E974,'Students (Vertical)'!O:O&lt;&gt;"""")},{filter('Students (Vertical)'!O:O,'Students ("&amp;"Vertical)'!C:C=B974,'Students (Vertical)'!O:O&lt;&gt;"""");filter('Students (Vertical)'!O:O,'Students (Vertical)'!C:C=E974,'Students (Vertical)'!O:O&lt;&gt;"""")})&gt;1))),""No shared courses""),"""")"),"")</f>
        <v/>
      </c>
      <c r="J974" s="94" t="str">
        <f>IFERROR(__xludf.DUMMYFUNCTION("if(H974=""Can't be Together"",iferror(join("", "",unique(filter({unique(filter('Students (Vertical)'!O:O,'Students (Vertical)'!C:C=B974,'Students (Vertical)'!O:O&lt;&gt;"""",'Students (Vertical)'!P:P&gt;1));unique(filter('Students (Vertical)'!O:O,'Students (Vertic"&amp;"al)'!C:C=E974,'Students (Vertical)'!O:O&lt;&gt;"""",'Students (Vertical)'!P:P&gt;1))},countifs({unique(filter('Students (Vertical)'!O:O,'Students (Vertical)'!C:C=B974,'Students (Vertical)'!O:O&lt;&gt;"""",'Students (Vertical)'!P:P&gt;1));unique(filter('Students (Vertical)'"&amp;"!O:O,'Students (Vertical)'!C:C=E974,'Students (Vertical)'!O:O&lt;&gt;"""",'Students (Vertical)'!P:P&gt;1))},{unique(filter('Students (Vertical)'!O:O,'Students (Vertical)'!C:C=B974,'Students (Vertical)'!O:O&lt;&gt;"""",'Students (Vertical)'!P:P&gt;1));unique(filter('Student"&amp;"s (Vertical)'!O:O,'Students (Vertical)'!C:C=E974,'Students (Vertical)'!O:O&lt;&gt;"""",'Students (Vertical)'!P:P&gt;1))})&gt;1))),""""),"""")"),"")</f>
        <v/>
      </c>
      <c r="K974" s="96" t="str">
        <f>IFERROR(__xludf.DUMMYFUNCTION("iferror(join("", "",unique(filter({filter('Students (Vertical)'!D:D,'Students (Vertical)'!C:C=B974,'Students (Vertical)'!D:D&lt;&gt;"""");filter('Students (Vertical)'!D:D,'Students (Vertical)'!C:C=E974,'Students (Vertical)'!D:D&lt;&gt;"""")},countifs({filter('Student"&amp;"s (Vertical)'!D:D,'Students (Vertical)'!C:C=B974,'Students (Vertical)'!D:D&lt;&gt;"""");filter('Students (Vertical)'!D:D,'Students (Vertical)'!C:C=E974,'Students (Vertical)'!D:D&lt;&gt;"""")},{filter('Students (Vertical)'!D:D,'Students (Vertical)'!C:C=B974,'Students "&amp;"(Vertical)'!D:D&lt;&gt;"""");filter('Students (Vertical)'!D:D,'Students (Vertical)'!C:C=E974,'Students (Vertical)'!D:D&lt;&gt;"""")})&gt;1))),"""")"),"")</f>
        <v/>
      </c>
      <c r="L974" s="96"/>
      <c r="M974" s="96"/>
    </row>
    <row r="975" hidden="1">
      <c r="A975" s="8" t="s">
        <v>8</v>
      </c>
      <c r="C975" s="8" t="s">
        <v>8</v>
      </c>
      <c r="D975" s="8" t="s">
        <v>8</v>
      </c>
      <c r="F975" s="8" t="s">
        <v>8</v>
      </c>
      <c r="G975" s="8" t="s">
        <v>8</v>
      </c>
      <c r="I975" s="94" t="str">
        <f>IFERROR(__xludf.DUMMYFUNCTION("if(H975=""Must be Together"",iferror(join("", "",unique(filter({filter('Students (Vertical)'!O:O,'Students (Vertical)'!C:C=B975,'Students (Vertical)'!O:O&lt;&gt;"""");filter('Students (Vertical)'!O:O,'Students (Vertical)'!C:C=E975,'Students (Vertical)'!O:O&lt;&gt;"""&amp;""")},countifs({filter('Students (Vertical)'!O:O,'Students (Vertical)'!C:C=B975,'Students (Vertical)'!O:O&lt;&gt;"""");filter('Students (Vertical)'!O:O,'Students (Vertical)'!C:C=E975,'Students (Vertical)'!O:O&lt;&gt;"""")},{filter('Students (Vertical)'!O:O,'Students ("&amp;"Vertical)'!C:C=B975,'Students (Vertical)'!O:O&lt;&gt;"""");filter('Students (Vertical)'!O:O,'Students (Vertical)'!C:C=E975,'Students (Vertical)'!O:O&lt;&gt;"""")})&gt;1))),""No shared courses""),"""")"),"")</f>
        <v/>
      </c>
      <c r="J975" s="94" t="str">
        <f>IFERROR(__xludf.DUMMYFUNCTION("if(H975=""Can't be Together"",iferror(join("", "",unique(filter({unique(filter('Students (Vertical)'!O:O,'Students (Vertical)'!C:C=B975,'Students (Vertical)'!O:O&lt;&gt;"""",'Students (Vertical)'!P:P&gt;1));unique(filter('Students (Vertical)'!O:O,'Students (Vertic"&amp;"al)'!C:C=E975,'Students (Vertical)'!O:O&lt;&gt;"""",'Students (Vertical)'!P:P&gt;1))},countifs({unique(filter('Students (Vertical)'!O:O,'Students (Vertical)'!C:C=B975,'Students (Vertical)'!O:O&lt;&gt;"""",'Students (Vertical)'!P:P&gt;1));unique(filter('Students (Vertical)'"&amp;"!O:O,'Students (Vertical)'!C:C=E975,'Students (Vertical)'!O:O&lt;&gt;"""",'Students (Vertical)'!P:P&gt;1))},{unique(filter('Students (Vertical)'!O:O,'Students (Vertical)'!C:C=B975,'Students (Vertical)'!O:O&lt;&gt;"""",'Students (Vertical)'!P:P&gt;1));unique(filter('Student"&amp;"s (Vertical)'!O:O,'Students (Vertical)'!C:C=E975,'Students (Vertical)'!O:O&lt;&gt;"""",'Students (Vertical)'!P:P&gt;1))})&gt;1))),""""),"""")"),"")</f>
        <v/>
      </c>
      <c r="K975" s="96" t="str">
        <f>IFERROR(__xludf.DUMMYFUNCTION("iferror(join("", "",unique(filter({filter('Students (Vertical)'!D:D,'Students (Vertical)'!C:C=B975,'Students (Vertical)'!D:D&lt;&gt;"""");filter('Students (Vertical)'!D:D,'Students (Vertical)'!C:C=E975,'Students (Vertical)'!D:D&lt;&gt;"""")},countifs({filter('Student"&amp;"s (Vertical)'!D:D,'Students (Vertical)'!C:C=B975,'Students (Vertical)'!D:D&lt;&gt;"""");filter('Students (Vertical)'!D:D,'Students (Vertical)'!C:C=E975,'Students (Vertical)'!D:D&lt;&gt;"""")},{filter('Students (Vertical)'!D:D,'Students (Vertical)'!C:C=B975,'Students "&amp;"(Vertical)'!D:D&lt;&gt;"""");filter('Students (Vertical)'!D:D,'Students (Vertical)'!C:C=E975,'Students (Vertical)'!D:D&lt;&gt;"""")})&gt;1))),"""")"),"")</f>
        <v/>
      </c>
      <c r="L975" s="96"/>
      <c r="M975" s="96"/>
    </row>
    <row r="976" hidden="1">
      <c r="A976" s="8" t="s">
        <v>8</v>
      </c>
      <c r="C976" s="8" t="s">
        <v>8</v>
      </c>
      <c r="D976" s="8" t="s">
        <v>8</v>
      </c>
      <c r="F976" s="8" t="s">
        <v>8</v>
      </c>
      <c r="G976" s="8" t="s">
        <v>8</v>
      </c>
      <c r="I976" s="94" t="str">
        <f>IFERROR(__xludf.DUMMYFUNCTION("if(H976=""Must be Together"",iferror(join("", "",unique(filter({filter('Students (Vertical)'!O:O,'Students (Vertical)'!C:C=B976,'Students (Vertical)'!O:O&lt;&gt;"""");filter('Students (Vertical)'!O:O,'Students (Vertical)'!C:C=E976,'Students (Vertical)'!O:O&lt;&gt;"""&amp;""")},countifs({filter('Students (Vertical)'!O:O,'Students (Vertical)'!C:C=B976,'Students (Vertical)'!O:O&lt;&gt;"""");filter('Students (Vertical)'!O:O,'Students (Vertical)'!C:C=E976,'Students (Vertical)'!O:O&lt;&gt;"""")},{filter('Students (Vertical)'!O:O,'Students ("&amp;"Vertical)'!C:C=B976,'Students (Vertical)'!O:O&lt;&gt;"""");filter('Students (Vertical)'!O:O,'Students (Vertical)'!C:C=E976,'Students (Vertical)'!O:O&lt;&gt;"""")})&gt;1))),""No shared courses""),"""")"),"")</f>
        <v/>
      </c>
      <c r="J976" s="94" t="str">
        <f>IFERROR(__xludf.DUMMYFUNCTION("if(H976=""Can't be Together"",iferror(join("", "",unique(filter({unique(filter('Students (Vertical)'!O:O,'Students (Vertical)'!C:C=B976,'Students (Vertical)'!O:O&lt;&gt;"""",'Students (Vertical)'!P:P&gt;1));unique(filter('Students (Vertical)'!O:O,'Students (Vertic"&amp;"al)'!C:C=E976,'Students (Vertical)'!O:O&lt;&gt;"""",'Students (Vertical)'!P:P&gt;1))},countifs({unique(filter('Students (Vertical)'!O:O,'Students (Vertical)'!C:C=B976,'Students (Vertical)'!O:O&lt;&gt;"""",'Students (Vertical)'!P:P&gt;1));unique(filter('Students (Vertical)'"&amp;"!O:O,'Students (Vertical)'!C:C=E976,'Students (Vertical)'!O:O&lt;&gt;"""",'Students (Vertical)'!P:P&gt;1))},{unique(filter('Students (Vertical)'!O:O,'Students (Vertical)'!C:C=B976,'Students (Vertical)'!O:O&lt;&gt;"""",'Students (Vertical)'!P:P&gt;1));unique(filter('Student"&amp;"s (Vertical)'!O:O,'Students (Vertical)'!C:C=E976,'Students (Vertical)'!O:O&lt;&gt;"""",'Students (Vertical)'!P:P&gt;1))})&gt;1))),""""),"""")"),"")</f>
        <v/>
      </c>
      <c r="K976" s="96" t="str">
        <f>IFERROR(__xludf.DUMMYFUNCTION("iferror(join("", "",unique(filter({filter('Students (Vertical)'!D:D,'Students (Vertical)'!C:C=B976,'Students (Vertical)'!D:D&lt;&gt;"""");filter('Students (Vertical)'!D:D,'Students (Vertical)'!C:C=E976,'Students (Vertical)'!D:D&lt;&gt;"""")},countifs({filter('Student"&amp;"s (Vertical)'!D:D,'Students (Vertical)'!C:C=B976,'Students (Vertical)'!D:D&lt;&gt;"""");filter('Students (Vertical)'!D:D,'Students (Vertical)'!C:C=E976,'Students (Vertical)'!D:D&lt;&gt;"""")},{filter('Students (Vertical)'!D:D,'Students (Vertical)'!C:C=B976,'Students "&amp;"(Vertical)'!D:D&lt;&gt;"""");filter('Students (Vertical)'!D:D,'Students (Vertical)'!C:C=E976,'Students (Vertical)'!D:D&lt;&gt;"""")})&gt;1))),"""")"),"")</f>
        <v/>
      </c>
      <c r="L976" s="96"/>
      <c r="M976" s="96"/>
    </row>
    <row r="977" hidden="1">
      <c r="A977" s="8" t="s">
        <v>8</v>
      </c>
      <c r="C977" s="8" t="s">
        <v>8</v>
      </c>
      <c r="D977" s="8" t="s">
        <v>8</v>
      </c>
      <c r="F977" s="8" t="s">
        <v>8</v>
      </c>
      <c r="G977" s="8" t="s">
        <v>8</v>
      </c>
      <c r="I977" s="94" t="str">
        <f>IFERROR(__xludf.DUMMYFUNCTION("if(H977=""Must be Together"",iferror(join("", "",unique(filter({filter('Students (Vertical)'!O:O,'Students (Vertical)'!C:C=B977,'Students (Vertical)'!O:O&lt;&gt;"""");filter('Students (Vertical)'!O:O,'Students (Vertical)'!C:C=E977,'Students (Vertical)'!O:O&lt;&gt;"""&amp;""")},countifs({filter('Students (Vertical)'!O:O,'Students (Vertical)'!C:C=B977,'Students (Vertical)'!O:O&lt;&gt;"""");filter('Students (Vertical)'!O:O,'Students (Vertical)'!C:C=E977,'Students (Vertical)'!O:O&lt;&gt;"""")},{filter('Students (Vertical)'!O:O,'Students ("&amp;"Vertical)'!C:C=B977,'Students (Vertical)'!O:O&lt;&gt;"""");filter('Students (Vertical)'!O:O,'Students (Vertical)'!C:C=E977,'Students (Vertical)'!O:O&lt;&gt;"""")})&gt;1))),""No shared courses""),"""")"),"")</f>
        <v/>
      </c>
      <c r="J977" s="94" t="str">
        <f>IFERROR(__xludf.DUMMYFUNCTION("if(H977=""Can't be Together"",iferror(join("", "",unique(filter({unique(filter('Students (Vertical)'!O:O,'Students (Vertical)'!C:C=B977,'Students (Vertical)'!O:O&lt;&gt;"""",'Students (Vertical)'!P:P&gt;1));unique(filter('Students (Vertical)'!O:O,'Students (Vertic"&amp;"al)'!C:C=E977,'Students (Vertical)'!O:O&lt;&gt;"""",'Students (Vertical)'!P:P&gt;1))},countifs({unique(filter('Students (Vertical)'!O:O,'Students (Vertical)'!C:C=B977,'Students (Vertical)'!O:O&lt;&gt;"""",'Students (Vertical)'!P:P&gt;1));unique(filter('Students (Vertical)'"&amp;"!O:O,'Students (Vertical)'!C:C=E977,'Students (Vertical)'!O:O&lt;&gt;"""",'Students (Vertical)'!P:P&gt;1))},{unique(filter('Students (Vertical)'!O:O,'Students (Vertical)'!C:C=B977,'Students (Vertical)'!O:O&lt;&gt;"""",'Students (Vertical)'!P:P&gt;1));unique(filter('Student"&amp;"s (Vertical)'!O:O,'Students (Vertical)'!C:C=E977,'Students (Vertical)'!O:O&lt;&gt;"""",'Students (Vertical)'!P:P&gt;1))})&gt;1))),""""),"""")"),"")</f>
        <v/>
      </c>
      <c r="K977" s="96" t="str">
        <f>IFERROR(__xludf.DUMMYFUNCTION("iferror(join("", "",unique(filter({filter('Students (Vertical)'!D:D,'Students (Vertical)'!C:C=B977,'Students (Vertical)'!D:D&lt;&gt;"""");filter('Students (Vertical)'!D:D,'Students (Vertical)'!C:C=E977,'Students (Vertical)'!D:D&lt;&gt;"""")},countifs({filter('Student"&amp;"s (Vertical)'!D:D,'Students (Vertical)'!C:C=B977,'Students (Vertical)'!D:D&lt;&gt;"""");filter('Students (Vertical)'!D:D,'Students (Vertical)'!C:C=E977,'Students (Vertical)'!D:D&lt;&gt;"""")},{filter('Students (Vertical)'!D:D,'Students (Vertical)'!C:C=B977,'Students "&amp;"(Vertical)'!D:D&lt;&gt;"""");filter('Students (Vertical)'!D:D,'Students (Vertical)'!C:C=E977,'Students (Vertical)'!D:D&lt;&gt;"""")})&gt;1))),"""")"),"")</f>
        <v/>
      </c>
      <c r="L977" s="96"/>
      <c r="M977" s="96"/>
    </row>
    <row r="978" hidden="1">
      <c r="A978" s="8" t="s">
        <v>8</v>
      </c>
      <c r="C978" s="8" t="s">
        <v>8</v>
      </c>
      <c r="D978" s="8" t="s">
        <v>8</v>
      </c>
      <c r="F978" s="8" t="s">
        <v>8</v>
      </c>
      <c r="G978" s="8" t="s">
        <v>8</v>
      </c>
      <c r="I978" s="94" t="str">
        <f>IFERROR(__xludf.DUMMYFUNCTION("if(H978=""Must be Together"",iferror(join("", "",unique(filter({filter('Students (Vertical)'!O:O,'Students (Vertical)'!C:C=B978,'Students (Vertical)'!O:O&lt;&gt;"""");filter('Students (Vertical)'!O:O,'Students (Vertical)'!C:C=E978,'Students (Vertical)'!O:O&lt;&gt;"""&amp;""")},countifs({filter('Students (Vertical)'!O:O,'Students (Vertical)'!C:C=B978,'Students (Vertical)'!O:O&lt;&gt;"""");filter('Students (Vertical)'!O:O,'Students (Vertical)'!C:C=E978,'Students (Vertical)'!O:O&lt;&gt;"""")},{filter('Students (Vertical)'!O:O,'Students ("&amp;"Vertical)'!C:C=B978,'Students (Vertical)'!O:O&lt;&gt;"""");filter('Students (Vertical)'!O:O,'Students (Vertical)'!C:C=E978,'Students (Vertical)'!O:O&lt;&gt;"""")})&gt;1))),""No shared courses""),"""")"),"")</f>
        <v/>
      </c>
      <c r="J978" s="94" t="str">
        <f>IFERROR(__xludf.DUMMYFUNCTION("if(H978=""Can't be Together"",iferror(join("", "",unique(filter({unique(filter('Students (Vertical)'!O:O,'Students (Vertical)'!C:C=B978,'Students (Vertical)'!O:O&lt;&gt;"""",'Students (Vertical)'!P:P&gt;1));unique(filter('Students (Vertical)'!O:O,'Students (Vertic"&amp;"al)'!C:C=E978,'Students (Vertical)'!O:O&lt;&gt;"""",'Students (Vertical)'!P:P&gt;1))},countifs({unique(filter('Students (Vertical)'!O:O,'Students (Vertical)'!C:C=B978,'Students (Vertical)'!O:O&lt;&gt;"""",'Students (Vertical)'!P:P&gt;1));unique(filter('Students (Vertical)'"&amp;"!O:O,'Students (Vertical)'!C:C=E978,'Students (Vertical)'!O:O&lt;&gt;"""",'Students (Vertical)'!P:P&gt;1))},{unique(filter('Students (Vertical)'!O:O,'Students (Vertical)'!C:C=B978,'Students (Vertical)'!O:O&lt;&gt;"""",'Students (Vertical)'!P:P&gt;1));unique(filter('Student"&amp;"s (Vertical)'!O:O,'Students (Vertical)'!C:C=E978,'Students (Vertical)'!O:O&lt;&gt;"""",'Students (Vertical)'!P:P&gt;1))})&gt;1))),""""),"""")"),"")</f>
        <v/>
      </c>
      <c r="K978" s="96" t="str">
        <f>IFERROR(__xludf.DUMMYFUNCTION("iferror(join("", "",unique(filter({filter('Students (Vertical)'!D:D,'Students (Vertical)'!C:C=B978,'Students (Vertical)'!D:D&lt;&gt;"""");filter('Students (Vertical)'!D:D,'Students (Vertical)'!C:C=E978,'Students (Vertical)'!D:D&lt;&gt;"""")},countifs({filter('Student"&amp;"s (Vertical)'!D:D,'Students (Vertical)'!C:C=B978,'Students (Vertical)'!D:D&lt;&gt;"""");filter('Students (Vertical)'!D:D,'Students (Vertical)'!C:C=E978,'Students (Vertical)'!D:D&lt;&gt;"""")},{filter('Students (Vertical)'!D:D,'Students (Vertical)'!C:C=B978,'Students "&amp;"(Vertical)'!D:D&lt;&gt;"""");filter('Students (Vertical)'!D:D,'Students (Vertical)'!C:C=E978,'Students (Vertical)'!D:D&lt;&gt;"""")})&gt;1))),"""")"),"")</f>
        <v/>
      </c>
      <c r="L978" s="96"/>
      <c r="M978" s="96"/>
    </row>
    <row r="979" hidden="1">
      <c r="A979" s="8" t="s">
        <v>8</v>
      </c>
      <c r="C979" s="8" t="s">
        <v>8</v>
      </c>
      <c r="D979" s="8" t="s">
        <v>8</v>
      </c>
      <c r="F979" s="8" t="s">
        <v>8</v>
      </c>
      <c r="G979" s="8" t="s">
        <v>8</v>
      </c>
      <c r="I979" s="94" t="str">
        <f>IFERROR(__xludf.DUMMYFUNCTION("if(H979=""Must be Together"",iferror(join("", "",unique(filter({filter('Students (Vertical)'!O:O,'Students (Vertical)'!C:C=B979,'Students (Vertical)'!O:O&lt;&gt;"""");filter('Students (Vertical)'!O:O,'Students (Vertical)'!C:C=E979,'Students (Vertical)'!O:O&lt;&gt;"""&amp;""")},countifs({filter('Students (Vertical)'!O:O,'Students (Vertical)'!C:C=B979,'Students (Vertical)'!O:O&lt;&gt;"""");filter('Students (Vertical)'!O:O,'Students (Vertical)'!C:C=E979,'Students (Vertical)'!O:O&lt;&gt;"""")},{filter('Students (Vertical)'!O:O,'Students ("&amp;"Vertical)'!C:C=B979,'Students (Vertical)'!O:O&lt;&gt;"""");filter('Students (Vertical)'!O:O,'Students (Vertical)'!C:C=E979,'Students (Vertical)'!O:O&lt;&gt;"""")})&gt;1))),""No shared courses""),"""")"),"")</f>
        <v/>
      </c>
      <c r="J979" s="94" t="str">
        <f>IFERROR(__xludf.DUMMYFUNCTION("if(H979=""Can't be Together"",iferror(join("", "",unique(filter({unique(filter('Students (Vertical)'!O:O,'Students (Vertical)'!C:C=B979,'Students (Vertical)'!O:O&lt;&gt;"""",'Students (Vertical)'!P:P&gt;1));unique(filter('Students (Vertical)'!O:O,'Students (Vertic"&amp;"al)'!C:C=E979,'Students (Vertical)'!O:O&lt;&gt;"""",'Students (Vertical)'!P:P&gt;1))},countifs({unique(filter('Students (Vertical)'!O:O,'Students (Vertical)'!C:C=B979,'Students (Vertical)'!O:O&lt;&gt;"""",'Students (Vertical)'!P:P&gt;1));unique(filter('Students (Vertical)'"&amp;"!O:O,'Students (Vertical)'!C:C=E979,'Students (Vertical)'!O:O&lt;&gt;"""",'Students (Vertical)'!P:P&gt;1))},{unique(filter('Students (Vertical)'!O:O,'Students (Vertical)'!C:C=B979,'Students (Vertical)'!O:O&lt;&gt;"""",'Students (Vertical)'!P:P&gt;1));unique(filter('Student"&amp;"s (Vertical)'!O:O,'Students (Vertical)'!C:C=E979,'Students (Vertical)'!O:O&lt;&gt;"""",'Students (Vertical)'!P:P&gt;1))})&gt;1))),""""),"""")"),"")</f>
        <v/>
      </c>
      <c r="K979" s="96" t="str">
        <f>IFERROR(__xludf.DUMMYFUNCTION("iferror(join("", "",unique(filter({filter('Students (Vertical)'!D:D,'Students (Vertical)'!C:C=B979,'Students (Vertical)'!D:D&lt;&gt;"""");filter('Students (Vertical)'!D:D,'Students (Vertical)'!C:C=E979,'Students (Vertical)'!D:D&lt;&gt;"""")},countifs({filter('Student"&amp;"s (Vertical)'!D:D,'Students (Vertical)'!C:C=B979,'Students (Vertical)'!D:D&lt;&gt;"""");filter('Students (Vertical)'!D:D,'Students (Vertical)'!C:C=E979,'Students (Vertical)'!D:D&lt;&gt;"""")},{filter('Students (Vertical)'!D:D,'Students (Vertical)'!C:C=B979,'Students "&amp;"(Vertical)'!D:D&lt;&gt;"""");filter('Students (Vertical)'!D:D,'Students (Vertical)'!C:C=E979,'Students (Vertical)'!D:D&lt;&gt;"""")})&gt;1))),"""")"),"")</f>
        <v/>
      </c>
      <c r="L979" s="96"/>
      <c r="M979" s="96"/>
    </row>
    <row r="980" hidden="1">
      <c r="A980" s="8" t="s">
        <v>8</v>
      </c>
      <c r="C980" s="8" t="s">
        <v>8</v>
      </c>
      <c r="D980" s="8" t="s">
        <v>8</v>
      </c>
      <c r="F980" s="8" t="s">
        <v>8</v>
      </c>
      <c r="G980" s="8" t="s">
        <v>8</v>
      </c>
      <c r="I980" s="94" t="str">
        <f>IFERROR(__xludf.DUMMYFUNCTION("if(H980=""Must be Together"",iferror(join("", "",unique(filter({filter('Students (Vertical)'!O:O,'Students (Vertical)'!C:C=B980,'Students (Vertical)'!O:O&lt;&gt;"""");filter('Students (Vertical)'!O:O,'Students (Vertical)'!C:C=E980,'Students (Vertical)'!O:O&lt;&gt;"""&amp;""")},countifs({filter('Students (Vertical)'!O:O,'Students (Vertical)'!C:C=B980,'Students (Vertical)'!O:O&lt;&gt;"""");filter('Students (Vertical)'!O:O,'Students (Vertical)'!C:C=E980,'Students (Vertical)'!O:O&lt;&gt;"""")},{filter('Students (Vertical)'!O:O,'Students ("&amp;"Vertical)'!C:C=B980,'Students (Vertical)'!O:O&lt;&gt;"""");filter('Students (Vertical)'!O:O,'Students (Vertical)'!C:C=E980,'Students (Vertical)'!O:O&lt;&gt;"""")})&gt;1))),""No shared courses""),"""")"),"")</f>
        <v/>
      </c>
      <c r="J980" s="94" t="str">
        <f>IFERROR(__xludf.DUMMYFUNCTION("if(H980=""Can't be Together"",iferror(join("", "",unique(filter({unique(filter('Students (Vertical)'!O:O,'Students (Vertical)'!C:C=B980,'Students (Vertical)'!O:O&lt;&gt;"""",'Students (Vertical)'!P:P&gt;1));unique(filter('Students (Vertical)'!O:O,'Students (Vertic"&amp;"al)'!C:C=E980,'Students (Vertical)'!O:O&lt;&gt;"""",'Students (Vertical)'!P:P&gt;1))},countifs({unique(filter('Students (Vertical)'!O:O,'Students (Vertical)'!C:C=B980,'Students (Vertical)'!O:O&lt;&gt;"""",'Students (Vertical)'!P:P&gt;1));unique(filter('Students (Vertical)'"&amp;"!O:O,'Students (Vertical)'!C:C=E980,'Students (Vertical)'!O:O&lt;&gt;"""",'Students (Vertical)'!P:P&gt;1))},{unique(filter('Students (Vertical)'!O:O,'Students (Vertical)'!C:C=B980,'Students (Vertical)'!O:O&lt;&gt;"""",'Students (Vertical)'!P:P&gt;1));unique(filter('Student"&amp;"s (Vertical)'!O:O,'Students (Vertical)'!C:C=E980,'Students (Vertical)'!O:O&lt;&gt;"""",'Students (Vertical)'!P:P&gt;1))})&gt;1))),""""),"""")"),"")</f>
        <v/>
      </c>
      <c r="K980" s="96" t="str">
        <f>IFERROR(__xludf.DUMMYFUNCTION("iferror(join("", "",unique(filter({filter('Students (Vertical)'!D:D,'Students (Vertical)'!C:C=B980,'Students (Vertical)'!D:D&lt;&gt;"""");filter('Students (Vertical)'!D:D,'Students (Vertical)'!C:C=E980,'Students (Vertical)'!D:D&lt;&gt;"""")},countifs({filter('Student"&amp;"s (Vertical)'!D:D,'Students (Vertical)'!C:C=B980,'Students (Vertical)'!D:D&lt;&gt;"""");filter('Students (Vertical)'!D:D,'Students (Vertical)'!C:C=E980,'Students (Vertical)'!D:D&lt;&gt;"""")},{filter('Students (Vertical)'!D:D,'Students (Vertical)'!C:C=B980,'Students "&amp;"(Vertical)'!D:D&lt;&gt;"""");filter('Students (Vertical)'!D:D,'Students (Vertical)'!C:C=E980,'Students (Vertical)'!D:D&lt;&gt;"""")})&gt;1))),"""")"),"")</f>
        <v/>
      </c>
      <c r="L980" s="96"/>
      <c r="M980" s="96"/>
    </row>
    <row r="981" hidden="1">
      <c r="A981" s="8" t="s">
        <v>8</v>
      </c>
      <c r="C981" s="8" t="s">
        <v>8</v>
      </c>
      <c r="D981" s="8" t="s">
        <v>8</v>
      </c>
      <c r="F981" s="8" t="s">
        <v>8</v>
      </c>
      <c r="G981" s="8" t="s">
        <v>8</v>
      </c>
      <c r="I981" s="94" t="str">
        <f>IFERROR(__xludf.DUMMYFUNCTION("if(H981=""Must be Together"",iferror(join("", "",unique(filter({filter('Students (Vertical)'!O:O,'Students (Vertical)'!C:C=B981,'Students (Vertical)'!O:O&lt;&gt;"""");filter('Students (Vertical)'!O:O,'Students (Vertical)'!C:C=E981,'Students (Vertical)'!O:O&lt;&gt;"""&amp;""")},countifs({filter('Students (Vertical)'!O:O,'Students (Vertical)'!C:C=B981,'Students (Vertical)'!O:O&lt;&gt;"""");filter('Students (Vertical)'!O:O,'Students (Vertical)'!C:C=E981,'Students (Vertical)'!O:O&lt;&gt;"""")},{filter('Students (Vertical)'!O:O,'Students ("&amp;"Vertical)'!C:C=B981,'Students (Vertical)'!O:O&lt;&gt;"""");filter('Students (Vertical)'!O:O,'Students (Vertical)'!C:C=E981,'Students (Vertical)'!O:O&lt;&gt;"""")})&gt;1))),""No shared courses""),"""")"),"")</f>
        <v/>
      </c>
      <c r="J981" s="94" t="str">
        <f>IFERROR(__xludf.DUMMYFUNCTION("if(H981=""Can't be Together"",iferror(join("", "",unique(filter({unique(filter('Students (Vertical)'!O:O,'Students (Vertical)'!C:C=B981,'Students (Vertical)'!O:O&lt;&gt;"""",'Students (Vertical)'!P:P&gt;1));unique(filter('Students (Vertical)'!O:O,'Students (Vertic"&amp;"al)'!C:C=E981,'Students (Vertical)'!O:O&lt;&gt;"""",'Students (Vertical)'!P:P&gt;1))},countifs({unique(filter('Students (Vertical)'!O:O,'Students (Vertical)'!C:C=B981,'Students (Vertical)'!O:O&lt;&gt;"""",'Students (Vertical)'!P:P&gt;1));unique(filter('Students (Vertical)'"&amp;"!O:O,'Students (Vertical)'!C:C=E981,'Students (Vertical)'!O:O&lt;&gt;"""",'Students (Vertical)'!P:P&gt;1))},{unique(filter('Students (Vertical)'!O:O,'Students (Vertical)'!C:C=B981,'Students (Vertical)'!O:O&lt;&gt;"""",'Students (Vertical)'!P:P&gt;1));unique(filter('Student"&amp;"s (Vertical)'!O:O,'Students (Vertical)'!C:C=E981,'Students (Vertical)'!O:O&lt;&gt;"""",'Students (Vertical)'!P:P&gt;1))})&gt;1))),""""),"""")"),"")</f>
        <v/>
      </c>
      <c r="K981" s="96" t="str">
        <f>IFERROR(__xludf.DUMMYFUNCTION("iferror(join("", "",unique(filter({filter('Students (Vertical)'!D:D,'Students (Vertical)'!C:C=B981,'Students (Vertical)'!D:D&lt;&gt;"""");filter('Students (Vertical)'!D:D,'Students (Vertical)'!C:C=E981,'Students (Vertical)'!D:D&lt;&gt;"""")},countifs({filter('Student"&amp;"s (Vertical)'!D:D,'Students (Vertical)'!C:C=B981,'Students (Vertical)'!D:D&lt;&gt;"""");filter('Students (Vertical)'!D:D,'Students (Vertical)'!C:C=E981,'Students (Vertical)'!D:D&lt;&gt;"""")},{filter('Students (Vertical)'!D:D,'Students (Vertical)'!C:C=B981,'Students "&amp;"(Vertical)'!D:D&lt;&gt;"""");filter('Students (Vertical)'!D:D,'Students (Vertical)'!C:C=E981,'Students (Vertical)'!D:D&lt;&gt;"""")})&gt;1))),"""")"),"")</f>
        <v/>
      </c>
      <c r="L981" s="96"/>
      <c r="M981" s="96"/>
    </row>
    <row r="982" hidden="1">
      <c r="A982" s="8" t="s">
        <v>8</v>
      </c>
      <c r="C982" s="8" t="s">
        <v>8</v>
      </c>
      <c r="D982" s="8" t="s">
        <v>8</v>
      </c>
      <c r="F982" s="8" t="s">
        <v>8</v>
      </c>
      <c r="G982" s="8" t="s">
        <v>8</v>
      </c>
      <c r="I982" s="94" t="str">
        <f>IFERROR(__xludf.DUMMYFUNCTION("if(H982=""Must be Together"",iferror(join("", "",unique(filter({filter('Students (Vertical)'!O:O,'Students (Vertical)'!C:C=B982,'Students (Vertical)'!O:O&lt;&gt;"""");filter('Students (Vertical)'!O:O,'Students (Vertical)'!C:C=E982,'Students (Vertical)'!O:O&lt;&gt;"""&amp;""")},countifs({filter('Students (Vertical)'!O:O,'Students (Vertical)'!C:C=B982,'Students (Vertical)'!O:O&lt;&gt;"""");filter('Students (Vertical)'!O:O,'Students (Vertical)'!C:C=E982,'Students (Vertical)'!O:O&lt;&gt;"""")},{filter('Students (Vertical)'!O:O,'Students ("&amp;"Vertical)'!C:C=B982,'Students (Vertical)'!O:O&lt;&gt;"""");filter('Students (Vertical)'!O:O,'Students (Vertical)'!C:C=E982,'Students (Vertical)'!O:O&lt;&gt;"""")})&gt;1))),""No shared courses""),"""")"),"")</f>
        <v/>
      </c>
      <c r="J982" s="94" t="str">
        <f>IFERROR(__xludf.DUMMYFUNCTION("if(H982=""Can't be Together"",iferror(join("", "",unique(filter({unique(filter('Students (Vertical)'!O:O,'Students (Vertical)'!C:C=B982,'Students (Vertical)'!O:O&lt;&gt;"""",'Students (Vertical)'!P:P&gt;1));unique(filter('Students (Vertical)'!O:O,'Students (Vertic"&amp;"al)'!C:C=E982,'Students (Vertical)'!O:O&lt;&gt;"""",'Students (Vertical)'!P:P&gt;1))},countifs({unique(filter('Students (Vertical)'!O:O,'Students (Vertical)'!C:C=B982,'Students (Vertical)'!O:O&lt;&gt;"""",'Students (Vertical)'!P:P&gt;1));unique(filter('Students (Vertical)'"&amp;"!O:O,'Students (Vertical)'!C:C=E982,'Students (Vertical)'!O:O&lt;&gt;"""",'Students (Vertical)'!P:P&gt;1))},{unique(filter('Students (Vertical)'!O:O,'Students (Vertical)'!C:C=B982,'Students (Vertical)'!O:O&lt;&gt;"""",'Students (Vertical)'!P:P&gt;1));unique(filter('Student"&amp;"s (Vertical)'!O:O,'Students (Vertical)'!C:C=E982,'Students (Vertical)'!O:O&lt;&gt;"""",'Students (Vertical)'!P:P&gt;1))})&gt;1))),""""),"""")"),"")</f>
        <v/>
      </c>
      <c r="K982" s="96" t="str">
        <f>IFERROR(__xludf.DUMMYFUNCTION("iferror(join("", "",unique(filter({filter('Students (Vertical)'!D:D,'Students (Vertical)'!C:C=B982,'Students (Vertical)'!D:D&lt;&gt;"""");filter('Students (Vertical)'!D:D,'Students (Vertical)'!C:C=E982,'Students (Vertical)'!D:D&lt;&gt;"""")},countifs({filter('Student"&amp;"s (Vertical)'!D:D,'Students (Vertical)'!C:C=B982,'Students (Vertical)'!D:D&lt;&gt;"""");filter('Students (Vertical)'!D:D,'Students (Vertical)'!C:C=E982,'Students (Vertical)'!D:D&lt;&gt;"""")},{filter('Students (Vertical)'!D:D,'Students (Vertical)'!C:C=B982,'Students "&amp;"(Vertical)'!D:D&lt;&gt;"""");filter('Students (Vertical)'!D:D,'Students (Vertical)'!C:C=E982,'Students (Vertical)'!D:D&lt;&gt;"""")})&gt;1))),"""")"),"")</f>
        <v/>
      </c>
      <c r="L982" s="96"/>
      <c r="M982" s="96"/>
    </row>
    <row r="983" hidden="1">
      <c r="A983" s="8" t="s">
        <v>8</v>
      </c>
      <c r="C983" s="8" t="s">
        <v>8</v>
      </c>
      <c r="D983" s="8" t="s">
        <v>8</v>
      </c>
      <c r="F983" s="8" t="s">
        <v>8</v>
      </c>
      <c r="G983" s="8" t="s">
        <v>8</v>
      </c>
      <c r="I983" s="94" t="str">
        <f>IFERROR(__xludf.DUMMYFUNCTION("if(H983=""Must be Together"",iferror(join("", "",unique(filter({filter('Students (Vertical)'!O:O,'Students (Vertical)'!C:C=B983,'Students (Vertical)'!O:O&lt;&gt;"""");filter('Students (Vertical)'!O:O,'Students (Vertical)'!C:C=E983,'Students (Vertical)'!O:O&lt;&gt;"""&amp;""")},countifs({filter('Students (Vertical)'!O:O,'Students (Vertical)'!C:C=B983,'Students (Vertical)'!O:O&lt;&gt;"""");filter('Students (Vertical)'!O:O,'Students (Vertical)'!C:C=E983,'Students (Vertical)'!O:O&lt;&gt;"""")},{filter('Students (Vertical)'!O:O,'Students ("&amp;"Vertical)'!C:C=B983,'Students (Vertical)'!O:O&lt;&gt;"""");filter('Students (Vertical)'!O:O,'Students (Vertical)'!C:C=E983,'Students (Vertical)'!O:O&lt;&gt;"""")})&gt;1))),""No shared courses""),"""")"),"")</f>
        <v/>
      </c>
      <c r="J983" s="94" t="str">
        <f>IFERROR(__xludf.DUMMYFUNCTION("if(H983=""Can't be Together"",iferror(join("", "",unique(filter({unique(filter('Students (Vertical)'!O:O,'Students (Vertical)'!C:C=B983,'Students (Vertical)'!O:O&lt;&gt;"""",'Students (Vertical)'!P:P&gt;1));unique(filter('Students (Vertical)'!O:O,'Students (Vertic"&amp;"al)'!C:C=E983,'Students (Vertical)'!O:O&lt;&gt;"""",'Students (Vertical)'!P:P&gt;1))},countifs({unique(filter('Students (Vertical)'!O:O,'Students (Vertical)'!C:C=B983,'Students (Vertical)'!O:O&lt;&gt;"""",'Students (Vertical)'!P:P&gt;1));unique(filter('Students (Vertical)'"&amp;"!O:O,'Students (Vertical)'!C:C=E983,'Students (Vertical)'!O:O&lt;&gt;"""",'Students (Vertical)'!P:P&gt;1))},{unique(filter('Students (Vertical)'!O:O,'Students (Vertical)'!C:C=B983,'Students (Vertical)'!O:O&lt;&gt;"""",'Students (Vertical)'!P:P&gt;1));unique(filter('Student"&amp;"s (Vertical)'!O:O,'Students (Vertical)'!C:C=E983,'Students (Vertical)'!O:O&lt;&gt;"""",'Students (Vertical)'!P:P&gt;1))})&gt;1))),""""),"""")"),"")</f>
        <v/>
      </c>
      <c r="K983" s="96" t="str">
        <f>IFERROR(__xludf.DUMMYFUNCTION("iferror(join("", "",unique(filter({filter('Students (Vertical)'!D:D,'Students (Vertical)'!C:C=B983,'Students (Vertical)'!D:D&lt;&gt;"""");filter('Students (Vertical)'!D:D,'Students (Vertical)'!C:C=E983,'Students (Vertical)'!D:D&lt;&gt;"""")},countifs({filter('Student"&amp;"s (Vertical)'!D:D,'Students (Vertical)'!C:C=B983,'Students (Vertical)'!D:D&lt;&gt;"""");filter('Students (Vertical)'!D:D,'Students (Vertical)'!C:C=E983,'Students (Vertical)'!D:D&lt;&gt;"""")},{filter('Students (Vertical)'!D:D,'Students (Vertical)'!C:C=B983,'Students "&amp;"(Vertical)'!D:D&lt;&gt;"""");filter('Students (Vertical)'!D:D,'Students (Vertical)'!C:C=E983,'Students (Vertical)'!D:D&lt;&gt;"""")})&gt;1))),"""")"),"")</f>
        <v/>
      </c>
      <c r="L983" s="96"/>
      <c r="M983" s="96"/>
    </row>
    <row r="984" hidden="1">
      <c r="A984" s="8" t="s">
        <v>8</v>
      </c>
      <c r="C984" s="8" t="s">
        <v>8</v>
      </c>
      <c r="D984" s="8" t="s">
        <v>8</v>
      </c>
      <c r="F984" s="8" t="s">
        <v>8</v>
      </c>
      <c r="G984" s="8" t="s">
        <v>8</v>
      </c>
      <c r="I984" s="94" t="str">
        <f>IFERROR(__xludf.DUMMYFUNCTION("if(H984=""Must be Together"",iferror(join("", "",unique(filter({filter('Students (Vertical)'!O:O,'Students (Vertical)'!C:C=B984,'Students (Vertical)'!O:O&lt;&gt;"""");filter('Students (Vertical)'!O:O,'Students (Vertical)'!C:C=E984,'Students (Vertical)'!O:O&lt;&gt;"""&amp;""")},countifs({filter('Students (Vertical)'!O:O,'Students (Vertical)'!C:C=B984,'Students (Vertical)'!O:O&lt;&gt;"""");filter('Students (Vertical)'!O:O,'Students (Vertical)'!C:C=E984,'Students (Vertical)'!O:O&lt;&gt;"""")},{filter('Students (Vertical)'!O:O,'Students ("&amp;"Vertical)'!C:C=B984,'Students (Vertical)'!O:O&lt;&gt;"""");filter('Students (Vertical)'!O:O,'Students (Vertical)'!C:C=E984,'Students (Vertical)'!O:O&lt;&gt;"""")})&gt;1))),""No shared courses""),"""")"),"")</f>
        <v/>
      </c>
      <c r="J984" s="94" t="str">
        <f>IFERROR(__xludf.DUMMYFUNCTION("if(H984=""Can't be Together"",iferror(join("", "",unique(filter({unique(filter('Students (Vertical)'!O:O,'Students (Vertical)'!C:C=B984,'Students (Vertical)'!O:O&lt;&gt;"""",'Students (Vertical)'!P:P&gt;1));unique(filter('Students (Vertical)'!O:O,'Students (Vertic"&amp;"al)'!C:C=E984,'Students (Vertical)'!O:O&lt;&gt;"""",'Students (Vertical)'!P:P&gt;1))},countifs({unique(filter('Students (Vertical)'!O:O,'Students (Vertical)'!C:C=B984,'Students (Vertical)'!O:O&lt;&gt;"""",'Students (Vertical)'!P:P&gt;1));unique(filter('Students (Vertical)'"&amp;"!O:O,'Students (Vertical)'!C:C=E984,'Students (Vertical)'!O:O&lt;&gt;"""",'Students (Vertical)'!P:P&gt;1))},{unique(filter('Students (Vertical)'!O:O,'Students (Vertical)'!C:C=B984,'Students (Vertical)'!O:O&lt;&gt;"""",'Students (Vertical)'!P:P&gt;1));unique(filter('Student"&amp;"s (Vertical)'!O:O,'Students (Vertical)'!C:C=E984,'Students (Vertical)'!O:O&lt;&gt;"""",'Students (Vertical)'!P:P&gt;1))})&gt;1))),""""),"""")"),"")</f>
        <v/>
      </c>
      <c r="K984" s="96" t="str">
        <f>IFERROR(__xludf.DUMMYFUNCTION("iferror(join("", "",unique(filter({filter('Students (Vertical)'!D:D,'Students (Vertical)'!C:C=B984,'Students (Vertical)'!D:D&lt;&gt;"""");filter('Students (Vertical)'!D:D,'Students (Vertical)'!C:C=E984,'Students (Vertical)'!D:D&lt;&gt;"""")},countifs({filter('Student"&amp;"s (Vertical)'!D:D,'Students (Vertical)'!C:C=B984,'Students (Vertical)'!D:D&lt;&gt;"""");filter('Students (Vertical)'!D:D,'Students (Vertical)'!C:C=E984,'Students (Vertical)'!D:D&lt;&gt;"""")},{filter('Students (Vertical)'!D:D,'Students (Vertical)'!C:C=B984,'Students "&amp;"(Vertical)'!D:D&lt;&gt;"""");filter('Students (Vertical)'!D:D,'Students (Vertical)'!C:C=E984,'Students (Vertical)'!D:D&lt;&gt;"""")})&gt;1))),"""")"),"")</f>
        <v/>
      </c>
      <c r="L984" s="96"/>
      <c r="M984" s="96"/>
    </row>
    <row r="985" hidden="1">
      <c r="A985" s="8" t="s">
        <v>8</v>
      </c>
      <c r="C985" s="8" t="s">
        <v>8</v>
      </c>
      <c r="D985" s="8" t="s">
        <v>8</v>
      </c>
      <c r="F985" s="8" t="s">
        <v>8</v>
      </c>
      <c r="G985" s="8" t="s">
        <v>8</v>
      </c>
      <c r="I985" s="94" t="str">
        <f>IFERROR(__xludf.DUMMYFUNCTION("if(H985=""Must be Together"",iferror(join("", "",unique(filter({filter('Students (Vertical)'!O:O,'Students (Vertical)'!C:C=B985,'Students (Vertical)'!O:O&lt;&gt;"""");filter('Students (Vertical)'!O:O,'Students (Vertical)'!C:C=E985,'Students (Vertical)'!O:O&lt;&gt;"""&amp;""")},countifs({filter('Students (Vertical)'!O:O,'Students (Vertical)'!C:C=B985,'Students (Vertical)'!O:O&lt;&gt;"""");filter('Students (Vertical)'!O:O,'Students (Vertical)'!C:C=E985,'Students (Vertical)'!O:O&lt;&gt;"""")},{filter('Students (Vertical)'!O:O,'Students ("&amp;"Vertical)'!C:C=B985,'Students (Vertical)'!O:O&lt;&gt;"""");filter('Students (Vertical)'!O:O,'Students (Vertical)'!C:C=E985,'Students (Vertical)'!O:O&lt;&gt;"""")})&gt;1))),""No shared courses""),"""")"),"")</f>
        <v/>
      </c>
      <c r="J985" s="94" t="str">
        <f>IFERROR(__xludf.DUMMYFUNCTION("if(H985=""Can't be Together"",iferror(join("", "",unique(filter({unique(filter('Students (Vertical)'!O:O,'Students (Vertical)'!C:C=B985,'Students (Vertical)'!O:O&lt;&gt;"""",'Students (Vertical)'!P:P&gt;1));unique(filter('Students (Vertical)'!O:O,'Students (Vertic"&amp;"al)'!C:C=E985,'Students (Vertical)'!O:O&lt;&gt;"""",'Students (Vertical)'!P:P&gt;1))},countifs({unique(filter('Students (Vertical)'!O:O,'Students (Vertical)'!C:C=B985,'Students (Vertical)'!O:O&lt;&gt;"""",'Students (Vertical)'!P:P&gt;1));unique(filter('Students (Vertical)'"&amp;"!O:O,'Students (Vertical)'!C:C=E985,'Students (Vertical)'!O:O&lt;&gt;"""",'Students (Vertical)'!P:P&gt;1))},{unique(filter('Students (Vertical)'!O:O,'Students (Vertical)'!C:C=B985,'Students (Vertical)'!O:O&lt;&gt;"""",'Students (Vertical)'!P:P&gt;1));unique(filter('Student"&amp;"s (Vertical)'!O:O,'Students (Vertical)'!C:C=E985,'Students (Vertical)'!O:O&lt;&gt;"""",'Students (Vertical)'!P:P&gt;1))})&gt;1))),""""),"""")"),"")</f>
        <v/>
      </c>
      <c r="K985" s="96" t="str">
        <f>IFERROR(__xludf.DUMMYFUNCTION("iferror(join("", "",unique(filter({filter('Students (Vertical)'!D:D,'Students (Vertical)'!C:C=B985,'Students (Vertical)'!D:D&lt;&gt;"""");filter('Students (Vertical)'!D:D,'Students (Vertical)'!C:C=E985,'Students (Vertical)'!D:D&lt;&gt;"""")},countifs({filter('Student"&amp;"s (Vertical)'!D:D,'Students (Vertical)'!C:C=B985,'Students (Vertical)'!D:D&lt;&gt;"""");filter('Students (Vertical)'!D:D,'Students (Vertical)'!C:C=E985,'Students (Vertical)'!D:D&lt;&gt;"""")},{filter('Students (Vertical)'!D:D,'Students (Vertical)'!C:C=B985,'Students "&amp;"(Vertical)'!D:D&lt;&gt;"""");filter('Students (Vertical)'!D:D,'Students (Vertical)'!C:C=E985,'Students (Vertical)'!D:D&lt;&gt;"""")})&gt;1))),"""")"),"")</f>
        <v/>
      </c>
      <c r="L985" s="96"/>
      <c r="M985" s="96"/>
    </row>
    <row r="986" hidden="1">
      <c r="A986" s="8" t="s">
        <v>8</v>
      </c>
      <c r="C986" s="8" t="s">
        <v>8</v>
      </c>
      <c r="D986" s="8" t="s">
        <v>8</v>
      </c>
      <c r="F986" s="8" t="s">
        <v>8</v>
      </c>
      <c r="G986" s="8" t="s">
        <v>8</v>
      </c>
      <c r="I986" s="94" t="str">
        <f>IFERROR(__xludf.DUMMYFUNCTION("if(H986=""Must be Together"",iferror(join("", "",unique(filter({filter('Students (Vertical)'!O:O,'Students (Vertical)'!C:C=B986,'Students (Vertical)'!O:O&lt;&gt;"""");filter('Students (Vertical)'!O:O,'Students (Vertical)'!C:C=E986,'Students (Vertical)'!O:O&lt;&gt;"""&amp;""")},countifs({filter('Students (Vertical)'!O:O,'Students (Vertical)'!C:C=B986,'Students (Vertical)'!O:O&lt;&gt;"""");filter('Students (Vertical)'!O:O,'Students (Vertical)'!C:C=E986,'Students (Vertical)'!O:O&lt;&gt;"""")},{filter('Students (Vertical)'!O:O,'Students ("&amp;"Vertical)'!C:C=B986,'Students (Vertical)'!O:O&lt;&gt;"""");filter('Students (Vertical)'!O:O,'Students (Vertical)'!C:C=E986,'Students (Vertical)'!O:O&lt;&gt;"""")})&gt;1))),""No shared courses""),"""")"),"")</f>
        <v/>
      </c>
      <c r="J986" s="94" t="str">
        <f>IFERROR(__xludf.DUMMYFUNCTION("if(H986=""Can't be Together"",iferror(join("", "",unique(filter({unique(filter('Students (Vertical)'!O:O,'Students (Vertical)'!C:C=B986,'Students (Vertical)'!O:O&lt;&gt;"""",'Students (Vertical)'!P:P&gt;1));unique(filter('Students (Vertical)'!O:O,'Students (Vertic"&amp;"al)'!C:C=E986,'Students (Vertical)'!O:O&lt;&gt;"""",'Students (Vertical)'!P:P&gt;1))},countifs({unique(filter('Students (Vertical)'!O:O,'Students (Vertical)'!C:C=B986,'Students (Vertical)'!O:O&lt;&gt;"""",'Students (Vertical)'!P:P&gt;1));unique(filter('Students (Vertical)'"&amp;"!O:O,'Students (Vertical)'!C:C=E986,'Students (Vertical)'!O:O&lt;&gt;"""",'Students (Vertical)'!P:P&gt;1))},{unique(filter('Students (Vertical)'!O:O,'Students (Vertical)'!C:C=B986,'Students (Vertical)'!O:O&lt;&gt;"""",'Students (Vertical)'!P:P&gt;1));unique(filter('Student"&amp;"s (Vertical)'!O:O,'Students (Vertical)'!C:C=E986,'Students (Vertical)'!O:O&lt;&gt;"""",'Students (Vertical)'!P:P&gt;1))})&gt;1))),""""),"""")"),"")</f>
        <v/>
      </c>
      <c r="K986" s="96" t="str">
        <f>IFERROR(__xludf.DUMMYFUNCTION("iferror(join("", "",unique(filter({filter('Students (Vertical)'!D:D,'Students (Vertical)'!C:C=B986,'Students (Vertical)'!D:D&lt;&gt;"""");filter('Students (Vertical)'!D:D,'Students (Vertical)'!C:C=E986,'Students (Vertical)'!D:D&lt;&gt;"""")},countifs({filter('Student"&amp;"s (Vertical)'!D:D,'Students (Vertical)'!C:C=B986,'Students (Vertical)'!D:D&lt;&gt;"""");filter('Students (Vertical)'!D:D,'Students (Vertical)'!C:C=E986,'Students (Vertical)'!D:D&lt;&gt;"""")},{filter('Students (Vertical)'!D:D,'Students (Vertical)'!C:C=B986,'Students "&amp;"(Vertical)'!D:D&lt;&gt;"""");filter('Students (Vertical)'!D:D,'Students (Vertical)'!C:C=E986,'Students (Vertical)'!D:D&lt;&gt;"""")})&gt;1))),"""")"),"")</f>
        <v/>
      </c>
      <c r="L986" s="96"/>
      <c r="M986" s="96"/>
    </row>
    <row r="987" hidden="1">
      <c r="A987" s="8" t="s">
        <v>8</v>
      </c>
      <c r="C987" s="8" t="s">
        <v>8</v>
      </c>
      <c r="D987" s="8" t="s">
        <v>8</v>
      </c>
      <c r="F987" s="8" t="s">
        <v>8</v>
      </c>
      <c r="G987" s="8" t="s">
        <v>8</v>
      </c>
      <c r="I987" s="94" t="str">
        <f>IFERROR(__xludf.DUMMYFUNCTION("if(H987=""Must be Together"",iferror(join("", "",unique(filter({filter('Students (Vertical)'!O:O,'Students (Vertical)'!C:C=B987,'Students (Vertical)'!O:O&lt;&gt;"""");filter('Students (Vertical)'!O:O,'Students (Vertical)'!C:C=E987,'Students (Vertical)'!O:O&lt;&gt;"""&amp;""")},countifs({filter('Students (Vertical)'!O:O,'Students (Vertical)'!C:C=B987,'Students (Vertical)'!O:O&lt;&gt;"""");filter('Students (Vertical)'!O:O,'Students (Vertical)'!C:C=E987,'Students (Vertical)'!O:O&lt;&gt;"""")},{filter('Students (Vertical)'!O:O,'Students ("&amp;"Vertical)'!C:C=B987,'Students (Vertical)'!O:O&lt;&gt;"""");filter('Students (Vertical)'!O:O,'Students (Vertical)'!C:C=E987,'Students (Vertical)'!O:O&lt;&gt;"""")})&gt;1))),""No shared courses""),"""")"),"")</f>
        <v/>
      </c>
      <c r="J987" s="94" t="str">
        <f>IFERROR(__xludf.DUMMYFUNCTION("if(H987=""Can't be Together"",iferror(join("", "",unique(filter({unique(filter('Students (Vertical)'!O:O,'Students (Vertical)'!C:C=B987,'Students (Vertical)'!O:O&lt;&gt;"""",'Students (Vertical)'!P:P&gt;1));unique(filter('Students (Vertical)'!O:O,'Students (Vertic"&amp;"al)'!C:C=E987,'Students (Vertical)'!O:O&lt;&gt;"""",'Students (Vertical)'!P:P&gt;1))},countifs({unique(filter('Students (Vertical)'!O:O,'Students (Vertical)'!C:C=B987,'Students (Vertical)'!O:O&lt;&gt;"""",'Students (Vertical)'!P:P&gt;1));unique(filter('Students (Vertical)'"&amp;"!O:O,'Students (Vertical)'!C:C=E987,'Students (Vertical)'!O:O&lt;&gt;"""",'Students (Vertical)'!P:P&gt;1))},{unique(filter('Students (Vertical)'!O:O,'Students (Vertical)'!C:C=B987,'Students (Vertical)'!O:O&lt;&gt;"""",'Students (Vertical)'!P:P&gt;1));unique(filter('Student"&amp;"s (Vertical)'!O:O,'Students (Vertical)'!C:C=E987,'Students (Vertical)'!O:O&lt;&gt;"""",'Students (Vertical)'!P:P&gt;1))})&gt;1))),""""),"""")"),"")</f>
        <v/>
      </c>
      <c r="K987" s="96" t="str">
        <f>IFERROR(__xludf.DUMMYFUNCTION("iferror(join("", "",unique(filter({filter('Students (Vertical)'!D:D,'Students (Vertical)'!C:C=B987,'Students (Vertical)'!D:D&lt;&gt;"""");filter('Students (Vertical)'!D:D,'Students (Vertical)'!C:C=E987,'Students (Vertical)'!D:D&lt;&gt;"""")},countifs({filter('Student"&amp;"s (Vertical)'!D:D,'Students (Vertical)'!C:C=B987,'Students (Vertical)'!D:D&lt;&gt;"""");filter('Students (Vertical)'!D:D,'Students (Vertical)'!C:C=E987,'Students (Vertical)'!D:D&lt;&gt;"""")},{filter('Students (Vertical)'!D:D,'Students (Vertical)'!C:C=B987,'Students "&amp;"(Vertical)'!D:D&lt;&gt;"""");filter('Students (Vertical)'!D:D,'Students (Vertical)'!C:C=E987,'Students (Vertical)'!D:D&lt;&gt;"""")})&gt;1))),"""")"),"")</f>
        <v/>
      </c>
      <c r="L987" s="96"/>
      <c r="M987" s="96"/>
    </row>
    <row r="988" hidden="1">
      <c r="A988" s="8" t="s">
        <v>8</v>
      </c>
      <c r="C988" s="8" t="s">
        <v>8</v>
      </c>
      <c r="D988" s="8" t="s">
        <v>8</v>
      </c>
      <c r="F988" s="8" t="s">
        <v>8</v>
      </c>
      <c r="G988" s="8" t="s">
        <v>8</v>
      </c>
      <c r="I988" s="94" t="str">
        <f>IFERROR(__xludf.DUMMYFUNCTION("if(H988=""Must be Together"",iferror(join("", "",unique(filter({filter('Students (Vertical)'!O:O,'Students (Vertical)'!C:C=B988,'Students (Vertical)'!O:O&lt;&gt;"""");filter('Students (Vertical)'!O:O,'Students (Vertical)'!C:C=E988,'Students (Vertical)'!O:O&lt;&gt;"""&amp;""")},countifs({filter('Students (Vertical)'!O:O,'Students (Vertical)'!C:C=B988,'Students (Vertical)'!O:O&lt;&gt;"""");filter('Students (Vertical)'!O:O,'Students (Vertical)'!C:C=E988,'Students (Vertical)'!O:O&lt;&gt;"""")},{filter('Students (Vertical)'!O:O,'Students ("&amp;"Vertical)'!C:C=B988,'Students (Vertical)'!O:O&lt;&gt;"""");filter('Students (Vertical)'!O:O,'Students (Vertical)'!C:C=E988,'Students (Vertical)'!O:O&lt;&gt;"""")})&gt;1))),""No shared courses""),"""")"),"")</f>
        <v/>
      </c>
      <c r="J988" s="94" t="str">
        <f>IFERROR(__xludf.DUMMYFUNCTION("if(H988=""Can't be Together"",iferror(join("", "",unique(filter({unique(filter('Students (Vertical)'!O:O,'Students (Vertical)'!C:C=B988,'Students (Vertical)'!O:O&lt;&gt;"""",'Students (Vertical)'!P:P&gt;1));unique(filter('Students (Vertical)'!O:O,'Students (Vertic"&amp;"al)'!C:C=E988,'Students (Vertical)'!O:O&lt;&gt;"""",'Students (Vertical)'!P:P&gt;1))},countifs({unique(filter('Students (Vertical)'!O:O,'Students (Vertical)'!C:C=B988,'Students (Vertical)'!O:O&lt;&gt;"""",'Students (Vertical)'!P:P&gt;1));unique(filter('Students (Vertical)'"&amp;"!O:O,'Students (Vertical)'!C:C=E988,'Students (Vertical)'!O:O&lt;&gt;"""",'Students (Vertical)'!P:P&gt;1))},{unique(filter('Students (Vertical)'!O:O,'Students (Vertical)'!C:C=B988,'Students (Vertical)'!O:O&lt;&gt;"""",'Students (Vertical)'!P:P&gt;1));unique(filter('Student"&amp;"s (Vertical)'!O:O,'Students (Vertical)'!C:C=E988,'Students (Vertical)'!O:O&lt;&gt;"""",'Students (Vertical)'!P:P&gt;1))})&gt;1))),""""),"""")"),"")</f>
        <v/>
      </c>
      <c r="K988" s="96" t="str">
        <f>IFERROR(__xludf.DUMMYFUNCTION("iferror(join("", "",unique(filter({filter('Students (Vertical)'!D:D,'Students (Vertical)'!C:C=B988,'Students (Vertical)'!D:D&lt;&gt;"""");filter('Students (Vertical)'!D:D,'Students (Vertical)'!C:C=E988,'Students (Vertical)'!D:D&lt;&gt;"""")},countifs({filter('Student"&amp;"s (Vertical)'!D:D,'Students (Vertical)'!C:C=B988,'Students (Vertical)'!D:D&lt;&gt;"""");filter('Students (Vertical)'!D:D,'Students (Vertical)'!C:C=E988,'Students (Vertical)'!D:D&lt;&gt;"""")},{filter('Students (Vertical)'!D:D,'Students (Vertical)'!C:C=B988,'Students "&amp;"(Vertical)'!D:D&lt;&gt;"""");filter('Students (Vertical)'!D:D,'Students (Vertical)'!C:C=E988,'Students (Vertical)'!D:D&lt;&gt;"""")})&gt;1))),"""")"),"")</f>
        <v/>
      </c>
      <c r="L988" s="96"/>
      <c r="M988" s="96"/>
    </row>
    <row r="989" hidden="1">
      <c r="A989" s="8" t="s">
        <v>8</v>
      </c>
      <c r="C989" s="8" t="s">
        <v>8</v>
      </c>
      <c r="D989" s="8" t="s">
        <v>8</v>
      </c>
      <c r="F989" s="8" t="s">
        <v>8</v>
      </c>
      <c r="G989" s="8" t="s">
        <v>8</v>
      </c>
      <c r="I989" s="94" t="str">
        <f>IFERROR(__xludf.DUMMYFUNCTION("if(H989=""Must be Together"",iferror(join("", "",unique(filter({filter('Students (Vertical)'!O:O,'Students (Vertical)'!C:C=B989,'Students (Vertical)'!O:O&lt;&gt;"""");filter('Students (Vertical)'!O:O,'Students (Vertical)'!C:C=E989,'Students (Vertical)'!O:O&lt;&gt;"""&amp;""")},countifs({filter('Students (Vertical)'!O:O,'Students (Vertical)'!C:C=B989,'Students (Vertical)'!O:O&lt;&gt;"""");filter('Students (Vertical)'!O:O,'Students (Vertical)'!C:C=E989,'Students (Vertical)'!O:O&lt;&gt;"""")},{filter('Students (Vertical)'!O:O,'Students ("&amp;"Vertical)'!C:C=B989,'Students (Vertical)'!O:O&lt;&gt;"""");filter('Students (Vertical)'!O:O,'Students (Vertical)'!C:C=E989,'Students (Vertical)'!O:O&lt;&gt;"""")})&gt;1))),""No shared courses""),"""")"),"")</f>
        <v/>
      </c>
      <c r="J989" s="94" t="str">
        <f>IFERROR(__xludf.DUMMYFUNCTION("if(H989=""Can't be Together"",iferror(join("", "",unique(filter({unique(filter('Students (Vertical)'!O:O,'Students (Vertical)'!C:C=B989,'Students (Vertical)'!O:O&lt;&gt;"""",'Students (Vertical)'!P:P&gt;1));unique(filter('Students (Vertical)'!O:O,'Students (Vertic"&amp;"al)'!C:C=E989,'Students (Vertical)'!O:O&lt;&gt;"""",'Students (Vertical)'!P:P&gt;1))},countifs({unique(filter('Students (Vertical)'!O:O,'Students (Vertical)'!C:C=B989,'Students (Vertical)'!O:O&lt;&gt;"""",'Students (Vertical)'!P:P&gt;1));unique(filter('Students (Vertical)'"&amp;"!O:O,'Students (Vertical)'!C:C=E989,'Students (Vertical)'!O:O&lt;&gt;"""",'Students (Vertical)'!P:P&gt;1))},{unique(filter('Students (Vertical)'!O:O,'Students (Vertical)'!C:C=B989,'Students (Vertical)'!O:O&lt;&gt;"""",'Students (Vertical)'!P:P&gt;1));unique(filter('Student"&amp;"s (Vertical)'!O:O,'Students (Vertical)'!C:C=E989,'Students (Vertical)'!O:O&lt;&gt;"""",'Students (Vertical)'!P:P&gt;1))})&gt;1))),""""),"""")"),"")</f>
        <v/>
      </c>
      <c r="K989" s="96" t="str">
        <f>IFERROR(__xludf.DUMMYFUNCTION("iferror(join("", "",unique(filter({filter('Students (Vertical)'!D:D,'Students (Vertical)'!C:C=B989,'Students (Vertical)'!D:D&lt;&gt;"""");filter('Students (Vertical)'!D:D,'Students (Vertical)'!C:C=E989,'Students (Vertical)'!D:D&lt;&gt;"""")},countifs({filter('Student"&amp;"s (Vertical)'!D:D,'Students (Vertical)'!C:C=B989,'Students (Vertical)'!D:D&lt;&gt;"""");filter('Students (Vertical)'!D:D,'Students (Vertical)'!C:C=E989,'Students (Vertical)'!D:D&lt;&gt;"""")},{filter('Students (Vertical)'!D:D,'Students (Vertical)'!C:C=B989,'Students "&amp;"(Vertical)'!D:D&lt;&gt;"""");filter('Students (Vertical)'!D:D,'Students (Vertical)'!C:C=E989,'Students (Vertical)'!D:D&lt;&gt;"""")})&gt;1))),"""")"),"")</f>
        <v/>
      </c>
      <c r="L989" s="96"/>
      <c r="M989" s="96"/>
    </row>
    <row r="990" hidden="1">
      <c r="A990" s="8" t="s">
        <v>8</v>
      </c>
      <c r="C990" s="8" t="s">
        <v>8</v>
      </c>
      <c r="D990" s="8" t="s">
        <v>8</v>
      </c>
      <c r="F990" s="8" t="s">
        <v>8</v>
      </c>
      <c r="G990" s="8" t="s">
        <v>8</v>
      </c>
      <c r="I990" s="94" t="str">
        <f>IFERROR(__xludf.DUMMYFUNCTION("if(H990=""Must be Together"",iferror(join("", "",unique(filter({filter('Students (Vertical)'!O:O,'Students (Vertical)'!C:C=B990,'Students (Vertical)'!O:O&lt;&gt;"""");filter('Students (Vertical)'!O:O,'Students (Vertical)'!C:C=E990,'Students (Vertical)'!O:O&lt;&gt;"""&amp;""")},countifs({filter('Students (Vertical)'!O:O,'Students (Vertical)'!C:C=B990,'Students (Vertical)'!O:O&lt;&gt;"""");filter('Students (Vertical)'!O:O,'Students (Vertical)'!C:C=E990,'Students (Vertical)'!O:O&lt;&gt;"""")},{filter('Students (Vertical)'!O:O,'Students ("&amp;"Vertical)'!C:C=B990,'Students (Vertical)'!O:O&lt;&gt;"""");filter('Students (Vertical)'!O:O,'Students (Vertical)'!C:C=E990,'Students (Vertical)'!O:O&lt;&gt;"""")})&gt;1))),""No shared courses""),"""")"),"")</f>
        <v/>
      </c>
      <c r="J990" s="94" t="str">
        <f>IFERROR(__xludf.DUMMYFUNCTION("if(H990=""Can't be Together"",iferror(join("", "",unique(filter({unique(filter('Students (Vertical)'!O:O,'Students (Vertical)'!C:C=B990,'Students (Vertical)'!O:O&lt;&gt;"""",'Students (Vertical)'!P:P&gt;1));unique(filter('Students (Vertical)'!O:O,'Students (Vertic"&amp;"al)'!C:C=E990,'Students (Vertical)'!O:O&lt;&gt;"""",'Students (Vertical)'!P:P&gt;1))},countifs({unique(filter('Students (Vertical)'!O:O,'Students (Vertical)'!C:C=B990,'Students (Vertical)'!O:O&lt;&gt;"""",'Students (Vertical)'!P:P&gt;1));unique(filter('Students (Vertical)'"&amp;"!O:O,'Students (Vertical)'!C:C=E990,'Students (Vertical)'!O:O&lt;&gt;"""",'Students (Vertical)'!P:P&gt;1))},{unique(filter('Students (Vertical)'!O:O,'Students (Vertical)'!C:C=B990,'Students (Vertical)'!O:O&lt;&gt;"""",'Students (Vertical)'!P:P&gt;1));unique(filter('Student"&amp;"s (Vertical)'!O:O,'Students (Vertical)'!C:C=E990,'Students (Vertical)'!O:O&lt;&gt;"""",'Students (Vertical)'!P:P&gt;1))})&gt;1))),""""),"""")"),"")</f>
        <v/>
      </c>
      <c r="K990" s="96" t="str">
        <f>IFERROR(__xludf.DUMMYFUNCTION("iferror(join("", "",unique(filter({filter('Students (Vertical)'!D:D,'Students (Vertical)'!C:C=B990,'Students (Vertical)'!D:D&lt;&gt;"""");filter('Students (Vertical)'!D:D,'Students (Vertical)'!C:C=E990,'Students (Vertical)'!D:D&lt;&gt;"""")},countifs({filter('Student"&amp;"s (Vertical)'!D:D,'Students (Vertical)'!C:C=B990,'Students (Vertical)'!D:D&lt;&gt;"""");filter('Students (Vertical)'!D:D,'Students (Vertical)'!C:C=E990,'Students (Vertical)'!D:D&lt;&gt;"""")},{filter('Students (Vertical)'!D:D,'Students (Vertical)'!C:C=B990,'Students "&amp;"(Vertical)'!D:D&lt;&gt;"""");filter('Students (Vertical)'!D:D,'Students (Vertical)'!C:C=E990,'Students (Vertical)'!D:D&lt;&gt;"""")})&gt;1))),"""")"),"")</f>
        <v/>
      </c>
      <c r="L990" s="96"/>
      <c r="M990" s="96"/>
    </row>
    <row r="991" hidden="1">
      <c r="A991" s="8" t="s">
        <v>8</v>
      </c>
      <c r="C991" s="8" t="s">
        <v>8</v>
      </c>
      <c r="D991" s="8" t="s">
        <v>8</v>
      </c>
      <c r="F991" s="8" t="s">
        <v>8</v>
      </c>
      <c r="G991" s="8" t="s">
        <v>8</v>
      </c>
      <c r="I991" s="94" t="str">
        <f>IFERROR(__xludf.DUMMYFUNCTION("if(H991=""Must be Together"",iferror(join("", "",unique(filter({filter('Students (Vertical)'!O:O,'Students (Vertical)'!C:C=B991,'Students (Vertical)'!O:O&lt;&gt;"""");filter('Students (Vertical)'!O:O,'Students (Vertical)'!C:C=E991,'Students (Vertical)'!O:O&lt;&gt;"""&amp;""")},countifs({filter('Students (Vertical)'!O:O,'Students (Vertical)'!C:C=B991,'Students (Vertical)'!O:O&lt;&gt;"""");filter('Students (Vertical)'!O:O,'Students (Vertical)'!C:C=E991,'Students (Vertical)'!O:O&lt;&gt;"""")},{filter('Students (Vertical)'!O:O,'Students ("&amp;"Vertical)'!C:C=B991,'Students (Vertical)'!O:O&lt;&gt;"""");filter('Students (Vertical)'!O:O,'Students (Vertical)'!C:C=E991,'Students (Vertical)'!O:O&lt;&gt;"""")})&gt;1))),""No shared courses""),"""")"),"")</f>
        <v/>
      </c>
      <c r="J991" s="94" t="str">
        <f>IFERROR(__xludf.DUMMYFUNCTION("if(H991=""Can't be Together"",iferror(join("", "",unique(filter({unique(filter('Students (Vertical)'!O:O,'Students (Vertical)'!C:C=B991,'Students (Vertical)'!O:O&lt;&gt;"""",'Students (Vertical)'!P:P&gt;1));unique(filter('Students (Vertical)'!O:O,'Students (Vertic"&amp;"al)'!C:C=E991,'Students (Vertical)'!O:O&lt;&gt;"""",'Students (Vertical)'!P:P&gt;1))},countifs({unique(filter('Students (Vertical)'!O:O,'Students (Vertical)'!C:C=B991,'Students (Vertical)'!O:O&lt;&gt;"""",'Students (Vertical)'!P:P&gt;1));unique(filter('Students (Vertical)'"&amp;"!O:O,'Students (Vertical)'!C:C=E991,'Students (Vertical)'!O:O&lt;&gt;"""",'Students (Vertical)'!P:P&gt;1))},{unique(filter('Students (Vertical)'!O:O,'Students (Vertical)'!C:C=B991,'Students (Vertical)'!O:O&lt;&gt;"""",'Students (Vertical)'!P:P&gt;1));unique(filter('Student"&amp;"s (Vertical)'!O:O,'Students (Vertical)'!C:C=E991,'Students (Vertical)'!O:O&lt;&gt;"""",'Students (Vertical)'!P:P&gt;1))})&gt;1))),""""),"""")"),"")</f>
        <v/>
      </c>
      <c r="K991" s="96" t="str">
        <f>IFERROR(__xludf.DUMMYFUNCTION("iferror(join("", "",unique(filter({filter('Students (Vertical)'!D:D,'Students (Vertical)'!C:C=B991,'Students (Vertical)'!D:D&lt;&gt;"""");filter('Students (Vertical)'!D:D,'Students (Vertical)'!C:C=E991,'Students (Vertical)'!D:D&lt;&gt;"""")},countifs({filter('Student"&amp;"s (Vertical)'!D:D,'Students (Vertical)'!C:C=B991,'Students (Vertical)'!D:D&lt;&gt;"""");filter('Students (Vertical)'!D:D,'Students (Vertical)'!C:C=E991,'Students (Vertical)'!D:D&lt;&gt;"""")},{filter('Students (Vertical)'!D:D,'Students (Vertical)'!C:C=B991,'Students "&amp;"(Vertical)'!D:D&lt;&gt;"""");filter('Students (Vertical)'!D:D,'Students (Vertical)'!C:C=E991,'Students (Vertical)'!D:D&lt;&gt;"""")})&gt;1))),"""")"),"")</f>
        <v/>
      </c>
      <c r="L991" s="96"/>
      <c r="M991" s="96"/>
    </row>
    <row r="992" hidden="1">
      <c r="A992" s="8" t="s">
        <v>8</v>
      </c>
      <c r="C992" s="8" t="s">
        <v>8</v>
      </c>
      <c r="D992" s="8" t="s">
        <v>8</v>
      </c>
      <c r="F992" s="8" t="s">
        <v>8</v>
      </c>
      <c r="G992" s="8" t="s">
        <v>8</v>
      </c>
      <c r="I992" s="94" t="str">
        <f>IFERROR(__xludf.DUMMYFUNCTION("if(H992=""Must be Together"",iferror(join("", "",unique(filter({filter('Students (Vertical)'!O:O,'Students (Vertical)'!C:C=B992,'Students (Vertical)'!O:O&lt;&gt;"""");filter('Students (Vertical)'!O:O,'Students (Vertical)'!C:C=E992,'Students (Vertical)'!O:O&lt;&gt;"""&amp;""")},countifs({filter('Students (Vertical)'!O:O,'Students (Vertical)'!C:C=B992,'Students (Vertical)'!O:O&lt;&gt;"""");filter('Students (Vertical)'!O:O,'Students (Vertical)'!C:C=E992,'Students (Vertical)'!O:O&lt;&gt;"""")},{filter('Students (Vertical)'!O:O,'Students ("&amp;"Vertical)'!C:C=B992,'Students (Vertical)'!O:O&lt;&gt;"""");filter('Students (Vertical)'!O:O,'Students (Vertical)'!C:C=E992,'Students (Vertical)'!O:O&lt;&gt;"""")})&gt;1))),""No shared courses""),"""")"),"")</f>
        <v/>
      </c>
      <c r="J992" s="94" t="str">
        <f>IFERROR(__xludf.DUMMYFUNCTION("if(H992=""Can't be Together"",iferror(join("", "",unique(filter({unique(filter('Students (Vertical)'!O:O,'Students (Vertical)'!C:C=B992,'Students (Vertical)'!O:O&lt;&gt;"""",'Students (Vertical)'!P:P&gt;1));unique(filter('Students (Vertical)'!O:O,'Students (Vertic"&amp;"al)'!C:C=E992,'Students (Vertical)'!O:O&lt;&gt;"""",'Students (Vertical)'!P:P&gt;1))},countifs({unique(filter('Students (Vertical)'!O:O,'Students (Vertical)'!C:C=B992,'Students (Vertical)'!O:O&lt;&gt;"""",'Students (Vertical)'!P:P&gt;1));unique(filter('Students (Vertical)'"&amp;"!O:O,'Students (Vertical)'!C:C=E992,'Students (Vertical)'!O:O&lt;&gt;"""",'Students (Vertical)'!P:P&gt;1))},{unique(filter('Students (Vertical)'!O:O,'Students (Vertical)'!C:C=B992,'Students (Vertical)'!O:O&lt;&gt;"""",'Students (Vertical)'!P:P&gt;1));unique(filter('Student"&amp;"s (Vertical)'!O:O,'Students (Vertical)'!C:C=E992,'Students (Vertical)'!O:O&lt;&gt;"""",'Students (Vertical)'!P:P&gt;1))})&gt;1))),""""),"""")"),"")</f>
        <v/>
      </c>
      <c r="K992" s="96" t="str">
        <f>IFERROR(__xludf.DUMMYFUNCTION("iferror(join("", "",unique(filter({filter('Students (Vertical)'!D:D,'Students (Vertical)'!C:C=B992,'Students (Vertical)'!D:D&lt;&gt;"""");filter('Students (Vertical)'!D:D,'Students (Vertical)'!C:C=E992,'Students (Vertical)'!D:D&lt;&gt;"""")},countifs({filter('Student"&amp;"s (Vertical)'!D:D,'Students (Vertical)'!C:C=B992,'Students (Vertical)'!D:D&lt;&gt;"""");filter('Students (Vertical)'!D:D,'Students (Vertical)'!C:C=E992,'Students (Vertical)'!D:D&lt;&gt;"""")},{filter('Students (Vertical)'!D:D,'Students (Vertical)'!C:C=B992,'Students "&amp;"(Vertical)'!D:D&lt;&gt;"""");filter('Students (Vertical)'!D:D,'Students (Vertical)'!C:C=E992,'Students (Vertical)'!D:D&lt;&gt;"""")})&gt;1))),"""")"),"")</f>
        <v/>
      </c>
      <c r="L992" s="96"/>
      <c r="M992" s="96"/>
    </row>
    <row r="993" hidden="1">
      <c r="A993" s="8" t="s">
        <v>8</v>
      </c>
      <c r="C993" s="8" t="s">
        <v>8</v>
      </c>
      <c r="D993" s="8" t="s">
        <v>8</v>
      </c>
      <c r="F993" s="8" t="s">
        <v>8</v>
      </c>
      <c r="G993" s="8" t="s">
        <v>8</v>
      </c>
      <c r="I993" s="94" t="str">
        <f>IFERROR(__xludf.DUMMYFUNCTION("if(H993=""Must be Together"",iferror(join("", "",unique(filter({filter('Students (Vertical)'!O:O,'Students (Vertical)'!C:C=B993,'Students (Vertical)'!O:O&lt;&gt;"""");filter('Students (Vertical)'!O:O,'Students (Vertical)'!C:C=E993,'Students (Vertical)'!O:O&lt;&gt;"""&amp;""")},countifs({filter('Students (Vertical)'!O:O,'Students (Vertical)'!C:C=B993,'Students (Vertical)'!O:O&lt;&gt;"""");filter('Students (Vertical)'!O:O,'Students (Vertical)'!C:C=E993,'Students (Vertical)'!O:O&lt;&gt;"""")},{filter('Students (Vertical)'!O:O,'Students ("&amp;"Vertical)'!C:C=B993,'Students (Vertical)'!O:O&lt;&gt;"""");filter('Students (Vertical)'!O:O,'Students (Vertical)'!C:C=E993,'Students (Vertical)'!O:O&lt;&gt;"""")})&gt;1))),""No shared courses""),"""")"),"")</f>
        <v/>
      </c>
      <c r="J993" s="94" t="str">
        <f>IFERROR(__xludf.DUMMYFUNCTION("if(H993=""Can't be Together"",iferror(join("", "",unique(filter({unique(filter('Students (Vertical)'!O:O,'Students (Vertical)'!C:C=B993,'Students (Vertical)'!O:O&lt;&gt;"""",'Students (Vertical)'!P:P&gt;1));unique(filter('Students (Vertical)'!O:O,'Students (Vertic"&amp;"al)'!C:C=E993,'Students (Vertical)'!O:O&lt;&gt;"""",'Students (Vertical)'!P:P&gt;1))},countifs({unique(filter('Students (Vertical)'!O:O,'Students (Vertical)'!C:C=B993,'Students (Vertical)'!O:O&lt;&gt;"""",'Students (Vertical)'!P:P&gt;1));unique(filter('Students (Vertical)'"&amp;"!O:O,'Students (Vertical)'!C:C=E993,'Students (Vertical)'!O:O&lt;&gt;"""",'Students (Vertical)'!P:P&gt;1))},{unique(filter('Students (Vertical)'!O:O,'Students (Vertical)'!C:C=B993,'Students (Vertical)'!O:O&lt;&gt;"""",'Students (Vertical)'!P:P&gt;1));unique(filter('Student"&amp;"s (Vertical)'!O:O,'Students (Vertical)'!C:C=E993,'Students (Vertical)'!O:O&lt;&gt;"""",'Students (Vertical)'!P:P&gt;1))})&gt;1))),""""),"""")"),"")</f>
        <v/>
      </c>
      <c r="K993" s="96" t="str">
        <f>IFERROR(__xludf.DUMMYFUNCTION("iferror(join("", "",unique(filter({filter('Students (Vertical)'!D:D,'Students (Vertical)'!C:C=B993,'Students (Vertical)'!D:D&lt;&gt;"""");filter('Students (Vertical)'!D:D,'Students (Vertical)'!C:C=E993,'Students (Vertical)'!D:D&lt;&gt;"""")},countifs({filter('Student"&amp;"s (Vertical)'!D:D,'Students (Vertical)'!C:C=B993,'Students (Vertical)'!D:D&lt;&gt;"""");filter('Students (Vertical)'!D:D,'Students (Vertical)'!C:C=E993,'Students (Vertical)'!D:D&lt;&gt;"""")},{filter('Students (Vertical)'!D:D,'Students (Vertical)'!C:C=B993,'Students "&amp;"(Vertical)'!D:D&lt;&gt;"""");filter('Students (Vertical)'!D:D,'Students (Vertical)'!C:C=E993,'Students (Vertical)'!D:D&lt;&gt;"""")})&gt;1))),"""")"),"")</f>
        <v/>
      </c>
      <c r="L993" s="96"/>
      <c r="M993" s="96"/>
    </row>
    <row r="994" hidden="1">
      <c r="A994" s="8" t="s">
        <v>8</v>
      </c>
      <c r="C994" s="8" t="s">
        <v>8</v>
      </c>
      <c r="D994" s="8" t="s">
        <v>8</v>
      </c>
      <c r="F994" s="8" t="s">
        <v>8</v>
      </c>
      <c r="G994" s="8" t="s">
        <v>8</v>
      </c>
      <c r="I994" s="94" t="str">
        <f>IFERROR(__xludf.DUMMYFUNCTION("if(H994=""Must be Together"",iferror(join("", "",unique(filter({filter('Students (Vertical)'!O:O,'Students (Vertical)'!C:C=B994,'Students (Vertical)'!O:O&lt;&gt;"""");filter('Students (Vertical)'!O:O,'Students (Vertical)'!C:C=E994,'Students (Vertical)'!O:O&lt;&gt;"""&amp;""")},countifs({filter('Students (Vertical)'!O:O,'Students (Vertical)'!C:C=B994,'Students (Vertical)'!O:O&lt;&gt;"""");filter('Students (Vertical)'!O:O,'Students (Vertical)'!C:C=E994,'Students (Vertical)'!O:O&lt;&gt;"""")},{filter('Students (Vertical)'!O:O,'Students ("&amp;"Vertical)'!C:C=B994,'Students (Vertical)'!O:O&lt;&gt;"""");filter('Students (Vertical)'!O:O,'Students (Vertical)'!C:C=E994,'Students (Vertical)'!O:O&lt;&gt;"""")})&gt;1))),""No shared courses""),"""")"),"")</f>
        <v/>
      </c>
      <c r="J994" s="94" t="str">
        <f>IFERROR(__xludf.DUMMYFUNCTION("if(H994=""Can't be Together"",iferror(join("", "",unique(filter({unique(filter('Students (Vertical)'!O:O,'Students (Vertical)'!C:C=B994,'Students (Vertical)'!O:O&lt;&gt;"""",'Students (Vertical)'!P:P&gt;1));unique(filter('Students (Vertical)'!O:O,'Students (Vertic"&amp;"al)'!C:C=E994,'Students (Vertical)'!O:O&lt;&gt;"""",'Students (Vertical)'!P:P&gt;1))},countifs({unique(filter('Students (Vertical)'!O:O,'Students (Vertical)'!C:C=B994,'Students (Vertical)'!O:O&lt;&gt;"""",'Students (Vertical)'!P:P&gt;1));unique(filter('Students (Vertical)'"&amp;"!O:O,'Students (Vertical)'!C:C=E994,'Students (Vertical)'!O:O&lt;&gt;"""",'Students (Vertical)'!P:P&gt;1))},{unique(filter('Students (Vertical)'!O:O,'Students (Vertical)'!C:C=B994,'Students (Vertical)'!O:O&lt;&gt;"""",'Students (Vertical)'!P:P&gt;1));unique(filter('Student"&amp;"s (Vertical)'!O:O,'Students (Vertical)'!C:C=E994,'Students (Vertical)'!O:O&lt;&gt;"""",'Students (Vertical)'!P:P&gt;1))})&gt;1))),""""),"""")"),"")</f>
        <v/>
      </c>
      <c r="K994" s="96" t="str">
        <f>IFERROR(__xludf.DUMMYFUNCTION("iferror(join("", "",unique(filter({filter('Students (Vertical)'!D:D,'Students (Vertical)'!C:C=B994,'Students (Vertical)'!D:D&lt;&gt;"""");filter('Students (Vertical)'!D:D,'Students (Vertical)'!C:C=E994,'Students (Vertical)'!D:D&lt;&gt;"""")},countifs({filter('Student"&amp;"s (Vertical)'!D:D,'Students (Vertical)'!C:C=B994,'Students (Vertical)'!D:D&lt;&gt;"""");filter('Students (Vertical)'!D:D,'Students (Vertical)'!C:C=E994,'Students (Vertical)'!D:D&lt;&gt;"""")},{filter('Students (Vertical)'!D:D,'Students (Vertical)'!C:C=B994,'Students "&amp;"(Vertical)'!D:D&lt;&gt;"""");filter('Students (Vertical)'!D:D,'Students (Vertical)'!C:C=E994,'Students (Vertical)'!D:D&lt;&gt;"""")})&gt;1))),"""")"),"")</f>
        <v/>
      </c>
      <c r="L994" s="96"/>
      <c r="M994" s="96"/>
    </row>
    <row r="995" hidden="1">
      <c r="A995" s="8" t="s">
        <v>8</v>
      </c>
      <c r="C995" s="8" t="s">
        <v>8</v>
      </c>
      <c r="D995" s="8" t="s">
        <v>8</v>
      </c>
      <c r="F995" s="8" t="s">
        <v>8</v>
      </c>
      <c r="G995" s="8" t="s">
        <v>8</v>
      </c>
      <c r="I995" s="94" t="str">
        <f>IFERROR(__xludf.DUMMYFUNCTION("if(H995=""Must be Together"",iferror(join("", "",unique(filter({filter('Students (Vertical)'!O:O,'Students (Vertical)'!C:C=B995,'Students (Vertical)'!O:O&lt;&gt;"""");filter('Students (Vertical)'!O:O,'Students (Vertical)'!C:C=E995,'Students (Vertical)'!O:O&lt;&gt;"""&amp;""")},countifs({filter('Students (Vertical)'!O:O,'Students (Vertical)'!C:C=B995,'Students (Vertical)'!O:O&lt;&gt;"""");filter('Students (Vertical)'!O:O,'Students (Vertical)'!C:C=E995,'Students (Vertical)'!O:O&lt;&gt;"""")},{filter('Students (Vertical)'!O:O,'Students ("&amp;"Vertical)'!C:C=B995,'Students (Vertical)'!O:O&lt;&gt;"""");filter('Students (Vertical)'!O:O,'Students (Vertical)'!C:C=E995,'Students (Vertical)'!O:O&lt;&gt;"""")})&gt;1))),""No shared courses""),"""")"),"")</f>
        <v/>
      </c>
      <c r="J995" s="94" t="str">
        <f>IFERROR(__xludf.DUMMYFUNCTION("if(H995=""Can't be Together"",iferror(join("", "",unique(filter({unique(filter('Students (Vertical)'!O:O,'Students (Vertical)'!C:C=B995,'Students (Vertical)'!O:O&lt;&gt;"""",'Students (Vertical)'!P:P&gt;1));unique(filter('Students (Vertical)'!O:O,'Students (Vertic"&amp;"al)'!C:C=E995,'Students (Vertical)'!O:O&lt;&gt;"""",'Students (Vertical)'!P:P&gt;1))},countifs({unique(filter('Students (Vertical)'!O:O,'Students (Vertical)'!C:C=B995,'Students (Vertical)'!O:O&lt;&gt;"""",'Students (Vertical)'!P:P&gt;1));unique(filter('Students (Vertical)'"&amp;"!O:O,'Students (Vertical)'!C:C=E995,'Students (Vertical)'!O:O&lt;&gt;"""",'Students (Vertical)'!P:P&gt;1))},{unique(filter('Students (Vertical)'!O:O,'Students (Vertical)'!C:C=B995,'Students (Vertical)'!O:O&lt;&gt;"""",'Students (Vertical)'!P:P&gt;1));unique(filter('Student"&amp;"s (Vertical)'!O:O,'Students (Vertical)'!C:C=E995,'Students (Vertical)'!O:O&lt;&gt;"""",'Students (Vertical)'!P:P&gt;1))})&gt;1))),""""),"""")"),"")</f>
        <v/>
      </c>
      <c r="K995" s="96" t="str">
        <f>IFERROR(__xludf.DUMMYFUNCTION("iferror(join("", "",unique(filter({filter('Students (Vertical)'!D:D,'Students (Vertical)'!C:C=B995,'Students (Vertical)'!D:D&lt;&gt;"""");filter('Students (Vertical)'!D:D,'Students (Vertical)'!C:C=E995,'Students (Vertical)'!D:D&lt;&gt;"""")},countifs({filter('Student"&amp;"s (Vertical)'!D:D,'Students (Vertical)'!C:C=B995,'Students (Vertical)'!D:D&lt;&gt;"""");filter('Students (Vertical)'!D:D,'Students (Vertical)'!C:C=E995,'Students (Vertical)'!D:D&lt;&gt;"""")},{filter('Students (Vertical)'!D:D,'Students (Vertical)'!C:C=B995,'Students "&amp;"(Vertical)'!D:D&lt;&gt;"""");filter('Students (Vertical)'!D:D,'Students (Vertical)'!C:C=E995,'Students (Vertical)'!D:D&lt;&gt;"""")})&gt;1))),"""")"),"")</f>
        <v/>
      </c>
      <c r="L995" s="96"/>
      <c r="M995" s="96"/>
    </row>
    <row r="996" hidden="1">
      <c r="A996" s="8" t="s">
        <v>8</v>
      </c>
      <c r="C996" s="8" t="s">
        <v>8</v>
      </c>
      <c r="D996" s="8" t="s">
        <v>8</v>
      </c>
      <c r="F996" s="8" t="s">
        <v>8</v>
      </c>
      <c r="G996" s="8" t="s">
        <v>8</v>
      </c>
      <c r="I996" s="94" t="str">
        <f>IFERROR(__xludf.DUMMYFUNCTION("if(H996=""Must be Together"",iferror(join("", "",unique(filter({filter('Students (Vertical)'!O:O,'Students (Vertical)'!C:C=B996,'Students (Vertical)'!O:O&lt;&gt;"""");filter('Students (Vertical)'!O:O,'Students (Vertical)'!C:C=E996,'Students (Vertical)'!O:O&lt;&gt;"""&amp;""")},countifs({filter('Students (Vertical)'!O:O,'Students (Vertical)'!C:C=B996,'Students (Vertical)'!O:O&lt;&gt;"""");filter('Students (Vertical)'!O:O,'Students (Vertical)'!C:C=E996,'Students (Vertical)'!O:O&lt;&gt;"""")},{filter('Students (Vertical)'!O:O,'Students ("&amp;"Vertical)'!C:C=B996,'Students (Vertical)'!O:O&lt;&gt;"""");filter('Students (Vertical)'!O:O,'Students (Vertical)'!C:C=E996,'Students (Vertical)'!O:O&lt;&gt;"""")})&gt;1))),""No shared courses""),"""")"),"")</f>
        <v/>
      </c>
      <c r="J996" s="94" t="str">
        <f>IFERROR(__xludf.DUMMYFUNCTION("if(H996=""Can't be Together"",iferror(join("", "",unique(filter({unique(filter('Students (Vertical)'!O:O,'Students (Vertical)'!C:C=B996,'Students (Vertical)'!O:O&lt;&gt;"""",'Students (Vertical)'!P:P&gt;1));unique(filter('Students (Vertical)'!O:O,'Students (Vertic"&amp;"al)'!C:C=E996,'Students (Vertical)'!O:O&lt;&gt;"""",'Students (Vertical)'!P:P&gt;1))},countifs({unique(filter('Students (Vertical)'!O:O,'Students (Vertical)'!C:C=B996,'Students (Vertical)'!O:O&lt;&gt;"""",'Students (Vertical)'!P:P&gt;1));unique(filter('Students (Vertical)'"&amp;"!O:O,'Students (Vertical)'!C:C=E996,'Students (Vertical)'!O:O&lt;&gt;"""",'Students (Vertical)'!P:P&gt;1))},{unique(filter('Students (Vertical)'!O:O,'Students (Vertical)'!C:C=B996,'Students (Vertical)'!O:O&lt;&gt;"""",'Students (Vertical)'!P:P&gt;1));unique(filter('Student"&amp;"s (Vertical)'!O:O,'Students (Vertical)'!C:C=E996,'Students (Vertical)'!O:O&lt;&gt;"""",'Students (Vertical)'!P:P&gt;1))})&gt;1))),""""),"""")"),"")</f>
        <v/>
      </c>
      <c r="K996" s="96" t="str">
        <f>IFERROR(__xludf.DUMMYFUNCTION("iferror(join("", "",unique(filter({filter('Students (Vertical)'!D:D,'Students (Vertical)'!C:C=B996,'Students (Vertical)'!D:D&lt;&gt;"""");filter('Students (Vertical)'!D:D,'Students (Vertical)'!C:C=E996,'Students (Vertical)'!D:D&lt;&gt;"""")},countifs({filter('Student"&amp;"s (Vertical)'!D:D,'Students (Vertical)'!C:C=B996,'Students (Vertical)'!D:D&lt;&gt;"""");filter('Students (Vertical)'!D:D,'Students (Vertical)'!C:C=E996,'Students (Vertical)'!D:D&lt;&gt;"""")},{filter('Students (Vertical)'!D:D,'Students (Vertical)'!C:C=B996,'Students "&amp;"(Vertical)'!D:D&lt;&gt;"""");filter('Students (Vertical)'!D:D,'Students (Vertical)'!C:C=E996,'Students (Vertical)'!D:D&lt;&gt;"""")})&gt;1))),"""")"),"")</f>
        <v/>
      </c>
      <c r="L996" s="96"/>
      <c r="M996" s="96"/>
    </row>
    <row r="997" hidden="1">
      <c r="A997" s="8" t="s">
        <v>8</v>
      </c>
      <c r="C997" s="8" t="s">
        <v>8</v>
      </c>
      <c r="D997" s="8" t="s">
        <v>8</v>
      </c>
      <c r="F997" s="8" t="s">
        <v>8</v>
      </c>
      <c r="G997" s="8" t="s">
        <v>8</v>
      </c>
      <c r="I997" s="94" t="str">
        <f>IFERROR(__xludf.DUMMYFUNCTION("if(H997=""Must be Together"",iferror(join("", "",unique(filter({filter('Students (Vertical)'!O:O,'Students (Vertical)'!C:C=B997,'Students (Vertical)'!O:O&lt;&gt;"""");filter('Students (Vertical)'!O:O,'Students (Vertical)'!C:C=E997,'Students (Vertical)'!O:O&lt;&gt;"""&amp;""")},countifs({filter('Students (Vertical)'!O:O,'Students (Vertical)'!C:C=B997,'Students (Vertical)'!O:O&lt;&gt;"""");filter('Students (Vertical)'!O:O,'Students (Vertical)'!C:C=E997,'Students (Vertical)'!O:O&lt;&gt;"""")},{filter('Students (Vertical)'!O:O,'Students ("&amp;"Vertical)'!C:C=B997,'Students (Vertical)'!O:O&lt;&gt;"""");filter('Students (Vertical)'!O:O,'Students (Vertical)'!C:C=E997,'Students (Vertical)'!O:O&lt;&gt;"""")})&gt;1))),""No shared courses""),"""")"),"")</f>
        <v/>
      </c>
      <c r="J997" s="94" t="str">
        <f>IFERROR(__xludf.DUMMYFUNCTION("if(H997=""Can't be Together"",iferror(join("", "",unique(filter({unique(filter('Students (Vertical)'!O:O,'Students (Vertical)'!C:C=B997,'Students (Vertical)'!O:O&lt;&gt;"""",'Students (Vertical)'!P:P&gt;1));unique(filter('Students (Vertical)'!O:O,'Students (Vertic"&amp;"al)'!C:C=E997,'Students (Vertical)'!O:O&lt;&gt;"""",'Students (Vertical)'!P:P&gt;1))},countifs({unique(filter('Students (Vertical)'!O:O,'Students (Vertical)'!C:C=B997,'Students (Vertical)'!O:O&lt;&gt;"""",'Students (Vertical)'!P:P&gt;1));unique(filter('Students (Vertical)'"&amp;"!O:O,'Students (Vertical)'!C:C=E997,'Students (Vertical)'!O:O&lt;&gt;"""",'Students (Vertical)'!P:P&gt;1))},{unique(filter('Students (Vertical)'!O:O,'Students (Vertical)'!C:C=B997,'Students (Vertical)'!O:O&lt;&gt;"""",'Students (Vertical)'!P:P&gt;1));unique(filter('Student"&amp;"s (Vertical)'!O:O,'Students (Vertical)'!C:C=E997,'Students (Vertical)'!O:O&lt;&gt;"""",'Students (Vertical)'!P:P&gt;1))})&gt;1))),""""),"""")"),"")</f>
        <v/>
      </c>
      <c r="K997" s="96" t="str">
        <f>IFERROR(__xludf.DUMMYFUNCTION("iferror(join("", "",unique(filter({filter('Students (Vertical)'!D:D,'Students (Vertical)'!C:C=B997,'Students (Vertical)'!D:D&lt;&gt;"""");filter('Students (Vertical)'!D:D,'Students (Vertical)'!C:C=E997,'Students (Vertical)'!D:D&lt;&gt;"""")},countifs({filter('Student"&amp;"s (Vertical)'!D:D,'Students (Vertical)'!C:C=B997,'Students (Vertical)'!D:D&lt;&gt;"""");filter('Students (Vertical)'!D:D,'Students (Vertical)'!C:C=E997,'Students (Vertical)'!D:D&lt;&gt;"""")},{filter('Students (Vertical)'!D:D,'Students (Vertical)'!C:C=B997,'Students "&amp;"(Vertical)'!D:D&lt;&gt;"""");filter('Students (Vertical)'!D:D,'Students (Vertical)'!C:C=E997,'Students (Vertical)'!D:D&lt;&gt;"""")})&gt;1))),"""")"),"")</f>
        <v/>
      </c>
      <c r="L997" s="96"/>
      <c r="M997" s="96"/>
    </row>
    <row r="998" hidden="1">
      <c r="A998" s="8" t="s">
        <v>8</v>
      </c>
      <c r="C998" s="8" t="s">
        <v>8</v>
      </c>
      <c r="D998" s="8" t="s">
        <v>8</v>
      </c>
      <c r="F998" s="8" t="s">
        <v>8</v>
      </c>
      <c r="G998" s="8" t="s">
        <v>8</v>
      </c>
      <c r="I998" s="94" t="str">
        <f>IFERROR(__xludf.DUMMYFUNCTION("if(H998=""Must be Together"",iferror(join("", "",unique(filter({filter('Students (Vertical)'!O:O,'Students (Vertical)'!C:C=B998,'Students (Vertical)'!O:O&lt;&gt;"""");filter('Students (Vertical)'!O:O,'Students (Vertical)'!C:C=E998,'Students (Vertical)'!O:O&lt;&gt;"""&amp;""")},countifs({filter('Students (Vertical)'!O:O,'Students (Vertical)'!C:C=B998,'Students (Vertical)'!O:O&lt;&gt;"""");filter('Students (Vertical)'!O:O,'Students (Vertical)'!C:C=E998,'Students (Vertical)'!O:O&lt;&gt;"""")},{filter('Students (Vertical)'!O:O,'Students ("&amp;"Vertical)'!C:C=B998,'Students (Vertical)'!O:O&lt;&gt;"""");filter('Students (Vertical)'!O:O,'Students (Vertical)'!C:C=E998,'Students (Vertical)'!O:O&lt;&gt;"""")})&gt;1))),""No shared courses""),"""")"),"")</f>
        <v/>
      </c>
      <c r="J998" s="94" t="str">
        <f>IFERROR(__xludf.DUMMYFUNCTION("if(H998=""Can't be Together"",iferror(join("", "",unique(filter({unique(filter('Students (Vertical)'!O:O,'Students (Vertical)'!C:C=B998,'Students (Vertical)'!O:O&lt;&gt;"""",'Students (Vertical)'!P:P&gt;1));unique(filter('Students (Vertical)'!O:O,'Students (Vertic"&amp;"al)'!C:C=E998,'Students (Vertical)'!O:O&lt;&gt;"""",'Students (Vertical)'!P:P&gt;1))},countifs({unique(filter('Students (Vertical)'!O:O,'Students (Vertical)'!C:C=B998,'Students (Vertical)'!O:O&lt;&gt;"""",'Students (Vertical)'!P:P&gt;1));unique(filter('Students (Vertical)'"&amp;"!O:O,'Students (Vertical)'!C:C=E998,'Students (Vertical)'!O:O&lt;&gt;"""",'Students (Vertical)'!P:P&gt;1))},{unique(filter('Students (Vertical)'!O:O,'Students (Vertical)'!C:C=B998,'Students (Vertical)'!O:O&lt;&gt;"""",'Students (Vertical)'!P:P&gt;1));unique(filter('Student"&amp;"s (Vertical)'!O:O,'Students (Vertical)'!C:C=E998,'Students (Vertical)'!O:O&lt;&gt;"""",'Students (Vertical)'!P:P&gt;1))})&gt;1))),""""),"""")"),"")</f>
        <v/>
      </c>
      <c r="K998" s="96" t="str">
        <f>IFERROR(__xludf.DUMMYFUNCTION("iferror(join("", "",unique(filter({filter('Students (Vertical)'!D:D,'Students (Vertical)'!C:C=B998,'Students (Vertical)'!D:D&lt;&gt;"""");filter('Students (Vertical)'!D:D,'Students (Vertical)'!C:C=E998,'Students (Vertical)'!D:D&lt;&gt;"""")},countifs({filter('Student"&amp;"s (Vertical)'!D:D,'Students (Vertical)'!C:C=B998,'Students (Vertical)'!D:D&lt;&gt;"""");filter('Students (Vertical)'!D:D,'Students (Vertical)'!C:C=E998,'Students (Vertical)'!D:D&lt;&gt;"""")},{filter('Students (Vertical)'!D:D,'Students (Vertical)'!C:C=B998,'Students "&amp;"(Vertical)'!D:D&lt;&gt;"""");filter('Students (Vertical)'!D:D,'Students (Vertical)'!C:C=E998,'Students (Vertical)'!D:D&lt;&gt;"""")})&gt;1))),"""")"),"")</f>
        <v/>
      </c>
      <c r="L998" s="96"/>
      <c r="M998" s="96"/>
    </row>
    <row r="999" hidden="1">
      <c r="A999" s="8" t="s">
        <v>8</v>
      </c>
      <c r="C999" s="8" t="s">
        <v>8</v>
      </c>
      <c r="D999" s="8" t="s">
        <v>8</v>
      </c>
      <c r="F999" s="8" t="s">
        <v>8</v>
      </c>
      <c r="G999" s="8" t="s">
        <v>8</v>
      </c>
      <c r="I999" s="94" t="str">
        <f>IFERROR(__xludf.DUMMYFUNCTION("if(H999=""Must be Together"",iferror(join("", "",unique(filter({filter('Students (Vertical)'!O:O,'Students (Vertical)'!C:C=B999,'Students (Vertical)'!O:O&lt;&gt;"""");filter('Students (Vertical)'!O:O,'Students (Vertical)'!C:C=E999,'Students (Vertical)'!O:O&lt;&gt;"""&amp;""")},countifs({filter('Students (Vertical)'!O:O,'Students (Vertical)'!C:C=B999,'Students (Vertical)'!O:O&lt;&gt;"""");filter('Students (Vertical)'!O:O,'Students (Vertical)'!C:C=E999,'Students (Vertical)'!O:O&lt;&gt;"""")},{filter('Students (Vertical)'!O:O,'Students ("&amp;"Vertical)'!C:C=B999,'Students (Vertical)'!O:O&lt;&gt;"""");filter('Students (Vertical)'!O:O,'Students (Vertical)'!C:C=E999,'Students (Vertical)'!O:O&lt;&gt;"""")})&gt;1))),""No shared courses""),"""")"),"")</f>
        <v/>
      </c>
      <c r="J999" s="94" t="str">
        <f>IFERROR(__xludf.DUMMYFUNCTION("if(H999=""Can't be Together"",iferror(join("", "",unique(filter({unique(filter('Students (Vertical)'!O:O,'Students (Vertical)'!C:C=B999,'Students (Vertical)'!O:O&lt;&gt;"""",'Students (Vertical)'!P:P&gt;1));unique(filter('Students (Vertical)'!O:O,'Students (Vertic"&amp;"al)'!C:C=E999,'Students (Vertical)'!O:O&lt;&gt;"""",'Students (Vertical)'!P:P&gt;1))},countifs({unique(filter('Students (Vertical)'!O:O,'Students (Vertical)'!C:C=B999,'Students (Vertical)'!O:O&lt;&gt;"""",'Students (Vertical)'!P:P&gt;1));unique(filter('Students (Vertical)'"&amp;"!O:O,'Students (Vertical)'!C:C=E999,'Students (Vertical)'!O:O&lt;&gt;"""",'Students (Vertical)'!P:P&gt;1))},{unique(filter('Students (Vertical)'!O:O,'Students (Vertical)'!C:C=B999,'Students (Vertical)'!O:O&lt;&gt;"""",'Students (Vertical)'!P:P&gt;1));unique(filter('Student"&amp;"s (Vertical)'!O:O,'Students (Vertical)'!C:C=E999,'Students (Vertical)'!O:O&lt;&gt;"""",'Students (Vertical)'!P:P&gt;1))})&gt;1))),""""),"""")"),"")</f>
        <v/>
      </c>
      <c r="K999" s="96" t="str">
        <f>IFERROR(__xludf.DUMMYFUNCTION("iferror(join("", "",unique(filter({filter('Students (Vertical)'!D:D,'Students (Vertical)'!C:C=B999,'Students (Vertical)'!D:D&lt;&gt;"""");filter('Students (Vertical)'!D:D,'Students (Vertical)'!C:C=E999,'Students (Vertical)'!D:D&lt;&gt;"""")},countifs({filter('Student"&amp;"s (Vertical)'!D:D,'Students (Vertical)'!C:C=B999,'Students (Vertical)'!D:D&lt;&gt;"""");filter('Students (Vertical)'!D:D,'Students (Vertical)'!C:C=E999,'Students (Vertical)'!D:D&lt;&gt;"""")},{filter('Students (Vertical)'!D:D,'Students (Vertical)'!C:C=B999,'Students "&amp;"(Vertical)'!D:D&lt;&gt;"""");filter('Students (Vertical)'!D:D,'Students (Vertical)'!C:C=E999,'Students (Vertical)'!D:D&lt;&gt;"""")})&gt;1))),"""")"),"")</f>
        <v/>
      </c>
      <c r="L999" s="96"/>
      <c r="M999" s="96"/>
    </row>
    <row r="1000" hidden="1">
      <c r="A1000" s="8" t="s">
        <v>8</v>
      </c>
      <c r="C1000" s="8" t="s">
        <v>8</v>
      </c>
      <c r="D1000" s="8" t="s">
        <v>8</v>
      </c>
      <c r="F1000" s="8" t="s">
        <v>8</v>
      </c>
      <c r="G1000" s="8" t="s">
        <v>8</v>
      </c>
      <c r="I1000" s="94" t="str">
        <f>IFERROR(__xludf.DUMMYFUNCTION("if(H1000=""Must be Together"",iferror(join("", "",unique(filter({filter('Students (Vertical)'!O:O,'Students (Vertical)'!C:C=B1000,'Students (Vertical)'!O:O&lt;&gt;"""");filter('Students (Vertical)'!O:O,'Students (Vertical)'!C:C=E1000,'Students (Vertical)'!O:O&lt;&gt;"&amp;""""")},countifs({filter('Students (Vertical)'!O:O,'Students (Vertical)'!C:C=B1000,'Students (Vertical)'!O:O&lt;&gt;"""");filter('Students (Vertical)'!O:O,'Students (Vertical)'!C:C=E1000,'Students (Vertical)'!O:O&lt;&gt;"""")},{filter('Students (Vertical)'!O:O,'Studen"&amp;"ts (Vertical)'!C:C=B1000,'Students (Vertical)'!O:O&lt;&gt;"""");filter('Students (Vertical)'!O:O,'Students (Vertical)'!C:C=E1000,'Students (Vertical)'!O:O&lt;&gt;"""")})&gt;1))),""No shared courses""),"""")"),"")</f>
        <v/>
      </c>
      <c r="J1000" s="94" t="str">
        <f>IFERROR(__xludf.DUMMYFUNCTION("if(H1000=""Can't be Together"",iferror(join("", "",unique(filter({unique(filter('Students (Vertical)'!O:O,'Students (Vertical)'!C:C=B1000,'Students (Vertical)'!O:O&lt;&gt;"""",'Students (Vertical)'!P:P&gt;1));unique(filter('Students (Vertical)'!O:O,'Students (Vert"&amp;"ical)'!C:C=E1000,'Students (Vertical)'!O:O&lt;&gt;"""",'Students (Vertical)'!P:P&gt;1))},countifs({unique(filter('Students (Vertical)'!O:O,'Students (Vertical)'!C:C=B1000,'Students (Vertical)'!O:O&lt;&gt;"""",'Students (Vertical)'!P:P&gt;1));unique(filter('Students (Vertic"&amp;"al)'!O:O,'Students (Vertical)'!C:C=E1000,'Students (Vertical)'!O:O&lt;&gt;"""",'Students (Vertical)'!P:P&gt;1))},{unique(filter('Students (Vertical)'!O:O,'Students (Vertical)'!C:C=B1000,'Students (Vertical)'!O:O&lt;&gt;"""",'Students (Vertical)'!P:P&gt;1));unique(filter('S"&amp;"tudents (Vertical)'!O:O,'Students (Vertical)'!C:C=E1000,'Students (Vertical)'!O:O&lt;&gt;"""",'Students (Vertical)'!P:P&gt;1))})&gt;1))),""""),"""")"),"")</f>
        <v/>
      </c>
      <c r="K1000" s="96" t="str">
        <f>IFERROR(__xludf.DUMMYFUNCTION("iferror(join("", "",unique(filter({filter('Students (Vertical)'!D:D,'Students (Vertical)'!C:C=B1000,'Students (Vertical)'!D:D&lt;&gt;"""");filter('Students (Vertical)'!D:D,'Students (Vertical)'!C:C=E1000,'Students (Vertical)'!D:D&lt;&gt;"""")},countifs({filter('Stude"&amp;"nts (Vertical)'!D:D,'Students (Vertical)'!C:C=B1000,'Students (Vertical)'!D:D&lt;&gt;"""");filter('Students (Vertical)'!D:D,'Students (Vertical)'!C:C=E1000,'Students (Vertical)'!D:D&lt;&gt;"""")},{filter('Students (Vertical)'!D:D,'Students (Vertical)'!C:C=B1000,'Stud"&amp;"ents (Vertical)'!D:D&lt;&gt;"""");filter('Students (Vertical)'!D:D,'Students (Vertical)'!C:C=E1000,'Students (Vertical)'!D:D&lt;&gt;"""")})&gt;1))),"""")"),"")</f>
        <v/>
      </c>
      <c r="L1000" s="96"/>
      <c r="M1000" s="96"/>
    </row>
  </sheetData>
  <autoFilter ref="$A$1:$M$1000">
    <filterColumn colId="7">
      <filters>
        <filter val="Can't be Together"/>
      </filters>
    </filterColumn>
  </autoFilter>
  <dataValidations>
    <dataValidation type="list" allowBlank="1" showErrorMessage="1" sqref="H2:H1000">
      <formula1>"Can't be Together,Must be Together"</formula1>
    </dataValidation>
    <dataValidation type="list" allowBlank="1" showErrorMessage="1" sqref="B2:B1000 E2:E1000">
      <formula1>Students!$C$3:$C1000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7.38"/>
    <col customWidth="1" min="3" max="3" width="28.63"/>
    <col customWidth="1" min="4" max="4" width="11.13"/>
    <col customWidth="1" min="5" max="5" width="4.13"/>
    <col customWidth="1" min="6" max="6" width="10.25"/>
    <col customWidth="1" min="7" max="7" width="4.25"/>
    <col customWidth="1" min="8" max="8" width="10.0"/>
    <col customWidth="1" min="9" max="9" width="4.0"/>
    <col customWidth="1" min="10" max="10" width="11.5"/>
    <col customWidth="1" min="11" max="11" width="4.13"/>
    <col customWidth="1" min="12" max="12" width="10.25"/>
    <col customWidth="1" min="13" max="13" width="3.88"/>
    <col customWidth="1" min="14" max="14" width="5.75"/>
    <col customWidth="1" min="15" max="15" width="3.88"/>
    <col customWidth="1" min="16" max="16" width="13.63"/>
    <col customWidth="1" min="17" max="17" width="6.0"/>
    <col customWidth="1" min="18" max="18" width="17.25"/>
    <col customWidth="1" min="19" max="19" width="5.13"/>
    <col customWidth="1" min="20" max="20" width="19.75"/>
    <col customWidth="1" min="21" max="26" width="5.63"/>
    <col customWidth="1" min="27" max="27" width="11.25"/>
    <col customWidth="1" min="28" max="28" width="9.63"/>
    <col customWidth="1" min="29" max="29" width="10.75"/>
    <col customWidth="1" min="30" max="34" width="11.75"/>
  </cols>
  <sheetData>
    <row r="1">
      <c r="A1" s="98" t="s">
        <v>299</v>
      </c>
      <c r="B1" s="98" t="s">
        <v>300</v>
      </c>
      <c r="C1" s="52" t="s">
        <v>301</v>
      </c>
      <c r="D1" s="52" t="s">
        <v>302</v>
      </c>
      <c r="E1" s="52" t="s">
        <v>104</v>
      </c>
      <c r="F1" s="52" t="s">
        <v>303</v>
      </c>
      <c r="G1" s="52" t="s">
        <v>104</v>
      </c>
      <c r="H1" s="52" t="s">
        <v>304</v>
      </c>
      <c r="I1" s="52" t="s">
        <v>104</v>
      </c>
      <c r="J1" s="52" t="s">
        <v>305</v>
      </c>
      <c r="K1" s="52" t="s">
        <v>104</v>
      </c>
      <c r="L1" s="52" t="s">
        <v>306</v>
      </c>
      <c r="M1" s="52" t="s">
        <v>104</v>
      </c>
      <c r="N1" s="52" t="s">
        <v>26</v>
      </c>
      <c r="O1" s="52" t="str">
        <f t="array" ref="O1:O418">if(ROW(O:O)=1,"S",if(S:S="","",left(S:S,1)&amp;if(right(S:S,1)="a","b","a")))</f>
        <v>S</v>
      </c>
      <c r="P1" s="52" t="s">
        <v>307</v>
      </c>
      <c r="Q1" s="52" t="str">
        <f t="array" ref="Q1:Q418">if(ROW(Q:Q)=1,"S",$S:$S)</f>
        <v>S</v>
      </c>
      <c r="R1" s="52" t="s">
        <v>308</v>
      </c>
      <c r="S1" s="52" t="s">
        <v>104</v>
      </c>
      <c r="T1" s="65" t="str">
        <f t="array" ref="T1:T418">if(ROW(T:T)=1,"Electives Requested",if(B:B="","",iferror(vlookup(B:B,{Electives!A:A,Electives!B:B},2,false),"")))</f>
        <v>Electives Requested</v>
      </c>
      <c r="U1" s="99" t="str">
        <f t="array" ref="U1:U418">if(ROW(U:U)=1,"E1",if($B:$B="","",countifs('Students (Vertical)'!$B:$B,$B:$B,'Students (Vertical)'!$E:$E,1)+countifs($B:$B,$B:$B,left($O:$O,1),"1")*0.5+countifs($B:$B,$B:$B,left($Q:$Q,1),"1")*0.25+countifs($B:$B,$B:$B,left($S:$S,1),"1")*0.25))</f>
        <v>E1</v>
      </c>
      <c r="V1" s="99" t="str">
        <f t="array" ref="V1:V418">if(ROW(V:V)=1,"E2",if($B:$B="","",countifs('Students (Vertical)'!$B:$B,$B:$B,'Students (Vertical)'!$E:$E,2)+countifs($B:$B,$B:$B,left($O:$O,1),"2")*0.5+countifs($B:$B,$B:$B,left($Q:$Q,1),"2")*0.25+countifs($B:$B,$B:$B,left($S:$S,1),"2")*0.25))</f>
        <v>E2</v>
      </c>
      <c r="W1" s="99" t="str">
        <f t="array" ref="W1:W418">if(ROW(W:W)=1,"E3",if($B:$B="","",countifs('Students (Vertical)'!$B:$B,$B:$B,'Students (Vertical)'!$E:$E,3)+countifs($B:$B,$B:$B,left($O:$O,1),"3")*0.5+countifs($B:$B,$B:$B,left($Q:$Q,1),"3")*0.25+countifs($B:$B,$B:$B,left($S:$S,1),"3")*0.25))</f>
        <v>E3</v>
      </c>
      <c r="X1" s="99" t="str">
        <f t="array" ref="X1:X418">if(ROW(X:X)=1,"E4",if($B:$B="","",countifs('Students (Vertical)'!$B:$B,$B:$B,'Students (Vertical)'!$E:$E,4)+countifs($B:$B,$B:$B,left($O:$O,1),"4")*0.5+countifs($B:$B,$B:$B,left($Q:$Q,1),"4")*0.25+countifs($B:$B,$B:$B,left($S:$S,1),"4")*0.25))</f>
        <v>E4</v>
      </c>
      <c r="Y1" s="99" t="str">
        <f t="array" ref="Y1:Y418">if(ROW(Y:Y)=1,"E5",if($B:$B="","",countifs('Students (Vertical)'!$B:$B,$B:$B,'Students (Vertical)'!$E:$E,5)+countifs($B:$B,$B:$B,left($O:$O,1),"5")*0.5+countifs($B:$B,$B:$B,left($Q:$Q,1),"5")*0.25+countifs($B:$B,$B:$B,left($S:$S,1),"5")*0.25))</f>
        <v>E5</v>
      </c>
      <c r="Z1" s="99" t="str">
        <f t="array" ref="Z1:Z418">if(ROW(Z:Z)=1,"E6",if($B:$B="","",countifs('Students (Vertical)'!$B:$B,$B:$B,'Students (Vertical)'!$E:$E,6)+countifs($B:$B,$B:$B,left($O:$O,1),"6")*0.5+countifs($B:$B,$B:$B,left($Q:$Q,1),"6")*0.25+countifs($B:$B,$B:$B,left($S:$S,1),"6")*0.25))</f>
        <v>E6</v>
      </c>
      <c r="AA1" s="99" t="str">
        <f t="array" ref="AA1:AA418">if(ROW(AA:AA)=1,"Scheduled",if(B:B="","",U:U+V:V+W:W+X:X+Y:Y+Z:Z))</f>
        <v>Scheduled</v>
      </c>
      <c r="AB1" s="99" t="str">
        <f t="array" ref="AB1:AB418">if(ROW(AB:AB)=1,"Conflicts",if(B:B="","",if(U:U&gt;1,1,0)+if(V:V&gt;1,1,0)+if(W:W&gt;1,1,0)+if(X:X&gt;1,1,0)+if(Y:Y&gt;1,1,0)+if(Z:Z&gt;1,1,0)))</f>
        <v>Conflicts</v>
      </c>
      <c r="AC1" s="100" t="s">
        <v>309</v>
      </c>
      <c r="AD1" s="100" t="s">
        <v>310</v>
      </c>
      <c r="AE1" s="100" t="s">
        <v>197</v>
      </c>
      <c r="AF1" s="100" t="s">
        <v>311</v>
      </c>
      <c r="AG1" s="100" t="s">
        <v>312</v>
      </c>
      <c r="AH1" s="100" t="s">
        <v>313</v>
      </c>
    </row>
    <row r="2">
      <c r="A2" s="101">
        <v>6.0</v>
      </c>
      <c r="B2" s="101">
        <v>31002.0</v>
      </c>
      <c r="C2" s="102" t="s">
        <v>314</v>
      </c>
      <c r="D2" s="52" t="s">
        <v>171</v>
      </c>
      <c r="E2" s="52">
        <v>6.0</v>
      </c>
      <c r="F2" s="52" t="s">
        <v>158</v>
      </c>
      <c r="G2" s="52">
        <v>3.0</v>
      </c>
      <c r="H2" s="52" t="s">
        <v>182</v>
      </c>
      <c r="I2" s="52">
        <v>2.0</v>
      </c>
      <c r="J2" s="52" t="s">
        <v>192</v>
      </c>
      <c r="K2" s="52">
        <v>5.0</v>
      </c>
      <c r="L2" s="52" t="s">
        <v>196</v>
      </c>
      <c r="M2" s="52">
        <v>1.0</v>
      </c>
      <c r="N2" s="52" t="s">
        <v>153</v>
      </c>
      <c r="O2" s="52" t="s">
        <v>130</v>
      </c>
      <c r="P2" s="52" t="s">
        <v>117</v>
      </c>
      <c r="Q2" s="52" t="s">
        <v>111</v>
      </c>
      <c r="R2" s="52" t="s">
        <v>134</v>
      </c>
      <c r="S2" s="52" t="s">
        <v>111</v>
      </c>
      <c r="T2" s="65" t="s">
        <v>27</v>
      </c>
      <c r="U2" s="32">
        <v>1.0</v>
      </c>
      <c r="V2" s="32">
        <v>1.0</v>
      </c>
      <c r="W2" s="32">
        <v>1.0</v>
      </c>
      <c r="X2" s="32">
        <v>1.0</v>
      </c>
      <c r="Y2" s="32">
        <v>1.0</v>
      </c>
      <c r="Z2" s="32">
        <v>1.0</v>
      </c>
      <c r="AA2" s="32">
        <v>6.0</v>
      </c>
      <c r="AB2" s="32">
        <v>0.0</v>
      </c>
      <c r="AC2" s="103" t="str">
        <f>IFERROR(__xludf.DUMMYFUNCTION("if($C2="""","""",if(join("" - "",{iferror(filter('Student Groupings'!$A:$A,'Student Groupings'!$B:$B=$C2,'Student Groupings'!$H:$H=""Can't be Together""),"""");iferror(filter('Student Groupings'!$A:$A,'Student Groupings'!$E:$E=$C2,'Student Groupings'!$H:$"&amp;"H=""Can't be Together""),"""")})="" - "","""",join("" - "",{iferror(filter('Student Groupings'!$A:$A,'Student Groupings'!$B:$B=$C2,'Student Groupings'!$H:$H=""Can't be Together""),"""");iferror(filter('Student Groupings'!$A:$A,'Student Groupings'!$E:$E=$C"&amp;"2,'Student Groupings'!$H:$H=""Can't be Together""),"""")})))"),"")</f>
        <v/>
      </c>
      <c r="AD2" s="103" t="str">
        <f>IFERROR(__xludf.DUMMYFUNCTION("if($C2="""","""",if(join("" - "",{iferror(filter('Student Groupings'!$A:$A,'Student Groupings'!$B:$B=$C2,'Student Groupings'!$H:$H=""Must be Together""),"""");iferror(filter('Student Groupings'!$A:$A,'Student Groupings'!$E:$E=$C2,'Student Groupings'!$H:$H"&amp;"=""Must be Together""),"""")})="" - "","""",join("" - "",{iferror(filter('Student Groupings'!$A:$A,'Student Groupings'!$B:$B=$C2,'Student Groupings'!$H:$H=""Must be Together""),"""");iferror(filter('Student Groupings'!$A:$A,'Student Groupings'!$E:$E=$C2,'"&amp;"Student Groupings'!$H:$H=""Must be Together""),"""")})))"),"")</f>
        <v/>
      </c>
      <c r="AE2" s="104"/>
      <c r="AF2" s="104"/>
      <c r="AG2" s="104"/>
      <c r="AH2" s="104"/>
    </row>
    <row r="3">
      <c r="A3" s="101">
        <v>6.0</v>
      </c>
      <c r="B3" s="101">
        <v>31003.0</v>
      </c>
      <c r="C3" s="102" t="s">
        <v>234</v>
      </c>
      <c r="D3" s="52" t="s">
        <v>171</v>
      </c>
      <c r="E3" s="52">
        <v>3.0</v>
      </c>
      <c r="F3" s="52" t="s">
        <v>158</v>
      </c>
      <c r="G3" s="52">
        <v>6.0</v>
      </c>
      <c r="H3" s="52" t="s">
        <v>182</v>
      </c>
      <c r="I3" s="52">
        <v>1.0</v>
      </c>
      <c r="J3" s="52" t="s">
        <v>192</v>
      </c>
      <c r="K3" s="52">
        <v>2.0</v>
      </c>
      <c r="L3" s="52" t="s">
        <v>196</v>
      </c>
      <c r="M3" s="52">
        <v>4.0</v>
      </c>
      <c r="N3" s="52" t="s">
        <v>153</v>
      </c>
      <c r="O3" s="52" t="s">
        <v>112</v>
      </c>
      <c r="P3" s="52" t="s">
        <v>142</v>
      </c>
      <c r="Q3" s="52" t="s">
        <v>124</v>
      </c>
      <c r="R3" s="52" t="s">
        <v>142</v>
      </c>
      <c r="S3" s="52" t="s">
        <v>124</v>
      </c>
      <c r="T3" s="65" t="s">
        <v>142</v>
      </c>
      <c r="U3" s="32">
        <v>1.0</v>
      </c>
      <c r="V3" s="32">
        <v>1.0</v>
      </c>
      <c r="W3" s="32">
        <v>1.0</v>
      </c>
      <c r="X3" s="32">
        <v>1.0</v>
      </c>
      <c r="Y3" s="32">
        <v>1.0</v>
      </c>
      <c r="Z3" s="32">
        <v>1.0</v>
      </c>
      <c r="AA3" s="32">
        <v>6.0</v>
      </c>
      <c r="AB3" s="32">
        <v>0.0</v>
      </c>
      <c r="AC3" s="103" t="str">
        <f>IFERROR(__xludf.DUMMYFUNCTION("if($C3="""","""",if(join("" - "",{iferror(filter('Student Groupings'!$A:$A,'Student Groupings'!$B:$B=$C3,'Student Groupings'!$H:$H=""Can't be Together""),"""");iferror(filter('Student Groupings'!$A:$A,'Student Groupings'!$E:$E=$C3,'Student Groupings'!$H:$"&amp;"H=""Can't be Together""),"""")})="" - "","""",join("" - "",{iferror(filter('Student Groupings'!$A:$A,'Student Groupings'!$B:$B=$C3,'Student Groupings'!$H:$H=""Can't be Together""),"""");iferror(filter('Student Groupings'!$A:$A,'Student Groupings'!$E:$E=$C"&amp;"3,'Student Groupings'!$H:$H=""Can't be Together""),"""")})))")," - 21")</f>
        <v> - 21</v>
      </c>
      <c r="AD3" s="103" t="str">
        <f>IFERROR(__xludf.DUMMYFUNCTION("if($C3="""","""",if(join("" - "",{iferror(filter('Student Groupings'!$A:$A,'Student Groupings'!$B:$B=$C3,'Student Groupings'!$H:$H=""Must be Together""),"""");iferror(filter('Student Groupings'!$A:$A,'Student Groupings'!$E:$E=$C3,'Student Groupings'!$H:$H"&amp;"=""Must be Together""),"""")})="" - "","""",join("" - "",{iferror(filter('Student Groupings'!$A:$A,'Student Groupings'!$B:$B=$C3,'Student Groupings'!$H:$H=""Must be Together""),"""");iferror(filter('Student Groupings'!$A:$A,'Student Groupings'!$E:$E=$C3,'"&amp;"Student Groupings'!$H:$H=""Must be Together""),"""")})))"),"")</f>
        <v/>
      </c>
      <c r="AE3" s="104"/>
      <c r="AF3" s="104"/>
      <c r="AG3" s="104"/>
      <c r="AH3" s="104"/>
    </row>
    <row r="4">
      <c r="A4" s="101">
        <v>6.0</v>
      </c>
      <c r="B4" s="101">
        <v>31004.0</v>
      </c>
      <c r="C4" s="102" t="s">
        <v>222</v>
      </c>
      <c r="D4" s="52" t="s">
        <v>171</v>
      </c>
      <c r="E4" s="52">
        <v>4.0</v>
      </c>
      <c r="F4" s="52" t="s">
        <v>158</v>
      </c>
      <c r="G4" s="52">
        <v>1.0</v>
      </c>
      <c r="H4" s="52" t="s">
        <v>182</v>
      </c>
      <c r="I4" s="52">
        <v>5.0</v>
      </c>
      <c r="J4" s="52" t="s">
        <v>192</v>
      </c>
      <c r="K4" s="52">
        <v>3.0</v>
      </c>
      <c r="L4" s="52" t="s">
        <v>196</v>
      </c>
      <c r="M4" s="52">
        <v>2.0</v>
      </c>
      <c r="N4" s="52" t="s">
        <v>153</v>
      </c>
      <c r="O4" s="52" t="s">
        <v>109</v>
      </c>
      <c r="P4" s="52" t="s">
        <v>143</v>
      </c>
      <c r="Q4" s="52" t="s">
        <v>120</v>
      </c>
      <c r="R4" s="52" t="s">
        <v>143</v>
      </c>
      <c r="S4" s="52" t="s">
        <v>120</v>
      </c>
      <c r="T4" s="65" t="s">
        <v>143</v>
      </c>
      <c r="U4" s="32">
        <v>1.0</v>
      </c>
      <c r="V4" s="32">
        <v>1.0</v>
      </c>
      <c r="W4" s="32">
        <v>1.0</v>
      </c>
      <c r="X4" s="32">
        <v>1.0</v>
      </c>
      <c r="Y4" s="32">
        <v>1.0</v>
      </c>
      <c r="Z4" s="32">
        <v>1.0</v>
      </c>
      <c r="AA4" s="32">
        <v>6.0</v>
      </c>
      <c r="AB4" s="32">
        <v>0.0</v>
      </c>
      <c r="AC4" s="103" t="str">
        <f>IFERROR(__xludf.DUMMYFUNCTION("if($C4="""","""",if(join("" - "",{iferror(filter('Student Groupings'!$A:$A,'Student Groupings'!$B:$B=$C4,'Student Groupings'!$H:$H=""Can't be Together""),"""");iferror(filter('Student Groupings'!$A:$A,'Student Groupings'!$E:$E=$C4,'Student Groupings'!$H:$"&amp;"H=""Can't be Together""),"""")})="" - "","""",join("" - "",{iferror(filter('Student Groupings'!$A:$A,'Student Groupings'!$B:$B=$C4,'Student Groupings'!$H:$H=""Can't be Together""),"""");iferror(filter('Student Groupings'!$A:$A,'Student Groupings'!$E:$E=$C"&amp;"4,'Student Groupings'!$H:$H=""Can't be Together""),"""")})))"),"24 - 25 - 26 - 8 - 13")</f>
        <v>24 - 25 - 26 - 8 - 13</v>
      </c>
      <c r="AD4" s="103" t="str">
        <f>IFERROR(__xludf.DUMMYFUNCTION("if($C4="""","""",if(join("" - "",{iferror(filter('Student Groupings'!$A:$A,'Student Groupings'!$B:$B=$C4,'Student Groupings'!$H:$H=""Must be Together""),"""");iferror(filter('Student Groupings'!$A:$A,'Student Groupings'!$E:$E=$C4,'Student Groupings'!$H:$H"&amp;"=""Must be Together""),"""")})="" - "","""",join("" - "",{iferror(filter('Student Groupings'!$A:$A,'Student Groupings'!$B:$B=$C4,'Student Groupings'!$H:$H=""Must be Together""),"""");iferror(filter('Student Groupings'!$A:$A,'Student Groupings'!$E:$E=$C4,'"&amp;"Student Groupings'!$H:$H=""Must be Together""),"""")})))"),"27 - ")</f>
        <v>27 - </v>
      </c>
      <c r="AE4" s="104"/>
      <c r="AF4" s="104"/>
      <c r="AG4" s="104"/>
      <c r="AH4" s="104"/>
    </row>
    <row r="5">
      <c r="A5" s="101">
        <v>6.0</v>
      </c>
      <c r="B5" s="101">
        <v>31005.0</v>
      </c>
      <c r="C5" s="102" t="s">
        <v>315</v>
      </c>
      <c r="D5" s="52" t="s">
        <v>171</v>
      </c>
      <c r="E5" s="52">
        <v>2.0</v>
      </c>
      <c r="F5" s="52" t="s">
        <v>158</v>
      </c>
      <c r="G5" s="52">
        <v>6.0</v>
      </c>
      <c r="H5" s="52" t="s">
        <v>182</v>
      </c>
      <c r="I5" s="52">
        <v>5.0</v>
      </c>
      <c r="J5" s="52" t="s">
        <v>192</v>
      </c>
      <c r="K5" s="52">
        <v>4.0</v>
      </c>
      <c r="L5" s="52" t="s">
        <v>196</v>
      </c>
      <c r="M5" s="52">
        <v>3.0</v>
      </c>
      <c r="N5" s="52" t="s">
        <v>153</v>
      </c>
      <c r="O5" s="52" t="s">
        <v>108</v>
      </c>
      <c r="P5" s="52" t="s">
        <v>134</v>
      </c>
      <c r="Q5" s="52" t="s">
        <v>129</v>
      </c>
      <c r="R5" s="52" t="s">
        <v>117</v>
      </c>
      <c r="S5" s="52" t="s">
        <v>129</v>
      </c>
      <c r="T5" s="65" t="s">
        <v>27</v>
      </c>
      <c r="U5" s="32">
        <v>1.0</v>
      </c>
      <c r="V5" s="32">
        <v>1.0</v>
      </c>
      <c r="W5" s="32">
        <v>1.0</v>
      </c>
      <c r="X5" s="32">
        <v>1.0</v>
      </c>
      <c r="Y5" s="32">
        <v>1.0</v>
      </c>
      <c r="Z5" s="32">
        <v>1.0</v>
      </c>
      <c r="AA5" s="32">
        <v>6.0</v>
      </c>
      <c r="AB5" s="32">
        <v>0.0</v>
      </c>
      <c r="AC5" s="103" t="str">
        <f>IFERROR(__xludf.DUMMYFUNCTION("if($C5="""","""",if(join("" - "",{iferror(filter('Student Groupings'!$A:$A,'Student Groupings'!$B:$B=$C5,'Student Groupings'!$H:$H=""Can't be Together""),"""");iferror(filter('Student Groupings'!$A:$A,'Student Groupings'!$E:$E=$C5,'Student Groupings'!$H:$"&amp;"H=""Can't be Together""),"""")})="" - "","""",join("" - "",{iferror(filter('Student Groupings'!$A:$A,'Student Groupings'!$B:$B=$C5,'Student Groupings'!$H:$H=""Can't be Together""),"""");iferror(filter('Student Groupings'!$A:$A,'Student Groupings'!$E:$E=$C"&amp;"5,'Student Groupings'!$H:$H=""Can't be Together""),"""")})))"),"")</f>
        <v/>
      </c>
      <c r="AD5" s="103" t="str">
        <f>IFERROR(__xludf.DUMMYFUNCTION("if($C5="""","""",if(join("" - "",{iferror(filter('Student Groupings'!$A:$A,'Student Groupings'!$B:$B=$C5,'Student Groupings'!$H:$H=""Must be Together""),"""");iferror(filter('Student Groupings'!$A:$A,'Student Groupings'!$E:$E=$C5,'Student Groupings'!$H:$H"&amp;"=""Must be Together""),"""")})="" - "","""",join("" - "",{iferror(filter('Student Groupings'!$A:$A,'Student Groupings'!$B:$B=$C5,'Student Groupings'!$H:$H=""Must be Together""),"""");iferror(filter('Student Groupings'!$A:$A,'Student Groupings'!$E:$E=$C5,'"&amp;"Student Groupings'!$H:$H=""Must be Together""),"""")})))"),"")</f>
        <v/>
      </c>
      <c r="AE5" s="104"/>
      <c r="AF5" s="104"/>
      <c r="AG5" s="104"/>
      <c r="AH5" s="104"/>
    </row>
    <row r="6">
      <c r="A6" s="101">
        <v>6.0</v>
      </c>
      <c r="B6" s="101">
        <v>31151.0</v>
      </c>
      <c r="C6" s="102" t="s">
        <v>316</v>
      </c>
      <c r="D6" s="52" t="s">
        <v>171</v>
      </c>
      <c r="E6" s="52">
        <v>3.0</v>
      </c>
      <c r="F6" s="52" t="s">
        <v>158</v>
      </c>
      <c r="G6" s="52">
        <v>1.0</v>
      </c>
      <c r="H6" s="52" t="s">
        <v>182</v>
      </c>
      <c r="I6" s="52">
        <v>6.0</v>
      </c>
      <c r="J6" s="52" t="s">
        <v>192</v>
      </c>
      <c r="K6" s="52">
        <v>2.0</v>
      </c>
      <c r="L6" s="52" t="s">
        <v>196</v>
      </c>
      <c r="M6" s="52">
        <v>4.0</v>
      </c>
      <c r="N6" s="52" t="s">
        <v>153</v>
      </c>
      <c r="O6" s="52" t="s">
        <v>112</v>
      </c>
      <c r="P6" s="52" t="s">
        <v>142</v>
      </c>
      <c r="Q6" s="52" t="s">
        <v>124</v>
      </c>
      <c r="R6" s="52" t="s">
        <v>142</v>
      </c>
      <c r="S6" s="52" t="s">
        <v>124</v>
      </c>
      <c r="T6" s="65" t="s">
        <v>142</v>
      </c>
      <c r="U6" s="32">
        <v>1.0</v>
      </c>
      <c r="V6" s="32">
        <v>1.0</v>
      </c>
      <c r="W6" s="32">
        <v>1.0</v>
      </c>
      <c r="X6" s="32">
        <v>1.0</v>
      </c>
      <c r="Y6" s="32">
        <v>1.0</v>
      </c>
      <c r="Z6" s="32">
        <v>1.0</v>
      </c>
      <c r="AA6" s="32">
        <v>6.0</v>
      </c>
      <c r="AB6" s="32">
        <v>0.0</v>
      </c>
      <c r="AC6" s="103" t="str">
        <f>IFERROR(__xludf.DUMMYFUNCTION("if($C6="""","""",if(join("" - "",{iferror(filter('Student Groupings'!$A:$A,'Student Groupings'!$B:$B=$C6,'Student Groupings'!$H:$H=""Can't be Together""),"""");iferror(filter('Student Groupings'!$A:$A,'Student Groupings'!$E:$E=$C6,'Student Groupings'!$H:$"&amp;"H=""Can't be Together""),"""")})="" - "","""",join("" - "",{iferror(filter('Student Groupings'!$A:$A,'Student Groupings'!$B:$B=$C6,'Student Groupings'!$H:$H=""Can't be Together""),"""");iferror(filter('Student Groupings'!$A:$A,'Student Groupings'!$E:$E=$C"&amp;"6,'Student Groupings'!$H:$H=""Can't be Together""),"""")})))"),"")</f>
        <v/>
      </c>
      <c r="AD6" s="103" t="str">
        <f>IFERROR(__xludf.DUMMYFUNCTION("if($C6="""","""",if(join("" - "",{iferror(filter('Student Groupings'!$A:$A,'Student Groupings'!$B:$B=$C6,'Student Groupings'!$H:$H=""Must be Together""),"""");iferror(filter('Student Groupings'!$A:$A,'Student Groupings'!$E:$E=$C6,'Student Groupings'!$H:$H"&amp;"=""Must be Together""),"""")})="" - "","""",join("" - "",{iferror(filter('Student Groupings'!$A:$A,'Student Groupings'!$B:$B=$C6,'Student Groupings'!$H:$H=""Must be Together""),"""");iferror(filter('Student Groupings'!$A:$A,'Student Groupings'!$E:$E=$C6,'"&amp;"Student Groupings'!$H:$H=""Must be Together""),"""")})))"),"")</f>
        <v/>
      </c>
      <c r="AE6" s="104"/>
      <c r="AF6" s="104"/>
      <c r="AG6" s="104"/>
      <c r="AH6" s="104"/>
    </row>
    <row r="7">
      <c r="A7" s="101">
        <v>6.0</v>
      </c>
      <c r="B7" s="101">
        <v>31006.0</v>
      </c>
      <c r="C7" s="102" t="s">
        <v>241</v>
      </c>
      <c r="D7" s="52" t="s">
        <v>171</v>
      </c>
      <c r="E7" s="52">
        <v>2.0</v>
      </c>
      <c r="F7" s="52" t="s">
        <v>158</v>
      </c>
      <c r="G7" s="52">
        <v>1.0</v>
      </c>
      <c r="H7" s="52" t="s">
        <v>182</v>
      </c>
      <c r="I7" s="52">
        <v>5.0</v>
      </c>
      <c r="J7" s="52" t="s">
        <v>192</v>
      </c>
      <c r="K7" s="52">
        <v>4.0</v>
      </c>
      <c r="L7" s="52" t="s">
        <v>196</v>
      </c>
      <c r="M7" s="52">
        <v>3.0</v>
      </c>
      <c r="N7" s="52" t="s">
        <v>153</v>
      </c>
      <c r="O7" s="52" t="s">
        <v>109</v>
      </c>
      <c r="P7" s="52" t="s">
        <v>143</v>
      </c>
      <c r="Q7" s="52" t="s">
        <v>120</v>
      </c>
      <c r="R7" s="52" t="s">
        <v>143</v>
      </c>
      <c r="S7" s="52" t="s">
        <v>120</v>
      </c>
      <c r="T7" s="65" t="s">
        <v>143</v>
      </c>
      <c r="U7" s="32">
        <v>1.0</v>
      </c>
      <c r="V7" s="32">
        <v>1.0</v>
      </c>
      <c r="W7" s="32">
        <v>1.0</v>
      </c>
      <c r="X7" s="32">
        <v>1.0</v>
      </c>
      <c r="Y7" s="32">
        <v>1.0</v>
      </c>
      <c r="Z7" s="32">
        <v>1.0</v>
      </c>
      <c r="AA7" s="32">
        <v>6.0</v>
      </c>
      <c r="AB7" s="32">
        <v>0.0</v>
      </c>
      <c r="AC7" s="103" t="str">
        <f>IFERROR(__xludf.DUMMYFUNCTION("if($C7="""","""",if(join("" - "",{iferror(filter('Student Groupings'!$A:$A,'Student Groupings'!$B:$B=$C7,'Student Groupings'!$H:$H=""Can't be Together""),"""");iferror(filter('Student Groupings'!$A:$A,'Student Groupings'!$E:$E=$C7,'Student Groupings'!$H:$"&amp;"H=""Can't be Together""),"""")})="" - "","""",join("" - "",{iferror(filter('Student Groupings'!$A:$A,'Student Groupings'!$B:$B=$C7,'Student Groupings'!$H:$H=""Can't be Together""),"""");iferror(filter('Student Groupings'!$A:$A,'Student Groupings'!$E:$E=$C"&amp;"7,'Student Groupings'!$H:$H=""Can't be Together""),"""")})))"),"28 - ")</f>
        <v>28 - </v>
      </c>
      <c r="AD7" s="103" t="str">
        <f>IFERROR(__xludf.DUMMYFUNCTION("if($C7="""","""",if(join("" - "",{iferror(filter('Student Groupings'!$A:$A,'Student Groupings'!$B:$B=$C7,'Student Groupings'!$H:$H=""Must be Together""),"""");iferror(filter('Student Groupings'!$A:$A,'Student Groupings'!$E:$E=$C7,'Student Groupings'!$H:$H"&amp;"=""Must be Together""),"""")})="" - "","""",join("" - "",{iferror(filter('Student Groupings'!$A:$A,'Student Groupings'!$B:$B=$C7,'Student Groupings'!$H:$H=""Must be Together""),"""");iferror(filter('Student Groupings'!$A:$A,'Student Groupings'!$E:$E=$C7,'"&amp;"Student Groupings'!$H:$H=""Must be Together""),"""")})))"),"")</f>
        <v/>
      </c>
      <c r="AE7" s="104"/>
      <c r="AF7" s="104"/>
      <c r="AG7" s="104"/>
      <c r="AH7" s="104"/>
    </row>
    <row r="8">
      <c r="A8" s="101">
        <v>6.0</v>
      </c>
      <c r="B8" s="101">
        <v>31007.0</v>
      </c>
      <c r="C8" s="102" t="s">
        <v>317</v>
      </c>
      <c r="D8" s="52" t="s">
        <v>171</v>
      </c>
      <c r="E8" s="52">
        <v>4.0</v>
      </c>
      <c r="F8" s="52" t="s">
        <v>159</v>
      </c>
      <c r="G8" s="52">
        <v>5.0</v>
      </c>
      <c r="H8" s="52" t="s">
        <v>181</v>
      </c>
      <c r="I8" s="52">
        <v>1.0</v>
      </c>
      <c r="J8" s="52" t="s">
        <v>192</v>
      </c>
      <c r="K8" s="52">
        <v>3.0</v>
      </c>
      <c r="L8" s="52" t="s">
        <v>196</v>
      </c>
      <c r="M8" s="52">
        <v>2.0</v>
      </c>
      <c r="N8" s="52" t="s">
        <v>153</v>
      </c>
      <c r="O8" s="52" t="s">
        <v>109</v>
      </c>
      <c r="P8" s="52" t="s">
        <v>143</v>
      </c>
      <c r="Q8" s="52" t="s">
        <v>120</v>
      </c>
      <c r="R8" s="52" t="s">
        <v>143</v>
      </c>
      <c r="S8" s="52" t="s">
        <v>120</v>
      </c>
      <c r="T8" s="65" t="s">
        <v>143</v>
      </c>
      <c r="U8" s="32">
        <v>1.0</v>
      </c>
      <c r="V8" s="32">
        <v>1.0</v>
      </c>
      <c r="W8" s="32">
        <v>1.0</v>
      </c>
      <c r="X8" s="32">
        <v>1.0</v>
      </c>
      <c r="Y8" s="32">
        <v>1.0</v>
      </c>
      <c r="Z8" s="32">
        <v>1.0</v>
      </c>
      <c r="AA8" s="32">
        <v>6.0</v>
      </c>
      <c r="AB8" s="32">
        <v>0.0</v>
      </c>
      <c r="AC8" s="103" t="str">
        <f>IFERROR(__xludf.DUMMYFUNCTION("if($C8="""","""",if(join("" - "",{iferror(filter('Student Groupings'!$A:$A,'Student Groupings'!$B:$B=$C8,'Student Groupings'!$H:$H=""Can't be Together""),"""");iferror(filter('Student Groupings'!$A:$A,'Student Groupings'!$E:$E=$C8,'Student Groupings'!$H:$"&amp;"H=""Can't be Together""),"""")})="" - "","""",join("" - "",{iferror(filter('Student Groupings'!$A:$A,'Student Groupings'!$B:$B=$C8,'Student Groupings'!$H:$H=""Can't be Together""),"""");iferror(filter('Student Groupings'!$A:$A,'Student Groupings'!$E:$E=$C"&amp;"8,'Student Groupings'!$H:$H=""Can't be Together""),"""")})))"),"")</f>
        <v/>
      </c>
      <c r="AD8" s="103" t="str">
        <f>IFERROR(__xludf.DUMMYFUNCTION("if($C8="""","""",if(join("" - "",{iferror(filter('Student Groupings'!$A:$A,'Student Groupings'!$B:$B=$C8,'Student Groupings'!$H:$H=""Must be Together""),"""");iferror(filter('Student Groupings'!$A:$A,'Student Groupings'!$E:$E=$C8,'Student Groupings'!$H:$H"&amp;"=""Must be Together""),"""")})="" - "","""",join("" - "",{iferror(filter('Student Groupings'!$A:$A,'Student Groupings'!$B:$B=$C8,'Student Groupings'!$H:$H=""Must be Together""),"""");iferror(filter('Student Groupings'!$A:$A,'Student Groupings'!$E:$E=$C8,'"&amp;"Student Groupings'!$H:$H=""Must be Together""),"""")})))"),"")</f>
        <v/>
      </c>
      <c r="AE8" s="104"/>
      <c r="AF8" s="104"/>
      <c r="AG8" s="104"/>
      <c r="AH8" s="104"/>
    </row>
    <row r="9">
      <c r="A9" s="101">
        <v>6.0</v>
      </c>
      <c r="B9" s="101">
        <v>31008.0</v>
      </c>
      <c r="C9" s="102" t="s">
        <v>318</v>
      </c>
      <c r="D9" s="52" t="s">
        <v>171</v>
      </c>
      <c r="E9" s="52">
        <v>2.0</v>
      </c>
      <c r="F9" s="52" t="s">
        <v>158</v>
      </c>
      <c r="G9" s="52">
        <v>6.0</v>
      </c>
      <c r="H9" s="52" t="s">
        <v>181</v>
      </c>
      <c r="I9" s="52">
        <v>1.0</v>
      </c>
      <c r="J9" s="52" t="s">
        <v>192</v>
      </c>
      <c r="K9" s="52">
        <v>4.0</v>
      </c>
      <c r="L9" s="52" t="s">
        <v>196</v>
      </c>
      <c r="M9" s="52">
        <v>3.0</v>
      </c>
      <c r="N9" s="52" t="s">
        <v>153</v>
      </c>
      <c r="O9" s="52" t="s">
        <v>112</v>
      </c>
      <c r="P9" s="52" t="s">
        <v>142</v>
      </c>
      <c r="Q9" s="52" t="s">
        <v>124</v>
      </c>
      <c r="R9" s="52" t="s">
        <v>142</v>
      </c>
      <c r="S9" s="52" t="s">
        <v>124</v>
      </c>
      <c r="T9" s="65" t="s">
        <v>142</v>
      </c>
      <c r="U9" s="32">
        <v>1.0</v>
      </c>
      <c r="V9" s="32">
        <v>1.0</v>
      </c>
      <c r="W9" s="32">
        <v>1.0</v>
      </c>
      <c r="X9" s="32">
        <v>1.0</v>
      </c>
      <c r="Y9" s="32">
        <v>1.0</v>
      </c>
      <c r="Z9" s="32">
        <v>1.0</v>
      </c>
      <c r="AA9" s="32">
        <v>6.0</v>
      </c>
      <c r="AB9" s="32">
        <v>0.0</v>
      </c>
      <c r="AC9" s="103" t="str">
        <f>IFERROR(__xludf.DUMMYFUNCTION("if($C9="""","""",if(join("" - "",{iferror(filter('Student Groupings'!$A:$A,'Student Groupings'!$B:$B=$C9,'Student Groupings'!$H:$H=""Can't be Together""),"""");iferror(filter('Student Groupings'!$A:$A,'Student Groupings'!$E:$E=$C9,'Student Groupings'!$H:$"&amp;"H=""Can't be Together""),"""")})="" - "","""",join("" - "",{iferror(filter('Student Groupings'!$A:$A,'Student Groupings'!$B:$B=$C9,'Student Groupings'!$H:$H=""Can't be Together""),"""");iferror(filter('Student Groupings'!$A:$A,'Student Groupings'!$E:$E=$C"&amp;"9,'Student Groupings'!$H:$H=""Can't be Together""),"""")})))"),"")</f>
        <v/>
      </c>
      <c r="AD9" s="103" t="str">
        <f>IFERROR(__xludf.DUMMYFUNCTION("if($C9="""","""",if(join("" - "",{iferror(filter('Student Groupings'!$A:$A,'Student Groupings'!$B:$B=$C9,'Student Groupings'!$H:$H=""Must be Together""),"""");iferror(filter('Student Groupings'!$A:$A,'Student Groupings'!$E:$E=$C9,'Student Groupings'!$H:$H"&amp;"=""Must be Together""),"""")})="" - "","""",join("" - "",{iferror(filter('Student Groupings'!$A:$A,'Student Groupings'!$B:$B=$C9,'Student Groupings'!$H:$H=""Must be Together""),"""");iferror(filter('Student Groupings'!$A:$A,'Student Groupings'!$E:$E=$C9,'"&amp;"Student Groupings'!$H:$H=""Must be Together""),"""")})))"),"")</f>
        <v/>
      </c>
      <c r="AE9" s="104"/>
      <c r="AF9" s="104"/>
      <c r="AG9" s="104"/>
      <c r="AH9" s="104"/>
    </row>
    <row r="10" ht="14.25" customHeight="1">
      <c r="A10" s="101">
        <v>6.0</v>
      </c>
      <c r="B10" s="101">
        <v>31009.0</v>
      </c>
      <c r="C10" s="102" t="s">
        <v>319</v>
      </c>
      <c r="D10" s="52" t="s">
        <v>171</v>
      </c>
      <c r="E10" s="101">
        <v>5.0</v>
      </c>
      <c r="F10" s="52" t="s">
        <v>158</v>
      </c>
      <c r="G10" s="52">
        <v>3.0</v>
      </c>
      <c r="H10" s="52" t="s">
        <v>182</v>
      </c>
      <c r="I10" s="52">
        <v>2.0</v>
      </c>
      <c r="J10" s="52" t="s">
        <v>192</v>
      </c>
      <c r="K10" s="52">
        <v>1.0</v>
      </c>
      <c r="L10" s="52" t="s">
        <v>196</v>
      </c>
      <c r="M10" s="101">
        <v>6.0</v>
      </c>
      <c r="N10" s="52" t="s">
        <v>153</v>
      </c>
      <c r="O10" s="52" t="s">
        <v>130</v>
      </c>
      <c r="P10" s="52" t="s">
        <v>134</v>
      </c>
      <c r="Q10" s="52" t="s">
        <v>111</v>
      </c>
      <c r="R10" s="52" t="s">
        <v>117</v>
      </c>
      <c r="S10" s="52" t="s">
        <v>111</v>
      </c>
      <c r="T10" s="65" t="s">
        <v>27</v>
      </c>
      <c r="U10" s="32">
        <v>1.0</v>
      </c>
      <c r="V10" s="32">
        <v>1.0</v>
      </c>
      <c r="W10" s="32">
        <v>1.0</v>
      </c>
      <c r="X10" s="32">
        <v>1.0</v>
      </c>
      <c r="Y10" s="32">
        <v>1.0</v>
      </c>
      <c r="Z10" s="32">
        <v>1.0</v>
      </c>
      <c r="AA10" s="32">
        <v>6.0</v>
      </c>
      <c r="AB10" s="32">
        <v>0.0</v>
      </c>
      <c r="AC10" s="103" t="str">
        <f>IFERROR(__xludf.DUMMYFUNCTION("if($C10="""","""",if(join("" - "",{iferror(filter('Student Groupings'!$A:$A,'Student Groupings'!$B:$B=$C10,'Student Groupings'!$H:$H=""Can't be Together""),"""");iferror(filter('Student Groupings'!$A:$A,'Student Groupings'!$E:$E=$C10,'Student Groupings'!$"&amp;"H:$H=""Can't be Together""),"""")})="" - "","""",join("" - "",{iferror(filter('Student Groupings'!$A:$A,'Student Groupings'!$B:$B=$C10,'Student Groupings'!$H:$H=""Can't be Together""),"""");iferror(filter('Student Groupings'!$A:$A,'Student Groupings'!$E:$"&amp;"E=$C10,'Student Groupings'!$H:$H=""Can't be Together""),"""")})))"),"")</f>
        <v/>
      </c>
      <c r="AD10" s="103" t="str">
        <f>IFERROR(__xludf.DUMMYFUNCTION("if($C10="""","""",if(join("" - "",{iferror(filter('Student Groupings'!$A:$A,'Student Groupings'!$B:$B=$C10,'Student Groupings'!$H:$H=""Must be Together""),"""");iferror(filter('Student Groupings'!$A:$A,'Student Groupings'!$E:$E=$C10,'Student Groupings'!$H"&amp;":$H=""Must be Together""),"""")})="" - "","""",join("" - "",{iferror(filter('Student Groupings'!$A:$A,'Student Groupings'!$B:$B=$C10,'Student Groupings'!$H:$H=""Must be Together""),"""");iferror(filter('Student Groupings'!$A:$A,'Student Groupings'!$E:$E=$"&amp;"C10,'Student Groupings'!$H:$H=""Must be Together""),"""")})))"),"")</f>
        <v/>
      </c>
      <c r="AE10" s="105"/>
      <c r="AF10" s="105"/>
      <c r="AG10" s="105"/>
      <c r="AH10" s="105"/>
    </row>
    <row r="11">
      <c r="A11" s="101">
        <v>6.0</v>
      </c>
      <c r="B11" s="101">
        <v>31010.0</v>
      </c>
      <c r="C11" s="102" t="s">
        <v>320</v>
      </c>
      <c r="D11" s="52" t="s">
        <v>173</v>
      </c>
      <c r="E11" s="52">
        <v>3.0</v>
      </c>
      <c r="F11" s="52" t="s">
        <v>159</v>
      </c>
      <c r="G11" s="52">
        <v>5.0</v>
      </c>
      <c r="H11" s="52" t="s">
        <v>182</v>
      </c>
      <c r="I11" s="52">
        <v>6.0</v>
      </c>
      <c r="J11" s="52" t="s">
        <v>194</v>
      </c>
      <c r="K11" s="52">
        <v>2.0</v>
      </c>
      <c r="L11" s="52" t="s">
        <v>198</v>
      </c>
      <c r="M11" s="52">
        <v>4.0</v>
      </c>
      <c r="N11" s="52" t="s">
        <v>153</v>
      </c>
      <c r="O11" s="52" t="s">
        <v>108</v>
      </c>
      <c r="P11" s="52" t="s">
        <v>117</v>
      </c>
      <c r="Q11" s="52" t="s">
        <v>129</v>
      </c>
      <c r="R11" s="52" t="s">
        <v>134</v>
      </c>
      <c r="S11" s="52" t="s">
        <v>129</v>
      </c>
      <c r="T11" s="65" t="s">
        <v>27</v>
      </c>
      <c r="U11" s="32">
        <v>1.0</v>
      </c>
      <c r="V11" s="32">
        <v>1.0</v>
      </c>
      <c r="W11" s="32">
        <v>1.0</v>
      </c>
      <c r="X11" s="32">
        <v>1.0</v>
      </c>
      <c r="Y11" s="32">
        <v>1.0</v>
      </c>
      <c r="Z11" s="32">
        <v>1.0</v>
      </c>
      <c r="AA11" s="32">
        <v>6.0</v>
      </c>
      <c r="AB11" s="32">
        <v>0.0</v>
      </c>
      <c r="AC11" s="103" t="str">
        <f>IFERROR(__xludf.DUMMYFUNCTION("if($C11="""","""",if(join("" - "",{iferror(filter('Student Groupings'!$A:$A,'Student Groupings'!$B:$B=$C11,'Student Groupings'!$H:$H=""Can't be Together""),"""");iferror(filter('Student Groupings'!$A:$A,'Student Groupings'!$E:$E=$C11,'Student Groupings'!$"&amp;"H:$H=""Can't be Together""),"""")})="" - "","""",join("" - "",{iferror(filter('Student Groupings'!$A:$A,'Student Groupings'!$B:$B=$C11,'Student Groupings'!$H:$H=""Can't be Together""),"""");iferror(filter('Student Groupings'!$A:$A,'Student Groupings'!$E:$"&amp;"E=$C11,'Student Groupings'!$H:$H=""Can't be Together""),"""")})))"),"")</f>
        <v/>
      </c>
      <c r="AD11" s="103" t="str">
        <f>IFERROR(__xludf.DUMMYFUNCTION("if($C11="""","""",if(join("" - "",{iferror(filter('Student Groupings'!$A:$A,'Student Groupings'!$B:$B=$C11,'Student Groupings'!$H:$H=""Must be Together""),"""");iferror(filter('Student Groupings'!$A:$A,'Student Groupings'!$E:$E=$C11,'Student Groupings'!$H"&amp;":$H=""Must be Together""),"""")})="" - "","""",join("" - "",{iferror(filter('Student Groupings'!$A:$A,'Student Groupings'!$B:$B=$C11,'Student Groupings'!$H:$H=""Must be Together""),"""");iferror(filter('Student Groupings'!$A:$A,'Student Groupings'!$E:$E=$"&amp;"C11,'Student Groupings'!$H:$H=""Must be Together""),"""")})))"),"")</f>
        <v/>
      </c>
      <c r="AE11" s="104"/>
      <c r="AF11" s="104"/>
      <c r="AG11" s="104"/>
      <c r="AH11" s="104"/>
    </row>
    <row r="12">
      <c r="A12" s="101">
        <v>6.0</v>
      </c>
      <c r="B12" s="101">
        <v>31011.0</v>
      </c>
      <c r="C12" s="102" t="s">
        <v>321</v>
      </c>
      <c r="D12" s="52" t="s">
        <v>171</v>
      </c>
      <c r="E12" s="52">
        <v>6.0</v>
      </c>
      <c r="F12" s="52" t="s">
        <v>158</v>
      </c>
      <c r="G12" s="52">
        <v>3.0</v>
      </c>
      <c r="H12" s="52" t="s">
        <v>182</v>
      </c>
      <c r="I12" s="52">
        <v>2.0</v>
      </c>
      <c r="J12" s="52" t="s">
        <v>192</v>
      </c>
      <c r="K12" s="52">
        <v>5.0</v>
      </c>
      <c r="L12" s="52" t="s">
        <v>196</v>
      </c>
      <c r="M12" s="52">
        <v>1.0</v>
      </c>
      <c r="N12" s="52" t="s">
        <v>153</v>
      </c>
      <c r="O12" s="52" t="s">
        <v>130</v>
      </c>
      <c r="P12" s="52" t="s">
        <v>134</v>
      </c>
      <c r="Q12" s="52" t="s">
        <v>111</v>
      </c>
      <c r="R12" s="52" t="s">
        <v>117</v>
      </c>
      <c r="S12" s="52" t="s">
        <v>111</v>
      </c>
      <c r="T12" s="65" t="s">
        <v>27</v>
      </c>
      <c r="U12" s="32">
        <v>1.0</v>
      </c>
      <c r="V12" s="32">
        <v>1.0</v>
      </c>
      <c r="W12" s="32">
        <v>1.0</v>
      </c>
      <c r="X12" s="32">
        <v>1.0</v>
      </c>
      <c r="Y12" s="32">
        <v>1.0</v>
      </c>
      <c r="Z12" s="32">
        <v>1.0</v>
      </c>
      <c r="AA12" s="32">
        <v>6.0</v>
      </c>
      <c r="AB12" s="32">
        <v>0.0</v>
      </c>
      <c r="AC12" s="103" t="str">
        <f>IFERROR(__xludf.DUMMYFUNCTION("if($C12="""","""",if(join("" - "",{iferror(filter('Student Groupings'!$A:$A,'Student Groupings'!$B:$B=$C12,'Student Groupings'!$H:$H=""Can't be Together""),"""");iferror(filter('Student Groupings'!$A:$A,'Student Groupings'!$E:$E=$C12,'Student Groupings'!$"&amp;"H:$H=""Can't be Together""),"""")})="" - "","""",join("" - "",{iferror(filter('Student Groupings'!$A:$A,'Student Groupings'!$B:$B=$C12,'Student Groupings'!$H:$H=""Can't be Together""),"""");iferror(filter('Student Groupings'!$A:$A,'Student Groupings'!$E:$"&amp;"E=$C12,'Student Groupings'!$H:$H=""Can't be Together""),"""")})))"),"")</f>
        <v/>
      </c>
      <c r="AD12" s="103" t="str">
        <f>IFERROR(__xludf.DUMMYFUNCTION("if($C12="""","""",if(join("" - "",{iferror(filter('Student Groupings'!$A:$A,'Student Groupings'!$B:$B=$C12,'Student Groupings'!$H:$H=""Must be Together""),"""");iferror(filter('Student Groupings'!$A:$A,'Student Groupings'!$E:$E=$C12,'Student Groupings'!$H"&amp;":$H=""Must be Together""),"""")})="" - "","""",join("" - "",{iferror(filter('Student Groupings'!$A:$A,'Student Groupings'!$B:$B=$C12,'Student Groupings'!$H:$H=""Must be Together""),"""");iferror(filter('Student Groupings'!$A:$A,'Student Groupings'!$E:$E=$"&amp;"C12,'Student Groupings'!$H:$H=""Must be Together""),"""")})))"),"")</f>
        <v/>
      </c>
      <c r="AE12" s="104"/>
      <c r="AF12" s="104"/>
      <c r="AG12" s="104"/>
      <c r="AH12" s="104"/>
    </row>
    <row r="13">
      <c r="A13" s="101">
        <v>6.0</v>
      </c>
      <c r="B13" s="101">
        <v>31012.0</v>
      </c>
      <c r="C13" s="102" t="s">
        <v>322</v>
      </c>
      <c r="D13" s="52" t="s">
        <v>173</v>
      </c>
      <c r="E13" s="52">
        <v>3.0</v>
      </c>
      <c r="F13" s="52" t="s">
        <v>158</v>
      </c>
      <c r="G13" s="52">
        <v>6.0</v>
      </c>
      <c r="H13" s="52" t="s">
        <v>182</v>
      </c>
      <c r="I13" s="52">
        <v>5.0</v>
      </c>
      <c r="J13" s="52" t="s">
        <v>194</v>
      </c>
      <c r="K13" s="52">
        <v>2.0</v>
      </c>
      <c r="L13" s="52" t="s">
        <v>198</v>
      </c>
      <c r="M13" s="52">
        <v>4.0</v>
      </c>
      <c r="N13" s="52" t="s">
        <v>153</v>
      </c>
      <c r="O13" s="52" t="s">
        <v>108</v>
      </c>
      <c r="P13" s="52" t="s">
        <v>117</v>
      </c>
      <c r="Q13" s="52" t="s">
        <v>129</v>
      </c>
      <c r="R13" s="52" t="s">
        <v>134</v>
      </c>
      <c r="S13" s="52" t="s">
        <v>129</v>
      </c>
      <c r="T13" s="65" t="s">
        <v>27</v>
      </c>
      <c r="U13" s="32">
        <v>1.0</v>
      </c>
      <c r="V13" s="32">
        <v>1.0</v>
      </c>
      <c r="W13" s="32">
        <v>1.0</v>
      </c>
      <c r="X13" s="32">
        <v>1.0</v>
      </c>
      <c r="Y13" s="32">
        <v>1.0</v>
      </c>
      <c r="Z13" s="32">
        <v>1.0</v>
      </c>
      <c r="AA13" s="32">
        <v>6.0</v>
      </c>
      <c r="AB13" s="32">
        <v>0.0</v>
      </c>
      <c r="AC13" s="103" t="str">
        <f>IFERROR(__xludf.DUMMYFUNCTION("if($C13="""","""",if(join("" - "",{iferror(filter('Student Groupings'!$A:$A,'Student Groupings'!$B:$B=$C13,'Student Groupings'!$H:$H=""Can't be Together""),"""");iferror(filter('Student Groupings'!$A:$A,'Student Groupings'!$E:$E=$C13,'Student Groupings'!$"&amp;"H:$H=""Can't be Together""),"""")})="" - "","""",join("" - "",{iferror(filter('Student Groupings'!$A:$A,'Student Groupings'!$B:$B=$C13,'Student Groupings'!$H:$H=""Can't be Together""),"""");iferror(filter('Student Groupings'!$A:$A,'Student Groupings'!$E:$"&amp;"E=$C13,'Student Groupings'!$H:$H=""Can't be Together""),"""")})))"),"")</f>
        <v/>
      </c>
      <c r="AD13" s="103" t="str">
        <f>IFERROR(__xludf.DUMMYFUNCTION("if($C13="""","""",if(join("" - "",{iferror(filter('Student Groupings'!$A:$A,'Student Groupings'!$B:$B=$C13,'Student Groupings'!$H:$H=""Must be Together""),"""");iferror(filter('Student Groupings'!$A:$A,'Student Groupings'!$E:$E=$C13,'Student Groupings'!$H"&amp;":$H=""Must be Together""),"""")})="" - "","""",join("" - "",{iferror(filter('Student Groupings'!$A:$A,'Student Groupings'!$B:$B=$C13,'Student Groupings'!$H:$H=""Must be Together""),"""");iferror(filter('Student Groupings'!$A:$A,'Student Groupings'!$E:$E=$"&amp;"C13,'Student Groupings'!$H:$H=""Must be Together""),"""")})))"),"")</f>
        <v/>
      </c>
      <c r="AE13" s="104"/>
      <c r="AF13" s="104"/>
      <c r="AG13" s="104"/>
      <c r="AH13" s="104"/>
    </row>
    <row r="14">
      <c r="A14" s="101">
        <v>6.0</v>
      </c>
      <c r="B14" s="101">
        <v>31013.0</v>
      </c>
      <c r="C14" s="102" t="s">
        <v>225</v>
      </c>
      <c r="D14" s="52" t="s">
        <v>171</v>
      </c>
      <c r="E14" s="101">
        <v>2.0</v>
      </c>
      <c r="F14" s="52" t="s">
        <v>158</v>
      </c>
      <c r="G14" s="52">
        <v>6.0</v>
      </c>
      <c r="H14" s="52" t="s">
        <v>181</v>
      </c>
      <c r="I14" s="52">
        <v>1.0</v>
      </c>
      <c r="J14" s="52" t="s">
        <v>192</v>
      </c>
      <c r="K14" s="52">
        <v>4.0</v>
      </c>
      <c r="L14" s="52" t="s">
        <v>196</v>
      </c>
      <c r="M14" s="52">
        <v>3.0</v>
      </c>
      <c r="N14" s="52" t="s">
        <v>153</v>
      </c>
      <c r="O14" s="52" t="s">
        <v>112</v>
      </c>
      <c r="P14" s="52" t="s">
        <v>142</v>
      </c>
      <c r="Q14" s="52" t="s">
        <v>124</v>
      </c>
      <c r="R14" s="52" t="s">
        <v>142</v>
      </c>
      <c r="S14" s="52" t="s">
        <v>124</v>
      </c>
      <c r="T14" s="65" t="s">
        <v>142</v>
      </c>
      <c r="U14" s="32">
        <v>1.0</v>
      </c>
      <c r="V14" s="32">
        <v>1.0</v>
      </c>
      <c r="W14" s="32">
        <v>1.0</v>
      </c>
      <c r="X14" s="32">
        <v>1.0</v>
      </c>
      <c r="Y14" s="32">
        <v>1.0</v>
      </c>
      <c r="Z14" s="32">
        <v>1.0</v>
      </c>
      <c r="AA14" s="32">
        <v>6.0</v>
      </c>
      <c r="AB14" s="32">
        <v>0.0</v>
      </c>
      <c r="AC14" s="103" t="str">
        <f>IFERROR(__xludf.DUMMYFUNCTION("if($C14="""","""",if(join("" - "",{iferror(filter('Student Groupings'!$A:$A,'Student Groupings'!$B:$B=$C14,'Student Groupings'!$H:$H=""Can't be Together""),"""");iferror(filter('Student Groupings'!$A:$A,'Student Groupings'!$E:$E=$C14,'Student Groupings'!$"&amp;"H:$H=""Can't be Together""),"""")})="" - "","""",join("" - "",{iferror(filter('Student Groupings'!$A:$A,'Student Groupings'!$B:$B=$C14,'Student Groupings'!$H:$H=""Can't be Together""),"""");iferror(filter('Student Groupings'!$A:$A,'Student Groupings'!$E:$"&amp;"E=$C14,'Student Groupings'!$H:$H=""Can't be Together""),"""")})))"),"")</f>
        <v/>
      </c>
      <c r="AD14" s="103" t="str">
        <f>IFERROR(__xludf.DUMMYFUNCTION("if($C14="""","""",if(join("" - "",{iferror(filter('Student Groupings'!$A:$A,'Student Groupings'!$B:$B=$C14,'Student Groupings'!$H:$H=""Must be Together""),"""");iferror(filter('Student Groupings'!$A:$A,'Student Groupings'!$E:$E=$C14,'Student Groupings'!$H"&amp;":$H=""Must be Together""),"""")})="" - "","""",join("" - "",{iferror(filter('Student Groupings'!$A:$A,'Student Groupings'!$B:$B=$C14,'Student Groupings'!$H:$H=""Must be Together""),"""");iferror(filter('Student Groupings'!$A:$A,'Student Groupings'!$E:$E=$"&amp;"C14,'Student Groupings'!$H:$H=""Must be Together""),"""")})))")," - 10")</f>
        <v> - 10</v>
      </c>
      <c r="AE14" s="104"/>
      <c r="AF14" s="104"/>
      <c r="AG14" s="104"/>
      <c r="AH14" s="104"/>
    </row>
    <row r="15">
      <c r="A15" s="101">
        <v>6.0</v>
      </c>
      <c r="B15" s="101">
        <v>31014.0</v>
      </c>
      <c r="C15" s="102" t="s">
        <v>323</v>
      </c>
      <c r="D15" s="52" t="s">
        <v>171</v>
      </c>
      <c r="E15" s="52">
        <v>4.0</v>
      </c>
      <c r="F15" s="52" t="s">
        <v>158</v>
      </c>
      <c r="G15" s="52">
        <v>5.0</v>
      </c>
      <c r="H15" s="52" t="s">
        <v>181</v>
      </c>
      <c r="I15" s="52">
        <v>1.0</v>
      </c>
      <c r="J15" s="52" t="s">
        <v>192</v>
      </c>
      <c r="K15" s="52">
        <v>3.0</v>
      </c>
      <c r="L15" s="52" t="s">
        <v>196</v>
      </c>
      <c r="M15" s="52">
        <v>2.0</v>
      </c>
      <c r="N15" s="52" t="s">
        <v>153</v>
      </c>
      <c r="O15" s="52" t="s">
        <v>120</v>
      </c>
      <c r="P15" s="52" t="s">
        <v>117</v>
      </c>
      <c r="Q15" s="52" t="s">
        <v>109</v>
      </c>
      <c r="R15" s="52" t="s">
        <v>134</v>
      </c>
      <c r="S15" s="52" t="s">
        <v>109</v>
      </c>
      <c r="T15" s="65" t="s">
        <v>27</v>
      </c>
      <c r="U15" s="32">
        <v>1.0</v>
      </c>
      <c r="V15" s="32">
        <v>1.0</v>
      </c>
      <c r="W15" s="32">
        <v>1.0</v>
      </c>
      <c r="X15" s="32">
        <v>1.0</v>
      </c>
      <c r="Y15" s="32">
        <v>1.0</v>
      </c>
      <c r="Z15" s="32">
        <v>1.0</v>
      </c>
      <c r="AA15" s="32">
        <v>6.0</v>
      </c>
      <c r="AB15" s="32">
        <v>0.0</v>
      </c>
      <c r="AC15" s="103" t="str">
        <f>IFERROR(__xludf.DUMMYFUNCTION("if($C15="""","""",if(join("" - "",{iferror(filter('Student Groupings'!$A:$A,'Student Groupings'!$B:$B=$C15,'Student Groupings'!$H:$H=""Can't be Together""),"""");iferror(filter('Student Groupings'!$A:$A,'Student Groupings'!$E:$E=$C15,'Student Groupings'!$"&amp;"H:$H=""Can't be Together""),"""")})="" - "","""",join("" - "",{iferror(filter('Student Groupings'!$A:$A,'Student Groupings'!$B:$B=$C15,'Student Groupings'!$H:$H=""Can't be Together""),"""");iferror(filter('Student Groupings'!$A:$A,'Student Groupings'!$E:$"&amp;"E=$C15,'Student Groupings'!$H:$H=""Can't be Together""),"""")})))"),"")</f>
        <v/>
      </c>
      <c r="AD15" s="103" t="str">
        <f>IFERROR(__xludf.DUMMYFUNCTION("if($C15="""","""",if(join("" - "",{iferror(filter('Student Groupings'!$A:$A,'Student Groupings'!$B:$B=$C15,'Student Groupings'!$H:$H=""Must be Together""),"""");iferror(filter('Student Groupings'!$A:$A,'Student Groupings'!$E:$E=$C15,'Student Groupings'!$H"&amp;":$H=""Must be Together""),"""")})="" - "","""",join("" - "",{iferror(filter('Student Groupings'!$A:$A,'Student Groupings'!$B:$B=$C15,'Student Groupings'!$H:$H=""Must be Together""),"""");iferror(filter('Student Groupings'!$A:$A,'Student Groupings'!$E:$E=$"&amp;"C15,'Student Groupings'!$H:$H=""Must be Together""),"""")})))"),"")</f>
        <v/>
      </c>
      <c r="AE15" s="105"/>
      <c r="AF15" s="105">
        <v>1.0</v>
      </c>
      <c r="AG15" s="104"/>
      <c r="AH15" s="104"/>
    </row>
    <row r="16">
      <c r="A16" s="101">
        <v>6.0</v>
      </c>
      <c r="B16" s="101">
        <v>31015.0</v>
      </c>
      <c r="C16" s="102" t="s">
        <v>324</v>
      </c>
      <c r="D16" s="52" t="s">
        <v>171</v>
      </c>
      <c r="E16" s="52">
        <v>2.0</v>
      </c>
      <c r="F16" s="52" t="s">
        <v>158</v>
      </c>
      <c r="G16" s="52">
        <v>6.0</v>
      </c>
      <c r="H16" s="52" t="s">
        <v>181</v>
      </c>
      <c r="I16" s="52">
        <v>1.0</v>
      </c>
      <c r="J16" s="52" t="s">
        <v>192</v>
      </c>
      <c r="K16" s="52">
        <v>4.0</v>
      </c>
      <c r="L16" s="52" t="s">
        <v>196</v>
      </c>
      <c r="M16" s="52">
        <v>3.0</v>
      </c>
      <c r="N16" s="52" t="s">
        <v>153</v>
      </c>
      <c r="O16" s="52" t="s">
        <v>112</v>
      </c>
      <c r="P16" s="52" t="s">
        <v>142</v>
      </c>
      <c r="Q16" s="52" t="s">
        <v>124</v>
      </c>
      <c r="R16" s="52" t="s">
        <v>142</v>
      </c>
      <c r="S16" s="52" t="s">
        <v>124</v>
      </c>
      <c r="T16" s="65" t="s">
        <v>142</v>
      </c>
      <c r="U16" s="32">
        <v>1.0</v>
      </c>
      <c r="V16" s="32">
        <v>1.0</v>
      </c>
      <c r="W16" s="32">
        <v>1.0</v>
      </c>
      <c r="X16" s="32">
        <v>1.0</v>
      </c>
      <c r="Y16" s="32">
        <v>1.0</v>
      </c>
      <c r="Z16" s="32">
        <v>1.0</v>
      </c>
      <c r="AA16" s="32">
        <v>6.0</v>
      </c>
      <c r="AB16" s="32">
        <v>0.0</v>
      </c>
      <c r="AC16" s="103" t="str">
        <f>IFERROR(__xludf.DUMMYFUNCTION("if($C16="""","""",if(join("" - "",{iferror(filter('Student Groupings'!$A:$A,'Student Groupings'!$B:$B=$C16,'Student Groupings'!$H:$H=""Can't be Together""),"""");iferror(filter('Student Groupings'!$A:$A,'Student Groupings'!$E:$E=$C16,'Student Groupings'!$"&amp;"H:$H=""Can't be Together""),"""")})="" - "","""",join("" - "",{iferror(filter('Student Groupings'!$A:$A,'Student Groupings'!$B:$B=$C16,'Student Groupings'!$H:$H=""Can't be Together""),"""");iferror(filter('Student Groupings'!$A:$A,'Student Groupings'!$E:$"&amp;"E=$C16,'Student Groupings'!$H:$H=""Can't be Together""),"""")})))"),"")</f>
        <v/>
      </c>
      <c r="AD16" s="103" t="str">
        <f>IFERROR(__xludf.DUMMYFUNCTION("if($C16="""","""",if(join("" - "",{iferror(filter('Student Groupings'!$A:$A,'Student Groupings'!$B:$B=$C16,'Student Groupings'!$H:$H=""Must be Together""),"""");iferror(filter('Student Groupings'!$A:$A,'Student Groupings'!$E:$E=$C16,'Student Groupings'!$H"&amp;":$H=""Must be Together""),"""")})="" - "","""",join("" - "",{iferror(filter('Student Groupings'!$A:$A,'Student Groupings'!$B:$B=$C16,'Student Groupings'!$H:$H=""Must be Together""),"""");iferror(filter('Student Groupings'!$A:$A,'Student Groupings'!$E:$E=$"&amp;"C16,'Student Groupings'!$H:$H=""Must be Together""),"""")})))"),"")</f>
        <v/>
      </c>
      <c r="AE16" s="105"/>
      <c r="AF16" s="105">
        <v>1.0</v>
      </c>
      <c r="AG16" s="105"/>
      <c r="AH16" s="105"/>
    </row>
    <row r="17">
      <c r="A17" s="101">
        <v>6.0</v>
      </c>
      <c r="B17" s="101">
        <v>31016.0</v>
      </c>
      <c r="C17" s="102" t="s">
        <v>325</v>
      </c>
      <c r="D17" s="52" t="s">
        <v>173</v>
      </c>
      <c r="E17" s="52">
        <v>3.0</v>
      </c>
      <c r="F17" s="52" t="s">
        <v>159</v>
      </c>
      <c r="G17" s="52">
        <v>5.0</v>
      </c>
      <c r="H17" s="52" t="s">
        <v>182</v>
      </c>
      <c r="I17" s="52">
        <v>1.0</v>
      </c>
      <c r="J17" s="52" t="s">
        <v>194</v>
      </c>
      <c r="K17" s="52">
        <v>2.0</v>
      </c>
      <c r="L17" s="52" t="s">
        <v>198</v>
      </c>
      <c r="M17" s="52">
        <v>4.0</v>
      </c>
      <c r="N17" s="52" t="s">
        <v>153</v>
      </c>
      <c r="O17" s="52" t="s">
        <v>120</v>
      </c>
      <c r="P17" s="52" t="s">
        <v>134</v>
      </c>
      <c r="Q17" s="52" t="s">
        <v>109</v>
      </c>
      <c r="R17" s="52" t="s">
        <v>117</v>
      </c>
      <c r="S17" s="52" t="s">
        <v>109</v>
      </c>
      <c r="T17" s="65" t="s">
        <v>27</v>
      </c>
      <c r="U17" s="32">
        <v>1.0</v>
      </c>
      <c r="V17" s="32">
        <v>1.0</v>
      </c>
      <c r="W17" s="32">
        <v>1.0</v>
      </c>
      <c r="X17" s="32">
        <v>1.0</v>
      </c>
      <c r="Y17" s="32">
        <v>1.0</v>
      </c>
      <c r="Z17" s="32">
        <v>1.0</v>
      </c>
      <c r="AA17" s="32">
        <v>6.0</v>
      </c>
      <c r="AB17" s="32">
        <v>0.0</v>
      </c>
      <c r="AC17" s="103" t="str">
        <f>IFERROR(__xludf.DUMMYFUNCTION("if($C17="""","""",if(join("" - "",{iferror(filter('Student Groupings'!$A:$A,'Student Groupings'!$B:$B=$C17,'Student Groupings'!$H:$H=""Can't be Together""),"""");iferror(filter('Student Groupings'!$A:$A,'Student Groupings'!$E:$E=$C17,'Student Groupings'!$"&amp;"H:$H=""Can't be Together""),"""")})="" - "","""",join("" - "",{iferror(filter('Student Groupings'!$A:$A,'Student Groupings'!$B:$B=$C17,'Student Groupings'!$H:$H=""Can't be Together""),"""");iferror(filter('Student Groupings'!$A:$A,'Student Groupings'!$E:$"&amp;"E=$C17,'Student Groupings'!$H:$H=""Can't be Together""),"""")})))"),"")</f>
        <v/>
      </c>
      <c r="AD17" s="103" t="str">
        <f>IFERROR(__xludf.DUMMYFUNCTION("if($C17="""","""",if(join("" - "",{iferror(filter('Student Groupings'!$A:$A,'Student Groupings'!$B:$B=$C17,'Student Groupings'!$H:$H=""Must be Together""),"""");iferror(filter('Student Groupings'!$A:$A,'Student Groupings'!$E:$E=$C17,'Student Groupings'!$H"&amp;":$H=""Must be Together""),"""")})="" - "","""",join("" - "",{iferror(filter('Student Groupings'!$A:$A,'Student Groupings'!$B:$B=$C17,'Student Groupings'!$H:$H=""Must be Together""),"""");iferror(filter('Student Groupings'!$A:$A,'Student Groupings'!$E:$E=$"&amp;"C17,'Student Groupings'!$H:$H=""Must be Together""),"""")})))"),"")</f>
        <v/>
      </c>
      <c r="AE17" s="104"/>
      <c r="AF17" s="104"/>
      <c r="AG17" s="104"/>
      <c r="AH17" s="104"/>
    </row>
    <row r="18">
      <c r="A18" s="101">
        <v>6.0</v>
      </c>
      <c r="B18" s="101">
        <v>31166.0</v>
      </c>
      <c r="C18" s="102" t="s">
        <v>326</v>
      </c>
      <c r="D18" s="52" t="s">
        <v>171</v>
      </c>
      <c r="E18" s="52">
        <v>4.0</v>
      </c>
      <c r="F18" s="52" t="s">
        <v>158</v>
      </c>
      <c r="G18" s="52">
        <v>1.0</v>
      </c>
      <c r="H18" s="52" t="s">
        <v>182</v>
      </c>
      <c r="I18" s="52">
        <v>5.0</v>
      </c>
      <c r="J18" s="52" t="s">
        <v>192</v>
      </c>
      <c r="K18" s="52">
        <v>3.0</v>
      </c>
      <c r="L18" s="52" t="s">
        <v>197</v>
      </c>
      <c r="M18" s="52">
        <v>2.0</v>
      </c>
      <c r="N18" s="52" t="s">
        <v>153</v>
      </c>
      <c r="O18" s="52" t="s">
        <v>120</v>
      </c>
      <c r="P18" s="52" t="s">
        <v>117</v>
      </c>
      <c r="Q18" s="52" t="s">
        <v>109</v>
      </c>
      <c r="R18" s="52" t="s">
        <v>134</v>
      </c>
      <c r="S18" s="52" t="s">
        <v>109</v>
      </c>
      <c r="T18" s="65" t="s">
        <v>8</v>
      </c>
      <c r="U18" s="32">
        <v>1.0</v>
      </c>
      <c r="V18" s="32">
        <v>1.0</v>
      </c>
      <c r="W18" s="32">
        <v>1.0</v>
      </c>
      <c r="X18" s="32">
        <v>1.0</v>
      </c>
      <c r="Y18" s="32">
        <v>1.0</v>
      </c>
      <c r="Z18" s="32">
        <v>1.0</v>
      </c>
      <c r="AA18" s="32">
        <v>6.0</v>
      </c>
      <c r="AB18" s="32">
        <v>0.0</v>
      </c>
      <c r="AC18" s="103" t="str">
        <f>IFERROR(__xludf.DUMMYFUNCTION("if($C18="""","""",if(join("" - "",{iferror(filter('Student Groupings'!$A:$A,'Student Groupings'!$B:$B=$C18,'Student Groupings'!$H:$H=""Can't be Together""),"""");iferror(filter('Student Groupings'!$A:$A,'Student Groupings'!$E:$E=$C18,'Student Groupings'!$"&amp;"H:$H=""Can't be Together""),"""")})="" - "","""",join("" - "",{iferror(filter('Student Groupings'!$A:$A,'Student Groupings'!$B:$B=$C18,'Student Groupings'!$H:$H=""Can't be Together""),"""");iferror(filter('Student Groupings'!$A:$A,'Student Groupings'!$E:$"&amp;"E=$C18,'Student Groupings'!$H:$H=""Can't be Together""),"""")})))"),"")</f>
        <v/>
      </c>
      <c r="AD18" s="103" t="str">
        <f>IFERROR(__xludf.DUMMYFUNCTION("if($C18="""","""",if(join("" - "",{iferror(filter('Student Groupings'!$A:$A,'Student Groupings'!$B:$B=$C18,'Student Groupings'!$H:$H=""Must be Together""),"""");iferror(filter('Student Groupings'!$A:$A,'Student Groupings'!$E:$E=$C18,'Student Groupings'!$H"&amp;":$H=""Must be Together""),"""")})="" - "","""",join("" - "",{iferror(filter('Student Groupings'!$A:$A,'Student Groupings'!$B:$B=$C18,'Student Groupings'!$H:$H=""Must be Together""),"""");iferror(filter('Student Groupings'!$A:$A,'Student Groupings'!$E:$E=$"&amp;"C18,'Student Groupings'!$H:$H=""Must be Together""),"""")})))"),"")</f>
        <v/>
      </c>
      <c r="AE18" s="105">
        <v>1.0</v>
      </c>
      <c r="AF18" s="105"/>
      <c r="AG18" s="105"/>
      <c r="AH18" s="105"/>
    </row>
    <row r="19">
      <c r="A19" s="101">
        <v>6.0</v>
      </c>
      <c r="B19" s="101">
        <v>31152.0</v>
      </c>
      <c r="C19" s="102" t="s">
        <v>327</v>
      </c>
      <c r="D19" s="52" t="s">
        <v>171</v>
      </c>
      <c r="E19" s="52">
        <v>3.0</v>
      </c>
      <c r="F19" s="52" t="s">
        <v>158</v>
      </c>
      <c r="G19" s="52">
        <v>1.0</v>
      </c>
      <c r="H19" s="52" t="s">
        <v>182</v>
      </c>
      <c r="I19" s="52">
        <v>6.0</v>
      </c>
      <c r="J19" s="52" t="s">
        <v>192</v>
      </c>
      <c r="K19" s="52">
        <v>2.0</v>
      </c>
      <c r="L19" s="52" t="s">
        <v>196</v>
      </c>
      <c r="M19" s="52">
        <v>4.0</v>
      </c>
      <c r="N19" s="52" t="s">
        <v>153</v>
      </c>
      <c r="O19" s="52" t="s">
        <v>112</v>
      </c>
      <c r="P19" s="52" t="s">
        <v>142</v>
      </c>
      <c r="Q19" s="52" t="s">
        <v>124</v>
      </c>
      <c r="R19" s="52" t="s">
        <v>142</v>
      </c>
      <c r="S19" s="52" t="s">
        <v>124</v>
      </c>
      <c r="T19" s="65" t="s">
        <v>142</v>
      </c>
      <c r="U19" s="32">
        <v>1.0</v>
      </c>
      <c r="V19" s="32">
        <v>1.0</v>
      </c>
      <c r="W19" s="32">
        <v>1.0</v>
      </c>
      <c r="X19" s="32">
        <v>1.0</v>
      </c>
      <c r="Y19" s="32">
        <v>1.0</v>
      </c>
      <c r="Z19" s="32">
        <v>1.0</v>
      </c>
      <c r="AA19" s="32">
        <v>6.0</v>
      </c>
      <c r="AB19" s="32">
        <v>0.0</v>
      </c>
      <c r="AC19" s="103" t="str">
        <f>IFERROR(__xludf.DUMMYFUNCTION("if($C19="""","""",if(join("" - "",{iferror(filter('Student Groupings'!$A:$A,'Student Groupings'!$B:$B=$C19,'Student Groupings'!$H:$H=""Can't be Together""),"""");iferror(filter('Student Groupings'!$A:$A,'Student Groupings'!$E:$E=$C19,'Student Groupings'!$"&amp;"H:$H=""Can't be Together""),"""")})="" - "","""",join("" - "",{iferror(filter('Student Groupings'!$A:$A,'Student Groupings'!$B:$B=$C19,'Student Groupings'!$H:$H=""Can't be Together""),"""");iferror(filter('Student Groupings'!$A:$A,'Student Groupings'!$E:$"&amp;"E=$C19,'Student Groupings'!$H:$H=""Can't be Together""),"""")})))"),"")</f>
        <v/>
      </c>
      <c r="AD19" s="103" t="str">
        <f>IFERROR(__xludf.DUMMYFUNCTION("if($C19="""","""",if(join("" - "",{iferror(filter('Student Groupings'!$A:$A,'Student Groupings'!$B:$B=$C19,'Student Groupings'!$H:$H=""Must be Together""),"""");iferror(filter('Student Groupings'!$A:$A,'Student Groupings'!$E:$E=$C19,'Student Groupings'!$H"&amp;":$H=""Must be Together""),"""")})="" - "","""",join("" - "",{iferror(filter('Student Groupings'!$A:$A,'Student Groupings'!$B:$B=$C19,'Student Groupings'!$H:$H=""Must be Together""),"""");iferror(filter('Student Groupings'!$A:$A,'Student Groupings'!$E:$E=$"&amp;"C19,'Student Groupings'!$H:$H=""Must be Together""),"""")})))"),"")</f>
        <v/>
      </c>
      <c r="AE19" s="104"/>
      <c r="AF19" s="104"/>
      <c r="AG19" s="104"/>
      <c r="AH19" s="104"/>
    </row>
    <row r="20">
      <c r="A20" s="101">
        <v>6.0</v>
      </c>
      <c r="B20" s="101">
        <v>31017.0</v>
      </c>
      <c r="C20" s="102" t="s">
        <v>216</v>
      </c>
      <c r="D20" s="52" t="s">
        <v>171</v>
      </c>
      <c r="E20" s="52">
        <v>4.0</v>
      </c>
      <c r="F20" s="52" t="s">
        <v>158</v>
      </c>
      <c r="G20" s="52">
        <v>1.0</v>
      </c>
      <c r="H20" s="52" t="s">
        <v>182</v>
      </c>
      <c r="I20" s="52">
        <v>6.0</v>
      </c>
      <c r="J20" s="52" t="s">
        <v>192</v>
      </c>
      <c r="K20" s="52">
        <v>3.0</v>
      </c>
      <c r="L20" s="52" t="s">
        <v>196</v>
      </c>
      <c r="M20" s="52">
        <v>2.0</v>
      </c>
      <c r="N20" s="52" t="s">
        <v>153</v>
      </c>
      <c r="O20" s="52" t="s">
        <v>112</v>
      </c>
      <c r="P20" s="52" t="s">
        <v>142</v>
      </c>
      <c r="Q20" s="52" t="s">
        <v>124</v>
      </c>
      <c r="R20" s="52" t="s">
        <v>142</v>
      </c>
      <c r="S20" s="52" t="s">
        <v>124</v>
      </c>
      <c r="T20" s="65" t="s">
        <v>142</v>
      </c>
      <c r="U20" s="32">
        <v>1.0</v>
      </c>
      <c r="V20" s="32">
        <v>1.0</v>
      </c>
      <c r="W20" s="32">
        <v>1.0</v>
      </c>
      <c r="X20" s="32">
        <v>1.0</v>
      </c>
      <c r="Y20" s="32">
        <v>1.0</v>
      </c>
      <c r="Z20" s="32">
        <v>1.0</v>
      </c>
      <c r="AA20" s="32">
        <v>6.0</v>
      </c>
      <c r="AB20" s="32">
        <v>0.0</v>
      </c>
      <c r="AC20" s="103" t="str">
        <f>IFERROR(__xludf.DUMMYFUNCTION("if($C20="""","""",if(join("" - "",{iferror(filter('Student Groupings'!$A:$A,'Student Groupings'!$B:$B=$C20,'Student Groupings'!$H:$H=""Can't be Together""),"""");iferror(filter('Student Groupings'!$A:$A,'Student Groupings'!$E:$E=$C20,'Student Groupings'!$"&amp;"H:$H=""Can't be Together""),"""")})="" - "","""",join("" - "",{iferror(filter('Student Groupings'!$A:$A,'Student Groupings'!$B:$B=$C20,'Student Groupings'!$H:$H=""Can't be Together""),"""");iferror(filter('Student Groupings'!$A:$A,'Student Groupings'!$E:$"&amp;"E=$C20,'Student Groupings'!$H:$H=""Can't be Together""),"""")})))"),"4 - ")</f>
        <v>4 - </v>
      </c>
      <c r="AD20" s="103" t="str">
        <f>IFERROR(__xludf.DUMMYFUNCTION("if($C20="""","""",if(join("" - "",{iferror(filter('Student Groupings'!$A:$A,'Student Groupings'!$B:$B=$C20,'Student Groupings'!$H:$H=""Must be Together""),"""");iferror(filter('Student Groupings'!$A:$A,'Student Groupings'!$E:$E=$C20,'Student Groupings'!$H"&amp;":$H=""Must be Together""),"""")})="" - "","""",join("" - "",{iferror(filter('Student Groupings'!$A:$A,'Student Groupings'!$B:$B=$C20,'Student Groupings'!$H:$H=""Must be Together""),"""");iferror(filter('Student Groupings'!$A:$A,'Student Groupings'!$E:$E=$"&amp;"C20,'Student Groupings'!$H:$H=""Must be Together""),"""")})))"),"")</f>
        <v/>
      </c>
      <c r="AE20" s="104"/>
      <c r="AF20" s="104"/>
      <c r="AG20" s="104"/>
      <c r="AH20" s="104"/>
    </row>
    <row r="21">
      <c r="A21" s="101">
        <v>6.0</v>
      </c>
      <c r="B21" s="101">
        <v>31019.0</v>
      </c>
      <c r="C21" s="102" t="s">
        <v>221</v>
      </c>
      <c r="D21" s="52" t="s">
        <v>171</v>
      </c>
      <c r="E21" s="52">
        <v>5.0</v>
      </c>
      <c r="F21" s="52" t="s">
        <v>158</v>
      </c>
      <c r="G21" s="52">
        <v>3.0</v>
      </c>
      <c r="H21" s="52" t="s">
        <v>182</v>
      </c>
      <c r="I21" s="52">
        <v>2.0</v>
      </c>
      <c r="J21" s="52" t="s">
        <v>192</v>
      </c>
      <c r="K21" s="52">
        <v>1.0</v>
      </c>
      <c r="L21" s="52" t="s">
        <v>196</v>
      </c>
      <c r="M21" s="52">
        <v>6.0</v>
      </c>
      <c r="N21" s="52" t="s">
        <v>153</v>
      </c>
      <c r="O21" s="52" t="s">
        <v>130</v>
      </c>
      <c r="P21" s="52" t="s">
        <v>117</v>
      </c>
      <c r="Q21" s="52" t="s">
        <v>111</v>
      </c>
      <c r="R21" s="52" t="s">
        <v>134</v>
      </c>
      <c r="S21" s="52" t="s">
        <v>111</v>
      </c>
      <c r="T21" s="65" t="s">
        <v>27</v>
      </c>
      <c r="U21" s="32">
        <v>1.0</v>
      </c>
      <c r="V21" s="32">
        <v>1.0</v>
      </c>
      <c r="W21" s="32">
        <v>1.0</v>
      </c>
      <c r="X21" s="32">
        <v>1.0</v>
      </c>
      <c r="Y21" s="32">
        <v>1.0</v>
      </c>
      <c r="Z21" s="32">
        <v>1.0</v>
      </c>
      <c r="AA21" s="32">
        <v>6.0</v>
      </c>
      <c r="AB21" s="32">
        <v>0.0</v>
      </c>
      <c r="AC21" s="103" t="str">
        <f>IFERROR(__xludf.DUMMYFUNCTION("if($C21="""","""",if(join("" - "",{iferror(filter('Student Groupings'!$A:$A,'Student Groupings'!$B:$B=$C21,'Student Groupings'!$H:$H=""Can't be Together""),"""");iferror(filter('Student Groupings'!$A:$A,'Student Groupings'!$E:$E=$C21,'Student Groupings'!$"&amp;"H:$H=""Can't be Together""),"""")})="" - "","""",join("" - "",{iferror(filter('Student Groupings'!$A:$A,'Student Groupings'!$B:$B=$C21,'Student Groupings'!$H:$H=""Can't be Together""),"""");iferror(filter('Student Groupings'!$A:$A,'Student Groupings'!$E:$"&amp;"E=$C21,'Student Groupings'!$H:$H=""Can't be Together""),"""")})))")," - 7 - 11")</f>
        <v> - 7 - 11</v>
      </c>
      <c r="AD21" s="103" t="str">
        <f>IFERROR(__xludf.DUMMYFUNCTION("if($C21="""","""",if(join("" - "",{iferror(filter('Student Groupings'!$A:$A,'Student Groupings'!$B:$B=$C21,'Student Groupings'!$H:$H=""Must be Together""),"""");iferror(filter('Student Groupings'!$A:$A,'Student Groupings'!$E:$E=$C21,'Student Groupings'!$H"&amp;":$H=""Must be Together""),"""")})="" - "","""",join("" - "",{iferror(filter('Student Groupings'!$A:$A,'Student Groupings'!$B:$B=$C21,'Student Groupings'!$H:$H=""Must be Together""),"""");iferror(filter('Student Groupings'!$A:$A,'Student Groupings'!$E:$E=$"&amp;"C21,'Student Groupings'!$H:$H=""Must be Together""),"""")})))"),"")</f>
        <v/>
      </c>
      <c r="AE21" s="104"/>
      <c r="AF21" s="104"/>
      <c r="AG21" s="104"/>
      <c r="AH21" s="104"/>
    </row>
    <row r="22">
      <c r="A22" s="101">
        <v>6.0</v>
      </c>
      <c r="B22" s="101">
        <v>31020.0</v>
      </c>
      <c r="C22" s="102" t="s">
        <v>328</v>
      </c>
      <c r="D22" s="52" t="s">
        <v>171</v>
      </c>
      <c r="E22" s="52">
        <v>6.0</v>
      </c>
      <c r="F22" s="52" t="s">
        <v>158</v>
      </c>
      <c r="G22" s="52">
        <v>4.0</v>
      </c>
      <c r="H22" s="52" t="s">
        <v>182</v>
      </c>
      <c r="I22" s="52">
        <v>3.0</v>
      </c>
      <c r="J22" s="52" t="s">
        <v>192</v>
      </c>
      <c r="K22" s="52">
        <v>5.0</v>
      </c>
      <c r="L22" s="52" t="s">
        <v>196</v>
      </c>
      <c r="M22" s="52">
        <v>1.0</v>
      </c>
      <c r="N22" s="52" t="s">
        <v>153</v>
      </c>
      <c r="O22" s="52" t="s">
        <v>125</v>
      </c>
      <c r="P22" s="52" t="s">
        <v>117</v>
      </c>
      <c r="Q22" s="52" t="s">
        <v>119</v>
      </c>
      <c r="R22" s="52" t="s">
        <v>134</v>
      </c>
      <c r="S22" s="52" t="s">
        <v>119</v>
      </c>
      <c r="T22" s="65" t="s">
        <v>27</v>
      </c>
      <c r="U22" s="32">
        <v>1.0</v>
      </c>
      <c r="V22" s="32">
        <v>1.0</v>
      </c>
      <c r="W22" s="32">
        <v>1.0</v>
      </c>
      <c r="X22" s="32">
        <v>1.0</v>
      </c>
      <c r="Y22" s="32">
        <v>1.0</v>
      </c>
      <c r="Z22" s="32">
        <v>1.0</v>
      </c>
      <c r="AA22" s="32">
        <v>6.0</v>
      </c>
      <c r="AB22" s="32">
        <v>0.0</v>
      </c>
      <c r="AC22" s="103" t="str">
        <f>IFERROR(__xludf.DUMMYFUNCTION("if($C22="""","""",if(join("" - "",{iferror(filter('Student Groupings'!$A:$A,'Student Groupings'!$B:$B=$C22,'Student Groupings'!$H:$H=""Can't be Together""),"""");iferror(filter('Student Groupings'!$A:$A,'Student Groupings'!$E:$E=$C22,'Student Groupings'!$"&amp;"H:$H=""Can't be Together""),"""")})="" - "","""",join("" - "",{iferror(filter('Student Groupings'!$A:$A,'Student Groupings'!$B:$B=$C22,'Student Groupings'!$H:$H=""Can't be Together""),"""");iferror(filter('Student Groupings'!$A:$A,'Student Groupings'!$E:$"&amp;"E=$C22,'Student Groupings'!$H:$H=""Can't be Together""),"""")})))"),"")</f>
        <v/>
      </c>
      <c r="AD22" s="103" t="str">
        <f>IFERROR(__xludf.DUMMYFUNCTION("if($C22="""","""",if(join("" - "",{iferror(filter('Student Groupings'!$A:$A,'Student Groupings'!$B:$B=$C22,'Student Groupings'!$H:$H=""Must be Together""),"""");iferror(filter('Student Groupings'!$A:$A,'Student Groupings'!$E:$E=$C22,'Student Groupings'!$H"&amp;":$H=""Must be Together""),"""")})="" - "","""",join("" - "",{iferror(filter('Student Groupings'!$A:$A,'Student Groupings'!$B:$B=$C22,'Student Groupings'!$H:$H=""Must be Together""),"""");iferror(filter('Student Groupings'!$A:$A,'Student Groupings'!$E:$E=$"&amp;"C22,'Student Groupings'!$H:$H=""Must be Together""),"""")})))"),"")</f>
        <v/>
      </c>
      <c r="AE22" s="104"/>
      <c r="AF22" s="104"/>
      <c r="AG22" s="105"/>
      <c r="AH22" s="105"/>
    </row>
    <row r="23">
      <c r="A23" s="101">
        <v>6.0</v>
      </c>
      <c r="B23" s="101">
        <v>31018.0</v>
      </c>
      <c r="C23" s="102" t="s">
        <v>329</v>
      </c>
      <c r="D23" s="52" t="s">
        <v>171</v>
      </c>
      <c r="E23" s="52">
        <v>4.0</v>
      </c>
      <c r="F23" s="52" t="s">
        <v>158</v>
      </c>
      <c r="G23" s="52">
        <v>1.0</v>
      </c>
      <c r="H23" s="52" t="s">
        <v>182</v>
      </c>
      <c r="I23" s="52">
        <v>6.0</v>
      </c>
      <c r="J23" s="52" t="s">
        <v>192</v>
      </c>
      <c r="K23" s="52">
        <v>3.0</v>
      </c>
      <c r="L23" s="52" t="s">
        <v>196</v>
      </c>
      <c r="M23" s="52">
        <v>2.0</v>
      </c>
      <c r="N23" s="52" t="s">
        <v>153</v>
      </c>
      <c r="O23" s="52" t="s">
        <v>112</v>
      </c>
      <c r="P23" s="52" t="s">
        <v>142</v>
      </c>
      <c r="Q23" s="52" t="s">
        <v>124</v>
      </c>
      <c r="R23" s="52" t="s">
        <v>142</v>
      </c>
      <c r="S23" s="52" t="s">
        <v>124</v>
      </c>
      <c r="T23" s="65" t="s">
        <v>142</v>
      </c>
      <c r="U23" s="32">
        <v>1.0</v>
      </c>
      <c r="V23" s="32">
        <v>1.0</v>
      </c>
      <c r="W23" s="32">
        <v>1.0</v>
      </c>
      <c r="X23" s="32">
        <v>1.0</v>
      </c>
      <c r="Y23" s="32">
        <v>1.0</v>
      </c>
      <c r="Z23" s="32">
        <v>1.0</v>
      </c>
      <c r="AA23" s="32">
        <v>6.0</v>
      </c>
      <c r="AB23" s="32">
        <v>0.0</v>
      </c>
      <c r="AC23" s="103" t="str">
        <f>IFERROR(__xludf.DUMMYFUNCTION("if($C23="""","""",if(join("" - "",{iferror(filter('Student Groupings'!$A:$A,'Student Groupings'!$B:$B=$C23,'Student Groupings'!$H:$H=""Can't be Together""),"""");iferror(filter('Student Groupings'!$A:$A,'Student Groupings'!$E:$E=$C23,'Student Groupings'!$"&amp;"H:$H=""Can't be Together""),"""")})="" - "","""",join("" - "",{iferror(filter('Student Groupings'!$A:$A,'Student Groupings'!$B:$B=$C23,'Student Groupings'!$H:$H=""Can't be Together""),"""");iferror(filter('Student Groupings'!$A:$A,'Student Groupings'!$E:$"&amp;"E=$C23,'Student Groupings'!$H:$H=""Can't be Together""),"""")})))"),"")</f>
        <v/>
      </c>
      <c r="AD23" s="103" t="str">
        <f>IFERROR(__xludf.DUMMYFUNCTION("if($C23="""","""",if(join("" - "",{iferror(filter('Student Groupings'!$A:$A,'Student Groupings'!$B:$B=$C23,'Student Groupings'!$H:$H=""Must be Together""),"""");iferror(filter('Student Groupings'!$A:$A,'Student Groupings'!$E:$E=$C23,'Student Groupings'!$H"&amp;":$H=""Must be Together""),"""")})="" - "","""",join("" - "",{iferror(filter('Student Groupings'!$A:$A,'Student Groupings'!$B:$B=$C23,'Student Groupings'!$H:$H=""Must be Together""),"""");iferror(filter('Student Groupings'!$A:$A,'Student Groupings'!$E:$E=$"&amp;"C23,'Student Groupings'!$H:$H=""Must be Together""),"""")})))"),"")</f>
        <v/>
      </c>
      <c r="AE23" s="104"/>
      <c r="AF23" s="104"/>
      <c r="AG23" s="104"/>
      <c r="AH23" s="104"/>
    </row>
    <row r="24">
      <c r="A24" s="101">
        <v>6.0</v>
      </c>
      <c r="B24" s="101">
        <v>31022.0</v>
      </c>
      <c r="C24" s="102" t="s">
        <v>330</v>
      </c>
      <c r="D24" s="52" t="s">
        <v>171</v>
      </c>
      <c r="E24" s="52">
        <v>5.0</v>
      </c>
      <c r="F24" s="52" t="s">
        <v>158</v>
      </c>
      <c r="G24" s="52">
        <v>3.0</v>
      </c>
      <c r="H24" s="52" t="s">
        <v>182</v>
      </c>
      <c r="I24" s="52">
        <v>2.0</v>
      </c>
      <c r="J24" s="52" t="s">
        <v>192</v>
      </c>
      <c r="K24" s="52">
        <v>1.0</v>
      </c>
      <c r="L24" s="52" t="s">
        <v>196</v>
      </c>
      <c r="M24" s="52">
        <v>6.0</v>
      </c>
      <c r="N24" s="52" t="s">
        <v>153</v>
      </c>
      <c r="O24" s="52" t="s">
        <v>130</v>
      </c>
      <c r="P24" s="52" t="s">
        <v>134</v>
      </c>
      <c r="Q24" s="52" t="s">
        <v>111</v>
      </c>
      <c r="R24" s="52" t="s">
        <v>117</v>
      </c>
      <c r="S24" s="52" t="s">
        <v>111</v>
      </c>
      <c r="T24" s="65" t="s">
        <v>27</v>
      </c>
      <c r="U24" s="32">
        <v>1.0</v>
      </c>
      <c r="V24" s="32">
        <v>1.0</v>
      </c>
      <c r="W24" s="32">
        <v>1.0</v>
      </c>
      <c r="X24" s="32">
        <v>1.0</v>
      </c>
      <c r="Y24" s="32">
        <v>1.0</v>
      </c>
      <c r="Z24" s="32">
        <v>1.0</v>
      </c>
      <c r="AA24" s="32">
        <v>6.0</v>
      </c>
      <c r="AB24" s="32">
        <v>0.0</v>
      </c>
      <c r="AC24" s="103" t="str">
        <f>IFERROR(__xludf.DUMMYFUNCTION("if($C24="""","""",if(join("" - "",{iferror(filter('Student Groupings'!$A:$A,'Student Groupings'!$B:$B=$C24,'Student Groupings'!$H:$H=""Can't be Together""),"""");iferror(filter('Student Groupings'!$A:$A,'Student Groupings'!$E:$E=$C24,'Student Groupings'!$"&amp;"H:$H=""Can't be Together""),"""")})="" - "","""",join("" - "",{iferror(filter('Student Groupings'!$A:$A,'Student Groupings'!$B:$B=$C24,'Student Groupings'!$H:$H=""Can't be Together""),"""");iferror(filter('Student Groupings'!$A:$A,'Student Groupings'!$E:$"&amp;"E=$C24,'Student Groupings'!$H:$H=""Can't be Together""),"""")})))"),"")</f>
        <v/>
      </c>
      <c r="AD24" s="103" t="str">
        <f>IFERROR(__xludf.DUMMYFUNCTION("if($C24="""","""",if(join("" - "",{iferror(filter('Student Groupings'!$A:$A,'Student Groupings'!$B:$B=$C24,'Student Groupings'!$H:$H=""Must be Together""),"""");iferror(filter('Student Groupings'!$A:$A,'Student Groupings'!$E:$E=$C24,'Student Groupings'!$H"&amp;":$H=""Must be Together""),"""")})="" - "","""",join("" - "",{iferror(filter('Student Groupings'!$A:$A,'Student Groupings'!$B:$B=$C24,'Student Groupings'!$H:$H=""Must be Together""),"""");iferror(filter('Student Groupings'!$A:$A,'Student Groupings'!$E:$E=$"&amp;"C24,'Student Groupings'!$H:$H=""Must be Together""),"""")})))"),"")</f>
        <v/>
      </c>
      <c r="AE24" s="104"/>
      <c r="AF24" s="104"/>
      <c r="AG24" s="104"/>
      <c r="AH24" s="104"/>
    </row>
    <row r="25">
      <c r="A25" s="101">
        <v>6.0</v>
      </c>
      <c r="B25" s="101">
        <v>31023.0</v>
      </c>
      <c r="C25" s="102" t="s">
        <v>249</v>
      </c>
      <c r="D25" s="52" t="s">
        <v>171</v>
      </c>
      <c r="E25" s="52">
        <v>3.0</v>
      </c>
      <c r="F25" s="52" t="s">
        <v>158</v>
      </c>
      <c r="G25" s="52">
        <v>1.0</v>
      </c>
      <c r="H25" s="52" t="s">
        <v>182</v>
      </c>
      <c r="I25" s="52">
        <v>5.0</v>
      </c>
      <c r="J25" s="52" t="s">
        <v>192</v>
      </c>
      <c r="K25" s="52">
        <v>2.0</v>
      </c>
      <c r="L25" s="52" t="s">
        <v>196</v>
      </c>
      <c r="M25" s="52">
        <v>4.0</v>
      </c>
      <c r="N25" s="52" t="s">
        <v>153</v>
      </c>
      <c r="O25" s="52" t="s">
        <v>109</v>
      </c>
      <c r="P25" s="52" t="s">
        <v>143</v>
      </c>
      <c r="Q25" s="52" t="s">
        <v>120</v>
      </c>
      <c r="R25" s="52" t="s">
        <v>143</v>
      </c>
      <c r="S25" s="52" t="s">
        <v>120</v>
      </c>
      <c r="T25" s="65" t="s">
        <v>143</v>
      </c>
      <c r="U25" s="32">
        <v>1.0</v>
      </c>
      <c r="V25" s="32">
        <v>1.0</v>
      </c>
      <c r="W25" s="32">
        <v>1.0</v>
      </c>
      <c r="X25" s="32">
        <v>1.0</v>
      </c>
      <c r="Y25" s="32">
        <v>1.0</v>
      </c>
      <c r="Z25" s="32">
        <v>1.0</v>
      </c>
      <c r="AA25" s="32">
        <v>6.0</v>
      </c>
      <c r="AB25" s="32">
        <v>0.0</v>
      </c>
      <c r="AC25" s="103" t="str">
        <f>IFERROR(__xludf.DUMMYFUNCTION("if($C25="""","""",if(join("" - "",{iferror(filter('Student Groupings'!$A:$A,'Student Groupings'!$B:$B=$C25,'Student Groupings'!$H:$H=""Can't be Together""),"""");iferror(filter('Student Groupings'!$A:$A,'Student Groupings'!$E:$E=$C25,'Student Groupings'!$"&amp;"H:$H=""Can't be Together""),"""")})="" - "","""",join("" - "",{iferror(filter('Student Groupings'!$A:$A,'Student Groupings'!$B:$B=$C25,'Student Groupings'!$H:$H=""Can't be Together""),"""");iferror(filter('Student Groupings'!$A:$A,'Student Groupings'!$E:$"&amp;"E=$C25,'Student Groupings'!$H:$H=""Can't be Together""),"""")})))"),"")</f>
        <v/>
      </c>
      <c r="AD25" s="103" t="str">
        <f>IFERROR(__xludf.DUMMYFUNCTION("if($C25="""","""",if(join("" - "",{iferror(filter('Student Groupings'!$A:$A,'Student Groupings'!$B:$B=$C25,'Student Groupings'!$H:$H=""Must be Together""),"""");iferror(filter('Student Groupings'!$A:$A,'Student Groupings'!$E:$E=$C25,'Student Groupings'!$H"&amp;":$H=""Must be Together""),"""")})="" - "","""",join("" - "",{iferror(filter('Student Groupings'!$A:$A,'Student Groupings'!$B:$B=$C25,'Student Groupings'!$H:$H=""Must be Together""),"""");iferror(filter('Student Groupings'!$A:$A,'Student Groupings'!$E:$E=$"&amp;"C25,'Student Groupings'!$H:$H=""Must be Together""),"""")})))")," - 34")</f>
        <v> - 34</v>
      </c>
      <c r="AE25" s="105"/>
      <c r="AF25" s="105"/>
      <c r="AG25" s="105"/>
      <c r="AH25" s="105"/>
    </row>
    <row r="26">
      <c r="A26" s="101">
        <v>6.0</v>
      </c>
      <c r="B26" s="101">
        <v>31024.0</v>
      </c>
      <c r="C26" s="102" t="s">
        <v>331</v>
      </c>
      <c r="D26" s="52" t="s">
        <v>171</v>
      </c>
      <c r="E26" s="52">
        <v>6.0</v>
      </c>
      <c r="F26" s="52" t="s">
        <v>158</v>
      </c>
      <c r="G26" s="52">
        <v>4.0</v>
      </c>
      <c r="H26" s="52" t="s">
        <v>182</v>
      </c>
      <c r="I26" s="52">
        <v>3.0</v>
      </c>
      <c r="J26" s="52" t="s">
        <v>192</v>
      </c>
      <c r="K26" s="52">
        <v>5.0</v>
      </c>
      <c r="L26" s="52" t="s">
        <v>196</v>
      </c>
      <c r="M26" s="52">
        <v>1.0</v>
      </c>
      <c r="N26" s="52" t="s">
        <v>153</v>
      </c>
      <c r="O26" s="52" t="s">
        <v>125</v>
      </c>
      <c r="P26" s="52" t="s">
        <v>134</v>
      </c>
      <c r="Q26" s="52" t="s">
        <v>119</v>
      </c>
      <c r="R26" s="52" t="s">
        <v>117</v>
      </c>
      <c r="S26" s="52" t="s">
        <v>119</v>
      </c>
      <c r="T26" s="65" t="s">
        <v>27</v>
      </c>
      <c r="U26" s="32">
        <v>1.0</v>
      </c>
      <c r="V26" s="32">
        <v>1.0</v>
      </c>
      <c r="W26" s="32">
        <v>1.0</v>
      </c>
      <c r="X26" s="32">
        <v>1.0</v>
      </c>
      <c r="Y26" s="32">
        <v>1.0</v>
      </c>
      <c r="Z26" s="32">
        <v>1.0</v>
      </c>
      <c r="AA26" s="32">
        <v>6.0</v>
      </c>
      <c r="AB26" s="32">
        <v>0.0</v>
      </c>
      <c r="AC26" s="103" t="str">
        <f>IFERROR(__xludf.DUMMYFUNCTION("if($C26="""","""",if(join("" - "",{iferror(filter('Student Groupings'!$A:$A,'Student Groupings'!$B:$B=$C26,'Student Groupings'!$H:$H=""Can't be Together""),"""");iferror(filter('Student Groupings'!$A:$A,'Student Groupings'!$E:$E=$C26,'Student Groupings'!$"&amp;"H:$H=""Can't be Together""),"""")})="" - "","""",join("" - "",{iferror(filter('Student Groupings'!$A:$A,'Student Groupings'!$B:$B=$C26,'Student Groupings'!$H:$H=""Can't be Together""),"""");iferror(filter('Student Groupings'!$A:$A,'Student Groupings'!$E:$"&amp;"E=$C26,'Student Groupings'!$H:$H=""Can't be Together""),"""")})))"),"")</f>
        <v/>
      </c>
      <c r="AD26" s="103" t="str">
        <f>IFERROR(__xludf.DUMMYFUNCTION("if($C26="""","""",if(join("" - "",{iferror(filter('Student Groupings'!$A:$A,'Student Groupings'!$B:$B=$C26,'Student Groupings'!$H:$H=""Must be Together""),"""");iferror(filter('Student Groupings'!$A:$A,'Student Groupings'!$E:$E=$C26,'Student Groupings'!$H"&amp;":$H=""Must be Together""),"""")})="" - "","""",join("" - "",{iferror(filter('Student Groupings'!$A:$A,'Student Groupings'!$B:$B=$C26,'Student Groupings'!$H:$H=""Must be Together""),"""");iferror(filter('Student Groupings'!$A:$A,'Student Groupings'!$E:$E=$"&amp;"C26,'Student Groupings'!$H:$H=""Must be Together""),"""")})))"),"")</f>
        <v/>
      </c>
      <c r="AE26" s="104"/>
      <c r="AF26" s="104"/>
      <c r="AG26" s="104"/>
      <c r="AH26" s="104"/>
    </row>
    <row r="27">
      <c r="A27" s="101">
        <v>6.0</v>
      </c>
      <c r="B27" s="101">
        <v>31025.0</v>
      </c>
      <c r="C27" s="102" t="s">
        <v>332</v>
      </c>
      <c r="D27" s="52" t="s">
        <v>173</v>
      </c>
      <c r="E27" s="52">
        <v>3.0</v>
      </c>
      <c r="F27" s="52" t="s">
        <v>158</v>
      </c>
      <c r="G27" s="52">
        <v>6.0</v>
      </c>
      <c r="H27" s="52" t="s">
        <v>182</v>
      </c>
      <c r="I27" s="52">
        <v>1.0</v>
      </c>
      <c r="J27" s="52" t="s">
        <v>194</v>
      </c>
      <c r="K27" s="52">
        <v>2.0</v>
      </c>
      <c r="L27" s="52" t="s">
        <v>198</v>
      </c>
      <c r="M27" s="52">
        <v>4.0</v>
      </c>
      <c r="N27" s="52" t="s">
        <v>153</v>
      </c>
      <c r="O27" s="52" t="s">
        <v>112</v>
      </c>
      <c r="P27" s="52" t="s">
        <v>142</v>
      </c>
      <c r="Q27" s="52" t="s">
        <v>124</v>
      </c>
      <c r="R27" s="52" t="s">
        <v>142</v>
      </c>
      <c r="S27" s="52" t="s">
        <v>124</v>
      </c>
      <c r="T27" s="65" t="s">
        <v>142</v>
      </c>
      <c r="U27" s="32">
        <v>1.0</v>
      </c>
      <c r="V27" s="32">
        <v>1.0</v>
      </c>
      <c r="W27" s="32">
        <v>1.0</v>
      </c>
      <c r="X27" s="32">
        <v>1.0</v>
      </c>
      <c r="Y27" s="32">
        <v>1.0</v>
      </c>
      <c r="Z27" s="32">
        <v>1.0</v>
      </c>
      <c r="AA27" s="32">
        <v>6.0</v>
      </c>
      <c r="AB27" s="32">
        <v>0.0</v>
      </c>
      <c r="AC27" s="103" t="str">
        <f>IFERROR(__xludf.DUMMYFUNCTION("if($C27="""","""",if(join("" - "",{iferror(filter('Student Groupings'!$A:$A,'Student Groupings'!$B:$B=$C27,'Student Groupings'!$H:$H=""Can't be Together""),"""");iferror(filter('Student Groupings'!$A:$A,'Student Groupings'!$E:$E=$C27,'Student Groupings'!$"&amp;"H:$H=""Can't be Together""),"""")})="" - "","""",join("" - "",{iferror(filter('Student Groupings'!$A:$A,'Student Groupings'!$B:$B=$C27,'Student Groupings'!$H:$H=""Can't be Together""),"""");iferror(filter('Student Groupings'!$A:$A,'Student Groupings'!$E:$"&amp;"E=$C27,'Student Groupings'!$H:$H=""Can't be Together""),"""")})))"),"")</f>
        <v/>
      </c>
      <c r="AD27" s="103" t="str">
        <f>IFERROR(__xludf.DUMMYFUNCTION("if($C27="""","""",if(join("" - "",{iferror(filter('Student Groupings'!$A:$A,'Student Groupings'!$B:$B=$C27,'Student Groupings'!$H:$H=""Must be Together""),"""");iferror(filter('Student Groupings'!$A:$A,'Student Groupings'!$E:$E=$C27,'Student Groupings'!$H"&amp;":$H=""Must be Together""),"""")})="" - "","""",join("" - "",{iferror(filter('Student Groupings'!$A:$A,'Student Groupings'!$B:$B=$C27,'Student Groupings'!$H:$H=""Must be Together""),"""");iferror(filter('Student Groupings'!$A:$A,'Student Groupings'!$E:$E=$"&amp;"C27,'Student Groupings'!$H:$H=""Must be Together""),"""")})))"),"")</f>
        <v/>
      </c>
      <c r="AE27" s="104"/>
      <c r="AF27" s="104"/>
      <c r="AG27" s="104"/>
      <c r="AH27" s="104"/>
    </row>
    <row r="28">
      <c r="A28" s="101">
        <v>6.0</v>
      </c>
      <c r="B28" s="101">
        <v>31026.0</v>
      </c>
      <c r="C28" s="102" t="s">
        <v>333</v>
      </c>
      <c r="D28" s="52" t="s">
        <v>171</v>
      </c>
      <c r="E28" s="52">
        <v>5.0</v>
      </c>
      <c r="F28" s="52" t="s">
        <v>158</v>
      </c>
      <c r="G28" s="52">
        <v>3.0</v>
      </c>
      <c r="H28" s="52" t="s">
        <v>182</v>
      </c>
      <c r="I28" s="52">
        <v>2.0</v>
      </c>
      <c r="J28" s="52" t="s">
        <v>192</v>
      </c>
      <c r="K28" s="52">
        <v>1.0</v>
      </c>
      <c r="L28" s="52" t="s">
        <v>196</v>
      </c>
      <c r="M28" s="52">
        <v>6.0</v>
      </c>
      <c r="N28" s="52" t="s">
        <v>153</v>
      </c>
      <c r="O28" s="52" t="s">
        <v>130</v>
      </c>
      <c r="P28" s="52" t="s">
        <v>117</v>
      </c>
      <c r="Q28" s="52" t="s">
        <v>111</v>
      </c>
      <c r="R28" s="52" t="s">
        <v>134</v>
      </c>
      <c r="S28" s="52" t="s">
        <v>111</v>
      </c>
      <c r="T28" s="65" t="s">
        <v>27</v>
      </c>
      <c r="U28" s="32">
        <v>1.0</v>
      </c>
      <c r="V28" s="32">
        <v>1.0</v>
      </c>
      <c r="W28" s="32">
        <v>1.0</v>
      </c>
      <c r="X28" s="32">
        <v>1.0</v>
      </c>
      <c r="Y28" s="32">
        <v>1.0</v>
      </c>
      <c r="Z28" s="32">
        <v>1.0</v>
      </c>
      <c r="AA28" s="32">
        <v>6.0</v>
      </c>
      <c r="AB28" s="32">
        <v>0.0</v>
      </c>
      <c r="AC28" s="103" t="str">
        <f>IFERROR(__xludf.DUMMYFUNCTION("if($C28="""","""",if(join("" - "",{iferror(filter('Student Groupings'!$A:$A,'Student Groupings'!$B:$B=$C28,'Student Groupings'!$H:$H=""Can't be Together""),"""");iferror(filter('Student Groupings'!$A:$A,'Student Groupings'!$E:$E=$C28,'Student Groupings'!$"&amp;"H:$H=""Can't be Together""),"""")})="" - "","""",join("" - "",{iferror(filter('Student Groupings'!$A:$A,'Student Groupings'!$B:$B=$C28,'Student Groupings'!$H:$H=""Can't be Together""),"""");iferror(filter('Student Groupings'!$A:$A,'Student Groupings'!$E:$"&amp;"E=$C28,'Student Groupings'!$H:$H=""Can't be Together""),"""")})))"),"")</f>
        <v/>
      </c>
      <c r="AD28" s="103" t="str">
        <f>IFERROR(__xludf.DUMMYFUNCTION("if($C28="""","""",if(join("" - "",{iferror(filter('Student Groupings'!$A:$A,'Student Groupings'!$B:$B=$C28,'Student Groupings'!$H:$H=""Must be Together""),"""");iferror(filter('Student Groupings'!$A:$A,'Student Groupings'!$E:$E=$C28,'Student Groupings'!$H"&amp;":$H=""Must be Together""),"""")})="" - "","""",join("" - "",{iferror(filter('Student Groupings'!$A:$A,'Student Groupings'!$B:$B=$C28,'Student Groupings'!$H:$H=""Must be Together""),"""");iferror(filter('Student Groupings'!$A:$A,'Student Groupings'!$E:$E=$"&amp;"C28,'Student Groupings'!$H:$H=""Must be Together""),"""")})))"),"")</f>
        <v/>
      </c>
      <c r="AE28" s="104"/>
      <c r="AF28" s="104"/>
      <c r="AG28" s="104"/>
      <c r="AH28" s="104"/>
    </row>
    <row r="29">
      <c r="A29" s="101">
        <v>6.0</v>
      </c>
      <c r="B29" s="101">
        <v>31027.0</v>
      </c>
      <c r="C29" s="102" t="s">
        <v>334</v>
      </c>
      <c r="D29" s="52" t="s">
        <v>171</v>
      </c>
      <c r="E29" s="52">
        <v>2.0</v>
      </c>
      <c r="F29" s="52" t="s">
        <v>158</v>
      </c>
      <c r="G29" s="52">
        <v>5.0</v>
      </c>
      <c r="H29" s="52" t="s">
        <v>182</v>
      </c>
      <c r="I29" s="52">
        <v>1.0</v>
      </c>
      <c r="J29" s="52" t="s">
        <v>192</v>
      </c>
      <c r="K29" s="52">
        <v>4.0</v>
      </c>
      <c r="L29" s="52" t="s">
        <v>196</v>
      </c>
      <c r="M29" s="52">
        <v>3.0</v>
      </c>
      <c r="N29" s="52" t="s">
        <v>153</v>
      </c>
      <c r="O29" s="52" t="s">
        <v>120</v>
      </c>
      <c r="P29" s="52" t="s">
        <v>134</v>
      </c>
      <c r="Q29" s="52" t="s">
        <v>109</v>
      </c>
      <c r="R29" s="52" t="s">
        <v>117</v>
      </c>
      <c r="S29" s="52" t="s">
        <v>109</v>
      </c>
      <c r="T29" s="65" t="s">
        <v>27</v>
      </c>
      <c r="U29" s="32">
        <v>1.0</v>
      </c>
      <c r="V29" s="32">
        <v>1.0</v>
      </c>
      <c r="W29" s="32">
        <v>1.0</v>
      </c>
      <c r="X29" s="32">
        <v>1.0</v>
      </c>
      <c r="Y29" s="32">
        <v>1.0</v>
      </c>
      <c r="Z29" s="32">
        <v>1.0</v>
      </c>
      <c r="AA29" s="32">
        <v>6.0</v>
      </c>
      <c r="AB29" s="32">
        <v>0.0</v>
      </c>
      <c r="AC29" s="103" t="str">
        <f>IFERROR(__xludf.DUMMYFUNCTION("if($C29="""","""",if(join("" - "",{iferror(filter('Student Groupings'!$A:$A,'Student Groupings'!$B:$B=$C29,'Student Groupings'!$H:$H=""Can't be Together""),"""");iferror(filter('Student Groupings'!$A:$A,'Student Groupings'!$E:$E=$C29,'Student Groupings'!$"&amp;"H:$H=""Can't be Together""),"""")})="" - "","""",join("" - "",{iferror(filter('Student Groupings'!$A:$A,'Student Groupings'!$B:$B=$C29,'Student Groupings'!$H:$H=""Can't be Together""),"""");iferror(filter('Student Groupings'!$A:$A,'Student Groupings'!$E:$"&amp;"E=$C29,'Student Groupings'!$H:$H=""Can't be Together""),"""")})))"),"")</f>
        <v/>
      </c>
      <c r="AD29" s="103" t="str">
        <f>IFERROR(__xludf.DUMMYFUNCTION("if($C29="""","""",if(join("" - "",{iferror(filter('Student Groupings'!$A:$A,'Student Groupings'!$B:$B=$C29,'Student Groupings'!$H:$H=""Must be Together""),"""");iferror(filter('Student Groupings'!$A:$A,'Student Groupings'!$E:$E=$C29,'Student Groupings'!$H"&amp;":$H=""Must be Together""),"""")})="" - "","""",join("" - "",{iferror(filter('Student Groupings'!$A:$A,'Student Groupings'!$B:$B=$C29,'Student Groupings'!$H:$H=""Must be Together""),"""");iferror(filter('Student Groupings'!$A:$A,'Student Groupings'!$E:$E=$"&amp;"C29,'Student Groupings'!$H:$H=""Must be Together""),"""")})))"),"")</f>
        <v/>
      </c>
      <c r="AE29" s="104"/>
      <c r="AF29" s="104"/>
      <c r="AG29" s="104"/>
      <c r="AH29" s="104"/>
    </row>
    <row r="30">
      <c r="A30" s="101">
        <v>6.0</v>
      </c>
      <c r="B30" s="101">
        <v>31028.0</v>
      </c>
      <c r="C30" s="102" t="s">
        <v>335</v>
      </c>
      <c r="D30" s="52" t="s">
        <v>171</v>
      </c>
      <c r="E30" s="52">
        <v>6.0</v>
      </c>
      <c r="F30" s="52" t="s">
        <v>158</v>
      </c>
      <c r="G30" s="52">
        <v>4.0</v>
      </c>
      <c r="H30" s="52" t="s">
        <v>182</v>
      </c>
      <c r="I30" s="52">
        <v>3.0</v>
      </c>
      <c r="J30" s="52" t="s">
        <v>192</v>
      </c>
      <c r="K30" s="52">
        <v>5.0</v>
      </c>
      <c r="L30" s="52" t="s">
        <v>196</v>
      </c>
      <c r="M30" s="52">
        <v>1.0</v>
      </c>
      <c r="N30" s="52" t="s">
        <v>153</v>
      </c>
      <c r="O30" s="52" t="s">
        <v>125</v>
      </c>
      <c r="P30" s="52" t="s">
        <v>117</v>
      </c>
      <c r="Q30" s="52" t="s">
        <v>119</v>
      </c>
      <c r="R30" s="52" t="s">
        <v>134</v>
      </c>
      <c r="S30" s="52" t="s">
        <v>119</v>
      </c>
      <c r="T30" s="65" t="s">
        <v>8</v>
      </c>
      <c r="U30" s="32">
        <v>1.0</v>
      </c>
      <c r="V30" s="32">
        <v>1.0</v>
      </c>
      <c r="W30" s="32">
        <v>1.0</v>
      </c>
      <c r="X30" s="32">
        <v>1.0</v>
      </c>
      <c r="Y30" s="32">
        <v>1.0</v>
      </c>
      <c r="Z30" s="32">
        <v>1.0</v>
      </c>
      <c r="AA30" s="32">
        <v>6.0</v>
      </c>
      <c r="AB30" s="32">
        <v>0.0</v>
      </c>
      <c r="AC30" s="103" t="str">
        <f>IFERROR(__xludf.DUMMYFUNCTION("if($C30="""","""",if(join("" - "",{iferror(filter('Student Groupings'!$A:$A,'Student Groupings'!$B:$B=$C30,'Student Groupings'!$H:$H=""Can't be Together""),"""");iferror(filter('Student Groupings'!$A:$A,'Student Groupings'!$E:$E=$C30,'Student Groupings'!$"&amp;"H:$H=""Can't be Together""),"""")})="" - "","""",join("" - "",{iferror(filter('Student Groupings'!$A:$A,'Student Groupings'!$B:$B=$C30,'Student Groupings'!$H:$H=""Can't be Together""),"""");iferror(filter('Student Groupings'!$A:$A,'Student Groupings'!$E:$"&amp;"E=$C30,'Student Groupings'!$H:$H=""Can't be Together""),"""")})))"),"")</f>
        <v/>
      </c>
      <c r="AD30" s="103" t="str">
        <f>IFERROR(__xludf.DUMMYFUNCTION("if($C30="""","""",if(join("" - "",{iferror(filter('Student Groupings'!$A:$A,'Student Groupings'!$B:$B=$C30,'Student Groupings'!$H:$H=""Must be Together""),"""");iferror(filter('Student Groupings'!$A:$A,'Student Groupings'!$E:$E=$C30,'Student Groupings'!$H"&amp;":$H=""Must be Together""),"""")})="" - "","""",join("" - "",{iferror(filter('Student Groupings'!$A:$A,'Student Groupings'!$B:$B=$C30,'Student Groupings'!$H:$H=""Must be Together""),"""");iferror(filter('Student Groupings'!$A:$A,'Student Groupings'!$E:$E=$"&amp;"C30,'Student Groupings'!$H:$H=""Must be Together""),"""")})))"),"")</f>
        <v/>
      </c>
      <c r="AE30" s="105"/>
      <c r="AF30" s="105"/>
      <c r="AG30" s="104"/>
      <c r="AH30" s="104"/>
    </row>
    <row r="31">
      <c r="A31" s="101">
        <v>6.0</v>
      </c>
      <c r="B31" s="101">
        <v>31029.0</v>
      </c>
      <c r="C31" s="102" t="s">
        <v>336</v>
      </c>
      <c r="D31" s="52" t="s">
        <v>171</v>
      </c>
      <c r="E31" s="52">
        <v>3.0</v>
      </c>
      <c r="F31" s="52" t="s">
        <v>159</v>
      </c>
      <c r="G31" s="52">
        <v>5.0</v>
      </c>
      <c r="H31" s="52" t="s">
        <v>182</v>
      </c>
      <c r="I31" s="52">
        <v>1.0</v>
      </c>
      <c r="J31" s="52" t="s">
        <v>192</v>
      </c>
      <c r="K31" s="52">
        <v>2.0</v>
      </c>
      <c r="L31" s="52" t="s">
        <v>196</v>
      </c>
      <c r="M31" s="52">
        <v>4.0</v>
      </c>
      <c r="N31" s="52" t="s">
        <v>153</v>
      </c>
      <c r="O31" s="52" t="s">
        <v>109</v>
      </c>
      <c r="P31" s="52" t="s">
        <v>143</v>
      </c>
      <c r="Q31" s="52" t="s">
        <v>120</v>
      </c>
      <c r="R31" s="52" t="s">
        <v>143</v>
      </c>
      <c r="S31" s="52" t="s">
        <v>120</v>
      </c>
      <c r="T31" s="65" t="s">
        <v>143</v>
      </c>
      <c r="U31" s="32">
        <v>1.0</v>
      </c>
      <c r="V31" s="32">
        <v>1.0</v>
      </c>
      <c r="W31" s="32">
        <v>1.0</v>
      </c>
      <c r="X31" s="32">
        <v>1.0</v>
      </c>
      <c r="Y31" s="32">
        <v>1.0</v>
      </c>
      <c r="Z31" s="32">
        <v>1.0</v>
      </c>
      <c r="AA31" s="32">
        <v>6.0</v>
      </c>
      <c r="AB31" s="32">
        <v>0.0</v>
      </c>
      <c r="AC31" s="103" t="str">
        <f>IFERROR(__xludf.DUMMYFUNCTION("if($C31="""","""",if(join("" - "",{iferror(filter('Student Groupings'!$A:$A,'Student Groupings'!$B:$B=$C31,'Student Groupings'!$H:$H=""Can't be Together""),"""");iferror(filter('Student Groupings'!$A:$A,'Student Groupings'!$E:$E=$C31,'Student Groupings'!$"&amp;"H:$H=""Can't be Together""),"""")})="" - "","""",join("" - "",{iferror(filter('Student Groupings'!$A:$A,'Student Groupings'!$B:$B=$C31,'Student Groupings'!$H:$H=""Can't be Together""),"""");iferror(filter('Student Groupings'!$A:$A,'Student Groupings'!$E:$"&amp;"E=$C31,'Student Groupings'!$H:$H=""Can't be Together""),"""")})))"),"")</f>
        <v/>
      </c>
      <c r="AD31" s="103" t="str">
        <f>IFERROR(__xludf.DUMMYFUNCTION("if($C31="""","""",if(join("" - "",{iferror(filter('Student Groupings'!$A:$A,'Student Groupings'!$B:$B=$C31,'Student Groupings'!$H:$H=""Must be Together""),"""");iferror(filter('Student Groupings'!$A:$A,'Student Groupings'!$E:$E=$C31,'Student Groupings'!$H"&amp;":$H=""Must be Together""),"""")})="" - "","""",join("" - "",{iferror(filter('Student Groupings'!$A:$A,'Student Groupings'!$B:$B=$C31,'Student Groupings'!$H:$H=""Must be Together""),"""");iferror(filter('Student Groupings'!$A:$A,'Student Groupings'!$E:$E=$"&amp;"C31,'Student Groupings'!$H:$H=""Must be Together""),"""")})))"),"")</f>
        <v/>
      </c>
      <c r="AE31" s="104"/>
      <c r="AF31" s="104"/>
      <c r="AG31" s="104"/>
      <c r="AH31" s="104"/>
    </row>
    <row r="32">
      <c r="A32" s="101">
        <v>6.0</v>
      </c>
      <c r="B32" s="101">
        <v>31030.0</v>
      </c>
      <c r="C32" s="102" t="s">
        <v>337</v>
      </c>
      <c r="D32" s="52" t="s">
        <v>173</v>
      </c>
      <c r="E32" s="52">
        <v>3.0</v>
      </c>
      <c r="F32" s="52" t="s">
        <v>158</v>
      </c>
      <c r="G32" s="52">
        <v>6.0</v>
      </c>
      <c r="H32" s="52" t="s">
        <v>181</v>
      </c>
      <c r="I32" s="52">
        <v>1.0</v>
      </c>
      <c r="J32" s="52" t="s">
        <v>194</v>
      </c>
      <c r="K32" s="52">
        <v>2.0</v>
      </c>
      <c r="L32" s="52" t="s">
        <v>198</v>
      </c>
      <c r="M32" s="52">
        <v>4.0</v>
      </c>
      <c r="N32" s="52" t="s">
        <v>153</v>
      </c>
      <c r="O32" s="52" t="s">
        <v>112</v>
      </c>
      <c r="P32" s="52" t="s">
        <v>142</v>
      </c>
      <c r="Q32" s="52" t="s">
        <v>124</v>
      </c>
      <c r="R32" s="52" t="s">
        <v>142</v>
      </c>
      <c r="S32" s="52" t="s">
        <v>124</v>
      </c>
      <c r="T32" s="65" t="s">
        <v>142</v>
      </c>
      <c r="U32" s="32">
        <v>1.0</v>
      </c>
      <c r="V32" s="32">
        <v>1.0</v>
      </c>
      <c r="W32" s="32">
        <v>1.0</v>
      </c>
      <c r="X32" s="32">
        <v>1.0</v>
      </c>
      <c r="Y32" s="32">
        <v>1.0</v>
      </c>
      <c r="Z32" s="32">
        <v>1.0</v>
      </c>
      <c r="AA32" s="32">
        <v>6.0</v>
      </c>
      <c r="AB32" s="32">
        <v>0.0</v>
      </c>
      <c r="AC32" s="103" t="str">
        <f>IFERROR(__xludf.DUMMYFUNCTION("if($C32="""","""",if(join("" - "",{iferror(filter('Student Groupings'!$A:$A,'Student Groupings'!$B:$B=$C32,'Student Groupings'!$H:$H=""Can't be Together""),"""");iferror(filter('Student Groupings'!$A:$A,'Student Groupings'!$E:$E=$C32,'Student Groupings'!$"&amp;"H:$H=""Can't be Together""),"""")})="" - "","""",join("" - "",{iferror(filter('Student Groupings'!$A:$A,'Student Groupings'!$B:$B=$C32,'Student Groupings'!$H:$H=""Can't be Together""),"""");iferror(filter('Student Groupings'!$A:$A,'Student Groupings'!$E:$"&amp;"E=$C32,'Student Groupings'!$H:$H=""Can't be Together""),"""")})))"),"")</f>
        <v/>
      </c>
      <c r="AD32" s="103" t="str">
        <f>IFERROR(__xludf.DUMMYFUNCTION("if($C32="""","""",if(join("" - "",{iferror(filter('Student Groupings'!$A:$A,'Student Groupings'!$B:$B=$C32,'Student Groupings'!$H:$H=""Must be Together""),"""");iferror(filter('Student Groupings'!$A:$A,'Student Groupings'!$E:$E=$C32,'Student Groupings'!$H"&amp;":$H=""Must be Together""),"""")})="" - "","""",join("" - "",{iferror(filter('Student Groupings'!$A:$A,'Student Groupings'!$B:$B=$C32,'Student Groupings'!$H:$H=""Must be Together""),"""");iferror(filter('Student Groupings'!$A:$A,'Student Groupings'!$E:$E=$"&amp;"C32,'Student Groupings'!$H:$H=""Must be Together""),"""")})))"),"")</f>
        <v/>
      </c>
      <c r="AE32" s="104"/>
      <c r="AF32" s="104"/>
      <c r="AG32" s="104"/>
      <c r="AH32" s="104"/>
    </row>
    <row r="33">
      <c r="A33" s="101">
        <v>6.0</v>
      </c>
      <c r="B33" s="101">
        <v>31032.0</v>
      </c>
      <c r="C33" s="102" t="s">
        <v>338</v>
      </c>
      <c r="D33" s="52" t="s">
        <v>171</v>
      </c>
      <c r="E33" s="52">
        <v>3.0</v>
      </c>
      <c r="F33" s="52" t="s">
        <v>158</v>
      </c>
      <c r="G33" s="52">
        <v>1.0</v>
      </c>
      <c r="H33" s="52" t="s">
        <v>182</v>
      </c>
      <c r="I33" s="52">
        <v>6.0</v>
      </c>
      <c r="J33" s="52" t="s">
        <v>192</v>
      </c>
      <c r="K33" s="52">
        <v>2.0</v>
      </c>
      <c r="L33" s="52" t="s">
        <v>196</v>
      </c>
      <c r="M33" s="52">
        <v>4.0</v>
      </c>
      <c r="N33" s="52" t="s">
        <v>153</v>
      </c>
      <c r="O33" s="52" t="s">
        <v>112</v>
      </c>
      <c r="P33" s="52" t="s">
        <v>142</v>
      </c>
      <c r="Q33" s="52" t="s">
        <v>124</v>
      </c>
      <c r="R33" s="52" t="s">
        <v>142</v>
      </c>
      <c r="S33" s="52" t="s">
        <v>124</v>
      </c>
      <c r="T33" s="65" t="s">
        <v>142</v>
      </c>
      <c r="U33" s="32">
        <v>1.0</v>
      </c>
      <c r="V33" s="32">
        <v>1.0</v>
      </c>
      <c r="W33" s="32">
        <v>1.0</v>
      </c>
      <c r="X33" s="32">
        <v>1.0</v>
      </c>
      <c r="Y33" s="32">
        <v>1.0</v>
      </c>
      <c r="Z33" s="32">
        <v>1.0</v>
      </c>
      <c r="AA33" s="32">
        <v>6.0</v>
      </c>
      <c r="AB33" s="32">
        <v>0.0</v>
      </c>
      <c r="AC33" s="103" t="str">
        <f>IFERROR(__xludf.DUMMYFUNCTION("if($C33="""","""",if(join("" - "",{iferror(filter('Student Groupings'!$A:$A,'Student Groupings'!$B:$B=$C33,'Student Groupings'!$H:$H=""Can't be Together""),"""");iferror(filter('Student Groupings'!$A:$A,'Student Groupings'!$E:$E=$C33,'Student Groupings'!$"&amp;"H:$H=""Can't be Together""),"""")})="" - "","""",join("" - "",{iferror(filter('Student Groupings'!$A:$A,'Student Groupings'!$B:$B=$C33,'Student Groupings'!$H:$H=""Can't be Together""),"""");iferror(filter('Student Groupings'!$A:$A,'Student Groupings'!$E:$"&amp;"E=$C33,'Student Groupings'!$H:$H=""Can't be Together""),"""")})))"),"")</f>
        <v/>
      </c>
      <c r="AD33" s="103" t="str">
        <f>IFERROR(__xludf.DUMMYFUNCTION("if($C33="""","""",if(join("" - "",{iferror(filter('Student Groupings'!$A:$A,'Student Groupings'!$B:$B=$C33,'Student Groupings'!$H:$H=""Must be Together""),"""");iferror(filter('Student Groupings'!$A:$A,'Student Groupings'!$E:$E=$C33,'Student Groupings'!$H"&amp;":$H=""Must be Together""),"""")})="" - "","""",join("" - "",{iferror(filter('Student Groupings'!$A:$A,'Student Groupings'!$B:$B=$C33,'Student Groupings'!$H:$H=""Must be Together""),"""");iferror(filter('Student Groupings'!$A:$A,'Student Groupings'!$E:$E=$"&amp;"C33,'Student Groupings'!$H:$H=""Must be Together""),"""")})))"),"")</f>
        <v/>
      </c>
      <c r="AE33" s="104"/>
      <c r="AF33" s="104"/>
      <c r="AG33" s="104"/>
      <c r="AH33" s="104"/>
    </row>
    <row r="34">
      <c r="A34" s="101">
        <v>6.0</v>
      </c>
      <c r="B34" s="101">
        <v>31031.0</v>
      </c>
      <c r="C34" s="102" t="s">
        <v>226</v>
      </c>
      <c r="D34" s="52" t="s">
        <v>171</v>
      </c>
      <c r="E34" s="52">
        <v>2.0</v>
      </c>
      <c r="F34" s="52" t="s">
        <v>158</v>
      </c>
      <c r="G34" s="52">
        <v>6.0</v>
      </c>
      <c r="H34" s="52" t="s">
        <v>181</v>
      </c>
      <c r="I34" s="52">
        <v>1.0</v>
      </c>
      <c r="J34" s="52" t="s">
        <v>192</v>
      </c>
      <c r="K34" s="52">
        <v>4.0</v>
      </c>
      <c r="L34" s="52" t="s">
        <v>196</v>
      </c>
      <c r="M34" s="52">
        <v>3.0</v>
      </c>
      <c r="N34" s="52" t="s">
        <v>153</v>
      </c>
      <c r="O34" s="52" t="s">
        <v>112</v>
      </c>
      <c r="P34" s="52" t="s">
        <v>142</v>
      </c>
      <c r="Q34" s="52" t="s">
        <v>124</v>
      </c>
      <c r="R34" s="52" t="s">
        <v>142</v>
      </c>
      <c r="S34" s="52" t="s">
        <v>124</v>
      </c>
      <c r="T34" s="65" t="s">
        <v>142</v>
      </c>
      <c r="U34" s="32">
        <v>1.0</v>
      </c>
      <c r="V34" s="32">
        <v>1.0</v>
      </c>
      <c r="W34" s="32">
        <v>1.0</v>
      </c>
      <c r="X34" s="32">
        <v>1.0</v>
      </c>
      <c r="Y34" s="32">
        <v>1.0</v>
      </c>
      <c r="Z34" s="32">
        <v>1.0</v>
      </c>
      <c r="AA34" s="32">
        <v>6.0</v>
      </c>
      <c r="AB34" s="32">
        <v>0.0</v>
      </c>
      <c r="AC34" s="103" t="str">
        <f>IFERROR(__xludf.DUMMYFUNCTION("if($C34="""","""",if(join("" - "",{iferror(filter('Student Groupings'!$A:$A,'Student Groupings'!$B:$B=$C34,'Student Groupings'!$H:$H=""Can't be Together""),"""");iferror(filter('Student Groupings'!$A:$A,'Student Groupings'!$E:$E=$C34,'Student Groupings'!$"&amp;"H:$H=""Can't be Together""),"""")})="" - "","""",join("" - "",{iferror(filter('Student Groupings'!$A:$A,'Student Groupings'!$B:$B=$C34,'Student Groupings'!$H:$H=""Can't be Together""),"""");iferror(filter('Student Groupings'!$A:$A,'Student Groupings'!$E:$"&amp;"E=$C34,'Student Groupings'!$H:$H=""Can't be Together""),"""")})))"),"")</f>
        <v/>
      </c>
      <c r="AD34" s="103" t="str">
        <f>IFERROR(__xludf.DUMMYFUNCTION("if($C34="""","""",if(join("" - "",{iferror(filter('Student Groupings'!$A:$A,'Student Groupings'!$B:$B=$C34,'Student Groupings'!$H:$H=""Must be Together""),"""");iferror(filter('Student Groupings'!$A:$A,'Student Groupings'!$E:$E=$C34,'Student Groupings'!$H"&amp;":$H=""Must be Together""),"""")})="" - "","""",join("" - "",{iferror(filter('Student Groupings'!$A:$A,'Student Groupings'!$B:$B=$C34,'Student Groupings'!$H:$H=""Must be Together""),"""");iferror(filter('Student Groupings'!$A:$A,'Student Groupings'!$E:$E=$"&amp;"C34,'Student Groupings'!$H:$H=""Must be Together""),"""")})))")," - 14")</f>
        <v> - 14</v>
      </c>
      <c r="AE34" s="104"/>
      <c r="AF34" s="104"/>
      <c r="AG34" s="105"/>
      <c r="AH34" s="105"/>
    </row>
    <row r="35">
      <c r="A35" s="101">
        <v>6.0</v>
      </c>
      <c r="B35" s="101">
        <v>31168.0</v>
      </c>
      <c r="C35" s="102" t="s">
        <v>339</v>
      </c>
      <c r="D35" s="52" t="s">
        <v>171</v>
      </c>
      <c r="E35" s="52">
        <v>4.0</v>
      </c>
      <c r="F35" s="52" t="s">
        <v>158</v>
      </c>
      <c r="G35" s="52">
        <v>5.0</v>
      </c>
      <c r="H35" s="52" t="s">
        <v>182</v>
      </c>
      <c r="I35" s="52">
        <v>6.0</v>
      </c>
      <c r="J35" s="52" t="s">
        <v>192</v>
      </c>
      <c r="K35" s="52">
        <v>3.0</v>
      </c>
      <c r="L35" s="52" t="s">
        <v>197</v>
      </c>
      <c r="M35" s="52">
        <v>2.0</v>
      </c>
      <c r="N35" s="52" t="s">
        <v>153</v>
      </c>
      <c r="O35" s="52" t="s">
        <v>108</v>
      </c>
      <c r="P35" s="52" t="s">
        <v>134</v>
      </c>
      <c r="Q35" s="52" t="s">
        <v>129</v>
      </c>
      <c r="R35" s="52" t="s">
        <v>117</v>
      </c>
      <c r="S35" s="52" t="s">
        <v>129</v>
      </c>
      <c r="T35" s="65" t="s">
        <v>27</v>
      </c>
      <c r="U35" s="32">
        <v>1.0</v>
      </c>
      <c r="V35" s="32">
        <v>1.0</v>
      </c>
      <c r="W35" s="32">
        <v>1.0</v>
      </c>
      <c r="X35" s="32">
        <v>1.0</v>
      </c>
      <c r="Y35" s="32">
        <v>1.0</v>
      </c>
      <c r="Z35" s="32">
        <v>1.0</v>
      </c>
      <c r="AA35" s="32">
        <v>6.0</v>
      </c>
      <c r="AB35" s="32">
        <v>0.0</v>
      </c>
      <c r="AC35" s="103" t="str">
        <f>IFERROR(__xludf.DUMMYFUNCTION("if($C35="""","""",if(join("" - "",{iferror(filter('Student Groupings'!$A:$A,'Student Groupings'!$B:$B=$C35,'Student Groupings'!$H:$H=""Can't be Together""),"""");iferror(filter('Student Groupings'!$A:$A,'Student Groupings'!$E:$E=$C35,'Student Groupings'!$"&amp;"H:$H=""Can't be Together""),"""")})="" - "","""",join("" - "",{iferror(filter('Student Groupings'!$A:$A,'Student Groupings'!$B:$B=$C35,'Student Groupings'!$H:$H=""Can't be Together""),"""");iferror(filter('Student Groupings'!$A:$A,'Student Groupings'!$E:$"&amp;"E=$C35,'Student Groupings'!$H:$H=""Can't be Together""),"""")})))"),"")</f>
        <v/>
      </c>
      <c r="AD35" s="103" t="str">
        <f>IFERROR(__xludf.DUMMYFUNCTION("if($C35="""","""",if(join("" - "",{iferror(filter('Student Groupings'!$A:$A,'Student Groupings'!$B:$B=$C35,'Student Groupings'!$H:$H=""Must be Together""),"""");iferror(filter('Student Groupings'!$A:$A,'Student Groupings'!$E:$E=$C35,'Student Groupings'!$H"&amp;":$H=""Must be Together""),"""")})="" - "","""",join("" - "",{iferror(filter('Student Groupings'!$A:$A,'Student Groupings'!$B:$B=$C35,'Student Groupings'!$H:$H=""Must be Together""),"""");iferror(filter('Student Groupings'!$A:$A,'Student Groupings'!$E:$E=$"&amp;"C35,'Student Groupings'!$H:$H=""Must be Together""),"""")})))"),"")</f>
        <v/>
      </c>
      <c r="AE35" s="105">
        <v>1.0</v>
      </c>
      <c r="AF35" s="104"/>
      <c r="AG35" s="104"/>
      <c r="AH35" s="104"/>
    </row>
    <row r="36">
      <c r="A36" s="101">
        <v>6.0</v>
      </c>
      <c r="B36" s="101">
        <v>31163.0</v>
      </c>
      <c r="C36" s="102" t="s">
        <v>340</v>
      </c>
      <c r="D36" s="52" t="s">
        <v>171</v>
      </c>
      <c r="E36" s="52">
        <v>5.0</v>
      </c>
      <c r="F36" s="52" t="s">
        <v>158</v>
      </c>
      <c r="G36" s="52">
        <v>4.0</v>
      </c>
      <c r="H36" s="52" t="s">
        <v>182</v>
      </c>
      <c r="I36" s="52">
        <v>3.0</v>
      </c>
      <c r="J36" s="52" t="s">
        <v>192</v>
      </c>
      <c r="K36" s="52">
        <v>1.0</v>
      </c>
      <c r="L36" s="52" t="s">
        <v>196</v>
      </c>
      <c r="M36" s="52">
        <v>6.0</v>
      </c>
      <c r="N36" s="52" t="s">
        <v>153</v>
      </c>
      <c r="O36" s="52" t="s">
        <v>125</v>
      </c>
      <c r="P36" s="52" t="s">
        <v>134</v>
      </c>
      <c r="Q36" s="52" t="s">
        <v>119</v>
      </c>
      <c r="R36" s="52" t="s">
        <v>117</v>
      </c>
      <c r="S36" s="52" t="s">
        <v>119</v>
      </c>
      <c r="T36" s="65" t="s">
        <v>8</v>
      </c>
      <c r="U36" s="32">
        <v>1.0</v>
      </c>
      <c r="V36" s="32">
        <v>1.0</v>
      </c>
      <c r="W36" s="32">
        <v>1.0</v>
      </c>
      <c r="X36" s="32">
        <v>1.0</v>
      </c>
      <c r="Y36" s="32">
        <v>1.0</v>
      </c>
      <c r="Z36" s="32">
        <v>1.0</v>
      </c>
      <c r="AA36" s="32">
        <v>6.0</v>
      </c>
      <c r="AB36" s="32">
        <v>0.0</v>
      </c>
      <c r="AC36" s="103" t="str">
        <f>IFERROR(__xludf.DUMMYFUNCTION("if($C36="""","""",if(join("" - "",{iferror(filter('Student Groupings'!$A:$A,'Student Groupings'!$B:$B=$C36,'Student Groupings'!$H:$H=""Can't be Together""),"""");iferror(filter('Student Groupings'!$A:$A,'Student Groupings'!$E:$E=$C36,'Student Groupings'!$"&amp;"H:$H=""Can't be Together""),"""")})="" - "","""",join("" - "",{iferror(filter('Student Groupings'!$A:$A,'Student Groupings'!$B:$B=$C36,'Student Groupings'!$H:$H=""Can't be Together""),"""");iferror(filter('Student Groupings'!$A:$A,'Student Groupings'!$E:$"&amp;"E=$C36,'Student Groupings'!$H:$H=""Can't be Together""),"""")})))"),"")</f>
        <v/>
      </c>
      <c r="AD36" s="103" t="str">
        <f>IFERROR(__xludf.DUMMYFUNCTION("if($C36="""","""",if(join("" - "",{iferror(filter('Student Groupings'!$A:$A,'Student Groupings'!$B:$B=$C36,'Student Groupings'!$H:$H=""Must be Together""),"""");iferror(filter('Student Groupings'!$A:$A,'Student Groupings'!$E:$E=$C36,'Student Groupings'!$H"&amp;":$H=""Must be Together""),"""")})="" - "","""",join("" - "",{iferror(filter('Student Groupings'!$A:$A,'Student Groupings'!$B:$B=$C36,'Student Groupings'!$H:$H=""Must be Together""),"""");iferror(filter('Student Groupings'!$A:$A,'Student Groupings'!$E:$E=$"&amp;"C36,'Student Groupings'!$H:$H=""Must be Together""),"""")})))"),"")</f>
        <v/>
      </c>
      <c r="AE36" s="104"/>
      <c r="AF36" s="104"/>
      <c r="AG36" s="104"/>
      <c r="AH36" s="104"/>
    </row>
    <row r="37">
      <c r="A37" s="101">
        <v>6.0</v>
      </c>
      <c r="B37" s="101">
        <v>31167.0</v>
      </c>
      <c r="C37" s="102" t="s">
        <v>236</v>
      </c>
      <c r="D37" s="52" t="s">
        <v>171</v>
      </c>
      <c r="E37" s="52">
        <v>4.0</v>
      </c>
      <c r="F37" s="52" t="s">
        <v>159</v>
      </c>
      <c r="G37" s="52">
        <v>5.0</v>
      </c>
      <c r="H37" s="52" t="s">
        <v>181</v>
      </c>
      <c r="I37" s="52">
        <v>1.0</v>
      </c>
      <c r="J37" s="52" t="s">
        <v>192</v>
      </c>
      <c r="K37" s="52">
        <v>3.0</v>
      </c>
      <c r="L37" s="52" t="s">
        <v>197</v>
      </c>
      <c r="M37" s="52">
        <v>2.0</v>
      </c>
      <c r="N37" s="52" t="s">
        <v>153</v>
      </c>
      <c r="O37" s="52" t="s">
        <v>120</v>
      </c>
      <c r="P37" s="52" t="s">
        <v>117</v>
      </c>
      <c r="Q37" s="52" t="s">
        <v>109</v>
      </c>
      <c r="R37" s="52" t="s">
        <v>134</v>
      </c>
      <c r="S37" s="52" t="s">
        <v>109</v>
      </c>
      <c r="T37" s="65" t="s">
        <v>27</v>
      </c>
      <c r="U37" s="32">
        <v>1.0</v>
      </c>
      <c r="V37" s="32">
        <v>1.0</v>
      </c>
      <c r="W37" s="32">
        <v>1.0</v>
      </c>
      <c r="X37" s="32">
        <v>1.0</v>
      </c>
      <c r="Y37" s="32">
        <v>1.0</v>
      </c>
      <c r="Z37" s="32">
        <v>1.0</v>
      </c>
      <c r="AA37" s="32">
        <v>6.0</v>
      </c>
      <c r="AB37" s="32">
        <v>0.0</v>
      </c>
      <c r="AC37" s="103" t="str">
        <f>IFERROR(__xludf.DUMMYFUNCTION("if($C37="""","""",if(join("" - "",{iferror(filter('Student Groupings'!$A:$A,'Student Groupings'!$B:$B=$C37,'Student Groupings'!$H:$H=""Can't be Together""),"""");iferror(filter('Student Groupings'!$A:$A,'Student Groupings'!$E:$E=$C37,'Student Groupings'!$"&amp;"H:$H=""Can't be Together""),"""")})="" - "","""",join("" - "",{iferror(filter('Student Groupings'!$A:$A,'Student Groupings'!$B:$B=$C37,'Student Groupings'!$H:$H=""Can't be Together""),"""");iferror(filter('Student Groupings'!$A:$A,'Student Groupings'!$E:$"&amp;"E=$C37,'Student Groupings'!$H:$H=""Can't be Together""),"""")})))")," - 23")</f>
        <v> - 23</v>
      </c>
      <c r="AD37" s="103" t="str">
        <f>IFERROR(__xludf.DUMMYFUNCTION("if($C37="""","""",if(join("" - "",{iferror(filter('Student Groupings'!$A:$A,'Student Groupings'!$B:$B=$C37,'Student Groupings'!$H:$H=""Must be Together""),"""");iferror(filter('Student Groupings'!$A:$A,'Student Groupings'!$E:$E=$C37,'Student Groupings'!$H"&amp;":$H=""Must be Together""),"""")})="" - "","""",join("" - "",{iferror(filter('Student Groupings'!$A:$A,'Student Groupings'!$B:$B=$C37,'Student Groupings'!$H:$H=""Must be Together""),"""");iferror(filter('Student Groupings'!$A:$A,'Student Groupings'!$E:$E=$"&amp;"C37,'Student Groupings'!$H:$H=""Must be Together""),"""")})))"),"")</f>
        <v/>
      </c>
      <c r="AE37" s="105">
        <v>1.0</v>
      </c>
      <c r="AF37" s="105">
        <v>1.0</v>
      </c>
      <c r="AG37" s="105">
        <v>1.0</v>
      </c>
      <c r="AH37" s="105"/>
    </row>
    <row r="38">
      <c r="A38" s="101">
        <v>6.0</v>
      </c>
      <c r="B38" s="101">
        <v>30041.0</v>
      </c>
      <c r="C38" s="102" t="s">
        <v>341</v>
      </c>
      <c r="D38" s="52" t="s">
        <v>171</v>
      </c>
      <c r="E38" s="52">
        <v>4.0</v>
      </c>
      <c r="F38" s="52" t="s">
        <v>158</v>
      </c>
      <c r="G38" s="52">
        <v>5.0</v>
      </c>
      <c r="H38" s="52" t="s">
        <v>182</v>
      </c>
      <c r="I38" s="52">
        <v>1.0</v>
      </c>
      <c r="J38" s="52" t="s">
        <v>192</v>
      </c>
      <c r="K38" s="52">
        <v>3.0</v>
      </c>
      <c r="L38" s="52" t="s">
        <v>196</v>
      </c>
      <c r="M38" s="52">
        <v>2.0</v>
      </c>
      <c r="N38" s="52" t="s">
        <v>153</v>
      </c>
      <c r="O38" s="52" t="s">
        <v>120</v>
      </c>
      <c r="P38" s="52" t="s">
        <v>134</v>
      </c>
      <c r="Q38" s="52" t="s">
        <v>109</v>
      </c>
      <c r="R38" s="52" t="s">
        <v>117</v>
      </c>
      <c r="S38" s="52" t="s">
        <v>109</v>
      </c>
      <c r="T38" s="65" t="s">
        <v>27</v>
      </c>
      <c r="U38" s="32">
        <v>1.0</v>
      </c>
      <c r="V38" s="32">
        <v>1.0</v>
      </c>
      <c r="W38" s="32">
        <v>1.0</v>
      </c>
      <c r="X38" s="32">
        <v>1.0</v>
      </c>
      <c r="Y38" s="32">
        <v>1.0</v>
      </c>
      <c r="Z38" s="32">
        <v>1.0</v>
      </c>
      <c r="AA38" s="32">
        <v>6.0</v>
      </c>
      <c r="AB38" s="32">
        <v>0.0</v>
      </c>
      <c r="AC38" s="103" t="str">
        <f>IFERROR(__xludf.DUMMYFUNCTION("if($C38="""","""",if(join("" - "",{iferror(filter('Student Groupings'!$A:$A,'Student Groupings'!$B:$B=$C38,'Student Groupings'!$H:$H=""Can't be Together""),"""");iferror(filter('Student Groupings'!$A:$A,'Student Groupings'!$E:$E=$C38,'Student Groupings'!$"&amp;"H:$H=""Can't be Together""),"""")})="" - "","""",join("" - "",{iferror(filter('Student Groupings'!$A:$A,'Student Groupings'!$B:$B=$C38,'Student Groupings'!$H:$H=""Can't be Together""),"""");iferror(filter('Student Groupings'!$A:$A,'Student Groupings'!$E:$"&amp;"E=$C38,'Student Groupings'!$H:$H=""Can't be Together""),"""")})))"),"")</f>
        <v/>
      </c>
      <c r="AD38" s="103" t="str">
        <f>IFERROR(__xludf.DUMMYFUNCTION("if($C38="""","""",if(join("" - "",{iferror(filter('Student Groupings'!$A:$A,'Student Groupings'!$B:$B=$C38,'Student Groupings'!$H:$H=""Must be Together""),"""");iferror(filter('Student Groupings'!$A:$A,'Student Groupings'!$E:$E=$C38,'Student Groupings'!$H"&amp;":$H=""Must be Together""),"""")})="" - "","""",join("" - "",{iferror(filter('Student Groupings'!$A:$A,'Student Groupings'!$B:$B=$C38,'Student Groupings'!$H:$H=""Must be Together""),"""");iferror(filter('Student Groupings'!$A:$A,'Student Groupings'!$E:$E=$"&amp;"C38,'Student Groupings'!$H:$H=""Must be Together""),"""")})))"),"")</f>
        <v/>
      </c>
      <c r="AE38" s="104"/>
      <c r="AF38" s="104"/>
      <c r="AG38" s="104"/>
      <c r="AH38" s="104"/>
    </row>
    <row r="39">
      <c r="A39" s="101">
        <v>6.0</v>
      </c>
      <c r="B39" s="101">
        <v>31034.0</v>
      </c>
      <c r="C39" s="102" t="s">
        <v>342</v>
      </c>
      <c r="D39" s="52" t="s">
        <v>171</v>
      </c>
      <c r="E39" s="52">
        <v>6.0</v>
      </c>
      <c r="F39" s="52" t="s">
        <v>158</v>
      </c>
      <c r="G39" s="52">
        <v>4.0</v>
      </c>
      <c r="H39" s="52" t="s">
        <v>182</v>
      </c>
      <c r="I39" s="52">
        <v>3.0</v>
      </c>
      <c r="J39" s="52" t="s">
        <v>192</v>
      </c>
      <c r="K39" s="52">
        <v>5.0</v>
      </c>
      <c r="L39" s="52" t="s">
        <v>196</v>
      </c>
      <c r="M39" s="52">
        <v>1.0</v>
      </c>
      <c r="N39" s="52" t="s">
        <v>153</v>
      </c>
      <c r="O39" s="52" t="s">
        <v>125</v>
      </c>
      <c r="P39" s="52" t="s">
        <v>117</v>
      </c>
      <c r="Q39" s="52" t="s">
        <v>119</v>
      </c>
      <c r="R39" s="52" t="s">
        <v>134</v>
      </c>
      <c r="S39" s="52" t="s">
        <v>119</v>
      </c>
      <c r="T39" s="65" t="s">
        <v>27</v>
      </c>
      <c r="U39" s="32">
        <v>1.0</v>
      </c>
      <c r="V39" s="32">
        <v>1.0</v>
      </c>
      <c r="W39" s="32">
        <v>1.0</v>
      </c>
      <c r="X39" s="32">
        <v>1.0</v>
      </c>
      <c r="Y39" s="32">
        <v>1.0</v>
      </c>
      <c r="Z39" s="32">
        <v>1.0</v>
      </c>
      <c r="AA39" s="32">
        <v>6.0</v>
      </c>
      <c r="AB39" s="32">
        <v>0.0</v>
      </c>
      <c r="AC39" s="103" t="str">
        <f>IFERROR(__xludf.DUMMYFUNCTION("if($C39="""","""",if(join("" - "",{iferror(filter('Student Groupings'!$A:$A,'Student Groupings'!$B:$B=$C39,'Student Groupings'!$H:$H=""Can't be Together""),"""");iferror(filter('Student Groupings'!$A:$A,'Student Groupings'!$E:$E=$C39,'Student Groupings'!$"&amp;"H:$H=""Can't be Together""),"""")})="" - "","""",join("" - "",{iferror(filter('Student Groupings'!$A:$A,'Student Groupings'!$B:$B=$C39,'Student Groupings'!$H:$H=""Can't be Together""),"""");iferror(filter('Student Groupings'!$A:$A,'Student Groupings'!$E:$"&amp;"E=$C39,'Student Groupings'!$H:$H=""Can't be Together""),"""")})))"),"")</f>
        <v/>
      </c>
      <c r="AD39" s="103" t="str">
        <f>IFERROR(__xludf.DUMMYFUNCTION("if($C39="""","""",if(join("" - "",{iferror(filter('Student Groupings'!$A:$A,'Student Groupings'!$B:$B=$C39,'Student Groupings'!$H:$H=""Must be Together""),"""");iferror(filter('Student Groupings'!$A:$A,'Student Groupings'!$E:$E=$C39,'Student Groupings'!$H"&amp;":$H=""Must be Together""),"""")})="" - "","""",join("" - "",{iferror(filter('Student Groupings'!$A:$A,'Student Groupings'!$B:$B=$C39,'Student Groupings'!$H:$H=""Must be Together""),"""");iferror(filter('Student Groupings'!$A:$A,'Student Groupings'!$E:$E=$"&amp;"C39,'Student Groupings'!$H:$H=""Must be Together""),"""")})))"),"")</f>
        <v/>
      </c>
      <c r="AE39" s="104"/>
      <c r="AF39" s="104"/>
      <c r="AG39" s="104"/>
      <c r="AH39" s="104"/>
    </row>
    <row r="40">
      <c r="A40" s="101">
        <v>6.0</v>
      </c>
      <c r="B40" s="101">
        <v>31037.0</v>
      </c>
      <c r="C40" s="102" t="s">
        <v>343</v>
      </c>
      <c r="D40" s="52" t="s">
        <v>171</v>
      </c>
      <c r="E40" s="52">
        <v>5.0</v>
      </c>
      <c r="F40" s="52" t="s">
        <v>158</v>
      </c>
      <c r="G40" s="52">
        <v>3.0</v>
      </c>
      <c r="H40" s="52" t="s">
        <v>182</v>
      </c>
      <c r="I40" s="52">
        <v>2.0</v>
      </c>
      <c r="J40" s="52" t="s">
        <v>192</v>
      </c>
      <c r="K40" s="52">
        <v>1.0</v>
      </c>
      <c r="L40" s="52" t="s">
        <v>196</v>
      </c>
      <c r="M40" s="52">
        <v>6.0</v>
      </c>
      <c r="N40" s="52" t="s">
        <v>153</v>
      </c>
      <c r="O40" s="52" t="s">
        <v>130</v>
      </c>
      <c r="P40" s="52" t="s">
        <v>134</v>
      </c>
      <c r="Q40" s="52" t="s">
        <v>111</v>
      </c>
      <c r="R40" s="52" t="s">
        <v>117</v>
      </c>
      <c r="S40" s="52" t="s">
        <v>111</v>
      </c>
      <c r="T40" s="65" t="s">
        <v>27</v>
      </c>
      <c r="U40" s="32">
        <v>1.0</v>
      </c>
      <c r="V40" s="32">
        <v>1.0</v>
      </c>
      <c r="W40" s="32">
        <v>1.0</v>
      </c>
      <c r="X40" s="32">
        <v>1.0</v>
      </c>
      <c r="Y40" s="32">
        <v>1.0</v>
      </c>
      <c r="Z40" s="32">
        <v>1.0</v>
      </c>
      <c r="AA40" s="32">
        <v>6.0</v>
      </c>
      <c r="AB40" s="32">
        <v>0.0</v>
      </c>
      <c r="AC40" s="103" t="str">
        <f>IFERROR(__xludf.DUMMYFUNCTION("if($C40="""","""",if(join("" - "",{iferror(filter('Student Groupings'!$A:$A,'Student Groupings'!$B:$B=$C40,'Student Groupings'!$H:$H=""Can't be Together""),"""");iferror(filter('Student Groupings'!$A:$A,'Student Groupings'!$E:$E=$C40,'Student Groupings'!$"&amp;"H:$H=""Can't be Together""),"""")})="" - "","""",join("" - "",{iferror(filter('Student Groupings'!$A:$A,'Student Groupings'!$B:$B=$C40,'Student Groupings'!$H:$H=""Can't be Together""),"""");iferror(filter('Student Groupings'!$A:$A,'Student Groupings'!$E:$"&amp;"E=$C40,'Student Groupings'!$H:$H=""Can't be Together""),"""")})))"),"")</f>
        <v/>
      </c>
      <c r="AD40" s="103" t="str">
        <f>IFERROR(__xludf.DUMMYFUNCTION("if($C40="""","""",if(join("" - "",{iferror(filter('Student Groupings'!$A:$A,'Student Groupings'!$B:$B=$C40,'Student Groupings'!$H:$H=""Must be Together""),"""");iferror(filter('Student Groupings'!$A:$A,'Student Groupings'!$E:$E=$C40,'Student Groupings'!$H"&amp;":$H=""Must be Together""),"""")})="" - "","""",join("" - "",{iferror(filter('Student Groupings'!$A:$A,'Student Groupings'!$B:$B=$C40,'Student Groupings'!$H:$H=""Must be Together""),"""");iferror(filter('Student Groupings'!$A:$A,'Student Groupings'!$E:$E=$"&amp;"C40,'Student Groupings'!$H:$H=""Must be Together""),"""")})))"),"")</f>
        <v/>
      </c>
      <c r="AE40" s="104"/>
      <c r="AF40" s="104"/>
      <c r="AG40" s="104"/>
      <c r="AH40" s="104"/>
    </row>
    <row r="41">
      <c r="A41" s="101">
        <v>6.0</v>
      </c>
      <c r="B41" s="101">
        <v>31039.0</v>
      </c>
      <c r="C41" s="102" t="s">
        <v>344</v>
      </c>
      <c r="D41" s="52" t="s">
        <v>171</v>
      </c>
      <c r="E41" s="52">
        <v>2.0</v>
      </c>
      <c r="F41" s="52" t="s">
        <v>159</v>
      </c>
      <c r="G41" s="52">
        <v>5.0</v>
      </c>
      <c r="H41" s="52" t="s">
        <v>181</v>
      </c>
      <c r="I41" s="52">
        <v>1.0</v>
      </c>
      <c r="J41" s="52" t="s">
        <v>192</v>
      </c>
      <c r="K41" s="52">
        <v>4.0</v>
      </c>
      <c r="L41" s="52" t="s">
        <v>196</v>
      </c>
      <c r="M41" s="52">
        <v>3.0</v>
      </c>
      <c r="N41" s="52" t="s">
        <v>153</v>
      </c>
      <c r="O41" s="52" t="s">
        <v>109</v>
      </c>
      <c r="P41" s="52" t="s">
        <v>143</v>
      </c>
      <c r="Q41" s="52" t="s">
        <v>120</v>
      </c>
      <c r="R41" s="52" t="s">
        <v>143</v>
      </c>
      <c r="S41" s="52" t="s">
        <v>120</v>
      </c>
      <c r="T41" s="65" t="s">
        <v>143</v>
      </c>
      <c r="U41" s="32">
        <v>1.0</v>
      </c>
      <c r="V41" s="32">
        <v>1.0</v>
      </c>
      <c r="W41" s="32">
        <v>1.0</v>
      </c>
      <c r="X41" s="32">
        <v>1.0</v>
      </c>
      <c r="Y41" s="32">
        <v>1.0</v>
      </c>
      <c r="Z41" s="32">
        <v>1.0</v>
      </c>
      <c r="AA41" s="32">
        <v>6.0</v>
      </c>
      <c r="AB41" s="32">
        <v>0.0</v>
      </c>
      <c r="AC41" s="103" t="str">
        <f>IFERROR(__xludf.DUMMYFUNCTION("if($C41="""","""",if(join("" - "",{iferror(filter('Student Groupings'!$A:$A,'Student Groupings'!$B:$B=$C41,'Student Groupings'!$H:$H=""Can't be Together""),"""");iferror(filter('Student Groupings'!$A:$A,'Student Groupings'!$E:$E=$C41,'Student Groupings'!$"&amp;"H:$H=""Can't be Together""),"""")})="" - "","""",join("" - "",{iferror(filter('Student Groupings'!$A:$A,'Student Groupings'!$B:$B=$C41,'Student Groupings'!$H:$H=""Can't be Together""),"""");iferror(filter('Student Groupings'!$A:$A,'Student Groupings'!$E:$"&amp;"E=$C41,'Student Groupings'!$H:$H=""Can't be Together""),"""")})))"),"")</f>
        <v/>
      </c>
      <c r="AD41" s="103" t="str">
        <f>IFERROR(__xludf.DUMMYFUNCTION("if($C41="""","""",if(join("" - "",{iferror(filter('Student Groupings'!$A:$A,'Student Groupings'!$B:$B=$C41,'Student Groupings'!$H:$H=""Must be Together""),"""");iferror(filter('Student Groupings'!$A:$A,'Student Groupings'!$E:$E=$C41,'Student Groupings'!$H"&amp;":$H=""Must be Together""),"""")})="" - "","""",join("" - "",{iferror(filter('Student Groupings'!$A:$A,'Student Groupings'!$B:$B=$C41,'Student Groupings'!$H:$H=""Must be Together""),"""");iferror(filter('Student Groupings'!$A:$A,'Student Groupings'!$E:$E=$"&amp;"C41,'Student Groupings'!$H:$H=""Must be Together""),"""")})))"),"")</f>
        <v/>
      </c>
      <c r="AE41" s="104"/>
      <c r="AF41" s="104"/>
      <c r="AG41" s="104"/>
      <c r="AH41" s="104"/>
    </row>
    <row r="42">
      <c r="A42" s="101">
        <v>6.0</v>
      </c>
      <c r="B42" s="101">
        <v>31040.0</v>
      </c>
      <c r="C42" s="102" t="s">
        <v>345</v>
      </c>
      <c r="D42" s="52" t="s">
        <v>171</v>
      </c>
      <c r="E42" s="52">
        <v>6.0</v>
      </c>
      <c r="F42" s="52" t="s">
        <v>158</v>
      </c>
      <c r="G42" s="52">
        <v>4.0</v>
      </c>
      <c r="H42" s="52" t="s">
        <v>182</v>
      </c>
      <c r="I42" s="52">
        <v>3.0</v>
      </c>
      <c r="J42" s="52" t="s">
        <v>192</v>
      </c>
      <c r="K42" s="52">
        <v>5.0</v>
      </c>
      <c r="L42" s="52" t="s">
        <v>196</v>
      </c>
      <c r="M42" s="52">
        <v>1.0</v>
      </c>
      <c r="N42" s="52" t="s">
        <v>153</v>
      </c>
      <c r="O42" s="52" t="s">
        <v>125</v>
      </c>
      <c r="P42" s="52" t="s">
        <v>134</v>
      </c>
      <c r="Q42" s="52" t="s">
        <v>119</v>
      </c>
      <c r="R42" s="52" t="s">
        <v>117</v>
      </c>
      <c r="S42" s="52" t="s">
        <v>119</v>
      </c>
      <c r="T42" s="65" t="s">
        <v>27</v>
      </c>
      <c r="U42" s="32">
        <v>1.0</v>
      </c>
      <c r="V42" s="32">
        <v>1.0</v>
      </c>
      <c r="W42" s="32">
        <v>1.0</v>
      </c>
      <c r="X42" s="32">
        <v>1.0</v>
      </c>
      <c r="Y42" s="32">
        <v>1.0</v>
      </c>
      <c r="Z42" s="32">
        <v>1.0</v>
      </c>
      <c r="AA42" s="32">
        <v>6.0</v>
      </c>
      <c r="AB42" s="32">
        <v>0.0</v>
      </c>
      <c r="AC42" s="103" t="str">
        <f>IFERROR(__xludf.DUMMYFUNCTION("if($C42="""","""",if(join("" - "",{iferror(filter('Student Groupings'!$A:$A,'Student Groupings'!$B:$B=$C42,'Student Groupings'!$H:$H=""Can't be Together""),"""");iferror(filter('Student Groupings'!$A:$A,'Student Groupings'!$E:$E=$C42,'Student Groupings'!$"&amp;"H:$H=""Can't be Together""),"""")})="" - "","""",join("" - "",{iferror(filter('Student Groupings'!$A:$A,'Student Groupings'!$B:$B=$C42,'Student Groupings'!$H:$H=""Can't be Together""),"""");iferror(filter('Student Groupings'!$A:$A,'Student Groupings'!$E:$"&amp;"E=$C42,'Student Groupings'!$H:$H=""Can't be Together""),"""")})))"),"")</f>
        <v/>
      </c>
      <c r="AD42" s="103" t="str">
        <f>IFERROR(__xludf.DUMMYFUNCTION("if($C42="""","""",if(join("" - "",{iferror(filter('Student Groupings'!$A:$A,'Student Groupings'!$B:$B=$C42,'Student Groupings'!$H:$H=""Must be Together""),"""");iferror(filter('Student Groupings'!$A:$A,'Student Groupings'!$E:$E=$C42,'Student Groupings'!$H"&amp;":$H=""Must be Together""),"""")})="" - "","""",join("" - "",{iferror(filter('Student Groupings'!$A:$A,'Student Groupings'!$B:$B=$C42,'Student Groupings'!$H:$H=""Must be Together""),"""");iferror(filter('Student Groupings'!$A:$A,'Student Groupings'!$E:$E=$"&amp;"C42,'Student Groupings'!$H:$H=""Must be Together""),"""")})))"),"")</f>
        <v/>
      </c>
      <c r="AE42" s="104"/>
      <c r="AF42" s="104"/>
      <c r="AG42" s="104"/>
      <c r="AH42" s="104"/>
    </row>
    <row r="43">
      <c r="A43" s="101">
        <v>6.0</v>
      </c>
      <c r="B43" s="101">
        <v>31042.0</v>
      </c>
      <c r="C43" s="102" t="s">
        <v>346</v>
      </c>
      <c r="D43" s="52" t="s">
        <v>173</v>
      </c>
      <c r="E43" s="52">
        <v>3.0</v>
      </c>
      <c r="F43" s="52" t="s">
        <v>158</v>
      </c>
      <c r="G43" s="52">
        <v>5.0</v>
      </c>
      <c r="H43" s="52" t="s">
        <v>182</v>
      </c>
      <c r="I43" s="52">
        <v>1.0</v>
      </c>
      <c r="J43" s="52" t="s">
        <v>194</v>
      </c>
      <c r="K43" s="52">
        <v>2.0</v>
      </c>
      <c r="L43" s="52" t="s">
        <v>198</v>
      </c>
      <c r="M43" s="52">
        <v>4.0</v>
      </c>
      <c r="N43" s="52" t="s">
        <v>153</v>
      </c>
      <c r="O43" s="52" t="s">
        <v>120</v>
      </c>
      <c r="P43" s="52" t="s">
        <v>134</v>
      </c>
      <c r="Q43" s="52" t="s">
        <v>109</v>
      </c>
      <c r="R43" s="52" t="s">
        <v>117</v>
      </c>
      <c r="S43" s="52" t="s">
        <v>109</v>
      </c>
      <c r="T43" s="65" t="s">
        <v>27</v>
      </c>
      <c r="U43" s="32">
        <v>1.0</v>
      </c>
      <c r="V43" s="32">
        <v>1.0</v>
      </c>
      <c r="W43" s="32">
        <v>1.0</v>
      </c>
      <c r="X43" s="32">
        <v>1.0</v>
      </c>
      <c r="Y43" s="32">
        <v>1.0</v>
      </c>
      <c r="Z43" s="32">
        <v>1.0</v>
      </c>
      <c r="AA43" s="32">
        <v>6.0</v>
      </c>
      <c r="AB43" s="32">
        <v>0.0</v>
      </c>
      <c r="AC43" s="103" t="str">
        <f>IFERROR(__xludf.DUMMYFUNCTION("if($C43="""","""",if(join("" - "",{iferror(filter('Student Groupings'!$A:$A,'Student Groupings'!$B:$B=$C43,'Student Groupings'!$H:$H=""Can't be Together""),"""");iferror(filter('Student Groupings'!$A:$A,'Student Groupings'!$E:$E=$C43,'Student Groupings'!$"&amp;"H:$H=""Can't be Together""),"""")})="" - "","""",join("" - "",{iferror(filter('Student Groupings'!$A:$A,'Student Groupings'!$B:$B=$C43,'Student Groupings'!$H:$H=""Can't be Together""),"""");iferror(filter('Student Groupings'!$A:$A,'Student Groupings'!$E:$"&amp;"E=$C43,'Student Groupings'!$H:$H=""Can't be Together""),"""")})))"),"")</f>
        <v/>
      </c>
      <c r="AD43" s="103" t="str">
        <f>IFERROR(__xludf.DUMMYFUNCTION("if($C43="""","""",if(join("" - "",{iferror(filter('Student Groupings'!$A:$A,'Student Groupings'!$B:$B=$C43,'Student Groupings'!$H:$H=""Must be Together""),"""");iferror(filter('Student Groupings'!$A:$A,'Student Groupings'!$E:$E=$C43,'Student Groupings'!$H"&amp;":$H=""Must be Together""),"""")})="" - "","""",join("" - "",{iferror(filter('Student Groupings'!$A:$A,'Student Groupings'!$B:$B=$C43,'Student Groupings'!$H:$H=""Must be Together""),"""");iferror(filter('Student Groupings'!$A:$A,'Student Groupings'!$E:$E=$"&amp;"C43,'Student Groupings'!$H:$H=""Must be Together""),"""")})))"),"")</f>
        <v/>
      </c>
      <c r="AE43" s="104"/>
      <c r="AF43" s="104"/>
      <c r="AG43" s="104"/>
      <c r="AH43" s="104"/>
    </row>
    <row r="44">
      <c r="A44" s="101">
        <v>6.0</v>
      </c>
      <c r="B44" s="101">
        <v>31044.0</v>
      </c>
      <c r="C44" s="102" t="s">
        <v>347</v>
      </c>
      <c r="D44" s="52" t="s">
        <v>173</v>
      </c>
      <c r="E44" s="52">
        <v>3.0</v>
      </c>
      <c r="F44" s="52" t="s">
        <v>158</v>
      </c>
      <c r="G44" s="52">
        <v>5.0</v>
      </c>
      <c r="H44" s="52" t="s">
        <v>182</v>
      </c>
      <c r="I44" s="52">
        <v>6.0</v>
      </c>
      <c r="J44" s="52" t="s">
        <v>194</v>
      </c>
      <c r="K44" s="52">
        <v>2.0</v>
      </c>
      <c r="L44" s="52" t="s">
        <v>198</v>
      </c>
      <c r="M44" s="52">
        <v>4.0</v>
      </c>
      <c r="N44" s="52" t="s">
        <v>153</v>
      </c>
      <c r="O44" s="52" t="s">
        <v>108</v>
      </c>
      <c r="P44" s="52" t="s">
        <v>134</v>
      </c>
      <c r="Q44" s="52" t="s">
        <v>129</v>
      </c>
      <c r="R44" s="52" t="s">
        <v>117</v>
      </c>
      <c r="S44" s="52" t="s">
        <v>129</v>
      </c>
      <c r="T44" s="65" t="s">
        <v>27</v>
      </c>
      <c r="U44" s="32">
        <v>1.0</v>
      </c>
      <c r="V44" s="32">
        <v>1.0</v>
      </c>
      <c r="W44" s="32">
        <v>1.0</v>
      </c>
      <c r="X44" s="32">
        <v>1.0</v>
      </c>
      <c r="Y44" s="32">
        <v>1.0</v>
      </c>
      <c r="Z44" s="32">
        <v>1.0</v>
      </c>
      <c r="AA44" s="32">
        <v>6.0</v>
      </c>
      <c r="AB44" s="32">
        <v>0.0</v>
      </c>
      <c r="AC44" s="103" t="str">
        <f>IFERROR(__xludf.DUMMYFUNCTION("if($C44="""","""",if(join("" - "",{iferror(filter('Student Groupings'!$A:$A,'Student Groupings'!$B:$B=$C44,'Student Groupings'!$H:$H=""Can't be Together""),"""");iferror(filter('Student Groupings'!$A:$A,'Student Groupings'!$E:$E=$C44,'Student Groupings'!$"&amp;"H:$H=""Can't be Together""),"""")})="" - "","""",join("" - "",{iferror(filter('Student Groupings'!$A:$A,'Student Groupings'!$B:$B=$C44,'Student Groupings'!$H:$H=""Can't be Together""),"""");iferror(filter('Student Groupings'!$A:$A,'Student Groupings'!$E:$"&amp;"E=$C44,'Student Groupings'!$H:$H=""Can't be Together""),"""")})))"),"")</f>
        <v/>
      </c>
      <c r="AD44" s="103" t="str">
        <f>IFERROR(__xludf.DUMMYFUNCTION("if($C44="""","""",if(join("" - "",{iferror(filter('Student Groupings'!$A:$A,'Student Groupings'!$B:$B=$C44,'Student Groupings'!$H:$H=""Must be Together""),"""");iferror(filter('Student Groupings'!$A:$A,'Student Groupings'!$E:$E=$C44,'Student Groupings'!$H"&amp;":$H=""Must be Together""),"""")})="" - "","""",join("" - "",{iferror(filter('Student Groupings'!$A:$A,'Student Groupings'!$B:$B=$C44,'Student Groupings'!$H:$H=""Must be Together""),"""");iferror(filter('Student Groupings'!$A:$A,'Student Groupings'!$E:$E=$"&amp;"C44,'Student Groupings'!$H:$H=""Must be Together""),"""")})))"),"")</f>
        <v/>
      </c>
      <c r="AE44" s="104"/>
      <c r="AF44" s="104"/>
      <c r="AG44" s="104"/>
      <c r="AH44" s="104"/>
    </row>
    <row r="45">
      <c r="A45" s="101">
        <v>6.0</v>
      </c>
      <c r="B45" s="101">
        <v>31045.0</v>
      </c>
      <c r="C45" s="102" t="s">
        <v>348</v>
      </c>
      <c r="D45" s="52" t="s">
        <v>171</v>
      </c>
      <c r="E45" s="52">
        <v>2.0</v>
      </c>
      <c r="F45" s="52" t="s">
        <v>159</v>
      </c>
      <c r="G45" s="52">
        <v>5.0</v>
      </c>
      <c r="H45" s="52" t="s">
        <v>181</v>
      </c>
      <c r="I45" s="52">
        <v>1.0</v>
      </c>
      <c r="J45" s="52" t="s">
        <v>192</v>
      </c>
      <c r="K45" s="52">
        <v>4.0</v>
      </c>
      <c r="L45" s="52" t="s">
        <v>196</v>
      </c>
      <c r="M45" s="52">
        <v>3.0</v>
      </c>
      <c r="N45" s="52" t="s">
        <v>153</v>
      </c>
      <c r="O45" s="52" t="s">
        <v>109</v>
      </c>
      <c r="P45" s="52" t="s">
        <v>143</v>
      </c>
      <c r="Q45" s="52" t="s">
        <v>120</v>
      </c>
      <c r="R45" s="52" t="s">
        <v>143</v>
      </c>
      <c r="S45" s="52" t="s">
        <v>120</v>
      </c>
      <c r="T45" s="65" t="s">
        <v>143</v>
      </c>
      <c r="U45" s="32">
        <v>1.0</v>
      </c>
      <c r="V45" s="32">
        <v>1.0</v>
      </c>
      <c r="W45" s="32">
        <v>1.0</v>
      </c>
      <c r="X45" s="32">
        <v>1.0</v>
      </c>
      <c r="Y45" s="32">
        <v>1.0</v>
      </c>
      <c r="Z45" s="32">
        <v>1.0</v>
      </c>
      <c r="AA45" s="32">
        <v>6.0</v>
      </c>
      <c r="AB45" s="32">
        <v>0.0</v>
      </c>
      <c r="AC45" s="103" t="str">
        <f>IFERROR(__xludf.DUMMYFUNCTION("if($C45="""","""",if(join("" - "",{iferror(filter('Student Groupings'!$A:$A,'Student Groupings'!$B:$B=$C45,'Student Groupings'!$H:$H=""Can't be Together""),"""");iferror(filter('Student Groupings'!$A:$A,'Student Groupings'!$E:$E=$C45,'Student Groupings'!$"&amp;"H:$H=""Can't be Together""),"""")})="" - "","""",join("" - "",{iferror(filter('Student Groupings'!$A:$A,'Student Groupings'!$B:$B=$C45,'Student Groupings'!$H:$H=""Can't be Together""),"""");iferror(filter('Student Groupings'!$A:$A,'Student Groupings'!$E:$"&amp;"E=$C45,'Student Groupings'!$H:$H=""Can't be Together""),"""")})))"),"")</f>
        <v/>
      </c>
      <c r="AD45" s="103" t="str">
        <f>IFERROR(__xludf.DUMMYFUNCTION("if($C45="""","""",if(join("" - "",{iferror(filter('Student Groupings'!$A:$A,'Student Groupings'!$B:$B=$C45,'Student Groupings'!$H:$H=""Must be Together""),"""");iferror(filter('Student Groupings'!$A:$A,'Student Groupings'!$E:$E=$C45,'Student Groupings'!$H"&amp;":$H=""Must be Together""),"""")})="" - "","""",join("" - "",{iferror(filter('Student Groupings'!$A:$A,'Student Groupings'!$B:$B=$C45,'Student Groupings'!$H:$H=""Must be Together""),"""");iferror(filter('Student Groupings'!$A:$A,'Student Groupings'!$E:$E=$"&amp;"C45,'Student Groupings'!$H:$H=""Must be Together""),"""")})))"),"")</f>
        <v/>
      </c>
      <c r="AE45" s="104"/>
      <c r="AF45" s="104"/>
      <c r="AG45" s="104"/>
      <c r="AH45" s="104"/>
    </row>
    <row r="46">
      <c r="A46" s="101">
        <v>6.0</v>
      </c>
      <c r="B46" s="101">
        <v>31046.0</v>
      </c>
      <c r="C46" s="102" t="s">
        <v>349</v>
      </c>
      <c r="D46" s="52" t="s">
        <v>171</v>
      </c>
      <c r="E46" s="52">
        <v>3.0</v>
      </c>
      <c r="F46" s="52" t="s">
        <v>159</v>
      </c>
      <c r="G46" s="52">
        <v>5.0</v>
      </c>
      <c r="H46" s="52" t="s">
        <v>181</v>
      </c>
      <c r="I46" s="52">
        <v>1.0</v>
      </c>
      <c r="J46" s="52" t="s">
        <v>192</v>
      </c>
      <c r="K46" s="52">
        <v>2.0</v>
      </c>
      <c r="L46" s="52" t="s">
        <v>196</v>
      </c>
      <c r="M46" s="52">
        <v>4.0</v>
      </c>
      <c r="N46" s="52" t="s">
        <v>153</v>
      </c>
      <c r="O46" s="52" t="s">
        <v>109</v>
      </c>
      <c r="P46" s="52" t="s">
        <v>143</v>
      </c>
      <c r="Q46" s="52" t="s">
        <v>120</v>
      </c>
      <c r="R46" s="52" t="s">
        <v>143</v>
      </c>
      <c r="S46" s="52" t="s">
        <v>120</v>
      </c>
      <c r="T46" s="65" t="s">
        <v>143</v>
      </c>
      <c r="U46" s="32">
        <v>1.0</v>
      </c>
      <c r="V46" s="32">
        <v>1.0</v>
      </c>
      <c r="W46" s="32">
        <v>1.0</v>
      </c>
      <c r="X46" s="32">
        <v>1.0</v>
      </c>
      <c r="Y46" s="32">
        <v>1.0</v>
      </c>
      <c r="Z46" s="32">
        <v>1.0</v>
      </c>
      <c r="AA46" s="32">
        <v>6.0</v>
      </c>
      <c r="AB46" s="32">
        <v>0.0</v>
      </c>
      <c r="AC46" s="103" t="str">
        <f>IFERROR(__xludf.DUMMYFUNCTION("if($C46="""","""",if(join("" - "",{iferror(filter('Student Groupings'!$A:$A,'Student Groupings'!$B:$B=$C46,'Student Groupings'!$H:$H=""Can't be Together""),"""");iferror(filter('Student Groupings'!$A:$A,'Student Groupings'!$E:$E=$C46,'Student Groupings'!$"&amp;"H:$H=""Can't be Together""),"""")})="" - "","""",join("" - "",{iferror(filter('Student Groupings'!$A:$A,'Student Groupings'!$B:$B=$C46,'Student Groupings'!$H:$H=""Can't be Together""),"""");iferror(filter('Student Groupings'!$A:$A,'Student Groupings'!$E:$"&amp;"E=$C46,'Student Groupings'!$H:$H=""Can't be Together""),"""")})))"),"")</f>
        <v/>
      </c>
      <c r="AD46" s="103" t="str">
        <f>IFERROR(__xludf.DUMMYFUNCTION("if($C46="""","""",if(join("" - "",{iferror(filter('Student Groupings'!$A:$A,'Student Groupings'!$B:$B=$C46,'Student Groupings'!$H:$H=""Must be Together""),"""");iferror(filter('Student Groupings'!$A:$A,'Student Groupings'!$E:$E=$C46,'Student Groupings'!$H"&amp;":$H=""Must be Together""),"""")})="" - "","""",join("" - "",{iferror(filter('Student Groupings'!$A:$A,'Student Groupings'!$B:$B=$C46,'Student Groupings'!$H:$H=""Must be Together""),"""");iferror(filter('Student Groupings'!$A:$A,'Student Groupings'!$E:$E=$"&amp;"C46,'Student Groupings'!$H:$H=""Must be Together""),"""")})))"),"")</f>
        <v/>
      </c>
      <c r="AE46" s="104"/>
      <c r="AF46" s="104"/>
      <c r="AG46" s="104"/>
      <c r="AH46" s="104"/>
    </row>
    <row r="47">
      <c r="A47" s="101">
        <v>6.0</v>
      </c>
      <c r="B47" s="101">
        <v>31047.0</v>
      </c>
      <c r="C47" s="102" t="s">
        <v>350</v>
      </c>
      <c r="D47" s="52" t="s">
        <v>171</v>
      </c>
      <c r="E47" s="52">
        <v>4.0</v>
      </c>
      <c r="F47" s="52" t="s">
        <v>158</v>
      </c>
      <c r="G47" s="52">
        <v>1.0</v>
      </c>
      <c r="H47" s="52" t="s">
        <v>182</v>
      </c>
      <c r="I47" s="52">
        <v>5.0</v>
      </c>
      <c r="J47" s="52" t="s">
        <v>192</v>
      </c>
      <c r="K47" s="52">
        <v>3.0</v>
      </c>
      <c r="L47" s="52" t="s">
        <v>196</v>
      </c>
      <c r="M47" s="52">
        <v>2.0</v>
      </c>
      <c r="N47" s="52" t="s">
        <v>153</v>
      </c>
      <c r="O47" s="52" t="s">
        <v>109</v>
      </c>
      <c r="P47" s="52" t="s">
        <v>143</v>
      </c>
      <c r="Q47" s="52" t="s">
        <v>120</v>
      </c>
      <c r="R47" s="52" t="s">
        <v>143</v>
      </c>
      <c r="S47" s="52" t="s">
        <v>120</v>
      </c>
      <c r="T47" s="65" t="s">
        <v>143</v>
      </c>
      <c r="U47" s="32">
        <v>1.0</v>
      </c>
      <c r="V47" s="32">
        <v>1.0</v>
      </c>
      <c r="W47" s="32">
        <v>1.0</v>
      </c>
      <c r="X47" s="32">
        <v>1.0</v>
      </c>
      <c r="Y47" s="32">
        <v>1.0</v>
      </c>
      <c r="Z47" s="32">
        <v>1.0</v>
      </c>
      <c r="AA47" s="32">
        <v>6.0</v>
      </c>
      <c r="AB47" s="32">
        <v>0.0</v>
      </c>
      <c r="AC47" s="103" t="str">
        <f>IFERROR(__xludf.DUMMYFUNCTION("if($C47="""","""",if(join("" - "",{iferror(filter('Student Groupings'!$A:$A,'Student Groupings'!$B:$B=$C47,'Student Groupings'!$H:$H=""Can't be Together""),"""");iferror(filter('Student Groupings'!$A:$A,'Student Groupings'!$E:$E=$C47,'Student Groupings'!$"&amp;"H:$H=""Can't be Together""),"""")})="" - "","""",join("" - "",{iferror(filter('Student Groupings'!$A:$A,'Student Groupings'!$B:$B=$C47,'Student Groupings'!$H:$H=""Can't be Together""),"""");iferror(filter('Student Groupings'!$A:$A,'Student Groupings'!$E:$"&amp;"E=$C47,'Student Groupings'!$H:$H=""Can't be Together""),"""")})))"),"")</f>
        <v/>
      </c>
      <c r="AD47" s="103" t="str">
        <f>IFERROR(__xludf.DUMMYFUNCTION("if($C47="""","""",if(join("" - "",{iferror(filter('Student Groupings'!$A:$A,'Student Groupings'!$B:$B=$C47,'Student Groupings'!$H:$H=""Must be Together""),"""");iferror(filter('Student Groupings'!$A:$A,'Student Groupings'!$E:$E=$C47,'Student Groupings'!$H"&amp;":$H=""Must be Together""),"""")})="" - "","""",join("" - "",{iferror(filter('Student Groupings'!$A:$A,'Student Groupings'!$B:$B=$C47,'Student Groupings'!$H:$H=""Must be Together""),"""");iferror(filter('Student Groupings'!$A:$A,'Student Groupings'!$E:$E=$"&amp;"C47,'Student Groupings'!$H:$H=""Must be Together""),"""")})))"),"")</f>
        <v/>
      </c>
      <c r="AE47" s="105"/>
      <c r="AF47" s="105"/>
      <c r="AG47" s="105"/>
      <c r="AH47" s="105"/>
    </row>
    <row r="48">
      <c r="A48" s="101">
        <v>6.0</v>
      </c>
      <c r="B48" s="101">
        <v>31170.0</v>
      </c>
      <c r="C48" s="102" t="s">
        <v>232</v>
      </c>
      <c r="D48" s="52" t="s">
        <v>171</v>
      </c>
      <c r="E48" s="52">
        <v>3.0</v>
      </c>
      <c r="F48" s="52" t="s">
        <v>158</v>
      </c>
      <c r="G48" s="52">
        <v>6.0</v>
      </c>
      <c r="H48" s="52" t="s">
        <v>182</v>
      </c>
      <c r="I48" s="52">
        <v>5.0</v>
      </c>
      <c r="J48" s="52" t="s">
        <v>192</v>
      </c>
      <c r="K48" s="52">
        <v>2.0</v>
      </c>
      <c r="L48" s="52" t="s">
        <v>196</v>
      </c>
      <c r="M48" s="52">
        <v>4.0</v>
      </c>
      <c r="N48" s="52" t="s">
        <v>153</v>
      </c>
      <c r="O48" s="52" t="s">
        <v>108</v>
      </c>
      <c r="P48" s="52" t="s">
        <v>134</v>
      </c>
      <c r="Q48" s="52" t="s">
        <v>129</v>
      </c>
      <c r="R48" s="52" t="s">
        <v>117</v>
      </c>
      <c r="S48" s="52" t="s">
        <v>129</v>
      </c>
      <c r="T48" s="65" t="s">
        <v>27</v>
      </c>
      <c r="U48" s="32">
        <v>1.0</v>
      </c>
      <c r="V48" s="32">
        <v>1.0</v>
      </c>
      <c r="W48" s="32">
        <v>1.0</v>
      </c>
      <c r="X48" s="32">
        <v>1.0</v>
      </c>
      <c r="Y48" s="32">
        <v>1.0</v>
      </c>
      <c r="Z48" s="32">
        <v>1.0</v>
      </c>
      <c r="AA48" s="32">
        <v>6.0</v>
      </c>
      <c r="AB48" s="32">
        <v>0.0</v>
      </c>
      <c r="AC48" s="103" t="str">
        <f>IFERROR(__xludf.DUMMYFUNCTION("if($C48="""","""",if(join("" - "",{iferror(filter('Student Groupings'!$A:$A,'Student Groupings'!$B:$B=$C48,'Student Groupings'!$H:$H=""Can't be Together""),"""");iferror(filter('Student Groupings'!$A:$A,'Student Groupings'!$E:$E=$C48,'Student Groupings'!$"&amp;"H:$H=""Can't be Together""),"""")})="" - "","""",join("" - "",{iferror(filter('Student Groupings'!$A:$A,'Student Groupings'!$B:$B=$C48,'Student Groupings'!$H:$H=""Can't be Together""),"""");iferror(filter('Student Groupings'!$A:$A,'Student Groupings'!$E:$"&amp;"E=$C48,'Student Groupings'!$H:$H=""Can't be Together""),"""")})))"),"")</f>
        <v/>
      </c>
      <c r="AD48" s="103" t="str">
        <f>IFERROR(__xludf.DUMMYFUNCTION("if($C48="""","""",if(join("" - "",{iferror(filter('Student Groupings'!$A:$A,'Student Groupings'!$B:$B=$C48,'Student Groupings'!$H:$H=""Must be Together""),"""");iferror(filter('Student Groupings'!$A:$A,'Student Groupings'!$E:$E=$C48,'Student Groupings'!$H"&amp;":$H=""Must be Together""),"""")})="" - "","""",join("" - "",{iferror(filter('Student Groupings'!$A:$A,'Student Groupings'!$B:$B=$C48,'Student Groupings'!$H:$H=""Must be Together""),"""");iferror(filter('Student Groupings'!$A:$A,'Student Groupings'!$E:$E=$"&amp;"C48,'Student Groupings'!$H:$H=""Must be Together""),"""")})))")," - 19")</f>
        <v> - 19</v>
      </c>
      <c r="AE48" s="105"/>
      <c r="AF48" s="105"/>
      <c r="AG48" s="105"/>
      <c r="AH48" s="105"/>
    </row>
    <row r="49">
      <c r="A49" s="101">
        <v>6.0</v>
      </c>
      <c r="B49" s="101">
        <v>31048.0</v>
      </c>
      <c r="C49" s="102" t="s">
        <v>242</v>
      </c>
      <c r="D49" s="52" t="s">
        <v>171</v>
      </c>
      <c r="E49" s="52">
        <v>4.0</v>
      </c>
      <c r="F49" s="52" t="s">
        <v>158</v>
      </c>
      <c r="G49" s="52">
        <v>6.0</v>
      </c>
      <c r="H49" s="52" t="s">
        <v>182</v>
      </c>
      <c r="I49" s="52">
        <v>1.0</v>
      </c>
      <c r="J49" s="52" t="s">
        <v>192</v>
      </c>
      <c r="K49" s="52">
        <v>3.0</v>
      </c>
      <c r="L49" s="52" t="s">
        <v>196</v>
      </c>
      <c r="M49" s="52">
        <v>2.0</v>
      </c>
      <c r="N49" s="52" t="s">
        <v>153</v>
      </c>
      <c r="O49" s="52" t="s">
        <v>112</v>
      </c>
      <c r="P49" s="52" t="s">
        <v>142</v>
      </c>
      <c r="Q49" s="52" t="s">
        <v>124</v>
      </c>
      <c r="R49" s="52" t="s">
        <v>142</v>
      </c>
      <c r="S49" s="52" t="s">
        <v>124</v>
      </c>
      <c r="T49" s="65" t="s">
        <v>142</v>
      </c>
      <c r="U49" s="32">
        <v>1.0</v>
      </c>
      <c r="V49" s="32">
        <v>1.0</v>
      </c>
      <c r="W49" s="32">
        <v>1.0</v>
      </c>
      <c r="X49" s="32">
        <v>1.0</v>
      </c>
      <c r="Y49" s="32">
        <v>1.0</v>
      </c>
      <c r="Z49" s="32">
        <v>1.0</v>
      </c>
      <c r="AA49" s="32">
        <v>6.0</v>
      </c>
      <c r="AB49" s="32">
        <v>0.0</v>
      </c>
      <c r="AC49" s="103" t="str">
        <f>IFERROR(__xludf.DUMMYFUNCTION("if($C49="""","""",if(join("" - "",{iferror(filter('Student Groupings'!$A:$A,'Student Groupings'!$B:$B=$C49,'Student Groupings'!$H:$H=""Can't be Together""),"""");iferror(filter('Student Groupings'!$A:$A,'Student Groupings'!$E:$E=$C49,'Student Groupings'!$"&amp;"H:$H=""Can't be Together""),"""")})="" - "","""",join("" - "",{iferror(filter('Student Groupings'!$A:$A,'Student Groupings'!$B:$B=$C49,'Student Groupings'!$H:$H=""Can't be Together""),"""");iferror(filter('Student Groupings'!$A:$A,'Student Groupings'!$E:$"&amp;"E=$C49,'Student Groupings'!$H:$H=""Can't be Together""),"""")})))")," - 28")</f>
        <v> - 28</v>
      </c>
      <c r="AD49" s="103" t="str">
        <f>IFERROR(__xludf.DUMMYFUNCTION("if($C49="""","""",if(join("" - "",{iferror(filter('Student Groupings'!$A:$A,'Student Groupings'!$B:$B=$C49,'Student Groupings'!$H:$H=""Must be Together""),"""");iferror(filter('Student Groupings'!$A:$A,'Student Groupings'!$E:$E=$C49,'Student Groupings'!$H"&amp;":$H=""Must be Together""),"""")})="" - "","""",join("" - "",{iferror(filter('Student Groupings'!$A:$A,'Student Groupings'!$B:$B=$C49,'Student Groupings'!$H:$H=""Must be Together""),"""");iferror(filter('Student Groupings'!$A:$A,'Student Groupings'!$E:$E=$"&amp;"C49,'Student Groupings'!$H:$H=""Must be Together""),"""")})))"),"")</f>
        <v/>
      </c>
      <c r="AE49" s="104"/>
      <c r="AF49" s="104"/>
      <c r="AG49" s="104"/>
      <c r="AH49" s="104"/>
    </row>
    <row r="50">
      <c r="A50" s="101">
        <v>6.0</v>
      </c>
      <c r="B50" s="101">
        <v>31049.0</v>
      </c>
      <c r="C50" s="102" t="s">
        <v>245</v>
      </c>
      <c r="D50" s="52" t="s">
        <v>171</v>
      </c>
      <c r="E50" s="52">
        <v>4.0</v>
      </c>
      <c r="F50" s="52" t="s">
        <v>158</v>
      </c>
      <c r="G50" s="52">
        <v>1.0</v>
      </c>
      <c r="H50" s="52" t="s">
        <v>182</v>
      </c>
      <c r="I50" s="52">
        <v>5.0</v>
      </c>
      <c r="J50" s="52" t="s">
        <v>192</v>
      </c>
      <c r="K50" s="52">
        <v>3.0</v>
      </c>
      <c r="L50" s="52" t="s">
        <v>196</v>
      </c>
      <c r="M50" s="52">
        <v>2.0</v>
      </c>
      <c r="N50" s="52" t="s">
        <v>153</v>
      </c>
      <c r="O50" s="52" t="s">
        <v>109</v>
      </c>
      <c r="P50" s="52" t="s">
        <v>143</v>
      </c>
      <c r="Q50" s="52" t="s">
        <v>120</v>
      </c>
      <c r="R50" s="52" t="s">
        <v>143</v>
      </c>
      <c r="S50" s="52" t="s">
        <v>120</v>
      </c>
      <c r="T50" s="65" t="s">
        <v>143</v>
      </c>
      <c r="U50" s="32">
        <v>1.0</v>
      </c>
      <c r="V50" s="32">
        <v>1.0</v>
      </c>
      <c r="W50" s="32">
        <v>1.0</v>
      </c>
      <c r="X50" s="32">
        <v>1.0</v>
      </c>
      <c r="Y50" s="32">
        <v>1.0</v>
      </c>
      <c r="Z50" s="32">
        <v>1.0</v>
      </c>
      <c r="AA50" s="32">
        <v>6.0</v>
      </c>
      <c r="AB50" s="32">
        <v>0.0</v>
      </c>
      <c r="AC50" s="103" t="str">
        <f>IFERROR(__xludf.DUMMYFUNCTION("if($C50="""","""",if(join("" - "",{iferror(filter('Student Groupings'!$A:$A,'Student Groupings'!$B:$B=$C50,'Student Groupings'!$H:$H=""Can't be Together""),"""");iferror(filter('Student Groupings'!$A:$A,'Student Groupings'!$E:$E=$C50,'Student Groupings'!$"&amp;"H:$H=""Can't be Together""),"""")})="" - "","""",join("" - "",{iferror(filter('Student Groupings'!$A:$A,'Student Groupings'!$B:$B=$C50,'Student Groupings'!$H:$H=""Can't be Together""),"""");iferror(filter('Student Groupings'!$A:$A,'Student Groupings'!$E:$"&amp;"E=$C50,'Student Groupings'!$H:$H=""Can't be Together""),"""")})))"),"30 - 31 - ")</f>
        <v>30 - 31 - </v>
      </c>
      <c r="AD50" s="103" t="str">
        <f>IFERROR(__xludf.DUMMYFUNCTION("if($C50="""","""",if(join("" - "",{iferror(filter('Student Groupings'!$A:$A,'Student Groupings'!$B:$B=$C50,'Student Groupings'!$H:$H=""Must be Together""),"""");iferror(filter('Student Groupings'!$A:$A,'Student Groupings'!$E:$E=$C50,'Student Groupings'!$H"&amp;":$H=""Must be Together""),"""")})="" - "","""",join("" - "",{iferror(filter('Student Groupings'!$A:$A,'Student Groupings'!$B:$B=$C50,'Student Groupings'!$H:$H=""Must be Together""),"""");iferror(filter('Student Groupings'!$A:$A,'Student Groupings'!$E:$E=$"&amp;"C50,'Student Groupings'!$H:$H=""Must be Together""),"""")})))"),"")</f>
        <v/>
      </c>
      <c r="AE50" s="104"/>
      <c r="AF50" s="104"/>
      <c r="AG50" s="104"/>
      <c r="AH50" s="104"/>
    </row>
    <row r="51">
      <c r="A51" s="101">
        <v>6.0</v>
      </c>
      <c r="B51" s="101">
        <v>31052.0</v>
      </c>
      <c r="C51" s="102" t="s">
        <v>233</v>
      </c>
      <c r="D51" s="52" t="s">
        <v>171</v>
      </c>
      <c r="E51" s="52">
        <v>2.0</v>
      </c>
      <c r="F51" s="52" t="s">
        <v>158</v>
      </c>
      <c r="G51" s="52">
        <v>1.0</v>
      </c>
      <c r="H51" s="52" t="s">
        <v>182</v>
      </c>
      <c r="I51" s="52">
        <v>6.0</v>
      </c>
      <c r="J51" s="52" t="s">
        <v>192</v>
      </c>
      <c r="K51" s="52">
        <v>4.0</v>
      </c>
      <c r="L51" s="52" t="s">
        <v>196</v>
      </c>
      <c r="M51" s="52">
        <v>3.0</v>
      </c>
      <c r="N51" s="52" t="s">
        <v>153</v>
      </c>
      <c r="O51" s="52" t="s">
        <v>112</v>
      </c>
      <c r="P51" s="52" t="s">
        <v>142</v>
      </c>
      <c r="Q51" s="52" t="s">
        <v>124</v>
      </c>
      <c r="R51" s="52" t="s">
        <v>142</v>
      </c>
      <c r="S51" s="52" t="s">
        <v>124</v>
      </c>
      <c r="T51" s="65" t="s">
        <v>142</v>
      </c>
      <c r="U51" s="32">
        <v>1.0</v>
      </c>
      <c r="V51" s="32">
        <v>1.0</v>
      </c>
      <c r="W51" s="32">
        <v>1.0</v>
      </c>
      <c r="X51" s="32">
        <v>1.0</v>
      </c>
      <c r="Y51" s="32">
        <v>1.0</v>
      </c>
      <c r="Z51" s="32">
        <v>1.0</v>
      </c>
      <c r="AA51" s="32">
        <v>6.0</v>
      </c>
      <c r="AB51" s="32">
        <v>0.0</v>
      </c>
      <c r="AC51" s="103" t="str">
        <f>IFERROR(__xludf.DUMMYFUNCTION("if($C51="""","""",if(join("" - "",{iferror(filter('Student Groupings'!$A:$A,'Student Groupings'!$B:$B=$C51,'Student Groupings'!$H:$H=""Can't be Together""),"""");iferror(filter('Student Groupings'!$A:$A,'Student Groupings'!$E:$E=$C51,'Student Groupings'!$"&amp;"H:$H=""Can't be Together""),"""")})="" - "","""",join("" - "",{iferror(filter('Student Groupings'!$A:$A,'Student Groupings'!$B:$B=$C51,'Student Groupings'!$H:$H=""Can't be Together""),"""");iferror(filter('Student Groupings'!$A:$A,'Student Groupings'!$E:$"&amp;"E=$C51,'Student Groupings'!$H:$H=""Can't be Together""),"""")})))"),"20 - 21 - 22 - 23 - ")</f>
        <v>20 - 21 - 22 - 23 - </v>
      </c>
      <c r="AD51" s="103" t="str">
        <f>IFERROR(__xludf.DUMMYFUNCTION("if($C51="""","""",if(join("" - "",{iferror(filter('Student Groupings'!$A:$A,'Student Groupings'!$B:$B=$C51,'Student Groupings'!$H:$H=""Must be Together""),"""");iferror(filter('Student Groupings'!$A:$A,'Student Groupings'!$E:$E=$C51,'Student Groupings'!$H"&amp;":$H=""Must be Together""),"""")})="" - "","""",join("" - "",{iferror(filter('Student Groupings'!$A:$A,'Student Groupings'!$B:$B=$C51,'Student Groupings'!$H:$H=""Must be Together""),"""");iferror(filter('Student Groupings'!$A:$A,'Student Groupings'!$E:$E=$"&amp;"C51,'Student Groupings'!$H:$H=""Must be Together""),"""")})))"),"")</f>
        <v/>
      </c>
      <c r="AE51" s="104"/>
      <c r="AF51" s="104"/>
      <c r="AG51" s="104"/>
      <c r="AH51" s="104"/>
    </row>
    <row r="52">
      <c r="A52" s="101">
        <v>6.0</v>
      </c>
      <c r="B52" s="101">
        <v>31054.0</v>
      </c>
      <c r="C52" s="102" t="s">
        <v>351</v>
      </c>
      <c r="D52" s="52" t="s">
        <v>171</v>
      </c>
      <c r="E52" s="52">
        <v>6.0</v>
      </c>
      <c r="F52" s="52" t="s">
        <v>158</v>
      </c>
      <c r="G52" s="52">
        <v>3.0</v>
      </c>
      <c r="H52" s="52" t="s">
        <v>182</v>
      </c>
      <c r="I52" s="52">
        <v>2.0</v>
      </c>
      <c r="J52" s="52" t="s">
        <v>192</v>
      </c>
      <c r="K52" s="52">
        <v>5.0</v>
      </c>
      <c r="L52" s="52" t="s">
        <v>196</v>
      </c>
      <c r="M52" s="52">
        <v>1.0</v>
      </c>
      <c r="N52" s="52" t="s">
        <v>153</v>
      </c>
      <c r="O52" s="52" t="s">
        <v>130</v>
      </c>
      <c r="P52" s="52" t="s">
        <v>117</v>
      </c>
      <c r="Q52" s="52" t="s">
        <v>111</v>
      </c>
      <c r="R52" s="52" t="s">
        <v>134</v>
      </c>
      <c r="S52" s="52" t="s">
        <v>111</v>
      </c>
      <c r="T52" s="65" t="s">
        <v>27</v>
      </c>
      <c r="U52" s="32">
        <v>1.0</v>
      </c>
      <c r="V52" s="32">
        <v>1.0</v>
      </c>
      <c r="W52" s="32">
        <v>1.0</v>
      </c>
      <c r="X52" s="32">
        <v>1.0</v>
      </c>
      <c r="Y52" s="32">
        <v>1.0</v>
      </c>
      <c r="Z52" s="32">
        <v>1.0</v>
      </c>
      <c r="AA52" s="32">
        <v>6.0</v>
      </c>
      <c r="AB52" s="32">
        <v>0.0</v>
      </c>
      <c r="AC52" s="103" t="str">
        <f>IFERROR(__xludf.DUMMYFUNCTION("if($C52="""","""",if(join("" - "",{iferror(filter('Student Groupings'!$A:$A,'Student Groupings'!$B:$B=$C52,'Student Groupings'!$H:$H=""Can't be Together""),"""");iferror(filter('Student Groupings'!$A:$A,'Student Groupings'!$E:$E=$C52,'Student Groupings'!$"&amp;"H:$H=""Can't be Together""),"""")})="" - "","""",join("" - "",{iferror(filter('Student Groupings'!$A:$A,'Student Groupings'!$B:$B=$C52,'Student Groupings'!$H:$H=""Can't be Together""),"""");iferror(filter('Student Groupings'!$A:$A,'Student Groupings'!$E:$"&amp;"E=$C52,'Student Groupings'!$H:$H=""Can't be Together""),"""")})))"),"")</f>
        <v/>
      </c>
      <c r="AD52" s="103" t="str">
        <f>IFERROR(__xludf.DUMMYFUNCTION("if($C52="""","""",if(join("" - "",{iferror(filter('Student Groupings'!$A:$A,'Student Groupings'!$B:$B=$C52,'Student Groupings'!$H:$H=""Must be Together""),"""");iferror(filter('Student Groupings'!$A:$A,'Student Groupings'!$E:$E=$C52,'Student Groupings'!$H"&amp;":$H=""Must be Together""),"""")})="" - "","""",join("" - "",{iferror(filter('Student Groupings'!$A:$A,'Student Groupings'!$B:$B=$C52,'Student Groupings'!$H:$H=""Must be Together""),"""");iferror(filter('Student Groupings'!$A:$A,'Student Groupings'!$E:$E=$"&amp;"C52,'Student Groupings'!$H:$H=""Must be Together""),"""")})))"),"")</f>
        <v/>
      </c>
      <c r="AE52" s="104"/>
      <c r="AF52" s="104"/>
      <c r="AG52" s="104"/>
      <c r="AH52" s="104"/>
    </row>
    <row r="53">
      <c r="A53" s="101">
        <v>6.0</v>
      </c>
      <c r="B53" s="101">
        <v>31053.0</v>
      </c>
      <c r="C53" s="102" t="s">
        <v>352</v>
      </c>
      <c r="D53" s="52" t="s">
        <v>171</v>
      </c>
      <c r="E53" s="52">
        <v>5.0</v>
      </c>
      <c r="F53" s="52" t="s">
        <v>158</v>
      </c>
      <c r="G53" s="52">
        <v>4.0</v>
      </c>
      <c r="H53" s="52" t="s">
        <v>182</v>
      </c>
      <c r="I53" s="52">
        <v>3.0</v>
      </c>
      <c r="J53" s="52" t="s">
        <v>192</v>
      </c>
      <c r="K53" s="52">
        <v>1.0</v>
      </c>
      <c r="L53" s="52" t="s">
        <v>196</v>
      </c>
      <c r="M53" s="52">
        <v>6.0</v>
      </c>
      <c r="N53" s="52" t="s">
        <v>153</v>
      </c>
      <c r="O53" s="52" t="s">
        <v>125</v>
      </c>
      <c r="P53" s="52" t="s">
        <v>117</v>
      </c>
      <c r="Q53" s="52" t="s">
        <v>119</v>
      </c>
      <c r="R53" s="52" t="s">
        <v>134</v>
      </c>
      <c r="S53" s="52" t="s">
        <v>119</v>
      </c>
      <c r="T53" s="65" t="s">
        <v>27</v>
      </c>
      <c r="U53" s="32">
        <v>1.0</v>
      </c>
      <c r="V53" s="32">
        <v>1.0</v>
      </c>
      <c r="W53" s="32">
        <v>1.0</v>
      </c>
      <c r="X53" s="32">
        <v>1.0</v>
      </c>
      <c r="Y53" s="32">
        <v>1.0</v>
      </c>
      <c r="Z53" s="32">
        <v>1.0</v>
      </c>
      <c r="AA53" s="32">
        <v>6.0</v>
      </c>
      <c r="AB53" s="32">
        <v>0.0</v>
      </c>
      <c r="AC53" s="103" t="str">
        <f>IFERROR(__xludf.DUMMYFUNCTION("if($C53="""","""",if(join("" - "",{iferror(filter('Student Groupings'!$A:$A,'Student Groupings'!$B:$B=$C53,'Student Groupings'!$H:$H=""Can't be Together""),"""");iferror(filter('Student Groupings'!$A:$A,'Student Groupings'!$E:$E=$C53,'Student Groupings'!$"&amp;"H:$H=""Can't be Together""),"""")})="" - "","""",join("" - "",{iferror(filter('Student Groupings'!$A:$A,'Student Groupings'!$B:$B=$C53,'Student Groupings'!$H:$H=""Can't be Together""),"""");iferror(filter('Student Groupings'!$A:$A,'Student Groupings'!$E:$"&amp;"E=$C53,'Student Groupings'!$H:$H=""Can't be Together""),"""")})))"),"")</f>
        <v/>
      </c>
      <c r="AD53" s="103" t="str">
        <f>IFERROR(__xludf.DUMMYFUNCTION("if($C53="""","""",if(join("" - "",{iferror(filter('Student Groupings'!$A:$A,'Student Groupings'!$B:$B=$C53,'Student Groupings'!$H:$H=""Must be Together""),"""");iferror(filter('Student Groupings'!$A:$A,'Student Groupings'!$E:$E=$C53,'Student Groupings'!$H"&amp;":$H=""Must be Together""),"""")})="" - "","""",join("" - "",{iferror(filter('Student Groupings'!$A:$A,'Student Groupings'!$B:$B=$C53,'Student Groupings'!$H:$H=""Must be Together""),"""");iferror(filter('Student Groupings'!$A:$A,'Student Groupings'!$E:$E=$"&amp;"C53,'Student Groupings'!$H:$H=""Must be Together""),"""")})))"),"")</f>
        <v/>
      </c>
      <c r="AE53" s="104"/>
      <c r="AF53" s="104"/>
      <c r="AG53" s="104"/>
      <c r="AH53" s="104"/>
    </row>
    <row r="54">
      <c r="A54" s="101">
        <v>6.0</v>
      </c>
      <c r="B54" s="101">
        <v>31057.0</v>
      </c>
      <c r="C54" s="102" t="s">
        <v>246</v>
      </c>
      <c r="D54" s="52" t="s">
        <v>171</v>
      </c>
      <c r="E54" s="52">
        <v>2.0</v>
      </c>
      <c r="F54" s="52" t="s">
        <v>158</v>
      </c>
      <c r="G54" s="52">
        <v>5.0</v>
      </c>
      <c r="H54" s="52" t="s">
        <v>182</v>
      </c>
      <c r="I54" s="52">
        <v>6.0</v>
      </c>
      <c r="J54" s="52" t="s">
        <v>192</v>
      </c>
      <c r="K54" s="52">
        <v>4.0</v>
      </c>
      <c r="L54" s="52" t="s">
        <v>196</v>
      </c>
      <c r="M54" s="52">
        <v>3.0</v>
      </c>
      <c r="N54" s="52" t="s">
        <v>153</v>
      </c>
      <c r="O54" s="52" t="s">
        <v>108</v>
      </c>
      <c r="P54" s="52" t="s">
        <v>134</v>
      </c>
      <c r="Q54" s="52" t="s">
        <v>129</v>
      </c>
      <c r="R54" s="52" t="s">
        <v>117</v>
      </c>
      <c r="S54" s="52" t="s">
        <v>129</v>
      </c>
      <c r="T54" s="65" t="s">
        <v>27</v>
      </c>
      <c r="U54" s="32">
        <v>1.0</v>
      </c>
      <c r="V54" s="32">
        <v>1.0</v>
      </c>
      <c r="W54" s="32">
        <v>1.0</v>
      </c>
      <c r="X54" s="32">
        <v>1.0</v>
      </c>
      <c r="Y54" s="32">
        <v>1.0</v>
      </c>
      <c r="Z54" s="32">
        <v>1.0</v>
      </c>
      <c r="AA54" s="32">
        <v>6.0</v>
      </c>
      <c r="AB54" s="32">
        <v>0.0</v>
      </c>
      <c r="AC54" s="103" t="str">
        <f>IFERROR(__xludf.DUMMYFUNCTION("if($C54="""","""",if(join("" - "",{iferror(filter('Student Groupings'!$A:$A,'Student Groupings'!$B:$B=$C54,'Student Groupings'!$H:$H=""Can't be Together""),"""");iferror(filter('Student Groupings'!$A:$A,'Student Groupings'!$E:$E=$C54,'Student Groupings'!$"&amp;"H:$H=""Can't be Together""),"""")})="" - "","""",join("" - "",{iferror(filter('Student Groupings'!$A:$A,'Student Groupings'!$B:$B=$C54,'Student Groupings'!$H:$H=""Can't be Together""),"""");iferror(filter('Student Groupings'!$A:$A,'Student Groupings'!$E:$"&amp;"E=$C54,'Student Groupings'!$H:$H=""Can't be Together""),"""")})))")," - 31 - 32")</f>
        <v> - 31 - 32</v>
      </c>
      <c r="AD54" s="103" t="str">
        <f>IFERROR(__xludf.DUMMYFUNCTION("if($C54="""","""",if(join("" - "",{iferror(filter('Student Groupings'!$A:$A,'Student Groupings'!$B:$B=$C54,'Student Groupings'!$H:$H=""Must be Together""),"""");iferror(filter('Student Groupings'!$A:$A,'Student Groupings'!$E:$E=$C54,'Student Groupings'!$H"&amp;":$H=""Must be Together""),"""")})="" - "","""",join("" - "",{iferror(filter('Student Groupings'!$A:$A,'Student Groupings'!$B:$B=$C54,'Student Groupings'!$H:$H=""Must be Together""),"""");iferror(filter('Student Groupings'!$A:$A,'Student Groupings'!$E:$E=$"&amp;"C54,'Student Groupings'!$H:$H=""Must be Together""),"""")})))"),"")</f>
        <v/>
      </c>
      <c r="AE54" s="104"/>
      <c r="AF54" s="104"/>
      <c r="AG54" s="104"/>
      <c r="AH54" s="104"/>
    </row>
    <row r="55">
      <c r="A55" s="101">
        <v>6.0</v>
      </c>
      <c r="B55" s="101">
        <v>31055.0</v>
      </c>
      <c r="C55" s="102" t="s">
        <v>353</v>
      </c>
      <c r="D55" s="52" t="s">
        <v>171</v>
      </c>
      <c r="E55" s="52">
        <v>6.0</v>
      </c>
      <c r="F55" s="52" t="s">
        <v>158</v>
      </c>
      <c r="G55" s="52">
        <v>4.0</v>
      </c>
      <c r="H55" s="52" t="s">
        <v>182</v>
      </c>
      <c r="I55" s="52">
        <v>3.0</v>
      </c>
      <c r="J55" s="52" t="s">
        <v>192</v>
      </c>
      <c r="K55" s="52">
        <v>5.0</v>
      </c>
      <c r="L55" s="52" t="s">
        <v>196</v>
      </c>
      <c r="M55" s="52">
        <v>1.0</v>
      </c>
      <c r="N55" s="52" t="s">
        <v>153</v>
      </c>
      <c r="O55" s="52" t="s">
        <v>125</v>
      </c>
      <c r="P55" s="52" t="s">
        <v>134</v>
      </c>
      <c r="Q55" s="52" t="s">
        <v>119</v>
      </c>
      <c r="R55" s="52" t="s">
        <v>117</v>
      </c>
      <c r="S55" s="52" t="s">
        <v>119</v>
      </c>
      <c r="T55" s="65" t="s">
        <v>27</v>
      </c>
      <c r="U55" s="32">
        <v>1.0</v>
      </c>
      <c r="V55" s="32">
        <v>1.0</v>
      </c>
      <c r="W55" s="32">
        <v>1.0</v>
      </c>
      <c r="X55" s="32">
        <v>1.0</v>
      </c>
      <c r="Y55" s="32">
        <v>1.0</v>
      </c>
      <c r="Z55" s="32">
        <v>1.0</v>
      </c>
      <c r="AA55" s="32">
        <v>6.0</v>
      </c>
      <c r="AB55" s="32">
        <v>0.0</v>
      </c>
      <c r="AC55" s="103" t="str">
        <f>IFERROR(__xludf.DUMMYFUNCTION("if($C55="""","""",if(join("" - "",{iferror(filter('Student Groupings'!$A:$A,'Student Groupings'!$B:$B=$C55,'Student Groupings'!$H:$H=""Can't be Together""),"""");iferror(filter('Student Groupings'!$A:$A,'Student Groupings'!$E:$E=$C55,'Student Groupings'!$"&amp;"H:$H=""Can't be Together""),"""")})="" - "","""",join("" - "",{iferror(filter('Student Groupings'!$A:$A,'Student Groupings'!$B:$B=$C55,'Student Groupings'!$H:$H=""Can't be Together""),"""");iferror(filter('Student Groupings'!$A:$A,'Student Groupings'!$E:$"&amp;"E=$C55,'Student Groupings'!$H:$H=""Can't be Together""),"""")})))"),"")</f>
        <v/>
      </c>
      <c r="AD55" s="103" t="str">
        <f>IFERROR(__xludf.DUMMYFUNCTION("if($C55="""","""",if(join("" - "",{iferror(filter('Student Groupings'!$A:$A,'Student Groupings'!$B:$B=$C55,'Student Groupings'!$H:$H=""Must be Together""),"""");iferror(filter('Student Groupings'!$A:$A,'Student Groupings'!$E:$E=$C55,'Student Groupings'!$H"&amp;":$H=""Must be Together""),"""")})="" - "","""",join("" - "",{iferror(filter('Student Groupings'!$A:$A,'Student Groupings'!$B:$B=$C55,'Student Groupings'!$H:$H=""Must be Together""),"""");iferror(filter('Student Groupings'!$A:$A,'Student Groupings'!$E:$E=$"&amp;"C55,'Student Groupings'!$H:$H=""Must be Together""),"""")})))"),"")</f>
        <v/>
      </c>
      <c r="AE55" s="104"/>
      <c r="AF55" s="104"/>
      <c r="AG55" s="104"/>
      <c r="AH55" s="104"/>
    </row>
    <row r="56">
      <c r="A56" s="101">
        <v>6.0</v>
      </c>
      <c r="B56" s="101">
        <v>31058.0</v>
      </c>
      <c r="C56" s="102" t="s">
        <v>354</v>
      </c>
      <c r="D56" s="52" t="s">
        <v>173</v>
      </c>
      <c r="E56" s="52">
        <v>3.0</v>
      </c>
      <c r="F56" s="52" t="s">
        <v>159</v>
      </c>
      <c r="G56" s="52">
        <v>5.0</v>
      </c>
      <c r="H56" s="52" t="s">
        <v>182</v>
      </c>
      <c r="I56" s="52">
        <v>1.0</v>
      </c>
      <c r="J56" s="52" t="s">
        <v>194</v>
      </c>
      <c r="K56" s="52">
        <v>2.0</v>
      </c>
      <c r="L56" s="52" t="s">
        <v>198</v>
      </c>
      <c r="M56" s="52">
        <v>4.0</v>
      </c>
      <c r="N56" s="52" t="s">
        <v>153</v>
      </c>
      <c r="O56" s="52" t="s">
        <v>120</v>
      </c>
      <c r="P56" s="52" t="s">
        <v>134</v>
      </c>
      <c r="Q56" s="52" t="s">
        <v>109</v>
      </c>
      <c r="R56" s="52" t="s">
        <v>117</v>
      </c>
      <c r="S56" s="52" t="s">
        <v>109</v>
      </c>
      <c r="T56" s="65" t="s">
        <v>27</v>
      </c>
      <c r="U56" s="32">
        <v>1.0</v>
      </c>
      <c r="V56" s="32">
        <v>1.0</v>
      </c>
      <c r="W56" s="32">
        <v>1.0</v>
      </c>
      <c r="X56" s="32">
        <v>1.0</v>
      </c>
      <c r="Y56" s="32">
        <v>1.0</v>
      </c>
      <c r="Z56" s="32">
        <v>1.0</v>
      </c>
      <c r="AA56" s="32">
        <v>6.0</v>
      </c>
      <c r="AB56" s="32">
        <v>0.0</v>
      </c>
      <c r="AC56" s="103" t="str">
        <f>IFERROR(__xludf.DUMMYFUNCTION("if($C56="""","""",if(join("" - "",{iferror(filter('Student Groupings'!$A:$A,'Student Groupings'!$B:$B=$C56,'Student Groupings'!$H:$H=""Can't be Together""),"""");iferror(filter('Student Groupings'!$A:$A,'Student Groupings'!$E:$E=$C56,'Student Groupings'!$"&amp;"H:$H=""Can't be Together""),"""")})="" - "","""",join("" - "",{iferror(filter('Student Groupings'!$A:$A,'Student Groupings'!$B:$B=$C56,'Student Groupings'!$H:$H=""Can't be Together""),"""");iferror(filter('Student Groupings'!$A:$A,'Student Groupings'!$E:$"&amp;"E=$C56,'Student Groupings'!$H:$H=""Can't be Together""),"""")})))"),"")</f>
        <v/>
      </c>
      <c r="AD56" s="103" t="str">
        <f>IFERROR(__xludf.DUMMYFUNCTION("if($C56="""","""",if(join("" - "",{iferror(filter('Student Groupings'!$A:$A,'Student Groupings'!$B:$B=$C56,'Student Groupings'!$H:$H=""Must be Together""),"""");iferror(filter('Student Groupings'!$A:$A,'Student Groupings'!$E:$E=$C56,'Student Groupings'!$H"&amp;":$H=""Must be Together""),"""")})="" - "","""",join("" - "",{iferror(filter('Student Groupings'!$A:$A,'Student Groupings'!$B:$B=$C56,'Student Groupings'!$H:$H=""Must be Together""),"""");iferror(filter('Student Groupings'!$A:$A,'Student Groupings'!$E:$E=$"&amp;"C56,'Student Groupings'!$H:$H=""Must be Together""),"""")})))"),"")</f>
        <v/>
      </c>
      <c r="AE56" s="104"/>
      <c r="AF56" s="104"/>
      <c r="AG56" s="104"/>
      <c r="AH56" s="104"/>
    </row>
    <row r="57">
      <c r="A57" s="101">
        <v>6.0</v>
      </c>
      <c r="B57" s="101">
        <v>31059.0</v>
      </c>
      <c r="C57" s="102" t="s">
        <v>355</v>
      </c>
      <c r="D57" s="52" t="s">
        <v>173</v>
      </c>
      <c r="E57" s="52">
        <v>3.0</v>
      </c>
      <c r="F57" s="52" t="s">
        <v>158</v>
      </c>
      <c r="G57" s="52">
        <v>6.0</v>
      </c>
      <c r="H57" s="52" t="s">
        <v>181</v>
      </c>
      <c r="I57" s="52">
        <v>1.0</v>
      </c>
      <c r="J57" s="52" t="s">
        <v>194</v>
      </c>
      <c r="K57" s="52">
        <v>2.0</v>
      </c>
      <c r="L57" s="52" t="s">
        <v>198</v>
      </c>
      <c r="M57" s="52">
        <v>4.0</v>
      </c>
      <c r="N57" s="52" t="s">
        <v>153</v>
      </c>
      <c r="O57" s="52" t="s">
        <v>112</v>
      </c>
      <c r="P57" s="52" t="s">
        <v>142</v>
      </c>
      <c r="Q57" s="52" t="s">
        <v>124</v>
      </c>
      <c r="R57" s="52" t="s">
        <v>142</v>
      </c>
      <c r="S57" s="52" t="s">
        <v>124</v>
      </c>
      <c r="T57" s="65" t="s">
        <v>142</v>
      </c>
      <c r="U57" s="32">
        <v>1.0</v>
      </c>
      <c r="V57" s="32">
        <v>1.0</v>
      </c>
      <c r="W57" s="32">
        <v>1.0</v>
      </c>
      <c r="X57" s="32">
        <v>1.0</v>
      </c>
      <c r="Y57" s="32">
        <v>1.0</v>
      </c>
      <c r="Z57" s="32">
        <v>1.0</v>
      </c>
      <c r="AA57" s="32">
        <v>6.0</v>
      </c>
      <c r="AB57" s="32">
        <v>0.0</v>
      </c>
      <c r="AC57" s="103" t="str">
        <f>IFERROR(__xludf.DUMMYFUNCTION("if($C57="""","""",if(join("" - "",{iferror(filter('Student Groupings'!$A:$A,'Student Groupings'!$B:$B=$C57,'Student Groupings'!$H:$H=""Can't be Together""),"""");iferror(filter('Student Groupings'!$A:$A,'Student Groupings'!$E:$E=$C57,'Student Groupings'!$"&amp;"H:$H=""Can't be Together""),"""")})="" - "","""",join("" - "",{iferror(filter('Student Groupings'!$A:$A,'Student Groupings'!$B:$B=$C57,'Student Groupings'!$H:$H=""Can't be Together""),"""");iferror(filter('Student Groupings'!$A:$A,'Student Groupings'!$E:$"&amp;"E=$C57,'Student Groupings'!$H:$H=""Can't be Together""),"""")})))"),"")</f>
        <v/>
      </c>
      <c r="AD57" s="103" t="str">
        <f>IFERROR(__xludf.DUMMYFUNCTION("if($C57="""","""",if(join("" - "",{iferror(filter('Student Groupings'!$A:$A,'Student Groupings'!$B:$B=$C57,'Student Groupings'!$H:$H=""Must be Together""),"""");iferror(filter('Student Groupings'!$A:$A,'Student Groupings'!$E:$E=$C57,'Student Groupings'!$H"&amp;":$H=""Must be Together""),"""")})="" - "","""",join("" - "",{iferror(filter('Student Groupings'!$A:$A,'Student Groupings'!$B:$B=$C57,'Student Groupings'!$H:$H=""Must be Together""),"""");iferror(filter('Student Groupings'!$A:$A,'Student Groupings'!$E:$E=$"&amp;"C57,'Student Groupings'!$H:$H=""Must be Together""),"""")})))"),"")</f>
        <v/>
      </c>
      <c r="AE57" s="104"/>
      <c r="AF57" s="104"/>
      <c r="AG57" s="104"/>
      <c r="AH57" s="104"/>
    </row>
    <row r="58">
      <c r="A58" s="101">
        <v>6.0</v>
      </c>
      <c r="B58" s="101">
        <v>31172.0</v>
      </c>
      <c r="C58" s="102" t="s">
        <v>219</v>
      </c>
      <c r="D58" s="52" t="s">
        <v>171</v>
      </c>
      <c r="E58" s="52">
        <v>2.0</v>
      </c>
      <c r="F58" s="52" t="s">
        <v>158</v>
      </c>
      <c r="G58" s="52">
        <v>5.0</v>
      </c>
      <c r="H58" s="52" t="s">
        <v>182</v>
      </c>
      <c r="I58" s="52">
        <v>6.0</v>
      </c>
      <c r="J58" s="52" t="s">
        <v>192</v>
      </c>
      <c r="K58" s="101">
        <v>4.0</v>
      </c>
      <c r="L58" s="52" t="s">
        <v>196</v>
      </c>
      <c r="M58" s="101">
        <v>3.0</v>
      </c>
      <c r="N58" s="52" t="s">
        <v>153</v>
      </c>
      <c r="O58" s="52" t="s">
        <v>108</v>
      </c>
      <c r="P58" s="52" t="s">
        <v>117</v>
      </c>
      <c r="Q58" s="52" t="s">
        <v>129</v>
      </c>
      <c r="R58" s="52" t="s">
        <v>134</v>
      </c>
      <c r="S58" s="52" t="s">
        <v>129</v>
      </c>
      <c r="T58" s="65" t="s">
        <v>27</v>
      </c>
      <c r="U58" s="32">
        <v>1.0</v>
      </c>
      <c r="V58" s="32">
        <v>1.0</v>
      </c>
      <c r="W58" s="32">
        <v>1.0</v>
      </c>
      <c r="X58" s="32">
        <v>1.0</v>
      </c>
      <c r="Y58" s="32">
        <v>1.0</v>
      </c>
      <c r="Z58" s="32">
        <v>1.0</v>
      </c>
      <c r="AA58" s="32">
        <v>6.0</v>
      </c>
      <c r="AB58" s="32">
        <v>0.0</v>
      </c>
      <c r="AC58" s="103" t="str">
        <f>IFERROR(__xludf.DUMMYFUNCTION("if($C58="""","""",if(join("" - "",{iferror(filter('Student Groupings'!$A:$A,'Student Groupings'!$B:$B=$C58,'Student Groupings'!$H:$H=""Can't be Together""),"""");iferror(filter('Student Groupings'!$A:$A,'Student Groupings'!$E:$E=$C58,'Student Groupings'!$"&amp;"H:$H=""Can't be Together""),"""")})="" - "","""",join("" - "",{iferror(filter('Student Groupings'!$A:$A,'Student Groupings'!$B:$B=$C58,'Student Groupings'!$H:$H=""Can't be Together""),"""");iferror(filter('Student Groupings'!$A:$A,'Student Groupings'!$E:$"&amp;"E=$C58,'Student Groupings'!$H:$H=""Can't be Together""),"""")})))"),"")</f>
        <v/>
      </c>
      <c r="AD58" s="103" t="str">
        <f>IFERROR(__xludf.DUMMYFUNCTION("if($C58="""","""",if(join("" - "",{iferror(filter('Student Groupings'!$A:$A,'Student Groupings'!$B:$B=$C58,'Student Groupings'!$H:$H=""Must be Together""),"""");iferror(filter('Student Groupings'!$A:$A,'Student Groupings'!$E:$E=$C58,'Student Groupings'!$H"&amp;":$H=""Must be Together""),"""")})="" - "","""",join("" - "",{iferror(filter('Student Groupings'!$A:$A,'Student Groupings'!$B:$B=$C58,'Student Groupings'!$H:$H=""Must be Together""),"""");iferror(filter('Student Groupings'!$A:$A,'Student Groupings'!$E:$E=$"&amp;"C58,'Student Groupings'!$H:$H=""Must be Together""),"""")})))")," - 5")</f>
        <v> - 5</v>
      </c>
      <c r="AE58" s="104"/>
      <c r="AF58" s="104"/>
      <c r="AG58" s="104"/>
      <c r="AH58" s="104"/>
    </row>
    <row r="59">
      <c r="A59" s="101">
        <v>6.0</v>
      </c>
      <c r="B59" s="101">
        <v>31061.0</v>
      </c>
      <c r="C59" s="102" t="s">
        <v>356</v>
      </c>
      <c r="D59" s="52" t="s">
        <v>173</v>
      </c>
      <c r="E59" s="52">
        <v>3.0</v>
      </c>
      <c r="F59" s="52" t="s">
        <v>159</v>
      </c>
      <c r="G59" s="52">
        <v>5.0</v>
      </c>
      <c r="H59" s="52" t="s">
        <v>182</v>
      </c>
      <c r="I59" s="52">
        <v>1.0</v>
      </c>
      <c r="J59" s="52" t="s">
        <v>194</v>
      </c>
      <c r="K59" s="52">
        <v>2.0</v>
      </c>
      <c r="L59" s="52" t="s">
        <v>198</v>
      </c>
      <c r="M59" s="52">
        <v>4.0</v>
      </c>
      <c r="N59" s="52" t="s">
        <v>153</v>
      </c>
      <c r="O59" s="52" t="s">
        <v>109</v>
      </c>
      <c r="P59" s="52" t="s">
        <v>143</v>
      </c>
      <c r="Q59" s="52" t="s">
        <v>120</v>
      </c>
      <c r="R59" s="52" t="s">
        <v>143</v>
      </c>
      <c r="S59" s="52" t="s">
        <v>120</v>
      </c>
      <c r="T59" s="65" t="s">
        <v>143</v>
      </c>
      <c r="U59" s="32">
        <v>1.0</v>
      </c>
      <c r="V59" s="32">
        <v>1.0</v>
      </c>
      <c r="W59" s="32">
        <v>1.0</v>
      </c>
      <c r="X59" s="32">
        <v>1.0</v>
      </c>
      <c r="Y59" s="32">
        <v>1.0</v>
      </c>
      <c r="Z59" s="32">
        <v>1.0</v>
      </c>
      <c r="AA59" s="32">
        <v>6.0</v>
      </c>
      <c r="AB59" s="32">
        <v>0.0</v>
      </c>
      <c r="AC59" s="103" t="str">
        <f>IFERROR(__xludf.DUMMYFUNCTION("if($C59="""","""",if(join("" - "",{iferror(filter('Student Groupings'!$A:$A,'Student Groupings'!$B:$B=$C59,'Student Groupings'!$H:$H=""Can't be Together""),"""");iferror(filter('Student Groupings'!$A:$A,'Student Groupings'!$E:$E=$C59,'Student Groupings'!$"&amp;"H:$H=""Can't be Together""),"""")})="" - "","""",join("" - "",{iferror(filter('Student Groupings'!$A:$A,'Student Groupings'!$B:$B=$C59,'Student Groupings'!$H:$H=""Can't be Together""),"""");iferror(filter('Student Groupings'!$A:$A,'Student Groupings'!$E:$"&amp;"E=$C59,'Student Groupings'!$H:$H=""Can't be Together""),"""")})))"),"")</f>
        <v/>
      </c>
      <c r="AD59" s="103" t="str">
        <f>IFERROR(__xludf.DUMMYFUNCTION("if($C59="""","""",if(join("" - "",{iferror(filter('Student Groupings'!$A:$A,'Student Groupings'!$B:$B=$C59,'Student Groupings'!$H:$H=""Must be Together""),"""");iferror(filter('Student Groupings'!$A:$A,'Student Groupings'!$E:$E=$C59,'Student Groupings'!$H"&amp;":$H=""Must be Together""),"""")})="" - "","""",join("" - "",{iferror(filter('Student Groupings'!$A:$A,'Student Groupings'!$B:$B=$C59,'Student Groupings'!$H:$H=""Must be Together""),"""");iferror(filter('Student Groupings'!$A:$A,'Student Groupings'!$E:$E=$"&amp;"C59,'Student Groupings'!$H:$H=""Must be Together""),"""")})))"),"")</f>
        <v/>
      </c>
      <c r="AE59" s="105"/>
      <c r="AF59" s="105"/>
      <c r="AG59" s="105"/>
      <c r="AH59" s="105"/>
    </row>
    <row r="60">
      <c r="A60" s="101">
        <v>6.0</v>
      </c>
      <c r="B60" s="101">
        <v>31060.0</v>
      </c>
      <c r="C60" s="102" t="s">
        <v>357</v>
      </c>
      <c r="D60" s="52" t="s">
        <v>171</v>
      </c>
      <c r="E60" s="52">
        <v>2.0</v>
      </c>
      <c r="F60" s="52" t="s">
        <v>158</v>
      </c>
      <c r="G60" s="52">
        <v>6.0</v>
      </c>
      <c r="H60" s="52" t="s">
        <v>181</v>
      </c>
      <c r="I60" s="52">
        <v>1.0</v>
      </c>
      <c r="J60" s="52" t="s">
        <v>192</v>
      </c>
      <c r="K60" s="52">
        <v>4.0</v>
      </c>
      <c r="L60" s="52" t="s">
        <v>196</v>
      </c>
      <c r="M60" s="52">
        <v>3.0</v>
      </c>
      <c r="N60" s="52" t="s">
        <v>153</v>
      </c>
      <c r="O60" s="52" t="s">
        <v>112</v>
      </c>
      <c r="P60" s="52" t="s">
        <v>142</v>
      </c>
      <c r="Q60" s="52" t="s">
        <v>124</v>
      </c>
      <c r="R60" s="52" t="s">
        <v>142</v>
      </c>
      <c r="S60" s="52" t="s">
        <v>124</v>
      </c>
      <c r="T60" s="65" t="s">
        <v>142</v>
      </c>
      <c r="U60" s="32">
        <v>1.0</v>
      </c>
      <c r="V60" s="32">
        <v>1.0</v>
      </c>
      <c r="W60" s="32">
        <v>1.0</v>
      </c>
      <c r="X60" s="32">
        <v>1.0</v>
      </c>
      <c r="Y60" s="32">
        <v>1.0</v>
      </c>
      <c r="Z60" s="32">
        <v>1.0</v>
      </c>
      <c r="AA60" s="32">
        <v>6.0</v>
      </c>
      <c r="AB60" s="32">
        <v>0.0</v>
      </c>
      <c r="AC60" s="103" t="str">
        <f>IFERROR(__xludf.DUMMYFUNCTION("if($C60="""","""",if(join("" - "",{iferror(filter('Student Groupings'!$A:$A,'Student Groupings'!$B:$B=$C60,'Student Groupings'!$H:$H=""Can't be Together""),"""");iferror(filter('Student Groupings'!$A:$A,'Student Groupings'!$E:$E=$C60,'Student Groupings'!$"&amp;"H:$H=""Can't be Together""),"""")})="" - "","""",join("" - "",{iferror(filter('Student Groupings'!$A:$A,'Student Groupings'!$B:$B=$C60,'Student Groupings'!$H:$H=""Can't be Together""),"""");iferror(filter('Student Groupings'!$A:$A,'Student Groupings'!$E:$"&amp;"E=$C60,'Student Groupings'!$H:$H=""Can't be Together""),"""")})))"),"")</f>
        <v/>
      </c>
      <c r="AD60" s="103" t="str">
        <f>IFERROR(__xludf.DUMMYFUNCTION("if($C60="""","""",if(join("" - "",{iferror(filter('Student Groupings'!$A:$A,'Student Groupings'!$B:$B=$C60,'Student Groupings'!$H:$H=""Must be Together""),"""");iferror(filter('Student Groupings'!$A:$A,'Student Groupings'!$E:$E=$C60,'Student Groupings'!$H"&amp;":$H=""Must be Together""),"""")})="" - "","""",join("" - "",{iferror(filter('Student Groupings'!$A:$A,'Student Groupings'!$B:$B=$C60,'Student Groupings'!$H:$H=""Must be Together""),"""");iferror(filter('Student Groupings'!$A:$A,'Student Groupings'!$E:$E=$"&amp;"C60,'Student Groupings'!$H:$H=""Must be Together""),"""")})))"),"")</f>
        <v/>
      </c>
      <c r="AE60" s="104"/>
      <c r="AF60" s="104"/>
      <c r="AG60" s="104"/>
      <c r="AH60" s="104"/>
    </row>
    <row r="61">
      <c r="A61" s="101">
        <v>6.0</v>
      </c>
      <c r="B61" s="101">
        <v>31062.0</v>
      </c>
      <c r="C61" s="102" t="s">
        <v>248</v>
      </c>
      <c r="D61" s="52" t="s">
        <v>171</v>
      </c>
      <c r="E61" s="52">
        <v>3.0</v>
      </c>
      <c r="F61" s="52" t="s">
        <v>158</v>
      </c>
      <c r="G61" s="52">
        <v>1.0</v>
      </c>
      <c r="H61" s="52" t="s">
        <v>182</v>
      </c>
      <c r="I61" s="52">
        <v>5.0</v>
      </c>
      <c r="J61" s="52" t="s">
        <v>192</v>
      </c>
      <c r="K61" s="52">
        <v>2.0</v>
      </c>
      <c r="L61" s="52" t="s">
        <v>196</v>
      </c>
      <c r="M61" s="52">
        <v>4.0</v>
      </c>
      <c r="N61" s="52" t="s">
        <v>153</v>
      </c>
      <c r="O61" s="52" t="s">
        <v>120</v>
      </c>
      <c r="P61" s="52" t="s">
        <v>134</v>
      </c>
      <c r="Q61" s="52" t="s">
        <v>109</v>
      </c>
      <c r="R61" s="52" t="s">
        <v>117</v>
      </c>
      <c r="S61" s="52" t="s">
        <v>109</v>
      </c>
      <c r="T61" s="65" t="s">
        <v>27</v>
      </c>
      <c r="U61" s="32">
        <v>1.0</v>
      </c>
      <c r="V61" s="32">
        <v>1.0</v>
      </c>
      <c r="W61" s="32">
        <v>1.0</v>
      </c>
      <c r="X61" s="32">
        <v>1.0</v>
      </c>
      <c r="Y61" s="32">
        <v>1.0</v>
      </c>
      <c r="Z61" s="32">
        <v>1.0</v>
      </c>
      <c r="AA61" s="32">
        <v>6.0</v>
      </c>
      <c r="AB61" s="32">
        <v>0.0</v>
      </c>
      <c r="AC61" s="103" t="str">
        <f>IFERROR(__xludf.DUMMYFUNCTION("if($C61="""","""",if(join("" - "",{iferror(filter('Student Groupings'!$A:$A,'Student Groupings'!$B:$B=$C61,'Student Groupings'!$H:$H=""Can't be Together""),"""");iferror(filter('Student Groupings'!$A:$A,'Student Groupings'!$E:$E=$C61,'Student Groupings'!$"&amp;"H:$H=""Can't be Together""),"""")})="" - "","""",join("" - "",{iferror(filter('Student Groupings'!$A:$A,'Student Groupings'!$B:$B=$C61,'Student Groupings'!$H:$H=""Can't be Together""),"""");iferror(filter('Student Groupings'!$A:$A,'Student Groupings'!$E:$"&amp;"E=$C61,'Student Groupings'!$H:$H=""Can't be Together""),"""")})))"),"33 - ")</f>
        <v>33 - </v>
      </c>
      <c r="AD61" s="103" t="str">
        <f>IFERROR(__xludf.DUMMYFUNCTION("if($C61="""","""",if(join("" - "",{iferror(filter('Student Groupings'!$A:$A,'Student Groupings'!$B:$B=$C61,'Student Groupings'!$H:$H=""Must be Together""),"""");iferror(filter('Student Groupings'!$A:$A,'Student Groupings'!$E:$E=$C61,'Student Groupings'!$H"&amp;":$H=""Must be Together""),"""")})="" - "","""",join("" - "",{iferror(filter('Student Groupings'!$A:$A,'Student Groupings'!$B:$B=$C61,'Student Groupings'!$H:$H=""Must be Together""),"""");iferror(filter('Student Groupings'!$A:$A,'Student Groupings'!$E:$E=$"&amp;"C61,'Student Groupings'!$H:$H=""Must be Together""),"""")})))"),"34 - ")</f>
        <v>34 - </v>
      </c>
      <c r="AE61" s="104"/>
      <c r="AF61" s="104"/>
      <c r="AG61" s="104"/>
      <c r="AH61" s="104"/>
    </row>
    <row r="62">
      <c r="A62" s="101">
        <v>6.0</v>
      </c>
      <c r="B62" s="101">
        <v>31063.0</v>
      </c>
      <c r="C62" s="102" t="s">
        <v>358</v>
      </c>
      <c r="D62" s="52" t="s">
        <v>171</v>
      </c>
      <c r="E62" s="52">
        <v>5.0</v>
      </c>
      <c r="F62" s="52" t="s">
        <v>158</v>
      </c>
      <c r="G62" s="52">
        <v>3.0</v>
      </c>
      <c r="H62" s="52" t="s">
        <v>182</v>
      </c>
      <c r="I62" s="52">
        <v>2.0</v>
      </c>
      <c r="J62" s="52" t="s">
        <v>192</v>
      </c>
      <c r="K62" s="52">
        <v>1.0</v>
      </c>
      <c r="L62" s="52" t="s">
        <v>196</v>
      </c>
      <c r="M62" s="101">
        <v>6.0</v>
      </c>
      <c r="N62" s="52" t="s">
        <v>153</v>
      </c>
      <c r="O62" s="52" t="s">
        <v>130</v>
      </c>
      <c r="P62" s="52" t="s">
        <v>134</v>
      </c>
      <c r="Q62" s="52" t="s">
        <v>111</v>
      </c>
      <c r="R62" s="52" t="s">
        <v>117</v>
      </c>
      <c r="S62" s="52" t="s">
        <v>111</v>
      </c>
      <c r="T62" s="65" t="s">
        <v>27</v>
      </c>
      <c r="U62" s="32">
        <v>1.0</v>
      </c>
      <c r="V62" s="32">
        <v>1.0</v>
      </c>
      <c r="W62" s="32">
        <v>1.0</v>
      </c>
      <c r="X62" s="32">
        <v>1.0</v>
      </c>
      <c r="Y62" s="32">
        <v>1.0</v>
      </c>
      <c r="Z62" s="32">
        <v>1.0</v>
      </c>
      <c r="AA62" s="32">
        <v>6.0</v>
      </c>
      <c r="AB62" s="32">
        <v>0.0</v>
      </c>
      <c r="AC62" s="103" t="str">
        <f>IFERROR(__xludf.DUMMYFUNCTION("if($C62="""","""",if(join("" - "",{iferror(filter('Student Groupings'!$A:$A,'Student Groupings'!$B:$B=$C62,'Student Groupings'!$H:$H=""Can't be Together""),"""");iferror(filter('Student Groupings'!$A:$A,'Student Groupings'!$E:$E=$C62,'Student Groupings'!$"&amp;"H:$H=""Can't be Together""),"""")})="" - "","""",join("" - "",{iferror(filter('Student Groupings'!$A:$A,'Student Groupings'!$B:$B=$C62,'Student Groupings'!$H:$H=""Can't be Together""),"""");iferror(filter('Student Groupings'!$A:$A,'Student Groupings'!$E:$"&amp;"E=$C62,'Student Groupings'!$H:$H=""Can't be Together""),"""")})))"),"")</f>
        <v/>
      </c>
      <c r="AD62" s="103" t="str">
        <f>IFERROR(__xludf.DUMMYFUNCTION("if($C62="""","""",if(join("" - "",{iferror(filter('Student Groupings'!$A:$A,'Student Groupings'!$B:$B=$C62,'Student Groupings'!$H:$H=""Must be Together""),"""");iferror(filter('Student Groupings'!$A:$A,'Student Groupings'!$E:$E=$C62,'Student Groupings'!$H"&amp;":$H=""Must be Together""),"""")})="" - "","""",join("" - "",{iferror(filter('Student Groupings'!$A:$A,'Student Groupings'!$B:$B=$C62,'Student Groupings'!$H:$H=""Must be Together""),"""");iferror(filter('Student Groupings'!$A:$A,'Student Groupings'!$E:$E=$"&amp;"C62,'Student Groupings'!$H:$H=""Must be Together""),"""")})))"),"")</f>
        <v/>
      </c>
      <c r="AE62" s="104"/>
      <c r="AF62" s="104"/>
      <c r="AG62" s="104"/>
      <c r="AH62" s="104"/>
    </row>
    <row r="63">
      <c r="A63" s="101">
        <v>6.0</v>
      </c>
      <c r="B63" s="101">
        <v>32076.0</v>
      </c>
      <c r="C63" s="102" t="s">
        <v>359</v>
      </c>
      <c r="D63" s="52" t="s">
        <v>171</v>
      </c>
      <c r="E63" s="52">
        <v>6.0</v>
      </c>
      <c r="F63" s="52" t="s">
        <v>158</v>
      </c>
      <c r="G63" s="52">
        <v>4.0</v>
      </c>
      <c r="H63" s="52" t="s">
        <v>182</v>
      </c>
      <c r="I63" s="52">
        <v>3.0</v>
      </c>
      <c r="J63" s="52" t="s">
        <v>192</v>
      </c>
      <c r="K63" s="52">
        <v>5.0</v>
      </c>
      <c r="L63" s="52" t="s">
        <v>196</v>
      </c>
      <c r="M63" s="52">
        <v>1.0</v>
      </c>
      <c r="N63" s="52" t="s">
        <v>153</v>
      </c>
      <c r="O63" s="52" t="s">
        <v>125</v>
      </c>
      <c r="P63" s="52" t="s">
        <v>117</v>
      </c>
      <c r="Q63" s="52" t="s">
        <v>119</v>
      </c>
      <c r="R63" s="52" t="s">
        <v>134</v>
      </c>
      <c r="S63" s="52" t="s">
        <v>119</v>
      </c>
      <c r="T63" s="65" t="s">
        <v>27</v>
      </c>
      <c r="U63" s="32">
        <v>1.0</v>
      </c>
      <c r="V63" s="32">
        <v>1.0</v>
      </c>
      <c r="W63" s="32">
        <v>1.0</v>
      </c>
      <c r="X63" s="32">
        <v>1.0</v>
      </c>
      <c r="Y63" s="32">
        <v>1.0</v>
      </c>
      <c r="Z63" s="32">
        <v>1.0</v>
      </c>
      <c r="AA63" s="32">
        <v>6.0</v>
      </c>
      <c r="AB63" s="32">
        <v>0.0</v>
      </c>
      <c r="AC63" s="103" t="str">
        <f>IFERROR(__xludf.DUMMYFUNCTION("if($C63="""","""",if(join("" - "",{iferror(filter('Student Groupings'!$A:$A,'Student Groupings'!$B:$B=$C63,'Student Groupings'!$H:$H=""Can't be Together""),"""");iferror(filter('Student Groupings'!$A:$A,'Student Groupings'!$E:$E=$C63,'Student Groupings'!$"&amp;"H:$H=""Can't be Together""),"""")})="" - "","""",join("" - "",{iferror(filter('Student Groupings'!$A:$A,'Student Groupings'!$B:$B=$C63,'Student Groupings'!$H:$H=""Can't be Together""),"""");iferror(filter('Student Groupings'!$A:$A,'Student Groupings'!$E:$"&amp;"E=$C63,'Student Groupings'!$H:$H=""Can't be Together""),"""")})))"),"")</f>
        <v/>
      </c>
      <c r="AD63" s="103" t="str">
        <f>IFERROR(__xludf.DUMMYFUNCTION("if($C63="""","""",if(join("" - "",{iferror(filter('Student Groupings'!$A:$A,'Student Groupings'!$B:$B=$C63,'Student Groupings'!$H:$H=""Must be Together""),"""");iferror(filter('Student Groupings'!$A:$A,'Student Groupings'!$E:$E=$C63,'Student Groupings'!$H"&amp;":$H=""Must be Together""),"""")})="" - "","""",join("" - "",{iferror(filter('Student Groupings'!$A:$A,'Student Groupings'!$B:$B=$C63,'Student Groupings'!$H:$H=""Must be Together""),"""");iferror(filter('Student Groupings'!$A:$A,'Student Groupings'!$E:$E=$"&amp;"C63,'Student Groupings'!$H:$H=""Must be Together""),"""")})))"),"")</f>
        <v/>
      </c>
      <c r="AE63" s="104"/>
      <c r="AF63" s="104"/>
      <c r="AG63" s="104"/>
      <c r="AH63" s="104"/>
    </row>
    <row r="64">
      <c r="A64" s="101">
        <v>6.0</v>
      </c>
      <c r="B64" s="101">
        <v>31064.0</v>
      </c>
      <c r="C64" s="102" t="s">
        <v>251</v>
      </c>
      <c r="D64" s="52" t="s">
        <v>171</v>
      </c>
      <c r="E64" s="52">
        <v>5.0</v>
      </c>
      <c r="F64" s="52" t="s">
        <v>158</v>
      </c>
      <c r="G64" s="52">
        <v>3.0</v>
      </c>
      <c r="H64" s="52" t="s">
        <v>182</v>
      </c>
      <c r="I64" s="52">
        <v>2.0</v>
      </c>
      <c r="J64" s="52" t="s">
        <v>192</v>
      </c>
      <c r="K64" s="52">
        <v>1.0</v>
      </c>
      <c r="L64" s="52" t="s">
        <v>196</v>
      </c>
      <c r="M64" s="52">
        <v>6.0</v>
      </c>
      <c r="N64" s="52" t="s">
        <v>153</v>
      </c>
      <c r="O64" s="52" t="s">
        <v>130</v>
      </c>
      <c r="P64" s="52" t="s">
        <v>117</v>
      </c>
      <c r="Q64" s="52" t="s">
        <v>111</v>
      </c>
      <c r="R64" s="52" t="s">
        <v>134</v>
      </c>
      <c r="S64" s="52" t="s">
        <v>111</v>
      </c>
      <c r="T64" s="65" t="s">
        <v>27</v>
      </c>
      <c r="U64" s="32">
        <v>1.0</v>
      </c>
      <c r="V64" s="32">
        <v>1.0</v>
      </c>
      <c r="W64" s="32">
        <v>1.0</v>
      </c>
      <c r="X64" s="32">
        <v>1.0</v>
      </c>
      <c r="Y64" s="32">
        <v>1.0</v>
      </c>
      <c r="Z64" s="32">
        <v>1.0</v>
      </c>
      <c r="AA64" s="32">
        <v>6.0</v>
      </c>
      <c r="AB64" s="32">
        <v>0.0</v>
      </c>
      <c r="AC64" s="103" t="str">
        <f>IFERROR(__xludf.DUMMYFUNCTION("if($C64="""","""",if(join("" - "",{iferror(filter('Student Groupings'!$A:$A,'Student Groupings'!$B:$B=$C64,'Student Groupings'!$H:$H=""Can't be Together""),"""");iferror(filter('Student Groupings'!$A:$A,'Student Groupings'!$E:$E=$C64,'Student Groupings'!$"&amp;"H:$H=""Can't be Together""),"""")})="" - "","""",join("" - "",{iferror(filter('Student Groupings'!$A:$A,'Student Groupings'!$B:$B=$C64,'Student Groupings'!$H:$H=""Can't be Together""),"""");iferror(filter('Student Groupings'!$A:$A,'Student Groupings'!$E:$"&amp;"E=$C64,'Student Groupings'!$H:$H=""Can't be Together""),"""")})))")," - 35")</f>
        <v> - 35</v>
      </c>
      <c r="AD64" s="103" t="str">
        <f>IFERROR(__xludf.DUMMYFUNCTION("if($C64="""","""",if(join("" - "",{iferror(filter('Student Groupings'!$A:$A,'Student Groupings'!$B:$B=$C64,'Student Groupings'!$H:$H=""Must be Together""),"""");iferror(filter('Student Groupings'!$A:$A,'Student Groupings'!$E:$E=$C64,'Student Groupings'!$H"&amp;":$H=""Must be Together""),"""")})="" - "","""",join("" - "",{iferror(filter('Student Groupings'!$A:$A,'Student Groupings'!$B:$B=$C64,'Student Groupings'!$H:$H=""Must be Together""),"""");iferror(filter('Student Groupings'!$A:$A,'Student Groupings'!$E:$E=$"&amp;"C64,'Student Groupings'!$H:$H=""Must be Together""),"""")})))"),"")</f>
        <v/>
      </c>
      <c r="AE64" s="104"/>
      <c r="AF64" s="104"/>
      <c r="AG64" s="104"/>
      <c r="AH64" s="104"/>
    </row>
    <row r="65">
      <c r="A65" s="101">
        <v>6.0</v>
      </c>
      <c r="B65" s="101">
        <v>31065.0</v>
      </c>
      <c r="C65" s="102" t="s">
        <v>360</v>
      </c>
      <c r="D65" s="52" t="s">
        <v>171</v>
      </c>
      <c r="E65" s="52">
        <v>6.0</v>
      </c>
      <c r="F65" s="52" t="s">
        <v>158</v>
      </c>
      <c r="G65" s="52">
        <v>4.0</v>
      </c>
      <c r="H65" s="52" t="s">
        <v>182</v>
      </c>
      <c r="I65" s="52">
        <v>3.0</v>
      </c>
      <c r="J65" s="52" t="s">
        <v>192</v>
      </c>
      <c r="K65" s="52">
        <v>5.0</v>
      </c>
      <c r="L65" s="52" t="s">
        <v>196</v>
      </c>
      <c r="M65" s="52">
        <v>1.0</v>
      </c>
      <c r="N65" s="52" t="s">
        <v>153</v>
      </c>
      <c r="O65" s="52" t="s">
        <v>125</v>
      </c>
      <c r="P65" s="52" t="s">
        <v>134</v>
      </c>
      <c r="Q65" s="52" t="s">
        <v>119</v>
      </c>
      <c r="R65" s="52" t="s">
        <v>117</v>
      </c>
      <c r="S65" s="52" t="s">
        <v>119</v>
      </c>
      <c r="T65" s="65" t="s">
        <v>27</v>
      </c>
      <c r="U65" s="32">
        <v>1.0</v>
      </c>
      <c r="V65" s="32">
        <v>1.0</v>
      </c>
      <c r="W65" s="32">
        <v>1.0</v>
      </c>
      <c r="X65" s="32">
        <v>1.0</v>
      </c>
      <c r="Y65" s="32">
        <v>1.0</v>
      </c>
      <c r="Z65" s="32">
        <v>1.0</v>
      </c>
      <c r="AA65" s="32">
        <v>6.0</v>
      </c>
      <c r="AB65" s="32">
        <v>0.0</v>
      </c>
      <c r="AC65" s="103" t="str">
        <f>IFERROR(__xludf.DUMMYFUNCTION("if($C65="""","""",if(join("" - "",{iferror(filter('Student Groupings'!$A:$A,'Student Groupings'!$B:$B=$C65,'Student Groupings'!$H:$H=""Can't be Together""),"""");iferror(filter('Student Groupings'!$A:$A,'Student Groupings'!$E:$E=$C65,'Student Groupings'!$"&amp;"H:$H=""Can't be Together""),"""")})="" - "","""",join("" - "",{iferror(filter('Student Groupings'!$A:$A,'Student Groupings'!$B:$B=$C65,'Student Groupings'!$H:$H=""Can't be Together""),"""");iferror(filter('Student Groupings'!$A:$A,'Student Groupings'!$E:$"&amp;"E=$C65,'Student Groupings'!$H:$H=""Can't be Together""),"""")})))"),"")</f>
        <v/>
      </c>
      <c r="AD65" s="103" t="str">
        <f>IFERROR(__xludf.DUMMYFUNCTION("if($C65="""","""",if(join("" - "",{iferror(filter('Student Groupings'!$A:$A,'Student Groupings'!$B:$B=$C65,'Student Groupings'!$H:$H=""Must be Together""),"""");iferror(filter('Student Groupings'!$A:$A,'Student Groupings'!$E:$E=$C65,'Student Groupings'!$H"&amp;":$H=""Must be Together""),"""")})="" - "","""",join("" - "",{iferror(filter('Student Groupings'!$A:$A,'Student Groupings'!$B:$B=$C65,'Student Groupings'!$H:$H=""Must be Together""),"""");iferror(filter('Student Groupings'!$A:$A,'Student Groupings'!$E:$E=$"&amp;"C65,'Student Groupings'!$H:$H=""Must be Together""),"""")})))"),"")</f>
        <v/>
      </c>
      <c r="AE65" s="104"/>
      <c r="AF65" s="104"/>
      <c r="AG65" s="104"/>
      <c r="AH65" s="104"/>
    </row>
    <row r="66">
      <c r="A66" s="101">
        <v>6.0</v>
      </c>
      <c r="B66" s="101">
        <v>31066.0</v>
      </c>
      <c r="C66" s="102" t="s">
        <v>227</v>
      </c>
      <c r="D66" s="52" t="s">
        <v>171</v>
      </c>
      <c r="E66" s="52">
        <v>4.0</v>
      </c>
      <c r="F66" s="52" t="s">
        <v>158</v>
      </c>
      <c r="G66" s="52">
        <v>5.0</v>
      </c>
      <c r="H66" s="52" t="s">
        <v>182</v>
      </c>
      <c r="I66" s="52">
        <v>6.0</v>
      </c>
      <c r="J66" s="52" t="s">
        <v>192</v>
      </c>
      <c r="K66" s="52">
        <v>3.0</v>
      </c>
      <c r="L66" s="52" t="s">
        <v>196</v>
      </c>
      <c r="M66" s="52">
        <v>2.0</v>
      </c>
      <c r="N66" s="52" t="s">
        <v>153</v>
      </c>
      <c r="O66" s="52" t="s">
        <v>108</v>
      </c>
      <c r="P66" s="52" t="s">
        <v>134</v>
      </c>
      <c r="Q66" s="52" t="s">
        <v>129</v>
      </c>
      <c r="R66" s="52" t="s">
        <v>117</v>
      </c>
      <c r="S66" s="52" t="s">
        <v>129</v>
      </c>
      <c r="T66" s="65" t="s">
        <v>27</v>
      </c>
      <c r="U66" s="32">
        <v>1.0</v>
      </c>
      <c r="V66" s="32">
        <v>1.0</v>
      </c>
      <c r="W66" s="32">
        <v>1.0</v>
      </c>
      <c r="X66" s="32">
        <v>1.0</v>
      </c>
      <c r="Y66" s="32">
        <v>1.0</v>
      </c>
      <c r="Z66" s="32">
        <v>1.0</v>
      </c>
      <c r="AA66" s="32">
        <v>6.0</v>
      </c>
      <c r="AB66" s="32">
        <v>0.0</v>
      </c>
      <c r="AC66" s="103" t="str">
        <f>IFERROR(__xludf.DUMMYFUNCTION("if($C66="""","""",if(join("" - "",{iferror(filter('Student Groupings'!$A:$A,'Student Groupings'!$B:$B=$C66,'Student Groupings'!$H:$H=""Can't be Together""),"""");iferror(filter('Student Groupings'!$A:$A,'Student Groupings'!$E:$E=$C66,'Student Groupings'!$"&amp;"H:$H=""Can't be Together""),"""")})="" - "","""",join("" - "",{iferror(filter('Student Groupings'!$A:$A,'Student Groupings'!$B:$B=$C66,'Student Groupings'!$H:$H=""Can't be Together""),"""");iferror(filter('Student Groupings'!$A:$A,'Student Groupings'!$E:$"&amp;"E=$C66,'Student Groupings'!$H:$H=""Can't be Together""),"""")})))"),"15 - 16 - 17 - ")</f>
        <v>15 - 16 - 17 - </v>
      </c>
      <c r="AD66" s="103" t="str">
        <f>IFERROR(__xludf.DUMMYFUNCTION("if($C66="""","""",if(join("" - "",{iferror(filter('Student Groupings'!$A:$A,'Student Groupings'!$B:$B=$C66,'Student Groupings'!$H:$H=""Must be Together""),"""");iferror(filter('Student Groupings'!$A:$A,'Student Groupings'!$E:$E=$C66,'Student Groupings'!$H"&amp;":$H=""Must be Together""),"""")})="" - "","""",join("" - "",{iferror(filter('Student Groupings'!$A:$A,'Student Groupings'!$B:$B=$C66,'Student Groupings'!$H:$H=""Must be Together""),"""");iferror(filter('Student Groupings'!$A:$A,'Student Groupings'!$E:$E=$"&amp;"C66,'Student Groupings'!$H:$H=""Must be Together""),"""")})))"),"")</f>
        <v/>
      </c>
      <c r="AE66" s="104"/>
      <c r="AF66" s="104"/>
      <c r="AG66" s="104"/>
      <c r="AH66" s="104"/>
    </row>
    <row r="67">
      <c r="A67" s="101">
        <v>6.0</v>
      </c>
      <c r="B67" s="101">
        <v>31067.0</v>
      </c>
      <c r="C67" s="102" t="s">
        <v>230</v>
      </c>
      <c r="D67" s="52" t="s">
        <v>171</v>
      </c>
      <c r="E67" s="52">
        <v>5.0</v>
      </c>
      <c r="F67" s="52" t="s">
        <v>158</v>
      </c>
      <c r="G67" s="52">
        <v>3.0</v>
      </c>
      <c r="H67" s="52" t="s">
        <v>182</v>
      </c>
      <c r="I67" s="52">
        <v>2.0</v>
      </c>
      <c r="J67" s="52" t="s">
        <v>192</v>
      </c>
      <c r="K67" s="52">
        <v>1.0</v>
      </c>
      <c r="L67" s="52" t="s">
        <v>196</v>
      </c>
      <c r="M67" s="52">
        <v>6.0</v>
      </c>
      <c r="N67" s="52" t="s">
        <v>153</v>
      </c>
      <c r="O67" s="52" t="s">
        <v>130</v>
      </c>
      <c r="P67" s="52" t="s">
        <v>117</v>
      </c>
      <c r="Q67" s="52" t="s">
        <v>111</v>
      </c>
      <c r="R67" s="52" t="s">
        <v>134</v>
      </c>
      <c r="S67" s="52" t="s">
        <v>111</v>
      </c>
      <c r="T67" s="65" t="s">
        <v>27</v>
      </c>
      <c r="U67" s="32">
        <v>1.0</v>
      </c>
      <c r="V67" s="32">
        <v>1.0</v>
      </c>
      <c r="W67" s="32">
        <v>1.0</v>
      </c>
      <c r="X67" s="32">
        <v>1.0</v>
      </c>
      <c r="Y67" s="32">
        <v>1.0</v>
      </c>
      <c r="Z67" s="32">
        <v>1.0</v>
      </c>
      <c r="AA67" s="32">
        <v>6.0</v>
      </c>
      <c r="AB67" s="32">
        <v>0.0</v>
      </c>
      <c r="AC67" s="103" t="str">
        <f>IFERROR(__xludf.DUMMYFUNCTION("if($C67="""","""",if(join("" - "",{iferror(filter('Student Groupings'!$A:$A,'Student Groupings'!$B:$B=$C67,'Student Groupings'!$H:$H=""Can't be Together""),"""");iferror(filter('Student Groupings'!$A:$A,'Student Groupings'!$E:$E=$C67,'Student Groupings'!$"&amp;"H:$H=""Can't be Together""),"""")})="" - "","""",join("" - "",{iferror(filter('Student Groupings'!$A:$A,'Student Groupings'!$B:$B=$C67,'Student Groupings'!$H:$H=""Can't be Together""),"""");iferror(filter('Student Groupings'!$A:$A,'Student Groupings'!$E:$"&amp;"E=$C67,'Student Groupings'!$H:$H=""Can't be Together""),"""")})))")," - 17 - 18")</f>
        <v> - 17 - 18</v>
      </c>
      <c r="AD67" s="103" t="str">
        <f>IFERROR(__xludf.DUMMYFUNCTION("if($C67="""","""",if(join("" - "",{iferror(filter('Student Groupings'!$A:$A,'Student Groupings'!$B:$B=$C67,'Student Groupings'!$H:$H=""Must be Together""),"""");iferror(filter('Student Groupings'!$A:$A,'Student Groupings'!$E:$E=$C67,'Student Groupings'!$H"&amp;":$H=""Must be Together""),"""")})="" - "","""",join("" - "",{iferror(filter('Student Groupings'!$A:$A,'Student Groupings'!$B:$B=$C67,'Student Groupings'!$H:$H=""Must be Together""),"""");iferror(filter('Student Groupings'!$A:$A,'Student Groupings'!$E:$E=$"&amp;"C67,'Student Groupings'!$H:$H=""Must be Together""),"""")})))"),"")</f>
        <v/>
      </c>
      <c r="AE67" s="104"/>
      <c r="AF67" s="104"/>
      <c r="AG67" s="105"/>
      <c r="AH67" s="105"/>
    </row>
    <row r="68">
      <c r="A68" s="101">
        <v>6.0</v>
      </c>
      <c r="B68" s="101">
        <v>31149.0</v>
      </c>
      <c r="C68" s="102" t="s">
        <v>361</v>
      </c>
      <c r="D68" s="52" t="s">
        <v>171</v>
      </c>
      <c r="E68" s="52">
        <v>3.0</v>
      </c>
      <c r="F68" s="52" t="s">
        <v>158</v>
      </c>
      <c r="G68" s="52">
        <v>1.0</v>
      </c>
      <c r="H68" s="52" t="s">
        <v>182</v>
      </c>
      <c r="I68" s="52">
        <v>6.0</v>
      </c>
      <c r="J68" s="52" t="s">
        <v>192</v>
      </c>
      <c r="K68" s="52">
        <v>2.0</v>
      </c>
      <c r="L68" s="52" t="s">
        <v>196</v>
      </c>
      <c r="M68" s="52">
        <v>4.0</v>
      </c>
      <c r="N68" s="52" t="s">
        <v>153</v>
      </c>
      <c r="O68" s="52" t="s">
        <v>112</v>
      </c>
      <c r="P68" s="52" t="s">
        <v>142</v>
      </c>
      <c r="Q68" s="52" t="s">
        <v>124</v>
      </c>
      <c r="R68" s="52" t="s">
        <v>142</v>
      </c>
      <c r="S68" s="52" t="s">
        <v>124</v>
      </c>
      <c r="T68" s="65" t="s">
        <v>142</v>
      </c>
      <c r="U68" s="32">
        <v>1.0</v>
      </c>
      <c r="V68" s="32">
        <v>1.0</v>
      </c>
      <c r="W68" s="32">
        <v>1.0</v>
      </c>
      <c r="X68" s="32">
        <v>1.0</v>
      </c>
      <c r="Y68" s="32">
        <v>1.0</v>
      </c>
      <c r="Z68" s="32">
        <v>1.0</v>
      </c>
      <c r="AA68" s="32">
        <v>6.0</v>
      </c>
      <c r="AB68" s="32">
        <v>0.0</v>
      </c>
      <c r="AC68" s="103" t="str">
        <f>IFERROR(__xludf.DUMMYFUNCTION("if($C68="""","""",if(join("" - "",{iferror(filter('Student Groupings'!$A:$A,'Student Groupings'!$B:$B=$C68,'Student Groupings'!$H:$H=""Can't be Together""),"""");iferror(filter('Student Groupings'!$A:$A,'Student Groupings'!$E:$E=$C68,'Student Groupings'!$"&amp;"H:$H=""Can't be Together""),"""")})="" - "","""",join("" - "",{iferror(filter('Student Groupings'!$A:$A,'Student Groupings'!$B:$B=$C68,'Student Groupings'!$H:$H=""Can't be Together""),"""");iferror(filter('Student Groupings'!$A:$A,'Student Groupings'!$E:$"&amp;"E=$C68,'Student Groupings'!$H:$H=""Can't be Together""),"""")})))"),"")</f>
        <v/>
      </c>
      <c r="AD68" s="103" t="str">
        <f>IFERROR(__xludf.DUMMYFUNCTION("if($C68="""","""",if(join("" - "",{iferror(filter('Student Groupings'!$A:$A,'Student Groupings'!$B:$B=$C68,'Student Groupings'!$H:$H=""Must be Together""),"""");iferror(filter('Student Groupings'!$A:$A,'Student Groupings'!$E:$E=$C68,'Student Groupings'!$H"&amp;":$H=""Must be Together""),"""")})="" - "","""",join("" - "",{iferror(filter('Student Groupings'!$A:$A,'Student Groupings'!$B:$B=$C68,'Student Groupings'!$H:$H=""Must be Together""),"""");iferror(filter('Student Groupings'!$A:$A,'Student Groupings'!$E:$E=$"&amp;"C68,'Student Groupings'!$H:$H=""Must be Together""),"""")})))"),"")</f>
        <v/>
      </c>
      <c r="AE68" s="104"/>
      <c r="AF68" s="104"/>
      <c r="AG68" s="104"/>
      <c r="AH68" s="104"/>
    </row>
    <row r="69">
      <c r="A69" s="101">
        <v>6.0</v>
      </c>
      <c r="B69" s="101">
        <v>31164.0</v>
      </c>
      <c r="C69" s="102" t="s">
        <v>250</v>
      </c>
      <c r="D69" s="52" t="s">
        <v>171</v>
      </c>
      <c r="E69" s="52">
        <v>4.0</v>
      </c>
      <c r="F69" s="52" t="s">
        <v>158</v>
      </c>
      <c r="G69" s="52">
        <v>5.0</v>
      </c>
      <c r="H69" s="52" t="s">
        <v>182</v>
      </c>
      <c r="I69" s="52">
        <v>6.0</v>
      </c>
      <c r="J69" s="52" t="s">
        <v>192</v>
      </c>
      <c r="K69" s="52">
        <v>3.0</v>
      </c>
      <c r="L69" s="52" t="s">
        <v>197</v>
      </c>
      <c r="M69" s="52">
        <v>2.0</v>
      </c>
      <c r="N69" s="52" t="s">
        <v>153</v>
      </c>
      <c r="O69" s="52" t="s">
        <v>108</v>
      </c>
      <c r="P69" s="52" t="s">
        <v>117</v>
      </c>
      <c r="Q69" s="52" t="s">
        <v>129</v>
      </c>
      <c r="R69" s="52" t="s">
        <v>134</v>
      </c>
      <c r="S69" s="52" t="s">
        <v>129</v>
      </c>
      <c r="T69" s="65" t="s">
        <v>27</v>
      </c>
      <c r="U69" s="32">
        <v>1.0</v>
      </c>
      <c r="V69" s="32">
        <v>1.0</v>
      </c>
      <c r="W69" s="32">
        <v>1.0</v>
      </c>
      <c r="X69" s="32">
        <v>1.0</v>
      </c>
      <c r="Y69" s="32">
        <v>1.0</v>
      </c>
      <c r="Z69" s="32">
        <v>1.0</v>
      </c>
      <c r="AA69" s="32">
        <v>6.0</v>
      </c>
      <c r="AB69" s="32">
        <v>0.0</v>
      </c>
      <c r="AC69" s="103" t="str">
        <f>IFERROR(__xludf.DUMMYFUNCTION("if($C69="""","""",if(join("" - "",{iferror(filter('Student Groupings'!$A:$A,'Student Groupings'!$B:$B=$C69,'Student Groupings'!$H:$H=""Can't be Together""),"""");iferror(filter('Student Groupings'!$A:$A,'Student Groupings'!$E:$E=$C69,'Student Groupings'!$"&amp;"H:$H=""Can't be Together""),"""")})="" - "","""",join("" - "",{iferror(filter('Student Groupings'!$A:$A,'Student Groupings'!$B:$B=$C69,'Student Groupings'!$H:$H=""Can't be Together""),"""");iferror(filter('Student Groupings'!$A:$A,'Student Groupings'!$E:$"&amp;"E=$C69,'Student Groupings'!$H:$H=""Can't be Together""),"""")})))"),"35 - 36 - 37 - ")</f>
        <v>35 - 36 - 37 - </v>
      </c>
      <c r="AD69" s="103" t="str">
        <f>IFERROR(__xludf.DUMMYFUNCTION("if($C69="""","""",if(join("" - "",{iferror(filter('Student Groupings'!$A:$A,'Student Groupings'!$B:$B=$C69,'Student Groupings'!$H:$H=""Must be Together""),"""");iferror(filter('Student Groupings'!$A:$A,'Student Groupings'!$E:$E=$C69,'Student Groupings'!$H"&amp;":$H=""Must be Together""),"""")})="" - "","""",join("" - "",{iferror(filter('Student Groupings'!$A:$A,'Student Groupings'!$B:$B=$C69,'Student Groupings'!$H:$H=""Must be Together""),"""");iferror(filter('Student Groupings'!$A:$A,'Student Groupings'!$E:$E=$"&amp;"C69,'Student Groupings'!$H:$H=""Must be Together""),"""")})))"),"")</f>
        <v/>
      </c>
      <c r="AE69" s="105">
        <v>1.0</v>
      </c>
      <c r="AF69" s="104"/>
      <c r="AG69" s="104"/>
      <c r="AH69" s="104"/>
    </row>
    <row r="70">
      <c r="A70" s="101">
        <v>6.0</v>
      </c>
      <c r="B70" s="101">
        <v>31070.0</v>
      </c>
      <c r="C70" s="102" t="s">
        <v>217</v>
      </c>
      <c r="D70" s="52" t="s">
        <v>171</v>
      </c>
      <c r="E70" s="52">
        <v>2.0</v>
      </c>
      <c r="F70" s="52" t="s">
        <v>158</v>
      </c>
      <c r="G70" s="52">
        <v>6.0</v>
      </c>
      <c r="H70" s="52" t="s">
        <v>182</v>
      </c>
      <c r="I70" s="52">
        <v>1.0</v>
      </c>
      <c r="J70" s="52" t="s">
        <v>192</v>
      </c>
      <c r="K70" s="52">
        <v>4.0</v>
      </c>
      <c r="L70" s="52" t="s">
        <v>196</v>
      </c>
      <c r="M70" s="101">
        <v>3.0</v>
      </c>
      <c r="N70" s="52" t="s">
        <v>153</v>
      </c>
      <c r="O70" s="52" t="s">
        <v>112</v>
      </c>
      <c r="P70" s="52" t="s">
        <v>142</v>
      </c>
      <c r="Q70" s="52" t="s">
        <v>124</v>
      </c>
      <c r="R70" s="52" t="s">
        <v>142</v>
      </c>
      <c r="S70" s="52" t="s">
        <v>124</v>
      </c>
      <c r="T70" s="65" t="s">
        <v>142</v>
      </c>
      <c r="U70" s="32">
        <v>1.0</v>
      </c>
      <c r="V70" s="32">
        <v>1.0</v>
      </c>
      <c r="W70" s="32">
        <v>1.0</v>
      </c>
      <c r="X70" s="32">
        <v>1.0</v>
      </c>
      <c r="Y70" s="32">
        <v>1.0</v>
      </c>
      <c r="Z70" s="32">
        <v>1.0</v>
      </c>
      <c r="AA70" s="32">
        <v>6.0</v>
      </c>
      <c r="AB70" s="32">
        <v>0.0</v>
      </c>
      <c r="AC70" s="103" t="str">
        <f>IFERROR(__xludf.DUMMYFUNCTION("if($C70="""","""",if(join("" - "",{iferror(filter('Student Groupings'!$A:$A,'Student Groupings'!$B:$B=$C70,'Student Groupings'!$H:$H=""Can't be Together""),"""");iferror(filter('Student Groupings'!$A:$A,'Student Groupings'!$E:$E=$C70,'Student Groupings'!$"&amp;"H:$H=""Can't be Together""),"""")})="" - "","""",join("" - "",{iferror(filter('Student Groupings'!$A:$A,'Student Groupings'!$B:$B=$C70,'Student Groupings'!$H:$H=""Can't be Together""),"""");iferror(filter('Student Groupings'!$A:$A,'Student Groupings'!$E:$"&amp;"E=$C70,'Student Groupings'!$H:$H=""Can't be Together""),"""")})))")," - 4")</f>
        <v> - 4</v>
      </c>
      <c r="AD70" s="103" t="str">
        <f>IFERROR(__xludf.DUMMYFUNCTION("if($C70="""","""",if(join("" - "",{iferror(filter('Student Groupings'!$A:$A,'Student Groupings'!$B:$B=$C70,'Student Groupings'!$H:$H=""Must be Together""),"""");iferror(filter('Student Groupings'!$A:$A,'Student Groupings'!$E:$E=$C70,'Student Groupings'!$H"&amp;":$H=""Must be Together""),"""")})="" - "","""",join("" - "",{iferror(filter('Student Groupings'!$A:$A,'Student Groupings'!$B:$B=$C70,'Student Groupings'!$H:$H=""Must be Together""),"""");iferror(filter('Student Groupings'!$A:$A,'Student Groupings'!$E:$E=$"&amp;"C70,'Student Groupings'!$H:$H=""Must be Together""),"""")})))"),"")</f>
        <v/>
      </c>
      <c r="AE70" s="105"/>
      <c r="AF70" s="105"/>
      <c r="AG70" s="105"/>
      <c r="AH70" s="105"/>
    </row>
    <row r="71">
      <c r="A71" s="101">
        <v>6.0</v>
      </c>
      <c r="B71" s="101">
        <v>31071.0</v>
      </c>
      <c r="C71" s="102" t="s">
        <v>362</v>
      </c>
      <c r="D71" s="52" t="s">
        <v>171</v>
      </c>
      <c r="E71" s="52">
        <v>5.0</v>
      </c>
      <c r="F71" s="52" t="s">
        <v>158</v>
      </c>
      <c r="G71" s="52">
        <v>4.0</v>
      </c>
      <c r="H71" s="52" t="s">
        <v>182</v>
      </c>
      <c r="I71" s="52">
        <v>3.0</v>
      </c>
      <c r="J71" s="52" t="s">
        <v>192</v>
      </c>
      <c r="K71" s="52">
        <v>1.0</v>
      </c>
      <c r="L71" s="52" t="s">
        <v>196</v>
      </c>
      <c r="M71" s="52">
        <v>6.0</v>
      </c>
      <c r="N71" s="52" t="s">
        <v>153</v>
      </c>
      <c r="O71" s="52" t="s">
        <v>125</v>
      </c>
      <c r="P71" s="52" t="s">
        <v>117</v>
      </c>
      <c r="Q71" s="52" t="s">
        <v>119</v>
      </c>
      <c r="R71" s="52" t="s">
        <v>134</v>
      </c>
      <c r="S71" s="52" t="s">
        <v>119</v>
      </c>
      <c r="T71" s="65" t="s">
        <v>27</v>
      </c>
      <c r="U71" s="32">
        <v>1.0</v>
      </c>
      <c r="V71" s="32">
        <v>1.0</v>
      </c>
      <c r="W71" s="32">
        <v>1.0</v>
      </c>
      <c r="X71" s="32">
        <v>1.0</v>
      </c>
      <c r="Y71" s="32">
        <v>1.0</v>
      </c>
      <c r="Z71" s="32">
        <v>1.0</v>
      </c>
      <c r="AA71" s="32">
        <v>6.0</v>
      </c>
      <c r="AB71" s="32">
        <v>0.0</v>
      </c>
      <c r="AC71" s="103" t="str">
        <f>IFERROR(__xludf.DUMMYFUNCTION("if($C71="""","""",if(join("" - "",{iferror(filter('Student Groupings'!$A:$A,'Student Groupings'!$B:$B=$C71,'Student Groupings'!$H:$H=""Can't be Together""),"""");iferror(filter('Student Groupings'!$A:$A,'Student Groupings'!$E:$E=$C71,'Student Groupings'!$"&amp;"H:$H=""Can't be Together""),"""")})="" - "","""",join("" - "",{iferror(filter('Student Groupings'!$A:$A,'Student Groupings'!$B:$B=$C71,'Student Groupings'!$H:$H=""Can't be Together""),"""");iferror(filter('Student Groupings'!$A:$A,'Student Groupings'!$E:$"&amp;"E=$C71,'Student Groupings'!$H:$H=""Can't be Together""),"""")})))"),"")</f>
        <v/>
      </c>
      <c r="AD71" s="103" t="str">
        <f>IFERROR(__xludf.DUMMYFUNCTION("if($C71="""","""",if(join("" - "",{iferror(filter('Student Groupings'!$A:$A,'Student Groupings'!$B:$B=$C71,'Student Groupings'!$H:$H=""Must be Together""),"""");iferror(filter('Student Groupings'!$A:$A,'Student Groupings'!$E:$E=$C71,'Student Groupings'!$H"&amp;":$H=""Must be Together""),"""")})="" - "","""",join("" - "",{iferror(filter('Student Groupings'!$A:$A,'Student Groupings'!$B:$B=$C71,'Student Groupings'!$H:$H=""Must be Together""),"""");iferror(filter('Student Groupings'!$A:$A,'Student Groupings'!$E:$E=$"&amp;"C71,'Student Groupings'!$H:$H=""Must be Together""),"""")})))"),"")</f>
        <v/>
      </c>
      <c r="AE71" s="104"/>
      <c r="AF71" s="104"/>
      <c r="AG71" s="104"/>
      <c r="AH71" s="104"/>
    </row>
    <row r="72">
      <c r="A72" s="101">
        <v>6.0</v>
      </c>
      <c r="B72" s="101">
        <v>31072.0</v>
      </c>
      <c r="C72" s="102" t="s">
        <v>363</v>
      </c>
      <c r="D72" s="52" t="s">
        <v>171</v>
      </c>
      <c r="E72" s="52">
        <v>6.0</v>
      </c>
      <c r="F72" s="52" t="s">
        <v>158</v>
      </c>
      <c r="G72" s="52">
        <v>3.0</v>
      </c>
      <c r="H72" s="52" t="s">
        <v>182</v>
      </c>
      <c r="I72" s="52">
        <v>2.0</v>
      </c>
      <c r="J72" s="52" t="s">
        <v>192</v>
      </c>
      <c r="K72" s="52">
        <v>5.0</v>
      </c>
      <c r="L72" s="52" t="s">
        <v>196</v>
      </c>
      <c r="M72" s="52">
        <v>1.0</v>
      </c>
      <c r="N72" s="52" t="s">
        <v>153</v>
      </c>
      <c r="O72" s="52" t="s">
        <v>130</v>
      </c>
      <c r="P72" s="52" t="s">
        <v>134</v>
      </c>
      <c r="Q72" s="52" t="s">
        <v>111</v>
      </c>
      <c r="R72" s="52" t="s">
        <v>117</v>
      </c>
      <c r="S72" s="52" t="s">
        <v>111</v>
      </c>
      <c r="T72" s="65" t="s">
        <v>27</v>
      </c>
      <c r="U72" s="32">
        <v>1.0</v>
      </c>
      <c r="V72" s="32">
        <v>1.0</v>
      </c>
      <c r="W72" s="32">
        <v>1.0</v>
      </c>
      <c r="X72" s="32">
        <v>1.0</v>
      </c>
      <c r="Y72" s="32">
        <v>1.0</v>
      </c>
      <c r="Z72" s="32">
        <v>1.0</v>
      </c>
      <c r="AA72" s="32">
        <v>6.0</v>
      </c>
      <c r="AB72" s="32">
        <v>0.0</v>
      </c>
      <c r="AC72" s="103" t="str">
        <f>IFERROR(__xludf.DUMMYFUNCTION("if($C72="""","""",if(join("" - "",{iferror(filter('Student Groupings'!$A:$A,'Student Groupings'!$B:$B=$C72,'Student Groupings'!$H:$H=""Can't be Together""),"""");iferror(filter('Student Groupings'!$A:$A,'Student Groupings'!$E:$E=$C72,'Student Groupings'!$"&amp;"H:$H=""Can't be Together""),"""")})="" - "","""",join("" - "",{iferror(filter('Student Groupings'!$A:$A,'Student Groupings'!$B:$B=$C72,'Student Groupings'!$H:$H=""Can't be Together""),"""");iferror(filter('Student Groupings'!$A:$A,'Student Groupings'!$E:$"&amp;"E=$C72,'Student Groupings'!$H:$H=""Can't be Together""),"""")})))"),"")</f>
        <v/>
      </c>
      <c r="AD72" s="103" t="str">
        <f>IFERROR(__xludf.DUMMYFUNCTION("if($C72="""","""",if(join("" - "",{iferror(filter('Student Groupings'!$A:$A,'Student Groupings'!$B:$B=$C72,'Student Groupings'!$H:$H=""Must be Together""),"""");iferror(filter('Student Groupings'!$A:$A,'Student Groupings'!$E:$E=$C72,'Student Groupings'!$H"&amp;":$H=""Must be Together""),"""")})="" - "","""",join("" - "",{iferror(filter('Student Groupings'!$A:$A,'Student Groupings'!$B:$B=$C72,'Student Groupings'!$H:$H=""Must be Together""),"""");iferror(filter('Student Groupings'!$A:$A,'Student Groupings'!$E:$E=$"&amp;"C72,'Student Groupings'!$H:$H=""Must be Together""),"""")})))"),"")</f>
        <v/>
      </c>
      <c r="AE72" s="104"/>
      <c r="AF72" s="104"/>
      <c r="AG72" s="104"/>
      <c r="AH72" s="104"/>
    </row>
    <row r="73">
      <c r="A73" s="101">
        <v>6.0</v>
      </c>
      <c r="B73" s="101">
        <v>31157.0</v>
      </c>
      <c r="C73" s="102" t="s">
        <v>224</v>
      </c>
      <c r="D73" s="52" t="s">
        <v>171</v>
      </c>
      <c r="E73" s="52">
        <v>2.0</v>
      </c>
      <c r="F73" s="52" t="s">
        <v>158</v>
      </c>
      <c r="G73" s="52">
        <v>5.0</v>
      </c>
      <c r="H73" s="52" t="s">
        <v>181</v>
      </c>
      <c r="I73" s="52">
        <v>1.0</v>
      </c>
      <c r="J73" s="52" t="s">
        <v>192</v>
      </c>
      <c r="K73" s="52">
        <v>4.0</v>
      </c>
      <c r="L73" s="52" t="s">
        <v>196</v>
      </c>
      <c r="M73" s="52">
        <v>3.0</v>
      </c>
      <c r="N73" s="52" t="s">
        <v>153</v>
      </c>
      <c r="O73" s="52" t="s">
        <v>120</v>
      </c>
      <c r="P73" s="52" t="s">
        <v>117</v>
      </c>
      <c r="Q73" s="52" t="s">
        <v>109</v>
      </c>
      <c r="R73" s="52" t="s">
        <v>134</v>
      </c>
      <c r="S73" s="52" t="s">
        <v>109</v>
      </c>
      <c r="T73" s="65" t="s">
        <v>27</v>
      </c>
      <c r="U73" s="32">
        <v>1.0</v>
      </c>
      <c r="V73" s="32">
        <v>1.0</v>
      </c>
      <c r="W73" s="32">
        <v>1.0</v>
      </c>
      <c r="X73" s="32">
        <v>1.0</v>
      </c>
      <c r="Y73" s="32">
        <v>1.0</v>
      </c>
      <c r="Z73" s="32">
        <v>1.0</v>
      </c>
      <c r="AA73" s="32">
        <v>6.0</v>
      </c>
      <c r="AB73" s="32">
        <v>0.0</v>
      </c>
      <c r="AC73" s="103" t="str">
        <f>IFERROR(__xludf.DUMMYFUNCTION("if($C73="""","""",if(join("" - "",{iferror(filter('Student Groupings'!$A:$A,'Student Groupings'!$B:$B=$C73,'Student Groupings'!$H:$H=""Can't be Together""),"""");iferror(filter('Student Groupings'!$A:$A,'Student Groupings'!$E:$E=$C73,'Student Groupings'!$"&amp;"H:$H=""Can't be Together""),"""")})="" - "","""",join("" - "",{iferror(filter('Student Groupings'!$A:$A,'Student Groupings'!$B:$B=$C73,'Student Groupings'!$H:$H=""Can't be Together""),"""");iferror(filter('Student Groupings'!$A:$A,'Student Groupings'!$E:$"&amp;"E=$C73,'Student Groupings'!$H:$H=""Can't be Together""),"""")})))"),"11 - 12 - 13 - ")</f>
        <v>11 - 12 - 13 - </v>
      </c>
      <c r="AD73" s="103" t="str">
        <f>IFERROR(__xludf.DUMMYFUNCTION("if($C73="""","""",if(join("" - "",{iferror(filter('Student Groupings'!$A:$A,'Student Groupings'!$B:$B=$C73,'Student Groupings'!$H:$H=""Must be Together""),"""");iferror(filter('Student Groupings'!$A:$A,'Student Groupings'!$E:$E=$C73,'Student Groupings'!$H"&amp;":$H=""Must be Together""),"""")})="" - "","""",join("" - "",{iferror(filter('Student Groupings'!$A:$A,'Student Groupings'!$B:$B=$C73,'Student Groupings'!$H:$H=""Must be Together""),"""");iferror(filter('Student Groupings'!$A:$A,'Student Groupings'!$E:$E=$"&amp;"C73,'Student Groupings'!$H:$H=""Must be Together""),"""")})))"),"10 - 14 - ")</f>
        <v>10 - 14 - </v>
      </c>
      <c r="AE73" s="105"/>
      <c r="AF73" s="105">
        <v>1.0</v>
      </c>
      <c r="AG73" s="104"/>
      <c r="AH73" s="104"/>
    </row>
    <row r="74">
      <c r="A74" s="101">
        <v>6.0</v>
      </c>
      <c r="B74" s="101">
        <v>31073.0</v>
      </c>
      <c r="C74" s="102" t="s">
        <v>364</v>
      </c>
      <c r="D74" s="52" t="s">
        <v>171</v>
      </c>
      <c r="E74" s="52">
        <v>4.0</v>
      </c>
      <c r="F74" s="52" t="s">
        <v>159</v>
      </c>
      <c r="G74" s="52">
        <v>5.0</v>
      </c>
      <c r="H74" s="52" t="s">
        <v>181</v>
      </c>
      <c r="I74" s="52">
        <v>1.0</v>
      </c>
      <c r="J74" s="52" t="s">
        <v>192</v>
      </c>
      <c r="K74" s="52">
        <v>3.0</v>
      </c>
      <c r="L74" s="52" t="s">
        <v>196</v>
      </c>
      <c r="M74" s="52">
        <v>2.0</v>
      </c>
      <c r="N74" s="52" t="s">
        <v>153</v>
      </c>
      <c r="O74" s="52" t="s">
        <v>120</v>
      </c>
      <c r="P74" s="52" t="s">
        <v>117</v>
      </c>
      <c r="Q74" s="52" t="s">
        <v>109</v>
      </c>
      <c r="R74" s="52" t="s">
        <v>134</v>
      </c>
      <c r="S74" s="52" t="s">
        <v>109</v>
      </c>
      <c r="T74" s="65" t="s">
        <v>27</v>
      </c>
      <c r="U74" s="32">
        <v>1.0</v>
      </c>
      <c r="V74" s="32">
        <v>1.0</v>
      </c>
      <c r="W74" s="32">
        <v>1.0</v>
      </c>
      <c r="X74" s="32">
        <v>1.0</v>
      </c>
      <c r="Y74" s="32">
        <v>1.0</v>
      </c>
      <c r="Z74" s="32">
        <v>1.0</v>
      </c>
      <c r="AA74" s="32">
        <v>6.0</v>
      </c>
      <c r="AB74" s="32">
        <v>0.0</v>
      </c>
      <c r="AC74" s="103" t="str">
        <f>IFERROR(__xludf.DUMMYFUNCTION("if($C74="""","""",if(join("" - "",{iferror(filter('Student Groupings'!$A:$A,'Student Groupings'!$B:$B=$C74,'Student Groupings'!$H:$H=""Can't be Together""),"""");iferror(filter('Student Groupings'!$A:$A,'Student Groupings'!$E:$E=$C74,'Student Groupings'!$"&amp;"H:$H=""Can't be Together""),"""")})="" - "","""",join("" - "",{iferror(filter('Student Groupings'!$A:$A,'Student Groupings'!$B:$B=$C74,'Student Groupings'!$H:$H=""Can't be Together""),"""");iferror(filter('Student Groupings'!$A:$A,'Student Groupings'!$E:$"&amp;"E=$C74,'Student Groupings'!$H:$H=""Can't be Together""),"""")})))"),"")</f>
        <v/>
      </c>
      <c r="AD74" s="103" t="str">
        <f>IFERROR(__xludf.DUMMYFUNCTION("if($C74="""","""",if(join("" - "",{iferror(filter('Student Groupings'!$A:$A,'Student Groupings'!$B:$B=$C74,'Student Groupings'!$H:$H=""Must be Together""),"""");iferror(filter('Student Groupings'!$A:$A,'Student Groupings'!$E:$E=$C74,'Student Groupings'!$H"&amp;":$H=""Must be Together""),"""")})="" - "","""",join("" - "",{iferror(filter('Student Groupings'!$A:$A,'Student Groupings'!$B:$B=$C74,'Student Groupings'!$H:$H=""Must be Together""),"""");iferror(filter('Student Groupings'!$A:$A,'Student Groupings'!$E:$E=$"&amp;"C74,'Student Groupings'!$H:$H=""Must be Together""),"""")})))"),"")</f>
        <v/>
      </c>
      <c r="AE74" s="105"/>
      <c r="AF74" s="105">
        <v>1.0</v>
      </c>
      <c r="AG74" s="105">
        <v>1.0</v>
      </c>
      <c r="AH74" s="105"/>
    </row>
    <row r="75">
      <c r="A75" s="101">
        <v>6.0</v>
      </c>
      <c r="B75" s="101">
        <v>31074.0</v>
      </c>
      <c r="C75" s="102" t="s">
        <v>365</v>
      </c>
      <c r="D75" s="52" t="s">
        <v>171</v>
      </c>
      <c r="E75" s="52">
        <v>4.0</v>
      </c>
      <c r="F75" s="52" t="s">
        <v>159</v>
      </c>
      <c r="G75" s="52">
        <v>5.0</v>
      </c>
      <c r="H75" s="52" t="s">
        <v>181</v>
      </c>
      <c r="I75" s="52">
        <v>1.0</v>
      </c>
      <c r="J75" s="52" t="s">
        <v>192</v>
      </c>
      <c r="K75" s="52">
        <v>3.0</v>
      </c>
      <c r="L75" s="52" t="s">
        <v>196</v>
      </c>
      <c r="M75" s="52">
        <v>2.0</v>
      </c>
      <c r="N75" s="52" t="s">
        <v>153</v>
      </c>
      <c r="O75" s="52" t="s">
        <v>109</v>
      </c>
      <c r="P75" s="52" t="s">
        <v>143</v>
      </c>
      <c r="Q75" s="52" t="s">
        <v>120</v>
      </c>
      <c r="R75" s="52" t="s">
        <v>143</v>
      </c>
      <c r="S75" s="52" t="s">
        <v>120</v>
      </c>
      <c r="T75" s="65" t="s">
        <v>143</v>
      </c>
      <c r="U75" s="32">
        <v>1.0</v>
      </c>
      <c r="V75" s="32">
        <v>1.0</v>
      </c>
      <c r="W75" s="32">
        <v>1.0</v>
      </c>
      <c r="X75" s="32">
        <v>1.0</v>
      </c>
      <c r="Y75" s="32">
        <v>1.0</v>
      </c>
      <c r="Z75" s="32">
        <v>1.0</v>
      </c>
      <c r="AA75" s="32">
        <v>6.0</v>
      </c>
      <c r="AB75" s="32">
        <v>0.0</v>
      </c>
      <c r="AC75" s="103" t="str">
        <f>IFERROR(__xludf.DUMMYFUNCTION("if($C75="""","""",if(join("" - "",{iferror(filter('Student Groupings'!$A:$A,'Student Groupings'!$B:$B=$C75,'Student Groupings'!$H:$H=""Can't be Together""),"""");iferror(filter('Student Groupings'!$A:$A,'Student Groupings'!$E:$E=$C75,'Student Groupings'!$"&amp;"H:$H=""Can't be Together""),"""")})="" - "","""",join("" - "",{iferror(filter('Student Groupings'!$A:$A,'Student Groupings'!$B:$B=$C75,'Student Groupings'!$H:$H=""Can't be Together""),"""");iferror(filter('Student Groupings'!$A:$A,'Student Groupings'!$E:$"&amp;"E=$C75,'Student Groupings'!$H:$H=""Can't be Together""),"""")})))"),"")</f>
        <v/>
      </c>
      <c r="AD75" s="103" t="str">
        <f>IFERROR(__xludf.DUMMYFUNCTION("if($C75="""","""",if(join("" - "",{iferror(filter('Student Groupings'!$A:$A,'Student Groupings'!$B:$B=$C75,'Student Groupings'!$H:$H=""Must be Together""),"""");iferror(filter('Student Groupings'!$A:$A,'Student Groupings'!$E:$E=$C75,'Student Groupings'!$H"&amp;":$H=""Must be Together""),"""")})="" - "","""",join("" - "",{iferror(filter('Student Groupings'!$A:$A,'Student Groupings'!$B:$B=$C75,'Student Groupings'!$H:$H=""Must be Together""),"""");iferror(filter('Student Groupings'!$A:$A,'Student Groupings'!$E:$E=$"&amp;"C75,'Student Groupings'!$H:$H=""Must be Together""),"""")})))"),"")</f>
        <v/>
      </c>
      <c r="AE75" s="104"/>
      <c r="AF75" s="104"/>
      <c r="AG75" s="104"/>
      <c r="AH75" s="104"/>
    </row>
    <row r="76">
      <c r="A76" s="101">
        <v>6.0</v>
      </c>
      <c r="B76" s="101">
        <v>31075.0</v>
      </c>
      <c r="C76" s="102" t="s">
        <v>366</v>
      </c>
      <c r="D76" s="52" t="s">
        <v>171</v>
      </c>
      <c r="E76" s="52">
        <v>5.0</v>
      </c>
      <c r="F76" s="52" t="s">
        <v>158</v>
      </c>
      <c r="G76" s="52">
        <v>4.0</v>
      </c>
      <c r="H76" s="52" t="s">
        <v>182</v>
      </c>
      <c r="I76" s="52">
        <v>3.0</v>
      </c>
      <c r="J76" s="52" t="s">
        <v>192</v>
      </c>
      <c r="K76" s="52">
        <v>1.0</v>
      </c>
      <c r="L76" s="52" t="s">
        <v>196</v>
      </c>
      <c r="M76" s="52">
        <v>6.0</v>
      </c>
      <c r="N76" s="52" t="s">
        <v>153</v>
      </c>
      <c r="O76" s="52" t="s">
        <v>125</v>
      </c>
      <c r="P76" s="52" t="s">
        <v>134</v>
      </c>
      <c r="Q76" s="52" t="s">
        <v>119</v>
      </c>
      <c r="R76" s="52" t="s">
        <v>117</v>
      </c>
      <c r="S76" s="52" t="s">
        <v>119</v>
      </c>
      <c r="T76" s="65" t="s">
        <v>27</v>
      </c>
      <c r="U76" s="32">
        <v>1.0</v>
      </c>
      <c r="V76" s="32">
        <v>1.0</v>
      </c>
      <c r="W76" s="32">
        <v>1.0</v>
      </c>
      <c r="X76" s="32">
        <v>1.0</v>
      </c>
      <c r="Y76" s="32">
        <v>1.0</v>
      </c>
      <c r="Z76" s="32">
        <v>1.0</v>
      </c>
      <c r="AA76" s="32">
        <v>6.0</v>
      </c>
      <c r="AB76" s="32">
        <v>0.0</v>
      </c>
      <c r="AC76" s="103" t="str">
        <f>IFERROR(__xludf.DUMMYFUNCTION("if($C76="""","""",if(join("" - "",{iferror(filter('Student Groupings'!$A:$A,'Student Groupings'!$B:$B=$C76,'Student Groupings'!$H:$H=""Can't be Together""),"""");iferror(filter('Student Groupings'!$A:$A,'Student Groupings'!$E:$E=$C76,'Student Groupings'!$"&amp;"H:$H=""Can't be Together""),"""")})="" - "","""",join("" - "",{iferror(filter('Student Groupings'!$A:$A,'Student Groupings'!$B:$B=$C76,'Student Groupings'!$H:$H=""Can't be Together""),"""");iferror(filter('Student Groupings'!$A:$A,'Student Groupings'!$E:$"&amp;"E=$C76,'Student Groupings'!$H:$H=""Can't be Together""),"""")})))"),"")</f>
        <v/>
      </c>
      <c r="AD76" s="103" t="str">
        <f>IFERROR(__xludf.DUMMYFUNCTION("if($C76="""","""",if(join("" - "",{iferror(filter('Student Groupings'!$A:$A,'Student Groupings'!$B:$B=$C76,'Student Groupings'!$H:$H=""Must be Together""),"""");iferror(filter('Student Groupings'!$A:$A,'Student Groupings'!$E:$E=$C76,'Student Groupings'!$H"&amp;":$H=""Must be Together""),"""")})="" - "","""",join("" - "",{iferror(filter('Student Groupings'!$A:$A,'Student Groupings'!$B:$B=$C76,'Student Groupings'!$H:$H=""Must be Together""),"""");iferror(filter('Student Groupings'!$A:$A,'Student Groupings'!$E:$E=$"&amp;"C76,'Student Groupings'!$H:$H=""Must be Together""),"""")})))"),"")</f>
        <v/>
      </c>
      <c r="AE76" s="105"/>
      <c r="AF76" s="105"/>
      <c r="AG76" s="104"/>
      <c r="AH76" s="104"/>
    </row>
    <row r="77">
      <c r="A77" s="101">
        <v>6.0</v>
      </c>
      <c r="B77" s="101">
        <v>31076.0</v>
      </c>
      <c r="C77" s="102" t="s">
        <v>367</v>
      </c>
      <c r="D77" s="52" t="s">
        <v>171</v>
      </c>
      <c r="E77" s="52">
        <v>2.0</v>
      </c>
      <c r="F77" s="52" t="s">
        <v>159</v>
      </c>
      <c r="G77" s="52">
        <v>5.0</v>
      </c>
      <c r="H77" s="52" t="s">
        <v>182</v>
      </c>
      <c r="I77" s="52">
        <v>1.0</v>
      </c>
      <c r="J77" s="52" t="s">
        <v>192</v>
      </c>
      <c r="K77" s="52">
        <v>4.0</v>
      </c>
      <c r="L77" s="52" t="s">
        <v>196</v>
      </c>
      <c r="M77" s="52">
        <v>3.0</v>
      </c>
      <c r="N77" s="52" t="s">
        <v>153</v>
      </c>
      <c r="O77" s="52" t="s">
        <v>109</v>
      </c>
      <c r="P77" s="52" t="s">
        <v>143</v>
      </c>
      <c r="Q77" s="52" t="s">
        <v>120</v>
      </c>
      <c r="R77" s="52" t="s">
        <v>143</v>
      </c>
      <c r="S77" s="52" t="s">
        <v>120</v>
      </c>
      <c r="T77" s="65" t="s">
        <v>143</v>
      </c>
      <c r="U77" s="32">
        <v>1.0</v>
      </c>
      <c r="V77" s="32">
        <v>1.0</v>
      </c>
      <c r="W77" s="32">
        <v>1.0</v>
      </c>
      <c r="X77" s="32">
        <v>1.0</v>
      </c>
      <c r="Y77" s="32">
        <v>1.0</v>
      </c>
      <c r="Z77" s="32">
        <v>1.0</v>
      </c>
      <c r="AA77" s="32">
        <v>6.0</v>
      </c>
      <c r="AB77" s="32">
        <v>0.0</v>
      </c>
      <c r="AC77" s="103" t="str">
        <f>IFERROR(__xludf.DUMMYFUNCTION("if($C77="""","""",if(join("" - "",{iferror(filter('Student Groupings'!$A:$A,'Student Groupings'!$B:$B=$C77,'Student Groupings'!$H:$H=""Can't be Together""),"""");iferror(filter('Student Groupings'!$A:$A,'Student Groupings'!$E:$E=$C77,'Student Groupings'!$"&amp;"H:$H=""Can't be Together""),"""")})="" - "","""",join("" - "",{iferror(filter('Student Groupings'!$A:$A,'Student Groupings'!$B:$B=$C77,'Student Groupings'!$H:$H=""Can't be Together""),"""");iferror(filter('Student Groupings'!$A:$A,'Student Groupings'!$E:$"&amp;"E=$C77,'Student Groupings'!$H:$H=""Can't be Together""),"""")})))"),"")</f>
        <v/>
      </c>
      <c r="AD77" s="103" t="str">
        <f>IFERROR(__xludf.DUMMYFUNCTION("if($C77="""","""",if(join("" - "",{iferror(filter('Student Groupings'!$A:$A,'Student Groupings'!$B:$B=$C77,'Student Groupings'!$H:$H=""Must be Together""),"""");iferror(filter('Student Groupings'!$A:$A,'Student Groupings'!$E:$E=$C77,'Student Groupings'!$H"&amp;":$H=""Must be Together""),"""")})="" - "","""",join("" - "",{iferror(filter('Student Groupings'!$A:$A,'Student Groupings'!$B:$B=$C77,'Student Groupings'!$H:$H=""Must be Together""),"""");iferror(filter('Student Groupings'!$A:$A,'Student Groupings'!$E:$E=$"&amp;"C77,'Student Groupings'!$H:$H=""Must be Together""),"""")})))"),"")</f>
        <v/>
      </c>
      <c r="AE77" s="104"/>
      <c r="AF77" s="104"/>
      <c r="AG77" s="104"/>
      <c r="AH77" s="104"/>
    </row>
    <row r="78">
      <c r="A78" s="101">
        <v>6.0</v>
      </c>
      <c r="B78" s="101">
        <v>31077.0</v>
      </c>
      <c r="C78" s="102" t="s">
        <v>368</v>
      </c>
      <c r="D78" s="52" t="s">
        <v>171</v>
      </c>
      <c r="E78" s="52">
        <v>6.0</v>
      </c>
      <c r="F78" s="52" t="s">
        <v>158</v>
      </c>
      <c r="G78" s="52">
        <v>3.0</v>
      </c>
      <c r="H78" s="52" t="s">
        <v>182</v>
      </c>
      <c r="I78" s="52">
        <v>2.0</v>
      </c>
      <c r="J78" s="52" t="s">
        <v>192</v>
      </c>
      <c r="K78" s="52">
        <v>5.0</v>
      </c>
      <c r="L78" s="52" t="s">
        <v>196</v>
      </c>
      <c r="M78" s="52">
        <v>1.0</v>
      </c>
      <c r="N78" s="52" t="s">
        <v>153</v>
      </c>
      <c r="O78" s="52" t="s">
        <v>130</v>
      </c>
      <c r="P78" s="52" t="s">
        <v>134</v>
      </c>
      <c r="Q78" s="52" t="s">
        <v>111</v>
      </c>
      <c r="R78" s="52" t="s">
        <v>117</v>
      </c>
      <c r="S78" s="52" t="s">
        <v>111</v>
      </c>
      <c r="T78" s="65" t="s">
        <v>27</v>
      </c>
      <c r="U78" s="32">
        <v>1.0</v>
      </c>
      <c r="V78" s="32">
        <v>1.0</v>
      </c>
      <c r="W78" s="32">
        <v>1.0</v>
      </c>
      <c r="X78" s="32">
        <v>1.0</v>
      </c>
      <c r="Y78" s="32">
        <v>1.0</v>
      </c>
      <c r="Z78" s="32">
        <v>1.0</v>
      </c>
      <c r="AA78" s="32">
        <v>6.0</v>
      </c>
      <c r="AB78" s="32">
        <v>0.0</v>
      </c>
      <c r="AC78" s="103" t="str">
        <f>IFERROR(__xludf.DUMMYFUNCTION("if($C78="""","""",if(join("" - "",{iferror(filter('Student Groupings'!$A:$A,'Student Groupings'!$B:$B=$C78,'Student Groupings'!$H:$H=""Can't be Together""),"""");iferror(filter('Student Groupings'!$A:$A,'Student Groupings'!$E:$E=$C78,'Student Groupings'!$"&amp;"H:$H=""Can't be Together""),"""")})="" - "","""",join("" - "",{iferror(filter('Student Groupings'!$A:$A,'Student Groupings'!$B:$B=$C78,'Student Groupings'!$H:$H=""Can't be Together""),"""");iferror(filter('Student Groupings'!$A:$A,'Student Groupings'!$E:$"&amp;"E=$C78,'Student Groupings'!$H:$H=""Can't be Together""),"""")})))"),"")</f>
        <v/>
      </c>
      <c r="AD78" s="103" t="str">
        <f>IFERROR(__xludf.DUMMYFUNCTION("if($C78="""","""",if(join("" - "",{iferror(filter('Student Groupings'!$A:$A,'Student Groupings'!$B:$B=$C78,'Student Groupings'!$H:$H=""Must be Together""),"""");iferror(filter('Student Groupings'!$A:$A,'Student Groupings'!$E:$E=$C78,'Student Groupings'!$H"&amp;":$H=""Must be Together""),"""")})="" - "","""",join("" - "",{iferror(filter('Student Groupings'!$A:$A,'Student Groupings'!$B:$B=$C78,'Student Groupings'!$H:$H=""Must be Together""),"""");iferror(filter('Student Groupings'!$A:$A,'Student Groupings'!$E:$E=$"&amp;"C78,'Student Groupings'!$H:$H=""Must be Together""),"""")})))"),"")</f>
        <v/>
      </c>
      <c r="AE78" s="104"/>
      <c r="AF78" s="104"/>
      <c r="AG78" s="104"/>
      <c r="AH78" s="104"/>
    </row>
    <row r="79">
      <c r="A79" s="101">
        <v>6.0</v>
      </c>
      <c r="B79" s="101">
        <v>31078.0</v>
      </c>
      <c r="C79" s="102" t="s">
        <v>369</v>
      </c>
      <c r="D79" s="52" t="s">
        <v>173</v>
      </c>
      <c r="E79" s="52">
        <v>3.0</v>
      </c>
      <c r="F79" s="52" t="s">
        <v>159</v>
      </c>
      <c r="G79" s="52">
        <v>5.0</v>
      </c>
      <c r="H79" s="52" t="s">
        <v>182</v>
      </c>
      <c r="I79" s="52">
        <v>1.0</v>
      </c>
      <c r="J79" s="52" t="s">
        <v>194</v>
      </c>
      <c r="K79" s="52">
        <v>2.0</v>
      </c>
      <c r="L79" s="52" t="s">
        <v>198</v>
      </c>
      <c r="M79" s="52">
        <v>4.0</v>
      </c>
      <c r="N79" s="52" t="s">
        <v>153</v>
      </c>
      <c r="O79" s="52" t="s">
        <v>109</v>
      </c>
      <c r="P79" s="52" t="s">
        <v>143</v>
      </c>
      <c r="Q79" s="52" t="s">
        <v>120</v>
      </c>
      <c r="R79" s="52" t="s">
        <v>143</v>
      </c>
      <c r="S79" s="52" t="s">
        <v>120</v>
      </c>
      <c r="T79" s="65" t="s">
        <v>143</v>
      </c>
      <c r="U79" s="32">
        <v>1.0</v>
      </c>
      <c r="V79" s="32">
        <v>1.0</v>
      </c>
      <c r="W79" s="32">
        <v>1.0</v>
      </c>
      <c r="X79" s="32">
        <v>1.0</v>
      </c>
      <c r="Y79" s="32">
        <v>1.0</v>
      </c>
      <c r="Z79" s="32">
        <v>1.0</v>
      </c>
      <c r="AA79" s="32">
        <v>6.0</v>
      </c>
      <c r="AB79" s="32">
        <v>0.0</v>
      </c>
      <c r="AC79" s="103" t="str">
        <f>IFERROR(__xludf.DUMMYFUNCTION("if($C79="""","""",if(join("" - "",{iferror(filter('Student Groupings'!$A:$A,'Student Groupings'!$B:$B=$C79,'Student Groupings'!$H:$H=""Can't be Together""),"""");iferror(filter('Student Groupings'!$A:$A,'Student Groupings'!$E:$E=$C79,'Student Groupings'!$"&amp;"H:$H=""Can't be Together""),"""")})="" - "","""",join("" - "",{iferror(filter('Student Groupings'!$A:$A,'Student Groupings'!$B:$B=$C79,'Student Groupings'!$H:$H=""Can't be Together""),"""");iferror(filter('Student Groupings'!$A:$A,'Student Groupings'!$E:$"&amp;"E=$C79,'Student Groupings'!$H:$H=""Can't be Together""),"""")})))"),"")</f>
        <v/>
      </c>
      <c r="AD79" s="103" t="str">
        <f>IFERROR(__xludf.DUMMYFUNCTION("if($C79="""","""",if(join("" - "",{iferror(filter('Student Groupings'!$A:$A,'Student Groupings'!$B:$B=$C79,'Student Groupings'!$H:$H=""Must be Together""),"""");iferror(filter('Student Groupings'!$A:$A,'Student Groupings'!$E:$E=$C79,'Student Groupings'!$H"&amp;":$H=""Must be Together""),"""")})="" - "","""",join("" - "",{iferror(filter('Student Groupings'!$A:$A,'Student Groupings'!$B:$B=$C79,'Student Groupings'!$H:$H=""Must be Together""),"""");iferror(filter('Student Groupings'!$A:$A,'Student Groupings'!$E:$E=$"&amp;"C79,'Student Groupings'!$H:$H=""Must be Together""),"""")})))"),"")</f>
        <v/>
      </c>
      <c r="AE79" s="105"/>
      <c r="AF79" s="105"/>
      <c r="AG79" s="105">
        <v>1.0</v>
      </c>
      <c r="AH79" s="105"/>
    </row>
    <row r="80">
      <c r="A80" s="101">
        <v>6.0</v>
      </c>
      <c r="B80" s="101">
        <v>31079.0</v>
      </c>
      <c r="C80" s="102" t="s">
        <v>231</v>
      </c>
      <c r="D80" s="52" t="s">
        <v>171</v>
      </c>
      <c r="E80" s="52">
        <v>3.0</v>
      </c>
      <c r="F80" s="52" t="s">
        <v>158</v>
      </c>
      <c r="G80" s="52">
        <v>6.0</v>
      </c>
      <c r="H80" s="52" t="s">
        <v>182</v>
      </c>
      <c r="I80" s="52">
        <v>1.0</v>
      </c>
      <c r="J80" s="52" t="s">
        <v>192</v>
      </c>
      <c r="K80" s="52">
        <v>2.0</v>
      </c>
      <c r="L80" s="52" t="s">
        <v>196</v>
      </c>
      <c r="M80" s="52">
        <v>4.0</v>
      </c>
      <c r="N80" s="52" t="s">
        <v>153</v>
      </c>
      <c r="O80" s="52" t="s">
        <v>112</v>
      </c>
      <c r="P80" s="52" t="s">
        <v>142</v>
      </c>
      <c r="Q80" s="52" t="s">
        <v>124</v>
      </c>
      <c r="R80" s="52" t="s">
        <v>142</v>
      </c>
      <c r="S80" s="52" t="s">
        <v>124</v>
      </c>
      <c r="T80" s="65" t="s">
        <v>142</v>
      </c>
      <c r="U80" s="32">
        <v>1.0</v>
      </c>
      <c r="V80" s="32">
        <v>1.0</v>
      </c>
      <c r="W80" s="32">
        <v>1.0</v>
      </c>
      <c r="X80" s="32">
        <v>1.0</v>
      </c>
      <c r="Y80" s="32">
        <v>1.0</v>
      </c>
      <c r="Z80" s="32">
        <v>1.0</v>
      </c>
      <c r="AA80" s="32">
        <v>6.0</v>
      </c>
      <c r="AB80" s="32">
        <v>0.0</v>
      </c>
      <c r="AC80" s="103" t="str">
        <f>IFERROR(__xludf.DUMMYFUNCTION("if($C80="""","""",if(join("" - "",{iferror(filter('Student Groupings'!$A:$A,'Student Groupings'!$B:$B=$C80,'Student Groupings'!$H:$H=""Can't be Together""),"""");iferror(filter('Student Groupings'!$A:$A,'Student Groupings'!$E:$E=$C80,'Student Groupings'!$"&amp;"H:$H=""Can't be Together""),"""")})="" - "","""",join("" - "",{iferror(filter('Student Groupings'!$A:$A,'Student Groupings'!$B:$B=$C80,'Student Groupings'!$H:$H=""Can't be Together""),"""");iferror(filter('Student Groupings'!$A:$A,'Student Groupings'!$E:$"&amp;"E=$C80,'Student Groupings'!$H:$H=""Can't be Together""),"""")})))")," - 20")</f>
        <v> - 20</v>
      </c>
      <c r="AD80" s="103" t="str">
        <f>IFERROR(__xludf.DUMMYFUNCTION("if($C80="""","""",if(join("" - "",{iferror(filter('Student Groupings'!$A:$A,'Student Groupings'!$B:$B=$C80,'Student Groupings'!$H:$H=""Must be Together""),"""");iferror(filter('Student Groupings'!$A:$A,'Student Groupings'!$E:$E=$C80,'Student Groupings'!$H"&amp;":$H=""Must be Together""),"""")})="" - "","""",join("" - "",{iferror(filter('Student Groupings'!$A:$A,'Student Groupings'!$B:$B=$C80,'Student Groupings'!$H:$H=""Must be Together""),"""");iferror(filter('Student Groupings'!$A:$A,'Student Groupings'!$E:$E=$"&amp;"C80,'Student Groupings'!$H:$H=""Must be Together""),"""")})))"),"19 - ")</f>
        <v>19 - </v>
      </c>
      <c r="AE80" s="104"/>
      <c r="AF80" s="104"/>
      <c r="AG80" s="104"/>
      <c r="AH80" s="104"/>
    </row>
    <row r="81">
      <c r="A81" s="101">
        <v>6.0</v>
      </c>
      <c r="B81" s="101">
        <v>31080.0</v>
      </c>
      <c r="C81" s="102" t="s">
        <v>370</v>
      </c>
      <c r="D81" s="52" t="s">
        <v>171</v>
      </c>
      <c r="E81" s="52">
        <v>5.0</v>
      </c>
      <c r="F81" s="52" t="s">
        <v>158</v>
      </c>
      <c r="G81" s="52">
        <v>4.0</v>
      </c>
      <c r="H81" s="52" t="s">
        <v>182</v>
      </c>
      <c r="I81" s="52">
        <v>3.0</v>
      </c>
      <c r="J81" s="52" t="s">
        <v>192</v>
      </c>
      <c r="K81" s="52">
        <v>1.0</v>
      </c>
      <c r="L81" s="52" t="s">
        <v>196</v>
      </c>
      <c r="M81" s="52">
        <v>6.0</v>
      </c>
      <c r="N81" s="52" t="s">
        <v>153</v>
      </c>
      <c r="O81" s="52" t="s">
        <v>125</v>
      </c>
      <c r="P81" s="52" t="s">
        <v>117</v>
      </c>
      <c r="Q81" s="52" t="s">
        <v>119</v>
      </c>
      <c r="R81" s="52" t="s">
        <v>134</v>
      </c>
      <c r="S81" s="52" t="s">
        <v>119</v>
      </c>
      <c r="T81" s="65" t="s">
        <v>27</v>
      </c>
      <c r="U81" s="32">
        <v>1.0</v>
      </c>
      <c r="V81" s="32">
        <v>1.0</v>
      </c>
      <c r="W81" s="32">
        <v>1.0</v>
      </c>
      <c r="X81" s="32">
        <v>1.0</v>
      </c>
      <c r="Y81" s="32">
        <v>1.0</v>
      </c>
      <c r="Z81" s="32">
        <v>1.0</v>
      </c>
      <c r="AA81" s="32">
        <v>6.0</v>
      </c>
      <c r="AB81" s="32">
        <v>0.0</v>
      </c>
      <c r="AC81" s="103" t="str">
        <f>IFERROR(__xludf.DUMMYFUNCTION("if($C81="""","""",if(join("" - "",{iferror(filter('Student Groupings'!$A:$A,'Student Groupings'!$B:$B=$C81,'Student Groupings'!$H:$H=""Can't be Together""),"""");iferror(filter('Student Groupings'!$A:$A,'Student Groupings'!$E:$E=$C81,'Student Groupings'!$"&amp;"H:$H=""Can't be Together""),"""")})="" - "","""",join("" - "",{iferror(filter('Student Groupings'!$A:$A,'Student Groupings'!$B:$B=$C81,'Student Groupings'!$H:$H=""Can't be Together""),"""");iferror(filter('Student Groupings'!$A:$A,'Student Groupings'!$E:$"&amp;"E=$C81,'Student Groupings'!$H:$H=""Can't be Together""),"""")})))"),"")</f>
        <v/>
      </c>
      <c r="AD81" s="103" t="str">
        <f>IFERROR(__xludf.DUMMYFUNCTION("if($C81="""","""",if(join("" - "",{iferror(filter('Student Groupings'!$A:$A,'Student Groupings'!$B:$B=$C81,'Student Groupings'!$H:$H=""Must be Together""),"""");iferror(filter('Student Groupings'!$A:$A,'Student Groupings'!$E:$E=$C81,'Student Groupings'!$H"&amp;":$H=""Must be Together""),"""")})="" - "","""",join("" - "",{iferror(filter('Student Groupings'!$A:$A,'Student Groupings'!$B:$B=$C81,'Student Groupings'!$H:$H=""Must be Together""),"""");iferror(filter('Student Groupings'!$A:$A,'Student Groupings'!$E:$E=$"&amp;"C81,'Student Groupings'!$H:$H=""Must be Together""),"""")})))"),"")</f>
        <v/>
      </c>
      <c r="AE81" s="104"/>
      <c r="AF81" s="104"/>
      <c r="AG81" s="104"/>
      <c r="AH81" s="104"/>
    </row>
    <row r="82">
      <c r="A82" s="101">
        <v>6.0</v>
      </c>
      <c r="B82" s="101">
        <v>31081.0</v>
      </c>
      <c r="C82" s="102" t="s">
        <v>371</v>
      </c>
      <c r="D82" s="52" t="s">
        <v>171</v>
      </c>
      <c r="E82" s="52">
        <v>5.0</v>
      </c>
      <c r="F82" s="52" t="s">
        <v>158</v>
      </c>
      <c r="G82" s="52">
        <v>4.0</v>
      </c>
      <c r="H82" s="52" t="s">
        <v>182</v>
      </c>
      <c r="I82" s="52">
        <v>3.0</v>
      </c>
      <c r="J82" s="52" t="s">
        <v>192</v>
      </c>
      <c r="K82" s="52">
        <v>1.0</v>
      </c>
      <c r="L82" s="52" t="s">
        <v>196</v>
      </c>
      <c r="M82" s="52">
        <v>6.0</v>
      </c>
      <c r="N82" s="52" t="s">
        <v>153</v>
      </c>
      <c r="O82" s="52" t="s">
        <v>125</v>
      </c>
      <c r="P82" s="52" t="s">
        <v>134</v>
      </c>
      <c r="Q82" s="52" t="s">
        <v>119</v>
      </c>
      <c r="R82" s="52" t="s">
        <v>117</v>
      </c>
      <c r="S82" s="52" t="s">
        <v>119</v>
      </c>
      <c r="T82" s="65" t="s">
        <v>8</v>
      </c>
      <c r="U82" s="32">
        <v>1.0</v>
      </c>
      <c r="V82" s="32">
        <v>1.0</v>
      </c>
      <c r="W82" s="32">
        <v>1.0</v>
      </c>
      <c r="X82" s="32">
        <v>1.0</v>
      </c>
      <c r="Y82" s="32">
        <v>1.0</v>
      </c>
      <c r="Z82" s="32">
        <v>1.0</v>
      </c>
      <c r="AA82" s="32">
        <v>6.0</v>
      </c>
      <c r="AB82" s="32">
        <v>0.0</v>
      </c>
      <c r="AC82" s="103" t="str">
        <f>IFERROR(__xludf.DUMMYFUNCTION("if($C82="""","""",if(join("" - "",{iferror(filter('Student Groupings'!$A:$A,'Student Groupings'!$B:$B=$C82,'Student Groupings'!$H:$H=""Can't be Together""),"""");iferror(filter('Student Groupings'!$A:$A,'Student Groupings'!$E:$E=$C82,'Student Groupings'!$"&amp;"H:$H=""Can't be Together""),"""")})="" - "","""",join("" - "",{iferror(filter('Student Groupings'!$A:$A,'Student Groupings'!$B:$B=$C82,'Student Groupings'!$H:$H=""Can't be Together""),"""");iferror(filter('Student Groupings'!$A:$A,'Student Groupings'!$E:$"&amp;"E=$C82,'Student Groupings'!$H:$H=""Can't be Together""),"""")})))"),"")</f>
        <v/>
      </c>
      <c r="AD82" s="103" t="str">
        <f>IFERROR(__xludf.DUMMYFUNCTION("if($C82="""","""",if(join("" - "",{iferror(filter('Student Groupings'!$A:$A,'Student Groupings'!$B:$B=$C82,'Student Groupings'!$H:$H=""Must be Together""),"""");iferror(filter('Student Groupings'!$A:$A,'Student Groupings'!$E:$E=$C82,'Student Groupings'!$H"&amp;":$H=""Must be Together""),"""")})="" - "","""",join("" - "",{iferror(filter('Student Groupings'!$A:$A,'Student Groupings'!$B:$B=$C82,'Student Groupings'!$H:$H=""Must be Together""),"""");iferror(filter('Student Groupings'!$A:$A,'Student Groupings'!$E:$E=$"&amp;"C82,'Student Groupings'!$H:$H=""Must be Together""),"""")})))"),"")</f>
        <v/>
      </c>
      <c r="AE82" s="104"/>
      <c r="AF82" s="104"/>
      <c r="AG82" s="104"/>
      <c r="AH82" s="104"/>
    </row>
    <row r="83">
      <c r="A83" s="101">
        <v>6.0</v>
      </c>
      <c r="B83" s="101">
        <v>31082.0</v>
      </c>
      <c r="C83" s="102" t="s">
        <v>372</v>
      </c>
      <c r="D83" s="52" t="s">
        <v>171</v>
      </c>
      <c r="E83" s="52">
        <v>5.0</v>
      </c>
      <c r="F83" s="52" t="s">
        <v>158</v>
      </c>
      <c r="G83" s="52">
        <v>3.0</v>
      </c>
      <c r="H83" s="52" t="s">
        <v>182</v>
      </c>
      <c r="I83" s="52">
        <v>2.0</v>
      </c>
      <c r="J83" s="52" t="s">
        <v>192</v>
      </c>
      <c r="K83" s="52">
        <v>1.0</v>
      </c>
      <c r="L83" s="52" t="s">
        <v>196</v>
      </c>
      <c r="M83" s="52">
        <v>6.0</v>
      </c>
      <c r="N83" s="52" t="s">
        <v>153</v>
      </c>
      <c r="O83" s="52" t="s">
        <v>130</v>
      </c>
      <c r="P83" s="52" t="s">
        <v>117</v>
      </c>
      <c r="Q83" s="52" t="s">
        <v>111</v>
      </c>
      <c r="R83" s="52" t="s">
        <v>134</v>
      </c>
      <c r="S83" s="52" t="s">
        <v>111</v>
      </c>
      <c r="T83" s="65" t="s">
        <v>27</v>
      </c>
      <c r="U83" s="32">
        <v>1.0</v>
      </c>
      <c r="V83" s="32">
        <v>1.0</v>
      </c>
      <c r="W83" s="32">
        <v>1.0</v>
      </c>
      <c r="X83" s="32">
        <v>1.0</v>
      </c>
      <c r="Y83" s="32">
        <v>1.0</v>
      </c>
      <c r="Z83" s="32">
        <v>1.0</v>
      </c>
      <c r="AA83" s="32">
        <v>6.0</v>
      </c>
      <c r="AB83" s="32">
        <v>0.0</v>
      </c>
      <c r="AC83" s="103" t="str">
        <f>IFERROR(__xludf.DUMMYFUNCTION("if($C83="""","""",if(join("" - "",{iferror(filter('Student Groupings'!$A:$A,'Student Groupings'!$B:$B=$C83,'Student Groupings'!$H:$H=""Can't be Together""),"""");iferror(filter('Student Groupings'!$A:$A,'Student Groupings'!$E:$E=$C83,'Student Groupings'!$"&amp;"H:$H=""Can't be Together""),"""")})="" - "","""",join("" - "",{iferror(filter('Student Groupings'!$A:$A,'Student Groupings'!$B:$B=$C83,'Student Groupings'!$H:$H=""Can't be Together""),"""");iferror(filter('Student Groupings'!$A:$A,'Student Groupings'!$E:$"&amp;"E=$C83,'Student Groupings'!$H:$H=""Can't be Together""),"""")})))"),"")</f>
        <v/>
      </c>
      <c r="AD83" s="103" t="str">
        <f>IFERROR(__xludf.DUMMYFUNCTION("if($C83="""","""",if(join("" - "",{iferror(filter('Student Groupings'!$A:$A,'Student Groupings'!$B:$B=$C83,'Student Groupings'!$H:$H=""Must be Together""),"""");iferror(filter('Student Groupings'!$A:$A,'Student Groupings'!$E:$E=$C83,'Student Groupings'!$H"&amp;":$H=""Must be Together""),"""")})="" - "","""",join("" - "",{iferror(filter('Student Groupings'!$A:$A,'Student Groupings'!$B:$B=$C83,'Student Groupings'!$H:$H=""Must be Together""),"""");iferror(filter('Student Groupings'!$A:$A,'Student Groupings'!$E:$E=$"&amp;"C83,'Student Groupings'!$H:$H=""Must be Together""),"""")})))"),"")</f>
        <v/>
      </c>
      <c r="AE83" s="104"/>
      <c r="AF83" s="104"/>
      <c r="AG83" s="104"/>
      <c r="AH83" s="104"/>
    </row>
    <row r="84">
      <c r="A84" s="101">
        <v>6.0</v>
      </c>
      <c r="B84" s="101">
        <v>31083.0</v>
      </c>
      <c r="C84" s="102" t="s">
        <v>373</v>
      </c>
      <c r="D84" s="52" t="s">
        <v>171</v>
      </c>
      <c r="E84" s="52">
        <v>3.0</v>
      </c>
      <c r="F84" s="52" t="s">
        <v>158</v>
      </c>
      <c r="G84" s="52">
        <v>5.0</v>
      </c>
      <c r="H84" s="52" t="s">
        <v>182</v>
      </c>
      <c r="I84" s="52">
        <v>6.0</v>
      </c>
      <c r="J84" s="52" t="s">
        <v>192</v>
      </c>
      <c r="K84" s="52">
        <v>2.0</v>
      </c>
      <c r="L84" s="52" t="s">
        <v>196</v>
      </c>
      <c r="M84" s="52">
        <v>4.0</v>
      </c>
      <c r="N84" s="52" t="s">
        <v>153</v>
      </c>
      <c r="O84" s="52" t="s">
        <v>108</v>
      </c>
      <c r="P84" s="52" t="s">
        <v>134</v>
      </c>
      <c r="Q84" s="52" t="s">
        <v>129</v>
      </c>
      <c r="R84" s="52" t="s">
        <v>117</v>
      </c>
      <c r="S84" s="52" t="s">
        <v>129</v>
      </c>
      <c r="T84" s="65" t="s">
        <v>27</v>
      </c>
      <c r="U84" s="32">
        <v>1.0</v>
      </c>
      <c r="V84" s="32">
        <v>1.0</v>
      </c>
      <c r="W84" s="32">
        <v>1.0</v>
      </c>
      <c r="X84" s="32">
        <v>1.0</v>
      </c>
      <c r="Y84" s="32">
        <v>1.0</v>
      </c>
      <c r="Z84" s="32">
        <v>1.0</v>
      </c>
      <c r="AA84" s="32">
        <v>6.0</v>
      </c>
      <c r="AB84" s="32">
        <v>0.0</v>
      </c>
      <c r="AC84" s="103" t="str">
        <f>IFERROR(__xludf.DUMMYFUNCTION("if($C84="""","""",if(join("" - "",{iferror(filter('Student Groupings'!$A:$A,'Student Groupings'!$B:$B=$C84,'Student Groupings'!$H:$H=""Can't be Together""),"""");iferror(filter('Student Groupings'!$A:$A,'Student Groupings'!$E:$E=$C84,'Student Groupings'!$"&amp;"H:$H=""Can't be Together""),"""")})="" - "","""",join("" - "",{iferror(filter('Student Groupings'!$A:$A,'Student Groupings'!$B:$B=$C84,'Student Groupings'!$H:$H=""Can't be Together""),"""");iferror(filter('Student Groupings'!$A:$A,'Student Groupings'!$E:$"&amp;"E=$C84,'Student Groupings'!$H:$H=""Can't be Together""),"""")})))"),"")</f>
        <v/>
      </c>
      <c r="AD84" s="103" t="str">
        <f>IFERROR(__xludf.DUMMYFUNCTION("if($C84="""","""",if(join("" - "",{iferror(filter('Student Groupings'!$A:$A,'Student Groupings'!$B:$B=$C84,'Student Groupings'!$H:$H=""Must be Together""),"""");iferror(filter('Student Groupings'!$A:$A,'Student Groupings'!$E:$E=$C84,'Student Groupings'!$H"&amp;":$H=""Must be Together""),"""")})="" - "","""",join("" - "",{iferror(filter('Student Groupings'!$A:$A,'Student Groupings'!$B:$B=$C84,'Student Groupings'!$H:$H=""Must be Together""),"""");iferror(filter('Student Groupings'!$A:$A,'Student Groupings'!$E:$E=$"&amp;"C84,'Student Groupings'!$H:$H=""Must be Together""),"""")})))"),"")</f>
        <v/>
      </c>
      <c r="AE84" s="104"/>
      <c r="AF84" s="104"/>
      <c r="AG84" s="104"/>
      <c r="AH84" s="104"/>
    </row>
    <row r="85">
      <c r="A85" s="101">
        <v>6.0</v>
      </c>
      <c r="B85" s="101">
        <v>31084.0</v>
      </c>
      <c r="C85" s="102" t="s">
        <v>374</v>
      </c>
      <c r="D85" s="52" t="s">
        <v>171</v>
      </c>
      <c r="E85" s="52">
        <v>6.0</v>
      </c>
      <c r="F85" s="52" t="s">
        <v>158</v>
      </c>
      <c r="G85" s="52">
        <v>3.0</v>
      </c>
      <c r="H85" s="52" t="s">
        <v>182</v>
      </c>
      <c r="I85" s="52">
        <v>2.0</v>
      </c>
      <c r="J85" s="52" t="s">
        <v>192</v>
      </c>
      <c r="K85" s="52">
        <v>5.0</v>
      </c>
      <c r="L85" s="52" t="s">
        <v>196</v>
      </c>
      <c r="M85" s="52">
        <v>1.0</v>
      </c>
      <c r="N85" s="52" t="s">
        <v>153</v>
      </c>
      <c r="O85" s="52" t="s">
        <v>130</v>
      </c>
      <c r="P85" s="52" t="s">
        <v>134</v>
      </c>
      <c r="Q85" s="52" t="s">
        <v>111</v>
      </c>
      <c r="R85" s="52" t="s">
        <v>117</v>
      </c>
      <c r="S85" s="52" t="s">
        <v>111</v>
      </c>
      <c r="T85" s="65" t="s">
        <v>27</v>
      </c>
      <c r="U85" s="32">
        <v>1.0</v>
      </c>
      <c r="V85" s="32">
        <v>1.0</v>
      </c>
      <c r="W85" s="32">
        <v>1.0</v>
      </c>
      <c r="X85" s="32">
        <v>1.0</v>
      </c>
      <c r="Y85" s="32">
        <v>1.0</v>
      </c>
      <c r="Z85" s="32">
        <v>1.0</v>
      </c>
      <c r="AA85" s="32">
        <v>6.0</v>
      </c>
      <c r="AB85" s="32">
        <v>0.0</v>
      </c>
      <c r="AC85" s="103" t="str">
        <f>IFERROR(__xludf.DUMMYFUNCTION("if($C85="""","""",if(join("" - "",{iferror(filter('Student Groupings'!$A:$A,'Student Groupings'!$B:$B=$C85,'Student Groupings'!$H:$H=""Can't be Together""),"""");iferror(filter('Student Groupings'!$A:$A,'Student Groupings'!$E:$E=$C85,'Student Groupings'!$"&amp;"H:$H=""Can't be Together""),"""")})="" - "","""",join("" - "",{iferror(filter('Student Groupings'!$A:$A,'Student Groupings'!$B:$B=$C85,'Student Groupings'!$H:$H=""Can't be Together""),"""");iferror(filter('Student Groupings'!$A:$A,'Student Groupings'!$E:$"&amp;"E=$C85,'Student Groupings'!$H:$H=""Can't be Together""),"""")})))"),"")</f>
        <v/>
      </c>
      <c r="AD85" s="103" t="str">
        <f>IFERROR(__xludf.DUMMYFUNCTION("if($C85="""","""",if(join("" - "",{iferror(filter('Student Groupings'!$A:$A,'Student Groupings'!$B:$B=$C85,'Student Groupings'!$H:$H=""Must be Together""),"""");iferror(filter('Student Groupings'!$A:$A,'Student Groupings'!$E:$E=$C85,'Student Groupings'!$H"&amp;":$H=""Must be Together""),"""")})="" - "","""",join("" - "",{iferror(filter('Student Groupings'!$A:$A,'Student Groupings'!$B:$B=$C85,'Student Groupings'!$H:$H=""Must be Together""),"""");iferror(filter('Student Groupings'!$A:$A,'Student Groupings'!$E:$E=$"&amp;"C85,'Student Groupings'!$H:$H=""Must be Together""),"""")})))"),"")</f>
        <v/>
      </c>
      <c r="AE85" s="104"/>
      <c r="AF85" s="104"/>
      <c r="AG85" s="104"/>
      <c r="AH85" s="104"/>
    </row>
    <row r="86">
      <c r="A86" s="101">
        <v>6.0</v>
      </c>
      <c r="B86" s="101">
        <v>31085.0</v>
      </c>
      <c r="C86" s="102" t="s">
        <v>375</v>
      </c>
      <c r="D86" s="52" t="s">
        <v>173</v>
      </c>
      <c r="E86" s="52">
        <v>3.0</v>
      </c>
      <c r="F86" s="52" t="s">
        <v>158</v>
      </c>
      <c r="G86" s="52">
        <v>5.0</v>
      </c>
      <c r="H86" s="52" t="s">
        <v>182</v>
      </c>
      <c r="I86" s="52">
        <v>1.0</v>
      </c>
      <c r="J86" s="52" t="s">
        <v>194</v>
      </c>
      <c r="K86" s="52">
        <v>2.0</v>
      </c>
      <c r="L86" s="52" t="s">
        <v>198</v>
      </c>
      <c r="M86" s="52">
        <v>4.0</v>
      </c>
      <c r="N86" s="52" t="s">
        <v>153</v>
      </c>
      <c r="O86" s="52" t="s">
        <v>120</v>
      </c>
      <c r="P86" s="52" t="s">
        <v>134</v>
      </c>
      <c r="Q86" s="52" t="s">
        <v>109</v>
      </c>
      <c r="R86" s="52" t="s">
        <v>117</v>
      </c>
      <c r="S86" s="52" t="s">
        <v>109</v>
      </c>
      <c r="T86" s="65" t="s">
        <v>27</v>
      </c>
      <c r="U86" s="32">
        <v>1.0</v>
      </c>
      <c r="V86" s="32">
        <v>1.0</v>
      </c>
      <c r="W86" s="32">
        <v>1.0</v>
      </c>
      <c r="X86" s="32">
        <v>1.0</v>
      </c>
      <c r="Y86" s="32">
        <v>1.0</v>
      </c>
      <c r="Z86" s="32">
        <v>1.0</v>
      </c>
      <c r="AA86" s="32">
        <v>6.0</v>
      </c>
      <c r="AB86" s="32">
        <v>0.0</v>
      </c>
      <c r="AC86" s="103" t="str">
        <f>IFERROR(__xludf.DUMMYFUNCTION("if($C86="""","""",if(join("" - "",{iferror(filter('Student Groupings'!$A:$A,'Student Groupings'!$B:$B=$C86,'Student Groupings'!$H:$H=""Can't be Together""),"""");iferror(filter('Student Groupings'!$A:$A,'Student Groupings'!$E:$E=$C86,'Student Groupings'!$"&amp;"H:$H=""Can't be Together""),"""")})="" - "","""",join("" - "",{iferror(filter('Student Groupings'!$A:$A,'Student Groupings'!$B:$B=$C86,'Student Groupings'!$H:$H=""Can't be Together""),"""");iferror(filter('Student Groupings'!$A:$A,'Student Groupings'!$E:$"&amp;"E=$C86,'Student Groupings'!$H:$H=""Can't be Together""),"""")})))"),"")</f>
        <v/>
      </c>
      <c r="AD86" s="103" t="str">
        <f>IFERROR(__xludf.DUMMYFUNCTION("if($C86="""","""",if(join("" - "",{iferror(filter('Student Groupings'!$A:$A,'Student Groupings'!$B:$B=$C86,'Student Groupings'!$H:$H=""Must be Together""),"""");iferror(filter('Student Groupings'!$A:$A,'Student Groupings'!$E:$E=$C86,'Student Groupings'!$H"&amp;":$H=""Must be Together""),"""")})="" - "","""",join("" - "",{iferror(filter('Student Groupings'!$A:$A,'Student Groupings'!$B:$B=$C86,'Student Groupings'!$H:$H=""Must be Together""),"""");iferror(filter('Student Groupings'!$A:$A,'Student Groupings'!$E:$E=$"&amp;"C86,'Student Groupings'!$H:$H=""Must be Together""),"""")})))"),"")</f>
        <v/>
      </c>
      <c r="AE86" s="104"/>
      <c r="AF86" s="104"/>
      <c r="AG86" s="104"/>
      <c r="AH86" s="104"/>
    </row>
    <row r="87">
      <c r="A87" s="101">
        <v>6.0</v>
      </c>
      <c r="B87" s="101">
        <v>31158.0</v>
      </c>
      <c r="C87" s="102" t="s">
        <v>376</v>
      </c>
      <c r="D87" s="52" t="s">
        <v>173</v>
      </c>
      <c r="E87" s="52">
        <v>3.0</v>
      </c>
      <c r="F87" s="52" t="s">
        <v>158</v>
      </c>
      <c r="G87" s="52">
        <v>5.0</v>
      </c>
      <c r="H87" s="52" t="s">
        <v>182</v>
      </c>
      <c r="I87" s="52">
        <v>1.0</v>
      </c>
      <c r="J87" s="52" t="s">
        <v>194</v>
      </c>
      <c r="K87" s="52">
        <v>2.0</v>
      </c>
      <c r="L87" s="52" t="s">
        <v>198</v>
      </c>
      <c r="M87" s="52">
        <v>4.0</v>
      </c>
      <c r="N87" s="52" t="s">
        <v>153</v>
      </c>
      <c r="O87" s="52" t="s">
        <v>120</v>
      </c>
      <c r="P87" s="52" t="s">
        <v>134</v>
      </c>
      <c r="Q87" s="52" t="s">
        <v>109</v>
      </c>
      <c r="R87" s="52" t="s">
        <v>117</v>
      </c>
      <c r="S87" s="52" t="s">
        <v>109</v>
      </c>
      <c r="T87" s="65" t="s">
        <v>27</v>
      </c>
      <c r="U87" s="32">
        <v>1.0</v>
      </c>
      <c r="V87" s="32">
        <v>1.0</v>
      </c>
      <c r="W87" s="32">
        <v>1.0</v>
      </c>
      <c r="X87" s="32">
        <v>1.0</v>
      </c>
      <c r="Y87" s="32">
        <v>1.0</v>
      </c>
      <c r="Z87" s="32">
        <v>1.0</v>
      </c>
      <c r="AA87" s="32">
        <v>6.0</v>
      </c>
      <c r="AB87" s="32">
        <v>0.0</v>
      </c>
      <c r="AC87" s="103" t="str">
        <f>IFERROR(__xludf.DUMMYFUNCTION("if($C87="""","""",if(join("" - "",{iferror(filter('Student Groupings'!$A:$A,'Student Groupings'!$B:$B=$C87,'Student Groupings'!$H:$H=""Can't be Together""),"""");iferror(filter('Student Groupings'!$A:$A,'Student Groupings'!$E:$E=$C87,'Student Groupings'!$"&amp;"H:$H=""Can't be Together""),"""")})="" - "","""",join("" - "",{iferror(filter('Student Groupings'!$A:$A,'Student Groupings'!$B:$B=$C87,'Student Groupings'!$H:$H=""Can't be Together""),"""");iferror(filter('Student Groupings'!$A:$A,'Student Groupings'!$E:$"&amp;"E=$C87,'Student Groupings'!$H:$H=""Can't be Together""),"""")})))"),"")</f>
        <v/>
      </c>
      <c r="AD87" s="103" t="str">
        <f>IFERROR(__xludf.DUMMYFUNCTION("if($C87="""","""",if(join("" - "",{iferror(filter('Student Groupings'!$A:$A,'Student Groupings'!$B:$B=$C87,'Student Groupings'!$H:$H=""Must be Together""),"""");iferror(filter('Student Groupings'!$A:$A,'Student Groupings'!$E:$E=$C87,'Student Groupings'!$H"&amp;":$H=""Must be Together""),"""")})="" - "","""",join("" - "",{iferror(filter('Student Groupings'!$A:$A,'Student Groupings'!$B:$B=$C87,'Student Groupings'!$H:$H=""Must be Together""),"""");iferror(filter('Student Groupings'!$A:$A,'Student Groupings'!$E:$E=$"&amp;"C87,'Student Groupings'!$H:$H=""Must be Together""),"""")})))"),"")</f>
        <v/>
      </c>
      <c r="AE87" s="104"/>
      <c r="AF87" s="104"/>
      <c r="AG87" s="104"/>
      <c r="AH87" s="104"/>
    </row>
    <row r="88">
      <c r="A88" s="101">
        <v>6.0</v>
      </c>
      <c r="B88" s="101">
        <v>31086.0</v>
      </c>
      <c r="C88" s="102" t="s">
        <v>235</v>
      </c>
      <c r="D88" s="52" t="s">
        <v>171</v>
      </c>
      <c r="E88" s="52">
        <v>3.0</v>
      </c>
      <c r="F88" s="52" t="s">
        <v>158</v>
      </c>
      <c r="G88" s="52">
        <v>6.0</v>
      </c>
      <c r="H88" s="52" t="s">
        <v>182</v>
      </c>
      <c r="I88" s="52">
        <v>5.0</v>
      </c>
      <c r="J88" s="52" t="s">
        <v>192</v>
      </c>
      <c r="K88" s="52">
        <v>2.0</v>
      </c>
      <c r="L88" s="52" t="s">
        <v>196</v>
      </c>
      <c r="M88" s="52">
        <v>4.0</v>
      </c>
      <c r="N88" s="52" t="s">
        <v>153</v>
      </c>
      <c r="O88" s="52" t="s">
        <v>108</v>
      </c>
      <c r="P88" s="52" t="s">
        <v>117</v>
      </c>
      <c r="Q88" s="52" t="s">
        <v>129</v>
      </c>
      <c r="R88" s="52" t="s">
        <v>134</v>
      </c>
      <c r="S88" s="52" t="s">
        <v>129</v>
      </c>
      <c r="T88" s="65" t="s">
        <v>27</v>
      </c>
      <c r="U88" s="32">
        <v>1.0</v>
      </c>
      <c r="V88" s="32">
        <v>1.0</v>
      </c>
      <c r="W88" s="32">
        <v>1.0</v>
      </c>
      <c r="X88" s="32">
        <v>1.0</v>
      </c>
      <c r="Y88" s="32">
        <v>1.0</v>
      </c>
      <c r="Z88" s="32">
        <v>1.0</v>
      </c>
      <c r="AA88" s="32">
        <v>6.0</v>
      </c>
      <c r="AB88" s="32">
        <v>0.0</v>
      </c>
      <c r="AC88" s="103" t="str">
        <f>IFERROR(__xludf.DUMMYFUNCTION("if($C88="""","""",if(join("" - "",{iferror(filter('Student Groupings'!$A:$A,'Student Groupings'!$B:$B=$C88,'Student Groupings'!$H:$H=""Can't be Together""),"""");iferror(filter('Student Groupings'!$A:$A,'Student Groupings'!$E:$E=$C88,'Student Groupings'!$"&amp;"H:$H=""Can't be Together""),"""")})="" - "","""",join("" - "",{iferror(filter('Student Groupings'!$A:$A,'Student Groupings'!$B:$B=$C88,'Student Groupings'!$H:$H=""Can't be Together""),"""");iferror(filter('Student Groupings'!$A:$A,'Student Groupings'!$E:$"&amp;"E=$C88,'Student Groupings'!$H:$H=""Can't be Together""),"""")})))")," - 22")</f>
        <v> - 22</v>
      </c>
      <c r="AD88" s="103" t="str">
        <f>IFERROR(__xludf.DUMMYFUNCTION("if($C88="""","""",if(join("" - "",{iferror(filter('Student Groupings'!$A:$A,'Student Groupings'!$B:$B=$C88,'Student Groupings'!$H:$H=""Must be Together""),"""");iferror(filter('Student Groupings'!$A:$A,'Student Groupings'!$E:$E=$C88,'Student Groupings'!$H"&amp;":$H=""Must be Together""),"""")})="" - "","""",join("" - "",{iferror(filter('Student Groupings'!$A:$A,'Student Groupings'!$B:$B=$C88,'Student Groupings'!$H:$H=""Must be Together""),"""");iferror(filter('Student Groupings'!$A:$A,'Student Groupings'!$E:$E=$"&amp;"C88,'Student Groupings'!$H:$H=""Must be Together""),"""")})))"),"")</f>
        <v/>
      </c>
      <c r="AE88" s="104"/>
      <c r="AF88" s="104"/>
      <c r="AG88" s="104"/>
      <c r="AH88" s="104"/>
    </row>
    <row r="89">
      <c r="A89" s="101">
        <v>6.0</v>
      </c>
      <c r="B89" s="101">
        <v>31087.0</v>
      </c>
      <c r="C89" s="102" t="s">
        <v>377</v>
      </c>
      <c r="D89" s="52" t="s">
        <v>173</v>
      </c>
      <c r="E89" s="52">
        <v>3.0</v>
      </c>
      <c r="F89" s="52" t="s">
        <v>158</v>
      </c>
      <c r="G89" s="52">
        <v>6.0</v>
      </c>
      <c r="H89" s="52" t="s">
        <v>182</v>
      </c>
      <c r="I89" s="52">
        <v>5.0</v>
      </c>
      <c r="J89" s="52" t="s">
        <v>194</v>
      </c>
      <c r="K89" s="52">
        <v>2.0</v>
      </c>
      <c r="L89" s="52" t="s">
        <v>198</v>
      </c>
      <c r="M89" s="52">
        <v>4.0</v>
      </c>
      <c r="N89" s="52" t="s">
        <v>153</v>
      </c>
      <c r="O89" s="52" t="s">
        <v>108</v>
      </c>
      <c r="P89" s="52" t="s">
        <v>117</v>
      </c>
      <c r="Q89" s="52" t="s">
        <v>129</v>
      </c>
      <c r="R89" s="52" t="s">
        <v>134</v>
      </c>
      <c r="S89" s="52" t="s">
        <v>129</v>
      </c>
      <c r="T89" s="65" t="s">
        <v>27</v>
      </c>
      <c r="U89" s="32">
        <v>1.0</v>
      </c>
      <c r="V89" s="32">
        <v>1.0</v>
      </c>
      <c r="W89" s="32">
        <v>1.0</v>
      </c>
      <c r="X89" s="32">
        <v>1.0</v>
      </c>
      <c r="Y89" s="32">
        <v>1.0</v>
      </c>
      <c r="Z89" s="32">
        <v>1.0</v>
      </c>
      <c r="AA89" s="32">
        <v>6.0</v>
      </c>
      <c r="AB89" s="32">
        <v>0.0</v>
      </c>
      <c r="AC89" s="103" t="str">
        <f>IFERROR(__xludf.DUMMYFUNCTION("if($C89="""","""",if(join("" - "",{iferror(filter('Student Groupings'!$A:$A,'Student Groupings'!$B:$B=$C89,'Student Groupings'!$H:$H=""Can't be Together""),"""");iferror(filter('Student Groupings'!$A:$A,'Student Groupings'!$E:$E=$C89,'Student Groupings'!$"&amp;"H:$H=""Can't be Together""),"""")})="" - "","""",join("" - "",{iferror(filter('Student Groupings'!$A:$A,'Student Groupings'!$B:$B=$C89,'Student Groupings'!$H:$H=""Can't be Together""),"""");iferror(filter('Student Groupings'!$A:$A,'Student Groupings'!$E:$"&amp;"E=$C89,'Student Groupings'!$H:$H=""Can't be Together""),"""")})))"),"")</f>
        <v/>
      </c>
      <c r="AD89" s="103" t="str">
        <f>IFERROR(__xludf.DUMMYFUNCTION("if($C89="""","""",if(join("" - "",{iferror(filter('Student Groupings'!$A:$A,'Student Groupings'!$B:$B=$C89,'Student Groupings'!$H:$H=""Must be Together""),"""");iferror(filter('Student Groupings'!$A:$A,'Student Groupings'!$E:$E=$C89,'Student Groupings'!$H"&amp;":$H=""Must be Together""),"""")})="" - "","""",join("" - "",{iferror(filter('Student Groupings'!$A:$A,'Student Groupings'!$B:$B=$C89,'Student Groupings'!$H:$H=""Must be Together""),"""");iferror(filter('Student Groupings'!$A:$A,'Student Groupings'!$E:$E=$"&amp;"C89,'Student Groupings'!$H:$H=""Must be Together""),"""")})))"),"")</f>
        <v/>
      </c>
      <c r="AE89" s="104"/>
      <c r="AF89" s="104"/>
      <c r="AG89" s="104"/>
      <c r="AH89" s="104"/>
    </row>
    <row r="90">
      <c r="A90" s="101">
        <v>6.0</v>
      </c>
      <c r="B90" s="101">
        <v>31089.0</v>
      </c>
      <c r="C90" s="102" t="s">
        <v>378</v>
      </c>
      <c r="D90" s="52" t="s">
        <v>171</v>
      </c>
      <c r="E90" s="52">
        <v>6.0</v>
      </c>
      <c r="F90" s="52" t="s">
        <v>158</v>
      </c>
      <c r="G90" s="52">
        <v>4.0</v>
      </c>
      <c r="H90" s="52" t="s">
        <v>182</v>
      </c>
      <c r="I90" s="52">
        <v>3.0</v>
      </c>
      <c r="J90" s="52" t="s">
        <v>192</v>
      </c>
      <c r="K90" s="52">
        <v>5.0</v>
      </c>
      <c r="L90" s="52" t="s">
        <v>196</v>
      </c>
      <c r="M90" s="52">
        <v>1.0</v>
      </c>
      <c r="N90" s="52" t="s">
        <v>153</v>
      </c>
      <c r="O90" s="52" t="s">
        <v>125</v>
      </c>
      <c r="P90" s="52" t="s">
        <v>117</v>
      </c>
      <c r="Q90" s="52" t="s">
        <v>119</v>
      </c>
      <c r="R90" s="52" t="s">
        <v>134</v>
      </c>
      <c r="S90" s="52" t="s">
        <v>119</v>
      </c>
      <c r="T90" s="65" t="s">
        <v>27</v>
      </c>
      <c r="U90" s="32">
        <v>1.0</v>
      </c>
      <c r="V90" s="32">
        <v>1.0</v>
      </c>
      <c r="W90" s="32">
        <v>1.0</v>
      </c>
      <c r="X90" s="32">
        <v>1.0</v>
      </c>
      <c r="Y90" s="32">
        <v>1.0</v>
      </c>
      <c r="Z90" s="32">
        <v>1.0</v>
      </c>
      <c r="AA90" s="32">
        <v>6.0</v>
      </c>
      <c r="AB90" s="32">
        <v>0.0</v>
      </c>
      <c r="AC90" s="103" t="str">
        <f>IFERROR(__xludf.DUMMYFUNCTION("if($C90="""","""",if(join("" - "",{iferror(filter('Student Groupings'!$A:$A,'Student Groupings'!$B:$B=$C90,'Student Groupings'!$H:$H=""Can't be Together""),"""");iferror(filter('Student Groupings'!$A:$A,'Student Groupings'!$E:$E=$C90,'Student Groupings'!$"&amp;"H:$H=""Can't be Together""),"""")})="" - "","""",join("" - "",{iferror(filter('Student Groupings'!$A:$A,'Student Groupings'!$B:$B=$C90,'Student Groupings'!$H:$H=""Can't be Together""),"""");iferror(filter('Student Groupings'!$A:$A,'Student Groupings'!$E:$"&amp;"E=$C90,'Student Groupings'!$H:$H=""Can't be Together""),"""")})))"),"")</f>
        <v/>
      </c>
      <c r="AD90" s="103" t="str">
        <f>IFERROR(__xludf.DUMMYFUNCTION("if($C90="""","""",if(join("" - "",{iferror(filter('Student Groupings'!$A:$A,'Student Groupings'!$B:$B=$C90,'Student Groupings'!$H:$H=""Must be Together""),"""");iferror(filter('Student Groupings'!$A:$A,'Student Groupings'!$E:$E=$C90,'Student Groupings'!$H"&amp;":$H=""Must be Together""),"""")})="" - "","""",join("" - "",{iferror(filter('Student Groupings'!$A:$A,'Student Groupings'!$B:$B=$C90,'Student Groupings'!$H:$H=""Must be Together""),"""");iferror(filter('Student Groupings'!$A:$A,'Student Groupings'!$E:$E=$"&amp;"C90,'Student Groupings'!$H:$H=""Must be Together""),"""")})))"),"")</f>
        <v/>
      </c>
      <c r="AE90" s="104"/>
      <c r="AF90" s="104"/>
      <c r="AG90" s="104"/>
      <c r="AH90" s="104"/>
    </row>
    <row r="91">
      <c r="A91" s="101">
        <v>6.0</v>
      </c>
      <c r="B91" s="101">
        <v>31088.0</v>
      </c>
      <c r="C91" s="102" t="s">
        <v>223</v>
      </c>
      <c r="D91" s="52" t="s">
        <v>171</v>
      </c>
      <c r="E91" s="52">
        <v>5.0</v>
      </c>
      <c r="F91" s="52" t="s">
        <v>158</v>
      </c>
      <c r="G91" s="52">
        <v>3.0</v>
      </c>
      <c r="H91" s="52" t="s">
        <v>182</v>
      </c>
      <c r="I91" s="52">
        <v>2.0</v>
      </c>
      <c r="J91" s="52" t="s">
        <v>192</v>
      </c>
      <c r="K91" s="52">
        <v>1.0</v>
      </c>
      <c r="L91" s="52" t="s">
        <v>196</v>
      </c>
      <c r="M91" s="52">
        <v>6.0</v>
      </c>
      <c r="N91" s="52" t="s">
        <v>153</v>
      </c>
      <c r="O91" s="52" t="s">
        <v>130</v>
      </c>
      <c r="P91" s="52" t="s">
        <v>117</v>
      </c>
      <c r="Q91" s="52" t="s">
        <v>111</v>
      </c>
      <c r="R91" s="52" t="s">
        <v>134</v>
      </c>
      <c r="S91" s="52" t="s">
        <v>111</v>
      </c>
      <c r="T91" s="65" t="s">
        <v>27</v>
      </c>
      <c r="U91" s="32">
        <v>1.0</v>
      </c>
      <c r="V91" s="32">
        <v>1.0</v>
      </c>
      <c r="W91" s="32">
        <v>1.0</v>
      </c>
      <c r="X91" s="32">
        <v>1.0</v>
      </c>
      <c r="Y91" s="32">
        <v>1.0</v>
      </c>
      <c r="Z91" s="32">
        <v>1.0</v>
      </c>
      <c r="AA91" s="32">
        <v>6.0</v>
      </c>
      <c r="AB91" s="32">
        <v>0.0</v>
      </c>
      <c r="AC91" s="103" t="str">
        <f>IFERROR(__xludf.DUMMYFUNCTION("if($C91="""","""",if(join("" - "",{iferror(filter('Student Groupings'!$A:$A,'Student Groupings'!$B:$B=$C91,'Student Groupings'!$H:$H=""Can't be Together""),"""");iferror(filter('Student Groupings'!$A:$A,'Student Groupings'!$E:$E=$C91,'Student Groupings'!$"&amp;"H:$H=""Can't be Together""),"""")})="" - "","""",join("" - "",{iferror(filter('Student Groupings'!$A:$A,'Student Groupings'!$B:$B=$C91,'Student Groupings'!$H:$H=""Can't be Together""),"""");iferror(filter('Student Groupings'!$A:$A,'Student Groupings'!$E:$"&amp;"E=$C91,'Student Groupings'!$H:$H=""Can't be Together""),"""")})))")," - 9 - 12")</f>
        <v> - 9 - 12</v>
      </c>
      <c r="AD91" s="103" t="str">
        <f>IFERROR(__xludf.DUMMYFUNCTION("if($C91="""","""",if(join("" - "",{iferror(filter('Student Groupings'!$A:$A,'Student Groupings'!$B:$B=$C91,'Student Groupings'!$H:$H=""Must be Together""),"""");iferror(filter('Student Groupings'!$A:$A,'Student Groupings'!$E:$E=$C91,'Student Groupings'!$H"&amp;":$H=""Must be Together""),"""")})="" - "","""",join("" - "",{iferror(filter('Student Groupings'!$A:$A,'Student Groupings'!$B:$B=$C91,'Student Groupings'!$H:$H=""Must be Together""),"""");iferror(filter('Student Groupings'!$A:$A,'Student Groupings'!$E:$E=$"&amp;"C91,'Student Groupings'!$H:$H=""Must be Together""),"""")})))"),"")</f>
        <v/>
      </c>
      <c r="AE91" s="104"/>
      <c r="AF91" s="104"/>
      <c r="AG91" s="104"/>
      <c r="AH91" s="104"/>
    </row>
    <row r="92">
      <c r="A92" s="101">
        <v>6.0</v>
      </c>
      <c r="B92" s="101">
        <v>31090.0</v>
      </c>
      <c r="C92" s="102" t="s">
        <v>379</v>
      </c>
      <c r="D92" s="52" t="s">
        <v>173</v>
      </c>
      <c r="E92" s="52">
        <v>3.0</v>
      </c>
      <c r="F92" s="52" t="s">
        <v>159</v>
      </c>
      <c r="G92" s="52">
        <v>5.0</v>
      </c>
      <c r="H92" s="52" t="s">
        <v>181</v>
      </c>
      <c r="I92" s="52">
        <v>1.0</v>
      </c>
      <c r="J92" s="52" t="s">
        <v>194</v>
      </c>
      <c r="K92" s="52">
        <v>2.0</v>
      </c>
      <c r="L92" s="52" t="s">
        <v>198</v>
      </c>
      <c r="M92" s="52">
        <v>4.0</v>
      </c>
      <c r="N92" s="52" t="s">
        <v>153</v>
      </c>
      <c r="O92" s="52" t="s">
        <v>109</v>
      </c>
      <c r="P92" s="52" t="s">
        <v>143</v>
      </c>
      <c r="Q92" s="52" t="s">
        <v>120</v>
      </c>
      <c r="R92" s="52" t="s">
        <v>143</v>
      </c>
      <c r="S92" s="52" t="s">
        <v>120</v>
      </c>
      <c r="T92" s="65" t="s">
        <v>143</v>
      </c>
      <c r="U92" s="32">
        <v>1.0</v>
      </c>
      <c r="V92" s="32">
        <v>1.0</v>
      </c>
      <c r="W92" s="32">
        <v>1.0</v>
      </c>
      <c r="X92" s="32">
        <v>1.0</v>
      </c>
      <c r="Y92" s="32">
        <v>1.0</v>
      </c>
      <c r="Z92" s="32">
        <v>1.0</v>
      </c>
      <c r="AA92" s="32">
        <v>6.0</v>
      </c>
      <c r="AB92" s="32">
        <v>0.0</v>
      </c>
      <c r="AC92" s="103" t="str">
        <f>IFERROR(__xludf.DUMMYFUNCTION("if($C92="""","""",if(join("" - "",{iferror(filter('Student Groupings'!$A:$A,'Student Groupings'!$B:$B=$C92,'Student Groupings'!$H:$H=""Can't be Together""),"""");iferror(filter('Student Groupings'!$A:$A,'Student Groupings'!$E:$E=$C92,'Student Groupings'!$"&amp;"H:$H=""Can't be Together""),"""")})="" - "","""",join("" - "",{iferror(filter('Student Groupings'!$A:$A,'Student Groupings'!$B:$B=$C92,'Student Groupings'!$H:$H=""Can't be Together""),"""");iferror(filter('Student Groupings'!$A:$A,'Student Groupings'!$E:$"&amp;"E=$C92,'Student Groupings'!$H:$H=""Can't be Together""),"""")})))"),"")</f>
        <v/>
      </c>
      <c r="AD92" s="103" t="str">
        <f>IFERROR(__xludf.DUMMYFUNCTION("if($C92="""","""",if(join("" - "",{iferror(filter('Student Groupings'!$A:$A,'Student Groupings'!$B:$B=$C92,'Student Groupings'!$H:$H=""Must be Together""),"""");iferror(filter('Student Groupings'!$A:$A,'Student Groupings'!$E:$E=$C92,'Student Groupings'!$H"&amp;":$H=""Must be Together""),"""")})="" - "","""",join("" - "",{iferror(filter('Student Groupings'!$A:$A,'Student Groupings'!$B:$B=$C92,'Student Groupings'!$H:$H=""Must be Together""),"""");iferror(filter('Student Groupings'!$A:$A,'Student Groupings'!$E:$E=$"&amp;"C92,'Student Groupings'!$H:$H=""Must be Together""),"""")})))"),"")</f>
        <v/>
      </c>
      <c r="AE92" s="104"/>
      <c r="AF92" s="104"/>
      <c r="AG92" s="104"/>
      <c r="AH92" s="104"/>
    </row>
    <row r="93">
      <c r="A93" s="101">
        <v>6.0</v>
      </c>
      <c r="B93" s="101">
        <v>31092.0</v>
      </c>
      <c r="C93" s="102" t="s">
        <v>380</v>
      </c>
      <c r="D93" s="52" t="s">
        <v>173</v>
      </c>
      <c r="E93" s="52">
        <v>3.0</v>
      </c>
      <c r="F93" s="52" t="s">
        <v>158</v>
      </c>
      <c r="G93" s="52">
        <v>1.0</v>
      </c>
      <c r="H93" s="52" t="s">
        <v>182</v>
      </c>
      <c r="I93" s="52">
        <v>5.0</v>
      </c>
      <c r="J93" s="52" t="s">
        <v>194</v>
      </c>
      <c r="K93" s="101">
        <v>2.0</v>
      </c>
      <c r="L93" s="52" t="s">
        <v>198</v>
      </c>
      <c r="M93" s="52">
        <v>4.0</v>
      </c>
      <c r="N93" s="52" t="s">
        <v>153</v>
      </c>
      <c r="O93" s="52" t="s">
        <v>109</v>
      </c>
      <c r="P93" s="52" t="s">
        <v>143</v>
      </c>
      <c r="Q93" s="52" t="s">
        <v>120</v>
      </c>
      <c r="R93" s="52" t="s">
        <v>143</v>
      </c>
      <c r="S93" s="52" t="s">
        <v>120</v>
      </c>
      <c r="T93" s="65" t="s">
        <v>143</v>
      </c>
      <c r="U93" s="32">
        <v>1.0</v>
      </c>
      <c r="V93" s="32">
        <v>1.0</v>
      </c>
      <c r="W93" s="32">
        <v>1.0</v>
      </c>
      <c r="X93" s="32">
        <v>1.0</v>
      </c>
      <c r="Y93" s="32">
        <v>1.0</v>
      </c>
      <c r="Z93" s="32">
        <v>1.0</v>
      </c>
      <c r="AA93" s="32">
        <v>6.0</v>
      </c>
      <c r="AB93" s="32">
        <v>0.0</v>
      </c>
      <c r="AC93" s="103" t="str">
        <f>IFERROR(__xludf.DUMMYFUNCTION("if($C93="""","""",if(join("" - "",{iferror(filter('Student Groupings'!$A:$A,'Student Groupings'!$B:$B=$C93,'Student Groupings'!$H:$H=""Can't be Together""),"""");iferror(filter('Student Groupings'!$A:$A,'Student Groupings'!$E:$E=$C93,'Student Groupings'!$"&amp;"H:$H=""Can't be Together""),"""")})="" - "","""",join("" - "",{iferror(filter('Student Groupings'!$A:$A,'Student Groupings'!$B:$B=$C93,'Student Groupings'!$H:$H=""Can't be Together""),"""");iferror(filter('Student Groupings'!$A:$A,'Student Groupings'!$E:$"&amp;"E=$C93,'Student Groupings'!$H:$H=""Can't be Together""),"""")})))"),"")</f>
        <v/>
      </c>
      <c r="AD93" s="103" t="str">
        <f>IFERROR(__xludf.DUMMYFUNCTION("if($C93="""","""",if(join("" - "",{iferror(filter('Student Groupings'!$A:$A,'Student Groupings'!$B:$B=$C93,'Student Groupings'!$H:$H=""Must be Together""),"""");iferror(filter('Student Groupings'!$A:$A,'Student Groupings'!$E:$E=$C93,'Student Groupings'!$H"&amp;":$H=""Must be Together""),"""")})="" - "","""",join("" - "",{iferror(filter('Student Groupings'!$A:$A,'Student Groupings'!$B:$B=$C93,'Student Groupings'!$H:$H=""Must be Together""),"""");iferror(filter('Student Groupings'!$A:$A,'Student Groupings'!$E:$E=$"&amp;"C93,'Student Groupings'!$H:$H=""Must be Together""),"""")})))"),"")</f>
        <v/>
      </c>
      <c r="AE93" s="104"/>
      <c r="AF93" s="104"/>
      <c r="AG93" s="104"/>
      <c r="AH93" s="104"/>
    </row>
    <row r="94">
      <c r="A94" s="101">
        <v>6.0</v>
      </c>
      <c r="B94" s="101">
        <v>31091.0</v>
      </c>
      <c r="C94" s="102" t="s">
        <v>381</v>
      </c>
      <c r="D94" s="52" t="s">
        <v>171</v>
      </c>
      <c r="E94" s="52">
        <v>6.0</v>
      </c>
      <c r="F94" s="52" t="s">
        <v>158</v>
      </c>
      <c r="G94" s="52">
        <v>4.0</v>
      </c>
      <c r="H94" s="52" t="s">
        <v>182</v>
      </c>
      <c r="I94" s="52">
        <v>3.0</v>
      </c>
      <c r="J94" s="52" t="s">
        <v>192</v>
      </c>
      <c r="K94" s="52">
        <v>5.0</v>
      </c>
      <c r="L94" s="52" t="s">
        <v>196</v>
      </c>
      <c r="M94" s="52">
        <v>1.0</v>
      </c>
      <c r="N94" s="52" t="s">
        <v>153</v>
      </c>
      <c r="O94" s="52" t="s">
        <v>125</v>
      </c>
      <c r="P94" s="52" t="s">
        <v>134</v>
      </c>
      <c r="Q94" s="52" t="s">
        <v>119</v>
      </c>
      <c r="R94" s="52" t="s">
        <v>117</v>
      </c>
      <c r="S94" s="52" t="s">
        <v>119</v>
      </c>
      <c r="T94" s="65" t="s">
        <v>27</v>
      </c>
      <c r="U94" s="32">
        <v>1.0</v>
      </c>
      <c r="V94" s="32">
        <v>1.0</v>
      </c>
      <c r="W94" s="32">
        <v>1.0</v>
      </c>
      <c r="X94" s="32">
        <v>1.0</v>
      </c>
      <c r="Y94" s="32">
        <v>1.0</v>
      </c>
      <c r="Z94" s="32">
        <v>1.0</v>
      </c>
      <c r="AA94" s="32">
        <v>6.0</v>
      </c>
      <c r="AB94" s="32">
        <v>0.0</v>
      </c>
      <c r="AC94" s="103" t="str">
        <f>IFERROR(__xludf.DUMMYFUNCTION("if($C94="""","""",if(join("" - "",{iferror(filter('Student Groupings'!$A:$A,'Student Groupings'!$B:$B=$C94,'Student Groupings'!$H:$H=""Can't be Together""),"""");iferror(filter('Student Groupings'!$A:$A,'Student Groupings'!$E:$E=$C94,'Student Groupings'!$"&amp;"H:$H=""Can't be Together""),"""")})="" - "","""",join("" - "",{iferror(filter('Student Groupings'!$A:$A,'Student Groupings'!$B:$B=$C94,'Student Groupings'!$H:$H=""Can't be Together""),"""");iferror(filter('Student Groupings'!$A:$A,'Student Groupings'!$E:$"&amp;"E=$C94,'Student Groupings'!$H:$H=""Can't be Together""),"""")})))"),"")</f>
        <v/>
      </c>
      <c r="AD94" s="103" t="str">
        <f>IFERROR(__xludf.DUMMYFUNCTION("if($C94="""","""",if(join("" - "",{iferror(filter('Student Groupings'!$A:$A,'Student Groupings'!$B:$B=$C94,'Student Groupings'!$H:$H=""Must be Together""),"""");iferror(filter('Student Groupings'!$A:$A,'Student Groupings'!$E:$E=$C94,'Student Groupings'!$H"&amp;":$H=""Must be Together""),"""")})="" - "","""",join("" - "",{iferror(filter('Student Groupings'!$A:$A,'Student Groupings'!$B:$B=$C94,'Student Groupings'!$H:$H=""Must be Together""),"""");iferror(filter('Student Groupings'!$A:$A,'Student Groupings'!$E:$E=$"&amp;"C94,'Student Groupings'!$H:$H=""Must be Together""),"""")})))"),"")</f>
        <v/>
      </c>
      <c r="AE94" s="104"/>
      <c r="AF94" s="104"/>
      <c r="AG94" s="104"/>
      <c r="AH94" s="104"/>
    </row>
    <row r="95">
      <c r="A95" s="101">
        <v>6.0</v>
      </c>
      <c r="B95" s="101">
        <v>31160.0</v>
      </c>
      <c r="C95" s="102" t="s">
        <v>382</v>
      </c>
      <c r="D95" s="52" t="s">
        <v>171</v>
      </c>
      <c r="E95" s="52">
        <v>5.0</v>
      </c>
      <c r="F95" s="52" t="s">
        <v>158</v>
      </c>
      <c r="G95" s="52">
        <v>4.0</v>
      </c>
      <c r="H95" s="52" t="s">
        <v>182</v>
      </c>
      <c r="I95" s="52">
        <v>3.0</v>
      </c>
      <c r="J95" s="52" t="s">
        <v>192</v>
      </c>
      <c r="K95" s="52">
        <v>1.0</v>
      </c>
      <c r="L95" s="52" t="s">
        <v>196</v>
      </c>
      <c r="M95" s="52">
        <v>6.0</v>
      </c>
      <c r="N95" s="52" t="s">
        <v>153</v>
      </c>
      <c r="O95" s="52" t="s">
        <v>125</v>
      </c>
      <c r="P95" s="52" t="s">
        <v>117</v>
      </c>
      <c r="Q95" s="52" t="s">
        <v>119</v>
      </c>
      <c r="R95" s="52" t="s">
        <v>134</v>
      </c>
      <c r="S95" s="52" t="s">
        <v>119</v>
      </c>
      <c r="T95" s="65" t="s">
        <v>8</v>
      </c>
      <c r="U95" s="32">
        <v>1.0</v>
      </c>
      <c r="V95" s="32">
        <v>1.0</v>
      </c>
      <c r="W95" s="32">
        <v>1.0</v>
      </c>
      <c r="X95" s="32">
        <v>1.0</v>
      </c>
      <c r="Y95" s="32">
        <v>1.0</v>
      </c>
      <c r="Z95" s="32">
        <v>1.0</v>
      </c>
      <c r="AA95" s="32">
        <v>6.0</v>
      </c>
      <c r="AB95" s="32">
        <v>0.0</v>
      </c>
      <c r="AC95" s="103" t="str">
        <f>IFERROR(__xludf.DUMMYFUNCTION("if($C95="""","""",if(join("" - "",{iferror(filter('Student Groupings'!$A:$A,'Student Groupings'!$B:$B=$C95,'Student Groupings'!$H:$H=""Can't be Together""),"""");iferror(filter('Student Groupings'!$A:$A,'Student Groupings'!$E:$E=$C95,'Student Groupings'!$"&amp;"H:$H=""Can't be Together""),"""")})="" - "","""",join("" - "",{iferror(filter('Student Groupings'!$A:$A,'Student Groupings'!$B:$B=$C95,'Student Groupings'!$H:$H=""Can't be Together""),"""");iferror(filter('Student Groupings'!$A:$A,'Student Groupings'!$E:$"&amp;"E=$C95,'Student Groupings'!$H:$H=""Can't be Together""),"""")})))"),"")</f>
        <v/>
      </c>
      <c r="AD95" s="103" t="str">
        <f>IFERROR(__xludf.DUMMYFUNCTION("if($C95="""","""",if(join("" - "",{iferror(filter('Student Groupings'!$A:$A,'Student Groupings'!$B:$B=$C95,'Student Groupings'!$H:$H=""Must be Together""),"""");iferror(filter('Student Groupings'!$A:$A,'Student Groupings'!$E:$E=$C95,'Student Groupings'!$H"&amp;":$H=""Must be Together""),"""")})="" - "","""",join("" - "",{iferror(filter('Student Groupings'!$A:$A,'Student Groupings'!$B:$B=$C95,'Student Groupings'!$H:$H=""Must be Together""),"""");iferror(filter('Student Groupings'!$A:$A,'Student Groupings'!$E:$E=$"&amp;"C95,'Student Groupings'!$H:$H=""Must be Together""),"""")})))"),"")</f>
        <v/>
      </c>
      <c r="AE95" s="104"/>
      <c r="AF95" s="104"/>
      <c r="AG95" s="104"/>
      <c r="AH95" s="104"/>
    </row>
    <row r="96">
      <c r="A96" s="101">
        <v>6.0</v>
      </c>
      <c r="B96" s="101">
        <v>31093.0</v>
      </c>
      <c r="C96" s="102" t="s">
        <v>383</v>
      </c>
      <c r="D96" s="52" t="s">
        <v>171</v>
      </c>
      <c r="E96" s="52">
        <v>2.0</v>
      </c>
      <c r="F96" s="52" t="s">
        <v>159</v>
      </c>
      <c r="G96" s="52">
        <v>5.0</v>
      </c>
      <c r="H96" s="52" t="s">
        <v>182</v>
      </c>
      <c r="I96" s="52">
        <v>6.0</v>
      </c>
      <c r="J96" s="52" t="s">
        <v>192</v>
      </c>
      <c r="K96" s="52">
        <v>4.0</v>
      </c>
      <c r="L96" s="52" t="s">
        <v>196</v>
      </c>
      <c r="M96" s="52">
        <v>3.0</v>
      </c>
      <c r="N96" s="52" t="s">
        <v>153</v>
      </c>
      <c r="O96" s="52" t="s">
        <v>108</v>
      </c>
      <c r="P96" s="52" t="s">
        <v>117</v>
      </c>
      <c r="Q96" s="52" t="s">
        <v>129</v>
      </c>
      <c r="R96" s="52" t="s">
        <v>134</v>
      </c>
      <c r="S96" s="52" t="s">
        <v>129</v>
      </c>
      <c r="T96" s="65" t="s">
        <v>27</v>
      </c>
      <c r="U96" s="32">
        <v>1.0</v>
      </c>
      <c r="V96" s="32">
        <v>1.0</v>
      </c>
      <c r="W96" s="32">
        <v>1.0</v>
      </c>
      <c r="X96" s="32">
        <v>1.0</v>
      </c>
      <c r="Y96" s="32">
        <v>1.0</v>
      </c>
      <c r="Z96" s="32">
        <v>1.0</v>
      </c>
      <c r="AA96" s="32">
        <v>6.0</v>
      </c>
      <c r="AB96" s="32">
        <v>0.0</v>
      </c>
      <c r="AC96" s="103" t="str">
        <f>IFERROR(__xludf.DUMMYFUNCTION("if($C96="""","""",if(join("" - "",{iferror(filter('Student Groupings'!$A:$A,'Student Groupings'!$B:$B=$C96,'Student Groupings'!$H:$H=""Can't be Together""),"""");iferror(filter('Student Groupings'!$A:$A,'Student Groupings'!$E:$E=$C96,'Student Groupings'!$"&amp;"H:$H=""Can't be Together""),"""")})="" - "","""",join("" - "",{iferror(filter('Student Groupings'!$A:$A,'Student Groupings'!$B:$B=$C96,'Student Groupings'!$H:$H=""Can't be Together""),"""");iferror(filter('Student Groupings'!$A:$A,'Student Groupings'!$E:$"&amp;"E=$C96,'Student Groupings'!$H:$H=""Can't be Together""),"""")})))"),"")</f>
        <v/>
      </c>
      <c r="AD96" s="103" t="str">
        <f>IFERROR(__xludf.DUMMYFUNCTION("if($C96="""","""",if(join("" - "",{iferror(filter('Student Groupings'!$A:$A,'Student Groupings'!$B:$B=$C96,'Student Groupings'!$H:$H=""Must be Together""),"""");iferror(filter('Student Groupings'!$A:$A,'Student Groupings'!$E:$E=$C96,'Student Groupings'!$H"&amp;":$H=""Must be Together""),"""")})="" - "","""",join("" - "",{iferror(filter('Student Groupings'!$A:$A,'Student Groupings'!$B:$B=$C96,'Student Groupings'!$H:$H=""Must be Together""),"""");iferror(filter('Student Groupings'!$A:$A,'Student Groupings'!$E:$E=$"&amp;"C96,'Student Groupings'!$H:$H=""Must be Together""),"""")})))"),"")</f>
        <v/>
      </c>
      <c r="AE96" s="104"/>
      <c r="AF96" s="104"/>
      <c r="AG96" s="105">
        <v>1.0</v>
      </c>
      <c r="AH96" s="105"/>
    </row>
    <row r="97">
      <c r="A97" s="101">
        <v>6.0</v>
      </c>
      <c r="B97" s="101">
        <v>31095.0</v>
      </c>
      <c r="C97" s="102" t="s">
        <v>384</v>
      </c>
      <c r="D97" s="52" t="s">
        <v>171</v>
      </c>
      <c r="E97" s="52">
        <v>4.0</v>
      </c>
      <c r="F97" s="52" t="s">
        <v>158</v>
      </c>
      <c r="G97" s="52">
        <v>1.0</v>
      </c>
      <c r="H97" s="52" t="s">
        <v>182</v>
      </c>
      <c r="I97" s="52">
        <v>5.0</v>
      </c>
      <c r="J97" s="52" t="s">
        <v>192</v>
      </c>
      <c r="K97" s="52">
        <v>3.0</v>
      </c>
      <c r="L97" s="52" t="s">
        <v>196</v>
      </c>
      <c r="M97" s="52">
        <v>2.0</v>
      </c>
      <c r="N97" s="52" t="s">
        <v>153</v>
      </c>
      <c r="O97" s="52" t="s">
        <v>120</v>
      </c>
      <c r="P97" s="52" t="s">
        <v>134</v>
      </c>
      <c r="Q97" s="52" t="s">
        <v>109</v>
      </c>
      <c r="R97" s="52" t="s">
        <v>117</v>
      </c>
      <c r="S97" s="52" t="s">
        <v>109</v>
      </c>
      <c r="T97" s="65" t="s">
        <v>27</v>
      </c>
      <c r="U97" s="32">
        <v>1.0</v>
      </c>
      <c r="V97" s="32">
        <v>1.0</v>
      </c>
      <c r="W97" s="32">
        <v>1.0</v>
      </c>
      <c r="X97" s="32">
        <v>1.0</v>
      </c>
      <c r="Y97" s="32">
        <v>1.0</v>
      </c>
      <c r="Z97" s="32">
        <v>1.0</v>
      </c>
      <c r="AA97" s="32">
        <v>6.0</v>
      </c>
      <c r="AB97" s="32">
        <v>0.0</v>
      </c>
      <c r="AC97" s="103" t="str">
        <f>IFERROR(__xludf.DUMMYFUNCTION("if($C97="""","""",if(join("" - "",{iferror(filter('Student Groupings'!$A:$A,'Student Groupings'!$B:$B=$C97,'Student Groupings'!$H:$H=""Can't be Together""),"""");iferror(filter('Student Groupings'!$A:$A,'Student Groupings'!$E:$E=$C97,'Student Groupings'!$"&amp;"H:$H=""Can't be Together""),"""")})="" - "","""",join("" - "",{iferror(filter('Student Groupings'!$A:$A,'Student Groupings'!$B:$B=$C97,'Student Groupings'!$H:$H=""Can't be Together""),"""");iferror(filter('Student Groupings'!$A:$A,'Student Groupings'!$E:$"&amp;"E=$C97,'Student Groupings'!$H:$H=""Can't be Together""),"""")})))"),"")</f>
        <v/>
      </c>
      <c r="AD97" s="103" t="str">
        <f>IFERROR(__xludf.DUMMYFUNCTION("if($C97="""","""",if(join("" - "",{iferror(filter('Student Groupings'!$A:$A,'Student Groupings'!$B:$B=$C97,'Student Groupings'!$H:$H=""Must be Together""),"""");iferror(filter('Student Groupings'!$A:$A,'Student Groupings'!$E:$E=$C97,'Student Groupings'!$H"&amp;":$H=""Must be Together""),"""")})="" - "","""",join("" - "",{iferror(filter('Student Groupings'!$A:$A,'Student Groupings'!$B:$B=$C97,'Student Groupings'!$H:$H=""Must be Together""),"""");iferror(filter('Student Groupings'!$A:$A,'Student Groupings'!$E:$E=$"&amp;"C97,'Student Groupings'!$H:$H=""Must be Together""),"""")})))"),"")</f>
        <v/>
      </c>
      <c r="AE97" s="104"/>
      <c r="AF97" s="104"/>
      <c r="AG97" s="104"/>
      <c r="AH97" s="104"/>
    </row>
    <row r="98">
      <c r="A98" s="101">
        <v>6.0</v>
      </c>
      <c r="B98" s="101">
        <v>31096.0</v>
      </c>
      <c r="C98" s="102" t="s">
        <v>229</v>
      </c>
      <c r="D98" s="52" t="s">
        <v>171</v>
      </c>
      <c r="E98" s="52">
        <v>3.0</v>
      </c>
      <c r="F98" s="52" t="s">
        <v>158</v>
      </c>
      <c r="G98" s="52">
        <v>1.0</v>
      </c>
      <c r="H98" s="52" t="s">
        <v>182</v>
      </c>
      <c r="I98" s="52">
        <v>5.0</v>
      </c>
      <c r="J98" s="52" t="s">
        <v>192</v>
      </c>
      <c r="K98" s="52">
        <v>2.0</v>
      </c>
      <c r="L98" s="52" t="s">
        <v>196</v>
      </c>
      <c r="M98" s="52">
        <v>4.0</v>
      </c>
      <c r="N98" s="52" t="s">
        <v>153</v>
      </c>
      <c r="O98" s="52" t="s">
        <v>120</v>
      </c>
      <c r="P98" s="52" t="s">
        <v>117</v>
      </c>
      <c r="Q98" s="52" t="s">
        <v>109</v>
      </c>
      <c r="R98" s="52" t="s">
        <v>134</v>
      </c>
      <c r="S98" s="52" t="s">
        <v>109</v>
      </c>
      <c r="T98" s="65" t="s">
        <v>27</v>
      </c>
      <c r="U98" s="32">
        <v>1.0</v>
      </c>
      <c r="V98" s="32">
        <v>1.0</v>
      </c>
      <c r="W98" s="32">
        <v>1.0</v>
      </c>
      <c r="X98" s="32">
        <v>1.0</v>
      </c>
      <c r="Y98" s="32">
        <v>1.0</v>
      </c>
      <c r="Z98" s="32">
        <v>1.0</v>
      </c>
      <c r="AA98" s="32">
        <v>6.0</v>
      </c>
      <c r="AB98" s="32">
        <v>0.0</v>
      </c>
      <c r="AC98" s="103" t="str">
        <f>IFERROR(__xludf.DUMMYFUNCTION("if($C98="""","""",if(join("" - "",{iferror(filter('Student Groupings'!$A:$A,'Student Groupings'!$B:$B=$C98,'Student Groupings'!$H:$H=""Can't be Together""),"""");iferror(filter('Student Groupings'!$A:$A,'Student Groupings'!$E:$E=$C98,'Student Groupings'!$"&amp;"H:$H=""Can't be Together""),"""")})="" - "","""",join("" - "",{iferror(filter('Student Groupings'!$A:$A,'Student Groupings'!$B:$B=$C98,'Student Groupings'!$H:$H=""Can't be Together""),"""");iferror(filter('Student Groupings'!$A:$A,'Student Groupings'!$E:$"&amp;"E=$C98,'Student Groupings'!$H:$H=""Can't be Together""),"""")})))"),"18 - 16")</f>
        <v>18 - 16</v>
      </c>
      <c r="AD98" s="103" t="str">
        <f>IFERROR(__xludf.DUMMYFUNCTION("if($C98="""","""",if(join("" - "",{iferror(filter('Student Groupings'!$A:$A,'Student Groupings'!$B:$B=$C98,'Student Groupings'!$H:$H=""Must be Together""),"""");iferror(filter('Student Groupings'!$A:$A,'Student Groupings'!$E:$E=$C98,'Student Groupings'!$H"&amp;":$H=""Must be Together""),"""")})="" - "","""",join("" - "",{iferror(filter('Student Groupings'!$A:$A,'Student Groupings'!$B:$B=$C98,'Student Groupings'!$H:$H=""Must be Together""),"""");iferror(filter('Student Groupings'!$A:$A,'Student Groupings'!$E:$E=$"&amp;"C98,'Student Groupings'!$H:$H=""Must be Together""),"""")})))"),"")</f>
        <v/>
      </c>
      <c r="AE98" s="104"/>
      <c r="AF98" s="104"/>
      <c r="AG98" s="104"/>
      <c r="AH98" s="104"/>
    </row>
    <row r="99">
      <c r="A99" s="101">
        <v>6.0</v>
      </c>
      <c r="B99" s="101">
        <v>31097.0</v>
      </c>
      <c r="C99" s="102" t="s">
        <v>228</v>
      </c>
      <c r="D99" s="52" t="s">
        <v>171</v>
      </c>
      <c r="E99" s="52">
        <v>5.0</v>
      </c>
      <c r="F99" s="52" t="s">
        <v>158</v>
      </c>
      <c r="G99" s="52">
        <v>3.0</v>
      </c>
      <c r="H99" s="52" t="s">
        <v>182</v>
      </c>
      <c r="I99" s="52">
        <v>2.0</v>
      </c>
      <c r="J99" s="52" t="s">
        <v>192</v>
      </c>
      <c r="K99" s="52">
        <v>1.0</v>
      </c>
      <c r="L99" s="52" t="s">
        <v>196</v>
      </c>
      <c r="M99" s="52">
        <v>6.0</v>
      </c>
      <c r="N99" s="52" t="s">
        <v>153</v>
      </c>
      <c r="O99" s="52" t="s">
        <v>130</v>
      </c>
      <c r="P99" s="52" t="s">
        <v>117</v>
      </c>
      <c r="Q99" s="52" t="s">
        <v>111</v>
      </c>
      <c r="R99" s="52" t="s">
        <v>134</v>
      </c>
      <c r="S99" s="52" t="s">
        <v>111</v>
      </c>
      <c r="T99" s="65" t="s">
        <v>27</v>
      </c>
      <c r="U99" s="32">
        <v>1.0</v>
      </c>
      <c r="V99" s="32">
        <v>1.0</v>
      </c>
      <c r="W99" s="32">
        <v>1.0</v>
      </c>
      <c r="X99" s="32">
        <v>1.0</v>
      </c>
      <c r="Y99" s="32">
        <v>1.0</v>
      </c>
      <c r="Z99" s="32">
        <v>1.0</v>
      </c>
      <c r="AA99" s="32">
        <v>6.0</v>
      </c>
      <c r="AB99" s="32">
        <v>0.0</v>
      </c>
      <c r="AC99" s="103" t="str">
        <f>IFERROR(__xludf.DUMMYFUNCTION("if($C99="""","""",if(join("" - "",{iferror(filter('Student Groupings'!$A:$A,'Student Groupings'!$B:$B=$C99,'Student Groupings'!$H:$H=""Can't be Together""),"""");iferror(filter('Student Groupings'!$A:$A,'Student Groupings'!$E:$E=$C99,'Student Groupings'!$"&amp;"H:$H=""Can't be Together""),"""")})="" - "","""",join("" - "",{iferror(filter('Student Groupings'!$A:$A,'Student Groupings'!$B:$B=$C99,'Student Groupings'!$H:$H=""Can't be Together""),"""");iferror(filter('Student Groupings'!$A:$A,'Student Groupings'!$E:$"&amp;"E=$C99,'Student Groupings'!$H:$H=""Can't be Together""),"""")})))")," - 15")</f>
        <v> - 15</v>
      </c>
      <c r="AD99" s="103" t="str">
        <f>IFERROR(__xludf.DUMMYFUNCTION("if($C99="""","""",if(join("" - "",{iferror(filter('Student Groupings'!$A:$A,'Student Groupings'!$B:$B=$C99,'Student Groupings'!$H:$H=""Must be Together""),"""");iferror(filter('Student Groupings'!$A:$A,'Student Groupings'!$E:$E=$C99,'Student Groupings'!$H"&amp;":$H=""Must be Together""),"""")})="" - "","""",join("" - "",{iferror(filter('Student Groupings'!$A:$A,'Student Groupings'!$B:$B=$C99,'Student Groupings'!$H:$H=""Must be Together""),"""");iferror(filter('Student Groupings'!$A:$A,'Student Groupings'!$E:$E=$"&amp;"C99,'Student Groupings'!$H:$H=""Must be Together""),"""")})))"),"")</f>
        <v/>
      </c>
      <c r="AE99" s="104"/>
      <c r="AF99" s="104"/>
      <c r="AG99" s="104"/>
      <c r="AH99" s="104"/>
    </row>
    <row r="100">
      <c r="A100" s="101">
        <v>6.0</v>
      </c>
      <c r="B100" s="101">
        <v>31098.0</v>
      </c>
      <c r="C100" s="102" t="s">
        <v>385</v>
      </c>
      <c r="D100" s="52" t="s">
        <v>171</v>
      </c>
      <c r="E100" s="52">
        <v>2.0</v>
      </c>
      <c r="F100" s="52" t="s">
        <v>159</v>
      </c>
      <c r="G100" s="52">
        <v>5.0</v>
      </c>
      <c r="H100" s="52" t="s">
        <v>182</v>
      </c>
      <c r="I100" s="52">
        <v>6.0</v>
      </c>
      <c r="J100" s="52" t="s">
        <v>192</v>
      </c>
      <c r="K100" s="52">
        <v>4.0</v>
      </c>
      <c r="L100" s="52" t="s">
        <v>196</v>
      </c>
      <c r="M100" s="52">
        <v>3.0</v>
      </c>
      <c r="N100" s="52" t="s">
        <v>153</v>
      </c>
      <c r="O100" s="52" t="s">
        <v>108</v>
      </c>
      <c r="P100" s="52" t="s">
        <v>117</v>
      </c>
      <c r="Q100" s="52" t="s">
        <v>129</v>
      </c>
      <c r="R100" s="52" t="s">
        <v>134</v>
      </c>
      <c r="S100" s="52" t="s">
        <v>129</v>
      </c>
      <c r="T100" s="65" t="s">
        <v>27</v>
      </c>
      <c r="U100" s="32">
        <v>1.0</v>
      </c>
      <c r="V100" s="32">
        <v>1.0</v>
      </c>
      <c r="W100" s="32">
        <v>1.0</v>
      </c>
      <c r="X100" s="32">
        <v>1.0</v>
      </c>
      <c r="Y100" s="32">
        <v>1.0</v>
      </c>
      <c r="Z100" s="32">
        <v>1.0</v>
      </c>
      <c r="AA100" s="32">
        <v>6.0</v>
      </c>
      <c r="AB100" s="32">
        <v>0.0</v>
      </c>
      <c r="AC100" s="103" t="str">
        <f>IFERROR(__xludf.DUMMYFUNCTION("if($C100="""","""",if(join("" - "",{iferror(filter('Student Groupings'!$A:$A,'Student Groupings'!$B:$B=$C100,'Student Groupings'!$H:$H=""Can't be Together""),"""");iferror(filter('Student Groupings'!$A:$A,'Student Groupings'!$E:$E=$C100,'Student Groupings"&amp;"'!$H:$H=""Can't be Together""),"""")})="" - "","""",join("" - "",{iferror(filter('Student Groupings'!$A:$A,'Student Groupings'!$B:$B=$C100,'Student Groupings'!$H:$H=""Can't be Together""),"""");iferror(filter('Student Groupings'!$A:$A,'Student Groupings'!"&amp;"$E:$E=$C100,'Student Groupings'!$H:$H=""Can't be Together""),"""")})))"),"")</f>
        <v/>
      </c>
      <c r="AD100" s="103" t="str">
        <f>IFERROR(__xludf.DUMMYFUNCTION("if($C100="""","""",if(join("" - "",{iferror(filter('Student Groupings'!$A:$A,'Student Groupings'!$B:$B=$C100,'Student Groupings'!$H:$H=""Must be Together""),"""");iferror(filter('Student Groupings'!$A:$A,'Student Groupings'!$E:$E=$C100,'Student Groupings'"&amp;"!$H:$H=""Must be Together""),"""")})="" - "","""",join("" - "",{iferror(filter('Student Groupings'!$A:$A,'Student Groupings'!$B:$B=$C100,'Student Groupings'!$H:$H=""Must be Together""),"""");iferror(filter('Student Groupings'!$A:$A,'Student Groupings'!$E:"&amp;"$E=$C100,'Student Groupings'!$H:$H=""Must be Together""),"""")})))"),"")</f>
        <v/>
      </c>
      <c r="AE100" s="104"/>
      <c r="AF100" s="104"/>
      <c r="AG100" s="105">
        <v>1.0</v>
      </c>
      <c r="AH100" s="105"/>
    </row>
    <row r="101">
      <c r="A101" s="101">
        <v>6.0</v>
      </c>
      <c r="B101" s="101">
        <v>31099.0</v>
      </c>
      <c r="C101" s="102" t="s">
        <v>386</v>
      </c>
      <c r="D101" s="52" t="s">
        <v>171</v>
      </c>
      <c r="E101" s="52">
        <v>3.0</v>
      </c>
      <c r="F101" s="52" t="s">
        <v>158</v>
      </c>
      <c r="G101" s="52">
        <v>5.0</v>
      </c>
      <c r="H101" s="52" t="s">
        <v>182</v>
      </c>
      <c r="I101" s="52">
        <v>6.0</v>
      </c>
      <c r="J101" s="52" t="s">
        <v>192</v>
      </c>
      <c r="K101" s="52">
        <v>2.0</v>
      </c>
      <c r="L101" s="52" t="s">
        <v>196</v>
      </c>
      <c r="M101" s="52">
        <v>4.0</v>
      </c>
      <c r="N101" s="52" t="s">
        <v>153</v>
      </c>
      <c r="O101" s="52" t="s">
        <v>108</v>
      </c>
      <c r="P101" s="52" t="s">
        <v>134</v>
      </c>
      <c r="Q101" s="52" t="s">
        <v>129</v>
      </c>
      <c r="R101" s="52" t="s">
        <v>117</v>
      </c>
      <c r="S101" s="52" t="s">
        <v>129</v>
      </c>
      <c r="T101" s="65" t="s">
        <v>27</v>
      </c>
      <c r="U101" s="32">
        <v>1.0</v>
      </c>
      <c r="V101" s="32">
        <v>1.0</v>
      </c>
      <c r="W101" s="32">
        <v>1.0</v>
      </c>
      <c r="X101" s="32">
        <v>1.0</v>
      </c>
      <c r="Y101" s="32">
        <v>1.0</v>
      </c>
      <c r="Z101" s="32">
        <v>1.0</v>
      </c>
      <c r="AA101" s="32">
        <v>6.0</v>
      </c>
      <c r="AB101" s="32">
        <v>0.0</v>
      </c>
      <c r="AC101" s="103" t="str">
        <f>IFERROR(__xludf.DUMMYFUNCTION("if($C101="""","""",if(join("" - "",{iferror(filter('Student Groupings'!$A:$A,'Student Groupings'!$B:$B=$C101,'Student Groupings'!$H:$H=""Can't be Together""),"""");iferror(filter('Student Groupings'!$A:$A,'Student Groupings'!$E:$E=$C101,'Student Groupings"&amp;"'!$H:$H=""Can't be Together""),"""")})="" - "","""",join("" - "",{iferror(filter('Student Groupings'!$A:$A,'Student Groupings'!$B:$B=$C101,'Student Groupings'!$H:$H=""Can't be Together""),"""");iferror(filter('Student Groupings'!$A:$A,'Student Groupings'!"&amp;"$E:$E=$C101,'Student Groupings'!$H:$H=""Can't be Together""),"""")})))"),"")</f>
        <v/>
      </c>
      <c r="AD101" s="103" t="str">
        <f>IFERROR(__xludf.DUMMYFUNCTION("if($C101="""","""",if(join("" - "",{iferror(filter('Student Groupings'!$A:$A,'Student Groupings'!$B:$B=$C101,'Student Groupings'!$H:$H=""Must be Together""),"""");iferror(filter('Student Groupings'!$A:$A,'Student Groupings'!$E:$E=$C101,'Student Groupings'"&amp;"!$H:$H=""Must be Together""),"""")})="" - "","""",join("" - "",{iferror(filter('Student Groupings'!$A:$A,'Student Groupings'!$B:$B=$C101,'Student Groupings'!$H:$H=""Must be Together""),"""");iferror(filter('Student Groupings'!$A:$A,'Student Groupings'!$E:"&amp;"$E=$C101,'Student Groupings'!$H:$H=""Must be Together""),"""")})))"),"")</f>
        <v/>
      </c>
      <c r="AE101" s="104"/>
      <c r="AF101" s="104"/>
      <c r="AG101" s="104"/>
      <c r="AH101" s="104"/>
    </row>
    <row r="102">
      <c r="A102" s="101">
        <v>6.0</v>
      </c>
      <c r="B102" s="101">
        <v>31100.0</v>
      </c>
      <c r="C102" s="102" t="s">
        <v>387</v>
      </c>
      <c r="D102" s="52" t="s">
        <v>171</v>
      </c>
      <c r="E102" s="52">
        <v>6.0</v>
      </c>
      <c r="F102" s="52" t="s">
        <v>158</v>
      </c>
      <c r="G102" s="52">
        <v>3.0</v>
      </c>
      <c r="H102" s="52" t="s">
        <v>182</v>
      </c>
      <c r="I102" s="52">
        <v>2.0</v>
      </c>
      <c r="J102" s="52" t="s">
        <v>192</v>
      </c>
      <c r="K102" s="52">
        <v>5.0</v>
      </c>
      <c r="L102" s="52" t="s">
        <v>196</v>
      </c>
      <c r="M102" s="52">
        <v>1.0</v>
      </c>
      <c r="N102" s="52" t="s">
        <v>153</v>
      </c>
      <c r="O102" s="52" t="s">
        <v>130</v>
      </c>
      <c r="P102" s="52" t="s">
        <v>134</v>
      </c>
      <c r="Q102" s="52" t="s">
        <v>111</v>
      </c>
      <c r="R102" s="52" t="s">
        <v>117</v>
      </c>
      <c r="S102" s="52" t="s">
        <v>111</v>
      </c>
      <c r="T102" s="65" t="s">
        <v>27</v>
      </c>
      <c r="U102" s="32">
        <v>1.0</v>
      </c>
      <c r="V102" s="32">
        <v>1.0</v>
      </c>
      <c r="W102" s="32">
        <v>1.0</v>
      </c>
      <c r="X102" s="32">
        <v>1.0</v>
      </c>
      <c r="Y102" s="32">
        <v>1.0</v>
      </c>
      <c r="Z102" s="32">
        <v>1.0</v>
      </c>
      <c r="AA102" s="32">
        <v>6.0</v>
      </c>
      <c r="AB102" s="32">
        <v>0.0</v>
      </c>
      <c r="AC102" s="103" t="str">
        <f>IFERROR(__xludf.DUMMYFUNCTION("if($C102="""","""",if(join("" - "",{iferror(filter('Student Groupings'!$A:$A,'Student Groupings'!$B:$B=$C102,'Student Groupings'!$H:$H=""Can't be Together""),"""");iferror(filter('Student Groupings'!$A:$A,'Student Groupings'!$E:$E=$C102,'Student Groupings"&amp;"'!$H:$H=""Can't be Together""),"""")})="" - "","""",join("" - "",{iferror(filter('Student Groupings'!$A:$A,'Student Groupings'!$B:$B=$C102,'Student Groupings'!$H:$H=""Can't be Together""),"""");iferror(filter('Student Groupings'!$A:$A,'Student Groupings'!"&amp;"$E:$E=$C102,'Student Groupings'!$H:$H=""Can't be Together""),"""")})))"),"")</f>
        <v/>
      </c>
      <c r="AD102" s="103" t="str">
        <f>IFERROR(__xludf.DUMMYFUNCTION("if($C102="""","""",if(join("" - "",{iferror(filter('Student Groupings'!$A:$A,'Student Groupings'!$B:$B=$C102,'Student Groupings'!$H:$H=""Must be Together""),"""");iferror(filter('Student Groupings'!$A:$A,'Student Groupings'!$E:$E=$C102,'Student Groupings'"&amp;"!$H:$H=""Must be Together""),"""")})="" - "","""",join("" - "",{iferror(filter('Student Groupings'!$A:$A,'Student Groupings'!$B:$B=$C102,'Student Groupings'!$H:$H=""Must be Together""),"""");iferror(filter('Student Groupings'!$A:$A,'Student Groupings'!$E:"&amp;"$E=$C102,'Student Groupings'!$H:$H=""Must be Together""),"""")})))"),"")</f>
        <v/>
      </c>
      <c r="AE102" s="104"/>
      <c r="AF102" s="104"/>
      <c r="AG102" s="104"/>
      <c r="AH102" s="104"/>
    </row>
    <row r="103">
      <c r="A103" s="101">
        <v>6.0</v>
      </c>
      <c r="B103" s="101">
        <v>31101.0</v>
      </c>
      <c r="C103" s="102" t="s">
        <v>388</v>
      </c>
      <c r="D103" s="52" t="s">
        <v>171</v>
      </c>
      <c r="E103" s="52">
        <v>6.0</v>
      </c>
      <c r="F103" s="52" t="s">
        <v>158</v>
      </c>
      <c r="G103" s="52">
        <v>4.0</v>
      </c>
      <c r="H103" s="52" t="s">
        <v>182</v>
      </c>
      <c r="I103" s="52">
        <v>3.0</v>
      </c>
      <c r="J103" s="52" t="s">
        <v>192</v>
      </c>
      <c r="K103" s="52">
        <v>5.0</v>
      </c>
      <c r="L103" s="52" t="s">
        <v>196</v>
      </c>
      <c r="M103" s="52">
        <v>1.0</v>
      </c>
      <c r="N103" s="52" t="s">
        <v>153</v>
      </c>
      <c r="O103" s="52" t="s">
        <v>125</v>
      </c>
      <c r="P103" s="52" t="s">
        <v>134</v>
      </c>
      <c r="Q103" s="52" t="s">
        <v>119</v>
      </c>
      <c r="R103" s="52" t="s">
        <v>117</v>
      </c>
      <c r="S103" s="52" t="s">
        <v>119</v>
      </c>
      <c r="T103" s="65" t="s">
        <v>27</v>
      </c>
      <c r="U103" s="32">
        <v>1.0</v>
      </c>
      <c r="V103" s="32">
        <v>1.0</v>
      </c>
      <c r="W103" s="32">
        <v>1.0</v>
      </c>
      <c r="X103" s="32">
        <v>1.0</v>
      </c>
      <c r="Y103" s="32">
        <v>1.0</v>
      </c>
      <c r="Z103" s="32">
        <v>1.0</v>
      </c>
      <c r="AA103" s="32">
        <v>6.0</v>
      </c>
      <c r="AB103" s="32">
        <v>0.0</v>
      </c>
      <c r="AC103" s="103" t="str">
        <f>IFERROR(__xludf.DUMMYFUNCTION("if($C103="""","""",if(join("" - "",{iferror(filter('Student Groupings'!$A:$A,'Student Groupings'!$B:$B=$C103,'Student Groupings'!$H:$H=""Can't be Together""),"""");iferror(filter('Student Groupings'!$A:$A,'Student Groupings'!$E:$E=$C103,'Student Groupings"&amp;"'!$H:$H=""Can't be Together""),"""")})="" - "","""",join("" - "",{iferror(filter('Student Groupings'!$A:$A,'Student Groupings'!$B:$B=$C103,'Student Groupings'!$H:$H=""Can't be Together""),"""");iferror(filter('Student Groupings'!$A:$A,'Student Groupings'!"&amp;"$E:$E=$C103,'Student Groupings'!$H:$H=""Can't be Together""),"""")})))"),"")</f>
        <v/>
      </c>
      <c r="AD103" s="103" t="str">
        <f>IFERROR(__xludf.DUMMYFUNCTION("if($C103="""","""",if(join("" - "",{iferror(filter('Student Groupings'!$A:$A,'Student Groupings'!$B:$B=$C103,'Student Groupings'!$H:$H=""Must be Together""),"""");iferror(filter('Student Groupings'!$A:$A,'Student Groupings'!$E:$E=$C103,'Student Groupings'"&amp;"!$H:$H=""Must be Together""),"""")})="" - "","""",join("" - "",{iferror(filter('Student Groupings'!$A:$A,'Student Groupings'!$B:$B=$C103,'Student Groupings'!$H:$H=""Must be Together""),"""");iferror(filter('Student Groupings'!$A:$A,'Student Groupings'!$E:"&amp;"$E=$C103,'Student Groupings'!$H:$H=""Must be Together""),"""")})))"),"")</f>
        <v/>
      </c>
      <c r="AE103" s="104"/>
      <c r="AF103" s="104"/>
      <c r="AG103" s="104"/>
      <c r="AH103" s="104"/>
    </row>
    <row r="104">
      <c r="A104" s="101">
        <v>6.0</v>
      </c>
      <c r="B104" s="101">
        <v>31173.0</v>
      </c>
      <c r="C104" s="102" t="s">
        <v>215</v>
      </c>
      <c r="D104" s="52" t="s">
        <v>171</v>
      </c>
      <c r="E104" s="52">
        <v>4.0</v>
      </c>
      <c r="F104" s="52" t="s">
        <v>159</v>
      </c>
      <c r="G104" s="52">
        <v>5.0</v>
      </c>
      <c r="H104" s="52" t="s">
        <v>181</v>
      </c>
      <c r="I104" s="52">
        <v>1.0</v>
      </c>
      <c r="J104" s="52" t="s">
        <v>192</v>
      </c>
      <c r="K104" s="52">
        <v>3.0</v>
      </c>
      <c r="L104" s="52" t="s">
        <v>196</v>
      </c>
      <c r="M104" s="52">
        <v>2.0</v>
      </c>
      <c r="N104" s="52" t="s">
        <v>153</v>
      </c>
      <c r="O104" s="52" t="s">
        <v>120</v>
      </c>
      <c r="P104" s="52" t="s">
        <v>117</v>
      </c>
      <c r="Q104" s="52" t="s">
        <v>109</v>
      </c>
      <c r="R104" s="52" t="s">
        <v>134</v>
      </c>
      <c r="S104" s="52" t="s">
        <v>109</v>
      </c>
      <c r="T104" s="65" t="s">
        <v>8</v>
      </c>
      <c r="U104" s="32">
        <v>1.0</v>
      </c>
      <c r="V104" s="32">
        <v>1.0</v>
      </c>
      <c r="W104" s="32">
        <v>1.0</v>
      </c>
      <c r="X104" s="32">
        <v>1.0</v>
      </c>
      <c r="Y104" s="32">
        <v>1.0</v>
      </c>
      <c r="Z104" s="32">
        <v>1.0</v>
      </c>
      <c r="AA104" s="32">
        <v>6.0</v>
      </c>
      <c r="AB104" s="32">
        <v>0.0</v>
      </c>
      <c r="AC104" s="103" t="str">
        <f>IFERROR(__xludf.DUMMYFUNCTION("if($C104="""","""",if(join("" - "",{iferror(filter('Student Groupings'!$A:$A,'Student Groupings'!$B:$B=$C104,'Student Groupings'!$H:$H=""Can't be Together""),"""");iferror(filter('Student Groupings'!$A:$A,'Student Groupings'!$E:$E=$C104,'Student Groupings"&amp;"'!$H:$H=""Can't be Together""),"""")})="" - "","""",join("" - "",{iferror(filter('Student Groupings'!$A:$A,'Student Groupings'!$B:$B=$C104,'Student Groupings'!$H:$H=""Can't be Together""),"""");iferror(filter('Student Groupings'!$A:$A,'Student Groupings'!"&amp;"$E:$E=$C104,'Student Groupings'!$H:$H=""Can't be Together""),"""")})))"),"")</f>
        <v/>
      </c>
      <c r="AD104" s="103" t="str">
        <f>IFERROR(__xludf.DUMMYFUNCTION("if($C104="""","""",if(join("" - "",{iferror(filter('Student Groupings'!$A:$A,'Student Groupings'!$B:$B=$C104,'Student Groupings'!$H:$H=""Must be Together""),"""");iferror(filter('Student Groupings'!$A:$A,'Student Groupings'!$E:$E=$C104,'Student Groupings'"&amp;"!$H:$H=""Must be Together""),"""")})="" - "","""",join("" - "",{iferror(filter('Student Groupings'!$A:$A,'Student Groupings'!$B:$B=$C104,'Student Groupings'!$H:$H=""Must be Together""),"""");iferror(filter('Student Groupings'!$A:$A,'Student Groupings'!$E:"&amp;"$E=$C104,'Student Groupings'!$H:$H=""Must be Together""),"""")})))")," - 3")</f>
        <v> - 3</v>
      </c>
      <c r="AE104" s="104"/>
      <c r="AF104" s="104"/>
      <c r="AG104" s="104"/>
      <c r="AH104" s="104"/>
    </row>
    <row r="105">
      <c r="A105" s="101">
        <v>6.0</v>
      </c>
      <c r="B105" s="101">
        <v>31103.0</v>
      </c>
      <c r="C105" s="102" t="s">
        <v>389</v>
      </c>
      <c r="D105" s="52" t="s">
        <v>171</v>
      </c>
      <c r="E105" s="52">
        <v>5.0</v>
      </c>
      <c r="F105" s="52" t="s">
        <v>158</v>
      </c>
      <c r="G105" s="52">
        <v>4.0</v>
      </c>
      <c r="H105" s="52" t="s">
        <v>182</v>
      </c>
      <c r="I105" s="52">
        <v>3.0</v>
      </c>
      <c r="J105" s="52" t="s">
        <v>192</v>
      </c>
      <c r="K105" s="52">
        <v>1.0</v>
      </c>
      <c r="L105" s="52" t="s">
        <v>196</v>
      </c>
      <c r="M105" s="52">
        <v>6.0</v>
      </c>
      <c r="N105" s="52" t="s">
        <v>153</v>
      </c>
      <c r="O105" s="52" t="s">
        <v>125</v>
      </c>
      <c r="P105" s="52" t="s">
        <v>117</v>
      </c>
      <c r="Q105" s="52" t="s">
        <v>119</v>
      </c>
      <c r="R105" s="52" t="s">
        <v>134</v>
      </c>
      <c r="S105" s="52" t="s">
        <v>119</v>
      </c>
      <c r="T105" s="65" t="s">
        <v>27</v>
      </c>
      <c r="U105" s="32">
        <v>1.0</v>
      </c>
      <c r="V105" s="32">
        <v>1.0</v>
      </c>
      <c r="W105" s="32">
        <v>1.0</v>
      </c>
      <c r="X105" s="32">
        <v>1.0</v>
      </c>
      <c r="Y105" s="32">
        <v>1.0</v>
      </c>
      <c r="Z105" s="32">
        <v>1.0</v>
      </c>
      <c r="AA105" s="32">
        <v>6.0</v>
      </c>
      <c r="AB105" s="32">
        <v>0.0</v>
      </c>
      <c r="AC105" s="103" t="str">
        <f>IFERROR(__xludf.DUMMYFUNCTION("if($C105="""","""",if(join("" - "",{iferror(filter('Student Groupings'!$A:$A,'Student Groupings'!$B:$B=$C105,'Student Groupings'!$H:$H=""Can't be Together""),"""");iferror(filter('Student Groupings'!$A:$A,'Student Groupings'!$E:$E=$C105,'Student Groupings"&amp;"'!$H:$H=""Can't be Together""),"""")})="" - "","""",join("" - "",{iferror(filter('Student Groupings'!$A:$A,'Student Groupings'!$B:$B=$C105,'Student Groupings'!$H:$H=""Can't be Together""),"""");iferror(filter('Student Groupings'!$A:$A,'Student Groupings'!"&amp;"$E:$E=$C105,'Student Groupings'!$H:$H=""Can't be Together""),"""")})))"),"")</f>
        <v/>
      </c>
      <c r="AD105" s="103" t="str">
        <f>IFERROR(__xludf.DUMMYFUNCTION("if($C105="""","""",if(join("" - "",{iferror(filter('Student Groupings'!$A:$A,'Student Groupings'!$B:$B=$C105,'Student Groupings'!$H:$H=""Must be Together""),"""");iferror(filter('Student Groupings'!$A:$A,'Student Groupings'!$E:$E=$C105,'Student Groupings'"&amp;"!$H:$H=""Must be Together""),"""")})="" - "","""",join("" - "",{iferror(filter('Student Groupings'!$A:$A,'Student Groupings'!$B:$B=$C105,'Student Groupings'!$H:$H=""Must be Together""),"""");iferror(filter('Student Groupings'!$A:$A,'Student Groupings'!$E:"&amp;"$E=$C105,'Student Groupings'!$H:$H=""Must be Together""),"""")})))"),"")</f>
        <v/>
      </c>
      <c r="AE105" s="104"/>
      <c r="AF105" s="104"/>
      <c r="AG105" s="104"/>
      <c r="AH105" s="104"/>
    </row>
    <row r="106">
      <c r="A106" s="101">
        <v>6.0</v>
      </c>
      <c r="B106" s="101">
        <v>31104.0</v>
      </c>
      <c r="C106" s="102" t="s">
        <v>390</v>
      </c>
      <c r="D106" s="52" t="s">
        <v>173</v>
      </c>
      <c r="E106" s="52">
        <v>3.0</v>
      </c>
      <c r="F106" s="52" t="s">
        <v>158</v>
      </c>
      <c r="G106" s="52">
        <v>5.0</v>
      </c>
      <c r="H106" s="52" t="s">
        <v>182</v>
      </c>
      <c r="I106" s="52">
        <v>1.0</v>
      </c>
      <c r="J106" s="52" t="s">
        <v>194</v>
      </c>
      <c r="K106" s="52">
        <v>2.0</v>
      </c>
      <c r="L106" s="52" t="s">
        <v>198</v>
      </c>
      <c r="M106" s="52">
        <v>4.0</v>
      </c>
      <c r="N106" s="52" t="s">
        <v>153</v>
      </c>
      <c r="O106" s="52" t="s">
        <v>120</v>
      </c>
      <c r="P106" s="52" t="s">
        <v>117</v>
      </c>
      <c r="Q106" s="52" t="s">
        <v>109</v>
      </c>
      <c r="R106" s="52" t="s">
        <v>134</v>
      </c>
      <c r="S106" s="52" t="s">
        <v>109</v>
      </c>
      <c r="T106" s="65" t="s">
        <v>27</v>
      </c>
      <c r="U106" s="32">
        <v>1.0</v>
      </c>
      <c r="V106" s="32">
        <v>1.0</v>
      </c>
      <c r="W106" s="32">
        <v>1.0</v>
      </c>
      <c r="X106" s="32">
        <v>1.0</v>
      </c>
      <c r="Y106" s="32">
        <v>1.0</v>
      </c>
      <c r="Z106" s="32">
        <v>1.0</v>
      </c>
      <c r="AA106" s="32">
        <v>6.0</v>
      </c>
      <c r="AB106" s="32">
        <v>0.0</v>
      </c>
      <c r="AC106" s="103" t="str">
        <f>IFERROR(__xludf.DUMMYFUNCTION("if($C106="""","""",if(join("" - "",{iferror(filter('Student Groupings'!$A:$A,'Student Groupings'!$B:$B=$C106,'Student Groupings'!$H:$H=""Can't be Together""),"""");iferror(filter('Student Groupings'!$A:$A,'Student Groupings'!$E:$E=$C106,'Student Groupings"&amp;"'!$H:$H=""Can't be Together""),"""")})="" - "","""",join("" - "",{iferror(filter('Student Groupings'!$A:$A,'Student Groupings'!$B:$B=$C106,'Student Groupings'!$H:$H=""Can't be Together""),"""");iferror(filter('Student Groupings'!$A:$A,'Student Groupings'!"&amp;"$E:$E=$C106,'Student Groupings'!$H:$H=""Can't be Together""),"""")})))"),"")</f>
        <v/>
      </c>
      <c r="AD106" s="103" t="str">
        <f>IFERROR(__xludf.DUMMYFUNCTION("if($C106="""","""",if(join("" - "",{iferror(filter('Student Groupings'!$A:$A,'Student Groupings'!$B:$B=$C106,'Student Groupings'!$H:$H=""Must be Together""),"""");iferror(filter('Student Groupings'!$A:$A,'Student Groupings'!$E:$E=$C106,'Student Groupings'"&amp;"!$H:$H=""Must be Together""),"""")})="" - "","""",join("" - "",{iferror(filter('Student Groupings'!$A:$A,'Student Groupings'!$B:$B=$C106,'Student Groupings'!$H:$H=""Must be Together""),"""");iferror(filter('Student Groupings'!$A:$A,'Student Groupings'!$E:"&amp;"$E=$C106,'Student Groupings'!$H:$H=""Must be Together""),"""")})))"),"")</f>
        <v/>
      </c>
      <c r="AE106" s="104"/>
      <c r="AF106" s="104"/>
      <c r="AG106" s="104"/>
      <c r="AH106" s="104"/>
    </row>
    <row r="107">
      <c r="A107" s="101">
        <v>6.0</v>
      </c>
      <c r="B107" s="101">
        <v>31105.0</v>
      </c>
      <c r="C107" s="102" t="s">
        <v>220</v>
      </c>
      <c r="D107" s="52" t="s">
        <v>171</v>
      </c>
      <c r="E107" s="52">
        <v>5.0</v>
      </c>
      <c r="F107" s="52" t="s">
        <v>158</v>
      </c>
      <c r="G107" s="52">
        <v>3.0</v>
      </c>
      <c r="H107" s="52" t="s">
        <v>182</v>
      </c>
      <c r="I107" s="52">
        <v>2.0</v>
      </c>
      <c r="J107" s="52" t="s">
        <v>192</v>
      </c>
      <c r="K107" s="52">
        <v>1.0</v>
      </c>
      <c r="L107" s="52" t="s">
        <v>196</v>
      </c>
      <c r="M107" s="52">
        <v>6.0</v>
      </c>
      <c r="N107" s="52" t="s">
        <v>153</v>
      </c>
      <c r="O107" s="52" t="s">
        <v>130</v>
      </c>
      <c r="P107" s="52" t="s">
        <v>117</v>
      </c>
      <c r="Q107" s="52" t="s">
        <v>111</v>
      </c>
      <c r="R107" s="52" t="s">
        <v>134</v>
      </c>
      <c r="S107" s="52" t="s">
        <v>111</v>
      </c>
      <c r="T107" s="65" t="s">
        <v>27</v>
      </c>
      <c r="U107" s="32">
        <v>1.0</v>
      </c>
      <c r="V107" s="32">
        <v>1.0</v>
      </c>
      <c r="W107" s="32">
        <v>1.0</v>
      </c>
      <c r="X107" s="32">
        <v>1.0</v>
      </c>
      <c r="Y107" s="32">
        <v>1.0</v>
      </c>
      <c r="Z107" s="32">
        <v>1.0</v>
      </c>
      <c r="AA107" s="32">
        <v>6.0</v>
      </c>
      <c r="AB107" s="32">
        <v>0.0</v>
      </c>
      <c r="AC107" s="103" t="str">
        <f>IFERROR(__xludf.DUMMYFUNCTION("if($C107="""","""",if(join("" - "",{iferror(filter('Student Groupings'!$A:$A,'Student Groupings'!$B:$B=$C107,'Student Groupings'!$H:$H=""Can't be Together""),"""");iferror(filter('Student Groupings'!$A:$A,'Student Groupings'!$E:$E=$C107,'Student Groupings"&amp;"'!$H:$H=""Can't be Together""),"""")})="" - "","""",join("" - "",{iferror(filter('Student Groupings'!$A:$A,'Student Groupings'!$B:$B=$C107,'Student Groupings'!$H:$H=""Can't be Together""),"""");iferror(filter('Student Groupings'!$A:$A,'Student Groupings'!"&amp;"$E:$E=$C107,'Student Groupings'!$H:$H=""Can't be Together""),"""")})))")," - 6 - 30")</f>
        <v> - 6 - 30</v>
      </c>
      <c r="AD107" s="103" t="str">
        <f>IFERROR(__xludf.DUMMYFUNCTION("if($C107="""","""",if(join("" - "",{iferror(filter('Student Groupings'!$A:$A,'Student Groupings'!$B:$B=$C107,'Student Groupings'!$H:$H=""Must be Together""),"""");iferror(filter('Student Groupings'!$A:$A,'Student Groupings'!$E:$E=$C107,'Student Groupings'"&amp;"!$H:$H=""Must be Together""),"""")})="" - "","""",join("" - "",{iferror(filter('Student Groupings'!$A:$A,'Student Groupings'!$B:$B=$C107,'Student Groupings'!$H:$H=""Must be Together""),"""");iferror(filter('Student Groupings'!$A:$A,'Student Groupings'!$E:"&amp;"$E=$C107,'Student Groupings'!$H:$H=""Must be Together""),"""")})))"),"")</f>
        <v/>
      </c>
      <c r="AE107" s="105"/>
      <c r="AF107" s="105"/>
      <c r="AG107" s="105"/>
      <c r="AH107" s="105"/>
    </row>
    <row r="108">
      <c r="A108" s="101">
        <v>6.0</v>
      </c>
      <c r="B108" s="101">
        <v>31171.0</v>
      </c>
      <c r="C108" s="102" t="s">
        <v>391</v>
      </c>
      <c r="D108" s="52" t="s">
        <v>171</v>
      </c>
      <c r="E108" s="52">
        <v>6.0</v>
      </c>
      <c r="F108" s="52" t="s">
        <v>158</v>
      </c>
      <c r="G108" s="52">
        <v>4.0</v>
      </c>
      <c r="H108" s="52" t="s">
        <v>182</v>
      </c>
      <c r="I108" s="52">
        <v>3.0</v>
      </c>
      <c r="J108" s="52" t="s">
        <v>192</v>
      </c>
      <c r="K108" s="52">
        <v>5.0</v>
      </c>
      <c r="L108" s="52" t="s">
        <v>196</v>
      </c>
      <c r="M108" s="52">
        <v>1.0</v>
      </c>
      <c r="N108" s="52" t="s">
        <v>153</v>
      </c>
      <c r="O108" s="52" t="s">
        <v>125</v>
      </c>
      <c r="P108" s="52" t="s">
        <v>134</v>
      </c>
      <c r="Q108" s="52" t="s">
        <v>119</v>
      </c>
      <c r="R108" s="52" t="s">
        <v>117</v>
      </c>
      <c r="S108" s="52" t="s">
        <v>119</v>
      </c>
      <c r="T108" s="65" t="s">
        <v>8</v>
      </c>
      <c r="U108" s="32">
        <v>1.0</v>
      </c>
      <c r="V108" s="32">
        <v>1.0</v>
      </c>
      <c r="W108" s="32">
        <v>1.0</v>
      </c>
      <c r="X108" s="32">
        <v>1.0</v>
      </c>
      <c r="Y108" s="32">
        <v>1.0</v>
      </c>
      <c r="Z108" s="32">
        <v>1.0</v>
      </c>
      <c r="AA108" s="32">
        <v>6.0</v>
      </c>
      <c r="AB108" s="32">
        <v>0.0</v>
      </c>
      <c r="AC108" s="103" t="str">
        <f>IFERROR(__xludf.DUMMYFUNCTION("if($C108="""","""",if(join("" - "",{iferror(filter('Student Groupings'!$A:$A,'Student Groupings'!$B:$B=$C108,'Student Groupings'!$H:$H=""Can't be Together""),"""");iferror(filter('Student Groupings'!$A:$A,'Student Groupings'!$E:$E=$C108,'Student Groupings"&amp;"'!$H:$H=""Can't be Together""),"""")})="" - "","""",join("" - "",{iferror(filter('Student Groupings'!$A:$A,'Student Groupings'!$B:$B=$C108,'Student Groupings'!$H:$H=""Can't be Together""),"""");iferror(filter('Student Groupings'!$A:$A,'Student Groupings'!"&amp;"$E:$E=$C108,'Student Groupings'!$H:$H=""Can't be Together""),"""")})))"),"")</f>
        <v/>
      </c>
      <c r="AD108" s="103" t="str">
        <f>IFERROR(__xludf.DUMMYFUNCTION("if($C108="""","""",if(join("" - "",{iferror(filter('Student Groupings'!$A:$A,'Student Groupings'!$B:$B=$C108,'Student Groupings'!$H:$H=""Must be Together""),"""");iferror(filter('Student Groupings'!$A:$A,'Student Groupings'!$E:$E=$C108,'Student Groupings'"&amp;"!$H:$H=""Must be Together""),"""")})="" - "","""",join("" - "",{iferror(filter('Student Groupings'!$A:$A,'Student Groupings'!$B:$B=$C108,'Student Groupings'!$H:$H=""Must be Together""),"""");iferror(filter('Student Groupings'!$A:$A,'Student Groupings'!$E:"&amp;"$E=$C108,'Student Groupings'!$H:$H=""Must be Together""),"""")})))"),"")</f>
        <v/>
      </c>
      <c r="AE108" s="104"/>
      <c r="AF108" s="104"/>
      <c r="AG108" s="104"/>
      <c r="AH108" s="104"/>
    </row>
    <row r="109">
      <c r="A109" s="101">
        <v>6.0</v>
      </c>
      <c r="B109" s="101">
        <v>31106.0</v>
      </c>
      <c r="C109" s="102" t="s">
        <v>392</v>
      </c>
      <c r="D109" s="52" t="s">
        <v>173</v>
      </c>
      <c r="E109" s="52">
        <v>3.0</v>
      </c>
      <c r="F109" s="52" t="s">
        <v>158</v>
      </c>
      <c r="G109" s="52">
        <v>6.0</v>
      </c>
      <c r="H109" s="52" t="s">
        <v>182</v>
      </c>
      <c r="I109" s="52">
        <v>1.0</v>
      </c>
      <c r="J109" s="52" t="s">
        <v>194</v>
      </c>
      <c r="K109" s="52">
        <v>2.0</v>
      </c>
      <c r="L109" s="52" t="s">
        <v>198</v>
      </c>
      <c r="M109" s="52">
        <v>4.0</v>
      </c>
      <c r="N109" s="52" t="s">
        <v>153</v>
      </c>
      <c r="O109" s="52" t="s">
        <v>112</v>
      </c>
      <c r="P109" s="52" t="s">
        <v>142</v>
      </c>
      <c r="Q109" s="52" t="s">
        <v>124</v>
      </c>
      <c r="R109" s="52" t="s">
        <v>142</v>
      </c>
      <c r="S109" s="52" t="s">
        <v>124</v>
      </c>
      <c r="T109" s="65" t="s">
        <v>142</v>
      </c>
      <c r="U109" s="32">
        <v>1.0</v>
      </c>
      <c r="V109" s="32">
        <v>1.0</v>
      </c>
      <c r="W109" s="32">
        <v>1.0</v>
      </c>
      <c r="X109" s="32">
        <v>1.0</v>
      </c>
      <c r="Y109" s="32">
        <v>1.0</v>
      </c>
      <c r="Z109" s="32">
        <v>1.0</v>
      </c>
      <c r="AA109" s="32">
        <v>6.0</v>
      </c>
      <c r="AB109" s="32">
        <v>0.0</v>
      </c>
      <c r="AC109" s="103" t="str">
        <f>IFERROR(__xludf.DUMMYFUNCTION("if($C109="""","""",if(join("" - "",{iferror(filter('Student Groupings'!$A:$A,'Student Groupings'!$B:$B=$C109,'Student Groupings'!$H:$H=""Can't be Together""),"""");iferror(filter('Student Groupings'!$A:$A,'Student Groupings'!$E:$E=$C109,'Student Groupings"&amp;"'!$H:$H=""Can't be Together""),"""")})="" - "","""",join("" - "",{iferror(filter('Student Groupings'!$A:$A,'Student Groupings'!$B:$B=$C109,'Student Groupings'!$H:$H=""Can't be Together""),"""");iferror(filter('Student Groupings'!$A:$A,'Student Groupings'!"&amp;"$E:$E=$C109,'Student Groupings'!$H:$H=""Can't be Together""),"""")})))"),"")</f>
        <v/>
      </c>
      <c r="AD109" s="103" t="str">
        <f>IFERROR(__xludf.DUMMYFUNCTION("if($C109="""","""",if(join("" - "",{iferror(filter('Student Groupings'!$A:$A,'Student Groupings'!$B:$B=$C109,'Student Groupings'!$H:$H=""Must be Together""),"""");iferror(filter('Student Groupings'!$A:$A,'Student Groupings'!$E:$E=$C109,'Student Groupings'"&amp;"!$H:$H=""Must be Together""),"""")})="" - "","""",join("" - "",{iferror(filter('Student Groupings'!$A:$A,'Student Groupings'!$B:$B=$C109,'Student Groupings'!$H:$H=""Must be Together""),"""");iferror(filter('Student Groupings'!$A:$A,'Student Groupings'!$E:"&amp;"$E=$C109,'Student Groupings'!$H:$H=""Must be Together""),"""")})))"),"")</f>
        <v/>
      </c>
      <c r="AE109" s="104"/>
      <c r="AF109" s="104"/>
      <c r="AG109" s="104"/>
      <c r="AH109" s="104"/>
    </row>
    <row r="110">
      <c r="A110" s="101">
        <v>6.0</v>
      </c>
      <c r="B110" s="101">
        <v>31107.0</v>
      </c>
      <c r="C110" s="102" t="s">
        <v>393</v>
      </c>
      <c r="D110" s="52" t="s">
        <v>173</v>
      </c>
      <c r="E110" s="52">
        <v>3.0</v>
      </c>
      <c r="F110" s="52" t="s">
        <v>159</v>
      </c>
      <c r="G110" s="52">
        <v>5.0</v>
      </c>
      <c r="H110" s="52" t="s">
        <v>181</v>
      </c>
      <c r="I110" s="52">
        <v>1.0</v>
      </c>
      <c r="J110" s="52" t="s">
        <v>194</v>
      </c>
      <c r="K110" s="52">
        <v>2.0</v>
      </c>
      <c r="L110" s="52" t="s">
        <v>198</v>
      </c>
      <c r="M110" s="52">
        <v>4.0</v>
      </c>
      <c r="N110" s="52" t="s">
        <v>153</v>
      </c>
      <c r="O110" s="52" t="s">
        <v>109</v>
      </c>
      <c r="P110" s="52" t="s">
        <v>143</v>
      </c>
      <c r="Q110" s="52" t="s">
        <v>120</v>
      </c>
      <c r="R110" s="52" t="s">
        <v>143</v>
      </c>
      <c r="S110" s="52" t="s">
        <v>120</v>
      </c>
      <c r="T110" s="65" t="s">
        <v>143</v>
      </c>
      <c r="U110" s="32">
        <v>1.0</v>
      </c>
      <c r="V110" s="32">
        <v>1.0</v>
      </c>
      <c r="W110" s="32">
        <v>1.0</v>
      </c>
      <c r="X110" s="32">
        <v>1.0</v>
      </c>
      <c r="Y110" s="32">
        <v>1.0</v>
      </c>
      <c r="Z110" s="32">
        <v>1.0</v>
      </c>
      <c r="AA110" s="32">
        <v>6.0</v>
      </c>
      <c r="AB110" s="32">
        <v>0.0</v>
      </c>
      <c r="AC110" s="103" t="str">
        <f>IFERROR(__xludf.DUMMYFUNCTION("if($C110="""","""",if(join("" - "",{iferror(filter('Student Groupings'!$A:$A,'Student Groupings'!$B:$B=$C110,'Student Groupings'!$H:$H=""Can't be Together""),"""");iferror(filter('Student Groupings'!$A:$A,'Student Groupings'!$E:$E=$C110,'Student Groupings"&amp;"'!$H:$H=""Can't be Together""),"""")})="" - "","""",join("" - "",{iferror(filter('Student Groupings'!$A:$A,'Student Groupings'!$B:$B=$C110,'Student Groupings'!$H:$H=""Can't be Together""),"""");iferror(filter('Student Groupings'!$A:$A,'Student Groupings'!"&amp;"$E:$E=$C110,'Student Groupings'!$H:$H=""Can't be Together""),"""")})))"),"")</f>
        <v/>
      </c>
      <c r="AD110" s="103" t="str">
        <f>IFERROR(__xludf.DUMMYFUNCTION("if($C110="""","""",if(join("" - "",{iferror(filter('Student Groupings'!$A:$A,'Student Groupings'!$B:$B=$C110,'Student Groupings'!$H:$H=""Must be Together""),"""");iferror(filter('Student Groupings'!$A:$A,'Student Groupings'!$E:$E=$C110,'Student Groupings'"&amp;"!$H:$H=""Must be Together""),"""")})="" - "","""",join("" - "",{iferror(filter('Student Groupings'!$A:$A,'Student Groupings'!$B:$B=$C110,'Student Groupings'!$H:$H=""Must be Together""),"""");iferror(filter('Student Groupings'!$A:$A,'Student Groupings'!$E:"&amp;"$E=$C110,'Student Groupings'!$H:$H=""Must be Together""),"""")})))"),"")</f>
        <v/>
      </c>
      <c r="AE110" s="105"/>
      <c r="AF110" s="105"/>
      <c r="AG110" s="104"/>
      <c r="AH110" s="104"/>
    </row>
    <row r="111">
      <c r="A111" s="101">
        <v>6.0</v>
      </c>
      <c r="B111" s="101">
        <v>30159.0</v>
      </c>
      <c r="C111" s="102" t="s">
        <v>394</v>
      </c>
      <c r="D111" s="52" t="s">
        <v>171</v>
      </c>
      <c r="E111" s="52">
        <v>3.0</v>
      </c>
      <c r="F111" s="52" t="s">
        <v>159</v>
      </c>
      <c r="G111" s="52">
        <v>5.0</v>
      </c>
      <c r="H111" s="52" t="s">
        <v>181</v>
      </c>
      <c r="I111" s="52">
        <v>1.0</v>
      </c>
      <c r="J111" s="52" t="s">
        <v>192</v>
      </c>
      <c r="K111" s="52">
        <v>2.0</v>
      </c>
      <c r="L111" s="52" t="s">
        <v>196</v>
      </c>
      <c r="M111" s="52">
        <v>4.0</v>
      </c>
      <c r="N111" s="52" t="s">
        <v>153</v>
      </c>
      <c r="O111" s="52" t="s">
        <v>109</v>
      </c>
      <c r="P111" s="52" t="s">
        <v>143</v>
      </c>
      <c r="Q111" s="52" t="s">
        <v>120</v>
      </c>
      <c r="R111" s="52" t="s">
        <v>143</v>
      </c>
      <c r="S111" s="52" t="s">
        <v>120</v>
      </c>
      <c r="T111" s="65" t="s">
        <v>143</v>
      </c>
      <c r="U111" s="32">
        <v>1.0</v>
      </c>
      <c r="V111" s="32">
        <v>1.0</v>
      </c>
      <c r="W111" s="32">
        <v>1.0</v>
      </c>
      <c r="X111" s="32">
        <v>1.0</v>
      </c>
      <c r="Y111" s="32">
        <v>1.0</v>
      </c>
      <c r="Z111" s="32">
        <v>1.0</v>
      </c>
      <c r="AA111" s="32">
        <v>6.0</v>
      </c>
      <c r="AB111" s="32">
        <v>0.0</v>
      </c>
      <c r="AC111" s="103" t="str">
        <f>IFERROR(__xludf.DUMMYFUNCTION("if($C111="""","""",if(join("" - "",{iferror(filter('Student Groupings'!$A:$A,'Student Groupings'!$B:$B=$C111,'Student Groupings'!$H:$H=""Can't be Together""),"""");iferror(filter('Student Groupings'!$A:$A,'Student Groupings'!$E:$E=$C111,'Student Groupings"&amp;"'!$H:$H=""Can't be Together""),"""")})="" - "","""",join("" - "",{iferror(filter('Student Groupings'!$A:$A,'Student Groupings'!$B:$B=$C111,'Student Groupings'!$H:$H=""Can't be Together""),"""");iferror(filter('Student Groupings'!$A:$A,'Student Groupings'!"&amp;"$E:$E=$C111,'Student Groupings'!$H:$H=""Can't be Together""),"""")})))"),"")</f>
        <v/>
      </c>
      <c r="AD111" s="103" t="str">
        <f>IFERROR(__xludf.DUMMYFUNCTION("if($C111="""","""",if(join("" - "",{iferror(filter('Student Groupings'!$A:$A,'Student Groupings'!$B:$B=$C111,'Student Groupings'!$H:$H=""Must be Together""),"""");iferror(filter('Student Groupings'!$A:$A,'Student Groupings'!$E:$E=$C111,'Student Groupings'"&amp;"!$H:$H=""Must be Together""),"""")})="" - "","""",join("" - "",{iferror(filter('Student Groupings'!$A:$A,'Student Groupings'!$B:$B=$C111,'Student Groupings'!$H:$H=""Must be Together""),"""");iferror(filter('Student Groupings'!$A:$A,'Student Groupings'!$E:"&amp;"$E=$C111,'Student Groupings'!$H:$H=""Must be Together""),"""")})))"),"")</f>
        <v/>
      </c>
      <c r="AE111" s="104"/>
      <c r="AF111" s="104"/>
      <c r="AG111" s="104"/>
      <c r="AH111" s="104"/>
    </row>
    <row r="112">
      <c r="A112" s="101">
        <v>6.0</v>
      </c>
      <c r="B112" s="101">
        <v>31110.0</v>
      </c>
      <c r="C112" s="102" t="s">
        <v>395</v>
      </c>
      <c r="D112" s="52" t="s">
        <v>171</v>
      </c>
      <c r="E112" s="52">
        <v>2.0</v>
      </c>
      <c r="F112" s="52" t="s">
        <v>158</v>
      </c>
      <c r="G112" s="52">
        <v>5.0</v>
      </c>
      <c r="H112" s="52" t="s">
        <v>182</v>
      </c>
      <c r="I112" s="52">
        <v>6.0</v>
      </c>
      <c r="J112" s="52" t="s">
        <v>192</v>
      </c>
      <c r="K112" s="52">
        <v>4.0</v>
      </c>
      <c r="L112" s="52" t="s">
        <v>196</v>
      </c>
      <c r="M112" s="101">
        <v>3.0</v>
      </c>
      <c r="N112" s="52" t="s">
        <v>153</v>
      </c>
      <c r="O112" s="52" t="s">
        <v>108</v>
      </c>
      <c r="P112" s="52" t="s">
        <v>134</v>
      </c>
      <c r="Q112" s="52" t="s">
        <v>129</v>
      </c>
      <c r="R112" s="52" t="s">
        <v>117</v>
      </c>
      <c r="S112" s="52" t="s">
        <v>129</v>
      </c>
      <c r="T112" s="65" t="s">
        <v>27</v>
      </c>
      <c r="U112" s="32">
        <v>1.0</v>
      </c>
      <c r="V112" s="32">
        <v>1.0</v>
      </c>
      <c r="W112" s="32">
        <v>1.0</v>
      </c>
      <c r="X112" s="32">
        <v>1.0</v>
      </c>
      <c r="Y112" s="32">
        <v>1.0</v>
      </c>
      <c r="Z112" s="32">
        <v>1.0</v>
      </c>
      <c r="AA112" s="32">
        <v>6.0</v>
      </c>
      <c r="AB112" s="32">
        <v>0.0</v>
      </c>
      <c r="AC112" s="103" t="str">
        <f>IFERROR(__xludf.DUMMYFUNCTION("if($C112="""","""",if(join("" - "",{iferror(filter('Student Groupings'!$A:$A,'Student Groupings'!$B:$B=$C112,'Student Groupings'!$H:$H=""Can't be Together""),"""");iferror(filter('Student Groupings'!$A:$A,'Student Groupings'!$E:$E=$C112,'Student Groupings"&amp;"'!$H:$H=""Can't be Together""),"""")})="" - "","""",join("" - "",{iferror(filter('Student Groupings'!$A:$A,'Student Groupings'!$B:$B=$C112,'Student Groupings'!$H:$H=""Can't be Together""),"""");iferror(filter('Student Groupings'!$A:$A,'Student Groupings'!"&amp;"$E:$E=$C112,'Student Groupings'!$H:$H=""Can't be Together""),"""")})))"),"")</f>
        <v/>
      </c>
      <c r="AD112" s="103" t="str">
        <f>IFERROR(__xludf.DUMMYFUNCTION("if($C112="""","""",if(join("" - "",{iferror(filter('Student Groupings'!$A:$A,'Student Groupings'!$B:$B=$C112,'Student Groupings'!$H:$H=""Must be Together""),"""");iferror(filter('Student Groupings'!$A:$A,'Student Groupings'!$E:$E=$C112,'Student Groupings'"&amp;"!$H:$H=""Must be Together""),"""")})="" - "","""",join("" - "",{iferror(filter('Student Groupings'!$A:$A,'Student Groupings'!$B:$B=$C112,'Student Groupings'!$H:$H=""Must be Together""),"""");iferror(filter('Student Groupings'!$A:$A,'Student Groupings'!$E:"&amp;"$E=$C112,'Student Groupings'!$H:$H=""Must be Together""),"""")})))"),"")</f>
        <v/>
      </c>
      <c r="AE112" s="104"/>
      <c r="AF112" s="104"/>
      <c r="AG112" s="104"/>
      <c r="AH112" s="104"/>
    </row>
    <row r="113">
      <c r="A113" s="101">
        <v>6.0</v>
      </c>
      <c r="B113" s="101">
        <v>31111.0</v>
      </c>
      <c r="C113" s="102" t="s">
        <v>396</v>
      </c>
      <c r="D113" s="52" t="s">
        <v>171</v>
      </c>
      <c r="E113" s="52">
        <v>6.0</v>
      </c>
      <c r="F113" s="52" t="s">
        <v>158</v>
      </c>
      <c r="G113" s="52">
        <v>3.0</v>
      </c>
      <c r="H113" s="52" t="s">
        <v>182</v>
      </c>
      <c r="I113" s="52">
        <v>2.0</v>
      </c>
      <c r="J113" s="52" t="s">
        <v>192</v>
      </c>
      <c r="K113" s="52">
        <v>5.0</v>
      </c>
      <c r="L113" s="52" t="s">
        <v>196</v>
      </c>
      <c r="M113" s="52">
        <v>1.0</v>
      </c>
      <c r="N113" s="52" t="s">
        <v>153</v>
      </c>
      <c r="O113" s="52" t="s">
        <v>130</v>
      </c>
      <c r="P113" s="52" t="s">
        <v>134</v>
      </c>
      <c r="Q113" s="52" t="s">
        <v>111</v>
      </c>
      <c r="R113" s="52" t="s">
        <v>117</v>
      </c>
      <c r="S113" s="52" t="s">
        <v>111</v>
      </c>
      <c r="T113" s="65" t="s">
        <v>27</v>
      </c>
      <c r="U113" s="32">
        <v>1.0</v>
      </c>
      <c r="V113" s="32">
        <v>1.0</v>
      </c>
      <c r="W113" s="32">
        <v>1.0</v>
      </c>
      <c r="X113" s="32">
        <v>1.0</v>
      </c>
      <c r="Y113" s="32">
        <v>1.0</v>
      </c>
      <c r="Z113" s="32">
        <v>1.0</v>
      </c>
      <c r="AA113" s="32">
        <v>6.0</v>
      </c>
      <c r="AB113" s="32">
        <v>0.0</v>
      </c>
      <c r="AC113" s="103" t="str">
        <f>IFERROR(__xludf.DUMMYFUNCTION("if($C113="""","""",if(join("" - "",{iferror(filter('Student Groupings'!$A:$A,'Student Groupings'!$B:$B=$C113,'Student Groupings'!$H:$H=""Can't be Together""),"""");iferror(filter('Student Groupings'!$A:$A,'Student Groupings'!$E:$E=$C113,'Student Groupings"&amp;"'!$H:$H=""Can't be Together""),"""")})="" - "","""",join("" - "",{iferror(filter('Student Groupings'!$A:$A,'Student Groupings'!$B:$B=$C113,'Student Groupings'!$H:$H=""Can't be Together""),"""");iferror(filter('Student Groupings'!$A:$A,'Student Groupings'!"&amp;"$E:$E=$C113,'Student Groupings'!$H:$H=""Can't be Together""),"""")})))"),"")</f>
        <v/>
      </c>
      <c r="AD113" s="103" t="str">
        <f>IFERROR(__xludf.DUMMYFUNCTION("if($C113="""","""",if(join("" - "",{iferror(filter('Student Groupings'!$A:$A,'Student Groupings'!$B:$B=$C113,'Student Groupings'!$H:$H=""Must be Together""),"""");iferror(filter('Student Groupings'!$A:$A,'Student Groupings'!$E:$E=$C113,'Student Groupings'"&amp;"!$H:$H=""Must be Together""),"""")})="" - "","""",join("" - "",{iferror(filter('Student Groupings'!$A:$A,'Student Groupings'!$B:$B=$C113,'Student Groupings'!$H:$H=""Must be Together""),"""");iferror(filter('Student Groupings'!$A:$A,'Student Groupings'!$E:"&amp;"$E=$C113,'Student Groupings'!$H:$H=""Must be Together""),"""")})))"),"")</f>
        <v/>
      </c>
      <c r="AE113" s="104"/>
      <c r="AF113" s="104"/>
      <c r="AG113" s="104"/>
      <c r="AH113" s="104"/>
    </row>
    <row r="114">
      <c r="A114" s="101">
        <v>6.0</v>
      </c>
      <c r="B114" s="101">
        <v>31109.0</v>
      </c>
      <c r="C114" s="102" t="s">
        <v>244</v>
      </c>
      <c r="D114" s="52" t="s">
        <v>171</v>
      </c>
      <c r="E114" s="52">
        <v>4.0</v>
      </c>
      <c r="F114" s="52" t="s">
        <v>158</v>
      </c>
      <c r="G114" s="52">
        <v>1.0</v>
      </c>
      <c r="H114" s="52" t="s">
        <v>182</v>
      </c>
      <c r="I114" s="52">
        <v>6.0</v>
      </c>
      <c r="J114" s="52" t="s">
        <v>192</v>
      </c>
      <c r="K114" s="52">
        <v>3.0</v>
      </c>
      <c r="L114" s="52" t="s">
        <v>196</v>
      </c>
      <c r="M114" s="52">
        <v>2.0</v>
      </c>
      <c r="N114" s="52" t="s">
        <v>153</v>
      </c>
      <c r="O114" s="52" t="s">
        <v>112</v>
      </c>
      <c r="P114" s="52" t="s">
        <v>142</v>
      </c>
      <c r="Q114" s="52" t="s">
        <v>124</v>
      </c>
      <c r="R114" s="52" t="s">
        <v>142</v>
      </c>
      <c r="S114" s="52" t="s">
        <v>124</v>
      </c>
      <c r="T114" s="65" t="s">
        <v>142</v>
      </c>
      <c r="U114" s="32">
        <v>1.0</v>
      </c>
      <c r="V114" s="32">
        <v>1.0</v>
      </c>
      <c r="W114" s="32">
        <v>1.0</v>
      </c>
      <c r="X114" s="32">
        <v>1.0</v>
      </c>
      <c r="Y114" s="32">
        <v>1.0</v>
      </c>
      <c r="Z114" s="32">
        <v>1.0</v>
      </c>
      <c r="AA114" s="32">
        <v>6.0</v>
      </c>
      <c r="AB114" s="32">
        <v>0.0</v>
      </c>
      <c r="AC114" s="103" t="str">
        <f>IFERROR(__xludf.DUMMYFUNCTION("if($C114="""","""",if(join("" - "",{iferror(filter('Student Groupings'!$A:$A,'Student Groupings'!$B:$B=$C114,'Student Groupings'!$H:$H=""Can't be Together""),"""");iferror(filter('Student Groupings'!$A:$A,'Student Groupings'!$E:$E=$C114,'Student Groupings"&amp;"'!$H:$H=""Can't be Together""),"""")})="" - "","""",join("" - "",{iferror(filter('Student Groupings'!$A:$A,'Student Groupings'!$B:$B=$C114,'Student Groupings'!$H:$H=""Can't be Together""),"""");iferror(filter('Student Groupings'!$A:$A,'Student Groupings'!"&amp;"$E:$E=$C114,'Student Groupings'!$H:$H=""Can't be Together""),"""")})))")," - 29")</f>
        <v> - 29</v>
      </c>
      <c r="AD114" s="103" t="str">
        <f>IFERROR(__xludf.DUMMYFUNCTION("if($C114="""","""",if(join("" - "",{iferror(filter('Student Groupings'!$A:$A,'Student Groupings'!$B:$B=$C114,'Student Groupings'!$H:$H=""Must be Together""),"""");iferror(filter('Student Groupings'!$A:$A,'Student Groupings'!$E:$E=$C114,'Student Groupings'"&amp;"!$H:$H=""Must be Together""),"""")})="" - "","""",join("" - "",{iferror(filter('Student Groupings'!$A:$A,'Student Groupings'!$B:$B=$C114,'Student Groupings'!$H:$H=""Must be Together""),"""");iferror(filter('Student Groupings'!$A:$A,'Student Groupings'!$E:"&amp;"$E=$C114,'Student Groupings'!$H:$H=""Must be Together""),"""")})))"),"")</f>
        <v/>
      </c>
      <c r="AE114" s="104"/>
      <c r="AF114" s="104"/>
      <c r="AG114" s="104"/>
      <c r="AH114" s="104"/>
    </row>
    <row r="115">
      <c r="A115" s="101">
        <v>6.0</v>
      </c>
      <c r="B115" s="101">
        <v>31112.0</v>
      </c>
      <c r="C115" s="102" t="s">
        <v>239</v>
      </c>
      <c r="D115" s="52" t="s">
        <v>171</v>
      </c>
      <c r="E115" s="52">
        <v>3.0</v>
      </c>
      <c r="F115" s="52" t="s">
        <v>158</v>
      </c>
      <c r="G115" s="52">
        <v>6.0</v>
      </c>
      <c r="H115" s="52" t="s">
        <v>182</v>
      </c>
      <c r="I115" s="52">
        <v>1.0</v>
      </c>
      <c r="J115" s="52" t="s">
        <v>192</v>
      </c>
      <c r="K115" s="52">
        <v>2.0</v>
      </c>
      <c r="L115" s="52" t="s">
        <v>196</v>
      </c>
      <c r="M115" s="52">
        <v>4.0</v>
      </c>
      <c r="N115" s="52" t="s">
        <v>153</v>
      </c>
      <c r="O115" s="52" t="s">
        <v>112</v>
      </c>
      <c r="P115" s="52" t="s">
        <v>142</v>
      </c>
      <c r="Q115" s="52" t="s">
        <v>124</v>
      </c>
      <c r="R115" s="52" t="s">
        <v>142</v>
      </c>
      <c r="S115" s="52" t="s">
        <v>124</v>
      </c>
      <c r="T115" s="65" t="s">
        <v>142</v>
      </c>
      <c r="U115" s="32">
        <v>1.0</v>
      </c>
      <c r="V115" s="32">
        <v>1.0</v>
      </c>
      <c r="W115" s="32">
        <v>1.0</v>
      </c>
      <c r="X115" s="32">
        <v>1.0</v>
      </c>
      <c r="Y115" s="32">
        <v>1.0</v>
      </c>
      <c r="Z115" s="32">
        <v>1.0</v>
      </c>
      <c r="AA115" s="32">
        <v>6.0</v>
      </c>
      <c r="AB115" s="32">
        <v>0.0</v>
      </c>
      <c r="AC115" s="103" t="str">
        <f>IFERROR(__xludf.DUMMYFUNCTION("if($C115="""","""",if(join("" - "",{iferror(filter('Student Groupings'!$A:$A,'Student Groupings'!$B:$B=$C115,'Student Groupings'!$H:$H=""Can't be Together""),"""");iferror(filter('Student Groupings'!$A:$A,'Student Groupings'!$E:$E=$C115,'Student Groupings"&amp;"'!$H:$H=""Can't be Together""),"""")})="" - "","""",join("" - "",{iferror(filter('Student Groupings'!$A:$A,'Student Groupings'!$B:$B=$C115,'Student Groupings'!$H:$H=""Can't be Together""),"""");iferror(filter('Student Groupings'!$A:$A,'Student Groupings'!"&amp;"$E:$E=$C115,'Student Groupings'!$H:$H=""Can't be Together""),"""")})))")," - 26")</f>
        <v> - 26</v>
      </c>
      <c r="AD115" s="103" t="str">
        <f>IFERROR(__xludf.DUMMYFUNCTION("if($C115="""","""",if(join("" - "",{iferror(filter('Student Groupings'!$A:$A,'Student Groupings'!$B:$B=$C115,'Student Groupings'!$H:$H=""Must be Together""),"""");iferror(filter('Student Groupings'!$A:$A,'Student Groupings'!$E:$E=$C115,'Student Groupings'"&amp;"!$H:$H=""Must be Together""),"""")})="" - "","""",join("" - "",{iferror(filter('Student Groupings'!$A:$A,'Student Groupings'!$B:$B=$C115,'Student Groupings'!$H:$H=""Must be Together""),"""");iferror(filter('Student Groupings'!$A:$A,'Student Groupings'!$E:"&amp;"$E=$C115,'Student Groupings'!$H:$H=""Must be Together""),"""")})))"),"")</f>
        <v/>
      </c>
      <c r="AE115" s="104"/>
      <c r="AF115" s="104"/>
      <c r="AG115" s="104"/>
      <c r="AH115" s="104"/>
    </row>
    <row r="116">
      <c r="A116" s="101">
        <v>6.0</v>
      </c>
      <c r="B116" s="101">
        <v>31153.0</v>
      </c>
      <c r="C116" s="102" t="s">
        <v>397</v>
      </c>
      <c r="D116" s="52" t="s">
        <v>173</v>
      </c>
      <c r="E116" s="52">
        <v>3.0</v>
      </c>
      <c r="F116" s="52" t="s">
        <v>158</v>
      </c>
      <c r="G116" s="52">
        <v>1.0</v>
      </c>
      <c r="H116" s="52" t="s">
        <v>182</v>
      </c>
      <c r="I116" s="52">
        <v>5.0</v>
      </c>
      <c r="J116" s="52" t="s">
        <v>194</v>
      </c>
      <c r="K116" s="52">
        <v>2.0</v>
      </c>
      <c r="L116" s="52" t="s">
        <v>198</v>
      </c>
      <c r="M116" s="52">
        <v>4.0</v>
      </c>
      <c r="N116" s="52" t="s">
        <v>153</v>
      </c>
      <c r="O116" s="52" t="s">
        <v>120</v>
      </c>
      <c r="P116" s="52" t="s">
        <v>117</v>
      </c>
      <c r="Q116" s="52" t="s">
        <v>109</v>
      </c>
      <c r="R116" s="52" t="s">
        <v>134</v>
      </c>
      <c r="S116" s="52" t="s">
        <v>109</v>
      </c>
      <c r="T116" s="65" t="s">
        <v>27</v>
      </c>
      <c r="U116" s="32">
        <v>1.0</v>
      </c>
      <c r="V116" s="32">
        <v>1.0</v>
      </c>
      <c r="W116" s="32">
        <v>1.0</v>
      </c>
      <c r="X116" s="32">
        <v>1.0</v>
      </c>
      <c r="Y116" s="32">
        <v>1.0</v>
      </c>
      <c r="Z116" s="32">
        <v>1.0</v>
      </c>
      <c r="AA116" s="32">
        <v>6.0</v>
      </c>
      <c r="AB116" s="32">
        <v>0.0</v>
      </c>
      <c r="AC116" s="103" t="str">
        <f>IFERROR(__xludf.DUMMYFUNCTION("if($C116="""","""",if(join("" - "",{iferror(filter('Student Groupings'!$A:$A,'Student Groupings'!$B:$B=$C116,'Student Groupings'!$H:$H=""Can't be Together""),"""");iferror(filter('Student Groupings'!$A:$A,'Student Groupings'!$E:$E=$C116,'Student Groupings"&amp;"'!$H:$H=""Can't be Together""),"""")})="" - "","""",join("" - "",{iferror(filter('Student Groupings'!$A:$A,'Student Groupings'!$B:$B=$C116,'Student Groupings'!$H:$H=""Can't be Together""),"""");iferror(filter('Student Groupings'!$A:$A,'Student Groupings'!"&amp;"$E:$E=$C116,'Student Groupings'!$H:$H=""Can't be Together""),"""")})))"),"")</f>
        <v/>
      </c>
      <c r="AD116" s="103" t="str">
        <f>IFERROR(__xludf.DUMMYFUNCTION("if($C116="""","""",if(join("" - "",{iferror(filter('Student Groupings'!$A:$A,'Student Groupings'!$B:$B=$C116,'Student Groupings'!$H:$H=""Must be Together""),"""");iferror(filter('Student Groupings'!$A:$A,'Student Groupings'!$E:$E=$C116,'Student Groupings'"&amp;"!$H:$H=""Must be Together""),"""")})="" - "","""",join("" - "",{iferror(filter('Student Groupings'!$A:$A,'Student Groupings'!$B:$B=$C116,'Student Groupings'!$H:$H=""Must be Together""),"""");iferror(filter('Student Groupings'!$A:$A,'Student Groupings'!$E:"&amp;"$E=$C116,'Student Groupings'!$H:$H=""Must be Together""),"""")})))"),"")</f>
        <v/>
      </c>
      <c r="AE116" s="104"/>
      <c r="AF116" s="104"/>
      <c r="AG116" s="104"/>
      <c r="AH116" s="104"/>
    </row>
    <row r="117">
      <c r="A117" s="101">
        <v>6.0</v>
      </c>
      <c r="B117" s="101">
        <v>31113.0</v>
      </c>
      <c r="C117" s="102" t="s">
        <v>398</v>
      </c>
      <c r="D117" s="52" t="s">
        <v>173</v>
      </c>
      <c r="E117" s="52">
        <v>3.0</v>
      </c>
      <c r="F117" s="52" t="s">
        <v>159</v>
      </c>
      <c r="G117" s="52">
        <v>5.0</v>
      </c>
      <c r="H117" s="52" t="s">
        <v>182</v>
      </c>
      <c r="I117" s="52">
        <v>1.0</v>
      </c>
      <c r="J117" s="52" t="s">
        <v>194</v>
      </c>
      <c r="K117" s="52">
        <v>2.0</v>
      </c>
      <c r="L117" s="52" t="s">
        <v>198</v>
      </c>
      <c r="M117" s="52">
        <v>4.0</v>
      </c>
      <c r="N117" s="52" t="s">
        <v>153</v>
      </c>
      <c r="O117" s="52" t="s">
        <v>120</v>
      </c>
      <c r="P117" s="52" t="s">
        <v>134</v>
      </c>
      <c r="Q117" s="52" t="s">
        <v>109</v>
      </c>
      <c r="R117" s="52" t="s">
        <v>117</v>
      </c>
      <c r="S117" s="52" t="s">
        <v>109</v>
      </c>
      <c r="T117" s="65" t="s">
        <v>27</v>
      </c>
      <c r="U117" s="32">
        <v>1.0</v>
      </c>
      <c r="V117" s="32">
        <v>1.0</v>
      </c>
      <c r="W117" s="32">
        <v>1.0</v>
      </c>
      <c r="X117" s="32">
        <v>1.0</v>
      </c>
      <c r="Y117" s="32">
        <v>1.0</v>
      </c>
      <c r="Z117" s="32">
        <v>1.0</v>
      </c>
      <c r="AA117" s="32">
        <v>6.0</v>
      </c>
      <c r="AB117" s="32">
        <v>0.0</v>
      </c>
      <c r="AC117" s="103" t="str">
        <f>IFERROR(__xludf.DUMMYFUNCTION("if($C117="""","""",if(join("" - "",{iferror(filter('Student Groupings'!$A:$A,'Student Groupings'!$B:$B=$C117,'Student Groupings'!$H:$H=""Can't be Together""),"""");iferror(filter('Student Groupings'!$A:$A,'Student Groupings'!$E:$E=$C117,'Student Groupings"&amp;"'!$H:$H=""Can't be Together""),"""")})="" - "","""",join("" - "",{iferror(filter('Student Groupings'!$A:$A,'Student Groupings'!$B:$B=$C117,'Student Groupings'!$H:$H=""Can't be Together""),"""");iferror(filter('Student Groupings'!$A:$A,'Student Groupings'!"&amp;"$E:$E=$C117,'Student Groupings'!$H:$H=""Can't be Together""),"""")})))"),"")</f>
        <v/>
      </c>
      <c r="AD117" s="103" t="str">
        <f>IFERROR(__xludf.DUMMYFUNCTION("if($C117="""","""",if(join("" - "",{iferror(filter('Student Groupings'!$A:$A,'Student Groupings'!$B:$B=$C117,'Student Groupings'!$H:$H=""Must be Together""),"""");iferror(filter('Student Groupings'!$A:$A,'Student Groupings'!$E:$E=$C117,'Student Groupings'"&amp;"!$H:$H=""Must be Together""),"""")})="" - "","""",join("" - "",{iferror(filter('Student Groupings'!$A:$A,'Student Groupings'!$B:$B=$C117,'Student Groupings'!$H:$H=""Must be Together""),"""");iferror(filter('Student Groupings'!$A:$A,'Student Groupings'!$E:"&amp;"$E=$C117,'Student Groupings'!$H:$H=""Must be Together""),"""")})))"),"")</f>
        <v/>
      </c>
      <c r="AE117" s="104"/>
      <c r="AF117" s="104"/>
      <c r="AG117" s="104"/>
      <c r="AH117" s="104"/>
    </row>
    <row r="118">
      <c r="A118" s="101">
        <v>6.0</v>
      </c>
      <c r="B118" s="101">
        <v>31114.0</v>
      </c>
      <c r="C118" s="102" t="s">
        <v>399</v>
      </c>
      <c r="D118" s="52" t="s">
        <v>171</v>
      </c>
      <c r="E118" s="52">
        <v>5.0</v>
      </c>
      <c r="F118" s="52" t="s">
        <v>158</v>
      </c>
      <c r="G118" s="52">
        <v>3.0</v>
      </c>
      <c r="H118" s="52" t="s">
        <v>182</v>
      </c>
      <c r="I118" s="52">
        <v>2.0</v>
      </c>
      <c r="J118" s="52" t="s">
        <v>192</v>
      </c>
      <c r="K118" s="52">
        <v>1.0</v>
      </c>
      <c r="L118" s="52" t="s">
        <v>196</v>
      </c>
      <c r="M118" s="52">
        <v>6.0</v>
      </c>
      <c r="N118" s="52" t="s">
        <v>153</v>
      </c>
      <c r="O118" s="52" t="s">
        <v>130</v>
      </c>
      <c r="P118" s="52" t="s">
        <v>117</v>
      </c>
      <c r="Q118" s="52" t="s">
        <v>111</v>
      </c>
      <c r="R118" s="52" t="s">
        <v>134</v>
      </c>
      <c r="S118" s="52" t="s">
        <v>111</v>
      </c>
      <c r="T118" s="65" t="s">
        <v>27</v>
      </c>
      <c r="U118" s="32">
        <v>1.0</v>
      </c>
      <c r="V118" s="32">
        <v>1.0</v>
      </c>
      <c r="W118" s="32">
        <v>1.0</v>
      </c>
      <c r="X118" s="32">
        <v>1.0</v>
      </c>
      <c r="Y118" s="32">
        <v>1.0</v>
      </c>
      <c r="Z118" s="32">
        <v>1.0</v>
      </c>
      <c r="AA118" s="32">
        <v>6.0</v>
      </c>
      <c r="AB118" s="32">
        <v>0.0</v>
      </c>
      <c r="AC118" s="103" t="str">
        <f>IFERROR(__xludf.DUMMYFUNCTION("if($C118="""","""",if(join("" - "",{iferror(filter('Student Groupings'!$A:$A,'Student Groupings'!$B:$B=$C118,'Student Groupings'!$H:$H=""Can't be Together""),"""");iferror(filter('Student Groupings'!$A:$A,'Student Groupings'!$E:$E=$C118,'Student Groupings"&amp;"'!$H:$H=""Can't be Together""),"""")})="" - "","""",join("" - "",{iferror(filter('Student Groupings'!$A:$A,'Student Groupings'!$B:$B=$C118,'Student Groupings'!$H:$H=""Can't be Together""),"""");iferror(filter('Student Groupings'!$A:$A,'Student Groupings'!"&amp;"$E:$E=$C118,'Student Groupings'!$H:$H=""Can't be Together""),"""")})))"),"")</f>
        <v/>
      </c>
      <c r="AD118" s="103" t="str">
        <f>IFERROR(__xludf.DUMMYFUNCTION("if($C118="""","""",if(join("" - "",{iferror(filter('Student Groupings'!$A:$A,'Student Groupings'!$B:$B=$C118,'Student Groupings'!$H:$H=""Must be Together""),"""");iferror(filter('Student Groupings'!$A:$A,'Student Groupings'!$E:$E=$C118,'Student Groupings'"&amp;"!$H:$H=""Must be Together""),"""")})="" - "","""",join("" - "",{iferror(filter('Student Groupings'!$A:$A,'Student Groupings'!$B:$B=$C118,'Student Groupings'!$H:$H=""Must be Together""),"""");iferror(filter('Student Groupings'!$A:$A,'Student Groupings'!$E:"&amp;"$E=$C118,'Student Groupings'!$H:$H=""Must be Together""),"""")})))"),"")</f>
        <v/>
      </c>
      <c r="AE118" s="104"/>
      <c r="AF118" s="104"/>
      <c r="AG118" s="104"/>
      <c r="AH118" s="104"/>
    </row>
    <row r="119">
      <c r="A119" s="101">
        <v>6.0</v>
      </c>
      <c r="B119" s="101">
        <v>31115.0</v>
      </c>
      <c r="C119" s="102" t="s">
        <v>247</v>
      </c>
      <c r="D119" s="52" t="s">
        <v>171</v>
      </c>
      <c r="E119" s="52">
        <v>3.0</v>
      </c>
      <c r="F119" s="52" t="s">
        <v>158</v>
      </c>
      <c r="G119" s="52">
        <v>6.0</v>
      </c>
      <c r="H119" s="52" t="s">
        <v>182</v>
      </c>
      <c r="I119" s="52">
        <v>1.0</v>
      </c>
      <c r="J119" s="52" t="s">
        <v>192</v>
      </c>
      <c r="K119" s="52">
        <v>2.0</v>
      </c>
      <c r="L119" s="52" t="s">
        <v>196</v>
      </c>
      <c r="M119" s="52">
        <v>4.0</v>
      </c>
      <c r="N119" s="52" t="s">
        <v>153</v>
      </c>
      <c r="O119" s="52" t="s">
        <v>112</v>
      </c>
      <c r="P119" s="52" t="s">
        <v>142</v>
      </c>
      <c r="Q119" s="52" t="s">
        <v>124</v>
      </c>
      <c r="R119" s="52" t="s">
        <v>142</v>
      </c>
      <c r="S119" s="52" t="s">
        <v>124</v>
      </c>
      <c r="T119" s="65" t="s">
        <v>142</v>
      </c>
      <c r="U119" s="32">
        <v>1.0</v>
      </c>
      <c r="V119" s="32">
        <v>1.0</v>
      </c>
      <c r="W119" s="32">
        <v>1.0</v>
      </c>
      <c r="X119" s="32">
        <v>1.0</v>
      </c>
      <c r="Y119" s="32">
        <v>1.0</v>
      </c>
      <c r="Z119" s="32">
        <v>1.0</v>
      </c>
      <c r="AA119" s="32">
        <v>6.0</v>
      </c>
      <c r="AB119" s="32">
        <v>0.0</v>
      </c>
      <c r="AC119" s="103" t="str">
        <f>IFERROR(__xludf.DUMMYFUNCTION("if($C119="""","""",if(join("" - "",{iferror(filter('Student Groupings'!$A:$A,'Student Groupings'!$B:$B=$C119,'Student Groupings'!$H:$H=""Can't be Together""),"""");iferror(filter('Student Groupings'!$A:$A,'Student Groupings'!$E:$E=$C119,'Student Groupings"&amp;"'!$H:$H=""Can't be Together""),"""")})="" - "","""",join("" - "",{iferror(filter('Student Groupings'!$A:$A,'Student Groupings'!$B:$B=$C119,'Student Groupings'!$H:$H=""Can't be Together""),"""");iferror(filter('Student Groupings'!$A:$A,'Student Groupings'!"&amp;"$E:$E=$C119,'Student Groupings'!$H:$H=""Can't be Together""),"""")})))"),"32 - ")</f>
        <v>32 - </v>
      </c>
      <c r="AD119" s="103" t="str">
        <f>IFERROR(__xludf.DUMMYFUNCTION("if($C119="""","""",if(join("" - "",{iferror(filter('Student Groupings'!$A:$A,'Student Groupings'!$B:$B=$C119,'Student Groupings'!$H:$H=""Must be Together""),"""");iferror(filter('Student Groupings'!$A:$A,'Student Groupings'!$E:$E=$C119,'Student Groupings'"&amp;"!$H:$H=""Must be Together""),"""")})="" - "","""",join("" - "",{iferror(filter('Student Groupings'!$A:$A,'Student Groupings'!$B:$B=$C119,'Student Groupings'!$H:$H=""Must be Together""),"""");iferror(filter('Student Groupings'!$A:$A,'Student Groupings'!$E:"&amp;"$E=$C119,'Student Groupings'!$H:$H=""Must be Together""),"""")})))"),"")</f>
        <v/>
      </c>
      <c r="AE119" s="104"/>
      <c r="AF119" s="104"/>
      <c r="AG119" s="104"/>
      <c r="AH119" s="104"/>
    </row>
    <row r="120">
      <c r="A120" s="101">
        <v>6.0</v>
      </c>
      <c r="B120" s="101">
        <v>31116.0</v>
      </c>
      <c r="C120" s="102" t="s">
        <v>400</v>
      </c>
      <c r="D120" s="52" t="s">
        <v>171</v>
      </c>
      <c r="E120" s="52">
        <v>4.0</v>
      </c>
      <c r="F120" s="52" t="s">
        <v>158</v>
      </c>
      <c r="G120" s="52">
        <v>6.0</v>
      </c>
      <c r="H120" s="52" t="s">
        <v>181</v>
      </c>
      <c r="I120" s="52">
        <v>1.0</v>
      </c>
      <c r="J120" s="52" t="s">
        <v>192</v>
      </c>
      <c r="K120" s="52">
        <v>3.0</v>
      </c>
      <c r="L120" s="52" t="s">
        <v>196</v>
      </c>
      <c r="M120" s="52">
        <v>2.0</v>
      </c>
      <c r="N120" s="52" t="s">
        <v>153</v>
      </c>
      <c r="O120" s="52" t="s">
        <v>112</v>
      </c>
      <c r="P120" s="52" t="s">
        <v>142</v>
      </c>
      <c r="Q120" s="52" t="s">
        <v>124</v>
      </c>
      <c r="R120" s="52" t="s">
        <v>142</v>
      </c>
      <c r="S120" s="52" t="s">
        <v>124</v>
      </c>
      <c r="T120" s="65" t="s">
        <v>142</v>
      </c>
      <c r="U120" s="32">
        <v>1.0</v>
      </c>
      <c r="V120" s="32">
        <v>1.0</v>
      </c>
      <c r="W120" s="32">
        <v>1.0</v>
      </c>
      <c r="X120" s="32">
        <v>1.0</v>
      </c>
      <c r="Y120" s="32">
        <v>1.0</v>
      </c>
      <c r="Z120" s="32">
        <v>1.0</v>
      </c>
      <c r="AA120" s="32">
        <v>6.0</v>
      </c>
      <c r="AB120" s="32">
        <v>0.0</v>
      </c>
      <c r="AC120" s="103" t="str">
        <f>IFERROR(__xludf.DUMMYFUNCTION("if($C120="""","""",if(join("" - "",{iferror(filter('Student Groupings'!$A:$A,'Student Groupings'!$B:$B=$C120,'Student Groupings'!$H:$H=""Can't be Together""),"""");iferror(filter('Student Groupings'!$A:$A,'Student Groupings'!$E:$E=$C120,'Student Groupings"&amp;"'!$H:$H=""Can't be Together""),"""")})="" - "","""",join("" - "",{iferror(filter('Student Groupings'!$A:$A,'Student Groupings'!$B:$B=$C120,'Student Groupings'!$H:$H=""Can't be Together""),"""");iferror(filter('Student Groupings'!$A:$A,'Student Groupings'!"&amp;"$E:$E=$C120,'Student Groupings'!$H:$H=""Can't be Together""),"""")})))"),"")</f>
        <v/>
      </c>
      <c r="AD120" s="103" t="str">
        <f>IFERROR(__xludf.DUMMYFUNCTION("if($C120="""","""",if(join("" - "",{iferror(filter('Student Groupings'!$A:$A,'Student Groupings'!$B:$B=$C120,'Student Groupings'!$H:$H=""Must be Together""),"""");iferror(filter('Student Groupings'!$A:$A,'Student Groupings'!$E:$E=$C120,'Student Groupings'"&amp;"!$H:$H=""Must be Together""),"""")})="" - "","""",join("" - "",{iferror(filter('Student Groupings'!$A:$A,'Student Groupings'!$B:$B=$C120,'Student Groupings'!$H:$H=""Must be Together""),"""");iferror(filter('Student Groupings'!$A:$A,'Student Groupings'!$E:"&amp;"$E=$C120,'Student Groupings'!$H:$H=""Must be Together""),"""")})))"),"")</f>
        <v/>
      </c>
      <c r="AE120" s="105"/>
      <c r="AF120" s="105">
        <v>1.0</v>
      </c>
      <c r="AG120" s="104"/>
      <c r="AH120" s="104"/>
    </row>
    <row r="121">
      <c r="A121" s="101">
        <v>6.0</v>
      </c>
      <c r="B121" s="101">
        <v>31117.0</v>
      </c>
      <c r="C121" s="102" t="s">
        <v>253</v>
      </c>
      <c r="D121" s="52" t="s">
        <v>171</v>
      </c>
      <c r="E121" s="52">
        <v>3.0</v>
      </c>
      <c r="F121" s="52" t="s">
        <v>158</v>
      </c>
      <c r="G121" s="52">
        <v>1.0</v>
      </c>
      <c r="H121" s="52" t="s">
        <v>182</v>
      </c>
      <c r="I121" s="52">
        <v>5.0</v>
      </c>
      <c r="J121" s="52" t="s">
        <v>192</v>
      </c>
      <c r="K121" s="52">
        <v>2.0</v>
      </c>
      <c r="L121" s="52" t="s">
        <v>196</v>
      </c>
      <c r="M121" s="52">
        <v>4.0</v>
      </c>
      <c r="N121" s="52" t="s">
        <v>153</v>
      </c>
      <c r="O121" s="52" t="s">
        <v>109</v>
      </c>
      <c r="P121" s="52" t="s">
        <v>143</v>
      </c>
      <c r="Q121" s="52" t="s">
        <v>120</v>
      </c>
      <c r="R121" s="52" t="s">
        <v>143</v>
      </c>
      <c r="S121" s="52" t="s">
        <v>120</v>
      </c>
      <c r="T121" s="65" t="s">
        <v>143</v>
      </c>
      <c r="U121" s="32">
        <v>1.0</v>
      </c>
      <c r="V121" s="32">
        <v>1.0</v>
      </c>
      <c r="W121" s="32">
        <v>1.0</v>
      </c>
      <c r="X121" s="32">
        <v>1.0</v>
      </c>
      <c r="Y121" s="32">
        <v>1.0</v>
      </c>
      <c r="Z121" s="32">
        <v>1.0</v>
      </c>
      <c r="AA121" s="32">
        <v>6.0</v>
      </c>
      <c r="AB121" s="32">
        <v>0.0</v>
      </c>
      <c r="AC121" s="103" t="str">
        <f>IFERROR(__xludf.DUMMYFUNCTION("if($C121="""","""",if(join("" - "",{iferror(filter('Student Groupings'!$A:$A,'Student Groupings'!$B:$B=$C121,'Student Groupings'!$H:$H=""Can't be Together""),"""");iferror(filter('Student Groupings'!$A:$A,'Student Groupings'!$E:$E=$C121,'Student Groupings"&amp;"'!$H:$H=""Can't be Together""),"""")})="" - "","""",join("" - "",{iferror(filter('Student Groupings'!$A:$A,'Student Groupings'!$B:$B=$C121,'Student Groupings'!$H:$H=""Can't be Together""),"""");iferror(filter('Student Groupings'!$A:$A,'Student Groupings'!"&amp;"$E:$E=$C121,'Student Groupings'!$H:$H=""Can't be Together""),"""")})))")," - 37")</f>
        <v> - 37</v>
      </c>
      <c r="AD121" s="103" t="str">
        <f>IFERROR(__xludf.DUMMYFUNCTION("if($C121="""","""",if(join("" - "",{iferror(filter('Student Groupings'!$A:$A,'Student Groupings'!$B:$B=$C121,'Student Groupings'!$H:$H=""Must be Together""),"""");iferror(filter('Student Groupings'!$A:$A,'Student Groupings'!$E:$E=$C121,'Student Groupings'"&amp;"!$H:$H=""Must be Together""),"""")})="" - "","""",join("" - "",{iferror(filter('Student Groupings'!$A:$A,'Student Groupings'!$B:$B=$C121,'Student Groupings'!$H:$H=""Must be Together""),"""");iferror(filter('Student Groupings'!$A:$A,'Student Groupings'!$E:"&amp;"$E=$C121,'Student Groupings'!$H:$H=""Must be Together""),"""")})))"),"")</f>
        <v/>
      </c>
      <c r="AE121" s="104"/>
      <c r="AF121" s="104"/>
      <c r="AG121" s="104"/>
      <c r="AH121" s="104"/>
    </row>
    <row r="122">
      <c r="A122" s="101">
        <v>6.0</v>
      </c>
      <c r="B122" s="101">
        <v>31118.0</v>
      </c>
      <c r="C122" s="102" t="s">
        <v>401</v>
      </c>
      <c r="D122" s="52" t="s">
        <v>173</v>
      </c>
      <c r="E122" s="52">
        <v>3.0</v>
      </c>
      <c r="F122" s="52" t="s">
        <v>158</v>
      </c>
      <c r="G122" s="52">
        <v>5.0</v>
      </c>
      <c r="H122" s="52" t="s">
        <v>182</v>
      </c>
      <c r="I122" s="52">
        <v>6.0</v>
      </c>
      <c r="J122" s="52" t="s">
        <v>194</v>
      </c>
      <c r="K122" s="52">
        <v>2.0</v>
      </c>
      <c r="L122" s="52" t="s">
        <v>198</v>
      </c>
      <c r="M122" s="52">
        <v>4.0</v>
      </c>
      <c r="N122" s="52" t="s">
        <v>153</v>
      </c>
      <c r="O122" s="52" t="s">
        <v>108</v>
      </c>
      <c r="P122" s="52" t="s">
        <v>134</v>
      </c>
      <c r="Q122" s="52" t="s">
        <v>129</v>
      </c>
      <c r="R122" s="52" t="s">
        <v>117</v>
      </c>
      <c r="S122" s="52" t="s">
        <v>129</v>
      </c>
      <c r="T122" s="65" t="s">
        <v>27</v>
      </c>
      <c r="U122" s="32">
        <v>1.0</v>
      </c>
      <c r="V122" s="32">
        <v>1.0</v>
      </c>
      <c r="W122" s="32">
        <v>1.0</v>
      </c>
      <c r="X122" s="32">
        <v>1.0</v>
      </c>
      <c r="Y122" s="32">
        <v>1.0</v>
      </c>
      <c r="Z122" s="32">
        <v>1.0</v>
      </c>
      <c r="AA122" s="32">
        <v>6.0</v>
      </c>
      <c r="AB122" s="32">
        <v>0.0</v>
      </c>
      <c r="AC122" s="103" t="str">
        <f>IFERROR(__xludf.DUMMYFUNCTION("if($C122="""","""",if(join("" - "",{iferror(filter('Student Groupings'!$A:$A,'Student Groupings'!$B:$B=$C122,'Student Groupings'!$H:$H=""Can't be Together""),"""");iferror(filter('Student Groupings'!$A:$A,'Student Groupings'!$E:$E=$C122,'Student Groupings"&amp;"'!$H:$H=""Can't be Together""),"""")})="" - "","""",join("" - "",{iferror(filter('Student Groupings'!$A:$A,'Student Groupings'!$B:$B=$C122,'Student Groupings'!$H:$H=""Can't be Together""),"""");iferror(filter('Student Groupings'!$A:$A,'Student Groupings'!"&amp;"$E:$E=$C122,'Student Groupings'!$H:$H=""Can't be Together""),"""")})))"),"")</f>
        <v/>
      </c>
      <c r="AD122" s="103" t="str">
        <f>IFERROR(__xludf.DUMMYFUNCTION("if($C122="""","""",if(join("" - "",{iferror(filter('Student Groupings'!$A:$A,'Student Groupings'!$B:$B=$C122,'Student Groupings'!$H:$H=""Must be Together""),"""");iferror(filter('Student Groupings'!$A:$A,'Student Groupings'!$E:$E=$C122,'Student Groupings'"&amp;"!$H:$H=""Must be Together""),"""")})="" - "","""",join("" - "",{iferror(filter('Student Groupings'!$A:$A,'Student Groupings'!$B:$B=$C122,'Student Groupings'!$H:$H=""Must be Together""),"""");iferror(filter('Student Groupings'!$A:$A,'Student Groupings'!$E:"&amp;"$E=$C122,'Student Groupings'!$H:$H=""Must be Together""),"""")})))"),"")</f>
        <v/>
      </c>
      <c r="AE122" s="105"/>
      <c r="AF122" s="105"/>
      <c r="AG122" s="105"/>
      <c r="AH122" s="105"/>
    </row>
    <row r="123">
      <c r="A123" s="101">
        <v>6.0</v>
      </c>
      <c r="B123" s="101">
        <v>31119.0</v>
      </c>
      <c r="C123" s="102" t="s">
        <v>240</v>
      </c>
      <c r="D123" s="52" t="s">
        <v>171</v>
      </c>
      <c r="E123" s="52">
        <v>4.0</v>
      </c>
      <c r="F123" s="52" t="s">
        <v>158</v>
      </c>
      <c r="G123" s="52">
        <v>1.0</v>
      </c>
      <c r="H123" s="52" t="s">
        <v>182</v>
      </c>
      <c r="I123" s="52">
        <v>6.0</v>
      </c>
      <c r="J123" s="52" t="s">
        <v>192</v>
      </c>
      <c r="K123" s="52">
        <v>3.0</v>
      </c>
      <c r="L123" s="52" t="s">
        <v>196</v>
      </c>
      <c r="M123" s="52">
        <v>2.0</v>
      </c>
      <c r="N123" s="52" t="s">
        <v>153</v>
      </c>
      <c r="O123" s="52" t="s">
        <v>112</v>
      </c>
      <c r="P123" s="52" t="s">
        <v>142</v>
      </c>
      <c r="Q123" s="52" t="s">
        <v>124</v>
      </c>
      <c r="R123" s="52" t="s">
        <v>142</v>
      </c>
      <c r="S123" s="52" t="s">
        <v>124</v>
      </c>
      <c r="T123" s="65" t="s">
        <v>142</v>
      </c>
      <c r="U123" s="32">
        <v>1.0</v>
      </c>
      <c r="V123" s="32">
        <v>1.0</v>
      </c>
      <c r="W123" s="32">
        <v>1.0</v>
      </c>
      <c r="X123" s="32">
        <v>1.0</v>
      </c>
      <c r="Y123" s="32">
        <v>1.0</v>
      </c>
      <c r="Z123" s="32">
        <v>1.0</v>
      </c>
      <c r="AA123" s="32">
        <v>6.0</v>
      </c>
      <c r="AB123" s="32">
        <v>0.0</v>
      </c>
      <c r="AC123" s="103" t="str">
        <f>IFERROR(__xludf.DUMMYFUNCTION("if($C123="""","""",if(join("" - "",{iferror(filter('Student Groupings'!$A:$A,'Student Groupings'!$B:$B=$C123,'Student Groupings'!$H:$H=""Can't be Together""),"""");iferror(filter('Student Groupings'!$A:$A,'Student Groupings'!$E:$E=$C123,'Student Groupings"&amp;"'!$H:$H=""Can't be Together""),"""")})="" - "","""",join("" - "",{iferror(filter('Student Groupings'!$A:$A,'Student Groupings'!$B:$B=$C123,'Student Groupings'!$H:$H=""Can't be Together""),"""");iferror(filter('Student Groupings'!$A:$A,'Student Groupings'!"&amp;"$E:$E=$C123,'Student Groupings'!$H:$H=""Can't be Together""),"""")})))"),"")</f>
        <v/>
      </c>
      <c r="AD123" s="103" t="str">
        <f>IFERROR(__xludf.DUMMYFUNCTION("if($C123="""","""",if(join("" - "",{iferror(filter('Student Groupings'!$A:$A,'Student Groupings'!$B:$B=$C123,'Student Groupings'!$H:$H=""Must be Together""),"""");iferror(filter('Student Groupings'!$A:$A,'Student Groupings'!$E:$E=$C123,'Student Groupings'"&amp;"!$H:$H=""Must be Together""),"""")})="" - "","""",join("" - "",{iferror(filter('Student Groupings'!$A:$A,'Student Groupings'!$B:$B=$C123,'Student Groupings'!$H:$H=""Must be Together""),"""");iferror(filter('Student Groupings'!$A:$A,'Student Groupings'!$E:"&amp;"$E=$C123,'Student Groupings'!$H:$H=""Must be Together""),"""")})))")," - 27")</f>
        <v> - 27</v>
      </c>
      <c r="AE123" s="104"/>
      <c r="AF123" s="104"/>
      <c r="AG123" s="104"/>
      <c r="AH123" s="104"/>
    </row>
    <row r="124">
      <c r="A124" s="101">
        <v>6.0</v>
      </c>
      <c r="B124" s="101">
        <v>31120.0</v>
      </c>
      <c r="C124" s="102" t="s">
        <v>213</v>
      </c>
      <c r="D124" s="52" t="s">
        <v>171</v>
      </c>
      <c r="E124" s="52">
        <v>4.0</v>
      </c>
      <c r="F124" s="52" t="s">
        <v>159</v>
      </c>
      <c r="G124" s="52">
        <v>5.0</v>
      </c>
      <c r="H124" s="52" t="s">
        <v>182</v>
      </c>
      <c r="I124" s="52">
        <v>6.0</v>
      </c>
      <c r="J124" s="52" t="s">
        <v>192</v>
      </c>
      <c r="K124" s="52">
        <v>3.0</v>
      </c>
      <c r="L124" s="52" t="s">
        <v>196</v>
      </c>
      <c r="M124" s="52">
        <v>2.0</v>
      </c>
      <c r="N124" s="52" t="s">
        <v>153</v>
      </c>
      <c r="O124" s="52" t="s">
        <v>108</v>
      </c>
      <c r="P124" s="52" t="s">
        <v>117</v>
      </c>
      <c r="Q124" s="52" t="s">
        <v>129</v>
      </c>
      <c r="R124" s="52" t="s">
        <v>134</v>
      </c>
      <c r="S124" s="52" t="s">
        <v>129</v>
      </c>
      <c r="T124" s="65" t="s">
        <v>27</v>
      </c>
      <c r="U124" s="32">
        <v>1.0</v>
      </c>
      <c r="V124" s="32">
        <v>1.0</v>
      </c>
      <c r="W124" s="32">
        <v>1.0</v>
      </c>
      <c r="X124" s="32">
        <v>1.0</v>
      </c>
      <c r="Y124" s="32">
        <v>1.0</v>
      </c>
      <c r="Z124" s="32">
        <v>1.0</v>
      </c>
      <c r="AA124" s="32">
        <v>6.0</v>
      </c>
      <c r="AB124" s="32">
        <v>0.0</v>
      </c>
      <c r="AC124" s="103" t="str">
        <f>IFERROR(__xludf.DUMMYFUNCTION("if($C124="""","""",if(join("" - "",{iferror(filter('Student Groupings'!$A:$A,'Student Groupings'!$B:$B=$C124,'Student Groupings'!$H:$H=""Can't be Together""),"""");iferror(filter('Student Groupings'!$A:$A,'Student Groupings'!$E:$E=$C124,'Student Groupings"&amp;"'!$H:$H=""Can't be Together""),"""")})="" - "","""",join("" - "",{iferror(filter('Student Groupings'!$A:$A,'Student Groupings'!$B:$B=$C124,'Student Groupings'!$H:$H=""Can't be Together""),"""");iferror(filter('Student Groupings'!$A:$A,'Student Groupings'!"&amp;"$E:$E=$C124,'Student Groupings'!$H:$H=""Can't be Together""),"""")})))"),"")</f>
        <v/>
      </c>
      <c r="AD124" s="103" t="str">
        <f>IFERROR(__xludf.DUMMYFUNCTION("if($C124="""","""",if(join("" - "",{iferror(filter('Student Groupings'!$A:$A,'Student Groupings'!$B:$B=$C124,'Student Groupings'!$H:$H=""Must be Together""),"""");iferror(filter('Student Groupings'!$A:$A,'Student Groupings'!$E:$E=$C124,'Student Groupings'"&amp;"!$H:$H=""Must be Together""),"""")})="" - "","""",join("" - "",{iferror(filter('Student Groupings'!$A:$A,'Student Groupings'!$B:$B=$C124,'Student Groupings'!$H:$H=""Must be Together""),"""");iferror(filter('Student Groupings'!$A:$A,'Student Groupings'!$E:"&amp;"$E=$C124,'Student Groupings'!$H:$H=""Must be Together""),"""")})))")," - 2")</f>
        <v> - 2</v>
      </c>
      <c r="AE124" s="104"/>
      <c r="AF124" s="104"/>
      <c r="AG124" s="105">
        <v>1.0</v>
      </c>
      <c r="AH124" s="105"/>
    </row>
    <row r="125">
      <c r="A125" s="101">
        <v>6.0</v>
      </c>
      <c r="B125" s="101">
        <v>31121.0</v>
      </c>
      <c r="C125" s="102" t="s">
        <v>402</v>
      </c>
      <c r="D125" s="52" t="s">
        <v>171</v>
      </c>
      <c r="E125" s="52">
        <v>6.0</v>
      </c>
      <c r="F125" s="52" t="s">
        <v>158</v>
      </c>
      <c r="G125" s="52">
        <v>4.0</v>
      </c>
      <c r="H125" s="52" t="s">
        <v>182</v>
      </c>
      <c r="I125" s="52">
        <v>3.0</v>
      </c>
      <c r="J125" s="52" t="s">
        <v>192</v>
      </c>
      <c r="K125" s="52">
        <v>5.0</v>
      </c>
      <c r="L125" s="52" t="s">
        <v>196</v>
      </c>
      <c r="M125" s="52">
        <v>1.0</v>
      </c>
      <c r="N125" s="52" t="s">
        <v>153</v>
      </c>
      <c r="O125" s="52" t="s">
        <v>125</v>
      </c>
      <c r="P125" s="52" t="s">
        <v>117</v>
      </c>
      <c r="Q125" s="52" t="s">
        <v>119</v>
      </c>
      <c r="R125" s="52" t="s">
        <v>134</v>
      </c>
      <c r="S125" s="52" t="s">
        <v>119</v>
      </c>
      <c r="T125" s="65" t="s">
        <v>27</v>
      </c>
      <c r="U125" s="32">
        <v>1.0</v>
      </c>
      <c r="V125" s="32">
        <v>1.0</v>
      </c>
      <c r="W125" s="32">
        <v>1.0</v>
      </c>
      <c r="X125" s="32">
        <v>1.0</v>
      </c>
      <c r="Y125" s="32">
        <v>1.0</v>
      </c>
      <c r="Z125" s="32">
        <v>1.0</v>
      </c>
      <c r="AA125" s="32">
        <v>6.0</v>
      </c>
      <c r="AB125" s="32">
        <v>0.0</v>
      </c>
      <c r="AC125" s="103" t="str">
        <f>IFERROR(__xludf.DUMMYFUNCTION("if($C125="""","""",if(join("" - "",{iferror(filter('Student Groupings'!$A:$A,'Student Groupings'!$B:$B=$C125,'Student Groupings'!$H:$H=""Can't be Together""),"""");iferror(filter('Student Groupings'!$A:$A,'Student Groupings'!$E:$E=$C125,'Student Groupings"&amp;"'!$H:$H=""Can't be Together""),"""")})="" - "","""",join("" - "",{iferror(filter('Student Groupings'!$A:$A,'Student Groupings'!$B:$B=$C125,'Student Groupings'!$H:$H=""Can't be Together""),"""");iferror(filter('Student Groupings'!$A:$A,'Student Groupings'!"&amp;"$E:$E=$C125,'Student Groupings'!$H:$H=""Can't be Together""),"""")})))"),"")</f>
        <v/>
      </c>
      <c r="AD125" s="103" t="str">
        <f>IFERROR(__xludf.DUMMYFUNCTION("if($C125="""","""",if(join("" - "",{iferror(filter('Student Groupings'!$A:$A,'Student Groupings'!$B:$B=$C125,'Student Groupings'!$H:$H=""Must be Together""),"""");iferror(filter('Student Groupings'!$A:$A,'Student Groupings'!$E:$E=$C125,'Student Groupings'"&amp;"!$H:$H=""Must be Together""),"""")})="" - "","""",join("" - "",{iferror(filter('Student Groupings'!$A:$A,'Student Groupings'!$B:$B=$C125,'Student Groupings'!$H:$H=""Must be Together""),"""");iferror(filter('Student Groupings'!$A:$A,'Student Groupings'!$E:"&amp;"$E=$C125,'Student Groupings'!$H:$H=""Must be Together""),"""")})))"),"")</f>
        <v/>
      </c>
      <c r="AE125" s="104"/>
      <c r="AF125" s="104"/>
      <c r="AG125" s="104"/>
      <c r="AH125" s="104"/>
    </row>
    <row r="126">
      <c r="A126" s="101">
        <v>6.0</v>
      </c>
      <c r="B126" s="101">
        <v>30108.0</v>
      </c>
      <c r="C126" s="102" t="s">
        <v>403</v>
      </c>
      <c r="D126" s="52" t="s">
        <v>171</v>
      </c>
      <c r="E126" s="52">
        <v>2.0</v>
      </c>
      <c r="F126" s="52" t="s">
        <v>158</v>
      </c>
      <c r="G126" s="101">
        <v>1.0</v>
      </c>
      <c r="H126" s="52" t="s">
        <v>182</v>
      </c>
      <c r="I126" s="52">
        <v>5.0</v>
      </c>
      <c r="J126" s="52" t="s">
        <v>192</v>
      </c>
      <c r="K126" s="52">
        <v>4.0</v>
      </c>
      <c r="L126" s="52" t="s">
        <v>196</v>
      </c>
      <c r="M126" s="52">
        <v>3.0</v>
      </c>
      <c r="N126" s="52" t="s">
        <v>153</v>
      </c>
      <c r="O126" s="52" t="s">
        <v>120</v>
      </c>
      <c r="P126" s="52" t="s">
        <v>117</v>
      </c>
      <c r="Q126" s="52" t="s">
        <v>109</v>
      </c>
      <c r="R126" s="52" t="s">
        <v>134</v>
      </c>
      <c r="S126" s="52" t="s">
        <v>109</v>
      </c>
      <c r="T126" s="65" t="s">
        <v>8</v>
      </c>
      <c r="U126" s="32">
        <v>1.0</v>
      </c>
      <c r="V126" s="32">
        <v>1.0</v>
      </c>
      <c r="W126" s="32">
        <v>1.0</v>
      </c>
      <c r="X126" s="32">
        <v>1.0</v>
      </c>
      <c r="Y126" s="32">
        <v>1.0</v>
      </c>
      <c r="Z126" s="32">
        <v>1.0</v>
      </c>
      <c r="AA126" s="32">
        <v>6.0</v>
      </c>
      <c r="AB126" s="32">
        <v>0.0</v>
      </c>
      <c r="AC126" s="103" t="str">
        <f>IFERROR(__xludf.DUMMYFUNCTION("if($C126="""","""",if(join("" - "",{iferror(filter('Student Groupings'!$A:$A,'Student Groupings'!$B:$B=$C126,'Student Groupings'!$H:$H=""Can't be Together""),"""");iferror(filter('Student Groupings'!$A:$A,'Student Groupings'!$E:$E=$C126,'Student Groupings"&amp;"'!$H:$H=""Can't be Together""),"""")})="" - "","""",join("" - "",{iferror(filter('Student Groupings'!$A:$A,'Student Groupings'!$B:$B=$C126,'Student Groupings'!$H:$H=""Can't be Together""),"""");iferror(filter('Student Groupings'!$A:$A,'Student Groupings'!"&amp;"$E:$E=$C126,'Student Groupings'!$H:$H=""Can't be Together""),"""")})))"),"")</f>
        <v/>
      </c>
      <c r="AD126" s="103" t="str">
        <f>IFERROR(__xludf.DUMMYFUNCTION("if($C126="""","""",if(join("" - "",{iferror(filter('Student Groupings'!$A:$A,'Student Groupings'!$B:$B=$C126,'Student Groupings'!$H:$H=""Must be Together""),"""");iferror(filter('Student Groupings'!$A:$A,'Student Groupings'!$E:$E=$C126,'Student Groupings'"&amp;"!$H:$H=""Must be Together""),"""")})="" - "","""",join("" - "",{iferror(filter('Student Groupings'!$A:$A,'Student Groupings'!$B:$B=$C126,'Student Groupings'!$H:$H=""Must be Together""),"""");iferror(filter('Student Groupings'!$A:$A,'Student Groupings'!$E:"&amp;"$E=$C126,'Student Groupings'!$H:$H=""Must be Together""),"""")})))"),"")</f>
        <v/>
      </c>
      <c r="AE126" s="104"/>
      <c r="AF126" s="104"/>
      <c r="AG126" s="104"/>
      <c r="AH126" s="104"/>
    </row>
    <row r="127">
      <c r="A127" s="101">
        <v>6.0</v>
      </c>
      <c r="B127" s="101">
        <v>31122.0</v>
      </c>
      <c r="C127" s="102" t="s">
        <v>404</v>
      </c>
      <c r="D127" s="52" t="s">
        <v>171</v>
      </c>
      <c r="E127" s="52">
        <v>6.0</v>
      </c>
      <c r="F127" s="52" t="s">
        <v>158</v>
      </c>
      <c r="G127" s="52">
        <v>4.0</v>
      </c>
      <c r="H127" s="52" t="s">
        <v>182</v>
      </c>
      <c r="I127" s="52">
        <v>3.0</v>
      </c>
      <c r="J127" s="52" t="s">
        <v>192</v>
      </c>
      <c r="K127" s="52">
        <v>5.0</v>
      </c>
      <c r="L127" s="52" t="s">
        <v>196</v>
      </c>
      <c r="M127" s="52">
        <v>1.0</v>
      </c>
      <c r="N127" s="52" t="s">
        <v>153</v>
      </c>
      <c r="O127" s="52" t="s">
        <v>125</v>
      </c>
      <c r="P127" s="52" t="s">
        <v>134</v>
      </c>
      <c r="Q127" s="52" t="s">
        <v>119</v>
      </c>
      <c r="R127" s="52" t="s">
        <v>117</v>
      </c>
      <c r="S127" s="52" t="s">
        <v>119</v>
      </c>
      <c r="T127" s="65" t="s">
        <v>27</v>
      </c>
      <c r="U127" s="32">
        <v>1.0</v>
      </c>
      <c r="V127" s="32">
        <v>1.0</v>
      </c>
      <c r="W127" s="32">
        <v>1.0</v>
      </c>
      <c r="X127" s="32">
        <v>1.0</v>
      </c>
      <c r="Y127" s="32">
        <v>1.0</v>
      </c>
      <c r="Z127" s="32">
        <v>1.0</v>
      </c>
      <c r="AA127" s="32">
        <v>6.0</v>
      </c>
      <c r="AB127" s="32">
        <v>0.0</v>
      </c>
      <c r="AC127" s="103" t="str">
        <f>IFERROR(__xludf.DUMMYFUNCTION("if($C127="""","""",if(join("" - "",{iferror(filter('Student Groupings'!$A:$A,'Student Groupings'!$B:$B=$C127,'Student Groupings'!$H:$H=""Can't be Together""),"""");iferror(filter('Student Groupings'!$A:$A,'Student Groupings'!$E:$E=$C127,'Student Groupings"&amp;"'!$H:$H=""Can't be Together""),"""")})="" - "","""",join("" - "",{iferror(filter('Student Groupings'!$A:$A,'Student Groupings'!$B:$B=$C127,'Student Groupings'!$H:$H=""Can't be Together""),"""");iferror(filter('Student Groupings'!$A:$A,'Student Groupings'!"&amp;"$E:$E=$C127,'Student Groupings'!$H:$H=""Can't be Together""),"""")})))"),"")</f>
        <v/>
      </c>
      <c r="AD127" s="103" t="str">
        <f>IFERROR(__xludf.DUMMYFUNCTION("if($C127="""","""",if(join("" - "",{iferror(filter('Student Groupings'!$A:$A,'Student Groupings'!$B:$B=$C127,'Student Groupings'!$H:$H=""Must be Together""),"""");iferror(filter('Student Groupings'!$A:$A,'Student Groupings'!$E:$E=$C127,'Student Groupings'"&amp;"!$H:$H=""Must be Together""),"""")})="" - "","""",join("" - "",{iferror(filter('Student Groupings'!$A:$A,'Student Groupings'!$B:$B=$C127,'Student Groupings'!$H:$H=""Must be Together""),"""");iferror(filter('Student Groupings'!$A:$A,'Student Groupings'!$E:"&amp;"$E=$C127,'Student Groupings'!$H:$H=""Must be Together""),"""")})))"),"")</f>
        <v/>
      </c>
      <c r="AE127" s="104"/>
      <c r="AF127" s="104"/>
      <c r="AG127" s="104"/>
      <c r="AH127" s="104"/>
    </row>
    <row r="128">
      <c r="A128" s="101">
        <v>6.0</v>
      </c>
      <c r="B128" s="101">
        <v>31123.0</v>
      </c>
      <c r="C128" s="102" t="s">
        <v>243</v>
      </c>
      <c r="D128" s="52" t="s">
        <v>171</v>
      </c>
      <c r="E128" s="52">
        <v>3.0</v>
      </c>
      <c r="F128" s="52" t="s">
        <v>158</v>
      </c>
      <c r="G128" s="52">
        <v>6.0</v>
      </c>
      <c r="H128" s="52" t="s">
        <v>182</v>
      </c>
      <c r="I128" s="52">
        <v>5.0</v>
      </c>
      <c r="J128" s="52" t="s">
        <v>192</v>
      </c>
      <c r="K128" s="52">
        <v>2.0</v>
      </c>
      <c r="L128" s="52" t="s">
        <v>196</v>
      </c>
      <c r="M128" s="52">
        <v>4.0</v>
      </c>
      <c r="N128" s="52" t="s">
        <v>153</v>
      </c>
      <c r="O128" s="52" t="s">
        <v>108</v>
      </c>
      <c r="P128" s="52" t="s">
        <v>117</v>
      </c>
      <c r="Q128" s="52" t="s">
        <v>129</v>
      </c>
      <c r="R128" s="52" t="s">
        <v>134</v>
      </c>
      <c r="S128" s="52" t="s">
        <v>129</v>
      </c>
      <c r="T128" s="65" t="s">
        <v>27</v>
      </c>
      <c r="U128" s="32">
        <v>1.0</v>
      </c>
      <c r="V128" s="32">
        <v>1.0</v>
      </c>
      <c r="W128" s="32">
        <v>1.0</v>
      </c>
      <c r="X128" s="32">
        <v>1.0</v>
      </c>
      <c r="Y128" s="32">
        <v>1.0</v>
      </c>
      <c r="Z128" s="32">
        <v>1.0</v>
      </c>
      <c r="AA128" s="32">
        <v>6.0</v>
      </c>
      <c r="AB128" s="32">
        <v>0.0</v>
      </c>
      <c r="AC128" s="103" t="str">
        <f>IFERROR(__xludf.DUMMYFUNCTION("if($C128="""","""",if(join("" - "",{iferror(filter('Student Groupings'!$A:$A,'Student Groupings'!$B:$B=$C128,'Student Groupings'!$H:$H=""Can't be Together""),"""");iferror(filter('Student Groupings'!$A:$A,'Student Groupings'!$E:$E=$C128,'Student Groupings"&amp;"'!$H:$H=""Can't be Together""),"""")})="" - "","""",join("" - "",{iferror(filter('Student Groupings'!$A:$A,'Student Groupings'!$B:$B=$C128,'Student Groupings'!$H:$H=""Can't be Together""),"""");iferror(filter('Student Groupings'!$A:$A,'Student Groupings'!"&amp;"$E:$E=$C128,'Student Groupings'!$H:$H=""Can't be Together""),"""")})))"),"29 - ")</f>
        <v>29 - </v>
      </c>
      <c r="AD128" s="103" t="str">
        <f>IFERROR(__xludf.DUMMYFUNCTION("if($C128="""","""",if(join("" - "",{iferror(filter('Student Groupings'!$A:$A,'Student Groupings'!$B:$B=$C128,'Student Groupings'!$H:$H=""Must be Together""),"""");iferror(filter('Student Groupings'!$A:$A,'Student Groupings'!$E:$E=$C128,'Student Groupings'"&amp;"!$H:$H=""Must be Together""),"""")})="" - "","""",join("" - "",{iferror(filter('Student Groupings'!$A:$A,'Student Groupings'!$B:$B=$C128,'Student Groupings'!$H:$H=""Must be Together""),"""");iferror(filter('Student Groupings'!$A:$A,'Student Groupings'!$E:"&amp;"$E=$C128,'Student Groupings'!$H:$H=""Must be Together""),"""")})))"),"")</f>
        <v/>
      </c>
      <c r="AE128" s="104"/>
      <c r="AF128" s="104"/>
      <c r="AG128" s="104"/>
      <c r="AH128" s="104"/>
    </row>
    <row r="129">
      <c r="A129" s="101">
        <v>6.0</v>
      </c>
      <c r="B129" s="101">
        <v>31124.0</v>
      </c>
      <c r="C129" s="102" t="s">
        <v>405</v>
      </c>
      <c r="D129" s="52" t="s">
        <v>171</v>
      </c>
      <c r="E129" s="52">
        <v>3.0</v>
      </c>
      <c r="F129" s="52" t="s">
        <v>158</v>
      </c>
      <c r="G129" s="52">
        <v>6.0</v>
      </c>
      <c r="H129" s="52" t="s">
        <v>181</v>
      </c>
      <c r="I129" s="52">
        <v>1.0</v>
      </c>
      <c r="J129" s="52" t="s">
        <v>192</v>
      </c>
      <c r="K129" s="52">
        <v>2.0</v>
      </c>
      <c r="L129" s="52" t="s">
        <v>196</v>
      </c>
      <c r="M129" s="52">
        <v>4.0</v>
      </c>
      <c r="N129" s="52" t="s">
        <v>153</v>
      </c>
      <c r="O129" s="52" t="s">
        <v>112</v>
      </c>
      <c r="P129" s="52" t="s">
        <v>142</v>
      </c>
      <c r="Q129" s="52" t="s">
        <v>124</v>
      </c>
      <c r="R129" s="52" t="s">
        <v>142</v>
      </c>
      <c r="S129" s="52" t="s">
        <v>124</v>
      </c>
      <c r="T129" s="65" t="s">
        <v>142</v>
      </c>
      <c r="U129" s="32">
        <v>1.0</v>
      </c>
      <c r="V129" s="32">
        <v>1.0</v>
      </c>
      <c r="W129" s="32">
        <v>1.0</v>
      </c>
      <c r="X129" s="32">
        <v>1.0</v>
      </c>
      <c r="Y129" s="32">
        <v>1.0</v>
      </c>
      <c r="Z129" s="32">
        <v>1.0</v>
      </c>
      <c r="AA129" s="32">
        <v>6.0</v>
      </c>
      <c r="AB129" s="32">
        <v>0.0</v>
      </c>
      <c r="AC129" s="103" t="str">
        <f>IFERROR(__xludf.DUMMYFUNCTION("if($C129="""","""",if(join("" - "",{iferror(filter('Student Groupings'!$A:$A,'Student Groupings'!$B:$B=$C129,'Student Groupings'!$H:$H=""Can't be Together""),"""");iferror(filter('Student Groupings'!$A:$A,'Student Groupings'!$E:$E=$C129,'Student Groupings"&amp;"'!$H:$H=""Can't be Together""),"""")})="" - "","""",join("" - "",{iferror(filter('Student Groupings'!$A:$A,'Student Groupings'!$B:$B=$C129,'Student Groupings'!$H:$H=""Can't be Together""),"""");iferror(filter('Student Groupings'!$A:$A,'Student Groupings'!"&amp;"$E:$E=$C129,'Student Groupings'!$H:$H=""Can't be Together""),"""")})))"),"")</f>
        <v/>
      </c>
      <c r="AD129" s="103" t="str">
        <f>IFERROR(__xludf.DUMMYFUNCTION("if($C129="""","""",if(join("" - "",{iferror(filter('Student Groupings'!$A:$A,'Student Groupings'!$B:$B=$C129,'Student Groupings'!$H:$H=""Must be Together""),"""");iferror(filter('Student Groupings'!$A:$A,'Student Groupings'!$E:$E=$C129,'Student Groupings'"&amp;"!$H:$H=""Must be Together""),"""")})="" - "","""",join("" - "",{iferror(filter('Student Groupings'!$A:$A,'Student Groupings'!$B:$B=$C129,'Student Groupings'!$H:$H=""Must be Together""),"""");iferror(filter('Student Groupings'!$A:$A,'Student Groupings'!$E:"&amp;"$E=$C129,'Student Groupings'!$H:$H=""Must be Together""),"""")})))"),"")</f>
        <v/>
      </c>
      <c r="AE129" s="104"/>
      <c r="AF129" s="104"/>
      <c r="AG129" s="104"/>
      <c r="AH129" s="104"/>
    </row>
    <row r="130">
      <c r="A130" s="101">
        <v>6.0</v>
      </c>
      <c r="B130" s="101">
        <v>31125.0</v>
      </c>
      <c r="C130" s="102" t="s">
        <v>237</v>
      </c>
      <c r="D130" s="52" t="s">
        <v>171</v>
      </c>
      <c r="E130" s="52">
        <v>3.0</v>
      </c>
      <c r="F130" s="52" t="s">
        <v>158</v>
      </c>
      <c r="G130" s="52">
        <v>5.0</v>
      </c>
      <c r="H130" s="52" t="s">
        <v>182</v>
      </c>
      <c r="I130" s="52">
        <v>1.0</v>
      </c>
      <c r="J130" s="52" t="s">
        <v>192</v>
      </c>
      <c r="K130" s="52">
        <v>2.0</v>
      </c>
      <c r="L130" s="52" t="s">
        <v>196</v>
      </c>
      <c r="M130" s="52">
        <v>4.0</v>
      </c>
      <c r="N130" s="52" t="s">
        <v>153</v>
      </c>
      <c r="O130" s="52" t="s">
        <v>109</v>
      </c>
      <c r="P130" s="52" t="s">
        <v>143</v>
      </c>
      <c r="Q130" s="52" t="s">
        <v>120</v>
      </c>
      <c r="R130" s="52" t="s">
        <v>143</v>
      </c>
      <c r="S130" s="52" t="s">
        <v>120</v>
      </c>
      <c r="T130" s="65" t="s">
        <v>143</v>
      </c>
      <c r="U130" s="32">
        <v>1.0</v>
      </c>
      <c r="V130" s="32">
        <v>1.0</v>
      </c>
      <c r="W130" s="32">
        <v>1.0</v>
      </c>
      <c r="X130" s="32">
        <v>1.0</v>
      </c>
      <c r="Y130" s="32">
        <v>1.0</v>
      </c>
      <c r="Z130" s="32">
        <v>1.0</v>
      </c>
      <c r="AA130" s="32">
        <v>6.0</v>
      </c>
      <c r="AB130" s="32">
        <v>0.0</v>
      </c>
      <c r="AC130" s="103" t="str">
        <f>IFERROR(__xludf.DUMMYFUNCTION("if($C130="""","""",if(join("" - "",{iferror(filter('Student Groupings'!$A:$A,'Student Groupings'!$B:$B=$C130,'Student Groupings'!$H:$H=""Can't be Together""),"""");iferror(filter('Student Groupings'!$A:$A,'Student Groupings'!$E:$E=$C130,'Student Groupings"&amp;"'!$H:$H=""Can't be Together""),"""")})="" - "","""",join("" - "",{iferror(filter('Student Groupings'!$A:$A,'Student Groupings'!$B:$B=$C130,'Student Groupings'!$H:$H=""Can't be Together""),"""");iferror(filter('Student Groupings'!$A:$A,'Student Groupings'!"&amp;"$E:$E=$C130,'Student Groupings'!$H:$H=""Can't be Together""),"""")})))")," - 24")</f>
        <v> - 24</v>
      </c>
      <c r="AD130" s="103" t="str">
        <f>IFERROR(__xludf.DUMMYFUNCTION("if($C130="""","""",if(join("" - "",{iferror(filter('Student Groupings'!$A:$A,'Student Groupings'!$B:$B=$C130,'Student Groupings'!$H:$H=""Must be Together""),"""");iferror(filter('Student Groupings'!$A:$A,'Student Groupings'!$E:$E=$C130,'Student Groupings'"&amp;"!$H:$H=""Must be Together""),"""")})="" - "","""",join("" - "",{iferror(filter('Student Groupings'!$A:$A,'Student Groupings'!$B:$B=$C130,'Student Groupings'!$H:$H=""Must be Together""),"""");iferror(filter('Student Groupings'!$A:$A,'Student Groupings'!$E:"&amp;"$E=$C130,'Student Groupings'!$H:$H=""Must be Together""),"""")})))"),"")</f>
        <v/>
      </c>
      <c r="AE130" s="104"/>
      <c r="AF130" s="104"/>
      <c r="AG130" s="104"/>
      <c r="AH130" s="104"/>
    </row>
    <row r="131">
      <c r="A131" s="101">
        <v>6.0</v>
      </c>
      <c r="B131" s="101">
        <v>31126.0</v>
      </c>
      <c r="C131" s="102" t="s">
        <v>406</v>
      </c>
      <c r="D131" s="52" t="s">
        <v>171</v>
      </c>
      <c r="E131" s="52">
        <v>2.0</v>
      </c>
      <c r="F131" s="52" t="s">
        <v>158</v>
      </c>
      <c r="G131" s="52">
        <v>6.0</v>
      </c>
      <c r="H131" s="52" t="s">
        <v>182</v>
      </c>
      <c r="I131" s="52">
        <v>5.0</v>
      </c>
      <c r="J131" s="52" t="s">
        <v>192</v>
      </c>
      <c r="K131" s="52">
        <v>4.0</v>
      </c>
      <c r="L131" s="52" t="s">
        <v>196</v>
      </c>
      <c r="M131" s="52">
        <v>3.0</v>
      </c>
      <c r="N131" s="52" t="s">
        <v>153</v>
      </c>
      <c r="O131" s="52" t="s">
        <v>108</v>
      </c>
      <c r="P131" s="52" t="s">
        <v>117</v>
      </c>
      <c r="Q131" s="52" t="s">
        <v>129</v>
      </c>
      <c r="R131" s="52" t="s">
        <v>134</v>
      </c>
      <c r="S131" s="52" t="s">
        <v>129</v>
      </c>
      <c r="T131" s="65" t="s">
        <v>27</v>
      </c>
      <c r="U131" s="32">
        <v>1.0</v>
      </c>
      <c r="V131" s="32">
        <v>1.0</v>
      </c>
      <c r="W131" s="32">
        <v>1.0</v>
      </c>
      <c r="X131" s="32">
        <v>1.0</v>
      </c>
      <c r="Y131" s="32">
        <v>1.0</v>
      </c>
      <c r="Z131" s="32">
        <v>1.0</v>
      </c>
      <c r="AA131" s="32">
        <v>6.0</v>
      </c>
      <c r="AB131" s="32">
        <v>0.0</v>
      </c>
      <c r="AC131" s="103" t="str">
        <f>IFERROR(__xludf.DUMMYFUNCTION("if($C131="""","""",if(join("" - "",{iferror(filter('Student Groupings'!$A:$A,'Student Groupings'!$B:$B=$C131,'Student Groupings'!$H:$H=""Can't be Together""),"""");iferror(filter('Student Groupings'!$A:$A,'Student Groupings'!$E:$E=$C131,'Student Groupings"&amp;"'!$H:$H=""Can't be Together""),"""")})="" - "","""",join("" - "",{iferror(filter('Student Groupings'!$A:$A,'Student Groupings'!$B:$B=$C131,'Student Groupings'!$H:$H=""Can't be Together""),"""");iferror(filter('Student Groupings'!$A:$A,'Student Groupings'!"&amp;"$E:$E=$C131,'Student Groupings'!$H:$H=""Can't be Together""),"""")})))"),"")</f>
        <v/>
      </c>
      <c r="AD131" s="103" t="str">
        <f>IFERROR(__xludf.DUMMYFUNCTION("if($C131="""","""",if(join("" - "",{iferror(filter('Student Groupings'!$A:$A,'Student Groupings'!$B:$B=$C131,'Student Groupings'!$H:$H=""Must be Together""),"""");iferror(filter('Student Groupings'!$A:$A,'Student Groupings'!$E:$E=$C131,'Student Groupings'"&amp;"!$H:$H=""Must be Together""),"""")})="" - "","""",join("" - "",{iferror(filter('Student Groupings'!$A:$A,'Student Groupings'!$B:$B=$C131,'Student Groupings'!$H:$H=""Must be Together""),"""");iferror(filter('Student Groupings'!$A:$A,'Student Groupings'!$E:"&amp;"$E=$C131,'Student Groupings'!$H:$H=""Must be Together""),"""")})))"),"")</f>
        <v/>
      </c>
      <c r="AE131" s="104"/>
      <c r="AF131" s="104"/>
      <c r="AG131" s="104"/>
      <c r="AH131" s="104"/>
    </row>
    <row r="132">
      <c r="A132" s="101">
        <v>6.0</v>
      </c>
      <c r="B132" s="101">
        <v>31127.0</v>
      </c>
      <c r="C132" s="102" t="s">
        <v>252</v>
      </c>
      <c r="D132" s="52" t="s">
        <v>171</v>
      </c>
      <c r="E132" s="52">
        <v>5.0</v>
      </c>
      <c r="F132" s="52" t="s">
        <v>158</v>
      </c>
      <c r="G132" s="101">
        <v>3.0</v>
      </c>
      <c r="H132" s="52" t="s">
        <v>182</v>
      </c>
      <c r="I132" s="52">
        <v>2.0</v>
      </c>
      <c r="J132" s="52" t="s">
        <v>192</v>
      </c>
      <c r="K132" s="52">
        <v>1.0</v>
      </c>
      <c r="L132" s="52" t="s">
        <v>196</v>
      </c>
      <c r="M132" s="52">
        <v>6.0</v>
      </c>
      <c r="N132" s="52" t="s">
        <v>153</v>
      </c>
      <c r="O132" s="52" t="s">
        <v>130</v>
      </c>
      <c r="P132" s="52" t="s">
        <v>117</v>
      </c>
      <c r="Q132" s="52" t="s">
        <v>111</v>
      </c>
      <c r="R132" s="52" t="s">
        <v>134</v>
      </c>
      <c r="S132" s="52" t="s">
        <v>111</v>
      </c>
      <c r="T132" s="65" t="s">
        <v>27</v>
      </c>
      <c r="U132" s="32">
        <v>1.0</v>
      </c>
      <c r="V132" s="32">
        <v>1.0</v>
      </c>
      <c r="W132" s="32">
        <v>1.0</v>
      </c>
      <c r="X132" s="32">
        <v>1.0</v>
      </c>
      <c r="Y132" s="32">
        <v>1.0</v>
      </c>
      <c r="Z132" s="32">
        <v>1.0</v>
      </c>
      <c r="AA132" s="32">
        <v>6.0</v>
      </c>
      <c r="AB132" s="32">
        <v>0.0</v>
      </c>
      <c r="AC132" s="103" t="str">
        <f>IFERROR(__xludf.DUMMYFUNCTION("if($C132="""","""",if(join("" - "",{iferror(filter('Student Groupings'!$A:$A,'Student Groupings'!$B:$B=$C132,'Student Groupings'!$H:$H=""Can't be Together""),"""");iferror(filter('Student Groupings'!$A:$A,'Student Groupings'!$E:$E=$C132,'Student Groupings"&amp;"'!$H:$H=""Can't be Together""),"""")})="" - "","""",join("" - "",{iferror(filter('Student Groupings'!$A:$A,'Student Groupings'!$B:$B=$C132,'Student Groupings'!$H:$H=""Can't be Together""),"""");iferror(filter('Student Groupings'!$A:$A,'Student Groupings'!"&amp;"$E:$E=$C132,'Student Groupings'!$H:$H=""Can't be Together""),"""")})))")," - 36")</f>
        <v> - 36</v>
      </c>
      <c r="AD132" s="103" t="str">
        <f>IFERROR(__xludf.DUMMYFUNCTION("if($C132="""","""",if(join("" - "",{iferror(filter('Student Groupings'!$A:$A,'Student Groupings'!$B:$B=$C132,'Student Groupings'!$H:$H=""Must be Together""),"""");iferror(filter('Student Groupings'!$A:$A,'Student Groupings'!$E:$E=$C132,'Student Groupings'"&amp;"!$H:$H=""Must be Together""),"""")})="" - "","""",join("" - "",{iferror(filter('Student Groupings'!$A:$A,'Student Groupings'!$B:$B=$C132,'Student Groupings'!$H:$H=""Must be Together""),"""");iferror(filter('Student Groupings'!$A:$A,'Student Groupings'!$E:"&amp;"$E=$C132,'Student Groupings'!$H:$H=""Must be Together""),"""")})))"),"")</f>
        <v/>
      </c>
      <c r="AE132" s="104"/>
      <c r="AF132" s="104"/>
      <c r="AG132" s="104"/>
      <c r="AH132" s="104"/>
    </row>
    <row r="133">
      <c r="A133" s="101">
        <v>6.0</v>
      </c>
      <c r="B133" s="101">
        <v>31128.0</v>
      </c>
      <c r="C133" s="102" t="s">
        <v>210</v>
      </c>
      <c r="D133" s="52" t="s">
        <v>171</v>
      </c>
      <c r="E133" s="52">
        <v>4.0</v>
      </c>
      <c r="F133" s="52" t="s">
        <v>159</v>
      </c>
      <c r="G133" s="52">
        <v>5.0</v>
      </c>
      <c r="H133" s="52" t="s">
        <v>181</v>
      </c>
      <c r="I133" s="101">
        <v>1.0</v>
      </c>
      <c r="J133" s="52" t="s">
        <v>192</v>
      </c>
      <c r="K133" s="101">
        <v>3.0</v>
      </c>
      <c r="L133" s="52" t="s">
        <v>196</v>
      </c>
      <c r="M133" s="101">
        <v>2.0</v>
      </c>
      <c r="N133" s="52" t="s">
        <v>153</v>
      </c>
      <c r="O133" s="52" t="s">
        <v>109</v>
      </c>
      <c r="P133" s="52" t="s">
        <v>143</v>
      </c>
      <c r="Q133" s="52" t="s">
        <v>120</v>
      </c>
      <c r="R133" s="52" t="s">
        <v>143</v>
      </c>
      <c r="S133" s="52" t="s">
        <v>120</v>
      </c>
      <c r="T133" s="65" t="s">
        <v>143</v>
      </c>
      <c r="U133" s="32">
        <v>1.0</v>
      </c>
      <c r="V133" s="32">
        <v>1.0</v>
      </c>
      <c r="W133" s="32">
        <v>1.0</v>
      </c>
      <c r="X133" s="32">
        <v>1.0</v>
      </c>
      <c r="Y133" s="32">
        <v>1.0</v>
      </c>
      <c r="Z133" s="32">
        <v>1.0</v>
      </c>
      <c r="AA133" s="32">
        <v>6.0</v>
      </c>
      <c r="AB133" s="32">
        <v>0.0</v>
      </c>
      <c r="AC133" s="103" t="str">
        <f>IFERROR(__xludf.DUMMYFUNCTION("if($C133="""","""",if(join("" - "",{iferror(filter('Student Groupings'!$A:$A,'Student Groupings'!$B:$B=$C133,'Student Groupings'!$H:$H=""Can't be Together""),"""");iferror(filter('Student Groupings'!$A:$A,'Student Groupings'!$E:$E=$C133,'Student Groupings"&amp;"'!$H:$H=""Can't be Together""),"""")})="" - "","""",join("" - "",{iferror(filter('Student Groupings'!$A:$A,'Student Groupings'!$B:$B=$C133,'Student Groupings'!$H:$H=""Can't be Together""),"""");iferror(filter('Student Groupings'!$A:$A,'Student Groupings'!"&amp;"$E:$E=$C133,'Student Groupings'!$H:$H=""Can't be Together""),"""")})))"),"1 - ")</f>
        <v>1 - </v>
      </c>
      <c r="AD133" s="103" t="str">
        <f>IFERROR(__xludf.DUMMYFUNCTION("if($C133="""","""",if(join("" - "",{iferror(filter('Student Groupings'!$A:$A,'Student Groupings'!$B:$B=$C133,'Student Groupings'!$H:$H=""Must be Together""),"""");iferror(filter('Student Groupings'!$A:$A,'Student Groupings'!$E:$E=$C133,'Student Groupings'"&amp;"!$H:$H=""Must be Together""),"""")})="" - "","""",join("" - "",{iferror(filter('Student Groupings'!$A:$A,'Student Groupings'!$B:$B=$C133,'Student Groupings'!$H:$H=""Must be Together""),"""");iferror(filter('Student Groupings'!$A:$A,'Student Groupings'!$E:"&amp;"$E=$C133,'Student Groupings'!$H:$H=""Must be Together""),"""")})))"),"2 - 3 - ")</f>
        <v>2 - 3 - </v>
      </c>
      <c r="AE133" s="105"/>
      <c r="AF133" s="105">
        <v>1.0</v>
      </c>
      <c r="AG133" s="105">
        <v>1.0</v>
      </c>
      <c r="AH133" s="105"/>
    </row>
    <row r="134">
      <c r="A134" s="101">
        <v>6.0</v>
      </c>
      <c r="B134" s="101">
        <v>31165.0</v>
      </c>
      <c r="C134" s="102" t="s">
        <v>407</v>
      </c>
      <c r="D134" s="52" t="s">
        <v>173</v>
      </c>
      <c r="E134" s="52">
        <v>3.0</v>
      </c>
      <c r="F134" s="52" t="s">
        <v>158</v>
      </c>
      <c r="G134" s="52">
        <v>5.0</v>
      </c>
      <c r="H134" s="52" t="s">
        <v>182</v>
      </c>
      <c r="I134" s="52">
        <v>1.0</v>
      </c>
      <c r="J134" s="52" t="s">
        <v>194</v>
      </c>
      <c r="K134" s="52">
        <v>2.0</v>
      </c>
      <c r="L134" s="52" t="s">
        <v>198</v>
      </c>
      <c r="M134" s="52">
        <v>4.0</v>
      </c>
      <c r="N134" s="52" t="s">
        <v>153</v>
      </c>
      <c r="O134" s="52" t="s">
        <v>120</v>
      </c>
      <c r="P134" s="52" t="s">
        <v>134</v>
      </c>
      <c r="Q134" s="52" t="s">
        <v>109</v>
      </c>
      <c r="R134" s="52" t="s">
        <v>117</v>
      </c>
      <c r="S134" s="52" t="s">
        <v>109</v>
      </c>
      <c r="T134" s="65" t="s">
        <v>27</v>
      </c>
      <c r="U134" s="32">
        <v>1.0</v>
      </c>
      <c r="V134" s="32">
        <v>1.0</v>
      </c>
      <c r="W134" s="32">
        <v>1.0</v>
      </c>
      <c r="X134" s="32">
        <v>1.0</v>
      </c>
      <c r="Y134" s="32">
        <v>1.0</v>
      </c>
      <c r="Z134" s="32">
        <v>1.0</v>
      </c>
      <c r="AA134" s="32">
        <v>6.0</v>
      </c>
      <c r="AB134" s="32">
        <v>0.0</v>
      </c>
      <c r="AC134" s="103" t="str">
        <f>IFERROR(__xludf.DUMMYFUNCTION("if($C134="""","""",if(join("" - "",{iferror(filter('Student Groupings'!$A:$A,'Student Groupings'!$B:$B=$C134,'Student Groupings'!$H:$H=""Can't be Together""),"""");iferror(filter('Student Groupings'!$A:$A,'Student Groupings'!$E:$E=$C134,'Student Groupings"&amp;"'!$H:$H=""Can't be Together""),"""")})="" - "","""",join("" - "",{iferror(filter('Student Groupings'!$A:$A,'Student Groupings'!$B:$B=$C134,'Student Groupings'!$H:$H=""Can't be Together""),"""");iferror(filter('Student Groupings'!$A:$A,'Student Groupings'!"&amp;"$E:$E=$C134,'Student Groupings'!$H:$H=""Can't be Together""),"""")})))"),"")</f>
        <v/>
      </c>
      <c r="AD134" s="103" t="str">
        <f>IFERROR(__xludf.DUMMYFUNCTION("if($C134="""","""",if(join("" - "",{iferror(filter('Student Groupings'!$A:$A,'Student Groupings'!$B:$B=$C134,'Student Groupings'!$H:$H=""Must be Together""),"""");iferror(filter('Student Groupings'!$A:$A,'Student Groupings'!$E:$E=$C134,'Student Groupings'"&amp;"!$H:$H=""Must be Together""),"""")})="" - "","""",join("" - "",{iferror(filter('Student Groupings'!$A:$A,'Student Groupings'!$B:$B=$C134,'Student Groupings'!$H:$H=""Must be Together""),"""");iferror(filter('Student Groupings'!$A:$A,'Student Groupings'!$E:"&amp;"$E=$C134,'Student Groupings'!$H:$H=""Must be Together""),"""")})))"),"")</f>
        <v/>
      </c>
      <c r="AE134" s="105"/>
      <c r="AF134" s="105"/>
      <c r="AG134" s="105"/>
      <c r="AH134" s="105"/>
    </row>
    <row r="135">
      <c r="A135" s="101">
        <v>6.0</v>
      </c>
      <c r="B135" s="101">
        <v>31129.0</v>
      </c>
      <c r="C135" s="102" t="s">
        <v>408</v>
      </c>
      <c r="D135" s="52" t="s">
        <v>171</v>
      </c>
      <c r="E135" s="52">
        <v>5.0</v>
      </c>
      <c r="F135" s="52" t="s">
        <v>158</v>
      </c>
      <c r="G135" s="52">
        <v>3.0</v>
      </c>
      <c r="H135" s="52" t="s">
        <v>182</v>
      </c>
      <c r="I135" s="52">
        <v>2.0</v>
      </c>
      <c r="J135" s="52" t="s">
        <v>192</v>
      </c>
      <c r="K135" s="52">
        <v>1.0</v>
      </c>
      <c r="L135" s="52" t="s">
        <v>196</v>
      </c>
      <c r="M135" s="52">
        <v>6.0</v>
      </c>
      <c r="N135" s="52" t="s">
        <v>153</v>
      </c>
      <c r="O135" s="52" t="s">
        <v>130</v>
      </c>
      <c r="P135" s="52" t="s">
        <v>134</v>
      </c>
      <c r="Q135" s="52" t="s">
        <v>111</v>
      </c>
      <c r="R135" s="52" t="s">
        <v>117</v>
      </c>
      <c r="S135" s="52" t="s">
        <v>111</v>
      </c>
      <c r="T135" s="65" t="s">
        <v>27</v>
      </c>
      <c r="U135" s="32">
        <v>1.0</v>
      </c>
      <c r="V135" s="32">
        <v>1.0</v>
      </c>
      <c r="W135" s="32">
        <v>1.0</v>
      </c>
      <c r="X135" s="32">
        <v>1.0</v>
      </c>
      <c r="Y135" s="32">
        <v>1.0</v>
      </c>
      <c r="Z135" s="32">
        <v>1.0</v>
      </c>
      <c r="AA135" s="32">
        <v>6.0</v>
      </c>
      <c r="AB135" s="32">
        <v>0.0</v>
      </c>
      <c r="AC135" s="103" t="str">
        <f>IFERROR(__xludf.DUMMYFUNCTION("if($C135="""","""",if(join("" - "",{iferror(filter('Student Groupings'!$A:$A,'Student Groupings'!$B:$B=$C135,'Student Groupings'!$H:$H=""Can't be Together""),"""");iferror(filter('Student Groupings'!$A:$A,'Student Groupings'!$E:$E=$C135,'Student Groupings"&amp;"'!$H:$H=""Can't be Together""),"""")})="" - "","""",join("" - "",{iferror(filter('Student Groupings'!$A:$A,'Student Groupings'!$B:$B=$C135,'Student Groupings'!$H:$H=""Can't be Together""),"""");iferror(filter('Student Groupings'!$A:$A,'Student Groupings'!"&amp;"$E:$E=$C135,'Student Groupings'!$H:$H=""Can't be Together""),"""")})))"),"")</f>
        <v/>
      </c>
      <c r="AD135" s="103" t="str">
        <f>IFERROR(__xludf.DUMMYFUNCTION("if($C135="""","""",if(join("" - "",{iferror(filter('Student Groupings'!$A:$A,'Student Groupings'!$B:$B=$C135,'Student Groupings'!$H:$H=""Must be Together""),"""");iferror(filter('Student Groupings'!$A:$A,'Student Groupings'!$E:$E=$C135,'Student Groupings'"&amp;"!$H:$H=""Must be Together""),"""")})="" - "","""",join("" - "",{iferror(filter('Student Groupings'!$A:$A,'Student Groupings'!$B:$B=$C135,'Student Groupings'!$H:$H=""Must be Together""),"""");iferror(filter('Student Groupings'!$A:$A,'Student Groupings'!$E:"&amp;"$E=$C135,'Student Groupings'!$H:$H=""Must be Together""),"""")})))"),"")</f>
        <v/>
      </c>
      <c r="AE135" s="104"/>
      <c r="AF135" s="104"/>
      <c r="AG135" s="104"/>
      <c r="AH135" s="104"/>
    </row>
    <row r="136">
      <c r="A136" s="101">
        <v>6.0</v>
      </c>
      <c r="B136" s="101">
        <v>31130.0</v>
      </c>
      <c r="C136" s="102" t="s">
        <v>409</v>
      </c>
      <c r="D136" s="52" t="s">
        <v>171</v>
      </c>
      <c r="E136" s="52">
        <v>2.0</v>
      </c>
      <c r="F136" s="52" t="s">
        <v>158</v>
      </c>
      <c r="G136" s="52">
        <v>5.0</v>
      </c>
      <c r="H136" s="52" t="s">
        <v>181</v>
      </c>
      <c r="I136" s="52">
        <v>1.0</v>
      </c>
      <c r="J136" s="52" t="s">
        <v>192</v>
      </c>
      <c r="K136" s="52">
        <v>4.0</v>
      </c>
      <c r="L136" s="52" t="s">
        <v>196</v>
      </c>
      <c r="M136" s="52">
        <v>3.0</v>
      </c>
      <c r="N136" s="52" t="s">
        <v>153</v>
      </c>
      <c r="O136" s="52" t="s">
        <v>120</v>
      </c>
      <c r="P136" s="52" t="s">
        <v>117</v>
      </c>
      <c r="Q136" s="52" t="s">
        <v>109</v>
      </c>
      <c r="R136" s="52" t="s">
        <v>134</v>
      </c>
      <c r="S136" s="52" t="s">
        <v>109</v>
      </c>
      <c r="T136" s="65" t="s">
        <v>8</v>
      </c>
      <c r="U136" s="32">
        <v>1.0</v>
      </c>
      <c r="V136" s="32">
        <v>1.0</v>
      </c>
      <c r="W136" s="32">
        <v>1.0</v>
      </c>
      <c r="X136" s="32">
        <v>1.0</v>
      </c>
      <c r="Y136" s="32">
        <v>1.0</v>
      </c>
      <c r="Z136" s="32">
        <v>1.0</v>
      </c>
      <c r="AA136" s="32">
        <v>6.0</v>
      </c>
      <c r="AB136" s="32">
        <v>0.0</v>
      </c>
      <c r="AC136" s="103" t="str">
        <f>IFERROR(__xludf.DUMMYFUNCTION("if($C136="""","""",if(join("" - "",{iferror(filter('Student Groupings'!$A:$A,'Student Groupings'!$B:$B=$C136,'Student Groupings'!$H:$H=""Can't be Together""),"""");iferror(filter('Student Groupings'!$A:$A,'Student Groupings'!$E:$E=$C136,'Student Groupings"&amp;"'!$H:$H=""Can't be Together""),"""")})="" - "","""",join("" - "",{iferror(filter('Student Groupings'!$A:$A,'Student Groupings'!$B:$B=$C136,'Student Groupings'!$H:$H=""Can't be Together""),"""");iferror(filter('Student Groupings'!$A:$A,'Student Groupings'!"&amp;"$E:$E=$C136,'Student Groupings'!$H:$H=""Can't be Together""),"""")})))"),"")</f>
        <v/>
      </c>
      <c r="AD136" s="103" t="str">
        <f>IFERROR(__xludf.DUMMYFUNCTION("if($C136="""","""",if(join("" - "",{iferror(filter('Student Groupings'!$A:$A,'Student Groupings'!$B:$B=$C136,'Student Groupings'!$H:$H=""Must be Together""),"""");iferror(filter('Student Groupings'!$A:$A,'Student Groupings'!$E:$E=$C136,'Student Groupings'"&amp;"!$H:$H=""Must be Together""),"""")})="" - "","""",join("" - "",{iferror(filter('Student Groupings'!$A:$A,'Student Groupings'!$B:$B=$C136,'Student Groupings'!$H:$H=""Must be Together""),"""");iferror(filter('Student Groupings'!$A:$A,'Student Groupings'!$E:"&amp;"$E=$C136,'Student Groupings'!$H:$H=""Must be Together""),"""")})))"),"")</f>
        <v/>
      </c>
      <c r="AE136" s="105"/>
      <c r="AF136" s="105">
        <v>1.0</v>
      </c>
      <c r="AG136" s="104"/>
      <c r="AH136" s="104"/>
    </row>
    <row r="137">
      <c r="A137" s="101">
        <v>6.0</v>
      </c>
      <c r="B137" s="101">
        <v>31132.0</v>
      </c>
      <c r="C137" s="102" t="s">
        <v>410</v>
      </c>
      <c r="D137" s="52" t="s">
        <v>171</v>
      </c>
      <c r="E137" s="52">
        <v>6.0</v>
      </c>
      <c r="F137" s="52" t="s">
        <v>158</v>
      </c>
      <c r="G137" s="52">
        <v>4.0</v>
      </c>
      <c r="H137" s="52" t="s">
        <v>182</v>
      </c>
      <c r="I137" s="52">
        <v>3.0</v>
      </c>
      <c r="J137" s="52" t="s">
        <v>192</v>
      </c>
      <c r="K137" s="52">
        <v>5.0</v>
      </c>
      <c r="L137" s="52" t="s">
        <v>196</v>
      </c>
      <c r="M137" s="52">
        <v>1.0</v>
      </c>
      <c r="N137" s="52" t="s">
        <v>153</v>
      </c>
      <c r="O137" s="52" t="s">
        <v>125</v>
      </c>
      <c r="P137" s="52" t="s">
        <v>117</v>
      </c>
      <c r="Q137" s="52" t="s">
        <v>119</v>
      </c>
      <c r="R137" s="52" t="s">
        <v>134</v>
      </c>
      <c r="S137" s="52" t="s">
        <v>119</v>
      </c>
      <c r="T137" s="65" t="s">
        <v>27</v>
      </c>
      <c r="U137" s="32">
        <v>1.0</v>
      </c>
      <c r="V137" s="32">
        <v>1.0</v>
      </c>
      <c r="W137" s="32">
        <v>1.0</v>
      </c>
      <c r="X137" s="32">
        <v>1.0</v>
      </c>
      <c r="Y137" s="32">
        <v>1.0</v>
      </c>
      <c r="Z137" s="32">
        <v>1.0</v>
      </c>
      <c r="AA137" s="32">
        <v>6.0</v>
      </c>
      <c r="AB137" s="32">
        <v>0.0</v>
      </c>
      <c r="AC137" s="103" t="str">
        <f>IFERROR(__xludf.DUMMYFUNCTION("if($C137="""","""",if(join("" - "",{iferror(filter('Student Groupings'!$A:$A,'Student Groupings'!$B:$B=$C137,'Student Groupings'!$H:$H=""Can't be Together""),"""");iferror(filter('Student Groupings'!$A:$A,'Student Groupings'!$E:$E=$C137,'Student Groupings"&amp;"'!$H:$H=""Can't be Together""),"""")})="" - "","""",join("" - "",{iferror(filter('Student Groupings'!$A:$A,'Student Groupings'!$B:$B=$C137,'Student Groupings'!$H:$H=""Can't be Together""),"""");iferror(filter('Student Groupings'!$A:$A,'Student Groupings'!"&amp;"$E:$E=$C137,'Student Groupings'!$H:$H=""Can't be Together""),"""")})))"),"")</f>
        <v/>
      </c>
      <c r="AD137" s="103" t="str">
        <f>IFERROR(__xludf.DUMMYFUNCTION("if($C137="""","""",if(join("" - "",{iferror(filter('Student Groupings'!$A:$A,'Student Groupings'!$B:$B=$C137,'Student Groupings'!$H:$H=""Must be Together""),"""");iferror(filter('Student Groupings'!$A:$A,'Student Groupings'!$E:$E=$C137,'Student Groupings'"&amp;"!$H:$H=""Must be Together""),"""")})="" - "","""",join("" - "",{iferror(filter('Student Groupings'!$A:$A,'Student Groupings'!$B:$B=$C137,'Student Groupings'!$H:$H=""Must be Together""),"""");iferror(filter('Student Groupings'!$A:$A,'Student Groupings'!$E:"&amp;"$E=$C137,'Student Groupings'!$H:$H=""Must be Together""),"""")})))"),"")</f>
        <v/>
      </c>
      <c r="AE137" s="104"/>
      <c r="AF137" s="104"/>
      <c r="AG137" s="104"/>
      <c r="AH137" s="104"/>
    </row>
    <row r="138">
      <c r="A138" s="101">
        <v>6.0</v>
      </c>
      <c r="B138" s="101">
        <v>30118.0</v>
      </c>
      <c r="C138" s="102" t="s">
        <v>411</v>
      </c>
      <c r="D138" s="52" t="s">
        <v>173</v>
      </c>
      <c r="E138" s="52">
        <v>3.0</v>
      </c>
      <c r="F138" s="52" t="s">
        <v>158</v>
      </c>
      <c r="G138" s="52">
        <v>6.0</v>
      </c>
      <c r="H138" s="52" t="s">
        <v>182</v>
      </c>
      <c r="I138" s="52">
        <v>5.0</v>
      </c>
      <c r="J138" s="52" t="s">
        <v>194</v>
      </c>
      <c r="K138" s="52">
        <v>2.0</v>
      </c>
      <c r="L138" s="52" t="s">
        <v>198</v>
      </c>
      <c r="M138" s="52">
        <v>4.0</v>
      </c>
      <c r="N138" s="52" t="s">
        <v>153</v>
      </c>
      <c r="O138" s="52" t="s">
        <v>108</v>
      </c>
      <c r="P138" s="52" t="s">
        <v>134</v>
      </c>
      <c r="Q138" s="52" t="s">
        <v>129</v>
      </c>
      <c r="R138" s="52" t="s">
        <v>117</v>
      </c>
      <c r="S138" s="52" t="s">
        <v>129</v>
      </c>
      <c r="T138" s="65" t="s">
        <v>27</v>
      </c>
      <c r="U138" s="32">
        <v>1.0</v>
      </c>
      <c r="V138" s="32">
        <v>1.0</v>
      </c>
      <c r="W138" s="32">
        <v>1.0</v>
      </c>
      <c r="X138" s="32">
        <v>1.0</v>
      </c>
      <c r="Y138" s="32">
        <v>1.0</v>
      </c>
      <c r="Z138" s="32">
        <v>1.0</v>
      </c>
      <c r="AA138" s="32">
        <v>6.0</v>
      </c>
      <c r="AB138" s="32">
        <v>0.0</v>
      </c>
      <c r="AC138" s="103" t="str">
        <f>IFERROR(__xludf.DUMMYFUNCTION("if($C138="""","""",if(join("" - "",{iferror(filter('Student Groupings'!$A:$A,'Student Groupings'!$B:$B=$C138,'Student Groupings'!$H:$H=""Can't be Together""),"""");iferror(filter('Student Groupings'!$A:$A,'Student Groupings'!$E:$E=$C138,'Student Groupings"&amp;"'!$H:$H=""Can't be Together""),"""")})="" - "","""",join("" - "",{iferror(filter('Student Groupings'!$A:$A,'Student Groupings'!$B:$B=$C138,'Student Groupings'!$H:$H=""Can't be Together""),"""");iferror(filter('Student Groupings'!$A:$A,'Student Groupings'!"&amp;"$E:$E=$C138,'Student Groupings'!$H:$H=""Can't be Together""),"""")})))"),"")</f>
        <v/>
      </c>
      <c r="AD138" s="103" t="str">
        <f>IFERROR(__xludf.DUMMYFUNCTION("if($C138="""","""",if(join("" - "",{iferror(filter('Student Groupings'!$A:$A,'Student Groupings'!$B:$B=$C138,'Student Groupings'!$H:$H=""Must be Together""),"""");iferror(filter('Student Groupings'!$A:$A,'Student Groupings'!$E:$E=$C138,'Student Groupings'"&amp;"!$H:$H=""Must be Together""),"""")})="" - "","""",join("" - "",{iferror(filter('Student Groupings'!$A:$A,'Student Groupings'!$B:$B=$C138,'Student Groupings'!$H:$H=""Must be Together""),"""");iferror(filter('Student Groupings'!$A:$A,'Student Groupings'!$E:"&amp;"$E=$C138,'Student Groupings'!$H:$H=""Must be Together""),"""")})))"),"")</f>
        <v/>
      </c>
      <c r="AE138" s="104"/>
      <c r="AF138" s="104"/>
      <c r="AG138" s="104"/>
      <c r="AH138" s="104"/>
    </row>
    <row r="139">
      <c r="A139" s="101">
        <v>6.0</v>
      </c>
      <c r="B139" s="101">
        <v>31134.0</v>
      </c>
      <c r="C139" s="102" t="s">
        <v>218</v>
      </c>
      <c r="D139" s="52" t="s">
        <v>171</v>
      </c>
      <c r="E139" s="52">
        <v>2.0</v>
      </c>
      <c r="F139" s="52" t="s">
        <v>159</v>
      </c>
      <c r="G139" s="52">
        <v>5.0</v>
      </c>
      <c r="H139" s="52" t="s">
        <v>182</v>
      </c>
      <c r="I139" s="52">
        <v>6.0</v>
      </c>
      <c r="J139" s="52" t="s">
        <v>192</v>
      </c>
      <c r="K139" s="52">
        <v>4.0</v>
      </c>
      <c r="L139" s="52" t="s">
        <v>196</v>
      </c>
      <c r="M139" s="52">
        <v>3.0</v>
      </c>
      <c r="N139" s="52" t="s">
        <v>153</v>
      </c>
      <c r="O139" s="52" t="s">
        <v>108</v>
      </c>
      <c r="P139" s="52" t="s">
        <v>117</v>
      </c>
      <c r="Q139" s="52" t="s">
        <v>129</v>
      </c>
      <c r="R139" s="52" t="s">
        <v>134</v>
      </c>
      <c r="S139" s="52" t="s">
        <v>129</v>
      </c>
      <c r="T139" s="65" t="s">
        <v>27</v>
      </c>
      <c r="U139" s="32">
        <v>1.0</v>
      </c>
      <c r="V139" s="32">
        <v>1.0</v>
      </c>
      <c r="W139" s="32">
        <v>1.0</v>
      </c>
      <c r="X139" s="32">
        <v>1.0</v>
      </c>
      <c r="Y139" s="32">
        <v>1.0</v>
      </c>
      <c r="Z139" s="32">
        <v>1.0</v>
      </c>
      <c r="AA139" s="32">
        <v>6.0</v>
      </c>
      <c r="AB139" s="32">
        <v>0.0</v>
      </c>
      <c r="AC139" s="103" t="str">
        <f>IFERROR(__xludf.DUMMYFUNCTION("if($C139="""","""",if(join("" - "",{iferror(filter('Student Groupings'!$A:$A,'Student Groupings'!$B:$B=$C139,'Student Groupings'!$H:$H=""Can't be Together""),"""");iferror(filter('Student Groupings'!$A:$A,'Student Groupings'!$E:$E=$C139,'Student Groupings"&amp;"'!$H:$H=""Can't be Together""),"""")})="" - "","""",join("" - "",{iferror(filter('Student Groupings'!$A:$A,'Student Groupings'!$B:$B=$C139,'Student Groupings'!$H:$H=""Can't be Together""),"""");iferror(filter('Student Groupings'!$A:$A,'Student Groupings'!"&amp;"$E:$E=$C139,'Student Groupings'!$H:$H=""Can't be Together""),"""")})))"),"6 - 7 - 8 - 9 - 33")</f>
        <v>6 - 7 - 8 - 9 - 33</v>
      </c>
      <c r="AD139" s="103" t="str">
        <f>IFERROR(__xludf.DUMMYFUNCTION("if($C139="""","""",if(join("" - "",{iferror(filter('Student Groupings'!$A:$A,'Student Groupings'!$B:$B=$C139,'Student Groupings'!$H:$H=""Must be Together""),"""");iferror(filter('Student Groupings'!$A:$A,'Student Groupings'!$E:$E=$C139,'Student Groupings'"&amp;"!$H:$H=""Must be Together""),"""")})="" - "","""",join("" - "",{iferror(filter('Student Groupings'!$A:$A,'Student Groupings'!$B:$B=$C139,'Student Groupings'!$H:$H=""Must be Together""),"""");iferror(filter('Student Groupings'!$A:$A,'Student Groupings'!$E:"&amp;"$E=$C139,'Student Groupings'!$H:$H=""Must be Together""),"""")})))"),"5 - ")</f>
        <v>5 - </v>
      </c>
      <c r="AE139" s="104"/>
      <c r="AF139" s="104"/>
      <c r="AG139" s="105">
        <v>1.0</v>
      </c>
      <c r="AH139" s="105"/>
    </row>
    <row r="140">
      <c r="A140" s="101">
        <v>6.0</v>
      </c>
      <c r="B140" s="101">
        <v>31135.0</v>
      </c>
      <c r="C140" s="102" t="s">
        <v>412</v>
      </c>
      <c r="D140" s="52" t="s">
        <v>171</v>
      </c>
      <c r="E140" s="52">
        <v>6.0</v>
      </c>
      <c r="F140" s="52" t="s">
        <v>158</v>
      </c>
      <c r="G140" s="52">
        <v>4.0</v>
      </c>
      <c r="H140" s="52" t="s">
        <v>182</v>
      </c>
      <c r="I140" s="52">
        <v>3.0</v>
      </c>
      <c r="J140" s="52" t="s">
        <v>192</v>
      </c>
      <c r="K140" s="52">
        <v>5.0</v>
      </c>
      <c r="L140" s="52" t="s">
        <v>196</v>
      </c>
      <c r="M140" s="52">
        <v>1.0</v>
      </c>
      <c r="N140" s="52" t="s">
        <v>153</v>
      </c>
      <c r="O140" s="52" t="s">
        <v>125</v>
      </c>
      <c r="P140" s="52" t="s">
        <v>134</v>
      </c>
      <c r="Q140" s="52" t="s">
        <v>119</v>
      </c>
      <c r="R140" s="52" t="s">
        <v>117</v>
      </c>
      <c r="S140" s="52" t="s">
        <v>119</v>
      </c>
      <c r="T140" s="65" t="s">
        <v>8</v>
      </c>
      <c r="U140" s="32">
        <v>1.0</v>
      </c>
      <c r="V140" s="32">
        <v>1.0</v>
      </c>
      <c r="W140" s="32">
        <v>1.0</v>
      </c>
      <c r="X140" s="32">
        <v>1.0</v>
      </c>
      <c r="Y140" s="32">
        <v>1.0</v>
      </c>
      <c r="Z140" s="32">
        <v>1.0</v>
      </c>
      <c r="AA140" s="32">
        <v>6.0</v>
      </c>
      <c r="AB140" s="32">
        <v>0.0</v>
      </c>
      <c r="AC140" s="103" t="str">
        <f>IFERROR(__xludf.DUMMYFUNCTION("if($C140="""","""",if(join("" - "",{iferror(filter('Student Groupings'!$A:$A,'Student Groupings'!$B:$B=$C140,'Student Groupings'!$H:$H=""Can't be Together""),"""");iferror(filter('Student Groupings'!$A:$A,'Student Groupings'!$E:$E=$C140,'Student Groupings"&amp;"'!$H:$H=""Can't be Together""),"""")})="" - "","""",join("" - "",{iferror(filter('Student Groupings'!$A:$A,'Student Groupings'!$B:$B=$C140,'Student Groupings'!$H:$H=""Can't be Together""),"""");iferror(filter('Student Groupings'!$A:$A,'Student Groupings'!"&amp;"$E:$E=$C140,'Student Groupings'!$H:$H=""Can't be Together""),"""")})))"),"")</f>
        <v/>
      </c>
      <c r="AD140" s="103" t="str">
        <f>IFERROR(__xludf.DUMMYFUNCTION("if($C140="""","""",if(join("" - "",{iferror(filter('Student Groupings'!$A:$A,'Student Groupings'!$B:$B=$C140,'Student Groupings'!$H:$H=""Must be Together""),"""");iferror(filter('Student Groupings'!$A:$A,'Student Groupings'!$E:$E=$C140,'Student Groupings'"&amp;"!$H:$H=""Must be Together""),"""")})="" - "","""",join("" - "",{iferror(filter('Student Groupings'!$A:$A,'Student Groupings'!$B:$B=$C140,'Student Groupings'!$H:$H=""Must be Together""),"""");iferror(filter('Student Groupings'!$A:$A,'Student Groupings'!$E:"&amp;"$E=$C140,'Student Groupings'!$H:$H=""Must be Together""),"""")})))"),"")</f>
        <v/>
      </c>
      <c r="AE140" s="104"/>
      <c r="AF140" s="104"/>
      <c r="AG140" s="104"/>
      <c r="AH140" s="104"/>
    </row>
    <row r="141">
      <c r="A141" s="101">
        <v>6.0</v>
      </c>
      <c r="B141" s="101">
        <v>31174.0</v>
      </c>
      <c r="C141" s="102" t="s">
        <v>413</v>
      </c>
      <c r="D141" s="52" t="s">
        <v>171</v>
      </c>
      <c r="E141" s="52">
        <v>4.0</v>
      </c>
      <c r="F141" s="52" t="s">
        <v>158</v>
      </c>
      <c r="G141" s="52">
        <v>1.0</v>
      </c>
      <c r="H141" s="52" t="s">
        <v>182</v>
      </c>
      <c r="I141" s="52">
        <v>5.0</v>
      </c>
      <c r="J141" s="52" t="s">
        <v>192</v>
      </c>
      <c r="K141" s="52">
        <v>3.0</v>
      </c>
      <c r="L141" s="52" t="s">
        <v>197</v>
      </c>
      <c r="M141" s="52">
        <v>2.0</v>
      </c>
      <c r="N141" s="52" t="s">
        <v>153</v>
      </c>
      <c r="O141" s="52" t="s">
        <v>120</v>
      </c>
      <c r="P141" s="52" t="s">
        <v>117</v>
      </c>
      <c r="Q141" s="52" t="s">
        <v>109</v>
      </c>
      <c r="R141" s="52" t="s">
        <v>134</v>
      </c>
      <c r="S141" s="52" t="s">
        <v>109</v>
      </c>
      <c r="T141" s="65" t="s">
        <v>8</v>
      </c>
      <c r="U141" s="32">
        <v>1.0</v>
      </c>
      <c r="V141" s="32">
        <v>1.0</v>
      </c>
      <c r="W141" s="32">
        <v>1.0</v>
      </c>
      <c r="X141" s="32">
        <v>1.0</v>
      </c>
      <c r="Y141" s="32">
        <v>1.0</v>
      </c>
      <c r="Z141" s="32">
        <v>1.0</v>
      </c>
      <c r="AA141" s="32">
        <v>6.0</v>
      </c>
      <c r="AB141" s="32">
        <v>0.0</v>
      </c>
      <c r="AC141" s="103" t="str">
        <f>IFERROR(__xludf.DUMMYFUNCTION("if($C141="""","""",if(join("" - "",{iferror(filter('Student Groupings'!$A:$A,'Student Groupings'!$B:$B=$C141,'Student Groupings'!$H:$H=""Can't be Together""),"""");iferror(filter('Student Groupings'!$A:$A,'Student Groupings'!$E:$E=$C141,'Student Groupings"&amp;"'!$H:$H=""Can't be Together""),"""")})="" - "","""",join("" - "",{iferror(filter('Student Groupings'!$A:$A,'Student Groupings'!$B:$B=$C141,'Student Groupings'!$H:$H=""Can't be Together""),"""");iferror(filter('Student Groupings'!$A:$A,'Student Groupings'!"&amp;"$E:$E=$C141,'Student Groupings'!$H:$H=""Can't be Together""),"""")})))"),"")</f>
        <v/>
      </c>
      <c r="AD141" s="103" t="str">
        <f>IFERROR(__xludf.DUMMYFUNCTION("if($C141="""","""",if(join("" - "",{iferror(filter('Student Groupings'!$A:$A,'Student Groupings'!$B:$B=$C141,'Student Groupings'!$H:$H=""Must be Together""),"""");iferror(filter('Student Groupings'!$A:$A,'Student Groupings'!$E:$E=$C141,'Student Groupings'"&amp;"!$H:$H=""Must be Together""),"""")})="" - "","""",join("" - "",{iferror(filter('Student Groupings'!$A:$A,'Student Groupings'!$B:$B=$C141,'Student Groupings'!$H:$H=""Must be Together""),"""");iferror(filter('Student Groupings'!$A:$A,'Student Groupings'!$E:"&amp;"$E=$C141,'Student Groupings'!$H:$H=""Must be Together""),"""")})))"),"")</f>
        <v/>
      </c>
      <c r="AE141" s="105">
        <v>1.0</v>
      </c>
      <c r="AF141" s="104"/>
      <c r="AG141" s="104"/>
      <c r="AH141" s="104"/>
    </row>
    <row r="142">
      <c r="A142" s="101">
        <v>6.0</v>
      </c>
      <c r="B142" s="101">
        <v>31136.0</v>
      </c>
      <c r="C142" s="102" t="s">
        <v>414</v>
      </c>
      <c r="D142" s="52" t="s">
        <v>171</v>
      </c>
      <c r="E142" s="52">
        <v>5.0</v>
      </c>
      <c r="F142" s="52" t="s">
        <v>158</v>
      </c>
      <c r="G142" s="52">
        <v>3.0</v>
      </c>
      <c r="H142" s="52" t="s">
        <v>182</v>
      </c>
      <c r="I142" s="52">
        <v>2.0</v>
      </c>
      <c r="J142" s="52" t="s">
        <v>192</v>
      </c>
      <c r="K142" s="52">
        <v>1.0</v>
      </c>
      <c r="L142" s="52" t="s">
        <v>196</v>
      </c>
      <c r="M142" s="52">
        <v>6.0</v>
      </c>
      <c r="N142" s="52" t="s">
        <v>153</v>
      </c>
      <c r="O142" s="52" t="s">
        <v>130</v>
      </c>
      <c r="P142" s="52" t="s">
        <v>134</v>
      </c>
      <c r="Q142" s="52" t="s">
        <v>111</v>
      </c>
      <c r="R142" s="52" t="s">
        <v>117</v>
      </c>
      <c r="S142" s="52" t="s">
        <v>111</v>
      </c>
      <c r="T142" s="65" t="s">
        <v>27</v>
      </c>
      <c r="U142" s="32">
        <v>1.0</v>
      </c>
      <c r="V142" s="32">
        <v>1.0</v>
      </c>
      <c r="W142" s="32">
        <v>1.0</v>
      </c>
      <c r="X142" s="32">
        <v>1.0</v>
      </c>
      <c r="Y142" s="32">
        <v>1.0</v>
      </c>
      <c r="Z142" s="32">
        <v>1.0</v>
      </c>
      <c r="AA142" s="32">
        <v>6.0</v>
      </c>
      <c r="AB142" s="32">
        <v>0.0</v>
      </c>
      <c r="AC142" s="103" t="str">
        <f>IFERROR(__xludf.DUMMYFUNCTION("if($C142="""","""",if(join("" - "",{iferror(filter('Student Groupings'!$A:$A,'Student Groupings'!$B:$B=$C142,'Student Groupings'!$H:$H=""Can't be Together""),"""");iferror(filter('Student Groupings'!$A:$A,'Student Groupings'!$E:$E=$C142,'Student Groupings"&amp;"'!$H:$H=""Can't be Together""),"""")})="" - "","""",join("" - "",{iferror(filter('Student Groupings'!$A:$A,'Student Groupings'!$B:$B=$C142,'Student Groupings'!$H:$H=""Can't be Together""),"""");iferror(filter('Student Groupings'!$A:$A,'Student Groupings'!"&amp;"$E:$E=$C142,'Student Groupings'!$H:$H=""Can't be Together""),"""")})))"),"")</f>
        <v/>
      </c>
      <c r="AD142" s="103" t="str">
        <f>IFERROR(__xludf.DUMMYFUNCTION("if($C142="""","""",if(join("" - "",{iferror(filter('Student Groupings'!$A:$A,'Student Groupings'!$B:$B=$C142,'Student Groupings'!$H:$H=""Must be Together""),"""");iferror(filter('Student Groupings'!$A:$A,'Student Groupings'!$E:$E=$C142,'Student Groupings'"&amp;"!$H:$H=""Must be Together""),"""")})="" - "","""",join("" - "",{iferror(filter('Student Groupings'!$A:$A,'Student Groupings'!$B:$B=$C142,'Student Groupings'!$H:$H=""Must be Together""),"""");iferror(filter('Student Groupings'!$A:$A,'Student Groupings'!$E:"&amp;"$E=$C142,'Student Groupings'!$H:$H=""Must be Together""),"""")})))"),"")</f>
        <v/>
      </c>
      <c r="AE142" s="104"/>
      <c r="AF142" s="104"/>
      <c r="AG142" s="104"/>
      <c r="AH142" s="104"/>
    </row>
    <row r="143">
      <c r="A143" s="101">
        <v>6.0</v>
      </c>
      <c r="B143" s="101">
        <v>30157.0</v>
      </c>
      <c r="C143" s="102" t="s">
        <v>238</v>
      </c>
      <c r="D143" s="52" t="s">
        <v>171</v>
      </c>
      <c r="E143" s="52">
        <v>3.0</v>
      </c>
      <c r="F143" s="52" t="s">
        <v>158</v>
      </c>
      <c r="G143" s="52">
        <v>5.0</v>
      </c>
      <c r="H143" s="52" t="s">
        <v>182</v>
      </c>
      <c r="I143" s="52">
        <v>1.0</v>
      </c>
      <c r="J143" s="52" t="s">
        <v>192</v>
      </c>
      <c r="K143" s="52">
        <v>2.0</v>
      </c>
      <c r="L143" s="52" t="s">
        <v>196</v>
      </c>
      <c r="M143" s="52">
        <v>4.0</v>
      </c>
      <c r="N143" s="52" t="s">
        <v>153</v>
      </c>
      <c r="O143" s="52" t="s">
        <v>109</v>
      </c>
      <c r="P143" s="52" t="s">
        <v>143</v>
      </c>
      <c r="Q143" s="52" t="s">
        <v>120</v>
      </c>
      <c r="R143" s="52" t="s">
        <v>143</v>
      </c>
      <c r="S143" s="52" t="s">
        <v>120</v>
      </c>
      <c r="T143" s="65" t="s">
        <v>143</v>
      </c>
      <c r="U143" s="32">
        <v>1.0</v>
      </c>
      <c r="V143" s="32">
        <v>1.0</v>
      </c>
      <c r="W143" s="32">
        <v>1.0</v>
      </c>
      <c r="X143" s="32">
        <v>1.0</v>
      </c>
      <c r="Y143" s="32">
        <v>1.0</v>
      </c>
      <c r="Z143" s="32">
        <v>1.0</v>
      </c>
      <c r="AA143" s="32">
        <v>6.0</v>
      </c>
      <c r="AB143" s="32">
        <v>0.0</v>
      </c>
      <c r="AC143" s="103" t="str">
        <f>IFERROR(__xludf.DUMMYFUNCTION("if($C143="""","""",if(join("" - "",{iferror(filter('Student Groupings'!$A:$A,'Student Groupings'!$B:$B=$C143,'Student Groupings'!$H:$H=""Can't be Together""),"""");iferror(filter('Student Groupings'!$A:$A,'Student Groupings'!$E:$E=$C143,'Student Groupings"&amp;"'!$H:$H=""Can't be Together""),"""")})="" - "","""",join("" - "",{iferror(filter('Student Groupings'!$A:$A,'Student Groupings'!$B:$B=$C143,'Student Groupings'!$H:$H=""Can't be Together""),"""");iferror(filter('Student Groupings'!$A:$A,'Student Groupings'!"&amp;"$E:$E=$C143,'Student Groupings'!$H:$H=""Can't be Together""),"""")})))")," - 25")</f>
        <v> - 25</v>
      </c>
      <c r="AD143" s="103" t="str">
        <f>IFERROR(__xludf.DUMMYFUNCTION("if($C143="""","""",if(join("" - "",{iferror(filter('Student Groupings'!$A:$A,'Student Groupings'!$B:$B=$C143,'Student Groupings'!$H:$H=""Must be Together""),"""");iferror(filter('Student Groupings'!$A:$A,'Student Groupings'!$E:$E=$C143,'Student Groupings'"&amp;"!$H:$H=""Must be Together""),"""")})="" - "","""",join("" - "",{iferror(filter('Student Groupings'!$A:$A,'Student Groupings'!$B:$B=$C143,'Student Groupings'!$H:$H=""Must be Together""),"""");iferror(filter('Student Groupings'!$A:$A,'Student Groupings'!$E:"&amp;"$E=$C143,'Student Groupings'!$H:$H=""Must be Together""),"""")})))"),"")</f>
        <v/>
      </c>
      <c r="AE143" s="104"/>
      <c r="AF143" s="104"/>
      <c r="AG143" s="104"/>
      <c r="AH143" s="104"/>
    </row>
    <row r="144">
      <c r="A144" s="101">
        <v>6.0</v>
      </c>
      <c r="B144" s="101">
        <v>31138.0</v>
      </c>
      <c r="C144" s="102" t="s">
        <v>415</v>
      </c>
      <c r="D144" s="52" t="s">
        <v>171</v>
      </c>
      <c r="E144" s="52">
        <v>3.0</v>
      </c>
      <c r="F144" s="52" t="s">
        <v>158</v>
      </c>
      <c r="G144" s="52">
        <v>5.0</v>
      </c>
      <c r="H144" s="52" t="s">
        <v>182</v>
      </c>
      <c r="I144" s="52">
        <v>1.0</v>
      </c>
      <c r="J144" s="52" t="s">
        <v>192</v>
      </c>
      <c r="K144" s="52">
        <v>2.0</v>
      </c>
      <c r="L144" s="52" t="s">
        <v>196</v>
      </c>
      <c r="M144" s="52">
        <v>4.0</v>
      </c>
      <c r="N144" s="52" t="s">
        <v>153</v>
      </c>
      <c r="O144" s="52" t="s">
        <v>120</v>
      </c>
      <c r="P144" s="52" t="s">
        <v>134</v>
      </c>
      <c r="Q144" s="52" t="s">
        <v>109</v>
      </c>
      <c r="R144" s="52" t="s">
        <v>117</v>
      </c>
      <c r="S144" s="52" t="s">
        <v>109</v>
      </c>
      <c r="T144" s="65" t="s">
        <v>8</v>
      </c>
      <c r="U144" s="32">
        <v>1.0</v>
      </c>
      <c r="V144" s="32">
        <v>1.0</v>
      </c>
      <c r="W144" s="32">
        <v>1.0</v>
      </c>
      <c r="X144" s="32">
        <v>1.0</v>
      </c>
      <c r="Y144" s="32">
        <v>1.0</v>
      </c>
      <c r="Z144" s="32">
        <v>1.0</v>
      </c>
      <c r="AA144" s="32">
        <v>6.0</v>
      </c>
      <c r="AB144" s="32">
        <v>0.0</v>
      </c>
      <c r="AC144" s="103" t="str">
        <f>IFERROR(__xludf.DUMMYFUNCTION("if($C144="""","""",if(join("" - "",{iferror(filter('Student Groupings'!$A:$A,'Student Groupings'!$B:$B=$C144,'Student Groupings'!$H:$H=""Can't be Together""),"""");iferror(filter('Student Groupings'!$A:$A,'Student Groupings'!$E:$E=$C144,'Student Groupings"&amp;"'!$H:$H=""Can't be Together""),"""")})="" - "","""",join("" - "",{iferror(filter('Student Groupings'!$A:$A,'Student Groupings'!$B:$B=$C144,'Student Groupings'!$H:$H=""Can't be Together""),"""");iferror(filter('Student Groupings'!$A:$A,'Student Groupings'!"&amp;"$E:$E=$C144,'Student Groupings'!$H:$H=""Can't be Together""),"""")})))"),"")</f>
        <v/>
      </c>
      <c r="AD144" s="103" t="str">
        <f>IFERROR(__xludf.DUMMYFUNCTION("if($C144="""","""",if(join("" - "",{iferror(filter('Student Groupings'!$A:$A,'Student Groupings'!$B:$B=$C144,'Student Groupings'!$H:$H=""Must be Together""),"""");iferror(filter('Student Groupings'!$A:$A,'Student Groupings'!$E:$E=$C144,'Student Groupings'"&amp;"!$H:$H=""Must be Together""),"""")})="" - "","""",join("" - "",{iferror(filter('Student Groupings'!$A:$A,'Student Groupings'!$B:$B=$C144,'Student Groupings'!$H:$H=""Must be Together""),"""");iferror(filter('Student Groupings'!$A:$A,'Student Groupings'!$E:"&amp;"$E=$C144,'Student Groupings'!$H:$H=""Must be Together""),"""")})))"),"")</f>
        <v/>
      </c>
      <c r="AE144" s="104"/>
      <c r="AF144" s="104"/>
      <c r="AG144" s="104"/>
      <c r="AH144" s="104"/>
    </row>
    <row r="145">
      <c r="A145" s="101">
        <v>6.0</v>
      </c>
      <c r="B145" s="101">
        <v>31137.0</v>
      </c>
      <c r="C145" s="102" t="s">
        <v>211</v>
      </c>
      <c r="D145" s="52" t="s">
        <v>171</v>
      </c>
      <c r="E145" s="52">
        <v>2.0</v>
      </c>
      <c r="F145" s="52" t="s">
        <v>158</v>
      </c>
      <c r="G145" s="52">
        <v>1.0</v>
      </c>
      <c r="H145" s="52" t="s">
        <v>182</v>
      </c>
      <c r="I145" s="52">
        <v>5.0</v>
      </c>
      <c r="J145" s="52" t="s">
        <v>192</v>
      </c>
      <c r="K145" s="52">
        <v>4.0</v>
      </c>
      <c r="L145" s="52" t="s">
        <v>196</v>
      </c>
      <c r="M145" s="52">
        <v>3.0</v>
      </c>
      <c r="N145" s="52" t="s">
        <v>153</v>
      </c>
      <c r="O145" s="52" t="s">
        <v>109</v>
      </c>
      <c r="P145" s="52" t="s">
        <v>143</v>
      </c>
      <c r="Q145" s="52" t="s">
        <v>120</v>
      </c>
      <c r="R145" s="52" t="s">
        <v>143</v>
      </c>
      <c r="S145" s="52" t="s">
        <v>120</v>
      </c>
      <c r="T145" s="65" t="s">
        <v>143</v>
      </c>
      <c r="U145" s="32">
        <v>1.0</v>
      </c>
      <c r="V145" s="32">
        <v>1.0</v>
      </c>
      <c r="W145" s="32">
        <v>1.0</v>
      </c>
      <c r="X145" s="32">
        <v>1.0</v>
      </c>
      <c r="Y145" s="32">
        <v>1.0</v>
      </c>
      <c r="Z145" s="32">
        <v>1.0</v>
      </c>
      <c r="AA145" s="32">
        <v>6.0</v>
      </c>
      <c r="AB145" s="32">
        <v>0.0</v>
      </c>
      <c r="AC145" s="103" t="str">
        <f>IFERROR(__xludf.DUMMYFUNCTION("if($C145="""","""",if(join("" - "",{iferror(filter('Student Groupings'!$A:$A,'Student Groupings'!$B:$B=$C145,'Student Groupings'!$H:$H=""Can't be Together""),"""");iferror(filter('Student Groupings'!$A:$A,'Student Groupings'!$E:$E=$C145,'Student Groupings"&amp;"'!$H:$H=""Can't be Together""),"""")})="" - "","""",join("" - "",{iferror(filter('Student Groupings'!$A:$A,'Student Groupings'!$B:$B=$C145,'Student Groupings'!$H:$H=""Can't be Together""),"""");iferror(filter('Student Groupings'!$A:$A,'Student Groupings'!"&amp;"$E:$E=$C145,'Student Groupings'!$H:$H=""Can't be Together""),"""")})))")," - 1")</f>
        <v> - 1</v>
      </c>
      <c r="AD145" s="103" t="str">
        <f>IFERROR(__xludf.DUMMYFUNCTION("if($C145="""","""",if(join("" - "",{iferror(filter('Student Groupings'!$A:$A,'Student Groupings'!$B:$B=$C145,'Student Groupings'!$H:$H=""Must be Together""),"""");iferror(filter('Student Groupings'!$A:$A,'Student Groupings'!$E:$E=$C145,'Student Groupings'"&amp;"!$H:$H=""Must be Together""),"""")})="" - "","""",join("" - "",{iferror(filter('Student Groupings'!$A:$A,'Student Groupings'!$B:$B=$C145,'Student Groupings'!$H:$H=""Must be Together""),"""");iferror(filter('Student Groupings'!$A:$A,'Student Groupings'!$E:"&amp;"$E=$C145,'Student Groupings'!$H:$H=""Must be Together""),"""")})))"),"")</f>
        <v/>
      </c>
      <c r="AE145" s="104"/>
      <c r="AF145" s="104"/>
      <c r="AG145" s="104"/>
      <c r="AH145" s="104"/>
    </row>
    <row r="146">
      <c r="A146" s="101">
        <v>7.0</v>
      </c>
      <c r="B146" s="101">
        <v>30001.0</v>
      </c>
      <c r="C146" s="102" t="s">
        <v>416</v>
      </c>
      <c r="D146" s="52" t="s">
        <v>175</v>
      </c>
      <c r="E146" s="52">
        <v>6.0</v>
      </c>
      <c r="F146" s="52" t="s">
        <v>163</v>
      </c>
      <c r="G146" s="52">
        <v>5.0</v>
      </c>
      <c r="H146" s="52" t="s">
        <v>184</v>
      </c>
      <c r="I146" s="52">
        <v>2.0</v>
      </c>
      <c r="J146" s="52" t="s">
        <v>195</v>
      </c>
      <c r="K146" s="52">
        <v>1.0</v>
      </c>
      <c r="L146" s="52" t="s">
        <v>200</v>
      </c>
      <c r="M146" s="52">
        <v>3.0</v>
      </c>
      <c r="N146" s="52" t="s">
        <v>150</v>
      </c>
      <c r="O146" s="52" t="s">
        <v>111</v>
      </c>
      <c r="P146" s="52" t="s">
        <v>140</v>
      </c>
      <c r="Q146" s="52" t="s">
        <v>130</v>
      </c>
      <c r="R146" s="52" t="s">
        <v>140</v>
      </c>
      <c r="S146" s="52" t="s">
        <v>130</v>
      </c>
      <c r="T146" s="65" t="s">
        <v>30</v>
      </c>
      <c r="U146" s="32">
        <v>1.0</v>
      </c>
      <c r="V146" s="32">
        <v>1.0</v>
      </c>
      <c r="W146" s="32">
        <v>1.0</v>
      </c>
      <c r="X146" s="32">
        <v>1.0</v>
      </c>
      <c r="Y146" s="32">
        <v>1.0</v>
      </c>
      <c r="Z146" s="32">
        <v>1.0</v>
      </c>
      <c r="AA146" s="32">
        <v>6.0</v>
      </c>
      <c r="AB146" s="32">
        <v>0.0</v>
      </c>
      <c r="AC146" s="103" t="str">
        <f>IFERROR(__xludf.DUMMYFUNCTION("if($C146="""","""",if(join("" - "",{iferror(filter('Student Groupings'!$A:$A,'Student Groupings'!$B:$B=$C146,'Student Groupings'!$H:$H=""Can't be Together""),"""");iferror(filter('Student Groupings'!$A:$A,'Student Groupings'!$E:$E=$C146,'Student Groupings"&amp;"'!$H:$H=""Can't be Together""),"""")})="" - "","""",join("" - "",{iferror(filter('Student Groupings'!$A:$A,'Student Groupings'!$B:$B=$C146,'Student Groupings'!$H:$H=""Can't be Together""),"""");iferror(filter('Student Groupings'!$A:$A,'Student Groupings'!"&amp;"$E:$E=$C146,'Student Groupings'!$H:$H=""Can't be Together""),"""")})))"),"")</f>
        <v/>
      </c>
      <c r="AD146" s="103" t="str">
        <f>IFERROR(__xludf.DUMMYFUNCTION("if($C146="""","""",if(join("" - "",{iferror(filter('Student Groupings'!$A:$A,'Student Groupings'!$B:$B=$C146,'Student Groupings'!$H:$H=""Must be Together""),"""");iferror(filter('Student Groupings'!$A:$A,'Student Groupings'!$E:$E=$C146,'Student Groupings'"&amp;"!$H:$H=""Must be Together""),"""")})="" - "","""",join("" - "",{iferror(filter('Student Groupings'!$A:$A,'Student Groupings'!$B:$B=$C146,'Student Groupings'!$H:$H=""Must be Together""),"""");iferror(filter('Student Groupings'!$A:$A,'Student Groupings'!$E:"&amp;"$E=$C146,'Student Groupings'!$H:$H=""Must be Together""),"""")})))"),"")</f>
        <v/>
      </c>
      <c r="AE146" s="104"/>
      <c r="AF146" s="104"/>
      <c r="AG146" s="104"/>
      <c r="AH146" s="104"/>
    </row>
    <row r="147">
      <c r="A147" s="101">
        <v>7.0</v>
      </c>
      <c r="B147" s="101">
        <v>30002.0</v>
      </c>
      <c r="C147" s="102" t="s">
        <v>417</v>
      </c>
      <c r="D147" s="52" t="s">
        <v>179</v>
      </c>
      <c r="E147" s="52">
        <v>6.0</v>
      </c>
      <c r="F147" s="52" t="s">
        <v>163</v>
      </c>
      <c r="G147" s="52">
        <v>4.0</v>
      </c>
      <c r="H147" s="52" t="s">
        <v>184</v>
      </c>
      <c r="I147" s="52">
        <v>5.0</v>
      </c>
      <c r="J147" s="52" t="s">
        <v>195</v>
      </c>
      <c r="K147" s="52">
        <v>3.0</v>
      </c>
      <c r="L147" s="52" t="s">
        <v>200</v>
      </c>
      <c r="M147" s="52">
        <v>1.0</v>
      </c>
      <c r="N147" s="52" t="s">
        <v>150</v>
      </c>
      <c r="O147" s="52" t="s">
        <v>119</v>
      </c>
      <c r="P147" s="52" t="s">
        <v>133</v>
      </c>
      <c r="Q147" s="52" t="s">
        <v>125</v>
      </c>
      <c r="R147" s="52" t="s">
        <v>116</v>
      </c>
      <c r="S147" s="52" t="s">
        <v>125</v>
      </c>
      <c r="T147" s="65" t="s">
        <v>27</v>
      </c>
      <c r="U147" s="32">
        <v>1.0</v>
      </c>
      <c r="V147" s="32">
        <v>1.0</v>
      </c>
      <c r="W147" s="32">
        <v>1.0</v>
      </c>
      <c r="X147" s="32">
        <v>1.0</v>
      </c>
      <c r="Y147" s="32">
        <v>1.0</v>
      </c>
      <c r="Z147" s="32">
        <v>1.0</v>
      </c>
      <c r="AA147" s="32">
        <v>6.0</v>
      </c>
      <c r="AB147" s="32">
        <v>0.0</v>
      </c>
      <c r="AC147" s="103" t="str">
        <f>IFERROR(__xludf.DUMMYFUNCTION("if($C147="""","""",if(join("" - "",{iferror(filter('Student Groupings'!$A:$A,'Student Groupings'!$B:$B=$C147,'Student Groupings'!$H:$H=""Can't be Together""),"""");iferror(filter('Student Groupings'!$A:$A,'Student Groupings'!$E:$E=$C147,'Student Groupings"&amp;"'!$H:$H=""Can't be Together""),"""")})="" - "","""",join("" - "",{iferror(filter('Student Groupings'!$A:$A,'Student Groupings'!$B:$B=$C147,'Student Groupings'!$H:$H=""Can't be Together""),"""");iferror(filter('Student Groupings'!$A:$A,'Student Groupings'!"&amp;"$E:$E=$C147,'Student Groupings'!$H:$H=""Can't be Together""),"""")})))"),"")</f>
        <v/>
      </c>
      <c r="AD147" s="103" t="str">
        <f>IFERROR(__xludf.DUMMYFUNCTION("if($C147="""","""",if(join("" - "",{iferror(filter('Student Groupings'!$A:$A,'Student Groupings'!$B:$B=$C147,'Student Groupings'!$H:$H=""Must be Together""),"""");iferror(filter('Student Groupings'!$A:$A,'Student Groupings'!$E:$E=$C147,'Student Groupings'"&amp;"!$H:$H=""Must be Together""),"""")})="" - "","""",join("" - "",{iferror(filter('Student Groupings'!$A:$A,'Student Groupings'!$B:$B=$C147,'Student Groupings'!$H:$H=""Must be Together""),"""");iferror(filter('Student Groupings'!$A:$A,'Student Groupings'!$E:"&amp;"$E=$C147,'Student Groupings'!$H:$H=""Must be Together""),"""")})))"),"")</f>
        <v/>
      </c>
      <c r="AE147" s="104"/>
      <c r="AF147" s="104"/>
      <c r="AG147" s="104"/>
      <c r="AH147" s="104"/>
    </row>
    <row r="148">
      <c r="A148" s="101">
        <v>7.0</v>
      </c>
      <c r="B148" s="101">
        <v>30003.0</v>
      </c>
      <c r="C148" s="102" t="s">
        <v>418</v>
      </c>
      <c r="D148" s="52" t="s">
        <v>175</v>
      </c>
      <c r="E148" s="52">
        <v>3.0</v>
      </c>
      <c r="F148" s="52" t="s">
        <v>164</v>
      </c>
      <c r="G148" s="52">
        <v>4.0</v>
      </c>
      <c r="H148" s="52" t="s">
        <v>188</v>
      </c>
      <c r="I148" s="52">
        <v>5.0</v>
      </c>
      <c r="J148" s="52" t="s">
        <v>193</v>
      </c>
      <c r="K148" s="52">
        <v>1.0</v>
      </c>
      <c r="L148" s="52" t="s">
        <v>200</v>
      </c>
      <c r="M148" s="52">
        <v>6.0</v>
      </c>
      <c r="N148" s="52" t="s">
        <v>154</v>
      </c>
      <c r="O148" s="52" t="s">
        <v>119</v>
      </c>
      <c r="P148" s="52" t="s">
        <v>140</v>
      </c>
      <c r="Q148" s="52" t="s">
        <v>125</v>
      </c>
      <c r="R148" s="52" t="s">
        <v>140</v>
      </c>
      <c r="S148" s="52" t="s">
        <v>125</v>
      </c>
      <c r="T148" s="65" t="s">
        <v>30</v>
      </c>
      <c r="U148" s="32">
        <v>1.0</v>
      </c>
      <c r="V148" s="32">
        <v>1.0</v>
      </c>
      <c r="W148" s="32">
        <v>1.0</v>
      </c>
      <c r="X148" s="32">
        <v>1.0</v>
      </c>
      <c r="Y148" s="32">
        <v>1.0</v>
      </c>
      <c r="Z148" s="32">
        <v>1.0</v>
      </c>
      <c r="AA148" s="32">
        <v>6.0</v>
      </c>
      <c r="AB148" s="32">
        <v>0.0</v>
      </c>
      <c r="AC148" s="103" t="str">
        <f>IFERROR(__xludf.DUMMYFUNCTION("if($C148="""","""",if(join("" - "",{iferror(filter('Student Groupings'!$A:$A,'Student Groupings'!$B:$B=$C148,'Student Groupings'!$H:$H=""Can't be Together""),"""");iferror(filter('Student Groupings'!$A:$A,'Student Groupings'!$E:$E=$C148,'Student Groupings"&amp;"'!$H:$H=""Can't be Together""),"""")})="" - "","""",join("" - "",{iferror(filter('Student Groupings'!$A:$A,'Student Groupings'!$B:$B=$C148,'Student Groupings'!$H:$H=""Can't be Together""),"""");iferror(filter('Student Groupings'!$A:$A,'Student Groupings'!"&amp;"$E:$E=$C148,'Student Groupings'!$H:$H=""Can't be Together""),"""")})))"),"")</f>
        <v/>
      </c>
      <c r="AD148" s="103" t="str">
        <f>IFERROR(__xludf.DUMMYFUNCTION("if($C148="""","""",if(join("" - "",{iferror(filter('Student Groupings'!$A:$A,'Student Groupings'!$B:$B=$C148,'Student Groupings'!$H:$H=""Must be Together""),"""");iferror(filter('Student Groupings'!$A:$A,'Student Groupings'!$E:$E=$C148,'Student Groupings'"&amp;"!$H:$H=""Must be Together""),"""")})="" - "","""",join("" - "",{iferror(filter('Student Groupings'!$A:$A,'Student Groupings'!$B:$B=$C148,'Student Groupings'!$H:$H=""Must be Together""),"""");iferror(filter('Student Groupings'!$A:$A,'Student Groupings'!$E:"&amp;"$E=$C148,'Student Groupings'!$H:$H=""Must be Together""),"""")})))"),"")</f>
        <v/>
      </c>
      <c r="AE148" s="104"/>
      <c r="AF148" s="104"/>
      <c r="AG148" s="104"/>
      <c r="AH148" s="104"/>
    </row>
    <row r="149">
      <c r="A149" s="101">
        <v>7.0</v>
      </c>
      <c r="B149" s="101">
        <v>30004.0</v>
      </c>
      <c r="C149" s="102" t="s">
        <v>419</v>
      </c>
      <c r="D149" s="52" t="s">
        <v>175</v>
      </c>
      <c r="E149" s="52">
        <v>4.0</v>
      </c>
      <c r="F149" s="52" t="s">
        <v>164</v>
      </c>
      <c r="G149" s="52">
        <v>3.0</v>
      </c>
      <c r="H149" s="52" t="s">
        <v>184</v>
      </c>
      <c r="I149" s="52">
        <v>1.0</v>
      </c>
      <c r="J149" s="52" t="s">
        <v>193</v>
      </c>
      <c r="K149" s="52">
        <v>5.0</v>
      </c>
      <c r="L149" s="52" t="s">
        <v>200</v>
      </c>
      <c r="M149" s="52">
        <v>2.0</v>
      </c>
      <c r="N149" s="52" t="s">
        <v>150</v>
      </c>
      <c r="O149" s="52" t="s">
        <v>109</v>
      </c>
      <c r="P149" s="52" t="s">
        <v>116</v>
      </c>
      <c r="Q149" s="52" t="s">
        <v>120</v>
      </c>
      <c r="R149" s="52" t="s">
        <v>133</v>
      </c>
      <c r="S149" s="52" t="s">
        <v>120</v>
      </c>
      <c r="T149" s="65" t="s">
        <v>8</v>
      </c>
      <c r="U149" s="32">
        <v>1.0</v>
      </c>
      <c r="V149" s="32">
        <v>1.0</v>
      </c>
      <c r="W149" s="32">
        <v>1.0</v>
      </c>
      <c r="X149" s="32">
        <v>1.0</v>
      </c>
      <c r="Y149" s="32">
        <v>1.0</v>
      </c>
      <c r="Z149" s="32">
        <v>1.0</v>
      </c>
      <c r="AA149" s="32">
        <v>6.0</v>
      </c>
      <c r="AB149" s="32">
        <v>0.0</v>
      </c>
      <c r="AC149" s="103" t="str">
        <f>IFERROR(__xludf.DUMMYFUNCTION("if($C149="""","""",if(join("" - "",{iferror(filter('Student Groupings'!$A:$A,'Student Groupings'!$B:$B=$C149,'Student Groupings'!$H:$H=""Can't be Together""),"""");iferror(filter('Student Groupings'!$A:$A,'Student Groupings'!$E:$E=$C149,'Student Groupings"&amp;"'!$H:$H=""Can't be Together""),"""")})="" - "","""",join("" - "",{iferror(filter('Student Groupings'!$A:$A,'Student Groupings'!$B:$B=$C149,'Student Groupings'!$H:$H=""Can't be Together""),"""");iferror(filter('Student Groupings'!$A:$A,'Student Groupings'!"&amp;"$E:$E=$C149,'Student Groupings'!$H:$H=""Can't be Together""),"""")})))"),"")</f>
        <v/>
      </c>
      <c r="AD149" s="103" t="str">
        <f>IFERROR(__xludf.DUMMYFUNCTION("if($C149="""","""",if(join("" - "",{iferror(filter('Student Groupings'!$A:$A,'Student Groupings'!$B:$B=$C149,'Student Groupings'!$H:$H=""Must be Together""),"""");iferror(filter('Student Groupings'!$A:$A,'Student Groupings'!$E:$E=$C149,'Student Groupings'"&amp;"!$H:$H=""Must be Together""),"""")})="" - "","""",join("" - "",{iferror(filter('Student Groupings'!$A:$A,'Student Groupings'!$B:$B=$C149,'Student Groupings'!$H:$H=""Must be Together""),"""");iferror(filter('Student Groupings'!$A:$A,'Student Groupings'!$E:"&amp;"$E=$C149,'Student Groupings'!$H:$H=""Must be Together""),"""")})))"),"")</f>
        <v/>
      </c>
      <c r="AE149" s="104"/>
      <c r="AF149" s="104"/>
      <c r="AG149" s="104"/>
      <c r="AH149" s="104"/>
    </row>
    <row r="150">
      <c r="A150" s="101">
        <v>7.0</v>
      </c>
      <c r="B150" s="101">
        <v>30005.0</v>
      </c>
      <c r="C150" s="102" t="s">
        <v>420</v>
      </c>
      <c r="D150" s="52" t="s">
        <v>175</v>
      </c>
      <c r="E150" s="52">
        <v>2.0</v>
      </c>
      <c r="F150" s="52" t="s">
        <v>163</v>
      </c>
      <c r="G150" s="52">
        <v>6.0</v>
      </c>
      <c r="H150" s="52" t="s">
        <v>184</v>
      </c>
      <c r="I150" s="101">
        <v>3.0</v>
      </c>
      <c r="J150" s="52" t="s">
        <v>195</v>
      </c>
      <c r="K150" s="101">
        <v>5.0</v>
      </c>
      <c r="L150" s="52" t="s">
        <v>200</v>
      </c>
      <c r="M150" s="101">
        <v>4.0</v>
      </c>
      <c r="N150" s="52" t="s">
        <v>154</v>
      </c>
      <c r="O150" s="52" t="s">
        <v>129</v>
      </c>
      <c r="P150" s="52" t="s">
        <v>140</v>
      </c>
      <c r="Q150" s="52" t="s">
        <v>108</v>
      </c>
      <c r="R150" s="52" t="s">
        <v>140</v>
      </c>
      <c r="S150" s="52" t="s">
        <v>108</v>
      </c>
      <c r="T150" s="65" t="s">
        <v>30</v>
      </c>
      <c r="U150" s="32">
        <v>1.0</v>
      </c>
      <c r="V150" s="32">
        <v>1.0</v>
      </c>
      <c r="W150" s="32">
        <v>1.0</v>
      </c>
      <c r="X150" s="32">
        <v>1.0</v>
      </c>
      <c r="Y150" s="32">
        <v>1.0</v>
      </c>
      <c r="Z150" s="32">
        <v>1.0</v>
      </c>
      <c r="AA150" s="32">
        <v>6.0</v>
      </c>
      <c r="AB150" s="32">
        <v>0.0</v>
      </c>
      <c r="AC150" s="103" t="str">
        <f>IFERROR(__xludf.DUMMYFUNCTION("if($C150="""","""",if(join("" - "",{iferror(filter('Student Groupings'!$A:$A,'Student Groupings'!$B:$B=$C150,'Student Groupings'!$H:$H=""Can't be Together""),"""");iferror(filter('Student Groupings'!$A:$A,'Student Groupings'!$E:$E=$C150,'Student Groupings"&amp;"'!$H:$H=""Can't be Together""),"""")})="" - "","""",join("" - "",{iferror(filter('Student Groupings'!$A:$A,'Student Groupings'!$B:$B=$C150,'Student Groupings'!$H:$H=""Can't be Together""),"""");iferror(filter('Student Groupings'!$A:$A,'Student Groupings'!"&amp;"$E:$E=$C150,'Student Groupings'!$H:$H=""Can't be Together""),"""")})))"),"")</f>
        <v/>
      </c>
      <c r="AD150" s="103" t="str">
        <f>IFERROR(__xludf.DUMMYFUNCTION("if($C150="""","""",if(join("" - "",{iferror(filter('Student Groupings'!$A:$A,'Student Groupings'!$B:$B=$C150,'Student Groupings'!$H:$H=""Must be Together""),"""");iferror(filter('Student Groupings'!$A:$A,'Student Groupings'!$E:$E=$C150,'Student Groupings'"&amp;"!$H:$H=""Must be Together""),"""")})="" - "","""",join("" - "",{iferror(filter('Student Groupings'!$A:$A,'Student Groupings'!$B:$B=$C150,'Student Groupings'!$H:$H=""Must be Together""),"""");iferror(filter('Student Groupings'!$A:$A,'Student Groupings'!$E:"&amp;"$E=$C150,'Student Groupings'!$H:$H=""Must be Together""),"""")})))"),"")</f>
        <v/>
      </c>
      <c r="AE150" s="104"/>
      <c r="AF150" s="104"/>
      <c r="AG150" s="104"/>
      <c r="AH150" s="104"/>
    </row>
    <row r="151">
      <c r="A151" s="101">
        <v>7.0</v>
      </c>
      <c r="B151" s="101">
        <v>30006.0</v>
      </c>
      <c r="C151" s="102" t="s">
        <v>421</v>
      </c>
      <c r="D151" s="52" t="s">
        <v>175</v>
      </c>
      <c r="E151" s="52">
        <v>6.0</v>
      </c>
      <c r="F151" s="52" t="s">
        <v>164</v>
      </c>
      <c r="G151" s="52">
        <v>4.0</v>
      </c>
      <c r="H151" s="52" t="s">
        <v>184</v>
      </c>
      <c r="I151" s="52">
        <v>5.0</v>
      </c>
      <c r="J151" s="52" t="s">
        <v>195</v>
      </c>
      <c r="K151" s="52">
        <v>1.0</v>
      </c>
      <c r="L151" s="52" t="s">
        <v>200</v>
      </c>
      <c r="M151" s="52">
        <v>3.0</v>
      </c>
      <c r="N151" s="52" t="s">
        <v>154</v>
      </c>
      <c r="O151" s="52" t="s">
        <v>119</v>
      </c>
      <c r="P151" s="52" t="s">
        <v>140</v>
      </c>
      <c r="Q151" s="52" t="s">
        <v>125</v>
      </c>
      <c r="R151" s="52" t="s">
        <v>140</v>
      </c>
      <c r="S151" s="52" t="s">
        <v>125</v>
      </c>
      <c r="T151" s="65" t="s">
        <v>30</v>
      </c>
      <c r="U151" s="32">
        <v>1.0</v>
      </c>
      <c r="V151" s="32">
        <v>1.0</v>
      </c>
      <c r="W151" s="32">
        <v>1.0</v>
      </c>
      <c r="X151" s="32">
        <v>1.0</v>
      </c>
      <c r="Y151" s="32">
        <v>1.0</v>
      </c>
      <c r="Z151" s="32">
        <v>1.0</v>
      </c>
      <c r="AA151" s="32">
        <v>6.0</v>
      </c>
      <c r="AB151" s="32">
        <v>0.0</v>
      </c>
      <c r="AC151" s="103" t="str">
        <f>IFERROR(__xludf.DUMMYFUNCTION("if($C151="""","""",if(join("" - "",{iferror(filter('Student Groupings'!$A:$A,'Student Groupings'!$B:$B=$C151,'Student Groupings'!$H:$H=""Can't be Together""),"""");iferror(filter('Student Groupings'!$A:$A,'Student Groupings'!$E:$E=$C151,'Student Groupings"&amp;"'!$H:$H=""Can't be Together""),"""")})="" - "","""",join("" - "",{iferror(filter('Student Groupings'!$A:$A,'Student Groupings'!$B:$B=$C151,'Student Groupings'!$H:$H=""Can't be Together""),"""");iferror(filter('Student Groupings'!$A:$A,'Student Groupings'!"&amp;"$E:$E=$C151,'Student Groupings'!$H:$H=""Can't be Together""),"""")})))"),"")</f>
        <v/>
      </c>
      <c r="AD151" s="103" t="str">
        <f>IFERROR(__xludf.DUMMYFUNCTION("if($C151="""","""",if(join("" - "",{iferror(filter('Student Groupings'!$A:$A,'Student Groupings'!$B:$B=$C151,'Student Groupings'!$H:$H=""Must be Together""),"""");iferror(filter('Student Groupings'!$A:$A,'Student Groupings'!$E:$E=$C151,'Student Groupings'"&amp;"!$H:$H=""Must be Together""),"""")})="" - "","""",join("" - "",{iferror(filter('Student Groupings'!$A:$A,'Student Groupings'!$B:$B=$C151,'Student Groupings'!$H:$H=""Must be Together""),"""");iferror(filter('Student Groupings'!$A:$A,'Student Groupings'!$E:"&amp;"$E=$C151,'Student Groupings'!$H:$H=""Must be Together""),"""")})))"),"")</f>
        <v/>
      </c>
      <c r="AE151" s="105"/>
      <c r="AF151" s="105">
        <v>1.0</v>
      </c>
      <c r="AG151" s="104"/>
      <c r="AH151" s="104"/>
    </row>
    <row r="152">
      <c r="A152" s="101">
        <v>7.0</v>
      </c>
      <c r="B152" s="101">
        <v>30169.0</v>
      </c>
      <c r="C152" s="102" t="s">
        <v>422</v>
      </c>
      <c r="D152" s="52" t="s">
        <v>175</v>
      </c>
      <c r="E152" s="52">
        <v>4.0</v>
      </c>
      <c r="F152" s="52" t="s">
        <v>164</v>
      </c>
      <c r="G152" s="52">
        <v>3.0</v>
      </c>
      <c r="H152" s="52" t="s">
        <v>184</v>
      </c>
      <c r="I152" s="52">
        <v>1.0</v>
      </c>
      <c r="J152" s="52" t="s">
        <v>195</v>
      </c>
      <c r="K152" s="52">
        <v>5.0</v>
      </c>
      <c r="L152" s="52" t="s">
        <v>200</v>
      </c>
      <c r="M152" s="52">
        <v>2.0</v>
      </c>
      <c r="N152" s="52" t="s">
        <v>150</v>
      </c>
      <c r="O152" s="52" t="s">
        <v>109</v>
      </c>
      <c r="P152" s="52" t="s">
        <v>116</v>
      </c>
      <c r="Q152" s="52" t="s">
        <v>120</v>
      </c>
      <c r="R152" s="52" t="s">
        <v>133</v>
      </c>
      <c r="S152" s="52" t="s">
        <v>120</v>
      </c>
      <c r="T152" s="65" t="s">
        <v>27</v>
      </c>
      <c r="U152" s="32">
        <v>1.0</v>
      </c>
      <c r="V152" s="32">
        <v>1.0</v>
      </c>
      <c r="W152" s="32">
        <v>1.0</v>
      </c>
      <c r="X152" s="32">
        <v>1.0</v>
      </c>
      <c r="Y152" s="32">
        <v>1.0</v>
      </c>
      <c r="Z152" s="32">
        <v>1.0</v>
      </c>
      <c r="AA152" s="32">
        <v>6.0</v>
      </c>
      <c r="AB152" s="32">
        <v>0.0</v>
      </c>
      <c r="AC152" s="103" t="str">
        <f>IFERROR(__xludf.DUMMYFUNCTION("if($C152="""","""",if(join("" - "",{iferror(filter('Student Groupings'!$A:$A,'Student Groupings'!$B:$B=$C152,'Student Groupings'!$H:$H=""Can't be Together""),"""");iferror(filter('Student Groupings'!$A:$A,'Student Groupings'!$E:$E=$C152,'Student Groupings"&amp;"'!$H:$H=""Can't be Together""),"""")})="" - "","""",join("" - "",{iferror(filter('Student Groupings'!$A:$A,'Student Groupings'!$B:$B=$C152,'Student Groupings'!$H:$H=""Can't be Together""),"""");iferror(filter('Student Groupings'!$A:$A,'Student Groupings'!"&amp;"$E:$E=$C152,'Student Groupings'!$H:$H=""Can't be Together""),"""")})))"),"")</f>
        <v/>
      </c>
      <c r="AD152" s="103" t="str">
        <f>IFERROR(__xludf.DUMMYFUNCTION("if($C152="""","""",if(join("" - "",{iferror(filter('Student Groupings'!$A:$A,'Student Groupings'!$B:$B=$C152,'Student Groupings'!$H:$H=""Must be Together""),"""");iferror(filter('Student Groupings'!$A:$A,'Student Groupings'!$E:$E=$C152,'Student Groupings'"&amp;"!$H:$H=""Must be Together""),"""")})="" - "","""",join("" - "",{iferror(filter('Student Groupings'!$A:$A,'Student Groupings'!$B:$B=$C152,'Student Groupings'!$H:$H=""Must be Together""),"""");iferror(filter('Student Groupings'!$A:$A,'Student Groupings'!$E:"&amp;"$E=$C152,'Student Groupings'!$H:$H=""Must be Together""),"""")})))"),"")</f>
        <v/>
      </c>
      <c r="AE152" s="104"/>
      <c r="AF152" s="104"/>
      <c r="AG152" s="105"/>
      <c r="AH152" s="105"/>
    </row>
    <row r="153">
      <c r="A153" s="101">
        <v>7.0</v>
      </c>
      <c r="B153" s="101">
        <v>30007.0</v>
      </c>
      <c r="C153" s="102" t="s">
        <v>423</v>
      </c>
      <c r="D153" s="52" t="s">
        <v>179</v>
      </c>
      <c r="E153" s="52">
        <v>6.0</v>
      </c>
      <c r="F153" s="52" t="s">
        <v>163</v>
      </c>
      <c r="G153" s="52">
        <v>5.0</v>
      </c>
      <c r="H153" s="52" t="s">
        <v>184</v>
      </c>
      <c r="I153" s="52">
        <v>2.0</v>
      </c>
      <c r="J153" s="52" t="s">
        <v>195</v>
      </c>
      <c r="K153" s="52">
        <v>3.0</v>
      </c>
      <c r="L153" s="52" t="s">
        <v>200</v>
      </c>
      <c r="M153" s="52">
        <v>1.0</v>
      </c>
      <c r="N153" s="52" t="s">
        <v>150</v>
      </c>
      <c r="O153" s="52" t="s">
        <v>111</v>
      </c>
      <c r="P153" s="52" t="s">
        <v>140</v>
      </c>
      <c r="Q153" s="52" t="s">
        <v>130</v>
      </c>
      <c r="R153" s="52" t="s">
        <v>140</v>
      </c>
      <c r="S153" s="52" t="s">
        <v>130</v>
      </c>
      <c r="T153" s="65" t="s">
        <v>30</v>
      </c>
      <c r="U153" s="32">
        <v>1.0</v>
      </c>
      <c r="V153" s="32">
        <v>1.0</v>
      </c>
      <c r="W153" s="32">
        <v>1.0</v>
      </c>
      <c r="X153" s="32">
        <v>1.0</v>
      </c>
      <c r="Y153" s="32">
        <v>1.0</v>
      </c>
      <c r="Z153" s="32">
        <v>1.0</v>
      </c>
      <c r="AA153" s="32">
        <v>6.0</v>
      </c>
      <c r="AB153" s="32">
        <v>0.0</v>
      </c>
      <c r="AC153" s="103" t="str">
        <f>IFERROR(__xludf.DUMMYFUNCTION("if($C153="""","""",if(join("" - "",{iferror(filter('Student Groupings'!$A:$A,'Student Groupings'!$B:$B=$C153,'Student Groupings'!$H:$H=""Can't be Together""),"""");iferror(filter('Student Groupings'!$A:$A,'Student Groupings'!$E:$E=$C153,'Student Groupings"&amp;"'!$H:$H=""Can't be Together""),"""")})="" - "","""",join("" - "",{iferror(filter('Student Groupings'!$A:$A,'Student Groupings'!$B:$B=$C153,'Student Groupings'!$H:$H=""Can't be Together""),"""");iferror(filter('Student Groupings'!$A:$A,'Student Groupings'!"&amp;"$E:$E=$C153,'Student Groupings'!$H:$H=""Can't be Together""),"""")})))"),"")</f>
        <v/>
      </c>
      <c r="AD153" s="103" t="str">
        <f>IFERROR(__xludf.DUMMYFUNCTION("if($C153="""","""",if(join("" - "",{iferror(filter('Student Groupings'!$A:$A,'Student Groupings'!$B:$B=$C153,'Student Groupings'!$H:$H=""Must be Together""),"""");iferror(filter('Student Groupings'!$A:$A,'Student Groupings'!$E:$E=$C153,'Student Groupings'"&amp;"!$H:$H=""Must be Together""),"""")})="" - "","""",join("" - "",{iferror(filter('Student Groupings'!$A:$A,'Student Groupings'!$B:$B=$C153,'Student Groupings'!$H:$H=""Must be Together""),"""");iferror(filter('Student Groupings'!$A:$A,'Student Groupings'!$E:"&amp;"$E=$C153,'Student Groupings'!$H:$H=""Must be Together""),"""")})))"),"")</f>
        <v/>
      </c>
      <c r="AE153" s="104"/>
      <c r="AF153" s="104"/>
      <c r="AG153" s="104"/>
      <c r="AH153" s="104"/>
    </row>
    <row r="154">
      <c r="A154" s="101">
        <v>7.0</v>
      </c>
      <c r="B154" s="101">
        <v>30008.0</v>
      </c>
      <c r="C154" s="102" t="s">
        <v>424</v>
      </c>
      <c r="D154" s="52" t="s">
        <v>175</v>
      </c>
      <c r="E154" s="52">
        <v>5.0</v>
      </c>
      <c r="F154" s="52" t="s">
        <v>163</v>
      </c>
      <c r="G154" s="52">
        <v>3.0</v>
      </c>
      <c r="H154" s="52" t="s">
        <v>184</v>
      </c>
      <c r="I154" s="52">
        <v>6.0</v>
      </c>
      <c r="J154" s="52" t="s">
        <v>195</v>
      </c>
      <c r="K154" s="52">
        <v>2.0</v>
      </c>
      <c r="L154" s="52" t="s">
        <v>203</v>
      </c>
      <c r="M154" s="52">
        <v>4.0</v>
      </c>
      <c r="N154" s="52" t="s">
        <v>150</v>
      </c>
      <c r="O154" s="52" t="s">
        <v>129</v>
      </c>
      <c r="P154" s="52" t="s">
        <v>116</v>
      </c>
      <c r="Q154" s="52" t="s">
        <v>108</v>
      </c>
      <c r="R154" s="52" t="s">
        <v>133</v>
      </c>
      <c r="S154" s="52" t="s">
        <v>108</v>
      </c>
      <c r="T154" s="65" t="s">
        <v>27</v>
      </c>
      <c r="U154" s="32">
        <v>1.0</v>
      </c>
      <c r="V154" s="32">
        <v>1.0</v>
      </c>
      <c r="W154" s="32">
        <v>1.0</v>
      </c>
      <c r="X154" s="32">
        <v>1.0</v>
      </c>
      <c r="Y154" s="32">
        <v>1.0</v>
      </c>
      <c r="Z154" s="32">
        <v>1.0</v>
      </c>
      <c r="AA154" s="32">
        <v>6.0</v>
      </c>
      <c r="AB154" s="32">
        <v>0.0</v>
      </c>
      <c r="AC154" s="103" t="str">
        <f>IFERROR(__xludf.DUMMYFUNCTION("if($C154="""","""",if(join("" - "",{iferror(filter('Student Groupings'!$A:$A,'Student Groupings'!$B:$B=$C154,'Student Groupings'!$H:$H=""Can't be Together""),"""");iferror(filter('Student Groupings'!$A:$A,'Student Groupings'!$E:$E=$C154,'Student Groupings"&amp;"'!$H:$H=""Can't be Together""),"""")})="" - "","""",join("" - "",{iferror(filter('Student Groupings'!$A:$A,'Student Groupings'!$B:$B=$C154,'Student Groupings'!$H:$H=""Can't be Together""),"""");iferror(filter('Student Groupings'!$A:$A,'Student Groupings'!"&amp;"$E:$E=$C154,'Student Groupings'!$H:$H=""Can't be Together""),"""")})))"),"")</f>
        <v/>
      </c>
      <c r="AD154" s="103" t="str">
        <f>IFERROR(__xludf.DUMMYFUNCTION("if($C154="""","""",if(join("" - "",{iferror(filter('Student Groupings'!$A:$A,'Student Groupings'!$B:$B=$C154,'Student Groupings'!$H:$H=""Must be Together""),"""");iferror(filter('Student Groupings'!$A:$A,'Student Groupings'!$E:$E=$C154,'Student Groupings'"&amp;"!$H:$H=""Must be Together""),"""")})="" - "","""",join("" - "",{iferror(filter('Student Groupings'!$A:$A,'Student Groupings'!$B:$B=$C154,'Student Groupings'!$H:$H=""Must be Together""),"""");iferror(filter('Student Groupings'!$A:$A,'Student Groupings'!$E:"&amp;"$E=$C154,'Student Groupings'!$H:$H=""Must be Together""),"""")})))"),"")</f>
        <v/>
      </c>
      <c r="AE154" s="104"/>
      <c r="AF154" s="104"/>
      <c r="AG154" s="104"/>
      <c r="AH154" s="104"/>
    </row>
    <row r="155">
      <c r="A155" s="101">
        <v>7.0</v>
      </c>
      <c r="B155" s="101">
        <v>29014.0</v>
      </c>
      <c r="C155" s="102" t="s">
        <v>425</v>
      </c>
      <c r="D155" s="52" t="s">
        <v>175</v>
      </c>
      <c r="E155" s="52">
        <v>4.0</v>
      </c>
      <c r="F155" s="52" t="s">
        <v>164</v>
      </c>
      <c r="G155" s="52">
        <v>3.0</v>
      </c>
      <c r="H155" s="52" t="s">
        <v>184</v>
      </c>
      <c r="I155" s="52">
        <v>1.0</v>
      </c>
      <c r="J155" s="52" t="s">
        <v>193</v>
      </c>
      <c r="K155" s="52">
        <v>5.0</v>
      </c>
      <c r="L155" s="52" t="s">
        <v>200</v>
      </c>
      <c r="M155" s="52">
        <v>2.0</v>
      </c>
      <c r="N155" s="52" t="s">
        <v>150</v>
      </c>
      <c r="O155" s="52" t="s">
        <v>109</v>
      </c>
      <c r="P155" s="52" t="s">
        <v>116</v>
      </c>
      <c r="Q155" s="52" t="s">
        <v>120</v>
      </c>
      <c r="R155" s="52" t="s">
        <v>133</v>
      </c>
      <c r="S155" s="52" t="s">
        <v>120</v>
      </c>
      <c r="T155" s="65" t="s">
        <v>27</v>
      </c>
      <c r="U155" s="32">
        <v>1.0</v>
      </c>
      <c r="V155" s="32">
        <v>1.0</v>
      </c>
      <c r="W155" s="32">
        <v>1.0</v>
      </c>
      <c r="X155" s="32">
        <v>1.0</v>
      </c>
      <c r="Y155" s="32">
        <v>1.0</v>
      </c>
      <c r="Z155" s="32">
        <v>1.0</v>
      </c>
      <c r="AA155" s="32">
        <v>6.0</v>
      </c>
      <c r="AB155" s="32">
        <v>0.0</v>
      </c>
      <c r="AC155" s="103" t="str">
        <f>IFERROR(__xludf.DUMMYFUNCTION("if($C155="""","""",if(join("" - "",{iferror(filter('Student Groupings'!$A:$A,'Student Groupings'!$B:$B=$C155,'Student Groupings'!$H:$H=""Can't be Together""),"""");iferror(filter('Student Groupings'!$A:$A,'Student Groupings'!$E:$E=$C155,'Student Groupings"&amp;"'!$H:$H=""Can't be Together""),"""")})="" - "","""",join("" - "",{iferror(filter('Student Groupings'!$A:$A,'Student Groupings'!$B:$B=$C155,'Student Groupings'!$H:$H=""Can't be Together""),"""");iferror(filter('Student Groupings'!$A:$A,'Student Groupings'!"&amp;"$E:$E=$C155,'Student Groupings'!$H:$H=""Can't be Together""),"""")})))"),"")</f>
        <v/>
      </c>
      <c r="AD155" s="103" t="str">
        <f>IFERROR(__xludf.DUMMYFUNCTION("if($C155="""","""",if(join("" - "",{iferror(filter('Student Groupings'!$A:$A,'Student Groupings'!$B:$B=$C155,'Student Groupings'!$H:$H=""Must be Together""),"""");iferror(filter('Student Groupings'!$A:$A,'Student Groupings'!$E:$E=$C155,'Student Groupings'"&amp;"!$H:$H=""Must be Together""),"""")})="" - "","""",join("" - "",{iferror(filter('Student Groupings'!$A:$A,'Student Groupings'!$B:$B=$C155,'Student Groupings'!$H:$H=""Must be Together""),"""");iferror(filter('Student Groupings'!$A:$A,'Student Groupings'!$E:"&amp;"$E=$C155,'Student Groupings'!$H:$H=""Must be Together""),"""")})))"),"")</f>
        <v/>
      </c>
      <c r="AE155" s="104"/>
      <c r="AF155" s="104"/>
      <c r="AG155" s="104"/>
      <c r="AH155" s="104"/>
    </row>
    <row r="156">
      <c r="A156" s="101">
        <v>7.0</v>
      </c>
      <c r="B156" s="101">
        <v>30009.0</v>
      </c>
      <c r="C156" s="102" t="s">
        <v>426</v>
      </c>
      <c r="D156" s="52" t="s">
        <v>175</v>
      </c>
      <c r="E156" s="52">
        <v>3.0</v>
      </c>
      <c r="F156" s="52" t="s">
        <v>164</v>
      </c>
      <c r="G156" s="52">
        <v>4.0</v>
      </c>
      <c r="H156" s="52" t="s">
        <v>188</v>
      </c>
      <c r="I156" s="52">
        <v>5.0</v>
      </c>
      <c r="J156" s="52" t="s">
        <v>193</v>
      </c>
      <c r="K156" s="52">
        <v>1.0</v>
      </c>
      <c r="L156" s="52" t="s">
        <v>200</v>
      </c>
      <c r="M156" s="52">
        <v>6.0</v>
      </c>
      <c r="N156" s="52" t="s">
        <v>154</v>
      </c>
      <c r="O156" s="52" t="s">
        <v>119</v>
      </c>
      <c r="P156" s="52" t="s">
        <v>140</v>
      </c>
      <c r="Q156" s="52" t="s">
        <v>125</v>
      </c>
      <c r="R156" s="52" t="s">
        <v>140</v>
      </c>
      <c r="S156" s="52" t="s">
        <v>125</v>
      </c>
      <c r="T156" s="65" t="s">
        <v>30</v>
      </c>
      <c r="U156" s="32">
        <v>1.0</v>
      </c>
      <c r="V156" s="32">
        <v>1.0</v>
      </c>
      <c r="W156" s="32">
        <v>1.0</v>
      </c>
      <c r="X156" s="32">
        <v>1.0</v>
      </c>
      <c r="Y156" s="32">
        <v>1.0</v>
      </c>
      <c r="Z156" s="32">
        <v>1.0</v>
      </c>
      <c r="AA156" s="32">
        <v>6.0</v>
      </c>
      <c r="AB156" s="32">
        <v>0.0</v>
      </c>
      <c r="AC156" s="103" t="str">
        <f>IFERROR(__xludf.DUMMYFUNCTION("if($C156="""","""",if(join("" - "",{iferror(filter('Student Groupings'!$A:$A,'Student Groupings'!$B:$B=$C156,'Student Groupings'!$H:$H=""Can't be Together""),"""");iferror(filter('Student Groupings'!$A:$A,'Student Groupings'!$E:$E=$C156,'Student Groupings"&amp;"'!$H:$H=""Can't be Together""),"""")})="" - "","""",join("" - "",{iferror(filter('Student Groupings'!$A:$A,'Student Groupings'!$B:$B=$C156,'Student Groupings'!$H:$H=""Can't be Together""),"""");iferror(filter('Student Groupings'!$A:$A,'Student Groupings'!"&amp;"$E:$E=$C156,'Student Groupings'!$H:$H=""Can't be Together""),"""")})))"),"")</f>
        <v/>
      </c>
      <c r="AD156" s="103" t="str">
        <f>IFERROR(__xludf.DUMMYFUNCTION("if($C156="""","""",if(join("" - "",{iferror(filter('Student Groupings'!$A:$A,'Student Groupings'!$B:$B=$C156,'Student Groupings'!$H:$H=""Must be Together""),"""");iferror(filter('Student Groupings'!$A:$A,'Student Groupings'!$E:$E=$C156,'Student Groupings'"&amp;"!$H:$H=""Must be Together""),"""")})="" - "","""",join("" - "",{iferror(filter('Student Groupings'!$A:$A,'Student Groupings'!$B:$B=$C156,'Student Groupings'!$H:$H=""Must be Together""),"""");iferror(filter('Student Groupings'!$A:$A,'Student Groupings'!$E:"&amp;"$E=$C156,'Student Groupings'!$H:$H=""Must be Together""),"""")})))"),"")</f>
        <v/>
      </c>
      <c r="AE156" s="104"/>
      <c r="AF156" s="104"/>
      <c r="AG156" s="104"/>
      <c r="AH156" s="104"/>
    </row>
    <row r="157">
      <c r="A157" s="101">
        <v>7.0</v>
      </c>
      <c r="B157" s="101">
        <v>30010.0</v>
      </c>
      <c r="C157" s="102" t="s">
        <v>427</v>
      </c>
      <c r="D157" s="52" t="s">
        <v>175</v>
      </c>
      <c r="E157" s="52">
        <v>2.0</v>
      </c>
      <c r="F157" s="52" t="s">
        <v>163</v>
      </c>
      <c r="G157" s="52">
        <v>6.0</v>
      </c>
      <c r="H157" s="52" t="s">
        <v>184</v>
      </c>
      <c r="I157" s="52">
        <v>3.0</v>
      </c>
      <c r="J157" s="52" t="s">
        <v>195</v>
      </c>
      <c r="K157" s="52">
        <v>5.0</v>
      </c>
      <c r="L157" s="52" t="s">
        <v>200</v>
      </c>
      <c r="M157" s="52">
        <v>4.0</v>
      </c>
      <c r="N157" s="52" t="s">
        <v>154</v>
      </c>
      <c r="O157" s="52" t="s">
        <v>129</v>
      </c>
      <c r="P157" s="52" t="s">
        <v>140</v>
      </c>
      <c r="Q157" s="52" t="s">
        <v>108</v>
      </c>
      <c r="R157" s="52" t="s">
        <v>140</v>
      </c>
      <c r="S157" s="52" t="s">
        <v>108</v>
      </c>
      <c r="T157" s="65" t="s">
        <v>30</v>
      </c>
      <c r="U157" s="32">
        <v>1.0</v>
      </c>
      <c r="V157" s="32">
        <v>1.0</v>
      </c>
      <c r="W157" s="32">
        <v>1.0</v>
      </c>
      <c r="X157" s="32">
        <v>1.0</v>
      </c>
      <c r="Y157" s="32">
        <v>1.0</v>
      </c>
      <c r="Z157" s="32">
        <v>1.0</v>
      </c>
      <c r="AA157" s="32">
        <v>6.0</v>
      </c>
      <c r="AB157" s="32">
        <v>0.0</v>
      </c>
      <c r="AC157" s="103" t="str">
        <f>IFERROR(__xludf.DUMMYFUNCTION("if($C157="""","""",if(join("" - "",{iferror(filter('Student Groupings'!$A:$A,'Student Groupings'!$B:$B=$C157,'Student Groupings'!$H:$H=""Can't be Together""),"""");iferror(filter('Student Groupings'!$A:$A,'Student Groupings'!$E:$E=$C157,'Student Groupings"&amp;"'!$H:$H=""Can't be Together""),"""")})="" - "","""",join("" - "",{iferror(filter('Student Groupings'!$A:$A,'Student Groupings'!$B:$B=$C157,'Student Groupings'!$H:$H=""Can't be Together""),"""");iferror(filter('Student Groupings'!$A:$A,'Student Groupings'!"&amp;"$E:$E=$C157,'Student Groupings'!$H:$H=""Can't be Together""),"""")})))"),"")</f>
        <v/>
      </c>
      <c r="AD157" s="103" t="str">
        <f>IFERROR(__xludf.DUMMYFUNCTION("if($C157="""","""",if(join("" - "",{iferror(filter('Student Groupings'!$A:$A,'Student Groupings'!$B:$B=$C157,'Student Groupings'!$H:$H=""Must be Together""),"""");iferror(filter('Student Groupings'!$A:$A,'Student Groupings'!$E:$E=$C157,'Student Groupings'"&amp;"!$H:$H=""Must be Together""),"""")})="" - "","""",join("" - "",{iferror(filter('Student Groupings'!$A:$A,'Student Groupings'!$B:$B=$C157,'Student Groupings'!$H:$H=""Must be Together""),"""");iferror(filter('Student Groupings'!$A:$A,'Student Groupings'!$E:"&amp;"$E=$C157,'Student Groupings'!$H:$H=""Must be Together""),"""")})))"),"")</f>
        <v/>
      </c>
      <c r="AE157" s="104"/>
      <c r="AF157" s="104"/>
      <c r="AG157" s="104"/>
      <c r="AH157" s="104"/>
    </row>
    <row r="158">
      <c r="A158" s="101">
        <v>7.0</v>
      </c>
      <c r="B158" s="101">
        <v>30011.0</v>
      </c>
      <c r="C158" s="102" t="s">
        <v>428</v>
      </c>
      <c r="D158" s="52" t="s">
        <v>175</v>
      </c>
      <c r="E158" s="52">
        <v>5.0</v>
      </c>
      <c r="F158" s="52" t="s">
        <v>163</v>
      </c>
      <c r="G158" s="52">
        <v>3.0</v>
      </c>
      <c r="H158" s="52" t="s">
        <v>184</v>
      </c>
      <c r="I158" s="52">
        <v>6.0</v>
      </c>
      <c r="J158" s="52" t="s">
        <v>195</v>
      </c>
      <c r="K158" s="52">
        <v>2.0</v>
      </c>
      <c r="L158" s="52" t="s">
        <v>203</v>
      </c>
      <c r="M158" s="52">
        <v>4.0</v>
      </c>
      <c r="N158" s="52" t="s">
        <v>150</v>
      </c>
      <c r="O158" s="52" t="s">
        <v>129</v>
      </c>
      <c r="P158" s="52" t="s">
        <v>133</v>
      </c>
      <c r="Q158" s="52" t="s">
        <v>108</v>
      </c>
      <c r="R158" s="52" t="s">
        <v>116</v>
      </c>
      <c r="S158" s="52" t="s">
        <v>108</v>
      </c>
      <c r="T158" s="65" t="s">
        <v>27</v>
      </c>
      <c r="U158" s="32">
        <v>1.0</v>
      </c>
      <c r="V158" s="32">
        <v>1.0</v>
      </c>
      <c r="W158" s="32">
        <v>1.0</v>
      </c>
      <c r="X158" s="32">
        <v>1.0</v>
      </c>
      <c r="Y158" s="32">
        <v>1.0</v>
      </c>
      <c r="Z158" s="32">
        <v>1.0</v>
      </c>
      <c r="AA158" s="32">
        <v>6.0</v>
      </c>
      <c r="AB158" s="32">
        <v>0.0</v>
      </c>
      <c r="AC158" s="103" t="str">
        <f>IFERROR(__xludf.DUMMYFUNCTION("if($C158="""","""",if(join("" - "",{iferror(filter('Student Groupings'!$A:$A,'Student Groupings'!$B:$B=$C158,'Student Groupings'!$H:$H=""Can't be Together""),"""");iferror(filter('Student Groupings'!$A:$A,'Student Groupings'!$E:$E=$C158,'Student Groupings"&amp;"'!$H:$H=""Can't be Together""),"""")})="" - "","""",join("" - "",{iferror(filter('Student Groupings'!$A:$A,'Student Groupings'!$B:$B=$C158,'Student Groupings'!$H:$H=""Can't be Together""),"""");iferror(filter('Student Groupings'!$A:$A,'Student Groupings'!"&amp;"$E:$E=$C158,'Student Groupings'!$H:$H=""Can't be Together""),"""")})))"),"")</f>
        <v/>
      </c>
      <c r="AD158" s="103" t="str">
        <f>IFERROR(__xludf.DUMMYFUNCTION("if($C158="""","""",if(join("" - "",{iferror(filter('Student Groupings'!$A:$A,'Student Groupings'!$B:$B=$C158,'Student Groupings'!$H:$H=""Must be Together""),"""");iferror(filter('Student Groupings'!$A:$A,'Student Groupings'!$E:$E=$C158,'Student Groupings'"&amp;"!$H:$H=""Must be Together""),"""")})="" - "","""",join("" - "",{iferror(filter('Student Groupings'!$A:$A,'Student Groupings'!$B:$B=$C158,'Student Groupings'!$H:$H=""Must be Together""),"""");iferror(filter('Student Groupings'!$A:$A,'Student Groupings'!$E:"&amp;"$E=$C158,'Student Groupings'!$H:$H=""Must be Together""),"""")})))"),"")</f>
        <v/>
      </c>
      <c r="AE158" s="104"/>
      <c r="AF158" s="104"/>
      <c r="AG158" s="104"/>
      <c r="AH158" s="104"/>
    </row>
    <row r="159">
      <c r="A159" s="101">
        <v>7.0</v>
      </c>
      <c r="B159" s="101">
        <v>30012.0</v>
      </c>
      <c r="C159" s="102" t="s">
        <v>429</v>
      </c>
      <c r="D159" s="52" t="s">
        <v>175</v>
      </c>
      <c r="E159" s="52">
        <v>6.0</v>
      </c>
      <c r="F159" s="52" t="s">
        <v>163</v>
      </c>
      <c r="G159" s="52">
        <v>4.0</v>
      </c>
      <c r="H159" s="52" t="s">
        <v>188</v>
      </c>
      <c r="I159" s="52">
        <v>5.0</v>
      </c>
      <c r="J159" s="52" t="s">
        <v>195</v>
      </c>
      <c r="K159" s="52">
        <v>1.0</v>
      </c>
      <c r="L159" s="52" t="s">
        <v>200</v>
      </c>
      <c r="M159" s="52">
        <v>3.0</v>
      </c>
      <c r="N159" s="52" t="s">
        <v>150</v>
      </c>
      <c r="O159" s="52" t="s">
        <v>119</v>
      </c>
      <c r="P159" s="52" t="s">
        <v>133</v>
      </c>
      <c r="Q159" s="52" t="s">
        <v>125</v>
      </c>
      <c r="R159" s="52" t="s">
        <v>116</v>
      </c>
      <c r="S159" s="52" t="s">
        <v>125</v>
      </c>
      <c r="T159" s="65" t="s">
        <v>27</v>
      </c>
      <c r="U159" s="32">
        <v>1.0</v>
      </c>
      <c r="V159" s="32">
        <v>1.0</v>
      </c>
      <c r="W159" s="32">
        <v>1.0</v>
      </c>
      <c r="X159" s="32">
        <v>1.0</v>
      </c>
      <c r="Y159" s="32">
        <v>1.0</v>
      </c>
      <c r="Z159" s="32">
        <v>1.0</v>
      </c>
      <c r="AA159" s="32">
        <v>6.0</v>
      </c>
      <c r="AB159" s="32">
        <v>0.0</v>
      </c>
      <c r="AC159" s="103" t="str">
        <f>IFERROR(__xludf.DUMMYFUNCTION("if($C159="""","""",if(join("" - "",{iferror(filter('Student Groupings'!$A:$A,'Student Groupings'!$B:$B=$C159,'Student Groupings'!$H:$H=""Can't be Together""),"""");iferror(filter('Student Groupings'!$A:$A,'Student Groupings'!$E:$E=$C159,'Student Groupings"&amp;"'!$H:$H=""Can't be Together""),"""")})="" - "","""",join("" - "",{iferror(filter('Student Groupings'!$A:$A,'Student Groupings'!$B:$B=$C159,'Student Groupings'!$H:$H=""Can't be Together""),"""");iferror(filter('Student Groupings'!$A:$A,'Student Groupings'!"&amp;"$E:$E=$C159,'Student Groupings'!$H:$H=""Can't be Together""),"""")})))"),"")</f>
        <v/>
      </c>
      <c r="AD159" s="103" t="str">
        <f>IFERROR(__xludf.DUMMYFUNCTION("if($C159="""","""",if(join("" - "",{iferror(filter('Student Groupings'!$A:$A,'Student Groupings'!$B:$B=$C159,'Student Groupings'!$H:$H=""Must be Together""),"""");iferror(filter('Student Groupings'!$A:$A,'Student Groupings'!$E:$E=$C159,'Student Groupings'"&amp;"!$H:$H=""Must be Together""),"""")})="" - "","""",join("" - "",{iferror(filter('Student Groupings'!$A:$A,'Student Groupings'!$B:$B=$C159,'Student Groupings'!$H:$H=""Must be Together""),"""");iferror(filter('Student Groupings'!$A:$A,'Student Groupings'!$E:"&amp;"$E=$C159,'Student Groupings'!$H:$H=""Must be Together""),"""")})))"),"")</f>
        <v/>
      </c>
      <c r="AE159" s="104"/>
      <c r="AF159" s="104"/>
      <c r="AG159" s="104"/>
      <c r="AH159" s="104"/>
    </row>
    <row r="160">
      <c r="A160" s="101">
        <v>7.0</v>
      </c>
      <c r="B160" s="101">
        <v>30014.0</v>
      </c>
      <c r="C160" s="102" t="s">
        <v>430</v>
      </c>
      <c r="D160" s="52" t="s">
        <v>175</v>
      </c>
      <c r="E160" s="52">
        <v>2.0</v>
      </c>
      <c r="F160" s="52" t="s">
        <v>163</v>
      </c>
      <c r="G160" s="52">
        <v>6.0</v>
      </c>
      <c r="H160" s="52" t="s">
        <v>184</v>
      </c>
      <c r="I160" s="52">
        <v>3.0</v>
      </c>
      <c r="J160" s="52" t="s">
        <v>195</v>
      </c>
      <c r="K160" s="52">
        <v>5.0</v>
      </c>
      <c r="L160" s="52" t="s">
        <v>200</v>
      </c>
      <c r="M160" s="52">
        <v>4.0</v>
      </c>
      <c r="N160" s="52" t="s">
        <v>154</v>
      </c>
      <c r="O160" s="52" t="s">
        <v>129</v>
      </c>
      <c r="P160" s="52" t="s">
        <v>140</v>
      </c>
      <c r="Q160" s="52" t="s">
        <v>108</v>
      </c>
      <c r="R160" s="52" t="s">
        <v>140</v>
      </c>
      <c r="S160" s="52" t="s">
        <v>108</v>
      </c>
      <c r="T160" s="65" t="s">
        <v>30</v>
      </c>
      <c r="U160" s="32">
        <v>1.0</v>
      </c>
      <c r="V160" s="32">
        <v>1.0</v>
      </c>
      <c r="W160" s="32">
        <v>1.0</v>
      </c>
      <c r="X160" s="32">
        <v>1.0</v>
      </c>
      <c r="Y160" s="32">
        <v>1.0</v>
      </c>
      <c r="Z160" s="32">
        <v>1.0</v>
      </c>
      <c r="AA160" s="32">
        <v>6.0</v>
      </c>
      <c r="AB160" s="32">
        <v>0.0</v>
      </c>
      <c r="AC160" s="103" t="str">
        <f>IFERROR(__xludf.DUMMYFUNCTION("if($C160="""","""",if(join("" - "",{iferror(filter('Student Groupings'!$A:$A,'Student Groupings'!$B:$B=$C160,'Student Groupings'!$H:$H=""Can't be Together""),"""");iferror(filter('Student Groupings'!$A:$A,'Student Groupings'!$E:$E=$C160,'Student Groupings"&amp;"'!$H:$H=""Can't be Together""),"""")})="" - "","""",join("" - "",{iferror(filter('Student Groupings'!$A:$A,'Student Groupings'!$B:$B=$C160,'Student Groupings'!$H:$H=""Can't be Together""),"""");iferror(filter('Student Groupings'!$A:$A,'Student Groupings'!"&amp;"$E:$E=$C160,'Student Groupings'!$H:$H=""Can't be Together""),"""")})))"),"")</f>
        <v/>
      </c>
      <c r="AD160" s="103" t="str">
        <f>IFERROR(__xludf.DUMMYFUNCTION("if($C160="""","""",if(join("" - "",{iferror(filter('Student Groupings'!$A:$A,'Student Groupings'!$B:$B=$C160,'Student Groupings'!$H:$H=""Must be Together""),"""");iferror(filter('Student Groupings'!$A:$A,'Student Groupings'!$E:$E=$C160,'Student Groupings'"&amp;"!$H:$H=""Must be Together""),"""")})="" - "","""",join("" - "",{iferror(filter('Student Groupings'!$A:$A,'Student Groupings'!$B:$B=$C160,'Student Groupings'!$H:$H=""Must be Together""),"""");iferror(filter('Student Groupings'!$A:$A,'Student Groupings'!$E:"&amp;"$E=$C160,'Student Groupings'!$H:$H=""Must be Together""),"""")})))"),"")</f>
        <v/>
      </c>
      <c r="AE160" s="104"/>
      <c r="AF160" s="104"/>
      <c r="AG160" s="104"/>
      <c r="AH160" s="104"/>
    </row>
    <row r="161">
      <c r="A161" s="101">
        <v>7.0</v>
      </c>
      <c r="B161" s="101">
        <v>30013.0</v>
      </c>
      <c r="C161" s="102" t="s">
        <v>431</v>
      </c>
      <c r="D161" s="52" t="s">
        <v>179</v>
      </c>
      <c r="E161" s="52">
        <v>6.0</v>
      </c>
      <c r="F161" s="52" t="s">
        <v>163</v>
      </c>
      <c r="G161" s="52">
        <v>5.0</v>
      </c>
      <c r="H161" s="52" t="s">
        <v>184</v>
      </c>
      <c r="I161" s="52">
        <v>2.0</v>
      </c>
      <c r="J161" s="52" t="s">
        <v>195</v>
      </c>
      <c r="K161" s="52">
        <v>3.0</v>
      </c>
      <c r="L161" s="52" t="s">
        <v>200</v>
      </c>
      <c r="M161" s="52">
        <v>1.0</v>
      </c>
      <c r="N161" s="52" t="s">
        <v>150</v>
      </c>
      <c r="O161" s="52" t="s">
        <v>111</v>
      </c>
      <c r="P161" s="52" t="s">
        <v>140</v>
      </c>
      <c r="Q161" s="52" t="s">
        <v>130</v>
      </c>
      <c r="R161" s="52" t="s">
        <v>140</v>
      </c>
      <c r="S161" s="52" t="s">
        <v>130</v>
      </c>
      <c r="T161" s="65" t="s">
        <v>30</v>
      </c>
      <c r="U161" s="32">
        <v>1.0</v>
      </c>
      <c r="V161" s="32">
        <v>1.0</v>
      </c>
      <c r="W161" s="32">
        <v>1.0</v>
      </c>
      <c r="X161" s="32">
        <v>1.0</v>
      </c>
      <c r="Y161" s="32">
        <v>1.0</v>
      </c>
      <c r="Z161" s="32">
        <v>1.0</v>
      </c>
      <c r="AA161" s="32">
        <v>6.0</v>
      </c>
      <c r="AB161" s="32">
        <v>0.0</v>
      </c>
      <c r="AC161" s="103" t="str">
        <f>IFERROR(__xludf.DUMMYFUNCTION("if($C161="""","""",if(join("" - "",{iferror(filter('Student Groupings'!$A:$A,'Student Groupings'!$B:$B=$C161,'Student Groupings'!$H:$H=""Can't be Together""),"""");iferror(filter('Student Groupings'!$A:$A,'Student Groupings'!$E:$E=$C161,'Student Groupings"&amp;"'!$H:$H=""Can't be Together""),"""")})="" - "","""",join("" - "",{iferror(filter('Student Groupings'!$A:$A,'Student Groupings'!$B:$B=$C161,'Student Groupings'!$H:$H=""Can't be Together""),"""");iferror(filter('Student Groupings'!$A:$A,'Student Groupings'!"&amp;"$E:$E=$C161,'Student Groupings'!$H:$H=""Can't be Together""),"""")})))"),"")</f>
        <v/>
      </c>
      <c r="AD161" s="103" t="str">
        <f>IFERROR(__xludf.DUMMYFUNCTION("if($C161="""","""",if(join("" - "",{iferror(filter('Student Groupings'!$A:$A,'Student Groupings'!$B:$B=$C161,'Student Groupings'!$H:$H=""Must be Together""),"""");iferror(filter('Student Groupings'!$A:$A,'Student Groupings'!$E:$E=$C161,'Student Groupings'"&amp;"!$H:$H=""Must be Together""),"""")})="" - "","""",join("" - "",{iferror(filter('Student Groupings'!$A:$A,'Student Groupings'!$B:$B=$C161,'Student Groupings'!$H:$H=""Must be Together""),"""");iferror(filter('Student Groupings'!$A:$A,'Student Groupings'!$E:"&amp;"$E=$C161,'Student Groupings'!$H:$H=""Must be Together""),"""")})))"),"")</f>
        <v/>
      </c>
      <c r="AE161" s="104"/>
      <c r="AF161" s="104"/>
      <c r="AG161" s="104"/>
      <c r="AH161" s="104"/>
    </row>
    <row r="162">
      <c r="A162" s="101">
        <v>7.0</v>
      </c>
      <c r="B162" s="101">
        <v>29017.0</v>
      </c>
      <c r="C162" s="102" t="s">
        <v>432</v>
      </c>
      <c r="D162" s="52" t="s">
        <v>175</v>
      </c>
      <c r="E162" s="52">
        <v>3.0</v>
      </c>
      <c r="F162" s="52" t="s">
        <v>164</v>
      </c>
      <c r="G162" s="52">
        <v>4.0</v>
      </c>
      <c r="H162" s="52" t="s">
        <v>188</v>
      </c>
      <c r="I162" s="101">
        <v>5.0</v>
      </c>
      <c r="J162" s="52" t="s">
        <v>193</v>
      </c>
      <c r="K162" s="101">
        <v>1.0</v>
      </c>
      <c r="L162" s="52" t="s">
        <v>200</v>
      </c>
      <c r="M162" s="101">
        <v>6.0</v>
      </c>
      <c r="N162" s="52" t="s">
        <v>154</v>
      </c>
      <c r="O162" s="52" t="s">
        <v>119</v>
      </c>
      <c r="P162" s="52" t="s">
        <v>140</v>
      </c>
      <c r="Q162" s="52" t="s">
        <v>125</v>
      </c>
      <c r="R162" s="52" t="s">
        <v>140</v>
      </c>
      <c r="S162" s="52" t="s">
        <v>125</v>
      </c>
      <c r="T162" s="65" t="s">
        <v>30</v>
      </c>
      <c r="U162" s="32">
        <v>1.0</v>
      </c>
      <c r="V162" s="32">
        <v>1.0</v>
      </c>
      <c r="W162" s="32">
        <v>1.0</v>
      </c>
      <c r="X162" s="32">
        <v>1.0</v>
      </c>
      <c r="Y162" s="32">
        <v>1.0</v>
      </c>
      <c r="Z162" s="32">
        <v>1.0</v>
      </c>
      <c r="AA162" s="32">
        <v>6.0</v>
      </c>
      <c r="AB162" s="32">
        <v>0.0</v>
      </c>
      <c r="AC162" s="103" t="str">
        <f>IFERROR(__xludf.DUMMYFUNCTION("if($C162="""","""",if(join("" - "",{iferror(filter('Student Groupings'!$A:$A,'Student Groupings'!$B:$B=$C162,'Student Groupings'!$H:$H=""Can't be Together""),"""");iferror(filter('Student Groupings'!$A:$A,'Student Groupings'!$E:$E=$C162,'Student Groupings"&amp;"'!$H:$H=""Can't be Together""),"""")})="" - "","""",join("" - "",{iferror(filter('Student Groupings'!$A:$A,'Student Groupings'!$B:$B=$C162,'Student Groupings'!$H:$H=""Can't be Together""),"""");iferror(filter('Student Groupings'!$A:$A,'Student Groupings'!"&amp;"$E:$E=$C162,'Student Groupings'!$H:$H=""Can't be Together""),"""")})))"),"")</f>
        <v/>
      </c>
      <c r="AD162" s="103" t="str">
        <f>IFERROR(__xludf.DUMMYFUNCTION("if($C162="""","""",if(join("" - "",{iferror(filter('Student Groupings'!$A:$A,'Student Groupings'!$B:$B=$C162,'Student Groupings'!$H:$H=""Must be Together""),"""");iferror(filter('Student Groupings'!$A:$A,'Student Groupings'!$E:$E=$C162,'Student Groupings'"&amp;"!$H:$H=""Must be Together""),"""")})="" - "","""",join("" - "",{iferror(filter('Student Groupings'!$A:$A,'Student Groupings'!$B:$B=$C162,'Student Groupings'!$H:$H=""Must be Together""),"""");iferror(filter('Student Groupings'!$A:$A,'Student Groupings'!$E:"&amp;"$E=$C162,'Student Groupings'!$H:$H=""Must be Together""),"""")})))"),"")</f>
        <v/>
      </c>
      <c r="AE162" s="104"/>
      <c r="AF162" s="104"/>
      <c r="AG162" s="104"/>
      <c r="AH162" s="104"/>
    </row>
    <row r="163">
      <c r="A163" s="101">
        <v>7.0</v>
      </c>
      <c r="B163" s="101">
        <v>30015.0</v>
      </c>
      <c r="C163" s="102" t="s">
        <v>433</v>
      </c>
      <c r="D163" s="52" t="s">
        <v>175</v>
      </c>
      <c r="E163" s="52">
        <v>2.0</v>
      </c>
      <c r="F163" s="52" t="s">
        <v>163</v>
      </c>
      <c r="G163" s="52">
        <v>6.0</v>
      </c>
      <c r="H163" s="52" t="s">
        <v>184</v>
      </c>
      <c r="I163" s="52">
        <v>3.0</v>
      </c>
      <c r="J163" s="52" t="s">
        <v>195</v>
      </c>
      <c r="K163" s="52">
        <v>5.0</v>
      </c>
      <c r="L163" s="52" t="s">
        <v>200</v>
      </c>
      <c r="M163" s="52">
        <v>4.0</v>
      </c>
      <c r="N163" s="52" t="s">
        <v>154</v>
      </c>
      <c r="O163" s="52" t="s">
        <v>129</v>
      </c>
      <c r="P163" s="52" t="s">
        <v>140</v>
      </c>
      <c r="Q163" s="52" t="s">
        <v>108</v>
      </c>
      <c r="R163" s="52" t="s">
        <v>140</v>
      </c>
      <c r="S163" s="52" t="s">
        <v>108</v>
      </c>
      <c r="T163" s="65" t="s">
        <v>30</v>
      </c>
      <c r="U163" s="32">
        <v>1.0</v>
      </c>
      <c r="V163" s="32">
        <v>1.0</v>
      </c>
      <c r="W163" s="32">
        <v>1.0</v>
      </c>
      <c r="X163" s="32">
        <v>1.0</v>
      </c>
      <c r="Y163" s="32">
        <v>1.0</v>
      </c>
      <c r="Z163" s="32">
        <v>1.0</v>
      </c>
      <c r="AA163" s="32">
        <v>6.0</v>
      </c>
      <c r="AB163" s="32">
        <v>0.0</v>
      </c>
      <c r="AC163" s="103" t="str">
        <f>IFERROR(__xludf.DUMMYFUNCTION("if($C163="""","""",if(join("" - "",{iferror(filter('Student Groupings'!$A:$A,'Student Groupings'!$B:$B=$C163,'Student Groupings'!$H:$H=""Can't be Together""),"""");iferror(filter('Student Groupings'!$A:$A,'Student Groupings'!$E:$E=$C163,'Student Groupings"&amp;"'!$H:$H=""Can't be Together""),"""")})="" - "","""",join("" - "",{iferror(filter('Student Groupings'!$A:$A,'Student Groupings'!$B:$B=$C163,'Student Groupings'!$H:$H=""Can't be Together""),"""");iferror(filter('Student Groupings'!$A:$A,'Student Groupings'!"&amp;"$E:$E=$C163,'Student Groupings'!$H:$H=""Can't be Together""),"""")})))"),"")</f>
        <v/>
      </c>
      <c r="AD163" s="103" t="str">
        <f>IFERROR(__xludf.DUMMYFUNCTION("if($C163="""","""",if(join("" - "",{iferror(filter('Student Groupings'!$A:$A,'Student Groupings'!$B:$B=$C163,'Student Groupings'!$H:$H=""Must be Together""),"""");iferror(filter('Student Groupings'!$A:$A,'Student Groupings'!$E:$E=$C163,'Student Groupings'"&amp;"!$H:$H=""Must be Together""),"""")})="" - "","""",join("" - "",{iferror(filter('Student Groupings'!$A:$A,'Student Groupings'!$B:$B=$C163,'Student Groupings'!$H:$H=""Must be Together""),"""");iferror(filter('Student Groupings'!$A:$A,'Student Groupings'!$E:"&amp;"$E=$C163,'Student Groupings'!$H:$H=""Must be Together""),"""")})))"),"")</f>
        <v/>
      </c>
      <c r="AE163" s="104"/>
      <c r="AF163" s="104"/>
      <c r="AG163" s="104"/>
      <c r="AH163" s="104"/>
    </row>
    <row r="164">
      <c r="A164" s="101">
        <v>7.0</v>
      </c>
      <c r="B164" s="101">
        <v>30018.0</v>
      </c>
      <c r="C164" s="102" t="s">
        <v>434</v>
      </c>
      <c r="D164" s="52" t="s">
        <v>175</v>
      </c>
      <c r="E164" s="52">
        <v>2.0</v>
      </c>
      <c r="F164" s="52" t="s">
        <v>163</v>
      </c>
      <c r="G164" s="52">
        <v>6.0</v>
      </c>
      <c r="H164" s="52" t="s">
        <v>184</v>
      </c>
      <c r="I164" s="52">
        <v>3.0</v>
      </c>
      <c r="J164" s="52" t="s">
        <v>195</v>
      </c>
      <c r="K164" s="52">
        <v>5.0</v>
      </c>
      <c r="L164" s="52" t="s">
        <v>200</v>
      </c>
      <c r="M164" s="52">
        <v>4.0</v>
      </c>
      <c r="N164" s="52" t="s">
        <v>154</v>
      </c>
      <c r="O164" s="52" t="s">
        <v>129</v>
      </c>
      <c r="P164" s="52" t="s">
        <v>140</v>
      </c>
      <c r="Q164" s="52" t="s">
        <v>108</v>
      </c>
      <c r="R164" s="52" t="s">
        <v>140</v>
      </c>
      <c r="S164" s="52" t="s">
        <v>108</v>
      </c>
      <c r="T164" s="65" t="s">
        <v>30</v>
      </c>
      <c r="U164" s="32">
        <v>1.0</v>
      </c>
      <c r="V164" s="32">
        <v>1.0</v>
      </c>
      <c r="W164" s="32">
        <v>1.0</v>
      </c>
      <c r="X164" s="32">
        <v>1.0</v>
      </c>
      <c r="Y164" s="32">
        <v>1.0</v>
      </c>
      <c r="Z164" s="32">
        <v>1.0</v>
      </c>
      <c r="AA164" s="32">
        <v>6.0</v>
      </c>
      <c r="AB164" s="32">
        <v>0.0</v>
      </c>
      <c r="AC164" s="103" t="str">
        <f>IFERROR(__xludf.DUMMYFUNCTION("if($C164="""","""",if(join("" - "",{iferror(filter('Student Groupings'!$A:$A,'Student Groupings'!$B:$B=$C164,'Student Groupings'!$H:$H=""Can't be Together""),"""");iferror(filter('Student Groupings'!$A:$A,'Student Groupings'!$E:$E=$C164,'Student Groupings"&amp;"'!$H:$H=""Can't be Together""),"""")})="" - "","""",join("" - "",{iferror(filter('Student Groupings'!$A:$A,'Student Groupings'!$B:$B=$C164,'Student Groupings'!$H:$H=""Can't be Together""),"""");iferror(filter('Student Groupings'!$A:$A,'Student Groupings'!"&amp;"$E:$E=$C164,'Student Groupings'!$H:$H=""Can't be Together""),"""")})))"),"")</f>
        <v/>
      </c>
      <c r="AD164" s="103" t="str">
        <f>IFERROR(__xludf.DUMMYFUNCTION("if($C164="""","""",if(join("" - "",{iferror(filter('Student Groupings'!$A:$A,'Student Groupings'!$B:$B=$C164,'Student Groupings'!$H:$H=""Must be Together""),"""");iferror(filter('Student Groupings'!$A:$A,'Student Groupings'!$E:$E=$C164,'Student Groupings'"&amp;"!$H:$H=""Must be Together""),"""")})="" - "","""",join("" - "",{iferror(filter('Student Groupings'!$A:$A,'Student Groupings'!$B:$B=$C164,'Student Groupings'!$H:$H=""Must be Together""),"""");iferror(filter('Student Groupings'!$A:$A,'Student Groupings'!$E:"&amp;"$E=$C164,'Student Groupings'!$H:$H=""Must be Together""),"""")})))"),"")</f>
        <v/>
      </c>
      <c r="AE164" s="104"/>
      <c r="AF164" s="104"/>
      <c r="AG164" s="104"/>
      <c r="AH164" s="104"/>
    </row>
    <row r="165">
      <c r="A165" s="101">
        <v>7.0</v>
      </c>
      <c r="B165" s="101">
        <v>30170.0</v>
      </c>
      <c r="C165" s="102" t="s">
        <v>435</v>
      </c>
      <c r="D165" s="52" t="s">
        <v>175</v>
      </c>
      <c r="E165" s="52">
        <v>2.0</v>
      </c>
      <c r="F165" s="52" t="s">
        <v>163</v>
      </c>
      <c r="G165" s="52">
        <v>6.0</v>
      </c>
      <c r="H165" s="52" t="s">
        <v>184</v>
      </c>
      <c r="I165" s="52">
        <v>3.0</v>
      </c>
      <c r="J165" s="52" t="s">
        <v>195</v>
      </c>
      <c r="K165" s="52">
        <v>5.0</v>
      </c>
      <c r="L165" s="52" t="s">
        <v>200</v>
      </c>
      <c r="M165" s="52">
        <v>4.0</v>
      </c>
      <c r="N165" s="52" t="s">
        <v>154</v>
      </c>
      <c r="O165" s="52" t="s">
        <v>129</v>
      </c>
      <c r="P165" s="52" t="s">
        <v>140</v>
      </c>
      <c r="Q165" s="52" t="s">
        <v>108</v>
      </c>
      <c r="R165" s="52" t="s">
        <v>140</v>
      </c>
      <c r="S165" s="52" t="s">
        <v>108</v>
      </c>
      <c r="T165" s="65" t="s">
        <v>8</v>
      </c>
      <c r="U165" s="32">
        <v>1.0</v>
      </c>
      <c r="V165" s="32">
        <v>1.0</v>
      </c>
      <c r="W165" s="32">
        <v>1.0</v>
      </c>
      <c r="X165" s="32">
        <v>1.0</v>
      </c>
      <c r="Y165" s="32">
        <v>1.0</v>
      </c>
      <c r="Z165" s="32">
        <v>1.0</v>
      </c>
      <c r="AA165" s="32">
        <v>6.0</v>
      </c>
      <c r="AB165" s="32">
        <v>0.0</v>
      </c>
      <c r="AC165" s="103" t="str">
        <f>IFERROR(__xludf.DUMMYFUNCTION("if($C165="""","""",if(join("" - "",{iferror(filter('Student Groupings'!$A:$A,'Student Groupings'!$B:$B=$C165,'Student Groupings'!$H:$H=""Can't be Together""),"""");iferror(filter('Student Groupings'!$A:$A,'Student Groupings'!$E:$E=$C165,'Student Groupings"&amp;"'!$H:$H=""Can't be Together""),"""")})="" - "","""",join("" - "",{iferror(filter('Student Groupings'!$A:$A,'Student Groupings'!$B:$B=$C165,'Student Groupings'!$H:$H=""Can't be Together""),"""");iferror(filter('Student Groupings'!$A:$A,'Student Groupings'!"&amp;"$E:$E=$C165,'Student Groupings'!$H:$H=""Can't be Together""),"""")})))"),"")</f>
        <v/>
      </c>
      <c r="AD165" s="103" t="str">
        <f>IFERROR(__xludf.DUMMYFUNCTION("if($C165="""","""",if(join("" - "",{iferror(filter('Student Groupings'!$A:$A,'Student Groupings'!$B:$B=$C165,'Student Groupings'!$H:$H=""Must be Together""),"""");iferror(filter('Student Groupings'!$A:$A,'Student Groupings'!$E:$E=$C165,'Student Groupings'"&amp;"!$H:$H=""Must be Together""),"""")})="" - "","""",join("" - "",{iferror(filter('Student Groupings'!$A:$A,'Student Groupings'!$B:$B=$C165,'Student Groupings'!$H:$H=""Must be Together""),"""");iferror(filter('Student Groupings'!$A:$A,'Student Groupings'!$E:"&amp;"$E=$C165,'Student Groupings'!$H:$H=""Must be Together""),"""")})))"),"")</f>
        <v/>
      </c>
      <c r="AE165" s="104"/>
      <c r="AF165" s="104"/>
      <c r="AG165" s="104"/>
      <c r="AH165" s="104"/>
    </row>
    <row r="166">
      <c r="A166" s="101">
        <v>7.0</v>
      </c>
      <c r="B166" s="101">
        <v>30019.0</v>
      </c>
      <c r="C166" s="102" t="s">
        <v>436</v>
      </c>
      <c r="D166" s="52" t="s">
        <v>175</v>
      </c>
      <c r="E166" s="52">
        <v>6.0</v>
      </c>
      <c r="F166" s="52" t="s">
        <v>163</v>
      </c>
      <c r="G166" s="52">
        <v>5.0</v>
      </c>
      <c r="H166" s="52" t="s">
        <v>184</v>
      </c>
      <c r="I166" s="52">
        <v>2.0</v>
      </c>
      <c r="J166" s="52" t="s">
        <v>195</v>
      </c>
      <c r="K166" s="52">
        <v>1.0</v>
      </c>
      <c r="L166" s="52" t="s">
        <v>200</v>
      </c>
      <c r="M166" s="52">
        <v>3.0</v>
      </c>
      <c r="N166" s="52" t="s">
        <v>150</v>
      </c>
      <c r="O166" s="52" t="s">
        <v>111</v>
      </c>
      <c r="P166" s="52" t="s">
        <v>140</v>
      </c>
      <c r="Q166" s="52" t="s">
        <v>130</v>
      </c>
      <c r="R166" s="52" t="s">
        <v>140</v>
      </c>
      <c r="S166" s="52" t="s">
        <v>130</v>
      </c>
      <c r="T166" s="65" t="s">
        <v>30</v>
      </c>
      <c r="U166" s="32">
        <v>1.0</v>
      </c>
      <c r="V166" s="32">
        <v>1.0</v>
      </c>
      <c r="W166" s="32">
        <v>1.0</v>
      </c>
      <c r="X166" s="32">
        <v>1.0</v>
      </c>
      <c r="Y166" s="32">
        <v>1.0</v>
      </c>
      <c r="Z166" s="32">
        <v>1.0</v>
      </c>
      <c r="AA166" s="32">
        <v>6.0</v>
      </c>
      <c r="AB166" s="32">
        <v>0.0</v>
      </c>
      <c r="AC166" s="103" t="str">
        <f>IFERROR(__xludf.DUMMYFUNCTION("if($C166="""","""",if(join("" - "",{iferror(filter('Student Groupings'!$A:$A,'Student Groupings'!$B:$B=$C166,'Student Groupings'!$H:$H=""Can't be Together""),"""");iferror(filter('Student Groupings'!$A:$A,'Student Groupings'!$E:$E=$C166,'Student Groupings"&amp;"'!$H:$H=""Can't be Together""),"""")})="" - "","""",join("" - "",{iferror(filter('Student Groupings'!$A:$A,'Student Groupings'!$B:$B=$C166,'Student Groupings'!$H:$H=""Can't be Together""),"""");iferror(filter('Student Groupings'!$A:$A,'Student Groupings'!"&amp;"$E:$E=$C166,'Student Groupings'!$H:$H=""Can't be Together""),"""")})))"),"")</f>
        <v/>
      </c>
      <c r="AD166" s="103" t="str">
        <f>IFERROR(__xludf.DUMMYFUNCTION("if($C166="""","""",if(join("" - "",{iferror(filter('Student Groupings'!$A:$A,'Student Groupings'!$B:$B=$C166,'Student Groupings'!$H:$H=""Must be Together""),"""");iferror(filter('Student Groupings'!$A:$A,'Student Groupings'!$E:$E=$C166,'Student Groupings'"&amp;"!$H:$H=""Must be Together""),"""")})="" - "","""",join("" - "",{iferror(filter('Student Groupings'!$A:$A,'Student Groupings'!$B:$B=$C166,'Student Groupings'!$H:$H=""Must be Together""),"""");iferror(filter('Student Groupings'!$A:$A,'Student Groupings'!$E:"&amp;"$E=$C166,'Student Groupings'!$H:$H=""Must be Together""),"""")})))"),"")</f>
        <v/>
      </c>
      <c r="AE166" s="104"/>
      <c r="AF166" s="104"/>
      <c r="AG166" s="104"/>
      <c r="AH166" s="104"/>
    </row>
    <row r="167">
      <c r="A167" s="101">
        <v>7.0</v>
      </c>
      <c r="B167" s="101">
        <v>30021.0</v>
      </c>
      <c r="C167" s="102" t="s">
        <v>437</v>
      </c>
      <c r="D167" s="52" t="s">
        <v>175</v>
      </c>
      <c r="E167" s="52">
        <v>4.0</v>
      </c>
      <c r="F167" s="52" t="s">
        <v>164</v>
      </c>
      <c r="G167" s="52">
        <v>3.0</v>
      </c>
      <c r="H167" s="52" t="s">
        <v>184</v>
      </c>
      <c r="I167" s="52">
        <v>1.0</v>
      </c>
      <c r="J167" s="52" t="s">
        <v>193</v>
      </c>
      <c r="K167" s="52">
        <v>5.0</v>
      </c>
      <c r="L167" s="52" t="s">
        <v>200</v>
      </c>
      <c r="M167" s="52">
        <v>2.0</v>
      </c>
      <c r="N167" s="52" t="s">
        <v>150</v>
      </c>
      <c r="O167" s="52" t="s">
        <v>109</v>
      </c>
      <c r="P167" s="52" t="s">
        <v>116</v>
      </c>
      <c r="Q167" s="52" t="s">
        <v>120</v>
      </c>
      <c r="R167" s="52" t="s">
        <v>133</v>
      </c>
      <c r="S167" s="52" t="s">
        <v>120</v>
      </c>
      <c r="T167" s="65" t="s">
        <v>27</v>
      </c>
      <c r="U167" s="32">
        <v>1.0</v>
      </c>
      <c r="V167" s="32">
        <v>1.0</v>
      </c>
      <c r="W167" s="32">
        <v>1.0</v>
      </c>
      <c r="X167" s="32">
        <v>1.0</v>
      </c>
      <c r="Y167" s="32">
        <v>1.0</v>
      </c>
      <c r="Z167" s="32">
        <v>1.0</v>
      </c>
      <c r="AA167" s="32">
        <v>6.0</v>
      </c>
      <c r="AB167" s="32">
        <v>0.0</v>
      </c>
      <c r="AC167" s="103" t="str">
        <f>IFERROR(__xludf.DUMMYFUNCTION("if($C167="""","""",if(join("" - "",{iferror(filter('Student Groupings'!$A:$A,'Student Groupings'!$B:$B=$C167,'Student Groupings'!$H:$H=""Can't be Together""),"""");iferror(filter('Student Groupings'!$A:$A,'Student Groupings'!$E:$E=$C167,'Student Groupings"&amp;"'!$H:$H=""Can't be Together""),"""")})="" - "","""",join("" - "",{iferror(filter('Student Groupings'!$A:$A,'Student Groupings'!$B:$B=$C167,'Student Groupings'!$H:$H=""Can't be Together""),"""");iferror(filter('Student Groupings'!$A:$A,'Student Groupings'!"&amp;"$E:$E=$C167,'Student Groupings'!$H:$H=""Can't be Together""),"""")})))"),"")</f>
        <v/>
      </c>
      <c r="AD167" s="103" t="str">
        <f>IFERROR(__xludf.DUMMYFUNCTION("if($C167="""","""",if(join("" - "",{iferror(filter('Student Groupings'!$A:$A,'Student Groupings'!$B:$B=$C167,'Student Groupings'!$H:$H=""Must be Together""),"""");iferror(filter('Student Groupings'!$A:$A,'Student Groupings'!$E:$E=$C167,'Student Groupings'"&amp;"!$H:$H=""Must be Together""),"""")})="" - "","""",join("" - "",{iferror(filter('Student Groupings'!$A:$A,'Student Groupings'!$B:$B=$C167,'Student Groupings'!$H:$H=""Must be Together""),"""");iferror(filter('Student Groupings'!$A:$A,'Student Groupings'!$E:"&amp;"$E=$C167,'Student Groupings'!$H:$H=""Must be Together""),"""")})))"),"")</f>
        <v/>
      </c>
      <c r="AE167" s="104"/>
      <c r="AF167" s="104"/>
      <c r="AG167" s="104"/>
      <c r="AH167" s="104"/>
    </row>
    <row r="168">
      <c r="A168" s="101">
        <v>7.0</v>
      </c>
      <c r="B168" s="101">
        <v>30022.0</v>
      </c>
      <c r="C168" s="102" t="s">
        <v>438</v>
      </c>
      <c r="D168" s="52" t="s">
        <v>179</v>
      </c>
      <c r="E168" s="52">
        <v>6.0</v>
      </c>
      <c r="F168" s="52" t="s">
        <v>164</v>
      </c>
      <c r="G168" s="52">
        <v>4.0</v>
      </c>
      <c r="H168" s="52" t="s">
        <v>188</v>
      </c>
      <c r="I168" s="52">
        <v>5.0</v>
      </c>
      <c r="J168" s="52" t="s">
        <v>195</v>
      </c>
      <c r="K168" s="52">
        <v>3.0</v>
      </c>
      <c r="L168" s="52" t="s">
        <v>200</v>
      </c>
      <c r="M168" s="52">
        <v>1.0</v>
      </c>
      <c r="N168" s="52" t="s">
        <v>154</v>
      </c>
      <c r="O168" s="52" t="s">
        <v>119</v>
      </c>
      <c r="P168" s="52" t="s">
        <v>140</v>
      </c>
      <c r="Q168" s="52" t="s">
        <v>125</v>
      </c>
      <c r="R168" s="52" t="s">
        <v>140</v>
      </c>
      <c r="S168" s="52" t="s">
        <v>125</v>
      </c>
      <c r="T168" s="65" t="s">
        <v>30</v>
      </c>
      <c r="U168" s="32">
        <v>1.0</v>
      </c>
      <c r="V168" s="32">
        <v>1.0</v>
      </c>
      <c r="W168" s="32">
        <v>1.0</v>
      </c>
      <c r="X168" s="32">
        <v>1.0</v>
      </c>
      <c r="Y168" s="32">
        <v>1.0</v>
      </c>
      <c r="Z168" s="32">
        <v>1.0</v>
      </c>
      <c r="AA168" s="32">
        <v>6.0</v>
      </c>
      <c r="AB168" s="32">
        <v>0.0</v>
      </c>
      <c r="AC168" s="103" t="str">
        <f>IFERROR(__xludf.DUMMYFUNCTION("if($C168="""","""",if(join("" - "",{iferror(filter('Student Groupings'!$A:$A,'Student Groupings'!$B:$B=$C168,'Student Groupings'!$H:$H=""Can't be Together""),"""");iferror(filter('Student Groupings'!$A:$A,'Student Groupings'!$E:$E=$C168,'Student Groupings"&amp;"'!$H:$H=""Can't be Together""),"""")})="" - "","""",join("" - "",{iferror(filter('Student Groupings'!$A:$A,'Student Groupings'!$B:$B=$C168,'Student Groupings'!$H:$H=""Can't be Together""),"""");iferror(filter('Student Groupings'!$A:$A,'Student Groupings'!"&amp;"$E:$E=$C168,'Student Groupings'!$H:$H=""Can't be Together""),"""")})))"),"")</f>
        <v/>
      </c>
      <c r="AD168" s="103" t="str">
        <f>IFERROR(__xludf.DUMMYFUNCTION("if($C168="""","""",if(join("" - "",{iferror(filter('Student Groupings'!$A:$A,'Student Groupings'!$B:$B=$C168,'Student Groupings'!$H:$H=""Must be Together""),"""");iferror(filter('Student Groupings'!$A:$A,'Student Groupings'!$E:$E=$C168,'Student Groupings'"&amp;"!$H:$H=""Must be Together""),"""")})="" - "","""",join("" - "",{iferror(filter('Student Groupings'!$A:$A,'Student Groupings'!$B:$B=$C168,'Student Groupings'!$H:$H=""Must be Together""),"""");iferror(filter('Student Groupings'!$A:$A,'Student Groupings'!$E:"&amp;"$E=$C168,'Student Groupings'!$H:$H=""Must be Together""),"""")})))"),"")</f>
        <v/>
      </c>
      <c r="AE168" s="105"/>
      <c r="AF168" s="105"/>
      <c r="AG168" s="105"/>
      <c r="AH168" s="105"/>
    </row>
    <row r="169">
      <c r="A169" s="101">
        <v>7.0</v>
      </c>
      <c r="B169" s="101">
        <v>30023.0</v>
      </c>
      <c r="C169" s="102" t="s">
        <v>439</v>
      </c>
      <c r="D169" s="52" t="s">
        <v>175</v>
      </c>
      <c r="E169" s="52">
        <v>5.0</v>
      </c>
      <c r="F169" s="52" t="s">
        <v>163</v>
      </c>
      <c r="G169" s="52">
        <v>3.0</v>
      </c>
      <c r="H169" s="52" t="s">
        <v>184</v>
      </c>
      <c r="I169" s="52">
        <v>6.0</v>
      </c>
      <c r="J169" s="52" t="s">
        <v>195</v>
      </c>
      <c r="K169" s="52">
        <v>2.0</v>
      </c>
      <c r="L169" s="52" t="s">
        <v>203</v>
      </c>
      <c r="M169" s="52">
        <v>4.0</v>
      </c>
      <c r="N169" s="52" t="s">
        <v>150</v>
      </c>
      <c r="O169" s="52" t="s">
        <v>129</v>
      </c>
      <c r="P169" s="52" t="s">
        <v>116</v>
      </c>
      <c r="Q169" s="52" t="s">
        <v>108</v>
      </c>
      <c r="R169" s="52" t="s">
        <v>133</v>
      </c>
      <c r="S169" s="52" t="s">
        <v>108</v>
      </c>
      <c r="T169" s="65" t="s">
        <v>27</v>
      </c>
      <c r="U169" s="32">
        <v>1.0</v>
      </c>
      <c r="V169" s="32">
        <v>1.0</v>
      </c>
      <c r="W169" s="32">
        <v>1.0</v>
      </c>
      <c r="X169" s="32">
        <v>1.0</v>
      </c>
      <c r="Y169" s="32">
        <v>1.0</v>
      </c>
      <c r="Z169" s="32">
        <v>1.0</v>
      </c>
      <c r="AA169" s="32">
        <v>6.0</v>
      </c>
      <c r="AB169" s="32">
        <v>0.0</v>
      </c>
      <c r="AC169" s="103" t="str">
        <f>IFERROR(__xludf.DUMMYFUNCTION("if($C169="""","""",if(join("" - "",{iferror(filter('Student Groupings'!$A:$A,'Student Groupings'!$B:$B=$C169,'Student Groupings'!$H:$H=""Can't be Together""),"""");iferror(filter('Student Groupings'!$A:$A,'Student Groupings'!$E:$E=$C169,'Student Groupings"&amp;"'!$H:$H=""Can't be Together""),"""")})="" - "","""",join("" - "",{iferror(filter('Student Groupings'!$A:$A,'Student Groupings'!$B:$B=$C169,'Student Groupings'!$H:$H=""Can't be Together""),"""");iferror(filter('Student Groupings'!$A:$A,'Student Groupings'!"&amp;"$E:$E=$C169,'Student Groupings'!$H:$H=""Can't be Together""),"""")})))"),"")</f>
        <v/>
      </c>
      <c r="AD169" s="103" t="str">
        <f>IFERROR(__xludf.DUMMYFUNCTION("if($C169="""","""",if(join("" - "",{iferror(filter('Student Groupings'!$A:$A,'Student Groupings'!$B:$B=$C169,'Student Groupings'!$H:$H=""Must be Together""),"""");iferror(filter('Student Groupings'!$A:$A,'Student Groupings'!$E:$E=$C169,'Student Groupings'"&amp;"!$H:$H=""Must be Together""),"""")})="" - "","""",join("" - "",{iferror(filter('Student Groupings'!$A:$A,'Student Groupings'!$B:$B=$C169,'Student Groupings'!$H:$H=""Must be Together""),"""");iferror(filter('Student Groupings'!$A:$A,'Student Groupings'!$E:"&amp;"$E=$C169,'Student Groupings'!$H:$H=""Must be Together""),"""")})))"),"")</f>
        <v/>
      </c>
      <c r="AE169" s="104"/>
      <c r="AF169" s="104"/>
      <c r="AG169" s="104"/>
      <c r="AH169" s="104"/>
    </row>
    <row r="170">
      <c r="A170" s="101">
        <v>7.0</v>
      </c>
      <c r="B170" s="101">
        <v>30024.0</v>
      </c>
      <c r="C170" s="102" t="s">
        <v>440</v>
      </c>
      <c r="D170" s="52" t="s">
        <v>175</v>
      </c>
      <c r="E170" s="52">
        <v>4.0</v>
      </c>
      <c r="F170" s="52" t="s">
        <v>164</v>
      </c>
      <c r="G170" s="52">
        <v>3.0</v>
      </c>
      <c r="H170" s="52" t="s">
        <v>184</v>
      </c>
      <c r="I170" s="52">
        <v>1.0</v>
      </c>
      <c r="J170" s="52" t="s">
        <v>193</v>
      </c>
      <c r="K170" s="52">
        <v>5.0</v>
      </c>
      <c r="L170" s="52" t="s">
        <v>200</v>
      </c>
      <c r="M170" s="52">
        <v>2.0</v>
      </c>
      <c r="N170" s="52" t="s">
        <v>150</v>
      </c>
      <c r="O170" s="52" t="s">
        <v>109</v>
      </c>
      <c r="P170" s="52" t="s">
        <v>116</v>
      </c>
      <c r="Q170" s="52" t="s">
        <v>120</v>
      </c>
      <c r="R170" s="52" t="s">
        <v>133</v>
      </c>
      <c r="S170" s="52" t="s">
        <v>120</v>
      </c>
      <c r="T170" s="65" t="s">
        <v>27</v>
      </c>
      <c r="U170" s="32">
        <v>1.0</v>
      </c>
      <c r="V170" s="32">
        <v>1.0</v>
      </c>
      <c r="W170" s="32">
        <v>1.0</v>
      </c>
      <c r="X170" s="32">
        <v>1.0</v>
      </c>
      <c r="Y170" s="32">
        <v>1.0</v>
      </c>
      <c r="Z170" s="32">
        <v>1.0</v>
      </c>
      <c r="AA170" s="32">
        <v>6.0</v>
      </c>
      <c r="AB170" s="32">
        <v>0.0</v>
      </c>
      <c r="AC170" s="103" t="str">
        <f>IFERROR(__xludf.DUMMYFUNCTION("if($C170="""","""",if(join("" - "",{iferror(filter('Student Groupings'!$A:$A,'Student Groupings'!$B:$B=$C170,'Student Groupings'!$H:$H=""Can't be Together""),"""");iferror(filter('Student Groupings'!$A:$A,'Student Groupings'!$E:$E=$C170,'Student Groupings"&amp;"'!$H:$H=""Can't be Together""),"""")})="" - "","""",join("" - "",{iferror(filter('Student Groupings'!$A:$A,'Student Groupings'!$B:$B=$C170,'Student Groupings'!$H:$H=""Can't be Together""),"""");iferror(filter('Student Groupings'!$A:$A,'Student Groupings'!"&amp;"$E:$E=$C170,'Student Groupings'!$H:$H=""Can't be Together""),"""")})))"),"")</f>
        <v/>
      </c>
      <c r="AD170" s="103" t="str">
        <f>IFERROR(__xludf.DUMMYFUNCTION("if($C170="""","""",if(join("" - "",{iferror(filter('Student Groupings'!$A:$A,'Student Groupings'!$B:$B=$C170,'Student Groupings'!$H:$H=""Must be Together""),"""");iferror(filter('Student Groupings'!$A:$A,'Student Groupings'!$E:$E=$C170,'Student Groupings'"&amp;"!$H:$H=""Must be Together""),"""")})="" - "","""",join("" - "",{iferror(filter('Student Groupings'!$A:$A,'Student Groupings'!$B:$B=$C170,'Student Groupings'!$H:$H=""Must be Together""),"""");iferror(filter('Student Groupings'!$A:$A,'Student Groupings'!$E:"&amp;"$E=$C170,'Student Groupings'!$H:$H=""Must be Together""),"""")})))"),"")</f>
        <v/>
      </c>
      <c r="AE170" s="104"/>
      <c r="AF170" s="104"/>
      <c r="AG170" s="104"/>
      <c r="AH170" s="104"/>
    </row>
    <row r="171">
      <c r="A171" s="101">
        <v>7.0</v>
      </c>
      <c r="B171" s="101">
        <v>30025.0</v>
      </c>
      <c r="C171" s="102" t="s">
        <v>441</v>
      </c>
      <c r="D171" s="52" t="s">
        <v>175</v>
      </c>
      <c r="E171" s="52">
        <v>5.0</v>
      </c>
      <c r="F171" s="52" t="s">
        <v>163</v>
      </c>
      <c r="G171" s="52">
        <v>3.0</v>
      </c>
      <c r="H171" s="52" t="s">
        <v>184</v>
      </c>
      <c r="I171" s="52">
        <v>6.0</v>
      </c>
      <c r="J171" s="52" t="s">
        <v>195</v>
      </c>
      <c r="K171" s="52">
        <v>2.0</v>
      </c>
      <c r="L171" s="52" t="s">
        <v>203</v>
      </c>
      <c r="M171" s="52">
        <v>4.0</v>
      </c>
      <c r="N171" s="52" t="s">
        <v>150</v>
      </c>
      <c r="O171" s="52" t="s">
        <v>129</v>
      </c>
      <c r="P171" s="52" t="s">
        <v>133</v>
      </c>
      <c r="Q171" s="52" t="s">
        <v>108</v>
      </c>
      <c r="R171" s="52" t="s">
        <v>116</v>
      </c>
      <c r="S171" s="52" t="s">
        <v>108</v>
      </c>
      <c r="T171" s="65" t="s">
        <v>27</v>
      </c>
      <c r="U171" s="32">
        <v>1.0</v>
      </c>
      <c r="V171" s="32">
        <v>1.0</v>
      </c>
      <c r="W171" s="32">
        <v>1.0</v>
      </c>
      <c r="X171" s="32">
        <v>1.0</v>
      </c>
      <c r="Y171" s="32">
        <v>1.0</v>
      </c>
      <c r="Z171" s="32">
        <v>1.0</v>
      </c>
      <c r="AA171" s="32">
        <v>6.0</v>
      </c>
      <c r="AB171" s="32">
        <v>0.0</v>
      </c>
      <c r="AC171" s="103" t="str">
        <f>IFERROR(__xludf.DUMMYFUNCTION("if($C171="""","""",if(join("" - "",{iferror(filter('Student Groupings'!$A:$A,'Student Groupings'!$B:$B=$C171,'Student Groupings'!$H:$H=""Can't be Together""),"""");iferror(filter('Student Groupings'!$A:$A,'Student Groupings'!$E:$E=$C171,'Student Groupings"&amp;"'!$H:$H=""Can't be Together""),"""")})="" - "","""",join("" - "",{iferror(filter('Student Groupings'!$A:$A,'Student Groupings'!$B:$B=$C171,'Student Groupings'!$H:$H=""Can't be Together""),"""");iferror(filter('Student Groupings'!$A:$A,'Student Groupings'!"&amp;"$E:$E=$C171,'Student Groupings'!$H:$H=""Can't be Together""),"""")})))"),"")</f>
        <v/>
      </c>
      <c r="AD171" s="103" t="str">
        <f>IFERROR(__xludf.DUMMYFUNCTION("if($C171="""","""",if(join("" - "",{iferror(filter('Student Groupings'!$A:$A,'Student Groupings'!$B:$B=$C171,'Student Groupings'!$H:$H=""Must be Together""),"""");iferror(filter('Student Groupings'!$A:$A,'Student Groupings'!$E:$E=$C171,'Student Groupings'"&amp;"!$H:$H=""Must be Together""),"""")})="" - "","""",join("" - "",{iferror(filter('Student Groupings'!$A:$A,'Student Groupings'!$B:$B=$C171,'Student Groupings'!$H:$H=""Must be Together""),"""");iferror(filter('Student Groupings'!$A:$A,'Student Groupings'!$E:"&amp;"$E=$C171,'Student Groupings'!$H:$H=""Must be Together""),"""")})))"),"")</f>
        <v/>
      </c>
      <c r="AE171" s="104"/>
      <c r="AF171" s="104"/>
      <c r="AG171" s="104"/>
      <c r="AH171" s="104"/>
    </row>
    <row r="172">
      <c r="A172" s="101">
        <v>7.0</v>
      </c>
      <c r="B172" s="101">
        <v>30026.0</v>
      </c>
      <c r="C172" s="102" t="s">
        <v>442</v>
      </c>
      <c r="D172" s="52" t="s">
        <v>175</v>
      </c>
      <c r="E172" s="52">
        <v>4.0</v>
      </c>
      <c r="F172" s="52" t="s">
        <v>164</v>
      </c>
      <c r="G172" s="52">
        <v>3.0</v>
      </c>
      <c r="H172" s="52" t="s">
        <v>184</v>
      </c>
      <c r="I172" s="52">
        <v>1.0</v>
      </c>
      <c r="J172" s="52" t="s">
        <v>193</v>
      </c>
      <c r="K172" s="52">
        <v>5.0</v>
      </c>
      <c r="L172" s="52" t="s">
        <v>200</v>
      </c>
      <c r="M172" s="52">
        <v>2.0</v>
      </c>
      <c r="N172" s="52" t="s">
        <v>150</v>
      </c>
      <c r="O172" s="52" t="s">
        <v>109</v>
      </c>
      <c r="P172" s="52" t="s">
        <v>116</v>
      </c>
      <c r="Q172" s="52" t="s">
        <v>120</v>
      </c>
      <c r="R172" s="52" t="s">
        <v>133</v>
      </c>
      <c r="S172" s="52" t="s">
        <v>120</v>
      </c>
      <c r="T172" s="65" t="s">
        <v>27</v>
      </c>
      <c r="U172" s="32">
        <v>1.0</v>
      </c>
      <c r="V172" s="32">
        <v>1.0</v>
      </c>
      <c r="W172" s="32">
        <v>1.0</v>
      </c>
      <c r="X172" s="32">
        <v>1.0</v>
      </c>
      <c r="Y172" s="32">
        <v>1.0</v>
      </c>
      <c r="Z172" s="32">
        <v>1.0</v>
      </c>
      <c r="AA172" s="32">
        <v>6.0</v>
      </c>
      <c r="AB172" s="32">
        <v>0.0</v>
      </c>
      <c r="AC172" s="103" t="str">
        <f>IFERROR(__xludf.DUMMYFUNCTION("if($C172="""","""",if(join("" - "",{iferror(filter('Student Groupings'!$A:$A,'Student Groupings'!$B:$B=$C172,'Student Groupings'!$H:$H=""Can't be Together""),"""");iferror(filter('Student Groupings'!$A:$A,'Student Groupings'!$E:$E=$C172,'Student Groupings"&amp;"'!$H:$H=""Can't be Together""),"""")})="" - "","""",join("" - "",{iferror(filter('Student Groupings'!$A:$A,'Student Groupings'!$B:$B=$C172,'Student Groupings'!$H:$H=""Can't be Together""),"""");iferror(filter('Student Groupings'!$A:$A,'Student Groupings'!"&amp;"$E:$E=$C172,'Student Groupings'!$H:$H=""Can't be Together""),"""")})))"),"")</f>
        <v/>
      </c>
      <c r="AD172" s="103" t="str">
        <f>IFERROR(__xludf.DUMMYFUNCTION("if($C172="""","""",if(join("" - "",{iferror(filter('Student Groupings'!$A:$A,'Student Groupings'!$B:$B=$C172,'Student Groupings'!$H:$H=""Must be Together""),"""");iferror(filter('Student Groupings'!$A:$A,'Student Groupings'!$E:$E=$C172,'Student Groupings'"&amp;"!$H:$H=""Must be Together""),"""")})="" - "","""",join("" - "",{iferror(filter('Student Groupings'!$A:$A,'Student Groupings'!$B:$B=$C172,'Student Groupings'!$H:$H=""Must be Together""),"""");iferror(filter('Student Groupings'!$A:$A,'Student Groupings'!$E:"&amp;"$E=$C172,'Student Groupings'!$H:$H=""Must be Together""),"""")})))"),"")</f>
        <v/>
      </c>
      <c r="AE172" s="104"/>
      <c r="AF172" s="104"/>
      <c r="AG172" s="104"/>
      <c r="AH172" s="104"/>
    </row>
    <row r="173">
      <c r="A173" s="101">
        <v>7.0</v>
      </c>
      <c r="B173" s="101">
        <v>30027.0</v>
      </c>
      <c r="C173" s="102" t="s">
        <v>443</v>
      </c>
      <c r="D173" s="52" t="s">
        <v>175</v>
      </c>
      <c r="E173" s="52">
        <v>5.0</v>
      </c>
      <c r="F173" s="52" t="s">
        <v>163</v>
      </c>
      <c r="G173" s="52">
        <v>3.0</v>
      </c>
      <c r="H173" s="52" t="s">
        <v>184</v>
      </c>
      <c r="I173" s="52">
        <v>6.0</v>
      </c>
      <c r="J173" s="52" t="s">
        <v>195</v>
      </c>
      <c r="K173" s="52">
        <v>2.0</v>
      </c>
      <c r="L173" s="52" t="s">
        <v>203</v>
      </c>
      <c r="M173" s="52">
        <v>4.0</v>
      </c>
      <c r="N173" s="52" t="s">
        <v>150</v>
      </c>
      <c r="O173" s="52" t="s">
        <v>129</v>
      </c>
      <c r="P173" s="52" t="s">
        <v>116</v>
      </c>
      <c r="Q173" s="52" t="s">
        <v>108</v>
      </c>
      <c r="R173" s="52" t="s">
        <v>133</v>
      </c>
      <c r="S173" s="52" t="s">
        <v>108</v>
      </c>
      <c r="T173" s="65" t="s">
        <v>27</v>
      </c>
      <c r="U173" s="32">
        <v>1.0</v>
      </c>
      <c r="V173" s="32">
        <v>1.0</v>
      </c>
      <c r="W173" s="32">
        <v>1.0</v>
      </c>
      <c r="X173" s="32">
        <v>1.0</v>
      </c>
      <c r="Y173" s="32">
        <v>1.0</v>
      </c>
      <c r="Z173" s="32">
        <v>1.0</v>
      </c>
      <c r="AA173" s="32">
        <v>6.0</v>
      </c>
      <c r="AB173" s="32">
        <v>0.0</v>
      </c>
      <c r="AC173" s="103" t="str">
        <f>IFERROR(__xludf.DUMMYFUNCTION("if($C173="""","""",if(join("" - "",{iferror(filter('Student Groupings'!$A:$A,'Student Groupings'!$B:$B=$C173,'Student Groupings'!$H:$H=""Can't be Together""),"""");iferror(filter('Student Groupings'!$A:$A,'Student Groupings'!$E:$E=$C173,'Student Groupings"&amp;"'!$H:$H=""Can't be Together""),"""")})="" - "","""",join("" - "",{iferror(filter('Student Groupings'!$A:$A,'Student Groupings'!$B:$B=$C173,'Student Groupings'!$H:$H=""Can't be Together""),"""");iferror(filter('Student Groupings'!$A:$A,'Student Groupings'!"&amp;"$E:$E=$C173,'Student Groupings'!$H:$H=""Can't be Together""),"""")})))"),"")</f>
        <v/>
      </c>
      <c r="AD173" s="103" t="str">
        <f>IFERROR(__xludf.DUMMYFUNCTION("if($C173="""","""",if(join("" - "",{iferror(filter('Student Groupings'!$A:$A,'Student Groupings'!$B:$B=$C173,'Student Groupings'!$H:$H=""Must be Together""),"""");iferror(filter('Student Groupings'!$A:$A,'Student Groupings'!$E:$E=$C173,'Student Groupings'"&amp;"!$H:$H=""Must be Together""),"""")})="" - "","""",join("" - "",{iferror(filter('Student Groupings'!$A:$A,'Student Groupings'!$B:$B=$C173,'Student Groupings'!$H:$H=""Must be Together""),"""");iferror(filter('Student Groupings'!$A:$A,'Student Groupings'!$E:"&amp;"$E=$C173,'Student Groupings'!$H:$H=""Must be Together""),"""")})))"),"")</f>
        <v/>
      </c>
      <c r="AE173" s="104"/>
      <c r="AF173" s="104"/>
      <c r="AG173" s="104"/>
      <c r="AH173" s="104"/>
    </row>
    <row r="174">
      <c r="A174" s="101">
        <v>7.0</v>
      </c>
      <c r="B174" s="101">
        <v>30135.0</v>
      </c>
      <c r="C174" s="102" t="s">
        <v>444</v>
      </c>
      <c r="D174" s="52" t="s">
        <v>175</v>
      </c>
      <c r="E174" s="52">
        <v>4.0</v>
      </c>
      <c r="F174" s="52" t="s">
        <v>164</v>
      </c>
      <c r="G174" s="52">
        <v>3.0</v>
      </c>
      <c r="H174" s="52" t="s">
        <v>184</v>
      </c>
      <c r="I174" s="52">
        <v>1.0</v>
      </c>
      <c r="J174" s="52" t="s">
        <v>193</v>
      </c>
      <c r="K174" s="52">
        <v>5.0</v>
      </c>
      <c r="L174" s="52" t="s">
        <v>200</v>
      </c>
      <c r="M174" s="52">
        <v>2.0</v>
      </c>
      <c r="N174" s="52" t="s">
        <v>150</v>
      </c>
      <c r="O174" s="52" t="s">
        <v>109</v>
      </c>
      <c r="P174" s="52" t="s">
        <v>116</v>
      </c>
      <c r="Q174" s="52" t="s">
        <v>120</v>
      </c>
      <c r="R174" s="52" t="s">
        <v>133</v>
      </c>
      <c r="S174" s="52" t="s">
        <v>120</v>
      </c>
      <c r="T174" s="65" t="s">
        <v>27</v>
      </c>
      <c r="U174" s="32">
        <v>1.0</v>
      </c>
      <c r="V174" s="32">
        <v>1.0</v>
      </c>
      <c r="W174" s="32">
        <v>1.0</v>
      </c>
      <c r="X174" s="32">
        <v>1.0</v>
      </c>
      <c r="Y174" s="32">
        <v>1.0</v>
      </c>
      <c r="Z174" s="32">
        <v>1.0</v>
      </c>
      <c r="AA174" s="32">
        <v>6.0</v>
      </c>
      <c r="AB174" s="32">
        <v>0.0</v>
      </c>
      <c r="AC174" s="103" t="str">
        <f>IFERROR(__xludf.DUMMYFUNCTION("if($C174="""","""",if(join("" - "",{iferror(filter('Student Groupings'!$A:$A,'Student Groupings'!$B:$B=$C174,'Student Groupings'!$H:$H=""Can't be Together""),"""");iferror(filter('Student Groupings'!$A:$A,'Student Groupings'!$E:$E=$C174,'Student Groupings"&amp;"'!$H:$H=""Can't be Together""),"""")})="" - "","""",join("" - "",{iferror(filter('Student Groupings'!$A:$A,'Student Groupings'!$B:$B=$C174,'Student Groupings'!$H:$H=""Can't be Together""),"""");iferror(filter('Student Groupings'!$A:$A,'Student Groupings'!"&amp;"$E:$E=$C174,'Student Groupings'!$H:$H=""Can't be Together""),"""")})))"),"")</f>
        <v/>
      </c>
      <c r="AD174" s="103" t="str">
        <f>IFERROR(__xludf.DUMMYFUNCTION("if($C174="""","""",if(join("" - "",{iferror(filter('Student Groupings'!$A:$A,'Student Groupings'!$B:$B=$C174,'Student Groupings'!$H:$H=""Must be Together""),"""");iferror(filter('Student Groupings'!$A:$A,'Student Groupings'!$E:$E=$C174,'Student Groupings'"&amp;"!$H:$H=""Must be Together""),"""")})="" - "","""",join("" - "",{iferror(filter('Student Groupings'!$A:$A,'Student Groupings'!$B:$B=$C174,'Student Groupings'!$H:$H=""Must be Together""),"""");iferror(filter('Student Groupings'!$A:$A,'Student Groupings'!$E:"&amp;"$E=$C174,'Student Groupings'!$H:$H=""Must be Together""),"""")})))"),"")</f>
        <v/>
      </c>
      <c r="AE174" s="104"/>
      <c r="AF174" s="104"/>
      <c r="AG174" s="104"/>
      <c r="AH174" s="104"/>
    </row>
    <row r="175">
      <c r="A175" s="101">
        <v>7.0</v>
      </c>
      <c r="B175" s="101">
        <v>30028.0</v>
      </c>
      <c r="C175" s="102" t="s">
        <v>445</v>
      </c>
      <c r="D175" s="52" t="s">
        <v>175</v>
      </c>
      <c r="E175" s="52">
        <v>3.0</v>
      </c>
      <c r="F175" s="52" t="s">
        <v>163</v>
      </c>
      <c r="G175" s="52">
        <v>4.0</v>
      </c>
      <c r="H175" s="52" t="s">
        <v>184</v>
      </c>
      <c r="I175" s="52">
        <v>5.0</v>
      </c>
      <c r="J175" s="52" t="s">
        <v>193</v>
      </c>
      <c r="K175" s="52">
        <v>1.0</v>
      </c>
      <c r="L175" s="52" t="s">
        <v>200</v>
      </c>
      <c r="M175" s="52">
        <v>6.0</v>
      </c>
      <c r="N175" s="52" t="s">
        <v>150</v>
      </c>
      <c r="O175" s="52" t="s">
        <v>119</v>
      </c>
      <c r="P175" s="52" t="s">
        <v>133</v>
      </c>
      <c r="Q175" s="52" t="s">
        <v>125</v>
      </c>
      <c r="R175" s="52" t="s">
        <v>116</v>
      </c>
      <c r="S175" s="52" t="s">
        <v>125</v>
      </c>
      <c r="T175" s="65" t="s">
        <v>27</v>
      </c>
      <c r="U175" s="32">
        <v>1.0</v>
      </c>
      <c r="V175" s="32">
        <v>1.0</v>
      </c>
      <c r="W175" s="32">
        <v>1.0</v>
      </c>
      <c r="X175" s="32">
        <v>1.0</v>
      </c>
      <c r="Y175" s="32">
        <v>1.0</v>
      </c>
      <c r="Z175" s="32">
        <v>1.0</v>
      </c>
      <c r="AA175" s="32">
        <v>6.0</v>
      </c>
      <c r="AB175" s="32">
        <v>0.0</v>
      </c>
      <c r="AC175" s="103" t="str">
        <f>IFERROR(__xludf.DUMMYFUNCTION("if($C175="""","""",if(join("" - "",{iferror(filter('Student Groupings'!$A:$A,'Student Groupings'!$B:$B=$C175,'Student Groupings'!$H:$H=""Can't be Together""),"""");iferror(filter('Student Groupings'!$A:$A,'Student Groupings'!$E:$E=$C175,'Student Groupings"&amp;"'!$H:$H=""Can't be Together""),"""")})="" - "","""",join("" - "",{iferror(filter('Student Groupings'!$A:$A,'Student Groupings'!$B:$B=$C175,'Student Groupings'!$H:$H=""Can't be Together""),"""");iferror(filter('Student Groupings'!$A:$A,'Student Groupings'!"&amp;"$E:$E=$C175,'Student Groupings'!$H:$H=""Can't be Together""),"""")})))"),"")</f>
        <v/>
      </c>
      <c r="AD175" s="103" t="str">
        <f>IFERROR(__xludf.DUMMYFUNCTION("if($C175="""","""",if(join("" - "",{iferror(filter('Student Groupings'!$A:$A,'Student Groupings'!$B:$B=$C175,'Student Groupings'!$H:$H=""Must be Together""),"""");iferror(filter('Student Groupings'!$A:$A,'Student Groupings'!$E:$E=$C175,'Student Groupings'"&amp;"!$H:$H=""Must be Together""),"""")})="" - "","""",join("" - "",{iferror(filter('Student Groupings'!$A:$A,'Student Groupings'!$B:$B=$C175,'Student Groupings'!$H:$H=""Must be Together""),"""");iferror(filter('Student Groupings'!$A:$A,'Student Groupings'!$E:"&amp;"$E=$C175,'Student Groupings'!$H:$H=""Must be Together""),"""")})))"),"")</f>
        <v/>
      </c>
      <c r="AE175" s="104"/>
      <c r="AF175" s="104"/>
      <c r="AG175" s="104"/>
      <c r="AH175" s="104"/>
    </row>
    <row r="176">
      <c r="A176" s="101">
        <v>7.0</v>
      </c>
      <c r="B176" s="101">
        <v>30029.0</v>
      </c>
      <c r="C176" s="102" t="s">
        <v>446</v>
      </c>
      <c r="D176" s="52" t="s">
        <v>175</v>
      </c>
      <c r="E176" s="52">
        <v>6.0</v>
      </c>
      <c r="F176" s="52" t="s">
        <v>163</v>
      </c>
      <c r="G176" s="52">
        <v>4.0</v>
      </c>
      <c r="H176" s="52" t="s">
        <v>184</v>
      </c>
      <c r="I176" s="52">
        <v>5.0</v>
      </c>
      <c r="J176" s="52" t="s">
        <v>195</v>
      </c>
      <c r="K176" s="52">
        <v>1.0</v>
      </c>
      <c r="L176" s="52" t="s">
        <v>200</v>
      </c>
      <c r="M176" s="52">
        <v>3.0</v>
      </c>
      <c r="N176" s="52" t="s">
        <v>154</v>
      </c>
      <c r="O176" s="52" t="s">
        <v>119</v>
      </c>
      <c r="P176" s="52" t="s">
        <v>140</v>
      </c>
      <c r="Q176" s="52" t="s">
        <v>125</v>
      </c>
      <c r="R176" s="52" t="s">
        <v>140</v>
      </c>
      <c r="S176" s="52" t="s">
        <v>125</v>
      </c>
      <c r="T176" s="65" t="s">
        <v>30</v>
      </c>
      <c r="U176" s="32">
        <v>1.0</v>
      </c>
      <c r="V176" s="32">
        <v>1.0</v>
      </c>
      <c r="W176" s="32">
        <v>1.0</v>
      </c>
      <c r="X176" s="32">
        <v>1.0</v>
      </c>
      <c r="Y176" s="32">
        <v>1.0</v>
      </c>
      <c r="Z176" s="32">
        <v>1.0</v>
      </c>
      <c r="AA176" s="32">
        <v>6.0</v>
      </c>
      <c r="AB176" s="32">
        <v>0.0</v>
      </c>
      <c r="AC176" s="103" t="str">
        <f>IFERROR(__xludf.DUMMYFUNCTION("if($C176="""","""",if(join("" - "",{iferror(filter('Student Groupings'!$A:$A,'Student Groupings'!$B:$B=$C176,'Student Groupings'!$H:$H=""Can't be Together""),"""");iferror(filter('Student Groupings'!$A:$A,'Student Groupings'!$E:$E=$C176,'Student Groupings"&amp;"'!$H:$H=""Can't be Together""),"""")})="" - "","""",join("" - "",{iferror(filter('Student Groupings'!$A:$A,'Student Groupings'!$B:$B=$C176,'Student Groupings'!$H:$H=""Can't be Together""),"""");iferror(filter('Student Groupings'!$A:$A,'Student Groupings'!"&amp;"$E:$E=$C176,'Student Groupings'!$H:$H=""Can't be Together""),"""")})))"),"")</f>
        <v/>
      </c>
      <c r="AD176" s="103" t="str">
        <f>IFERROR(__xludf.DUMMYFUNCTION("if($C176="""","""",if(join("" - "",{iferror(filter('Student Groupings'!$A:$A,'Student Groupings'!$B:$B=$C176,'Student Groupings'!$H:$H=""Must be Together""),"""");iferror(filter('Student Groupings'!$A:$A,'Student Groupings'!$E:$E=$C176,'Student Groupings'"&amp;"!$H:$H=""Must be Together""),"""")})="" - "","""",join("" - "",{iferror(filter('Student Groupings'!$A:$A,'Student Groupings'!$B:$B=$C176,'Student Groupings'!$H:$H=""Must be Together""),"""");iferror(filter('Student Groupings'!$A:$A,'Student Groupings'!$E:"&amp;"$E=$C176,'Student Groupings'!$H:$H=""Must be Together""),"""")})))"),"")</f>
        <v/>
      </c>
      <c r="AE176" s="105"/>
      <c r="AF176" s="105">
        <v>1.0</v>
      </c>
      <c r="AG176" s="105">
        <v>1.0</v>
      </c>
      <c r="AH176" s="105"/>
    </row>
    <row r="177">
      <c r="A177" s="101">
        <v>7.0</v>
      </c>
      <c r="B177" s="101">
        <v>30030.0</v>
      </c>
      <c r="C177" s="102" t="s">
        <v>447</v>
      </c>
      <c r="D177" s="52" t="s">
        <v>175</v>
      </c>
      <c r="E177" s="52">
        <v>2.0</v>
      </c>
      <c r="F177" s="52" t="s">
        <v>163</v>
      </c>
      <c r="G177" s="52">
        <v>6.0</v>
      </c>
      <c r="H177" s="52" t="s">
        <v>184</v>
      </c>
      <c r="I177" s="52">
        <v>3.0</v>
      </c>
      <c r="J177" s="52" t="s">
        <v>195</v>
      </c>
      <c r="K177" s="52">
        <v>5.0</v>
      </c>
      <c r="L177" s="52" t="s">
        <v>200</v>
      </c>
      <c r="M177" s="52">
        <v>4.0</v>
      </c>
      <c r="N177" s="52" t="s">
        <v>154</v>
      </c>
      <c r="O177" s="52" t="s">
        <v>129</v>
      </c>
      <c r="P177" s="52" t="s">
        <v>140</v>
      </c>
      <c r="Q177" s="52" t="s">
        <v>108</v>
      </c>
      <c r="R177" s="52" t="s">
        <v>140</v>
      </c>
      <c r="S177" s="52" t="s">
        <v>108</v>
      </c>
      <c r="T177" s="65" t="s">
        <v>30</v>
      </c>
      <c r="U177" s="32">
        <v>1.0</v>
      </c>
      <c r="V177" s="32">
        <v>1.0</v>
      </c>
      <c r="W177" s="32">
        <v>1.0</v>
      </c>
      <c r="X177" s="32">
        <v>1.0</v>
      </c>
      <c r="Y177" s="32">
        <v>1.0</v>
      </c>
      <c r="Z177" s="32">
        <v>1.0</v>
      </c>
      <c r="AA177" s="32">
        <v>6.0</v>
      </c>
      <c r="AB177" s="32">
        <v>0.0</v>
      </c>
      <c r="AC177" s="103" t="str">
        <f>IFERROR(__xludf.DUMMYFUNCTION("if($C177="""","""",if(join("" - "",{iferror(filter('Student Groupings'!$A:$A,'Student Groupings'!$B:$B=$C177,'Student Groupings'!$H:$H=""Can't be Together""),"""");iferror(filter('Student Groupings'!$A:$A,'Student Groupings'!$E:$E=$C177,'Student Groupings"&amp;"'!$H:$H=""Can't be Together""),"""")})="" - "","""",join("" - "",{iferror(filter('Student Groupings'!$A:$A,'Student Groupings'!$B:$B=$C177,'Student Groupings'!$H:$H=""Can't be Together""),"""");iferror(filter('Student Groupings'!$A:$A,'Student Groupings'!"&amp;"$E:$E=$C177,'Student Groupings'!$H:$H=""Can't be Together""),"""")})))"),"")</f>
        <v/>
      </c>
      <c r="AD177" s="103" t="str">
        <f>IFERROR(__xludf.DUMMYFUNCTION("if($C177="""","""",if(join("" - "",{iferror(filter('Student Groupings'!$A:$A,'Student Groupings'!$B:$B=$C177,'Student Groupings'!$H:$H=""Must be Together""),"""");iferror(filter('Student Groupings'!$A:$A,'Student Groupings'!$E:$E=$C177,'Student Groupings'"&amp;"!$H:$H=""Must be Together""),"""")})="" - "","""",join("" - "",{iferror(filter('Student Groupings'!$A:$A,'Student Groupings'!$B:$B=$C177,'Student Groupings'!$H:$H=""Must be Together""),"""");iferror(filter('Student Groupings'!$A:$A,'Student Groupings'!$E:"&amp;"$E=$C177,'Student Groupings'!$H:$H=""Must be Together""),"""")})))"),"")</f>
        <v/>
      </c>
      <c r="AE177" s="104"/>
      <c r="AF177" s="104"/>
      <c r="AG177" s="104"/>
      <c r="AH177" s="104"/>
    </row>
    <row r="178">
      <c r="A178" s="101">
        <v>7.0</v>
      </c>
      <c r="B178" s="101">
        <v>30031.0</v>
      </c>
      <c r="C178" s="102" t="s">
        <v>448</v>
      </c>
      <c r="D178" s="52" t="s">
        <v>179</v>
      </c>
      <c r="E178" s="52">
        <v>6.0</v>
      </c>
      <c r="F178" s="52" t="s">
        <v>163</v>
      </c>
      <c r="G178" s="52">
        <v>5.0</v>
      </c>
      <c r="H178" s="52" t="s">
        <v>184</v>
      </c>
      <c r="I178" s="52">
        <v>2.0</v>
      </c>
      <c r="J178" s="52" t="s">
        <v>195</v>
      </c>
      <c r="K178" s="52">
        <v>3.0</v>
      </c>
      <c r="L178" s="52" t="s">
        <v>200</v>
      </c>
      <c r="M178" s="52">
        <v>1.0</v>
      </c>
      <c r="N178" s="52" t="s">
        <v>150</v>
      </c>
      <c r="O178" s="52" t="s">
        <v>111</v>
      </c>
      <c r="P178" s="52" t="s">
        <v>140</v>
      </c>
      <c r="Q178" s="52" t="s">
        <v>130</v>
      </c>
      <c r="R178" s="52" t="s">
        <v>140</v>
      </c>
      <c r="S178" s="52" t="s">
        <v>130</v>
      </c>
      <c r="T178" s="65" t="s">
        <v>30</v>
      </c>
      <c r="U178" s="32">
        <v>1.0</v>
      </c>
      <c r="V178" s="32">
        <v>1.0</v>
      </c>
      <c r="W178" s="32">
        <v>1.0</v>
      </c>
      <c r="X178" s="32">
        <v>1.0</v>
      </c>
      <c r="Y178" s="32">
        <v>1.0</v>
      </c>
      <c r="Z178" s="32">
        <v>1.0</v>
      </c>
      <c r="AA178" s="32">
        <v>6.0</v>
      </c>
      <c r="AB178" s="32">
        <v>0.0</v>
      </c>
      <c r="AC178" s="103" t="str">
        <f>IFERROR(__xludf.DUMMYFUNCTION("if($C178="""","""",if(join("" - "",{iferror(filter('Student Groupings'!$A:$A,'Student Groupings'!$B:$B=$C178,'Student Groupings'!$H:$H=""Can't be Together""),"""");iferror(filter('Student Groupings'!$A:$A,'Student Groupings'!$E:$E=$C178,'Student Groupings"&amp;"'!$H:$H=""Can't be Together""),"""")})="" - "","""",join("" - "",{iferror(filter('Student Groupings'!$A:$A,'Student Groupings'!$B:$B=$C178,'Student Groupings'!$H:$H=""Can't be Together""),"""");iferror(filter('Student Groupings'!$A:$A,'Student Groupings'!"&amp;"$E:$E=$C178,'Student Groupings'!$H:$H=""Can't be Together""),"""")})))"),"")</f>
        <v/>
      </c>
      <c r="AD178" s="103" t="str">
        <f>IFERROR(__xludf.DUMMYFUNCTION("if($C178="""","""",if(join("" - "",{iferror(filter('Student Groupings'!$A:$A,'Student Groupings'!$B:$B=$C178,'Student Groupings'!$H:$H=""Must be Together""),"""");iferror(filter('Student Groupings'!$A:$A,'Student Groupings'!$E:$E=$C178,'Student Groupings'"&amp;"!$H:$H=""Must be Together""),"""")})="" - "","""",join("" - "",{iferror(filter('Student Groupings'!$A:$A,'Student Groupings'!$B:$B=$C178,'Student Groupings'!$H:$H=""Must be Together""),"""");iferror(filter('Student Groupings'!$A:$A,'Student Groupings'!$E:"&amp;"$E=$C178,'Student Groupings'!$H:$H=""Must be Together""),"""")})))"),"")</f>
        <v/>
      </c>
      <c r="AE178" s="104"/>
      <c r="AF178" s="104"/>
      <c r="AG178" s="104"/>
      <c r="AH178" s="104"/>
    </row>
    <row r="179">
      <c r="A179" s="101">
        <v>7.0</v>
      </c>
      <c r="B179" s="101">
        <v>30032.0</v>
      </c>
      <c r="C179" s="102" t="s">
        <v>449</v>
      </c>
      <c r="D179" s="52" t="s">
        <v>175</v>
      </c>
      <c r="E179" s="52">
        <v>3.0</v>
      </c>
      <c r="F179" s="52" t="s">
        <v>164</v>
      </c>
      <c r="G179" s="52">
        <v>4.0</v>
      </c>
      <c r="H179" s="52" t="s">
        <v>184</v>
      </c>
      <c r="I179" s="52">
        <v>5.0</v>
      </c>
      <c r="J179" s="52" t="s">
        <v>193</v>
      </c>
      <c r="K179" s="52">
        <v>1.0</v>
      </c>
      <c r="L179" s="52" t="s">
        <v>200</v>
      </c>
      <c r="M179" s="52">
        <v>6.0</v>
      </c>
      <c r="N179" s="52" t="s">
        <v>150</v>
      </c>
      <c r="O179" s="52" t="s">
        <v>119</v>
      </c>
      <c r="P179" s="52" t="s">
        <v>133</v>
      </c>
      <c r="Q179" s="52" t="s">
        <v>125</v>
      </c>
      <c r="R179" s="52" t="s">
        <v>116</v>
      </c>
      <c r="S179" s="52" t="s">
        <v>125</v>
      </c>
      <c r="T179" s="65" t="s">
        <v>27</v>
      </c>
      <c r="U179" s="32">
        <v>1.0</v>
      </c>
      <c r="V179" s="32">
        <v>1.0</v>
      </c>
      <c r="W179" s="32">
        <v>1.0</v>
      </c>
      <c r="X179" s="32">
        <v>1.0</v>
      </c>
      <c r="Y179" s="32">
        <v>1.0</v>
      </c>
      <c r="Z179" s="32">
        <v>1.0</v>
      </c>
      <c r="AA179" s="32">
        <v>6.0</v>
      </c>
      <c r="AB179" s="32">
        <v>0.0</v>
      </c>
      <c r="AC179" s="103" t="str">
        <f>IFERROR(__xludf.DUMMYFUNCTION("if($C179="""","""",if(join("" - "",{iferror(filter('Student Groupings'!$A:$A,'Student Groupings'!$B:$B=$C179,'Student Groupings'!$H:$H=""Can't be Together""),"""");iferror(filter('Student Groupings'!$A:$A,'Student Groupings'!$E:$E=$C179,'Student Groupings"&amp;"'!$H:$H=""Can't be Together""),"""")})="" - "","""",join("" - "",{iferror(filter('Student Groupings'!$A:$A,'Student Groupings'!$B:$B=$C179,'Student Groupings'!$H:$H=""Can't be Together""),"""");iferror(filter('Student Groupings'!$A:$A,'Student Groupings'!"&amp;"$E:$E=$C179,'Student Groupings'!$H:$H=""Can't be Together""),"""")})))"),"")</f>
        <v/>
      </c>
      <c r="AD179" s="103" t="str">
        <f>IFERROR(__xludf.DUMMYFUNCTION("if($C179="""","""",if(join("" - "",{iferror(filter('Student Groupings'!$A:$A,'Student Groupings'!$B:$B=$C179,'Student Groupings'!$H:$H=""Must be Together""),"""");iferror(filter('Student Groupings'!$A:$A,'Student Groupings'!$E:$E=$C179,'Student Groupings'"&amp;"!$H:$H=""Must be Together""),"""")})="" - "","""",join("" - "",{iferror(filter('Student Groupings'!$A:$A,'Student Groupings'!$B:$B=$C179,'Student Groupings'!$H:$H=""Must be Together""),"""");iferror(filter('Student Groupings'!$A:$A,'Student Groupings'!$E:"&amp;"$E=$C179,'Student Groupings'!$H:$H=""Must be Together""),"""")})))"),"")</f>
        <v/>
      </c>
      <c r="AE179" s="105"/>
      <c r="AF179" s="105">
        <v>1.0</v>
      </c>
      <c r="AG179" s="104"/>
      <c r="AH179" s="104"/>
    </row>
    <row r="180">
      <c r="A180" s="101">
        <v>7.0</v>
      </c>
      <c r="B180" s="101">
        <v>30033.0</v>
      </c>
      <c r="C180" s="102" t="s">
        <v>450</v>
      </c>
      <c r="D180" s="52" t="s">
        <v>175</v>
      </c>
      <c r="E180" s="52">
        <v>2.0</v>
      </c>
      <c r="F180" s="52" t="s">
        <v>163</v>
      </c>
      <c r="G180" s="52">
        <v>6.0</v>
      </c>
      <c r="H180" s="52" t="s">
        <v>184</v>
      </c>
      <c r="I180" s="52">
        <v>3.0</v>
      </c>
      <c r="J180" s="52" t="s">
        <v>195</v>
      </c>
      <c r="K180" s="52">
        <v>5.0</v>
      </c>
      <c r="L180" s="52" t="s">
        <v>200</v>
      </c>
      <c r="M180" s="52">
        <v>4.0</v>
      </c>
      <c r="N180" s="52" t="s">
        <v>154</v>
      </c>
      <c r="O180" s="52" t="s">
        <v>129</v>
      </c>
      <c r="P180" s="52" t="s">
        <v>140</v>
      </c>
      <c r="Q180" s="52" t="s">
        <v>108</v>
      </c>
      <c r="R180" s="52" t="s">
        <v>140</v>
      </c>
      <c r="S180" s="52" t="s">
        <v>108</v>
      </c>
      <c r="T180" s="65" t="s">
        <v>30</v>
      </c>
      <c r="U180" s="32">
        <v>1.0</v>
      </c>
      <c r="V180" s="32">
        <v>1.0</v>
      </c>
      <c r="W180" s="32">
        <v>1.0</v>
      </c>
      <c r="X180" s="32">
        <v>1.0</v>
      </c>
      <c r="Y180" s="32">
        <v>1.0</v>
      </c>
      <c r="Z180" s="32">
        <v>1.0</v>
      </c>
      <c r="AA180" s="32">
        <v>6.0</v>
      </c>
      <c r="AB180" s="32">
        <v>0.0</v>
      </c>
      <c r="AC180" s="103" t="str">
        <f>IFERROR(__xludf.DUMMYFUNCTION("if($C180="""","""",if(join("" - "",{iferror(filter('Student Groupings'!$A:$A,'Student Groupings'!$B:$B=$C180,'Student Groupings'!$H:$H=""Can't be Together""),"""");iferror(filter('Student Groupings'!$A:$A,'Student Groupings'!$E:$E=$C180,'Student Groupings"&amp;"'!$H:$H=""Can't be Together""),"""")})="" - "","""",join("" - "",{iferror(filter('Student Groupings'!$A:$A,'Student Groupings'!$B:$B=$C180,'Student Groupings'!$H:$H=""Can't be Together""),"""");iferror(filter('Student Groupings'!$A:$A,'Student Groupings'!"&amp;"$E:$E=$C180,'Student Groupings'!$H:$H=""Can't be Together""),"""")})))"),"")</f>
        <v/>
      </c>
      <c r="AD180" s="103" t="str">
        <f>IFERROR(__xludf.DUMMYFUNCTION("if($C180="""","""",if(join("" - "",{iferror(filter('Student Groupings'!$A:$A,'Student Groupings'!$B:$B=$C180,'Student Groupings'!$H:$H=""Must be Together""),"""");iferror(filter('Student Groupings'!$A:$A,'Student Groupings'!$E:$E=$C180,'Student Groupings'"&amp;"!$H:$H=""Must be Together""),"""")})="" - "","""",join("" - "",{iferror(filter('Student Groupings'!$A:$A,'Student Groupings'!$B:$B=$C180,'Student Groupings'!$H:$H=""Must be Together""),"""");iferror(filter('Student Groupings'!$A:$A,'Student Groupings'!$E:"&amp;"$E=$C180,'Student Groupings'!$H:$H=""Must be Together""),"""")})))"),"")</f>
        <v/>
      </c>
      <c r="AE180" s="104"/>
      <c r="AF180" s="104"/>
      <c r="AG180" s="104"/>
      <c r="AH180" s="104"/>
    </row>
    <row r="181">
      <c r="A181" s="101">
        <v>7.0</v>
      </c>
      <c r="B181" s="101">
        <v>30034.0</v>
      </c>
      <c r="C181" s="102" t="s">
        <v>451</v>
      </c>
      <c r="D181" s="52" t="s">
        <v>175</v>
      </c>
      <c r="E181" s="52">
        <v>6.0</v>
      </c>
      <c r="F181" s="52" t="s">
        <v>163</v>
      </c>
      <c r="G181" s="52">
        <v>4.0</v>
      </c>
      <c r="H181" s="52" t="s">
        <v>184</v>
      </c>
      <c r="I181" s="52">
        <v>5.0</v>
      </c>
      <c r="J181" s="52" t="s">
        <v>195</v>
      </c>
      <c r="K181" s="52">
        <v>1.0</v>
      </c>
      <c r="L181" s="52" t="s">
        <v>200</v>
      </c>
      <c r="M181" s="52">
        <v>3.0</v>
      </c>
      <c r="N181" s="52" t="s">
        <v>150</v>
      </c>
      <c r="O181" s="52" t="s">
        <v>119</v>
      </c>
      <c r="P181" s="52" t="s">
        <v>116</v>
      </c>
      <c r="Q181" s="52" t="s">
        <v>125</v>
      </c>
      <c r="R181" s="52" t="s">
        <v>133</v>
      </c>
      <c r="S181" s="52" t="s">
        <v>125</v>
      </c>
      <c r="T181" s="65" t="s">
        <v>27</v>
      </c>
      <c r="U181" s="32">
        <v>1.0</v>
      </c>
      <c r="V181" s="32">
        <v>1.0</v>
      </c>
      <c r="W181" s="32">
        <v>1.0</v>
      </c>
      <c r="X181" s="32">
        <v>1.0</v>
      </c>
      <c r="Y181" s="32">
        <v>1.0</v>
      </c>
      <c r="Z181" s="32">
        <v>1.0</v>
      </c>
      <c r="AA181" s="32">
        <v>6.0</v>
      </c>
      <c r="AB181" s="32">
        <v>0.0</v>
      </c>
      <c r="AC181" s="103" t="str">
        <f>IFERROR(__xludf.DUMMYFUNCTION("if($C181="""","""",if(join("" - "",{iferror(filter('Student Groupings'!$A:$A,'Student Groupings'!$B:$B=$C181,'Student Groupings'!$H:$H=""Can't be Together""),"""");iferror(filter('Student Groupings'!$A:$A,'Student Groupings'!$E:$E=$C181,'Student Groupings"&amp;"'!$H:$H=""Can't be Together""),"""")})="" - "","""",join("" - "",{iferror(filter('Student Groupings'!$A:$A,'Student Groupings'!$B:$B=$C181,'Student Groupings'!$H:$H=""Can't be Together""),"""");iferror(filter('Student Groupings'!$A:$A,'Student Groupings'!"&amp;"$E:$E=$C181,'Student Groupings'!$H:$H=""Can't be Together""),"""")})))"),"")</f>
        <v/>
      </c>
      <c r="AD181" s="103" t="str">
        <f>IFERROR(__xludf.DUMMYFUNCTION("if($C181="""","""",if(join("" - "",{iferror(filter('Student Groupings'!$A:$A,'Student Groupings'!$B:$B=$C181,'Student Groupings'!$H:$H=""Must be Together""),"""");iferror(filter('Student Groupings'!$A:$A,'Student Groupings'!$E:$E=$C181,'Student Groupings'"&amp;"!$H:$H=""Must be Together""),"""")})="" - "","""",join("" - "",{iferror(filter('Student Groupings'!$A:$A,'Student Groupings'!$B:$B=$C181,'Student Groupings'!$H:$H=""Must be Together""),"""");iferror(filter('Student Groupings'!$A:$A,'Student Groupings'!$E:"&amp;"$E=$C181,'Student Groupings'!$H:$H=""Must be Together""),"""")})))"),"")</f>
        <v/>
      </c>
      <c r="AE181" s="104"/>
      <c r="AF181" s="104"/>
      <c r="AG181" s="104"/>
      <c r="AH181" s="104"/>
    </row>
    <row r="182">
      <c r="A182" s="101">
        <v>7.0</v>
      </c>
      <c r="B182" s="101">
        <v>30137.0</v>
      </c>
      <c r="C182" s="102" t="s">
        <v>452</v>
      </c>
      <c r="D182" s="52" t="s">
        <v>179</v>
      </c>
      <c r="E182" s="52">
        <v>6.0</v>
      </c>
      <c r="F182" s="52" t="s">
        <v>164</v>
      </c>
      <c r="G182" s="52">
        <v>4.0</v>
      </c>
      <c r="H182" s="52" t="s">
        <v>188</v>
      </c>
      <c r="I182" s="52">
        <v>5.0</v>
      </c>
      <c r="J182" s="52" t="s">
        <v>195</v>
      </c>
      <c r="K182" s="52">
        <v>3.0</v>
      </c>
      <c r="L182" s="52" t="s">
        <v>200</v>
      </c>
      <c r="M182" s="52">
        <v>1.0</v>
      </c>
      <c r="N182" s="52" t="s">
        <v>154</v>
      </c>
      <c r="O182" s="52" t="s">
        <v>119</v>
      </c>
      <c r="P182" s="52" t="s">
        <v>140</v>
      </c>
      <c r="Q182" s="52" t="s">
        <v>125</v>
      </c>
      <c r="R182" s="52" t="s">
        <v>140</v>
      </c>
      <c r="S182" s="52" t="s">
        <v>125</v>
      </c>
      <c r="T182" s="65" t="s">
        <v>30</v>
      </c>
      <c r="U182" s="32">
        <v>1.0</v>
      </c>
      <c r="V182" s="32">
        <v>1.0</v>
      </c>
      <c r="W182" s="32">
        <v>1.0</v>
      </c>
      <c r="X182" s="32">
        <v>1.0</v>
      </c>
      <c r="Y182" s="32">
        <v>1.0</v>
      </c>
      <c r="Z182" s="32">
        <v>1.0</v>
      </c>
      <c r="AA182" s="32">
        <v>6.0</v>
      </c>
      <c r="AB182" s="32">
        <v>0.0</v>
      </c>
      <c r="AC182" s="103" t="str">
        <f>IFERROR(__xludf.DUMMYFUNCTION("if($C182="""","""",if(join("" - "",{iferror(filter('Student Groupings'!$A:$A,'Student Groupings'!$B:$B=$C182,'Student Groupings'!$H:$H=""Can't be Together""),"""");iferror(filter('Student Groupings'!$A:$A,'Student Groupings'!$E:$E=$C182,'Student Groupings"&amp;"'!$H:$H=""Can't be Together""),"""")})="" - "","""",join("" - "",{iferror(filter('Student Groupings'!$A:$A,'Student Groupings'!$B:$B=$C182,'Student Groupings'!$H:$H=""Can't be Together""),"""");iferror(filter('Student Groupings'!$A:$A,'Student Groupings'!"&amp;"$E:$E=$C182,'Student Groupings'!$H:$H=""Can't be Together""),"""")})))"),"")</f>
        <v/>
      </c>
      <c r="AD182" s="103" t="str">
        <f>IFERROR(__xludf.DUMMYFUNCTION("if($C182="""","""",if(join("" - "",{iferror(filter('Student Groupings'!$A:$A,'Student Groupings'!$B:$B=$C182,'Student Groupings'!$H:$H=""Must be Together""),"""");iferror(filter('Student Groupings'!$A:$A,'Student Groupings'!$E:$E=$C182,'Student Groupings'"&amp;"!$H:$H=""Must be Together""),"""")})="" - "","""",join("" - "",{iferror(filter('Student Groupings'!$A:$A,'Student Groupings'!$B:$B=$C182,'Student Groupings'!$H:$H=""Must be Together""),"""");iferror(filter('Student Groupings'!$A:$A,'Student Groupings'!$E:"&amp;"$E=$C182,'Student Groupings'!$H:$H=""Must be Together""),"""")})))"),"")</f>
        <v/>
      </c>
      <c r="AE182" s="105"/>
      <c r="AF182" s="105"/>
      <c r="AG182" s="105"/>
      <c r="AH182" s="105"/>
    </row>
    <row r="183">
      <c r="A183" s="101">
        <v>7.0</v>
      </c>
      <c r="B183" s="101">
        <v>30036.0</v>
      </c>
      <c r="C183" s="102" t="s">
        <v>453</v>
      </c>
      <c r="D183" s="52" t="s">
        <v>175</v>
      </c>
      <c r="E183" s="52">
        <v>3.0</v>
      </c>
      <c r="F183" s="52" t="s">
        <v>163</v>
      </c>
      <c r="G183" s="52">
        <v>5.0</v>
      </c>
      <c r="H183" s="52" t="s">
        <v>184</v>
      </c>
      <c r="I183" s="52">
        <v>2.0</v>
      </c>
      <c r="J183" s="52" t="s">
        <v>193</v>
      </c>
      <c r="K183" s="52">
        <v>1.0</v>
      </c>
      <c r="L183" s="52" t="s">
        <v>200</v>
      </c>
      <c r="M183" s="52">
        <v>6.0</v>
      </c>
      <c r="N183" s="52" t="s">
        <v>150</v>
      </c>
      <c r="O183" s="52" t="s">
        <v>111</v>
      </c>
      <c r="P183" s="52" t="s">
        <v>140</v>
      </c>
      <c r="Q183" s="52" t="s">
        <v>130</v>
      </c>
      <c r="R183" s="52" t="s">
        <v>140</v>
      </c>
      <c r="S183" s="52" t="s">
        <v>130</v>
      </c>
      <c r="T183" s="65" t="s">
        <v>30</v>
      </c>
      <c r="U183" s="32">
        <v>1.0</v>
      </c>
      <c r="V183" s="32">
        <v>1.0</v>
      </c>
      <c r="W183" s="32">
        <v>1.0</v>
      </c>
      <c r="X183" s="32">
        <v>1.0</v>
      </c>
      <c r="Y183" s="32">
        <v>1.0</v>
      </c>
      <c r="Z183" s="32">
        <v>1.0</v>
      </c>
      <c r="AA183" s="32">
        <v>6.0</v>
      </c>
      <c r="AB183" s="32">
        <v>0.0</v>
      </c>
      <c r="AC183" s="103" t="str">
        <f>IFERROR(__xludf.DUMMYFUNCTION("if($C183="""","""",if(join("" - "",{iferror(filter('Student Groupings'!$A:$A,'Student Groupings'!$B:$B=$C183,'Student Groupings'!$H:$H=""Can't be Together""),"""");iferror(filter('Student Groupings'!$A:$A,'Student Groupings'!$E:$E=$C183,'Student Groupings"&amp;"'!$H:$H=""Can't be Together""),"""")})="" - "","""",join("" - "",{iferror(filter('Student Groupings'!$A:$A,'Student Groupings'!$B:$B=$C183,'Student Groupings'!$H:$H=""Can't be Together""),"""");iferror(filter('Student Groupings'!$A:$A,'Student Groupings'!"&amp;"$E:$E=$C183,'Student Groupings'!$H:$H=""Can't be Together""),"""")})))"),"")</f>
        <v/>
      </c>
      <c r="AD183" s="103" t="str">
        <f>IFERROR(__xludf.DUMMYFUNCTION("if($C183="""","""",if(join("" - "",{iferror(filter('Student Groupings'!$A:$A,'Student Groupings'!$B:$B=$C183,'Student Groupings'!$H:$H=""Must be Together""),"""");iferror(filter('Student Groupings'!$A:$A,'Student Groupings'!$E:$E=$C183,'Student Groupings'"&amp;"!$H:$H=""Must be Together""),"""")})="" - "","""",join("" - "",{iferror(filter('Student Groupings'!$A:$A,'Student Groupings'!$B:$B=$C183,'Student Groupings'!$H:$H=""Must be Together""),"""");iferror(filter('Student Groupings'!$A:$A,'Student Groupings'!$E:"&amp;"$E=$C183,'Student Groupings'!$H:$H=""Must be Together""),"""")})))"),"")</f>
        <v/>
      </c>
      <c r="AE183" s="104"/>
      <c r="AF183" s="104"/>
      <c r="AG183" s="104"/>
      <c r="AH183" s="104"/>
    </row>
    <row r="184">
      <c r="A184" s="101">
        <v>7.0</v>
      </c>
      <c r="B184" s="101">
        <v>30037.0</v>
      </c>
      <c r="C184" s="102" t="s">
        <v>454</v>
      </c>
      <c r="D184" s="52" t="s">
        <v>175</v>
      </c>
      <c r="E184" s="52">
        <v>2.0</v>
      </c>
      <c r="F184" s="52" t="s">
        <v>163</v>
      </c>
      <c r="G184" s="52">
        <v>6.0</v>
      </c>
      <c r="H184" s="52" t="s">
        <v>184</v>
      </c>
      <c r="I184" s="52">
        <v>3.0</v>
      </c>
      <c r="J184" s="52" t="s">
        <v>195</v>
      </c>
      <c r="K184" s="52">
        <v>5.0</v>
      </c>
      <c r="L184" s="52" t="s">
        <v>200</v>
      </c>
      <c r="M184" s="52">
        <v>4.0</v>
      </c>
      <c r="N184" s="52" t="s">
        <v>154</v>
      </c>
      <c r="O184" s="52" t="s">
        <v>129</v>
      </c>
      <c r="P184" s="52" t="s">
        <v>140</v>
      </c>
      <c r="Q184" s="52" t="s">
        <v>108</v>
      </c>
      <c r="R184" s="52" t="s">
        <v>140</v>
      </c>
      <c r="S184" s="52" t="s">
        <v>108</v>
      </c>
      <c r="T184" s="65" t="s">
        <v>30</v>
      </c>
      <c r="U184" s="32">
        <v>1.0</v>
      </c>
      <c r="V184" s="32">
        <v>1.0</v>
      </c>
      <c r="W184" s="32">
        <v>1.0</v>
      </c>
      <c r="X184" s="32">
        <v>1.0</v>
      </c>
      <c r="Y184" s="32">
        <v>1.0</v>
      </c>
      <c r="Z184" s="32">
        <v>1.0</v>
      </c>
      <c r="AA184" s="32">
        <v>6.0</v>
      </c>
      <c r="AB184" s="32">
        <v>0.0</v>
      </c>
      <c r="AC184" s="103" t="str">
        <f>IFERROR(__xludf.DUMMYFUNCTION("if($C184="""","""",if(join("" - "",{iferror(filter('Student Groupings'!$A:$A,'Student Groupings'!$B:$B=$C184,'Student Groupings'!$H:$H=""Can't be Together""),"""");iferror(filter('Student Groupings'!$A:$A,'Student Groupings'!$E:$E=$C184,'Student Groupings"&amp;"'!$H:$H=""Can't be Together""),"""")})="" - "","""",join("" - "",{iferror(filter('Student Groupings'!$A:$A,'Student Groupings'!$B:$B=$C184,'Student Groupings'!$H:$H=""Can't be Together""),"""");iferror(filter('Student Groupings'!$A:$A,'Student Groupings'!"&amp;"$E:$E=$C184,'Student Groupings'!$H:$H=""Can't be Together""),"""")})))"),"")</f>
        <v/>
      </c>
      <c r="AD184" s="103" t="str">
        <f>IFERROR(__xludf.DUMMYFUNCTION("if($C184="""","""",if(join("" - "",{iferror(filter('Student Groupings'!$A:$A,'Student Groupings'!$B:$B=$C184,'Student Groupings'!$H:$H=""Must be Together""),"""");iferror(filter('Student Groupings'!$A:$A,'Student Groupings'!$E:$E=$C184,'Student Groupings'"&amp;"!$H:$H=""Must be Together""),"""")})="" - "","""",join("" - "",{iferror(filter('Student Groupings'!$A:$A,'Student Groupings'!$B:$B=$C184,'Student Groupings'!$H:$H=""Must be Together""),"""");iferror(filter('Student Groupings'!$A:$A,'Student Groupings'!$E:"&amp;"$E=$C184,'Student Groupings'!$H:$H=""Must be Together""),"""")})))"),"")</f>
        <v/>
      </c>
      <c r="AE184" s="104"/>
      <c r="AF184" s="104"/>
      <c r="AG184" s="104"/>
      <c r="AH184" s="104"/>
    </row>
    <row r="185">
      <c r="A185" s="101">
        <v>7.0</v>
      </c>
      <c r="B185" s="101">
        <v>30038.0</v>
      </c>
      <c r="C185" s="102" t="s">
        <v>455</v>
      </c>
      <c r="D185" s="52" t="s">
        <v>175</v>
      </c>
      <c r="E185" s="52">
        <v>5.0</v>
      </c>
      <c r="F185" s="52" t="s">
        <v>163</v>
      </c>
      <c r="G185" s="52">
        <v>3.0</v>
      </c>
      <c r="H185" s="52" t="s">
        <v>184</v>
      </c>
      <c r="I185" s="52">
        <v>6.0</v>
      </c>
      <c r="J185" s="52" t="s">
        <v>195</v>
      </c>
      <c r="K185" s="52">
        <v>2.0</v>
      </c>
      <c r="L185" s="52" t="s">
        <v>203</v>
      </c>
      <c r="M185" s="52">
        <v>4.0</v>
      </c>
      <c r="N185" s="52" t="s">
        <v>150</v>
      </c>
      <c r="O185" s="52" t="s">
        <v>129</v>
      </c>
      <c r="P185" s="52" t="s">
        <v>133</v>
      </c>
      <c r="Q185" s="52" t="s">
        <v>108</v>
      </c>
      <c r="R185" s="52" t="s">
        <v>116</v>
      </c>
      <c r="S185" s="52" t="s">
        <v>108</v>
      </c>
      <c r="T185" s="65" t="s">
        <v>27</v>
      </c>
      <c r="U185" s="32">
        <v>1.0</v>
      </c>
      <c r="V185" s="32">
        <v>1.0</v>
      </c>
      <c r="W185" s="32">
        <v>1.0</v>
      </c>
      <c r="X185" s="32">
        <v>1.0</v>
      </c>
      <c r="Y185" s="32">
        <v>1.0</v>
      </c>
      <c r="Z185" s="32">
        <v>1.0</v>
      </c>
      <c r="AA185" s="32">
        <v>6.0</v>
      </c>
      <c r="AB185" s="32">
        <v>0.0</v>
      </c>
      <c r="AC185" s="103" t="str">
        <f>IFERROR(__xludf.DUMMYFUNCTION("if($C185="""","""",if(join("" - "",{iferror(filter('Student Groupings'!$A:$A,'Student Groupings'!$B:$B=$C185,'Student Groupings'!$H:$H=""Can't be Together""),"""");iferror(filter('Student Groupings'!$A:$A,'Student Groupings'!$E:$E=$C185,'Student Groupings"&amp;"'!$H:$H=""Can't be Together""),"""")})="" - "","""",join("" - "",{iferror(filter('Student Groupings'!$A:$A,'Student Groupings'!$B:$B=$C185,'Student Groupings'!$H:$H=""Can't be Together""),"""");iferror(filter('Student Groupings'!$A:$A,'Student Groupings'!"&amp;"$E:$E=$C185,'Student Groupings'!$H:$H=""Can't be Together""),"""")})))"),"")</f>
        <v/>
      </c>
      <c r="AD185" s="103" t="str">
        <f>IFERROR(__xludf.DUMMYFUNCTION("if($C185="""","""",if(join("" - "",{iferror(filter('Student Groupings'!$A:$A,'Student Groupings'!$B:$B=$C185,'Student Groupings'!$H:$H=""Must be Together""),"""");iferror(filter('Student Groupings'!$A:$A,'Student Groupings'!$E:$E=$C185,'Student Groupings'"&amp;"!$H:$H=""Must be Together""),"""")})="" - "","""",join("" - "",{iferror(filter('Student Groupings'!$A:$A,'Student Groupings'!$B:$B=$C185,'Student Groupings'!$H:$H=""Must be Together""),"""");iferror(filter('Student Groupings'!$A:$A,'Student Groupings'!$E:"&amp;"$E=$C185,'Student Groupings'!$H:$H=""Must be Together""),"""")})))"),"")</f>
        <v/>
      </c>
      <c r="AE185" s="104"/>
      <c r="AF185" s="104"/>
      <c r="AG185" s="104"/>
      <c r="AH185" s="104"/>
    </row>
    <row r="186">
      <c r="A186" s="101">
        <v>7.0</v>
      </c>
      <c r="B186" s="101">
        <v>30039.0</v>
      </c>
      <c r="C186" s="102" t="s">
        <v>456</v>
      </c>
      <c r="D186" s="52" t="s">
        <v>175</v>
      </c>
      <c r="E186" s="52">
        <v>4.0</v>
      </c>
      <c r="F186" s="52" t="s">
        <v>164</v>
      </c>
      <c r="G186" s="52">
        <v>3.0</v>
      </c>
      <c r="H186" s="52" t="s">
        <v>184</v>
      </c>
      <c r="I186" s="52">
        <v>1.0</v>
      </c>
      <c r="J186" s="52" t="s">
        <v>193</v>
      </c>
      <c r="K186" s="52">
        <v>5.0</v>
      </c>
      <c r="L186" s="52" t="s">
        <v>200</v>
      </c>
      <c r="M186" s="52">
        <v>2.0</v>
      </c>
      <c r="N186" s="52" t="s">
        <v>150</v>
      </c>
      <c r="O186" s="52" t="s">
        <v>109</v>
      </c>
      <c r="P186" s="52" t="s">
        <v>116</v>
      </c>
      <c r="Q186" s="52" t="s">
        <v>120</v>
      </c>
      <c r="R186" s="52" t="s">
        <v>133</v>
      </c>
      <c r="S186" s="52" t="s">
        <v>120</v>
      </c>
      <c r="T186" s="65" t="s">
        <v>27</v>
      </c>
      <c r="U186" s="32">
        <v>1.0</v>
      </c>
      <c r="V186" s="32">
        <v>1.0</v>
      </c>
      <c r="W186" s="32">
        <v>1.0</v>
      </c>
      <c r="X186" s="32">
        <v>1.0</v>
      </c>
      <c r="Y186" s="32">
        <v>1.0</v>
      </c>
      <c r="Z186" s="32">
        <v>1.0</v>
      </c>
      <c r="AA186" s="32">
        <v>6.0</v>
      </c>
      <c r="AB186" s="32">
        <v>0.0</v>
      </c>
      <c r="AC186" s="103" t="str">
        <f>IFERROR(__xludf.DUMMYFUNCTION("if($C186="""","""",if(join("" - "",{iferror(filter('Student Groupings'!$A:$A,'Student Groupings'!$B:$B=$C186,'Student Groupings'!$H:$H=""Can't be Together""),"""");iferror(filter('Student Groupings'!$A:$A,'Student Groupings'!$E:$E=$C186,'Student Groupings"&amp;"'!$H:$H=""Can't be Together""),"""")})="" - "","""",join("" - "",{iferror(filter('Student Groupings'!$A:$A,'Student Groupings'!$B:$B=$C186,'Student Groupings'!$H:$H=""Can't be Together""),"""");iferror(filter('Student Groupings'!$A:$A,'Student Groupings'!"&amp;"$E:$E=$C186,'Student Groupings'!$H:$H=""Can't be Together""),"""")})))"),"")</f>
        <v/>
      </c>
      <c r="AD186" s="103" t="str">
        <f>IFERROR(__xludf.DUMMYFUNCTION("if($C186="""","""",if(join("" - "",{iferror(filter('Student Groupings'!$A:$A,'Student Groupings'!$B:$B=$C186,'Student Groupings'!$H:$H=""Must be Together""),"""");iferror(filter('Student Groupings'!$A:$A,'Student Groupings'!$E:$E=$C186,'Student Groupings'"&amp;"!$H:$H=""Must be Together""),"""")})="" - "","""",join("" - "",{iferror(filter('Student Groupings'!$A:$A,'Student Groupings'!$B:$B=$C186,'Student Groupings'!$H:$H=""Must be Together""),"""");iferror(filter('Student Groupings'!$A:$A,'Student Groupings'!$E:"&amp;"$E=$C186,'Student Groupings'!$H:$H=""Must be Together""),"""")})))"),"")</f>
        <v/>
      </c>
      <c r="AE186" s="104"/>
      <c r="AF186" s="104"/>
      <c r="AG186" s="104"/>
      <c r="AH186" s="104"/>
    </row>
    <row r="187">
      <c r="A187" s="101">
        <v>7.0</v>
      </c>
      <c r="B187" s="101">
        <v>30040.0</v>
      </c>
      <c r="C187" s="102" t="s">
        <v>457</v>
      </c>
      <c r="D187" s="52" t="s">
        <v>179</v>
      </c>
      <c r="E187" s="52">
        <v>6.0</v>
      </c>
      <c r="F187" s="52" t="s">
        <v>164</v>
      </c>
      <c r="G187" s="52">
        <v>4.0</v>
      </c>
      <c r="H187" s="52" t="s">
        <v>184</v>
      </c>
      <c r="I187" s="52">
        <v>5.0</v>
      </c>
      <c r="J187" s="52" t="s">
        <v>195</v>
      </c>
      <c r="K187" s="52">
        <v>3.0</v>
      </c>
      <c r="L187" s="52" t="s">
        <v>200</v>
      </c>
      <c r="M187" s="52">
        <v>1.0</v>
      </c>
      <c r="N187" s="52" t="s">
        <v>150</v>
      </c>
      <c r="O187" s="52" t="s">
        <v>119</v>
      </c>
      <c r="P187" s="52" t="s">
        <v>133</v>
      </c>
      <c r="Q187" s="52" t="s">
        <v>125</v>
      </c>
      <c r="R187" s="52" t="s">
        <v>116</v>
      </c>
      <c r="S187" s="52" t="s">
        <v>125</v>
      </c>
      <c r="T187" s="65" t="s">
        <v>27</v>
      </c>
      <c r="U187" s="32">
        <v>1.0</v>
      </c>
      <c r="V187" s="32">
        <v>1.0</v>
      </c>
      <c r="W187" s="32">
        <v>1.0</v>
      </c>
      <c r="X187" s="32">
        <v>1.0</v>
      </c>
      <c r="Y187" s="32">
        <v>1.0</v>
      </c>
      <c r="Z187" s="32">
        <v>1.0</v>
      </c>
      <c r="AA187" s="32">
        <v>6.0</v>
      </c>
      <c r="AB187" s="32">
        <v>0.0</v>
      </c>
      <c r="AC187" s="103" t="str">
        <f>IFERROR(__xludf.DUMMYFUNCTION("if($C187="""","""",if(join("" - "",{iferror(filter('Student Groupings'!$A:$A,'Student Groupings'!$B:$B=$C187,'Student Groupings'!$H:$H=""Can't be Together""),"""");iferror(filter('Student Groupings'!$A:$A,'Student Groupings'!$E:$E=$C187,'Student Groupings"&amp;"'!$H:$H=""Can't be Together""),"""")})="" - "","""",join("" - "",{iferror(filter('Student Groupings'!$A:$A,'Student Groupings'!$B:$B=$C187,'Student Groupings'!$H:$H=""Can't be Together""),"""");iferror(filter('Student Groupings'!$A:$A,'Student Groupings'!"&amp;"$E:$E=$C187,'Student Groupings'!$H:$H=""Can't be Together""),"""")})))"),"")</f>
        <v/>
      </c>
      <c r="AD187" s="103" t="str">
        <f>IFERROR(__xludf.DUMMYFUNCTION("if($C187="""","""",if(join("" - "",{iferror(filter('Student Groupings'!$A:$A,'Student Groupings'!$B:$B=$C187,'Student Groupings'!$H:$H=""Must be Together""),"""");iferror(filter('Student Groupings'!$A:$A,'Student Groupings'!$E:$E=$C187,'Student Groupings'"&amp;"!$H:$H=""Must be Together""),"""")})="" - "","""",join("" - "",{iferror(filter('Student Groupings'!$A:$A,'Student Groupings'!$B:$B=$C187,'Student Groupings'!$H:$H=""Must be Together""),"""");iferror(filter('Student Groupings'!$A:$A,'Student Groupings'!$E:"&amp;"$E=$C187,'Student Groupings'!$H:$H=""Must be Together""),"""")})))"),"")</f>
        <v/>
      </c>
      <c r="AE187" s="105"/>
      <c r="AF187" s="105">
        <v>1.0</v>
      </c>
      <c r="AG187" s="104"/>
      <c r="AH187" s="104"/>
    </row>
    <row r="188">
      <c r="A188" s="101">
        <v>7.0</v>
      </c>
      <c r="B188" s="101">
        <v>30042.0</v>
      </c>
      <c r="C188" s="102" t="s">
        <v>254</v>
      </c>
      <c r="D188" s="52" t="s">
        <v>175</v>
      </c>
      <c r="E188" s="52">
        <v>5.0</v>
      </c>
      <c r="F188" s="52" t="s">
        <v>163</v>
      </c>
      <c r="G188" s="52">
        <v>3.0</v>
      </c>
      <c r="H188" s="52" t="s">
        <v>184</v>
      </c>
      <c r="I188" s="52">
        <v>6.0</v>
      </c>
      <c r="J188" s="52" t="s">
        <v>195</v>
      </c>
      <c r="K188" s="52">
        <v>2.0</v>
      </c>
      <c r="L188" s="52" t="s">
        <v>203</v>
      </c>
      <c r="M188" s="52">
        <v>4.0</v>
      </c>
      <c r="N188" s="52" t="s">
        <v>150</v>
      </c>
      <c r="O188" s="52" t="s">
        <v>129</v>
      </c>
      <c r="P188" s="52" t="s">
        <v>116</v>
      </c>
      <c r="Q188" s="52" t="s">
        <v>108</v>
      </c>
      <c r="R188" s="52" t="s">
        <v>133</v>
      </c>
      <c r="S188" s="52" t="s">
        <v>108</v>
      </c>
      <c r="T188" s="65" t="s">
        <v>8</v>
      </c>
      <c r="U188" s="32">
        <v>1.0</v>
      </c>
      <c r="V188" s="32">
        <v>1.0</v>
      </c>
      <c r="W188" s="32">
        <v>1.0</v>
      </c>
      <c r="X188" s="32">
        <v>1.0</v>
      </c>
      <c r="Y188" s="32">
        <v>1.0</v>
      </c>
      <c r="Z188" s="32">
        <v>1.0</v>
      </c>
      <c r="AA188" s="32">
        <v>6.0</v>
      </c>
      <c r="AB188" s="32">
        <v>0.0</v>
      </c>
      <c r="AC188" s="103" t="str">
        <f>IFERROR(__xludf.DUMMYFUNCTION("if($C188="""","""",if(join("" - "",{iferror(filter('Student Groupings'!$A:$A,'Student Groupings'!$B:$B=$C188,'Student Groupings'!$H:$H=""Can't be Together""),"""");iferror(filter('Student Groupings'!$A:$A,'Student Groupings'!$E:$E=$C188,'Student Groupings"&amp;"'!$H:$H=""Can't be Together""),"""")})="" - "","""",join("" - "",{iferror(filter('Student Groupings'!$A:$A,'Student Groupings'!$B:$B=$C188,'Student Groupings'!$H:$H=""Can't be Together""),"""");iferror(filter('Student Groupings'!$A:$A,'Student Groupings'!"&amp;"$E:$E=$C188,'Student Groupings'!$H:$H=""Can't be Together""),"""")})))"),"38 - ")</f>
        <v>38 - </v>
      </c>
      <c r="AD188" s="103" t="str">
        <f>IFERROR(__xludf.DUMMYFUNCTION("if($C188="""","""",if(join("" - "",{iferror(filter('Student Groupings'!$A:$A,'Student Groupings'!$B:$B=$C188,'Student Groupings'!$H:$H=""Must be Together""),"""");iferror(filter('Student Groupings'!$A:$A,'Student Groupings'!$E:$E=$C188,'Student Groupings'"&amp;"!$H:$H=""Must be Together""),"""")})="" - "","""",join("" - "",{iferror(filter('Student Groupings'!$A:$A,'Student Groupings'!$B:$B=$C188,'Student Groupings'!$H:$H=""Must be Together""),"""");iferror(filter('Student Groupings'!$A:$A,'Student Groupings'!$E:"&amp;"$E=$C188,'Student Groupings'!$H:$H=""Must be Together""),"""")})))"),"")</f>
        <v/>
      </c>
      <c r="AE188" s="104"/>
      <c r="AF188" s="104"/>
      <c r="AG188" s="104"/>
      <c r="AH188" s="104"/>
    </row>
    <row r="189">
      <c r="A189" s="101">
        <v>7.0</v>
      </c>
      <c r="B189" s="101">
        <v>30043.0</v>
      </c>
      <c r="C189" s="102" t="s">
        <v>458</v>
      </c>
      <c r="D189" s="52" t="s">
        <v>175</v>
      </c>
      <c r="E189" s="52">
        <v>2.0</v>
      </c>
      <c r="F189" s="52" t="s">
        <v>163</v>
      </c>
      <c r="G189" s="52">
        <v>6.0</v>
      </c>
      <c r="H189" s="52" t="s">
        <v>184</v>
      </c>
      <c r="I189" s="52">
        <v>3.0</v>
      </c>
      <c r="J189" s="52" t="s">
        <v>195</v>
      </c>
      <c r="K189" s="52">
        <v>5.0</v>
      </c>
      <c r="L189" s="52" t="s">
        <v>200</v>
      </c>
      <c r="M189" s="52">
        <v>4.0</v>
      </c>
      <c r="N189" s="52" t="s">
        <v>154</v>
      </c>
      <c r="O189" s="52" t="s">
        <v>129</v>
      </c>
      <c r="P189" s="52" t="s">
        <v>140</v>
      </c>
      <c r="Q189" s="52" t="s">
        <v>108</v>
      </c>
      <c r="R189" s="52" t="s">
        <v>140</v>
      </c>
      <c r="S189" s="52" t="s">
        <v>108</v>
      </c>
      <c r="T189" s="65" t="s">
        <v>30</v>
      </c>
      <c r="U189" s="32">
        <v>1.0</v>
      </c>
      <c r="V189" s="32">
        <v>1.0</v>
      </c>
      <c r="W189" s="32">
        <v>1.0</v>
      </c>
      <c r="X189" s="32">
        <v>1.0</v>
      </c>
      <c r="Y189" s="32">
        <v>1.0</v>
      </c>
      <c r="Z189" s="32">
        <v>1.0</v>
      </c>
      <c r="AA189" s="32">
        <v>6.0</v>
      </c>
      <c r="AB189" s="32">
        <v>0.0</v>
      </c>
      <c r="AC189" s="103" t="str">
        <f>IFERROR(__xludf.DUMMYFUNCTION("if($C189="""","""",if(join("" - "",{iferror(filter('Student Groupings'!$A:$A,'Student Groupings'!$B:$B=$C189,'Student Groupings'!$H:$H=""Can't be Together""),"""");iferror(filter('Student Groupings'!$A:$A,'Student Groupings'!$E:$E=$C189,'Student Groupings"&amp;"'!$H:$H=""Can't be Together""),"""")})="" - "","""",join("" - "",{iferror(filter('Student Groupings'!$A:$A,'Student Groupings'!$B:$B=$C189,'Student Groupings'!$H:$H=""Can't be Together""),"""");iferror(filter('Student Groupings'!$A:$A,'Student Groupings'!"&amp;"$E:$E=$C189,'Student Groupings'!$H:$H=""Can't be Together""),"""")})))"),"")</f>
        <v/>
      </c>
      <c r="AD189" s="103" t="str">
        <f>IFERROR(__xludf.DUMMYFUNCTION("if($C189="""","""",if(join("" - "",{iferror(filter('Student Groupings'!$A:$A,'Student Groupings'!$B:$B=$C189,'Student Groupings'!$H:$H=""Must be Together""),"""");iferror(filter('Student Groupings'!$A:$A,'Student Groupings'!$E:$E=$C189,'Student Groupings'"&amp;"!$H:$H=""Must be Together""),"""")})="" - "","""",join("" - "",{iferror(filter('Student Groupings'!$A:$A,'Student Groupings'!$B:$B=$C189,'Student Groupings'!$H:$H=""Must be Together""),"""");iferror(filter('Student Groupings'!$A:$A,'Student Groupings'!$E:"&amp;"$E=$C189,'Student Groupings'!$H:$H=""Must be Together""),"""")})))"),"")</f>
        <v/>
      </c>
      <c r="AE189" s="104"/>
      <c r="AF189" s="104"/>
      <c r="AG189" s="104"/>
      <c r="AH189" s="104"/>
    </row>
    <row r="190">
      <c r="A190" s="101">
        <v>7.0</v>
      </c>
      <c r="B190" s="101">
        <v>30045.0</v>
      </c>
      <c r="C190" s="102" t="s">
        <v>459</v>
      </c>
      <c r="D190" s="52" t="s">
        <v>175</v>
      </c>
      <c r="E190" s="52">
        <v>6.0</v>
      </c>
      <c r="F190" s="52" t="s">
        <v>164</v>
      </c>
      <c r="G190" s="52">
        <v>4.0</v>
      </c>
      <c r="H190" s="52" t="s">
        <v>188</v>
      </c>
      <c r="I190" s="52">
        <v>5.0</v>
      </c>
      <c r="J190" s="52" t="s">
        <v>195</v>
      </c>
      <c r="K190" s="52">
        <v>1.0</v>
      </c>
      <c r="L190" s="52" t="s">
        <v>200</v>
      </c>
      <c r="M190" s="52">
        <v>3.0</v>
      </c>
      <c r="N190" s="52" t="s">
        <v>154</v>
      </c>
      <c r="O190" s="52" t="s">
        <v>119</v>
      </c>
      <c r="P190" s="52" t="s">
        <v>140</v>
      </c>
      <c r="Q190" s="52" t="s">
        <v>125</v>
      </c>
      <c r="R190" s="52" t="s">
        <v>140</v>
      </c>
      <c r="S190" s="52" t="s">
        <v>125</v>
      </c>
      <c r="T190" s="65" t="s">
        <v>30</v>
      </c>
      <c r="U190" s="32">
        <v>1.0</v>
      </c>
      <c r="V190" s="32">
        <v>1.0</v>
      </c>
      <c r="W190" s="32">
        <v>1.0</v>
      </c>
      <c r="X190" s="32">
        <v>1.0</v>
      </c>
      <c r="Y190" s="32">
        <v>1.0</v>
      </c>
      <c r="Z190" s="32">
        <v>1.0</v>
      </c>
      <c r="AA190" s="32">
        <v>6.0</v>
      </c>
      <c r="AB190" s="32">
        <v>0.0</v>
      </c>
      <c r="AC190" s="103" t="str">
        <f>IFERROR(__xludf.DUMMYFUNCTION("if($C190="""","""",if(join("" - "",{iferror(filter('Student Groupings'!$A:$A,'Student Groupings'!$B:$B=$C190,'Student Groupings'!$H:$H=""Can't be Together""),"""");iferror(filter('Student Groupings'!$A:$A,'Student Groupings'!$E:$E=$C190,'Student Groupings"&amp;"'!$H:$H=""Can't be Together""),"""")})="" - "","""",join("" - "",{iferror(filter('Student Groupings'!$A:$A,'Student Groupings'!$B:$B=$C190,'Student Groupings'!$H:$H=""Can't be Together""),"""");iferror(filter('Student Groupings'!$A:$A,'Student Groupings'!"&amp;"$E:$E=$C190,'Student Groupings'!$H:$H=""Can't be Together""),"""")})))"),"")</f>
        <v/>
      </c>
      <c r="AD190" s="103" t="str">
        <f>IFERROR(__xludf.DUMMYFUNCTION("if($C190="""","""",if(join("" - "",{iferror(filter('Student Groupings'!$A:$A,'Student Groupings'!$B:$B=$C190,'Student Groupings'!$H:$H=""Must be Together""),"""");iferror(filter('Student Groupings'!$A:$A,'Student Groupings'!$E:$E=$C190,'Student Groupings'"&amp;"!$H:$H=""Must be Together""),"""")})="" - "","""",join("" - "",{iferror(filter('Student Groupings'!$A:$A,'Student Groupings'!$B:$B=$C190,'Student Groupings'!$H:$H=""Must be Together""),"""");iferror(filter('Student Groupings'!$A:$A,'Student Groupings'!$E:"&amp;"$E=$C190,'Student Groupings'!$H:$H=""Must be Together""),"""")})))"),"")</f>
        <v/>
      </c>
      <c r="AE190" s="104"/>
      <c r="AF190" s="104"/>
      <c r="AG190" s="104"/>
      <c r="AH190" s="104"/>
    </row>
    <row r="191">
      <c r="A191" s="101">
        <v>7.0</v>
      </c>
      <c r="B191" s="101">
        <v>30139.0</v>
      </c>
      <c r="C191" s="102" t="s">
        <v>460</v>
      </c>
      <c r="D191" s="52" t="s">
        <v>175</v>
      </c>
      <c r="E191" s="52">
        <v>3.0</v>
      </c>
      <c r="F191" s="52" t="s">
        <v>163</v>
      </c>
      <c r="G191" s="52">
        <v>5.0</v>
      </c>
      <c r="H191" s="52" t="s">
        <v>184</v>
      </c>
      <c r="I191" s="52">
        <v>2.0</v>
      </c>
      <c r="J191" s="52" t="s">
        <v>193</v>
      </c>
      <c r="K191" s="52">
        <v>1.0</v>
      </c>
      <c r="L191" s="52" t="s">
        <v>200</v>
      </c>
      <c r="M191" s="52">
        <v>6.0</v>
      </c>
      <c r="N191" s="52" t="s">
        <v>150</v>
      </c>
      <c r="O191" s="52" t="s">
        <v>111</v>
      </c>
      <c r="P191" s="52" t="s">
        <v>140</v>
      </c>
      <c r="Q191" s="52" t="s">
        <v>130</v>
      </c>
      <c r="R191" s="52" t="s">
        <v>140</v>
      </c>
      <c r="S191" s="52" t="s">
        <v>130</v>
      </c>
      <c r="T191" s="65" t="s">
        <v>30</v>
      </c>
      <c r="U191" s="32">
        <v>1.0</v>
      </c>
      <c r="V191" s="32">
        <v>1.0</v>
      </c>
      <c r="W191" s="32">
        <v>1.0</v>
      </c>
      <c r="X191" s="32">
        <v>1.0</v>
      </c>
      <c r="Y191" s="32">
        <v>1.0</v>
      </c>
      <c r="Z191" s="32">
        <v>1.0</v>
      </c>
      <c r="AA191" s="32">
        <v>6.0</v>
      </c>
      <c r="AB191" s="32">
        <v>0.0</v>
      </c>
      <c r="AC191" s="103" t="str">
        <f>IFERROR(__xludf.DUMMYFUNCTION("if($C191="""","""",if(join("" - "",{iferror(filter('Student Groupings'!$A:$A,'Student Groupings'!$B:$B=$C191,'Student Groupings'!$H:$H=""Can't be Together""),"""");iferror(filter('Student Groupings'!$A:$A,'Student Groupings'!$E:$E=$C191,'Student Groupings"&amp;"'!$H:$H=""Can't be Together""),"""")})="" - "","""",join("" - "",{iferror(filter('Student Groupings'!$A:$A,'Student Groupings'!$B:$B=$C191,'Student Groupings'!$H:$H=""Can't be Together""),"""");iferror(filter('Student Groupings'!$A:$A,'Student Groupings'!"&amp;"$E:$E=$C191,'Student Groupings'!$H:$H=""Can't be Together""),"""")})))"),"")</f>
        <v/>
      </c>
      <c r="AD191" s="103" t="str">
        <f>IFERROR(__xludf.DUMMYFUNCTION("if($C191="""","""",if(join("" - "",{iferror(filter('Student Groupings'!$A:$A,'Student Groupings'!$B:$B=$C191,'Student Groupings'!$H:$H=""Must be Together""),"""");iferror(filter('Student Groupings'!$A:$A,'Student Groupings'!$E:$E=$C191,'Student Groupings'"&amp;"!$H:$H=""Must be Together""),"""")})="" - "","""",join("" - "",{iferror(filter('Student Groupings'!$A:$A,'Student Groupings'!$B:$B=$C191,'Student Groupings'!$H:$H=""Must be Together""),"""");iferror(filter('Student Groupings'!$A:$A,'Student Groupings'!$E:"&amp;"$E=$C191,'Student Groupings'!$H:$H=""Must be Together""),"""")})))"),"")</f>
        <v/>
      </c>
      <c r="AE191" s="105"/>
      <c r="AF191" s="105"/>
      <c r="AG191" s="105"/>
      <c r="AH191" s="105"/>
    </row>
    <row r="192">
      <c r="A192" s="101">
        <v>7.0</v>
      </c>
      <c r="B192" s="101">
        <v>30046.0</v>
      </c>
      <c r="C192" s="102" t="s">
        <v>461</v>
      </c>
      <c r="D192" s="52" t="s">
        <v>179</v>
      </c>
      <c r="E192" s="52">
        <v>6.0</v>
      </c>
      <c r="F192" s="52" t="s">
        <v>164</v>
      </c>
      <c r="G192" s="52">
        <v>4.0</v>
      </c>
      <c r="H192" s="52" t="s">
        <v>184</v>
      </c>
      <c r="I192" s="52">
        <v>5.0</v>
      </c>
      <c r="J192" s="52" t="s">
        <v>195</v>
      </c>
      <c r="K192" s="52">
        <v>3.0</v>
      </c>
      <c r="L192" s="52" t="s">
        <v>200</v>
      </c>
      <c r="M192" s="52">
        <v>1.0</v>
      </c>
      <c r="N192" s="52" t="s">
        <v>154</v>
      </c>
      <c r="O192" s="52" t="s">
        <v>119</v>
      </c>
      <c r="P192" s="52" t="s">
        <v>140</v>
      </c>
      <c r="Q192" s="52" t="s">
        <v>125</v>
      </c>
      <c r="R192" s="52" t="s">
        <v>140</v>
      </c>
      <c r="S192" s="52" t="s">
        <v>125</v>
      </c>
      <c r="T192" s="65" t="s">
        <v>30</v>
      </c>
      <c r="U192" s="32">
        <v>1.0</v>
      </c>
      <c r="V192" s="32">
        <v>1.0</v>
      </c>
      <c r="W192" s="32">
        <v>1.0</v>
      </c>
      <c r="X192" s="32">
        <v>1.0</v>
      </c>
      <c r="Y192" s="32">
        <v>1.0</v>
      </c>
      <c r="Z192" s="32">
        <v>1.0</v>
      </c>
      <c r="AA192" s="32">
        <v>6.0</v>
      </c>
      <c r="AB192" s="32">
        <v>0.0</v>
      </c>
      <c r="AC192" s="103" t="str">
        <f>IFERROR(__xludf.DUMMYFUNCTION("if($C192="""","""",if(join("" - "",{iferror(filter('Student Groupings'!$A:$A,'Student Groupings'!$B:$B=$C192,'Student Groupings'!$H:$H=""Can't be Together""),"""");iferror(filter('Student Groupings'!$A:$A,'Student Groupings'!$E:$E=$C192,'Student Groupings"&amp;"'!$H:$H=""Can't be Together""),"""")})="" - "","""",join("" - "",{iferror(filter('Student Groupings'!$A:$A,'Student Groupings'!$B:$B=$C192,'Student Groupings'!$H:$H=""Can't be Together""),"""");iferror(filter('Student Groupings'!$A:$A,'Student Groupings'!"&amp;"$E:$E=$C192,'Student Groupings'!$H:$H=""Can't be Together""),"""")})))"),"")</f>
        <v/>
      </c>
      <c r="AD192" s="103" t="str">
        <f>IFERROR(__xludf.DUMMYFUNCTION("if($C192="""","""",if(join("" - "",{iferror(filter('Student Groupings'!$A:$A,'Student Groupings'!$B:$B=$C192,'Student Groupings'!$H:$H=""Must be Together""),"""");iferror(filter('Student Groupings'!$A:$A,'Student Groupings'!$E:$E=$C192,'Student Groupings'"&amp;"!$H:$H=""Must be Together""),"""")})="" - "","""",join("" - "",{iferror(filter('Student Groupings'!$A:$A,'Student Groupings'!$B:$B=$C192,'Student Groupings'!$H:$H=""Must be Together""),"""");iferror(filter('Student Groupings'!$A:$A,'Student Groupings'!$E:"&amp;"$E=$C192,'Student Groupings'!$H:$H=""Must be Together""),"""")})))"),"")</f>
        <v/>
      </c>
      <c r="AE192" s="105"/>
      <c r="AF192" s="105">
        <v>1.0</v>
      </c>
      <c r="AG192" s="104"/>
      <c r="AH192" s="104"/>
    </row>
    <row r="193">
      <c r="A193" s="101">
        <v>7.0</v>
      </c>
      <c r="B193" s="101">
        <v>30047.0</v>
      </c>
      <c r="C193" s="102" t="s">
        <v>462</v>
      </c>
      <c r="D193" s="52" t="s">
        <v>175</v>
      </c>
      <c r="E193" s="52">
        <v>6.0</v>
      </c>
      <c r="F193" s="52" t="s">
        <v>163</v>
      </c>
      <c r="G193" s="52">
        <v>4.0</v>
      </c>
      <c r="H193" s="52" t="s">
        <v>188</v>
      </c>
      <c r="I193" s="52">
        <v>5.0</v>
      </c>
      <c r="J193" s="52" t="s">
        <v>195</v>
      </c>
      <c r="K193" s="52">
        <v>1.0</v>
      </c>
      <c r="L193" s="52" t="s">
        <v>200</v>
      </c>
      <c r="M193" s="52">
        <v>3.0</v>
      </c>
      <c r="N193" s="52" t="s">
        <v>150</v>
      </c>
      <c r="O193" s="52" t="s">
        <v>119</v>
      </c>
      <c r="P193" s="52" t="s">
        <v>133</v>
      </c>
      <c r="Q193" s="52" t="s">
        <v>125</v>
      </c>
      <c r="R193" s="52" t="s">
        <v>116</v>
      </c>
      <c r="S193" s="52" t="s">
        <v>125</v>
      </c>
      <c r="T193" s="65" t="s">
        <v>27</v>
      </c>
      <c r="U193" s="32">
        <v>1.0</v>
      </c>
      <c r="V193" s="32">
        <v>1.0</v>
      </c>
      <c r="W193" s="32">
        <v>1.0</v>
      </c>
      <c r="X193" s="32">
        <v>1.0</v>
      </c>
      <c r="Y193" s="32">
        <v>1.0</v>
      </c>
      <c r="Z193" s="32">
        <v>1.0</v>
      </c>
      <c r="AA193" s="32">
        <v>6.0</v>
      </c>
      <c r="AB193" s="32">
        <v>0.0</v>
      </c>
      <c r="AC193" s="103" t="str">
        <f>IFERROR(__xludf.DUMMYFUNCTION("if($C193="""","""",if(join("" - "",{iferror(filter('Student Groupings'!$A:$A,'Student Groupings'!$B:$B=$C193,'Student Groupings'!$H:$H=""Can't be Together""),"""");iferror(filter('Student Groupings'!$A:$A,'Student Groupings'!$E:$E=$C193,'Student Groupings"&amp;"'!$H:$H=""Can't be Together""),"""")})="" - "","""",join("" - "",{iferror(filter('Student Groupings'!$A:$A,'Student Groupings'!$B:$B=$C193,'Student Groupings'!$H:$H=""Can't be Together""),"""");iferror(filter('Student Groupings'!$A:$A,'Student Groupings'!"&amp;"$E:$E=$C193,'Student Groupings'!$H:$H=""Can't be Together""),"""")})))"),"")</f>
        <v/>
      </c>
      <c r="AD193" s="103" t="str">
        <f>IFERROR(__xludf.DUMMYFUNCTION("if($C193="""","""",if(join("" - "",{iferror(filter('Student Groupings'!$A:$A,'Student Groupings'!$B:$B=$C193,'Student Groupings'!$H:$H=""Must be Together""),"""");iferror(filter('Student Groupings'!$A:$A,'Student Groupings'!$E:$E=$C193,'Student Groupings'"&amp;"!$H:$H=""Must be Together""),"""")})="" - "","""",join("" - "",{iferror(filter('Student Groupings'!$A:$A,'Student Groupings'!$B:$B=$C193,'Student Groupings'!$H:$H=""Must be Together""),"""");iferror(filter('Student Groupings'!$A:$A,'Student Groupings'!$E:"&amp;"$E=$C193,'Student Groupings'!$H:$H=""Must be Together""),"""")})))"),"")</f>
        <v/>
      </c>
      <c r="AE193" s="104"/>
      <c r="AF193" s="104"/>
      <c r="AG193" s="104"/>
      <c r="AH193" s="104"/>
    </row>
    <row r="194">
      <c r="A194" s="101">
        <v>7.0</v>
      </c>
      <c r="B194" s="101">
        <v>30048.0</v>
      </c>
      <c r="C194" s="102" t="s">
        <v>463</v>
      </c>
      <c r="D194" s="52" t="s">
        <v>175</v>
      </c>
      <c r="E194" s="52">
        <v>3.0</v>
      </c>
      <c r="F194" s="52" t="s">
        <v>163</v>
      </c>
      <c r="G194" s="52">
        <v>4.0</v>
      </c>
      <c r="H194" s="52" t="s">
        <v>184</v>
      </c>
      <c r="I194" s="52">
        <v>5.0</v>
      </c>
      <c r="J194" s="52" t="s">
        <v>193</v>
      </c>
      <c r="K194" s="52">
        <v>1.0</v>
      </c>
      <c r="L194" s="52" t="s">
        <v>200</v>
      </c>
      <c r="M194" s="52">
        <v>6.0</v>
      </c>
      <c r="N194" s="52" t="s">
        <v>150</v>
      </c>
      <c r="O194" s="52" t="s">
        <v>119</v>
      </c>
      <c r="P194" s="52" t="s">
        <v>116</v>
      </c>
      <c r="Q194" s="52" t="s">
        <v>125</v>
      </c>
      <c r="R194" s="52" t="s">
        <v>133</v>
      </c>
      <c r="S194" s="52" t="s">
        <v>125</v>
      </c>
      <c r="T194" s="65" t="s">
        <v>27</v>
      </c>
      <c r="U194" s="32">
        <v>1.0</v>
      </c>
      <c r="V194" s="32">
        <v>1.0</v>
      </c>
      <c r="W194" s="32">
        <v>1.0</v>
      </c>
      <c r="X194" s="32">
        <v>1.0</v>
      </c>
      <c r="Y194" s="32">
        <v>1.0</v>
      </c>
      <c r="Z194" s="32">
        <v>1.0</v>
      </c>
      <c r="AA194" s="32">
        <v>6.0</v>
      </c>
      <c r="AB194" s="32">
        <v>0.0</v>
      </c>
      <c r="AC194" s="103" t="str">
        <f>IFERROR(__xludf.DUMMYFUNCTION("if($C194="""","""",if(join("" - "",{iferror(filter('Student Groupings'!$A:$A,'Student Groupings'!$B:$B=$C194,'Student Groupings'!$H:$H=""Can't be Together""),"""");iferror(filter('Student Groupings'!$A:$A,'Student Groupings'!$E:$E=$C194,'Student Groupings"&amp;"'!$H:$H=""Can't be Together""),"""")})="" - "","""",join("" - "",{iferror(filter('Student Groupings'!$A:$A,'Student Groupings'!$B:$B=$C194,'Student Groupings'!$H:$H=""Can't be Together""),"""");iferror(filter('Student Groupings'!$A:$A,'Student Groupings'!"&amp;"$E:$E=$C194,'Student Groupings'!$H:$H=""Can't be Together""),"""")})))"),"")</f>
        <v/>
      </c>
      <c r="AD194" s="103" t="str">
        <f>IFERROR(__xludf.DUMMYFUNCTION("if($C194="""","""",if(join("" - "",{iferror(filter('Student Groupings'!$A:$A,'Student Groupings'!$B:$B=$C194,'Student Groupings'!$H:$H=""Must be Together""),"""");iferror(filter('Student Groupings'!$A:$A,'Student Groupings'!$E:$E=$C194,'Student Groupings'"&amp;"!$H:$H=""Must be Together""),"""")})="" - "","""",join("" - "",{iferror(filter('Student Groupings'!$A:$A,'Student Groupings'!$B:$B=$C194,'Student Groupings'!$H:$H=""Must be Together""),"""");iferror(filter('Student Groupings'!$A:$A,'Student Groupings'!$E:"&amp;"$E=$C194,'Student Groupings'!$H:$H=""Must be Together""),"""")})))"),"")</f>
        <v/>
      </c>
      <c r="AE194" s="104"/>
      <c r="AF194" s="104"/>
      <c r="AG194" s="104"/>
      <c r="AH194" s="104"/>
    </row>
    <row r="195">
      <c r="A195" s="101">
        <v>7.0</v>
      </c>
      <c r="B195" s="101">
        <v>30146.0</v>
      </c>
      <c r="C195" s="102" t="s">
        <v>464</v>
      </c>
      <c r="D195" s="52" t="s">
        <v>175</v>
      </c>
      <c r="E195" s="52">
        <v>4.0</v>
      </c>
      <c r="F195" s="52" t="s">
        <v>164</v>
      </c>
      <c r="G195" s="52">
        <v>3.0</v>
      </c>
      <c r="H195" s="52" t="s">
        <v>184</v>
      </c>
      <c r="I195" s="52">
        <v>1.0</v>
      </c>
      <c r="J195" s="52" t="s">
        <v>193</v>
      </c>
      <c r="K195" s="52">
        <v>5.0</v>
      </c>
      <c r="L195" s="52" t="s">
        <v>200</v>
      </c>
      <c r="M195" s="52">
        <v>2.0</v>
      </c>
      <c r="N195" s="52" t="s">
        <v>150</v>
      </c>
      <c r="O195" s="52" t="s">
        <v>109</v>
      </c>
      <c r="P195" s="52" t="s">
        <v>116</v>
      </c>
      <c r="Q195" s="52" t="s">
        <v>120</v>
      </c>
      <c r="R195" s="52" t="s">
        <v>133</v>
      </c>
      <c r="S195" s="52" t="s">
        <v>120</v>
      </c>
      <c r="T195" s="65" t="s">
        <v>27</v>
      </c>
      <c r="U195" s="32">
        <v>1.0</v>
      </c>
      <c r="V195" s="32">
        <v>1.0</v>
      </c>
      <c r="W195" s="32">
        <v>1.0</v>
      </c>
      <c r="X195" s="32">
        <v>1.0</v>
      </c>
      <c r="Y195" s="32">
        <v>1.0</v>
      </c>
      <c r="Z195" s="32">
        <v>1.0</v>
      </c>
      <c r="AA195" s="32">
        <v>6.0</v>
      </c>
      <c r="AB195" s="32">
        <v>0.0</v>
      </c>
      <c r="AC195" s="103" t="str">
        <f>IFERROR(__xludf.DUMMYFUNCTION("if($C195="""","""",if(join("" - "",{iferror(filter('Student Groupings'!$A:$A,'Student Groupings'!$B:$B=$C195,'Student Groupings'!$H:$H=""Can't be Together""),"""");iferror(filter('Student Groupings'!$A:$A,'Student Groupings'!$E:$E=$C195,'Student Groupings"&amp;"'!$H:$H=""Can't be Together""),"""")})="" - "","""",join("" - "",{iferror(filter('Student Groupings'!$A:$A,'Student Groupings'!$B:$B=$C195,'Student Groupings'!$H:$H=""Can't be Together""),"""");iferror(filter('Student Groupings'!$A:$A,'Student Groupings'!"&amp;"$E:$E=$C195,'Student Groupings'!$H:$H=""Can't be Together""),"""")})))"),"")</f>
        <v/>
      </c>
      <c r="AD195" s="103" t="str">
        <f>IFERROR(__xludf.DUMMYFUNCTION("if($C195="""","""",if(join("" - "",{iferror(filter('Student Groupings'!$A:$A,'Student Groupings'!$B:$B=$C195,'Student Groupings'!$H:$H=""Must be Together""),"""");iferror(filter('Student Groupings'!$A:$A,'Student Groupings'!$E:$E=$C195,'Student Groupings'"&amp;"!$H:$H=""Must be Together""),"""")})="" - "","""",join("" - "",{iferror(filter('Student Groupings'!$A:$A,'Student Groupings'!$B:$B=$C195,'Student Groupings'!$H:$H=""Must be Together""),"""");iferror(filter('Student Groupings'!$A:$A,'Student Groupings'!$E:"&amp;"$E=$C195,'Student Groupings'!$H:$H=""Must be Together""),"""")})))"),"")</f>
        <v/>
      </c>
      <c r="AE195" s="104"/>
      <c r="AF195" s="104"/>
      <c r="AG195" s="104"/>
      <c r="AH195" s="104"/>
    </row>
    <row r="196">
      <c r="A196" s="101">
        <v>7.0</v>
      </c>
      <c r="B196" s="101">
        <v>30049.0</v>
      </c>
      <c r="C196" s="102" t="s">
        <v>465</v>
      </c>
      <c r="D196" s="52" t="s">
        <v>175</v>
      </c>
      <c r="E196" s="52">
        <v>2.0</v>
      </c>
      <c r="F196" s="52" t="s">
        <v>163</v>
      </c>
      <c r="G196" s="52">
        <v>6.0</v>
      </c>
      <c r="H196" s="52" t="s">
        <v>184</v>
      </c>
      <c r="I196" s="52">
        <v>3.0</v>
      </c>
      <c r="J196" s="52" t="s">
        <v>195</v>
      </c>
      <c r="K196" s="52">
        <v>5.0</v>
      </c>
      <c r="L196" s="52" t="s">
        <v>200</v>
      </c>
      <c r="M196" s="52">
        <v>4.0</v>
      </c>
      <c r="N196" s="52" t="s">
        <v>154</v>
      </c>
      <c r="O196" s="52" t="s">
        <v>129</v>
      </c>
      <c r="P196" s="52" t="s">
        <v>140</v>
      </c>
      <c r="Q196" s="52" t="s">
        <v>108</v>
      </c>
      <c r="R196" s="52" t="s">
        <v>140</v>
      </c>
      <c r="S196" s="52" t="s">
        <v>108</v>
      </c>
      <c r="T196" s="65" t="s">
        <v>30</v>
      </c>
      <c r="U196" s="32">
        <v>1.0</v>
      </c>
      <c r="V196" s="32">
        <v>1.0</v>
      </c>
      <c r="W196" s="32">
        <v>1.0</v>
      </c>
      <c r="X196" s="32">
        <v>1.0</v>
      </c>
      <c r="Y196" s="32">
        <v>1.0</v>
      </c>
      <c r="Z196" s="32">
        <v>1.0</v>
      </c>
      <c r="AA196" s="32">
        <v>6.0</v>
      </c>
      <c r="AB196" s="32">
        <v>0.0</v>
      </c>
      <c r="AC196" s="103" t="str">
        <f>IFERROR(__xludf.DUMMYFUNCTION("if($C196="""","""",if(join("" - "",{iferror(filter('Student Groupings'!$A:$A,'Student Groupings'!$B:$B=$C196,'Student Groupings'!$H:$H=""Can't be Together""),"""");iferror(filter('Student Groupings'!$A:$A,'Student Groupings'!$E:$E=$C196,'Student Groupings"&amp;"'!$H:$H=""Can't be Together""),"""")})="" - "","""",join("" - "",{iferror(filter('Student Groupings'!$A:$A,'Student Groupings'!$B:$B=$C196,'Student Groupings'!$H:$H=""Can't be Together""),"""");iferror(filter('Student Groupings'!$A:$A,'Student Groupings'!"&amp;"$E:$E=$C196,'Student Groupings'!$H:$H=""Can't be Together""),"""")})))"),"")</f>
        <v/>
      </c>
      <c r="AD196" s="103" t="str">
        <f>IFERROR(__xludf.DUMMYFUNCTION("if($C196="""","""",if(join("" - "",{iferror(filter('Student Groupings'!$A:$A,'Student Groupings'!$B:$B=$C196,'Student Groupings'!$H:$H=""Must be Together""),"""");iferror(filter('Student Groupings'!$A:$A,'Student Groupings'!$E:$E=$C196,'Student Groupings'"&amp;"!$H:$H=""Must be Together""),"""")})="" - "","""",join("" - "",{iferror(filter('Student Groupings'!$A:$A,'Student Groupings'!$B:$B=$C196,'Student Groupings'!$H:$H=""Must be Together""),"""");iferror(filter('Student Groupings'!$A:$A,'Student Groupings'!$E:"&amp;"$E=$C196,'Student Groupings'!$H:$H=""Must be Together""),"""")})))"),"")</f>
        <v/>
      </c>
      <c r="AE196" s="104"/>
      <c r="AF196" s="104"/>
      <c r="AG196" s="104"/>
      <c r="AH196" s="104"/>
    </row>
    <row r="197">
      <c r="A197" s="101">
        <v>7.0</v>
      </c>
      <c r="B197" s="101">
        <v>30050.0</v>
      </c>
      <c r="C197" s="102" t="s">
        <v>466</v>
      </c>
      <c r="D197" s="52" t="s">
        <v>175</v>
      </c>
      <c r="E197" s="52">
        <v>5.0</v>
      </c>
      <c r="F197" s="52" t="s">
        <v>163</v>
      </c>
      <c r="G197" s="52">
        <v>3.0</v>
      </c>
      <c r="H197" s="52" t="s">
        <v>184</v>
      </c>
      <c r="I197" s="52">
        <v>6.0</v>
      </c>
      <c r="J197" s="52" t="s">
        <v>195</v>
      </c>
      <c r="K197" s="52">
        <v>2.0</v>
      </c>
      <c r="L197" s="52" t="s">
        <v>203</v>
      </c>
      <c r="M197" s="52">
        <v>4.0</v>
      </c>
      <c r="N197" s="52" t="s">
        <v>150</v>
      </c>
      <c r="O197" s="52" t="s">
        <v>129</v>
      </c>
      <c r="P197" s="52" t="s">
        <v>133</v>
      </c>
      <c r="Q197" s="52" t="s">
        <v>108</v>
      </c>
      <c r="R197" s="52" t="s">
        <v>116</v>
      </c>
      <c r="S197" s="52" t="s">
        <v>108</v>
      </c>
      <c r="T197" s="65" t="s">
        <v>27</v>
      </c>
      <c r="U197" s="32">
        <v>1.0</v>
      </c>
      <c r="V197" s="32">
        <v>1.0</v>
      </c>
      <c r="W197" s="32">
        <v>1.0</v>
      </c>
      <c r="X197" s="32">
        <v>1.0</v>
      </c>
      <c r="Y197" s="32">
        <v>1.0</v>
      </c>
      <c r="Z197" s="32">
        <v>1.0</v>
      </c>
      <c r="AA197" s="32">
        <v>6.0</v>
      </c>
      <c r="AB197" s="32">
        <v>0.0</v>
      </c>
      <c r="AC197" s="103" t="str">
        <f>IFERROR(__xludf.DUMMYFUNCTION("if($C197="""","""",if(join("" - "",{iferror(filter('Student Groupings'!$A:$A,'Student Groupings'!$B:$B=$C197,'Student Groupings'!$H:$H=""Can't be Together""),"""");iferror(filter('Student Groupings'!$A:$A,'Student Groupings'!$E:$E=$C197,'Student Groupings"&amp;"'!$H:$H=""Can't be Together""),"""")})="" - "","""",join("" - "",{iferror(filter('Student Groupings'!$A:$A,'Student Groupings'!$B:$B=$C197,'Student Groupings'!$H:$H=""Can't be Together""),"""");iferror(filter('Student Groupings'!$A:$A,'Student Groupings'!"&amp;"$E:$E=$C197,'Student Groupings'!$H:$H=""Can't be Together""),"""")})))"),"")</f>
        <v/>
      </c>
      <c r="AD197" s="103" t="str">
        <f>IFERROR(__xludf.DUMMYFUNCTION("if($C197="""","""",if(join("" - "",{iferror(filter('Student Groupings'!$A:$A,'Student Groupings'!$B:$B=$C197,'Student Groupings'!$H:$H=""Must be Together""),"""");iferror(filter('Student Groupings'!$A:$A,'Student Groupings'!$E:$E=$C197,'Student Groupings'"&amp;"!$H:$H=""Must be Together""),"""")})="" - "","""",join("" - "",{iferror(filter('Student Groupings'!$A:$A,'Student Groupings'!$B:$B=$C197,'Student Groupings'!$H:$H=""Must be Together""),"""");iferror(filter('Student Groupings'!$A:$A,'Student Groupings'!$E:"&amp;"$E=$C197,'Student Groupings'!$H:$H=""Must be Together""),"""")})))"),"")</f>
        <v/>
      </c>
      <c r="AE197" s="104"/>
      <c r="AF197" s="104"/>
      <c r="AG197" s="104"/>
      <c r="AH197" s="104"/>
    </row>
    <row r="198">
      <c r="A198" s="101">
        <v>7.0</v>
      </c>
      <c r="B198" s="101">
        <v>30051.0</v>
      </c>
      <c r="C198" s="102" t="s">
        <v>467</v>
      </c>
      <c r="D198" s="52" t="s">
        <v>179</v>
      </c>
      <c r="E198" s="52">
        <v>6.0</v>
      </c>
      <c r="F198" s="52" t="s">
        <v>163</v>
      </c>
      <c r="G198" s="52">
        <v>4.0</v>
      </c>
      <c r="H198" s="52" t="s">
        <v>188</v>
      </c>
      <c r="I198" s="52">
        <v>5.0</v>
      </c>
      <c r="J198" s="52" t="s">
        <v>195</v>
      </c>
      <c r="K198" s="52">
        <v>3.0</v>
      </c>
      <c r="L198" s="52" t="s">
        <v>200</v>
      </c>
      <c r="M198" s="52">
        <v>1.0</v>
      </c>
      <c r="N198" s="52" t="s">
        <v>150</v>
      </c>
      <c r="O198" s="52" t="s">
        <v>119</v>
      </c>
      <c r="P198" s="52" t="s">
        <v>133</v>
      </c>
      <c r="Q198" s="52" t="s">
        <v>125</v>
      </c>
      <c r="R198" s="52" t="s">
        <v>116</v>
      </c>
      <c r="S198" s="52" t="s">
        <v>125</v>
      </c>
      <c r="T198" s="65" t="s">
        <v>27</v>
      </c>
      <c r="U198" s="32">
        <v>1.0</v>
      </c>
      <c r="V198" s="32">
        <v>1.0</v>
      </c>
      <c r="W198" s="32">
        <v>1.0</v>
      </c>
      <c r="X198" s="32">
        <v>1.0</v>
      </c>
      <c r="Y198" s="32">
        <v>1.0</v>
      </c>
      <c r="Z198" s="32">
        <v>1.0</v>
      </c>
      <c r="AA198" s="32">
        <v>6.0</v>
      </c>
      <c r="AB198" s="32">
        <v>0.0</v>
      </c>
      <c r="AC198" s="103" t="str">
        <f>IFERROR(__xludf.DUMMYFUNCTION("if($C198="""","""",if(join("" - "",{iferror(filter('Student Groupings'!$A:$A,'Student Groupings'!$B:$B=$C198,'Student Groupings'!$H:$H=""Can't be Together""),"""");iferror(filter('Student Groupings'!$A:$A,'Student Groupings'!$E:$E=$C198,'Student Groupings"&amp;"'!$H:$H=""Can't be Together""),"""")})="" - "","""",join("" - "",{iferror(filter('Student Groupings'!$A:$A,'Student Groupings'!$B:$B=$C198,'Student Groupings'!$H:$H=""Can't be Together""),"""");iferror(filter('Student Groupings'!$A:$A,'Student Groupings'!"&amp;"$E:$E=$C198,'Student Groupings'!$H:$H=""Can't be Together""),"""")})))"),"")</f>
        <v/>
      </c>
      <c r="AD198" s="103" t="str">
        <f>IFERROR(__xludf.DUMMYFUNCTION("if($C198="""","""",if(join("" - "",{iferror(filter('Student Groupings'!$A:$A,'Student Groupings'!$B:$B=$C198,'Student Groupings'!$H:$H=""Must be Together""),"""");iferror(filter('Student Groupings'!$A:$A,'Student Groupings'!$E:$E=$C198,'Student Groupings'"&amp;"!$H:$H=""Must be Together""),"""")})="" - "","""",join("" - "",{iferror(filter('Student Groupings'!$A:$A,'Student Groupings'!$B:$B=$C198,'Student Groupings'!$H:$H=""Must be Together""),"""");iferror(filter('Student Groupings'!$A:$A,'Student Groupings'!$E:"&amp;"$E=$C198,'Student Groupings'!$H:$H=""Must be Together""),"""")})))"),"")</f>
        <v/>
      </c>
      <c r="AE198" s="104"/>
      <c r="AF198" s="104"/>
      <c r="AG198" s="105">
        <v>1.0</v>
      </c>
      <c r="AH198" s="105"/>
    </row>
    <row r="199">
      <c r="A199" s="101">
        <v>7.0</v>
      </c>
      <c r="B199" s="101">
        <v>30052.0</v>
      </c>
      <c r="C199" s="102" t="s">
        <v>468</v>
      </c>
      <c r="D199" s="52" t="s">
        <v>175</v>
      </c>
      <c r="E199" s="52">
        <v>6.0</v>
      </c>
      <c r="F199" s="52" t="s">
        <v>163</v>
      </c>
      <c r="G199" s="52">
        <v>4.0</v>
      </c>
      <c r="H199" s="52" t="s">
        <v>184</v>
      </c>
      <c r="I199" s="101">
        <v>5.0</v>
      </c>
      <c r="J199" s="52" t="s">
        <v>195</v>
      </c>
      <c r="K199" s="101">
        <v>1.0</v>
      </c>
      <c r="L199" s="52" t="s">
        <v>200</v>
      </c>
      <c r="M199" s="52">
        <v>3.0</v>
      </c>
      <c r="N199" s="52" t="s">
        <v>150</v>
      </c>
      <c r="O199" s="52" t="s">
        <v>119</v>
      </c>
      <c r="P199" s="52" t="s">
        <v>133</v>
      </c>
      <c r="Q199" s="52" t="s">
        <v>125</v>
      </c>
      <c r="R199" s="52" t="s">
        <v>116</v>
      </c>
      <c r="S199" s="52" t="s">
        <v>125</v>
      </c>
      <c r="T199" s="65" t="s">
        <v>27</v>
      </c>
      <c r="U199" s="32">
        <v>1.0</v>
      </c>
      <c r="V199" s="32">
        <v>1.0</v>
      </c>
      <c r="W199" s="32">
        <v>1.0</v>
      </c>
      <c r="X199" s="32">
        <v>1.0</v>
      </c>
      <c r="Y199" s="32">
        <v>1.0</v>
      </c>
      <c r="Z199" s="32">
        <v>1.0</v>
      </c>
      <c r="AA199" s="32">
        <v>6.0</v>
      </c>
      <c r="AB199" s="32">
        <v>0.0</v>
      </c>
      <c r="AC199" s="103" t="str">
        <f>IFERROR(__xludf.DUMMYFUNCTION("if($C199="""","""",if(join("" - "",{iferror(filter('Student Groupings'!$A:$A,'Student Groupings'!$B:$B=$C199,'Student Groupings'!$H:$H=""Can't be Together""),"""");iferror(filter('Student Groupings'!$A:$A,'Student Groupings'!$E:$E=$C199,'Student Groupings"&amp;"'!$H:$H=""Can't be Together""),"""")})="" - "","""",join("" - "",{iferror(filter('Student Groupings'!$A:$A,'Student Groupings'!$B:$B=$C199,'Student Groupings'!$H:$H=""Can't be Together""),"""");iferror(filter('Student Groupings'!$A:$A,'Student Groupings'!"&amp;"$E:$E=$C199,'Student Groupings'!$H:$H=""Can't be Together""),"""")})))"),"")</f>
        <v/>
      </c>
      <c r="AD199" s="103" t="str">
        <f>IFERROR(__xludf.DUMMYFUNCTION("if($C199="""","""",if(join("" - "",{iferror(filter('Student Groupings'!$A:$A,'Student Groupings'!$B:$B=$C199,'Student Groupings'!$H:$H=""Must be Together""),"""");iferror(filter('Student Groupings'!$A:$A,'Student Groupings'!$E:$E=$C199,'Student Groupings'"&amp;"!$H:$H=""Must be Together""),"""")})="" - "","""",join("" - "",{iferror(filter('Student Groupings'!$A:$A,'Student Groupings'!$B:$B=$C199,'Student Groupings'!$H:$H=""Must be Together""),"""");iferror(filter('Student Groupings'!$A:$A,'Student Groupings'!$E:"&amp;"$E=$C199,'Student Groupings'!$H:$H=""Must be Together""),"""")})))"),"")</f>
        <v/>
      </c>
      <c r="AE199" s="104"/>
      <c r="AF199" s="104"/>
      <c r="AG199" s="104"/>
      <c r="AH199" s="104"/>
    </row>
    <row r="200">
      <c r="A200" s="101">
        <v>7.0</v>
      </c>
      <c r="B200" s="101">
        <v>30053.0</v>
      </c>
      <c r="C200" s="102" t="s">
        <v>469</v>
      </c>
      <c r="D200" s="52" t="s">
        <v>175</v>
      </c>
      <c r="E200" s="52">
        <v>4.0</v>
      </c>
      <c r="F200" s="52" t="s">
        <v>164</v>
      </c>
      <c r="G200" s="52">
        <v>3.0</v>
      </c>
      <c r="H200" s="52" t="s">
        <v>184</v>
      </c>
      <c r="I200" s="52">
        <v>1.0</v>
      </c>
      <c r="J200" s="52" t="s">
        <v>193</v>
      </c>
      <c r="K200" s="52">
        <v>5.0</v>
      </c>
      <c r="L200" s="52" t="s">
        <v>200</v>
      </c>
      <c r="M200" s="52">
        <v>2.0</v>
      </c>
      <c r="N200" s="52" t="s">
        <v>150</v>
      </c>
      <c r="O200" s="52" t="s">
        <v>109</v>
      </c>
      <c r="P200" s="52" t="s">
        <v>116</v>
      </c>
      <c r="Q200" s="52" t="s">
        <v>120</v>
      </c>
      <c r="R200" s="52" t="s">
        <v>133</v>
      </c>
      <c r="S200" s="52" t="s">
        <v>120</v>
      </c>
      <c r="T200" s="65" t="s">
        <v>8</v>
      </c>
      <c r="U200" s="32">
        <v>1.0</v>
      </c>
      <c r="V200" s="32">
        <v>1.0</v>
      </c>
      <c r="W200" s="32">
        <v>1.0</v>
      </c>
      <c r="X200" s="32">
        <v>1.0</v>
      </c>
      <c r="Y200" s="32">
        <v>1.0</v>
      </c>
      <c r="Z200" s="32">
        <v>1.0</v>
      </c>
      <c r="AA200" s="32">
        <v>6.0</v>
      </c>
      <c r="AB200" s="32">
        <v>0.0</v>
      </c>
      <c r="AC200" s="103" t="str">
        <f>IFERROR(__xludf.DUMMYFUNCTION("if($C200="""","""",if(join("" - "",{iferror(filter('Student Groupings'!$A:$A,'Student Groupings'!$B:$B=$C200,'Student Groupings'!$H:$H=""Can't be Together""),"""");iferror(filter('Student Groupings'!$A:$A,'Student Groupings'!$E:$E=$C200,'Student Groupings"&amp;"'!$H:$H=""Can't be Together""),"""")})="" - "","""",join("" - "",{iferror(filter('Student Groupings'!$A:$A,'Student Groupings'!$B:$B=$C200,'Student Groupings'!$H:$H=""Can't be Together""),"""");iferror(filter('Student Groupings'!$A:$A,'Student Groupings'!"&amp;"$E:$E=$C200,'Student Groupings'!$H:$H=""Can't be Together""),"""")})))"),"")</f>
        <v/>
      </c>
      <c r="AD200" s="103" t="str">
        <f>IFERROR(__xludf.DUMMYFUNCTION("if($C200="""","""",if(join("" - "",{iferror(filter('Student Groupings'!$A:$A,'Student Groupings'!$B:$B=$C200,'Student Groupings'!$H:$H=""Must be Together""),"""");iferror(filter('Student Groupings'!$A:$A,'Student Groupings'!$E:$E=$C200,'Student Groupings'"&amp;"!$H:$H=""Must be Together""),"""")})="" - "","""",join("" - "",{iferror(filter('Student Groupings'!$A:$A,'Student Groupings'!$B:$B=$C200,'Student Groupings'!$H:$H=""Must be Together""),"""");iferror(filter('Student Groupings'!$A:$A,'Student Groupings'!$E:"&amp;"$E=$C200,'Student Groupings'!$H:$H=""Must be Together""),"""")})))"),"")</f>
        <v/>
      </c>
      <c r="AE200" s="104"/>
      <c r="AF200" s="104"/>
      <c r="AG200" s="104"/>
      <c r="AH200" s="104"/>
    </row>
    <row r="201">
      <c r="A201" s="101">
        <v>7.0</v>
      </c>
      <c r="B201" s="101">
        <v>30054.0</v>
      </c>
      <c r="C201" s="102" t="s">
        <v>470</v>
      </c>
      <c r="D201" s="52" t="s">
        <v>175</v>
      </c>
      <c r="E201" s="52">
        <v>3.0</v>
      </c>
      <c r="F201" s="52" t="s">
        <v>164</v>
      </c>
      <c r="G201" s="52">
        <v>4.0</v>
      </c>
      <c r="H201" s="52" t="s">
        <v>184</v>
      </c>
      <c r="I201" s="52">
        <v>5.0</v>
      </c>
      <c r="J201" s="52" t="s">
        <v>193</v>
      </c>
      <c r="K201" s="52">
        <v>1.0</v>
      </c>
      <c r="L201" s="52" t="s">
        <v>200</v>
      </c>
      <c r="M201" s="52">
        <v>6.0</v>
      </c>
      <c r="N201" s="52" t="s">
        <v>150</v>
      </c>
      <c r="O201" s="52" t="s">
        <v>119</v>
      </c>
      <c r="P201" s="52" t="s">
        <v>133</v>
      </c>
      <c r="Q201" s="52" t="s">
        <v>125</v>
      </c>
      <c r="R201" s="52" t="s">
        <v>116</v>
      </c>
      <c r="S201" s="52" t="s">
        <v>125</v>
      </c>
      <c r="T201" s="65" t="s">
        <v>27</v>
      </c>
      <c r="U201" s="32">
        <v>1.0</v>
      </c>
      <c r="V201" s="32">
        <v>1.0</v>
      </c>
      <c r="W201" s="32">
        <v>1.0</v>
      </c>
      <c r="X201" s="32">
        <v>1.0</v>
      </c>
      <c r="Y201" s="32">
        <v>1.0</v>
      </c>
      <c r="Z201" s="32">
        <v>1.0</v>
      </c>
      <c r="AA201" s="32">
        <v>6.0</v>
      </c>
      <c r="AB201" s="32">
        <v>0.0</v>
      </c>
      <c r="AC201" s="103" t="str">
        <f>IFERROR(__xludf.DUMMYFUNCTION("if($C201="""","""",if(join("" - "",{iferror(filter('Student Groupings'!$A:$A,'Student Groupings'!$B:$B=$C201,'Student Groupings'!$H:$H=""Can't be Together""),"""");iferror(filter('Student Groupings'!$A:$A,'Student Groupings'!$E:$E=$C201,'Student Groupings"&amp;"'!$H:$H=""Can't be Together""),"""")})="" - "","""",join("" - "",{iferror(filter('Student Groupings'!$A:$A,'Student Groupings'!$B:$B=$C201,'Student Groupings'!$H:$H=""Can't be Together""),"""");iferror(filter('Student Groupings'!$A:$A,'Student Groupings'!"&amp;"$E:$E=$C201,'Student Groupings'!$H:$H=""Can't be Together""),"""")})))"),"")</f>
        <v/>
      </c>
      <c r="AD201" s="103" t="str">
        <f>IFERROR(__xludf.DUMMYFUNCTION("if($C201="""","""",if(join("" - "",{iferror(filter('Student Groupings'!$A:$A,'Student Groupings'!$B:$B=$C201,'Student Groupings'!$H:$H=""Must be Together""),"""");iferror(filter('Student Groupings'!$A:$A,'Student Groupings'!$E:$E=$C201,'Student Groupings'"&amp;"!$H:$H=""Must be Together""),"""")})="" - "","""",join("" - "",{iferror(filter('Student Groupings'!$A:$A,'Student Groupings'!$B:$B=$C201,'Student Groupings'!$H:$H=""Must be Together""),"""");iferror(filter('Student Groupings'!$A:$A,'Student Groupings'!$E:"&amp;"$E=$C201,'Student Groupings'!$H:$H=""Must be Together""),"""")})))"),"")</f>
        <v/>
      </c>
      <c r="AE201" s="105"/>
      <c r="AF201" s="105">
        <v>1.0</v>
      </c>
      <c r="AG201" s="104"/>
      <c r="AH201" s="104"/>
    </row>
    <row r="202">
      <c r="A202" s="101">
        <v>7.0</v>
      </c>
      <c r="B202" s="101">
        <v>30055.0</v>
      </c>
      <c r="C202" s="102" t="s">
        <v>471</v>
      </c>
      <c r="D202" s="52" t="s">
        <v>175</v>
      </c>
      <c r="E202" s="52">
        <v>5.0</v>
      </c>
      <c r="F202" s="52" t="s">
        <v>163</v>
      </c>
      <c r="G202" s="52">
        <v>3.0</v>
      </c>
      <c r="H202" s="52" t="s">
        <v>184</v>
      </c>
      <c r="I202" s="52">
        <v>6.0</v>
      </c>
      <c r="J202" s="52" t="s">
        <v>195</v>
      </c>
      <c r="K202" s="52">
        <v>2.0</v>
      </c>
      <c r="L202" s="52" t="s">
        <v>203</v>
      </c>
      <c r="M202" s="52">
        <v>4.0</v>
      </c>
      <c r="N202" s="52" t="s">
        <v>150</v>
      </c>
      <c r="O202" s="52" t="s">
        <v>129</v>
      </c>
      <c r="P202" s="52" t="s">
        <v>116</v>
      </c>
      <c r="Q202" s="52" t="s">
        <v>108</v>
      </c>
      <c r="R202" s="52" t="s">
        <v>133</v>
      </c>
      <c r="S202" s="52" t="s">
        <v>108</v>
      </c>
      <c r="T202" s="65" t="s">
        <v>8</v>
      </c>
      <c r="U202" s="32">
        <v>1.0</v>
      </c>
      <c r="V202" s="32">
        <v>1.0</v>
      </c>
      <c r="W202" s="32">
        <v>1.0</v>
      </c>
      <c r="X202" s="32">
        <v>1.0</v>
      </c>
      <c r="Y202" s="32">
        <v>1.0</v>
      </c>
      <c r="Z202" s="32">
        <v>1.0</v>
      </c>
      <c r="AA202" s="32">
        <v>6.0</v>
      </c>
      <c r="AB202" s="32">
        <v>0.0</v>
      </c>
      <c r="AC202" s="103" t="str">
        <f>IFERROR(__xludf.DUMMYFUNCTION("if($C202="""","""",if(join("" - "",{iferror(filter('Student Groupings'!$A:$A,'Student Groupings'!$B:$B=$C202,'Student Groupings'!$H:$H=""Can't be Together""),"""");iferror(filter('Student Groupings'!$A:$A,'Student Groupings'!$E:$E=$C202,'Student Groupings"&amp;"'!$H:$H=""Can't be Together""),"""")})="" - "","""",join("" - "",{iferror(filter('Student Groupings'!$A:$A,'Student Groupings'!$B:$B=$C202,'Student Groupings'!$H:$H=""Can't be Together""),"""");iferror(filter('Student Groupings'!$A:$A,'Student Groupings'!"&amp;"$E:$E=$C202,'Student Groupings'!$H:$H=""Can't be Together""),"""")})))"),"")</f>
        <v/>
      </c>
      <c r="AD202" s="103" t="str">
        <f>IFERROR(__xludf.DUMMYFUNCTION("if($C202="""","""",if(join("" - "",{iferror(filter('Student Groupings'!$A:$A,'Student Groupings'!$B:$B=$C202,'Student Groupings'!$H:$H=""Must be Together""),"""");iferror(filter('Student Groupings'!$A:$A,'Student Groupings'!$E:$E=$C202,'Student Groupings'"&amp;"!$H:$H=""Must be Together""),"""")})="" - "","""",join("" - "",{iferror(filter('Student Groupings'!$A:$A,'Student Groupings'!$B:$B=$C202,'Student Groupings'!$H:$H=""Must be Together""),"""");iferror(filter('Student Groupings'!$A:$A,'Student Groupings'!$E:"&amp;"$E=$C202,'Student Groupings'!$H:$H=""Must be Together""),"""")})))"),"")</f>
        <v/>
      </c>
      <c r="AE202" s="104"/>
      <c r="AF202" s="104"/>
      <c r="AG202" s="104"/>
      <c r="AH202" s="104"/>
    </row>
    <row r="203">
      <c r="A203" s="101">
        <v>7.0</v>
      </c>
      <c r="B203" s="101">
        <v>30056.0</v>
      </c>
      <c r="C203" s="102" t="s">
        <v>472</v>
      </c>
      <c r="D203" s="52" t="s">
        <v>179</v>
      </c>
      <c r="E203" s="52">
        <v>6.0</v>
      </c>
      <c r="F203" s="52" t="s">
        <v>163</v>
      </c>
      <c r="G203" s="52">
        <v>4.0</v>
      </c>
      <c r="H203" s="52" t="s">
        <v>184</v>
      </c>
      <c r="I203" s="52">
        <v>5.0</v>
      </c>
      <c r="J203" s="52" t="s">
        <v>195</v>
      </c>
      <c r="K203" s="52">
        <v>3.0</v>
      </c>
      <c r="L203" s="52" t="s">
        <v>200</v>
      </c>
      <c r="M203" s="52">
        <v>1.0</v>
      </c>
      <c r="N203" s="52" t="s">
        <v>150</v>
      </c>
      <c r="O203" s="52" t="s">
        <v>119</v>
      </c>
      <c r="P203" s="52" t="s">
        <v>116</v>
      </c>
      <c r="Q203" s="52" t="s">
        <v>125</v>
      </c>
      <c r="R203" s="52" t="s">
        <v>133</v>
      </c>
      <c r="S203" s="52" t="s">
        <v>125</v>
      </c>
      <c r="T203" s="65" t="s">
        <v>27</v>
      </c>
      <c r="U203" s="32">
        <v>1.0</v>
      </c>
      <c r="V203" s="32">
        <v>1.0</v>
      </c>
      <c r="W203" s="32">
        <v>1.0</v>
      </c>
      <c r="X203" s="32">
        <v>1.0</v>
      </c>
      <c r="Y203" s="32">
        <v>1.0</v>
      </c>
      <c r="Z203" s="32">
        <v>1.0</v>
      </c>
      <c r="AA203" s="32">
        <v>6.0</v>
      </c>
      <c r="AB203" s="32">
        <v>0.0</v>
      </c>
      <c r="AC203" s="103" t="str">
        <f>IFERROR(__xludf.DUMMYFUNCTION("if($C203="""","""",if(join("" - "",{iferror(filter('Student Groupings'!$A:$A,'Student Groupings'!$B:$B=$C203,'Student Groupings'!$H:$H=""Can't be Together""),"""");iferror(filter('Student Groupings'!$A:$A,'Student Groupings'!$E:$E=$C203,'Student Groupings"&amp;"'!$H:$H=""Can't be Together""),"""")})="" - "","""",join("" - "",{iferror(filter('Student Groupings'!$A:$A,'Student Groupings'!$B:$B=$C203,'Student Groupings'!$H:$H=""Can't be Together""),"""");iferror(filter('Student Groupings'!$A:$A,'Student Groupings'!"&amp;"$E:$E=$C203,'Student Groupings'!$H:$H=""Can't be Together""),"""")})))"),"")</f>
        <v/>
      </c>
      <c r="AD203" s="103" t="str">
        <f>IFERROR(__xludf.DUMMYFUNCTION("if($C203="""","""",if(join("" - "",{iferror(filter('Student Groupings'!$A:$A,'Student Groupings'!$B:$B=$C203,'Student Groupings'!$H:$H=""Must be Together""),"""");iferror(filter('Student Groupings'!$A:$A,'Student Groupings'!$E:$E=$C203,'Student Groupings'"&amp;"!$H:$H=""Must be Together""),"""")})="" - "","""",join("" - "",{iferror(filter('Student Groupings'!$A:$A,'Student Groupings'!$B:$B=$C203,'Student Groupings'!$H:$H=""Must be Together""),"""");iferror(filter('Student Groupings'!$A:$A,'Student Groupings'!$E:"&amp;"$E=$C203,'Student Groupings'!$H:$H=""Must be Together""),"""")})))"),"")</f>
        <v/>
      </c>
      <c r="AE203" s="104"/>
      <c r="AF203" s="104"/>
      <c r="AG203" s="104"/>
      <c r="AH203" s="104"/>
    </row>
    <row r="204">
      <c r="A204" s="101">
        <v>7.0</v>
      </c>
      <c r="B204" s="101">
        <v>30057.0</v>
      </c>
      <c r="C204" s="102" t="s">
        <v>473</v>
      </c>
      <c r="D204" s="52" t="s">
        <v>175</v>
      </c>
      <c r="E204" s="52">
        <v>4.0</v>
      </c>
      <c r="F204" s="52" t="s">
        <v>164</v>
      </c>
      <c r="G204" s="52">
        <v>3.0</v>
      </c>
      <c r="H204" s="52" t="s">
        <v>184</v>
      </c>
      <c r="I204" s="52">
        <v>1.0</v>
      </c>
      <c r="J204" s="52" t="s">
        <v>193</v>
      </c>
      <c r="K204" s="52">
        <v>5.0</v>
      </c>
      <c r="L204" s="52" t="s">
        <v>200</v>
      </c>
      <c r="M204" s="52">
        <v>2.0</v>
      </c>
      <c r="N204" s="52" t="s">
        <v>150</v>
      </c>
      <c r="O204" s="52" t="s">
        <v>109</v>
      </c>
      <c r="P204" s="52" t="s">
        <v>116</v>
      </c>
      <c r="Q204" s="52" t="s">
        <v>120</v>
      </c>
      <c r="R204" s="52" t="s">
        <v>133</v>
      </c>
      <c r="S204" s="52" t="s">
        <v>120</v>
      </c>
      <c r="T204" s="65" t="s">
        <v>27</v>
      </c>
      <c r="U204" s="32">
        <v>1.0</v>
      </c>
      <c r="V204" s="32">
        <v>1.0</v>
      </c>
      <c r="W204" s="32">
        <v>1.0</v>
      </c>
      <c r="X204" s="32">
        <v>1.0</v>
      </c>
      <c r="Y204" s="32">
        <v>1.0</v>
      </c>
      <c r="Z204" s="32">
        <v>1.0</v>
      </c>
      <c r="AA204" s="32">
        <v>6.0</v>
      </c>
      <c r="AB204" s="32">
        <v>0.0</v>
      </c>
      <c r="AC204" s="103" t="str">
        <f>IFERROR(__xludf.DUMMYFUNCTION("if($C204="""","""",if(join("" - "",{iferror(filter('Student Groupings'!$A:$A,'Student Groupings'!$B:$B=$C204,'Student Groupings'!$H:$H=""Can't be Together""),"""");iferror(filter('Student Groupings'!$A:$A,'Student Groupings'!$E:$E=$C204,'Student Groupings"&amp;"'!$H:$H=""Can't be Together""),"""")})="" - "","""",join("" - "",{iferror(filter('Student Groupings'!$A:$A,'Student Groupings'!$B:$B=$C204,'Student Groupings'!$H:$H=""Can't be Together""),"""");iferror(filter('Student Groupings'!$A:$A,'Student Groupings'!"&amp;"$E:$E=$C204,'Student Groupings'!$H:$H=""Can't be Together""),"""")})))"),"")</f>
        <v/>
      </c>
      <c r="AD204" s="103" t="str">
        <f>IFERROR(__xludf.DUMMYFUNCTION("if($C204="""","""",if(join("" - "",{iferror(filter('Student Groupings'!$A:$A,'Student Groupings'!$B:$B=$C204,'Student Groupings'!$H:$H=""Must be Together""),"""");iferror(filter('Student Groupings'!$A:$A,'Student Groupings'!$E:$E=$C204,'Student Groupings'"&amp;"!$H:$H=""Must be Together""),"""")})="" - "","""",join("" - "",{iferror(filter('Student Groupings'!$A:$A,'Student Groupings'!$B:$B=$C204,'Student Groupings'!$H:$H=""Must be Together""),"""");iferror(filter('Student Groupings'!$A:$A,'Student Groupings'!$E:"&amp;"$E=$C204,'Student Groupings'!$H:$H=""Must be Together""),"""")})))"),"")</f>
        <v/>
      </c>
      <c r="AE204" s="104"/>
      <c r="AF204" s="104"/>
      <c r="AG204" s="104"/>
      <c r="AH204" s="104"/>
    </row>
    <row r="205">
      <c r="A205" s="101">
        <v>7.0</v>
      </c>
      <c r="B205" s="101">
        <v>30058.0</v>
      </c>
      <c r="C205" s="102" t="s">
        <v>474</v>
      </c>
      <c r="D205" s="52" t="s">
        <v>175</v>
      </c>
      <c r="E205" s="52">
        <v>5.0</v>
      </c>
      <c r="F205" s="52" t="s">
        <v>163</v>
      </c>
      <c r="G205" s="52">
        <v>3.0</v>
      </c>
      <c r="H205" s="52" t="s">
        <v>184</v>
      </c>
      <c r="I205" s="52">
        <v>6.0</v>
      </c>
      <c r="J205" s="52" t="s">
        <v>195</v>
      </c>
      <c r="K205" s="52">
        <v>2.0</v>
      </c>
      <c r="L205" s="52" t="s">
        <v>203</v>
      </c>
      <c r="M205" s="52">
        <v>4.0</v>
      </c>
      <c r="N205" s="52" t="s">
        <v>150</v>
      </c>
      <c r="O205" s="52" t="s">
        <v>129</v>
      </c>
      <c r="P205" s="52" t="s">
        <v>133</v>
      </c>
      <c r="Q205" s="52" t="s">
        <v>108</v>
      </c>
      <c r="R205" s="52" t="s">
        <v>116</v>
      </c>
      <c r="S205" s="52" t="s">
        <v>108</v>
      </c>
      <c r="T205" s="65" t="s">
        <v>27</v>
      </c>
      <c r="U205" s="32">
        <v>1.0</v>
      </c>
      <c r="V205" s="32">
        <v>1.0</v>
      </c>
      <c r="W205" s="32">
        <v>1.0</v>
      </c>
      <c r="X205" s="32">
        <v>1.0</v>
      </c>
      <c r="Y205" s="32">
        <v>1.0</v>
      </c>
      <c r="Z205" s="32">
        <v>1.0</v>
      </c>
      <c r="AA205" s="32">
        <v>6.0</v>
      </c>
      <c r="AB205" s="32">
        <v>0.0</v>
      </c>
      <c r="AC205" s="103" t="str">
        <f>IFERROR(__xludf.DUMMYFUNCTION("if($C205="""","""",if(join("" - "",{iferror(filter('Student Groupings'!$A:$A,'Student Groupings'!$B:$B=$C205,'Student Groupings'!$H:$H=""Can't be Together""),"""");iferror(filter('Student Groupings'!$A:$A,'Student Groupings'!$E:$E=$C205,'Student Groupings"&amp;"'!$H:$H=""Can't be Together""),"""")})="" - "","""",join("" - "",{iferror(filter('Student Groupings'!$A:$A,'Student Groupings'!$B:$B=$C205,'Student Groupings'!$H:$H=""Can't be Together""),"""");iferror(filter('Student Groupings'!$A:$A,'Student Groupings'!"&amp;"$E:$E=$C205,'Student Groupings'!$H:$H=""Can't be Together""),"""")})))"),"")</f>
        <v/>
      </c>
      <c r="AD205" s="103" t="str">
        <f>IFERROR(__xludf.DUMMYFUNCTION("if($C205="""","""",if(join("" - "",{iferror(filter('Student Groupings'!$A:$A,'Student Groupings'!$B:$B=$C205,'Student Groupings'!$H:$H=""Must be Together""),"""");iferror(filter('Student Groupings'!$A:$A,'Student Groupings'!$E:$E=$C205,'Student Groupings'"&amp;"!$H:$H=""Must be Together""),"""")})="" - "","""",join("" - "",{iferror(filter('Student Groupings'!$A:$A,'Student Groupings'!$B:$B=$C205,'Student Groupings'!$H:$H=""Must be Together""),"""");iferror(filter('Student Groupings'!$A:$A,'Student Groupings'!$E:"&amp;"$E=$C205,'Student Groupings'!$H:$H=""Must be Together""),"""")})))"),"")</f>
        <v/>
      </c>
      <c r="AE205" s="104"/>
      <c r="AF205" s="104"/>
      <c r="AG205" s="104"/>
      <c r="AH205" s="104"/>
    </row>
    <row r="206">
      <c r="A206" s="101">
        <v>7.0</v>
      </c>
      <c r="B206" s="101">
        <v>30059.0</v>
      </c>
      <c r="C206" s="102" t="s">
        <v>475</v>
      </c>
      <c r="D206" s="52" t="s">
        <v>175</v>
      </c>
      <c r="E206" s="52">
        <v>6.0</v>
      </c>
      <c r="F206" s="52" t="s">
        <v>163</v>
      </c>
      <c r="G206" s="52">
        <v>4.0</v>
      </c>
      <c r="H206" s="52" t="s">
        <v>184</v>
      </c>
      <c r="I206" s="52">
        <v>5.0</v>
      </c>
      <c r="J206" s="52" t="s">
        <v>195</v>
      </c>
      <c r="K206" s="52">
        <v>1.0</v>
      </c>
      <c r="L206" s="52" t="s">
        <v>200</v>
      </c>
      <c r="M206" s="52">
        <v>3.0</v>
      </c>
      <c r="N206" s="52" t="s">
        <v>150</v>
      </c>
      <c r="O206" s="52" t="s">
        <v>119</v>
      </c>
      <c r="P206" s="52" t="s">
        <v>116</v>
      </c>
      <c r="Q206" s="52" t="s">
        <v>125</v>
      </c>
      <c r="R206" s="52" t="s">
        <v>133</v>
      </c>
      <c r="S206" s="52" t="s">
        <v>125</v>
      </c>
      <c r="T206" s="65" t="s">
        <v>27</v>
      </c>
      <c r="U206" s="32">
        <v>1.0</v>
      </c>
      <c r="V206" s="32">
        <v>1.0</v>
      </c>
      <c r="W206" s="32">
        <v>1.0</v>
      </c>
      <c r="X206" s="32">
        <v>1.0</v>
      </c>
      <c r="Y206" s="32">
        <v>1.0</v>
      </c>
      <c r="Z206" s="32">
        <v>1.0</v>
      </c>
      <c r="AA206" s="32">
        <v>6.0</v>
      </c>
      <c r="AB206" s="32">
        <v>0.0</v>
      </c>
      <c r="AC206" s="103" t="str">
        <f>IFERROR(__xludf.DUMMYFUNCTION("if($C206="""","""",if(join("" - "",{iferror(filter('Student Groupings'!$A:$A,'Student Groupings'!$B:$B=$C206,'Student Groupings'!$H:$H=""Can't be Together""),"""");iferror(filter('Student Groupings'!$A:$A,'Student Groupings'!$E:$E=$C206,'Student Groupings"&amp;"'!$H:$H=""Can't be Together""),"""")})="" - "","""",join("" - "",{iferror(filter('Student Groupings'!$A:$A,'Student Groupings'!$B:$B=$C206,'Student Groupings'!$H:$H=""Can't be Together""),"""");iferror(filter('Student Groupings'!$A:$A,'Student Groupings'!"&amp;"$E:$E=$C206,'Student Groupings'!$H:$H=""Can't be Together""),"""")})))"),"")</f>
        <v/>
      </c>
      <c r="AD206" s="103" t="str">
        <f>IFERROR(__xludf.DUMMYFUNCTION("if($C206="""","""",if(join("" - "",{iferror(filter('Student Groupings'!$A:$A,'Student Groupings'!$B:$B=$C206,'Student Groupings'!$H:$H=""Must be Together""),"""");iferror(filter('Student Groupings'!$A:$A,'Student Groupings'!$E:$E=$C206,'Student Groupings'"&amp;"!$H:$H=""Must be Together""),"""")})="" - "","""",join("" - "",{iferror(filter('Student Groupings'!$A:$A,'Student Groupings'!$B:$B=$C206,'Student Groupings'!$H:$H=""Must be Together""),"""");iferror(filter('Student Groupings'!$A:$A,'Student Groupings'!$E:"&amp;"$E=$C206,'Student Groupings'!$H:$H=""Must be Together""),"""")})))"),"")</f>
        <v/>
      </c>
      <c r="AE206" s="105"/>
      <c r="AF206" s="105">
        <v>1.0</v>
      </c>
      <c r="AG206" s="105">
        <v>1.0</v>
      </c>
      <c r="AH206" s="105"/>
    </row>
    <row r="207">
      <c r="A207" s="101">
        <v>7.0</v>
      </c>
      <c r="B207" s="101">
        <v>30166.0</v>
      </c>
      <c r="C207" s="102" t="s">
        <v>476</v>
      </c>
      <c r="D207" s="52" t="s">
        <v>175</v>
      </c>
      <c r="E207" s="52">
        <v>3.0</v>
      </c>
      <c r="F207" s="52" t="s">
        <v>163</v>
      </c>
      <c r="G207" s="52">
        <v>4.0</v>
      </c>
      <c r="H207" s="52" t="s">
        <v>188</v>
      </c>
      <c r="I207" s="52">
        <v>5.0</v>
      </c>
      <c r="J207" s="52" t="s">
        <v>193</v>
      </c>
      <c r="K207" s="52">
        <v>1.0</v>
      </c>
      <c r="L207" s="52" t="s">
        <v>200</v>
      </c>
      <c r="M207" s="52">
        <v>6.0</v>
      </c>
      <c r="N207" s="52" t="s">
        <v>150</v>
      </c>
      <c r="O207" s="52" t="s">
        <v>119</v>
      </c>
      <c r="P207" s="52" t="s">
        <v>133</v>
      </c>
      <c r="Q207" s="52" t="s">
        <v>125</v>
      </c>
      <c r="R207" s="52" t="s">
        <v>116</v>
      </c>
      <c r="S207" s="52" t="s">
        <v>125</v>
      </c>
      <c r="T207" s="65" t="s">
        <v>27</v>
      </c>
      <c r="U207" s="32">
        <v>1.0</v>
      </c>
      <c r="V207" s="32">
        <v>1.0</v>
      </c>
      <c r="W207" s="32">
        <v>1.0</v>
      </c>
      <c r="X207" s="32">
        <v>1.0</v>
      </c>
      <c r="Y207" s="32">
        <v>1.0</v>
      </c>
      <c r="Z207" s="32">
        <v>1.0</v>
      </c>
      <c r="AA207" s="32">
        <v>6.0</v>
      </c>
      <c r="AB207" s="32">
        <v>0.0</v>
      </c>
      <c r="AC207" s="103" t="str">
        <f>IFERROR(__xludf.DUMMYFUNCTION("if($C207="""","""",if(join("" - "",{iferror(filter('Student Groupings'!$A:$A,'Student Groupings'!$B:$B=$C207,'Student Groupings'!$H:$H=""Can't be Together""),"""");iferror(filter('Student Groupings'!$A:$A,'Student Groupings'!$E:$E=$C207,'Student Groupings"&amp;"'!$H:$H=""Can't be Together""),"""")})="" - "","""",join("" - "",{iferror(filter('Student Groupings'!$A:$A,'Student Groupings'!$B:$B=$C207,'Student Groupings'!$H:$H=""Can't be Together""),"""");iferror(filter('Student Groupings'!$A:$A,'Student Groupings'!"&amp;"$E:$E=$C207,'Student Groupings'!$H:$H=""Can't be Together""),"""")})))"),"")</f>
        <v/>
      </c>
      <c r="AD207" s="103" t="str">
        <f>IFERROR(__xludf.DUMMYFUNCTION("if($C207="""","""",if(join("" - "",{iferror(filter('Student Groupings'!$A:$A,'Student Groupings'!$B:$B=$C207,'Student Groupings'!$H:$H=""Must be Together""),"""");iferror(filter('Student Groupings'!$A:$A,'Student Groupings'!$E:$E=$C207,'Student Groupings'"&amp;"!$H:$H=""Must be Together""),"""")})="" - "","""",join("" - "",{iferror(filter('Student Groupings'!$A:$A,'Student Groupings'!$B:$B=$C207,'Student Groupings'!$H:$H=""Must be Together""),"""");iferror(filter('Student Groupings'!$A:$A,'Student Groupings'!$E:"&amp;"$E=$C207,'Student Groupings'!$H:$H=""Must be Together""),"""")})))"),"")</f>
        <v/>
      </c>
      <c r="AE207" s="104"/>
      <c r="AF207" s="104"/>
      <c r="AG207" s="104"/>
      <c r="AH207" s="104"/>
    </row>
    <row r="208">
      <c r="A208" s="101">
        <v>7.0</v>
      </c>
      <c r="B208" s="101">
        <v>30062.0</v>
      </c>
      <c r="C208" s="102" t="s">
        <v>477</v>
      </c>
      <c r="D208" s="52" t="s">
        <v>179</v>
      </c>
      <c r="E208" s="52">
        <v>6.0</v>
      </c>
      <c r="F208" s="52" t="s">
        <v>163</v>
      </c>
      <c r="G208" s="52">
        <v>4.0</v>
      </c>
      <c r="H208" s="52" t="s">
        <v>184</v>
      </c>
      <c r="I208" s="52">
        <v>5.0</v>
      </c>
      <c r="J208" s="52" t="s">
        <v>195</v>
      </c>
      <c r="K208" s="52">
        <v>3.0</v>
      </c>
      <c r="L208" s="52" t="s">
        <v>200</v>
      </c>
      <c r="M208" s="52">
        <v>1.0</v>
      </c>
      <c r="N208" s="52" t="s">
        <v>150</v>
      </c>
      <c r="O208" s="52" t="s">
        <v>119</v>
      </c>
      <c r="P208" s="52" t="s">
        <v>116</v>
      </c>
      <c r="Q208" s="52" t="s">
        <v>125</v>
      </c>
      <c r="R208" s="52" t="s">
        <v>133</v>
      </c>
      <c r="S208" s="52" t="s">
        <v>125</v>
      </c>
      <c r="T208" s="65" t="s">
        <v>27</v>
      </c>
      <c r="U208" s="32">
        <v>1.0</v>
      </c>
      <c r="V208" s="32">
        <v>1.0</v>
      </c>
      <c r="W208" s="32">
        <v>1.0</v>
      </c>
      <c r="X208" s="32">
        <v>1.0</v>
      </c>
      <c r="Y208" s="32">
        <v>1.0</v>
      </c>
      <c r="Z208" s="32">
        <v>1.0</v>
      </c>
      <c r="AA208" s="32">
        <v>6.0</v>
      </c>
      <c r="AB208" s="32">
        <v>0.0</v>
      </c>
      <c r="AC208" s="103" t="str">
        <f>IFERROR(__xludf.DUMMYFUNCTION("if($C208="""","""",if(join("" - "",{iferror(filter('Student Groupings'!$A:$A,'Student Groupings'!$B:$B=$C208,'Student Groupings'!$H:$H=""Can't be Together""),"""");iferror(filter('Student Groupings'!$A:$A,'Student Groupings'!$E:$E=$C208,'Student Groupings"&amp;"'!$H:$H=""Can't be Together""),"""")})="" - "","""",join("" - "",{iferror(filter('Student Groupings'!$A:$A,'Student Groupings'!$B:$B=$C208,'Student Groupings'!$H:$H=""Can't be Together""),"""");iferror(filter('Student Groupings'!$A:$A,'Student Groupings'!"&amp;"$E:$E=$C208,'Student Groupings'!$H:$H=""Can't be Together""),"""")})))"),"")</f>
        <v/>
      </c>
      <c r="AD208" s="103" t="str">
        <f>IFERROR(__xludf.DUMMYFUNCTION("if($C208="""","""",if(join("" - "",{iferror(filter('Student Groupings'!$A:$A,'Student Groupings'!$B:$B=$C208,'Student Groupings'!$H:$H=""Must be Together""),"""");iferror(filter('Student Groupings'!$A:$A,'Student Groupings'!$E:$E=$C208,'Student Groupings'"&amp;"!$H:$H=""Must be Together""),"""")})="" - "","""",join("" - "",{iferror(filter('Student Groupings'!$A:$A,'Student Groupings'!$B:$B=$C208,'Student Groupings'!$H:$H=""Must be Together""),"""");iferror(filter('Student Groupings'!$A:$A,'Student Groupings'!$E:"&amp;"$E=$C208,'Student Groupings'!$H:$H=""Must be Together""),"""")})))"),"")</f>
        <v/>
      </c>
      <c r="AE208" s="104"/>
      <c r="AF208" s="104"/>
      <c r="AG208" s="104"/>
      <c r="AH208" s="104"/>
    </row>
    <row r="209">
      <c r="A209" s="101">
        <v>7.0</v>
      </c>
      <c r="B209" s="101">
        <v>30064.0</v>
      </c>
      <c r="C209" s="102" t="s">
        <v>478</v>
      </c>
      <c r="D209" s="52" t="s">
        <v>175</v>
      </c>
      <c r="E209" s="52">
        <v>2.0</v>
      </c>
      <c r="F209" s="52" t="s">
        <v>163</v>
      </c>
      <c r="G209" s="52">
        <v>6.0</v>
      </c>
      <c r="H209" s="52" t="s">
        <v>184</v>
      </c>
      <c r="I209" s="52">
        <v>3.0</v>
      </c>
      <c r="J209" s="52" t="s">
        <v>195</v>
      </c>
      <c r="K209" s="52">
        <v>5.0</v>
      </c>
      <c r="L209" s="52" t="s">
        <v>200</v>
      </c>
      <c r="M209" s="52">
        <v>4.0</v>
      </c>
      <c r="N209" s="52" t="s">
        <v>154</v>
      </c>
      <c r="O209" s="52" t="s">
        <v>129</v>
      </c>
      <c r="P209" s="52" t="s">
        <v>140</v>
      </c>
      <c r="Q209" s="52" t="s">
        <v>108</v>
      </c>
      <c r="R209" s="52" t="s">
        <v>140</v>
      </c>
      <c r="S209" s="52" t="s">
        <v>108</v>
      </c>
      <c r="T209" s="65" t="s">
        <v>30</v>
      </c>
      <c r="U209" s="32">
        <v>1.0</v>
      </c>
      <c r="V209" s="32">
        <v>1.0</v>
      </c>
      <c r="W209" s="32">
        <v>1.0</v>
      </c>
      <c r="X209" s="32">
        <v>1.0</v>
      </c>
      <c r="Y209" s="32">
        <v>1.0</v>
      </c>
      <c r="Z209" s="32">
        <v>1.0</v>
      </c>
      <c r="AA209" s="32">
        <v>6.0</v>
      </c>
      <c r="AB209" s="32">
        <v>0.0</v>
      </c>
      <c r="AC209" s="103" t="str">
        <f>IFERROR(__xludf.DUMMYFUNCTION("if($C209="""","""",if(join("" - "",{iferror(filter('Student Groupings'!$A:$A,'Student Groupings'!$B:$B=$C209,'Student Groupings'!$H:$H=""Can't be Together""),"""");iferror(filter('Student Groupings'!$A:$A,'Student Groupings'!$E:$E=$C209,'Student Groupings"&amp;"'!$H:$H=""Can't be Together""),"""")})="" - "","""",join("" - "",{iferror(filter('Student Groupings'!$A:$A,'Student Groupings'!$B:$B=$C209,'Student Groupings'!$H:$H=""Can't be Together""),"""");iferror(filter('Student Groupings'!$A:$A,'Student Groupings'!"&amp;"$E:$E=$C209,'Student Groupings'!$H:$H=""Can't be Together""),"""")})))"),"")</f>
        <v/>
      </c>
      <c r="AD209" s="103" t="str">
        <f>IFERROR(__xludf.DUMMYFUNCTION("if($C209="""","""",if(join("" - "",{iferror(filter('Student Groupings'!$A:$A,'Student Groupings'!$B:$B=$C209,'Student Groupings'!$H:$H=""Must be Together""),"""");iferror(filter('Student Groupings'!$A:$A,'Student Groupings'!$E:$E=$C209,'Student Groupings'"&amp;"!$H:$H=""Must be Together""),"""")})="" - "","""",join("" - "",{iferror(filter('Student Groupings'!$A:$A,'Student Groupings'!$B:$B=$C209,'Student Groupings'!$H:$H=""Must be Together""),"""");iferror(filter('Student Groupings'!$A:$A,'Student Groupings'!$E:"&amp;"$E=$C209,'Student Groupings'!$H:$H=""Must be Together""),"""")})))"),"")</f>
        <v/>
      </c>
      <c r="AE209" s="104"/>
      <c r="AF209" s="104"/>
      <c r="AG209" s="104"/>
      <c r="AH209" s="104"/>
    </row>
    <row r="210">
      <c r="A210" s="101">
        <v>7.0</v>
      </c>
      <c r="B210" s="101">
        <v>30065.0</v>
      </c>
      <c r="C210" s="102" t="s">
        <v>479</v>
      </c>
      <c r="D210" s="52" t="s">
        <v>175</v>
      </c>
      <c r="E210" s="52">
        <v>6.0</v>
      </c>
      <c r="F210" s="52" t="s">
        <v>164</v>
      </c>
      <c r="G210" s="52">
        <v>4.0</v>
      </c>
      <c r="H210" s="52" t="s">
        <v>188</v>
      </c>
      <c r="I210" s="52">
        <v>5.0</v>
      </c>
      <c r="J210" s="52" t="s">
        <v>195</v>
      </c>
      <c r="K210" s="52">
        <v>1.0</v>
      </c>
      <c r="L210" s="52" t="s">
        <v>200</v>
      </c>
      <c r="M210" s="52">
        <v>3.0</v>
      </c>
      <c r="N210" s="52" t="s">
        <v>154</v>
      </c>
      <c r="O210" s="52" t="s">
        <v>119</v>
      </c>
      <c r="P210" s="52" t="s">
        <v>140</v>
      </c>
      <c r="Q210" s="52" t="s">
        <v>125</v>
      </c>
      <c r="R210" s="52" t="s">
        <v>140</v>
      </c>
      <c r="S210" s="52" t="s">
        <v>125</v>
      </c>
      <c r="T210" s="65" t="s">
        <v>30</v>
      </c>
      <c r="U210" s="32">
        <v>1.0</v>
      </c>
      <c r="V210" s="32">
        <v>1.0</v>
      </c>
      <c r="W210" s="32">
        <v>1.0</v>
      </c>
      <c r="X210" s="32">
        <v>1.0</v>
      </c>
      <c r="Y210" s="32">
        <v>1.0</v>
      </c>
      <c r="Z210" s="32">
        <v>1.0</v>
      </c>
      <c r="AA210" s="32">
        <v>6.0</v>
      </c>
      <c r="AB210" s="32">
        <v>0.0</v>
      </c>
      <c r="AC210" s="103" t="str">
        <f>IFERROR(__xludf.DUMMYFUNCTION("if($C210="""","""",if(join("" - "",{iferror(filter('Student Groupings'!$A:$A,'Student Groupings'!$B:$B=$C210,'Student Groupings'!$H:$H=""Can't be Together""),"""");iferror(filter('Student Groupings'!$A:$A,'Student Groupings'!$E:$E=$C210,'Student Groupings"&amp;"'!$H:$H=""Can't be Together""),"""")})="" - "","""",join("" - "",{iferror(filter('Student Groupings'!$A:$A,'Student Groupings'!$B:$B=$C210,'Student Groupings'!$H:$H=""Can't be Together""),"""");iferror(filter('Student Groupings'!$A:$A,'Student Groupings'!"&amp;"$E:$E=$C210,'Student Groupings'!$H:$H=""Can't be Together""),"""")})))"),"")</f>
        <v/>
      </c>
      <c r="AD210" s="103" t="str">
        <f>IFERROR(__xludf.DUMMYFUNCTION("if($C210="""","""",if(join("" - "",{iferror(filter('Student Groupings'!$A:$A,'Student Groupings'!$B:$B=$C210,'Student Groupings'!$H:$H=""Must be Together""),"""");iferror(filter('Student Groupings'!$A:$A,'Student Groupings'!$E:$E=$C210,'Student Groupings'"&amp;"!$H:$H=""Must be Together""),"""")})="" - "","""",join("" - "",{iferror(filter('Student Groupings'!$A:$A,'Student Groupings'!$B:$B=$C210,'Student Groupings'!$H:$H=""Must be Together""),"""");iferror(filter('Student Groupings'!$A:$A,'Student Groupings'!$E:"&amp;"$E=$C210,'Student Groupings'!$H:$H=""Must be Together""),"""")})))"),"")</f>
        <v/>
      </c>
      <c r="AE210" s="105"/>
      <c r="AF210" s="105"/>
      <c r="AG210" s="105"/>
      <c r="AH210" s="105"/>
    </row>
    <row r="211">
      <c r="A211" s="101">
        <v>7.0</v>
      </c>
      <c r="B211" s="101">
        <v>30066.0</v>
      </c>
      <c r="C211" s="102" t="s">
        <v>480</v>
      </c>
      <c r="D211" s="52" t="s">
        <v>175</v>
      </c>
      <c r="E211" s="52">
        <v>3.0</v>
      </c>
      <c r="F211" s="52" t="s">
        <v>163</v>
      </c>
      <c r="G211" s="52">
        <v>5.0</v>
      </c>
      <c r="H211" s="52" t="s">
        <v>184</v>
      </c>
      <c r="I211" s="52">
        <v>2.0</v>
      </c>
      <c r="J211" s="52" t="s">
        <v>193</v>
      </c>
      <c r="K211" s="52">
        <v>1.0</v>
      </c>
      <c r="L211" s="52" t="s">
        <v>200</v>
      </c>
      <c r="M211" s="52">
        <v>6.0</v>
      </c>
      <c r="N211" s="52" t="s">
        <v>150</v>
      </c>
      <c r="O211" s="52" t="s">
        <v>111</v>
      </c>
      <c r="P211" s="52" t="s">
        <v>140</v>
      </c>
      <c r="Q211" s="52" t="s">
        <v>130</v>
      </c>
      <c r="R211" s="52" t="s">
        <v>140</v>
      </c>
      <c r="S211" s="52" t="s">
        <v>130</v>
      </c>
      <c r="T211" s="65" t="s">
        <v>30</v>
      </c>
      <c r="U211" s="32">
        <v>1.0</v>
      </c>
      <c r="V211" s="32">
        <v>1.0</v>
      </c>
      <c r="W211" s="32">
        <v>1.0</v>
      </c>
      <c r="X211" s="32">
        <v>1.0</v>
      </c>
      <c r="Y211" s="32">
        <v>1.0</v>
      </c>
      <c r="Z211" s="32">
        <v>1.0</v>
      </c>
      <c r="AA211" s="32">
        <v>6.0</v>
      </c>
      <c r="AB211" s="32">
        <v>0.0</v>
      </c>
      <c r="AC211" s="103" t="str">
        <f>IFERROR(__xludf.DUMMYFUNCTION("if($C211="""","""",if(join("" - "",{iferror(filter('Student Groupings'!$A:$A,'Student Groupings'!$B:$B=$C211,'Student Groupings'!$H:$H=""Can't be Together""),"""");iferror(filter('Student Groupings'!$A:$A,'Student Groupings'!$E:$E=$C211,'Student Groupings"&amp;"'!$H:$H=""Can't be Together""),"""")})="" - "","""",join("" - "",{iferror(filter('Student Groupings'!$A:$A,'Student Groupings'!$B:$B=$C211,'Student Groupings'!$H:$H=""Can't be Together""),"""");iferror(filter('Student Groupings'!$A:$A,'Student Groupings'!"&amp;"$E:$E=$C211,'Student Groupings'!$H:$H=""Can't be Together""),"""")})))"),"")</f>
        <v/>
      </c>
      <c r="AD211" s="103" t="str">
        <f>IFERROR(__xludf.DUMMYFUNCTION("if($C211="""","""",if(join("" - "",{iferror(filter('Student Groupings'!$A:$A,'Student Groupings'!$B:$B=$C211,'Student Groupings'!$H:$H=""Must be Together""),"""");iferror(filter('Student Groupings'!$A:$A,'Student Groupings'!$E:$E=$C211,'Student Groupings'"&amp;"!$H:$H=""Must be Together""),"""")})="" - "","""",join("" - "",{iferror(filter('Student Groupings'!$A:$A,'Student Groupings'!$B:$B=$C211,'Student Groupings'!$H:$H=""Must be Together""),"""");iferror(filter('Student Groupings'!$A:$A,'Student Groupings'!$E:"&amp;"$E=$C211,'Student Groupings'!$H:$H=""Must be Together""),"""")})))"),"")</f>
        <v/>
      </c>
      <c r="AE211" s="104"/>
      <c r="AF211" s="104"/>
      <c r="AG211" s="104"/>
      <c r="AH211" s="104"/>
    </row>
    <row r="212">
      <c r="A212" s="101">
        <v>7.0</v>
      </c>
      <c r="B212" s="101">
        <v>30148.0</v>
      </c>
      <c r="C212" s="102" t="s">
        <v>481</v>
      </c>
      <c r="D212" s="52" t="s">
        <v>175</v>
      </c>
      <c r="E212" s="52">
        <v>4.0</v>
      </c>
      <c r="F212" s="52" t="s">
        <v>164</v>
      </c>
      <c r="G212" s="52">
        <v>3.0</v>
      </c>
      <c r="H212" s="52" t="s">
        <v>184</v>
      </c>
      <c r="I212" s="52">
        <v>1.0</v>
      </c>
      <c r="J212" s="52" t="s">
        <v>193</v>
      </c>
      <c r="K212" s="52">
        <v>5.0</v>
      </c>
      <c r="L212" s="52" t="s">
        <v>200</v>
      </c>
      <c r="M212" s="52">
        <v>2.0</v>
      </c>
      <c r="N212" s="52" t="s">
        <v>150</v>
      </c>
      <c r="O212" s="52" t="s">
        <v>109</v>
      </c>
      <c r="P212" s="52" t="s">
        <v>116</v>
      </c>
      <c r="Q212" s="52" t="s">
        <v>120</v>
      </c>
      <c r="R212" s="52" t="s">
        <v>133</v>
      </c>
      <c r="S212" s="52" t="s">
        <v>120</v>
      </c>
      <c r="T212" s="65" t="s">
        <v>27</v>
      </c>
      <c r="U212" s="32">
        <v>1.0</v>
      </c>
      <c r="V212" s="32">
        <v>1.0</v>
      </c>
      <c r="W212" s="32">
        <v>1.0</v>
      </c>
      <c r="X212" s="32">
        <v>1.0</v>
      </c>
      <c r="Y212" s="32">
        <v>1.0</v>
      </c>
      <c r="Z212" s="32">
        <v>1.0</v>
      </c>
      <c r="AA212" s="32">
        <v>6.0</v>
      </c>
      <c r="AB212" s="32">
        <v>0.0</v>
      </c>
      <c r="AC212" s="103" t="str">
        <f>IFERROR(__xludf.DUMMYFUNCTION("if($C212="""","""",if(join("" - "",{iferror(filter('Student Groupings'!$A:$A,'Student Groupings'!$B:$B=$C212,'Student Groupings'!$H:$H=""Can't be Together""),"""");iferror(filter('Student Groupings'!$A:$A,'Student Groupings'!$E:$E=$C212,'Student Groupings"&amp;"'!$H:$H=""Can't be Together""),"""")})="" - "","""",join("" - "",{iferror(filter('Student Groupings'!$A:$A,'Student Groupings'!$B:$B=$C212,'Student Groupings'!$H:$H=""Can't be Together""),"""");iferror(filter('Student Groupings'!$A:$A,'Student Groupings'!"&amp;"$E:$E=$C212,'Student Groupings'!$H:$H=""Can't be Together""),"""")})))"),"")</f>
        <v/>
      </c>
      <c r="AD212" s="103" t="str">
        <f>IFERROR(__xludf.DUMMYFUNCTION("if($C212="""","""",if(join("" - "",{iferror(filter('Student Groupings'!$A:$A,'Student Groupings'!$B:$B=$C212,'Student Groupings'!$H:$H=""Must be Together""),"""");iferror(filter('Student Groupings'!$A:$A,'Student Groupings'!$E:$E=$C212,'Student Groupings'"&amp;"!$H:$H=""Must be Together""),"""")})="" - "","""",join("" - "",{iferror(filter('Student Groupings'!$A:$A,'Student Groupings'!$B:$B=$C212,'Student Groupings'!$H:$H=""Must be Together""),"""");iferror(filter('Student Groupings'!$A:$A,'Student Groupings'!$E:"&amp;"$E=$C212,'Student Groupings'!$H:$H=""Must be Together""),"""")})))"),"")</f>
        <v/>
      </c>
      <c r="AE212" s="104"/>
      <c r="AF212" s="104"/>
      <c r="AG212" s="104"/>
      <c r="AH212" s="104"/>
    </row>
    <row r="213">
      <c r="A213" s="101">
        <v>7.0</v>
      </c>
      <c r="B213" s="101">
        <v>30068.0</v>
      </c>
      <c r="C213" s="102" t="s">
        <v>482</v>
      </c>
      <c r="D213" s="52" t="s">
        <v>179</v>
      </c>
      <c r="E213" s="52">
        <v>6.0</v>
      </c>
      <c r="F213" s="52" t="s">
        <v>163</v>
      </c>
      <c r="G213" s="52">
        <v>4.0</v>
      </c>
      <c r="H213" s="52" t="s">
        <v>188</v>
      </c>
      <c r="I213" s="52">
        <v>5.0</v>
      </c>
      <c r="J213" s="52" t="s">
        <v>195</v>
      </c>
      <c r="K213" s="52">
        <v>3.0</v>
      </c>
      <c r="L213" s="52" t="s">
        <v>200</v>
      </c>
      <c r="M213" s="52">
        <v>1.0</v>
      </c>
      <c r="N213" s="52" t="s">
        <v>150</v>
      </c>
      <c r="O213" s="52" t="s">
        <v>119</v>
      </c>
      <c r="P213" s="52" t="s">
        <v>116</v>
      </c>
      <c r="Q213" s="52" t="s">
        <v>125</v>
      </c>
      <c r="R213" s="52" t="s">
        <v>133</v>
      </c>
      <c r="S213" s="52" t="s">
        <v>125</v>
      </c>
      <c r="T213" s="65" t="s">
        <v>8</v>
      </c>
      <c r="U213" s="32">
        <v>1.0</v>
      </c>
      <c r="V213" s="32">
        <v>1.0</v>
      </c>
      <c r="W213" s="32">
        <v>1.0</v>
      </c>
      <c r="X213" s="32">
        <v>1.0</v>
      </c>
      <c r="Y213" s="32">
        <v>1.0</v>
      </c>
      <c r="Z213" s="32">
        <v>1.0</v>
      </c>
      <c r="AA213" s="32">
        <v>6.0</v>
      </c>
      <c r="AB213" s="32">
        <v>0.0</v>
      </c>
      <c r="AC213" s="103" t="str">
        <f>IFERROR(__xludf.DUMMYFUNCTION("if($C213="""","""",if(join("" - "",{iferror(filter('Student Groupings'!$A:$A,'Student Groupings'!$B:$B=$C213,'Student Groupings'!$H:$H=""Can't be Together""),"""");iferror(filter('Student Groupings'!$A:$A,'Student Groupings'!$E:$E=$C213,'Student Groupings"&amp;"'!$H:$H=""Can't be Together""),"""")})="" - "","""",join("" - "",{iferror(filter('Student Groupings'!$A:$A,'Student Groupings'!$B:$B=$C213,'Student Groupings'!$H:$H=""Can't be Together""),"""");iferror(filter('Student Groupings'!$A:$A,'Student Groupings'!"&amp;"$E:$E=$C213,'Student Groupings'!$H:$H=""Can't be Together""),"""")})))"),"")</f>
        <v/>
      </c>
      <c r="AD213" s="103" t="str">
        <f>IFERROR(__xludf.DUMMYFUNCTION("if($C213="""","""",if(join("" - "",{iferror(filter('Student Groupings'!$A:$A,'Student Groupings'!$B:$B=$C213,'Student Groupings'!$H:$H=""Must be Together""),"""");iferror(filter('Student Groupings'!$A:$A,'Student Groupings'!$E:$E=$C213,'Student Groupings'"&amp;"!$H:$H=""Must be Together""),"""")})="" - "","""",join("" - "",{iferror(filter('Student Groupings'!$A:$A,'Student Groupings'!$B:$B=$C213,'Student Groupings'!$H:$H=""Must be Together""),"""");iferror(filter('Student Groupings'!$A:$A,'Student Groupings'!$E:"&amp;"$E=$C213,'Student Groupings'!$H:$H=""Must be Together""),"""")})))"),"")</f>
        <v/>
      </c>
      <c r="AE213" s="104"/>
      <c r="AF213" s="104"/>
      <c r="AG213" s="105">
        <v>1.0</v>
      </c>
      <c r="AH213" s="105"/>
    </row>
    <row r="214">
      <c r="A214" s="101">
        <v>7.0</v>
      </c>
      <c r="B214" s="101">
        <v>30069.0</v>
      </c>
      <c r="C214" s="102" t="s">
        <v>483</v>
      </c>
      <c r="D214" s="52" t="s">
        <v>175</v>
      </c>
      <c r="E214" s="52">
        <v>6.0</v>
      </c>
      <c r="F214" s="52" t="s">
        <v>164</v>
      </c>
      <c r="G214" s="52">
        <v>4.0</v>
      </c>
      <c r="H214" s="52" t="s">
        <v>188</v>
      </c>
      <c r="I214" s="52">
        <v>5.0</v>
      </c>
      <c r="J214" s="52" t="s">
        <v>195</v>
      </c>
      <c r="K214" s="52">
        <v>1.0</v>
      </c>
      <c r="L214" s="52" t="s">
        <v>200</v>
      </c>
      <c r="M214" s="52">
        <v>3.0</v>
      </c>
      <c r="N214" s="52" t="s">
        <v>154</v>
      </c>
      <c r="O214" s="52" t="s">
        <v>119</v>
      </c>
      <c r="P214" s="52" t="s">
        <v>140</v>
      </c>
      <c r="Q214" s="52" t="s">
        <v>125</v>
      </c>
      <c r="R214" s="52" t="s">
        <v>140</v>
      </c>
      <c r="S214" s="52" t="s">
        <v>125</v>
      </c>
      <c r="T214" s="65" t="s">
        <v>30</v>
      </c>
      <c r="U214" s="32">
        <v>1.0</v>
      </c>
      <c r="V214" s="32">
        <v>1.0</v>
      </c>
      <c r="W214" s="32">
        <v>1.0</v>
      </c>
      <c r="X214" s="32">
        <v>1.0</v>
      </c>
      <c r="Y214" s="32">
        <v>1.0</v>
      </c>
      <c r="Z214" s="32">
        <v>1.0</v>
      </c>
      <c r="AA214" s="32">
        <v>6.0</v>
      </c>
      <c r="AB214" s="32">
        <v>0.0</v>
      </c>
      <c r="AC214" s="103" t="str">
        <f>IFERROR(__xludf.DUMMYFUNCTION("if($C214="""","""",if(join("" - "",{iferror(filter('Student Groupings'!$A:$A,'Student Groupings'!$B:$B=$C214,'Student Groupings'!$H:$H=""Can't be Together""),"""");iferror(filter('Student Groupings'!$A:$A,'Student Groupings'!$E:$E=$C214,'Student Groupings"&amp;"'!$H:$H=""Can't be Together""),"""")})="" - "","""",join("" - "",{iferror(filter('Student Groupings'!$A:$A,'Student Groupings'!$B:$B=$C214,'Student Groupings'!$H:$H=""Can't be Together""),"""");iferror(filter('Student Groupings'!$A:$A,'Student Groupings'!"&amp;"$E:$E=$C214,'Student Groupings'!$H:$H=""Can't be Together""),"""")})))"),"")</f>
        <v/>
      </c>
      <c r="AD214" s="103" t="str">
        <f>IFERROR(__xludf.DUMMYFUNCTION("if($C214="""","""",if(join("" - "",{iferror(filter('Student Groupings'!$A:$A,'Student Groupings'!$B:$B=$C214,'Student Groupings'!$H:$H=""Must be Together""),"""");iferror(filter('Student Groupings'!$A:$A,'Student Groupings'!$E:$E=$C214,'Student Groupings'"&amp;"!$H:$H=""Must be Together""),"""")})="" - "","""",join("" - "",{iferror(filter('Student Groupings'!$A:$A,'Student Groupings'!$B:$B=$C214,'Student Groupings'!$H:$H=""Must be Together""),"""");iferror(filter('Student Groupings'!$A:$A,'Student Groupings'!$E:"&amp;"$E=$C214,'Student Groupings'!$H:$H=""Must be Together""),"""")})))"),"")</f>
        <v/>
      </c>
      <c r="AE214" s="104"/>
      <c r="AF214" s="104"/>
      <c r="AG214" s="104"/>
      <c r="AH214" s="104"/>
    </row>
    <row r="215">
      <c r="A215" s="101">
        <v>7.0</v>
      </c>
      <c r="B215" s="101">
        <v>30070.0</v>
      </c>
      <c r="C215" s="102" t="s">
        <v>484</v>
      </c>
      <c r="D215" s="52" t="s">
        <v>175</v>
      </c>
      <c r="E215" s="52">
        <v>3.0</v>
      </c>
      <c r="F215" s="52" t="s">
        <v>163</v>
      </c>
      <c r="G215" s="52">
        <v>5.0</v>
      </c>
      <c r="H215" s="52" t="s">
        <v>184</v>
      </c>
      <c r="I215" s="52">
        <v>2.0</v>
      </c>
      <c r="J215" s="52" t="s">
        <v>193</v>
      </c>
      <c r="K215" s="52">
        <v>1.0</v>
      </c>
      <c r="L215" s="52" t="s">
        <v>200</v>
      </c>
      <c r="M215" s="52">
        <v>6.0</v>
      </c>
      <c r="N215" s="52" t="s">
        <v>150</v>
      </c>
      <c r="O215" s="52" t="s">
        <v>111</v>
      </c>
      <c r="P215" s="52" t="s">
        <v>140</v>
      </c>
      <c r="Q215" s="52" t="s">
        <v>130</v>
      </c>
      <c r="R215" s="52" t="s">
        <v>140</v>
      </c>
      <c r="S215" s="52" t="s">
        <v>130</v>
      </c>
      <c r="T215" s="65" t="s">
        <v>30</v>
      </c>
      <c r="U215" s="32">
        <v>1.0</v>
      </c>
      <c r="V215" s="32">
        <v>1.0</v>
      </c>
      <c r="W215" s="32">
        <v>1.0</v>
      </c>
      <c r="X215" s="32">
        <v>1.0</v>
      </c>
      <c r="Y215" s="32">
        <v>1.0</v>
      </c>
      <c r="Z215" s="32">
        <v>1.0</v>
      </c>
      <c r="AA215" s="32">
        <v>6.0</v>
      </c>
      <c r="AB215" s="32">
        <v>0.0</v>
      </c>
      <c r="AC215" s="103" t="str">
        <f>IFERROR(__xludf.DUMMYFUNCTION("if($C215="""","""",if(join("" - "",{iferror(filter('Student Groupings'!$A:$A,'Student Groupings'!$B:$B=$C215,'Student Groupings'!$H:$H=""Can't be Together""),"""");iferror(filter('Student Groupings'!$A:$A,'Student Groupings'!$E:$E=$C215,'Student Groupings"&amp;"'!$H:$H=""Can't be Together""),"""")})="" - "","""",join("" - "",{iferror(filter('Student Groupings'!$A:$A,'Student Groupings'!$B:$B=$C215,'Student Groupings'!$H:$H=""Can't be Together""),"""");iferror(filter('Student Groupings'!$A:$A,'Student Groupings'!"&amp;"$E:$E=$C215,'Student Groupings'!$H:$H=""Can't be Together""),"""")})))"),"")</f>
        <v/>
      </c>
      <c r="AD215" s="103" t="str">
        <f>IFERROR(__xludf.DUMMYFUNCTION("if($C215="""","""",if(join("" - "",{iferror(filter('Student Groupings'!$A:$A,'Student Groupings'!$B:$B=$C215,'Student Groupings'!$H:$H=""Must be Together""),"""");iferror(filter('Student Groupings'!$A:$A,'Student Groupings'!$E:$E=$C215,'Student Groupings'"&amp;"!$H:$H=""Must be Together""),"""")})="" - "","""",join("" - "",{iferror(filter('Student Groupings'!$A:$A,'Student Groupings'!$B:$B=$C215,'Student Groupings'!$H:$H=""Must be Together""),"""");iferror(filter('Student Groupings'!$A:$A,'Student Groupings'!$E:"&amp;"$E=$C215,'Student Groupings'!$H:$H=""Must be Together""),"""")})))"),"")</f>
        <v/>
      </c>
      <c r="AE215" s="104"/>
      <c r="AF215" s="104"/>
      <c r="AG215" s="104"/>
      <c r="AH215" s="104"/>
    </row>
    <row r="216">
      <c r="A216" s="101">
        <v>7.0</v>
      </c>
      <c r="B216" s="101">
        <v>30155.0</v>
      </c>
      <c r="C216" s="102" t="s">
        <v>485</v>
      </c>
      <c r="D216" s="52" t="s">
        <v>175</v>
      </c>
      <c r="E216" s="52">
        <v>2.0</v>
      </c>
      <c r="F216" s="52" t="s">
        <v>163</v>
      </c>
      <c r="G216" s="52">
        <v>6.0</v>
      </c>
      <c r="H216" s="52" t="s">
        <v>184</v>
      </c>
      <c r="I216" s="52">
        <v>3.0</v>
      </c>
      <c r="J216" s="52" t="s">
        <v>195</v>
      </c>
      <c r="K216" s="52">
        <v>5.0</v>
      </c>
      <c r="L216" s="52" t="s">
        <v>200</v>
      </c>
      <c r="M216" s="52">
        <v>4.0</v>
      </c>
      <c r="N216" s="52" t="s">
        <v>154</v>
      </c>
      <c r="O216" s="52" t="s">
        <v>129</v>
      </c>
      <c r="P216" s="52" t="s">
        <v>140</v>
      </c>
      <c r="Q216" s="52" t="s">
        <v>108</v>
      </c>
      <c r="R216" s="52" t="s">
        <v>140</v>
      </c>
      <c r="S216" s="52" t="s">
        <v>108</v>
      </c>
      <c r="T216" s="65" t="s">
        <v>30</v>
      </c>
      <c r="U216" s="32">
        <v>1.0</v>
      </c>
      <c r="V216" s="32">
        <v>1.0</v>
      </c>
      <c r="W216" s="32">
        <v>1.0</v>
      </c>
      <c r="X216" s="32">
        <v>1.0</v>
      </c>
      <c r="Y216" s="32">
        <v>1.0</v>
      </c>
      <c r="Z216" s="32">
        <v>1.0</v>
      </c>
      <c r="AA216" s="32">
        <v>6.0</v>
      </c>
      <c r="AB216" s="32">
        <v>0.0</v>
      </c>
      <c r="AC216" s="103" t="str">
        <f>IFERROR(__xludf.DUMMYFUNCTION("if($C216="""","""",if(join("" - "",{iferror(filter('Student Groupings'!$A:$A,'Student Groupings'!$B:$B=$C216,'Student Groupings'!$H:$H=""Can't be Together""),"""");iferror(filter('Student Groupings'!$A:$A,'Student Groupings'!$E:$E=$C216,'Student Groupings"&amp;"'!$H:$H=""Can't be Together""),"""")})="" - "","""",join("" - "",{iferror(filter('Student Groupings'!$A:$A,'Student Groupings'!$B:$B=$C216,'Student Groupings'!$H:$H=""Can't be Together""),"""");iferror(filter('Student Groupings'!$A:$A,'Student Groupings'!"&amp;"$E:$E=$C216,'Student Groupings'!$H:$H=""Can't be Together""),"""")})))"),"")</f>
        <v/>
      </c>
      <c r="AD216" s="103" t="str">
        <f>IFERROR(__xludf.DUMMYFUNCTION("if($C216="""","""",if(join("" - "",{iferror(filter('Student Groupings'!$A:$A,'Student Groupings'!$B:$B=$C216,'Student Groupings'!$H:$H=""Must be Together""),"""");iferror(filter('Student Groupings'!$A:$A,'Student Groupings'!$E:$E=$C216,'Student Groupings'"&amp;"!$H:$H=""Must be Together""),"""")})="" - "","""",join("" - "",{iferror(filter('Student Groupings'!$A:$A,'Student Groupings'!$B:$B=$C216,'Student Groupings'!$H:$H=""Must be Together""),"""");iferror(filter('Student Groupings'!$A:$A,'Student Groupings'!$E:"&amp;"$E=$C216,'Student Groupings'!$H:$H=""Must be Together""),"""")})))"),"")</f>
        <v/>
      </c>
      <c r="AE216" s="104"/>
      <c r="AF216" s="104"/>
      <c r="AG216" s="104"/>
      <c r="AH216" s="104"/>
    </row>
    <row r="217">
      <c r="A217" s="101">
        <v>7.0</v>
      </c>
      <c r="B217" s="101">
        <v>30072.0</v>
      </c>
      <c r="C217" s="102" t="s">
        <v>486</v>
      </c>
      <c r="D217" s="52" t="s">
        <v>179</v>
      </c>
      <c r="E217" s="52">
        <v>6.0</v>
      </c>
      <c r="F217" s="52" t="s">
        <v>163</v>
      </c>
      <c r="G217" s="52">
        <v>5.0</v>
      </c>
      <c r="H217" s="52" t="s">
        <v>184</v>
      </c>
      <c r="I217" s="52">
        <v>2.0</v>
      </c>
      <c r="J217" s="52" t="s">
        <v>195</v>
      </c>
      <c r="K217" s="52">
        <v>3.0</v>
      </c>
      <c r="L217" s="52" t="s">
        <v>200</v>
      </c>
      <c r="M217" s="52">
        <v>1.0</v>
      </c>
      <c r="N217" s="52" t="s">
        <v>150</v>
      </c>
      <c r="O217" s="52" t="s">
        <v>111</v>
      </c>
      <c r="P217" s="52" t="s">
        <v>140</v>
      </c>
      <c r="Q217" s="52" t="s">
        <v>130</v>
      </c>
      <c r="R217" s="52" t="s">
        <v>140</v>
      </c>
      <c r="S217" s="52" t="s">
        <v>130</v>
      </c>
      <c r="T217" s="65" t="s">
        <v>30</v>
      </c>
      <c r="U217" s="32">
        <v>1.0</v>
      </c>
      <c r="V217" s="32">
        <v>1.0</v>
      </c>
      <c r="W217" s="32">
        <v>1.0</v>
      </c>
      <c r="X217" s="32">
        <v>1.0</v>
      </c>
      <c r="Y217" s="32">
        <v>1.0</v>
      </c>
      <c r="Z217" s="32">
        <v>1.0</v>
      </c>
      <c r="AA217" s="32">
        <v>6.0</v>
      </c>
      <c r="AB217" s="32">
        <v>0.0</v>
      </c>
      <c r="AC217" s="103" t="str">
        <f>IFERROR(__xludf.DUMMYFUNCTION("if($C217="""","""",if(join("" - "",{iferror(filter('Student Groupings'!$A:$A,'Student Groupings'!$B:$B=$C217,'Student Groupings'!$H:$H=""Can't be Together""),"""");iferror(filter('Student Groupings'!$A:$A,'Student Groupings'!$E:$E=$C217,'Student Groupings"&amp;"'!$H:$H=""Can't be Together""),"""")})="" - "","""",join("" - "",{iferror(filter('Student Groupings'!$A:$A,'Student Groupings'!$B:$B=$C217,'Student Groupings'!$H:$H=""Can't be Together""),"""");iferror(filter('Student Groupings'!$A:$A,'Student Groupings'!"&amp;"$E:$E=$C217,'Student Groupings'!$H:$H=""Can't be Together""),"""")})))"),"")</f>
        <v/>
      </c>
      <c r="AD217" s="103" t="str">
        <f>IFERROR(__xludf.DUMMYFUNCTION("if($C217="""","""",if(join("" - "",{iferror(filter('Student Groupings'!$A:$A,'Student Groupings'!$B:$B=$C217,'Student Groupings'!$H:$H=""Must be Together""),"""");iferror(filter('Student Groupings'!$A:$A,'Student Groupings'!$E:$E=$C217,'Student Groupings'"&amp;"!$H:$H=""Must be Together""),"""")})="" - "","""",join("" - "",{iferror(filter('Student Groupings'!$A:$A,'Student Groupings'!$B:$B=$C217,'Student Groupings'!$H:$H=""Must be Together""),"""");iferror(filter('Student Groupings'!$A:$A,'Student Groupings'!$E:"&amp;"$E=$C217,'Student Groupings'!$H:$H=""Must be Together""),"""")})))"),"")</f>
        <v/>
      </c>
      <c r="AE217" s="104"/>
      <c r="AF217" s="104"/>
      <c r="AG217" s="104"/>
      <c r="AH217" s="104"/>
    </row>
    <row r="218">
      <c r="A218" s="101">
        <v>7.0</v>
      </c>
      <c r="B218" s="101">
        <v>30074.0</v>
      </c>
      <c r="C218" s="102" t="s">
        <v>487</v>
      </c>
      <c r="D218" s="52" t="s">
        <v>175</v>
      </c>
      <c r="E218" s="52">
        <v>6.0</v>
      </c>
      <c r="F218" s="52" t="s">
        <v>164</v>
      </c>
      <c r="G218" s="52">
        <v>4.0</v>
      </c>
      <c r="H218" s="52" t="s">
        <v>188</v>
      </c>
      <c r="I218" s="52">
        <v>5.0</v>
      </c>
      <c r="J218" s="52" t="s">
        <v>195</v>
      </c>
      <c r="K218" s="52">
        <v>1.0</v>
      </c>
      <c r="L218" s="52" t="s">
        <v>200</v>
      </c>
      <c r="M218" s="52">
        <v>3.0</v>
      </c>
      <c r="N218" s="52" t="s">
        <v>154</v>
      </c>
      <c r="O218" s="52" t="s">
        <v>119</v>
      </c>
      <c r="P218" s="52" t="s">
        <v>140</v>
      </c>
      <c r="Q218" s="52" t="s">
        <v>125</v>
      </c>
      <c r="R218" s="52" t="s">
        <v>140</v>
      </c>
      <c r="S218" s="52" t="s">
        <v>125</v>
      </c>
      <c r="T218" s="65" t="s">
        <v>30</v>
      </c>
      <c r="U218" s="32">
        <v>1.0</v>
      </c>
      <c r="V218" s="32">
        <v>1.0</v>
      </c>
      <c r="W218" s="32">
        <v>1.0</v>
      </c>
      <c r="X218" s="32">
        <v>1.0</v>
      </c>
      <c r="Y218" s="32">
        <v>1.0</v>
      </c>
      <c r="Z218" s="32">
        <v>1.0</v>
      </c>
      <c r="AA218" s="32">
        <v>6.0</v>
      </c>
      <c r="AB218" s="32">
        <v>0.0</v>
      </c>
      <c r="AC218" s="103" t="str">
        <f>IFERROR(__xludf.DUMMYFUNCTION("if($C218="""","""",if(join("" - "",{iferror(filter('Student Groupings'!$A:$A,'Student Groupings'!$B:$B=$C218,'Student Groupings'!$H:$H=""Can't be Together""),"""");iferror(filter('Student Groupings'!$A:$A,'Student Groupings'!$E:$E=$C218,'Student Groupings"&amp;"'!$H:$H=""Can't be Together""),"""")})="" - "","""",join("" - "",{iferror(filter('Student Groupings'!$A:$A,'Student Groupings'!$B:$B=$C218,'Student Groupings'!$H:$H=""Can't be Together""),"""");iferror(filter('Student Groupings'!$A:$A,'Student Groupings'!"&amp;"$E:$E=$C218,'Student Groupings'!$H:$H=""Can't be Together""),"""")})))"),"")</f>
        <v/>
      </c>
      <c r="AD218" s="103" t="str">
        <f>IFERROR(__xludf.DUMMYFUNCTION("if($C218="""","""",if(join("" - "",{iferror(filter('Student Groupings'!$A:$A,'Student Groupings'!$B:$B=$C218,'Student Groupings'!$H:$H=""Must be Together""),"""");iferror(filter('Student Groupings'!$A:$A,'Student Groupings'!$E:$E=$C218,'Student Groupings'"&amp;"!$H:$H=""Must be Together""),"""")})="" - "","""",join("" - "",{iferror(filter('Student Groupings'!$A:$A,'Student Groupings'!$B:$B=$C218,'Student Groupings'!$H:$H=""Must be Together""),"""");iferror(filter('Student Groupings'!$A:$A,'Student Groupings'!$E:"&amp;"$E=$C218,'Student Groupings'!$H:$H=""Must be Together""),"""")})))"),"")</f>
        <v/>
      </c>
      <c r="AE218" s="104"/>
      <c r="AF218" s="104"/>
      <c r="AG218" s="104"/>
      <c r="AH218" s="104"/>
    </row>
    <row r="219">
      <c r="A219" s="101">
        <v>7.0</v>
      </c>
      <c r="B219" s="101">
        <v>30075.0</v>
      </c>
      <c r="C219" s="102" t="s">
        <v>488</v>
      </c>
      <c r="D219" s="52" t="s">
        <v>175</v>
      </c>
      <c r="E219" s="52">
        <v>5.0</v>
      </c>
      <c r="F219" s="52" t="s">
        <v>163</v>
      </c>
      <c r="G219" s="52">
        <v>3.0</v>
      </c>
      <c r="H219" s="52" t="s">
        <v>184</v>
      </c>
      <c r="I219" s="52">
        <v>6.0</v>
      </c>
      <c r="J219" s="52" t="s">
        <v>195</v>
      </c>
      <c r="K219" s="52">
        <v>2.0</v>
      </c>
      <c r="L219" s="52" t="s">
        <v>203</v>
      </c>
      <c r="M219" s="52">
        <v>4.0</v>
      </c>
      <c r="N219" s="52" t="s">
        <v>150</v>
      </c>
      <c r="O219" s="52" t="s">
        <v>129</v>
      </c>
      <c r="P219" s="52" t="s">
        <v>116</v>
      </c>
      <c r="Q219" s="52" t="s">
        <v>108</v>
      </c>
      <c r="R219" s="52" t="s">
        <v>133</v>
      </c>
      <c r="S219" s="52" t="s">
        <v>108</v>
      </c>
      <c r="T219" s="65" t="s">
        <v>27</v>
      </c>
      <c r="U219" s="32">
        <v>1.0</v>
      </c>
      <c r="V219" s="32">
        <v>1.0</v>
      </c>
      <c r="W219" s="32">
        <v>1.0</v>
      </c>
      <c r="X219" s="32">
        <v>1.0</v>
      </c>
      <c r="Y219" s="32">
        <v>1.0</v>
      </c>
      <c r="Z219" s="32">
        <v>1.0</v>
      </c>
      <c r="AA219" s="32">
        <v>6.0</v>
      </c>
      <c r="AB219" s="32">
        <v>0.0</v>
      </c>
      <c r="AC219" s="103" t="str">
        <f>IFERROR(__xludf.DUMMYFUNCTION("if($C219="""","""",if(join("" - "",{iferror(filter('Student Groupings'!$A:$A,'Student Groupings'!$B:$B=$C219,'Student Groupings'!$H:$H=""Can't be Together""),"""");iferror(filter('Student Groupings'!$A:$A,'Student Groupings'!$E:$E=$C219,'Student Groupings"&amp;"'!$H:$H=""Can't be Together""),"""")})="" - "","""",join("" - "",{iferror(filter('Student Groupings'!$A:$A,'Student Groupings'!$B:$B=$C219,'Student Groupings'!$H:$H=""Can't be Together""),"""");iferror(filter('Student Groupings'!$A:$A,'Student Groupings'!"&amp;"$E:$E=$C219,'Student Groupings'!$H:$H=""Can't be Together""),"""")})))"),"")</f>
        <v/>
      </c>
      <c r="AD219" s="103" t="str">
        <f>IFERROR(__xludf.DUMMYFUNCTION("if($C219="""","""",if(join("" - "",{iferror(filter('Student Groupings'!$A:$A,'Student Groupings'!$B:$B=$C219,'Student Groupings'!$H:$H=""Must be Together""),"""");iferror(filter('Student Groupings'!$A:$A,'Student Groupings'!$E:$E=$C219,'Student Groupings'"&amp;"!$H:$H=""Must be Together""),"""")})="" - "","""",join("" - "",{iferror(filter('Student Groupings'!$A:$A,'Student Groupings'!$B:$B=$C219,'Student Groupings'!$H:$H=""Must be Together""),"""");iferror(filter('Student Groupings'!$A:$A,'Student Groupings'!$E:"&amp;"$E=$C219,'Student Groupings'!$H:$H=""Must be Together""),"""")})))"),"")</f>
        <v/>
      </c>
      <c r="AE219" s="104"/>
      <c r="AF219" s="104"/>
      <c r="AG219" s="104"/>
      <c r="AH219" s="104"/>
    </row>
    <row r="220">
      <c r="A220" s="101">
        <v>7.0</v>
      </c>
      <c r="B220" s="101">
        <v>30076.0</v>
      </c>
      <c r="C220" s="102" t="s">
        <v>489</v>
      </c>
      <c r="D220" s="52" t="s">
        <v>175</v>
      </c>
      <c r="E220" s="52">
        <v>4.0</v>
      </c>
      <c r="F220" s="52" t="s">
        <v>164</v>
      </c>
      <c r="G220" s="52">
        <v>3.0</v>
      </c>
      <c r="H220" s="52" t="s">
        <v>184</v>
      </c>
      <c r="I220" s="52">
        <v>1.0</v>
      </c>
      <c r="J220" s="52" t="s">
        <v>193</v>
      </c>
      <c r="K220" s="52">
        <v>5.0</v>
      </c>
      <c r="L220" s="52" t="s">
        <v>200</v>
      </c>
      <c r="M220" s="52">
        <v>2.0</v>
      </c>
      <c r="N220" s="52" t="s">
        <v>150</v>
      </c>
      <c r="O220" s="52" t="s">
        <v>109</v>
      </c>
      <c r="P220" s="52" t="s">
        <v>116</v>
      </c>
      <c r="Q220" s="52" t="s">
        <v>120</v>
      </c>
      <c r="R220" s="52" t="s">
        <v>133</v>
      </c>
      <c r="S220" s="52" t="s">
        <v>120</v>
      </c>
      <c r="T220" s="65" t="s">
        <v>27</v>
      </c>
      <c r="U220" s="32">
        <v>1.0</v>
      </c>
      <c r="V220" s="32">
        <v>1.0</v>
      </c>
      <c r="W220" s="32">
        <v>1.0</v>
      </c>
      <c r="X220" s="32">
        <v>1.0</v>
      </c>
      <c r="Y220" s="32">
        <v>1.0</v>
      </c>
      <c r="Z220" s="32">
        <v>1.0</v>
      </c>
      <c r="AA220" s="32">
        <v>6.0</v>
      </c>
      <c r="AB220" s="32">
        <v>0.0</v>
      </c>
      <c r="AC220" s="103" t="str">
        <f>IFERROR(__xludf.DUMMYFUNCTION("if($C220="""","""",if(join("" - "",{iferror(filter('Student Groupings'!$A:$A,'Student Groupings'!$B:$B=$C220,'Student Groupings'!$H:$H=""Can't be Together""),"""");iferror(filter('Student Groupings'!$A:$A,'Student Groupings'!$E:$E=$C220,'Student Groupings"&amp;"'!$H:$H=""Can't be Together""),"""")})="" - "","""",join("" - "",{iferror(filter('Student Groupings'!$A:$A,'Student Groupings'!$B:$B=$C220,'Student Groupings'!$H:$H=""Can't be Together""),"""");iferror(filter('Student Groupings'!$A:$A,'Student Groupings'!"&amp;"$E:$E=$C220,'Student Groupings'!$H:$H=""Can't be Together""),"""")})))"),"")</f>
        <v/>
      </c>
      <c r="AD220" s="103" t="str">
        <f>IFERROR(__xludf.DUMMYFUNCTION("if($C220="""","""",if(join("" - "",{iferror(filter('Student Groupings'!$A:$A,'Student Groupings'!$B:$B=$C220,'Student Groupings'!$H:$H=""Must be Together""),"""");iferror(filter('Student Groupings'!$A:$A,'Student Groupings'!$E:$E=$C220,'Student Groupings'"&amp;"!$H:$H=""Must be Together""),"""")})="" - "","""",join("" - "",{iferror(filter('Student Groupings'!$A:$A,'Student Groupings'!$B:$B=$C220,'Student Groupings'!$H:$H=""Must be Together""),"""");iferror(filter('Student Groupings'!$A:$A,'Student Groupings'!$E:"&amp;"$E=$C220,'Student Groupings'!$H:$H=""Must be Together""),"""")})))"),"")</f>
        <v/>
      </c>
      <c r="AE220" s="104"/>
      <c r="AF220" s="104"/>
      <c r="AG220" s="104"/>
      <c r="AH220" s="104"/>
    </row>
    <row r="221">
      <c r="A221" s="101">
        <v>7.0</v>
      </c>
      <c r="B221" s="101">
        <v>30077.0</v>
      </c>
      <c r="C221" s="102" t="s">
        <v>490</v>
      </c>
      <c r="D221" s="52" t="s">
        <v>175</v>
      </c>
      <c r="E221" s="52">
        <v>3.0</v>
      </c>
      <c r="F221" s="52" t="s">
        <v>163</v>
      </c>
      <c r="G221" s="52">
        <v>5.0</v>
      </c>
      <c r="H221" s="52" t="s">
        <v>184</v>
      </c>
      <c r="I221" s="52">
        <v>2.0</v>
      </c>
      <c r="J221" s="52" t="s">
        <v>193</v>
      </c>
      <c r="K221" s="101">
        <v>1.0</v>
      </c>
      <c r="L221" s="52" t="s">
        <v>200</v>
      </c>
      <c r="M221" s="52">
        <v>6.0</v>
      </c>
      <c r="N221" s="52" t="s">
        <v>150</v>
      </c>
      <c r="O221" s="52" t="s">
        <v>111</v>
      </c>
      <c r="P221" s="52" t="s">
        <v>140</v>
      </c>
      <c r="Q221" s="52" t="s">
        <v>130</v>
      </c>
      <c r="R221" s="52" t="s">
        <v>140</v>
      </c>
      <c r="S221" s="52" t="s">
        <v>130</v>
      </c>
      <c r="T221" s="65" t="s">
        <v>30</v>
      </c>
      <c r="U221" s="32">
        <v>1.0</v>
      </c>
      <c r="V221" s="32">
        <v>1.0</v>
      </c>
      <c r="W221" s="32">
        <v>1.0</v>
      </c>
      <c r="X221" s="32">
        <v>1.0</v>
      </c>
      <c r="Y221" s="32">
        <v>1.0</v>
      </c>
      <c r="Z221" s="32">
        <v>1.0</v>
      </c>
      <c r="AA221" s="32">
        <v>6.0</v>
      </c>
      <c r="AB221" s="32">
        <v>0.0</v>
      </c>
      <c r="AC221" s="103" t="str">
        <f>IFERROR(__xludf.DUMMYFUNCTION("if($C221="""","""",if(join("" - "",{iferror(filter('Student Groupings'!$A:$A,'Student Groupings'!$B:$B=$C221,'Student Groupings'!$H:$H=""Can't be Together""),"""");iferror(filter('Student Groupings'!$A:$A,'Student Groupings'!$E:$E=$C221,'Student Groupings"&amp;"'!$H:$H=""Can't be Together""),"""")})="" - "","""",join("" - "",{iferror(filter('Student Groupings'!$A:$A,'Student Groupings'!$B:$B=$C221,'Student Groupings'!$H:$H=""Can't be Together""),"""");iferror(filter('Student Groupings'!$A:$A,'Student Groupings'!"&amp;"$E:$E=$C221,'Student Groupings'!$H:$H=""Can't be Together""),"""")})))"),"")</f>
        <v/>
      </c>
      <c r="AD221" s="103" t="str">
        <f>IFERROR(__xludf.DUMMYFUNCTION("if($C221="""","""",if(join("" - "",{iferror(filter('Student Groupings'!$A:$A,'Student Groupings'!$B:$B=$C221,'Student Groupings'!$H:$H=""Must be Together""),"""");iferror(filter('Student Groupings'!$A:$A,'Student Groupings'!$E:$E=$C221,'Student Groupings'"&amp;"!$H:$H=""Must be Together""),"""")})="" - "","""",join("" - "",{iferror(filter('Student Groupings'!$A:$A,'Student Groupings'!$B:$B=$C221,'Student Groupings'!$H:$H=""Must be Together""),"""");iferror(filter('Student Groupings'!$A:$A,'Student Groupings'!$E:"&amp;"$E=$C221,'Student Groupings'!$H:$H=""Must be Together""),"""")})))"),"")</f>
        <v/>
      </c>
      <c r="AE221" s="104"/>
      <c r="AF221" s="104"/>
      <c r="AG221" s="104"/>
      <c r="AH221" s="104"/>
    </row>
    <row r="222">
      <c r="A222" s="101">
        <v>7.0</v>
      </c>
      <c r="B222" s="101">
        <v>30174.0</v>
      </c>
      <c r="C222" s="102" t="s">
        <v>491</v>
      </c>
      <c r="D222" s="52" t="s">
        <v>175</v>
      </c>
      <c r="E222" s="52">
        <v>5.0</v>
      </c>
      <c r="F222" s="52" t="s">
        <v>163</v>
      </c>
      <c r="G222" s="52">
        <v>3.0</v>
      </c>
      <c r="H222" s="52" t="s">
        <v>184</v>
      </c>
      <c r="I222" s="52">
        <v>6.0</v>
      </c>
      <c r="J222" s="52" t="s">
        <v>195</v>
      </c>
      <c r="K222" s="52">
        <v>2.0</v>
      </c>
      <c r="L222" s="52" t="s">
        <v>203</v>
      </c>
      <c r="M222" s="52">
        <v>4.0</v>
      </c>
      <c r="N222" s="52" t="s">
        <v>150</v>
      </c>
      <c r="O222" s="52" t="s">
        <v>129</v>
      </c>
      <c r="P222" s="52" t="s">
        <v>133</v>
      </c>
      <c r="Q222" s="52" t="s">
        <v>108</v>
      </c>
      <c r="R222" s="52" t="s">
        <v>116</v>
      </c>
      <c r="S222" s="52" t="s">
        <v>108</v>
      </c>
      <c r="T222" s="65" t="s">
        <v>8</v>
      </c>
      <c r="U222" s="32">
        <v>1.0</v>
      </c>
      <c r="V222" s="32">
        <v>1.0</v>
      </c>
      <c r="W222" s="32">
        <v>1.0</v>
      </c>
      <c r="X222" s="32">
        <v>1.0</v>
      </c>
      <c r="Y222" s="32">
        <v>1.0</v>
      </c>
      <c r="Z222" s="32">
        <v>1.0</v>
      </c>
      <c r="AA222" s="32">
        <v>6.0</v>
      </c>
      <c r="AB222" s="32">
        <v>0.0</v>
      </c>
      <c r="AC222" s="103" t="str">
        <f>IFERROR(__xludf.DUMMYFUNCTION("if($C222="""","""",if(join("" - "",{iferror(filter('Student Groupings'!$A:$A,'Student Groupings'!$B:$B=$C222,'Student Groupings'!$H:$H=""Can't be Together""),"""");iferror(filter('Student Groupings'!$A:$A,'Student Groupings'!$E:$E=$C222,'Student Groupings"&amp;"'!$H:$H=""Can't be Together""),"""")})="" - "","""",join("" - "",{iferror(filter('Student Groupings'!$A:$A,'Student Groupings'!$B:$B=$C222,'Student Groupings'!$H:$H=""Can't be Together""),"""");iferror(filter('Student Groupings'!$A:$A,'Student Groupings'!"&amp;"$E:$E=$C222,'Student Groupings'!$H:$H=""Can't be Together""),"""")})))"),"")</f>
        <v/>
      </c>
      <c r="AD222" s="103" t="str">
        <f>IFERROR(__xludf.DUMMYFUNCTION("if($C222="""","""",if(join("" - "",{iferror(filter('Student Groupings'!$A:$A,'Student Groupings'!$B:$B=$C222,'Student Groupings'!$H:$H=""Must be Together""),"""");iferror(filter('Student Groupings'!$A:$A,'Student Groupings'!$E:$E=$C222,'Student Groupings'"&amp;"!$H:$H=""Must be Together""),"""")})="" - "","""",join("" - "",{iferror(filter('Student Groupings'!$A:$A,'Student Groupings'!$B:$B=$C222,'Student Groupings'!$H:$H=""Must be Together""),"""");iferror(filter('Student Groupings'!$A:$A,'Student Groupings'!$E:"&amp;"$E=$C222,'Student Groupings'!$H:$H=""Must be Together""),"""")})))"),"")</f>
        <v/>
      </c>
      <c r="AE222" s="104"/>
      <c r="AF222" s="104"/>
      <c r="AG222" s="104"/>
      <c r="AH222" s="104"/>
    </row>
    <row r="223">
      <c r="A223" s="101">
        <v>7.0</v>
      </c>
      <c r="B223" s="101">
        <v>30078.0</v>
      </c>
      <c r="C223" s="102" t="s">
        <v>492</v>
      </c>
      <c r="D223" s="52" t="s">
        <v>175</v>
      </c>
      <c r="E223" s="52">
        <v>4.0</v>
      </c>
      <c r="F223" s="52" t="s">
        <v>164</v>
      </c>
      <c r="G223" s="52">
        <v>3.0</v>
      </c>
      <c r="H223" s="52" t="s">
        <v>184</v>
      </c>
      <c r="I223" s="52">
        <v>1.0</v>
      </c>
      <c r="J223" s="52" t="s">
        <v>193</v>
      </c>
      <c r="K223" s="52">
        <v>5.0</v>
      </c>
      <c r="L223" s="52" t="s">
        <v>200</v>
      </c>
      <c r="M223" s="52">
        <v>2.0</v>
      </c>
      <c r="N223" s="52" t="s">
        <v>150</v>
      </c>
      <c r="O223" s="52" t="s">
        <v>109</v>
      </c>
      <c r="P223" s="52" t="s">
        <v>116</v>
      </c>
      <c r="Q223" s="52" t="s">
        <v>120</v>
      </c>
      <c r="R223" s="52" t="s">
        <v>133</v>
      </c>
      <c r="S223" s="52" t="s">
        <v>120</v>
      </c>
      <c r="T223" s="65" t="s">
        <v>8</v>
      </c>
      <c r="U223" s="32">
        <v>1.0</v>
      </c>
      <c r="V223" s="32">
        <v>1.0</v>
      </c>
      <c r="W223" s="32">
        <v>1.0</v>
      </c>
      <c r="X223" s="32">
        <v>1.0</v>
      </c>
      <c r="Y223" s="32">
        <v>1.0</v>
      </c>
      <c r="Z223" s="32">
        <v>1.0</v>
      </c>
      <c r="AA223" s="32">
        <v>6.0</v>
      </c>
      <c r="AB223" s="32">
        <v>0.0</v>
      </c>
      <c r="AC223" s="103" t="str">
        <f>IFERROR(__xludf.DUMMYFUNCTION("if($C223="""","""",if(join("" - "",{iferror(filter('Student Groupings'!$A:$A,'Student Groupings'!$B:$B=$C223,'Student Groupings'!$H:$H=""Can't be Together""),"""");iferror(filter('Student Groupings'!$A:$A,'Student Groupings'!$E:$E=$C223,'Student Groupings"&amp;"'!$H:$H=""Can't be Together""),"""")})="" - "","""",join("" - "",{iferror(filter('Student Groupings'!$A:$A,'Student Groupings'!$B:$B=$C223,'Student Groupings'!$H:$H=""Can't be Together""),"""");iferror(filter('Student Groupings'!$A:$A,'Student Groupings'!"&amp;"$E:$E=$C223,'Student Groupings'!$H:$H=""Can't be Together""),"""")})))"),"")</f>
        <v/>
      </c>
      <c r="AD223" s="103" t="str">
        <f>IFERROR(__xludf.DUMMYFUNCTION("if($C223="""","""",if(join("" - "",{iferror(filter('Student Groupings'!$A:$A,'Student Groupings'!$B:$B=$C223,'Student Groupings'!$H:$H=""Must be Together""),"""");iferror(filter('Student Groupings'!$A:$A,'Student Groupings'!$E:$E=$C223,'Student Groupings'"&amp;"!$H:$H=""Must be Together""),"""")})="" - "","""",join("" - "",{iferror(filter('Student Groupings'!$A:$A,'Student Groupings'!$B:$B=$C223,'Student Groupings'!$H:$H=""Must be Together""),"""");iferror(filter('Student Groupings'!$A:$A,'Student Groupings'!$E:"&amp;"$E=$C223,'Student Groupings'!$H:$H=""Must be Together""),"""")})))"),"")</f>
        <v/>
      </c>
      <c r="AE223" s="104"/>
      <c r="AF223" s="104"/>
      <c r="AG223" s="104"/>
      <c r="AH223" s="104"/>
    </row>
    <row r="224">
      <c r="A224" s="101">
        <v>7.0</v>
      </c>
      <c r="B224" s="101">
        <v>30079.0</v>
      </c>
      <c r="C224" s="102" t="s">
        <v>493</v>
      </c>
      <c r="D224" s="52" t="s">
        <v>175</v>
      </c>
      <c r="E224" s="52">
        <v>2.0</v>
      </c>
      <c r="F224" s="52" t="s">
        <v>163</v>
      </c>
      <c r="G224" s="52">
        <v>6.0</v>
      </c>
      <c r="H224" s="52" t="s">
        <v>184</v>
      </c>
      <c r="I224" s="52">
        <v>3.0</v>
      </c>
      <c r="J224" s="52" t="s">
        <v>195</v>
      </c>
      <c r="K224" s="52">
        <v>5.0</v>
      </c>
      <c r="L224" s="52" t="s">
        <v>200</v>
      </c>
      <c r="M224" s="52">
        <v>4.0</v>
      </c>
      <c r="N224" s="52" t="s">
        <v>154</v>
      </c>
      <c r="O224" s="52" t="s">
        <v>129</v>
      </c>
      <c r="P224" s="52" t="s">
        <v>140</v>
      </c>
      <c r="Q224" s="52" t="s">
        <v>108</v>
      </c>
      <c r="R224" s="52" t="s">
        <v>140</v>
      </c>
      <c r="S224" s="52" t="s">
        <v>108</v>
      </c>
      <c r="T224" s="65" t="s">
        <v>30</v>
      </c>
      <c r="U224" s="32">
        <v>1.0</v>
      </c>
      <c r="V224" s="32">
        <v>1.0</v>
      </c>
      <c r="W224" s="32">
        <v>1.0</v>
      </c>
      <c r="X224" s="32">
        <v>1.0</v>
      </c>
      <c r="Y224" s="32">
        <v>1.0</v>
      </c>
      <c r="Z224" s="32">
        <v>1.0</v>
      </c>
      <c r="AA224" s="32">
        <v>6.0</v>
      </c>
      <c r="AB224" s="32">
        <v>0.0</v>
      </c>
      <c r="AC224" s="103" t="str">
        <f>IFERROR(__xludf.DUMMYFUNCTION("if($C224="""","""",if(join("" - "",{iferror(filter('Student Groupings'!$A:$A,'Student Groupings'!$B:$B=$C224,'Student Groupings'!$H:$H=""Can't be Together""),"""");iferror(filter('Student Groupings'!$A:$A,'Student Groupings'!$E:$E=$C224,'Student Groupings"&amp;"'!$H:$H=""Can't be Together""),"""")})="" - "","""",join("" - "",{iferror(filter('Student Groupings'!$A:$A,'Student Groupings'!$B:$B=$C224,'Student Groupings'!$H:$H=""Can't be Together""),"""");iferror(filter('Student Groupings'!$A:$A,'Student Groupings'!"&amp;"$E:$E=$C224,'Student Groupings'!$H:$H=""Can't be Together""),"""")})))"),"")</f>
        <v/>
      </c>
      <c r="AD224" s="103" t="str">
        <f>IFERROR(__xludf.DUMMYFUNCTION("if($C224="""","""",if(join("" - "",{iferror(filter('Student Groupings'!$A:$A,'Student Groupings'!$B:$B=$C224,'Student Groupings'!$H:$H=""Must be Together""),"""");iferror(filter('Student Groupings'!$A:$A,'Student Groupings'!$E:$E=$C224,'Student Groupings'"&amp;"!$H:$H=""Must be Together""),"""")})="" - "","""",join("" - "",{iferror(filter('Student Groupings'!$A:$A,'Student Groupings'!$B:$B=$C224,'Student Groupings'!$H:$H=""Must be Together""),"""");iferror(filter('Student Groupings'!$A:$A,'Student Groupings'!$E:"&amp;"$E=$C224,'Student Groupings'!$H:$H=""Must be Together""),"""")})))"),"")</f>
        <v/>
      </c>
      <c r="AE224" s="104"/>
      <c r="AF224" s="104"/>
      <c r="AG224" s="104"/>
      <c r="AH224" s="104"/>
    </row>
    <row r="225">
      <c r="A225" s="101">
        <v>7.0</v>
      </c>
      <c r="B225" s="101">
        <v>30080.0</v>
      </c>
      <c r="C225" s="102" t="s">
        <v>494</v>
      </c>
      <c r="D225" s="52" t="s">
        <v>175</v>
      </c>
      <c r="E225" s="52">
        <v>5.0</v>
      </c>
      <c r="F225" s="52" t="s">
        <v>163</v>
      </c>
      <c r="G225" s="52">
        <v>3.0</v>
      </c>
      <c r="H225" s="52" t="s">
        <v>184</v>
      </c>
      <c r="I225" s="52">
        <v>6.0</v>
      </c>
      <c r="J225" s="52" t="s">
        <v>195</v>
      </c>
      <c r="K225" s="52">
        <v>2.0</v>
      </c>
      <c r="L225" s="52" t="s">
        <v>203</v>
      </c>
      <c r="M225" s="52">
        <v>4.0</v>
      </c>
      <c r="N225" s="52" t="s">
        <v>150</v>
      </c>
      <c r="O225" s="52" t="s">
        <v>129</v>
      </c>
      <c r="P225" s="52" t="s">
        <v>116</v>
      </c>
      <c r="Q225" s="52" t="s">
        <v>108</v>
      </c>
      <c r="R225" s="52" t="s">
        <v>133</v>
      </c>
      <c r="S225" s="52" t="s">
        <v>108</v>
      </c>
      <c r="T225" s="65" t="s">
        <v>27</v>
      </c>
      <c r="U225" s="32">
        <v>1.0</v>
      </c>
      <c r="V225" s="32">
        <v>1.0</v>
      </c>
      <c r="W225" s="32">
        <v>1.0</v>
      </c>
      <c r="X225" s="32">
        <v>1.0</v>
      </c>
      <c r="Y225" s="32">
        <v>1.0</v>
      </c>
      <c r="Z225" s="32">
        <v>1.0</v>
      </c>
      <c r="AA225" s="32">
        <v>6.0</v>
      </c>
      <c r="AB225" s="32">
        <v>0.0</v>
      </c>
      <c r="AC225" s="103" t="str">
        <f>IFERROR(__xludf.DUMMYFUNCTION("if($C225="""","""",if(join("" - "",{iferror(filter('Student Groupings'!$A:$A,'Student Groupings'!$B:$B=$C225,'Student Groupings'!$H:$H=""Can't be Together""),"""");iferror(filter('Student Groupings'!$A:$A,'Student Groupings'!$E:$E=$C225,'Student Groupings"&amp;"'!$H:$H=""Can't be Together""),"""")})="" - "","""",join("" - "",{iferror(filter('Student Groupings'!$A:$A,'Student Groupings'!$B:$B=$C225,'Student Groupings'!$H:$H=""Can't be Together""),"""");iferror(filter('Student Groupings'!$A:$A,'Student Groupings'!"&amp;"$E:$E=$C225,'Student Groupings'!$H:$H=""Can't be Together""),"""")})))"),"")</f>
        <v/>
      </c>
      <c r="AD225" s="103" t="str">
        <f>IFERROR(__xludf.DUMMYFUNCTION("if($C225="""","""",if(join("" - "",{iferror(filter('Student Groupings'!$A:$A,'Student Groupings'!$B:$B=$C225,'Student Groupings'!$H:$H=""Must be Together""),"""");iferror(filter('Student Groupings'!$A:$A,'Student Groupings'!$E:$E=$C225,'Student Groupings'"&amp;"!$H:$H=""Must be Together""),"""")})="" - "","""",join("" - "",{iferror(filter('Student Groupings'!$A:$A,'Student Groupings'!$B:$B=$C225,'Student Groupings'!$H:$H=""Must be Together""),"""");iferror(filter('Student Groupings'!$A:$A,'Student Groupings'!$E:"&amp;"$E=$C225,'Student Groupings'!$H:$H=""Must be Together""),"""")})))"),"")</f>
        <v/>
      </c>
      <c r="AE225" s="105"/>
      <c r="AF225" s="105"/>
      <c r="AG225" s="105"/>
      <c r="AH225" s="105"/>
    </row>
    <row r="226">
      <c r="A226" s="101">
        <v>7.0</v>
      </c>
      <c r="B226" s="101">
        <v>30081.0</v>
      </c>
      <c r="C226" s="102" t="s">
        <v>495</v>
      </c>
      <c r="D226" s="52" t="s">
        <v>179</v>
      </c>
      <c r="E226" s="52">
        <v>6.0</v>
      </c>
      <c r="F226" s="52" t="s">
        <v>163</v>
      </c>
      <c r="G226" s="52">
        <v>4.0</v>
      </c>
      <c r="H226" s="52" t="s">
        <v>188</v>
      </c>
      <c r="I226" s="52">
        <v>5.0</v>
      </c>
      <c r="J226" s="52" t="s">
        <v>195</v>
      </c>
      <c r="K226" s="52">
        <v>3.0</v>
      </c>
      <c r="L226" s="52" t="s">
        <v>200</v>
      </c>
      <c r="M226" s="52">
        <v>1.0</v>
      </c>
      <c r="N226" s="52" t="s">
        <v>154</v>
      </c>
      <c r="O226" s="52" t="s">
        <v>119</v>
      </c>
      <c r="P226" s="52" t="s">
        <v>140</v>
      </c>
      <c r="Q226" s="52" t="s">
        <v>125</v>
      </c>
      <c r="R226" s="52" t="s">
        <v>140</v>
      </c>
      <c r="S226" s="52" t="s">
        <v>125</v>
      </c>
      <c r="T226" s="65" t="s">
        <v>30</v>
      </c>
      <c r="U226" s="32">
        <v>1.0</v>
      </c>
      <c r="V226" s="32">
        <v>1.0</v>
      </c>
      <c r="W226" s="32">
        <v>1.0</v>
      </c>
      <c r="X226" s="32">
        <v>1.0</v>
      </c>
      <c r="Y226" s="32">
        <v>1.0</v>
      </c>
      <c r="Z226" s="32">
        <v>1.0</v>
      </c>
      <c r="AA226" s="32">
        <v>6.0</v>
      </c>
      <c r="AB226" s="32">
        <v>0.0</v>
      </c>
      <c r="AC226" s="103" t="str">
        <f>IFERROR(__xludf.DUMMYFUNCTION("if($C226="""","""",if(join("" - "",{iferror(filter('Student Groupings'!$A:$A,'Student Groupings'!$B:$B=$C226,'Student Groupings'!$H:$H=""Can't be Together""),"""");iferror(filter('Student Groupings'!$A:$A,'Student Groupings'!$E:$E=$C226,'Student Groupings"&amp;"'!$H:$H=""Can't be Together""),"""")})="" - "","""",join("" - "",{iferror(filter('Student Groupings'!$A:$A,'Student Groupings'!$B:$B=$C226,'Student Groupings'!$H:$H=""Can't be Together""),"""");iferror(filter('Student Groupings'!$A:$A,'Student Groupings'!"&amp;"$E:$E=$C226,'Student Groupings'!$H:$H=""Can't be Together""),"""")})))"),"")</f>
        <v/>
      </c>
      <c r="AD226" s="103" t="str">
        <f>IFERROR(__xludf.DUMMYFUNCTION("if($C226="""","""",if(join("" - "",{iferror(filter('Student Groupings'!$A:$A,'Student Groupings'!$B:$B=$C226,'Student Groupings'!$H:$H=""Must be Together""),"""");iferror(filter('Student Groupings'!$A:$A,'Student Groupings'!$E:$E=$C226,'Student Groupings'"&amp;"!$H:$H=""Must be Together""),"""")})="" - "","""",join("" - "",{iferror(filter('Student Groupings'!$A:$A,'Student Groupings'!$B:$B=$C226,'Student Groupings'!$H:$H=""Must be Together""),"""");iferror(filter('Student Groupings'!$A:$A,'Student Groupings'!$E:"&amp;"$E=$C226,'Student Groupings'!$H:$H=""Must be Together""),"""")})))"),"")</f>
        <v/>
      </c>
      <c r="AE226" s="104"/>
      <c r="AF226" s="104"/>
      <c r="AG226" s="105">
        <v>1.0</v>
      </c>
      <c r="AH226" s="105"/>
    </row>
    <row r="227">
      <c r="A227" s="101">
        <v>7.0</v>
      </c>
      <c r="B227" s="101">
        <v>30082.0</v>
      </c>
      <c r="C227" s="102" t="s">
        <v>496</v>
      </c>
      <c r="D227" s="52" t="s">
        <v>175</v>
      </c>
      <c r="E227" s="52">
        <v>6.0</v>
      </c>
      <c r="F227" s="52" t="s">
        <v>163</v>
      </c>
      <c r="G227" s="52">
        <v>4.0</v>
      </c>
      <c r="H227" s="52" t="s">
        <v>184</v>
      </c>
      <c r="I227" s="52">
        <v>5.0</v>
      </c>
      <c r="J227" s="52" t="s">
        <v>195</v>
      </c>
      <c r="K227" s="52">
        <v>1.0</v>
      </c>
      <c r="L227" s="52" t="s">
        <v>200</v>
      </c>
      <c r="M227" s="52">
        <v>3.0</v>
      </c>
      <c r="N227" s="52" t="s">
        <v>150</v>
      </c>
      <c r="O227" s="52" t="s">
        <v>119</v>
      </c>
      <c r="P227" s="52" t="s">
        <v>116</v>
      </c>
      <c r="Q227" s="52" t="s">
        <v>125</v>
      </c>
      <c r="R227" s="52" t="s">
        <v>133</v>
      </c>
      <c r="S227" s="52" t="s">
        <v>125</v>
      </c>
      <c r="T227" s="65" t="s">
        <v>27</v>
      </c>
      <c r="U227" s="32">
        <v>1.0</v>
      </c>
      <c r="V227" s="32">
        <v>1.0</v>
      </c>
      <c r="W227" s="32">
        <v>1.0</v>
      </c>
      <c r="X227" s="32">
        <v>1.0</v>
      </c>
      <c r="Y227" s="32">
        <v>1.0</v>
      </c>
      <c r="Z227" s="32">
        <v>1.0</v>
      </c>
      <c r="AA227" s="32">
        <v>6.0</v>
      </c>
      <c r="AB227" s="32">
        <v>0.0</v>
      </c>
      <c r="AC227" s="103" t="str">
        <f>IFERROR(__xludf.DUMMYFUNCTION("if($C227="""","""",if(join("" - "",{iferror(filter('Student Groupings'!$A:$A,'Student Groupings'!$B:$B=$C227,'Student Groupings'!$H:$H=""Can't be Together""),"""");iferror(filter('Student Groupings'!$A:$A,'Student Groupings'!$E:$E=$C227,'Student Groupings"&amp;"'!$H:$H=""Can't be Together""),"""")})="" - "","""",join("" - "",{iferror(filter('Student Groupings'!$A:$A,'Student Groupings'!$B:$B=$C227,'Student Groupings'!$H:$H=""Can't be Together""),"""");iferror(filter('Student Groupings'!$A:$A,'Student Groupings'!"&amp;"$E:$E=$C227,'Student Groupings'!$H:$H=""Can't be Together""),"""")})))"),"")</f>
        <v/>
      </c>
      <c r="AD227" s="103" t="str">
        <f>IFERROR(__xludf.DUMMYFUNCTION("if($C227="""","""",if(join("" - "",{iferror(filter('Student Groupings'!$A:$A,'Student Groupings'!$B:$B=$C227,'Student Groupings'!$H:$H=""Must be Together""),"""");iferror(filter('Student Groupings'!$A:$A,'Student Groupings'!$E:$E=$C227,'Student Groupings'"&amp;"!$H:$H=""Must be Together""),"""")})="" - "","""",join("" - "",{iferror(filter('Student Groupings'!$A:$A,'Student Groupings'!$B:$B=$C227,'Student Groupings'!$H:$H=""Must be Together""),"""");iferror(filter('Student Groupings'!$A:$A,'Student Groupings'!$E:"&amp;"$E=$C227,'Student Groupings'!$H:$H=""Must be Together""),"""")})))"),"")</f>
        <v/>
      </c>
      <c r="AE227" s="105"/>
      <c r="AF227" s="105">
        <v>1.0</v>
      </c>
      <c r="AG227" s="105">
        <v>1.0</v>
      </c>
      <c r="AH227" s="105"/>
    </row>
    <row r="228">
      <c r="A228" s="101">
        <v>7.0</v>
      </c>
      <c r="B228" s="101">
        <v>30142.0</v>
      </c>
      <c r="C228" s="102" t="s">
        <v>497</v>
      </c>
      <c r="D228" s="52" t="s">
        <v>175</v>
      </c>
      <c r="E228" s="52">
        <v>4.0</v>
      </c>
      <c r="F228" s="52" t="s">
        <v>164</v>
      </c>
      <c r="G228" s="52">
        <v>3.0</v>
      </c>
      <c r="H228" s="52" t="s">
        <v>184</v>
      </c>
      <c r="I228" s="52">
        <v>1.0</v>
      </c>
      <c r="J228" s="52" t="s">
        <v>193</v>
      </c>
      <c r="K228" s="52">
        <v>5.0</v>
      </c>
      <c r="L228" s="52" t="s">
        <v>200</v>
      </c>
      <c r="M228" s="52">
        <v>2.0</v>
      </c>
      <c r="N228" s="52" t="s">
        <v>150</v>
      </c>
      <c r="O228" s="52" t="s">
        <v>109</v>
      </c>
      <c r="P228" s="52" t="s">
        <v>116</v>
      </c>
      <c r="Q228" s="52" t="s">
        <v>120</v>
      </c>
      <c r="R228" s="52" t="s">
        <v>133</v>
      </c>
      <c r="S228" s="52" t="s">
        <v>120</v>
      </c>
      <c r="T228" s="65" t="s">
        <v>27</v>
      </c>
      <c r="U228" s="32">
        <v>1.0</v>
      </c>
      <c r="V228" s="32">
        <v>1.0</v>
      </c>
      <c r="W228" s="32">
        <v>1.0</v>
      </c>
      <c r="X228" s="32">
        <v>1.0</v>
      </c>
      <c r="Y228" s="32">
        <v>1.0</v>
      </c>
      <c r="Z228" s="32">
        <v>1.0</v>
      </c>
      <c r="AA228" s="32">
        <v>6.0</v>
      </c>
      <c r="AB228" s="32">
        <v>0.0</v>
      </c>
      <c r="AC228" s="103" t="str">
        <f>IFERROR(__xludf.DUMMYFUNCTION("if($C228="""","""",if(join("" - "",{iferror(filter('Student Groupings'!$A:$A,'Student Groupings'!$B:$B=$C228,'Student Groupings'!$H:$H=""Can't be Together""),"""");iferror(filter('Student Groupings'!$A:$A,'Student Groupings'!$E:$E=$C228,'Student Groupings"&amp;"'!$H:$H=""Can't be Together""),"""")})="" - "","""",join("" - "",{iferror(filter('Student Groupings'!$A:$A,'Student Groupings'!$B:$B=$C228,'Student Groupings'!$H:$H=""Can't be Together""),"""");iferror(filter('Student Groupings'!$A:$A,'Student Groupings'!"&amp;"$E:$E=$C228,'Student Groupings'!$H:$H=""Can't be Together""),"""")})))"),"")</f>
        <v/>
      </c>
      <c r="AD228" s="103" t="str">
        <f>IFERROR(__xludf.DUMMYFUNCTION("if($C228="""","""",if(join("" - "",{iferror(filter('Student Groupings'!$A:$A,'Student Groupings'!$B:$B=$C228,'Student Groupings'!$H:$H=""Must be Together""),"""");iferror(filter('Student Groupings'!$A:$A,'Student Groupings'!$E:$E=$C228,'Student Groupings'"&amp;"!$H:$H=""Must be Together""),"""")})="" - "","""",join("" - "",{iferror(filter('Student Groupings'!$A:$A,'Student Groupings'!$B:$B=$C228,'Student Groupings'!$H:$H=""Must be Together""),"""");iferror(filter('Student Groupings'!$A:$A,'Student Groupings'!$E:"&amp;"$E=$C228,'Student Groupings'!$H:$H=""Must be Together""),"""")})))"),"")</f>
        <v/>
      </c>
      <c r="AE228" s="104"/>
      <c r="AF228" s="104"/>
      <c r="AG228" s="104"/>
      <c r="AH228" s="104"/>
    </row>
    <row r="229">
      <c r="A229" s="101">
        <v>7.0</v>
      </c>
      <c r="B229" s="101">
        <v>30084.0</v>
      </c>
      <c r="C229" s="102" t="s">
        <v>498</v>
      </c>
      <c r="D229" s="52" t="s">
        <v>175</v>
      </c>
      <c r="E229" s="52">
        <v>5.0</v>
      </c>
      <c r="F229" s="52" t="s">
        <v>163</v>
      </c>
      <c r="G229" s="52">
        <v>3.0</v>
      </c>
      <c r="H229" s="52" t="s">
        <v>184</v>
      </c>
      <c r="I229" s="52">
        <v>6.0</v>
      </c>
      <c r="J229" s="52" t="s">
        <v>195</v>
      </c>
      <c r="K229" s="52">
        <v>2.0</v>
      </c>
      <c r="L229" s="52" t="s">
        <v>203</v>
      </c>
      <c r="M229" s="52">
        <v>4.0</v>
      </c>
      <c r="N229" s="52" t="s">
        <v>150</v>
      </c>
      <c r="O229" s="52" t="s">
        <v>129</v>
      </c>
      <c r="P229" s="52" t="s">
        <v>133</v>
      </c>
      <c r="Q229" s="52" t="s">
        <v>108</v>
      </c>
      <c r="R229" s="52" t="s">
        <v>116</v>
      </c>
      <c r="S229" s="52" t="s">
        <v>108</v>
      </c>
      <c r="T229" s="65" t="s">
        <v>27</v>
      </c>
      <c r="U229" s="32">
        <v>1.0</v>
      </c>
      <c r="V229" s="32">
        <v>1.0</v>
      </c>
      <c r="W229" s="32">
        <v>1.0</v>
      </c>
      <c r="X229" s="32">
        <v>1.0</v>
      </c>
      <c r="Y229" s="32">
        <v>1.0</v>
      </c>
      <c r="Z229" s="32">
        <v>1.0</v>
      </c>
      <c r="AA229" s="32">
        <v>6.0</v>
      </c>
      <c r="AB229" s="32">
        <v>0.0</v>
      </c>
      <c r="AC229" s="103" t="str">
        <f>IFERROR(__xludf.DUMMYFUNCTION("if($C229="""","""",if(join("" - "",{iferror(filter('Student Groupings'!$A:$A,'Student Groupings'!$B:$B=$C229,'Student Groupings'!$H:$H=""Can't be Together""),"""");iferror(filter('Student Groupings'!$A:$A,'Student Groupings'!$E:$E=$C229,'Student Groupings"&amp;"'!$H:$H=""Can't be Together""),"""")})="" - "","""",join("" - "",{iferror(filter('Student Groupings'!$A:$A,'Student Groupings'!$B:$B=$C229,'Student Groupings'!$H:$H=""Can't be Together""),"""");iferror(filter('Student Groupings'!$A:$A,'Student Groupings'!"&amp;"$E:$E=$C229,'Student Groupings'!$H:$H=""Can't be Together""),"""")})))"),"")</f>
        <v/>
      </c>
      <c r="AD229" s="103" t="str">
        <f>IFERROR(__xludf.DUMMYFUNCTION("if($C229="""","""",if(join("" - "",{iferror(filter('Student Groupings'!$A:$A,'Student Groupings'!$B:$B=$C229,'Student Groupings'!$H:$H=""Must be Together""),"""");iferror(filter('Student Groupings'!$A:$A,'Student Groupings'!$E:$E=$C229,'Student Groupings'"&amp;"!$H:$H=""Must be Together""),"""")})="" - "","""",join("" - "",{iferror(filter('Student Groupings'!$A:$A,'Student Groupings'!$B:$B=$C229,'Student Groupings'!$H:$H=""Must be Together""),"""");iferror(filter('Student Groupings'!$A:$A,'Student Groupings'!$E:"&amp;"$E=$C229,'Student Groupings'!$H:$H=""Must be Together""),"""")})))"),"")</f>
        <v/>
      </c>
      <c r="AE229" s="104"/>
      <c r="AF229" s="104"/>
      <c r="AG229" s="104"/>
      <c r="AH229" s="104"/>
    </row>
    <row r="230">
      <c r="A230" s="101">
        <v>7.0</v>
      </c>
      <c r="B230" s="101">
        <v>30085.0</v>
      </c>
      <c r="C230" s="102" t="s">
        <v>499</v>
      </c>
      <c r="D230" s="52" t="s">
        <v>175</v>
      </c>
      <c r="E230" s="52">
        <v>3.0</v>
      </c>
      <c r="F230" s="52" t="s">
        <v>164</v>
      </c>
      <c r="G230" s="52">
        <v>4.0</v>
      </c>
      <c r="H230" s="52" t="s">
        <v>184</v>
      </c>
      <c r="I230" s="101">
        <v>5.0</v>
      </c>
      <c r="J230" s="52" t="s">
        <v>193</v>
      </c>
      <c r="K230" s="52">
        <v>1.0</v>
      </c>
      <c r="L230" s="52" t="s">
        <v>200</v>
      </c>
      <c r="M230" s="52">
        <v>6.0</v>
      </c>
      <c r="N230" s="52" t="s">
        <v>150</v>
      </c>
      <c r="O230" s="52" t="s">
        <v>119</v>
      </c>
      <c r="P230" s="52" t="s">
        <v>116</v>
      </c>
      <c r="Q230" s="52" t="s">
        <v>125</v>
      </c>
      <c r="R230" s="52" t="s">
        <v>133</v>
      </c>
      <c r="S230" s="52" t="s">
        <v>125</v>
      </c>
      <c r="T230" s="65" t="s">
        <v>27</v>
      </c>
      <c r="U230" s="32">
        <v>1.0</v>
      </c>
      <c r="V230" s="32">
        <v>1.0</v>
      </c>
      <c r="W230" s="32">
        <v>1.0</v>
      </c>
      <c r="X230" s="32">
        <v>1.0</v>
      </c>
      <c r="Y230" s="32">
        <v>1.0</v>
      </c>
      <c r="Z230" s="32">
        <v>1.0</v>
      </c>
      <c r="AA230" s="32">
        <v>6.0</v>
      </c>
      <c r="AB230" s="32">
        <v>0.0</v>
      </c>
      <c r="AC230" s="103" t="str">
        <f>IFERROR(__xludf.DUMMYFUNCTION("if($C230="""","""",if(join("" - "",{iferror(filter('Student Groupings'!$A:$A,'Student Groupings'!$B:$B=$C230,'Student Groupings'!$H:$H=""Can't be Together""),"""");iferror(filter('Student Groupings'!$A:$A,'Student Groupings'!$E:$E=$C230,'Student Groupings"&amp;"'!$H:$H=""Can't be Together""),"""")})="" - "","""",join("" - "",{iferror(filter('Student Groupings'!$A:$A,'Student Groupings'!$B:$B=$C230,'Student Groupings'!$H:$H=""Can't be Together""),"""");iferror(filter('Student Groupings'!$A:$A,'Student Groupings'!"&amp;"$E:$E=$C230,'Student Groupings'!$H:$H=""Can't be Together""),"""")})))"),"")</f>
        <v/>
      </c>
      <c r="AD230" s="103" t="str">
        <f>IFERROR(__xludf.DUMMYFUNCTION("if($C230="""","""",if(join("" - "",{iferror(filter('Student Groupings'!$A:$A,'Student Groupings'!$B:$B=$C230,'Student Groupings'!$H:$H=""Must be Together""),"""");iferror(filter('Student Groupings'!$A:$A,'Student Groupings'!$E:$E=$C230,'Student Groupings'"&amp;"!$H:$H=""Must be Together""),"""")})="" - "","""",join("" - "",{iferror(filter('Student Groupings'!$A:$A,'Student Groupings'!$B:$B=$C230,'Student Groupings'!$H:$H=""Must be Together""),"""");iferror(filter('Student Groupings'!$A:$A,'Student Groupings'!$E:"&amp;"$E=$C230,'Student Groupings'!$H:$H=""Must be Together""),"""")})))"),"")</f>
        <v/>
      </c>
      <c r="AE230" s="105"/>
      <c r="AF230" s="105">
        <v>1.0</v>
      </c>
      <c r="AG230" s="104"/>
      <c r="AH230" s="104"/>
    </row>
    <row r="231">
      <c r="A231" s="101">
        <v>7.0</v>
      </c>
      <c r="B231" s="101">
        <v>30086.0</v>
      </c>
      <c r="C231" s="102" t="s">
        <v>500</v>
      </c>
      <c r="D231" s="52" t="s">
        <v>175</v>
      </c>
      <c r="E231" s="52">
        <v>4.0</v>
      </c>
      <c r="F231" s="52" t="s">
        <v>164</v>
      </c>
      <c r="G231" s="52">
        <v>3.0</v>
      </c>
      <c r="H231" s="52" t="s">
        <v>184</v>
      </c>
      <c r="I231" s="52">
        <v>1.0</v>
      </c>
      <c r="J231" s="52" t="s">
        <v>193</v>
      </c>
      <c r="K231" s="52">
        <v>5.0</v>
      </c>
      <c r="L231" s="52" t="s">
        <v>200</v>
      </c>
      <c r="M231" s="52">
        <v>2.0</v>
      </c>
      <c r="N231" s="52" t="s">
        <v>150</v>
      </c>
      <c r="O231" s="52" t="s">
        <v>109</v>
      </c>
      <c r="P231" s="52" t="s">
        <v>116</v>
      </c>
      <c r="Q231" s="52" t="s">
        <v>120</v>
      </c>
      <c r="R231" s="52" t="s">
        <v>133</v>
      </c>
      <c r="S231" s="52" t="s">
        <v>120</v>
      </c>
      <c r="T231" s="65" t="s">
        <v>27</v>
      </c>
      <c r="U231" s="32">
        <v>1.0</v>
      </c>
      <c r="V231" s="32">
        <v>1.0</v>
      </c>
      <c r="W231" s="32">
        <v>1.0</v>
      </c>
      <c r="X231" s="32">
        <v>1.0</v>
      </c>
      <c r="Y231" s="32">
        <v>1.0</v>
      </c>
      <c r="Z231" s="32">
        <v>1.0</v>
      </c>
      <c r="AA231" s="32">
        <v>6.0</v>
      </c>
      <c r="AB231" s="32">
        <v>0.0</v>
      </c>
      <c r="AC231" s="103" t="str">
        <f>IFERROR(__xludf.DUMMYFUNCTION("if($C231="""","""",if(join("" - "",{iferror(filter('Student Groupings'!$A:$A,'Student Groupings'!$B:$B=$C231,'Student Groupings'!$H:$H=""Can't be Together""),"""");iferror(filter('Student Groupings'!$A:$A,'Student Groupings'!$E:$E=$C231,'Student Groupings"&amp;"'!$H:$H=""Can't be Together""),"""")})="" - "","""",join("" - "",{iferror(filter('Student Groupings'!$A:$A,'Student Groupings'!$B:$B=$C231,'Student Groupings'!$H:$H=""Can't be Together""),"""");iferror(filter('Student Groupings'!$A:$A,'Student Groupings'!"&amp;"$E:$E=$C231,'Student Groupings'!$H:$H=""Can't be Together""),"""")})))"),"")</f>
        <v/>
      </c>
      <c r="AD231" s="103" t="str">
        <f>IFERROR(__xludf.DUMMYFUNCTION("if($C231="""","""",if(join("" - "",{iferror(filter('Student Groupings'!$A:$A,'Student Groupings'!$B:$B=$C231,'Student Groupings'!$H:$H=""Must be Together""),"""");iferror(filter('Student Groupings'!$A:$A,'Student Groupings'!$E:$E=$C231,'Student Groupings'"&amp;"!$H:$H=""Must be Together""),"""")})="" - "","""",join("" - "",{iferror(filter('Student Groupings'!$A:$A,'Student Groupings'!$B:$B=$C231,'Student Groupings'!$H:$H=""Must be Together""),"""");iferror(filter('Student Groupings'!$A:$A,'Student Groupings'!$E:"&amp;"$E=$C231,'Student Groupings'!$H:$H=""Must be Together""),"""")})))"),"")</f>
        <v/>
      </c>
      <c r="AE231" s="104"/>
      <c r="AF231" s="104"/>
      <c r="AG231" s="104"/>
      <c r="AH231" s="104"/>
    </row>
    <row r="232">
      <c r="A232" s="101">
        <v>7.0</v>
      </c>
      <c r="B232" s="101">
        <v>30087.0</v>
      </c>
      <c r="C232" s="106" t="s">
        <v>501</v>
      </c>
      <c r="D232" s="52" t="s">
        <v>175</v>
      </c>
      <c r="E232" s="52">
        <v>5.0</v>
      </c>
      <c r="F232" s="52" t="s">
        <v>163</v>
      </c>
      <c r="G232" s="52">
        <v>3.0</v>
      </c>
      <c r="H232" s="52" t="s">
        <v>184</v>
      </c>
      <c r="I232" s="52">
        <v>6.0</v>
      </c>
      <c r="J232" s="52" t="s">
        <v>195</v>
      </c>
      <c r="K232" s="52">
        <v>2.0</v>
      </c>
      <c r="L232" s="52" t="s">
        <v>203</v>
      </c>
      <c r="M232" s="52">
        <v>4.0</v>
      </c>
      <c r="N232" s="52" t="s">
        <v>150</v>
      </c>
      <c r="O232" s="52" t="s">
        <v>129</v>
      </c>
      <c r="P232" s="52" t="s">
        <v>116</v>
      </c>
      <c r="Q232" s="52" t="s">
        <v>108</v>
      </c>
      <c r="R232" s="52" t="s">
        <v>133</v>
      </c>
      <c r="S232" s="52" t="s">
        <v>108</v>
      </c>
      <c r="T232" s="65" t="s">
        <v>27</v>
      </c>
      <c r="U232" s="32">
        <v>1.0</v>
      </c>
      <c r="V232" s="32">
        <v>1.0</v>
      </c>
      <c r="W232" s="32">
        <v>1.0</v>
      </c>
      <c r="X232" s="32">
        <v>1.0</v>
      </c>
      <c r="Y232" s="32">
        <v>1.0</v>
      </c>
      <c r="Z232" s="32">
        <v>1.0</v>
      </c>
      <c r="AA232" s="32">
        <v>6.0</v>
      </c>
      <c r="AB232" s="32">
        <v>0.0</v>
      </c>
      <c r="AC232" s="103" t="str">
        <f>IFERROR(__xludf.DUMMYFUNCTION("if($C232="""","""",if(join("" - "",{iferror(filter('Student Groupings'!$A:$A,'Student Groupings'!$B:$B=$C232,'Student Groupings'!$H:$H=""Can't be Together""),"""");iferror(filter('Student Groupings'!$A:$A,'Student Groupings'!$E:$E=$C232,'Student Groupings"&amp;"'!$H:$H=""Can't be Together""),"""")})="" - "","""",join("" - "",{iferror(filter('Student Groupings'!$A:$A,'Student Groupings'!$B:$B=$C232,'Student Groupings'!$H:$H=""Can't be Together""),"""");iferror(filter('Student Groupings'!$A:$A,'Student Groupings'!"&amp;"$E:$E=$C232,'Student Groupings'!$H:$H=""Can't be Together""),"""")})))"),"")</f>
        <v/>
      </c>
      <c r="AD232" s="103" t="str">
        <f>IFERROR(__xludf.DUMMYFUNCTION("if($C232="""","""",if(join("" - "",{iferror(filter('Student Groupings'!$A:$A,'Student Groupings'!$B:$B=$C232,'Student Groupings'!$H:$H=""Must be Together""),"""");iferror(filter('Student Groupings'!$A:$A,'Student Groupings'!$E:$E=$C232,'Student Groupings'"&amp;"!$H:$H=""Must be Together""),"""")})="" - "","""",join("" - "",{iferror(filter('Student Groupings'!$A:$A,'Student Groupings'!$B:$B=$C232,'Student Groupings'!$H:$H=""Must be Together""),"""");iferror(filter('Student Groupings'!$A:$A,'Student Groupings'!$E:"&amp;"$E=$C232,'Student Groupings'!$H:$H=""Must be Together""),"""")})))"),"")</f>
        <v/>
      </c>
      <c r="AE232" s="104"/>
      <c r="AF232" s="104"/>
      <c r="AG232" s="104"/>
      <c r="AH232" s="104"/>
    </row>
    <row r="233">
      <c r="A233" s="101">
        <v>7.0</v>
      </c>
      <c r="B233" s="101">
        <v>30161.0</v>
      </c>
      <c r="C233" s="102" t="s">
        <v>502</v>
      </c>
      <c r="D233" s="52" t="s">
        <v>179</v>
      </c>
      <c r="E233" s="52">
        <v>6.0</v>
      </c>
      <c r="F233" s="52" t="s">
        <v>163</v>
      </c>
      <c r="G233" s="52">
        <v>5.0</v>
      </c>
      <c r="H233" s="52" t="s">
        <v>184</v>
      </c>
      <c r="I233" s="52">
        <v>2.0</v>
      </c>
      <c r="J233" s="52" t="s">
        <v>195</v>
      </c>
      <c r="K233" s="52">
        <v>3.0</v>
      </c>
      <c r="L233" s="52" t="s">
        <v>200</v>
      </c>
      <c r="M233" s="52">
        <v>1.0</v>
      </c>
      <c r="N233" s="52" t="s">
        <v>150</v>
      </c>
      <c r="O233" s="52" t="s">
        <v>111</v>
      </c>
      <c r="P233" s="52" t="s">
        <v>140</v>
      </c>
      <c r="Q233" s="52" t="s">
        <v>130</v>
      </c>
      <c r="R233" s="52" t="s">
        <v>140</v>
      </c>
      <c r="S233" s="52" t="s">
        <v>130</v>
      </c>
      <c r="T233" s="65" t="s">
        <v>30</v>
      </c>
      <c r="U233" s="32">
        <v>1.0</v>
      </c>
      <c r="V233" s="32">
        <v>1.0</v>
      </c>
      <c r="W233" s="32">
        <v>1.0</v>
      </c>
      <c r="X233" s="32">
        <v>1.0</v>
      </c>
      <c r="Y233" s="32">
        <v>1.0</v>
      </c>
      <c r="Z233" s="32">
        <v>1.0</v>
      </c>
      <c r="AA233" s="32">
        <v>6.0</v>
      </c>
      <c r="AB233" s="32">
        <v>0.0</v>
      </c>
      <c r="AC233" s="103" t="str">
        <f>IFERROR(__xludf.DUMMYFUNCTION("if($C233="""","""",if(join("" - "",{iferror(filter('Student Groupings'!$A:$A,'Student Groupings'!$B:$B=$C233,'Student Groupings'!$H:$H=""Can't be Together""),"""");iferror(filter('Student Groupings'!$A:$A,'Student Groupings'!$E:$E=$C233,'Student Groupings"&amp;"'!$H:$H=""Can't be Together""),"""")})="" - "","""",join("" - "",{iferror(filter('Student Groupings'!$A:$A,'Student Groupings'!$B:$B=$C233,'Student Groupings'!$H:$H=""Can't be Together""),"""");iferror(filter('Student Groupings'!$A:$A,'Student Groupings'!"&amp;"$E:$E=$C233,'Student Groupings'!$H:$H=""Can't be Together""),"""")})))"),"")</f>
        <v/>
      </c>
      <c r="AD233" s="103" t="str">
        <f>IFERROR(__xludf.DUMMYFUNCTION("if($C233="""","""",if(join("" - "",{iferror(filter('Student Groupings'!$A:$A,'Student Groupings'!$B:$B=$C233,'Student Groupings'!$H:$H=""Must be Together""),"""");iferror(filter('Student Groupings'!$A:$A,'Student Groupings'!$E:$E=$C233,'Student Groupings'"&amp;"!$H:$H=""Must be Together""),"""")})="" - "","""",join("" - "",{iferror(filter('Student Groupings'!$A:$A,'Student Groupings'!$B:$B=$C233,'Student Groupings'!$H:$H=""Must be Together""),"""");iferror(filter('Student Groupings'!$A:$A,'Student Groupings'!$E:"&amp;"$E=$C233,'Student Groupings'!$H:$H=""Must be Together""),"""")})))"),"")</f>
        <v/>
      </c>
      <c r="AE233" s="104"/>
      <c r="AF233" s="104"/>
      <c r="AG233" s="104"/>
      <c r="AH233" s="104"/>
    </row>
    <row r="234">
      <c r="A234" s="101">
        <v>7.0</v>
      </c>
      <c r="B234" s="101">
        <v>30089.0</v>
      </c>
      <c r="C234" s="102" t="s">
        <v>503</v>
      </c>
      <c r="D234" s="52" t="s">
        <v>175</v>
      </c>
      <c r="E234" s="52">
        <v>6.0</v>
      </c>
      <c r="F234" s="52" t="s">
        <v>164</v>
      </c>
      <c r="G234" s="52">
        <v>4.0</v>
      </c>
      <c r="H234" s="52" t="s">
        <v>188</v>
      </c>
      <c r="I234" s="52">
        <v>5.0</v>
      </c>
      <c r="J234" s="52" t="s">
        <v>195</v>
      </c>
      <c r="K234" s="52">
        <v>1.0</v>
      </c>
      <c r="L234" s="52" t="s">
        <v>200</v>
      </c>
      <c r="M234" s="52">
        <v>3.0</v>
      </c>
      <c r="N234" s="52" t="s">
        <v>154</v>
      </c>
      <c r="O234" s="52" t="s">
        <v>119</v>
      </c>
      <c r="P234" s="52" t="s">
        <v>140</v>
      </c>
      <c r="Q234" s="52" t="s">
        <v>125</v>
      </c>
      <c r="R234" s="52" t="s">
        <v>140</v>
      </c>
      <c r="S234" s="52" t="s">
        <v>125</v>
      </c>
      <c r="T234" s="65" t="s">
        <v>30</v>
      </c>
      <c r="U234" s="32">
        <v>1.0</v>
      </c>
      <c r="V234" s="32">
        <v>1.0</v>
      </c>
      <c r="W234" s="32">
        <v>1.0</v>
      </c>
      <c r="X234" s="32">
        <v>1.0</v>
      </c>
      <c r="Y234" s="32">
        <v>1.0</v>
      </c>
      <c r="Z234" s="32">
        <v>1.0</v>
      </c>
      <c r="AA234" s="32">
        <v>6.0</v>
      </c>
      <c r="AB234" s="32">
        <v>0.0</v>
      </c>
      <c r="AC234" s="103" t="str">
        <f>IFERROR(__xludf.DUMMYFUNCTION("if($C234="""","""",if(join("" - "",{iferror(filter('Student Groupings'!$A:$A,'Student Groupings'!$B:$B=$C234,'Student Groupings'!$H:$H=""Can't be Together""),"""");iferror(filter('Student Groupings'!$A:$A,'Student Groupings'!$E:$E=$C234,'Student Groupings"&amp;"'!$H:$H=""Can't be Together""),"""")})="" - "","""",join("" - "",{iferror(filter('Student Groupings'!$A:$A,'Student Groupings'!$B:$B=$C234,'Student Groupings'!$H:$H=""Can't be Together""),"""");iferror(filter('Student Groupings'!$A:$A,'Student Groupings'!"&amp;"$E:$E=$C234,'Student Groupings'!$H:$H=""Can't be Together""),"""")})))"),"")</f>
        <v/>
      </c>
      <c r="AD234" s="103" t="str">
        <f>IFERROR(__xludf.DUMMYFUNCTION("if($C234="""","""",if(join("" - "",{iferror(filter('Student Groupings'!$A:$A,'Student Groupings'!$B:$B=$C234,'Student Groupings'!$H:$H=""Must be Together""),"""");iferror(filter('Student Groupings'!$A:$A,'Student Groupings'!$E:$E=$C234,'Student Groupings'"&amp;"!$H:$H=""Must be Together""),"""")})="" - "","""",join("" - "",{iferror(filter('Student Groupings'!$A:$A,'Student Groupings'!$B:$B=$C234,'Student Groupings'!$H:$H=""Must be Together""),"""");iferror(filter('Student Groupings'!$A:$A,'Student Groupings'!$E:"&amp;"$E=$C234,'Student Groupings'!$H:$H=""Must be Together""),"""")})))"),"")</f>
        <v/>
      </c>
      <c r="AE234" s="104"/>
      <c r="AF234" s="104"/>
      <c r="AG234" s="104"/>
      <c r="AH234" s="104"/>
    </row>
    <row r="235">
      <c r="A235" s="101">
        <v>7.0</v>
      </c>
      <c r="B235" s="101">
        <v>30090.0</v>
      </c>
      <c r="C235" s="102" t="s">
        <v>255</v>
      </c>
      <c r="D235" s="52" t="s">
        <v>175</v>
      </c>
      <c r="E235" s="52">
        <v>3.0</v>
      </c>
      <c r="F235" s="52" t="s">
        <v>163</v>
      </c>
      <c r="G235" s="52">
        <v>4.0</v>
      </c>
      <c r="H235" s="52" t="s">
        <v>184</v>
      </c>
      <c r="I235" s="52">
        <v>5.0</v>
      </c>
      <c r="J235" s="52" t="s">
        <v>193</v>
      </c>
      <c r="K235" s="52">
        <v>1.0</v>
      </c>
      <c r="L235" s="52" t="s">
        <v>200</v>
      </c>
      <c r="M235" s="52">
        <v>6.0</v>
      </c>
      <c r="N235" s="52" t="s">
        <v>150</v>
      </c>
      <c r="O235" s="52" t="s">
        <v>119</v>
      </c>
      <c r="P235" s="52" t="s">
        <v>116</v>
      </c>
      <c r="Q235" s="52" t="s">
        <v>125</v>
      </c>
      <c r="R235" s="52" t="s">
        <v>133</v>
      </c>
      <c r="S235" s="52" t="s">
        <v>125</v>
      </c>
      <c r="T235" s="65" t="s">
        <v>27</v>
      </c>
      <c r="U235" s="32">
        <v>1.0</v>
      </c>
      <c r="V235" s="32">
        <v>1.0</v>
      </c>
      <c r="W235" s="32">
        <v>1.0</v>
      </c>
      <c r="X235" s="32">
        <v>1.0</v>
      </c>
      <c r="Y235" s="32">
        <v>1.0</v>
      </c>
      <c r="Z235" s="32">
        <v>1.0</v>
      </c>
      <c r="AA235" s="32">
        <v>6.0</v>
      </c>
      <c r="AB235" s="32">
        <v>0.0</v>
      </c>
      <c r="AC235" s="103" t="str">
        <f>IFERROR(__xludf.DUMMYFUNCTION("if($C235="""","""",if(join("" - "",{iferror(filter('Student Groupings'!$A:$A,'Student Groupings'!$B:$B=$C235,'Student Groupings'!$H:$H=""Can't be Together""),"""");iferror(filter('Student Groupings'!$A:$A,'Student Groupings'!$E:$E=$C235,'Student Groupings"&amp;"'!$H:$H=""Can't be Together""),"""")})="" - "","""",join("" - "",{iferror(filter('Student Groupings'!$A:$A,'Student Groupings'!$B:$B=$C235,'Student Groupings'!$H:$H=""Can't be Together""),"""");iferror(filter('Student Groupings'!$A:$A,'Student Groupings'!"&amp;"$E:$E=$C235,'Student Groupings'!$H:$H=""Can't be Together""),"""")})))")," - 38")</f>
        <v> - 38</v>
      </c>
      <c r="AD235" s="103" t="str">
        <f>IFERROR(__xludf.DUMMYFUNCTION("if($C235="""","""",if(join("" - "",{iferror(filter('Student Groupings'!$A:$A,'Student Groupings'!$B:$B=$C235,'Student Groupings'!$H:$H=""Must be Together""),"""");iferror(filter('Student Groupings'!$A:$A,'Student Groupings'!$E:$E=$C235,'Student Groupings'"&amp;"!$H:$H=""Must be Together""),"""")})="" - "","""",join("" - "",{iferror(filter('Student Groupings'!$A:$A,'Student Groupings'!$B:$B=$C235,'Student Groupings'!$H:$H=""Must be Together""),"""");iferror(filter('Student Groupings'!$A:$A,'Student Groupings'!$E:"&amp;"$E=$C235,'Student Groupings'!$H:$H=""Must be Together""),"""")})))"),"")</f>
        <v/>
      </c>
      <c r="AE235" s="104"/>
      <c r="AF235" s="104"/>
      <c r="AG235" s="104"/>
      <c r="AH235" s="104"/>
    </row>
    <row r="236">
      <c r="A236" s="101">
        <v>7.0</v>
      </c>
      <c r="B236" s="101">
        <v>30172.0</v>
      </c>
      <c r="C236" s="102" t="s">
        <v>504</v>
      </c>
      <c r="D236" s="52" t="s">
        <v>175</v>
      </c>
      <c r="E236" s="52">
        <v>2.0</v>
      </c>
      <c r="F236" s="52" t="s">
        <v>163</v>
      </c>
      <c r="G236" s="52">
        <v>6.0</v>
      </c>
      <c r="H236" s="52" t="s">
        <v>184</v>
      </c>
      <c r="I236" s="52">
        <v>3.0</v>
      </c>
      <c r="J236" s="52" t="s">
        <v>195</v>
      </c>
      <c r="K236" s="52">
        <v>5.0</v>
      </c>
      <c r="L236" s="52" t="s">
        <v>200</v>
      </c>
      <c r="M236" s="52">
        <v>4.0</v>
      </c>
      <c r="N236" s="52" t="s">
        <v>154</v>
      </c>
      <c r="O236" s="52" t="s">
        <v>129</v>
      </c>
      <c r="P236" s="52" t="s">
        <v>140</v>
      </c>
      <c r="Q236" s="52" t="s">
        <v>108</v>
      </c>
      <c r="R236" s="52" t="s">
        <v>140</v>
      </c>
      <c r="S236" s="52" t="s">
        <v>108</v>
      </c>
      <c r="T236" s="65" t="s">
        <v>30</v>
      </c>
      <c r="U236" s="32">
        <v>1.0</v>
      </c>
      <c r="V236" s="32">
        <v>1.0</v>
      </c>
      <c r="W236" s="32">
        <v>1.0</v>
      </c>
      <c r="X236" s="32">
        <v>1.0</v>
      </c>
      <c r="Y236" s="32">
        <v>1.0</v>
      </c>
      <c r="Z236" s="32">
        <v>1.0</v>
      </c>
      <c r="AA236" s="32">
        <v>6.0</v>
      </c>
      <c r="AB236" s="32">
        <v>0.0</v>
      </c>
      <c r="AC236" s="103" t="str">
        <f>IFERROR(__xludf.DUMMYFUNCTION("if($C236="""","""",if(join("" - "",{iferror(filter('Student Groupings'!$A:$A,'Student Groupings'!$B:$B=$C236,'Student Groupings'!$H:$H=""Can't be Together""),"""");iferror(filter('Student Groupings'!$A:$A,'Student Groupings'!$E:$E=$C236,'Student Groupings"&amp;"'!$H:$H=""Can't be Together""),"""")})="" - "","""",join("" - "",{iferror(filter('Student Groupings'!$A:$A,'Student Groupings'!$B:$B=$C236,'Student Groupings'!$H:$H=""Can't be Together""),"""");iferror(filter('Student Groupings'!$A:$A,'Student Groupings'!"&amp;"$E:$E=$C236,'Student Groupings'!$H:$H=""Can't be Together""),"""")})))"),"")</f>
        <v/>
      </c>
      <c r="AD236" s="103" t="str">
        <f>IFERROR(__xludf.DUMMYFUNCTION("if($C236="""","""",if(join("" - "",{iferror(filter('Student Groupings'!$A:$A,'Student Groupings'!$B:$B=$C236,'Student Groupings'!$H:$H=""Must be Together""),"""");iferror(filter('Student Groupings'!$A:$A,'Student Groupings'!$E:$E=$C236,'Student Groupings'"&amp;"!$H:$H=""Must be Together""),"""")})="" - "","""",join("" - "",{iferror(filter('Student Groupings'!$A:$A,'Student Groupings'!$B:$B=$C236,'Student Groupings'!$H:$H=""Must be Together""),"""");iferror(filter('Student Groupings'!$A:$A,'Student Groupings'!$E:"&amp;"$E=$C236,'Student Groupings'!$H:$H=""Must be Together""),"""")})))"),"")</f>
        <v/>
      </c>
      <c r="AE236" s="104"/>
      <c r="AF236" s="104"/>
      <c r="AG236" s="104"/>
      <c r="AH236" s="104"/>
    </row>
    <row r="237">
      <c r="A237" s="101">
        <v>7.0</v>
      </c>
      <c r="B237" s="101">
        <v>30158.0</v>
      </c>
      <c r="C237" s="102" t="s">
        <v>505</v>
      </c>
      <c r="D237" s="52" t="s">
        <v>175</v>
      </c>
      <c r="E237" s="52">
        <v>4.0</v>
      </c>
      <c r="F237" s="52" t="s">
        <v>164</v>
      </c>
      <c r="G237" s="52">
        <v>3.0</v>
      </c>
      <c r="H237" s="52" t="s">
        <v>184</v>
      </c>
      <c r="I237" s="52">
        <v>1.0</v>
      </c>
      <c r="J237" s="52" t="s">
        <v>193</v>
      </c>
      <c r="K237" s="52">
        <v>5.0</v>
      </c>
      <c r="L237" s="52" t="s">
        <v>200</v>
      </c>
      <c r="M237" s="52">
        <v>2.0</v>
      </c>
      <c r="N237" s="52" t="s">
        <v>150</v>
      </c>
      <c r="O237" s="52" t="s">
        <v>109</v>
      </c>
      <c r="P237" s="52" t="s">
        <v>116</v>
      </c>
      <c r="Q237" s="52" t="s">
        <v>120</v>
      </c>
      <c r="R237" s="52" t="s">
        <v>133</v>
      </c>
      <c r="S237" s="52" t="s">
        <v>120</v>
      </c>
      <c r="T237" s="65" t="s">
        <v>27</v>
      </c>
      <c r="U237" s="32">
        <v>1.0</v>
      </c>
      <c r="V237" s="32">
        <v>1.0</v>
      </c>
      <c r="W237" s="32">
        <v>1.0</v>
      </c>
      <c r="X237" s="32">
        <v>1.0</v>
      </c>
      <c r="Y237" s="32">
        <v>1.0</v>
      </c>
      <c r="Z237" s="32">
        <v>1.0</v>
      </c>
      <c r="AA237" s="32">
        <v>6.0</v>
      </c>
      <c r="AB237" s="32">
        <v>0.0</v>
      </c>
      <c r="AC237" s="103" t="str">
        <f>IFERROR(__xludf.DUMMYFUNCTION("if($C237="""","""",if(join("" - "",{iferror(filter('Student Groupings'!$A:$A,'Student Groupings'!$B:$B=$C237,'Student Groupings'!$H:$H=""Can't be Together""),"""");iferror(filter('Student Groupings'!$A:$A,'Student Groupings'!$E:$E=$C237,'Student Groupings"&amp;"'!$H:$H=""Can't be Together""),"""")})="" - "","""",join("" - "",{iferror(filter('Student Groupings'!$A:$A,'Student Groupings'!$B:$B=$C237,'Student Groupings'!$H:$H=""Can't be Together""),"""");iferror(filter('Student Groupings'!$A:$A,'Student Groupings'!"&amp;"$E:$E=$C237,'Student Groupings'!$H:$H=""Can't be Together""),"""")})))"),"")</f>
        <v/>
      </c>
      <c r="AD237" s="103" t="str">
        <f>IFERROR(__xludf.DUMMYFUNCTION("if($C237="""","""",if(join("" - "",{iferror(filter('Student Groupings'!$A:$A,'Student Groupings'!$B:$B=$C237,'Student Groupings'!$H:$H=""Must be Together""),"""");iferror(filter('Student Groupings'!$A:$A,'Student Groupings'!$E:$E=$C237,'Student Groupings'"&amp;"!$H:$H=""Must be Together""),"""")})="" - "","""",join("" - "",{iferror(filter('Student Groupings'!$A:$A,'Student Groupings'!$B:$B=$C237,'Student Groupings'!$H:$H=""Must be Together""),"""");iferror(filter('Student Groupings'!$A:$A,'Student Groupings'!$E:"&amp;"$E=$C237,'Student Groupings'!$H:$H=""Must be Together""),"""")})))"),"")</f>
        <v/>
      </c>
      <c r="AE237" s="104"/>
      <c r="AF237" s="104"/>
      <c r="AG237" s="104"/>
      <c r="AH237" s="104"/>
    </row>
    <row r="238">
      <c r="A238" s="101">
        <v>7.0</v>
      </c>
      <c r="B238" s="101">
        <v>30153.0</v>
      </c>
      <c r="C238" s="102" t="s">
        <v>506</v>
      </c>
      <c r="D238" s="52" t="s">
        <v>179</v>
      </c>
      <c r="E238" s="52">
        <v>6.0</v>
      </c>
      <c r="F238" s="52" t="s">
        <v>164</v>
      </c>
      <c r="G238" s="52">
        <v>4.0</v>
      </c>
      <c r="H238" s="52" t="s">
        <v>188</v>
      </c>
      <c r="I238" s="52">
        <v>5.0</v>
      </c>
      <c r="J238" s="52" t="s">
        <v>195</v>
      </c>
      <c r="K238" s="52">
        <v>3.0</v>
      </c>
      <c r="L238" s="52" t="s">
        <v>200</v>
      </c>
      <c r="M238" s="52">
        <v>1.0</v>
      </c>
      <c r="N238" s="52" t="s">
        <v>154</v>
      </c>
      <c r="O238" s="52" t="s">
        <v>119</v>
      </c>
      <c r="P238" s="52" t="s">
        <v>140</v>
      </c>
      <c r="Q238" s="52" t="s">
        <v>125</v>
      </c>
      <c r="R238" s="52" t="s">
        <v>140</v>
      </c>
      <c r="S238" s="52" t="s">
        <v>125</v>
      </c>
      <c r="T238" s="65" t="s">
        <v>30</v>
      </c>
      <c r="U238" s="32">
        <v>1.0</v>
      </c>
      <c r="V238" s="32">
        <v>1.0</v>
      </c>
      <c r="W238" s="32">
        <v>1.0</v>
      </c>
      <c r="X238" s="32">
        <v>1.0</v>
      </c>
      <c r="Y238" s="32">
        <v>1.0</v>
      </c>
      <c r="Z238" s="32">
        <v>1.0</v>
      </c>
      <c r="AA238" s="32">
        <v>6.0</v>
      </c>
      <c r="AB238" s="32">
        <v>0.0</v>
      </c>
      <c r="AC238" s="103" t="str">
        <f>IFERROR(__xludf.DUMMYFUNCTION("if($C238="""","""",if(join("" - "",{iferror(filter('Student Groupings'!$A:$A,'Student Groupings'!$B:$B=$C238,'Student Groupings'!$H:$H=""Can't be Together""),"""");iferror(filter('Student Groupings'!$A:$A,'Student Groupings'!$E:$E=$C238,'Student Groupings"&amp;"'!$H:$H=""Can't be Together""),"""")})="" - "","""",join("" - "",{iferror(filter('Student Groupings'!$A:$A,'Student Groupings'!$B:$B=$C238,'Student Groupings'!$H:$H=""Can't be Together""),"""");iferror(filter('Student Groupings'!$A:$A,'Student Groupings'!"&amp;"$E:$E=$C238,'Student Groupings'!$H:$H=""Can't be Together""),"""")})))"),"")</f>
        <v/>
      </c>
      <c r="AD238" s="103" t="str">
        <f>IFERROR(__xludf.DUMMYFUNCTION("if($C238="""","""",if(join("" - "",{iferror(filter('Student Groupings'!$A:$A,'Student Groupings'!$B:$B=$C238,'Student Groupings'!$H:$H=""Must be Together""),"""");iferror(filter('Student Groupings'!$A:$A,'Student Groupings'!$E:$E=$C238,'Student Groupings'"&amp;"!$H:$H=""Must be Together""),"""")})="" - "","""",join("" - "",{iferror(filter('Student Groupings'!$A:$A,'Student Groupings'!$B:$B=$C238,'Student Groupings'!$H:$H=""Must be Together""),"""");iferror(filter('Student Groupings'!$A:$A,'Student Groupings'!$E:"&amp;"$E=$C238,'Student Groupings'!$H:$H=""Must be Together""),"""")})))"),"")</f>
        <v/>
      </c>
      <c r="AE238" s="104"/>
      <c r="AF238" s="104"/>
      <c r="AG238" s="104"/>
      <c r="AH238" s="104"/>
    </row>
    <row r="239">
      <c r="A239" s="101">
        <v>7.0</v>
      </c>
      <c r="B239" s="101">
        <v>30154.0</v>
      </c>
      <c r="C239" s="102" t="s">
        <v>507</v>
      </c>
      <c r="D239" s="52" t="s">
        <v>175</v>
      </c>
      <c r="E239" s="52">
        <v>3.0</v>
      </c>
      <c r="F239" s="52" t="s">
        <v>163</v>
      </c>
      <c r="G239" s="52">
        <v>5.0</v>
      </c>
      <c r="H239" s="52" t="s">
        <v>184</v>
      </c>
      <c r="I239" s="52">
        <v>2.0</v>
      </c>
      <c r="J239" s="52" t="s">
        <v>193</v>
      </c>
      <c r="K239" s="52">
        <v>1.0</v>
      </c>
      <c r="L239" s="52" t="s">
        <v>200</v>
      </c>
      <c r="M239" s="52">
        <v>6.0</v>
      </c>
      <c r="N239" s="52" t="s">
        <v>150</v>
      </c>
      <c r="O239" s="52" t="s">
        <v>111</v>
      </c>
      <c r="P239" s="52" t="s">
        <v>140</v>
      </c>
      <c r="Q239" s="52" t="s">
        <v>130</v>
      </c>
      <c r="R239" s="52" t="s">
        <v>140</v>
      </c>
      <c r="S239" s="52" t="s">
        <v>130</v>
      </c>
      <c r="T239" s="65" t="s">
        <v>30</v>
      </c>
      <c r="U239" s="32">
        <v>1.0</v>
      </c>
      <c r="V239" s="32">
        <v>1.0</v>
      </c>
      <c r="W239" s="32">
        <v>1.0</v>
      </c>
      <c r="X239" s="32">
        <v>1.0</v>
      </c>
      <c r="Y239" s="32">
        <v>1.0</v>
      </c>
      <c r="Z239" s="32">
        <v>1.0</v>
      </c>
      <c r="AA239" s="32">
        <v>6.0</v>
      </c>
      <c r="AB239" s="32">
        <v>0.0</v>
      </c>
      <c r="AC239" s="103" t="str">
        <f>IFERROR(__xludf.DUMMYFUNCTION("if($C239="""","""",if(join("" - "",{iferror(filter('Student Groupings'!$A:$A,'Student Groupings'!$B:$B=$C239,'Student Groupings'!$H:$H=""Can't be Together""),"""");iferror(filter('Student Groupings'!$A:$A,'Student Groupings'!$E:$E=$C239,'Student Groupings"&amp;"'!$H:$H=""Can't be Together""),"""")})="" - "","""",join("" - "",{iferror(filter('Student Groupings'!$A:$A,'Student Groupings'!$B:$B=$C239,'Student Groupings'!$H:$H=""Can't be Together""),"""");iferror(filter('Student Groupings'!$A:$A,'Student Groupings'!"&amp;"$E:$E=$C239,'Student Groupings'!$H:$H=""Can't be Together""),"""")})))"),"")</f>
        <v/>
      </c>
      <c r="AD239" s="103" t="str">
        <f>IFERROR(__xludf.DUMMYFUNCTION("if($C239="""","""",if(join("" - "",{iferror(filter('Student Groupings'!$A:$A,'Student Groupings'!$B:$B=$C239,'Student Groupings'!$H:$H=""Must be Together""),"""");iferror(filter('Student Groupings'!$A:$A,'Student Groupings'!$E:$E=$C239,'Student Groupings'"&amp;"!$H:$H=""Must be Together""),"""")})="" - "","""",join("" - "",{iferror(filter('Student Groupings'!$A:$A,'Student Groupings'!$B:$B=$C239,'Student Groupings'!$H:$H=""Must be Together""),"""");iferror(filter('Student Groupings'!$A:$A,'Student Groupings'!$E:"&amp;"$E=$C239,'Student Groupings'!$H:$H=""Must be Together""),"""")})))"),"")</f>
        <v/>
      </c>
      <c r="AE239" s="104"/>
      <c r="AF239" s="104"/>
      <c r="AG239" s="104"/>
      <c r="AH239" s="104"/>
    </row>
    <row r="240">
      <c r="A240" s="101">
        <v>7.0</v>
      </c>
      <c r="B240" s="101">
        <v>30141.0</v>
      </c>
      <c r="C240" s="102" t="s">
        <v>508</v>
      </c>
      <c r="D240" s="52" t="s">
        <v>175</v>
      </c>
      <c r="E240" s="52">
        <v>2.0</v>
      </c>
      <c r="F240" s="52" t="s">
        <v>163</v>
      </c>
      <c r="G240" s="52">
        <v>6.0</v>
      </c>
      <c r="H240" s="52" t="s">
        <v>184</v>
      </c>
      <c r="I240" s="52">
        <v>3.0</v>
      </c>
      <c r="J240" s="52" t="s">
        <v>195</v>
      </c>
      <c r="K240" s="52">
        <v>5.0</v>
      </c>
      <c r="L240" s="52" t="s">
        <v>200</v>
      </c>
      <c r="M240" s="52">
        <v>4.0</v>
      </c>
      <c r="N240" s="52" t="s">
        <v>154</v>
      </c>
      <c r="O240" s="52" t="s">
        <v>129</v>
      </c>
      <c r="P240" s="52" t="s">
        <v>140</v>
      </c>
      <c r="Q240" s="52" t="s">
        <v>108</v>
      </c>
      <c r="R240" s="52" t="s">
        <v>140</v>
      </c>
      <c r="S240" s="52" t="s">
        <v>108</v>
      </c>
      <c r="T240" s="65" t="s">
        <v>30</v>
      </c>
      <c r="U240" s="32">
        <v>1.0</v>
      </c>
      <c r="V240" s="32">
        <v>1.0</v>
      </c>
      <c r="W240" s="32">
        <v>1.0</v>
      </c>
      <c r="X240" s="32">
        <v>1.0</v>
      </c>
      <c r="Y240" s="32">
        <v>1.0</v>
      </c>
      <c r="Z240" s="32">
        <v>1.0</v>
      </c>
      <c r="AA240" s="32">
        <v>6.0</v>
      </c>
      <c r="AB240" s="32">
        <v>0.0</v>
      </c>
      <c r="AC240" s="103" t="str">
        <f>IFERROR(__xludf.DUMMYFUNCTION("if($C240="""","""",if(join("" - "",{iferror(filter('Student Groupings'!$A:$A,'Student Groupings'!$B:$B=$C240,'Student Groupings'!$H:$H=""Can't be Together""),"""");iferror(filter('Student Groupings'!$A:$A,'Student Groupings'!$E:$E=$C240,'Student Groupings"&amp;"'!$H:$H=""Can't be Together""),"""")})="" - "","""",join("" - "",{iferror(filter('Student Groupings'!$A:$A,'Student Groupings'!$B:$B=$C240,'Student Groupings'!$H:$H=""Can't be Together""),"""");iferror(filter('Student Groupings'!$A:$A,'Student Groupings'!"&amp;"$E:$E=$C240,'Student Groupings'!$H:$H=""Can't be Together""),"""")})))"),"")</f>
        <v/>
      </c>
      <c r="AD240" s="103" t="str">
        <f>IFERROR(__xludf.DUMMYFUNCTION("if($C240="""","""",if(join("" - "",{iferror(filter('Student Groupings'!$A:$A,'Student Groupings'!$B:$B=$C240,'Student Groupings'!$H:$H=""Must be Together""),"""");iferror(filter('Student Groupings'!$A:$A,'Student Groupings'!$E:$E=$C240,'Student Groupings'"&amp;"!$H:$H=""Must be Together""),"""")})="" - "","""",join("" - "",{iferror(filter('Student Groupings'!$A:$A,'Student Groupings'!$B:$B=$C240,'Student Groupings'!$H:$H=""Must be Together""),"""");iferror(filter('Student Groupings'!$A:$A,'Student Groupings'!$E:"&amp;"$E=$C240,'Student Groupings'!$H:$H=""Must be Together""),"""")})))"),"")</f>
        <v/>
      </c>
      <c r="AE240" s="104"/>
      <c r="AF240" s="104"/>
      <c r="AG240" s="104"/>
      <c r="AH240" s="104"/>
    </row>
    <row r="241">
      <c r="A241" s="101">
        <v>7.0</v>
      </c>
      <c r="B241" s="101">
        <v>30092.0</v>
      </c>
      <c r="C241" s="102" t="s">
        <v>509</v>
      </c>
      <c r="D241" s="52" t="s">
        <v>175</v>
      </c>
      <c r="E241" s="52">
        <v>6.0</v>
      </c>
      <c r="F241" s="52" t="s">
        <v>163</v>
      </c>
      <c r="G241" s="52">
        <v>5.0</v>
      </c>
      <c r="H241" s="52" t="s">
        <v>184</v>
      </c>
      <c r="I241" s="52">
        <v>2.0</v>
      </c>
      <c r="J241" s="52" t="s">
        <v>195</v>
      </c>
      <c r="K241" s="52">
        <v>1.0</v>
      </c>
      <c r="L241" s="52" t="s">
        <v>200</v>
      </c>
      <c r="M241" s="52">
        <v>3.0</v>
      </c>
      <c r="N241" s="52" t="s">
        <v>150</v>
      </c>
      <c r="O241" s="52" t="s">
        <v>111</v>
      </c>
      <c r="P241" s="52" t="s">
        <v>140</v>
      </c>
      <c r="Q241" s="52" t="s">
        <v>130</v>
      </c>
      <c r="R241" s="52" t="s">
        <v>140</v>
      </c>
      <c r="S241" s="52" t="s">
        <v>130</v>
      </c>
      <c r="T241" s="65" t="s">
        <v>30</v>
      </c>
      <c r="U241" s="32">
        <v>1.0</v>
      </c>
      <c r="V241" s="32">
        <v>1.0</v>
      </c>
      <c r="W241" s="32">
        <v>1.0</v>
      </c>
      <c r="X241" s="32">
        <v>1.0</v>
      </c>
      <c r="Y241" s="32">
        <v>1.0</v>
      </c>
      <c r="Z241" s="32">
        <v>1.0</v>
      </c>
      <c r="AA241" s="32">
        <v>6.0</v>
      </c>
      <c r="AB241" s="32">
        <v>0.0</v>
      </c>
      <c r="AC241" s="103" t="str">
        <f>IFERROR(__xludf.DUMMYFUNCTION("if($C241="""","""",if(join("" - "",{iferror(filter('Student Groupings'!$A:$A,'Student Groupings'!$B:$B=$C241,'Student Groupings'!$H:$H=""Can't be Together""),"""");iferror(filter('Student Groupings'!$A:$A,'Student Groupings'!$E:$E=$C241,'Student Groupings"&amp;"'!$H:$H=""Can't be Together""),"""")})="" - "","""",join("" - "",{iferror(filter('Student Groupings'!$A:$A,'Student Groupings'!$B:$B=$C241,'Student Groupings'!$H:$H=""Can't be Together""),"""");iferror(filter('Student Groupings'!$A:$A,'Student Groupings'!"&amp;"$E:$E=$C241,'Student Groupings'!$H:$H=""Can't be Together""),"""")})))"),"")</f>
        <v/>
      </c>
      <c r="AD241" s="103" t="str">
        <f>IFERROR(__xludf.DUMMYFUNCTION("if($C241="""","""",if(join("" - "",{iferror(filter('Student Groupings'!$A:$A,'Student Groupings'!$B:$B=$C241,'Student Groupings'!$H:$H=""Must be Together""),"""");iferror(filter('Student Groupings'!$A:$A,'Student Groupings'!$E:$E=$C241,'Student Groupings'"&amp;"!$H:$H=""Must be Together""),"""")})="" - "","""",join("" - "",{iferror(filter('Student Groupings'!$A:$A,'Student Groupings'!$B:$B=$C241,'Student Groupings'!$H:$H=""Must be Together""),"""");iferror(filter('Student Groupings'!$A:$A,'Student Groupings'!$E:"&amp;"$E=$C241,'Student Groupings'!$H:$H=""Must be Together""),"""")})))"),"")</f>
        <v/>
      </c>
      <c r="AE241" s="104"/>
      <c r="AF241" s="104"/>
      <c r="AG241" s="104"/>
      <c r="AH241" s="104"/>
    </row>
    <row r="242">
      <c r="A242" s="101">
        <v>7.0</v>
      </c>
      <c r="B242" s="101">
        <v>30093.0</v>
      </c>
      <c r="C242" s="102" t="s">
        <v>510</v>
      </c>
      <c r="D242" s="52" t="s">
        <v>179</v>
      </c>
      <c r="E242" s="52">
        <v>6.0</v>
      </c>
      <c r="F242" s="52" t="s">
        <v>164</v>
      </c>
      <c r="G242" s="52">
        <v>4.0</v>
      </c>
      <c r="H242" s="52" t="s">
        <v>188</v>
      </c>
      <c r="I242" s="52">
        <v>5.0</v>
      </c>
      <c r="J242" s="52" t="s">
        <v>195</v>
      </c>
      <c r="K242" s="52">
        <v>3.0</v>
      </c>
      <c r="L242" s="52" t="s">
        <v>200</v>
      </c>
      <c r="M242" s="52">
        <v>1.0</v>
      </c>
      <c r="N242" s="52" t="s">
        <v>154</v>
      </c>
      <c r="O242" s="52" t="s">
        <v>119</v>
      </c>
      <c r="P242" s="52" t="s">
        <v>140</v>
      </c>
      <c r="Q242" s="52" t="s">
        <v>125</v>
      </c>
      <c r="R242" s="52" t="s">
        <v>140</v>
      </c>
      <c r="S242" s="52" t="s">
        <v>125</v>
      </c>
      <c r="T242" s="65" t="s">
        <v>30</v>
      </c>
      <c r="U242" s="32">
        <v>1.0</v>
      </c>
      <c r="V242" s="32">
        <v>1.0</v>
      </c>
      <c r="W242" s="32">
        <v>1.0</v>
      </c>
      <c r="X242" s="32">
        <v>1.0</v>
      </c>
      <c r="Y242" s="32">
        <v>1.0</v>
      </c>
      <c r="Z242" s="32">
        <v>1.0</v>
      </c>
      <c r="AA242" s="32">
        <v>6.0</v>
      </c>
      <c r="AB242" s="32">
        <v>0.0</v>
      </c>
      <c r="AC242" s="103" t="str">
        <f>IFERROR(__xludf.DUMMYFUNCTION("if($C242="""","""",if(join("" - "",{iferror(filter('Student Groupings'!$A:$A,'Student Groupings'!$B:$B=$C242,'Student Groupings'!$H:$H=""Can't be Together""),"""");iferror(filter('Student Groupings'!$A:$A,'Student Groupings'!$E:$E=$C242,'Student Groupings"&amp;"'!$H:$H=""Can't be Together""),"""")})="" - "","""",join("" - "",{iferror(filter('Student Groupings'!$A:$A,'Student Groupings'!$B:$B=$C242,'Student Groupings'!$H:$H=""Can't be Together""),"""");iferror(filter('Student Groupings'!$A:$A,'Student Groupings'!"&amp;"$E:$E=$C242,'Student Groupings'!$H:$H=""Can't be Together""),"""")})))"),"")</f>
        <v/>
      </c>
      <c r="AD242" s="103" t="str">
        <f>IFERROR(__xludf.DUMMYFUNCTION("if($C242="""","""",if(join("" - "",{iferror(filter('Student Groupings'!$A:$A,'Student Groupings'!$B:$B=$C242,'Student Groupings'!$H:$H=""Must be Together""),"""");iferror(filter('Student Groupings'!$A:$A,'Student Groupings'!$E:$E=$C242,'Student Groupings'"&amp;"!$H:$H=""Must be Together""),"""")})="" - "","""",join("" - "",{iferror(filter('Student Groupings'!$A:$A,'Student Groupings'!$B:$B=$C242,'Student Groupings'!$H:$H=""Must be Together""),"""");iferror(filter('Student Groupings'!$A:$A,'Student Groupings'!$E:"&amp;"$E=$C242,'Student Groupings'!$H:$H=""Must be Together""),"""")})))"),"")</f>
        <v/>
      </c>
      <c r="AE242" s="104"/>
      <c r="AF242" s="104"/>
      <c r="AG242" s="104"/>
      <c r="AH242" s="104"/>
    </row>
    <row r="243">
      <c r="A243" s="101">
        <v>7.0</v>
      </c>
      <c r="B243" s="101">
        <v>30173.0</v>
      </c>
      <c r="C243" s="102" t="s">
        <v>511</v>
      </c>
      <c r="D243" s="52" t="s">
        <v>175</v>
      </c>
      <c r="E243" s="52">
        <v>5.0</v>
      </c>
      <c r="F243" s="52" t="s">
        <v>163</v>
      </c>
      <c r="G243" s="52">
        <v>3.0</v>
      </c>
      <c r="H243" s="52" t="s">
        <v>184</v>
      </c>
      <c r="I243" s="52">
        <v>6.0</v>
      </c>
      <c r="J243" s="52" t="s">
        <v>195</v>
      </c>
      <c r="K243" s="52">
        <v>2.0</v>
      </c>
      <c r="L243" s="52" t="s">
        <v>203</v>
      </c>
      <c r="M243" s="52">
        <v>4.0</v>
      </c>
      <c r="N243" s="52" t="s">
        <v>150</v>
      </c>
      <c r="O243" s="52" t="s">
        <v>129</v>
      </c>
      <c r="P243" s="52" t="s">
        <v>133</v>
      </c>
      <c r="Q243" s="52" t="s">
        <v>108</v>
      </c>
      <c r="R243" s="52" t="s">
        <v>116</v>
      </c>
      <c r="S243" s="52" t="s">
        <v>108</v>
      </c>
      <c r="T243" s="65" t="s">
        <v>8</v>
      </c>
      <c r="U243" s="32">
        <v>1.0</v>
      </c>
      <c r="V243" s="32">
        <v>1.0</v>
      </c>
      <c r="W243" s="32">
        <v>1.0</v>
      </c>
      <c r="X243" s="32">
        <v>1.0</v>
      </c>
      <c r="Y243" s="32">
        <v>1.0</v>
      </c>
      <c r="Z243" s="32">
        <v>1.0</v>
      </c>
      <c r="AA243" s="32">
        <v>6.0</v>
      </c>
      <c r="AB243" s="32">
        <v>0.0</v>
      </c>
      <c r="AC243" s="103" t="str">
        <f>IFERROR(__xludf.DUMMYFUNCTION("if($C243="""","""",if(join("" - "",{iferror(filter('Student Groupings'!$A:$A,'Student Groupings'!$B:$B=$C243,'Student Groupings'!$H:$H=""Can't be Together""),"""");iferror(filter('Student Groupings'!$A:$A,'Student Groupings'!$E:$E=$C243,'Student Groupings"&amp;"'!$H:$H=""Can't be Together""),"""")})="" - "","""",join("" - "",{iferror(filter('Student Groupings'!$A:$A,'Student Groupings'!$B:$B=$C243,'Student Groupings'!$H:$H=""Can't be Together""),"""");iferror(filter('Student Groupings'!$A:$A,'Student Groupings'!"&amp;"$E:$E=$C243,'Student Groupings'!$H:$H=""Can't be Together""),"""")})))"),"")</f>
        <v/>
      </c>
      <c r="AD243" s="103" t="str">
        <f>IFERROR(__xludf.DUMMYFUNCTION("if($C243="""","""",if(join("" - "",{iferror(filter('Student Groupings'!$A:$A,'Student Groupings'!$B:$B=$C243,'Student Groupings'!$H:$H=""Must be Together""),"""");iferror(filter('Student Groupings'!$A:$A,'Student Groupings'!$E:$E=$C243,'Student Groupings'"&amp;"!$H:$H=""Must be Together""),"""")})="" - "","""",join("" - "",{iferror(filter('Student Groupings'!$A:$A,'Student Groupings'!$B:$B=$C243,'Student Groupings'!$H:$H=""Must be Together""),"""");iferror(filter('Student Groupings'!$A:$A,'Student Groupings'!$E:"&amp;"$E=$C243,'Student Groupings'!$H:$H=""Must be Together""),"""")})))"),"")</f>
        <v/>
      </c>
      <c r="AE243" s="104"/>
      <c r="AF243" s="104"/>
      <c r="AG243" s="104"/>
      <c r="AH243" s="104"/>
    </row>
    <row r="244">
      <c r="A244" s="101">
        <v>7.0</v>
      </c>
      <c r="B244" s="101">
        <v>30094.0</v>
      </c>
      <c r="C244" s="102" t="s">
        <v>512</v>
      </c>
      <c r="D244" s="52" t="s">
        <v>175</v>
      </c>
      <c r="E244" s="52">
        <v>6.0</v>
      </c>
      <c r="F244" s="52" t="s">
        <v>163</v>
      </c>
      <c r="G244" s="52">
        <v>5.0</v>
      </c>
      <c r="H244" s="52" t="s">
        <v>184</v>
      </c>
      <c r="I244" s="52">
        <v>2.0</v>
      </c>
      <c r="J244" s="52" t="s">
        <v>195</v>
      </c>
      <c r="K244" s="52">
        <v>1.0</v>
      </c>
      <c r="L244" s="52" t="s">
        <v>200</v>
      </c>
      <c r="M244" s="52">
        <v>3.0</v>
      </c>
      <c r="N244" s="52" t="s">
        <v>150</v>
      </c>
      <c r="O244" s="52" t="s">
        <v>111</v>
      </c>
      <c r="P244" s="52" t="s">
        <v>140</v>
      </c>
      <c r="Q244" s="52" t="s">
        <v>130</v>
      </c>
      <c r="R244" s="52" t="s">
        <v>140</v>
      </c>
      <c r="S244" s="52" t="s">
        <v>130</v>
      </c>
      <c r="T244" s="65" t="s">
        <v>30</v>
      </c>
      <c r="U244" s="32">
        <v>1.0</v>
      </c>
      <c r="V244" s="32">
        <v>1.0</v>
      </c>
      <c r="W244" s="32">
        <v>1.0</v>
      </c>
      <c r="X244" s="32">
        <v>1.0</v>
      </c>
      <c r="Y244" s="32">
        <v>1.0</v>
      </c>
      <c r="Z244" s="32">
        <v>1.0</v>
      </c>
      <c r="AA244" s="32">
        <v>6.0</v>
      </c>
      <c r="AB244" s="32">
        <v>0.0</v>
      </c>
      <c r="AC244" s="103" t="str">
        <f>IFERROR(__xludf.DUMMYFUNCTION("if($C244="""","""",if(join("" - "",{iferror(filter('Student Groupings'!$A:$A,'Student Groupings'!$B:$B=$C244,'Student Groupings'!$H:$H=""Can't be Together""),"""");iferror(filter('Student Groupings'!$A:$A,'Student Groupings'!$E:$E=$C244,'Student Groupings"&amp;"'!$H:$H=""Can't be Together""),"""")})="" - "","""",join("" - "",{iferror(filter('Student Groupings'!$A:$A,'Student Groupings'!$B:$B=$C244,'Student Groupings'!$H:$H=""Can't be Together""),"""");iferror(filter('Student Groupings'!$A:$A,'Student Groupings'!"&amp;"$E:$E=$C244,'Student Groupings'!$H:$H=""Can't be Together""),"""")})))"),"")</f>
        <v/>
      </c>
      <c r="AD244" s="103" t="str">
        <f>IFERROR(__xludf.DUMMYFUNCTION("if($C244="""","""",if(join("" - "",{iferror(filter('Student Groupings'!$A:$A,'Student Groupings'!$B:$B=$C244,'Student Groupings'!$H:$H=""Must be Together""),"""");iferror(filter('Student Groupings'!$A:$A,'Student Groupings'!$E:$E=$C244,'Student Groupings'"&amp;"!$H:$H=""Must be Together""),"""")})="" - "","""",join("" - "",{iferror(filter('Student Groupings'!$A:$A,'Student Groupings'!$B:$B=$C244,'Student Groupings'!$H:$H=""Must be Together""),"""");iferror(filter('Student Groupings'!$A:$A,'Student Groupings'!$E:"&amp;"$E=$C244,'Student Groupings'!$H:$H=""Must be Together""),"""")})))"),"")</f>
        <v/>
      </c>
      <c r="AE244" s="104"/>
      <c r="AF244" s="104"/>
      <c r="AG244" s="104"/>
      <c r="AH244" s="104"/>
    </row>
    <row r="245">
      <c r="A245" s="101">
        <v>7.0</v>
      </c>
      <c r="B245" s="101">
        <v>30095.0</v>
      </c>
      <c r="C245" s="102" t="s">
        <v>513</v>
      </c>
      <c r="D245" s="52" t="s">
        <v>175</v>
      </c>
      <c r="E245" s="52">
        <v>4.0</v>
      </c>
      <c r="F245" s="52" t="s">
        <v>164</v>
      </c>
      <c r="G245" s="52">
        <v>3.0</v>
      </c>
      <c r="H245" s="52" t="s">
        <v>184</v>
      </c>
      <c r="I245" s="52">
        <v>1.0</v>
      </c>
      <c r="J245" s="52" t="s">
        <v>193</v>
      </c>
      <c r="K245" s="52">
        <v>5.0</v>
      </c>
      <c r="L245" s="52" t="s">
        <v>200</v>
      </c>
      <c r="M245" s="52">
        <v>2.0</v>
      </c>
      <c r="N245" s="52" t="s">
        <v>150</v>
      </c>
      <c r="O245" s="52" t="s">
        <v>109</v>
      </c>
      <c r="P245" s="52" t="s">
        <v>116</v>
      </c>
      <c r="Q245" s="52" t="s">
        <v>120</v>
      </c>
      <c r="R245" s="52" t="s">
        <v>133</v>
      </c>
      <c r="S245" s="52" t="s">
        <v>120</v>
      </c>
      <c r="T245" s="65" t="s">
        <v>27</v>
      </c>
      <c r="U245" s="32">
        <v>1.0</v>
      </c>
      <c r="V245" s="32">
        <v>1.0</v>
      </c>
      <c r="W245" s="32">
        <v>1.0</v>
      </c>
      <c r="X245" s="32">
        <v>1.0</v>
      </c>
      <c r="Y245" s="32">
        <v>1.0</v>
      </c>
      <c r="Z245" s="32">
        <v>1.0</v>
      </c>
      <c r="AA245" s="32">
        <v>6.0</v>
      </c>
      <c r="AB245" s="32">
        <v>0.0</v>
      </c>
      <c r="AC245" s="103" t="str">
        <f>IFERROR(__xludf.DUMMYFUNCTION("if($C245="""","""",if(join("" - "",{iferror(filter('Student Groupings'!$A:$A,'Student Groupings'!$B:$B=$C245,'Student Groupings'!$H:$H=""Can't be Together""),"""");iferror(filter('Student Groupings'!$A:$A,'Student Groupings'!$E:$E=$C245,'Student Groupings"&amp;"'!$H:$H=""Can't be Together""),"""")})="" - "","""",join("" - "",{iferror(filter('Student Groupings'!$A:$A,'Student Groupings'!$B:$B=$C245,'Student Groupings'!$H:$H=""Can't be Together""),"""");iferror(filter('Student Groupings'!$A:$A,'Student Groupings'!"&amp;"$E:$E=$C245,'Student Groupings'!$H:$H=""Can't be Together""),"""")})))"),"")</f>
        <v/>
      </c>
      <c r="AD245" s="103" t="str">
        <f>IFERROR(__xludf.DUMMYFUNCTION("if($C245="""","""",if(join("" - "",{iferror(filter('Student Groupings'!$A:$A,'Student Groupings'!$B:$B=$C245,'Student Groupings'!$H:$H=""Must be Together""),"""");iferror(filter('Student Groupings'!$A:$A,'Student Groupings'!$E:$E=$C245,'Student Groupings'"&amp;"!$H:$H=""Must be Together""),"""")})="" - "","""",join("" - "",{iferror(filter('Student Groupings'!$A:$A,'Student Groupings'!$B:$B=$C245,'Student Groupings'!$H:$H=""Must be Together""),"""");iferror(filter('Student Groupings'!$A:$A,'Student Groupings'!$E:"&amp;"$E=$C245,'Student Groupings'!$H:$H=""Must be Together""),"""")})))"),"")</f>
        <v/>
      </c>
      <c r="AE245" s="104"/>
      <c r="AF245" s="104"/>
      <c r="AG245" s="104"/>
      <c r="AH245" s="104"/>
    </row>
    <row r="246">
      <c r="A246" s="101">
        <v>7.0</v>
      </c>
      <c r="B246" s="101">
        <v>29090.0</v>
      </c>
      <c r="C246" s="102" t="s">
        <v>514</v>
      </c>
      <c r="D246" s="52" t="s">
        <v>175</v>
      </c>
      <c r="E246" s="52">
        <v>3.0</v>
      </c>
      <c r="F246" s="52" t="s">
        <v>163</v>
      </c>
      <c r="G246" s="52">
        <v>4.0</v>
      </c>
      <c r="H246" s="52" t="s">
        <v>184</v>
      </c>
      <c r="I246" s="52">
        <v>5.0</v>
      </c>
      <c r="J246" s="52" t="s">
        <v>193</v>
      </c>
      <c r="K246" s="52">
        <v>1.0</v>
      </c>
      <c r="L246" s="52" t="s">
        <v>200</v>
      </c>
      <c r="M246" s="52">
        <v>6.0</v>
      </c>
      <c r="N246" s="52" t="s">
        <v>150</v>
      </c>
      <c r="O246" s="52" t="s">
        <v>119</v>
      </c>
      <c r="P246" s="52" t="s">
        <v>116</v>
      </c>
      <c r="Q246" s="52" t="s">
        <v>125</v>
      </c>
      <c r="R246" s="52" t="s">
        <v>133</v>
      </c>
      <c r="S246" s="52" t="s">
        <v>125</v>
      </c>
      <c r="T246" s="65" t="s">
        <v>27</v>
      </c>
      <c r="U246" s="32">
        <v>1.0</v>
      </c>
      <c r="V246" s="32">
        <v>1.0</v>
      </c>
      <c r="W246" s="32">
        <v>1.0</v>
      </c>
      <c r="X246" s="32">
        <v>1.0</v>
      </c>
      <c r="Y246" s="32">
        <v>1.0</v>
      </c>
      <c r="Z246" s="32">
        <v>1.0</v>
      </c>
      <c r="AA246" s="32">
        <v>6.0</v>
      </c>
      <c r="AB246" s="32">
        <v>0.0</v>
      </c>
      <c r="AC246" s="103" t="str">
        <f>IFERROR(__xludf.DUMMYFUNCTION("if($C246="""","""",if(join("" - "",{iferror(filter('Student Groupings'!$A:$A,'Student Groupings'!$B:$B=$C246,'Student Groupings'!$H:$H=""Can't be Together""),"""");iferror(filter('Student Groupings'!$A:$A,'Student Groupings'!$E:$E=$C246,'Student Groupings"&amp;"'!$H:$H=""Can't be Together""),"""")})="" - "","""",join("" - "",{iferror(filter('Student Groupings'!$A:$A,'Student Groupings'!$B:$B=$C246,'Student Groupings'!$H:$H=""Can't be Together""),"""");iferror(filter('Student Groupings'!$A:$A,'Student Groupings'!"&amp;"$E:$E=$C246,'Student Groupings'!$H:$H=""Can't be Together""),"""")})))"),"")</f>
        <v/>
      </c>
      <c r="AD246" s="103" t="str">
        <f>IFERROR(__xludf.DUMMYFUNCTION("if($C246="""","""",if(join("" - "",{iferror(filter('Student Groupings'!$A:$A,'Student Groupings'!$B:$B=$C246,'Student Groupings'!$H:$H=""Must be Together""),"""");iferror(filter('Student Groupings'!$A:$A,'Student Groupings'!$E:$E=$C246,'Student Groupings'"&amp;"!$H:$H=""Must be Together""),"""")})="" - "","""",join("" - "",{iferror(filter('Student Groupings'!$A:$A,'Student Groupings'!$B:$B=$C246,'Student Groupings'!$H:$H=""Must be Together""),"""");iferror(filter('Student Groupings'!$A:$A,'Student Groupings'!$E:"&amp;"$E=$C246,'Student Groupings'!$H:$H=""Must be Together""),"""")})))"),"")</f>
        <v/>
      </c>
      <c r="AE246" s="105"/>
      <c r="AF246" s="105">
        <v>1.0</v>
      </c>
      <c r="AG246" s="105">
        <v>1.0</v>
      </c>
      <c r="AH246" s="105"/>
    </row>
    <row r="247">
      <c r="A247" s="101">
        <v>7.0</v>
      </c>
      <c r="B247" s="101">
        <v>30097.0</v>
      </c>
      <c r="C247" s="102" t="s">
        <v>515</v>
      </c>
      <c r="D247" s="52" t="s">
        <v>175</v>
      </c>
      <c r="E247" s="52">
        <v>5.0</v>
      </c>
      <c r="F247" s="52" t="s">
        <v>163</v>
      </c>
      <c r="G247" s="52">
        <v>3.0</v>
      </c>
      <c r="H247" s="52" t="s">
        <v>184</v>
      </c>
      <c r="I247" s="52">
        <v>6.0</v>
      </c>
      <c r="J247" s="52" t="s">
        <v>195</v>
      </c>
      <c r="K247" s="52">
        <v>2.0</v>
      </c>
      <c r="L247" s="52" t="s">
        <v>203</v>
      </c>
      <c r="M247" s="52">
        <v>4.0</v>
      </c>
      <c r="N247" s="52" t="s">
        <v>150</v>
      </c>
      <c r="O247" s="52" t="s">
        <v>129</v>
      </c>
      <c r="P247" s="52" t="s">
        <v>116</v>
      </c>
      <c r="Q247" s="52" t="s">
        <v>108</v>
      </c>
      <c r="R247" s="52" t="s">
        <v>133</v>
      </c>
      <c r="S247" s="52" t="s">
        <v>108</v>
      </c>
      <c r="T247" s="65" t="s">
        <v>27</v>
      </c>
      <c r="U247" s="32">
        <v>1.0</v>
      </c>
      <c r="V247" s="32">
        <v>1.0</v>
      </c>
      <c r="W247" s="32">
        <v>1.0</v>
      </c>
      <c r="X247" s="32">
        <v>1.0</v>
      </c>
      <c r="Y247" s="32">
        <v>1.0</v>
      </c>
      <c r="Z247" s="32">
        <v>1.0</v>
      </c>
      <c r="AA247" s="32">
        <v>6.0</v>
      </c>
      <c r="AB247" s="32">
        <v>0.0</v>
      </c>
      <c r="AC247" s="103" t="str">
        <f>IFERROR(__xludf.DUMMYFUNCTION("if($C247="""","""",if(join("" - "",{iferror(filter('Student Groupings'!$A:$A,'Student Groupings'!$B:$B=$C247,'Student Groupings'!$H:$H=""Can't be Together""),"""");iferror(filter('Student Groupings'!$A:$A,'Student Groupings'!$E:$E=$C247,'Student Groupings"&amp;"'!$H:$H=""Can't be Together""),"""")})="" - "","""",join("" - "",{iferror(filter('Student Groupings'!$A:$A,'Student Groupings'!$B:$B=$C247,'Student Groupings'!$H:$H=""Can't be Together""),"""");iferror(filter('Student Groupings'!$A:$A,'Student Groupings'!"&amp;"$E:$E=$C247,'Student Groupings'!$H:$H=""Can't be Together""),"""")})))"),"")</f>
        <v/>
      </c>
      <c r="AD247" s="103" t="str">
        <f>IFERROR(__xludf.DUMMYFUNCTION("if($C247="""","""",if(join("" - "",{iferror(filter('Student Groupings'!$A:$A,'Student Groupings'!$B:$B=$C247,'Student Groupings'!$H:$H=""Must be Together""),"""");iferror(filter('Student Groupings'!$A:$A,'Student Groupings'!$E:$E=$C247,'Student Groupings'"&amp;"!$H:$H=""Must be Together""),"""")})="" - "","""",join("" - "",{iferror(filter('Student Groupings'!$A:$A,'Student Groupings'!$B:$B=$C247,'Student Groupings'!$H:$H=""Must be Together""),"""");iferror(filter('Student Groupings'!$A:$A,'Student Groupings'!$E:"&amp;"$E=$C247,'Student Groupings'!$H:$H=""Must be Together""),"""")})))"),"")</f>
        <v/>
      </c>
      <c r="AE247" s="104"/>
      <c r="AF247" s="104"/>
      <c r="AG247" s="104"/>
      <c r="AH247" s="104"/>
    </row>
    <row r="248">
      <c r="A248" s="101">
        <v>7.0</v>
      </c>
      <c r="B248" s="101">
        <v>30147.0</v>
      </c>
      <c r="C248" s="102" t="s">
        <v>516</v>
      </c>
      <c r="D248" s="52" t="s">
        <v>175</v>
      </c>
      <c r="E248" s="52">
        <v>4.0</v>
      </c>
      <c r="F248" s="52" t="s">
        <v>164</v>
      </c>
      <c r="G248" s="52">
        <v>3.0</v>
      </c>
      <c r="H248" s="52" t="s">
        <v>184</v>
      </c>
      <c r="I248" s="52">
        <v>1.0</v>
      </c>
      <c r="J248" s="52" t="s">
        <v>193</v>
      </c>
      <c r="K248" s="52">
        <v>5.0</v>
      </c>
      <c r="L248" s="52" t="s">
        <v>200</v>
      </c>
      <c r="M248" s="52">
        <v>2.0</v>
      </c>
      <c r="N248" s="52" t="s">
        <v>150</v>
      </c>
      <c r="O248" s="52" t="s">
        <v>109</v>
      </c>
      <c r="P248" s="52" t="s">
        <v>116</v>
      </c>
      <c r="Q248" s="52" t="s">
        <v>120</v>
      </c>
      <c r="R248" s="52" t="s">
        <v>133</v>
      </c>
      <c r="S248" s="52" t="s">
        <v>120</v>
      </c>
      <c r="T248" s="65" t="s">
        <v>27</v>
      </c>
      <c r="U248" s="32">
        <v>1.0</v>
      </c>
      <c r="V248" s="32">
        <v>1.0</v>
      </c>
      <c r="W248" s="32">
        <v>1.0</v>
      </c>
      <c r="X248" s="32">
        <v>1.0</v>
      </c>
      <c r="Y248" s="32">
        <v>1.0</v>
      </c>
      <c r="Z248" s="32">
        <v>1.0</v>
      </c>
      <c r="AA248" s="32">
        <v>6.0</v>
      </c>
      <c r="AB248" s="32">
        <v>0.0</v>
      </c>
      <c r="AC248" s="103" t="str">
        <f>IFERROR(__xludf.DUMMYFUNCTION("if($C248="""","""",if(join("" - "",{iferror(filter('Student Groupings'!$A:$A,'Student Groupings'!$B:$B=$C248,'Student Groupings'!$H:$H=""Can't be Together""),"""");iferror(filter('Student Groupings'!$A:$A,'Student Groupings'!$E:$E=$C248,'Student Groupings"&amp;"'!$H:$H=""Can't be Together""),"""")})="" - "","""",join("" - "",{iferror(filter('Student Groupings'!$A:$A,'Student Groupings'!$B:$B=$C248,'Student Groupings'!$H:$H=""Can't be Together""),"""");iferror(filter('Student Groupings'!$A:$A,'Student Groupings'!"&amp;"$E:$E=$C248,'Student Groupings'!$H:$H=""Can't be Together""),"""")})))"),"")</f>
        <v/>
      </c>
      <c r="AD248" s="103" t="str">
        <f>IFERROR(__xludf.DUMMYFUNCTION("if($C248="""","""",if(join("" - "",{iferror(filter('Student Groupings'!$A:$A,'Student Groupings'!$B:$B=$C248,'Student Groupings'!$H:$H=""Must be Together""),"""");iferror(filter('Student Groupings'!$A:$A,'Student Groupings'!$E:$E=$C248,'Student Groupings'"&amp;"!$H:$H=""Must be Together""),"""")})="" - "","""",join("" - "",{iferror(filter('Student Groupings'!$A:$A,'Student Groupings'!$B:$B=$C248,'Student Groupings'!$H:$H=""Must be Together""),"""");iferror(filter('Student Groupings'!$A:$A,'Student Groupings'!$E:"&amp;"$E=$C248,'Student Groupings'!$H:$H=""Must be Together""),"""")})))"),"")</f>
        <v/>
      </c>
      <c r="AE248" s="104"/>
      <c r="AF248" s="104"/>
      <c r="AG248" s="104"/>
      <c r="AH248" s="104"/>
    </row>
    <row r="249">
      <c r="A249" s="101">
        <v>7.0</v>
      </c>
      <c r="B249" s="101">
        <v>30098.0</v>
      </c>
      <c r="C249" s="102" t="s">
        <v>517</v>
      </c>
      <c r="D249" s="52" t="s">
        <v>175</v>
      </c>
      <c r="E249" s="52">
        <v>2.0</v>
      </c>
      <c r="F249" s="52" t="s">
        <v>163</v>
      </c>
      <c r="G249" s="52">
        <v>6.0</v>
      </c>
      <c r="H249" s="52" t="s">
        <v>184</v>
      </c>
      <c r="I249" s="52">
        <v>3.0</v>
      </c>
      <c r="J249" s="52" t="s">
        <v>195</v>
      </c>
      <c r="K249" s="52">
        <v>5.0</v>
      </c>
      <c r="L249" s="52" t="s">
        <v>200</v>
      </c>
      <c r="M249" s="52">
        <v>4.0</v>
      </c>
      <c r="N249" s="52" t="s">
        <v>154</v>
      </c>
      <c r="O249" s="52" t="s">
        <v>129</v>
      </c>
      <c r="P249" s="52" t="s">
        <v>140</v>
      </c>
      <c r="Q249" s="52" t="s">
        <v>108</v>
      </c>
      <c r="R249" s="52" t="s">
        <v>140</v>
      </c>
      <c r="S249" s="52" t="s">
        <v>108</v>
      </c>
      <c r="T249" s="65" t="s">
        <v>30</v>
      </c>
      <c r="U249" s="32">
        <v>1.0</v>
      </c>
      <c r="V249" s="32">
        <v>1.0</v>
      </c>
      <c r="W249" s="32">
        <v>1.0</v>
      </c>
      <c r="X249" s="32">
        <v>1.0</v>
      </c>
      <c r="Y249" s="32">
        <v>1.0</v>
      </c>
      <c r="Z249" s="32">
        <v>1.0</v>
      </c>
      <c r="AA249" s="32">
        <v>6.0</v>
      </c>
      <c r="AB249" s="32">
        <v>0.0</v>
      </c>
      <c r="AC249" s="103" t="str">
        <f>IFERROR(__xludf.DUMMYFUNCTION("if($C249="""","""",if(join("" - "",{iferror(filter('Student Groupings'!$A:$A,'Student Groupings'!$B:$B=$C249,'Student Groupings'!$H:$H=""Can't be Together""),"""");iferror(filter('Student Groupings'!$A:$A,'Student Groupings'!$E:$E=$C249,'Student Groupings"&amp;"'!$H:$H=""Can't be Together""),"""")})="" - "","""",join("" - "",{iferror(filter('Student Groupings'!$A:$A,'Student Groupings'!$B:$B=$C249,'Student Groupings'!$H:$H=""Can't be Together""),"""");iferror(filter('Student Groupings'!$A:$A,'Student Groupings'!"&amp;"$E:$E=$C249,'Student Groupings'!$H:$H=""Can't be Together""),"""")})))"),"")</f>
        <v/>
      </c>
      <c r="AD249" s="103" t="str">
        <f>IFERROR(__xludf.DUMMYFUNCTION("if($C249="""","""",if(join("" - "",{iferror(filter('Student Groupings'!$A:$A,'Student Groupings'!$B:$B=$C249,'Student Groupings'!$H:$H=""Must be Together""),"""");iferror(filter('Student Groupings'!$A:$A,'Student Groupings'!$E:$E=$C249,'Student Groupings'"&amp;"!$H:$H=""Must be Together""),"""")})="" - "","""",join("" - "",{iferror(filter('Student Groupings'!$A:$A,'Student Groupings'!$B:$B=$C249,'Student Groupings'!$H:$H=""Must be Together""),"""");iferror(filter('Student Groupings'!$A:$A,'Student Groupings'!$E:"&amp;"$E=$C249,'Student Groupings'!$H:$H=""Must be Together""),"""")})))"),"")</f>
        <v/>
      </c>
      <c r="AE249" s="104"/>
      <c r="AF249" s="104"/>
      <c r="AG249" s="104"/>
      <c r="AH249" s="104"/>
    </row>
    <row r="250">
      <c r="A250" s="101">
        <v>7.0</v>
      </c>
      <c r="B250" s="101">
        <v>30100.0</v>
      </c>
      <c r="C250" s="102" t="s">
        <v>518</v>
      </c>
      <c r="D250" s="52" t="s">
        <v>179</v>
      </c>
      <c r="E250" s="52">
        <v>6.0</v>
      </c>
      <c r="F250" s="52" t="s">
        <v>164</v>
      </c>
      <c r="G250" s="52">
        <v>4.0</v>
      </c>
      <c r="H250" s="52" t="s">
        <v>188</v>
      </c>
      <c r="I250" s="52">
        <v>5.0</v>
      </c>
      <c r="J250" s="52" t="s">
        <v>195</v>
      </c>
      <c r="K250" s="52">
        <v>3.0</v>
      </c>
      <c r="L250" s="52" t="s">
        <v>200</v>
      </c>
      <c r="M250" s="52">
        <v>1.0</v>
      </c>
      <c r="N250" s="52" t="s">
        <v>154</v>
      </c>
      <c r="O250" s="52" t="s">
        <v>119</v>
      </c>
      <c r="P250" s="52" t="s">
        <v>140</v>
      </c>
      <c r="Q250" s="52" t="s">
        <v>125</v>
      </c>
      <c r="R250" s="52" t="s">
        <v>140</v>
      </c>
      <c r="S250" s="52" t="s">
        <v>125</v>
      </c>
      <c r="T250" s="65" t="s">
        <v>30</v>
      </c>
      <c r="U250" s="32">
        <v>1.0</v>
      </c>
      <c r="V250" s="32">
        <v>1.0</v>
      </c>
      <c r="W250" s="32">
        <v>1.0</v>
      </c>
      <c r="X250" s="32">
        <v>1.0</v>
      </c>
      <c r="Y250" s="32">
        <v>1.0</v>
      </c>
      <c r="Z250" s="32">
        <v>1.0</v>
      </c>
      <c r="AA250" s="32">
        <v>6.0</v>
      </c>
      <c r="AB250" s="32">
        <v>0.0</v>
      </c>
      <c r="AC250" s="103" t="str">
        <f>IFERROR(__xludf.DUMMYFUNCTION("if($C250="""","""",if(join("" - "",{iferror(filter('Student Groupings'!$A:$A,'Student Groupings'!$B:$B=$C250,'Student Groupings'!$H:$H=""Can't be Together""),"""");iferror(filter('Student Groupings'!$A:$A,'Student Groupings'!$E:$E=$C250,'Student Groupings"&amp;"'!$H:$H=""Can't be Together""),"""")})="" - "","""",join("" - "",{iferror(filter('Student Groupings'!$A:$A,'Student Groupings'!$B:$B=$C250,'Student Groupings'!$H:$H=""Can't be Together""),"""");iferror(filter('Student Groupings'!$A:$A,'Student Groupings'!"&amp;"$E:$E=$C250,'Student Groupings'!$H:$H=""Can't be Together""),"""")})))"),"")</f>
        <v/>
      </c>
      <c r="AD250" s="103" t="str">
        <f>IFERROR(__xludf.DUMMYFUNCTION("if($C250="""","""",if(join("" - "",{iferror(filter('Student Groupings'!$A:$A,'Student Groupings'!$B:$B=$C250,'Student Groupings'!$H:$H=""Must be Together""),"""");iferror(filter('Student Groupings'!$A:$A,'Student Groupings'!$E:$E=$C250,'Student Groupings'"&amp;"!$H:$H=""Must be Together""),"""")})="" - "","""",join("" - "",{iferror(filter('Student Groupings'!$A:$A,'Student Groupings'!$B:$B=$C250,'Student Groupings'!$H:$H=""Must be Together""),"""");iferror(filter('Student Groupings'!$A:$A,'Student Groupings'!$E:"&amp;"$E=$C250,'Student Groupings'!$H:$H=""Must be Together""),"""")})))"),"")</f>
        <v/>
      </c>
      <c r="AE250" s="104"/>
      <c r="AF250" s="104"/>
      <c r="AG250" s="104"/>
      <c r="AH250" s="104"/>
    </row>
    <row r="251">
      <c r="A251" s="101">
        <v>7.0</v>
      </c>
      <c r="B251" s="101">
        <v>30101.0</v>
      </c>
      <c r="C251" s="102" t="s">
        <v>519</v>
      </c>
      <c r="D251" s="52" t="s">
        <v>175</v>
      </c>
      <c r="E251" s="52">
        <v>3.0</v>
      </c>
      <c r="F251" s="52" t="s">
        <v>163</v>
      </c>
      <c r="G251" s="52">
        <v>5.0</v>
      </c>
      <c r="H251" s="52" t="s">
        <v>184</v>
      </c>
      <c r="I251" s="52">
        <v>2.0</v>
      </c>
      <c r="J251" s="52" t="s">
        <v>193</v>
      </c>
      <c r="K251" s="52">
        <v>1.0</v>
      </c>
      <c r="L251" s="52" t="s">
        <v>200</v>
      </c>
      <c r="M251" s="52">
        <v>6.0</v>
      </c>
      <c r="N251" s="52" t="s">
        <v>150</v>
      </c>
      <c r="O251" s="52" t="s">
        <v>111</v>
      </c>
      <c r="P251" s="52" t="s">
        <v>140</v>
      </c>
      <c r="Q251" s="52" t="s">
        <v>130</v>
      </c>
      <c r="R251" s="52" t="s">
        <v>140</v>
      </c>
      <c r="S251" s="52" t="s">
        <v>130</v>
      </c>
      <c r="T251" s="65" t="s">
        <v>30</v>
      </c>
      <c r="U251" s="32">
        <v>1.0</v>
      </c>
      <c r="V251" s="32">
        <v>1.0</v>
      </c>
      <c r="W251" s="32">
        <v>1.0</v>
      </c>
      <c r="X251" s="32">
        <v>1.0</v>
      </c>
      <c r="Y251" s="32">
        <v>1.0</v>
      </c>
      <c r="Z251" s="32">
        <v>1.0</v>
      </c>
      <c r="AA251" s="32">
        <v>6.0</v>
      </c>
      <c r="AB251" s="32">
        <v>0.0</v>
      </c>
      <c r="AC251" s="103" t="str">
        <f>IFERROR(__xludf.DUMMYFUNCTION("if($C251="""","""",if(join("" - "",{iferror(filter('Student Groupings'!$A:$A,'Student Groupings'!$B:$B=$C251,'Student Groupings'!$H:$H=""Can't be Together""),"""");iferror(filter('Student Groupings'!$A:$A,'Student Groupings'!$E:$E=$C251,'Student Groupings"&amp;"'!$H:$H=""Can't be Together""),"""")})="" - "","""",join("" - "",{iferror(filter('Student Groupings'!$A:$A,'Student Groupings'!$B:$B=$C251,'Student Groupings'!$H:$H=""Can't be Together""),"""");iferror(filter('Student Groupings'!$A:$A,'Student Groupings'!"&amp;"$E:$E=$C251,'Student Groupings'!$H:$H=""Can't be Together""),"""")})))"),"")</f>
        <v/>
      </c>
      <c r="AD251" s="103" t="str">
        <f>IFERROR(__xludf.DUMMYFUNCTION("if($C251="""","""",if(join("" - "",{iferror(filter('Student Groupings'!$A:$A,'Student Groupings'!$B:$B=$C251,'Student Groupings'!$H:$H=""Must be Together""),"""");iferror(filter('Student Groupings'!$A:$A,'Student Groupings'!$E:$E=$C251,'Student Groupings'"&amp;"!$H:$H=""Must be Together""),"""")})="" - "","""",join("" - "",{iferror(filter('Student Groupings'!$A:$A,'Student Groupings'!$B:$B=$C251,'Student Groupings'!$H:$H=""Must be Together""),"""");iferror(filter('Student Groupings'!$A:$A,'Student Groupings'!$E:"&amp;"$E=$C251,'Student Groupings'!$H:$H=""Must be Together""),"""")})))"),"")</f>
        <v/>
      </c>
      <c r="AE251" s="104"/>
      <c r="AF251" s="104"/>
      <c r="AG251" s="104"/>
      <c r="AH251" s="104"/>
    </row>
    <row r="252">
      <c r="A252" s="101">
        <v>7.0</v>
      </c>
      <c r="B252" s="101">
        <v>29102.0</v>
      </c>
      <c r="C252" s="102" t="s">
        <v>520</v>
      </c>
      <c r="D252" s="52" t="s">
        <v>175</v>
      </c>
      <c r="E252" s="52">
        <v>2.0</v>
      </c>
      <c r="F252" s="52" t="s">
        <v>163</v>
      </c>
      <c r="G252" s="52">
        <v>6.0</v>
      </c>
      <c r="H252" s="52" t="s">
        <v>184</v>
      </c>
      <c r="I252" s="52">
        <v>3.0</v>
      </c>
      <c r="J252" s="52" t="s">
        <v>195</v>
      </c>
      <c r="K252" s="52">
        <v>5.0</v>
      </c>
      <c r="L252" s="52" t="s">
        <v>200</v>
      </c>
      <c r="M252" s="52">
        <v>4.0</v>
      </c>
      <c r="N252" s="52" t="s">
        <v>154</v>
      </c>
      <c r="O252" s="52" t="s">
        <v>129</v>
      </c>
      <c r="P252" s="52" t="s">
        <v>140</v>
      </c>
      <c r="Q252" s="52" t="s">
        <v>108</v>
      </c>
      <c r="R252" s="52" t="s">
        <v>140</v>
      </c>
      <c r="S252" s="52" t="s">
        <v>108</v>
      </c>
      <c r="T252" s="65" t="s">
        <v>30</v>
      </c>
      <c r="U252" s="32">
        <v>1.0</v>
      </c>
      <c r="V252" s="32">
        <v>1.0</v>
      </c>
      <c r="W252" s="32">
        <v>1.0</v>
      </c>
      <c r="X252" s="32">
        <v>1.0</v>
      </c>
      <c r="Y252" s="32">
        <v>1.0</v>
      </c>
      <c r="Z252" s="32">
        <v>1.0</v>
      </c>
      <c r="AA252" s="32">
        <v>6.0</v>
      </c>
      <c r="AB252" s="32">
        <v>0.0</v>
      </c>
      <c r="AC252" s="103" t="str">
        <f>IFERROR(__xludf.DUMMYFUNCTION("if($C252="""","""",if(join("" - "",{iferror(filter('Student Groupings'!$A:$A,'Student Groupings'!$B:$B=$C252,'Student Groupings'!$H:$H=""Can't be Together""),"""");iferror(filter('Student Groupings'!$A:$A,'Student Groupings'!$E:$E=$C252,'Student Groupings"&amp;"'!$H:$H=""Can't be Together""),"""")})="" - "","""",join("" - "",{iferror(filter('Student Groupings'!$A:$A,'Student Groupings'!$B:$B=$C252,'Student Groupings'!$H:$H=""Can't be Together""),"""");iferror(filter('Student Groupings'!$A:$A,'Student Groupings'!"&amp;"$E:$E=$C252,'Student Groupings'!$H:$H=""Can't be Together""),"""")})))"),"")</f>
        <v/>
      </c>
      <c r="AD252" s="103" t="str">
        <f>IFERROR(__xludf.DUMMYFUNCTION("if($C252="""","""",if(join("" - "",{iferror(filter('Student Groupings'!$A:$A,'Student Groupings'!$B:$B=$C252,'Student Groupings'!$H:$H=""Must be Together""),"""");iferror(filter('Student Groupings'!$A:$A,'Student Groupings'!$E:$E=$C252,'Student Groupings'"&amp;"!$H:$H=""Must be Together""),"""")})="" - "","""",join("" - "",{iferror(filter('Student Groupings'!$A:$A,'Student Groupings'!$B:$B=$C252,'Student Groupings'!$H:$H=""Must be Together""),"""");iferror(filter('Student Groupings'!$A:$A,'Student Groupings'!$E:"&amp;"$E=$C252,'Student Groupings'!$H:$H=""Must be Together""),"""")})))"),"")</f>
        <v/>
      </c>
      <c r="AE252" s="104"/>
      <c r="AF252" s="104"/>
      <c r="AG252" s="104"/>
      <c r="AH252" s="104"/>
    </row>
    <row r="253">
      <c r="A253" s="101">
        <v>7.0</v>
      </c>
      <c r="B253" s="101">
        <v>30102.0</v>
      </c>
      <c r="C253" s="102" t="s">
        <v>521</v>
      </c>
      <c r="D253" s="52" t="s">
        <v>175</v>
      </c>
      <c r="E253" s="52">
        <v>6.0</v>
      </c>
      <c r="F253" s="52" t="s">
        <v>163</v>
      </c>
      <c r="G253" s="52">
        <v>5.0</v>
      </c>
      <c r="H253" s="52" t="s">
        <v>184</v>
      </c>
      <c r="I253" s="52">
        <v>2.0</v>
      </c>
      <c r="J253" s="52" t="s">
        <v>195</v>
      </c>
      <c r="K253" s="52">
        <v>1.0</v>
      </c>
      <c r="L253" s="52" t="s">
        <v>200</v>
      </c>
      <c r="M253" s="52">
        <v>3.0</v>
      </c>
      <c r="N253" s="52" t="s">
        <v>150</v>
      </c>
      <c r="O253" s="52" t="s">
        <v>111</v>
      </c>
      <c r="P253" s="52" t="s">
        <v>140</v>
      </c>
      <c r="Q253" s="52" t="s">
        <v>130</v>
      </c>
      <c r="R253" s="52" t="s">
        <v>140</v>
      </c>
      <c r="S253" s="52" t="s">
        <v>130</v>
      </c>
      <c r="T253" s="65" t="s">
        <v>30</v>
      </c>
      <c r="U253" s="32">
        <v>1.0</v>
      </c>
      <c r="V253" s="32">
        <v>1.0</v>
      </c>
      <c r="W253" s="32">
        <v>1.0</v>
      </c>
      <c r="X253" s="32">
        <v>1.0</v>
      </c>
      <c r="Y253" s="32">
        <v>1.0</v>
      </c>
      <c r="Z253" s="32">
        <v>1.0</v>
      </c>
      <c r="AA253" s="32">
        <v>6.0</v>
      </c>
      <c r="AB253" s="32">
        <v>0.0</v>
      </c>
      <c r="AC253" s="103" t="str">
        <f>IFERROR(__xludf.DUMMYFUNCTION("if($C253="""","""",if(join("" - "",{iferror(filter('Student Groupings'!$A:$A,'Student Groupings'!$B:$B=$C253,'Student Groupings'!$H:$H=""Can't be Together""),"""");iferror(filter('Student Groupings'!$A:$A,'Student Groupings'!$E:$E=$C253,'Student Groupings"&amp;"'!$H:$H=""Can't be Together""),"""")})="" - "","""",join("" - "",{iferror(filter('Student Groupings'!$A:$A,'Student Groupings'!$B:$B=$C253,'Student Groupings'!$H:$H=""Can't be Together""),"""");iferror(filter('Student Groupings'!$A:$A,'Student Groupings'!"&amp;"$E:$E=$C253,'Student Groupings'!$H:$H=""Can't be Together""),"""")})))"),"")</f>
        <v/>
      </c>
      <c r="AD253" s="103" t="str">
        <f>IFERROR(__xludf.DUMMYFUNCTION("if($C253="""","""",if(join("" - "",{iferror(filter('Student Groupings'!$A:$A,'Student Groupings'!$B:$B=$C253,'Student Groupings'!$H:$H=""Must be Together""),"""");iferror(filter('Student Groupings'!$A:$A,'Student Groupings'!$E:$E=$C253,'Student Groupings'"&amp;"!$H:$H=""Must be Together""),"""")})="" - "","""",join("" - "",{iferror(filter('Student Groupings'!$A:$A,'Student Groupings'!$B:$B=$C253,'Student Groupings'!$H:$H=""Must be Together""),"""");iferror(filter('Student Groupings'!$A:$A,'Student Groupings'!$E:"&amp;"$E=$C253,'Student Groupings'!$H:$H=""Must be Together""),"""")})))"),"")</f>
        <v/>
      </c>
      <c r="AE253" s="104"/>
      <c r="AF253" s="104"/>
      <c r="AG253" s="104"/>
      <c r="AH253" s="104"/>
    </row>
    <row r="254">
      <c r="A254" s="101">
        <v>7.0</v>
      </c>
      <c r="B254" s="101">
        <v>30103.0</v>
      </c>
      <c r="C254" s="102" t="s">
        <v>522</v>
      </c>
      <c r="D254" s="52" t="s">
        <v>179</v>
      </c>
      <c r="E254" s="52">
        <v>6.0</v>
      </c>
      <c r="F254" s="52" t="s">
        <v>164</v>
      </c>
      <c r="G254" s="52">
        <v>4.0</v>
      </c>
      <c r="H254" s="52" t="s">
        <v>188</v>
      </c>
      <c r="I254" s="52">
        <v>5.0</v>
      </c>
      <c r="J254" s="52" t="s">
        <v>195</v>
      </c>
      <c r="K254" s="52">
        <v>3.0</v>
      </c>
      <c r="L254" s="52" t="s">
        <v>200</v>
      </c>
      <c r="M254" s="52">
        <v>1.0</v>
      </c>
      <c r="N254" s="52" t="s">
        <v>154</v>
      </c>
      <c r="O254" s="52" t="s">
        <v>119</v>
      </c>
      <c r="P254" s="52" t="s">
        <v>140</v>
      </c>
      <c r="Q254" s="52" t="s">
        <v>125</v>
      </c>
      <c r="R254" s="52" t="s">
        <v>140</v>
      </c>
      <c r="S254" s="52" t="s">
        <v>125</v>
      </c>
      <c r="T254" s="65" t="s">
        <v>30</v>
      </c>
      <c r="U254" s="32">
        <v>1.0</v>
      </c>
      <c r="V254" s="32">
        <v>1.0</v>
      </c>
      <c r="W254" s="32">
        <v>1.0</v>
      </c>
      <c r="X254" s="32">
        <v>1.0</v>
      </c>
      <c r="Y254" s="32">
        <v>1.0</v>
      </c>
      <c r="Z254" s="32">
        <v>1.0</v>
      </c>
      <c r="AA254" s="32">
        <v>6.0</v>
      </c>
      <c r="AB254" s="32">
        <v>0.0</v>
      </c>
      <c r="AC254" s="103" t="str">
        <f>IFERROR(__xludf.DUMMYFUNCTION("if($C254="""","""",if(join("" - "",{iferror(filter('Student Groupings'!$A:$A,'Student Groupings'!$B:$B=$C254,'Student Groupings'!$H:$H=""Can't be Together""),"""");iferror(filter('Student Groupings'!$A:$A,'Student Groupings'!$E:$E=$C254,'Student Groupings"&amp;"'!$H:$H=""Can't be Together""),"""")})="" - "","""",join("" - "",{iferror(filter('Student Groupings'!$A:$A,'Student Groupings'!$B:$B=$C254,'Student Groupings'!$H:$H=""Can't be Together""),"""");iferror(filter('Student Groupings'!$A:$A,'Student Groupings'!"&amp;"$E:$E=$C254,'Student Groupings'!$H:$H=""Can't be Together""),"""")})))"),"")</f>
        <v/>
      </c>
      <c r="AD254" s="103" t="str">
        <f>IFERROR(__xludf.DUMMYFUNCTION("if($C254="""","""",if(join("" - "",{iferror(filter('Student Groupings'!$A:$A,'Student Groupings'!$B:$B=$C254,'Student Groupings'!$H:$H=""Must be Together""),"""");iferror(filter('Student Groupings'!$A:$A,'Student Groupings'!$E:$E=$C254,'Student Groupings'"&amp;"!$H:$H=""Must be Together""),"""")})="" - "","""",join("" - "",{iferror(filter('Student Groupings'!$A:$A,'Student Groupings'!$B:$B=$C254,'Student Groupings'!$H:$H=""Must be Together""),"""");iferror(filter('Student Groupings'!$A:$A,'Student Groupings'!$E:"&amp;"$E=$C254,'Student Groupings'!$H:$H=""Must be Together""),"""")})))"),"")</f>
        <v/>
      </c>
      <c r="AE254" s="104"/>
      <c r="AF254" s="104"/>
      <c r="AG254" s="104"/>
      <c r="AH254" s="104"/>
    </row>
    <row r="255">
      <c r="A255" s="101">
        <v>7.0</v>
      </c>
      <c r="B255" s="101">
        <v>30104.0</v>
      </c>
      <c r="C255" s="102" t="s">
        <v>523</v>
      </c>
      <c r="D255" s="52" t="s">
        <v>175</v>
      </c>
      <c r="E255" s="52">
        <v>3.0</v>
      </c>
      <c r="F255" s="52" t="s">
        <v>163</v>
      </c>
      <c r="G255" s="52">
        <v>5.0</v>
      </c>
      <c r="H255" s="52" t="s">
        <v>184</v>
      </c>
      <c r="I255" s="52">
        <v>2.0</v>
      </c>
      <c r="J255" s="52" t="s">
        <v>193</v>
      </c>
      <c r="K255" s="52">
        <v>1.0</v>
      </c>
      <c r="L255" s="52" t="s">
        <v>200</v>
      </c>
      <c r="M255" s="52">
        <v>6.0</v>
      </c>
      <c r="N255" s="52" t="s">
        <v>150</v>
      </c>
      <c r="O255" s="52" t="s">
        <v>111</v>
      </c>
      <c r="P255" s="52" t="s">
        <v>140</v>
      </c>
      <c r="Q255" s="52" t="s">
        <v>130</v>
      </c>
      <c r="R255" s="52" t="s">
        <v>140</v>
      </c>
      <c r="S255" s="52" t="s">
        <v>130</v>
      </c>
      <c r="T255" s="65" t="s">
        <v>30</v>
      </c>
      <c r="U255" s="32">
        <v>1.0</v>
      </c>
      <c r="V255" s="32">
        <v>1.0</v>
      </c>
      <c r="W255" s="32">
        <v>1.0</v>
      </c>
      <c r="X255" s="32">
        <v>1.0</v>
      </c>
      <c r="Y255" s="32">
        <v>1.0</v>
      </c>
      <c r="Z255" s="32">
        <v>1.0</v>
      </c>
      <c r="AA255" s="32">
        <v>6.0</v>
      </c>
      <c r="AB255" s="32">
        <v>0.0</v>
      </c>
      <c r="AC255" s="103" t="str">
        <f>IFERROR(__xludf.DUMMYFUNCTION("if($C255="""","""",if(join("" - "",{iferror(filter('Student Groupings'!$A:$A,'Student Groupings'!$B:$B=$C255,'Student Groupings'!$H:$H=""Can't be Together""),"""");iferror(filter('Student Groupings'!$A:$A,'Student Groupings'!$E:$E=$C255,'Student Groupings"&amp;"'!$H:$H=""Can't be Together""),"""")})="" - "","""",join("" - "",{iferror(filter('Student Groupings'!$A:$A,'Student Groupings'!$B:$B=$C255,'Student Groupings'!$H:$H=""Can't be Together""),"""");iferror(filter('Student Groupings'!$A:$A,'Student Groupings'!"&amp;"$E:$E=$C255,'Student Groupings'!$H:$H=""Can't be Together""),"""")})))"),"")</f>
        <v/>
      </c>
      <c r="AD255" s="103" t="str">
        <f>IFERROR(__xludf.DUMMYFUNCTION("if($C255="""","""",if(join("" - "",{iferror(filter('Student Groupings'!$A:$A,'Student Groupings'!$B:$B=$C255,'Student Groupings'!$H:$H=""Must be Together""),"""");iferror(filter('Student Groupings'!$A:$A,'Student Groupings'!$E:$E=$C255,'Student Groupings'"&amp;"!$H:$H=""Must be Together""),"""")})="" - "","""",join("" - "",{iferror(filter('Student Groupings'!$A:$A,'Student Groupings'!$B:$B=$C255,'Student Groupings'!$H:$H=""Must be Together""),"""");iferror(filter('Student Groupings'!$A:$A,'Student Groupings'!$E:"&amp;"$E=$C255,'Student Groupings'!$H:$H=""Must be Together""),"""")})))"),"")</f>
        <v/>
      </c>
      <c r="AE255" s="104"/>
      <c r="AF255" s="104"/>
      <c r="AG255" s="104"/>
      <c r="AH255" s="104"/>
    </row>
    <row r="256">
      <c r="A256" s="101">
        <v>7.0</v>
      </c>
      <c r="B256" s="101">
        <v>30105.0</v>
      </c>
      <c r="C256" s="102" t="s">
        <v>524</v>
      </c>
      <c r="D256" s="52" t="s">
        <v>175</v>
      </c>
      <c r="E256" s="52">
        <v>6.0</v>
      </c>
      <c r="F256" s="52" t="s">
        <v>163</v>
      </c>
      <c r="G256" s="52">
        <v>5.0</v>
      </c>
      <c r="H256" s="52" t="s">
        <v>184</v>
      </c>
      <c r="I256" s="52">
        <v>2.0</v>
      </c>
      <c r="J256" s="52" t="s">
        <v>195</v>
      </c>
      <c r="K256" s="52">
        <v>1.0</v>
      </c>
      <c r="L256" s="52" t="s">
        <v>200</v>
      </c>
      <c r="M256" s="52">
        <v>3.0</v>
      </c>
      <c r="N256" s="52" t="s">
        <v>150</v>
      </c>
      <c r="O256" s="52" t="s">
        <v>111</v>
      </c>
      <c r="P256" s="52" t="s">
        <v>140</v>
      </c>
      <c r="Q256" s="52" t="s">
        <v>130</v>
      </c>
      <c r="R256" s="52" t="s">
        <v>140</v>
      </c>
      <c r="S256" s="52" t="s">
        <v>130</v>
      </c>
      <c r="T256" s="65" t="s">
        <v>30</v>
      </c>
      <c r="U256" s="32">
        <v>1.0</v>
      </c>
      <c r="V256" s="32">
        <v>1.0</v>
      </c>
      <c r="W256" s="32">
        <v>1.0</v>
      </c>
      <c r="X256" s="32">
        <v>1.0</v>
      </c>
      <c r="Y256" s="32">
        <v>1.0</v>
      </c>
      <c r="Z256" s="32">
        <v>1.0</v>
      </c>
      <c r="AA256" s="32">
        <v>6.0</v>
      </c>
      <c r="AB256" s="32">
        <v>0.0</v>
      </c>
      <c r="AC256" s="103" t="str">
        <f>IFERROR(__xludf.DUMMYFUNCTION("if($C256="""","""",if(join("" - "",{iferror(filter('Student Groupings'!$A:$A,'Student Groupings'!$B:$B=$C256,'Student Groupings'!$H:$H=""Can't be Together""),"""");iferror(filter('Student Groupings'!$A:$A,'Student Groupings'!$E:$E=$C256,'Student Groupings"&amp;"'!$H:$H=""Can't be Together""),"""")})="" - "","""",join("" - "",{iferror(filter('Student Groupings'!$A:$A,'Student Groupings'!$B:$B=$C256,'Student Groupings'!$H:$H=""Can't be Together""),"""");iferror(filter('Student Groupings'!$A:$A,'Student Groupings'!"&amp;"$E:$E=$C256,'Student Groupings'!$H:$H=""Can't be Together""),"""")})))"),"")</f>
        <v/>
      </c>
      <c r="AD256" s="103" t="str">
        <f>IFERROR(__xludf.DUMMYFUNCTION("if($C256="""","""",if(join("" - "",{iferror(filter('Student Groupings'!$A:$A,'Student Groupings'!$B:$B=$C256,'Student Groupings'!$H:$H=""Must be Together""),"""");iferror(filter('Student Groupings'!$A:$A,'Student Groupings'!$E:$E=$C256,'Student Groupings'"&amp;"!$H:$H=""Must be Together""),"""")})="" - "","""",join("" - "",{iferror(filter('Student Groupings'!$A:$A,'Student Groupings'!$B:$B=$C256,'Student Groupings'!$H:$H=""Must be Together""),"""");iferror(filter('Student Groupings'!$A:$A,'Student Groupings'!$E:"&amp;"$E=$C256,'Student Groupings'!$H:$H=""Must be Together""),"""")})))"),"")</f>
        <v/>
      </c>
      <c r="AE256" s="104"/>
      <c r="AF256" s="104"/>
      <c r="AG256" s="104"/>
      <c r="AH256" s="104"/>
    </row>
    <row r="257">
      <c r="A257" s="101">
        <v>7.0</v>
      </c>
      <c r="B257" s="101">
        <v>30106.0</v>
      </c>
      <c r="C257" s="102" t="s">
        <v>525</v>
      </c>
      <c r="D257" s="52" t="s">
        <v>175</v>
      </c>
      <c r="E257" s="52">
        <v>2.0</v>
      </c>
      <c r="F257" s="52" t="s">
        <v>163</v>
      </c>
      <c r="G257" s="52">
        <v>6.0</v>
      </c>
      <c r="H257" s="52" t="s">
        <v>184</v>
      </c>
      <c r="I257" s="52">
        <v>3.0</v>
      </c>
      <c r="J257" s="52" t="s">
        <v>195</v>
      </c>
      <c r="K257" s="52">
        <v>5.0</v>
      </c>
      <c r="L257" s="52" t="s">
        <v>200</v>
      </c>
      <c r="M257" s="52">
        <v>4.0</v>
      </c>
      <c r="N257" s="52" t="s">
        <v>154</v>
      </c>
      <c r="O257" s="52" t="s">
        <v>129</v>
      </c>
      <c r="P257" s="52" t="s">
        <v>140</v>
      </c>
      <c r="Q257" s="52" t="s">
        <v>108</v>
      </c>
      <c r="R257" s="52" t="s">
        <v>140</v>
      </c>
      <c r="S257" s="52" t="s">
        <v>108</v>
      </c>
      <c r="T257" s="65" t="s">
        <v>30</v>
      </c>
      <c r="U257" s="32">
        <v>1.0</v>
      </c>
      <c r="V257" s="32">
        <v>1.0</v>
      </c>
      <c r="W257" s="32">
        <v>1.0</v>
      </c>
      <c r="X257" s="32">
        <v>1.0</v>
      </c>
      <c r="Y257" s="32">
        <v>1.0</v>
      </c>
      <c r="Z257" s="32">
        <v>1.0</v>
      </c>
      <c r="AA257" s="32">
        <v>6.0</v>
      </c>
      <c r="AB257" s="32">
        <v>0.0</v>
      </c>
      <c r="AC257" s="103" t="str">
        <f>IFERROR(__xludf.DUMMYFUNCTION("if($C257="""","""",if(join("" - "",{iferror(filter('Student Groupings'!$A:$A,'Student Groupings'!$B:$B=$C257,'Student Groupings'!$H:$H=""Can't be Together""),"""");iferror(filter('Student Groupings'!$A:$A,'Student Groupings'!$E:$E=$C257,'Student Groupings"&amp;"'!$H:$H=""Can't be Together""),"""")})="" - "","""",join("" - "",{iferror(filter('Student Groupings'!$A:$A,'Student Groupings'!$B:$B=$C257,'Student Groupings'!$H:$H=""Can't be Together""),"""");iferror(filter('Student Groupings'!$A:$A,'Student Groupings'!"&amp;"$E:$E=$C257,'Student Groupings'!$H:$H=""Can't be Together""),"""")})))"),"")</f>
        <v/>
      </c>
      <c r="AD257" s="103" t="str">
        <f>IFERROR(__xludf.DUMMYFUNCTION("if($C257="""","""",if(join("" - "",{iferror(filter('Student Groupings'!$A:$A,'Student Groupings'!$B:$B=$C257,'Student Groupings'!$H:$H=""Must be Together""),"""");iferror(filter('Student Groupings'!$A:$A,'Student Groupings'!$E:$E=$C257,'Student Groupings'"&amp;"!$H:$H=""Must be Together""),"""")})="" - "","""",join("" - "",{iferror(filter('Student Groupings'!$A:$A,'Student Groupings'!$B:$B=$C257,'Student Groupings'!$H:$H=""Must be Together""),"""");iferror(filter('Student Groupings'!$A:$A,'Student Groupings'!$E:"&amp;"$E=$C257,'Student Groupings'!$H:$H=""Must be Together""),"""")})))"),"")</f>
        <v/>
      </c>
      <c r="AE257" s="104"/>
      <c r="AF257" s="104"/>
      <c r="AG257" s="104"/>
      <c r="AH257" s="104"/>
    </row>
    <row r="258">
      <c r="A258" s="101">
        <v>7.0</v>
      </c>
      <c r="B258" s="101">
        <v>30107.0</v>
      </c>
      <c r="C258" s="102" t="s">
        <v>526</v>
      </c>
      <c r="D258" s="52" t="s">
        <v>175</v>
      </c>
      <c r="E258" s="52">
        <v>5.0</v>
      </c>
      <c r="F258" s="52" t="s">
        <v>163</v>
      </c>
      <c r="G258" s="52">
        <v>3.0</v>
      </c>
      <c r="H258" s="52" t="s">
        <v>184</v>
      </c>
      <c r="I258" s="52">
        <v>6.0</v>
      </c>
      <c r="J258" s="52" t="s">
        <v>195</v>
      </c>
      <c r="K258" s="52">
        <v>2.0</v>
      </c>
      <c r="L258" s="52" t="s">
        <v>203</v>
      </c>
      <c r="M258" s="52">
        <v>4.0</v>
      </c>
      <c r="N258" s="52" t="s">
        <v>150</v>
      </c>
      <c r="O258" s="52" t="s">
        <v>129</v>
      </c>
      <c r="P258" s="52" t="s">
        <v>133</v>
      </c>
      <c r="Q258" s="52" t="s">
        <v>108</v>
      </c>
      <c r="R258" s="52" t="s">
        <v>116</v>
      </c>
      <c r="S258" s="52" t="s">
        <v>108</v>
      </c>
      <c r="T258" s="65" t="s">
        <v>27</v>
      </c>
      <c r="U258" s="32">
        <v>1.0</v>
      </c>
      <c r="V258" s="32">
        <v>1.0</v>
      </c>
      <c r="W258" s="32">
        <v>1.0</v>
      </c>
      <c r="X258" s="32">
        <v>1.0</v>
      </c>
      <c r="Y258" s="32">
        <v>1.0</v>
      </c>
      <c r="Z258" s="32">
        <v>1.0</v>
      </c>
      <c r="AA258" s="32">
        <v>6.0</v>
      </c>
      <c r="AB258" s="32">
        <v>0.0</v>
      </c>
      <c r="AC258" s="103" t="str">
        <f>IFERROR(__xludf.DUMMYFUNCTION("if($C258="""","""",if(join("" - "",{iferror(filter('Student Groupings'!$A:$A,'Student Groupings'!$B:$B=$C258,'Student Groupings'!$H:$H=""Can't be Together""),"""");iferror(filter('Student Groupings'!$A:$A,'Student Groupings'!$E:$E=$C258,'Student Groupings"&amp;"'!$H:$H=""Can't be Together""),"""")})="" - "","""",join("" - "",{iferror(filter('Student Groupings'!$A:$A,'Student Groupings'!$B:$B=$C258,'Student Groupings'!$H:$H=""Can't be Together""),"""");iferror(filter('Student Groupings'!$A:$A,'Student Groupings'!"&amp;"$E:$E=$C258,'Student Groupings'!$H:$H=""Can't be Together""),"""")})))"),"")</f>
        <v/>
      </c>
      <c r="AD258" s="103" t="str">
        <f>IFERROR(__xludf.DUMMYFUNCTION("if($C258="""","""",if(join("" - "",{iferror(filter('Student Groupings'!$A:$A,'Student Groupings'!$B:$B=$C258,'Student Groupings'!$H:$H=""Must be Together""),"""");iferror(filter('Student Groupings'!$A:$A,'Student Groupings'!$E:$E=$C258,'Student Groupings'"&amp;"!$H:$H=""Must be Together""),"""")})="" - "","""",join("" - "",{iferror(filter('Student Groupings'!$A:$A,'Student Groupings'!$B:$B=$C258,'Student Groupings'!$H:$H=""Must be Together""),"""");iferror(filter('Student Groupings'!$A:$A,'Student Groupings'!$E:"&amp;"$E=$C258,'Student Groupings'!$H:$H=""Must be Together""),"""")})))"),"")</f>
        <v/>
      </c>
      <c r="AE258" s="104"/>
      <c r="AF258" s="104"/>
      <c r="AG258" s="104"/>
      <c r="AH258" s="104"/>
    </row>
    <row r="259">
      <c r="A259" s="101">
        <v>7.0</v>
      </c>
      <c r="B259" s="101">
        <v>30109.0</v>
      </c>
      <c r="C259" s="102" t="s">
        <v>527</v>
      </c>
      <c r="D259" s="52" t="s">
        <v>175</v>
      </c>
      <c r="E259" s="52">
        <v>4.0</v>
      </c>
      <c r="F259" s="52" t="s">
        <v>164</v>
      </c>
      <c r="G259" s="52">
        <v>3.0</v>
      </c>
      <c r="H259" s="52" t="s">
        <v>184</v>
      </c>
      <c r="I259" s="52">
        <v>1.0</v>
      </c>
      <c r="J259" s="52" t="s">
        <v>193</v>
      </c>
      <c r="K259" s="52">
        <v>5.0</v>
      </c>
      <c r="L259" s="52" t="s">
        <v>200</v>
      </c>
      <c r="M259" s="52">
        <v>2.0</v>
      </c>
      <c r="N259" s="52" t="s">
        <v>150</v>
      </c>
      <c r="O259" s="52" t="s">
        <v>109</v>
      </c>
      <c r="P259" s="52" t="s">
        <v>116</v>
      </c>
      <c r="Q259" s="52" t="s">
        <v>120</v>
      </c>
      <c r="R259" s="52" t="s">
        <v>133</v>
      </c>
      <c r="S259" s="52" t="s">
        <v>120</v>
      </c>
      <c r="T259" s="65" t="s">
        <v>27</v>
      </c>
      <c r="U259" s="32">
        <v>1.0</v>
      </c>
      <c r="V259" s="32">
        <v>1.0</v>
      </c>
      <c r="W259" s="32">
        <v>1.0</v>
      </c>
      <c r="X259" s="32">
        <v>1.0</v>
      </c>
      <c r="Y259" s="32">
        <v>1.0</v>
      </c>
      <c r="Z259" s="32">
        <v>1.0</v>
      </c>
      <c r="AA259" s="32">
        <v>6.0</v>
      </c>
      <c r="AB259" s="32">
        <v>0.0</v>
      </c>
      <c r="AC259" s="103" t="str">
        <f>IFERROR(__xludf.DUMMYFUNCTION("if($C259="""","""",if(join("" - "",{iferror(filter('Student Groupings'!$A:$A,'Student Groupings'!$B:$B=$C259,'Student Groupings'!$H:$H=""Can't be Together""),"""");iferror(filter('Student Groupings'!$A:$A,'Student Groupings'!$E:$E=$C259,'Student Groupings"&amp;"'!$H:$H=""Can't be Together""),"""")})="" - "","""",join("" - "",{iferror(filter('Student Groupings'!$A:$A,'Student Groupings'!$B:$B=$C259,'Student Groupings'!$H:$H=""Can't be Together""),"""");iferror(filter('Student Groupings'!$A:$A,'Student Groupings'!"&amp;"$E:$E=$C259,'Student Groupings'!$H:$H=""Can't be Together""),"""")})))"),"")</f>
        <v/>
      </c>
      <c r="AD259" s="103" t="str">
        <f>IFERROR(__xludf.DUMMYFUNCTION("if($C259="""","""",if(join("" - "",{iferror(filter('Student Groupings'!$A:$A,'Student Groupings'!$B:$B=$C259,'Student Groupings'!$H:$H=""Must be Together""),"""");iferror(filter('Student Groupings'!$A:$A,'Student Groupings'!$E:$E=$C259,'Student Groupings'"&amp;"!$H:$H=""Must be Together""),"""")})="" - "","""",join("" - "",{iferror(filter('Student Groupings'!$A:$A,'Student Groupings'!$B:$B=$C259,'Student Groupings'!$H:$H=""Must be Together""),"""");iferror(filter('Student Groupings'!$A:$A,'Student Groupings'!$E:"&amp;"$E=$C259,'Student Groupings'!$H:$H=""Must be Together""),"""")})))"),"")</f>
        <v/>
      </c>
      <c r="AE259" s="104"/>
      <c r="AF259" s="104"/>
      <c r="AG259" s="104"/>
      <c r="AH259" s="104"/>
    </row>
    <row r="260">
      <c r="A260" s="101">
        <v>7.0</v>
      </c>
      <c r="B260" s="101">
        <v>30111.0</v>
      </c>
      <c r="C260" s="102" t="s">
        <v>528</v>
      </c>
      <c r="D260" s="52" t="s">
        <v>179</v>
      </c>
      <c r="E260" s="52">
        <v>6.0</v>
      </c>
      <c r="F260" s="52" t="s">
        <v>163</v>
      </c>
      <c r="G260" s="52">
        <v>5.0</v>
      </c>
      <c r="H260" s="52" t="s">
        <v>184</v>
      </c>
      <c r="I260" s="52">
        <v>2.0</v>
      </c>
      <c r="J260" s="52" t="s">
        <v>195</v>
      </c>
      <c r="K260" s="52">
        <v>3.0</v>
      </c>
      <c r="L260" s="52" t="s">
        <v>200</v>
      </c>
      <c r="M260" s="52">
        <v>1.0</v>
      </c>
      <c r="N260" s="52" t="s">
        <v>150</v>
      </c>
      <c r="O260" s="52" t="s">
        <v>111</v>
      </c>
      <c r="P260" s="52" t="s">
        <v>140</v>
      </c>
      <c r="Q260" s="52" t="s">
        <v>130</v>
      </c>
      <c r="R260" s="52" t="s">
        <v>140</v>
      </c>
      <c r="S260" s="52" t="s">
        <v>130</v>
      </c>
      <c r="T260" s="65" t="s">
        <v>30</v>
      </c>
      <c r="U260" s="32">
        <v>1.0</v>
      </c>
      <c r="V260" s="32">
        <v>1.0</v>
      </c>
      <c r="W260" s="32">
        <v>1.0</v>
      </c>
      <c r="X260" s="32">
        <v>1.0</v>
      </c>
      <c r="Y260" s="32">
        <v>1.0</v>
      </c>
      <c r="Z260" s="32">
        <v>1.0</v>
      </c>
      <c r="AA260" s="32">
        <v>6.0</v>
      </c>
      <c r="AB260" s="32">
        <v>0.0</v>
      </c>
      <c r="AC260" s="103" t="str">
        <f>IFERROR(__xludf.DUMMYFUNCTION("if($C260="""","""",if(join("" - "",{iferror(filter('Student Groupings'!$A:$A,'Student Groupings'!$B:$B=$C260,'Student Groupings'!$H:$H=""Can't be Together""),"""");iferror(filter('Student Groupings'!$A:$A,'Student Groupings'!$E:$E=$C260,'Student Groupings"&amp;"'!$H:$H=""Can't be Together""),"""")})="" - "","""",join("" - "",{iferror(filter('Student Groupings'!$A:$A,'Student Groupings'!$B:$B=$C260,'Student Groupings'!$H:$H=""Can't be Together""),"""");iferror(filter('Student Groupings'!$A:$A,'Student Groupings'!"&amp;"$E:$E=$C260,'Student Groupings'!$H:$H=""Can't be Together""),"""")})))"),"")</f>
        <v/>
      </c>
      <c r="AD260" s="103" t="str">
        <f>IFERROR(__xludf.DUMMYFUNCTION("if($C260="""","""",if(join("" - "",{iferror(filter('Student Groupings'!$A:$A,'Student Groupings'!$B:$B=$C260,'Student Groupings'!$H:$H=""Must be Together""),"""");iferror(filter('Student Groupings'!$A:$A,'Student Groupings'!$E:$E=$C260,'Student Groupings'"&amp;"!$H:$H=""Must be Together""),"""")})="" - "","""",join("" - "",{iferror(filter('Student Groupings'!$A:$A,'Student Groupings'!$B:$B=$C260,'Student Groupings'!$H:$H=""Must be Together""),"""");iferror(filter('Student Groupings'!$A:$A,'Student Groupings'!$E:"&amp;"$E=$C260,'Student Groupings'!$H:$H=""Must be Together""),"""")})))"),"")</f>
        <v/>
      </c>
      <c r="AE260" s="104"/>
      <c r="AF260" s="104"/>
      <c r="AG260" s="104"/>
      <c r="AH260" s="104"/>
    </row>
    <row r="261">
      <c r="A261" s="101">
        <v>7.0</v>
      </c>
      <c r="B261" s="101">
        <v>30112.0</v>
      </c>
      <c r="C261" s="102" t="s">
        <v>529</v>
      </c>
      <c r="D261" s="52" t="s">
        <v>175</v>
      </c>
      <c r="E261" s="52">
        <v>5.0</v>
      </c>
      <c r="F261" s="52" t="s">
        <v>163</v>
      </c>
      <c r="G261" s="52">
        <v>3.0</v>
      </c>
      <c r="H261" s="52" t="s">
        <v>184</v>
      </c>
      <c r="I261" s="52">
        <v>6.0</v>
      </c>
      <c r="J261" s="52" t="s">
        <v>195</v>
      </c>
      <c r="K261" s="52">
        <v>2.0</v>
      </c>
      <c r="L261" s="52" t="s">
        <v>203</v>
      </c>
      <c r="M261" s="52">
        <v>4.0</v>
      </c>
      <c r="N261" s="52" t="s">
        <v>150</v>
      </c>
      <c r="O261" s="52" t="s">
        <v>129</v>
      </c>
      <c r="P261" s="52" t="s">
        <v>116</v>
      </c>
      <c r="Q261" s="52" t="s">
        <v>108</v>
      </c>
      <c r="R261" s="52" t="s">
        <v>133</v>
      </c>
      <c r="S261" s="52" t="s">
        <v>108</v>
      </c>
      <c r="T261" s="65" t="s">
        <v>27</v>
      </c>
      <c r="U261" s="32">
        <v>1.0</v>
      </c>
      <c r="V261" s="32">
        <v>1.0</v>
      </c>
      <c r="W261" s="32">
        <v>1.0</v>
      </c>
      <c r="X261" s="32">
        <v>1.0</v>
      </c>
      <c r="Y261" s="32">
        <v>1.0</v>
      </c>
      <c r="Z261" s="32">
        <v>1.0</v>
      </c>
      <c r="AA261" s="32">
        <v>6.0</v>
      </c>
      <c r="AB261" s="32">
        <v>0.0</v>
      </c>
      <c r="AC261" s="103" t="str">
        <f>IFERROR(__xludf.DUMMYFUNCTION("if($C261="""","""",if(join("" - "",{iferror(filter('Student Groupings'!$A:$A,'Student Groupings'!$B:$B=$C261,'Student Groupings'!$H:$H=""Can't be Together""),"""");iferror(filter('Student Groupings'!$A:$A,'Student Groupings'!$E:$E=$C261,'Student Groupings"&amp;"'!$H:$H=""Can't be Together""),"""")})="" - "","""",join("" - "",{iferror(filter('Student Groupings'!$A:$A,'Student Groupings'!$B:$B=$C261,'Student Groupings'!$H:$H=""Can't be Together""),"""");iferror(filter('Student Groupings'!$A:$A,'Student Groupings'!"&amp;"$E:$E=$C261,'Student Groupings'!$H:$H=""Can't be Together""),"""")})))"),"")</f>
        <v/>
      </c>
      <c r="AD261" s="103" t="str">
        <f>IFERROR(__xludf.DUMMYFUNCTION("if($C261="""","""",if(join("" - "",{iferror(filter('Student Groupings'!$A:$A,'Student Groupings'!$B:$B=$C261,'Student Groupings'!$H:$H=""Must be Together""),"""");iferror(filter('Student Groupings'!$A:$A,'Student Groupings'!$E:$E=$C261,'Student Groupings'"&amp;"!$H:$H=""Must be Together""),"""")})="" - "","""",join("" - "",{iferror(filter('Student Groupings'!$A:$A,'Student Groupings'!$B:$B=$C261,'Student Groupings'!$H:$H=""Must be Together""),"""");iferror(filter('Student Groupings'!$A:$A,'Student Groupings'!$E:"&amp;"$E=$C261,'Student Groupings'!$H:$H=""Must be Together""),"""")})))"),"")</f>
        <v/>
      </c>
      <c r="AE261" s="104"/>
      <c r="AF261" s="104"/>
      <c r="AG261" s="104"/>
      <c r="AH261" s="104"/>
    </row>
    <row r="262">
      <c r="A262" s="101">
        <v>7.0</v>
      </c>
      <c r="B262" s="101">
        <v>30114.0</v>
      </c>
      <c r="C262" s="102" t="s">
        <v>530</v>
      </c>
      <c r="D262" s="52" t="s">
        <v>175</v>
      </c>
      <c r="E262" s="52">
        <v>3.0</v>
      </c>
      <c r="F262" s="52" t="s">
        <v>163</v>
      </c>
      <c r="G262" s="52">
        <v>4.0</v>
      </c>
      <c r="H262" s="52" t="s">
        <v>184</v>
      </c>
      <c r="I262" s="52">
        <v>5.0</v>
      </c>
      <c r="J262" s="52" t="s">
        <v>193</v>
      </c>
      <c r="K262" s="52">
        <v>1.0</v>
      </c>
      <c r="L262" s="52" t="s">
        <v>200</v>
      </c>
      <c r="M262" s="52">
        <v>6.0</v>
      </c>
      <c r="N262" s="52" t="s">
        <v>154</v>
      </c>
      <c r="O262" s="52" t="s">
        <v>119</v>
      </c>
      <c r="P262" s="52" t="s">
        <v>140</v>
      </c>
      <c r="Q262" s="52" t="s">
        <v>125</v>
      </c>
      <c r="R262" s="52" t="s">
        <v>140</v>
      </c>
      <c r="S262" s="52" t="s">
        <v>125</v>
      </c>
      <c r="T262" s="65" t="s">
        <v>30</v>
      </c>
      <c r="U262" s="32">
        <v>1.0</v>
      </c>
      <c r="V262" s="32">
        <v>1.0</v>
      </c>
      <c r="W262" s="32">
        <v>1.0</v>
      </c>
      <c r="X262" s="32">
        <v>1.0</v>
      </c>
      <c r="Y262" s="32">
        <v>1.0</v>
      </c>
      <c r="Z262" s="32">
        <v>1.0</v>
      </c>
      <c r="AA262" s="32">
        <v>6.0</v>
      </c>
      <c r="AB262" s="32">
        <v>0.0</v>
      </c>
      <c r="AC262" s="103" t="str">
        <f>IFERROR(__xludf.DUMMYFUNCTION("if($C262="""","""",if(join("" - "",{iferror(filter('Student Groupings'!$A:$A,'Student Groupings'!$B:$B=$C262,'Student Groupings'!$H:$H=""Can't be Together""),"""");iferror(filter('Student Groupings'!$A:$A,'Student Groupings'!$E:$E=$C262,'Student Groupings"&amp;"'!$H:$H=""Can't be Together""),"""")})="" - "","""",join("" - "",{iferror(filter('Student Groupings'!$A:$A,'Student Groupings'!$B:$B=$C262,'Student Groupings'!$H:$H=""Can't be Together""),"""");iferror(filter('Student Groupings'!$A:$A,'Student Groupings'!"&amp;"$E:$E=$C262,'Student Groupings'!$H:$H=""Can't be Together""),"""")})))"),"")</f>
        <v/>
      </c>
      <c r="AD262" s="103" t="str">
        <f>IFERROR(__xludf.DUMMYFUNCTION("if($C262="""","""",if(join("" - "",{iferror(filter('Student Groupings'!$A:$A,'Student Groupings'!$B:$B=$C262,'Student Groupings'!$H:$H=""Must be Together""),"""");iferror(filter('Student Groupings'!$A:$A,'Student Groupings'!$E:$E=$C262,'Student Groupings'"&amp;"!$H:$H=""Must be Together""),"""")})="" - "","""",join("" - "",{iferror(filter('Student Groupings'!$A:$A,'Student Groupings'!$B:$B=$C262,'Student Groupings'!$H:$H=""Must be Together""),"""");iferror(filter('Student Groupings'!$A:$A,'Student Groupings'!$E:"&amp;"$E=$C262,'Student Groupings'!$H:$H=""Must be Together""),"""")})))"),"")</f>
        <v/>
      </c>
      <c r="AE262" s="105"/>
      <c r="AF262" s="105">
        <v>1.0</v>
      </c>
      <c r="AG262" s="105">
        <v>1.0</v>
      </c>
      <c r="AH262" s="105"/>
    </row>
    <row r="263">
      <c r="A263" s="101">
        <v>7.0</v>
      </c>
      <c r="B263" s="101">
        <v>30115.0</v>
      </c>
      <c r="C263" s="102" t="s">
        <v>531</v>
      </c>
      <c r="D263" s="52" t="s">
        <v>175</v>
      </c>
      <c r="E263" s="52">
        <v>4.0</v>
      </c>
      <c r="F263" s="52" t="s">
        <v>164</v>
      </c>
      <c r="G263" s="52">
        <v>3.0</v>
      </c>
      <c r="H263" s="52" t="s">
        <v>184</v>
      </c>
      <c r="I263" s="52">
        <v>1.0</v>
      </c>
      <c r="J263" s="52" t="s">
        <v>193</v>
      </c>
      <c r="K263" s="52">
        <v>5.0</v>
      </c>
      <c r="L263" s="52" t="s">
        <v>200</v>
      </c>
      <c r="M263" s="52">
        <v>2.0</v>
      </c>
      <c r="N263" s="52" t="s">
        <v>150</v>
      </c>
      <c r="O263" s="52" t="s">
        <v>109</v>
      </c>
      <c r="P263" s="52" t="s">
        <v>116</v>
      </c>
      <c r="Q263" s="52" t="s">
        <v>120</v>
      </c>
      <c r="R263" s="52" t="s">
        <v>133</v>
      </c>
      <c r="S263" s="52" t="s">
        <v>120</v>
      </c>
      <c r="T263" s="65" t="s">
        <v>8</v>
      </c>
      <c r="U263" s="32">
        <v>1.0</v>
      </c>
      <c r="V263" s="32">
        <v>1.0</v>
      </c>
      <c r="W263" s="32">
        <v>1.0</v>
      </c>
      <c r="X263" s="32">
        <v>1.0</v>
      </c>
      <c r="Y263" s="32">
        <v>1.0</v>
      </c>
      <c r="Z263" s="32">
        <v>1.0</v>
      </c>
      <c r="AA263" s="32">
        <v>6.0</v>
      </c>
      <c r="AB263" s="32">
        <v>0.0</v>
      </c>
      <c r="AC263" s="103" t="str">
        <f>IFERROR(__xludf.DUMMYFUNCTION("if($C263="""","""",if(join("" - "",{iferror(filter('Student Groupings'!$A:$A,'Student Groupings'!$B:$B=$C263,'Student Groupings'!$H:$H=""Can't be Together""),"""");iferror(filter('Student Groupings'!$A:$A,'Student Groupings'!$E:$E=$C263,'Student Groupings"&amp;"'!$H:$H=""Can't be Together""),"""")})="" - "","""",join("" - "",{iferror(filter('Student Groupings'!$A:$A,'Student Groupings'!$B:$B=$C263,'Student Groupings'!$H:$H=""Can't be Together""),"""");iferror(filter('Student Groupings'!$A:$A,'Student Groupings'!"&amp;"$E:$E=$C263,'Student Groupings'!$H:$H=""Can't be Together""),"""")})))"),"")</f>
        <v/>
      </c>
      <c r="AD263" s="103" t="str">
        <f>IFERROR(__xludf.DUMMYFUNCTION("if($C263="""","""",if(join("" - "",{iferror(filter('Student Groupings'!$A:$A,'Student Groupings'!$B:$B=$C263,'Student Groupings'!$H:$H=""Must be Together""),"""");iferror(filter('Student Groupings'!$A:$A,'Student Groupings'!$E:$E=$C263,'Student Groupings'"&amp;"!$H:$H=""Must be Together""),"""")})="" - "","""",join("" - "",{iferror(filter('Student Groupings'!$A:$A,'Student Groupings'!$B:$B=$C263,'Student Groupings'!$H:$H=""Must be Together""),"""");iferror(filter('Student Groupings'!$A:$A,'Student Groupings'!$E:"&amp;"$E=$C263,'Student Groupings'!$H:$H=""Must be Together""),"""")})))"),"")</f>
        <v/>
      </c>
      <c r="AE263" s="104"/>
      <c r="AF263" s="104"/>
      <c r="AG263" s="104"/>
      <c r="AH263" s="104"/>
    </row>
    <row r="264">
      <c r="A264" s="101">
        <v>7.0</v>
      </c>
      <c r="B264" s="101">
        <v>30117.0</v>
      </c>
      <c r="C264" s="102" t="s">
        <v>532</v>
      </c>
      <c r="D264" s="52" t="s">
        <v>175</v>
      </c>
      <c r="E264" s="52">
        <v>6.0</v>
      </c>
      <c r="F264" s="52" t="s">
        <v>163</v>
      </c>
      <c r="G264" s="52">
        <v>4.0</v>
      </c>
      <c r="H264" s="52" t="s">
        <v>184</v>
      </c>
      <c r="I264" s="52">
        <v>5.0</v>
      </c>
      <c r="J264" s="52" t="s">
        <v>195</v>
      </c>
      <c r="K264" s="52">
        <v>1.0</v>
      </c>
      <c r="L264" s="52" t="s">
        <v>200</v>
      </c>
      <c r="M264" s="52">
        <v>3.0</v>
      </c>
      <c r="N264" s="52" t="s">
        <v>150</v>
      </c>
      <c r="O264" s="52" t="s">
        <v>119</v>
      </c>
      <c r="P264" s="52" t="s">
        <v>133</v>
      </c>
      <c r="Q264" s="52" t="s">
        <v>125</v>
      </c>
      <c r="R264" s="52" t="s">
        <v>116</v>
      </c>
      <c r="S264" s="52" t="s">
        <v>125</v>
      </c>
      <c r="T264" s="65" t="s">
        <v>27</v>
      </c>
      <c r="U264" s="32">
        <v>1.0</v>
      </c>
      <c r="V264" s="32">
        <v>1.0</v>
      </c>
      <c r="W264" s="32">
        <v>1.0</v>
      </c>
      <c r="X264" s="32">
        <v>1.0</v>
      </c>
      <c r="Y264" s="32">
        <v>1.0</v>
      </c>
      <c r="Z264" s="32">
        <v>1.0</v>
      </c>
      <c r="AA264" s="32">
        <v>6.0</v>
      </c>
      <c r="AB264" s="32">
        <v>0.0</v>
      </c>
      <c r="AC264" s="103" t="str">
        <f>IFERROR(__xludf.DUMMYFUNCTION("if($C264="""","""",if(join("" - "",{iferror(filter('Student Groupings'!$A:$A,'Student Groupings'!$B:$B=$C264,'Student Groupings'!$H:$H=""Can't be Together""),"""");iferror(filter('Student Groupings'!$A:$A,'Student Groupings'!$E:$E=$C264,'Student Groupings"&amp;"'!$H:$H=""Can't be Together""),"""")})="" - "","""",join("" - "",{iferror(filter('Student Groupings'!$A:$A,'Student Groupings'!$B:$B=$C264,'Student Groupings'!$H:$H=""Can't be Together""),"""");iferror(filter('Student Groupings'!$A:$A,'Student Groupings'!"&amp;"$E:$E=$C264,'Student Groupings'!$H:$H=""Can't be Together""),"""")})))"),"")</f>
        <v/>
      </c>
      <c r="AD264" s="103" t="str">
        <f>IFERROR(__xludf.DUMMYFUNCTION("if($C264="""","""",if(join("" - "",{iferror(filter('Student Groupings'!$A:$A,'Student Groupings'!$B:$B=$C264,'Student Groupings'!$H:$H=""Must be Together""),"""");iferror(filter('Student Groupings'!$A:$A,'Student Groupings'!$E:$E=$C264,'Student Groupings'"&amp;"!$H:$H=""Must be Together""),"""")})="" - "","""",join("" - "",{iferror(filter('Student Groupings'!$A:$A,'Student Groupings'!$B:$B=$C264,'Student Groupings'!$H:$H=""Must be Together""),"""");iferror(filter('Student Groupings'!$A:$A,'Student Groupings'!$E:"&amp;"$E=$C264,'Student Groupings'!$H:$H=""Must be Together""),"""")})))"),"")</f>
        <v/>
      </c>
      <c r="AE264" s="104"/>
      <c r="AF264" s="104"/>
      <c r="AG264" s="104"/>
      <c r="AH264" s="104"/>
    </row>
    <row r="265">
      <c r="A265" s="101">
        <v>7.0</v>
      </c>
      <c r="B265" s="101">
        <v>30119.0</v>
      </c>
      <c r="C265" s="102" t="s">
        <v>533</v>
      </c>
      <c r="D265" s="52" t="s">
        <v>179</v>
      </c>
      <c r="E265" s="52">
        <v>6.0</v>
      </c>
      <c r="F265" s="52" t="s">
        <v>163</v>
      </c>
      <c r="G265" s="52">
        <v>4.0</v>
      </c>
      <c r="H265" s="52" t="s">
        <v>184</v>
      </c>
      <c r="I265" s="52">
        <v>5.0</v>
      </c>
      <c r="J265" s="52" t="s">
        <v>195</v>
      </c>
      <c r="K265" s="52">
        <v>3.0</v>
      </c>
      <c r="L265" s="52" t="s">
        <v>200</v>
      </c>
      <c r="M265" s="52">
        <v>1.0</v>
      </c>
      <c r="N265" s="52" t="s">
        <v>150</v>
      </c>
      <c r="O265" s="52" t="s">
        <v>119</v>
      </c>
      <c r="P265" s="52" t="s">
        <v>116</v>
      </c>
      <c r="Q265" s="52" t="s">
        <v>125</v>
      </c>
      <c r="R265" s="52" t="s">
        <v>133</v>
      </c>
      <c r="S265" s="52" t="s">
        <v>125</v>
      </c>
      <c r="T265" s="65" t="s">
        <v>27</v>
      </c>
      <c r="U265" s="32">
        <v>1.0</v>
      </c>
      <c r="V265" s="32">
        <v>1.0</v>
      </c>
      <c r="W265" s="32">
        <v>1.0</v>
      </c>
      <c r="X265" s="32">
        <v>1.0</v>
      </c>
      <c r="Y265" s="32">
        <v>1.0</v>
      </c>
      <c r="Z265" s="32">
        <v>1.0</v>
      </c>
      <c r="AA265" s="32">
        <v>6.0</v>
      </c>
      <c r="AB265" s="32">
        <v>0.0</v>
      </c>
      <c r="AC265" s="103" t="str">
        <f>IFERROR(__xludf.DUMMYFUNCTION("if($C265="""","""",if(join("" - "",{iferror(filter('Student Groupings'!$A:$A,'Student Groupings'!$B:$B=$C265,'Student Groupings'!$H:$H=""Can't be Together""),"""");iferror(filter('Student Groupings'!$A:$A,'Student Groupings'!$E:$E=$C265,'Student Groupings"&amp;"'!$H:$H=""Can't be Together""),"""")})="" - "","""",join("" - "",{iferror(filter('Student Groupings'!$A:$A,'Student Groupings'!$B:$B=$C265,'Student Groupings'!$H:$H=""Can't be Together""),"""");iferror(filter('Student Groupings'!$A:$A,'Student Groupings'!"&amp;"$E:$E=$C265,'Student Groupings'!$H:$H=""Can't be Together""),"""")})))"),"")</f>
        <v/>
      </c>
      <c r="AD265" s="103" t="str">
        <f>IFERROR(__xludf.DUMMYFUNCTION("if($C265="""","""",if(join("" - "",{iferror(filter('Student Groupings'!$A:$A,'Student Groupings'!$B:$B=$C265,'Student Groupings'!$H:$H=""Must be Together""),"""");iferror(filter('Student Groupings'!$A:$A,'Student Groupings'!$E:$E=$C265,'Student Groupings'"&amp;"!$H:$H=""Must be Together""),"""")})="" - "","""",join("" - "",{iferror(filter('Student Groupings'!$A:$A,'Student Groupings'!$B:$B=$C265,'Student Groupings'!$H:$H=""Must be Together""),"""");iferror(filter('Student Groupings'!$A:$A,'Student Groupings'!$E:"&amp;"$E=$C265,'Student Groupings'!$H:$H=""Must be Together""),"""")})))"),"")</f>
        <v/>
      </c>
      <c r="AE265" s="105"/>
      <c r="AF265" s="105"/>
      <c r="AG265" s="104"/>
      <c r="AH265" s="104"/>
    </row>
    <row r="266">
      <c r="A266" s="101">
        <v>7.0</v>
      </c>
      <c r="B266" s="101">
        <v>30162.0</v>
      </c>
      <c r="C266" s="102" t="s">
        <v>534</v>
      </c>
      <c r="D266" s="52" t="s">
        <v>175</v>
      </c>
      <c r="E266" s="52">
        <v>5.0</v>
      </c>
      <c r="F266" s="52" t="s">
        <v>163</v>
      </c>
      <c r="G266" s="52">
        <v>3.0</v>
      </c>
      <c r="H266" s="52" t="s">
        <v>184</v>
      </c>
      <c r="I266" s="52">
        <v>6.0</v>
      </c>
      <c r="J266" s="52" t="s">
        <v>195</v>
      </c>
      <c r="K266" s="52">
        <v>2.0</v>
      </c>
      <c r="L266" s="52" t="s">
        <v>203</v>
      </c>
      <c r="M266" s="52">
        <v>4.0</v>
      </c>
      <c r="N266" s="52" t="s">
        <v>150</v>
      </c>
      <c r="O266" s="52" t="s">
        <v>129</v>
      </c>
      <c r="P266" s="52" t="s">
        <v>133</v>
      </c>
      <c r="Q266" s="52" t="s">
        <v>108</v>
      </c>
      <c r="R266" s="52" t="s">
        <v>116</v>
      </c>
      <c r="S266" s="52" t="s">
        <v>108</v>
      </c>
      <c r="T266" s="65" t="s">
        <v>27</v>
      </c>
      <c r="U266" s="32">
        <v>1.0</v>
      </c>
      <c r="V266" s="32">
        <v>1.0</v>
      </c>
      <c r="W266" s="32">
        <v>1.0</v>
      </c>
      <c r="X266" s="32">
        <v>1.0</v>
      </c>
      <c r="Y266" s="32">
        <v>1.0</v>
      </c>
      <c r="Z266" s="32">
        <v>1.0</v>
      </c>
      <c r="AA266" s="32">
        <v>6.0</v>
      </c>
      <c r="AB266" s="32">
        <v>0.0</v>
      </c>
      <c r="AC266" s="103" t="str">
        <f>IFERROR(__xludf.DUMMYFUNCTION("if($C266="""","""",if(join("" - "",{iferror(filter('Student Groupings'!$A:$A,'Student Groupings'!$B:$B=$C266,'Student Groupings'!$H:$H=""Can't be Together""),"""");iferror(filter('Student Groupings'!$A:$A,'Student Groupings'!$E:$E=$C266,'Student Groupings"&amp;"'!$H:$H=""Can't be Together""),"""")})="" - "","""",join("" - "",{iferror(filter('Student Groupings'!$A:$A,'Student Groupings'!$B:$B=$C266,'Student Groupings'!$H:$H=""Can't be Together""),"""");iferror(filter('Student Groupings'!$A:$A,'Student Groupings'!"&amp;"$E:$E=$C266,'Student Groupings'!$H:$H=""Can't be Together""),"""")})))"),"")</f>
        <v/>
      </c>
      <c r="AD266" s="103" t="str">
        <f>IFERROR(__xludf.DUMMYFUNCTION("if($C266="""","""",if(join("" - "",{iferror(filter('Student Groupings'!$A:$A,'Student Groupings'!$B:$B=$C266,'Student Groupings'!$H:$H=""Must be Together""),"""");iferror(filter('Student Groupings'!$A:$A,'Student Groupings'!$E:$E=$C266,'Student Groupings'"&amp;"!$H:$H=""Must be Together""),"""")})="" - "","""",join("" - "",{iferror(filter('Student Groupings'!$A:$A,'Student Groupings'!$B:$B=$C266,'Student Groupings'!$H:$H=""Must be Together""),"""");iferror(filter('Student Groupings'!$A:$A,'Student Groupings'!$E:"&amp;"$E=$C266,'Student Groupings'!$H:$H=""Must be Together""),"""")})))"),"")</f>
        <v/>
      </c>
      <c r="AE266" s="104"/>
      <c r="AF266" s="104"/>
      <c r="AG266" s="104"/>
      <c r="AH266" s="104"/>
    </row>
    <row r="267">
      <c r="A267" s="101">
        <v>7.0</v>
      </c>
      <c r="B267" s="101">
        <v>30163.0</v>
      </c>
      <c r="C267" s="102" t="s">
        <v>535</v>
      </c>
      <c r="D267" s="52" t="s">
        <v>175</v>
      </c>
      <c r="E267" s="52">
        <v>2.0</v>
      </c>
      <c r="F267" s="52" t="s">
        <v>163</v>
      </c>
      <c r="G267" s="52">
        <v>6.0</v>
      </c>
      <c r="H267" s="52" t="s">
        <v>184</v>
      </c>
      <c r="I267" s="52">
        <v>3.0</v>
      </c>
      <c r="J267" s="52" t="s">
        <v>195</v>
      </c>
      <c r="K267" s="52">
        <v>5.0</v>
      </c>
      <c r="L267" s="52" t="s">
        <v>200</v>
      </c>
      <c r="M267" s="52">
        <v>4.0</v>
      </c>
      <c r="N267" s="52" t="s">
        <v>154</v>
      </c>
      <c r="O267" s="52" t="s">
        <v>129</v>
      </c>
      <c r="P267" s="52" t="s">
        <v>140</v>
      </c>
      <c r="Q267" s="52" t="s">
        <v>108</v>
      </c>
      <c r="R267" s="52" t="s">
        <v>140</v>
      </c>
      <c r="S267" s="52" t="s">
        <v>108</v>
      </c>
      <c r="T267" s="65" t="s">
        <v>30</v>
      </c>
      <c r="U267" s="32">
        <v>1.0</v>
      </c>
      <c r="V267" s="32">
        <v>1.0</v>
      </c>
      <c r="W267" s="32">
        <v>1.0</v>
      </c>
      <c r="X267" s="32">
        <v>1.0</v>
      </c>
      <c r="Y267" s="32">
        <v>1.0</v>
      </c>
      <c r="Z267" s="32">
        <v>1.0</v>
      </c>
      <c r="AA267" s="32">
        <v>6.0</v>
      </c>
      <c r="AB267" s="32">
        <v>0.0</v>
      </c>
      <c r="AC267" s="103" t="str">
        <f>IFERROR(__xludf.DUMMYFUNCTION("if($C267="""","""",if(join("" - "",{iferror(filter('Student Groupings'!$A:$A,'Student Groupings'!$B:$B=$C267,'Student Groupings'!$H:$H=""Can't be Together""),"""");iferror(filter('Student Groupings'!$A:$A,'Student Groupings'!$E:$E=$C267,'Student Groupings"&amp;"'!$H:$H=""Can't be Together""),"""")})="" - "","""",join("" - "",{iferror(filter('Student Groupings'!$A:$A,'Student Groupings'!$B:$B=$C267,'Student Groupings'!$H:$H=""Can't be Together""),"""");iferror(filter('Student Groupings'!$A:$A,'Student Groupings'!"&amp;"$E:$E=$C267,'Student Groupings'!$H:$H=""Can't be Together""),"""")})))"),"")</f>
        <v/>
      </c>
      <c r="AD267" s="103" t="str">
        <f>IFERROR(__xludf.DUMMYFUNCTION("if($C267="""","""",if(join("" - "",{iferror(filter('Student Groupings'!$A:$A,'Student Groupings'!$B:$B=$C267,'Student Groupings'!$H:$H=""Must be Together""),"""");iferror(filter('Student Groupings'!$A:$A,'Student Groupings'!$E:$E=$C267,'Student Groupings'"&amp;"!$H:$H=""Must be Together""),"""")})="" - "","""",join("" - "",{iferror(filter('Student Groupings'!$A:$A,'Student Groupings'!$B:$B=$C267,'Student Groupings'!$H:$H=""Must be Together""),"""");iferror(filter('Student Groupings'!$A:$A,'Student Groupings'!$E:"&amp;"$E=$C267,'Student Groupings'!$H:$H=""Must be Together""),"""")})))"),"")</f>
        <v/>
      </c>
      <c r="AE267" s="104"/>
      <c r="AF267" s="104"/>
      <c r="AG267" s="104"/>
      <c r="AH267" s="104"/>
    </row>
    <row r="268">
      <c r="A268" s="101">
        <v>7.0</v>
      </c>
      <c r="B268" s="101">
        <v>30164.0</v>
      </c>
      <c r="C268" s="102" t="s">
        <v>536</v>
      </c>
      <c r="D268" s="52" t="s">
        <v>175</v>
      </c>
      <c r="E268" s="52">
        <v>3.0</v>
      </c>
      <c r="F268" s="52" t="s">
        <v>163</v>
      </c>
      <c r="G268" s="52">
        <v>5.0</v>
      </c>
      <c r="H268" s="52" t="s">
        <v>184</v>
      </c>
      <c r="I268" s="52">
        <v>2.0</v>
      </c>
      <c r="J268" s="52" t="s">
        <v>193</v>
      </c>
      <c r="K268" s="52">
        <v>1.0</v>
      </c>
      <c r="L268" s="52" t="s">
        <v>200</v>
      </c>
      <c r="M268" s="52">
        <v>6.0</v>
      </c>
      <c r="N268" s="52" t="s">
        <v>150</v>
      </c>
      <c r="O268" s="52" t="s">
        <v>111</v>
      </c>
      <c r="P268" s="52" t="s">
        <v>140</v>
      </c>
      <c r="Q268" s="52" t="s">
        <v>130</v>
      </c>
      <c r="R268" s="52" t="s">
        <v>140</v>
      </c>
      <c r="S268" s="52" t="s">
        <v>130</v>
      </c>
      <c r="T268" s="65" t="s">
        <v>30</v>
      </c>
      <c r="U268" s="32">
        <v>1.0</v>
      </c>
      <c r="V268" s="32">
        <v>1.0</v>
      </c>
      <c r="W268" s="32">
        <v>1.0</v>
      </c>
      <c r="X268" s="32">
        <v>1.0</v>
      </c>
      <c r="Y268" s="32">
        <v>1.0</v>
      </c>
      <c r="Z268" s="32">
        <v>1.0</v>
      </c>
      <c r="AA268" s="32">
        <v>6.0</v>
      </c>
      <c r="AB268" s="32">
        <v>0.0</v>
      </c>
      <c r="AC268" s="103" t="str">
        <f>IFERROR(__xludf.DUMMYFUNCTION("if($C268="""","""",if(join("" - "",{iferror(filter('Student Groupings'!$A:$A,'Student Groupings'!$B:$B=$C268,'Student Groupings'!$H:$H=""Can't be Together""),"""");iferror(filter('Student Groupings'!$A:$A,'Student Groupings'!$E:$E=$C268,'Student Groupings"&amp;"'!$H:$H=""Can't be Together""),"""")})="" - "","""",join("" - "",{iferror(filter('Student Groupings'!$A:$A,'Student Groupings'!$B:$B=$C268,'Student Groupings'!$H:$H=""Can't be Together""),"""");iferror(filter('Student Groupings'!$A:$A,'Student Groupings'!"&amp;"$E:$E=$C268,'Student Groupings'!$H:$H=""Can't be Together""),"""")})))"),"")</f>
        <v/>
      </c>
      <c r="AD268" s="103" t="str">
        <f>IFERROR(__xludf.DUMMYFUNCTION("if($C268="""","""",if(join("" - "",{iferror(filter('Student Groupings'!$A:$A,'Student Groupings'!$B:$B=$C268,'Student Groupings'!$H:$H=""Must be Together""),"""");iferror(filter('Student Groupings'!$A:$A,'Student Groupings'!$E:$E=$C268,'Student Groupings'"&amp;"!$H:$H=""Must be Together""),"""")})="" - "","""",join("" - "",{iferror(filter('Student Groupings'!$A:$A,'Student Groupings'!$B:$B=$C268,'Student Groupings'!$H:$H=""Must be Together""),"""");iferror(filter('Student Groupings'!$A:$A,'Student Groupings'!$E:"&amp;"$E=$C268,'Student Groupings'!$H:$H=""Must be Together""),"""")})))"),"")</f>
        <v/>
      </c>
      <c r="AE268" s="104"/>
      <c r="AF268" s="104"/>
      <c r="AG268" s="104"/>
      <c r="AH268" s="104"/>
    </row>
    <row r="269">
      <c r="A269" s="101">
        <v>7.0</v>
      </c>
      <c r="B269" s="101">
        <v>30120.0</v>
      </c>
      <c r="C269" s="102" t="s">
        <v>537</v>
      </c>
      <c r="D269" s="52" t="s">
        <v>175</v>
      </c>
      <c r="E269" s="52">
        <v>4.0</v>
      </c>
      <c r="F269" s="52" t="s">
        <v>164</v>
      </c>
      <c r="G269" s="52">
        <v>3.0</v>
      </c>
      <c r="H269" s="52" t="s">
        <v>184</v>
      </c>
      <c r="I269" s="52">
        <v>1.0</v>
      </c>
      <c r="J269" s="52" t="s">
        <v>193</v>
      </c>
      <c r="K269" s="52">
        <v>5.0</v>
      </c>
      <c r="L269" s="52" t="s">
        <v>200</v>
      </c>
      <c r="M269" s="52">
        <v>2.0</v>
      </c>
      <c r="N269" s="52" t="s">
        <v>150</v>
      </c>
      <c r="O269" s="52" t="s">
        <v>109</v>
      </c>
      <c r="P269" s="52" t="s">
        <v>116</v>
      </c>
      <c r="Q269" s="52" t="s">
        <v>120</v>
      </c>
      <c r="R269" s="52" t="s">
        <v>133</v>
      </c>
      <c r="S269" s="52" t="s">
        <v>120</v>
      </c>
      <c r="T269" s="65" t="s">
        <v>27</v>
      </c>
      <c r="U269" s="32">
        <v>1.0</v>
      </c>
      <c r="V269" s="32">
        <v>1.0</v>
      </c>
      <c r="W269" s="32">
        <v>1.0</v>
      </c>
      <c r="X269" s="32">
        <v>1.0</v>
      </c>
      <c r="Y269" s="32">
        <v>1.0</v>
      </c>
      <c r="Z269" s="32">
        <v>1.0</v>
      </c>
      <c r="AA269" s="32">
        <v>6.0</v>
      </c>
      <c r="AB269" s="32">
        <v>0.0</v>
      </c>
      <c r="AC269" s="103" t="str">
        <f>IFERROR(__xludf.DUMMYFUNCTION("if($C269="""","""",if(join("" - "",{iferror(filter('Student Groupings'!$A:$A,'Student Groupings'!$B:$B=$C269,'Student Groupings'!$H:$H=""Can't be Together""),"""");iferror(filter('Student Groupings'!$A:$A,'Student Groupings'!$E:$E=$C269,'Student Groupings"&amp;"'!$H:$H=""Can't be Together""),"""")})="" - "","""",join("" - "",{iferror(filter('Student Groupings'!$A:$A,'Student Groupings'!$B:$B=$C269,'Student Groupings'!$H:$H=""Can't be Together""),"""");iferror(filter('Student Groupings'!$A:$A,'Student Groupings'!"&amp;"$E:$E=$C269,'Student Groupings'!$H:$H=""Can't be Together""),"""")})))"),"")</f>
        <v/>
      </c>
      <c r="AD269" s="103" t="str">
        <f>IFERROR(__xludf.DUMMYFUNCTION("if($C269="""","""",if(join("" - "",{iferror(filter('Student Groupings'!$A:$A,'Student Groupings'!$B:$B=$C269,'Student Groupings'!$H:$H=""Must be Together""),"""");iferror(filter('Student Groupings'!$A:$A,'Student Groupings'!$E:$E=$C269,'Student Groupings'"&amp;"!$H:$H=""Must be Together""),"""")})="" - "","""",join("" - "",{iferror(filter('Student Groupings'!$A:$A,'Student Groupings'!$B:$B=$C269,'Student Groupings'!$H:$H=""Must be Together""),"""");iferror(filter('Student Groupings'!$A:$A,'Student Groupings'!$E:"&amp;"$E=$C269,'Student Groupings'!$H:$H=""Must be Together""),"""")})))"),"")</f>
        <v/>
      </c>
      <c r="AE269" s="104"/>
      <c r="AF269" s="104"/>
      <c r="AG269" s="104"/>
      <c r="AH269" s="104"/>
    </row>
    <row r="270">
      <c r="A270" s="101">
        <v>7.0</v>
      </c>
      <c r="B270" s="101">
        <v>30121.0</v>
      </c>
      <c r="C270" s="102" t="s">
        <v>538</v>
      </c>
      <c r="D270" s="52" t="s">
        <v>175</v>
      </c>
      <c r="E270" s="52">
        <v>6.0</v>
      </c>
      <c r="F270" s="52" t="s">
        <v>164</v>
      </c>
      <c r="G270" s="52">
        <v>4.0</v>
      </c>
      <c r="H270" s="52" t="s">
        <v>188</v>
      </c>
      <c r="I270" s="52">
        <v>5.0</v>
      </c>
      <c r="J270" s="52" t="s">
        <v>195</v>
      </c>
      <c r="K270" s="52">
        <v>1.0</v>
      </c>
      <c r="L270" s="52" t="s">
        <v>200</v>
      </c>
      <c r="M270" s="52">
        <v>3.0</v>
      </c>
      <c r="N270" s="52" t="s">
        <v>154</v>
      </c>
      <c r="O270" s="52" t="s">
        <v>119</v>
      </c>
      <c r="P270" s="52" t="s">
        <v>140</v>
      </c>
      <c r="Q270" s="52" t="s">
        <v>125</v>
      </c>
      <c r="R270" s="52" t="s">
        <v>140</v>
      </c>
      <c r="S270" s="52" t="s">
        <v>125</v>
      </c>
      <c r="T270" s="65" t="s">
        <v>30</v>
      </c>
      <c r="U270" s="32">
        <v>1.0</v>
      </c>
      <c r="V270" s="32">
        <v>1.0</v>
      </c>
      <c r="W270" s="32">
        <v>1.0</v>
      </c>
      <c r="X270" s="32">
        <v>1.0</v>
      </c>
      <c r="Y270" s="32">
        <v>1.0</v>
      </c>
      <c r="Z270" s="32">
        <v>1.0</v>
      </c>
      <c r="AA270" s="32">
        <v>6.0</v>
      </c>
      <c r="AB270" s="32">
        <v>0.0</v>
      </c>
      <c r="AC270" s="103" t="str">
        <f>IFERROR(__xludf.DUMMYFUNCTION("if($C270="""","""",if(join("" - "",{iferror(filter('Student Groupings'!$A:$A,'Student Groupings'!$B:$B=$C270,'Student Groupings'!$H:$H=""Can't be Together""),"""");iferror(filter('Student Groupings'!$A:$A,'Student Groupings'!$E:$E=$C270,'Student Groupings"&amp;"'!$H:$H=""Can't be Together""),"""")})="" - "","""",join("" - "",{iferror(filter('Student Groupings'!$A:$A,'Student Groupings'!$B:$B=$C270,'Student Groupings'!$H:$H=""Can't be Together""),"""");iferror(filter('Student Groupings'!$A:$A,'Student Groupings'!"&amp;"$E:$E=$C270,'Student Groupings'!$H:$H=""Can't be Together""),"""")})))"),"")</f>
        <v/>
      </c>
      <c r="AD270" s="103" t="str">
        <f>IFERROR(__xludf.DUMMYFUNCTION("if($C270="""","""",if(join("" - "",{iferror(filter('Student Groupings'!$A:$A,'Student Groupings'!$B:$B=$C270,'Student Groupings'!$H:$H=""Must be Together""),"""");iferror(filter('Student Groupings'!$A:$A,'Student Groupings'!$E:$E=$C270,'Student Groupings'"&amp;"!$H:$H=""Must be Together""),"""")})="" - "","""",join("" - "",{iferror(filter('Student Groupings'!$A:$A,'Student Groupings'!$B:$B=$C270,'Student Groupings'!$H:$H=""Must be Together""),"""");iferror(filter('Student Groupings'!$A:$A,'Student Groupings'!$E:"&amp;"$E=$C270,'Student Groupings'!$H:$H=""Must be Together""),"""")})))"),"")</f>
        <v/>
      </c>
      <c r="AE270" s="104"/>
      <c r="AF270" s="104"/>
      <c r="AG270" s="104"/>
      <c r="AH270" s="104"/>
    </row>
    <row r="271">
      <c r="A271" s="101">
        <v>7.0</v>
      </c>
      <c r="B271" s="101">
        <v>30122.0</v>
      </c>
      <c r="C271" s="102" t="s">
        <v>539</v>
      </c>
      <c r="D271" s="52" t="s">
        <v>175</v>
      </c>
      <c r="E271" s="101">
        <v>2.0</v>
      </c>
      <c r="F271" s="52" t="s">
        <v>163</v>
      </c>
      <c r="G271" s="52">
        <v>6.0</v>
      </c>
      <c r="H271" s="52" t="s">
        <v>184</v>
      </c>
      <c r="I271" s="52">
        <v>3.0</v>
      </c>
      <c r="J271" s="52" t="s">
        <v>195</v>
      </c>
      <c r="K271" s="52">
        <v>5.0</v>
      </c>
      <c r="L271" s="52" t="s">
        <v>200</v>
      </c>
      <c r="M271" s="52">
        <v>4.0</v>
      </c>
      <c r="N271" s="52" t="s">
        <v>154</v>
      </c>
      <c r="O271" s="52" t="s">
        <v>129</v>
      </c>
      <c r="P271" s="52" t="s">
        <v>140</v>
      </c>
      <c r="Q271" s="52" t="s">
        <v>108</v>
      </c>
      <c r="R271" s="52" t="s">
        <v>140</v>
      </c>
      <c r="S271" s="52" t="s">
        <v>108</v>
      </c>
      <c r="T271" s="65" t="s">
        <v>30</v>
      </c>
      <c r="U271" s="32">
        <v>1.0</v>
      </c>
      <c r="V271" s="32">
        <v>1.0</v>
      </c>
      <c r="W271" s="32">
        <v>1.0</v>
      </c>
      <c r="X271" s="32">
        <v>1.0</v>
      </c>
      <c r="Y271" s="32">
        <v>1.0</v>
      </c>
      <c r="Z271" s="32">
        <v>1.0</v>
      </c>
      <c r="AA271" s="32">
        <v>6.0</v>
      </c>
      <c r="AB271" s="32">
        <v>0.0</v>
      </c>
      <c r="AC271" s="103" t="str">
        <f>IFERROR(__xludf.DUMMYFUNCTION("if($C271="""","""",if(join("" - "",{iferror(filter('Student Groupings'!$A:$A,'Student Groupings'!$B:$B=$C271,'Student Groupings'!$H:$H=""Can't be Together""),"""");iferror(filter('Student Groupings'!$A:$A,'Student Groupings'!$E:$E=$C271,'Student Groupings"&amp;"'!$H:$H=""Can't be Together""),"""")})="" - "","""",join("" - "",{iferror(filter('Student Groupings'!$A:$A,'Student Groupings'!$B:$B=$C271,'Student Groupings'!$H:$H=""Can't be Together""),"""");iferror(filter('Student Groupings'!$A:$A,'Student Groupings'!"&amp;"$E:$E=$C271,'Student Groupings'!$H:$H=""Can't be Together""),"""")})))"),"")</f>
        <v/>
      </c>
      <c r="AD271" s="103" t="str">
        <f>IFERROR(__xludf.DUMMYFUNCTION("if($C271="""","""",if(join("" - "",{iferror(filter('Student Groupings'!$A:$A,'Student Groupings'!$B:$B=$C271,'Student Groupings'!$H:$H=""Must be Together""),"""");iferror(filter('Student Groupings'!$A:$A,'Student Groupings'!$E:$E=$C271,'Student Groupings'"&amp;"!$H:$H=""Must be Together""),"""")})="" - "","""",join("" - "",{iferror(filter('Student Groupings'!$A:$A,'Student Groupings'!$B:$B=$C271,'Student Groupings'!$H:$H=""Must be Together""),"""");iferror(filter('Student Groupings'!$A:$A,'Student Groupings'!$E:"&amp;"$E=$C271,'Student Groupings'!$H:$H=""Must be Together""),"""")})))"),"")</f>
        <v/>
      </c>
      <c r="AE271" s="104"/>
      <c r="AF271" s="104"/>
      <c r="AG271" s="104"/>
      <c r="AH271" s="104"/>
    </row>
    <row r="272">
      <c r="A272" s="101">
        <v>7.0</v>
      </c>
      <c r="B272" s="101">
        <v>30123.0</v>
      </c>
      <c r="C272" s="102" t="s">
        <v>540</v>
      </c>
      <c r="D272" s="52" t="s">
        <v>175</v>
      </c>
      <c r="E272" s="52">
        <v>5.0</v>
      </c>
      <c r="F272" s="52" t="s">
        <v>163</v>
      </c>
      <c r="G272" s="52">
        <v>3.0</v>
      </c>
      <c r="H272" s="52" t="s">
        <v>184</v>
      </c>
      <c r="I272" s="52">
        <v>6.0</v>
      </c>
      <c r="J272" s="52" t="s">
        <v>195</v>
      </c>
      <c r="K272" s="52">
        <v>2.0</v>
      </c>
      <c r="L272" s="52" t="s">
        <v>203</v>
      </c>
      <c r="M272" s="52">
        <v>4.0</v>
      </c>
      <c r="N272" s="52" t="s">
        <v>150</v>
      </c>
      <c r="O272" s="52" t="s">
        <v>129</v>
      </c>
      <c r="P272" s="52" t="s">
        <v>116</v>
      </c>
      <c r="Q272" s="52" t="s">
        <v>108</v>
      </c>
      <c r="R272" s="52" t="s">
        <v>133</v>
      </c>
      <c r="S272" s="52" t="s">
        <v>108</v>
      </c>
      <c r="T272" s="65" t="s">
        <v>8</v>
      </c>
      <c r="U272" s="32">
        <v>1.0</v>
      </c>
      <c r="V272" s="32">
        <v>1.0</v>
      </c>
      <c r="W272" s="32">
        <v>1.0</v>
      </c>
      <c r="X272" s="32">
        <v>1.0</v>
      </c>
      <c r="Y272" s="32">
        <v>1.0</v>
      </c>
      <c r="Z272" s="32">
        <v>1.0</v>
      </c>
      <c r="AA272" s="32">
        <v>6.0</v>
      </c>
      <c r="AB272" s="32">
        <v>0.0</v>
      </c>
      <c r="AC272" s="103" t="str">
        <f>IFERROR(__xludf.DUMMYFUNCTION("if($C272="""","""",if(join("" - "",{iferror(filter('Student Groupings'!$A:$A,'Student Groupings'!$B:$B=$C272,'Student Groupings'!$H:$H=""Can't be Together""),"""");iferror(filter('Student Groupings'!$A:$A,'Student Groupings'!$E:$E=$C272,'Student Groupings"&amp;"'!$H:$H=""Can't be Together""),"""")})="" - "","""",join("" - "",{iferror(filter('Student Groupings'!$A:$A,'Student Groupings'!$B:$B=$C272,'Student Groupings'!$H:$H=""Can't be Together""),"""");iferror(filter('Student Groupings'!$A:$A,'Student Groupings'!"&amp;"$E:$E=$C272,'Student Groupings'!$H:$H=""Can't be Together""),"""")})))"),"")</f>
        <v/>
      </c>
      <c r="AD272" s="103" t="str">
        <f>IFERROR(__xludf.DUMMYFUNCTION("if($C272="""","""",if(join("" - "",{iferror(filter('Student Groupings'!$A:$A,'Student Groupings'!$B:$B=$C272,'Student Groupings'!$H:$H=""Must be Together""),"""");iferror(filter('Student Groupings'!$A:$A,'Student Groupings'!$E:$E=$C272,'Student Groupings'"&amp;"!$H:$H=""Must be Together""),"""")})="" - "","""",join("" - "",{iferror(filter('Student Groupings'!$A:$A,'Student Groupings'!$B:$B=$C272,'Student Groupings'!$H:$H=""Must be Together""),"""");iferror(filter('Student Groupings'!$A:$A,'Student Groupings'!$E:"&amp;"$E=$C272,'Student Groupings'!$H:$H=""Must be Together""),"""")})))"),"")</f>
        <v/>
      </c>
      <c r="AE272" s="105"/>
      <c r="AF272" s="105"/>
      <c r="AG272" s="105"/>
      <c r="AH272" s="105"/>
    </row>
    <row r="273">
      <c r="A273" s="101">
        <v>7.0</v>
      </c>
      <c r="B273" s="101">
        <v>30124.0</v>
      </c>
      <c r="C273" s="102" t="s">
        <v>541</v>
      </c>
      <c r="D273" s="52" t="s">
        <v>179</v>
      </c>
      <c r="E273" s="52">
        <v>6.0</v>
      </c>
      <c r="F273" s="52" t="s">
        <v>164</v>
      </c>
      <c r="G273" s="52">
        <v>4.0</v>
      </c>
      <c r="H273" s="52" t="s">
        <v>188</v>
      </c>
      <c r="I273" s="52">
        <v>5.0</v>
      </c>
      <c r="J273" s="52" t="s">
        <v>195</v>
      </c>
      <c r="K273" s="52">
        <v>3.0</v>
      </c>
      <c r="L273" s="52" t="s">
        <v>200</v>
      </c>
      <c r="M273" s="52">
        <v>1.0</v>
      </c>
      <c r="N273" s="52" t="s">
        <v>154</v>
      </c>
      <c r="O273" s="52" t="s">
        <v>119</v>
      </c>
      <c r="P273" s="52" t="s">
        <v>140</v>
      </c>
      <c r="Q273" s="52" t="s">
        <v>125</v>
      </c>
      <c r="R273" s="52" t="s">
        <v>140</v>
      </c>
      <c r="S273" s="52" t="s">
        <v>125</v>
      </c>
      <c r="T273" s="65" t="s">
        <v>30</v>
      </c>
      <c r="U273" s="32">
        <v>1.0</v>
      </c>
      <c r="V273" s="32">
        <v>1.0</v>
      </c>
      <c r="W273" s="32">
        <v>1.0</v>
      </c>
      <c r="X273" s="32">
        <v>1.0</v>
      </c>
      <c r="Y273" s="32">
        <v>1.0</v>
      </c>
      <c r="Z273" s="32">
        <v>1.0</v>
      </c>
      <c r="AA273" s="32">
        <v>6.0</v>
      </c>
      <c r="AB273" s="32">
        <v>0.0</v>
      </c>
      <c r="AC273" s="103" t="str">
        <f>IFERROR(__xludf.DUMMYFUNCTION("if($C273="""","""",if(join("" - "",{iferror(filter('Student Groupings'!$A:$A,'Student Groupings'!$B:$B=$C273,'Student Groupings'!$H:$H=""Can't be Together""),"""");iferror(filter('Student Groupings'!$A:$A,'Student Groupings'!$E:$E=$C273,'Student Groupings"&amp;"'!$H:$H=""Can't be Together""),"""")})="" - "","""",join("" - "",{iferror(filter('Student Groupings'!$A:$A,'Student Groupings'!$B:$B=$C273,'Student Groupings'!$H:$H=""Can't be Together""),"""");iferror(filter('Student Groupings'!$A:$A,'Student Groupings'!"&amp;"$E:$E=$C273,'Student Groupings'!$H:$H=""Can't be Together""),"""")})))"),"")</f>
        <v/>
      </c>
      <c r="AD273" s="103" t="str">
        <f>IFERROR(__xludf.DUMMYFUNCTION("if($C273="""","""",if(join("" - "",{iferror(filter('Student Groupings'!$A:$A,'Student Groupings'!$B:$B=$C273,'Student Groupings'!$H:$H=""Must be Together""),"""");iferror(filter('Student Groupings'!$A:$A,'Student Groupings'!$E:$E=$C273,'Student Groupings'"&amp;"!$H:$H=""Must be Together""),"""")})="" - "","""",join("" - "",{iferror(filter('Student Groupings'!$A:$A,'Student Groupings'!$B:$B=$C273,'Student Groupings'!$H:$H=""Must be Together""),"""");iferror(filter('Student Groupings'!$A:$A,'Student Groupings'!$E:"&amp;"$E=$C273,'Student Groupings'!$H:$H=""Must be Together""),"""")})))"),"")</f>
        <v/>
      </c>
      <c r="AE273" s="104"/>
      <c r="AF273" s="104"/>
      <c r="AG273" s="104"/>
      <c r="AH273" s="104"/>
    </row>
    <row r="274">
      <c r="A274" s="101">
        <v>7.0</v>
      </c>
      <c r="B274" s="101">
        <v>30125.0</v>
      </c>
      <c r="C274" s="102" t="s">
        <v>542</v>
      </c>
      <c r="D274" s="52" t="s">
        <v>175</v>
      </c>
      <c r="E274" s="52">
        <v>3.0</v>
      </c>
      <c r="F274" s="52" t="s">
        <v>163</v>
      </c>
      <c r="G274" s="52">
        <v>5.0</v>
      </c>
      <c r="H274" s="52" t="s">
        <v>184</v>
      </c>
      <c r="I274" s="52">
        <v>2.0</v>
      </c>
      <c r="J274" s="52" t="s">
        <v>193</v>
      </c>
      <c r="K274" s="52">
        <v>1.0</v>
      </c>
      <c r="L274" s="52" t="s">
        <v>200</v>
      </c>
      <c r="M274" s="52">
        <v>6.0</v>
      </c>
      <c r="N274" s="52" t="s">
        <v>150</v>
      </c>
      <c r="O274" s="52" t="s">
        <v>111</v>
      </c>
      <c r="P274" s="52" t="s">
        <v>140</v>
      </c>
      <c r="Q274" s="52" t="s">
        <v>130</v>
      </c>
      <c r="R274" s="52" t="s">
        <v>140</v>
      </c>
      <c r="S274" s="52" t="s">
        <v>130</v>
      </c>
      <c r="T274" s="65" t="s">
        <v>30</v>
      </c>
      <c r="U274" s="32">
        <v>1.0</v>
      </c>
      <c r="V274" s="32">
        <v>1.0</v>
      </c>
      <c r="W274" s="32">
        <v>1.0</v>
      </c>
      <c r="X274" s="32">
        <v>1.0</v>
      </c>
      <c r="Y274" s="32">
        <v>1.0</v>
      </c>
      <c r="Z274" s="32">
        <v>1.0</v>
      </c>
      <c r="AA274" s="32">
        <v>6.0</v>
      </c>
      <c r="AB274" s="32">
        <v>0.0</v>
      </c>
      <c r="AC274" s="103" t="str">
        <f>IFERROR(__xludf.DUMMYFUNCTION("if($C274="""","""",if(join("" - "",{iferror(filter('Student Groupings'!$A:$A,'Student Groupings'!$B:$B=$C274,'Student Groupings'!$H:$H=""Can't be Together""),"""");iferror(filter('Student Groupings'!$A:$A,'Student Groupings'!$E:$E=$C274,'Student Groupings"&amp;"'!$H:$H=""Can't be Together""),"""")})="" - "","""",join("" - "",{iferror(filter('Student Groupings'!$A:$A,'Student Groupings'!$B:$B=$C274,'Student Groupings'!$H:$H=""Can't be Together""),"""");iferror(filter('Student Groupings'!$A:$A,'Student Groupings'!"&amp;"$E:$E=$C274,'Student Groupings'!$H:$H=""Can't be Together""),"""")})))"),"")</f>
        <v/>
      </c>
      <c r="AD274" s="103" t="str">
        <f>IFERROR(__xludf.DUMMYFUNCTION("if($C274="""","""",if(join("" - "",{iferror(filter('Student Groupings'!$A:$A,'Student Groupings'!$B:$B=$C274,'Student Groupings'!$H:$H=""Must be Together""),"""");iferror(filter('Student Groupings'!$A:$A,'Student Groupings'!$E:$E=$C274,'Student Groupings'"&amp;"!$H:$H=""Must be Together""),"""")})="" - "","""",join("" - "",{iferror(filter('Student Groupings'!$A:$A,'Student Groupings'!$B:$B=$C274,'Student Groupings'!$H:$H=""Must be Together""),"""");iferror(filter('Student Groupings'!$A:$A,'Student Groupings'!$E:"&amp;"$E=$C274,'Student Groupings'!$H:$H=""Must be Together""),"""")})))"),"")</f>
        <v/>
      </c>
      <c r="AE274" s="104"/>
      <c r="AF274" s="104"/>
      <c r="AG274" s="104"/>
      <c r="AH274" s="104"/>
    </row>
    <row r="275">
      <c r="A275" s="101">
        <v>7.0</v>
      </c>
      <c r="B275" s="101">
        <v>30126.0</v>
      </c>
      <c r="C275" s="102" t="s">
        <v>543</v>
      </c>
      <c r="D275" s="52" t="s">
        <v>175</v>
      </c>
      <c r="E275" s="101">
        <v>4.0</v>
      </c>
      <c r="F275" s="52" t="s">
        <v>164</v>
      </c>
      <c r="G275" s="52">
        <v>3.0</v>
      </c>
      <c r="H275" s="52" t="s">
        <v>184</v>
      </c>
      <c r="I275" s="52">
        <v>1.0</v>
      </c>
      <c r="J275" s="52" t="s">
        <v>193</v>
      </c>
      <c r="K275" s="52">
        <v>5.0</v>
      </c>
      <c r="L275" s="52" t="s">
        <v>200</v>
      </c>
      <c r="M275" s="52">
        <v>2.0</v>
      </c>
      <c r="N275" s="52" t="s">
        <v>150</v>
      </c>
      <c r="O275" s="52" t="s">
        <v>109</v>
      </c>
      <c r="P275" s="52" t="s">
        <v>116</v>
      </c>
      <c r="Q275" s="52" t="s">
        <v>120</v>
      </c>
      <c r="R275" s="52" t="s">
        <v>133</v>
      </c>
      <c r="S275" s="52" t="s">
        <v>120</v>
      </c>
      <c r="T275" s="65" t="s">
        <v>27</v>
      </c>
      <c r="U275" s="32">
        <v>1.0</v>
      </c>
      <c r="V275" s="32">
        <v>1.0</v>
      </c>
      <c r="W275" s="32">
        <v>1.0</v>
      </c>
      <c r="X275" s="32">
        <v>1.0</v>
      </c>
      <c r="Y275" s="32">
        <v>1.0</v>
      </c>
      <c r="Z275" s="32">
        <v>1.0</v>
      </c>
      <c r="AA275" s="32">
        <v>6.0</v>
      </c>
      <c r="AB275" s="32">
        <v>0.0</v>
      </c>
      <c r="AC275" s="103" t="str">
        <f>IFERROR(__xludf.DUMMYFUNCTION("if($C275="""","""",if(join("" - "",{iferror(filter('Student Groupings'!$A:$A,'Student Groupings'!$B:$B=$C275,'Student Groupings'!$H:$H=""Can't be Together""),"""");iferror(filter('Student Groupings'!$A:$A,'Student Groupings'!$E:$E=$C275,'Student Groupings"&amp;"'!$H:$H=""Can't be Together""),"""")})="" - "","""",join("" - "",{iferror(filter('Student Groupings'!$A:$A,'Student Groupings'!$B:$B=$C275,'Student Groupings'!$H:$H=""Can't be Together""),"""");iferror(filter('Student Groupings'!$A:$A,'Student Groupings'!"&amp;"$E:$E=$C275,'Student Groupings'!$H:$H=""Can't be Together""),"""")})))"),"")</f>
        <v/>
      </c>
      <c r="AD275" s="103" t="str">
        <f>IFERROR(__xludf.DUMMYFUNCTION("if($C275="""","""",if(join("" - "",{iferror(filter('Student Groupings'!$A:$A,'Student Groupings'!$B:$B=$C275,'Student Groupings'!$H:$H=""Must be Together""),"""");iferror(filter('Student Groupings'!$A:$A,'Student Groupings'!$E:$E=$C275,'Student Groupings'"&amp;"!$H:$H=""Must be Together""),"""")})="" - "","""",join("" - "",{iferror(filter('Student Groupings'!$A:$A,'Student Groupings'!$B:$B=$C275,'Student Groupings'!$H:$H=""Must be Together""),"""");iferror(filter('Student Groupings'!$A:$A,'Student Groupings'!$E:"&amp;"$E=$C275,'Student Groupings'!$H:$H=""Must be Together""),"""")})))"),"")</f>
        <v/>
      </c>
      <c r="AE275" s="104"/>
      <c r="AF275" s="104"/>
      <c r="AG275" s="104"/>
      <c r="AH275" s="104"/>
    </row>
    <row r="276">
      <c r="A276" s="101">
        <v>7.0</v>
      </c>
      <c r="B276" s="101">
        <v>30127.0</v>
      </c>
      <c r="C276" s="102" t="s">
        <v>544</v>
      </c>
      <c r="D276" s="52" t="s">
        <v>175</v>
      </c>
      <c r="E276" s="52">
        <v>6.0</v>
      </c>
      <c r="F276" s="52" t="s">
        <v>163</v>
      </c>
      <c r="G276" s="52">
        <v>4.0</v>
      </c>
      <c r="H276" s="52" t="s">
        <v>184</v>
      </c>
      <c r="I276" s="101">
        <v>5.0</v>
      </c>
      <c r="J276" s="52" t="s">
        <v>195</v>
      </c>
      <c r="K276" s="52">
        <v>1.0</v>
      </c>
      <c r="L276" s="52" t="s">
        <v>200</v>
      </c>
      <c r="M276" s="52">
        <v>3.0</v>
      </c>
      <c r="N276" s="52" t="s">
        <v>154</v>
      </c>
      <c r="O276" s="52" t="s">
        <v>119</v>
      </c>
      <c r="P276" s="52" t="s">
        <v>140</v>
      </c>
      <c r="Q276" s="52" t="s">
        <v>125</v>
      </c>
      <c r="R276" s="52" t="s">
        <v>140</v>
      </c>
      <c r="S276" s="52" t="s">
        <v>125</v>
      </c>
      <c r="T276" s="65" t="s">
        <v>30</v>
      </c>
      <c r="U276" s="32">
        <v>1.0</v>
      </c>
      <c r="V276" s="32">
        <v>1.0</v>
      </c>
      <c r="W276" s="32">
        <v>1.0</v>
      </c>
      <c r="X276" s="32">
        <v>1.0</v>
      </c>
      <c r="Y276" s="32">
        <v>1.0</v>
      </c>
      <c r="Z276" s="32">
        <v>1.0</v>
      </c>
      <c r="AA276" s="32">
        <v>6.0</v>
      </c>
      <c r="AB276" s="32">
        <v>0.0</v>
      </c>
      <c r="AC276" s="103" t="str">
        <f>IFERROR(__xludf.DUMMYFUNCTION("if($C276="""","""",if(join("" - "",{iferror(filter('Student Groupings'!$A:$A,'Student Groupings'!$B:$B=$C276,'Student Groupings'!$H:$H=""Can't be Together""),"""");iferror(filter('Student Groupings'!$A:$A,'Student Groupings'!$E:$E=$C276,'Student Groupings"&amp;"'!$H:$H=""Can't be Together""),"""")})="" - "","""",join("" - "",{iferror(filter('Student Groupings'!$A:$A,'Student Groupings'!$B:$B=$C276,'Student Groupings'!$H:$H=""Can't be Together""),"""");iferror(filter('Student Groupings'!$A:$A,'Student Groupings'!"&amp;"$E:$E=$C276,'Student Groupings'!$H:$H=""Can't be Together""),"""")})))"),"")</f>
        <v/>
      </c>
      <c r="AD276" s="103" t="str">
        <f>IFERROR(__xludf.DUMMYFUNCTION("if($C276="""","""",if(join("" - "",{iferror(filter('Student Groupings'!$A:$A,'Student Groupings'!$B:$B=$C276,'Student Groupings'!$H:$H=""Must be Together""),"""");iferror(filter('Student Groupings'!$A:$A,'Student Groupings'!$E:$E=$C276,'Student Groupings'"&amp;"!$H:$H=""Must be Together""),"""")})="" - "","""",join("" - "",{iferror(filter('Student Groupings'!$A:$A,'Student Groupings'!$B:$B=$C276,'Student Groupings'!$H:$H=""Must be Together""),"""");iferror(filter('Student Groupings'!$A:$A,'Student Groupings'!$E:"&amp;"$E=$C276,'Student Groupings'!$H:$H=""Must be Together""),"""")})))"),"")</f>
        <v/>
      </c>
      <c r="AE276" s="105"/>
      <c r="AF276" s="105">
        <v>1.0</v>
      </c>
      <c r="AG276" s="105">
        <v>1.0</v>
      </c>
      <c r="AH276" s="105"/>
    </row>
    <row r="277">
      <c r="A277" s="101">
        <v>8.0</v>
      </c>
      <c r="B277" s="101">
        <v>29001.0</v>
      </c>
      <c r="C277" s="102" t="s">
        <v>545</v>
      </c>
      <c r="D277" s="52" t="s">
        <v>176</v>
      </c>
      <c r="E277" s="52">
        <v>5.0</v>
      </c>
      <c r="F277" s="52" t="s">
        <v>167</v>
      </c>
      <c r="G277" s="52">
        <v>3.0</v>
      </c>
      <c r="H277" s="52" t="s">
        <v>185</v>
      </c>
      <c r="I277" s="101">
        <v>2.0</v>
      </c>
      <c r="J277" s="52" t="s">
        <v>190</v>
      </c>
      <c r="K277" s="52">
        <v>1.0</v>
      </c>
      <c r="L277" s="52" t="s">
        <v>201</v>
      </c>
      <c r="M277" s="101">
        <v>6.0</v>
      </c>
      <c r="N277" s="52" t="s">
        <v>149</v>
      </c>
      <c r="O277" s="52" t="s">
        <v>111</v>
      </c>
      <c r="P277" s="52" t="s">
        <v>135</v>
      </c>
      <c r="Q277" s="52" t="s">
        <v>130</v>
      </c>
      <c r="R277" s="52" t="s">
        <v>118</v>
      </c>
      <c r="S277" s="52" t="s">
        <v>130</v>
      </c>
      <c r="T277" s="65" t="s">
        <v>27</v>
      </c>
      <c r="U277" s="32">
        <v>1.0</v>
      </c>
      <c r="V277" s="32">
        <v>1.0</v>
      </c>
      <c r="W277" s="32">
        <v>1.0</v>
      </c>
      <c r="X277" s="32">
        <v>1.0</v>
      </c>
      <c r="Y277" s="32">
        <v>1.0</v>
      </c>
      <c r="Z277" s="32">
        <v>1.0</v>
      </c>
      <c r="AA277" s="32">
        <v>6.0</v>
      </c>
      <c r="AB277" s="32">
        <v>0.0</v>
      </c>
      <c r="AC277" s="103" t="str">
        <f>IFERROR(__xludf.DUMMYFUNCTION("if($C277="""","""",if(join("" - "",{iferror(filter('Student Groupings'!$A:$A,'Student Groupings'!$B:$B=$C277,'Student Groupings'!$H:$H=""Can't be Together""),"""");iferror(filter('Student Groupings'!$A:$A,'Student Groupings'!$E:$E=$C277,'Student Groupings"&amp;"'!$H:$H=""Can't be Together""),"""")})="" - "","""",join("" - "",{iferror(filter('Student Groupings'!$A:$A,'Student Groupings'!$B:$B=$C277,'Student Groupings'!$H:$H=""Can't be Together""),"""");iferror(filter('Student Groupings'!$A:$A,'Student Groupings'!"&amp;"$E:$E=$C277,'Student Groupings'!$H:$H=""Can't be Together""),"""")})))"),"")</f>
        <v/>
      </c>
      <c r="AD277" s="103" t="str">
        <f>IFERROR(__xludf.DUMMYFUNCTION("if($C277="""","""",if(join("" - "",{iferror(filter('Student Groupings'!$A:$A,'Student Groupings'!$B:$B=$C277,'Student Groupings'!$H:$H=""Must be Together""),"""");iferror(filter('Student Groupings'!$A:$A,'Student Groupings'!$E:$E=$C277,'Student Groupings'"&amp;"!$H:$H=""Must be Together""),"""")})="" - "","""",join("" - "",{iferror(filter('Student Groupings'!$A:$A,'Student Groupings'!$B:$B=$C277,'Student Groupings'!$H:$H=""Must be Together""),"""");iferror(filter('Student Groupings'!$A:$A,'Student Groupings'!$E:"&amp;"$E=$C277,'Student Groupings'!$H:$H=""Must be Together""),"""")})))"),"")</f>
        <v/>
      </c>
      <c r="AE277" s="104"/>
      <c r="AF277" s="104"/>
      <c r="AG277" s="104"/>
      <c r="AH277" s="104"/>
    </row>
    <row r="278">
      <c r="A278" s="101">
        <v>8.0</v>
      </c>
      <c r="B278" s="101">
        <v>29002.0</v>
      </c>
      <c r="C278" s="102" t="s">
        <v>546</v>
      </c>
      <c r="D278" s="52" t="s">
        <v>176</v>
      </c>
      <c r="E278" s="52">
        <v>3.0</v>
      </c>
      <c r="F278" s="52" t="s">
        <v>167</v>
      </c>
      <c r="G278" s="52">
        <v>5.0</v>
      </c>
      <c r="H278" s="52" t="s">
        <v>185</v>
      </c>
      <c r="I278" s="52">
        <v>6.0</v>
      </c>
      <c r="J278" s="52" t="s">
        <v>190</v>
      </c>
      <c r="K278" s="52">
        <v>2.0</v>
      </c>
      <c r="L278" s="52" t="s">
        <v>201</v>
      </c>
      <c r="M278" s="52">
        <v>4.0</v>
      </c>
      <c r="N278" s="52" t="s">
        <v>149</v>
      </c>
      <c r="O278" s="52" t="s">
        <v>108</v>
      </c>
      <c r="P278" s="52" t="s">
        <v>141</v>
      </c>
      <c r="Q278" s="52" t="s">
        <v>129</v>
      </c>
      <c r="R278" s="52" t="s">
        <v>141</v>
      </c>
      <c r="S278" s="52" t="s">
        <v>129</v>
      </c>
      <c r="T278" s="65" t="s">
        <v>30</v>
      </c>
      <c r="U278" s="32">
        <v>1.0</v>
      </c>
      <c r="V278" s="32">
        <v>1.0</v>
      </c>
      <c r="W278" s="32">
        <v>1.0</v>
      </c>
      <c r="X278" s="32">
        <v>1.0</v>
      </c>
      <c r="Y278" s="32">
        <v>1.0</v>
      </c>
      <c r="Z278" s="32">
        <v>1.0</v>
      </c>
      <c r="AA278" s="32">
        <v>6.0</v>
      </c>
      <c r="AB278" s="32">
        <v>0.0</v>
      </c>
      <c r="AC278" s="103" t="str">
        <f>IFERROR(__xludf.DUMMYFUNCTION("if($C278="""","""",if(join("" - "",{iferror(filter('Student Groupings'!$A:$A,'Student Groupings'!$B:$B=$C278,'Student Groupings'!$H:$H=""Can't be Together""),"""");iferror(filter('Student Groupings'!$A:$A,'Student Groupings'!$E:$E=$C278,'Student Groupings"&amp;"'!$H:$H=""Can't be Together""),"""")})="" - "","""",join("" - "",{iferror(filter('Student Groupings'!$A:$A,'Student Groupings'!$B:$B=$C278,'Student Groupings'!$H:$H=""Can't be Together""),"""");iferror(filter('Student Groupings'!$A:$A,'Student Groupings'!"&amp;"$E:$E=$C278,'Student Groupings'!$H:$H=""Can't be Together""),"""")})))"),"")</f>
        <v/>
      </c>
      <c r="AD278" s="103" t="str">
        <f>IFERROR(__xludf.DUMMYFUNCTION("if($C278="""","""",if(join("" - "",{iferror(filter('Student Groupings'!$A:$A,'Student Groupings'!$B:$B=$C278,'Student Groupings'!$H:$H=""Must be Together""),"""");iferror(filter('Student Groupings'!$A:$A,'Student Groupings'!$E:$E=$C278,'Student Groupings'"&amp;"!$H:$H=""Must be Together""),"""")})="" - "","""",join("" - "",{iferror(filter('Student Groupings'!$A:$A,'Student Groupings'!$B:$B=$C278,'Student Groupings'!$H:$H=""Must be Together""),"""");iferror(filter('Student Groupings'!$A:$A,'Student Groupings'!$E:"&amp;"$E=$C278,'Student Groupings'!$H:$H=""Must be Together""),"""")})))"),"")</f>
        <v/>
      </c>
      <c r="AE278" s="104"/>
      <c r="AF278" s="104"/>
      <c r="AG278" s="104"/>
      <c r="AH278" s="104"/>
    </row>
    <row r="279">
      <c r="A279" s="101">
        <v>8.0</v>
      </c>
      <c r="B279" s="101">
        <v>29003.0</v>
      </c>
      <c r="C279" s="102" t="s">
        <v>547</v>
      </c>
      <c r="D279" s="52" t="s">
        <v>176</v>
      </c>
      <c r="E279" s="52">
        <v>4.0</v>
      </c>
      <c r="F279" s="52" t="s">
        <v>162</v>
      </c>
      <c r="G279" s="101">
        <v>6.0</v>
      </c>
      <c r="H279" s="52" t="s">
        <v>185</v>
      </c>
      <c r="I279" s="52">
        <v>1.0</v>
      </c>
      <c r="J279" s="52" t="s">
        <v>190</v>
      </c>
      <c r="K279" s="52">
        <v>3.0</v>
      </c>
      <c r="L279" s="52" t="s">
        <v>201</v>
      </c>
      <c r="M279" s="52">
        <v>2.0</v>
      </c>
      <c r="N279" s="52" t="s">
        <v>149</v>
      </c>
      <c r="O279" s="52" t="s">
        <v>112</v>
      </c>
      <c r="P279" s="52" t="s">
        <v>135</v>
      </c>
      <c r="Q279" s="52" t="s">
        <v>124</v>
      </c>
      <c r="R279" s="52" t="s">
        <v>118</v>
      </c>
      <c r="S279" s="52" t="s">
        <v>124</v>
      </c>
      <c r="T279" s="65" t="s">
        <v>27</v>
      </c>
      <c r="U279" s="32">
        <v>1.0</v>
      </c>
      <c r="V279" s="32">
        <v>1.0</v>
      </c>
      <c r="W279" s="32">
        <v>1.0</v>
      </c>
      <c r="X279" s="32">
        <v>1.0</v>
      </c>
      <c r="Y279" s="32">
        <v>1.0</v>
      </c>
      <c r="Z279" s="32">
        <v>1.0</v>
      </c>
      <c r="AA279" s="32">
        <v>6.0</v>
      </c>
      <c r="AB279" s="32">
        <v>0.0</v>
      </c>
      <c r="AC279" s="103" t="str">
        <f>IFERROR(__xludf.DUMMYFUNCTION("if($C279="""","""",if(join("" - "",{iferror(filter('Student Groupings'!$A:$A,'Student Groupings'!$B:$B=$C279,'Student Groupings'!$H:$H=""Can't be Together""),"""");iferror(filter('Student Groupings'!$A:$A,'Student Groupings'!$E:$E=$C279,'Student Groupings"&amp;"'!$H:$H=""Can't be Together""),"""")})="" - "","""",join("" - "",{iferror(filter('Student Groupings'!$A:$A,'Student Groupings'!$B:$B=$C279,'Student Groupings'!$H:$H=""Can't be Together""),"""");iferror(filter('Student Groupings'!$A:$A,'Student Groupings'!"&amp;"$E:$E=$C279,'Student Groupings'!$H:$H=""Can't be Together""),"""")})))"),"")</f>
        <v/>
      </c>
      <c r="AD279" s="103" t="str">
        <f>IFERROR(__xludf.DUMMYFUNCTION("if($C279="""","""",if(join("" - "",{iferror(filter('Student Groupings'!$A:$A,'Student Groupings'!$B:$B=$C279,'Student Groupings'!$H:$H=""Must be Together""),"""");iferror(filter('Student Groupings'!$A:$A,'Student Groupings'!$E:$E=$C279,'Student Groupings'"&amp;"!$H:$H=""Must be Together""),"""")})="" - "","""",join("" - "",{iferror(filter('Student Groupings'!$A:$A,'Student Groupings'!$B:$B=$C279,'Student Groupings'!$H:$H=""Must be Together""),"""");iferror(filter('Student Groupings'!$A:$A,'Student Groupings'!$E:"&amp;"$E=$C279,'Student Groupings'!$H:$H=""Must be Together""),"""")})))"),"")</f>
        <v/>
      </c>
      <c r="AE279" s="104"/>
      <c r="AF279" s="104"/>
      <c r="AG279" s="104"/>
      <c r="AH279" s="104"/>
    </row>
    <row r="280">
      <c r="A280" s="101">
        <v>8.0</v>
      </c>
      <c r="B280" s="101">
        <v>29004.0</v>
      </c>
      <c r="C280" s="102" t="s">
        <v>548</v>
      </c>
      <c r="D280" s="52" t="s">
        <v>176</v>
      </c>
      <c r="E280" s="52">
        <v>4.0</v>
      </c>
      <c r="F280" s="52" t="s">
        <v>167</v>
      </c>
      <c r="G280" s="52">
        <v>5.0</v>
      </c>
      <c r="H280" s="52" t="s">
        <v>185</v>
      </c>
      <c r="I280" s="52">
        <v>1.0</v>
      </c>
      <c r="J280" s="52" t="s">
        <v>190</v>
      </c>
      <c r="K280" s="52">
        <v>3.0</v>
      </c>
      <c r="L280" s="52" t="s">
        <v>201</v>
      </c>
      <c r="M280" s="52">
        <v>2.0</v>
      </c>
      <c r="N280" s="52" t="s">
        <v>149</v>
      </c>
      <c r="O280" s="52" t="s">
        <v>120</v>
      </c>
      <c r="P280" s="52" t="s">
        <v>141</v>
      </c>
      <c r="Q280" s="52" t="s">
        <v>109</v>
      </c>
      <c r="R280" s="52" t="s">
        <v>141</v>
      </c>
      <c r="S280" s="52" t="s">
        <v>109</v>
      </c>
      <c r="T280" s="65" t="s">
        <v>30</v>
      </c>
      <c r="U280" s="32">
        <v>1.0</v>
      </c>
      <c r="V280" s="32">
        <v>1.0</v>
      </c>
      <c r="W280" s="32">
        <v>1.0</v>
      </c>
      <c r="X280" s="32">
        <v>1.0</v>
      </c>
      <c r="Y280" s="32">
        <v>1.0</v>
      </c>
      <c r="Z280" s="32">
        <v>1.0</v>
      </c>
      <c r="AA280" s="32">
        <v>6.0</v>
      </c>
      <c r="AB280" s="32">
        <v>0.0</v>
      </c>
      <c r="AC280" s="103" t="str">
        <f>IFERROR(__xludf.DUMMYFUNCTION("if($C280="""","""",if(join("" - "",{iferror(filter('Student Groupings'!$A:$A,'Student Groupings'!$B:$B=$C280,'Student Groupings'!$H:$H=""Can't be Together""),"""");iferror(filter('Student Groupings'!$A:$A,'Student Groupings'!$E:$E=$C280,'Student Groupings"&amp;"'!$H:$H=""Can't be Together""),"""")})="" - "","""",join("" - "",{iferror(filter('Student Groupings'!$A:$A,'Student Groupings'!$B:$B=$C280,'Student Groupings'!$H:$H=""Can't be Together""),"""");iferror(filter('Student Groupings'!$A:$A,'Student Groupings'!"&amp;"$E:$E=$C280,'Student Groupings'!$H:$H=""Can't be Together""),"""")})))"),"")</f>
        <v/>
      </c>
      <c r="AD280" s="103" t="str">
        <f>IFERROR(__xludf.DUMMYFUNCTION("if($C280="""","""",if(join("" - "",{iferror(filter('Student Groupings'!$A:$A,'Student Groupings'!$B:$B=$C280,'Student Groupings'!$H:$H=""Must be Together""),"""");iferror(filter('Student Groupings'!$A:$A,'Student Groupings'!$E:$E=$C280,'Student Groupings'"&amp;"!$H:$H=""Must be Together""),"""")})="" - "","""",join("" - "",{iferror(filter('Student Groupings'!$A:$A,'Student Groupings'!$B:$B=$C280,'Student Groupings'!$H:$H=""Must be Together""),"""");iferror(filter('Student Groupings'!$A:$A,'Student Groupings'!$E:"&amp;"$E=$C280,'Student Groupings'!$H:$H=""Must be Together""),"""")})))"),"")</f>
        <v/>
      </c>
      <c r="AE280" s="104"/>
      <c r="AF280" s="104"/>
      <c r="AG280" s="104"/>
      <c r="AH280" s="104"/>
    </row>
    <row r="281">
      <c r="A281" s="101">
        <v>8.0</v>
      </c>
      <c r="B281" s="101">
        <v>29170.0</v>
      </c>
      <c r="C281" s="102" t="s">
        <v>549</v>
      </c>
      <c r="D281" s="52" t="s">
        <v>176</v>
      </c>
      <c r="E281" s="52">
        <v>4.0</v>
      </c>
      <c r="F281" s="52" t="s">
        <v>162</v>
      </c>
      <c r="G281" s="52">
        <v>6.0</v>
      </c>
      <c r="H281" s="52" t="s">
        <v>185</v>
      </c>
      <c r="I281" s="52">
        <v>5.0</v>
      </c>
      <c r="J281" s="52" t="s">
        <v>190</v>
      </c>
      <c r="K281" s="52">
        <v>3.0</v>
      </c>
      <c r="L281" s="52" t="s">
        <v>201</v>
      </c>
      <c r="M281" s="52">
        <v>2.0</v>
      </c>
      <c r="N281" s="52" t="s">
        <v>149</v>
      </c>
      <c r="O281" s="52" t="s">
        <v>108</v>
      </c>
      <c r="P281" s="52" t="s">
        <v>141</v>
      </c>
      <c r="Q281" s="52" t="s">
        <v>129</v>
      </c>
      <c r="R281" s="52" t="s">
        <v>141</v>
      </c>
      <c r="S281" s="52" t="s">
        <v>129</v>
      </c>
      <c r="T281" s="65" t="s">
        <v>8</v>
      </c>
      <c r="U281" s="32">
        <v>1.0</v>
      </c>
      <c r="V281" s="32">
        <v>1.0</v>
      </c>
      <c r="W281" s="32">
        <v>1.0</v>
      </c>
      <c r="X281" s="32">
        <v>1.0</v>
      </c>
      <c r="Y281" s="32">
        <v>1.0</v>
      </c>
      <c r="Z281" s="32">
        <v>1.0</v>
      </c>
      <c r="AA281" s="32">
        <v>6.0</v>
      </c>
      <c r="AB281" s="32">
        <v>0.0</v>
      </c>
      <c r="AC281" s="103" t="str">
        <f>IFERROR(__xludf.DUMMYFUNCTION("if($C281="""","""",if(join("" - "",{iferror(filter('Student Groupings'!$A:$A,'Student Groupings'!$B:$B=$C281,'Student Groupings'!$H:$H=""Can't be Together""),"""");iferror(filter('Student Groupings'!$A:$A,'Student Groupings'!$E:$E=$C281,'Student Groupings"&amp;"'!$H:$H=""Can't be Together""),"""")})="" - "","""",join("" - "",{iferror(filter('Student Groupings'!$A:$A,'Student Groupings'!$B:$B=$C281,'Student Groupings'!$H:$H=""Can't be Together""),"""");iferror(filter('Student Groupings'!$A:$A,'Student Groupings'!"&amp;"$E:$E=$C281,'Student Groupings'!$H:$H=""Can't be Together""),"""")})))"),"")</f>
        <v/>
      </c>
      <c r="AD281" s="103" t="str">
        <f>IFERROR(__xludf.DUMMYFUNCTION("if($C281="""","""",if(join("" - "",{iferror(filter('Student Groupings'!$A:$A,'Student Groupings'!$B:$B=$C281,'Student Groupings'!$H:$H=""Must be Together""),"""");iferror(filter('Student Groupings'!$A:$A,'Student Groupings'!$E:$E=$C281,'Student Groupings'"&amp;"!$H:$H=""Must be Together""),"""")})="" - "","""",join("" - "",{iferror(filter('Student Groupings'!$A:$A,'Student Groupings'!$B:$B=$C281,'Student Groupings'!$H:$H=""Must be Together""),"""");iferror(filter('Student Groupings'!$A:$A,'Student Groupings'!$E:"&amp;"$E=$C281,'Student Groupings'!$H:$H=""Must be Together""),"""")})))"),"")</f>
        <v/>
      </c>
      <c r="AE281" s="104"/>
      <c r="AF281" s="104"/>
      <c r="AG281" s="104"/>
      <c r="AH281" s="104"/>
    </row>
    <row r="282">
      <c r="A282" s="101">
        <v>8.0</v>
      </c>
      <c r="B282" s="101">
        <v>29007.0</v>
      </c>
      <c r="C282" s="102" t="s">
        <v>261</v>
      </c>
      <c r="D282" s="52" t="s">
        <v>176</v>
      </c>
      <c r="E282" s="52">
        <v>2.0</v>
      </c>
      <c r="F282" s="52" t="s">
        <v>162</v>
      </c>
      <c r="G282" s="52">
        <v>6.0</v>
      </c>
      <c r="H282" s="52" t="s">
        <v>185</v>
      </c>
      <c r="I282" s="52">
        <v>5.0</v>
      </c>
      <c r="J282" s="52" t="s">
        <v>190</v>
      </c>
      <c r="K282" s="52">
        <v>4.0</v>
      </c>
      <c r="L282" s="52" t="s">
        <v>201</v>
      </c>
      <c r="M282" s="52">
        <v>3.0</v>
      </c>
      <c r="N282" s="52" t="s">
        <v>149</v>
      </c>
      <c r="O282" s="52" t="s">
        <v>108</v>
      </c>
      <c r="P282" s="52" t="s">
        <v>141</v>
      </c>
      <c r="Q282" s="52" t="s">
        <v>129</v>
      </c>
      <c r="R282" s="52" t="s">
        <v>141</v>
      </c>
      <c r="S282" s="52" t="s">
        <v>129</v>
      </c>
      <c r="T282" s="65" t="s">
        <v>30</v>
      </c>
      <c r="U282" s="32">
        <v>1.0</v>
      </c>
      <c r="V282" s="32">
        <v>1.0</v>
      </c>
      <c r="W282" s="32">
        <v>1.0</v>
      </c>
      <c r="X282" s="32">
        <v>1.0</v>
      </c>
      <c r="Y282" s="32">
        <v>1.0</v>
      </c>
      <c r="Z282" s="32">
        <v>1.0</v>
      </c>
      <c r="AA282" s="32">
        <v>6.0</v>
      </c>
      <c r="AB282" s="32">
        <v>0.0</v>
      </c>
      <c r="AC282" s="103" t="str">
        <f>IFERROR(__xludf.DUMMYFUNCTION("if($C282="""","""",if(join("" - "",{iferror(filter('Student Groupings'!$A:$A,'Student Groupings'!$B:$B=$C282,'Student Groupings'!$H:$H=""Can't be Together""),"""");iferror(filter('Student Groupings'!$A:$A,'Student Groupings'!$E:$E=$C282,'Student Groupings"&amp;"'!$H:$H=""Can't be Together""),"""")})="" - "","""",join("" - "",{iferror(filter('Student Groupings'!$A:$A,'Student Groupings'!$B:$B=$C282,'Student Groupings'!$H:$H=""Can't be Together""),"""");iferror(filter('Student Groupings'!$A:$A,'Student Groupings'!"&amp;"$E:$E=$C282,'Student Groupings'!$H:$H=""Can't be Together""),"""")})))"),"43 - 44 - ")</f>
        <v>43 - 44 - </v>
      </c>
      <c r="AD282" s="103" t="str">
        <f>IFERROR(__xludf.DUMMYFUNCTION("if($C282="""","""",if(join("" - "",{iferror(filter('Student Groupings'!$A:$A,'Student Groupings'!$B:$B=$C282,'Student Groupings'!$H:$H=""Must be Together""),"""");iferror(filter('Student Groupings'!$A:$A,'Student Groupings'!$E:$E=$C282,'Student Groupings'"&amp;"!$H:$H=""Must be Together""),"""")})="" - "","""",join("" - "",{iferror(filter('Student Groupings'!$A:$A,'Student Groupings'!$B:$B=$C282,'Student Groupings'!$H:$H=""Must be Together""),"""");iferror(filter('Student Groupings'!$A:$A,'Student Groupings'!$E:"&amp;"$E=$C282,'Student Groupings'!$H:$H=""Must be Together""),"""")})))"),"")</f>
        <v/>
      </c>
      <c r="AE282" s="104"/>
      <c r="AF282" s="104"/>
      <c r="AG282" s="104"/>
      <c r="AH282" s="104"/>
    </row>
    <row r="283">
      <c r="A283" s="101">
        <v>8.0</v>
      </c>
      <c r="B283" s="101">
        <v>29008.0</v>
      </c>
      <c r="C283" s="102" t="s">
        <v>550</v>
      </c>
      <c r="D283" s="52" t="s">
        <v>176</v>
      </c>
      <c r="E283" s="52">
        <v>5.0</v>
      </c>
      <c r="F283" s="52" t="s">
        <v>167</v>
      </c>
      <c r="G283" s="52">
        <v>4.0</v>
      </c>
      <c r="H283" s="52" t="s">
        <v>185</v>
      </c>
      <c r="I283" s="52">
        <v>3.0</v>
      </c>
      <c r="J283" s="52" t="s">
        <v>190</v>
      </c>
      <c r="K283" s="52">
        <v>1.0</v>
      </c>
      <c r="L283" s="52" t="s">
        <v>201</v>
      </c>
      <c r="M283" s="52">
        <v>6.0</v>
      </c>
      <c r="N283" s="52" t="s">
        <v>149</v>
      </c>
      <c r="O283" s="52" t="s">
        <v>125</v>
      </c>
      <c r="P283" s="52" t="s">
        <v>141</v>
      </c>
      <c r="Q283" s="52" t="s">
        <v>119</v>
      </c>
      <c r="R283" s="52" t="s">
        <v>141</v>
      </c>
      <c r="S283" s="52" t="s">
        <v>119</v>
      </c>
      <c r="T283" s="65" t="s">
        <v>30</v>
      </c>
      <c r="U283" s="32">
        <v>1.0</v>
      </c>
      <c r="V283" s="32">
        <v>1.0</v>
      </c>
      <c r="W283" s="32">
        <v>1.0</v>
      </c>
      <c r="X283" s="32">
        <v>1.0</v>
      </c>
      <c r="Y283" s="32">
        <v>1.0</v>
      </c>
      <c r="Z283" s="32">
        <v>1.0</v>
      </c>
      <c r="AA283" s="32">
        <v>6.0</v>
      </c>
      <c r="AB283" s="32">
        <v>0.0</v>
      </c>
      <c r="AC283" s="103" t="str">
        <f>IFERROR(__xludf.DUMMYFUNCTION("if($C283="""","""",if(join("" - "",{iferror(filter('Student Groupings'!$A:$A,'Student Groupings'!$B:$B=$C283,'Student Groupings'!$H:$H=""Can't be Together""),"""");iferror(filter('Student Groupings'!$A:$A,'Student Groupings'!$E:$E=$C283,'Student Groupings"&amp;"'!$H:$H=""Can't be Together""),"""")})="" - "","""",join("" - "",{iferror(filter('Student Groupings'!$A:$A,'Student Groupings'!$B:$B=$C283,'Student Groupings'!$H:$H=""Can't be Together""),"""");iferror(filter('Student Groupings'!$A:$A,'Student Groupings'!"&amp;"$E:$E=$C283,'Student Groupings'!$H:$H=""Can't be Together""),"""")})))"),"")</f>
        <v/>
      </c>
      <c r="AD283" s="103" t="str">
        <f>IFERROR(__xludf.DUMMYFUNCTION("if($C283="""","""",if(join("" - "",{iferror(filter('Student Groupings'!$A:$A,'Student Groupings'!$B:$B=$C283,'Student Groupings'!$H:$H=""Must be Together""),"""");iferror(filter('Student Groupings'!$A:$A,'Student Groupings'!$E:$E=$C283,'Student Groupings'"&amp;"!$H:$H=""Must be Together""),"""")})="" - "","""",join("" - "",{iferror(filter('Student Groupings'!$A:$A,'Student Groupings'!$B:$B=$C283,'Student Groupings'!$H:$H=""Must be Together""),"""");iferror(filter('Student Groupings'!$A:$A,'Student Groupings'!$E:"&amp;"$E=$C283,'Student Groupings'!$H:$H=""Must be Together""),"""")})))"),"")</f>
        <v/>
      </c>
      <c r="AE283" s="104"/>
      <c r="AF283" s="104"/>
      <c r="AG283" s="104"/>
      <c r="AH283" s="104"/>
    </row>
    <row r="284">
      <c r="A284" s="101">
        <v>8.0</v>
      </c>
      <c r="B284" s="101">
        <v>29009.0</v>
      </c>
      <c r="C284" s="102" t="s">
        <v>551</v>
      </c>
      <c r="D284" s="52" t="s">
        <v>176</v>
      </c>
      <c r="E284" s="52">
        <v>3.0</v>
      </c>
      <c r="F284" s="52" t="s">
        <v>162</v>
      </c>
      <c r="G284" s="52">
        <v>6.0</v>
      </c>
      <c r="H284" s="52" t="s">
        <v>185</v>
      </c>
      <c r="I284" s="52">
        <v>5.0</v>
      </c>
      <c r="J284" s="52" t="s">
        <v>190</v>
      </c>
      <c r="K284" s="52">
        <v>2.0</v>
      </c>
      <c r="L284" s="52" t="s">
        <v>201</v>
      </c>
      <c r="M284" s="52">
        <v>4.0</v>
      </c>
      <c r="N284" s="52" t="s">
        <v>149</v>
      </c>
      <c r="O284" s="52" t="s">
        <v>108</v>
      </c>
      <c r="P284" s="52" t="s">
        <v>141</v>
      </c>
      <c r="Q284" s="52" t="s">
        <v>129</v>
      </c>
      <c r="R284" s="52" t="s">
        <v>141</v>
      </c>
      <c r="S284" s="52" t="s">
        <v>129</v>
      </c>
      <c r="T284" s="65" t="s">
        <v>8</v>
      </c>
      <c r="U284" s="32">
        <v>1.0</v>
      </c>
      <c r="V284" s="32">
        <v>1.0</v>
      </c>
      <c r="W284" s="32">
        <v>1.0</v>
      </c>
      <c r="X284" s="32">
        <v>1.0</v>
      </c>
      <c r="Y284" s="32">
        <v>1.0</v>
      </c>
      <c r="Z284" s="32">
        <v>1.0</v>
      </c>
      <c r="AA284" s="32">
        <v>6.0</v>
      </c>
      <c r="AB284" s="32">
        <v>0.0</v>
      </c>
      <c r="AC284" s="103" t="str">
        <f>IFERROR(__xludf.DUMMYFUNCTION("if($C284="""","""",if(join("" - "",{iferror(filter('Student Groupings'!$A:$A,'Student Groupings'!$B:$B=$C284,'Student Groupings'!$H:$H=""Can't be Together""),"""");iferror(filter('Student Groupings'!$A:$A,'Student Groupings'!$E:$E=$C284,'Student Groupings"&amp;"'!$H:$H=""Can't be Together""),"""")})="" - "","""",join("" - "",{iferror(filter('Student Groupings'!$A:$A,'Student Groupings'!$B:$B=$C284,'Student Groupings'!$H:$H=""Can't be Together""),"""");iferror(filter('Student Groupings'!$A:$A,'Student Groupings'!"&amp;"$E:$E=$C284,'Student Groupings'!$H:$H=""Can't be Together""),"""")})))"),"")</f>
        <v/>
      </c>
      <c r="AD284" s="103" t="str">
        <f>IFERROR(__xludf.DUMMYFUNCTION("if($C284="""","""",if(join("" - "",{iferror(filter('Student Groupings'!$A:$A,'Student Groupings'!$B:$B=$C284,'Student Groupings'!$H:$H=""Must be Together""),"""");iferror(filter('Student Groupings'!$A:$A,'Student Groupings'!$E:$E=$C284,'Student Groupings'"&amp;"!$H:$H=""Must be Together""),"""")})="" - "","""",join("" - "",{iferror(filter('Student Groupings'!$A:$A,'Student Groupings'!$B:$B=$C284,'Student Groupings'!$H:$H=""Must be Together""),"""");iferror(filter('Student Groupings'!$A:$A,'Student Groupings'!$E:"&amp;"$E=$C284,'Student Groupings'!$H:$H=""Must be Together""),"""")})))"),"")</f>
        <v/>
      </c>
      <c r="AE284" s="104"/>
      <c r="AF284" s="104"/>
      <c r="AG284" s="104"/>
      <c r="AH284" s="104"/>
    </row>
    <row r="285">
      <c r="A285" s="101">
        <v>8.0</v>
      </c>
      <c r="B285" s="101">
        <v>29010.0</v>
      </c>
      <c r="C285" s="102" t="s">
        <v>552</v>
      </c>
      <c r="D285" s="52" t="s">
        <v>176</v>
      </c>
      <c r="E285" s="52">
        <v>5.0</v>
      </c>
      <c r="F285" s="52" t="s">
        <v>167</v>
      </c>
      <c r="G285" s="52">
        <v>3.0</v>
      </c>
      <c r="H285" s="52" t="s">
        <v>185</v>
      </c>
      <c r="I285" s="52">
        <v>2.0</v>
      </c>
      <c r="J285" s="52" t="s">
        <v>190</v>
      </c>
      <c r="K285" s="52">
        <v>1.0</v>
      </c>
      <c r="L285" s="52" t="s">
        <v>201</v>
      </c>
      <c r="M285" s="52">
        <v>6.0</v>
      </c>
      <c r="N285" s="52" t="s">
        <v>149</v>
      </c>
      <c r="O285" s="52" t="s">
        <v>111</v>
      </c>
      <c r="P285" s="52" t="s">
        <v>135</v>
      </c>
      <c r="Q285" s="52" t="s">
        <v>130</v>
      </c>
      <c r="R285" s="52" t="s">
        <v>118</v>
      </c>
      <c r="S285" s="52" t="s">
        <v>130</v>
      </c>
      <c r="T285" s="65" t="s">
        <v>27</v>
      </c>
      <c r="U285" s="32">
        <v>1.0</v>
      </c>
      <c r="V285" s="32">
        <v>1.0</v>
      </c>
      <c r="W285" s="32">
        <v>1.0</v>
      </c>
      <c r="X285" s="32">
        <v>1.0</v>
      </c>
      <c r="Y285" s="32">
        <v>1.0</v>
      </c>
      <c r="Z285" s="32">
        <v>1.0</v>
      </c>
      <c r="AA285" s="32">
        <v>6.0</v>
      </c>
      <c r="AB285" s="32">
        <v>0.0</v>
      </c>
      <c r="AC285" s="103" t="str">
        <f>IFERROR(__xludf.DUMMYFUNCTION("if($C285="""","""",if(join("" - "",{iferror(filter('Student Groupings'!$A:$A,'Student Groupings'!$B:$B=$C285,'Student Groupings'!$H:$H=""Can't be Together""),"""");iferror(filter('Student Groupings'!$A:$A,'Student Groupings'!$E:$E=$C285,'Student Groupings"&amp;"'!$H:$H=""Can't be Together""),"""")})="" - "","""",join("" - "",{iferror(filter('Student Groupings'!$A:$A,'Student Groupings'!$B:$B=$C285,'Student Groupings'!$H:$H=""Can't be Together""),"""");iferror(filter('Student Groupings'!$A:$A,'Student Groupings'!"&amp;"$E:$E=$C285,'Student Groupings'!$H:$H=""Can't be Together""),"""")})))"),"")</f>
        <v/>
      </c>
      <c r="AD285" s="103" t="str">
        <f>IFERROR(__xludf.DUMMYFUNCTION("if($C285="""","""",if(join("" - "",{iferror(filter('Student Groupings'!$A:$A,'Student Groupings'!$B:$B=$C285,'Student Groupings'!$H:$H=""Must be Together""),"""");iferror(filter('Student Groupings'!$A:$A,'Student Groupings'!$E:$E=$C285,'Student Groupings'"&amp;"!$H:$H=""Must be Together""),"""")})="" - "","""",join("" - "",{iferror(filter('Student Groupings'!$A:$A,'Student Groupings'!$B:$B=$C285,'Student Groupings'!$H:$H=""Must be Together""),"""");iferror(filter('Student Groupings'!$A:$A,'Student Groupings'!$E:"&amp;"$E=$C285,'Student Groupings'!$H:$H=""Must be Together""),"""")})))"),"")</f>
        <v/>
      </c>
      <c r="AE285" s="104"/>
      <c r="AF285" s="104"/>
      <c r="AG285" s="104"/>
      <c r="AH285" s="104"/>
    </row>
    <row r="286">
      <c r="A286" s="101">
        <v>8.0</v>
      </c>
      <c r="B286" s="101">
        <v>29011.0</v>
      </c>
      <c r="C286" s="102" t="s">
        <v>290</v>
      </c>
      <c r="D286" s="52" t="s">
        <v>176</v>
      </c>
      <c r="E286" s="52">
        <v>4.0</v>
      </c>
      <c r="F286" s="52" t="s">
        <v>167</v>
      </c>
      <c r="G286" s="52">
        <v>5.0</v>
      </c>
      <c r="H286" s="52" t="s">
        <v>185</v>
      </c>
      <c r="I286" s="101">
        <v>1.0</v>
      </c>
      <c r="J286" s="52" t="s">
        <v>190</v>
      </c>
      <c r="K286" s="52">
        <v>3.0</v>
      </c>
      <c r="L286" s="52" t="s">
        <v>201</v>
      </c>
      <c r="M286" s="52">
        <v>2.0</v>
      </c>
      <c r="N286" s="52" t="s">
        <v>149</v>
      </c>
      <c r="O286" s="52" t="s">
        <v>120</v>
      </c>
      <c r="P286" s="52" t="s">
        <v>141</v>
      </c>
      <c r="Q286" s="52" t="s">
        <v>109</v>
      </c>
      <c r="R286" s="52" t="s">
        <v>141</v>
      </c>
      <c r="S286" s="52" t="s">
        <v>109</v>
      </c>
      <c r="T286" s="65" t="s">
        <v>30</v>
      </c>
      <c r="U286" s="32">
        <v>1.0</v>
      </c>
      <c r="V286" s="32">
        <v>1.0</v>
      </c>
      <c r="W286" s="32">
        <v>1.0</v>
      </c>
      <c r="X286" s="32">
        <v>1.0</v>
      </c>
      <c r="Y286" s="32">
        <v>1.0</v>
      </c>
      <c r="Z286" s="32">
        <v>1.0</v>
      </c>
      <c r="AA286" s="32">
        <v>6.0</v>
      </c>
      <c r="AB286" s="32">
        <v>0.0</v>
      </c>
      <c r="AC286" s="103" t="str">
        <f>IFERROR(__xludf.DUMMYFUNCTION("if($C286="""","""",if(join("" - "",{iferror(filter('Student Groupings'!$A:$A,'Student Groupings'!$B:$B=$C286,'Student Groupings'!$H:$H=""Can't be Together""),"""");iferror(filter('Student Groupings'!$A:$A,'Student Groupings'!$E:$E=$C286,'Student Groupings"&amp;"'!$H:$H=""Can't be Together""),"""")})="" - "","""",join("" - "",{iferror(filter('Student Groupings'!$A:$A,'Student Groupings'!$B:$B=$C286,'Student Groupings'!$H:$H=""Can't be Together""),"""");iferror(filter('Student Groupings'!$A:$A,'Student Groupings'!"&amp;"$E:$E=$C286,'Student Groupings'!$H:$H=""Can't be Together""),"""")})))"),"")</f>
        <v/>
      </c>
      <c r="AD286" s="103" t="str">
        <f>IFERROR(__xludf.DUMMYFUNCTION("if($C286="""","""",if(join("" - "",{iferror(filter('Student Groupings'!$A:$A,'Student Groupings'!$B:$B=$C286,'Student Groupings'!$H:$H=""Must be Together""),"""");iferror(filter('Student Groupings'!$A:$A,'Student Groupings'!$E:$E=$C286,'Student Groupings'"&amp;"!$H:$H=""Must be Together""),"""")})="" - "","""",join("" - "",{iferror(filter('Student Groupings'!$A:$A,'Student Groupings'!$B:$B=$C286,'Student Groupings'!$H:$H=""Must be Together""),"""");iferror(filter('Student Groupings'!$A:$A,'Student Groupings'!$E:"&amp;"$E=$C286,'Student Groupings'!$H:$H=""Must be Together""),"""")})))")," - 121")</f>
        <v> - 121</v>
      </c>
      <c r="AE286" s="104"/>
      <c r="AF286" s="104"/>
      <c r="AG286" s="105"/>
      <c r="AH286" s="105"/>
    </row>
    <row r="287">
      <c r="A287" s="101">
        <v>8.0</v>
      </c>
      <c r="B287" s="101">
        <v>29012.0</v>
      </c>
      <c r="C287" s="102" t="s">
        <v>553</v>
      </c>
      <c r="D287" s="52" t="s">
        <v>176</v>
      </c>
      <c r="E287" s="52">
        <v>4.0</v>
      </c>
      <c r="F287" s="52" t="s">
        <v>167</v>
      </c>
      <c r="G287" s="52">
        <v>5.0</v>
      </c>
      <c r="H287" s="52" t="s">
        <v>187</v>
      </c>
      <c r="I287" s="52">
        <v>6.0</v>
      </c>
      <c r="J287" s="52" t="s">
        <v>190</v>
      </c>
      <c r="K287" s="52">
        <v>3.0</v>
      </c>
      <c r="L287" s="52" t="s">
        <v>201</v>
      </c>
      <c r="M287" s="52">
        <v>2.0</v>
      </c>
      <c r="N287" s="52" t="s">
        <v>149</v>
      </c>
      <c r="O287" s="52" t="s">
        <v>108</v>
      </c>
      <c r="P287" s="52" t="s">
        <v>141</v>
      </c>
      <c r="Q287" s="52" t="s">
        <v>129</v>
      </c>
      <c r="R287" s="52" t="s">
        <v>141</v>
      </c>
      <c r="S287" s="52" t="s">
        <v>129</v>
      </c>
      <c r="T287" s="65" t="s">
        <v>30</v>
      </c>
      <c r="U287" s="32">
        <v>1.0</v>
      </c>
      <c r="V287" s="32">
        <v>1.0</v>
      </c>
      <c r="W287" s="32">
        <v>1.0</v>
      </c>
      <c r="X287" s="32">
        <v>1.0</v>
      </c>
      <c r="Y287" s="32">
        <v>1.0</v>
      </c>
      <c r="Z287" s="32">
        <v>1.0</v>
      </c>
      <c r="AA287" s="32">
        <v>6.0</v>
      </c>
      <c r="AB287" s="32">
        <v>0.0</v>
      </c>
      <c r="AC287" s="103" t="str">
        <f>IFERROR(__xludf.DUMMYFUNCTION("if($C287="""","""",if(join("" - "",{iferror(filter('Student Groupings'!$A:$A,'Student Groupings'!$B:$B=$C287,'Student Groupings'!$H:$H=""Can't be Together""),"""");iferror(filter('Student Groupings'!$A:$A,'Student Groupings'!$E:$E=$C287,'Student Groupings"&amp;"'!$H:$H=""Can't be Together""),"""")})="" - "","""",join("" - "",{iferror(filter('Student Groupings'!$A:$A,'Student Groupings'!$B:$B=$C287,'Student Groupings'!$H:$H=""Can't be Together""),"""");iferror(filter('Student Groupings'!$A:$A,'Student Groupings'!"&amp;"$E:$E=$C287,'Student Groupings'!$H:$H=""Can't be Together""),"""")})))"),"")</f>
        <v/>
      </c>
      <c r="AD287" s="103" t="str">
        <f>IFERROR(__xludf.DUMMYFUNCTION("if($C287="""","""",if(join("" - "",{iferror(filter('Student Groupings'!$A:$A,'Student Groupings'!$B:$B=$C287,'Student Groupings'!$H:$H=""Must be Together""),"""");iferror(filter('Student Groupings'!$A:$A,'Student Groupings'!$E:$E=$C287,'Student Groupings'"&amp;"!$H:$H=""Must be Together""),"""")})="" - "","""",join("" - "",{iferror(filter('Student Groupings'!$A:$A,'Student Groupings'!$B:$B=$C287,'Student Groupings'!$H:$H=""Must be Together""),"""");iferror(filter('Student Groupings'!$A:$A,'Student Groupings'!$E:"&amp;"$E=$C287,'Student Groupings'!$H:$H=""Must be Together""),"""")})))"),"")</f>
        <v/>
      </c>
      <c r="AE287" s="104"/>
      <c r="AF287" s="104"/>
      <c r="AG287" s="104"/>
      <c r="AH287" s="104"/>
    </row>
    <row r="288">
      <c r="A288" s="101">
        <v>8.0</v>
      </c>
      <c r="B288" s="101">
        <v>28006.0</v>
      </c>
      <c r="C288" s="102" t="s">
        <v>554</v>
      </c>
      <c r="D288" s="52" t="s">
        <v>176</v>
      </c>
      <c r="E288" s="52">
        <v>6.0</v>
      </c>
      <c r="F288" s="52" t="s">
        <v>167</v>
      </c>
      <c r="G288" s="52">
        <v>4.0</v>
      </c>
      <c r="H288" s="52" t="s">
        <v>185</v>
      </c>
      <c r="I288" s="52">
        <v>3.0</v>
      </c>
      <c r="J288" s="52" t="s">
        <v>190</v>
      </c>
      <c r="K288" s="52">
        <v>5.0</v>
      </c>
      <c r="L288" s="52" t="s">
        <v>201</v>
      </c>
      <c r="M288" s="52">
        <v>1.0</v>
      </c>
      <c r="N288" s="52" t="s">
        <v>149</v>
      </c>
      <c r="O288" s="52" t="s">
        <v>125</v>
      </c>
      <c r="P288" s="52" t="s">
        <v>141</v>
      </c>
      <c r="Q288" s="52" t="s">
        <v>119</v>
      </c>
      <c r="R288" s="52" t="s">
        <v>141</v>
      </c>
      <c r="S288" s="52" t="s">
        <v>119</v>
      </c>
      <c r="T288" s="65" t="s">
        <v>30</v>
      </c>
      <c r="U288" s="32">
        <v>1.0</v>
      </c>
      <c r="V288" s="32">
        <v>1.0</v>
      </c>
      <c r="W288" s="32">
        <v>1.0</v>
      </c>
      <c r="X288" s="32">
        <v>1.0</v>
      </c>
      <c r="Y288" s="32">
        <v>1.0</v>
      </c>
      <c r="Z288" s="32">
        <v>1.0</v>
      </c>
      <c r="AA288" s="32">
        <v>6.0</v>
      </c>
      <c r="AB288" s="32">
        <v>0.0</v>
      </c>
      <c r="AC288" s="103" t="str">
        <f>IFERROR(__xludf.DUMMYFUNCTION("if($C288="""","""",if(join("" - "",{iferror(filter('Student Groupings'!$A:$A,'Student Groupings'!$B:$B=$C288,'Student Groupings'!$H:$H=""Can't be Together""),"""");iferror(filter('Student Groupings'!$A:$A,'Student Groupings'!$E:$E=$C288,'Student Groupings"&amp;"'!$H:$H=""Can't be Together""),"""")})="" - "","""",join("" - "",{iferror(filter('Student Groupings'!$A:$A,'Student Groupings'!$B:$B=$C288,'Student Groupings'!$H:$H=""Can't be Together""),"""");iferror(filter('Student Groupings'!$A:$A,'Student Groupings'!"&amp;"$E:$E=$C288,'Student Groupings'!$H:$H=""Can't be Together""),"""")})))"),"")</f>
        <v/>
      </c>
      <c r="AD288" s="103" t="str">
        <f>IFERROR(__xludf.DUMMYFUNCTION("if($C288="""","""",if(join("" - "",{iferror(filter('Student Groupings'!$A:$A,'Student Groupings'!$B:$B=$C288,'Student Groupings'!$H:$H=""Must be Together""),"""");iferror(filter('Student Groupings'!$A:$A,'Student Groupings'!$E:$E=$C288,'Student Groupings'"&amp;"!$H:$H=""Must be Together""),"""")})="" - "","""",join("" - "",{iferror(filter('Student Groupings'!$A:$A,'Student Groupings'!$B:$B=$C288,'Student Groupings'!$H:$H=""Must be Together""),"""");iferror(filter('Student Groupings'!$A:$A,'Student Groupings'!$E:"&amp;"$E=$C288,'Student Groupings'!$H:$H=""Must be Together""),"""")})))"),"")</f>
        <v/>
      </c>
      <c r="AE288" s="104"/>
      <c r="AF288" s="104"/>
      <c r="AG288" s="104"/>
      <c r="AH288" s="104"/>
    </row>
    <row r="289">
      <c r="A289" s="101">
        <v>8.0</v>
      </c>
      <c r="B289" s="101">
        <v>29015.0</v>
      </c>
      <c r="C289" s="102" t="s">
        <v>555</v>
      </c>
      <c r="D289" s="52" t="s">
        <v>176</v>
      </c>
      <c r="E289" s="52">
        <v>4.0</v>
      </c>
      <c r="F289" s="52" t="s">
        <v>170</v>
      </c>
      <c r="G289" s="52">
        <v>1.0</v>
      </c>
      <c r="H289" s="52" t="s">
        <v>185</v>
      </c>
      <c r="I289" s="52">
        <v>6.0</v>
      </c>
      <c r="J289" s="52" t="s">
        <v>190</v>
      </c>
      <c r="K289" s="52">
        <v>3.0</v>
      </c>
      <c r="L289" s="52" t="s">
        <v>201</v>
      </c>
      <c r="M289" s="52">
        <v>2.0</v>
      </c>
      <c r="N289" s="52" t="s">
        <v>149</v>
      </c>
      <c r="O289" s="52" t="s">
        <v>124</v>
      </c>
      <c r="P289" s="52" t="s">
        <v>141</v>
      </c>
      <c r="Q289" s="52" t="s">
        <v>112</v>
      </c>
      <c r="R289" s="52" t="s">
        <v>141</v>
      </c>
      <c r="S289" s="52" t="s">
        <v>112</v>
      </c>
      <c r="T289" s="65" t="s">
        <v>30</v>
      </c>
      <c r="U289" s="32">
        <v>1.0</v>
      </c>
      <c r="V289" s="32">
        <v>1.0</v>
      </c>
      <c r="W289" s="32">
        <v>1.0</v>
      </c>
      <c r="X289" s="32">
        <v>1.0</v>
      </c>
      <c r="Y289" s="32">
        <v>1.0</v>
      </c>
      <c r="Z289" s="32">
        <v>1.0</v>
      </c>
      <c r="AA289" s="32">
        <v>6.0</v>
      </c>
      <c r="AB289" s="32">
        <v>0.0</v>
      </c>
      <c r="AC289" s="103" t="str">
        <f>IFERROR(__xludf.DUMMYFUNCTION("if($C289="""","""",if(join("" - "",{iferror(filter('Student Groupings'!$A:$A,'Student Groupings'!$B:$B=$C289,'Student Groupings'!$H:$H=""Can't be Together""),"""");iferror(filter('Student Groupings'!$A:$A,'Student Groupings'!$E:$E=$C289,'Student Groupings"&amp;"'!$H:$H=""Can't be Together""),"""")})="" - "","""",join("" - "",{iferror(filter('Student Groupings'!$A:$A,'Student Groupings'!$B:$B=$C289,'Student Groupings'!$H:$H=""Can't be Together""),"""");iferror(filter('Student Groupings'!$A:$A,'Student Groupings'!"&amp;"$E:$E=$C289,'Student Groupings'!$H:$H=""Can't be Together""),"""")})))"),"")</f>
        <v/>
      </c>
      <c r="AD289" s="103" t="str">
        <f>IFERROR(__xludf.DUMMYFUNCTION("if($C289="""","""",if(join("" - "",{iferror(filter('Student Groupings'!$A:$A,'Student Groupings'!$B:$B=$C289,'Student Groupings'!$H:$H=""Must be Together""),"""");iferror(filter('Student Groupings'!$A:$A,'Student Groupings'!$E:$E=$C289,'Student Groupings'"&amp;"!$H:$H=""Must be Together""),"""")})="" - "","""",join("" - "",{iferror(filter('Student Groupings'!$A:$A,'Student Groupings'!$B:$B=$C289,'Student Groupings'!$H:$H=""Must be Together""),"""");iferror(filter('Student Groupings'!$A:$A,'Student Groupings'!$E:"&amp;"$E=$C289,'Student Groupings'!$H:$H=""Must be Together""),"""")})))"),"")</f>
        <v/>
      </c>
      <c r="AE289" s="105"/>
      <c r="AF289" s="105">
        <v>1.0</v>
      </c>
      <c r="AG289" s="104"/>
      <c r="AH289" s="104"/>
    </row>
    <row r="290">
      <c r="A290" s="101">
        <v>8.0</v>
      </c>
      <c r="B290" s="101">
        <v>29016.0</v>
      </c>
      <c r="C290" s="102" t="s">
        <v>556</v>
      </c>
      <c r="D290" s="52" t="s">
        <v>176</v>
      </c>
      <c r="E290" s="52">
        <v>5.0</v>
      </c>
      <c r="F290" s="52" t="s">
        <v>167</v>
      </c>
      <c r="G290" s="52">
        <v>3.0</v>
      </c>
      <c r="H290" s="52" t="s">
        <v>185</v>
      </c>
      <c r="I290" s="52">
        <v>2.0</v>
      </c>
      <c r="J290" s="52" t="s">
        <v>190</v>
      </c>
      <c r="K290" s="52">
        <v>1.0</v>
      </c>
      <c r="L290" s="52" t="s">
        <v>201</v>
      </c>
      <c r="M290" s="52">
        <v>6.0</v>
      </c>
      <c r="N290" s="52" t="s">
        <v>149</v>
      </c>
      <c r="O290" s="52" t="s">
        <v>111</v>
      </c>
      <c r="P290" s="52" t="s">
        <v>135</v>
      </c>
      <c r="Q290" s="52" t="s">
        <v>130</v>
      </c>
      <c r="R290" s="52" t="s">
        <v>118</v>
      </c>
      <c r="S290" s="52" t="s">
        <v>130</v>
      </c>
      <c r="T290" s="65" t="s">
        <v>27</v>
      </c>
      <c r="U290" s="32">
        <v>1.0</v>
      </c>
      <c r="V290" s="32">
        <v>1.0</v>
      </c>
      <c r="W290" s="32">
        <v>1.0</v>
      </c>
      <c r="X290" s="32">
        <v>1.0</v>
      </c>
      <c r="Y290" s="32">
        <v>1.0</v>
      </c>
      <c r="Z290" s="32">
        <v>1.0</v>
      </c>
      <c r="AA290" s="32">
        <v>6.0</v>
      </c>
      <c r="AB290" s="32">
        <v>0.0</v>
      </c>
      <c r="AC290" s="103" t="str">
        <f>IFERROR(__xludf.DUMMYFUNCTION("if($C290="""","""",if(join("" - "",{iferror(filter('Student Groupings'!$A:$A,'Student Groupings'!$B:$B=$C290,'Student Groupings'!$H:$H=""Can't be Together""),"""");iferror(filter('Student Groupings'!$A:$A,'Student Groupings'!$E:$E=$C290,'Student Groupings"&amp;"'!$H:$H=""Can't be Together""),"""")})="" - "","""",join("" - "",{iferror(filter('Student Groupings'!$A:$A,'Student Groupings'!$B:$B=$C290,'Student Groupings'!$H:$H=""Can't be Together""),"""");iferror(filter('Student Groupings'!$A:$A,'Student Groupings'!"&amp;"$E:$E=$C290,'Student Groupings'!$H:$H=""Can't be Together""),"""")})))"),"")</f>
        <v/>
      </c>
      <c r="AD290" s="103" t="str">
        <f>IFERROR(__xludf.DUMMYFUNCTION("if($C290="""","""",if(join("" - "",{iferror(filter('Student Groupings'!$A:$A,'Student Groupings'!$B:$B=$C290,'Student Groupings'!$H:$H=""Must be Together""),"""");iferror(filter('Student Groupings'!$A:$A,'Student Groupings'!$E:$E=$C290,'Student Groupings'"&amp;"!$H:$H=""Must be Together""),"""")})="" - "","""",join("" - "",{iferror(filter('Student Groupings'!$A:$A,'Student Groupings'!$B:$B=$C290,'Student Groupings'!$H:$H=""Must be Together""),"""");iferror(filter('Student Groupings'!$A:$A,'Student Groupings'!$E:"&amp;"$E=$C290,'Student Groupings'!$H:$H=""Must be Together""),"""")})))"),"")</f>
        <v/>
      </c>
      <c r="AE290" s="104"/>
      <c r="AF290" s="104"/>
      <c r="AG290" s="104"/>
      <c r="AH290" s="104"/>
    </row>
    <row r="291">
      <c r="A291" s="101">
        <v>8.0</v>
      </c>
      <c r="B291" s="101">
        <v>29018.0</v>
      </c>
      <c r="C291" s="102" t="s">
        <v>264</v>
      </c>
      <c r="D291" s="52" t="s">
        <v>176</v>
      </c>
      <c r="E291" s="52">
        <v>3.0</v>
      </c>
      <c r="F291" s="52" t="s">
        <v>162</v>
      </c>
      <c r="G291" s="52">
        <v>6.0</v>
      </c>
      <c r="H291" s="52" t="s">
        <v>185</v>
      </c>
      <c r="I291" s="52">
        <v>1.0</v>
      </c>
      <c r="J291" s="52" t="s">
        <v>190</v>
      </c>
      <c r="K291" s="52">
        <v>2.0</v>
      </c>
      <c r="L291" s="52" t="s">
        <v>201</v>
      </c>
      <c r="M291" s="52">
        <v>4.0</v>
      </c>
      <c r="N291" s="52" t="s">
        <v>149</v>
      </c>
      <c r="O291" s="52" t="s">
        <v>124</v>
      </c>
      <c r="P291" s="52" t="s">
        <v>141</v>
      </c>
      <c r="Q291" s="52" t="s">
        <v>112</v>
      </c>
      <c r="R291" s="52" t="s">
        <v>141</v>
      </c>
      <c r="S291" s="52" t="s">
        <v>112</v>
      </c>
      <c r="T291" s="65" t="s">
        <v>30</v>
      </c>
      <c r="U291" s="32">
        <v>1.0</v>
      </c>
      <c r="V291" s="32">
        <v>1.0</v>
      </c>
      <c r="W291" s="32">
        <v>1.0</v>
      </c>
      <c r="X291" s="32">
        <v>1.0</v>
      </c>
      <c r="Y291" s="32">
        <v>1.0</v>
      </c>
      <c r="Z291" s="32">
        <v>1.0</v>
      </c>
      <c r="AA291" s="32">
        <v>6.0</v>
      </c>
      <c r="AB291" s="32">
        <v>0.0</v>
      </c>
      <c r="AC291" s="103" t="str">
        <f>IFERROR(__xludf.DUMMYFUNCTION("if($C291="""","""",if(join("" - "",{iferror(filter('Student Groupings'!$A:$A,'Student Groupings'!$B:$B=$C291,'Student Groupings'!$H:$H=""Can't be Together""),"""");iferror(filter('Student Groupings'!$A:$A,'Student Groupings'!$E:$E=$C291,'Student Groupings"&amp;"'!$H:$H=""Can't be Together""),"""")})="" - "","""",join("" - "",{iferror(filter('Student Groupings'!$A:$A,'Student Groupings'!$B:$B=$C291,'Student Groupings'!$H:$H=""Can't be Together""),"""");iferror(filter('Student Groupings'!$A:$A,'Student Groupings'!"&amp;"$E:$E=$C291,'Student Groupings'!$H:$H=""Can't be Together""),"""")})))"),"")</f>
        <v/>
      </c>
      <c r="AD291" s="103" t="str">
        <f>IFERROR(__xludf.DUMMYFUNCTION("if($C291="""","""",if(join("" - "",{iferror(filter('Student Groupings'!$A:$A,'Student Groupings'!$B:$B=$C291,'Student Groupings'!$H:$H=""Must be Together""),"""");iferror(filter('Student Groupings'!$A:$A,'Student Groupings'!$E:$E=$C291,'Student Groupings'"&amp;"!$H:$H=""Must be Together""),"""")})="" - "","""",join("" - "",{iferror(filter('Student Groupings'!$A:$A,'Student Groupings'!$B:$B=$C291,'Student Groupings'!$H:$H=""Must be Together""),"""");iferror(filter('Student Groupings'!$A:$A,'Student Groupings'!$E:"&amp;"$E=$C291,'Student Groupings'!$H:$H=""Must be Together""),"""")})))")," - 46")</f>
        <v> - 46</v>
      </c>
      <c r="AE291" s="104"/>
      <c r="AF291" s="104"/>
      <c r="AG291" s="104"/>
      <c r="AH291" s="104"/>
    </row>
    <row r="292">
      <c r="A292" s="101">
        <v>8.0</v>
      </c>
      <c r="B292" s="101">
        <v>29019.0</v>
      </c>
      <c r="C292" s="102" t="s">
        <v>557</v>
      </c>
      <c r="D292" s="52" t="s">
        <v>176</v>
      </c>
      <c r="E292" s="52">
        <v>6.0</v>
      </c>
      <c r="F292" s="52" t="s">
        <v>167</v>
      </c>
      <c r="G292" s="52">
        <v>3.0</v>
      </c>
      <c r="H292" s="52" t="s">
        <v>185</v>
      </c>
      <c r="I292" s="52">
        <v>2.0</v>
      </c>
      <c r="J292" s="52" t="s">
        <v>190</v>
      </c>
      <c r="K292" s="52">
        <v>5.0</v>
      </c>
      <c r="L292" s="52" t="s">
        <v>201</v>
      </c>
      <c r="M292" s="52">
        <v>1.0</v>
      </c>
      <c r="N292" s="52" t="s">
        <v>149</v>
      </c>
      <c r="O292" s="52" t="s">
        <v>111</v>
      </c>
      <c r="P292" s="52" t="s">
        <v>135</v>
      </c>
      <c r="Q292" s="52" t="s">
        <v>130</v>
      </c>
      <c r="R292" s="52" t="s">
        <v>118</v>
      </c>
      <c r="S292" s="52" t="s">
        <v>130</v>
      </c>
      <c r="T292" s="65" t="s">
        <v>27</v>
      </c>
      <c r="U292" s="32">
        <v>1.0</v>
      </c>
      <c r="V292" s="32">
        <v>1.0</v>
      </c>
      <c r="W292" s="32">
        <v>1.0</v>
      </c>
      <c r="X292" s="32">
        <v>1.0</v>
      </c>
      <c r="Y292" s="32">
        <v>1.0</v>
      </c>
      <c r="Z292" s="32">
        <v>1.0</v>
      </c>
      <c r="AA292" s="32">
        <v>6.0</v>
      </c>
      <c r="AB292" s="32">
        <v>0.0</v>
      </c>
      <c r="AC292" s="103" t="str">
        <f>IFERROR(__xludf.DUMMYFUNCTION("if($C292="""","""",if(join("" - "",{iferror(filter('Student Groupings'!$A:$A,'Student Groupings'!$B:$B=$C292,'Student Groupings'!$H:$H=""Can't be Together""),"""");iferror(filter('Student Groupings'!$A:$A,'Student Groupings'!$E:$E=$C292,'Student Groupings"&amp;"'!$H:$H=""Can't be Together""),"""")})="" - "","""",join("" - "",{iferror(filter('Student Groupings'!$A:$A,'Student Groupings'!$B:$B=$C292,'Student Groupings'!$H:$H=""Can't be Together""),"""");iferror(filter('Student Groupings'!$A:$A,'Student Groupings'!"&amp;"$E:$E=$C292,'Student Groupings'!$H:$H=""Can't be Together""),"""")})))"),"")</f>
        <v/>
      </c>
      <c r="AD292" s="103" t="str">
        <f>IFERROR(__xludf.DUMMYFUNCTION("if($C292="""","""",if(join("" - "",{iferror(filter('Student Groupings'!$A:$A,'Student Groupings'!$B:$B=$C292,'Student Groupings'!$H:$H=""Must be Together""),"""");iferror(filter('Student Groupings'!$A:$A,'Student Groupings'!$E:$E=$C292,'Student Groupings'"&amp;"!$H:$H=""Must be Together""),"""")})="" - "","""",join("" - "",{iferror(filter('Student Groupings'!$A:$A,'Student Groupings'!$B:$B=$C292,'Student Groupings'!$H:$H=""Must be Together""),"""");iferror(filter('Student Groupings'!$A:$A,'Student Groupings'!$E:"&amp;"$E=$C292,'Student Groupings'!$H:$H=""Must be Together""),"""")})))"),"")</f>
        <v/>
      </c>
      <c r="AE292" s="104"/>
      <c r="AF292" s="104"/>
      <c r="AG292" s="104"/>
      <c r="AH292" s="104"/>
    </row>
    <row r="293">
      <c r="A293" s="101">
        <v>8.0</v>
      </c>
      <c r="B293" s="101">
        <v>29160.0</v>
      </c>
      <c r="C293" s="102" t="s">
        <v>272</v>
      </c>
      <c r="D293" s="52" t="s">
        <v>177</v>
      </c>
      <c r="E293" s="52">
        <v>4.0</v>
      </c>
      <c r="F293" s="52" t="s">
        <v>162</v>
      </c>
      <c r="G293" s="52">
        <v>6.0</v>
      </c>
      <c r="H293" s="52" t="s">
        <v>185</v>
      </c>
      <c r="I293" s="52">
        <v>1.0</v>
      </c>
      <c r="J293" s="52" t="s">
        <v>191</v>
      </c>
      <c r="K293" s="52">
        <v>3.0</v>
      </c>
      <c r="L293" s="52" t="s">
        <v>202</v>
      </c>
      <c r="M293" s="52">
        <v>2.0</v>
      </c>
      <c r="N293" s="52" t="s">
        <v>149</v>
      </c>
      <c r="O293" s="52" t="s">
        <v>112</v>
      </c>
      <c r="P293" s="52" t="s">
        <v>118</v>
      </c>
      <c r="Q293" s="52" t="s">
        <v>124</v>
      </c>
      <c r="R293" s="52" t="s">
        <v>135</v>
      </c>
      <c r="S293" s="52" t="s">
        <v>124</v>
      </c>
      <c r="T293" s="65" t="s">
        <v>27</v>
      </c>
      <c r="U293" s="32">
        <v>1.0</v>
      </c>
      <c r="V293" s="32">
        <v>1.0</v>
      </c>
      <c r="W293" s="32">
        <v>1.0</v>
      </c>
      <c r="X293" s="32">
        <v>1.0</v>
      </c>
      <c r="Y293" s="32">
        <v>1.0</v>
      </c>
      <c r="Z293" s="32">
        <v>1.0</v>
      </c>
      <c r="AA293" s="32">
        <v>6.0</v>
      </c>
      <c r="AB293" s="32">
        <v>0.0</v>
      </c>
      <c r="AC293" s="103" t="str">
        <f>IFERROR(__xludf.DUMMYFUNCTION("if($C293="""","""",if(join("" - "",{iferror(filter('Student Groupings'!$A:$A,'Student Groupings'!$B:$B=$C293,'Student Groupings'!$H:$H=""Can't be Together""),"""");iferror(filter('Student Groupings'!$A:$A,'Student Groupings'!$E:$E=$C293,'Student Groupings"&amp;"'!$H:$H=""Can't be Together""),"""")})="" - "","""",join("" - "",{iferror(filter('Student Groupings'!$A:$A,'Student Groupings'!$B:$B=$C293,'Student Groupings'!$H:$H=""Can't be Together""),"""");iferror(filter('Student Groupings'!$A:$A,'Student Groupings'!"&amp;"$E:$E=$C293,'Student Groupings'!$H:$H=""Can't be Together""),"""")})))"),"")</f>
        <v/>
      </c>
      <c r="AD293" s="103" t="str">
        <f>IFERROR(__xludf.DUMMYFUNCTION("if($C293="""","""",if(join("" - "",{iferror(filter('Student Groupings'!$A:$A,'Student Groupings'!$B:$B=$C293,'Student Groupings'!$H:$H=""Must be Together""),"""");iferror(filter('Student Groupings'!$A:$A,'Student Groupings'!$E:$E=$C293,'Student Groupings'"&amp;"!$H:$H=""Must be Together""),"""")})="" - "","""",join("" - "",{iferror(filter('Student Groupings'!$A:$A,'Student Groupings'!$B:$B=$C293,'Student Groupings'!$H:$H=""Must be Together""),"""");iferror(filter('Student Groupings'!$A:$A,'Student Groupings'!$E:"&amp;"$E=$C293,'Student Groupings'!$H:$H=""Must be Together""),"""")})))"),"53 - ")</f>
        <v>53 - </v>
      </c>
      <c r="AE293" s="104"/>
      <c r="AF293" s="104"/>
      <c r="AG293" s="104"/>
      <c r="AH293" s="104"/>
    </row>
    <row r="294">
      <c r="A294" s="101">
        <v>8.0</v>
      </c>
      <c r="B294" s="101">
        <v>29020.0</v>
      </c>
      <c r="C294" s="102" t="s">
        <v>558</v>
      </c>
      <c r="D294" s="52" t="s">
        <v>176</v>
      </c>
      <c r="E294" s="52">
        <v>3.0</v>
      </c>
      <c r="F294" s="52" t="s">
        <v>162</v>
      </c>
      <c r="G294" s="52">
        <v>1.0</v>
      </c>
      <c r="H294" s="52" t="s">
        <v>185</v>
      </c>
      <c r="I294" s="52">
        <v>5.0</v>
      </c>
      <c r="J294" s="52" t="s">
        <v>190</v>
      </c>
      <c r="K294" s="52">
        <v>2.0</v>
      </c>
      <c r="L294" s="52" t="s">
        <v>201</v>
      </c>
      <c r="M294" s="52">
        <v>4.0</v>
      </c>
      <c r="N294" s="52" t="s">
        <v>149</v>
      </c>
      <c r="O294" s="52" t="s">
        <v>120</v>
      </c>
      <c r="P294" s="52" t="s">
        <v>141</v>
      </c>
      <c r="Q294" s="52" t="s">
        <v>109</v>
      </c>
      <c r="R294" s="52" t="s">
        <v>141</v>
      </c>
      <c r="S294" s="52" t="s">
        <v>109</v>
      </c>
      <c r="T294" s="65" t="s">
        <v>30</v>
      </c>
      <c r="U294" s="32">
        <v>1.0</v>
      </c>
      <c r="V294" s="32">
        <v>1.0</v>
      </c>
      <c r="W294" s="32">
        <v>1.0</v>
      </c>
      <c r="X294" s="32">
        <v>1.0</v>
      </c>
      <c r="Y294" s="32">
        <v>1.0</v>
      </c>
      <c r="Z294" s="32">
        <v>1.0</v>
      </c>
      <c r="AA294" s="32">
        <v>6.0</v>
      </c>
      <c r="AB294" s="32">
        <v>0.0</v>
      </c>
      <c r="AC294" s="103" t="str">
        <f>IFERROR(__xludf.DUMMYFUNCTION("if($C294="""","""",if(join("" - "",{iferror(filter('Student Groupings'!$A:$A,'Student Groupings'!$B:$B=$C294,'Student Groupings'!$H:$H=""Can't be Together""),"""");iferror(filter('Student Groupings'!$A:$A,'Student Groupings'!$E:$E=$C294,'Student Groupings"&amp;"'!$H:$H=""Can't be Together""),"""")})="" - "","""",join("" - "",{iferror(filter('Student Groupings'!$A:$A,'Student Groupings'!$B:$B=$C294,'Student Groupings'!$H:$H=""Can't be Together""),"""");iferror(filter('Student Groupings'!$A:$A,'Student Groupings'!"&amp;"$E:$E=$C294,'Student Groupings'!$H:$H=""Can't be Together""),"""")})))"),"")</f>
        <v/>
      </c>
      <c r="AD294" s="103" t="str">
        <f>IFERROR(__xludf.DUMMYFUNCTION("if($C294="""","""",if(join("" - "",{iferror(filter('Student Groupings'!$A:$A,'Student Groupings'!$B:$B=$C294,'Student Groupings'!$H:$H=""Must be Together""),"""");iferror(filter('Student Groupings'!$A:$A,'Student Groupings'!$E:$E=$C294,'Student Groupings'"&amp;"!$H:$H=""Must be Together""),"""")})="" - "","""",join("" - "",{iferror(filter('Student Groupings'!$A:$A,'Student Groupings'!$B:$B=$C294,'Student Groupings'!$H:$H=""Must be Together""),"""");iferror(filter('Student Groupings'!$A:$A,'Student Groupings'!$E:"&amp;"$E=$C294,'Student Groupings'!$H:$H=""Must be Together""),"""")})))"),"")</f>
        <v/>
      </c>
      <c r="AE294" s="104"/>
      <c r="AF294" s="104"/>
      <c r="AG294" s="104"/>
      <c r="AH294" s="104"/>
    </row>
    <row r="295">
      <c r="A295" s="101">
        <v>8.0</v>
      </c>
      <c r="B295" s="101">
        <v>29021.0</v>
      </c>
      <c r="C295" s="102" t="s">
        <v>559</v>
      </c>
      <c r="D295" s="52" t="s">
        <v>176</v>
      </c>
      <c r="E295" s="52">
        <v>2.0</v>
      </c>
      <c r="F295" s="52" t="s">
        <v>167</v>
      </c>
      <c r="G295" s="52">
        <v>5.0</v>
      </c>
      <c r="H295" s="52" t="s">
        <v>185</v>
      </c>
      <c r="I295" s="52">
        <v>1.0</v>
      </c>
      <c r="J295" s="52" t="s">
        <v>190</v>
      </c>
      <c r="K295" s="52">
        <v>4.0</v>
      </c>
      <c r="L295" s="52" t="s">
        <v>201</v>
      </c>
      <c r="M295" s="52">
        <v>3.0</v>
      </c>
      <c r="N295" s="52" t="s">
        <v>149</v>
      </c>
      <c r="O295" s="52" t="s">
        <v>120</v>
      </c>
      <c r="P295" s="52" t="s">
        <v>141</v>
      </c>
      <c r="Q295" s="52" t="s">
        <v>109</v>
      </c>
      <c r="R295" s="52" t="s">
        <v>141</v>
      </c>
      <c r="S295" s="52" t="s">
        <v>109</v>
      </c>
      <c r="T295" s="65" t="s">
        <v>30</v>
      </c>
      <c r="U295" s="32">
        <v>1.0</v>
      </c>
      <c r="V295" s="32">
        <v>1.0</v>
      </c>
      <c r="W295" s="32">
        <v>1.0</v>
      </c>
      <c r="X295" s="32">
        <v>1.0</v>
      </c>
      <c r="Y295" s="32">
        <v>1.0</v>
      </c>
      <c r="Z295" s="32">
        <v>1.0</v>
      </c>
      <c r="AA295" s="32">
        <v>6.0</v>
      </c>
      <c r="AB295" s="32">
        <v>0.0</v>
      </c>
      <c r="AC295" s="103" t="str">
        <f>IFERROR(__xludf.DUMMYFUNCTION("if($C295="""","""",if(join("" - "",{iferror(filter('Student Groupings'!$A:$A,'Student Groupings'!$B:$B=$C295,'Student Groupings'!$H:$H=""Can't be Together""),"""");iferror(filter('Student Groupings'!$A:$A,'Student Groupings'!$E:$E=$C295,'Student Groupings"&amp;"'!$H:$H=""Can't be Together""),"""")})="" - "","""",join("" - "",{iferror(filter('Student Groupings'!$A:$A,'Student Groupings'!$B:$B=$C295,'Student Groupings'!$H:$H=""Can't be Together""),"""");iferror(filter('Student Groupings'!$A:$A,'Student Groupings'!"&amp;"$E:$E=$C295,'Student Groupings'!$H:$H=""Can't be Together""),"""")})))"),"")</f>
        <v/>
      </c>
      <c r="AD295" s="103" t="str">
        <f>IFERROR(__xludf.DUMMYFUNCTION("if($C295="""","""",if(join("" - "",{iferror(filter('Student Groupings'!$A:$A,'Student Groupings'!$B:$B=$C295,'Student Groupings'!$H:$H=""Must be Together""),"""");iferror(filter('Student Groupings'!$A:$A,'Student Groupings'!$E:$E=$C295,'Student Groupings'"&amp;"!$H:$H=""Must be Together""),"""")})="" - "","""",join("" - "",{iferror(filter('Student Groupings'!$A:$A,'Student Groupings'!$B:$B=$C295,'Student Groupings'!$H:$H=""Must be Together""),"""");iferror(filter('Student Groupings'!$A:$A,'Student Groupings'!$E:"&amp;"$E=$C295,'Student Groupings'!$H:$H=""Must be Together""),"""")})))"),"")</f>
        <v/>
      </c>
      <c r="AE295" s="104"/>
      <c r="AF295" s="104"/>
      <c r="AG295" s="104"/>
      <c r="AH295" s="104"/>
    </row>
    <row r="296">
      <c r="A296" s="101">
        <v>8.0</v>
      </c>
      <c r="B296" s="101">
        <v>29022.0</v>
      </c>
      <c r="C296" s="102" t="s">
        <v>560</v>
      </c>
      <c r="D296" s="52" t="s">
        <v>176</v>
      </c>
      <c r="E296" s="52">
        <v>5.0</v>
      </c>
      <c r="F296" s="52" t="s">
        <v>167</v>
      </c>
      <c r="G296" s="52">
        <v>4.0</v>
      </c>
      <c r="H296" s="52" t="s">
        <v>185</v>
      </c>
      <c r="I296" s="52">
        <v>3.0</v>
      </c>
      <c r="J296" s="52" t="s">
        <v>190</v>
      </c>
      <c r="K296" s="52">
        <v>1.0</v>
      </c>
      <c r="L296" s="52" t="s">
        <v>201</v>
      </c>
      <c r="M296" s="52">
        <v>6.0</v>
      </c>
      <c r="N296" s="52" t="s">
        <v>149</v>
      </c>
      <c r="O296" s="52" t="s">
        <v>125</v>
      </c>
      <c r="P296" s="52" t="s">
        <v>141</v>
      </c>
      <c r="Q296" s="52" t="s">
        <v>119</v>
      </c>
      <c r="R296" s="52" t="s">
        <v>141</v>
      </c>
      <c r="S296" s="52" t="s">
        <v>119</v>
      </c>
      <c r="T296" s="65" t="s">
        <v>30</v>
      </c>
      <c r="U296" s="32">
        <v>1.0</v>
      </c>
      <c r="V296" s="32">
        <v>1.0</v>
      </c>
      <c r="W296" s="32">
        <v>1.0</v>
      </c>
      <c r="X296" s="32">
        <v>1.0</v>
      </c>
      <c r="Y296" s="32">
        <v>1.0</v>
      </c>
      <c r="Z296" s="32">
        <v>1.0</v>
      </c>
      <c r="AA296" s="32">
        <v>6.0</v>
      </c>
      <c r="AB296" s="32">
        <v>0.0</v>
      </c>
      <c r="AC296" s="103" t="str">
        <f>IFERROR(__xludf.DUMMYFUNCTION("if($C296="""","""",if(join("" - "",{iferror(filter('Student Groupings'!$A:$A,'Student Groupings'!$B:$B=$C296,'Student Groupings'!$H:$H=""Can't be Together""),"""");iferror(filter('Student Groupings'!$A:$A,'Student Groupings'!$E:$E=$C296,'Student Groupings"&amp;"'!$H:$H=""Can't be Together""),"""")})="" - "","""",join("" - "",{iferror(filter('Student Groupings'!$A:$A,'Student Groupings'!$B:$B=$C296,'Student Groupings'!$H:$H=""Can't be Together""),"""");iferror(filter('Student Groupings'!$A:$A,'Student Groupings'!"&amp;"$E:$E=$C296,'Student Groupings'!$H:$H=""Can't be Together""),"""")})))"),"")</f>
        <v/>
      </c>
      <c r="AD296" s="103" t="str">
        <f>IFERROR(__xludf.DUMMYFUNCTION("if($C296="""","""",if(join("" - "",{iferror(filter('Student Groupings'!$A:$A,'Student Groupings'!$B:$B=$C296,'Student Groupings'!$H:$H=""Must be Together""),"""");iferror(filter('Student Groupings'!$A:$A,'Student Groupings'!$E:$E=$C296,'Student Groupings'"&amp;"!$H:$H=""Must be Together""),"""")})="" - "","""",join("" - "",{iferror(filter('Student Groupings'!$A:$A,'Student Groupings'!$B:$B=$C296,'Student Groupings'!$H:$H=""Must be Together""),"""");iferror(filter('Student Groupings'!$A:$A,'Student Groupings'!$E:"&amp;"$E=$C296,'Student Groupings'!$H:$H=""Must be Together""),"""")})))"),"")</f>
        <v/>
      </c>
      <c r="AE296" s="105"/>
      <c r="AF296" s="105"/>
      <c r="AG296" s="105"/>
      <c r="AH296" s="105"/>
    </row>
    <row r="297">
      <c r="A297" s="101">
        <v>8.0</v>
      </c>
      <c r="B297" s="101">
        <v>29167.0</v>
      </c>
      <c r="C297" s="102" t="s">
        <v>561</v>
      </c>
      <c r="D297" s="52" t="s">
        <v>177</v>
      </c>
      <c r="E297" s="52">
        <v>4.0</v>
      </c>
      <c r="F297" s="52" t="s">
        <v>162</v>
      </c>
      <c r="G297" s="52">
        <v>1.0</v>
      </c>
      <c r="H297" s="52" t="s">
        <v>185</v>
      </c>
      <c r="I297" s="52">
        <v>6.0</v>
      </c>
      <c r="J297" s="52" t="s">
        <v>191</v>
      </c>
      <c r="K297" s="52">
        <v>3.0</v>
      </c>
      <c r="L297" s="52" t="s">
        <v>197</v>
      </c>
      <c r="M297" s="52">
        <v>2.0</v>
      </c>
      <c r="N297" s="52" t="s">
        <v>149</v>
      </c>
      <c r="O297" s="52" t="s">
        <v>124</v>
      </c>
      <c r="P297" s="52" t="s">
        <v>141</v>
      </c>
      <c r="Q297" s="52" t="s">
        <v>112</v>
      </c>
      <c r="R297" s="52" t="s">
        <v>141</v>
      </c>
      <c r="S297" s="52" t="s">
        <v>112</v>
      </c>
      <c r="T297" s="65" t="s">
        <v>30</v>
      </c>
      <c r="U297" s="32">
        <v>1.0</v>
      </c>
      <c r="V297" s="32">
        <v>1.0</v>
      </c>
      <c r="W297" s="32">
        <v>1.0</v>
      </c>
      <c r="X297" s="32">
        <v>1.0</v>
      </c>
      <c r="Y297" s="32">
        <v>1.0</v>
      </c>
      <c r="Z297" s="32">
        <v>1.0</v>
      </c>
      <c r="AA297" s="32">
        <v>6.0</v>
      </c>
      <c r="AB297" s="32">
        <v>0.0</v>
      </c>
      <c r="AC297" s="103" t="str">
        <f>IFERROR(__xludf.DUMMYFUNCTION("if($C297="""","""",if(join("" - "",{iferror(filter('Student Groupings'!$A:$A,'Student Groupings'!$B:$B=$C297,'Student Groupings'!$H:$H=""Can't be Together""),"""");iferror(filter('Student Groupings'!$A:$A,'Student Groupings'!$E:$E=$C297,'Student Groupings"&amp;"'!$H:$H=""Can't be Together""),"""")})="" - "","""",join("" - "",{iferror(filter('Student Groupings'!$A:$A,'Student Groupings'!$B:$B=$C297,'Student Groupings'!$H:$H=""Can't be Together""),"""");iferror(filter('Student Groupings'!$A:$A,'Student Groupings'!"&amp;"$E:$E=$C297,'Student Groupings'!$H:$H=""Can't be Together""),"""")})))"),"")</f>
        <v/>
      </c>
      <c r="AD297" s="103" t="str">
        <f>IFERROR(__xludf.DUMMYFUNCTION("if($C297="""","""",if(join("" - "",{iferror(filter('Student Groupings'!$A:$A,'Student Groupings'!$B:$B=$C297,'Student Groupings'!$H:$H=""Must be Together""),"""");iferror(filter('Student Groupings'!$A:$A,'Student Groupings'!$E:$E=$C297,'Student Groupings'"&amp;"!$H:$H=""Must be Together""),"""")})="" - "","""",join("" - "",{iferror(filter('Student Groupings'!$A:$A,'Student Groupings'!$B:$B=$C297,'Student Groupings'!$H:$H=""Must be Together""),"""");iferror(filter('Student Groupings'!$A:$A,'Student Groupings'!$E:"&amp;"$E=$C297,'Student Groupings'!$H:$H=""Must be Together""),"""")})))"),"")</f>
        <v/>
      </c>
      <c r="AE297" s="105">
        <v>1.0</v>
      </c>
      <c r="AF297" s="104"/>
      <c r="AG297" s="104"/>
      <c r="AH297" s="104"/>
    </row>
    <row r="298">
      <c r="A298" s="101">
        <v>8.0</v>
      </c>
      <c r="B298" s="101">
        <v>29023.0</v>
      </c>
      <c r="C298" s="102" t="s">
        <v>260</v>
      </c>
      <c r="D298" s="52" t="s">
        <v>176</v>
      </c>
      <c r="E298" s="52">
        <v>5.0</v>
      </c>
      <c r="F298" s="52" t="s">
        <v>167</v>
      </c>
      <c r="G298" s="52">
        <v>3.0</v>
      </c>
      <c r="H298" s="52" t="s">
        <v>185</v>
      </c>
      <c r="I298" s="52">
        <v>2.0</v>
      </c>
      <c r="J298" s="52" t="s">
        <v>190</v>
      </c>
      <c r="K298" s="52">
        <v>1.0</v>
      </c>
      <c r="L298" s="52" t="s">
        <v>201</v>
      </c>
      <c r="M298" s="52">
        <v>6.0</v>
      </c>
      <c r="N298" s="52" t="s">
        <v>149</v>
      </c>
      <c r="O298" s="52" t="s">
        <v>111</v>
      </c>
      <c r="P298" s="52" t="s">
        <v>135</v>
      </c>
      <c r="Q298" s="52" t="s">
        <v>130</v>
      </c>
      <c r="R298" s="52" t="s">
        <v>118</v>
      </c>
      <c r="S298" s="52" t="s">
        <v>130</v>
      </c>
      <c r="T298" s="65" t="s">
        <v>27</v>
      </c>
      <c r="U298" s="32">
        <v>1.0</v>
      </c>
      <c r="V298" s="32">
        <v>1.0</v>
      </c>
      <c r="W298" s="32">
        <v>1.0</v>
      </c>
      <c r="X298" s="32">
        <v>1.0</v>
      </c>
      <c r="Y298" s="32">
        <v>1.0</v>
      </c>
      <c r="Z298" s="32">
        <v>1.0</v>
      </c>
      <c r="AA298" s="32">
        <v>6.0</v>
      </c>
      <c r="AB298" s="32">
        <v>0.0</v>
      </c>
      <c r="AC298" s="103" t="str">
        <f>IFERROR(__xludf.DUMMYFUNCTION("if($C298="""","""",if(join("" - "",{iferror(filter('Student Groupings'!$A:$A,'Student Groupings'!$B:$B=$C298,'Student Groupings'!$H:$H=""Can't be Together""),"""");iferror(filter('Student Groupings'!$A:$A,'Student Groupings'!$E:$E=$C298,'Student Groupings"&amp;"'!$H:$H=""Can't be Together""),"""")})="" - "","""",join("" - "",{iferror(filter('Student Groupings'!$A:$A,'Student Groupings'!$B:$B=$C298,'Student Groupings'!$H:$H=""Can't be Together""),"""");iferror(filter('Student Groupings'!$A:$A,'Student Groupings'!"&amp;"$E:$E=$C298,'Student Groupings'!$H:$H=""Can't be Together""),"""")})))"),"")</f>
        <v/>
      </c>
      <c r="AD298" s="103" t="str">
        <f>IFERROR(__xludf.DUMMYFUNCTION("if($C298="""","""",if(join("" - "",{iferror(filter('Student Groupings'!$A:$A,'Student Groupings'!$B:$B=$C298,'Student Groupings'!$H:$H=""Must be Together""),"""");iferror(filter('Student Groupings'!$A:$A,'Student Groupings'!$E:$E=$C298,'Student Groupings'"&amp;"!$H:$H=""Must be Together""),"""")})="" - "","""",join("" - "",{iferror(filter('Student Groupings'!$A:$A,'Student Groupings'!$B:$B=$C298,'Student Groupings'!$H:$H=""Must be Together""),"""");iferror(filter('Student Groupings'!$A:$A,'Student Groupings'!$E:"&amp;"$E=$C298,'Student Groupings'!$H:$H=""Must be Together""),"""")})))")," - 42")</f>
        <v> - 42</v>
      </c>
      <c r="AE298" s="104"/>
      <c r="AF298" s="104"/>
      <c r="AG298" s="104"/>
      <c r="AH298" s="104"/>
    </row>
    <row r="299">
      <c r="A299" s="101">
        <v>8.0</v>
      </c>
      <c r="B299" s="101">
        <v>29161.0</v>
      </c>
      <c r="C299" s="102" t="s">
        <v>289</v>
      </c>
      <c r="D299" s="52" t="s">
        <v>176</v>
      </c>
      <c r="E299" s="52">
        <v>4.0</v>
      </c>
      <c r="F299" s="52" t="s">
        <v>167</v>
      </c>
      <c r="G299" s="52">
        <v>5.0</v>
      </c>
      <c r="H299" s="52" t="s">
        <v>185</v>
      </c>
      <c r="I299" s="52">
        <v>1.0</v>
      </c>
      <c r="J299" s="52" t="s">
        <v>190</v>
      </c>
      <c r="K299" s="52">
        <v>3.0</v>
      </c>
      <c r="L299" s="52" t="s">
        <v>201</v>
      </c>
      <c r="M299" s="52">
        <v>2.0</v>
      </c>
      <c r="N299" s="52" t="s">
        <v>149</v>
      </c>
      <c r="O299" s="52" t="s">
        <v>120</v>
      </c>
      <c r="P299" s="52" t="s">
        <v>141</v>
      </c>
      <c r="Q299" s="52" t="s">
        <v>109</v>
      </c>
      <c r="R299" s="52" t="s">
        <v>141</v>
      </c>
      <c r="S299" s="52" t="s">
        <v>109</v>
      </c>
      <c r="T299" s="65" t="s">
        <v>30</v>
      </c>
      <c r="U299" s="32">
        <v>1.0</v>
      </c>
      <c r="V299" s="32">
        <v>1.0</v>
      </c>
      <c r="W299" s="32">
        <v>1.0</v>
      </c>
      <c r="X299" s="32">
        <v>1.0</v>
      </c>
      <c r="Y299" s="32">
        <v>1.0</v>
      </c>
      <c r="Z299" s="32">
        <v>1.0</v>
      </c>
      <c r="AA299" s="32">
        <v>6.0</v>
      </c>
      <c r="AB299" s="32">
        <v>0.0</v>
      </c>
      <c r="AC299" s="103" t="str">
        <f>IFERROR(__xludf.DUMMYFUNCTION("if($C299="""","""",if(join("" - "",{iferror(filter('Student Groupings'!$A:$A,'Student Groupings'!$B:$B=$C299,'Student Groupings'!$H:$H=""Can't be Together""),"""");iferror(filter('Student Groupings'!$A:$A,'Student Groupings'!$E:$E=$C299,'Student Groupings"&amp;"'!$H:$H=""Can't be Together""),"""")})="" - "","""",join("" - "",{iferror(filter('Student Groupings'!$A:$A,'Student Groupings'!$B:$B=$C299,'Student Groupings'!$H:$H=""Can't be Together""),"""");iferror(filter('Student Groupings'!$A:$A,'Student Groupings'!"&amp;"$E:$E=$C299,'Student Groupings'!$H:$H=""Can't be Together""),"""")})))"),"")</f>
        <v/>
      </c>
      <c r="AD299" s="103" t="str">
        <f>IFERROR(__xludf.DUMMYFUNCTION("if($C299="""","""",if(join("" - "",{iferror(filter('Student Groupings'!$A:$A,'Student Groupings'!$B:$B=$C299,'Student Groupings'!$H:$H=""Must be Together""),"""");iferror(filter('Student Groupings'!$A:$A,'Student Groupings'!$E:$E=$C299,'Student Groupings'"&amp;"!$H:$H=""Must be Together""),"""")})="" - "","""",join("" - "",{iferror(filter('Student Groupings'!$A:$A,'Student Groupings'!$B:$B=$C299,'Student Groupings'!$H:$H=""Must be Together""),"""");iferror(filter('Student Groupings'!$A:$A,'Student Groupings'!$E:"&amp;"$E=$C299,'Student Groupings'!$H:$H=""Must be Together""),"""")})))"),"121 - 129")</f>
        <v>121 - 129</v>
      </c>
      <c r="AE299" s="104"/>
      <c r="AF299" s="104"/>
      <c r="AG299" s="104"/>
      <c r="AH299" s="104"/>
    </row>
    <row r="300">
      <c r="A300" s="101">
        <v>8.0</v>
      </c>
      <c r="B300" s="101">
        <v>29150.0</v>
      </c>
      <c r="C300" s="102" t="s">
        <v>562</v>
      </c>
      <c r="D300" s="52" t="s">
        <v>176</v>
      </c>
      <c r="E300" s="52">
        <v>3.0</v>
      </c>
      <c r="F300" s="52" t="s">
        <v>162</v>
      </c>
      <c r="G300" s="52">
        <v>1.0</v>
      </c>
      <c r="H300" s="52" t="s">
        <v>187</v>
      </c>
      <c r="I300" s="52">
        <v>6.0</v>
      </c>
      <c r="J300" s="52" t="s">
        <v>190</v>
      </c>
      <c r="K300" s="52">
        <v>2.0</v>
      </c>
      <c r="L300" s="52" t="s">
        <v>201</v>
      </c>
      <c r="M300" s="52">
        <v>4.0</v>
      </c>
      <c r="N300" s="52" t="s">
        <v>149</v>
      </c>
      <c r="O300" s="52" t="s">
        <v>112</v>
      </c>
      <c r="P300" s="52" t="s">
        <v>135</v>
      </c>
      <c r="Q300" s="52" t="s">
        <v>124</v>
      </c>
      <c r="R300" s="52" t="s">
        <v>118</v>
      </c>
      <c r="S300" s="52" t="s">
        <v>124</v>
      </c>
      <c r="T300" s="65" t="s">
        <v>27</v>
      </c>
      <c r="U300" s="32">
        <v>1.0</v>
      </c>
      <c r="V300" s="32">
        <v>1.0</v>
      </c>
      <c r="W300" s="32">
        <v>1.0</v>
      </c>
      <c r="X300" s="32">
        <v>1.0</v>
      </c>
      <c r="Y300" s="32">
        <v>1.0</v>
      </c>
      <c r="Z300" s="32">
        <v>1.0</v>
      </c>
      <c r="AA300" s="32">
        <v>6.0</v>
      </c>
      <c r="AB300" s="32">
        <v>0.0</v>
      </c>
      <c r="AC300" s="103" t="str">
        <f>IFERROR(__xludf.DUMMYFUNCTION("if($C300="""","""",if(join("" - "",{iferror(filter('Student Groupings'!$A:$A,'Student Groupings'!$B:$B=$C300,'Student Groupings'!$H:$H=""Can't be Together""),"""");iferror(filter('Student Groupings'!$A:$A,'Student Groupings'!$E:$E=$C300,'Student Groupings"&amp;"'!$H:$H=""Can't be Together""),"""")})="" - "","""",join("" - "",{iferror(filter('Student Groupings'!$A:$A,'Student Groupings'!$B:$B=$C300,'Student Groupings'!$H:$H=""Can't be Together""),"""");iferror(filter('Student Groupings'!$A:$A,'Student Groupings'!"&amp;"$E:$E=$C300,'Student Groupings'!$H:$H=""Can't be Together""),"""")})))"),"")</f>
        <v/>
      </c>
      <c r="AD300" s="103" t="str">
        <f>IFERROR(__xludf.DUMMYFUNCTION("if($C300="""","""",if(join("" - "",{iferror(filter('Student Groupings'!$A:$A,'Student Groupings'!$B:$B=$C300,'Student Groupings'!$H:$H=""Must be Together""),"""");iferror(filter('Student Groupings'!$A:$A,'Student Groupings'!$E:$E=$C300,'Student Groupings'"&amp;"!$H:$H=""Must be Together""),"""")})="" - "","""",join("" - "",{iferror(filter('Student Groupings'!$A:$A,'Student Groupings'!$B:$B=$C300,'Student Groupings'!$H:$H=""Must be Together""),"""");iferror(filter('Student Groupings'!$A:$A,'Student Groupings'!$E:"&amp;"$E=$C300,'Student Groupings'!$H:$H=""Must be Together""),"""")})))"),"")</f>
        <v/>
      </c>
      <c r="AE300" s="104"/>
      <c r="AF300" s="104"/>
      <c r="AG300" s="104"/>
      <c r="AH300" s="104"/>
    </row>
    <row r="301">
      <c r="A301" s="101">
        <v>8.0</v>
      </c>
      <c r="B301" s="101">
        <v>29024.0</v>
      </c>
      <c r="C301" s="102" t="s">
        <v>270</v>
      </c>
      <c r="D301" s="52" t="s">
        <v>176</v>
      </c>
      <c r="E301" s="52">
        <v>4.0</v>
      </c>
      <c r="F301" s="52" t="s">
        <v>162</v>
      </c>
      <c r="G301" s="52">
        <v>6.0</v>
      </c>
      <c r="H301" s="52" t="s">
        <v>185</v>
      </c>
      <c r="I301" s="101">
        <v>5.0</v>
      </c>
      <c r="J301" s="52" t="s">
        <v>190</v>
      </c>
      <c r="K301" s="101">
        <v>3.0</v>
      </c>
      <c r="L301" s="52" t="s">
        <v>201</v>
      </c>
      <c r="M301" s="101">
        <v>2.0</v>
      </c>
      <c r="N301" s="52" t="s">
        <v>149</v>
      </c>
      <c r="O301" s="52" t="s">
        <v>108</v>
      </c>
      <c r="P301" s="52" t="s">
        <v>141</v>
      </c>
      <c r="Q301" s="52" t="s">
        <v>129</v>
      </c>
      <c r="R301" s="52" t="s">
        <v>141</v>
      </c>
      <c r="S301" s="52" t="s">
        <v>129</v>
      </c>
      <c r="T301" s="65" t="s">
        <v>30</v>
      </c>
      <c r="U301" s="32">
        <v>1.0</v>
      </c>
      <c r="V301" s="32">
        <v>1.0</v>
      </c>
      <c r="W301" s="32">
        <v>1.0</v>
      </c>
      <c r="X301" s="32">
        <v>1.0</v>
      </c>
      <c r="Y301" s="32">
        <v>1.0</v>
      </c>
      <c r="Z301" s="32">
        <v>1.0</v>
      </c>
      <c r="AA301" s="32">
        <v>6.0</v>
      </c>
      <c r="AB301" s="32">
        <v>0.0</v>
      </c>
      <c r="AC301" s="103" t="str">
        <f>IFERROR(__xludf.DUMMYFUNCTION("if($C301="""","""",if(join("" - "",{iferror(filter('Student Groupings'!$A:$A,'Student Groupings'!$B:$B=$C301,'Student Groupings'!$H:$H=""Can't be Together""),"""");iferror(filter('Student Groupings'!$A:$A,'Student Groupings'!$E:$E=$C301,'Student Groupings"&amp;"'!$H:$H=""Can't be Together""),"""")})="" - "","""",join("" - "",{iferror(filter('Student Groupings'!$A:$A,'Student Groupings'!$B:$B=$C301,'Student Groupings'!$H:$H=""Can't be Together""),"""");iferror(filter('Student Groupings'!$A:$A,'Student Groupings'!"&amp;"$E:$E=$C301,'Student Groupings'!$H:$H=""Can't be Together""),"""")})))")," - 51")</f>
        <v> - 51</v>
      </c>
      <c r="AD301" s="103" t="str">
        <f>IFERROR(__xludf.DUMMYFUNCTION("if($C301="""","""",if(join("" - "",{iferror(filter('Student Groupings'!$A:$A,'Student Groupings'!$B:$B=$C301,'Student Groupings'!$H:$H=""Must be Together""),"""");iferror(filter('Student Groupings'!$A:$A,'Student Groupings'!$E:$E=$C301,'Student Groupings'"&amp;"!$H:$H=""Must be Together""),"""")})="" - "","""",join("" - "",{iferror(filter('Student Groupings'!$A:$A,'Student Groupings'!$B:$B=$C301,'Student Groupings'!$H:$H=""Must be Together""),"""");iferror(filter('Student Groupings'!$A:$A,'Student Groupings'!$E:"&amp;"$E=$C301,'Student Groupings'!$H:$H=""Must be Together""),"""")})))"),"")</f>
        <v/>
      </c>
      <c r="AE301" s="104"/>
      <c r="AF301" s="104"/>
      <c r="AG301" s="104"/>
      <c r="AH301" s="104"/>
    </row>
    <row r="302">
      <c r="A302" s="101">
        <v>8.0</v>
      </c>
      <c r="B302" s="101">
        <v>29025.0</v>
      </c>
      <c r="C302" s="102" t="s">
        <v>563</v>
      </c>
      <c r="D302" s="52" t="s">
        <v>176</v>
      </c>
      <c r="E302" s="52">
        <v>4.0</v>
      </c>
      <c r="F302" s="52" t="s">
        <v>170</v>
      </c>
      <c r="G302" s="52">
        <v>1.0</v>
      </c>
      <c r="H302" s="52" t="s">
        <v>187</v>
      </c>
      <c r="I302" s="52">
        <v>6.0</v>
      </c>
      <c r="J302" s="52" t="s">
        <v>190</v>
      </c>
      <c r="K302" s="52">
        <v>3.0</v>
      </c>
      <c r="L302" s="52" t="s">
        <v>201</v>
      </c>
      <c r="M302" s="52">
        <v>2.0</v>
      </c>
      <c r="N302" s="52" t="s">
        <v>149</v>
      </c>
      <c r="O302" s="52" t="s">
        <v>124</v>
      </c>
      <c r="P302" s="52" t="s">
        <v>141</v>
      </c>
      <c r="Q302" s="52" t="s">
        <v>112</v>
      </c>
      <c r="R302" s="52" t="s">
        <v>141</v>
      </c>
      <c r="S302" s="52" t="s">
        <v>112</v>
      </c>
      <c r="T302" s="65" t="s">
        <v>30</v>
      </c>
      <c r="U302" s="32">
        <v>1.0</v>
      </c>
      <c r="V302" s="32">
        <v>1.0</v>
      </c>
      <c r="W302" s="32">
        <v>1.0</v>
      </c>
      <c r="X302" s="32">
        <v>1.0</v>
      </c>
      <c r="Y302" s="32">
        <v>1.0</v>
      </c>
      <c r="Z302" s="32">
        <v>1.0</v>
      </c>
      <c r="AA302" s="32">
        <v>6.0</v>
      </c>
      <c r="AB302" s="32">
        <v>0.0</v>
      </c>
      <c r="AC302" s="103" t="str">
        <f>IFERROR(__xludf.DUMMYFUNCTION("if($C302="""","""",if(join("" - "",{iferror(filter('Student Groupings'!$A:$A,'Student Groupings'!$B:$B=$C302,'Student Groupings'!$H:$H=""Can't be Together""),"""");iferror(filter('Student Groupings'!$A:$A,'Student Groupings'!$E:$E=$C302,'Student Groupings"&amp;"'!$H:$H=""Can't be Together""),"""")})="" - "","""",join("" - "",{iferror(filter('Student Groupings'!$A:$A,'Student Groupings'!$B:$B=$C302,'Student Groupings'!$H:$H=""Can't be Together""),"""");iferror(filter('Student Groupings'!$A:$A,'Student Groupings'!"&amp;"$E:$E=$C302,'Student Groupings'!$H:$H=""Can't be Together""),"""")})))"),"")</f>
        <v/>
      </c>
      <c r="AD302" s="103" t="str">
        <f>IFERROR(__xludf.DUMMYFUNCTION("if($C302="""","""",if(join("" - "",{iferror(filter('Student Groupings'!$A:$A,'Student Groupings'!$B:$B=$C302,'Student Groupings'!$H:$H=""Must be Together""),"""");iferror(filter('Student Groupings'!$A:$A,'Student Groupings'!$E:$E=$C302,'Student Groupings'"&amp;"!$H:$H=""Must be Together""),"""")})="" - "","""",join("" - "",{iferror(filter('Student Groupings'!$A:$A,'Student Groupings'!$B:$B=$C302,'Student Groupings'!$H:$H=""Must be Together""),"""");iferror(filter('Student Groupings'!$A:$A,'Student Groupings'!$E:"&amp;"$E=$C302,'Student Groupings'!$H:$H=""Must be Together""),"""")})))"),"")</f>
        <v/>
      </c>
      <c r="AE302" s="104"/>
      <c r="AF302" s="104"/>
      <c r="AG302" s="104"/>
      <c r="AH302" s="104"/>
    </row>
    <row r="303">
      <c r="A303" s="101">
        <v>8.0</v>
      </c>
      <c r="B303" s="101">
        <v>29027.0</v>
      </c>
      <c r="C303" s="102" t="s">
        <v>564</v>
      </c>
      <c r="D303" s="52" t="s">
        <v>177</v>
      </c>
      <c r="E303" s="52">
        <v>4.0</v>
      </c>
      <c r="F303" s="52" t="s">
        <v>167</v>
      </c>
      <c r="G303" s="52">
        <v>5.0</v>
      </c>
      <c r="H303" s="52" t="s">
        <v>187</v>
      </c>
      <c r="I303" s="52">
        <v>6.0</v>
      </c>
      <c r="J303" s="52" t="s">
        <v>191</v>
      </c>
      <c r="K303" s="52">
        <v>3.0</v>
      </c>
      <c r="L303" s="52" t="s">
        <v>202</v>
      </c>
      <c r="M303" s="52">
        <v>2.0</v>
      </c>
      <c r="N303" s="52" t="s">
        <v>149</v>
      </c>
      <c r="O303" s="52" t="s">
        <v>108</v>
      </c>
      <c r="P303" s="52" t="s">
        <v>141</v>
      </c>
      <c r="Q303" s="52" t="s">
        <v>129</v>
      </c>
      <c r="R303" s="52" t="s">
        <v>141</v>
      </c>
      <c r="S303" s="52" t="s">
        <v>129</v>
      </c>
      <c r="T303" s="65" t="s">
        <v>30</v>
      </c>
      <c r="U303" s="32">
        <v>1.0</v>
      </c>
      <c r="V303" s="32">
        <v>1.0</v>
      </c>
      <c r="W303" s="32">
        <v>1.0</v>
      </c>
      <c r="X303" s="32">
        <v>1.0</v>
      </c>
      <c r="Y303" s="32">
        <v>1.0</v>
      </c>
      <c r="Z303" s="32">
        <v>1.0</v>
      </c>
      <c r="AA303" s="32">
        <v>6.0</v>
      </c>
      <c r="AB303" s="32">
        <v>0.0</v>
      </c>
      <c r="AC303" s="103" t="str">
        <f>IFERROR(__xludf.DUMMYFUNCTION("if($C303="""","""",if(join("" - "",{iferror(filter('Student Groupings'!$A:$A,'Student Groupings'!$B:$B=$C303,'Student Groupings'!$H:$H=""Can't be Together""),"""");iferror(filter('Student Groupings'!$A:$A,'Student Groupings'!$E:$E=$C303,'Student Groupings"&amp;"'!$H:$H=""Can't be Together""),"""")})="" - "","""",join("" - "",{iferror(filter('Student Groupings'!$A:$A,'Student Groupings'!$B:$B=$C303,'Student Groupings'!$H:$H=""Can't be Together""),"""");iferror(filter('Student Groupings'!$A:$A,'Student Groupings'!"&amp;"$E:$E=$C303,'Student Groupings'!$H:$H=""Can't be Together""),"""")})))"),"")</f>
        <v/>
      </c>
      <c r="AD303" s="103" t="str">
        <f>IFERROR(__xludf.DUMMYFUNCTION("if($C303="""","""",if(join("" - "",{iferror(filter('Student Groupings'!$A:$A,'Student Groupings'!$B:$B=$C303,'Student Groupings'!$H:$H=""Must be Together""),"""");iferror(filter('Student Groupings'!$A:$A,'Student Groupings'!$E:$E=$C303,'Student Groupings'"&amp;"!$H:$H=""Must be Together""),"""")})="" - "","""",join("" - "",{iferror(filter('Student Groupings'!$A:$A,'Student Groupings'!$B:$B=$C303,'Student Groupings'!$H:$H=""Must be Together""),"""");iferror(filter('Student Groupings'!$A:$A,'Student Groupings'!$E:"&amp;"$E=$C303,'Student Groupings'!$H:$H=""Must be Together""),"""")})))"),"")</f>
        <v/>
      </c>
      <c r="AE303" s="104"/>
      <c r="AF303" s="104"/>
      <c r="AG303" s="104"/>
      <c r="AH303" s="104"/>
    </row>
    <row r="304">
      <c r="A304" s="101">
        <v>8.0</v>
      </c>
      <c r="B304" s="101">
        <v>29028.0</v>
      </c>
      <c r="C304" s="102" t="s">
        <v>565</v>
      </c>
      <c r="D304" s="52" t="s">
        <v>176</v>
      </c>
      <c r="E304" s="52">
        <v>6.0</v>
      </c>
      <c r="F304" s="52" t="s">
        <v>167</v>
      </c>
      <c r="G304" s="52">
        <v>4.0</v>
      </c>
      <c r="H304" s="52" t="s">
        <v>185</v>
      </c>
      <c r="I304" s="52">
        <v>3.0</v>
      </c>
      <c r="J304" s="52" t="s">
        <v>190</v>
      </c>
      <c r="K304" s="52">
        <v>5.0</v>
      </c>
      <c r="L304" s="107" t="s">
        <v>201</v>
      </c>
      <c r="M304" s="52">
        <v>1.0</v>
      </c>
      <c r="N304" s="52" t="s">
        <v>149</v>
      </c>
      <c r="O304" s="52" t="s">
        <v>125</v>
      </c>
      <c r="P304" s="52" t="s">
        <v>141</v>
      </c>
      <c r="Q304" s="52" t="s">
        <v>119</v>
      </c>
      <c r="R304" s="52" t="s">
        <v>141</v>
      </c>
      <c r="S304" s="52" t="s">
        <v>119</v>
      </c>
      <c r="T304" s="65" t="s">
        <v>30</v>
      </c>
      <c r="U304" s="32">
        <v>1.0</v>
      </c>
      <c r="V304" s="32">
        <v>1.0</v>
      </c>
      <c r="W304" s="32">
        <v>1.0</v>
      </c>
      <c r="X304" s="32">
        <v>1.0</v>
      </c>
      <c r="Y304" s="32">
        <v>1.0</v>
      </c>
      <c r="Z304" s="32">
        <v>1.0</v>
      </c>
      <c r="AA304" s="32">
        <v>6.0</v>
      </c>
      <c r="AB304" s="32">
        <v>0.0</v>
      </c>
      <c r="AC304" s="103" t="str">
        <f>IFERROR(__xludf.DUMMYFUNCTION("if($C304="""","""",if(join("" - "",{iferror(filter('Student Groupings'!$A:$A,'Student Groupings'!$B:$B=$C304,'Student Groupings'!$H:$H=""Can't be Together""),"""");iferror(filter('Student Groupings'!$A:$A,'Student Groupings'!$E:$E=$C304,'Student Groupings"&amp;"'!$H:$H=""Can't be Together""),"""")})="" - "","""",join("" - "",{iferror(filter('Student Groupings'!$A:$A,'Student Groupings'!$B:$B=$C304,'Student Groupings'!$H:$H=""Can't be Together""),"""");iferror(filter('Student Groupings'!$A:$A,'Student Groupings'!"&amp;"$E:$E=$C304,'Student Groupings'!$H:$H=""Can't be Together""),"""")})))"),"")</f>
        <v/>
      </c>
      <c r="AD304" s="103" t="str">
        <f>IFERROR(__xludf.DUMMYFUNCTION("if($C304="""","""",if(join("" - "",{iferror(filter('Student Groupings'!$A:$A,'Student Groupings'!$B:$B=$C304,'Student Groupings'!$H:$H=""Must be Together""),"""");iferror(filter('Student Groupings'!$A:$A,'Student Groupings'!$E:$E=$C304,'Student Groupings'"&amp;"!$H:$H=""Must be Together""),"""")})="" - "","""",join("" - "",{iferror(filter('Student Groupings'!$A:$A,'Student Groupings'!$B:$B=$C304,'Student Groupings'!$H:$H=""Must be Together""),"""");iferror(filter('Student Groupings'!$A:$A,'Student Groupings'!$E:"&amp;"$E=$C304,'Student Groupings'!$H:$H=""Must be Together""),"""")})))"),"")</f>
        <v/>
      </c>
      <c r="AE304" s="104"/>
      <c r="AF304" s="104"/>
      <c r="AG304" s="104"/>
      <c r="AH304" s="104"/>
    </row>
    <row r="305">
      <c r="A305" s="101">
        <v>8.0</v>
      </c>
      <c r="B305" s="101">
        <v>29029.0</v>
      </c>
      <c r="C305" s="102" t="s">
        <v>566</v>
      </c>
      <c r="D305" s="52" t="s">
        <v>176</v>
      </c>
      <c r="E305" s="52">
        <v>2.0</v>
      </c>
      <c r="F305" s="52" t="s">
        <v>162</v>
      </c>
      <c r="G305" s="52">
        <v>1.0</v>
      </c>
      <c r="H305" s="52" t="s">
        <v>185</v>
      </c>
      <c r="I305" s="52">
        <v>6.0</v>
      </c>
      <c r="J305" s="52" t="s">
        <v>190</v>
      </c>
      <c r="K305" s="52">
        <v>4.0</v>
      </c>
      <c r="L305" s="52" t="s">
        <v>201</v>
      </c>
      <c r="M305" s="52">
        <v>3.0</v>
      </c>
      <c r="N305" s="52" t="s">
        <v>149</v>
      </c>
      <c r="O305" s="52" t="s">
        <v>124</v>
      </c>
      <c r="P305" s="52" t="s">
        <v>141</v>
      </c>
      <c r="Q305" s="52" t="s">
        <v>112</v>
      </c>
      <c r="R305" s="52" t="s">
        <v>141</v>
      </c>
      <c r="S305" s="52" t="s">
        <v>112</v>
      </c>
      <c r="T305" s="65" t="s">
        <v>30</v>
      </c>
      <c r="U305" s="32">
        <v>1.0</v>
      </c>
      <c r="V305" s="32">
        <v>1.0</v>
      </c>
      <c r="W305" s="32">
        <v>1.0</v>
      </c>
      <c r="X305" s="32">
        <v>1.0</v>
      </c>
      <c r="Y305" s="32">
        <v>1.0</v>
      </c>
      <c r="Z305" s="32">
        <v>1.0</v>
      </c>
      <c r="AA305" s="32">
        <v>6.0</v>
      </c>
      <c r="AB305" s="32">
        <v>0.0</v>
      </c>
      <c r="AC305" s="103" t="str">
        <f>IFERROR(__xludf.DUMMYFUNCTION("if($C305="""","""",if(join("" - "",{iferror(filter('Student Groupings'!$A:$A,'Student Groupings'!$B:$B=$C305,'Student Groupings'!$H:$H=""Can't be Together""),"""");iferror(filter('Student Groupings'!$A:$A,'Student Groupings'!$E:$E=$C305,'Student Groupings"&amp;"'!$H:$H=""Can't be Together""),"""")})="" - "","""",join("" - "",{iferror(filter('Student Groupings'!$A:$A,'Student Groupings'!$B:$B=$C305,'Student Groupings'!$H:$H=""Can't be Together""),"""");iferror(filter('Student Groupings'!$A:$A,'Student Groupings'!"&amp;"$E:$E=$C305,'Student Groupings'!$H:$H=""Can't be Together""),"""")})))"),"")</f>
        <v/>
      </c>
      <c r="AD305" s="103" t="str">
        <f>IFERROR(__xludf.DUMMYFUNCTION("if($C305="""","""",if(join("" - "",{iferror(filter('Student Groupings'!$A:$A,'Student Groupings'!$B:$B=$C305,'Student Groupings'!$H:$H=""Must be Together""),"""");iferror(filter('Student Groupings'!$A:$A,'Student Groupings'!$E:$E=$C305,'Student Groupings'"&amp;"!$H:$H=""Must be Together""),"""")})="" - "","""",join("" - "",{iferror(filter('Student Groupings'!$A:$A,'Student Groupings'!$B:$B=$C305,'Student Groupings'!$H:$H=""Must be Together""),"""");iferror(filter('Student Groupings'!$A:$A,'Student Groupings'!$E:"&amp;"$E=$C305,'Student Groupings'!$H:$H=""Must be Together""),"""")})))"),"")</f>
        <v/>
      </c>
      <c r="AE305" s="105"/>
      <c r="AF305" s="105">
        <v>1.0</v>
      </c>
      <c r="AG305" s="105">
        <v>1.0</v>
      </c>
      <c r="AH305" s="105"/>
    </row>
    <row r="306">
      <c r="A306" s="101">
        <v>8.0</v>
      </c>
      <c r="B306" s="101">
        <v>29136.0</v>
      </c>
      <c r="C306" s="102" t="s">
        <v>567</v>
      </c>
      <c r="D306" s="52" t="s">
        <v>176</v>
      </c>
      <c r="E306" s="52">
        <v>3.0</v>
      </c>
      <c r="F306" s="52" t="s">
        <v>167</v>
      </c>
      <c r="G306" s="52">
        <v>5.0</v>
      </c>
      <c r="H306" s="52" t="s">
        <v>185</v>
      </c>
      <c r="I306" s="52">
        <v>6.0</v>
      </c>
      <c r="J306" s="52" t="s">
        <v>190</v>
      </c>
      <c r="K306" s="52">
        <v>2.0</v>
      </c>
      <c r="L306" s="52" t="s">
        <v>201</v>
      </c>
      <c r="M306" s="52">
        <v>4.0</v>
      </c>
      <c r="N306" s="52" t="s">
        <v>149</v>
      </c>
      <c r="O306" s="52" t="s">
        <v>108</v>
      </c>
      <c r="P306" s="52" t="s">
        <v>141</v>
      </c>
      <c r="Q306" s="52" t="s">
        <v>129</v>
      </c>
      <c r="R306" s="52" t="s">
        <v>141</v>
      </c>
      <c r="S306" s="52" t="s">
        <v>129</v>
      </c>
      <c r="T306" s="65" t="s">
        <v>30</v>
      </c>
      <c r="U306" s="32">
        <v>1.0</v>
      </c>
      <c r="V306" s="32">
        <v>1.0</v>
      </c>
      <c r="W306" s="32">
        <v>1.0</v>
      </c>
      <c r="X306" s="32">
        <v>1.0</v>
      </c>
      <c r="Y306" s="32">
        <v>1.0</v>
      </c>
      <c r="Z306" s="32">
        <v>1.0</v>
      </c>
      <c r="AA306" s="32">
        <v>6.0</v>
      </c>
      <c r="AB306" s="32">
        <v>0.0</v>
      </c>
      <c r="AC306" s="103" t="str">
        <f>IFERROR(__xludf.DUMMYFUNCTION("if($C306="""","""",if(join("" - "",{iferror(filter('Student Groupings'!$A:$A,'Student Groupings'!$B:$B=$C306,'Student Groupings'!$H:$H=""Can't be Together""),"""");iferror(filter('Student Groupings'!$A:$A,'Student Groupings'!$E:$E=$C306,'Student Groupings"&amp;"'!$H:$H=""Can't be Together""),"""")})="" - "","""",join("" - "",{iferror(filter('Student Groupings'!$A:$A,'Student Groupings'!$B:$B=$C306,'Student Groupings'!$H:$H=""Can't be Together""),"""");iferror(filter('Student Groupings'!$A:$A,'Student Groupings'!"&amp;"$E:$E=$C306,'Student Groupings'!$H:$H=""Can't be Together""),"""")})))"),"")</f>
        <v/>
      </c>
      <c r="AD306" s="103" t="str">
        <f>IFERROR(__xludf.DUMMYFUNCTION("if($C306="""","""",if(join("" - "",{iferror(filter('Student Groupings'!$A:$A,'Student Groupings'!$B:$B=$C306,'Student Groupings'!$H:$H=""Must be Together""),"""");iferror(filter('Student Groupings'!$A:$A,'Student Groupings'!$E:$E=$C306,'Student Groupings'"&amp;"!$H:$H=""Must be Together""),"""")})="" - "","""",join("" - "",{iferror(filter('Student Groupings'!$A:$A,'Student Groupings'!$B:$B=$C306,'Student Groupings'!$H:$H=""Must be Together""),"""");iferror(filter('Student Groupings'!$A:$A,'Student Groupings'!$E:"&amp;"$E=$C306,'Student Groupings'!$H:$H=""Must be Together""),"""")})))"),"")</f>
        <v/>
      </c>
      <c r="AE306" s="104"/>
      <c r="AF306" s="104"/>
      <c r="AG306" s="104"/>
      <c r="AH306" s="104"/>
    </row>
    <row r="307">
      <c r="A307" s="101">
        <v>8.0</v>
      </c>
      <c r="B307" s="101">
        <v>28023.0</v>
      </c>
      <c r="C307" s="102" t="s">
        <v>568</v>
      </c>
      <c r="D307" s="52" t="s">
        <v>177</v>
      </c>
      <c r="E307" s="52">
        <v>4.0</v>
      </c>
      <c r="F307" s="52" t="s">
        <v>162</v>
      </c>
      <c r="G307" s="52">
        <v>1.0</v>
      </c>
      <c r="H307" s="52" t="s">
        <v>185</v>
      </c>
      <c r="I307" s="52">
        <v>5.0</v>
      </c>
      <c r="J307" s="52" t="s">
        <v>191</v>
      </c>
      <c r="K307" s="52">
        <v>3.0</v>
      </c>
      <c r="L307" s="52" t="s">
        <v>202</v>
      </c>
      <c r="M307" s="52">
        <v>2.0</v>
      </c>
      <c r="N307" s="52" t="s">
        <v>149</v>
      </c>
      <c r="O307" s="52" t="s">
        <v>120</v>
      </c>
      <c r="P307" s="52" t="s">
        <v>141</v>
      </c>
      <c r="Q307" s="52" t="s">
        <v>109</v>
      </c>
      <c r="R307" s="52" t="s">
        <v>141</v>
      </c>
      <c r="S307" s="52" t="s">
        <v>109</v>
      </c>
      <c r="T307" s="65" t="s">
        <v>30</v>
      </c>
      <c r="U307" s="32">
        <v>1.0</v>
      </c>
      <c r="V307" s="32">
        <v>1.0</v>
      </c>
      <c r="W307" s="32">
        <v>1.0</v>
      </c>
      <c r="X307" s="32">
        <v>1.0</v>
      </c>
      <c r="Y307" s="32">
        <v>1.0</v>
      </c>
      <c r="Z307" s="32">
        <v>1.0</v>
      </c>
      <c r="AA307" s="32">
        <v>6.0</v>
      </c>
      <c r="AB307" s="32">
        <v>0.0</v>
      </c>
      <c r="AC307" s="103" t="str">
        <f>IFERROR(__xludf.DUMMYFUNCTION("if($C307="""","""",if(join("" - "",{iferror(filter('Student Groupings'!$A:$A,'Student Groupings'!$B:$B=$C307,'Student Groupings'!$H:$H=""Can't be Together""),"""");iferror(filter('Student Groupings'!$A:$A,'Student Groupings'!$E:$E=$C307,'Student Groupings"&amp;"'!$H:$H=""Can't be Together""),"""")})="" - "","""",join("" - "",{iferror(filter('Student Groupings'!$A:$A,'Student Groupings'!$B:$B=$C307,'Student Groupings'!$H:$H=""Can't be Together""),"""");iferror(filter('Student Groupings'!$A:$A,'Student Groupings'!"&amp;"$E:$E=$C307,'Student Groupings'!$H:$H=""Can't be Together""),"""")})))"),"")</f>
        <v/>
      </c>
      <c r="AD307" s="103" t="str">
        <f>IFERROR(__xludf.DUMMYFUNCTION("if($C307="""","""",if(join("" - "",{iferror(filter('Student Groupings'!$A:$A,'Student Groupings'!$B:$B=$C307,'Student Groupings'!$H:$H=""Must be Together""),"""");iferror(filter('Student Groupings'!$A:$A,'Student Groupings'!$E:$E=$C307,'Student Groupings'"&amp;"!$H:$H=""Must be Together""),"""")})="" - "","""",join("" - "",{iferror(filter('Student Groupings'!$A:$A,'Student Groupings'!$B:$B=$C307,'Student Groupings'!$H:$H=""Must be Together""),"""");iferror(filter('Student Groupings'!$A:$A,'Student Groupings'!$E:"&amp;"$E=$C307,'Student Groupings'!$H:$H=""Must be Together""),"""")})))"),"")</f>
        <v/>
      </c>
      <c r="AE307" s="104"/>
      <c r="AF307" s="104"/>
      <c r="AG307" s="104"/>
      <c r="AH307" s="104"/>
    </row>
    <row r="308">
      <c r="A308" s="101">
        <v>8.0</v>
      </c>
      <c r="B308" s="101">
        <v>29030.0</v>
      </c>
      <c r="C308" s="102" t="s">
        <v>569</v>
      </c>
      <c r="D308" s="52" t="s">
        <v>176</v>
      </c>
      <c r="E308" s="52">
        <v>3.0</v>
      </c>
      <c r="F308" s="52" t="s">
        <v>167</v>
      </c>
      <c r="G308" s="52">
        <v>5.0</v>
      </c>
      <c r="H308" s="52" t="s">
        <v>185</v>
      </c>
      <c r="I308" s="52">
        <v>6.0</v>
      </c>
      <c r="J308" s="52" t="s">
        <v>190</v>
      </c>
      <c r="K308" s="52">
        <v>2.0</v>
      </c>
      <c r="L308" s="52" t="s">
        <v>201</v>
      </c>
      <c r="M308" s="52">
        <v>4.0</v>
      </c>
      <c r="N308" s="52" t="s">
        <v>149</v>
      </c>
      <c r="O308" s="52" t="s">
        <v>108</v>
      </c>
      <c r="P308" s="52" t="s">
        <v>141</v>
      </c>
      <c r="Q308" s="52" t="s">
        <v>129</v>
      </c>
      <c r="R308" s="52" t="s">
        <v>141</v>
      </c>
      <c r="S308" s="52" t="s">
        <v>129</v>
      </c>
      <c r="T308" s="65" t="s">
        <v>30</v>
      </c>
      <c r="U308" s="32">
        <v>1.0</v>
      </c>
      <c r="V308" s="32">
        <v>1.0</v>
      </c>
      <c r="W308" s="32">
        <v>1.0</v>
      </c>
      <c r="X308" s="32">
        <v>1.0</v>
      </c>
      <c r="Y308" s="32">
        <v>1.0</v>
      </c>
      <c r="Z308" s="32">
        <v>1.0</v>
      </c>
      <c r="AA308" s="32">
        <v>6.0</v>
      </c>
      <c r="AB308" s="32">
        <v>0.0</v>
      </c>
      <c r="AC308" s="103" t="str">
        <f>IFERROR(__xludf.DUMMYFUNCTION("if($C308="""","""",if(join("" - "",{iferror(filter('Student Groupings'!$A:$A,'Student Groupings'!$B:$B=$C308,'Student Groupings'!$H:$H=""Can't be Together""),"""");iferror(filter('Student Groupings'!$A:$A,'Student Groupings'!$E:$E=$C308,'Student Groupings"&amp;"'!$H:$H=""Can't be Together""),"""")})="" - "","""",join("" - "",{iferror(filter('Student Groupings'!$A:$A,'Student Groupings'!$B:$B=$C308,'Student Groupings'!$H:$H=""Can't be Together""),"""");iferror(filter('Student Groupings'!$A:$A,'Student Groupings'!"&amp;"$E:$E=$C308,'Student Groupings'!$H:$H=""Can't be Together""),"""")})))"),"")</f>
        <v/>
      </c>
      <c r="AD308" s="103" t="str">
        <f>IFERROR(__xludf.DUMMYFUNCTION("if($C308="""","""",if(join("" - "",{iferror(filter('Student Groupings'!$A:$A,'Student Groupings'!$B:$B=$C308,'Student Groupings'!$H:$H=""Must be Together""),"""");iferror(filter('Student Groupings'!$A:$A,'Student Groupings'!$E:$E=$C308,'Student Groupings'"&amp;"!$H:$H=""Must be Together""),"""")})="" - "","""",join("" - "",{iferror(filter('Student Groupings'!$A:$A,'Student Groupings'!$B:$B=$C308,'Student Groupings'!$H:$H=""Must be Together""),"""");iferror(filter('Student Groupings'!$A:$A,'Student Groupings'!$E:"&amp;"$E=$C308,'Student Groupings'!$H:$H=""Must be Together""),"""")})))"),"")</f>
        <v/>
      </c>
      <c r="AE308" s="104"/>
      <c r="AF308" s="104"/>
      <c r="AG308" s="104"/>
      <c r="AH308" s="104"/>
    </row>
    <row r="309">
      <c r="A309" s="101">
        <v>8.0</v>
      </c>
      <c r="B309" s="101">
        <v>29164.0</v>
      </c>
      <c r="C309" s="102" t="s">
        <v>283</v>
      </c>
      <c r="D309" s="52" t="s">
        <v>176</v>
      </c>
      <c r="E309" s="52">
        <v>4.0</v>
      </c>
      <c r="F309" s="52" t="s">
        <v>162</v>
      </c>
      <c r="G309" s="52">
        <v>6.0</v>
      </c>
      <c r="H309" s="52" t="s">
        <v>185</v>
      </c>
      <c r="I309" s="52">
        <v>5.0</v>
      </c>
      <c r="J309" s="52" t="s">
        <v>190</v>
      </c>
      <c r="K309" s="52">
        <v>3.0</v>
      </c>
      <c r="L309" s="52" t="s">
        <v>201</v>
      </c>
      <c r="M309" s="52">
        <v>2.0</v>
      </c>
      <c r="N309" s="52" t="s">
        <v>149</v>
      </c>
      <c r="O309" s="52" t="s">
        <v>108</v>
      </c>
      <c r="P309" s="52" t="s">
        <v>141</v>
      </c>
      <c r="Q309" s="52" t="s">
        <v>129</v>
      </c>
      <c r="R309" s="52" t="s">
        <v>141</v>
      </c>
      <c r="S309" s="52" t="s">
        <v>129</v>
      </c>
      <c r="T309" s="65" t="s">
        <v>30</v>
      </c>
      <c r="U309" s="32">
        <v>1.0</v>
      </c>
      <c r="V309" s="32">
        <v>1.0</v>
      </c>
      <c r="W309" s="32">
        <v>1.0</v>
      </c>
      <c r="X309" s="32">
        <v>1.0</v>
      </c>
      <c r="Y309" s="32">
        <v>1.0</v>
      </c>
      <c r="Z309" s="32">
        <v>1.0</v>
      </c>
      <c r="AA309" s="32">
        <v>6.0</v>
      </c>
      <c r="AB309" s="32">
        <v>0.0</v>
      </c>
      <c r="AC309" s="103" t="str">
        <f>IFERROR(__xludf.DUMMYFUNCTION("if($C309="""","""",if(join("" - "",{iferror(filter('Student Groupings'!$A:$A,'Student Groupings'!$B:$B=$C309,'Student Groupings'!$H:$H=""Can't be Together""),"""");iferror(filter('Student Groupings'!$A:$A,'Student Groupings'!$E:$E=$C309,'Student Groupings"&amp;"'!$H:$H=""Can't be Together""),"""")})="" - "","""",join("" - "",{iferror(filter('Student Groupings'!$A:$A,'Student Groupings'!$B:$B=$C309,'Student Groupings'!$H:$H=""Can't be Together""),"""");iferror(filter('Student Groupings'!$A:$A,'Student Groupings'!"&amp;"$E:$E=$C309,'Student Groupings'!$H:$H=""Can't be Together""),"""")})))")," - 117")</f>
        <v> - 117</v>
      </c>
      <c r="AD309" s="103" t="str">
        <f>IFERROR(__xludf.DUMMYFUNCTION("if($C309="""","""",if(join("" - "",{iferror(filter('Student Groupings'!$A:$A,'Student Groupings'!$B:$B=$C309,'Student Groupings'!$H:$H=""Must be Together""),"""");iferror(filter('Student Groupings'!$A:$A,'Student Groupings'!$E:$E=$C309,'Student Groupings'"&amp;"!$H:$H=""Must be Together""),"""")})="" - "","""",join("" - "",{iferror(filter('Student Groupings'!$A:$A,'Student Groupings'!$B:$B=$C309,'Student Groupings'!$H:$H=""Must be Together""),"""");iferror(filter('Student Groupings'!$A:$A,'Student Groupings'!$E:"&amp;"$E=$C309,'Student Groupings'!$H:$H=""Must be Together""),"""")})))"),"")</f>
        <v/>
      </c>
      <c r="AE309" s="104"/>
      <c r="AF309" s="104"/>
      <c r="AG309" s="104"/>
      <c r="AH309" s="104"/>
    </row>
    <row r="310">
      <c r="A310" s="101">
        <v>8.0</v>
      </c>
      <c r="B310" s="101">
        <v>29032.0</v>
      </c>
      <c r="C310" s="102" t="s">
        <v>570</v>
      </c>
      <c r="D310" s="52" t="s">
        <v>176</v>
      </c>
      <c r="E310" s="52">
        <v>2.0</v>
      </c>
      <c r="F310" s="52" t="s">
        <v>162</v>
      </c>
      <c r="G310" s="52">
        <v>1.0</v>
      </c>
      <c r="H310" s="52" t="s">
        <v>185</v>
      </c>
      <c r="I310" s="52">
        <v>5.0</v>
      </c>
      <c r="J310" s="52" t="s">
        <v>190</v>
      </c>
      <c r="K310" s="52">
        <v>4.0</v>
      </c>
      <c r="L310" s="52" t="s">
        <v>201</v>
      </c>
      <c r="M310" s="52">
        <v>3.0</v>
      </c>
      <c r="N310" s="52" t="s">
        <v>149</v>
      </c>
      <c r="O310" s="52" t="s">
        <v>120</v>
      </c>
      <c r="P310" s="52" t="s">
        <v>141</v>
      </c>
      <c r="Q310" s="52" t="s">
        <v>109</v>
      </c>
      <c r="R310" s="52" t="s">
        <v>141</v>
      </c>
      <c r="S310" s="52" t="s">
        <v>109</v>
      </c>
      <c r="T310" s="65" t="s">
        <v>30</v>
      </c>
      <c r="U310" s="32">
        <v>1.0</v>
      </c>
      <c r="V310" s="32">
        <v>1.0</v>
      </c>
      <c r="W310" s="32">
        <v>1.0</v>
      </c>
      <c r="X310" s="32">
        <v>1.0</v>
      </c>
      <c r="Y310" s="32">
        <v>1.0</v>
      </c>
      <c r="Z310" s="32">
        <v>1.0</v>
      </c>
      <c r="AA310" s="32">
        <v>6.0</v>
      </c>
      <c r="AB310" s="32">
        <v>0.0</v>
      </c>
      <c r="AC310" s="103" t="str">
        <f>IFERROR(__xludf.DUMMYFUNCTION("if($C310="""","""",if(join("" - "",{iferror(filter('Student Groupings'!$A:$A,'Student Groupings'!$B:$B=$C310,'Student Groupings'!$H:$H=""Can't be Together""),"""");iferror(filter('Student Groupings'!$A:$A,'Student Groupings'!$E:$E=$C310,'Student Groupings"&amp;"'!$H:$H=""Can't be Together""),"""")})="" - "","""",join("" - "",{iferror(filter('Student Groupings'!$A:$A,'Student Groupings'!$B:$B=$C310,'Student Groupings'!$H:$H=""Can't be Together""),"""");iferror(filter('Student Groupings'!$A:$A,'Student Groupings'!"&amp;"$E:$E=$C310,'Student Groupings'!$H:$H=""Can't be Together""),"""")})))"),"")</f>
        <v/>
      </c>
      <c r="AD310" s="103" t="str">
        <f>IFERROR(__xludf.DUMMYFUNCTION("if($C310="""","""",if(join("" - "",{iferror(filter('Student Groupings'!$A:$A,'Student Groupings'!$B:$B=$C310,'Student Groupings'!$H:$H=""Must be Together""),"""");iferror(filter('Student Groupings'!$A:$A,'Student Groupings'!$E:$E=$C310,'Student Groupings'"&amp;"!$H:$H=""Must be Together""),"""")})="" - "","""",join("" - "",{iferror(filter('Student Groupings'!$A:$A,'Student Groupings'!$B:$B=$C310,'Student Groupings'!$H:$H=""Must be Together""),"""");iferror(filter('Student Groupings'!$A:$A,'Student Groupings'!$E:"&amp;"$E=$C310,'Student Groupings'!$H:$H=""Must be Together""),"""")})))"),"")</f>
        <v/>
      </c>
      <c r="AE310" s="104"/>
      <c r="AF310" s="104"/>
      <c r="AG310" s="104"/>
      <c r="AH310" s="104"/>
    </row>
    <row r="311">
      <c r="A311" s="101">
        <v>8.0</v>
      </c>
      <c r="B311" s="101">
        <v>29165.0</v>
      </c>
      <c r="C311" s="102" t="s">
        <v>571</v>
      </c>
      <c r="D311" s="52" t="s">
        <v>176</v>
      </c>
      <c r="E311" s="52">
        <v>4.0</v>
      </c>
      <c r="F311" s="52" t="s">
        <v>162</v>
      </c>
      <c r="G311" s="52">
        <v>1.0</v>
      </c>
      <c r="H311" s="52" t="s">
        <v>185</v>
      </c>
      <c r="I311" s="52">
        <v>5.0</v>
      </c>
      <c r="J311" s="52" t="s">
        <v>190</v>
      </c>
      <c r="K311" s="52">
        <v>3.0</v>
      </c>
      <c r="L311" s="52" t="s">
        <v>201</v>
      </c>
      <c r="M311" s="52">
        <v>2.0</v>
      </c>
      <c r="N311" s="52" t="s">
        <v>149</v>
      </c>
      <c r="O311" s="52" t="s">
        <v>120</v>
      </c>
      <c r="P311" s="52" t="s">
        <v>141</v>
      </c>
      <c r="Q311" s="52" t="s">
        <v>109</v>
      </c>
      <c r="R311" s="52" t="s">
        <v>141</v>
      </c>
      <c r="S311" s="52" t="s">
        <v>109</v>
      </c>
      <c r="T311" s="65" t="s">
        <v>30</v>
      </c>
      <c r="U311" s="32">
        <v>1.0</v>
      </c>
      <c r="V311" s="32">
        <v>1.0</v>
      </c>
      <c r="W311" s="32">
        <v>1.0</v>
      </c>
      <c r="X311" s="32">
        <v>1.0</v>
      </c>
      <c r="Y311" s="32">
        <v>1.0</v>
      </c>
      <c r="Z311" s="32">
        <v>1.0</v>
      </c>
      <c r="AA311" s="32">
        <v>6.0</v>
      </c>
      <c r="AB311" s="32">
        <v>0.0</v>
      </c>
      <c r="AC311" s="103" t="str">
        <f>IFERROR(__xludf.DUMMYFUNCTION("if($C311="""","""",if(join("" - "",{iferror(filter('Student Groupings'!$A:$A,'Student Groupings'!$B:$B=$C311,'Student Groupings'!$H:$H=""Can't be Together""),"""");iferror(filter('Student Groupings'!$A:$A,'Student Groupings'!$E:$E=$C311,'Student Groupings"&amp;"'!$H:$H=""Can't be Together""),"""")})="" - "","""",join("" - "",{iferror(filter('Student Groupings'!$A:$A,'Student Groupings'!$B:$B=$C311,'Student Groupings'!$H:$H=""Can't be Together""),"""");iferror(filter('Student Groupings'!$A:$A,'Student Groupings'!"&amp;"$E:$E=$C311,'Student Groupings'!$H:$H=""Can't be Together""),"""")})))"),"")</f>
        <v/>
      </c>
      <c r="AD311" s="103" t="str">
        <f>IFERROR(__xludf.DUMMYFUNCTION("if($C311="""","""",if(join("" - "",{iferror(filter('Student Groupings'!$A:$A,'Student Groupings'!$B:$B=$C311,'Student Groupings'!$H:$H=""Must be Together""),"""");iferror(filter('Student Groupings'!$A:$A,'Student Groupings'!$E:$E=$C311,'Student Groupings'"&amp;"!$H:$H=""Must be Together""),"""")})="" - "","""",join("" - "",{iferror(filter('Student Groupings'!$A:$A,'Student Groupings'!$B:$B=$C311,'Student Groupings'!$H:$H=""Must be Together""),"""");iferror(filter('Student Groupings'!$A:$A,'Student Groupings'!$E:"&amp;"$E=$C311,'Student Groupings'!$H:$H=""Must be Together""),"""")})))"),"")</f>
        <v/>
      </c>
      <c r="AE311" s="104"/>
      <c r="AF311" s="104"/>
      <c r="AG311" s="104"/>
      <c r="AH311" s="104"/>
    </row>
    <row r="312">
      <c r="A312" s="101">
        <v>8.0</v>
      </c>
      <c r="B312" s="101">
        <v>29034.0</v>
      </c>
      <c r="C312" s="102" t="s">
        <v>572</v>
      </c>
      <c r="D312" s="52" t="s">
        <v>176</v>
      </c>
      <c r="E312" s="52">
        <v>5.0</v>
      </c>
      <c r="F312" s="52" t="s">
        <v>167</v>
      </c>
      <c r="G312" s="52">
        <v>4.0</v>
      </c>
      <c r="H312" s="52" t="s">
        <v>185</v>
      </c>
      <c r="I312" s="52">
        <v>3.0</v>
      </c>
      <c r="J312" s="52" t="s">
        <v>190</v>
      </c>
      <c r="K312" s="52">
        <v>1.0</v>
      </c>
      <c r="L312" s="52" t="s">
        <v>201</v>
      </c>
      <c r="M312" s="52">
        <v>6.0</v>
      </c>
      <c r="N312" s="52" t="s">
        <v>149</v>
      </c>
      <c r="O312" s="52" t="s">
        <v>125</v>
      </c>
      <c r="P312" s="52" t="s">
        <v>141</v>
      </c>
      <c r="Q312" s="52" t="s">
        <v>119</v>
      </c>
      <c r="R312" s="52" t="s">
        <v>141</v>
      </c>
      <c r="S312" s="52" t="s">
        <v>119</v>
      </c>
      <c r="T312" s="65" t="s">
        <v>30</v>
      </c>
      <c r="U312" s="32">
        <v>1.0</v>
      </c>
      <c r="V312" s="32">
        <v>1.0</v>
      </c>
      <c r="W312" s="32">
        <v>1.0</v>
      </c>
      <c r="X312" s="32">
        <v>1.0</v>
      </c>
      <c r="Y312" s="32">
        <v>1.0</v>
      </c>
      <c r="Z312" s="32">
        <v>1.0</v>
      </c>
      <c r="AA312" s="32">
        <v>6.0</v>
      </c>
      <c r="AB312" s="32">
        <v>0.0</v>
      </c>
      <c r="AC312" s="103" t="str">
        <f>IFERROR(__xludf.DUMMYFUNCTION("if($C312="""","""",if(join("" - "",{iferror(filter('Student Groupings'!$A:$A,'Student Groupings'!$B:$B=$C312,'Student Groupings'!$H:$H=""Can't be Together""),"""");iferror(filter('Student Groupings'!$A:$A,'Student Groupings'!$E:$E=$C312,'Student Groupings"&amp;"'!$H:$H=""Can't be Together""),"""")})="" - "","""",join("" - "",{iferror(filter('Student Groupings'!$A:$A,'Student Groupings'!$B:$B=$C312,'Student Groupings'!$H:$H=""Can't be Together""),"""");iferror(filter('Student Groupings'!$A:$A,'Student Groupings'!"&amp;"$E:$E=$C312,'Student Groupings'!$H:$H=""Can't be Together""),"""")})))"),"")</f>
        <v/>
      </c>
      <c r="AD312" s="103" t="str">
        <f>IFERROR(__xludf.DUMMYFUNCTION("if($C312="""","""",if(join("" - "",{iferror(filter('Student Groupings'!$A:$A,'Student Groupings'!$B:$B=$C312,'Student Groupings'!$H:$H=""Must be Together""),"""");iferror(filter('Student Groupings'!$A:$A,'Student Groupings'!$E:$E=$C312,'Student Groupings'"&amp;"!$H:$H=""Must be Together""),"""")})="" - "","""",join("" - "",{iferror(filter('Student Groupings'!$A:$A,'Student Groupings'!$B:$B=$C312,'Student Groupings'!$H:$H=""Must be Together""),"""");iferror(filter('Student Groupings'!$A:$A,'Student Groupings'!$E:"&amp;"$E=$C312,'Student Groupings'!$H:$H=""Must be Together""),"""")})))"),"")</f>
        <v/>
      </c>
      <c r="AE312" s="104"/>
      <c r="AF312" s="104"/>
      <c r="AG312" s="104"/>
      <c r="AH312" s="104"/>
    </row>
    <row r="313">
      <c r="A313" s="101">
        <v>8.0</v>
      </c>
      <c r="B313" s="101">
        <v>29035.0</v>
      </c>
      <c r="C313" s="102" t="s">
        <v>573</v>
      </c>
      <c r="D313" s="52" t="s">
        <v>177</v>
      </c>
      <c r="E313" s="52">
        <v>4.0</v>
      </c>
      <c r="F313" s="52" t="s">
        <v>170</v>
      </c>
      <c r="G313" s="52">
        <v>1.0</v>
      </c>
      <c r="H313" s="52" t="s">
        <v>187</v>
      </c>
      <c r="I313" s="52">
        <v>6.0</v>
      </c>
      <c r="J313" s="52" t="s">
        <v>191</v>
      </c>
      <c r="K313" s="52">
        <v>3.0</v>
      </c>
      <c r="L313" s="52" t="s">
        <v>202</v>
      </c>
      <c r="M313" s="52">
        <v>2.0</v>
      </c>
      <c r="N313" s="52" t="s">
        <v>149</v>
      </c>
      <c r="O313" s="52" t="s">
        <v>112</v>
      </c>
      <c r="P313" s="52" t="s">
        <v>135</v>
      </c>
      <c r="Q313" s="52" t="s">
        <v>124</v>
      </c>
      <c r="R313" s="52" t="s">
        <v>118</v>
      </c>
      <c r="S313" s="52" t="s">
        <v>124</v>
      </c>
      <c r="T313" s="65" t="s">
        <v>27</v>
      </c>
      <c r="U313" s="32">
        <v>1.0</v>
      </c>
      <c r="V313" s="32">
        <v>1.0</v>
      </c>
      <c r="W313" s="32">
        <v>1.0</v>
      </c>
      <c r="X313" s="32">
        <v>1.0</v>
      </c>
      <c r="Y313" s="32">
        <v>1.0</v>
      </c>
      <c r="Z313" s="32">
        <v>1.0</v>
      </c>
      <c r="AA313" s="32">
        <v>6.0</v>
      </c>
      <c r="AB313" s="32">
        <v>0.0</v>
      </c>
      <c r="AC313" s="103" t="str">
        <f>IFERROR(__xludf.DUMMYFUNCTION("if($C313="""","""",if(join("" - "",{iferror(filter('Student Groupings'!$A:$A,'Student Groupings'!$B:$B=$C313,'Student Groupings'!$H:$H=""Can't be Together""),"""");iferror(filter('Student Groupings'!$A:$A,'Student Groupings'!$E:$E=$C313,'Student Groupings"&amp;"'!$H:$H=""Can't be Together""),"""")})="" - "","""",join("" - "",{iferror(filter('Student Groupings'!$A:$A,'Student Groupings'!$B:$B=$C313,'Student Groupings'!$H:$H=""Can't be Together""),"""");iferror(filter('Student Groupings'!$A:$A,'Student Groupings'!"&amp;"$E:$E=$C313,'Student Groupings'!$H:$H=""Can't be Together""),"""")})))"),"")</f>
        <v/>
      </c>
      <c r="AD313" s="103" t="str">
        <f>IFERROR(__xludf.DUMMYFUNCTION("if($C313="""","""",if(join("" - "",{iferror(filter('Student Groupings'!$A:$A,'Student Groupings'!$B:$B=$C313,'Student Groupings'!$H:$H=""Must be Together""),"""");iferror(filter('Student Groupings'!$A:$A,'Student Groupings'!$E:$E=$C313,'Student Groupings'"&amp;"!$H:$H=""Must be Together""),"""")})="" - "","""",join("" - "",{iferror(filter('Student Groupings'!$A:$A,'Student Groupings'!$B:$B=$C313,'Student Groupings'!$H:$H=""Must be Together""),"""");iferror(filter('Student Groupings'!$A:$A,'Student Groupings'!$E:"&amp;"$E=$C313,'Student Groupings'!$H:$H=""Must be Together""),"""")})))"),"")</f>
        <v/>
      </c>
      <c r="AE313" s="104"/>
      <c r="AF313" s="104"/>
      <c r="AG313" s="105"/>
      <c r="AH313" s="105"/>
    </row>
    <row r="314">
      <c r="A314" s="101">
        <v>8.0</v>
      </c>
      <c r="B314" s="101">
        <v>29135.0</v>
      </c>
      <c r="C314" s="102" t="s">
        <v>273</v>
      </c>
      <c r="D314" s="52" t="s">
        <v>176</v>
      </c>
      <c r="E314" s="52">
        <v>5.0</v>
      </c>
      <c r="F314" s="52" t="s">
        <v>167</v>
      </c>
      <c r="G314" s="52">
        <v>3.0</v>
      </c>
      <c r="H314" s="52" t="s">
        <v>185</v>
      </c>
      <c r="I314" s="52">
        <v>2.0</v>
      </c>
      <c r="J314" s="52" t="s">
        <v>190</v>
      </c>
      <c r="K314" s="52">
        <v>1.0</v>
      </c>
      <c r="L314" s="52" t="s">
        <v>201</v>
      </c>
      <c r="M314" s="52">
        <v>6.0</v>
      </c>
      <c r="N314" s="52" t="s">
        <v>149</v>
      </c>
      <c r="O314" s="52" t="s">
        <v>111</v>
      </c>
      <c r="P314" s="52" t="s">
        <v>135</v>
      </c>
      <c r="Q314" s="52" t="s">
        <v>130</v>
      </c>
      <c r="R314" s="52" t="s">
        <v>118</v>
      </c>
      <c r="S314" s="52" t="s">
        <v>130</v>
      </c>
      <c r="T314" s="65" t="s">
        <v>27</v>
      </c>
      <c r="U314" s="32">
        <v>1.0</v>
      </c>
      <c r="V314" s="32">
        <v>1.0</v>
      </c>
      <c r="W314" s="32">
        <v>1.0</v>
      </c>
      <c r="X314" s="32">
        <v>1.0</v>
      </c>
      <c r="Y314" s="32">
        <v>1.0</v>
      </c>
      <c r="Z314" s="32">
        <v>1.0</v>
      </c>
      <c r="AA314" s="32">
        <v>6.0</v>
      </c>
      <c r="AB314" s="32">
        <v>0.0</v>
      </c>
      <c r="AC314" s="103" t="str">
        <f>IFERROR(__xludf.DUMMYFUNCTION("if($C314="""","""",if(join("" - "",{iferror(filter('Student Groupings'!$A:$A,'Student Groupings'!$B:$B=$C314,'Student Groupings'!$H:$H=""Can't be Together""),"""");iferror(filter('Student Groupings'!$A:$A,'Student Groupings'!$E:$E=$C314,'Student Groupings"&amp;"'!$H:$H=""Can't be Together""),"""")})="" - "","""",join("" - "",{iferror(filter('Student Groupings'!$A:$A,'Student Groupings'!$B:$B=$C314,'Student Groupings'!$H:$H=""Can't be Together""),"""");iferror(filter('Student Groupings'!$A:$A,'Student Groupings'!"&amp;"$E:$E=$C314,'Student Groupings'!$H:$H=""Can't be Together""),"""")})))"),"")</f>
        <v/>
      </c>
      <c r="AD314" s="103" t="str">
        <f>IFERROR(__xludf.DUMMYFUNCTION("if($C314="""","""",if(join("" - "",{iferror(filter('Student Groupings'!$A:$A,'Student Groupings'!$B:$B=$C314,'Student Groupings'!$H:$H=""Must be Together""),"""");iferror(filter('Student Groupings'!$A:$A,'Student Groupings'!$E:$E=$C314,'Student Groupings'"&amp;"!$H:$H=""Must be Together""),"""")})="" - "","""",join("" - "",{iferror(filter('Student Groupings'!$A:$A,'Student Groupings'!$B:$B=$C314,'Student Groupings'!$H:$H=""Must be Together""),"""");iferror(filter('Student Groupings'!$A:$A,'Student Groupings'!$E:"&amp;"$E=$C314,'Student Groupings'!$H:$H=""Must be Together""),"""")})))")," - 53")</f>
        <v> - 53</v>
      </c>
      <c r="AE314" s="104"/>
      <c r="AF314" s="104"/>
      <c r="AG314" s="104"/>
      <c r="AH314" s="104"/>
    </row>
    <row r="315">
      <c r="A315" s="101">
        <v>8.0</v>
      </c>
      <c r="B315" s="101">
        <v>29138.0</v>
      </c>
      <c r="C315" s="102" t="s">
        <v>274</v>
      </c>
      <c r="D315" s="52" t="s">
        <v>176</v>
      </c>
      <c r="E315" s="52">
        <v>4.0</v>
      </c>
      <c r="F315" s="52" t="s">
        <v>167</v>
      </c>
      <c r="G315" s="52">
        <v>5.0</v>
      </c>
      <c r="H315" s="52" t="s">
        <v>185</v>
      </c>
      <c r="I315" s="52">
        <v>1.0</v>
      </c>
      <c r="J315" s="52" t="s">
        <v>190</v>
      </c>
      <c r="K315" s="52">
        <v>3.0</v>
      </c>
      <c r="L315" s="52" t="s">
        <v>201</v>
      </c>
      <c r="M315" s="52">
        <v>2.0</v>
      </c>
      <c r="N315" s="52" t="s">
        <v>149</v>
      </c>
      <c r="O315" s="52" t="s">
        <v>120</v>
      </c>
      <c r="P315" s="52" t="s">
        <v>141</v>
      </c>
      <c r="Q315" s="52" t="s">
        <v>109</v>
      </c>
      <c r="R315" s="52" t="s">
        <v>141</v>
      </c>
      <c r="S315" s="52" t="s">
        <v>109</v>
      </c>
      <c r="T315" s="65" t="s">
        <v>30</v>
      </c>
      <c r="U315" s="32">
        <v>1.0</v>
      </c>
      <c r="V315" s="32">
        <v>1.0</v>
      </c>
      <c r="W315" s="32">
        <v>1.0</v>
      </c>
      <c r="X315" s="32">
        <v>1.0</v>
      </c>
      <c r="Y315" s="32">
        <v>1.0</v>
      </c>
      <c r="Z315" s="32">
        <v>1.0</v>
      </c>
      <c r="AA315" s="32">
        <v>6.0</v>
      </c>
      <c r="AB315" s="32">
        <v>0.0</v>
      </c>
      <c r="AC315" s="103" t="str">
        <f>IFERROR(__xludf.DUMMYFUNCTION("if($C315="""","""",if(join("" - "",{iferror(filter('Student Groupings'!$A:$A,'Student Groupings'!$B:$B=$C315,'Student Groupings'!$H:$H=""Can't be Together""),"""");iferror(filter('Student Groupings'!$A:$A,'Student Groupings'!$E:$E=$C315,'Student Groupings"&amp;"'!$H:$H=""Can't be Together""),"""")})="" - "","""",join("" - "",{iferror(filter('Student Groupings'!$A:$A,'Student Groupings'!$B:$B=$C315,'Student Groupings'!$H:$H=""Can't be Together""),"""");iferror(filter('Student Groupings'!$A:$A,'Student Groupings'!"&amp;"$E:$E=$C315,'Student Groupings'!$H:$H=""Can't be Together""),"""")})))"),"54 - 55 - 56 - 57 - 58 - 62 - 66 - 70")</f>
        <v>54 - 55 - 56 - 57 - 58 - 62 - 66 - 70</v>
      </c>
      <c r="AD315" s="103" t="str">
        <f>IFERROR(__xludf.DUMMYFUNCTION("if($C315="""","""",if(join("" - "",{iferror(filter('Student Groupings'!$A:$A,'Student Groupings'!$B:$B=$C315,'Student Groupings'!$H:$H=""Must be Together""),"""");iferror(filter('Student Groupings'!$A:$A,'Student Groupings'!$E:$E=$C315,'Student Groupings'"&amp;"!$H:$H=""Must be Together""),"""")})="" - "","""",join("" - "",{iferror(filter('Student Groupings'!$A:$A,'Student Groupings'!$B:$B=$C315,'Student Groupings'!$H:$H=""Must be Together""),"""");iferror(filter('Student Groupings'!$A:$A,'Student Groupings'!$E:"&amp;"$E=$C315,'Student Groupings'!$H:$H=""Must be Together""),"""")})))"),"")</f>
        <v/>
      </c>
      <c r="AE315" s="104"/>
      <c r="AF315" s="104"/>
      <c r="AG315" s="104"/>
      <c r="AH315" s="104"/>
    </row>
    <row r="316">
      <c r="A316" s="101">
        <v>8.0</v>
      </c>
      <c r="B316" s="101">
        <v>29036.0</v>
      </c>
      <c r="C316" s="102" t="s">
        <v>285</v>
      </c>
      <c r="D316" s="52" t="s">
        <v>176</v>
      </c>
      <c r="E316" s="52">
        <v>2.0</v>
      </c>
      <c r="F316" s="52" t="s">
        <v>162</v>
      </c>
      <c r="G316" s="52">
        <v>6.0</v>
      </c>
      <c r="H316" s="52" t="s">
        <v>185</v>
      </c>
      <c r="I316" s="52">
        <v>5.0</v>
      </c>
      <c r="J316" s="52" t="s">
        <v>190</v>
      </c>
      <c r="K316" s="52">
        <v>4.0</v>
      </c>
      <c r="L316" s="52" t="s">
        <v>201</v>
      </c>
      <c r="M316" s="52">
        <v>3.0</v>
      </c>
      <c r="N316" s="52" t="s">
        <v>149</v>
      </c>
      <c r="O316" s="52" t="s">
        <v>108</v>
      </c>
      <c r="P316" s="52" t="s">
        <v>141</v>
      </c>
      <c r="Q316" s="52" t="s">
        <v>129</v>
      </c>
      <c r="R316" s="52" t="s">
        <v>141</v>
      </c>
      <c r="S316" s="52" t="s">
        <v>129</v>
      </c>
      <c r="T316" s="65" t="s">
        <v>30</v>
      </c>
      <c r="U316" s="32">
        <v>1.0</v>
      </c>
      <c r="V316" s="32">
        <v>1.0</v>
      </c>
      <c r="W316" s="32">
        <v>1.0</v>
      </c>
      <c r="X316" s="32">
        <v>1.0</v>
      </c>
      <c r="Y316" s="32">
        <v>1.0</v>
      </c>
      <c r="Z316" s="32">
        <v>1.0</v>
      </c>
      <c r="AA316" s="32">
        <v>6.0</v>
      </c>
      <c r="AB316" s="32">
        <v>0.0</v>
      </c>
      <c r="AC316" s="103" t="str">
        <f>IFERROR(__xludf.DUMMYFUNCTION("if($C316="""","""",if(join("" - "",{iferror(filter('Student Groupings'!$A:$A,'Student Groupings'!$B:$B=$C316,'Student Groupings'!$H:$H=""Can't be Together""),"""");iferror(filter('Student Groupings'!$A:$A,'Student Groupings'!$E:$E=$C316,'Student Groupings"&amp;"'!$H:$H=""Can't be Together""),"""")})="" - "","""",join("" - "",{iferror(filter('Student Groupings'!$A:$A,'Student Groupings'!$B:$B=$C316,'Student Groupings'!$H:$H=""Can't be Together""),"""");iferror(filter('Student Groupings'!$A:$A,'Student Groupings'!"&amp;"$E:$E=$C316,'Student Groupings'!$H:$H=""Can't be Together""),"""")})))")," - 118")</f>
        <v> - 118</v>
      </c>
      <c r="AD316" s="103" t="str">
        <f>IFERROR(__xludf.DUMMYFUNCTION("if($C316="""","""",if(join("" - "",{iferror(filter('Student Groupings'!$A:$A,'Student Groupings'!$B:$B=$C316,'Student Groupings'!$H:$H=""Must be Together""),"""");iferror(filter('Student Groupings'!$A:$A,'Student Groupings'!$E:$E=$C316,'Student Groupings'"&amp;"!$H:$H=""Must be Together""),"""")})="" - "","""",join("" - "",{iferror(filter('Student Groupings'!$A:$A,'Student Groupings'!$B:$B=$C316,'Student Groupings'!$H:$H=""Must be Together""),"""");iferror(filter('Student Groupings'!$A:$A,'Student Groupings'!$E:"&amp;"$E=$C316,'Student Groupings'!$H:$H=""Must be Together""),"""")})))"),"")</f>
        <v/>
      </c>
      <c r="AE316" s="104"/>
      <c r="AF316" s="104"/>
      <c r="AG316" s="104"/>
      <c r="AH316" s="104"/>
    </row>
    <row r="317">
      <c r="A317" s="101">
        <v>8.0</v>
      </c>
      <c r="B317" s="101">
        <v>29037.0</v>
      </c>
      <c r="C317" s="102" t="s">
        <v>574</v>
      </c>
      <c r="D317" s="52" t="s">
        <v>176</v>
      </c>
      <c r="E317" s="52">
        <v>6.0</v>
      </c>
      <c r="F317" s="52" t="s">
        <v>167</v>
      </c>
      <c r="G317" s="52">
        <v>3.0</v>
      </c>
      <c r="H317" s="52" t="s">
        <v>185</v>
      </c>
      <c r="I317" s="52">
        <v>2.0</v>
      </c>
      <c r="J317" s="52" t="s">
        <v>190</v>
      </c>
      <c r="K317" s="52">
        <v>5.0</v>
      </c>
      <c r="L317" s="52" t="s">
        <v>201</v>
      </c>
      <c r="M317" s="52">
        <v>1.0</v>
      </c>
      <c r="N317" s="52" t="s">
        <v>149</v>
      </c>
      <c r="O317" s="52" t="s">
        <v>111</v>
      </c>
      <c r="P317" s="52" t="s">
        <v>135</v>
      </c>
      <c r="Q317" s="52" t="s">
        <v>130</v>
      </c>
      <c r="R317" s="52" t="s">
        <v>118</v>
      </c>
      <c r="S317" s="52" t="s">
        <v>130</v>
      </c>
      <c r="T317" s="65" t="s">
        <v>27</v>
      </c>
      <c r="U317" s="32">
        <v>1.0</v>
      </c>
      <c r="V317" s="32">
        <v>1.0</v>
      </c>
      <c r="W317" s="32">
        <v>1.0</v>
      </c>
      <c r="X317" s="32">
        <v>1.0</v>
      </c>
      <c r="Y317" s="32">
        <v>1.0</v>
      </c>
      <c r="Z317" s="32">
        <v>1.0</v>
      </c>
      <c r="AA317" s="32">
        <v>6.0</v>
      </c>
      <c r="AB317" s="32">
        <v>0.0</v>
      </c>
      <c r="AC317" s="103" t="str">
        <f>IFERROR(__xludf.DUMMYFUNCTION("if($C317="""","""",if(join("" - "",{iferror(filter('Student Groupings'!$A:$A,'Student Groupings'!$B:$B=$C317,'Student Groupings'!$H:$H=""Can't be Together""),"""");iferror(filter('Student Groupings'!$A:$A,'Student Groupings'!$E:$E=$C317,'Student Groupings"&amp;"'!$H:$H=""Can't be Together""),"""")})="" - "","""",join("" - "",{iferror(filter('Student Groupings'!$A:$A,'Student Groupings'!$B:$B=$C317,'Student Groupings'!$H:$H=""Can't be Together""),"""");iferror(filter('Student Groupings'!$A:$A,'Student Groupings'!"&amp;"$E:$E=$C317,'Student Groupings'!$H:$H=""Can't be Together""),"""")})))"),"")</f>
        <v/>
      </c>
      <c r="AD317" s="103" t="str">
        <f>IFERROR(__xludf.DUMMYFUNCTION("if($C317="""","""",if(join("" - "",{iferror(filter('Student Groupings'!$A:$A,'Student Groupings'!$B:$B=$C317,'Student Groupings'!$H:$H=""Must be Together""),"""");iferror(filter('Student Groupings'!$A:$A,'Student Groupings'!$E:$E=$C317,'Student Groupings'"&amp;"!$H:$H=""Must be Together""),"""")})="" - "","""",join("" - "",{iferror(filter('Student Groupings'!$A:$A,'Student Groupings'!$B:$B=$C317,'Student Groupings'!$H:$H=""Must be Together""),"""");iferror(filter('Student Groupings'!$A:$A,'Student Groupings'!$E:"&amp;"$E=$C317,'Student Groupings'!$H:$H=""Must be Together""),"""")})))"),"")</f>
        <v/>
      </c>
      <c r="AE317" s="104"/>
      <c r="AF317" s="104"/>
      <c r="AG317" s="104"/>
      <c r="AH317" s="104"/>
    </row>
    <row r="318">
      <c r="A318" s="101">
        <v>8.0</v>
      </c>
      <c r="B318" s="101">
        <v>29038.0</v>
      </c>
      <c r="C318" s="102" t="s">
        <v>282</v>
      </c>
      <c r="D318" s="52" t="s">
        <v>176</v>
      </c>
      <c r="E318" s="52">
        <v>2.0</v>
      </c>
      <c r="F318" s="52" t="s">
        <v>162</v>
      </c>
      <c r="G318" s="52">
        <v>1.0</v>
      </c>
      <c r="H318" s="52" t="s">
        <v>185</v>
      </c>
      <c r="I318" s="52">
        <v>6.0</v>
      </c>
      <c r="J318" s="52" t="s">
        <v>190</v>
      </c>
      <c r="K318" s="52">
        <v>4.0</v>
      </c>
      <c r="L318" s="52" t="s">
        <v>201</v>
      </c>
      <c r="M318" s="52">
        <v>3.0</v>
      </c>
      <c r="N318" s="52" t="s">
        <v>149</v>
      </c>
      <c r="O318" s="52" t="s">
        <v>112</v>
      </c>
      <c r="P318" s="52" t="s">
        <v>118</v>
      </c>
      <c r="Q318" s="52" t="s">
        <v>124</v>
      </c>
      <c r="R318" s="52" t="s">
        <v>135</v>
      </c>
      <c r="S318" s="52" t="s">
        <v>124</v>
      </c>
      <c r="T318" s="65" t="s">
        <v>27</v>
      </c>
      <c r="U318" s="32">
        <v>1.0</v>
      </c>
      <c r="V318" s="32">
        <v>1.0</v>
      </c>
      <c r="W318" s="32">
        <v>1.0</v>
      </c>
      <c r="X318" s="32">
        <v>1.0</v>
      </c>
      <c r="Y318" s="32">
        <v>1.0</v>
      </c>
      <c r="Z318" s="32">
        <v>1.0</v>
      </c>
      <c r="AA318" s="32">
        <v>6.0</v>
      </c>
      <c r="AB318" s="32">
        <v>0.0</v>
      </c>
      <c r="AC318" s="103" t="str">
        <f>IFERROR(__xludf.DUMMYFUNCTION("if($C318="""","""",if(join("" - "",{iferror(filter('Student Groupings'!$A:$A,'Student Groupings'!$B:$B=$C318,'Student Groupings'!$H:$H=""Can't be Together""),"""");iferror(filter('Student Groupings'!$A:$A,'Student Groupings'!$E:$E=$C318,'Student Groupings"&amp;"'!$H:$H=""Can't be Together""),"""")})="" - "","""",join("" - "",{iferror(filter('Student Groupings'!$A:$A,'Student Groupings'!$B:$B=$C318,'Student Groupings'!$H:$H=""Can't be Together""),"""");iferror(filter('Student Groupings'!$A:$A,'Student Groupings'!"&amp;"$E:$E=$C318,'Student Groupings'!$H:$H=""Can't be Together""),"""")})))"),"116 - 117 - ")</f>
        <v>116 - 117 - </v>
      </c>
      <c r="AD318" s="103" t="str">
        <f>IFERROR(__xludf.DUMMYFUNCTION("if($C318="""","""",if(join("" - "",{iferror(filter('Student Groupings'!$A:$A,'Student Groupings'!$B:$B=$C318,'Student Groupings'!$H:$H=""Must be Together""),"""");iferror(filter('Student Groupings'!$A:$A,'Student Groupings'!$E:$E=$C318,'Student Groupings'"&amp;"!$H:$H=""Must be Together""),"""")})="" - "","""",join("" - "",{iferror(filter('Student Groupings'!$A:$A,'Student Groupings'!$B:$B=$C318,'Student Groupings'!$H:$H=""Must be Together""),"""");iferror(filter('Student Groupings'!$A:$A,'Student Groupings'!$E:"&amp;"$E=$C318,'Student Groupings'!$H:$H=""Must be Together""),"""")})))"),"")</f>
        <v/>
      </c>
      <c r="AE318" s="104"/>
      <c r="AF318" s="104"/>
      <c r="AG318" s="104"/>
      <c r="AH318" s="104"/>
    </row>
    <row r="319">
      <c r="A319" s="101">
        <v>8.0</v>
      </c>
      <c r="B319" s="101">
        <v>29039.0</v>
      </c>
      <c r="C319" s="102" t="s">
        <v>276</v>
      </c>
      <c r="D319" s="52" t="s">
        <v>176</v>
      </c>
      <c r="E319" s="52">
        <v>2.0</v>
      </c>
      <c r="F319" s="52" t="s">
        <v>170</v>
      </c>
      <c r="G319" s="52">
        <v>1.0</v>
      </c>
      <c r="H319" s="52" t="s">
        <v>187</v>
      </c>
      <c r="I319" s="101">
        <v>6.0</v>
      </c>
      <c r="J319" s="52" t="s">
        <v>190</v>
      </c>
      <c r="K319" s="52">
        <v>4.0</v>
      </c>
      <c r="L319" s="52" t="s">
        <v>201</v>
      </c>
      <c r="M319" s="52">
        <v>3.0</v>
      </c>
      <c r="N319" s="52" t="s">
        <v>149</v>
      </c>
      <c r="O319" s="52" t="s">
        <v>112</v>
      </c>
      <c r="P319" s="52" t="s">
        <v>135</v>
      </c>
      <c r="Q319" s="52" t="s">
        <v>124</v>
      </c>
      <c r="R319" s="52" t="s">
        <v>118</v>
      </c>
      <c r="S319" s="52" t="s">
        <v>124</v>
      </c>
      <c r="T319" s="65" t="s">
        <v>27</v>
      </c>
      <c r="U319" s="32">
        <v>1.0</v>
      </c>
      <c r="V319" s="32">
        <v>1.0</v>
      </c>
      <c r="W319" s="32">
        <v>1.0</v>
      </c>
      <c r="X319" s="32">
        <v>1.0</v>
      </c>
      <c r="Y319" s="32">
        <v>1.0</v>
      </c>
      <c r="Z319" s="32">
        <v>1.0</v>
      </c>
      <c r="AA319" s="32">
        <v>6.0</v>
      </c>
      <c r="AB319" s="32">
        <v>0.0</v>
      </c>
      <c r="AC319" s="103" t="str">
        <f>IFERROR(__xludf.DUMMYFUNCTION("if($C319="""","""",if(join("" - "",{iferror(filter('Student Groupings'!$A:$A,'Student Groupings'!$B:$B=$C319,'Student Groupings'!$H:$H=""Can't be Together""),"""");iferror(filter('Student Groupings'!$A:$A,'Student Groupings'!$E:$E=$C319,'Student Groupings"&amp;"'!$H:$H=""Can't be Together""),"""")})="" - "","""",join("" - "",{iferror(filter('Student Groupings'!$A:$A,'Student Groupings'!$B:$B=$C319,'Student Groupings'!$H:$H=""Can't be Together""),"""");iferror(filter('Student Groupings'!$A:$A,'Student Groupings'!"&amp;"$E:$E=$C319,'Student Groupings'!$H:$H=""Can't be Together""),"""")})))"),"62 - 63 - 64 - 65 - 55 - 59 - 68 - 72")</f>
        <v>62 - 63 - 64 - 65 - 55 - 59 - 68 - 72</v>
      </c>
      <c r="AD319" s="103" t="str">
        <f>IFERROR(__xludf.DUMMYFUNCTION("if($C319="""","""",if(join("" - "",{iferror(filter('Student Groupings'!$A:$A,'Student Groupings'!$B:$B=$C319,'Student Groupings'!$H:$H=""Must be Together""),"""");iferror(filter('Student Groupings'!$A:$A,'Student Groupings'!$E:$E=$C319,'Student Groupings'"&amp;"!$H:$H=""Must be Together""),"""")})="" - "","""",join("" - "",{iferror(filter('Student Groupings'!$A:$A,'Student Groupings'!$B:$B=$C319,'Student Groupings'!$H:$H=""Must be Together""),"""");iferror(filter('Student Groupings'!$A:$A,'Student Groupings'!$E:"&amp;"$E=$C319,'Student Groupings'!$H:$H=""Must be Together""),"""")})))"),"")</f>
        <v/>
      </c>
      <c r="AE319" s="104"/>
      <c r="AF319" s="104"/>
      <c r="AG319" s="104"/>
      <c r="AH319" s="104"/>
    </row>
    <row r="320">
      <c r="A320" s="101">
        <v>8.0</v>
      </c>
      <c r="B320" s="101">
        <v>29040.0</v>
      </c>
      <c r="C320" s="102" t="s">
        <v>286</v>
      </c>
      <c r="D320" s="52" t="s">
        <v>176</v>
      </c>
      <c r="E320" s="52">
        <v>2.0</v>
      </c>
      <c r="F320" s="52" t="s">
        <v>167</v>
      </c>
      <c r="G320" s="52">
        <v>5.0</v>
      </c>
      <c r="H320" s="52" t="s">
        <v>185</v>
      </c>
      <c r="I320" s="52">
        <v>1.0</v>
      </c>
      <c r="J320" s="52" t="s">
        <v>190</v>
      </c>
      <c r="K320" s="52">
        <v>4.0</v>
      </c>
      <c r="L320" s="52" t="s">
        <v>201</v>
      </c>
      <c r="M320" s="52">
        <v>3.0</v>
      </c>
      <c r="N320" s="52" t="s">
        <v>149</v>
      </c>
      <c r="O320" s="52" t="s">
        <v>120</v>
      </c>
      <c r="P320" s="52" t="s">
        <v>141</v>
      </c>
      <c r="Q320" s="52" t="s">
        <v>109</v>
      </c>
      <c r="R320" s="52" t="s">
        <v>141</v>
      </c>
      <c r="S320" s="52" t="s">
        <v>109</v>
      </c>
      <c r="T320" s="65" t="s">
        <v>30</v>
      </c>
      <c r="U320" s="32">
        <v>1.0</v>
      </c>
      <c r="V320" s="32">
        <v>1.0</v>
      </c>
      <c r="W320" s="32">
        <v>1.0</v>
      </c>
      <c r="X320" s="32">
        <v>1.0</v>
      </c>
      <c r="Y320" s="32">
        <v>1.0</v>
      </c>
      <c r="Z320" s="32">
        <v>1.0</v>
      </c>
      <c r="AA320" s="32">
        <v>6.0</v>
      </c>
      <c r="AB320" s="32">
        <v>0.0</v>
      </c>
      <c r="AC320" s="103" t="str">
        <f>IFERROR(__xludf.DUMMYFUNCTION("if($C320="""","""",if(join("" - "",{iferror(filter('Student Groupings'!$A:$A,'Student Groupings'!$B:$B=$C320,'Student Groupings'!$H:$H=""Can't be Together""),"""");iferror(filter('Student Groupings'!$A:$A,'Student Groupings'!$E:$E=$C320,'Student Groupings"&amp;"'!$H:$H=""Can't be Together""),"""")})="" - "","""",join("" - "",{iferror(filter('Student Groupings'!$A:$A,'Student Groupings'!$B:$B=$C320,'Student Groupings'!$H:$H=""Can't be Together""),"""");iferror(filter('Student Groupings'!$A:$A,'Student Groupings'!"&amp;"$E:$E=$C320,'Student Groupings'!$H:$H=""Can't be Together""),"""")})))")," - 119")</f>
        <v> - 119</v>
      </c>
      <c r="AD320" s="103" t="str">
        <f>IFERROR(__xludf.DUMMYFUNCTION("if($C320="""","""",if(join("" - "",{iferror(filter('Student Groupings'!$A:$A,'Student Groupings'!$B:$B=$C320,'Student Groupings'!$H:$H=""Must be Together""),"""");iferror(filter('Student Groupings'!$A:$A,'Student Groupings'!$E:$E=$C320,'Student Groupings'"&amp;"!$H:$H=""Must be Together""),"""")})="" - "","""",join("" - "",{iferror(filter('Student Groupings'!$A:$A,'Student Groupings'!$B:$B=$C320,'Student Groupings'!$H:$H=""Must be Together""),"""");iferror(filter('Student Groupings'!$A:$A,'Student Groupings'!$E:"&amp;"$E=$C320,'Student Groupings'!$H:$H=""Must be Together""),"""")})))"),"")</f>
        <v/>
      </c>
      <c r="AE320" s="104"/>
      <c r="AF320" s="104"/>
      <c r="AG320" s="104"/>
      <c r="AH320" s="104"/>
    </row>
    <row r="321">
      <c r="A321" s="101">
        <v>8.0</v>
      </c>
      <c r="B321" s="101">
        <v>29041.0</v>
      </c>
      <c r="C321" s="102" t="s">
        <v>575</v>
      </c>
      <c r="D321" s="52" t="s">
        <v>176</v>
      </c>
      <c r="E321" s="52">
        <v>2.0</v>
      </c>
      <c r="F321" s="52" t="s">
        <v>162</v>
      </c>
      <c r="G321" s="52">
        <v>6.0</v>
      </c>
      <c r="H321" s="52" t="s">
        <v>185</v>
      </c>
      <c r="I321" s="52">
        <v>1.0</v>
      </c>
      <c r="J321" s="52" t="s">
        <v>190</v>
      </c>
      <c r="K321" s="52">
        <v>4.0</v>
      </c>
      <c r="L321" s="52" t="s">
        <v>201</v>
      </c>
      <c r="M321" s="52">
        <v>3.0</v>
      </c>
      <c r="N321" s="52" t="s">
        <v>149</v>
      </c>
      <c r="O321" s="52" t="s">
        <v>112</v>
      </c>
      <c r="P321" s="52" t="s">
        <v>118</v>
      </c>
      <c r="Q321" s="52" t="s">
        <v>124</v>
      </c>
      <c r="R321" s="52" t="s">
        <v>135</v>
      </c>
      <c r="S321" s="52" t="s">
        <v>124</v>
      </c>
      <c r="T321" s="65" t="s">
        <v>27</v>
      </c>
      <c r="U321" s="32">
        <v>1.0</v>
      </c>
      <c r="V321" s="32">
        <v>1.0</v>
      </c>
      <c r="W321" s="32">
        <v>1.0</v>
      </c>
      <c r="X321" s="32">
        <v>1.0</v>
      </c>
      <c r="Y321" s="32">
        <v>1.0</v>
      </c>
      <c r="Z321" s="32">
        <v>1.0</v>
      </c>
      <c r="AA321" s="32">
        <v>6.0</v>
      </c>
      <c r="AB321" s="32">
        <v>0.0</v>
      </c>
      <c r="AC321" s="103" t="str">
        <f>IFERROR(__xludf.DUMMYFUNCTION("if($C321="""","""",if(join("" - "",{iferror(filter('Student Groupings'!$A:$A,'Student Groupings'!$B:$B=$C321,'Student Groupings'!$H:$H=""Can't be Together""),"""");iferror(filter('Student Groupings'!$A:$A,'Student Groupings'!$E:$E=$C321,'Student Groupings"&amp;"'!$H:$H=""Can't be Together""),"""")})="" - "","""",join("" - "",{iferror(filter('Student Groupings'!$A:$A,'Student Groupings'!$B:$B=$C321,'Student Groupings'!$H:$H=""Can't be Together""),"""");iferror(filter('Student Groupings'!$A:$A,'Student Groupings'!"&amp;"$E:$E=$C321,'Student Groupings'!$H:$H=""Can't be Together""),"""")})))"),"")</f>
        <v/>
      </c>
      <c r="AD321" s="103" t="str">
        <f>IFERROR(__xludf.DUMMYFUNCTION("if($C321="""","""",if(join("" - "",{iferror(filter('Student Groupings'!$A:$A,'Student Groupings'!$B:$B=$C321,'Student Groupings'!$H:$H=""Must be Together""),"""");iferror(filter('Student Groupings'!$A:$A,'Student Groupings'!$E:$E=$C321,'Student Groupings'"&amp;"!$H:$H=""Must be Together""),"""")})="" - "","""",join("" - "",{iferror(filter('Student Groupings'!$A:$A,'Student Groupings'!$B:$B=$C321,'Student Groupings'!$H:$H=""Must be Together""),"""");iferror(filter('Student Groupings'!$A:$A,'Student Groupings'!$E:"&amp;"$E=$C321,'Student Groupings'!$H:$H=""Must be Together""),"""")})))"),"")</f>
        <v/>
      </c>
      <c r="AE321" s="104"/>
      <c r="AF321" s="104"/>
      <c r="AG321" s="104"/>
      <c r="AH321" s="104"/>
    </row>
    <row r="322">
      <c r="A322" s="101">
        <v>8.0</v>
      </c>
      <c r="B322" s="101">
        <v>29155.0</v>
      </c>
      <c r="C322" s="102" t="s">
        <v>576</v>
      </c>
      <c r="D322" s="52" t="s">
        <v>176</v>
      </c>
      <c r="E322" s="52">
        <v>3.0</v>
      </c>
      <c r="F322" s="52" t="s">
        <v>170</v>
      </c>
      <c r="G322" s="52">
        <v>1.0</v>
      </c>
      <c r="H322" s="52" t="s">
        <v>187</v>
      </c>
      <c r="I322" s="52">
        <v>6.0</v>
      </c>
      <c r="J322" s="52" t="s">
        <v>190</v>
      </c>
      <c r="K322" s="52">
        <v>2.0</v>
      </c>
      <c r="L322" s="52" t="s">
        <v>201</v>
      </c>
      <c r="M322" s="52">
        <v>4.0</v>
      </c>
      <c r="N322" s="52" t="s">
        <v>149</v>
      </c>
      <c r="O322" s="52" t="s">
        <v>112</v>
      </c>
      <c r="P322" s="52" t="s">
        <v>135</v>
      </c>
      <c r="Q322" s="52" t="s">
        <v>124</v>
      </c>
      <c r="R322" s="52" t="s">
        <v>118</v>
      </c>
      <c r="S322" s="52" t="s">
        <v>124</v>
      </c>
      <c r="T322" s="65" t="s">
        <v>27</v>
      </c>
      <c r="U322" s="32">
        <v>1.0</v>
      </c>
      <c r="V322" s="32">
        <v>1.0</v>
      </c>
      <c r="W322" s="32">
        <v>1.0</v>
      </c>
      <c r="X322" s="32">
        <v>1.0</v>
      </c>
      <c r="Y322" s="32">
        <v>1.0</v>
      </c>
      <c r="Z322" s="32">
        <v>1.0</v>
      </c>
      <c r="AA322" s="32">
        <v>6.0</v>
      </c>
      <c r="AB322" s="32">
        <v>0.0</v>
      </c>
      <c r="AC322" s="103" t="str">
        <f>IFERROR(__xludf.DUMMYFUNCTION("if($C322="""","""",if(join("" - "",{iferror(filter('Student Groupings'!$A:$A,'Student Groupings'!$B:$B=$C322,'Student Groupings'!$H:$H=""Can't be Together""),"""");iferror(filter('Student Groupings'!$A:$A,'Student Groupings'!$E:$E=$C322,'Student Groupings"&amp;"'!$H:$H=""Can't be Together""),"""")})="" - "","""",join("" - "",{iferror(filter('Student Groupings'!$A:$A,'Student Groupings'!$B:$B=$C322,'Student Groupings'!$H:$H=""Can't be Together""),"""");iferror(filter('Student Groupings'!$A:$A,'Student Groupings'!"&amp;"$E:$E=$C322,'Student Groupings'!$H:$H=""Can't be Together""),"""")})))"),"")</f>
        <v/>
      </c>
      <c r="AD322" s="103" t="str">
        <f>IFERROR(__xludf.DUMMYFUNCTION("if($C322="""","""",if(join("" - "",{iferror(filter('Student Groupings'!$A:$A,'Student Groupings'!$B:$B=$C322,'Student Groupings'!$H:$H=""Must be Together""),"""");iferror(filter('Student Groupings'!$A:$A,'Student Groupings'!$E:$E=$C322,'Student Groupings'"&amp;"!$H:$H=""Must be Together""),"""")})="" - "","""",join("" - "",{iferror(filter('Student Groupings'!$A:$A,'Student Groupings'!$B:$B=$C322,'Student Groupings'!$H:$H=""Must be Together""),"""");iferror(filter('Student Groupings'!$A:$A,'Student Groupings'!$E:"&amp;"$E=$C322,'Student Groupings'!$H:$H=""Must be Together""),"""")})))"),"")</f>
        <v/>
      </c>
      <c r="AE322" s="104"/>
      <c r="AF322" s="104"/>
      <c r="AG322" s="104"/>
      <c r="AH322" s="104"/>
    </row>
    <row r="323">
      <c r="A323" s="101">
        <v>8.0</v>
      </c>
      <c r="B323" s="101">
        <v>29156.0</v>
      </c>
      <c r="C323" s="102" t="s">
        <v>577</v>
      </c>
      <c r="D323" s="52" t="s">
        <v>176</v>
      </c>
      <c r="E323" s="52">
        <v>2.0</v>
      </c>
      <c r="F323" s="52" t="s">
        <v>167</v>
      </c>
      <c r="G323" s="52">
        <v>5.0</v>
      </c>
      <c r="H323" s="52" t="s">
        <v>185</v>
      </c>
      <c r="I323" s="52">
        <v>6.0</v>
      </c>
      <c r="J323" s="52" t="s">
        <v>190</v>
      </c>
      <c r="K323" s="52">
        <v>4.0</v>
      </c>
      <c r="L323" s="52" t="s">
        <v>201</v>
      </c>
      <c r="M323" s="52">
        <v>3.0</v>
      </c>
      <c r="N323" s="52" t="s">
        <v>149</v>
      </c>
      <c r="O323" s="52" t="s">
        <v>108</v>
      </c>
      <c r="P323" s="52" t="s">
        <v>141</v>
      </c>
      <c r="Q323" s="52" t="s">
        <v>129</v>
      </c>
      <c r="R323" s="52" t="s">
        <v>141</v>
      </c>
      <c r="S323" s="52" t="s">
        <v>129</v>
      </c>
      <c r="T323" s="65" t="s">
        <v>30</v>
      </c>
      <c r="U323" s="32">
        <v>1.0</v>
      </c>
      <c r="V323" s="32">
        <v>1.0</v>
      </c>
      <c r="W323" s="32">
        <v>1.0</v>
      </c>
      <c r="X323" s="32">
        <v>1.0</v>
      </c>
      <c r="Y323" s="32">
        <v>1.0</v>
      </c>
      <c r="Z323" s="32">
        <v>1.0</v>
      </c>
      <c r="AA323" s="32">
        <v>6.0</v>
      </c>
      <c r="AB323" s="32">
        <v>0.0</v>
      </c>
      <c r="AC323" s="103" t="str">
        <f>IFERROR(__xludf.DUMMYFUNCTION("if($C323="""","""",if(join("" - "",{iferror(filter('Student Groupings'!$A:$A,'Student Groupings'!$B:$B=$C323,'Student Groupings'!$H:$H=""Can't be Together""),"""");iferror(filter('Student Groupings'!$A:$A,'Student Groupings'!$E:$E=$C323,'Student Groupings"&amp;"'!$H:$H=""Can't be Together""),"""")})="" - "","""",join("" - "",{iferror(filter('Student Groupings'!$A:$A,'Student Groupings'!$B:$B=$C323,'Student Groupings'!$H:$H=""Can't be Together""),"""");iferror(filter('Student Groupings'!$A:$A,'Student Groupings'!"&amp;"$E:$E=$C323,'Student Groupings'!$H:$H=""Can't be Together""),"""")})))"),"")</f>
        <v/>
      </c>
      <c r="AD323" s="103" t="str">
        <f>IFERROR(__xludf.DUMMYFUNCTION("if($C323="""","""",if(join("" - "",{iferror(filter('Student Groupings'!$A:$A,'Student Groupings'!$B:$B=$C323,'Student Groupings'!$H:$H=""Must be Together""),"""");iferror(filter('Student Groupings'!$A:$A,'Student Groupings'!$E:$E=$C323,'Student Groupings'"&amp;"!$H:$H=""Must be Together""),"""")})="" - "","""",join("" - "",{iferror(filter('Student Groupings'!$A:$A,'Student Groupings'!$B:$B=$C323,'Student Groupings'!$H:$H=""Must be Together""),"""");iferror(filter('Student Groupings'!$A:$A,'Student Groupings'!$E:"&amp;"$E=$C323,'Student Groupings'!$H:$H=""Must be Together""),"""")})))"),"")</f>
        <v/>
      </c>
      <c r="AE323" s="104"/>
      <c r="AF323" s="104"/>
      <c r="AG323" s="104"/>
      <c r="AH323" s="104"/>
    </row>
    <row r="324">
      <c r="A324" s="101">
        <v>8.0</v>
      </c>
      <c r="B324" s="101">
        <v>28032.0</v>
      </c>
      <c r="C324" s="102" t="s">
        <v>268</v>
      </c>
      <c r="D324" s="52" t="s">
        <v>176</v>
      </c>
      <c r="E324" s="52">
        <v>4.0</v>
      </c>
      <c r="F324" s="52" t="s">
        <v>162</v>
      </c>
      <c r="G324" s="52">
        <v>6.0</v>
      </c>
      <c r="H324" s="52" t="s">
        <v>185</v>
      </c>
      <c r="I324" s="52">
        <v>5.0</v>
      </c>
      <c r="J324" s="52" t="s">
        <v>190</v>
      </c>
      <c r="K324" s="52">
        <v>3.0</v>
      </c>
      <c r="L324" s="52" t="s">
        <v>201</v>
      </c>
      <c r="M324" s="52">
        <v>2.0</v>
      </c>
      <c r="N324" s="52" t="s">
        <v>149</v>
      </c>
      <c r="O324" s="52" t="s">
        <v>108</v>
      </c>
      <c r="P324" s="52" t="s">
        <v>141</v>
      </c>
      <c r="Q324" s="52" t="s">
        <v>129</v>
      </c>
      <c r="R324" s="52" t="s">
        <v>141</v>
      </c>
      <c r="S324" s="52" t="s">
        <v>129</v>
      </c>
      <c r="T324" s="65" t="s">
        <v>30</v>
      </c>
      <c r="U324" s="32">
        <v>1.0</v>
      </c>
      <c r="V324" s="32">
        <v>1.0</v>
      </c>
      <c r="W324" s="32">
        <v>1.0</v>
      </c>
      <c r="X324" s="32">
        <v>1.0</v>
      </c>
      <c r="Y324" s="32">
        <v>1.0</v>
      </c>
      <c r="Z324" s="32">
        <v>1.0</v>
      </c>
      <c r="AA324" s="32">
        <v>6.0</v>
      </c>
      <c r="AB324" s="32">
        <v>0.0</v>
      </c>
      <c r="AC324" s="103" t="str">
        <f>IFERROR(__xludf.DUMMYFUNCTION("if($C324="""","""",if(join("" - "",{iferror(filter('Student Groupings'!$A:$A,'Student Groupings'!$B:$B=$C324,'Student Groupings'!$H:$H=""Can't be Together""),"""");iferror(filter('Student Groupings'!$A:$A,'Student Groupings'!$E:$E=$C324,'Student Groupings"&amp;"'!$H:$H=""Can't be Together""),"""")})="" - "","""",join("" - "",{iferror(filter('Student Groupings'!$A:$A,'Student Groupings'!$B:$B=$C324,'Student Groupings'!$H:$H=""Can't be Together""),"""");iferror(filter('Student Groupings'!$A:$A,'Student Groupings'!"&amp;"$E:$E=$C324,'Student Groupings'!$H:$H=""Can't be Together""),"""")})))"),"74 - 75 - 76 - 77 - 78 - 79 - 49 - 80 - 86 - 92 - 98 - 104 - 110 - 116")</f>
        <v>74 - 75 - 76 - 77 - 78 - 79 - 49 - 80 - 86 - 92 - 98 - 104 - 110 - 116</v>
      </c>
      <c r="AD324" s="103" t="str">
        <f>IFERROR(__xludf.DUMMYFUNCTION("if($C324="""","""",if(join("" - "",{iferror(filter('Student Groupings'!$A:$A,'Student Groupings'!$B:$B=$C324,'Student Groupings'!$H:$H=""Must be Together""),"""");iferror(filter('Student Groupings'!$A:$A,'Student Groupings'!$E:$E=$C324,'Student Groupings'"&amp;"!$H:$H=""Must be Together""),"""")})="" - "","""",join("" - "",{iferror(filter('Student Groupings'!$A:$A,'Student Groupings'!$B:$B=$C324,'Student Groupings'!$H:$H=""Must be Together""),"""");iferror(filter('Student Groupings'!$A:$A,'Student Groupings'!$E:"&amp;"$E=$C324,'Student Groupings'!$H:$H=""Must be Together""),"""")})))"),"")</f>
        <v/>
      </c>
      <c r="AE324" s="104"/>
      <c r="AF324" s="104"/>
      <c r="AG324" s="104"/>
      <c r="AH324" s="104"/>
    </row>
    <row r="325">
      <c r="A325" s="101">
        <v>8.0</v>
      </c>
      <c r="B325" s="101">
        <v>29042.0</v>
      </c>
      <c r="C325" s="102" t="s">
        <v>578</v>
      </c>
      <c r="D325" s="52" t="s">
        <v>176</v>
      </c>
      <c r="E325" s="52">
        <v>4.0</v>
      </c>
      <c r="F325" s="52" t="s">
        <v>162</v>
      </c>
      <c r="G325" s="52">
        <v>1.0</v>
      </c>
      <c r="H325" s="52" t="s">
        <v>187</v>
      </c>
      <c r="I325" s="52">
        <v>6.0</v>
      </c>
      <c r="J325" s="52" t="s">
        <v>190</v>
      </c>
      <c r="K325" s="52">
        <v>3.0</v>
      </c>
      <c r="L325" s="52" t="s">
        <v>201</v>
      </c>
      <c r="M325" s="52">
        <v>2.0</v>
      </c>
      <c r="N325" s="52" t="s">
        <v>149</v>
      </c>
      <c r="O325" s="52" t="s">
        <v>124</v>
      </c>
      <c r="P325" s="52" t="s">
        <v>141</v>
      </c>
      <c r="Q325" s="52" t="s">
        <v>112</v>
      </c>
      <c r="R325" s="52" t="s">
        <v>141</v>
      </c>
      <c r="S325" s="52" t="s">
        <v>112</v>
      </c>
      <c r="T325" s="65" t="s">
        <v>30</v>
      </c>
      <c r="U325" s="32">
        <v>1.0</v>
      </c>
      <c r="V325" s="32">
        <v>1.0</v>
      </c>
      <c r="W325" s="32">
        <v>1.0</v>
      </c>
      <c r="X325" s="32">
        <v>1.0</v>
      </c>
      <c r="Y325" s="32">
        <v>1.0</v>
      </c>
      <c r="Z325" s="32">
        <v>1.0</v>
      </c>
      <c r="AA325" s="32">
        <v>6.0</v>
      </c>
      <c r="AB325" s="32">
        <v>0.0</v>
      </c>
      <c r="AC325" s="103" t="str">
        <f>IFERROR(__xludf.DUMMYFUNCTION("if($C325="""","""",if(join("" - "",{iferror(filter('Student Groupings'!$A:$A,'Student Groupings'!$B:$B=$C325,'Student Groupings'!$H:$H=""Can't be Together""),"""");iferror(filter('Student Groupings'!$A:$A,'Student Groupings'!$E:$E=$C325,'Student Groupings"&amp;"'!$H:$H=""Can't be Together""),"""")})="" - "","""",join("" - "",{iferror(filter('Student Groupings'!$A:$A,'Student Groupings'!$B:$B=$C325,'Student Groupings'!$H:$H=""Can't be Together""),"""");iferror(filter('Student Groupings'!$A:$A,'Student Groupings'!"&amp;"$E:$E=$C325,'Student Groupings'!$H:$H=""Can't be Together""),"""")})))"),"")</f>
        <v/>
      </c>
      <c r="AD325" s="103" t="str">
        <f>IFERROR(__xludf.DUMMYFUNCTION("if($C325="""","""",if(join("" - "",{iferror(filter('Student Groupings'!$A:$A,'Student Groupings'!$B:$B=$C325,'Student Groupings'!$H:$H=""Must be Together""),"""");iferror(filter('Student Groupings'!$A:$A,'Student Groupings'!$E:$E=$C325,'Student Groupings'"&amp;"!$H:$H=""Must be Together""),"""")})="" - "","""",join("" - "",{iferror(filter('Student Groupings'!$A:$A,'Student Groupings'!$B:$B=$C325,'Student Groupings'!$H:$H=""Must be Together""),"""");iferror(filter('Student Groupings'!$A:$A,'Student Groupings'!$E:"&amp;"$E=$C325,'Student Groupings'!$H:$H=""Must be Together""),"""")})))"),"")</f>
        <v/>
      </c>
      <c r="AE325" s="104"/>
      <c r="AF325" s="104"/>
      <c r="AG325" s="104"/>
      <c r="AH325" s="104"/>
    </row>
    <row r="326">
      <c r="A326" s="101">
        <v>8.0</v>
      </c>
      <c r="B326" s="101">
        <v>29043.0</v>
      </c>
      <c r="C326" s="102" t="s">
        <v>579</v>
      </c>
      <c r="D326" s="52" t="s">
        <v>176</v>
      </c>
      <c r="E326" s="52">
        <v>5.0</v>
      </c>
      <c r="F326" s="52" t="s">
        <v>167</v>
      </c>
      <c r="G326" s="52">
        <v>3.0</v>
      </c>
      <c r="H326" s="52" t="s">
        <v>185</v>
      </c>
      <c r="I326" s="52">
        <v>2.0</v>
      </c>
      <c r="J326" s="52" t="s">
        <v>190</v>
      </c>
      <c r="K326" s="52">
        <v>1.0</v>
      </c>
      <c r="L326" s="52" t="s">
        <v>201</v>
      </c>
      <c r="M326" s="52">
        <v>6.0</v>
      </c>
      <c r="N326" s="52" t="s">
        <v>149</v>
      </c>
      <c r="O326" s="52" t="s">
        <v>111</v>
      </c>
      <c r="P326" s="52" t="s">
        <v>135</v>
      </c>
      <c r="Q326" s="52" t="s">
        <v>130</v>
      </c>
      <c r="R326" s="52" t="s">
        <v>118</v>
      </c>
      <c r="S326" s="52" t="s">
        <v>130</v>
      </c>
      <c r="T326" s="65" t="s">
        <v>27</v>
      </c>
      <c r="U326" s="32">
        <v>1.0</v>
      </c>
      <c r="V326" s="32">
        <v>1.0</v>
      </c>
      <c r="W326" s="32">
        <v>1.0</v>
      </c>
      <c r="X326" s="32">
        <v>1.0</v>
      </c>
      <c r="Y326" s="32">
        <v>1.0</v>
      </c>
      <c r="Z326" s="32">
        <v>1.0</v>
      </c>
      <c r="AA326" s="32">
        <v>6.0</v>
      </c>
      <c r="AB326" s="32">
        <v>0.0</v>
      </c>
      <c r="AC326" s="103" t="str">
        <f>IFERROR(__xludf.DUMMYFUNCTION("if($C326="""","""",if(join("" - "",{iferror(filter('Student Groupings'!$A:$A,'Student Groupings'!$B:$B=$C326,'Student Groupings'!$H:$H=""Can't be Together""),"""");iferror(filter('Student Groupings'!$A:$A,'Student Groupings'!$E:$E=$C326,'Student Groupings"&amp;"'!$H:$H=""Can't be Together""),"""")})="" - "","""",join("" - "",{iferror(filter('Student Groupings'!$A:$A,'Student Groupings'!$B:$B=$C326,'Student Groupings'!$H:$H=""Can't be Together""),"""");iferror(filter('Student Groupings'!$A:$A,'Student Groupings'!"&amp;"$E:$E=$C326,'Student Groupings'!$H:$H=""Can't be Together""),"""")})))"),"")</f>
        <v/>
      </c>
      <c r="AD326" s="103" t="str">
        <f>IFERROR(__xludf.DUMMYFUNCTION("if($C326="""","""",if(join("" - "",{iferror(filter('Student Groupings'!$A:$A,'Student Groupings'!$B:$B=$C326,'Student Groupings'!$H:$H=""Must be Together""),"""");iferror(filter('Student Groupings'!$A:$A,'Student Groupings'!$E:$E=$C326,'Student Groupings'"&amp;"!$H:$H=""Must be Together""),"""")})="" - "","""",join("" - "",{iferror(filter('Student Groupings'!$A:$A,'Student Groupings'!$B:$B=$C326,'Student Groupings'!$H:$H=""Must be Together""),"""");iferror(filter('Student Groupings'!$A:$A,'Student Groupings'!$E:"&amp;"$E=$C326,'Student Groupings'!$H:$H=""Must be Together""),"""")})))"),"")</f>
        <v/>
      </c>
      <c r="AE326" s="104"/>
      <c r="AF326" s="104"/>
      <c r="AG326" s="104"/>
      <c r="AH326" s="104"/>
    </row>
    <row r="327">
      <c r="A327" s="101">
        <v>8.0</v>
      </c>
      <c r="B327" s="101">
        <v>29045.0</v>
      </c>
      <c r="C327" s="102" t="s">
        <v>580</v>
      </c>
      <c r="D327" s="52" t="s">
        <v>176</v>
      </c>
      <c r="E327" s="52">
        <v>6.0</v>
      </c>
      <c r="F327" s="52" t="s">
        <v>167</v>
      </c>
      <c r="G327" s="52">
        <v>4.0</v>
      </c>
      <c r="H327" s="52" t="s">
        <v>185</v>
      </c>
      <c r="I327" s="52">
        <v>3.0</v>
      </c>
      <c r="J327" s="52" t="s">
        <v>190</v>
      </c>
      <c r="K327" s="52">
        <v>5.0</v>
      </c>
      <c r="L327" s="52" t="s">
        <v>201</v>
      </c>
      <c r="M327" s="52">
        <v>1.0</v>
      </c>
      <c r="N327" s="52" t="s">
        <v>149</v>
      </c>
      <c r="O327" s="52" t="s">
        <v>125</v>
      </c>
      <c r="P327" s="52" t="s">
        <v>141</v>
      </c>
      <c r="Q327" s="52" t="s">
        <v>119</v>
      </c>
      <c r="R327" s="52" t="s">
        <v>141</v>
      </c>
      <c r="S327" s="52" t="s">
        <v>119</v>
      </c>
      <c r="T327" s="65" t="s">
        <v>8</v>
      </c>
      <c r="U327" s="32">
        <v>1.0</v>
      </c>
      <c r="V327" s="32">
        <v>1.0</v>
      </c>
      <c r="W327" s="32">
        <v>1.0</v>
      </c>
      <c r="X327" s="32">
        <v>1.0</v>
      </c>
      <c r="Y327" s="32">
        <v>1.0</v>
      </c>
      <c r="Z327" s="32">
        <v>1.0</v>
      </c>
      <c r="AA327" s="32">
        <v>6.0</v>
      </c>
      <c r="AB327" s="32">
        <v>0.0</v>
      </c>
      <c r="AC327" s="103" t="str">
        <f>IFERROR(__xludf.DUMMYFUNCTION("if($C327="""","""",if(join("" - "",{iferror(filter('Student Groupings'!$A:$A,'Student Groupings'!$B:$B=$C327,'Student Groupings'!$H:$H=""Can't be Together""),"""");iferror(filter('Student Groupings'!$A:$A,'Student Groupings'!$E:$E=$C327,'Student Groupings"&amp;"'!$H:$H=""Can't be Together""),"""")})="" - "","""",join("" - "",{iferror(filter('Student Groupings'!$A:$A,'Student Groupings'!$B:$B=$C327,'Student Groupings'!$H:$H=""Can't be Together""),"""");iferror(filter('Student Groupings'!$A:$A,'Student Groupings'!"&amp;"$E:$E=$C327,'Student Groupings'!$H:$H=""Can't be Together""),"""")})))"),"")</f>
        <v/>
      </c>
      <c r="AD327" s="103" t="str">
        <f>IFERROR(__xludf.DUMMYFUNCTION("if($C327="""","""",if(join("" - "",{iferror(filter('Student Groupings'!$A:$A,'Student Groupings'!$B:$B=$C327,'Student Groupings'!$H:$H=""Must be Together""),"""");iferror(filter('Student Groupings'!$A:$A,'Student Groupings'!$E:$E=$C327,'Student Groupings'"&amp;"!$H:$H=""Must be Together""),"""")})="" - "","""",join("" - "",{iferror(filter('Student Groupings'!$A:$A,'Student Groupings'!$B:$B=$C327,'Student Groupings'!$H:$H=""Must be Together""),"""");iferror(filter('Student Groupings'!$A:$A,'Student Groupings'!$E:"&amp;"$E=$C327,'Student Groupings'!$H:$H=""Must be Together""),"""")})))"),"")</f>
        <v/>
      </c>
      <c r="AE327" s="104"/>
      <c r="AF327" s="104"/>
      <c r="AG327" s="104"/>
      <c r="AH327" s="104"/>
    </row>
    <row r="328">
      <c r="A328" s="101">
        <v>8.0</v>
      </c>
      <c r="B328" s="101">
        <v>29046.0</v>
      </c>
      <c r="C328" s="102" t="s">
        <v>581</v>
      </c>
      <c r="D328" s="52" t="s">
        <v>177</v>
      </c>
      <c r="E328" s="52">
        <v>4.0</v>
      </c>
      <c r="F328" s="52" t="s">
        <v>162</v>
      </c>
      <c r="G328" s="52">
        <v>1.0</v>
      </c>
      <c r="H328" s="52" t="s">
        <v>185</v>
      </c>
      <c r="I328" s="52">
        <v>5.0</v>
      </c>
      <c r="J328" s="52" t="s">
        <v>191</v>
      </c>
      <c r="K328" s="52">
        <v>3.0</v>
      </c>
      <c r="L328" s="52" t="s">
        <v>202</v>
      </c>
      <c r="M328" s="52">
        <v>2.0</v>
      </c>
      <c r="N328" s="52" t="s">
        <v>149</v>
      </c>
      <c r="O328" s="52" t="s">
        <v>120</v>
      </c>
      <c r="P328" s="52" t="s">
        <v>141</v>
      </c>
      <c r="Q328" s="52" t="s">
        <v>109</v>
      </c>
      <c r="R328" s="52" t="s">
        <v>141</v>
      </c>
      <c r="S328" s="52" t="s">
        <v>109</v>
      </c>
      <c r="T328" s="65" t="s">
        <v>30</v>
      </c>
      <c r="U328" s="32">
        <v>1.0</v>
      </c>
      <c r="V328" s="32">
        <v>1.0</v>
      </c>
      <c r="W328" s="32">
        <v>1.0</v>
      </c>
      <c r="X328" s="32">
        <v>1.0</v>
      </c>
      <c r="Y328" s="32">
        <v>1.0</v>
      </c>
      <c r="Z328" s="32">
        <v>1.0</v>
      </c>
      <c r="AA328" s="32">
        <v>6.0</v>
      </c>
      <c r="AB328" s="32">
        <v>0.0</v>
      </c>
      <c r="AC328" s="103" t="str">
        <f>IFERROR(__xludf.DUMMYFUNCTION("if($C328="""","""",if(join("" - "",{iferror(filter('Student Groupings'!$A:$A,'Student Groupings'!$B:$B=$C328,'Student Groupings'!$H:$H=""Can't be Together""),"""");iferror(filter('Student Groupings'!$A:$A,'Student Groupings'!$E:$E=$C328,'Student Groupings"&amp;"'!$H:$H=""Can't be Together""),"""")})="" - "","""",join("" - "",{iferror(filter('Student Groupings'!$A:$A,'Student Groupings'!$B:$B=$C328,'Student Groupings'!$H:$H=""Can't be Together""),"""");iferror(filter('Student Groupings'!$A:$A,'Student Groupings'!"&amp;"$E:$E=$C328,'Student Groupings'!$H:$H=""Can't be Together""),"""")})))"),"")</f>
        <v/>
      </c>
      <c r="AD328" s="103" t="str">
        <f>IFERROR(__xludf.DUMMYFUNCTION("if($C328="""","""",if(join("" - "",{iferror(filter('Student Groupings'!$A:$A,'Student Groupings'!$B:$B=$C328,'Student Groupings'!$H:$H=""Must be Together""),"""");iferror(filter('Student Groupings'!$A:$A,'Student Groupings'!$E:$E=$C328,'Student Groupings'"&amp;"!$H:$H=""Must be Together""),"""")})="" - "","""",join("" - "",{iferror(filter('Student Groupings'!$A:$A,'Student Groupings'!$B:$B=$C328,'Student Groupings'!$H:$H=""Must be Together""),"""");iferror(filter('Student Groupings'!$A:$A,'Student Groupings'!$E:"&amp;"$E=$C328,'Student Groupings'!$H:$H=""Must be Together""),"""")})))"),"")</f>
        <v/>
      </c>
      <c r="AE328" s="104"/>
      <c r="AF328" s="104"/>
      <c r="AG328" s="104"/>
      <c r="AH328" s="104"/>
    </row>
    <row r="329">
      <c r="A329" s="101">
        <v>8.0</v>
      </c>
      <c r="B329" s="101">
        <v>29048.0</v>
      </c>
      <c r="C329" s="102" t="s">
        <v>582</v>
      </c>
      <c r="D329" s="52" t="s">
        <v>176</v>
      </c>
      <c r="E329" s="52">
        <v>6.0</v>
      </c>
      <c r="F329" s="52" t="s">
        <v>167</v>
      </c>
      <c r="G329" s="52">
        <v>3.0</v>
      </c>
      <c r="H329" s="52" t="s">
        <v>185</v>
      </c>
      <c r="I329" s="52">
        <v>2.0</v>
      </c>
      <c r="J329" s="52" t="s">
        <v>190</v>
      </c>
      <c r="K329" s="52">
        <v>5.0</v>
      </c>
      <c r="L329" s="52" t="s">
        <v>201</v>
      </c>
      <c r="M329" s="52">
        <v>1.0</v>
      </c>
      <c r="N329" s="52" t="s">
        <v>149</v>
      </c>
      <c r="O329" s="52" t="s">
        <v>111</v>
      </c>
      <c r="P329" s="52" t="s">
        <v>135</v>
      </c>
      <c r="Q329" s="52" t="s">
        <v>130</v>
      </c>
      <c r="R329" s="52" t="s">
        <v>118</v>
      </c>
      <c r="S329" s="52" t="s">
        <v>130</v>
      </c>
      <c r="T329" s="65" t="s">
        <v>27</v>
      </c>
      <c r="U329" s="32">
        <v>1.0</v>
      </c>
      <c r="V329" s="32">
        <v>1.0</v>
      </c>
      <c r="W329" s="32">
        <v>1.0</v>
      </c>
      <c r="X329" s="32">
        <v>1.0</v>
      </c>
      <c r="Y329" s="32">
        <v>1.0</v>
      </c>
      <c r="Z329" s="32">
        <v>1.0</v>
      </c>
      <c r="AA329" s="32">
        <v>6.0</v>
      </c>
      <c r="AB329" s="32">
        <v>0.0</v>
      </c>
      <c r="AC329" s="103" t="str">
        <f>IFERROR(__xludf.DUMMYFUNCTION("if($C329="""","""",if(join("" - "",{iferror(filter('Student Groupings'!$A:$A,'Student Groupings'!$B:$B=$C329,'Student Groupings'!$H:$H=""Can't be Together""),"""");iferror(filter('Student Groupings'!$A:$A,'Student Groupings'!$E:$E=$C329,'Student Groupings"&amp;"'!$H:$H=""Can't be Together""),"""")})="" - "","""",join("" - "",{iferror(filter('Student Groupings'!$A:$A,'Student Groupings'!$B:$B=$C329,'Student Groupings'!$H:$H=""Can't be Together""),"""");iferror(filter('Student Groupings'!$A:$A,'Student Groupings'!"&amp;"$E:$E=$C329,'Student Groupings'!$H:$H=""Can't be Together""),"""")})))"),"")</f>
        <v/>
      </c>
      <c r="AD329" s="103" t="str">
        <f>IFERROR(__xludf.DUMMYFUNCTION("if($C329="""","""",if(join("" - "",{iferror(filter('Student Groupings'!$A:$A,'Student Groupings'!$B:$B=$C329,'Student Groupings'!$H:$H=""Must be Together""),"""");iferror(filter('Student Groupings'!$A:$A,'Student Groupings'!$E:$E=$C329,'Student Groupings'"&amp;"!$H:$H=""Must be Together""),"""")})="" - "","""",join("" - "",{iferror(filter('Student Groupings'!$A:$A,'Student Groupings'!$B:$B=$C329,'Student Groupings'!$H:$H=""Must be Together""),"""");iferror(filter('Student Groupings'!$A:$A,'Student Groupings'!$E:"&amp;"$E=$C329,'Student Groupings'!$H:$H=""Must be Together""),"""")})))"),"")</f>
        <v/>
      </c>
      <c r="AE329" s="104"/>
      <c r="AF329" s="104"/>
      <c r="AG329" s="104"/>
      <c r="AH329" s="104"/>
    </row>
    <row r="330">
      <c r="A330" s="101">
        <v>8.0</v>
      </c>
      <c r="B330" s="101">
        <v>29049.0</v>
      </c>
      <c r="C330" s="102" t="s">
        <v>266</v>
      </c>
      <c r="D330" s="52" t="s">
        <v>176</v>
      </c>
      <c r="E330" s="52">
        <v>2.0</v>
      </c>
      <c r="F330" s="52" t="s">
        <v>170</v>
      </c>
      <c r="G330" s="52">
        <v>1.0</v>
      </c>
      <c r="H330" s="52" t="s">
        <v>185</v>
      </c>
      <c r="I330" s="101">
        <v>5.0</v>
      </c>
      <c r="J330" s="52" t="s">
        <v>190</v>
      </c>
      <c r="K330" s="101">
        <v>4.0</v>
      </c>
      <c r="L330" s="52" t="s">
        <v>201</v>
      </c>
      <c r="M330" s="101">
        <v>3.0</v>
      </c>
      <c r="N330" s="52" t="s">
        <v>149</v>
      </c>
      <c r="O330" s="52" t="s">
        <v>120</v>
      </c>
      <c r="P330" s="52" t="s">
        <v>141</v>
      </c>
      <c r="Q330" s="52" t="s">
        <v>109</v>
      </c>
      <c r="R330" s="52" t="s">
        <v>141</v>
      </c>
      <c r="S330" s="52" t="s">
        <v>109</v>
      </c>
      <c r="T330" s="65" t="s">
        <v>30</v>
      </c>
      <c r="U330" s="32">
        <v>1.0</v>
      </c>
      <c r="V330" s="32">
        <v>1.0</v>
      </c>
      <c r="W330" s="32">
        <v>1.0</v>
      </c>
      <c r="X330" s="32">
        <v>1.0</v>
      </c>
      <c r="Y330" s="32">
        <v>1.0</v>
      </c>
      <c r="Z330" s="32">
        <v>1.0</v>
      </c>
      <c r="AA330" s="32">
        <v>6.0</v>
      </c>
      <c r="AB330" s="32">
        <v>0.0</v>
      </c>
      <c r="AC330" s="103" t="str">
        <f>IFERROR(__xludf.DUMMYFUNCTION("if($C330="""","""",if(join("" - "",{iferror(filter('Student Groupings'!$A:$A,'Student Groupings'!$B:$B=$C330,'Student Groupings'!$H:$H=""Can't be Together""),"""");iferror(filter('Student Groupings'!$A:$A,'Student Groupings'!$E:$E=$C330,'Student Groupings"&amp;"'!$H:$H=""Can't be Together""),"""")})="" - "","""",join("" - "",{iferror(filter('Student Groupings'!$A:$A,'Student Groupings'!$B:$B=$C330,'Student Groupings'!$H:$H=""Can't be Together""),"""");iferror(filter('Student Groupings'!$A:$A,'Student Groupings'!"&amp;"$E:$E=$C330,'Student Groupings'!$H:$H=""Can't be Together""),"""")})))"),"80 - 81 - 82 - 83 - 84 - 85 - 47 - 74 - 87 - 93 - 99 - 105 - 111")</f>
        <v>80 - 81 - 82 - 83 - 84 - 85 - 47 - 74 - 87 - 93 - 99 - 105 - 111</v>
      </c>
      <c r="AD330" s="103" t="str">
        <f>IFERROR(__xludf.DUMMYFUNCTION("if($C330="""","""",if(join("" - "",{iferror(filter('Student Groupings'!$A:$A,'Student Groupings'!$B:$B=$C330,'Student Groupings'!$H:$H=""Must be Together""),"""");iferror(filter('Student Groupings'!$A:$A,'Student Groupings'!$E:$E=$C330,'Student Groupings'"&amp;"!$H:$H=""Must be Together""),"""")})="" - "","""",join("" - "",{iferror(filter('Student Groupings'!$A:$A,'Student Groupings'!$B:$B=$C330,'Student Groupings'!$H:$H=""Must be Together""),"""");iferror(filter('Student Groupings'!$A:$A,'Student Groupings'!$E:"&amp;"$E=$C330,'Student Groupings'!$H:$H=""Must be Together""),"""")})))"),"")</f>
        <v/>
      </c>
      <c r="AE330" s="104"/>
      <c r="AF330" s="104"/>
      <c r="AG330" s="104"/>
      <c r="AH330" s="104"/>
    </row>
    <row r="331">
      <c r="A331" s="101">
        <v>8.0</v>
      </c>
      <c r="B331" s="101">
        <v>29050.0</v>
      </c>
      <c r="C331" s="102" t="s">
        <v>267</v>
      </c>
      <c r="D331" s="52" t="s">
        <v>176</v>
      </c>
      <c r="E331" s="52">
        <v>3.0</v>
      </c>
      <c r="F331" s="52" t="s">
        <v>170</v>
      </c>
      <c r="G331" s="52">
        <v>1.0</v>
      </c>
      <c r="H331" s="52" t="s">
        <v>187</v>
      </c>
      <c r="I331" s="52">
        <v>6.0</v>
      </c>
      <c r="J331" s="52" t="s">
        <v>190</v>
      </c>
      <c r="K331" s="52">
        <v>2.0</v>
      </c>
      <c r="L331" s="52" t="s">
        <v>201</v>
      </c>
      <c r="M331" s="52">
        <v>4.0</v>
      </c>
      <c r="N331" s="52" t="s">
        <v>149</v>
      </c>
      <c r="O331" s="52" t="s">
        <v>124</v>
      </c>
      <c r="P331" s="52" t="s">
        <v>141</v>
      </c>
      <c r="Q331" s="52" t="s">
        <v>112</v>
      </c>
      <c r="R331" s="52" t="s">
        <v>141</v>
      </c>
      <c r="S331" s="52" t="s">
        <v>112</v>
      </c>
      <c r="T331" s="65" t="s">
        <v>30</v>
      </c>
      <c r="U331" s="32">
        <v>1.0</v>
      </c>
      <c r="V331" s="32">
        <v>1.0</v>
      </c>
      <c r="W331" s="32">
        <v>1.0</v>
      </c>
      <c r="X331" s="32">
        <v>1.0</v>
      </c>
      <c r="Y331" s="32">
        <v>1.0</v>
      </c>
      <c r="Z331" s="32">
        <v>1.0</v>
      </c>
      <c r="AA331" s="32">
        <v>6.0</v>
      </c>
      <c r="AB331" s="32">
        <v>0.0</v>
      </c>
      <c r="AC331" s="103" t="str">
        <f>IFERROR(__xludf.DUMMYFUNCTION("if($C331="""","""",if(join("" - "",{iferror(filter('Student Groupings'!$A:$A,'Student Groupings'!$B:$B=$C331,'Student Groupings'!$H:$H=""Can't be Together""),"""");iferror(filter('Student Groupings'!$A:$A,'Student Groupings'!$E:$E=$C331,'Student Groupings"&amp;"'!$H:$H=""Can't be Together""),"""")})="" - "","""",join("" - "",{iferror(filter('Student Groupings'!$A:$A,'Student Groupings'!$B:$B=$C331,'Student Groupings'!$H:$H=""Can't be Together""),"""");iferror(filter('Student Groupings'!$A:$A,'Student Groupings'!"&amp;"$E:$E=$C331,'Student Groupings'!$H:$H=""Can't be Together""),"""")})))"),"86 - 87 - 88 - 89 - 90 - 91 - 48 - 75 - 81 - 94 - 100 - 106 - 112")</f>
        <v>86 - 87 - 88 - 89 - 90 - 91 - 48 - 75 - 81 - 94 - 100 - 106 - 112</v>
      </c>
      <c r="AD331" s="103" t="str">
        <f>IFERROR(__xludf.DUMMYFUNCTION("if($C331="""","""",if(join("" - "",{iferror(filter('Student Groupings'!$A:$A,'Student Groupings'!$B:$B=$C331,'Student Groupings'!$H:$H=""Must be Together""),"""");iferror(filter('Student Groupings'!$A:$A,'Student Groupings'!$E:$E=$C331,'Student Groupings'"&amp;"!$H:$H=""Must be Together""),"""")})="" - "","""",join("" - "",{iferror(filter('Student Groupings'!$A:$A,'Student Groupings'!$B:$B=$C331,'Student Groupings'!$H:$H=""Must be Together""),"""");iferror(filter('Student Groupings'!$A:$A,'Student Groupings'!$E:"&amp;"$E=$C331,'Student Groupings'!$H:$H=""Must be Together""),"""")})))"),"")</f>
        <v/>
      </c>
      <c r="AE331" s="104"/>
      <c r="AF331" s="104"/>
      <c r="AG331" s="104"/>
      <c r="AH331" s="104"/>
    </row>
    <row r="332">
      <c r="A332" s="101">
        <v>8.0</v>
      </c>
      <c r="B332" s="101">
        <v>28046.0</v>
      </c>
      <c r="C332" s="102" t="s">
        <v>279</v>
      </c>
      <c r="D332" s="52" t="s">
        <v>176</v>
      </c>
      <c r="E332" s="52">
        <v>3.0</v>
      </c>
      <c r="F332" s="52" t="s">
        <v>170</v>
      </c>
      <c r="G332" s="52">
        <v>1.0</v>
      </c>
      <c r="H332" s="52" t="s">
        <v>187</v>
      </c>
      <c r="I332" s="52">
        <v>6.0</v>
      </c>
      <c r="J332" s="52" t="s">
        <v>190</v>
      </c>
      <c r="K332" s="52">
        <v>2.0</v>
      </c>
      <c r="L332" s="52" t="s">
        <v>201</v>
      </c>
      <c r="M332" s="52">
        <v>4.0</v>
      </c>
      <c r="N332" s="52" t="s">
        <v>149</v>
      </c>
      <c r="O332" s="52" t="s">
        <v>124</v>
      </c>
      <c r="P332" s="52" t="s">
        <v>141</v>
      </c>
      <c r="Q332" s="52" t="s">
        <v>112</v>
      </c>
      <c r="R332" s="52" t="s">
        <v>141</v>
      </c>
      <c r="S332" s="52" t="s">
        <v>112</v>
      </c>
      <c r="T332" s="65" t="s">
        <v>30</v>
      </c>
      <c r="U332" s="32">
        <v>1.0</v>
      </c>
      <c r="V332" s="32">
        <v>1.0</v>
      </c>
      <c r="W332" s="32">
        <v>1.0</v>
      </c>
      <c r="X332" s="32">
        <v>1.0</v>
      </c>
      <c r="Y332" s="32">
        <v>1.0</v>
      </c>
      <c r="Z332" s="32">
        <v>1.0</v>
      </c>
      <c r="AA332" s="32">
        <v>6.0</v>
      </c>
      <c r="AB332" s="32">
        <v>0.0</v>
      </c>
      <c r="AC332" s="103" t="str">
        <f>IFERROR(__xludf.DUMMYFUNCTION("if($C332="""","""",if(join("" - "",{iferror(filter('Student Groupings'!$A:$A,'Student Groupings'!$B:$B=$C332,'Student Groupings'!$H:$H=""Can't be Together""),"""");iferror(filter('Student Groupings'!$A:$A,'Student Groupings'!$E:$E=$C332,'Student Groupings"&amp;"'!$H:$H=""Can't be Together""),"""")})="" - "","""",join("" - "",{iferror(filter('Student Groupings'!$A:$A,'Student Groupings'!$B:$B=$C332,'Student Groupings'!$H:$H=""Can't be Together""),"""");iferror(filter('Student Groupings'!$A:$A,'Student Groupings'!"&amp;"$E:$E=$C332,'Student Groupings'!$H:$H=""Can't be Together""),"""")})))"),"92 - 93 - 94 - 95 - 96 - 97 - 76 - 82 - 88 - 101 - 107 - 113")</f>
        <v>92 - 93 - 94 - 95 - 96 - 97 - 76 - 82 - 88 - 101 - 107 - 113</v>
      </c>
      <c r="AD332" s="103" t="str">
        <f>IFERROR(__xludf.DUMMYFUNCTION("if($C332="""","""",if(join("" - "",{iferror(filter('Student Groupings'!$A:$A,'Student Groupings'!$B:$B=$C332,'Student Groupings'!$H:$H=""Must be Together""),"""");iferror(filter('Student Groupings'!$A:$A,'Student Groupings'!$E:$E=$C332,'Student Groupings'"&amp;"!$H:$H=""Must be Together""),"""")})="" - "","""",join("" - "",{iferror(filter('Student Groupings'!$A:$A,'Student Groupings'!$B:$B=$C332,'Student Groupings'!$H:$H=""Must be Together""),"""");iferror(filter('Student Groupings'!$A:$A,'Student Groupings'!$E:"&amp;"$E=$C332,'Student Groupings'!$H:$H=""Must be Together""),"""")})))"),"")</f>
        <v/>
      </c>
      <c r="AE332" s="104"/>
      <c r="AF332" s="104"/>
      <c r="AG332" s="104"/>
      <c r="AH332" s="104"/>
    </row>
    <row r="333">
      <c r="A333" s="101">
        <v>8.0</v>
      </c>
      <c r="B333" s="101">
        <v>29052.0</v>
      </c>
      <c r="C333" s="102" t="s">
        <v>583</v>
      </c>
      <c r="D333" s="52" t="s">
        <v>176</v>
      </c>
      <c r="E333" s="52">
        <v>4.0</v>
      </c>
      <c r="F333" s="52" t="s">
        <v>170</v>
      </c>
      <c r="G333" s="52">
        <v>1.0</v>
      </c>
      <c r="H333" s="52" t="s">
        <v>187</v>
      </c>
      <c r="I333" s="52">
        <v>6.0</v>
      </c>
      <c r="J333" s="52" t="s">
        <v>190</v>
      </c>
      <c r="K333" s="52">
        <v>3.0</v>
      </c>
      <c r="L333" s="52" t="s">
        <v>201</v>
      </c>
      <c r="M333" s="52">
        <v>2.0</v>
      </c>
      <c r="N333" s="52" t="s">
        <v>149</v>
      </c>
      <c r="O333" s="52" t="s">
        <v>112</v>
      </c>
      <c r="P333" s="52" t="s">
        <v>118</v>
      </c>
      <c r="Q333" s="52" t="s">
        <v>124</v>
      </c>
      <c r="R333" s="52" t="s">
        <v>135</v>
      </c>
      <c r="S333" s="52" t="s">
        <v>124</v>
      </c>
      <c r="T333" s="65" t="s">
        <v>27</v>
      </c>
      <c r="U333" s="32">
        <v>1.0</v>
      </c>
      <c r="V333" s="32">
        <v>1.0</v>
      </c>
      <c r="W333" s="32">
        <v>1.0</v>
      </c>
      <c r="X333" s="32">
        <v>1.0</v>
      </c>
      <c r="Y333" s="32">
        <v>1.0</v>
      </c>
      <c r="Z333" s="32">
        <v>1.0</v>
      </c>
      <c r="AA333" s="32">
        <v>6.0</v>
      </c>
      <c r="AB333" s="32">
        <v>0.0</v>
      </c>
      <c r="AC333" s="103" t="str">
        <f>IFERROR(__xludf.DUMMYFUNCTION("if($C333="""","""",if(join("" - "",{iferror(filter('Student Groupings'!$A:$A,'Student Groupings'!$B:$B=$C333,'Student Groupings'!$H:$H=""Can't be Together""),"""");iferror(filter('Student Groupings'!$A:$A,'Student Groupings'!$E:$E=$C333,'Student Groupings"&amp;"'!$H:$H=""Can't be Together""),"""")})="" - "","""",join("" - "",{iferror(filter('Student Groupings'!$A:$A,'Student Groupings'!$B:$B=$C333,'Student Groupings'!$H:$H=""Can't be Together""),"""");iferror(filter('Student Groupings'!$A:$A,'Student Groupings'!"&amp;"$E:$E=$C333,'Student Groupings'!$H:$H=""Can't be Together""),"""")})))"),"")</f>
        <v/>
      </c>
      <c r="AD333" s="103" t="str">
        <f>IFERROR(__xludf.DUMMYFUNCTION("if($C333="""","""",if(join("" - "",{iferror(filter('Student Groupings'!$A:$A,'Student Groupings'!$B:$B=$C333,'Student Groupings'!$H:$H=""Must be Together""),"""");iferror(filter('Student Groupings'!$A:$A,'Student Groupings'!$E:$E=$C333,'Student Groupings'"&amp;"!$H:$H=""Must be Together""),"""")})="" - "","""",join("" - "",{iferror(filter('Student Groupings'!$A:$A,'Student Groupings'!$B:$B=$C333,'Student Groupings'!$H:$H=""Must be Together""),"""");iferror(filter('Student Groupings'!$A:$A,'Student Groupings'!$E:"&amp;"$E=$C333,'Student Groupings'!$H:$H=""Must be Together""),"""")})))"),"")</f>
        <v/>
      </c>
      <c r="AE333" s="104"/>
      <c r="AF333" s="104"/>
      <c r="AG333" s="104"/>
      <c r="AH333" s="104"/>
    </row>
    <row r="334">
      <c r="A334" s="101">
        <v>8.0</v>
      </c>
      <c r="B334" s="101">
        <v>29053.0</v>
      </c>
      <c r="C334" s="102" t="s">
        <v>584</v>
      </c>
      <c r="D334" s="52" t="s">
        <v>176</v>
      </c>
      <c r="E334" s="52">
        <v>5.0</v>
      </c>
      <c r="F334" s="52" t="s">
        <v>167</v>
      </c>
      <c r="G334" s="52">
        <v>3.0</v>
      </c>
      <c r="H334" s="52" t="s">
        <v>185</v>
      </c>
      <c r="I334" s="52">
        <v>2.0</v>
      </c>
      <c r="J334" s="52" t="s">
        <v>190</v>
      </c>
      <c r="K334" s="52">
        <v>1.0</v>
      </c>
      <c r="L334" s="52" t="s">
        <v>201</v>
      </c>
      <c r="M334" s="52">
        <v>6.0</v>
      </c>
      <c r="N334" s="52" t="s">
        <v>149</v>
      </c>
      <c r="O334" s="52" t="s">
        <v>111</v>
      </c>
      <c r="P334" s="52" t="s">
        <v>135</v>
      </c>
      <c r="Q334" s="52" t="s">
        <v>130</v>
      </c>
      <c r="R334" s="52" t="s">
        <v>118</v>
      </c>
      <c r="S334" s="52" t="s">
        <v>130</v>
      </c>
      <c r="T334" s="65" t="s">
        <v>27</v>
      </c>
      <c r="U334" s="32">
        <v>1.0</v>
      </c>
      <c r="V334" s="32">
        <v>1.0</v>
      </c>
      <c r="W334" s="32">
        <v>1.0</v>
      </c>
      <c r="X334" s="32">
        <v>1.0</v>
      </c>
      <c r="Y334" s="32">
        <v>1.0</v>
      </c>
      <c r="Z334" s="32">
        <v>1.0</v>
      </c>
      <c r="AA334" s="32">
        <v>6.0</v>
      </c>
      <c r="AB334" s="32">
        <v>0.0</v>
      </c>
      <c r="AC334" s="103" t="str">
        <f>IFERROR(__xludf.DUMMYFUNCTION("if($C334="""","""",if(join("" - "",{iferror(filter('Student Groupings'!$A:$A,'Student Groupings'!$B:$B=$C334,'Student Groupings'!$H:$H=""Can't be Together""),"""");iferror(filter('Student Groupings'!$A:$A,'Student Groupings'!$E:$E=$C334,'Student Groupings"&amp;"'!$H:$H=""Can't be Together""),"""")})="" - "","""",join("" - "",{iferror(filter('Student Groupings'!$A:$A,'Student Groupings'!$B:$B=$C334,'Student Groupings'!$H:$H=""Can't be Together""),"""");iferror(filter('Student Groupings'!$A:$A,'Student Groupings'!"&amp;"$E:$E=$C334,'Student Groupings'!$H:$H=""Can't be Together""),"""")})))"),"")</f>
        <v/>
      </c>
      <c r="AD334" s="103" t="str">
        <f>IFERROR(__xludf.DUMMYFUNCTION("if($C334="""","""",if(join("" - "",{iferror(filter('Student Groupings'!$A:$A,'Student Groupings'!$B:$B=$C334,'Student Groupings'!$H:$H=""Must be Together""),"""");iferror(filter('Student Groupings'!$A:$A,'Student Groupings'!$E:$E=$C334,'Student Groupings'"&amp;"!$H:$H=""Must be Together""),"""")})="" - "","""",join("" - "",{iferror(filter('Student Groupings'!$A:$A,'Student Groupings'!$B:$B=$C334,'Student Groupings'!$H:$H=""Must be Together""),"""");iferror(filter('Student Groupings'!$A:$A,'Student Groupings'!$E:"&amp;"$E=$C334,'Student Groupings'!$H:$H=""Must be Together""),"""")})))"),"")</f>
        <v/>
      </c>
      <c r="AE334" s="104"/>
      <c r="AF334" s="104"/>
      <c r="AG334" s="104"/>
      <c r="AH334" s="104"/>
    </row>
    <row r="335">
      <c r="A335" s="101">
        <v>8.0</v>
      </c>
      <c r="B335" s="101">
        <v>29056.0</v>
      </c>
      <c r="C335" s="102" t="s">
        <v>284</v>
      </c>
      <c r="D335" s="52" t="s">
        <v>176</v>
      </c>
      <c r="E335" s="52">
        <v>4.0</v>
      </c>
      <c r="F335" s="52" t="s">
        <v>170</v>
      </c>
      <c r="G335" s="52">
        <v>1.0</v>
      </c>
      <c r="H335" s="52" t="s">
        <v>185</v>
      </c>
      <c r="I335" s="52">
        <v>6.0</v>
      </c>
      <c r="J335" s="52" t="s">
        <v>190</v>
      </c>
      <c r="K335" s="52">
        <v>3.0</v>
      </c>
      <c r="L335" s="52" t="s">
        <v>201</v>
      </c>
      <c r="M335" s="52">
        <v>2.0</v>
      </c>
      <c r="N335" s="52" t="s">
        <v>149</v>
      </c>
      <c r="O335" s="52" t="s">
        <v>124</v>
      </c>
      <c r="P335" s="52" t="s">
        <v>141</v>
      </c>
      <c r="Q335" s="52" t="s">
        <v>112</v>
      </c>
      <c r="R335" s="52" t="s">
        <v>141</v>
      </c>
      <c r="S335" s="52" t="s">
        <v>112</v>
      </c>
      <c r="T335" s="65" t="s">
        <v>30</v>
      </c>
      <c r="U335" s="32">
        <v>1.0</v>
      </c>
      <c r="V335" s="32">
        <v>1.0</v>
      </c>
      <c r="W335" s="32">
        <v>1.0</v>
      </c>
      <c r="X335" s="32">
        <v>1.0</v>
      </c>
      <c r="Y335" s="32">
        <v>1.0</v>
      </c>
      <c r="Z335" s="32">
        <v>1.0</v>
      </c>
      <c r="AA335" s="32">
        <v>6.0</v>
      </c>
      <c r="AB335" s="32">
        <v>0.0</v>
      </c>
      <c r="AC335" s="103" t="str">
        <f>IFERROR(__xludf.DUMMYFUNCTION("if($C335="""","""",if(join("" - "",{iferror(filter('Student Groupings'!$A:$A,'Student Groupings'!$B:$B=$C335,'Student Groupings'!$H:$H=""Can't be Together""),"""");iferror(filter('Student Groupings'!$A:$A,'Student Groupings'!$E:$E=$C335,'Student Groupings"&amp;"'!$H:$H=""Can't be Together""),"""")})="" - "","""",join("" - "",{iferror(filter('Student Groupings'!$A:$A,'Student Groupings'!$B:$B=$C335,'Student Groupings'!$H:$H=""Can't be Together""),"""");iferror(filter('Student Groupings'!$A:$A,'Student Groupings'!"&amp;"$E:$E=$C335,'Student Groupings'!$H:$H=""Can't be Together""),"""")})))"),"118 - 119 - ")</f>
        <v>118 - 119 - </v>
      </c>
      <c r="AD335" s="103" t="str">
        <f>IFERROR(__xludf.DUMMYFUNCTION("if($C335="""","""",if(join("" - "",{iferror(filter('Student Groupings'!$A:$A,'Student Groupings'!$B:$B=$C335,'Student Groupings'!$H:$H=""Must be Together""),"""");iferror(filter('Student Groupings'!$A:$A,'Student Groupings'!$E:$E=$C335,'Student Groupings'"&amp;"!$H:$H=""Must be Together""),"""")})="" - "","""",join("" - "",{iferror(filter('Student Groupings'!$A:$A,'Student Groupings'!$B:$B=$C335,'Student Groupings'!$H:$H=""Must be Together""),"""");iferror(filter('Student Groupings'!$A:$A,'Student Groupings'!$E:"&amp;"$E=$C335,'Student Groupings'!$H:$H=""Must be Together""),"""")})))"),"")</f>
        <v/>
      </c>
      <c r="AE335" s="105"/>
      <c r="AF335" s="105">
        <v>1.0</v>
      </c>
      <c r="AG335" s="104"/>
      <c r="AH335" s="104"/>
    </row>
    <row r="336">
      <c r="A336" s="101">
        <v>8.0</v>
      </c>
      <c r="B336" s="101">
        <v>29057.0</v>
      </c>
      <c r="C336" s="102" t="s">
        <v>585</v>
      </c>
      <c r="D336" s="52" t="s">
        <v>176</v>
      </c>
      <c r="E336" s="52">
        <v>6.0</v>
      </c>
      <c r="F336" s="52" t="s">
        <v>167</v>
      </c>
      <c r="G336" s="52">
        <v>4.0</v>
      </c>
      <c r="H336" s="52" t="s">
        <v>185</v>
      </c>
      <c r="I336" s="52">
        <v>3.0</v>
      </c>
      <c r="J336" s="52" t="s">
        <v>190</v>
      </c>
      <c r="K336" s="52">
        <v>5.0</v>
      </c>
      <c r="L336" s="52" t="s">
        <v>201</v>
      </c>
      <c r="M336" s="52">
        <v>1.0</v>
      </c>
      <c r="N336" s="52" t="s">
        <v>149</v>
      </c>
      <c r="O336" s="52" t="s">
        <v>125</v>
      </c>
      <c r="P336" s="52" t="s">
        <v>141</v>
      </c>
      <c r="Q336" s="52" t="s">
        <v>119</v>
      </c>
      <c r="R336" s="52" t="s">
        <v>141</v>
      </c>
      <c r="S336" s="52" t="s">
        <v>119</v>
      </c>
      <c r="T336" s="65" t="s">
        <v>30</v>
      </c>
      <c r="U336" s="32">
        <v>1.0</v>
      </c>
      <c r="V336" s="32">
        <v>1.0</v>
      </c>
      <c r="W336" s="32">
        <v>1.0</v>
      </c>
      <c r="X336" s="32">
        <v>1.0</v>
      </c>
      <c r="Y336" s="32">
        <v>1.0</v>
      </c>
      <c r="Z336" s="32">
        <v>1.0</v>
      </c>
      <c r="AA336" s="32">
        <v>6.0</v>
      </c>
      <c r="AB336" s="32">
        <v>0.0</v>
      </c>
      <c r="AC336" s="103" t="str">
        <f>IFERROR(__xludf.DUMMYFUNCTION("if($C336="""","""",if(join("" - "",{iferror(filter('Student Groupings'!$A:$A,'Student Groupings'!$B:$B=$C336,'Student Groupings'!$H:$H=""Can't be Together""),"""");iferror(filter('Student Groupings'!$A:$A,'Student Groupings'!$E:$E=$C336,'Student Groupings"&amp;"'!$H:$H=""Can't be Together""),"""")})="" - "","""",join("" - "",{iferror(filter('Student Groupings'!$A:$A,'Student Groupings'!$B:$B=$C336,'Student Groupings'!$H:$H=""Can't be Together""),"""");iferror(filter('Student Groupings'!$A:$A,'Student Groupings'!"&amp;"$E:$E=$C336,'Student Groupings'!$H:$H=""Can't be Together""),"""")})))"),"")</f>
        <v/>
      </c>
      <c r="AD336" s="103" t="str">
        <f>IFERROR(__xludf.DUMMYFUNCTION("if($C336="""","""",if(join("" - "",{iferror(filter('Student Groupings'!$A:$A,'Student Groupings'!$B:$B=$C336,'Student Groupings'!$H:$H=""Must be Together""),"""");iferror(filter('Student Groupings'!$A:$A,'Student Groupings'!$E:$E=$C336,'Student Groupings'"&amp;"!$H:$H=""Must be Together""),"""")})="" - "","""",join("" - "",{iferror(filter('Student Groupings'!$A:$A,'Student Groupings'!$B:$B=$C336,'Student Groupings'!$H:$H=""Must be Together""),"""");iferror(filter('Student Groupings'!$A:$A,'Student Groupings'!$E:"&amp;"$E=$C336,'Student Groupings'!$H:$H=""Must be Together""),"""")})))"),"")</f>
        <v/>
      </c>
      <c r="AE336" s="104"/>
      <c r="AF336" s="104"/>
      <c r="AG336" s="104"/>
      <c r="AH336" s="104"/>
    </row>
    <row r="337">
      <c r="A337" s="101">
        <v>8.0</v>
      </c>
      <c r="B337" s="101">
        <v>29058.0</v>
      </c>
      <c r="C337" s="102" t="s">
        <v>586</v>
      </c>
      <c r="D337" s="52" t="s">
        <v>176</v>
      </c>
      <c r="E337" s="52">
        <v>2.0</v>
      </c>
      <c r="F337" s="52" t="s">
        <v>167</v>
      </c>
      <c r="G337" s="52">
        <v>5.0</v>
      </c>
      <c r="H337" s="52" t="s">
        <v>185</v>
      </c>
      <c r="I337" s="52">
        <v>6.0</v>
      </c>
      <c r="J337" s="52" t="s">
        <v>190</v>
      </c>
      <c r="K337" s="52">
        <v>4.0</v>
      </c>
      <c r="L337" s="52" t="s">
        <v>201</v>
      </c>
      <c r="M337" s="52">
        <v>3.0</v>
      </c>
      <c r="N337" s="52" t="s">
        <v>149</v>
      </c>
      <c r="O337" s="52" t="s">
        <v>108</v>
      </c>
      <c r="P337" s="52" t="s">
        <v>141</v>
      </c>
      <c r="Q337" s="52" t="s">
        <v>129</v>
      </c>
      <c r="R337" s="52" t="s">
        <v>141</v>
      </c>
      <c r="S337" s="52" t="s">
        <v>129</v>
      </c>
      <c r="T337" s="65" t="s">
        <v>30</v>
      </c>
      <c r="U337" s="32">
        <v>1.0</v>
      </c>
      <c r="V337" s="32">
        <v>1.0</v>
      </c>
      <c r="W337" s="32">
        <v>1.0</v>
      </c>
      <c r="X337" s="32">
        <v>1.0</v>
      </c>
      <c r="Y337" s="32">
        <v>1.0</v>
      </c>
      <c r="Z337" s="32">
        <v>1.0</v>
      </c>
      <c r="AA337" s="32">
        <v>6.0</v>
      </c>
      <c r="AB337" s="32">
        <v>0.0</v>
      </c>
      <c r="AC337" s="103" t="str">
        <f>IFERROR(__xludf.DUMMYFUNCTION("if($C337="""","""",if(join("" - "",{iferror(filter('Student Groupings'!$A:$A,'Student Groupings'!$B:$B=$C337,'Student Groupings'!$H:$H=""Can't be Together""),"""");iferror(filter('Student Groupings'!$A:$A,'Student Groupings'!$E:$E=$C337,'Student Groupings"&amp;"'!$H:$H=""Can't be Together""),"""")})="" - "","""",join("" - "",{iferror(filter('Student Groupings'!$A:$A,'Student Groupings'!$B:$B=$C337,'Student Groupings'!$H:$H=""Can't be Together""),"""");iferror(filter('Student Groupings'!$A:$A,'Student Groupings'!"&amp;"$E:$E=$C337,'Student Groupings'!$H:$H=""Can't be Together""),"""")})))"),"")</f>
        <v/>
      </c>
      <c r="AD337" s="103" t="str">
        <f>IFERROR(__xludf.DUMMYFUNCTION("if($C337="""","""",if(join("" - "",{iferror(filter('Student Groupings'!$A:$A,'Student Groupings'!$B:$B=$C337,'Student Groupings'!$H:$H=""Must be Together""),"""");iferror(filter('Student Groupings'!$A:$A,'Student Groupings'!$E:$E=$C337,'Student Groupings'"&amp;"!$H:$H=""Must be Together""),"""")})="" - "","""",join("" - "",{iferror(filter('Student Groupings'!$A:$A,'Student Groupings'!$B:$B=$C337,'Student Groupings'!$H:$H=""Must be Together""),"""");iferror(filter('Student Groupings'!$A:$A,'Student Groupings'!$E:"&amp;"$E=$C337,'Student Groupings'!$H:$H=""Must be Together""),"""")})))"),"")</f>
        <v/>
      </c>
      <c r="AE337" s="104"/>
      <c r="AF337" s="104"/>
      <c r="AG337" s="104"/>
      <c r="AH337" s="104"/>
    </row>
    <row r="338">
      <c r="A338" s="101">
        <v>8.0</v>
      </c>
      <c r="B338" s="101">
        <v>29059.0</v>
      </c>
      <c r="C338" s="102" t="s">
        <v>281</v>
      </c>
      <c r="D338" s="52" t="s">
        <v>176</v>
      </c>
      <c r="E338" s="52">
        <v>3.0</v>
      </c>
      <c r="F338" s="52" t="s">
        <v>170</v>
      </c>
      <c r="G338" s="52">
        <v>1.0</v>
      </c>
      <c r="H338" s="52" t="s">
        <v>187</v>
      </c>
      <c r="I338" s="52">
        <v>6.0</v>
      </c>
      <c r="J338" s="52" t="s">
        <v>190</v>
      </c>
      <c r="K338" s="52">
        <v>2.0</v>
      </c>
      <c r="L338" s="52" t="s">
        <v>201</v>
      </c>
      <c r="M338" s="52">
        <v>4.0</v>
      </c>
      <c r="N338" s="52" t="s">
        <v>149</v>
      </c>
      <c r="O338" s="52" t="s">
        <v>124</v>
      </c>
      <c r="P338" s="52" t="s">
        <v>141</v>
      </c>
      <c r="Q338" s="52" t="s">
        <v>112</v>
      </c>
      <c r="R338" s="52" t="s">
        <v>141</v>
      </c>
      <c r="S338" s="52" t="s">
        <v>112</v>
      </c>
      <c r="T338" s="65" t="s">
        <v>30</v>
      </c>
      <c r="U338" s="32">
        <v>1.0</v>
      </c>
      <c r="V338" s="32">
        <v>1.0</v>
      </c>
      <c r="W338" s="32">
        <v>1.0</v>
      </c>
      <c r="X338" s="32">
        <v>1.0</v>
      </c>
      <c r="Y338" s="32">
        <v>1.0</v>
      </c>
      <c r="Z338" s="32">
        <v>1.0</v>
      </c>
      <c r="AA338" s="32">
        <v>6.0</v>
      </c>
      <c r="AB338" s="32">
        <v>0.0</v>
      </c>
      <c r="AC338" s="103" t="str">
        <f>IFERROR(__xludf.DUMMYFUNCTION("if($C338="""","""",if(join("" - "",{iferror(filter('Student Groupings'!$A:$A,'Student Groupings'!$B:$B=$C338,'Student Groupings'!$H:$H=""Can't be Together""),"""");iferror(filter('Student Groupings'!$A:$A,'Student Groupings'!$E:$E=$C338,'Student Groupings"&amp;"'!$H:$H=""Can't be Together""),"""")})="" - "","""",join("" - "",{iferror(filter('Student Groupings'!$A:$A,'Student Groupings'!$B:$B=$C338,'Student Groupings'!$H:$H=""Can't be Together""),"""");iferror(filter('Student Groupings'!$A:$A,'Student Groupings'!"&amp;"$E:$E=$C338,'Student Groupings'!$H:$H=""Can't be Together""),"""")})))"),"104 - 105 - 106 - 107 - 108 - 109 - 78 - 84 - 90 - 96 - 102 - 115")</f>
        <v>104 - 105 - 106 - 107 - 108 - 109 - 78 - 84 - 90 - 96 - 102 - 115</v>
      </c>
      <c r="AD338" s="103" t="str">
        <f>IFERROR(__xludf.DUMMYFUNCTION("if($C338="""","""",if(join("" - "",{iferror(filter('Student Groupings'!$A:$A,'Student Groupings'!$B:$B=$C338,'Student Groupings'!$H:$H=""Must be Together""),"""");iferror(filter('Student Groupings'!$A:$A,'Student Groupings'!$E:$E=$C338,'Student Groupings'"&amp;"!$H:$H=""Must be Together""),"""")})="" - "","""",join("" - "",{iferror(filter('Student Groupings'!$A:$A,'Student Groupings'!$B:$B=$C338,'Student Groupings'!$H:$H=""Must be Together""),"""");iferror(filter('Student Groupings'!$A:$A,'Student Groupings'!$E:"&amp;"$E=$C338,'Student Groupings'!$H:$H=""Must be Together""),"""")})))"),"")</f>
        <v/>
      </c>
      <c r="AE338" s="104"/>
      <c r="AF338" s="104"/>
      <c r="AG338" s="104"/>
      <c r="AH338" s="104"/>
    </row>
    <row r="339">
      <c r="A339" s="101">
        <v>8.0</v>
      </c>
      <c r="B339" s="101">
        <v>29060.0</v>
      </c>
      <c r="C339" s="102" t="s">
        <v>587</v>
      </c>
      <c r="D339" s="52" t="s">
        <v>176</v>
      </c>
      <c r="E339" s="52">
        <v>2.0</v>
      </c>
      <c r="F339" s="52" t="s">
        <v>170</v>
      </c>
      <c r="G339" s="52">
        <v>1.0</v>
      </c>
      <c r="H339" s="52" t="s">
        <v>187</v>
      </c>
      <c r="I339" s="52">
        <v>6.0</v>
      </c>
      <c r="J339" s="52" t="s">
        <v>190</v>
      </c>
      <c r="K339" s="52">
        <v>4.0</v>
      </c>
      <c r="L339" s="52" t="s">
        <v>201</v>
      </c>
      <c r="M339" s="52">
        <v>3.0</v>
      </c>
      <c r="N339" s="52" t="s">
        <v>149</v>
      </c>
      <c r="O339" s="52" t="s">
        <v>124</v>
      </c>
      <c r="P339" s="52" t="s">
        <v>141</v>
      </c>
      <c r="Q339" s="52" t="s">
        <v>112</v>
      </c>
      <c r="R339" s="52" t="s">
        <v>141</v>
      </c>
      <c r="S339" s="52" t="s">
        <v>112</v>
      </c>
      <c r="T339" s="65" t="s">
        <v>30</v>
      </c>
      <c r="U339" s="32">
        <v>1.0</v>
      </c>
      <c r="V339" s="32">
        <v>1.0</v>
      </c>
      <c r="W339" s="32">
        <v>1.0</v>
      </c>
      <c r="X339" s="32">
        <v>1.0</v>
      </c>
      <c r="Y339" s="32">
        <v>1.0</v>
      </c>
      <c r="Z339" s="32">
        <v>1.0</v>
      </c>
      <c r="AA339" s="32">
        <v>6.0</v>
      </c>
      <c r="AB339" s="32">
        <v>0.0</v>
      </c>
      <c r="AC339" s="103" t="str">
        <f>IFERROR(__xludf.DUMMYFUNCTION("if($C339="""","""",if(join("" - "",{iferror(filter('Student Groupings'!$A:$A,'Student Groupings'!$B:$B=$C339,'Student Groupings'!$H:$H=""Can't be Together""),"""");iferror(filter('Student Groupings'!$A:$A,'Student Groupings'!$E:$E=$C339,'Student Groupings"&amp;"'!$H:$H=""Can't be Together""),"""")})="" - "","""",join("" - "",{iferror(filter('Student Groupings'!$A:$A,'Student Groupings'!$B:$B=$C339,'Student Groupings'!$H:$H=""Can't be Together""),"""");iferror(filter('Student Groupings'!$A:$A,'Student Groupings'!"&amp;"$E:$E=$C339,'Student Groupings'!$H:$H=""Can't be Together""),"""")})))"),"")</f>
        <v/>
      </c>
      <c r="AD339" s="103" t="str">
        <f>IFERROR(__xludf.DUMMYFUNCTION("if($C339="""","""",if(join("" - "",{iferror(filter('Student Groupings'!$A:$A,'Student Groupings'!$B:$B=$C339,'Student Groupings'!$H:$H=""Must be Together""),"""");iferror(filter('Student Groupings'!$A:$A,'Student Groupings'!$E:$E=$C339,'Student Groupings'"&amp;"!$H:$H=""Must be Together""),"""")})="" - "","""",join("" - "",{iferror(filter('Student Groupings'!$A:$A,'Student Groupings'!$B:$B=$C339,'Student Groupings'!$H:$H=""Must be Together""),"""");iferror(filter('Student Groupings'!$A:$A,'Student Groupings'!$E:"&amp;"$E=$C339,'Student Groupings'!$H:$H=""Must be Together""),"""")})))"),"")</f>
        <v/>
      </c>
      <c r="AE339" s="104"/>
      <c r="AF339" s="104"/>
      <c r="AG339" s="104"/>
      <c r="AH339" s="104"/>
    </row>
    <row r="340">
      <c r="A340" s="101">
        <v>8.0</v>
      </c>
      <c r="B340" s="101">
        <v>29061.0</v>
      </c>
      <c r="C340" s="102" t="s">
        <v>588</v>
      </c>
      <c r="D340" s="52" t="s">
        <v>177</v>
      </c>
      <c r="E340" s="52">
        <v>4.0</v>
      </c>
      <c r="F340" s="52" t="s">
        <v>167</v>
      </c>
      <c r="G340" s="52">
        <v>5.0</v>
      </c>
      <c r="H340" s="52" t="s">
        <v>185</v>
      </c>
      <c r="I340" s="52">
        <v>6.0</v>
      </c>
      <c r="J340" s="52" t="s">
        <v>191</v>
      </c>
      <c r="K340" s="52">
        <v>3.0</v>
      </c>
      <c r="L340" s="52" t="s">
        <v>202</v>
      </c>
      <c r="M340" s="52">
        <v>2.0</v>
      </c>
      <c r="N340" s="52" t="s">
        <v>149</v>
      </c>
      <c r="O340" s="52" t="s">
        <v>108</v>
      </c>
      <c r="P340" s="52" t="s">
        <v>141</v>
      </c>
      <c r="Q340" s="52" t="s">
        <v>129</v>
      </c>
      <c r="R340" s="52" t="s">
        <v>141</v>
      </c>
      <c r="S340" s="52" t="s">
        <v>129</v>
      </c>
      <c r="T340" s="65" t="s">
        <v>30</v>
      </c>
      <c r="U340" s="32">
        <v>1.0</v>
      </c>
      <c r="V340" s="32">
        <v>1.0</v>
      </c>
      <c r="W340" s="32">
        <v>1.0</v>
      </c>
      <c r="X340" s="32">
        <v>1.0</v>
      </c>
      <c r="Y340" s="32">
        <v>1.0</v>
      </c>
      <c r="Z340" s="32">
        <v>1.0</v>
      </c>
      <c r="AA340" s="32">
        <v>6.0</v>
      </c>
      <c r="AB340" s="32">
        <v>0.0</v>
      </c>
      <c r="AC340" s="103" t="str">
        <f>IFERROR(__xludf.DUMMYFUNCTION("if($C340="""","""",if(join("" - "",{iferror(filter('Student Groupings'!$A:$A,'Student Groupings'!$B:$B=$C340,'Student Groupings'!$H:$H=""Can't be Together""),"""");iferror(filter('Student Groupings'!$A:$A,'Student Groupings'!$E:$E=$C340,'Student Groupings"&amp;"'!$H:$H=""Can't be Together""),"""")})="" - "","""",join("" - "",{iferror(filter('Student Groupings'!$A:$A,'Student Groupings'!$B:$B=$C340,'Student Groupings'!$H:$H=""Can't be Together""),"""");iferror(filter('Student Groupings'!$A:$A,'Student Groupings'!"&amp;"$E:$E=$C340,'Student Groupings'!$H:$H=""Can't be Together""),"""")})))"),"")</f>
        <v/>
      </c>
      <c r="AD340" s="103" t="str">
        <f>IFERROR(__xludf.DUMMYFUNCTION("if($C340="""","""",if(join("" - "",{iferror(filter('Student Groupings'!$A:$A,'Student Groupings'!$B:$B=$C340,'Student Groupings'!$H:$H=""Must be Together""),"""");iferror(filter('Student Groupings'!$A:$A,'Student Groupings'!$E:$E=$C340,'Student Groupings'"&amp;"!$H:$H=""Must be Together""),"""")})="" - "","""",join("" - "",{iferror(filter('Student Groupings'!$A:$A,'Student Groupings'!$B:$B=$C340,'Student Groupings'!$H:$H=""Must be Together""),"""");iferror(filter('Student Groupings'!$A:$A,'Student Groupings'!$E:"&amp;"$E=$C340,'Student Groupings'!$H:$H=""Must be Together""),"""")})))"),"")</f>
        <v/>
      </c>
      <c r="AE340" s="105"/>
      <c r="AF340" s="105"/>
      <c r="AG340" s="105"/>
      <c r="AH340" s="105"/>
    </row>
    <row r="341">
      <c r="A341" s="101">
        <v>8.0</v>
      </c>
      <c r="B341" s="101">
        <v>28144.0</v>
      </c>
      <c r="C341" s="102" t="s">
        <v>298</v>
      </c>
      <c r="D341" s="52" t="s">
        <v>176</v>
      </c>
      <c r="E341" s="52">
        <v>4.0</v>
      </c>
      <c r="F341" s="52" t="s">
        <v>167</v>
      </c>
      <c r="G341" s="52">
        <v>5.0</v>
      </c>
      <c r="H341" s="52" t="s">
        <v>185</v>
      </c>
      <c r="I341" s="52">
        <v>1.0</v>
      </c>
      <c r="J341" s="52" t="s">
        <v>190</v>
      </c>
      <c r="K341" s="52">
        <v>3.0</v>
      </c>
      <c r="L341" s="52" t="s">
        <v>201</v>
      </c>
      <c r="M341" s="52">
        <v>2.0</v>
      </c>
      <c r="N341" s="52" t="s">
        <v>149</v>
      </c>
      <c r="O341" s="52" t="s">
        <v>120</v>
      </c>
      <c r="P341" s="52" t="s">
        <v>141</v>
      </c>
      <c r="Q341" s="52" t="s">
        <v>109</v>
      </c>
      <c r="R341" s="52" t="s">
        <v>141</v>
      </c>
      <c r="S341" s="52" t="s">
        <v>109</v>
      </c>
      <c r="T341" s="65" t="s">
        <v>30</v>
      </c>
      <c r="U341" s="32">
        <v>1.0</v>
      </c>
      <c r="V341" s="32">
        <v>1.0</v>
      </c>
      <c r="W341" s="32">
        <v>1.0</v>
      </c>
      <c r="X341" s="32">
        <v>1.0</v>
      </c>
      <c r="Y341" s="32">
        <v>1.0</v>
      </c>
      <c r="Z341" s="32">
        <v>1.0</v>
      </c>
      <c r="AA341" s="32">
        <v>6.0</v>
      </c>
      <c r="AB341" s="32">
        <v>0.0</v>
      </c>
      <c r="AC341" s="103" t="str">
        <f>IFERROR(__xludf.DUMMYFUNCTION("if($C341="""","""",if(join("" - "",{iferror(filter('Student Groupings'!$A:$A,'Student Groupings'!$B:$B=$C341,'Student Groupings'!$H:$H=""Can't be Together""),"""");iferror(filter('Student Groupings'!$A:$A,'Student Groupings'!$E:$E=$C341,'Student Groupings"&amp;"'!$H:$H=""Can't be Together""),"""")})="" - "","""",join("" - "",{iferror(filter('Student Groupings'!$A:$A,'Student Groupings'!$B:$B=$C341,'Student Groupings'!$H:$H=""Can't be Together""),"""");iferror(filter('Student Groupings'!$A:$A,'Student Groupings'!"&amp;"$E:$E=$C341,'Student Groupings'!$H:$H=""Can't be Together""),"""")})))"),"")</f>
        <v/>
      </c>
      <c r="AD341" s="103" t="str">
        <f>IFERROR(__xludf.DUMMYFUNCTION("if($C341="""","""",if(join("" - "",{iferror(filter('Student Groupings'!$A:$A,'Student Groupings'!$B:$B=$C341,'Student Groupings'!$H:$H=""Must be Together""),"""");iferror(filter('Student Groupings'!$A:$A,'Student Groupings'!$E:$E=$C341,'Student Groupings'"&amp;"!$H:$H=""Must be Together""),"""")})="" - "","""",join("" - "",{iferror(filter('Student Groupings'!$A:$A,'Student Groupings'!$B:$B=$C341,'Student Groupings'!$H:$H=""Must be Together""),"""");iferror(filter('Student Groupings'!$A:$A,'Student Groupings'!$E:"&amp;"$E=$C341,'Student Groupings'!$H:$H=""Must be Together""),"""")})))")," - 127")</f>
        <v> - 127</v>
      </c>
      <c r="AE341" s="104"/>
      <c r="AF341" s="104"/>
      <c r="AG341" s="104"/>
      <c r="AH341" s="104"/>
    </row>
    <row r="342">
      <c r="A342" s="101">
        <v>8.0</v>
      </c>
      <c r="B342" s="101">
        <v>29147.0</v>
      </c>
      <c r="C342" s="102" t="s">
        <v>589</v>
      </c>
      <c r="D342" s="52" t="s">
        <v>176</v>
      </c>
      <c r="E342" s="52">
        <v>2.0</v>
      </c>
      <c r="F342" s="52" t="s">
        <v>162</v>
      </c>
      <c r="G342" s="52">
        <v>6.0</v>
      </c>
      <c r="H342" s="52" t="s">
        <v>185</v>
      </c>
      <c r="I342" s="52">
        <v>5.0</v>
      </c>
      <c r="J342" s="52" t="s">
        <v>190</v>
      </c>
      <c r="K342" s="52">
        <v>4.0</v>
      </c>
      <c r="L342" s="52" t="s">
        <v>201</v>
      </c>
      <c r="M342" s="52">
        <v>3.0</v>
      </c>
      <c r="N342" s="52" t="s">
        <v>149</v>
      </c>
      <c r="O342" s="52" t="s">
        <v>108</v>
      </c>
      <c r="P342" s="52" t="s">
        <v>141</v>
      </c>
      <c r="Q342" s="52" t="s">
        <v>129</v>
      </c>
      <c r="R342" s="52" t="s">
        <v>141</v>
      </c>
      <c r="S342" s="52" t="s">
        <v>129</v>
      </c>
      <c r="T342" s="65" t="s">
        <v>8</v>
      </c>
      <c r="U342" s="32">
        <v>1.0</v>
      </c>
      <c r="V342" s="32">
        <v>1.0</v>
      </c>
      <c r="W342" s="32">
        <v>1.0</v>
      </c>
      <c r="X342" s="32">
        <v>1.0</v>
      </c>
      <c r="Y342" s="32">
        <v>1.0</v>
      </c>
      <c r="Z342" s="32">
        <v>1.0</v>
      </c>
      <c r="AA342" s="32">
        <v>6.0</v>
      </c>
      <c r="AB342" s="32">
        <v>0.0</v>
      </c>
      <c r="AC342" s="103" t="str">
        <f>IFERROR(__xludf.DUMMYFUNCTION("if($C342="""","""",if(join("" - "",{iferror(filter('Student Groupings'!$A:$A,'Student Groupings'!$B:$B=$C342,'Student Groupings'!$H:$H=""Can't be Together""),"""");iferror(filter('Student Groupings'!$A:$A,'Student Groupings'!$E:$E=$C342,'Student Groupings"&amp;"'!$H:$H=""Can't be Together""),"""")})="" - "","""",join("" - "",{iferror(filter('Student Groupings'!$A:$A,'Student Groupings'!$B:$B=$C342,'Student Groupings'!$H:$H=""Can't be Together""),"""");iferror(filter('Student Groupings'!$A:$A,'Student Groupings'!"&amp;"$E:$E=$C342,'Student Groupings'!$H:$H=""Can't be Together""),"""")})))"),"")</f>
        <v/>
      </c>
      <c r="AD342" s="103" t="str">
        <f>IFERROR(__xludf.DUMMYFUNCTION("if($C342="""","""",if(join("" - "",{iferror(filter('Student Groupings'!$A:$A,'Student Groupings'!$B:$B=$C342,'Student Groupings'!$H:$H=""Must be Together""),"""");iferror(filter('Student Groupings'!$A:$A,'Student Groupings'!$E:$E=$C342,'Student Groupings'"&amp;"!$H:$H=""Must be Together""),"""")})="" - "","""",join("" - "",{iferror(filter('Student Groupings'!$A:$A,'Student Groupings'!$B:$B=$C342,'Student Groupings'!$H:$H=""Must be Together""),"""");iferror(filter('Student Groupings'!$A:$A,'Student Groupings'!$E:"&amp;"$E=$C342,'Student Groupings'!$H:$H=""Must be Together""),"""")})))"),"")</f>
        <v/>
      </c>
      <c r="AE342" s="104"/>
      <c r="AF342" s="104"/>
      <c r="AG342" s="104"/>
      <c r="AH342" s="104"/>
    </row>
    <row r="343">
      <c r="A343" s="101">
        <v>8.0</v>
      </c>
      <c r="B343" s="101">
        <v>29062.0</v>
      </c>
      <c r="C343" s="102" t="s">
        <v>590</v>
      </c>
      <c r="D343" s="52" t="s">
        <v>176</v>
      </c>
      <c r="E343" s="52">
        <v>6.0</v>
      </c>
      <c r="F343" s="52" t="s">
        <v>167</v>
      </c>
      <c r="G343" s="52">
        <v>4.0</v>
      </c>
      <c r="H343" s="52" t="s">
        <v>185</v>
      </c>
      <c r="I343" s="52">
        <v>3.0</v>
      </c>
      <c r="J343" s="52" t="s">
        <v>190</v>
      </c>
      <c r="K343" s="52">
        <v>5.0</v>
      </c>
      <c r="L343" s="52" t="s">
        <v>201</v>
      </c>
      <c r="M343" s="52">
        <v>1.0</v>
      </c>
      <c r="N343" s="52" t="s">
        <v>149</v>
      </c>
      <c r="O343" s="52" t="s">
        <v>125</v>
      </c>
      <c r="P343" s="52" t="s">
        <v>141</v>
      </c>
      <c r="Q343" s="52" t="s">
        <v>119</v>
      </c>
      <c r="R343" s="52" t="s">
        <v>141</v>
      </c>
      <c r="S343" s="52" t="s">
        <v>119</v>
      </c>
      <c r="T343" s="65" t="s">
        <v>30</v>
      </c>
      <c r="U343" s="32">
        <v>1.0</v>
      </c>
      <c r="V343" s="32">
        <v>1.0</v>
      </c>
      <c r="W343" s="32">
        <v>1.0</v>
      </c>
      <c r="X343" s="32">
        <v>1.0</v>
      </c>
      <c r="Y343" s="32">
        <v>1.0</v>
      </c>
      <c r="Z343" s="32">
        <v>1.0</v>
      </c>
      <c r="AA343" s="32">
        <v>6.0</v>
      </c>
      <c r="AB343" s="32">
        <v>0.0</v>
      </c>
      <c r="AC343" s="103" t="str">
        <f>IFERROR(__xludf.DUMMYFUNCTION("if($C343="""","""",if(join("" - "",{iferror(filter('Student Groupings'!$A:$A,'Student Groupings'!$B:$B=$C343,'Student Groupings'!$H:$H=""Can't be Together""),"""");iferror(filter('Student Groupings'!$A:$A,'Student Groupings'!$E:$E=$C343,'Student Groupings"&amp;"'!$H:$H=""Can't be Together""),"""")})="" - "","""",join("" - "",{iferror(filter('Student Groupings'!$A:$A,'Student Groupings'!$B:$B=$C343,'Student Groupings'!$H:$H=""Can't be Together""),"""");iferror(filter('Student Groupings'!$A:$A,'Student Groupings'!"&amp;"$E:$E=$C343,'Student Groupings'!$H:$H=""Can't be Together""),"""")})))"),"")</f>
        <v/>
      </c>
      <c r="AD343" s="103" t="str">
        <f>IFERROR(__xludf.DUMMYFUNCTION("if($C343="""","""",if(join("" - "",{iferror(filter('Student Groupings'!$A:$A,'Student Groupings'!$B:$B=$C343,'Student Groupings'!$H:$H=""Must be Together""),"""");iferror(filter('Student Groupings'!$A:$A,'Student Groupings'!$E:$E=$C343,'Student Groupings'"&amp;"!$H:$H=""Must be Together""),"""")})="" - "","""",join("" - "",{iferror(filter('Student Groupings'!$A:$A,'Student Groupings'!$B:$B=$C343,'Student Groupings'!$H:$H=""Must be Together""),"""");iferror(filter('Student Groupings'!$A:$A,'Student Groupings'!$E:"&amp;"$E=$C343,'Student Groupings'!$H:$H=""Must be Together""),"""")})))"),"")</f>
        <v/>
      </c>
      <c r="AE343" s="104"/>
      <c r="AF343" s="104"/>
      <c r="AG343" s="104"/>
      <c r="AH343" s="104"/>
    </row>
    <row r="344">
      <c r="A344" s="101">
        <v>8.0</v>
      </c>
      <c r="B344" s="101">
        <v>29064.0</v>
      </c>
      <c r="C344" s="102" t="s">
        <v>591</v>
      </c>
      <c r="D344" s="52" t="s">
        <v>176</v>
      </c>
      <c r="E344" s="52">
        <v>6.0</v>
      </c>
      <c r="F344" s="52" t="s">
        <v>167</v>
      </c>
      <c r="G344" s="52">
        <v>3.0</v>
      </c>
      <c r="H344" s="52" t="s">
        <v>185</v>
      </c>
      <c r="I344" s="52">
        <v>2.0</v>
      </c>
      <c r="J344" s="52" t="s">
        <v>190</v>
      </c>
      <c r="K344" s="52">
        <v>5.0</v>
      </c>
      <c r="L344" s="52" t="s">
        <v>201</v>
      </c>
      <c r="M344" s="52">
        <v>1.0</v>
      </c>
      <c r="N344" s="52" t="s">
        <v>149</v>
      </c>
      <c r="O344" s="52" t="s">
        <v>111</v>
      </c>
      <c r="P344" s="52" t="s">
        <v>135</v>
      </c>
      <c r="Q344" s="52" t="s">
        <v>130</v>
      </c>
      <c r="R344" s="52" t="s">
        <v>118</v>
      </c>
      <c r="S344" s="52" t="s">
        <v>130</v>
      </c>
      <c r="T344" s="65" t="s">
        <v>27</v>
      </c>
      <c r="U344" s="32">
        <v>1.0</v>
      </c>
      <c r="V344" s="32">
        <v>1.0</v>
      </c>
      <c r="W344" s="32">
        <v>1.0</v>
      </c>
      <c r="X344" s="32">
        <v>1.0</v>
      </c>
      <c r="Y344" s="32">
        <v>1.0</v>
      </c>
      <c r="Z344" s="32">
        <v>1.0</v>
      </c>
      <c r="AA344" s="32">
        <v>6.0</v>
      </c>
      <c r="AB344" s="32">
        <v>0.0</v>
      </c>
      <c r="AC344" s="103" t="str">
        <f>IFERROR(__xludf.DUMMYFUNCTION("if($C344="""","""",if(join("" - "",{iferror(filter('Student Groupings'!$A:$A,'Student Groupings'!$B:$B=$C344,'Student Groupings'!$H:$H=""Can't be Together""),"""");iferror(filter('Student Groupings'!$A:$A,'Student Groupings'!$E:$E=$C344,'Student Groupings"&amp;"'!$H:$H=""Can't be Together""),"""")})="" - "","""",join("" - "",{iferror(filter('Student Groupings'!$A:$A,'Student Groupings'!$B:$B=$C344,'Student Groupings'!$H:$H=""Can't be Together""),"""");iferror(filter('Student Groupings'!$A:$A,'Student Groupings'!"&amp;"$E:$E=$C344,'Student Groupings'!$H:$H=""Can't be Together""),"""")})))"),"")</f>
        <v/>
      </c>
      <c r="AD344" s="103" t="str">
        <f>IFERROR(__xludf.DUMMYFUNCTION("if($C344="""","""",if(join("" - "",{iferror(filter('Student Groupings'!$A:$A,'Student Groupings'!$B:$B=$C344,'Student Groupings'!$H:$H=""Must be Together""),"""");iferror(filter('Student Groupings'!$A:$A,'Student Groupings'!$E:$E=$C344,'Student Groupings'"&amp;"!$H:$H=""Must be Together""),"""")})="" - "","""",join("" - "",{iferror(filter('Student Groupings'!$A:$A,'Student Groupings'!$B:$B=$C344,'Student Groupings'!$H:$H=""Must be Together""),"""");iferror(filter('Student Groupings'!$A:$A,'Student Groupings'!$E:"&amp;"$E=$C344,'Student Groupings'!$H:$H=""Must be Together""),"""")})))"),"")</f>
        <v/>
      </c>
      <c r="AE344" s="104"/>
      <c r="AF344" s="104"/>
      <c r="AG344" s="104"/>
      <c r="AH344" s="104"/>
    </row>
    <row r="345">
      <c r="A345" s="101">
        <v>8.0</v>
      </c>
      <c r="B345" s="101">
        <v>29065.0</v>
      </c>
      <c r="C345" s="102" t="s">
        <v>280</v>
      </c>
      <c r="D345" s="52" t="s">
        <v>176</v>
      </c>
      <c r="E345" s="52">
        <v>5.0</v>
      </c>
      <c r="F345" s="52" t="s">
        <v>167</v>
      </c>
      <c r="G345" s="52">
        <v>4.0</v>
      </c>
      <c r="H345" s="52" t="s">
        <v>185</v>
      </c>
      <c r="I345" s="52">
        <v>3.0</v>
      </c>
      <c r="J345" s="52" t="s">
        <v>190</v>
      </c>
      <c r="K345" s="52">
        <v>1.0</v>
      </c>
      <c r="L345" s="52" t="s">
        <v>201</v>
      </c>
      <c r="M345" s="52">
        <v>6.0</v>
      </c>
      <c r="N345" s="52" t="s">
        <v>149</v>
      </c>
      <c r="O345" s="52" t="s">
        <v>125</v>
      </c>
      <c r="P345" s="52" t="s">
        <v>141</v>
      </c>
      <c r="Q345" s="52" t="s">
        <v>119</v>
      </c>
      <c r="R345" s="52" t="s">
        <v>141</v>
      </c>
      <c r="S345" s="52" t="s">
        <v>119</v>
      </c>
      <c r="T345" s="65" t="s">
        <v>30</v>
      </c>
      <c r="U345" s="32">
        <v>1.0</v>
      </c>
      <c r="V345" s="32">
        <v>1.0</v>
      </c>
      <c r="W345" s="32">
        <v>1.0</v>
      </c>
      <c r="X345" s="32">
        <v>1.0</v>
      </c>
      <c r="Y345" s="32">
        <v>1.0</v>
      </c>
      <c r="Z345" s="32">
        <v>1.0</v>
      </c>
      <c r="AA345" s="32">
        <v>6.0</v>
      </c>
      <c r="AB345" s="32">
        <v>0.0</v>
      </c>
      <c r="AC345" s="103" t="str">
        <f>IFERROR(__xludf.DUMMYFUNCTION("if($C345="""","""",if(join("" - "",{iferror(filter('Student Groupings'!$A:$A,'Student Groupings'!$B:$B=$C345,'Student Groupings'!$H:$H=""Can't be Together""),"""");iferror(filter('Student Groupings'!$A:$A,'Student Groupings'!$E:$E=$C345,'Student Groupings"&amp;"'!$H:$H=""Can't be Together""),"""")})="" - "","""",join("" - "",{iferror(filter('Student Groupings'!$A:$A,'Student Groupings'!$B:$B=$C345,'Student Groupings'!$H:$H=""Can't be Together""),"""");iferror(filter('Student Groupings'!$A:$A,'Student Groupings'!"&amp;"$E:$E=$C345,'Student Groupings'!$H:$H=""Can't be Together""),"""")})))"),"98 - 99 - 100 - 101 - 102 - 103 - 77 - 83 - 89 - 95 - 108 - 114")</f>
        <v>98 - 99 - 100 - 101 - 102 - 103 - 77 - 83 - 89 - 95 - 108 - 114</v>
      </c>
      <c r="AD345" s="103" t="str">
        <f>IFERROR(__xludf.DUMMYFUNCTION("if($C345="""","""",if(join("" - "",{iferror(filter('Student Groupings'!$A:$A,'Student Groupings'!$B:$B=$C345,'Student Groupings'!$H:$H=""Must be Together""),"""");iferror(filter('Student Groupings'!$A:$A,'Student Groupings'!$E:$E=$C345,'Student Groupings'"&amp;"!$H:$H=""Must be Together""),"""")})="" - "","""",join("" - "",{iferror(filter('Student Groupings'!$A:$A,'Student Groupings'!$B:$B=$C345,'Student Groupings'!$H:$H=""Must be Together""),"""");iferror(filter('Student Groupings'!$A:$A,'Student Groupings'!$E:"&amp;"$E=$C345,'Student Groupings'!$H:$H=""Must be Together""),"""")})))"),"")</f>
        <v/>
      </c>
      <c r="AE345" s="104"/>
      <c r="AF345" s="104"/>
      <c r="AG345" s="104"/>
      <c r="AH345" s="104"/>
    </row>
    <row r="346">
      <c r="A346" s="101">
        <v>8.0</v>
      </c>
      <c r="B346" s="101">
        <v>29066.0</v>
      </c>
      <c r="C346" s="102" t="s">
        <v>259</v>
      </c>
      <c r="D346" s="52" t="s">
        <v>176</v>
      </c>
      <c r="E346" s="52">
        <v>5.0</v>
      </c>
      <c r="F346" s="52" t="s">
        <v>167</v>
      </c>
      <c r="G346" s="52">
        <v>4.0</v>
      </c>
      <c r="H346" s="52" t="s">
        <v>185</v>
      </c>
      <c r="I346" s="52">
        <v>3.0</v>
      </c>
      <c r="J346" s="52" t="s">
        <v>190</v>
      </c>
      <c r="K346" s="52">
        <v>1.0</v>
      </c>
      <c r="L346" s="52" t="s">
        <v>201</v>
      </c>
      <c r="M346" s="52">
        <v>6.0</v>
      </c>
      <c r="N346" s="52" t="s">
        <v>149</v>
      </c>
      <c r="O346" s="52" t="s">
        <v>125</v>
      </c>
      <c r="P346" s="52" t="s">
        <v>141</v>
      </c>
      <c r="Q346" s="52" t="s">
        <v>119</v>
      </c>
      <c r="R346" s="52" t="s">
        <v>141</v>
      </c>
      <c r="S346" s="52" t="s">
        <v>119</v>
      </c>
      <c r="T346" s="65" t="s">
        <v>30</v>
      </c>
      <c r="U346" s="32">
        <v>1.0</v>
      </c>
      <c r="V346" s="32">
        <v>1.0</v>
      </c>
      <c r="W346" s="32">
        <v>1.0</v>
      </c>
      <c r="X346" s="32">
        <v>1.0</v>
      </c>
      <c r="Y346" s="32">
        <v>1.0</v>
      </c>
      <c r="Z346" s="32">
        <v>1.0</v>
      </c>
      <c r="AA346" s="32">
        <v>6.0</v>
      </c>
      <c r="AB346" s="32">
        <v>0.0</v>
      </c>
      <c r="AC346" s="103" t="str">
        <f>IFERROR(__xludf.DUMMYFUNCTION("if($C346="""","""",if(join("" - "",{iferror(filter('Student Groupings'!$A:$A,'Student Groupings'!$B:$B=$C346,'Student Groupings'!$H:$H=""Can't be Together""),"""");iferror(filter('Student Groupings'!$A:$A,'Student Groupings'!$E:$E=$C346,'Student Groupings"&amp;"'!$H:$H=""Can't be Together""),"""")})="" - "","""",join("" - "",{iferror(filter('Student Groupings'!$A:$A,'Student Groupings'!$B:$B=$C346,'Student Groupings'!$H:$H=""Can't be Together""),"""");iferror(filter('Student Groupings'!$A:$A,'Student Groupings'!"&amp;"$E:$E=$C346,'Student Groupings'!$H:$H=""Can't be Together""),"""")})))"),"")</f>
        <v/>
      </c>
      <c r="AD346" s="103" t="str">
        <f>IFERROR(__xludf.DUMMYFUNCTION("if($C346="""","""",if(join("" - "",{iferror(filter('Student Groupings'!$A:$A,'Student Groupings'!$B:$B=$C346,'Student Groupings'!$H:$H=""Must be Together""),"""");iferror(filter('Student Groupings'!$A:$A,'Student Groupings'!$E:$E=$C346,'Student Groupings'"&amp;"!$H:$H=""Must be Together""),"""")})="" - "","""",join("" - "",{iferror(filter('Student Groupings'!$A:$A,'Student Groupings'!$B:$B=$C346,'Student Groupings'!$H:$H=""Must be Together""),"""");iferror(filter('Student Groupings'!$A:$A,'Student Groupings'!$E:"&amp;"$E=$C346,'Student Groupings'!$H:$H=""Must be Together""),"""")})))")," - 41")</f>
        <v> - 41</v>
      </c>
      <c r="AE346" s="104"/>
      <c r="AF346" s="104"/>
      <c r="AG346" s="104"/>
      <c r="AH346" s="104"/>
    </row>
    <row r="347">
      <c r="A347" s="101">
        <v>8.0</v>
      </c>
      <c r="B347" s="101">
        <v>29068.0</v>
      </c>
      <c r="C347" s="102" t="s">
        <v>269</v>
      </c>
      <c r="D347" s="52" t="s">
        <v>176</v>
      </c>
      <c r="E347" s="52">
        <v>3.0</v>
      </c>
      <c r="F347" s="52" t="s">
        <v>162</v>
      </c>
      <c r="G347" s="52">
        <v>1.0</v>
      </c>
      <c r="H347" s="52" t="s">
        <v>185</v>
      </c>
      <c r="I347" s="52">
        <v>6.0</v>
      </c>
      <c r="J347" s="52" t="s">
        <v>190</v>
      </c>
      <c r="K347" s="52">
        <v>2.0</v>
      </c>
      <c r="L347" s="52" t="s">
        <v>201</v>
      </c>
      <c r="M347" s="52">
        <v>4.0</v>
      </c>
      <c r="N347" s="52" t="s">
        <v>149</v>
      </c>
      <c r="O347" s="52" t="s">
        <v>124</v>
      </c>
      <c r="P347" s="52" t="s">
        <v>141</v>
      </c>
      <c r="Q347" s="52" t="s">
        <v>112</v>
      </c>
      <c r="R347" s="52" t="s">
        <v>141</v>
      </c>
      <c r="S347" s="52" t="s">
        <v>112</v>
      </c>
      <c r="T347" s="65" t="s">
        <v>30</v>
      </c>
      <c r="U347" s="32">
        <v>1.0</v>
      </c>
      <c r="V347" s="32">
        <v>1.0</v>
      </c>
      <c r="W347" s="32">
        <v>1.0</v>
      </c>
      <c r="X347" s="32">
        <v>1.0</v>
      </c>
      <c r="Y347" s="32">
        <v>1.0</v>
      </c>
      <c r="Z347" s="32">
        <v>1.0</v>
      </c>
      <c r="AA347" s="32">
        <v>6.0</v>
      </c>
      <c r="AB347" s="32">
        <v>0.0</v>
      </c>
      <c r="AC347" s="103" t="str">
        <f>IFERROR(__xludf.DUMMYFUNCTION("if($C347="""","""",if(join("" - "",{iferror(filter('Student Groupings'!$A:$A,'Student Groupings'!$B:$B=$C347,'Student Groupings'!$H:$H=""Can't be Together""),"""");iferror(filter('Student Groupings'!$A:$A,'Student Groupings'!$E:$E=$C347,'Student Groupings"&amp;"'!$H:$H=""Can't be Together""),"""")})="" - "","""",join("" - "",{iferror(filter('Student Groupings'!$A:$A,'Student Groupings'!$B:$B=$C347,'Student Groupings'!$H:$H=""Can't be Together""),"""");iferror(filter('Student Groupings'!$A:$A,'Student Groupings'!"&amp;"$E:$E=$C347,'Student Groupings'!$H:$H=""Can't be Together""),"""")})))"),"110 - 111 - 112 - 113 - 114 - 115 - 50 - 79 - 85 - 91 - 97 - 103 - 109")</f>
        <v>110 - 111 - 112 - 113 - 114 - 115 - 50 - 79 - 85 - 91 - 97 - 103 - 109</v>
      </c>
      <c r="AD347" s="103" t="str">
        <f>IFERROR(__xludf.DUMMYFUNCTION("if($C347="""","""",if(join("" - "",{iferror(filter('Student Groupings'!$A:$A,'Student Groupings'!$B:$B=$C347,'Student Groupings'!$H:$H=""Must be Together""),"""");iferror(filter('Student Groupings'!$A:$A,'Student Groupings'!$E:$E=$C347,'Student Groupings'"&amp;"!$H:$H=""Must be Together""),"""")})="" - "","""",join("" - "",{iferror(filter('Student Groupings'!$A:$A,'Student Groupings'!$B:$B=$C347,'Student Groupings'!$H:$H=""Must be Together""),"""");iferror(filter('Student Groupings'!$A:$A,'Student Groupings'!$E:"&amp;"$E=$C347,'Student Groupings'!$H:$H=""Must be Together""),"""")})))"),"")</f>
        <v/>
      </c>
      <c r="AE347" s="105"/>
      <c r="AF347" s="105">
        <v>1.0</v>
      </c>
      <c r="AG347" s="105">
        <v>1.0</v>
      </c>
      <c r="AH347" s="105">
        <v>1.0</v>
      </c>
    </row>
    <row r="348">
      <c r="A348" s="101">
        <v>8.0</v>
      </c>
      <c r="B348" s="101">
        <v>29069.0</v>
      </c>
      <c r="C348" s="102" t="s">
        <v>592</v>
      </c>
      <c r="D348" s="52" t="s">
        <v>176</v>
      </c>
      <c r="E348" s="52">
        <v>3.0</v>
      </c>
      <c r="F348" s="52" t="s">
        <v>167</v>
      </c>
      <c r="G348" s="52">
        <v>5.0</v>
      </c>
      <c r="H348" s="52" t="s">
        <v>185</v>
      </c>
      <c r="I348" s="52">
        <v>6.0</v>
      </c>
      <c r="J348" s="52" t="s">
        <v>190</v>
      </c>
      <c r="K348" s="52">
        <v>2.0</v>
      </c>
      <c r="L348" s="52" t="s">
        <v>201</v>
      </c>
      <c r="M348" s="52">
        <v>4.0</v>
      </c>
      <c r="N348" s="52" t="s">
        <v>149</v>
      </c>
      <c r="O348" s="52" t="s">
        <v>108</v>
      </c>
      <c r="P348" s="52" t="s">
        <v>141</v>
      </c>
      <c r="Q348" s="52" t="s">
        <v>129</v>
      </c>
      <c r="R348" s="52" t="s">
        <v>141</v>
      </c>
      <c r="S348" s="52" t="s">
        <v>129</v>
      </c>
      <c r="T348" s="65" t="s">
        <v>30</v>
      </c>
      <c r="U348" s="32">
        <v>1.0</v>
      </c>
      <c r="V348" s="32">
        <v>1.0</v>
      </c>
      <c r="W348" s="32">
        <v>1.0</v>
      </c>
      <c r="X348" s="32">
        <v>1.0</v>
      </c>
      <c r="Y348" s="32">
        <v>1.0</v>
      </c>
      <c r="Z348" s="32">
        <v>1.0</v>
      </c>
      <c r="AA348" s="32">
        <v>6.0</v>
      </c>
      <c r="AB348" s="32">
        <v>0.0</v>
      </c>
      <c r="AC348" s="103" t="str">
        <f>IFERROR(__xludf.DUMMYFUNCTION("if($C348="""","""",if(join("" - "",{iferror(filter('Student Groupings'!$A:$A,'Student Groupings'!$B:$B=$C348,'Student Groupings'!$H:$H=""Can't be Together""),"""");iferror(filter('Student Groupings'!$A:$A,'Student Groupings'!$E:$E=$C348,'Student Groupings"&amp;"'!$H:$H=""Can't be Together""),"""")})="" - "","""",join("" - "",{iferror(filter('Student Groupings'!$A:$A,'Student Groupings'!$B:$B=$C348,'Student Groupings'!$H:$H=""Can't be Together""),"""");iferror(filter('Student Groupings'!$A:$A,'Student Groupings'!"&amp;"$E:$E=$C348,'Student Groupings'!$H:$H=""Can't be Together""),"""")})))"),"")</f>
        <v/>
      </c>
      <c r="AD348" s="103" t="str">
        <f>IFERROR(__xludf.DUMMYFUNCTION("if($C348="""","""",if(join("" - "",{iferror(filter('Student Groupings'!$A:$A,'Student Groupings'!$B:$B=$C348,'Student Groupings'!$H:$H=""Must be Together""),"""");iferror(filter('Student Groupings'!$A:$A,'Student Groupings'!$E:$E=$C348,'Student Groupings'"&amp;"!$H:$H=""Must be Together""),"""")})="" - "","""",join("" - "",{iferror(filter('Student Groupings'!$A:$A,'Student Groupings'!$B:$B=$C348,'Student Groupings'!$H:$H=""Must be Together""),"""");iferror(filter('Student Groupings'!$A:$A,'Student Groupings'!$E:"&amp;"$E=$C348,'Student Groupings'!$H:$H=""Must be Together""),"""")})))"),"")</f>
        <v/>
      </c>
      <c r="AE348" s="104"/>
      <c r="AF348" s="104"/>
      <c r="AG348" s="104"/>
      <c r="AH348" s="105">
        <v>1.0</v>
      </c>
    </row>
    <row r="349">
      <c r="A349" s="101">
        <v>8.0</v>
      </c>
      <c r="B349" s="101">
        <v>29070.0</v>
      </c>
      <c r="C349" s="102" t="s">
        <v>593</v>
      </c>
      <c r="D349" s="52" t="s">
        <v>176</v>
      </c>
      <c r="E349" s="52">
        <v>6.0</v>
      </c>
      <c r="F349" s="52" t="s">
        <v>167</v>
      </c>
      <c r="G349" s="52">
        <v>3.0</v>
      </c>
      <c r="H349" s="52" t="s">
        <v>185</v>
      </c>
      <c r="I349" s="52">
        <v>2.0</v>
      </c>
      <c r="J349" s="52" t="s">
        <v>190</v>
      </c>
      <c r="K349" s="52">
        <v>5.0</v>
      </c>
      <c r="L349" s="52" t="s">
        <v>201</v>
      </c>
      <c r="M349" s="52">
        <v>1.0</v>
      </c>
      <c r="N349" s="52" t="s">
        <v>149</v>
      </c>
      <c r="O349" s="52" t="s">
        <v>111</v>
      </c>
      <c r="P349" s="52" t="s">
        <v>135</v>
      </c>
      <c r="Q349" s="52" t="s">
        <v>130</v>
      </c>
      <c r="R349" s="52" t="s">
        <v>118</v>
      </c>
      <c r="S349" s="52" t="s">
        <v>130</v>
      </c>
      <c r="T349" s="65" t="s">
        <v>27</v>
      </c>
      <c r="U349" s="32">
        <v>1.0</v>
      </c>
      <c r="V349" s="32">
        <v>1.0</v>
      </c>
      <c r="W349" s="32">
        <v>1.0</v>
      </c>
      <c r="X349" s="32">
        <v>1.0</v>
      </c>
      <c r="Y349" s="32">
        <v>1.0</v>
      </c>
      <c r="Z349" s="32">
        <v>1.0</v>
      </c>
      <c r="AA349" s="32">
        <v>6.0</v>
      </c>
      <c r="AB349" s="32">
        <v>0.0</v>
      </c>
      <c r="AC349" s="103" t="str">
        <f>IFERROR(__xludf.DUMMYFUNCTION("if($C349="""","""",if(join("" - "",{iferror(filter('Student Groupings'!$A:$A,'Student Groupings'!$B:$B=$C349,'Student Groupings'!$H:$H=""Can't be Together""),"""");iferror(filter('Student Groupings'!$A:$A,'Student Groupings'!$E:$E=$C349,'Student Groupings"&amp;"'!$H:$H=""Can't be Together""),"""")})="" - "","""",join("" - "",{iferror(filter('Student Groupings'!$A:$A,'Student Groupings'!$B:$B=$C349,'Student Groupings'!$H:$H=""Can't be Together""),"""");iferror(filter('Student Groupings'!$A:$A,'Student Groupings'!"&amp;"$E:$E=$C349,'Student Groupings'!$H:$H=""Can't be Together""),"""")})))"),"")</f>
        <v/>
      </c>
      <c r="AD349" s="103" t="str">
        <f>IFERROR(__xludf.DUMMYFUNCTION("if($C349="""","""",if(join("" - "",{iferror(filter('Student Groupings'!$A:$A,'Student Groupings'!$B:$B=$C349,'Student Groupings'!$H:$H=""Must be Together""),"""");iferror(filter('Student Groupings'!$A:$A,'Student Groupings'!$E:$E=$C349,'Student Groupings'"&amp;"!$H:$H=""Must be Together""),"""")})="" - "","""",join("" - "",{iferror(filter('Student Groupings'!$A:$A,'Student Groupings'!$B:$B=$C349,'Student Groupings'!$H:$H=""Must be Together""),"""");iferror(filter('Student Groupings'!$A:$A,'Student Groupings'!$E:"&amp;"$E=$C349,'Student Groupings'!$H:$H=""Must be Together""),"""")})))"),"")</f>
        <v/>
      </c>
      <c r="AE349" s="104"/>
      <c r="AF349" s="104"/>
      <c r="AG349" s="104"/>
      <c r="AH349" s="104"/>
    </row>
    <row r="350">
      <c r="A350" s="101">
        <v>8.0</v>
      </c>
      <c r="B350" s="101">
        <v>29071.0</v>
      </c>
      <c r="C350" s="102" t="s">
        <v>594</v>
      </c>
      <c r="D350" s="52" t="s">
        <v>176</v>
      </c>
      <c r="E350" s="52">
        <v>5.0</v>
      </c>
      <c r="F350" s="52" t="s">
        <v>167</v>
      </c>
      <c r="G350" s="52">
        <v>3.0</v>
      </c>
      <c r="H350" s="52" t="s">
        <v>185</v>
      </c>
      <c r="I350" s="52">
        <v>2.0</v>
      </c>
      <c r="J350" s="52" t="s">
        <v>190</v>
      </c>
      <c r="K350" s="52">
        <v>1.0</v>
      </c>
      <c r="L350" s="52" t="s">
        <v>201</v>
      </c>
      <c r="M350" s="52">
        <v>6.0</v>
      </c>
      <c r="N350" s="52" t="s">
        <v>149</v>
      </c>
      <c r="O350" s="52" t="s">
        <v>111</v>
      </c>
      <c r="P350" s="52" t="s">
        <v>135</v>
      </c>
      <c r="Q350" s="52" t="s">
        <v>130</v>
      </c>
      <c r="R350" s="52" t="s">
        <v>118</v>
      </c>
      <c r="S350" s="52" t="s">
        <v>130</v>
      </c>
      <c r="T350" s="65" t="s">
        <v>8</v>
      </c>
      <c r="U350" s="32">
        <v>1.0</v>
      </c>
      <c r="V350" s="32">
        <v>1.0</v>
      </c>
      <c r="W350" s="32">
        <v>1.0</v>
      </c>
      <c r="X350" s="32">
        <v>1.0</v>
      </c>
      <c r="Y350" s="32">
        <v>1.0</v>
      </c>
      <c r="Z350" s="32">
        <v>1.0</v>
      </c>
      <c r="AA350" s="32">
        <v>6.0</v>
      </c>
      <c r="AB350" s="32">
        <v>0.0</v>
      </c>
      <c r="AC350" s="103" t="str">
        <f>IFERROR(__xludf.DUMMYFUNCTION("if($C350="""","""",if(join("" - "",{iferror(filter('Student Groupings'!$A:$A,'Student Groupings'!$B:$B=$C350,'Student Groupings'!$H:$H=""Can't be Together""),"""");iferror(filter('Student Groupings'!$A:$A,'Student Groupings'!$E:$E=$C350,'Student Groupings"&amp;"'!$H:$H=""Can't be Together""),"""")})="" - "","""",join("" - "",{iferror(filter('Student Groupings'!$A:$A,'Student Groupings'!$B:$B=$C350,'Student Groupings'!$H:$H=""Can't be Together""),"""");iferror(filter('Student Groupings'!$A:$A,'Student Groupings'!"&amp;"$E:$E=$C350,'Student Groupings'!$H:$H=""Can't be Together""),"""")})))"),"")</f>
        <v/>
      </c>
      <c r="AD350" s="103" t="str">
        <f>IFERROR(__xludf.DUMMYFUNCTION("if($C350="""","""",if(join("" - "",{iferror(filter('Student Groupings'!$A:$A,'Student Groupings'!$B:$B=$C350,'Student Groupings'!$H:$H=""Must be Together""),"""");iferror(filter('Student Groupings'!$A:$A,'Student Groupings'!$E:$E=$C350,'Student Groupings'"&amp;"!$H:$H=""Must be Together""),"""")})="" - "","""",join("" - "",{iferror(filter('Student Groupings'!$A:$A,'Student Groupings'!$B:$B=$C350,'Student Groupings'!$H:$H=""Must be Together""),"""");iferror(filter('Student Groupings'!$A:$A,'Student Groupings'!$E:"&amp;"$E=$C350,'Student Groupings'!$H:$H=""Must be Together""),"""")})))"),"")</f>
        <v/>
      </c>
      <c r="AE350" s="104"/>
      <c r="AF350" s="104"/>
      <c r="AG350" s="104"/>
      <c r="AH350" s="104"/>
    </row>
    <row r="351">
      <c r="A351" s="101">
        <v>8.0</v>
      </c>
      <c r="B351" s="101">
        <v>29072.0</v>
      </c>
      <c r="C351" s="102" t="s">
        <v>287</v>
      </c>
      <c r="D351" s="52" t="s">
        <v>176</v>
      </c>
      <c r="E351" s="52">
        <v>5.0</v>
      </c>
      <c r="F351" s="52" t="s">
        <v>167</v>
      </c>
      <c r="G351" s="52">
        <v>4.0</v>
      </c>
      <c r="H351" s="52" t="s">
        <v>185</v>
      </c>
      <c r="I351" s="101">
        <v>3.0</v>
      </c>
      <c r="J351" s="52" t="s">
        <v>190</v>
      </c>
      <c r="K351" s="101">
        <v>1.0</v>
      </c>
      <c r="L351" s="52" t="s">
        <v>201</v>
      </c>
      <c r="M351" s="101">
        <v>6.0</v>
      </c>
      <c r="N351" s="52" t="s">
        <v>149</v>
      </c>
      <c r="O351" s="52" t="s">
        <v>125</v>
      </c>
      <c r="P351" s="52" t="s">
        <v>141</v>
      </c>
      <c r="Q351" s="52" t="s">
        <v>119</v>
      </c>
      <c r="R351" s="52" t="s">
        <v>141</v>
      </c>
      <c r="S351" s="52" t="s">
        <v>119</v>
      </c>
      <c r="T351" s="65" t="s">
        <v>30</v>
      </c>
      <c r="U351" s="32">
        <v>1.0</v>
      </c>
      <c r="V351" s="32">
        <v>1.0</v>
      </c>
      <c r="W351" s="32">
        <v>1.0</v>
      </c>
      <c r="X351" s="32">
        <v>1.0</v>
      </c>
      <c r="Y351" s="32">
        <v>1.0</v>
      </c>
      <c r="Z351" s="32">
        <v>1.0</v>
      </c>
      <c r="AA351" s="32">
        <v>6.0</v>
      </c>
      <c r="AB351" s="32">
        <v>0.0</v>
      </c>
      <c r="AC351" s="103" t="str">
        <f>IFERROR(__xludf.DUMMYFUNCTION("if($C351="""","""",if(join("" - "",{iferror(filter('Student Groupings'!$A:$A,'Student Groupings'!$B:$B=$C351,'Student Groupings'!$H:$H=""Can't be Together""),"""");iferror(filter('Student Groupings'!$A:$A,'Student Groupings'!$E:$E=$C351,'Student Groupings"&amp;"'!$H:$H=""Can't be Together""),"""")})="" - "","""",join("" - "",{iferror(filter('Student Groupings'!$A:$A,'Student Groupings'!$B:$B=$C351,'Student Groupings'!$H:$H=""Can't be Together""),"""");iferror(filter('Student Groupings'!$A:$A,'Student Groupings'!"&amp;"$E:$E=$C351,'Student Groupings'!$H:$H=""Can't be Together""),"""")})))"),"")</f>
        <v/>
      </c>
      <c r="AD351" s="103" t="str">
        <f>IFERROR(__xludf.DUMMYFUNCTION("if($C351="""","""",if(join("" - "",{iferror(filter('Student Groupings'!$A:$A,'Student Groupings'!$B:$B=$C351,'Student Groupings'!$H:$H=""Must be Together""),"""");iferror(filter('Student Groupings'!$A:$A,'Student Groupings'!$E:$E=$C351,'Student Groupings'"&amp;"!$H:$H=""Must be Together""),"""")})="" - "","""",join("" - "",{iferror(filter('Student Groupings'!$A:$A,'Student Groupings'!$B:$B=$C351,'Student Groupings'!$H:$H=""Must be Together""),"""");iferror(filter('Student Groupings'!$A:$A,'Student Groupings'!$E:"&amp;"$E=$C351,'Student Groupings'!$H:$H=""Must be Together""),"""")})))"),"120 - ")</f>
        <v>120 - </v>
      </c>
      <c r="AE351" s="104"/>
      <c r="AF351" s="104"/>
      <c r="AG351" s="105"/>
      <c r="AH351" s="105"/>
    </row>
    <row r="352">
      <c r="A352" s="101">
        <v>8.0</v>
      </c>
      <c r="B352" s="101">
        <v>29073.0</v>
      </c>
      <c r="C352" s="102" t="s">
        <v>297</v>
      </c>
      <c r="D352" s="52" t="s">
        <v>176</v>
      </c>
      <c r="E352" s="52">
        <v>4.0</v>
      </c>
      <c r="F352" s="52" t="s">
        <v>167</v>
      </c>
      <c r="G352" s="52">
        <v>5.0</v>
      </c>
      <c r="H352" s="52" t="s">
        <v>185</v>
      </c>
      <c r="I352" s="52">
        <v>1.0</v>
      </c>
      <c r="J352" s="52" t="s">
        <v>190</v>
      </c>
      <c r="K352" s="52">
        <v>3.0</v>
      </c>
      <c r="L352" s="52" t="s">
        <v>201</v>
      </c>
      <c r="M352" s="52">
        <v>2.0</v>
      </c>
      <c r="N352" s="52" t="s">
        <v>149</v>
      </c>
      <c r="O352" s="52" t="s">
        <v>120</v>
      </c>
      <c r="P352" s="52" t="s">
        <v>141</v>
      </c>
      <c r="Q352" s="52" t="s">
        <v>109</v>
      </c>
      <c r="R352" s="52" t="s">
        <v>141</v>
      </c>
      <c r="S352" s="52" t="s">
        <v>109</v>
      </c>
      <c r="T352" s="65" t="s">
        <v>30</v>
      </c>
      <c r="U352" s="32">
        <v>1.0</v>
      </c>
      <c r="V352" s="32">
        <v>1.0</v>
      </c>
      <c r="W352" s="32">
        <v>1.0</v>
      </c>
      <c r="X352" s="32">
        <v>1.0</v>
      </c>
      <c r="Y352" s="32">
        <v>1.0</v>
      </c>
      <c r="Z352" s="32">
        <v>1.0</v>
      </c>
      <c r="AA352" s="32">
        <v>6.0</v>
      </c>
      <c r="AB352" s="32">
        <v>0.0</v>
      </c>
      <c r="AC352" s="103" t="str">
        <f>IFERROR(__xludf.DUMMYFUNCTION("if($C352="""","""",if(join("" - "",{iferror(filter('Student Groupings'!$A:$A,'Student Groupings'!$B:$B=$C352,'Student Groupings'!$H:$H=""Can't be Together""),"""");iferror(filter('Student Groupings'!$A:$A,'Student Groupings'!$E:$E=$C352,'Student Groupings"&amp;"'!$H:$H=""Can't be Together""),"""")})="" - "","""",join("" - "",{iferror(filter('Student Groupings'!$A:$A,'Student Groupings'!$B:$B=$C352,'Student Groupings'!$H:$H=""Can't be Together""),"""");iferror(filter('Student Groupings'!$A:$A,'Student Groupings'!"&amp;"$E:$E=$C352,'Student Groupings'!$H:$H=""Can't be Together""),"""")})))"),"")</f>
        <v/>
      </c>
      <c r="AD352" s="103" t="str">
        <f>IFERROR(__xludf.DUMMYFUNCTION("if($C352="""","""",if(join("" - "",{iferror(filter('Student Groupings'!$A:$A,'Student Groupings'!$B:$B=$C352,'Student Groupings'!$H:$H=""Must be Together""),"""");iferror(filter('Student Groupings'!$A:$A,'Student Groupings'!$E:$E=$C352,'Student Groupings'"&amp;"!$H:$H=""Must be Together""),"""")})="" - "","""",join("" - "",{iferror(filter('Student Groupings'!$A:$A,'Student Groupings'!$B:$B=$C352,'Student Groupings'!$H:$H=""Must be Together""),"""");iferror(filter('Student Groupings'!$A:$A,'Student Groupings'!$E:"&amp;"$E=$C352,'Student Groupings'!$H:$H=""Must be Together""),"""")})))")," - 126")</f>
        <v> - 126</v>
      </c>
      <c r="AE352" s="104"/>
      <c r="AF352" s="104"/>
      <c r="AG352" s="104"/>
      <c r="AH352" s="104"/>
    </row>
    <row r="353">
      <c r="A353" s="101">
        <v>8.0</v>
      </c>
      <c r="B353" s="101">
        <v>29074.0</v>
      </c>
      <c r="C353" s="102" t="s">
        <v>258</v>
      </c>
      <c r="D353" s="52" t="s">
        <v>176</v>
      </c>
      <c r="E353" s="52">
        <v>5.0</v>
      </c>
      <c r="F353" s="52" t="s">
        <v>167</v>
      </c>
      <c r="G353" s="52">
        <v>4.0</v>
      </c>
      <c r="H353" s="52" t="s">
        <v>185</v>
      </c>
      <c r="I353" s="52">
        <v>3.0</v>
      </c>
      <c r="J353" s="52" t="s">
        <v>190</v>
      </c>
      <c r="K353" s="52">
        <v>1.0</v>
      </c>
      <c r="L353" s="52" t="s">
        <v>201</v>
      </c>
      <c r="M353" s="52">
        <v>6.0</v>
      </c>
      <c r="N353" s="52" t="s">
        <v>149</v>
      </c>
      <c r="O353" s="52" t="s">
        <v>125</v>
      </c>
      <c r="P353" s="52" t="s">
        <v>141</v>
      </c>
      <c r="Q353" s="52" t="s">
        <v>119</v>
      </c>
      <c r="R353" s="52" t="s">
        <v>141</v>
      </c>
      <c r="S353" s="52" t="s">
        <v>119</v>
      </c>
      <c r="T353" s="65" t="s">
        <v>30</v>
      </c>
      <c r="U353" s="32">
        <v>1.0</v>
      </c>
      <c r="V353" s="32">
        <v>1.0</v>
      </c>
      <c r="W353" s="32">
        <v>1.0</v>
      </c>
      <c r="X353" s="32">
        <v>1.0</v>
      </c>
      <c r="Y353" s="32">
        <v>1.0</v>
      </c>
      <c r="Z353" s="32">
        <v>1.0</v>
      </c>
      <c r="AA353" s="32">
        <v>6.0</v>
      </c>
      <c r="AB353" s="32">
        <v>0.0</v>
      </c>
      <c r="AC353" s="103" t="str">
        <f>IFERROR(__xludf.DUMMYFUNCTION("if($C353="""","""",if(join("" - "",{iferror(filter('Student Groupings'!$A:$A,'Student Groupings'!$B:$B=$C353,'Student Groupings'!$H:$H=""Can't be Together""),"""");iferror(filter('Student Groupings'!$A:$A,'Student Groupings'!$E:$E=$C353,'Student Groupings"&amp;"'!$H:$H=""Can't be Together""),"""")})="" - "","""",join("" - "",{iferror(filter('Student Groupings'!$A:$A,'Student Groupings'!$B:$B=$C353,'Student Groupings'!$H:$H=""Can't be Together""),"""");iferror(filter('Student Groupings'!$A:$A,'Student Groupings'!"&amp;"$E:$E=$C353,'Student Groupings'!$H:$H=""Can't be Together""),"""")})))"),"")</f>
        <v/>
      </c>
      <c r="AD353" s="103" t="str">
        <f>IFERROR(__xludf.DUMMYFUNCTION("if($C353="""","""",if(join("" - "",{iferror(filter('Student Groupings'!$A:$A,'Student Groupings'!$B:$B=$C353,'Student Groupings'!$H:$H=""Must be Together""),"""");iferror(filter('Student Groupings'!$A:$A,'Student Groupings'!$E:$E=$C353,'Student Groupings'"&amp;"!$H:$H=""Must be Together""),"""")})="" - "","""",join("" - "",{iferror(filter('Student Groupings'!$A:$A,'Student Groupings'!$B:$B=$C353,'Student Groupings'!$H:$H=""Must be Together""),"""");iferror(filter('Student Groupings'!$A:$A,'Student Groupings'!$E:"&amp;"$E=$C353,'Student Groupings'!$H:$H=""Must be Together""),"""")})))")," - 40")</f>
        <v> - 40</v>
      </c>
      <c r="AE353" s="104"/>
      <c r="AF353" s="104"/>
      <c r="AG353" s="104"/>
      <c r="AH353" s="104"/>
    </row>
    <row r="354">
      <c r="A354" s="101">
        <v>8.0</v>
      </c>
      <c r="B354" s="101">
        <v>29075.0</v>
      </c>
      <c r="C354" s="102" t="s">
        <v>595</v>
      </c>
      <c r="D354" s="52" t="s">
        <v>176</v>
      </c>
      <c r="E354" s="52">
        <v>6.0</v>
      </c>
      <c r="F354" s="52" t="s">
        <v>167</v>
      </c>
      <c r="G354" s="52">
        <v>3.0</v>
      </c>
      <c r="H354" s="52" t="s">
        <v>185</v>
      </c>
      <c r="I354" s="52">
        <v>2.0</v>
      </c>
      <c r="J354" s="52" t="s">
        <v>190</v>
      </c>
      <c r="K354" s="52">
        <v>5.0</v>
      </c>
      <c r="L354" s="52" t="s">
        <v>201</v>
      </c>
      <c r="M354" s="52">
        <v>1.0</v>
      </c>
      <c r="N354" s="52" t="s">
        <v>149</v>
      </c>
      <c r="O354" s="52" t="s">
        <v>111</v>
      </c>
      <c r="P354" s="52" t="s">
        <v>135</v>
      </c>
      <c r="Q354" s="52" t="s">
        <v>130</v>
      </c>
      <c r="R354" s="52" t="s">
        <v>118</v>
      </c>
      <c r="S354" s="52" t="s">
        <v>130</v>
      </c>
      <c r="T354" s="65" t="s">
        <v>27</v>
      </c>
      <c r="U354" s="32">
        <v>1.0</v>
      </c>
      <c r="V354" s="32">
        <v>1.0</v>
      </c>
      <c r="W354" s="32">
        <v>1.0</v>
      </c>
      <c r="X354" s="32">
        <v>1.0</v>
      </c>
      <c r="Y354" s="32">
        <v>1.0</v>
      </c>
      <c r="Z354" s="32">
        <v>1.0</v>
      </c>
      <c r="AA354" s="32">
        <v>6.0</v>
      </c>
      <c r="AB354" s="32">
        <v>0.0</v>
      </c>
      <c r="AC354" s="103" t="str">
        <f>IFERROR(__xludf.DUMMYFUNCTION("if($C354="""","""",if(join("" - "",{iferror(filter('Student Groupings'!$A:$A,'Student Groupings'!$B:$B=$C354,'Student Groupings'!$H:$H=""Can't be Together""),"""");iferror(filter('Student Groupings'!$A:$A,'Student Groupings'!$E:$E=$C354,'Student Groupings"&amp;"'!$H:$H=""Can't be Together""),"""")})="" - "","""",join("" - "",{iferror(filter('Student Groupings'!$A:$A,'Student Groupings'!$B:$B=$C354,'Student Groupings'!$H:$H=""Can't be Together""),"""");iferror(filter('Student Groupings'!$A:$A,'Student Groupings'!"&amp;"$E:$E=$C354,'Student Groupings'!$H:$H=""Can't be Together""),"""")})))"),"")</f>
        <v/>
      </c>
      <c r="AD354" s="103" t="str">
        <f>IFERROR(__xludf.DUMMYFUNCTION("if($C354="""","""",if(join("" - "",{iferror(filter('Student Groupings'!$A:$A,'Student Groupings'!$B:$B=$C354,'Student Groupings'!$H:$H=""Must be Together""),"""");iferror(filter('Student Groupings'!$A:$A,'Student Groupings'!$E:$E=$C354,'Student Groupings'"&amp;"!$H:$H=""Must be Together""),"""")})="" - "","""",join("" - "",{iferror(filter('Student Groupings'!$A:$A,'Student Groupings'!$B:$B=$C354,'Student Groupings'!$H:$H=""Must be Together""),"""");iferror(filter('Student Groupings'!$A:$A,'Student Groupings'!$E:"&amp;"$E=$C354,'Student Groupings'!$H:$H=""Must be Together""),"""")})))"),"")</f>
        <v/>
      </c>
      <c r="AE354" s="104"/>
      <c r="AF354" s="104"/>
      <c r="AG354" s="104"/>
      <c r="AH354" s="104"/>
    </row>
    <row r="355">
      <c r="A355" s="101">
        <v>8.0</v>
      </c>
      <c r="B355" s="101">
        <v>29076.0</v>
      </c>
      <c r="C355" s="102" t="s">
        <v>596</v>
      </c>
      <c r="D355" s="52" t="s">
        <v>176</v>
      </c>
      <c r="E355" s="52">
        <v>2.0</v>
      </c>
      <c r="F355" s="52" t="s">
        <v>162</v>
      </c>
      <c r="G355" s="52">
        <v>6.0</v>
      </c>
      <c r="H355" s="52" t="s">
        <v>185</v>
      </c>
      <c r="I355" s="52">
        <v>1.0</v>
      </c>
      <c r="J355" s="52" t="s">
        <v>190</v>
      </c>
      <c r="K355" s="52">
        <v>4.0</v>
      </c>
      <c r="L355" s="52" t="s">
        <v>201</v>
      </c>
      <c r="M355" s="52">
        <v>3.0</v>
      </c>
      <c r="N355" s="52" t="s">
        <v>149</v>
      </c>
      <c r="O355" s="52" t="s">
        <v>112</v>
      </c>
      <c r="P355" s="52" t="s">
        <v>135</v>
      </c>
      <c r="Q355" s="52" t="s">
        <v>124</v>
      </c>
      <c r="R355" s="52" t="s">
        <v>118</v>
      </c>
      <c r="S355" s="52" t="s">
        <v>124</v>
      </c>
      <c r="T355" s="65" t="s">
        <v>27</v>
      </c>
      <c r="U355" s="32">
        <v>1.0</v>
      </c>
      <c r="V355" s="32">
        <v>1.0</v>
      </c>
      <c r="W355" s="32">
        <v>1.0</v>
      </c>
      <c r="X355" s="32">
        <v>1.0</v>
      </c>
      <c r="Y355" s="32">
        <v>1.0</v>
      </c>
      <c r="Z355" s="32">
        <v>1.0</v>
      </c>
      <c r="AA355" s="32">
        <v>6.0</v>
      </c>
      <c r="AB355" s="32">
        <v>0.0</v>
      </c>
      <c r="AC355" s="103" t="str">
        <f>IFERROR(__xludf.DUMMYFUNCTION("if($C355="""","""",if(join("" - "",{iferror(filter('Student Groupings'!$A:$A,'Student Groupings'!$B:$B=$C355,'Student Groupings'!$H:$H=""Can't be Together""),"""");iferror(filter('Student Groupings'!$A:$A,'Student Groupings'!$E:$E=$C355,'Student Groupings"&amp;"'!$H:$H=""Can't be Together""),"""")})="" - "","""",join("" - "",{iferror(filter('Student Groupings'!$A:$A,'Student Groupings'!$B:$B=$C355,'Student Groupings'!$H:$H=""Can't be Together""),"""");iferror(filter('Student Groupings'!$A:$A,'Student Groupings'!"&amp;"$E:$E=$C355,'Student Groupings'!$H:$H=""Can't be Together""),"""")})))"),"")</f>
        <v/>
      </c>
      <c r="AD355" s="103" t="str">
        <f>IFERROR(__xludf.DUMMYFUNCTION("if($C355="""","""",if(join("" - "",{iferror(filter('Student Groupings'!$A:$A,'Student Groupings'!$B:$B=$C355,'Student Groupings'!$H:$H=""Must be Together""),"""");iferror(filter('Student Groupings'!$A:$A,'Student Groupings'!$E:$E=$C355,'Student Groupings'"&amp;"!$H:$H=""Must be Together""),"""")})="" - "","""",join("" - "",{iferror(filter('Student Groupings'!$A:$A,'Student Groupings'!$B:$B=$C355,'Student Groupings'!$H:$H=""Must be Together""),"""");iferror(filter('Student Groupings'!$A:$A,'Student Groupings'!$E:"&amp;"$E=$C355,'Student Groupings'!$H:$H=""Must be Together""),"""")})))"),"")</f>
        <v/>
      </c>
      <c r="AE355" s="104"/>
      <c r="AF355" s="104"/>
      <c r="AG355" s="104"/>
      <c r="AH355" s="104"/>
    </row>
    <row r="356">
      <c r="A356" s="101">
        <v>8.0</v>
      </c>
      <c r="B356" s="101">
        <v>29077.0</v>
      </c>
      <c r="C356" s="102" t="s">
        <v>597</v>
      </c>
      <c r="D356" s="52" t="s">
        <v>176</v>
      </c>
      <c r="E356" s="52">
        <v>6.0</v>
      </c>
      <c r="F356" s="52" t="s">
        <v>167</v>
      </c>
      <c r="G356" s="52">
        <v>3.0</v>
      </c>
      <c r="H356" s="52" t="s">
        <v>185</v>
      </c>
      <c r="I356" s="52">
        <v>2.0</v>
      </c>
      <c r="J356" s="52" t="s">
        <v>190</v>
      </c>
      <c r="K356" s="52">
        <v>5.0</v>
      </c>
      <c r="L356" s="52" t="s">
        <v>201</v>
      </c>
      <c r="M356" s="52">
        <v>1.0</v>
      </c>
      <c r="N356" s="52" t="s">
        <v>149</v>
      </c>
      <c r="O356" s="52" t="s">
        <v>111</v>
      </c>
      <c r="P356" s="52" t="s">
        <v>135</v>
      </c>
      <c r="Q356" s="52" t="s">
        <v>130</v>
      </c>
      <c r="R356" s="52" t="s">
        <v>118</v>
      </c>
      <c r="S356" s="52" t="s">
        <v>130</v>
      </c>
      <c r="T356" s="65" t="s">
        <v>27</v>
      </c>
      <c r="U356" s="32">
        <v>1.0</v>
      </c>
      <c r="V356" s="32">
        <v>1.0</v>
      </c>
      <c r="W356" s="32">
        <v>1.0</v>
      </c>
      <c r="X356" s="32">
        <v>1.0</v>
      </c>
      <c r="Y356" s="32">
        <v>1.0</v>
      </c>
      <c r="Z356" s="32">
        <v>1.0</v>
      </c>
      <c r="AA356" s="32">
        <v>6.0</v>
      </c>
      <c r="AB356" s="32">
        <v>0.0</v>
      </c>
      <c r="AC356" s="103" t="str">
        <f>IFERROR(__xludf.DUMMYFUNCTION("if($C356="""","""",if(join("" - "",{iferror(filter('Student Groupings'!$A:$A,'Student Groupings'!$B:$B=$C356,'Student Groupings'!$H:$H=""Can't be Together""),"""");iferror(filter('Student Groupings'!$A:$A,'Student Groupings'!$E:$E=$C356,'Student Groupings"&amp;"'!$H:$H=""Can't be Together""),"""")})="" - "","""",join("" - "",{iferror(filter('Student Groupings'!$A:$A,'Student Groupings'!$B:$B=$C356,'Student Groupings'!$H:$H=""Can't be Together""),"""");iferror(filter('Student Groupings'!$A:$A,'Student Groupings'!"&amp;"$E:$E=$C356,'Student Groupings'!$H:$H=""Can't be Together""),"""")})))"),"")</f>
        <v/>
      </c>
      <c r="AD356" s="103" t="str">
        <f>IFERROR(__xludf.DUMMYFUNCTION("if($C356="""","""",if(join("" - "",{iferror(filter('Student Groupings'!$A:$A,'Student Groupings'!$B:$B=$C356,'Student Groupings'!$H:$H=""Must be Together""),"""");iferror(filter('Student Groupings'!$A:$A,'Student Groupings'!$E:$E=$C356,'Student Groupings'"&amp;"!$H:$H=""Must be Together""),"""")})="" - "","""",join("" - "",{iferror(filter('Student Groupings'!$A:$A,'Student Groupings'!$B:$B=$C356,'Student Groupings'!$H:$H=""Must be Together""),"""");iferror(filter('Student Groupings'!$A:$A,'Student Groupings'!$E:"&amp;"$E=$C356,'Student Groupings'!$H:$H=""Must be Together""),"""")})))"),"")</f>
        <v/>
      </c>
      <c r="AE356" s="104"/>
      <c r="AF356" s="104"/>
      <c r="AG356" s="104"/>
      <c r="AH356" s="104"/>
    </row>
    <row r="357">
      <c r="A357" s="101">
        <v>8.0</v>
      </c>
      <c r="B357" s="101">
        <v>29079.0</v>
      </c>
      <c r="C357" s="102" t="s">
        <v>598</v>
      </c>
      <c r="D357" s="52" t="s">
        <v>176</v>
      </c>
      <c r="E357" s="52">
        <v>6.0</v>
      </c>
      <c r="F357" s="52" t="s">
        <v>167</v>
      </c>
      <c r="G357" s="52">
        <v>3.0</v>
      </c>
      <c r="H357" s="52" t="s">
        <v>185</v>
      </c>
      <c r="I357" s="52">
        <v>2.0</v>
      </c>
      <c r="J357" s="52" t="s">
        <v>190</v>
      </c>
      <c r="K357" s="52">
        <v>5.0</v>
      </c>
      <c r="L357" s="52" t="s">
        <v>201</v>
      </c>
      <c r="M357" s="52">
        <v>1.0</v>
      </c>
      <c r="N357" s="52" t="s">
        <v>149</v>
      </c>
      <c r="O357" s="52" t="s">
        <v>111</v>
      </c>
      <c r="P357" s="52" t="s">
        <v>135</v>
      </c>
      <c r="Q357" s="52" t="s">
        <v>130</v>
      </c>
      <c r="R357" s="52" t="s">
        <v>118</v>
      </c>
      <c r="S357" s="52" t="s">
        <v>130</v>
      </c>
      <c r="T357" s="65" t="s">
        <v>27</v>
      </c>
      <c r="U357" s="32">
        <v>1.0</v>
      </c>
      <c r="V357" s="32">
        <v>1.0</v>
      </c>
      <c r="W357" s="32">
        <v>1.0</v>
      </c>
      <c r="X357" s="32">
        <v>1.0</v>
      </c>
      <c r="Y357" s="32">
        <v>1.0</v>
      </c>
      <c r="Z357" s="32">
        <v>1.0</v>
      </c>
      <c r="AA357" s="32">
        <v>6.0</v>
      </c>
      <c r="AB357" s="32">
        <v>0.0</v>
      </c>
      <c r="AC357" s="103" t="str">
        <f>IFERROR(__xludf.DUMMYFUNCTION("if($C357="""","""",if(join("" - "",{iferror(filter('Student Groupings'!$A:$A,'Student Groupings'!$B:$B=$C357,'Student Groupings'!$H:$H=""Can't be Together""),"""");iferror(filter('Student Groupings'!$A:$A,'Student Groupings'!$E:$E=$C357,'Student Groupings"&amp;"'!$H:$H=""Can't be Together""),"""")})="" - "","""",join("" - "",{iferror(filter('Student Groupings'!$A:$A,'Student Groupings'!$B:$B=$C357,'Student Groupings'!$H:$H=""Can't be Together""),"""");iferror(filter('Student Groupings'!$A:$A,'Student Groupings'!"&amp;"$E:$E=$C357,'Student Groupings'!$H:$H=""Can't be Together""),"""")})))"),"")</f>
        <v/>
      </c>
      <c r="AD357" s="103" t="str">
        <f>IFERROR(__xludf.DUMMYFUNCTION("if($C357="""","""",if(join("" - "",{iferror(filter('Student Groupings'!$A:$A,'Student Groupings'!$B:$B=$C357,'Student Groupings'!$H:$H=""Must be Together""),"""");iferror(filter('Student Groupings'!$A:$A,'Student Groupings'!$E:$E=$C357,'Student Groupings'"&amp;"!$H:$H=""Must be Together""),"""")})="" - "","""",join("" - "",{iferror(filter('Student Groupings'!$A:$A,'Student Groupings'!$B:$B=$C357,'Student Groupings'!$H:$H=""Must be Together""),"""");iferror(filter('Student Groupings'!$A:$A,'Student Groupings'!$E:"&amp;"$E=$C357,'Student Groupings'!$H:$H=""Must be Together""),"""")})))"),"")</f>
        <v/>
      </c>
      <c r="AE357" s="104"/>
      <c r="AF357" s="104"/>
      <c r="AG357" s="104"/>
      <c r="AH357" s="104"/>
    </row>
    <row r="358">
      <c r="A358" s="101">
        <v>8.0</v>
      </c>
      <c r="B358" s="101">
        <v>29153.0</v>
      </c>
      <c r="C358" s="102" t="s">
        <v>291</v>
      </c>
      <c r="D358" s="52" t="s">
        <v>176</v>
      </c>
      <c r="E358" s="52">
        <v>5.0</v>
      </c>
      <c r="F358" s="52" t="s">
        <v>167</v>
      </c>
      <c r="G358" s="52">
        <v>3.0</v>
      </c>
      <c r="H358" s="52" t="s">
        <v>185</v>
      </c>
      <c r="I358" s="52">
        <v>2.0</v>
      </c>
      <c r="J358" s="52" t="s">
        <v>190</v>
      </c>
      <c r="K358" s="52">
        <v>1.0</v>
      </c>
      <c r="L358" s="52" t="s">
        <v>201</v>
      </c>
      <c r="M358" s="52">
        <v>6.0</v>
      </c>
      <c r="N358" s="52" t="s">
        <v>149</v>
      </c>
      <c r="O358" s="52" t="s">
        <v>111</v>
      </c>
      <c r="P358" s="52" t="s">
        <v>135</v>
      </c>
      <c r="Q358" s="52" t="s">
        <v>130</v>
      </c>
      <c r="R358" s="52" t="s">
        <v>118</v>
      </c>
      <c r="S358" s="52" t="s">
        <v>130</v>
      </c>
      <c r="T358" s="65" t="s">
        <v>27</v>
      </c>
      <c r="U358" s="32">
        <v>1.0</v>
      </c>
      <c r="V358" s="32">
        <v>1.0</v>
      </c>
      <c r="W358" s="32">
        <v>1.0</v>
      </c>
      <c r="X358" s="32">
        <v>1.0</v>
      </c>
      <c r="Y358" s="32">
        <v>1.0</v>
      </c>
      <c r="Z358" s="32">
        <v>1.0</v>
      </c>
      <c r="AA358" s="32">
        <v>6.0</v>
      </c>
      <c r="AB358" s="32">
        <v>0.0</v>
      </c>
      <c r="AC358" s="103" t="str">
        <f>IFERROR(__xludf.DUMMYFUNCTION("if($C358="""","""",if(join("" - "",{iferror(filter('Student Groupings'!$A:$A,'Student Groupings'!$B:$B=$C358,'Student Groupings'!$H:$H=""Can't be Together""),"""");iferror(filter('Student Groupings'!$A:$A,'Student Groupings'!$E:$E=$C358,'Student Groupings"&amp;"'!$H:$H=""Can't be Together""),"""")})="" - "","""",join("" - "",{iferror(filter('Student Groupings'!$A:$A,'Student Groupings'!$B:$B=$C358,'Student Groupings'!$H:$H=""Can't be Together""),"""");iferror(filter('Student Groupings'!$A:$A,'Student Groupings'!"&amp;"$E:$E=$C358,'Student Groupings'!$H:$H=""Can't be Together""),"""")})))"),"")</f>
        <v/>
      </c>
      <c r="AD358" s="103" t="str">
        <f>IFERROR(__xludf.DUMMYFUNCTION("if($C358="""","""",if(join("" - "",{iferror(filter('Student Groupings'!$A:$A,'Student Groupings'!$B:$B=$C358,'Student Groupings'!$H:$H=""Must be Together""),"""");iferror(filter('Student Groupings'!$A:$A,'Student Groupings'!$E:$E=$C358,'Student Groupings'"&amp;"!$H:$H=""Must be Together""),"""")})="" - "","""",join("" - "",{iferror(filter('Student Groupings'!$A:$A,'Student Groupings'!$B:$B=$C358,'Student Groupings'!$H:$H=""Must be Together""),"""");iferror(filter('Student Groupings'!$A:$A,'Student Groupings'!$E:"&amp;"$E=$C358,'Student Groupings'!$H:$H=""Must be Together""),"""")})))"),"122 - ")</f>
        <v>122 - </v>
      </c>
      <c r="AE358" s="104"/>
      <c r="AF358" s="104"/>
      <c r="AG358" s="104"/>
      <c r="AH358" s="104"/>
    </row>
    <row r="359">
      <c r="A359" s="101">
        <v>8.0</v>
      </c>
      <c r="B359" s="101">
        <v>29143.0</v>
      </c>
      <c r="C359" s="102" t="s">
        <v>599</v>
      </c>
      <c r="D359" s="52" t="s">
        <v>177</v>
      </c>
      <c r="E359" s="52">
        <v>4.0</v>
      </c>
      <c r="F359" s="52" t="s">
        <v>170</v>
      </c>
      <c r="G359" s="52">
        <v>1.0</v>
      </c>
      <c r="H359" s="52" t="s">
        <v>187</v>
      </c>
      <c r="I359" s="52">
        <v>6.0</v>
      </c>
      <c r="J359" s="52" t="s">
        <v>191</v>
      </c>
      <c r="K359" s="52">
        <v>3.0</v>
      </c>
      <c r="L359" s="52" t="s">
        <v>202</v>
      </c>
      <c r="M359" s="52">
        <v>2.0</v>
      </c>
      <c r="N359" s="52" t="s">
        <v>149</v>
      </c>
      <c r="O359" s="52" t="s">
        <v>112</v>
      </c>
      <c r="P359" s="52" t="s">
        <v>118</v>
      </c>
      <c r="Q359" s="52" t="s">
        <v>124</v>
      </c>
      <c r="R359" s="52" t="s">
        <v>135</v>
      </c>
      <c r="S359" s="52" t="s">
        <v>124</v>
      </c>
      <c r="T359" s="65" t="s">
        <v>27</v>
      </c>
      <c r="U359" s="32">
        <v>1.0</v>
      </c>
      <c r="V359" s="32">
        <v>1.0</v>
      </c>
      <c r="W359" s="32">
        <v>1.0</v>
      </c>
      <c r="X359" s="32">
        <v>1.0</v>
      </c>
      <c r="Y359" s="32">
        <v>1.0</v>
      </c>
      <c r="Z359" s="32">
        <v>1.0</v>
      </c>
      <c r="AA359" s="32">
        <v>6.0</v>
      </c>
      <c r="AB359" s="32">
        <v>0.0</v>
      </c>
      <c r="AC359" s="103" t="str">
        <f>IFERROR(__xludf.DUMMYFUNCTION("if($C359="""","""",if(join("" - "",{iferror(filter('Student Groupings'!$A:$A,'Student Groupings'!$B:$B=$C359,'Student Groupings'!$H:$H=""Can't be Together""),"""");iferror(filter('Student Groupings'!$A:$A,'Student Groupings'!$E:$E=$C359,'Student Groupings"&amp;"'!$H:$H=""Can't be Together""),"""")})="" - "","""",join("" - "",{iferror(filter('Student Groupings'!$A:$A,'Student Groupings'!$B:$B=$C359,'Student Groupings'!$H:$H=""Can't be Together""),"""");iferror(filter('Student Groupings'!$A:$A,'Student Groupings'!"&amp;"$E:$E=$C359,'Student Groupings'!$H:$H=""Can't be Together""),"""")})))"),"")</f>
        <v/>
      </c>
      <c r="AD359" s="103" t="str">
        <f>IFERROR(__xludf.DUMMYFUNCTION("if($C359="""","""",if(join("" - "",{iferror(filter('Student Groupings'!$A:$A,'Student Groupings'!$B:$B=$C359,'Student Groupings'!$H:$H=""Must be Together""),"""");iferror(filter('Student Groupings'!$A:$A,'Student Groupings'!$E:$E=$C359,'Student Groupings'"&amp;"!$H:$H=""Must be Together""),"""")})="" - "","""",join("" - "",{iferror(filter('Student Groupings'!$A:$A,'Student Groupings'!$B:$B=$C359,'Student Groupings'!$H:$H=""Must be Together""),"""");iferror(filter('Student Groupings'!$A:$A,'Student Groupings'!$E:"&amp;"$E=$C359,'Student Groupings'!$H:$H=""Must be Together""),"""")})))"),"")</f>
        <v/>
      </c>
      <c r="AE359" s="104"/>
      <c r="AF359" s="104"/>
      <c r="AG359" s="104"/>
      <c r="AH359" s="104"/>
    </row>
    <row r="360">
      <c r="A360" s="101">
        <v>8.0</v>
      </c>
      <c r="B360" s="101">
        <v>29080.0</v>
      </c>
      <c r="C360" s="102" t="s">
        <v>256</v>
      </c>
      <c r="D360" s="52" t="s">
        <v>176</v>
      </c>
      <c r="E360" s="101">
        <v>5.0</v>
      </c>
      <c r="F360" s="52" t="s">
        <v>167</v>
      </c>
      <c r="G360" s="52">
        <v>4.0</v>
      </c>
      <c r="H360" s="52" t="s">
        <v>185</v>
      </c>
      <c r="I360" s="52">
        <v>3.0</v>
      </c>
      <c r="J360" s="52" t="s">
        <v>190</v>
      </c>
      <c r="K360" s="101">
        <v>1.0</v>
      </c>
      <c r="L360" s="52" t="s">
        <v>201</v>
      </c>
      <c r="M360" s="52">
        <v>6.0</v>
      </c>
      <c r="N360" s="52" t="s">
        <v>149</v>
      </c>
      <c r="O360" s="52" t="s">
        <v>125</v>
      </c>
      <c r="P360" s="52" t="s">
        <v>141</v>
      </c>
      <c r="Q360" s="52" t="s">
        <v>119</v>
      </c>
      <c r="R360" s="52" t="s">
        <v>141</v>
      </c>
      <c r="S360" s="52" t="s">
        <v>119</v>
      </c>
      <c r="T360" s="65" t="s">
        <v>30</v>
      </c>
      <c r="U360" s="32">
        <v>1.0</v>
      </c>
      <c r="V360" s="32">
        <v>1.0</v>
      </c>
      <c r="W360" s="32">
        <v>1.0</v>
      </c>
      <c r="X360" s="32">
        <v>1.0</v>
      </c>
      <c r="Y360" s="32">
        <v>1.0</v>
      </c>
      <c r="Z360" s="32">
        <v>1.0</v>
      </c>
      <c r="AA360" s="32">
        <v>6.0</v>
      </c>
      <c r="AB360" s="32">
        <v>0.0</v>
      </c>
      <c r="AC360" s="103" t="str">
        <f>IFERROR(__xludf.DUMMYFUNCTION("if($C360="""","""",if(join("" - "",{iferror(filter('Student Groupings'!$A:$A,'Student Groupings'!$B:$B=$C360,'Student Groupings'!$H:$H=""Can't be Together""),"""");iferror(filter('Student Groupings'!$A:$A,'Student Groupings'!$E:$E=$C360,'Student Groupings"&amp;"'!$H:$H=""Can't be Together""),"""")})="" - "","""",join("" - "",{iferror(filter('Student Groupings'!$A:$A,'Student Groupings'!$B:$B=$C360,'Student Groupings'!$H:$H=""Can't be Together""),"""");iferror(filter('Student Groupings'!$A:$A,'Student Groupings'!"&amp;"$E:$E=$C360,'Student Groupings'!$H:$H=""Can't be Together""),"""")})))"),"39 - ")</f>
        <v>39 - </v>
      </c>
      <c r="AD360" s="103" t="str">
        <f>IFERROR(__xludf.DUMMYFUNCTION("if($C360="""","""",if(join("" - "",{iferror(filter('Student Groupings'!$A:$A,'Student Groupings'!$B:$B=$C360,'Student Groupings'!$H:$H=""Must be Together""),"""");iferror(filter('Student Groupings'!$A:$A,'Student Groupings'!$E:$E=$C360,'Student Groupings'"&amp;"!$H:$H=""Must be Together""),"""")})="" - "","""",join("" - "",{iferror(filter('Student Groupings'!$A:$A,'Student Groupings'!$B:$B=$C360,'Student Groupings'!$H:$H=""Must be Together""),"""");iferror(filter('Student Groupings'!$A:$A,'Student Groupings'!$E:"&amp;"$E=$C360,'Student Groupings'!$H:$H=""Must be Together""),"""")})))"),"40 - 41 - 42 - ")</f>
        <v>40 - 41 - 42 - </v>
      </c>
      <c r="AE360" s="104"/>
      <c r="AF360" s="104"/>
      <c r="AG360" s="104"/>
      <c r="AH360" s="104"/>
    </row>
    <row r="361">
      <c r="A361" s="101">
        <v>8.0</v>
      </c>
      <c r="B361" s="101">
        <v>29081.0</v>
      </c>
      <c r="C361" s="102" t="s">
        <v>600</v>
      </c>
      <c r="D361" s="52" t="s">
        <v>176</v>
      </c>
      <c r="E361" s="52">
        <v>2.0</v>
      </c>
      <c r="F361" s="52" t="s">
        <v>170</v>
      </c>
      <c r="G361" s="52">
        <v>1.0</v>
      </c>
      <c r="H361" s="52" t="s">
        <v>187</v>
      </c>
      <c r="I361" s="52">
        <v>6.0</v>
      </c>
      <c r="J361" s="52" t="s">
        <v>190</v>
      </c>
      <c r="K361" s="52">
        <v>4.0</v>
      </c>
      <c r="L361" s="52" t="s">
        <v>201</v>
      </c>
      <c r="M361" s="52">
        <v>3.0</v>
      </c>
      <c r="N361" s="52" t="s">
        <v>149</v>
      </c>
      <c r="O361" s="52" t="s">
        <v>112</v>
      </c>
      <c r="P361" s="52" t="s">
        <v>135</v>
      </c>
      <c r="Q361" s="52" t="s">
        <v>124</v>
      </c>
      <c r="R361" s="52" t="s">
        <v>118</v>
      </c>
      <c r="S361" s="52" t="s">
        <v>124</v>
      </c>
      <c r="T361" s="65" t="s">
        <v>27</v>
      </c>
      <c r="U361" s="32">
        <v>1.0</v>
      </c>
      <c r="V361" s="32">
        <v>1.0</v>
      </c>
      <c r="W361" s="32">
        <v>1.0</v>
      </c>
      <c r="X361" s="32">
        <v>1.0</v>
      </c>
      <c r="Y361" s="32">
        <v>1.0</v>
      </c>
      <c r="Z361" s="32">
        <v>1.0</v>
      </c>
      <c r="AA361" s="32">
        <v>6.0</v>
      </c>
      <c r="AB361" s="32">
        <v>0.0</v>
      </c>
      <c r="AC361" s="103" t="str">
        <f>IFERROR(__xludf.DUMMYFUNCTION("if($C361="""","""",if(join("" - "",{iferror(filter('Student Groupings'!$A:$A,'Student Groupings'!$B:$B=$C361,'Student Groupings'!$H:$H=""Can't be Together""),"""");iferror(filter('Student Groupings'!$A:$A,'Student Groupings'!$E:$E=$C361,'Student Groupings"&amp;"'!$H:$H=""Can't be Together""),"""")})="" - "","""",join("" - "",{iferror(filter('Student Groupings'!$A:$A,'Student Groupings'!$B:$B=$C361,'Student Groupings'!$H:$H=""Can't be Together""),"""");iferror(filter('Student Groupings'!$A:$A,'Student Groupings'!"&amp;"$E:$E=$C361,'Student Groupings'!$H:$H=""Can't be Together""),"""")})))"),"")</f>
        <v/>
      </c>
      <c r="AD361" s="103" t="str">
        <f>IFERROR(__xludf.DUMMYFUNCTION("if($C361="""","""",if(join("" - "",{iferror(filter('Student Groupings'!$A:$A,'Student Groupings'!$B:$B=$C361,'Student Groupings'!$H:$H=""Must be Together""),"""");iferror(filter('Student Groupings'!$A:$A,'Student Groupings'!$E:$E=$C361,'Student Groupings'"&amp;"!$H:$H=""Must be Together""),"""")})="" - "","""",join("" - "",{iferror(filter('Student Groupings'!$A:$A,'Student Groupings'!$B:$B=$C361,'Student Groupings'!$H:$H=""Must be Together""),"""");iferror(filter('Student Groupings'!$A:$A,'Student Groupings'!$E:"&amp;"$E=$C361,'Student Groupings'!$H:$H=""Must be Together""),"""")})))"),"")</f>
        <v/>
      </c>
      <c r="AE361" s="104"/>
      <c r="AF361" s="104"/>
      <c r="AG361" s="104"/>
      <c r="AH361" s="104"/>
    </row>
    <row r="362">
      <c r="A362" s="101">
        <v>8.0</v>
      </c>
      <c r="B362" s="101">
        <v>29083.0</v>
      </c>
      <c r="C362" s="102" t="s">
        <v>257</v>
      </c>
      <c r="D362" s="52" t="s">
        <v>176</v>
      </c>
      <c r="E362" s="52">
        <v>4.0</v>
      </c>
      <c r="F362" s="52" t="s">
        <v>162</v>
      </c>
      <c r="G362" s="52">
        <v>6.0</v>
      </c>
      <c r="H362" s="52" t="s">
        <v>185</v>
      </c>
      <c r="I362" s="52">
        <v>5.0</v>
      </c>
      <c r="J362" s="52" t="s">
        <v>190</v>
      </c>
      <c r="K362" s="52">
        <v>3.0</v>
      </c>
      <c r="L362" s="52" t="s">
        <v>201</v>
      </c>
      <c r="M362" s="52">
        <v>2.0</v>
      </c>
      <c r="N362" s="52" t="s">
        <v>149</v>
      </c>
      <c r="O362" s="52" t="s">
        <v>108</v>
      </c>
      <c r="P362" s="52" t="s">
        <v>141</v>
      </c>
      <c r="Q362" s="52" t="s">
        <v>129</v>
      </c>
      <c r="R362" s="52" t="s">
        <v>141</v>
      </c>
      <c r="S362" s="52" t="s">
        <v>129</v>
      </c>
      <c r="T362" s="65" t="s">
        <v>30</v>
      </c>
      <c r="U362" s="32">
        <v>1.0</v>
      </c>
      <c r="V362" s="32">
        <v>1.0</v>
      </c>
      <c r="W362" s="32">
        <v>1.0</v>
      </c>
      <c r="X362" s="32">
        <v>1.0</v>
      </c>
      <c r="Y362" s="32">
        <v>1.0</v>
      </c>
      <c r="Z362" s="32">
        <v>1.0</v>
      </c>
      <c r="AA362" s="32">
        <v>6.0</v>
      </c>
      <c r="AB362" s="32">
        <v>0.0</v>
      </c>
      <c r="AC362" s="103" t="str">
        <f>IFERROR(__xludf.DUMMYFUNCTION("if($C362="""","""",if(join("" - "",{iferror(filter('Student Groupings'!$A:$A,'Student Groupings'!$B:$B=$C362,'Student Groupings'!$H:$H=""Can't be Together""),"""");iferror(filter('Student Groupings'!$A:$A,'Student Groupings'!$E:$E=$C362,'Student Groupings"&amp;"'!$H:$H=""Can't be Together""),"""")})="" - "","""",join("" - "",{iferror(filter('Student Groupings'!$A:$A,'Student Groupings'!$B:$B=$C362,'Student Groupings'!$H:$H=""Can't be Together""),"""");iferror(filter('Student Groupings'!$A:$A,'Student Groupings'!"&amp;"$E:$E=$C362,'Student Groupings'!$H:$H=""Can't be Together""),"""")})))")," - 39")</f>
        <v> - 39</v>
      </c>
      <c r="AD362" s="103" t="str">
        <f>IFERROR(__xludf.DUMMYFUNCTION("if($C362="""","""",if(join("" - "",{iferror(filter('Student Groupings'!$A:$A,'Student Groupings'!$B:$B=$C362,'Student Groupings'!$H:$H=""Must be Together""),"""");iferror(filter('Student Groupings'!$A:$A,'Student Groupings'!$E:$E=$C362,'Student Groupings'"&amp;"!$H:$H=""Must be Together""),"""")})="" - "","""",join("" - "",{iferror(filter('Student Groupings'!$A:$A,'Student Groupings'!$B:$B=$C362,'Student Groupings'!$H:$H=""Must be Together""),"""");iferror(filter('Student Groupings'!$A:$A,'Student Groupings'!$E:"&amp;"$E=$C362,'Student Groupings'!$H:$H=""Must be Together""),"""")})))"),"")</f>
        <v/>
      </c>
      <c r="AE362" s="104"/>
      <c r="AF362" s="104"/>
      <c r="AG362" s="104"/>
      <c r="AH362" s="104"/>
    </row>
    <row r="363">
      <c r="A363" s="101">
        <v>8.0</v>
      </c>
      <c r="B363" s="101">
        <v>29158.0</v>
      </c>
      <c r="C363" s="102" t="s">
        <v>601</v>
      </c>
      <c r="D363" s="52" t="s">
        <v>177</v>
      </c>
      <c r="E363" s="52">
        <v>4.0</v>
      </c>
      <c r="F363" s="52" t="s">
        <v>170</v>
      </c>
      <c r="G363" s="52">
        <v>1.0</v>
      </c>
      <c r="H363" s="52" t="s">
        <v>187</v>
      </c>
      <c r="I363" s="52">
        <v>6.0</v>
      </c>
      <c r="J363" s="52" t="s">
        <v>191</v>
      </c>
      <c r="K363" s="101">
        <v>3.0</v>
      </c>
      <c r="L363" s="52" t="s">
        <v>202</v>
      </c>
      <c r="M363" s="101">
        <v>2.0</v>
      </c>
      <c r="N363" s="52" t="s">
        <v>149</v>
      </c>
      <c r="O363" s="52" t="s">
        <v>124</v>
      </c>
      <c r="P363" s="52" t="s">
        <v>141</v>
      </c>
      <c r="Q363" s="52" t="s">
        <v>112</v>
      </c>
      <c r="R363" s="52" t="s">
        <v>141</v>
      </c>
      <c r="S363" s="52" t="s">
        <v>112</v>
      </c>
      <c r="T363" s="65" t="s">
        <v>30</v>
      </c>
      <c r="U363" s="32">
        <v>1.0</v>
      </c>
      <c r="V363" s="32">
        <v>1.0</v>
      </c>
      <c r="W363" s="32">
        <v>1.0</v>
      </c>
      <c r="X363" s="32">
        <v>1.0</v>
      </c>
      <c r="Y363" s="32">
        <v>1.0</v>
      </c>
      <c r="Z363" s="32">
        <v>1.0</v>
      </c>
      <c r="AA363" s="32">
        <v>6.0</v>
      </c>
      <c r="AB363" s="32">
        <v>0.0</v>
      </c>
      <c r="AC363" s="103" t="str">
        <f>IFERROR(__xludf.DUMMYFUNCTION("if($C363="""","""",if(join("" - "",{iferror(filter('Student Groupings'!$A:$A,'Student Groupings'!$B:$B=$C363,'Student Groupings'!$H:$H=""Can't be Together""),"""");iferror(filter('Student Groupings'!$A:$A,'Student Groupings'!$E:$E=$C363,'Student Groupings"&amp;"'!$H:$H=""Can't be Together""),"""")})="" - "","""",join("" - "",{iferror(filter('Student Groupings'!$A:$A,'Student Groupings'!$B:$B=$C363,'Student Groupings'!$H:$H=""Can't be Together""),"""");iferror(filter('Student Groupings'!$A:$A,'Student Groupings'!"&amp;"$E:$E=$C363,'Student Groupings'!$H:$H=""Can't be Together""),"""")})))"),"")</f>
        <v/>
      </c>
      <c r="AD363" s="103" t="str">
        <f>IFERROR(__xludf.DUMMYFUNCTION("if($C363="""","""",if(join("" - "",{iferror(filter('Student Groupings'!$A:$A,'Student Groupings'!$B:$B=$C363,'Student Groupings'!$H:$H=""Must be Together""),"""");iferror(filter('Student Groupings'!$A:$A,'Student Groupings'!$E:$E=$C363,'Student Groupings'"&amp;"!$H:$H=""Must be Together""),"""")})="" - "","""",join("" - "",{iferror(filter('Student Groupings'!$A:$A,'Student Groupings'!$B:$B=$C363,'Student Groupings'!$H:$H=""Must be Together""),"""");iferror(filter('Student Groupings'!$A:$A,'Student Groupings'!$E:"&amp;"$E=$C363,'Student Groupings'!$H:$H=""Must be Together""),"""")})))"),"")</f>
        <v/>
      </c>
      <c r="AE363" s="104"/>
      <c r="AF363" s="104"/>
      <c r="AG363" s="104"/>
      <c r="AH363" s="104"/>
    </row>
    <row r="364">
      <c r="A364" s="101">
        <v>8.0</v>
      </c>
      <c r="B364" s="101">
        <v>29137.0</v>
      </c>
      <c r="C364" s="102" t="s">
        <v>602</v>
      </c>
      <c r="D364" s="52" t="s">
        <v>176</v>
      </c>
      <c r="E364" s="52">
        <v>3.0</v>
      </c>
      <c r="F364" s="52" t="s">
        <v>162</v>
      </c>
      <c r="G364" s="52">
        <v>1.0</v>
      </c>
      <c r="H364" s="52" t="s">
        <v>185</v>
      </c>
      <c r="I364" s="52">
        <v>5.0</v>
      </c>
      <c r="J364" s="52" t="s">
        <v>190</v>
      </c>
      <c r="K364" s="52">
        <v>2.0</v>
      </c>
      <c r="L364" s="52" t="s">
        <v>201</v>
      </c>
      <c r="M364" s="52">
        <v>4.0</v>
      </c>
      <c r="N364" s="52" t="s">
        <v>149</v>
      </c>
      <c r="O364" s="52" t="s">
        <v>120</v>
      </c>
      <c r="P364" s="52" t="s">
        <v>141</v>
      </c>
      <c r="Q364" s="52" t="s">
        <v>109</v>
      </c>
      <c r="R364" s="52" t="s">
        <v>141</v>
      </c>
      <c r="S364" s="52" t="s">
        <v>109</v>
      </c>
      <c r="T364" s="65" t="s">
        <v>30</v>
      </c>
      <c r="U364" s="32">
        <v>1.0</v>
      </c>
      <c r="V364" s="32">
        <v>1.0</v>
      </c>
      <c r="W364" s="32">
        <v>1.0</v>
      </c>
      <c r="X364" s="32">
        <v>1.0</v>
      </c>
      <c r="Y364" s="32">
        <v>1.0</v>
      </c>
      <c r="Z364" s="32">
        <v>1.0</v>
      </c>
      <c r="AA364" s="32">
        <v>6.0</v>
      </c>
      <c r="AB364" s="32">
        <v>0.0</v>
      </c>
      <c r="AC364" s="103" t="str">
        <f>IFERROR(__xludf.DUMMYFUNCTION("if($C364="""","""",if(join("" - "",{iferror(filter('Student Groupings'!$A:$A,'Student Groupings'!$B:$B=$C364,'Student Groupings'!$H:$H=""Can't be Together""),"""");iferror(filter('Student Groupings'!$A:$A,'Student Groupings'!$E:$E=$C364,'Student Groupings"&amp;"'!$H:$H=""Can't be Together""),"""")})="" - "","""",join("" - "",{iferror(filter('Student Groupings'!$A:$A,'Student Groupings'!$B:$B=$C364,'Student Groupings'!$H:$H=""Can't be Together""),"""");iferror(filter('Student Groupings'!$A:$A,'Student Groupings'!"&amp;"$E:$E=$C364,'Student Groupings'!$H:$H=""Can't be Together""),"""")})))"),"")</f>
        <v/>
      </c>
      <c r="AD364" s="103" t="str">
        <f>IFERROR(__xludf.DUMMYFUNCTION("if($C364="""","""",if(join("" - "",{iferror(filter('Student Groupings'!$A:$A,'Student Groupings'!$B:$B=$C364,'Student Groupings'!$H:$H=""Must be Together""),"""");iferror(filter('Student Groupings'!$A:$A,'Student Groupings'!$E:$E=$C364,'Student Groupings'"&amp;"!$H:$H=""Must be Together""),"""")})="" - "","""",join("" - "",{iferror(filter('Student Groupings'!$A:$A,'Student Groupings'!$B:$B=$C364,'Student Groupings'!$H:$H=""Must be Together""),"""");iferror(filter('Student Groupings'!$A:$A,'Student Groupings'!$E:"&amp;"$E=$C364,'Student Groupings'!$H:$H=""Must be Together""),"""")})))"),"")</f>
        <v/>
      </c>
      <c r="AE364" s="104"/>
      <c r="AF364" s="104"/>
      <c r="AG364" s="104"/>
      <c r="AH364" s="104"/>
    </row>
    <row r="365">
      <c r="A365" s="101">
        <v>8.0</v>
      </c>
      <c r="B365" s="101">
        <v>28077.0</v>
      </c>
      <c r="C365" s="102" t="s">
        <v>603</v>
      </c>
      <c r="D365" s="52" t="s">
        <v>176</v>
      </c>
      <c r="E365" s="52">
        <v>2.0</v>
      </c>
      <c r="F365" s="52" t="s">
        <v>162</v>
      </c>
      <c r="G365" s="52">
        <v>1.0</v>
      </c>
      <c r="H365" s="52" t="s">
        <v>185</v>
      </c>
      <c r="I365" s="52">
        <v>6.0</v>
      </c>
      <c r="J365" s="52" t="s">
        <v>190</v>
      </c>
      <c r="K365" s="52">
        <v>4.0</v>
      </c>
      <c r="L365" s="52" t="s">
        <v>201</v>
      </c>
      <c r="M365" s="52">
        <v>3.0</v>
      </c>
      <c r="N365" s="52" t="s">
        <v>149</v>
      </c>
      <c r="O365" s="52" t="s">
        <v>112</v>
      </c>
      <c r="P365" s="52" t="s">
        <v>118</v>
      </c>
      <c r="Q365" s="52" t="s">
        <v>124</v>
      </c>
      <c r="R365" s="52" t="s">
        <v>135</v>
      </c>
      <c r="S365" s="52" t="s">
        <v>124</v>
      </c>
      <c r="T365" s="65" t="s">
        <v>27</v>
      </c>
      <c r="U365" s="32">
        <v>1.0</v>
      </c>
      <c r="V365" s="32">
        <v>1.0</v>
      </c>
      <c r="W365" s="32">
        <v>1.0</v>
      </c>
      <c r="X365" s="32">
        <v>1.0</v>
      </c>
      <c r="Y365" s="32">
        <v>1.0</v>
      </c>
      <c r="Z365" s="32">
        <v>1.0</v>
      </c>
      <c r="AA365" s="32">
        <v>6.0</v>
      </c>
      <c r="AB365" s="32">
        <v>0.0</v>
      </c>
      <c r="AC365" s="103" t="str">
        <f>IFERROR(__xludf.DUMMYFUNCTION("if($C365="""","""",if(join("" - "",{iferror(filter('Student Groupings'!$A:$A,'Student Groupings'!$B:$B=$C365,'Student Groupings'!$H:$H=""Can't be Together""),"""");iferror(filter('Student Groupings'!$A:$A,'Student Groupings'!$E:$E=$C365,'Student Groupings"&amp;"'!$H:$H=""Can't be Together""),"""")})="" - "","""",join("" - "",{iferror(filter('Student Groupings'!$A:$A,'Student Groupings'!$B:$B=$C365,'Student Groupings'!$H:$H=""Can't be Together""),"""");iferror(filter('Student Groupings'!$A:$A,'Student Groupings'!"&amp;"$E:$E=$C365,'Student Groupings'!$H:$H=""Can't be Together""),"""")})))"),"")</f>
        <v/>
      </c>
      <c r="AD365" s="103" t="str">
        <f>IFERROR(__xludf.DUMMYFUNCTION("if($C365="""","""",if(join("" - "",{iferror(filter('Student Groupings'!$A:$A,'Student Groupings'!$B:$B=$C365,'Student Groupings'!$H:$H=""Must be Together""),"""");iferror(filter('Student Groupings'!$A:$A,'Student Groupings'!$E:$E=$C365,'Student Groupings'"&amp;"!$H:$H=""Must be Together""),"""")})="" - "","""",join("" - "",{iferror(filter('Student Groupings'!$A:$A,'Student Groupings'!$B:$B=$C365,'Student Groupings'!$H:$H=""Must be Together""),"""");iferror(filter('Student Groupings'!$A:$A,'Student Groupings'!$E:"&amp;"$E=$C365,'Student Groupings'!$H:$H=""Must be Together""),"""")})))"),"")</f>
        <v/>
      </c>
      <c r="AE365" s="105"/>
      <c r="AF365" s="105">
        <v>1.0</v>
      </c>
      <c r="AG365" s="105">
        <v>1.0</v>
      </c>
      <c r="AH365" s="105"/>
    </row>
    <row r="366">
      <c r="A366" s="101">
        <v>8.0</v>
      </c>
      <c r="B366" s="101">
        <v>29084.0</v>
      </c>
      <c r="C366" s="102" t="s">
        <v>604</v>
      </c>
      <c r="D366" s="52" t="s">
        <v>176</v>
      </c>
      <c r="E366" s="52">
        <v>5.0</v>
      </c>
      <c r="F366" s="52" t="s">
        <v>167</v>
      </c>
      <c r="G366" s="52">
        <v>4.0</v>
      </c>
      <c r="H366" s="52" t="s">
        <v>185</v>
      </c>
      <c r="I366" s="101">
        <v>3.0</v>
      </c>
      <c r="J366" s="52" t="s">
        <v>190</v>
      </c>
      <c r="K366" s="52">
        <v>1.0</v>
      </c>
      <c r="L366" s="52" t="s">
        <v>201</v>
      </c>
      <c r="M366" s="101">
        <v>6.0</v>
      </c>
      <c r="N366" s="52" t="s">
        <v>149</v>
      </c>
      <c r="O366" s="52" t="s">
        <v>125</v>
      </c>
      <c r="P366" s="52" t="s">
        <v>141</v>
      </c>
      <c r="Q366" s="52" t="s">
        <v>119</v>
      </c>
      <c r="R366" s="52" t="s">
        <v>141</v>
      </c>
      <c r="S366" s="52" t="s">
        <v>119</v>
      </c>
      <c r="T366" s="65" t="s">
        <v>8</v>
      </c>
      <c r="U366" s="32">
        <v>1.0</v>
      </c>
      <c r="V366" s="32">
        <v>1.0</v>
      </c>
      <c r="W366" s="32">
        <v>1.0</v>
      </c>
      <c r="X366" s="32">
        <v>1.0</v>
      </c>
      <c r="Y366" s="32">
        <v>1.0</v>
      </c>
      <c r="Z366" s="32">
        <v>1.0</v>
      </c>
      <c r="AA366" s="32">
        <v>6.0</v>
      </c>
      <c r="AB366" s="32">
        <v>0.0</v>
      </c>
      <c r="AC366" s="103" t="str">
        <f>IFERROR(__xludf.DUMMYFUNCTION("if($C366="""","""",if(join("" - "",{iferror(filter('Student Groupings'!$A:$A,'Student Groupings'!$B:$B=$C366,'Student Groupings'!$H:$H=""Can't be Together""),"""");iferror(filter('Student Groupings'!$A:$A,'Student Groupings'!$E:$E=$C366,'Student Groupings"&amp;"'!$H:$H=""Can't be Together""),"""")})="" - "","""",join("" - "",{iferror(filter('Student Groupings'!$A:$A,'Student Groupings'!$B:$B=$C366,'Student Groupings'!$H:$H=""Can't be Together""),"""");iferror(filter('Student Groupings'!$A:$A,'Student Groupings'!"&amp;"$E:$E=$C366,'Student Groupings'!$H:$H=""Can't be Together""),"""")})))"),"")</f>
        <v/>
      </c>
      <c r="AD366" s="103" t="str">
        <f>IFERROR(__xludf.DUMMYFUNCTION("if($C366="""","""",if(join("" - "",{iferror(filter('Student Groupings'!$A:$A,'Student Groupings'!$B:$B=$C366,'Student Groupings'!$H:$H=""Must be Together""),"""");iferror(filter('Student Groupings'!$A:$A,'Student Groupings'!$E:$E=$C366,'Student Groupings'"&amp;"!$H:$H=""Must be Together""),"""")})="" - "","""",join("" - "",{iferror(filter('Student Groupings'!$A:$A,'Student Groupings'!$B:$B=$C366,'Student Groupings'!$H:$H=""Must be Together""),"""");iferror(filter('Student Groupings'!$A:$A,'Student Groupings'!$E:"&amp;"$E=$C366,'Student Groupings'!$H:$H=""Must be Together""),"""")})))"),"")</f>
        <v/>
      </c>
      <c r="AE366" s="104"/>
      <c r="AF366" s="104"/>
      <c r="AG366" s="104"/>
      <c r="AH366" s="104"/>
    </row>
    <row r="367">
      <c r="A367" s="101">
        <v>8.0</v>
      </c>
      <c r="B367" s="101">
        <v>29148.0</v>
      </c>
      <c r="C367" s="102" t="s">
        <v>605</v>
      </c>
      <c r="D367" s="52" t="s">
        <v>176</v>
      </c>
      <c r="E367" s="52">
        <v>6.0</v>
      </c>
      <c r="F367" s="52" t="s">
        <v>167</v>
      </c>
      <c r="G367" s="52">
        <v>4.0</v>
      </c>
      <c r="H367" s="52" t="s">
        <v>185</v>
      </c>
      <c r="I367" s="52">
        <v>3.0</v>
      </c>
      <c r="J367" s="52" t="s">
        <v>190</v>
      </c>
      <c r="K367" s="52">
        <v>5.0</v>
      </c>
      <c r="L367" s="52" t="s">
        <v>201</v>
      </c>
      <c r="M367" s="52">
        <v>1.0</v>
      </c>
      <c r="N367" s="52" t="s">
        <v>149</v>
      </c>
      <c r="O367" s="52" t="s">
        <v>125</v>
      </c>
      <c r="P367" s="52" t="s">
        <v>141</v>
      </c>
      <c r="Q367" s="52" t="s">
        <v>119</v>
      </c>
      <c r="R367" s="52" t="s">
        <v>141</v>
      </c>
      <c r="S367" s="52" t="s">
        <v>119</v>
      </c>
      <c r="T367" s="65" t="s">
        <v>30</v>
      </c>
      <c r="U367" s="32">
        <v>1.0</v>
      </c>
      <c r="V367" s="32">
        <v>1.0</v>
      </c>
      <c r="W367" s="32">
        <v>1.0</v>
      </c>
      <c r="X367" s="32">
        <v>1.0</v>
      </c>
      <c r="Y367" s="32">
        <v>1.0</v>
      </c>
      <c r="Z367" s="32">
        <v>1.0</v>
      </c>
      <c r="AA367" s="32">
        <v>6.0</v>
      </c>
      <c r="AB367" s="32">
        <v>0.0</v>
      </c>
      <c r="AC367" s="103" t="str">
        <f>IFERROR(__xludf.DUMMYFUNCTION("if($C367="""","""",if(join("" - "",{iferror(filter('Student Groupings'!$A:$A,'Student Groupings'!$B:$B=$C367,'Student Groupings'!$H:$H=""Can't be Together""),"""");iferror(filter('Student Groupings'!$A:$A,'Student Groupings'!$E:$E=$C367,'Student Groupings"&amp;"'!$H:$H=""Can't be Together""),"""")})="" - "","""",join("" - "",{iferror(filter('Student Groupings'!$A:$A,'Student Groupings'!$B:$B=$C367,'Student Groupings'!$H:$H=""Can't be Together""),"""");iferror(filter('Student Groupings'!$A:$A,'Student Groupings'!"&amp;"$E:$E=$C367,'Student Groupings'!$H:$H=""Can't be Together""),"""")})))"),"")</f>
        <v/>
      </c>
      <c r="AD367" s="103" t="str">
        <f>IFERROR(__xludf.DUMMYFUNCTION("if($C367="""","""",if(join("" - "",{iferror(filter('Student Groupings'!$A:$A,'Student Groupings'!$B:$B=$C367,'Student Groupings'!$H:$H=""Must be Together""),"""");iferror(filter('Student Groupings'!$A:$A,'Student Groupings'!$E:$E=$C367,'Student Groupings'"&amp;"!$H:$H=""Must be Together""),"""")})="" - "","""",join("" - "",{iferror(filter('Student Groupings'!$A:$A,'Student Groupings'!$B:$B=$C367,'Student Groupings'!$H:$H=""Must be Together""),"""");iferror(filter('Student Groupings'!$A:$A,'Student Groupings'!$E:"&amp;"$E=$C367,'Student Groupings'!$H:$H=""Must be Together""),"""")})))"),"")</f>
        <v/>
      </c>
      <c r="AE367" s="104"/>
      <c r="AF367" s="104"/>
      <c r="AG367" s="104"/>
      <c r="AH367" s="104"/>
    </row>
    <row r="368">
      <c r="A368" s="101">
        <v>8.0</v>
      </c>
      <c r="B368" s="101">
        <v>29085.0</v>
      </c>
      <c r="C368" s="102" t="s">
        <v>606</v>
      </c>
      <c r="D368" s="52" t="s">
        <v>177</v>
      </c>
      <c r="E368" s="52">
        <v>4.0</v>
      </c>
      <c r="F368" s="52" t="s">
        <v>170</v>
      </c>
      <c r="G368" s="52">
        <v>1.0</v>
      </c>
      <c r="H368" s="52" t="s">
        <v>187</v>
      </c>
      <c r="I368" s="52">
        <v>6.0</v>
      </c>
      <c r="J368" s="52" t="s">
        <v>191</v>
      </c>
      <c r="K368" s="52">
        <v>3.0</v>
      </c>
      <c r="L368" s="52" t="s">
        <v>202</v>
      </c>
      <c r="M368" s="52">
        <v>2.0</v>
      </c>
      <c r="N368" s="52" t="s">
        <v>149</v>
      </c>
      <c r="O368" s="52" t="s">
        <v>124</v>
      </c>
      <c r="P368" s="52" t="s">
        <v>141</v>
      </c>
      <c r="Q368" s="52" t="s">
        <v>112</v>
      </c>
      <c r="R368" s="52" t="s">
        <v>141</v>
      </c>
      <c r="S368" s="52" t="s">
        <v>112</v>
      </c>
      <c r="T368" s="65" t="s">
        <v>30</v>
      </c>
      <c r="U368" s="32">
        <v>1.0</v>
      </c>
      <c r="V368" s="32">
        <v>1.0</v>
      </c>
      <c r="W368" s="32">
        <v>1.0</v>
      </c>
      <c r="X368" s="32">
        <v>1.0</v>
      </c>
      <c r="Y368" s="32">
        <v>1.0</v>
      </c>
      <c r="Z368" s="32">
        <v>1.0</v>
      </c>
      <c r="AA368" s="32">
        <v>6.0</v>
      </c>
      <c r="AB368" s="32">
        <v>0.0</v>
      </c>
      <c r="AC368" s="103" t="str">
        <f>IFERROR(__xludf.DUMMYFUNCTION("if($C368="""","""",if(join("" - "",{iferror(filter('Student Groupings'!$A:$A,'Student Groupings'!$B:$B=$C368,'Student Groupings'!$H:$H=""Can't be Together""),"""");iferror(filter('Student Groupings'!$A:$A,'Student Groupings'!$E:$E=$C368,'Student Groupings"&amp;"'!$H:$H=""Can't be Together""),"""")})="" - "","""",join("" - "",{iferror(filter('Student Groupings'!$A:$A,'Student Groupings'!$B:$B=$C368,'Student Groupings'!$H:$H=""Can't be Together""),"""");iferror(filter('Student Groupings'!$A:$A,'Student Groupings'!"&amp;"$E:$E=$C368,'Student Groupings'!$H:$H=""Can't be Together""),"""")})))"),"")</f>
        <v/>
      </c>
      <c r="AD368" s="103" t="str">
        <f>IFERROR(__xludf.DUMMYFUNCTION("if($C368="""","""",if(join("" - "",{iferror(filter('Student Groupings'!$A:$A,'Student Groupings'!$B:$B=$C368,'Student Groupings'!$H:$H=""Must be Together""),"""");iferror(filter('Student Groupings'!$A:$A,'Student Groupings'!$E:$E=$C368,'Student Groupings'"&amp;"!$H:$H=""Must be Together""),"""")})="" - "","""",join("" - "",{iferror(filter('Student Groupings'!$A:$A,'Student Groupings'!$B:$B=$C368,'Student Groupings'!$H:$H=""Must be Together""),"""");iferror(filter('Student Groupings'!$A:$A,'Student Groupings'!$E:"&amp;"$E=$C368,'Student Groupings'!$H:$H=""Must be Together""),"""")})))"),"")</f>
        <v/>
      </c>
      <c r="AE368" s="104"/>
      <c r="AF368" s="104"/>
      <c r="AG368" s="104"/>
      <c r="AH368" s="105">
        <v>1.0</v>
      </c>
    </row>
    <row r="369">
      <c r="A369" s="101">
        <v>8.0</v>
      </c>
      <c r="B369" s="101">
        <v>29159.0</v>
      </c>
      <c r="C369" s="102" t="s">
        <v>607</v>
      </c>
      <c r="D369" s="52" t="s">
        <v>177</v>
      </c>
      <c r="E369" s="52">
        <v>4.0</v>
      </c>
      <c r="F369" s="52" t="s">
        <v>167</v>
      </c>
      <c r="G369" s="52">
        <v>5.0</v>
      </c>
      <c r="H369" s="52" t="s">
        <v>187</v>
      </c>
      <c r="I369" s="52">
        <v>6.0</v>
      </c>
      <c r="J369" s="52" t="s">
        <v>191</v>
      </c>
      <c r="K369" s="52">
        <v>3.0</v>
      </c>
      <c r="L369" s="52" t="s">
        <v>202</v>
      </c>
      <c r="M369" s="52">
        <v>2.0</v>
      </c>
      <c r="N369" s="52" t="s">
        <v>149</v>
      </c>
      <c r="O369" s="52" t="s">
        <v>108</v>
      </c>
      <c r="P369" s="52" t="s">
        <v>141</v>
      </c>
      <c r="Q369" s="52" t="s">
        <v>129</v>
      </c>
      <c r="R369" s="52" t="s">
        <v>141</v>
      </c>
      <c r="S369" s="52" t="s">
        <v>129</v>
      </c>
      <c r="T369" s="65" t="s">
        <v>30</v>
      </c>
      <c r="U369" s="32">
        <v>1.0</v>
      </c>
      <c r="V369" s="32">
        <v>1.0</v>
      </c>
      <c r="W369" s="32">
        <v>1.0</v>
      </c>
      <c r="X369" s="32">
        <v>1.0</v>
      </c>
      <c r="Y369" s="32">
        <v>1.0</v>
      </c>
      <c r="Z369" s="32">
        <v>1.0</v>
      </c>
      <c r="AA369" s="32">
        <v>6.0</v>
      </c>
      <c r="AB369" s="32">
        <v>0.0</v>
      </c>
      <c r="AC369" s="103" t="str">
        <f>IFERROR(__xludf.DUMMYFUNCTION("if($C369="""","""",if(join("" - "",{iferror(filter('Student Groupings'!$A:$A,'Student Groupings'!$B:$B=$C369,'Student Groupings'!$H:$H=""Can't be Together""),"""");iferror(filter('Student Groupings'!$A:$A,'Student Groupings'!$E:$E=$C369,'Student Groupings"&amp;"'!$H:$H=""Can't be Together""),"""")})="" - "","""",join("" - "",{iferror(filter('Student Groupings'!$A:$A,'Student Groupings'!$B:$B=$C369,'Student Groupings'!$H:$H=""Can't be Together""),"""");iferror(filter('Student Groupings'!$A:$A,'Student Groupings'!"&amp;"$E:$E=$C369,'Student Groupings'!$H:$H=""Can't be Together""),"""")})))"),"")</f>
        <v/>
      </c>
      <c r="AD369" s="103" t="str">
        <f>IFERROR(__xludf.DUMMYFUNCTION("if($C369="""","""",if(join("" - "",{iferror(filter('Student Groupings'!$A:$A,'Student Groupings'!$B:$B=$C369,'Student Groupings'!$H:$H=""Must be Together""),"""");iferror(filter('Student Groupings'!$A:$A,'Student Groupings'!$E:$E=$C369,'Student Groupings'"&amp;"!$H:$H=""Must be Together""),"""")})="" - "","""",join("" - "",{iferror(filter('Student Groupings'!$A:$A,'Student Groupings'!$B:$B=$C369,'Student Groupings'!$H:$H=""Must be Together""),"""");iferror(filter('Student Groupings'!$A:$A,'Student Groupings'!$E:"&amp;"$E=$C369,'Student Groupings'!$H:$H=""Must be Together""),"""")})))"),"")</f>
        <v/>
      </c>
      <c r="AE369" s="104"/>
      <c r="AF369" s="104"/>
      <c r="AG369" s="104"/>
      <c r="AH369" s="104"/>
    </row>
    <row r="370">
      <c r="A370" s="101">
        <v>8.0</v>
      </c>
      <c r="B370" s="101">
        <v>29087.0</v>
      </c>
      <c r="C370" s="102" t="s">
        <v>275</v>
      </c>
      <c r="D370" s="52" t="s">
        <v>176</v>
      </c>
      <c r="E370" s="101">
        <v>3.0</v>
      </c>
      <c r="F370" s="52" t="s">
        <v>162</v>
      </c>
      <c r="G370" s="52">
        <v>1.0</v>
      </c>
      <c r="H370" s="52" t="s">
        <v>185</v>
      </c>
      <c r="I370" s="52">
        <v>6.0</v>
      </c>
      <c r="J370" s="52" t="s">
        <v>190</v>
      </c>
      <c r="K370" s="52">
        <v>2.0</v>
      </c>
      <c r="L370" s="52" t="s">
        <v>201</v>
      </c>
      <c r="M370" s="52">
        <v>4.0</v>
      </c>
      <c r="N370" s="52" t="s">
        <v>149</v>
      </c>
      <c r="O370" s="52" t="s">
        <v>124</v>
      </c>
      <c r="P370" s="52" t="s">
        <v>141</v>
      </c>
      <c r="Q370" s="52" t="s">
        <v>112</v>
      </c>
      <c r="R370" s="52" t="s">
        <v>141</v>
      </c>
      <c r="S370" s="52" t="s">
        <v>112</v>
      </c>
      <c r="T370" s="65" t="s">
        <v>30</v>
      </c>
      <c r="U370" s="32">
        <v>1.0</v>
      </c>
      <c r="V370" s="32">
        <v>1.0</v>
      </c>
      <c r="W370" s="32">
        <v>1.0</v>
      </c>
      <c r="X370" s="32">
        <v>1.0</v>
      </c>
      <c r="Y370" s="32">
        <v>1.0</v>
      </c>
      <c r="Z370" s="32">
        <v>1.0</v>
      </c>
      <c r="AA370" s="32">
        <v>6.0</v>
      </c>
      <c r="AB370" s="32">
        <v>0.0</v>
      </c>
      <c r="AC370" s="103" t="str">
        <f>IFERROR(__xludf.DUMMYFUNCTION("if($C370="""","""",if(join("" - "",{iferror(filter('Student Groupings'!$A:$A,'Student Groupings'!$B:$B=$C370,'Student Groupings'!$H:$H=""Can't be Together""),"""");iferror(filter('Student Groupings'!$A:$A,'Student Groupings'!$E:$E=$C370,'Student Groupings"&amp;"'!$H:$H=""Can't be Together""),"""")})="" - "","""",join("" - "",{iferror(filter('Student Groupings'!$A:$A,'Student Groupings'!$B:$B=$C370,'Student Groupings'!$H:$H=""Can't be Together""),"""");iferror(filter('Student Groupings'!$A:$A,'Student Groupings'!"&amp;"$E:$E=$C370,'Student Groupings'!$H:$H=""Can't be Together""),"""")})))"),"58 - 59 - 60 - 61 - 54 - 63 - 67 - 71")</f>
        <v>58 - 59 - 60 - 61 - 54 - 63 - 67 - 71</v>
      </c>
      <c r="AD370" s="103" t="str">
        <f>IFERROR(__xludf.DUMMYFUNCTION("if($C370="""","""",if(join("" - "",{iferror(filter('Student Groupings'!$A:$A,'Student Groupings'!$B:$B=$C370,'Student Groupings'!$H:$H=""Must be Together""),"""");iferror(filter('Student Groupings'!$A:$A,'Student Groupings'!$E:$E=$C370,'Student Groupings'"&amp;"!$H:$H=""Must be Together""),"""")})="" - "","""",join("" - "",{iferror(filter('Student Groupings'!$A:$A,'Student Groupings'!$B:$B=$C370,'Student Groupings'!$H:$H=""Must be Together""),"""");iferror(filter('Student Groupings'!$A:$A,'Student Groupings'!$E:"&amp;"$E=$C370,'Student Groupings'!$H:$H=""Must be Together""),"""")})))"),"")</f>
        <v/>
      </c>
      <c r="AE370" s="105"/>
      <c r="AF370" s="105">
        <v>1.0</v>
      </c>
      <c r="AG370" s="105">
        <v>1.0</v>
      </c>
      <c r="AH370" s="105"/>
    </row>
    <row r="371">
      <c r="A371" s="101">
        <v>8.0</v>
      </c>
      <c r="B371" s="101">
        <v>29088.0</v>
      </c>
      <c r="C371" s="102" t="s">
        <v>608</v>
      </c>
      <c r="D371" s="52" t="s">
        <v>176</v>
      </c>
      <c r="E371" s="52">
        <v>6.0</v>
      </c>
      <c r="F371" s="52" t="s">
        <v>167</v>
      </c>
      <c r="G371" s="52">
        <v>4.0</v>
      </c>
      <c r="H371" s="52" t="s">
        <v>185</v>
      </c>
      <c r="I371" s="52">
        <v>3.0</v>
      </c>
      <c r="J371" s="52" t="s">
        <v>190</v>
      </c>
      <c r="K371" s="52">
        <v>5.0</v>
      </c>
      <c r="L371" s="52" t="s">
        <v>201</v>
      </c>
      <c r="M371" s="52">
        <v>1.0</v>
      </c>
      <c r="N371" s="52" t="s">
        <v>149</v>
      </c>
      <c r="O371" s="52" t="s">
        <v>125</v>
      </c>
      <c r="P371" s="52" t="s">
        <v>141</v>
      </c>
      <c r="Q371" s="52" t="s">
        <v>119</v>
      </c>
      <c r="R371" s="52" t="s">
        <v>141</v>
      </c>
      <c r="S371" s="52" t="s">
        <v>119</v>
      </c>
      <c r="T371" s="65" t="s">
        <v>30</v>
      </c>
      <c r="U371" s="32">
        <v>1.0</v>
      </c>
      <c r="V371" s="32">
        <v>1.0</v>
      </c>
      <c r="W371" s="32">
        <v>1.0</v>
      </c>
      <c r="X371" s="32">
        <v>1.0</v>
      </c>
      <c r="Y371" s="32">
        <v>1.0</v>
      </c>
      <c r="Z371" s="32">
        <v>1.0</v>
      </c>
      <c r="AA371" s="32">
        <v>6.0</v>
      </c>
      <c r="AB371" s="32">
        <v>0.0</v>
      </c>
      <c r="AC371" s="103" t="str">
        <f>IFERROR(__xludf.DUMMYFUNCTION("if($C371="""","""",if(join("" - "",{iferror(filter('Student Groupings'!$A:$A,'Student Groupings'!$B:$B=$C371,'Student Groupings'!$H:$H=""Can't be Together""),"""");iferror(filter('Student Groupings'!$A:$A,'Student Groupings'!$E:$E=$C371,'Student Groupings"&amp;"'!$H:$H=""Can't be Together""),"""")})="" - "","""",join("" - "",{iferror(filter('Student Groupings'!$A:$A,'Student Groupings'!$B:$B=$C371,'Student Groupings'!$H:$H=""Can't be Together""),"""");iferror(filter('Student Groupings'!$A:$A,'Student Groupings'!"&amp;"$E:$E=$C371,'Student Groupings'!$H:$H=""Can't be Together""),"""")})))"),"")</f>
        <v/>
      </c>
      <c r="AD371" s="103" t="str">
        <f>IFERROR(__xludf.DUMMYFUNCTION("if($C371="""","""",if(join("" - "",{iferror(filter('Student Groupings'!$A:$A,'Student Groupings'!$B:$B=$C371,'Student Groupings'!$H:$H=""Must be Together""),"""");iferror(filter('Student Groupings'!$A:$A,'Student Groupings'!$E:$E=$C371,'Student Groupings'"&amp;"!$H:$H=""Must be Together""),"""")})="" - "","""",join("" - "",{iferror(filter('Student Groupings'!$A:$A,'Student Groupings'!$B:$B=$C371,'Student Groupings'!$H:$H=""Must be Together""),"""");iferror(filter('Student Groupings'!$A:$A,'Student Groupings'!$E:"&amp;"$E=$C371,'Student Groupings'!$H:$H=""Must be Together""),"""")})))"),"")</f>
        <v/>
      </c>
      <c r="AE371" s="104"/>
      <c r="AF371" s="104"/>
      <c r="AG371" s="104"/>
      <c r="AH371" s="104"/>
    </row>
    <row r="372">
      <c r="A372" s="101">
        <v>8.0</v>
      </c>
      <c r="B372" s="101">
        <v>29089.0</v>
      </c>
      <c r="C372" s="102" t="s">
        <v>609</v>
      </c>
      <c r="D372" s="52" t="s">
        <v>176</v>
      </c>
      <c r="E372" s="52">
        <v>6.0</v>
      </c>
      <c r="F372" s="52" t="s">
        <v>167</v>
      </c>
      <c r="G372" s="52">
        <v>3.0</v>
      </c>
      <c r="H372" s="52" t="s">
        <v>185</v>
      </c>
      <c r="I372" s="52">
        <v>2.0</v>
      </c>
      <c r="J372" s="52" t="s">
        <v>190</v>
      </c>
      <c r="K372" s="101">
        <v>5.0</v>
      </c>
      <c r="L372" s="52" t="s">
        <v>201</v>
      </c>
      <c r="M372" s="52">
        <v>1.0</v>
      </c>
      <c r="N372" s="52" t="s">
        <v>149</v>
      </c>
      <c r="O372" s="52" t="s">
        <v>111</v>
      </c>
      <c r="P372" s="52" t="s">
        <v>135</v>
      </c>
      <c r="Q372" s="52" t="s">
        <v>130</v>
      </c>
      <c r="R372" s="52" t="s">
        <v>118</v>
      </c>
      <c r="S372" s="52" t="s">
        <v>130</v>
      </c>
      <c r="T372" s="65" t="s">
        <v>27</v>
      </c>
      <c r="U372" s="32">
        <v>1.0</v>
      </c>
      <c r="V372" s="32">
        <v>1.0</v>
      </c>
      <c r="W372" s="32">
        <v>1.0</v>
      </c>
      <c r="X372" s="32">
        <v>1.0</v>
      </c>
      <c r="Y372" s="32">
        <v>1.0</v>
      </c>
      <c r="Z372" s="32">
        <v>1.0</v>
      </c>
      <c r="AA372" s="32">
        <v>6.0</v>
      </c>
      <c r="AB372" s="32">
        <v>0.0</v>
      </c>
      <c r="AC372" s="103" t="str">
        <f>IFERROR(__xludf.DUMMYFUNCTION("if($C372="""","""",if(join("" - "",{iferror(filter('Student Groupings'!$A:$A,'Student Groupings'!$B:$B=$C372,'Student Groupings'!$H:$H=""Can't be Together""),"""");iferror(filter('Student Groupings'!$A:$A,'Student Groupings'!$E:$E=$C372,'Student Groupings"&amp;"'!$H:$H=""Can't be Together""),"""")})="" - "","""",join("" - "",{iferror(filter('Student Groupings'!$A:$A,'Student Groupings'!$B:$B=$C372,'Student Groupings'!$H:$H=""Can't be Together""),"""");iferror(filter('Student Groupings'!$A:$A,'Student Groupings'!"&amp;"$E:$E=$C372,'Student Groupings'!$H:$H=""Can't be Together""),"""")})))"),"")</f>
        <v/>
      </c>
      <c r="AD372" s="103" t="str">
        <f>IFERROR(__xludf.DUMMYFUNCTION("if($C372="""","""",if(join("" - "",{iferror(filter('Student Groupings'!$A:$A,'Student Groupings'!$B:$B=$C372,'Student Groupings'!$H:$H=""Must be Together""),"""");iferror(filter('Student Groupings'!$A:$A,'Student Groupings'!$E:$E=$C372,'Student Groupings'"&amp;"!$H:$H=""Must be Together""),"""")})="" - "","""",join("" - "",{iferror(filter('Student Groupings'!$A:$A,'Student Groupings'!$B:$B=$C372,'Student Groupings'!$H:$H=""Must be Together""),"""");iferror(filter('Student Groupings'!$A:$A,'Student Groupings'!$E:"&amp;"$E=$C372,'Student Groupings'!$H:$H=""Must be Together""),"""")})))"),"")</f>
        <v/>
      </c>
      <c r="AE372" s="104"/>
      <c r="AF372" s="104"/>
      <c r="AG372" s="104"/>
      <c r="AH372" s="104"/>
    </row>
    <row r="373">
      <c r="A373" s="101">
        <v>8.0</v>
      </c>
      <c r="B373" s="101">
        <v>29157.0</v>
      </c>
      <c r="C373" s="102" t="s">
        <v>293</v>
      </c>
      <c r="D373" s="52" t="s">
        <v>176</v>
      </c>
      <c r="E373" s="52">
        <v>5.0</v>
      </c>
      <c r="F373" s="52" t="s">
        <v>167</v>
      </c>
      <c r="G373" s="52">
        <v>3.0</v>
      </c>
      <c r="H373" s="52" t="s">
        <v>185</v>
      </c>
      <c r="I373" s="52">
        <v>2.0</v>
      </c>
      <c r="J373" s="52" t="s">
        <v>190</v>
      </c>
      <c r="K373" s="52">
        <v>1.0</v>
      </c>
      <c r="L373" s="52" t="s">
        <v>201</v>
      </c>
      <c r="M373" s="52">
        <v>6.0</v>
      </c>
      <c r="N373" s="52" t="s">
        <v>149</v>
      </c>
      <c r="O373" s="52" t="s">
        <v>111</v>
      </c>
      <c r="P373" s="52" t="s">
        <v>135</v>
      </c>
      <c r="Q373" s="52" t="s">
        <v>130</v>
      </c>
      <c r="R373" s="52" t="s">
        <v>118</v>
      </c>
      <c r="S373" s="52" t="s">
        <v>130</v>
      </c>
      <c r="T373" s="65" t="s">
        <v>27</v>
      </c>
      <c r="U373" s="32">
        <v>1.0</v>
      </c>
      <c r="V373" s="32">
        <v>1.0</v>
      </c>
      <c r="W373" s="32">
        <v>1.0</v>
      </c>
      <c r="X373" s="32">
        <v>1.0</v>
      </c>
      <c r="Y373" s="32">
        <v>1.0</v>
      </c>
      <c r="Z373" s="32">
        <v>1.0</v>
      </c>
      <c r="AA373" s="32">
        <v>6.0</v>
      </c>
      <c r="AB373" s="32">
        <v>0.0</v>
      </c>
      <c r="AC373" s="103" t="str">
        <f>IFERROR(__xludf.DUMMYFUNCTION("if($C373="""","""",if(join("" - "",{iferror(filter('Student Groupings'!$A:$A,'Student Groupings'!$B:$B=$C373,'Student Groupings'!$H:$H=""Can't be Together""),"""");iferror(filter('Student Groupings'!$A:$A,'Student Groupings'!$E:$E=$C373,'Student Groupings"&amp;"'!$H:$H=""Can't be Together""),"""")})="" - "","""",join("" - "",{iferror(filter('Student Groupings'!$A:$A,'Student Groupings'!$B:$B=$C373,'Student Groupings'!$H:$H=""Can't be Together""),"""");iferror(filter('Student Groupings'!$A:$A,'Student Groupings'!"&amp;"$E:$E=$C373,'Student Groupings'!$H:$H=""Can't be Together""),"""")})))"),"123 - 124 - ")</f>
        <v>123 - 124 - </v>
      </c>
      <c r="AD373" s="103" t="str">
        <f>IFERROR(__xludf.DUMMYFUNCTION("if($C373="""","""",if(join("" - "",{iferror(filter('Student Groupings'!$A:$A,'Student Groupings'!$B:$B=$C373,'Student Groupings'!$H:$H=""Must be Together""),"""");iferror(filter('Student Groupings'!$A:$A,'Student Groupings'!$E:$E=$C373,'Student Groupings'"&amp;"!$H:$H=""Must be Together""),"""")})="" - "","""",join("" - "",{iferror(filter('Student Groupings'!$A:$A,'Student Groupings'!$B:$B=$C373,'Student Groupings'!$H:$H=""Must be Together""),"""");iferror(filter('Student Groupings'!$A:$A,'Student Groupings'!$E:"&amp;"$E=$C373,'Student Groupings'!$H:$H=""Must be Together""),"""")})))"),"")</f>
        <v/>
      </c>
      <c r="AE373" s="104"/>
      <c r="AF373" s="104"/>
      <c r="AG373" s="104"/>
      <c r="AH373" s="104"/>
    </row>
    <row r="374">
      <c r="A374" s="101">
        <v>8.0</v>
      </c>
      <c r="B374" s="101">
        <v>29091.0</v>
      </c>
      <c r="C374" s="102" t="s">
        <v>610</v>
      </c>
      <c r="D374" s="52" t="s">
        <v>176</v>
      </c>
      <c r="E374" s="52">
        <v>5.0</v>
      </c>
      <c r="F374" s="52" t="s">
        <v>167</v>
      </c>
      <c r="G374" s="52">
        <v>3.0</v>
      </c>
      <c r="H374" s="52" t="s">
        <v>185</v>
      </c>
      <c r="I374" s="52">
        <v>2.0</v>
      </c>
      <c r="J374" s="52" t="s">
        <v>190</v>
      </c>
      <c r="K374" s="52">
        <v>1.0</v>
      </c>
      <c r="L374" s="52" t="s">
        <v>201</v>
      </c>
      <c r="M374" s="52">
        <v>6.0</v>
      </c>
      <c r="N374" s="52" t="s">
        <v>149</v>
      </c>
      <c r="O374" s="52" t="s">
        <v>111</v>
      </c>
      <c r="P374" s="52" t="s">
        <v>135</v>
      </c>
      <c r="Q374" s="52" t="s">
        <v>130</v>
      </c>
      <c r="R374" s="52" t="s">
        <v>118</v>
      </c>
      <c r="S374" s="52" t="s">
        <v>130</v>
      </c>
      <c r="T374" s="65" t="s">
        <v>27</v>
      </c>
      <c r="U374" s="32">
        <v>1.0</v>
      </c>
      <c r="V374" s="32">
        <v>1.0</v>
      </c>
      <c r="W374" s="32">
        <v>1.0</v>
      </c>
      <c r="X374" s="32">
        <v>1.0</v>
      </c>
      <c r="Y374" s="32">
        <v>1.0</v>
      </c>
      <c r="Z374" s="32">
        <v>1.0</v>
      </c>
      <c r="AA374" s="32">
        <v>6.0</v>
      </c>
      <c r="AB374" s="32">
        <v>0.0</v>
      </c>
      <c r="AC374" s="103" t="str">
        <f>IFERROR(__xludf.DUMMYFUNCTION("if($C374="""","""",if(join("" - "",{iferror(filter('Student Groupings'!$A:$A,'Student Groupings'!$B:$B=$C374,'Student Groupings'!$H:$H=""Can't be Together""),"""");iferror(filter('Student Groupings'!$A:$A,'Student Groupings'!$E:$E=$C374,'Student Groupings"&amp;"'!$H:$H=""Can't be Together""),"""")})="" - "","""",join("" - "",{iferror(filter('Student Groupings'!$A:$A,'Student Groupings'!$B:$B=$C374,'Student Groupings'!$H:$H=""Can't be Together""),"""");iferror(filter('Student Groupings'!$A:$A,'Student Groupings'!"&amp;"$E:$E=$C374,'Student Groupings'!$H:$H=""Can't be Together""),"""")})))"),"")</f>
        <v/>
      </c>
      <c r="AD374" s="103" t="str">
        <f>IFERROR(__xludf.DUMMYFUNCTION("if($C374="""","""",if(join("" - "",{iferror(filter('Student Groupings'!$A:$A,'Student Groupings'!$B:$B=$C374,'Student Groupings'!$H:$H=""Must be Together""),"""");iferror(filter('Student Groupings'!$A:$A,'Student Groupings'!$E:$E=$C374,'Student Groupings'"&amp;"!$H:$H=""Must be Together""),"""")})="" - "","""",join("" - "",{iferror(filter('Student Groupings'!$A:$A,'Student Groupings'!$B:$B=$C374,'Student Groupings'!$H:$H=""Must be Together""),"""");iferror(filter('Student Groupings'!$A:$A,'Student Groupings'!$E:"&amp;"$E=$C374,'Student Groupings'!$H:$H=""Must be Together""),"""")})))"),"")</f>
        <v/>
      </c>
      <c r="AE374" s="104"/>
      <c r="AF374" s="104"/>
      <c r="AG374" s="104"/>
      <c r="AH374" s="104"/>
    </row>
    <row r="375">
      <c r="A375" s="101">
        <v>8.0</v>
      </c>
      <c r="B375" s="101">
        <v>29093.0</v>
      </c>
      <c r="C375" s="102" t="s">
        <v>611</v>
      </c>
      <c r="D375" s="52" t="s">
        <v>176</v>
      </c>
      <c r="E375" s="52">
        <v>2.0</v>
      </c>
      <c r="F375" s="52" t="s">
        <v>167</v>
      </c>
      <c r="G375" s="52">
        <v>5.0</v>
      </c>
      <c r="H375" s="52" t="s">
        <v>185</v>
      </c>
      <c r="I375" s="52">
        <v>6.0</v>
      </c>
      <c r="J375" s="52" t="s">
        <v>190</v>
      </c>
      <c r="K375" s="52">
        <v>4.0</v>
      </c>
      <c r="L375" s="52" t="s">
        <v>201</v>
      </c>
      <c r="M375" s="52">
        <v>3.0</v>
      </c>
      <c r="N375" s="52" t="s">
        <v>149</v>
      </c>
      <c r="O375" s="52" t="s">
        <v>108</v>
      </c>
      <c r="P375" s="52" t="s">
        <v>141</v>
      </c>
      <c r="Q375" s="52" t="s">
        <v>129</v>
      </c>
      <c r="R375" s="52" t="s">
        <v>141</v>
      </c>
      <c r="S375" s="52" t="s">
        <v>129</v>
      </c>
      <c r="T375" s="65" t="s">
        <v>30</v>
      </c>
      <c r="U375" s="32">
        <v>1.0</v>
      </c>
      <c r="V375" s="32">
        <v>1.0</v>
      </c>
      <c r="W375" s="32">
        <v>1.0</v>
      </c>
      <c r="X375" s="32">
        <v>1.0</v>
      </c>
      <c r="Y375" s="32">
        <v>1.0</v>
      </c>
      <c r="Z375" s="32">
        <v>1.0</v>
      </c>
      <c r="AA375" s="32">
        <v>6.0</v>
      </c>
      <c r="AB375" s="32">
        <v>0.0</v>
      </c>
      <c r="AC375" s="103" t="str">
        <f>IFERROR(__xludf.DUMMYFUNCTION("if($C375="""","""",if(join("" - "",{iferror(filter('Student Groupings'!$A:$A,'Student Groupings'!$B:$B=$C375,'Student Groupings'!$H:$H=""Can't be Together""),"""");iferror(filter('Student Groupings'!$A:$A,'Student Groupings'!$E:$E=$C375,'Student Groupings"&amp;"'!$H:$H=""Can't be Together""),"""")})="" - "","""",join("" - "",{iferror(filter('Student Groupings'!$A:$A,'Student Groupings'!$B:$B=$C375,'Student Groupings'!$H:$H=""Can't be Together""),"""");iferror(filter('Student Groupings'!$A:$A,'Student Groupings'!"&amp;"$E:$E=$C375,'Student Groupings'!$H:$H=""Can't be Together""),"""")})))"),"")</f>
        <v/>
      </c>
      <c r="AD375" s="103" t="str">
        <f>IFERROR(__xludf.DUMMYFUNCTION("if($C375="""","""",if(join("" - "",{iferror(filter('Student Groupings'!$A:$A,'Student Groupings'!$B:$B=$C375,'Student Groupings'!$H:$H=""Must be Together""),"""");iferror(filter('Student Groupings'!$A:$A,'Student Groupings'!$E:$E=$C375,'Student Groupings'"&amp;"!$H:$H=""Must be Together""),"""")})="" - "","""",join("" - "",{iferror(filter('Student Groupings'!$A:$A,'Student Groupings'!$B:$B=$C375,'Student Groupings'!$H:$H=""Must be Together""),"""");iferror(filter('Student Groupings'!$A:$A,'Student Groupings'!$E:"&amp;"$E=$C375,'Student Groupings'!$H:$H=""Must be Together""),"""")})))"),"")</f>
        <v/>
      </c>
      <c r="AE375" s="104"/>
      <c r="AF375" s="104"/>
      <c r="AG375" s="104"/>
      <c r="AH375" s="104"/>
    </row>
    <row r="376">
      <c r="A376" s="101">
        <v>8.0</v>
      </c>
      <c r="B376" s="101">
        <v>28087.0</v>
      </c>
      <c r="C376" s="102" t="s">
        <v>265</v>
      </c>
      <c r="D376" s="52" t="s">
        <v>176</v>
      </c>
      <c r="E376" s="52">
        <v>3.0</v>
      </c>
      <c r="F376" s="52" t="s">
        <v>170</v>
      </c>
      <c r="G376" s="52">
        <v>1.0</v>
      </c>
      <c r="H376" s="52" t="s">
        <v>187</v>
      </c>
      <c r="I376" s="52">
        <v>6.0</v>
      </c>
      <c r="J376" s="52" t="s">
        <v>190</v>
      </c>
      <c r="K376" s="101">
        <v>2.0</v>
      </c>
      <c r="L376" s="52" t="s">
        <v>201</v>
      </c>
      <c r="M376" s="101">
        <v>4.0</v>
      </c>
      <c r="N376" s="52" t="s">
        <v>149</v>
      </c>
      <c r="O376" s="52" t="s">
        <v>124</v>
      </c>
      <c r="P376" s="52" t="s">
        <v>141</v>
      </c>
      <c r="Q376" s="52" t="s">
        <v>112</v>
      </c>
      <c r="R376" s="52" t="s">
        <v>141</v>
      </c>
      <c r="S376" s="52" t="s">
        <v>112</v>
      </c>
      <c r="T376" s="65" t="s">
        <v>30</v>
      </c>
      <c r="U376" s="32">
        <v>1.0</v>
      </c>
      <c r="V376" s="32">
        <v>1.0</v>
      </c>
      <c r="W376" s="32">
        <v>1.0</v>
      </c>
      <c r="X376" s="32">
        <v>1.0</v>
      </c>
      <c r="Y376" s="32">
        <v>1.0</v>
      </c>
      <c r="Z376" s="32">
        <v>1.0</v>
      </c>
      <c r="AA376" s="32">
        <v>6.0</v>
      </c>
      <c r="AB376" s="32">
        <v>0.0</v>
      </c>
      <c r="AC376" s="103" t="str">
        <f>IFERROR(__xludf.DUMMYFUNCTION("if($C376="""","""",if(join("" - "",{iferror(filter('Student Groupings'!$A:$A,'Student Groupings'!$B:$B=$C376,'Student Groupings'!$H:$H=""Can't be Together""),"""");iferror(filter('Student Groupings'!$A:$A,'Student Groupings'!$E:$E=$C376,'Student Groupings"&amp;"'!$H:$H=""Can't be Together""),"""")})="" - "","""",join("" - "",{iferror(filter('Student Groupings'!$A:$A,'Student Groupings'!$B:$B=$C376,'Student Groupings'!$H:$H=""Can't be Together""),"""");iferror(filter('Student Groupings'!$A:$A,'Student Groupings'!"&amp;"$E:$E=$C376,'Student Groupings'!$H:$H=""Can't be Together""),"""")})))"),"47 - 48 - 49 - 50 - 51 - ")</f>
        <v>47 - 48 - 49 - 50 - 51 - </v>
      </c>
      <c r="AD376" s="103" t="str">
        <f>IFERROR(__xludf.DUMMYFUNCTION("if($C376="""","""",if(join("" - "",{iferror(filter('Student Groupings'!$A:$A,'Student Groupings'!$B:$B=$C376,'Student Groupings'!$H:$H=""Must be Together""),"""");iferror(filter('Student Groupings'!$A:$A,'Student Groupings'!$E:$E=$C376,'Student Groupings'"&amp;"!$H:$H=""Must be Together""),"""")})="" - "","""",join("" - "",{iferror(filter('Student Groupings'!$A:$A,'Student Groupings'!$B:$B=$C376,'Student Groupings'!$H:$H=""Must be Together""),"""");iferror(filter('Student Groupings'!$A:$A,'Student Groupings'!$E:"&amp;"$E=$C376,'Student Groupings'!$H:$H=""Must be Together""),"""")})))"),"52 - ")</f>
        <v>52 - </v>
      </c>
      <c r="AE376" s="104"/>
      <c r="AF376" s="104"/>
      <c r="AG376" s="104"/>
      <c r="AH376" s="105">
        <v>1.0</v>
      </c>
    </row>
    <row r="377">
      <c r="A377" s="101">
        <v>8.0</v>
      </c>
      <c r="B377" s="101">
        <v>29096.0</v>
      </c>
      <c r="C377" s="102" t="s">
        <v>296</v>
      </c>
      <c r="D377" s="52" t="s">
        <v>177</v>
      </c>
      <c r="E377" s="52">
        <v>4.0</v>
      </c>
      <c r="F377" s="52" t="s">
        <v>167</v>
      </c>
      <c r="G377" s="52">
        <v>5.0</v>
      </c>
      <c r="H377" s="52" t="s">
        <v>185</v>
      </c>
      <c r="I377" s="52">
        <v>1.0</v>
      </c>
      <c r="J377" s="52" t="s">
        <v>191</v>
      </c>
      <c r="K377" s="52">
        <v>3.0</v>
      </c>
      <c r="L377" s="52" t="s">
        <v>202</v>
      </c>
      <c r="M377" s="52">
        <v>2.0</v>
      </c>
      <c r="N377" s="52" t="s">
        <v>149</v>
      </c>
      <c r="O377" s="52" t="s">
        <v>120</v>
      </c>
      <c r="P377" s="52" t="s">
        <v>141</v>
      </c>
      <c r="Q377" s="52" t="s">
        <v>109</v>
      </c>
      <c r="R377" s="52" t="s">
        <v>141</v>
      </c>
      <c r="S377" s="52" t="s">
        <v>109</v>
      </c>
      <c r="T377" s="65" t="s">
        <v>30</v>
      </c>
      <c r="U377" s="32">
        <v>1.0</v>
      </c>
      <c r="V377" s="32">
        <v>1.0</v>
      </c>
      <c r="W377" s="32">
        <v>1.0</v>
      </c>
      <c r="X377" s="32">
        <v>1.0</v>
      </c>
      <c r="Y377" s="32">
        <v>1.0</v>
      </c>
      <c r="Z377" s="32">
        <v>1.0</v>
      </c>
      <c r="AA377" s="32">
        <v>6.0</v>
      </c>
      <c r="AB377" s="32">
        <v>0.0</v>
      </c>
      <c r="AC377" s="103" t="str">
        <f>IFERROR(__xludf.DUMMYFUNCTION("if($C377="""","""",if(join("" - "",{iferror(filter('Student Groupings'!$A:$A,'Student Groupings'!$B:$B=$C377,'Student Groupings'!$H:$H=""Can't be Together""),"""");iferror(filter('Student Groupings'!$A:$A,'Student Groupings'!$E:$E=$C377,'Student Groupings"&amp;"'!$H:$H=""Can't be Together""),"""")})="" - "","""",join("" - "",{iferror(filter('Student Groupings'!$A:$A,'Student Groupings'!$B:$B=$C377,'Student Groupings'!$H:$H=""Can't be Together""),"""");iferror(filter('Student Groupings'!$A:$A,'Student Groupings'!"&amp;"$E:$E=$C377,'Student Groupings'!$H:$H=""Can't be Together""),"""")})))"),"")</f>
        <v/>
      </c>
      <c r="AD377" s="103" t="str">
        <f>IFERROR(__xludf.DUMMYFUNCTION("if($C377="""","""",if(join("" - "",{iferror(filter('Student Groupings'!$A:$A,'Student Groupings'!$B:$B=$C377,'Student Groupings'!$H:$H=""Must be Together""),"""");iferror(filter('Student Groupings'!$A:$A,'Student Groupings'!$E:$E=$C377,'Student Groupings'"&amp;"!$H:$H=""Must be Together""),"""")})="" - "","""",join("" - "",{iferror(filter('Student Groupings'!$A:$A,'Student Groupings'!$B:$B=$C377,'Student Groupings'!$H:$H=""Must be Together""),"""");iferror(filter('Student Groupings'!$A:$A,'Student Groupings'!$E:"&amp;"$E=$C377,'Student Groupings'!$H:$H=""Must be Together""),"""")})))")," - 125")</f>
        <v> - 125</v>
      </c>
      <c r="AE377" s="104"/>
      <c r="AF377" s="104"/>
      <c r="AG377" s="104"/>
      <c r="AH377" s="104"/>
    </row>
    <row r="378">
      <c r="A378" s="101">
        <v>8.0</v>
      </c>
      <c r="B378" s="101">
        <v>29097.0</v>
      </c>
      <c r="C378" s="102" t="s">
        <v>612</v>
      </c>
      <c r="D378" s="52" t="s">
        <v>176</v>
      </c>
      <c r="E378" s="52">
        <v>6.0</v>
      </c>
      <c r="F378" s="52" t="s">
        <v>167</v>
      </c>
      <c r="G378" s="52">
        <v>4.0</v>
      </c>
      <c r="H378" s="52" t="s">
        <v>185</v>
      </c>
      <c r="I378" s="52">
        <v>3.0</v>
      </c>
      <c r="J378" s="52" t="s">
        <v>190</v>
      </c>
      <c r="K378" s="52">
        <v>5.0</v>
      </c>
      <c r="L378" s="52" t="s">
        <v>201</v>
      </c>
      <c r="M378" s="52">
        <v>1.0</v>
      </c>
      <c r="N378" s="52" t="s">
        <v>149</v>
      </c>
      <c r="O378" s="52" t="s">
        <v>125</v>
      </c>
      <c r="P378" s="52" t="s">
        <v>141</v>
      </c>
      <c r="Q378" s="52" t="s">
        <v>119</v>
      </c>
      <c r="R378" s="52" t="s">
        <v>141</v>
      </c>
      <c r="S378" s="52" t="s">
        <v>119</v>
      </c>
      <c r="T378" s="65" t="s">
        <v>30</v>
      </c>
      <c r="U378" s="32">
        <v>1.0</v>
      </c>
      <c r="V378" s="32">
        <v>1.0</v>
      </c>
      <c r="W378" s="32">
        <v>1.0</v>
      </c>
      <c r="X378" s="32">
        <v>1.0</v>
      </c>
      <c r="Y378" s="32">
        <v>1.0</v>
      </c>
      <c r="Z378" s="32">
        <v>1.0</v>
      </c>
      <c r="AA378" s="32">
        <v>6.0</v>
      </c>
      <c r="AB378" s="32">
        <v>0.0</v>
      </c>
      <c r="AC378" s="103" t="str">
        <f>IFERROR(__xludf.DUMMYFUNCTION("if($C378="""","""",if(join("" - "",{iferror(filter('Student Groupings'!$A:$A,'Student Groupings'!$B:$B=$C378,'Student Groupings'!$H:$H=""Can't be Together""),"""");iferror(filter('Student Groupings'!$A:$A,'Student Groupings'!$E:$E=$C378,'Student Groupings"&amp;"'!$H:$H=""Can't be Together""),"""")})="" - "","""",join("" - "",{iferror(filter('Student Groupings'!$A:$A,'Student Groupings'!$B:$B=$C378,'Student Groupings'!$H:$H=""Can't be Together""),"""");iferror(filter('Student Groupings'!$A:$A,'Student Groupings'!"&amp;"$E:$E=$C378,'Student Groupings'!$H:$H=""Can't be Together""),"""")})))"),"")</f>
        <v/>
      </c>
      <c r="AD378" s="103" t="str">
        <f>IFERROR(__xludf.DUMMYFUNCTION("if($C378="""","""",if(join("" - "",{iferror(filter('Student Groupings'!$A:$A,'Student Groupings'!$B:$B=$C378,'Student Groupings'!$H:$H=""Must be Together""),"""");iferror(filter('Student Groupings'!$A:$A,'Student Groupings'!$E:$E=$C378,'Student Groupings'"&amp;"!$H:$H=""Must be Together""),"""")})="" - "","""",join("" - "",{iferror(filter('Student Groupings'!$A:$A,'Student Groupings'!$B:$B=$C378,'Student Groupings'!$H:$H=""Must be Together""),"""");iferror(filter('Student Groupings'!$A:$A,'Student Groupings'!$E:"&amp;"$E=$C378,'Student Groupings'!$H:$H=""Must be Together""),"""")})))"),"")</f>
        <v/>
      </c>
      <c r="AE378" s="104"/>
      <c r="AF378" s="104"/>
      <c r="AG378" s="104"/>
      <c r="AH378" s="104"/>
    </row>
    <row r="379">
      <c r="A379" s="101">
        <v>8.0</v>
      </c>
      <c r="B379" s="101">
        <v>29169.0</v>
      </c>
      <c r="C379" s="102" t="s">
        <v>613</v>
      </c>
      <c r="D379" s="52" t="s">
        <v>176</v>
      </c>
      <c r="E379" s="52">
        <v>2.0</v>
      </c>
      <c r="F379" s="52" t="s">
        <v>162</v>
      </c>
      <c r="G379" s="52">
        <v>1.0</v>
      </c>
      <c r="H379" s="52" t="s">
        <v>185</v>
      </c>
      <c r="I379" s="52">
        <v>5.0</v>
      </c>
      <c r="J379" s="52" t="s">
        <v>190</v>
      </c>
      <c r="K379" s="52">
        <v>4.0</v>
      </c>
      <c r="L379" s="52" t="s">
        <v>201</v>
      </c>
      <c r="M379" s="52">
        <v>3.0</v>
      </c>
      <c r="N379" s="52" t="s">
        <v>149</v>
      </c>
      <c r="O379" s="52" t="s">
        <v>120</v>
      </c>
      <c r="P379" s="52" t="s">
        <v>141</v>
      </c>
      <c r="Q379" s="52" t="s">
        <v>109</v>
      </c>
      <c r="R379" s="52" t="s">
        <v>141</v>
      </c>
      <c r="S379" s="52" t="s">
        <v>109</v>
      </c>
      <c r="T379" s="65" t="s">
        <v>30</v>
      </c>
      <c r="U379" s="32">
        <v>1.0</v>
      </c>
      <c r="V379" s="32">
        <v>1.0</v>
      </c>
      <c r="W379" s="32">
        <v>1.0</v>
      </c>
      <c r="X379" s="32">
        <v>1.0</v>
      </c>
      <c r="Y379" s="32">
        <v>1.0</v>
      </c>
      <c r="Z379" s="32">
        <v>1.0</v>
      </c>
      <c r="AA379" s="32">
        <v>6.0</v>
      </c>
      <c r="AB379" s="32">
        <v>0.0</v>
      </c>
      <c r="AC379" s="103" t="str">
        <f>IFERROR(__xludf.DUMMYFUNCTION("if($C379="""","""",if(join("" - "",{iferror(filter('Student Groupings'!$A:$A,'Student Groupings'!$B:$B=$C379,'Student Groupings'!$H:$H=""Can't be Together""),"""");iferror(filter('Student Groupings'!$A:$A,'Student Groupings'!$E:$E=$C379,'Student Groupings"&amp;"'!$H:$H=""Can't be Together""),"""")})="" - "","""",join("" - "",{iferror(filter('Student Groupings'!$A:$A,'Student Groupings'!$B:$B=$C379,'Student Groupings'!$H:$H=""Can't be Together""),"""");iferror(filter('Student Groupings'!$A:$A,'Student Groupings'!"&amp;"$E:$E=$C379,'Student Groupings'!$H:$H=""Can't be Together""),"""")})))"),"")</f>
        <v/>
      </c>
      <c r="AD379" s="103" t="str">
        <f>IFERROR(__xludf.DUMMYFUNCTION("if($C379="""","""",if(join("" - "",{iferror(filter('Student Groupings'!$A:$A,'Student Groupings'!$B:$B=$C379,'Student Groupings'!$H:$H=""Must be Together""),"""");iferror(filter('Student Groupings'!$A:$A,'Student Groupings'!$E:$E=$C379,'Student Groupings'"&amp;"!$H:$H=""Must be Together""),"""")})="" - "","""",join("" - "",{iferror(filter('Student Groupings'!$A:$A,'Student Groupings'!$B:$B=$C379,'Student Groupings'!$H:$H=""Must be Together""),"""");iferror(filter('Student Groupings'!$A:$A,'Student Groupings'!$E:"&amp;"$E=$C379,'Student Groupings'!$H:$H=""Must be Together""),"""")})))"),"")</f>
        <v/>
      </c>
      <c r="AE379" s="104"/>
      <c r="AF379" s="104"/>
      <c r="AG379" s="104"/>
      <c r="AH379" s="104"/>
    </row>
    <row r="380">
      <c r="A380" s="101">
        <v>8.0</v>
      </c>
      <c r="B380" s="101">
        <v>29098.0</v>
      </c>
      <c r="C380" s="102" t="s">
        <v>614</v>
      </c>
      <c r="D380" s="52" t="s">
        <v>176</v>
      </c>
      <c r="E380" s="52">
        <v>6.0</v>
      </c>
      <c r="F380" s="52" t="s">
        <v>167</v>
      </c>
      <c r="G380" s="52">
        <v>4.0</v>
      </c>
      <c r="H380" s="52" t="s">
        <v>185</v>
      </c>
      <c r="I380" s="52">
        <v>3.0</v>
      </c>
      <c r="J380" s="52" t="s">
        <v>190</v>
      </c>
      <c r="K380" s="101">
        <v>5.0</v>
      </c>
      <c r="L380" s="52" t="s">
        <v>201</v>
      </c>
      <c r="M380" s="52">
        <v>1.0</v>
      </c>
      <c r="N380" s="52" t="s">
        <v>149</v>
      </c>
      <c r="O380" s="52" t="s">
        <v>125</v>
      </c>
      <c r="P380" s="52" t="s">
        <v>141</v>
      </c>
      <c r="Q380" s="52" t="s">
        <v>119</v>
      </c>
      <c r="R380" s="52" t="s">
        <v>141</v>
      </c>
      <c r="S380" s="52" t="s">
        <v>119</v>
      </c>
      <c r="T380" s="65" t="s">
        <v>30</v>
      </c>
      <c r="U380" s="32">
        <v>1.0</v>
      </c>
      <c r="V380" s="32">
        <v>1.0</v>
      </c>
      <c r="W380" s="32">
        <v>1.0</v>
      </c>
      <c r="X380" s="32">
        <v>1.0</v>
      </c>
      <c r="Y380" s="32">
        <v>1.0</v>
      </c>
      <c r="Z380" s="32">
        <v>1.0</v>
      </c>
      <c r="AA380" s="32">
        <v>6.0</v>
      </c>
      <c r="AB380" s="32">
        <v>0.0</v>
      </c>
      <c r="AC380" s="103" t="str">
        <f>IFERROR(__xludf.DUMMYFUNCTION("if($C380="""","""",if(join("" - "",{iferror(filter('Student Groupings'!$A:$A,'Student Groupings'!$B:$B=$C380,'Student Groupings'!$H:$H=""Can't be Together""),"""");iferror(filter('Student Groupings'!$A:$A,'Student Groupings'!$E:$E=$C380,'Student Groupings"&amp;"'!$H:$H=""Can't be Together""),"""")})="" - "","""",join("" - "",{iferror(filter('Student Groupings'!$A:$A,'Student Groupings'!$B:$B=$C380,'Student Groupings'!$H:$H=""Can't be Together""),"""");iferror(filter('Student Groupings'!$A:$A,'Student Groupings'!"&amp;"$E:$E=$C380,'Student Groupings'!$H:$H=""Can't be Together""),"""")})))"),"")</f>
        <v/>
      </c>
      <c r="AD380" s="103" t="str">
        <f>IFERROR(__xludf.DUMMYFUNCTION("if($C380="""","""",if(join("" - "",{iferror(filter('Student Groupings'!$A:$A,'Student Groupings'!$B:$B=$C380,'Student Groupings'!$H:$H=""Must be Together""),"""");iferror(filter('Student Groupings'!$A:$A,'Student Groupings'!$E:$E=$C380,'Student Groupings'"&amp;"!$H:$H=""Must be Together""),"""")})="" - "","""",join("" - "",{iferror(filter('Student Groupings'!$A:$A,'Student Groupings'!$B:$B=$C380,'Student Groupings'!$H:$H=""Must be Together""),"""");iferror(filter('Student Groupings'!$A:$A,'Student Groupings'!$E:"&amp;"$E=$C380,'Student Groupings'!$H:$H=""Must be Together""),"""")})))"),"")</f>
        <v/>
      </c>
      <c r="AE380" s="104"/>
      <c r="AF380" s="104"/>
      <c r="AG380" s="104"/>
      <c r="AH380" s="104"/>
    </row>
    <row r="381">
      <c r="A381" s="101">
        <v>8.0</v>
      </c>
      <c r="B381" s="101">
        <v>29099.0</v>
      </c>
      <c r="C381" s="102" t="s">
        <v>615</v>
      </c>
      <c r="D381" s="52" t="s">
        <v>176</v>
      </c>
      <c r="E381" s="52">
        <v>3.0</v>
      </c>
      <c r="F381" s="52" t="s">
        <v>170</v>
      </c>
      <c r="G381" s="52">
        <v>1.0</v>
      </c>
      <c r="H381" s="52" t="s">
        <v>185</v>
      </c>
      <c r="I381" s="52">
        <v>5.0</v>
      </c>
      <c r="J381" s="52" t="s">
        <v>190</v>
      </c>
      <c r="K381" s="52">
        <v>2.0</v>
      </c>
      <c r="L381" s="52" t="s">
        <v>201</v>
      </c>
      <c r="M381" s="52">
        <v>4.0</v>
      </c>
      <c r="N381" s="52" t="s">
        <v>149</v>
      </c>
      <c r="O381" s="52" t="s">
        <v>120</v>
      </c>
      <c r="P381" s="52" t="s">
        <v>141</v>
      </c>
      <c r="Q381" s="52" t="s">
        <v>109</v>
      </c>
      <c r="R381" s="52" t="s">
        <v>141</v>
      </c>
      <c r="S381" s="52" t="s">
        <v>109</v>
      </c>
      <c r="T381" s="65" t="s">
        <v>30</v>
      </c>
      <c r="U381" s="32">
        <v>1.0</v>
      </c>
      <c r="V381" s="32">
        <v>1.0</v>
      </c>
      <c r="W381" s="32">
        <v>1.0</v>
      </c>
      <c r="X381" s="32">
        <v>1.0</v>
      </c>
      <c r="Y381" s="32">
        <v>1.0</v>
      </c>
      <c r="Z381" s="32">
        <v>1.0</v>
      </c>
      <c r="AA381" s="32">
        <v>6.0</v>
      </c>
      <c r="AB381" s="32">
        <v>0.0</v>
      </c>
      <c r="AC381" s="103" t="str">
        <f>IFERROR(__xludf.DUMMYFUNCTION("if($C381="""","""",if(join("" - "",{iferror(filter('Student Groupings'!$A:$A,'Student Groupings'!$B:$B=$C381,'Student Groupings'!$H:$H=""Can't be Together""),"""");iferror(filter('Student Groupings'!$A:$A,'Student Groupings'!$E:$E=$C381,'Student Groupings"&amp;"'!$H:$H=""Can't be Together""),"""")})="" - "","""",join("" - "",{iferror(filter('Student Groupings'!$A:$A,'Student Groupings'!$B:$B=$C381,'Student Groupings'!$H:$H=""Can't be Together""),"""");iferror(filter('Student Groupings'!$A:$A,'Student Groupings'!"&amp;"$E:$E=$C381,'Student Groupings'!$H:$H=""Can't be Together""),"""")})))"),"")</f>
        <v/>
      </c>
      <c r="AD381" s="103" t="str">
        <f>IFERROR(__xludf.DUMMYFUNCTION("if($C381="""","""",if(join("" - "",{iferror(filter('Student Groupings'!$A:$A,'Student Groupings'!$B:$B=$C381,'Student Groupings'!$H:$H=""Must be Together""),"""");iferror(filter('Student Groupings'!$A:$A,'Student Groupings'!$E:$E=$C381,'Student Groupings'"&amp;"!$H:$H=""Must be Together""),"""")})="" - "","""",join("" - "",{iferror(filter('Student Groupings'!$A:$A,'Student Groupings'!$B:$B=$C381,'Student Groupings'!$H:$H=""Must be Together""),"""");iferror(filter('Student Groupings'!$A:$A,'Student Groupings'!$E:"&amp;"$E=$C381,'Student Groupings'!$H:$H=""Must be Together""),"""")})))"),"")</f>
        <v/>
      </c>
      <c r="AE381" s="104"/>
      <c r="AF381" s="104"/>
      <c r="AG381" s="104"/>
      <c r="AH381" s="104"/>
    </row>
    <row r="382">
      <c r="A382" s="101">
        <v>8.0</v>
      </c>
      <c r="B382" s="101">
        <v>29100.0</v>
      </c>
      <c r="C382" s="102" t="s">
        <v>278</v>
      </c>
      <c r="D382" s="52" t="s">
        <v>176</v>
      </c>
      <c r="E382" s="52">
        <v>3.0</v>
      </c>
      <c r="F382" s="52" t="s">
        <v>170</v>
      </c>
      <c r="G382" s="101">
        <v>1.0</v>
      </c>
      <c r="H382" s="52" t="s">
        <v>185</v>
      </c>
      <c r="I382" s="52">
        <v>5.0</v>
      </c>
      <c r="J382" s="52" t="s">
        <v>190</v>
      </c>
      <c r="K382" s="52">
        <v>2.0</v>
      </c>
      <c r="L382" s="52" t="s">
        <v>201</v>
      </c>
      <c r="M382" s="52">
        <v>4.0</v>
      </c>
      <c r="N382" s="52" t="s">
        <v>149</v>
      </c>
      <c r="O382" s="52" t="s">
        <v>120</v>
      </c>
      <c r="P382" s="52" t="s">
        <v>141</v>
      </c>
      <c r="Q382" s="52" t="s">
        <v>109</v>
      </c>
      <c r="R382" s="52" t="s">
        <v>141</v>
      </c>
      <c r="S382" s="52" t="s">
        <v>109</v>
      </c>
      <c r="T382" s="65" t="s">
        <v>30</v>
      </c>
      <c r="U382" s="32">
        <v>1.0</v>
      </c>
      <c r="V382" s="32">
        <v>1.0</v>
      </c>
      <c r="W382" s="32">
        <v>1.0</v>
      </c>
      <c r="X382" s="32">
        <v>1.0</v>
      </c>
      <c r="Y382" s="32">
        <v>1.0</v>
      </c>
      <c r="Z382" s="32">
        <v>1.0</v>
      </c>
      <c r="AA382" s="32">
        <v>6.0</v>
      </c>
      <c r="AB382" s="32">
        <v>0.0</v>
      </c>
      <c r="AC382" s="103" t="str">
        <f>IFERROR(__xludf.DUMMYFUNCTION("if($C382="""","""",if(join("" - "",{iferror(filter('Student Groupings'!$A:$A,'Student Groupings'!$B:$B=$C382,'Student Groupings'!$H:$H=""Can't be Together""),"""");iferror(filter('Student Groupings'!$A:$A,'Student Groupings'!$E:$E=$C382,'Student Groupings"&amp;"'!$H:$H=""Can't be Together""),"""")})="" - "","""",join("" - "",{iferror(filter('Student Groupings'!$A:$A,'Student Groupings'!$B:$B=$C382,'Student Groupings'!$H:$H=""Can't be Together""),"""");iferror(filter('Student Groupings'!$A:$A,'Student Groupings'!"&amp;"$E:$E=$C382,'Student Groupings'!$H:$H=""Can't be Together""),"""")})))"),"70 - 71 - 72 - 73 - 57 - 61 - 65 - 69")</f>
        <v>70 - 71 - 72 - 73 - 57 - 61 - 65 - 69</v>
      </c>
      <c r="AD382" s="103" t="str">
        <f>IFERROR(__xludf.DUMMYFUNCTION("if($C382="""","""",if(join("" - "",{iferror(filter('Student Groupings'!$A:$A,'Student Groupings'!$B:$B=$C382,'Student Groupings'!$H:$H=""Must be Together""),"""");iferror(filter('Student Groupings'!$A:$A,'Student Groupings'!$E:$E=$C382,'Student Groupings'"&amp;"!$H:$H=""Must be Together""),"""")})="" - "","""",join("" - "",{iferror(filter('Student Groupings'!$A:$A,'Student Groupings'!$B:$B=$C382,'Student Groupings'!$H:$H=""Must be Together""),"""");iferror(filter('Student Groupings'!$A:$A,'Student Groupings'!$E:"&amp;"$E=$C382,'Student Groupings'!$H:$H=""Must be Together""),"""")})))"),"")</f>
        <v/>
      </c>
      <c r="AE382" s="104"/>
      <c r="AF382" s="104"/>
      <c r="AG382" s="104"/>
      <c r="AH382" s="104"/>
    </row>
    <row r="383">
      <c r="A383" s="101">
        <v>8.0</v>
      </c>
      <c r="B383" s="101">
        <v>29101.0</v>
      </c>
      <c r="C383" s="102" t="s">
        <v>616</v>
      </c>
      <c r="D383" s="52" t="s">
        <v>176</v>
      </c>
      <c r="E383" s="52">
        <v>6.0</v>
      </c>
      <c r="F383" s="52" t="s">
        <v>167</v>
      </c>
      <c r="G383" s="52">
        <v>4.0</v>
      </c>
      <c r="H383" s="52" t="s">
        <v>185</v>
      </c>
      <c r="I383" s="52">
        <v>3.0</v>
      </c>
      <c r="J383" s="52" t="s">
        <v>190</v>
      </c>
      <c r="K383" s="52">
        <v>5.0</v>
      </c>
      <c r="L383" s="52" t="s">
        <v>201</v>
      </c>
      <c r="M383" s="52">
        <v>1.0</v>
      </c>
      <c r="N383" s="52" t="s">
        <v>149</v>
      </c>
      <c r="O383" s="52" t="s">
        <v>125</v>
      </c>
      <c r="P383" s="52" t="s">
        <v>141</v>
      </c>
      <c r="Q383" s="52" t="s">
        <v>119</v>
      </c>
      <c r="R383" s="52" t="s">
        <v>141</v>
      </c>
      <c r="S383" s="52" t="s">
        <v>119</v>
      </c>
      <c r="T383" s="65" t="s">
        <v>30</v>
      </c>
      <c r="U383" s="32">
        <v>1.0</v>
      </c>
      <c r="V383" s="32">
        <v>1.0</v>
      </c>
      <c r="W383" s="32">
        <v>1.0</v>
      </c>
      <c r="X383" s="32">
        <v>1.0</v>
      </c>
      <c r="Y383" s="32">
        <v>1.0</v>
      </c>
      <c r="Z383" s="32">
        <v>1.0</v>
      </c>
      <c r="AA383" s="32">
        <v>6.0</v>
      </c>
      <c r="AB383" s="32">
        <v>0.0</v>
      </c>
      <c r="AC383" s="103" t="str">
        <f>IFERROR(__xludf.DUMMYFUNCTION("if($C383="""","""",if(join("" - "",{iferror(filter('Student Groupings'!$A:$A,'Student Groupings'!$B:$B=$C383,'Student Groupings'!$H:$H=""Can't be Together""),"""");iferror(filter('Student Groupings'!$A:$A,'Student Groupings'!$E:$E=$C383,'Student Groupings"&amp;"'!$H:$H=""Can't be Together""),"""")})="" - "","""",join("" - "",{iferror(filter('Student Groupings'!$A:$A,'Student Groupings'!$B:$B=$C383,'Student Groupings'!$H:$H=""Can't be Together""),"""");iferror(filter('Student Groupings'!$A:$A,'Student Groupings'!"&amp;"$E:$E=$C383,'Student Groupings'!$H:$H=""Can't be Together""),"""")})))"),"")</f>
        <v/>
      </c>
      <c r="AD383" s="103" t="str">
        <f>IFERROR(__xludf.DUMMYFUNCTION("if($C383="""","""",if(join("" - "",{iferror(filter('Student Groupings'!$A:$A,'Student Groupings'!$B:$B=$C383,'Student Groupings'!$H:$H=""Must be Together""),"""");iferror(filter('Student Groupings'!$A:$A,'Student Groupings'!$E:$E=$C383,'Student Groupings'"&amp;"!$H:$H=""Must be Together""),"""")})="" - "","""",join("" - "",{iferror(filter('Student Groupings'!$A:$A,'Student Groupings'!$B:$B=$C383,'Student Groupings'!$H:$H=""Must be Together""),"""");iferror(filter('Student Groupings'!$A:$A,'Student Groupings'!$E:"&amp;"$E=$C383,'Student Groupings'!$H:$H=""Must be Together""),"""")})))"),"")</f>
        <v/>
      </c>
      <c r="AE383" s="104"/>
      <c r="AF383" s="104"/>
      <c r="AG383" s="104"/>
      <c r="AH383" s="105">
        <v>1.0</v>
      </c>
    </row>
    <row r="384">
      <c r="A384" s="101">
        <v>8.0</v>
      </c>
      <c r="B384" s="101">
        <v>28160.0</v>
      </c>
      <c r="C384" s="102" t="s">
        <v>617</v>
      </c>
      <c r="D384" s="52" t="s">
        <v>176</v>
      </c>
      <c r="E384" s="52">
        <v>3.0</v>
      </c>
      <c r="F384" s="52" t="s">
        <v>162</v>
      </c>
      <c r="G384" s="52">
        <v>1.0</v>
      </c>
      <c r="H384" s="52" t="s">
        <v>185</v>
      </c>
      <c r="I384" s="52">
        <v>5.0</v>
      </c>
      <c r="J384" s="52" t="s">
        <v>190</v>
      </c>
      <c r="K384" s="52">
        <v>2.0</v>
      </c>
      <c r="L384" s="52" t="s">
        <v>201</v>
      </c>
      <c r="M384" s="52">
        <v>4.0</v>
      </c>
      <c r="N384" s="52" t="s">
        <v>149</v>
      </c>
      <c r="O384" s="52" t="s">
        <v>120</v>
      </c>
      <c r="P384" s="52" t="s">
        <v>141</v>
      </c>
      <c r="Q384" s="52" t="s">
        <v>109</v>
      </c>
      <c r="R384" s="52" t="s">
        <v>141</v>
      </c>
      <c r="S384" s="52" t="s">
        <v>109</v>
      </c>
      <c r="T384" s="65" t="s">
        <v>30</v>
      </c>
      <c r="U384" s="32">
        <v>1.0</v>
      </c>
      <c r="V384" s="32">
        <v>1.0</v>
      </c>
      <c r="W384" s="32">
        <v>1.0</v>
      </c>
      <c r="X384" s="32">
        <v>1.0</v>
      </c>
      <c r="Y384" s="32">
        <v>1.0</v>
      </c>
      <c r="Z384" s="32">
        <v>1.0</v>
      </c>
      <c r="AA384" s="32">
        <v>6.0</v>
      </c>
      <c r="AB384" s="32">
        <v>0.0</v>
      </c>
      <c r="AC384" s="103" t="str">
        <f>IFERROR(__xludf.DUMMYFUNCTION("if($C384="""","""",if(join("" - "",{iferror(filter('Student Groupings'!$A:$A,'Student Groupings'!$B:$B=$C384,'Student Groupings'!$H:$H=""Can't be Together""),"""");iferror(filter('Student Groupings'!$A:$A,'Student Groupings'!$E:$E=$C384,'Student Groupings"&amp;"'!$H:$H=""Can't be Together""),"""")})="" - "","""",join("" - "",{iferror(filter('Student Groupings'!$A:$A,'Student Groupings'!$B:$B=$C384,'Student Groupings'!$H:$H=""Can't be Together""),"""");iferror(filter('Student Groupings'!$A:$A,'Student Groupings'!"&amp;"$E:$E=$C384,'Student Groupings'!$H:$H=""Can't be Together""),"""")})))"),"")</f>
        <v/>
      </c>
      <c r="AD384" s="103" t="str">
        <f>IFERROR(__xludf.DUMMYFUNCTION("if($C384="""","""",if(join("" - "",{iferror(filter('Student Groupings'!$A:$A,'Student Groupings'!$B:$B=$C384,'Student Groupings'!$H:$H=""Must be Together""),"""");iferror(filter('Student Groupings'!$A:$A,'Student Groupings'!$E:$E=$C384,'Student Groupings'"&amp;"!$H:$H=""Must be Together""),"""")})="" - "","""",join("" - "",{iferror(filter('Student Groupings'!$A:$A,'Student Groupings'!$B:$B=$C384,'Student Groupings'!$H:$H=""Must be Together""),"""");iferror(filter('Student Groupings'!$A:$A,'Student Groupings'!$E:"&amp;"$E=$C384,'Student Groupings'!$H:$H=""Must be Together""),"""")})))"),"")</f>
        <v/>
      </c>
      <c r="AE384" s="104"/>
      <c r="AF384" s="104"/>
      <c r="AG384" s="104"/>
      <c r="AH384" s="104"/>
    </row>
    <row r="385">
      <c r="A385" s="101">
        <v>8.0</v>
      </c>
      <c r="B385" s="101">
        <v>29163.0</v>
      </c>
      <c r="C385" s="102" t="s">
        <v>618</v>
      </c>
      <c r="D385" s="52" t="s">
        <v>176</v>
      </c>
      <c r="E385" s="52">
        <v>2.0</v>
      </c>
      <c r="F385" s="52" t="s">
        <v>170</v>
      </c>
      <c r="G385" s="52">
        <v>1.0</v>
      </c>
      <c r="H385" s="52" t="s">
        <v>187</v>
      </c>
      <c r="I385" s="52">
        <v>6.0</v>
      </c>
      <c r="J385" s="52" t="s">
        <v>190</v>
      </c>
      <c r="K385" s="101">
        <v>4.0</v>
      </c>
      <c r="L385" s="52" t="s">
        <v>201</v>
      </c>
      <c r="M385" s="101">
        <v>3.0</v>
      </c>
      <c r="N385" s="52" t="s">
        <v>149</v>
      </c>
      <c r="O385" s="52" t="s">
        <v>124</v>
      </c>
      <c r="P385" s="52" t="s">
        <v>141</v>
      </c>
      <c r="Q385" s="52" t="s">
        <v>112</v>
      </c>
      <c r="R385" s="52" t="s">
        <v>141</v>
      </c>
      <c r="S385" s="52" t="s">
        <v>112</v>
      </c>
      <c r="T385" s="65" t="s">
        <v>30</v>
      </c>
      <c r="U385" s="32">
        <v>1.0</v>
      </c>
      <c r="V385" s="32">
        <v>1.0</v>
      </c>
      <c r="W385" s="32">
        <v>1.0</v>
      </c>
      <c r="X385" s="32">
        <v>1.0</v>
      </c>
      <c r="Y385" s="32">
        <v>1.0</v>
      </c>
      <c r="Z385" s="32">
        <v>1.0</v>
      </c>
      <c r="AA385" s="32">
        <v>6.0</v>
      </c>
      <c r="AB385" s="32">
        <v>0.0</v>
      </c>
      <c r="AC385" s="103" t="str">
        <f>IFERROR(__xludf.DUMMYFUNCTION("if($C385="""","""",if(join("" - "",{iferror(filter('Student Groupings'!$A:$A,'Student Groupings'!$B:$B=$C385,'Student Groupings'!$H:$H=""Can't be Together""),"""");iferror(filter('Student Groupings'!$A:$A,'Student Groupings'!$E:$E=$C385,'Student Groupings"&amp;"'!$H:$H=""Can't be Together""),"""")})="" - "","""",join("" - "",{iferror(filter('Student Groupings'!$A:$A,'Student Groupings'!$B:$B=$C385,'Student Groupings'!$H:$H=""Can't be Together""),"""");iferror(filter('Student Groupings'!$A:$A,'Student Groupings'!"&amp;"$E:$E=$C385,'Student Groupings'!$H:$H=""Can't be Together""),"""")})))"),"")</f>
        <v/>
      </c>
      <c r="AD385" s="103" t="str">
        <f>IFERROR(__xludf.DUMMYFUNCTION("if($C385="""","""",if(join("" - "",{iferror(filter('Student Groupings'!$A:$A,'Student Groupings'!$B:$B=$C385,'Student Groupings'!$H:$H=""Must be Together""),"""");iferror(filter('Student Groupings'!$A:$A,'Student Groupings'!$E:$E=$C385,'Student Groupings'"&amp;"!$H:$H=""Must be Together""),"""")})="" - "","""",join("" - "",{iferror(filter('Student Groupings'!$A:$A,'Student Groupings'!$B:$B=$C385,'Student Groupings'!$H:$H=""Must be Together""),"""");iferror(filter('Student Groupings'!$A:$A,'Student Groupings'!$E:"&amp;"$E=$C385,'Student Groupings'!$H:$H=""Must be Together""),"""")})))"),"")</f>
        <v/>
      </c>
      <c r="AE385" s="104"/>
      <c r="AF385" s="104"/>
      <c r="AG385" s="104"/>
      <c r="AH385" s="104"/>
    </row>
    <row r="386">
      <c r="A386" s="101">
        <v>8.0</v>
      </c>
      <c r="B386" s="101">
        <v>29103.0</v>
      </c>
      <c r="C386" s="102" t="s">
        <v>294</v>
      </c>
      <c r="D386" s="52" t="s">
        <v>176</v>
      </c>
      <c r="E386" s="52">
        <v>4.0</v>
      </c>
      <c r="F386" s="52" t="s">
        <v>162</v>
      </c>
      <c r="G386" s="52">
        <v>6.0</v>
      </c>
      <c r="H386" s="52" t="s">
        <v>185</v>
      </c>
      <c r="I386" s="101">
        <v>5.0</v>
      </c>
      <c r="J386" s="52" t="s">
        <v>190</v>
      </c>
      <c r="K386" s="101">
        <v>3.0</v>
      </c>
      <c r="L386" s="52" t="s">
        <v>201</v>
      </c>
      <c r="M386" s="101">
        <v>2.0</v>
      </c>
      <c r="N386" s="52" t="s">
        <v>149</v>
      </c>
      <c r="O386" s="52" t="s">
        <v>108</v>
      </c>
      <c r="P386" s="52" t="s">
        <v>141</v>
      </c>
      <c r="Q386" s="52" t="s">
        <v>129</v>
      </c>
      <c r="R386" s="52" t="s">
        <v>141</v>
      </c>
      <c r="S386" s="52" t="s">
        <v>129</v>
      </c>
      <c r="T386" s="65" t="s">
        <v>30</v>
      </c>
      <c r="U386" s="32">
        <v>1.0</v>
      </c>
      <c r="V386" s="32">
        <v>1.0</v>
      </c>
      <c r="W386" s="32">
        <v>1.0</v>
      </c>
      <c r="X386" s="32">
        <v>1.0</v>
      </c>
      <c r="Y386" s="32">
        <v>1.0</v>
      </c>
      <c r="Z386" s="32">
        <v>1.0</v>
      </c>
      <c r="AA386" s="32">
        <v>6.0</v>
      </c>
      <c r="AB386" s="32">
        <v>0.0</v>
      </c>
      <c r="AC386" s="103" t="str">
        <f>IFERROR(__xludf.DUMMYFUNCTION("if($C386="""","""",if(join("" - "",{iferror(filter('Student Groupings'!$A:$A,'Student Groupings'!$B:$B=$C386,'Student Groupings'!$H:$H=""Can't be Together""),"""");iferror(filter('Student Groupings'!$A:$A,'Student Groupings'!$E:$E=$C386,'Student Groupings"&amp;"'!$H:$H=""Can't be Together""),"""")})="" - "","""",join("" - "",{iferror(filter('Student Groupings'!$A:$A,'Student Groupings'!$B:$B=$C386,'Student Groupings'!$H:$H=""Can't be Together""),"""");iferror(filter('Student Groupings'!$A:$A,'Student Groupings'!"&amp;"$E:$E=$C386,'Student Groupings'!$H:$H=""Can't be Together""),"""")})))")," - 123")</f>
        <v> - 123</v>
      </c>
      <c r="AD386" s="103" t="str">
        <f>IFERROR(__xludf.DUMMYFUNCTION("if($C386="""","""",if(join("" - "",{iferror(filter('Student Groupings'!$A:$A,'Student Groupings'!$B:$B=$C386,'Student Groupings'!$H:$H=""Must be Together""),"""");iferror(filter('Student Groupings'!$A:$A,'Student Groupings'!$E:$E=$C386,'Student Groupings'"&amp;"!$H:$H=""Must be Together""),"""")})="" - "","""",join("" - "",{iferror(filter('Student Groupings'!$A:$A,'Student Groupings'!$B:$B=$C386,'Student Groupings'!$H:$H=""Must be Together""),"""");iferror(filter('Student Groupings'!$A:$A,'Student Groupings'!$E:"&amp;"$E=$C386,'Student Groupings'!$H:$H=""Must be Together""),"""")})))"),"")</f>
        <v/>
      </c>
      <c r="AE386" s="104"/>
      <c r="AF386" s="104"/>
      <c r="AG386" s="104"/>
      <c r="AH386" s="104"/>
    </row>
    <row r="387">
      <c r="A387" s="101">
        <v>8.0</v>
      </c>
      <c r="B387" s="101">
        <v>29149.0</v>
      </c>
      <c r="C387" s="102" t="s">
        <v>619</v>
      </c>
      <c r="D387" s="52" t="s">
        <v>176</v>
      </c>
      <c r="E387" s="52">
        <v>6.0</v>
      </c>
      <c r="F387" s="52" t="s">
        <v>167</v>
      </c>
      <c r="G387" s="52">
        <v>3.0</v>
      </c>
      <c r="H387" s="52" t="s">
        <v>185</v>
      </c>
      <c r="I387" s="101">
        <v>2.0</v>
      </c>
      <c r="J387" s="52" t="s">
        <v>190</v>
      </c>
      <c r="K387" s="101">
        <v>5.0</v>
      </c>
      <c r="L387" s="52" t="s">
        <v>201</v>
      </c>
      <c r="M387" s="101">
        <v>1.0</v>
      </c>
      <c r="N387" s="52" t="s">
        <v>149</v>
      </c>
      <c r="O387" s="52" t="s">
        <v>111</v>
      </c>
      <c r="P387" s="52" t="s">
        <v>135</v>
      </c>
      <c r="Q387" s="52" t="s">
        <v>130</v>
      </c>
      <c r="R387" s="52" t="s">
        <v>118</v>
      </c>
      <c r="S387" s="52" t="s">
        <v>130</v>
      </c>
      <c r="T387" s="65" t="s">
        <v>27</v>
      </c>
      <c r="U387" s="32">
        <v>1.0</v>
      </c>
      <c r="V387" s="32">
        <v>1.0</v>
      </c>
      <c r="W387" s="32">
        <v>1.0</v>
      </c>
      <c r="X387" s="32">
        <v>1.0</v>
      </c>
      <c r="Y387" s="32">
        <v>1.0</v>
      </c>
      <c r="Z387" s="32">
        <v>1.0</v>
      </c>
      <c r="AA387" s="32">
        <v>6.0</v>
      </c>
      <c r="AB387" s="32">
        <v>0.0</v>
      </c>
      <c r="AC387" s="103" t="str">
        <f>IFERROR(__xludf.DUMMYFUNCTION("if($C387="""","""",if(join("" - "",{iferror(filter('Student Groupings'!$A:$A,'Student Groupings'!$B:$B=$C387,'Student Groupings'!$H:$H=""Can't be Together""),"""");iferror(filter('Student Groupings'!$A:$A,'Student Groupings'!$E:$E=$C387,'Student Groupings"&amp;"'!$H:$H=""Can't be Together""),"""")})="" - "","""",join("" - "",{iferror(filter('Student Groupings'!$A:$A,'Student Groupings'!$B:$B=$C387,'Student Groupings'!$H:$H=""Can't be Together""),"""");iferror(filter('Student Groupings'!$A:$A,'Student Groupings'!"&amp;"$E:$E=$C387,'Student Groupings'!$H:$H=""Can't be Together""),"""")})))"),"")</f>
        <v/>
      </c>
      <c r="AD387" s="103" t="str">
        <f>IFERROR(__xludf.DUMMYFUNCTION("if($C387="""","""",if(join("" - "",{iferror(filter('Student Groupings'!$A:$A,'Student Groupings'!$B:$B=$C387,'Student Groupings'!$H:$H=""Must be Together""),"""");iferror(filter('Student Groupings'!$A:$A,'Student Groupings'!$E:$E=$C387,'Student Groupings'"&amp;"!$H:$H=""Must be Together""),"""")})="" - "","""",join("" - "",{iferror(filter('Student Groupings'!$A:$A,'Student Groupings'!$B:$B=$C387,'Student Groupings'!$H:$H=""Must be Together""),"""");iferror(filter('Student Groupings'!$A:$A,'Student Groupings'!$E:"&amp;"$E=$C387,'Student Groupings'!$H:$H=""Must be Together""),"""")})))"),"")</f>
        <v/>
      </c>
      <c r="AE387" s="104"/>
      <c r="AF387" s="104"/>
      <c r="AG387" s="104"/>
      <c r="AH387" s="104"/>
    </row>
    <row r="388">
      <c r="A388" s="101">
        <v>8.0</v>
      </c>
      <c r="B388" s="101">
        <v>29105.0</v>
      </c>
      <c r="C388" s="102" t="s">
        <v>620</v>
      </c>
      <c r="D388" s="52" t="s">
        <v>177</v>
      </c>
      <c r="E388" s="52">
        <v>4.0</v>
      </c>
      <c r="F388" s="52" t="s">
        <v>170</v>
      </c>
      <c r="G388" s="52">
        <v>1.0</v>
      </c>
      <c r="H388" s="52" t="s">
        <v>187</v>
      </c>
      <c r="I388" s="52">
        <v>6.0</v>
      </c>
      <c r="J388" s="52" t="s">
        <v>191</v>
      </c>
      <c r="K388" s="52">
        <v>3.0</v>
      </c>
      <c r="L388" s="52" t="s">
        <v>202</v>
      </c>
      <c r="M388" s="52">
        <v>2.0</v>
      </c>
      <c r="N388" s="52" t="s">
        <v>149</v>
      </c>
      <c r="O388" s="52" t="s">
        <v>124</v>
      </c>
      <c r="P388" s="52" t="s">
        <v>141</v>
      </c>
      <c r="Q388" s="52" t="s">
        <v>112</v>
      </c>
      <c r="R388" s="52" t="s">
        <v>141</v>
      </c>
      <c r="S388" s="52" t="s">
        <v>112</v>
      </c>
      <c r="T388" s="65" t="s">
        <v>30</v>
      </c>
      <c r="U388" s="32">
        <v>1.0</v>
      </c>
      <c r="V388" s="32">
        <v>1.0</v>
      </c>
      <c r="W388" s="32">
        <v>1.0</v>
      </c>
      <c r="X388" s="32">
        <v>1.0</v>
      </c>
      <c r="Y388" s="32">
        <v>1.0</v>
      </c>
      <c r="Z388" s="32">
        <v>1.0</v>
      </c>
      <c r="AA388" s="32">
        <v>6.0</v>
      </c>
      <c r="AB388" s="32">
        <v>0.0</v>
      </c>
      <c r="AC388" s="103" t="str">
        <f>IFERROR(__xludf.DUMMYFUNCTION("if($C388="""","""",if(join("" - "",{iferror(filter('Student Groupings'!$A:$A,'Student Groupings'!$B:$B=$C388,'Student Groupings'!$H:$H=""Can't be Together""),"""");iferror(filter('Student Groupings'!$A:$A,'Student Groupings'!$E:$E=$C388,'Student Groupings"&amp;"'!$H:$H=""Can't be Together""),"""")})="" - "","""",join("" - "",{iferror(filter('Student Groupings'!$A:$A,'Student Groupings'!$B:$B=$C388,'Student Groupings'!$H:$H=""Can't be Together""),"""");iferror(filter('Student Groupings'!$A:$A,'Student Groupings'!"&amp;"$E:$E=$C388,'Student Groupings'!$H:$H=""Can't be Together""),"""")})))"),"")</f>
        <v/>
      </c>
      <c r="AD388" s="103" t="str">
        <f>IFERROR(__xludf.DUMMYFUNCTION("if($C388="""","""",if(join("" - "",{iferror(filter('Student Groupings'!$A:$A,'Student Groupings'!$B:$B=$C388,'Student Groupings'!$H:$H=""Must be Together""),"""");iferror(filter('Student Groupings'!$A:$A,'Student Groupings'!$E:$E=$C388,'Student Groupings'"&amp;"!$H:$H=""Must be Together""),"""")})="" - "","""",join("" - "",{iferror(filter('Student Groupings'!$A:$A,'Student Groupings'!$B:$B=$C388,'Student Groupings'!$H:$H=""Must be Together""),"""");iferror(filter('Student Groupings'!$A:$A,'Student Groupings'!$E:"&amp;"$E=$C388,'Student Groupings'!$H:$H=""Must be Together""),"""")})))"),"")</f>
        <v/>
      </c>
      <c r="AE388" s="104"/>
      <c r="AF388" s="104"/>
      <c r="AG388" s="104"/>
      <c r="AH388" s="104"/>
    </row>
    <row r="389">
      <c r="A389" s="101">
        <v>8.0</v>
      </c>
      <c r="B389" s="101">
        <v>29106.0</v>
      </c>
      <c r="C389" s="102" t="s">
        <v>621</v>
      </c>
      <c r="D389" s="52" t="s">
        <v>177</v>
      </c>
      <c r="E389" s="52">
        <v>4.0</v>
      </c>
      <c r="F389" s="52" t="s">
        <v>167</v>
      </c>
      <c r="G389" s="52">
        <v>5.0</v>
      </c>
      <c r="H389" s="52" t="s">
        <v>185</v>
      </c>
      <c r="I389" s="52">
        <v>6.0</v>
      </c>
      <c r="J389" s="52" t="s">
        <v>191</v>
      </c>
      <c r="K389" s="52">
        <v>3.0</v>
      </c>
      <c r="L389" s="52" t="s">
        <v>202</v>
      </c>
      <c r="M389" s="52">
        <v>2.0</v>
      </c>
      <c r="N389" s="52" t="s">
        <v>149</v>
      </c>
      <c r="O389" s="52" t="s">
        <v>108</v>
      </c>
      <c r="P389" s="52" t="s">
        <v>141</v>
      </c>
      <c r="Q389" s="52" t="s">
        <v>129</v>
      </c>
      <c r="R389" s="52" t="s">
        <v>141</v>
      </c>
      <c r="S389" s="52" t="s">
        <v>129</v>
      </c>
      <c r="T389" s="65" t="s">
        <v>30</v>
      </c>
      <c r="U389" s="32">
        <v>1.0</v>
      </c>
      <c r="V389" s="32">
        <v>1.0</v>
      </c>
      <c r="W389" s="32">
        <v>1.0</v>
      </c>
      <c r="X389" s="32">
        <v>1.0</v>
      </c>
      <c r="Y389" s="32">
        <v>1.0</v>
      </c>
      <c r="Z389" s="32">
        <v>1.0</v>
      </c>
      <c r="AA389" s="32">
        <v>6.0</v>
      </c>
      <c r="AB389" s="32">
        <v>0.0</v>
      </c>
      <c r="AC389" s="103" t="str">
        <f>IFERROR(__xludf.DUMMYFUNCTION("if($C389="""","""",if(join("" - "",{iferror(filter('Student Groupings'!$A:$A,'Student Groupings'!$B:$B=$C389,'Student Groupings'!$H:$H=""Can't be Together""),"""");iferror(filter('Student Groupings'!$A:$A,'Student Groupings'!$E:$E=$C389,'Student Groupings"&amp;"'!$H:$H=""Can't be Together""),"""")})="" - "","""",join("" - "",{iferror(filter('Student Groupings'!$A:$A,'Student Groupings'!$B:$B=$C389,'Student Groupings'!$H:$H=""Can't be Together""),"""");iferror(filter('Student Groupings'!$A:$A,'Student Groupings'!"&amp;"$E:$E=$C389,'Student Groupings'!$H:$H=""Can't be Together""),"""")})))"),"")</f>
        <v/>
      </c>
      <c r="AD389" s="103" t="str">
        <f>IFERROR(__xludf.DUMMYFUNCTION("if($C389="""","""",if(join("" - "",{iferror(filter('Student Groupings'!$A:$A,'Student Groupings'!$B:$B=$C389,'Student Groupings'!$H:$H=""Must be Together""),"""");iferror(filter('Student Groupings'!$A:$A,'Student Groupings'!$E:$E=$C389,'Student Groupings'"&amp;"!$H:$H=""Must be Together""),"""")})="" - "","""",join("" - "",{iferror(filter('Student Groupings'!$A:$A,'Student Groupings'!$B:$B=$C389,'Student Groupings'!$H:$H=""Must be Together""),"""");iferror(filter('Student Groupings'!$A:$A,'Student Groupings'!$E:"&amp;"$E=$C389,'Student Groupings'!$H:$H=""Must be Together""),"""")})))"),"")</f>
        <v/>
      </c>
      <c r="AE389" s="104"/>
      <c r="AF389" s="104"/>
      <c r="AG389" s="104"/>
      <c r="AH389" s="104"/>
    </row>
    <row r="390">
      <c r="A390" s="101">
        <v>8.0</v>
      </c>
      <c r="B390" s="101">
        <v>29107.0</v>
      </c>
      <c r="C390" s="102" t="s">
        <v>622</v>
      </c>
      <c r="D390" s="52" t="s">
        <v>176</v>
      </c>
      <c r="E390" s="52">
        <v>5.0</v>
      </c>
      <c r="F390" s="52" t="s">
        <v>167</v>
      </c>
      <c r="G390" s="52">
        <v>4.0</v>
      </c>
      <c r="H390" s="52" t="s">
        <v>185</v>
      </c>
      <c r="I390" s="52">
        <v>3.0</v>
      </c>
      <c r="J390" s="52" t="s">
        <v>190</v>
      </c>
      <c r="K390" s="52">
        <v>1.0</v>
      </c>
      <c r="L390" s="52" t="s">
        <v>201</v>
      </c>
      <c r="M390" s="52">
        <v>6.0</v>
      </c>
      <c r="N390" s="52" t="s">
        <v>149</v>
      </c>
      <c r="O390" s="52" t="s">
        <v>125</v>
      </c>
      <c r="P390" s="52" t="s">
        <v>141</v>
      </c>
      <c r="Q390" s="52" t="s">
        <v>119</v>
      </c>
      <c r="R390" s="52" t="s">
        <v>141</v>
      </c>
      <c r="S390" s="52" t="s">
        <v>119</v>
      </c>
      <c r="T390" s="65" t="s">
        <v>30</v>
      </c>
      <c r="U390" s="32">
        <v>1.0</v>
      </c>
      <c r="V390" s="32">
        <v>1.0</v>
      </c>
      <c r="W390" s="32">
        <v>1.0</v>
      </c>
      <c r="X390" s="32">
        <v>1.0</v>
      </c>
      <c r="Y390" s="32">
        <v>1.0</v>
      </c>
      <c r="Z390" s="32">
        <v>1.0</v>
      </c>
      <c r="AA390" s="32">
        <v>6.0</v>
      </c>
      <c r="AB390" s="32">
        <v>0.0</v>
      </c>
      <c r="AC390" s="103" t="str">
        <f>IFERROR(__xludf.DUMMYFUNCTION("if($C390="""","""",if(join("" - "",{iferror(filter('Student Groupings'!$A:$A,'Student Groupings'!$B:$B=$C390,'Student Groupings'!$H:$H=""Can't be Together""),"""");iferror(filter('Student Groupings'!$A:$A,'Student Groupings'!$E:$E=$C390,'Student Groupings"&amp;"'!$H:$H=""Can't be Together""),"""")})="" - "","""",join("" - "",{iferror(filter('Student Groupings'!$A:$A,'Student Groupings'!$B:$B=$C390,'Student Groupings'!$H:$H=""Can't be Together""),"""");iferror(filter('Student Groupings'!$A:$A,'Student Groupings'!"&amp;"$E:$E=$C390,'Student Groupings'!$H:$H=""Can't be Together""),"""")})))"),"")</f>
        <v/>
      </c>
      <c r="AD390" s="103" t="str">
        <f>IFERROR(__xludf.DUMMYFUNCTION("if($C390="""","""",if(join("" - "",{iferror(filter('Student Groupings'!$A:$A,'Student Groupings'!$B:$B=$C390,'Student Groupings'!$H:$H=""Must be Together""),"""");iferror(filter('Student Groupings'!$A:$A,'Student Groupings'!$E:$E=$C390,'Student Groupings'"&amp;"!$H:$H=""Must be Together""),"""")})="" - "","""",join("" - "",{iferror(filter('Student Groupings'!$A:$A,'Student Groupings'!$B:$B=$C390,'Student Groupings'!$H:$H=""Must be Together""),"""");iferror(filter('Student Groupings'!$A:$A,'Student Groupings'!$E:"&amp;"$E=$C390,'Student Groupings'!$H:$H=""Must be Together""),"""")})))"),"")</f>
        <v/>
      </c>
      <c r="AE390" s="104"/>
      <c r="AF390" s="104"/>
      <c r="AG390" s="104"/>
      <c r="AH390" s="104"/>
    </row>
    <row r="391">
      <c r="A391" s="101">
        <v>8.0</v>
      </c>
      <c r="B391" s="101">
        <v>29108.0</v>
      </c>
      <c r="C391" s="102" t="s">
        <v>292</v>
      </c>
      <c r="D391" s="52" t="s">
        <v>177</v>
      </c>
      <c r="E391" s="52">
        <v>4.0</v>
      </c>
      <c r="F391" s="52" t="s">
        <v>162</v>
      </c>
      <c r="G391" s="52">
        <v>6.0</v>
      </c>
      <c r="H391" s="52" t="s">
        <v>185</v>
      </c>
      <c r="I391" s="52">
        <v>1.0</v>
      </c>
      <c r="J391" s="52" t="s">
        <v>191</v>
      </c>
      <c r="K391" s="52">
        <v>3.0</v>
      </c>
      <c r="L391" s="52" t="s">
        <v>202</v>
      </c>
      <c r="M391" s="52">
        <v>2.0</v>
      </c>
      <c r="N391" s="52" t="s">
        <v>149</v>
      </c>
      <c r="O391" s="52" t="s">
        <v>112</v>
      </c>
      <c r="P391" s="52" t="s">
        <v>135</v>
      </c>
      <c r="Q391" s="52" t="s">
        <v>124</v>
      </c>
      <c r="R391" s="52" t="s">
        <v>118</v>
      </c>
      <c r="S391" s="52" t="s">
        <v>124</v>
      </c>
      <c r="T391" s="65" t="s">
        <v>27</v>
      </c>
      <c r="U391" s="32">
        <v>1.0</v>
      </c>
      <c r="V391" s="32">
        <v>1.0</v>
      </c>
      <c r="W391" s="32">
        <v>1.0</v>
      </c>
      <c r="X391" s="32">
        <v>1.0</v>
      </c>
      <c r="Y391" s="32">
        <v>1.0</v>
      </c>
      <c r="Z391" s="32">
        <v>1.0</v>
      </c>
      <c r="AA391" s="32">
        <v>6.0</v>
      </c>
      <c r="AB391" s="32">
        <v>0.0</v>
      </c>
      <c r="AC391" s="103" t="str">
        <f>IFERROR(__xludf.DUMMYFUNCTION("if($C391="""","""",if(join("" - "",{iferror(filter('Student Groupings'!$A:$A,'Student Groupings'!$B:$B=$C391,'Student Groupings'!$H:$H=""Can't be Together""),"""");iferror(filter('Student Groupings'!$A:$A,'Student Groupings'!$E:$E=$C391,'Student Groupings"&amp;"'!$H:$H=""Can't be Together""),"""")})="" - "","""",join("" - "",{iferror(filter('Student Groupings'!$A:$A,'Student Groupings'!$B:$B=$C391,'Student Groupings'!$H:$H=""Can't be Together""),"""");iferror(filter('Student Groupings'!$A:$A,'Student Groupings'!"&amp;"$E:$E=$C391,'Student Groupings'!$H:$H=""Can't be Together""),"""")})))"),"")</f>
        <v/>
      </c>
      <c r="AD391" s="103" t="str">
        <f>IFERROR(__xludf.DUMMYFUNCTION("if($C391="""","""",if(join("" - "",{iferror(filter('Student Groupings'!$A:$A,'Student Groupings'!$B:$B=$C391,'Student Groupings'!$H:$H=""Must be Together""),"""");iferror(filter('Student Groupings'!$A:$A,'Student Groupings'!$E:$E=$C391,'Student Groupings'"&amp;"!$H:$H=""Must be Together""),"""")})="" - "","""",join("" - "",{iferror(filter('Student Groupings'!$A:$A,'Student Groupings'!$B:$B=$C391,'Student Groupings'!$H:$H=""Must be Together""),"""");iferror(filter('Student Groupings'!$A:$A,'Student Groupings'!$E:"&amp;"$E=$C391,'Student Groupings'!$H:$H=""Must be Together""),"""")})))")," - 122")</f>
        <v> - 122</v>
      </c>
      <c r="AE391" s="104"/>
      <c r="AF391" s="104"/>
      <c r="AG391" s="104"/>
      <c r="AH391" s="104"/>
    </row>
    <row r="392">
      <c r="A392" s="101">
        <v>8.0</v>
      </c>
      <c r="B392" s="101">
        <v>29171.0</v>
      </c>
      <c r="C392" s="102" t="s">
        <v>623</v>
      </c>
      <c r="D392" s="52" t="s">
        <v>177</v>
      </c>
      <c r="E392" s="52">
        <v>4.0</v>
      </c>
      <c r="F392" s="52" t="s">
        <v>162</v>
      </c>
      <c r="G392" s="52">
        <v>1.0</v>
      </c>
      <c r="H392" s="52" t="s">
        <v>185</v>
      </c>
      <c r="I392" s="52">
        <v>6.0</v>
      </c>
      <c r="J392" s="52" t="s">
        <v>191</v>
      </c>
      <c r="K392" s="52">
        <v>3.0</v>
      </c>
      <c r="L392" s="52" t="s">
        <v>197</v>
      </c>
      <c r="M392" s="52">
        <v>2.0</v>
      </c>
      <c r="N392" s="52" t="s">
        <v>149</v>
      </c>
      <c r="O392" s="52" t="s">
        <v>124</v>
      </c>
      <c r="P392" s="52" t="s">
        <v>141</v>
      </c>
      <c r="Q392" s="52" t="s">
        <v>112</v>
      </c>
      <c r="R392" s="52" t="s">
        <v>141</v>
      </c>
      <c r="S392" s="52" t="s">
        <v>112</v>
      </c>
      <c r="T392" s="65" t="s">
        <v>8</v>
      </c>
      <c r="U392" s="32">
        <v>1.0</v>
      </c>
      <c r="V392" s="32">
        <v>1.0</v>
      </c>
      <c r="W392" s="32">
        <v>1.0</v>
      </c>
      <c r="X392" s="32">
        <v>1.0</v>
      </c>
      <c r="Y392" s="32">
        <v>1.0</v>
      </c>
      <c r="Z392" s="32">
        <v>1.0</v>
      </c>
      <c r="AA392" s="32">
        <v>6.0</v>
      </c>
      <c r="AB392" s="32">
        <v>0.0</v>
      </c>
      <c r="AC392" s="103" t="str">
        <f>IFERROR(__xludf.DUMMYFUNCTION("if($C392="""","""",if(join("" - "",{iferror(filter('Student Groupings'!$A:$A,'Student Groupings'!$B:$B=$C392,'Student Groupings'!$H:$H=""Can't be Together""),"""");iferror(filter('Student Groupings'!$A:$A,'Student Groupings'!$E:$E=$C392,'Student Groupings"&amp;"'!$H:$H=""Can't be Together""),"""")})="" - "","""",join("" - "",{iferror(filter('Student Groupings'!$A:$A,'Student Groupings'!$B:$B=$C392,'Student Groupings'!$H:$H=""Can't be Together""),"""");iferror(filter('Student Groupings'!$A:$A,'Student Groupings'!"&amp;"$E:$E=$C392,'Student Groupings'!$H:$H=""Can't be Together""),"""")})))"),"")</f>
        <v/>
      </c>
      <c r="AD392" s="103" t="str">
        <f>IFERROR(__xludf.DUMMYFUNCTION("if($C392="""","""",if(join("" - "",{iferror(filter('Student Groupings'!$A:$A,'Student Groupings'!$B:$B=$C392,'Student Groupings'!$H:$H=""Must be Together""),"""");iferror(filter('Student Groupings'!$A:$A,'Student Groupings'!$E:$E=$C392,'Student Groupings'"&amp;"!$H:$H=""Must be Together""),"""")})="" - "","""",join("" - "",{iferror(filter('Student Groupings'!$A:$A,'Student Groupings'!$B:$B=$C392,'Student Groupings'!$H:$H=""Must be Together""),"""");iferror(filter('Student Groupings'!$A:$A,'Student Groupings'!$E:"&amp;"$E=$C392,'Student Groupings'!$H:$H=""Must be Together""),"""")})))"),"")</f>
        <v/>
      </c>
      <c r="AE392" s="105">
        <v>1.0</v>
      </c>
      <c r="AF392" s="104"/>
      <c r="AG392" s="104"/>
      <c r="AH392" s="104"/>
    </row>
    <row r="393">
      <c r="A393" s="101">
        <v>8.0</v>
      </c>
      <c r="B393" s="101">
        <v>29109.0</v>
      </c>
      <c r="C393" s="102" t="s">
        <v>624</v>
      </c>
      <c r="D393" s="52" t="s">
        <v>177</v>
      </c>
      <c r="E393" s="52">
        <v>4.0</v>
      </c>
      <c r="F393" s="52" t="s">
        <v>162</v>
      </c>
      <c r="G393" s="52">
        <v>6.0</v>
      </c>
      <c r="H393" s="52" t="s">
        <v>185</v>
      </c>
      <c r="I393" s="52">
        <v>1.0</v>
      </c>
      <c r="J393" s="52" t="s">
        <v>191</v>
      </c>
      <c r="K393" s="52">
        <v>3.0</v>
      </c>
      <c r="L393" s="52" t="s">
        <v>202</v>
      </c>
      <c r="M393" s="52">
        <v>2.0</v>
      </c>
      <c r="N393" s="52" t="s">
        <v>149</v>
      </c>
      <c r="O393" s="52" t="s">
        <v>112</v>
      </c>
      <c r="P393" s="52" t="s">
        <v>135</v>
      </c>
      <c r="Q393" s="52" t="s">
        <v>124</v>
      </c>
      <c r="R393" s="52" t="s">
        <v>118</v>
      </c>
      <c r="S393" s="52" t="s">
        <v>124</v>
      </c>
      <c r="T393" s="65" t="s">
        <v>27</v>
      </c>
      <c r="U393" s="32">
        <v>1.0</v>
      </c>
      <c r="V393" s="32">
        <v>1.0</v>
      </c>
      <c r="W393" s="32">
        <v>1.0</v>
      </c>
      <c r="X393" s="32">
        <v>1.0</v>
      </c>
      <c r="Y393" s="32">
        <v>1.0</v>
      </c>
      <c r="Z393" s="32">
        <v>1.0</v>
      </c>
      <c r="AA393" s="32">
        <v>6.0</v>
      </c>
      <c r="AB393" s="32">
        <v>0.0</v>
      </c>
      <c r="AC393" s="103" t="str">
        <f>IFERROR(__xludf.DUMMYFUNCTION("if($C393="""","""",if(join("" - "",{iferror(filter('Student Groupings'!$A:$A,'Student Groupings'!$B:$B=$C393,'Student Groupings'!$H:$H=""Can't be Together""),"""");iferror(filter('Student Groupings'!$A:$A,'Student Groupings'!$E:$E=$C393,'Student Groupings"&amp;"'!$H:$H=""Can't be Together""),"""")})="" - "","""",join("" - "",{iferror(filter('Student Groupings'!$A:$A,'Student Groupings'!$B:$B=$C393,'Student Groupings'!$H:$H=""Can't be Together""),"""");iferror(filter('Student Groupings'!$A:$A,'Student Groupings'!"&amp;"$E:$E=$C393,'Student Groupings'!$H:$H=""Can't be Together""),"""")})))"),"")</f>
        <v/>
      </c>
      <c r="AD393" s="103" t="str">
        <f>IFERROR(__xludf.DUMMYFUNCTION("if($C393="""","""",if(join("" - "",{iferror(filter('Student Groupings'!$A:$A,'Student Groupings'!$B:$B=$C393,'Student Groupings'!$H:$H=""Must be Together""),"""");iferror(filter('Student Groupings'!$A:$A,'Student Groupings'!$E:$E=$C393,'Student Groupings'"&amp;"!$H:$H=""Must be Together""),"""")})="" - "","""",join("" - "",{iferror(filter('Student Groupings'!$A:$A,'Student Groupings'!$B:$B=$C393,'Student Groupings'!$H:$H=""Must be Together""),"""");iferror(filter('Student Groupings'!$A:$A,'Student Groupings'!$E:"&amp;"$E=$C393,'Student Groupings'!$H:$H=""Must be Together""),"""")})))"),"")</f>
        <v/>
      </c>
      <c r="AE393" s="104"/>
      <c r="AF393" s="104"/>
      <c r="AG393" s="104"/>
      <c r="AH393" s="104"/>
    </row>
    <row r="394">
      <c r="A394" s="101">
        <v>8.0</v>
      </c>
      <c r="B394" s="101">
        <v>29110.0</v>
      </c>
      <c r="C394" s="102" t="s">
        <v>625</v>
      </c>
      <c r="D394" s="52" t="s">
        <v>176</v>
      </c>
      <c r="E394" s="52">
        <v>6.0</v>
      </c>
      <c r="F394" s="52" t="s">
        <v>167</v>
      </c>
      <c r="G394" s="52">
        <v>4.0</v>
      </c>
      <c r="H394" s="52" t="s">
        <v>185</v>
      </c>
      <c r="I394" s="101">
        <v>3.0</v>
      </c>
      <c r="J394" s="52" t="s">
        <v>190</v>
      </c>
      <c r="K394" s="101">
        <v>5.0</v>
      </c>
      <c r="L394" s="52" t="s">
        <v>201</v>
      </c>
      <c r="M394" s="101">
        <v>1.0</v>
      </c>
      <c r="N394" s="52" t="s">
        <v>149</v>
      </c>
      <c r="O394" s="52" t="s">
        <v>125</v>
      </c>
      <c r="P394" s="52" t="s">
        <v>141</v>
      </c>
      <c r="Q394" s="52" t="s">
        <v>119</v>
      </c>
      <c r="R394" s="52" t="s">
        <v>141</v>
      </c>
      <c r="S394" s="52" t="s">
        <v>119</v>
      </c>
      <c r="T394" s="65" t="s">
        <v>30</v>
      </c>
      <c r="U394" s="32">
        <v>1.0</v>
      </c>
      <c r="V394" s="32">
        <v>1.0</v>
      </c>
      <c r="W394" s="32">
        <v>1.0</v>
      </c>
      <c r="X394" s="32">
        <v>1.0</v>
      </c>
      <c r="Y394" s="32">
        <v>1.0</v>
      </c>
      <c r="Z394" s="32">
        <v>1.0</v>
      </c>
      <c r="AA394" s="32">
        <v>6.0</v>
      </c>
      <c r="AB394" s="32">
        <v>0.0</v>
      </c>
      <c r="AC394" s="103" t="str">
        <f>IFERROR(__xludf.DUMMYFUNCTION("if($C394="""","""",if(join("" - "",{iferror(filter('Student Groupings'!$A:$A,'Student Groupings'!$B:$B=$C394,'Student Groupings'!$H:$H=""Can't be Together""),"""");iferror(filter('Student Groupings'!$A:$A,'Student Groupings'!$E:$E=$C394,'Student Groupings"&amp;"'!$H:$H=""Can't be Together""),"""")})="" - "","""",join("" - "",{iferror(filter('Student Groupings'!$A:$A,'Student Groupings'!$B:$B=$C394,'Student Groupings'!$H:$H=""Can't be Together""),"""");iferror(filter('Student Groupings'!$A:$A,'Student Groupings'!"&amp;"$E:$E=$C394,'Student Groupings'!$H:$H=""Can't be Together""),"""")})))"),"")</f>
        <v/>
      </c>
      <c r="AD394" s="103" t="str">
        <f>IFERROR(__xludf.DUMMYFUNCTION("if($C394="""","""",if(join("" - "",{iferror(filter('Student Groupings'!$A:$A,'Student Groupings'!$B:$B=$C394,'Student Groupings'!$H:$H=""Must be Together""),"""");iferror(filter('Student Groupings'!$A:$A,'Student Groupings'!$E:$E=$C394,'Student Groupings'"&amp;"!$H:$H=""Must be Together""),"""")})="" - "","""",join("" - "",{iferror(filter('Student Groupings'!$A:$A,'Student Groupings'!$B:$B=$C394,'Student Groupings'!$H:$H=""Must be Together""),"""");iferror(filter('Student Groupings'!$A:$A,'Student Groupings'!$E:"&amp;"$E=$C394,'Student Groupings'!$H:$H=""Must be Together""),"""")})))"),"")</f>
        <v/>
      </c>
      <c r="AE394" s="104"/>
      <c r="AF394" s="104"/>
      <c r="AG394" s="104"/>
      <c r="AH394" s="104"/>
    </row>
    <row r="395">
      <c r="A395" s="101">
        <v>8.0</v>
      </c>
      <c r="B395" s="101">
        <v>29111.0</v>
      </c>
      <c r="C395" s="102" t="s">
        <v>271</v>
      </c>
      <c r="D395" s="52" t="s">
        <v>176</v>
      </c>
      <c r="E395" s="52">
        <v>4.0</v>
      </c>
      <c r="F395" s="52" t="s">
        <v>162</v>
      </c>
      <c r="G395" s="52">
        <v>6.0</v>
      </c>
      <c r="H395" s="52" t="s">
        <v>185</v>
      </c>
      <c r="I395" s="52">
        <v>1.0</v>
      </c>
      <c r="J395" s="52" t="s">
        <v>190</v>
      </c>
      <c r="K395" s="52">
        <v>3.0</v>
      </c>
      <c r="L395" s="52" t="s">
        <v>201</v>
      </c>
      <c r="M395" s="52">
        <v>2.0</v>
      </c>
      <c r="N395" s="52" t="s">
        <v>149</v>
      </c>
      <c r="O395" s="52" t="s">
        <v>112</v>
      </c>
      <c r="P395" s="52" t="s">
        <v>118</v>
      </c>
      <c r="Q395" s="52" t="s">
        <v>124</v>
      </c>
      <c r="R395" s="52" t="s">
        <v>135</v>
      </c>
      <c r="S395" s="52" t="s">
        <v>124</v>
      </c>
      <c r="T395" s="65" t="s">
        <v>27</v>
      </c>
      <c r="U395" s="32">
        <v>1.0</v>
      </c>
      <c r="V395" s="32">
        <v>1.0</v>
      </c>
      <c r="W395" s="32">
        <v>1.0</v>
      </c>
      <c r="X395" s="32">
        <v>1.0</v>
      </c>
      <c r="Y395" s="32">
        <v>1.0</v>
      </c>
      <c r="Z395" s="32">
        <v>1.0</v>
      </c>
      <c r="AA395" s="32">
        <v>6.0</v>
      </c>
      <c r="AB395" s="32">
        <v>0.0</v>
      </c>
      <c r="AC395" s="103" t="str">
        <f>IFERROR(__xludf.DUMMYFUNCTION("if($C395="""","""",if(join("" - "",{iferror(filter('Student Groupings'!$A:$A,'Student Groupings'!$B:$B=$C395,'Student Groupings'!$H:$H=""Can't be Together""),"""");iferror(filter('Student Groupings'!$A:$A,'Student Groupings'!$E:$E=$C395,'Student Groupings"&amp;"'!$H:$H=""Can't be Together""),"""")})="" - "","""",join("" - "",{iferror(filter('Student Groupings'!$A:$A,'Student Groupings'!$B:$B=$C395,'Student Groupings'!$H:$H=""Can't be Together""),"""");iferror(filter('Student Groupings'!$A:$A,'Student Groupings'!"&amp;"$E:$E=$C395,'Student Groupings'!$H:$H=""Can't be Together""),"""")})))"),"")</f>
        <v/>
      </c>
      <c r="AD395" s="103" t="str">
        <f>IFERROR(__xludf.DUMMYFUNCTION("if($C395="""","""",if(join("" - "",{iferror(filter('Student Groupings'!$A:$A,'Student Groupings'!$B:$B=$C395,'Student Groupings'!$H:$H=""Must be Together""),"""");iferror(filter('Student Groupings'!$A:$A,'Student Groupings'!$E:$E=$C395,'Student Groupings'"&amp;"!$H:$H=""Must be Together""),"""")})="" - "","""",join("" - "",{iferror(filter('Student Groupings'!$A:$A,'Student Groupings'!$B:$B=$C395,'Student Groupings'!$H:$H=""Must be Together""),"""");iferror(filter('Student Groupings'!$A:$A,'Student Groupings'!$E:"&amp;"$E=$C395,'Student Groupings'!$H:$H=""Must be Together""),"""")})))")," - 52 - 128")</f>
        <v> - 52 - 128</v>
      </c>
      <c r="AE395" s="104"/>
      <c r="AF395" s="104"/>
      <c r="AG395" s="104"/>
      <c r="AH395" s="104"/>
    </row>
    <row r="396">
      <c r="A396" s="101">
        <v>8.0</v>
      </c>
      <c r="B396" s="101">
        <v>29112.0</v>
      </c>
      <c r="C396" s="102" t="s">
        <v>626</v>
      </c>
      <c r="D396" s="52" t="s">
        <v>176</v>
      </c>
      <c r="E396" s="52">
        <v>5.0</v>
      </c>
      <c r="F396" s="52" t="s">
        <v>167</v>
      </c>
      <c r="G396" s="52">
        <v>4.0</v>
      </c>
      <c r="H396" s="52" t="s">
        <v>185</v>
      </c>
      <c r="I396" s="52">
        <v>3.0</v>
      </c>
      <c r="J396" s="52" t="s">
        <v>190</v>
      </c>
      <c r="K396" s="52">
        <v>1.0</v>
      </c>
      <c r="L396" s="52" t="s">
        <v>201</v>
      </c>
      <c r="M396" s="52">
        <v>6.0</v>
      </c>
      <c r="N396" s="52" t="s">
        <v>149</v>
      </c>
      <c r="O396" s="52" t="s">
        <v>125</v>
      </c>
      <c r="P396" s="52" t="s">
        <v>141</v>
      </c>
      <c r="Q396" s="52" t="s">
        <v>119</v>
      </c>
      <c r="R396" s="52" t="s">
        <v>141</v>
      </c>
      <c r="S396" s="52" t="s">
        <v>119</v>
      </c>
      <c r="T396" s="65" t="s">
        <v>8</v>
      </c>
      <c r="U396" s="32">
        <v>1.0</v>
      </c>
      <c r="V396" s="32">
        <v>1.0</v>
      </c>
      <c r="W396" s="32">
        <v>1.0</v>
      </c>
      <c r="X396" s="32">
        <v>1.0</v>
      </c>
      <c r="Y396" s="32">
        <v>1.0</v>
      </c>
      <c r="Z396" s="32">
        <v>1.0</v>
      </c>
      <c r="AA396" s="32">
        <v>6.0</v>
      </c>
      <c r="AB396" s="32">
        <v>0.0</v>
      </c>
      <c r="AC396" s="103" t="str">
        <f>IFERROR(__xludf.DUMMYFUNCTION("if($C396="""","""",if(join("" - "",{iferror(filter('Student Groupings'!$A:$A,'Student Groupings'!$B:$B=$C396,'Student Groupings'!$H:$H=""Can't be Together""),"""");iferror(filter('Student Groupings'!$A:$A,'Student Groupings'!$E:$E=$C396,'Student Groupings"&amp;"'!$H:$H=""Can't be Together""),"""")})="" - "","""",join("" - "",{iferror(filter('Student Groupings'!$A:$A,'Student Groupings'!$B:$B=$C396,'Student Groupings'!$H:$H=""Can't be Together""),"""");iferror(filter('Student Groupings'!$A:$A,'Student Groupings'!"&amp;"$E:$E=$C396,'Student Groupings'!$H:$H=""Can't be Together""),"""")})))"),"")</f>
        <v/>
      </c>
      <c r="AD396" s="103" t="str">
        <f>IFERROR(__xludf.DUMMYFUNCTION("if($C396="""","""",if(join("" - "",{iferror(filter('Student Groupings'!$A:$A,'Student Groupings'!$B:$B=$C396,'Student Groupings'!$H:$H=""Must be Together""),"""");iferror(filter('Student Groupings'!$A:$A,'Student Groupings'!$E:$E=$C396,'Student Groupings'"&amp;"!$H:$H=""Must be Together""),"""")})="" - "","""",join("" - "",{iferror(filter('Student Groupings'!$A:$A,'Student Groupings'!$B:$B=$C396,'Student Groupings'!$H:$H=""Must be Together""),"""");iferror(filter('Student Groupings'!$A:$A,'Student Groupings'!$E:"&amp;"$E=$C396,'Student Groupings'!$H:$H=""Must be Together""),"""")})))"),"")</f>
        <v/>
      </c>
      <c r="AE396" s="104"/>
      <c r="AF396" s="104"/>
      <c r="AG396" s="104"/>
      <c r="AH396" s="104"/>
    </row>
    <row r="397">
      <c r="A397" s="101">
        <v>8.0</v>
      </c>
      <c r="B397" s="101">
        <v>29113.0</v>
      </c>
      <c r="C397" s="102" t="s">
        <v>627</v>
      </c>
      <c r="D397" s="52" t="s">
        <v>176</v>
      </c>
      <c r="E397" s="52">
        <v>6.0</v>
      </c>
      <c r="F397" s="52" t="s">
        <v>167</v>
      </c>
      <c r="G397" s="52">
        <v>3.0</v>
      </c>
      <c r="H397" s="52" t="s">
        <v>185</v>
      </c>
      <c r="I397" s="52">
        <v>2.0</v>
      </c>
      <c r="J397" s="52" t="s">
        <v>190</v>
      </c>
      <c r="K397" s="52">
        <v>5.0</v>
      </c>
      <c r="L397" s="52" t="s">
        <v>201</v>
      </c>
      <c r="M397" s="52">
        <v>1.0</v>
      </c>
      <c r="N397" s="52" t="s">
        <v>149</v>
      </c>
      <c r="O397" s="52" t="s">
        <v>111</v>
      </c>
      <c r="P397" s="52" t="s">
        <v>135</v>
      </c>
      <c r="Q397" s="52" t="s">
        <v>130</v>
      </c>
      <c r="R397" s="52" t="s">
        <v>118</v>
      </c>
      <c r="S397" s="52" t="s">
        <v>130</v>
      </c>
      <c r="T397" s="65" t="s">
        <v>27</v>
      </c>
      <c r="U397" s="32">
        <v>1.0</v>
      </c>
      <c r="V397" s="32">
        <v>1.0</v>
      </c>
      <c r="W397" s="32">
        <v>1.0</v>
      </c>
      <c r="X397" s="32">
        <v>1.0</v>
      </c>
      <c r="Y397" s="32">
        <v>1.0</v>
      </c>
      <c r="Z397" s="32">
        <v>1.0</v>
      </c>
      <c r="AA397" s="32">
        <v>6.0</v>
      </c>
      <c r="AB397" s="32">
        <v>0.0</v>
      </c>
      <c r="AC397" s="103" t="str">
        <f>IFERROR(__xludf.DUMMYFUNCTION("if($C397="""","""",if(join("" - "",{iferror(filter('Student Groupings'!$A:$A,'Student Groupings'!$B:$B=$C397,'Student Groupings'!$H:$H=""Can't be Together""),"""");iferror(filter('Student Groupings'!$A:$A,'Student Groupings'!$E:$E=$C397,'Student Groupings"&amp;"'!$H:$H=""Can't be Together""),"""")})="" - "","""",join("" - "",{iferror(filter('Student Groupings'!$A:$A,'Student Groupings'!$B:$B=$C397,'Student Groupings'!$H:$H=""Can't be Together""),"""");iferror(filter('Student Groupings'!$A:$A,'Student Groupings'!"&amp;"$E:$E=$C397,'Student Groupings'!$H:$H=""Can't be Together""),"""")})))"),"")</f>
        <v/>
      </c>
      <c r="AD397" s="103" t="str">
        <f>IFERROR(__xludf.DUMMYFUNCTION("if($C397="""","""",if(join("" - "",{iferror(filter('Student Groupings'!$A:$A,'Student Groupings'!$B:$B=$C397,'Student Groupings'!$H:$H=""Must be Together""),"""");iferror(filter('Student Groupings'!$A:$A,'Student Groupings'!$E:$E=$C397,'Student Groupings'"&amp;"!$H:$H=""Must be Together""),"""")})="" - "","""",join("" - "",{iferror(filter('Student Groupings'!$A:$A,'Student Groupings'!$B:$B=$C397,'Student Groupings'!$H:$H=""Must be Together""),"""");iferror(filter('Student Groupings'!$A:$A,'Student Groupings'!$E:"&amp;"$E=$C397,'Student Groupings'!$H:$H=""Must be Together""),"""")})))"),"")</f>
        <v/>
      </c>
      <c r="AE397" s="104"/>
      <c r="AF397" s="104"/>
      <c r="AG397" s="104"/>
      <c r="AH397" s="104"/>
    </row>
    <row r="398">
      <c r="A398" s="101">
        <v>8.0</v>
      </c>
      <c r="B398" s="101">
        <v>29114.0</v>
      </c>
      <c r="C398" s="102" t="s">
        <v>628</v>
      </c>
      <c r="D398" s="52" t="s">
        <v>176</v>
      </c>
      <c r="E398" s="52">
        <v>5.0</v>
      </c>
      <c r="F398" s="52" t="s">
        <v>167</v>
      </c>
      <c r="G398" s="52">
        <v>3.0</v>
      </c>
      <c r="H398" s="52" t="s">
        <v>185</v>
      </c>
      <c r="I398" s="52">
        <v>2.0</v>
      </c>
      <c r="J398" s="52" t="s">
        <v>190</v>
      </c>
      <c r="K398" s="52">
        <v>1.0</v>
      </c>
      <c r="L398" s="52" t="s">
        <v>201</v>
      </c>
      <c r="M398" s="101">
        <v>6.0</v>
      </c>
      <c r="N398" s="52" t="s">
        <v>149</v>
      </c>
      <c r="O398" s="52" t="s">
        <v>111</v>
      </c>
      <c r="P398" s="52" t="s">
        <v>135</v>
      </c>
      <c r="Q398" s="52" t="s">
        <v>130</v>
      </c>
      <c r="R398" s="52" t="s">
        <v>118</v>
      </c>
      <c r="S398" s="52" t="s">
        <v>130</v>
      </c>
      <c r="T398" s="65" t="s">
        <v>27</v>
      </c>
      <c r="U398" s="32">
        <v>1.0</v>
      </c>
      <c r="V398" s="32">
        <v>1.0</v>
      </c>
      <c r="W398" s="32">
        <v>1.0</v>
      </c>
      <c r="X398" s="32">
        <v>1.0</v>
      </c>
      <c r="Y398" s="32">
        <v>1.0</v>
      </c>
      <c r="Z398" s="32">
        <v>1.0</v>
      </c>
      <c r="AA398" s="32">
        <v>6.0</v>
      </c>
      <c r="AB398" s="32">
        <v>0.0</v>
      </c>
      <c r="AC398" s="103" t="str">
        <f>IFERROR(__xludf.DUMMYFUNCTION("if($C398="""","""",if(join("" - "",{iferror(filter('Student Groupings'!$A:$A,'Student Groupings'!$B:$B=$C398,'Student Groupings'!$H:$H=""Can't be Together""),"""");iferror(filter('Student Groupings'!$A:$A,'Student Groupings'!$E:$E=$C398,'Student Groupings"&amp;"'!$H:$H=""Can't be Together""),"""")})="" - "","""",join("" - "",{iferror(filter('Student Groupings'!$A:$A,'Student Groupings'!$B:$B=$C398,'Student Groupings'!$H:$H=""Can't be Together""),"""");iferror(filter('Student Groupings'!$A:$A,'Student Groupings'!"&amp;"$E:$E=$C398,'Student Groupings'!$H:$H=""Can't be Together""),"""")})))"),"")</f>
        <v/>
      </c>
      <c r="AD398" s="103" t="str">
        <f>IFERROR(__xludf.DUMMYFUNCTION("if($C398="""","""",if(join("" - "",{iferror(filter('Student Groupings'!$A:$A,'Student Groupings'!$B:$B=$C398,'Student Groupings'!$H:$H=""Must be Together""),"""");iferror(filter('Student Groupings'!$A:$A,'Student Groupings'!$E:$E=$C398,'Student Groupings'"&amp;"!$H:$H=""Must be Together""),"""")})="" - "","""",join("" - "",{iferror(filter('Student Groupings'!$A:$A,'Student Groupings'!$B:$B=$C398,'Student Groupings'!$H:$H=""Must be Together""),"""");iferror(filter('Student Groupings'!$A:$A,'Student Groupings'!$E:"&amp;"$E=$C398,'Student Groupings'!$H:$H=""Must be Together""),"""")})))"),"")</f>
        <v/>
      </c>
      <c r="AE398" s="104"/>
      <c r="AF398" s="104"/>
      <c r="AG398" s="104"/>
      <c r="AH398" s="104"/>
    </row>
    <row r="399">
      <c r="A399" s="101">
        <v>8.0</v>
      </c>
      <c r="B399" s="101">
        <v>29115.0</v>
      </c>
      <c r="C399" s="102" t="s">
        <v>629</v>
      </c>
      <c r="D399" s="52" t="s">
        <v>176</v>
      </c>
      <c r="E399" s="52">
        <v>2.0</v>
      </c>
      <c r="F399" s="52" t="s">
        <v>162</v>
      </c>
      <c r="G399" s="52">
        <v>6.0</v>
      </c>
      <c r="H399" s="52" t="s">
        <v>185</v>
      </c>
      <c r="I399" s="52">
        <v>1.0</v>
      </c>
      <c r="J399" s="52" t="s">
        <v>190</v>
      </c>
      <c r="K399" s="52">
        <v>4.0</v>
      </c>
      <c r="L399" s="52" t="s">
        <v>201</v>
      </c>
      <c r="M399" s="52">
        <v>3.0</v>
      </c>
      <c r="N399" s="52" t="s">
        <v>149</v>
      </c>
      <c r="O399" s="52" t="s">
        <v>112</v>
      </c>
      <c r="P399" s="52" t="s">
        <v>118</v>
      </c>
      <c r="Q399" s="52" t="s">
        <v>124</v>
      </c>
      <c r="R399" s="52" t="s">
        <v>135</v>
      </c>
      <c r="S399" s="52" t="s">
        <v>124</v>
      </c>
      <c r="T399" s="65" t="s">
        <v>27</v>
      </c>
      <c r="U399" s="32">
        <v>1.0</v>
      </c>
      <c r="V399" s="32">
        <v>1.0</v>
      </c>
      <c r="W399" s="32">
        <v>1.0</v>
      </c>
      <c r="X399" s="32">
        <v>1.0</v>
      </c>
      <c r="Y399" s="32">
        <v>1.0</v>
      </c>
      <c r="Z399" s="32">
        <v>1.0</v>
      </c>
      <c r="AA399" s="32">
        <v>6.0</v>
      </c>
      <c r="AB399" s="32">
        <v>0.0</v>
      </c>
      <c r="AC399" s="103" t="str">
        <f>IFERROR(__xludf.DUMMYFUNCTION("if($C399="""","""",if(join("" - "",{iferror(filter('Student Groupings'!$A:$A,'Student Groupings'!$B:$B=$C399,'Student Groupings'!$H:$H=""Can't be Together""),"""");iferror(filter('Student Groupings'!$A:$A,'Student Groupings'!$E:$E=$C399,'Student Groupings"&amp;"'!$H:$H=""Can't be Together""),"""")})="" - "","""",join("" - "",{iferror(filter('Student Groupings'!$A:$A,'Student Groupings'!$B:$B=$C399,'Student Groupings'!$H:$H=""Can't be Together""),"""");iferror(filter('Student Groupings'!$A:$A,'Student Groupings'!"&amp;"$E:$E=$C399,'Student Groupings'!$H:$H=""Can't be Together""),"""")})))"),"")</f>
        <v/>
      </c>
      <c r="AD399" s="103" t="str">
        <f>IFERROR(__xludf.DUMMYFUNCTION("if($C399="""","""",if(join("" - "",{iferror(filter('Student Groupings'!$A:$A,'Student Groupings'!$B:$B=$C399,'Student Groupings'!$H:$H=""Must be Together""),"""");iferror(filter('Student Groupings'!$A:$A,'Student Groupings'!$E:$E=$C399,'Student Groupings'"&amp;"!$H:$H=""Must be Together""),"""")})="" - "","""",join("" - "",{iferror(filter('Student Groupings'!$A:$A,'Student Groupings'!$B:$B=$C399,'Student Groupings'!$H:$H=""Must be Together""),"""");iferror(filter('Student Groupings'!$A:$A,'Student Groupings'!$E:"&amp;"$E=$C399,'Student Groupings'!$H:$H=""Must be Together""),"""")})))"),"")</f>
        <v/>
      </c>
      <c r="AE399" s="104"/>
      <c r="AF399" s="104"/>
      <c r="AG399" s="104"/>
      <c r="AH399" s="105">
        <v>1.0</v>
      </c>
    </row>
    <row r="400">
      <c r="A400" s="101">
        <v>8.0</v>
      </c>
      <c r="B400" s="101">
        <v>29116.0</v>
      </c>
      <c r="C400" s="102" t="s">
        <v>630</v>
      </c>
      <c r="D400" s="52" t="s">
        <v>176</v>
      </c>
      <c r="E400" s="52">
        <v>3.0</v>
      </c>
      <c r="F400" s="52" t="s">
        <v>162</v>
      </c>
      <c r="G400" s="52">
        <v>1.0</v>
      </c>
      <c r="H400" s="52" t="s">
        <v>185</v>
      </c>
      <c r="I400" s="52">
        <v>5.0</v>
      </c>
      <c r="J400" s="52" t="s">
        <v>190</v>
      </c>
      <c r="K400" s="52">
        <v>2.0</v>
      </c>
      <c r="L400" s="52" t="s">
        <v>201</v>
      </c>
      <c r="M400" s="52">
        <v>4.0</v>
      </c>
      <c r="N400" s="52" t="s">
        <v>149</v>
      </c>
      <c r="O400" s="52" t="s">
        <v>120</v>
      </c>
      <c r="P400" s="52" t="s">
        <v>141</v>
      </c>
      <c r="Q400" s="52" t="s">
        <v>109</v>
      </c>
      <c r="R400" s="52" t="s">
        <v>141</v>
      </c>
      <c r="S400" s="52" t="s">
        <v>109</v>
      </c>
      <c r="T400" s="65" t="s">
        <v>30</v>
      </c>
      <c r="U400" s="32">
        <v>1.0</v>
      </c>
      <c r="V400" s="32">
        <v>1.0</v>
      </c>
      <c r="W400" s="32">
        <v>1.0</v>
      </c>
      <c r="X400" s="32">
        <v>1.0</v>
      </c>
      <c r="Y400" s="32">
        <v>1.0</v>
      </c>
      <c r="Z400" s="32">
        <v>1.0</v>
      </c>
      <c r="AA400" s="32">
        <v>6.0</v>
      </c>
      <c r="AB400" s="32">
        <v>0.0</v>
      </c>
      <c r="AC400" s="103" t="str">
        <f>IFERROR(__xludf.DUMMYFUNCTION("if($C400="""","""",if(join("" - "",{iferror(filter('Student Groupings'!$A:$A,'Student Groupings'!$B:$B=$C400,'Student Groupings'!$H:$H=""Can't be Together""),"""");iferror(filter('Student Groupings'!$A:$A,'Student Groupings'!$E:$E=$C400,'Student Groupings"&amp;"'!$H:$H=""Can't be Together""),"""")})="" - "","""",join("" - "",{iferror(filter('Student Groupings'!$A:$A,'Student Groupings'!$B:$B=$C400,'Student Groupings'!$H:$H=""Can't be Together""),"""");iferror(filter('Student Groupings'!$A:$A,'Student Groupings'!"&amp;"$E:$E=$C400,'Student Groupings'!$H:$H=""Can't be Together""),"""")})))"),"")</f>
        <v/>
      </c>
      <c r="AD400" s="103" t="str">
        <f>IFERROR(__xludf.DUMMYFUNCTION("if($C400="""","""",if(join("" - "",{iferror(filter('Student Groupings'!$A:$A,'Student Groupings'!$B:$B=$C400,'Student Groupings'!$H:$H=""Must be Together""),"""");iferror(filter('Student Groupings'!$A:$A,'Student Groupings'!$E:$E=$C400,'Student Groupings'"&amp;"!$H:$H=""Must be Together""),"""")})="" - "","""",join("" - "",{iferror(filter('Student Groupings'!$A:$A,'Student Groupings'!$B:$B=$C400,'Student Groupings'!$H:$H=""Must be Together""),"""");iferror(filter('Student Groupings'!$A:$A,'Student Groupings'!$E:"&amp;"$E=$C400,'Student Groupings'!$H:$H=""Must be Together""),"""")})))"),"")</f>
        <v/>
      </c>
      <c r="AE400" s="104"/>
      <c r="AF400" s="104"/>
      <c r="AG400" s="104"/>
      <c r="AH400" s="104"/>
    </row>
    <row r="401">
      <c r="A401" s="101">
        <v>8.0</v>
      </c>
      <c r="B401" s="101">
        <v>29142.0</v>
      </c>
      <c r="C401" s="102" t="s">
        <v>631</v>
      </c>
      <c r="D401" s="52" t="s">
        <v>177</v>
      </c>
      <c r="E401" s="52">
        <v>4.0</v>
      </c>
      <c r="F401" s="52" t="s">
        <v>170</v>
      </c>
      <c r="G401" s="52">
        <v>1.0</v>
      </c>
      <c r="H401" s="52" t="s">
        <v>187</v>
      </c>
      <c r="I401" s="52">
        <v>6.0</v>
      </c>
      <c r="J401" s="52" t="s">
        <v>191</v>
      </c>
      <c r="K401" s="101">
        <v>3.0</v>
      </c>
      <c r="L401" s="52" t="s">
        <v>202</v>
      </c>
      <c r="M401" s="101">
        <v>2.0</v>
      </c>
      <c r="N401" s="52" t="s">
        <v>149</v>
      </c>
      <c r="O401" s="52" t="s">
        <v>124</v>
      </c>
      <c r="P401" s="52" t="s">
        <v>141</v>
      </c>
      <c r="Q401" s="52" t="s">
        <v>112</v>
      </c>
      <c r="R401" s="52" t="s">
        <v>141</v>
      </c>
      <c r="S401" s="52" t="s">
        <v>112</v>
      </c>
      <c r="T401" s="65" t="s">
        <v>30</v>
      </c>
      <c r="U401" s="32">
        <v>1.0</v>
      </c>
      <c r="V401" s="32">
        <v>1.0</v>
      </c>
      <c r="W401" s="32">
        <v>1.0</v>
      </c>
      <c r="X401" s="32">
        <v>1.0</v>
      </c>
      <c r="Y401" s="32">
        <v>1.0</v>
      </c>
      <c r="Z401" s="32">
        <v>1.0</v>
      </c>
      <c r="AA401" s="32">
        <v>6.0</v>
      </c>
      <c r="AB401" s="32">
        <v>0.0</v>
      </c>
      <c r="AC401" s="103" t="str">
        <f>IFERROR(__xludf.DUMMYFUNCTION("if($C401="""","""",if(join("" - "",{iferror(filter('Student Groupings'!$A:$A,'Student Groupings'!$B:$B=$C401,'Student Groupings'!$H:$H=""Can't be Together""),"""");iferror(filter('Student Groupings'!$A:$A,'Student Groupings'!$E:$E=$C401,'Student Groupings"&amp;"'!$H:$H=""Can't be Together""),"""")})="" - "","""",join("" - "",{iferror(filter('Student Groupings'!$A:$A,'Student Groupings'!$B:$B=$C401,'Student Groupings'!$H:$H=""Can't be Together""),"""");iferror(filter('Student Groupings'!$A:$A,'Student Groupings'!"&amp;"$E:$E=$C401,'Student Groupings'!$H:$H=""Can't be Together""),"""")})))"),"")</f>
        <v/>
      </c>
      <c r="AD401" s="103" t="str">
        <f>IFERROR(__xludf.DUMMYFUNCTION("if($C401="""","""",if(join("" - "",{iferror(filter('Student Groupings'!$A:$A,'Student Groupings'!$B:$B=$C401,'Student Groupings'!$H:$H=""Must be Together""),"""");iferror(filter('Student Groupings'!$A:$A,'Student Groupings'!$E:$E=$C401,'Student Groupings'"&amp;"!$H:$H=""Must be Together""),"""")})="" - "","""",join("" - "",{iferror(filter('Student Groupings'!$A:$A,'Student Groupings'!$B:$B=$C401,'Student Groupings'!$H:$H=""Must be Together""),"""");iferror(filter('Student Groupings'!$A:$A,'Student Groupings'!$E:"&amp;"$E=$C401,'Student Groupings'!$H:$H=""Must be Together""),"""")})))"),"")</f>
        <v/>
      </c>
      <c r="AE401" s="104"/>
      <c r="AF401" s="104"/>
      <c r="AG401" s="104"/>
      <c r="AH401" s="104"/>
    </row>
    <row r="402">
      <c r="A402" s="101">
        <v>8.0</v>
      </c>
      <c r="B402" s="101">
        <v>29117.0</v>
      </c>
      <c r="C402" s="102" t="s">
        <v>632</v>
      </c>
      <c r="D402" s="52" t="s">
        <v>176</v>
      </c>
      <c r="E402" s="52">
        <v>2.0</v>
      </c>
      <c r="F402" s="52" t="s">
        <v>167</v>
      </c>
      <c r="G402" s="52">
        <v>5.0</v>
      </c>
      <c r="H402" s="52" t="s">
        <v>185</v>
      </c>
      <c r="I402" s="52">
        <v>1.0</v>
      </c>
      <c r="J402" s="52" t="s">
        <v>190</v>
      </c>
      <c r="K402" s="52">
        <v>4.0</v>
      </c>
      <c r="L402" s="52" t="s">
        <v>201</v>
      </c>
      <c r="M402" s="52">
        <v>3.0</v>
      </c>
      <c r="N402" s="52" t="s">
        <v>149</v>
      </c>
      <c r="O402" s="52" t="s">
        <v>120</v>
      </c>
      <c r="P402" s="52" t="s">
        <v>141</v>
      </c>
      <c r="Q402" s="52" t="s">
        <v>109</v>
      </c>
      <c r="R402" s="52" t="s">
        <v>141</v>
      </c>
      <c r="S402" s="52" t="s">
        <v>109</v>
      </c>
      <c r="T402" s="65" t="s">
        <v>30</v>
      </c>
      <c r="U402" s="32">
        <v>1.0</v>
      </c>
      <c r="V402" s="32">
        <v>1.0</v>
      </c>
      <c r="W402" s="32">
        <v>1.0</v>
      </c>
      <c r="X402" s="32">
        <v>1.0</v>
      </c>
      <c r="Y402" s="32">
        <v>1.0</v>
      </c>
      <c r="Z402" s="32">
        <v>1.0</v>
      </c>
      <c r="AA402" s="32">
        <v>6.0</v>
      </c>
      <c r="AB402" s="32">
        <v>0.0</v>
      </c>
      <c r="AC402" s="103" t="str">
        <f>IFERROR(__xludf.DUMMYFUNCTION("if($C402="""","""",if(join("" - "",{iferror(filter('Student Groupings'!$A:$A,'Student Groupings'!$B:$B=$C402,'Student Groupings'!$H:$H=""Can't be Together""),"""");iferror(filter('Student Groupings'!$A:$A,'Student Groupings'!$E:$E=$C402,'Student Groupings"&amp;"'!$H:$H=""Can't be Together""),"""")})="" - "","""",join("" - "",{iferror(filter('Student Groupings'!$A:$A,'Student Groupings'!$B:$B=$C402,'Student Groupings'!$H:$H=""Can't be Together""),"""");iferror(filter('Student Groupings'!$A:$A,'Student Groupings'!"&amp;"$E:$E=$C402,'Student Groupings'!$H:$H=""Can't be Together""),"""")})))"),"")</f>
        <v/>
      </c>
      <c r="AD402" s="103" t="str">
        <f>IFERROR(__xludf.DUMMYFUNCTION("if($C402="""","""",if(join("" - "",{iferror(filter('Student Groupings'!$A:$A,'Student Groupings'!$B:$B=$C402,'Student Groupings'!$H:$H=""Must be Together""),"""");iferror(filter('Student Groupings'!$A:$A,'Student Groupings'!$E:$E=$C402,'Student Groupings'"&amp;"!$H:$H=""Must be Together""),"""")})="" - "","""",join("" - "",{iferror(filter('Student Groupings'!$A:$A,'Student Groupings'!$B:$B=$C402,'Student Groupings'!$H:$H=""Must be Together""),"""");iferror(filter('Student Groupings'!$A:$A,'Student Groupings'!$E:"&amp;"$E=$C402,'Student Groupings'!$H:$H=""Must be Together""),"""")})))"),"")</f>
        <v/>
      </c>
      <c r="AE402" s="104"/>
      <c r="AF402" s="104"/>
      <c r="AG402" s="104"/>
      <c r="AH402" s="104"/>
    </row>
    <row r="403">
      <c r="A403" s="101">
        <v>8.0</v>
      </c>
      <c r="B403" s="101">
        <v>29118.0</v>
      </c>
      <c r="C403" s="102" t="s">
        <v>633</v>
      </c>
      <c r="D403" s="52" t="s">
        <v>176</v>
      </c>
      <c r="E403" s="52">
        <v>3.0</v>
      </c>
      <c r="F403" s="52" t="s">
        <v>167</v>
      </c>
      <c r="G403" s="52">
        <v>5.0</v>
      </c>
      <c r="H403" s="52" t="s">
        <v>185</v>
      </c>
      <c r="I403" s="52">
        <v>6.0</v>
      </c>
      <c r="J403" s="52" t="s">
        <v>190</v>
      </c>
      <c r="K403" s="52">
        <v>2.0</v>
      </c>
      <c r="L403" s="52" t="s">
        <v>201</v>
      </c>
      <c r="M403" s="52">
        <v>4.0</v>
      </c>
      <c r="N403" s="52" t="s">
        <v>149</v>
      </c>
      <c r="O403" s="52" t="s">
        <v>108</v>
      </c>
      <c r="P403" s="52" t="s">
        <v>141</v>
      </c>
      <c r="Q403" s="52" t="s">
        <v>129</v>
      </c>
      <c r="R403" s="52" t="s">
        <v>141</v>
      </c>
      <c r="S403" s="52" t="s">
        <v>129</v>
      </c>
      <c r="T403" s="65" t="s">
        <v>30</v>
      </c>
      <c r="U403" s="32">
        <v>1.0</v>
      </c>
      <c r="V403" s="32">
        <v>1.0</v>
      </c>
      <c r="W403" s="32">
        <v>1.0</v>
      </c>
      <c r="X403" s="32">
        <v>1.0</v>
      </c>
      <c r="Y403" s="32">
        <v>1.0</v>
      </c>
      <c r="Z403" s="32">
        <v>1.0</v>
      </c>
      <c r="AA403" s="32">
        <v>6.0</v>
      </c>
      <c r="AB403" s="32">
        <v>0.0</v>
      </c>
      <c r="AC403" s="103" t="str">
        <f>IFERROR(__xludf.DUMMYFUNCTION("if($C403="""","""",if(join("" - "",{iferror(filter('Student Groupings'!$A:$A,'Student Groupings'!$B:$B=$C403,'Student Groupings'!$H:$H=""Can't be Together""),"""");iferror(filter('Student Groupings'!$A:$A,'Student Groupings'!$E:$E=$C403,'Student Groupings"&amp;"'!$H:$H=""Can't be Together""),"""")})="" - "","""",join("" - "",{iferror(filter('Student Groupings'!$A:$A,'Student Groupings'!$B:$B=$C403,'Student Groupings'!$H:$H=""Can't be Together""),"""");iferror(filter('Student Groupings'!$A:$A,'Student Groupings'!"&amp;"$E:$E=$C403,'Student Groupings'!$H:$H=""Can't be Together""),"""")})))"),"")</f>
        <v/>
      </c>
      <c r="AD403" s="103" t="str">
        <f>IFERROR(__xludf.DUMMYFUNCTION("if($C403="""","""",if(join("" - "",{iferror(filter('Student Groupings'!$A:$A,'Student Groupings'!$B:$B=$C403,'Student Groupings'!$H:$H=""Must be Together""),"""");iferror(filter('Student Groupings'!$A:$A,'Student Groupings'!$E:$E=$C403,'Student Groupings'"&amp;"!$H:$H=""Must be Together""),"""")})="" - "","""",join("" - "",{iferror(filter('Student Groupings'!$A:$A,'Student Groupings'!$B:$B=$C403,'Student Groupings'!$H:$H=""Must be Together""),"""");iferror(filter('Student Groupings'!$A:$A,'Student Groupings'!$E:"&amp;"$E=$C403,'Student Groupings'!$H:$H=""Must be Together""),"""")})))"),"")</f>
        <v/>
      </c>
      <c r="AE403" s="104"/>
      <c r="AF403" s="104"/>
      <c r="AG403" s="104"/>
      <c r="AH403" s="104"/>
    </row>
    <row r="404">
      <c r="A404" s="101">
        <v>8.0</v>
      </c>
      <c r="B404" s="101">
        <v>29119.0</v>
      </c>
      <c r="C404" s="102" t="s">
        <v>634</v>
      </c>
      <c r="D404" s="52" t="s">
        <v>176</v>
      </c>
      <c r="E404" s="52">
        <v>6.0</v>
      </c>
      <c r="F404" s="52" t="s">
        <v>167</v>
      </c>
      <c r="G404" s="52">
        <v>4.0</v>
      </c>
      <c r="H404" s="52" t="s">
        <v>185</v>
      </c>
      <c r="I404" s="52">
        <v>3.0</v>
      </c>
      <c r="J404" s="52" t="s">
        <v>190</v>
      </c>
      <c r="K404" s="52">
        <v>5.0</v>
      </c>
      <c r="L404" s="52" t="s">
        <v>201</v>
      </c>
      <c r="M404" s="52">
        <v>1.0</v>
      </c>
      <c r="N404" s="52" t="s">
        <v>149</v>
      </c>
      <c r="O404" s="52" t="s">
        <v>125</v>
      </c>
      <c r="P404" s="52" t="s">
        <v>141</v>
      </c>
      <c r="Q404" s="52" t="s">
        <v>119</v>
      </c>
      <c r="R404" s="52" t="s">
        <v>141</v>
      </c>
      <c r="S404" s="52" t="s">
        <v>119</v>
      </c>
      <c r="T404" s="65" t="s">
        <v>30</v>
      </c>
      <c r="U404" s="32">
        <v>1.0</v>
      </c>
      <c r="V404" s="32">
        <v>1.0</v>
      </c>
      <c r="W404" s="32">
        <v>1.0</v>
      </c>
      <c r="X404" s="32">
        <v>1.0</v>
      </c>
      <c r="Y404" s="32">
        <v>1.0</v>
      </c>
      <c r="Z404" s="32">
        <v>1.0</v>
      </c>
      <c r="AA404" s="32">
        <v>6.0</v>
      </c>
      <c r="AB404" s="32">
        <v>0.0</v>
      </c>
      <c r="AC404" s="103" t="str">
        <f>IFERROR(__xludf.DUMMYFUNCTION("if($C404="""","""",if(join("" - "",{iferror(filter('Student Groupings'!$A:$A,'Student Groupings'!$B:$B=$C404,'Student Groupings'!$H:$H=""Can't be Together""),"""");iferror(filter('Student Groupings'!$A:$A,'Student Groupings'!$E:$E=$C404,'Student Groupings"&amp;"'!$H:$H=""Can't be Together""),"""")})="" - "","""",join("" - "",{iferror(filter('Student Groupings'!$A:$A,'Student Groupings'!$B:$B=$C404,'Student Groupings'!$H:$H=""Can't be Together""),"""");iferror(filter('Student Groupings'!$A:$A,'Student Groupings'!"&amp;"$E:$E=$C404,'Student Groupings'!$H:$H=""Can't be Together""),"""")})))"),"")</f>
        <v/>
      </c>
      <c r="AD404" s="103" t="str">
        <f>IFERROR(__xludf.DUMMYFUNCTION("if($C404="""","""",if(join("" - "",{iferror(filter('Student Groupings'!$A:$A,'Student Groupings'!$B:$B=$C404,'Student Groupings'!$H:$H=""Must be Together""),"""");iferror(filter('Student Groupings'!$A:$A,'Student Groupings'!$E:$E=$C404,'Student Groupings'"&amp;"!$H:$H=""Must be Together""),"""")})="" - "","""",join("" - "",{iferror(filter('Student Groupings'!$A:$A,'Student Groupings'!$B:$B=$C404,'Student Groupings'!$H:$H=""Must be Together""),"""");iferror(filter('Student Groupings'!$A:$A,'Student Groupings'!$E:"&amp;"$E=$C404,'Student Groupings'!$H:$H=""Must be Together""),"""")})))"),"")</f>
        <v/>
      </c>
      <c r="AE404" s="104"/>
      <c r="AF404" s="104"/>
      <c r="AG404" s="104"/>
      <c r="AH404" s="104"/>
    </row>
    <row r="405">
      <c r="A405" s="101">
        <v>8.0</v>
      </c>
      <c r="B405" s="101">
        <v>29092.0</v>
      </c>
      <c r="C405" s="102" t="s">
        <v>635</v>
      </c>
      <c r="D405" s="52" t="s">
        <v>176</v>
      </c>
      <c r="E405" s="52">
        <v>6.0</v>
      </c>
      <c r="F405" s="52" t="s">
        <v>167</v>
      </c>
      <c r="G405" s="52">
        <v>4.0</v>
      </c>
      <c r="H405" s="52" t="s">
        <v>185</v>
      </c>
      <c r="I405" s="52">
        <v>3.0</v>
      </c>
      <c r="J405" s="52" t="s">
        <v>190</v>
      </c>
      <c r="K405" s="52">
        <v>5.0</v>
      </c>
      <c r="L405" s="52" t="s">
        <v>201</v>
      </c>
      <c r="M405" s="52">
        <v>1.0</v>
      </c>
      <c r="N405" s="52" t="s">
        <v>149</v>
      </c>
      <c r="O405" s="52" t="s">
        <v>125</v>
      </c>
      <c r="P405" s="52" t="s">
        <v>141</v>
      </c>
      <c r="Q405" s="52" t="s">
        <v>119</v>
      </c>
      <c r="R405" s="52" t="s">
        <v>141</v>
      </c>
      <c r="S405" s="52" t="s">
        <v>119</v>
      </c>
      <c r="T405" s="65" t="s">
        <v>30</v>
      </c>
      <c r="U405" s="32">
        <v>1.0</v>
      </c>
      <c r="V405" s="32">
        <v>1.0</v>
      </c>
      <c r="W405" s="32">
        <v>1.0</v>
      </c>
      <c r="X405" s="32">
        <v>1.0</v>
      </c>
      <c r="Y405" s="32">
        <v>1.0</v>
      </c>
      <c r="Z405" s="32">
        <v>1.0</v>
      </c>
      <c r="AA405" s="32">
        <v>6.0</v>
      </c>
      <c r="AB405" s="32">
        <v>0.0</v>
      </c>
      <c r="AC405" s="103" t="str">
        <f>IFERROR(__xludf.DUMMYFUNCTION("if($C405="""","""",if(join("" - "",{iferror(filter('Student Groupings'!$A:$A,'Student Groupings'!$B:$B=$C405,'Student Groupings'!$H:$H=""Can't be Together""),"""");iferror(filter('Student Groupings'!$A:$A,'Student Groupings'!$E:$E=$C405,'Student Groupings"&amp;"'!$H:$H=""Can't be Together""),"""")})="" - "","""",join("" - "",{iferror(filter('Student Groupings'!$A:$A,'Student Groupings'!$B:$B=$C405,'Student Groupings'!$H:$H=""Can't be Together""),"""");iferror(filter('Student Groupings'!$A:$A,'Student Groupings'!"&amp;"$E:$E=$C405,'Student Groupings'!$H:$H=""Can't be Together""),"""")})))"),"")</f>
        <v/>
      </c>
      <c r="AD405" s="103" t="str">
        <f>IFERROR(__xludf.DUMMYFUNCTION("if($C405="""","""",if(join("" - "",{iferror(filter('Student Groupings'!$A:$A,'Student Groupings'!$B:$B=$C405,'Student Groupings'!$H:$H=""Must be Together""),"""");iferror(filter('Student Groupings'!$A:$A,'Student Groupings'!$E:$E=$C405,'Student Groupings'"&amp;"!$H:$H=""Must be Together""),"""")})="" - "","""",join("" - "",{iferror(filter('Student Groupings'!$A:$A,'Student Groupings'!$B:$B=$C405,'Student Groupings'!$H:$H=""Must be Together""),"""");iferror(filter('Student Groupings'!$A:$A,'Student Groupings'!$E:"&amp;"$E=$C405,'Student Groupings'!$H:$H=""Must be Together""),"""")})))"),"")</f>
        <v/>
      </c>
      <c r="AE405" s="105"/>
      <c r="AF405" s="105"/>
      <c r="AG405" s="105"/>
      <c r="AH405" s="105"/>
    </row>
    <row r="406">
      <c r="A406" s="101">
        <v>8.0</v>
      </c>
      <c r="B406" s="101">
        <v>29120.0</v>
      </c>
      <c r="C406" s="102" t="s">
        <v>636</v>
      </c>
      <c r="D406" s="52" t="s">
        <v>177</v>
      </c>
      <c r="E406" s="52">
        <v>4.0</v>
      </c>
      <c r="F406" s="52" t="s">
        <v>170</v>
      </c>
      <c r="G406" s="52">
        <v>1.0</v>
      </c>
      <c r="H406" s="52" t="s">
        <v>187</v>
      </c>
      <c r="I406" s="52">
        <v>6.0</v>
      </c>
      <c r="J406" s="52" t="s">
        <v>191</v>
      </c>
      <c r="K406" s="101">
        <v>3.0</v>
      </c>
      <c r="L406" s="52" t="s">
        <v>202</v>
      </c>
      <c r="M406" s="101">
        <v>2.0</v>
      </c>
      <c r="N406" s="52" t="s">
        <v>149</v>
      </c>
      <c r="O406" s="52" t="s">
        <v>124</v>
      </c>
      <c r="P406" s="52" t="s">
        <v>141</v>
      </c>
      <c r="Q406" s="52" t="s">
        <v>112</v>
      </c>
      <c r="R406" s="52" t="s">
        <v>141</v>
      </c>
      <c r="S406" s="52" t="s">
        <v>112</v>
      </c>
      <c r="T406" s="65" t="s">
        <v>30</v>
      </c>
      <c r="U406" s="32">
        <v>1.0</v>
      </c>
      <c r="V406" s="32">
        <v>1.0</v>
      </c>
      <c r="W406" s="32">
        <v>1.0</v>
      </c>
      <c r="X406" s="32">
        <v>1.0</v>
      </c>
      <c r="Y406" s="32">
        <v>1.0</v>
      </c>
      <c r="Z406" s="32">
        <v>1.0</v>
      </c>
      <c r="AA406" s="32">
        <v>6.0</v>
      </c>
      <c r="AB406" s="32">
        <v>0.0</v>
      </c>
      <c r="AC406" s="103" t="str">
        <f>IFERROR(__xludf.DUMMYFUNCTION("if($C406="""","""",if(join("" - "",{iferror(filter('Student Groupings'!$A:$A,'Student Groupings'!$B:$B=$C406,'Student Groupings'!$H:$H=""Can't be Together""),"""");iferror(filter('Student Groupings'!$A:$A,'Student Groupings'!$E:$E=$C406,'Student Groupings"&amp;"'!$H:$H=""Can't be Together""),"""")})="" - "","""",join("" - "",{iferror(filter('Student Groupings'!$A:$A,'Student Groupings'!$B:$B=$C406,'Student Groupings'!$H:$H=""Can't be Together""),"""");iferror(filter('Student Groupings'!$A:$A,'Student Groupings'!"&amp;"$E:$E=$C406,'Student Groupings'!$H:$H=""Can't be Together""),"""")})))"),"")</f>
        <v/>
      </c>
      <c r="AD406" s="103" t="str">
        <f>IFERROR(__xludf.DUMMYFUNCTION("if($C406="""","""",if(join("" - "",{iferror(filter('Student Groupings'!$A:$A,'Student Groupings'!$B:$B=$C406,'Student Groupings'!$H:$H=""Must be Together""),"""");iferror(filter('Student Groupings'!$A:$A,'Student Groupings'!$E:$E=$C406,'Student Groupings'"&amp;"!$H:$H=""Must be Together""),"""")})="" - "","""",join("" - "",{iferror(filter('Student Groupings'!$A:$A,'Student Groupings'!$B:$B=$C406,'Student Groupings'!$H:$H=""Must be Together""),"""");iferror(filter('Student Groupings'!$A:$A,'Student Groupings'!$E:"&amp;"$E=$C406,'Student Groupings'!$H:$H=""Must be Together""),"""")})))"),"")</f>
        <v/>
      </c>
      <c r="AE406" s="104"/>
      <c r="AF406" s="104"/>
      <c r="AG406" s="105"/>
      <c r="AH406" s="105"/>
    </row>
    <row r="407">
      <c r="A407" s="101">
        <v>8.0</v>
      </c>
      <c r="B407" s="101">
        <v>29122.0</v>
      </c>
      <c r="C407" s="102" t="s">
        <v>262</v>
      </c>
      <c r="D407" s="52" t="s">
        <v>176</v>
      </c>
      <c r="E407" s="52">
        <v>4.0</v>
      </c>
      <c r="F407" s="52" t="s">
        <v>162</v>
      </c>
      <c r="G407" s="52">
        <v>1.0</v>
      </c>
      <c r="H407" s="52" t="s">
        <v>185</v>
      </c>
      <c r="I407" s="52">
        <v>6.0</v>
      </c>
      <c r="J407" s="52" t="s">
        <v>190</v>
      </c>
      <c r="K407" s="52">
        <v>3.0</v>
      </c>
      <c r="L407" s="52" t="s">
        <v>201</v>
      </c>
      <c r="M407" s="52">
        <v>2.0</v>
      </c>
      <c r="N407" s="52" t="s">
        <v>149</v>
      </c>
      <c r="O407" s="52" t="s">
        <v>112</v>
      </c>
      <c r="P407" s="52" t="s">
        <v>135</v>
      </c>
      <c r="Q407" s="52" t="s">
        <v>124</v>
      </c>
      <c r="R407" s="52" t="s">
        <v>118</v>
      </c>
      <c r="S407" s="52" t="s">
        <v>124</v>
      </c>
      <c r="T407" s="65" t="s">
        <v>8</v>
      </c>
      <c r="U407" s="32">
        <v>1.0</v>
      </c>
      <c r="V407" s="32">
        <v>1.0</v>
      </c>
      <c r="W407" s="32">
        <v>1.0</v>
      </c>
      <c r="X407" s="32">
        <v>1.0</v>
      </c>
      <c r="Y407" s="32">
        <v>1.0</v>
      </c>
      <c r="Z407" s="32">
        <v>1.0</v>
      </c>
      <c r="AA407" s="32">
        <v>6.0</v>
      </c>
      <c r="AB407" s="32">
        <v>0.0</v>
      </c>
      <c r="AC407" s="103" t="str">
        <f>IFERROR(__xludf.DUMMYFUNCTION("if($C407="""","""",if(join("" - "",{iferror(filter('Student Groupings'!$A:$A,'Student Groupings'!$B:$B=$C407,'Student Groupings'!$H:$H=""Can't be Together""),"""");iferror(filter('Student Groupings'!$A:$A,'Student Groupings'!$E:$E=$C407,'Student Groupings"&amp;"'!$H:$H=""Can't be Together""),"""")})="" - "","""",join("" - "",{iferror(filter('Student Groupings'!$A:$A,'Student Groupings'!$B:$B=$C407,'Student Groupings'!$H:$H=""Can't be Together""),"""");iferror(filter('Student Groupings'!$A:$A,'Student Groupings'!"&amp;"$E:$E=$C407,'Student Groupings'!$H:$H=""Can't be Together""),"""")})))")," - 43 - 45 - 124")</f>
        <v> - 43 - 45 - 124</v>
      </c>
      <c r="AD407" s="103" t="str">
        <f>IFERROR(__xludf.DUMMYFUNCTION("if($C407="""","""",if(join("" - "",{iferror(filter('Student Groupings'!$A:$A,'Student Groupings'!$B:$B=$C407,'Student Groupings'!$H:$H=""Must be Together""),"""");iferror(filter('Student Groupings'!$A:$A,'Student Groupings'!$E:$E=$C407,'Student Groupings'"&amp;"!$H:$H=""Must be Together""),"""")})="" - "","""",join("" - "",{iferror(filter('Student Groupings'!$A:$A,'Student Groupings'!$B:$B=$C407,'Student Groupings'!$H:$H=""Must be Together""),"""");iferror(filter('Student Groupings'!$A:$A,'Student Groupings'!$E:"&amp;"$E=$C407,'Student Groupings'!$H:$H=""Must be Together""),"""")})))"),"")</f>
        <v/>
      </c>
      <c r="AE407" s="104"/>
      <c r="AF407" s="104"/>
      <c r="AG407" s="104"/>
      <c r="AH407" s="104"/>
    </row>
    <row r="408">
      <c r="A408" s="101">
        <v>8.0</v>
      </c>
      <c r="B408" s="101">
        <v>29123.0</v>
      </c>
      <c r="C408" s="102" t="s">
        <v>637</v>
      </c>
      <c r="D408" s="52" t="s">
        <v>176</v>
      </c>
      <c r="E408" s="52">
        <v>3.0</v>
      </c>
      <c r="F408" s="52" t="s">
        <v>167</v>
      </c>
      <c r="G408" s="52">
        <v>5.0</v>
      </c>
      <c r="H408" s="52" t="s">
        <v>187</v>
      </c>
      <c r="I408" s="52">
        <v>6.0</v>
      </c>
      <c r="J408" s="52" t="s">
        <v>190</v>
      </c>
      <c r="K408" s="52">
        <v>2.0</v>
      </c>
      <c r="L408" s="52" t="s">
        <v>201</v>
      </c>
      <c r="M408" s="52">
        <v>4.0</v>
      </c>
      <c r="N408" s="52" t="s">
        <v>149</v>
      </c>
      <c r="O408" s="52" t="s">
        <v>108</v>
      </c>
      <c r="P408" s="52" t="s">
        <v>141</v>
      </c>
      <c r="Q408" s="52" t="s">
        <v>129</v>
      </c>
      <c r="R408" s="52" t="s">
        <v>141</v>
      </c>
      <c r="S408" s="52" t="s">
        <v>129</v>
      </c>
      <c r="T408" s="65" t="s">
        <v>30</v>
      </c>
      <c r="U408" s="32">
        <v>1.0</v>
      </c>
      <c r="V408" s="32">
        <v>1.0</v>
      </c>
      <c r="W408" s="32">
        <v>1.0</v>
      </c>
      <c r="X408" s="32">
        <v>1.0</v>
      </c>
      <c r="Y408" s="32">
        <v>1.0</v>
      </c>
      <c r="Z408" s="32">
        <v>1.0</v>
      </c>
      <c r="AA408" s="32">
        <v>6.0</v>
      </c>
      <c r="AB408" s="32">
        <v>0.0</v>
      </c>
      <c r="AC408" s="103" t="str">
        <f>IFERROR(__xludf.DUMMYFUNCTION("if($C408="""","""",if(join("" - "",{iferror(filter('Student Groupings'!$A:$A,'Student Groupings'!$B:$B=$C408,'Student Groupings'!$H:$H=""Can't be Together""),"""");iferror(filter('Student Groupings'!$A:$A,'Student Groupings'!$E:$E=$C408,'Student Groupings"&amp;"'!$H:$H=""Can't be Together""),"""")})="" - "","""",join("" - "",{iferror(filter('Student Groupings'!$A:$A,'Student Groupings'!$B:$B=$C408,'Student Groupings'!$H:$H=""Can't be Together""),"""");iferror(filter('Student Groupings'!$A:$A,'Student Groupings'!"&amp;"$E:$E=$C408,'Student Groupings'!$H:$H=""Can't be Together""),"""")})))"),"")</f>
        <v/>
      </c>
      <c r="AD408" s="103" t="str">
        <f>IFERROR(__xludf.DUMMYFUNCTION("if($C408="""","""",if(join("" - "",{iferror(filter('Student Groupings'!$A:$A,'Student Groupings'!$B:$B=$C408,'Student Groupings'!$H:$H=""Must be Together""),"""");iferror(filter('Student Groupings'!$A:$A,'Student Groupings'!$E:$E=$C408,'Student Groupings'"&amp;"!$H:$H=""Must be Together""),"""")})="" - "","""",join("" - "",{iferror(filter('Student Groupings'!$A:$A,'Student Groupings'!$B:$B=$C408,'Student Groupings'!$H:$H=""Must be Together""),"""");iferror(filter('Student Groupings'!$A:$A,'Student Groupings'!$E:"&amp;"$E=$C408,'Student Groupings'!$H:$H=""Must be Together""),"""")})))"),"")</f>
        <v/>
      </c>
      <c r="AE408" s="104"/>
      <c r="AF408" s="104"/>
      <c r="AG408" s="104"/>
      <c r="AH408" s="104"/>
    </row>
    <row r="409">
      <c r="A409" s="101">
        <v>8.0</v>
      </c>
      <c r="B409" s="101">
        <v>29124.0</v>
      </c>
      <c r="C409" s="102" t="s">
        <v>288</v>
      </c>
      <c r="D409" s="52" t="s">
        <v>176</v>
      </c>
      <c r="E409" s="52">
        <v>5.0</v>
      </c>
      <c r="F409" s="52" t="s">
        <v>167</v>
      </c>
      <c r="G409" s="52">
        <v>3.0</v>
      </c>
      <c r="H409" s="52" t="s">
        <v>185</v>
      </c>
      <c r="I409" s="52">
        <v>2.0</v>
      </c>
      <c r="J409" s="52" t="s">
        <v>190</v>
      </c>
      <c r="K409" s="52">
        <v>1.0</v>
      </c>
      <c r="L409" s="52" t="s">
        <v>201</v>
      </c>
      <c r="M409" s="52">
        <v>6.0</v>
      </c>
      <c r="N409" s="52" t="s">
        <v>149</v>
      </c>
      <c r="O409" s="52" t="s">
        <v>111</v>
      </c>
      <c r="P409" s="52" t="s">
        <v>135</v>
      </c>
      <c r="Q409" s="52" t="s">
        <v>130</v>
      </c>
      <c r="R409" s="52" t="s">
        <v>118</v>
      </c>
      <c r="S409" s="52" t="s">
        <v>130</v>
      </c>
      <c r="T409" s="65" t="s">
        <v>27</v>
      </c>
      <c r="U409" s="32">
        <v>1.0</v>
      </c>
      <c r="V409" s="32">
        <v>1.0</v>
      </c>
      <c r="W409" s="32">
        <v>1.0</v>
      </c>
      <c r="X409" s="32">
        <v>1.0</v>
      </c>
      <c r="Y409" s="32">
        <v>1.0</v>
      </c>
      <c r="Z409" s="32">
        <v>1.0</v>
      </c>
      <c r="AA409" s="32">
        <v>6.0</v>
      </c>
      <c r="AB409" s="32">
        <v>0.0</v>
      </c>
      <c r="AC409" s="103" t="str">
        <f>IFERROR(__xludf.DUMMYFUNCTION("if($C409="""","""",if(join("" - "",{iferror(filter('Student Groupings'!$A:$A,'Student Groupings'!$B:$B=$C409,'Student Groupings'!$H:$H=""Can't be Together""),"""");iferror(filter('Student Groupings'!$A:$A,'Student Groupings'!$E:$E=$C409,'Student Groupings"&amp;"'!$H:$H=""Can't be Together""),"""")})="" - "","""",join("" - "",{iferror(filter('Student Groupings'!$A:$A,'Student Groupings'!$B:$B=$C409,'Student Groupings'!$H:$H=""Can't be Together""),"""");iferror(filter('Student Groupings'!$A:$A,'Student Groupings'!"&amp;"$E:$E=$C409,'Student Groupings'!$H:$H=""Can't be Together""),"""")})))"),"")</f>
        <v/>
      </c>
      <c r="AD409" s="103" t="str">
        <f>IFERROR(__xludf.DUMMYFUNCTION("if($C409="""","""",if(join("" - "",{iferror(filter('Student Groupings'!$A:$A,'Student Groupings'!$B:$B=$C409,'Student Groupings'!$H:$H=""Must be Together""),"""");iferror(filter('Student Groupings'!$A:$A,'Student Groupings'!$E:$E=$C409,'Student Groupings'"&amp;"!$H:$H=""Must be Together""),"""")})="" - "","""",join("" - "",{iferror(filter('Student Groupings'!$A:$A,'Student Groupings'!$B:$B=$C409,'Student Groupings'!$H:$H=""Must be Together""),"""");iferror(filter('Student Groupings'!$A:$A,'Student Groupings'!$E:"&amp;"$E=$C409,'Student Groupings'!$H:$H=""Must be Together""),"""")})))")," - 120")</f>
        <v> - 120</v>
      </c>
      <c r="AE409" s="104"/>
      <c r="AF409" s="104"/>
      <c r="AG409" s="104"/>
      <c r="AH409" s="104"/>
    </row>
    <row r="410">
      <c r="A410" s="101">
        <v>8.0</v>
      </c>
      <c r="B410" s="101">
        <v>29125.0</v>
      </c>
      <c r="C410" s="102" t="s">
        <v>638</v>
      </c>
      <c r="D410" s="52" t="s">
        <v>176</v>
      </c>
      <c r="E410" s="52">
        <v>5.0</v>
      </c>
      <c r="F410" s="52" t="s">
        <v>167</v>
      </c>
      <c r="G410" s="52">
        <v>4.0</v>
      </c>
      <c r="H410" s="52" t="s">
        <v>185</v>
      </c>
      <c r="I410" s="52">
        <v>3.0</v>
      </c>
      <c r="J410" s="52" t="s">
        <v>190</v>
      </c>
      <c r="K410" s="52">
        <v>1.0</v>
      </c>
      <c r="L410" s="52" t="s">
        <v>201</v>
      </c>
      <c r="M410" s="52">
        <v>6.0</v>
      </c>
      <c r="N410" s="52" t="s">
        <v>149</v>
      </c>
      <c r="O410" s="52" t="s">
        <v>125</v>
      </c>
      <c r="P410" s="52" t="s">
        <v>141</v>
      </c>
      <c r="Q410" s="52" t="s">
        <v>119</v>
      </c>
      <c r="R410" s="52" t="s">
        <v>141</v>
      </c>
      <c r="S410" s="52" t="s">
        <v>119</v>
      </c>
      <c r="T410" s="65" t="s">
        <v>30</v>
      </c>
      <c r="U410" s="32">
        <v>1.0</v>
      </c>
      <c r="V410" s="32">
        <v>1.0</v>
      </c>
      <c r="W410" s="32">
        <v>1.0</v>
      </c>
      <c r="X410" s="32">
        <v>1.0</v>
      </c>
      <c r="Y410" s="32">
        <v>1.0</v>
      </c>
      <c r="Z410" s="32">
        <v>1.0</v>
      </c>
      <c r="AA410" s="32">
        <v>6.0</v>
      </c>
      <c r="AB410" s="32">
        <v>0.0</v>
      </c>
      <c r="AC410" s="103" t="str">
        <f>IFERROR(__xludf.DUMMYFUNCTION("if($C410="""","""",if(join("" - "",{iferror(filter('Student Groupings'!$A:$A,'Student Groupings'!$B:$B=$C410,'Student Groupings'!$H:$H=""Can't be Together""),"""");iferror(filter('Student Groupings'!$A:$A,'Student Groupings'!$E:$E=$C410,'Student Groupings"&amp;"'!$H:$H=""Can't be Together""),"""")})="" - "","""",join("" - "",{iferror(filter('Student Groupings'!$A:$A,'Student Groupings'!$B:$B=$C410,'Student Groupings'!$H:$H=""Can't be Together""),"""");iferror(filter('Student Groupings'!$A:$A,'Student Groupings'!"&amp;"$E:$E=$C410,'Student Groupings'!$H:$H=""Can't be Together""),"""")})))"),"")</f>
        <v/>
      </c>
      <c r="AD410" s="103" t="str">
        <f>IFERROR(__xludf.DUMMYFUNCTION("if($C410="""","""",if(join("" - "",{iferror(filter('Student Groupings'!$A:$A,'Student Groupings'!$B:$B=$C410,'Student Groupings'!$H:$H=""Must be Together""),"""");iferror(filter('Student Groupings'!$A:$A,'Student Groupings'!$E:$E=$C410,'Student Groupings'"&amp;"!$H:$H=""Must be Together""),"""")})="" - "","""",join("" - "",{iferror(filter('Student Groupings'!$A:$A,'Student Groupings'!$B:$B=$C410,'Student Groupings'!$H:$H=""Must be Together""),"""");iferror(filter('Student Groupings'!$A:$A,'Student Groupings'!$E:"&amp;"$E=$C410,'Student Groupings'!$H:$H=""Must be Together""),"""")})))"),"")</f>
        <v/>
      </c>
      <c r="AE410" s="104"/>
      <c r="AF410" s="104"/>
      <c r="AG410" s="104"/>
      <c r="AH410" s="104"/>
    </row>
    <row r="411">
      <c r="A411" s="101">
        <v>8.0</v>
      </c>
      <c r="B411" s="101">
        <v>29126.0</v>
      </c>
      <c r="C411" s="102" t="s">
        <v>263</v>
      </c>
      <c r="D411" s="52" t="s">
        <v>176</v>
      </c>
      <c r="E411" s="52">
        <v>3.0</v>
      </c>
      <c r="F411" s="52" t="s">
        <v>162</v>
      </c>
      <c r="G411" s="52">
        <v>6.0</v>
      </c>
      <c r="H411" s="52" t="s">
        <v>185</v>
      </c>
      <c r="I411" s="52">
        <v>1.0</v>
      </c>
      <c r="J411" s="52" t="s">
        <v>190</v>
      </c>
      <c r="K411" s="52">
        <v>2.0</v>
      </c>
      <c r="L411" s="52" t="s">
        <v>201</v>
      </c>
      <c r="M411" s="52">
        <v>4.0</v>
      </c>
      <c r="N411" s="52" t="s">
        <v>149</v>
      </c>
      <c r="O411" s="52" t="s">
        <v>112</v>
      </c>
      <c r="P411" s="52" t="s">
        <v>118</v>
      </c>
      <c r="Q411" s="52" t="s">
        <v>124</v>
      </c>
      <c r="R411" s="52" t="s">
        <v>135</v>
      </c>
      <c r="S411" s="52" t="s">
        <v>124</v>
      </c>
      <c r="T411" s="65" t="s">
        <v>27</v>
      </c>
      <c r="U411" s="32">
        <v>1.0</v>
      </c>
      <c r="V411" s="32">
        <v>1.0</v>
      </c>
      <c r="W411" s="32">
        <v>1.0</v>
      </c>
      <c r="X411" s="32">
        <v>1.0</v>
      </c>
      <c r="Y411" s="32">
        <v>1.0</v>
      </c>
      <c r="Z411" s="32">
        <v>1.0</v>
      </c>
      <c r="AA411" s="32">
        <v>6.0</v>
      </c>
      <c r="AB411" s="32">
        <v>0.0</v>
      </c>
      <c r="AC411" s="103" t="str">
        <f>IFERROR(__xludf.DUMMYFUNCTION("if($C411="""","""",if(join("" - "",{iferror(filter('Student Groupings'!$A:$A,'Student Groupings'!$B:$B=$C411,'Student Groupings'!$H:$H=""Can't be Together""),"""");iferror(filter('Student Groupings'!$A:$A,'Student Groupings'!$E:$E=$C411,'Student Groupings"&amp;"'!$H:$H=""Can't be Together""),"""")})="" - "","""",join("" - "",{iferror(filter('Student Groupings'!$A:$A,'Student Groupings'!$B:$B=$C411,'Student Groupings'!$H:$H=""Can't be Together""),"""");iferror(filter('Student Groupings'!$A:$A,'Student Groupings'!"&amp;"$E:$E=$C411,'Student Groupings'!$H:$H=""Can't be Together""),"""")})))"),"45 - 44")</f>
        <v>45 - 44</v>
      </c>
      <c r="AD411" s="103" t="str">
        <f>IFERROR(__xludf.DUMMYFUNCTION("if($C411="""","""",if(join("" - "",{iferror(filter('Student Groupings'!$A:$A,'Student Groupings'!$B:$B=$C411,'Student Groupings'!$H:$H=""Must be Together""),"""");iferror(filter('Student Groupings'!$A:$A,'Student Groupings'!$E:$E=$C411,'Student Groupings'"&amp;"!$H:$H=""Must be Together""),"""")})="" - "","""",join("" - "",{iferror(filter('Student Groupings'!$A:$A,'Student Groupings'!$B:$B=$C411,'Student Groupings'!$H:$H=""Must be Together""),"""");iferror(filter('Student Groupings'!$A:$A,'Student Groupings'!$E:"&amp;"$E=$C411,'Student Groupings'!$H:$H=""Must be Together""),"""")})))"),"46 - ")</f>
        <v>46 - </v>
      </c>
      <c r="AE411" s="104"/>
      <c r="AF411" s="104"/>
      <c r="AG411" s="104"/>
      <c r="AH411" s="104"/>
    </row>
    <row r="412">
      <c r="A412" s="101">
        <v>8.0</v>
      </c>
      <c r="B412" s="101">
        <v>29145.0</v>
      </c>
      <c r="C412" s="102" t="s">
        <v>639</v>
      </c>
      <c r="D412" s="52" t="s">
        <v>176</v>
      </c>
      <c r="E412" s="52">
        <v>2.0</v>
      </c>
      <c r="F412" s="52" t="s">
        <v>170</v>
      </c>
      <c r="G412" s="52">
        <v>1.0</v>
      </c>
      <c r="H412" s="52" t="s">
        <v>185</v>
      </c>
      <c r="I412" s="52">
        <v>6.0</v>
      </c>
      <c r="J412" s="52" t="s">
        <v>190</v>
      </c>
      <c r="K412" s="52">
        <v>4.0</v>
      </c>
      <c r="L412" s="52" t="s">
        <v>201</v>
      </c>
      <c r="M412" s="52">
        <v>3.0</v>
      </c>
      <c r="N412" s="52" t="s">
        <v>149</v>
      </c>
      <c r="O412" s="52" t="s">
        <v>124</v>
      </c>
      <c r="P412" s="52" t="s">
        <v>141</v>
      </c>
      <c r="Q412" s="52" t="s">
        <v>112</v>
      </c>
      <c r="R412" s="52" t="s">
        <v>141</v>
      </c>
      <c r="S412" s="52" t="s">
        <v>112</v>
      </c>
      <c r="T412" s="65" t="s">
        <v>30</v>
      </c>
      <c r="U412" s="32">
        <v>1.0</v>
      </c>
      <c r="V412" s="32">
        <v>1.0</v>
      </c>
      <c r="W412" s="32">
        <v>1.0</v>
      </c>
      <c r="X412" s="32">
        <v>1.0</v>
      </c>
      <c r="Y412" s="32">
        <v>1.0</v>
      </c>
      <c r="Z412" s="32">
        <v>1.0</v>
      </c>
      <c r="AA412" s="32">
        <v>6.0</v>
      </c>
      <c r="AB412" s="32">
        <v>0.0</v>
      </c>
      <c r="AC412" s="103" t="str">
        <f>IFERROR(__xludf.DUMMYFUNCTION("if($C412="""","""",if(join("" - "",{iferror(filter('Student Groupings'!$A:$A,'Student Groupings'!$B:$B=$C412,'Student Groupings'!$H:$H=""Can't be Together""),"""");iferror(filter('Student Groupings'!$A:$A,'Student Groupings'!$E:$E=$C412,'Student Groupings"&amp;"'!$H:$H=""Can't be Together""),"""")})="" - "","""",join("" - "",{iferror(filter('Student Groupings'!$A:$A,'Student Groupings'!$B:$B=$C412,'Student Groupings'!$H:$H=""Can't be Together""),"""");iferror(filter('Student Groupings'!$A:$A,'Student Groupings'!"&amp;"$E:$E=$C412,'Student Groupings'!$H:$H=""Can't be Together""),"""")})))"),"")</f>
        <v/>
      </c>
      <c r="AD412" s="103" t="str">
        <f>IFERROR(__xludf.DUMMYFUNCTION("if($C412="""","""",if(join("" - "",{iferror(filter('Student Groupings'!$A:$A,'Student Groupings'!$B:$B=$C412,'Student Groupings'!$H:$H=""Must be Together""),"""");iferror(filter('Student Groupings'!$A:$A,'Student Groupings'!$E:$E=$C412,'Student Groupings'"&amp;"!$H:$H=""Must be Together""),"""")})="" - "","""",join("" - "",{iferror(filter('Student Groupings'!$A:$A,'Student Groupings'!$B:$B=$C412,'Student Groupings'!$H:$H=""Must be Together""),"""");iferror(filter('Student Groupings'!$A:$A,'Student Groupings'!$E:"&amp;"$E=$C412,'Student Groupings'!$H:$H=""Must be Together""),"""")})))"),"")</f>
        <v/>
      </c>
      <c r="AE412" s="105"/>
      <c r="AF412" s="105">
        <v>1.0</v>
      </c>
      <c r="AG412" s="104"/>
      <c r="AH412" s="104"/>
    </row>
    <row r="413">
      <c r="A413" s="101">
        <v>8.0</v>
      </c>
      <c r="B413" s="101">
        <v>29128.0</v>
      </c>
      <c r="C413" s="102" t="s">
        <v>295</v>
      </c>
      <c r="D413" s="52" t="s">
        <v>176</v>
      </c>
      <c r="E413" s="52">
        <v>4.0</v>
      </c>
      <c r="F413" s="52" t="s">
        <v>162</v>
      </c>
      <c r="G413" s="52">
        <v>6.0</v>
      </c>
      <c r="H413" s="52" t="s">
        <v>185</v>
      </c>
      <c r="I413" s="52">
        <v>1.0</v>
      </c>
      <c r="J413" s="52" t="s">
        <v>190</v>
      </c>
      <c r="K413" s="52">
        <v>3.0</v>
      </c>
      <c r="L413" s="52" t="s">
        <v>201</v>
      </c>
      <c r="M413" s="52">
        <v>2.0</v>
      </c>
      <c r="N413" s="52" t="s">
        <v>149</v>
      </c>
      <c r="O413" s="52" t="s">
        <v>124</v>
      </c>
      <c r="P413" s="52" t="s">
        <v>141</v>
      </c>
      <c r="Q413" s="52" t="s">
        <v>112</v>
      </c>
      <c r="R413" s="52" t="s">
        <v>141</v>
      </c>
      <c r="S413" s="52" t="s">
        <v>112</v>
      </c>
      <c r="T413" s="65" t="s">
        <v>30</v>
      </c>
      <c r="U413" s="32">
        <v>1.0</v>
      </c>
      <c r="V413" s="32">
        <v>1.0</v>
      </c>
      <c r="W413" s="32">
        <v>1.0</v>
      </c>
      <c r="X413" s="32">
        <v>1.0</v>
      </c>
      <c r="Y413" s="32">
        <v>1.0</v>
      </c>
      <c r="Z413" s="32">
        <v>1.0</v>
      </c>
      <c r="AA413" s="32">
        <v>6.0</v>
      </c>
      <c r="AB413" s="32">
        <v>0.0</v>
      </c>
      <c r="AC413" s="103" t="str">
        <f>IFERROR(__xludf.DUMMYFUNCTION("if($C413="""","""",if(join("" - "",{iferror(filter('Student Groupings'!$A:$A,'Student Groupings'!$B:$B=$C413,'Student Groupings'!$H:$H=""Can't be Together""),"""");iferror(filter('Student Groupings'!$A:$A,'Student Groupings'!$E:$E=$C413,'Student Groupings"&amp;"'!$H:$H=""Can't be Together""),"""")})="" - "","""",join("" - "",{iferror(filter('Student Groupings'!$A:$A,'Student Groupings'!$B:$B=$C413,'Student Groupings'!$H:$H=""Can't be Together""),"""");iferror(filter('Student Groupings'!$A:$A,'Student Groupings'!"&amp;"$E:$E=$C413,'Student Groupings'!$H:$H=""Can't be Together""),"""")})))"),"")</f>
        <v/>
      </c>
      <c r="AD413" s="103" t="str">
        <f>IFERROR(__xludf.DUMMYFUNCTION("if($C413="""","""",if(join("" - "",{iferror(filter('Student Groupings'!$A:$A,'Student Groupings'!$B:$B=$C413,'Student Groupings'!$H:$H=""Must be Together""),"""");iferror(filter('Student Groupings'!$A:$A,'Student Groupings'!$E:$E=$C413,'Student Groupings'"&amp;"!$H:$H=""Must be Together""),"""")})="" - "","""",join("" - "",{iferror(filter('Student Groupings'!$A:$A,'Student Groupings'!$B:$B=$C413,'Student Groupings'!$H:$H=""Must be Together""),"""");iferror(filter('Student Groupings'!$A:$A,'Student Groupings'!$E:"&amp;"$E=$C413,'Student Groupings'!$H:$H=""Must be Together""),"""")})))"),"125 - 126 - 127 - 128 - 129 - ")</f>
        <v>125 - 126 - 127 - 128 - 129 - </v>
      </c>
      <c r="AE413" s="104"/>
      <c r="AF413" s="104"/>
      <c r="AG413" s="104"/>
      <c r="AH413" s="104"/>
    </row>
    <row r="414">
      <c r="A414" s="101">
        <v>8.0</v>
      </c>
      <c r="B414" s="101">
        <v>29129.0</v>
      </c>
      <c r="C414" s="102" t="s">
        <v>277</v>
      </c>
      <c r="D414" s="52" t="s">
        <v>176</v>
      </c>
      <c r="E414" s="52">
        <v>3.0</v>
      </c>
      <c r="F414" s="52" t="s">
        <v>162</v>
      </c>
      <c r="G414" s="52">
        <v>6.0</v>
      </c>
      <c r="H414" s="52" t="s">
        <v>185</v>
      </c>
      <c r="I414" s="52">
        <v>1.0</v>
      </c>
      <c r="J414" s="52" t="s">
        <v>190</v>
      </c>
      <c r="K414" s="52">
        <v>2.0</v>
      </c>
      <c r="L414" s="52" t="s">
        <v>201</v>
      </c>
      <c r="M414" s="52">
        <v>4.0</v>
      </c>
      <c r="N414" s="52" t="s">
        <v>149</v>
      </c>
      <c r="O414" s="52" t="s">
        <v>112</v>
      </c>
      <c r="P414" s="52" t="s">
        <v>118</v>
      </c>
      <c r="Q414" s="52" t="s">
        <v>124</v>
      </c>
      <c r="R414" s="52" t="s">
        <v>135</v>
      </c>
      <c r="S414" s="52" t="s">
        <v>124</v>
      </c>
      <c r="T414" s="65" t="s">
        <v>27</v>
      </c>
      <c r="U414" s="32">
        <v>1.0</v>
      </c>
      <c r="V414" s="32">
        <v>1.0</v>
      </c>
      <c r="W414" s="32">
        <v>1.0</v>
      </c>
      <c r="X414" s="32">
        <v>1.0</v>
      </c>
      <c r="Y414" s="32">
        <v>1.0</v>
      </c>
      <c r="Z414" s="32">
        <v>1.0</v>
      </c>
      <c r="AA414" s="32">
        <v>6.0</v>
      </c>
      <c r="AB414" s="32">
        <v>0.0</v>
      </c>
      <c r="AC414" s="103" t="str">
        <f>IFERROR(__xludf.DUMMYFUNCTION("if($C414="""","""",if(join("" - "",{iferror(filter('Student Groupings'!$A:$A,'Student Groupings'!$B:$B=$C414,'Student Groupings'!$H:$H=""Can't be Together""),"""");iferror(filter('Student Groupings'!$A:$A,'Student Groupings'!$E:$E=$C414,'Student Groupings"&amp;"'!$H:$H=""Can't be Together""),"""")})="" - "","""",join("" - "",{iferror(filter('Student Groupings'!$A:$A,'Student Groupings'!$B:$B=$C414,'Student Groupings'!$H:$H=""Can't be Together""),"""");iferror(filter('Student Groupings'!$A:$A,'Student Groupings'!"&amp;"$E:$E=$C414,'Student Groupings'!$H:$H=""Can't be Together""),"""")})))"),"66 - 67 - 68 - 69 - 56 - 60 - 64 - 73")</f>
        <v>66 - 67 - 68 - 69 - 56 - 60 - 64 - 73</v>
      </c>
      <c r="AD414" s="103" t="str">
        <f>IFERROR(__xludf.DUMMYFUNCTION("if($C414="""","""",if(join("" - "",{iferror(filter('Student Groupings'!$A:$A,'Student Groupings'!$B:$B=$C414,'Student Groupings'!$H:$H=""Must be Together""),"""");iferror(filter('Student Groupings'!$A:$A,'Student Groupings'!$E:$E=$C414,'Student Groupings'"&amp;"!$H:$H=""Must be Together""),"""")})="" - "","""",join("" - "",{iferror(filter('Student Groupings'!$A:$A,'Student Groupings'!$B:$B=$C414,'Student Groupings'!$H:$H=""Must be Together""),"""");iferror(filter('Student Groupings'!$A:$A,'Student Groupings'!$E:"&amp;"$E=$C414,'Student Groupings'!$H:$H=""Must be Together""),"""")})))"),"")</f>
        <v/>
      </c>
      <c r="AE414" s="104"/>
      <c r="AF414" s="104"/>
      <c r="AG414" s="104"/>
      <c r="AH414" s="104"/>
    </row>
    <row r="415">
      <c r="A415" s="101">
        <v>8.0</v>
      </c>
      <c r="B415" s="101">
        <v>29131.0</v>
      </c>
      <c r="C415" s="102" t="s">
        <v>640</v>
      </c>
      <c r="D415" s="52" t="s">
        <v>176</v>
      </c>
      <c r="E415" s="52">
        <v>6.0</v>
      </c>
      <c r="F415" s="52" t="s">
        <v>167</v>
      </c>
      <c r="G415" s="52">
        <v>3.0</v>
      </c>
      <c r="H415" s="52" t="s">
        <v>185</v>
      </c>
      <c r="I415" s="52">
        <v>2.0</v>
      </c>
      <c r="J415" s="52" t="s">
        <v>190</v>
      </c>
      <c r="K415" s="52">
        <v>5.0</v>
      </c>
      <c r="L415" s="52" t="s">
        <v>201</v>
      </c>
      <c r="M415" s="52">
        <v>1.0</v>
      </c>
      <c r="N415" s="52" t="s">
        <v>149</v>
      </c>
      <c r="O415" s="52" t="s">
        <v>111</v>
      </c>
      <c r="P415" s="52" t="s">
        <v>135</v>
      </c>
      <c r="Q415" s="52" t="s">
        <v>130</v>
      </c>
      <c r="R415" s="52" t="s">
        <v>118</v>
      </c>
      <c r="S415" s="52" t="s">
        <v>130</v>
      </c>
      <c r="T415" s="65" t="s">
        <v>27</v>
      </c>
      <c r="U415" s="32">
        <v>1.0</v>
      </c>
      <c r="V415" s="32">
        <v>1.0</v>
      </c>
      <c r="W415" s="32">
        <v>1.0</v>
      </c>
      <c r="X415" s="32">
        <v>1.0</v>
      </c>
      <c r="Y415" s="32">
        <v>1.0</v>
      </c>
      <c r="Z415" s="32">
        <v>1.0</v>
      </c>
      <c r="AA415" s="32">
        <v>6.0</v>
      </c>
      <c r="AB415" s="32">
        <v>0.0</v>
      </c>
      <c r="AC415" s="103" t="str">
        <f>IFERROR(__xludf.DUMMYFUNCTION("if($C415="""","""",if(join("" - "",{iferror(filter('Student Groupings'!$A:$A,'Student Groupings'!$B:$B=$C415,'Student Groupings'!$H:$H=""Can't be Together""),"""");iferror(filter('Student Groupings'!$A:$A,'Student Groupings'!$E:$E=$C415,'Student Groupings"&amp;"'!$H:$H=""Can't be Together""),"""")})="" - "","""",join("" - "",{iferror(filter('Student Groupings'!$A:$A,'Student Groupings'!$B:$B=$C415,'Student Groupings'!$H:$H=""Can't be Together""),"""");iferror(filter('Student Groupings'!$A:$A,'Student Groupings'!"&amp;"$E:$E=$C415,'Student Groupings'!$H:$H=""Can't be Together""),"""")})))"),"")</f>
        <v/>
      </c>
      <c r="AD415" s="103" t="str">
        <f>IFERROR(__xludf.DUMMYFUNCTION("if($C415="""","""",if(join("" - "",{iferror(filter('Student Groupings'!$A:$A,'Student Groupings'!$B:$B=$C415,'Student Groupings'!$H:$H=""Must be Together""),"""");iferror(filter('Student Groupings'!$A:$A,'Student Groupings'!$E:$E=$C415,'Student Groupings'"&amp;"!$H:$H=""Must be Together""),"""")})="" - "","""",join("" - "",{iferror(filter('Student Groupings'!$A:$A,'Student Groupings'!$B:$B=$C415,'Student Groupings'!$H:$H=""Must be Together""),"""");iferror(filter('Student Groupings'!$A:$A,'Student Groupings'!$E:"&amp;"$E=$C415,'Student Groupings'!$H:$H=""Must be Together""),"""")})))"),"")</f>
        <v/>
      </c>
      <c r="AE415" s="104"/>
      <c r="AF415" s="104"/>
      <c r="AG415" s="104"/>
      <c r="AH415" s="104"/>
    </row>
    <row r="416">
      <c r="A416" s="101">
        <v>8.0</v>
      </c>
      <c r="B416" s="101">
        <v>29132.0</v>
      </c>
      <c r="C416" s="102" t="s">
        <v>641</v>
      </c>
      <c r="D416" s="52" t="s">
        <v>177</v>
      </c>
      <c r="E416" s="52">
        <v>4.0</v>
      </c>
      <c r="F416" s="52" t="s">
        <v>167</v>
      </c>
      <c r="G416" s="52">
        <v>5.0</v>
      </c>
      <c r="H416" s="52" t="s">
        <v>185</v>
      </c>
      <c r="I416" s="52">
        <v>6.0</v>
      </c>
      <c r="J416" s="52" t="s">
        <v>191</v>
      </c>
      <c r="K416" s="52">
        <v>3.0</v>
      </c>
      <c r="L416" s="52" t="s">
        <v>202</v>
      </c>
      <c r="M416" s="52">
        <v>2.0</v>
      </c>
      <c r="N416" s="52" t="s">
        <v>149</v>
      </c>
      <c r="O416" s="52" t="s">
        <v>108</v>
      </c>
      <c r="P416" s="52" t="s">
        <v>141</v>
      </c>
      <c r="Q416" s="52" t="s">
        <v>129</v>
      </c>
      <c r="R416" s="52" t="s">
        <v>141</v>
      </c>
      <c r="S416" s="52" t="s">
        <v>129</v>
      </c>
      <c r="T416" s="65" t="s">
        <v>30</v>
      </c>
      <c r="U416" s="32">
        <v>1.0</v>
      </c>
      <c r="V416" s="32">
        <v>1.0</v>
      </c>
      <c r="W416" s="32">
        <v>1.0</v>
      </c>
      <c r="X416" s="32">
        <v>1.0</v>
      </c>
      <c r="Y416" s="32">
        <v>1.0</v>
      </c>
      <c r="Z416" s="32">
        <v>1.0</v>
      </c>
      <c r="AA416" s="32">
        <v>6.0</v>
      </c>
      <c r="AB416" s="32">
        <v>0.0</v>
      </c>
      <c r="AC416" s="103" t="str">
        <f>IFERROR(__xludf.DUMMYFUNCTION("if($C416="""","""",if(join("" - "",{iferror(filter('Student Groupings'!$A:$A,'Student Groupings'!$B:$B=$C416,'Student Groupings'!$H:$H=""Can't be Together""),"""");iferror(filter('Student Groupings'!$A:$A,'Student Groupings'!$E:$E=$C416,'Student Groupings"&amp;"'!$H:$H=""Can't be Together""),"""")})="" - "","""",join("" - "",{iferror(filter('Student Groupings'!$A:$A,'Student Groupings'!$B:$B=$C416,'Student Groupings'!$H:$H=""Can't be Together""),"""");iferror(filter('Student Groupings'!$A:$A,'Student Groupings'!"&amp;"$E:$E=$C416,'Student Groupings'!$H:$H=""Can't be Together""),"""")})))"),"")</f>
        <v/>
      </c>
      <c r="AD416" s="103" t="str">
        <f>IFERROR(__xludf.DUMMYFUNCTION("if($C416="""","""",if(join("" - "",{iferror(filter('Student Groupings'!$A:$A,'Student Groupings'!$B:$B=$C416,'Student Groupings'!$H:$H=""Must be Together""),"""");iferror(filter('Student Groupings'!$A:$A,'Student Groupings'!$E:$E=$C416,'Student Groupings'"&amp;"!$H:$H=""Must be Together""),"""")})="" - "","""",join("" - "",{iferror(filter('Student Groupings'!$A:$A,'Student Groupings'!$B:$B=$C416,'Student Groupings'!$H:$H=""Must be Together""),"""");iferror(filter('Student Groupings'!$A:$A,'Student Groupings'!$E:"&amp;"$E=$C416,'Student Groupings'!$H:$H=""Must be Together""),"""")})))"),"")</f>
        <v/>
      </c>
      <c r="AE416" s="104"/>
      <c r="AF416" s="104"/>
      <c r="AG416" s="104"/>
      <c r="AH416" s="104"/>
    </row>
    <row r="417">
      <c r="A417" s="101">
        <v>8.0</v>
      </c>
      <c r="B417" s="101">
        <v>29133.0</v>
      </c>
      <c r="C417" s="102" t="s">
        <v>642</v>
      </c>
      <c r="D417" s="52" t="s">
        <v>176</v>
      </c>
      <c r="E417" s="52">
        <v>3.0</v>
      </c>
      <c r="F417" s="52" t="s">
        <v>162</v>
      </c>
      <c r="G417" s="52">
        <v>1.0</v>
      </c>
      <c r="H417" s="52" t="s">
        <v>185</v>
      </c>
      <c r="I417" s="52">
        <v>5.0</v>
      </c>
      <c r="J417" s="52" t="s">
        <v>190</v>
      </c>
      <c r="K417" s="52">
        <v>2.0</v>
      </c>
      <c r="L417" s="52" t="s">
        <v>201</v>
      </c>
      <c r="M417" s="52">
        <v>4.0</v>
      </c>
      <c r="N417" s="52" t="s">
        <v>149</v>
      </c>
      <c r="O417" s="52" t="s">
        <v>120</v>
      </c>
      <c r="P417" s="52" t="s">
        <v>141</v>
      </c>
      <c r="Q417" s="52" t="s">
        <v>109</v>
      </c>
      <c r="R417" s="52" t="s">
        <v>141</v>
      </c>
      <c r="S417" s="52" t="s">
        <v>109</v>
      </c>
      <c r="T417" s="65" t="s">
        <v>30</v>
      </c>
      <c r="U417" s="32">
        <v>1.0</v>
      </c>
      <c r="V417" s="32">
        <v>1.0</v>
      </c>
      <c r="W417" s="32">
        <v>1.0</v>
      </c>
      <c r="X417" s="32">
        <v>1.0</v>
      </c>
      <c r="Y417" s="32">
        <v>1.0</v>
      </c>
      <c r="Z417" s="32">
        <v>1.0</v>
      </c>
      <c r="AA417" s="32">
        <v>6.0</v>
      </c>
      <c r="AB417" s="32">
        <v>0.0</v>
      </c>
      <c r="AC417" s="103" t="str">
        <f>IFERROR(__xludf.DUMMYFUNCTION("if($C417="""","""",if(join("" - "",{iferror(filter('Student Groupings'!$A:$A,'Student Groupings'!$B:$B=$C417,'Student Groupings'!$H:$H=""Can't be Together""),"""");iferror(filter('Student Groupings'!$A:$A,'Student Groupings'!$E:$E=$C417,'Student Groupings"&amp;"'!$H:$H=""Can't be Together""),"""")})="" - "","""",join("" - "",{iferror(filter('Student Groupings'!$A:$A,'Student Groupings'!$B:$B=$C417,'Student Groupings'!$H:$H=""Can't be Together""),"""");iferror(filter('Student Groupings'!$A:$A,'Student Groupings'!"&amp;"$E:$E=$C417,'Student Groupings'!$H:$H=""Can't be Together""),"""")})))"),"")</f>
        <v/>
      </c>
      <c r="AD417" s="103" t="str">
        <f>IFERROR(__xludf.DUMMYFUNCTION("if($C417="""","""",if(join("" - "",{iferror(filter('Student Groupings'!$A:$A,'Student Groupings'!$B:$B=$C417,'Student Groupings'!$H:$H=""Must be Together""),"""");iferror(filter('Student Groupings'!$A:$A,'Student Groupings'!$E:$E=$C417,'Student Groupings'"&amp;"!$H:$H=""Must be Together""),"""")})="" - "","""",join("" - "",{iferror(filter('Student Groupings'!$A:$A,'Student Groupings'!$B:$B=$C417,'Student Groupings'!$H:$H=""Must be Together""),"""");iferror(filter('Student Groupings'!$A:$A,'Student Groupings'!$E:"&amp;"$E=$C417,'Student Groupings'!$H:$H=""Must be Together""),"""")})))"),"")</f>
        <v/>
      </c>
      <c r="AE417" s="104"/>
      <c r="AF417" s="104"/>
      <c r="AG417" s="104"/>
      <c r="AH417" s="104"/>
    </row>
    <row r="418">
      <c r="A418" s="101">
        <v>8.0</v>
      </c>
      <c r="B418" s="101">
        <v>27128.0</v>
      </c>
      <c r="C418" s="102" t="s">
        <v>643</v>
      </c>
      <c r="D418" s="52" t="s">
        <v>177</v>
      </c>
      <c r="E418" s="52">
        <v>4.0</v>
      </c>
      <c r="F418" s="52" t="s">
        <v>162</v>
      </c>
      <c r="G418" s="52">
        <v>1.0</v>
      </c>
      <c r="H418" s="52" t="s">
        <v>185</v>
      </c>
      <c r="I418" s="52">
        <v>6.0</v>
      </c>
      <c r="J418" s="52" t="s">
        <v>191</v>
      </c>
      <c r="K418" s="52">
        <v>3.0</v>
      </c>
      <c r="L418" s="52" t="s">
        <v>202</v>
      </c>
      <c r="M418" s="52">
        <v>2.0</v>
      </c>
      <c r="N418" s="52" t="s">
        <v>149</v>
      </c>
      <c r="O418" s="52" t="s">
        <v>124</v>
      </c>
      <c r="P418" s="52" t="s">
        <v>141</v>
      </c>
      <c r="Q418" s="52" t="s">
        <v>112</v>
      </c>
      <c r="R418" s="52" t="s">
        <v>141</v>
      </c>
      <c r="S418" s="52" t="s">
        <v>112</v>
      </c>
      <c r="T418" s="65" t="s">
        <v>30</v>
      </c>
      <c r="U418" s="32">
        <v>1.0</v>
      </c>
      <c r="V418" s="32">
        <v>1.0</v>
      </c>
      <c r="W418" s="32">
        <v>1.0</v>
      </c>
      <c r="X418" s="32">
        <v>1.0</v>
      </c>
      <c r="Y418" s="32">
        <v>1.0</v>
      </c>
      <c r="Z418" s="32">
        <v>1.0</v>
      </c>
      <c r="AA418" s="32">
        <v>6.0</v>
      </c>
      <c r="AB418" s="32">
        <v>0.0</v>
      </c>
      <c r="AC418" s="103" t="str">
        <f>IFERROR(__xludf.DUMMYFUNCTION("if($C418="""","""",if(join("" - "",{iferror(filter('Student Groupings'!$A:$A,'Student Groupings'!$B:$B=$C418,'Student Groupings'!$H:$H=""Can't be Together""),"""");iferror(filter('Student Groupings'!$A:$A,'Student Groupings'!$E:$E=$C418,'Student Groupings"&amp;"'!$H:$H=""Can't be Together""),"""")})="" - "","""",join("" - "",{iferror(filter('Student Groupings'!$A:$A,'Student Groupings'!$B:$B=$C418,'Student Groupings'!$H:$H=""Can't be Together""),"""");iferror(filter('Student Groupings'!$A:$A,'Student Groupings'!"&amp;"$E:$E=$C418,'Student Groupings'!$H:$H=""Can't be Together""),"""")})))"),"")</f>
        <v/>
      </c>
      <c r="AD418" s="103" t="str">
        <f>IFERROR(__xludf.DUMMYFUNCTION("if($C418="""","""",if(join("" - "",{iferror(filter('Student Groupings'!$A:$A,'Student Groupings'!$B:$B=$C418,'Student Groupings'!$H:$H=""Must be Together""),"""");iferror(filter('Student Groupings'!$A:$A,'Student Groupings'!$E:$E=$C418,'Student Groupings'"&amp;"!$H:$H=""Must be Together""),"""")})="" - "","""",join("" - "",{iferror(filter('Student Groupings'!$A:$A,'Student Groupings'!$B:$B=$C418,'Student Groupings'!$H:$H=""Must be Together""),"""");iferror(filter('Student Groupings'!$A:$A,'Student Groupings'!$E:"&amp;"$E=$C418,'Student Groupings'!$H:$H=""Must be Together""),"""")})))"),"")</f>
        <v/>
      </c>
      <c r="AE418" s="105"/>
      <c r="AF418" s="105">
        <v>1.0</v>
      </c>
      <c r="AG418" s="105">
        <v>1.0</v>
      </c>
      <c r="AH418" s="105"/>
    </row>
  </sheetData>
  <autoFilter ref="$A$1:$AH$418"/>
  <customSheetViews>
    <customSheetView guid="{2932E752-7BB1-4804-8679-1BF97FA4DD92}" filter="1" showAutoFilter="1">
      <autoFilter ref="$A$1:$AG$418">
        <filterColumn colId="0">
          <filters>
            <filter val="6"/>
          </filters>
        </filterColumn>
      </autoFilter>
    </customSheetView>
  </customSheetViews>
  <conditionalFormatting sqref="AB1:AB418">
    <cfRule type="cellIs" dxfId="0" priority="1" operator="greaterThan">
      <formula>0</formula>
    </cfRule>
  </conditionalFormatting>
  <conditionalFormatting sqref="A2:AH418">
    <cfRule type="expression" dxfId="1" priority="2">
      <formula>OR($AE2&lt;&gt;"",$AF2&lt;&gt;"",$AG2&lt;&gt;"")</formula>
    </cfRule>
  </conditionalFormatting>
  <conditionalFormatting sqref="A2:AH418">
    <cfRule type="expression" dxfId="2" priority="3">
      <formula>AND($AC2&lt;&gt;"",$AD2&lt;&gt;"")</formula>
    </cfRule>
  </conditionalFormatting>
  <conditionalFormatting sqref="A2:AH418">
    <cfRule type="expression" dxfId="3" priority="4">
      <formula>$AC2&lt;&gt;""</formula>
    </cfRule>
  </conditionalFormatting>
  <conditionalFormatting sqref="A2:AH418">
    <cfRule type="expression" dxfId="4" priority="5">
      <formula>$AD2&lt;&gt;""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7.38"/>
    <col customWidth="1" min="3" max="3" width="32.63"/>
    <col customWidth="1" min="4" max="4" width="11.13"/>
    <col customWidth="1" min="5" max="5" width="4.13"/>
    <col customWidth="1" min="6" max="6" width="10.25"/>
    <col customWidth="1" min="7" max="7" width="4.25"/>
    <col customWidth="1" min="8" max="8" width="10.0"/>
    <col customWidth="1" min="9" max="9" width="4.0"/>
    <col customWidth="1" min="10" max="10" width="11.5"/>
    <col customWidth="1" min="11" max="11" width="4.13"/>
    <col customWidth="1" min="12" max="12" width="10.25"/>
    <col customWidth="1" min="13" max="13" width="5.25"/>
    <col customWidth="1" min="14" max="14" width="5.75"/>
    <col customWidth="1" min="15" max="15" width="3.88"/>
    <col customWidth="1" min="16" max="16" width="13.63"/>
    <col customWidth="1" min="17" max="17" width="6.0"/>
    <col customWidth="1" min="18" max="18" width="17.25"/>
    <col customWidth="1" min="19" max="19" width="5.13"/>
    <col customWidth="1" min="20" max="20" width="19.75"/>
    <col customWidth="1" min="21" max="26" width="5.63"/>
    <col customWidth="1" min="27" max="27" width="11.25"/>
    <col customWidth="1" min="28" max="28" width="9.63"/>
    <col customWidth="1" min="29" max="29" width="10.75"/>
    <col customWidth="1" min="30" max="34" width="11.75"/>
  </cols>
  <sheetData>
    <row r="1">
      <c r="A1" s="98" t="s">
        <v>299</v>
      </c>
      <c r="B1" s="98" t="s">
        <v>300</v>
      </c>
      <c r="C1" s="52" t="s">
        <v>301</v>
      </c>
      <c r="D1" s="52" t="s">
        <v>302</v>
      </c>
      <c r="E1" s="52" t="s">
        <v>644</v>
      </c>
      <c r="F1" s="52" t="s">
        <v>303</v>
      </c>
      <c r="G1" s="52" t="s">
        <v>104</v>
      </c>
      <c r="H1" s="52" t="s">
        <v>304</v>
      </c>
      <c r="I1" s="52" t="s">
        <v>104</v>
      </c>
      <c r="J1" s="52" t="s">
        <v>305</v>
      </c>
      <c r="K1" s="52" t="s">
        <v>104</v>
      </c>
      <c r="L1" s="52" t="s">
        <v>306</v>
      </c>
      <c r="M1" s="52" t="s">
        <v>104</v>
      </c>
      <c r="N1" s="52" t="s">
        <v>26</v>
      </c>
      <c r="O1" s="52" t="str">
        <f t="array" ref="O1:O418">if(ROW(O:O)=1,"S",if(S:S="","",left(S:S,1)&amp;if(right(S:S,1)="a","b","a")))</f>
        <v>S</v>
      </c>
      <c r="P1" s="52" t="s">
        <v>307</v>
      </c>
      <c r="Q1" s="52" t="str">
        <f t="array" ref="Q1:Q418">if(ROW(Q:Q)=1,"S",$S:$S)</f>
        <v>S</v>
      </c>
      <c r="R1" s="52" t="s">
        <v>308</v>
      </c>
      <c r="S1" s="52" t="s">
        <v>104</v>
      </c>
      <c r="T1" s="65" t="str">
        <f t="array" ref="T1:T418">if(ROW(T:T)=1,"Electives Requested",if(B:B="","",iferror(vlookup(B:B,{Electives!A:A,Electives!B:B},2,false),"")))</f>
        <v>Electives Requested</v>
      </c>
      <c r="U1" s="99" t="str">
        <f t="array" ref="U1:U418">if(ROW(U:U)=1,"E1",if($B:$B="","",countifs('Students (Vertical)'!$B:$B,$B:$B,'Students (Vertical)'!$E:$E,1)+countifs($B:$B,$B:$B,left($O:$O,1),"1")*0.5+countifs($B:$B,$B:$B,left($Q:$Q,1),"1")*0.25+countifs($B:$B,$B:$B,left($S:$S,1),"1")*0.25))</f>
        <v>E1</v>
      </c>
      <c r="V1" s="99" t="str">
        <f t="array" ref="V1:V418">if(ROW(V:V)=1,"E2",if($B:$B="","",countifs('Students (Vertical)'!$B:$B,$B:$B,'Students (Vertical)'!$E:$E,2)+countifs($B:$B,$B:$B,left($O:$O,1),"2")*0.5+countifs($B:$B,$B:$B,left($Q:$Q,1),"2")*0.25+countifs($B:$B,$B:$B,left($S:$S,1),"2")*0.25))</f>
        <v>E2</v>
      </c>
      <c r="W1" s="99" t="str">
        <f t="array" ref="W1:W418">if(ROW(W:W)=1,"E3",if($B:$B="","",countifs('Students (Vertical)'!$B:$B,$B:$B,'Students (Vertical)'!$E:$E,3)+countifs($B:$B,$B:$B,left($O:$O,1),"3")*0.5+countifs($B:$B,$B:$B,left($Q:$Q,1),"3")*0.25+countifs($B:$B,$B:$B,left($S:$S,1),"3")*0.25))</f>
        <v>E3</v>
      </c>
      <c r="X1" s="99" t="str">
        <f t="array" ref="X1:X418">if(ROW(X:X)=1,"E4",if($B:$B="","",countifs('Students (Vertical)'!$B:$B,$B:$B,'Students (Vertical)'!$E:$E,4)+countifs($B:$B,$B:$B,left($O:$O,1),"4")*0.5+countifs($B:$B,$B:$B,left($Q:$Q,1),"4")*0.25+countifs($B:$B,$B:$B,left($S:$S,1),"4")*0.25))</f>
        <v>E4</v>
      </c>
      <c r="Y1" s="99" t="str">
        <f t="array" ref="Y1:Y418">if(ROW(Y:Y)=1,"E5",if($B:$B="","",countifs('Students (Vertical)'!$B:$B,$B:$B,'Students (Vertical)'!$E:$E,5)+countifs($B:$B,$B:$B,left($O:$O,1),"5")*0.5+countifs($B:$B,$B:$B,left($Q:$Q,1),"5")*0.25+countifs($B:$B,$B:$B,left($S:$S,1),"5")*0.25))</f>
        <v>E5</v>
      </c>
      <c r="Z1" s="99" t="str">
        <f t="array" ref="Z1:Z418">if(ROW(Z:Z)=1,"E6",if($B:$B="","",countifs('Students (Vertical)'!$B:$B,$B:$B,'Students (Vertical)'!$E:$E,6)+countifs($B:$B,$B:$B,left($O:$O,1),"6")*0.5+countifs($B:$B,$B:$B,left($Q:$Q,1),"6")*0.25+countifs($B:$B,$B:$B,left($S:$S,1),"6")*0.25))</f>
        <v>E6</v>
      </c>
      <c r="AA1" s="99" t="str">
        <f t="array" ref="AA1:AA418">if(ROW(AA:AA)=1,"Scheduled",if(B:B="","",U:U+V:V+W:W+X:X+Y:Y+Z:Z))</f>
        <v>Scheduled</v>
      </c>
      <c r="AB1" s="99" t="str">
        <f t="array" ref="AB1:AB418">if(ROW(AB:AB)=1,"Conflicts",if(B:B="","",if(U:U&gt;1,1,0)+if(V:V&gt;1,1,0)+if(W:W&gt;1,1,0)+if(X:X&gt;1,1,0)+if(Y:Y&gt;1,1,0)+if(Z:Z&gt;1,1,0)))</f>
        <v>Conflicts</v>
      </c>
      <c r="AC1" s="100" t="s">
        <v>309</v>
      </c>
      <c r="AD1" s="100" t="s">
        <v>310</v>
      </c>
      <c r="AE1" s="100" t="s">
        <v>197</v>
      </c>
      <c r="AF1" s="100" t="s">
        <v>311</v>
      </c>
      <c r="AG1" s="100" t="s">
        <v>312</v>
      </c>
      <c r="AH1" s="100" t="s">
        <v>313</v>
      </c>
    </row>
    <row r="2">
      <c r="A2" s="101">
        <v>6.0</v>
      </c>
      <c r="B2" s="101">
        <v>31002.0</v>
      </c>
      <c r="C2" s="102" t="s">
        <v>314</v>
      </c>
      <c r="D2" s="52" t="s">
        <v>171</v>
      </c>
      <c r="E2" s="52">
        <v>6.0</v>
      </c>
      <c r="F2" s="52" t="s">
        <v>158</v>
      </c>
      <c r="G2" s="52">
        <v>3.0</v>
      </c>
      <c r="H2" s="52" t="s">
        <v>182</v>
      </c>
      <c r="I2" s="52">
        <v>2.0</v>
      </c>
      <c r="J2" s="52" t="s">
        <v>192</v>
      </c>
      <c r="K2" s="52">
        <v>5.0</v>
      </c>
      <c r="L2" s="52" t="s">
        <v>196</v>
      </c>
      <c r="M2" s="52">
        <v>1.0</v>
      </c>
      <c r="N2" s="52" t="s">
        <v>153</v>
      </c>
      <c r="O2" s="52" t="s">
        <v>130</v>
      </c>
      <c r="P2" s="52" t="s">
        <v>117</v>
      </c>
      <c r="Q2" s="52" t="s">
        <v>111</v>
      </c>
      <c r="R2" s="52" t="s">
        <v>134</v>
      </c>
      <c r="S2" s="52" t="s">
        <v>111</v>
      </c>
      <c r="T2" s="65" t="s">
        <v>27</v>
      </c>
      <c r="U2" s="32">
        <v>1.0</v>
      </c>
      <c r="V2" s="32">
        <v>1.0</v>
      </c>
      <c r="W2" s="32">
        <v>1.0</v>
      </c>
      <c r="X2" s="32">
        <v>1.0</v>
      </c>
      <c r="Y2" s="32">
        <v>1.0</v>
      </c>
      <c r="Z2" s="32">
        <v>1.0</v>
      </c>
      <c r="AA2" s="32">
        <v>6.0</v>
      </c>
      <c r="AB2" s="32">
        <v>0.0</v>
      </c>
      <c r="AC2" s="103" t="str">
        <f>IFERROR(__xludf.DUMMYFUNCTION("if($C2="""","""",if(join("" - "",{iferror(filter('Student Groupings'!$A:$A,'Student Groupings'!$B:$B=$C2,'Student Groupings'!$H:$H=""Can't be Together""),"""");iferror(filter('Student Groupings'!$A:$A,'Student Groupings'!$E:$E=$C2,'Student Groupings'!$H:$"&amp;"H=""Can't be Together""),"""")})="" - "","""",join("" - "",{iferror(filter('Student Groupings'!$A:$A,'Student Groupings'!$B:$B=$C2,'Student Groupings'!$H:$H=""Can't be Together""),"""");iferror(filter('Student Groupings'!$A:$A,'Student Groupings'!$E:$E=$C"&amp;"2,'Student Groupings'!$H:$H=""Can't be Together""),"""")})))"),"")</f>
        <v/>
      </c>
      <c r="AD2" s="103" t="str">
        <f>IFERROR(__xludf.DUMMYFUNCTION("if($C2="""","""",if(join("" - "",{iferror(filter('Student Groupings'!$A:$A,'Student Groupings'!$B:$B=$C2,'Student Groupings'!$H:$H=""Must be Together""),"""");iferror(filter('Student Groupings'!$A:$A,'Student Groupings'!$E:$E=$C2,'Student Groupings'!$H:$H"&amp;"=""Must be Together""),"""")})="" - "","""",join("" - "",{iferror(filter('Student Groupings'!$A:$A,'Student Groupings'!$B:$B=$C2,'Student Groupings'!$H:$H=""Must be Together""),"""");iferror(filter('Student Groupings'!$A:$A,'Student Groupings'!$E:$E=$C2,'"&amp;"Student Groupings'!$H:$H=""Must be Together""),"""")})))"),"")</f>
        <v/>
      </c>
      <c r="AE2" s="104"/>
      <c r="AF2" s="104"/>
      <c r="AG2" s="104"/>
      <c r="AH2" s="104"/>
    </row>
    <row r="3">
      <c r="A3" s="101">
        <v>6.0</v>
      </c>
      <c r="B3" s="101">
        <v>31003.0</v>
      </c>
      <c r="C3" s="102" t="s">
        <v>234</v>
      </c>
      <c r="D3" s="52" t="s">
        <v>171</v>
      </c>
      <c r="E3" s="52">
        <v>3.0</v>
      </c>
      <c r="F3" s="52" t="s">
        <v>158</v>
      </c>
      <c r="G3" s="52">
        <v>6.0</v>
      </c>
      <c r="H3" s="52" t="s">
        <v>182</v>
      </c>
      <c r="I3" s="52">
        <v>1.0</v>
      </c>
      <c r="J3" s="52" t="s">
        <v>192</v>
      </c>
      <c r="K3" s="52">
        <v>2.0</v>
      </c>
      <c r="L3" s="52" t="s">
        <v>196</v>
      </c>
      <c r="M3" s="52">
        <v>4.0</v>
      </c>
      <c r="N3" s="52" t="s">
        <v>153</v>
      </c>
      <c r="O3" s="52" t="s">
        <v>112</v>
      </c>
      <c r="P3" s="52" t="s">
        <v>142</v>
      </c>
      <c r="Q3" s="52" t="s">
        <v>124</v>
      </c>
      <c r="R3" s="52" t="s">
        <v>142</v>
      </c>
      <c r="S3" s="52" t="s">
        <v>124</v>
      </c>
      <c r="T3" s="65" t="s">
        <v>142</v>
      </c>
      <c r="U3" s="32">
        <v>1.0</v>
      </c>
      <c r="V3" s="32">
        <v>1.0</v>
      </c>
      <c r="W3" s="32">
        <v>1.0</v>
      </c>
      <c r="X3" s="32">
        <v>1.0</v>
      </c>
      <c r="Y3" s="32">
        <v>1.0</v>
      </c>
      <c r="Z3" s="32">
        <v>1.0</v>
      </c>
      <c r="AA3" s="32">
        <v>6.0</v>
      </c>
      <c r="AB3" s="32">
        <v>0.0</v>
      </c>
      <c r="AC3" s="103" t="str">
        <f>IFERROR(__xludf.DUMMYFUNCTION("if($C3="""","""",if(join("" - "",{iferror(filter('Student Groupings'!$A:$A,'Student Groupings'!$B:$B=$C3,'Student Groupings'!$H:$H=""Can't be Together""),"""");iferror(filter('Student Groupings'!$A:$A,'Student Groupings'!$E:$E=$C3,'Student Groupings'!$H:$"&amp;"H=""Can't be Together""),"""")})="" - "","""",join("" - "",{iferror(filter('Student Groupings'!$A:$A,'Student Groupings'!$B:$B=$C3,'Student Groupings'!$H:$H=""Can't be Together""),"""");iferror(filter('Student Groupings'!$A:$A,'Student Groupings'!$E:$E=$C"&amp;"3,'Student Groupings'!$H:$H=""Can't be Together""),"""")})))")," - 21")</f>
        <v> - 21</v>
      </c>
      <c r="AD3" s="103" t="str">
        <f>IFERROR(__xludf.DUMMYFUNCTION("if($C3="""","""",if(join("" - "",{iferror(filter('Student Groupings'!$A:$A,'Student Groupings'!$B:$B=$C3,'Student Groupings'!$H:$H=""Must be Together""),"""");iferror(filter('Student Groupings'!$A:$A,'Student Groupings'!$E:$E=$C3,'Student Groupings'!$H:$H"&amp;"=""Must be Together""),"""")})="" - "","""",join("" - "",{iferror(filter('Student Groupings'!$A:$A,'Student Groupings'!$B:$B=$C3,'Student Groupings'!$H:$H=""Must be Together""),"""");iferror(filter('Student Groupings'!$A:$A,'Student Groupings'!$E:$E=$C3,'"&amp;"Student Groupings'!$H:$H=""Must be Together""),"""")})))"),"")</f>
        <v/>
      </c>
      <c r="AE3" s="104"/>
      <c r="AF3" s="104"/>
      <c r="AG3" s="104"/>
      <c r="AH3" s="104"/>
    </row>
    <row r="4">
      <c r="A4" s="101">
        <v>6.0</v>
      </c>
      <c r="B4" s="101">
        <v>31004.0</v>
      </c>
      <c r="C4" s="102" t="s">
        <v>222</v>
      </c>
      <c r="D4" s="52" t="s">
        <v>171</v>
      </c>
      <c r="E4" s="52">
        <v>4.0</v>
      </c>
      <c r="F4" s="52" t="s">
        <v>158</v>
      </c>
      <c r="G4" s="52">
        <v>1.0</v>
      </c>
      <c r="H4" s="52" t="s">
        <v>182</v>
      </c>
      <c r="I4" s="52">
        <v>5.0</v>
      </c>
      <c r="J4" s="52" t="s">
        <v>192</v>
      </c>
      <c r="K4" s="52">
        <v>3.0</v>
      </c>
      <c r="L4" s="52" t="s">
        <v>196</v>
      </c>
      <c r="M4" s="52">
        <v>2.0</v>
      </c>
      <c r="N4" s="52" t="s">
        <v>153</v>
      </c>
      <c r="O4" s="52" t="s">
        <v>109</v>
      </c>
      <c r="P4" s="52" t="s">
        <v>143</v>
      </c>
      <c r="Q4" s="52" t="s">
        <v>120</v>
      </c>
      <c r="R4" s="52" t="s">
        <v>143</v>
      </c>
      <c r="S4" s="52" t="s">
        <v>120</v>
      </c>
      <c r="T4" s="65" t="s">
        <v>143</v>
      </c>
      <c r="U4" s="32">
        <v>1.0</v>
      </c>
      <c r="V4" s="32">
        <v>1.0</v>
      </c>
      <c r="W4" s="32">
        <v>1.0</v>
      </c>
      <c r="X4" s="32">
        <v>1.0</v>
      </c>
      <c r="Y4" s="32">
        <v>1.0</v>
      </c>
      <c r="Z4" s="32">
        <v>1.0</v>
      </c>
      <c r="AA4" s="32">
        <v>6.0</v>
      </c>
      <c r="AB4" s="32">
        <v>0.0</v>
      </c>
      <c r="AC4" s="103" t="str">
        <f>IFERROR(__xludf.DUMMYFUNCTION("if($C4="""","""",if(join("" - "",{iferror(filter('Student Groupings'!$A:$A,'Student Groupings'!$B:$B=$C4,'Student Groupings'!$H:$H=""Can't be Together""),"""");iferror(filter('Student Groupings'!$A:$A,'Student Groupings'!$E:$E=$C4,'Student Groupings'!$H:$"&amp;"H=""Can't be Together""),"""")})="" - "","""",join("" - "",{iferror(filter('Student Groupings'!$A:$A,'Student Groupings'!$B:$B=$C4,'Student Groupings'!$H:$H=""Can't be Together""),"""");iferror(filter('Student Groupings'!$A:$A,'Student Groupings'!$E:$E=$C"&amp;"4,'Student Groupings'!$H:$H=""Can't be Together""),"""")})))"),"24 - 25 - 26 - 8 - 13")</f>
        <v>24 - 25 - 26 - 8 - 13</v>
      </c>
      <c r="AD4" s="103" t="str">
        <f>IFERROR(__xludf.DUMMYFUNCTION("if($C4="""","""",if(join("" - "",{iferror(filter('Student Groupings'!$A:$A,'Student Groupings'!$B:$B=$C4,'Student Groupings'!$H:$H=""Must be Together""),"""");iferror(filter('Student Groupings'!$A:$A,'Student Groupings'!$E:$E=$C4,'Student Groupings'!$H:$H"&amp;"=""Must be Together""),"""")})="" - "","""",join("" - "",{iferror(filter('Student Groupings'!$A:$A,'Student Groupings'!$B:$B=$C4,'Student Groupings'!$H:$H=""Must be Together""),"""");iferror(filter('Student Groupings'!$A:$A,'Student Groupings'!$E:$E=$C4,'"&amp;"Student Groupings'!$H:$H=""Must be Together""),"""")})))"),"27 - ")</f>
        <v>27 - </v>
      </c>
      <c r="AE4" s="104"/>
      <c r="AF4" s="104"/>
      <c r="AG4" s="104"/>
      <c r="AH4" s="104"/>
    </row>
    <row r="5">
      <c r="A5" s="101">
        <v>6.0</v>
      </c>
      <c r="B5" s="101">
        <v>31005.0</v>
      </c>
      <c r="C5" s="102" t="s">
        <v>315</v>
      </c>
      <c r="D5" s="52" t="s">
        <v>171</v>
      </c>
      <c r="E5" s="52">
        <v>2.0</v>
      </c>
      <c r="F5" s="52" t="s">
        <v>158</v>
      </c>
      <c r="G5" s="52">
        <v>6.0</v>
      </c>
      <c r="H5" s="52" t="s">
        <v>182</v>
      </c>
      <c r="I5" s="52">
        <v>5.0</v>
      </c>
      <c r="J5" s="52" t="s">
        <v>192</v>
      </c>
      <c r="K5" s="52">
        <v>4.0</v>
      </c>
      <c r="L5" s="52" t="s">
        <v>196</v>
      </c>
      <c r="M5" s="52">
        <v>3.0</v>
      </c>
      <c r="N5" s="52" t="s">
        <v>153</v>
      </c>
      <c r="O5" s="52" t="s">
        <v>108</v>
      </c>
      <c r="P5" s="52" t="s">
        <v>134</v>
      </c>
      <c r="Q5" s="52" t="s">
        <v>129</v>
      </c>
      <c r="R5" s="52" t="s">
        <v>117</v>
      </c>
      <c r="S5" s="52" t="s">
        <v>129</v>
      </c>
      <c r="T5" s="65" t="s">
        <v>27</v>
      </c>
      <c r="U5" s="32">
        <v>1.0</v>
      </c>
      <c r="V5" s="32">
        <v>1.0</v>
      </c>
      <c r="W5" s="32">
        <v>1.0</v>
      </c>
      <c r="X5" s="32">
        <v>1.0</v>
      </c>
      <c r="Y5" s="32">
        <v>1.0</v>
      </c>
      <c r="Z5" s="32">
        <v>1.0</v>
      </c>
      <c r="AA5" s="32">
        <v>6.0</v>
      </c>
      <c r="AB5" s="32">
        <v>0.0</v>
      </c>
      <c r="AC5" s="103" t="str">
        <f>IFERROR(__xludf.DUMMYFUNCTION("if($C5="""","""",if(join("" - "",{iferror(filter('Student Groupings'!$A:$A,'Student Groupings'!$B:$B=$C5,'Student Groupings'!$H:$H=""Can't be Together""),"""");iferror(filter('Student Groupings'!$A:$A,'Student Groupings'!$E:$E=$C5,'Student Groupings'!$H:$"&amp;"H=""Can't be Together""),"""")})="" - "","""",join("" - "",{iferror(filter('Student Groupings'!$A:$A,'Student Groupings'!$B:$B=$C5,'Student Groupings'!$H:$H=""Can't be Together""),"""");iferror(filter('Student Groupings'!$A:$A,'Student Groupings'!$E:$E=$C"&amp;"5,'Student Groupings'!$H:$H=""Can't be Together""),"""")})))"),"")</f>
        <v/>
      </c>
      <c r="AD5" s="103" t="str">
        <f>IFERROR(__xludf.DUMMYFUNCTION("if($C5="""","""",if(join("" - "",{iferror(filter('Student Groupings'!$A:$A,'Student Groupings'!$B:$B=$C5,'Student Groupings'!$H:$H=""Must be Together""),"""");iferror(filter('Student Groupings'!$A:$A,'Student Groupings'!$E:$E=$C5,'Student Groupings'!$H:$H"&amp;"=""Must be Together""),"""")})="" - "","""",join("" - "",{iferror(filter('Student Groupings'!$A:$A,'Student Groupings'!$B:$B=$C5,'Student Groupings'!$H:$H=""Must be Together""),"""");iferror(filter('Student Groupings'!$A:$A,'Student Groupings'!$E:$E=$C5,'"&amp;"Student Groupings'!$H:$H=""Must be Together""),"""")})))"),"")</f>
        <v/>
      </c>
      <c r="AE5" s="104"/>
      <c r="AF5" s="104"/>
      <c r="AG5" s="104"/>
      <c r="AH5" s="104"/>
    </row>
    <row r="6">
      <c r="A6" s="101">
        <v>6.0</v>
      </c>
      <c r="B6" s="101">
        <v>31151.0</v>
      </c>
      <c r="C6" s="102" t="s">
        <v>316</v>
      </c>
      <c r="D6" s="52" t="s">
        <v>171</v>
      </c>
      <c r="E6" s="52">
        <v>3.0</v>
      </c>
      <c r="F6" s="52" t="s">
        <v>158</v>
      </c>
      <c r="G6" s="52">
        <v>1.0</v>
      </c>
      <c r="H6" s="52" t="s">
        <v>182</v>
      </c>
      <c r="I6" s="52">
        <v>6.0</v>
      </c>
      <c r="J6" s="52" t="s">
        <v>192</v>
      </c>
      <c r="K6" s="52">
        <v>2.0</v>
      </c>
      <c r="L6" s="52" t="s">
        <v>196</v>
      </c>
      <c r="M6" s="52">
        <v>4.0</v>
      </c>
      <c r="N6" s="52" t="s">
        <v>153</v>
      </c>
      <c r="O6" s="52" t="s">
        <v>112</v>
      </c>
      <c r="P6" s="52" t="s">
        <v>142</v>
      </c>
      <c r="Q6" s="52" t="s">
        <v>124</v>
      </c>
      <c r="R6" s="52" t="s">
        <v>142</v>
      </c>
      <c r="S6" s="52" t="s">
        <v>124</v>
      </c>
      <c r="T6" s="65" t="s">
        <v>142</v>
      </c>
      <c r="U6" s="32">
        <v>1.0</v>
      </c>
      <c r="V6" s="32">
        <v>1.0</v>
      </c>
      <c r="W6" s="32">
        <v>1.0</v>
      </c>
      <c r="X6" s="32">
        <v>1.0</v>
      </c>
      <c r="Y6" s="32">
        <v>1.0</v>
      </c>
      <c r="Z6" s="32">
        <v>1.0</v>
      </c>
      <c r="AA6" s="32">
        <v>6.0</v>
      </c>
      <c r="AB6" s="32">
        <v>0.0</v>
      </c>
      <c r="AC6" s="103" t="str">
        <f>IFERROR(__xludf.DUMMYFUNCTION("if($C6="""","""",if(join("" - "",{iferror(filter('Student Groupings'!$A:$A,'Student Groupings'!$B:$B=$C6,'Student Groupings'!$H:$H=""Can't be Together""),"""");iferror(filter('Student Groupings'!$A:$A,'Student Groupings'!$E:$E=$C6,'Student Groupings'!$H:$"&amp;"H=""Can't be Together""),"""")})="" - "","""",join("" - "",{iferror(filter('Student Groupings'!$A:$A,'Student Groupings'!$B:$B=$C6,'Student Groupings'!$H:$H=""Can't be Together""),"""");iferror(filter('Student Groupings'!$A:$A,'Student Groupings'!$E:$E=$C"&amp;"6,'Student Groupings'!$H:$H=""Can't be Together""),"""")})))"),"")</f>
        <v/>
      </c>
      <c r="AD6" s="103" t="str">
        <f>IFERROR(__xludf.DUMMYFUNCTION("if($C6="""","""",if(join("" - "",{iferror(filter('Student Groupings'!$A:$A,'Student Groupings'!$B:$B=$C6,'Student Groupings'!$H:$H=""Must be Together""),"""");iferror(filter('Student Groupings'!$A:$A,'Student Groupings'!$E:$E=$C6,'Student Groupings'!$H:$H"&amp;"=""Must be Together""),"""")})="" - "","""",join("" - "",{iferror(filter('Student Groupings'!$A:$A,'Student Groupings'!$B:$B=$C6,'Student Groupings'!$H:$H=""Must be Together""),"""");iferror(filter('Student Groupings'!$A:$A,'Student Groupings'!$E:$E=$C6,'"&amp;"Student Groupings'!$H:$H=""Must be Together""),"""")})))"),"")</f>
        <v/>
      </c>
      <c r="AE6" s="104"/>
      <c r="AF6" s="104"/>
      <c r="AG6" s="104"/>
      <c r="AH6" s="104"/>
    </row>
    <row r="7">
      <c r="A7" s="101">
        <v>6.0</v>
      </c>
      <c r="B7" s="101">
        <v>31006.0</v>
      </c>
      <c r="C7" s="102" t="s">
        <v>241</v>
      </c>
      <c r="D7" s="52" t="s">
        <v>171</v>
      </c>
      <c r="E7" s="52">
        <v>2.0</v>
      </c>
      <c r="F7" s="52" t="s">
        <v>158</v>
      </c>
      <c r="G7" s="52">
        <v>1.0</v>
      </c>
      <c r="H7" s="52" t="s">
        <v>182</v>
      </c>
      <c r="I7" s="52">
        <v>5.0</v>
      </c>
      <c r="J7" s="52" t="s">
        <v>192</v>
      </c>
      <c r="K7" s="52">
        <v>4.0</v>
      </c>
      <c r="L7" s="52" t="s">
        <v>196</v>
      </c>
      <c r="M7" s="52">
        <v>3.0</v>
      </c>
      <c r="N7" s="52" t="s">
        <v>153</v>
      </c>
      <c r="O7" s="52" t="s">
        <v>109</v>
      </c>
      <c r="P7" s="52" t="s">
        <v>143</v>
      </c>
      <c r="Q7" s="52" t="s">
        <v>120</v>
      </c>
      <c r="R7" s="52" t="s">
        <v>143</v>
      </c>
      <c r="S7" s="52" t="s">
        <v>120</v>
      </c>
      <c r="T7" s="65" t="s">
        <v>143</v>
      </c>
      <c r="U7" s="32">
        <v>1.0</v>
      </c>
      <c r="V7" s="32">
        <v>1.0</v>
      </c>
      <c r="W7" s="32">
        <v>1.0</v>
      </c>
      <c r="X7" s="32">
        <v>1.0</v>
      </c>
      <c r="Y7" s="32">
        <v>1.0</v>
      </c>
      <c r="Z7" s="32">
        <v>1.0</v>
      </c>
      <c r="AA7" s="32">
        <v>6.0</v>
      </c>
      <c r="AB7" s="32">
        <v>0.0</v>
      </c>
      <c r="AC7" s="103" t="str">
        <f>IFERROR(__xludf.DUMMYFUNCTION("if($C7="""","""",if(join("" - "",{iferror(filter('Student Groupings'!$A:$A,'Student Groupings'!$B:$B=$C7,'Student Groupings'!$H:$H=""Can't be Together""),"""");iferror(filter('Student Groupings'!$A:$A,'Student Groupings'!$E:$E=$C7,'Student Groupings'!$H:$"&amp;"H=""Can't be Together""),"""")})="" - "","""",join("" - "",{iferror(filter('Student Groupings'!$A:$A,'Student Groupings'!$B:$B=$C7,'Student Groupings'!$H:$H=""Can't be Together""),"""");iferror(filter('Student Groupings'!$A:$A,'Student Groupings'!$E:$E=$C"&amp;"7,'Student Groupings'!$H:$H=""Can't be Together""),"""")})))"),"28 - ")</f>
        <v>28 - </v>
      </c>
      <c r="AD7" s="103" t="str">
        <f>IFERROR(__xludf.DUMMYFUNCTION("if($C7="""","""",if(join("" - "",{iferror(filter('Student Groupings'!$A:$A,'Student Groupings'!$B:$B=$C7,'Student Groupings'!$H:$H=""Must be Together""),"""");iferror(filter('Student Groupings'!$A:$A,'Student Groupings'!$E:$E=$C7,'Student Groupings'!$H:$H"&amp;"=""Must be Together""),"""")})="" - "","""",join("" - "",{iferror(filter('Student Groupings'!$A:$A,'Student Groupings'!$B:$B=$C7,'Student Groupings'!$H:$H=""Must be Together""),"""");iferror(filter('Student Groupings'!$A:$A,'Student Groupings'!$E:$E=$C7,'"&amp;"Student Groupings'!$H:$H=""Must be Together""),"""")})))"),"")</f>
        <v/>
      </c>
      <c r="AE7" s="104"/>
      <c r="AF7" s="104"/>
      <c r="AG7" s="104"/>
      <c r="AH7" s="104"/>
    </row>
    <row r="8">
      <c r="A8" s="101">
        <v>6.0</v>
      </c>
      <c r="B8" s="101">
        <v>31007.0</v>
      </c>
      <c r="C8" s="102" t="s">
        <v>317</v>
      </c>
      <c r="D8" s="52" t="s">
        <v>171</v>
      </c>
      <c r="E8" s="52">
        <v>4.0</v>
      </c>
      <c r="F8" s="52" t="s">
        <v>159</v>
      </c>
      <c r="G8" s="52">
        <v>5.0</v>
      </c>
      <c r="H8" s="52" t="s">
        <v>181</v>
      </c>
      <c r="I8" s="52">
        <v>1.0</v>
      </c>
      <c r="J8" s="52" t="s">
        <v>192</v>
      </c>
      <c r="K8" s="52">
        <v>3.0</v>
      </c>
      <c r="L8" s="52" t="s">
        <v>196</v>
      </c>
      <c r="M8" s="52">
        <v>2.0</v>
      </c>
      <c r="N8" s="52" t="s">
        <v>153</v>
      </c>
      <c r="O8" s="52" t="s">
        <v>109</v>
      </c>
      <c r="P8" s="52" t="s">
        <v>143</v>
      </c>
      <c r="Q8" s="52" t="s">
        <v>120</v>
      </c>
      <c r="R8" s="52" t="s">
        <v>143</v>
      </c>
      <c r="S8" s="52" t="s">
        <v>120</v>
      </c>
      <c r="T8" s="65" t="s">
        <v>143</v>
      </c>
      <c r="U8" s="32">
        <v>1.0</v>
      </c>
      <c r="V8" s="32">
        <v>1.0</v>
      </c>
      <c r="W8" s="32">
        <v>1.0</v>
      </c>
      <c r="X8" s="32">
        <v>1.0</v>
      </c>
      <c r="Y8" s="32">
        <v>1.0</v>
      </c>
      <c r="Z8" s="32">
        <v>1.0</v>
      </c>
      <c r="AA8" s="32">
        <v>6.0</v>
      </c>
      <c r="AB8" s="32">
        <v>0.0</v>
      </c>
      <c r="AC8" s="103" t="str">
        <f>IFERROR(__xludf.DUMMYFUNCTION("if($C8="""","""",if(join("" - "",{iferror(filter('Student Groupings'!$A:$A,'Student Groupings'!$B:$B=$C8,'Student Groupings'!$H:$H=""Can't be Together""),"""");iferror(filter('Student Groupings'!$A:$A,'Student Groupings'!$E:$E=$C8,'Student Groupings'!$H:$"&amp;"H=""Can't be Together""),"""")})="" - "","""",join("" - "",{iferror(filter('Student Groupings'!$A:$A,'Student Groupings'!$B:$B=$C8,'Student Groupings'!$H:$H=""Can't be Together""),"""");iferror(filter('Student Groupings'!$A:$A,'Student Groupings'!$E:$E=$C"&amp;"8,'Student Groupings'!$H:$H=""Can't be Together""),"""")})))"),"")</f>
        <v/>
      </c>
      <c r="AD8" s="103" t="str">
        <f>IFERROR(__xludf.DUMMYFUNCTION("if($C8="""","""",if(join("" - "",{iferror(filter('Student Groupings'!$A:$A,'Student Groupings'!$B:$B=$C8,'Student Groupings'!$H:$H=""Must be Together""),"""");iferror(filter('Student Groupings'!$A:$A,'Student Groupings'!$E:$E=$C8,'Student Groupings'!$H:$H"&amp;"=""Must be Together""),"""")})="" - "","""",join("" - "",{iferror(filter('Student Groupings'!$A:$A,'Student Groupings'!$B:$B=$C8,'Student Groupings'!$H:$H=""Must be Together""),"""");iferror(filter('Student Groupings'!$A:$A,'Student Groupings'!$E:$E=$C8,'"&amp;"Student Groupings'!$H:$H=""Must be Together""),"""")})))"),"")</f>
        <v/>
      </c>
      <c r="AE8" s="104"/>
      <c r="AF8" s="104"/>
      <c r="AG8" s="104"/>
      <c r="AH8" s="104"/>
    </row>
    <row r="9">
      <c r="A9" s="101">
        <v>6.0</v>
      </c>
      <c r="B9" s="101">
        <v>31008.0</v>
      </c>
      <c r="C9" s="102" t="s">
        <v>318</v>
      </c>
      <c r="D9" s="52" t="s">
        <v>171</v>
      </c>
      <c r="E9" s="52">
        <v>2.0</v>
      </c>
      <c r="F9" s="52" t="s">
        <v>158</v>
      </c>
      <c r="G9" s="52">
        <v>6.0</v>
      </c>
      <c r="H9" s="52" t="s">
        <v>181</v>
      </c>
      <c r="I9" s="52">
        <v>1.0</v>
      </c>
      <c r="J9" s="52" t="s">
        <v>192</v>
      </c>
      <c r="K9" s="52">
        <v>4.0</v>
      </c>
      <c r="L9" s="52" t="s">
        <v>196</v>
      </c>
      <c r="M9" s="52">
        <v>3.0</v>
      </c>
      <c r="N9" s="52" t="s">
        <v>153</v>
      </c>
      <c r="O9" s="52" t="s">
        <v>112</v>
      </c>
      <c r="P9" s="52" t="s">
        <v>142</v>
      </c>
      <c r="Q9" s="52" t="s">
        <v>124</v>
      </c>
      <c r="R9" s="52" t="s">
        <v>142</v>
      </c>
      <c r="S9" s="52" t="s">
        <v>124</v>
      </c>
      <c r="T9" s="65" t="s">
        <v>142</v>
      </c>
      <c r="U9" s="32">
        <v>1.0</v>
      </c>
      <c r="V9" s="32">
        <v>1.0</v>
      </c>
      <c r="W9" s="32">
        <v>1.0</v>
      </c>
      <c r="X9" s="32">
        <v>1.0</v>
      </c>
      <c r="Y9" s="32">
        <v>1.0</v>
      </c>
      <c r="Z9" s="32">
        <v>1.0</v>
      </c>
      <c r="AA9" s="32">
        <v>6.0</v>
      </c>
      <c r="AB9" s="32">
        <v>0.0</v>
      </c>
      <c r="AC9" s="103" t="str">
        <f>IFERROR(__xludf.DUMMYFUNCTION("if($C9="""","""",if(join("" - "",{iferror(filter('Student Groupings'!$A:$A,'Student Groupings'!$B:$B=$C9,'Student Groupings'!$H:$H=""Can't be Together""),"""");iferror(filter('Student Groupings'!$A:$A,'Student Groupings'!$E:$E=$C9,'Student Groupings'!$H:$"&amp;"H=""Can't be Together""),"""")})="" - "","""",join("" - "",{iferror(filter('Student Groupings'!$A:$A,'Student Groupings'!$B:$B=$C9,'Student Groupings'!$H:$H=""Can't be Together""),"""");iferror(filter('Student Groupings'!$A:$A,'Student Groupings'!$E:$E=$C"&amp;"9,'Student Groupings'!$H:$H=""Can't be Together""),"""")})))"),"")</f>
        <v/>
      </c>
      <c r="AD9" s="103" t="str">
        <f>IFERROR(__xludf.DUMMYFUNCTION("if($C9="""","""",if(join("" - "",{iferror(filter('Student Groupings'!$A:$A,'Student Groupings'!$B:$B=$C9,'Student Groupings'!$H:$H=""Must be Together""),"""");iferror(filter('Student Groupings'!$A:$A,'Student Groupings'!$E:$E=$C9,'Student Groupings'!$H:$H"&amp;"=""Must be Together""),"""")})="" - "","""",join("" - "",{iferror(filter('Student Groupings'!$A:$A,'Student Groupings'!$B:$B=$C9,'Student Groupings'!$H:$H=""Must be Together""),"""");iferror(filter('Student Groupings'!$A:$A,'Student Groupings'!$E:$E=$C9,'"&amp;"Student Groupings'!$H:$H=""Must be Together""),"""")})))"),"")</f>
        <v/>
      </c>
      <c r="AE9" s="104"/>
      <c r="AF9" s="104"/>
      <c r="AG9" s="104"/>
      <c r="AH9" s="104"/>
    </row>
    <row r="10" ht="14.25" customHeight="1">
      <c r="A10" s="101">
        <v>6.0</v>
      </c>
      <c r="B10" s="101">
        <v>31009.0</v>
      </c>
      <c r="C10" s="102" t="s">
        <v>319</v>
      </c>
      <c r="D10" s="52" t="s">
        <v>171</v>
      </c>
      <c r="E10" s="101">
        <v>5.0</v>
      </c>
      <c r="F10" s="52" t="s">
        <v>158</v>
      </c>
      <c r="G10" s="52">
        <v>3.0</v>
      </c>
      <c r="H10" s="52" t="s">
        <v>182</v>
      </c>
      <c r="I10" s="52">
        <v>2.0</v>
      </c>
      <c r="J10" s="52" t="s">
        <v>192</v>
      </c>
      <c r="K10" s="52">
        <v>1.0</v>
      </c>
      <c r="L10" s="52" t="s">
        <v>196</v>
      </c>
      <c r="M10" s="101">
        <v>6.0</v>
      </c>
      <c r="N10" s="52" t="s">
        <v>153</v>
      </c>
      <c r="O10" s="52" t="s">
        <v>130</v>
      </c>
      <c r="P10" s="52" t="s">
        <v>134</v>
      </c>
      <c r="Q10" s="52" t="s">
        <v>111</v>
      </c>
      <c r="R10" s="52" t="s">
        <v>117</v>
      </c>
      <c r="S10" s="52" t="s">
        <v>111</v>
      </c>
      <c r="T10" s="65" t="s">
        <v>27</v>
      </c>
      <c r="U10" s="32">
        <v>1.0</v>
      </c>
      <c r="V10" s="32">
        <v>1.0</v>
      </c>
      <c r="W10" s="32">
        <v>1.0</v>
      </c>
      <c r="X10" s="32">
        <v>1.0</v>
      </c>
      <c r="Y10" s="32">
        <v>1.0</v>
      </c>
      <c r="Z10" s="32">
        <v>1.0</v>
      </c>
      <c r="AA10" s="32">
        <v>6.0</v>
      </c>
      <c r="AB10" s="32">
        <v>0.0</v>
      </c>
      <c r="AC10" s="103" t="str">
        <f>IFERROR(__xludf.DUMMYFUNCTION("if($C10="""","""",if(join("" - "",{iferror(filter('Student Groupings'!$A:$A,'Student Groupings'!$B:$B=$C10,'Student Groupings'!$H:$H=""Can't be Together""),"""");iferror(filter('Student Groupings'!$A:$A,'Student Groupings'!$E:$E=$C10,'Student Groupings'!$"&amp;"H:$H=""Can't be Together""),"""")})="" - "","""",join("" - "",{iferror(filter('Student Groupings'!$A:$A,'Student Groupings'!$B:$B=$C10,'Student Groupings'!$H:$H=""Can't be Together""),"""");iferror(filter('Student Groupings'!$A:$A,'Student Groupings'!$E:$"&amp;"E=$C10,'Student Groupings'!$H:$H=""Can't be Together""),"""")})))"),"")</f>
        <v/>
      </c>
      <c r="AD10" s="103" t="str">
        <f>IFERROR(__xludf.DUMMYFUNCTION("if($C10="""","""",if(join("" - "",{iferror(filter('Student Groupings'!$A:$A,'Student Groupings'!$B:$B=$C10,'Student Groupings'!$H:$H=""Must be Together""),"""");iferror(filter('Student Groupings'!$A:$A,'Student Groupings'!$E:$E=$C10,'Student Groupings'!$H"&amp;":$H=""Must be Together""),"""")})="" - "","""",join("" - "",{iferror(filter('Student Groupings'!$A:$A,'Student Groupings'!$B:$B=$C10,'Student Groupings'!$H:$H=""Must be Together""),"""");iferror(filter('Student Groupings'!$A:$A,'Student Groupings'!$E:$E=$"&amp;"C10,'Student Groupings'!$H:$H=""Must be Together""),"""")})))"),"")</f>
        <v/>
      </c>
      <c r="AE10" s="105"/>
      <c r="AF10" s="105"/>
      <c r="AG10" s="105"/>
      <c r="AH10" s="105"/>
    </row>
    <row r="11">
      <c r="A11" s="101">
        <v>6.0</v>
      </c>
      <c r="B11" s="101">
        <v>31010.0</v>
      </c>
      <c r="C11" s="102" t="s">
        <v>320</v>
      </c>
      <c r="D11" s="52" t="s">
        <v>173</v>
      </c>
      <c r="E11" s="52">
        <v>3.0</v>
      </c>
      <c r="F11" s="52" t="s">
        <v>159</v>
      </c>
      <c r="G11" s="52">
        <v>5.0</v>
      </c>
      <c r="H11" s="52" t="s">
        <v>182</v>
      </c>
      <c r="I11" s="52">
        <v>6.0</v>
      </c>
      <c r="J11" s="52" t="s">
        <v>194</v>
      </c>
      <c r="K11" s="52">
        <v>2.0</v>
      </c>
      <c r="L11" s="52" t="s">
        <v>198</v>
      </c>
      <c r="M11" s="52">
        <v>4.0</v>
      </c>
      <c r="N11" s="52" t="s">
        <v>153</v>
      </c>
      <c r="O11" s="52" t="s">
        <v>108</v>
      </c>
      <c r="P11" s="52" t="s">
        <v>117</v>
      </c>
      <c r="Q11" s="52" t="s">
        <v>129</v>
      </c>
      <c r="R11" s="52" t="s">
        <v>134</v>
      </c>
      <c r="S11" s="52" t="s">
        <v>129</v>
      </c>
      <c r="T11" s="65" t="s">
        <v>27</v>
      </c>
      <c r="U11" s="32">
        <v>1.0</v>
      </c>
      <c r="V11" s="32">
        <v>1.0</v>
      </c>
      <c r="W11" s="32">
        <v>1.0</v>
      </c>
      <c r="X11" s="32">
        <v>1.0</v>
      </c>
      <c r="Y11" s="32">
        <v>1.0</v>
      </c>
      <c r="Z11" s="32">
        <v>1.0</v>
      </c>
      <c r="AA11" s="32">
        <v>6.0</v>
      </c>
      <c r="AB11" s="32">
        <v>0.0</v>
      </c>
      <c r="AC11" s="103" t="str">
        <f>IFERROR(__xludf.DUMMYFUNCTION("if($C11="""","""",if(join("" - "",{iferror(filter('Student Groupings'!$A:$A,'Student Groupings'!$B:$B=$C11,'Student Groupings'!$H:$H=""Can't be Together""),"""");iferror(filter('Student Groupings'!$A:$A,'Student Groupings'!$E:$E=$C11,'Student Groupings'!$"&amp;"H:$H=""Can't be Together""),"""")})="" - "","""",join("" - "",{iferror(filter('Student Groupings'!$A:$A,'Student Groupings'!$B:$B=$C11,'Student Groupings'!$H:$H=""Can't be Together""),"""");iferror(filter('Student Groupings'!$A:$A,'Student Groupings'!$E:$"&amp;"E=$C11,'Student Groupings'!$H:$H=""Can't be Together""),"""")})))"),"")</f>
        <v/>
      </c>
      <c r="AD11" s="103" t="str">
        <f>IFERROR(__xludf.DUMMYFUNCTION("if($C11="""","""",if(join("" - "",{iferror(filter('Student Groupings'!$A:$A,'Student Groupings'!$B:$B=$C11,'Student Groupings'!$H:$H=""Must be Together""),"""");iferror(filter('Student Groupings'!$A:$A,'Student Groupings'!$E:$E=$C11,'Student Groupings'!$H"&amp;":$H=""Must be Together""),"""")})="" - "","""",join("" - "",{iferror(filter('Student Groupings'!$A:$A,'Student Groupings'!$B:$B=$C11,'Student Groupings'!$H:$H=""Must be Together""),"""");iferror(filter('Student Groupings'!$A:$A,'Student Groupings'!$E:$E=$"&amp;"C11,'Student Groupings'!$H:$H=""Must be Together""),"""")})))"),"")</f>
        <v/>
      </c>
      <c r="AE11" s="104"/>
      <c r="AF11" s="104"/>
      <c r="AG11" s="104"/>
      <c r="AH11" s="104"/>
    </row>
    <row r="12">
      <c r="A12" s="101">
        <v>6.0</v>
      </c>
      <c r="B12" s="101">
        <v>31011.0</v>
      </c>
      <c r="C12" s="102" t="s">
        <v>321</v>
      </c>
      <c r="D12" s="52" t="s">
        <v>171</v>
      </c>
      <c r="E12" s="52">
        <v>6.0</v>
      </c>
      <c r="F12" s="52" t="s">
        <v>158</v>
      </c>
      <c r="G12" s="52">
        <v>3.0</v>
      </c>
      <c r="H12" s="52" t="s">
        <v>182</v>
      </c>
      <c r="I12" s="52">
        <v>2.0</v>
      </c>
      <c r="J12" s="52" t="s">
        <v>192</v>
      </c>
      <c r="K12" s="52">
        <v>5.0</v>
      </c>
      <c r="L12" s="52" t="s">
        <v>196</v>
      </c>
      <c r="M12" s="52">
        <v>1.0</v>
      </c>
      <c r="N12" s="52" t="s">
        <v>153</v>
      </c>
      <c r="O12" s="52" t="s">
        <v>130</v>
      </c>
      <c r="P12" s="52" t="s">
        <v>134</v>
      </c>
      <c r="Q12" s="52" t="s">
        <v>111</v>
      </c>
      <c r="R12" s="52" t="s">
        <v>117</v>
      </c>
      <c r="S12" s="52" t="s">
        <v>111</v>
      </c>
      <c r="T12" s="65" t="s">
        <v>27</v>
      </c>
      <c r="U12" s="32">
        <v>1.0</v>
      </c>
      <c r="V12" s="32">
        <v>1.0</v>
      </c>
      <c r="W12" s="32">
        <v>1.0</v>
      </c>
      <c r="X12" s="32">
        <v>1.0</v>
      </c>
      <c r="Y12" s="32">
        <v>1.0</v>
      </c>
      <c r="Z12" s="32">
        <v>1.0</v>
      </c>
      <c r="AA12" s="32">
        <v>6.0</v>
      </c>
      <c r="AB12" s="32">
        <v>0.0</v>
      </c>
      <c r="AC12" s="103" t="str">
        <f>IFERROR(__xludf.DUMMYFUNCTION("if($C12="""","""",if(join("" - "",{iferror(filter('Student Groupings'!$A:$A,'Student Groupings'!$B:$B=$C12,'Student Groupings'!$H:$H=""Can't be Together""),"""");iferror(filter('Student Groupings'!$A:$A,'Student Groupings'!$E:$E=$C12,'Student Groupings'!$"&amp;"H:$H=""Can't be Together""),"""")})="" - "","""",join("" - "",{iferror(filter('Student Groupings'!$A:$A,'Student Groupings'!$B:$B=$C12,'Student Groupings'!$H:$H=""Can't be Together""),"""");iferror(filter('Student Groupings'!$A:$A,'Student Groupings'!$E:$"&amp;"E=$C12,'Student Groupings'!$H:$H=""Can't be Together""),"""")})))"),"")</f>
        <v/>
      </c>
      <c r="AD12" s="103" t="str">
        <f>IFERROR(__xludf.DUMMYFUNCTION("if($C12="""","""",if(join("" - "",{iferror(filter('Student Groupings'!$A:$A,'Student Groupings'!$B:$B=$C12,'Student Groupings'!$H:$H=""Must be Together""),"""");iferror(filter('Student Groupings'!$A:$A,'Student Groupings'!$E:$E=$C12,'Student Groupings'!$H"&amp;":$H=""Must be Together""),"""")})="" - "","""",join("" - "",{iferror(filter('Student Groupings'!$A:$A,'Student Groupings'!$B:$B=$C12,'Student Groupings'!$H:$H=""Must be Together""),"""");iferror(filter('Student Groupings'!$A:$A,'Student Groupings'!$E:$E=$"&amp;"C12,'Student Groupings'!$H:$H=""Must be Together""),"""")})))"),"")</f>
        <v/>
      </c>
      <c r="AE12" s="104"/>
      <c r="AF12" s="104"/>
      <c r="AG12" s="104"/>
      <c r="AH12" s="104"/>
    </row>
    <row r="13">
      <c r="A13" s="101">
        <v>6.0</v>
      </c>
      <c r="B13" s="101">
        <v>31012.0</v>
      </c>
      <c r="C13" s="102" t="s">
        <v>322</v>
      </c>
      <c r="D13" s="52" t="s">
        <v>173</v>
      </c>
      <c r="E13" s="52">
        <v>3.0</v>
      </c>
      <c r="F13" s="52" t="s">
        <v>158</v>
      </c>
      <c r="G13" s="52">
        <v>6.0</v>
      </c>
      <c r="H13" s="52" t="s">
        <v>182</v>
      </c>
      <c r="I13" s="52">
        <v>5.0</v>
      </c>
      <c r="J13" s="52" t="s">
        <v>194</v>
      </c>
      <c r="K13" s="52">
        <v>2.0</v>
      </c>
      <c r="L13" s="52" t="s">
        <v>198</v>
      </c>
      <c r="M13" s="52">
        <v>4.0</v>
      </c>
      <c r="N13" s="52" t="s">
        <v>153</v>
      </c>
      <c r="O13" s="52" t="s">
        <v>108</v>
      </c>
      <c r="P13" s="52" t="s">
        <v>117</v>
      </c>
      <c r="Q13" s="52" t="s">
        <v>129</v>
      </c>
      <c r="R13" s="52" t="s">
        <v>134</v>
      </c>
      <c r="S13" s="52" t="s">
        <v>129</v>
      </c>
      <c r="T13" s="65" t="s">
        <v>27</v>
      </c>
      <c r="U13" s="32">
        <v>1.0</v>
      </c>
      <c r="V13" s="32">
        <v>1.0</v>
      </c>
      <c r="W13" s="32">
        <v>1.0</v>
      </c>
      <c r="X13" s="32">
        <v>1.0</v>
      </c>
      <c r="Y13" s="32">
        <v>1.0</v>
      </c>
      <c r="Z13" s="32">
        <v>1.0</v>
      </c>
      <c r="AA13" s="32">
        <v>6.0</v>
      </c>
      <c r="AB13" s="32">
        <v>0.0</v>
      </c>
      <c r="AC13" s="103" t="str">
        <f>IFERROR(__xludf.DUMMYFUNCTION("if($C13="""","""",if(join("" - "",{iferror(filter('Student Groupings'!$A:$A,'Student Groupings'!$B:$B=$C13,'Student Groupings'!$H:$H=""Can't be Together""),"""");iferror(filter('Student Groupings'!$A:$A,'Student Groupings'!$E:$E=$C13,'Student Groupings'!$"&amp;"H:$H=""Can't be Together""),"""")})="" - "","""",join("" - "",{iferror(filter('Student Groupings'!$A:$A,'Student Groupings'!$B:$B=$C13,'Student Groupings'!$H:$H=""Can't be Together""),"""");iferror(filter('Student Groupings'!$A:$A,'Student Groupings'!$E:$"&amp;"E=$C13,'Student Groupings'!$H:$H=""Can't be Together""),"""")})))"),"")</f>
        <v/>
      </c>
      <c r="AD13" s="103" t="str">
        <f>IFERROR(__xludf.DUMMYFUNCTION("if($C13="""","""",if(join("" - "",{iferror(filter('Student Groupings'!$A:$A,'Student Groupings'!$B:$B=$C13,'Student Groupings'!$H:$H=""Must be Together""),"""");iferror(filter('Student Groupings'!$A:$A,'Student Groupings'!$E:$E=$C13,'Student Groupings'!$H"&amp;":$H=""Must be Together""),"""")})="" - "","""",join("" - "",{iferror(filter('Student Groupings'!$A:$A,'Student Groupings'!$B:$B=$C13,'Student Groupings'!$H:$H=""Must be Together""),"""");iferror(filter('Student Groupings'!$A:$A,'Student Groupings'!$E:$E=$"&amp;"C13,'Student Groupings'!$H:$H=""Must be Together""),"""")})))"),"")</f>
        <v/>
      </c>
      <c r="AE13" s="104"/>
      <c r="AF13" s="104"/>
      <c r="AG13" s="104"/>
      <c r="AH13" s="104"/>
    </row>
    <row r="14">
      <c r="A14" s="101">
        <v>6.0</v>
      </c>
      <c r="B14" s="101">
        <v>31013.0</v>
      </c>
      <c r="C14" s="102" t="s">
        <v>225</v>
      </c>
      <c r="D14" s="52" t="s">
        <v>171</v>
      </c>
      <c r="E14" s="101">
        <v>2.0</v>
      </c>
      <c r="F14" s="52" t="s">
        <v>158</v>
      </c>
      <c r="G14" s="52">
        <v>6.0</v>
      </c>
      <c r="H14" s="52" t="s">
        <v>181</v>
      </c>
      <c r="I14" s="52">
        <v>1.0</v>
      </c>
      <c r="J14" s="52" t="s">
        <v>192</v>
      </c>
      <c r="K14" s="52">
        <v>4.0</v>
      </c>
      <c r="L14" s="52" t="s">
        <v>196</v>
      </c>
      <c r="M14" s="52">
        <v>3.0</v>
      </c>
      <c r="N14" s="52" t="s">
        <v>153</v>
      </c>
      <c r="O14" s="52" t="s">
        <v>112</v>
      </c>
      <c r="P14" s="52" t="s">
        <v>142</v>
      </c>
      <c r="Q14" s="52" t="s">
        <v>124</v>
      </c>
      <c r="R14" s="52" t="s">
        <v>142</v>
      </c>
      <c r="S14" s="52" t="s">
        <v>124</v>
      </c>
      <c r="T14" s="65" t="s">
        <v>142</v>
      </c>
      <c r="U14" s="32">
        <v>1.0</v>
      </c>
      <c r="V14" s="32">
        <v>1.0</v>
      </c>
      <c r="W14" s="32">
        <v>1.0</v>
      </c>
      <c r="X14" s="32">
        <v>1.0</v>
      </c>
      <c r="Y14" s="32">
        <v>1.0</v>
      </c>
      <c r="Z14" s="32">
        <v>1.0</v>
      </c>
      <c r="AA14" s="32">
        <v>6.0</v>
      </c>
      <c r="AB14" s="32">
        <v>0.0</v>
      </c>
      <c r="AC14" s="103" t="str">
        <f>IFERROR(__xludf.DUMMYFUNCTION("if($C14="""","""",if(join("" - "",{iferror(filter('Student Groupings'!$A:$A,'Student Groupings'!$B:$B=$C14,'Student Groupings'!$H:$H=""Can't be Together""),"""");iferror(filter('Student Groupings'!$A:$A,'Student Groupings'!$E:$E=$C14,'Student Groupings'!$"&amp;"H:$H=""Can't be Together""),"""")})="" - "","""",join("" - "",{iferror(filter('Student Groupings'!$A:$A,'Student Groupings'!$B:$B=$C14,'Student Groupings'!$H:$H=""Can't be Together""),"""");iferror(filter('Student Groupings'!$A:$A,'Student Groupings'!$E:$"&amp;"E=$C14,'Student Groupings'!$H:$H=""Can't be Together""),"""")})))"),"")</f>
        <v/>
      </c>
      <c r="AD14" s="103" t="str">
        <f>IFERROR(__xludf.DUMMYFUNCTION("if($C14="""","""",if(join("" - "",{iferror(filter('Student Groupings'!$A:$A,'Student Groupings'!$B:$B=$C14,'Student Groupings'!$H:$H=""Must be Together""),"""");iferror(filter('Student Groupings'!$A:$A,'Student Groupings'!$E:$E=$C14,'Student Groupings'!$H"&amp;":$H=""Must be Together""),"""")})="" - "","""",join("" - "",{iferror(filter('Student Groupings'!$A:$A,'Student Groupings'!$B:$B=$C14,'Student Groupings'!$H:$H=""Must be Together""),"""");iferror(filter('Student Groupings'!$A:$A,'Student Groupings'!$E:$E=$"&amp;"C14,'Student Groupings'!$H:$H=""Must be Together""),"""")})))")," - 10")</f>
        <v> - 10</v>
      </c>
      <c r="AE14" s="104"/>
      <c r="AF14" s="104"/>
      <c r="AG14" s="104"/>
      <c r="AH14" s="104"/>
    </row>
    <row r="15">
      <c r="A15" s="101">
        <v>6.0</v>
      </c>
      <c r="B15" s="101">
        <v>31014.0</v>
      </c>
      <c r="C15" s="102" t="s">
        <v>323</v>
      </c>
      <c r="D15" s="52" t="s">
        <v>171</v>
      </c>
      <c r="E15" s="52">
        <v>4.0</v>
      </c>
      <c r="F15" s="52" t="s">
        <v>158</v>
      </c>
      <c r="G15" s="52">
        <v>5.0</v>
      </c>
      <c r="H15" s="52" t="s">
        <v>181</v>
      </c>
      <c r="I15" s="52">
        <v>1.0</v>
      </c>
      <c r="J15" s="52" t="s">
        <v>192</v>
      </c>
      <c r="K15" s="52">
        <v>3.0</v>
      </c>
      <c r="L15" s="52" t="s">
        <v>196</v>
      </c>
      <c r="M15" s="52">
        <v>2.0</v>
      </c>
      <c r="N15" s="52" t="s">
        <v>153</v>
      </c>
      <c r="O15" s="52" t="s">
        <v>120</v>
      </c>
      <c r="P15" s="52" t="s">
        <v>117</v>
      </c>
      <c r="Q15" s="52" t="s">
        <v>109</v>
      </c>
      <c r="R15" s="52" t="s">
        <v>134</v>
      </c>
      <c r="S15" s="52" t="s">
        <v>109</v>
      </c>
      <c r="T15" s="65" t="s">
        <v>27</v>
      </c>
      <c r="U15" s="32">
        <v>1.0</v>
      </c>
      <c r="V15" s="32">
        <v>1.0</v>
      </c>
      <c r="W15" s="32">
        <v>1.0</v>
      </c>
      <c r="X15" s="32">
        <v>1.0</v>
      </c>
      <c r="Y15" s="32">
        <v>1.0</v>
      </c>
      <c r="Z15" s="32">
        <v>1.0</v>
      </c>
      <c r="AA15" s="32">
        <v>6.0</v>
      </c>
      <c r="AB15" s="32">
        <v>0.0</v>
      </c>
      <c r="AC15" s="103" t="str">
        <f>IFERROR(__xludf.DUMMYFUNCTION("if($C15="""","""",if(join("" - "",{iferror(filter('Student Groupings'!$A:$A,'Student Groupings'!$B:$B=$C15,'Student Groupings'!$H:$H=""Can't be Together""),"""");iferror(filter('Student Groupings'!$A:$A,'Student Groupings'!$E:$E=$C15,'Student Groupings'!$"&amp;"H:$H=""Can't be Together""),"""")})="" - "","""",join("" - "",{iferror(filter('Student Groupings'!$A:$A,'Student Groupings'!$B:$B=$C15,'Student Groupings'!$H:$H=""Can't be Together""),"""");iferror(filter('Student Groupings'!$A:$A,'Student Groupings'!$E:$"&amp;"E=$C15,'Student Groupings'!$H:$H=""Can't be Together""),"""")})))"),"")</f>
        <v/>
      </c>
      <c r="AD15" s="103" t="str">
        <f>IFERROR(__xludf.DUMMYFUNCTION("if($C15="""","""",if(join("" - "",{iferror(filter('Student Groupings'!$A:$A,'Student Groupings'!$B:$B=$C15,'Student Groupings'!$H:$H=""Must be Together""),"""");iferror(filter('Student Groupings'!$A:$A,'Student Groupings'!$E:$E=$C15,'Student Groupings'!$H"&amp;":$H=""Must be Together""),"""")})="" - "","""",join("" - "",{iferror(filter('Student Groupings'!$A:$A,'Student Groupings'!$B:$B=$C15,'Student Groupings'!$H:$H=""Must be Together""),"""");iferror(filter('Student Groupings'!$A:$A,'Student Groupings'!$E:$E=$"&amp;"C15,'Student Groupings'!$H:$H=""Must be Together""),"""")})))"),"")</f>
        <v/>
      </c>
      <c r="AE15" s="105"/>
      <c r="AF15" s="105">
        <v>1.0</v>
      </c>
      <c r="AG15" s="104"/>
      <c r="AH15" s="104"/>
    </row>
    <row r="16">
      <c r="A16" s="101">
        <v>6.0</v>
      </c>
      <c r="B16" s="101">
        <v>31015.0</v>
      </c>
      <c r="C16" s="102" t="s">
        <v>324</v>
      </c>
      <c r="D16" s="52" t="s">
        <v>171</v>
      </c>
      <c r="E16" s="52">
        <v>2.0</v>
      </c>
      <c r="F16" s="52" t="s">
        <v>158</v>
      </c>
      <c r="G16" s="52">
        <v>6.0</v>
      </c>
      <c r="H16" s="52" t="s">
        <v>181</v>
      </c>
      <c r="I16" s="52">
        <v>1.0</v>
      </c>
      <c r="J16" s="52" t="s">
        <v>192</v>
      </c>
      <c r="K16" s="52">
        <v>4.0</v>
      </c>
      <c r="L16" s="52" t="s">
        <v>196</v>
      </c>
      <c r="M16" s="52">
        <v>3.0</v>
      </c>
      <c r="N16" s="52" t="s">
        <v>153</v>
      </c>
      <c r="O16" s="52" t="s">
        <v>112</v>
      </c>
      <c r="P16" s="52" t="s">
        <v>142</v>
      </c>
      <c r="Q16" s="52" t="s">
        <v>124</v>
      </c>
      <c r="R16" s="52" t="s">
        <v>142</v>
      </c>
      <c r="S16" s="52" t="s">
        <v>124</v>
      </c>
      <c r="T16" s="65" t="s">
        <v>142</v>
      </c>
      <c r="U16" s="32">
        <v>1.0</v>
      </c>
      <c r="V16" s="32">
        <v>1.0</v>
      </c>
      <c r="W16" s="32">
        <v>1.0</v>
      </c>
      <c r="X16" s="32">
        <v>1.0</v>
      </c>
      <c r="Y16" s="32">
        <v>1.0</v>
      </c>
      <c r="Z16" s="32">
        <v>1.0</v>
      </c>
      <c r="AA16" s="32">
        <v>6.0</v>
      </c>
      <c r="AB16" s="32">
        <v>0.0</v>
      </c>
      <c r="AC16" s="103" t="str">
        <f>IFERROR(__xludf.DUMMYFUNCTION("if($C16="""","""",if(join("" - "",{iferror(filter('Student Groupings'!$A:$A,'Student Groupings'!$B:$B=$C16,'Student Groupings'!$H:$H=""Can't be Together""),"""");iferror(filter('Student Groupings'!$A:$A,'Student Groupings'!$E:$E=$C16,'Student Groupings'!$"&amp;"H:$H=""Can't be Together""),"""")})="" - "","""",join("" - "",{iferror(filter('Student Groupings'!$A:$A,'Student Groupings'!$B:$B=$C16,'Student Groupings'!$H:$H=""Can't be Together""),"""");iferror(filter('Student Groupings'!$A:$A,'Student Groupings'!$E:$"&amp;"E=$C16,'Student Groupings'!$H:$H=""Can't be Together""),"""")})))"),"")</f>
        <v/>
      </c>
      <c r="AD16" s="103" t="str">
        <f>IFERROR(__xludf.DUMMYFUNCTION("if($C16="""","""",if(join("" - "",{iferror(filter('Student Groupings'!$A:$A,'Student Groupings'!$B:$B=$C16,'Student Groupings'!$H:$H=""Must be Together""),"""");iferror(filter('Student Groupings'!$A:$A,'Student Groupings'!$E:$E=$C16,'Student Groupings'!$H"&amp;":$H=""Must be Together""),"""")})="" - "","""",join("" - "",{iferror(filter('Student Groupings'!$A:$A,'Student Groupings'!$B:$B=$C16,'Student Groupings'!$H:$H=""Must be Together""),"""");iferror(filter('Student Groupings'!$A:$A,'Student Groupings'!$E:$E=$"&amp;"C16,'Student Groupings'!$H:$H=""Must be Together""),"""")})))"),"")</f>
        <v/>
      </c>
      <c r="AE16" s="105"/>
      <c r="AF16" s="105">
        <v>1.0</v>
      </c>
      <c r="AG16" s="105"/>
      <c r="AH16" s="105"/>
    </row>
    <row r="17">
      <c r="A17" s="101">
        <v>6.0</v>
      </c>
      <c r="B17" s="101">
        <v>31016.0</v>
      </c>
      <c r="C17" s="102" t="s">
        <v>325</v>
      </c>
      <c r="D17" s="52" t="s">
        <v>173</v>
      </c>
      <c r="E17" s="52">
        <v>3.0</v>
      </c>
      <c r="F17" s="52" t="s">
        <v>159</v>
      </c>
      <c r="G17" s="52">
        <v>5.0</v>
      </c>
      <c r="H17" s="52" t="s">
        <v>182</v>
      </c>
      <c r="I17" s="52">
        <v>1.0</v>
      </c>
      <c r="J17" s="52" t="s">
        <v>194</v>
      </c>
      <c r="K17" s="52">
        <v>2.0</v>
      </c>
      <c r="L17" s="52" t="s">
        <v>198</v>
      </c>
      <c r="M17" s="52">
        <v>4.0</v>
      </c>
      <c r="N17" s="52" t="s">
        <v>153</v>
      </c>
      <c r="O17" s="52" t="s">
        <v>120</v>
      </c>
      <c r="P17" s="52" t="s">
        <v>134</v>
      </c>
      <c r="Q17" s="52" t="s">
        <v>109</v>
      </c>
      <c r="R17" s="52" t="s">
        <v>117</v>
      </c>
      <c r="S17" s="52" t="s">
        <v>109</v>
      </c>
      <c r="T17" s="65" t="s">
        <v>27</v>
      </c>
      <c r="U17" s="32">
        <v>1.0</v>
      </c>
      <c r="V17" s="32">
        <v>1.0</v>
      </c>
      <c r="W17" s="32">
        <v>1.0</v>
      </c>
      <c r="X17" s="32">
        <v>1.0</v>
      </c>
      <c r="Y17" s="32">
        <v>1.0</v>
      </c>
      <c r="Z17" s="32">
        <v>1.0</v>
      </c>
      <c r="AA17" s="32">
        <v>6.0</v>
      </c>
      <c r="AB17" s="32">
        <v>0.0</v>
      </c>
      <c r="AC17" s="103" t="str">
        <f>IFERROR(__xludf.DUMMYFUNCTION("if($C17="""","""",if(join("" - "",{iferror(filter('Student Groupings'!$A:$A,'Student Groupings'!$B:$B=$C17,'Student Groupings'!$H:$H=""Can't be Together""),"""");iferror(filter('Student Groupings'!$A:$A,'Student Groupings'!$E:$E=$C17,'Student Groupings'!$"&amp;"H:$H=""Can't be Together""),"""")})="" - "","""",join("" - "",{iferror(filter('Student Groupings'!$A:$A,'Student Groupings'!$B:$B=$C17,'Student Groupings'!$H:$H=""Can't be Together""),"""");iferror(filter('Student Groupings'!$A:$A,'Student Groupings'!$E:$"&amp;"E=$C17,'Student Groupings'!$H:$H=""Can't be Together""),"""")})))"),"")</f>
        <v/>
      </c>
      <c r="AD17" s="103" t="str">
        <f>IFERROR(__xludf.DUMMYFUNCTION("if($C17="""","""",if(join("" - "",{iferror(filter('Student Groupings'!$A:$A,'Student Groupings'!$B:$B=$C17,'Student Groupings'!$H:$H=""Must be Together""),"""");iferror(filter('Student Groupings'!$A:$A,'Student Groupings'!$E:$E=$C17,'Student Groupings'!$H"&amp;":$H=""Must be Together""),"""")})="" - "","""",join("" - "",{iferror(filter('Student Groupings'!$A:$A,'Student Groupings'!$B:$B=$C17,'Student Groupings'!$H:$H=""Must be Together""),"""");iferror(filter('Student Groupings'!$A:$A,'Student Groupings'!$E:$E=$"&amp;"C17,'Student Groupings'!$H:$H=""Must be Together""),"""")})))"),"")</f>
        <v/>
      </c>
      <c r="AE17" s="104"/>
      <c r="AF17" s="104"/>
      <c r="AG17" s="104"/>
      <c r="AH17" s="104"/>
    </row>
    <row r="18">
      <c r="A18" s="101">
        <v>6.0</v>
      </c>
      <c r="B18" s="101">
        <v>31166.0</v>
      </c>
      <c r="C18" s="102" t="s">
        <v>326</v>
      </c>
      <c r="D18" s="52" t="s">
        <v>171</v>
      </c>
      <c r="E18" s="52">
        <v>4.0</v>
      </c>
      <c r="F18" s="52" t="s">
        <v>158</v>
      </c>
      <c r="G18" s="52">
        <v>1.0</v>
      </c>
      <c r="H18" s="52" t="s">
        <v>182</v>
      </c>
      <c r="I18" s="52">
        <v>5.0</v>
      </c>
      <c r="J18" s="52" t="s">
        <v>192</v>
      </c>
      <c r="K18" s="52">
        <v>3.0</v>
      </c>
      <c r="L18" s="52" t="s">
        <v>197</v>
      </c>
      <c r="M18" s="52">
        <v>2.0</v>
      </c>
      <c r="N18" s="52" t="s">
        <v>153</v>
      </c>
      <c r="O18" s="52" t="s">
        <v>120</v>
      </c>
      <c r="P18" s="52" t="s">
        <v>117</v>
      </c>
      <c r="Q18" s="52" t="s">
        <v>109</v>
      </c>
      <c r="R18" s="52" t="s">
        <v>134</v>
      </c>
      <c r="S18" s="52" t="s">
        <v>109</v>
      </c>
      <c r="T18" s="65" t="s">
        <v>8</v>
      </c>
      <c r="U18" s="32">
        <v>1.0</v>
      </c>
      <c r="V18" s="32">
        <v>1.0</v>
      </c>
      <c r="W18" s="32">
        <v>1.0</v>
      </c>
      <c r="X18" s="32">
        <v>1.0</v>
      </c>
      <c r="Y18" s="32">
        <v>1.0</v>
      </c>
      <c r="Z18" s="32">
        <v>1.0</v>
      </c>
      <c r="AA18" s="32">
        <v>6.0</v>
      </c>
      <c r="AB18" s="32">
        <v>0.0</v>
      </c>
      <c r="AC18" s="103" t="str">
        <f>IFERROR(__xludf.DUMMYFUNCTION("if($C18="""","""",if(join("" - "",{iferror(filter('Student Groupings'!$A:$A,'Student Groupings'!$B:$B=$C18,'Student Groupings'!$H:$H=""Can't be Together""),"""");iferror(filter('Student Groupings'!$A:$A,'Student Groupings'!$E:$E=$C18,'Student Groupings'!$"&amp;"H:$H=""Can't be Together""),"""")})="" - "","""",join("" - "",{iferror(filter('Student Groupings'!$A:$A,'Student Groupings'!$B:$B=$C18,'Student Groupings'!$H:$H=""Can't be Together""),"""");iferror(filter('Student Groupings'!$A:$A,'Student Groupings'!$E:$"&amp;"E=$C18,'Student Groupings'!$H:$H=""Can't be Together""),"""")})))"),"")</f>
        <v/>
      </c>
      <c r="AD18" s="103" t="str">
        <f>IFERROR(__xludf.DUMMYFUNCTION("if($C18="""","""",if(join("" - "",{iferror(filter('Student Groupings'!$A:$A,'Student Groupings'!$B:$B=$C18,'Student Groupings'!$H:$H=""Must be Together""),"""");iferror(filter('Student Groupings'!$A:$A,'Student Groupings'!$E:$E=$C18,'Student Groupings'!$H"&amp;":$H=""Must be Together""),"""")})="" - "","""",join("" - "",{iferror(filter('Student Groupings'!$A:$A,'Student Groupings'!$B:$B=$C18,'Student Groupings'!$H:$H=""Must be Together""),"""");iferror(filter('Student Groupings'!$A:$A,'Student Groupings'!$E:$E=$"&amp;"C18,'Student Groupings'!$H:$H=""Must be Together""),"""")})))"),"")</f>
        <v/>
      </c>
      <c r="AE18" s="105">
        <v>1.0</v>
      </c>
      <c r="AF18" s="105"/>
      <c r="AG18" s="105"/>
      <c r="AH18" s="105"/>
    </row>
    <row r="19">
      <c r="A19" s="101">
        <v>6.0</v>
      </c>
      <c r="B19" s="101">
        <v>31152.0</v>
      </c>
      <c r="C19" s="102" t="s">
        <v>327</v>
      </c>
      <c r="D19" s="52" t="s">
        <v>171</v>
      </c>
      <c r="E19" s="52">
        <v>3.0</v>
      </c>
      <c r="F19" s="52" t="s">
        <v>158</v>
      </c>
      <c r="G19" s="52">
        <v>1.0</v>
      </c>
      <c r="H19" s="52" t="s">
        <v>182</v>
      </c>
      <c r="I19" s="52">
        <v>6.0</v>
      </c>
      <c r="J19" s="52" t="s">
        <v>192</v>
      </c>
      <c r="K19" s="52">
        <v>2.0</v>
      </c>
      <c r="L19" s="52" t="s">
        <v>196</v>
      </c>
      <c r="M19" s="52">
        <v>4.0</v>
      </c>
      <c r="N19" s="52" t="s">
        <v>153</v>
      </c>
      <c r="O19" s="52" t="s">
        <v>112</v>
      </c>
      <c r="P19" s="52" t="s">
        <v>142</v>
      </c>
      <c r="Q19" s="52" t="s">
        <v>124</v>
      </c>
      <c r="R19" s="52" t="s">
        <v>142</v>
      </c>
      <c r="S19" s="52" t="s">
        <v>124</v>
      </c>
      <c r="T19" s="65" t="s">
        <v>142</v>
      </c>
      <c r="U19" s="32">
        <v>1.0</v>
      </c>
      <c r="V19" s="32">
        <v>1.0</v>
      </c>
      <c r="W19" s="32">
        <v>1.0</v>
      </c>
      <c r="X19" s="32">
        <v>1.0</v>
      </c>
      <c r="Y19" s="32">
        <v>1.0</v>
      </c>
      <c r="Z19" s="32">
        <v>1.0</v>
      </c>
      <c r="AA19" s="32">
        <v>6.0</v>
      </c>
      <c r="AB19" s="32">
        <v>0.0</v>
      </c>
      <c r="AC19" s="103" t="str">
        <f>IFERROR(__xludf.DUMMYFUNCTION("if($C19="""","""",if(join("" - "",{iferror(filter('Student Groupings'!$A:$A,'Student Groupings'!$B:$B=$C19,'Student Groupings'!$H:$H=""Can't be Together""),"""");iferror(filter('Student Groupings'!$A:$A,'Student Groupings'!$E:$E=$C19,'Student Groupings'!$"&amp;"H:$H=""Can't be Together""),"""")})="" - "","""",join("" - "",{iferror(filter('Student Groupings'!$A:$A,'Student Groupings'!$B:$B=$C19,'Student Groupings'!$H:$H=""Can't be Together""),"""");iferror(filter('Student Groupings'!$A:$A,'Student Groupings'!$E:$"&amp;"E=$C19,'Student Groupings'!$H:$H=""Can't be Together""),"""")})))"),"")</f>
        <v/>
      </c>
      <c r="AD19" s="103" t="str">
        <f>IFERROR(__xludf.DUMMYFUNCTION("if($C19="""","""",if(join("" - "",{iferror(filter('Student Groupings'!$A:$A,'Student Groupings'!$B:$B=$C19,'Student Groupings'!$H:$H=""Must be Together""),"""");iferror(filter('Student Groupings'!$A:$A,'Student Groupings'!$E:$E=$C19,'Student Groupings'!$H"&amp;":$H=""Must be Together""),"""")})="" - "","""",join("" - "",{iferror(filter('Student Groupings'!$A:$A,'Student Groupings'!$B:$B=$C19,'Student Groupings'!$H:$H=""Must be Together""),"""");iferror(filter('Student Groupings'!$A:$A,'Student Groupings'!$E:$E=$"&amp;"C19,'Student Groupings'!$H:$H=""Must be Together""),"""")})))"),"")</f>
        <v/>
      </c>
      <c r="AE19" s="104"/>
      <c r="AF19" s="104"/>
      <c r="AG19" s="104"/>
      <c r="AH19" s="104"/>
    </row>
    <row r="20">
      <c r="A20" s="101">
        <v>6.0</v>
      </c>
      <c r="B20" s="101">
        <v>31017.0</v>
      </c>
      <c r="C20" s="102" t="s">
        <v>216</v>
      </c>
      <c r="D20" s="52" t="s">
        <v>171</v>
      </c>
      <c r="E20" s="52">
        <v>4.0</v>
      </c>
      <c r="F20" s="52" t="s">
        <v>158</v>
      </c>
      <c r="G20" s="52">
        <v>1.0</v>
      </c>
      <c r="H20" s="52" t="s">
        <v>182</v>
      </c>
      <c r="I20" s="52">
        <v>6.0</v>
      </c>
      <c r="J20" s="52" t="s">
        <v>192</v>
      </c>
      <c r="K20" s="52">
        <v>3.0</v>
      </c>
      <c r="L20" s="52" t="s">
        <v>196</v>
      </c>
      <c r="M20" s="52">
        <v>2.0</v>
      </c>
      <c r="N20" s="52" t="s">
        <v>153</v>
      </c>
      <c r="O20" s="52" t="s">
        <v>112</v>
      </c>
      <c r="P20" s="52" t="s">
        <v>142</v>
      </c>
      <c r="Q20" s="52" t="s">
        <v>124</v>
      </c>
      <c r="R20" s="52" t="s">
        <v>142</v>
      </c>
      <c r="S20" s="52" t="s">
        <v>124</v>
      </c>
      <c r="T20" s="65" t="s">
        <v>142</v>
      </c>
      <c r="U20" s="32">
        <v>1.0</v>
      </c>
      <c r="V20" s="32">
        <v>1.0</v>
      </c>
      <c r="W20" s="32">
        <v>1.0</v>
      </c>
      <c r="X20" s="32">
        <v>1.0</v>
      </c>
      <c r="Y20" s="32">
        <v>1.0</v>
      </c>
      <c r="Z20" s="32">
        <v>1.0</v>
      </c>
      <c r="AA20" s="32">
        <v>6.0</v>
      </c>
      <c r="AB20" s="32">
        <v>0.0</v>
      </c>
      <c r="AC20" s="103" t="str">
        <f>IFERROR(__xludf.DUMMYFUNCTION("if($C20="""","""",if(join("" - "",{iferror(filter('Student Groupings'!$A:$A,'Student Groupings'!$B:$B=$C20,'Student Groupings'!$H:$H=""Can't be Together""),"""");iferror(filter('Student Groupings'!$A:$A,'Student Groupings'!$E:$E=$C20,'Student Groupings'!$"&amp;"H:$H=""Can't be Together""),"""")})="" - "","""",join("" - "",{iferror(filter('Student Groupings'!$A:$A,'Student Groupings'!$B:$B=$C20,'Student Groupings'!$H:$H=""Can't be Together""),"""");iferror(filter('Student Groupings'!$A:$A,'Student Groupings'!$E:$"&amp;"E=$C20,'Student Groupings'!$H:$H=""Can't be Together""),"""")})))"),"4 - ")</f>
        <v>4 - </v>
      </c>
      <c r="AD20" s="103" t="str">
        <f>IFERROR(__xludf.DUMMYFUNCTION("if($C20="""","""",if(join("" - "",{iferror(filter('Student Groupings'!$A:$A,'Student Groupings'!$B:$B=$C20,'Student Groupings'!$H:$H=""Must be Together""),"""");iferror(filter('Student Groupings'!$A:$A,'Student Groupings'!$E:$E=$C20,'Student Groupings'!$H"&amp;":$H=""Must be Together""),"""")})="" - "","""",join("" - "",{iferror(filter('Student Groupings'!$A:$A,'Student Groupings'!$B:$B=$C20,'Student Groupings'!$H:$H=""Must be Together""),"""");iferror(filter('Student Groupings'!$A:$A,'Student Groupings'!$E:$E=$"&amp;"C20,'Student Groupings'!$H:$H=""Must be Together""),"""")})))"),"")</f>
        <v/>
      </c>
      <c r="AE20" s="104"/>
      <c r="AF20" s="104"/>
      <c r="AG20" s="104"/>
      <c r="AH20" s="104"/>
    </row>
    <row r="21">
      <c r="A21" s="101">
        <v>6.0</v>
      </c>
      <c r="B21" s="101">
        <v>31019.0</v>
      </c>
      <c r="C21" s="102" t="s">
        <v>221</v>
      </c>
      <c r="D21" s="52" t="s">
        <v>171</v>
      </c>
      <c r="E21" s="52">
        <v>5.0</v>
      </c>
      <c r="F21" s="52" t="s">
        <v>158</v>
      </c>
      <c r="G21" s="52">
        <v>3.0</v>
      </c>
      <c r="H21" s="52" t="s">
        <v>182</v>
      </c>
      <c r="I21" s="52">
        <v>2.0</v>
      </c>
      <c r="J21" s="52" t="s">
        <v>192</v>
      </c>
      <c r="K21" s="52">
        <v>1.0</v>
      </c>
      <c r="L21" s="52" t="s">
        <v>196</v>
      </c>
      <c r="M21" s="52">
        <v>6.0</v>
      </c>
      <c r="N21" s="52" t="s">
        <v>153</v>
      </c>
      <c r="O21" s="52" t="s">
        <v>130</v>
      </c>
      <c r="P21" s="52" t="s">
        <v>117</v>
      </c>
      <c r="Q21" s="52" t="s">
        <v>111</v>
      </c>
      <c r="R21" s="52" t="s">
        <v>134</v>
      </c>
      <c r="S21" s="52" t="s">
        <v>111</v>
      </c>
      <c r="T21" s="65" t="s">
        <v>27</v>
      </c>
      <c r="U21" s="32">
        <v>1.0</v>
      </c>
      <c r="V21" s="32">
        <v>1.0</v>
      </c>
      <c r="W21" s="32">
        <v>1.0</v>
      </c>
      <c r="X21" s="32">
        <v>1.0</v>
      </c>
      <c r="Y21" s="32">
        <v>1.0</v>
      </c>
      <c r="Z21" s="32">
        <v>1.0</v>
      </c>
      <c r="AA21" s="32">
        <v>6.0</v>
      </c>
      <c r="AB21" s="32">
        <v>0.0</v>
      </c>
      <c r="AC21" s="103" t="str">
        <f>IFERROR(__xludf.DUMMYFUNCTION("if($C21="""","""",if(join("" - "",{iferror(filter('Student Groupings'!$A:$A,'Student Groupings'!$B:$B=$C21,'Student Groupings'!$H:$H=""Can't be Together""),"""");iferror(filter('Student Groupings'!$A:$A,'Student Groupings'!$E:$E=$C21,'Student Groupings'!$"&amp;"H:$H=""Can't be Together""),"""")})="" - "","""",join("" - "",{iferror(filter('Student Groupings'!$A:$A,'Student Groupings'!$B:$B=$C21,'Student Groupings'!$H:$H=""Can't be Together""),"""");iferror(filter('Student Groupings'!$A:$A,'Student Groupings'!$E:$"&amp;"E=$C21,'Student Groupings'!$H:$H=""Can't be Together""),"""")})))")," - 7 - 11")</f>
        <v> - 7 - 11</v>
      </c>
      <c r="AD21" s="103" t="str">
        <f>IFERROR(__xludf.DUMMYFUNCTION("if($C21="""","""",if(join("" - "",{iferror(filter('Student Groupings'!$A:$A,'Student Groupings'!$B:$B=$C21,'Student Groupings'!$H:$H=""Must be Together""),"""");iferror(filter('Student Groupings'!$A:$A,'Student Groupings'!$E:$E=$C21,'Student Groupings'!$H"&amp;":$H=""Must be Together""),"""")})="" - "","""",join("" - "",{iferror(filter('Student Groupings'!$A:$A,'Student Groupings'!$B:$B=$C21,'Student Groupings'!$H:$H=""Must be Together""),"""");iferror(filter('Student Groupings'!$A:$A,'Student Groupings'!$E:$E=$"&amp;"C21,'Student Groupings'!$H:$H=""Must be Together""),"""")})))"),"")</f>
        <v/>
      </c>
      <c r="AE21" s="104"/>
      <c r="AF21" s="104"/>
      <c r="AG21" s="104"/>
      <c r="AH21" s="104"/>
    </row>
    <row r="22">
      <c r="A22" s="101">
        <v>6.0</v>
      </c>
      <c r="B22" s="101">
        <v>31020.0</v>
      </c>
      <c r="C22" s="102" t="s">
        <v>328</v>
      </c>
      <c r="D22" s="52" t="s">
        <v>171</v>
      </c>
      <c r="E22" s="52">
        <v>6.0</v>
      </c>
      <c r="F22" s="52" t="s">
        <v>158</v>
      </c>
      <c r="G22" s="52">
        <v>4.0</v>
      </c>
      <c r="H22" s="52" t="s">
        <v>182</v>
      </c>
      <c r="I22" s="52">
        <v>3.0</v>
      </c>
      <c r="J22" s="52" t="s">
        <v>192</v>
      </c>
      <c r="K22" s="52">
        <v>5.0</v>
      </c>
      <c r="L22" s="52" t="s">
        <v>196</v>
      </c>
      <c r="M22" s="52">
        <v>1.0</v>
      </c>
      <c r="N22" s="52" t="s">
        <v>153</v>
      </c>
      <c r="O22" s="52" t="s">
        <v>125</v>
      </c>
      <c r="P22" s="52" t="s">
        <v>117</v>
      </c>
      <c r="Q22" s="52" t="s">
        <v>119</v>
      </c>
      <c r="R22" s="52" t="s">
        <v>134</v>
      </c>
      <c r="S22" s="52" t="s">
        <v>119</v>
      </c>
      <c r="T22" s="65" t="s">
        <v>27</v>
      </c>
      <c r="U22" s="32">
        <v>1.0</v>
      </c>
      <c r="V22" s="32">
        <v>1.0</v>
      </c>
      <c r="W22" s="32">
        <v>1.0</v>
      </c>
      <c r="X22" s="32">
        <v>1.0</v>
      </c>
      <c r="Y22" s="32">
        <v>1.0</v>
      </c>
      <c r="Z22" s="32">
        <v>1.0</v>
      </c>
      <c r="AA22" s="32">
        <v>6.0</v>
      </c>
      <c r="AB22" s="32">
        <v>0.0</v>
      </c>
      <c r="AC22" s="103" t="str">
        <f>IFERROR(__xludf.DUMMYFUNCTION("if($C22="""","""",if(join("" - "",{iferror(filter('Student Groupings'!$A:$A,'Student Groupings'!$B:$B=$C22,'Student Groupings'!$H:$H=""Can't be Together""),"""");iferror(filter('Student Groupings'!$A:$A,'Student Groupings'!$E:$E=$C22,'Student Groupings'!$"&amp;"H:$H=""Can't be Together""),"""")})="" - "","""",join("" - "",{iferror(filter('Student Groupings'!$A:$A,'Student Groupings'!$B:$B=$C22,'Student Groupings'!$H:$H=""Can't be Together""),"""");iferror(filter('Student Groupings'!$A:$A,'Student Groupings'!$E:$"&amp;"E=$C22,'Student Groupings'!$H:$H=""Can't be Together""),"""")})))"),"")</f>
        <v/>
      </c>
      <c r="AD22" s="103" t="str">
        <f>IFERROR(__xludf.DUMMYFUNCTION("if($C22="""","""",if(join("" - "",{iferror(filter('Student Groupings'!$A:$A,'Student Groupings'!$B:$B=$C22,'Student Groupings'!$H:$H=""Must be Together""),"""");iferror(filter('Student Groupings'!$A:$A,'Student Groupings'!$E:$E=$C22,'Student Groupings'!$H"&amp;":$H=""Must be Together""),"""")})="" - "","""",join("" - "",{iferror(filter('Student Groupings'!$A:$A,'Student Groupings'!$B:$B=$C22,'Student Groupings'!$H:$H=""Must be Together""),"""");iferror(filter('Student Groupings'!$A:$A,'Student Groupings'!$E:$E=$"&amp;"C22,'Student Groupings'!$H:$H=""Must be Together""),"""")})))"),"")</f>
        <v/>
      </c>
      <c r="AE22" s="104"/>
      <c r="AF22" s="104"/>
      <c r="AG22" s="105"/>
      <c r="AH22" s="105"/>
    </row>
    <row r="23">
      <c r="A23" s="101">
        <v>6.0</v>
      </c>
      <c r="B23" s="101">
        <v>31018.0</v>
      </c>
      <c r="C23" s="102" t="s">
        <v>329</v>
      </c>
      <c r="D23" s="52" t="s">
        <v>171</v>
      </c>
      <c r="E23" s="52">
        <v>4.0</v>
      </c>
      <c r="F23" s="52" t="s">
        <v>158</v>
      </c>
      <c r="G23" s="52">
        <v>1.0</v>
      </c>
      <c r="H23" s="52" t="s">
        <v>182</v>
      </c>
      <c r="I23" s="52">
        <v>6.0</v>
      </c>
      <c r="J23" s="52" t="s">
        <v>192</v>
      </c>
      <c r="K23" s="52">
        <v>3.0</v>
      </c>
      <c r="L23" s="52" t="s">
        <v>196</v>
      </c>
      <c r="M23" s="52">
        <v>2.0</v>
      </c>
      <c r="N23" s="52" t="s">
        <v>153</v>
      </c>
      <c r="O23" s="52" t="s">
        <v>112</v>
      </c>
      <c r="P23" s="52" t="s">
        <v>142</v>
      </c>
      <c r="Q23" s="52" t="s">
        <v>124</v>
      </c>
      <c r="R23" s="52" t="s">
        <v>142</v>
      </c>
      <c r="S23" s="52" t="s">
        <v>124</v>
      </c>
      <c r="T23" s="65" t="s">
        <v>142</v>
      </c>
      <c r="U23" s="32">
        <v>1.0</v>
      </c>
      <c r="V23" s="32">
        <v>1.0</v>
      </c>
      <c r="W23" s="32">
        <v>1.0</v>
      </c>
      <c r="X23" s="32">
        <v>1.0</v>
      </c>
      <c r="Y23" s="32">
        <v>1.0</v>
      </c>
      <c r="Z23" s="32">
        <v>1.0</v>
      </c>
      <c r="AA23" s="32">
        <v>6.0</v>
      </c>
      <c r="AB23" s="32">
        <v>0.0</v>
      </c>
      <c r="AC23" s="103" t="str">
        <f>IFERROR(__xludf.DUMMYFUNCTION("if($C23="""","""",if(join("" - "",{iferror(filter('Student Groupings'!$A:$A,'Student Groupings'!$B:$B=$C23,'Student Groupings'!$H:$H=""Can't be Together""),"""");iferror(filter('Student Groupings'!$A:$A,'Student Groupings'!$E:$E=$C23,'Student Groupings'!$"&amp;"H:$H=""Can't be Together""),"""")})="" - "","""",join("" - "",{iferror(filter('Student Groupings'!$A:$A,'Student Groupings'!$B:$B=$C23,'Student Groupings'!$H:$H=""Can't be Together""),"""");iferror(filter('Student Groupings'!$A:$A,'Student Groupings'!$E:$"&amp;"E=$C23,'Student Groupings'!$H:$H=""Can't be Together""),"""")})))"),"")</f>
        <v/>
      </c>
      <c r="AD23" s="103" t="str">
        <f>IFERROR(__xludf.DUMMYFUNCTION("if($C23="""","""",if(join("" - "",{iferror(filter('Student Groupings'!$A:$A,'Student Groupings'!$B:$B=$C23,'Student Groupings'!$H:$H=""Must be Together""),"""");iferror(filter('Student Groupings'!$A:$A,'Student Groupings'!$E:$E=$C23,'Student Groupings'!$H"&amp;":$H=""Must be Together""),"""")})="" - "","""",join("" - "",{iferror(filter('Student Groupings'!$A:$A,'Student Groupings'!$B:$B=$C23,'Student Groupings'!$H:$H=""Must be Together""),"""");iferror(filter('Student Groupings'!$A:$A,'Student Groupings'!$E:$E=$"&amp;"C23,'Student Groupings'!$H:$H=""Must be Together""),"""")})))"),"")</f>
        <v/>
      </c>
      <c r="AE23" s="104"/>
      <c r="AF23" s="104"/>
      <c r="AG23" s="104"/>
      <c r="AH23" s="104"/>
    </row>
    <row r="24">
      <c r="A24" s="101">
        <v>6.0</v>
      </c>
      <c r="B24" s="101">
        <v>31022.0</v>
      </c>
      <c r="C24" s="102" t="s">
        <v>330</v>
      </c>
      <c r="D24" s="52" t="s">
        <v>171</v>
      </c>
      <c r="E24" s="52">
        <v>5.0</v>
      </c>
      <c r="F24" s="52" t="s">
        <v>158</v>
      </c>
      <c r="G24" s="52">
        <v>3.0</v>
      </c>
      <c r="H24" s="52" t="s">
        <v>182</v>
      </c>
      <c r="I24" s="52">
        <v>2.0</v>
      </c>
      <c r="J24" s="52" t="s">
        <v>192</v>
      </c>
      <c r="K24" s="52">
        <v>1.0</v>
      </c>
      <c r="L24" s="52" t="s">
        <v>196</v>
      </c>
      <c r="M24" s="52">
        <v>6.0</v>
      </c>
      <c r="N24" s="52" t="s">
        <v>153</v>
      </c>
      <c r="O24" s="52" t="s">
        <v>130</v>
      </c>
      <c r="P24" s="52" t="s">
        <v>134</v>
      </c>
      <c r="Q24" s="52" t="s">
        <v>111</v>
      </c>
      <c r="R24" s="52" t="s">
        <v>117</v>
      </c>
      <c r="S24" s="52" t="s">
        <v>111</v>
      </c>
      <c r="T24" s="65" t="s">
        <v>27</v>
      </c>
      <c r="U24" s="32">
        <v>1.0</v>
      </c>
      <c r="V24" s="32">
        <v>1.0</v>
      </c>
      <c r="W24" s="32">
        <v>1.0</v>
      </c>
      <c r="X24" s="32">
        <v>1.0</v>
      </c>
      <c r="Y24" s="32">
        <v>1.0</v>
      </c>
      <c r="Z24" s="32">
        <v>1.0</v>
      </c>
      <c r="AA24" s="32">
        <v>6.0</v>
      </c>
      <c r="AB24" s="32">
        <v>0.0</v>
      </c>
      <c r="AC24" s="103" t="str">
        <f>IFERROR(__xludf.DUMMYFUNCTION("if($C24="""","""",if(join("" - "",{iferror(filter('Student Groupings'!$A:$A,'Student Groupings'!$B:$B=$C24,'Student Groupings'!$H:$H=""Can't be Together""),"""");iferror(filter('Student Groupings'!$A:$A,'Student Groupings'!$E:$E=$C24,'Student Groupings'!$"&amp;"H:$H=""Can't be Together""),"""")})="" - "","""",join("" - "",{iferror(filter('Student Groupings'!$A:$A,'Student Groupings'!$B:$B=$C24,'Student Groupings'!$H:$H=""Can't be Together""),"""");iferror(filter('Student Groupings'!$A:$A,'Student Groupings'!$E:$"&amp;"E=$C24,'Student Groupings'!$H:$H=""Can't be Together""),"""")})))"),"")</f>
        <v/>
      </c>
      <c r="AD24" s="103" t="str">
        <f>IFERROR(__xludf.DUMMYFUNCTION("if($C24="""","""",if(join("" - "",{iferror(filter('Student Groupings'!$A:$A,'Student Groupings'!$B:$B=$C24,'Student Groupings'!$H:$H=""Must be Together""),"""");iferror(filter('Student Groupings'!$A:$A,'Student Groupings'!$E:$E=$C24,'Student Groupings'!$H"&amp;":$H=""Must be Together""),"""")})="" - "","""",join("" - "",{iferror(filter('Student Groupings'!$A:$A,'Student Groupings'!$B:$B=$C24,'Student Groupings'!$H:$H=""Must be Together""),"""");iferror(filter('Student Groupings'!$A:$A,'Student Groupings'!$E:$E=$"&amp;"C24,'Student Groupings'!$H:$H=""Must be Together""),"""")})))"),"")</f>
        <v/>
      </c>
      <c r="AE24" s="104"/>
      <c r="AF24" s="104"/>
      <c r="AG24" s="104"/>
      <c r="AH24" s="104"/>
    </row>
    <row r="25">
      <c r="A25" s="101">
        <v>6.0</v>
      </c>
      <c r="B25" s="101">
        <v>31023.0</v>
      </c>
      <c r="C25" s="102" t="s">
        <v>249</v>
      </c>
      <c r="D25" s="52" t="s">
        <v>171</v>
      </c>
      <c r="E25" s="52">
        <v>3.0</v>
      </c>
      <c r="F25" s="52" t="s">
        <v>158</v>
      </c>
      <c r="G25" s="52">
        <v>1.0</v>
      </c>
      <c r="H25" s="52" t="s">
        <v>182</v>
      </c>
      <c r="I25" s="52">
        <v>5.0</v>
      </c>
      <c r="J25" s="52" t="s">
        <v>192</v>
      </c>
      <c r="K25" s="52">
        <v>2.0</v>
      </c>
      <c r="L25" s="52" t="s">
        <v>196</v>
      </c>
      <c r="M25" s="52">
        <v>4.0</v>
      </c>
      <c r="N25" s="52" t="s">
        <v>153</v>
      </c>
      <c r="O25" s="52" t="s">
        <v>109</v>
      </c>
      <c r="P25" s="52" t="s">
        <v>143</v>
      </c>
      <c r="Q25" s="52" t="s">
        <v>120</v>
      </c>
      <c r="R25" s="52" t="s">
        <v>143</v>
      </c>
      <c r="S25" s="52" t="s">
        <v>120</v>
      </c>
      <c r="T25" s="65" t="s">
        <v>143</v>
      </c>
      <c r="U25" s="32">
        <v>1.0</v>
      </c>
      <c r="V25" s="32">
        <v>1.0</v>
      </c>
      <c r="W25" s="32">
        <v>1.0</v>
      </c>
      <c r="X25" s="32">
        <v>1.0</v>
      </c>
      <c r="Y25" s="32">
        <v>1.0</v>
      </c>
      <c r="Z25" s="32">
        <v>1.0</v>
      </c>
      <c r="AA25" s="32">
        <v>6.0</v>
      </c>
      <c r="AB25" s="32">
        <v>0.0</v>
      </c>
      <c r="AC25" s="103" t="str">
        <f>IFERROR(__xludf.DUMMYFUNCTION("if($C25="""","""",if(join("" - "",{iferror(filter('Student Groupings'!$A:$A,'Student Groupings'!$B:$B=$C25,'Student Groupings'!$H:$H=""Can't be Together""),"""");iferror(filter('Student Groupings'!$A:$A,'Student Groupings'!$E:$E=$C25,'Student Groupings'!$"&amp;"H:$H=""Can't be Together""),"""")})="" - "","""",join("" - "",{iferror(filter('Student Groupings'!$A:$A,'Student Groupings'!$B:$B=$C25,'Student Groupings'!$H:$H=""Can't be Together""),"""");iferror(filter('Student Groupings'!$A:$A,'Student Groupings'!$E:$"&amp;"E=$C25,'Student Groupings'!$H:$H=""Can't be Together""),"""")})))"),"")</f>
        <v/>
      </c>
      <c r="AD25" s="103" t="str">
        <f>IFERROR(__xludf.DUMMYFUNCTION("if($C25="""","""",if(join("" - "",{iferror(filter('Student Groupings'!$A:$A,'Student Groupings'!$B:$B=$C25,'Student Groupings'!$H:$H=""Must be Together""),"""");iferror(filter('Student Groupings'!$A:$A,'Student Groupings'!$E:$E=$C25,'Student Groupings'!$H"&amp;":$H=""Must be Together""),"""")})="" - "","""",join("" - "",{iferror(filter('Student Groupings'!$A:$A,'Student Groupings'!$B:$B=$C25,'Student Groupings'!$H:$H=""Must be Together""),"""");iferror(filter('Student Groupings'!$A:$A,'Student Groupings'!$E:$E=$"&amp;"C25,'Student Groupings'!$H:$H=""Must be Together""),"""")})))")," - 34")</f>
        <v> - 34</v>
      </c>
      <c r="AE25" s="105"/>
      <c r="AF25" s="105"/>
      <c r="AG25" s="105"/>
      <c r="AH25" s="105"/>
    </row>
    <row r="26">
      <c r="A26" s="101">
        <v>6.0</v>
      </c>
      <c r="B26" s="101">
        <v>31024.0</v>
      </c>
      <c r="C26" s="102" t="s">
        <v>331</v>
      </c>
      <c r="D26" s="52" t="s">
        <v>171</v>
      </c>
      <c r="E26" s="52">
        <v>6.0</v>
      </c>
      <c r="F26" s="52" t="s">
        <v>158</v>
      </c>
      <c r="G26" s="52">
        <v>4.0</v>
      </c>
      <c r="H26" s="52" t="s">
        <v>182</v>
      </c>
      <c r="I26" s="52">
        <v>3.0</v>
      </c>
      <c r="J26" s="52" t="s">
        <v>192</v>
      </c>
      <c r="K26" s="52">
        <v>5.0</v>
      </c>
      <c r="L26" s="52" t="s">
        <v>196</v>
      </c>
      <c r="M26" s="52">
        <v>1.0</v>
      </c>
      <c r="N26" s="52" t="s">
        <v>153</v>
      </c>
      <c r="O26" s="52" t="s">
        <v>125</v>
      </c>
      <c r="P26" s="52" t="s">
        <v>134</v>
      </c>
      <c r="Q26" s="52" t="s">
        <v>119</v>
      </c>
      <c r="R26" s="52" t="s">
        <v>117</v>
      </c>
      <c r="S26" s="52" t="s">
        <v>119</v>
      </c>
      <c r="T26" s="65" t="s">
        <v>27</v>
      </c>
      <c r="U26" s="32">
        <v>1.0</v>
      </c>
      <c r="V26" s="32">
        <v>1.0</v>
      </c>
      <c r="W26" s="32">
        <v>1.0</v>
      </c>
      <c r="X26" s="32">
        <v>1.0</v>
      </c>
      <c r="Y26" s="32">
        <v>1.0</v>
      </c>
      <c r="Z26" s="32">
        <v>1.0</v>
      </c>
      <c r="AA26" s="32">
        <v>6.0</v>
      </c>
      <c r="AB26" s="32">
        <v>0.0</v>
      </c>
      <c r="AC26" s="103" t="str">
        <f>IFERROR(__xludf.DUMMYFUNCTION("if($C26="""","""",if(join("" - "",{iferror(filter('Student Groupings'!$A:$A,'Student Groupings'!$B:$B=$C26,'Student Groupings'!$H:$H=""Can't be Together""),"""");iferror(filter('Student Groupings'!$A:$A,'Student Groupings'!$E:$E=$C26,'Student Groupings'!$"&amp;"H:$H=""Can't be Together""),"""")})="" - "","""",join("" - "",{iferror(filter('Student Groupings'!$A:$A,'Student Groupings'!$B:$B=$C26,'Student Groupings'!$H:$H=""Can't be Together""),"""");iferror(filter('Student Groupings'!$A:$A,'Student Groupings'!$E:$"&amp;"E=$C26,'Student Groupings'!$H:$H=""Can't be Together""),"""")})))"),"")</f>
        <v/>
      </c>
      <c r="AD26" s="103" t="str">
        <f>IFERROR(__xludf.DUMMYFUNCTION("if($C26="""","""",if(join("" - "",{iferror(filter('Student Groupings'!$A:$A,'Student Groupings'!$B:$B=$C26,'Student Groupings'!$H:$H=""Must be Together""),"""");iferror(filter('Student Groupings'!$A:$A,'Student Groupings'!$E:$E=$C26,'Student Groupings'!$H"&amp;":$H=""Must be Together""),"""")})="" - "","""",join("" - "",{iferror(filter('Student Groupings'!$A:$A,'Student Groupings'!$B:$B=$C26,'Student Groupings'!$H:$H=""Must be Together""),"""");iferror(filter('Student Groupings'!$A:$A,'Student Groupings'!$E:$E=$"&amp;"C26,'Student Groupings'!$H:$H=""Must be Together""),"""")})))"),"")</f>
        <v/>
      </c>
      <c r="AE26" s="104"/>
      <c r="AF26" s="104"/>
      <c r="AG26" s="104"/>
      <c r="AH26" s="104"/>
    </row>
    <row r="27">
      <c r="A27" s="101">
        <v>6.0</v>
      </c>
      <c r="B27" s="101">
        <v>31025.0</v>
      </c>
      <c r="C27" s="102" t="s">
        <v>332</v>
      </c>
      <c r="D27" s="52" t="s">
        <v>173</v>
      </c>
      <c r="E27" s="52">
        <v>3.0</v>
      </c>
      <c r="F27" s="52" t="s">
        <v>158</v>
      </c>
      <c r="G27" s="52">
        <v>6.0</v>
      </c>
      <c r="H27" s="52" t="s">
        <v>182</v>
      </c>
      <c r="I27" s="52">
        <v>1.0</v>
      </c>
      <c r="J27" s="52" t="s">
        <v>194</v>
      </c>
      <c r="K27" s="52">
        <v>2.0</v>
      </c>
      <c r="L27" s="52" t="s">
        <v>198</v>
      </c>
      <c r="M27" s="52">
        <v>4.0</v>
      </c>
      <c r="N27" s="52" t="s">
        <v>153</v>
      </c>
      <c r="O27" s="52" t="s">
        <v>112</v>
      </c>
      <c r="P27" s="52" t="s">
        <v>142</v>
      </c>
      <c r="Q27" s="52" t="s">
        <v>124</v>
      </c>
      <c r="R27" s="52" t="s">
        <v>142</v>
      </c>
      <c r="S27" s="52" t="s">
        <v>124</v>
      </c>
      <c r="T27" s="65" t="s">
        <v>142</v>
      </c>
      <c r="U27" s="32">
        <v>1.0</v>
      </c>
      <c r="V27" s="32">
        <v>1.0</v>
      </c>
      <c r="W27" s="32">
        <v>1.0</v>
      </c>
      <c r="X27" s="32">
        <v>1.0</v>
      </c>
      <c r="Y27" s="32">
        <v>1.0</v>
      </c>
      <c r="Z27" s="32">
        <v>1.0</v>
      </c>
      <c r="AA27" s="32">
        <v>6.0</v>
      </c>
      <c r="AB27" s="32">
        <v>0.0</v>
      </c>
      <c r="AC27" s="103" t="str">
        <f>IFERROR(__xludf.DUMMYFUNCTION("if($C27="""","""",if(join("" - "",{iferror(filter('Student Groupings'!$A:$A,'Student Groupings'!$B:$B=$C27,'Student Groupings'!$H:$H=""Can't be Together""),"""");iferror(filter('Student Groupings'!$A:$A,'Student Groupings'!$E:$E=$C27,'Student Groupings'!$"&amp;"H:$H=""Can't be Together""),"""")})="" - "","""",join("" - "",{iferror(filter('Student Groupings'!$A:$A,'Student Groupings'!$B:$B=$C27,'Student Groupings'!$H:$H=""Can't be Together""),"""");iferror(filter('Student Groupings'!$A:$A,'Student Groupings'!$E:$"&amp;"E=$C27,'Student Groupings'!$H:$H=""Can't be Together""),"""")})))"),"")</f>
        <v/>
      </c>
      <c r="AD27" s="103" t="str">
        <f>IFERROR(__xludf.DUMMYFUNCTION("if($C27="""","""",if(join("" - "",{iferror(filter('Student Groupings'!$A:$A,'Student Groupings'!$B:$B=$C27,'Student Groupings'!$H:$H=""Must be Together""),"""");iferror(filter('Student Groupings'!$A:$A,'Student Groupings'!$E:$E=$C27,'Student Groupings'!$H"&amp;":$H=""Must be Together""),"""")})="" - "","""",join("" - "",{iferror(filter('Student Groupings'!$A:$A,'Student Groupings'!$B:$B=$C27,'Student Groupings'!$H:$H=""Must be Together""),"""");iferror(filter('Student Groupings'!$A:$A,'Student Groupings'!$E:$E=$"&amp;"C27,'Student Groupings'!$H:$H=""Must be Together""),"""")})))"),"")</f>
        <v/>
      </c>
      <c r="AE27" s="104"/>
      <c r="AF27" s="104"/>
      <c r="AG27" s="104"/>
      <c r="AH27" s="104"/>
    </row>
    <row r="28">
      <c r="A28" s="101">
        <v>6.0</v>
      </c>
      <c r="B28" s="101">
        <v>31026.0</v>
      </c>
      <c r="C28" s="102" t="s">
        <v>333</v>
      </c>
      <c r="D28" s="52" t="s">
        <v>171</v>
      </c>
      <c r="E28" s="52">
        <v>5.0</v>
      </c>
      <c r="F28" s="52" t="s">
        <v>158</v>
      </c>
      <c r="G28" s="52">
        <v>3.0</v>
      </c>
      <c r="H28" s="52" t="s">
        <v>182</v>
      </c>
      <c r="I28" s="52">
        <v>2.0</v>
      </c>
      <c r="J28" s="52" t="s">
        <v>192</v>
      </c>
      <c r="K28" s="52">
        <v>1.0</v>
      </c>
      <c r="L28" s="52" t="s">
        <v>196</v>
      </c>
      <c r="M28" s="52">
        <v>6.0</v>
      </c>
      <c r="N28" s="52" t="s">
        <v>153</v>
      </c>
      <c r="O28" s="52" t="s">
        <v>130</v>
      </c>
      <c r="P28" s="52" t="s">
        <v>117</v>
      </c>
      <c r="Q28" s="52" t="s">
        <v>111</v>
      </c>
      <c r="R28" s="52" t="s">
        <v>134</v>
      </c>
      <c r="S28" s="52" t="s">
        <v>111</v>
      </c>
      <c r="T28" s="65" t="s">
        <v>27</v>
      </c>
      <c r="U28" s="32">
        <v>1.0</v>
      </c>
      <c r="V28" s="32">
        <v>1.0</v>
      </c>
      <c r="W28" s="32">
        <v>1.0</v>
      </c>
      <c r="X28" s="32">
        <v>1.0</v>
      </c>
      <c r="Y28" s="32">
        <v>1.0</v>
      </c>
      <c r="Z28" s="32">
        <v>1.0</v>
      </c>
      <c r="AA28" s="32">
        <v>6.0</v>
      </c>
      <c r="AB28" s="32">
        <v>0.0</v>
      </c>
      <c r="AC28" s="103" t="str">
        <f>IFERROR(__xludf.DUMMYFUNCTION("if($C28="""","""",if(join("" - "",{iferror(filter('Student Groupings'!$A:$A,'Student Groupings'!$B:$B=$C28,'Student Groupings'!$H:$H=""Can't be Together""),"""");iferror(filter('Student Groupings'!$A:$A,'Student Groupings'!$E:$E=$C28,'Student Groupings'!$"&amp;"H:$H=""Can't be Together""),"""")})="" - "","""",join("" - "",{iferror(filter('Student Groupings'!$A:$A,'Student Groupings'!$B:$B=$C28,'Student Groupings'!$H:$H=""Can't be Together""),"""");iferror(filter('Student Groupings'!$A:$A,'Student Groupings'!$E:$"&amp;"E=$C28,'Student Groupings'!$H:$H=""Can't be Together""),"""")})))"),"")</f>
        <v/>
      </c>
      <c r="AD28" s="103" t="str">
        <f>IFERROR(__xludf.DUMMYFUNCTION("if($C28="""","""",if(join("" - "",{iferror(filter('Student Groupings'!$A:$A,'Student Groupings'!$B:$B=$C28,'Student Groupings'!$H:$H=""Must be Together""),"""");iferror(filter('Student Groupings'!$A:$A,'Student Groupings'!$E:$E=$C28,'Student Groupings'!$H"&amp;":$H=""Must be Together""),"""")})="" - "","""",join("" - "",{iferror(filter('Student Groupings'!$A:$A,'Student Groupings'!$B:$B=$C28,'Student Groupings'!$H:$H=""Must be Together""),"""");iferror(filter('Student Groupings'!$A:$A,'Student Groupings'!$E:$E=$"&amp;"C28,'Student Groupings'!$H:$H=""Must be Together""),"""")})))"),"")</f>
        <v/>
      </c>
      <c r="AE28" s="104"/>
      <c r="AF28" s="104"/>
      <c r="AG28" s="104"/>
      <c r="AH28" s="104"/>
    </row>
    <row r="29">
      <c r="A29" s="101">
        <v>6.0</v>
      </c>
      <c r="B29" s="101">
        <v>31027.0</v>
      </c>
      <c r="C29" s="102" t="s">
        <v>334</v>
      </c>
      <c r="D29" s="52" t="s">
        <v>171</v>
      </c>
      <c r="E29" s="52">
        <v>2.0</v>
      </c>
      <c r="F29" s="52" t="s">
        <v>158</v>
      </c>
      <c r="G29" s="52">
        <v>5.0</v>
      </c>
      <c r="H29" s="52" t="s">
        <v>182</v>
      </c>
      <c r="I29" s="52">
        <v>1.0</v>
      </c>
      <c r="J29" s="52" t="s">
        <v>192</v>
      </c>
      <c r="K29" s="52">
        <v>4.0</v>
      </c>
      <c r="L29" s="52" t="s">
        <v>196</v>
      </c>
      <c r="M29" s="52">
        <v>3.0</v>
      </c>
      <c r="N29" s="52" t="s">
        <v>153</v>
      </c>
      <c r="O29" s="52" t="s">
        <v>120</v>
      </c>
      <c r="P29" s="52" t="s">
        <v>134</v>
      </c>
      <c r="Q29" s="52" t="s">
        <v>109</v>
      </c>
      <c r="R29" s="52" t="s">
        <v>117</v>
      </c>
      <c r="S29" s="52" t="s">
        <v>109</v>
      </c>
      <c r="T29" s="65" t="s">
        <v>27</v>
      </c>
      <c r="U29" s="32">
        <v>1.0</v>
      </c>
      <c r="V29" s="32">
        <v>1.0</v>
      </c>
      <c r="W29" s="32">
        <v>1.0</v>
      </c>
      <c r="X29" s="32">
        <v>1.0</v>
      </c>
      <c r="Y29" s="32">
        <v>1.0</v>
      </c>
      <c r="Z29" s="32">
        <v>1.0</v>
      </c>
      <c r="AA29" s="32">
        <v>6.0</v>
      </c>
      <c r="AB29" s="32">
        <v>0.0</v>
      </c>
      <c r="AC29" s="103" t="str">
        <f>IFERROR(__xludf.DUMMYFUNCTION("if($C29="""","""",if(join("" - "",{iferror(filter('Student Groupings'!$A:$A,'Student Groupings'!$B:$B=$C29,'Student Groupings'!$H:$H=""Can't be Together""),"""");iferror(filter('Student Groupings'!$A:$A,'Student Groupings'!$E:$E=$C29,'Student Groupings'!$"&amp;"H:$H=""Can't be Together""),"""")})="" - "","""",join("" - "",{iferror(filter('Student Groupings'!$A:$A,'Student Groupings'!$B:$B=$C29,'Student Groupings'!$H:$H=""Can't be Together""),"""");iferror(filter('Student Groupings'!$A:$A,'Student Groupings'!$E:$"&amp;"E=$C29,'Student Groupings'!$H:$H=""Can't be Together""),"""")})))"),"")</f>
        <v/>
      </c>
      <c r="AD29" s="103" t="str">
        <f>IFERROR(__xludf.DUMMYFUNCTION("if($C29="""","""",if(join("" - "",{iferror(filter('Student Groupings'!$A:$A,'Student Groupings'!$B:$B=$C29,'Student Groupings'!$H:$H=""Must be Together""),"""");iferror(filter('Student Groupings'!$A:$A,'Student Groupings'!$E:$E=$C29,'Student Groupings'!$H"&amp;":$H=""Must be Together""),"""")})="" - "","""",join("" - "",{iferror(filter('Student Groupings'!$A:$A,'Student Groupings'!$B:$B=$C29,'Student Groupings'!$H:$H=""Must be Together""),"""");iferror(filter('Student Groupings'!$A:$A,'Student Groupings'!$E:$E=$"&amp;"C29,'Student Groupings'!$H:$H=""Must be Together""),"""")})))"),"")</f>
        <v/>
      </c>
      <c r="AE29" s="104"/>
      <c r="AF29" s="104"/>
      <c r="AG29" s="104"/>
      <c r="AH29" s="104"/>
    </row>
    <row r="30">
      <c r="A30" s="101">
        <v>6.0</v>
      </c>
      <c r="B30" s="101">
        <v>31028.0</v>
      </c>
      <c r="C30" s="102" t="s">
        <v>335</v>
      </c>
      <c r="D30" s="52" t="s">
        <v>171</v>
      </c>
      <c r="E30" s="52">
        <v>6.0</v>
      </c>
      <c r="F30" s="52" t="s">
        <v>158</v>
      </c>
      <c r="G30" s="52">
        <v>4.0</v>
      </c>
      <c r="H30" s="52" t="s">
        <v>182</v>
      </c>
      <c r="I30" s="52">
        <v>3.0</v>
      </c>
      <c r="J30" s="52" t="s">
        <v>192</v>
      </c>
      <c r="K30" s="52">
        <v>5.0</v>
      </c>
      <c r="L30" s="52" t="s">
        <v>196</v>
      </c>
      <c r="M30" s="52">
        <v>1.0</v>
      </c>
      <c r="N30" s="52" t="s">
        <v>153</v>
      </c>
      <c r="O30" s="52" t="s">
        <v>125</v>
      </c>
      <c r="P30" s="52" t="s">
        <v>117</v>
      </c>
      <c r="Q30" s="52" t="s">
        <v>119</v>
      </c>
      <c r="R30" s="52" t="s">
        <v>134</v>
      </c>
      <c r="S30" s="52" t="s">
        <v>119</v>
      </c>
      <c r="T30" s="65" t="s">
        <v>8</v>
      </c>
      <c r="U30" s="32">
        <v>1.0</v>
      </c>
      <c r="V30" s="32">
        <v>1.0</v>
      </c>
      <c r="W30" s="32">
        <v>1.0</v>
      </c>
      <c r="X30" s="32">
        <v>1.0</v>
      </c>
      <c r="Y30" s="32">
        <v>1.0</v>
      </c>
      <c r="Z30" s="32">
        <v>1.0</v>
      </c>
      <c r="AA30" s="32">
        <v>6.0</v>
      </c>
      <c r="AB30" s="32">
        <v>0.0</v>
      </c>
      <c r="AC30" s="103" t="str">
        <f>IFERROR(__xludf.DUMMYFUNCTION("if($C30="""","""",if(join("" - "",{iferror(filter('Student Groupings'!$A:$A,'Student Groupings'!$B:$B=$C30,'Student Groupings'!$H:$H=""Can't be Together""),"""");iferror(filter('Student Groupings'!$A:$A,'Student Groupings'!$E:$E=$C30,'Student Groupings'!$"&amp;"H:$H=""Can't be Together""),"""")})="" - "","""",join("" - "",{iferror(filter('Student Groupings'!$A:$A,'Student Groupings'!$B:$B=$C30,'Student Groupings'!$H:$H=""Can't be Together""),"""");iferror(filter('Student Groupings'!$A:$A,'Student Groupings'!$E:$"&amp;"E=$C30,'Student Groupings'!$H:$H=""Can't be Together""),"""")})))"),"")</f>
        <v/>
      </c>
      <c r="AD30" s="103" t="str">
        <f>IFERROR(__xludf.DUMMYFUNCTION("if($C30="""","""",if(join("" - "",{iferror(filter('Student Groupings'!$A:$A,'Student Groupings'!$B:$B=$C30,'Student Groupings'!$H:$H=""Must be Together""),"""");iferror(filter('Student Groupings'!$A:$A,'Student Groupings'!$E:$E=$C30,'Student Groupings'!$H"&amp;":$H=""Must be Together""),"""")})="" - "","""",join("" - "",{iferror(filter('Student Groupings'!$A:$A,'Student Groupings'!$B:$B=$C30,'Student Groupings'!$H:$H=""Must be Together""),"""");iferror(filter('Student Groupings'!$A:$A,'Student Groupings'!$E:$E=$"&amp;"C30,'Student Groupings'!$H:$H=""Must be Together""),"""")})))"),"")</f>
        <v/>
      </c>
      <c r="AE30" s="105"/>
      <c r="AF30" s="105"/>
      <c r="AG30" s="104"/>
      <c r="AH30" s="104"/>
    </row>
    <row r="31">
      <c r="A31" s="101">
        <v>6.0</v>
      </c>
      <c r="B31" s="101">
        <v>31029.0</v>
      </c>
      <c r="C31" s="102" t="s">
        <v>336</v>
      </c>
      <c r="D31" s="52" t="s">
        <v>171</v>
      </c>
      <c r="E31" s="52">
        <v>3.0</v>
      </c>
      <c r="F31" s="52" t="s">
        <v>159</v>
      </c>
      <c r="G31" s="52">
        <v>5.0</v>
      </c>
      <c r="H31" s="52" t="s">
        <v>182</v>
      </c>
      <c r="I31" s="52">
        <v>1.0</v>
      </c>
      <c r="J31" s="52" t="s">
        <v>192</v>
      </c>
      <c r="K31" s="52">
        <v>2.0</v>
      </c>
      <c r="L31" s="52" t="s">
        <v>196</v>
      </c>
      <c r="M31" s="52">
        <v>4.0</v>
      </c>
      <c r="N31" s="52" t="s">
        <v>153</v>
      </c>
      <c r="O31" s="52" t="s">
        <v>109</v>
      </c>
      <c r="P31" s="52" t="s">
        <v>143</v>
      </c>
      <c r="Q31" s="52" t="s">
        <v>120</v>
      </c>
      <c r="R31" s="52" t="s">
        <v>143</v>
      </c>
      <c r="S31" s="52" t="s">
        <v>120</v>
      </c>
      <c r="T31" s="65" t="s">
        <v>143</v>
      </c>
      <c r="U31" s="32">
        <v>1.0</v>
      </c>
      <c r="V31" s="32">
        <v>1.0</v>
      </c>
      <c r="W31" s="32">
        <v>1.0</v>
      </c>
      <c r="X31" s="32">
        <v>1.0</v>
      </c>
      <c r="Y31" s="32">
        <v>1.0</v>
      </c>
      <c r="Z31" s="32">
        <v>1.0</v>
      </c>
      <c r="AA31" s="32">
        <v>6.0</v>
      </c>
      <c r="AB31" s="32">
        <v>0.0</v>
      </c>
      <c r="AC31" s="103" t="str">
        <f>IFERROR(__xludf.DUMMYFUNCTION("if($C31="""","""",if(join("" - "",{iferror(filter('Student Groupings'!$A:$A,'Student Groupings'!$B:$B=$C31,'Student Groupings'!$H:$H=""Can't be Together""),"""");iferror(filter('Student Groupings'!$A:$A,'Student Groupings'!$E:$E=$C31,'Student Groupings'!$"&amp;"H:$H=""Can't be Together""),"""")})="" - "","""",join("" - "",{iferror(filter('Student Groupings'!$A:$A,'Student Groupings'!$B:$B=$C31,'Student Groupings'!$H:$H=""Can't be Together""),"""");iferror(filter('Student Groupings'!$A:$A,'Student Groupings'!$E:$"&amp;"E=$C31,'Student Groupings'!$H:$H=""Can't be Together""),"""")})))"),"")</f>
        <v/>
      </c>
      <c r="AD31" s="103" t="str">
        <f>IFERROR(__xludf.DUMMYFUNCTION("if($C31="""","""",if(join("" - "",{iferror(filter('Student Groupings'!$A:$A,'Student Groupings'!$B:$B=$C31,'Student Groupings'!$H:$H=""Must be Together""),"""");iferror(filter('Student Groupings'!$A:$A,'Student Groupings'!$E:$E=$C31,'Student Groupings'!$H"&amp;":$H=""Must be Together""),"""")})="" - "","""",join("" - "",{iferror(filter('Student Groupings'!$A:$A,'Student Groupings'!$B:$B=$C31,'Student Groupings'!$H:$H=""Must be Together""),"""");iferror(filter('Student Groupings'!$A:$A,'Student Groupings'!$E:$E=$"&amp;"C31,'Student Groupings'!$H:$H=""Must be Together""),"""")})))"),"")</f>
        <v/>
      </c>
      <c r="AE31" s="104"/>
      <c r="AF31" s="104"/>
      <c r="AG31" s="104"/>
      <c r="AH31" s="104"/>
    </row>
    <row r="32">
      <c r="A32" s="101">
        <v>6.0</v>
      </c>
      <c r="B32" s="101">
        <v>31030.0</v>
      </c>
      <c r="C32" s="102" t="s">
        <v>337</v>
      </c>
      <c r="D32" s="52" t="s">
        <v>173</v>
      </c>
      <c r="E32" s="52">
        <v>3.0</v>
      </c>
      <c r="F32" s="52" t="s">
        <v>158</v>
      </c>
      <c r="G32" s="52">
        <v>6.0</v>
      </c>
      <c r="H32" s="52" t="s">
        <v>181</v>
      </c>
      <c r="I32" s="52">
        <v>1.0</v>
      </c>
      <c r="J32" s="52" t="s">
        <v>194</v>
      </c>
      <c r="K32" s="52">
        <v>2.0</v>
      </c>
      <c r="L32" s="52" t="s">
        <v>198</v>
      </c>
      <c r="M32" s="52">
        <v>4.0</v>
      </c>
      <c r="N32" s="52" t="s">
        <v>153</v>
      </c>
      <c r="O32" s="52" t="s">
        <v>112</v>
      </c>
      <c r="P32" s="52" t="s">
        <v>142</v>
      </c>
      <c r="Q32" s="52" t="s">
        <v>124</v>
      </c>
      <c r="R32" s="52" t="s">
        <v>142</v>
      </c>
      <c r="S32" s="52" t="s">
        <v>124</v>
      </c>
      <c r="T32" s="65" t="s">
        <v>142</v>
      </c>
      <c r="U32" s="32">
        <v>1.0</v>
      </c>
      <c r="V32" s="32">
        <v>1.0</v>
      </c>
      <c r="W32" s="32">
        <v>1.0</v>
      </c>
      <c r="X32" s="32">
        <v>1.0</v>
      </c>
      <c r="Y32" s="32">
        <v>1.0</v>
      </c>
      <c r="Z32" s="32">
        <v>1.0</v>
      </c>
      <c r="AA32" s="32">
        <v>6.0</v>
      </c>
      <c r="AB32" s="32">
        <v>0.0</v>
      </c>
      <c r="AC32" s="103" t="str">
        <f>IFERROR(__xludf.DUMMYFUNCTION("if($C32="""","""",if(join("" - "",{iferror(filter('Student Groupings'!$A:$A,'Student Groupings'!$B:$B=$C32,'Student Groupings'!$H:$H=""Can't be Together""),"""");iferror(filter('Student Groupings'!$A:$A,'Student Groupings'!$E:$E=$C32,'Student Groupings'!$"&amp;"H:$H=""Can't be Together""),"""")})="" - "","""",join("" - "",{iferror(filter('Student Groupings'!$A:$A,'Student Groupings'!$B:$B=$C32,'Student Groupings'!$H:$H=""Can't be Together""),"""");iferror(filter('Student Groupings'!$A:$A,'Student Groupings'!$E:$"&amp;"E=$C32,'Student Groupings'!$H:$H=""Can't be Together""),"""")})))"),"")</f>
        <v/>
      </c>
      <c r="AD32" s="103" t="str">
        <f>IFERROR(__xludf.DUMMYFUNCTION("if($C32="""","""",if(join("" - "",{iferror(filter('Student Groupings'!$A:$A,'Student Groupings'!$B:$B=$C32,'Student Groupings'!$H:$H=""Must be Together""),"""");iferror(filter('Student Groupings'!$A:$A,'Student Groupings'!$E:$E=$C32,'Student Groupings'!$H"&amp;":$H=""Must be Together""),"""")})="" - "","""",join("" - "",{iferror(filter('Student Groupings'!$A:$A,'Student Groupings'!$B:$B=$C32,'Student Groupings'!$H:$H=""Must be Together""),"""");iferror(filter('Student Groupings'!$A:$A,'Student Groupings'!$E:$E=$"&amp;"C32,'Student Groupings'!$H:$H=""Must be Together""),"""")})))"),"")</f>
        <v/>
      </c>
      <c r="AE32" s="104"/>
      <c r="AF32" s="104"/>
      <c r="AG32" s="104"/>
      <c r="AH32" s="104"/>
    </row>
    <row r="33">
      <c r="A33" s="101">
        <v>6.0</v>
      </c>
      <c r="B33" s="101">
        <v>31032.0</v>
      </c>
      <c r="C33" s="102" t="s">
        <v>338</v>
      </c>
      <c r="D33" s="52" t="s">
        <v>171</v>
      </c>
      <c r="E33" s="52">
        <v>3.0</v>
      </c>
      <c r="F33" s="52" t="s">
        <v>158</v>
      </c>
      <c r="G33" s="52">
        <v>1.0</v>
      </c>
      <c r="H33" s="52" t="s">
        <v>182</v>
      </c>
      <c r="I33" s="52">
        <v>6.0</v>
      </c>
      <c r="J33" s="52" t="s">
        <v>192</v>
      </c>
      <c r="K33" s="52">
        <v>2.0</v>
      </c>
      <c r="L33" s="52" t="s">
        <v>196</v>
      </c>
      <c r="M33" s="52">
        <v>4.0</v>
      </c>
      <c r="N33" s="52" t="s">
        <v>153</v>
      </c>
      <c r="O33" s="52" t="s">
        <v>112</v>
      </c>
      <c r="P33" s="52" t="s">
        <v>142</v>
      </c>
      <c r="Q33" s="52" t="s">
        <v>124</v>
      </c>
      <c r="R33" s="52" t="s">
        <v>142</v>
      </c>
      <c r="S33" s="52" t="s">
        <v>124</v>
      </c>
      <c r="T33" s="65" t="s">
        <v>142</v>
      </c>
      <c r="U33" s="32">
        <v>1.0</v>
      </c>
      <c r="V33" s="32">
        <v>1.0</v>
      </c>
      <c r="W33" s="32">
        <v>1.0</v>
      </c>
      <c r="X33" s="32">
        <v>1.0</v>
      </c>
      <c r="Y33" s="32">
        <v>1.0</v>
      </c>
      <c r="Z33" s="32">
        <v>1.0</v>
      </c>
      <c r="AA33" s="32">
        <v>6.0</v>
      </c>
      <c r="AB33" s="32">
        <v>0.0</v>
      </c>
      <c r="AC33" s="103" t="str">
        <f>IFERROR(__xludf.DUMMYFUNCTION("if($C33="""","""",if(join("" - "",{iferror(filter('Student Groupings'!$A:$A,'Student Groupings'!$B:$B=$C33,'Student Groupings'!$H:$H=""Can't be Together""),"""");iferror(filter('Student Groupings'!$A:$A,'Student Groupings'!$E:$E=$C33,'Student Groupings'!$"&amp;"H:$H=""Can't be Together""),"""")})="" - "","""",join("" - "",{iferror(filter('Student Groupings'!$A:$A,'Student Groupings'!$B:$B=$C33,'Student Groupings'!$H:$H=""Can't be Together""),"""");iferror(filter('Student Groupings'!$A:$A,'Student Groupings'!$E:$"&amp;"E=$C33,'Student Groupings'!$H:$H=""Can't be Together""),"""")})))"),"")</f>
        <v/>
      </c>
      <c r="AD33" s="103" t="str">
        <f>IFERROR(__xludf.DUMMYFUNCTION("if($C33="""","""",if(join("" - "",{iferror(filter('Student Groupings'!$A:$A,'Student Groupings'!$B:$B=$C33,'Student Groupings'!$H:$H=""Must be Together""),"""");iferror(filter('Student Groupings'!$A:$A,'Student Groupings'!$E:$E=$C33,'Student Groupings'!$H"&amp;":$H=""Must be Together""),"""")})="" - "","""",join("" - "",{iferror(filter('Student Groupings'!$A:$A,'Student Groupings'!$B:$B=$C33,'Student Groupings'!$H:$H=""Must be Together""),"""");iferror(filter('Student Groupings'!$A:$A,'Student Groupings'!$E:$E=$"&amp;"C33,'Student Groupings'!$H:$H=""Must be Together""),"""")})))"),"")</f>
        <v/>
      </c>
      <c r="AE33" s="104"/>
      <c r="AF33" s="104"/>
      <c r="AG33" s="104"/>
      <c r="AH33" s="104"/>
    </row>
    <row r="34">
      <c r="A34" s="101">
        <v>6.0</v>
      </c>
      <c r="B34" s="101">
        <v>31031.0</v>
      </c>
      <c r="C34" s="102" t="s">
        <v>226</v>
      </c>
      <c r="D34" s="52" t="s">
        <v>171</v>
      </c>
      <c r="E34" s="52">
        <v>2.0</v>
      </c>
      <c r="F34" s="52" t="s">
        <v>158</v>
      </c>
      <c r="G34" s="52">
        <v>6.0</v>
      </c>
      <c r="H34" s="52" t="s">
        <v>181</v>
      </c>
      <c r="I34" s="52">
        <v>1.0</v>
      </c>
      <c r="J34" s="52" t="s">
        <v>192</v>
      </c>
      <c r="K34" s="52">
        <v>4.0</v>
      </c>
      <c r="L34" s="52" t="s">
        <v>196</v>
      </c>
      <c r="M34" s="52">
        <v>3.0</v>
      </c>
      <c r="N34" s="52" t="s">
        <v>153</v>
      </c>
      <c r="O34" s="52" t="s">
        <v>112</v>
      </c>
      <c r="P34" s="52" t="s">
        <v>142</v>
      </c>
      <c r="Q34" s="52" t="s">
        <v>124</v>
      </c>
      <c r="R34" s="52" t="s">
        <v>142</v>
      </c>
      <c r="S34" s="52" t="s">
        <v>124</v>
      </c>
      <c r="T34" s="65" t="s">
        <v>142</v>
      </c>
      <c r="U34" s="32">
        <v>1.0</v>
      </c>
      <c r="V34" s="32">
        <v>1.0</v>
      </c>
      <c r="W34" s="32">
        <v>1.0</v>
      </c>
      <c r="X34" s="32">
        <v>1.0</v>
      </c>
      <c r="Y34" s="32">
        <v>1.0</v>
      </c>
      <c r="Z34" s="32">
        <v>1.0</v>
      </c>
      <c r="AA34" s="32">
        <v>6.0</v>
      </c>
      <c r="AB34" s="32">
        <v>0.0</v>
      </c>
      <c r="AC34" s="103" t="str">
        <f>IFERROR(__xludf.DUMMYFUNCTION("if($C34="""","""",if(join("" - "",{iferror(filter('Student Groupings'!$A:$A,'Student Groupings'!$B:$B=$C34,'Student Groupings'!$H:$H=""Can't be Together""),"""");iferror(filter('Student Groupings'!$A:$A,'Student Groupings'!$E:$E=$C34,'Student Groupings'!$"&amp;"H:$H=""Can't be Together""),"""")})="" - "","""",join("" - "",{iferror(filter('Student Groupings'!$A:$A,'Student Groupings'!$B:$B=$C34,'Student Groupings'!$H:$H=""Can't be Together""),"""");iferror(filter('Student Groupings'!$A:$A,'Student Groupings'!$E:$"&amp;"E=$C34,'Student Groupings'!$H:$H=""Can't be Together""),"""")})))"),"")</f>
        <v/>
      </c>
      <c r="AD34" s="103" t="str">
        <f>IFERROR(__xludf.DUMMYFUNCTION("if($C34="""","""",if(join("" - "",{iferror(filter('Student Groupings'!$A:$A,'Student Groupings'!$B:$B=$C34,'Student Groupings'!$H:$H=""Must be Together""),"""");iferror(filter('Student Groupings'!$A:$A,'Student Groupings'!$E:$E=$C34,'Student Groupings'!$H"&amp;":$H=""Must be Together""),"""")})="" - "","""",join("" - "",{iferror(filter('Student Groupings'!$A:$A,'Student Groupings'!$B:$B=$C34,'Student Groupings'!$H:$H=""Must be Together""),"""");iferror(filter('Student Groupings'!$A:$A,'Student Groupings'!$E:$E=$"&amp;"C34,'Student Groupings'!$H:$H=""Must be Together""),"""")})))")," - 14")</f>
        <v> - 14</v>
      </c>
      <c r="AE34" s="104"/>
      <c r="AF34" s="104"/>
      <c r="AG34" s="105"/>
      <c r="AH34" s="105"/>
    </row>
    <row r="35">
      <c r="A35" s="101">
        <v>6.0</v>
      </c>
      <c r="B35" s="101">
        <v>31168.0</v>
      </c>
      <c r="C35" s="102" t="s">
        <v>339</v>
      </c>
      <c r="D35" s="52" t="s">
        <v>171</v>
      </c>
      <c r="E35" s="52">
        <v>4.0</v>
      </c>
      <c r="F35" s="52" t="s">
        <v>158</v>
      </c>
      <c r="G35" s="52">
        <v>5.0</v>
      </c>
      <c r="H35" s="52" t="s">
        <v>182</v>
      </c>
      <c r="I35" s="52">
        <v>6.0</v>
      </c>
      <c r="J35" s="52" t="s">
        <v>192</v>
      </c>
      <c r="K35" s="52">
        <v>3.0</v>
      </c>
      <c r="L35" s="52" t="s">
        <v>197</v>
      </c>
      <c r="M35" s="52">
        <v>2.0</v>
      </c>
      <c r="N35" s="52" t="s">
        <v>153</v>
      </c>
      <c r="O35" s="52" t="s">
        <v>108</v>
      </c>
      <c r="P35" s="52" t="s">
        <v>134</v>
      </c>
      <c r="Q35" s="52" t="s">
        <v>129</v>
      </c>
      <c r="R35" s="52" t="s">
        <v>117</v>
      </c>
      <c r="S35" s="52" t="s">
        <v>129</v>
      </c>
      <c r="T35" s="65" t="s">
        <v>27</v>
      </c>
      <c r="U35" s="32">
        <v>1.0</v>
      </c>
      <c r="V35" s="32">
        <v>1.0</v>
      </c>
      <c r="W35" s="32">
        <v>1.0</v>
      </c>
      <c r="X35" s="32">
        <v>1.0</v>
      </c>
      <c r="Y35" s="32">
        <v>1.0</v>
      </c>
      <c r="Z35" s="32">
        <v>1.0</v>
      </c>
      <c r="AA35" s="32">
        <v>6.0</v>
      </c>
      <c r="AB35" s="32">
        <v>0.0</v>
      </c>
      <c r="AC35" s="103" t="str">
        <f>IFERROR(__xludf.DUMMYFUNCTION("if($C35="""","""",if(join("" - "",{iferror(filter('Student Groupings'!$A:$A,'Student Groupings'!$B:$B=$C35,'Student Groupings'!$H:$H=""Can't be Together""),"""");iferror(filter('Student Groupings'!$A:$A,'Student Groupings'!$E:$E=$C35,'Student Groupings'!$"&amp;"H:$H=""Can't be Together""),"""")})="" - "","""",join("" - "",{iferror(filter('Student Groupings'!$A:$A,'Student Groupings'!$B:$B=$C35,'Student Groupings'!$H:$H=""Can't be Together""),"""");iferror(filter('Student Groupings'!$A:$A,'Student Groupings'!$E:$"&amp;"E=$C35,'Student Groupings'!$H:$H=""Can't be Together""),"""")})))"),"")</f>
        <v/>
      </c>
      <c r="AD35" s="103" t="str">
        <f>IFERROR(__xludf.DUMMYFUNCTION("if($C35="""","""",if(join("" - "",{iferror(filter('Student Groupings'!$A:$A,'Student Groupings'!$B:$B=$C35,'Student Groupings'!$H:$H=""Must be Together""),"""");iferror(filter('Student Groupings'!$A:$A,'Student Groupings'!$E:$E=$C35,'Student Groupings'!$H"&amp;":$H=""Must be Together""),"""")})="" - "","""",join("" - "",{iferror(filter('Student Groupings'!$A:$A,'Student Groupings'!$B:$B=$C35,'Student Groupings'!$H:$H=""Must be Together""),"""");iferror(filter('Student Groupings'!$A:$A,'Student Groupings'!$E:$E=$"&amp;"C35,'Student Groupings'!$H:$H=""Must be Together""),"""")})))"),"")</f>
        <v/>
      </c>
      <c r="AE35" s="105">
        <v>1.0</v>
      </c>
      <c r="AF35" s="104"/>
      <c r="AG35" s="104"/>
      <c r="AH35" s="104"/>
    </row>
    <row r="36">
      <c r="A36" s="101">
        <v>6.0</v>
      </c>
      <c r="B36" s="101">
        <v>31163.0</v>
      </c>
      <c r="C36" s="102" t="s">
        <v>340</v>
      </c>
      <c r="D36" s="52" t="s">
        <v>171</v>
      </c>
      <c r="E36" s="52">
        <v>5.0</v>
      </c>
      <c r="F36" s="52" t="s">
        <v>158</v>
      </c>
      <c r="G36" s="52">
        <v>4.0</v>
      </c>
      <c r="H36" s="52" t="s">
        <v>182</v>
      </c>
      <c r="I36" s="52">
        <v>3.0</v>
      </c>
      <c r="J36" s="52" t="s">
        <v>192</v>
      </c>
      <c r="K36" s="52">
        <v>1.0</v>
      </c>
      <c r="L36" s="52" t="s">
        <v>196</v>
      </c>
      <c r="M36" s="52">
        <v>6.0</v>
      </c>
      <c r="N36" s="52" t="s">
        <v>153</v>
      </c>
      <c r="O36" s="52" t="s">
        <v>125</v>
      </c>
      <c r="P36" s="52" t="s">
        <v>134</v>
      </c>
      <c r="Q36" s="52" t="s">
        <v>119</v>
      </c>
      <c r="R36" s="52" t="s">
        <v>117</v>
      </c>
      <c r="S36" s="52" t="s">
        <v>119</v>
      </c>
      <c r="T36" s="65" t="s">
        <v>8</v>
      </c>
      <c r="U36" s="32">
        <v>1.0</v>
      </c>
      <c r="V36" s="32">
        <v>1.0</v>
      </c>
      <c r="W36" s="32">
        <v>1.0</v>
      </c>
      <c r="X36" s="32">
        <v>1.0</v>
      </c>
      <c r="Y36" s="32">
        <v>1.0</v>
      </c>
      <c r="Z36" s="32">
        <v>1.0</v>
      </c>
      <c r="AA36" s="32">
        <v>6.0</v>
      </c>
      <c r="AB36" s="32">
        <v>0.0</v>
      </c>
      <c r="AC36" s="103" t="str">
        <f>IFERROR(__xludf.DUMMYFUNCTION("if($C36="""","""",if(join("" - "",{iferror(filter('Student Groupings'!$A:$A,'Student Groupings'!$B:$B=$C36,'Student Groupings'!$H:$H=""Can't be Together""),"""");iferror(filter('Student Groupings'!$A:$A,'Student Groupings'!$E:$E=$C36,'Student Groupings'!$"&amp;"H:$H=""Can't be Together""),"""")})="" - "","""",join("" - "",{iferror(filter('Student Groupings'!$A:$A,'Student Groupings'!$B:$B=$C36,'Student Groupings'!$H:$H=""Can't be Together""),"""");iferror(filter('Student Groupings'!$A:$A,'Student Groupings'!$E:$"&amp;"E=$C36,'Student Groupings'!$H:$H=""Can't be Together""),"""")})))"),"")</f>
        <v/>
      </c>
      <c r="AD36" s="103" t="str">
        <f>IFERROR(__xludf.DUMMYFUNCTION("if($C36="""","""",if(join("" - "",{iferror(filter('Student Groupings'!$A:$A,'Student Groupings'!$B:$B=$C36,'Student Groupings'!$H:$H=""Must be Together""),"""");iferror(filter('Student Groupings'!$A:$A,'Student Groupings'!$E:$E=$C36,'Student Groupings'!$H"&amp;":$H=""Must be Together""),"""")})="" - "","""",join("" - "",{iferror(filter('Student Groupings'!$A:$A,'Student Groupings'!$B:$B=$C36,'Student Groupings'!$H:$H=""Must be Together""),"""");iferror(filter('Student Groupings'!$A:$A,'Student Groupings'!$E:$E=$"&amp;"C36,'Student Groupings'!$H:$H=""Must be Together""),"""")})))"),"")</f>
        <v/>
      </c>
      <c r="AE36" s="104"/>
      <c r="AF36" s="104"/>
      <c r="AG36" s="104"/>
      <c r="AH36" s="104"/>
    </row>
    <row r="37">
      <c r="A37" s="101">
        <v>6.0</v>
      </c>
      <c r="B37" s="101">
        <v>31167.0</v>
      </c>
      <c r="C37" s="102" t="s">
        <v>236</v>
      </c>
      <c r="D37" s="52" t="s">
        <v>171</v>
      </c>
      <c r="E37" s="52">
        <v>4.0</v>
      </c>
      <c r="F37" s="52" t="s">
        <v>159</v>
      </c>
      <c r="G37" s="52">
        <v>5.0</v>
      </c>
      <c r="H37" s="52" t="s">
        <v>181</v>
      </c>
      <c r="I37" s="52">
        <v>1.0</v>
      </c>
      <c r="J37" s="52" t="s">
        <v>192</v>
      </c>
      <c r="K37" s="52">
        <v>3.0</v>
      </c>
      <c r="L37" s="52" t="s">
        <v>197</v>
      </c>
      <c r="M37" s="52">
        <v>2.0</v>
      </c>
      <c r="N37" s="52" t="s">
        <v>153</v>
      </c>
      <c r="O37" s="52" t="s">
        <v>120</v>
      </c>
      <c r="P37" s="52" t="s">
        <v>117</v>
      </c>
      <c r="Q37" s="52" t="s">
        <v>109</v>
      </c>
      <c r="R37" s="52" t="s">
        <v>134</v>
      </c>
      <c r="S37" s="52" t="s">
        <v>109</v>
      </c>
      <c r="T37" s="65" t="s">
        <v>27</v>
      </c>
      <c r="U37" s="32">
        <v>1.0</v>
      </c>
      <c r="V37" s="32">
        <v>1.0</v>
      </c>
      <c r="W37" s="32">
        <v>1.0</v>
      </c>
      <c r="X37" s="32">
        <v>1.0</v>
      </c>
      <c r="Y37" s="32">
        <v>1.0</v>
      </c>
      <c r="Z37" s="32">
        <v>1.0</v>
      </c>
      <c r="AA37" s="32">
        <v>6.0</v>
      </c>
      <c r="AB37" s="32">
        <v>0.0</v>
      </c>
      <c r="AC37" s="103" t="str">
        <f>IFERROR(__xludf.DUMMYFUNCTION("if($C37="""","""",if(join("" - "",{iferror(filter('Student Groupings'!$A:$A,'Student Groupings'!$B:$B=$C37,'Student Groupings'!$H:$H=""Can't be Together""),"""");iferror(filter('Student Groupings'!$A:$A,'Student Groupings'!$E:$E=$C37,'Student Groupings'!$"&amp;"H:$H=""Can't be Together""),"""")})="" - "","""",join("" - "",{iferror(filter('Student Groupings'!$A:$A,'Student Groupings'!$B:$B=$C37,'Student Groupings'!$H:$H=""Can't be Together""),"""");iferror(filter('Student Groupings'!$A:$A,'Student Groupings'!$E:$"&amp;"E=$C37,'Student Groupings'!$H:$H=""Can't be Together""),"""")})))")," - 23")</f>
        <v> - 23</v>
      </c>
      <c r="AD37" s="103" t="str">
        <f>IFERROR(__xludf.DUMMYFUNCTION("if($C37="""","""",if(join("" - "",{iferror(filter('Student Groupings'!$A:$A,'Student Groupings'!$B:$B=$C37,'Student Groupings'!$H:$H=""Must be Together""),"""");iferror(filter('Student Groupings'!$A:$A,'Student Groupings'!$E:$E=$C37,'Student Groupings'!$H"&amp;":$H=""Must be Together""),"""")})="" - "","""",join("" - "",{iferror(filter('Student Groupings'!$A:$A,'Student Groupings'!$B:$B=$C37,'Student Groupings'!$H:$H=""Must be Together""),"""");iferror(filter('Student Groupings'!$A:$A,'Student Groupings'!$E:$E=$"&amp;"C37,'Student Groupings'!$H:$H=""Must be Together""),"""")})))"),"")</f>
        <v/>
      </c>
      <c r="AE37" s="105">
        <v>1.0</v>
      </c>
      <c r="AF37" s="105">
        <v>1.0</v>
      </c>
      <c r="AG37" s="105">
        <v>1.0</v>
      </c>
      <c r="AH37" s="105"/>
    </row>
    <row r="38">
      <c r="A38" s="101">
        <v>6.0</v>
      </c>
      <c r="B38" s="101">
        <v>30041.0</v>
      </c>
      <c r="C38" s="102" t="s">
        <v>341</v>
      </c>
      <c r="D38" s="52" t="s">
        <v>171</v>
      </c>
      <c r="E38" s="52">
        <v>4.0</v>
      </c>
      <c r="F38" s="52" t="s">
        <v>158</v>
      </c>
      <c r="G38" s="52">
        <v>5.0</v>
      </c>
      <c r="H38" s="52" t="s">
        <v>182</v>
      </c>
      <c r="I38" s="52">
        <v>1.0</v>
      </c>
      <c r="J38" s="52" t="s">
        <v>192</v>
      </c>
      <c r="K38" s="52">
        <v>3.0</v>
      </c>
      <c r="L38" s="52" t="s">
        <v>196</v>
      </c>
      <c r="M38" s="52">
        <v>2.0</v>
      </c>
      <c r="N38" s="52" t="s">
        <v>153</v>
      </c>
      <c r="O38" s="52" t="s">
        <v>120</v>
      </c>
      <c r="P38" s="52" t="s">
        <v>134</v>
      </c>
      <c r="Q38" s="52" t="s">
        <v>109</v>
      </c>
      <c r="R38" s="52" t="s">
        <v>117</v>
      </c>
      <c r="S38" s="52" t="s">
        <v>109</v>
      </c>
      <c r="T38" s="65" t="s">
        <v>27</v>
      </c>
      <c r="U38" s="32">
        <v>1.0</v>
      </c>
      <c r="V38" s="32">
        <v>1.0</v>
      </c>
      <c r="W38" s="32">
        <v>1.0</v>
      </c>
      <c r="X38" s="32">
        <v>1.0</v>
      </c>
      <c r="Y38" s="32">
        <v>1.0</v>
      </c>
      <c r="Z38" s="32">
        <v>1.0</v>
      </c>
      <c r="AA38" s="32">
        <v>6.0</v>
      </c>
      <c r="AB38" s="32">
        <v>0.0</v>
      </c>
      <c r="AC38" s="103" t="str">
        <f>IFERROR(__xludf.DUMMYFUNCTION("if($C38="""","""",if(join("" - "",{iferror(filter('Student Groupings'!$A:$A,'Student Groupings'!$B:$B=$C38,'Student Groupings'!$H:$H=""Can't be Together""),"""");iferror(filter('Student Groupings'!$A:$A,'Student Groupings'!$E:$E=$C38,'Student Groupings'!$"&amp;"H:$H=""Can't be Together""),"""")})="" - "","""",join("" - "",{iferror(filter('Student Groupings'!$A:$A,'Student Groupings'!$B:$B=$C38,'Student Groupings'!$H:$H=""Can't be Together""),"""");iferror(filter('Student Groupings'!$A:$A,'Student Groupings'!$E:$"&amp;"E=$C38,'Student Groupings'!$H:$H=""Can't be Together""),"""")})))"),"")</f>
        <v/>
      </c>
      <c r="AD38" s="103" t="str">
        <f>IFERROR(__xludf.DUMMYFUNCTION("if($C38="""","""",if(join("" - "",{iferror(filter('Student Groupings'!$A:$A,'Student Groupings'!$B:$B=$C38,'Student Groupings'!$H:$H=""Must be Together""),"""");iferror(filter('Student Groupings'!$A:$A,'Student Groupings'!$E:$E=$C38,'Student Groupings'!$H"&amp;":$H=""Must be Together""),"""")})="" - "","""",join("" - "",{iferror(filter('Student Groupings'!$A:$A,'Student Groupings'!$B:$B=$C38,'Student Groupings'!$H:$H=""Must be Together""),"""");iferror(filter('Student Groupings'!$A:$A,'Student Groupings'!$E:$E=$"&amp;"C38,'Student Groupings'!$H:$H=""Must be Together""),"""")})))"),"")</f>
        <v/>
      </c>
      <c r="AE38" s="104"/>
      <c r="AF38" s="104"/>
      <c r="AG38" s="104"/>
      <c r="AH38" s="104"/>
    </row>
    <row r="39">
      <c r="A39" s="101">
        <v>6.0</v>
      </c>
      <c r="B39" s="101">
        <v>31034.0</v>
      </c>
      <c r="C39" s="102" t="s">
        <v>342</v>
      </c>
      <c r="D39" s="52" t="s">
        <v>171</v>
      </c>
      <c r="E39" s="52">
        <v>6.0</v>
      </c>
      <c r="F39" s="52" t="s">
        <v>158</v>
      </c>
      <c r="G39" s="52">
        <v>4.0</v>
      </c>
      <c r="H39" s="52" t="s">
        <v>182</v>
      </c>
      <c r="I39" s="52">
        <v>3.0</v>
      </c>
      <c r="J39" s="52" t="s">
        <v>192</v>
      </c>
      <c r="K39" s="52">
        <v>5.0</v>
      </c>
      <c r="L39" s="52" t="s">
        <v>196</v>
      </c>
      <c r="M39" s="52">
        <v>1.0</v>
      </c>
      <c r="N39" s="52" t="s">
        <v>153</v>
      </c>
      <c r="O39" s="52" t="s">
        <v>125</v>
      </c>
      <c r="P39" s="52" t="s">
        <v>117</v>
      </c>
      <c r="Q39" s="52" t="s">
        <v>119</v>
      </c>
      <c r="R39" s="52" t="s">
        <v>134</v>
      </c>
      <c r="S39" s="52" t="s">
        <v>119</v>
      </c>
      <c r="T39" s="65" t="s">
        <v>27</v>
      </c>
      <c r="U39" s="32">
        <v>1.0</v>
      </c>
      <c r="V39" s="32">
        <v>1.0</v>
      </c>
      <c r="W39" s="32">
        <v>1.0</v>
      </c>
      <c r="X39" s="32">
        <v>1.0</v>
      </c>
      <c r="Y39" s="32">
        <v>1.0</v>
      </c>
      <c r="Z39" s="32">
        <v>1.0</v>
      </c>
      <c r="AA39" s="32">
        <v>6.0</v>
      </c>
      <c r="AB39" s="32">
        <v>0.0</v>
      </c>
      <c r="AC39" s="103" t="str">
        <f>IFERROR(__xludf.DUMMYFUNCTION("if($C39="""","""",if(join("" - "",{iferror(filter('Student Groupings'!$A:$A,'Student Groupings'!$B:$B=$C39,'Student Groupings'!$H:$H=""Can't be Together""),"""");iferror(filter('Student Groupings'!$A:$A,'Student Groupings'!$E:$E=$C39,'Student Groupings'!$"&amp;"H:$H=""Can't be Together""),"""")})="" - "","""",join("" - "",{iferror(filter('Student Groupings'!$A:$A,'Student Groupings'!$B:$B=$C39,'Student Groupings'!$H:$H=""Can't be Together""),"""");iferror(filter('Student Groupings'!$A:$A,'Student Groupings'!$E:$"&amp;"E=$C39,'Student Groupings'!$H:$H=""Can't be Together""),"""")})))"),"")</f>
        <v/>
      </c>
      <c r="AD39" s="103" t="str">
        <f>IFERROR(__xludf.DUMMYFUNCTION("if($C39="""","""",if(join("" - "",{iferror(filter('Student Groupings'!$A:$A,'Student Groupings'!$B:$B=$C39,'Student Groupings'!$H:$H=""Must be Together""),"""");iferror(filter('Student Groupings'!$A:$A,'Student Groupings'!$E:$E=$C39,'Student Groupings'!$H"&amp;":$H=""Must be Together""),"""")})="" - "","""",join("" - "",{iferror(filter('Student Groupings'!$A:$A,'Student Groupings'!$B:$B=$C39,'Student Groupings'!$H:$H=""Must be Together""),"""");iferror(filter('Student Groupings'!$A:$A,'Student Groupings'!$E:$E=$"&amp;"C39,'Student Groupings'!$H:$H=""Must be Together""),"""")})))"),"")</f>
        <v/>
      </c>
      <c r="AE39" s="104"/>
      <c r="AF39" s="104"/>
      <c r="AG39" s="104"/>
      <c r="AH39" s="104"/>
    </row>
    <row r="40">
      <c r="A40" s="101">
        <v>6.0</v>
      </c>
      <c r="B40" s="101">
        <v>31037.0</v>
      </c>
      <c r="C40" s="102" t="s">
        <v>343</v>
      </c>
      <c r="D40" s="52" t="s">
        <v>171</v>
      </c>
      <c r="E40" s="52">
        <v>5.0</v>
      </c>
      <c r="F40" s="52" t="s">
        <v>158</v>
      </c>
      <c r="G40" s="52">
        <v>3.0</v>
      </c>
      <c r="H40" s="52" t="s">
        <v>182</v>
      </c>
      <c r="I40" s="52">
        <v>2.0</v>
      </c>
      <c r="J40" s="52" t="s">
        <v>192</v>
      </c>
      <c r="K40" s="52">
        <v>1.0</v>
      </c>
      <c r="L40" s="52" t="s">
        <v>196</v>
      </c>
      <c r="M40" s="52">
        <v>6.0</v>
      </c>
      <c r="N40" s="52" t="s">
        <v>153</v>
      </c>
      <c r="O40" s="52" t="s">
        <v>130</v>
      </c>
      <c r="P40" s="52" t="s">
        <v>134</v>
      </c>
      <c r="Q40" s="52" t="s">
        <v>111</v>
      </c>
      <c r="R40" s="52" t="s">
        <v>117</v>
      </c>
      <c r="S40" s="52" t="s">
        <v>111</v>
      </c>
      <c r="T40" s="65" t="s">
        <v>27</v>
      </c>
      <c r="U40" s="32">
        <v>1.0</v>
      </c>
      <c r="V40" s="32">
        <v>1.0</v>
      </c>
      <c r="W40" s="32">
        <v>1.0</v>
      </c>
      <c r="X40" s="32">
        <v>1.0</v>
      </c>
      <c r="Y40" s="32">
        <v>1.0</v>
      </c>
      <c r="Z40" s="32">
        <v>1.0</v>
      </c>
      <c r="AA40" s="32">
        <v>6.0</v>
      </c>
      <c r="AB40" s="32">
        <v>0.0</v>
      </c>
      <c r="AC40" s="103" t="str">
        <f>IFERROR(__xludf.DUMMYFUNCTION("if($C40="""","""",if(join("" - "",{iferror(filter('Student Groupings'!$A:$A,'Student Groupings'!$B:$B=$C40,'Student Groupings'!$H:$H=""Can't be Together""),"""");iferror(filter('Student Groupings'!$A:$A,'Student Groupings'!$E:$E=$C40,'Student Groupings'!$"&amp;"H:$H=""Can't be Together""),"""")})="" - "","""",join("" - "",{iferror(filter('Student Groupings'!$A:$A,'Student Groupings'!$B:$B=$C40,'Student Groupings'!$H:$H=""Can't be Together""),"""");iferror(filter('Student Groupings'!$A:$A,'Student Groupings'!$E:$"&amp;"E=$C40,'Student Groupings'!$H:$H=""Can't be Together""),"""")})))"),"")</f>
        <v/>
      </c>
      <c r="AD40" s="103" t="str">
        <f>IFERROR(__xludf.DUMMYFUNCTION("if($C40="""","""",if(join("" - "",{iferror(filter('Student Groupings'!$A:$A,'Student Groupings'!$B:$B=$C40,'Student Groupings'!$H:$H=""Must be Together""),"""");iferror(filter('Student Groupings'!$A:$A,'Student Groupings'!$E:$E=$C40,'Student Groupings'!$H"&amp;":$H=""Must be Together""),"""")})="" - "","""",join("" - "",{iferror(filter('Student Groupings'!$A:$A,'Student Groupings'!$B:$B=$C40,'Student Groupings'!$H:$H=""Must be Together""),"""");iferror(filter('Student Groupings'!$A:$A,'Student Groupings'!$E:$E=$"&amp;"C40,'Student Groupings'!$H:$H=""Must be Together""),"""")})))"),"")</f>
        <v/>
      </c>
      <c r="AE40" s="104"/>
      <c r="AF40" s="104"/>
      <c r="AG40" s="104"/>
      <c r="AH40" s="104"/>
    </row>
    <row r="41">
      <c r="A41" s="101">
        <v>6.0</v>
      </c>
      <c r="B41" s="101">
        <v>31039.0</v>
      </c>
      <c r="C41" s="102" t="s">
        <v>344</v>
      </c>
      <c r="D41" s="52" t="s">
        <v>171</v>
      </c>
      <c r="E41" s="52">
        <v>2.0</v>
      </c>
      <c r="F41" s="52" t="s">
        <v>159</v>
      </c>
      <c r="G41" s="52">
        <v>5.0</v>
      </c>
      <c r="H41" s="52" t="s">
        <v>181</v>
      </c>
      <c r="I41" s="52">
        <v>1.0</v>
      </c>
      <c r="J41" s="52" t="s">
        <v>192</v>
      </c>
      <c r="K41" s="52">
        <v>4.0</v>
      </c>
      <c r="L41" s="52" t="s">
        <v>196</v>
      </c>
      <c r="M41" s="52">
        <v>3.0</v>
      </c>
      <c r="N41" s="52" t="s">
        <v>153</v>
      </c>
      <c r="O41" s="52" t="s">
        <v>109</v>
      </c>
      <c r="P41" s="52" t="s">
        <v>143</v>
      </c>
      <c r="Q41" s="52" t="s">
        <v>120</v>
      </c>
      <c r="R41" s="52" t="s">
        <v>143</v>
      </c>
      <c r="S41" s="52" t="s">
        <v>120</v>
      </c>
      <c r="T41" s="65" t="s">
        <v>143</v>
      </c>
      <c r="U41" s="32">
        <v>1.0</v>
      </c>
      <c r="V41" s="32">
        <v>1.0</v>
      </c>
      <c r="W41" s="32">
        <v>1.0</v>
      </c>
      <c r="X41" s="32">
        <v>1.0</v>
      </c>
      <c r="Y41" s="32">
        <v>1.0</v>
      </c>
      <c r="Z41" s="32">
        <v>1.0</v>
      </c>
      <c r="AA41" s="32">
        <v>6.0</v>
      </c>
      <c r="AB41" s="32">
        <v>0.0</v>
      </c>
      <c r="AC41" s="103" t="str">
        <f>IFERROR(__xludf.DUMMYFUNCTION("if($C41="""","""",if(join("" - "",{iferror(filter('Student Groupings'!$A:$A,'Student Groupings'!$B:$B=$C41,'Student Groupings'!$H:$H=""Can't be Together""),"""");iferror(filter('Student Groupings'!$A:$A,'Student Groupings'!$E:$E=$C41,'Student Groupings'!$"&amp;"H:$H=""Can't be Together""),"""")})="" - "","""",join("" - "",{iferror(filter('Student Groupings'!$A:$A,'Student Groupings'!$B:$B=$C41,'Student Groupings'!$H:$H=""Can't be Together""),"""");iferror(filter('Student Groupings'!$A:$A,'Student Groupings'!$E:$"&amp;"E=$C41,'Student Groupings'!$H:$H=""Can't be Together""),"""")})))"),"")</f>
        <v/>
      </c>
      <c r="AD41" s="103" t="str">
        <f>IFERROR(__xludf.DUMMYFUNCTION("if($C41="""","""",if(join("" - "",{iferror(filter('Student Groupings'!$A:$A,'Student Groupings'!$B:$B=$C41,'Student Groupings'!$H:$H=""Must be Together""),"""");iferror(filter('Student Groupings'!$A:$A,'Student Groupings'!$E:$E=$C41,'Student Groupings'!$H"&amp;":$H=""Must be Together""),"""")})="" - "","""",join("" - "",{iferror(filter('Student Groupings'!$A:$A,'Student Groupings'!$B:$B=$C41,'Student Groupings'!$H:$H=""Must be Together""),"""");iferror(filter('Student Groupings'!$A:$A,'Student Groupings'!$E:$E=$"&amp;"C41,'Student Groupings'!$H:$H=""Must be Together""),"""")})))"),"")</f>
        <v/>
      </c>
      <c r="AE41" s="104"/>
      <c r="AF41" s="104"/>
      <c r="AG41" s="104"/>
      <c r="AH41" s="104"/>
    </row>
    <row r="42">
      <c r="A42" s="101">
        <v>6.0</v>
      </c>
      <c r="B42" s="101">
        <v>31040.0</v>
      </c>
      <c r="C42" s="102" t="s">
        <v>345</v>
      </c>
      <c r="D42" s="52" t="s">
        <v>171</v>
      </c>
      <c r="E42" s="52">
        <v>6.0</v>
      </c>
      <c r="F42" s="52" t="s">
        <v>158</v>
      </c>
      <c r="G42" s="52">
        <v>4.0</v>
      </c>
      <c r="H42" s="52" t="s">
        <v>182</v>
      </c>
      <c r="I42" s="52">
        <v>3.0</v>
      </c>
      <c r="J42" s="52" t="s">
        <v>192</v>
      </c>
      <c r="K42" s="52">
        <v>5.0</v>
      </c>
      <c r="L42" s="52" t="s">
        <v>196</v>
      </c>
      <c r="M42" s="52">
        <v>1.0</v>
      </c>
      <c r="N42" s="52" t="s">
        <v>153</v>
      </c>
      <c r="O42" s="52" t="s">
        <v>125</v>
      </c>
      <c r="P42" s="52" t="s">
        <v>134</v>
      </c>
      <c r="Q42" s="52" t="s">
        <v>119</v>
      </c>
      <c r="R42" s="52" t="s">
        <v>117</v>
      </c>
      <c r="S42" s="52" t="s">
        <v>119</v>
      </c>
      <c r="T42" s="65" t="s">
        <v>27</v>
      </c>
      <c r="U42" s="32">
        <v>1.0</v>
      </c>
      <c r="V42" s="32">
        <v>1.0</v>
      </c>
      <c r="W42" s="32">
        <v>1.0</v>
      </c>
      <c r="X42" s="32">
        <v>1.0</v>
      </c>
      <c r="Y42" s="32">
        <v>1.0</v>
      </c>
      <c r="Z42" s="32">
        <v>1.0</v>
      </c>
      <c r="AA42" s="32">
        <v>6.0</v>
      </c>
      <c r="AB42" s="32">
        <v>0.0</v>
      </c>
      <c r="AC42" s="103" t="str">
        <f>IFERROR(__xludf.DUMMYFUNCTION("if($C42="""","""",if(join("" - "",{iferror(filter('Student Groupings'!$A:$A,'Student Groupings'!$B:$B=$C42,'Student Groupings'!$H:$H=""Can't be Together""),"""");iferror(filter('Student Groupings'!$A:$A,'Student Groupings'!$E:$E=$C42,'Student Groupings'!$"&amp;"H:$H=""Can't be Together""),"""")})="" - "","""",join("" - "",{iferror(filter('Student Groupings'!$A:$A,'Student Groupings'!$B:$B=$C42,'Student Groupings'!$H:$H=""Can't be Together""),"""");iferror(filter('Student Groupings'!$A:$A,'Student Groupings'!$E:$"&amp;"E=$C42,'Student Groupings'!$H:$H=""Can't be Together""),"""")})))"),"")</f>
        <v/>
      </c>
      <c r="AD42" s="103" t="str">
        <f>IFERROR(__xludf.DUMMYFUNCTION("if($C42="""","""",if(join("" - "",{iferror(filter('Student Groupings'!$A:$A,'Student Groupings'!$B:$B=$C42,'Student Groupings'!$H:$H=""Must be Together""),"""");iferror(filter('Student Groupings'!$A:$A,'Student Groupings'!$E:$E=$C42,'Student Groupings'!$H"&amp;":$H=""Must be Together""),"""")})="" - "","""",join("" - "",{iferror(filter('Student Groupings'!$A:$A,'Student Groupings'!$B:$B=$C42,'Student Groupings'!$H:$H=""Must be Together""),"""");iferror(filter('Student Groupings'!$A:$A,'Student Groupings'!$E:$E=$"&amp;"C42,'Student Groupings'!$H:$H=""Must be Together""),"""")})))"),"")</f>
        <v/>
      </c>
      <c r="AE42" s="104"/>
      <c r="AF42" s="104"/>
      <c r="AG42" s="104"/>
      <c r="AH42" s="104"/>
    </row>
    <row r="43">
      <c r="A43" s="101">
        <v>6.0</v>
      </c>
      <c r="B43" s="101">
        <v>31042.0</v>
      </c>
      <c r="C43" s="102" t="s">
        <v>346</v>
      </c>
      <c r="D43" s="52" t="s">
        <v>173</v>
      </c>
      <c r="E43" s="52">
        <v>3.0</v>
      </c>
      <c r="F43" s="52" t="s">
        <v>158</v>
      </c>
      <c r="G43" s="52">
        <v>5.0</v>
      </c>
      <c r="H43" s="52" t="s">
        <v>182</v>
      </c>
      <c r="I43" s="52">
        <v>1.0</v>
      </c>
      <c r="J43" s="52" t="s">
        <v>194</v>
      </c>
      <c r="K43" s="52">
        <v>2.0</v>
      </c>
      <c r="L43" s="52" t="s">
        <v>198</v>
      </c>
      <c r="M43" s="52">
        <v>4.0</v>
      </c>
      <c r="N43" s="52" t="s">
        <v>153</v>
      </c>
      <c r="O43" s="52" t="s">
        <v>120</v>
      </c>
      <c r="P43" s="52" t="s">
        <v>134</v>
      </c>
      <c r="Q43" s="52" t="s">
        <v>109</v>
      </c>
      <c r="R43" s="52" t="s">
        <v>117</v>
      </c>
      <c r="S43" s="52" t="s">
        <v>109</v>
      </c>
      <c r="T43" s="65" t="s">
        <v>27</v>
      </c>
      <c r="U43" s="32">
        <v>1.0</v>
      </c>
      <c r="V43" s="32">
        <v>1.0</v>
      </c>
      <c r="W43" s="32">
        <v>1.0</v>
      </c>
      <c r="X43" s="32">
        <v>1.0</v>
      </c>
      <c r="Y43" s="32">
        <v>1.0</v>
      </c>
      <c r="Z43" s="32">
        <v>1.0</v>
      </c>
      <c r="AA43" s="32">
        <v>6.0</v>
      </c>
      <c r="AB43" s="32">
        <v>0.0</v>
      </c>
      <c r="AC43" s="103" t="str">
        <f>IFERROR(__xludf.DUMMYFUNCTION("if($C43="""","""",if(join("" - "",{iferror(filter('Student Groupings'!$A:$A,'Student Groupings'!$B:$B=$C43,'Student Groupings'!$H:$H=""Can't be Together""),"""");iferror(filter('Student Groupings'!$A:$A,'Student Groupings'!$E:$E=$C43,'Student Groupings'!$"&amp;"H:$H=""Can't be Together""),"""")})="" - "","""",join("" - "",{iferror(filter('Student Groupings'!$A:$A,'Student Groupings'!$B:$B=$C43,'Student Groupings'!$H:$H=""Can't be Together""),"""");iferror(filter('Student Groupings'!$A:$A,'Student Groupings'!$E:$"&amp;"E=$C43,'Student Groupings'!$H:$H=""Can't be Together""),"""")})))"),"")</f>
        <v/>
      </c>
      <c r="AD43" s="103" t="str">
        <f>IFERROR(__xludf.DUMMYFUNCTION("if($C43="""","""",if(join("" - "",{iferror(filter('Student Groupings'!$A:$A,'Student Groupings'!$B:$B=$C43,'Student Groupings'!$H:$H=""Must be Together""),"""");iferror(filter('Student Groupings'!$A:$A,'Student Groupings'!$E:$E=$C43,'Student Groupings'!$H"&amp;":$H=""Must be Together""),"""")})="" - "","""",join("" - "",{iferror(filter('Student Groupings'!$A:$A,'Student Groupings'!$B:$B=$C43,'Student Groupings'!$H:$H=""Must be Together""),"""");iferror(filter('Student Groupings'!$A:$A,'Student Groupings'!$E:$E=$"&amp;"C43,'Student Groupings'!$H:$H=""Must be Together""),"""")})))"),"")</f>
        <v/>
      </c>
      <c r="AE43" s="104"/>
      <c r="AF43" s="104"/>
      <c r="AG43" s="104"/>
      <c r="AH43" s="104"/>
    </row>
    <row r="44">
      <c r="A44" s="101">
        <v>6.0</v>
      </c>
      <c r="B44" s="101">
        <v>31044.0</v>
      </c>
      <c r="C44" s="102" t="s">
        <v>347</v>
      </c>
      <c r="D44" s="52" t="s">
        <v>173</v>
      </c>
      <c r="E44" s="52">
        <v>3.0</v>
      </c>
      <c r="F44" s="52" t="s">
        <v>158</v>
      </c>
      <c r="G44" s="52">
        <v>5.0</v>
      </c>
      <c r="H44" s="52" t="s">
        <v>182</v>
      </c>
      <c r="I44" s="52">
        <v>6.0</v>
      </c>
      <c r="J44" s="52" t="s">
        <v>194</v>
      </c>
      <c r="K44" s="52">
        <v>2.0</v>
      </c>
      <c r="L44" s="52" t="s">
        <v>198</v>
      </c>
      <c r="M44" s="52">
        <v>4.0</v>
      </c>
      <c r="N44" s="52" t="s">
        <v>153</v>
      </c>
      <c r="O44" s="52" t="s">
        <v>108</v>
      </c>
      <c r="P44" s="52" t="s">
        <v>134</v>
      </c>
      <c r="Q44" s="52" t="s">
        <v>129</v>
      </c>
      <c r="R44" s="52" t="s">
        <v>117</v>
      </c>
      <c r="S44" s="52" t="s">
        <v>129</v>
      </c>
      <c r="T44" s="65" t="s">
        <v>27</v>
      </c>
      <c r="U44" s="32">
        <v>1.0</v>
      </c>
      <c r="V44" s="32">
        <v>1.0</v>
      </c>
      <c r="W44" s="32">
        <v>1.0</v>
      </c>
      <c r="X44" s="32">
        <v>1.0</v>
      </c>
      <c r="Y44" s="32">
        <v>1.0</v>
      </c>
      <c r="Z44" s="32">
        <v>1.0</v>
      </c>
      <c r="AA44" s="32">
        <v>6.0</v>
      </c>
      <c r="AB44" s="32">
        <v>0.0</v>
      </c>
      <c r="AC44" s="103" t="str">
        <f>IFERROR(__xludf.DUMMYFUNCTION("if($C44="""","""",if(join("" - "",{iferror(filter('Student Groupings'!$A:$A,'Student Groupings'!$B:$B=$C44,'Student Groupings'!$H:$H=""Can't be Together""),"""");iferror(filter('Student Groupings'!$A:$A,'Student Groupings'!$E:$E=$C44,'Student Groupings'!$"&amp;"H:$H=""Can't be Together""),"""")})="" - "","""",join("" - "",{iferror(filter('Student Groupings'!$A:$A,'Student Groupings'!$B:$B=$C44,'Student Groupings'!$H:$H=""Can't be Together""),"""");iferror(filter('Student Groupings'!$A:$A,'Student Groupings'!$E:$"&amp;"E=$C44,'Student Groupings'!$H:$H=""Can't be Together""),"""")})))"),"")</f>
        <v/>
      </c>
      <c r="AD44" s="103" t="str">
        <f>IFERROR(__xludf.DUMMYFUNCTION("if($C44="""","""",if(join("" - "",{iferror(filter('Student Groupings'!$A:$A,'Student Groupings'!$B:$B=$C44,'Student Groupings'!$H:$H=""Must be Together""),"""");iferror(filter('Student Groupings'!$A:$A,'Student Groupings'!$E:$E=$C44,'Student Groupings'!$H"&amp;":$H=""Must be Together""),"""")})="" - "","""",join("" - "",{iferror(filter('Student Groupings'!$A:$A,'Student Groupings'!$B:$B=$C44,'Student Groupings'!$H:$H=""Must be Together""),"""");iferror(filter('Student Groupings'!$A:$A,'Student Groupings'!$E:$E=$"&amp;"C44,'Student Groupings'!$H:$H=""Must be Together""),"""")})))"),"")</f>
        <v/>
      </c>
      <c r="AE44" s="104"/>
      <c r="AF44" s="104"/>
      <c r="AG44" s="104"/>
      <c r="AH44" s="104"/>
    </row>
    <row r="45">
      <c r="A45" s="101">
        <v>6.0</v>
      </c>
      <c r="B45" s="101">
        <v>31045.0</v>
      </c>
      <c r="C45" s="102" t="s">
        <v>348</v>
      </c>
      <c r="D45" s="52" t="s">
        <v>171</v>
      </c>
      <c r="E45" s="52">
        <v>2.0</v>
      </c>
      <c r="F45" s="52" t="s">
        <v>159</v>
      </c>
      <c r="G45" s="52">
        <v>5.0</v>
      </c>
      <c r="H45" s="52" t="s">
        <v>181</v>
      </c>
      <c r="I45" s="52">
        <v>1.0</v>
      </c>
      <c r="J45" s="52" t="s">
        <v>192</v>
      </c>
      <c r="K45" s="52">
        <v>4.0</v>
      </c>
      <c r="L45" s="52" t="s">
        <v>196</v>
      </c>
      <c r="M45" s="52">
        <v>3.0</v>
      </c>
      <c r="N45" s="52" t="s">
        <v>153</v>
      </c>
      <c r="O45" s="52" t="s">
        <v>109</v>
      </c>
      <c r="P45" s="52" t="s">
        <v>143</v>
      </c>
      <c r="Q45" s="52" t="s">
        <v>120</v>
      </c>
      <c r="R45" s="52" t="s">
        <v>143</v>
      </c>
      <c r="S45" s="52" t="s">
        <v>120</v>
      </c>
      <c r="T45" s="65" t="s">
        <v>143</v>
      </c>
      <c r="U45" s="32">
        <v>1.0</v>
      </c>
      <c r="V45" s="32">
        <v>1.0</v>
      </c>
      <c r="W45" s="32">
        <v>1.0</v>
      </c>
      <c r="X45" s="32">
        <v>1.0</v>
      </c>
      <c r="Y45" s="32">
        <v>1.0</v>
      </c>
      <c r="Z45" s="32">
        <v>1.0</v>
      </c>
      <c r="AA45" s="32">
        <v>6.0</v>
      </c>
      <c r="AB45" s="32">
        <v>0.0</v>
      </c>
      <c r="AC45" s="103" t="str">
        <f>IFERROR(__xludf.DUMMYFUNCTION("if($C45="""","""",if(join("" - "",{iferror(filter('Student Groupings'!$A:$A,'Student Groupings'!$B:$B=$C45,'Student Groupings'!$H:$H=""Can't be Together""),"""");iferror(filter('Student Groupings'!$A:$A,'Student Groupings'!$E:$E=$C45,'Student Groupings'!$"&amp;"H:$H=""Can't be Together""),"""")})="" - "","""",join("" - "",{iferror(filter('Student Groupings'!$A:$A,'Student Groupings'!$B:$B=$C45,'Student Groupings'!$H:$H=""Can't be Together""),"""");iferror(filter('Student Groupings'!$A:$A,'Student Groupings'!$E:$"&amp;"E=$C45,'Student Groupings'!$H:$H=""Can't be Together""),"""")})))"),"")</f>
        <v/>
      </c>
      <c r="AD45" s="103" t="str">
        <f>IFERROR(__xludf.DUMMYFUNCTION("if($C45="""","""",if(join("" - "",{iferror(filter('Student Groupings'!$A:$A,'Student Groupings'!$B:$B=$C45,'Student Groupings'!$H:$H=""Must be Together""),"""");iferror(filter('Student Groupings'!$A:$A,'Student Groupings'!$E:$E=$C45,'Student Groupings'!$H"&amp;":$H=""Must be Together""),"""")})="" - "","""",join("" - "",{iferror(filter('Student Groupings'!$A:$A,'Student Groupings'!$B:$B=$C45,'Student Groupings'!$H:$H=""Must be Together""),"""");iferror(filter('Student Groupings'!$A:$A,'Student Groupings'!$E:$E=$"&amp;"C45,'Student Groupings'!$H:$H=""Must be Together""),"""")})))"),"")</f>
        <v/>
      </c>
      <c r="AE45" s="104"/>
      <c r="AF45" s="104"/>
      <c r="AG45" s="104"/>
      <c r="AH45" s="104"/>
    </row>
    <row r="46">
      <c r="A46" s="101">
        <v>6.0</v>
      </c>
      <c r="B46" s="101">
        <v>31046.0</v>
      </c>
      <c r="C46" s="102" t="s">
        <v>349</v>
      </c>
      <c r="D46" s="52" t="s">
        <v>171</v>
      </c>
      <c r="E46" s="52">
        <v>3.0</v>
      </c>
      <c r="F46" s="52" t="s">
        <v>159</v>
      </c>
      <c r="G46" s="52">
        <v>5.0</v>
      </c>
      <c r="H46" s="52" t="s">
        <v>181</v>
      </c>
      <c r="I46" s="52">
        <v>1.0</v>
      </c>
      <c r="J46" s="52" t="s">
        <v>192</v>
      </c>
      <c r="K46" s="52">
        <v>2.0</v>
      </c>
      <c r="L46" s="52" t="s">
        <v>196</v>
      </c>
      <c r="M46" s="52">
        <v>4.0</v>
      </c>
      <c r="N46" s="52" t="s">
        <v>153</v>
      </c>
      <c r="O46" s="52" t="s">
        <v>109</v>
      </c>
      <c r="P46" s="52" t="s">
        <v>143</v>
      </c>
      <c r="Q46" s="52" t="s">
        <v>120</v>
      </c>
      <c r="R46" s="52" t="s">
        <v>143</v>
      </c>
      <c r="S46" s="52" t="s">
        <v>120</v>
      </c>
      <c r="T46" s="65" t="s">
        <v>143</v>
      </c>
      <c r="U46" s="32">
        <v>1.0</v>
      </c>
      <c r="V46" s="32">
        <v>1.0</v>
      </c>
      <c r="W46" s="32">
        <v>1.0</v>
      </c>
      <c r="X46" s="32">
        <v>1.0</v>
      </c>
      <c r="Y46" s="32">
        <v>1.0</v>
      </c>
      <c r="Z46" s="32">
        <v>1.0</v>
      </c>
      <c r="AA46" s="32">
        <v>6.0</v>
      </c>
      <c r="AB46" s="32">
        <v>0.0</v>
      </c>
      <c r="AC46" s="103" t="str">
        <f>IFERROR(__xludf.DUMMYFUNCTION("if($C46="""","""",if(join("" - "",{iferror(filter('Student Groupings'!$A:$A,'Student Groupings'!$B:$B=$C46,'Student Groupings'!$H:$H=""Can't be Together""),"""");iferror(filter('Student Groupings'!$A:$A,'Student Groupings'!$E:$E=$C46,'Student Groupings'!$"&amp;"H:$H=""Can't be Together""),"""")})="" - "","""",join("" - "",{iferror(filter('Student Groupings'!$A:$A,'Student Groupings'!$B:$B=$C46,'Student Groupings'!$H:$H=""Can't be Together""),"""");iferror(filter('Student Groupings'!$A:$A,'Student Groupings'!$E:$"&amp;"E=$C46,'Student Groupings'!$H:$H=""Can't be Together""),"""")})))"),"")</f>
        <v/>
      </c>
      <c r="AD46" s="103" t="str">
        <f>IFERROR(__xludf.DUMMYFUNCTION("if($C46="""","""",if(join("" - "",{iferror(filter('Student Groupings'!$A:$A,'Student Groupings'!$B:$B=$C46,'Student Groupings'!$H:$H=""Must be Together""),"""");iferror(filter('Student Groupings'!$A:$A,'Student Groupings'!$E:$E=$C46,'Student Groupings'!$H"&amp;":$H=""Must be Together""),"""")})="" - "","""",join("" - "",{iferror(filter('Student Groupings'!$A:$A,'Student Groupings'!$B:$B=$C46,'Student Groupings'!$H:$H=""Must be Together""),"""");iferror(filter('Student Groupings'!$A:$A,'Student Groupings'!$E:$E=$"&amp;"C46,'Student Groupings'!$H:$H=""Must be Together""),"""")})))"),"")</f>
        <v/>
      </c>
      <c r="AE46" s="104"/>
      <c r="AF46" s="104"/>
      <c r="AG46" s="104"/>
      <c r="AH46" s="104"/>
    </row>
    <row r="47">
      <c r="A47" s="101">
        <v>6.0</v>
      </c>
      <c r="B47" s="101">
        <v>31047.0</v>
      </c>
      <c r="C47" s="102" t="s">
        <v>350</v>
      </c>
      <c r="D47" s="52" t="s">
        <v>171</v>
      </c>
      <c r="E47" s="52">
        <v>4.0</v>
      </c>
      <c r="F47" s="52" t="s">
        <v>158</v>
      </c>
      <c r="G47" s="52">
        <v>1.0</v>
      </c>
      <c r="H47" s="52" t="s">
        <v>182</v>
      </c>
      <c r="I47" s="52">
        <v>5.0</v>
      </c>
      <c r="J47" s="52" t="s">
        <v>192</v>
      </c>
      <c r="K47" s="52">
        <v>3.0</v>
      </c>
      <c r="L47" s="52" t="s">
        <v>196</v>
      </c>
      <c r="M47" s="52">
        <v>2.0</v>
      </c>
      <c r="N47" s="52" t="s">
        <v>153</v>
      </c>
      <c r="O47" s="52" t="s">
        <v>109</v>
      </c>
      <c r="P47" s="52" t="s">
        <v>143</v>
      </c>
      <c r="Q47" s="52" t="s">
        <v>120</v>
      </c>
      <c r="R47" s="52" t="s">
        <v>143</v>
      </c>
      <c r="S47" s="52" t="s">
        <v>120</v>
      </c>
      <c r="T47" s="65" t="s">
        <v>143</v>
      </c>
      <c r="U47" s="32">
        <v>1.0</v>
      </c>
      <c r="V47" s="32">
        <v>1.0</v>
      </c>
      <c r="W47" s="32">
        <v>1.0</v>
      </c>
      <c r="X47" s="32">
        <v>1.0</v>
      </c>
      <c r="Y47" s="32">
        <v>1.0</v>
      </c>
      <c r="Z47" s="32">
        <v>1.0</v>
      </c>
      <c r="AA47" s="32">
        <v>6.0</v>
      </c>
      <c r="AB47" s="32">
        <v>0.0</v>
      </c>
      <c r="AC47" s="103" t="str">
        <f>IFERROR(__xludf.DUMMYFUNCTION("if($C47="""","""",if(join("" - "",{iferror(filter('Student Groupings'!$A:$A,'Student Groupings'!$B:$B=$C47,'Student Groupings'!$H:$H=""Can't be Together""),"""");iferror(filter('Student Groupings'!$A:$A,'Student Groupings'!$E:$E=$C47,'Student Groupings'!$"&amp;"H:$H=""Can't be Together""),"""")})="" - "","""",join("" - "",{iferror(filter('Student Groupings'!$A:$A,'Student Groupings'!$B:$B=$C47,'Student Groupings'!$H:$H=""Can't be Together""),"""");iferror(filter('Student Groupings'!$A:$A,'Student Groupings'!$E:$"&amp;"E=$C47,'Student Groupings'!$H:$H=""Can't be Together""),"""")})))"),"")</f>
        <v/>
      </c>
      <c r="AD47" s="103" t="str">
        <f>IFERROR(__xludf.DUMMYFUNCTION("if($C47="""","""",if(join("" - "",{iferror(filter('Student Groupings'!$A:$A,'Student Groupings'!$B:$B=$C47,'Student Groupings'!$H:$H=""Must be Together""),"""");iferror(filter('Student Groupings'!$A:$A,'Student Groupings'!$E:$E=$C47,'Student Groupings'!$H"&amp;":$H=""Must be Together""),"""")})="" - "","""",join("" - "",{iferror(filter('Student Groupings'!$A:$A,'Student Groupings'!$B:$B=$C47,'Student Groupings'!$H:$H=""Must be Together""),"""");iferror(filter('Student Groupings'!$A:$A,'Student Groupings'!$E:$E=$"&amp;"C47,'Student Groupings'!$H:$H=""Must be Together""),"""")})))"),"")</f>
        <v/>
      </c>
      <c r="AE47" s="105"/>
      <c r="AF47" s="105"/>
      <c r="AG47" s="105"/>
      <c r="AH47" s="105"/>
    </row>
    <row r="48">
      <c r="A48" s="101">
        <v>6.0</v>
      </c>
      <c r="B48" s="101">
        <v>31170.0</v>
      </c>
      <c r="C48" s="102" t="s">
        <v>232</v>
      </c>
      <c r="D48" s="52" t="s">
        <v>171</v>
      </c>
      <c r="E48" s="52">
        <v>3.0</v>
      </c>
      <c r="F48" s="52" t="s">
        <v>158</v>
      </c>
      <c r="G48" s="52">
        <v>6.0</v>
      </c>
      <c r="H48" s="52" t="s">
        <v>182</v>
      </c>
      <c r="I48" s="52">
        <v>5.0</v>
      </c>
      <c r="J48" s="52" t="s">
        <v>192</v>
      </c>
      <c r="K48" s="52">
        <v>2.0</v>
      </c>
      <c r="L48" s="52" t="s">
        <v>196</v>
      </c>
      <c r="M48" s="52">
        <v>4.0</v>
      </c>
      <c r="N48" s="52" t="s">
        <v>153</v>
      </c>
      <c r="O48" s="52" t="s">
        <v>108</v>
      </c>
      <c r="P48" s="52" t="s">
        <v>134</v>
      </c>
      <c r="Q48" s="52" t="s">
        <v>129</v>
      </c>
      <c r="R48" s="52" t="s">
        <v>117</v>
      </c>
      <c r="S48" s="52" t="s">
        <v>129</v>
      </c>
      <c r="T48" s="65" t="s">
        <v>27</v>
      </c>
      <c r="U48" s="32">
        <v>1.0</v>
      </c>
      <c r="V48" s="32">
        <v>1.0</v>
      </c>
      <c r="W48" s="32">
        <v>1.0</v>
      </c>
      <c r="X48" s="32">
        <v>1.0</v>
      </c>
      <c r="Y48" s="32">
        <v>1.0</v>
      </c>
      <c r="Z48" s="32">
        <v>1.0</v>
      </c>
      <c r="AA48" s="32">
        <v>6.0</v>
      </c>
      <c r="AB48" s="32">
        <v>0.0</v>
      </c>
      <c r="AC48" s="103" t="str">
        <f>IFERROR(__xludf.DUMMYFUNCTION("if($C48="""","""",if(join("" - "",{iferror(filter('Student Groupings'!$A:$A,'Student Groupings'!$B:$B=$C48,'Student Groupings'!$H:$H=""Can't be Together""),"""");iferror(filter('Student Groupings'!$A:$A,'Student Groupings'!$E:$E=$C48,'Student Groupings'!$"&amp;"H:$H=""Can't be Together""),"""")})="" - "","""",join("" - "",{iferror(filter('Student Groupings'!$A:$A,'Student Groupings'!$B:$B=$C48,'Student Groupings'!$H:$H=""Can't be Together""),"""");iferror(filter('Student Groupings'!$A:$A,'Student Groupings'!$E:$"&amp;"E=$C48,'Student Groupings'!$H:$H=""Can't be Together""),"""")})))"),"")</f>
        <v/>
      </c>
      <c r="AD48" s="103" t="str">
        <f>IFERROR(__xludf.DUMMYFUNCTION("if($C48="""","""",if(join("" - "",{iferror(filter('Student Groupings'!$A:$A,'Student Groupings'!$B:$B=$C48,'Student Groupings'!$H:$H=""Must be Together""),"""");iferror(filter('Student Groupings'!$A:$A,'Student Groupings'!$E:$E=$C48,'Student Groupings'!$H"&amp;":$H=""Must be Together""),"""")})="" - "","""",join("" - "",{iferror(filter('Student Groupings'!$A:$A,'Student Groupings'!$B:$B=$C48,'Student Groupings'!$H:$H=""Must be Together""),"""");iferror(filter('Student Groupings'!$A:$A,'Student Groupings'!$E:$E=$"&amp;"C48,'Student Groupings'!$H:$H=""Must be Together""),"""")})))")," - 19")</f>
        <v> - 19</v>
      </c>
      <c r="AE48" s="105"/>
      <c r="AF48" s="105"/>
      <c r="AG48" s="105"/>
      <c r="AH48" s="105"/>
    </row>
    <row r="49">
      <c r="A49" s="101">
        <v>6.0</v>
      </c>
      <c r="B49" s="101">
        <v>31048.0</v>
      </c>
      <c r="C49" s="102" t="s">
        <v>242</v>
      </c>
      <c r="D49" s="52" t="s">
        <v>171</v>
      </c>
      <c r="E49" s="52">
        <v>4.0</v>
      </c>
      <c r="F49" s="52" t="s">
        <v>158</v>
      </c>
      <c r="G49" s="52">
        <v>6.0</v>
      </c>
      <c r="H49" s="52" t="s">
        <v>182</v>
      </c>
      <c r="I49" s="52">
        <v>1.0</v>
      </c>
      <c r="J49" s="52" t="s">
        <v>192</v>
      </c>
      <c r="K49" s="52">
        <v>3.0</v>
      </c>
      <c r="L49" s="52" t="s">
        <v>196</v>
      </c>
      <c r="M49" s="52">
        <v>2.0</v>
      </c>
      <c r="N49" s="52" t="s">
        <v>153</v>
      </c>
      <c r="O49" s="52" t="s">
        <v>112</v>
      </c>
      <c r="P49" s="52" t="s">
        <v>142</v>
      </c>
      <c r="Q49" s="52" t="s">
        <v>124</v>
      </c>
      <c r="R49" s="52" t="s">
        <v>142</v>
      </c>
      <c r="S49" s="52" t="s">
        <v>124</v>
      </c>
      <c r="T49" s="65" t="s">
        <v>142</v>
      </c>
      <c r="U49" s="32">
        <v>1.0</v>
      </c>
      <c r="V49" s="32">
        <v>1.0</v>
      </c>
      <c r="W49" s="32">
        <v>1.0</v>
      </c>
      <c r="X49" s="32">
        <v>1.0</v>
      </c>
      <c r="Y49" s="32">
        <v>1.0</v>
      </c>
      <c r="Z49" s="32">
        <v>1.0</v>
      </c>
      <c r="AA49" s="32">
        <v>6.0</v>
      </c>
      <c r="AB49" s="32">
        <v>0.0</v>
      </c>
      <c r="AC49" s="103" t="str">
        <f>IFERROR(__xludf.DUMMYFUNCTION("if($C49="""","""",if(join("" - "",{iferror(filter('Student Groupings'!$A:$A,'Student Groupings'!$B:$B=$C49,'Student Groupings'!$H:$H=""Can't be Together""),"""");iferror(filter('Student Groupings'!$A:$A,'Student Groupings'!$E:$E=$C49,'Student Groupings'!$"&amp;"H:$H=""Can't be Together""),"""")})="" - "","""",join("" - "",{iferror(filter('Student Groupings'!$A:$A,'Student Groupings'!$B:$B=$C49,'Student Groupings'!$H:$H=""Can't be Together""),"""");iferror(filter('Student Groupings'!$A:$A,'Student Groupings'!$E:$"&amp;"E=$C49,'Student Groupings'!$H:$H=""Can't be Together""),"""")})))")," - 28")</f>
        <v> - 28</v>
      </c>
      <c r="AD49" s="103" t="str">
        <f>IFERROR(__xludf.DUMMYFUNCTION("if($C49="""","""",if(join("" - "",{iferror(filter('Student Groupings'!$A:$A,'Student Groupings'!$B:$B=$C49,'Student Groupings'!$H:$H=""Must be Together""),"""");iferror(filter('Student Groupings'!$A:$A,'Student Groupings'!$E:$E=$C49,'Student Groupings'!$H"&amp;":$H=""Must be Together""),"""")})="" - "","""",join("" - "",{iferror(filter('Student Groupings'!$A:$A,'Student Groupings'!$B:$B=$C49,'Student Groupings'!$H:$H=""Must be Together""),"""");iferror(filter('Student Groupings'!$A:$A,'Student Groupings'!$E:$E=$"&amp;"C49,'Student Groupings'!$H:$H=""Must be Together""),"""")})))"),"")</f>
        <v/>
      </c>
      <c r="AE49" s="104"/>
      <c r="AF49" s="104"/>
      <c r="AG49" s="104"/>
      <c r="AH49" s="104"/>
    </row>
    <row r="50">
      <c r="A50" s="101">
        <v>6.0</v>
      </c>
      <c r="B50" s="101">
        <v>31049.0</v>
      </c>
      <c r="C50" s="102" t="s">
        <v>245</v>
      </c>
      <c r="D50" s="52" t="s">
        <v>171</v>
      </c>
      <c r="E50" s="52">
        <v>4.0</v>
      </c>
      <c r="F50" s="52" t="s">
        <v>158</v>
      </c>
      <c r="G50" s="52">
        <v>1.0</v>
      </c>
      <c r="H50" s="52" t="s">
        <v>182</v>
      </c>
      <c r="I50" s="52">
        <v>5.0</v>
      </c>
      <c r="J50" s="52" t="s">
        <v>192</v>
      </c>
      <c r="K50" s="52">
        <v>3.0</v>
      </c>
      <c r="L50" s="52" t="s">
        <v>196</v>
      </c>
      <c r="M50" s="52">
        <v>2.0</v>
      </c>
      <c r="N50" s="52" t="s">
        <v>153</v>
      </c>
      <c r="O50" s="52" t="s">
        <v>109</v>
      </c>
      <c r="P50" s="52" t="s">
        <v>143</v>
      </c>
      <c r="Q50" s="52" t="s">
        <v>120</v>
      </c>
      <c r="R50" s="52" t="s">
        <v>143</v>
      </c>
      <c r="S50" s="52" t="s">
        <v>120</v>
      </c>
      <c r="T50" s="65" t="s">
        <v>143</v>
      </c>
      <c r="U50" s="32">
        <v>1.0</v>
      </c>
      <c r="V50" s="32">
        <v>1.0</v>
      </c>
      <c r="W50" s="32">
        <v>1.0</v>
      </c>
      <c r="X50" s="32">
        <v>1.0</v>
      </c>
      <c r="Y50" s="32">
        <v>1.0</v>
      </c>
      <c r="Z50" s="32">
        <v>1.0</v>
      </c>
      <c r="AA50" s="32">
        <v>6.0</v>
      </c>
      <c r="AB50" s="32">
        <v>0.0</v>
      </c>
      <c r="AC50" s="103" t="str">
        <f>IFERROR(__xludf.DUMMYFUNCTION("if($C50="""","""",if(join("" - "",{iferror(filter('Student Groupings'!$A:$A,'Student Groupings'!$B:$B=$C50,'Student Groupings'!$H:$H=""Can't be Together""),"""");iferror(filter('Student Groupings'!$A:$A,'Student Groupings'!$E:$E=$C50,'Student Groupings'!$"&amp;"H:$H=""Can't be Together""),"""")})="" - "","""",join("" - "",{iferror(filter('Student Groupings'!$A:$A,'Student Groupings'!$B:$B=$C50,'Student Groupings'!$H:$H=""Can't be Together""),"""");iferror(filter('Student Groupings'!$A:$A,'Student Groupings'!$E:$"&amp;"E=$C50,'Student Groupings'!$H:$H=""Can't be Together""),"""")})))"),"30 - 31 - ")</f>
        <v>30 - 31 - </v>
      </c>
      <c r="AD50" s="103" t="str">
        <f>IFERROR(__xludf.DUMMYFUNCTION("if($C50="""","""",if(join("" - "",{iferror(filter('Student Groupings'!$A:$A,'Student Groupings'!$B:$B=$C50,'Student Groupings'!$H:$H=""Must be Together""),"""");iferror(filter('Student Groupings'!$A:$A,'Student Groupings'!$E:$E=$C50,'Student Groupings'!$H"&amp;":$H=""Must be Together""),"""")})="" - "","""",join("" - "",{iferror(filter('Student Groupings'!$A:$A,'Student Groupings'!$B:$B=$C50,'Student Groupings'!$H:$H=""Must be Together""),"""");iferror(filter('Student Groupings'!$A:$A,'Student Groupings'!$E:$E=$"&amp;"C50,'Student Groupings'!$H:$H=""Must be Together""),"""")})))"),"")</f>
        <v/>
      </c>
      <c r="AE50" s="104"/>
      <c r="AF50" s="104"/>
      <c r="AG50" s="104"/>
      <c r="AH50" s="104"/>
    </row>
    <row r="51">
      <c r="A51" s="101">
        <v>6.0</v>
      </c>
      <c r="B51" s="101">
        <v>31052.0</v>
      </c>
      <c r="C51" s="102" t="s">
        <v>233</v>
      </c>
      <c r="D51" s="52" t="s">
        <v>171</v>
      </c>
      <c r="E51" s="52">
        <v>2.0</v>
      </c>
      <c r="F51" s="52" t="s">
        <v>158</v>
      </c>
      <c r="G51" s="52">
        <v>1.0</v>
      </c>
      <c r="H51" s="52" t="s">
        <v>182</v>
      </c>
      <c r="I51" s="52">
        <v>6.0</v>
      </c>
      <c r="J51" s="52" t="s">
        <v>192</v>
      </c>
      <c r="K51" s="52">
        <v>4.0</v>
      </c>
      <c r="L51" s="52" t="s">
        <v>196</v>
      </c>
      <c r="M51" s="52">
        <v>3.0</v>
      </c>
      <c r="N51" s="52" t="s">
        <v>153</v>
      </c>
      <c r="O51" s="52" t="s">
        <v>112</v>
      </c>
      <c r="P51" s="52" t="s">
        <v>142</v>
      </c>
      <c r="Q51" s="52" t="s">
        <v>124</v>
      </c>
      <c r="R51" s="52" t="s">
        <v>142</v>
      </c>
      <c r="S51" s="52" t="s">
        <v>124</v>
      </c>
      <c r="T51" s="65" t="s">
        <v>142</v>
      </c>
      <c r="U51" s="32">
        <v>1.0</v>
      </c>
      <c r="V51" s="32">
        <v>1.0</v>
      </c>
      <c r="W51" s="32">
        <v>1.0</v>
      </c>
      <c r="X51" s="32">
        <v>1.0</v>
      </c>
      <c r="Y51" s="32">
        <v>1.0</v>
      </c>
      <c r="Z51" s="32">
        <v>1.0</v>
      </c>
      <c r="AA51" s="32">
        <v>6.0</v>
      </c>
      <c r="AB51" s="32">
        <v>0.0</v>
      </c>
      <c r="AC51" s="103" t="str">
        <f>IFERROR(__xludf.DUMMYFUNCTION("if($C51="""","""",if(join("" - "",{iferror(filter('Student Groupings'!$A:$A,'Student Groupings'!$B:$B=$C51,'Student Groupings'!$H:$H=""Can't be Together""),"""");iferror(filter('Student Groupings'!$A:$A,'Student Groupings'!$E:$E=$C51,'Student Groupings'!$"&amp;"H:$H=""Can't be Together""),"""")})="" - "","""",join("" - "",{iferror(filter('Student Groupings'!$A:$A,'Student Groupings'!$B:$B=$C51,'Student Groupings'!$H:$H=""Can't be Together""),"""");iferror(filter('Student Groupings'!$A:$A,'Student Groupings'!$E:$"&amp;"E=$C51,'Student Groupings'!$H:$H=""Can't be Together""),"""")})))"),"20 - 21 - 22 - 23 - ")</f>
        <v>20 - 21 - 22 - 23 - </v>
      </c>
      <c r="AD51" s="103" t="str">
        <f>IFERROR(__xludf.DUMMYFUNCTION("if($C51="""","""",if(join("" - "",{iferror(filter('Student Groupings'!$A:$A,'Student Groupings'!$B:$B=$C51,'Student Groupings'!$H:$H=""Must be Together""),"""");iferror(filter('Student Groupings'!$A:$A,'Student Groupings'!$E:$E=$C51,'Student Groupings'!$H"&amp;":$H=""Must be Together""),"""")})="" - "","""",join("" - "",{iferror(filter('Student Groupings'!$A:$A,'Student Groupings'!$B:$B=$C51,'Student Groupings'!$H:$H=""Must be Together""),"""");iferror(filter('Student Groupings'!$A:$A,'Student Groupings'!$E:$E=$"&amp;"C51,'Student Groupings'!$H:$H=""Must be Together""),"""")})))"),"")</f>
        <v/>
      </c>
      <c r="AE51" s="104"/>
      <c r="AF51" s="104"/>
      <c r="AG51" s="104"/>
      <c r="AH51" s="104"/>
    </row>
    <row r="52">
      <c r="A52" s="101">
        <v>6.0</v>
      </c>
      <c r="B52" s="101">
        <v>31054.0</v>
      </c>
      <c r="C52" s="102" t="s">
        <v>351</v>
      </c>
      <c r="D52" s="52" t="s">
        <v>171</v>
      </c>
      <c r="E52" s="52">
        <v>6.0</v>
      </c>
      <c r="F52" s="52" t="s">
        <v>158</v>
      </c>
      <c r="G52" s="52">
        <v>3.0</v>
      </c>
      <c r="H52" s="52" t="s">
        <v>182</v>
      </c>
      <c r="I52" s="52">
        <v>2.0</v>
      </c>
      <c r="J52" s="52" t="s">
        <v>192</v>
      </c>
      <c r="K52" s="52">
        <v>5.0</v>
      </c>
      <c r="L52" s="52" t="s">
        <v>196</v>
      </c>
      <c r="M52" s="52">
        <v>1.0</v>
      </c>
      <c r="N52" s="52" t="s">
        <v>153</v>
      </c>
      <c r="O52" s="52" t="s">
        <v>130</v>
      </c>
      <c r="P52" s="52" t="s">
        <v>117</v>
      </c>
      <c r="Q52" s="52" t="s">
        <v>111</v>
      </c>
      <c r="R52" s="52" t="s">
        <v>134</v>
      </c>
      <c r="S52" s="52" t="s">
        <v>111</v>
      </c>
      <c r="T52" s="65" t="s">
        <v>27</v>
      </c>
      <c r="U52" s="32">
        <v>1.0</v>
      </c>
      <c r="V52" s="32">
        <v>1.0</v>
      </c>
      <c r="W52" s="32">
        <v>1.0</v>
      </c>
      <c r="X52" s="32">
        <v>1.0</v>
      </c>
      <c r="Y52" s="32">
        <v>1.0</v>
      </c>
      <c r="Z52" s="32">
        <v>1.0</v>
      </c>
      <c r="AA52" s="32">
        <v>6.0</v>
      </c>
      <c r="AB52" s="32">
        <v>0.0</v>
      </c>
      <c r="AC52" s="103" t="str">
        <f>IFERROR(__xludf.DUMMYFUNCTION("if($C52="""","""",if(join("" - "",{iferror(filter('Student Groupings'!$A:$A,'Student Groupings'!$B:$B=$C52,'Student Groupings'!$H:$H=""Can't be Together""),"""");iferror(filter('Student Groupings'!$A:$A,'Student Groupings'!$E:$E=$C52,'Student Groupings'!$"&amp;"H:$H=""Can't be Together""),"""")})="" - "","""",join("" - "",{iferror(filter('Student Groupings'!$A:$A,'Student Groupings'!$B:$B=$C52,'Student Groupings'!$H:$H=""Can't be Together""),"""");iferror(filter('Student Groupings'!$A:$A,'Student Groupings'!$E:$"&amp;"E=$C52,'Student Groupings'!$H:$H=""Can't be Together""),"""")})))"),"")</f>
        <v/>
      </c>
      <c r="AD52" s="103" t="str">
        <f>IFERROR(__xludf.DUMMYFUNCTION("if($C52="""","""",if(join("" - "",{iferror(filter('Student Groupings'!$A:$A,'Student Groupings'!$B:$B=$C52,'Student Groupings'!$H:$H=""Must be Together""),"""");iferror(filter('Student Groupings'!$A:$A,'Student Groupings'!$E:$E=$C52,'Student Groupings'!$H"&amp;":$H=""Must be Together""),"""")})="" - "","""",join("" - "",{iferror(filter('Student Groupings'!$A:$A,'Student Groupings'!$B:$B=$C52,'Student Groupings'!$H:$H=""Must be Together""),"""");iferror(filter('Student Groupings'!$A:$A,'Student Groupings'!$E:$E=$"&amp;"C52,'Student Groupings'!$H:$H=""Must be Together""),"""")})))"),"")</f>
        <v/>
      </c>
      <c r="AE52" s="104"/>
      <c r="AF52" s="104"/>
      <c r="AG52" s="104"/>
      <c r="AH52" s="104"/>
    </row>
    <row r="53">
      <c r="A53" s="101">
        <v>6.0</v>
      </c>
      <c r="B53" s="101">
        <v>31053.0</v>
      </c>
      <c r="C53" s="102" t="s">
        <v>352</v>
      </c>
      <c r="D53" s="52" t="s">
        <v>171</v>
      </c>
      <c r="E53" s="52">
        <v>5.0</v>
      </c>
      <c r="F53" s="52" t="s">
        <v>158</v>
      </c>
      <c r="G53" s="52">
        <v>4.0</v>
      </c>
      <c r="H53" s="52" t="s">
        <v>182</v>
      </c>
      <c r="I53" s="52">
        <v>3.0</v>
      </c>
      <c r="J53" s="52" t="s">
        <v>192</v>
      </c>
      <c r="K53" s="52">
        <v>1.0</v>
      </c>
      <c r="L53" s="52" t="s">
        <v>196</v>
      </c>
      <c r="M53" s="52">
        <v>6.0</v>
      </c>
      <c r="N53" s="52" t="s">
        <v>153</v>
      </c>
      <c r="O53" s="52" t="s">
        <v>125</v>
      </c>
      <c r="P53" s="52" t="s">
        <v>117</v>
      </c>
      <c r="Q53" s="52" t="s">
        <v>119</v>
      </c>
      <c r="R53" s="52" t="s">
        <v>134</v>
      </c>
      <c r="S53" s="52" t="s">
        <v>119</v>
      </c>
      <c r="T53" s="65" t="s">
        <v>27</v>
      </c>
      <c r="U53" s="32">
        <v>1.0</v>
      </c>
      <c r="V53" s="32">
        <v>1.0</v>
      </c>
      <c r="W53" s="32">
        <v>1.0</v>
      </c>
      <c r="X53" s="32">
        <v>1.0</v>
      </c>
      <c r="Y53" s="32">
        <v>1.0</v>
      </c>
      <c r="Z53" s="32">
        <v>1.0</v>
      </c>
      <c r="AA53" s="32">
        <v>6.0</v>
      </c>
      <c r="AB53" s="32">
        <v>0.0</v>
      </c>
      <c r="AC53" s="103" t="str">
        <f>IFERROR(__xludf.DUMMYFUNCTION("if($C53="""","""",if(join("" - "",{iferror(filter('Student Groupings'!$A:$A,'Student Groupings'!$B:$B=$C53,'Student Groupings'!$H:$H=""Can't be Together""),"""");iferror(filter('Student Groupings'!$A:$A,'Student Groupings'!$E:$E=$C53,'Student Groupings'!$"&amp;"H:$H=""Can't be Together""),"""")})="" - "","""",join("" - "",{iferror(filter('Student Groupings'!$A:$A,'Student Groupings'!$B:$B=$C53,'Student Groupings'!$H:$H=""Can't be Together""),"""");iferror(filter('Student Groupings'!$A:$A,'Student Groupings'!$E:$"&amp;"E=$C53,'Student Groupings'!$H:$H=""Can't be Together""),"""")})))"),"")</f>
        <v/>
      </c>
      <c r="AD53" s="103" t="str">
        <f>IFERROR(__xludf.DUMMYFUNCTION("if($C53="""","""",if(join("" - "",{iferror(filter('Student Groupings'!$A:$A,'Student Groupings'!$B:$B=$C53,'Student Groupings'!$H:$H=""Must be Together""),"""");iferror(filter('Student Groupings'!$A:$A,'Student Groupings'!$E:$E=$C53,'Student Groupings'!$H"&amp;":$H=""Must be Together""),"""")})="" - "","""",join("" - "",{iferror(filter('Student Groupings'!$A:$A,'Student Groupings'!$B:$B=$C53,'Student Groupings'!$H:$H=""Must be Together""),"""");iferror(filter('Student Groupings'!$A:$A,'Student Groupings'!$E:$E=$"&amp;"C53,'Student Groupings'!$H:$H=""Must be Together""),"""")})))"),"")</f>
        <v/>
      </c>
      <c r="AE53" s="104"/>
      <c r="AF53" s="104"/>
      <c r="AG53" s="104"/>
      <c r="AH53" s="104"/>
    </row>
    <row r="54">
      <c r="A54" s="101">
        <v>6.0</v>
      </c>
      <c r="B54" s="101">
        <v>31057.0</v>
      </c>
      <c r="C54" s="102" t="s">
        <v>246</v>
      </c>
      <c r="D54" s="52" t="s">
        <v>171</v>
      </c>
      <c r="E54" s="52">
        <v>2.0</v>
      </c>
      <c r="F54" s="52" t="s">
        <v>158</v>
      </c>
      <c r="G54" s="52">
        <v>5.0</v>
      </c>
      <c r="H54" s="52" t="s">
        <v>182</v>
      </c>
      <c r="I54" s="52">
        <v>6.0</v>
      </c>
      <c r="J54" s="52" t="s">
        <v>192</v>
      </c>
      <c r="K54" s="52">
        <v>4.0</v>
      </c>
      <c r="L54" s="52" t="s">
        <v>196</v>
      </c>
      <c r="M54" s="52">
        <v>3.0</v>
      </c>
      <c r="N54" s="52" t="s">
        <v>153</v>
      </c>
      <c r="O54" s="52" t="s">
        <v>108</v>
      </c>
      <c r="P54" s="52" t="s">
        <v>134</v>
      </c>
      <c r="Q54" s="52" t="s">
        <v>129</v>
      </c>
      <c r="R54" s="52" t="s">
        <v>117</v>
      </c>
      <c r="S54" s="52" t="s">
        <v>129</v>
      </c>
      <c r="T54" s="65" t="s">
        <v>27</v>
      </c>
      <c r="U54" s="32">
        <v>1.0</v>
      </c>
      <c r="V54" s="32">
        <v>1.0</v>
      </c>
      <c r="W54" s="32">
        <v>1.0</v>
      </c>
      <c r="X54" s="32">
        <v>1.0</v>
      </c>
      <c r="Y54" s="32">
        <v>1.0</v>
      </c>
      <c r="Z54" s="32">
        <v>1.0</v>
      </c>
      <c r="AA54" s="32">
        <v>6.0</v>
      </c>
      <c r="AB54" s="32">
        <v>0.0</v>
      </c>
      <c r="AC54" s="103" t="str">
        <f>IFERROR(__xludf.DUMMYFUNCTION("if($C54="""","""",if(join("" - "",{iferror(filter('Student Groupings'!$A:$A,'Student Groupings'!$B:$B=$C54,'Student Groupings'!$H:$H=""Can't be Together""),"""");iferror(filter('Student Groupings'!$A:$A,'Student Groupings'!$E:$E=$C54,'Student Groupings'!$"&amp;"H:$H=""Can't be Together""),"""")})="" - "","""",join("" - "",{iferror(filter('Student Groupings'!$A:$A,'Student Groupings'!$B:$B=$C54,'Student Groupings'!$H:$H=""Can't be Together""),"""");iferror(filter('Student Groupings'!$A:$A,'Student Groupings'!$E:$"&amp;"E=$C54,'Student Groupings'!$H:$H=""Can't be Together""),"""")})))")," - 31 - 32")</f>
        <v> - 31 - 32</v>
      </c>
      <c r="AD54" s="103" t="str">
        <f>IFERROR(__xludf.DUMMYFUNCTION("if($C54="""","""",if(join("" - "",{iferror(filter('Student Groupings'!$A:$A,'Student Groupings'!$B:$B=$C54,'Student Groupings'!$H:$H=""Must be Together""),"""");iferror(filter('Student Groupings'!$A:$A,'Student Groupings'!$E:$E=$C54,'Student Groupings'!$H"&amp;":$H=""Must be Together""),"""")})="" - "","""",join("" - "",{iferror(filter('Student Groupings'!$A:$A,'Student Groupings'!$B:$B=$C54,'Student Groupings'!$H:$H=""Must be Together""),"""");iferror(filter('Student Groupings'!$A:$A,'Student Groupings'!$E:$E=$"&amp;"C54,'Student Groupings'!$H:$H=""Must be Together""),"""")})))"),"")</f>
        <v/>
      </c>
      <c r="AE54" s="104"/>
      <c r="AF54" s="104"/>
      <c r="AG54" s="104"/>
      <c r="AH54" s="104"/>
    </row>
    <row r="55">
      <c r="A55" s="101">
        <v>6.0</v>
      </c>
      <c r="B55" s="101">
        <v>31055.0</v>
      </c>
      <c r="C55" s="102" t="s">
        <v>353</v>
      </c>
      <c r="D55" s="52" t="s">
        <v>171</v>
      </c>
      <c r="E55" s="52">
        <v>6.0</v>
      </c>
      <c r="F55" s="52" t="s">
        <v>158</v>
      </c>
      <c r="G55" s="52">
        <v>4.0</v>
      </c>
      <c r="H55" s="52" t="s">
        <v>182</v>
      </c>
      <c r="I55" s="52">
        <v>3.0</v>
      </c>
      <c r="J55" s="52" t="s">
        <v>192</v>
      </c>
      <c r="K55" s="52">
        <v>5.0</v>
      </c>
      <c r="L55" s="52" t="s">
        <v>196</v>
      </c>
      <c r="M55" s="52">
        <v>1.0</v>
      </c>
      <c r="N55" s="52" t="s">
        <v>153</v>
      </c>
      <c r="O55" s="52" t="s">
        <v>125</v>
      </c>
      <c r="P55" s="52" t="s">
        <v>134</v>
      </c>
      <c r="Q55" s="52" t="s">
        <v>119</v>
      </c>
      <c r="R55" s="52" t="s">
        <v>117</v>
      </c>
      <c r="S55" s="52" t="s">
        <v>119</v>
      </c>
      <c r="T55" s="65" t="s">
        <v>27</v>
      </c>
      <c r="U55" s="32">
        <v>1.0</v>
      </c>
      <c r="V55" s="32">
        <v>1.0</v>
      </c>
      <c r="W55" s="32">
        <v>1.0</v>
      </c>
      <c r="X55" s="32">
        <v>1.0</v>
      </c>
      <c r="Y55" s="32">
        <v>1.0</v>
      </c>
      <c r="Z55" s="32">
        <v>1.0</v>
      </c>
      <c r="AA55" s="32">
        <v>6.0</v>
      </c>
      <c r="AB55" s="32">
        <v>0.0</v>
      </c>
      <c r="AC55" s="103" t="str">
        <f>IFERROR(__xludf.DUMMYFUNCTION("if($C55="""","""",if(join("" - "",{iferror(filter('Student Groupings'!$A:$A,'Student Groupings'!$B:$B=$C55,'Student Groupings'!$H:$H=""Can't be Together""),"""");iferror(filter('Student Groupings'!$A:$A,'Student Groupings'!$E:$E=$C55,'Student Groupings'!$"&amp;"H:$H=""Can't be Together""),"""")})="" - "","""",join("" - "",{iferror(filter('Student Groupings'!$A:$A,'Student Groupings'!$B:$B=$C55,'Student Groupings'!$H:$H=""Can't be Together""),"""");iferror(filter('Student Groupings'!$A:$A,'Student Groupings'!$E:$"&amp;"E=$C55,'Student Groupings'!$H:$H=""Can't be Together""),"""")})))"),"")</f>
        <v/>
      </c>
      <c r="AD55" s="103" t="str">
        <f>IFERROR(__xludf.DUMMYFUNCTION("if($C55="""","""",if(join("" - "",{iferror(filter('Student Groupings'!$A:$A,'Student Groupings'!$B:$B=$C55,'Student Groupings'!$H:$H=""Must be Together""),"""");iferror(filter('Student Groupings'!$A:$A,'Student Groupings'!$E:$E=$C55,'Student Groupings'!$H"&amp;":$H=""Must be Together""),"""")})="" - "","""",join("" - "",{iferror(filter('Student Groupings'!$A:$A,'Student Groupings'!$B:$B=$C55,'Student Groupings'!$H:$H=""Must be Together""),"""");iferror(filter('Student Groupings'!$A:$A,'Student Groupings'!$E:$E=$"&amp;"C55,'Student Groupings'!$H:$H=""Must be Together""),"""")})))"),"")</f>
        <v/>
      </c>
      <c r="AE55" s="104"/>
      <c r="AF55" s="104"/>
      <c r="AG55" s="104"/>
      <c r="AH55" s="104"/>
    </row>
    <row r="56">
      <c r="A56" s="101">
        <v>6.0</v>
      </c>
      <c r="B56" s="101">
        <v>31058.0</v>
      </c>
      <c r="C56" s="102" t="s">
        <v>354</v>
      </c>
      <c r="D56" s="52" t="s">
        <v>173</v>
      </c>
      <c r="E56" s="52">
        <v>3.0</v>
      </c>
      <c r="F56" s="52" t="s">
        <v>159</v>
      </c>
      <c r="G56" s="52">
        <v>5.0</v>
      </c>
      <c r="H56" s="52" t="s">
        <v>182</v>
      </c>
      <c r="I56" s="52">
        <v>1.0</v>
      </c>
      <c r="J56" s="52" t="s">
        <v>194</v>
      </c>
      <c r="K56" s="52">
        <v>2.0</v>
      </c>
      <c r="L56" s="52" t="s">
        <v>198</v>
      </c>
      <c r="M56" s="52">
        <v>4.0</v>
      </c>
      <c r="N56" s="52" t="s">
        <v>153</v>
      </c>
      <c r="O56" s="52" t="s">
        <v>120</v>
      </c>
      <c r="P56" s="52" t="s">
        <v>134</v>
      </c>
      <c r="Q56" s="52" t="s">
        <v>109</v>
      </c>
      <c r="R56" s="52" t="s">
        <v>117</v>
      </c>
      <c r="S56" s="52" t="s">
        <v>109</v>
      </c>
      <c r="T56" s="65" t="s">
        <v>27</v>
      </c>
      <c r="U56" s="32">
        <v>1.0</v>
      </c>
      <c r="V56" s="32">
        <v>1.0</v>
      </c>
      <c r="W56" s="32">
        <v>1.0</v>
      </c>
      <c r="X56" s="32">
        <v>1.0</v>
      </c>
      <c r="Y56" s="32">
        <v>1.0</v>
      </c>
      <c r="Z56" s="32">
        <v>1.0</v>
      </c>
      <c r="AA56" s="32">
        <v>6.0</v>
      </c>
      <c r="AB56" s="32">
        <v>0.0</v>
      </c>
      <c r="AC56" s="103" t="str">
        <f>IFERROR(__xludf.DUMMYFUNCTION("if($C56="""","""",if(join("" - "",{iferror(filter('Student Groupings'!$A:$A,'Student Groupings'!$B:$B=$C56,'Student Groupings'!$H:$H=""Can't be Together""),"""");iferror(filter('Student Groupings'!$A:$A,'Student Groupings'!$E:$E=$C56,'Student Groupings'!$"&amp;"H:$H=""Can't be Together""),"""")})="" - "","""",join("" - "",{iferror(filter('Student Groupings'!$A:$A,'Student Groupings'!$B:$B=$C56,'Student Groupings'!$H:$H=""Can't be Together""),"""");iferror(filter('Student Groupings'!$A:$A,'Student Groupings'!$E:$"&amp;"E=$C56,'Student Groupings'!$H:$H=""Can't be Together""),"""")})))"),"")</f>
        <v/>
      </c>
      <c r="AD56" s="103" t="str">
        <f>IFERROR(__xludf.DUMMYFUNCTION("if($C56="""","""",if(join("" - "",{iferror(filter('Student Groupings'!$A:$A,'Student Groupings'!$B:$B=$C56,'Student Groupings'!$H:$H=""Must be Together""),"""");iferror(filter('Student Groupings'!$A:$A,'Student Groupings'!$E:$E=$C56,'Student Groupings'!$H"&amp;":$H=""Must be Together""),"""")})="" - "","""",join("" - "",{iferror(filter('Student Groupings'!$A:$A,'Student Groupings'!$B:$B=$C56,'Student Groupings'!$H:$H=""Must be Together""),"""");iferror(filter('Student Groupings'!$A:$A,'Student Groupings'!$E:$E=$"&amp;"C56,'Student Groupings'!$H:$H=""Must be Together""),"""")})))"),"")</f>
        <v/>
      </c>
      <c r="AE56" s="104"/>
      <c r="AF56" s="104"/>
      <c r="AG56" s="104"/>
      <c r="AH56" s="104"/>
    </row>
    <row r="57">
      <c r="A57" s="101">
        <v>6.0</v>
      </c>
      <c r="B57" s="101">
        <v>31059.0</v>
      </c>
      <c r="C57" s="102" t="s">
        <v>355</v>
      </c>
      <c r="D57" s="52" t="s">
        <v>173</v>
      </c>
      <c r="E57" s="52">
        <v>3.0</v>
      </c>
      <c r="F57" s="52" t="s">
        <v>158</v>
      </c>
      <c r="G57" s="52">
        <v>6.0</v>
      </c>
      <c r="H57" s="52" t="s">
        <v>181</v>
      </c>
      <c r="I57" s="52">
        <v>1.0</v>
      </c>
      <c r="J57" s="52" t="s">
        <v>194</v>
      </c>
      <c r="K57" s="52">
        <v>2.0</v>
      </c>
      <c r="L57" s="52" t="s">
        <v>198</v>
      </c>
      <c r="M57" s="52">
        <v>4.0</v>
      </c>
      <c r="N57" s="52" t="s">
        <v>153</v>
      </c>
      <c r="O57" s="52" t="s">
        <v>112</v>
      </c>
      <c r="P57" s="52" t="s">
        <v>142</v>
      </c>
      <c r="Q57" s="52" t="s">
        <v>124</v>
      </c>
      <c r="R57" s="52" t="s">
        <v>142</v>
      </c>
      <c r="S57" s="52" t="s">
        <v>124</v>
      </c>
      <c r="T57" s="65" t="s">
        <v>142</v>
      </c>
      <c r="U57" s="32">
        <v>1.0</v>
      </c>
      <c r="V57" s="32">
        <v>1.0</v>
      </c>
      <c r="W57" s="32">
        <v>1.0</v>
      </c>
      <c r="X57" s="32">
        <v>1.0</v>
      </c>
      <c r="Y57" s="32">
        <v>1.0</v>
      </c>
      <c r="Z57" s="32">
        <v>1.0</v>
      </c>
      <c r="AA57" s="32">
        <v>6.0</v>
      </c>
      <c r="AB57" s="32">
        <v>0.0</v>
      </c>
      <c r="AC57" s="103" t="str">
        <f>IFERROR(__xludf.DUMMYFUNCTION("if($C57="""","""",if(join("" - "",{iferror(filter('Student Groupings'!$A:$A,'Student Groupings'!$B:$B=$C57,'Student Groupings'!$H:$H=""Can't be Together""),"""");iferror(filter('Student Groupings'!$A:$A,'Student Groupings'!$E:$E=$C57,'Student Groupings'!$"&amp;"H:$H=""Can't be Together""),"""")})="" - "","""",join("" - "",{iferror(filter('Student Groupings'!$A:$A,'Student Groupings'!$B:$B=$C57,'Student Groupings'!$H:$H=""Can't be Together""),"""");iferror(filter('Student Groupings'!$A:$A,'Student Groupings'!$E:$"&amp;"E=$C57,'Student Groupings'!$H:$H=""Can't be Together""),"""")})))"),"")</f>
        <v/>
      </c>
      <c r="AD57" s="103" t="str">
        <f>IFERROR(__xludf.DUMMYFUNCTION("if($C57="""","""",if(join("" - "",{iferror(filter('Student Groupings'!$A:$A,'Student Groupings'!$B:$B=$C57,'Student Groupings'!$H:$H=""Must be Together""),"""");iferror(filter('Student Groupings'!$A:$A,'Student Groupings'!$E:$E=$C57,'Student Groupings'!$H"&amp;":$H=""Must be Together""),"""")})="" - "","""",join("" - "",{iferror(filter('Student Groupings'!$A:$A,'Student Groupings'!$B:$B=$C57,'Student Groupings'!$H:$H=""Must be Together""),"""");iferror(filter('Student Groupings'!$A:$A,'Student Groupings'!$E:$E=$"&amp;"C57,'Student Groupings'!$H:$H=""Must be Together""),"""")})))"),"")</f>
        <v/>
      </c>
      <c r="AE57" s="104"/>
      <c r="AF57" s="104"/>
      <c r="AG57" s="104"/>
      <c r="AH57" s="104"/>
    </row>
    <row r="58">
      <c r="A58" s="101">
        <v>6.0</v>
      </c>
      <c r="B58" s="101">
        <v>31172.0</v>
      </c>
      <c r="C58" s="102" t="s">
        <v>219</v>
      </c>
      <c r="D58" s="52" t="s">
        <v>171</v>
      </c>
      <c r="E58" s="52">
        <v>2.0</v>
      </c>
      <c r="F58" s="52" t="s">
        <v>158</v>
      </c>
      <c r="G58" s="52">
        <v>5.0</v>
      </c>
      <c r="H58" s="52" t="s">
        <v>182</v>
      </c>
      <c r="I58" s="52">
        <v>6.0</v>
      </c>
      <c r="J58" s="52" t="s">
        <v>192</v>
      </c>
      <c r="K58" s="101">
        <v>4.0</v>
      </c>
      <c r="L58" s="52" t="s">
        <v>196</v>
      </c>
      <c r="M58" s="101">
        <v>3.0</v>
      </c>
      <c r="N58" s="52" t="s">
        <v>153</v>
      </c>
      <c r="O58" s="52" t="s">
        <v>108</v>
      </c>
      <c r="P58" s="52" t="s">
        <v>117</v>
      </c>
      <c r="Q58" s="52" t="s">
        <v>129</v>
      </c>
      <c r="R58" s="52" t="s">
        <v>134</v>
      </c>
      <c r="S58" s="52" t="s">
        <v>129</v>
      </c>
      <c r="T58" s="65" t="s">
        <v>27</v>
      </c>
      <c r="U58" s="32">
        <v>1.0</v>
      </c>
      <c r="V58" s="32">
        <v>1.0</v>
      </c>
      <c r="W58" s="32">
        <v>1.0</v>
      </c>
      <c r="X58" s="32">
        <v>1.0</v>
      </c>
      <c r="Y58" s="32">
        <v>1.0</v>
      </c>
      <c r="Z58" s="32">
        <v>1.0</v>
      </c>
      <c r="AA58" s="32">
        <v>6.0</v>
      </c>
      <c r="AB58" s="32">
        <v>0.0</v>
      </c>
      <c r="AC58" s="103" t="str">
        <f>IFERROR(__xludf.DUMMYFUNCTION("if($C58="""","""",if(join("" - "",{iferror(filter('Student Groupings'!$A:$A,'Student Groupings'!$B:$B=$C58,'Student Groupings'!$H:$H=""Can't be Together""),"""");iferror(filter('Student Groupings'!$A:$A,'Student Groupings'!$E:$E=$C58,'Student Groupings'!$"&amp;"H:$H=""Can't be Together""),"""")})="" - "","""",join("" - "",{iferror(filter('Student Groupings'!$A:$A,'Student Groupings'!$B:$B=$C58,'Student Groupings'!$H:$H=""Can't be Together""),"""");iferror(filter('Student Groupings'!$A:$A,'Student Groupings'!$E:$"&amp;"E=$C58,'Student Groupings'!$H:$H=""Can't be Together""),"""")})))"),"")</f>
        <v/>
      </c>
      <c r="AD58" s="103" t="str">
        <f>IFERROR(__xludf.DUMMYFUNCTION("if($C58="""","""",if(join("" - "",{iferror(filter('Student Groupings'!$A:$A,'Student Groupings'!$B:$B=$C58,'Student Groupings'!$H:$H=""Must be Together""),"""");iferror(filter('Student Groupings'!$A:$A,'Student Groupings'!$E:$E=$C58,'Student Groupings'!$H"&amp;":$H=""Must be Together""),"""")})="" - "","""",join("" - "",{iferror(filter('Student Groupings'!$A:$A,'Student Groupings'!$B:$B=$C58,'Student Groupings'!$H:$H=""Must be Together""),"""");iferror(filter('Student Groupings'!$A:$A,'Student Groupings'!$E:$E=$"&amp;"C58,'Student Groupings'!$H:$H=""Must be Together""),"""")})))")," - 5")</f>
        <v> - 5</v>
      </c>
      <c r="AE58" s="104"/>
      <c r="AF58" s="104"/>
      <c r="AG58" s="104"/>
      <c r="AH58" s="104"/>
    </row>
    <row r="59">
      <c r="A59" s="101">
        <v>6.0</v>
      </c>
      <c r="B59" s="101">
        <v>31061.0</v>
      </c>
      <c r="C59" s="102" t="s">
        <v>356</v>
      </c>
      <c r="D59" s="52" t="s">
        <v>173</v>
      </c>
      <c r="E59" s="52">
        <v>3.0</v>
      </c>
      <c r="F59" s="52" t="s">
        <v>159</v>
      </c>
      <c r="G59" s="52">
        <v>5.0</v>
      </c>
      <c r="H59" s="52" t="s">
        <v>182</v>
      </c>
      <c r="I59" s="52">
        <v>1.0</v>
      </c>
      <c r="J59" s="52" t="s">
        <v>194</v>
      </c>
      <c r="K59" s="52">
        <v>2.0</v>
      </c>
      <c r="L59" s="52" t="s">
        <v>198</v>
      </c>
      <c r="M59" s="52">
        <v>4.0</v>
      </c>
      <c r="N59" s="52" t="s">
        <v>153</v>
      </c>
      <c r="O59" s="52" t="s">
        <v>109</v>
      </c>
      <c r="P59" s="52" t="s">
        <v>143</v>
      </c>
      <c r="Q59" s="52" t="s">
        <v>120</v>
      </c>
      <c r="R59" s="52" t="s">
        <v>143</v>
      </c>
      <c r="S59" s="52" t="s">
        <v>120</v>
      </c>
      <c r="T59" s="65" t="s">
        <v>143</v>
      </c>
      <c r="U59" s="32">
        <v>1.0</v>
      </c>
      <c r="V59" s="32">
        <v>1.0</v>
      </c>
      <c r="W59" s="32">
        <v>1.0</v>
      </c>
      <c r="X59" s="32">
        <v>1.0</v>
      </c>
      <c r="Y59" s="32">
        <v>1.0</v>
      </c>
      <c r="Z59" s="32">
        <v>1.0</v>
      </c>
      <c r="AA59" s="32">
        <v>6.0</v>
      </c>
      <c r="AB59" s="32">
        <v>0.0</v>
      </c>
      <c r="AC59" s="103" t="str">
        <f>IFERROR(__xludf.DUMMYFUNCTION("if($C59="""","""",if(join("" - "",{iferror(filter('Student Groupings'!$A:$A,'Student Groupings'!$B:$B=$C59,'Student Groupings'!$H:$H=""Can't be Together""),"""");iferror(filter('Student Groupings'!$A:$A,'Student Groupings'!$E:$E=$C59,'Student Groupings'!$"&amp;"H:$H=""Can't be Together""),"""")})="" - "","""",join("" - "",{iferror(filter('Student Groupings'!$A:$A,'Student Groupings'!$B:$B=$C59,'Student Groupings'!$H:$H=""Can't be Together""),"""");iferror(filter('Student Groupings'!$A:$A,'Student Groupings'!$E:$"&amp;"E=$C59,'Student Groupings'!$H:$H=""Can't be Together""),"""")})))"),"")</f>
        <v/>
      </c>
      <c r="AD59" s="103" t="str">
        <f>IFERROR(__xludf.DUMMYFUNCTION("if($C59="""","""",if(join("" - "",{iferror(filter('Student Groupings'!$A:$A,'Student Groupings'!$B:$B=$C59,'Student Groupings'!$H:$H=""Must be Together""),"""");iferror(filter('Student Groupings'!$A:$A,'Student Groupings'!$E:$E=$C59,'Student Groupings'!$H"&amp;":$H=""Must be Together""),"""")})="" - "","""",join("" - "",{iferror(filter('Student Groupings'!$A:$A,'Student Groupings'!$B:$B=$C59,'Student Groupings'!$H:$H=""Must be Together""),"""");iferror(filter('Student Groupings'!$A:$A,'Student Groupings'!$E:$E=$"&amp;"C59,'Student Groupings'!$H:$H=""Must be Together""),"""")})))"),"")</f>
        <v/>
      </c>
      <c r="AE59" s="105"/>
      <c r="AF59" s="105"/>
      <c r="AG59" s="105"/>
      <c r="AH59" s="105"/>
    </row>
    <row r="60">
      <c r="A60" s="101">
        <v>6.0</v>
      </c>
      <c r="B60" s="101">
        <v>31060.0</v>
      </c>
      <c r="C60" s="102" t="s">
        <v>357</v>
      </c>
      <c r="D60" s="52" t="s">
        <v>171</v>
      </c>
      <c r="E60" s="52">
        <v>2.0</v>
      </c>
      <c r="F60" s="52" t="s">
        <v>158</v>
      </c>
      <c r="G60" s="52">
        <v>6.0</v>
      </c>
      <c r="H60" s="52" t="s">
        <v>181</v>
      </c>
      <c r="I60" s="52">
        <v>1.0</v>
      </c>
      <c r="J60" s="52" t="s">
        <v>192</v>
      </c>
      <c r="K60" s="52">
        <v>4.0</v>
      </c>
      <c r="L60" s="52" t="s">
        <v>196</v>
      </c>
      <c r="M60" s="52">
        <v>3.0</v>
      </c>
      <c r="N60" s="52" t="s">
        <v>153</v>
      </c>
      <c r="O60" s="52" t="s">
        <v>112</v>
      </c>
      <c r="P60" s="52" t="s">
        <v>142</v>
      </c>
      <c r="Q60" s="52" t="s">
        <v>124</v>
      </c>
      <c r="R60" s="52" t="s">
        <v>142</v>
      </c>
      <c r="S60" s="52" t="s">
        <v>124</v>
      </c>
      <c r="T60" s="65" t="s">
        <v>142</v>
      </c>
      <c r="U60" s="32">
        <v>1.0</v>
      </c>
      <c r="V60" s="32">
        <v>1.0</v>
      </c>
      <c r="W60" s="32">
        <v>1.0</v>
      </c>
      <c r="X60" s="32">
        <v>1.0</v>
      </c>
      <c r="Y60" s="32">
        <v>1.0</v>
      </c>
      <c r="Z60" s="32">
        <v>1.0</v>
      </c>
      <c r="AA60" s="32">
        <v>6.0</v>
      </c>
      <c r="AB60" s="32">
        <v>0.0</v>
      </c>
      <c r="AC60" s="103" t="str">
        <f>IFERROR(__xludf.DUMMYFUNCTION("if($C60="""","""",if(join("" - "",{iferror(filter('Student Groupings'!$A:$A,'Student Groupings'!$B:$B=$C60,'Student Groupings'!$H:$H=""Can't be Together""),"""");iferror(filter('Student Groupings'!$A:$A,'Student Groupings'!$E:$E=$C60,'Student Groupings'!$"&amp;"H:$H=""Can't be Together""),"""")})="" - "","""",join("" - "",{iferror(filter('Student Groupings'!$A:$A,'Student Groupings'!$B:$B=$C60,'Student Groupings'!$H:$H=""Can't be Together""),"""");iferror(filter('Student Groupings'!$A:$A,'Student Groupings'!$E:$"&amp;"E=$C60,'Student Groupings'!$H:$H=""Can't be Together""),"""")})))"),"")</f>
        <v/>
      </c>
      <c r="AD60" s="103" t="str">
        <f>IFERROR(__xludf.DUMMYFUNCTION("if($C60="""","""",if(join("" - "",{iferror(filter('Student Groupings'!$A:$A,'Student Groupings'!$B:$B=$C60,'Student Groupings'!$H:$H=""Must be Together""),"""");iferror(filter('Student Groupings'!$A:$A,'Student Groupings'!$E:$E=$C60,'Student Groupings'!$H"&amp;":$H=""Must be Together""),"""")})="" - "","""",join("" - "",{iferror(filter('Student Groupings'!$A:$A,'Student Groupings'!$B:$B=$C60,'Student Groupings'!$H:$H=""Must be Together""),"""");iferror(filter('Student Groupings'!$A:$A,'Student Groupings'!$E:$E=$"&amp;"C60,'Student Groupings'!$H:$H=""Must be Together""),"""")})))"),"")</f>
        <v/>
      </c>
      <c r="AE60" s="104"/>
      <c r="AF60" s="104"/>
      <c r="AG60" s="104"/>
      <c r="AH60" s="104"/>
    </row>
    <row r="61">
      <c r="A61" s="101">
        <v>6.0</v>
      </c>
      <c r="B61" s="101">
        <v>31062.0</v>
      </c>
      <c r="C61" s="102" t="s">
        <v>248</v>
      </c>
      <c r="D61" s="52" t="s">
        <v>171</v>
      </c>
      <c r="E61" s="52">
        <v>3.0</v>
      </c>
      <c r="F61" s="52" t="s">
        <v>158</v>
      </c>
      <c r="G61" s="52">
        <v>1.0</v>
      </c>
      <c r="H61" s="52" t="s">
        <v>182</v>
      </c>
      <c r="I61" s="52">
        <v>5.0</v>
      </c>
      <c r="J61" s="52" t="s">
        <v>192</v>
      </c>
      <c r="K61" s="52">
        <v>2.0</v>
      </c>
      <c r="L61" s="52" t="s">
        <v>196</v>
      </c>
      <c r="M61" s="52">
        <v>4.0</v>
      </c>
      <c r="N61" s="52" t="s">
        <v>153</v>
      </c>
      <c r="O61" s="52" t="s">
        <v>120</v>
      </c>
      <c r="P61" s="52" t="s">
        <v>134</v>
      </c>
      <c r="Q61" s="52" t="s">
        <v>109</v>
      </c>
      <c r="R61" s="52" t="s">
        <v>117</v>
      </c>
      <c r="S61" s="52" t="s">
        <v>109</v>
      </c>
      <c r="T61" s="65" t="s">
        <v>27</v>
      </c>
      <c r="U61" s="32">
        <v>1.0</v>
      </c>
      <c r="V61" s="32">
        <v>1.0</v>
      </c>
      <c r="W61" s="32">
        <v>1.0</v>
      </c>
      <c r="X61" s="32">
        <v>1.0</v>
      </c>
      <c r="Y61" s="32">
        <v>1.0</v>
      </c>
      <c r="Z61" s="32">
        <v>1.0</v>
      </c>
      <c r="AA61" s="32">
        <v>6.0</v>
      </c>
      <c r="AB61" s="32">
        <v>0.0</v>
      </c>
      <c r="AC61" s="103" t="str">
        <f>IFERROR(__xludf.DUMMYFUNCTION("if($C61="""","""",if(join("" - "",{iferror(filter('Student Groupings'!$A:$A,'Student Groupings'!$B:$B=$C61,'Student Groupings'!$H:$H=""Can't be Together""),"""");iferror(filter('Student Groupings'!$A:$A,'Student Groupings'!$E:$E=$C61,'Student Groupings'!$"&amp;"H:$H=""Can't be Together""),"""")})="" - "","""",join("" - "",{iferror(filter('Student Groupings'!$A:$A,'Student Groupings'!$B:$B=$C61,'Student Groupings'!$H:$H=""Can't be Together""),"""");iferror(filter('Student Groupings'!$A:$A,'Student Groupings'!$E:$"&amp;"E=$C61,'Student Groupings'!$H:$H=""Can't be Together""),"""")})))"),"33 - ")</f>
        <v>33 - </v>
      </c>
      <c r="AD61" s="103" t="str">
        <f>IFERROR(__xludf.DUMMYFUNCTION("if($C61="""","""",if(join("" - "",{iferror(filter('Student Groupings'!$A:$A,'Student Groupings'!$B:$B=$C61,'Student Groupings'!$H:$H=""Must be Together""),"""");iferror(filter('Student Groupings'!$A:$A,'Student Groupings'!$E:$E=$C61,'Student Groupings'!$H"&amp;":$H=""Must be Together""),"""")})="" - "","""",join("" - "",{iferror(filter('Student Groupings'!$A:$A,'Student Groupings'!$B:$B=$C61,'Student Groupings'!$H:$H=""Must be Together""),"""");iferror(filter('Student Groupings'!$A:$A,'Student Groupings'!$E:$E=$"&amp;"C61,'Student Groupings'!$H:$H=""Must be Together""),"""")})))"),"34 - ")</f>
        <v>34 - </v>
      </c>
      <c r="AE61" s="104"/>
      <c r="AF61" s="104"/>
      <c r="AG61" s="104"/>
      <c r="AH61" s="104"/>
    </row>
    <row r="62">
      <c r="A62" s="101">
        <v>6.0</v>
      </c>
      <c r="B62" s="101">
        <v>31063.0</v>
      </c>
      <c r="C62" s="102" t="s">
        <v>358</v>
      </c>
      <c r="D62" s="52" t="s">
        <v>171</v>
      </c>
      <c r="E62" s="52">
        <v>5.0</v>
      </c>
      <c r="F62" s="52" t="s">
        <v>158</v>
      </c>
      <c r="G62" s="52">
        <v>3.0</v>
      </c>
      <c r="H62" s="52" t="s">
        <v>182</v>
      </c>
      <c r="I62" s="52">
        <v>2.0</v>
      </c>
      <c r="J62" s="52" t="s">
        <v>192</v>
      </c>
      <c r="K62" s="52">
        <v>1.0</v>
      </c>
      <c r="L62" s="52" t="s">
        <v>196</v>
      </c>
      <c r="M62" s="101">
        <v>6.0</v>
      </c>
      <c r="N62" s="52" t="s">
        <v>153</v>
      </c>
      <c r="O62" s="52" t="s">
        <v>130</v>
      </c>
      <c r="P62" s="52" t="s">
        <v>134</v>
      </c>
      <c r="Q62" s="52" t="s">
        <v>111</v>
      </c>
      <c r="R62" s="52" t="s">
        <v>117</v>
      </c>
      <c r="S62" s="52" t="s">
        <v>111</v>
      </c>
      <c r="T62" s="65" t="s">
        <v>27</v>
      </c>
      <c r="U62" s="32">
        <v>1.0</v>
      </c>
      <c r="V62" s="32">
        <v>1.0</v>
      </c>
      <c r="W62" s="32">
        <v>1.0</v>
      </c>
      <c r="X62" s="32">
        <v>1.0</v>
      </c>
      <c r="Y62" s="32">
        <v>1.0</v>
      </c>
      <c r="Z62" s="32">
        <v>1.0</v>
      </c>
      <c r="AA62" s="32">
        <v>6.0</v>
      </c>
      <c r="AB62" s="32">
        <v>0.0</v>
      </c>
      <c r="AC62" s="103" t="str">
        <f>IFERROR(__xludf.DUMMYFUNCTION("if($C62="""","""",if(join("" - "",{iferror(filter('Student Groupings'!$A:$A,'Student Groupings'!$B:$B=$C62,'Student Groupings'!$H:$H=""Can't be Together""),"""");iferror(filter('Student Groupings'!$A:$A,'Student Groupings'!$E:$E=$C62,'Student Groupings'!$"&amp;"H:$H=""Can't be Together""),"""")})="" - "","""",join("" - "",{iferror(filter('Student Groupings'!$A:$A,'Student Groupings'!$B:$B=$C62,'Student Groupings'!$H:$H=""Can't be Together""),"""");iferror(filter('Student Groupings'!$A:$A,'Student Groupings'!$E:$"&amp;"E=$C62,'Student Groupings'!$H:$H=""Can't be Together""),"""")})))"),"")</f>
        <v/>
      </c>
      <c r="AD62" s="103" t="str">
        <f>IFERROR(__xludf.DUMMYFUNCTION("if($C62="""","""",if(join("" - "",{iferror(filter('Student Groupings'!$A:$A,'Student Groupings'!$B:$B=$C62,'Student Groupings'!$H:$H=""Must be Together""),"""");iferror(filter('Student Groupings'!$A:$A,'Student Groupings'!$E:$E=$C62,'Student Groupings'!$H"&amp;":$H=""Must be Together""),"""")})="" - "","""",join("" - "",{iferror(filter('Student Groupings'!$A:$A,'Student Groupings'!$B:$B=$C62,'Student Groupings'!$H:$H=""Must be Together""),"""");iferror(filter('Student Groupings'!$A:$A,'Student Groupings'!$E:$E=$"&amp;"C62,'Student Groupings'!$H:$H=""Must be Together""),"""")})))"),"")</f>
        <v/>
      </c>
      <c r="AE62" s="104"/>
      <c r="AF62" s="104"/>
      <c r="AG62" s="104"/>
      <c r="AH62" s="104"/>
    </row>
    <row r="63">
      <c r="A63" s="101">
        <v>6.0</v>
      </c>
      <c r="B63" s="101">
        <v>32076.0</v>
      </c>
      <c r="C63" s="102" t="s">
        <v>359</v>
      </c>
      <c r="D63" s="52" t="s">
        <v>171</v>
      </c>
      <c r="E63" s="52">
        <v>6.0</v>
      </c>
      <c r="F63" s="52" t="s">
        <v>158</v>
      </c>
      <c r="G63" s="52">
        <v>4.0</v>
      </c>
      <c r="H63" s="52" t="s">
        <v>182</v>
      </c>
      <c r="I63" s="52">
        <v>3.0</v>
      </c>
      <c r="J63" s="52" t="s">
        <v>192</v>
      </c>
      <c r="K63" s="52">
        <v>5.0</v>
      </c>
      <c r="L63" s="52" t="s">
        <v>196</v>
      </c>
      <c r="M63" s="52">
        <v>1.0</v>
      </c>
      <c r="N63" s="52" t="s">
        <v>153</v>
      </c>
      <c r="O63" s="52" t="s">
        <v>125</v>
      </c>
      <c r="P63" s="52" t="s">
        <v>117</v>
      </c>
      <c r="Q63" s="52" t="s">
        <v>119</v>
      </c>
      <c r="R63" s="52" t="s">
        <v>134</v>
      </c>
      <c r="S63" s="52" t="s">
        <v>119</v>
      </c>
      <c r="T63" s="65" t="s">
        <v>27</v>
      </c>
      <c r="U63" s="32">
        <v>1.0</v>
      </c>
      <c r="V63" s="32">
        <v>1.0</v>
      </c>
      <c r="W63" s="32">
        <v>1.0</v>
      </c>
      <c r="X63" s="32">
        <v>1.0</v>
      </c>
      <c r="Y63" s="32">
        <v>1.0</v>
      </c>
      <c r="Z63" s="32">
        <v>1.0</v>
      </c>
      <c r="AA63" s="32">
        <v>6.0</v>
      </c>
      <c r="AB63" s="32">
        <v>0.0</v>
      </c>
      <c r="AC63" s="103" t="str">
        <f>IFERROR(__xludf.DUMMYFUNCTION("if($C63="""","""",if(join("" - "",{iferror(filter('Student Groupings'!$A:$A,'Student Groupings'!$B:$B=$C63,'Student Groupings'!$H:$H=""Can't be Together""),"""");iferror(filter('Student Groupings'!$A:$A,'Student Groupings'!$E:$E=$C63,'Student Groupings'!$"&amp;"H:$H=""Can't be Together""),"""")})="" - "","""",join("" - "",{iferror(filter('Student Groupings'!$A:$A,'Student Groupings'!$B:$B=$C63,'Student Groupings'!$H:$H=""Can't be Together""),"""");iferror(filter('Student Groupings'!$A:$A,'Student Groupings'!$E:$"&amp;"E=$C63,'Student Groupings'!$H:$H=""Can't be Together""),"""")})))"),"")</f>
        <v/>
      </c>
      <c r="AD63" s="103" t="str">
        <f>IFERROR(__xludf.DUMMYFUNCTION("if($C63="""","""",if(join("" - "",{iferror(filter('Student Groupings'!$A:$A,'Student Groupings'!$B:$B=$C63,'Student Groupings'!$H:$H=""Must be Together""),"""");iferror(filter('Student Groupings'!$A:$A,'Student Groupings'!$E:$E=$C63,'Student Groupings'!$H"&amp;":$H=""Must be Together""),"""")})="" - "","""",join("" - "",{iferror(filter('Student Groupings'!$A:$A,'Student Groupings'!$B:$B=$C63,'Student Groupings'!$H:$H=""Must be Together""),"""");iferror(filter('Student Groupings'!$A:$A,'Student Groupings'!$E:$E=$"&amp;"C63,'Student Groupings'!$H:$H=""Must be Together""),"""")})))"),"")</f>
        <v/>
      </c>
      <c r="AE63" s="104"/>
      <c r="AF63" s="104"/>
      <c r="AG63" s="104"/>
      <c r="AH63" s="104"/>
    </row>
    <row r="64">
      <c r="A64" s="101">
        <v>6.0</v>
      </c>
      <c r="B64" s="101">
        <v>31064.0</v>
      </c>
      <c r="C64" s="102" t="s">
        <v>251</v>
      </c>
      <c r="D64" s="52" t="s">
        <v>171</v>
      </c>
      <c r="E64" s="52">
        <v>5.0</v>
      </c>
      <c r="F64" s="52" t="s">
        <v>158</v>
      </c>
      <c r="G64" s="52">
        <v>3.0</v>
      </c>
      <c r="H64" s="52" t="s">
        <v>182</v>
      </c>
      <c r="I64" s="52">
        <v>2.0</v>
      </c>
      <c r="J64" s="52" t="s">
        <v>192</v>
      </c>
      <c r="K64" s="52">
        <v>1.0</v>
      </c>
      <c r="L64" s="52" t="s">
        <v>196</v>
      </c>
      <c r="M64" s="52">
        <v>6.0</v>
      </c>
      <c r="N64" s="52" t="s">
        <v>153</v>
      </c>
      <c r="O64" s="52" t="s">
        <v>130</v>
      </c>
      <c r="P64" s="52" t="s">
        <v>117</v>
      </c>
      <c r="Q64" s="52" t="s">
        <v>111</v>
      </c>
      <c r="R64" s="52" t="s">
        <v>134</v>
      </c>
      <c r="S64" s="52" t="s">
        <v>111</v>
      </c>
      <c r="T64" s="65" t="s">
        <v>27</v>
      </c>
      <c r="U64" s="32">
        <v>1.0</v>
      </c>
      <c r="V64" s="32">
        <v>1.0</v>
      </c>
      <c r="W64" s="32">
        <v>1.0</v>
      </c>
      <c r="X64" s="32">
        <v>1.0</v>
      </c>
      <c r="Y64" s="32">
        <v>1.0</v>
      </c>
      <c r="Z64" s="32">
        <v>1.0</v>
      </c>
      <c r="AA64" s="32">
        <v>6.0</v>
      </c>
      <c r="AB64" s="32">
        <v>0.0</v>
      </c>
      <c r="AC64" s="103" t="str">
        <f>IFERROR(__xludf.DUMMYFUNCTION("if($C64="""","""",if(join("" - "",{iferror(filter('Student Groupings'!$A:$A,'Student Groupings'!$B:$B=$C64,'Student Groupings'!$H:$H=""Can't be Together""),"""");iferror(filter('Student Groupings'!$A:$A,'Student Groupings'!$E:$E=$C64,'Student Groupings'!$"&amp;"H:$H=""Can't be Together""),"""")})="" - "","""",join("" - "",{iferror(filter('Student Groupings'!$A:$A,'Student Groupings'!$B:$B=$C64,'Student Groupings'!$H:$H=""Can't be Together""),"""");iferror(filter('Student Groupings'!$A:$A,'Student Groupings'!$E:$"&amp;"E=$C64,'Student Groupings'!$H:$H=""Can't be Together""),"""")})))")," - 35")</f>
        <v> - 35</v>
      </c>
      <c r="AD64" s="103" t="str">
        <f>IFERROR(__xludf.DUMMYFUNCTION("if($C64="""","""",if(join("" - "",{iferror(filter('Student Groupings'!$A:$A,'Student Groupings'!$B:$B=$C64,'Student Groupings'!$H:$H=""Must be Together""),"""");iferror(filter('Student Groupings'!$A:$A,'Student Groupings'!$E:$E=$C64,'Student Groupings'!$H"&amp;":$H=""Must be Together""),"""")})="" - "","""",join("" - "",{iferror(filter('Student Groupings'!$A:$A,'Student Groupings'!$B:$B=$C64,'Student Groupings'!$H:$H=""Must be Together""),"""");iferror(filter('Student Groupings'!$A:$A,'Student Groupings'!$E:$E=$"&amp;"C64,'Student Groupings'!$H:$H=""Must be Together""),"""")})))"),"")</f>
        <v/>
      </c>
      <c r="AE64" s="104"/>
      <c r="AF64" s="104"/>
      <c r="AG64" s="104"/>
      <c r="AH64" s="104"/>
    </row>
    <row r="65">
      <c r="A65" s="101">
        <v>6.0</v>
      </c>
      <c r="B65" s="101">
        <v>31065.0</v>
      </c>
      <c r="C65" s="102" t="s">
        <v>360</v>
      </c>
      <c r="D65" s="52" t="s">
        <v>171</v>
      </c>
      <c r="E65" s="52">
        <v>6.0</v>
      </c>
      <c r="F65" s="52" t="s">
        <v>158</v>
      </c>
      <c r="G65" s="52">
        <v>4.0</v>
      </c>
      <c r="H65" s="52" t="s">
        <v>182</v>
      </c>
      <c r="I65" s="52">
        <v>3.0</v>
      </c>
      <c r="J65" s="52" t="s">
        <v>192</v>
      </c>
      <c r="K65" s="52">
        <v>5.0</v>
      </c>
      <c r="L65" s="52" t="s">
        <v>196</v>
      </c>
      <c r="M65" s="52">
        <v>1.0</v>
      </c>
      <c r="N65" s="52" t="s">
        <v>153</v>
      </c>
      <c r="O65" s="52" t="s">
        <v>125</v>
      </c>
      <c r="P65" s="52" t="s">
        <v>134</v>
      </c>
      <c r="Q65" s="52" t="s">
        <v>119</v>
      </c>
      <c r="R65" s="52" t="s">
        <v>117</v>
      </c>
      <c r="S65" s="52" t="s">
        <v>119</v>
      </c>
      <c r="T65" s="65" t="s">
        <v>27</v>
      </c>
      <c r="U65" s="32">
        <v>1.0</v>
      </c>
      <c r="V65" s="32">
        <v>1.0</v>
      </c>
      <c r="W65" s="32">
        <v>1.0</v>
      </c>
      <c r="X65" s="32">
        <v>1.0</v>
      </c>
      <c r="Y65" s="32">
        <v>1.0</v>
      </c>
      <c r="Z65" s="32">
        <v>1.0</v>
      </c>
      <c r="AA65" s="32">
        <v>6.0</v>
      </c>
      <c r="AB65" s="32">
        <v>0.0</v>
      </c>
      <c r="AC65" s="103" t="str">
        <f>IFERROR(__xludf.DUMMYFUNCTION("if($C65="""","""",if(join("" - "",{iferror(filter('Student Groupings'!$A:$A,'Student Groupings'!$B:$B=$C65,'Student Groupings'!$H:$H=""Can't be Together""),"""");iferror(filter('Student Groupings'!$A:$A,'Student Groupings'!$E:$E=$C65,'Student Groupings'!$"&amp;"H:$H=""Can't be Together""),"""")})="" - "","""",join("" - "",{iferror(filter('Student Groupings'!$A:$A,'Student Groupings'!$B:$B=$C65,'Student Groupings'!$H:$H=""Can't be Together""),"""");iferror(filter('Student Groupings'!$A:$A,'Student Groupings'!$E:$"&amp;"E=$C65,'Student Groupings'!$H:$H=""Can't be Together""),"""")})))"),"")</f>
        <v/>
      </c>
      <c r="AD65" s="103" t="str">
        <f>IFERROR(__xludf.DUMMYFUNCTION("if($C65="""","""",if(join("" - "",{iferror(filter('Student Groupings'!$A:$A,'Student Groupings'!$B:$B=$C65,'Student Groupings'!$H:$H=""Must be Together""),"""");iferror(filter('Student Groupings'!$A:$A,'Student Groupings'!$E:$E=$C65,'Student Groupings'!$H"&amp;":$H=""Must be Together""),"""")})="" - "","""",join("" - "",{iferror(filter('Student Groupings'!$A:$A,'Student Groupings'!$B:$B=$C65,'Student Groupings'!$H:$H=""Must be Together""),"""");iferror(filter('Student Groupings'!$A:$A,'Student Groupings'!$E:$E=$"&amp;"C65,'Student Groupings'!$H:$H=""Must be Together""),"""")})))"),"")</f>
        <v/>
      </c>
      <c r="AE65" s="104"/>
      <c r="AF65" s="104"/>
      <c r="AG65" s="104"/>
      <c r="AH65" s="104"/>
    </row>
    <row r="66">
      <c r="A66" s="101">
        <v>6.0</v>
      </c>
      <c r="B66" s="101">
        <v>31066.0</v>
      </c>
      <c r="C66" s="102" t="s">
        <v>227</v>
      </c>
      <c r="D66" s="52" t="s">
        <v>171</v>
      </c>
      <c r="E66" s="52">
        <v>4.0</v>
      </c>
      <c r="F66" s="52" t="s">
        <v>158</v>
      </c>
      <c r="G66" s="52">
        <v>5.0</v>
      </c>
      <c r="H66" s="52" t="s">
        <v>182</v>
      </c>
      <c r="I66" s="52">
        <v>6.0</v>
      </c>
      <c r="J66" s="52" t="s">
        <v>192</v>
      </c>
      <c r="K66" s="52">
        <v>3.0</v>
      </c>
      <c r="L66" s="52" t="s">
        <v>196</v>
      </c>
      <c r="M66" s="52">
        <v>2.0</v>
      </c>
      <c r="N66" s="52" t="s">
        <v>153</v>
      </c>
      <c r="O66" s="52" t="s">
        <v>108</v>
      </c>
      <c r="P66" s="52" t="s">
        <v>134</v>
      </c>
      <c r="Q66" s="52" t="s">
        <v>129</v>
      </c>
      <c r="R66" s="52" t="s">
        <v>117</v>
      </c>
      <c r="S66" s="52" t="s">
        <v>129</v>
      </c>
      <c r="T66" s="65" t="s">
        <v>27</v>
      </c>
      <c r="U66" s="32">
        <v>1.0</v>
      </c>
      <c r="V66" s="32">
        <v>1.0</v>
      </c>
      <c r="W66" s="32">
        <v>1.0</v>
      </c>
      <c r="X66" s="32">
        <v>1.0</v>
      </c>
      <c r="Y66" s="32">
        <v>1.0</v>
      </c>
      <c r="Z66" s="32">
        <v>1.0</v>
      </c>
      <c r="AA66" s="32">
        <v>6.0</v>
      </c>
      <c r="AB66" s="32">
        <v>0.0</v>
      </c>
      <c r="AC66" s="103" t="str">
        <f>IFERROR(__xludf.DUMMYFUNCTION("if($C66="""","""",if(join("" - "",{iferror(filter('Student Groupings'!$A:$A,'Student Groupings'!$B:$B=$C66,'Student Groupings'!$H:$H=""Can't be Together""),"""");iferror(filter('Student Groupings'!$A:$A,'Student Groupings'!$E:$E=$C66,'Student Groupings'!$"&amp;"H:$H=""Can't be Together""),"""")})="" - "","""",join("" - "",{iferror(filter('Student Groupings'!$A:$A,'Student Groupings'!$B:$B=$C66,'Student Groupings'!$H:$H=""Can't be Together""),"""");iferror(filter('Student Groupings'!$A:$A,'Student Groupings'!$E:$"&amp;"E=$C66,'Student Groupings'!$H:$H=""Can't be Together""),"""")})))"),"15 - 16 - 17 - ")</f>
        <v>15 - 16 - 17 - </v>
      </c>
      <c r="AD66" s="103" t="str">
        <f>IFERROR(__xludf.DUMMYFUNCTION("if($C66="""","""",if(join("" - "",{iferror(filter('Student Groupings'!$A:$A,'Student Groupings'!$B:$B=$C66,'Student Groupings'!$H:$H=""Must be Together""),"""");iferror(filter('Student Groupings'!$A:$A,'Student Groupings'!$E:$E=$C66,'Student Groupings'!$H"&amp;":$H=""Must be Together""),"""")})="" - "","""",join("" - "",{iferror(filter('Student Groupings'!$A:$A,'Student Groupings'!$B:$B=$C66,'Student Groupings'!$H:$H=""Must be Together""),"""");iferror(filter('Student Groupings'!$A:$A,'Student Groupings'!$E:$E=$"&amp;"C66,'Student Groupings'!$H:$H=""Must be Together""),"""")})))"),"")</f>
        <v/>
      </c>
      <c r="AE66" s="104"/>
      <c r="AF66" s="104"/>
      <c r="AG66" s="104"/>
      <c r="AH66" s="104"/>
    </row>
    <row r="67">
      <c r="A67" s="101">
        <v>6.0</v>
      </c>
      <c r="B67" s="101">
        <v>31067.0</v>
      </c>
      <c r="C67" s="102" t="s">
        <v>230</v>
      </c>
      <c r="D67" s="52" t="s">
        <v>171</v>
      </c>
      <c r="E67" s="52">
        <v>5.0</v>
      </c>
      <c r="F67" s="52" t="s">
        <v>158</v>
      </c>
      <c r="G67" s="52">
        <v>3.0</v>
      </c>
      <c r="H67" s="52" t="s">
        <v>182</v>
      </c>
      <c r="I67" s="52">
        <v>2.0</v>
      </c>
      <c r="J67" s="52" t="s">
        <v>192</v>
      </c>
      <c r="K67" s="52">
        <v>1.0</v>
      </c>
      <c r="L67" s="52" t="s">
        <v>196</v>
      </c>
      <c r="M67" s="52">
        <v>6.0</v>
      </c>
      <c r="N67" s="52" t="s">
        <v>153</v>
      </c>
      <c r="O67" s="52" t="s">
        <v>130</v>
      </c>
      <c r="P67" s="52" t="s">
        <v>117</v>
      </c>
      <c r="Q67" s="52" t="s">
        <v>111</v>
      </c>
      <c r="R67" s="52" t="s">
        <v>134</v>
      </c>
      <c r="S67" s="52" t="s">
        <v>111</v>
      </c>
      <c r="T67" s="65" t="s">
        <v>27</v>
      </c>
      <c r="U67" s="32">
        <v>1.0</v>
      </c>
      <c r="V67" s="32">
        <v>1.0</v>
      </c>
      <c r="W67" s="32">
        <v>1.0</v>
      </c>
      <c r="X67" s="32">
        <v>1.0</v>
      </c>
      <c r="Y67" s="32">
        <v>1.0</v>
      </c>
      <c r="Z67" s="32">
        <v>1.0</v>
      </c>
      <c r="AA67" s="32">
        <v>6.0</v>
      </c>
      <c r="AB67" s="32">
        <v>0.0</v>
      </c>
      <c r="AC67" s="103" t="str">
        <f>IFERROR(__xludf.DUMMYFUNCTION("if($C67="""","""",if(join("" - "",{iferror(filter('Student Groupings'!$A:$A,'Student Groupings'!$B:$B=$C67,'Student Groupings'!$H:$H=""Can't be Together""),"""");iferror(filter('Student Groupings'!$A:$A,'Student Groupings'!$E:$E=$C67,'Student Groupings'!$"&amp;"H:$H=""Can't be Together""),"""")})="" - "","""",join("" - "",{iferror(filter('Student Groupings'!$A:$A,'Student Groupings'!$B:$B=$C67,'Student Groupings'!$H:$H=""Can't be Together""),"""");iferror(filter('Student Groupings'!$A:$A,'Student Groupings'!$E:$"&amp;"E=$C67,'Student Groupings'!$H:$H=""Can't be Together""),"""")})))")," - 17 - 18")</f>
        <v> - 17 - 18</v>
      </c>
      <c r="AD67" s="103" t="str">
        <f>IFERROR(__xludf.DUMMYFUNCTION("if($C67="""","""",if(join("" - "",{iferror(filter('Student Groupings'!$A:$A,'Student Groupings'!$B:$B=$C67,'Student Groupings'!$H:$H=""Must be Together""),"""");iferror(filter('Student Groupings'!$A:$A,'Student Groupings'!$E:$E=$C67,'Student Groupings'!$H"&amp;":$H=""Must be Together""),"""")})="" - "","""",join("" - "",{iferror(filter('Student Groupings'!$A:$A,'Student Groupings'!$B:$B=$C67,'Student Groupings'!$H:$H=""Must be Together""),"""");iferror(filter('Student Groupings'!$A:$A,'Student Groupings'!$E:$E=$"&amp;"C67,'Student Groupings'!$H:$H=""Must be Together""),"""")})))"),"")</f>
        <v/>
      </c>
      <c r="AE67" s="104"/>
      <c r="AF67" s="104"/>
      <c r="AG67" s="105"/>
      <c r="AH67" s="105"/>
    </row>
    <row r="68">
      <c r="A68" s="101">
        <v>6.0</v>
      </c>
      <c r="B68" s="101">
        <v>31149.0</v>
      </c>
      <c r="C68" s="102" t="s">
        <v>361</v>
      </c>
      <c r="D68" s="52" t="s">
        <v>171</v>
      </c>
      <c r="E68" s="52">
        <v>3.0</v>
      </c>
      <c r="F68" s="52" t="s">
        <v>158</v>
      </c>
      <c r="G68" s="52">
        <v>1.0</v>
      </c>
      <c r="H68" s="52" t="s">
        <v>182</v>
      </c>
      <c r="I68" s="52">
        <v>6.0</v>
      </c>
      <c r="J68" s="52" t="s">
        <v>192</v>
      </c>
      <c r="K68" s="52">
        <v>2.0</v>
      </c>
      <c r="L68" s="52" t="s">
        <v>196</v>
      </c>
      <c r="M68" s="52">
        <v>4.0</v>
      </c>
      <c r="N68" s="52" t="s">
        <v>153</v>
      </c>
      <c r="O68" s="52" t="s">
        <v>112</v>
      </c>
      <c r="P68" s="52" t="s">
        <v>142</v>
      </c>
      <c r="Q68" s="52" t="s">
        <v>124</v>
      </c>
      <c r="R68" s="52" t="s">
        <v>142</v>
      </c>
      <c r="S68" s="52" t="s">
        <v>124</v>
      </c>
      <c r="T68" s="65" t="s">
        <v>142</v>
      </c>
      <c r="U68" s="32">
        <v>1.0</v>
      </c>
      <c r="V68" s="32">
        <v>1.0</v>
      </c>
      <c r="W68" s="32">
        <v>1.0</v>
      </c>
      <c r="X68" s="32">
        <v>1.0</v>
      </c>
      <c r="Y68" s="32">
        <v>1.0</v>
      </c>
      <c r="Z68" s="32">
        <v>1.0</v>
      </c>
      <c r="AA68" s="32">
        <v>6.0</v>
      </c>
      <c r="AB68" s="32">
        <v>0.0</v>
      </c>
      <c r="AC68" s="103" t="str">
        <f>IFERROR(__xludf.DUMMYFUNCTION("if($C68="""","""",if(join("" - "",{iferror(filter('Student Groupings'!$A:$A,'Student Groupings'!$B:$B=$C68,'Student Groupings'!$H:$H=""Can't be Together""),"""");iferror(filter('Student Groupings'!$A:$A,'Student Groupings'!$E:$E=$C68,'Student Groupings'!$"&amp;"H:$H=""Can't be Together""),"""")})="" - "","""",join("" - "",{iferror(filter('Student Groupings'!$A:$A,'Student Groupings'!$B:$B=$C68,'Student Groupings'!$H:$H=""Can't be Together""),"""");iferror(filter('Student Groupings'!$A:$A,'Student Groupings'!$E:$"&amp;"E=$C68,'Student Groupings'!$H:$H=""Can't be Together""),"""")})))"),"")</f>
        <v/>
      </c>
      <c r="AD68" s="103" t="str">
        <f>IFERROR(__xludf.DUMMYFUNCTION("if($C68="""","""",if(join("" - "",{iferror(filter('Student Groupings'!$A:$A,'Student Groupings'!$B:$B=$C68,'Student Groupings'!$H:$H=""Must be Together""),"""");iferror(filter('Student Groupings'!$A:$A,'Student Groupings'!$E:$E=$C68,'Student Groupings'!$H"&amp;":$H=""Must be Together""),"""")})="" - "","""",join("" - "",{iferror(filter('Student Groupings'!$A:$A,'Student Groupings'!$B:$B=$C68,'Student Groupings'!$H:$H=""Must be Together""),"""");iferror(filter('Student Groupings'!$A:$A,'Student Groupings'!$E:$E=$"&amp;"C68,'Student Groupings'!$H:$H=""Must be Together""),"""")})))"),"")</f>
        <v/>
      </c>
      <c r="AE68" s="104"/>
      <c r="AF68" s="104"/>
      <c r="AG68" s="104"/>
      <c r="AH68" s="104"/>
    </row>
    <row r="69">
      <c r="A69" s="101">
        <v>6.0</v>
      </c>
      <c r="B69" s="101">
        <v>31164.0</v>
      </c>
      <c r="C69" s="102" t="s">
        <v>250</v>
      </c>
      <c r="D69" s="52" t="s">
        <v>171</v>
      </c>
      <c r="E69" s="52">
        <v>4.0</v>
      </c>
      <c r="F69" s="52" t="s">
        <v>158</v>
      </c>
      <c r="G69" s="52">
        <v>5.0</v>
      </c>
      <c r="H69" s="52" t="s">
        <v>182</v>
      </c>
      <c r="I69" s="52">
        <v>6.0</v>
      </c>
      <c r="J69" s="52" t="s">
        <v>192</v>
      </c>
      <c r="K69" s="52">
        <v>3.0</v>
      </c>
      <c r="L69" s="52" t="s">
        <v>197</v>
      </c>
      <c r="M69" s="52">
        <v>2.0</v>
      </c>
      <c r="N69" s="52" t="s">
        <v>153</v>
      </c>
      <c r="O69" s="52" t="s">
        <v>108</v>
      </c>
      <c r="P69" s="52" t="s">
        <v>117</v>
      </c>
      <c r="Q69" s="52" t="s">
        <v>129</v>
      </c>
      <c r="R69" s="52" t="s">
        <v>134</v>
      </c>
      <c r="S69" s="52" t="s">
        <v>129</v>
      </c>
      <c r="T69" s="65" t="s">
        <v>27</v>
      </c>
      <c r="U69" s="32">
        <v>1.0</v>
      </c>
      <c r="V69" s="32">
        <v>1.0</v>
      </c>
      <c r="W69" s="32">
        <v>1.0</v>
      </c>
      <c r="X69" s="32">
        <v>1.0</v>
      </c>
      <c r="Y69" s="32">
        <v>1.0</v>
      </c>
      <c r="Z69" s="32">
        <v>1.0</v>
      </c>
      <c r="AA69" s="32">
        <v>6.0</v>
      </c>
      <c r="AB69" s="32">
        <v>0.0</v>
      </c>
      <c r="AC69" s="103" t="str">
        <f>IFERROR(__xludf.DUMMYFUNCTION("if($C69="""","""",if(join("" - "",{iferror(filter('Student Groupings'!$A:$A,'Student Groupings'!$B:$B=$C69,'Student Groupings'!$H:$H=""Can't be Together""),"""");iferror(filter('Student Groupings'!$A:$A,'Student Groupings'!$E:$E=$C69,'Student Groupings'!$"&amp;"H:$H=""Can't be Together""),"""")})="" - "","""",join("" - "",{iferror(filter('Student Groupings'!$A:$A,'Student Groupings'!$B:$B=$C69,'Student Groupings'!$H:$H=""Can't be Together""),"""");iferror(filter('Student Groupings'!$A:$A,'Student Groupings'!$E:$"&amp;"E=$C69,'Student Groupings'!$H:$H=""Can't be Together""),"""")})))"),"35 - 36 - 37 - ")</f>
        <v>35 - 36 - 37 - </v>
      </c>
      <c r="AD69" s="103" t="str">
        <f>IFERROR(__xludf.DUMMYFUNCTION("if($C69="""","""",if(join("" - "",{iferror(filter('Student Groupings'!$A:$A,'Student Groupings'!$B:$B=$C69,'Student Groupings'!$H:$H=""Must be Together""),"""");iferror(filter('Student Groupings'!$A:$A,'Student Groupings'!$E:$E=$C69,'Student Groupings'!$H"&amp;":$H=""Must be Together""),"""")})="" - "","""",join("" - "",{iferror(filter('Student Groupings'!$A:$A,'Student Groupings'!$B:$B=$C69,'Student Groupings'!$H:$H=""Must be Together""),"""");iferror(filter('Student Groupings'!$A:$A,'Student Groupings'!$E:$E=$"&amp;"C69,'Student Groupings'!$H:$H=""Must be Together""),"""")})))"),"")</f>
        <v/>
      </c>
      <c r="AE69" s="105">
        <v>1.0</v>
      </c>
      <c r="AF69" s="104"/>
      <c r="AG69" s="104"/>
      <c r="AH69" s="104"/>
    </row>
    <row r="70">
      <c r="A70" s="101">
        <v>6.0</v>
      </c>
      <c r="B70" s="101">
        <v>31070.0</v>
      </c>
      <c r="C70" s="102" t="s">
        <v>217</v>
      </c>
      <c r="D70" s="52" t="s">
        <v>171</v>
      </c>
      <c r="E70" s="52">
        <v>2.0</v>
      </c>
      <c r="F70" s="52" t="s">
        <v>158</v>
      </c>
      <c r="G70" s="52">
        <v>6.0</v>
      </c>
      <c r="H70" s="52" t="s">
        <v>182</v>
      </c>
      <c r="I70" s="52">
        <v>1.0</v>
      </c>
      <c r="J70" s="52" t="s">
        <v>192</v>
      </c>
      <c r="K70" s="52">
        <v>4.0</v>
      </c>
      <c r="L70" s="52" t="s">
        <v>196</v>
      </c>
      <c r="M70" s="101">
        <v>3.0</v>
      </c>
      <c r="N70" s="52" t="s">
        <v>153</v>
      </c>
      <c r="O70" s="52" t="s">
        <v>112</v>
      </c>
      <c r="P70" s="52" t="s">
        <v>142</v>
      </c>
      <c r="Q70" s="52" t="s">
        <v>124</v>
      </c>
      <c r="R70" s="52" t="s">
        <v>142</v>
      </c>
      <c r="S70" s="52" t="s">
        <v>124</v>
      </c>
      <c r="T70" s="65" t="s">
        <v>142</v>
      </c>
      <c r="U70" s="32">
        <v>1.0</v>
      </c>
      <c r="V70" s="32">
        <v>1.0</v>
      </c>
      <c r="W70" s="32">
        <v>1.0</v>
      </c>
      <c r="X70" s="32">
        <v>1.0</v>
      </c>
      <c r="Y70" s="32">
        <v>1.0</v>
      </c>
      <c r="Z70" s="32">
        <v>1.0</v>
      </c>
      <c r="AA70" s="32">
        <v>6.0</v>
      </c>
      <c r="AB70" s="32">
        <v>0.0</v>
      </c>
      <c r="AC70" s="103" t="str">
        <f>IFERROR(__xludf.DUMMYFUNCTION("if($C70="""","""",if(join("" - "",{iferror(filter('Student Groupings'!$A:$A,'Student Groupings'!$B:$B=$C70,'Student Groupings'!$H:$H=""Can't be Together""),"""");iferror(filter('Student Groupings'!$A:$A,'Student Groupings'!$E:$E=$C70,'Student Groupings'!$"&amp;"H:$H=""Can't be Together""),"""")})="" - "","""",join("" - "",{iferror(filter('Student Groupings'!$A:$A,'Student Groupings'!$B:$B=$C70,'Student Groupings'!$H:$H=""Can't be Together""),"""");iferror(filter('Student Groupings'!$A:$A,'Student Groupings'!$E:$"&amp;"E=$C70,'Student Groupings'!$H:$H=""Can't be Together""),"""")})))")," - 4")</f>
        <v> - 4</v>
      </c>
      <c r="AD70" s="103" t="str">
        <f>IFERROR(__xludf.DUMMYFUNCTION("if($C70="""","""",if(join("" - "",{iferror(filter('Student Groupings'!$A:$A,'Student Groupings'!$B:$B=$C70,'Student Groupings'!$H:$H=""Must be Together""),"""");iferror(filter('Student Groupings'!$A:$A,'Student Groupings'!$E:$E=$C70,'Student Groupings'!$H"&amp;":$H=""Must be Together""),"""")})="" - "","""",join("" - "",{iferror(filter('Student Groupings'!$A:$A,'Student Groupings'!$B:$B=$C70,'Student Groupings'!$H:$H=""Must be Together""),"""");iferror(filter('Student Groupings'!$A:$A,'Student Groupings'!$E:$E=$"&amp;"C70,'Student Groupings'!$H:$H=""Must be Together""),"""")})))"),"")</f>
        <v/>
      </c>
      <c r="AE70" s="105"/>
      <c r="AF70" s="105"/>
      <c r="AG70" s="105"/>
      <c r="AH70" s="105"/>
    </row>
    <row r="71">
      <c r="A71" s="101">
        <v>6.0</v>
      </c>
      <c r="B71" s="101">
        <v>31071.0</v>
      </c>
      <c r="C71" s="102" t="s">
        <v>362</v>
      </c>
      <c r="D71" s="52" t="s">
        <v>171</v>
      </c>
      <c r="E71" s="52">
        <v>5.0</v>
      </c>
      <c r="F71" s="52" t="s">
        <v>158</v>
      </c>
      <c r="G71" s="52">
        <v>4.0</v>
      </c>
      <c r="H71" s="52" t="s">
        <v>182</v>
      </c>
      <c r="I71" s="52">
        <v>3.0</v>
      </c>
      <c r="J71" s="52" t="s">
        <v>192</v>
      </c>
      <c r="K71" s="52">
        <v>1.0</v>
      </c>
      <c r="L71" s="52" t="s">
        <v>196</v>
      </c>
      <c r="M71" s="52">
        <v>6.0</v>
      </c>
      <c r="N71" s="52" t="s">
        <v>153</v>
      </c>
      <c r="O71" s="52" t="s">
        <v>125</v>
      </c>
      <c r="P71" s="52" t="s">
        <v>117</v>
      </c>
      <c r="Q71" s="52" t="s">
        <v>119</v>
      </c>
      <c r="R71" s="52" t="s">
        <v>134</v>
      </c>
      <c r="S71" s="52" t="s">
        <v>119</v>
      </c>
      <c r="T71" s="65" t="s">
        <v>27</v>
      </c>
      <c r="U71" s="32">
        <v>1.0</v>
      </c>
      <c r="V71" s="32">
        <v>1.0</v>
      </c>
      <c r="W71" s="32">
        <v>1.0</v>
      </c>
      <c r="X71" s="32">
        <v>1.0</v>
      </c>
      <c r="Y71" s="32">
        <v>1.0</v>
      </c>
      <c r="Z71" s="32">
        <v>1.0</v>
      </c>
      <c r="AA71" s="32">
        <v>6.0</v>
      </c>
      <c r="AB71" s="32">
        <v>0.0</v>
      </c>
      <c r="AC71" s="103" t="str">
        <f>IFERROR(__xludf.DUMMYFUNCTION("if($C71="""","""",if(join("" - "",{iferror(filter('Student Groupings'!$A:$A,'Student Groupings'!$B:$B=$C71,'Student Groupings'!$H:$H=""Can't be Together""),"""");iferror(filter('Student Groupings'!$A:$A,'Student Groupings'!$E:$E=$C71,'Student Groupings'!$"&amp;"H:$H=""Can't be Together""),"""")})="" - "","""",join("" - "",{iferror(filter('Student Groupings'!$A:$A,'Student Groupings'!$B:$B=$C71,'Student Groupings'!$H:$H=""Can't be Together""),"""");iferror(filter('Student Groupings'!$A:$A,'Student Groupings'!$E:$"&amp;"E=$C71,'Student Groupings'!$H:$H=""Can't be Together""),"""")})))"),"")</f>
        <v/>
      </c>
      <c r="AD71" s="103" t="str">
        <f>IFERROR(__xludf.DUMMYFUNCTION("if($C71="""","""",if(join("" - "",{iferror(filter('Student Groupings'!$A:$A,'Student Groupings'!$B:$B=$C71,'Student Groupings'!$H:$H=""Must be Together""),"""");iferror(filter('Student Groupings'!$A:$A,'Student Groupings'!$E:$E=$C71,'Student Groupings'!$H"&amp;":$H=""Must be Together""),"""")})="" - "","""",join("" - "",{iferror(filter('Student Groupings'!$A:$A,'Student Groupings'!$B:$B=$C71,'Student Groupings'!$H:$H=""Must be Together""),"""");iferror(filter('Student Groupings'!$A:$A,'Student Groupings'!$E:$E=$"&amp;"C71,'Student Groupings'!$H:$H=""Must be Together""),"""")})))"),"")</f>
        <v/>
      </c>
      <c r="AE71" s="104"/>
      <c r="AF71" s="104"/>
      <c r="AG71" s="104"/>
      <c r="AH71" s="104"/>
    </row>
    <row r="72">
      <c r="A72" s="101">
        <v>6.0</v>
      </c>
      <c r="B72" s="101">
        <v>31072.0</v>
      </c>
      <c r="C72" s="102" t="s">
        <v>363</v>
      </c>
      <c r="D72" s="52" t="s">
        <v>171</v>
      </c>
      <c r="E72" s="52">
        <v>6.0</v>
      </c>
      <c r="F72" s="52" t="s">
        <v>158</v>
      </c>
      <c r="G72" s="52">
        <v>3.0</v>
      </c>
      <c r="H72" s="52" t="s">
        <v>182</v>
      </c>
      <c r="I72" s="52">
        <v>2.0</v>
      </c>
      <c r="J72" s="52" t="s">
        <v>192</v>
      </c>
      <c r="K72" s="52">
        <v>5.0</v>
      </c>
      <c r="L72" s="52" t="s">
        <v>196</v>
      </c>
      <c r="M72" s="52">
        <v>1.0</v>
      </c>
      <c r="N72" s="52" t="s">
        <v>153</v>
      </c>
      <c r="O72" s="52" t="s">
        <v>130</v>
      </c>
      <c r="P72" s="52" t="s">
        <v>134</v>
      </c>
      <c r="Q72" s="52" t="s">
        <v>111</v>
      </c>
      <c r="R72" s="52" t="s">
        <v>117</v>
      </c>
      <c r="S72" s="52" t="s">
        <v>111</v>
      </c>
      <c r="T72" s="65" t="s">
        <v>27</v>
      </c>
      <c r="U72" s="32">
        <v>1.0</v>
      </c>
      <c r="V72" s="32">
        <v>1.0</v>
      </c>
      <c r="W72" s="32">
        <v>1.0</v>
      </c>
      <c r="X72" s="32">
        <v>1.0</v>
      </c>
      <c r="Y72" s="32">
        <v>1.0</v>
      </c>
      <c r="Z72" s="32">
        <v>1.0</v>
      </c>
      <c r="AA72" s="32">
        <v>6.0</v>
      </c>
      <c r="AB72" s="32">
        <v>0.0</v>
      </c>
      <c r="AC72" s="103" t="str">
        <f>IFERROR(__xludf.DUMMYFUNCTION("if($C72="""","""",if(join("" - "",{iferror(filter('Student Groupings'!$A:$A,'Student Groupings'!$B:$B=$C72,'Student Groupings'!$H:$H=""Can't be Together""),"""");iferror(filter('Student Groupings'!$A:$A,'Student Groupings'!$E:$E=$C72,'Student Groupings'!$"&amp;"H:$H=""Can't be Together""),"""")})="" - "","""",join("" - "",{iferror(filter('Student Groupings'!$A:$A,'Student Groupings'!$B:$B=$C72,'Student Groupings'!$H:$H=""Can't be Together""),"""");iferror(filter('Student Groupings'!$A:$A,'Student Groupings'!$E:$"&amp;"E=$C72,'Student Groupings'!$H:$H=""Can't be Together""),"""")})))"),"")</f>
        <v/>
      </c>
      <c r="AD72" s="103" t="str">
        <f>IFERROR(__xludf.DUMMYFUNCTION("if($C72="""","""",if(join("" - "",{iferror(filter('Student Groupings'!$A:$A,'Student Groupings'!$B:$B=$C72,'Student Groupings'!$H:$H=""Must be Together""),"""");iferror(filter('Student Groupings'!$A:$A,'Student Groupings'!$E:$E=$C72,'Student Groupings'!$H"&amp;":$H=""Must be Together""),"""")})="" - "","""",join("" - "",{iferror(filter('Student Groupings'!$A:$A,'Student Groupings'!$B:$B=$C72,'Student Groupings'!$H:$H=""Must be Together""),"""");iferror(filter('Student Groupings'!$A:$A,'Student Groupings'!$E:$E=$"&amp;"C72,'Student Groupings'!$H:$H=""Must be Together""),"""")})))"),"")</f>
        <v/>
      </c>
      <c r="AE72" s="104"/>
      <c r="AF72" s="104"/>
      <c r="AG72" s="104"/>
      <c r="AH72" s="104"/>
    </row>
    <row r="73">
      <c r="A73" s="101">
        <v>6.0</v>
      </c>
      <c r="B73" s="101">
        <v>31157.0</v>
      </c>
      <c r="C73" s="102" t="s">
        <v>224</v>
      </c>
      <c r="D73" s="52" t="s">
        <v>171</v>
      </c>
      <c r="E73" s="52">
        <v>2.0</v>
      </c>
      <c r="F73" s="52" t="s">
        <v>158</v>
      </c>
      <c r="G73" s="52">
        <v>5.0</v>
      </c>
      <c r="H73" s="52" t="s">
        <v>181</v>
      </c>
      <c r="I73" s="52">
        <v>1.0</v>
      </c>
      <c r="J73" s="52" t="s">
        <v>192</v>
      </c>
      <c r="K73" s="52">
        <v>4.0</v>
      </c>
      <c r="L73" s="52" t="s">
        <v>196</v>
      </c>
      <c r="M73" s="52">
        <v>3.0</v>
      </c>
      <c r="N73" s="52" t="s">
        <v>153</v>
      </c>
      <c r="O73" s="52" t="s">
        <v>120</v>
      </c>
      <c r="P73" s="52" t="s">
        <v>117</v>
      </c>
      <c r="Q73" s="52" t="s">
        <v>109</v>
      </c>
      <c r="R73" s="52" t="s">
        <v>134</v>
      </c>
      <c r="S73" s="52" t="s">
        <v>109</v>
      </c>
      <c r="T73" s="65" t="s">
        <v>27</v>
      </c>
      <c r="U73" s="32">
        <v>1.0</v>
      </c>
      <c r="V73" s="32">
        <v>1.0</v>
      </c>
      <c r="W73" s="32">
        <v>1.0</v>
      </c>
      <c r="X73" s="32">
        <v>1.0</v>
      </c>
      <c r="Y73" s="32">
        <v>1.0</v>
      </c>
      <c r="Z73" s="32">
        <v>1.0</v>
      </c>
      <c r="AA73" s="32">
        <v>6.0</v>
      </c>
      <c r="AB73" s="32">
        <v>0.0</v>
      </c>
      <c r="AC73" s="103" t="str">
        <f>IFERROR(__xludf.DUMMYFUNCTION("if($C73="""","""",if(join("" - "",{iferror(filter('Student Groupings'!$A:$A,'Student Groupings'!$B:$B=$C73,'Student Groupings'!$H:$H=""Can't be Together""),"""");iferror(filter('Student Groupings'!$A:$A,'Student Groupings'!$E:$E=$C73,'Student Groupings'!$"&amp;"H:$H=""Can't be Together""),"""")})="" - "","""",join("" - "",{iferror(filter('Student Groupings'!$A:$A,'Student Groupings'!$B:$B=$C73,'Student Groupings'!$H:$H=""Can't be Together""),"""");iferror(filter('Student Groupings'!$A:$A,'Student Groupings'!$E:$"&amp;"E=$C73,'Student Groupings'!$H:$H=""Can't be Together""),"""")})))"),"11 - 12 - 13 - ")</f>
        <v>11 - 12 - 13 - </v>
      </c>
      <c r="AD73" s="103" t="str">
        <f>IFERROR(__xludf.DUMMYFUNCTION("if($C73="""","""",if(join("" - "",{iferror(filter('Student Groupings'!$A:$A,'Student Groupings'!$B:$B=$C73,'Student Groupings'!$H:$H=""Must be Together""),"""");iferror(filter('Student Groupings'!$A:$A,'Student Groupings'!$E:$E=$C73,'Student Groupings'!$H"&amp;":$H=""Must be Together""),"""")})="" - "","""",join("" - "",{iferror(filter('Student Groupings'!$A:$A,'Student Groupings'!$B:$B=$C73,'Student Groupings'!$H:$H=""Must be Together""),"""");iferror(filter('Student Groupings'!$A:$A,'Student Groupings'!$E:$E=$"&amp;"C73,'Student Groupings'!$H:$H=""Must be Together""),"""")})))"),"10 - 14 - ")</f>
        <v>10 - 14 - </v>
      </c>
      <c r="AE73" s="105"/>
      <c r="AF73" s="105">
        <v>1.0</v>
      </c>
      <c r="AG73" s="104"/>
      <c r="AH73" s="104"/>
    </row>
    <row r="74">
      <c r="A74" s="101">
        <v>6.0</v>
      </c>
      <c r="B74" s="101">
        <v>31073.0</v>
      </c>
      <c r="C74" s="102" t="s">
        <v>364</v>
      </c>
      <c r="D74" s="52" t="s">
        <v>171</v>
      </c>
      <c r="E74" s="52">
        <v>4.0</v>
      </c>
      <c r="F74" s="52" t="s">
        <v>159</v>
      </c>
      <c r="G74" s="52">
        <v>5.0</v>
      </c>
      <c r="H74" s="52" t="s">
        <v>181</v>
      </c>
      <c r="I74" s="52">
        <v>1.0</v>
      </c>
      <c r="J74" s="52" t="s">
        <v>192</v>
      </c>
      <c r="K74" s="52">
        <v>3.0</v>
      </c>
      <c r="L74" s="52" t="s">
        <v>196</v>
      </c>
      <c r="M74" s="52">
        <v>2.0</v>
      </c>
      <c r="N74" s="52" t="s">
        <v>153</v>
      </c>
      <c r="O74" s="52" t="s">
        <v>120</v>
      </c>
      <c r="P74" s="52" t="s">
        <v>117</v>
      </c>
      <c r="Q74" s="52" t="s">
        <v>109</v>
      </c>
      <c r="R74" s="52" t="s">
        <v>134</v>
      </c>
      <c r="S74" s="52" t="s">
        <v>109</v>
      </c>
      <c r="T74" s="65" t="s">
        <v>27</v>
      </c>
      <c r="U74" s="32">
        <v>1.0</v>
      </c>
      <c r="V74" s="32">
        <v>1.0</v>
      </c>
      <c r="W74" s="32">
        <v>1.0</v>
      </c>
      <c r="X74" s="32">
        <v>1.0</v>
      </c>
      <c r="Y74" s="32">
        <v>1.0</v>
      </c>
      <c r="Z74" s="32">
        <v>1.0</v>
      </c>
      <c r="AA74" s="32">
        <v>6.0</v>
      </c>
      <c r="AB74" s="32">
        <v>0.0</v>
      </c>
      <c r="AC74" s="103" t="str">
        <f>IFERROR(__xludf.DUMMYFUNCTION("if($C74="""","""",if(join("" - "",{iferror(filter('Student Groupings'!$A:$A,'Student Groupings'!$B:$B=$C74,'Student Groupings'!$H:$H=""Can't be Together""),"""");iferror(filter('Student Groupings'!$A:$A,'Student Groupings'!$E:$E=$C74,'Student Groupings'!$"&amp;"H:$H=""Can't be Together""),"""")})="" - "","""",join("" - "",{iferror(filter('Student Groupings'!$A:$A,'Student Groupings'!$B:$B=$C74,'Student Groupings'!$H:$H=""Can't be Together""),"""");iferror(filter('Student Groupings'!$A:$A,'Student Groupings'!$E:$"&amp;"E=$C74,'Student Groupings'!$H:$H=""Can't be Together""),"""")})))"),"")</f>
        <v/>
      </c>
      <c r="AD74" s="103" t="str">
        <f>IFERROR(__xludf.DUMMYFUNCTION("if($C74="""","""",if(join("" - "",{iferror(filter('Student Groupings'!$A:$A,'Student Groupings'!$B:$B=$C74,'Student Groupings'!$H:$H=""Must be Together""),"""");iferror(filter('Student Groupings'!$A:$A,'Student Groupings'!$E:$E=$C74,'Student Groupings'!$H"&amp;":$H=""Must be Together""),"""")})="" - "","""",join("" - "",{iferror(filter('Student Groupings'!$A:$A,'Student Groupings'!$B:$B=$C74,'Student Groupings'!$H:$H=""Must be Together""),"""");iferror(filter('Student Groupings'!$A:$A,'Student Groupings'!$E:$E=$"&amp;"C74,'Student Groupings'!$H:$H=""Must be Together""),"""")})))"),"")</f>
        <v/>
      </c>
      <c r="AE74" s="105"/>
      <c r="AF74" s="105">
        <v>1.0</v>
      </c>
      <c r="AG74" s="105">
        <v>1.0</v>
      </c>
      <c r="AH74" s="105"/>
    </row>
    <row r="75">
      <c r="A75" s="101">
        <v>6.0</v>
      </c>
      <c r="B75" s="101">
        <v>31074.0</v>
      </c>
      <c r="C75" s="102" t="s">
        <v>365</v>
      </c>
      <c r="D75" s="52" t="s">
        <v>171</v>
      </c>
      <c r="E75" s="52">
        <v>4.0</v>
      </c>
      <c r="F75" s="52" t="s">
        <v>159</v>
      </c>
      <c r="G75" s="52">
        <v>5.0</v>
      </c>
      <c r="H75" s="52" t="s">
        <v>181</v>
      </c>
      <c r="I75" s="52">
        <v>1.0</v>
      </c>
      <c r="J75" s="52" t="s">
        <v>192</v>
      </c>
      <c r="K75" s="52">
        <v>3.0</v>
      </c>
      <c r="L75" s="52" t="s">
        <v>196</v>
      </c>
      <c r="M75" s="52">
        <v>2.0</v>
      </c>
      <c r="N75" s="52" t="s">
        <v>153</v>
      </c>
      <c r="O75" s="52" t="s">
        <v>109</v>
      </c>
      <c r="P75" s="52" t="s">
        <v>143</v>
      </c>
      <c r="Q75" s="52" t="s">
        <v>120</v>
      </c>
      <c r="R75" s="52" t="s">
        <v>143</v>
      </c>
      <c r="S75" s="52" t="s">
        <v>120</v>
      </c>
      <c r="T75" s="65" t="s">
        <v>143</v>
      </c>
      <c r="U75" s="32">
        <v>1.0</v>
      </c>
      <c r="V75" s="32">
        <v>1.0</v>
      </c>
      <c r="W75" s="32">
        <v>1.0</v>
      </c>
      <c r="X75" s="32">
        <v>1.0</v>
      </c>
      <c r="Y75" s="32">
        <v>1.0</v>
      </c>
      <c r="Z75" s="32">
        <v>1.0</v>
      </c>
      <c r="AA75" s="32">
        <v>6.0</v>
      </c>
      <c r="AB75" s="32">
        <v>0.0</v>
      </c>
      <c r="AC75" s="103" t="str">
        <f>IFERROR(__xludf.DUMMYFUNCTION("if($C75="""","""",if(join("" - "",{iferror(filter('Student Groupings'!$A:$A,'Student Groupings'!$B:$B=$C75,'Student Groupings'!$H:$H=""Can't be Together""),"""");iferror(filter('Student Groupings'!$A:$A,'Student Groupings'!$E:$E=$C75,'Student Groupings'!$"&amp;"H:$H=""Can't be Together""),"""")})="" - "","""",join("" - "",{iferror(filter('Student Groupings'!$A:$A,'Student Groupings'!$B:$B=$C75,'Student Groupings'!$H:$H=""Can't be Together""),"""");iferror(filter('Student Groupings'!$A:$A,'Student Groupings'!$E:$"&amp;"E=$C75,'Student Groupings'!$H:$H=""Can't be Together""),"""")})))"),"")</f>
        <v/>
      </c>
      <c r="AD75" s="103" t="str">
        <f>IFERROR(__xludf.DUMMYFUNCTION("if($C75="""","""",if(join("" - "",{iferror(filter('Student Groupings'!$A:$A,'Student Groupings'!$B:$B=$C75,'Student Groupings'!$H:$H=""Must be Together""),"""");iferror(filter('Student Groupings'!$A:$A,'Student Groupings'!$E:$E=$C75,'Student Groupings'!$H"&amp;":$H=""Must be Together""),"""")})="" - "","""",join("" - "",{iferror(filter('Student Groupings'!$A:$A,'Student Groupings'!$B:$B=$C75,'Student Groupings'!$H:$H=""Must be Together""),"""");iferror(filter('Student Groupings'!$A:$A,'Student Groupings'!$E:$E=$"&amp;"C75,'Student Groupings'!$H:$H=""Must be Together""),"""")})))"),"")</f>
        <v/>
      </c>
      <c r="AE75" s="104"/>
      <c r="AF75" s="104"/>
      <c r="AG75" s="104"/>
      <c r="AH75" s="104"/>
    </row>
    <row r="76">
      <c r="A76" s="101">
        <v>6.0</v>
      </c>
      <c r="B76" s="101">
        <v>31075.0</v>
      </c>
      <c r="C76" s="102" t="s">
        <v>366</v>
      </c>
      <c r="D76" s="52" t="s">
        <v>171</v>
      </c>
      <c r="E76" s="52">
        <v>5.0</v>
      </c>
      <c r="F76" s="52" t="s">
        <v>158</v>
      </c>
      <c r="G76" s="52">
        <v>4.0</v>
      </c>
      <c r="H76" s="52" t="s">
        <v>182</v>
      </c>
      <c r="I76" s="52">
        <v>3.0</v>
      </c>
      <c r="J76" s="52" t="s">
        <v>192</v>
      </c>
      <c r="K76" s="52">
        <v>1.0</v>
      </c>
      <c r="L76" s="52" t="s">
        <v>196</v>
      </c>
      <c r="M76" s="52">
        <v>6.0</v>
      </c>
      <c r="N76" s="52" t="s">
        <v>153</v>
      </c>
      <c r="O76" s="52" t="s">
        <v>125</v>
      </c>
      <c r="P76" s="52" t="s">
        <v>134</v>
      </c>
      <c r="Q76" s="52" t="s">
        <v>119</v>
      </c>
      <c r="R76" s="52" t="s">
        <v>117</v>
      </c>
      <c r="S76" s="52" t="s">
        <v>119</v>
      </c>
      <c r="T76" s="65" t="s">
        <v>27</v>
      </c>
      <c r="U76" s="32">
        <v>1.0</v>
      </c>
      <c r="V76" s="32">
        <v>1.0</v>
      </c>
      <c r="W76" s="32">
        <v>1.0</v>
      </c>
      <c r="X76" s="32">
        <v>1.0</v>
      </c>
      <c r="Y76" s="32">
        <v>1.0</v>
      </c>
      <c r="Z76" s="32">
        <v>1.0</v>
      </c>
      <c r="AA76" s="32">
        <v>6.0</v>
      </c>
      <c r="AB76" s="32">
        <v>0.0</v>
      </c>
      <c r="AC76" s="103" t="str">
        <f>IFERROR(__xludf.DUMMYFUNCTION("if($C76="""","""",if(join("" - "",{iferror(filter('Student Groupings'!$A:$A,'Student Groupings'!$B:$B=$C76,'Student Groupings'!$H:$H=""Can't be Together""),"""");iferror(filter('Student Groupings'!$A:$A,'Student Groupings'!$E:$E=$C76,'Student Groupings'!$"&amp;"H:$H=""Can't be Together""),"""")})="" - "","""",join("" - "",{iferror(filter('Student Groupings'!$A:$A,'Student Groupings'!$B:$B=$C76,'Student Groupings'!$H:$H=""Can't be Together""),"""");iferror(filter('Student Groupings'!$A:$A,'Student Groupings'!$E:$"&amp;"E=$C76,'Student Groupings'!$H:$H=""Can't be Together""),"""")})))"),"")</f>
        <v/>
      </c>
      <c r="AD76" s="103" t="str">
        <f>IFERROR(__xludf.DUMMYFUNCTION("if($C76="""","""",if(join("" - "",{iferror(filter('Student Groupings'!$A:$A,'Student Groupings'!$B:$B=$C76,'Student Groupings'!$H:$H=""Must be Together""),"""");iferror(filter('Student Groupings'!$A:$A,'Student Groupings'!$E:$E=$C76,'Student Groupings'!$H"&amp;":$H=""Must be Together""),"""")})="" - "","""",join("" - "",{iferror(filter('Student Groupings'!$A:$A,'Student Groupings'!$B:$B=$C76,'Student Groupings'!$H:$H=""Must be Together""),"""");iferror(filter('Student Groupings'!$A:$A,'Student Groupings'!$E:$E=$"&amp;"C76,'Student Groupings'!$H:$H=""Must be Together""),"""")})))"),"")</f>
        <v/>
      </c>
      <c r="AE76" s="105"/>
      <c r="AF76" s="105"/>
      <c r="AG76" s="104"/>
      <c r="AH76" s="104"/>
    </row>
    <row r="77">
      <c r="A77" s="101">
        <v>6.0</v>
      </c>
      <c r="B77" s="101">
        <v>31076.0</v>
      </c>
      <c r="C77" s="102" t="s">
        <v>367</v>
      </c>
      <c r="D77" s="52" t="s">
        <v>171</v>
      </c>
      <c r="E77" s="52">
        <v>2.0</v>
      </c>
      <c r="F77" s="52" t="s">
        <v>159</v>
      </c>
      <c r="G77" s="52">
        <v>5.0</v>
      </c>
      <c r="H77" s="52" t="s">
        <v>182</v>
      </c>
      <c r="I77" s="52">
        <v>1.0</v>
      </c>
      <c r="J77" s="52" t="s">
        <v>192</v>
      </c>
      <c r="K77" s="52">
        <v>4.0</v>
      </c>
      <c r="L77" s="52" t="s">
        <v>196</v>
      </c>
      <c r="M77" s="52">
        <v>3.0</v>
      </c>
      <c r="N77" s="52" t="s">
        <v>153</v>
      </c>
      <c r="O77" s="52" t="s">
        <v>109</v>
      </c>
      <c r="P77" s="52" t="s">
        <v>143</v>
      </c>
      <c r="Q77" s="52" t="s">
        <v>120</v>
      </c>
      <c r="R77" s="52" t="s">
        <v>143</v>
      </c>
      <c r="S77" s="52" t="s">
        <v>120</v>
      </c>
      <c r="T77" s="65" t="s">
        <v>143</v>
      </c>
      <c r="U77" s="32">
        <v>1.0</v>
      </c>
      <c r="V77" s="32">
        <v>1.0</v>
      </c>
      <c r="W77" s="32">
        <v>1.0</v>
      </c>
      <c r="X77" s="32">
        <v>1.0</v>
      </c>
      <c r="Y77" s="32">
        <v>1.0</v>
      </c>
      <c r="Z77" s="32">
        <v>1.0</v>
      </c>
      <c r="AA77" s="32">
        <v>6.0</v>
      </c>
      <c r="AB77" s="32">
        <v>0.0</v>
      </c>
      <c r="AC77" s="103" t="str">
        <f>IFERROR(__xludf.DUMMYFUNCTION("if($C77="""","""",if(join("" - "",{iferror(filter('Student Groupings'!$A:$A,'Student Groupings'!$B:$B=$C77,'Student Groupings'!$H:$H=""Can't be Together""),"""");iferror(filter('Student Groupings'!$A:$A,'Student Groupings'!$E:$E=$C77,'Student Groupings'!$"&amp;"H:$H=""Can't be Together""),"""")})="" - "","""",join("" - "",{iferror(filter('Student Groupings'!$A:$A,'Student Groupings'!$B:$B=$C77,'Student Groupings'!$H:$H=""Can't be Together""),"""");iferror(filter('Student Groupings'!$A:$A,'Student Groupings'!$E:$"&amp;"E=$C77,'Student Groupings'!$H:$H=""Can't be Together""),"""")})))"),"")</f>
        <v/>
      </c>
      <c r="AD77" s="103" t="str">
        <f>IFERROR(__xludf.DUMMYFUNCTION("if($C77="""","""",if(join("" - "",{iferror(filter('Student Groupings'!$A:$A,'Student Groupings'!$B:$B=$C77,'Student Groupings'!$H:$H=""Must be Together""),"""");iferror(filter('Student Groupings'!$A:$A,'Student Groupings'!$E:$E=$C77,'Student Groupings'!$H"&amp;":$H=""Must be Together""),"""")})="" - "","""",join("" - "",{iferror(filter('Student Groupings'!$A:$A,'Student Groupings'!$B:$B=$C77,'Student Groupings'!$H:$H=""Must be Together""),"""");iferror(filter('Student Groupings'!$A:$A,'Student Groupings'!$E:$E=$"&amp;"C77,'Student Groupings'!$H:$H=""Must be Together""),"""")})))"),"")</f>
        <v/>
      </c>
      <c r="AE77" s="104"/>
      <c r="AF77" s="104"/>
      <c r="AG77" s="104"/>
      <c r="AH77" s="104"/>
    </row>
    <row r="78">
      <c r="A78" s="101">
        <v>6.0</v>
      </c>
      <c r="B78" s="101">
        <v>31077.0</v>
      </c>
      <c r="C78" s="102" t="s">
        <v>368</v>
      </c>
      <c r="D78" s="52" t="s">
        <v>171</v>
      </c>
      <c r="E78" s="52">
        <v>6.0</v>
      </c>
      <c r="F78" s="52" t="s">
        <v>158</v>
      </c>
      <c r="G78" s="52">
        <v>3.0</v>
      </c>
      <c r="H78" s="52" t="s">
        <v>182</v>
      </c>
      <c r="I78" s="52">
        <v>2.0</v>
      </c>
      <c r="J78" s="52" t="s">
        <v>192</v>
      </c>
      <c r="K78" s="52">
        <v>5.0</v>
      </c>
      <c r="L78" s="52" t="s">
        <v>196</v>
      </c>
      <c r="M78" s="52">
        <v>1.0</v>
      </c>
      <c r="N78" s="52" t="s">
        <v>153</v>
      </c>
      <c r="O78" s="52" t="s">
        <v>130</v>
      </c>
      <c r="P78" s="52" t="s">
        <v>134</v>
      </c>
      <c r="Q78" s="52" t="s">
        <v>111</v>
      </c>
      <c r="R78" s="52" t="s">
        <v>117</v>
      </c>
      <c r="S78" s="52" t="s">
        <v>111</v>
      </c>
      <c r="T78" s="65" t="s">
        <v>27</v>
      </c>
      <c r="U78" s="32">
        <v>1.0</v>
      </c>
      <c r="V78" s="32">
        <v>1.0</v>
      </c>
      <c r="W78" s="32">
        <v>1.0</v>
      </c>
      <c r="X78" s="32">
        <v>1.0</v>
      </c>
      <c r="Y78" s="32">
        <v>1.0</v>
      </c>
      <c r="Z78" s="32">
        <v>1.0</v>
      </c>
      <c r="AA78" s="32">
        <v>6.0</v>
      </c>
      <c r="AB78" s="32">
        <v>0.0</v>
      </c>
      <c r="AC78" s="103" t="str">
        <f>IFERROR(__xludf.DUMMYFUNCTION("if($C78="""","""",if(join("" - "",{iferror(filter('Student Groupings'!$A:$A,'Student Groupings'!$B:$B=$C78,'Student Groupings'!$H:$H=""Can't be Together""),"""");iferror(filter('Student Groupings'!$A:$A,'Student Groupings'!$E:$E=$C78,'Student Groupings'!$"&amp;"H:$H=""Can't be Together""),"""")})="" - "","""",join("" - "",{iferror(filter('Student Groupings'!$A:$A,'Student Groupings'!$B:$B=$C78,'Student Groupings'!$H:$H=""Can't be Together""),"""");iferror(filter('Student Groupings'!$A:$A,'Student Groupings'!$E:$"&amp;"E=$C78,'Student Groupings'!$H:$H=""Can't be Together""),"""")})))"),"")</f>
        <v/>
      </c>
      <c r="AD78" s="103" t="str">
        <f>IFERROR(__xludf.DUMMYFUNCTION("if($C78="""","""",if(join("" - "",{iferror(filter('Student Groupings'!$A:$A,'Student Groupings'!$B:$B=$C78,'Student Groupings'!$H:$H=""Must be Together""),"""");iferror(filter('Student Groupings'!$A:$A,'Student Groupings'!$E:$E=$C78,'Student Groupings'!$H"&amp;":$H=""Must be Together""),"""")})="" - "","""",join("" - "",{iferror(filter('Student Groupings'!$A:$A,'Student Groupings'!$B:$B=$C78,'Student Groupings'!$H:$H=""Must be Together""),"""");iferror(filter('Student Groupings'!$A:$A,'Student Groupings'!$E:$E=$"&amp;"C78,'Student Groupings'!$H:$H=""Must be Together""),"""")})))"),"")</f>
        <v/>
      </c>
      <c r="AE78" s="104"/>
      <c r="AF78" s="104"/>
      <c r="AG78" s="104"/>
      <c r="AH78" s="104"/>
    </row>
    <row r="79">
      <c r="A79" s="101">
        <v>6.0</v>
      </c>
      <c r="B79" s="101">
        <v>31078.0</v>
      </c>
      <c r="C79" s="102" t="s">
        <v>369</v>
      </c>
      <c r="D79" s="52" t="s">
        <v>173</v>
      </c>
      <c r="E79" s="52">
        <v>3.0</v>
      </c>
      <c r="F79" s="52" t="s">
        <v>159</v>
      </c>
      <c r="G79" s="52">
        <v>5.0</v>
      </c>
      <c r="H79" s="52" t="s">
        <v>182</v>
      </c>
      <c r="I79" s="52">
        <v>1.0</v>
      </c>
      <c r="J79" s="52" t="s">
        <v>194</v>
      </c>
      <c r="K79" s="52">
        <v>2.0</v>
      </c>
      <c r="L79" s="52" t="s">
        <v>198</v>
      </c>
      <c r="M79" s="52">
        <v>4.0</v>
      </c>
      <c r="N79" s="52" t="s">
        <v>153</v>
      </c>
      <c r="O79" s="52" t="s">
        <v>109</v>
      </c>
      <c r="P79" s="52" t="s">
        <v>143</v>
      </c>
      <c r="Q79" s="52" t="s">
        <v>120</v>
      </c>
      <c r="R79" s="52" t="s">
        <v>143</v>
      </c>
      <c r="S79" s="52" t="s">
        <v>120</v>
      </c>
      <c r="T79" s="65" t="s">
        <v>143</v>
      </c>
      <c r="U79" s="32">
        <v>1.0</v>
      </c>
      <c r="V79" s="32">
        <v>1.0</v>
      </c>
      <c r="W79" s="32">
        <v>1.0</v>
      </c>
      <c r="X79" s="32">
        <v>1.0</v>
      </c>
      <c r="Y79" s="32">
        <v>1.0</v>
      </c>
      <c r="Z79" s="32">
        <v>1.0</v>
      </c>
      <c r="AA79" s="32">
        <v>6.0</v>
      </c>
      <c r="AB79" s="32">
        <v>0.0</v>
      </c>
      <c r="AC79" s="103" t="str">
        <f>IFERROR(__xludf.DUMMYFUNCTION("if($C79="""","""",if(join("" - "",{iferror(filter('Student Groupings'!$A:$A,'Student Groupings'!$B:$B=$C79,'Student Groupings'!$H:$H=""Can't be Together""),"""");iferror(filter('Student Groupings'!$A:$A,'Student Groupings'!$E:$E=$C79,'Student Groupings'!$"&amp;"H:$H=""Can't be Together""),"""")})="" - "","""",join("" - "",{iferror(filter('Student Groupings'!$A:$A,'Student Groupings'!$B:$B=$C79,'Student Groupings'!$H:$H=""Can't be Together""),"""");iferror(filter('Student Groupings'!$A:$A,'Student Groupings'!$E:$"&amp;"E=$C79,'Student Groupings'!$H:$H=""Can't be Together""),"""")})))"),"")</f>
        <v/>
      </c>
      <c r="AD79" s="103" t="str">
        <f>IFERROR(__xludf.DUMMYFUNCTION("if($C79="""","""",if(join("" - "",{iferror(filter('Student Groupings'!$A:$A,'Student Groupings'!$B:$B=$C79,'Student Groupings'!$H:$H=""Must be Together""),"""");iferror(filter('Student Groupings'!$A:$A,'Student Groupings'!$E:$E=$C79,'Student Groupings'!$H"&amp;":$H=""Must be Together""),"""")})="" - "","""",join("" - "",{iferror(filter('Student Groupings'!$A:$A,'Student Groupings'!$B:$B=$C79,'Student Groupings'!$H:$H=""Must be Together""),"""");iferror(filter('Student Groupings'!$A:$A,'Student Groupings'!$E:$E=$"&amp;"C79,'Student Groupings'!$H:$H=""Must be Together""),"""")})))"),"")</f>
        <v/>
      </c>
      <c r="AE79" s="105"/>
      <c r="AF79" s="105"/>
      <c r="AG79" s="105">
        <v>1.0</v>
      </c>
      <c r="AH79" s="105"/>
    </row>
    <row r="80">
      <c r="A80" s="101">
        <v>6.0</v>
      </c>
      <c r="B80" s="101">
        <v>31079.0</v>
      </c>
      <c r="C80" s="102" t="s">
        <v>231</v>
      </c>
      <c r="D80" s="52" t="s">
        <v>171</v>
      </c>
      <c r="E80" s="52">
        <v>3.0</v>
      </c>
      <c r="F80" s="52" t="s">
        <v>158</v>
      </c>
      <c r="G80" s="52">
        <v>6.0</v>
      </c>
      <c r="H80" s="52" t="s">
        <v>182</v>
      </c>
      <c r="I80" s="52">
        <v>1.0</v>
      </c>
      <c r="J80" s="52" t="s">
        <v>192</v>
      </c>
      <c r="K80" s="52">
        <v>2.0</v>
      </c>
      <c r="L80" s="52" t="s">
        <v>196</v>
      </c>
      <c r="M80" s="52">
        <v>4.0</v>
      </c>
      <c r="N80" s="52" t="s">
        <v>153</v>
      </c>
      <c r="O80" s="52" t="s">
        <v>112</v>
      </c>
      <c r="P80" s="52" t="s">
        <v>142</v>
      </c>
      <c r="Q80" s="52" t="s">
        <v>124</v>
      </c>
      <c r="R80" s="52" t="s">
        <v>142</v>
      </c>
      <c r="S80" s="52" t="s">
        <v>124</v>
      </c>
      <c r="T80" s="65" t="s">
        <v>142</v>
      </c>
      <c r="U80" s="32">
        <v>1.0</v>
      </c>
      <c r="V80" s="32">
        <v>1.0</v>
      </c>
      <c r="W80" s="32">
        <v>1.0</v>
      </c>
      <c r="X80" s="32">
        <v>1.0</v>
      </c>
      <c r="Y80" s="32">
        <v>1.0</v>
      </c>
      <c r="Z80" s="32">
        <v>1.0</v>
      </c>
      <c r="AA80" s="32">
        <v>6.0</v>
      </c>
      <c r="AB80" s="32">
        <v>0.0</v>
      </c>
      <c r="AC80" s="103" t="str">
        <f>IFERROR(__xludf.DUMMYFUNCTION("if($C80="""","""",if(join("" - "",{iferror(filter('Student Groupings'!$A:$A,'Student Groupings'!$B:$B=$C80,'Student Groupings'!$H:$H=""Can't be Together""),"""");iferror(filter('Student Groupings'!$A:$A,'Student Groupings'!$E:$E=$C80,'Student Groupings'!$"&amp;"H:$H=""Can't be Together""),"""")})="" - "","""",join("" - "",{iferror(filter('Student Groupings'!$A:$A,'Student Groupings'!$B:$B=$C80,'Student Groupings'!$H:$H=""Can't be Together""),"""");iferror(filter('Student Groupings'!$A:$A,'Student Groupings'!$E:$"&amp;"E=$C80,'Student Groupings'!$H:$H=""Can't be Together""),"""")})))")," - 20")</f>
        <v> - 20</v>
      </c>
      <c r="AD80" s="103" t="str">
        <f>IFERROR(__xludf.DUMMYFUNCTION("if($C80="""","""",if(join("" - "",{iferror(filter('Student Groupings'!$A:$A,'Student Groupings'!$B:$B=$C80,'Student Groupings'!$H:$H=""Must be Together""),"""");iferror(filter('Student Groupings'!$A:$A,'Student Groupings'!$E:$E=$C80,'Student Groupings'!$H"&amp;":$H=""Must be Together""),"""")})="" - "","""",join("" - "",{iferror(filter('Student Groupings'!$A:$A,'Student Groupings'!$B:$B=$C80,'Student Groupings'!$H:$H=""Must be Together""),"""");iferror(filter('Student Groupings'!$A:$A,'Student Groupings'!$E:$E=$"&amp;"C80,'Student Groupings'!$H:$H=""Must be Together""),"""")})))"),"19 - ")</f>
        <v>19 - </v>
      </c>
      <c r="AE80" s="104"/>
      <c r="AF80" s="104"/>
      <c r="AG80" s="104"/>
      <c r="AH80" s="104"/>
    </row>
    <row r="81">
      <c r="A81" s="101">
        <v>6.0</v>
      </c>
      <c r="B81" s="101">
        <v>31080.0</v>
      </c>
      <c r="C81" s="102" t="s">
        <v>370</v>
      </c>
      <c r="D81" s="52" t="s">
        <v>171</v>
      </c>
      <c r="E81" s="52">
        <v>5.0</v>
      </c>
      <c r="F81" s="52" t="s">
        <v>158</v>
      </c>
      <c r="G81" s="52">
        <v>4.0</v>
      </c>
      <c r="H81" s="52" t="s">
        <v>182</v>
      </c>
      <c r="I81" s="52">
        <v>3.0</v>
      </c>
      <c r="J81" s="52" t="s">
        <v>192</v>
      </c>
      <c r="K81" s="52">
        <v>1.0</v>
      </c>
      <c r="L81" s="52" t="s">
        <v>196</v>
      </c>
      <c r="M81" s="52">
        <v>6.0</v>
      </c>
      <c r="N81" s="52" t="s">
        <v>153</v>
      </c>
      <c r="O81" s="52" t="s">
        <v>125</v>
      </c>
      <c r="P81" s="52" t="s">
        <v>117</v>
      </c>
      <c r="Q81" s="52" t="s">
        <v>119</v>
      </c>
      <c r="R81" s="52" t="s">
        <v>134</v>
      </c>
      <c r="S81" s="52" t="s">
        <v>119</v>
      </c>
      <c r="T81" s="65" t="s">
        <v>27</v>
      </c>
      <c r="U81" s="32">
        <v>1.0</v>
      </c>
      <c r="V81" s="32">
        <v>1.0</v>
      </c>
      <c r="W81" s="32">
        <v>1.0</v>
      </c>
      <c r="X81" s="32">
        <v>1.0</v>
      </c>
      <c r="Y81" s="32">
        <v>1.0</v>
      </c>
      <c r="Z81" s="32">
        <v>1.0</v>
      </c>
      <c r="AA81" s="32">
        <v>6.0</v>
      </c>
      <c r="AB81" s="32">
        <v>0.0</v>
      </c>
      <c r="AC81" s="103" t="str">
        <f>IFERROR(__xludf.DUMMYFUNCTION("if($C81="""","""",if(join("" - "",{iferror(filter('Student Groupings'!$A:$A,'Student Groupings'!$B:$B=$C81,'Student Groupings'!$H:$H=""Can't be Together""),"""");iferror(filter('Student Groupings'!$A:$A,'Student Groupings'!$E:$E=$C81,'Student Groupings'!$"&amp;"H:$H=""Can't be Together""),"""")})="" - "","""",join("" - "",{iferror(filter('Student Groupings'!$A:$A,'Student Groupings'!$B:$B=$C81,'Student Groupings'!$H:$H=""Can't be Together""),"""");iferror(filter('Student Groupings'!$A:$A,'Student Groupings'!$E:$"&amp;"E=$C81,'Student Groupings'!$H:$H=""Can't be Together""),"""")})))"),"")</f>
        <v/>
      </c>
      <c r="AD81" s="103" t="str">
        <f>IFERROR(__xludf.DUMMYFUNCTION("if($C81="""","""",if(join("" - "",{iferror(filter('Student Groupings'!$A:$A,'Student Groupings'!$B:$B=$C81,'Student Groupings'!$H:$H=""Must be Together""),"""");iferror(filter('Student Groupings'!$A:$A,'Student Groupings'!$E:$E=$C81,'Student Groupings'!$H"&amp;":$H=""Must be Together""),"""")})="" - "","""",join("" - "",{iferror(filter('Student Groupings'!$A:$A,'Student Groupings'!$B:$B=$C81,'Student Groupings'!$H:$H=""Must be Together""),"""");iferror(filter('Student Groupings'!$A:$A,'Student Groupings'!$E:$E=$"&amp;"C81,'Student Groupings'!$H:$H=""Must be Together""),"""")})))"),"")</f>
        <v/>
      </c>
      <c r="AE81" s="104"/>
      <c r="AF81" s="104"/>
      <c r="AG81" s="104"/>
      <c r="AH81" s="104"/>
    </row>
    <row r="82">
      <c r="A82" s="101">
        <v>6.0</v>
      </c>
      <c r="B82" s="101">
        <v>31081.0</v>
      </c>
      <c r="C82" s="102" t="s">
        <v>371</v>
      </c>
      <c r="D82" s="52" t="s">
        <v>171</v>
      </c>
      <c r="E82" s="52">
        <v>5.0</v>
      </c>
      <c r="F82" s="52" t="s">
        <v>158</v>
      </c>
      <c r="G82" s="52">
        <v>4.0</v>
      </c>
      <c r="H82" s="52" t="s">
        <v>182</v>
      </c>
      <c r="I82" s="52">
        <v>3.0</v>
      </c>
      <c r="J82" s="52" t="s">
        <v>192</v>
      </c>
      <c r="K82" s="52">
        <v>1.0</v>
      </c>
      <c r="L82" s="52" t="s">
        <v>196</v>
      </c>
      <c r="M82" s="52">
        <v>6.0</v>
      </c>
      <c r="N82" s="52" t="s">
        <v>153</v>
      </c>
      <c r="O82" s="52" t="s">
        <v>125</v>
      </c>
      <c r="P82" s="52" t="s">
        <v>134</v>
      </c>
      <c r="Q82" s="52" t="s">
        <v>119</v>
      </c>
      <c r="R82" s="52" t="s">
        <v>117</v>
      </c>
      <c r="S82" s="52" t="s">
        <v>119</v>
      </c>
      <c r="T82" s="65" t="s">
        <v>8</v>
      </c>
      <c r="U82" s="32">
        <v>1.0</v>
      </c>
      <c r="V82" s="32">
        <v>1.0</v>
      </c>
      <c r="W82" s="32">
        <v>1.0</v>
      </c>
      <c r="X82" s="32">
        <v>1.0</v>
      </c>
      <c r="Y82" s="32">
        <v>1.0</v>
      </c>
      <c r="Z82" s="32">
        <v>1.0</v>
      </c>
      <c r="AA82" s="32">
        <v>6.0</v>
      </c>
      <c r="AB82" s="32">
        <v>0.0</v>
      </c>
      <c r="AC82" s="103" t="str">
        <f>IFERROR(__xludf.DUMMYFUNCTION("if($C82="""","""",if(join("" - "",{iferror(filter('Student Groupings'!$A:$A,'Student Groupings'!$B:$B=$C82,'Student Groupings'!$H:$H=""Can't be Together""),"""");iferror(filter('Student Groupings'!$A:$A,'Student Groupings'!$E:$E=$C82,'Student Groupings'!$"&amp;"H:$H=""Can't be Together""),"""")})="" - "","""",join("" - "",{iferror(filter('Student Groupings'!$A:$A,'Student Groupings'!$B:$B=$C82,'Student Groupings'!$H:$H=""Can't be Together""),"""");iferror(filter('Student Groupings'!$A:$A,'Student Groupings'!$E:$"&amp;"E=$C82,'Student Groupings'!$H:$H=""Can't be Together""),"""")})))"),"")</f>
        <v/>
      </c>
      <c r="AD82" s="103" t="str">
        <f>IFERROR(__xludf.DUMMYFUNCTION("if($C82="""","""",if(join("" - "",{iferror(filter('Student Groupings'!$A:$A,'Student Groupings'!$B:$B=$C82,'Student Groupings'!$H:$H=""Must be Together""),"""");iferror(filter('Student Groupings'!$A:$A,'Student Groupings'!$E:$E=$C82,'Student Groupings'!$H"&amp;":$H=""Must be Together""),"""")})="" - "","""",join("" - "",{iferror(filter('Student Groupings'!$A:$A,'Student Groupings'!$B:$B=$C82,'Student Groupings'!$H:$H=""Must be Together""),"""");iferror(filter('Student Groupings'!$A:$A,'Student Groupings'!$E:$E=$"&amp;"C82,'Student Groupings'!$H:$H=""Must be Together""),"""")})))"),"")</f>
        <v/>
      </c>
      <c r="AE82" s="104"/>
      <c r="AF82" s="104"/>
      <c r="AG82" s="104"/>
      <c r="AH82" s="104"/>
    </row>
    <row r="83">
      <c r="A83" s="101">
        <v>6.0</v>
      </c>
      <c r="B83" s="101">
        <v>31082.0</v>
      </c>
      <c r="C83" s="102" t="s">
        <v>372</v>
      </c>
      <c r="D83" s="52" t="s">
        <v>171</v>
      </c>
      <c r="E83" s="52">
        <v>5.0</v>
      </c>
      <c r="F83" s="52" t="s">
        <v>158</v>
      </c>
      <c r="G83" s="52">
        <v>3.0</v>
      </c>
      <c r="H83" s="52" t="s">
        <v>182</v>
      </c>
      <c r="I83" s="52">
        <v>2.0</v>
      </c>
      <c r="J83" s="52" t="s">
        <v>192</v>
      </c>
      <c r="K83" s="52">
        <v>1.0</v>
      </c>
      <c r="L83" s="52" t="s">
        <v>196</v>
      </c>
      <c r="M83" s="52">
        <v>6.0</v>
      </c>
      <c r="N83" s="52" t="s">
        <v>153</v>
      </c>
      <c r="O83" s="52" t="s">
        <v>130</v>
      </c>
      <c r="P83" s="52" t="s">
        <v>117</v>
      </c>
      <c r="Q83" s="52" t="s">
        <v>111</v>
      </c>
      <c r="R83" s="52" t="s">
        <v>134</v>
      </c>
      <c r="S83" s="52" t="s">
        <v>111</v>
      </c>
      <c r="T83" s="65" t="s">
        <v>27</v>
      </c>
      <c r="U83" s="32">
        <v>1.0</v>
      </c>
      <c r="V83" s="32">
        <v>1.0</v>
      </c>
      <c r="W83" s="32">
        <v>1.0</v>
      </c>
      <c r="X83" s="32">
        <v>1.0</v>
      </c>
      <c r="Y83" s="32">
        <v>1.0</v>
      </c>
      <c r="Z83" s="32">
        <v>1.0</v>
      </c>
      <c r="AA83" s="32">
        <v>6.0</v>
      </c>
      <c r="AB83" s="32">
        <v>0.0</v>
      </c>
      <c r="AC83" s="103" t="str">
        <f>IFERROR(__xludf.DUMMYFUNCTION("if($C83="""","""",if(join("" - "",{iferror(filter('Student Groupings'!$A:$A,'Student Groupings'!$B:$B=$C83,'Student Groupings'!$H:$H=""Can't be Together""),"""");iferror(filter('Student Groupings'!$A:$A,'Student Groupings'!$E:$E=$C83,'Student Groupings'!$"&amp;"H:$H=""Can't be Together""),"""")})="" - "","""",join("" - "",{iferror(filter('Student Groupings'!$A:$A,'Student Groupings'!$B:$B=$C83,'Student Groupings'!$H:$H=""Can't be Together""),"""");iferror(filter('Student Groupings'!$A:$A,'Student Groupings'!$E:$"&amp;"E=$C83,'Student Groupings'!$H:$H=""Can't be Together""),"""")})))"),"")</f>
        <v/>
      </c>
      <c r="AD83" s="103" t="str">
        <f>IFERROR(__xludf.DUMMYFUNCTION("if($C83="""","""",if(join("" - "",{iferror(filter('Student Groupings'!$A:$A,'Student Groupings'!$B:$B=$C83,'Student Groupings'!$H:$H=""Must be Together""),"""");iferror(filter('Student Groupings'!$A:$A,'Student Groupings'!$E:$E=$C83,'Student Groupings'!$H"&amp;":$H=""Must be Together""),"""")})="" - "","""",join("" - "",{iferror(filter('Student Groupings'!$A:$A,'Student Groupings'!$B:$B=$C83,'Student Groupings'!$H:$H=""Must be Together""),"""");iferror(filter('Student Groupings'!$A:$A,'Student Groupings'!$E:$E=$"&amp;"C83,'Student Groupings'!$H:$H=""Must be Together""),"""")})))"),"")</f>
        <v/>
      </c>
      <c r="AE83" s="104"/>
      <c r="AF83" s="104"/>
      <c r="AG83" s="104"/>
      <c r="AH83" s="104"/>
    </row>
    <row r="84">
      <c r="A84" s="101">
        <v>6.0</v>
      </c>
      <c r="B84" s="101">
        <v>31083.0</v>
      </c>
      <c r="C84" s="102" t="s">
        <v>373</v>
      </c>
      <c r="D84" s="52" t="s">
        <v>171</v>
      </c>
      <c r="E84" s="52">
        <v>3.0</v>
      </c>
      <c r="F84" s="52" t="s">
        <v>158</v>
      </c>
      <c r="G84" s="52">
        <v>5.0</v>
      </c>
      <c r="H84" s="52" t="s">
        <v>182</v>
      </c>
      <c r="I84" s="52">
        <v>6.0</v>
      </c>
      <c r="J84" s="52" t="s">
        <v>192</v>
      </c>
      <c r="K84" s="52">
        <v>2.0</v>
      </c>
      <c r="L84" s="52" t="s">
        <v>196</v>
      </c>
      <c r="M84" s="52">
        <v>4.0</v>
      </c>
      <c r="N84" s="52" t="s">
        <v>153</v>
      </c>
      <c r="O84" s="52" t="s">
        <v>108</v>
      </c>
      <c r="P84" s="52" t="s">
        <v>134</v>
      </c>
      <c r="Q84" s="52" t="s">
        <v>129</v>
      </c>
      <c r="R84" s="52" t="s">
        <v>117</v>
      </c>
      <c r="S84" s="52" t="s">
        <v>129</v>
      </c>
      <c r="T84" s="65" t="s">
        <v>27</v>
      </c>
      <c r="U84" s="32">
        <v>1.0</v>
      </c>
      <c r="V84" s="32">
        <v>1.0</v>
      </c>
      <c r="W84" s="32">
        <v>1.0</v>
      </c>
      <c r="X84" s="32">
        <v>1.0</v>
      </c>
      <c r="Y84" s="32">
        <v>1.0</v>
      </c>
      <c r="Z84" s="32">
        <v>1.0</v>
      </c>
      <c r="AA84" s="32">
        <v>6.0</v>
      </c>
      <c r="AB84" s="32">
        <v>0.0</v>
      </c>
      <c r="AC84" s="103" t="str">
        <f>IFERROR(__xludf.DUMMYFUNCTION("if($C84="""","""",if(join("" - "",{iferror(filter('Student Groupings'!$A:$A,'Student Groupings'!$B:$B=$C84,'Student Groupings'!$H:$H=""Can't be Together""),"""");iferror(filter('Student Groupings'!$A:$A,'Student Groupings'!$E:$E=$C84,'Student Groupings'!$"&amp;"H:$H=""Can't be Together""),"""")})="" - "","""",join("" - "",{iferror(filter('Student Groupings'!$A:$A,'Student Groupings'!$B:$B=$C84,'Student Groupings'!$H:$H=""Can't be Together""),"""");iferror(filter('Student Groupings'!$A:$A,'Student Groupings'!$E:$"&amp;"E=$C84,'Student Groupings'!$H:$H=""Can't be Together""),"""")})))"),"")</f>
        <v/>
      </c>
      <c r="AD84" s="103" t="str">
        <f>IFERROR(__xludf.DUMMYFUNCTION("if($C84="""","""",if(join("" - "",{iferror(filter('Student Groupings'!$A:$A,'Student Groupings'!$B:$B=$C84,'Student Groupings'!$H:$H=""Must be Together""),"""");iferror(filter('Student Groupings'!$A:$A,'Student Groupings'!$E:$E=$C84,'Student Groupings'!$H"&amp;":$H=""Must be Together""),"""")})="" - "","""",join("" - "",{iferror(filter('Student Groupings'!$A:$A,'Student Groupings'!$B:$B=$C84,'Student Groupings'!$H:$H=""Must be Together""),"""");iferror(filter('Student Groupings'!$A:$A,'Student Groupings'!$E:$E=$"&amp;"C84,'Student Groupings'!$H:$H=""Must be Together""),"""")})))"),"")</f>
        <v/>
      </c>
      <c r="AE84" s="104"/>
      <c r="AF84" s="104"/>
      <c r="AG84" s="104"/>
      <c r="AH84" s="104"/>
    </row>
    <row r="85">
      <c r="A85" s="101">
        <v>6.0</v>
      </c>
      <c r="B85" s="101">
        <v>31084.0</v>
      </c>
      <c r="C85" s="102" t="s">
        <v>374</v>
      </c>
      <c r="D85" s="52" t="s">
        <v>171</v>
      </c>
      <c r="E85" s="52">
        <v>6.0</v>
      </c>
      <c r="F85" s="52" t="s">
        <v>158</v>
      </c>
      <c r="G85" s="52">
        <v>3.0</v>
      </c>
      <c r="H85" s="52" t="s">
        <v>182</v>
      </c>
      <c r="I85" s="52">
        <v>2.0</v>
      </c>
      <c r="J85" s="52" t="s">
        <v>192</v>
      </c>
      <c r="K85" s="52">
        <v>5.0</v>
      </c>
      <c r="L85" s="52" t="s">
        <v>196</v>
      </c>
      <c r="M85" s="52">
        <v>1.0</v>
      </c>
      <c r="N85" s="52" t="s">
        <v>153</v>
      </c>
      <c r="O85" s="52" t="s">
        <v>130</v>
      </c>
      <c r="P85" s="52" t="s">
        <v>134</v>
      </c>
      <c r="Q85" s="52" t="s">
        <v>111</v>
      </c>
      <c r="R85" s="52" t="s">
        <v>117</v>
      </c>
      <c r="S85" s="52" t="s">
        <v>111</v>
      </c>
      <c r="T85" s="65" t="s">
        <v>27</v>
      </c>
      <c r="U85" s="32">
        <v>1.0</v>
      </c>
      <c r="V85" s="32">
        <v>1.0</v>
      </c>
      <c r="W85" s="32">
        <v>1.0</v>
      </c>
      <c r="X85" s="32">
        <v>1.0</v>
      </c>
      <c r="Y85" s="32">
        <v>1.0</v>
      </c>
      <c r="Z85" s="32">
        <v>1.0</v>
      </c>
      <c r="AA85" s="32">
        <v>6.0</v>
      </c>
      <c r="AB85" s="32">
        <v>0.0</v>
      </c>
      <c r="AC85" s="103" t="str">
        <f>IFERROR(__xludf.DUMMYFUNCTION("if($C85="""","""",if(join("" - "",{iferror(filter('Student Groupings'!$A:$A,'Student Groupings'!$B:$B=$C85,'Student Groupings'!$H:$H=""Can't be Together""),"""");iferror(filter('Student Groupings'!$A:$A,'Student Groupings'!$E:$E=$C85,'Student Groupings'!$"&amp;"H:$H=""Can't be Together""),"""")})="" - "","""",join("" - "",{iferror(filter('Student Groupings'!$A:$A,'Student Groupings'!$B:$B=$C85,'Student Groupings'!$H:$H=""Can't be Together""),"""");iferror(filter('Student Groupings'!$A:$A,'Student Groupings'!$E:$"&amp;"E=$C85,'Student Groupings'!$H:$H=""Can't be Together""),"""")})))"),"")</f>
        <v/>
      </c>
      <c r="AD85" s="103" t="str">
        <f>IFERROR(__xludf.DUMMYFUNCTION("if($C85="""","""",if(join("" - "",{iferror(filter('Student Groupings'!$A:$A,'Student Groupings'!$B:$B=$C85,'Student Groupings'!$H:$H=""Must be Together""),"""");iferror(filter('Student Groupings'!$A:$A,'Student Groupings'!$E:$E=$C85,'Student Groupings'!$H"&amp;":$H=""Must be Together""),"""")})="" - "","""",join("" - "",{iferror(filter('Student Groupings'!$A:$A,'Student Groupings'!$B:$B=$C85,'Student Groupings'!$H:$H=""Must be Together""),"""");iferror(filter('Student Groupings'!$A:$A,'Student Groupings'!$E:$E=$"&amp;"C85,'Student Groupings'!$H:$H=""Must be Together""),"""")})))"),"")</f>
        <v/>
      </c>
      <c r="AE85" s="104"/>
      <c r="AF85" s="104"/>
      <c r="AG85" s="104"/>
      <c r="AH85" s="104"/>
    </row>
    <row r="86">
      <c r="A86" s="101">
        <v>6.0</v>
      </c>
      <c r="B86" s="101">
        <v>31085.0</v>
      </c>
      <c r="C86" s="102" t="s">
        <v>375</v>
      </c>
      <c r="D86" s="52" t="s">
        <v>173</v>
      </c>
      <c r="E86" s="52">
        <v>3.0</v>
      </c>
      <c r="F86" s="52" t="s">
        <v>158</v>
      </c>
      <c r="G86" s="52">
        <v>5.0</v>
      </c>
      <c r="H86" s="52" t="s">
        <v>182</v>
      </c>
      <c r="I86" s="52">
        <v>1.0</v>
      </c>
      <c r="J86" s="52" t="s">
        <v>194</v>
      </c>
      <c r="K86" s="52">
        <v>2.0</v>
      </c>
      <c r="L86" s="52" t="s">
        <v>198</v>
      </c>
      <c r="M86" s="52">
        <v>4.0</v>
      </c>
      <c r="N86" s="52" t="s">
        <v>153</v>
      </c>
      <c r="O86" s="52" t="s">
        <v>120</v>
      </c>
      <c r="P86" s="52" t="s">
        <v>134</v>
      </c>
      <c r="Q86" s="52" t="s">
        <v>109</v>
      </c>
      <c r="R86" s="52" t="s">
        <v>117</v>
      </c>
      <c r="S86" s="52" t="s">
        <v>109</v>
      </c>
      <c r="T86" s="65" t="s">
        <v>27</v>
      </c>
      <c r="U86" s="32">
        <v>1.0</v>
      </c>
      <c r="V86" s="32">
        <v>1.0</v>
      </c>
      <c r="W86" s="32">
        <v>1.0</v>
      </c>
      <c r="X86" s="32">
        <v>1.0</v>
      </c>
      <c r="Y86" s="32">
        <v>1.0</v>
      </c>
      <c r="Z86" s="32">
        <v>1.0</v>
      </c>
      <c r="AA86" s="32">
        <v>6.0</v>
      </c>
      <c r="AB86" s="32">
        <v>0.0</v>
      </c>
      <c r="AC86" s="103" t="str">
        <f>IFERROR(__xludf.DUMMYFUNCTION("if($C86="""","""",if(join("" - "",{iferror(filter('Student Groupings'!$A:$A,'Student Groupings'!$B:$B=$C86,'Student Groupings'!$H:$H=""Can't be Together""),"""");iferror(filter('Student Groupings'!$A:$A,'Student Groupings'!$E:$E=$C86,'Student Groupings'!$"&amp;"H:$H=""Can't be Together""),"""")})="" - "","""",join("" - "",{iferror(filter('Student Groupings'!$A:$A,'Student Groupings'!$B:$B=$C86,'Student Groupings'!$H:$H=""Can't be Together""),"""");iferror(filter('Student Groupings'!$A:$A,'Student Groupings'!$E:$"&amp;"E=$C86,'Student Groupings'!$H:$H=""Can't be Together""),"""")})))"),"")</f>
        <v/>
      </c>
      <c r="AD86" s="103" t="str">
        <f>IFERROR(__xludf.DUMMYFUNCTION("if($C86="""","""",if(join("" - "",{iferror(filter('Student Groupings'!$A:$A,'Student Groupings'!$B:$B=$C86,'Student Groupings'!$H:$H=""Must be Together""),"""");iferror(filter('Student Groupings'!$A:$A,'Student Groupings'!$E:$E=$C86,'Student Groupings'!$H"&amp;":$H=""Must be Together""),"""")})="" - "","""",join("" - "",{iferror(filter('Student Groupings'!$A:$A,'Student Groupings'!$B:$B=$C86,'Student Groupings'!$H:$H=""Must be Together""),"""");iferror(filter('Student Groupings'!$A:$A,'Student Groupings'!$E:$E=$"&amp;"C86,'Student Groupings'!$H:$H=""Must be Together""),"""")})))"),"")</f>
        <v/>
      </c>
      <c r="AE86" s="104"/>
      <c r="AF86" s="104"/>
      <c r="AG86" s="104"/>
      <c r="AH86" s="104"/>
    </row>
    <row r="87">
      <c r="A87" s="101">
        <v>6.0</v>
      </c>
      <c r="B87" s="101">
        <v>31158.0</v>
      </c>
      <c r="C87" s="102" t="s">
        <v>376</v>
      </c>
      <c r="D87" s="52" t="s">
        <v>173</v>
      </c>
      <c r="E87" s="52">
        <v>3.0</v>
      </c>
      <c r="F87" s="52" t="s">
        <v>158</v>
      </c>
      <c r="G87" s="52">
        <v>5.0</v>
      </c>
      <c r="H87" s="52" t="s">
        <v>182</v>
      </c>
      <c r="I87" s="52">
        <v>1.0</v>
      </c>
      <c r="J87" s="52" t="s">
        <v>194</v>
      </c>
      <c r="K87" s="52">
        <v>2.0</v>
      </c>
      <c r="L87" s="52" t="s">
        <v>198</v>
      </c>
      <c r="M87" s="52">
        <v>4.0</v>
      </c>
      <c r="N87" s="52" t="s">
        <v>153</v>
      </c>
      <c r="O87" s="52" t="s">
        <v>120</v>
      </c>
      <c r="P87" s="52" t="s">
        <v>134</v>
      </c>
      <c r="Q87" s="52" t="s">
        <v>109</v>
      </c>
      <c r="R87" s="52" t="s">
        <v>117</v>
      </c>
      <c r="S87" s="52" t="s">
        <v>109</v>
      </c>
      <c r="T87" s="65" t="s">
        <v>27</v>
      </c>
      <c r="U87" s="32">
        <v>1.0</v>
      </c>
      <c r="V87" s="32">
        <v>1.0</v>
      </c>
      <c r="W87" s="32">
        <v>1.0</v>
      </c>
      <c r="X87" s="32">
        <v>1.0</v>
      </c>
      <c r="Y87" s="32">
        <v>1.0</v>
      </c>
      <c r="Z87" s="32">
        <v>1.0</v>
      </c>
      <c r="AA87" s="32">
        <v>6.0</v>
      </c>
      <c r="AB87" s="32">
        <v>0.0</v>
      </c>
      <c r="AC87" s="103" t="str">
        <f>IFERROR(__xludf.DUMMYFUNCTION("if($C87="""","""",if(join("" - "",{iferror(filter('Student Groupings'!$A:$A,'Student Groupings'!$B:$B=$C87,'Student Groupings'!$H:$H=""Can't be Together""),"""");iferror(filter('Student Groupings'!$A:$A,'Student Groupings'!$E:$E=$C87,'Student Groupings'!$"&amp;"H:$H=""Can't be Together""),"""")})="" - "","""",join("" - "",{iferror(filter('Student Groupings'!$A:$A,'Student Groupings'!$B:$B=$C87,'Student Groupings'!$H:$H=""Can't be Together""),"""");iferror(filter('Student Groupings'!$A:$A,'Student Groupings'!$E:$"&amp;"E=$C87,'Student Groupings'!$H:$H=""Can't be Together""),"""")})))"),"")</f>
        <v/>
      </c>
      <c r="AD87" s="103" t="str">
        <f>IFERROR(__xludf.DUMMYFUNCTION("if($C87="""","""",if(join("" - "",{iferror(filter('Student Groupings'!$A:$A,'Student Groupings'!$B:$B=$C87,'Student Groupings'!$H:$H=""Must be Together""),"""");iferror(filter('Student Groupings'!$A:$A,'Student Groupings'!$E:$E=$C87,'Student Groupings'!$H"&amp;":$H=""Must be Together""),"""")})="" - "","""",join("" - "",{iferror(filter('Student Groupings'!$A:$A,'Student Groupings'!$B:$B=$C87,'Student Groupings'!$H:$H=""Must be Together""),"""");iferror(filter('Student Groupings'!$A:$A,'Student Groupings'!$E:$E=$"&amp;"C87,'Student Groupings'!$H:$H=""Must be Together""),"""")})))"),"")</f>
        <v/>
      </c>
      <c r="AE87" s="104"/>
      <c r="AF87" s="104"/>
      <c r="AG87" s="104"/>
      <c r="AH87" s="104"/>
    </row>
    <row r="88">
      <c r="A88" s="101">
        <v>6.0</v>
      </c>
      <c r="B88" s="101">
        <v>31086.0</v>
      </c>
      <c r="C88" s="102" t="s">
        <v>235</v>
      </c>
      <c r="D88" s="52" t="s">
        <v>171</v>
      </c>
      <c r="E88" s="52">
        <v>3.0</v>
      </c>
      <c r="F88" s="52" t="s">
        <v>158</v>
      </c>
      <c r="G88" s="52">
        <v>6.0</v>
      </c>
      <c r="H88" s="52" t="s">
        <v>182</v>
      </c>
      <c r="I88" s="52">
        <v>5.0</v>
      </c>
      <c r="J88" s="52" t="s">
        <v>192</v>
      </c>
      <c r="K88" s="52">
        <v>2.0</v>
      </c>
      <c r="L88" s="52" t="s">
        <v>196</v>
      </c>
      <c r="M88" s="52">
        <v>4.0</v>
      </c>
      <c r="N88" s="52" t="s">
        <v>153</v>
      </c>
      <c r="O88" s="52" t="s">
        <v>108</v>
      </c>
      <c r="P88" s="52" t="s">
        <v>117</v>
      </c>
      <c r="Q88" s="52" t="s">
        <v>129</v>
      </c>
      <c r="R88" s="52" t="s">
        <v>134</v>
      </c>
      <c r="S88" s="52" t="s">
        <v>129</v>
      </c>
      <c r="T88" s="65" t="s">
        <v>27</v>
      </c>
      <c r="U88" s="32">
        <v>1.0</v>
      </c>
      <c r="V88" s="32">
        <v>1.0</v>
      </c>
      <c r="W88" s="32">
        <v>1.0</v>
      </c>
      <c r="X88" s="32">
        <v>1.0</v>
      </c>
      <c r="Y88" s="32">
        <v>1.0</v>
      </c>
      <c r="Z88" s="32">
        <v>1.0</v>
      </c>
      <c r="AA88" s="32">
        <v>6.0</v>
      </c>
      <c r="AB88" s="32">
        <v>0.0</v>
      </c>
      <c r="AC88" s="103" t="str">
        <f>IFERROR(__xludf.DUMMYFUNCTION("if($C88="""","""",if(join("" - "",{iferror(filter('Student Groupings'!$A:$A,'Student Groupings'!$B:$B=$C88,'Student Groupings'!$H:$H=""Can't be Together""),"""");iferror(filter('Student Groupings'!$A:$A,'Student Groupings'!$E:$E=$C88,'Student Groupings'!$"&amp;"H:$H=""Can't be Together""),"""")})="" - "","""",join("" - "",{iferror(filter('Student Groupings'!$A:$A,'Student Groupings'!$B:$B=$C88,'Student Groupings'!$H:$H=""Can't be Together""),"""");iferror(filter('Student Groupings'!$A:$A,'Student Groupings'!$E:$"&amp;"E=$C88,'Student Groupings'!$H:$H=""Can't be Together""),"""")})))")," - 22")</f>
        <v> - 22</v>
      </c>
      <c r="AD88" s="103" t="str">
        <f>IFERROR(__xludf.DUMMYFUNCTION("if($C88="""","""",if(join("" - "",{iferror(filter('Student Groupings'!$A:$A,'Student Groupings'!$B:$B=$C88,'Student Groupings'!$H:$H=""Must be Together""),"""");iferror(filter('Student Groupings'!$A:$A,'Student Groupings'!$E:$E=$C88,'Student Groupings'!$H"&amp;":$H=""Must be Together""),"""")})="" - "","""",join("" - "",{iferror(filter('Student Groupings'!$A:$A,'Student Groupings'!$B:$B=$C88,'Student Groupings'!$H:$H=""Must be Together""),"""");iferror(filter('Student Groupings'!$A:$A,'Student Groupings'!$E:$E=$"&amp;"C88,'Student Groupings'!$H:$H=""Must be Together""),"""")})))"),"")</f>
        <v/>
      </c>
      <c r="AE88" s="104"/>
      <c r="AF88" s="104"/>
      <c r="AG88" s="104"/>
      <c r="AH88" s="104"/>
    </row>
    <row r="89">
      <c r="A89" s="101">
        <v>6.0</v>
      </c>
      <c r="B89" s="101">
        <v>31087.0</v>
      </c>
      <c r="C89" s="102" t="s">
        <v>377</v>
      </c>
      <c r="D89" s="52" t="s">
        <v>173</v>
      </c>
      <c r="E89" s="52">
        <v>3.0</v>
      </c>
      <c r="F89" s="52" t="s">
        <v>158</v>
      </c>
      <c r="G89" s="52">
        <v>6.0</v>
      </c>
      <c r="H89" s="52" t="s">
        <v>182</v>
      </c>
      <c r="I89" s="52">
        <v>5.0</v>
      </c>
      <c r="J89" s="52" t="s">
        <v>194</v>
      </c>
      <c r="K89" s="52">
        <v>2.0</v>
      </c>
      <c r="L89" s="52" t="s">
        <v>198</v>
      </c>
      <c r="M89" s="52">
        <v>4.0</v>
      </c>
      <c r="N89" s="52" t="s">
        <v>153</v>
      </c>
      <c r="O89" s="52" t="s">
        <v>108</v>
      </c>
      <c r="P89" s="52" t="s">
        <v>117</v>
      </c>
      <c r="Q89" s="52" t="s">
        <v>129</v>
      </c>
      <c r="R89" s="52" t="s">
        <v>134</v>
      </c>
      <c r="S89" s="52" t="s">
        <v>129</v>
      </c>
      <c r="T89" s="65" t="s">
        <v>27</v>
      </c>
      <c r="U89" s="32">
        <v>1.0</v>
      </c>
      <c r="V89" s="32">
        <v>1.0</v>
      </c>
      <c r="W89" s="32">
        <v>1.0</v>
      </c>
      <c r="X89" s="32">
        <v>1.0</v>
      </c>
      <c r="Y89" s="32">
        <v>1.0</v>
      </c>
      <c r="Z89" s="32">
        <v>1.0</v>
      </c>
      <c r="AA89" s="32">
        <v>6.0</v>
      </c>
      <c r="AB89" s="32">
        <v>0.0</v>
      </c>
      <c r="AC89" s="103" t="str">
        <f>IFERROR(__xludf.DUMMYFUNCTION("if($C89="""","""",if(join("" - "",{iferror(filter('Student Groupings'!$A:$A,'Student Groupings'!$B:$B=$C89,'Student Groupings'!$H:$H=""Can't be Together""),"""");iferror(filter('Student Groupings'!$A:$A,'Student Groupings'!$E:$E=$C89,'Student Groupings'!$"&amp;"H:$H=""Can't be Together""),"""")})="" - "","""",join("" - "",{iferror(filter('Student Groupings'!$A:$A,'Student Groupings'!$B:$B=$C89,'Student Groupings'!$H:$H=""Can't be Together""),"""");iferror(filter('Student Groupings'!$A:$A,'Student Groupings'!$E:$"&amp;"E=$C89,'Student Groupings'!$H:$H=""Can't be Together""),"""")})))"),"")</f>
        <v/>
      </c>
      <c r="AD89" s="103" t="str">
        <f>IFERROR(__xludf.DUMMYFUNCTION("if($C89="""","""",if(join("" - "",{iferror(filter('Student Groupings'!$A:$A,'Student Groupings'!$B:$B=$C89,'Student Groupings'!$H:$H=""Must be Together""),"""");iferror(filter('Student Groupings'!$A:$A,'Student Groupings'!$E:$E=$C89,'Student Groupings'!$H"&amp;":$H=""Must be Together""),"""")})="" - "","""",join("" - "",{iferror(filter('Student Groupings'!$A:$A,'Student Groupings'!$B:$B=$C89,'Student Groupings'!$H:$H=""Must be Together""),"""");iferror(filter('Student Groupings'!$A:$A,'Student Groupings'!$E:$E=$"&amp;"C89,'Student Groupings'!$H:$H=""Must be Together""),"""")})))"),"")</f>
        <v/>
      </c>
      <c r="AE89" s="104"/>
      <c r="AF89" s="104"/>
      <c r="AG89" s="104"/>
      <c r="AH89" s="104"/>
    </row>
    <row r="90">
      <c r="A90" s="101">
        <v>6.0</v>
      </c>
      <c r="B90" s="101">
        <v>31089.0</v>
      </c>
      <c r="C90" s="102" t="s">
        <v>378</v>
      </c>
      <c r="D90" s="52" t="s">
        <v>171</v>
      </c>
      <c r="E90" s="52">
        <v>6.0</v>
      </c>
      <c r="F90" s="52" t="s">
        <v>158</v>
      </c>
      <c r="G90" s="52">
        <v>4.0</v>
      </c>
      <c r="H90" s="52" t="s">
        <v>182</v>
      </c>
      <c r="I90" s="52">
        <v>3.0</v>
      </c>
      <c r="J90" s="52" t="s">
        <v>192</v>
      </c>
      <c r="K90" s="52">
        <v>5.0</v>
      </c>
      <c r="L90" s="52" t="s">
        <v>196</v>
      </c>
      <c r="M90" s="52">
        <v>1.0</v>
      </c>
      <c r="N90" s="52" t="s">
        <v>153</v>
      </c>
      <c r="O90" s="52" t="s">
        <v>125</v>
      </c>
      <c r="P90" s="52" t="s">
        <v>117</v>
      </c>
      <c r="Q90" s="52" t="s">
        <v>119</v>
      </c>
      <c r="R90" s="52" t="s">
        <v>134</v>
      </c>
      <c r="S90" s="52" t="s">
        <v>119</v>
      </c>
      <c r="T90" s="65" t="s">
        <v>27</v>
      </c>
      <c r="U90" s="32">
        <v>1.0</v>
      </c>
      <c r="V90" s="32">
        <v>1.0</v>
      </c>
      <c r="W90" s="32">
        <v>1.0</v>
      </c>
      <c r="X90" s="32">
        <v>1.0</v>
      </c>
      <c r="Y90" s="32">
        <v>1.0</v>
      </c>
      <c r="Z90" s="32">
        <v>1.0</v>
      </c>
      <c r="AA90" s="32">
        <v>6.0</v>
      </c>
      <c r="AB90" s="32">
        <v>0.0</v>
      </c>
      <c r="AC90" s="103" t="str">
        <f>IFERROR(__xludf.DUMMYFUNCTION("if($C90="""","""",if(join("" - "",{iferror(filter('Student Groupings'!$A:$A,'Student Groupings'!$B:$B=$C90,'Student Groupings'!$H:$H=""Can't be Together""),"""");iferror(filter('Student Groupings'!$A:$A,'Student Groupings'!$E:$E=$C90,'Student Groupings'!$"&amp;"H:$H=""Can't be Together""),"""")})="" - "","""",join("" - "",{iferror(filter('Student Groupings'!$A:$A,'Student Groupings'!$B:$B=$C90,'Student Groupings'!$H:$H=""Can't be Together""),"""");iferror(filter('Student Groupings'!$A:$A,'Student Groupings'!$E:$"&amp;"E=$C90,'Student Groupings'!$H:$H=""Can't be Together""),"""")})))"),"")</f>
        <v/>
      </c>
      <c r="AD90" s="103" t="str">
        <f>IFERROR(__xludf.DUMMYFUNCTION("if($C90="""","""",if(join("" - "",{iferror(filter('Student Groupings'!$A:$A,'Student Groupings'!$B:$B=$C90,'Student Groupings'!$H:$H=""Must be Together""),"""");iferror(filter('Student Groupings'!$A:$A,'Student Groupings'!$E:$E=$C90,'Student Groupings'!$H"&amp;":$H=""Must be Together""),"""")})="" - "","""",join("" - "",{iferror(filter('Student Groupings'!$A:$A,'Student Groupings'!$B:$B=$C90,'Student Groupings'!$H:$H=""Must be Together""),"""");iferror(filter('Student Groupings'!$A:$A,'Student Groupings'!$E:$E=$"&amp;"C90,'Student Groupings'!$H:$H=""Must be Together""),"""")})))"),"")</f>
        <v/>
      </c>
      <c r="AE90" s="104"/>
      <c r="AF90" s="104"/>
      <c r="AG90" s="104"/>
      <c r="AH90" s="104"/>
    </row>
    <row r="91">
      <c r="A91" s="101">
        <v>6.0</v>
      </c>
      <c r="B91" s="101">
        <v>31088.0</v>
      </c>
      <c r="C91" s="102" t="s">
        <v>223</v>
      </c>
      <c r="D91" s="52" t="s">
        <v>171</v>
      </c>
      <c r="E91" s="52">
        <v>5.0</v>
      </c>
      <c r="F91" s="52" t="s">
        <v>158</v>
      </c>
      <c r="G91" s="52">
        <v>3.0</v>
      </c>
      <c r="H91" s="52" t="s">
        <v>182</v>
      </c>
      <c r="I91" s="52">
        <v>2.0</v>
      </c>
      <c r="J91" s="52" t="s">
        <v>192</v>
      </c>
      <c r="K91" s="52">
        <v>1.0</v>
      </c>
      <c r="L91" s="52" t="s">
        <v>196</v>
      </c>
      <c r="M91" s="52">
        <v>6.0</v>
      </c>
      <c r="N91" s="52" t="s">
        <v>153</v>
      </c>
      <c r="O91" s="52" t="s">
        <v>130</v>
      </c>
      <c r="P91" s="52" t="s">
        <v>117</v>
      </c>
      <c r="Q91" s="52" t="s">
        <v>111</v>
      </c>
      <c r="R91" s="52" t="s">
        <v>134</v>
      </c>
      <c r="S91" s="52" t="s">
        <v>111</v>
      </c>
      <c r="T91" s="65" t="s">
        <v>27</v>
      </c>
      <c r="U91" s="32">
        <v>1.0</v>
      </c>
      <c r="V91" s="32">
        <v>1.0</v>
      </c>
      <c r="W91" s="32">
        <v>1.0</v>
      </c>
      <c r="X91" s="32">
        <v>1.0</v>
      </c>
      <c r="Y91" s="32">
        <v>1.0</v>
      </c>
      <c r="Z91" s="32">
        <v>1.0</v>
      </c>
      <c r="AA91" s="32">
        <v>6.0</v>
      </c>
      <c r="AB91" s="32">
        <v>0.0</v>
      </c>
      <c r="AC91" s="103" t="str">
        <f>IFERROR(__xludf.DUMMYFUNCTION("if($C91="""","""",if(join("" - "",{iferror(filter('Student Groupings'!$A:$A,'Student Groupings'!$B:$B=$C91,'Student Groupings'!$H:$H=""Can't be Together""),"""");iferror(filter('Student Groupings'!$A:$A,'Student Groupings'!$E:$E=$C91,'Student Groupings'!$"&amp;"H:$H=""Can't be Together""),"""")})="" - "","""",join("" - "",{iferror(filter('Student Groupings'!$A:$A,'Student Groupings'!$B:$B=$C91,'Student Groupings'!$H:$H=""Can't be Together""),"""");iferror(filter('Student Groupings'!$A:$A,'Student Groupings'!$E:$"&amp;"E=$C91,'Student Groupings'!$H:$H=""Can't be Together""),"""")})))")," - 9 - 12")</f>
        <v> - 9 - 12</v>
      </c>
      <c r="AD91" s="103" t="str">
        <f>IFERROR(__xludf.DUMMYFUNCTION("if($C91="""","""",if(join("" - "",{iferror(filter('Student Groupings'!$A:$A,'Student Groupings'!$B:$B=$C91,'Student Groupings'!$H:$H=""Must be Together""),"""");iferror(filter('Student Groupings'!$A:$A,'Student Groupings'!$E:$E=$C91,'Student Groupings'!$H"&amp;":$H=""Must be Together""),"""")})="" - "","""",join("" - "",{iferror(filter('Student Groupings'!$A:$A,'Student Groupings'!$B:$B=$C91,'Student Groupings'!$H:$H=""Must be Together""),"""");iferror(filter('Student Groupings'!$A:$A,'Student Groupings'!$E:$E=$"&amp;"C91,'Student Groupings'!$H:$H=""Must be Together""),"""")})))"),"")</f>
        <v/>
      </c>
      <c r="AE91" s="104"/>
      <c r="AF91" s="104"/>
      <c r="AG91" s="104"/>
      <c r="AH91" s="104"/>
    </row>
    <row r="92">
      <c r="A92" s="101">
        <v>6.0</v>
      </c>
      <c r="B92" s="101">
        <v>31090.0</v>
      </c>
      <c r="C92" s="102" t="s">
        <v>379</v>
      </c>
      <c r="D92" s="52" t="s">
        <v>173</v>
      </c>
      <c r="E92" s="52">
        <v>3.0</v>
      </c>
      <c r="F92" s="52" t="s">
        <v>159</v>
      </c>
      <c r="G92" s="52">
        <v>5.0</v>
      </c>
      <c r="H92" s="52" t="s">
        <v>181</v>
      </c>
      <c r="I92" s="52">
        <v>1.0</v>
      </c>
      <c r="J92" s="52" t="s">
        <v>194</v>
      </c>
      <c r="K92" s="52">
        <v>2.0</v>
      </c>
      <c r="L92" s="52" t="s">
        <v>198</v>
      </c>
      <c r="M92" s="52">
        <v>4.0</v>
      </c>
      <c r="N92" s="52" t="s">
        <v>153</v>
      </c>
      <c r="O92" s="52" t="s">
        <v>109</v>
      </c>
      <c r="P92" s="52" t="s">
        <v>143</v>
      </c>
      <c r="Q92" s="52" t="s">
        <v>120</v>
      </c>
      <c r="R92" s="52" t="s">
        <v>143</v>
      </c>
      <c r="S92" s="52" t="s">
        <v>120</v>
      </c>
      <c r="T92" s="65" t="s">
        <v>143</v>
      </c>
      <c r="U92" s="32">
        <v>1.0</v>
      </c>
      <c r="V92" s="32">
        <v>1.0</v>
      </c>
      <c r="W92" s="32">
        <v>1.0</v>
      </c>
      <c r="X92" s="32">
        <v>1.0</v>
      </c>
      <c r="Y92" s="32">
        <v>1.0</v>
      </c>
      <c r="Z92" s="32">
        <v>1.0</v>
      </c>
      <c r="AA92" s="32">
        <v>6.0</v>
      </c>
      <c r="AB92" s="32">
        <v>0.0</v>
      </c>
      <c r="AC92" s="103" t="str">
        <f>IFERROR(__xludf.DUMMYFUNCTION("if($C92="""","""",if(join("" - "",{iferror(filter('Student Groupings'!$A:$A,'Student Groupings'!$B:$B=$C92,'Student Groupings'!$H:$H=""Can't be Together""),"""");iferror(filter('Student Groupings'!$A:$A,'Student Groupings'!$E:$E=$C92,'Student Groupings'!$"&amp;"H:$H=""Can't be Together""),"""")})="" - "","""",join("" - "",{iferror(filter('Student Groupings'!$A:$A,'Student Groupings'!$B:$B=$C92,'Student Groupings'!$H:$H=""Can't be Together""),"""");iferror(filter('Student Groupings'!$A:$A,'Student Groupings'!$E:$"&amp;"E=$C92,'Student Groupings'!$H:$H=""Can't be Together""),"""")})))"),"")</f>
        <v/>
      </c>
      <c r="AD92" s="103" t="str">
        <f>IFERROR(__xludf.DUMMYFUNCTION("if($C92="""","""",if(join("" - "",{iferror(filter('Student Groupings'!$A:$A,'Student Groupings'!$B:$B=$C92,'Student Groupings'!$H:$H=""Must be Together""),"""");iferror(filter('Student Groupings'!$A:$A,'Student Groupings'!$E:$E=$C92,'Student Groupings'!$H"&amp;":$H=""Must be Together""),"""")})="" - "","""",join("" - "",{iferror(filter('Student Groupings'!$A:$A,'Student Groupings'!$B:$B=$C92,'Student Groupings'!$H:$H=""Must be Together""),"""");iferror(filter('Student Groupings'!$A:$A,'Student Groupings'!$E:$E=$"&amp;"C92,'Student Groupings'!$H:$H=""Must be Together""),"""")})))"),"")</f>
        <v/>
      </c>
      <c r="AE92" s="104"/>
      <c r="AF92" s="104"/>
      <c r="AG92" s="104"/>
      <c r="AH92" s="104"/>
    </row>
    <row r="93">
      <c r="A93" s="101">
        <v>6.0</v>
      </c>
      <c r="B93" s="101">
        <v>31092.0</v>
      </c>
      <c r="C93" s="102" t="s">
        <v>380</v>
      </c>
      <c r="D93" s="52" t="s">
        <v>173</v>
      </c>
      <c r="E93" s="52">
        <v>3.0</v>
      </c>
      <c r="F93" s="52" t="s">
        <v>158</v>
      </c>
      <c r="G93" s="52">
        <v>1.0</v>
      </c>
      <c r="H93" s="52" t="s">
        <v>182</v>
      </c>
      <c r="I93" s="52">
        <v>5.0</v>
      </c>
      <c r="J93" s="52" t="s">
        <v>194</v>
      </c>
      <c r="K93" s="101">
        <v>2.0</v>
      </c>
      <c r="L93" s="52" t="s">
        <v>198</v>
      </c>
      <c r="M93" s="52">
        <v>4.0</v>
      </c>
      <c r="N93" s="52" t="s">
        <v>153</v>
      </c>
      <c r="O93" s="52" t="s">
        <v>109</v>
      </c>
      <c r="P93" s="52" t="s">
        <v>143</v>
      </c>
      <c r="Q93" s="52" t="s">
        <v>120</v>
      </c>
      <c r="R93" s="52" t="s">
        <v>143</v>
      </c>
      <c r="S93" s="52" t="s">
        <v>120</v>
      </c>
      <c r="T93" s="65" t="s">
        <v>143</v>
      </c>
      <c r="U93" s="32">
        <v>1.0</v>
      </c>
      <c r="V93" s="32">
        <v>1.0</v>
      </c>
      <c r="W93" s="32">
        <v>1.0</v>
      </c>
      <c r="X93" s="32">
        <v>1.0</v>
      </c>
      <c r="Y93" s="32">
        <v>1.0</v>
      </c>
      <c r="Z93" s="32">
        <v>1.0</v>
      </c>
      <c r="AA93" s="32">
        <v>6.0</v>
      </c>
      <c r="AB93" s="32">
        <v>0.0</v>
      </c>
      <c r="AC93" s="103" t="str">
        <f>IFERROR(__xludf.DUMMYFUNCTION("if($C93="""","""",if(join("" - "",{iferror(filter('Student Groupings'!$A:$A,'Student Groupings'!$B:$B=$C93,'Student Groupings'!$H:$H=""Can't be Together""),"""");iferror(filter('Student Groupings'!$A:$A,'Student Groupings'!$E:$E=$C93,'Student Groupings'!$"&amp;"H:$H=""Can't be Together""),"""")})="" - "","""",join("" - "",{iferror(filter('Student Groupings'!$A:$A,'Student Groupings'!$B:$B=$C93,'Student Groupings'!$H:$H=""Can't be Together""),"""");iferror(filter('Student Groupings'!$A:$A,'Student Groupings'!$E:$"&amp;"E=$C93,'Student Groupings'!$H:$H=""Can't be Together""),"""")})))"),"")</f>
        <v/>
      </c>
      <c r="AD93" s="103" t="str">
        <f>IFERROR(__xludf.DUMMYFUNCTION("if($C93="""","""",if(join("" - "",{iferror(filter('Student Groupings'!$A:$A,'Student Groupings'!$B:$B=$C93,'Student Groupings'!$H:$H=""Must be Together""),"""");iferror(filter('Student Groupings'!$A:$A,'Student Groupings'!$E:$E=$C93,'Student Groupings'!$H"&amp;":$H=""Must be Together""),"""")})="" - "","""",join("" - "",{iferror(filter('Student Groupings'!$A:$A,'Student Groupings'!$B:$B=$C93,'Student Groupings'!$H:$H=""Must be Together""),"""");iferror(filter('Student Groupings'!$A:$A,'Student Groupings'!$E:$E=$"&amp;"C93,'Student Groupings'!$H:$H=""Must be Together""),"""")})))"),"")</f>
        <v/>
      </c>
      <c r="AE93" s="104"/>
      <c r="AF93" s="104"/>
      <c r="AG93" s="104"/>
      <c r="AH93" s="104"/>
    </row>
    <row r="94">
      <c r="A94" s="101">
        <v>6.0</v>
      </c>
      <c r="B94" s="101">
        <v>31091.0</v>
      </c>
      <c r="C94" s="102" t="s">
        <v>381</v>
      </c>
      <c r="D94" s="52" t="s">
        <v>171</v>
      </c>
      <c r="E94" s="52">
        <v>6.0</v>
      </c>
      <c r="F94" s="52" t="s">
        <v>158</v>
      </c>
      <c r="G94" s="52">
        <v>4.0</v>
      </c>
      <c r="H94" s="52" t="s">
        <v>182</v>
      </c>
      <c r="I94" s="52">
        <v>3.0</v>
      </c>
      <c r="J94" s="52" t="s">
        <v>192</v>
      </c>
      <c r="K94" s="52">
        <v>5.0</v>
      </c>
      <c r="L94" s="52" t="s">
        <v>196</v>
      </c>
      <c r="M94" s="52">
        <v>1.0</v>
      </c>
      <c r="N94" s="52" t="s">
        <v>153</v>
      </c>
      <c r="O94" s="52" t="s">
        <v>125</v>
      </c>
      <c r="P94" s="52" t="s">
        <v>134</v>
      </c>
      <c r="Q94" s="52" t="s">
        <v>119</v>
      </c>
      <c r="R94" s="52" t="s">
        <v>117</v>
      </c>
      <c r="S94" s="52" t="s">
        <v>119</v>
      </c>
      <c r="T94" s="65" t="s">
        <v>27</v>
      </c>
      <c r="U94" s="32">
        <v>1.0</v>
      </c>
      <c r="V94" s="32">
        <v>1.0</v>
      </c>
      <c r="W94" s="32">
        <v>1.0</v>
      </c>
      <c r="X94" s="32">
        <v>1.0</v>
      </c>
      <c r="Y94" s="32">
        <v>1.0</v>
      </c>
      <c r="Z94" s="32">
        <v>1.0</v>
      </c>
      <c r="AA94" s="32">
        <v>6.0</v>
      </c>
      <c r="AB94" s="32">
        <v>0.0</v>
      </c>
      <c r="AC94" s="103" t="str">
        <f>IFERROR(__xludf.DUMMYFUNCTION("if($C94="""","""",if(join("" - "",{iferror(filter('Student Groupings'!$A:$A,'Student Groupings'!$B:$B=$C94,'Student Groupings'!$H:$H=""Can't be Together""),"""");iferror(filter('Student Groupings'!$A:$A,'Student Groupings'!$E:$E=$C94,'Student Groupings'!$"&amp;"H:$H=""Can't be Together""),"""")})="" - "","""",join("" - "",{iferror(filter('Student Groupings'!$A:$A,'Student Groupings'!$B:$B=$C94,'Student Groupings'!$H:$H=""Can't be Together""),"""");iferror(filter('Student Groupings'!$A:$A,'Student Groupings'!$E:$"&amp;"E=$C94,'Student Groupings'!$H:$H=""Can't be Together""),"""")})))"),"")</f>
        <v/>
      </c>
      <c r="AD94" s="103" t="str">
        <f>IFERROR(__xludf.DUMMYFUNCTION("if($C94="""","""",if(join("" - "",{iferror(filter('Student Groupings'!$A:$A,'Student Groupings'!$B:$B=$C94,'Student Groupings'!$H:$H=""Must be Together""),"""");iferror(filter('Student Groupings'!$A:$A,'Student Groupings'!$E:$E=$C94,'Student Groupings'!$H"&amp;":$H=""Must be Together""),"""")})="" - "","""",join("" - "",{iferror(filter('Student Groupings'!$A:$A,'Student Groupings'!$B:$B=$C94,'Student Groupings'!$H:$H=""Must be Together""),"""");iferror(filter('Student Groupings'!$A:$A,'Student Groupings'!$E:$E=$"&amp;"C94,'Student Groupings'!$H:$H=""Must be Together""),"""")})))"),"")</f>
        <v/>
      </c>
      <c r="AE94" s="104"/>
      <c r="AF94" s="104"/>
      <c r="AG94" s="104"/>
      <c r="AH94" s="104"/>
    </row>
    <row r="95">
      <c r="A95" s="101">
        <v>6.0</v>
      </c>
      <c r="B95" s="101">
        <v>31160.0</v>
      </c>
      <c r="C95" s="102" t="s">
        <v>382</v>
      </c>
      <c r="D95" s="52" t="s">
        <v>171</v>
      </c>
      <c r="E95" s="52">
        <v>5.0</v>
      </c>
      <c r="F95" s="52" t="s">
        <v>158</v>
      </c>
      <c r="G95" s="52">
        <v>4.0</v>
      </c>
      <c r="H95" s="52" t="s">
        <v>182</v>
      </c>
      <c r="I95" s="52">
        <v>3.0</v>
      </c>
      <c r="J95" s="52" t="s">
        <v>192</v>
      </c>
      <c r="K95" s="52">
        <v>1.0</v>
      </c>
      <c r="L95" s="52" t="s">
        <v>196</v>
      </c>
      <c r="M95" s="52">
        <v>6.0</v>
      </c>
      <c r="N95" s="52" t="s">
        <v>153</v>
      </c>
      <c r="O95" s="52" t="s">
        <v>125</v>
      </c>
      <c r="P95" s="52" t="s">
        <v>117</v>
      </c>
      <c r="Q95" s="52" t="s">
        <v>119</v>
      </c>
      <c r="R95" s="52" t="s">
        <v>134</v>
      </c>
      <c r="S95" s="52" t="s">
        <v>119</v>
      </c>
      <c r="T95" s="65" t="s">
        <v>8</v>
      </c>
      <c r="U95" s="32">
        <v>1.0</v>
      </c>
      <c r="V95" s="32">
        <v>1.0</v>
      </c>
      <c r="W95" s="32">
        <v>1.0</v>
      </c>
      <c r="X95" s="32">
        <v>1.0</v>
      </c>
      <c r="Y95" s="32">
        <v>1.0</v>
      </c>
      <c r="Z95" s="32">
        <v>1.0</v>
      </c>
      <c r="AA95" s="32">
        <v>6.0</v>
      </c>
      <c r="AB95" s="32">
        <v>0.0</v>
      </c>
      <c r="AC95" s="103" t="str">
        <f>IFERROR(__xludf.DUMMYFUNCTION("if($C95="""","""",if(join("" - "",{iferror(filter('Student Groupings'!$A:$A,'Student Groupings'!$B:$B=$C95,'Student Groupings'!$H:$H=""Can't be Together""),"""");iferror(filter('Student Groupings'!$A:$A,'Student Groupings'!$E:$E=$C95,'Student Groupings'!$"&amp;"H:$H=""Can't be Together""),"""")})="" - "","""",join("" - "",{iferror(filter('Student Groupings'!$A:$A,'Student Groupings'!$B:$B=$C95,'Student Groupings'!$H:$H=""Can't be Together""),"""");iferror(filter('Student Groupings'!$A:$A,'Student Groupings'!$E:$"&amp;"E=$C95,'Student Groupings'!$H:$H=""Can't be Together""),"""")})))"),"")</f>
        <v/>
      </c>
      <c r="AD95" s="103" t="str">
        <f>IFERROR(__xludf.DUMMYFUNCTION("if($C95="""","""",if(join("" - "",{iferror(filter('Student Groupings'!$A:$A,'Student Groupings'!$B:$B=$C95,'Student Groupings'!$H:$H=""Must be Together""),"""");iferror(filter('Student Groupings'!$A:$A,'Student Groupings'!$E:$E=$C95,'Student Groupings'!$H"&amp;":$H=""Must be Together""),"""")})="" - "","""",join("" - "",{iferror(filter('Student Groupings'!$A:$A,'Student Groupings'!$B:$B=$C95,'Student Groupings'!$H:$H=""Must be Together""),"""");iferror(filter('Student Groupings'!$A:$A,'Student Groupings'!$E:$E=$"&amp;"C95,'Student Groupings'!$H:$H=""Must be Together""),"""")})))"),"")</f>
        <v/>
      </c>
      <c r="AE95" s="104"/>
      <c r="AF95" s="104"/>
      <c r="AG95" s="104"/>
      <c r="AH95" s="104"/>
    </row>
    <row r="96">
      <c r="A96" s="101">
        <v>6.0</v>
      </c>
      <c r="B96" s="101">
        <v>31093.0</v>
      </c>
      <c r="C96" s="102" t="s">
        <v>383</v>
      </c>
      <c r="D96" s="52" t="s">
        <v>171</v>
      </c>
      <c r="E96" s="52">
        <v>2.0</v>
      </c>
      <c r="F96" s="52" t="s">
        <v>159</v>
      </c>
      <c r="G96" s="52">
        <v>5.0</v>
      </c>
      <c r="H96" s="52" t="s">
        <v>182</v>
      </c>
      <c r="I96" s="52">
        <v>6.0</v>
      </c>
      <c r="J96" s="52" t="s">
        <v>192</v>
      </c>
      <c r="K96" s="52">
        <v>4.0</v>
      </c>
      <c r="L96" s="52" t="s">
        <v>196</v>
      </c>
      <c r="M96" s="52">
        <v>3.0</v>
      </c>
      <c r="N96" s="52" t="s">
        <v>153</v>
      </c>
      <c r="O96" s="52" t="s">
        <v>108</v>
      </c>
      <c r="P96" s="52" t="s">
        <v>117</v>
      </c>
      <c r="Q96" s="52" t="s">
        <v>129</v>
      </c>
      <c r="R96" s="52" t="s">
        <v>134</v>
      </c>
      <c r="S96" s="52" t="s">
        <v>129</v>
      </c>
      <c r="T96" s="65" t="s">
        <v>27</v>
      </c>
      <c r="U96" s="32">
        <v>1.0</v>
      </c>
      <c r="V96" s="32">
        <v>1.0</v>
      </c>
      <c r="W96" s="32">
        <v>1.0</v>
      </c>
      <c r="X96" s="32">
        <v>1.0</v>
      </c>
      <c r="Y96" s="32">
        <v>1.0</v>
      </c>
      <c r="Z96" s="32">
        <v>1.0</v>
      </c>
      <c r="AA96" s="32">
        <v>6.0</v>
      </c>
      <c r="AB96" s="32">
        <v>0.0</v>
      </c>
      <c r="AC96" s="103" t="str">
        <f>IFERROR(__xludf.DUMMYFUNCTION("if($C96="""","""",if(join("" - "",{iferror(filter('Student Groupings'!$A:$A,'Student Groupings'!$B:$B=$C96,'Student Groupings'!$H:$H=""Can't be Together""),"""");iferror(filter('Student Groupings'!$A:$A,'Student Groupings'!$E:$E=$C96,'Student Groupings'!$"&amp;"H:$H=""Can't be Together""),"""")})="" - "","""",join("" - "",{iferror(filter('Student Groupings'!$A:$A,'Student Groupings'!$B:$B=$C96,'Student Groupings'!$H:$H=""Can't be Together""),"""");iferror(filter('Student Groupings'!$A:$A,'Student Groupings'!$E:$"&amp;"E=$C96,'Student Groupings'!$H:$H=""Can't be Together""),"""")})))"),"")</f>
        <v/>
      </c>
      <c r="AD96" s="103" t="str">
        <f>IFERROR(__xludf.DUMMYFUNCTION("if($C96="""","""",if(join("" - "",{iferror(filter('Student Groupings'!$A:$A,'Student Groupings'!$B:$B=$C96,'Student Groupings'!$H:$H=""Must be Together""),"""");iferror(filter('Student Groupings'!$A:$A,'Student Groupings'!$E:$E=$C96,'Student Groupings'!$H"&amp;":$H=""Must be Together""),"""")})="" - "","""",join("" - "",{iferror(filter('Student Groupings'!$A:$A,'Student Groupings'!$B:$B=$C96,'Student Groupings'!$H:$H=""Must be Together""),"""");iferror(filter('Student Groupings'!$A:$A,'Student Groupings'!$E:$E=$"&amp;"C96,'Student Groupings'!$H:$H=""Must be Together""),"""")})))"),"")</f>
        <v/>
      </c>
      <c r="AE96" s="104"/>
      <c r="AF96" s="104"/>
      <c r="AG96" s="105">
        <v>1.0</v>
      </c>
      <c r="AH96" s="105"/>
    </row>
    <row r="97">
      <c r="A97" s="101">
        <v>6.0</v>
      </c>
      <c r="B97" s="101">
        <v>31095.0</v>
      </c>
      <c r="C97" s="102" t="s">
        <v>384</v>
      </c>
      <c r="D97" s="52" t="s">
        <v>171</v>
      </c>
      <c r="E97" s="52">
        <v>4.0</v>
      </c>
      <c r="F97" s="52" t="s">
        <v>158</v>
      </c>
      <c r="G97" s="52">
        <v>1.0</v>
      </c>
      <c r="H97" s="52" t="s">
        <v>182</v>
      </c>
      <c r="I97" s="52">
        <v>5.0</v>
      </c>
      <c r="J97" s="52" t="s">
        <v>192</v>
      </c>
      <c r="K97" s="52">
        <v>3.0</v>
      </c>
      <c r="L97" s="52" t="s">
        <v>196</v>
      </c>
      <c r="M97" s="52">
        <v>2.0</v>
      </c>
      <c r="N97" s="52" t="s">
        <v>153</v>
      </c>
      <c r="O97" s="52" t="s">
        <v>120</v>
      </c>
      <c r="P97" s="52" t="s">
        <v>134</v>
      </c>
      <c r="Q97" s="52" t="s">
        <v>109</v>
      </c>
      <c r="R97" s="52" t="s">
        <v>117</v>
      </c>
      <c r="S97" s="52" t="s">
        <v>109</v>
      </c>
      <c r="T97" s="65" t="s">
        <v>27</v>
      </c>
      <c r="U97" s="32">
        <v>1.0</v>
      </c>
      <c r="V97" s="32">
        <v>1.0</v>
      </c>
      <c r="W97" s="32">
        <v>1.0</v>
      </c>
      <c r="X97" s="32">
        <v>1.0</v>
      </c>
      <c r="Y97" s="32">
        <v>1.0</v>
      </c>
      <c r="Z97" s="32">
        <v>1.0</v>
      </c>
      <c r="AA97" s="32">
        <v>6.0</v>
      </c>
      <c r="AB97" s="32">
        <v>0.0</v>
      </c>
      <c r="AC97" s="103" t="str">
        <f>IFERROR(__xludf.DUMMYFUNCTION("if($C97="""","""",if(join("" - "",{iferror(filter('Student Groupings'!$A:$A,'Student Groupings'!$B:$B=$C97,'Student Groupings'!$H:$H=""Can't be Together""),"""");iferror(filter('Student Groupings'!$A:$A,'Student Groupings'!$E:$E=$C97,'Student Groupings'!$"&amp;"H:$H=""Can't be Together""),"""")})="" - "","""",join("" - "",{iferror(filter('Student Groupings'!$A:$A,'Student Groupings'!$B:$B=$C97,'Student Groupings'!$H:$H=""Can't be Together""),"""");iferror(filter('Student Groupings'!$A:$A,'Student Groupings'!$E:$"&amp;"E=$C97,'Student Groupings'!$H:$H=""Can't be Together""),"""")})))"),"")</f>
        <v/>
      </c>
      <c r="AD97" s="103" t="str">
        <f>IFERROR(__xludf.DUMMYFUNCTION("if($C97="""","""",if(join("" - "",{iferror(filter('Student Groupings'!$A:$A,'Student Groupings'!$B:$B=$C97,'Student Groupings'!$H:$H=""Must be Together""),"""");iferror(filter('Student Groupings'!$A:$A,'Student Groupings'!$E:$E=$C97,'Student Groupings'!$H"&amp;":$H=""Must be Together""),"""")})="" - "","""",join("" - "",{iferror(filter('Student Groupings'!$A:$A,'Student Groupings'!$B:$B=$C97,'Student Groupings'!$H:$H=""Must be Together""),"""");iferror(filter('Student Groupings'!$A:$A,'Student Groupings'!$E:$E=$"&amp;"C97,'Student Groupings'!$H:$H=""Must be Together""),"""")})))"),"")</f>
        <v/>
      </c>
      <c r="AE97" s="104"/>
      <c r="AF97" s="104"/>
      <c r="AG97" s="104"/>
      <c r="AH97" s="104"/>
    </row>
    <row r="98">
      <c r="A98" s="101">
        <v>6.0</v>
      </c>
      <c r="B98" s="101">
        <v>31096.0</v>
      </c>
      <c r="C98" s="102" t="s">
        <v>229</v>
      </c>
      <c r="D98" s="52" t="s">
        <v>171</v>
      </c>
      <c r="E98" s="52">
        <v>3.0</v>
      </c>
      <c r="F98" s="52" t="s">
        <v>158</v>
      </c>
      <c r="G98" s="52">
        <v>1.0</v>
      </c>
      <c r="H98" s="52" t="s">
        <v>182</v>
      </c>
      <c r="I98" s="52">
        <v>5.0</v>
      </c>
      <c r="J98" s="52" t="s">
        <v>192</v>
      </c>
      <c r="K98" s="52">
        <v>2.0</v>
      </c>
      <c r="L98" s="52" t="s">
        <v>196</v>
      </c>
      <c r="M98" s="52">
        <v>4.0</v>
      </c>
      <c r="N98" s="52" t="s">
        <v>153</v>
      </c>
      <c r="O98" s="52" t="s">
        <v>120</v>
      </c>
      <c r="P98" s="52" t="s">
        <v>117</v>
      </c>
      <c r="Q98" s="52" t="s">
        <v>109</v>
      </c>
      <c r="R98" s="52" t="s">
        <v>134</v>
      </c>
      <c r="S98" s="52" t="s">
        <v>109</v>
      </c>
      <c r="T98" s="65" t="s">
        <v>27</v>
      </c>
      <c r="U98" s="32">
        <v>1.0</v>
      </c>
      <c r="V98" s="32">
        <v>1.0</v>
      </c>
      <c r="W98" s="32">
        <v>1.0</v>
      </c>
      <c r="X98" s="32">
        <v>1.0</v>
      </c>
      <c r="Y98" s="32">
        <v>1.0</v>
      </c>
      <c r="Z98" s="32">
        <v>1.0</v>
      </c>
      <c r="AA98" s="32">
        <v>6.0</v>
      </c>
      <c r="AB98" s="32">
        <v>0.0</v>
      </c>
      <c r="AC98" s="103" t="str">
        <f>IFERROR(__xludf.DUMMYFUNCTION("if($C98="""","""",if(join("" - "",{iferror(filter('Student Groupings'!$A:$A,'Student Groupings'!$B:$B=$C98,'Student Groupings'!$H:$H=""Can't be Together""),"""");iferror(filter('Student Groupings'!$A:$A,'Student Groupings'!$E:$E=$C98,'Student Groupings'!$"&amp;"H:$H=""Can't be Together""),"""")})="" - "","""",join("" - "",{iferror(filter('Student Groupings'!$A:$A,'Student Groupings'!$B:$B=$C98,'Student Groupings'!$H:$H=""Can't be Together""),"""");iferror(filter('Student Groupings'!$A:$A,'Student Groupings'!$E:$"&amp;"E=$C98,'Student Groupings'!$H:$H=""Can't be Together""),"""")})))"),"18 - 16")</f>
        <v>18 - 16</v>
      </c>
      <c r="AD98" s="103" t="str">
        <f>IFERROR(__xludf.DUMMYFUNCTION("if($C98="""","""",if(join("" - "",{iferror(filter('Student Groupings'!$A:$A,'Student Groupings'!$B:$B=$C98,'Student Groupings'!$H:$H=""Must be Together""),"""");iferror(filter('Student Groupings'!$A:$A,'Student Groupings'!$E:$E=$C98,'Student Groupings'!$H"&amp;":$H=""Must be Together""),"""")})="" - "","""",join("" - "",{iferror(filter('Student Groupings'!$A:$A,'Student Groupings'!$B:$B=$C98,'Student Groupings'!$H:$H=""Must be Together""),"""");iferror(filter('Student Groupings'!$A:$A,'Student Groupings'!$E:$E=$"&amp;"C98,'Student Groupings'!$H:$H=""Must be Together""),"""")})))"),"")</f>
        <v/>
      </c>
      <c r="AE98" s="104"/>
      <c r="AF98" s="104"/>
      <c r="AG98" s="104"/>
      <c r="AH98" s="104"/>
    </row>
    <row r="99">
      <c r="A99" s="101">
        <v>6.0</v>
      </c>
      <c r="B99" s="101">
        <v>31097.0</v>
      </c>
      <c r="C99" s="102" t="s">
        <v>228</v>
      </c>
      <c r="D99" s="52" t="s">
        <v>171</v>
      </c>
      <c r="E99" s="52">
        <v>5.0</v>
      </c>
      <c r="F99" s="52" t="s">
        <v>158</v>
      </c>
      <c r="G99" s="52">
        <v>3.0</v>
      </c>
      <c r="H99" s="52" t="s">
        <v>182</v>
      </c>
      <c r="I99" s="52">
        <v>2.0</v>
      </c>
      <c r="J99" s="52" t="s">
        <v>192</v>
      </c>
      <c r="K99" s="52">
        <v>1.0</v>
      </c>
      <c r="L99" s="52" t="s">
        <v>196</v>
      </c>
      <c r="M99" s="52">
        <v>6.0</v>
      </c>
      <c r="N99" s="52" t="s">
        <v>153</v>
      </c>
      <c r="O99" s="52" t="s">
        <v>130</v>
      </c>
      <c r="P99" s="52" t="s">
        <v>117</v>
      </c>
      <c r="Q99" s="52" t="s">
        <v>111</v>
      </c>
      <c r="R99" s="52" t="s">
        <v>134</v>
      </c>
      <c r="S99" s="52" t="s">
        <v>111</v>
      </c>
      <c r="T99" s="65" t="s">
        <v>27</v>
      </c>
      <c r="U99" s="32">
        <v>1.0</v>
      </c>
      <c r="V99" s="32">
        <v>1.0</v>
      </c>
      <c r="W99" s="32">
        <v>1.0</v>
      </c>
      <c r="X99" s="32">
        <v>1.0</v>
      </c>
      <c r="Y99" s="32">
        <v>1.0</v>
      </c>
      <c r="Z99" s="32">
        <v>1.0</v>
      </c>
      <c r="AA99" s="32">
        <v>6.0</v>
      </c>
      <c r="AB99" s="32">
        <v>0.0</v>
      </c>
      <c r="AC99" s="103" t="str">
        <f>IFERROR(__xludf.DUMMYFUNCTION("if($C99="""","""",if(join("" - "",{iferror(filter('Student Groupings'!$A:$A,'Student Groupings'!$B:$B=$C99,'Student Groupings'!$H:$H=""Can't be Together""),"""");iferror(filter('Student Groupings'!$A:$A,'Student Groupings'!$E:$E=$C99,'Student Groupings'!$"&amp;"H:$H=""Can't be Together""),"""")})="" - "","""",join("" - "",{iferror(filter('Student Groupings'!$A:$A,'Student Groupings'!$B:$B=$C99,'Student Groupings'!$H:$H=""Can't be Together""),"""");iferror(filter('Student Groupings'!$A:$A,'Student Groupings'!$E:$"&amp;"E=$C99,'Student Groupings'!$H:$H=""Can't be Together""),"""")})))")," - 15")</f>
        <v> - 15</v>
      </c>
      <c r="AD99" s="103" t="str">
        <f>IFERROR(__xludf.DUMMYFUNCTION("if($C99="""","""",if(join("" - "",{iferror(filter('Student Groupings'!$A:$A,'Student Groupings'!$B:$B=$C99,'Student Groupings'!$H:$H=""Must be Together""),"""");iferror(filter('Student Groupings'!$A:$A,'Student Groupings'!$E:$E=$C99,'Student Groupings'!$H"&amp;":$H=""Must be Together""),"""")})="" - "","""",join("" - "",{iferror(filter('Student Groupings'!$A:$A,'Student Groupings'!$B:$B=$C99,'Student Groupings'!$H:$H=""Must be Together""),"""");iferror(filter('Student Groupings'!$A:$A,'Student Groupings'!$E:$E=$"&amp;"C99,'Student Groupings'!$H:$H=""Must be Together""),"""")})))"),"")</f>
        <v/>
      </c>
      <c r="AE99" s="104"/>
      <c r="AF99" s="104"/>
      <c r="AG99" s="104"/>
      <c r="AH99" s="104"/>
    </row>
    <row r="100">
      <c r="A100" s="101">
        <v>6.0</v>
      </c>
      <c r="B100" s="101">
        <v>31098.0</v>
      </c>
      <c r="C100" s="102" t="s">
        <v>385</v>
      </c>
      <c r="D100" s="52" t="s">
        <v>171</v>
      </c>
      <c r="E100" s="52">
        <v>2.0</v>
      </c>
      <c r="F100" s="52" t="s">
        <v>159</v>
      </c>
      <c r="G100" s="52">
        <v>5.0</v>
      </c>
      <c r="H100" s="52" t="s">
        <v>182</v>
      </c>
      <c r="I100" s="52">
        <v>6.0</v>
      </c>
      <c r="J100" s="52" t="s">
        <v>192</v>
      </c>
      <c r="K100" s="52">
        <v>4.0</v>
      </c>
      <c r="L100" s="52" t="s">
        <v>196</v>
      </c>
      <c r="M100" s="52">
        <v>3.0</v>
      </c>
      <c r="N100" s="52" t="s">
        <v>153</v>
      </c>
      <c r="O100" s="52" t="s">
        <v>108</v>
      </c>
      <c r="P100" s="52" t="s">
        <v>117</v>
      </c>
      <c r="Q100" s="52" t="s">
        <v>129</v>
      </c>
      <c r="R100" s="52" t="s">
        <v>134</v>
      </c>
      <c r="S100" s="52" t="s">
        <v>129</v>
      </c>
      <c r="T100" s="65" t="s">
        <v>27</v>
      </c>
      <c r="U100" s="32">
        <v>1.0</v>
      </c>
      <c r="V100" s="32">
        <v>1.0</v>
      </c>
      <c r="W100" s="32">
        <v>1.0</v>
      </c>
      <c r="X100" s="32">
        <v>1.0</v>
      </c>
      <c r="Y100" s="32">
        <v>1.0</v>
      </c>
      <c r="Z100" s="32">
        <v>1.0</v>
      </c>
      <c r="AA100" s="32">
        <v>6.0</v>
      </c>
      <c r="AB100" s="32">
        <v>0.0</v>
      </c>
      <c r="AC100" s="103" t="str">
        <f>IFERROR(__xludf.DUMMYFUNCTION("if($C100="""","""",if(join("" - "",{iferror(filter('Student Groupings'!$A:$A,'Student Groupings'!$B:$B=$C100,'Student Groupings'!$H:$H=""Can't be Together""),"""");iferror(filter('Student Groupings'!$A:$A,'Student Groupings'!$E:$E=$C100,'Student Groupings"&amp;"'!$H:$H=""Can't be Together""),"""")})="" - "","""",join("" - "",{iferror(filter('Student Groupings'!$A:$A,'Student Groupings'!$B:$B=$C100,'Student Groupings'!$H:$H=""Can't be Together""),"""");iferror(filter('Student Groupings'!$A:$A,'Student Groupings'!"&amp;"$E:$E=$C100,'Student Groupings'!$H:$H=""Can't be Together""),"""")})))"),"")</f>
        <v/>
      </c>
      <c r="AD100" s="103" t="str">
        <f>IFERROR(__xludf.DUMMYFUNCTION("if($C100="""","""",if(join("" - "",{iferror(filter('Student Groupings'!$A:$A,'Student Groupings'!$B:$B=$C100,'Student Groupings'!$H:$H=""Must be Together""),"""");iferror(filter('Student Groupings'!$A:$A,'Student Groupings'!$E:$E=$C100,'Student Groupings'"&amp;"!$H:$H=""Must be Together""),"""")})="" - "","""",join("" - "",{iferror(filter('Student Groupings'!$A:$A,'Student Groupings'!$B:$B=$C100,'Student Groupings'!$H:$H=""Must be Together""),"""");iferror(filter('Student Groupings'!$A:$A,'Student Groupings'!$E:"&amp;"$E=$C100,'Student Groupings'!$H:$H=""Must be Together""),"""")})))"),"")</f>
        <v/>
      </c>
      <c r="AE100" s="104"/>
      <c r="AF100" s="104"/>
      <c r="AG100" s="105">
        <v>1.0</v>
      </c>
      <c r="AH100" s="105"/>
    </row>
    <row r="101">
      <c r="A101" s="101">
        <v>6.0</v>
      </c>
      <c r="B101" s="101">
        <v>31099.0</v>
      </c>
      <c r="C101" s="102" t="s">
        <v>386</v>
      </c>
      <c r="D101" s="52" t="s">
        <v>171</v>
      </c>
      <c r="E101" s="52">
        <v>3.0</v>
      </c>
      <c r="F101" s="52" t="s">
        <v>158</v>
      </c>
      <c r="G101" s="52">
        <v>5.0</v>
      </c>
      <c r="H101" s="52" t="s">
        <v>182</v>
      </c>
      <c r="I101" s="52">
        <v>6.0</v>
      </c>
      <c r="J101" s="52" t="s">
        <v>192</v>
      </c>
      <c r="K101" s="52">
        <v>2.0</v>
      </c>
      <c r="L101" s="52" t="s">
        <v>196</v>
      </c>
      <c r="M101" s="52">
        <v>4.0</v>
      </c>
      <c r="N101" s="52" t="s">
        <v>153</v>
      </c>
      <c r="O101" s="52" t="s">
        <v>108</v>
      </c>
      <c r="P101" s="52" t="s">
        <v>134</v>
      </c>
      <c r="Q101" s="52" t="s">
        <v>129</v>
      </c>
      <c r="R101" s="52" t="s">
        <v>117</v>
      </c>
      <c r="S101" s="52" t="s">
        <v>129</v>
      </c>
      <c r="T101" s="65" t="s">
        <v>27</v>
      </c>
      <c r="U101" s="32">
        <v>1.0</v>
      </c>
      <c r="V101" s="32">
        <v>1.0</v>
      </c>
      <c r="W101" s="32">
        <v>1.0</v>
      </c>
      <c r="X101" s="32">
        <v>1.0</v>
      </c>
      <c r="Y101" s="32">
        <v>1.0</v>
      </c>
      <c r="Z101" s="32">
        <v>1.0</v>
      </c>
      <c r="AA101" s="32">
        <v>6.0</v>
      </c>
      <c r="AB101" s="32">
        <v>0.0</v>
      </c>
      <c r="AC101" s="103" t="str">
        <f>IFERROR(__xludf.DUMMYFUNCTION("if($C101="""","""",if(join("" - "",{iferror(filter('Student Groupings'!$A:$A,'Student Groupings'!$B:$B=$C101,'Student Groupings'!$H:$H=""Can't be Together""),"""");iferror(filter('Student Groupings'!$A:$A,'Student Groupings'!$E:$E=$C101,'Student Groupings"&amp;"'!$H:$H=""Can't be Together""),"""")})="" - "","""",join("" - "",{iferror(filter('Student Groupings'!$A:$A,'Student Groupings'!$B:$B=$C101,'Student Groupings'!$H:$H=""Can't be Together""),"""");iferror(filter('Student Groupings'!$A:$A,'Student Groupings'!"&amp;"$E:$E=$C101,'Student Groupings'!$H:$H=""Can't be Together""),"""")})))"),"")</f>
        <v/>
      </c>
      <c r="AD101" s="103" t="str">
        <f>IFERROR(__xludf.DUMMYFUNCTION("if($C101="""","""",if(join("" - "",{iferror(filter('Student Groupings'!$A:$A,'Student Groupings'!$B:$B=$C101,'Student Groupings'!$H:$H=""Must be Together""),"""");iferror(filter('Student Groupings'!$A:$A,'Student Groupings'!$E:$E=$C101,'Student Groupings'"&amp;"!$H:$H=""Must be Together""),"""")})="" - "","""",join("" - "",{iferror(filter('Student Groupings'!$A:$A,'Student Groupings'!$B:$B=$C101,'Student Groupings'!$H:$H=""Must be Together""),"""");iferror(filter('Student Groupings'!$A:$A,'Student Groupings'!$E:"&amp;"$E=$C101,'Student Groupings'!$H:$H=""Must be Together""),"""")})))"),"")</f>
        <v/>
      </c>
      <c r="AE101" s="104"/>
      <c r="AF101" s="104"/>
      <c r="AG101" s="104"/>
      <c r="AH101" s="104"/>
    </row>
    <row r="102">
      <c r="A102" s="101">
        <v>6.0</v>
      </c>
      <c r="B102" s="101">
        <v>31100.0</v>
      </c>
      <c r="C102" s="102" t="s">
        <v>387</v>
      </c>
      <c r="D102" s="52" t="s">
        <v>171</v>
      </c>
      <c r="E102" s="52">
        <v>6.0</v>
      </c>
      <c r="F102" s="52" t="s">
        <v>158</v>
      </c>
      <c r="G102" s="52">
        <v>3.0</v>
      </c>
      <c r="H102" s="52" t="s">
        <v>182</v>
      </c>
      <c r="I102" s="52">
        <v>2.0</v>
      </c>
      <c r="J102" s="52" t="s">
        <v>192</v>
      </c>
      <c r="K102" s="52">
        <v>5.0</v>
      </c>
      <c r="L102" s="52" t="s">
        <v>196</v>
      </c>
      <c r="M102" s="52">
        <v>1.0</v>
      </c>
      <c r="N102" s="52" t="s">
        <v>153</v>
      </c>
      <c r="O102" s="52" t="s">
        <v>130</v>
      </c>
      <c r="P102" s="52" t="s">
        <v>134</v>
      </c>
      <c r="Q102" s="52" t="s">
        <v>111</v>
      </c>
      <c r="R102" s="52" t="s">
        <v>117</v>
      </c>
      <c r="S102" s="52" t="s">
        <v>111</v>
      </c>
      <c r="T102" s="65" t="s">
        <v>27</v>
      </c>
      <c r="U102" s="32">
        <v>1.0</v>
      </c>
      <c r="V102" s="32">
        <v>1.0</v>
      </c>
      <c r="W102" s="32">
        <v>1.0</v>
      </c>
      <c r="X102" s="32">
        <v>1.0</v>
      </c>
      <c r="Y102" s="32">
        <v>1.0</v>
      </c>
      <c r="Z102" s="32">
        <v>1.0</v>
      </c>
      <c r="AA102" s="32">
        <v>6.0</v>
      </c>
      <c r="AB102" s="32">
        <v>0.0</v>
      </c>
      <c r="AC102" s="103" t="str">
        <f>IFERROR(__xludf.DUMMYFUNCTION("if($C102="""","""",if(join("" - "",{iferror(filter('Student Groupings'!$A:$A,'Student Groupings'!$B:$B=$C102,'Student Groupings'!$H:$H=""Can't be Together""),"""");iferror(filter('Student Groupings'!$A:$A,'Student Groupings'!$E:$E=$C102,'Student Groupings"&amp;"'!$H:$H=""Can't be Together""),"""")})="" - "","""",join("" - "",{iferror(filter('Student Groupings'!$A:$A,'Student Groupings'!$B:$B=$C102,'Student Groupings'!$H:$H=""Can't be Together""),"""");iferror(filter('Student Groupings'!$A:$A,'Student Groupings'!"&amp;"$E:$E=$C102,'Student Groupings'!$H:$H=""Can't be Together""),"""")})))"),"")</f>
        <v/>
      </c>
      <c r="AD102" s="103" t="str">
        <f>IFERROR(__xludf.DUMMYFUNCTION("if($C102="""","""",if(join("" - "",{iferror(filter('Student Groupings'!$A:$A,'Student Groupings'!$B:$B=$C102,'Student Groupings'!$H:$H=""Must be Together""),"""");iferror(filter('Student Groupings'!$A:$A,'Student Groupings'!$E:$E=$C102,'Student Groupings'"&amp;"!$H:$H=""Must be Together""),"""")})="" - "","""",join("" - "",{iferror(filter('Student Groupings'!$A:$A,'Student Groupings'!$B:$B=$C102,'Student Groupings'!$H:$H=""Must be Together""),"""");iferror(filter('Student Groupings'!$A:$A,'Student Groupings'!$E:"&amp;"$E=$C102,'Student Groupings'!$H:$H=""Must be Together""),"""")})))"),"")</f>
        <v/>
      </c>
      <c r="AE102" s="104"/>
      <c r="AF102" s="104"/>
      <c r="AG102" s="104"/>
      <c r="AH102" s="104"/>
    </row>
    <row r="103">
      <c r="A103" s="101">
        <v>6.0</v>
      </c>
      <c r="B103" s="101">
        <v>31101.0</v>
      </c>
      <c r="C103" s="102" t="s">
        <v>388</v>
      </c>
      <c r="D103" s="52" t="s">
        <v>171</v>
      </c>
      <c r="E103" s="52">
        <v>6.0</v>
      </c>
      <c r="F103" s="52" t="s">
        <v>158</v>
      </c>
      <c r="G103" s="52">
        <v>4.0</v>
      </c>
      <c r="H103" s="52" t="s">
        <v>182</v>
      </c>
      <c r="I103" s="52">
        <v>3.0</v>
      </c>
      <c r="J103" s="52" t="s">
        <v>192</v>
      </c>
      <c r="K103" s="52">
        <v>5.0</v>
      </c>
      <c r="L103" s="52" t="s">
        <v>196</v>
      </c>
      <c r="M103" s="52">
        <v>1.0</v>
      </c>
      <c r="N103" s="52" t="s">
        <v>153</v>
      </c>
      <c r="O103" s="52" t="s">
        <v>125</v>
      </c>
      <c r="P103" s="52" t="s">
        <v>134</v>
      </c>
      <c r="Q103" s="52" t="s">
        <v>119</v>
      </c>
      <c r="R103" s="52" t="s">
        <v>117</v>
      </c>
      <c r="S103" s="52" t="s">
        <v>119</v>
      </c>
      <c r="T103" s="65" t="s">
        <v>27</v>
      </c>
      <c r="U103" s="32">
        <v>1.0</v>
      </c>
      <c r="V103" s="32">
        <v>1.0</v>
      </c>
      <c r="W103" s="32">
        <v>1.0</v>
      </c>
      <c r="X103" s="32">
        <v>1.0</v>
      </c>
      <c r="Y103" s="32">
        <v>1.0</v>
      </c>
      <c r="Z103" s="32">
        <v>1.0</v>
      </c>
      <c r="AA103" s="32">
        <v>6.0</v>
      </c>
      <c r="AB103" s="32">
        <v>0.0</v>
      </c>
      <c r="AC103" s="103" t="str">
        <f>IFERROR(__xludf.DUMMYFUNCTION("if($C103="""","""",if(join("" - "",{iferror(filter('Student Groupings'!$A:$A,'Student Groupings'!$B:$B=$C103,'Student Groupings'!$H:$H=""Can't be Together""),"""");iferror(filter('Student Groupings'!$A:$A,'Student Groupings'!$E:$E=$C103,'Student Groupings"&amp;"'!$H:$H=""Can't be Together""),"""")})="" - "","""",join("" - "",{iferror(filter('Student Groupings'!$A:$A,'Student Groupings'!$B:$B=$C103,'Student Groupings'!$H:$H=""Can't be Together""),"""");iferror(filter('Student Groupings'!$A:$A,'Student Groupings'!"&amp;"$E:$E=$C103,'Student Groupings'!$H:$H=""Can't be Together""),"""")})))"),"")</f>
        <v/>
      </c>
      <c r="AD103" s="103" t="str">
        <f>IFERROR(__xludf.DUMMYFUNCTION("if($C103="""","""",if(join("" - "",{iferror(filter('Student Groupings'!$A:$A,'Student Groupings'!$B:$B=$C103,'Student Groupings'!$H:$H=""Must be Together""),"""");iferror(filter('Student Groupings'!$A:$A,'Student Groupings'!$E:$E=$C103,'Student Groupings'"&amp;"!$H:$H=""Must be Together""),"""")})="" - "","""",join("" - "",{iferror(filter('Student Groupings'!$A:$A,'Student Groupings'!$B:$B=$C103,'Student Groupings'!$H:$H=""Must be Together""),"""");iferror(filter('Student Groupings'!$A:$A,'Student Groupings'!$E:"&amp;"$E=$C103,'Student Groupings'!$H:$H=""Must be Together""),"""")})))"),"")</f>
        <v/>
      </c>
      <c r="AE103" s="104"/>
      <c r="AF103" s="104"/>
      <c r="AG103" s="104"/>
      <c r="AH103" s="104"/>
    </row>
    <row r="104">
      <c r="A104" s="101">
        <v>6.0</v>
      </c>
      <c r="B104" s="101">
        <v>31173.0</v>
      </c>
      <c r="C104" s="102" t="s">
        <v>215</v>
      </c>
      <c r="D104" s="52" t="s">
        <v>171</v>
      </c>
      <c r="E104" s="52">
        <v>4.0</v>
      </c>
      <c r="F104" s="52" t="s">
        <v>159</v>
      </c>
      <c r="G104" s="52">
        <v>5.0</v>
      </c>
      <c r="H104" s="52" t="s">
        <v>181</v>
      </c>
      <c r="I104" s="52">
        <v>1.0</v>
      </c>
      <c r="J104" s="52" t="s">
        <v>192</v>
      </c>
      <c r="K104" s="52">
        <v>3.0</v>
      </c>
      <c r="L104" s="52" t="s">
        <v>196</v>
      </c>
      <c r="M104" s="52">
        <v>2.0</v>
      </c>
      <c r="N104" s="52" t="s">
        <v>153</v>
      </c>
      <c r="O104" s="52" t="s">
        <v>120</v>
      </c>
      <c r="P104" s="52" t="s">
        <v>117</v>
      </c>
      <c r="Q104" s="52" t="s">
        <v>109</v>
      </c>
      <c r="R104" s="52" t="s">
        <v>134</v>
      </c>
      <c r="S104" s="52" t="s">
        <v>109</v>
      </c>
      <c r="T104" s="65" t="s">
        <v>8</v>
      </c>
      <c r="U104" s="32">
        <v>1.0</v>
      </c>
      <c r="V104" s="32">
        <v>1.0</v>
      </c>
      <c r="W104" s="32">
        <v>1.0</v>
      </c>
      <c r="X104" s="32">
        <v>1.0</v>
      </c>
      <c r="Y104" s="32">
        <v>1.0</v>
      </c>
      <c r="Z104" s="32">
        <v>1.0</v>
      </c>
      <c r="AA104" s="32">
        <v>6.0</v>
      </c>
      <c r="AB104" s="32">
        <v>0.0</v>
      </c>
      <c r="AC104" s="103" t="str">
        <f>IFERROR(__xludf.DUMMYFUNCTION("if($C104="""","""",if(join("" - "",{iferror(filter('Student Groupings'!$A:$A,'Student Groupings'!$B:$B=$C104,'Student Groupings'!$H:$H=""Can't be Together""),"""");iferror(filter('Student Groupings'!$A:$A,'Student Groupings'!$E:$E=$C104,'Student Groupings"&amp;"'!$H:$H=""Can't be Together""),"""")})="" - "","""",join("" - "",{iferror(filter('Student Groupings'!$A:$A,'Student Groupings'!$B:$B=$C104,'Student Groupings'!$H:$H=""Can't be Together""),"""");iferror(filter('Student Groupings'!$A:$A,'Student Groupings'!"&amp;"$E:$E=$C104,'Student Groupings'!$H:$H=""Can't be Together""),"""")})))"),"")</f>
        <v/>
      </c>
      <c r="AD104" s="103" t="str">
        <f>IFERROR(__xludf.DUMMYFUNCTION("if($C104="""","""",if(join("" - "",{iferror(filter('Student Groupings'!$A:$A,'Student Groupings'!$B:$B=$C104,'Student Groupings'!$H:$H=""Must be Together""),"""");iferror(filter('Student Groupings'!$A:$A,'Student Groupings'!$E:$E=$C104,'Student Groupings'"&amp;"!$H:$H=""Must be Together""),"""")})="" - "","""",join("" - "",{iferror(filter('Student Groupings'!$A:$A,'Student Groupings'!$B:$B=$C104,'Student Groupings'!$H:$H=""Must be Together""),"""");iferror(filter('Student Groupings'!$A:$A,'Student Groupings'!$E:"&amp;"$E=$C104,'Student Groupings'!$H:$H=""Must be Together""),"""")})))")," - 3")</f>
        <v> - 3</v>
      </c>
      <c r="AE104" s="104"/>
      <c r="AF104" s="104"/>
      <c r="AG104" s="104"/>
      <c r="AH104" s="104"/>
    </row>
    <row r="105">
      <c r="A105" s="101">
        <v>6.0</v>
      </c>
      <c r="B105" s="101">
        <v>31103.0</v>
      </c>
      <c r="C105" s="102" t="s">
        <v>389</v>
      </c>
      <c r="D105" s="52" t="s">
        <v>171</v>
      </c>
      <c r="E105" s="52">
        <v>5.0</v>
      </c>
      <c r="F105" s="52" t="s">
        <v>158</v>
      </c>
      <c r="G105" s="52">
        <v>4.0</v>
      </c>
      <c r="H105" s="52" t="s">
        <v>182</v>
      </c>
      <c r="I105" s="52">
        <v>3.0</v>
      </c>
      <c r="J105" s="52" t="s">
        <v>192</v>
      </c>
      <c r="K105" s="52">
        <v>1.0</v>
      </c>
      <c r="L105" s="52" t="s">
        <v>196</v>
      </c>
      <c r="M105" s="52">
        <v>6.0</v>
      </c>
      <c r="N105" s="52" t="s">
        <v>153</v>
      </c>
      <c r="O105" s="52" t="s">
        <v>125</v>
      </c>
      <c r="P105" s="52" t="s">
        <v>117</v>
      </c>
      <c r="Q105" s="52" t="s">
        <v>119</v>
      </c>
      <c r="R105" s="52" t="s">
        <v>134</v>
      </c>
      <c r="S105" s="52" t="s">
        <v>119</v>
      </c>
      <c r="T105" s="65" t="s">
        <v>27</v>
      </c>
      <c r="U105" s="32">
        <v>1.0</v>
      </c>
      <c r="V105" s="32">
        <v>1.0</v>
      </c>
      <c r="W105" s="32">
        <v>1.0</v>
      </c>
      <c r="X105" s="32">
        <v>1.0</v>
      </c>
      <c r="Y105" s="32">
        <v>1.0</v>
      </c>
      <c r="Z105" s="32">
        <v>1.0</v>
      </c>
      <c r="AA105" s="32">
        <v>6.0</v>
      </c>
      <c r="AB105" s="32">
        <v>0.0</v>
      </c>
      <c r="AC105" s="103" t="str">
        <f>IFERROR(__xludf.DUMMYFUNCTION("if($C105="""","""",if(join("" - "",{iferror(filter('Student Groupings'!$A:$A,'Student Groupings'!$B:$B=$C105,'Student Groupings'!$H:$H=""Can't be Together""),"""");iferror(filter('Student Groupings'!$A:$A,'Student Groupings'!$E:$E=$C105,'Student Groupings"&amp;"'!$H:$H=""Can't be Together""),"""")})="" - "","""",join("" - "",{iferror(filter('Student Groupings'!$A:$A,'Student Groupings'!$B:$B=$C105,'Student Groupings'!$H:$H=""Can't be Together""),"""");iferror(filter('Student Groupings'!$A:$A,'Student Groupings'!"&amp;"$E:$E=$C105,'Student Groupings'!$H:$H=""Can't be Together""),"""")})))"),"")</f>
        <v/>
      </c>
      <c r="AD105" s="103" t="str">
        <f>IFERROR(__xludf.DUMMYFUNCTION("if($C105="""","""",if(join("" - "",{iferror(filter('Student Groupings'!$A:$A,'Student Groupings'!$B:$B=$C105,'Student Groupings'!$H:$H=""Must be Together""),"""");iferror(filter('Student Groupings'!$A:$A,'Student Groupings'!$E:$E=$C105,'Student Groupings'"&amp;"!$H:$H=""Must be Together""),"""")})="" - "","""",join("" - "",{iferror(filter('Student Groupings'!$A:$A,'Student Groupings'!$B:$B=$C105,'Student Groupings'!$H:$H=""Must be Together""),"""");iferror(filter('Student Groupings'!$A:$A,'Student Groupings'!$E:"&amp;"$E=$C105,'Student Groupings'!$H:$H=""Must be Together""),"""")})))"),"")</f>
        <v/>
      </c>
      <c r="AE105" s="104"/>
      <c r="AF105" s="104"/>
      <c r="AG105" s="104"/>
      <c r="AH105" s="104"/>
    </row>
    <row r="106">
      <c r="A106" s="101">
        <v>6.0</v>
      </c>
      <c r="B106" s="101">
        <v>31104.0</v>
      </c>
      <c r="C106" s="102" t="s">
        <v>390</v>
      </c>
      <c r="D106" s="52" t="s">
        <v>173</v>
      </c>
      <c r="E106" s="52">
        <v>3.0</v>
      </c>
      <c r="F106" s="52" t="s">
        <v>158</v>
      </c>
      <c r="G106" s="52">
        <v>5.0</v>
      </c>
      <c r="H106" s="52" t="s">
        <v>182</v>
      </c>
      <c r="I106" s="52">
        <v>1.0</v>
      </c>
      <c r="J106" s="52" t="s">
        <v>194</v>
      </c>
      <c r="K106" s="52">
        <v>2.0</v>
      </c>
      <c r="L106" s="52" t="s">
        <v>198</v>
      </c>
      <c r="M106" s="52">
        <v>4.0</v>
      </c>
      <c r="N106" s="52" t="s">
        <v>153</v>
      </c>
      <c r="O106" s="52" t="s">
        <v>120</v>
      </c>
      <c r="P106" s="52" t="s">
        <v>117</v>
      </c>
      <c r="Q106" s="52" t="s">
        <v>109</v>
      </c>
      <c r="R106" s="52" t="s">
        <v>134</v>
      </c>
      <c r="S106" s="52" t="s">
        <v>109</v>
      </c>
      <c r="T106" s="65" t="s">
        <v>27</v>
      </c>
      <c r="U106" s="32">
        <v>1.0</v>
      </c>
      <c r="V106" s="32">
        <v>1.0</v>
      </c>
      <c r="W106" s="32">
        <v>1.0</v>
      </c>
      <c r="X106" s="32">
        <v>1.0</v>
      </c>
      <c r="Y106" s="32">
        <v>1.0</v>
      </c>
      <c r="Z106" s="32">
        <v>1.0</v>
      </c>
      <c r="AA106" s="32">
        <v>6.0</v>
      </c>
      <c r="AB106" s="32">
        <v>0.0</v>
      </c>
      <c r="AC106" s="103" t="str">
        <f>IFERROR(__xludf.DUMMYFUNCTION("if($C106="""","""",if(join("" - "",{iferror(filter('Student Groupings'!$A:$A,'Student Groupings'!$B:$B=$C106,'Student Groupings'!$H:$H=""Can't be Together""),"""");iferror(filter('Student Groupings'!$A:$A,'Student Groupings'!$E:$E=$C106,'Student Groupings"&amp;"'!$H:$H=""Can't be Together""),"""")})="" - "","""",join("" - "",{iferror(filter('Student Groupings'!$A:$A,'Student Groupings'!$B:$B=$C106,'Student Groupings'!$H:$H=""Can't be Together""),"""");iferror(filter('Student Groupings'!$A:$A,'Student Groupings'!"&amp;"$E:$E=$C106,'Student Groupings'!$H:$H=""Can't be Together""),"""")})))"),"")</f>
        <v/>
      </c>
      <c r="AD106" s="103" t="str">
        <f>IFERROR(__xludf.DUMMYFUNCTION("if($C106="""","""",if(join("" - "",{iferror(filter('Student Groupings'!$A:$A,'Student Groupings'!$B:$B=$C106,'Student Groupings'!$H:$H=""Must be Together""),"""");iferror(filter('Student Groupings'!$A:$A,'Student Groupings'!$E:$E=$C106,'Student Groupings'"&amp;"!$H:$H=""Must be Together""),"""")})="" - "","""",join("" - "",{iferror(filter('Student Groupings'!$A:$A,'Student Groupings'!$B:$B=$C106,'Student Groupings'!$H:$H=""Must be Together""),"""");iferror(filter('Student Groupings'!$A:$A,'Student Groupings'!$E:"&amp;"$E=$C106,'Student Groupings'!$H:$H=""Must be Together""),"""")})))"),"")</f>
        <v/>
      </c>
      <c r="AE106" s="104"/>
      <c r="AF106" s="104"/>
      <c r="AG106" s="104"/>
      <c r="AH106" s="104"/>
    </row>
    <row r="107">
      <c r="A107" s="101">
        <v>6.0</v>
      </c>
      <c r="B107" s="101">
        <v>31105.0</v>
      </c>
      <c r="C107" s="102" t="s">
        <v>220</v>
      </c>
      <c r="D107" s="52" t="s">
        <v>171</v>
      </c>
      <c r="E107" s="52">
        <v>5.0</v>
      </c>
      <c r="F107" s="52" t="s">
        <v>158</v>
      </c>
      <c r="G107" s="52">
        <v>3.0</v>
      </c>
      <c r="H107" s="52" t="s">
        <v>182</v>
      </c>
      <c r="I107" s="52">
        <v>2.0</v>
      </c>
      <c r="J107" s="52" t="s">
        <v>192</v>
      </c>
      <c r="K107" s="52">
        <v>1.0</v>
      </c>
      <c r="L107" s="52" t="s">
        <v>196</v>
      </c>
      <c r="M107" s="52">
        <v>6.0</v>
      </c>
      <c r="N107" s="52" t="s">
        <v>153</v>
      </c>
      <c r="O107" s="52" t="s">
        <v>130</v>
      </c>
      <c r="P107" s="52" t="s">
        <v>117</v>
      </c>
      <c r="Q107" s="52" t="s">
        <v>111</v>
      </c>
      <c r="R107" s="52" t="s">
        <v>134</v>
      </c>
      <c r="S107" s="52" t="s">
        <v>111</v>
      </c>
      <c r="T107" s="65" t="s">
        <v>27</v>
      </c>
      <c r="U107" s="32">
        <v>1.0</v>
      </c>
      <c r="V107" s="32">
        <v>1.0</v>
      </c>
      <c r="W107" s="32">
        <v>1.0</v>
      </c>
      <c r="X107" s="32">
        <v>1.0</v>
      </c>
      <c r="Y107" s="32">
        <v>1.0</v>
      </c>
      <c r="Z107" s="32">
        <v>1.0</v>
      </c>
      <c r="AA107" s="32">
        <v>6.0</v>
      </c>
      <c r="AB107" s="32">
        <v>0.0</v>
      </c>
      <c r="AC107" s="103" t="str">
        <f>IFERROR(__xludf.DUMMYFUNCTION("if($C107="""","""",if(join("" - "",{iferror(filter('Student Groupings'!$A:$A,'Student Groupings'!$B:$B=$C107,'Student Groupings'!$H:$H=""Can't be Together""),"""");iferror(filter('Student Groupings'!$A:$A,'Student Groupings'!$E:$E=$C107,'Student Groupings"&amp;"'!$H:$H=""Can't be Together""),"""")})="" - "","""",join("" - "",{iferror(filter('Student Groupings'!$A:$A,'Student Groupings'!$B:$B=$C107,'Student Groupings'!$H:$H=""Can't be Together""),"""");iferror(filter('Student Groupings'!$A:$A,'Student Groupings'!"&amp;"$E:$E=$C107,'Student Groupings'!$H:$H=""Can't be Together""),"""")})))")," - 6 - 30")</f>
        <v> - 6 - 30</v>
      </c>
      <c r="AD107" s="103" t="str">
        <f>IFERROR(__xludf.DUMMYFUNCTION("if($C107="""","""",if(join("" - "",{iferror(filter('Student Groupings'!$A:$A,'Student Groupings'!$B:$B=$C107,'Student Groupings'!$H:$H=""Must be Together""),"""");iferror(filter('Student Groupings'!$A:$A,'Student Groupings'!$E:$E=$C107,'Student Groupings'"&amp;"!$H:$H=""Must be Together""),"""")})="" - "","""",join("" - "",{iferror(filter('Student Groupings'!$A:$A,'Student Groupings'!$B:$B=$C107,'Student Groupings'!$H:$H=""Must be Together""),"""");iferror(filter('Student Groupings'!$A:$A,'Student Groupings'!$E:"&amp;"$E=$C107,'Student Groupings'!$H:$H=""Must be Together""),"""")})))"),"")</f>
        <v/>
      </c>
      <c r="AE107" s="105"/>
      <c r="AF107" s="105"/>
      <c r="AG107" s="105"/>
      <c r="AH107" s="105"/>
    </row>
    <row r="108">
      <c r="A108" s="101">
        <v>6.0</v>
      </c>
      <c r="B108" s="101">
        <v>31171.0</v>
      </c>
      <c r="C108" s="102" t="s">
        <v>391</v>
      </c>
      <c r="D108" s="52" t="s">
        <v>171</v>
      </c>
      <c r="E108" s="52">
        <v>6.0</v>
      </c>
      <c r="F108" s="52" t="s">
        <v>158</v>
      </c>
      <c r="G108" s="52">
        <v>4.0</v>
      </c>
      <c r="H108" s="52" t="s">
        <v>182</v>
      </c>
      <c r="I108" s="52">
        <v>3.0</v>
      </c>
      <c r="J108" s="52" t="s">
        <v>192</v>
      </c>
      <c r="K108" s="52">
        <v>5.0</v>
      </c>
      <c r="L108" s="52" t="s">
        <v>196</v>
      </c>
      <c r="M108" s="52">
        <v>1.0</v>
      </c>
      <c r="N108" s="52" t="s">
        <v>153</v>
      </c>
      <c r="O108" s="52" t="s">
        <v>125</v>
      </c>
      <c r="P108" s="52" t="s">
        <v>134</v>
      </c>
      <c r="Q108" s="52" t="s">
        <v>119</v>
      </c>
      <c r="R108" s="52" t="s">
        <v>117</v>
      </c>
      <c r="S108" s="52" t="s">
        <v>119</v>
      </c>
      <c r="T108" s="65" t="s">
        <v>8</v>
      </c>
      <c r="U108" s="32">
        <v>1.0</v>
      </c>
      <c r="V108" s="32">
        <v>1.0</v>
      </c>
      <c r="W108" s="32">
        <v>1.0</v>
      </c>
      <c r="X108" s="32">
        <v>1.0</v>
      </c>
      <c r="Y108" s="32">
        <v>1.0</v>
      </c>
      <c r="Z108" s="32">
        <v>1.0</v>
      </c>
      <c r="AA108" s="32">
        <v>6.0</v>
      </c>
      <c r="AB108" s="32">
        <v>0.0</v>
      </c>
      <c r="AC108" s="103" t="str">
        <f>IFERROR(__xludf.DUMMYFUNCTION("if($C108="""","""",if(join("" - "",{iferror(filter('Student Groupings'!$A:$A,'Student Groupings'!$B:$B=$C108,'Student Groupings'!$H:$H=""Can't be Together""),"""");iferror(filter('Student Groupings'!$A:$A,'Student Groupings'!$E:$E=$C108,'Student Groupings"&amp;"'!$H:$H=""Can't be Together""),"""")})="" - "","""",join("" - "",{iferror(filter('Student Groupings'!$A:$A,'Student Groupings'!$B:$B=$C108,'Student Groupings'!$H:$H=""Can't be Together""),"""");iferror(filter('Student Groupings'!$A:$A,'Student Groupings'!"&amp;"$E:$E=$C108,'Student Groupings'!$H:$H=""Can't be Together""),"""")})))"),"")</f>
        <v/>
      </c>
      <c r="AD108" s="103" t="str">
        <f>IFERROR(__xludf.DUMMYFUNCTION("if($C108="""","""",if(join("" - "",{iferror(filter('Student Groupings'!$A:$A,'Student Groupings'!$B:$B=$C108,'Student Groupings'!$H:$H=""Must be Together""),"""");iferror(filter('Student Groupings'!$A:$A,'Student Groupings'!$E:$E=$C108,'Student Groupings'"&amp;"!$H:$H=""Must be Together""),"""")})="" - "","""",join("" - "",{iferror(filter('Student Groupings'!$A:$A,'Student Groupings'!$B:$B=$C108,'Student Groupings'!$H:$H=""Must be Together""),"""");iferror(filter('Student Groupings'!$A:$A,'Student Groupings'!$E:"&amp;"$E=$C108,'Student Groupings'!$H:$H=""Must be Together""),"""")})))"),"")</f>
        <v/>
      </c>
      <c r="AE108" s="104"/>
      <c r="AF108" s="104"/>
      <c r="AG108" s="104"/>
      <c r="AH108" s="104"/>
    </row>
    <row r="109">
      <c r="A109" s="101">
        <v>6.0</v>
      </c>
      <c r="B109" s="101">
        <v>31106.0</v>
      </c>
      <c r="C109" s="102" t="s">
        <v>392</v>
      </c>
      <c r="D109" s="52" t="s">
        <v>173</v>
      </c>
      <c r="E109" s="52">
        <v>3.0</v>
      </c>
      <c r="F109" s="52" t="s">
        <v>158</v>
      </c>
      <c r="G109" s="52">
        <v>6.0</v>
      </c>
      <c r="H109" s="52" t="s">
        <v>182</v>
      </c>
      <c r="I109" s="52">
        <v>1.0</v>
      </c>
      <c r="J109" s="52" t="s">
        <v>194</v>
      </c>
      <c r="K109" s="52">
        <v>2.0</v>
      </c>
      <c r="L109" s="52" t="s">
        <v>198</v>
      </c>
      <c r="M109" s="52">
        <v>4.0</v>
      </c>
      <c r="N109" s="52" t="s">
        <v>153</v>
      </c>
      <c r="O109" s="52" t="s">
        <v>112</v>
      </c>
      <c r="P109" s="52" t="s">
        <v>142</v>
      </c>
      <c r="Q109" s="52" t="s">
        <v>124</v>
      </c>
      <c r="R109" s="52" t="s">
        <v>142</v>
      </c>
      <c r="S109" s="52" t="s">
        <v>124</v>
      </c>
      <c r="T109" s="65" t="s">
        <v>142</v>
      </c>
      <c r="U109" s="32">
        <v>1.0</v>
      </c>
      <c r="V109" s="32">
        <v>1.0</v>
      </c>
      <c r="W109" s="32">
        <v>1.0</v>
      </c>
      <c r="X109" s="32">
        <v>1.0</v>
      </c>
      <c r="Y109" s="32">
        <v>1.0</v>
      </c>
      <c r="Z109" s="32">
        <v>1.0</v>
      </c>
      <c r="AA109" s="32">
        <v>6.0</v>
      </c>
      <c r="AB109" s="32">
        <v>0.0</v>
      </c>
      <c r="AC109" s="103" t="str">
        <f>IFERROR(__xludf.DUMMYFUNCTION("if($C109="""","""",if(join("" - "",{iferror(filter('Student Groupings'!$A:$A,'Student Groupings'!$B:$B=$C109,'Student Groupings'!$H:$H=""Can't be Together""),"""");iferror(filter('Student Groupings'!$A:$A,'Student Groupings'!$E:$E=$C109,'Student Groupings"&amp;"'!$H:$H=""Can't be Together""),"""")})="" - "","""",join("" - "",{iferror(filter('Student Groupings'!$A:$A,'Student Groupings'!$B:$B=$C109,'Student Groupings'!$H:$H=""Can't be Together""),"""");iferror(filter('Student Groupings'!$A:$A,'Student Groupings'!"&amp;"$E:$E=$C109,'Student Groupings'!$H:$H=""Can't be Together""),"""")})))"),"")</f>
        <v/>
      </c>
      <c r="AD109" s="103" t="str">
        <f>IFERROR(__xludf.DUMMYFUNCTION("if($C109="""","""",if(join("" - "",{iferror(filter('Student Groupings'!$A:$A,'Student Groupings'!$B:$B=$C109,'Student Groupings'!$H:$H=""Must be Together""),"""");iferror(filter('Student Groupings'!$A:$A,'Student Groupings'!$E:$E=$C109,'Student Groupings'"&amp;"!$H:$H=""Must be Together""),"""")})="" - "","""",join("" - "",{iferror(filter('Student Groupings'!$A:$A,'Student Groupings'!$B:$B=$C109,'Student Groupings'!$H:$H=""Must be Together""),"""");iferror(filter('Student Groupings'!$A:$A,'Student Groupings'!$E:"&amp;"$E=$C109,'Student Groupings'!$H:$H=""Must be Together""),"""")})))"),"")</f>
        <v/>
      </c>
      <c r="AE109" s="104"/>
      <c r="AF109" s="104"/>
      <c r="AG109" s="104"/>
      <c r="AH109" s="104"/>
    </row>
    <row r="110">
      <c r="A110" s="101">
        <v>6.0</v>
      </c>
      <c r="B110" s="101">
        <v>31107.0</v>
      </c>
      <c r="C110" s="102" t="s">
        <v>393</v>
      </c>
      <c r="D110" s="52" t="s">
        <v>173</v>
      </c>
      <c r="E110" s="52">
        <v>3.0</v>
      </c>
      <c r="F110" s="52" t="s">
        <v>159</v>
      </c>
      <c r="G110" s="52">
        <v>5.0</v>
      </c>
      <c r="H110" s="52" t="s">
        <v>181</v>
      </c>
      <c r="I110" s="52">
        <v>1.0</v>
      </c>
      <c r="J110" s="52" t="s">
        <v>194</v>
      </c>
      <c r="K110" s="52">
        <v>2.0</v>
      </c>
      <c r="L110" s="52" t="s">
        <v>198</v>
      </c>
      <c r="M110" s="52">
        <v>4.0</v>
      </c>
      <c r="N110" s="52" t="s">
        <v>153</v>
      </c>
      <c r="O110" s="52" t="s">
        <v>109</v>
      </c>
      <c r="P110" s="52" t="s">
        <v>143</v>
      </c>
      <c r="Q110" s="52" t="s">
        <v>120</v>
      </c>
      <c r="R110" s="52" t="s">
        <v>143</v>
      </c>
      <c r="S110" s="52" t="s">
        <v>120</v>
      </c>
      <c r="T110" s="65" t="s">
        <v>143</v>
      </c>
      <c r="U110" s="32">
        <v>1.0</v>
      </c>
      <c r="V110" s="32">
        <v>1.0</v>
      </c>
      <c r="W110" s="32">
        <v>1.0</v>
      </c>
      <c r="X110" s="32">
        <v>1.0</v>
      </c>
      <c r="Y110" s="32">
        <v>1.0</v>
      </c>
      <c r="Z110" s="32">
        <v>1.0</v>
      </c>
      <c r="AA110" s="32">
        <v>6.0</v>
      </c>
      <c r="AB110" s="32">
        <v>0.0</v>
      </c>
      <c r="AC110" s="103" t="str">
        <f>IFERROR(__xludf.DUMMYFUNCTION("if($C110="""","""",if(join("" - "",{iferror(filter('Student Groupings'!$A:$A,'Student Groupings'!$B:$B=$C110,'Student Groupings'!$H:$H=""Can't be Together""),"""");iferror(filter('Student Groupings'!$A:$A,'Student Groupings'!$E:$E=$C110,'Student Groupings"&amp;"'!$H:$H=""Can't be Together""),"""")})="" - "","""",join("" - "",{iferror(filter('Student Groupings'!$A:$A,'Student Groupings'!$B:$B=$C110,'Student Groupings'!$H:$H=""Can't be Together""),"""");iferror(filter('Student Groupings'!$A:$A,'Student Groupings'!"&amp;"$E:$E=$C110,'Student Groupings'!$H:$H=""Can't be Together""),"""")})))"),"")</f>
        <v/>
      </c>
      <c r="AD110" s="103" t="str">
        <f>IFERROR(__xludf.DUMMYFUNCTION("if($C110="""","""",if(join("" - "",{iferror(filter('Student Groupings'!$A:$A,'Student Groupings'!$B:$B=$C110,'Student Groupings'!$H:$H=""Must be Together""),"""");iferror(filter('Student Groupings'!$A:$A,'Student Groupings'!$E:$E=$C110,'Student Groupings'"&amp;"!$H:$H=""Must be Together""),"""")})="" - "","""",join("" - "",{iferror(filter('Student Groupings'!$A:$A,'Student Groupings'!$B:$B=$C110,'Student Groupings'!$H:$H=""Must be Together""),"""");iferror(filter('Student Groupings'!$A:$A,'Student Groupings'!$E:"&amp;"$E=$C110,'Student Groupings'!$H:$H=""Must be Together""),"""")})))"),"")</f>
        <v/>
      </c>
      <c r="AE110" s="105"/>
      <c r="AF110" s="105"/>
      <c r="AG110" s="104"/>
      <c r="AH110" s="104"/>
    </row>
    <row r="111">
      <c r="A111" s="101">
        <v>6.0</v>
      </c>
      <c r="B111" s="101">
        <v>30159.0</v>
      </c>
      <c r="C111" s="102" t="s">
        <v>394</v>
      </c>
      <c r="D111" s="52" t="s">
        <v>171</v>
      </c>
      <c r="E111" s="52">
        <v>3.0</v>
      </c>
      <c r="F111" s="52" t="s">
        <v>159</v>
      </c>
      <c r="G111" s="52">
        <v>5.0</v>
      </c>
      <c r="H111" s="52" t="s">
        <v>181</v>
      </c>
      <c r="I111" s="52">
        <v>1.0</v>
      </c>
      <c r="J111" s="52" t="s">
        <v>192</v>
      </c>
      <c r="K111" s="52">
        <v>2.0</v>
      </c>
      <c r="L111" s="52" t="s">
        <v>196</v>
      </c>
      <c r="M111" s="52">
        <v>4.0</v>
      </c>
      <c r="N111" s="52" t="s">
        <v>153</v>
      </c>
      <c r="O111" s="52" t="s">
        <v>109</v>
      </c>
      <c r="P111" s="52" t="s">
        <v>143</v>
      </c>
      <c r="Q111" s="52" t="s">
        <v>120</v>
      </c>
      <c r="R111" s="52" t="s">
        <v>143</v>
      </c>
      <c r="S111" s="52" t="s">
        <v>120</v>
      </c>
      <c r="T111" s="65" t="s">
        <v>143</v>
      </c>
      <c r="U111" s="32">
        <v>1.0</v>
      </c>
      <c r="V111" s="32">
        <v>1.0</v>
      </c>
      <c r="W111" s="32">
        <v>1.0</v>
      </c>
      <c r="X111" s="32">
        <v>1.0</v>
      </c>
      <c r="Y111" s="32">
        <v>1.0</v>
      </c>
      <c r="Z111" s="32">
        <v>1.0</v>
      </c>
      <c r="AA111" s="32">
        <v>6.0</v>
      </c>
      <c r="AB111" s="32">
        <v>0.0</v>
      </c>
      <c r="AC111" s="103" t="str">
        <f>IFERROR(__xludf.DUMMYFUNCTION("if($C111="""","""",if(join("" - "",{iferror(filter('Student Groupings'!$A:$A,'Student Groupings'!$B:$B=$C111,'Student Groupings'!$H:$H=""Can't be Together""),"""");iferror(filter('Student Groupings'!$A:$A,'Student Groupings'!$E:$E=$C111,'Student Groupings"&amp;"'!$H:$H=""Can't be Together""),"""")})="" - "","""",join("" - "",{iferror(filter('Student Groupings'!$A:$A,'Student Groupings'!$B:$B=$C111,'Student Groupings'!$H:$H=""Can't be Together""),"""");iferror(filter('Student Groupings'!$A:$A,'Student Groupings'!"&amp;"$E:$E=$C111,'Student Groupings'!$H:$H=""Can't be Together""),"""")})))"),"")</f>
        <v/>
      </c>
      <c r="AD111" s="103" t="str">
        <f>IFERROR(__xludf.DUMMYFUNCTION("if($C111="""","""",if(join("" - "",{iferror(filter('Student Groupings'!$A:$A,'Student Groupings'!$B:$B=$C111,'Student Groupings'!$H:$H=""Must be Together""),"""");iferror(filter('Student Groupings'!$A:$A,'Student Groupings'!$E:$E=$C111,'Student Groupings'"&amp;"!$H:$H=""Must be Together""),"""")})="" - "","""",join("" - "",{iferror(filter('Student Groupings'!$A:$A,'Student Groupings'!$B:$B=$C111,'Student Groupings'!$H:$H=""Must be Together""),"""");iferror(filter('Student Groupings'!$A:$A,'Student Groupings'!$E:"&amp;"$E=$C111,'Student Groupings'!$H:$H=""Must be Together""),"""")})))"),"")</f>
        <v/>
      </c>
      <c r="AE111" s="104"/>
      <c r="AF111" s="104"/>
      <c r="AG111" s="104"/>
      <c r="AH111" s="104"/>
    </row>
    <row r="112">
      <c r="A112" s="101">
        <v>6.0</v>
      </c>
      <c r="B112" s="101">
        <v>31110.0</v>
      </c>
      <c r="C112" s="102" t="s">
        <v>395</v>
      </c>
      <c r="D112" s="52" t="s">
        <v>171</v>
      </c>
      <c r="E112" s="52">
        <v>2.0</v>
      </c>
      <c r="F112" s="52" t="s">
        <v>158</v>
      </c>
      <c r="G112" s="52">
        <v>5.0</v>
      </c>
      <c r="H112" s="52" t="s">
        <v>182</v>
      </c>
      <c r="I112" s="52">
        <v>6.0</v>
      </c>
      <c r="J112" s="52" t="s">
        <v>192</v>
      </c>
      <c r="K112" s="52">
        <v>4.0</v>
      </c>
      <c r="L112" s="52" t="s">
        <v>196</v>
      </c>
      <c r="M112" s="101">
        <v>3.0</v>
      </c>
      <c r="N112" s="52" t="s">
        <v>153</v>
      </c>
      <c r="O112" s="52" t="s">
        <v>108</v>
      </c>
      <c r="P112" s="52" t="s">
        <v>134</v>
      </c>
      <c r="Q112" s="52" t="s">
        <v>129</v>
      </c>
      <c r="R112" s="52" t="s">
        <v>117</v>
      </c>
      <c r="S112" s="52" t="s">
        <v>129</v>
      </c>
      <c r="T112" s="65" t="s">
        <v>27</v>
      </c>
      <c r="U112" s="32">
        <v>1.0</v>
      </c>
      <c r="V112" s="32">
        <v>1.0</v>
      </c>
      <c r="W112" s="32">
        <v>1.0</v>
      </c>
      <c r="X112" s="32">
        <v>1.0</v>
      </c>
      <c r="Y112" s="32">
        <v>1.0</v>
      </c>
      <c r="Z112" s="32">
        <v>1.0</v>
      </c>
      <c r="AA112" s="32">
        <v>6.0</v>
      </c>
      <c r="AB112" s="32">
        <v>0.0</v>
      </c>
      <c r="AC112" s="103" t="str">
        <f>IFERROR(__xludf.DUMMYFUNCTION("if($C112="""","""",if(join("" - "",{iferror(filter('Student Groupings'!$A:$A,'Student Groupings'!$B:$B=$C112,'Student Groupings'!$H:$H=""Can't be Together""),"""");iferror(filter('Student Groupings'!$A:$A,'Student Groupings'!$E:$E=$C112,'Student Groupings"&amp;"'!$H:$H=""Can't be Together""),"""")})="" - "","""",join("" - "",{iferror(filter('Student Groupings'!$A:$A,'Student Groupings'!$B:$B=$C112,'Student Groupings'!$H:$H=""Can't be Together""),"""");iferror(filter('Student Groupings'!$A:$A,'Student Groupings'!"&amp;"$E:$E=$C112,'Student Groupings'!$H:$H=""Can't be Together""),"""")})))"),"")</f>
        <v/>
      </c>
      <c r="AD112" s="103" t="str">
        <f>IFERROR(__xludf.DUMMYFUNCTION("if($C112="""","""",if(join("" - "",{iferror(filter('Student Groupings'!$A:$A,'Student Groupings'!$B:$B=$C112,'Student Groupings'!$H:$H=""Must be Together""),"""");iferror(filter('Student Groupings'!$A:$A,'Student Groupings'!$E:$E=$C112,'Student Groupings'"&amp;"!$H:$H=""Must be Together""),"""")})="" - "","""",join("" - "",{iferror(filter('Student Groupings'!$A:$A,'Student Groupings'!$B:$B=$C112,'Student Groupings'!$H:$H=""Must be Together""),"""");iferror(filter('Student Groupings'!$A:$A,'Student Groupings'!$E:"&amp;"$E=$C112,'Student Groupings'!$H:$H=""Must be Together""),"""")})))"),"")</f>
        <v/>
      </c>
      <c r="AE112" s="104"/>
      <c r="AF112" s="104"/>
      <c r="AG112" s="104"/>
      <c r="AH112" s="104"/>
    </row>
    <row r="113">
      <c r="A113" s="101">
        <v>6.0</v>
      </c>
      <c r="B113" s="101">
        <v>31111.0</v>
      </c>
      <c r="C113" s="102" t="s">
        <v>396</v>
      </c>
      <c r="D113" s="52" t="s">
        <v>171</v>
      </c>
      <c r="E113" s="52">
        <v>6.0</v>
      </c>
      <c r="F113" s="52" t="s">
        <v>158</v>
      </c>
      <c r="G113" s="52">
        <v>3.0</v>
      </c>
      <c r="H113" s="52" t="s">
        <v>182</v>
      </c>
      <c r="I113" s="52">
        <v>2.0</v>
      </c>
      <c r="J113" s="52" t="s">
        <v>192</v>
      </c>
      <c r="K113" s="52">
        <v>5.0</v>
      </c>
      <c r="L113" s="52" t="s">
        <v>196</v>
      </c>
      <c r="M113" s="52">
        <v>1.0</v>
      </c>
      <c r="N113" s="52" t="s">
        <v>153</v>
      </c>
      <c r="O113" s="52" t="s">
        <v>130</v>
      </c>
      <c r="P113" s="52" t="s">
        <v>134</v>
      </c>
      <c r="Q113" s="52" t="s">
        <v>111</v>
      </c>
      <c r="R113" s="52" t="s">
        <v>117</v>
      </c>
      <c r="S113" s="52" t="s">
        <v>111</v>
      </c>
      <c r="T113" s="65" t="s">
        <v>27</v>
      </c>
      <c r="U113" s="32">
        <v>1.0</v>
      </c>
      <c r="V113" s="32">
        <v>1.0</v>
      </c>
      <c r="W113" s="32">
        <v>1.0</v>
      </c>
      <c r="X113" s="32">
        <v>1.0</v>
      </c>
      <c r="Y113" s="32">
        <v>1.0</v>
      </c>
      <c r="Z113" s="32">
        <v>1.0</v>
      </c>
      <c r="AA113" s="32">
        <v>6.0</v>
      </c>
      <c r="AB113" s="32">
        <v>0.0</v>
      </c>
      <c r="AC113" s="103" t="str">
        <f>IFERROR(__xludf.DUMMYFUNCTION("if($C113="""","""",if(join("" - "",{iferror(filter('Student Groupings'!$A:$A,'Student Groupings'!$B:$B=$C113,'Student Groupings'!$H:$H=""Can't be Together""),"""");iferror(filter('Student Groupings'!$A:$A,'Student Groupings'!$E:$E=$C113,'Student Groupings"&amp;"'!$H:$H=""Can't be Together""),"""")})="" - "","""",join("" - "",{iferror(filter('Student Groupings'!$A:$A,'Student Groupings'!$B:$B=$C113,'Student Groupings'!$H:$H=""Can't be Together""),"""");iferror(filter('Student Groupings'!$A:$A,'Student Groupings'!"&amp;"$E:$E=$C113,'Student Groupings'!$H:$H=""Can't be Together""),"""")})))"),"")</f>
        <v/>
      </c>
      <c r="AD113" s="103" t="str">
        <f>IFERROR(__xludf.DUMMYFUNCTION("if($C113="""","""",if(join("" - "",{iferror(filter('Student Groupings'!$A:$A,'Student Groupings'!$B:$B=$C113,'Student Groupings'!$H:$H=""Must be Together""),"""");iferror(filter('Student Groupings'!$A:$A,'Student Groupings'!$E:$E=$C113,'Student Groupings'"&amp;"!$H:$H=""Must be Together""),"""")})="" - "","""",join("" - "",{iferror(filter('Student Groupings'!$A:$A,'Student Groupings'!$B:$B=$C113,'Student Groupings'!$H:$H=""Must be Together""),"""");iferror(filter('Student Groupings'!$A:$A,'Student Groupings'!$E:"&amp;"$E=$C113,'Student Groupings'!$H:$H=""Must be Together""),"""")})))"),"")</f>
        <v/>
      </c>
      <c r="AE113" s="104"/>
      <c r="AF113" s="104"/>
      <c r="AG113" s="104"/>
      <c r="AH113" s="104"/>
    </row>
    <row r="114">
      <c r="A114" s="101">
        <v>6.0</v>
      </c>
      <c r="B114" s="101">
        <v>31109.0</v>
      </c>
      <c r="C114" s="102" t="s">
        <v>244</v>
      </c>
      <c r="D114" s="52" t="s">
        <v>171</v>
      </c>
      <c r="E114" s="52">
        <v>4.0</v>
      </c>
      <c r="F114" s="52" t="s">
        <v>158</v>
      </c>
      <c r="G114" s="52">
        <v>1.0</v>
      </c>
      <c r="H114" s="52" t="s">
        <v>182</v>
      </c>
      <c r="I114" s="52">
        <v>6.0</v>
      </c>
      <c r="J114" s="52" t="s">
        <v>192</v>
      </c>
      <c r="K114" s="52">
        <v>3.0</v>
      </c>
      <c r="L114" s="52" t="s">
        <v>196</v>
      </c>
      <c r="M114" s="52">
        <v>2.0</v>
      </c>
      <c r="N114" s="52" t="s">
        <v>153</v>
      </c>
      <c r="O114" s="52" t="s">
        <v>112</v>
      </c>
      <c r="P114" s="52" t="s">
        <v>142</v>
      </c>
      <c r="Q114" s="52" t="s">
        <v>124</v>
      </c>
      <c r="R114" s="52" t="s">
        <v>142</v>
      </c>
      <c r="S114" s="52" t="s">
        <v>124</v>
      </c>
      <c r="T114" s="65" t="s">
        <v>142</v>
      </c>
      <c r="U114" s="32">
        <v>1.0</v>
      </c>
      <c r="V114" s="32">
        <v>1.0</v>
      </c>
      <c r="W114" s="32">
        <v>1.0</v>
      </c>
      <c r="X114" s="32">
        <v>1.0</v>
      </c>
      <c r="Y114" s="32">
        <v>1.0</v>
      </c>
      <c r="Z114" s="32">
        <v>1.0</v>
      </c>
      <c r="AA114" s="32">
        <v>6.0</v>
      </c>
      <c r="AB114" s="32">
        <v>0.0</v>
      </c>
      <c r="AC114" s="103" t="str">
        <f>IFERROR(__xludf.DUMMYFUNCTION("if($C114="""","""",if(join("" - "",{iferror(filter('Student Groupings'!$A:$A,'Student Groupings'!$B:$B=$C114,'Student Groupings'!$H:$H=""Can't be Together""),"""");iferror(filter('Student Groupings'!$A:$A,'Student Groupings'!$E:$E=$C114,'Student Groupings"&amp;"'!$H:$H=""Can't be Together""),"""")})="" - "","""",join("" - "",{iferror(filter('Student Groupings'!$A:$A,'Student Groupings'!$B:$B=$C114,'Student Groupings'!$H:$H=""Can't be Together""),"""");iferror(filter('Student Groupings'!$A:$A,'Student Groupings'!"&amp;"$E:$E=$C114,'Student Groupings'!$H:$H=""Can't be Together""),"""")})))")," - 29")</f>
        <v> - 29</v>
      </c>
      <c r="AD114" s="103" t="str">
        <f>IFERROR(__xludf.DUMMYFUNCTION("if($C114="""","""",if(join("" - "",{iferror(filter('Student Groupings'!$A:$A,'Student Groupings'!$B:$B=$C114,'Student Groupings'!$H:$H=""Must be Together""),"""");iferror(filter('Student Groupings'!$A:$A,'Student Groupings'!$E:$E=$C114,'Student Groupings'"&amp;"!$H:$H=""Must be Together""),"""")})="" - "","""",join("" - "",{iferror(filter('Student Groupings'!$A:$A,'Student Groupings'!$B:$B=$C114,'Student Groupings'!$H:$H=""Must be Together""),"""");iferror(filter('Student Groupings'!$A:$A,'Student Groupings'!$E:"&amp;"$E=$C114,'Student Groupings'!$H:$H=""Must be Together""),"""")})))"),"")</f>
        <v/>
      </c>
      <c r="AE114" s="104"/>
      <c r="AF114" s="104"/>
      <c r="AG114" s="104"/>
      <c r="AH114" s="104"/>
    </row>
    <row r="115">
      <c r="A115" s="101">
        <v>6.0</v>
      </c>
      <c r="B115" s="101">
        <v>31112.0</v>
      </c>
      <c r="C115" s="102" t="s">
        <v>239</v>
      </c>
      <c r="D115" s="52" t="s">
        <v>171</v>
      </c>
      <c r="E115" s="52">
        <v>3.0</v>
      </c>
      <c r="F115" s="52" t="s">
        <v>158</v>
      </c>
      <c r="G115" s="52">
        <v>6.0</v>
      </c>
      <c r="H115" s="52" t="s">
        <v>182</v>
      </c>
      <c r="I115" s="52">
        <v>1.0</v>
      </c>
      <c r="J115" s="52" t="s">
        <v>192</v>
      </c>
      <c r="K115" s="52">
        <v>2.0</v>
      </c>
      <c r="L115" s="52" t="s">
        <v>196</v>
      </c>
      <c r="M115" s="52">
        <v>4.0</v>
      </c>
      <c r="N115" s="52" t="s">
        <v>153</v>
      </c>
      <c r="O115" s="52" t="s">
        <v>112</v>
      </c>
      <c r="P115" s="52" t="s">
        <v>142</v>
      </c>
      <c r="Q115" s="52" t="s">
        <v>124</v>
      </c>
      <c r="R115" s="52" t="s">
        <v>142</v>
      </c>
      <c r="S115" s="52" t="s">
        <v>124</v>
      </c>
      <c r="T115" s="65" t="s">
        <v>142</v>
      </c>
      <c r="U115" s="32">
        <v>1.0</v>
      </c>
      <c r="V115" s="32">
        <v>1.0</v>
      </c>
      <c r="W115" s="32">
        <v>1.0</v>
      </c>
      <c r="X115" s="32">
        <v>1.0</v>
      </c>
      <c r="Y115" s="32">
        <v>1.0</v>
      </c>
      <c r="Z115" s="32">
        <v>1.0</v>
      </c>
      <c r="AA115" s="32">
        <v>6.0</v>
      </c>
      <c r="AB115" s="32">
        <v>0.0</v>
      </c>
      <c r="AC115" s="103" t="str">
        <f>IFERROR(__xludf.DUMMYFUNCTION("if($C115="""","""",if(join("" - "",{iferror(filter('Student Groupings'!$A:$A,'Student Groupings'!$B:$B=$C115,'Student Groupings'!$H:$H=""Can't be Together""),"""");iferror(filter('Student Groupings'!$A:$A,'Student Groupings'!$E:$E=$C115,'Student Groupings"&amp;"'!$H:$H=""Can't be Together""),"""")})="" - "","""",join("" - "",{iferror(filter('Student Groupings'!$A:$A,'Student Groupings'!$B:$B=$C115,'Student Groupings'!$H:$H=""Can't be Together""),"""");iferror(filter('Student Groupings'!$A:$A,'Student Groupings'!"&amp;"$E:$E=$C115,'Student Groupings'!$H:$H=""Can't be Together""),"""")})))")," - 26")</f>
        <v> - 26</v>
      </c>
      <c r="AD115" s="103" t="str">
        <f>IFERROR(__xludf.DUMMYFUNCTION("if($C115="""","""",if(join("" - "",{iferror(filter('Student Groupings'!$A:$A,'Student Groupings'!$B:$B=$C115,'Student Groupings'!$H:$H=""Must be Together""),"""");iferror(filter('Student Groupings'!$A:$A,'Student Groupings'!$E:$E=$C115,'Student Groupings'"&amp;"!$H:$H=""Must be Together""),"""")})="" - "","""",join("" - "",{iferror(filter('Student Groupings'!$A:$A,'Student Groupings'!$B:$B=$C115,'Student Groupings'!$H:$H=""Must be Together""),"""");iferror(filter('Student Groupings'!$A:$A,'Student Groupings'!$E:"&amp;"$E=$C115,'Student Groupings'!$H:$H=""Must be Together""),"""")})))"),"")</f>
        <v/>
      </c>
      <c r="AE115" s="104"/>
      <c r="AF115" s="104"/>
      <c r="AG115" s="104"/>
      <c r="AH115" s="104"/>
    </row>
    <row r="116">
      <c r="A116" s="101">
        <v>6.0</v>
      </c>
      <c r="B116" s="101">
        <v>31153.0</v>
      </c>
      <c r="C116" s="102" t="s">
        <v>397</v>
      </c>
      <c r="D116" s="52" t="s">
        <v>173</v>
      </c>
      <c r="E116" s="52">
        <v>3.0</v>
      </c>
      <c r="F116" s="52" t="s">
        <v>158</v>
      </c>
      <c r="G116" s="52">
        <v>1.0</v>
      </c>
      <c r="H116" s="52" t="s">
        <v>182</v>
      </c>
      <c r="I116" s="52">
        <v>5.0</v>
      </c>
      <c r="J116" s="52" t="s">
        <v>194</v>
      </c>
      <c r="K116" s="52">
        <v>2.0</v>
      </c>
      <c r="L116" s="52" t="s">
        <v>198</v>
      </c>
      <c r="M116" s="52">
        <v>4.0</v>
      </c>
      <c r="N116" s="52" t="s">
        <v>153</v>
      </c>
      <c r="O116" s="52" t="s">
        <v>120</v>
      </c>
      <c r="P116" s="52" t="s">
        <v>117</v>
      </c>
      <c r="Q116" s="52" t="s">
        <v>109</v>
      </c>
      <c r="R116" s="52" t="s">
        <v>134</v>
      </c>
      <c r="S116" s="52" t="s">
        <v>109</v>
      </c>
      <c r="T116" s="65" t="s">
        <v>27</v>
      </c>
      <c r="U116" s="32">
        <v>1.0</v>
      </c>
      <c r="V116" s="32">
        <v>1.0</v>
      </c>
      <c r="W116" s="32">
        <v>1.0</v>
      </c>
      <c r="X116" s="32">
        <v>1.0</v>
      </c>
      <c r="Y116" s="32">
        <v>1.0</v>
      </c>
      <c r="Z116" s="32">
        <v>1.0</v>
      </c>
      <c r="AA116" s="32">
        <v>6.0</v>
      </c>
      <c r="AB116" s="32">
        <v>0.0</v>
      </c>
      <c r="AC116" s="103" t="str">
        <f>IFERROR(__xludf.DUMMYFUNCTION("if($C116="""","""",if(join("" - "",{iferror(filter('Student Groupings'!$A:$A,'Student Groupings'!$B:$B=$C116,'Student Groupings'!$H:$H=""Can't be Together""),"""");iferror(filter('Student Groupings'!$A:$A,'Student Groupings'!$E:$E=$C116,'Student Groupings"&amp;"'!$H:$H=""Can't be Together""),"""")})="" - "","""",join("" - "",{iferror(filter('Student Groupings'!$A:$A,'Student Groupings'!$B:$B=$C116,'Student Groupings'!$H:$H=""Can't be Together""),"""");iferror(filter('Student Groupings'!$A:$A,'Student Groupings'!"&amp;"$E:$E=$C116,'Student Groupings'!$H:$H=""Can't be Together""),"""")})))"),"")</f>
        <v/>
      </c>
      <c r="AD116" s="103" t="str">
        <f>IFERROR(__xludf.DUMMYFUNCTION("if($C116="""","""",if(join("" - "",{iferror(filter('Student Groupings'!$A:$A,'Student Groupings'!$B:$B=$C116,'Student Groupings'!$H:$H=""Must be Together""),"""");iferror(filter('Student Groupings'!$A:$A,'Student Groupings'!$E:$E=$C116,'Student Groupings'"&amp;"!$H:$H=""Must be Together""),"""")})="" - "","""",join("" - "",{iferror(filter('Student Groupings'!$A:$A,'Student Groupings'!$B:$B=$C116,'Student Groupings'!$H:$H=""Must be Together""),"""");iferror(filter('Student Groupings'!$A:$A,'Student Groupings'!$E:"&amp;"$E=$C116,'Student Groupings'!$H:$H=""Must be Together""),"""")})))"),"")</f>
        <v/>
      </c>
      <c r="AE116" s="104"/>
      <c r="AF116" s="104"/>
      <c r="AG116" s="104"/>
      <c r="AH116" s="104"/>
    </row>
    <row r="117">
      <c r="A117" s="101">
        <v>6.0</v>
      </c>
      <c r="B117" s="101">
        <v>31113.0</v>
      </c>
      <c r="C117" s="102" t="s">
        <v>398</v>
      </c>
      <c r="D117" s="52" t="s">
        <v>173</v>
      </c>
      <c r="E117" s="52">
        <v>3.0</v>
      </c>
      <c r="F117" s="52" t="s">
        <v>159</v>
      </c>
      <c r="G117" s="52">
        <v>5.0</v>
      </c>
      <c r="H117" s="52" t="s">
        <v>182</v>
      </c>
      <c r="I117" s="52">
        <v>1.0</v>
      </c>
      <c r="J117" s="52" t="s">
        <v>194</v>
      </c>
      <c r="K117" s="52">
        <v>2.0</v>
      </c>
      <c r="L117" s="52" t="s">
        <v>198</v>
      </c>
      <c r="M117" s="52">
        <v>4.0</v>
      </c>
      <c r="N117" s="52" t="s">
        <v>153</v>
      </c>
      <c r="O117" s="52" t="s">
        <v>120</v>
      </c>
      <c r="P117" s="52" t="s">
        <v>134</v>
      </c>
      <c r="Q117" s="52" t="s">
        <v>109</v>
      </c>
      <c r="R117" s="52" t="s">
        <v>117</v>
      </c>
      <c r="S117" s="52" t="s">
        <v>109</v>
      </c>
      <c r="T117" s="65" t="s">
        <v>27</v>
      </c>
      <c r="U117" s="32">
        <v>1.0</v>
      </c>
      <c r="V117" s="32">
        <v>1.0</v>
      </c>
      <c r="W117" s="32">
        <v>1.0</v>
      </c>
      <c r="X117" s="32">
        <v>1.0</v>
      </c>
      <c r="Y117" s="32">
        <v>1.0</v>
      </c>
      <c r="Z117" s="32">
        <v>1.0</v>
      </c>
      <c r="AA117" s="32">
        <v>6.0</v>
      </c>
      <c r="AB117" s="32">
        <v>0.0</v>
      </c>
      <c r="AC117" s="103" t="str">
        <f>IFERROR(__xludf.DUMMYFUNCTION("if($C117="""","""",if(join("" - "",{iferror(filter('Student Groupings'!$A:$A,'Student Groupings'!$B:$B=$C117,'Student Groupings'!$H:$H=""Can't be Together""),"""");iferror(filter('Student Groupings'!$A:$A,'Student Groupings'!$E:$E=$C117,'Student Groupings"&amp;"'!$H:$H=""Can't be Together""),"""")})="" - "","""",join("" - "",{iferror(filter('Student Groupings'!$A:$A,'Student Groupings'!$B:$B=$C117,'Student Groupings'!$H:$H=""Can't be Together""),"""");iferror(filter('Student Groupings'!$A:$A,'Student Groupings'!"&amp;"$E:$E=$C117,'Student Groupings'!$H:$H=""Can't be Together""),"""")})))"),"")</f>
        <v/>
      </c>
      <c r="AD117" s="103" t="str">
        <f>IFERROR(__xludf.DUMMYFUNCTION("if($C117="""","""",if(join("" - "",{iferror(filter('Student Groupings'!$A:$A,'Student Groupings'!$B:$B=$C117,'Student Groupings'!$H:$H=""Must be Together""),"""");iferror(filter('Student Groupings'!$A:$A,'Student Groupings'!$E:$E=$C117,'Student Groupings'"&amp;"!$H:$H=""Must be Together""),"""")})="" - "","""",join("" - "",{iferror(filter('Student Groupings'!$A:$A,'Student Groupings'!$B:$B=$C117,'Student Groupings'!$H:$H=""Must be Together""),"""");iferror(filter('Student Groupings'!$A:$A,'Student Groupings'!$E:"&amp;"$E=$C117,'Student Groupings'!$H:$H=""Must be Together""),"""")})))"),"")</f>
        <v/>
      </c>
      <c r="AE117" s="104"/>
      <c r="AF117" s="104"/>
      <c r="AG117" s="104"/>
      <c r="AH117" s="104"/>
    </row>
    <row r="118">
      <c r="A118" s="101">
        <v>6.0</v>
      </c>
      <c r="B118" s="101">
        <v>31114.0</v>
      </c>
      <c r="C118" s="102" t="s">
        <v>399</v>
      </c>
      <c r="D118" s="52" t="s">
        <v>171</v>
      </c>
      <c r="E118" s="52">
        <v>5.0</v>
      </c>
      <c r="F118" s="52" t="s">
        <v>158</v>
      </c>
      <c r="G118" s="52">
        <v>3.0</v>
      </c>
      <c r="H118" s="52" t="s">
        <v>182</v>
      </c>
      <c r="I118" s="52">
        <v>2.0</v>
      </c>
      <c r="J118" s="52" t="s">
        <v>192</v>
      </c>
      <c r="K118" s="52">
        <v>1.0</v>
      </c>
      <c r="L118" s="52" t="s">
        <v>196</v>
      </c>
      <c r="M118" s="52">
        <v>6.0</v>
      </c>
      <c r="N118" s="52" t="s">
        <v>153</v>
      </c>
      <c r="O118" s="52" t="s">
        <v>130</v>
      </c>
      <c r="P118" s="52" t="s">
        <v>117</v>
      </c>
      <c r="Q118" s="52" t="s">
        <v>111</v>
      </c>
      <c r="R118" s="52" t="s">
        <v>134</v>
      </c>
      <c r="S118" s="52" t="s">
        <v>111</v>
      </c>
      <c r="T118" s="65" t="s">
        <v>27</v>
      </c>
      <c r="U118" s="32">
        <v>1.0</v>
      </c>
      <c r="V118" s="32">
        <v>1.0</v>
      </c>
      <c r="W118" s="32">
        <v>1.0</v>
      </c>
      <c r="X118" s="32">
        <v>1.0</v>
      </c>
      <c r="Y118" s="32">
        <v>1.0</v>
      </c>
      <c r="Z118" s="32">
        <v>1.0</v>
      </c>
      <c r="AA118" s="32">
        <v>6.0</v>
      </c>
      <c r="AB118" s="32">
        <v>0.0</v>
      </c>
      <c r="AC118" s="103" t="str">
        <f>IFERROR(__xludf.DUMMYFUNCTION("if($C118="""","""",if(join("" - "",{iferror(filter('Student Groupings'!$A:$A,'Student Groupings'!$B:$B=$C118,'Student Groupings'!$H:$H=""Can't be Together""),"""");iferror(filter('Student Groupings'!$A:$A,'Student Groupings'!$E:$E=$C118,'Student Groupings"&amp;"'!$H:$H=""Can't be Together""),"""")})="" - "","""",join("" - "",{iferror(filter('Student Groupings'!$A:$A,'Student Groupings'!$B:$B=$C118,'Student Groupings'!$H:$H=""Can't be Together""),"""");iferror(filter('Student Groupings'!$A:$A,'Student Groupings'!"&amp;"$E:$E=$C118,'Student Groupings'!$H:$H=""Can't be Together""),"""")})))"),"")</f>
        <v/>
      </c>
      <c r="AD118" s="103" t="str">
        <f>IFERROR(__xludf.DUMMYFUNCTION("if($C118="""","""",if(join("" - "",{iferror(filter('Student Groupings'!$A:$A,'Student Groupings'!$B:$B=$C118,'Student Groupings'!$H:$H=""Must be Together""),"""");iferror(filter('Student Groupings'!$A:$A,'Student Groupings'!$E:$E=$C118,'Student Groupings'"&amp;"!$H:$H=""Must be Together""),"""")})="" - "","""",join("" - "",{iferror(filter('Student Groupings'!$A:$A,'Student Groupings'!$B:$B=$C118,'Student Groupings'!$H:$H=""Must be Together""),"""");iferror(filter('Student Groupings'!$A:$A,'Student Groupings'!$E:"&amp;"$E=$C118,'Student Groupings'!$H:$H=""Must be Together""),"""")})))"),"")</f>
        <v/>
      </c>
      <c r="AE118" s="104"/>
      <c r="AF118" s="104"/>
      <c r="AG118" s="104"/>
      <c r="AH118" s="104"/>
    </row>
    <row r="119">
      <c r="A119" s="101">
        <v>6.0</v>
      </c>
      <c r="B119" s="101">
        <v>31115.0</v>
      </c>
      <c r="C119" s="102" t="s">
        <v>247</v>
      </c>
      <c r="D119" s="52" t="s">
        <v>171</v>
      </c>
      <c r="E119" s="52">
        <v>3.0</v>
      </c>
      <c r="F119" s="52" t="s">
        <v>158</v>
      </c>
      <c r="G119" s="52">
        <v>6.0</v>
      </c>
      <c r="H119" s="52" t="s">
        <v>182</v>
      </c>
      <c r="I119" s="52">
        <v>1.0</v>
      </c>
      <c r="J119" s="52" t="s">
        <v>192</v>
      </c>
      <c r="K119" s="52">
        <v>2.0</v>
      </c>
      <c r="L119" s="52" t="s">
        <v>196</v>
      </c>
      <c r="M119" s="52">
        <v>4.0</v>
      </c>
      <c r="N119" s="52" t="s">
        <v>153</v>
      </c>
      <c r="O119" s="52" t="s">
        <v>112</v>
      </c>
      <c r="P119" s="52" t="s">
        <v>142</v>
      </c>
      <c r="Q119" s="52" t="s">
        <v>124</v>
      </c>
      <c r="R119" s="52" t="s">
        <v>142</v>
      </c>
      <c r="S119" s="52" t="s">
        <v>124</v>
      </c>
      <c r="T119" s="65" t="s">
        <v>142</v>
      </c>
      <c r="U119" s="32">
        <v>1.0</v>
      </c>
      <c r="V119" s="32">
        <v>1.0</v>
      </c>
      <c r="W119" s="32">
        <v>1.0</v>
      </c>
      <c r="X119" s="32">
        <v>1.0</v>
      </c>
      <c r="Y119" s="32">
        <v>1.0</v>
      </c>
      <c r="Z119" s="32">
        <v>1.0</v>
      </c>
      <c r="AA119" s="32">
        <v>6.0</v>
      </c>
      <c r="AB119" s="32">
        <v>0.0</v>
      </c>
      <c r="AC119" s="103" t="str">
        <f>IFERROR(__xludf.DUMMYFUNCTION("if($C119="""","""",if(join("" - "",{iferror(filter('Student Groupings'!$A:$A,'Student Groupings'!$B:$B=$C119,'Student Groupings'!$H:$H=""Can't be Together""),"""");iferror(filter('Student Groupings'!$A:$A,'Student Groupings'!$E:$E=$C119,'Student Groupings"&amp;"'!$H:$H=""Can't be Together""),"""")})="" - "","""",join("" - "",{iferror(filter('Student Groupings'!$A:$A,'Student Groupings'!$B:$B=$C119,'Student Groupings'!$H:$H=""Can't be Together""),"""");iferror(filter('Student Groupings'!$A:$A,'Student Groupings'!"&amp;"$E:$E=$C119,'Student Groupings'!$H:$H=""Can't be Together""),"""")})))"),"32 - ")</f>
        <v>32 - </v>
      </c>
      <c r="AD119" s="103" t="str">
        <f>IFERROR(__xludf.DUMMYFUNCTION("if($C119="""","""",if(join("" - "",{iferror(filter('Student Groupings'!$A:$A,'Student Groupings'!$B:$B=$C119,'Student Groupings'!$H:$H=""Must be Together""),"""");iferror(filter('Student Groupings'!$A:$A,'Student Groupings'!$E:$E=$C119,'Student Groupings'"&amp;"!$H:$H=""Must be Together""),"""")})="" - "","""",join("" - "",{iferror(filter('Student Groupings'!$A:$A,'Student Groupings'!$B:$B=$C119,'Student Groupings'!$H:$H=""Must be Together""),"""");iferror(filter('Student Groupings'!$A:$A,'Student Groupings'!$E:"&amp;"$E=$C119,'Student Groupings'!$H:$H=""Must be Together""),"""")})))"),"")</f>
        <v/>
      </c>
      <c r="AE119" s="104"/>
      <c r="AF119" s="104"/>
      <c r="AG119" s="104"/>
      <c r="AH119" s="104"/>
    </row>
    <row r="120">
      <c r="A120" s="101">
        <v>6.0</v>
      </c>
      <c r="B120" s="101">
        <v>31116.0</v>
      </c>
      <c r="C120" s="102" t="s">
        <v>400</v>
      </c>
      <c r="D120" s="52" t="s">
        <v>171</v>
      </c>
      <c r="E120" s="52">
        <v>4.0</v>
      </c>
      <c r="F120" s="52" t="s">
        <v>158</v>
      </c>
      <c r="G120" s="52">
        <v>6.0</v>
      </c>
      <c r="H120" s="52" t="s">
        <v>181</v>
      </c>
      <c r="I120" s="52">
        <v>1.0</v>
      </c>
      <c r="J120" s="52" t="s">
        <v>192</v>
      </c>
      <c r="K120" s="52">
        <v>3.0</v>
      </c>
      <c r="L120" s="52" t="s">
        <v>196</v>
      </c>
      <c r="M120" s="52">
        <v>2.0</v>
      </c>
      <c r="N120" s="52" t="s">
        <v>153</v>
      </c>
      <c r="O120" s="52" t="s">
        <v>112</v>
      </c>
      <c r="P120" s="52" t="s">
        <v>142</v>
      </c>
      <c r="Q120" s="52" t="s">
        <v>124</v>
      </c>
      <c r="R120" s="52" t="s">
        <v>142</v>
      </c>
      <c r="S120" s="52" t="s">
        <v>124</v>
      </c>
      <c r="T120" s="65" t="s">
        <v>142</v>
      </c>
      <c r="U120" s="32">
        <v>1.0</v>
      </c>
      <c r="V120" s="32">
        <v>1.0</v>
      </c>
      <c r="W120" s="32">
        <v>1.0</v>
      </c>
      <c r="X120" s="32">
        <v>1.0</v>
      </c>
      <c r="Y120" s="32">
        <v>1.0</v>
      </c>
      <c r="Z120" s="32">
        <v>1.0</v>
      </c>
      <c r="AA120" s="32">
        <v>6.0</v>
      </c>
      <c r="AB120" s="32">
        <v>0.0</v>
      </c>
      <c r="AC120" s="103" t="str">
        <f>IFERROR(__xludf.DUMMYFUNCTION("if($C120="""","""",if(join("" - "",{iferror(filter('Student Groupings'!$A:$A,'Student Groupings'!$B:$B=$C120,'Student Groupings'!$H:$H=""Can't be Together""),"""");iferror(filter('Student Groupings'!$A:$A,'Student Groupings'!$E:$E=$C120,'Student Groupings"&amp;"'!$H:$H=""Can't be Together""),"""")})="" - "","""",join("" - "",{iferror(filter('Student Groupings'!$A:$A,'Student Groupings'!$B:$B=$C120,'Student Groupings'!$H:$H=""Can't be Together""),"""");iferror(filter('Student Groupings'!$A:$A,'Student Groupings'!"&amp;"$E:$E=$C120,'Student Groupings'!$H:$H=""Can't be Together""),"""")})))"),"")</f>
        <v/>
      </c>
      <c r="AD120" s="103" t="str">
        <f>IFERROR(__xludf.DUMMYFUNCTION("if($C120="""","""",if(join("" - "",{iferror(filter('Student Groupings'!$A:$A,'Student Groupings'!$B:$B=$C120,'Student Groupings'!$H:$H=""Must be Together""),"""");iferror(filter('Student Groupings'!$A:$A,'Student Groupings'!$E:$E=$C120,'Student Groupings'"&amp;"!$H:$H=""Must be Together""),"""")})="" - "","""",join("" - "",{iferror(filter('Student Groupings'!$A:$A,'Student Groupings'!$B:$B=$C120,'Student Groupings'!$H:$H=""Must be Together""),"""");iferror(filter('Student Groupings'!$A:$A,'Student Groupings'!$E:"&amp;"$E=$C120,'Student Groupings'!$H:$H=""Must be Together""),"""")})))"),"")</f>
        <v/>
      </c>
      <c r="AE120" s="105"/>
      <c r="AF120" s="105">
        <v>1.0</v>
      </c>
      <c r="AG120" s="104"/>
      <c r="AH120" s="104"/>
    </row>
    <row r="121">
      <c r="A121" s="101">
        <v>6.0</v>
      </c>
      <c r="B121" s="101">
        <v>31117.0</v>
      </c>
      <c r="C121" s="102" t="s">
        <v>253</v>
      </c>
      <c r="D121" s="52" t="s">
        <v>171</v>
      </c>
      <c r="E121" s="52">
        <v>3.0</v>
      </c>
      <c r="F121" s="52" t="s">
        <v>158</v>
      </c>
      <c r="G121" s="52">
        <v>1.0</v>
      </c>
      <c r="H121" s="52" t="s">
        <v>182</v>
      </c>
      <c r="I121" s="52">
        <v>5.0</v>
      </c>
      <c r="J121" s="52" t="s">
        <v>192</v>
      </c>
      <c r="K121" s="52">
        <v>2.0</v>
      </c>
      <c r="L121" s="52" t="s">
        <v>196</v>
      </c>
      <c r="M121" s="52">
        <v>4.0</v>
      </c>
      <c r="N121" s="52" t="s">
        <v>153</v>
      </c>
      <c r="O121" s="52" t="s">
        <v>109</v>
      </c>
      <c r="P121" s="52" t="s">
        <v>143</v>
      </c>
      <c r="Q121" s="52" t="s">
        <v>120</v>
      </c>
      <c r="R121" s="52" t="s">
        <v>143</v>
      </c>
      <c r="S121" s="52" t="s">
        <v>120</v>
      </c>
      <c r="T121" s="65" t="s">
        <v>143</v>
      </c>
      <c r="U121" s="32">
        <v>1.0</v>
      </c>
      <c r="V121" s="32">
        <v>1.0</v>
      </c>
      <c r="W121" s="32">
        <v>1.0</v>
      </c>
      <c r="X121" s="32">
        <v>1.0</v>
      </c>
      <c r="Y121" s="32">
        <v>1.0</v>
      </c>
      <c r="Z121" s="32">
        <v>1.0</v>
      </c>
      <c r="AA121" s="32">
        <v>6.0</v>
      </c>
      <c r="AB121" s="32">
        <v>0.0</v>
      </c>
      <c r="AC121" s="103" t="str">
        <f>IFERROR(__xludf.DUMMYFUNCTION("if($C121="""","""",if(join("" - "",{iferror(filter('Student Groupings'!$A:$A,'Student Groupings'!$B:$B=$C121,'Student Groupings'!$H:$H=""Can't be Together""),"""");iferror(filter('Student Groupings'!$A:$A,'Student Groupings'!$E:$E=$C121,'Student Groupings"&amp;"'!$H:$H=""Can't be Together""),"""")})="" - "","""",join("" - "",{iferror(filter('Student Groupings'!$A:$A,'Student Groupings'!$B:$B=$C121,'Student Groupings'!$H:$H=""Can't be Together""),"""");iferror(filter('Student Groupings'!$A:$A,'Student Groupings'!"&amp;"$E:$E=$C121,'Student Groupings'!$H:$H=""Can't be Together""),"""")})))")," - 37")</f>
        <v> - 37</v>
      </c>
      <c r="AD121" s="103" t="str">
        <f>IFERROR(__xludf.DUMMYFUNCTION("if($C121="""","""",if(join("" - "",{iferror(filter('Student Groupings'!$A:$A,'Student Groupings'!$B:$B=$C121,'Student Groupings'!$H:$H=""Must be Together""),"""");iferror(filter('Student Groupings'!$A:$A,'Student Groupings'!$E:$E=$C121,'Student Groupings'"&amp;"!$H:$H=""Must be Together""),"""")})="" - "","""",join("" - "",{iferror(filter('Student Groupings'!$A:$A,'Student Groupings'!$B:$B=$C121,'Student Groupings'!$H:$H=""Must be Together""),"""");iferror(filter('Student Groupings'!$A:$A,'Student Groupings'!$E:"&amp;"$E=$C121,'Student Groupings'!$H:$H=""Must be Together""),"""")})))"),"")</f>
        <v/>
      </c>
      <c r="AE121" s="104"/>
      <c r="AF121" s="104"/>
      <c r="AG121" s="104"/>
      <c r="AH121" s="104"/>
    </row>
    <row r="122">
      <c r="A122" s="101">
        <v>6.0</v>
      </c>
      <c r="B122" s="101">
        <v>31118.0</v>
      </c>
      <c r="C122" s="102" t="s">
        <v>401</v>
      </c>
      <c r="D122" s="52" t="s">
        <v>173</v>
      </c>
      <c r="E122" s="52">
        <v>3.0</v>
      </c>
      <c r="F122" s="52" t="s">
        <v>158</v>
      </c>
      <c r="G122" s="52">
        <v>5.0</v>
      </c>
      <c r="H122" s="52" t="s">
        <v>182</v>
      </c>
      <c r="I122" s="52">
        <v>6.0</v>
      </c>
      <c r="J122" s="52" t="s">
        <v>194</v>
      </c>
      <c r="K122" s="52">
        <v>2.0</v>
      </c>
      <c r="L122" s="52" t="s">
        <v>198</v>
      </c>
      <c r="M122" s="52">
        <v>4.0</v>
      </c>
      <c r="N122" s="52" t="s">
        <v>153</v>
      </c>
      <c r="O122" s="52" t="s">
        <v>108</v>
      </c>
      <c r="P122" s="52" t="s">
        <v>134</v>
      </c>
      <c r="Q122" s="52" t="s">
        <v>129</v>
      </c>
      <c r="R122" s="52" t="s">
        <v>117</v>
      </c>
      <c r="S122" s="52" t="s">
        <v>129</v>
      </c>
      <c r="T122" s="65" t="s">
        <v>27</v>
      </c>
      <c r="U122" s="32">
        <v>1.0</v>
      </c>
      <c r="V122" s="32">
        <v>1.0</v>
      </c>
      <c r="W122" s="32">
        <v>1.0</v>
      </c>
      <c r="X122" s="32">
        <v>1.0</v>
      </c>
      <c r="Y122" s="32">
        <v>1.0</v>
      </c>
      <c r="Z122" s="32">
        <v>1.0</v>
      </c>
      <c r="AA122" s="32">
        <v>6.0</v>
      </c>
      <c r="AB122" s="32">
        <v>0.0</v>
      </c>
      <c r="AC122" s="103" t="str">
        <f>IFERROR(__xludf.DUMMYFUNCTION("if($C122="""","""",if(join("" - "",{iferror(filter('Student Groupings'!$A:$A,'Student Groupings'!$B:$B=$C122,'Student Groupings'!$H:$H=""Can't be Together""),"""");iferror(filter('Student Groupings'!$A:$A,'Student Groupings'!$E:$E=$C122,'Student Groupings"&amp;"'!$H:$H=""Can't be Together""),"""")})="" - "","""",join("" - "",{iferror(filter('Student Groupings'!$A:$A,'Student Groupings'!$B:$B=$C122,'Student Groupings'!$H:$H=""Can't be Together""),"""");iferror(filter('Student Groupings'!$A:$A,'Student Groupings'!"&amp;"$E:$E=$C122,'Student Groupings'!$H:$H=""Can't be Together""),"""")})))"),"")</f>
        <v/>
      </c>
      <c r="AD122" s="103" t="str">
        <f>IFERROR(__xludf.DUMMYFUNCTION("if($C122="""","""",if(join("" - "",{iferror(filter('Student Groupings'!$A:$A,'Student Groupings'!$B:$B=$C122,'Student Groupings'!$H:$H=""Must be Together""),"""");iferror(filter('Student Groupings'!$A:$A,'Student Groupings'!$E:$E=$C122,'Student Groupings'"&amp;"!$H:$H=""Must be Together""),"""")})="" - "","""",join("" - "",{iferror(filter('Student Groupings'!$A:$A,'Student Groupings'!$B:$B=$C122,'Student Groupings'!$H:$H=""Must be Together""),"""");iferror(filter('Student Groupings'!$A:$A,'Student Groupings'!$E:"&amp;"$E=$C122,'Student Groupings'!$H:$H=""Must be Together""),"""")})))"),"")</f>
        <v/>
      </c>
      <c r="AE122" s="105"/>
      <c r="AF122" s="105"/>
      <c r="AG122" s="105"/>
      <c r="AH122" s="105"/>
    </row>
    <row r="123">
      <c r="A123" s="101">
        <v>6.0</v>
      </c>
      <c r="B123" s="101">
        <v>31119.0</v>
      </c>
      <c r="C123" s="102" t="s">
        <v>240</v>
      </c>
      <c r="D123" s="52" t="s">
        <v>171</v>
      </c>
      <c r="E123" s="52">
        <v>4.0</v>
      </c>
      <c r="F123" s="52" t="s">
        <v>158</v>
      </c>
      <c r="G123" s="52">
        <v>1.0</v>
      </c>
      <c r="H123" s="52" t="s">
        <v>182</v>
      </c>
      <c r="I123" s="52">
        <v>6.0</v>
      </c>
      <c r="J123" s="52" t="s">
        <v>192</v>
      </c>
      <c r="K123" s="52">
        <v>3.0</v>
      </c>
      <c r="L123" s="52" t="s">
        <v>196</v>
      </c>
      <c r="M123" s="52">
        <v>2.0</v>
      </c>
      <c r="N123" s="52" t="s">
        <v>153</v>
      </c>
      <c r="O123" s="52" t="s">
        <v>112</v>
      </c>
      <c r="P123" s="52" t="s">
        <v>142</v>
      </c>
      <c r="Q123" s="52" t="s">
        <v>124</v>
      </c>
      <c r="R123" s="52" t="s">
        <v>142</v>
      </c>
      <c r="S123" s="52" t="s">
        <v>124</v>
      </c>
      <c r="T123" s="65" t="s">
        <v>142</v>
      </c>
      <c r="U123" s="32">
        <v>1.0</v>
      </c>
      <c r="V123" s="32">
        <v>1.0</v>
      </c>
      <c r="W123" s="32">
        <v>1.0</v>
      </c>
      <c r="X123" s="32">
        <v>1.0</v>
      </c>
      <c r="Y123" s="32">
        <v>1.0</v>
      </c>
      <c r="Z123" s="32">
        <v>1.0</v>
      </c>
      <c r="AA123" s="32">
        <v>6.0</v>
      </c>
      <c r="AB123" s="32">
        <v>0.0</v>
      </c>
      <c r="AC123" s="103" t="str">
        <f>IFERROR(__xludf.DUMMYFUNCTION("if($C123="""","""",if(join("" - "",{iferror(filter('Student Groupings'!$A:$A,'Student Groupings'!$B:$B=$C123,'Student Groupings'!$H:$H=""Can't be Together""),"""");iferror(filter('Student Groupings'!$A:$A,'Student Groupings'!$E:$E=$C123,'Student Groupings"&amp;"'!$H:$H=""Can't be Together""),"""")})="" - "","""",join("" - "",{iferror(filter('Student Groupings'!$A:$A,'Student Groupings'!$B:$B=$C123,'Student Groupings'!$H:$H=""Can't be Together""),"""");iferror(filter('Student Groupings'!$A:$A,'Student Groupings'!"&amp;"$E:$E=$C123,'Student Groupings'!$H:$H=""Can't be Together""),"""")})))"),"")</f>
        <v/>
      </c>
      <c r="AD123" s="103" t="str">
        <f>IFERROR(__xludf.DUMMYFUNCTION("if($C123="""","""",if(join("" - "",{iferror(filter('Student Groupings'!$A:$A,'Student Groupings'!$B:$B=$C123,'Student Groupings'!$H:$H=""Must be Together""),"""");iferror(filter('Student Groupings'!$A:$A,'Student Groupings'!$E:$E=$C123,'Student Groupings'"&amp;"!$H:$H=""Must be Together""),"""")})="" - "","""",join("" - "",{iferror(filter('Student Groupings'!$A:$A,'Student Groupings'!$B:$B=$C123,'Student Groupings'!$H:$H=""Must be Together""),"""");iferror(filter('Student Groupings'!$A:$A,'Student Groupings'!$E:"&amp;"$E=$C123,'Student Groupings'!$H:$H=""Must be Together""),"""")})))")," - 27")</f>
        <v> - 27</v>
      </c>
      <c r="AE123" s="104"/>
      <c r="AF123" s="104"/>
      <c r="AG123" s="104"/>
      <c r="AH123" s="104"/>
    </row>
    <row r="124">
      <c r="A124" s="101">
        <v>6.0</v>
      </c>
      <c r="B124" s="101">
        <v>31120.0</v>
      </c>
      <c r="C124" s="102" t="s">
        <v>213</v>
      </c>
      <c r="D124" s="52" t="s">
        <v>171</v>
      </c>
      <c r="E124" s="52">
        <v>4.0</v>
      </c>
      <c r="F124" s="52" t="s">
        <v>159</v>
      </c>
      <c r="G124" s="52">
        <v>5.0</v>
      </c>
      <c r="H124" s="52" t="s">
        <v>182</v>
      </c>
      <c r="I124" s="52">
        <v>6.0</v>
      </c>
      <c r="J124" s="52" t="s">
        <v>192</v>
      </c>
      <c r="K124" s="52">
        <v>3.0</v>
      </c>
      <c r="L124" s="52" t="s">
        <v>196</v>
      </c>
      <c r="M124" s="52">
        <v>2.0</v>
      </c>
      <c r="N124" s="52" t="s">
        <v>153</v>
      </c>
      <c r="O124" s="52" t="s">
        <v>108</v>
      </c>
      <c r="P124" s="52" t="s">
        <v>117</v>
      </c>
      <c r="Q124" s="52" t="s">
        <v>129</v>
      </c>
      <c r="R124" s="52" t="s">
        <v>134</v>
      </c>
      <c r="S124" s="52" t="s">
        <v>129</v>
      </c>
      <c r="T124" s="65" t="s">
        <v>27</v>
      </c>
      <c r="U124" s="32">
        <v>1.0</v>
      </c>
      <c r="V124" s="32">
        <v>1.0</v>
      </c>
      <c r="W124" s="32">
        <v>1.0</v>
      </c>
      <c r="X124" s="32">
        <v>1.0</v>
      </c>
      <c r="Y124" s="32">
        <v>1.0</v>
      </c>
      <c r="Z124" s="32">
        <v>1.0</v>
      </c>
      <c r="AA124" s="32">
        <v>6.0</v>
      </c>
      <c r="AB124" s="32">
        <v>0.0</v>
      </c>
      <c r="AC124" s="103" t="str">
        <f>IFERROR(__xludf.DUMMYFUNCTION("if($C124="""","""",if(join("" - "",{iferror(filter('Student Groupings'!$A:$A,'Student Groupings'!$B:$B=$C124,'Student Groupings'!$H:$H=""Can't be Together""),"""");iferror(filter('Student Groupings'!$A:$A,'Student Groupings'!$E:$E=$C124,'Student Groupings"&amp;"'!$H:$H=""Can't be Together""),"""")})="" - "","""",join("" - "",{iferror(filter('Student Groupings'!$A:$A,'Student Groupings'!$B:$B=$C124,'Student Groupings'!$H:$H=""Can't be Together""),"""");iferror(filter('Student Groupings'!$A:$A,'Student Groupings'!"&amp;"$E:$E=$C124,'Student Groupings'!$H:$H=""Can't be Together""),"""")})))"),"")</f>
        <v/>
      </c>
      <c r="AD124" s="103" t="str">
        <f>IFERROR(__xludf.DUMMYFUNCTION("if($C124="""","""",if(join("" - "",{iferror(filter('Student Groupings'!$A:$A,'Student Groupings'!$B:$B=$C124,'Student Groupings'!$H:$H=""Must be Together""),"""");iferror(filter('Student Groupings'!$A:$A,'Student Groupings'!$E:$E=$C124,'Student Groupings'"&amp;"!$H:$H=""Must be Together""),"""")})="" - "","""",join("" - "",{iferror(filter('Student Groupings'!$A:$A,'Student Groupings'!$B:$B=$C124,'Student Groupings'!$H:$H=""Must be Together""),"""");iferror(filter('Student Groupings'!$A:$A,'Student Groupings'!$E:"&amp;"$E=$C124,'Student Groupings'!$H:$H=""Must be Together""),"""")})))")," - 2")</f>
        <v> - 2</v>
      </c>
      <c r="AE124" s="104"/>
      <c r="AF124" s="104"/>
      <c r="AG124" s="105">
        <v>1.0</v>
      </c>
      <c r="AH124" s="105"/>
    </row>
    <row r="125">
      <c r="A125" s="101">
        <v>6.0</v>
      </c>
      <c r="B125" s="101">
        <v>31121.0</v>
      </c>
      <c r="C125" s="102" t="s">
        <v>402</v>
      </c>
      <c r="D125" s="52" t="s">
        <v>171</v>
      </c>
      <c r="E125" s="52">
        <v>6.0</v>
      </c>
      <c r="F125" s="52" t="s">
        <v>158</v>
      </c>
      <c r="G125" s="52">
        <v>4.0</v>
      </c>
      <c r="H125" s="52" t="s">
        <v>182</v>
      </c>
      <c r="I125" s="52">
        <v>3.0</v>
      </c>
      <c r="J125" s="52" t="s">
        <v>192</v>
      </c>
      <c r="K125" s="52">
        <v>5.0</v>
      </c>
      <c r="L125" s="52" t="s">
        <v>196</v>
      </c>
      <c r="M125" s="52">
        <v>1.0</v>
      </c>
      <c r="N125" s="52" t="s">
        <v>153</v>
      </c>
      <c r="O125" s="52" t="s">
        <v>125</v>
      </c>
      <c r="P125" s="52" t="s">
        <v>117</v>
      </c>
      <c r="Q125" s="52" t="s">
        <v>119</v>
      </c>
      <c r="R125" s="52" t="s">
        <v>134</v>
      </c>
      <c r="S125" s="52" t="s">
        <v>119</v>
      </c>
      <c r="T125" s="65" t="s">
        <v>27</v>
      </c>
      <c r="U125" s="32">
        <v>1.0</v>
      </c>
      <c r="V125" s="32">
        <v>1.0</v>
      </c>
      <c r="W125" s="32">
        <v>1.0</v>
      </c>
      <c r="X125" s="32">
        <v>1.0</v>
      </c>
      <c r="Y125" s="32">
        <v>1.0</v>
      </c>
      <c r="Z125" s="32">
        <v>1.0</v>
      </c>
      <c r="AA125" s="32">
        <v>6.0</v>
      </c>
      <c r="AB125" s="32">
        <v>0.0</v>
      </c>
      <c r="AC125" s="103" t="str">
        <f>IFERROR(__xludf.DUMMYFUNCTION("if($C125="""","""",if(join("" - "",{iferror(filter('Student Groupings'!$A:$A,'Student Groupings'!$B:$B=$C125,'Student Groupings'!$H:$H=""Can't be Together""),"""");iferror(filter('Student Groupings'!$A:$A,'Student Groupings'!$E:$E=$C125,'Student Groupings"&amp;"'!$H:$H=""Can't be Together""),"""")})="" - "","""",join("" - "",{iferror(filter('Student Groupings'!$A:$A,'Student Groupings'!$B:$B=$C125,'Student Groupings'!$H:$H=""Can't be Together""),"""");iferror(filter('Student Groupings'!$A:$A,'Student Groupings'!"&amp;"$E:$E=$C125,'Student Groupings'!$H:$H=""Can't be Together""),"""")})))"),"")</f>
        <v/>
      </c>
      <c r="AD125" s="103" t="str">
        <f>IFERROR(__xludf.DUMMYFUNCTION("if($C125="""","""",if(join("" - "",{iferror(filter('Student Groupings'!$A:$A,'Student Groupings'!$B:$B=$C125,'Student Groupings'!$H:$H=""Must be Together""),"""");iferror(filter('Student Groupings'!$A:$A,'Student Groupings'!$E:$E=$C125,'Student Groupings'"&amp;"!$H:$H=""Must be Together""),"""")})="" - "","""",join("" - "",{iferror(filter('Student Groupings'!$A:$A,'Student Groupings'!$B:$B=$C125,'Student Groupings'!$H:$H=""Must be Together""),"""");iferror(filter('Student Groupings'!$A:$A,'Student Groupings'!$E:"&amp;"$E=$C125,'Student Groupings'!$H:$H=""Must be Together""),"""")})))"),"")</f>
        <v/>
      </c>
      <c r="AE125" s="104"/>
      <c r="AF125" s="104"/>
      <c r="AG125" s="104"/>
      <c r="AH125" s="104"/>
    </row>
    <row r="126">
      <c r="A126" s="101">
        <v>6.0</v>
      </c>
      <c r="B126" s="101">
        <v>30108.0</v>
      </c>
      <c r="C126" s="102" t="s">
        <v>403</v>
      </c>
      <c r="D126" s="52" t="s">
        <v>171</v>
      </c>
      <c r="E126" s="52">
        <v>2.0</v>
      </c>
      <c r="F126" s="52" t="s">
        <v>158</v>
      </c>
      <c r="G126" s="101">
        <v>1.0</v>
      </c>
      <c r="H126" s="52" t="s">
        <v>182</v>
      </c>
      <c r="I126" s="52">
        <v>5.0</v>
      </c>
      <c r="J126" s="52" t="s">
        <v>192</v>
      </c>
      <c r="K126" s="52">
        <v>4.0</v>
      </c>
      <c r="L126" s="52" t="s">
        <v>196</v>
      </c>
      <c r="M126" s="52">
        <v>3.0</v>
      </c>
      <c r="N126" s="52" t="s">
        <v>153</v>
      </c>
      <c r="O126" s="52" t="s">
        <v>120</v>
      </c>
      <c r="P126" s="52" t="s">
        <v>117</v>
      </c>
      <c r="Q126" s="52" t="s">
        <v>109</v>
      </c>
      <c r="R126" s="52" t="s">
        <v>134</v>
      </c>
      <c r="S126" s="52" t="s">
        <v>109</v>
      </c>
      <c r="T126" s="65" t="s">
        <v>8</v>
      </c>
      <c r="U126" s="32">
        <v>1.0</v>
      </c>
      <c r="V126" s="32">
        <v>1.0</v>
      </c>
      <c r="W126" s="32">
        <v>1.0</v>
      </c>
      <c r="X126" s="32">
        <v>1.0</v>
      </c>
      <c r="Y126" s="32">
        <v>1.0</v>
      </c>
      <c r="Z126" s="32">
        <v>1.0</v>
      </c>
      <c r="AA126" s="32">
        <v>6.0</v>
      </c>
      <c r="AB126" s="32">
        <v>0.0</v>
      </c>
      <c r="AC126" s="103" t="str">
        <f>IFERROR(__xludf.DUMMYFUNCTION("if($C126="""","""",if(join("" - "",{iferror(filter('Student Groupings'!$A:$A,'Student Groupings'!$B:$B=$C126,'Student Groupings'!$H:$H=""Can't be Together""),"""");iferror(filter('Student Groupings'!$A:$A,'Student Groupings'!$E:$E=$C126,'Student Groupings"&amp;"'!$H:$H=""Can't be Together""),"""")})="" - "","""",join("" - "",{iferror(filter('Student Groupings'!$A:$A,'Student Groupings'!$B:$B=$C126,'Student Groupings'!$H:$H=""Can't be Together""),"""");iferror(filter('Student Groupings'!$A:$A,'Student Groupings'!"&amp;"$E:$E=$C126,'Student Groupings'!$H:$H=""Can't be Together""),"""")})))"),"")</f>
        <v/>
      </c>
      <c r="AD126" s="103" t="str">
        <f>IFERROR(__xludf.DUMMYFUNCTION("if($C126="""","""",if(join("" - "",{iferror(filter('Student Groupings'!$A:$A,'Student Groupings'!$B:$B=$C126,'Student Groupings'!$H:$H=""Must be Together""),"""");iferror(filter('Student Groupings'!$A:$A,'Student Groupings'!$E:$E=$C126,'Student Groupings'"&amp;"!$H:$H=""Must be Together""),"""")})="" - "","""",join("" - "",{iferror(filter('Student Groupings'!$A:$A,'Student Groupings'!$B:$B=$C126,'Student Groupings'!$H:$H=""Must be Together""),"""");iferror(filter('Student Groupings'!$A:$A,'Student Groupings'!$E:"&amp;"$E=$C126,'Student Groupings'!$H:$H=""Must be Together""),"""")})))"),"")</f>
        <v/>
      </c>
      <c r="AE126" s="104"/>
      <c r="AF126" s="104"/>
      <c r="AG126" s="104"/>
      <c r="AH126" s="104"/>
    </row>
    <row r="127">
      <c r="A127" s="101">
        <v>6.0</v>
      </c>
      <c r="B127" s="101">
        <v>31122.0</v>
      </c>
      <c r="C127" s="102" t="s">
        <v>404</v>
      </c>
      <c r="D127" s="52" t="s">
        <v>171</v>
      </c>
      <c r="E127" s="52">
        <v>6.0</v>
      </c>
      <c r="F127" s="52" t="s">
        <v>158</v>
      </c>
      <c r="G127" s="52">
        <v>4.0</v>
      </c>
      <c r="H127" s="52" t="s">
        <v>182</v>
      </c>
      <c r="I127" s="52">
        <v>3.0</v>
      </c>
      <c r="J127" s="52" t="s">
        <v>192</v>
      </c>
      <c r="K127" s="52">
        <v>5.0</v>
      </c>
      <c r="L127" s="52" t="s">
        <v>196</v>
      </c>
      <c r="M127" s="52">
        <v>1.0</v>
      </c>
      <c r="N127" s="52" t="s">
        <v>153</v>
      </c>
      <c r="O127" s="52" t="s">
        <v>125</v>
      </c>
      <c r="P127" s="52" t="s">
        <v>134</v>
      </c>
      <c r="Q127" s="52" t="s">
        <v>119</v>
      </c>
      <c r="R127" s="52" t="s">
        <v>117</v>
      </c>
      <c r="S127" s="52" t="s">
        <v>119</v>
      </c>
      <c r="T127" s="65" t="s">
        <v>27</v>
      </c>
      <c r="U127" s="32">
        <v>1.0</v>
      </c>
      <c r="V127" s="32">
        <v>1.0</v>
      </c>
      <c r="W127" s="32">
        <v>1.0</v>
      </c>
      <c r="X127" s="32">
        <v>1.0</v>
      </c>
      <c r="Y127" s="32">
        <v>1.0</v>
      </c>
      <c r="Z127" s="32">
        <v>1.0</v>
      </c>
      <c r="AA127" s="32">
        <v>6.0</v>
      </c>
      <c r="AB127" s="32">
        <v>0.0</v>
      </c>
      <c r="AC127" s="103" t="str">
        <f>IFERROR(__xludf.DUMMYFUNCTION("if($C127="""","""",if(join("" - "",{iferror(filter('Student Groupings'!$A:$A,'Student Groupings'!$B:$B=$C127,'Student Groupings'!$H:$H=""Can't be Together""),"""");iferror(filter('Student Groupings'!$A:$A,'Student Groupings'!$E:$E=$C127,'Student Groupings"&amp;"'!$H:$H=""Can't be Together""),"""")})="" - "","""",join("" - "",{iferror(filter('Student Groupings'!$A:$A,'Student Groupings'!$B:$B=$C127,'Student Groupings'!$H:$H=""Can't be Together""),"""");iferror(filter('Student Groupings'!$A:$A,'Student Groupings'!"&amp;"$E:$E=$C127,'Student Groupings'!$H:$H=""Can't be Together""),"""")})))"),"")</f>
        <v/>
      </c>
      <c r="AD127" s="103" t="str">
        <f>IFERROR(__xludf.DUMMYFUNCTION("if($C127="""","""",if(join("" - "",{iferror(filter('Student Groupings'!$A:$A,'Student Groupings'!$B:$B=$C127,'Student Groupings'!$H:$H=""Must be Together""),"""");iferror(filter('Student Groupings'!$A:$A,'Student Groupings'!$E:$E=$C127,'Student Groupings'"&amp;"!$H:$H=""Must be Together""),"""")})="" - "","""",join("" - "",{iferror(filter('Student Groupings'!$A:$A,'Student Groupings'!$B:$B=$C127,'Student Groupings'!$H:$H=""Must be Together""),"""");iferror(filter('Student Groupings'!$A:$A,'Student Groupings'!$E:"&amp;"$E=$C127,'Student Groupings'!$H:$H=""Must be Together""),"""")})))"),"")</f>
        <v/>
      </c>
      <c r="AE127" s="104"/>
      <c r="AF127" s="104"/>
      <c r="AG127" s="104"/>
      <c r="AH127" s="104"/>
    </row>
    <row r="128">
      <c r="A128" s="101">
        <v>6.0</v>
      </c>
      <c r="B128" s="101">
        <v>31123.0</v>
      </c>
      <c r="C128" s="102" t="s">
        <v>243</v>
      </c>
      <c r="D128" s="52" t="s">
        <v>171</v>
      </c>
      <c r="E128" s="52">
        <v>3.0</v>
      </c>
      <c r="F128" s="52" t="s">
        <v>158</v>
      </c>
      <c r="G128" s="52">
        <v>6.0</v>
      </c>
      <c r="H128" s="52" t="s">
        <v>182</v>
      </c>
      <c r="I128" s="52">
        <v>5.0</v>
      </c>
      <c r="J128" s="52" t="s">
        <v>192</v>
      </c>
      <c r="K128" s="52">
        <v>2.0</v>
      </c>
      <c r="L128" s="52" t="s">
        <v>196</v>
      </c>
      <c r="M128" s="52">
        <v>4.0</v>
      </c>
      <c r="N128" s="52" t="s">
        <v>153</v>
      </c>
      <c r="O128" s="52" t="s">
        <v>108</v>
      </c>
      <c r="P128" s="52" t="s">
        <v>117</v>
      </c>
      <c r="Q128" s="52" t="s">
        <v>129</v>
      </c>
      <c r="R128" s="52" t="s">
        <v>134</v>
      </c>
      <c r="S128" s="52" t="s">
        <v>129</v>
      </c>
      <c r="T128" s="65" t="s">
        <v>27</v>
      </c>
      <c r="U128" s="32">
        <v>1.0</v>
      </c>
      <c r="V128" s="32">
        <v>1.0</v>
      </c>
      <c r="W128" s="32">
        <v>1.0</v>
      </c>
      <c r="X128" s="32">
        <v>1.0</v>
      </c>
      <c r="Y128" s="32">
        <v>1.0</v>
      </c>
      <c r="Z128" s="32">
        <v>1.0</v>
      </c>
      <c r="AA128" s="32">
        <v>6.0</v>
      </c>
      <c r="AB128" s="32">
        <v>0.0</v>
      </c>
      <c r="AC128" s="103" t="str">
        <f>IFERROR(__xludf.DUMMYFUNCTION("if($C128="""","""",if(join("" - "",{iferror(filter('Student Groupings'!$A:$A,'Student Groupings'!$B:$B=$C128,'Student Groupings'!$H:$H=""Can't be Together""),"""");iferror(filter('Student Groupings'!$A:$A,'Student Groupings'!$E:$E=$C128,'Student Groupings"&amp;"'!$H:$H=""Can't be Together""),"""")})="" - "","""",join("" - "",{iferror(filter('Student Groupings'!$A:$A,'Student Groupings'!$B:$B=$C128,'Student Groupings'!$H:$H=""Can't be Together""),"""");iferror(filter('Student Groupings'!$A:$A,'Student Groupings'!"&amp;"$E:$E=$C128,'Student Groupings'!$H:$H=""Can't be Together""),"""")})))"),"29 - ")</f>
        <v>29 - </v>
      </c>
      <c r="AD128" s="103" t="str">
        <f>IFERROR(__xludf.DUMMYFUNCTION("if($C128="""","""",if(join("" - "",{iferror(filter('Student Groupings'!$A:$A,'Student Groupings'!$B:$B=$C128,'Student Groupings'!$H:$H=""Must be Together""),"""");iferror(filter('Student Groupings'!$A:$A,'Student Groupings'!$E:$E=$C128,'Student Groupings'"&amp;"!$H:$H=""Must be Together""),"""")})="" - "","""",join("" - "",{iferror(filter('Student Groupings'!$A:$A,'Student Groupings'!$B:$B=$C128,'Student Groupings'!$H:$H=""Must be Together""),"""");iferror(filter('Student Groupings'!$A:$A,'Student Groupings'!$E:"&amp;"$E=$C128,'Student Groupings'!$H:$H=""Must be Together""),"""")})))"),"")</f>
        <v/>
      </c>
      <c r="AE128" s="104"/>
      <c r="AF128" s="104"/>
      <c r="AG128" s="104"/>
      <c r="AH128" s="104"/>
    </row>
    <row r="129">
      <c r="A129" s="101">
        <v>6.0</v>
      </c>
      <c r="B129" s="101">
        <v>31124.0</v>
      </c>
      <c r="C129" s="102" t="s">
        <v>405</v>
      </c>
      <c r="D129" s="52" t="s">
        <v>171</v>
      </c>
      <c r="E129" s="52">
        <v>3.0</v>
      </c>
      <c r="F129" s="52" t="s">
        <v>158</v>
      </c>
      <c r="G129" s="52">
        <v>6.0</v>
      </c>
      <c r="H129" s="52" t="s">
        <v>181</v>
      </c>
      <c r="I129" s="52">
        <v>1.0</v>
      </c>
      <c r="J129" s="52" t="s">
        <v>192</v>
      </c>
      <c r="K129" s="52">
        <v>2.0</v>
      </c>
      <c r="L129" s="52" t="s">
        <v>196</v>
      </c>
      <c r="M129" s="52">
        <v>4.0</v>
      </c>
      <c r="N129" s="52" t="s">
        <v>153</v>
      </c>
      <c r="O129" s="52" t="s">
        <v>112</v>
      </c>
      <c r="P129" s="52" t="s">
        <v>142</v>
      </c>
      <c r="Q129" s="52" t="s">
        <v>124</v>
      </c>
      <c r="R129" s="52" t="s">
        <v>142</v>
      </c>
      <c r="S129" s="52" t="s">
        <v>124</v>
      </c>
      <c r="T129" s="65" t="s">
        <v>142</v>
      </c>
      <c r="U129" s="32">
        <v>1.0</v>
      </c>
      <c r="V129" s="32">
        <v>1.0</v>
      </c>
      <c r="W129" s="32">
        <v>1.0</v>
      </c>
      <c r="X129" s="32">
        <v>1.0</v>
      </c>
      <c r="Y129" s="32">
        <v>1.0</v>
      </c>
      <c r="Z129" s="32">
        <v>1.0</v>
      </c>
      <c r="AA129" s="32">
        <v>6.0</v>
      </c>
      <c r="AB129" s="32">
        <v>0.0</v>
      </c>
      <c r="AC129" s="103" t="str">
        <f>IFERROR(__xludf.DUMMYFUNCTION("if($C129="""","""",if(join("" - "",{iferror(filter('Student Groupings'!$A:$A,'Student Groupings'!$B:$B=$C129,'Student Groupings'!$H:$H=""Can't be Together""),"""");iferror(filter('Student Groupings'!$A:$A,'Student Groupings'!$E:$E=$C129,'Student Groupings"&amp;"'!$H:$H=""Can't be Together""),"""")})="" - "","""",join("" - "",{iferror(filter('Student Groupings'!$A:$A,'Student Groupings'!$B:$B=$C129,'Student Groupings'!$H:$H=""Can't be Together""),"""");iferror(filter('Student Groupings'!$A:$A,'Student Groupings'!"&amp;"$E:$E=$C129,'Student Groupings'!$H:$H=""Can't be Together""),"""")})))"),"")</f>
        <v/>
      </c>
      <c r="AD129" s="103" t="str">
        <f>IFERROR(__xludf.DUMMYFUNCTION("if($C129="""","""",if(join("" - "",{iferror(filter('Student Groupings'!$A:$A,'Student Groupings'!$B:$B=$C129,'Student Groupings'!$H:$H=""Must be Together""),"""");iferror(filter('Student Groupings'!$A:$A,'Student Groupings'!$E:$E=$C129,'Student Groupings'"&amp;"!$H:$H=""Must be Together""),"""")})="" - "","""",join("" - "",{iferror(filter('Student Groupings'!$A:$A,'Student Groupings'!$B:$B=$C129,'Student Groupings'!$H:$H=""Must be Together""),"""");iferror(filter('Student Groupings'!$A:$A,'Student Groupings'!$E:"&amp;"$E=$C129,'Student Groupings'!$H:$H=""Must be Together""),"""")})))"),"")</f>
        <v/>
      </c>
      <c r="AE129" s="104"/>
      <c r="AF129" s="104"/>
      <c r="AG129" s="104"/>
      <c r="AH129" s="104"/>
    </row>
    <row r="130">
      <c r="A130" s="101">
        <v>6.0</v>
      </c>
      <c r="B130" s="101">
        <v>31125.0</v>
      </c>
      <c r="C130" s="102" t="s">
        <v>237</v>
      </c>
      <c r="D130" s="52" t="s">
        <v>171</v>
      </c>
      <c r="E130" s="52">
        <v>3.0</v>
      </c>
      <c r="F130" s="52" t="s">
        <v>158</v>
      </c>
      <c r="G130" s="52">
        <v>5.0</v>
      </c>
      <c r="H130" s="52" t="s">
        <v>182</v>
      </c>
      <c r="I130" s="52">
        <v>1.0</v>
      </c>
      <c r="J130" s="52" t="s">
        <v>192</v>
      </c>
      <c r="K130" s="52">
        <v>2.0</v>
      </c>
      <c r="L130" s="52" t="s">
        <v>196</v>
      </c>
      <c r="M130" s="52">
        <v>4.0</v>
      </c>
      <c r="N130" s="52" t="s">
        <v>153</v>
      </c>
      <c r="O130" s="52" t="s">
        <v>109</v>
      </c>
      <c r="P130" s="52" t="s">
        <v>143</v>
      </c>
      <c r="Q130" s="52" t="s">
        <v>120</v>
      </c>
      <c r="R130" s="52" t="s">
        <v>143</v>
      </c>
      <c r="S130" s="52" t="s">
        <v>120</v>
      </c>
      <c r="T130" s="65" t="s">
        <v>143</v>
      </c>
      <c r="U130" s="32">
        <v>1.0</v>
      </c>
      <c r="V130" s="32">
        <v>1.0</v>
      </c>
      <c r="W130" s="32">
        <v>1.0</v>
      </c>
      <c r="X130" s="32">
        <v>1.0</v>
      </c>
      <c r="Y130" s="32">
        <v>1.0</v>
      </c>
      <c r="Z130" s="32">
        <v>1.0</v>
      </c>
      <c r="AA130" s="32">
        <v>6.0</v>
      </c>
      <c r="AB130" s="32">
        <v>0.0</v>
      </c>
      <c r="AC130" s="103" t="str">
        <f>IFERROR(__xludf.DUMMYFUNCTION("if($C130="""","""",if(join("" - "",{iferror(filter('Student Groupings'!$A:$A,'Student Groupings'!$B:$B=$C130,'Student Groupings'!$H:$H=""Can't be Together""),"""");iferror(filter('Student Groupings'!$A:$A,'Student Groupings'!$E:$E=$C130,'Student Groupings"&amp;"'!$H:$H=""Can't be Together""),"""")})="" - "","""",join("" - "",{iferror(filter('Student Groupings'!$A:$A,'Student Groupings'!$B:$B=$C130,'Student Groupings'!$H:$H=""Can't be Together""),"""");iferror(filter('Student Groupings'!$A:$A,'Student Groupings'!"&amp;"$E:$E=$C130,'Student Groupings'!$H:$H=""Can't be Together""),"""")})))")," - 24")</f>
        <v> - 24</v>
      </c>
      <c r="AD130" s="103" t="str">
        <f>IFERROR(__xludf.DUMMYFUNCTION("if($C130="""","""",if(join("" - "",{iferror(filter('Student Groupings'!$A:$A,'Student Groupings'!$B:$B=$C130,'Student Groupings'!$H:$H=""Must be Together""),"""");iferror(filter('Student Groupings'!$A:$A,'Student Groupings'!$E:$E=$C130,'Student Groupings'"&amp;"!$H:$H=""Must be Together""),"""")})="" - "","""",join("" - "",{iferror(filter('Student Groupings'!$A:$A,'Student Groupings'!$B:$B=$C130,'Student Groupings'!$H:$H=""Must be Together""),"""");iferror(filter('Student Groupings'!$A:$A,'Student Groupings'!$E:"&amp;"$E=$C130,'Student Groupings'!$H:$H=""Must be Together""),"""")})))"),"")</f>
        <v/>
      </c>
      <c r="AE130" s="104"/>
      <c r="AF130" s="104"/>
      <c r="AG130" s="104"/>
      <c r="AH130" s="104"/>
    </row>
    <row r="131">
      <c r="A131" s="101">
        <v>6.0</v>
      </c>
      <c r="B131" s="101">
        <v>31126.0</v>
      </c>
      <c r="C131" s="102" t="s">
        <v>406</v>
      </c>
      <c r="D131" s="52" t="s">
        <v>171</v>
      </c>
      <c r="E131" s="52">
        <v>2.0</v>
      </c>
      <c r="F131" s="52" t="s">
        <v>158</v>
      </c>
      <c r="G131" s="52">
        <v>6.0</v>
      </c>
      <c r="H131" s="52" t="s">
        <v>182</v>
      </c>
      <c r="I131" s="52">
        <v>5.0</v>
      </c>
      <c r="J131" s="52" t="s">
        <v>192</v>
      </c>
      <c r="K131" s="52">
        <v>4.0</v>
      </c>
      <c r="L131" s="52" t="s">
        <v>196</v>
      </c>
      <c r="M131" s="52">
        <v>3.0</v>
      </c>
      <c r="N131" s="52" t="s">
        <v>153</v>
      </c>
      <c r="O131" s="52" t="s">
        <v>108</v>
      </c>
      <c r="P131" s="52" t="s">
        <v>117</v>
      </c>
      <c r="Q131" s="52" t="s">
        <v>129</v>
      </c>
      <c r="R131" s="52" t="s">
        <v>134</v>
      </c>
      <c r="S131" s="52" t="s">
        <v>129</v>
      </c>
      <c r="T131" s="65" t="s">
        <v>27</v>
      </c>
      <c r="U131" s="32">
        <v>1.0</v>
      </c>
      <c r="V131" s="32">
        <v>1.0</v>
      </c>
      <c r="W131" s="32">
        <v>1.0</v>
      </c>
      <c r="X131" s="32">
        <v>1.0</v>
      </c>
      <c r="Y131" s="32">
        <v>1.0</v>
      </c>
      <c r="Z131" s="32">
        <v>1.0</v>
      </c>
      <c r="AA131" s="32">
        <v>6.0</v>
      </c>
      <c r="AB131" s="32">
        <v>0.0</v>
      </c>
      <c r="AC131" s="103" t="str">
        <f>IFERROR(__xludf.DUMMYFUNCTION("if($C131="""","""",if(join("" - "",{iferror(filter('Student Groupings'!$A:$A,'Student Groupings'!$B:$B=$C131,'Student Groupings'!$H:$H=""Can't be Together""),"""");iferror(filter('Student Groupings'!$A:$A,'Student Groupings'!$E:$E=$C131,'Student Groupings"&amp;"'!$H:$H=""Can't be Together""),"""")})="" - "","""",join("" - "",{iferror(filter('Student Groupings'!$A:$A,'Student Groupings'!$B:$B=$C131,'Student Groupings'!$H:$H=""Can't be Together""),"""");iferror(filter('Student Groupings'!$A:$A,'Student Groupings'!"&amp;"$E:$E=$C131,'Student Groupings'!$H:$H=""Can't be Together""),"""")})))"),"")</f>
        <v/>
      </c>
      <c r="AD131" s="103" t="str">
        <f>IFERROR(__xludf.DUMMYFUNCTION("if($C131="""","""",if(join("" - "",{iferror(filter('Student Groupings'!$A:$A,'Student Groupings'!$B:$B=$C131,'Student Groupings'!$H:$H=""Must be Together""),"""");iferror(filter('Student Groupings'!$A:$A,'Student Groupings'!$E:$E=$C131,'Student Groupings'"&amp;"!$H:$H=""Must be Together""),"""")})="" - "","""",join("" - "",{iferror(filter('Student Groupings'!$A:$A,'Student Groupings'!$B:$B=$C131,'Student Groupings'!$H:$H=""Must be Together""),"""");iferror(filter('Student Groupings'!$A:$A,'Student Groupings'!$E:"&amp;"$E=$C131,'Student Groupings'!$H:$H=""Must be Together""),"""")})))"),"")</f>
        <v/>
      </c>
      <c r="AE131" s="104"/>
      <c r="AF131" s="104"/>
      <c r="AG131" s="104"/>
      <c r="AH131" s="104"/>
    </row>
    <row r="132">
      <c r="A132" s="101">
        <v>6.0</v>
      </c>
      <c r="B132" s="101">
        <v>31127.0</v>
      </c>
      <c r="C132" s="102" t="s">
        <v>252</v>
      </c>
      <c r="D132" s="52" t="s">
        <v>171</v>
      </c>
      <c r="E132" s="52">
        <v>5.0</v>
      </c>
      <c r="F132" s="52" t="s">
        <v>158</v>
      </c>
      <c r="G132" s="101">
        <v>3.0</v>
      </c>
      <c r="H132" s="52" t="s">
        <v>182</v>
      </c>
      <c r="I132" s="52">
        <v>2.0</v>
      </c>
      <c r="J132" s="52" t="s">
        <v>192</v>
      </c>
      <c r="K132" s="52">
        <v>1.0</v>
      </c>
      <c r="L132" s="52" t="s">
        <v>196</v>
      </c>
      <c r="M132" s="52">
        <v>6.0</v>
      </c>
      <c r="N132" s="52" t="s">
        <v>153</v>
      </c>
      <c r="O132" s="52" t="s">
        <v>130</v>
      </c>
      <c r="P132" s="52" t="s">
        <v>117</v>
      </c>
      <c r="Q132" s="52" t="s">
        <v>111</v>
      </c>
      <c r="R132" s="52" t="s">
        <v>134</v>
      </c>
      <c r="S132" s="52" t="s">
        <v>111</v>
      </c>
      <c r="T132" s="65" t="s">
        <v>27</v>
      </c>
      <c r="U132" s="32">
        <v>1.0</v>
      </c>
      <c r="V132" s="32">
        <v>1.0</v>
      </c>
      <c r="W132" s="32">
        <v>1.0</v>
      </c>
      <c r="X132" s="32">
        <v>1.0</v>
      </c>
      <c r="Y132" s="32">
        <v>1.0</v>
      </c>
      <c r="Z132" s="32">
        <v>1.0</v>
      </c>
      <c r="AA132" s="32">
        <v>6.0</v>
      </c>
      <c r="AB132" s="32">
        <v>0.0</v>
      </c>
      <c r="AC132" s="103" t="str">
        <f>IFERROR(__xludf.DUMMYFUNCTION("if($C132="""","""",if(join("" - "",{iferror(filter('Student Groupings'!$A:$A,'Student Groupings'!$B:$B=$C132,'Student Groupings'!$H:$H=""Can't be Together""),"""");iferror(filter('Student Groupings'!$A:$A,'Student Groupings'!$E:$E=$C132,'Student Groupings"&amp;"'!$H:$H=""Can't be Together""),"""")})="" - "","""",join("" - "",{iferror(filter('Student Groupings'!$A:$A,'Student Groupings'!$B:$B=$C132,'Student Groupings'!$H:$H=""Can't be Together""),"""");iferror(filter('Student Groupings'!$A:$A,'Student Groupings'!"&amp;"$E:$E=$C132,'Student Groupings'!$H:$H=""Can't be Together""),"""")})))")," - 36")</f>
        <v> - 36</v>
      </c>
      <c r="AD132" s="103" t="str">
        <f>IFERROR(__xludf.DUMMYFUNCTION("if($C132="""","""",if(join("" - "",{iferror(filter('Student Groupings'!$A:$A,'Student Groupings'!$B:$B=$C132,'Student Groupings'!$H:$H=""Must be Together""),"""");iferror(filter('Student Groupings'!$A:$A,'Student Groupings'!$E:$E=$C132,'Student Groupings'"&amp;"!$H:$H=""Must be Together""),"""")})="" - "","""",join("" - "",{iferror(filter('Student Groupings'!$A:$A,'Student Groupings'!$B:$B=$C132,'Student Groupings'!$H:$H=""Must be Together""),"""");iferror(filter('Student Groupings'!$A:$A,'Student Groupings'!$E:"&amp;"$E=$C132,'Student Groupings'!$H:$H=""Must be Together""),"""")})))"),"")</f>
        <v/>
      </c>
      <c r="AE132" s="104"/>
      <c r="AF132" s="104"/>
      <c r="AG132" s="104"/>
      <c r="AH132" s="104"/>
    </row>
    <row r="133">
      <c r="A133" s="101">
        <v>6.0</v>
      </c>
      <c r="B133" s="101">
        <v>31128.0</v>
      </c>
      <c r="C133" s="102" t="s">
        <v>210</v>
      </c>
      <c r="D133" s="52" t="s">
        <v>171</v>
      </c>
      <c r="E133" s="52">
        <v>4.0</v>
      </c>
      <c r="F133" s="52" t="s">
        <v>159</v>
      </c>
      <c r="G133" s="52">
        <v>5.0</v>
      </c>
      <c r="H133" s="52" t="s">
        <v>181</v>
      </c>
      <c r="I133" s="101">
        <v>1.0</v>
      </c>
      <c r="J133" s="52" t="s">
        <v>192</v>
      </c>
      <c r="K133" s="101">
        <v>3.0</v>
      </c>
      <c r="L133" s="52" t="s">
        <v>196</v>
      </c>
      <c r="M133" s="101">
        <v>2.0</v>
      </c>
      <c r="N133" s="52" t="s">
        <v>153</v>
      </c>
      <c r="O133" s="52" t="s">
        <v>109</v>
      </c>
      <c r="P133" s="52" t="s">
        <v>143</v>
      </c>
      <c r="Q133" s="52" t="s">
        <v>120</v>
      </c>
      <c r="R133" s="52" t="s">
        <v>143</v>
      </c>
      <c r="S133" s="52" t="s">
        <v>120</v>
      </c>
      <c r="T133" s="65" t="s">
        <v>143</v>
      </c>
      <c r="U133" s="32">
        <v>1.0</v>
      </c>
      <c r="V133" s="32">
        <v>1.0</v>
      </c>
      <c r="W133" s="32">
        <v>1.0</v>
      </c>
      <c r="X133" s="32">
        <v>1.0</v>
      </c>
      <c r="Y133" s="32">
        <v>1.0</v>
      </c>
      <c r="Z133" s="32">
        <v>1.0</v>
      </c>
      <c r="AA133" s="32">
        <v>6.0</v>
      </c>
      <c r="AB133" s="32">
        <v>0.0</v>
      </c>
      <c r="AC133" s="103" t="str">
        <f>IFERROR(__xludf.DUMMYFUNCTION("if($C133="""","""",if(join("" - "",{iferror(filter('Student Groupings'!$A:$A,'Student Groupings'!$B:$B=$C133,'Student Groupings'!$H:$H=""Can't be Together""),"""");iferror(filter('Student Groupings'!$A:$A,'Student Groupings'!$E:$E=$C133,'Student Groupings"&amp;"'!$H:$H=""Can't be Together""),"""")})="" - "","""",join("" - "",{iferror(filter('Student Groupings'!$A:$A,'Student Groupings'!$B:$B=$C133,'Student Groupings'!$H:$H=""Can't be Together""),"""");iferror(filter('Student Groupings'!$A:$A,'Student Groupings'!"&amp;"$E:$E=$C133,'Student Groupings'!$H:$H=""Can't be Together""),"""")})))"),"1 - ")</f>
        <v>1 - </v>
      </c>
      <c r="AD133" s="103" t="str">
        <f>IFERROR(__xludf.DUMMYFUNCTION("if($C133="""","""",if(join("" - "",{iferror(filter('Student Groupings'!$A:$A,'Student Groupings'!$B:$B=$C133,'Student Groupings'!$H:$H=""Must be Together""),"""");iferror(filter('Student Groupings'!$A:$A,'Student Groupings'!$E:$E=$C133,'Student Groupings'"&amp;"!$H:$H=""Must be Together""),"""")})="" - "","""",join("" - "",{iferror(filter('Student Groupings'!$A:$A,'Student Groupings'!$B:$B=$C133,'Student Groupings'!$H:$H=""Must be Together""),"""");iferror(filter('Student Groupings'!$A:$A,'Student Groupings'!$E:"&amp;"$E=$C133,'Student Groupings'!$H:$H=""Must be Together""),"""")})))"),"2 - 3 - ")</f>
        <v>2 - 3 - </v>
      </c>
      <c r="AE133" s="105"/>
      <c r="AF133" s="105">
        <v>1.0</v>
      </c>
      <c r="AG133" s="105">
        <v>1.0</v>
      </c>
      <c r="AH133" s="105"/>
    </row>
    <row r="134">
      <c r="A134" s="101">
        <v>6.0</v>
      </c>
      <c r="B134" s="101">
        <v>31165.0</v>
      </c>
      <c r="C134" s="102" t="s">
        <v>407</v>
      </c>
      <c r="D134" s="52" t="s">
        <v>173</v>
      </c>
      <c r="E134" s="52">
        <v>3.0</v>
      </c>
      <c r="F134" s="52" t="s">
        <v>158</v>
      </c>
      <c r="G134" s="52">
        <v>5.0</v>
      </c>
      <c r="H134" s="52" t="s">
        <v>182</v>
      </c>
      <c r="I134" s="52">
        <v>1.0</v>
      </c>
      <c r="J134" s="52" t="s">
        <v>194</v>
      </c>
      <c r="K134" s="52">
        <v>2.0</v>
      </c>
      <c r="L134" s="52" t="s">
        <v>198</v>
      </c>
      <c r="M134" s="52">
        <v>4.0</v>
      </c>
      <c r="N134" s="52" t="s">
        <v>153</v>
      </c>
      <c r="O134" s="52" t="s">
        <v>120</v>
      </c>
      <c r="P134" s="52" t="s">
        <v>134</v>
      </c>
      <c r="Q134" s="52" t="s">
        <v>109</v>
      </c>
      <c r="R134" s="52" t="s">
        <v>117</v>
      </c>
      <c r="S134" s="52" t="s">
        <v>109</v>
      </c>
      <c r="T134" s="65" t="s">
        <v>27</v>
      </c>
      <c r="U134" s="32">
        <v>1.0</v>
      </c>
      <c r="V134" s="32">
        <v>1.0</v>
      </c>
      <c r="W134" s="32">
        <v>1.0</v>
      </c>
      <c r="X134" s="32">
        <v>1.0</v>
      </c>
      <c r="Y134" s="32">
        <v>1.0</v>
      </c>
      <c r="Z134" s="32">
        <v>1.0</v>
      </c>
      <c r="AA134" s="32">
        <v>6.0</v>
      </c>
      <c r="AB134" s="32">
        <v>0.0</v>
      </c>
      <c r="AC134" s="103" t="str">
        <f>IFERROR(__xludf.DUMMYFUNCTION("if($C134="""","""",if(join("" - "",{iferror(filter('Student Groupings'!$A:$A,'Student Groupings'!$B:$B=$C134,'Student Groupings'!$H:$H=""Can't be Together""),"""");iferror(filter('Student Groupings'!$A:$A,'Student Groupings'!$E:$E=$C134,'Student Groupings"&amp;"'!$H:$H=""Can't be Together""),"""")})="" - "","""",join("" - "",{iferror(filter('Student Groupings'!$A:$A,'Student Groupings'!$B:$B=$C134,'Student Groupings'!$H:$H=""Can't be Together""),"""");iferror(filter('Student Groupings'!$A:$A,'Student Groupings'!"&amp;"$E:$E=$C134,'Student Groupings'!$H:$H=""Can't be Together""),"""")})))"),"")</f>
        <v/>
      </c>
      <c r="AD134" s="103" t="str">
        <f>IFERROR(__xludf.DUMMYFUNCTION("if($C134="""","""",if(join("" - "",{iferror(filter('Student Groupings'!$A:$A,'Student Groupings'!$B:$B=$C134,'Student Groupings'!$H:$H=""Must be Together""),"""");iferror(filter('Student Groupings'!$A:$A,'Student Groupings'!$E:$E=$C134,'Student Groupings'"&amp;"!$H:$H=""Must be Together""),"""")})="" - "","""",join("" - "",{iferror(filter('Student Groupings'!$A:$A,'Student Groupings'!$B:$B=$C134,'Student Groupings'!$H:$H=""Must be Together""),"""");iferror(filter('Student Groupings'!$A:$A,'Student Groupings'!$E:"&amp;"$E=$C134,'Student Groupings'!$H:$H=""Must be Together""),"""")})))"),"")</f>
        <v/>
      </c>
      <c r="AE134" s="105"/>
      <c r="AF134" s="105"/>
      <c r="AG134" s="105"/>
      <c r="AH134" s="105"/>
    </row>
    <row r="135">
      <c r="A135" s="101">
        <v>6.0</v>
      </c>
      <c r="B135" s="101">
        <v>31129.0</v>
      </c>
      <c r="C135" s="102" t="s">
        <v>408</v>
      </c>
      <c r="D135" s="52" t="s">
        <v>171</v>
      </c>
      <c r="E135" s="52">
        <v>5.0</v>
      </c>
      <c r="F135" s="52" t="s">
        <v>158</v>
      </c>
      <c r="G135" s="52">
        <v>3.0</v>
      </c>
      <c r="H135" s="52" t="s">
        <v>182</v>
      </c>
      <c r="I135" s="52">
        <v>2.0</v>
      </c>
      <c r="J135" s="52" t="s">
        <v>192</v>
      </c>
      <c r="K135" s="52">
        <v>1.0</v>
      </c>
      <c r="L135" s="52" t="s">
        <v>196</v>
      </c>
      <c r="M135" s="52">
        <v>6.0</v>
      </c>
      <c r="N135" s="52" t="s">
        <v>153</v>
      </c>
      <c r="O135" s="52" t="s">
        <v>130</v>
      </c>
      <c r="P135" s="52" t="s">
        <v>134</v>
      </c>
      <c r="Q135" s="52" t="s">
        <v>111</v>
      </c>
      <c r="R135" s="52" t="s">
        <v>117</v>
      </c>
      <c r="S135" s="52" t="s">
        <v>111</v>
      </c>
      <c r="T135" s="65" t="s">
        <v>27</v>
      </c>
      <c r="U135" s="32">
        <v>1.0</v>
      </c>
      <c r="V135" s="32">
        <v>1.0</v>
      </c>
      <c r="W135" s="32">
        <v>1.0</v>
      </c>
      <c r="X135" s="32">
        <v>1.0</v>
      </c>
      <c r="Y135" s="32">
        <v>1.0</v>
      </c>
      <c r="Z135" s="32">
        <v>1.0</v>
      </c>
      <c r="AA135" s="32">
        <v>6.0</v>
      </c>
      <c r="AB135" s="32">
        <v>0.0</v>
      </c>
      <c r="AC135" s="103" t="str">
        <f>IFERROR(__xludf.DUMMYFUNCTION("if($C135="""","""",if(join("" - "",{iferror(filter('Student Groupings'!$A:$A,'Student Groupings'!$B:$B=$C135,'Student Groupings'!$H:$H=""Can't be Together""),"""");iferror(filter('Student Groupings'!$A:$A,'Student Groupings'!$E:$E=$C135,'Student Groupings"&amp;"'!$H:$H=""Can't be Together""),"""")})="" - "","""",join("" - "",{iferror(filter('Student Groupings'!$A:$A,'Student Groupings'!$B:$B=$C135,'Student Groupings'!$H:$H=""Can't be Together""),"""");iferror(filter('Student Groupings'!$A:$A,'Student Groupings'!"&amp;"$E:$E=$C135,'Student Groupings'!$H:$H=""Can't be Together""),"""")})))"),"")</f>
        <v/>
      </c>
      <c r="AD135" s="103" t="str">
        <f>IFERROR(__xludf.DUMMYFUNCTION("if($C135="""","""",if(join("" - "",{iferror(filter('Student Groupings'!$A:$A,'Student Groupings'!$B:$B=$C135,'Student Groupings'!$H:$H=""Must be Together""),"""");iferror(filter('Student Groupings'!$A:$A,'Student Groupings'!$E:$E=$C135,'Student Groupings'"&amp;"!$H:$H=""Must be Together""),"""")})="" - "","""",join("" - "",{iferror(filter('Student Groupings'!$A:$A,'Student Groupings'!$B:$B=$C135,'Student Groupings'!$H:$H=""Must be Together""),"""");iferror(filter('Student Groupings'!$A:$A,'Student Groupings'!$E:"&amp;"$E=$C135,'Student Groupings'!$H:$H=""Must be Together""),"""")})))"),"")</f>
        <v/>
      </c>
      <c r="AE135" s="104"/>
      <c r="AF135" s="104"/>
      <c r="AG135" s="104"/>
      <c r="AH135" s="104"/>
    </row>
    <row r="136">
      <c r="A136" s="101">
        <v>6.0</v>
      </c>
      <c r="B136" s="101">
        <v>31130.0</v>
      </c>
      <c r="C136" s="102" t="s">
        <v>409</v>
      </c>
      <c r="D136" s="52" t="s">
        <v>171</v>
      </c>
      <c r="E136" s="52">
        <v>2.0</v>
      </c>
      <c r="F136" s="52" t="s">
        <v>158</v>
      </c>
      <c r="G136" s="52">
        <v>5.0</v>
      </c>
      <c r="H136" s="52" t="s">
        <v>181</v>
      </c>
      <c r="I136" s="52">
        <v>1.0</v>
      </c>
      <c r="J136" s="52" t="s">
        <v>192</v>
      </c>
      <c r="K136" s="52">
        <v>4.0</v>
      </c>
      <c r="L136" s="52" t="s">
        <v>196</v>
      </c>
      <c r="M136" s="52">
        <v>3.0</v>
      </c>
      <c r="N136" s="52" t="s">
        <v>153</v>
      </c>
      <c r="O136" s="52" t="s">
        <v>120</v>
      </c>
      <c r="P136" s="52" t="s">
        <v>117</v>
      </c>
      <c r="Q136" s="52" t="s">
        <v>109</v>
      </c>
      <c r="R136" s="52" t="s">
        <v>134</v>
      </c>
      <c r="S136" s="52" t="s">
        <v>109</v>
      </c>
      <c r="T136" s="65" t="s">
        <v>8</v>
      </c>
      <c r="U136" s="32">
        <v>1.0</v>
      </c>
      <c r="V136" s="32">
        <v>1.0</v>
      </c>
      <c r="W136" s="32">
        <v>1.0</v>
      </c>
      <c r="X136" s="32">
        <v>1.0</v>
      </c>
      <c r="Y136" s="32">
        <v>1.0</v>
      </c>
      <c r="Z136" s="32">
        <v>1.0</v>
      </c>
      <c r="AA136" s="32">
        <v>6.0</v>
      </c>
      <c r="AB136" s="32">
        <v>0.0</v>
      </c>
      <c r="AC136" s="103" t="str">
        <f>IFERROR(__xludf.DUMMYFUNCTION("if($C136="""","""",if(join("" - "",{iferror(filter('Student Groupings'!$A:$A,'Student Groupings'!$B:$B=$C136,'Student Groupings'!$H:$H=""Can't be Together""),"""");iferror(filter('Student Groupings'!$A:$A,'Student Groupings'!$E:$E=$C136,'Student Groupings"&amp;"'!$H:$H=""Can't be Together""),"""")})="" - "","""",join("" - "",{iferror(filter('Student Groupings'!$A:$A,'Student Groupings'!$B:$B=$C136,'Student Groupings'!$H:$H=""Can't be Together""),"""");iferror(filter('Student Groupings'!$A:$A,'Student Groupings'!"&amp;"$E:$E=$C136,'Student Groupings'!$H:$H=""Can't be Together""),"""")})))"),"")</f>
        <v/>
      </c>
      <c r="AD136" s="103" t="str">
        <f>IFERROR(__xludf.DUMMYFUNCTION("if($C136="""","""",if(join("" - "",{iferror(filter('Student Groupings'!$A:$A,'Student Groupings'!$B:$B=$C136,'Student Groupings'!$H:$H=""Must be Together""),"""");iferror(filter('Student Groupings'!$A:$A,'Student Groupings'!$E:$E=$C136,'Student Groupings'"&amp;"!$H:$H=""Must be Together""),"""")})="" - "","""",join("" - "",{iferror(filter('Student Groupings'!$A:$A,'Student Groupings'!$B:$B=$C136,'Student Groupings'!$H:$H=""Must be Together""),"""");iferror(filter('Student Groupings'!$A:$A,'Student Groupings'!$E:"&amp;"$E=$C136,'Student Groupings'!$H:$H=""Must be Together""),"""")})))"),"")</f>
        <v/>
      </c>
      <c r="AE136" s="105"/>
      <c r="AF136" s="105">
        <v>1.0</v>
      </c>
      <c r="AG136" s="104"/>
      <c r="AH136" s="104"/>
    </row>
    <row r="137">
      <c r="A137" s="101">
        <v>6.0</v>
      </c>
      <c r="B137" s="101">
        <v>31132.0</v>
      </c>
      <c r="C137" s="102" t="s">
        <v>410</v>
      </c>
      <c r="D137" s="52" t="s">
        <v>171</v>
      </c>
      <c r="E137" s="52">
        <v>6.0</v>
      </c>
      <c r="F137" s="52" t="s">
        <v>158</v>
      </c>
      <c r="G137" s="52">
        <v>4.0</v>
      </c>
      <c r="H137" s="52" t="s">
        <v>182</v>
      </c>
      <c r="I137" s="52">
        <v>3.0</v>
      </c>
      <c r="J137" s="52" t="s">
        <v>192</v>
      </c>
      <c r="K137" s="52">
        <v>5.0</v>
      </c>
      <c r="L137" s="52" t="s">
        <v>196</v>
      </c>
      <c r="M137" s="52">
        <v>1.0</v>
      </c>
      <c r="N137" s="52" t="s">
        <v>153</v>
      </c>
      <c r="O137" s="52" t="s">
        <v>125</v>
      </c>
      <c r="P137" s="52" t="s">
        <v>117</v>
      </c>
      <c r="Q137" s="52" t="s">
        <v>119</v>
      </c>
      <c r="R137" s="52" t="s">
        <v>134</v>
      </c>
      <c r="S137" s="52" t="s">
        <v>119</v>
      </c>
      <c r="T137" s="65" t="s">
        <v>27</v>
      </c>
      <c r="U137" s="32">
        <v>1.0</v>
      </c>
      <c r="V137" s="32">
        <v>1.0</v>
      </c>
      <c r="W137" s="32">
        <v>1.0</v>
      </c>
      <c r="X137" s="32">
        <v>1.0</v>
      </c>
      <c r="Y137" s="32">
        <v>1.0</v>
      </c>
      <c r="Z137" s="32">
        <v>1.0</v>
      </c>
      <c r="AA137" s="32">
        <v>6.0</v>
      </c>
      <c r="AB137" s="32">
        <v>0.0</v>
      </c>
      <c r="AC137" s="103" t="str">
        <f>IFERROR(__xludf.DUMMYFUNCTION("if($C137="""","""",if(join("" - "",{iferror(filter('Student Groupings'!$A:$A,'Student Groupings'!$B:$B=$C137,'Student Groupings'!$H:$H=""Can't be Together""),"""");iferror(filter('Student Groupings'!$A:$A,'Student Groupings'!$E:$E=$C137,'Student Groupings"&amp;"'!$H:$H=""Can't be Together""),"""")})="" - "","""",join("" - "",{iferror(filter('Student Groupings'!$A:$A,'Student Groupings'!$B:$B=$C137,'Student Groupings'!$H:$H=""Can't be Together""),"""");iferror(filter('Student Groupings'!$A:$A,'Student Groupings'!"&amp;"$E:$E=$C137,'Student Groupings'!$H:$H=""Can't be Together""),"""")})))"),"")</f>
        <v/>
      </c>
      <c r="AD137" s="103" t="str">
        <f>IFERROR(__xludf.DUMMYFUNCTION("if($C137="""","""",if(join("" - "",{iferror(filter('Student Groupings'!$A:$A,'Student Groupings'!$B:$B=$C137,'Student Groupings'!$H:$H=""Must be Together""),"""");iferror(filter('Student Groupings'!$A:$A,'Student Groupings'!$E:$E=$C137,'Student Groupings'"&amp;"!$H:$H=""Must be Together""),"""")})="" - "","""",join("" - "",{iferror(filter('Student Groupings'!$A:$A,'Student Groupings'!$B:$B=$C137,'Student Groupings'!$H:$H=""Must be Together""),"""");iferror(filter('Student Groupings'!$A:$A,'Student Groupings'!$E:"&amp;"$E=$C137,'Student Groupings'!$H:$H=""Must be Together""),"""")})))"),"")</f>
        <v/>
      </c>
      <c r="AE137" s="104"/>
      <c r="AF137" s="104"/>
      <c r="AG137" s="104"/>
      <c r="AH137" s="104"/>
    </row>
    <row r="138">
      <c r="A138" s="101">
        <v>6.0</v>
      </c>
      <c r="B138" s="101">
        <v>30118.0</v>
      </c>
      <c r="C138" s="102" t="s">
        <v>411</v>
      </c>
      <c r="D138" s="52" t="s">
        <v>173</v>
      </c>
      <c r="E138" s="52">
        <v>3.0</v>
      </c>
      <c r="F138" s="52" t="s">
        <v>158</v>
      </c>
      <c r="G138" s="52">
        <v>6.0</v>
      </c>
      <c r="H138" s="52" t="s">
        <v>182</v>
      </c>
      <c r="I138" s="52">
        <v>5.0</v>
      </c>
      <c r="J138" s="52" t="s">
        <v>194</v>
      </c>
      <c r="K138" s="52">
        <v>2.0</v>
      </c>
      <c r="L138" s="52" t="s">
        <v>198</v>
      </c>
      <c r="M138" s="52">
        <v>4.0</v>
      </c>
      <c r="N138" s="52" t="s">
        <v>153</v>
      </c>
      <c r="O138" s="52" t="s">
        <v>108</v>
      </c>
      <c r="P138" s="52" t="s">
        <v>134</v>
      </c>
      <c r="Q138" s="52" t="s">
        <v>129</v>
      </c>
      <c r="R138" s="52" t="s">
        <v>117</v>
      </c>
      <c r="S138" s="52" t="s">
        <v>129</v>
      </c>
      <c r="T138" s="65" t="s">
        <v>27</v>
      </c>
      <c r="U138" s="32">
        <v>1.0</v>
      </c>
      <c r="V138" s="32">
        <v>1.0</v>
      </c>
      <c r="W138" s="32">
        <v>1.0</v>
      </c>
      <c r="X138" s="32">
        <v>1.0</v>
      </c>
      <c r="Y138" s="32">
        <v>1.0</v>
      </c>
      <c r="Z138" s="32">
        <v>1.0</v>
      </c>
      <c r="AA138" s="32">
        <v>6.0</v>
      </c>
      <c r="AB138" s="32">
        <v>0.0</v>
      </c>
      <c r="AC138" s="103" t="str">
        <f>IFERROR(__xludf.DUMMYFUNCTION("if($C138="""","""",if(join("" - "",{iferror(filter('Student Groupings'!$A:$A,'Student Groupings'!$B:$B=$C138,'Student Groupings'!$H:$H=""Can't be Together""),"""");iferror(filter('Student Groupings'!$A:$A,'Student Groupings'!$E:$E=$C138,'Student Groupings"&amp;"'!$H:$H=""Can't be Together""),"""")})="" - "","""",join("" - "",{iferror(filter('Student Groupings'!$A:$A,'Student Groupings'!$B:$B=$C138,'Student Groupings'!$H:$H=""Can't be Together""),"""");iferror(filter('Student Groupings'!$A:$A,'Student Groupings'!"&amp;"$E:$E=$C138,'Student Groupings'!$H:$H=""Can't be Together""),"""")})))"),"")</f>
        <v/>
      </c>
      <c r="AD138" s="103" t="str">
        <f>IFERROR(__xludf.DUMMYFUNCTION("if($C138="""","""",if(join("" - "",{iferror(filter('Student Groupings'!$A:$A,'Student Groupings'!$B:$B=$C138,'Student Groupings'!$H:$H=""Must be Together""),"""");iferror(filter('Student Groupings'!$A:$A,'Student Groupings'!$E:$E=$C138,'Student Groupings'"&amp;"!$H:$H=""Must be Together""),"""")})="" - "","""",join("" - "",{iferror(filter('Student Groupings'!$A:$A,'Student Groupings'!$B:$B=$C138,'Student Groupings'!$H:$H=""Must be Together""),"""");iferror(filter('Student Groupings'!$A:$A,'Student Groupings'!$E:"&amp;"$E=$C138,'Student Groupings'!$H:$H=""Must be Together""),"""")})))"),"")</f>
        <v/>
      </c>
      <c r="AE138" s="104"/>
      <c r="AF138" s="104"/>
      <c r="AG138" s="104"/>
      <c r="AH138" s="104"/>
    </row>
    <row r="139">
      <c r="A139" s="101">
        <v>6.0</v>
      </c>
      <c r="B139" s="101">
        <v>31134.0</v>
      </c>
      <c r="C139" s="102" t="s">
        <v>218</v>
      </c>
      <c r="D139" s="52" t="s">
        <v>171</v>
      </c>
      <c r="E139" s="52">
        <v>2.0</v>
      </c>
      <c r="F139" s="52" t="s">
        <v>159</v>
      </c>
      <c r="G139" s="52">
        <v>5.0</v>
      </c>
      <c r="H139" s="52" t="s">
        <v>182</v>
      </c>
      <c r="I139" s="52">
        <v>6.0</v>
      </c>
      <c r="J139" s="52" t="s">
        <v>192</v>
      </c>
      <c r="K139" s="52">
        <v>4.0</v>
      </c>
      <c r="L139" s="52" t="s">
        <v>196</v>
      </c>
      <c r="M139" s="52">
        <v>3.0</v>
      </c>
      <c r="N139" s="52" t="s">
        <v>153</v>
      </c>
      <c r="O139" s="52" t="s">
        <v>108</v>
      </c>
      <c r="P139" s="52" t="s">
        <v>117</v>
      </c>
      <c r="Q139" s="52" t="s">
        <v>129</v>
      </c>
      <c r="R139" s="52" t="s">
        <v>134</v>
      </c>
      <c r="S139" s="52" t="s">
        <v>129</v>
      </c>
      <c r="T139" s="65" t="s">
        <v>27</v>
      </c>
      <c r="U139" s="32">
        <v>1.0</v>
      </c>
      <c r="V139" s="32">
        <v>1.0</v>
      </c>
      <c r="W139" s="32">
        <v>1.0</v>
      </c>
      <c r="X139" s="32">
        <v>1.0</v>
      </c>
      <c r="Y139" s="32">
        <v>1.0</v>
      </c>
      <c r="Z139" s="32">
        <v>1.0</v>
      </c>
      <c r="AA139" s="32">
        <v>6.0</v>
      </c>
      <c r="AB139" s="32">
        <v>0.0</v>
      </c>
      <c r="AC139" s="103" t="str">
        <f>IFERROR(__xludf.DUMMYFUNCTION("if($C139="""","""",if(join("" - "",{iferror(filter('Student Groupings'!$A:$A,'Student Groupings'!$B:$B=$C139,'Student Groupings'!$H:$H=""Can't be Together""),"""");iferror(filter('Student Groupings'!$A:$A,'Student Groupings'!$E:$E=$C139,'Student Groupings"&amp;"'!$H:$H=""Can't be Together""),"""")})="" - "","""",join("" - "",{iferror(filter('Student Groupings'!$A:$A,'Student Groupings'!$B:$B=$C139,'Student Groupings'!$H:$H=""Can't be Together""),"""");iferror(filter('Student Groupings'!$A:$A,'Student Groupings'!"&amp;"$E:$E=$C139,'Student Groupings'!$H:$H=""Can't be Together""),"""")})))"),"6 - 7 - 8 - 9 - 33")</f>
        <v>6 - 7 - 8 - 9 - 33</v>
      </c>
      <c r="AD139" s="103" t="str">
        <f>IFERROR(__xludf.DUMMYFUNCTION("if($C139="""","""",if(join("" - "",{iferror(filter('Student Groupings'!$A:$A,'Student Groupings'!$B:$B=$C139,'Student Groupings'!$H:$H=""Must be Together""),"""");iferror(filter('Student Groupings'!$A:$A,'Student Groupings'!$E:$E=$C139,'Student Groupings'"&amp;"!$H:$H=""Must be Together""),"""")})="" - "","""",join("" - "",{iferror(filter('Student Groupings'!$A:$A,'Student Groupings'!$B:$B=$C139,'Student Groupings'!$H:$H=""Must be Together""),"""");iferror(filter('Student Groupings'!$A:$A,'Student Groupings'!$E:"&amp;"$E=$C139,'Student Groupings'!$H:$H=""Must be Together""),"""")})))"),"5 - ")</f>
        <v>5 - </v>
      </c>
      <c r="AE139" s="104"/>
      <c r="AF139" s="104"/>
      <c r="AG139" s="105">
        <v>1.0</v>
      </c>
      <c r="AH139" s="105"/>
    </row>
    <row r="140">
      <c r="A140" s="101">
        <v>6.0</v>
      </c>
      <c r="B140" s="101">
        <v>31135.0</v>
      </c>
      <c r="C140" s="102" t="s">
        <v>412</v>
      </c>
      <c r="D140" s="52" t="s">
        <v>171</v>
      </c>
      <c r="E140" s="52">
        <v>6.0</v>
      </c>
      <c r="F140" s="52" t="s">
        <v>158</v>
      </c>
      <c r="G140" s="52">
        <v>4.0</v>
      </c>
      <c r="H140" s="52" t="s">
        <v>182</v>
      </c>
      <c r="I140" s="52">
        <v>3.0</v>
      </c>
      <c r="J140" s="52" t="s">
        <v>192</v>
      </c>
      <c r="K140" s="52">
        <v>5.0</v>
      </c>
      <c r="L140" s="52" t="s">
        <v>196</v>
      </c>
      <c r="M140" s="52">
        <v>1.0</v>
      </c>
      <c r="N140" s="52" t="s">
        <v>153</v>
      </c>
      <c r="O140" s="52" t="s">
        <v>125</v>
      </c>
      <c r="P140" s="52" t="s">
        <v>134</v>
      </c>
      <c r="Q140" s="52" t="s">
        <v>119</v>
      </c>
      <c r="R140" s="52" t="s">
        <v>117</v>
      </c>
      <c r="S140" s="52" t="s">
        <v>119</v>
      </c>
      <c r="T140" s="65" t="s">
        <v>8</v>
      </c>
      <c r="U140" s="32">
        <v>1.0</v>
      </c>
      <c r="V140" s="32">
        <v>1.0</v>
      </c>
      <c r="W140" s="32">
        <v>1.0</v>
      </c>
      <c r="X140" s="32">
        <v>1.0</v>
      </c>
      <c r="Y140" s="32">
        <v>1.0</v>
      </c>
      <c r="Z140" s="32">
        <v>1.0</v>
      </c>
      <c r="AA140" s="32">
        <v>6.0</v>
      </c>
      <c r="AB140" s="32">
        <v>0.0</v>
      </c>
      <c r="AC140" s="103" t="str">
        <f>IFERROR(__xludf.DUMMYFUNCTION("if($C140="""","""",if(join("" - "",{iferror(filter('Student Groupings'!$A:$A,'Student Groupings'!$B:$B=$C140,'Student Groupings'!$H:$H=""Can't be Together""),"""");iferror(filter('Student Groupings'!$A:$A,'Student Groupings'!$E:$E=$C140,'Student Groupings"&amp;"'!$H:$H=""Can't be Together""),"""")})="" - "","""",join("" - "",{iferror(filter('Student Groupings'!$A:$A,'Student Groupings'!$B:$B=$C140,'Student Groupings'!$H:$H=""Can't be Together""),"""");iferror(filter('Student Groupings'!$A:$A,'Student Groupings'!"&amp;"$E:$E=$C140,'Student Groupings'!$H:$H=""Can't be Together""),"""")})))"),"")</f>
        <v/>
      </c>
      <c r="AD140" s="103" t="str">
        <f>IFERROR(__xludf.DUMMYFUNCTION("if($C140="""","""",if(join("" - "",{iferror(filter('Student Groupings'!$A:$A,'Student Groupings'!$B:$B=$C140,'Student Groupings'!$H:$H=""Must be Together""),"""");iferror(filter('Student Groupings'!$A:$A,'Student Groupings'!$E:$E=$C140,'Student Groupings'"&amp;"!$H:$H=""Must be Together""),"""")})="" - "","""",join("" - "",{iferror(filter('Student Groupings'!$A:$A,'Student Groupings'!$B:$B=$C140,'Student Groupings'!$H:$H=""Must be Together""),"""");iferror(filter('Student Groupings'!$A:$A,'Student Groupings'!$E:"&amp;"$E=$C140,'Student Groupings'!$H:$H=""Must be Together""),"""")})))"),"")</f>
        <v/>
      </c>
      <c r="AE140" s="104"/>
      <c r="AF140" s="104"/>
      <c r="AG140" s="104"/>
      <c r="AH140" s="104"/>
    </row>
    <row r="141">
      <c r="A141" s="101">
        <v>6.0</v>
      </c>
      <c r="B141" s="101">
        <v>31174.0</v>
      </c>
      <c r="C141" s="102" t="s">
        <v>413</v>
      </c>
      <c r="D141" s="52" t="s">
        <v>171</v>
      </c>
      <c r="E141" s="52">
        <v>4.0</v>
      </c>
      <c r="F141" s="52" t="s">
        <v>158</v>
      </c>
      <c r="G141" s="52">
        <v>1.0</v>
      </c>
      <c r="H141" s="52" t="s">
        <v>182</v>
      </c>
      <c r="I141" s="52">
        <v>5.0</v>
      </c>
      <c r="J141" s="52" t="s">
        <v>192</v>
      </c>
      <c r="K141" s="52">
        <v>3.0</v>
      </c>
      <c r="L141" s="52" t="s">
        <v>197</v>
      </c>
      <c r="M141" s="52">
        <v>2.0</v>
      </c>
      <c r="N141" s="52" t="s">
        <v>153</v>
      </c>
      <c r="O141" s="52" t="s">
        <v>120</v>
      </c>
      <c r="P141" s="52" t="s">
        <v>117</v>
      </c>
      <c r="Q141" s="52" t="s">
        <v>109</v>
      </c>
      <c r="R141" s="52" t="s">
        <v>134</v>
      </c>
      <c r="S141" s="52" t="s">
        <v>109</v>
      </c>
      <c r="T141" s="65" t="s">
        <v>8</v>
      </c>
      <c r="U141" s="32">
        <v>1.0</v>
      </c>
      <c r="V141" s="32">
        <v>1.0</v>
      </c>
      <c r="W141" s="32">
        <v>1.0</v>
      </c>
      <c r="X141" s="32">
        <v>1.0</v>
      </c>
      <c r="Y141" s="32">
        <v>1.0</v>
      </c>
      <c r="Z141" s="32">
        <v>1.0</v>
      </c>
      <c r="AA141" s="32">
        <v>6.0</v>
      </c>
      <c r="AB141" s="32">
        <v>0.0</v>
      </c>
      <c r="AC141" s="103" t="str">
        <f>IFERROR(__xludf.DUMMYFUNCTION("if($C141="""","""",if(join("" - "",{iferror(filter('Student Groupings'!$A:$A,'Student Groupings'!$B:$B=$C141,'Student Groupings'!$H:$H=""Can't be Together""),"""");iferror(filter('Student Groupings'!$A:$A,'Student Groupings'!$E:$E=$C141,'Student Groupings"&amp;"'!$H:$H=""Can't be Together""),"""")})="" - "","""",join("" - "",{iferror(filter('Student Groupings'!$A:$A,'Student Groupings'!$B:$B=$C141,'Student Groupings'!$H:$H=""Can't be Together""),"""");iferror(filter('Student Groupings'!$A:$A,'Student Groupings'!"&amp;"$E:$E=$C141,'Student Groupings'!$H:$H=""Can't be Together""),"""")})))"),"")</f>
        <v/>
      </c>
      <c r="AD141" s="103" t="str">
        <f>IFERROR(__xludf.DUMMYFUNCTION("if($C141="""","""",if(join("" - "",{iferror(filter('Student Groupings'!$A:$A,'Student Groupings'!$B:$B=$C141,'Student Groupings'!$H:$H=""Must be Together""),"""");iferror(filter('Student Groupings'!$A:$A,'Student Groupings'!$E:$E=$C141,'Student Groupings'"&amp;"!$H:$H=""Must be Together""),"""")})="" - "","""",join("" - "",{iferror(filter('Student Groupings'!$A:$A,'Student Groupings'!$B:$B=$C141,'Student Groupings'!$H:$H=""Must be Together""),"""");iferror(filter('Student Groupings'!$A:$A,'Student Groupings'!$E:"&amp;"$E=$C141,'Student Groupings'!$H:$H=""Must be Together""),"""")})))"),"")</f>
        <v/>
      </c>
      <c r="AE141" s="105">
        <v>1.0</v>
      </c>
      <c r="AF141" s="104"/>
      <c r="AG141" s="104"/>
      <c r="AH141" s="104"/>
    </row>
    <row r="142">
      <c r="A142" s="101">
        <v>6.0</v>
      </c>
      <c r="B142" s="101">
        <v>31136.0</v>
      </c>
      <c r="C142" s="102" t="s">
        <v>414</v>
      </c>
      <c r="D142" s="52" t="s">
        <v>171</v>
      </c>
      <c r="E142" s="52">
        <v>5.0</v>
      </c>
      <c r="F142" s="52" t="s">
        <v>158</v>
      </c>
      <c r="G142" s="52">
        <v>3.0</v>
      </c>
      <c r="H142" s="52" t="s">
        <v>182</v>
      </c>
      <c r="I142" s="52">
        <v>2.0</v>
      </c>
      <c r="J142" s="52" t="s">
        <v>192</v>
      </c>
      <c r="K142" s="52">
        <v>1.0</v>
      </c>
      <c r="L142" s="52" t="s">
        <v>196</v>
      </c>
      <c r="M142" s="52">
        <v>6.0</v>
      </c>
      <c r="N142" s="52" t="s">
        <v>153</v>
      </c>
      <c r="O142" s="52" t="s">
        <v>130</v>
      </c>
      <c r="P142" s="52" t="s">
        <v>134</v>
      </c>
      <c r="Q142" s="52" t="s">
        <v>111</v>
      </c>
      <c r="R142" s="52" t="s">
        <v>117</v>
      </c>
      <c r="S142" s="52" t="s">
        <v>111</v>
      </c>
      <c r="T142" s="65" t="s">
        <v>27</v>
      </c>
      <c r="U142" s="32">
        <v>1.0</v>
      </c>
      <c r="V142" s="32">
        <v>1.0</v>
      </c>
      <c r="W142" s="32">
        <v>1.0</v>
      </c>
      <c r="X142" s="32">
        <v>1.0</v>
      </c>
      <c r="Y142" s="32">
        <v>1.0</v>
      </c>
      <c r="Z142" s="32">
        <v>1.0</v>
      </c>
      <c r="AA142" s="32">
        <v>6.0</v>
      </c>
      <c r="AB142" s="32">
        <v>0.0</v>
      </c>
      <c r="AC142" s="103" t="str">
        <f>IFERROR(__xludf.DUMMYFUNCTION("if($C142="""","""",if(join("" - "",{iferror(filter('Student Groupings'!$A:$A,'Student Groupings'!$B:$B=$C142,'Student Groupings'!$H:$H=""Can't be Together""),"""");iferror(filter('Student Groupings'!$A:$A,'Student Groupings'!$E:$E=$C142,'Student Groupings"&amp;"'!$H:$H=""Can't be Together""),"""")})="" - "","""",join("" - "",{iferror(filter('Student Groupings'!$A:$A,'Student Groupings'!$B:$B=$C142,'Student Groupings'!$H:$H=""Can't be Together""),"""");iferror(filter('Student Groupings'!$A:$A,'Student Groupings'!"&amp;"$E:$E=$C142,'Student Groupings'!$H:$H=""Can't be Together""),"""")})))"),"")</f>
        <v/>
      </c>
      <c r="AD142" s="103" t="str">
        <f>IFERROR(__xludf.DUMMYFUNCTION("if($C142="""","""",if(join("" - "",{iferror(filter('Student Groupings'!$A:$A,'Student Groupings'!$B:$B=$C142,'Student Groupings'!$H:$H=""Must be Together""),"""");iferror(filter('Student Groupings'!$A:$A,'Student Groupings'!$E:$E=$C142,'Student Groupings'"&amp;"!$H:$H=""Must be Together""),"""")})="" - "","""",join("" - "",{iferror(filter('Student Groupings'!$A:$A,'Student Groupings'!$B:$B=$C142,'Student Groupings'!$H:$H=""Must be Together""),"""");iferror(filter('Student Groupings'!$A:$A,'Student Groupings'!$E:"&amp;"$E=$C142,'Student Groupings'!$H:$H=""Must be Together""),"""")})))"),"")</f>
        <v/>
      </c>
      <c r="AE142" s="104"/>
      <c r="AF142" s="104"/>
      <c r="AG142" s="104"/>
      <c r="AH142" s="104"/>
    </row>
    <row r="143">
      <c r="A143" s="101">
        <v>6.0</v>
      </c>
      <c r="B143" s="101">
        <v>30157.0</v>
      </c>
      <c r="C143" s="102" t="s">
        <v>238</v>
      </c>
      <c r="D143" s="52" t="s">
        <v>171</v>
      </c>
      <c r="E143" s="52">
        <v>3.0</v>
      </c>
      <c r="F143" s="52" t="s">
        <v>158</v>
      </c>
      <c r="G143" s="52">
        <v>5.0</v>
      </c>
      <c r="H143" s="52" t="s">
        <v>182</v>
      </c>
      <c r="I143" s="52">
        <v>1.0</v>
      </c>
      <c r="J143" s="52" t="s">
        <v>192</v>
      </c>
      <c r="K143" s="52">
        <v>2.0</v>
      </c>
      <c r="L143" s="52" t="s">
        <v>196</v>
      </c>
      <c r="M143" s="52">
        <v>4.0</v>
      </c>
      <c r="N143" s="52" t="s">
        <v>153</v>
      </c>
      <c r="O143" s="52" t="s">
        <v>109</v>
      </c>
      <c r="P143" s="52" t="s">
        <v>143</v>
      </c>
      <c r="Q143" s="52" t="s">
        <v>120</v>
      </c>
      <c r="R143" s="52" t="s">
        <v>143</v>
      </c>
      <c r="S143" s="52" t="s">
        <v>120</v>
      </c>
      <c r="T143" s="65" t="s">
        <v>143</v>
      </c>
      <c r="U143" s="32">
        <v>1.0</v>
      </c>
      <c r="V143" s="32">
        <v>1.0</v>
      </c>
      <c r="W143" s="32">
        <v>1.0</v>
      </c>
      <c r="X143" s="32">
        <v>1.0</v>
      </c>
      <c r="Y143" s="32">
        <v>1.0</v>
      </c>
      <c r="Z143" s="32">
        <v>1.0</v>
      </c>
      <c r="AA143" s="32">
        <v>6.0</v>
      </c>
      <c r="AB143" s="32">
        <v>0.0</v>
      </c>
      <c r="AC143" s="103" t="str">
        <f>IFERROR(__xludf.DUMMYFUNCTION("if($C143="""","""",if(join("" - "",{iferror(filter('Student Groupings'!$A:$A,'Student Groupings'!$B:$B=$C143,'Student Groupings'!$H:$H=""Can't be Together""),"""");iferror(filter('Student Groupings'!$A:$A,'Student Groupings'!$E:$E=$C143,'Student Groupings"&amp;"'!$H:$H=""Can't be Together""),"""")})="" - "","""",join("" - "",{iferror(filter('Student Groupings'!$A:$A,'Student Groupings'!$B:$B=$C143,'Student Groupings'!$H:$H=""Can't be Together""),"""");iferror(filter('Student Groupings'!$A:$A,'Student Groupings'!"&amp;"$E:$E=$C143,'Student Groupings'!$H:$H=""Can't be Together""),"""")})))")," - 25")</f>
        <v> - 25</v>
      </c>
      <c r="AD143" s="103" t="str">
        <f>IFERROR(__xludf.DUMMYFUNCTION("if($C143="""","""",if(join("" - "",{iferror(filter('Student Groupings'!$A:$A,'Student Groupings'!$B:$B=$C143,'Student Groupings'!$H:$H=""Must be Together""),"""");iferror(filter('Student Groupings'!$A:$A,'Student Groupings'!$E:$E=$C143,'Student Groupings'"&amp;"!$H:$H=""Must be Together""),"""")})="" - "","""",join("" - "",{iferror(filter('Student Groupings'!$A:$A,'Student Groupings'!$B:$B=$C143,'Student Groupings'!$H:$H=""Must be Together""),"""");iferror(filter('Student Groupings'!$A:$A,'Student Groupings'!$E:"&amp;"$E=$C143,'Student Groupings'!$H:$H=""Must be Together""),"""")})))"),"")</f>
        <v/>
      </c>
      <c r="AE143" s="104"/>
      <c r="AF143" s="104"/>
      <c r="AG143" s="104"/>
      <c r="AH143" s="104"/>
    </row>
    <row r="144">
      <c r="A144" s="101">
        <v>6.0</v>
      </c>
      <c r="B144" s="101">
        <v>31138.0</v>
      </c>
      <c r="C144" s="102" t="s">
        <v>415</v>
      </c>
      <c r="D144" s="52" t="s">
        <v>171</v>
      </c>
      <c r="E144" s="52">
        <v>3.0</v>
      </c>
      <c r="F144" s="52" t="s">
        <v>158</v>
      </c>
      <c r="G144" s="52">
        <v>5.0</v>
      </c>
      <c r="H144" s="52" t="s">
        <v>182</v>
      </c>
      <c r="I144" s="52">
        <v>1.0</v>
      </c>
      <c r="J144" s="52" t="s">
        <v>192</v>
      </c>
      <c r="K144" s="52">
        <v>2.0</v>
      </c>
      <c r="L144" s="52" t="s">
        <v>196</v>
      </c>
      <c r="M144" s="52">
        <v>4.0</v>
      </c>
      <c r="N144" s="52" t="s">
        <v>153</v>
      </c>
      <c r="O144" s="52" t="s">
        <v>120</v>
      </c>
      <c r="P144" s="52" t="s">
        <v>134</v>
      </c>
      <c r="Q144" s="52" t="s">
        <v>109</v>
      </c>
      <c r="R144" s="52" t="s">
        <v>117</v>
      </c>
      <c r="S144" s="52" t="s">
        <v>109</v>
      </c>
      <c r="T144" s="65" t="s">
        <v>8</v>
      </c>
      <c r="U144" s="32">
        <v>1.0</v>
      </c>
      <c r="V144" s="32">
        <v>1.0</v>
      </c>
      <c r="W144" s="32">
        <v>1.0</v>
      </c>
      <c r="X144" s="32">
        <v>1.0</v>
      </c>
      <c r="Y144" s="32">
        <v>1.0</v>
      </c>
      <c r="Z144" s="32">
        <v>1.0</v>
      </c>
      <c r="AA144" s="32">
        <v>6.0</v>
      </c>
      <c r="AB144" s="32">
        <v>0.0</v>
      </c>
      <c r="AC144" s="103" t="str">
        <f>IFERROR(__xludf.DUMMYFUNCTION("if($C144="""","""",if(join("" - "",{iferror(filter('Student Groupings'!$A:$A,'Student Groupings'!$B:$B=$C144,'Student Groupings'!$H:$H=""Can't be Together""),"""");iferror(filter('Student Groupings'!$A:$A,'Student Groupings'!$E:$E=$C144,'Student Groupings"&amp;"'!$H:$H=""Can't be Together""),"""")})="" - "","""",join("" - "",{iferror(filter('Student Groupings'!$A:$A,'Student Groupings'!$B:$B=$C144,'Student Groupings'!$H:$H=""Can't be Together""),"""");iferror(filter('Student Groupings'!$A:$A,'Student Groupings'!"&amp;"$E:$E=$C144,'Student Groupings'!$H:$H=""Can't be Together""),"""")})))"),"")</f>
        <v/>
      </c>
      <c r="AD144" s="103" t="str">
        <f>IFERROR(__xludf.DUMMYFUNCTION("if($C144="""","""",if(join("" - "",{iferror(filter('Student Groupings'!$A:$A,'Student Groupings'!$B:$B=$C144,'Student Groupings'!$H:$H=""Must be Together""),"""");iferror(filter('Student Groupings'!$A:$A,'Student Groupings'!$E:$E=$C144,'Student Groupings'"&amp;"!$H:$H=""Must be Together""),"""")})="" - "","""",join("" - "",{iferror(filter('Student Groupings'!$A:$A,'Student Groupings'!$B:$B=$C144,'Student Groupings'!$H:$H=""Must be Together""),"""");iferror(filter('Student Groupings'!$A:$A,'Student Groupings'!$E:"&amp;"$E=$C144,'Student Groupings'!$H:$H=""Must be Together""),"""")})))"),"")</f>
        <v/>
      </c>
      <c r="AE144" s="104"/>
      <c r="AF144" s="104"/>
      <c r="AG144" s="104"/>
      <c r="AH144" s="104"/>
    </row>
    <row r="145">
      <c r="A145" s="101">
        <v>6.0</v>
      </c>
      <c r="B145" s="101">
        <v>31137.0</v>
      </c>
      <c r="C145" s="102" t="s">
        <v>211</v>
      </c>
      <c r="D145" s="52" t="s">
        <v>171</v>
      </c>
      <c r="E145" s="52">
        <v>2.0</v>
      </c>
      <c r="F145" s="52" t="s">
        <v>158</v>
      </c>
      <c r="G145" s="52">
        <v>1.0</v>
      </c>
      <c r="H145" s="52" t="s">
        <v>182</v>
      </c>
      <c r="I145" s="52">
        <v>5.0</v>
      </c>
      <c r="J145" s="52" t="s">
        <v>192</v>
      </c>
      <c r="K145" s="52">
        <v>4.0</v>
      </c>
      <c r="L145" s="52" t="s">
        <v>196</v>
      </c>
      <c r="M145" s="52">
        <v>3.0</v>
      </c>
      <c r="N145" s="52" t="s">
        <v>153</v>
      </c>
      <c r="O145" s="52" t="s">
        <v>109</v>
      </c>
      <c r="P145" s="52" t="s">
        <v>143</v>
      </c>
      <c r="Q145" s="52" t="s">
        <v>120</v>
      </c>
      <c r="R145" s="52" t="s">
        <v>143</v>
      </c>
      <c r="S145" s="52" t="s">
        <v>120</v>
      </c>
      <c r="T145" s="65" t="s">
        <v>143</v>
      </c>
      <c r="U145" s="32">
        <v>1.0</v>
      </c>
      <c r="V145" s="32">
        <v>1.0</v>
      </c>
      <c r="W145" s="32">
        <v>1.0</v>
      </c>
      <c r="X145" s="32">
        <v>1.0</v>
      </c>
      <c r="Y145" s="32">
        <v>1.0</v>
      </c>
      <c r="Z145" s="32">
        <v>1.0</v>
      </c>
      <c r="AA145" s="32">
        <v>6.0</v>
      </c>
      <c r="AB145" s="32">
        <v>0.0</v>
      </c>
      <c r="AC145" s="103" t="str">
        <f>IFERROR(__xludf.DUMMYFUNCTION("if($C145="""","""",if(join("" - "",{iferror(filter('Student Groupings'!$A:$A,'Student Groupings'!$B:$B=$C145,'Student Groupings'!$H:$H=""Can't be Together""),"""");iferror(filter('Student Groupings'!$A:$A,'Student Groupings'!$E:$E=$C145,'Student Groupings"&amp;"'!$H:$H=""Can't be Together""),"""")})="" - "","""",join("" - "",{iferror(filter('Student Groupings'!$A:$A,'Student Groupings'!$B:$B=$C145,'Student Groupings'!$H:$H=""Can't be Together""),"""");iferror(filter('Student Groupings'!$A:$A,'Student Groupings'!"&amp;"$E:$E=$C145,'Student Groupings'!$H:$H=""Can't be Together""),"""")})))")," - 1")</f>
        <v> - 1</v>
      </c>
      <c r="AD145" s="103" t="str">
        <f>IFERROR(__xludf.DUMMYFUNCTION("if($C145="""","""",if(join("" - "",{iferror(filter('Student Groupings'!$A:$A,'Student Groupings'!$B:$B=$C145,'Student Groupings'!$H:$H=""Must be Together""),"""");iferror(filter('Student Groupings'!$A:$A,'Student Groupings'!$E:$E=$C145,'Student Groupings'"&amp;"!$H:$H=""Must be Together""),"""")})="" - "","""",join("" - "",{iferror(filter('Student Groupings'!$A:$A,'Student Groupings'!$B:$B=$C145,'Student Groupings'!$H:$H=""Must be Together""),"""");iferror(filter('Student Groupings'!$A:$A,'Student Groupings'!$E:"&amp;"$E=$C145,'Student Groupings'!$H:$H=""Must be Together""),"""")})))"),"")</f>
        <v/>
      </c>
      <c r="AE145" s="104"/>
      <c r="AF145" s="104"/>
      <c r="AG145" s="104"/>
      <c r="AH145" s="104"/>
    </row>
    <row r="146">
      <c r="A146" s="101">
        <v>7.0</v>
      </c>
      <c r="B146" s="101">
        <v>30001.0</v>
      </c>
      <c r="C146" s="102" t="s">
        <v>416</v>
      </c>
      <c r="D146" s="52" t="s">
        <v>175</v>
      </c>
      <c r="E146" s="52">
        <v>6.0</v>
      </c>
      <c r="F146" s="52" t="s">
        <v>163</v>
      </c>
      <c r="G146" s="52">
        <v>5.0</v>
      </c>
      <c r="H146" s="52" t="s">
        <v>184</v>
      </c>
      <c r="I146" s="52">
        <v>2.0</v>
      </c>
      <c r="J146" s="52" t="s">
        <v>195</v>
      </c>
      <c r="K146" s="52">
        <v>1.0</v>
      </c>
      <c r="L146" s="52" t="s">
        <v>200</v>
      </c>
      <c r="M146" s="52">
        <v>3.0</v>
      </c>
      <c r="N146" s="52" t="s">
        <v>150</v>
      </c>
      <c r="O146" s="52" t="s">
        <v>111</v>
      </c>
      <c r="P146" s="52" t="s">
        <v>140</v>
      </c>
      <c r="Q146" s="52" t="s">
        <v>130</v>
      </c>
      <c r="R146" s="52" t="s">
        <v>140</v>
      </c>
      <c r="S146" s="52" t="s">
        <v>130</v>
      </c>
      <c r="T146" s="65" t="s">
        <v>30</v>
      </c>
      <c r="U146" s="32">
        <v>1.0</v>
      </c>
      <c r="V146" s="32">
        <v>1.0</v>
      </c>
      <c r="W146" s="32">
        <v>1.0</v>
      </c>
      <c r="X146" s="32">
        <v>1.0</v>
      </c>
      <c r="Y146" s="32">
        <v>1.0</v>
      </c>
      <c r="Z146" s="32">
        <v>1.0</v>
      </c>
      <c r="AA146" s="32">
        <v>6.0</v>
      </c>
      <c r="AB146" s="32">
        <v>0.0</v>
      </c>
      <c r="AC146" s="103" t="str">
        <f>IFERROR(__xludf.DUMMYFUNCTION("if($C146="""","""",if(join("" - "",{iferror(filter('Student Groupings'!$A:$A,'Student Groupings'!$B:$B=$C146,'Student Groupings'!$H:$H=""Can't be Together""),"""");iferror(filter('Student Groupings'!$A:$A,'Student Groupings'!$E:$E=$C146,'Student Groupings"&amp;"'!$H:$H=""Can't be Together""),"""")})="" - "","""",join("" - "",{iferror(filter('Student Groupings'!$A:$A,'Student Groupings'!$B:$B=$C146,'Student Groupings'!$H:$H=""Can't be Together""),"""");iferror(filter('Student Groupings'!$A:$A,'Student Groupings'!"&amp;"$E:$E=$C146,'Student Groupings'!$H:$H=""Can't be Together""),"""")})))"),"")</f>
        <v/>
      </c>
      <c r="AD146" s="103" t="str">
        <f>IFERROR(__xludf.DUMMYFUNCTION("if($C146="""","""",if(join("" - "",{iferror(filter('Student Groupings'!$A:$A,'Student Groupings'!$B:$B=$C146,'Student Groupings'!$H:$H=""Must be Together""),"""");iferror(filter('Student Groupings'!$A:$A,'Student Groupings'!$E:$E=$C146,'Student Groupings'"&amp;"!$H:$H=""Must be Together""),"""")})="" - "","""",join("" - "",{iferror(filter('Student Groupings'!$A:$A,'Student Groupings'!$B:$B=$C146,'Student Groupings'!$H:$H=""Must be Together""),"""");iferror(filter('Student Groupings'!$A:$A,'Student Groupings'!$E:"&amp;"$E=$C146,'Student Groupings'!$H:$H=""Must be Together""),"""")})))"),"")</f>
        <v/>
      </c>
      <c r="AE146" s="104"/>
      <c r="AF146" s="104"/>
      <c r="AG146" s="104"/>
      <c r="AH146" s="104"/>
    </row>
    <row r="147">
      <c r="A147" s="101">
        <v>7.0</v>
      </c>
      <c r="B147" s="101">
        <v>30002.0</v>
      </c>
      <c r="C147" s="102" t="s">
        <v>417</v>
      </c>
      <c r="D147" s="52" t="s">
        <v>179</v>
      </c>
      <c r="E147" s="52">
        <v>6.0</v>
      </c>
      <c r="F147" s="52" t="s">
        <v>163</v>
      </c>
      <c r="G147" s="52">
        <v>4.0</v>
      </c>
      <c r="H147" s="52" t="s">
        <v>184</v>
      </c>
      <c r="I147" s="52">
        <v>5.0</v>
      </c>
      <c r="J147" s="52" t="s">
        <v>195</v>
      </c>
      <c r="K147" s="52">
        <v>3.0</v>
      </c>
      <c r="L147" s="52" t="s">
        <v>200</v>
      </c>
      <c r="M147" s="52">
        <v>1.0</v>
      </c>
      <c r="N147" s="52" t="s">
        <v>150</v>
      </c>
      <c r="O147" s="52" t="s">
        <v>119</v>
      </c>
      <c r="P147" s="52" t="s">
        <v>133</v>
      </c>
      <c r="Q147" s="52" t="s">
        <v>125</v>
      </c>
      <c r="R147" s="52" t="s">
        <v>116</v>
      </c>
      <c r="S147" s="52" t="s">
        <v>125</v>
      </c>
      <c r="T147" s="65" t="s">
        <v>27</v>
      </c>
      <c r="U147" s="32">
        <v>1.0</v>
      </c>
      <c r="V147" s="32">
        <v>1.0</v>
      </c>
      <c r="W147" s="32">
        <v>1.0</v>
      </c>
      <c r="X147" s="32">
        <v>1.0</v>
      </c>
      <c r="Y147" s="32">
        <v>1.0</v>
      </c>
      <c r="Z147" s="32">
        <v>1.0</v>
      </c>
      <c r="AA147" s="32">
        <v>6.0</v>
      </c>
      <c r="AB147" s="32">
        <v>0.0</v>
      </c>
      <c r="AC147" s="103" t="str">
        <f>IFERROR(__xludf.DUMMYFUNCTION("if($C147="""","""",if(join("" - "",{iferror(filter('Student Groupings'!$A:$A,'Student Groupings'!$B:$B=$C147,'Student Groupings'!$H:$H=""Can't be Together""),"""");iferror(filter('Student Groupings'!$A:$A,'Student Groupings'!$E:$E=$C147,'Student Groupings"&amp;"'!$H:$H=""Can't be Together""),"""")})="" - "","""",join("" - "",{iferror(filter('Student Groupings'!$A:$A,'Student Groupings'!$B:$B=$C147,'Student Groupings'!$H:$H=""Can't be Together""),"""");iferror(filter('Student Groupings'!$A:$A,'Student Groupings'!"&amp;"$E:$E=$C147,'Student Groupings'!$H:$H=""Can't be Together""),"""")})))"),"")</f>
        <v/>
      </c>
      <c r="AD147" s="103" t="str">
        <f>IFERROR(__xludf.DUMMYFUNCTION("if($C147="""","""",if(join("" - "",{iferror(filter('Student Groupings'!$A:$A,'Student Groupings'!$B:$B=$C147,'Student Groupings'!$H:$H=""Must be Together""),"""");iferror(filter('Student Groupings'!$A:$A,'Student Groupings'!$E:$E=$C147,'Student Groupings'"&amp;"!$H:$H=""Must be Together""),"""")})="" - "","""",join("" - "",{iferror(filter('Student Groupings'!$A:$A,'Student Groupings'!$B:$B=$C147,'Student Groupings'!$H:$H=""Must be Together""),"""");iferror(filter('Student Groupings'!$A:$A,'Student Groupings'!$E:"&amp;"$E=$C147,'Student Groupings'!$H:$H=""Must be Together""),"""")})))"),"")</f>
        <v/>
      </c>
      <c r="AE147" s="104"/>
      <c r="AF147" s="104"/>
      <c r="AG147" s="104"/>
      <c r="AH147" s="104"/>
    </row>
    <row r="148">
      <c r="A148" s="101">
        <v>7.0</v>
      </c>
      <c r="B148" s="101">
        <v>30003.0</v>
      </c>
      <c r="C148" s="102" t="s">
        <v>418</v>
      </c>
      <c r="D148" s="52" t="s">
        <v>175</v>
      </c>
      <c r="E148" s="52">
        <v>3.0</v>
      </c>
      <c r="F148" s="52" t="s">
        <v>164</v>
      </c>
      <c r="G148" s="52">
        <v>4.0</v>
      </c>
      <c r="H148" s="52" t="s">
        <v>188</v>
      </c>
      <c r="I148" s="52">
        <v>5.0</v>
      </c>
      <c r="J148" s="52" t="s">
        <v>193</v>
      </c>
      <c r="K148" s="52">
        <v>1.0</v>
      </c>
      <c r="L148" s="52" t="s">
        <v>200</v>
      </c>
      <c r="M148" s="52">
        <v>6.0</v>
      </c>
      <c r="N148" s="52" t="s">
        <v>154</v>
      </c>
      <c r="O148" s="52" t="s">
        <v>119</v>
      </c>
      <c r="P148" s="52" t="s">
        <v>140</v>
      </c>
      <c r="Q148" s="52" t="s">
        <v>125</v>
      </c>
      <c r="R148" s="52" t="s">
        <v>140</v>
      </c>
      <c r="S148" s="52" t="s">
        <v>125</v>
      </c>
      <c r="T148" s="65" t="s">
        <v>30</v>
      </c>
      <c r="U148" s="32">
        <v>1.0</v>
      </c>
      <c r="V148" s="32">
        <v>1.0</v>
      </c>
      <c r="W148" s="32">
        <v>1.0</v>
      </c>
      <c r="X148" s="32">
        <v>1.0</v>
      </c>
      <c r="Y148" s="32">
        <v>1.0</v>
      </c>
      <c r="Z148" s="32">
        <v>1.0</v>
      </c>
      <c r="AA148" s="32">
        <v>6.0</v>
      </c>
      <c r="AB148" s="32">
        <v>0.0</v>
      </c>
      <c r="AC148" s="103" t="str">
        <f>IFERROR(__xludf.DUMMYFUNCTION("if($C148="""","""",if(join("" - "",{iferror(filter('Student Groupings'!$A:$A,'Student Groupings'!$B:$B=$C148,'Student Groupings'!$H:$H=""Can't be Together""),"""");iferror(filter('Student Groupings'!$A:$A,'Student Groupings'!$E:$E=$C148,'Student Groupings"&amp;"'!$H:$H=""Can't be Together""),"""")})="" - "","""",join("" - "",{iferror(filter('Student Groupings'!$A:$A,'Student Groupings'!$B:$B=$C148,'Student Groupings'!$H:$H=""Can't be Together""),"""");iferror(filter('Student Groupings'!$A:$A,'Student Groupings'!"&amp;"$E:$E=$C148,'Student Groupings'!$H:$H=""Can't be Together""),"""")})))"),"")</f>
        <v/>
      </c>
      <c r="AD148" s="103" t="str">
        <f>IFERROR(__xludf.DUMMYFUNCTION("if($C148="""","""",if(join("" - "",{iferror(filter('Student Groupings'!$A:$A,'Student Groupings'!$B:$B=$C148,'Student Groupings'!$H:$H=""Must be Together""),"""");iferror(filter('Student Groupings'!$A:$A,'Student Groupings'!$E:$E=$C148,'Student Groupings'"&amp;"!$H:$H=""Must be Together""),"""")})="" - "","""",join("" - "",{iferror(filter('Student Groupings'!$A:$A,'Student Groupings'!$B:$B=$C148,'Student Groupings'!$H:$H=""Must be Together""),"""");iferror(filter('Student Groupings'!$A:$A,'Student Groupings'!$E:"&amp;"$E=$C148,'Student Groupings'!$H:$H=""Must be Together""),"""")})))"),"")</f>
        <v/>
      </c>
      <c r="AE148" s="104"/>
      <c r="AF148" s="104"/>
      <c r="AG148" s="104"/>
      <c r="AH148" s="104"/>
    </row>
    <row r="149">
      <c r="A149" s="101">
        <v>7.0</v>
      </c>
      <c r="B149" s="101">
        <v>30004.0</v>
      </c>
      <c r="C149" s="102" t="s">
        <v>419</v>
      </c>
      <c r="D149" s="52" t="s">
        <v>175</v>
      </c>
      <c r="E149" s="52">
        <v>4.0</v>
      </c>
      <c r="F149" s="52" t="s">
        <v>164</v>
      </c>
      <c r="G149" s="52">
        <v>3.0</v>
      </c>
      <c r="H149" s="52" t="s">
        <v>184</v>
      </c>
      <c r="I149" s="52">
        <v>1.0</v>
      </c>
      <c r="J149" s="52" t="s">
        <v>193</v>
      </c>
      <c r="K149" s="52">
        <v>5.0</v>
      </c>
      <c r="L149" s="52" t="s">
        <v>200</v>
      </c>
      <c r="M149" s="52">
        <v>2.0</v>
      </c>
      <c r="N149" s="52" t="s">
        <v>150</v>
      </c>
      <c r="O149" s="52" t="s">
        <v>109</v>
      </c>
      <c r="P149" s="52" t="s">
        <v>116</v>
      </c>
      <c r="Q149" s="52" t="s">
        <v>120</v>
      </c>
      <c r="R149" s="52" t="s">
        <v>133</v>
      </c>
      <c r="S149" s="52" t="s">
        <v>120</v>
      </c>
      <c r="T149" s="65" t="s">
        <v>8</v>
      </c>
      <c r="U149" s="32">
        <v>1.0</v>
      </c>
      <c r="V149" s="32">
        <v>1.0</v>
      </c>
      <c r="W149" s="32">
        <v>1.0</v>
      </c>
      <c r="X149" s="32">
        <v>1.0</v>
      </c>
      <c r="Y149" s="32">
        <v>1.0</v>
      </c>
      <c r="Z149" s="32">
        <v>1.0</v>
      </c>
      <c r="AA149" s="32">
        <v>6.0</v>
      </c>
      <c r="AB149" s="32">
        <v>0.0</v>
      </c>
      <c r="AC149" s="103" t="str">
        <f>IFERROR(__xludf.DUMMYFUNCTION("if($C149="""","""",if(join("" - "",{iferror(filter('Student Groupings'!$A:$A,'Student Groupings'!$B:$B=$C149,'Student Groupings'!$H:$H=""Can't be Together""),"""");iferror(filter('Student Groupings'!$A:$A,'Student Groupings'!$E:$E=$C149,'Student Groupings"&amp;"'!$H:$H=""Can't be Together""),"""")})="" - "","""",join("" - "",{iferror(filter('Student Groupings'!$A:$A,'Student Groupings'!$B:$B=$C149,'Student Groupings'!$H:$H=""Can't be Together""),"""");iferror(filter('Student Groupings'!$A:$A,'Student Groupings'!"&amp;"$E:$E=$C149,'Student Groupings'!$H:$H=""Can't be Together""),"""")})))"),"")</f>
        <v/>
      </c>
      <c r="AD149" s="103" t="str">
        <f>IFERROR(__xludf.DUMMYFUNCTION("if($C149="""","""",if(join("" - "",{iferror(filter('Student Groupings'!$A:$A,'Student Groupings'!$B:$B=$C149,'Student Groupings'!$H:$H=""Must be Together""),"""");iferror(filter('Student Groupings'!$A:$A,'Student Groupings'!$E:$E=$C149,'Student Groupings'"&amp;"!$H:$H=""Must be Together""),"""")})="" - "","""",join("" - "",{iferror(filter('Student Groupings'!$A:$A,'Student Groupings'!$B:$B=$C149,'Student Groupings'!$H:$H=""Must be Together""),"""");iferror(filter('Student Groupings'!$A:$A,'Student Groupings'!$E:"&amp;"$E=$C149,'Student Groupings'!$H:$H=""Must be Together""),"""")})))"),"")</f>
        <v/>
      </c>
      <c r="AE149" s="104"/>
      <c r="AF149" s="104"/>
      <c r="AG149" s="104"/>
      <c r="AH149" s="104"/>
    </row>
    <row r="150">
      <c r="A150" s="101">
        <v>7.0</v>
      </c>
      <c r="B150" s="101">
        <v>30005.0</v>
      </c>
      <c r="C150" s="102" t="s">
        <v>420</v>
      </c>
      <c r="D150" s="52" t="s">
        <v>175</v>
      </c>
      <c r="E150" s="52">
        <v>2.0</v>
      </c>
      <c r="F150" s="52" t="s">
        <v>163</v>
      </c>
      <c r="G150" s="52">
        <v>6.0</v>
      </c>
      <c r="H150" s="52" t="s">
        <v>184</v>
      </c>
      <c r="I150" s="101">
        <v>3.0</v>
      </c>
      <c r="J150" s="52" t="s">
        <v>195</v>
      </c>
      <c r="K150" s="101">
        <v>5.0</v>
      </c>
      <c r="L150" s="52" t="s">
        <v>200</v>
      </c>
      <c r="M150" s="101">
        <v>4.0</v>
      </c>
      <c r="N150" s="52" t="s">
        <v>154</v>
      </c>
      <c r="O150" s="52" t="s">
        <v>129</v>
      </c>
      <c r="P150" s="52" t="s">
        <v>140</v>
      </c>
      <c r="Q150" s="52" t="s">
        <v>108</v>
      </c>
      <c r="R150" s="52" t="s">
        <v>140</v>
      </c>
      <c r="S150" s="52" t="s">
        <v>108</v>
      </c>
      <c r="T150" s="65" t="s">
        <v>30</v>
      </c>
      <c r="U150" s="32">
        <v>1.0</v>
      </c>
      <c r="V150" s="32">
        <v>1.0</v>
      </c>
      <c r="W150" s="32">
        <v>1.0</v>
      </c>
      <c r="X150" s="32">
        <v>1.0</v>
      </c>
      <c r="Y150" s="32">
        <v>1.0</v>
      </c>
      <c r="Z150" s="32">
        <v>1.0</v>
      </c>
      <c r="AA150" s="32">
        <v>6.0</v>
      </c>
      <c r="AB150" s="32">
        <v>0.0</v>
      </c>
      <c r="AC150" s="103" t="str">
        <f>IFERROR(__xludf.DUMMYFUNCTION("if($C150="""","""",if(join("" - "",{iferror(filter('Student Groupings'!$A:$A,'Student Groupings'!$B:$B=$C150,'Student Groupings'!$H:$H=""Can't be Together""),"""");iferror(filter('Student Groupings'!$A:$A,'Student Groupings'!$E:$E=$C150,'Student Groupings"&amp;"'!$H:$H=""Can't be Together""),"""")})="" - "","""",join("" - "",{iferror(filter('Student Groupings'!$A:$A,'Student Groupings'!$B:$B=$C150,'Student Groupings'!$H:$H=""Can't be Together""),"""");iferror(filter('Student Groupings'!$A:$A,'Student Groupings'!"&amp;"$E:$E=$C150,'Student Groupings'!$H:$H=""Can't be Together""),"""")})))"),"")</f>
        <v/>
      </c>
      <c r="AD150" s="103" t="str">
        <f>IFERROR(__xludf.DUMMYFUNCTION("if($C150="""","""",if(join("" - "",{iferror(filter('Student Groupings'!$A:$A,'Student Groupings'!$B:$B=$C150,'Student Groupings'!$H:$H=""Must be Together""),"""");iferror(filter('Student Groupings'!$A:$A,'Student Groupings'!$E:$E=$C150,'Student Groupings'"&amp;"!$H:$H=""Must be Together""),"""")})="" - "","""",join("" - "",{iferror(filter('Student Groupings'!$A:$A,'Student Groupings'!$B:$B=$C150,'Student Groupings'!$H:$H=""Must be Together""),"""");iferror(filter('Student Groupings'!$A:$A,'Student Groupings'!$E:"&amp;"$E=$C150,'Student Groupings'!$H:$H=""Must be Together""),"""")})))"),"")</f>
        <v/>
      </c>
      <c r="AE150" s="104"/>
      <c r="AF150" s="104"/>
      <c r="AG150" s="104"/>
      <c r="AH150" s="104"/>
    </row>
    <row r="151">
      <c r="A151" s="101">
        <v>7.0</v>
      </c>
      <c r="B151" s="101">
        <v>30006.0</v>
      </c>
      <c r="C151" s="102" t="s">
        <v>421</v>
      </c>
      <c r="D151" s="52" t="s">
        <v>175</v>
      </c>
      <c r="E151" s="52">
        <v>6.0</v>
      </c>
      <c r="F151" s="52" t="s">
        <v>164</v>
      </c>
      <c r="G151" s="52">
        <v>4.0</v>
      </c>
      <c r="H151" s="52" t="s">
        <v>184</v>
      </c>
      <c r="I151" s="52">
        <v>5.0</v>
      </c>
      <c r="J151" s="52" t="s">
        <v>195</v>
      </c>
      <c r="K151" s="52">
        <v>1.0</v>
      </c>
      <c r="L151" s="52" t="s">
        <v>200</v>
      </c>
      <c r="M151" s="52">
        <v>3.0</v>
      </c>
      <c r="N151" s="52" t="s">
        <v>154</v>
      </c>
      <c r="O151" s="52" t="s">
        <v>119</v>
      </c>
      <c r="P151" s="52" t="s">
        <v>140</v>
      </c>
      <c r="Q151" s="52" t="s">
        <v>125</v>
      </c>
      <c r="R151" s="52" t="s">
        <v>140</v>
      </c>
      <c r="S151" s="52" t="s">
        <v>125</v>
      </c>
      <c r="T151" s="65" t="s">
        <v>30</v>
      </c>
      <c r="U151" s="32">
        <v>1.0</v>
      </c>
      <c r="V151" s="32">
        <v>1.0</v>
      </c>
      <c r="W151" s="32">
        <v>1.0</v>
      </c>
      <c r="X151" s="32">
        <v>1.0</v>
      </c>
      <c r="Y151" s="32">
        <v>1.0</v>
      </c>
      <c r="Z151" s="32">
        <v>1.0</v>
      </c>
      <c r="AA151" s="32">
        <v>6.0</v>
      </c>
      <c r="AB151" s="32">
        <v>0.0</v>
      </c>
      <c r="AC151" s="103" t="str">
        <f>IFERROR(__xludf.DUMMYFUNCTION("if($C151="""","""",if(join("" - "",{iferror(filter('Student Groupings'!$A:$A,'Student Groupings'!$B:$B=$C151,'Student Groupings'!$H:$H=""Can't be Together""),"""");iferror(filter('Student Groupings'!$A:$A,'Student Groupings'!$E:$E=$C151,'Student Groupings"&amp;"'!$H:$H=""Can't be Together""),"""")})="" - "","""",join("" - "",{iferror(filter('Student Groupings'!$A:$A,'Student Groupings'!$B:$B=$C151,'Student Groupings'!$H:$H=""Can't be Together""),"""");iferror(filter('Student Groupings'!$A:$A,'Student Groupings'!"&amp;"$E:$E=$C151,'Student Groupings'!$H:$H=""Can't be Together""),"""")})))"),"")</f>
        <v/>
      </c>
      <c r="AD151" s="103" t="str">
        <f>IFERROR(__xludf.DUMMYFUNCTION("if($C151="""","""",if(join("" - "",{iferror(filter('Student Groupings'!$A:$A,'Student Groupings'!$B:$B=$C151,'Student Groupings'!$H:$H=""Must be Together""),"""");iferror(filter('Student Groupings'!$A:$A,'Student Groupings'!$E:$E=$C151,'Student Groupings'"&amp;"!$H:$H=""Must be Together""),"""")})="" - "","""",join("" - "",{iferror(filter('Student Groupings'!$A:$A,'Student Groupings'!$B:$B=$C151,'Student Groupings'!$H:$H=""Must be Together""),"""");iferror(filter('Student Groupings'!$A:$A,'Student Groupings'!$E:"&amp;"$E=$C151,'Student Groupings'!$H:$H=""Must be Together""),"""")})))"),"")</f>
        <v/>
      </c>
      <c r="AE151" s="105"/>
      <c r="AF151" s="105">
        <v>1.0</v>
      </c>
      <c r="AG151" s="104"/>
      <c r="AH151" s="104"/>
    </row>
    <row r="152">
      <c r="A152" s="101">
        <v>7.0</v>
      </c>
      <c r="B152" s="101">
        <v>30169.0</v>
      </c>
      <c r="C152" s="102" t="s">
        <v>422</v>
      </c>
      <c r="D152" s="52" t="s">
        <v>175</v>
      </c>
      <c r="E152" s="52">
        <v>4.0</v>
      </c>
      <c r="F152" s="52" t="s">
        <v>164</v>
      </c>
      <c r="G152" s="52">
        <v>3.0</v>
      </c>
      <c r="H152" s="52" t="s">
        <v>184</v>
      </c>
      <c r="I152" s="52">
        <v>1.0</v>
      </c>
      <c r="J152" s="52" t="s">
        <v>195</v>
      </c>
      <c r="K152" s="52">
        <v>5.0</v>
      </c>
      <c r="L152" s="52" t="s">
        <v>200</v>
      </c>
      <c r="M152" s="52">
        <v>2.0</v>
      </c>
      <c r="N152" s="52" t="s">
        <v>150</v>
      </c>
      <c r="O152" s="52" t="s">
        <v>109</v>
      </c>
      <c r="P152" s="52" t="s">
        <v>116</v>
      </c>
      <c r="Q152" s="52" t="s">
        <v>120</v>
      </c>
      <c r="R152" s="52" t="s">
        <v>133</v>
      </c>
      <c r="S152" s="52" t="s">
        <v>120</v>
      </c>
      <c r="T152" s="65" t="s">
        <v>27</v>
      </c>
      <c r="U152" s="32">
        <v>1.0</v>
      </c>
      <c r="V152" s="32">
        <v>1.0</v>
      </c>
      <c r="W152" s="32">
        <v>1.0</v>
      </c>
      <c r="X152" s="32">
        <v>1.0</v>
      </c>
      <c r="Y152" s="32">
        <v>1.0</v>
      </c>
      <c r="Z152" s="32">
        <v>1.0</v>
      </c>
      <c r="AA152" s="32">
        <v>6.0</v>
      </c>
      <c r="AB152" s="32">
        <v>0.0</v>
      </c>
      <c r="AC152" s="103" t="str">
        <f>IFERROR(__xludf.DUMMYFUNCTION("if($C152="""","""",if(join("" - "",{iferror(filter('Student Groupings'!$A:$A,'Student Groupings'!$B:$B=$C152,'Student Groupings'!$H:$H=""Can't be Together""),"""");iferror(filter('Student Groupings'!$A:$A,'Student Groupings'!$E:$E=$C152,'Student Groupings"&amp;"'!$H:$H=""Can't be Together""),"""")})="" - "","""",join("" - "",{iferror(filter('Student Groupings'!$A:$A,'Student Groupings'!$B:$B=$C152,'Student Groupings'!$H:$H=""Can't be Together""),"""");iferror(filter('Student Groupings'!$A:$A,'Student Groupings'!"&amp;"$E:$E=$C152,'Student Groupings'!$H:$H=""Can't be Together""),"""")})))"),"")</f>
        <v/>
      </c>
      <c r="AD152" s="103" t="str">
        <f>IFERROR(__xludf.DUMMYFUNCTION("if($C152="""","""",if(join("" - "",{iferror(filter('Student Groupings'!$A:$A,'Student Groupings'!$B:$B=$C152,'Student Groupings'!$H:$H=""Must be Together""),"""");iferror(filter('Student Groupings'!$A:$A,'Student Groupings'!$E:$E=$C152,'Student Groupings'"&amp;"!$H:$H=""Must be Together""),"""")})="" - "","""",join("" - "",{iferror(filter('Student Groupings'!$A:$A,'Student Groupings'!$B:$B=$C152,'Student Groupings'!$H:$H=""Must be Together""),"""");iferror(filter('Student Groupings'!$A:$A,'Student Groupings'!$E:"&amp;"$E=$C152,'Student Groupings'!$H:$H=""Must be Together""),"""")})))"),"")</f>
        <v/>
      </c>
      <c r="AE152" s="104"/>
      <c r="AF152" s="104"/>
      <c r="AG152" s="105"/>
      <c r="AH152" s="105"/>
    </row>
    <row r="153">
      <c r="A153" s="101">
        <v>7.0</v>
      </c>
      <c r="B153" s="101">
        <v>30007.0</v>
      </c>
      <c r="C153" s="102" t="s">
        <v>423</v>
      </c>
      <c r="D153" s="52" t="s">
        <v>179</v>
      </c>
      <c r="E153" s="52">
        <v>6.0</v>
      </c>
      <c r="F153" s="52" t="s">
        <v>163</v>
      </c>
      <c r="G153" s="52">
        <v>5.0</v>
      </c>
      <c r="H153" s="52" t="s">
        <v>184</v>
      </c>
      <c r="I153" s="52">
        <v>2.0</v>
      </c>
      <c r="J153" s="52" t="s">
        <v>195</v>
      </c>
      <c r="K153" s="52">
        <v>3.0</v>
      </c>
      <c r="L153" s="52" t="s">
        <v>200</v>
      </c>
      <c r="M153" s="52">
        <v>1.0</v>
      </c>
      <c r="N153" s="52" t="s">
        <v>150</v>
      </c>
      <c r="O153" s="52" t="s">
        <v>111</v>
      </c>
      <c r="P153" s="52" t="s">
        <v>140</v>
      </c>
      <c r="Q153" s="52" t="s">
        <v>130</v>
      </c>
      <c r="R153" s="52" t="s">
        <v>140</v>
      </c>
      <c r="S153" s="52" t="s">
        <v>130</v>
      </c>
      <c r="T153" s="65" t="s">
        <v>30</v>
      </c>
      <c r="U153" s="32">
        <v>1.0</v>
      </c>
      <c r="V153" s="32">
        <v>1.0</v>
      </c>
      <c r="W153" s="32">
        <v>1.0</v>
      </c>
      <c r="X153" s="32">
        <v>1.0</v>
      </c>
      <c r="Y153" s="32">
        <v>1.0</v>
      </c>
      <c r="Z153" s="32">
        <v>1.0</v>
      </c>
      <c r="AA153" s="32">
        <v>6.0</v>
      </c>
      <c r="AB153" s="32">
        <v>0.0</v>
      </c>
      <c r="AC153" s="103" t="str">
        <f>IFERROR(__xludf.DUMMYFUNCTION("if($C153="""","""",if(join("" - "",{iferror(filter('Student Groupings'!$A:$A,'Student Groupings'!$B:$B=$C153,'Student Groupings'!$H:$H=""Can't be Together""),"""");iferror(filter('Student Groupings'!$A:$A,'Student Groupings'!$E:$E=$C153,'Student Groupings"&amp;"'!$H:$H=""Can't be Together""),"""")})="" - "","""",join("" - "",{iferror(filter('Student Groupings'!$A:$A,'Student Groupings'!$B:$B=$C153,'Student Groupings'!$H:$H=""Can't be Together""),"""");iferror(filter('Student Groupings'!$A:$A,'Student Groupings'!"&amp;"$E:$E=$C153,'Student Groupings'!$H:$H=""Can't be Together""),"""")})))"),"")</f>
        <v/>
      </c>
      <c r="AD153" s="103" t="str">
        <f>IFERROR(__xludf.DUMMYFUNCTION("if($C153="""","""",if(join("" - "",{iferror(filter('Student Groupings'!$A:$A,'Student Groupings'!$B:$B=$C153,'Student Groupings'!$H:$H=""Must be Together""),"""");iferror(filter('Student Groupings'!$A:$A,'Student Groupings'!$E:$E=$C153,'Student Groupings'"&amp;"!$H:$H=""Must be Together""),"""")})="" - "","""",join("" - "",{iferror(filter('Student Groupings'!$A:$A,'Student Groupings'!$B:$B=$C153,'Student Groupings'!$H:$H=""Must be Together""),"""");iferror(filter('Student Groupings'!$A:$A,'Student Groupings'!$E:"&amp;"$E=$C153,'Student Groupings'!$H:$H=""Must be Together""),"""")})))"),"")</f>
        <v/>
      </c>
      <c r="AE153" s="104"/>
      <c r="AF153" s="104"/>
      <c r="AG153" s="104"/>
      <c r="AH153" s="104"/>
    </row>
    <row r="154">
      <c r="A154" s="101">
        <v>7.0</v>
      </c>
      <c r="B154" s="101">
        <v>30008.0</v>
      </c>
      <c r="C154" s="102" t="s">
        <v>424</v>
      </c>
      <c r="D154" s="52" t="s">
        <v>175</v>
      </c>
      <c r="E154" s="52">
        <v>5.0</v>
      </c>
      <c r="F154" s="52" t="s">
        <v>163</v>
      </c>
      <c r="G154" s="52">
        <v>3.0</v>
      </c>
      <c r="H154" s="52" t="s">
        <v>184</v>
      </c>
      <c r="I154" s="52">
        <v>6.0</v>
      </c>
      <c r="J154" s="52" t="s">
        <v>195</v>
      </c>
      <c r="K154" s="52">
        <v>2.0</v>
      </c>
      <c r="L154" s="52" t="s">
        <v>203</v>
      </c>
      <c r="M154" s="52">
        <v>4.0</v>
      </c>
      <c r="N154" s="52" t="s">
        <v>150</v>
      </c>
      <c r="O154" s="52" t="s">
        <v>129</v>
      </c>
      <c r="P154" s="52" t="s">
        <v>116</v>
      </c>
      <c r="Q154" s="52" t="s">
        <v>108</v>
      </c>
      <c r="R154" s="52" t="s">
        <v>133</v>
      </c>
      <c r="S154" s="52" t="s">
        <v>108</v>
      </c>
      <c r="T154" s="65" t="s">
        <v>27</v>
      </c>
      <c r="U154" s="32">
        <v>1.0</v>
      </c>
      <c r="V154" s="32">
        <v>1.0</v>
      </c>
      <c r="W154" s="32">
        <v>1.0</v>
      </c>
      <c r="X154" s="32">
        <v>1.0</v>
      </c>
      <c r="Y154" s="32">
        <v>1.0</v>
      </c>
      <c r="Z154" s="32">
        <v>1.0</v>
      </c>
      <c r="AA154" s="32">
        <v>6.0</v>
      </c>
      <c r="AB154" s="32">
        <v>0.0</v>
      </c>
      <c r="AC154" s="103" t="str">
        <f>IFERROR(__xludf.DUMMYFUNCTION("if($C154="""","""",if(join("" - "",{iferror(filter('Student Groupings'!$A:$A,'Student Groupings'!$B:$B=$C154,'Student Groupings'!$H:$H=""Can't be Together""),"""");iferror(filter('Student Groupings'!$A:$A,'Student Groupings'!$E:$E=$C154,'Student Groupings"&amp;"'!$H:$H=""Can't be Together""),"""")})="" - "","""",join("" - "",{iferror(filter('Student Groupings'!$A:$A,'Student Groupings'!$B:$B=$C154,'Student Groupings'!$H:$H=""Can't be Together""),"""");iferror(filter('Student Groupings'!$A:$A,'Student Groupings'!"&amp;"$E:$E=$C154,'Student Groupings'!$H:$H=""Can't be Together""),"""")})))"),"")</f>
        <v/>
      </c>
      <c r="AD154" s="103" t="str">
        <f>IFERROR(__xludf.DUMMYFUNCTION("if($C154="""","""",if(join("" - "",{iferror(filter('Student Groupings'!$A:$A,'Student Groupings'!$B:$B=$C154,'Student Groupings'!$H:$H=""Must be Together""),"""");iferror(filter('Student Groupings'!$A:$A,'Student Groupings'!$E:$E=$C154,'Student Groupings'"&amp;"!$H:$H=""Must be Together""),"""")})="" - "","""",join("" - "",{iferror(filter('Student Groupings'!$A:$A,'Student Groupings'!$B:$B=$C154,'Student Groupings'!$H:$H=""Must be Together""),"""");iferror(filter('Student Groupings'!$A:$A,'Student Groupings'!$E:"&amp;"$E=$C154,'Student Groupings'!$H:$H=""Must be Together""),"""")})))"),"")</f>
        <v/>
      </c>
      <c r="AE154" s="104"/>
      <c r="AF154" s="104"/>
      <c r="AG154" s="104"/>
      <c r="AH154" s="104"/>
    </row>
    <row r="155">
      <c r="A155" s="101">
        <v>7.0</v>
      </c>
      <c r="B155" s="101">
        <v>29014.0</v>
      </c>
      <c r="C155" s="102" t="s">
        <v>425</v>
      </c>
      <c r="D155" s="52" t="s">
        <v>175</v>
      </c>
      <c r="E155" s="52">
        <v>4.0</v>
      </c>
      <c r="F155" s="52" t="s">
        <v>164</v>
      </c>
      <c r="G155" s="52">
        <v>3.0</v>
      </c>
      <c r="H155" s="52" t="s">
        <v>184</v>
      </c>
      <c r="I155" s="52">
        <v>1.0</v>
      </c>
      <c r="J155" s="52" t="s">
        <v>193</v>
      </c>
      <c r="K155" s="52">
        <v>5.0</v>
      </c>
      <c r="L155" s="52" t="s">
        <v>200</v>
      </c>
      <c r="M155" s="52">
        <v>2.0</v>
      </c>
      <c r="N155" s="52" t="s">
        <v>150</v>
      </c>
      <c r="O155" s="52" t="s">
        <v>109</v>
      </c>
      <c r="P155" s="52" t="s">
        <v>116</v>
      </c>
      <c r="Q155" s="52" t="s">
        <v>120</v>
      </c>
      <c r="R155" s="52" t="s">
        <v>133</v>
      </c>
      <c r="S155" s="52" t="s">
        <v>120</v>
      </c>
      <c r="T155" s="65" t="s">
        <v>27</v>
      </c>
      <c r="U155" s="32">
        <v>1.0</v>
      </c>
      <c r="V155" s="32">
        <v>1.0</v>
      </c>
      <c r="W155" s="32">
        <v>1.0</v>
      </c>
      <c r="X155" s="32">
        <v>1.0</v>
      </c>
      <c r="Y155" s="32">
        <v>1.0</v>
      </c>
      <c r="Z155" s="32">
        <v>1.0</v>
      </c>
      <c r="AA155" s="32">
        <v>6.0</v>
      </c>
      <c r="AB155" s="32">
        <v>0.0</v>
      </c>
      <c r="AC155" s="103" t="str">
        <f>IFERROR(__xludf.DUMMYFUNCTION("if($C155="""","""",if(join("" - "",{iferror(filter('Student Groupings'!$A:$A,'Student Groupings'!$B:$B=$C155,'Student Groupings'!$H:$H=""Can't be Together""),"""");iferror(filter('Student Groupings'!$A:$A,'Student Groupings'!$E:$E=$C155,'Student Groupings"&amp;"'!$H:$H=""Can't be Together""),"""")})="" - "","""",join("" - "",{iferror(filter('Student Groupings'!$A:$A,'Student Groupings'!$B:$B=$C155,'Student Groupings'!$H:$H=""Can't be Together""),"""");iferror(filter('Student Groupings'!$A:$A,'Student Groupings'!"&amp;"$E:$E=$C155,'Student Groupings'!$H:$H=""Can't be Together""),"""")})))"),"")</f>
        <v/>
      </c>
      <c r="AD155" s="103" t="str">
        <f>IFERROR(__xludf.DUMMYFUNCTION("if($C155="""","""",if(join("" - "",{iferror(filter('Student Groupings'!$A:$A,'Student Groupings'!$B:$B=$C155,'Student Groupings'!$H:$H=""Must be Together""),"""");iferror(filter('Student Groupings'!$A:$A,'Student Groupings'!$E:$E=$C155,'Student Groupings'"&amp;"!$H:$H=""Must be Together""),"""")})="" - "","""",join("" - "",{iferror(filter('Student Groupings'!$A:$A,'Student Groupings'!$B:$B=$C155,'Student Groupings'!$H:$H=""Must be Together""),"""");iferror(filter('Student Groupings'!$A:$A,'Student Groupings'!$E:"&amp;"$E=$C155,'Student Groupings'!$H:$H=""Must be Together""),"""")})))"),"")</f>
        <v/>
      </c>
      <c r="AE155" s="104"/>
      <c r="AF155" s="104"/>
      <c r="AG155" s="104"/>
      <c r="AH155" s="104"/>
    </row>
    <row r="156">
      <c r="A156" s="101">
        <v>7.0</v>
      </c>
      <c r="B156" s="101">
        <v>30009.0</v>
      </c>
      <c r="C156" s="102" t="s">
        <v>426</v>
      </c>
      <c r="D156" s="52" t="s">
        <v>175</v>
      </c>
      <c r="E156" s="52">
        <v>3.0</v>
      </c>
      <c r="F156" s="52" t="s">
        <v>164</v>
      </c>
      <c r="G156" s="52">
        <v>4.0</v>
      </c>
      <c r="H156" s="52" t="s">
        <v>188</v>
      </c>
      <c r="I156" s="52">
        <v>5.0</v>
      </c>
      <c r="J156" s="52" t="s">
        <v>193</v>
      </c>
      <c r="K156" s="52">
        <v>1.0</v>
      </c>
      <c r="L156" s="52" t="s">
        <v>200</v>
      </c>
      <c r="M156" s="52">
        <v>6.0</v>
      </c>
      <c r="N156" s="52" t="s">
        <v>154</v>
      </c>
      <c r="O156" s="52" t="s">
        <v>119</v>
      </c>
      <c r="P156" s="52" t="s">
        <v>140</v>
      </c>
      <c r="Q156" s="52" t="s">
        <v>125</v>
      </c>
      <c r="R156" s="52" t="s">
        <v>140</v>
      </c>
      <c r="S156" s="52" t="s">
        <v>125</v>
      </c>
      <c r="T156" s="65" t="s">
        <v>30</v>
      </c>
      <c r="U156" s="32">
        <v>1.0</v>
      </c>
      <c r="V156" s="32">
        <v>1.0</v>
      </c>
      <c r="W156" s="32">
        <v>1.0</v>
      </c>
      <c r="X156" s="32">
        <v>1.0</v>
      </c>
      <c r="Y156" s="32">
        <v>1.0</v>
      </c>
      <c r="Z156" s="32">
        <v>1.0</v>
      </c>
      <c r="AA156" s="32">
        <v>6.0</v>
      </c>
      <c r="AB156" s="32">
        <v>0.0</v>
      </c>
      <c r="AC156" s="103" t="str">
        <f>IFERROR(__xludf.DUMMYFUNCTION("if($C156="""","""",if(join("" - "",{iferror(filter('Student Groupings'!$A:$A,'Student Groupings'!$B:$B=$C156,'Student Groupings'!$H:$H=""Can't be Together""),"""");iferror(filter('Student Groupings'!$A:$A,'Student Groupings'!$E:$E=$C156,'Student Groupings"&amp;"'!$H:$H=""Can't be Together""),"""")})="" - "","""",join("" - "",{iferror(filter('Student Groupings'!$A:$A,'Student Groupings'!$B:$B=$C156,'Student Groupings'!$H:$H=""Can't be Together""),"""");iferror(filter('Student Groupings'!$A:$A,'Student Groupings'!"&amp;"$E:$E=$C156,'Student Groupings'!$H:$H=""Can't be Together""),"""")})))"),"")</f>
        <v/>
      </c>
      <c r="AD156" s="103" t="str">
        <f>IFERROR(__xludf.DUMMYFUNCTION("if($C156="""","""",if(join("" - "",{iferror(filter('Student Groupings'!$A:$A,'Student Groupings'!$B:$B=$C156,'Student Groupings'!$H:$H=""Must be Together""),"""");iferror(filter('Student Groupings'!$A:$A,'Student Groupings'!$E:$E=$C156,'Student Groupings'"&amp;"!$H:$H=""Must be Together""),"""")})="" - "","""",join("" - "",{iferror(filter('Student Groupings'!$A:$A,'Student Groupings'!$B:$B=$C156,'Student Groupings'!$H:$H=""Must be Together""),"""");iferror(filter('Student Groupings'!$A:$A,'Student Groupings'!$E:"&amp;"$E=$C156,'Student Groupings'!$H:$H=""Must be Together""),"""")})))"),"")</f>
        <v/>
      </c>
      <c r="AE156" s="104"/>
      <c r="AF156" s="104"/>
      <c r="AG156" s="104"/>
      <c r="AH156" s="104"/>
    </row>
    <row r="157">
      <c r="A157" s="101">
        <v>7.0</v>
      </c>
      <c r="B157" s="101">
        <v>30010.0</v>
      </c>
      <c r="C157" s="102" t="s">
        <v>427</v>
      </c>
      <c r="D157" s="52" t="s">
        <v>175</v>
      </c>
      <c r="E157" s="52">
        <v>2.0</v>
      </c>
      <c r="F157" s="52" t="s">
        <v>163</v>
      </c>
      <c r="G157" s="52">
        <v>6.0</v>
      </c>
      <c r="H157" s="52" t="s">
        <v>184</v>
      </c>
      <c r="I157" s="52">
        <v>3.0</v>
      </c>
      <c r="J157" s="52" t="s">
        <v>195</v>
      </c>
      <c r="K157" s="52">
        <v>5.0</v>
      </c>
      <c r="L157" s="52" t="s">
        <v>200</v>
      </c>
      <c r="M157" s="52">
        <v>4.0</v>
      </c>
      <c r="N157" s="52" t="s">
        <v>154</v>
      </c>
      <c r="O157" s="52" t="s">
        <v>129</v>
      </c>
      <c r="P157" s="52" t="s">
        <v>140</v>
      </c>
      <c r="Q157" s="52" t="s">
        <v>108</v>
      </c>
      <c r="R157" s="52" t="s">
        <v>140</v>
      </c>
      <c r="S157" s="52" t="s">
        <v>108</v>
      </c>
      <c r="T157" s="65" t="s">
        <v>30</v>
      </c>
      <c r="U157" s="32">
        <v>1.0</v>
      </c>
      <c r="V157" s="32">
        <v>1.0</v>
      </c>
      <c r="W157" s="32">
        <v>1.0</v>
      </c>
      <c r="X157" s="32">
        <v>1.0</v>
      </c>
      <c r="Y157" s="32">
        <v>1.0</v>
      </c>
      <c r="Z157" s="32">
        <v>1.0</v>
      </c>
      <c r="AA157" s="32">
        <v>6.0</v>
      </c>
      <c r="AB157" s="32">
        <v>0.0</v>
      </c>
      <c r="AC157" s="103" t="str">
        <f>IFERROR(__xludf.DUMMYFUNCTION("if($C157="""","""",if(join("" - "",{iferror(filter('Student Groupings'!$A:$A,'Student Groupings'!$B:$B=$C157,'Student Groupings'!$H:$H=""Can't be Together""),"""");iferror(filter('Student Groupings'!$A:$A,'Student Groupings'!$E:$E=$C157,'Student Groupings"&amp;"'!$H:$H=""Can't be Together""),"""")})="" - "","""",join("" - "",{iferror(filter('Student Groupings'!$A:$A,'Student Groupings'!$B:$B=$C157,'Student Groupings'!$H:$H=""Can't be Together""),"""");iferror(filter('Student Groupings'!$A:$A,'Student Groupings'!"&amp;"$E:$E=$C157,'Student Groupings'!$H:$H=""Can't be Together""),"""")})))"),"")</f>
        <v/>
      </c>
      <c r="AD157" s="103" t="str">
        <f>IFERROR(__xludf.DUMMYFUNCTION("if($C157="""","""",if(join("" - "",{iferror(filter('Student Groupings'!$A:$A,'Student Groupings'!$B:$B=$C157,'Student Groupings'!$H:$H=""Must be Together""),"""");iferror(filter('Student Groupings'!$A:$A,'Student Groupings'!$E:$E=$C157,'Student Groupings'"&amp;"!$H:$H=""Must be Together""),"""")})="" - "","""",join("" - "",{iferror(filter('Student Groupings'!$A:$A,'Student Groupings'!$B:$B=$C157,'Student Groupings'!$H:$H=""Must be Together""),"""");iferror(filter('Student Groupings'!$A:$A,'Student Groupings'!$E:"&amp;"$E=$C157,'Student Groupings'!$H:$H=""Must be Together""),"""")})))"),"")</f>
        <v/>
      </c>
      <c r="AE157" s="104"/>
      <c r="AF157" s="104"/>
      <c r="AG157" s="104"/>
      <c r="AH157" s="104"/>
    </row>
    <row r="158">
      <c r="A158" s="101">
        <v>7.0</v>
      </c>
      <c r="B158" s="101">
        <v>30011.0</v>
      </c>
      <c r="C158" s="102" t="s">
        <v>428</v>
      </c>
      <c r="D158" s="52" t="s">
        <v>175</v>
      </c>
      <c r="E158" s="52">
        <v>5.0</v>
      </c>
      <c r="F158" s="52" t="s">
        <v>163</v>
      </c>
      <c r="G158" s="52">
        <v>3.0</v>
      </c>
      <c r="H158" s="52" t="s">
        <v>184</v>
      </c>
      <c r="I158" s="52">
        <v>6.0</v>
      </c>
      <c r="J158" s="52" t="s">
        <v>195</v>
      </c>
      <c r="K158" s="52">
        <v>2.0</v>
      </c>
      <c r="L158" s="52" t="s">
        <v>203</v>
      </c>
      <c r="M158" s="52">
        <v>4.0</v>
      </c>
      <c r="N158" s="52" t="s">
        <v>150</v>
      </c>
      <c r="O158" s="52" t="s">
        <v>129</v>
      </c>
      <c r="P158" s="52" t="s">
        <v>133</v>
      </c>
      <c r="Q158" s="52" t="s">
        <v>108</v>
      </c>
      <c r="R158" s="52" t="s">
        <v>116</v>
      </c>
      <c r="S158" s="52" t="s">
        <v>108</v>
      </c>
      <c r="T158" s="65" t="s">
        <v>27</v>
      </c>
      <c r="U158" s="32">
        <v>1.0</v>
      </c>
      <c r="V158" s="32">
        <v>1.0</v>
      </c>
      <c r="W158" s="32">
        <v>1.0</v>
      </c>
      <c r="X158" s="32">
        <v>1.0</v>
      </c>
      <c r="Y158" s="32">
        <v>1.0</v>
      </c>
      <c r="Z158" s="32">
        <v>1.0</v>
      </c>
      <c r="AA158" s="32">
        <v>6.0</v>
      </c>
      <c r="AB158" s="32">
        <v>0.0</v>
      </c>
      <c r="AC158" s="103" t="str">
        <f>IFERROR(__xludf.DUMMYFUNCTION("if($C158="""","""",if(join("" - "",{iferror(filter('Student Groupings'!$A:$A,'Student Groupings'!$B:$B=$C158,'Student Groupings'!$H:$H=""Can't be Together""),"""");iferror(filter('Student Groupings'!$A:$A,'Student Groupings'!$E:$E=$C158,'Student Groupings"&amp;"'!$H:$H=""Can't be Together""),"""")})="" - "","""",join("" - "",{iferror(filter('Student Groupings'!$A:$A,'Student Groupings'!$B:$B=$C158,'Student Groupings'!$H:$H=""Can't be Together""),"""");iferror(filter('Student Groupings'!$A:$A,'Student Groupings'!"&amp;"$E:$E=$C158,'Student Groupings'!$H:$H=""Can't be Together""),"""")})))"),"")</f>
        <v/>
      </c>
      <c r="AD158" s="103" t="str">
        <f>IFERROR(__xludf.DUMMYFUNCTION("if($C158="""","""",if(join("" - "",{iferror(filter('Student Groupings'!$A:$A,'Student Groupings'!$B:$B=$C158,'Student Groupings'!$H:$H=""Must be Together""),"""");iferror(filter('Student Groupings'!$A:$A,'Student Groupings'!$E:$E=$C158,'Student Groupings'"&amp;"!$H:$H=""Must be Together""),"""")})="" - "","""",join("" - "",{iferror(filter('Student Groupings'!$A:$A,'Student Groupings'!$B:$B=$C158,'Student Groupings'!$H:$H=""Must be Together""),"""");iferror(filter('Student Groupings'!$A:$A,'Student Groupings'!$E:"&amp;"$E=$C158,'Student Groupings'!$H:$H=""Must be Together""),"""")})))"),"")</f>
        <v/>
      </c>
      <c r="AE158" s="104"/>
      <c r="AF158" s="104"/>
      <c r="AG158" s="104"/>
      <c r="AH158" s="104"/>
    </row>
    <row r="159">
      <c r="A159" s="101">
        <v>7.0</v>
      </c>
      <c r="B159" s="101">
        <v>30012.0</v>
      </c>
      <c r="C159" s="102" t="s">
        <v>429</v>
      </c>
      <c r="D159" s="52" t="s">
        <v>175</v>
      </c>
      <c r="E159" s="52">
        <v>6.0</v>
      </c>
      <c r="F159" s="52" t="s">
        <v>163</v>
      </c>
      <c r="G159" s="52">
        <v>4.0</v>
      </c>
      <c r="H159" s="52" t="s">
        <v>188</v>
      </c>
      <c r="I159" s="52">
        <v>5.0</v>
      </c>
      <c r="J159" s="52" t="s">
        <v>195</v>
      </c>
      <c r="K159" s="52">
        <v>1.0</v>
      </c>
      <c r="L159" s="52" t="s">
        <v>200</v>
      </c>
      <c r="M159" s="52">
        <v>3.0</v>
      </c>
      <c r="N159" s="52" t="s">
        <v>150</v>
      </c>
      <c r="O159" s="52" t="s">
        <v>119</v>
      </c>
      <c r="P159" s="52" t="s">
        <v>133</v>
      </c>
      <c r="Q159" s="52" t="s">
        <v>125</v>
      </c>
      <c r="R159" s="52" t="s">
        <v>116</v>
      </c>
      <c r="S159" s="52" t="s">
        <v>125</v>
      </c>
      <c r="T159" s="65" t="s">
        <v>27</v>
      </c>
      <c r="U159" s="32">
        <v>1.0</v>
      </c>
      <c r="V159" s="32">
        <v>1.0</v>
      </c>
      <c r="W159" s="32">
        <v>1.0</v>
      </c>
      <c r="X159" s="32">
        <v>1.0</v>
      </c>
      <c r="Y159" s="32">
        <v>1.0</v>
      </c>
      <c r="Z159" s="32">
        <v>1.0</v>
      </c>
      <c r="AA159" s="32">
        <v>6.0</v>
      </c>
      <c r="AB159" s="32">
        <v>0.0</v>
      </c>
      <c r="AC159" s="103" t="str">
        <f>IFERROR(__xludf.DUMMYFUNCTION("if($C159="""","""",if(join("" - "",{iferror(filter('Student Groupings'!$A:$A,'Student Groupings'!$B:$B=$C159,'Student Groupings'!$H:$H=""Can't be Together""),"""");iferror(filter('Student Groupings'!$A:$A,'Student Groupings'!$E:$E=$C159,'Student Groupings"&amp;"'!$H:$H=""Can't be Together""),"""")})="" - "","""",join("" - "",{iferror(filter('Student Groupings'!$A:$A,'Student Groupings'!$B:$B=$C159,'Student Groupings'!$H:$H=""Can't be Together""),"""");iferror(filter('Student Groupings'!$A:$A,'Student Groupings'!"&amp;"$E:$E=$C159,'Student Groupings'!$H:$H=""Can't be Together""),"""")})))"),"")</f>
        <v/>
      </c>
      <c r="AD159" s="103" t="str">
        <f>IFERROR(__xludf.DUMMYFUNCTION("if($C159="""","""",if(join("" - "",{iferror(filter('Student Groupings'!$A:$A,'Student Groupings'!$B:$B=$C159,'Student Groupings'!$H:$H=""Must be Together""),"""");iferror(filter('Student Groupings'!$A:$A,'Student Groupings'!$E:$E=$C159,'Student Groupings'"&amp;"!$H:$H=""Must be Together""),"""")})="" - "","""",join("" - "",{iferror(filter('Student Groupings'!$A:$A,'Student Groupings'!$B:$B=$C159,'Student Groupings'!$H:$H=""Must be Together""),"""");iferror(filter('Student Groupings'!$A:$A,'Student Groupings'!$E:"&amp;"$E=$C159,'Student Groupings'!$H:$H=""Must be Together""),"""")})))"),"")</f>
        <v/>
      </c>
      <c r="AE159" s="104"/>
      <c r="AF159" s="104"/>
      <c r="AG159" s="104"/>
      <c r="AH159" s="104"/>
    </row>
    <row r="160">
      <c r="A160" s="101">
        <v>7.0</v>
      </c>
      <c r="B160" s="101">
        <v>30014.0</v>
      </c>
      <c r="C160" s="102" t="s">
        <v>430</v>
      </c>
      <c r="D160" s="52" t="s">
        <v>175</v>
      </c>
      <c r="E160" s="52">
        <v>2.0</v>
      </c>
      <c r="F160" s="52" t="s">
        <v>163</v>
      </c>
      <c r="G160" s="52">
        <v>6.0</v>
      </c>
      <c r="H160" s="52" t="s">
        <v>184</v>
      </c>
      <c r="I160" s="52">
        <v>3.0</v>
      </c>
      <c r="J160" s="52" t="s">
        <v>195</v>
      </c>
      <c r="K160" s="52">
        <v>5.0</v>
      </c>
      <c r="L160" s="52" t="s">
        <v>200</v>
      </c>
      <c r="M160" s="52">
        <v>4.0</v>
      </c>
      <c r="N160" s="52" t="s">
        <v>154</v>
      </c>
      <c r="O160" s="52" t="s">
        <v>129</v>
      </c>
      <c r="P160" s="52" t="s">
        <v>140</v>
      </c>
      <c r="Q160" s="52" t="s">
        <v>108</v>
      </c>
      <c r="R160" s="52" t="s">
        <v>140</v>
      </c>
      <c r="S160" s="52" t="s">
        <v>108</v>
      </c>
      <c r="T160" s="65" t="s">
        <v>30</v>
      </c>
      <c r="U160" s="32">
        <v>1.0</v>
      </c>
      <c r="V160" s="32">
        <v>1.0</v>
      </c>
      <c r="W160" s="32">
        <v>1.0</v>
      </c>
      <c r="X160" s="32">
        <v>1.0</v>
      </c>
      <c r="Y160" s="32">
        <v>1.0</v>
      </c>
      <c r="Z160" s="32">
        <v>1.0</v>
      </c>
      <c r="AA160" s="32">
        <v>6.0</v>
      </c>
      <c r="AB160" s="32">
        <v>0.0</v>
      </c>
      <c r="AC160" s="103" t="str">
        <f>IFERROR(__xludf.DUMMYFUNCTION("if($C160="""","""",if(join("" - "",{iferror(filter('Student Groupings'!$A:$A,'Student Groupings'!$B:$B=$C160,'Student Groupings'!$H:$H=""Can't be Together""),"""");iferror(filter('Student Groupings'!$A:$A,'Student Groupings'!$E:$E=$C160,'Student Groupings"&amp;"'!$H:$H=""Can't be Together""),"""")})="" - "","""",join("" - "",{iferror(filter('Student Groupings'!$A:$A,'Student Groupings'!$B:$B=$C160,'Student Groupings'!$H:$H=""Can't be Together""),"""");iferror(filter('Student Groupings'!$A:$A,'Student Groupings'!"&amp;"$E:$E=$C160,'Student Groupings'!$H:$H=""Can't be Together""),"""")})))"),"")</f>
        <v/>
      </c>
      <c r="AD160" s="103" t="str">
        <f>IFERROR(__xludf.DUMMYFUNCTION("if($C160="""","""",if(join("" - "",{iferror(filter('Student Groupings'!$A:$A,'Student Groupings'!$B:$B=$C160,'Student Groupings'!$H:$H=""Must be Together""),"""");iferror(filter('Student Groupings'!$A:$A,'Student Groupings'!$E:$E=$C160,'Student Groupings'"&amp;"!$H:$H=""Must be Together""),"""")})="" - "","""",join("" - "",{iferror(filter('Student Groupings'!$A:$A,'Student Groupings'!$B:$B=$C160,'Student Groupings'!$H:$H=""Must be Together""),"""");iferror(filter('Student Groupings'!$A:$A,'Student Groupings'!$E:"&amp;"$E=$C160,'Student Groupings'!$H:$H=""Must be Together""),"""")})))"),"")</f>
        <v/>
      </c>
      <c r="AE160" s="104"/>
      <c r="AF160" s="104"/>
      <c r="AG160" s="104"/>
      <c r="AH160" s="104"/>
    </row>
    <row r="161">
      <c r="A161" s="101">
        <v>7.0</v>
      </c>
      <c r="B161" s="101">
        <v>30013.0</v>
      </c>
      <c r="C161" s="102" t="s">
        <v>431</v>
      </c>
      <c r="D161" s="52" t="s">
        <v>179</v>
      </c>
      <c r="E161" s="52">
        <v>6.0</v>
      </c>
      <c r="F161" s="52" t="s">
        <v>163</v>
      </c>
      <c r="G161" s="52">
        <v>5.0</v>
      </c>
      <c r="H161" s="52" t="s">
        <v>184</v>
      </c>
      <c r="I161" s="52">
        <v>2.0</v>
      </c>
      <c r="J161" s="52" t="s">
        <v>195</v>
      </c>
      <c r="K161" s="52">
        <v>3.0</v>
      </c>
      <c r="L161" s="52" t="s">
        <v>200</v>
      </c>
      <c r="M161" s="52">
        <v>1.0</v>
      </c>
      <c r="N161" s="52" t="s">
        <v>150</v>
      </c>
      <c r="O161" s="52" t="s">
        <v>111</v>
      </c>
      <c r="P161" s="52" t="s">
        <v>140</v>
      </c>
      <c r="Q161" s="52" t="s">
        <v>130</v>
      </c>
      <c r="R161" s="52" t="s">
        <v>140</v>
      </c>
      <c r="S161" s="52" t="s">
        <v>130</v>
      </c>
      <c r="T161" s="65" t="s">
        <v>30</v>
      </c>
      <c r="U161" s="32">
        <v>1.0</v>
      </c>
      <c r="V161" s="32">
        <v>1.0</v>
      </c>
      <c r="W161" s="32">
        <v>1.0</v>
      </c>
      <c r="X161" s="32">
        <v>1.0</v>
      </c>
      <c r="Y161" s="32">
        <v>1.0</v>
      </c>
      <c r="Z161" s="32">
        <v>1.0</v>
      </c>
      <c r="AA161" s="32">
        <v>6.0</v>
      </c>
      <c r="AB161" s="32">
        <v>0.0</v>
      </c>
      <c r="AC161" s="103" t="str">
        <f>IFERROR(__xludf.DUMMYFUNCTION("if($C161="""","""",if(join("" - "",{iferror(filter('Student Groupings'!$A:$A,'Student Groupings'!$B:$B=$C161,'Student Groupings'!$H:$H=""Can't be Together""),"""");iferror(filter('Student Groupings'!$A:$A,'Student Groupings'!$E:$E=$C161,'Student Groupings"&amp;"'!$H:$H=""Can't be Together""),"""")})="" - "","""",join("" - "",{iferror(filter('Student Groupings'!$A:$A,'Student Groupings'!$B:$B=$C161,'Student Groupings'!$H:$H=""Can't be Together""),"""");iferror(filter('Student Groupings'!$A:$A,'Student Groupings'!"&amp;"$E:$E=$C161,'Student Groupings'!$H:$H=""Can't be Together""),"""")})))"),"")</f>
        <v/>
      </c>
      <c r="AD161" s="103" t="str">
        <f>IFERROR(__xludf.DUMMYFUNCTION("if($C161="""","""",if(join("" - "",{iferror(filter('Student Groupings'!$A:$A,'Student Groupings'!$B:$B=$C161,'Student Groupings'!$H:$H=""Must be Together""),"""");iferror(filter('Student Groupings'!$A:$A,'Student Groupings'!$E:$E=$C161,'Student Groupings'"&amp;"!$H:$H=""Must be Together""),"""")})="" - "","""",join("" - "",{iferror(filter('Student Groupings'!$A:$A,'Student Groupings'!$B:$B=$C161,'Student Groupings'!$H:$H=""Must be Together""),"""");iferror(filter('Student Groupings'!$A:$A,'Student Groupings'!$E:"&amp;"$E=$C161,'Student Groupings'!$H:$H=""Must be Together""),"""")})))"),"")</f>
        <v/>
      </c>
      <c r="AE161" s="104"/>
      <c r="AF161" s="104"/>
      <c r="AG161" s="104"/>
      <c r="AH161" s="104"/>
    </row>
    <row r="162">
      <c r="A162" s="101">
        <v>7.0</v>
      </c>
      <c r="B162" s="101">
        <v>29017.0</v>
      </c>
      <c r="C162" s="102" t="s">
        <v>432</v>
      </c>
      <c r="D162" s="52" t="s">
        <v>175</v>
      </c>
      <c r="E162" s="52">
        <v>3.0</v>
      </c>
      <c r="F162" s="52" t="s">
        <v>164</v>
      </c>
      <c r="G162" s="52">
        <v>4.0</v>
      </c>
      <c r="H162" s="52" t="s">
        <v>188</v>
      </c>
      <c r="I162" s="101">
        <v>5.0</v>
      </c>
      <c r="J162" s="52" t="s">
        <v>193</v>
      </c>
      <c r="K162" s="101">
        <v>1.0</v>
      </c>
      <c r="L162" s="52" t="s">
        <v>200</v>
      </c>
      <c r="M162" s="101">
        <v>6.0</v>
      </c>
      <c r="N162" s="52" t="s">
        <v>154</v>
      </c>
      <c r="O162" s="52" t="s">
        <v>119</v>
      </c>
      <c r="P162" s="52" t="s">
        <v>140</v>
      </c>
      <c r="Q162" s="52" t="s">
        <v>125</v>
      </c>
      <c r="R162" s="52" t="s">
        <v>140</v>
      </c>
      <c r="S162" s="52" t="s">
        <v>125</v>
      </c>
      <c r="T162" s="65" t="s">
        <v>30</v>
      </c>
      <c r="U162" s="32">
        <v>1.0</v>
      </c>
      <c r="V162" s="32">
        <v>1.0</v>
      </c>
      <c r="W162" s="32">
        <v>1.0</v>
      </c>
      <c r="X162" s="32">
        <v>1.0</v>
      </c>
      <c r="Y162" s="32">
        <v>1.0</v>
      </c>
      <c r="Z162" s="32">
        <v>1.0</v>
      </c>
      <c r="AA162" s="32">
        <v>6.0</v>
      </c>
      <c r="AB162" s="32">
        <v>0.0</v>
      </c>
      <c r="AC162" s="103" t="str">
        <f>IFERROR(__xludf.DUMMYFUNCTION("if($C162="""","""",if(join("" - "",{iferror(filter('Student Groupings'!$A:$A,'Student Groupings'!$B:$B=$C162,'Student Groupings'!$H:$H=""Can't be Together""),"""");iferror(filter('Student Groupings'!$A:$A,'Student Groupings'!$E:$E=$C162,'Student Groupings"&amp;"'!$H:$H=""Can't be Together""),"""")})="" - "","""",join("" - "",{iferror(filter('Student Groupings'!$A:$A,'Student Groupings'!$B:$B=$C162,'Student Groupings'!$H:$H=""Can't be Together""),"""");iferror(filter('Student Groupings'!$A:$A,'Student Groupings'!"&amp;"$E:$E=$C162,'Student Groupings'!$H:$H=""Can't be Together""),"""")})))"),"")</f>
        <v/>
      </c>
      <c r="AD162" s="103" t="str">
        <f>IFERROR(__xludf.DUMMYFUNCTION("if($C162="""","""",if(join("" - "",{iferror(filter('Student Groupings'!$A:$A,'Student Groupings'!$B:$B=$C162,'Student Groupings'!$H:$H=""Must be Together""),"""");iferror(filter('Student Groupings'!$A:$A,'Student Groupings'!$E:$E=$C162,'Student Groupings'"&amp;"!$H:$H=""Must be Together""),"""")})="" - "","""",join("" - "",{iferror(filter('Student Groupings'!$A:$A,'Student Groupings'!$B:$B=$C162,'Student Groupings'!$H:$H=""Must be Together""),"""");iferror(filter('Student Groupings'!$A:$A,'Student Groupings'!$E:"&amp;"$E=$C162,'Student Groupings'!$H:$H=""Must be Together""),"""")})))"),"")</f>
        <v/>
      </c>
      <c r="AE162" s="104"/>
      <c r="AF162" s="104"/>
      <c r="AG162" s="104"/>
      <c r="AH162" s="104"/>
    </row>
    <row r="163">
      <c r="A163" s="101">
        <v>7.0</v>
      </c>
      <c r="B163" s="101">
        <v>30015.0</v>
      </c>
      <c r="C163" s="102" t="s">
        <v>433</v>
      </c>
      <c r="D163" s="52" t="s">
        <v>175</v>
      </c>
      <c r="E163" s="52">
        <v>2.0</v>
      </c>
      <c r="F163" s="52" t="s">
        <v>163</v>
      </c>
      <c r="G163" s="52">
        <v>6.0</v>
      </c>
      <c r="H163" s="52" t="s">
        <v>184</v>
      </c>
      <c r="I163" s="52">
        <v>3.0</v>
      </c>
      <c r="J163" s="52" t="s">
        <v>195</v>
      </c>
      <c r="K163" s="52">
        <v>5.0</v>
      </c>
      <c r="L163" s="52" t="s">
        <v>200</v>
      </c>
      <c r="M163" s="52">
        <v>4.0</v>
      </c>
      <c r="N163" s="52" t="s">
        <v>154</v>
      </c>
      <c r="O163" s="52" t="s">
        <v>129</v>
      </c>
      <c r="P163" s="52" t="s">
        <v>140</v>
      </c>
      <c r="Q163" s="52" t="s">
        <v>108</v>
      </c>
      <c r="R163" s="52" t="s">
        <v>140</v>
      </c>
      <c r="S163" s="52" t="s">
        <v>108</v>
      </c>
      <c r="T163" s="65" t="s">
        <v>30</v>
      </c>
      <c r="U163" s="32">
        <v>1.0</v>
      </c>
      <c r="V163" s="32">
        <v>1.0</v>
      </c>
      <c r="W163" s="32">
        <v>1.0</v>
      </c>
      <c r="X163" s="32">
        <v>1.0</v>
      </c>
      <c r="Y163" s="32">
        <v>1.0</v>
      </c>
      <c r="Z163" s="32">
        <v>1.0</v>
      </c>
      <c r="AA163" s="32">
        <v>6.0</v>
      </c>
      <c r="AB163" s="32">
        <v>0.0</v>
      </c>
      <c r="AC163" s="103" t="str">
        <f>IFERROR(__xludf.DUMMYFUNCTION("if($C163="""","""",if(join("" - "",{iferror(filter('Student Groupings'!$A:$A,'Student Groupings'!$B:$B=$C163,'Student Groupings'!$H:$H=""Can't be Together""),"""");iferror(filter('Student Groupings'!$A:$A,'Student Groupings'!$E:$E=$C163,'Student Groupings"&amp;"'!$H:$H=""Can't be Together""),"""")})="" - "","""",join("" - "",{iferror(filter('Student Groupings'!$A:$A,'Student Groupings'!$B:$B=$C163,'Student Groupings'!$H:$H=""Can't be Together""),"""");iferror(filter('Student Groupings'!$A:$A,'Student Groupings'!"&amp;"$E:$E=$C163,'Student Groupings'!$H:$H=""Can't be Together""),"""")})))"),"")</f>
        <v/>
      </c>
      <c r="AD163" s="103" t="str">
        <f>IFERROR(__xludf.DUMMYFUNCTION("if($C163="""","""",if(join("" - "",{iferror(filter('Student Groupings'!$A:$A,'Student Groupings'!$B:$B=$C163,'Student Groupings'!$H:$H=""Must be Together""),"""");iferror(filter('Student Groupings'!$A:$A,'Student Groupings'!$E:$E=$C163,'Student Groupings'"&amp;"!$H:$H=""Must be Together""),"""")})="" - "","""",join("" - "",{iferror(filter('Student Groupings'!$A:$A,'Student Groupings'!$B:$B=$C163,'Student Groupings'!$H:$H=""Must be Together""),"""");iferror(filter('Student Groupings'!$A:$A,'Student Groupings'!$E:"&amp;"$E=$C163,'Student Groupings'!$H:$H=""Must be Together""),"""")})))"),"")</f>
        <v/>
      </c>
      <c r="AE163" s="104"/>
      <c r="AF163" s="104"/>
      <c r="AG163" s="104"/>
      <c r="AH163" s="104"/>
    </row>
    <row r="164">
      <c r="A164" s="101">
        <v>7.0</v>
      </c>
      <c r="B164" s="101">
        <v>30018.0</v>
      </c>
      <c r="C164" s="102" t="s">
        <v>434</v>
      </c>
      <c r="D164" s="52" t="s">
        <v>175</v>
      </c>
      <c r="E164" s="52">
        <v>2.0</v>
      </c>
      <c r="F164" s="52" t="s">
        <v>163</v>
      </c>
      <c r="G164" s="52">
        <v>6.0</v>
      </c>
      <c r="H164" s="52" t="s">
        <v>184</v>
      </c>
      <c r="I164" s="52">
        <v>3.0</v>
      </c>
      <c r="J164" s="52" t="s">
        <v>195</v>
      </c>
      <c r="K164" s="52">
        <v>5.0</v>
      </c>
      <c r="L164" s="52" t="s">
        <v>200</v>
      </c>
      <c r="M164" s="52">
        <v>4.0</v>
      </c>
      <c r="N164" s="52" t="s">
        <v>154</v>
      </c>
      <c r="O164" s="52" t="s">
        <v>129</v>
      </c>
      <c r="P164" s="52" t="s">
        <v>140</v>
      </c>
      <c r="Q164" s="52" t="s">
        <v>108</v>
      </c>
      <c r="R164" s="52" t="s">
        <v>140</v>
      </c>
      <c r="S164" s="52" t="s">
        <v>108</v>
      </c>
      <c r="T164" s="65" t="s">
        <v>30</v>
      </c>
      <c r="U164" s="32">
        <v>1.0</v>
      </c>
      <c r="V164" s="32">
        <v>1.0</v>
      </c>
      <c r="W164" s="32">
        <v>1.0</v>
      </c>
      <c r="X164" s="32">
        <v>1.0</v>
      </c>
      <c r="Y164" s="32">
        <v>1.0</v>
      </c>
      <c r="Z164" s="32">
        <v>1.0</v>
      </c>
      <c r="AA164" s="32">
        <v>6.0</v>
      </c>
      <c r="AB164" s="32">
        <v>0.0</v>
      </c>
      <c r="AC164" s="103" t="str">
        <f>IFERROR(__xludf.DUMMYFUNCTION("if($C164="""","""",if(join("" - "",{iferror(filter('Student Groupings'!$A:$A,'Student Groupings'!$B:$B=$C164,'Student Groupings'!$H:$H=""Can't be Together""),"""");iferror(filter('Student Groupings'!$A:$A,'Student Groupings'!$E:$E=$C164,'Student Groupings"&amp;"'!$H:$H=""Can't be Together""),"""")})="" - "","""",join("" - "",{iferror(filter('Student Groupings'!$A:$A,'Student Groupings'!$B:$B=$C164,'Student Groupings'!$H:$H=""Can't be Together""),"""");iferror(filter('Student Groupings'!$A:$A,'Student Groupings'!"&amp;"$E:$E=$C164,'Student Groupings'!$H:$H=""Can't be Together""),"""")})))"),"")</f>
        <v/>
      </c>
      <c r="AD164" s="103" t="str">
        <f>IFERROR(__xludf.DUMMYFUNCTION("if($C164="""","""",if(join("" - "",{iferror(filter('Student Groupings'!$A:$A,'Student Groupings'!$B:$B=$C164,'Student Groupings'!$H:$H=""Must be Together""),"""");iferror(filter('Student Groupings'!$A:$A,'Student Groupings'!$E:$E=$C164,'Student Groupings'"&amp;"!$H:$H=""Must be Together""),"""")})="" - "","""",join("" - "",{iferror(filter('Student Groupings'!$A:$A,'Student Groupings'!$B:$B=$C164,'Student Groupings'!$H:$H=""Must be Together""),"""");iferror(filter('Student Groupings'!$A:$A,'Student Groupings'!$E:"&amp;"$E=$C164,'Student Groupings'!$H:$H=""Must be Together""),"""")})))"),"")</f>
        <v/>
      </c>
      <c r="AE164" s="104"/>
      <c r="AF164" s="104"/>
      <c r="AG164" s="104"/>
      <c r="AH164" s="104"/>
    </row>
    <row r="165">
      <c r="A165" s="101">
        <v>7.0</v>
      </c>
      <c r="B165" s="101">
        <v>30170.0</v>
      </c>
      <c r="C165" s="102" t="s">
        <v>435</v>
      </c>
      <c r="D165" s="52" t="s">
        <v>175</v>
      </c>
      <c r="E165" s="52">
        <v>2.0</v>
      </c>
      <c r="F165" s="52" t="s">
        <v>163</v>
      </c>
      <c r="G165" s="52">
        <v>6.0</v>
      </c>
      <c r="H165" s="52" t="s">
        <v>184</v>
      </c>
      <c r="I165" s="52">
        <v>3.0</v>
      </c>
      <c r="J165" s="52" t="s">
        <v>195</v>
      </c>
      <c r="K165" s="52">
        <v>5.0</v>
      </c>
      <c r="L165" s="52" t="s">
        <v>200</v>
      </c>
      <c r="M165" s="52">
        <v>4.0</v>
      </c>
      <c r="N165" s="52" t="s">
        <v>154</v>
      </c>
      <c r="O165" s="52" t="s">
        <v>129</v>
      </c>
      <c r="P165" s="52" t="s">
        <v>140</v>
      </c>
      <c r="Q165" s="52" t="s">
        <v>108</v>
      </c>
      <c r="R165" s="52" t="s">
        <v>140</v>
      </c>
      <c r="S165" s="52" t="s">
        <v>108</v>
      </c>
      <c r="T165" s="65" t="s">
        <v>8</v>
      </c>
      <c r="U165" s="32">
        <v>1.0</v>
      </c>
      <c r="V165" s="32">
        <v>1.0</v>
      </c>
      <c r="W165" s="32">
        <v>1.0</v>
      </c>
      <c r="X165" s="32">
        <v>1.0</v>
      </c>
      <c r="Y165" s="32">
        <v>1.0</v>
      </c>
      <c r="Z165" s="32">
        <v>1.0</v>
      </c>
      <c r="AA165" s="32">
        <v>6.0</v>
      </c>
      <c r="AB165" s="32">
        <v>0.0</v>
      </c>
      <c r="AC165" s="103" t="str">
        <f>IFERROR(__xludf.DUMMYFUNCTION("if($C165="""","""",if(join("" - "",{iferror(filter('Student Groupings'!$A:$A,'Student Groupings'!$B:$B=$C165,'Student Groupings'!$H:$H=""Can't be Together""),"""");iferror(filter('Student Groupings'!$A:$A,'Student Groupings'!$E:$E=$C165,'Student Groupings"&amp;"'!$H:$H=""Can't be Together""),"""")})="" - "","""",join("" - "",{iferror(filter('Student Groupings'!$A:$A,'Student Groupings'!$B:$B=$C165,'Student Groupings'!$H:$H=""Can't be Together""),"""");iferror(filter('Student Groupings'!$A:$A,'Student Groupings'!"&amp;"$E:$E=$C165,'Student Groupings'!$H:$H=""Can't be Together""),"""")})))"),"")</f>
        <v/>
      </c>
      <c r="AD165" s="103" t="str">
        <f>IFERROR(__xludf.DUMMYFUNCTION("if($C165="""","""",if(join("" - "",{iferror(filter('Student Groupings'!$A:$A,'Student Groupings'!$B:$B=$C165,'Student Groupings'!$H:$H=""Must be Together""),"""");iferror(filter('Student Groupings'!$A:$A,'Student Groupings'!$E:$E=$C165,'Student Groupings'"&amp;"!$H:$H=""Must be Together""),"""")})="" - "","""",join("" - "",{iferror(filter('Student Groupings'!$A:$A,'Student Groupings'!$B:$B=$C165,'Student Groupings'!$H:$H=""Must be Together""),"""");iferror(filter('Student Groupings'!$A:$A,'Student Groupings'!$E:"&amp;"$E=$C165,'Student Groupings'!$H:$H=""Must be Together""),"""")})))"),"")</f>
        <v/>
      </c>
      <c r="AE165" s="104"/>
      <c r="AF165" s="104"/>
      <c r="AG165" s="104"/>
      <c r="AH165" s="104"/>
    </row>
    <row r="166">
      <c r="A166" s="101">
        <v>7.0</v>
      </c>
      <c r="B166" s="101">
        <v>30019.0</v>
      </c>
      <c r="C166" s="102" t="s">
        <v>436</v>
      </c>
      <c r="D166" s="52" t="s">
        <v>175</v>
      </c>
      <c r="E166" s="52">
        <v>6.0</v>
      </c>
      <c r="F166" s="52" t="s">
        <v>163</v>
      </c>
      <c r="G166" s="52">
        <v>5.0</v>
      </c>
      <c r="H166" s="52" t="s">
        <v>184</v>
      </c>
      <c r="I166" s="52">
        <v>2.0</v>
      </c>
      <c r="J166" s="52" t="s">
        <v>195</v>
      </c>
      <c r="K166" s="52">
        <v>1.0</v>
      </c>
      <c r="L166" s="52" t="s">
        <v>200</v>
      </c>
      <c r="M166" s="52">
        <v>3.0</v>
      </c>
      <c r="N166" s="52" t="s">
        <v>150</v>
      </c>
      <c r="O166" s="52" t="s">
        <v>111</v>
      </c>
      <c r="P166" s="52" t="s">
        <v>140</v>
      </c>
      <c r="Q166" s="52" t="s">
        <v>130</v>
      </c>
      <c r="R166" s="52" t="s">
        <v>140</v>
      </c>
      <c r="S166" s="52" t="s">
        <v>130</v>
      </c>
      <c r="T166" s="65" t="s">
        <v>30</v>
      </c>
      <c r="U166" s="32">
        <v>1.0</v>
      </c>
      <c r="V166" s="32">
        <v>1.0</v>
      </c>
      <c r="W166" s="32">
        <v>1.0</v>
      </c>
      <c r="X166" s="32">
        <v>1.0</v>
      </c>
      <c r="Y166" s="32">
        <v>1.0</v>
      </c>
      <c r="Z166" s="32">
        <v>1.0</v>
      </c>
      <c r="AA166" s="32">
        <v>6.0</v>
      </c>
      <c r="AB166" s="32">
        <v>0.0</v>
      </c>
      <c r="AC166" s="103" t="str">
        <f>IFERROR(__xludf.DUMMYFUNCTION("if($C166="""","""",if(join("" - "",{iferror(filter('Student Groupings'!$A:$A,'Student Groupings'!$B:$B=$C166,'Student Groupings'!$H:$H=""Can't be Together""),"""");iferror(filter('Student Groupings'!$A:$A,'Student Groupings'!$E:$E=$C166,'Student Groupings"&amp;"'!$H:$H=""Can't be Together""),"""")})="" - "","""",join("" - "",{iferror(filter('Student Groupings'!$A:$A,'Student Groupings'!$B:$B=$C166,'Student Groupings'!$H:$H=""Can't be Together""),"""");iferror(filter('Student Groupings'!$A:$A,'Student Groupings'!"&amp;"$E:$E=$C166,'Student Groupings'!$H:$H=""Can't be Together""),"""")})))"),"")</f>
        <v/>
      </c>
      <c r="AD166" s="103" t="str">
        <f>IFERROR(__xludf.DUMMYFUNCTION("if($C166="""","""",if(join("" - "",{iferror(filter('Student Groupings'!$A:$A,'Student Groupings'!$B:$B=$C166,'Student Groupings'!$H:$H=""Must be Together""),"""");iferror(filter('Student Groupings'!$A:$A,'Student Groupings'!$E:$E=$C166,'Student Groupings'"&amp;"!$H:$H=""Must be Together""),"""")})="" - "","""",join("" - "",{iferror(filter('Student Groupings'!$A:$A,'Student Groupings'!$B:$B=$C166,'Student Groupings'!$H:$H=""Must be Together""),"""");iferror(filter('Student Groupings'!$A:$A,'Student Groupings'!$E:"&amp;"$E=$C166,'Student Groupings'!$H:$H=""Must be Together""),"""")})))"),"")</f>
        <v/>
      </c>
      <c r="AE166" s="104"/>
      <c r="AF166" s="104"/>
      <c r="AG166" s="104"/>
      <c r="AH166" s="104"/>
    </row>
    <row r="167">
      <c r="A167" s="101">
        <v>7.0</v>
      </c>
      <c r="B167" s="101">
        <v>30021.0</v>
      </c>
      <c r="C167" s="102" t="s">
        <v>437</v>
      </c>
      <c r="D167" s="52" t="s">
        <v>175</v>
      </c>
      <c r="E167" s="52">
        <v>4.0</v>
      </c>
      <c r="F167" s="52" t="s">
        <v>164</v>
      </c>
      <c r="G167" s="52">
        <v>3.0</v>
      </c>
      <c r="H167" s="52" t="s">
        <v>184</v>
      </c>
      <c r="I167" s="52">
        <v>1.0</v>
      </c>
      <c r="J167" s="52" t="s">
        <v>193</v>
      </c>
      <c r="K167" s="52">
        <v>5.0</v>
      </c>
      <c r="L167" s="52" t="s">
        <v>200</v>
      </c>
      <c r="M167" s="52">
        <v>2.0</v>
      </c>
      <c r="N167" s="52" t="s">
        <v>150</v>
      </c>
      <c r="O167" s="52" t="s">
        <v>109</v>
      </c>
      <c r="P167" s="52" t="s">
        <v>116</v>
      </c>
      <c r="Q167" s="52" t="s">
        <v>120</v>
      </c>
      <c r="R167" s="52" t="s">
        <v>133</v>
      </c>
      <c r="S167" s="52" t="s">
        <v>120</v>
      </c>
      <c r="T167" s="65" t="s">
        <v>27</v>
      </c>
      <c r="U167" s="32">
        <v>1.0</v>
      </c>
      <c r="V167" s="32">
        <v>1.0</v>
      </c>
      <c r="W167" s="32">
        <v>1.0</v>
      </c>
      <c r="X167" s="32">
        <v>1.0</v>
      </c>
      <c r="Y167" s="32">
        <v>1.0</v>
      </c>
      <c r="Z167" s="32">
        <v>1.0</v>
      </c>
      <c r="AA167" s="32">
        <v>6.0</v>
      </c>
      <c r="AB167" s="32">
        <v>0.0</v>
      </c>
      <c r="AC167" s="103" t="str">
        <f>IFERROR(__xludf.DUMMYFUNCTION("if($C167="""","""",if(join("" - "",{iferror(filter('Student Groupings'!$A:$A,'Student Groupings'!$B:$B=$C167,'Student Groupings'!$H:$H=""Can't be Together""),"""");iferror(filter('Student Groupings'!$A:$A,'Student Groupings'!$E:$E=$C167,'Student Groupings"&amp;"'!$H:$H=""Can't be Together""),"""")})="" - "","""",join("" - "",{iferror(filter('Student Groupings'!$A:$A,'Student Groupings'!$B:$B=$C167,'Student Groupings'!$H:$H=""Can't be Together""),"""");iferror(filter('Student Groupings'!$A:$A,'Student Groupings'!"&amp;"$E:$E=$C167,'Student Groupings'!$H:$H=""Can't be Together""),"""")})))"),"")</f>
        <v/>
      </c>
      <c r="AD167" s="103" t="str">
        <f>IFERROR(__xludf.DUMMYFUNCTION("if($C167="""","""",if(join("" - "",{iferror(filter('Student Groupings'!$A:$A,'Student Groupings'!$B:$B=$C167,'Student Groupings'!$H:$H=""Must be Together""),"""");iferror(filter('Student Groupings'!$A:$A,'Student Groupings'!$E:$E=$C167,'Student Groupings'"&amp;"!$H:$H=""Must be Together""),"""")})="" - "","""",join("" - "",{iferror(filter('Student Groupings'!$A:$A,'Student Groupings'!$B:$B=$C167,'Student Groupings'!$H:$H=""Must be Together""),"""");iferror(filter('Student Groupings'!$A:$A,'Student Groupings'!$E:"&amp;"$E=$C167,'Student Groupings'!$H:$H=""Must be Together""),"""")})))"),"")</f>
        <v/>
      </c>
      <c r="AE167" s="104"/>
      <c r="AF167" s="104"/>
      <c r="AG167" s="104"/>
      <c r="AH167" s="104"/>
    </row>
    <row r="168">
      <c r="A168" s="101">
        <v>7.0</v>
      </c>
      <c r="B168" s="101">
        <v>30022.0</v>
      </c>
      <c r="C168" s="108" t="s">
        <v>438</v>
      </c>
      <c r="D168" s="52" t="s">
        <v>179</v>
      </c>
      <c r="E168" s="52">
        <v>6.0</v>
      </c>
      <c r="F168" s="52" t="s">
        <v>164</v>
      </c>
      <c r="G168" s="52">
        <v>4.0</v>
      </c>
      <c r="H168" s="52" t="s">
        <v>188</v>
      </c>
      <c r="I168" s="52">
        <v>5.0</v>
      </c>
      <c r="J168" s="52" t="s">
        <v>195</v>
      </c>
      <c r="K168" s="52">
        <v>3.0</v>
      </c>
      <c r="L168" s="52" t="s">
        <v>200</v>
      </c>
      <c r="M168" s="52">
        <v>1.0</v>
      </c>
      <c r="N168" s="52" t="s">
        <v>154</v>
      </c>
      <c r="O168" s="52" t="s">
        <v>119</v>
      </c>
      <c r="P168" s="52" t="s">
        <v>140</v>
      </c>
      <c r="Q168" s="52" t="s">
        <v>125</v>
      </c>
      <c r="R168" s="52" t="s">
        <v>140</v>
      </c>
      <c r="S168" s="52" t="s">
        <v>125</v>
      </c>
      <c r="T168" s="65" t="s">
        <v>30</v>
      </c>
      <c r="U168" s="32">
        <v>1.0</v>
      </c>
      <c r="V168" s="32">
        <v>1.0</v>
      </c>
      <c r="W168" s="32">
        <v>1.0</v>
      </c>
      <c r="X168" s="32">
        <v>1.0</v>
      </c>
      <c r="Y168" s="32">
        <v>1.0</v>
      </c>
      <c r="Z168" s="32">
        <v>1.0</v>
      </c>
      <c r="AA168" s="32">
        <v>6.0</v>
      </c>
      <c r="AB168" s="32">
        <v>0.0</v>
      </c>
      <c r="AC168" s="103" t="str">
        <f>IFERROR(__xludf.DUMMYFUNCTION("if($C168="""","""",if(join("" - "",{iferror(filter('Student Groupings'!$A:$A,'Student Groupings'!$B:$B=$C168,'Student Groupings'!$H:$H=""Can't be Together""),"""");iferror(filter('Student Groupings'!$A:$A,'Student Groupings'!$E:$E=$C168,'Student Groupings"&amp;"'!$H:$H=""Can't be Together""),"""")})="" - "","""",join("" - "",{iferror(filter('Student Groupings'!$A:$A,'Student Groupings'!$B:$B=$C168,'Student Groupings'!$H:$H=""Can't be Together""),"""");iferror(filter('Student Groupings'!$A:$A,'Student Groupings'!"&amp;"$E:$E=$C168,'Student Groupings'!$H:$H=""Can't be Together""),"""")})))"),"")</f>
        <v/>
      </c>
      <c r="AD168" s="103" t="str">
        <f>IFERROR(__xludf.DUMMYFUNCTION("if($C168="""","""",if(join("" - "",{iferror(filter('Student Groupings'!$A:$A,'Student Groupings'!$B:$B=$C168,'Student Groupings'!$H:$H=""Must be Together""),"""");iferror(filter('Student Groupings'!$A:$A,'Student Groupings'!$E:$E=$C168,'Student Groupings'"&amp;"!$H:$H=""Must be Together""),"""")})="" - "","""",join("" - "",{iferror(filter('Student Groupings'!$A:$A,'Student Groupings'!$B:$B=$C168,'Student Groupings'!$H:$H=""Must be Together""),"""");iferror(filter('Student Groupings'!$A:$A,'Student Groupings'!$E:"&amp;"$E=$C168,'Student Groupings'!$H:$H=""Must be Together""),"""")})))"),"")</f>
        <v/>
      </c>
      <c r="AE168" s="105"/>
      <c r="AF168" s="105"/>
      <c r="AG168" s="105"/>
      <c r="AH168" s="105"/>
    </row>
    <row r="169">
      <c r="A169" s="101">
        <v>7.0</v>
      </c>
      <c r="B169" s="101">
        <v>30023.0</v>
      </c>
      <c r="C169" s="102" t="s">
        <v>439</v>
      </c>
      <c r="D169" s="52" t="s">
        <v>175</v>
      </c>
      <c r="E169" s="52">
        <v>5.0</v>
      </c>
      <c r="F169" s="52" t="s">
        <v>163</v>
      </c>
      <c r="G169" s="52">
        <v>3.0</v>
      </c>
      <c r="H169" s="52" t="s">
        <v>184</v>
      </c>
      <c r="I169" s="52">
        <v>6.0</v>
      </c>
      <c r="J169" s="52" t="s">
        <v>195</v>
      </c>
      <c r="K169" s="52">
        <v>2.0</v>
      </c>
      <c r="L169" s="52" t="s">
        <v>203</v>
      </c>
      <c r="M169" s="52">
        <v>4.0</v>
      </c>
      <c r="N169" s="52" t="s">
        <v>150</v>
      </c>
      <c r="O169" s="52" t="s">
        <v>129</v>
      </c>
      <c r="P169" s="52" t="s">
        <v>116</v>
      </c>
      <c r="Q169" s="52" t="s">
        <v>108</v>
      </c>
      <c r="R169" s="52" t="s">
        <v>133</v>
      </c>
      <c r="S169" s="52" t="s">
        <v>108</v>
      </c>
      <c r="T169" s="65" t="s">
        <v>27</v>
      </c>
      <c r="U169" s="32">
        <v>1.0</v>
      </c>
      <c r="V169" s="32">
        <v>1.0</v>
      </c>
      <c r="W169" s="32">
        <v>1.0</v>
      </c>
      <c r="X169" s="32">
        <v>1.0</v>
      </c>
      <c r="Y169" s="32">
        <v>1.0</v>
      </c>
      <c r="Z169" s="32">
        <v>1.0</v>
      </c>
      <c r="AA169" s="32">
        <v>6.0</v>
      </c>
      <c r="AB169" s="32">
        <v>0.0</v>
      </c>
      <c r="AC169" s="103" t="str">
        <f>IFERROR(__xludf.DUMMYFUNCTION("if($C169="""","""",if(join("" - "",{iferror(filter('Student Groupings'!$A:$A,'Student Groupings'!$B:$B=$C169,'Student Groupings'!$H:$H=""Can't be Together""),"""");iferror(filter('Student Groupings'!$A:$A,'Student Groupings'!$E:$E=$C169,'Student Groupings"&amp;"'!$H:$H=""Can't be Together""),"""")})="" - "","""",join("" - "",{iferror(filter('Student Groupings'!$A:$A,'Student Groupings'!$B:$B=$C169,'Student Groupings'!$H:$H=""Can't be Together""),"""");iferror(filter('Student Groupings'!$A:$A,'Student Groupings'!"&amp;"$E:$E=$C169,'Student Groupings'!$H:$H=""Can't be Together""),"""")})))"),"")</f>
        <v/>
      </c>
      <c r="AD169" s="103" t="str">
        <f>IFERROR(__xludf.DUMMYFUNCTION("if($C169="""","""",if(join("" - "",{iferror(filter('Student Groupings'!$A:$A,'Student Groupings'!$B:$B=$C169,'Student Groupings'!$H:$H=""Must be Together""),"""");iferror(filter('Student Groupings'!$A:$A,'Student Groupings'!$E:$E=$C169,'Student Groupings'"&amp;"!$H:$H=""Must be Together""),"""")})="" - "","""",join("" - "",{iferror(filter('Student Groupings'!$A:$A,'Student Groupings'!$B:$B=$C169,'Student Groupings'!$H:$H=""Must be Together""),"""");iferror(filter('Student Groupings'!$A:$A,'Student Groupings'!$E:"&amp;"$E=$C169,'Student Groupings'!$H:$H=""Must be Together""),"""")})))"),"")</f>
        <v/>
      </c>
      <c r="AE169" s="104"/>
      <c r="AF169" s="104"/>
      <c r="AG169" s="104"/>
      <c r="AH169" s="104"/>
    </row>
    <row r="170">
      <c r="A170" s="101">
        <v>7.0</v>
      </c>
      <c r="B170" s="101">
        <v>30024.0</v>
      </c>
      <c r="C170" s="102" t="s">
        <v>440</v>
      </c>
      <c r="D170" s="52" t="s">
        <v>175</v>
      </c>
      <c r="E170" s="52">
        <v>4.0</v>
      </c>
      <c r="F170" s="52" t="s">
        <v>164</v>
      </c>
      <c r="G170" s="52">
        <v>3.0</v>
      </c>
      <c r="H170" s="52" t="s">
        <v>184</v>
      </c>
      <c r="I170" s="52">
        <v>1.0</v>
      </c>
      <c r="J170" s="52" t="s">
        <v>193</v>
      </c>
      <c r="K170" s="52">
        <v>5.0</v>
      </c>
      <c r="L170" s="52" t="s">
        <v>200</v>
      </c>
      <c r="M170" s="52">
        <v>2.0</v>
      </c>
      <c r="N170" s="52" t="s">
        <v>150</v>
      </c>
      <c r="O170" s="52" t="s">
        <v>109</v>
      </c>
      <c r="P170" s="52" t="s">
        <v>116</v>
      </c>
      <c r="Q170" s="52" t="s">
        <v>120</v>
      </c>
      <c r="R170" s="52" t="s">
        <v>133</v>
      </c>
      <c r="S170" s="52" t="s">
        <v>120</v>
      </c>
      <c r="T170" s="65" t="s">
        <v>27</v>
      </c>
      <c r="U170" s="32">
        <v>1.0</v>
      </c>
      <c r="V170" s="32">
        <v>1.0</v>
      </c>
      <c r="W170" s="32">
        <v>1.0</v>
      </c>
      <c r="X170" s="32">
        <v>1.0</v>
      </c>
      <c r="Y170" s="32">
        <v>1.0</v>
      </c>
      <c r="Z170" s="32">
        <v>1.0</v>
      </c>
      <c r="AA170" s="32">
        <v>6.0</v>
      </c>
      <c r="AB170" s="32">
        <v>0.0</v>
      </c>
      <c r="AC170" s="103" t="str">
        <f>IFERROR(__xludf.DUMMYFUNCTION("if($C170="""","""",if(join("" - "",{iferror(filter('Student Groupings'!$A:$A,'Student Groupings'!$B:$B=$C170,'Student Groupings'!$H:$H=""Can't be Together""),"""");iferror(filter('Student Groupings'!$A:$A,'Student Groupings'!$E:$E=$C170,'Student Groupings"&amp;"'!$H:$H=""Can't be Together""),"""")})="" - "","""",join("" - "",{iferror(filter('Student Groupings'!$A:$A,'Student Groupings'!$B:$B=$C170,'Student Groupings'!$H:$H=""Can't be Together""),"""");iferror(filter('Student Groupings'!$A:$A,'Student Groupings'!"&amp;"$E:$E=$C170,'Student Groupings'!$H:$H=""Can't be Together""),"""")})))"),"")</f>
        <v/>
      </c>
      <c r="AD170" s="103" t="str">
        <f>IFERROR(__xludf.DUMMYFUNCTION("if($C170="""","""",if(join("" - "",{iferror(filter('Student Groupings'!$A:$A,'Student Groupings'!$B:$B=$C170,'Student Groupings'!$H:$H=""Must be Together""),"""");iferror(filter('Student Groupings'!$A:$A,'Student Groupings'!$E:$E=$C170,'Student Groupings'"&amp;"!$H:$H=""Must be Together""),"""")})="" - "","""",join("" - "",{iferror(filter('Student Groupings'!$A:$A,'Student Groupings'!$B:$B=$C170,'Student Groupings'!$H:$H=""Must be Together""),"""");iferror(filter('Student Groupings'!$A:$A,'Student Groupings'!$E:"&amp;"$E=$C170,'Student Groupings'!$H:$H=""Must be Together""),"""")})))"),"")</f>
        <v/>
      </c>
      <c r="AE170" s="104"/>
      <c r="AF170" s="104"/>
      <c r="AG170" s="104"/>
      <c r="AH170" s="104"/>
    </row>
    <row r="171">
      <c r="A171" s="101">
        <v>7.0</v>
      </c>
      <c r="B171" s="101">
        <v>30025.0</v>
      </c>
      <c r="C171" s="102" t="s">
        <v>441</v>
      </c>
      <c r="D171" s="52" t="s">
        <v>175</v>
      </c>
      <c r="E171" s="52">
        <v>5.0</v>
      </c>
      <c r="F171" s="52" t="s">
        <v>163</v>
      </c>
      <c r="G171" s="52">
        <v>3.0</v>
      </c>
      <c r="H171" s="52" t="s">
        <v>184</v>
      </c>
      <c r="I171" s="52">
        <v>6.0</v>
      </c>
      <c r="J171" s="52" t="s">
        <v>195</v>
      </c>
      <c r="K171" s="52">
        <v>2.0</v>
      </c>
      <c r="L171" s="52" t="s">
        <v>203</v>
      </c>
      <c r="M171" s="52">
        <v>4.0</v>
      </c>
      <c r="N171" s="52" t="s">
        <v>150</v>
      </c>
      <c r="O171" s="52" t="s">
        <v>129</v>
      </c>
      <c r="P171" s="52" t="s">
        <v>133</v>
      </c>
      <c r="Q171" s="52" t="s">
        <v>108</v>
      </c>
      <c r="R171" s="52" t="s">
        <v>116</v>
      </c>
      <c r="S171" s="52" t="s">
        <v>108</v>
      </c>
      <c r="T171" s="65" t="s">
        <v>27</v>
      </c>
      <c r="U171" s="32">
        <v>1.0</v>
      </c>
      <c r="V171" s="32">
        <v>1.0</v>
      </c>
      <c r="W171" s="32">
        <v>1.0</v>
      </c>
      <c r="X171" s="32">
        <v>1.0</v>
      </c>
      <c r="Y171" s="32">
        <v>1.0</v>
      </c>
      <c r="Z171" s="32">
        <v>1.0</v>
      </c>
      <c r="AA171" s="32">
        <v>6.0</v>
      </c>
      <c r="AB171" s="32">
        <v>0.0</v>
      </c>
      <c r="AC171" s="103" t="str">
        <f>IFERROR(__xludf.DUMMYFUNCTION("if($C171="""","""",if(join("" - "",{iferror(filter('Student Groupings'!$A:$A,'Student Groupings'!$B:$B=$C171,'Student Groupings'!$H:$H=""Can't be Together""),"""");iferror(filter('Student Groupings'!$A:$A,'Student Groupings'!$E:$E=$C171,'Student Groupings"&amp;"'!$H:$H=""Can't be Together""),"""")})="" - "","""",join("" - "",{iferror(filter('Student Groupings'!$A:$A,'Student Groupings'!$B:$B=$C171,'Student Groupings'!$H:$H=""Can't be Together""),"""");iferror(filter('Student Groupings'!$A:$A,'Student Groupings'!"&amp;"$E:$E=$C171,'Student Groupings'!$H:$H=""Can't be Together""),"""")})))"),"")</f>
        <v/>
      </c>
      <c r="AD171" s="103" t="str">
        <f>IFERROR(__xludf.DUMMYFUNCTION("if($C171="""","""",if(join("" - "",{iferror(filter('Student Groupings'!$A:$A,'Student Groupings'!$B:$B=$C171,'Student Groupings'!$H:$H=""Must be Together""),"""");iferror(filter('Student Groupings'!$A:$A,'Student Groupings'!$E:$E=$C171,'Student Groupings'"&amp;"!$H:$H=""Must be Together""),"""")})="" - "","""",join("" - "",{iferror(filter('Student Groupings'!$A:$A,'Student Groupings'!$B:$B=$C171,'Student Groupings'!$H:$H=""Must be Together""),"""");iferror(filter('Student Groupings'!$A:$A,'Student Groupings'!$E:"&amp;"$E=$C171,'Student Groupings'!$H:$H=""Must be Together""),"""")})))"),"")</f>
        <v/>
      </c>
      <c r="AE171" s="104"/>
      <c r="AF171" s="104"/>
      <c r="AG171" s="104"/>
      <c r="AH171" s="104"/>
    </row>
    <row r="172">
      <c r="A172" s="109">
        <v>7.0</v>
      </c>
      <c r="B172" s="109">
        <v>30026.0</v>
      </c>
      <c r="C172" s="110" t="s">
        <v>442</v>
      </c>
      <c r="D172" s="111" t="s">
        <v>175</v>
      </c>
      <c r="E172" s="111">
        <v>4.0</v>
      </c>
      <c r="F172" s="111" t="s">
        <v>164</v>
      </c>
      <c r="G172" s="111">
        <v>3.0</v>
      </c>
      <c r="H172" s="111" t="s">
        <v>184</v>
      </c>
      <c r="I172" s="111">
        <v>1.0</v>
      </c>
      <c r="J172" s="111" t="s">
        <v>193</v>
      </c>
      <c r="K172" s="111">
        <v>5.0</v>
      </c>
      <c r="L172" s="111" t="s">
        <v>200</v>
      </c>
      <c r="M172" s="111">
        <v>2.0</v>
      </c>
      <c r="N172" s="111" t="s">
        <v>150</v>
      </c>
      <c r="O172" s="111" t="s">
        <v>109</v>
      </c>
      <c r="P172" s="111" t="s">
        <v>116</v>
      </c>
      <c r="Q172" s="111" t="s">
        <v>120</v>
      </c>
      <c r="R172" s="111" t="s">
        <v>133</v>
      </c>
      <c r="S172" s="111" t="s">
        <v>120</v>
      </c>
      <c r="T172" s="112" t="s">
        <v>27</v>
      </c>
      <c r="U172" s="113">
        <v>1.0</v>
      </c>
      <c r="V172" s="113">
        <v>1.0</v>
      </c>
      <c r="W172" s="113">
        <v>1.0</v>
      </c>
      <c r="X172" s="113">
        <v>1.0</v>
      </c>
      <c r="Y172" s="113">
        <v>1.0</v>
      </c>
      <c r="Z172" s="113">
        <v>1.0</v>
      </c>
      <c r="AA172" s="113">
        <v>6.0</v>
      </c>
      <c r="AB172" s="113">
        <v>0.0</v>
      </c>
      <c r="AC172" s="114" t="str">
        <f>IFERROR(__xludf.DUMMYFUNCTION("if($C172="""","""",if(join("" - "",{iferror(filter('Student Groupings'!$A:$A,'Student Groupings'!$B:$B=$C172,'Student Groupings'!$H:$H=""Can't be Together""),"""");iferror(filter('Student Groupings'!$A:$A,'Student Groupings'!$E:$E=$C172,'Student Groupings"&amp;"'!$H:$H=""Can't be Together""),"""")})="" - "","""",join("" - "",{iferror(filter('Student Groupings'!$A:$A,'Student Groupings'!$B:$B=$C172,'Student Groupings'!$H:$H=""Can't be Together""),"""");iferror(filter('Student Groupings'!$A:$A,'Student Groupings'!"&amp;"$E:$E=$C172,'Student Groupings'!$H:$H=""Can't be Together""),"""")})))"),"")</f>
        <v/>
      </c>
      <c r="AD172" s="114" t="str">
        <f>IFERROR(__xludf.DUMMYFUNCTION("if($C172="""","""",if(join("" - "",{iferror(filter('Student Groupings'!$A:$A,'Student Groupings'!$B:$B=$C172,'Student Groupings'!$H:$H=""Must be Together""),"""");iferror(filter('Student Groupings'!$A:$A,'Student Groupings'!$E:$E=$C172,'Student Groupings'"&amp;"!$H:$H=""Must be Together""),"""")})="" - "","""",join("" - "",{iferror(filter('Student Groupings'!$A:$A,'Student Groupings'!$B:$B=$C172,'Student Groupings'!$H:$H=""Must be Together""),"""");iferror(filter('Student Groupings'!$A:$A,'Student Groupings'!$E:"&amp;"$E=$C172,'Student Groupings'!$H:$H=""Must be Together""),"""")})))"),"")</f>
        <v/>
      </c>
      <c r="AE172" s="115"/>
      <c r="AF172" s="115"/>
      <c r="AG172" s="115"/>
      <c r="AH172" s="115"/>
    </row>
    <row r="173">
      <c r="A173" s="101">
        <v>7.0</v>
      </c>
      <c r="B173" s="101">
        <v>30027.0</v>
      </c>
      <c r="C173" s="102" t="s">
        <v>443</v>
      </c>
      <c r="D173" s="52" t="s">
        <v>175</v>
      </c>
      <c r="E173" s="52">
        <v>5.0</v>
      </c>
      <c r="F173" s="52" t="s">
        <v>163</v>
      </c>
      <c r="G173" s="52">
        <v>3.0</v>
      </c>
      <c r="H173" s="52" t="s">
        <v>184</v>
      </c>
      <c r="I173" s="52">
        <v>6.0</v>
      </c>
      <c r="J173" s="52" t="s">
        <v>195</v>
      </c>
      <c r="K173" s="52">
        <v>2.0</v>
      </c>
      <c r="L173" s="52" t="s">
        <v>203</v>
      </c>
      <c r="M173" s="52">
        <v>4.0</v>
      </c>
      <c r="N173" s="52" t="s">
        <v>150</v>
      </c>
      <c r="O173" s="52" t="s">
        <v>129</v>
      </c>
      <c r="P173" s="52" t="s">
        <v>116</v>
      </c>
      <c r="Q173" s="52" t="s">
        <v>108</v>
      </c>
      <c r="R173" s="52" t="s">
        <v>133</v>
      </c>
      <c r="S173" s="52" t="s">
        <v>108</v>
      </c>
      <c r="T173" s="65" t="s">
        <v>27</v>
      </c>
      <c r="U173" s="32">
        <v>1.0</v>
      </c>
      <c r="V173" s="32">
        <v>1.0</v>
      </c>
      <c r="W173" s="32">
        <v>1.0</v>
      </c>
      <c r="X173" s="32">
        <v>1.0</v>
      </c>
      <c r="Y173" s="32">
        <v>1.0</v>
      </c>
      <c r="Z173" s="32">
        <v>1.0</v>
      </c>
      <c r="AA173" s="32">
        <v>6.0</v>
      </c>
      <c r="AB173" s="32">
        <v>0.0</v>
      </c>
      <c r="AC173" s="103" t="str">
        <f>IFERROR(__xludf.DUMMYFUNCTION("if($C173="""","""",if(join("" - "",{iferror(filter('Student Groupings'!$A:$A,'Student Groupings'!$B:$B=$C173,'Student Groupings'!$H:$H=""Can't be Together""),"""");iferror(filter('Student Groupings'!$A:$A,'Student Groupings'!$E:$E=$C173,'Student Groupings"&amp;"'!$H:$H=""Can't be Together""),"""")})="" - "","""",join("" - "",{iferror(filter('Student Groupings'!$A:$A,'Student Groupings'!$B:$B=$C173,'Student Groupings'!$H:$H=""Can't be Together""),"""");iferror(filter('Student Groupings'!$A:$A,'Student Groupings'!"&amp;"$E:$E=$C173,'Student Groupings'!$H:$H=""Can't be Together""),"""")})))"),"")</f>
        <v/>
      </c>
      <c r="AD173" s="103" t="str">
        <f>IFERROR(__xludf.DUMMYFUNCTION("if($C173="""","""",if(join("" - "",{iferror(filter('Student Groupings'!$A:$A,'Student Groupings'!$B:$B=$C173,'Student Groupings'!$H:$H=""Must be Together""),"""");iferror(filter('Student Groupings'!$A:$A,'Student Groupings'!$E:$E=$C173,'Student Groupings'"&amp;"!$H:$H=""Must be Together""),"""")})="" - "","""",join("" - "",{iferror(filter('Student Groupings'!$A:$A,'Student Groupings'!$B:$B=$C173,'Student Groupings'!$H:$H=""Must be Together""),"""");iferror(filter('Student Groupings'!$A:$A,'Student Groupings'!$E:"&amp;"$E=$C173,'Student Groupings'!$H:$H=""Must be Together""),"""")})))"),"")</f>
        <v/>
      </c>
      <c r="AE173" s="104"/>
      <c r="AF173" s="104"/>
      <c r="AG173" s="104"/>
      <c r="AH173" s="104"/>
    </row>
    <row r="174">
      <c r="A174" s="101">
        <v>7.0</v>
      </c>
      <c r="B174" s="101">
        <v>30135.0</v>
      </c>
      <c r="C174" s="102" t="s">
        <v>444</v>
      </c>
      <c r="D174" s="52" t="s">
        <v>175</v>
      </c>
      <c r="E174" s="52">
        <v>4.0</v>
      </c>
      <c r="F174" s="52" t="s">
        <v>164</v>
      </c>
      <c r="G174" s="52">
        <v>3.0</v>
      </c>
      <c r="H174" s="52" t="s">
        <v>184</v>
      </c>
      <c r="I174" s="52">
        <v>1.0</v>
      </c>
      <c r="J174" s="52" t="s">
        <v>193</v>
      </c>
      <c r="K174" s="52">
        <v>5.0</v>
      </c>
      <c r="L174" s="52" t="s">
        <v>200</v>
      </c>
      <c r="M174" s="52">
        <v>2.0</v>
      </c>
      <c r="N174" s="52" t="s">
        <v>150</v>
      </c>
      <c r="O174" s="52" t="s">
        <v>109</v>
      </c>
      <c r="P174" s="52" t="s">
        <v>116</v>
      </c>
      <c r="Q174" s="52" t="s">
        <v>120</v>
      </c>
      <c r="R174" s="52" t="s">
        <v>133</v>
      </c>
      <c r="S174" s="52" t="s">
        <v>120</v>
      </c>
      <c r="T174" s="65" t="s">
        <v>27</v>
      </c>
      <c r="U174" s="32">
        <v>1.0</v>
      </c>
      <c r="V174" s="32">
        <v>1.0</v>
      </c>
      <c r="W174" s="32">
        <v>1.0</v>
      </c>
      <c r="X174" s="32">
        <v>1.0</v>
      </c>
      <c r="Y174" s="32">
        <v>1.0</v>
      </c>
      <c r="Z174" s="32">
        <v>1.0</v>
      </c>
      <c r="AA174" s="32">
        <v>6.0</v>
      </c>
      <c r="AB174" s="32">
        <v>0.0</v>
      </c>
      <c r="AC174" s="103" t="str">
        <f>IFERROR(__xludf.DUMMYFUNCTION("if($C174="""","""",if(join("" - "",{iferror(filter('Student Groupings'!$A:$A,'Student Groupings'!$B:$B=$C174,'Student Groupings'!$H:$H=""Can't be Together""),"""");iferror(filter('Student Groupings'!$A:$A,'Student Groupings'!$E:$E=$C174,'Student Groupings"&amp;"'!$H:$H=""Can't be Together""),"""")})="" - "","""",join("" - "",{iferror(filter('Student Groupings'!$A:$A,'Student Groupings'!$B:$B=$C174,'Student Groupings'!$H:$H=""Can't be Together""),"""");iferror(filter('Student Groupings'!$A:$A,'Student Groupings'!"&amp;"$E:$E=$C174,'Student Groupings'!$H:$H=""Can't be Together""),"""")})))"),"")</f>
        <v/>
      </c>
      <c r="AD174" s="103" t="str">
        <f>IFERROR(__xludf.DUMMYFUNCTION("if($C174="""","""",if(join("" - "",{iferror(filter('Student Groupings'!$A:$A,'Student Groupings'!$B:$B=$C174,'Student Groupings'!$H:$H=""Must be Together""),"""");iferror(filter('Student Groupings'!$A:$A,'Student Groupings'!$E:$E=$C174,'Student Groupings'"&amp;"!$H:$H=""Must be Together""),"""")})="" - "","""",join("" - "",{iferror(filter('Student Groupings'!$A:$A,'Student Groupings'!$B:$B=$C174,'Student Groupings'!$H:$H=""Must be Together""),"""");iferror(filter('Student Groupings'!$A:$A,'Student Groupings'!$E:"&amp;"$E=$C174,'Student Groupings'!$H:$H=""Must be Together""),"""")})))"),"")</f>
        <v/>
      </c>
      <c r="AE174" s="104"/>
      <c r="AF174" s="104"/>
      <c r="AG174" s="104"/>
      <c r="AH174" s="104"/>
    </row>
    <row r="175">
      <c r="A175" s="101">
        <v>7.0</v>
      </c>
      <c r="B175" s="101">
        <v>30028.0</v>
      </c>
      <c r="C175" s="102" t="s">
        <v>445</v>
      </c>
      <c r="D175" s="52" t="s">
        <v>175</v>
      </c>
      <c r="E175" s="52">
        <v>3.0</v>
      </c>
      <c r="F175" s="52" t="s">
        <v>163</v>
      </c>
      <c r="G175" s="52">
        <v>4.0</v>
      </c>
      <c r="H175" s="52" t="s">
        <v>184</v>
      </c>
      <c r="I175" s="52">
        <v>5.0</v>
      </c>
      <c r="J175" s="52" t="s">
        <v>193</v>
      </c>
      <c r="K175" s="52">
        <v>1.0</v>
      </c>
      <c r="L175" s="52" t="s">
        <v>200</v>
      </c>
      <c r="M175" s="52">
        <v>6.0</v>
      </c>
      <c r="N175" s="52" t="s">
        <v>150</v>
      </c>
      <c r="O175" s="52" t="s">
        <v>119</v>
      </c>
      <c r="P175" s="52" t="s">
        <v>133</v>
      </c>
      <c r="Q175" s="52" t="s">
        <v>125</v>
      </c>
      <c r="R175" s="52" t="s">
        <v>116</v>
      </c>
      <c r="S175" s="52" t="s">
        <v>125</v>
      </c>
      <c r="T175" s="65" t="s">
        <v>27</v>
      </c>
      <c r="U175" s="32">
        <v>1.0</v>
      </c>
      <c r="V175" s="32">
        <v>1.0</v>
      </c>
      <c r="W175" s="32">
        <v>1.0</v>
      </c>
      <c r="X175" s="32">
        <v>1.0</v>
      </c>
      <c r="Y175" s="32">
        <v>1.0</v>
      </c>
      <c r="Z175" s="32">
        <v>1.0</v>
      </c>
      <c r="AA175" s="32">
        <v>6.0</v>
      </c>
      <c r="AB175" s="32">
        <v>0.0</v>
      </c>
      <c r="AC175" s="103" t="str">
        <f>IFERROR(__xludf.DUMMYFUNCTION("if($C175="""","""",if(join("" - "",{iferror(filter('Student Groupings'!$A:$A,'Student Groupings'!$B:$B=$C175,'Student Groupings'!$H:$H=""Can't be Together""),"""");iferror(filter('Student Groupings'!$A:$A,'Student Groupings'!$E:$E=$C175,'Student Groupings"&amp;"'!$H:$H=""Can't be Together""),"""")})="" - "","""",join("" - "",{iferror(filter('Student Groupings'!$A:$A,'Student Groupings'!$B:$B=$C175,'Student Groupings'!$H:$H=""Can't be Together""),"""");iferror(filter('Student Groupings'!$A:$A,'Student Groupings'!"&amp;"$E:$E=$C175,'Student Groupings'!$H:$H=""Can't be Together""),"""")})))"),"")</f>
        <v/>
      </c>
      <c r="AD175" s="103" t="str">
        <f>IFERROR(__xludf.DUMMYFUNCTION("if($C175="""","""",if(join("" - "",{iferror(filter('Student Groupings'!$A:$A,'Student Groupings'!$B:$B=$C175,'Student Groupings'!$H:$H=""Must be Together""),"""");iferror(filter('Student Groupings'!$A:$A,'Student Groupings'!$E:$E=$C175,'Student Groupings'"&amp;"!$H:$H=""Must be Together""),"""")})="" - "","""",join("" - "",{iferror(filter('Student Groupings'!$A:$A,'Student Groupings'!$B:$B=$C175,'Student Groupings'!$H:$H=""Must be Together""),"""");iferror(filter('Student Groupings'!$A:$A,'Student Groupings'!$E:"&amp;"$E=$C175,'Student Groupings'!$H:$H=""Must be Together""),"""")})))"),"")</f>
        <v/>
      </c>
      <c r="AE175" s="104"/>
      <c r="AF175" s="104"/>
      <c r="AG175" s="104"/>
      <c r="AH175" s="104"/>
    </row>
    <row r="176">
      <c r="A176" s="101">
        <v>7.0</v>
      </c>
      <c r="B176" s="101">
        <v>30029.0</v>
      </c>
      <c r="C176" s="102" t="s">
        <v>446</v>
      </c>
      <c r="D176" s="52" t="s">
        <v>175</v>
      </c>
      <c r="E176" s="52">
        <v>6.0</v>
      </c>
      <c r="F176" s="52" t="s">
        <v>163</v>
      </c>
      <c r="G176" s="52">
        <v>4.0</v>
      </c>
      <c r="H176" s="52" t="s">
        <v>184</v>
      </c>
      <c r="I176" s="52">
        <v>5.0</v>
      </c>
      <c r="J176" s="52" t="s">
        <v>195</v>
      </c>
      <c r="K176" s="52">
        <v>1.0</v>
      </c>
      <c r="L176" s="52" t="s">
        <v>200</v>
      </c>
      <c r="M176" s="52">
        <v>3.0</v>
      </c>
      <c r="N176" s="52" t="s">
        <v>154</v>
      </c>
      <c r="O176" s="52" t="s">
        <v>119</v>
      </c>
      <c r="P176" s="52" t="s">
        <v>140</v>
      </c>
      <c r="Q176" s="52" t="s">
        <v>125</v>
      </c>
      <c r="R176" s="52" t="s">
        <v>140</v>
      </c>
      <c r="S176" s="52" t="s">
        <v>125</v>
      </c>
      <c r="T176" s="65" t="s">
        <v>30</v>
      </c>
      <c r="U176" s="32">
        <v>1.0</v>
      </c>
      <c r="V176" s="32">
        <v>1.0</v>
      </c>
      <c r="W176" s="32">
        <v>1.0</v>
      </c>
      <c r="X176" s="32">
        <v>1.0</v>
      </c>
      <c r="Y176" s="32">
        <v>1.0</v>
      </c>
      <c r="Z176" s="32">
        <v>1.0</v>
      </c>
      <c r="AA176" s="32">
        <v>6.0</v>
      </c>
      <c r="AB176" s="32">
        <v>0.0</v>
      </c>
      <c r="AC176" s="103" t="str">
        <f>IFERROR(__xludf.DUMMYFUNCTION("if($C176="""","""",if(join("" - "",{iferror(filter('Student Groupings'!$A:$A,'Student Groupings'!$B:$B=$C176,'Student Groupings'!$H:$H=""Can't be Together""),"""");iferror(filter('Student Groupings'!$A:$A,'Student Groupings'!$E:$E=$C176,'Student Groupings"&amp;"'!$H:$H=""Can't be Together""),"""")})="" - "","""",join("" - "",{iferror(filter('Student Groupings'!$A:$A,'Student Groupings'!$B:$B=$C176,'Student Groupings'!$H:$H=""Can't be Together""),"""");iferror(filter('Student Groupings'!$A:$A,'Student Groupings'!"&amp;"$E:$E=$C176,'Student Groupings'!$H:$H=""Can't be Together""),"""")})))"),"")</f>
        <v/>
      </c>
      <c r="AD176" s="103" t="str">
        <f>IFERROR(__xludf.DUMMYFUNCTION("if($C176="""","""",if(join("" - "",{iferror(filter('Student Groupings'!$A:$A,'Student Groupings'!$B:$B=$C176,'Student Groupings'!$H:$H=""Must be Together""),"""");iferror(filter('Student Groupings'!$A:$A,'Student Groupings'!$E:$E=$C176,'Student Groupings'"&amp;"!$H:$H=""Must be Together""),"""")})="" - "","""",join("" - "",{iferror(filter('Student Groupings'!$A:$A,'Student Groupings'!$B:$B=$C176,'Student Groupings'!$H:$H=""Must be Together""),"""");iferror(filter('Student Groupings'!$A:$A,'Student Groupings'!$E:"&amp;"$E=$C176,'Student Groupings'!$H:$H=""Must be Together""),"""")})))"),"")</f>
        <v/>
      </c>
      <c r="AE176" s="105"/>
      <c r="AF176" s="105">
        <v>1.0</v>
      </c>
      <c r="AG176" s="105">
        <v>1.0</v>
      </c>
      <c r="AH176" s="105"/>
    </row>
    <row r="177">
      <c r="A177" s="101">
        <v>7.0</v>
      </c>
      <c r="B177" s="101">
        <v>30030.0</v>
      </c>
      <c r="C177" s="102" t="s">
        <v>447</v>
      </c>
      <c r="D177" s="52" t="s">
        <v>175</v>
      </c>
      <c r="E177" s="52">
        <v>2.0</v>
      </c>
      <c r="F177" s="52" t="s">
        <v>163</v>
      </c>
      <c r="G177" s="52">
        <v>6.0</v>
      </c>
      <c r="H177" s="52" t="s">
        <v>184</v>
      </c>
      <c r="I177" s="52">
        <v>3.0</v>
      </c>
      <c r="J177" s="52" t="s">
        <v>195</v>
      </c>
      <c r="K177" s="52">
        <v>5.0</v>
      </c>
      <c r="L177" s="52" t="s">
        <v>200</v>
      </c>
      <c r="M177" s="52">
        <v>4.0</v>
      </c>
      <c r="N177" s="52" t="s">
        <v>154</v>
      </c>
      <c r="O177" s="52" t="s">
        <v>129</v>
      </c>
      <c r="P177" s="52" t="s">
        <v>140</v>
      </c>
      <c r="Q177" s="52" t="s">
        <v>108</v>
      </c>
      <c r="R177" s="52" t="s">
        <v>140</v>
      </c>
      <c r="S177" s="52" t="s">
        <v>108</v>
      </c>
      <c r="T177" s="65" t="s">
        <v>30</v>
      </c>
      <c r="U177" s="32">
        <v>1.0</v>
      </c>
      <c r="V177" s="32">
        <v>1.0</v>
      </c>
      <c r="W177" s="32">
        <v>1.0</v>
      </c>
      <c r="X177" s="32">
        <v>1.0</v>
      </c>
      <c r="Y177" s="32">
        <v>1.0</v>
      </c>
      <c r="Z177" s="32">
        <v>1.0</v>
      </c>
      <c r="AA177" s="32">
        <v>6.0</v>
      </c>
      <c r="AB177" s="32">
        <v>0.0</v>
      </c>
      <c r="AC177" s="103" t="str">
        <f>IFERROR(__xludf.DUMMYFUNCTION("if($C177="""","""",if(join("" - "",{iferror(filter('Student Groupings'!$A:$A,'Student Groupings'!$B:$B=$C177,'Student Groupings'!$H:$H=""Can't be Together""),"""");iferror(filter('Student Groupings'!$A:$A,'Student Groupings'!$E:$E=$C177,'Student Groupings"&amp;"'!$H:$H=""Can't be Together""),"""")})="" - "","""",join("" - "",{iferror(filter('Student Groupings'!$A:$A,'Student Groupings'!$B:$B=$C177,'Student Groupings'!$H:$H=""Can't be Together""),"""");iferror(filter('Student Groupings'!$A:$A,'Student Groupings'!"&amp;"$E:$E=$C177,'Student Groupings'!$H:$H=""Can't be Together""),"""")})))"),"")</f>
        <v/>
      </c>
      <c r="AD177" s="103" t="str">
        <f>IFERROR(__xludf.DUMMYFUNCTION("if($C177="""","""",if(join("" - "",{iferror(filter('Student Groupings'!$A:$A,'Student Groupings'!$B:$B=$C177,'Student Groupings'!$H:$H=""Must be Together""),"""");iferror(filter('Student Groupings'!$A:$A,'Student Groupings'!$E:$E=$C177,'Student Groupings'"&amp;"!$H:$H=""Must be Together""),"""")})="" - "","""",join("" - "",{iferror(filter('Student Groupings'!$A:$A,'Student Groupings'!$B:$B=$C177,'Student Groupings'!$H:$H=""Must be Together""),"""");iferror(filter('Student Groupings'!$A:$A,'Student Groupings'!$E:"&amp;"$E=$C177,'Student Groupings'!$H:$H=""Must be Together""),"""")})))"),"")</f>
        <v/>
      </c>
      <c r="AE177" s="104"/>
      <c r="AF177" s="104"/>
      <c r="AG177" s="104"/>
      <c r="AH177" s="104"/>
    </row>
    <row r="178">
      <c r="A178" s="101">
        <v>7.0</v>
      </c>
      <c r="B178" s="101">
        <v>30031.0</v>
      </c>
      <c r="C178" s="102" t="s">
        <v>448</v>
      </c>
      <c r="D178" s="52" t="s">
        <v>179</v>
      </c>
      <c r="E178" s="52">
        <v>6.0</v>
      </c>
      <c r="F178" s="52" t="s">
        <v>163</v>
      </c>
      <c r="G178" s="52">
        <v>5.0</v>
      </c>
      <c r="H178" s="52" t="s">
        <v>184</v>
      </c>
      <c r="I178" s="52">
        <v>2.0</v>
      </c>
      <c r="J178" s="52" t="s">
        <v>195</v>
      </c>
      <c r="K178" s="52">
        <v>3.0</v>
      </c>
      <c r="L178" s="52" t="s">
        <v>200</v>
      </c>
      <c r="M178" s="52">
        <v>1.0</v>
      </c>
      <c r="N178" s="52" t="s">
        <v>150</v>
      </c>
      <c r="O178" s="52" t="s">
        <v>111</v>
      </c>
      <c r="P178" s="52" t="s">
        <v>140</v>
      </c>
      <c r="Q178" s="52" t="s">
        <v>130</v>
      </c>
      <c r="R178" s="52" t="s">
        <v>140</v>
      </c>
      <c r="S178" s="52" t="s">
        <v>130</v>
      </c>
      <c r="T178" s="65" t="s">
        <v>30</v>
      </c>
      <c r="U178" s="32">
        <v>1.0</v>
      </c>
      <c r="V178" s="32">
        <v>1.0</v>
      </c>
      <c r="W178" s="32">
        <v>1.0</v>
      </c>
      <c r="X178" s="32">
        <v>1.0</v>
      </c>
      <c r="Y178" s="32">
        <v>1.0</v>
      </c>
      <c r="Z178" s="32">
        <v>1.0</v>
      </c>
      <c r="AA178" s="32">
        <v>6.0</v>
      </c>
      <c r="AB178" s="32">
        <v>0.0</v>
      </c>
      <c r="AC178" s="103" t="str">
        <f>IFERROR(__xludf.DUMMYFUNCTION("if($C178="""","""",if(join("" - "",{iferror(filter('Student Groupings'!$A:$A,'Student Groupings'!$B:$B=$C178,'Student Groupings'!$H:$H=""Can't be Together""),"""");iferror(filter('Student Groupings'!$A:$A,'Student Groupings'!$E:$E=$C178,'Student Groupings"&amp;"'!$H:$H=""Can't be Together""),"""")})="" - "","""",join("" - "",{iferror(filter('Student Groupings'!$A:$A,'Student Groupings'!$B:$B=$C178,'Student Groupings'!$H:$H=""Can't be Together""),"""");iferror(filter('Student Groupings'!$A:$A,'Student Groupings'!"&amp;"$E:$E=$C178,'Student Groupings'!$H:$H=""Can't be Together""),"""")})))"),"")</f>
        <v/>
      </c>
      <c r="AD178" s="103" t="str">
        <f>IFERROR(__xludf.DUMMYFUNCTION("if($C178="""","""",if(join("" - "",{iferror(filter('Student Groupings'!$A:$A,'Student Groupings'!$B:$B=$C178,'Student Groupings'!$H:$H=""Must be Together""),"""");iferror(filter('Student Groupings'!$A:$A,'Student Groupings'!$E:$E=$C178,'Student Groupings'"&amp;"!$H:$H=""Must be Together""),"""")})="" - "","""",join("" - "",{iferror(filter('Student Groupings'!$A:$A,'Student Groupings'!$B:$B=$C178,'Student Groupings'!$H:$H=""Must be Together""),"""");iferror(filter('Student Groupings'!$A:$A,'Student Groupings'!$E:"&amp;"$E=$C178,'Student Groupings'!$H:$H=""Must be Together""),"""")})))"),"")</f>
        <v/>
      </c>
      <c r="AE178" s="104"/>
      <c r="AF178" s="104"/>
      <c r="AG178" s="104"/>
      <c r="AH178" s="104"/>
    </row>
    <row r="179">
      <c r="A179" s="101">
        <v>7.0</v>
      </c>
      <c r="B179" s="101">
        <v>30032.0</v>
      </c>
      <c r="C179" s="102" t="s">
        <v>449</v>
      </c>
      <c r="D179" s="52" t="s">
        <v>175</v>
      </c>
      <c r="E179" s="52">
        <v>3.0</v>
      </c>
      <c r="F179" s="52" t="s">
        <v>164</v>
      </c>
      <c r="G179" s="52">
        <v>4.0</v>
      </c>
      <c r="H179" s="52" t="s">
        <v>184</v>
      </c>
      <c r="I179" s="52">
        <v>5.0</v>
      </c>
      <c r="J179" s="52" t="s">
        <v>193</v>
      </c>
      <c r="K179" s="52">
        <v>1.0</v>
      </c>
      <c r="L179" s="52" t="s">
        <v>200</v>
      </c>
      <c r="M179" s="52">
        <v>6.0</v>
      </c>
      <c r="N179" s="52" t="s">
        <v>150</v>
      </c>
      <c r="O179" s="52" t="s">
        <v>119</v>
      </c>
      <c r="P179" s="52" t="s">
        <v>133</v>
      </c>
      <c r="Q179" s="52" t="s">
        <v>125</v>
      </c>
      <c r="R179" s="52" t="s">
        <v>116</v>
      </c>
      <c r="S179" s="52" t="s">
        <v>125</v>
      </c>
      <c r="T179" s="65" t="s">
        <v>27</v>
      </c>
      <c r="U179" s="32">
        <v>1.0</v>
      </c>
      <c r="V179" s="32">
        <v>1.0</v>
      </c>
      <c r="W179" s="32">
        <v>1.0</v>
      </c>
      <c r="X179" s="32">
        <v>1.0</v>
      </c>
      <c r="Y179" s="32">
        <v>1.0</v>
      </c>
      <c r="Z179" s="32">
        <v>1.0</v>
      </c>
      <c r="AA179" s="32">
        <v>6.0</v>
      </c>
      <c r="AB179" s="32">
        <v>0.0</v>
      </c>
      <c r="AC179" s="103" t="str">
        <f>IFERROR(__xludf.DUMMYFUNCTION("if($C179="""","""",if(join("" - "",{iferror(filter('Student Groupings'!$A:$A,'Student Groupings'!$B:$B=$C179,'Student Groupings'!$H:$H=""Can't be Together""),"""");iferror(filter('Student Groupings'!$A:$A,'Student Groupings'!$E:$E=$C179,'Student Groupings"&amp;"'!$H:$H=""Can't be Together""),"""")})="" - "","""",join("" - "",{iferror(filter('Student Groupings'!$A:$A,'Student Groupings'!$B:$B=$C179,'Student Groupings'!$H:$H=""Can't be Together""),"""");iferror(filter('Student Groupings'!$A:$A,'Student Groupings'!"&amp;"$E:$E=$C179,'Student Groupings'!$H:$H=""Can't be Together""),"""")})))"),"")</f>
        <v/>
      </c>
      <c r="AD179" s="103" t="str">
        <f>IFERROR(__xludf.DUMMYFUNCTION("if($C179="""","""",if(join("" - "",{iferror(filter('Student Groupings'!$A:$A,'Student Groupings'!$B:$B=$C179,'Student Groupings'!$H:$H=""Must be Together""),"""");iferror(filter('Student Groupings'!$A:$A,'Student Groupings'!$E:$E=$C179,'Student Groupings'"&amp;"!$H:$H=""Must be Together""),"""")})="" - "","""",join("" - "",{iferror(filter('Student Groupings'!$A:$A,'Student Groupings'!$B:$B=$C179,'Student Groupings'!$H:$H=""Must be Together""),"""");iferror(filter('Student Groupings'!$A:$A,'Student Groupings'!$E:"&amp;"$E=$C179,'Student Groupings'!$H:$H=""Must be Together""),"""")})))"),"")</f>
        <v/>
      </c>
      <c r="AE179" s="105"/>
      <c r="AF179" s="105">
        <v>1.0</v>
      </c>
      <c r="AG179" s="104"/>
      <c r="AH179" s="104"/>
    </row>
    <row r="180">
      <c r="A180" s="101">
        <v>7.0</v>
      </c>
      <c r="B180" s="101">
        <v>30033.0</v>
      </c>
      <c r="C180" s="102" t="s">
        <v>450</v>
      </c>
      <c r="D180" s="52" t="s">
        <v>175</v>
      </c>
      <c r="E180" s="52">
        <v>2.0</v>
      </c>
      <c r="F180" s="52" t="s">
        <v>163</v>
      </c>
      <c r="G180" s="52">
        <v>6.0</v>
      </c>
      <c r="H180" s="52" t="s">
        <v>184</v>
      </c>
      <c r="I180" s="52">
        <v>3.0</v>
      </c>
      <c r="J180" s="52" t="s">
        <v>195</v>
      </c>
      <c r="K180" s="52">
        <v>5.0</v>
      </c>
      <c r="L180" s="52" t="s">
        <v>200</v>
      </c>
      <c r="M180" s="52">
        <v>4.0</v>
      </c>
      <c r="N180" s="52" t="s">
        <v>154</v>
      </c>
      <c r="O180" s="52" t="s">
        <v>129</v>
      </c>
      <c r="P180" s="52" t="s">
        <v>140</v>
      </c>
      <c r="Q180" s="52" t="s">
        <v>108</v>
      </c>
      <c r="R180" s="52" t="s">
        <v>140</v>
      </c>
      <c r="S180" s="52" t="s">
        <v>108</v>
      </c>
      <c r="T180" s="65" t="s">
        <v>30</v>
      </c>
      <c r="U180" s="32">
        <v>1.0</v>
      </c>
      <c r="V180" s="32">
        <v>1.0</v>
      </c>
      <c r="W180" s="32">
        <v>1.0</v>
      </c>
      <c r="X180" s="32">
        <v>1.0</v>
      </c>
      <c r="Y180" s="32">
        <v>1.0</v>
      </c>
      <c r="Z180" s="32">
        <v>1.0</v>
      </c>
      <c r="AA180" s="32">
        <v>6.0</v>
      </c>
      <c r="AB180" s="32">
        <v>0.0</v>
      </c>
      <c r="AC180" s="103" t="str">
        <f>IFERROR(__xludf.DUMMYFUNCTION("if($C180="""","""",if(join("" - "",{iferror(filter('Student Groupings'!$A:$A,'Student Groupings'!$B:$B=$C180,'Student Groupings'!$H:$H=""Can't be Together""),"""");iferror(filter('Student Groupings'!$A:$A,'Student Groupings'!$E:$E=$C180,'Student Groupings"&amp;"'!$H:$H=""Can't be Together""),"""")})="" - "","""",join("" - "",{iferror(filter('Student Groupings'!$A:$A,'Student Groupings'!$B:$B=$C180,'Student Groupings'!$H:$H=""Can't be Together""),"""");iferror(filter('Student Groupings'!$A:$A,'Student Groupings'!"&amp;"$E:$E=$C180,'Student Groupings'!$H:$H=""Can't be Together""),"""")})))"),"")</f>
        <v/>
      </c>
      <c r="AD180" s="103" t="str">
        <f>IFERROR(__xludf.DUMMYFUNCTION("if($C180="""","""",if(join("" - "",{iferror(filter('Student Groupings'!$A:$A,'Student Groupings'!$B:$B=$C180,'Student Groupings'!$H:$H=""Must be Together""),"""");iferror(filter('Student Groupings'!$A:$A,'Student Groupings'!$E:$E=$C180,'Student Groupings'"&amp;"!$H:$H=""Must be Together""),"""")})="" - "","""",join("" - "",{iferror(filter('Student Groupings'!$A:$A,'Student Groupings'!$B:$B=$C180,'Student Groupings'!$H:$H=""Must be Together""),"""");iferror(filter('Student Groupings'!$A:$A,'Student Groupings'!$E:"&amp;"$E=$C180,'Student Groupings'!$H:$H=""Must be Together""),"""")})))"),"")</f>
        <v/>
      </c>
      <c r="AE180" s="104"/>
      <c r="AF180" s="104"/>
      <c r="AG180" s="104"/>
      <c r="AH180" s="104"/>
    </row>
    <row r="181">
      <c r="A181" s="101">
        <v>7.0</v>
      </c>
      <c r="B181" s="101">
        <v>30034.0</v>
      </c>
      <c r="C181" s="102" t="s">
        <v>451</v>
      </c>
      <c r="D181" s="52" t="s">
        <v>175</v>
      </c>
      <c r="E181" s="52">
        <v>6.0</v>
      </c>
      <c r="F181" s="52" t="s">
        <v>163</v>
      </c>
      <c r="G181" s="52">
        <v>4.0</v>
      </c>
      <c r="H181" s="52" t="s">
        <v>184</v>
      </c>
      <c r="I181" s="52">
        <v>5.0</v>
      </c>
      <c r="J181" s="52" t="s">
        <v>195</v>
      </c>
      <c r="K181" s="52">
        <v>1.0</v>
      </c>
      <c r="L181" s="52" t="s">
        <v>200</v>
      </c>
      <c r="M181" s="52">
        <v>3.0</v>
      </c>
      <c r="N181" s="52" t="s">
        <v>150</v>
      </c>
      <c r="O181" s="52" t="s">
        <v>119</v>
      </c>
      <c r="P181" s="52" t="s">
        <v>116</v>
      </c>
      <c r="Q181" s="52" t="s">
        <v>125</v>
      </c>
      <c r="R181" s="52" t="s">
        <v>133</v>
      </c>
      <c r="S181" s="52" t="s">
        <v>125</v>
      </c>
      <c r="T181" s="65" t="s">
        <v>27</v>
      </c>
      <c r="U181" s="32">
        <v>1.0</v>
      </c>
      <c r="V181" s="32">
        <v>1.0</v>
      </c>
      <c r="W181" s="32">
        <v>1.0</v>
      </c>
      <c r="X181" s="32">
        <v>1.0</v>
      </c>
      <c r="Y181" s="32">
        <v>1.0</v>
      </c>
      <c r="Z181" s="32">
        <v>1.0</v>
      </c>
      <c r="AA181" s="32">
        <v>6.0</v>
      </c>
      <c r="AB181" s="32">
        <v>0.0</v>
      </c>
      <c r="AC181" s="103" t="str">
        <f>IFERROR(__xludf.DUMMYFUNCTION("if($C181="""","""",if(join("" - "",{iferror(filter('Student Groupings'!$A:$A,'Student Groupings'!$B:$B=$C181,'Student Groupings'!$H:$H=""Can't be Together""),"""");iferror(filter('Student Groupings'!$A:$A,'Student Groupings'!$E:$E=$C181,'Student Groupings"&amp;"'!$H:$H=""Can't be Together""),"""")})="" - "","""",join("" - "",{iferror(filter('Student Groupings'!$A:$A,'Student Groupings'!$B:$B=$C181,'Student Groupings'!$H:$H=""Can't be Together""),"""");iferror(filter('Student Groupings'!$A:$A,'Student Groupings'!"&amp;"$E:$E=$C181,'Student Groupings'!$H:$H=""Can't be Together""),"""")})))"),"")</f>
        <v/>
      </c>
      <c r="AD181" s="103" t="str">
        <f>IFERROR(__xludf.DUMMYFUNCTION("if($C181="""","""",if(join("" - "",{iferror(filter('Student Groupings'!$A:$A,'Student Groupings'!$B:$B=$C181,'Student Groupings'!$H:$H=""Must be Together""),"""");iferror(filter('Student Groupings'!$A:$A,'Student Groupings'!$E:$E=$C181,'Student Groupings'"&amp;"!$H:$H=""Must be Together""),"""")})="" - "","""",join("" - "",{iferror(filter('Student Groupings'!$A:$A,'Student Groupings'!$B:$B=$C181,'Student Groupings'!$H:$H=""Must be Together""),"""");iferror(filter('Student Groupings'!$A:$A,'Student Groupings'!$E:"&amp;"$E=$C181,'Student Groupings'!$H:$H=""Must be Together""),"""")})))"),"")</f>
        <v/>
      </c>
      <c r="AE181" s="104"/>
      <c r="AF181" s="104"/>
      <c r="AG181" s="104"/>
      <c r="AH181" s="104"/>
    </row>
    <row r="182">
      <c r="A182" s="116">
        <v>7.0</v>
      </c>
      <c r="B182" s="116">
        <v>30137.0</v>
      </c>
      <c r="C182" s="117" t="s">
        <v>452</v>
      </c>
      <c r="D182" s="118" t="s">
        <v>179</v>
      </c>
      <c r="E182" s="118">
        <v>6.0</v>
      </c>
      <c r="F182" s="118" t="s">
        <v>164</v>
      </c>
      <c r="G182" s="118">
        <v>4.0</v>
      </c>
      <c r="H182" s="118" t="s">
        <v>188</v>
      </c>
      <c r="I182" s="118">
        <v>5.0</v>
      </c>
      <c r="J182" s="118" t="s">
        <v>195</v>
      </c>
      <c r="K182" s="118">
        <v>3.0</v>
      </c>
      <c r="L182" s="118" t="s">
        <v>200</v>
      </c>
      <c r="M182" s="118">
        <v>1.0</v>
      </c>
      <c r="N182" s="118" t="s">
        <v>154</v>
      </c>
      <c r="O182" s="118" t="s">
        <v>119</v>
      </c>
      <c r="P182" s="118" t="s">
        <v>140</v>
      </c>
      <c r="Q182" s="118" t="s">
        <v>125</v>
      </c>
      <c r="R182" s="118" t="s">
        <v>140</v>
      </c>
      <c r="S182" s="118" t="s">
        <v>125</v>
      </c>
      <c r="T182" s="119" t="s">
        <v>30</v>
      </c>
      <c r="U182" s="120">
        <v>1.0</v>
      </c>
      <c r="V182" s="120">
        <v>1.0</v>
      </c>
      <c r="W182" s="120">
        <v>1.0</v>
      </c>
      <c r="X182" s="120">
        <v>1.0</v>
      </c>
      <c r="Y182" s="120">
        <v>1.0</v>
      </c>
      <c r="Z182" s="120">
        <v>1.0</v>
      </c>
      <c r="AA182" s="120">
        <v>6.0</v>
      </c>
      <c r="AB182" s="120">
        <v>0.0</v>
      </c>
      <c r="AC182" s="121" t="str">
        <f>IFERROR(__xludf.DUMMYFUNCTION("if($C182="""","""",if(join("" - "",{iferror(filter('Student Groupings'!$A:$A,'Student Groupings'!$B:$B=$C182,'Student Groupings'!$H:$H=""Can't be Together""),"""");iferror(filter('Student Groupings'!$A:$A,'Student Groupings'!$E:$E=$C182,'Student Groupings"&amp;"'!$H:$H=""Can't be Together""),"""")})="" - "","""",join("" - "",{iferror(filter('Student Groupings'!$A:$A,'Student Groupings'!$B:$B=$C182,'Student Groupings'!$H:$H=""Can't be Together""),"""");iferror(filter('Student Groupings'!$A:$A,'Student Groupings'!"&amp;"$E:$E=$C182,'Student Groupings'!$H:$H=""Can't be Together""),"""")})))"),"")</f>
        <v/>
      </c>
      <c r="AD182" s="121" t="str">
        <f>IFERROR(__xludf.DUMMYFUNCTION("if($C182="""","""",if(join("" - "",{iferror(filter('Student Groupings'!$A:$A,'Student Groupings'!$B:$B=$C182,'Student Groupings'!$H:$H=""Must be Together""),"""");iferror(filter('Student Groupings'!$A:$A,'Student Groupings'!$E:$E=$C182,'Student Groupings'"&amp;"!$H:$H=""Must be Together""),"""")})="" - "","""",join("" - "",{iferror(filter('Student Groupings'!$A:$A,'Student Groupings'!$B:$B=$C182,'Student Groupings'!$H:$H=""Must be Together""),"""");iferror(filter('Student Groupings'!$A:$A,'Student Groupings'!$E:"&amp;"$E=$C182,'Student Groupings'!$H:$H=""Must be Together""),"""")})))"),"")</f>
        <v/>
      </c>
      <c r="AE182" s="122"/>
      <c r="AF182" s="122"/>
      <c r="AG182" s="122"/>
      <c r="AH182" s="122"/>
    </row>
    <row r="183">
      <c r="A183" s="101">
        <v>7.0</v>
      </c>
      <c r="B183" s="101">
        <v>30036.0</v>
      </c>
      <c r="C183" s="102" t="s">
        <v>453</v>
      </c>
      <c r="D183" s="52" t="s">
        <v>175</v>
      </c>
      <c r="E183" s="52">
        <v>3.0</v>
      </c>
      <c r="F183" s="52" t="s">
        <v>163</v>
      </c>
      <c r="G183" s="52">
        <v>5.0</v>
      </c>
      <c r="H183" s="52" t="s">
        <v>184</v>
      </c>
      <c r="I183" s="52">
        <v>2.0</v>
      </c>
      <c r="J183" s="52" t="s">
        <v>193</v>
      </c>
      <c r="K183" s="52">
        <v>1.0</v>
      </c>
      <c r="L183" s="52" t="s">
        <v>200</v>
      </c>
      <c r="M183" s="52">
        <v>6.0</v>
      </c>
      <c r="N183" s="52" t="s">
        <v>150</v>
      </c>
      <c r="O183" s="52" t="s">
        <v>111</v>
      </c>
      <c r="P183" s="52" t="s">
        <v>140</v>
      </c>
      <c r="Q183" s="52" t="s">
        <v>130</v>
      </c>
      <c r="R183" s="52" t="s">
        <v>140</v>
      </c>
      <c r="S183" s="52" t="s">
        <v>130</v>
      </c>
      <c r="T183" s="65" t="s">
        <v>30</v>
      </c>
      <c r="U183" s="32">
        <v>1.0</v>
      </c>
      <c r="V183" s="32">
        <v>1.0</v>
      </c>
      <c r="W183" s="32">
        <v>1.0</v>
      </c>
      <c r="X183" s="32">
        <v>1.0</v>
      </c>
      <c r="Y183" s="32">
        <v>1.0</v>
      </c>
      <c r="Z183" s="32">
        <v>1.0</v>
      </c>
      <c r="AA183" s="32">
        <v>6.0</v>
      </c>
      <c r="AB183" s="32">
        <v>0.0</v>
      </c>
      <c r="AC183" s="103" t="str">
        <f>IFERROR(__xludf.DUMMYFUNCTION("if($C183="""","""",if(join("" - "",{iferror(filter('Student Groupings'!$A:$A,'Student Groupings'!$B:$B=$C183,'Student Groupings'!$H:$H=""Can't be Together""),"""");iferror(filter('Student Groupings'!$A:$A,'Student Groupings'!$E:$E=$C183,'Student Groupings"&amp;"'!$H:$H=""Can't be Together""),"""")})="" - "","""",join("" - "",{iferror(filter('Student Groupings'!$A:$A,'Student Groupings'!$B:$B=$C183,'Student Groupings'!$H:$H=""Can't be Together""),"""");iferror(filter('Student Groupings'!$A:$A,'Student Groupings'!"&amp;"$E:$E=$C183,'Student Groupings'!$H:$H=""Can't be Together""),"""")})))"),"")</f>
        <v/>
      </c>
      <c r="AD183" s="103" t="str">
        <f>IFERROR(__xludf.DUMMYFUNCTION("if($C183="""","""",if(join("" - "",{iferror(filter('Student Groupings'!$A:$A,'Student Groupings'!$B:$B=$C183,'Student Groupings'!$H:$H=""Must be Together""),"""");iferror(filter('Student Groupings'!$A:$A,'Student Groupings'!$E:$E=$C183,'Student Groupings'"&amp;"!$H:$H=""Must be Together""),"""")})="" - "","""",join("" - "",{iferror(filter('Student Groupings'!$A:$A,'Student Groupings'!$B:$B=$C183,'Student Groupings'!$H:$H=""Must be Together""),"""");iferror(filter('Student Groupings'!$A:$A,'Student Groupings'!$E:"&amp;"$E=$C183,'Student Groupings'!$H:$H=""Must be Together""),"""")})))"),"")</f>
        <v/>
      </c>
      <c r="AE183" s="104"/>
      <c r="AF183" s="104"/>
      <c r="AG183" s="104"/>
      <c r="AH183" s="104"/>
    </row>
    <row r="184">
      <c r="A184" s="101">
        <v>7.0</v>
      </c>
      <c r="B184" s="101">
        <v>30037.0</v>
      </c>
      <c r="C184" s="102" t="s">
        <v>454</v>
      </c>
      <c r="D184" s="52" t="s">
        <v>175</v>
      </c>
      <c r="E184" s="52">
        <v>2.0</v>
      </c>
      <c r="F184" s="52" t="s">
        <v>163</v>
      </c>
      <c r="G184" s="52">
        <v>6.0</v>
      </c>
      <c r="H184" s="52" t="s">
        <v>184</v>
      </c>
      <c r="I184" s="52">
        <v>3.0</v>
      </c>
      <c r="J184" s="52" t="s">
        <v>195</v>
      </c>
      <c r="K184" s="52">
        <v>5.0</v>
      </c>
      <c r="L184" s="52" t="s">
        <v>200</v>
      </c>
      <c r="M184" s="52">
        <v>4.0</v>
      </c>
      <c r="N184" s="52" t="s">
        <v>154</v>
      </c>
      <c r="O184" s="52" t="s">
        <v>129</v>
      </c>
      <c r="P184" s="52" t="s">
        <v>140</v>
      </c>
      <c r="Q184" s="52" t="s">
        <v>108</v>
      </c>
      <c r="R184" s="52" t="s">
        <v>140</v>
      </c>
      <c r="S184" s="52" t="s">
        <v>108</v>
      </c>
      <c r="T184" s="65" t="s">
        <v>30</v>
      </c>
      <c r="U184" s="32">
        <v>1.0</v>
      </c>
      <c r="V184" s="32">
        <v>1.0</v>
      </c>
      <c r="W184" s="32">
        <v>1.0</v>
      </c>
      <c r="X184" s="32">
        <v>1.0</v>
      </c>
      <c r="Y184" s="32">
        <v>1.0</v>
      </c>
      <c r="Z184" s="32">
        <v>1.0</v>
      </c>
      <c r="AA184" s="32">
        <v>6.0</v>
      </c>
      <c r="AB184" s="32">
        <v>0.0</v>
      </c>
      <c r="AC184" s="103" t="str">
        <f>IFERROR(__xludf.DUMMYFUNCTION("if($C184="""","""",if(join("" - "",{iferror(filter('Student Groupings'!$A:$A,'Student Groupings'!$B:$B=$C184,'Student Groupings'!$H:$H=""Can't be Together""),"""");iferror(filter('Student Groupings'!$A:$A,'Student Groupings'!$E:$E=$C184,'Student Groupings"&amp;"'!$H:$H=""Can't be Together""),"""")})="" - "","""",join("" - "",{iferror(filter('Student Groupings'!$A:$A,'Student Groupings'!$B:$B=$C184,'Student Groupings'!$H:$H=""Can't be Together""),"""");iferror(filter('Student Groupings'!$A:$A,'Student Groupings'!"&amp;"$E:$E=$C184,'Student Groupings'!$H:$H=""Can't be Together""),"""")})))"),"")</f>
        <v/>
      </c>
      <c r="AD184" s="103" t="str">
        <f>IFERROR(__xludf.DUMMYFUNCTION("if($C184="""","""",if(join("" - "",{iferror(filter('Student Groupings'!$A:$A,'Student Groupings'!$B:$B=$C184,'Student Groupings'!$H:$H=""Must be Together""),"""");iferror(filter('Student Groupings'!$A:$A,'Student Groupings'!$E:$E=$C184,'Student Groupings'"&amp;"!$H:$H=""Must be Together""),"""")})="" - "","""",join("" - "",{iferror(filter('Student Groupings'!$A:$A,'Student Groupings'!$B:$B=$C184,'Student Groupings'!$H:$H=""Must be Together""),"""");iferror(filter('Student Groupings'!$A:$A,'Student Groupings'!$E:"&amp;"$E=$C184,'Student Groupings'!$H:$H=""Must be Together""),"""")})))"),"")</f>
        <v/>
      </c>
      <c r="AE184" s="104"/>
      <c r="AF184" s="104"/>
      <c r="AG184" s="104"/>
      <c r="AH184" s="104"/>
    </row>
    <row r="185">
      <c r="A185" s="101">
        <v>7.0</v>
      </c>
      <c r="B185" s="101">
        <v>30038.0</v>
      </c>
      <c r="C185" s="102" t="s">
        <v>455</v>
      </c>
      <c r="D185" s="52" t="s">
        <v>175</v>
      </c>
      <c r="E185" s="52">
        <v>5.0</v>
      </c>
      <c r="F185" s="52" t="s">
        <v>163</v>
      </c>
      <c r="G185" s="52">
        <v>3.0</v>
      </c>
      <c r="H185" s="52" t="s">
        <v>184</v>
      </c>
      <c r="I185" s="52">
        <v>6.0</v>
      </c>
      <c r="J185" s="52" t="s">
        <v>195</v>
      </c>
      <c r="K185" s="52">
        <v>2.0</v>
      </c>
      <c r="L185" s="52" t="s">
        <v>203</v>
      </c>
      <c r="M185" s="52">
        <v>4.0</v>
      </c>
      <c r="N185" s="52" t="s">
        <v>150</v>
      </c>
      <c r="O185" s="52" t="s">
        <v>129</v>
      </c>
      <c r="P185" s="52" t="s">
        <v>133</v>
      </c>
      <c r="Q185" s="52" t="s">
        <v>108</v>
      </c>
      <c r="R185" s="52" t="s">
        <v>116</v>
      </c>
      <c r="S185" s="52" t="s">
        <v>108</v>
      </c>
      <c r="T185" s="65" t="s">
        <v>27</v>
      </c>
      <c r="U185" s="32">
        <v>1.0</v>
      </c>
      <c r="V185" s="32">
        <v>1.0</v>
      </c>
      <c r="W185" s="32">
        <v>1.0</v>
      </c>
      <c r="X185" s="32">
        <v>1.0</v>
      </c>
      <c r="Y185" s="32">
        <v>1.0</v>
      </c>
      <c r="Z185" s="32">
        <v>1.0</v>
      </c>
      <c r="AA185" s="32">
        <v>6.0</v>
      </c>
      <c r="AB185" s="32">
        <v>0.0</v>
      </c>
      <c r="AC185" s="103" t="str">
        <f>IFERROR(__xludf.DUMMYFUNCTION("if($C185="""","""",if(join("" - "",{iferror(filter('Student Groupings'!$A:$A,'Student Groupings'!$B:$B=$C185,'Student Groupings'!$H:$H=""Can't be Together""),"""");iferror(filter('Student Groupings'!$A:$A,'Student Groupings'!$E:$E=$C185,'Student Groupings"&amp;"'!$H:$H=""Can't be Together""),"""")})="" - "","""",join("" - "",{iferror(filter('Student Groupings'!$A:$A,'Student Groupings'!$B:$B=$C185,'Student Groupings'!$H:$H=""Can't be Together""),"""");iferror(filter('Student Groupings'!$A:$A,'Student Groupings'!"&amp;"$E:$E=$C185,'Student Groupings'!$H:$H=""Can't be Together""),"""")})))"),"")</f>
        <v/>
      </c>
      <c r="AD185" s="103" t="str">
        <f>IFERROR(__xludf.DUMMYFUNCTION("if($C185="""","""",if(join("" - "",{iferror(filter('Student Groupings'!$A:$A,'Student Groupings'!$B:$B=$C185,'Student Groupings'!$H:$H=""Must be Together""),"""");iferror(filter('Student Groupings'!$A:$A,'Student Groupings'!$E:$E=$C185,'Student Groupings'"&amp;"!$H:$H=""Must be Together""),"""")})="" - "","""",join("" - "",{iferror(filter('Student Groupings'!$A:$A,'Student Groupings'!$B:$B=$C185,'Student Groupings'!$H:$H=""Must be Together""),"""");iferror(filter('Student Groupings'!$A:$A,'Student Groupings'!$E:"&amp;"$E=$C185,'Student Groupings'!$H:$H=""Must be Together""),"""")})))"),"")</f>
        <v/>
      </c>
      <c r="AE185" s="104"/>
      <c r="AF185" s="104"/>
      <c r="AG185" s="104"/>
      <c r="AH185" s="104"/>
    </row>
    <row r="186">
      <c r="A186" s="101">
        <v>7.0</v>
      </c>
      <c r="B186" s="101">
        <v>30039.0</v>
      </c>
      <c r="C186" s="102" t="s">
        <v>456</v>
      </c>
      <c r="D186" s="52" t="s">
        <v>175</v>
      </c>
      <c r="E186" s="52">
        <v>4.0</v>
      </c>
      <c r="F186" s="52" t="s">
        <v>164</v>
      </c>
      <c r="G186" s="52">
        <v>3.0</v>
      </c>
      <c r="H186" s="52" t="s">
        <v>184</v>
      </c>
      <c r="I186" s="52">
        <v>1.0</v>
      </c>
      <c r="J186" s="52" t="s">
        <v>193</v>
      </c>
      <c r="K186" s="52">
        <v>5.0</v>
      </c>
      <c r="L186" s="52" t="s">
        <v>200</v>
      </c>
      <c r="M186" s="52">
        <v>2.0</v>
      </c>
      <c r="N186" s="52" t="s">
        <v>150</v>
      </c>
      <c r="O186" s="52" t="s">
        <v>109</v>
      </c>
      <c r="P186" s="52" t="s">
        <v>116</v>
      </c>
      <c r="Q186" s="52" t="s">
        <v>120</v>
      </c>
      <c r="R186" s="52" t="s">
        <v>133</v>
      </c>
      <c r="S186" s="52" t="s">
        <v>120</v>
      </c>
      <c r="T186" s="65" t="s">
        <v>27</v>
      </c>
      <c r="U186" s="32">
        <v>1.0</v>
      </c>
      <c r="V186" s="32">
        <v>1.0</v>
      </c>
      <c r="W186" s="32">
        <v>1.0</v>
      </c>
      <c r="X186" s="32">
        <v>1.0</v>
      </c>
      <c r="Y186" s="32">
        <v>1.0</v>
      </c>
      <c r="Z186" s="32">
        <v>1.0</v>
      </c>
      <c r="AA186" s="32">
        <v>6.0</v>
      </c>
      <c r="AB186" s="32">
        <v>0.0</v>
      </c>
      <c r="AC186" s="103" t="str">
        <f>IFERROR(__xludf.DUMMYFUNCTION("if($C186="""","""",if(join("" - "",{iferror(filter('Student Groupings'!$A:$A,'Student Groupings'!$B:$B=$C186,'Student Groupings'!$H:$H=""Can't be Together""),"""");iferror(filter('Student Groupings'!$A:$A,'Student Groupings'!$E:$E=$C186,'Student Groupings"&amp;"'!$H:$H=""Can't be Together""),"""")})="" - "","""",join("" - "",{iferror(filter('Student Groupings'!$A:$A,'Student Groupings'!$B:$B=$C186,'Student Groupings'!$H:$H=""Can't be Together""),"""");iferror(filter('Student Groupings'!$A:$A,'Student Groupings'!"&amp;"$E:$E=$C186,'Student Groupings'!$H:$H=""Can't be Together""),"""")})))"),"")</f>
        <v/>
      </c>
      <c r="AD186" s="103" t="str">
        <f>IFERROR(__xludf.DUMMYFUNCTION("if($C186="""","""",if(join("" - "",{iferror(filter('Student Groupings'!$A:$A,'Student Groupings'!$B:$B=$C186,'Student Groupings'!$H:$H=""Must be Together""),"""");iferror(filter('Student Groupings'!$A:$A,'Student Groupings'!$E:$E=$C186,'Student Groupings'"&amp;"!$H:$H=""Must be Together""),"""")})="" - "","""",join("" - "",{iferror(filter('Student Groupings'!$A:$A,'Student Groupings'!$B:$B=$C186,'Student Groupings'!$H:$H=""Must be Together""),"""");iferror(filter('Student Groupings'!$A:$A,'Student Groupings'!$E:"&amp;"$E=$C186,'Student Groupings'!$H:$H=""Must be Together""),"""")})))"),"")</f>
        <v/>
      </c>
      <c r="AE186" s="104"/>
      <c r="AF186" s="104"/>
      <c r="AG186" s="104"/>
      <c r="AH186" s="104"/>
    </row>
    <row r="187">
      <c r="A187" s="101">
        <v>7.0</v>
      </c>
      <c r="B187" s="101">
        <v>30040.0</v>
      </c>
      <c r="C187" s="102" t="s">
        <v>457</v>
      </c>
      <c r="D187" s="52" t="s">
        <v>179</v>
      </c>
      <c r="E187" s="52">
        <v>6.0</v>
      </c>
      <c r="F187" s="52" t="s">
        <v>164</v>
      </c>
      <c r="G187" s="52">
        <v>4.0</v>
      </c>
      <c r="H187" s="52" t="s">
        <v>184</v>
      </c>
      <c r="I187" s="52">
        <v>5.0</v>
      </c>
      <c r="J187" s="52" t="s">
        <v>195</v>
      </c>
      <c r="K187" s="52">
        <v>3.0</v>
      </c>
      <c r="L187" s="52" t="s">
        <v>200</v>
      </c>
      <c r="M187" s="52">
        <v>1.0</v>
      </c>
      <c r="N187" s="52" t="s">
        <v>150</v>
      </c>
      <c r="O187" s="52" t="s">
        <v>119</v>
      </c>
      <c r="P187" s="52" t="s">
        <v>133</v>
      </c>
      <c r="Q187" s="52" t="s">
        <v>125</v>
      </c>
      <c r="R187" s="52" t="s">
        <v>116</v>
      </c>
      <c r="S187" s="52" t="s">
        <v>125</v>
      </c>
      <c r="T187" s="65" t="s">
        <v>27</v>
      </c>
      <c r="U187" s="32">
        <v>1.0</v>
      </c>
      <c r="V187" s="32">
        <v>1.0</v>
      </c>
      <c r="W187" s="32">
        <v>1.0</v>
      </c>
      <c r="X187" s="32">
        <v>1.0</v>
      </c>
      <c r="Y187" s="32">
        <v>1.0</v>
      </c>
      <c r="Z187" s="32">
        <v>1.0</v>
      </c>
      <c r="AA187" s="32">
        <v>6.0</v>
      </c>
      <c r="AB187" s="32">
        <v>0.0</v>
      </c>
      <c r="AC187" s="103" t="str">
        <f>IFERROR(__xludf.DUMMYFUNCTION("if($C187="""","""",if(join("" - "",{iferror(filter('Student Groupings'!$A:$A,'Student Groupings'!$B:$B=$C187,'Student Groupings'!$H:$H=""Can't be Together""),"""");iferror(filter('Student Groupings'!$A:$A,'Student Groupings'!$E:$E=$C187,'Student Groupings"&amp;"'!$H:$H=""Can't be Together""),"""")})="" - "","""",join("" - "",{iferror(filter('Student Groupings'!$A:$A,'Student Groupings'!$B:$B=$C187,'Student Groupings'!$H:$H=""Can't be Together""),"""");iferror(filter('Student Groupings'!$A:$A,'Student Groupings'!"&amp;"$E:$E=$C187,'Student Groupings'!$H:$H=""Can't be Together""),"""")})))"),"")</f>
        <v/>
      </c>
      <c r="AD187" s="103" t="str">
        <f>IFERROR(__xludf.DUMMYFUNCTION("if($C187="""","""",if(join("" - "",{iferror(filter('Student Groupings'!$A:$A,'Student Groupings'!$B:$B=$C187,'Student Groupings'!$H:$H=""Must be Together""),"""");iferror(filter('Student Groupings'!$A:$A,'Student Groupings'!$E:$E=$C187,'Student Groupings'"&amp;"!$H:$H=""Must be Together""),"""")})="" - "","""",join("" - "",{iferror(filter('Student Groupings'!$A:$A,'Student Groupings'!$B:$B=$C187,'Student Groupings'!$H:$H=""Must be Together""),"""");iferror(filter('Student Groupings'!$A:$A,'Student Groupings'!$E:"&amp;"$E=$C187,'Student Groupings'!$H:$H=""Must be Together""),"""")})))"),"")</f>
        <v/>
      </c>
      <c r="AE187" s="105"/>
      <c r="AF187" s="105">
        <v>1.0</v>
      </c>
      <c r="AG187" s="104"/>
      <c r="AH187" s="104"/>
    </row>
    <row r="188">
      <c r="A188" s="101">
        <v>7.0</v>
      </c>
      <c r="B188" s="101">
        <v>30042.0</v>
      </c>
      <c r="C188" s="102" t="s">
        <v>254</v>
      </c>
      <c r="D188" s="52" t="s">
        <v>175</v>
      </c>
      <c r="E188" s="52">
        <v>5.0</v>
      </c>
      <c r="F188" s="52" t="s">
        <v>163</v>
      </c>
      <c r="G188" s="52">
        <v>3.0</v>
      </c>
      <c r="H188" s="52" t="s">
        <v>184</v>
      </c>
      <c r="I188" s="52">
        <v>6.0</v>
      </c>
      <c r="J188" s="52" t="s">
        <v>195</v>
      </c>
      <c r="K188" s="52">
        <v>2.0</v>
      </c>
      <c r="L188" s="52" t="s">
        <v>203</v>
      </c>
      <c r="M188" s="52">
        <v>4.0</v>
      </c>
      <c r="N188" s="52" t="s">
        <v>150</v>
      </c>
      <c r="O188" s="52" t="s">
        <v>129</v>
      </c>
      <c r="P188" s="52" t="s">
        <v>116</v>
      </c>
      <c r="Q188" s="52" t="s">
        <v>108</v>
      </c>
      <c r="R188" s="52" t="s">
        <v>133</v>
      </c>
      <c r="S188" s="52" t="s">
        <v>108</v>
      </c>
      <c r="T188" s="65" t="s">
        <v>8</v>
      </c>
      <c r="U188" s="32">
        <v>1.0</v>
      </c>
      <c r="V188" s="32">
        <v>1.0</v>
      </c>
      <c r="W188" s="32">
        <v>1.0</v>
      </c>
      <c r="X188" s="32">
        <v>1.0</v>
      </c>
      <c r="Y188" s="32">
        <v>1.0</v>
      </c>
      <c r="Z188" s="32">
        <v>1.0</v>
      </c>
      <c r="AA188" s="32">
        <v>6.0</v>
      </c>
      <c r="AB188" s="32">
        <v>0.0</v>
      </c>
      <c r="AC188" s="103" t="str">
        <f>IFERROR(__xludf.DUMMYFUNCTION("if($C188="""","""",if(join("" - "",{iferror(filter('Student Groupings'!$A:$A,'Student Groupings'!$B:$B=$C188,'Student Groupings'!$H:$H=""Can't be Together""),"""");iferror(filter('Student Groupings'!$A:$A,'Student Groupings'!$E:$E=$C188,'Student Groupings"&amp;"'!$H:$H=""Can't be Together""),"""")})="" - "","""",join("" - "",{iferror(filter('Student Groupings'!$A:$A,'Student Groupings'!$B:$B=$C188,'Student Groupings'!$H:$H=""Can't be Together""),"""");iferror(filter('Student Groupings'!$A:$A,'Student Groupings'!"&amp;"$E:$E=$C188,'Student Groupings'!$H:$H=""Can't be Together""),"""")})))"),"38 - ")</f>
        <v>38 - </v>
      </c>
      <c r="AD188" s="103" t="str">
        <f>IFERROR(__xludf.DUMMYFUNCTION("if($C188="""","""",if(join("" - "",{iferror(filter('Student Groupings'!$A:$A,'Student Groupings'!$B:$B=$C188,'Student Groupings'!$H:$H=""Must be Together""),"""");iferror(filter('Student Groupings'!$A:$A,'Student Groupings'!$E:$E=$C188,'Student Groupings'"&amp;"!$H:$H=""Must be Together""),"""")})="" - "","""",join("" - "",{iferror(filter('Student Groupings'!$A:$A,'Student Groupings'!$B:$B=$C188,'Student Groupings'!$H:$H=""Must be Together""),"""");iferror(filter('Student Groupings'!$A:$A,'Student Groupings'!$E:"&amp;"$E=$C188,'Student Groupings'!$H:$H=""Must be Together""),"""")})))"),"")</f>
        <v/>
      </c>
      <c r="AE188" s="104"/>
      <c r="AF188" s="104"/>
      <c r="AG188" s="104"/>
      <c r="AH188" s="104"/>
    </row>
    <row r="189">
      <c r="A189" s="101">
        <v>7.0</v>
      </c>
      <c r="B189" s="101">
        <v>30043.0</v>
      </c>
      <c r="C189" s="102" t="s">
        <v>458</v>
      </c>
      <c r="D189" s="52" t="s">
        <v>175</v>
      </c>
      <c r="E189" s="52">
        <v>2.0</v>
      </c>
      <c r="F189" s="52" t="s">
        <v>163</v>
      </c>
      <c r="G189" s="52">
        <v>6.0</v>
      </c>
      <c r="H189" s="52" t="s">
        <v>184</v>
      </c>
      <c r="I189" s="52">
        <v>3.0</v>
      </c>
      <c r="J189" s="52" t="s">
        <v>195</v>
      </c>
      <c r="K189" s="52">
        <v>5.0</v>
      </c>
      <c r="L189" s="52" t="s">
        <v>200</v>
      </c>
      <c r="M189" s="52">
        <v>4.0</v>
      </c>
      <c r="N189" s="52" t="s">
        <v>154</v>
      </c>
      <c r="O189" s="52" t="s">
        <v>129</v>
      </c>
      <c r="P189" s="52" t="s">
        <v>140</v>
      </c>
      <c r="Q189" s="52" t="s">
        <v>108</v>
      </c>
      <c r="R189" s="52" t="s">
        <v>140</v>
      </c>
      <c r="S189" s="52" t="s">
        <v>108</v>
      </c>
      <c r="T189" s="65" t="s">
        <v>30</v>
      </c>
      <c r="U189" s="32">
        <v>1.0</v>
      </c>
      <c r="V189" s="32">
        <v>1.0</v>
      </c>
      <c r="W189" s="32">
        <v>1.0</v>
      </c>
      <c r="X189" s="32">
        <v>1.0</v>
      </c>
      <c r="Y189" s="32">
        <v>1.0</v>
      </c>
      <c r="Z189" s="32">
        <v>1.0</v>
      </c>
      <c r="AA189" s="32">
        <v>6.0</v>
      </c>
      <c r="AB189" s="32">
        <v>0.0</v>
      </c>
      <c r="AC189" s="103" t="str">
        <f>IFERROR(__xludf.DUMMYFUNCTION("if($C189="""","""",if(join("" - "",{iferror(filter('Student Groupings'!$A:$A,'Student Groupings'!$B:$B=$C189,'Student Groupings'!$H:$H=""Can't be Together""),"""");iferror(filter('Student Groupings'!$A:$A,'Student Groupings'!$E:$E=$C189,'Student Groupings"&amp;"'!$H:$H=""Can't be Together""),"""")})="" - "","""",join("" - "",{iferror(filter('Student Groupings'!$A:$A,'Student Groupings'!$B:$B=$C189,'Student Groupings'!$H:$H=""Can't be Together""),"""");iferror(filter('Student Groupings'!$A:$A,'Student Groupings'!"&amp;"$E:$E=$C189,'Student Groupings'!$H:$H=""Can't be Together""),"""")})))"),"")</f>
        <v/>
      </c>
      <c r="AD189" s="103" t="str">
        <f>IFERROR(__xludf.DUMMYFUNCTION("if($C189="""","""",if(join("" - "",{iferror(filter('Student Groupings'!$A:$A,'Student Groupings'!$B:$B=$C189,'Student Groupings'!$H:$H=""Must be Together""),"""");iferror(filter('Student Groupings'!$A:$A,'Student Groupings'!$E:$E=$C189,'Student Groupings'"&amp;"!$H:$H=""Must be Together""),"""")})="" - "","""",join("" - "",{iferror(filter('Student Groupings'!$A:$A,'Student Groupings'!$B:$B=$C189,'Student Groupings'!$H:$H=""Must be Together""),"""");iferror(filter('Student Groupings'!$A:$A,'Student Groupings'!$E:"&amp;"$E=$C189,'Student Groupings'!$H:$H=""Must be Together""),"""")})))"),"")</f>
        <v/>
      </c>
      <c r="AE189" s="104"/>
      <c r="AF189" s="104"/>
      <c r="AG189" s="104"/>
      <c r="AH189" s="104"/>
    </row>
    <row r="190">
      <c r="A190" s="101">
        <v>7.0</v>
      </c>
      <c r="B190" s="101">
        <v>30045.0</v>
      </c>
      <c r="C190" s="102" t="s">
        <v>459</v>
      </c>
      <c r="D190" s="52" t="s">
        <v>175</v>
      </c>
      <c r="E190" s="52">
        <v>6.0</v>
      </c>
      <c r="F190" s="52" t="s">
        <v>164</v>
      </c>
      <c r="G190" s="52">
        <v>4.0</v>
      </c>
      <c r="H190" s="52" t="s">
        <v>188</v>
      </c>
      <c r="I190" s="52">
        <v>5.0</v>
      </c>
      <c r="J190" s="52" t="s">
        <v>195</v>
      </c>
      <c r="K190" s="52">
        <v>1.0</v>
      </c>
      <c r="L190" s="52" t="s">
        <v>200</v>
      </c>
      <c r="M190" s="52">
        <v>3.0</v>
      </c>
      <c r="N190" s="52" t="s">
        <v>154</v>
      </c>
      <c r="O190" s="52" t="s">
        <v>119</v>
      </c>
      <c r="P190" s="52" t="s">
        <v>140</v>
      </c>
      <c r="Q190" s="52" t="s">
        <v>125</v>
      </c>
      <c r="R190" s="52" t="s">
        <v>140</v>
      </c>
      <c r="S190" s="52" t="s">
        <v>125</v>
      </c>
      <c r="T190" s="65" t="s">
        <v>30</v>
      </c>
      <c r="U190" s="32">
        <v>1.0</v>
      </c>
      <c r="V190" s="32">
        <v>1.0</v>
      </c>
      <c r="W190" s="32">
        <v>1.0</v>
      </c>
      <c r="X190" s="32">
        <v>1.0</v>
      </c>
      <c r="Y190" s="32">
        <v>1.0</v>
      </c>
      <c r="Z190" s="32">
        <v>1.0</v>
      </c>
      <c r="AA190" s="32">
        <v>6.0</v>
      </c>
      <c r="AB190" s="32">
        <v>0.0</v>
      </c>
      <c r="AC190" s="103" t="str">
        <f>IFERROR(__xludf.DUMMYFUNCTION("if($C190="""","""",if(join("" - "",{iferror(filter('Student Groupings'!$A:$A,'Student Groupings'!$B:$B=$C190,'Student Groupings'!$H:$H=""Can't be Together""),"""");iferror(filter('Student Groupings'!$A:$A,'Student Groupings'!$E:$E=$C190,'Student Groupings"&amp;"'!$H:$H=""Can't be Together""),"""")})="" - "","""",join("" - "",{iferror(filter('Student Groupings'!$A:$A,'Student Groupings'!$B:$B=$C190,'Student Groupings'!$H:$H=""Can't be Together""),"""");iferror(filter('Student Groupings'!$A:$A,'Student Groupings'!"&amp;"$E:$E=$C190,'Student Groupings'!$H:$H=""Can't be Together""),"""")})))"),"")</f>
        <v/>
      </c>
      <c r="AD190" s="103" t="str">
        <f>IFERROR(__xludf.DUMMYFUNCTION("if($C190="""","""",if(join("" - "",{iferror(filter('Student Groupings'!$A:$A,'Student Groupings'!$B:$B=$C190,'Student Groupings'!$H:$H=""Must be Together""),"""");iferror(filter('Student Groupings'!$A:$A,'Student Groupings'!$E:$E=$C190,'Student Groupings'"&amp;"!$H:$H=""Must be Together""),"""")})="" - "","""",join("" - "",{iferror(filter('Student Groupings'!$A:$A,'Student Groupings'!$B:$B=$C190,'Student Groupings'!$H:$H=""Must be Together""),"""");iferror(filter('Student Groupings'!$A:$A,'Student Groupings'!$E:"&amp;"$E=$C190,'Student Groupings'!$H:$H=""Must be Together""),"""")})))"),"")</f>
        <v/>
      </c>
      <c r="AE190" s="104"/>
      <c r="AF190" s="104"/>
      <c r="AG190" s="104"/>
      <c r="AH190" s="104"/>
    </row>
    <row r="191">
      <c r="A191" s="101">
        <v>7.0</v>
      </c>
      <c r="B191" s="101">
        <v>30139.0</v>
      </c>
      <c r="C191" s="102" t="s">
        <v>460</v>
      </c>
      <c r="D191" s="52" t="s">
        <v>175</v>
      </c>
      <c r="E191" s="52">
        <v>3.0</v>
      </c>
      <c r="F191" s="52" t="s">
        <v>163</v>
      </c>
      <c r="G191" s="52">
        <v>5.0</v>
      </c>
      <c r="H191" s="52" t="s">
        <v>184</v>
      </c>
      <c r="I191" s="52">
        <v>2.0</v>
      </c>
      <c r="J191" s="52" t="s">
        <v>193</v>
      </c>
      <c r="K191" s="52">
        <v>1.0</v>
      </c>
      <c r="L191" s="52" t="s">
        <v>200</v>
      </c>
      <c r="M191" s="52">
        <v>6.0</v>
      </c>
      <c r="N191" s="52" t="s">
        <v>150</v>
      </c>
      <c r="O191" s="52" t="s">
        <v>111</v>
      </c>
      <c r="P191" s="52" t="s">
        <v>140</v>
      </c>
      <c r="Q191" s="52" t="s">
        <v>130</v>
      </c>
      <c r="R191" s="52" t="s">
        <v>140</v>
      </c>
      <c r="S191" s="52" t="s">
        <v>130</v>
      </c>
      <c r="T191" s="65" t="s">
        <v>30</v>
      </c>
      <c r="U191" s="32">
        <v>1.0</v>
      </c>
      <c r="V191" s="32">
        <v>1.0</v>
      </c>
      <c r="W191" s="32">
        <v>1.0</v>
      </c>
      <c r="X191" s="32">
        <v>1.0</v>
      </c>
      <c r="Y191" s="32">
        <v>1.0</v>
      </c>
      <c r="Z191" s="32">
        <v>1.0</v>
      </c>
      <c r="AA191" s="32">
        <v>6.0</v>
      </c>
      <c r="AB191" s="32">
        <v>0.0</v>
      </c>
      <c r="AC191" s="103" t="str">
        <f>IFERROR(__xludf.DUMMYFUNCTION("if($C191="""","""",if(join("" - "",{iferror(filter('Student Groupings'!$A:$A,'Student Groupings'!$B:$B=$C191,'Student Groupings'!$H:$H=""Can't be Together""),"""");iferror(filter('Student Groupings'!$A:$A,'Student Groupings'!$E:$E=$C191,'Student Groupings"&amp;"'!$H:$H=""Can't be Together""),"""")})="" - "","""",join("" - "",{iferror(filter('Student Groupings'!$A:$A,'Student Groupings'!$B:$B=$C191,'Student Groupings'!$H:$H=""Can't be Together""),"""");iferror(filter('Student Groupings'!$A:$A,'Student Groupings'!"&amp;"$E:$E=$C191,'Student Groupings'!$H:$H=""Can't be Together""),"""")})))"),"")</f>
        <v/>
      </c>
      <c r="AD191" s="103" t="str">
        <f>IFERROR(__xludf.DUMMYFUNCTION("if($C191="""","""",if(join("" - "",{iferror(filter('Student Groupings'!$A:$A,'Student Groupings'!$B:$B=$C191,'Student Groupings'!$H:$H=""Must be Together""),"""");iferror(filter('Student Groupings'!$A:$A,'Student Groupings'!$E:$E=$C191,'Student Groupings'"&amp;"!$H:$H=""Must be Together""),"""")})="" - "","""",join("" - "",{iferror(filter('Student Groupings'!$A:$A,'Student Groupings'!$B:$B=$C191,'Student Groupings'!$H:$H=""Must be Together""),"""");iferror(filter('Student Groupings'!$A:$A,'Student Groupings'!$E:"&amp;"$E=$C191,'Student Groupings'!$H:$H=""Must be Together""),"""")})))"),"")</f>
        <v/>
      </c>
      <c r="AE191" s="105"/>
      <c r="AF191" s="105"/>
      <c r="AG191" s="105"/>
      <c r="AH191" s="105"/>
    </row>
    <row r="192">
      <c r="A192" s="101">
        <v>7.0</v>
      </c>
      <c r="B192" s="101">
        <v>30046.0</v>
      </c>
      <c r="C192" s="102" t="s">
        <v>461</v>
      </c>
      <c r="D192" s="52" t="s">
        <v>179</v>
      </c>
      <c r="E192" s="52">
        <v>6.0</v>
      </c>
      <c r="F192" s="52" t="s">
        <v>164</v>
      </c>
      <c r="G192" s="52">
        <v>4.0</v>
      </c>
      <c r="H192" s="52" t="s">
        <v>184</v>
      </c>
      <c r="I192" s="52">
        <v>5.0</v>
      </c>
      <c r="J192" s="52" t="s">
        <v>195</v>
      </c>
      <c r="K192" s="52">
        <v>3.0</v>
      </c>
      <c r="L192" s="52" t="s">
        <v>200</v>
      </c>
      <c r="M192" s="52">
        <v>1.0</v>
      </c>
      <c r="N192" s="52" t="s">
        <v>154</v>
      </c>
      <c r="O192" s="52" t="s">
        <v>119</v>
      </c>
      <c r="P192" s="52" t="s">
        <v>140</v>
      </c>
      <c r="Q192" s="52" t="s">
        <v>125</v>
      </c>
      <c r="R192" s="52" t="s">
        <v>140</v>
      </c>
      <c r="S192" s="52" t="s">
        <v>125</v>
      </c>
      <c r="T192" s="65" t="s">
        <v>30</v>
      </c>
      <c r="U192" s="32">
        <v>1.0</v>
      </c>
      <c r="V192" s="32">
        <v>1.0</v>
      </c>
      <c r="W192" s="32">
        <v>1.0</v>
      </c>
      <c r="X192" s="32">
        <v>1.0</v>
      </c>
      <c r="Y192" s="32">
        <v>1.0</v>
      </c>
      <c r="Z192" s="32">
        <v>1.0</v>
      </c>
      <c r="AA192" s="32">
        <v>6.0</v>
      </c>
      <c r="AB192" s="32">
        <v>0.0</v>
      </c>
      <c r="AC192" s="103" t="str">
        <f>IFERROR(__xludf.DUMMYFUNCTION("if($C192="""","""",if(join("" - "",{iferror(filter('Student Groupings'!$A:$A,'Student Groupings'!$B:$B=$C192,'Student Groupings'!$H:$H=""Can't be Together""),"""");iferror(filter('Student Groupings'!$A:$A,'Student Groupings'!$E:$E=$C192,'Student Groupings"&amp;"'!$H:$H=""Can't be Together""),"""")})="" - "","""",join("" - "",{iferror(filter('Student Groupings'!$A:$A,'Student Groupings'!$B:$B=$C192,'Student Groupings'!$H:$H=""Can't be Together""),"""");iferror(filter('Student Groupings'!$A:$A,'Student Groupings'!"&amp;"$E:$E=$C192,'Student Groupings'!$H:$H=""Can't be Together""),"""")})))"),"")</f>
        <v/>
      </c>
      <c r="AD192" s="103" t="str">
        <f>IFERROR(__xludf.DUMMYFUNCTION("if($C192="""","""",if(join("" - "",{iferror(filter('Student Groupings'!$A:$A,'Student Groupings'!$B:$B=$C192,'Student Groupings'!$H:$H=""Must be Together""),"""");iferror(filter('Student Groupings'!$A:$A,'Student Groupings'!$E:$E=$C192,'Student Groupings'"&amp;"!$H:$H=""Must be Together""),"""")})="" - "","""",join("" - "",{iferror(filter('Student Groupings'!$A:$A,'Student Groupings'!$B:$B=$C192,'Student Groupings'!$H:$H=""Must be Together""),"""");iferror(filter('Student Groupings'!$A:$A,'Student Groupings'!$E:"&amp;"$E=$C192,'Student Groupings'!$H:$H=""Must be Together""),"""")})))"),"")</f>
        <v/>
      </c>
      <c r="AE192" s="105"/>
      <c r="AF192" s="105">
        <v>1.0</v>
      </c>
      <c r="AG192" s="104"/>
      <c r="AH192" s="104"/>
    </row>
    <row r="193">
      <c r="A193" s="101">
        <v>7.0</v>
      </c>
      <c r="B193" s="101">
        <v>30047.0</v>
      </c>
      <c r="C193" s="102" t="s">
        <v>462</v>
      </c>
      <c r="D193" s="52" t="s">
        <v>175</v>
      </c>
      <c r="E193" s="52">
        <v>6.0</v>
      </c>
      <c r="F193" s="52" t="s">
        <v>163</v>
      </c>
      <c r="G193" s="52">
        <v>4.0</v>
      </c>
      <c r="H193" s="52" t="s">
        <v>188</v>
      </c>
      <c r="I193" s="52">
        <v>5.0</v>
      </c>
      <c r="J193" s="52" t="s">
        <v>195</v>
      </c>
      <c r="K193" s="52">
        <v>1.0</v>
      </c>
      <c r="L193" s="52" t="s">
        <v>200</v>
      </c>
      <c r="M193" s="52">
        <v>3.0</v>
      </c>
      <c r="N193" s="52" t="s">
        <v>150</v>
      </c>
      <c r="O193" s="52" t="s">
        <v>119</v>
      </c>
      <c r="P193" s="52" t="s">
        <v>133</v>
      </c>
      <c r="Q193" s="52" t="s">
        <v>125</v>
      </c>
      <c r="R193" s="52" t="s">
        <v>116</v>
      </c>
      <c r="S193" s="52" t="s">
        <v>125</v>
      </c>
      <c r="T193" s="65" t="s">
        <v>27</v>
      </c>
      <c r="U193" s="32">
        <v>1.0</v>
      </c>
      <c r="V193" s="32">
        <v>1.0</v>
      </c>
      <c r="W193" s="32">
        <v>1.0</v>
      </c>
      <c r="X193" s="32">
        <v>1.0</v>
      </c>
      <c r="Y193" s="32">
        <v>1.0</v>
      </c>
      <c r="Z193" s="32">
        <v>1.0</v>
      </c>
      <c r="AA193" s="32">
        <v>6.0</v>
      </c>
      <c r="AB193" s="32">
        <v>0.0</v>
      </c>
      <c r="AC193" s="103" t="str">
        <f>IFERROR(__xludf.DUMMYFUNCTION("if($C193="""","""",if(join("" - "",{iferror(filter('Student Groupings'!$A:$A,'Student Groupings'!$B:$B=$C193,'Student Groupings'!$H:$H=""Can't be Together""),"""");iferror(filter('Student Groupings'!$A:$A,'Student Groupings'!$E:$E=$C193,'Student Groupings"&amp;"'!$H:$H=""Can't be Together""),"""")})="" - "","""",join("" - "",{iferror(filter('Student Groupings'!$A:$A,'Student Groupings'!$B:$B=$C193,'Student Groupings'!$H:$H=""Can't be Together""),"""");iferror(filter('Student Groupings'!$A:$A,'Student Groupings'!"&amp;"$E:$E=$C193,'Student Groupings'!$H:$H=""Can't be Together""),"""")})))"),"")</f>
        <v/>
      </c>
      <c r="AD193" s="103" t="str">
        <f>IFERROR(__xludf.DUMMYFUNCTION("if($C193="""","""",if(join("" - "",{iferror(filter('Student Groupings'!$A:$A,'Student Groupings'!$B:$B=$C193,'Student Groupings'!$H:$H=""Must be Together""),"""");iferror(filter('Student Groupings'!$A:$A,'Student Groupings'!$E:$E=$C193,'Student Groupings'"&amp;"!$H:$H=""Must be Together""),"""")})="" - "","""",join("" - "",{iferror(filter('Student Groupings'!$A:$A,'Student Groupings'!$B:$B=$C193,'Student Groupings'!$H:$H=""Must be Together""),"""");iferror(filter('Student Groupings'!$A:$A,'Student Groupings'!$E:"&amp;"$E=$C193,'Student Groupings'!$H:$H=""Must be Together""),"""")})))"),"")</f>
        <v/>
      </c>
      <c r="AE193" s="104"/>
      <c r="AF193" s="104"/>
      <c r="AG193" s="104"/>
      <c r="AH193" s="104"/>
    </row>
    <row r="194">
      <c r="A194" s="101">
        <v>7.0</v>
      </c>
      <c r="B194" s="101">
        <v>30048.0</v>
      </c>
      <c r="C194" s="102" t="s">
        <v>463</v>
      </c>
      <c r="D194" s="52" t="s">
        <v>175</v>
      </c>
      <c r="E194" s="52">
        <v>3.0</v>
      </c>
      <c r="F194" s="52" t="s">
        <v>163</v>
      </c>
      <c r="G194" s="52">
        <v>4.0</v>
      </c>
      <c r="H194" s="52" t="s">
        <v>184</v>
      </c>
      <c r="I194" s="52">
        <v>5.0</v>
      </c>
      <c r="J194" s="52" t="s">
        <v>193</v>
      </c>
      <c r="K194" s="52">
        <v>1.0</v>
      </c>
      <c r="L194" s="52" t="s">
        <v>200</v>
      </c>
      <c r="M194" s="52">
        <v>6.0</v>
      </c>
      <c r="N194" s="52" t="s">
        <v>150</v>
      </c>
      <c r="O194" s="52" t="s">
        <v>119</v>
      </c>
      <c r="P194" s="52" t="s">
        <v>116</v>
      </c>
      <c r="Q194" s="52" t="s">
        <v>125</v>
      </c>
      <c r="R194" s="52" t="s">
        <v>133</v>
      </c>
      <c r="S194" s="52" t="s">
        <v>125</v>
      </c>
      <c r="T194" s="65" t="s">
        <v>27</v>
      </c>
      <c r="U194" s="32">
        <v>1.0</v>
      </c>
      <c r="V194" s="32">
        <v>1.0</v>
      </c>
      <c r="W194" s="32">
        <v>1.0</v>
      </c>
      <c r="X194" s="32">
        <v>1.0</v>
      </c>
      <c r="Y194" s="32">
        <v>1.0</v>
      </c>
      <c r="Z194" s="32">
        <v>1.0</v>
      </c>
      <c r="AA194" s="32">
        <v>6.0</v>
      </c>
      <c r="AB194" s="32">
        <v>0.0</v>
      </c>
      <c r="AC194" s="103" t="str">
        <f>IFERROR(__xludf.DUMMYFUNCTION("if($C194="""","""",if(join("" - "",{iferror(filter('Student Groupings'!$A:$A,'Student Groupings'!$B:$B=$C194,'Student Groupings'!$H:$H=""Can't be Together""),"""");iferror(filter('Student Groupings'!$A:$A,'Student Groupings'!$E:$E=$C194,'Student Groupings"&amp;"'!$H:$H=""Can't be Together""),"""")})="" - "","""",join("" - "",{iferror(filter('Student Groupings'!$A:$A,'Student Groupings'!$B:$B=$C194,'Student Groupings'!$H:$H=""Can't be Together""),"""");iferror(filter('Student Groupings'!$A:$A,'Student Groupings'!"&amp;"$E:$E=$C194,'Student Groupings'!$H:$H=""Can't be Together""),"""")})))"),"")</f>
        <v/>
      </c>
      <c r="AD194" s="103" t="str">
        <f>IFERROR(__xludf.DUMMYFUNCTION("if($C194="""","""",if(join("" - "",{iferror(filter('Student Groupings'!$A:$A,'Student Groupings'!$B:$B=$C194,'Student Groupings'!$H:$H=""Must be Together""),"""");iferror(filter('Student Groupings'!$A:$A,'Student Groupings'!$E:$E=$C194,'Student Groupings'"&amp;"!$H:$H=""Must be Together""),"""")})="" - "","""",join("" - "",{iferror(filter('Student Groupings'!$A:$A,'Student Groupings'!$B:$B=$C194,'Student Groupings'!$H:$H=""Must be Together""),"""");iferror(filter('Student Groupings'!$A:$A,'Student Groupings'!$E:"&amp;"$E=$C194,'Student Groupings'!$H:$H=""Must be Together""),"""")})))"),"")</f>
        <v/>
      </c>
      <c r="AE194" s="104"/>
      <c r="AF194" s="104"/>
      <c r="AG194" s="104"/>
      <c r="AH194" s="104"/>
    </row>
    <row r="195">
      <c r="A195" s="101">
        <v>7.0</v>
      </c>
      <c r="B195" s="101">
        <v>30146.0</v>
      </c>
      <c r="C195" s="102" t="s">
        <v>464</v>
      </c>
      <c r="D195" s="52" t="s">
        <v>175</v>
      </c>
      <c r="E195" s="52">
        <v>4.0</v>
      </c>
      <c r="F195" s="52" t="s">
        <v>164</v>
      </c>
      <c r="G195" s="52">
        <v>3.0</v>
      </c>
      <c r="H195" s="52" t="s">
        <v>184</v>
      </c>
      <c r="I195" s="52">
        <v>1.0</v>
      </c>
      <c r="J195" s="52" t="s">
        <v>193</v>
      </c>
      <c r="K195" s="52">
        <v>5.0</v>
      </c>
      <c r="L195" s="52" t="s">
        <v>200</v>
      </c>
      <c r="M195" s="52">
        <v>2.0</v>
      </c>
      <c r="N195" s="52" t="s">
        <v>150</v>
      </c>
      <c r="O195" s="52" t="s">
        <v>109</v>
      </c>
      <c r="P195" s="52" t="s">
        <v>116</v>
      </c>
      <c r="Q195" s="52" t="s">
        <v>120</v>
      </c>
      <c r="R195" s="52" t="s">
        <v>133</v>
      </c>
      <c r="S195" s="52" t="s">
        <v>120</v>
      </c>
      <c r="T195" s="65" t="s">
        <v>27</v>
      </c>
      <c r="U195" s="32">
        <v>1.0</v>
      </c>
      <c r="V195" s="32">
        <v>1.0</v>
      </c>
      <c r="W195" s="32">
        <v>1.0</v>
      </c>
      <c r="X195" s="32">
        <v>1.0</v>
      </c>
      <c r="Y195" s="32">
        <v>1.0</v>
      </c>
      <c r="Z195" s="32">
        <v>1.0</v>
      </c>
      <c r="AA195" s="32">
        <v>6.0</v>
      </c>
      <c r="AB195" s="32">
        <v>0.0</v>
      </c>
      <c r="AC195" s="103" t="str">
        <f>IFERROR(__xludf.DUMMYFUNCTION("if($C195="""","""",if(join("" - "",{iferror(filter('Student Groupings'!$A:$A,'Student Groupings'!$B:$B=$C195,'Student Groupings'!$H:$H=""Can't be Together""),"""");iferror(filter('Student Groupings'!$A:$A,'Student Groupings'!$E:$E=$C195,'Student Groupings"&amp;"'!$H:$H=""Can't be Together""),"""")})="" - "","""",join("" - "",{iferror(filter('Student Groupings'!$A:$A,'Student Groupings'!$B:$B=$C195,'Student Groupings'!$H:$H=""Can't be Together""),"""");iferror(filter('Student Groupings'!$A:$A,'Student Groupings'!"&amp;"$E:$E=$C195,'Student Groupings'!$H:$H=""Can't be Together""),"""")})))"),"")</f>
        <v/>
      </c>
      <c r="AD195" s="103" t="str">
        <f>IFERROR(__xludf.DUMMYFUNCTION("if($C195="""","""",if(join("" - "",{iferror(filter('Student Groupings'!$A:$A,'Student Groupings'!$B:$B=$C195,'Student Groupings'!$H:$H=""Must be Together""),"""");iferror(filter('Student Groupings'!$A:$A,'Student Groupings'!$E:$E=$C195,'Student Groupings'"&amp;"!$H:$H=""Must be Together""),"""")})="" - "","""",join("" - "",{iferror(filter('Student Groupings'!$A:$A,'Student Groupings'!$B:$B=$C195,'Student Groupings'!$H:$H=""Must be Together""),"""");iferror(filter('Student Groupings'!$A:$A,'Student Groupings'!$E:"&amp;"$E=$C195,'Student Groupings'!$H:$H=""Must be Together""),"""")})))"),"")</f>
        <v/>
      </c>
      <c r="AE195" s="104"/>
      <c r="AF195" s="104"/>
      <c r="AG195" s="104"/>
      <c r="AH195" s="104"/>
    </row>
    <row r="196">
      <c r="A196" s="101">
        <v>7.0</v>
      </c>
      <c r="B196" s="101">
        <v>30049.0</v>
      </c>
      <c r="C196" s="102" t="s">
        <v>465</v>
      </c>
      <c r="D196" s="52" t="s">
        <v>175</v>
      </c>
      <c r="E196" s="52">
        <v>2.0</v>
      </c>
      <c r="F196" s="52" t="s">
        <v>163</v>
      </c>
      <c r="G196" s="52">
        <v>6.0</v>
      </c>
      <c r="H196" s="52" t="s">
        <v>184</v>
      </c>
      <c r="I196" s="52">
        <v>3.0</v>
      </c>
      <c r="J196" s="52" t="s">
        <v>195</v>
      </c>
      <c r="K196" s="52">
        <v>5.0</v>
      </c>
      <c r="L196" s="52" t="s">
        <v>200</v>
      </c>
      <c r="M196" s="52">
        <v>4.0</v>
      </c>
      <c r="N196" s="52" t="s">
        <v>154</v>
      </c>
      <c r="O196" s="52" t="s">
        <v>129</v>
      </c>
      <c r="P196" s="52" t="s">
        <v>140</v>
      </c>
      <c r="Q196" s="52" t="s">
        <v>108</v>
      </c>
      <c r="R196" s="52" t="s">
        <v>140</v>
      </c>
      <c r="S196" s="52" t="s">
        <v>108</v>
      </c>
      <c r="T196" s="65" t="s">
        <v>30</v>
      </c>
      <c r="U196" s="32">
        <v>1.0</v>
      </c>
      <c r="V196" s="32">
        <v>1.0</v>
      </c>
      <c r="W196" s="32">
        <v>1.0</v>
      </c>
      <c r="X196" s="32">
        <v>1.0</v>
      </c>
      <c r="Y196" s="32">
        <v>1.0</v>
      </c>
      <c r="Z196" s="32">
        <v>1.0</v>
      </c>
      <c r="AA196" s="32">
        <v>6.0</v>
      </c>
      <c r="AB196" s="32">
        <v>0.0</v>
      </c>
      <c r="AC196" s="103" t="str">
        <f>IFERROR(__xludf.DUMMYFUNCTION("if($C196="""","""",if(join("" - "",{iferror(filter('Student Groupings'!$A:$A,'Student Groupings'!$B:$B=$C196,'Student Groupings'!$H:$H=""Can't be Together""),"""");iferror(filter('Student Groupings'!$A:$A,'Student Groupings'!$E:$E=$C196,'Student Groupings"&amp;"'!$H:$H=""Can't be Together""),"""")})="" - "","""",join("" - "",{iferror(filter('Student Groupings'!$A:$A,'Student Groupings'!$B:$B=$C196,'Student Groupings'!$H:$H=""Can't be Together""),"""");iferror(filter('Student Groupings'!$A:$A,'Student Groupings'!"&amp;"$E:$E=$C196,'Student Groupings'!$H:$H=""Can't be Together""),"""")})))"),"")</f>
        <v/>
      </c>
      <c r="AD196" s="103" t="str">
        <f>IFERROR(__xludf.DUMMYFUNCTION("if($C196="""","""",if(join("" - "",{iferror(filter('Student Groupings'!$A:$A,'Student Groupings'!$B:$B=$C196,'Student Groupings'!$H:$H=""Must be Together""),"""");iferror(filter('Student Groupings'!$A:$A,'Student Groupings'!$E:$E=$C196,'Student Groupings'"&amp;"!$H:$H=""Must be Together""),"""")})="" - "","""",join("" - "",{iferror(filter('Student Groupings'!$A:$A,'Student Groupings'!$B:$B=$C196,'Student Groupings'!$H:$H=""Must be Together""),"""");iferror(filter('Student Groupings'!$A:$A,'Student Groupings'!$E:"&amp;"$E=$C196,'Student Groupings'!$H:$H=""Must be Together""),"""")})))"),"")</f>
        <v/>
      </c>
      <c r="AE196" s="104"/>
      <c r="AF196" s="104"/>
      <c r="AG196" s="104"/>
      <c r="AH196" s="104"/>
    </row>
    <row r="197">
      <c r="A197" s="101">
        <v>7.0</v>
      </c>
      <c r="B197" s="101">
        <v>30050.0</v>
      </c>
      <c r="C197" s="102" t="s">
        <v>466</v>
      </c>
      <c r="D197" s="52" t="s">
        <v>175</v>
      </c>
      <c r="E197" s="52">
        <v>5.0</v>
      </c>
      <c r="F197" s="52" t="s">
        <v>163</v>
      </c>
      <c r="G197" s="52">
        <v>3.0</v>
      </c>
      <c r="H197" s="52" t="s">
        <v>184</v>
      </c>
      <c r="I197" s="52">
        <v>6.0</v>
      </c>
      <c r="J197" s="52" t="s">
        <v>195</v>
      </c>
      <c r="K197" s="52">
        <v>2.0</v>
      </c>
      <c r="L197" s="52" t="s">
        <v>203</v>
      </c>
      <c r="M197" s="52">
        <v>4.0</v>
      </c>
      <c r="N197" s="52" t="s">
        <v>150</v>
      </c>
      <c r="O197" s="52" t="s">
        <v>129</v>
      </c>
      <c r="P197" s="52" t="s">
        <v>133</v>
      </c>
      <c r="Q197" s="52" t="s">
        <v>108</v>
      </c>
      <c r="R197" s="52" t="s">
        <v>116</v>
      </c>
      <c r="S197" s="52" t="s">
        <v>108</v>
      </c>
      <c r="T197" s="65" t="s">
        <v>27</v>
      </c>
      <c r="U197" s="32">
        <v>1.0</v>
      </c>
      <c r="V197" s="32">
        <v>1.0</v>
      </c>
      <c r="W197" s="32">
        <v>1.0</v>
      </c>
      <c r="X197" s="32">
        <v>1.0</v>
      </c>
      <c r="Y197" s="32">
        <v>1.0</v>
      </c>
      <c r="Z197" s="32">
        <v>1.0</v>
      </c>
      <c r="AA197" s="32">
        <v>6.0</v>
      </c>
      <c r="AB197" s="32">
        <v>0.0</v>
      </c>
      <c r="AC197" s="103" t="str">
        <f>IFERROR(__xludf.DUMMYFUNCTION("if($C197="""","""",if(join("" - "",{iferror(filter('Student Groupings'!$A:$A,'Student Groupings'!$B:$B=$C197,'Student Groupings'!$H:$H=""Can't be Together""),"""");iferror(filter('Student Groupings'!$A:$A,'Student Groupings'!$E:$E=$C197,'Student Groupings"&amp;"'!$H:$H=""Can't be Together""),"""")})="" - "","""",join("" - "",{iferror(filter('Student Groupings'!$A:$A,'Student Groupings'!$B:$B=$C197,'Student Groupings'!$H:$H=""Can't be Together""),"""");iferror(filter('Student Groupings'!$A:$A,'Student Groupings'!"&amp;"$E:$E=$C197,'Student Groupings'!$H:$H=""Can't be Together""),"""")})))"),"")</f>
        <v/>
      </c>
      <c r="AD197" s="103" t="str">
        <f>IFERROR(__xludf.DUMMYFUNCTION("if($C197="""","""",if(join("" - "",{iferror(filter('Student Groupings'!$A:$A,'Student Groupings'!$B:$B=$C197,'Student Groupings'!$H:$H=""Must be Together""),"""");iferror(filter('Student Groupings'!$A:$A,'Student Groupings'!$E:$E=$C197,'Student Groupings'"&amp;"!$H:$H=""Must be Together""),"""")})="" - "","""",join("" - "",{iferror(filter('Student Groupings'!$A:$A,'Student Groupings'!$B:$B=$C197,'Student Groupings'!$H:$H=""Must be Together""),"""");iferror(filter('Student Groupings'!$A:$A,'Student Groupings'!$E:"&amp;"$E=$C197,'Student Groupings'!$H:$H=""Must be Together""),"""")})))"),"")</f>
        <v/>
      </c>
      <c r="AE197" s="104"/>
      <c r="AF197" s="104"/>
      <c r="AG197" s="104"/>
      <c r="AH197" s="104"/>
    </row>
    <row r="198">
      <c r="A198" s="101">
        <v>7.0</v>
      </c>
      <c r="B198" s="101">
        <v>30051.0</v>
      </c>
      <c r="C198" s="102" t="s">
        <v>467</v>
      </c>
      <c r="D198" s="52" t="s">
        <v>179</v>
      </c>
      <c r="E198" s="52">
        <v>6.0</v>
      </c>
      <c r="F198" s="52" t="s">
        <v>163</v>
      </c>
      <c r="G198" s="52">
        <v>4.0</v>
      </c>
      <c r="H198" s="52" t="s">
        <v>188</v>
      </c>
      <c r="I198" s="52">
        <v>5.0</v>
      </c>
      <c r="J198" s="52" t="s">
        <v>195</v>
      </c>
      <c r="K198" s="52">
        <v>3.0</v>
      </c>
      <c r="L198" s="52" t="s">
        <v>200</v>
      </c>
      <c r="M198" s="52">
        <v>1.0</v>
      </c>
      <c r="N198" s="52" t="s">
        <v>150</v>
      </c>
      <c r="O198" s="52" t="s">
        <v>119</v>
      </c>
      <c r="P198" s="52" t="s">
        <v>133</v>
      </c>
      <c r="Q198" s="52" t="s">
        <v>125</v>
      </c>
      <c r="R198" s="52" t="s">
        <v>116</v>
      </c>
      <c r="S198" s="52" t="s">
        <v>125</v>
      </c>
      <c r="T198" s="65" t="s">
        <v>27</v>
      </c>
      <c r="U198" s="32">
        <v>1.0</v>
      </c>
      <c r="V198" s="32">
        <v>1.0</v>
      </c>
      <c r="W198" s="32">
        <v>1.0</v>
      </c>
      <c r="X198" s="32">
        <v>1.0</v>
      </c>
      <c r="Y198" s="32">
        <v>1.0</v>
      </c>
      <c r="Z198" s="32">
        <v>1.0</v>
      </c>
      <c r="AA198" s="32">
        <v>6.0</v>
      </c>
      <c r="AB198" s="32">
        <v>0.0</v>
      </c>
      <c r="AC198" s="103" t="str">
        <f>IFERROR(__xludf.DUMMYFUNCTION("if($C198="""","""",if(join("" - "",{iferror(filter('Student Groupings'!$A:$A,'Student Groupings'!$B:$B=$C198,'Student Groupings'!$H:$H=""Can't be Together""),"""");iferror(filter('Student Groupings'!$A:$A,'Student Groupings'!$E:$E=$C198,'Student Groupings"&amp;"'!$H:$H=""Can't be Together""),"""")})="" - "","""",join("" - "",{iferror(filter('Student Groupings'!$A:$A,'Student Groupings'!$B:$B=$C198,'Student Groupings'!$H:$H=""Can't be Together""),"""");iferror(filter('Student Groupings'!$A:$A,'Student Groupings'!"&amp;"$E:$E=$C198,'Student Groupings'!$H:$H=""Can't be Together""),"""")})))"),"")</f>
        <v/>
      </c>
      <c r="AD198" s="103" t="str">
        <f>IFERROR(__xludf.DUMMYFUNCTION("if($C198="""","""",if(join("" - "",{iferror(filter('Student Groupings'!$A:$A,'Student Groupings'!$B:$B=$C198,'Student Groupings'!$H:$H=""Must be Together""),"""");iferror(filter('Student Groupings'!$A:$A,'Student Groupings'!$E:$E=$C198,'Student Groupings'"&amp;"!$H:$H=""Must be Together""),"""")})="" - "","""",join("" - "",{iferror(filter('Student Groupings'!$A:$A,'Student Groupings'!$B:$B=$C198,'Student Groupings'!$H:$H=""Must be Together""),"""");iferror(filter('Student Groupings'!$A:$A,'Student Groupings'!$E:"&amp;"$E=$C198,'Student Groupings'!$H:$H=""Must be Together""),"""")})))"),"")</f>
        <v/>
      </c>
      <c r="AE198" s="104"/>
      <c r="AF198" s="104"/>
      <c r="AG198" s="105">
        <v>1.0</v>
      </c>
      <c r="AH198" s="105"/>
    </row>
    <row r="199">
      <c r="A199" s="101">
        <v>7.0</v>
      </c>
      <c r="B199" s="101">
        <v>30052.0</v>
      </c>
      <c r="C199" s="102" t="s">
        <v>468</v>
      </c>
      <c r="D199" s="52" t="s">
        <v>175</v>
      </c>
      <c r="E199" s="52">
        <v>6.0</v>
      </c>
      <c r="F199" s="52" t="s">
        <v>163</v>
      </c>
      <c r="G199" s="52">
        <v>4.0</v>
      </c>
      <c r="H199" s="52" t="s">
        <v>184</v>
      </c>
      <c r="I199" s="101">
        <v>5.0</v>
      </c>
      <c r="J199" s="52" t="s">
        <v>195</v>
      </c>
      <c r="K199" s="101">
        <v>1.0</v>
      </c>
      <c r="L199" s="52" t="s">
        <v>200</v>
      </c>
      <c r="M199" s="52">
        <v>3.0</v>
      </c>
      <c r="N199" s="52" t="s">
        <v>150</v>
      </c>
      <c r="O199" s="52" t="s">
        <v>119</v>
      </c>
      <c r="P199" s="52" t="s">
        <v>133</v>
      </c>
      <c r="Q199" s="52" t="s">
        <v>125</v>
      </c>
      <c r="R199" s="52" t="s">
        <v>116</v>
      </c>
      <c r="S199" s="52" t="s">
        <v>125</v>
      </c>
      <c r="T199" s="65" t="s">
        <v>27</v>
      </c>
      <c r="U199" s="32">
        <v>1.0</v>
      </c>
      <c r="V199" s="32">
        <v>1.0</v>
      </c>
      <c r="W199" s="32">
        <v>1.0</v>
      </c>
      <c r="X199" s="32">
        <v>1.0</v>
      </c>
      <c r="Y199" s="32">
        <v>1.0</v>
      </c>
      <c r="Z199" s="32">
        <v>1.0</v>
      </c>
      <c r="AA199" s="32">
        <v>6.0</v>
      </c>
      <c r="AB199" s="32">
        <v>0.0</v>
      </c>
      <c r="AC199" s="103" t="str">
        <f>IFERROR(__xludf.DUMMYFUNCTION("if($C199="""","""",if(join("" - "",{iferror(filter('Student Groupings'!$A:$A,'Student Groupings'!$B:$B=$C199,'Student Groupings'!$H:$H=""Can't be Together""),"""");iferror(filter('Student Groupings'!$A:$A,'Student Groupings'!$E:$E=$C199,'Student Groupings"&amp;"'!$H:$H=""Can't be Together""),"""")})="" - "","""",join("" - "",{iferror(filter('Student Groupings'!$A:$A,'Student Groupings'!$B:$B=$C199,'Student Groupings'!$H:$H=""Can't be Together""),"""");iferror(filter('Student Groupings'!$A:$A,'Student Groupings'!"&amp;"$E:$E=$C199,'Student Groupings'!$H:$H=""Can't be Together""),"""")})))"),"")</f>
        <v/>
      </c>
      <c r="AD199" s="103" t="str">
        <f>IFERROR(__xludf.DUMMYFUNCTION("if($C199="""","""",if(join("" - "",{iferror(filter('Student Groupings'!$A:$A,'Student Groupings'!$B:$B=$C199,'Student Groupings'!$H:$H=""Must be Together""),"""");iferror(filter('Student Groupings'!$A:$A,'Student Groupings'!$E:$E=$C199,'Student Groupings'"&amp;"!$H:$H=""Must be Together""),"""")})="" - "","""",join("" - "",{iferror(filter('Student Groupings'!$A:$A,'Student Groupings'!$B:$B=$C199,'Student Groupings'!$H:$H=""Must be Together""),"""");iferror(filter('Student Groupings'!$A:$A,'Student Groupings'!$E:"&amp;"$E=$C199,'Student Groupings'!$H:$H=""Must be Together""),"""")})))"),"")</f>
        <v/>
      </c>
      <c r="AE199" s="104"/>
      <c r="AF199" s="104"/>
      <c r="AG199" s="104"/>
      <c r="AH199" s="104"/>
    </row>
    <row r="200">
      <c r="A200" s="101">
        <v>7.0</v>
      </c>
      <c r="B200" s="101">
        <v>30053.0</v>
      </c>
      <c r="C200" s="102" t="s">
        <v>469</v>
      </c>
      <c r="D200" s="52" t="s">
        <v>175</v>
      </c>
      <c r="E200" s="52">
        <v>4.0</v>
      </c>
      <c r="F200" s="52" t="s">
        <v>164</v>
      </c>
      <c r="G200" s="52">
        <v>3.0</v>
      </c>
      <c r="H200" s="52" t="s">
        <v>184</v>
      </c>
      <c r="I200" s="52">
        <v>1.0</v>
      </c>
      <c r="J200" s="52" t="s">
        <v>193</v>
      </c>
      <c r="K200" s="52">
        <v>5.0</v>
      </c>
      <c r="L200" s="52" t="s">
        <v>200</v>
      </c>
      <c r="M200" s="52">
        <v>2.0</v>
      </c>
      <c r="N200" s="52" t="s">
        <v>150</v>
      </c>
      <c r="O200" s="52" t="s">
        <v>109</v>
      </c>
      <c r="P200" s="52" t="s">
        <v>116</v>
      </c>
      <c r="Q200" s="52" t="s">
        <v>120</v>
      </c>
      <c r="R200" s="52" t="s">
        <v>133</v>
      </c>
      <c r="S200" s="52" t="s">
        <v>120</v>
      </c>
      <c r="T200" s="65" t="s">
        <v>8</v>
      </c>
      <c r="U200" s="32">
        <v>1.0</v>
      </c>
      <c r="V200" s="32">
        <v>1.0</v>
      </c>
      <c r="W200" s="32">
        <v>1.0</v>
      </c>
      <c r="X200" s="32">
        <v>1.0</v>
      </c>
      <c r="Y200" s="32">
        <v>1.0</v>
      </c>
      <c r="Z200" s="32">
        <v>1.0</v>
      </c>
      <c r="AA200" s="32">
        <v>6.0</v>
      </c>
      <c r="AB200" s="32">
        <v>0.0</v>
      </c>
      <c r="AC200" s="103" t="str">
        <f>IFERROR(__xludf.DUMMYFUNCTION("if($C200="""","""",if(join("" - "",{iferror(filter('Student Groupings'!$A:$A,'Student Groupings'!$B:$B=$C200,'Student Groupings'!$H:$H=""Can't be Together""),"""");iferror(filter('Student Groupings'!$A:$A,'Student Groupings'!$E:$E=$C200,'Student Groupings"&amp;"'!$H:$H=""Can't be Together""),"""")})="" - "","""",join("" - "",{iferror(filter('Student Groupings'!$A:$A,'Student Groupings'!$B:$B=$C200,'Student Groupings'!$H:$H=""Can't be Together""),"""");iferror(filter('Student Groupings'!$A:$A,'Student Groupings'!"&amp;"$E:$E=$C200,'Student Groupings'!$H:$H=""Can't be Together""),"""")})))"),"")</f>
        <v/>
      </c>
      <c r="AD200" s="103" t="str">
        <f>IFERROR(__xludf.DUMMYFUNCTION("if($C200="""","""",if(join("" - "",{iferror(filter('Student Groupings'!$A:$A,'Student Groupings'!$B:$B=$C200,'Student Groupings'!$H:$H=""Must be Together""),"""");iferror(filter('Student Groupings'!$A:$A,'Student Groupings'!$E:$E=$C200,'Student Groupings'"&amp;"!$H:$H=""Must be Together""),"""")})="" - "","""",join("" - "",{iferror(filter('Student Groupings'!$A:$A,'Student Groupings'!$B:$B=$C200,'Student Groupings'!$H:$H=""Must be Together""),"""");iferror(filter('Student Groupings'!$A:$A,'Student Groupings'!$E:"&amp;"$E=$C200,'Student Groupings'!$H:$H=""Must be Together""),"""")})))"),"")</f>
        <v/>
      </c>
      <c r="AE200" s="104"/>
      <c r="AF200" s="104"/>
      <c r="AG200" s="104"/>
      <c r="AH200" s="104"/>
    </row>
    <row r="201">
      <c r="A201" s="101">
        <v>7.0</v>
      </c>
      <c r="B201" s="101">
        <v>30054.0</v>
      </c>
      <c r="C201" s="102" t="s">
        <v>470</v>
      </c>
      <c r="D201" s="52" t="s">
        <v>175</v>
      </c>
      <c r="E201" s="52">
        <v>3.0</v>
      </c>
      <c r="F201" s="52" t="s">
        <v>164</v>
      </c>
      <c r="G201" s="52">
        <v>4.0</v>
      </c>
      <c r="H201" s="52" t="s">
        <v>184</v>
      </c>
      <c r="I201" s="52">
        <v>5.0</v>
      </c>
      <c r="J201" s="52" t="s">
        <v>193</v>
      </c>
      <c r="K201" s="52">
        <v>1.0</v>
      </c>
      <c r="L201" s="52" t="s">
        <v>200</v>
      </c>
      <c r="M201" s="52">
        <v>6.0</v>
      </c>
      <c r="N201" s="52" t="s">
        <v>150</v>
      </c>
      <c r="O201" s="52" t="s">
        <v>119</v>
      </c>
      <c r="P201" s="52" t="s">
        <v>133</v>
      </c>
      <c r="Q201" s="52" t="s">
        <v>125</v>
      </c>
      <c r="R201" s="52" t="s">
        <v>116</v>
      </c>
      <c r="S201" s="52" t="s">
        <v>125</v>
      </c>
      <c r="T201" s="65" t="s">
        <v>27</v>
      </c>
      <c r="U201" s="32">
        <v>1.0</v>
      </c>
      <c r="V201" s="32">
        <v>1.0</v>
      </c>
      <c r="W201" s="32">
        <v>1.0</v>
      </c>
      <c r="X201" s="32">
        <v>1.0</v>
      </c>
      <c r="Y201" s="32">
        <v>1.0</v>
      </c>
      <c r="Z201" s="32">
        <v>1.0</v>
      </c>
      <c r="AA201" s="32">
        <v>6.0</v>
      </c>
      <c r="AB201" s="32">
        <v>0.0</v>
      </c>
      <c r="AC201" s="103" t="str">
        <f>IFERROR(__xludf.DUMMYFUNCTION("if($C201="""","""",if(join("" - "",{iferror(filter('Student Groupings'!$A:$A,'Student Groupings'!$B:$B=$C201,'Student Groupings'!$H:$H=""Can't be Together""),"""");iferror(filter('Student Groupings'!$A:$A,'Student Groupings'!$E:$E=$C201,'Student Groupings"&amp;"'!$H:$H=""Can't be Together""),"""")})="" - "","""",join("" - "",{iferror(filter('Student Groupings'!$A:$A,'Student Groupings'!$B:$B=$C201,'Student Groupings'!$H:$H=""Can't be Together""),"""");iferror(filter('Student Groupings'!$A:$A,'Student Groupings'!"&amp;"$E:$E=$C201,'Student Groupings'!$H:$H=""Can't be Together""),"""")})))"),"")</f>
        <v/>
      </c>
      <c r="AD201" s="103" t="str">
        <f>IFERROR(__xludf.DUMMYFUNCTION("if($C201="""","""",if(join("" - "",{iferror(filter('Student Groupings'!$A:$A,'Student Groupings'!$B:$B=$C201,'Student Groupings'!$H:$H=""Must be Together""),"""");iferror(filter('Student Groupings'!$A:$A,'Student Groupings'!$E:$E=$C201,'Student Groupings'"&amp;"!$H:$H=""Must be Together""),"""")})="" - "","""",join("" - "",{iferror(filter('Student Groupings'!$A:$A,'Student Groupings'!$B:$B=$C201,'Student Groupings'!$H:$H=""Must be Together""),"""");iferror(filter('Student Groupings'!$A:$A,'Student Groupings'!$E:"&amp;"$E=$C201,'Student Groupings'!$H:$H=""Must be Together""),"""")})))"),"")</f>
        <v/>
      </c>
      <c r="AE201" s="105"/>
      <c r="AF201" s="105">
        <v>1.0</v>
      </c>
      <c r="AG201" s="104"/>
      <c r="AH201" s="104"/>
    </row>
    <row r="202">
      <c r="A202" s="101">
        <v>7.0</v>
      </c>
      <c r="B202" s="101">
        <v>30055.0</v>
      </c>
      <c r="C202" s="102" t="s">
        <v>471</v>
      </c>
      <c r="D202" s="52" t="s">
        <v>175</v>
      </c>
      <c r="E202" s="52">
        <v>5.0</v>
      </c>
      <c r="F202" s="52" t="s">
        <v>163</v>
      </c>
      <c r="G202" s="52">
        <v>3.0</v>
      </c>
      <c r="H202" s="52" t="s">
        <v>184</v>
      </c>
      <c r="I202" s="52">
        <v>6.0</v>
      </c>
      <c r="J202" s="52" t="s">
        <v>195</v>
      </c>
      <c r="K202" s="52">
        <v>2.0</v>
      </c>
      <c r="L202" s="52" t="s">
        <v>203</v>
      </c>
      <c r="M202" s="52">
        <v>4.0</v>
      </c>
      <c r="N202" s="52" t="s">
        <v>150</v>
      </c>
      <c r="O202" s="52" t="s">
        <v>129</v>
      </c>
      <c r="P202" s="52" t="s">
        <v>116</v>
      </c>
      <c r="Q202" s="52" t="s">
        <v>108</v>
      </c>
      <c r="R202" s="52" t="s">
        <v>133</v>
      </c>
      <c r="S202" s="52" t="s">
        <v>108</v>
      </c>
      <c r="T202" s="65" t="s">
        <v>8</v>
      </c>
      <c r="U202" s="32">
        <v>1.0</v>
      </c>
      <c r="V202" s="32">
        <v>1.0</v>
      </c>
      <c r="W202" s="32">
        <v>1.0</v>
      </c>
      <c r="X202" s="32">
        <v>1.0</v>
      </c>
      <c r="Y202" s="32">
        <v>1.0</v>
      </c>
      <c r="Z202" s="32">
        <v>1.0</v>
      </c>
      <c r="AA202" s="32">
        <v>6.0</v>
      </c>
      <c r="AB202" s="32">
        <v>0.0</v>
      </c>
      <c r="AC202" s="103" t="str">
        <f>IFERROR(__xludf.DUMMYFUNCTION("if($C202="""","""",if(join("" - "",{iferror(filter('Student Groupings'!$A:$A,'Student Groupings'!$B:$B=$C202,'Student Groupings'!$H:$H=""Can't be Together""),"""");iferror(filter('Student Groupings'!$A:$A,'Student Groupings'!$E:$E=$C202,'Student Groupings"&amp;"'!$H:$H=""Can't be Together""),"""")})="" - "","""",join("" - "",{iferror(filter('Student Groupings'!$A:$A,'Student Groupings'!$B:$B=$C202,'Student Groupings'!$H:$H=""Can't be Together""),"""");iferror(filter('Student Groupings'!$A:$A,'Student Groupings'!"&amp;"$E:$E=$C202,'Student Groupings'!$H:$H=""Can't be Together""),"""")})))"),"")</f>
        <v/>
      </c>
      <c r="AD202" s="103" t="str">
        <f>IFERROR(__xludf.DUMMYFUNCTION("if($C202="""","""",if(join("" - "",{iferror(filter('Student Groupings'!$A:$A,'Student Groupings'!$B:$B=$C202,'Student Groupings'!$H:$H=""Must be Together""),"""");iferror(filter('Student Groupings'!$A:$A,'Student Groupings'!$E:$E=$C202,'Student Groupings'"&amp;"!$H:$H=""Must be Together""),"""")})="" - "","""",join("" - "",{iferror(filter('Student Groupings'!$A:$A,'Student Groupings'!$B:$B=$C202,'Student Groupings'!$H:$H=""Must be Together""),"""");iferror(filter('Student Groupings'!$A:$A,'Student Groupings'!$E:"&amp;"$E=$C202,'Student Groupings'!$H:$H=""Must be Together""),"""")})))"),"")</f>
        <v/>
      </c>
      <c r="AE202" s="104"/>
      <c r="AF202" s="104"/>
      <c r="AG202" s="104"/>
      <c r="AH202" s="104"/>
    </row>
    <row r="203">
      <c r="A203" s="101">
        <v>7.0</v>
      </c>
      <c r="B203" s="101">
        <v>30056.0</v>
      </c>
      <c r="C203" s="102" t="s">
        <v>472</v>
      </c>
      <c r="D203" s="52" t="s">
        <v>179</v>
      </c>
      <c r="E203" s="52">
        <v>6.0</v>
      </c>
      <c r="F203" s="52" t="s">
        <v>163</v>
      </c>
      <c r="G203" s="52">
        <v>4.0</v>
      </c>
      <c r="H203" s="52" t="s">
        <v>184</v>
      </c>
      <c r="I203" s="52">
        <v>5.0</v>
      </c>
      <c r="J203" s="52" t="s">
        <v>195</v>
      </c>
      <c r="K203" s="52">
        <v>3.0</v>
      </c>
      <c r="L203" s="52" t="s">
        <v>200</v>
      </c>
      <c r="M203" s="52">
        <v>1.0</v>
      </c>
      <c r="N203" s="52" t="s">
        <v>150</v>
      </c>
      <c r="O203" s="52" t="s">
        <v>119</v>
      </c>
      <c r="P203" s="52" t="s">
        <v>116</v>
      </c>
      <c r="Q203" s="52" t="s">
        <v>125</v>
      </c>
      <c r="R203" s="52" t="s">
        <v>133</v>
      </c>
      <c r="S203" s="52" t="s">
        <v>125</v>
      </c>
      <c r="T203" s="65" t="s">
        <v>27</v>
      </c>
      <c r="U203" s="32">
        <v>1.0</v>
      </c>
      <c r="V203" s="32">
        <v>1.0</v>
      </c>
      <c r="W203" s="32">
        <v>1.0</v>
      </c>
      <c r="X203" s="32">
        <v>1.0</v>
      </c>
      <c r="Y203" s="32">
        <v>1.0</v>
      </c>
      <c r="Z203" s="32">
        <v>1.0</v>
      </c>
      <c r="AA203" s="32">
        <v>6.0</v>
      </c>
      <c r="AB203" s="32">
        <v>0.0</v>
      </c>
      <c r="AC203" s="103" t="str">
        <f>IFERROR(__xludf.DUMMYFUNCTION("if($C203="""","""",if(join("" - "",{iferror(filter('Student Groupings'!$A:$A,'Student Groupings'!$B:$B=$C203,'Student Groupings'!$H:$H=""Can't be Together""),"""");iferror(filter('Student Groupings'!$A:$A,'Student Groupings'!$E:$E=$C203,'Student Groupings"&amp;"'!$H:$H=""Can't be Together""),"""")})="" - "","""",join("" - "",{iferror(filter('Student Groupings'!$A:$A,'Student Groupings'!$B:$B=$C203,'Student Groupings'!$H:$H=""Can't be Together""),"""");iferror(filter('Student Groupings'!$A:$A,'Student Groupings'!"&amp;"$E:$E=$C203,'Student Groupings'!$H:$H=""Can't be Together""),"""")})))"),"")</f>
        <v/>
      </c>
      <c r="AD203" s="103" t="str">
        <f>IFERROR(__xludf.DUMMYFUNCTION("if($C203="""","""",if(join("" - "",{iferror(filter('Student Groupings'!$A:$A,'Student Groupings'!$B:$B=$C203,'Student Groupings'!$H:$H=""Must be Together""),"""");iferror(filter('Student Groupings'!$A:$A,'Student Groupings'!$E:$E=$C203,'Student Groupings'"&amp;"!$H:$H=""Must be Together""),"""")})="" - "","""",join("" - "",{iferror(filter('Student Groupings'!$A:$A,'Student Groupings'!$B:$B=$C203,'Student Groupings'!$H:$H=""Must be Together""),"""");iferror(filter('Student Groupings'!$A:$A,'Student Groupings'!$E:"&amp;"$E=$C203,'Student Groupings'!$H:$H=""Must be Together""),"""")})))"),"")</f>
        <v/>
      </c>
      <c r="AE203" s="104"/>
      <c r="AF203" s="104"/>
      <c r="AG203" s="104"/>
      <c r="AH203" s="104"/>
    </row>
    <row r="204">
      <c r="A204" s="101">
        <v>7.0</v>
      </c>
      <c r="B204" s="101">
        <v>30057.0</v>
      </c>
      <c r="C204" s="102" t="s">
        <v>473</v>
      </c>
      <c r="D204" s="52" t="s">
        <v>175</v>
      </c>
      <c r="E204" s="52">
        <v>4.0</v>
      </c>
      <c r="F204" s="52" t="s">
        <v>164</v>
      </c>
      <c r="G204" s="52">
        <v>3.0</v>
      </c>
      <c r="H204" s="52" t="s">
        <v>184</v>
      </c>
      <c r="I204" s="52">
        <v>1.0</v>
      </c>
      <c r="J204" s="52" t="s">
        <v>193</v>
      </c>
      <c r="K204" s="52">
        <v>5.0</v>
      </c>
      <c r="L204" s="52" t="s">
        <v>200</v>
      </c>
      <c r="M204" s="52">
        <v>2.0</v>
      </c>
      <c r="N204" s="52" t="s">
        <v>150</v>
      </c>
      <c r="O204" s="52" t="s">
        <v>109</v>
      </c>
      <c r="P204" s="52" t="s">
        <v>116</v>
      </c>
      <c r="Q204" s="52" t="s">
        <v>120</v>
      </c>
      <c r="R204" s="52" t="s">
        <v>133</v>
      </c>
      <c r="S204" s="52" t="s">
        <v>120</v>
      </c>
      <c r="T204" s="65" t="s">
        <v>27</v>
      </c>
      <c r="U204" s="32">
        <v>1.0</v>
      </c>
      <c r="V204" s="32">
        <v>1.0</v>
      </c>
      <c r="W204" s="32">
        <v>1.0</v>
      </c>
      <c r="X204" s="32">
        <v>1.0</v>
      </c>
      <c r="Y204" s="32">
        <v>1.0</v>
      </c>
      <c r="Z204" s="32">
        <v>1.0</v>
      </c>
      <c r="AA204" s="32">
        <v>6.0</v>
      </c>
      <c r="AB204" s="32">
        <v>0.0</v>
      </c>
      <c r="AC204" s="103" t="str">
        <f>IFERROR(__xludf.DUMMYFUNCTION("if($C204="""","""",if(join("" - "",{iferror(filter('Student Groupings'!$A:$A,'Student Groupings'!$B:$B=$C204,'Student Groupings'!$H:$H=""Can't be Together""),"""");iferror(filter('Student Groupings'!$A:$A,'Student Groupings'!$E:$E=$C204,'Student Groupings"&amp;"'!$H:$H=""Can't be Together""),"""")})="" - "","""",join("" - "",{iferror(filter('Student Groupings'!$A:$A,'Student Groupings'!$B:$B=$C204,'Student Groupings'!$H:$H=""Can't be Together""),"""");iferror(filter('Student Groupings'!$A:$A,'Student Groupings'!"&amp;"$E:$E=$C204,'Student Groupings'!$H:$H=""Can't be Together""),"""")})))"),"")</f>
        <v/>
      </c>
      <c r="AD204" s="103" t="str">
        <f>IFERROR(__xludf.DUMMYFUNCTION("if($C204="""","""",if(join("" - "",{iferror(filter('Student Groupings'!$A:$A,'Student Groupings'!$B:$B=$C204,'Student Groupings'!$H:$H=""Must be Together""),"""");iferror(filter('Student Groupings'!$A:$A,'Student Groupings'!$E:$E=$C204,'Student Groupings'"&amp;"!$H:$H=""Must be Together""),"""")})="" - "","""",join("" - "",{iferror(filter('Student Groupings'!$A:$A,'Student Groupings'!$B:$B=$C204,'Student Groupings'!$H:$H=""Must be Together""),"""");iferror(filter('Student Groupings'!$A:$A,'Student Groupings'!$E:"&amp;"$E=$C204,'Student Groupings'!$H:$H=""Must be Together""),"""")})))"),"")</f>
        <v/>
      </c>
      <c r="AE204" s="104"/>
      <c r="AF204" s="104"/>
      <c r="AG204" s="104"/>
      <c r="AH204" s="104"/>
    </row>
    <row r="205">
      <c r="A205" s="101">
        <v>7.0</v>
      </c>
      <c r="B205" s="101">
        <v>30058.0</v>
      </c>
      <c r="C205" s="102" t="s">
        <v>474</v>
      </c>
      <c r="D205" s="52" t="s">
        <v>175</v>
      </c>
      <c r="E205" s="52">
        <v>5.0</v>
      </c>
      <c r="F205" s="52" t="s">
        <v>163</v>
      </c>
      <c r="G205" s="52">
        <v>3.0</v>
      </c>
      <c r="H205" s="52" t="s">
        <v>184</v>
      </c>
      <c r="I205" s="52">
        <v>6.0</v>
      </c>
      <c r="J205" s="52" t="s">
        <v>195</v>
      </c>
      <c r="K205" s="52">
        <v>2.0</v>
      </c>
      <c r="L205" s="52" t="s">
        <v>203</v>
      </c>
      <c r="M205" s="52">
        <v>4.0</v>
      </c>
      <c r="N205" s="52" t="s">
        <v>150</v>
      </c>
      <c r="O205" s="52" t="s">
        <v>129</v>
      </c>
      <c r="P205" s="52" t="s">
        <v>133</v>
      </c>
      <c r="Q205" s="52" t="s">
        <v>108</v>
      </c>
      <c r="R205" s="52" t="s">
        <v>116</v>
      </c>
      <c r="S205" s="52" t="s">
        <v>108</v>
      </c>
      <c r="T205" s="65" t="s">
        <v>27</v>
      </c>
      <c r="U205" s="32">
        <v>1.0</v>
      </c>
      <c r="V205" s="32">
        <v>1.0</v>
      </c>
      <c r="W205" s="32">
        <v>1.0</v>
      </c>
      <c r="X205" s="32">
        <v>1.0</v>
      </c>
      <c r="Y205" s="32">
        <v>1.0</v>
      </c>
      <c r="Z205" s="32">
        <v>1.0</v>
      </c>
      <c r="AA205" s="32">
        <v>6.0</v>
      </c>
      <c r="AB205" s="32">
        <v>0.0</v>
      </c>
      <c r="AC205" s="103" t="str">
        <f>IFERROR(__xludf.DUMMYFUNCTION("if($C205="""","""",if(join("" - "",{iferror(filter('Student Groupings'!$A:$A,'Student Groupings'!$B:$B=$C205,'Student Groupings'!$H:$H=""Can't be Together""),"""");iferror(filter('Student Groupings'!$A:$A,'Student Groupings'!$E:$E=$C205,'Student Groupings"&amp;"'!$H:$H=""Can't be Together""),"""")})="" - "","""",join("" - "",{iferror(filter('Student Groupings'!$A:$A,'Student Groupings'!$B:$B=$C205,'Student Groupings'!$H:$H=""Can't be Together""),"""");iferror(filter('Student Groupings'!$A:$A,'Student Groupings'!"&amp;"$E:$E=$C205,'Student Groupings'!$H:$H=""Can't be Together""),"""")})))"),"")</f>
        <v/>
      </c>
      <c r="AD205" s="103" t="str">
        <f>IFERROR(__xludf.DUMMYFUNCTION("if($C205="""","""",if(join("" - "",{iferror(filter('Student Groupings'!$A:$A,'Student Groupings'!$B:$B=$C205,'Student Groupings'!$H:$H=""Must be Together""),"""");iferror(filter('Student Groupings'!$A:$A,'Student Groupings'!$E:$E=$C205,'Student Groupings'"&amp;"!$H:$H=""Must be Together""),"""")})="" - "","""",join("" - "",{iferror(filter('Student Groupings'!$A:$A,'Student Groupings'!$B:$B=$C205,'Student Groupings'!$H:$H=""Must be Together""),"""");iferror(filter('Student Groupings'!$A:$A,'Student Groupings'!$E:"&amp;"$E=$C205,'Student Groupings'!$H:$H=""Must be Together""),"""")})))"),"")</f>
        <v/>
      </c>
      <c r="AE205" s="104"/>
      <c r="AF205" s="104"/>
      <c r="AG205" s="104"/>
      <c r="AH205" s="104"/>
    </row>
    <row r="206">
      <c r="A206" s="101">
        <v>7.0</v>
      </c>
      <c r="B206" s="101">
        <v>30059.0</v>
      </c>
      <c r="C206" s="102" t="s">
        <v>475</v>
      </c>
      <c r="D206" s="52" t="s">
        <v>175</v>
      </c>
      <c r="E206" s="52">
        <v>6.0</v>
      </c>
      <c r="F206" s="52" t="s">
        <v>163</v>
      </c>
      <c r="G206" s="52">
        <v>4.0</v>
      </c>
      <c r="H206" s="52" t="s">
        <v>184</v>
      </c>
      <c r="I206" s="52">
        <v>5.0</v>
      </c>
      <c r="J206" s="52" t="s">
        <v>195</v>
      </c>
      <c r="K206" s="52">
        <v>1.0</v>
      </c>
      <c r="L206" s="52" t="s">
        <v>200</v>
      </c>
      <c r="M206" s="52">
        <v>3.0</v>
      </c>
      <c r="N206" s="52" t="s">
        <v>150</v>
      </c>
      <c r="O206" s="52" t="s">
        <v>119</v>
      </c>
      <c r="P206" s="52" t="s">
        <v>116</v>
      </c>
      <c r="Q206" s="52" t="s">
        <v>125</v>
      </c>
      <c r="R206" s="52" t="s">
        <v>133</v>
      </c>
      <c r="S206" s="52" t="s">
        <v>125</v>
      </c>
      <c r="T206" s="65" t="s">
        <v>27</v>
      </c>
      <c r="U206" s="32">
        <v>1.0</v>
      </c>
      <c r="V206" s="32">
        <v>1.0</v>
      </c>
      <c r="W206" s="32">
        <v>1.0</v>
      </c>
      <c r="X206" s="32">
        <v>1.0</v>
      </c>
      <c r="Y206" s="32">
        <v>1.0</v>
      </c>
      <c r="Z206" s="32">
        <v>1.0</v>
      </c>
      <c r="AA206" s="32">
        <v>6.0</v>
      </c>
      <c r="AB206" s="32">
        <v>0.0</v>
      </c>
      <c r="AC206" s="103" t="str">
        <f>IFERROR(__xludf.DUMMYFUNCTION("if($C206="""","""",if(join("" - "",{iferror(filter('Student Groupings'!$A:$A,'Student Groupings'!$B:$B=$C206,'Student Groupings'!$H:$H=""Can't be Together""),"""");iferror(filter('Student Groupings'!$A:$A,'Student Groupings'!$E:$E=$C206,'Student Groupings"&amp;"'!$H:$H=""Can't be Together""),"""")})="" - "","""",join("" - "",{iferror(filter('Student Groupings'!$A:$A,'Student Groupings'!$B:$B=$C206,'Student Groupings'!$H:$H=""Can't be Together""),"""");iferror(filter('Student Groupings'!$A:$A,'Student Groupings'!"&amp;"$E:$E=$C206,'Student Groupings'!$H:$H=""Can't be Together""),"""")})))"),"")</f>
        <v/>
      </c>
      <c r="AD206" s="103" t="str">
        <f>IFERROR(__xludf.DUMMYFUNCTION("if($C206="""","""",if(join("" - "",{iferror(filter('Student Groupings'!$A:$A,'Student Groupings'!$B:$B=$C206,'Student Groupings'!$H:$H=""Must be Together""),"""");iferror(filter('Student Groupings'!$A:$A,'Student Groupings'!$E:$E=$C206,'Student Groupings'"&amp;"!$H:$H=""Must be Together""),"""")})="" - "","""",join("" - "",{iferror(filter('Student Groupings'!$A:$A,'Student Groupings'!$B:$B=$C206,'Student Groupings'!$H:$H=""Must be Together""),"""");iferror(filter('Student Groupings'!$A:$A,'Student Groupings'!$E:"&amp;"$E=$C206,'Student Groupings'!$H:$H=""Must be Together""),"""")})))"),"")</f>
        <v/>
      </c>
      <c r="AE206" s="105"/>
      <c r="AF206" s="105">
        <v>1.0</v>
      </c>
      <c r="AG206" s="105">
        <v>1.0</v>
      </c>
      <c r="AH206" s="105"/>
    </row>
    <row r="207">
      <c r="A207" s="101">
        <v>7.0</v>
      </c>
      <c r="B207" s="101">
        <v>30166.0</v>
      </c>
      <c r="C207" s="102" t="s">
        <v>476</v>
      </c>
      <c r="D207" s="52" t="s">
        <v>175</v>
      </c>
      <c r="E207" s="52">
        <v>3.0</v>
      </c>
      <c r="F207" s="52" t="s">
        <v>163</v>
      </c>
      <c r="G207" s="52">
        <v>4.0</v>
      </c>
      <c r="H207" s="52" t="s">
        <v>188</v>
      </c>
      <c r="I207" s="52">
        <v>5.0</v>
      </c>
      <c r="J207" s="52" t="s">
        <v>193</v>
      </c>
      <c r="K207" s="52">
        <v>1.0</v>
      </c>
      <c r="L207" s="52" t="s">
        <v>200</v>
      </c>
      <c r="M207" s="52">
        <v>6.0</v>
      </c>
      <c r="N207" s="52" t="s">
        <v>150</v>
      </c>
      <c r="O207" s="52" t="s">
        <v>119</v>
      </c>
      <c r="P207" s="52" t="s">
        <v>133</v>
      </c>
      <c r="Q207" s="52" t="s">
        <v>125</v>
      </c>
      <c r="R207" s="52" t="s">
        <v>116</v>
      </c>
      <c r="S207" s="52" t="s">
        <v>125</v>
      </c>
      <c r="T207" s="65" t="s">
        <v>27</v>
      </c>
      <c r="U207" s="32">
        <v>1.0</v>
      </c>
      <c r="V207" s="32">
        <v>1.0</v>
      </c>
      <c r="W207" s="32">
        <v>1.0</v>
      </c>
      <c r="X207" s="32">
        <v>1.0</v>
      </c>
      <c r="Y207" s="32">
        <v>1.0</v>
      </c>
      <c r="Z207" s="32">
        <v>1.0</v>
      </c>
      <c r="AA207" s="32">
        <v>6.0</v>
      </c>
      <c r="AB207" s="32">
        <v>0.0</v>
      </c>
      <c r="AC207" s="103" t="str">
        <f>IFERROR(__xludf.DUMMYFUNCTION("if($C207="""","""",if(join("" - "",{iferror(filter('Student Groupings'!$A:$A,'Student Groupings'!$B:$B=$C207,'Student Groupings'!$H:$H=""Can't be Together""),"""");iferror(filter('Student Groupings'!$A:$A,'Student Groupings'!$E:$E=$C207,'Student Groupings"&amp;"'!$H:$H=""Can't be Together""),"""")})="" - "","""",join("" - "",{iferror(filter('Student Groupings'!$A:$A,'Student Groupings'!$B:$B=$C207,'Student Groupings'!$H:$H=""Can't be Together""),"""");iferror(filter('Student Groupings'!$A:$A,'Student Groupings'!"&amp;"$E:$E=$C207,'Student Groupings'!$H:$H=""Can't be Together""),"""")})))"),"")</f>
        <v/>
      </c>
      <c r="AD207" s="103" t="str">
        <f>IFERROR(__xludf.DUMMYFUNCTION("if($C207="""","""",if(join("" - "",{iferror(filter('Student Groupings'!$A:$A,'Student Groupings'!$B:$B=$C207,'Student Groupings'!$H:$H=""Must be Together""),"""");iferror(filter('Student Groupings'!$A:$A,'Student Groupings'!$E:$E=$C207,'Student Groupings'"&amp;"!$H:$H=""Must be Together""),"""")})="" - "","""",join("" - "",{iferror(filter('Student Groupings'!$A:$A,'Student Groupings'!$B:$B=$C207,'Student Groupings'!$H:$H=""Must be Together""),"""");iferror(filter('Student Groupings'!$A:$A,'Student Groupings'!$E:"&amp;"$E=$C207,'Student Groupings'!$H:$H=""Must be Together""),"""")})))"),"")</f>
        <v/>
      </c>
      <c r="AE207" s="104"/>
      <c r="AF207" s="104"/>
      <c r="AG207" s="104"/>
      <c r="AH207" s="104"/>
    </row>
    <row r="208">
      <c r="A208" s="101">
        <v>7.0</v>
      </c>
      <c r="B208" s="101">
        <v>30062.0</v>
      </c>
      <c r="C208" s="102" t="s">
        <v>477</v>
      </c>
      <c r="D208" s="52" t="s">
        <v>179</v>
      </c>
      <c r="E208" s="52">
        <v>6.0</v>
      </c>
      <c r="F208" s="52" t="s">
        <v>163</v>
      </c>
      <c r="G208" s="52">
        <v>4.0</v>
      </c>
      <c r="H208" s="52" t="s">
        <v>184</v>
      </c>
      <c r="I208" s="52">
        <v>5.0</v>
      </c>
      <c r="J208" s="52" t="s">
        <v>195</v>
      </c>
      <c r="K208" s="52">
        <v>3.0</v>
      </c>
      <c r="L208" s="52" t="s">
        <v>200</v>
      </c>
      <c r="M208" s="52">
        <v>1.0</v>
      </c>
      <c r="N208" s="52" t="s">
        <v>150</v>
      </c>
      <c r="O208" s="52" t="s">
        <v>119</v>
      </c>
      <c r="P208" s="52" t="s">
        <v>116</v>
      </c>
      <c r="Q208" s="52" t="s">
        <v>125</v>
      </c>
      <c r="R208" s="52" t="s">
        <v>133</v>
      </c>
      <c r="S208" s="52" t="s">
        <v>125</v>
      </c>
      <c r="T208" s="65" t="s">
        <v>27</v>
      </c>
      <c r="U208" s="32">
        <v>1.0</v>
      </c>
      <c r="V208" s="32">
        <v>1.0</v>
      </c>
      <c r="W208" s="32">
        <v>1.0</v>
      </c>
      <c r="X208" s="32">
        <v>1.0</v>
      </c>
      <c r="Y208" s="32">
        <v>1.0</v>
      </c>
      <c r="Z208" s="32">
        <v>1.0</v>
      </c>
      <c r="AA208" s="32">
        <v>6.0</v>
      </c>
      <c r="AB208" s="32">
        <v>0.0</v>
      </c>
      <c r="AC208" s="103" t="str">
        <f>IFERROR(__xludf.DUMMYFUNCTION("if($C208="""","""",if(join("" - "",{iferror(filter('Student Groupings'!$A:$A,'Student Groupings'!$B:$B=$C208,'Student Groupings'!$H:$H=""Can't be Together""),"""");iferror(filter('Student Groupings'!$A:$A,'Student Groupings'!$E:$E=$C208,'Student Groupings"&amp;"'!$H:$H=""Can't be Together""),"""")})="" - "","""",join("" - "",{iferror(filter('Student Groupings'!$A:$A,'Student Groupings'!$B:$B=$C208,'Student Groupings'!$H:$H=""Can't be Together""),"""");iferror(filter('Student Groupings'!$A:$A,'Student Groupings'!"&amp;"$E:$E=$C208,'Student Groupings'!$H:$H=""Can't be Together""),"""")})))"),"")</f>
        <v/>
      </c>
      <c r="AD208" s="103" t="str">
        <f>IFERROR(__xludf.DUMMYFUNCTION("if($C208="""","""",if(join("" - "",{iferror(filter('Student Groupings'!$A:$A,'Student Groupings'!$B:$B=$C208,'Student Groupings'!$H:$H=""Must be Together""),"""");iferror(filter('Student Groupings'!$A:$A,'Student Groupings'!$E:$E=$C208,'Student Groupings'"&amp;"!$H:$H=""Must be Together""),"""")})="" - "","""",join("" - "",{iferror(filter('Student Groupings'!$A:$A,'Student Groupings'!$B:$B=$C208,'Student Groupings'!$H:$H=""Must be Together""),"""");iferror(filter('Student Groupings'!$A:$A,'Student Groupings'!$E:"&amp;"$E=$C208,'Student Groupings'!$H:$H=""Must be Together""),"""")})))"),"")</f>
        <v/>
      </c>
      <c r="AE208" s="104"/>
      <c r="AF208" s="104"/>
      <c r="AG208" s="104"/>
      <c r="AH208" s="104"/>
    </row>
    <row r="209">
      <c r="A209" s="101">
        <v>7.0</v>
      </c>
      <c r="B209" s="101">
        <v>30064.0</v>
      </c>
      <c r="C209" s="102" t="s">
        <v>478</v>
      </c>
      <c r="D209" s="52" t="s">
        <v>175</v>
      </c>
      <c r="E209" s="52">
        <v>2.0</v>
      </c>
      <c r="F209" s="52" t="s">
        <v>163</v>
      </c>
      <c r="G209" s="52">
        <v>6.0</v>
      </c>
      <c r="H209" s="52" t="s">
        <v>184</v>
      </c>
      <c r="I209" s="52">
        <v>3.0</v>
      </c>
      <c r="J209" s="52" t="s">
        <v>195</v>
      </c>
      <c r="K209" s="52">
        <v>5.0</v>
      </c>
      <c r="L209" s="52" t="s">
        <v>200</v>
      </c>
      <c r="M209" s="52">
        <v>4.0</v>
      </c>
      <c r="N209" s="52" t="s">
        <v>154</v>
      </c>
      <c r="O209" s="52" t="s">
        <v>129</v>
      </c>
      <c r="P209" s="52" t="s">
        <v>140</v>
      </c>
      <c r="Q209" s="52" t="s">
        <v>108</v>
      </c>
      <c r="R209" s="52" t="s">
        <v>140</v>
      </c>
      <c r="S209" s="52" t="s">
        <v>108</v>
      </c>
      <c r="T209" s="65" t="s">
        <v>30</v>
      </c>
      <c r="U209" s="32">
        <v>1.0</v>
      </c>
      <c r="V209" s="32">
        <v>1.0</v>
      </c>
      <c r="W209" s="32">
        <v>1.0</v>
      </c>
      <c r="X209" s="32">
        <v>1.0</v>
      </c>
      <c r="Y209" s="32">
        <v>1.0</v>
      </c>
      <c r="Z209" s="32">
        <v>1.0</v>
      </c>
      <c r="AA209" s="32">
        <v>6.0</v>
      </c>
      <c r="AB209" s="32">
        <v>0.0</v>
      </c>
      <c r="AC209" s="103" t="str">
        <f>IFERROR(__xludf.DUMMYFUNCTION("if($C209="""","""",if(join("" - "",{iferror(filter('Student Groupings'!$A:$A,'Student Groupings'!$B:$B=$C209,'Student Groupings'!$H:$H=""Can't be Together""),"""");iferror(filter('Student Groupings'!$A:$A,'Student Groupings'!$E:$E=$C209,'Student Groupings"&amp;"'!$H:$H=""Can't be Together""),"""")})="" - "","""",join("" - "",{iferror(filter('Student Groupings'!$A:$A,'Student Groupings'!$B:$B=$C209,'Student Groupings'!$H:$H=""Can't be Together""),"""");iferror(filter('Student Groupings'!$A:$A,'Student Groupings'!"&amp;"$E:$E=$C209,'Student Groupings'!$H:$H=""Can't be Together""),"""")})))"),"")</f>
        <v/>
      </c>
      <c r="AD209" s="103" t="str">
        <f>IFERROR(__xludf.DUMMYFUNCTION("if($C209="""","""",if(join("" - "",{iferror(filter('Student Groupings'!$A:$A,'Student Groupings'!$B:$B=$C209,'Student Groupings'!$H:$H=""Must be Together""),"""");iferror(filter('Student Groupings'!$A:$A,'Student Groupings'!$E:$E=$C209,'Student Groupings'"&amp;"!$H:$H=""Must be Together""),"""")})="" - "","""",join("" - "",{iferror(filter('Student Groupings'!$A:$A,'Student Groupings'!$B:$B=$C209,'Student Groupings'!$H:$H=""Must be Together""),"""");iferror(filter('Student Groupings'!$A:$A,'Student Groupings'!$E:"&amp;"$E=$C209,'Student Groupings'!$H:$H=""Must be Together""),"""")})))"),"")</f>
        <v/>
      </c>
      <c r="AE209" s="104"/>
      <c r="AF209" s="104"/>
      <c r="AG209" s="104"/>
      <c r="AH209" s="104"/>
    </row>
    <row r="210">
      <c r="A210" s="101">
        <v>7.0</v>
      </c>
      <c r="B210" s="101">
        <v>30065.0</v>
      </c>
      <c r="C210" s="102" t="s">
        <v>479</v>
      </c>
      <c r="D210" s="52" t="s">
        <v>175</v>
      </c>
      <c r="E210" s="52">
        <v>6.0</v>
      </c>
      <c r="F210" s="52" t="s">
        <v>164</v>
      </c>
      <c r="G210" s="52">
        <v>4.0</v>
      </c>
      <c r="H210" s="52" t="s">
        <v>188</v>
      </c>
      <c r="I210" s="52">
        <v>5.0</v>
      </c>
      <c r="J210" s="52" t="s">
        <v>195</v>
      </c>
      <c r="K210" s="52">
        <v>1.0</v>
      </c>
      <c r="L210" s="52" t="s">
        <v>200</v>
      </c>
      <c r="M210" s="52">
        <v>3.0</v>
      </c>
      <c r="N210" s="52" t="s">
        <v>154</v>
      </c>
      <c r="O210" s="52" t="s">
        <v>119</v>
      </c>
      <c r="P210" s="52" t="s">
        <v>140</v>
      </c>
      <c r="Q210" s="52" t="s">
        <v>125</v>
      </c>
      <c r="R210" s="52" t="s">
        <v>140</v>
      </c>
      <c r="S210" s="52" t="s">
        <v>125</v>
      </c>
      <c r="T210" s="65" t="s">
        <v>30</v>
      </c>
      <c r="U210" s="32">
        <v>1.0</v>
      </c>
      <c r="V210" s="32">
        <v>1.0</v>
      </c>
      <c r="W210" s="32">
        <v>1.0</v>
      </c>
      <c r="X210" s="32">
        <v>1.0</v>
      </c>
      <c r="Y210" s="32">
        <v>1.0</v>
      </c>
      <c r="Z210" s="32">
        <v>1.0</v>
      </c>
      <c r="AA210" s="32">
        <v>6.0</v>
      </c>
      <c r="AB210" s="32">
        <v>0.0</v>
      </c>
      <c r="AC210" s="103" t="str">
        <f>IFERROR(__xludf.DUMMYFUNCTION("if($C210="""","""",if(join("" - "",{iferror(filter('Student Groupings'!$A:$A,'Student Groupings'!$B:$B=$C210,'Student Groupings'!$H:$H=""Can't be Together""),"""");iferror(filter('Student Groupings'!$A:$A,'Student Groupings'!$E:$E=$C210,'Student Groupings"&amp;"'!$H:$H=""Can't be Together""),"""")})="" - "","""",join("" - "",{iferror(filter('Student Groupings'!$A:$A,'Student Groupings'!$B:$B=$C210,'Student Groupings'!$H:$H=""Can't be Together""),"""");iferror(filter('Student Groupings'!$A:$A,'Student Groupings'!"&amp;"$E:$E=$C210,'Student Groupings'!$H:$H=""Can't be Together""),"""")})))"),"")</f>
        <v/>
      </c>
      <c r="AD210" s="103" t="str">
        <f>IFERROR(__xludf.DUMMYFUNCTION("if($C210="""","""",if(join("" - "",{iferror(filter('Student Groupings'!$A:$A,'Student Groupings'!$B:$B=$C210,'Student Groupings'!$H:$H=""Must be Together""),"""");iferror(filter('Student Groupings'!$A:$A,'Student Groupings'!$E:$E=$C210,'Student Groupings'"&amp;"!$H:$H=""Must be Together""),"""")})="" - "","""",join("" - "",{iferror(filter('Student Groupings'!$A:$A,'Student Groupings'!$B:$B=$C210,'Student Groupings'!$H:$H=""Must be Together""),"""");iferror(filter('Student Groupings'!$A:$A,'Student Groupings'!$E:"&amp;"$E=$C210,'Student Groupings'!$H:$H=""Must be Together""),"""")})))"),"")</f>
        <v/>
      </c>
      <c r="AE210" s="105"/>
      <c r="AF210" s="105"/>
      <c r="AG210" s="105"/>
      <c r="AH210" s="105"/>
    </row>
    <row r="211">
      <c r="A211" s="101">
        <v>7.0</v>
      </c>
      <c r="B211" s="101">
        <v>30066.0</v>
      </c>
      <c r="C211" s="102" t="s">
        <v>480</v>
      </c>
      <c r="D211" s="52" t="s">
        <v>175</v>
      </c>
      <c r="E211" s="52">
        <v>3.0</v>
      </c>
      <c r="F211" s="52" t="s">
        <v>163</v>
      </c>
      <c r="G211" s="52">
        <v>5.0</v>
      </c>
      <c r="H211" s="52" t="s">
        <v>184</v>
      </c>
      <c r="I211" s="52">
        <v>2.0</v>
      </c>
      <c r="J211" s="52" t="s">
        <v>193</v>
      </c>
      <c r="K211" s="52">
        <v>1.0</v>
      </c>
      <c r="L211" s="52" t="s">
        <v>200</v>
      </c>
      <c r="M211" s="52">
        <v>6.0</v>
      </c>
      <c r="N211" s="52" t="s">
        <v>150</v>
      </c>
      <c r="O211" s="52" t="s">
        <v>111</v>
      </c>
      <c r="P211" s="52" t="s">
        <v>140</v>
      </c>
      <c r="Q211" s="52" t="s">
        <v>130</v>
      </c>
      <c r="R211" s="52" t="s">
        <v>140</v>
      </c>
      <c r="S211" s="52" t="s">
        <v>130</v>
      </c>
      <c r="T211" s="65" t="s">
        <v>30</v>
      </c>
      <c r="U211" s="32">
        <v>1.0</v>
      </c>
      <c r="V211" s="32">
        <v>1.0</v>
      </c>
      <c r="W211" s="32">
        <v>1.0</v>
      </c>
      <c r="X211" s="32">
        <v>1.0</v>
      </c>
      <c r="Y211" s="32">
        <v>1.0</v>
      </c>
      <c r="Z211" s="32">
        <v>1.0</v>
      </c>
      <c r="AA211" s="32">
        <v>6.0</v>
      </c>
      <c r="AB211" s="32">
        <v>0.0</v>
      </c>
      <c r="AC211" s="103" t="str">
        <f>IFERROR(__xludf.DUMMYFUNCTION("if($C211="""","""",if(join("" - "",{iferror(filter('Student Groupings'!$A:$A,'Student Groupings'!$B:$B=$C211,'Student Groupings'!$H:$H=""Can't be Together""),"""");iferror(filter('Student Groupings'!$A:$A,'Student Groupings'!$E:$E=$C211,'Student Groupings"&amp;"'!$H:$H=""Can't be Together""),"""")})="" - "","""",join("" - "",{iferror(filter('Student Groupings'!$A:$A,'Student Groupings'!$B:$B=$C211,'Student Groupings'!$H:$H=""Can't be Together""),"""");iferror(filter('Student Groupings'!$A:$A,'Student Groupings'!"&amp;"$E:$E=$C211,'Student Groupings'!$H:$H=""Can't be Together""),"""")})))"),"")</f>
        <v/>
      </c>
      <c r="AD211" s="103" t="str">
        <f>IFERROR(__xludf.DUMMYFUNCTION("if($C211="""","""",if(join("" - "",{iferror(filter('Student Groupings'!$A:$A,'Student Groupings'!$B:$B=$C211,'Student Groupings'!$H:$H=""Must be Together""),"""");iferror(filter('Student Groupings'!$A:$A,'Student Groupings'!$E:$E=$C211,'Student Groupings'"&amp;"!$H:$H=""Must be Together""),"""")})="" - "","""",join("" - "",{iferror(filter('Student Groupings'!$A:$A,'Student Groupings'!$B:$B=$C211,'Student Groupings'!$H:$H=""Must be Together""),"""");iferror(filter('Student Groupings'!$A:$A,'Student Groupings'!$E:"&amp;"$E=$C211,'Student Groupings'!$H:$H=""Must be Together""),"""")})))"),"")</f>
        <v/>
      </c>
      <c r="AE211" s="104"/>
      <c r="AF211" s="104"/>
      <c r="AG211" s="104"/>
      <c r="AH211" s="104"/>
    </row>
    <row r="212">
      <c r="A212" s="101">
        <v>7.0</v>
      </c>
      <c r="B212" s="101">
        <v>30148.0</v>
      </c>
      <c r="C212" s="102" t="s">
        <v>481</v>
      </c>
      <c r="D212" s="52" t="s">
        <v>175</v>
      </c>
      <c r="E212" s="52">
        <v>4.0</v>
      </c>
      <c r="F212" s="52" t="s">
        <v>164</v>
      </c>
      <c r="G212" s="52">
        <v>3.0</v>
      </c>
      <c r="H212" s="52" t="s">
        <v>184</v>
      </c>
      <c r="I212" s="52">
        <v>1.0</v>
      </c>
      <c r="J212" s="52" t="s">
        <v>193</v>
      </c>
      <c r="K212" s="52">
        <v>5.0</v>
      </c>
      <c r="L212" s="52" t="s">
        <v>200</v>
      </c>
      <c r="M212" s="52">
        <v>2.0</v>
      </c>
      <c r="N212" s="52" t="s">
        <v>150</v>
      </c>
      <c r="O212" s="52" t="s">
        <v>109</v>
      </c>
      <c r="P212" s="52" t="s">
        <v>116</v>
      </c>
      <c r="Q212" s="52" t="s">
        <v>120</v>
      </c>
      <c r="R212" s="52" t="s">
        <v>133</v>
      </c>
      <c r="S212" s="52" t="s">
        <v>120</v>
      </c>
      <c r="T212" s="65" t="s">
        <v>27</v>
      </c>
      <c r="U212" s="32">
        <v>1.0</v>
      </c>
      <c r="V212" s="32">
        <v>1.0</v>
      </c>
      <c r="W212" s="32">
        <v>1.0</v>
      </c>
      <c r="X212" s="32">
        <v>1.0</v>
      </c>
      <c r="Y212" s="32">
        <v>1.0</v>
      </c>
      <c r="Z212" s="32">
        <v>1.0</v>
      </c>
      <c r="AA212" s="32">
        <v>6.0</v>
      </c>
      <c r="AB212" s="32">
        <v>0.0</v>
      </c>
      <c r="AC212" s="103" t="str">
        <f>IFERROR(__xludf.DUMMYFUNCTION("if($C212="""","""",if(join("" - "",{iferror(filter('Student Groupings'!$A:$A,'Student Groupings'!$B:$B=$C212,'Student Groupings'!$H:$H=""Can't be Together""),"""");iferror(filter('Student Groupings'!$A:$A,'Student Groupings'!$E:$E=$C212,'Student Groupings"&amp;"'!$H:$H=""Can't be Together""),"""")})="" - "","""",join("" - "",{iferror(filter('Student Groupings'!$A:$A,'Student Groupings'!$B:$B=$C212,'Student Groupings'!$H:$H=""Can't be Together""),"""");iferror(filter('Student Groupings'!$A:$A,'Student Groupings'!"&amp;"$E:$E=$C212,'Student Groupings'!$H:$H=""Can't be Together""),"""")})))"),"")</f>
        <v/>
      </c>
      <c r="AD212" s="103" t="str">
        <f>IFERROR(__xludf.DUMMYFUNCTION("if($C212="""","""",if(join("" - "",{iferror(filter('Student Groupings'!$A:$A,'Student Groupings'!$B:$B=$C212,'Student Groupings'!$H:$H=""Must be Together""),"""");iferror(filter('Student Groupings'!$A:$A,'Student Groupings'!$E:$E=$C212,'Student Groupings'"&amp;"!$H:$H=""Must be Together""),"""")})="" - "","""",join("" - "",{iferror(filter('Student Groupings'!$A:$A,'Student Groupings'!$B:$B=$C212,'Student Groupings'!$H:$H=""Must be Together""),"""");iferror(filter('Student Groupings'!$A:$A,'Student Groupings'!$E:"&amp;"$E=$C212,'Student Groupings'!$H:$H=""Must be Together""),"""")})))"),"")</f>
        <v/>
      </c>
      <c r="AE212" s="104"/>
      <c r="AF212" s="104"/>
      <c r="AG212" s="104"/>
      <c r="AH212" s="104"/>
    </row>
    <row r="213">
      <c r="A213" s="116">
        <v>7.0</v>
      </c>
      <c r="B213" s="116">
        <v>30068.0</v>
      </c>
      <c r="C213" s="117" t="s">
        <v>482</v>
      </c>
      <c r="D213" s="118" t="s">
        <v>179</v>
      </c>
      <c r="E213" s="118">
        <v>6.0</v>
      </c>
      <c r="F213" s="118" t="s">
        <v>163</v>
      </c>
      <c r="G213" s="118">
        <v>4.0</v>
      </c>
      <c r="H213" s="118" t="s">
        <v>188</v>
      </c>
      <c r="I213" s="118">
        <v>5.0</v>
      </c>
      <c r="J213" s="118" t="s">
        <v>195</v>
      </c>
      <c r="K213" s="118">
        <v>3.0</v>
      </c>
      <c r="L213" s="118" t="s">
        <v>200</v>
      </c>
      <c r="M213" s="118">
        <v>1.0</v>
      </c>
      <c r="N213" s="118" t="s">
        <v>150</v>
      </c>
      <c r="O213" s="118" t="s">
        <v>119</v>
      </c>
      <c r="P213" s="118" t="s">
        <v>116</v>
      </c>
      <c r="Q213" s="118" t="s">
        <v>125</v>
      </c>
      <c r="R213" s="118" t="s">
        <v>133</v>
      </c>
      <c r="S213" s="118" t="s">
        <v>125</v>
      </c>
      <c r="T213" s="119" t="s">
        <v>8</v>
      </c>
      <c r="U213" s="120">
        <v>1.0</v>
      </c>
      <c r="V213" s="120">
        <v>1.0</v>
      </c>
      <c r="W213" s="120">
        <v>1.0</v>
      </c>
      <c r="X213" s="120">
        <v>1.0</v>
      </c>
      <c r="Y213" s="120">
        <v>1.0</v>
      </c>
      <c r="Z213" s="120">
        <v>1.0</v>
      </c>
      <c r="AA213" s="120">
        <v>6.0</v>
      </c>
      <c r="AB213" s="120">
        <v>0.0</v>
      </c>
      <c r="AC213" s="121" t="str">
        <f>IFERROR(__xludf.DUMMYFUNCTION("if($C213="""","""",if(join("" - "",{iferror(filter('Student Groupings'!$A:$A,'Student Groupings'!$B:$B=$C213,'Student Groupings'!$H:$H=""Can't be Together""),"""");iferror(filter('Student Groupings'!$A:$A,'Student Groupings'!$E:$E=$C213,'Student Groupings"&amp;"'!$H:$H=""Can't be Together""),"""")})="" - "","""",join("" - "",{iferror(filter('Student Groupings'!$A:$A,'Student Groupings'!$B:$B=$C213,'Student Groupings'!$H:$H=""Can't be Together""),"""");iferror(filter('Student Groupings'!$A:$A,'Student Groupings'!"&amp;"$E:$E=$C213,'Student Groupings'!$H:$H=""Can't be Together""),"""")})))"),"")</f>
        <v/>
      </c>
      <c r="AD213" s="121" t="str">
        <f>IFERROR(__xludf.DUMMYFUNCTION("if($C213="""","""",if(join("" - "",{iferror(filter('Student Groupings'!$A:$A,'Student Groupings'!$B:$B=$C213,'Student Groupings'!$H:$H=""Must be Together""),"""");iferror(filter('Student Groupings'!$A:$A,'Student Groupings'!$E:$E=$C213,'Student Groupings'"&amp;"!$H:$H=""Must be Together""),"""")})="" - "","""",join("" - "",{iferror(filter('Student Groupings'!$A:$A,'Student Groupings'!$B:$B=$C213,'Student Groupings'!$H:$H=""Must be Together""),"""");iferror(filter('Student Groupings'!$A:$A,'Student Groupings'!$E:"&amp;"$E=$C213,'Student Groupings'!$H:$H=""Must be Together""),"""")})))"),"")</f>
        <v/>
      </c>
      <c r="AE213" s="123"/>
      <c r="AF213" s="123"/>
      <c r="AG213" s="122">
        <v>1.0</v>
      </c>
      <c r="AH213" s="122"/>
    </row>
    <row r="214">
      <c r="A214" s="101">
        <v>7.0</v>
      </c>
      <c r="B214" s="101">
        <v>30069.0</v>
      </c>
      <c r="C214" s="102" t="s">
        <v>483</v>
      </c>
      <c r="D214" s="52" t="s">
        <v>175</v>
      </c>
      <c r="E214" s="52">
        <v>6.0</v>
      </c>
      <c r="F214" s="52" t="s">
        <v>164</v>
      </c>
      <c r="G214" s="52">
        <v>4.0</v>
      </c>
      <c r="H214" s="52" t="s">
        <v>188</v>
      </c>
      <c r="I214" s="52">
        <v>5.0</v>
      </c>
      <c r="J214" s="52" t="s">
        <v>195</v>
      </c>
      <c r="K214" s="52">
        <v>1.0</v>
      </c>
      <c r="L214" s="52" t="s">
        <v>200</v>
      </c>
      <c r="M214" s="52">
        <v>3.0</v>
      </c>
      <c r="N214" s="52" t="s">
        <v>154</v>
      </c>
      <c r="O214" s="52" t="s">
        <v>119</v>
      </c>
      <c r="P214" s="52" t="s">
        <v>140</v>
      </c>
      <c r="Q214" s="52" t="s">
        <v>125</v>
      </c>
      <c r="R214" s="52" t="s">
        <v>140</v>
      </c>
      <c r="S214" s="52" t="s">
        <v>125</v>
      </c>
      <c r="T214" s="65" t="s">
        <v>30</v>
      </c>
      <c r="U214" s="32">
        <v>1.0</v>
      </c>
      <c r="V214" s="32">
        <v>1.0</v>
      </c>
      <c r="W214" s="32">
        <v>1.0</v>
      </c>
      <c r="X214" s="32">
        <v>1.0</v>
      </c>
      <c r="Y214" s="32">
        <v>1.0</v>
      </c>
      <c r="Z214" s="32">
        <v>1.0</v>
      </c>
      <c r="AA214" s="32">
        <v>6.0</v>
      </c>
      <c r="AB214" s="32">
        <v>0.0</v>
      </c>
      <c r="AC214" s="103" t="str">
        <f>IFERROR(__xludf.DUMMYFUNCTION("if($C214="""","""",if(join("" - "",{iferror(filter('Student Groupings'!$A:$A,'Student Groupings'!$B:$B=$C214,'Student Groupings'!$H:$H=""Can't be Together""),"""");iferror(filter('Student Groupings'!$A:$A,'Student Groupings'!$E:$E=$C214,'Student Groupings"&amp;"'!$H:$H=""Can't be Together""),"""")})="" - "","""",join("" - "",{iferror(filter('Student Groupings'!$A:$A,'Student Groupings'!$B:$B=$C214,'Student Groupings'!$H:$H=""Can't be Together""),"""");iferror(filter('Student Groupings'!$A:$A,'Student Groupings'!"&amp;"$E:$E=$C214,'Student Groupings'!$H:$H=""Can't be Together""),"""")})))"),"")</f>
        <v/>
      </c>
      <c r="AD214" s="103" t="str">
        <f>IFERROR(__xludf.DUMMYFUNCTION("if($C214="""","""",if(join("" - "",{iferror(filter('Student Groupings'!$A:$A,'Student Groupings'!$B:$B=$C214,'Student Groupings'!$H:$H=""Must be Together""),"""");iferror(filter('Student Groupings'!$A:$A,'Student Groupings'!$E:$E=$C214,'Student Groupings'"&amp;"!$H:$H=""Must be Together""),"""")})="" - "","""",join("" - "",{iferror(filter('Student Groupings'!$A:$A,'Student Groupings'!$B:$B=$C214,'Student Groupings'!$H:$H=""Must be Together""),"""");iferror(filter('Student Groupings'!$A:$A,'Student Groupings'!$E:"&amp;"$E=$C214,'Student Groupings'!$H:$H=""Must be Together""),"""")})))"),"")</f>
        <v/>
      </c>
      <c r="AE214" s="104"/>
      <c r="AF214" s="104"/>
      <c r="AG214" s="104"/>
      <c r="AH214" s="104"/>
    </row>
    <row r="215">
      <c r="A215" s="101">
        <v>7.0</v>
      </c>
      <c r="B215" s="101">
        <v>30070.0</v>
      </c>
      <c r="C215" s="102" t="s">
        <v>484</v>
      </c>
      <c r="D215" s="52" t="s">
        <v>175</v>
      </c>
      <c r="E215" s="52">
        <v>3.0</v>
      </c>
      <c r="F215" s="52" t="s">
        <v>163</v>
      </c>
      <c r="G215" s="52">
        <v>5.0</v>
      </c>
      <c r="H215" s="52" t="s">
        <v>184</v>
      </c>
      <c r="I215" s="52">
        <v>2.0</v>
      </c>
      <c r="J215" s="52" t="s">
        <v>193</v>
      </c>
      <c r="K215" s="52">
        <v>1.0</v>
      </c>
      <c r="L215" s="52" t="s">
        <v>200</v>
      </c>
      <c r="M215" s="52">
        <v>6.0</v>
      </c>
      <c r="N215" s="52" t="s">
        <v>150</v>
      </c>
      <c r="O215" s="52" t="s">
        <v>111</v>
      </c>
      <c r="P215" s="52" t="s">
        <v>140</v>
      </c>
      <c r="Q215" s="52" t="s">
        <v>130</v>
      </c>
      <c r="R215" s="52" t="s">
        <v>140</v>
      </c>
      <c r="S215" s="52" t="s">
        <v>130</v>
      </c>
      <c r="T215" s="65" t="s">
        <v>30</v>
      </c>
      <c r="U215" s="32">
        <v>1.0</v>
      </c>
      <c r="V215" s="32">
        <v>1.0</v>
      </c>
      <c r="W215" s="32">
        <v>1.0</v>
      </c>
      <c r="X215" s="32">
        <v>1.0</v>
      </c>
      <c r="Y215" s="32">
        <v>1.0</v>
      </c>
      <c r="Z215" s="32">
        <v>1.0</v>
      </c>
      <c r="AA215" s="32">
        <v>6.0</v>
      </c>
      <c r="AB215" s="32">
        <v>0.0</v>
      </c>
      <c r="AC215" s="103" t="str">
        <f>IFERROR(__xludf.DUMMYFUNCTION("if($C215="""","""",if(join("" - "",{iferror(filter('Student Groupings'!$A:$A,'Student Groupings'!$B:$B=$C215,'Student Groupings'!$H:$H=""Can't be Together""),"""");iferror(filter('Student Groupings'!$A:$A,'Student Groupings'!$E:$E=$C215,'Student Groupings"&amp;"'!$H:$H=""Can't be Together""),"""")})="" - "","""",join("" - "",{iferror(filter('Student Groupings'!$A:$A,'Student Groupings'!$B:$B=$C215,'Student Groupings'!$H:$H=""Can't be Together""),"""");iferror(filter('Student Groupings'!$A:$A,'Student Groupings'!"&amp;"$E:$E=$C215,'Student Groupings'!$H:$H=""Can't be Together""),"""")})))"),"")</f>
        <v/>
      </c>
      <c r="AD215" s="103" t="str">
        <f>IFERROR(__xludf.DUMMYFUNCTION("if($C215="""","""",if(join("" - "",{iferror(filter('Student Groupings'!$A:$A,'Student Groupings'!$B:$B=$C215,'Student Groupings'!$H:$H=""Must be Together""),"""");iferror(filter('Student Groupings'!$A:$A,'Student Groupings'!$E:$E=$C215,'Student Groupings'"&amp;"!$H:$H=""Must be Together""),"""")})="" - "","""",join("" - "",{iferror(filter('Student Groupings'!$A:$A,'Student Groupings'!$B:$B=$C215,'Student Groupings'!$H:$H=""Must be Together""),"""");iferror(filter('Student Groupings'!$A:$A,'Student Groupings'!$E:"&amp;"$E=$C215,'Student Groupings'!$H:$H=""Must be Together""),"""")})))"),"")</f>
        <v/>
      </c>
      <c r="AE215" s="104"/>
      <c r="AF215" s="104"/>
      <c r="AG215" s="104"/>
      <c r="AH215" s="104"/>
    </row>
    <row r="216">
      <c r="A216" s="101">
        <v>7.0</v>
      </c>
      <c r="B216" s="101">
        <v>30155.0</v>
      </c>
      <c r="C216" s="102" t="s">
        <v>485</v>
      </c>
      <c r="D216" s="52" t="s">
        <v>175</v>
      </c>
      <c r="E216" s="52">
        <v>2.0</v>
      </c>
      <c r="F216" s="52" t="s">
        <v>163</v>
      </c>
      <c r="G216" s="52">
        <v>6.0</v>
      </c>
      <c r="H216" s="52" t="s">
        <v>184</v>
      </c>
      <c r="I216" s="52">
        <v>3.0</v>
      </c>
      <c r="J216" s="52" t="s">
        <v>195</v>
      </c>
      <c r="K216" s="52">
        <v>5.0</v>
      </c>
      <c r="L216" s="52" t="s">
        <v>200</v>
      </c>
      <c r="M216" s="52">
        <v>4.0</v>
      </c>
      <c r="N216" s="52" t="s">
        <v>154</v>
      </c>
      <c r="O216" s="52" t="s">
        <v>129</v>
      </c>
      <c r="P216" s="52" t="s">
        <v>140</v>
      </c>
      <c r="Q216" s="52" t="s">
        <v>108</v>
      </c>
      <c r="R216" s="52" t="s">
        <v>140</v>
      </c>
      <c r="S216" s="52" t="s">
        <v>108</v>
      </c>
      <c r="T216" s="65" t="s">
        <v>30</v>
      </c>
      <c r="U216" s="32">
        <v>1.0</v>
      </c>
      <c r="V216" s="32">
        <v>1.0</v>
      </c>
      <c r="W216" s="32">
        <v>1.0</v>
      </c>
      <c r="X216" s="32">
        <v>1.0</v>
      </c>
      <c r="Y216" s="32">
        <v>1.0</v>
      </c>
      <c r="Z216" s="32">
        <v>1.0</v>
      </c>
      <c r="AA216" s="32">
        <v>6.0</v>
      </c>
      <c r="AB216" s="32">
        <v>0.0</v>
      </c>
      <c r="AC216" s="103" t="str">
        <f>IFERROR(__xludf.DUMMYFUNCTION("if($C216="""","""",if(join("" - "",{iferror(filter('Student Groupings'!$A:$A,'Student Groupings'!$B:$B=$C216,'Student Groupings'!$H:$H=""Can't be Together""),"""");iferror(filter('Student Groupings'!$A:$A,'Student Groupings'!$E:$E=$C216,'Student Groupings"&amp;"'!$H:$H=""Can't be Together""),"""")})="" - "","""",join("" - "",{iferror(filter('Student Groupings'!$A:$A,'Student Groupings'!$B:$B=$C216,'Student Groupings'!$H:$H=""Can't be Together""),"""");iferror(filter('Student Groupings'!$A:$A,'Student Groupings'!"&amp;"$E:$E=$C216,'Student Groupings'!$H:$H=""Can't be Together""),"""")})))"),"")</f>
        <v/>
      </c>
      <c r="AD216" s="103" t="str">
        <f>IFERROR(__xludf.DUMMYFUNCTION("if($C216="""","""",if(join("" - "",{iferror(filter('Student Groupings'!$A:$A,'Student Groupings'!$B:$B=$C216,'Student Groupings'!$H:$H=""Must be Together""),"""");iferror(filter('Student Groupings'!$A:$A,'Student Groupings'!$E:$E=$C216,'Student Groupings'"&amp;"!$H:$H=""Must be Together""),"""")})="" - "","""",join("" - "",{iferror(filter('Student Groupings'!$A:$A,'Student Groupings'!$B:$B=$C216,'Student Groupings'!$H:$H=""Must be Together""),"""");iferror(filter('Student Groupings'!$A:$A,'Student Groupings'!$E:"&amp;"$E=$C216,'Student Groupings'!$H:$H=""Must be Together""),"""")})))"),"")</f>
        <v/>
      </c>
      <c r="AE216" s="104"/>
      <c r="AF216" s="104"/>
      <c r="AG216" s="104"/>
      <c r="AH216" s="104"/>
    </row>
    <row r="217">
      <c r="A217" s="101">
        <v>7.0</v>
      </c>
      <c r="B217" s="101">
        <v>30072.0</v>
      </c>
      <c r="C217" s="102" t="s">
        <v>486</v>
      </c>
      <c r="D217" s="52" t="s">
        <v>179</v>
      </c>
      <c r="E217" s="52">
        <v>6.0</v>
      </c>
      <c r="F217" s="52" t="s">
        <v>163</v>
      </c>
      <c r="G217" s="52">
        <v>5.0</v>
      </c>
      <c r="H217" s="52" t="s">
        <v>184</v>
      </c>
      <c r="I217" s="52">
        <v>2.0</v>
      </c>
      <c r="J217" s="52" t="s">
        <v>195</v>
      </c>
      <c r="K217" s="52">
        <v>3.0</v>
      </c>
      <c r="L217" s="52" t="s">
        <v>200</v>
      </c>
      <c r="M217" s="52">
        <v>1.0</v>
      </c>
      <c r="N217" s="52" t="s">
        <v>150</v>
      </c>
      <c r="O217" s="52" t="s">
        <v>111</v>
      </c>
      <c r="P217" s="52" t="s">
        <v>140</v>
      </c>
      <c r="Q217" s="52" t="s">
        <v>130</v>
      </c>
      <c r="R217" s="52" t="s">
        <v>140</v>
      </c>
      <c r="S217" s="52" t="s">
        <v>130</v>
      </c>
      <c r="T217" s="65" t="s">
        <v>30</v>
      </c>
      <c r="U217" s="32">
        <v>1.0</v>
      </c>
      <c r="V217" s="32">
        <v>1.0</v>
      </c>
      <c r="W217" s="32">
        <v>1.0</v>
      </c>
      <c r="X217" s="32">
        <v>1.0</v>
      </c>
      <c r="Y217" s="32">
        <v>1.0</v>
      </c>
      <c r="Z217" s="32">
        <v>1.0</v>
      </c>
      <c r="AA217" s="32">
        <v>6.0</v>
      </c>
      <c r="AB217" s="32">
        <v>0.0</v>
      </c>
      <c r="AC217" s="103" t="str">
        <f>IFERROR(__xludf.DUMMYFUNCTION("if($C217="""","""",if(join("" - "",{iferror(filter('Student Groupings'!$A:$A,'Student Groupings'!$B:$B=$C217,'Student Groupings'!$H:$H=""Can't be Together""),"""");iferror(filter('Student Groupings'!$A:$A,'Student Groupings'!$E:$E=$C217,'Student Groupings"&amp;"'!$H:$H=""Can't be Together""),"""")})="" - "","""",join("" - "",{iferror(filter('Student Groupings'!$A:$A,'Student Groupings'!$B:$B=$C217,'Student Groupings'!$H:$H=""Can't be Together""),"""");iferror(filter('Student Groupings'!$A:$A,'Student Groupings'!"&amp;"$E:$E=$C217,'Student Groupings'!$H:$H=""Can't be Together""),"""")})))"),"")</f>
        <v/>
      </c>
      <c r="AD217" s="103" t="str">
        <f>IFERROR(__xludf.DUMMYFUNCTION("if($C217="""","""",if(join("" - "",{iferror(filter('Student Groupings'!$A:$A,'Student Groupings'!$B:$B=$C217,'Student Groupings'!$H:$H=""Must be Together""),"""");iferror(filter('Student Groupings'!$A:$A,'Student Groupings'!$E:$E=$C217,'Student Groupings'"&amp;"!$H:$H=""Must be Together""),"""")})="" - "","""",join("" - "",{iferror(filter('Student Groupings'!$A:$A,'Student Groupings'!$B:$B=$C217,'Student Groupings'!$H:$H=""Must be Together""),"""");iferror(filter('Student Groupings'!$A:$A,'Student Groupings'!$E:"&amp;"$E=$C217,'Student Groupings'!$H:$H=""Must be Together""),"""")})))"),"")</f>
        <v/>
      </c>
      <c r="AE217" s="104"/>
      <c r="AF217" s="104"/>
      <c r="AG217" s="104"/>
      <c r="AH217" s="104"/>
    </row>
    <row r="218">
      <c r="A218" s="101">
        <v>7.0</v>
      </c>
      <c r="B218" s="101">
        <v>30074.0</v>
      </c>
      <c r="C218" s="102" t="s">
        <v>487</v>
      </c>
      <c r="D218" s="52" t="s">
        <v>175</v>
      </c>
      <c r="E218" s="52">
        <v>6.0</v>
      </c>
      <c r="F218" s="52" t="s">
        <v>164</v>
      </c>
      <c r="G218" s="52">
        <v>4.0</v>
      </c>
      <c r="H218" s="52" t="s">
        <v>188</v>
      </c>
      <c r="I218" s="52">
        <v>5.0</v>
      </c>
      <c r="J218" s="52" t="s">
        <v>195</v>
      </c>
      <c r="K218" s="52">
        <v>1.0</v>
      </c>
      <c r="L218" s="52" t="s">
        <v>200</v>
      </c>
      <c r="M218" s="52">
        <v>3.0</v>
      </c>
      <c r="N218" s="52" t="s">
        <v>154</v>
      </c>
      <c r="O218" s="52" t="s">
        <v>119</v>
      </c>
      <c r="P218" s="52" t="s">
        <v>140</v>
      </c>
      <c r="Q218" s="52" t="s">
        <v>125</v>
      </c>
      <c r="R218" s="52" t="s">
        <v>140</v>
      </c>
      <c r="S218" s="52" t="s">
        <v>125</v>
      </c>
      <c r="T218" s="65" t="s">
        <v>30</v>
      </c>
      <c r="U218" s="32">
        <v>1.0</v>
      </c>
      <c r="V218" s="32">
        <v>1.0</v>
      </c>
      <c r="W218" s="32">
        <v>1.0</v>
      </c>
      <c r="X218" s="32">
        <v>1.0</v>
      </c>
      <c r="Y218" s="32">
        <v>1.0</v>
      </c>
      <c r="Z218" s="32">
        <v>1.0</v>
      </c>
      <c r="AA218" s="32">
        <v>6.0</v>
      </c>
      <c r="AB218" s="32">
        <v>0.0</v>
      </c>
      <c r="AC218" s="103" t="str">
        <f>IFERROR(__xludf.DUMMYFUNCTION("if($C218="""","""",if(join("" - "",{iferror(filter('Student Groupings'!$A:$A,'Student Groupings'!$B:$B=$C218,'Student Groupings'!$H:$H=""Can't be Together""),"""");iferror(filter('Student Groupings'!$A:$A,'Student Groupings'!$E:$E=$C218,'Student Groupings"&amp;"'!$H:$H=""Can't be Together""),"""")})="" - "","""",join("" - "",{iferror(filter('Student Groupings'!$A:$A,'Student Groupings'!$B:$B=$C218,'Student Groupings'!$H:$H=""Can't be Together""),"""");iferror(filter('Student Groupings'!$A:$A,'Student Groupings'!"&amp;"$E:$E=$C218,'Student Groupings'!$H:$H=""Can't be Together""),"""")})))"),"")</f>
        <v/>
      </c>
      <c r="AD218" s="103" t="str">
        <f>IFERROR(__xludf.DUMMYFUNCTION("if($C218="""","""",if(join("" - "",{iferror(filter('Student Groupings'!$A:$A,'Student Groupings'!$B:$B=$C218,'Student Groupings'!$H:$H=""Must be Together""),"""");iferror(filter('Student Groupings'!$A:$A,'Student Groupings'!$E:$E=$C218,'Student Groupings'"&amp;"!$H:$H=""Must be Together""),"""")})="" - "","""",join("" - "",{iferror(filter('Student Groupings'!$A:$A,'Student Groupings'!$B:$B=$C218,'Student Groupings'!$H:$H=""Must be Together""),"""");iferror(filter('Student Groupings'!$A:$A,'Student Groupings'!$E:"&amp;"$E=$C218,'Student Groupings'!$H:$H=""Must be Together""),"""")})))"),"")</f>
        <v/>
      </c>
      <c r="AE218" s="104"/>
      <c r="AF218" s="104"/>
      <c r="AG218" s="104"/>
      <c r="AH218" s="104"/>
    </row>
    <row r="219">
      <c r="A219" s="101">
        <v>7.0</v>
      </c>
      <c r="B219" s="101">
        <v>30075.0</v>
      </c>
      <c r="C219" s="102" t="s">
        <v>488</v>
      </c>
      <c r="D219" s="52" t="s">
        <v>175</v>
      </c>
      <c r="E219" s="52">
        <v>5.0</v>
      </c>
      <c r="F219" s="52" t="s">
        <v>163</v>
      </c>
      <c r="G219" s="52">
        <v>3.0</v>
      </c>
      <c r="H219" s="52" t="s">
        <v>184</v>
      </c>
      <c r="I219" s="52">
        <v>6.0</v>
      </c>
      <c r="J219" s="52" t="s">
        <v>195</v>
      </c>
      <c r="K219" s="52">
        <v>2.0</v>
      </c>
      <c r="L219" s="52" t="s">
        <v>203</v>
      </c>
      <c r="M219" s="52">
        <v>4.0</v>
      </c>
      <c r="N219" s="52" t="s">
        <v>150</v>
      </c>
      <c r="O219" s="52" t="s">
        <v>129</v>
      </c>
      <c r="P219" s="52" t="s">
        <v>116</v>
      </c>
      <c r="Q219" s="52" t="s">
        <v>108</v>
      </c>
      <c r="R219" s="52" t="s">
        <v>133</v>
      </c>
      <c r="S219" s="52" t="s">
        <v>108</v>
      </c>
      <c r="T219" s="65" t="s">
        <v>27</v>
      </c>
      <c r="U219" s="32">
        <v>1.0</v>
      </c>
      <c r="V219" s="32">
        <v>1.0</v>
      </c>
      <c r="W219" s="32">
        <v>1.0</v>
      </c>
      <c r="X219" s="32">
        <v>1.0</v>
      </c>
      <c r="Y219" s="32">
        <v>1.0</v>
      </c>
      <c r="Z219" s="32">
        <v>1.0</v>
      </c>
      <c r="AA219" s="32">
        <v>6.0</v>
      </c>
      <c r="AB219" s="32">
        <v>0.0</v>
      </c>
      <c r="AC219" s="103" t="str">
        <f>IFERROR(__xludf.DUMMYFUNCTION("if($C219="""","""",if(join("" - "",{iferror(filter('Student Groupings'!$A:$A,'Student Groupings'!$B:$B=$C219,'Student Groupings'!$H:$H=""Can't be Together""),"""");iferror(filter('Student Groupings'!$A:$A,'Student Groupings'!$E:$E=$C219,'Student Groupings"&amp;"'!$H:$H=""Can't be Together""),"""")})="" - "","""",join("" - "",{iferror(filter('Student Groupings'!$A:$A,'Student Groupings'!$B:$B=$C219,'Student Groupings'!$H:$H=""Can't be Together""),"""");iferror(filter('Student Groupings'!$A:$A,'Student Groupings'!"&amp;"$E:$E=$C219,'Student Groupings'!$H:$H=""Can't be Together""),"""")})))"),"")</f>
        <v/>
      </c>
      <c r="AD219" s="103" t="str">
        <f>IFERROR(__xludf.DUMMYFUNCTION("if($C219="""","""",if(join("" - "",{iferror(filter('Student Groupings'!$A:$A,'Student Groupings'!$B:$B=$C219,'Student Groupings'!$H:$H=""Must be Together""),"""");iferror(filter('Student Groupings'!$A:$A,'Student Groupings'!$E:$E=$C219,'Student Groupings'"&amp;"!$H:$H=""Must be Together""),"""")})="" - "","""",join("" - "",{iferror(filter('Student Groupings'!$A:$A,'Student Groupings'!$B:$B=$C219,'Student Groupings'!$H:$H=""Must be Together""),"""");iferror(filter('Student Groupings'!$A:$A,'Student Groupings'!$E:"&amp;"$E=$C219,'Student Groupings'!$H:$H=""Must be Together""),"""")})))"),"")</f>
        <v/>
      </c>
      <c r="AE219" s="104"/>
      <c r="AF219" s="104"/>
      <c r="AG219" s="104"/>
      <c r="AH219" s="104"/>
    </row>
    <row r="220">
      <c r="A220" s="101">
        <v>7.0</v>
      </c>
      <c r="B220" s="101">
        <v>30076.0</v>
      </c>
      <c r="C220" s="102" t="s">
        <v>489</v>
      </c>
      <c r="D220" s="52" t="s">
        <v>175</v>
      </c>
      <c r="E220" s="52">
        <v>4.0</v>
      </c>
      <c r="F220" s="52" t="s">
        <v>164</v>
      </c>
      <c r="G220" s="52">
        <v>3.0</v>
      </c>
      <c r="H220" s="52" t="s">
        <v>184</v>
      </c>
      <c r="I220" s="52">
        <v>1.0</v>
      </c>
      <c r="J220" s="52" t="s">
        <v>193</v>
      </c>
      <c r="K220" s="52">
        <v>5.0</v>
      </c>
      <c r="L220" s="52" t="s">
        <v>200</v>
      </c>
      <c r="M220" s="52">
        <v>2.0</v>
      </c>
      <c r="N220" s="52" t="s">
        <v>150</v>
      </c>
      <c r="O220" s="52" t="s">
        <v>109</v>
      </c>
      <c r="P220" s="52" t="s">
        <v>116</v>
      </c>
      <c r="Q220" s="52" t="s">
        <v>120</v>
      </c>
      <c r="R220" s="52" t="s">
        <v>133</v>
      </c>
      <c r="S220" s="52" t="s">
        <v>120</v>
      </c>
      <c r="T220" s="65" t="s">
        <v>27</v>
      </c>
      <c r="U220" s="32">
        <v>1.0</v>
      </c>
      <c r="V220" s="32">
        <v>1.0</v>
      </c>
      <c r="W220" s="32">
        <v>1.0</v>
      </c>
      <c r="X220" s="32">
        <v>1.0</v>
      </c>
      <c r="Y220" s="32">
        <v>1.0</v>
      </c>
      <c r="Z220" s="32">
        <v>1.0</v>
      </c>
      <c r="AA220" s="32">
        <v>6.0</v>
      </c>
      <c r="AB220" s="32">
        <v>0.0</v>
      </c>
      <c r="AC220" s="103" t="str">
        <f>IFERROR(__xludf.DUMMYFUNCTION("if($C220="""","""",if(join("" - "",{iferror(filter('Student Groupings'!$A:$A,'Student Groupings'!$B:$B=$C220,'Student Groupings'!$H:$H=""Can't be Together""),"""");iferror(filter('Student Groupings'!$A:$A,'Student Groupings'!$E:$E=$C220,'Student Groupings"&amp;"'!$H:$H=""Can't be Together""),"""")})="" - "","""",join("" - "",{iferror(filter('Student Groupings'!$A:$A,'Student Groupings'!$B:$B=$C220,'Student Groupings'!$H:$H=""Can't be Together""),"""");iferror(filter('Student Groupings'!$A:$A,'Student Groupings'!"&amp;"$E:$E=$C220,'Student Groupings'!$H:$H=""Can't be Together""),"""")})))"),"")</f>
        <v/>
      </c>
      <c r="AD220" s="103" t="str">
        <f>IFERROR(__xludf.DUMMYFUNCTION("if($C220="""","""",if(join("" - "",{iferror(filter('Student Groupings'!$A:$A,'Student Groupings'!$B:$B=$C220,'Student Groupings'!$H:$H=""Must be Together""),"""");iferror(filter('Student Groupings'!$A:$A,'Student Groupings'!$E:$E=$C220,'Student Groupings'"&amp;"!$H:$H=""Must be Together""),"""")})="" - "","""",join("" - "",{iferror(filter('Student Groupings'!$A:$A,'Student Groupings'!$B:$B=$C220,'Student Groupings'!$H:$H=""Must be Together""),"""");iferror(filter('Student Groupings'!$A:$A,'Student Groupings'!$E:"&amp;"$E=$C220,'Student Groupings'!$H:$H=""Must be Together""),"""")})))"),"")</f>
        <v/>
      </c>
      <c r="AE220" s="104"/>
      <c r="AF220" s="104"/>
      <c r="AG220" s="104"/>
      <c r="AH220" s="104"/>
    </row>
    <row r="221">
      <c r="A221" s="101">
        <v>7.0</v>
      </c>
      <c r="B221" s="101">
        <v>30077.0</v>
      </c>
      <c r="C221" s="102" t="s">
        <v>490</v>
      </c>
      <c r="D221" s="52" t="s">
        <v>175</v>
      </c>
      <c r="E221" s="52">
        <v>3.0</v>
      </c>
      <c r="F221" s="52" t="s">
        <v>163</v>
      </c>
      <c r="G221" s="52">
        <v>5.0</v>
      </c>
      <c r="H221" s="52" t="s">
        <v>184</v>
      </c>
      <c r="I221" s="52">
        <v>2.0</v>
      </c>
      <c r="J221" s="52" t="s">
        <v>193</v>
      </c>
      <c r="K221" s="101">
        <v>1.0</v>
      </c>
      <c r="L221" s="52" t="s">
        <v>200</v>
      </c>
      <c r="M221" s="52">
        <v>6.0</v>
      </c>
      <c r="N221" s="52" t="s">
        <v>150</v>
      </c>
      <c r="O221" s="52" t="s">
        <v>111</v>
      </c>
      <c r="P221" s="52" t="s">
        <v>140</v>
      </c>
      <c r="Q221" s="52" t="s">
        <v>130</v>
      </c>
      <c r="R221" s="52" t="s">
        <v>140</v>
      </c>
      <c r="S221" s="52" t="s">
        <v>130</v>
      </c>
      <c r="T221" s="65" t="s">
        <v>30</v>
      </c>
      <c r="U221" s="32">
        <v>1.0</v>
      </c>
      <c r="V221" s="32">
        <v>1.0</v>
      </c>
      <c r="W221" s="32">
        <v>1.0</v>
      </c>
      <c r="X221" s="32">
        <v>1.0</v>
      </c>
      <c r="Y221" s="32">
        <v>1.0</v>
      </c>
      <c r="Z221" s="32">
        <v>1.0</v>
      </c>
      <c r="AA221" s="32">
        <v>6.0</v>
      </c>
      <c r="AB221" s="32">
        <v>0.0</v>
      </c>
      <c r="AC221" s="103" t="str">
        <f>IFERROR(__xludf.DUMMYFUNCTION("if($C221="""","""",if(join("" - "",{iferror(filter('Student Groupings'!$A:$A,'Student Groupings'!$B:$B=$C221,'Student Groupings'!$H:$H=""Can't be Together""),"""");iferror(filter('Student Groupings'!$A:$A,'Student Groupings'!$E:$E=$C221,'Student Groupings"&amp;"'!$H:$H=""Can't be Together""),"""")})="" - "","""",join("" - "",{iferror(filter('Student Groupings'!$A:$A,'Student Groupings'!$B:$B=$C221,'Student Groupings'!$H:$H=""Can't be Together""),"""");iferror(filter('Student Groupings'!$A:$A,'Student Groupings'!"&amp;"$E:$E=$C221,'Student Groupings'!$H:$H=""Can't be Together""),"""")})))"),"")</f>
        <v/>
      </c>
      <c r="AD221" s="103" t="str">
        <f>IFERROR(__xludf.DUMMYFUNCTION("if($C221="""","""",if(join("" - "",{iferror(filter('Student Groupings'!$A:$A,'Student Groupings'!$B:$B=$C221,'Student Groupings'!$H:$H=""Must be Together""),"""");iferror(filter('Student Groupings'!$A:$A,'Student Groupings'!$E:$E=$C221,'Student Groupings'"&amp;"!$H:$H=""Must be Together""),"""")})="" - "","""",join("" - "",{iferror(filter('Student Groupings'!$A:$A,'Student Groupings'!$B:$B=$C221,'Student Groupings'!$H:$H=""Must be Together""),"""");iferror(filter('Student Groupings'!$A:$A,'Student Groupings'!$E:"&amp;"$E=$C221,'Student Groupings'!$H:$H=""Must be Together""),"""")})))"),"")</f>
        <v/>
      </c>
      <c r="AE221" s="104"/>
      <c r="AF221" s="104"/>
      <c r="AG221" s="104"/>
      <c r="AH221" s="104"/>
    </row>
    <row r="222">
      <c r="A222" s="109">
        <v>7.0</v>
      </c>
      <c r="B222" s="109">
        <v>30174.0</v>
      </c>
      <c r="C222" s="110" t="s">
        <v>491</v>
      </c>
      <c r="D222" s="111" t="s">
        <v>175</v>
      </c>
      <c r="E222" s="111">
        <v>5.0</v>
      </c>
      <c r="F222" s="111" t="s">
        <v>163</v>
      </c>
      <c r="G222" s="111">
        <v>3.0</v>
      </c>
      <c r="H222" s="111" t="s">
        <v>184</v>
      </c>
      <c r="I222" s="111">
        <v>6.0</v>
      </c>
      <c r="J222" s="111" t="s">
        <v>195</v>
      </c>
      <c r="K222" s="111">
        <v>2.0</v>
      </c>
      <c r="L222" s="111" t="s">
        <v>203</v>
      </c>
      <c r="M222" s="111">
        <v>4.0</v>
      </c>
      <c r="N222" s="111" t="s">
        <v>150</v>
      </c>
      <c r="O222" s="111" t="s">
        <v>129</v>
      </c>
      <c r="P222" s="111" t="s">
        <v>133</v>
      </c>
      <c r="Q222" s="111" t="s">
        <v>108</v>
      </c>
      <c r="R222" s="111" t="s">
        <v>116</v>
      </c>
      <c r="S222" s="111" t="s">
        <v>108</v>
      </c>
      <c r="T222" s="112" t="s">
        <v>8</v>
      </c>
      <c r="U222" s="113">
        <v>1.0</v>
      </c>
      <c r="V222" s="113">
        <v>1.0</v>
      </c>
      <c r="W222" s="113">
        <v>1.0</v>
      </c>
      <c r="X222" s="113">
        <v>1.0</v>
      </c>
      <c r="Y222" s="113">
        <v>1.0</v>
      </c>
      <c r="Z222" s="113">
        <v>1.0</v>
      </c>
      <c r="AA222" s="113">
        <v>6.0</v>
      </c>
      <c r="AB222" s="113">
        <v>0.0</v>
      </c>
      <c r="AC222" s="114" t="str">
        <f>IFERROR(__xludf.DUMMYFUNCTION("if($C222="""","""",if(join("" - "",{iferror(filter('Student Groupings'!$A:$A,'Student Groupings'!$B:$B=$C222,'Student Groupings'!$H:$H=""Can't be Together""),"""");iferror(filter('Student Groupings'!$A:$A,'Student Groupings'!$E:$E=$C222,'Student Groupings"&amp;"'!$H:$H=""Can't be Together""),"""")})="" - "","""",join("" - "",{iferror(filter('Student Groupings'!$A:$A,'Student Groupings'!$B:$B=$C222,'Student Groupings'!$H:$H=""Can't be Together""),"""");iferror(filter('Student Groupings'!$A:$A,'Student Groupings'!"&amp;"$E:$E=$C222,'Student Groupings'!$H:$H=""Can't be Together""),"""")})))"),"")</f>
        <v/>
      </c>
      <c r="AD222" s="114" t="str">
        <f>IFERROR(__xludf.DUMMYFUNCTION("if($C222="""","""",if(join("" - "",{iferror(filter('Student Groupings'!$A:$A,'Student Groupings'!$B:$B=$C222,'Student Groupings'!$H:$H=""Must be Together""),"""");iferror(filter('Student Groupings'!$A:$A,'Student Groupings'!$E:$E=$C222,'Student Groupings'"&amp;"!$H:$H=""Must be Together""),"""")})="" - "","""",join("" - "",{iferror(filter('Student Groupings'!$A:$A,'Student Groupings'!$B:$B=$C222,'Student Groupings'!$H:$H=""Must be Together""),"""");iferror(filter('Student Groupings'!$A:$A,'Student Groupings'!$E:"&amp;"$E=$C222,'Student Groupings'!$H:$H=""Must be Together""),"""")})))"),"")</f>
        <v/>
      </c>
      <c r="AE222" s="115"/>
      <c r="AF222" s="115"/>
      <c r="AG222" s="115"/>
      <c r="AH222" s="115"/>
    </row>
    <row r="223">
      <c r="A223" s="101">
        <v>7.0</v>
      </c>
      <c r="B223" s="101">
        <v>30078.0</v>
      </c>
      <c r="C223" s="102" t="s">
        <v>492</v>
      </c>
      <c r="D223" s="52" t="s">
        <v>175</v>
      </c>
      <c r="E223" s="52">
        <v>4.0</v>
      </c>
      <c r="F223" s="52" t="s">
        <v>164</v>
      </c>
      <c r="G223" s="52">
        <v>3.0</v>
      </c>
      <c r="H223" s="52" t="s">
        <v>184</v>
      </c>
      <c r="I223" s="52">
        <v>1.0</v>
      </c>
      <c r="J223" s="52" t="s">
        <v>193</v>
      </c>
      <c r="K223" s="52">
        <v>5.0</v>
      </c>
      <c r="L223" s="52" t="s">
        <v>200</v>
      </c>
      <c r="M223" s="52">
        <v>2.0</v>
      </c>
      <c r="N223" s="52" t="s">
        <v>150</v>
      </c>
      <c r="O223" s="52" t="s">
        <v>109</v>
      </c>
      <c r="P223" s="52" t="s">
        <v>116</v>
      </c>
      <c r="Q223" s="52" t="s">
        <v>120</v>
      </c>
      <c r="R223" s="52" t="s">
        <v>133</v>
      </c>
      <c r="S223" s="52" t="s">
        <v>120</v>
      </c>
      <c r="T223" s="65" t="s">
        <v>8</v>
      </c>
      <c r="U223" s="32">
        <v>1.0</v>
      </c>
      <c r="V223" s="32">
        <v>1.0</v>
      </c>
      <c r="W223" s="32">
        <v>1.0</v>
      </c>
      <c r="X223" s="32">
        <v>1.0</v>
      </c>
      <c r="Y223" s="32">
        <v>1.0</v>
      </c>
      <c r="Z223" s="32">
        <v>1.0</v>
      </c>
      <c r="AA223" s="32">
        <v>6.0</v>
      </c>
      <c r="AB223" s="32">
        <v>0.0</v>
      </c>
      <c r="AC223" s="103" t="str">
        <f>IFERROR(__xludf.DUMMYFUNCTION("if($C223="""","""",if(join("" - "",{iferror(filter('Student Groupings'!$A:$A,'Student Groupings'!$B:$B=$C223,'Student Groupings'!$H:$H=""Can't be Together""),"""");iferror(filter('Student Groupings'!$A:$A,'Student Groupings'!$E:$E=$C223,'Student Groupings"&amp;"'!$H:$H=""Can't be Together""),"""")})="" - "","""",join("" - "",{iferror(filter('Student Groupings'!$A:$A,'Student Groupings'!$B:$B=$C223,'Student Groupings'!$H:$H=""Can't be Together""),"""");iferror(filter('Student Groupings'!$A:$A,'Student Groupings'!"&amp;"$E:$E=$C223,'Student Groupings'!$H:$H=""Can't be Together""),"""")})))"),"")</f>
        <v/>
      </c>
      <c r="AD223" s="103" t="str">
        <f>IFERROR(__xludf.DUMMYFUNCTION("if($C223="""","""",if(join("" - "",{iferror(filter('Student Groupings'!$A:$A,'Student Groupings'!$B:$B=$C223,'Student Groupings'!$H:$H=""Must be Together""),"""");iferror(filter('Student Groupings'!$A:$A,'Student Groupings'!$E:$E=$C223,'Student Groupings'"&amp;"!$H:$H=""Must be Together""),"""")})="" - "","""",join("" - "",{iferror(filter('Student Groupings'!$A:$A,'Student Groupings'!$B:$B=$C223,'Student Groupings'!$H:$H=""Must be Together""),"""");iferror(filter('Student Groupings'!$A:$A,'Student Groupings'!$E:"&amp;"$E=$C223,'Student Groupings'!$H:$H=""Must be Together""),"""")})))"),"")</f>
        <v/>
      </c>
      <c r="AE223" s="104"/>
      <c r="AF223" s="104"/>
      <c r="AG223" s="104"/>
      <c r="AH223" s="104"/>
    </row>
    <row r="224">
      <c r="A224" s="101">
        <v>7.0</v>
      </c>
      <c r="B224" s="101">
        <v>30079.0</v>
      </c>
      <c r="C224" s="102" t="s">
        <v>493</v>
      </c>
      <c r="D224" s="52" t="s">
        <v>175</v>
      </c>
      <c r="E224" s="52">
        <v>2.0</v>
      </c>
      <c r="F224" s="52" t="s">
        <v>163</v>
      </c>
      <c r="G224" s="52">
        <v>6.0</v>
      </c>
      <c r="H224" s="52" t="s">
        <v>184</v>
      </c>
      <c r="I224" s="52">
        <v>3.0</v>
      </c>
      <c r="J224" s="52" t="s">
        <v>195</v>
      </c>
      <c r="K224" s="52">
        <v>5.0</v>
      </c>
      <c r="L224" s="52" t="s">
        <v>200</v>
      </c>
      <c r="M224" s="52">
        <v>4.0</v>
      </c>
      <c r="N224" s="52" t="s">
        <v>154</v>
      </c>
      <c r="O224" s="52" t="s">
        <v>129</v>
      </c>
      <c r="P224" s="52" t="s">
        <v>140</v>
      </c>
      <c r="Q224" s="52" t="s">
        <v>108</v>
      </c>
      <c r="R224" s="52" t="s">
        <v>140</v>
      </c>
      <c r="S224" s="52" t="s">
        <v>108</v>
      </c>
      <c r="T224" s="65" t="s">
        <v>30</v>
      </c>
      <c r="U224" s="32">
        <v>1.0</v>
      </c>
      <c r="V224" s="32">
        <v>1.0</v>
      </c>
      <c r="W224" s="32">
        <v>1.0</v>
      </c>
      <c r="X224" s="32">
        <v>1.0</v>
      </c>
      <c r="Y224" s="32">
        <v>1.0</v>
      </c>
      <c r="Z224" s="32">
        <v>1.0</v>
      </c>
      <c r="AA224" s="32">
        <v>6.0</v>
      </c>
      <c r="AB224" s="32">
        <v>0.0</v>
      </c>
      <c r="AC224" s="103" t="str">
        <f>IFERROR(__xludf.DUMMYFUNCTION("if($C224="""","""",if(join("" - "",{iferror(filter('Student Groupings'!$A:$A,'Student Groupings'!$B:$B=$C224,'Student Groupings'!$H:$H=""Can't be Together""),"""");iferror(filter('Student Groupings'!$A:$A,'Student Groupings'!$E:$E=$C224,'Student Groupings"&amp;"'!$H:$H=""Can't be Together""),"""")})="" - "","""",join("" - "",{iferror(filter('Student Groupings'!$A:$A,'Student Groupings'!$B:$B=$C224,'Student Groupings'!$H:$H=""Can't be Together""),"""");iferror(filter('Student Groupings'!$A:$A,'Student Groupings'!"&amp;"$E:$E=$C224,'Student Groupings'!$H:$H=""Can't be Together""),"""")})))"),"")</f>
        <v/>
      </c>
      <c r="AD224" s="103" t="str">
        <f>IFERROR(__xludf.DUMMYFUNCTION("if($C224="""","""",if(join("" - "",{iferror(filter('Student Groupings'!$A:$A,'Student Groupings'!$B:$B=$C224,'Student Groupings'!$H:$H=""Must be Together""),"""");iferror(filter('Student Groupings'!$A:$A,'Student Groupings'!$E:$E=$C224,'Student Groupings'"&amp;"!$H:$H=""Must be Together""),"""")})="" - "","""",join("" - "",{iferror(filter('Student Groupings'!$A:$A,'Student Groupings'!$B:$B=$C224,'Student Groupings'!$H:$H=""Must be Together""),"""");iferror(filter('Student Groupings'!$A:$A,'Student Groupings'!$E:"&amp;"$E=$C224,'Student Groupings'!$H:$H=""Must be Together""),"""")})))"),"")</f>
        <v/>
      </c>
      <c r="AE224" s="104"/>
      <c r="AF224" s="104"/>
      <c r="AG224" s="104"/>
      <c r="AH224" s="104"/>
    </row>
    <row r="225">
      <c r="A225" s="101">
        <v>7.0</v>
      </c>
      <c r="B225" s="101">
        <v>30080.0</v>
      </c>
      <c r="C225" s="102" t="s">
        <v>494</v>
      </c>
      <c r="D225" s="52" t="s">
        <v>175</v>
      </c>
      <c r="E225" s="52">
        <v>5.0</v>
      </c>
      <c r="F225" s="52" t="s">
        <v>163</v>
      </c>
      <c r="G225" s="52">
        <v>3.0</v>
      </c>
      <c r="H225" s="52" t="s">
        <v>184</v>
      </c>
      <c r="I225" s="52">
        <v>6.0</v>
      </c>
      <c r="J225" s="52" t="s">
        <v>195</v>
      </c>
      <c r="K225" s="52">
        <v>2.0</v>
      </c>
      <c r="L225" s="52" t="s">
        <v>203</v>
      </c>
      <c r="M225" s="52">
        <v>4.0</v>
      </c>
      <c r="N225" s="52" t="s">
        <v>150</v>
      </c>
      <c r="O225" s="52" t="s">
        <v>129</v>
      </c>
      <c r="P225" s="52" t="s">
        <v>116</v>
      </c>
      <c r="Q225" s="52" t="s">
        <v>108</v>
      </c>
      <c r="R225" s="52" t="s">
        <v>133</v>
      </c>
      <c r="S225" s="52" t="s">
        <v>108</v>
      </c>
      <c r="T225" s="65" t="s">
        <v>27</v>
      </c>
      <c r="U225" s="32">
        <v>1.0</v>
      </c>
      <c r="V225" s="32">
        <v>1.0</v>
      </c>
      <c r="W225" s="32">
        <v>1.0</v>
      </c>
      <c r="X225" s="32">
        <v>1.0</v>
      </c>
      <c r="Y225" s="32">
        <v>1.0</v>
      </c>
      <c r="Z225" s="32">
        <v>1.0</v>
      </c>
      <c r="AA225" s="32">
        <v>6.0</v>
      </c>
      <c r="AB225" s="32">
        <v>0.0</v>
      </c>
      <c r="AC225" s="103" t="str">
        <f>IFERROR(__xludf.DUMMYFUNCTION("if($C225="""","""",if(join("" - "",{iferror(filter('Student Groupings'!$A:$A,'Student Groupings'!$B:$B=$C225,'Student Groupings'!$H:$H=""Can't be Together""),"""");iferror(filter('Student Groupings'!$A:$A,'Student Groupings'!$E:$E=$C225,'Student Groupings"&amp;"'!$H:$H=""Can't be Together""),"""")})="" - "","""",join("" - "",{iferror(filter('Student Groupings'!$A:$A,'Student Groupings'!$B:$B=$C225,'Student Groupings'!$H:$H=""Can't be Together""),"""");iferror(filter('Student Groupings'!$A:$A,'Student Groupings'!"&amp;"$E:$E=$C225,'Student Groupings'!$H:$H=""Can't be Together""),"""")})))"),"")</f>
        <v/>
      </c>
      <c r="AD225" s="103" t="str">
        <f>IFERROR(__xludf.DUMMYFUNCTION("if($C225="""","""",if(join("" - "",{iferror(filter('Student Groupings'!$A:$A,'Student Groupings'!$B:$B=$C225,'Student Groupings'!$H:$H=""Must be Together""),"""");iferror(filter('Student Groupings'!$A:$A,'Student Groupings'!$E:$E=$C225,'Student Groupings'"&amp;"!$H:$H=""Must be Together""),"""")})="" - "","""",join("" - "",{iferror(filter('Student Groupings'!$A:$A,'Student Groupings'!$B:$B=$C225,'Student Groupings'!$H:$H=""Must be Together""),"""");iferror(filter('Student Groupings'!$A:$A,'Student Groupings'!$E:"&amp;"$E=$C225,'Student Groupings'!$H:$H=""Must be Together""),"""")})))"),"")</f>
        <v/>
      </c>
      <c r="AE225" s="105"/>
      <c r="AF225" s="105"/>
      <c r="AG225" s="105"/>
      <c r="AH225" s="105"/>
    </row>
    <row r="226">
      <c r="A226" s="101">
        <v>7.0</v>
      </c>
      <c r="B226" s="101">
        <v>30081.0</v>
      </c>
      <c r="C226" s="102" t="s">
        <v>495</v>
      </c>
      <c r="D226" s="52" t="s">
        <v>179</v>
      </c>
      <c r="E226" s="52">
        <v>6.0</v>
      </c>
      <c r="F226" s="52" t="s">
        <v>163</v>
      </c>
      <c r="G226" s="52">
        <v>4.0</v>
      </c>
      <c r="H226" s="52" t="s">
        <v>188</v>
      </c>
      <c r="I226" s="52">
        <v>5.0</v>
      </c>
      <c r="J226" s="52" t="s">
        <v>195</v>
      </c>
      <c r="K226" s="52">
        <v>3.0</v>
      </c>
      <c r="L226" s="52" t="s">
        <v>200</v>
      </c>
      <c r="M226" s="52">
        <v>1.0</v>
      </c>
      <c r="N226" s="52" t="s">
        <v>154</v>
      </c>
      <c r="O226" s="52" t="s">
        <v>119</v>
      </c>
      <c r="P226" s="52" t="s">
        <v>140</v>
      </c>
      <c r="Q226" s="52" t="s">
        <v>125</v>
      </c>
      <c r="R226" s="52" t="s">
        <v>140</v>
      </c>
      <c r="S226" s="52" t="s">
        <v>125</v>
      </c>
      <c r="T226" s="65" t="s">
        <v>30</v>
      </c>
      <c r="U226" s="32">
        <v>1.0</v>
      </c>
      <c r="V226" s="32">
        <v>1.0</v>
      </c>
      <c r="W226" s="32">
        <v>1.0</v>
      </c>
      <c r="X226" s="32">
        <v>1.0</v>
      </c>
      <c r="Y226" s="32">
        <v>1.0</v>
      </c>
      <c r="Z226" s="32">
        <v>1.0</v>
      </c>
      <c r="AA226" s="32">
        <v>6.0</v>
      </c>
      <c r="AB226" s="32">
        <v>0.0</v>
      </c>
      <c r="AC226" s="103" t="str">
        <f>IFERROR(__xludf.DUMMYFUNCTION("if($C226="""","""",if(join("" - "",{iferror(filter('Student Groupings'!$A:$A,'Student Groupings'!$B:$B=$C226,'Student Groupings'!$H:$H=""Can't be Together""),"""");iferror(filter('Student Groupings'!$A:$A,'Student Groupings'!$E:$E=$C226,'Student Groupings"&amp;"'!$H:$H=""Can't be Together""),"""")})="" - "","""",join("" - "",{iferror(filter('Student Groupings'!$A:$A,'Student Groupings'!$B:$B=$C226,'Student Groupings'!$H:$H=""Can't be Together""),"""");iferror(filter('Student Groupings'!$A:$A,'Student Groupings'!"&amp;"$E:$E=$C226,'Student Groupings'!$H:$H=""Can't be Together""),"""")})))"),"")</f>
        <v/>
      </c>
      <c r="AD226" s="103" t="str">
        <f>IFERROR(__xludf.DUMMYFUNCTION("if($C226="""","""",if(join("" - "",{iferror(filter('Student Groupings'!$A:$A,'Student Groupings'!$B:$B=$C226,'Student Groupings'!$H:$H=""Must be Together""),"""");iferror(filter('Student Groupings'!$A:$A,'Student Groupings'!$E:$E=$C226,'Student Groupings'"&amp;"!$H:$H=""Must be Together""),"""")})="" - "","""",join("" - "",{iferror(filter('Student Groupings'!$A:$A,'Student Groupings'!$B:$B=$C226,'Student Groupings'!$H:$H=""Must be Together""),"""");iferror(filter('Student Groupings'!$A:$A,'Student Groupings'!$E:"&amp;"$E=$C226,'Student Groupings'!$H:$H=""Must be Together""),"""")})))"),"")</f>
        <v/>
      </c>
      <c r="AE226" s="104"/>
      <c r="AF226" s="104"/>
      <c r="AG226" s="105">
        <v>1.0</v>
      </c>
      <c r="AH226" s="105"/>
    </row>
    <row r="227">
      <c r="A227" s="101">
        <v>7.0</v>
      </c>
      <c r="B227" s="101">
        <v>30082.0</v>
      </c>
      <c r="C227" s="102" t="s">
        <v>496</v>
      </c>
      <c r="D227" s="52" t="s">
        <v>175</v>
      </c>
      <c r="E227" s="52">
        <v>6.0</v>
      </c>
      <c r="F227" s="52" t="s">
        <v>163</v>
      </c>
      <c r="G227" s="52">
        <v>4.0</v>
      </c>
      <c r="H227" s="52" t="s">
        <v>184</v>
      </c>
      <c r="I227" s="52">
        <v>5.0</v>
      </c>
      <c r="J227" s="52" t="s">
        <v>195</v>
      </c>
      <c r="K227" s="52">
        <v>1.0</v>
      </c>
      <c r="L227" s="52" t="s">
        <v>200</v>
      </c>
      <c r="M227" s="52">
        <v>3.0</v>
      </c>
      <c r="N227" s="52" t="s">
        <v>150</v>
      </c>
      <c r="O227" s="52" t="s">
        <v>119</v>
      </c>
      <c r="P227" s="52" t="s">
        <v>116</v>
      </c>
      <c r="Q227" s="52" t="s">
        <v>125</v>
      </c>
      <c r="R227" s="52" t="s">
        <v>133</v>
      </c>
      <c r="S227" s="52" t="s">
        <v>125</v>
      </c>
      <c r="T227" s="65" t="s">
        <v>27</v>
      </c>
      <c r="U227" s="32">
        <v>1.0</v>
      </c>
      <c r="V227" s="32">
        <v>1.0</v>
      </c>
      <c r="W227" s="32">
        <v>1.0</v>
      </c>
      <c r="X227" s="32">
        <v>1.0</v>
      </c>
      <c r="Y227" s="32">
        <v>1.0</v>
      </c>
      <c r="Z227" s="32">
        <v>1.0</v>
      </c>
      <c r="AA227" s="32">
        <v>6.0</v>
      </c>
      <c r="AB227" s="32">
        <v>0.0</v>
      </c>
      <c r="AC227" s="103" t="str">
        <f>IFERROR(__xludf.DUMMYFUNCTION("if($C227="""","""",if(join("" - "",{iferror(filter('Student Groupings'!$A:$A,'Student Groupings'!$B:$B=$C227,'Student Groupings'!$H:$H=""Can't be Together""),"""");iferror(filter('Student Groupings'!$A:$A,'Student Groupings'!$E:$E=$C227,'Student Groupings"&amp;"'!$H:$H=""Can't be Together""),"""")})="" - "","""",join("" - "",{iferror(filter('Student Groupings'!$A:$A,'Student Groupings'!$B:$B=$C227,'Student Groupings'!$H:$H=""Can't be Together""),"""");iferror(filter('Student Groupings'!$A:$A,'Student Groupings'!"&amp;"$E:$E=$C227,'Student Groupings'!$H:$H=""Can't be Together""),"""")})))"),"")</f>
        <v/>
      </c>
      <c r="AD227" s="103" t="str">
        <f>IFERROR(__xludf.DUMMYFUNCTION("if($C227="""","""",if(join("" - "",{iferror(filter('Student Groupings'!$A:$A,'Student Groupings'!$B:$B=$C227,'Student Groupings'!$H:$H=""Must be Together""),"""");iferror(filter('Student Groupings'!$A:$A,'Student Groupings'!$E:$E=$C227,'Student Groupings'"&amp;"!$H:$H=""Must be Together""),"""")})="" - "","""",join("" - "",{iferror(filter('Student Groupings'!$A:$A,'Student Groupings'!$B:$B=$C227,'Student Groupings'!$H:$H=""Must be Together""),"""");iferror(filter('Student Groupings'!$A:$A,'Student Groupings'!$E:"&amp;"$E=$C227,'Student Groupings'!$H:$H=""Must be Together""),"""")})))"),"")</f>
        <v/>
      </c>
      <c r="AE227" s="105"/>
      <c r="AF227" s="105">
        <v>1.0</v>
      </c>
      <c r="AG227" s="105">
        <v>1.0</v>
      </c>
      <c r="AH227" s="105"/>
    </row>
    <row r="228">
      <c r="A228" s="109">
        <v>7.0</v>
      </c>
      <c r="B228" s="109">
        <v>30142.0</v>
      </c>
      <c r="C228" s="110" t="s">
        <v>497</v>
      </c>
      <c r="D228" s="111" t="s">
        <v>175</v>
      </c>
      <c r="E228" s="111">
        <v>4.0</v>
      </c>
      <c r="F228" s="111" t="s">
        <v>164</v>
      </c>
      <c r="G228" s="111">
        <v>3.0</v>
      </c>
      <c r="H228" s="111" t="s">
        <v>184</v>
      </c>
      <c r="I228" s="111">
        <v>1.0</v>
      </c>
      <c r="J228" s="111" t="s">
        <v>193</v>
      </c>
      <c r="K228" s="111">
        <v>5.0</v>
      </c>
      <c r="L228" s="111" t="s">
        <v>200</v>
      </c>
      <c r="M228" s="111">
        <v>2.0</v>
      </c>
      <c r="N228" s="111" t="s">
        <v>150</v>
      </c>
      <c r="O228" s="111" t="s">
        <v>109</v>
      </c>
      <c r="P228" s="111" t="s">
        <v>116</v>
      </c>
      <c r="Q228" s="111" t="s">
        <v>120</v>
      </c>
      <c r="R228" s="111" t="s">
        <v>133</v>
      </c>
      <c r="S228" s="111" t="s">
        <v>120</v>
      </c>
      <c r="T228" s="112" t="s">
        <v>27</v>
      </c>
      <c r="U228" s="113">
        <v>1.0</v>
      </c>
      <c r="V228" s="113">
        <v>1.0</v>
      </c>
      <c r="W228" s="113">
        <v>1.0</v>
      </c>
      <c r="X228" s="113">
        <v>1.0</v>
      </c>
      <c r="Y228" s="113">
        <v>1.0</v>
      </c>
      <c r="Z228" s="113">
        <v>1.0</v>
      </c>
      <c r="AA228" s="113">
        <v>6.0</v>
      </c>
      <c r="AB228" s="113">
        <v>0.0</v>
      </c>
      <c r="AC228" s="114" t="str">
        <f>IFERROR(__xludf.DUMMYFUNCTION("if($C228="""","""",if(join("" - "",{iferror(filter('Student Groupings'!$A:$A,'Student Groupings'!$B:$B=$C228,'Student Groupings'!$H:$H=""Can't be Together""),"""");iferror(filter('Student Groupings'!$A:$A,'Student Groupings'!$E:$E=$C228,'Student Groupings"&amp;"'!$H:$H=""Can't be Together""),"""")})="" - "","""",join("" - "",{iferror(filter('Student Groupings'!$A:$A,'Student Groupings'!$B:$B=$C228,'Student Groupings'!$H:$H=""Can't be Together""),"""");iferror(filter('Student Groupings'!$A:$A,'Student Groupings'!"&amp;"$E:$E=$C228,'Student Groupings'!$H:$H=""Can't be Together""),"""")})))"),"")</f>
        <v/>
      </c>
      <c r="AD228" s="114" t="str">
        <f>IFERROR(__xludf.DUMMYFUNCTION("if($C228="""","""",if(join("" - "",{iferror(filter('Student Groupings'!$A:$A,'Student Groupings'!$B:$B=$C228,'Student Groupings'!$H:$H=""Must be Together""),"""");iferror(filter('Student Groupings'!$A:$A,'Student Groupings'!$E:$E=$C228,'Student Groupings'"&amp;"!$H:$H=""Must be Together""),"""")})="" - "","""",join("" - "",{iferror(filter('Student Groupings'!$A:$A,'Student Groupings'!$B:$B=$C228,'Student Groupings'!$H:$H=""Must be Together""),"""");iferror(filter('Student Groupings'!$A:$A,'Student Groupings'!$E:"&amp;"$E=$C228,'Student Groupings'!$H:$H=""Must be Together""),"""")})))"),"")</f>
        <v/>
      </c>
      <c r="AE228" s="115"/>
      <c r="AF228" s="115"/>
      <c r="AG228" s="115"/>
      <c r="AH228" s="115"/>
    </row>
    <row r="229">
      <c r="A229" s="101">
        <v>7.0</v>
      </c>
      <c r="B229" s="101">
        <v>30084.0</v>
      </c>
      <c r="C229" s="102" t="s">
        <v>498</v>
      </c>
      <c r="D229" s="52" t="s">
        <v>175</v>
      </c>
      <c r="E229" s="52">
        <v>5.0</v>
      </c>
      <c r="F229" s="52" t="s">
        <v>163</v>
      </c>
      <c r="G229" s="52">
        <v>3.0</v>
      </c>
      <c r="H229" s="52" t="s">
        <v>184</v>
      </c>
      <c r="I229" s="52">
        <v>6.0</v>
      </c>
      <c r="J229" s="52" t="s">
        <v>195</v>
      </c>
      <c r="K229" s="52">
        <v>2.0</v>
      </c>
      <c r="L229" s="52" t="s">
        <v>203</v>
      </c>
      <c r="M229" s="52">
        <v>4.0</v>
      </c>
      <c r="N229" s="52" t="s">
        <v>150</v>
      </c>
      <c r="O229" s="52" t="s">
        <v>129</v>
      </c>
      <c r="P229" s="52" t="s">
        <v>133</v>
      </c>
      <c r="Q229" s="52" t="s">
        <v>108</v>
      </c>
      <c r="R229" s="52" t="s">
        <v>116</v>
      </c>
      <c r="S229" s="52" t="s">
        <v>108</v>
      </c>
      <c r="T229" s="65" t="s">
        <v>27</v>
      </c>
      <c r="U229" s="32">
        <v>1.0</v>
      </c>
      <c r="V229" s="32">
        <v>1.0</v>
      </c>
      <c r="W229" s="32">
        <v>1.0</v>
      </c>
      <c r="X229" s="32">
        <v>1.0</v>
      </c>
      <c r="Y229" s="32">
        <v>1.0</v>
      </c>
      <c r="Z229" s="32">
        <v>1.0</v>
      </c>
      <c r="AA229" s="32">
        <v>6.0</v>
      </c>
      <c r="AB229" s="32">
        <v>0.0</v>
      </c>
      <c r="AC229" s="103" t="str">
        <f>IFERROR(__xludf.DUMMYFUNCTION("if($C229="""","""",if(join("" - "",{iferror(filter('Student Groupings'!$A:$A,'Student Groupings'!$B:$B=$C229,'Student Groupings'!$H:$H=""Can't be Together""),"""");iferror(filter('Student Groupings'!$A:$A,'Student Groupings'!$E:$E=$C229,'Student Groupings"&amp;"'!$H:$H=""Can't be Together""),"""")})="" - "","""",join("" - "",{iferror(filter('Student Groupings'!$A:$A,'Student Groupings'!$B:$B=$C229,'Student Groupings'!$H:$H=""Can't be Together""),"""");iferror(filter('Student Groupings'!$A:$A,'Student Groupings'!"&amp;"$E:$E=$C229,'Student Groupings'!$H:$H=""Can't be Together""),"""")})))"),"")</f>
        <v/>
      </c>
      <c r="AD229" s="103" t="str">
        <f>IFERROR(__xludf.DUMMYFUNCTION("if($C229="""","""",if(join("" - "",{iferror(filter('Student Groupings'!$A:$A,'Student Groupings'!$B:$B=$C229,'Student Groupings'!$H:$H=""Must be Together""),"""");iferror(filter('Student Groupings'!$A:$A,'Student Groupings'!$E:$E=$C229,'Student Groupings'"&amp;"!$H:$H=""Must be Together""),"""")})="" - "","""",join("" - "",{iferror(filter('Student Groupings'!$A:$A,'Student Groupings'!$B:$B=$C229,'Student Groupings'!$H:$H=""Must be Together""),"""");iferror(filter('Student Groupings'!$A:$A,'Student Groupings'!$E:"&amp;"$E=$C229,'Student Groupings'!$H:$H=""Must be Together""),"""")})))"),"")</f>
        <v/>
      </c>
      <c r="AE229" s="104"/>
      <c r="AF229" s="104"/>
      <c r="AG229" s="104"/>
      <c r="AH229" s="104"/>
    </row>
    <row r="230">
      <c r="A230" s="101">
        <v>7.0</v>
      </c>
      <c r="B230" s="101">
        <v>30085.0</v>
      </c>
      <c r="C230" s="102" t="s">
        <v>499</v>
      </c>
      <c r="D230" s="52" t="s">
        <v>175</v>
      </c>
      <c r="E230" s="52">
        <v>3.0</v>
      </c>
      <c r="F230" s="52" t="s">
        <v>164</v>
      </c>
      <c r="G230" s="52">
        <v>4.0</v>
      </c>
      <c r="H230" s="52" t="s">
        <v>184</v>
      </c>
      <c r="I230" s="101">
        <v>5.0</v>
      </c>
      <c r="J230" s="52" t="s">
        <v>193</v>
      </c>
      <c r="K230" s="52">
        <v>1.0</v>
      </c>
      <c r="L230" s="52" t="s">
        <v>200</v>
      </c>
      <c r="M230" s="52">
        <v>6.0</v>
      </c>
      <c r="N230" s="52" t="s">
        <v>150</v>
      </c>
      <c r="O230" s="52" t="s">
        <v>119</v>
      </c>
      <c r="P230" s="52" t="s">
        <v>116</v>
      </c>
      <c r="Q230" s="52" t="s">
        <v>125</v>
      </c>
      <c r="R230" s="52" t="s">
        <v>133</v>
      </c>
      <c r="S230" s="52" t="s">
        <v>125</v>
      </c>
      <c r="T230" s="65" t="s">
        <v>27</v>
      </c>
      <c r="U230" s="32">
        <v>1.0</v>
      </c>
      <c r="V230" s="32">
        <v>1.0</v>
      </c>
      <c r="W230" s="32">
        <v>1.0</v>
      </c>
      <c r="X230" s="32">
        <v>1.0</v>
      </c>
      <c r="Y230" s="32">
        <v>1.0</v>
      </c>
      <c r="Z230" s="32">
        <v>1.0</v>
      </c>
      <c r="AA230" s="32">
        <v>6.0</v>
      </c>
      <c r="AB230" s="32">
        <v>0.0</v>
      </c>
      <c r="AC230" s="103" t="str">
        <f>IFERROR(__xludf.DUMMYFUNCTION("if($C230="""","""",if(join("" - "",{iferror(filter('Student Groupings'!$A:$A,'Student Groupings'!$B:$B=$C230,'Student Groupings'!$H:$H=""Can't be Together""),"""");iferror(filter('Student Groupings'!$A:$A,'Student Groupings'!$E:$E=$C230,'Student Groupings"&amp;"'!$H:$H=""Can't be Together""),"""")})="" - "","""",join("" - "",{iferror(filter('Student Groupings'!$A:$A,'Student Groupings'!$B:$B=$C230,'Student Groupings'!$H:$H=""Can't be Together""),"""");iferror(filter('Student Groupings'!$A:$A,'Student Groupings'!"&amp;"$E:$E=$C230,'Student Groupings'!$H:$H=""Can't be Together""),"""")})))"),"")</f>
        <v/>
      </c>
      <c r="AD230" s="103" t="str">
        <f>IFERROR(__xludf.DUMMYFUNCTION("if($C230="""","""",if(join("" - "",{iferror(filter('Student Groupings'!$A:$A,'Student Groupings'!$B:$B=$C230,'Student Groupings'!$H:$H=""Must be Together""),"""");iferror(filter('Student Groupings'!$A:$A,'Student Groupings'!$E:$E=$C230,'Student Groupings'"&amp;"!$H:$H=""Must be Together""),"""")})="" - "","""",join("" - "",{iferror(filter('Student Groupings'!$A:$A,'Student Groupings'!$B:$B=$C230,'Student Groupings'!$H:$H=""Must be Together""),"""");iferror(filter('Student Groupings'!$A:$A,'Student Groupings'!$E:"&amp;"$E=$C230,'Student Groupings'!$H:$H=""Must be Together""),"""")})))"),"")</f>
        <v/>
      </c>
      <c r="AE230" s="105"/>
      <c r="AF230" s="105">
        <v>1.0</v>
      </c>
      <c r="AG230" s="104"/>
      <c r="AH230" s="104"/>
    </row>
    <row r="231">
      <c r="A231" s="101">
        <v>7.0</v>
      </c>
      <c r="B231" s="101">
        <v>30086.0</v>
      </c>
      <c r="C231" s="102" t="s">
        <v>500</v>
      </c>
      <c r="D231" s="52" t="s">
        <v>175</v>
      </c>
      <c r="E231" s="52">
        <v>4.0</v>
      </c>
      <c r="F231" s="52" t="s">
        <v>164</v>
      </c>
      <c r="G231" s="52">
        <v>3.0</v>
      </c>
      <c r="H231" s="52" t="s">
        <v>184</v>
      </c>
      <c r="I231" s="52">
        <v>1.0</v>
      </c>
      <c r="J231" s="52" t="s">
        <v>193</v>
      </c>
      <c r="K231" s="52">
        <v>5.0</v>
      </c>
      <c r="L231" s="52" t="s">
        <v>200</v>
      </c>
      <c r="M231" s="52">
        <v>2.0</v>
      </c>
      <c r="N231" s="52" t="s">
        <v>150</v>
      </c>
      <c r="O231" s="52" t="s">
        <v>109</v>
      </c>
      <c r="P231" s="52" t="s">
        <v>116</v>
      </c>
      <c r="Q231" s="52" t="s">
        <v>120</v>
      </c>
      <c r="R231" s="52" t="s">
        <v>133</v>
      </c>
      <c r="S231" s="52" t="s">
        <v>120</v>
      </c>
      <c r="T231" s="65" t="s">
        <v>27</v>
      </c>
      <c r="U231" s="32">
        <v>1.0</v>
      </c>
      <c r="V231" s="32">
        <v>1.0</v>
      </c>
      <c r="W231" s="32">
        <v>1.0</v>
      </c>
      <c r="X231" s="32">
        <v>1.0</v>
      </c>
      <c r="Y231" s="32">
        <v>1.0</v>
      </c>
      <c r="Z231" s="32">
        <v>1.0</v>
      </c>
      <c r="AA231" s="32">
        <v>6.0</v>
      </c>
      <c r="AB231" s="32">
        <v>0.0</v>
      </c>
      <c r="AC231" s="103" t="str">
        <f>IFERROR(__xludf.DUMMYFUNCTION("if($C231="""","""",if(join("" - "",{iferror(filter('Student Groupings'!$A:$A,'Student Groupings'!$B:$B=$C231,'Student Groupings'!$H:$H=""Can't be Together""),"""");iferror(filter('Student Groupings'!$A:$A,'Student Groupings'!$E:$E=$C231,'Student Groupings"&amp;"'!$H:$H=""Can't be Together""),"""")})="" - "","""",join("" - "",{iferror(filter('Student Groupings'!$A:$A,'Student Groupings'!$B:$B=$C231,'Student Groupings'!$H:$H=""Can't be Together""),"""");iferror(filter('Student Groupings'!$A:$A,'Student Groupings'!"&amp;"$E:$E=$C231,'Student Groupings'!$H:$H=""Can't be Together""),"""")})))"),"")</f>
        <v/>
      </c>
      <c r="AD231" s="103" t="str">
        <f>IFERROR(__xludf.DUMMYFUNCTION("if($C231="""","""",if(join("" - "",{iferror(filter('Student Groupings'!$A:$A,'Student Groupings'!$B:$B=$C231,'Student Groupings'!$H:$H=""Must be Together""),"""");iferror(filter('Student Groupings'!$A:$A,'Student Groupings'!$E:$E=$C231,'Student Groupings'"&amp;"!$H:$H=""Must be Together""),"""")})="" - "","""",join("" - "",{iferror(filter('Student Groupings'!$A:$A,'Student Groupings'!$B:$B=$C231,'Student Groupings'!$H:$H=""Must be Together""),"""");iferror(filter('Student Groupings'!$A:$A,'Student Groupings'!$E:"&amp;"$E=$C231,'Student Groupings'!$H:$H=""Must be Together""),"""")})))"),"")</f>
        <v/>
      </c>
      <c r="AE231" s="104"/>
      <c r="AF231" s="104"/>
      <c r="AG231" s="104"/>
      <c r="AH231" s="104"/>
    </row>
    <row r="232">
      <c r="A232" s="101">
        <v>7.0</v>
      </c>
      <c r="B232" s="101">
        <v>30087.0</v>
      </c>
      <c r="C232" s="106" t="s">
        <v>501</v>
      </c>
      <c r="D232" s="52" t="s">
        <v>175</v>
      </c>
      <c r="E232" s="52">
        <v>5.0</v>
      </c>
      <c r="F232" s="52" t="s">
        <v>163</v>
      </c>
      <c r="G232" s="52">
        <v>3.0</v>
      </c>
      <c r="H232" s="52" t="s">
        <v>184</v>
      </c>
      <c r="I232" s="52">
        <v>6.0</v>
      </c>
      <c r="J232" s="52" t="s">
        <v>195</v>
      </c>
      <c r="K232" s="52">
        <v>2.0</v>
      </c>
      <c r="L232" s="52" t="s">
        <v>203</v>
      </c>
      <c r="M232" s="52">
        <v>4.0</v>
      </c>
      <c r="N232" s="52" t="s">
        <v>150</v>
      </c>
      <c r="O232" s="52" t="s">
        <v>129</v>
      </c>
      <c r="P232" s="52" t="s">
        <v>116</v>
      </c>
      <c r="Q232" s="52" t="s">
        <v>108</v>
      </c>
      <c r="R232" s="52" t="s">
        <v>133</v>
      </c>
      <c r="S232" s="52" t="s">
        <v>108</v>
      </c>
      <c r="T232" s="65" t="s">
        <v>27</v>
      </c>
      <c r="U232" s="32">
        <v>1.0</v>
      </c>
      <c r="V232" s="32">
        <v>1.0</v>
      </c>
      <c r="W232" s="32">
        <v>1.0</v>
      </c>
      <c r="X232" s="32">
        <v>1.0</v>
      </c>
      <c r="Y232" s="32">
        <v>1.0</v>
      </c>
      <c r="Z232" s="32">
        <v>1.0</v>
      </c>
      <c r="AA232" s="32">
        <v>6.0</v>
      </c>
      <c r="AB232" s="32">
        <v>0.0</v>
      </c>
      <c r="AC232" s="103" t="str">
        <f>IFERROR(__xludf.DUMMYFUNCTION("if($C232="""","""",if(join("" - "",{iferror(filter('Student Groupings'!$A:$A,'Student Groupings'!$B:$B=$C232,'Student Groupings'!$H:$H=""Can't be Together""),"""");iferror(filter('Student Groupings'!$A:$A,'Student Groupings'!$E:$E=$C232,'Student Groupings"&amp;"'!$H:$H=""Can't be Together""),"""")})="" - "","""",join("" - "",{iferror(filter('Student Groupings'!$A:$A,'Student Groupings'!$B:$B=$C232,'Student Groupings'!$H:$H=""Can't be Together""),"""");iferror(filter('Student Groupings'!$A:$A,'Student Groupings'!"&amp;"$E:$E=$C232,'Student Groupings'!$H:$H=""Can't be Together""),"""")})))"),"")</f>
        <v/>
      </c>
      <c r="AD232" s="103" t="str">
        <f>IFERROR(__xludf.DUMMYFUNCTION("if($C232="""","""",if(join("" - "",{iferror(filter('Student Groupings'!$A:$A,'Student Groupings'!$B:$B=$C232,'Student Groupings'!$H:$H=""Must be Together""),"""");iferror(filter('Student Groupings'!$A:$A,'Student Groupings'!$E:$E=$C232,'Student Groupings'"&amp;"!$H:$H=""Must be Together""),"""")})="" - "","""",join("" - "",{iferror(filter('Student Groupings'!$A:$A,'Student Groupings'!$B:$B=$C232,'Student Groupings'!$H:$H=""Must be Together""),"""");iferror(filter('Student Groupings'!$A:$A,'Student Groupings'!$E:"&amp;"$E=$C232,'Student Groupings'!$H:$H=""Must be Together""),"""")})))"),"")</f>
        <v/>
      </c>
      <c r="AE232" s="104"/>
      <c r="AF232" s="104"/>
      <c r="AG232" s="104"/>
      <c r="AH232" s="104"/>
    </row>
    <row r="233">
      <c r="A233" s="101">
        <v>7.0</v>
      </c>
      <c r="B233" s="101">
        <v>30161.0</v>
      </c>
      <c r="C233" s="102" t="s">
        <v>502</v>
      </c>
      <c r="D233" s="52" t="s">
        <v>179</v>
      </c>
      <c r="E233" s="52">
        <v>6.0</v>
      </c>
      <c r="F233" s="52" t="s">
        <v>163</v>
      </c>
      <c r="G233" s="52">
        <v>5.0</v>
      </c>
      <c r="H233" s="52" t="s">
        <v>184</v>
      </c>
      <c r="I233" s="52">
        <v>2.0</v>
      </c>
      <c r="J233" s="52" t="s">
        <v>195</v>
      </c>
      <c r="K233" s="52">
        <v>3.0</v>
      </c>
      <c r="L233" s="52" t="s">
        <v>200</v>
      </c>
      <c r="M233" s="52">
        <v>1.0</v>
      </c>
      <c r="N233" s="52" t="s">
        <v>150</v>
      </c>
      <c r="O233" s="52" t="s">
        <v>111</v>
      </c>
      <c r="P233" s="52" t="s">
        <v>140</v>
      </c>
      <c r="Q233" s="52" t="s">
        <v>130</v>
      </c>
      <c r="R233" s="52" t="s">
        <v>140</v>
      </c>
      <c r="S233" s="52" t="s">
        <v>130</v>
      </c>
      <c r="T233" s="65" t="s">
        <v>30</v>
      </c>
      <c r="U233" s="32">
        <v>1.0</v>
      </c>
      <c r="V233" s="32">
        <v>1.0</v>
      </c>
      <c r="W233" s="32">
        <v>1.0</v>
      </c>
      <c r="X233" s="32">
        <v>1.0</v>
      </c>
      <c r="Y233" s="32">
        <v>1.0</v>
      </c>
      <c r="Z233" s="32">
        <v>1.0</v>
      </c>
      <c r="AA233" s="32">
        <v>6.0</v>
      </c>
      <c r="AB233" s="32">
        <v>0.0</v>
      </c>
      <c r="AC233" s="103" t="str">
        <f>IFERROR(__xludf.DUMMYFUNCTION("if($C233="""","""",if(join("" - "",{iferror(filter('Student Groupings'!$A:$A,'Student Groupings'!$B:$B=$C233,'Student Groupings'!$H:$H=""Can't be Together""),"""");iferror(filter('Student Groupings'!$A:$A,'Student Groupings'!$E:$E=$C233,'Student Groupings"&amp;"'!$H:$H=""Can't be Together""),"""")})="" - "","""",join("" - "",{iferror(filter('Student Groupings'!$A:$A,'Student Groupings'!$B:$B=$C233,'Student Groupings'!$H:$H=""Can't be Together""),"""");iferror(filter('Student Groupings'!$A:$A,'Student Groupings'!"&amp;"$E:$E=$C233,'Student Groupings'!$H:$H=""Can't be Together""),"""")})))"),"")</f>
        <v/>
      </c>
      <c r="AD233" s="103" t="str">
        <f>IFERROR(__xludf.DUMMYFUNCTION("if($C233="""","""",if(join("" - "",{iferror(filter('Student Groupings'!$A:$A,'Student Groupings'!$B:$B=$C233,'Student Groupings'!$H:$H=""Must be Together""),"""");iferror(filter('Student Groupings'!$A:$A,'Student Groupings'!$E:$E=$C233,'Student Groupings'"&amp;"!$H:$H=""Must be Together""),"""")})="" - "","""",join("" - "",{iferror(filter('Student Groupings'!$A:$A,'Student Groupings'!$B:$B=$C233,'Student Groupings'!$H:$H=""Must be Together""),"""");iferror(filter('Student Groupings'!$A:$A,'Student Groupings'!$E:"&amp;"$E=$C233,'Student Groupings'!$H:$H=""Must be Together""),"""")})))"),"")</f>
        <v/>
      </c>
      <c r="AE233" s="104"/>
      <c r="AF233" s="104"/>
      <c r="AG233" s="104"/>
      <c r="AH233" s="104"/>
    </row>
    <row r="234">
      <c r="A234" s="101">
        <v>7.0</v>
      </c>
      <c r="B234" s="101">
        <v>30089.0</v>
      </c>
      <c r="C234" s="102" t="s">
        <v>503</v>
      </c>
      <c r="D234" s="52" t="s">
        <v>175</v>
      </c>
      <c r="E234" s="52">
        <v>6.0</v>
      </c>
      <c r="F234" s="52" t="s">
        <v>164</v>
      </c>
      <c r="G234" s="52">
        <v>4.0</v>
      </c>
      <c r="H234" s="52" t="s">
        <v>188</v>
      </c>
      <c r="I234" s="52">
        <v>5.0</v>
      </c>
      <c r="J234" s="52" t="s">
        <v>195</v>
      </c>
      <c r="K234" s="52">
        <v>1.0</v>
      </c>
      <c r="L234" s="52" t="s">
        <v>200</v>
      </c>
      <c r="M234" s="52">
        <v>3.0</v>
      </c>
      <c r="N234" s="52" t="s">
        <v>154</v>
      </c>
      <c r="O234" s="52" t="s">
        <v>119</v>
      </c>
      <c r="P234" s="52" t="s">
        <v>140</v>
      </c>
      <c r="Q234" s="52" t="s">
        <v>125</v>
      </c>
      <c r="R234" s="52" t="s">
        <v>140</v>
      </c>
      <c r="S234" s="52" t="s">
        <v>125</v>
      </c>
      <c r="T234" s="65" t="s">
        <v>30</v>
      </c>
      <c r="U234" s="32">
        <v>1.0</v>
      </c>
      <c r="V234" s="32">
        <v>1.0</v>
      </c>
      <c r="W234" s="32">
        <v>1.0</v>
      </c>
      <c r="X234" s="32">
        <v>1.0</v>
      </c>
      <c r="Y234" s="32">
        <v>1.0</v>
      </c>
      <c r="Z234" s="32">
        <v>1.0</v>
      </c>
      <c r="AA234" s="32">
        <v>6.0</v>
      </c>
      <c r="AB234" s="32">
        <v>0.0</v>
      </c>
      <c r="AC234" s="103" t="str">
        <f>IFERROR(__xludf.DUMMYFUNCTION("if($C234="""","""",if(join("" - "",{iferror(filter('Student Groupings'!$A:$A,'Student Groupings'!$B:$B=$C234,'Student Groupings'!$H:$H=""Can't be Together""),"""");iferror(filter('Student Groupings'!$A:$A,'Student Groupings'!$E:$E=$C234,'Student Groupings"&amp;"'!$H:$H=""Can't be Together""),"""")})="" - "","""",join("" - "",{iferror(filter('Student Groupings'!$A:$A,'Student Groupings'!$B:$B=$C234,'Student Groupings'!$H:$H=""Can't be Together""),"""");iferror(filter('Student Groupings'!$A:$A,'Student Groupings'!"&amp;"$E:$E=$C234,'Student Groupings'!$H:$H=""Can't be Together""),"""")})))"),"")</f>
        <v/>
      </c>
      <c r="AD234" s="103" t="str">
        <f>IFERROR(__xludf.DUMMYFUNCTION("if($C234="""","""",if(join("" - "",{iferror(filter('Student Groupings'!$A:$A,'Student Groupings'!$B:$B=$C234,'Student Groupings'!$H:$H=""Must be Together""),"""");iferror(filter('Student Groupings'!$A:$A,'Student Groupings'!$E:$E=$C234,'Student Groupings'"&amp;"!$H:$H=""Must be Together""),"""")})="" - "","""",join("" - "",{iferror(filter('Student Groupings'!$A:$A,'Student Groupings'!$B:$B=$C234,'Student Groupings'!$H:$H=""Must be Together""),"""");iferror(filter('Student Groupings'!$A:$A,'Student Groupings'!$E:"&amp;"$E=$C234,'Student Groupings'!$H:$H=""Must be Together""),"""")})))"),"")</f>
        <v/>
      </c>
      <c r="AE234" s="104"/>
      <c r="AF234" s="104"/>
      <c r="AG234" s="104"/>
      <c r="AH234" s="104"/>
    </row>
    <row r="235">
      <c r="A235" s="101">
        <v>7.0</v>
      </c>
      <c r="B235" s="101">
        <v>30090.0</v>
      </c>
      <c r="C235" s="102" t="s">
        <v>255</v>
      </c>
      <c r="D235" s="52" t="s">
        <v>175</v>
      </c>
      <c r="E235" s="52">
        <v>3.0</v>
      </c>
      <c r="F235" s="52" t="s">
        <v>163</v>
      </c>
      <c r="G235" s="52">
        <v>4.0</v>
      </c>
      <c r="H235" s="52" t="s">
        <v>184</v>
      </c>
      <c r="I235" s="52">
        <v>5.0</v>
      </c>
      <c r="J235" s="52" t="s">
        <v>193</v>
      </c>
      <c r="K235" s="52">
        <v>1.0</v>
      </c>
      <c r="L235" s="52" t="s">
        <v>200</v>
      </c>
      <c r="M235" s="52">
        <v>6.0</v>
      </c>
      <c r="N235" s="52" t="s">
        <v>150</v>
      </c>
      <c r="O235" s="52" t="s">
        <v>119</v>
      </c>
      <c r="P235" s="52" t="s">
        <v>116</v>
      </c>
      <c r="Q235" s="52" t="s">
        <v>125</v>
      </c>
      <c r="R235" s="52" t="s">
        <v>133</v>
      </c>
      <c r="S235" s="52" t="s">
        <v>125</v>
      </c>
      <c r="T235" s="65" t="s">
        <v>27</v>
      </c>
      <c r="U235" s="32">
        <v>1.0</v>
      </c>
      <c r="V235" s="32">
        <v>1.0</v>
      </c>
      <c r="W235" s="32">
        <v>1.0</v>
      </c>
      <c r="X235" s="32">
        <v>1.0</v>
      </c>
      <c r="Y235" s="32">
        <v>1.0</v>
      </c>
      <c r="Z235" s="32">
        <v>1.0</v>
      </c>
      <c r="AA235" s="32">
        <v>6.0</v>
      </c>
      <c r="AB235" s="32">
        <v>0.0</v>
      </c>
      <c r="AC235" s="103" t="str">
        <f>IFERROR(__xludf.DUMMYFUNCTION("if($C235="""","""",if(join("" - "",{iferror(filter('Student Groupings'!$A:$A,'Student Groupings'!$B:$B=$C235,'Student Groupings'!$H:$H=""Can't be Together""),"""");iferror(filter('Student Groupings'!$A:$A,'Student Groupings'!$E:$E=$C235,'Student Groupings"&amp;"'!$H:$H=""Can't be Together""),"""")})="" - "","""",join("" - "",{iferror(filter('Student Groupings'!$A:$A,'Student Groupings'!$B:$B=$C235,'Student Groupings'!$H:$H=""Can't be Together""),"""");iferror(filter('Student Groupings'!$A:$A,'Student Groupings'!"&amp;"$E:$E=$C235,'Student Groupings'!$H:$H=""Can't be Together""),"""")})))")," - 38")</f>
        <v> - 38</v>
      </c>
      <c r="AD235" s="103" t="str">
        <f>IFERROR(__xludf.DUMMYFUNCTION("if($C235="""","""",if(join("" - "",{iferror(filter('Student Groupings'!$A:$A,'Student Groupings'!$B:$B=$C235,'Student Groupings'!$H:$H=""Must be Together""),"""");iferror(filter('Student Groupings'!$A:$A,'Student Groupings'!$E:$E=$C235,'Student Groupings'"&amp;"!$H:$H=""Must be Together""),"""")})="" - "","""",join("" - "",{iferror(filter('Student Groupings'!$A:$A,'Student Groupings'!$B:$B=$C235,'Student Groupings'!$H:$H=""Must be Together""),"""");iferror(filter('Student Groupings'!$A:$A,'Student Groupings'!$E:"&amp;"$E=$C235,'Student Groupings'!$H:$H=""Must be Together""),"""")})))"),"")</f>
        <v/>
      </c>
      <c r="AE235" s="104"/>
      <c r="AF235" s="104"/>
      <c r="AG235" s="104"/>
      <c r="AH235" s="104"/>
    </row>
    <row r="236">
      <c r="A236" s="101">
        <v>7.0</v>
      </c>
      <c r="B236" s="101">
        <v>30172.0</v>
      </c>
      <c r="C236" s="102" t="s">
        <v>504</v>
      </c>
      <c r="D236" s="52" t="s">
        <v>175</v>
      </c>
      <c r="E236" s="52">
        <v>2.0</v>
      </c>
      <c r="F236" s="52" t="s">
        <v>163</v>
      </c>
      <c r="G236" s="52">
        <v>6.0</v>
      </c>
      <c r="H236" s="52" t="s">
        <v>184</v>
      </c>
      <c r="I236" s="52">
        <v>3.0</v>
      </c>
      <c r="J236" s="52" t="s">
        <v>195</v>
      </c>
      <c r="K236" s="52">
        <v>5.0</v>
      </c>
      <c r="L236" s="52" t="s">
        <v>200</v>
      </c>
      <c r="M236" s="52">
        <v>4.0</v>
      </c>
      <c r="N236" s="52" t="s">
        <v>154</v>
      </c>
      <c r="O236" s="52" t="s">
        <v>129</v>
      </c>
      <c r="P236" s="52" t="s">
        <v>140</v>
      </c>
      <c r="Q236" s="52" t="s">
        <v>108</v>
      </c>
      <c r="R236" s="52" t="s">
        <v>140</v>
      </c>
      <c r="S236" s="52" t="s">
        <v>108</v>
      </c>
      <c r="T236" s="65" t="s">
        <v>30</v>
      </c>
      <c r="U236" s="32">
        <v>1.0</v>
      </c>
      <c r="V236" s="32">
        <v>1.0</v>
      </c>
      <c r="W236" s="32">
        <v>1.0</v>
      </c>
      <c r="X236" s="32">
        <v>1.0</v>
      </c>
      <c r="Y236" s="32">
        <v>1.0</v>
      </c>
      <c r="Z236" s="32">
        <v>1.0</v>
      </c>
      <c r="AA236" s="32">
        <v>6.0</v>
      </c>
      <c r="AB236" s="32">
        <v>0.0</v>
      </c>
      <c r="AC236" s="103" t="str">
        <f>IFERROR(__xludf.DUMMYFUNCTION("if($C236="""","""",if(join("" - "",{iferror(filter('Student Groupings'!$A:$A,'Student Groupings'!$B:$B=$C236,'Student Groupings'!$H:$H=""Can't be Together""),"""");iferror(filter('Student Groupings'!$A:$A,'Student Groupings'!$E:$E=$C236,'Student Groupings"&amp;"'!$H:$H=""Can't be Together""),"""")})="" - "","""",join("" - "",{iferror(filter('Student Groupings'!$A:$A,'Student Groupings'!$B:$B=$C236,'Student Groupings'!$H:$H=""Can't be Together""),"""");iferror(filter('Student Groupings'!$A:$A,'Student Groupings'!"&amp;"$E:$E=$C236,'Student Groupings'!$H:$H=""Can't be Together""),"""")})))"),"")</f>
        <v/>
      </c>
      <c r="AD236" s="103" t="str">
        <f>IFERROR(__xludf.DUMMYFUNCTION("if($C236="""","""",if(join("" - "",{iferror(filter('Student Groupings'!$A:$A,'Student Groupings'!$B:$B=$C236,'Student Groupings'!$H:$H=""Must be Together""),"""");iferror(filter('Student Groupings'!$A:$A,'Student Groupings'!$E:$E=$C236,'Student Groupings'"&amp;"!$H:$H=""Must be Together""),"""")})="" - "","""",join("" - "",{iferror(filter('Student Groupings'!$A:$A,'Student Groupings'!$B:$B=$C236,'Student Groupings'!$H:$H=""Must be Together""),"""");iferror(filter('Student Groupings'!$A:$A,'Student Groupings'!$E:"&amp;"$E=$C236,'Student Groupings'!$H:$H=""Must be Together""),"""")})))"),"")</f>
        <v/>
      </c>
      <c r="AE236" s="104"/>
      <c r="AF236" s="104"/>
      <c r="AG236" s="104"/>
      <c r="AH236" s="104"/>
    </row>
    <row r="237">
      <c r="A237" s="101">
        <v>7.0</v>
      </c>
      <c r="B237" s="101">
        <v>30158.0</v>
      </c>
      <c r="C237" s="102" t="s">
        <v>505</v>
      </c>
      <c r="D237" s="52" t="s">
        <v>175</v>
      </c>
      <c r="E237" s="52">
        <v>4.0</v>
      </c>
      <c r="F237" s="52" t="s">
        <v>164</v>
      </c>
      <c r="G237" s="52">
        <v>3.0</v>
      </c>
      <c r="H237" s="52" t="s">
        <v>184</v>
      </c>
      <c r="I237" s="52">
        <v>1.0</v>
      </c>
      <c r="J237" s="52" t="s">
        <v>193</v>
      </c>
      <c r="K237" s="52">
        <v>5.0</v>
      </c>
      <c r="L237" s="52" t="s">
        <v>200</v>
      </c>
      <c r="M237" s="52">
        <v>2.0</v>
      </c>
      <c r="N237" s="52" t="s">
        <v>150</v>
      </c>
      <c r="O237" s="52" t="s">
        <v>109</v>
      </c>
      <c r="P237" s="52" t="s">
        <v>116</v>
      </c>
      <c r="Q237" s="52" t="s">
        <v>120</v>
      </c>
      <c r="R237" s="52" t="s">
        <v>133</v>
      </c>
      <c r="S237" s="52" t="s">
        <v>120</v>
      </c>
      <c r="T237" s="65" t="s">
        <v>27</v>
      </c>
      <c r="U237" s="32">
        <v>1.0</v>
      </c>
      <c r="V237" s="32">
        <v>1.0</v>
      </c>
      <c r="W237" s="32">
        <v>1.0</v>
      </c>
      <c r="X237" s="32">
        <v>1.0</v>
      </c>
      <c r="Y237" s="32">
        <v>1.0</v>
      </c>
      <c r="Z237" s="32">
        <v>1.0</v>
      </c>
      <c r="AA237" s="32">
        <v>6.0</v>
      </c>
      <c r="AB237" s="32">
        <v>0.0</v>
      </c>
      <c r="AC237" s="103" t="str">
        <f>IFERROR(__xludf.DUMMYFUNCTION("if($C237="""","""",if(join("" - "",{iferror(filter('Student Groupings'!$A:$A,'Student Groupings'!$B:$B=$C237,'Student Groupings'!$H:$H=""Can't be Together""),"""");iferror(filter('Student Groupings'!$A:$A,'Student Groupings'!$E:$E=$C237,'Student Groupings"&amp;"'!$H:$H=""Can't be Together""),"""")})="" - "","""",join("" - "",{iferror(filter('Student Groupings'!$A:$A,'Student Groupings'!$B:$B=$C237,'Student Groupings'!$H:$H=""Can't be Together""),"""");iferror(filter('Student Groupings'!$A:$A,'Student Groupings'!"&amp;"$E:$E=$C237,'Student Groupings'!$H:$H=""Can't be Together""),"""")})))"),"")</f>
        <v/>
      </c>
      <c r="AD237" s="103" t="str">
        <f>IFERROR(__xludf.DUMMYFUNCTION("if($C237="""","""",if(join("" - "",{iferror(filter('Student Groupings'!$A:$A,'Student Groupings'!$B:$B=$C237,'Student Groupings'!$H:$H=""Must be Together""),"""");iferror(filter('Student Groupings'!$A:$A,'Student Groupings'!$E:$E=$C237,'Student Groupings'"&amp;"!$H:$H=""Must be Together""),"""")})="" - "","""",join("" - "",{iferror(filter('Student Groupings'!$A:$A,'Student Groupings'!$B:$B=$C237,'Student Groupings'!$H:$H=""Must be Together""),"""");iferror(filter('Student Groupings'!$A:$A,'Student Groupings'!$E:"&amp;"$E=$C237,'Student Groupings'!$H:$H=""Must be Together""),"""")})))"),"")</f>
        <v/>
      </c>
      <c r="AE237" s="104"/>
      <c r="AF237" s="104"/>
      <c r="AG237" s="104"/>
      <c r="AH237" s="104"/>
    </row>
    <row r="238">
      <c r="A238" s="101">
        <v>7.0</v>
      </c>
      <c r="B238" s="101">
        <v>30153.0</v>
      </c>
      <c r="C238" s="102" t="s">
        <v>506</v>
      </c>
      <c r="D238" s="52" t="s">
        <v>179</v>
      </c>
      <c r="E238" s="52">
        <v>6.0</v>
      </c>
      <c r="F238" s="52" t="s">
        <v>164</v>
      </c>
      <c r="G238" s="52">
        <v>4.0</v>
      </c>
      <c r="H238" s="52" t="s">
        <v>188</v>
      </c>
      <c r="I238" s="52">
        <v>5.0</v>
      </c>
      <c r="J238" s="52" t="s">
        <v>195</v>
      </c>
      <c r="K238" s="52">
        <v>3.0</v>
      </c>
      <c r="L238" s="52" t="s">
        <v>200</v>
      </c>
      <c r="M238" s="52">
        <v>1.0</v>
      </c>
      <c r="N238" s="52" t="s">
        <v>154</v>
      </c>
      <c r="O238" s="52" t="s">
        <v>119</v>
      </c>
      <c r="P238" s="52" t="s">
        <v>140</v>
      </c>
      <c r="Q238" s="52" t="s">
        <v>125</v>
      </c>
      <c r="R238" s="52" t="s">
        <v>140</v>
      </c>
      <c r="S238" s="52" t="s">
        <v>125</v>
      </c>
      <c r="T238" s="65" t="s">
        <v>30</v>
      </c>
      <c r="U238" s="32">
        <v>1.0</v>
      </c>
      <c r="V238" s="32">
        <v>1.0</v>
      </c>
      <c r="W238" s="32">
        <v>1.0</v>
      </c>
      <c r="X238" s="32">
        <v>1.0</v>
      </c>
      <c r="Y238" s="32">
        <v>1.0</v>
      </c>
      <c r="Z238" s="32">
        <v>1.0</v>
      </c>
      <c r="AA238" s="32">
        <v>6.0</v>
      </c>
      <c r="AB238" s="32">
        <v>0.0</v>
      </c>
      <c r="AC238" s="103" t="str">
        <f>IFERROR(__xludf.DUMMYFUNCTION("if($C238="""","""",if(join("" - "",{iferror(filter('Student Groupings'!$A:$A,'Student Groupings'!$B:$B=$C238,'Student Groupings'!$H:$H=""Can't be Together""),"""");iferror(filter('Student Groupings'!$A:$A,'Student Groupings'!$E:$E=$C238,'Student Groupings"&amp;"'!$H:$H=""Can't be Together""),"""")})="" - "","""",join("" - "",{iferror(filter('Student Groupings'!$A:$A,'Student Groupings'!$B:$B=$C238,'Student Groupings'!$H:$H=""Can't be Together""),"""");iferror(filter('Student Groupings'!$A:$A,'Student Groupings'!"&amp;"$E:$E=$C238,'Student Groupings'!$H:$H=""Can't be Together""),"""")})))"),"")</f>
        <v/>
      </c>
      <c r="AD238" s="103" t="str">
        <f>IFERROR(__xludf.DUMMYFUNCTION("if($C238="""","""",if(join("" - "",{iferror(filter('Student Groupings'!$A:$A,'Student Groupings'!$B:$B=$C238,'Student Groupings'!$H:$H=""Must be Together""),"""");iferror(filter('Student Groupings'!$A:$A,'Student Groupings'!$E:$E=$C238,'Student Groupings'"&amp;"!$H:$H=""Must be Together""),"""")})="" - "","""",join("" - "",{iferror(filter('Student Groupings'!$A:$A,'Student Groupings'!$B:$B=$C238,'Student Groupings'!$H:$H=""Must be Together""),"""");iferror(filter('Student Groupings'!$A:$A,'Student Groupings'!$E:"&amp;"$E=$C238,'Student Groupings'!$H:$H=""Must be Together""),"""")})))"),"")</f>
        <v/>
      </c>
      <c r="AE238" s="104"/>
      <c r="AF238" s="104"/>
      <c r="AG238" s="104"/>
      <c r="AH238" s="104"/>
    </row>
    <row r="239">
      <c r="A239" s="101">
        <v>7.0</v>
      </c>
      <c r="B239" s="101">
        <v>30154.0</v>
      </c>
      <c r="C239" s="102" t="s">
        <v>507</v>
      </c>
      <c r="D239" s="52" t="s">
        <v>175</v>
      </c>
      <c r="E239" s="52">
        <v>3.0</v>
      </c>
      <c r="F239" s="52" t="s">
        <v>163</v>
      </c>
      <c r="G239" s="52">
        <v>5.0</v>
      </c>
      <c r="H239" s="52" t="s">
        <v>184</v>
      </c>
      <c r="I239" s="52">
        <v>2.0</v>
      </c>
      <c r="J239" s="52" t="s">
        <v>193</v>
      </c>
      <c r="K239" s="52">
        <v>1.0</v>
      </c>
      <c r="L239" s="52" t="s">
        <v>200</v>
      </c>
      <c r="M239" s="52">
        <v>6.0</v>
      </c>
      <c r="N239" s="52" t="s">
        <v>150</v>
      </c>
      <c r="O239" s="52" t="s">
        <v>111</v>
      </c>
      <c r="P239" s="52" t="s">
        <v>140</v>
      </c>
      <c r="Q239" s="52" t="s">
        <v>130</v>
      </c>
      <c r="R239" s="52" t="s">
        <v>140</v>
      </c>
      <c r="S239" s="52" t="s">
        <v>130</v>
      </c>
      <c r="T239" s="65" t="s">
        <v>30</v>
      </c>
      <c r="U239" s="32">
        <v>1.0</v>
      </c>
      <c r="V239" s="32">
        <v>1.0</v>
      </c>
      <c r="W239" s="32">
        <v>1.0</v>
      </c>
      <c r="X239" s="32">
        <v>1.0</v>
      </c>
      <c r="Y239" s="32">
        <v>1.0</v>
      </c>
      <c r="Z239" s="32">
        <v>1.0</v>
      </c>
      <c r="AA239" s="32">
        <v>6.0</v>
      </c>
      <c r="AB239" s="32">
        <v>0.0</v>
      </c>
      <c r="AC239" s="103" t="str">
        <f>IFERROR(__xludf.DUMMYFUNCTION("if($C239="""","""",if(join("" - "",{iferror(filter('Student Groupings'!$A:$A,'Student Groupings'!$B:$B=$C239,'Student Groupings'!$H:$H=""Can't be Together""),"""");iferror(filter('Student Groupings'!$A:$A,'Student Groupings'!$E:$E=$C239,'Student Groupings"&amp;"'!$H:$H=""Can't be Together""),"""")})="" - "","""",join("" - "",{iferror(filter('Student Groupings'!$A:$A,'Student Groupings'!$B:$B=$C239,'Student Groupings'!$H:$H=""Can't be Together""),"""");iferror(filter('Student Groupings'!$A:$A,'Student Groupings'!"&amp;"$E:$E=$C239,'Student Groupings'!$H:$H=""Can't be Together""),"""")})))"),"")</f>
        <v/>
      </c>
      <c r="AD239" s="103" t="str">
        <f>IFERROR(__xludf.DUMMYFUNCTION("if($C239="""","""",if(join("" - "",{iferror(filter('Student Groupings'!$A:$A,'Student Groupings'!$B:$B=$C239,'Student Groupings'!$H:$H=""Must be Together""),"""");iferror(filter('Student Groupings'!$A:$A,'Student Groupings'!$E:$E=$C239,'Student Groupings'"&amp;"!$H:$H=""Must be Together""),"""")})="" - "","""",join("" - "",{iferror(filter('Student Groupings'!$A:$A,'Student Groupings'!$B:$B=$C239,'Student Groupings'!$H:$H=""Must be Together""),"""");iferror(filter('Student Groupings'!$A:$A,'Student Groupings'!$E:"&amp;"$E=$C239,'Student Groupings'!$H:$H=""Must be Together""),"""")})))"),"")</f>
        <v/>
      </c>
      <c r="AE239" s="104"/>
      <c r="AF239" s="104"/>
      <c r="AG239" s="104"/>
      <c r="AH239" s="104"/>
    </row>
    <row r="240">
      <c r="A240" s="101">
        <v>7.0</v>
      </c>
      <c r="B240" s="101">
        <v>30141.0</v>
      </c>
      <c r="C240" s="102" t="s">
        <v>508</v>
      </c>
      <c r="D240" s="52" t="s">
        <v>175</v>
      </c>
      <c r="E240" s="52">
        <v>2.0</v>
      </c>
      <c r="F240" s="52" t="s">
        <v>163</v>
      </c>
      <c r="G240" s="52">
        <v>6.0</v>
      </c>
      <c r="H240" s="52" t="s">
        <v>184</v>
      </c>
      <c r="I240" s="52">
        <v>3.0</v>
      </c>
      <c r="J240" s="52" t="s">
        <v>195</v>
      </c>
      <c r="K240" s="52">
        <v>5.0</v>
      </c>
      <c r="L240" s="52" t="s">
        <v>200</v>
      </c>
      <c r="M240" s="52">
        <v>4.0</v>
      </c>
      <c r="N240" s="52" t="s">
        <v>154</v>
      </c>
      <c r="O240" s="52" t="s">
        <v>129</v>
      </c>
      <c r="P240" s="52" t="s">
        <v>140</v>
      </c>
      <c r="Q240" s="52" t="s">
        <v>108</v>
      </c>
      <c r="R240" s="52" t="s">
        <v>140</v>
      </c>
      <c r="S240" s="52" t="s">
        <v>108</v>
      </c>
      <c r="T240" s="65" t="s">
        <v>30</v>
      </c>
      <c r="U240" s="32">
        <v>1.0</v>
      </c>
      <c r="V240" s="32">
        <v>1.0</v>
      </c>
      <c r="W240" s="32">
        <v>1.0</v>
      </c>
      <c r="X240" s="32">
        <v>1.0</v>
      </c>
      <c r="Y240" s="32">
        <v>1.0</v>
      </c>
      <c r="Z240" s="32">
        <v>1.0</v>
      </c>
      <c r="AA240" s="32">
        <v>6.0</v>
      </c>
      <c r="AB240" s="32">
        <v>0.0</v>
      </c>
      <c r="AC240" s="103" t="str">
        <f>IFERROR(__xludf.DUMMYFUNCTION("if($C240="""","""",if(join("" - "",{iferror(filter('Student Groupings'!$A:$A,'Student Groupings'!$B:$B=$C240,'Student Groupings'!$H:$H=""Can't be Together""),"""");iferror(filter('Student Groupings'!$A:$A,'Student Groupings'!$E:$E=$C240,'Student Groupings"&amp;"'!$H:$H=""Can't be Together""),"""")})="" - "","""",join("" - "",{iferror(filter('Student Groupings'!$A:$A,'Student Groupings'!$B:$B=$C240,'Student Groupings'!$H:$H=""Can't be Together""),"""");iferror(filter('Student Groupings'!$A:$A,'Student Groupings'!"&amp;"$E:$E=$C240,'Student Groupings'!$H:$H=""Can't be Together""),"""")})))"),"")</f>
        <v/>
      </c>
      <c r="AD240" s="103" t="str">
        <f>IFERROR(__xludf.DUMMYFUNCTION("if($C240="""","""",if(join("" - "",{iferror(filter('Student Groupings'!$A:$A,'Student Groupings'!$B:$B=$C240,'Student Groupings'!$H:$H=""Must be Together""),"""");iferror(filter('Student Groupings'!$A:$A,'Student Groupings'!$E:$E=$C240,'Student Groupings'"&amp;"!$H:$H=""Must be Together""),"""")})="" - "","""",join("" - "",{iferror(filter('Student Groupings'!$A:$A,'Student Groupings'!$B:$B=$C240,'Student Groupings'!$H:$H=""Must be Together""),"""");iferror(filter('Student Groupings'!$A:$A,'Student Groupings'!$E:"&amp;"$E=$C240,'Student Groupings'!$H:$H=""Must be Together""),"""")})))"),"")</f>
        <v/>
      </c>
      <c r="AE240" s="104"/>
      <c r="AF240" s="104"/>
      <c r="AG240" s="104"/>
      <c r="AH240" s="104"/>
    </row>
    <row r="241">
      <c r="A241" s="101">
        <v>7.0</v>
      </c>
      <c r="B241" s="101">
        <v>30092.0</v>
      </c>
      <c r="C241" s="102" t="s">
        <v>509</v>
      </c>
      <c r="D241" s="52" t="s">
        <v>175</v>
      </c>
      <c r="E241" s="52">
        <v>6.0</v>
      </c>
      <c r="F241" s="52" t="s">
        <v>163</v>
      </c>
      <c r="G241" s="52">
        <v>5.0</v>
      </c>
      <c r="H241" s="52" t="s">
        <v>184</v>
      </c>
      <c r="I241" s="52">
        <v>2.0</v>
      </c>
      <c r="J241" s="52" t="s">
        <v>195</v>
      </c>
      <c r="K241" s="52">
        <v>1.0</v>
      </c>
      <c r="L241" s="52" t="s">
        <v>200</v>
      </c>
      <c r="M241" s="52">
        <v>3.0</v>
      </c>
      <c r="N241" s="52" t="s">
        <v>150</v>
      </c>
      <c r="O241" s="52" t="s">
        <v>111</v>
      </c>
      <c r="P241" s="52" t="s">
        <v>140</v>
      </c>
      <c r="Q241" s="52" t="s">
        <v>130</v>
      </c>
      <c r="R241" s="52" t="s">
        <v>140</v>
      </c>
      <c r="S241" s="52" t="s">
        <v>130</v>
      </c>
      <c r="T241" s="65" t="s">
        <v>30</v>
      </c>
      <c r="U241" s="32">
        <v>1.0</v>
      </c>
      <c r="V241" s="32">
        <v>1.0</v>
      </c>
      <c r="W241" s="32">
        <v>1.0</v>
      </c>
      <c r="X241" s="32">
        <v>1.0</v>
      </c>
      <c r="Y241" s="32">
        <v>1.0</v>
      </c>
      <c r="Z241" s="32">
        <v>1.0</v>
      </c>
      <c r="AA241" s="32">
        <v>6.0</v>
      </c>
      <c r="AB241" s="32">
        <v>0.0</v>
      </c>
      <c r="AC241" s="103" t="str">
        <f>IFERROR(__xludf.DUMMYFUNCTION("if($C241="""","""",if(join("" - "",{iferror(filter('Student Groupings'!$A:$A,'Student Groupings'!$B:$B=$C241,'Student Groupings'!$H:$H=""Can't be Together""),"""");iferror(filter('Student Groupings'!$A:$A,'Student Groupings'!$E:$E=$C241,'Student Groupings"&amp;"'!$H:$H=""Can't be Together""),"""")})="" - "","""",join("" - "",{iferror(filter('Student Groupings'!$A:$A,'Student Groupings'!$B:$B=$C241,'Student Groupings'!$H:$H=""Can't be Together""),"""");iferror(filter('Student Groupings'!$A:$A,'Student Groupings'!"&amp;"$E:$E=$C241,'Student Groupings'!$H:$H=""Can't be Together""),"""")})))"),"")</f>
        <v/>
      </c>
      <c r="AD241" s="103" t="str">
        <f>IFERROR(__xludf.DUMMYFUNCTION("if($C241="""","""",if(join("" - "",{iferror(filter('Student Groupings'!$A:$A,'Student Groupings'!$B:$B=$C241,'Student Groupings'!$H:$H=""Must be Together""),"""");iferror(filter('Student Groupings'!$A:$A,'Student Groupings'!$E:$E=$C241,'Student Groupings'"&amp;"!$H:$H=""Must be Together""),"""")})="" - "","""",join("" - "",{iferror(filter('Student Groupings'!$A:$A,'Student Groupings'!$B:$B=$C241,'Student Groupings'!$H:$H=""Must be Together""),"""");iferror(filter('Student Groupings'!$A:$A,'Student Groupings'!$E:"&amp;"$E=$C241,'Student Groupings'!$H:$H=""Must be Together""),"""")})))"),"")</f>
        <v/>
      </c>
      <c r="AE241" s="104"/>
      <c r="AF241" s="104"/>
      <c r="AG241" s="104"/>
      <c r="AH241" s="104"/>
    </row>
    <row r="242">
      <c r="A242" s="101">
        <v>7.0</v>
      </c>
      <c r="B242" s="101">
        <v>30093.0</v>
      </c>
      <c r="C242" s="102" t="s">
        <v>510</v>
      </c>
      <c r="D242" s="52" t="s">
        <v>179</v>
      </c>
      <c r="E242" s="52">
        <v>6.0</v>
      </c>
      <c r="F242" s="52" t="s">
        <v>164</v>
      </c>
      <c r="G242" s="52">
        <v>4.0</v>
      </c>
      <c r="H242" s="52" t="s">
        <v>188</v>
      </c>
      <c r="I242" s="52">
        <v>5.0</v>
      </c>
      <c r="J242" s="52" t="s">
        <v>195</v>
      </c>
      <c r="K242" s="52">
        <v>3.0</v>
      </c>
      <c r="L242" s="52" t="s">
        <v>200</v>
      </c>
      <c r="M242" s="52">
        <v>1.0</v>
      </c>
      <c r="N242" s="52" t="s">
        <v>154</v>
      </c>
      <c r="O242" s="52" t="s">
        <v>119</v>
      </c>
      <c r="P242" s="52" t="s">
        <v>140</v>
      </c>
      <c r="Q242" s="52" t="s">
        <v>125</v>
      </c>
      <c r="R242" s="52" t="s">
        <v>140</v>
      </c>
      <c r="S242" s="52" t="s">
        <v>125</v>
      </c>
      <c r="T242" s="65" t="s">
        <v>30</v>
      </c>
      <c r="U242" s="32">
        <v>1.0</v>
      </c>
      <c r="V242" s="32">
        <v>1.0</v>
      </c>
      <c r="W242" s="32">
        <v>1.0</v>
      </c>
      <c r="X242" s="32">
        <v>1.0</v>
      </c>
      <c r="Y242" s="32">
        <v>1.0</v>
      </c>
      <c r="Z242" s="32">
        <v>1.0</v>
      </c>
      <c r="AA242" s="32">
        <v>6.0</v>
      </c>
      <c r="AB242" s="32">
        <v>0.0</v>
      </c>
      <c r="AC242" s="103" t="str">
        <f>IFERROR(__xludf.DUMMYFUNCTION("if($C242="""","""",if(join("" - "",{iferror(filter('Student Groupings'!$A:$A,'Student Groupings'!$B:$B=$C242,'Student Groupings'!$H:$H=""Can't be Together""),"""");iferror(filter('Student Groupings'!$A:$A,'Student Groupings'!$E:$E=$C242,'Student Groupings"&amp;"'!$H:$H=""Can't be Together""),"""")})="" - "","""",join("" - "",{iferror(filter('Student Groupings'!$A:$A,'Student Groupings'!$B:$B=$C242,'Student Groupings'!$H:$H=""Can't be Together""),"""");iferror(filter('Student Groupings'!$A:$A,'Student Groupings'!"&amp;"$E:$E=$C242,'Student Groupings'!$H:$H=""Can't be Together""),"""")})))"),"")</f>
        <v/>
      </c>
      <c r="AD242" s="103" t="str">
        <f>IFERROR(__xludf.DUMMYFUNCTION("if($C242="""","""",if(join("" - "",{iferror(filter('Student Groupings'!$A:$A,'Student Groupings'!$B:$B=$C242,'Student Groupings'!$H:$H=""Must be Together""),"""");iferror(filter('Student Groupings'!$A:$A,'Student Groupings'!$E:$E=$C242,'Student Groupings'"&amp;"!$H:$H=""Must be Together""),"""")})="" - "","""",join("" - "",{iferror(filter('Student Groupings'!$A:$A,'Student Groupings'!$B:$B=$C242,'Student Groupings'!$H:$H=""Must be Together""),"""");iferror(filter('Student Groupings'!$A:$A,'Student Groupings'!$E:"&amp;"$E=$C242,'Student Groupings'!$H:$H=""Must be Together""),"""")})))"),"")</f>
        <v/>
      </c>
      <c r="AE242" s="104"/>
      <c r="AF242" s="104"/>
      <c r="AG242" s="104"/>
      <c r="AH242" s="104"/>
    </row>
    <row r="243">
      <c r="A243" s="109">
        <v>7.0</v>
      </c>
      <c r="B243" s="109">
        <v>30173.0</v>
      </c>
      <c r="C243" s="110" t="s">
        <v>511</v>
      </c>
      <c r="D243" s="111" t="s">
        <v>175</v>
      </c>
      <c r="E243" s="111">
        <v>5.0</v>
      </c>
      <c r="F243" s="111" t="s">
        <v>163</v>
      </c>
      <c r="G243" s="111">
        <v>3.0</v>
      </c>
      <c r="H243" s="111" t="s">
        <v>184</v>
      </c>
      <c r="I243" s="111">
        <v>6.0</v>
      </c>
      <c r="J243" s="111" t="s">
        <v>195</v>
      </c>
      <c r="K243" s="111">
        <v>2.0</v>
      </c>
      <c r="L243" s="111" t="s">
        <v>203</v>
      </c>
      <c r="M243" s="111">
        <v>4.0</v>
      </c>
      <c r="N243" s="111" t="s">
        <v>150</v>
      </c>
      <c r="O243" s="111" t="s">
        <v>129</v>
      </c>
      <c r="P243" s="111" t="s">
        <v>133</v>
      </c>
      <c r="Q243" s="111" t="s">
        <v>108</v>
      </c>
      <c r="R243" s="111" t="s">
        <v>116</v>
      </c>
      <c r="S243" s="111" t="s">
        <v>108</v>
      </c>
      <c r="T243" s="112" t="s">
        <v>8</v>
      </c>
      <c r="U243" s="113">
        <v>1.0</v>
      </c>
      <c r="V243" s="113">
        <v>1.0</v>
      </c>
      <c r="W243" s="113">
        <v>1.0</v>
      </c>
      <c r="X243" s="113">
        <v>1.0</v>
      </c>
      <c r="Y243" s="113">
        <v>1.0</v>
      </c>
      <c r="Z243" s="113">
        <v>1.0</v>
      </c>
      <c r="AA243" s="113">
        <v>6.0</v>
      </c>
      <c r="AB243" s="113">
        <v>0.0</v>
      </c>
      <c r="AC243" s="114" t="str">
        <f>IFERROR(__xludf.DUMMYFUNCTION("if($C243="""","""",if(join("" - "",{iferror(filter('Student Groupings'!$A:$A,'Student Groupings'!$B:$B=$C243,'Student Groupings'!$H:$H=""Can't be Together""),"""");iferror(filter('Student Groupings'!$A:$A,'Student Groupings'!$E:$E=$C243,'Student Groupings"&amp;"'!$H:$H=""Can't be Together""),"""")})="" - "","""",join("" - "",{iferror(filter('Student Groupings'!$A:$A,'Student Groupings'!$B:$B=$C243,'Student Groupings'!$H:$H=""Can't be Together""),"""");iferror(filter('Student Groupings'!$A:$A,'Student Groupings'!"&amp;"$E:$E=$C243,'Student Groupings'!$H:$H=""Can't be Together""),"""")})))"),"")</f>
        <v/>
      </c>
      <c r="AD243" s="114" t="str">
        <f>IFERROR(__xludf.DUMMYFUNCTION("if($C243="""","""",if(join("" - "",{iferror(filter('Student Groupings'!$A:$A,'Student Groupings'!$B:$B=$C243,'Student Groupings'!$H:$H=""Must be Together""),"""");iferror(filter('Student Groupings'!$A:$A,'Student Groupings'!$E:$E=$C243,'Student Groupings'"&amp;"!$H:$H=""Must be Together""),"""")})="" - "","""",join("" - "",{iferror(filter('Student Groupings'!$A:$A,'Student Groupings'!$B:$B=$C243,'Student Groupings'!$H:$H=""Must be Together""),"""");iferror(filter('Student Groupings'!$A:$A,'Student Groupings'!$E:"&amp;"$E=$C243,'Student Groupings'!$H:$H=""Must be Together""),"""")})))"),"")</f>
        <v/>
      </c>
      <c r="AE243" s="115"/>
      <c r="AF243" s="115"/>
      <c r="AG243" s="115"/>
      <c r="AH243" s="115"/>
    </row>
    <row r="244">
      <c r="A244" s="101">
        <v>7.0</v>
      </c>
      <c r="B244" s="101">
        <v>30094.0</v>
      </c>
      <c r="C244" s="102" t="s">
        <v>512</v>
      </c>
      <c r="D244" s="52" t="s">
        <v>175</v>
      </c>
      <c r="E244" s="52">
        <v>6.0</v>
      </c>
      <c r="F244" s="52" t="s">
        <v>163</v>
      </c>
      <c r="G244" s="52">
        <v>5.0</v>
      </c>
      <c r="H244" s="52" t="s">
        <v>184</v>
      </c>
      <c r="I244" s="52">
        <v>2.0</v>
      </c>
      <c r="J244" s="52" t="s">
        <v>195</v>
      </c>
      <c r="K244" s="52">
        <v>1.0</v>
      </c>
      <c r="L244" s="52" t="s">
        <v>200</v>
      </c>
      <c r="M244" s="52">
        <v>3.0</v>
      </c>
      <c r="N244" s="52" t="s">
        <v>150</v>
      </c>
      <c r="O244" s="52" t="s">
        <v>111</v>
      </c>
      <c r="P244" s="52" t="s">
        <v>140</v>
      </c>
      <c r="Q244" s="52" t="s">
        <v>130</v>
      </c>
      <c r="R244" s="52" t="s">
        <v>140</v>
      </c>
      <c r="S244" s="52" t="s">
        <v>130</v>
      </c>
      <c r="T244" s="65" t="s">
        <v>30</v>
      </c>
      <c r="U244" s="32">
        <v>1.0</v>
      </c>
      <c r="V244" s="32">
        <v>1.0</v>
      </c>
      <c r="W244" s="32">
        <v>1.0</v>
      </c>
      <c r="X244" s="32">
        <v>1.0</v>
      </c>
      <c r="Y244" s="32">
        <v>1.0</v>
      </c>
      <c r="Z244" s="32">
        <v>1.0</v>
      </c>
      <c r="AA244" s="32">
        <v>6.0</v>
      </c>
      <c r="AB244" s="32">
        <v>0.0</v>
      </c>
      <c r="AC244" s="103" t="str">
        <f>IFERROR(__xludf.DUMMYFUNCTION("if($C244="""","""",if(join("" - "",{iferror(filter('Student Groupings'!$A:$A,'Student Groupings'!$B:$B=$C244,'Student Groupings'!$H:$H=""Can't be Together""),"""");iferror(filter('Student Groupings'!$A:$A,'Student Groupings'!$E:$E=$C244,'Student Groupings"&amp;"'!$H:$H=""Can't be Together""),"""")})="" - "","""",join("" - "",{iferror(filter('Student Groupings'!$A:$A,'Student Groupings'!$B:$B=$C244,'Student Groupings'!$H:$H=""Can't be Together""),"""");iferror(filter('Student Groupings'!$A:$A,'Student Groupings'!"&amp;"$E:$E=$C244,'Student Groupings'!$H:$H=""Can't be Together""),"""")})))"),"")</f>
        <v/>
      </c>
      <c r="AD244" s="103" t="str">
        <f>IFERROR(__xludf.DUMMYFUNCTION("if($C244="""","""",if(join("" - "",{iferror(filter('Student Groupings'!$A:$A,'Student Groupings'!$B:$B=$C244,'Student Groupings'!$H:$H=""Must be Together""),"""");iferror(filter('Student Groupings'!$A:$A,'Student Groupings'!$E:$E=$C244,'Student Groupings'"&amp;"!$H:$H=""Must be Together""),"""")})="" - "","""",join("" - "",{iferror(filter('Student Groupings'!$A:$A,'Student Groupings'!$B:$B=$C244,'Student Groupings'!$H:$H=""Must be Together""),"""");iferror(filter('Student Groupings'!$A:$A,'Student Groupings'!$E:"&amp;"$E=$C244,'Student Groupings'!$H:$H=""Must be Together""),"""")})))"),"")</f>
        <v/>
      </c>
      <c r="AE244" s="104"/>
      <c r="AF244" s="104"/>
      <c r="AG244" s="104"/>
      <c r="AH244" s="104"/>
    </row>
    <row r="245">
      <c r="A245" s="101">
        <v>7.0</v>
      </c>
      <c r="B245" s="101">
        <v>30095.0</v>
      </c>
      <c r="C245" s="102" t="s">
        <v>513</v>
      </c>
      <c r="D245" s="52" t="s">
        <v>175</v>
      </c>
      <c r="E245" s="52">
        <v>4.0</v>
      </c>
      <c r="F245" s="52" t="s">
        <v>164</v>
      </c>
      <c r="G245" s="52">
        <v>3.0</v>
      </c>
      <c r="H245" s="52" t="s">
        <v>184</v>
      </c>
      <c r="I245" s="52">
        <v>1.0</v>
      </c>
      <c r="J245" s="52" t="s">
        <v>193</v>
      </c>
      <c r="K245" s="52">
        <v>5.0</v>
      </c>
      <c r="L245" s="52" t="s">
        <v>200</v>
      </c>
      <c r="M245" s="52">
        <v>2.0</v>
      </c>
      <c r="N245" s="52" t="s">
        <v>150</v>
      </c>
      <c r="O245" s="52" t="s">
        <v>109</v>
      </c>
      <c r="P245" s="52" t="s">
        <v>116</v>
      </c>
      <c r="Q245" s="52" t="s">
        <v>120</v>
      </c>
      <c r="R245" s="52" t="s">
        <v>133</v>
      </c>
      <c r="S245" s="52" t="s">
        <v>120</v>
      </c>
      <c r="T245" s="65" t="s">
        <v>27</v>
      </c>
      <c r="U245" s="32">
        <v>1.0</v>
      </c>
      <c r="V245" s="32">
        <v>1.0</v>
      </c>
      <c r="W245" s="32">
        <v>1.0</v>
      </c>
      <c r="X245" s="32">
        <v>1.0</v>
      </c>
      <c r="Y245" s="32">
        <v>1.0</v>
      </c>
      <c r="Z245" s="32">
        <v>1.0</v>
      </c>
      <c r="AA245" s="32">
        <v>6.0</v>
      </c>
      <c r="AB245" s="32">
        <v>0.0</v>
      </c>
      <c r="AC245" s="103" t="str">
        <f>IFERROR(__xludf.DUMMYFUNCTION("if($C245="""","""",if(join("" - "",{iferror(filter('Student Groupings'!$A:$A,'Student Groupings'!$B:$B=$C245,'Student Groupings'!$H:$H=""Can't be Together""),"""");iferror(filter('Student Groupings'!$A:$A,'Student Groupings'!$E:$E=$C245,'Student Groupings"&amp;"'!$H:$H=""Can't be Together""),"""")})="" - "","""",join("" - "",{iferror(filter('Student Groupings'!$A:$A,'Student Groupings'!$B:$B=$C245,'Student Groupings'!$H:$H=""Can't be Together""),"""");iferror(filter('Student Groupings'!$A:$A,'Student Groupings'!"&amp;"$E:$E=$C245,'Student Groupings'!$H:$H=""Can't be Together""),"""")})))"),"")</f>
        <v/>
      </c>
      <c r="AD245" s="103" t="str">
        <f>IFERROR(__xludf.DUMMYFUNCTION("if($C245="""","""",if(join("" - "",{iferror(filter('Student Groupings'!$A:$A,'Student Groupings'!$B:$B=$C245,'Student Groupings'!$H:$H=""Must be Together""),"""");iferror(filter('Student Groupings'!$A:$A,'Student Groupings'!$E:$E=$C245,'Student Groupings'"&amp;"!$H:$H=""Must be Together""),"""")})="" - "","""",join("" - "",{iferror(filter('Student Groupings'!$A:$A,'Student Groupings'!$B:$B=$C245,'Student Groupings'!$H:$H=""Must be Together""),"""");iferror(filter('Student Groupings'!$A:$A,'Student Groupings'!$E:"&amp;"$E=$C245,'Student Groupings'!$H:$H=""Must be Together""),"""")})))"),"")</f>
        <v/>
      </c>
      <c r="AE245" s="104"/>
      <c r="AF245" s="104"/>
      <c r="AG245" s="104"/>
      <c r="AH245" s="104"/>
    </row>
    <row r="246">
      <c r="A246" s="101">
        <v>7.0</v>
      </c>
      <c r="B246" s="101">
        <v>29090.0</v>
      </c>
      <c r="C246" s="102" t="s">
        <v>514</v>
      </c>
      <c r="D246" s="52" t="s">
        <v>175</v>
      </c>
      <c r="E246" s="52">
        <v>3.0</v>
      </c>
      <c r="F246" s="52" t="s">
        <v>163</v>
      </c>
      <c r="G246" s="52">
        <v>4.0</v>
      </c>
      <c r="H246" s="52" t="s">
        <v>184</v>
      </c>
      <c r="I246" s="52">
        <v>5.0</v>
      </c>
      <c r="J246" s="52" t="s">
        <v>193</v>
      </c>
      <c r="K246" s="52">
        <v>1.0</v>
      </c>
      <c r="L246" s="52" t="s">
        <v>200</v>
      </c>
      <c r="M246" s="52">
        <v>6.0</v>
      </c>
      <c r="N246" s="52" t="s">
        <v>150</v>
      </c>
      <c r="O246" s="52" t="s">
        <v>119</v>
      </c>
      <c r="P246" s="52" t="s">
        <v>116</v>
      </c>
      <c r="Q246" s="52" t="s">
        <v>125</v>
      </c>
      <c r="R246" s="52" t="s">
        <v>133</v>
      </c>
      <c r="S246" s="52" t="s">
        <v>125</v>
      </c>
      <c r="T246" s="65" t="s">
        <v>27</v>
      </c>
      <c r="U246" s="32">
        <v>1.0</v>
      </c>
      <c r="V246" s="32">
        <v>1.0</v>
      </c>
      <c r="W246" s="32">
        <v>1.0</v>
      </c>
      <c r="X246" s="32">
        <v>1.0</v>
      </c>
      <c r="Y246" s="32">
        <v>1.0</v>
      </c>
      <c r="Z246" s="32">
        <v>1.0</v>
      </c>
      <c r="AA246" s="32">
        <v>6.0</v>
      </c>
      <c r="AB246" s="32">
        <v>0.0</v>
      </c>
      <c r="AC246" s="103" t="str">
        <f>IFERROR(__xludf.DUMMYFUNCTION("if($C246="""","""",if(join("" - "",{iferror(filter('Student Groupings'!$A:$A,'Student Groupings'!$B:$B=$C246,'Student Groupings'!$H:$H=""Can't be Together""),"""");iferror(filter('Student Groupings'!$A:$A,'Student Groupings'!$E:$E=$C246,'Student Groupings"&amp;"'!$H:$H=""Can't be Together""),"""")})="" - "","""",join("" - "",{iferror(filter('Student Groupings'!$A:$A,'Student Groupings'!$B:$B=$C246,'Student Groupings'!$H:$H=""Can't be Together""),"""");iferror(filter('Student Groupings'!$A:$A,'Student Groupings'!"&amp;"$E:$E=$C246,'Student Groupings'!$H:$H=""Can't be Together""),"""")})))"),"")</f>
        <v/>
      </c>
      <c r="AD246" s="103" t="str">
        <f>IFERROR(__xludf.DUMMYFUNCTION("if($C246="""","""",if(join("" - "",{iferror(filter('Student Groupings'!$A:$A,'Student Groupings'!$B:$B=$C246,'Student Groupings'!$H:$H=""Must be Together""),"""");iferror(filter('Student Groupings'!$A:$A,'Student Groupings'!$E:$E=$C246,'Student Groupings'"&amp;"!$H:$H=""Must be Together""),"""")})="" - "","""",join("" - "",{iferror(filter('Student Groupings'!$A:$A,'Student Groupings'!$B:$B=$C246,'Student Groupings'!$H:$H=""Must be Together""),"""");iferror(filter('Student Groupings'!$A:$A,'Student Groupings'!$E:"&amp;"$E=$C246,'Student Groupings'!$H:$H=""Must be Together""),"""")})))"),"")</f>
        <v/>
      </c>
      <c r="AE246" s="105"/>
      <c r="AF246" s="105">
        <v>1.0</v>
      </c>
      <c r="AG246" s="105">
        <v>1.0</v>
      </c>
      <c r="AH246" s="105"/>
    </row>
    <row r="247">
      <c r="A247" s="101">
        <v>7.0</v>
      </c>
      <c r="B247" s="101">
        <v>30097.0</v>
      </c>
      <c r="C247" s="102" t="s">
        <v>515</v>
      </c>
      <c r="D247" s="52" t="s">
        <v>175</v>
      </c>
      <c r="E247" s="52">
        <v>5.0</v>
      </c>
      <c r="F247" s="52" t="s">
        <v>163</v>
      </c>
      <c r="G247" s="52">
        <v>3.0</v>
      </c>
      <c r="H247" s="52" t="s">
        <v>184</v>
      </c>
      <c r="I247" s="52">
        <v>6.0</v>
      </c>
      <c r="J247" s="52" t="s">
        <v>195</v>
      </c>
      <c r="K247" s="52">
        <v>2.0</v>
      </c>
      <c r="L247" s="52" t="s">
        <v>203</v>
      </c>
      <c r="M247" s="52">
        <v>4.0</v>
      </c>
      <c r="N247" s="52" t="s">
        <v>150</v>
      </c>
      <c r="O247" s="52" t="s">
        <v>129</v>
      </c>
      <c r="P247" s="52" t="s">
        <v>116</v>
      </c>
      <c r="Q247" s="52" t="s">
        <v>108</v>
      </c>
      <c r="R247" s="52" t="s">
        <v>133</v>
      </c>
      <c r="S247" s="52" t="s">
        <v>108</v>
      </c>
      <c r="T247" s="65" t="s">
        <v>27</v>
      </c>
      <c r="U247" s="32">
        <v>1.0</v>
      </c>
      <c r="V247" s="32">
        <v>1.0</v>
      </c>
      <c r="W247" s="32">
        <v>1.0</v>
      </c>
      <c r="X247" s="32">
        <v>1.0</v>
      </c>
      <c r="Y247" s="32">
        <v>1.0</v>
      </c>
      <c r="Z247" s="32">
        <v>1.0</v>
      </c>
      <c r="AA247" s="32">
        <v>6.0</v>
      </c>
      <c r="AB247" s="32">
        <v>0.0</v>
      </c>
      <c r="AC247" s="103" t="str">
        <f>IFERROR(__xludf.DUMMYFUNCTION("if($C247="""","""",if(join("" - "",{iferror(filter('Student Groupings'!$A:$A,'Student Groupings'!$B:$B=$C247,'Student Groupings'!$H:$H=""Can't be Together""),"""");iferror(filter('Student Groupings'!$A:$A,'Student Groupings'!$E:$E=$C247,'Student Groupings"&amp;"'!$H:$H=""Can't be Together""),"""")})="" - "","""",join("" - "",{iferror(filter('Student Groupings'!$A:$A,'Student Groupings'!$B:$B=$C247,'Student Groupings'!$H:$H=""Can't be Together""),"""");iferror(filter('Student Groupings'!$A:$A,'Student Groupings'!"&amp;"$E:$E=$C247,'Student Groupings'!$H:$H=""Can't be Together""),"""")})))"),"")</f>
        <v/>
      </c>
      <c r="AD247" s="103" t="str">
        <f>IFERROR(__xludf.DUMMYFUNCTION("if($C247="""","""",if(join("" - "",{iferror(filter('Student Groupings'!$A:$A,'Student Groupings'!$B:$B=$C247,'Student Groupings'!$H:$H=""Must be Together""),"""");iferror(filter('Student Groupings'!$A:$A,'Student Groupings'!$E:$E=$C247,'Student Groupings'"&amp;"!$H:$H=""Must be Together""),"""")})="" - "","""",join("" - "",{iferror(filter('Student Groupings'!$A:$A,'Student Groupings'!$B:$B=$C247,'Student Groupings'!$H:$H=""Must be Together""),"""");iferror(filter('Student Groupings'!$A:$A,'Student Groupings'!$E:"&amp;"$E=$C247,'Student Groupings'!$H:$H=""Must be Together""),"""")})))"),"")</f>
        <v/>
      </c>
      <c r="AE247" s="104"/>
      <c r="AF247" s="104"/>
      <c r="AG247" s="104"/>
      <c r="AH247" s="104"/>
    </row>
    <row r="248">
      <c r="A248" s="101">
        <v>7.0</v>
      </c>
      <c r="B248" s="101">
        <v>30147.0</v>
      </c>
      <c r="C248" s="102" t="s">
        <v>516</v>
      </c>
      <c r="D248" s="52" t="s">
        <v>175</v>
      </c>
      <c r="E248" s="52">
        <v>4.0</v>
      </c>
      <c r="F248" s="52" t="s">
        <v>164</v>
      </c>
      <c r="G248" s="52">
        <v>3.0</v>
      </c>
      <c r="H248" s="52" t="s">
        <v>184</v>
      </c>
      <c r="I248" s="52">
        <v>1.0</v>
      </c>
      <c r="J248" s="52" t="s">
        <v>193</v>
      </c>
      <c r="K248" s="52">
        <v>5.0</v>
      </c>
      <c r="L248" s="52" t="s">
        <v>200</v>
      </c>
      <c r="M248" s="52">
        <v>2.0</v>
      </c>
      <c r="N248" s="52" t="s">
        <v>150</v>
      </c>
      <c r="O248" s="52" t="s">
        <v>109</v>
      </c>
      <c r="P248" s="52" t="s">
        <v>116</v>
      </c>
      <c r="Q248" s="52" t="s">
        <v>120</v>
      </c>
      <c r="R248" s="52" t="s">
        <v>133</v>
      </c>
      <c r="S248" s="52" t="s">
        <v>120</v>
      </c>
      <c r="T248" s="65" t="s">
        <v>27</v>
      </c>
      <c r="U248" s="32">
        <v>1.0</v>
      </c>
      <c r="V248" s="32">
        <v>1.0</v>
      </c>
      <c r="W248" s="32">
        <v>1.0</v>
      </c>
      <c r="X248" s="32">
        <v>1.0</v>
      </c>
      <c r="Y248" s="32">
        <v>1.0</v>
      </c>
      <c r="Z248" s="32">
        <v>1.0</v>
      </c>
      <c r="AA248" s="32">
        <v>6.0</v>
      </c>
      <c r="AB248" s="32">
        <v>0.0</v>
      </c>
      <c r="AC248" s="103" t="str">
        <f>IFERROR(__xludf.DUMMYFUNCTION("if($C248="""","""",if(join("" - "",{iferror(filter('Student Groupings'!$A:$A,'Student Groupings'!$B:$B=$C248,'Student Groupings'!$H:$H=""Can't be Together""),"""");iferror(filter('Student Groupings'!$A:$A,'Student Groupings'!$E:$E=$C248,'Student Groupings"&amp;"'!$H:$H=""Can't be Together""),"""")})="" - "","""",join("" - "",{iferror(filter('Student Groupings'!$A:$A,'Student Groupings'!$B:$B=$C248,'Student Groupings'!$H:$H=""Can't be Together""),"""");iferror(filter('Student Groupings'!$A:$A,'Student Groupings'!"&amp;"$E:$E=$C248,'Student Groupings'!$H:$H=""Can't be Together""),"""")})))"),"")</f>
        <v/>
      </c>
      <c r="AD248" s="103" t="str">
        <f>IFERROR(__xludf.DUMMYFUNCTION("if($C248="""","""",if(join("" - "",{iferror(filter('Student Groupings'!$A:$A,'Student Groupings'!$B:$B=$C248,'Student Groupings'!$H:$H=""Must be Together""),"""");iferror(filter('Student Groupings'!$A:$A,'Student Groupings'!$E:$E=$C248,'Student Groupings'"&amp;"!$H:$H=""Must be Together""),"""")})="" - "","""",join("" - "",{iferror(filter('Student Groupings'!$A:$A,'Student Groupings'!$B:$B=$C248,'Student Groupings'!$H:$H=""Must be Together""),"""");iferror(filter('Student Groupings'!$A:$A,'Student Groupings'!$E:"&amp;"$E=$C248,'Student Groupings'!$H:$H=""Must be Together""),"""")})))"),"")</f>
        <v/>
      </c>
      <c r="AE248" s="104"/>
      <c r="AF248" s="104"/>
      <c r="AG248" s="104"/>
      <c r="AH248" s="104"/>
    </row>
    <row r="249">
      <c r="A249" s="101">
        <v>7.0</v>
      </c>
      <c r="B249" s="101">
        <v>30098.0</v>
      </c>
      <c r="C249" s="102" t="s">
        <v>517</v>
      </c>
      <c r="D249" s="52" t="s">
        <v>175</v>
      </c>
      <c r="E249" s="52">
        <v>2.0</v>
      </c>
      <c r="F249" s="52" t="s">
        <v>163</v>
      </c>
      <c r="G249" s="52">
        <v>6.0</v>
      </c>
      <c r="H249" s="52" t="s">
        <v>184</v>
      </c>
      <c r="I249" s="52">
        <v>3.0</v>
      </c>
      <c r="J249" s="52" t="s">
        <v>195</v>
      </c>
      <c r="K249" s="52">
        <v>5.0</v>
      </c>
      <c r="L249" s="52" t="s">
        <v>200</v>
      </c>
      <c r="M249" s="52">
        <v>4.0</v>
      </c>
      <c r="N249" s="52" t="s">
        <v>154</v>
      </c>
      <c r="O249" s="52" t="s">
        <v>129</v>
      </c>
      <c r="P249" s="52" t="s">
        <v>140</v>
      </c>
      <c r="Q249" s="52" t="s">
        <v>108</v>
      </c>
      <c r="R249" s="52" t="s">
        <v>140</v>
      </c>
      <c r="S249" s="52" t="s">
        <v>108</v>
      </c>
      <c r="T249" s="65" t="s">
        <v>30</v>
      </c>
      <c r="U249" s="32">
        <v>1.0</v>
      </c>
      <c r="V249" s="32">
        <v>1.0</v>
      </c>
      <c r="W249" s="32">
        <v>1.0</v>
      </c>
      <c r="X249" s="32">
        <v>1.0</v>
      </c>
      <c r="Y249" s="32">
        <v>1.0</v>
      </c>
      <c r="Z249" s="32">
        <v>1.0</v>
      </c>
      <c r="AA249" s="32">
        <v>6.0</v>
      </c>
      <c r="AB249" s="32">
        <v>0.0</v>
      </c>
      <c r="AC249" s="103" t="str">
        <f>IFERROR(__xludf.DUMMYFUNCTION("if($C249="""","""",if(join("" - "",{iferror(filter('Student Groupings'!$A:$A,'Student Groupings'!$B:$B=$C249,'Student Groupings'!$H:$H=""Can't be Together""),"""");iferror(filter('Student Groupings'!$A:$A,'Student Groupings'!$E:$E=$C249,'Student Groupings"&amp;"'!$H:$H=""Can't be Together""),"""")})="" - "","""",join("" - "",{iferror(filter('Student Groupings'!$A:$A,'Student Groupings'!$B:$B=$C249,'Student Groupings'!$H:$H=""Can't be Together""),"""");iferror(filter('Student Groupings'!$A:$A,'Student Groupings'!"&amp;"$E:$E=$C249,'Student Groupings'!$H:$H=""Can't be Together""),"""")})))"),"")</f>
        <v/>
      </c>
      <c r="AD249" s="103" t="str">
        <f>IFERROR(__xludf.DUMMYFUNCTION("if($C249="""","""",if(join("" - "",{iferror(filter('Student Groupings'!$A:$A,'Student Groupings'!$B:$B=$C249,'Student Groupings'!$H:$H=""Must be Together""),"""");iferror(filter('Student Groupings'!$A:$A,'Student Groupings'!$E:$E=$C249,'Student Groupings'"&amp;"!$H:$H=""Must be Together""),"""")})="" - "","""",join("" - "",{iferror(filter('Student Groupings'!$A:$A,'Student Groupings'!$B:$B=$C249,'Student Groupings'!$H:$H=""Must be Together""),"""");iferror(filter('Student Groupings'!$A:$A,'Student Groupings'!$E:"&amp;"$E=$C249,'Student Groupings'!$H:$H=""Must be Together""),"""")})))"),"")</f>
        <v/>
      </c>
      <c r="AE249" s="104"/>
      <c r="AF249" s="104"/>
      <c r="AG249" s="104"/>
      <c r="AH249" s="104"/>
    </row>
    <row r="250">
      <c r="A250" s="101">
        <v>7.0</v>
      </c>
      <c r="B250" s="101">
        <v>30100.0</v>
      </c>
      <c r="C250" s="102" t="s">
        <v>518</v>
      </c>
      <c r="D250" s="52" t="s">
        <v>179</v>
      </c>
      <c r="E250" s="52">
        <v>6.0</v>
      </c>
      <c r="F250" s="52" t="s">
        <v>164</v>
      </c>
      <c r="G250" s="52">
        <v>4.0</v>
      </c>
      <c r="H250" s="52" t="s">
        <v>188</v>
      </c>
      <c r="I250" s="52">
        <v>5.0</v>
      </c>
      <c r="J250" s="52" t="s">
        <v>195</v>
      </c>
      <c r="K250" s="52">
        <v>3.0</v>
      </c>
      <c r="L250" s="52" t="s">
        <v>200</v>
      </c>
      <c r="M250" s="52">
        <v>1.0</v>
      </c>
      <c r="N250" s="52" t="s">
        <v>154</v>
      </c>
      <c r="O250" s="52" t="s">
        <v>119</v>
      </c>
      <c r="P250" s="52" t="s">
        <v>140</v>
      </c>
      <c r="Q250" s="52" t="s">
        <v>125</v>
      </c>
      <c r="R250" s="52" t="s">
        <v>140</v>
      </c>
      <c r="S250" s="52" t="s">
        <v>125</v>
      </c>
      <c r="T250" s="65" t="s">
        <v>30</v>
      </c>
      <c r="U250" s="32">
        <v>1.0</v>
      </c>
      <c r="V250" s="32">
        <v>1.0</v>
      </c>
      <c r="W250" s="32">
        <v>1.0</v>
      </c>
      <c r="X250" s="32">
        <v>1.0</v>
      </c>
      <c r="Y250" s="32">
        <v>1.0</v>
      </c>
      <c r="Z250" s="32">
        <v>1.0</v>
      </c>
      <c r="AA250" s="32">
        <v>6.0</v>
      </c>
      <c r="AB250" s="32">
        <v>0.0</v>
      </c>
      <c r="AC250" s="103" t="str">
        <f>IFERROR(__xludf.DUMMYFUNCTION("if($C250="""","""",if(join("" - "",{iferror(filter('Student Groupings'!$A:$A,'Student Groupings'!$B:$B=$C250,'Student Groupings'!$H:$H=""Can't be Together""),"""");iferror(filter('Student Groupings'!$A:$A,'Student Groupings'!$E:$E=$C250,'Student Groupings"&amp;"'!$H:$H=""Can't be Together""),"""")})="" - "","""",join("" - "",{iferror(filter('Student Groupings'!$A:$A,'Student Groupings'!$B:$B=$C250,'Student Groupings'!$H:$H=""Can't be Together""),"""");iferror(filter('Student Groupings'!$A:$A,'Student Groupings'!"&amp;"$E:$E=$C250,'Student Groupings'!$H:$H=""Can't be Together""),"""")})))"),"")</f>
        <v/>
      </c>
      <c r="AD250" s="103" t="str">
        <f>IFERROR(__xludf.DUMMYFUNCTION("if($C250="""","""",if(join("" - "",{iferror(filter('Student Groupings'!$A:$A,'Student Groupings'!$B:$B=$C250,'Student Groupings'!$H:$H=""Must be Together""),"""");iferror(filter('Student Groupings'!$A:$A,'Student Groupings'!$E:$E=$C250,'Student Groupings'"&amp;"!$H:$H=""Must be Together""),"""")})="" - "","""",join("" - "",{iferror(filter('Student Groupings'!$A:$A,'Student Groupings'!$B:$B=$C250,'Student Groupings'!$H:$H=""Must be Together""),"""");iferror(filter('Student Groupings'!$A:$A,'Student Groupings'!$E:"&amp;"$E=$C250,'Student Groupings'!$H:$H=""Must be Together""),"""")})))"),"")</f>
        <v/>
      </c>
      <c r="AE250" s="104"/>
      <c r="AF250" s="104"/>
      <c r="AG250" s="104"/>
      <c r="AH250" s="104"/>
    </row>
    <row r="251">
      <c r="A251" s="101">
        <v>7.0</v>
      </c>
      <c r="B251" s="101">
        <v>30101.0</v>
      </c>
      <c r="C251" s="102" t="s">
        <v>519</v>
      </c>
      <c r="D251" s="52" t="s">
        <v>175</v>
      </c>
      <c r="E251" s="52">
        <v>3.0</v>
      </c>
      <c r="F251" s="52" t="s">
        <v>163</v>
      </c>
      <c r="G251" s="52">
        <v>5.0</v>
      </c>
      <c r="H251" s="52" t="s">
        <v>184</v>
      </c>
      <c r="I251" s="52">
        <v>2.0</v>
      </c>
      <c r="J251" s="52" t="s">
        <v>193</v>
      </c>
      <c r="K251" s="52">
        <v>1.0</v>
      </c>
      <c r="L251" s="52" t="s">
        <v>200</v>
      </c>
      <c r="M251" s="52">
        <v>6.0</v>
      </c>
      <c r="N251" s="52" t="s">
        <v>150</v>
      </c>
      <c r="O251" s="52" t="s">
        <v>111</v>
      </c>
      <c r="P251" s="52" t="s">
        <v>140</v>
      </c>
      <c r="Q251" s="52" t="s">
        <v>130</v>
      </c>
      <c r="R251" s="52" t="s">
        <v>140</v>
      </c>
      <c r="S251" s="52" t="s">
        <v>130</v>
      </c>
      <c r="T251" s="65" t="s">
        <v>30</v>
      </c>
      <c r="U251" s="32">
        <v>1.0</v>
      </c>
      <c r="V251" s="32">
        <v>1.0</v>
      </c>
      <c r="W251" s="32">
        <v>1.0</v>
      </c>
      <c r="X251" s="32">
        <v>1.0</v>
      </c>
      <c r="Y251" s="32">
        <v>1.0</v>
      </c>
      <c r="Z251" s="32">
        <v>1.0</v>
      </c>
      <c r="AA251" s="32">
        <v>6.0</v>
      </c>
      <c r="AB251" s="32">
        <v>0.0</v>
      </c>
      <c r="AC251" s="103" t="str">
        <f>IFERROR(__xludf.DUMMYFUNCTION("if($C251="""","""",if(join("" - "",{iferror(filter('Student Groupings'!$A:$A,'Student Groupings'!$B:$B=$C251,'Student Groupings'!$H:$H=""Can't be Together""),"""");iferror(filter('Student Groupings'!$A:$A,'Student Groupings'!$E:$E=$C251,'Student Groupings"&amp;"'!$H:$H=""Can't be Together""),"""")})="" - "","""",join("" - "",{iferror(filter('Student Groupings'!$A:$A,'Student Groupings'!$B:$B=$C251,'Student Groupings'!$H:$H=""Can't be Together""),"""");iferror(filter('Student Groupings'!$A:$A,'Student Groupings'!"&amp;"$E:$E=$C251,'Student Groupings'!$H:$H=""Can't be Together""),"""")})))"),"")</f>
        <v/>
      </c>
      <c r="AD251" s="103" t="str">
        <f>IFERROR(__xludf.DUMMYFUNCTION("if($C251="""","""",if(join("" - "",{iferror(filter('Student Groupings'!$A:$A,'Student Groupings'!$B:$B=$C251,'Student Groupings'!$H:$H=""Must be Together""),"""");iferror(filter('Student Groupings'!$A:$A,'Student Groupings'!$E:$E=$C251,'Student Groupings'"&amp;"!$H:$H=""Must be Together""),"""")})="" - "","""",join("" - "",{iferror(filter('Student Groupings'!$A:$A,'Student Groupings'!$B:$B=$C251,'Student Groupings'!$H:$H=""Must be Together""),"""");iferror(filter('Student Groupings'!$A:$A,'Student Groupings'!$E:"&amp;"$E=$C251,'Student Groupings'!$H:$H=""Must be Together""),"""")})))"),"")</f>
        <v/>
      </c>
      <c r="AE251" s="104"/>
      <c r="AF251" s="104"/>
      <c r="AG251" s="104"/>
      <c r="AH251" s="104"/>
    </row>
    <row r="252">
      <c r="A252" s="101">
        <v>7.0</v>
      </c>
      <c r="B252" s="101">
        <v>29102.0</v>
      </c>
      <c r="C252" s="102" t="s">
        <v>520</v>
      </c>
      <c r="D252" s="52" t="s">
        <v>175</v>
      </c>
      <c r="E252" s="52">
        <v>2.0</v>
      </c>
      <c r="F252" s="52" t="s">
        <v>163</v>
      </c>
      <c r="G252" s="52">
        <v>6.0</v>
      </c>
      <c r="H252" s="52" t="s">
        <v>184</v>
      </c>
      <c r="I252" s="52">
        <v>3.0</v>
      </c>
      <c r="J252" s="52" t="s">
        <v>195</v>
      </c>
      <c r="K252" s="52">
        <v>5.0</v>
      </c>
      <c r="L252" s="52" t="s">
        <v>200</v>
      </c>
      <c r="M252" s="52">
        <v>4.0</v>
      </c>
      <c r="N252" s="52" t="s">
        <v>154</v>
      </c>
      <c r="O252" s="52" t="s">
        <v>129</v>
      </c>
      <c r="P252" s="52" t="s">
        <v>140</v>
      </c>
      <c r="Q252" s="52" t="s">
        <v>108</v>
      </c>
      <c r="R252" s="52" t="s">
        <v>140</v>
      </c>
      <c r="S252" s="52" t="s">
        <v>108</v>
      </c>
      <c r="T252" s="65" t="s">
        <v>30</v>
      </c>
      <c r="U252" s="32">
        <v>1.0</v>
      </c>
      <c r="V252" s="32">
        <v>1.0</v>
      </c>
      <c r="W252" s="32">
        <v>1.0</v>
      </c>
      <c r="X252" s="32">
        <v>1.0</v>
      </c>
      <c r="Y252" s="32">
        <v>1.0</v>
      </c>
      <c r="Z252" s="32">
        <v>1.0</v>
      </c>
      <c r="AA252" s="32">
        <v>6.0</v>
      </c>
      <c r="AB252" s="32">
        <v>0.0</v>
      </c>
      <c r="AC252" s="103" t="str">
        <f>IFERROR(__xludf.DUMMYFUNCTION("if($C252="""","""",if(join("" - "",{iferror(filter('Student Groupings'!$A:$A,'Student Groupings'!$B:$B=$C252,'Student Groupings'!$H:$H=""Can't be Together""),"""");iferror(filter('Student Groupings'!$A:$A,'Student Groupings'!$E:$E=$C252,'Student Groupings"&amp;"'!$H:$H=""Can't be Together""),"""")})="" - "","""",join("" - "",{iferror(filter('Student Groupings'!$A:$A,'Student Groupings'!$B:$B=$C252,'Student Groupings'!$H:$H=""Can't be Together""),"""");iferror(filter('Student Groupings'!$A:$A,'Student Groupings'!"&amp;"$E:$E=$C252,'Student Groupings'!$H:$H=""Can't be Together""),"""")})))"),"")</f>
        <v/>
      </c>
      <c r="AD252" s="103" t="str">
        <f>IFERROR(__xludf.DUMMYFUNCTION("if($C252="""","""",if(join("" - "",{iferror(filter('Student Groupings'!$A:$A,'Student Groupings'!$B:$B=$C252,'Student Groupings'!$H:$H=""Must be Together""),"""");iferror(filter('Student Groupings'!$A:$A,'Student Groupings'!$E:$E=$C252,'Student Groupings'"&amp;"!$H:$H=""Must be Together""),"""")})="" - "","""",join("" - "",{iferror(filter('Student Groupings'!$A:$A,'Student Groupings'!$B:$B=$C252,'Student Groupings'!$H:$H=""Must be Together""),"""");iferror(filter('Student Groupings'!$A:$A,'Student Groupings'!$E:"&amp;"$E=$C252,'Student Groupings'!$H:$H=""Must be Together""),"""")})))"),"")</f>
        <v/>
      </c>
      <c r="AE252" s="104"/>
      <c r="AF252" s="104"/>
      <c r="AG252" s="104"/>
      <c r="AH252" s="104"/>
    </row>
    <row r="253">
      <c r="A253" s="101">
        <v>7.0</v>
      </c>
      <c r="B253" s="101">
        <v>30102.0</v>
      </c>
      <c r="C253" s="102" t="s">
        <v>521</v>
      </c>
      <c r="D253" s="52" t="s">
        <v>175</v>
      </c>
      <c r="E253" s="52">
        <v>6.0</v>
      </c>
      <c r="F253" s="52" t="s">
        <v>163</v>
      </c>
      <c r="G253" s="52">
        <v>5.0</v>
      </c>
      <c r="H253" s="52" t="s">
        <v>184</v>
      </c>
      <c r="I253" s="52">
        <v>2.0</v>
      </c>
      <c r="J253" s="52" t="s">
        <v>195</v>
      </c>
      <c r="K253" s="52">
        <v>1.0</v>
      </c>
      <c r="L253" s="52" t="s">
        <v>200</v>
      </c>
      <c r="M253" s="52">
        <v>3.0</v>
      </c>
      <c r="N253" s="52" t="s">
        <v>150</v>
      </c>
      <c r="O253" s="52" t="s">
        <v>111</v>
      </c>
      <c r="P253" s="52" t="s">
        <v>140</v>
      </c>
      <c r="Q253" s="52" t="s">
        <v>130</v>
      </c>
      <c r="R253" s="52" t="s">
        <v>140</v>
      </c>
      <c r="S253" s="52" t="s">
        <v>130</v>
      </c>
      <c r="T253" s="65" t="s">
        <v>30</v>
      </c>
      <c r="U253" s="32">
        <v>1.0</v>
      </c>
      <c r="V253" s="32">
        <v>1.0</v>
      </c>
      <c r="W253" s="32">
        <v>1.0</v>
      </c>
      <c r="X253" s="32">
        <v>1.0</v>
      </c>
      <c r="Y253" s="32">
        <v>1.0</v>
      </c>
      <c r="Z253" s="32">
        <v>1.0</v>
      </c>
      <c r="AA253" s="32">
        <v>6.0</v>
      </c>
      <c r="AB253" s="32">
        <v>0.0</v>
      </c>
      <c r="AC253" s="103" t="str">
        <f>IFERROR(__xludf.DUMMYFUNCTION("if($C253="""","""",if(join("" - "",{iferror(filter('Student Groupings'!$A:$A,'Student Groupings'!$B:$B=$C253,'Student Groupings'!$H:$H=""Can't be Together""),"""");iferror(filter('Student Groupings'!$A:$A,'Student Groupings'!$E:$E=$C253,'Student Groupings"&amp;"'!$H:$H=""Can't be Together""),"""")})="" - "","""",join("" - "",{iferror(filter('Student Groupings'!$A:$A,'Student Groupings'!$B:$B=$C253,'Student Groupings'!$H:$H=""Can't be Together""),"""");iferror(filter('Student Groupings'!$A:$A,'Student Groupings'!"&amp;"$E:$E=$C253,'Student Groupings'!$H:$H=""Can't be Together""),"""")})))"),"")</f>
        <v/>
      </c>
      <c r="AD253" s="103" t="str">
        <f>IFERROR(__xludf.DUMMYFUNCTION("if($C253="""","""",if(join("" - "",{iferror(filter('Student Groupings'!$A:$A,'Student Groupings'!$B:$B=$C253,'Student Groupings'!$H:$H=""Must be Together""),"""");iferror(filter('Student Groupings'!$A:$A,'Student Groupings'!$E:$E=$C253,'Student Groupings'"&amp;"!$H:$H=""Must be Together""),"""")})="" - "","""",join("" - "",{iferror(filter('Student Groupings'!$A:$A,'Student Groupings'!$B:$B=$C253,'Student Groupings'!$H:$H=""Must be Together""),"""");iferror(filter('Student Groupings'!$A:$A,'Student Groupings'!$E:"&amp;"$E=$C253,'Student Groupings'!$H:$H=""Must be Together""),"""")})))"),"")</f>
        <v/>
      </c>
      <c r="AE253" s="104"/>
      <c r="AF253" s="104"/>
      <c r="AG253" s="104"/>
      <c r="AH253" s="104"/>
    </row>
    <row r="254">
      <c r="A254" s="101">
        <v>7.0</v>
      </c>
      <c r="B254" s="101">
        <v>30103.0</v>
      </c>
      <c r="C254" s="102" t="s">
        <v>522</v>
      </c>
      <c r="D254" s="52" t="s">
        <v>179</v>
      </c>
      <c r="E254" s="52">
        <v>6.0</v>
      </c>
      <c r="F254" s="52" t="s">
        <v>164</v>
      </c>
      <c r="G254" s="52">
        <v>4.0</v>
      </c>
      <c r="H254" s="52" t="s">
        <v>188</v>
      </c>
      <c r="I254" s="52">
        <v>5.0</v>
      </c>
      <c r="J254" s="52" t="s">
        <v>195</v>
      </c>
      <c r="K254" s="52">
        <v>3.0</v>
      </c>
      <c r="L254" s="52" t="s">
        <v>200</v>
      </c>
      <c r="M254" s="52">
        <v>1.0</v>
      </c>
      <c r="N254" s="52" t="s">
        <v>154</v>
      </c>
      <c r="O254" s="52" t="s">
        <v>119</v>
      </c>
      <c r="P254" s="52" t="s">
        <v>140</v>
      </c>
      <c r="Q254" s="52" t="s">
        <v>125</v>
      </c>
      <c r="R254" s="52" t="s">
        <v>140</v>
      </c>
      <c r="S254" s="52" t="s">
        <v>125</v>
      </c>
      <c r="T254" s="65" t="s">
        <v>30</v>
      </c>
      <c r="U254" s="32">
        <v>1.0</v>
      </c>
      <c r="V254" s="32">
        <v>1.0</v>
      </c>
      <c r="W254" s="32">
        <v>1.0</v>
      </c>
      <c r="X254" s="32">
        <v>1.0</v>
      </c>
      <c r="Y254" s="32">
        <v>1.0</v>
      </c>
      <c r="Z254" s="32">
        <v>1.0</v>
      </c>
      <c r="AA254" s="32">
        <v>6.0</v>
      </c>
      <c r="AB254" s="32">
        <v>0.0</v>
      </c>
      <c r="AC254" s="103" t="str">
        <f>IFERROR(__xludf.DUMMYFUNCTION("if($C254="""","""",if(join("" - "",{iferror(filter('Student Groupings'!$A:$A,'Student Groupings'!$B:$B=$C254,'Student Groupings'!$H:$H=""Can't be Together""),"""");iferror(filter('Student Groupings'!$A:$A,'Student Groupings'!$E:$E=$C254,'Student Groupings"&amp;"'!$H:$H=""Can't be Together""),"""")})="" - "","""",join("" - "",{iferror(filter('Student Groupings'!$A:$A,'Student Groupings'!$B:$B=$C254,'Student Groupings'!$H:$H=""Can't be Together""),"""");iferror(filter('Student Groupings'!$A:$A,'Student Groupings'!"&amp;"$E:$E=$C254,'Student Groupings'!$H:$H=""Can't be Together""),"""")})))"),"")</f>
        <v/>
      </c>
      <c r="AD254" s="103" t="str">
        <f>IFERROR(__xludf.DUMMYFUNCTION("if($C254="""","""",if(join("" - "",{iferror(filter('Student Groupings'!$A:$A,'Student Groupings'!$B:$B=$C254,'Student Groupings'!$H:$H=""Must be Together""),"""");iferror(filter('Student Groupings'!$A:$A,'Student Groupings'!$E:$E=$C254,'Student Groupings'"&amp;"!$H:$H=""Must be Together""),"""")})="" - "","""",join("" - "",{iferror(filter('Student Groupings'!$A:$A,'Student Groupings'!$B:$B=$C254,'Student Groupings'!$H:$H=""Must be Together""),"""");iferror(filter('Student Groupings'!$A:$A,'Student Groupings'!$E:"&amp;"$E=$C254,'Student Groupings'!$H:$H=""Must be Together""),"""")})))"),"")</f>
        <v/>
      </c>
      <c r="AE254" s="104"/>
      <c r="AF254" s="104"/>
      <c r="AG254" s="104"/>
      <c r="AH254" s="104"/>
    </row>
    <row r="255">
      <c r="A255" s="101">
        <v>7.0</v>
      </c>
      <c r="B255" s="101">
        <v>30104.0</v>
      </c>
      <c r="C255" s="102" t="s">
        <v>523</v>
      </c>
      <c r="D255" s="52" t="s">
        <v>175</v>
      </c>
      <c r="E255" s="52">
        <v>3.0</v>
      </c>
      <c r="F255" s="52" t="s">
        <v>163</v>
      </c>
      <c r="G255" s="52">
        <v>5.0</v>
      </c>
      <c r="H255" s="52" t="s">
        <v>184</v>
      </c>
      <c r="I255" s="52">
        <v>2.0</v>
      </c>
      <c r="J255" s="52" t="s">
        <v>193</v>
      </c>
      <c r="K255" s="52">
        <v>1.0</v>
      </c>
      <c r="L255" s="52" t="s">
        <v>200</v>
      </c>
      <c r="M255" s="52">
        <v>6.0</v>
      </c>
      <c r="N255" s="52" t="s">
        <v>150</v>
      </c>
      <c r="O255" s="52" t="s">
        <v>111</v>
      </c>
      <c r="P255" s="52" t="s">
        <v>140</v>
      </c>
      <c r="Q255" s="52" t="s">
        <v>130</v>
      </c>
      <c r="R255" s="52" t="s">
        <v>140</v>
      </c>
      <c r="S255" s="52" t="s">
        <v>130</v>
      </c>
      <c r="T255" s="65" t="s">
        <v>30</v>
      </c>
      <c r="U255" s="32">
        <v>1.0</v>
      </c>
      <c r="V255" s="32">
        <v>1.0</v>
      </c>
      <c r="W255" s="32">
        <v>1.0</v>
      </c>
      <c r="X255" s="32">
        <v>1.0</v>
      </c>
      <c r="Y255" s="32">
        <v>1.0</v>
      </c>
      <c r="Z255" s="32">
        <v>1.0</v>
      </c>
      <c r="AA255" s="32">
        <v>6.0</v>
      </c>
      <c r="AB255" s="32">
        <v>0.0</v>
      </c>
      <c r="AC255" s="103" t="str">
        <f>IFERROR(__xludf.DUMMYFUNCTION("if($C255="""","""",if(join("" - "",{iferror(filter('Student Groupings'!$A:$A,'Student Groupings'!$B:$B=$C255,'Student Groupings'!$H:$H=""Can't be Together""),"""");iferror(filter('Student Groupings'!$A:$A,'Student Groupings'!$E:$E=$C255,'Student Groupings"&amp;"'!$H:$H=""Can't be Together""),"""")})="" - "","""",join("" - "",{iferror(filter('Student Groupings'!$A:$A,'Student Groupings'!$B:$B=$C255,'Student Groupings'!$H:$H=""Can't be Together""),"""");iferror(filter('Student Groupings'!$A:$A,'Student Groupings'!"&amp;"$E:$E=$C255,'Student Groupings'!$H:$H=""Can't be Together""),"""")})))"),"")</f>
        <v/>
      </c>
      <c r="AD255" s="103" t="str">
        <f>IFERROR(__xludf.DUMMYFUNCTION("if($C255="""","""",if(join("" - "",{iferror(filter('Student Groupings'!$A:$A,'Student Groupings'!$B:$B=$C255,'Student Groupings'!$H:$H=""Must be Together""),"""");iferror(filter('Student Groupings'!$A:$A,'Student Groupings'!$E:$E=$C255,'Student Groupings'"&amp;"!$H:$H=""Must be Together""),"""")})="" - "","""",join("" - "",{iferror(filter('Student Groupings'!$A:$A,'Student Groupings'!$B:$B=$C255,'Student Groupings'!$H:$H=""Must be Together""),"""");iferror(filter('Student Groupings'!$A:$A,'Student Groupings'!$E:"&amp;"$E=$C255,'Student Groupings'!$H:$H=""Must be Together""),"""")})))"),"")</f>
        <v/>
      </c>
      <c r="AE255" s="104"/>
      <c r="AF255" s="104"/>
      <c r="AG255" s="104"/>
      <c r="AH255" s="104"/>
    </row>
    <row r="256">
      <c r="A256" s="101">
        <v>7.0</v>
      </c>
      <c r="B256" s="101">
        <v>30105.0</v>
      </c>
      <c r="C256" s="102" t="s">
        <v>524</v>
      </c>
      <c r="D256" s="52" t="s">
        <v>175</v>
      </c>
      <c r="E256" s="52">
        <v>6.0</v>
      </c>
      <c r="F256" s="52" t="s">
        <v>163</v>
      </c>
      <c r="G256" s="52">
        <v>5.0</v>
      </c>
      <c r="H256" s="52" t="s">
        <v>184</v>
      </c>
      <c r="I256" s="52">
        <v>2.0</v>
      </c>
      <c r="J256" s="52" t="s">
        <v>195</v>
      </c>
      <c r="K256" s="52">
        <v>1.0</v>
      </c>
      <c r="L256" s="52" t="s">
        <v>200</v>
      </c>
      <c r="M256" s="52">
        <v>3.0</v>
      </c>
      <c r="N256" s="52" t="s">
        <v>150</v>
      </c>
      <c r="O256" s="52" t="s">
        <v>111</v>
      </c>
      <c r="P256" s="52" t="s">
        <v>140</v>
      </c>
      <c r="Q256" s="52" t="s">
        <v>130</v>
      </c>
      <c r="R256" s="52" t="s">
        <v>140</v>
      </c>
      <c r="S256" s="52" t="s">
        <v>130</v>
      </c>
      <c r="T256" s="65" t="s">
        <v>30</v>
      </c>
      <c r="U256" s="32">
        <v>1.0</v>
      </c>
      <c r="V256" s="32">
        <v>1.0</v>
      </c>
      <c r="W256" s="32">
        <v>1.0</v>
      </c>
      <c r="X256" s="32">
        <v>1.0</v>
      </c>
      <c r="Y256" s="32">
        <v>1.0</v>
      </c>
      <c r="Z256" s="32">
        <v>1.0</v>
      </c>
      <c r="AA256" s="32">
        <v>6.0</v>
      </c>
      <c r="AB256" s="32">
        <v>0.0</v>
      </c>
      <c r="AC256" s="103" t="str">
        <f>IFERROR(__xludf.DUMMYFUNCTION("if($C256="""","""",if(join("" - "",{iferror(filter('Student Groupings'!$A:$A,'Student Groupings'!$B:$B=$C256,'Student Groupings'!$H:$H=""Can't be Together""),"""");iferror(filter('Student Groupings'!$A:$A,'Student Groupings'!$E:$E=$C256,'Student Groupings"&amp;"'!$H:$H=""Can't be Together""),"""")})="" - "","""",join("" - "",{iferror(filter('Student Groupings'!$A:$A,'Student Groupings'!$B:$B=$C256,'Student Groupings'!$H:$H=""Can't be Together""),"""");iferror(filter('Student Groupings'!$A:$A,'Student Groupings'!"&amp;"$E:$E=$C256,'Student Groupings'!$H:$H=""Can't be Together""),"""")})))"),"")</f>
        <v/>
      </c>
      <c r="AD256" s="103" t="str">
        <f>IFERROR(__xludf.DUMMYFUNCTION("if($C256="""","""",if(join("" - "",{iferror(filter('Student Groupings'!$A:$A,'Student Groupings'!$B:$B=$C256,'Student Groupings'!$H:$H=""Must be Together""),"""");iferror(filter('Student Groupings'!$A:$A,'Student Groupings'!$E:$E=$C256,'Student Groupings'"&amp;"!$H:$H=""Must be Together""),"""")})="" - "","""",join("" - "",{iferror(filter('Student Groupings'!$A:$A,'Student Groupings'!$B:$B=$C256,'Student Groupings'!$H:$H=""Must be Together""),"""");iferror(filter('Student Groupings'!$A:$A,'Student Groupings'!$E:"&amp;"$E=$C256,'Student Groupings'!$H:$H=""Must be Together""),"""")})))"),"")</f>
        <v/>
      </c>
      <c r="AE256" s="104"/>
      <c r="AF256" s="104"/>
      <c r="AG256" s="104"/>
      <c r="AH256" s="104"/>
    </row>
    <row r="257">
      <c r="A257" s="101">
        <v>7.0</v>
      </c>
      <c r="B257" s="101">
        <v>30106.0</v>
      </c>
      <c r="C257" s="102" t="s">
        <v>525</v>
      </c>
      <c r="D257" s="52" t="s">
        <v>175</v>
      </c>
      <c r="E257" s="52">
        <v>2.0</v>
      </c>
      <c r="F257" s="52" t="s">
        <v>163</v>
      </c>
      <c r="G257" s="52">
        <v>6.0</v>
      </c>
      <c r="H257" s="52" t="s">
        <v>184</v>
      </c>
      <c r="I257" s="52">
        <v>3.0</v>
      </c>
      <c r="J257" s="52" t="s">
        <v>195</v>
      </c>
      <c r="K257" s="52">
        <v>5.0</v>
      </c>
      <c r="L257" s="52" t="s">
        <v>200</v>
      </c>
      <c r="M257" s="52">
        <v>4.0</v>
      </c>
      <c r="N257" s="52" t="s">
        <v>154</v>
      </c>
      <c r="O257" s="52" t="s">
        <v>129</v>
      </c>
      <c r="P257" s="52" t="s">
        <v>140</v>
      </c>
      <c r="Q257" s="52" t="s">
        <v>108</v>
      </c>
      <c r="R257" s="52" t="s">
        <v>140</v>
      </c>
      <c r="S257" s="52" t="s">
        <v>108</v>
      </c>
      <c r="T257" s="65" t="s">
        <v>30</v>
      </c>
      <c r="U257" s="32">
        <v>1.0</v>
      </c>
      <c r="V257" s="32">
        <v>1.0</v>
      </c>
      <c r="W257" s="32">
        <v>1.0</v>
      </c>
      <c r="X257" s="32">
        <v>1.0</v>
      </c>
      <c r="Y257" s="32">
        <v>1.0</v>
      </c>
      <c r="Z257" s="32">
        <v>1.0</v>
      </c>
      <c r="AA257" s="32">
        <v>6.0</v>
      </c>
      <c r="AB257" s="32">
        <v>0.0</v>
      </c>
      <c r="AC257" s="103" t="str">
        <f>IFERROR(__xludf.DUMMYFUNCTION("if($C257="""","""",if(join("" - "",{iferror(filter('Student Groupings'!$A:$A,'Student Groupings'!$B:$B=$C257,'Student Groupings'!$H:$H=""Can't be Together""),"""");iferror(filter('Student Groupings'!$A:$A,'Student Groupings'!$E:$E=$C257,'Student Groupings"&amp;"'!$H:$H=""Can't be Together""),"""")})="" - "","""",join("" - "",{iferror(filter('Student Groupings'!$A:$A,'Student Groupings'!$B:$B=$C257,'Student Groupings'!$H:$H=""Can't be Together""),"""");iferror(filter('Student Groupings'!$A:$A,'Student Groupings'!"&amp;"$E:$E=$C257,'Student Groupings'!$H:$H=""Can't be Together""),"""")})))"),"")</f>
        <v/>
      </c>
      <c r="AD257" s="103" t="str">
        <f>IFERROR(__xludf.DUMMYFUNCTION("if($C257="""","""",if(join("" - "",{iferror(filter('Student Groupings'!$A:$A,'Student Groupings'!$B:$B=$C257,'Student Groupings'!$H:$H=""Must be Together""),"""");iferror(filter('Student Groupings'!$A:$A,'Student Groupings'!$E:$E=$C257,'Student Groupings'"&amp;"!$H:$H=""Must be Together""),"""")})="" - "","""",join("" - "",{iferror(filter('Student Groupings'!$A:$A,'Student Groupings'!$B:$B=$C257,'Student Groupings'!$H:$H=""Must be Together""),"""");iferror(filter('Student Groupings'!$A:$A,'Student Groupings'!$E:"&amp;"$E=$C257,'Student Groupings'!$H:$H=""Must be Together""),"""")})))"),"")</f>
        <v/>
      </c>
      <c r="AE257" s="104"/>
      <c r="AF257" s="104"/>
      <c r="AG257" s="104"/>
      <c r="AH257" s="104"/>
    </row>
    <row r="258">
      <c r="A258" s="101">
        <v>7.0</v>
      </c>
      <c r="B258" s="101">
        <v>30107.0</v>
      </c>
      <c r="C258" s="102" t="s">
        <v>526</v>
      </c>
      <c r="D258" s="52" t="s">
        <v>175</v>
      </c>
      <c r="E258" s="52">
        <v>5.0</v>
      </c>
      <c r="F258" s="52" t="s">
        <v>163</v>
      </c>
      <c r="G258" s="52">
        <v>3.0</v>
      </c>
      <c r="H258" s="52" t="s">
        <v>184</v>
      </c>
      <c r="I258" s="52">
        <v>6.0</v>
      </c>
      <c r="J258" s="52" t="s">
        <v>195</v>
      </c>
      <c r="K258" s="52">
        <v>2.0</v>
      </c>
      <c r="L258" s="52" t="s">
        <v>203</v>
      </c>
      <c r="M258" s="52">
        <v>4.0</v>
      </c>
      <c r="N258" s="52" t="s">
        <v>150</v>
      </c>
      <c r="O258" s="52" t="s">
        <v>129</v>
      </c>
      <c r="P258" s="52" t="s">
        <v>133</v>
      </c>
      <c r="Q258" s="52" t="s">
        <v>108</v>
      </c>
      <c r="R258" s="52" t="s">
        <v>116</v>
      </c>
      <c r="S258" s="52" t="s">
        <v>108</v>
      </c>
      <c r="T258" s="65" t="s">
        <v>27</v>
      </c>
      <c r="U258" s="32">
        <v>1.0</v>
      </c>
      <c r="V258" s="32">
        <v>1.0</v>
      </c>
      <c r="W258" s="32">
        <v>1.0</v>
      </c>
      <c r="X258" s="32">
        <v>1.0</v>
      </c>
      <c r="Y258" s="32">
        <v>1.0</v>
      </c>
      <c r="Z258" s="32">
        <v>1.0</v>
      </c>
      <c r="AA258" s="32">
        <v>6.0</v>
      </c>
      <c r="AB258" s="32">
        <v>0.0</v>
      </c>
      <c r="AC258" s="103" t="str">
        <f>IFERROR(__xludf.DUMMYFUNCTION("if($C258="""","""",if(join("" - "",{iferror(filter('Student Groupings'!$A:$A,'Student Groupings'!$B:$B=$C258,'Student Groupings'!$H:$H=""Can't be Together""),"""");iferror(filter('Student Groupings'!$A:$A,'Student Groupings'!$E:$E=$C258,'Student Groupings"&amp;"'!$H:$H=""Can't be Together""),"""")})="" - "","""",join("" - "",{iferror(filter('Student Groupings'!$A:$A,'Student Groupings'!$B:$B=$C258,'Student Groupings'!$H:$H=""Can't be Together""),"""");iferror(filter('Student Groupings'!$A:$A,'Student Groupings'!"&amp;"$E:$E=$C258,'Student Groupings'!$H:$H=""Can't be Together""),"""")})))"),"")</f>
        <v/>
      </c>
      <c r="AD258" s="103" t="str">
        <f>IFERROR(__xludf.DUMMYFUNCTION("if($C258="""","""",if(join("" - "",{iferror(filter('Student Groupings'!$A:$A,'Student Groupings'!$B:$B=$C258,'Student Groupings'!$H:$H=""Must be Together""),"""");iferror(filter('Student Groupings'!$A:$A,'Student Groupings'!$E:$E=$C258,'Student Groupings'"&amp;"!$H:$H=""Must be Together""),"""")})="" - "","""",join("" - "",{iferror(filter('Student Groupings'!$A:$A,'Student Groupings'!$B:$B=$C258,'Student Groupings'!$H:$H=""Must be Together""),"""");iferror(filter('Student Groupings'!$A:$A,'Student Groupings'!$E:"&amp;"$E=$C258,'Student Groupings'!$H:$H=""Must be Together""),"""")})))"),"")</f>
        <v/>
      </c>
      <c r="AE258" s="104"/>
      <c r="AF258" s="104"/>
      <c r="AG258" s="104"/>
      <c r="AH258" s="104"/>
    </row>
    <row r="259">
      <c r="A259" s="101">
        <v>7.0</v>
      </c>
      <c r="B259" s="101">
        <v>30109.0</v>
      </c>
      <c r="C259" s="102" t="s">
        <v>527</v>
      </c>
      <c r="D259" s="52" t="s">
        <v>175</v>
      </c>
      <c r="E259" s="52">
        <v>4.0</v>
      </c>
      <c r="F259" s="52" t="s">
        <v>164</v>
      </c>
      <c r="G259" s="52">
        <v>3.0</v>
      </c>
      <c r="H259" s="52" t="s">
        <v>184</v>
      </c>
      <c r="I259" s="52">
        <v>1.0</v>
      </c>
      <c r="J259" s="52" t="s">
        <v>193</v>
      </c>
      <c r="K259" s="52">
        <v>5.0</v>
      </c>
      <c r="L259" s="52" t="s">
        <v>200</v>
      </c>
      <c r="M259" s="52">
        <v>2.0</v>
      </c>
      <c r="N259" s="52" t="s">
        <v>150</v>
      </c>
      <c r="O259" s="52" t="s">
        <v>109</v>
      </c>
      <c r="P259" s="52" t="s">
        <v>116</v>
      </c>
      <c r="Q259" s="52" t="s">
        <v>120</v>
      </c>
      <c r="R259" s="52" t="s">
        <v>133</v>
      </c>
      <c r="S259" s="52" t="s">
        <v>120</v>
      </c>
      <c r="T259" s="65" t="s">
        <v>27</v>
      </c>
      <c r="U259" s="32">
        <v>1.0</v>
      </c>
      <c r="V259" s="32">
        <v>1.0</v>
      </c>
      <c r="W259" s="32">
        <v>1.0</v>
      </c>
      <c r="X259" s="32">
        <v>1.0</v>
      </c>
      <c r="Y259" s="32">
        <v>1.0</v>
      </c>
      <c r="Z259" s="32">
        <v>1.0</v>
      </c>
      <c r="AA259" s="32">
        <v>6.0</v>
      </c>
      <c r="AB259" s="32">
        <v>0.0</v>
      </c>
      <c r="AC259" s="103" t="str">
        <f>IFERROR(__xludf.DUMMYFUNCTION("if($C259="""","""",if(join("" - "",{iferror(filter('Student Groupings'!$A:$A,'Student Groupings'!$B:$B=$C259,'Student Groupings'!$H:$H=""Can't be Together""),"""");iferror(filter('Student Groupings'!$A:$A,'Student Groupings'!$E:$E=$C259,'Student Groupings"&amp;"'!$H:$H=""Can't be Together""),"""")})="" - "","""",join("" - "",{iferror(filter('Student Groupings'!$A:$A,'Student Groupings'!$B:$B=$C259,'Student Groupings'!$H:$H=""Can't be Together""),"""");iferror(filter('Student Groupings'!$A:$A,'Student Groupings'!"&amp;"$E:$E=$C259,'Student Groupings'!$H:$H=""Can't be Together""),"""")})))"),"")</f>
        <v/>
      </c>
      <c r="AD259" s="103" t="str">
        <f>IFERROR(__xludf.DUMMYFUNCTION("if($C259="""","""",if(join("" - "",{iferror(filter('Student Groupings'!$A:$A,'Student Groupings'!$B:$B=$C259,'Student Groupings'!$H:$H=""Must be Together""),"""");iferror(filter('Student Groupings'!$A:$A,'Student Groupings'!$E:$E=$C259,'Student Groupings'"&amp;"!$H:$H=""Must be Together""),"""")})="" - "","""",join("" - "",{iferror(filter('Student Groupings'!$A:$A,'Student Groupings'!$B:$B=$C259,'Student Groupings'!$H:$H=""Must be Together""),"""");iferror(filter('Student Groupings'!$A:$A,'Student Groupings'!$E:"&amp;"$E=$C259,'Student Groupings'!$H:$H=""Must be Together""),"""")})))"),"")</f>
        <v/>
      </c>
      <c r="AE259" s="104"/>
      <c r="AF259" s="104"/>
      <c r="AG259" s="104"/>
      <c r="AH259" s="104"/>
    </row>
    <row r="260">
      <c r="A260" s="101">
        <v>7.0</v>
      </c>
      <c r="B260" s="101">
        <v>30111.0</v>
      </c>
      <c r="C260" s="102" t="s">
        <v>528</v>
      </c>
      <c r="D260" s="52" t="s">
        <v>179</v>
      </c>
      <c r="E260" s="52">
        <v>6.0</v>
      </c>
      <c r="F260" s="52" t="s">
        <v>163</v>
      </c>
      <c r="G260" s="52">
        <v>5.0</v>
      </c>
      <c r="H260" s="52" t="s">
        <v>184</v>
      </c>
      <c r="I260" s="52">
        <v>2.0</v>
      </c>
      <c r="J260" s="52" t="s">
        <v>195</v>
      </c>
      <c r="K260" s="52">
        <v>3.0</v>
      </c>
      <c r="L260" s="52" t="s">
        <v>200</v>
      </c>
      <c r="M260" s="52">
        <v>1.0</v>
      </c>
      <c r="N260" s="52" t="s">
        <v>150</v>
      </c>
      <c r="O260" s="52" t="s">
        <v>111</v>
      </c>
      <c r="P260" s="52" t="s">
        <v>140</v>
      </c>
      <c r="Q260" s="52" t="s">
        <v>130</v>
      </c>
      <c r="R260" s="52" t="s">
        <v>140</v>
      </c>
      <c r="S260" s="52" t="s">
        <v>130</v>
      </c>
      <c r="T260" s="65" t="s">
        <v>30</v>
      </c>
      <c r="U260" s="32">
        <v>1.0</v>
      </c>
      <c r="V260" s="32">
        <v>1.0</v>
      </c>
      <c r="W260" s="32">
        <v>1.0</v>
      </c>
      <c r="X260" s="32">
        <v>1.0</v>
      </c>
      <c r="Y260" s="32">
        <v>1.0</v>
      </c>
      <c r="Z260" s="32">
        <v>1.0</v>
      </c>
      <c r="AA260" s="32">
        <v>6.0</v>
      </c>
      <c r="AB260" s="32">
        <v>0.0</v>
      </c>
      <c r="AC260" s="103" t="str">
        <f>IFERROR(__xludf.DUMMYFUNCTION("if($C260="""","""",if(join("" - "",{iferror(filter('Student Groupings'!$A:$A,'Student Groupings'!$B:$B=$C260,'Student Groupings'!$H:$H=""Can't be Together""),"""");iferror(filter('Student Groupings'!$A:$A,'Student Groupings'!$E:$E=$C260,'Student Groupings"&amp;"'!$H:$H=""Can't be Together""),"""")})="" - "","""",join("" - "",{iferror(filter('Student Groupings'!$A:$A,'Student Groupings'!$B:$B=$C260,'Student Groupings'!$H:$H=""Can't be Together""),"""");iferror(filter('Student Groupings'!$A:$A,'Student Groupings'!"&amp;"$E:$E=$C260,'Student Groupings'!$H:$H=""Can't be Together""),"""")})))"),"")</f>
        <v/>
      </c>
      <c r="AD260" s="103" t="str">
        <f>IFERROR(__xludf.DUMMYFUNCTION("if($C260="""","""",if(join("" - "",{iferror(filter('Student Groupings'!$A:$A,'Student Groupings'!$B:$B=$C260,'Student Groupings'!$H:$H=""Must be Together""),"""");iferror(filter('Student Groupings'!$A:$A,'Student Groupings'!$E:$E=$C260,'Student Groupings'"&amp;"!$H:$H=""Must be Together""),"""")})="" - "","""",join("" - "",{iferror(filter('Student Groupings'!$A:$A,'Student Groupings'!$B:$B=$C260,'Student Groupings'!$H:$H=""Must be Together""),"""");iferror(filter('Student Groupings'!$A:$A,'Student Groupings'!$E:"&amp;"$E=$C260,'Student Groupings'!$H:$H=""Must be Together""),"""")})))"),"")</f>
        <v/>
      </c>
      <c r="AE260" s="104"/>
      <c r="AF260" s="104"/>
      <c r="AG260" s="104"/>
      <c r="AH260" s="104"/>
    </row>
    <row r="261">
      <c r="A261" s="101">
        <v>7.0</v>
      </c>
      <c r="B261" s="101">
        <v>30112.0</v>
      </c>
      <c r="C261" s="102" t="s">
        <v>529</v>
      </c>
      <c r="D261" s="52" t="s">
        <v>175</v>
      </c>
      <c r="E261" s="52">
        <v>5.0</v>
      </c>
      <c r="F261" s="52" t="s">
        <v>163</v>
      </c>
      <c r="G261" s="52">
        <v>3.0</v>
      </c>
      <c r="H261" s="52" t="s">
        <v>184</v>
      </c>
      <c r="I261" s="52">
        <v>6.0</v>
      </c>
      <c r="J261" s="52" t="s">
        <v>195</v>
      </c>
      <c r="K261" s="52">
        <v>2.0</v>
      </c>
      <c r="L261" s="52" t="s">
        <v>203</v>
      </c>
      <c r="M261" s="52">
        <v>4.0</v>
      </c>
      <c r="N261" s="52" t="s">
        <v>150</v>
      </c>
      <c r="O261" s="52" t="s">
        <v>129</v>
      </c>
      <c r="P261" s="52" t="s">
        <v>116</v>
      </c>
      <c r="Q261" s="52" t="s">
        <v>108</v>
      </c>
      <c r="R261" s="52" t="s">
        <v>133</v>
      </c>
      <c r="S261" s="52" t="s">
        <v>108</v>
      </c>
      <c r="T261" s="65" t="s">
        <v>27</v>
      </c>
      <c r="U261" s="32">
        <v>1.0</v>
      </c>
      <c r="V261" s="32">
        <v>1.0</v>
      </c>
      <c r="W261" s="32">
        <v>1.0</v>
      </c>
      <c r="X261" s="32">
        <v>1.0</v>
      </c>
      <c r="Y261" s="32">
        <v>1.0</v>
      </c>
      <c r="Z261" s="32">
        <v>1.0</v>
      </c>
      <c r="AA261" s="32">
        <v>6.0</v>
      </c>
      <c r="AB261" s="32">
        <v>0.0</v>
      </c>
      <c r="AC261" s="103" t="str">
        <f>IFERROR(__xludf.DUMMYFUNCTION("if($C261="""","""",if(join("" - "",{iferror(filter('Student Groupings'!$A:$A,'Student Groupings'!$B:$B=$C261,'Student Groupings'!$H:$H=""Can't be Together""),"""");iferror(filter('Student Groupings'!$A:$A,'Student Groupings'!$E:$E=$C261,'Student Groupings"&amp;"'!$H:$H=""Can't be Together""),"""")})="" - "","""",join("" - "",{iferror(filter('Student Groupings'!$A:$A,'Student Groupings'!$B:$B=$C261,'Student Groupings'!$H:$H=""Can't be Together""),"""");iferror(filter('Student Groupings'!$A:$A,'Student Groupings'!"&amp;"$E:$E=$C261,'Student Groupings'!$H:$H=""Can't be Together""),"""")})))"),"")</f>
        <v/>
      </c>
      <c r="AD261" s="103" t="str">
        <f>IFERROR(__xludf.DUMMYFUNCTION("if($C261="""","""",if(join("" - "",{iferror(filter('Student Groupings'!$A:$A,'Student Groupings'!$B:$B=$C261,'Student Groupings'!$H:$H=""Must be Together""),"""");iferror(filter('Student Groupings'!$A:$A,'Student Groupings'!$E:$E=$C261,'Student Groupings'"&amp;"!$H:$H=""Must be Together""),"""")})="" - "","""",join("" - "",{iferror(filter('Student Groupings'!$A:$A,'Student Groupings'!$B:$B=$C261,'Student Groupings'!$H:$H=""Must be Together""),"""");iferror(filter('Student Groupings'!$A:$A,'Student Groupings'!$E:"&amp;"$E=$C261,'Student Groupings'!$H:$H=""Must be Together""),"""")})))"),"")</f>
        <v/>
      </c>
      <c r="AE261" s="104"/>
      <c r="AF261" s="104"/>
      <c r="AG261" s="104"/>
      <c r="AH261" s="104"/>
    </row>
    <row r="262">
      <c r="A262" s="101">
        <v>7.0</v>
      </c>
      <c r="B262" s="101">
        <v>30114.0</v>
      </c>
      <c r="C262" s="102" t="s">
        <v>530</v>
      </c>
      <c r="D262" s="52" t="s">
        <v>175</v>
      </c>
      <c r="E262" s="52">
        <v>3.0</v>
      </c>
      <c r="F262" s="52" t="s">
        <v>163</v>
      </c>
      <c r="G262" s="52">
        <v>4.0</v>
      </c>
      <c r="H262" s="52" t="s">
        <v>184</v>
      </c>
      <c r="I262" s="52">
        <v>5.0</v>
      </c>
      <c r="J262" s="52" t="s">
        <v>193</v>
      </c>
      <c r="K262" s="52">
        <v>1.0</v>
      </c>
      <c r="L262" s="52" t="s">
        <v>200</v>
      </c>
      <c r="M262" s="52">
        <v>6.0</v>
      </c>
      <c r="N262" s="52" t="s">
        <v>154</v>
      </c>
      <c r="O262" s="52" t="s">
        <v>119</v>
      </c>
      <c r="P262" s="52" t="s">
        <v>140</v>
      </c>
      <c r="Q262" s="52" t="s">
        <v>125</v>
      </c>
      <c r="R262" s="52" t="s">
        <v>140</v>
      </c>
      <c r="S262" s="52" t="s">
        <v>125</v>
      </c>
      <c r="T262" s="65" t="s">
        <v>30</v>
      </c>
      <c r="U262" s="32">
        <v>1.0</v>
      </c>
      <c r="V262" s="32">
        <v>1.0</v>
      </c>
      <c r="W262" s="32">
        <v>1.0</v>
      </c>
      <c r="X262" s="32">
        <v>1.0</v>
      </c>
      <c r="Y262" s="32">
        <v>1.0</v>
      </c>
      <c r="Z262" s="32">
        <v>1.0</v>
      </c>
      <c r="AA262" s="32">
        <v>6.0</v>
      </c>
      <c r="AB262" s="32">
        <v>0.0</v>
      </c>
      <c r="AC262" s="103" t="str">
        <f>IFERROR(__xludf.DUMMYFUNCTION("if($C262="""","""",if(join("" - "",{iferror(filter('Student Groupings'!$A:$A,'Student Groupings'!$B:$B=$C262,'Student Groupings'!$H:$H=""Can't be Together""),"""");iferror(filter('Student Groupings'!$A:$A,'Student Groupings'!$E:$E=$C262,'Student Groupings"&amp;"'!$H:$H=""Can't be Together""),"""")})="" - "","""",join("" - "",{iferror(filter('Student Groupings'!$A:$A,'Student Groupings'!$B:$B=$C262,'Student Groupings'!$H:$H=""Can't be Together""),"""");iferror(filter('Student Groupings'!$A:$A,'Student Groupings'!"&amp;"$E:$E=$C262,'Student Groupings'!$H:$H=""Can't be Together""),"""")})))"),"")</f>
        <v/>
      </c>
      <c r="AD262" s="103" t="str">
        <f>IFERROR(__xludf.DUMMYFUNCTION("if($C262="""","""",if(join("" - "",{iferror(filter('Student Groupings'!$A:$A,'Student Groupings'!$B:$B=$C262,'Student Groupings'!$H:$H=""Must be Together""),"""");iferror(filter('Student Groupings'!$A:$A,'Student Groupings'!$E:$E=$C262,'Student Groupings'"&amp;"!$H:$H=""Must be Together""),"""")})="" - "","""",join("" - "",{iferror(filter('Student Groupings'!$A:$A,'Student Groupings'!$B:$B=$C262,'Student Groupings'!$H:$H=""Must be Together""),"""");iferror(filter('Student Groupings'!$A:$A,'Student Groupings'!$E:"&amp;"$E=$C262,'Student Groupings'!$H:$H=""Must be Together""),"""")})))"),"")</f>
        <v/>
      </c>
      <c r="AE262" s="105"/>
      <c r="AF262" s="105">
        <v>1.0</v>
      </c>
      <c r="AG262" s="105">
        <v>1.0</v>
      </c>
      <c r="AH262" s="105"/>
    </row>
    <row r="263">
      <c r="A263" s="109">
        <v>7.0</v>
      </c>
      <c r="B263" s="109">
        <v>30115.0</v>
      </c>
      <c r="C263" s="110" t="s">
        <v>531</v>
      </c>
      <c r="D263" s="111" t="s">
        <v>175</v>
      </c>
      <c r="E263" s="111">
        <v>4.0</v>
      </c>
      <c r="F263" s="111" t="s">
        <v>164</v>
      </c>
      <c r="G263" s="111">
        <v>3.0</v>
      </c>
      <c r="H263" s="111" t="s">
        <v>184</v>
      </c>
      <c r="I263" s="111">
        <v>1.0</v>
      </c>
      <c r="J263" s="111" t="s">
        <v>193</v>
      </c>
      <c r="K263" s="111">
        <v>5.0</v>
      </c>
      <c r="L263" s="111" t="s">
        <v>200</v>
      </c>
      <c r="M263" s="111">
        <v>2.0</v>
      </c>
      <c r="N263" s="111" t="s">
        <v>150</v>
      </c>
      <c r="O263" s="111" t="s">
        <v>109</v>
      </c>
      <c r="P263" s="111" t="s">
        <v>116</v>
      </c>
      <c r="Q263" s="111" t="s">
        <v>120</v>
      </c>
      <c r="R263" s="111" t="s">
        <v>133</v>
      </c>
      <c r="S263" s="111" t="s">
        <v>120</v>
      </c>
      <c r="T263" s="112" t="s">
        <v>8</v>
      </c>
      <c r="U263" s="113">
        <v>1.0</v>
      </c>
      <c r="V263" s="113">
        <v>1.0</v>
      </c>
      <c r="W263" s="113">
        <v>1.0</v>
      </c>
      <c r="X263" s="113">
        <v>1.0</v>
      </c>
      <c r="Y263" s="113">
        <v>1.0</v>
      </c>
      <c r="Z263" s="113">
        <v>1.0</v>
      </c>
      <c r="AA263" s="113">
        <v>6.0</v>
      </c>
      <c r="AB263" s="113">
        <v>0.0</v>
      </c>
      <c r="AC263" s="114" t="str">
        <f>IFERROR(__xludf.DUMMYFUNCTION("if($C263="""","""",if(join("" - "",{iferror(filter('Student Groupings'!$A:$A,'Student Groupings'!$B:$B=$C263,'Student Groupings'!$H:$H=""Can't be Together""),"""");iferror(filter('Student Groupings'!$A:$A,'Student Groupings'!$E:$E=$C263,'Student Groupings"&amp;"'!$H:$H=""Can't be Together""),"""")})="" - "","""",join("" - "",{iferror(filter('Student Groupings'!$A:$A,'Student Groupings'!$B:$B=$C263,'Student Groupings'!$H:$H=""Can't be Together""),"""");iferror(filter('Student Groupings'!$A:$A,'Student Groupings'!"&amp;"$E:$E=$C263,'Student Groupings'!$H:$H=""Can't be Together""),"""")})))"),"")</f>
        <v/>
      </c>
      <c r="AD263" s="114" t="str">
        <f>IFERROR(__xludf.DUMMYFUNCTION("if($C263="""","""",if(join("" - "",{iferror(filter('Student Groupings'!$A:$A,'Student Groupings'!$B:$B=$C263,'Student Groupings'!$H:$H=""Must be Together""),"""");iferror(filter('Student Groupings'!$A:$A,'Student Groupings'!$E:$E=$C263,'Student Groupings'"&amp;"!$H:$H=""Must be Together""),"""")})="" - "","""",join("" - "",{iferror(filter('Student Groupings'!$A:$A,'Student Groupings'!$B:$B=$C263,'Student Groupings'!$H:$H=""Must be Together""),"""");iferror(filter('Student Groupings'!$A:$A,'Student Groupings'!$E:"&amp;"$E=$C263,'Student Groupings'!$H:$H=""Must be Together""),"""")})))"),"")</f>
        <v/>
      </c>
      <c r="AE263" s="115"/>
      <c r="AF263" s="115"/>
      <c r="AG263" s="115"/>
      <c r="AH263" s="115"/>
    </row>
    <row r="264">
      <c r="A264" s="101">
        <v>7.0</v>
      </c>
      <c r="B264" s="101">
        <v>30117.0</v>
      </c>
      <c r="C264" s="102" t="s">
        <v>532</v>
      </c>
      <c r="D264" s="52" t="s">
        <v>175</v>
      </c>
      <c r="E264" s="52">
        <v>6.0</v>
      </c>
      <c r="F264" s="52" t="s">
        <v>163</v>
      </c>
      <c r="G264" s="52">
        <v>4.0</v>
      </c>
      <c r="H264" s="52" t="s">
        <v>184</v>
      </c>
      <c r="I264" s="52">
        <v>5.0</v>
      </c>
      <c r="J264" s="52" t="s">
        <v>195</v>
      </c>
      <c r="K264" s="52">
        <v>1.0</v>
      </c>
      <c r="L264" s="52" t="s">
        <v>200</v>
      </c>
      <c r="M264" s="52">
        <v>3.0</v>
      </c>
      <c r="N264" s="52" t="s">
        <v>150</v>
      </c>
      <c r="O264" s="52" t="s">
        <v>119</v>
      </c>
      <c r="P264" s="52" t="s">
        <v>133</v>
      </c>
      <c r="Q264" s="52" t="s">
        <v>125</v>
      </c>
      <c r="R264" s="52" t="s">
        <v>116</v>
      </c>
      <c r="S264" s="52" t="s">
        <v>125</v>
      </c>
      <c r="T264" s="65" t="s">
        <v>27</v>
      </c>
      <c r="U264" s="32">
        <v>1.0</v>
      </c>
      <c r="V264" s="32">
        <v>1.0</v>
      </c>
      <c r="W264" s="32">
        <v>1.0</v>
      </c>
      <c r="X264" s="32">
        <v>1.0</v>
      </c>
      <c r="Y264" s="32">
        <v>1.0</v>
      </c>
      <c r="Z264" s="32">
        <v>1.0</v>
      </c>
      <c r="AA264" s="32">
        <v>6.0</v>
      </c>
      <c r="AB264" s="32">
        <v>0.0</v>
      </c>
      <c r="AC264" s="103" t="str">
        <f>IFERROR(__xludf.DUMMYFUNCTION("if($C264="""","""",if(join("" - "",{iferror(filter('Student Groupings'!$A:$A,'Student Groupings'!$B:$B=$C264,'Student Groupings'!$H:$H=""Can't be Together""),"""");iferror(filter('Student Groupings'!$A:$A,'Student Groupings'!$E:$E=$C264,'Student Groupings"&amp;"'!$H:$H=""Can't be Together""),"""")})="" - "","""",join("" - "",{iferror(filter('Student Groupings'!$A:$A,'Student Groupings'!$B:$B=$C264,'Student Groupings'!$H:$H=""Can't be Together""),"""");iferror(filter('Student Groupings'!$A:$A,'Student Groupings'!"&amp;"$E:$E=$C264,'Student Groupings'!$H:$H=""Can't be Together""),"""")})))"),"")</f>
        <v/>
      </c>
      <c r="AD264" s="103" t="str">
        <f>IFERROR(__xludf.DUMMYFUNCTION("if($C264="""","""",if(join("" - "",{iferror(filter('Student Groupings'!$A:$A,'Student Groupings'!$B:$B=$C264,'Student Groupings'!$H:$H=""Must be Together""),"""");iferror(filter('Student Groupings'!$A:$A,'Student Groupings'!$E:$E=$C264,'Student Groupings'"&amp;"!$H:$H=""Must be Together""),"""")})="" - "","""",join("" - "",{iferror(filter('Student Groupings'!$A:$A,'Student Groupings'!$B:$B=$C264,'Student Groupings'!$H:$H=""Must be Together""),"""");iferror(filter('Student Groupings'!$A:$A,'Student Groupings'!$E:"&amp;"$E=$C264,'Student Groupings'!$H:$H=""Must be Together""),"""")})))"),"")</f>
        <v/>
      </c>
      <c r="AE264" s="104"/>
      <c r="AF264" s="104"/>
      <c r="AG264" s="104"/>
      <c r="AH264" s="104"/>
    </row>
    <row r="265">
      <c r="A265" s="101">
        <v>7.0</v>
      </c>
      <c r="B265" s="101">
        <v>30119.0</v>
      </c>
      <c r="C265" s="102" t="s">
        <v>533</v>
      </c>
      <c r="D265" s="52" t="s">
        <v>179</v>
      </c>
      <c r="E265" s="52">
        <v>6.0</v>
      </c>
      <c r="F265" s="52" t="s">
        <v>163</v>
      </c>
      <c r="G265" s="52">
        <v>4.0</v>
      </c>
      <c r="H265" s="52" t="s">
        <v>184</v>
      </c>
      <c r="I265" s="52">
        <v>5.0</v>
      </c>
      <c r="J265" s="52" t="s">
        <v>195</v>
      </c>
      <c r="K265" s="52">
        <v>3.0</v>
      </c>
      <c r="L265" s="52" t="s">
        <v>200</v>
      </c>
      <c r="M265" s="52">
        <v>1.0</v>
      </c>
      <c r="N265" s="52" t="s">
        <v>150</v>
      </c>
      <c r="O265" s="52" t="s">
        <v>119</v>
      </c>
      <c r="P265" s="52" t="s">
        <v>116</v>
      </c>
      <c r="Q265" s="52" t="s">
        <v>125</v>
      </c>
      <c r="R265" s="52" t="s">
        <v>133</v>
      </c>
      <c r="S265" s="52" t="s">
        <v>125</v>
      </c>
      <c r="T265" s="65" t="s">
        <v>27</v>
      </c>
      <c r="U265" s="32">
        <v>1.0</v>
      </c>
      <c r="V265" s="32">
        <v>1.0</v>
      </c>
      <c r="W265" s="32">
        <v>1.0</v>
      </c>
      <c r="X265" s="32">
        <v>1.0</v>
      </c>
      <c r="Y265" s="32">
        <v>1.0</v>
      </c>
      <c r="Z265" s="32">
        <v>1.0</v>
      </c>
      <c r="AA265" s="32">
        <v>6.0</v>
      </c>
      <c r="AB265" s="32">
        <v>0.0</v>
      </c>
      <c r="AC265" s="103" t="str">
        <f>IFERROR(__xludf.DUMMYFUNCTION("if($C265="""","""",if(join("" - "",{iferror(filter('Student Groupings'!$A:$A,'Student Groupings'!$B:$B=$C265,'Student Groupings'!$H:$H=""Can't be Together""),"""");iferror(filter('Student Groupings'!$A:$A,'Student Groupings'!$E:$E=$C265,'Student Groupings"&amp;"'!$H:$H=""Can't be Together""),"""")})="" - "","""",join("" - "",{iferror(filter('Student Groupings'!$A:$A,'Student Groupings'!$B:$B=$C265,'Student Groupings'!$H:$H=""Can't be Together""),"""");iferror(filter('Student Groupings'!$A:$A,'Student Groupings'!"&amp;"$E:$E=$C265,'Student Groupings'!$H:$H=""Can't be Together""),"""")})))"),"")</f>
        <v/>
      </c>
      <c r="AD265" s="103" t="str">
        <f>IFERROR(__xludf.DUMMYFUNCTION("if($C265="""","""",if(join("" - "",{iferror(filter('Student Groupings'!$A:$A,'Student Groupings'!$B:$B=$C265,'Student Groupings'!$H:$H=""Must be Together""),"""");iferror(filter('Student Groupings'!$A:$A,'Student Groupings'!$E:$E=$C265,'Student Groupings'"&amp;"!$H:$H=""Must be Together""),"""")})="" - "","""",join("" - "",{iferror(filter('Student Groupings'!$A:$A,'Student Groupings'!$B:$B=$C265,'Student Groupings'!$H:$H=""Must be Together""),"""");iferror(filter('Student Groupings'!$A:$A,'Student Groupings'!$E:"&amp;"$E=$C265,'Student Groupings'!$H:$H=""Must be Together""),"""")})))"),"")</f>
        <v/>
      </c>
      <c r="AE265" s="105"/>
      <c r="AF265" s="105"/>
      <c r="AG265" s="104"/>
      <c r="AH265" s="104"/>
    </row>
    <row r="266">
      <c r="A266" s="101">
        <v>7.0</v>
      </c>
      <c r="B266" s="101">
        <v>30162.0</v>
      </c>
      <c r="C266" s="102" t="s">
        <v>534</v>
      </c>
      <c r="D266" s="52" t="s">
        <v>175</v>
      </c>
      <c r="E266" s="52">
        <v>5.0</v>
      </c>
      <c r="F266" s="52" t="s">
        <v>163</v>
      </c>
      <c r="G266" s="52">
        <v>3.0</v>
      </c>
      <c r="H266" s="52" t="s">
        <v>184</v>
      </c>
      <c r="I266" s="52">
        <v>6.0</v>
      </c>
      <c r="J266" s="52" t="s">
        <v>195</v>
      </c>
      <c r="K266" s="52">
        <v>2.0</v>
      </c>
      <c r="L266" s="52" t="s">
        <v>203</v>
      </c>
      <c r="M266" s="52">
        <v>4.0</v>
      </c>
      <c r="N266" s="52" t="s">
        <v>150</v>
      </c>
      <c r="O266" s="52" t="s">
        <v>129</v>
      </c>
      <c r="P266" s="52" t="s">
        <v>133</v>
      </c>
      <c r="Q266" s="52" t="s">
        <v>108</v>
      </c>
      <c r="R266" s="52" t="s">
        <v>116</v>
      </c>
      <c r="S266" s="52" t="s">
        <v>108</v>
      </c>
      <c r="T266" s="65" t="s">
        <v>27</v>
      </c>
      <c r="U266" s="32">
        <v>1.0</v>
      </c>
      <c r="V266" s="32">
        <v>1.0</v>
      </c>
      <c r="W266" s="32">
        <v>1.0</v>
      </c>
      <c r="X266" s="32">
        <v>1.0</v>
      </c>
      <c r="Y266" s="32">
        <v>1.0</v>
      </c>
      <c r="Z266" s="32">
        <v>1.0</v>
      </c>
      <c r="AA266" s="32">
        <v>6.0</v>
      </c>
      <c r="AB266" s="32">
        <v>0.0</v>
      </c>
      <c r="AC266" s="103" t="str">
        <f>IFERROR(__xludf.DUMMYFUNCTION("if($C266="""","""",if(join("" - "",{iferror(filter('Student Groupings'!$A:$A,'Student Groupings'!$B:$B=$C266,'Student Groupings'!$H:$H=""Can't be Together""),"""");iferror(filter('Student Groupings'!$A:$A,'Student Groupings'!$E:$E=$C266,'Student Groupings"&amp;"'!$H:$H=""Can't be Together""),"""")})="" - "","""",join("" - "",{iferror(filter('Student Groupings'!$A:$A,'Student Groupings'!$B:$B=$C266,'Student Groupings'!$H:$H=""Can't be Together""),"""");iferror(filter('Student Groupings'!$A:$A,'Student Groupings'!"&amp;"$E:$E=$C266,'Student Groupings'!$H:$H=""Can't be Together""),"""")})))"),"")</f>
        <v/>
      </c>
      <c r="AD266" s="103" t="str">
        <f>IFERROR(__xludf.DUMMYFUNCTION("if($C266="""","""",if(join("" - "",{iferror(filter('Student Groupings'!$A:$A,'Student Groupings'!$B:$B=$C266,'Student Groupings'!$H:$H=""Must be Together""),"""");iferror(filter('Student Groupings'!$A:$A,'Student Groupings'!$E:$E=$C266,'Student Groupings'"&amp;"!$H:$H=""Must be Together""),"""")})="" - "","""",join("" - "",{iferror(filter('Student Groupings'!$A:$A,'Student Groupings'!$B:$B=$C266,'Student Groupings'!$H:$H=""Must be Together""),"""");iferror(filter('Student Groupings'!$A:$A,'Student Groupings'!$E:"&amp;"$E=$C266,'Student Groupings'!$H:$H=""Must be Together""),"""")})))"),"")</f>
        <v/>
      </c>
      <c r="AE266" s="104"/>
      <c r="AF266" s="104"/>
      <c r="AG266" s="104"/>
      <c r="AH266" s="104"/>
    </row>
    <row r="267">
      <c r="A267" s="101">
        <v>7.0</v>
      </c>
      <c r="B267" s="101">
        <v>30163.0</v>
      </c>
      <c r="C267" s="102" t="s">
        <v>535</v>
      </c>
      <c r="D267" s="52" t="s">
        <v>175</v>
      </c>
      <c r="E267" s="52">
        <v>2.0</v>
      </c>
      <c r="F267" s="52" t="s">
        <v>163</v>
      </c>
      <c r="G267" s="52">
        <v>6.0</v>
      </c>
      <c r="H267" s="52" t="s">
        <v>184</v>
      </c>
      <c r="I267" s="52">
        <v>3.0</v>
      </c>
      <c r="J267" s="52" t="s">
        <v>195</v>
      </c>
      <c r="K267" s="52">
        <v>5.0</v>
      </c>
      <c r="L267" s="52" t="s">
        <v>200</v>
      </c>
      <c r="M267" s="52">
        <v>4.0</v>
      </c>
      <c r="N267" s="52" t="s">
        <v>154</v>
      </c>
      <c r="O267" s="52" t="s">
        <v>129</v>
      </c>
      <c r="P267" s="52" t="s">
        <v>140</v>
      </c>
      <c r="Q267" s="52" t="s">
        <v>108</v>
      </c>
      <c r="R267" s="52" t="s">
        <v>140</v>
      </c>
      <c r="S267" s="52" t="s">
        <v>108</v>
      </c>
      <c r="T267" s="65" t="s">
        <v>30</v>
      </c>
      <c r="U267" s="32">
        <v>1.0</v>
      </c>
      <c r="V267" s="32">
        <v>1.0</v>
      </c>
      <c r="W267" s="32">
        <v>1.0</v>
      </c>
      <c r="X267" s="32">
        <v>1.0</v>
      </c>
      <c r="Y267" s="32">
        <v>1.0</v>
      </c>
      <c r="Z267" s="32">
        <v>1.0</v>
      </c>
      <c r="AA267" s="32">
        <v>6.0</v>
      </c>
      <c r="AB267" s="32">
        <v>0.0</v>
      </c>
      <c r="AC267" s="103" t="str">
        <f>IFERROR(__xludf.DUMMYFUNCTION("if($C267="""","""",if(join("" - "",{iferror(filter('Student Groupings'!$A:$A,'Student Groupings'!$B:$B=$C267,'Student Groupings'!$H:$H=""Can't be Together""),"""");iferror(filter('Student Groupings'!$A:$A,'Student Groupings'!$E:$E=$C267,'Student Groupings"&amp;"'!$H:$H=""Can't be Together""),"""")})="" - "","""",join("" - "",{iferror(filter('Student Groupings'!$A:$A,'Student Groupings'!$B:$B=$C267,'Student Groupings'!$H:$H=""Can't be Together""),"""");iferror(filter('Student Groupings'!$A:$A,'Student Groupings'!"&amp;"$E:$E=$C267,'Student Groupings'!$H:$H=""Can't be Together""),"""")})))"),"")</f>
        <v/>
      </c>
      <c r="AD267" s="103" t="str">
        <f>IFERROR(__xludf.DUMMYFUNCTION("if($C267="""","""",if(join("" - "",{iferror(filter('Student Groupings'!$A:$A,'Student Groupings'!$B:$B=$C267,'Student Groupings'!$H:$H=""Must be Together""),"""");iferror(filter('Student Groupings'!$A:$A,'Student Groupings'!$E:$E=$C267,'Student Groupings'"&amp;"!$H:$H=""Must be Together""),"""")})="" - "","""",join("" - "",{iferror(filter('Student Groupings'!$A:$A,'Student Groupings'!$B:$B=$C267,'Student Groupings'!$H:$H=""Must be Together""),"""");iferror(filter('Student Groupings'!$A:$A,'Student Groupings'!$E:"&amp;"$E=$C267,'Student Groupings'!$H:$H=""Must be Together""),"""")})))"),"")</f>
        <v/>
      </c>
      <c r="AE267" s="104"/>
      <c r="AF267" s="104"/>
      <c r="AG267" s="104"/>
      <c r="AH267" s="104"/>
    </row>
    <row r="268">
      <c r="A268" s="101">
        <v>7.0</v>
      </c>
      <c r="B268" s="101">
        <v>30164.0</v>
      </c>
      <c r="C268" s="102" t="s">
        <v>536</v>
      </c>
      <c r="D268" s="52" t="s">
        <v>175</v>
      </c>
      <c r="E268" s="52">
        <v>3.0</v>
      </c>
      <c r="F268" s="52" t="s">
        <v>163</v>
      </c>
      <c r="G268" s="52">
        <v>5.0</v>
      </c>
      <c r="H268" s="52" t="s">
        <v>184</v>
      </c>
      <c r="I268" s="52">
        <v>2.0</v>
      </c>
      <c r="J268" s="52" t="s">
        <v>193</v>
      </c>
      <c r="K268" s="52">
        <v>1.0</v>
      </c>
      <c r="L268" s="52" t="s">
        <v>200</v>
      </c>
      <c r="M268" s="52">
        <v>6.0</v>
      </c>
      <c r="N268" s="52" t="s">
        <v>150</v>
      </c>
      <c r="O268" s="52" t="s">
        <v>111</v>
      </c>
      <c r="P268" s="52" t="s">
        <v>140</v>
      </c>
      <c r="Q268" s="52" t="s">
        <v>130</v>
      </c>
      <c r="R268" s="52" t="s">
        <v>140</v>
      </c>
      <c r="S268" s="52" t="s">
        <v>130</v>
      </c>
      <c r="T268" s="65" t="s">
        <v>30</v>
      </c>
      <c r="U268" s="32">
        <v>1.0</v>
      </c>
      <c r="V268" s="32">
        <v>1.0</v>
      </c>
      <c r="W268" s="32">
        <v>1.0</v>
      </c>
      <c r="X268" s="32">
        <v>1.0</v>
      </c>
      <c r="Y268" s="32">
        <v>1.0</v>
      </c>
      <c r="Z268" s="32">
        <v>1.0</v>
      </c>
      <c r="AA268" s="32">
        <v>6.0</v>
      </c>
      <c r="AB268" s="32">
        <v>0.0</v>
      </c>
      <c r="AC268" s="103" t="str">
        <f>IFERROR(__xludf.DUMMYFUNCTION("if($C268="""","""",if(join("" - "",{iferror(filter('Student Groupings'!$A:$A,'Student Groupings'!$B:$B=$C268,'Student Groupings'!$H:$H=""Can't be Together""),"""");iferror(filter('Student Groupings'!$A:$A,'Student Groupings'!$E:$E=$C268,'Student Groupings"&amp;"'!$H:$H=""Can't be Together""),"""")})="" - "","""",join("" - "",{iferror(filter('Student Groupings'!$A:$A,'Student Groupings'!$B:$B=$C268,'Student Groupings'!$H:$H=""Can't be Together""),"""");iferror(filter('Student Groupings'!$A:$A,'Student Groupings'!"&amp;"$E:$E=$C268,'Student Groupings'!$H:$H=""Can't be Together""),"""")})))"),"")</f>
        <v/>
      </c>
      <c r="AD268" s="103" t="str">
        <f>IFERROR(__xludf.DUMMYFUNCTION("if($C268="""","""",if(join("" - "",{iferror(filter('Student Groupings'!$A:$A,'Student Groupings'!$B:$B=$C268,'Student Groupings'!$H:$H=""Must be Together""),"""");iferror(filter('Student Groupings'!$A:$A,'Student Groupings'!$E:$E=$C268,'Student Groupings'"&amp;"!$H:$H=""Must be Together""),"""")})="" - "","""",join("" - "",{iferror(filter('Student Groupings'!$A:$A,'Student Groupings'!$B:$B=$C268,'Student Groupings'!$H:$H=""Must be Together""),"""");iferror(filter('Student Groupings'!$A:$A,'Student Groupings'!$E:"&amp;"$E=$C268,'Student Groupings'!$H:$H=""Must be Together""),"""")})))"),"")</f>
        <v/>
      </c>
      <c r="AE268" s="104"/>
      <c r="AF268" s="104"/>
      <c r="AG268" s="104"/>
      <c r="AH268" s="104"/>
    </row>
    <row r="269">
      <c r="A269" s="101">
        <v>7.0</v>
      </c>
      <c r="B269" s="101">
        <v>30120.0</v>
      </c>
      <c r="C269" s="102" t="s">
        <v>537</v>
      </c>
      <c r="D269" s="52" t="s">
        <v>175</v>
      </c>
      <c r="E269" s="52">
        <v>4.0</v>
      </c>
      <c r="F269" s="52" t="s">
        <v>164</v>
      </c>
      <c r="G269" s="52">
        <v>3.0</v>
      </c>
      <c r="H269" s="52" t="s">
        <v>184</v>
      </c>
      <c r="I269" s="52">
        <v>1.0</v>
      </c>
      <c r="J269" s="52" t="s">
        <v>193</v>
      </c>
      <c r="K269" s="52">
        <v>5.0</v>
      </c>
      <c r="L269" s="52" t="s">
        <v>200</v>
      </c>
      <c r="M269" s="52">
        <v>2.0</v>
      </c>
      <c r="N269" s="52" t="s">
        <v>150</v>
      </c>
      <c r="O269" s="52" t="s">
        <v>109</v>
      </c>
      <c r="P269" s="52" t="s">
        <v>116</v>
      </c>
      <c r="Q269" s="52" t="s">
        <v>120</v>
      </c>
      <c r="R269" s="52" t="s">
        <v>133</v>
      </c>
      <c r="S269" s="52" t="s">
        <v>120</v>
      </c>
      <c r="T269" s="65" t="s">
        <v>27</v>
      </c>
      <c r="U269" s="32">
        <v>1.0</v>
      </c>
      <c r="V269" s="32">
        <v>1.0</v>
      </c>
      <c r="W269" s="32">
        <v>1.0</v>
      </c>
      <c r="X269" s="32">
        <v>1.0</v>
      </c>
      <c r="Y269" s="32">
        <v>1.0</v>
      </c>
      <c r="Z269" s="32">
        <v>1.0</v>
      </c>
      <c r="AA269" s="32">
        <v>6.0</v>
      </c>
      <c r="AB269" s="32">
        <v>0.0</v>
      </c>
      <c r="AC269" s="103" t="str">
        <f>IFERROR(__xludf.DUMMYFUNCTION("if($C269="""","""",if(join("" - "",{iferror(filter('Student Groupings'!$A:$A,'Student Groupings'!$B:$B=$C269,'Student Groupings'!$H:$H=""Can't be Together""),"""");iferror(filter('Student Groupings'!$A:$A,'Student Groupings'!$E:$E=$C269,'Student Groupings"&amp;"'!$H:$H=""Can't be Together""),"""")})="" - "","""",join("" - "",{iferror(filter('Student Groupings'!$A:$A,'Student Groupings'!$B:$B=$C269,'Student Groupings'!$H:$H=""Can't be Together""),"""");iferror(filter('Student Groupings'!$A:$A,'Student Groupings'!"&amp;"$E:$E=$C269,'Student Groupings'!$H:$H=""Can't be Together""),"""")})))"),"")</f>
        <v/>
      </c>
      <c r="AD269" s="103" t="str">
        <f>IFERROR(__xludf.DUMMYFUNCTION("if($C269="""","""",if(join("" - "",{iferror(filter('Student Groupings'!$A:$A,'Student Groupings'!$B:$B=$C269,'Student Groupings'!$H:$H=""Must be Together""),"""");iferror(filter('Student Groupings'!$A:$A,'Student Groupings'!$E:$E=$C269,'Student Groupings'"&amp;"!$H:$H=""Must be Together""),"""")})="" - "","""",join("" - "",{iferror(filter('Student Groupings'!$A:$A,'Student Groupings'!$B:$B=$C269,'Student Groupings'!$H:$H=""Must be Together""),"""");iferror(filter('Student Groupings'!$A:$A,'Student Groupings'!$E:"&amp;"$E=$C269,'Student Groupings'!$H:$H=""Must be Together""),"""")})))"),"")</f>
        <v/>
      </c>
      <c r="AE269" s="104"/>
      <c r="AF269" s="104"/>
      <c r="AG269" s="104"/>
      <c r="AH269" s="104"/>
    </row>
    <row r="270">
      <c r="A270" s="101">
        <v>7.0</v>
      </c>
      <c r="B270" s="101">
        <v>30121.0</v>
      </c>
      <c r="C270" s="102" t="s">
        <v>538</v>
      </c>
      <c r="D270" s="52" t="s">
        <v>175</v>
      </c>
      <c r="E270" s="52">
        <v>6.0</v>
      </c>
      <c r="F270" s="52" t="s">
        <v>164</v>
      </c>
      <c r="G270" s="52">
        <v>4.0</v>
      </c>
      <c r="H270" s="52" t="s">
        <v>188</v>
      </c>
      <c r="I270" s="52">
        <v>5.0</v>
      </c>
      <c r="J270" s="52" t="s">
        <v>195</v>
      </c>
      <c r="K270" s="52">
        <v>1.0</v>
      </c>
      <c r="L270" s="52" t="s">
        <v>200</v>
      </c>
      <c r="M270" s="52">
        <v>3.0</v>
      </c>
      <c r="N270" s="52" t="s">
        <v>154</v>
      </c>
      <c r="O270" s="52" t="s">
        <v>119</v>
      </c>
      <c r="P270" s="52" t="s">
        <v>140</v>
      </c>
      <c r="Q270" s="52" t="s">
        <v>125</v>
      </c>
      <c r="R270" s="52" t="s">
        <v>140</v>
      </c>
      <c r="S270" s="52" t="s">
        <v>125</v>
      </c>
      <c r="T270" s="65" t="s">
        <v>30</v>
      </c>
      <c r="U270" s="32">
        <v>1.0</v>
      </c>
      <c r="V270" s="32">
        <v>1.0</v>
      </c>
      <c r="W270" s="32">
        <v>1.0</v>
      </c>
      <c r="X270" s="32">
        <v>1.0</v>
      </c>
      <c r="Y270" s="32">
        <v>1.0</v>
      </c>
      <c r="Z270" s="32">
        <v>1.0</v>
      </c>
      <c r="AA270" s="32">
        <v>6.0</v>
      </c>
      <c r="AB270" s="32">
        <v>0.0</v>
      </c>
      <c r="AC270" s="103" t="str">
        <f>IFERROR(__xludf.DUMMYFUNCTION("if($C270="""","""",if(join("" - "",{iferror(filter('Student Groupings'!$A:$A,'Student Groupings'!$B:$B=$C270,'Student Groupings'!$H:$H=""Can't be Together""),"""");iferror(filter('Student Groupings'!$A:$A,'Student Groupings'!$E:$E=$C270,'Student Groupings"&amp;"'!$H:$H=""Can't be Together""),"""")})="" - "","""",join("" - "",{iferror(filter('Student Groupings'!$A:$A,'Student Groupings'!$B:$B=$C270,'Student Groupings'!$H:$H=""Can't be Together""),"""");iferror(filter('Student Groupings'!$A:$A,'Student Groupings'!"&amp;"$E:$E=$C270,'Student Groupings'!$H:$H=""Can't be Together""),"""")})))"),"")</f>
        <v/>
      </c>
      <c r="AD270" s="103" t="str">
        <f>IFERROR(__xludf.DUMMYFUNCTION("if($C270="""","""",if(join("" - "",{iferror(filter('Student Groupings'!$A:$A,'Student Groupings'!$B:$B=$C270,'Student Groupings'!$H:$H=""Must be Together""),"""");iferror(filter('Student Groupings'!$A:$A,'Student Groupings'!$E:$E=$C270,'Student Groupings'"&amp;"!$H:$H=""Must be Together""),"""")})="" - "","""",join("" - "",{iferror(filter('Student Groupings'!$A:$A,'Student Groupings'!$B:$B=$C270,'Student Groupings'!$H:$H=""Must be Together""),"""");iferror(filter('Student Groupings'!$A:$A,'Student Groupings'!$E:"&amp;"$E=$C270,'Student Groupings'!$H:$H=""Must be Together""),"""")})))"),"")</f>
        <v/>
      </c>
      <c r="AE270" s="104"/>
      <c r="AF270" s="104"/>
      <c r="AG270" s="104"/>
      <c r="AH270" s="104"/>
    </row>
    <row r="271">
      <c r="A271" s="101">
        <v>7.0</v>
      </c>
      <c r="B271" s="101">
        <v>30122.0</v>
      </c>
      <c r="C271" s="102" t="s">
        <v>539</v>
      </c>
      <c r="D271" s="52" t="s">
        <v>175</v>
      </c>
      <c r="E271" s="101">
        <v>2.0</v>
      </c>
      <c r="F271" s="52" t="s">
        <v>163</v>
      </c>
      <c r="G271" s="52">
        <v>6.0</v>
      </c>
      <c r="H271" s="52" t="s">
        <v>184</v>
      </c>
      <c r="I271" s="52">
        <v>3.0</v>
      </c>
      <c r="J271" s="52" t="s">
        <v>195</v>
      </c>
      <c r="K271" s="52">
        <v>5.0</v>
      </c>
      <c r="L271" s="52" t="s">
        <v>200</v>
      </c>
      <c r="M271" s="52">
        <v>4.0</v>
      </c>
      <c r="N271" s="52" t="s">
        <v>154</v>
      </c>
      <c r="O271" s="52" t="s">
        <v>129</v>
      </c>
      <c r="P271" s="52" t="s">
        <v>140</v>
      </c>
      <c r="Q271" s="52" t="s">
        <v>108</v>
      </c>
      <c r="R271" s="52" t="s">
        <v>140</v>
      </c>
      <c r="S271" s="52" t="s">
        <v>108</v>
      </c>
      <c r="T271" s="65" t="s">
        <v>30</v>
      </c>
      <c r="U271" s="32">
        <v>1.0</v>
      </c>
      <c r="V271" s="32">
        <v>1.0</v>
      </c>
      <c r="W271" s="32">
        <v>1.0</v>
      </c>
      <c r="X271" s="32">
        <v>1.0</v>
      </c>
      <c r="Y271" s="32">
        <v>1.0</v>
      </c>
      <c r="Z271" s="32">
        <v>1.0</v>
      </c>
      <c r="AA271" s="32">
        <v>6.0</v>
      </c>
      <c r="AB271" s="32">
        <v>0.0</v>
      </c>
      <c r="AC271" s="103" t="str">
        <f>IFERROR(__xludf.DUMMYFUNCTION("if($C271="""","""",if(join("" - "",{iferror(filter('Student Groupings'!$A:$A,'Student Groupings'!$B:$B=$C271,'Student Groupings'!$H:$H=""Can't be Together""),"""");iferror(filter('Student Groupings'!$A:$A,'Student Groupings'!$E:$E=$C271,'Student Groupings"&amp;"'!$H:$H=""Can't be Together""),"""")})="" - "","""",join("" - "",{iferror(filter('Student Groupings'!$A:$A,'Student Groupings'!$B:$B=$C271,'Student Groupings'!$H:$H=""Can't be Together""),"""");iferror(filter('Student Groupings'!$A:$A,'Student Groupings'!"&amp;"$E:$E=$C271,'Student Groupings'!$H:$H=""Can't be Together""),"""")})))"),"")</f>
        <v/>
      </c>
      <c r="AD271" s="103" t="str">
        <f>IFERROR(__xludf.DUMMYFUNCTION("if($C271="""","""",if(join("" - "",{iferror(filter('Student Groupings'!$A:$A,'Student Groupings'!$B:$B=$C271,'Student Groupings'!$H:$H=""Must be Together""),"""");iferror(filter('Student Groupings'!$A:$A,'Student Groupings'!$E:$E=$C271,'Student Groupings'"&amp;"!$H:$H=""Must be Together""),"""")})="" - "","""",join("" - "",{iferror(filter('Student Groupings'!$A:$A,'Student Groupings'!$B:$B=$C271,'Student Groupings'!$H:$H=""Must be Together""),"""");iferror(filter('Student Groupings'!$A:$A,'Student Groupings'!$E:"&amp;"$E=$C271,'Student Groupings'!$H:$H=""Must be Together""),"""")})))"),"")</f>
        <v/>
      </c>
      <c r="AE271" s="104"/>
      <c r="AF271" s="104"/>
      <c r="AG271" s="104"/>
      <c r="AH271" s="104"/>
    </row>
    <row r="272">
      <c r="A272" s="101">
        <v>7.0</v>
      </c>
      <c r="B272" s="101">
        <v>30123.0</v>
      </c>
      <c r="C272" s="102" t="s">
        <v>540</v>
      </c>
      <c r="D272" s="52" t="s">
        <v>175</v>
      </c>
      <c r="E272" s="52">
        <v>5.0</v>
      </c>
      <c r="F272" s="52" t="s">
        <v>163</v>
      </c>
      <c r="G272" s="52">
        <v>3.0</v>
      </c>
      <c r="H272" s="52" t="s">
        <v>184</v>
      </c>
      <c r="I272" s="52">
        <v>6.0</v>
      </c>
      <c r="J272" s="52" t="s">
        <v>195</v>
      </c>
      <c r="K272" s="52">
        <v>2.0</v>
      </c>
      <c r="L272" s="52" t="s">
        <v>203</v>
      </c>
      <c r="M272" s="52">
        <v>4.0</v>
      </c>
      <c r="N272" s="52" t="s">
        <v>150</v>
      </c>
      <c r="O272" s="52" t="s">
        <v>129</v>
      </c>
      <c r="P272" s="52" t="s">
        <v>116</v>
      </c>
      <c r="Q272" s="52" t="s">
        <v>108</v>
      </c>
      <c r="R272" s="52" t="s">
        <v>133</v>
      </c>
      <c r="S272" s="52" t="s">
        <v>108</v>
      </c>
      <c r="T272" s="65" t="s">
        <v>8</v>
      </c>
      <c r="U272" s="32">
        <v>1.0</v>
      </c>
      <c r="V272" s="32">
        <v>1.0</v>
      </c>
      <c r="W272" s="32">
        <v>1.0</v>
      </c>
      <c r="X272" s="32">
        <v>1.0</v>
      </c>
      <c r="Y272" s="32">
        <v>1.0</v>
      </c>
      <c r="Z272" s="32">
        <v>1.0</v>
      </c>
      <c r="AA272" s="32">
        <v>6.0</v>
      </c>
      <c r="AB272" s="32">
        <v>0.0</v>
      </c>
      <c r="AC272" s="103" t="str">
        <f>IFERROR(__xludf.DUMMYFUNCTION("if($C272="""","""",if(join("" - "",{iferror(filter('Student Groupings'!$A:$A,'Student Groupings'!$B:$B=$C272,'Student Groupings'!$H:$H=""Can't be Together""),"""");iferror(filter('Student Groupings'!$A:$A,'Student Groupings'!$E:$E=$C272,'Student Groupings"&amp;"'!$H:$H=""Can't be Together""),"""")})="" - "","""",join("" - "",{iferror(filter('Student Groupings'!$A:$A,'Student Groupings'!$B:$B=$C272,'Student Groupings'!$H:$H=""Can't be Together""),"""");iferror(filter('Student Groupings'!$A:$A,'Student Groupings'!"&amp;"$E:$E=$C272,'Student Groupings'!$H:$H=""Can't be Together""),"""")})))"),"")</f>
        <v/>
      </c>
      <c r="AD272" s="103" t="str">
        <f>IFERROR(__xludf.DUMMYFUNCTION("if($C272="""","""",if(join("" - "",{iferror(filter('Student Groupings'!$A:$A,'Student Groupings'!$B:$B=$C272,'Student Groupings'!$H:$H=""Must be Together""),"""");iferror(filter('Student Groupings'!$A:$A,'Student Groupings'!$E:$E=$C272,'Student Groupings'"&amp;"!$H:$H=""Must be Together""),"""")})="" - "","""",join("" - "",{iferror(filter('Student Groupings'!$A:$A,'Student Groupings'!$B:$B=$C272,'Student Groupings'!$H:$H=""Must be Together""),"""");iferror(filter('Student Groupings'!$A:$A,'Student Groupings'!$E:"&amp;"$E=$C272,'Student Groupings'!$H:$H=""Must be Together""),"""")})))"),"")</f>
        <v/>
      </c>
      <c r="AE272" s="105"/>
      <c r="AF272" s="105"/>
      <c r="AG272" s="105"/>
      <c r="AH272" s="105"/>
    </row>
    <row r="273">
      <c r="A273" s="101">
        <v>7.0</v>
      </c>
      <c r="B273" s="101">
        <v>30124.0</v>
      </c>
      <c r="C273" s="102" t="s">
        <v>541</v>
      </c>
      <c r="D273" s="52" t="s">
        <v>179</v>
      </c>
      <c r="E273" s="52">
        <v>6.0</v>
      </c>
      <c r="F273" s="52" t="s">
        <v>164</v>
      </c>
      <c r="G273" s="52">
        <v>4.0</v>
      </c>
      <c r="H273" s="52" t="s">
        <v>188</v>
      </c>
      <c r="I273" s="52">
        <v>5.0</v>
      </c>
      <c r="J273" s="52" t="s">
        <v>195</v>
      </c>
      <c r="K273" s="52">
        <v>3.0</v>
      </c>
      <c r="L273" s="52" t="s">
        <v>200</v>
      </c>
      <c r="M273" s="52">
        <v>1.0</v>
      </c>
      <c r="N273" s="52" t="s">
        <v>154</v>
      </c>
      <c r="O273" s="52" t="s">
        <v>119</v>
      </c>
      <c r="P273" s="52" t="s">
        <v>140</v>
      </c>
      <c r="Q273" s="52" t="s">
        <v>125</v>
      </c>
      <c r="R273" s="52" t="s">
        <v>140</v>
      </c>
      <c r="S273" s="52" t="s">
        <v>125</v>
      </c>
      <c r="T273" s="65" t="s">
        <v>30</v>
      </c>
      <c r="U273" s="32">
        <v>1.0</v>
      </c>
      <c r="V273" s="32">
        <v>1.0</v>
      </c>
      <c r="W273" s="32">
        <v>1.0</v>
      </c>
      <c r="X273" s="32">
        <v>1.0</v>
      </c>
      <c r="Y273" s="32">
        <v>1.0</v>
      </c>
      <c r="Z273" s="32">
        <v>1.0</v>
      </c>
      <c r="AA273" s="32">
        <v>6.0</v>
      </c>
      <c r="AB273" s="32">
        <v>0.0</v>
      </c>
      <c r="AC273" s="103" t="str">
        <f>IFERROR(__xludf.DUMMYFUNCTION("if($C273="""","""",if(join("" - "",{iferror(filter('Student Groupings'!$A:$A,'Student Groupings'!$B:$B=$C273,'Student Groupings'!$H:$H=""Can't be Together""),"""");iferror(filter('Student Groupings'!$A:$A,'Student Groupings'!$E:$E=$C273,'Student Groupings"&amp;"'!$H:$H=""Can't be Together""),"""")})="" - "","""",join("" - "",{iferror(filter('Student Groupings'!$A:$A,'Student Groupings'!$B:$B=$C273,'Student Groupings'!$H:$H=""Can't be Together""),"""");iferror(filter('Student Groupings'!$A:$A,'Student Groupings'!"&amp;"$E:$E=$C273,'Student Groupings'!$H:$H=""Can't be Together""),"""")})))"),"")</f>
        <v/>
      </c>
      <c r="AD273" s="103" t="str">
        <f>IFERROR(__xludf.DUMMYFUNCTION("if($C273="""","""",if(join("" - "",{iferror(filter('Student Groupings'!$A:$A,'Student Groupings'!$B:$B=$C273,'Student Groupings'!$H:$H=""Must be Together""),"""");iferror(filter('Student Groupings'!$A:$A,'Student Groupings'!$E:$E=$C273,'Student Groupings'"&amp;"!$H:$H=""Must be Together""),"""")})="" - "","""",join("" - "",{iferror(filter('Student Groupings'!$A:$A,'Student Groupings'!$B:$B=$C273,'Student Groupings'!$H:$H=""Must be Together""),"""");iferror(filter('Student Groupings'!$A:$A,'Student Groupings'!$E:"&amp;"$E=$C273,'Student Groupings'!$H:$H=""Must be Together""),"""")})))"),"")</f>
        <v/>
      </c>
      <c r="AE273" s="104"/>
      <c r="AF273" s="104"/>
      <c r="AG273" s="104"/>
      <c r="AH273" s="104"/>
    </row>
    <row r="274">
      <c r="A274" s="101">
        <v>7.0</v>
      </c>
      <c r="B274" s="101">
        <v>30125.0</v>
      </c>
      <c r="C274" s="102" t="s">
        <v>542</v>
      </c>
      <c r="D274" s="52" t="s">
        <v>175</v>
      </c>
      <c r="E274" s="52">
        <v>3.0</v>
      </c>
      <c r="F274" s="52" t="s">
        <v>163</v>
      </c>
      <c r="G274" s="52">
        <v>5.0</v>
      </c>
      <c r="H274" s="52" t="s">
        <v>184</v>
      </c>
      <c r="I274" s="52">
        <v>2.0</v>
      </c>
      <c r="J274" s="52" t="s">
        <v>193</v>
      </c>
      <c r="K274" s="52">
        <v>1.0</v>
      </c>
      <c r="L274" s="52" t="s">
        <v>200</v>
      </c>
      <c r="M274" s="52">
        <v>6.0</v>
      </c>
      <c r="N274" s="52" t="s">
        <v>150</v>
      </c>
      <c r="O274" s="52" t="s">
        <v>111</v>
      </c>
      <c r="P274" s="52" t="s">
        <v>140</v>
      </c>
      <c r="Q274" s="52" t="s">
        <v>130</v>
      </c>
      <c r="R274" s="52" t="s">
        <v>140</v>
      </c>
      <c r="S274" s="52" t="s">
        <v>130</v>
      </c>
      <c r="T274" s="65" t="s">
        <v>30</v>
      </c>
      <c r="U274" s="32">
        <v>1.0</v>
      </c>
      <c r="V274" s="32">
        <v>1.0</v>
      </c>
      <c r="W274" s="32">
        <v>1.0</v>
      </c>
      <c r="X274" s="32">
        <v>1.0</v>
      </c>
      <c r="Y274" s="32">
        <v>1.0</v>
      </c>
      <c r="Z274" s="32">
        <v>1.0</v>
      </c>
      <c r="AA274" s="32">
        <v>6.0</v>
      </c>
      <c r="AB274" s="32">
        <v>0.0</v>
      </c>
      <c r="AC274" s="103" t="str">
        <f>IFERROR(__xludf.DUMMYFUNCTION("if($C274="""","""",if(join("" - "",{iferror(filter('Student Groupings'!$A:$A,'Student Groupings'!$B:$B=$C274,'Student Groupings'!$H:$H=""Can't be Together""),"""");iferror(filter('Student Groupings'!$A:$A,'Student Groupings'!$E:$E=$C274,'Student Groupings"&amp;"'!$H:$H=""Can't be Together""),"""")})="" - "","""",join("" - "",{iferror(filter('Student Groupings'!$A:$A,'Student Groupings'!$B:$B=$C274,'Student Groupings'!$H:$H=""Can't be Together""),"""");iferror(filter('Student Groupings'!$A:$A,'Student Groupings'!"&amp;"$E:$E=$C274,'Student Groupings'!$H:$H=""Can't be Together""),"""")})))"),"")</f>
        <v/>
      </c>
      <c r="AD274" s="103" t="str">
        <f>IFERROR(__xludf.DUMMYFUNCTION("if($C274="""","""",if(join("" - "",{iferror(filter('Student Groupings'!$A:$A,'Student Groupings'!$B:$B=$C274,'Student Groupings'!$H:$H=""Must be Together""),"""");iferror(filter('Student Groupings'!$A:$A,'Student Groupings'!$E:$E=$C274,'Student Groupings'"&amp;"!$H:$H=""Must be Together""),"""")})="" - "","""",join("" - "",{iferror(filter('Student Groupings'!$A:$A,'Student Groupings'!$B:$B=$C274,'Student Groupings'!$H:$H=""Must be Together""),"""");iferror(filter('Student Groupings'!$A:$A,'Student Groupings'!$E:"&amp;"$E=$C274,'Student Groupings'!$H:$H=""Must be Together""),"""")})))"),"")</f>
        <v/>
      </c>
      <c r="AE274" s="104"/>
      <c r="AF274" s="104"/>
      <c r="AG274" s="104"/>
      <c r="AH274" s="104"/>
    </row>
    <row r="275">
      <c r="A275" s="101">
        <v>7.0</v>
      </c>
      <c r="B275" s="101">
        <v>30126.0</v>
      </c>
      <c r="C275" s="102" t="s">
        <v>543</v>
      </c>
      <c r="D275" s="52" t="s">
        <v>175</v>
      </c>
      <c r="E275" s="101">
        <v>4.0</v>
      </c>
      <c r="F275" s="52" t="s">
        <v>164</v>
      </c>
      <c r="G275" s="52">
        <v>3.0</v>
      </c>
      <c r="H275" s="52" t="s">
        <v>184</v>
      </c>
      <c r="I275" s="52">
        <v>1.0</v>
      </c>
      <c r="J275" s="52" t="s">
        <v>193</v>
      </c>
      <c r="K275" s="52">
        <v>5.0</v>
      </c>
      <c r="L275" s="52" t="s">
        <v>200</v>
      </c>
      <c r="M275" s="52">
        <v>2.0</v>
      </c>
      <c r="N275" s="52" t="s">
        <v>150</v>
      </c>
      <c r="O275" s="52" t="s">
        <v>109</v>
      </c>
      <c r="P275" s="52" t="s">
        <v>116</v>
      </c>
      <c r="Q275" s="52" t="s">
        <v>120</v>
      </c>
      <c r="R275" s="52" t="s">
        <v>133</v>
      </c>
      <c r="S275" s="52" t="s">
        <v>120</v>
      </c>
      <c r="T275" s="65" t="s">
        <v>27</v>
      </c>
      <c r="U275" s="32">
        <v>1.0</v>
      </c>
      <c r="V275" s="32">
        <v>1.0</v>
      </c>
      <c r="W275" s="32">
        <v>1.0</v>
      </c>
      <c r="X275" s="32">
        <v>1.0</v>
      </c>
      <c r="Y275" s="32">
        <v>1.0</v>
      </c>
      <c r="Z275" s="32">
        <v>1.0</v>
      </c>
      <c r="AA275" s="32">
        <v>6.0</v>
      </c>
      <c r="AB275" s="32">
        <v>0.0</v>
      </c>
      <c r="AC275" s="103" t="str">
        <f>IFERROR(__xludf.DUMMYFUNCTION("if($C275="""","""",if(join("" - "",{iferror(filter('Student Groupings'!$A:$A,'Student Groupings'!$B:$B=$C275,'Student Groupings'!$H:$H=""Can't be Together""),"""");iferror(filter('Student Groupings'!$A:$A,'Student Groupings'!$E:$E=$C275,'Student Groupings"&amp;"'!$H:$H=""Can't be Together""),"""")})="" - "","""",join("" - "",{iferror(filter('Student Groupings'!$A:$A,'Student Groupings'!$B:$B=$C275,'Student Groupings'!$H:$H=""Can't be Together""),"""");iferror(filter('Student Groupings'!$A:$A,'Student Groupings'!"&amp;"$E:$E=$C275,'Student Groupings'!$H:$H=""Can't be Together""),"""")})))"),"")</f>
        <v/>
      </c>
      <c r="AD275" s="103" t="str">
        <f>IFERROR(__xludf.DUMMYFUNCTION("if($C275="""","""",if(join("" - "",{iferror(filter('Student Groupings'!$A:$A,'Student Groupings'!$B:$B=$C275,'Student Groupings'!$H:$H=""Must be Together""),"""");iferror(filter('Student Groupings'!$A:$A,'Student Groupings'!$E:$E=$C275,'Student Groupings'"&amp;"!$H:$H=""Must be Together""),"""")})="" - "","""",join("" - "",{iferror(filter('Student Groupings'!$A:$A,'Student Groupings'!$B:$B=$C275,'Student Groupings'!$H:$H=""Must be Together""),"""");iferror(filter('Student Groupings'!$A:$A,'Student Groupings'!$E:"&amp;"$E=$C275,'Student Groupings'!$H:$H=""Must be Together""),"""")})))"),"")</f>
        <v/>
      </c>
      <c r="AE275" s="104"/>
      <c r="AF275" s="104"/>
      <c r="AG275" s="104"/>
      <c r="AH275" s="104"/>
    </row>
    <row r="276">
      <c r="A276" s="101">
        <v>7.0</v>
      </c>
      <c r="B276" s="101">
        <v>30127.0</v>
      </c>
      <c r="C276" s="102" t="s">
        <v>544</v>
      </c>
      <c r="D276" s="52" t="s">
        <v>175</v>
      </c>
      <c r="E276" s="52">
        <v>6.0</v>
      </c>
      <c r="F276" s="52" t="s">
        <v>163</v>
      </c>
      <c r="G276" s="52">
        <v>4.0</v>
      </c>
      <c r="H276" s="52" t="s">
        <v>184</v>
      </c>
      <c r="I276" s="101">
        <v>5.0</v>
      </c>
      <c r="J276" s="52" t="s">
        <v>195</v>
      </c>
      <c r="K276" s="52">
        <v>1.0</v>
      </c>
      <c r="L276" s="52" t="s">
        <v>200</v>
      </c>
      <c r="M276" s="52">
        <v>3.0</v>
      </c>
      <c r="N276" s="52" t="s">
        <v>154</v>
      </c>
      <c r="O276" s="52" t="s">
        <v>119</v>
      </c>
      <c r="P276" s="52" t="s">
        <v>140</v>
      </c>
      <c r="Q276" s="52" t="s">
        <v>125</v>
      </c>
      <c r="R276" s="52" t="s">
        <v>140</v>
      </c>
      <c r="S276" s="52" t="s">
        <v>125</v>
      </c>
      <c r="T276" s="65" t="s">
        <v>30</v>
      </c>
      <c r="U276" s="32">
        <v>1.0</v>
      </c>
      <c r="V276" s="32">
        <v>1.0</v>
      </c>
      <c r="W276" s="32">
        <v>1.0</v>
      </c>
      <c r="X276" s="32">
        <v>1.0</v>
      </c>
      <c r="Y276" s="32">
        <v>1.0</v>
      </c>
      <c r="Z276" s="32">
        <v>1.0</v>
      </c>
      <c r="AA276" s="32">
        <v>6.0</v>
      </c>
      <c r="AB276" s="32">
        <v>0.0</v>
      </c>
      <c r="AC276" s="103" t="str">
        <f>IFERROR(__xludf.DUMMYFUNCTION("if($C276="""","""",if(join("" - "",{iferror(filter('Student Groupings'!$A:$A,'Student Groupings'!$B:$B=$C276,'Student Groupings'!$H:$H=""Can't be Together""),"""");iferror(filter('Student Groupings'!$A:$A,'Student Groupings'!$E:$E=$C276,'Student Groupings"&amp;"'!$H:$H=""Can't be Together""),"""")})="" - "","""",join("" - "",{iferror(filter('Student Groupings'!$A:$A,'Student Groupings'!$B:$B=$C276,'Student Groupings'!$H:$H=""Can't be Together""),"""");iferror(filter('Student Groupings'!$A:$A,'Student Groupings'!"&amp;"$E:$E=$C276,'Student Groupings'!$H:$H=""Can't be Together""),"""")})))"),"")</f>
        <v/>
      </c>
      <c r="AD276" s="103" t="str">
        <f>IFERROR(__xludf.DUMMYFUNCTION("if($C276="""","""",if(join("" - "",{iferror(filter('Student Groupings'!$A:$A,'Student Groupings'!$B:$B=$C276,'Student Groupings'!$H:$H=""Must be Together""),"""");iferror(filter('Student Groupings'!$A:$A,'Student Groupings'!$E:$E=$C276,'Student Groupings'"&amp;"!$H:$H=""Must be Together""),"""")})="" - "","""",join("" - "",{iferror(filter('Student Groupings'!$A:$A,'Student Groupings'!$B:$B=$C276,'Student Groupings'!$H:$H=""Must be Together""),"""");iferror(filter('Student Groupings'!$A:$A,'Student Groupings'!$E:"&amp;"$E=$C276,'Student Groupings'!$H:$H=""Must be Together""),"""")})))"),"")</f>
        <v/>
      </c>
      <c r="AE276" s="105"/>
      <c r="AF276" s="105">
        <v>1.0</v>
      </c>
      <c r="AG276" s="105">
        <v>1.0</v>
      </c>
      <c r="AH276" s="105"/>
    </row>
    <row r="277">
      <c r="A277" s="101">
        <v>8.0</v>
      </c>
      <c r="B277" s="101">
        <v>29001.0</v>
      </c>
      <c r="C277" s="102" t="s">
        <v>545</v>
      </c>
      <c r="D277" s="52" t="s">
        <v>176</v>
      </c>
      <c r="E277" s="52">
        <v>5.0</v>
      </c>
      <c r="F277" s="52" t="s">
        <v>167</v>
      </c>
      <c r="G277" s="52">
        <v>3.0</v>
      </c>
      <c r="H277" s="52" t="s">
        <v>185</v>
      </c>
      <c r="I277" s="101">
        <v>2.0</v>
      </c>
      <c r="J277" s="52" t="s">
        <v>190</v>
      </c>
      <c r="K277" s="52">
        <v>1.0</v>
      </c>
      <c r="L277" s="52" t="s">
        <v>201</v>
      </c>
      <c r="M277" s="101">
        <v>6.0</v>
      </c>
      <c r="N277" s="52" t="s">
        <v>149</v>
      </c>
      <c r="O277" s="52" t="s">
        <v>111</v>
      </c>
      <c r="P277" s="52" t="s">
        <v>135</v>
      </c>
      <c r="Q277" s="52" t="s">
        <v>130</v>
      </c>
      <c r="R277" s="52" t="s">
        <v>118</v>
      </c>
      <c r="S277" s="52" t="s">
        <v>130</v>
      </c>
      <c r="T277" s="65" t="s">
        <v>27</v>
      </c>
      <c r="U277" s="32">
        <v>1.0</v>
      </c>
      <c r="V277" s="32">
        <v>1.0</v>
      </c>
      <c r="W277" s="32">
        <v>1.0</v>
      </c>
      <c r="X277" s="32">
        <v>1.0</v>
      </c>
      <c r="Y277" s="32">
        <v>1.0</v>
      </c>
      <c r="Z277" s="32">
        <v>1.0</v>
      </c>
      <c r="AA277" s="32">
        <v>6.0</v>
      </c>
      <c r="AB277" s="32">
        <v>0.0</v>
      </c>
      <c r="AC277" s="103" t="str">
        <f>IFERROR(__xludf.DUMMYFUNCTION("if($C277="""","""",if(join("" - "",{iferror(filter('Student Groupings'!$A:$A,'Student Groupings'!$B:$B=$C277,'Student Groupings'!$H:$H=""Can't be Together""),"""");iferror(filter('Student Groupings'!$A:$A,'Student Groupings'!$E:$E=$C277,'Student Groupings"&amp;"'!$H:$H=""Can't be Together""),"""")})="" - "","""",join("" - "",{iferror(filter('Student Groupings'!$A:$A,'Student Groupings'!$B:$B=$C277,'Student Groupings'!$H:$H=""Can't be Together""),"""");iferror(filter('Student Groupings'!$A:$A,'Student Groupings'!"&amp;"$E:$E=$C277,'Student Groupings'!$H:$H=""Can't be Together""),"""")})))"),"")</f>
        <v/>
      </c>
      <c r="AD277" s="103" t="str">
        <f>IFERROR(__xludf.DUMMYFUNCTION("if($C277="""","""",if(join("" - "",{iferror(filter('Student Groupings'!$A:$A,'Student Groupings'!$B:$B=$C277,'Student Groupings'!$H:$H=""Must be Together""),"""");iferror(filter('Student Groupings'!$A:$A,'Student Groupings'!$E:$E=$C277,'Student Groupings'"&amp;"!$H:$H=""Must be Together""),"""")})="" - "","""",join("" - "",{iferror(filter('Student Groupings'!$A:$A,'Student Groupings'!$B:$B=$C277,'Student Groupings'!$H:$H=""Must be Together""),"""");iferror(filter('Student Groupings'!$A:$A,'Student Groupings'!$E:"&amp;"$E=$C277,'Student Groupings'!$H:$H=""Must be Together""),"""")})))"),"")</f>
        <v/>
      </c>
      <c r="AE277" s="104"/>
      <c r="AF277" s="104"/>
      <c r="AG277" s="104"/>
      <c r="AH277" s="104"/>
    </row>
    <row r="278">
      <c r="A278" s="101">
        <v>8.0</v>
      </c>
      <c r="B278" s="101">
        <v>29002.0</v>
      </c>
      <c r="C278" s="102" t="s">
        <v>546</v>
      </c>
      <c r="D278" s="52" t="s">
        <v>176</v>
      </c>
      <c r="E278" s="52">
        <v>3.0</v>
      </c>
      <c r="F278" s="52" t="s">
        <v>167</v>
      </c>
      <c r="G278" s="52">
        <v>5.0</v>
      </c>
      <c r="H278" s="52" t="s">
        <v>185</v>
      </c>
      <c r="I278" s="52">
        <v>6.0</v>
      </c>
      <c r="J278" s="52" t="s">
        <v>190</v>
      </c>
      <c r="K278" s="52">
        <v>2.0</v>
      </c>
      <c r="L278" s="52" t="s">
        <v>201</v>
      </c>
      <c r="M278" s="52">
        <v>4.0</v>
      </c>
      <c r="N278" s="52" t="s">
        <v>149</v>
      </c>
      <c r="O278" s="52" t="s">
        <v>108</v>
      </c>
      <c r="P278" s="52" t="s">
        <v>141</v>
      </c>
      <c r="Q278" s="52" t="s">
        <v>129</v>
      </c>
      <c r="R278" s="52" t="s">
        <v>141</v>
      </c>
      <c r="S278" s="52" t="s">
        <v>129</v>
      </c>
      <c r="T278" s="65" t="s">
        <v>30</v>
      </c>
      <c r="U278" s="32">
        <v>1.0</v>
      </c>
      <c r="V278" s="32">
        <v>1.0</v>
      </c>
      <c r="W278" s="32">
        <v>1.0</v>
      </c>
      <c r="X278" s="32">
        <v>1.0</v>
      </c>
      <c r="Y278" s="32">
        <v>1.0</v>
      </c>
      <c r="Z278" s="32">
        <v>1.0</v>
      </c>
      <c r="AA278" s="32">
        <v>6.0</v>
      </c>
      <c r="AB278" s="32">
        <v>0.0</v>
      </c>
      <c r="AC278" s="103" t="str">
        <f>IFERROR(__xludf.DUMMYFUNCTION("if($C278="""","""",if(join("" - "",{iferror(filter('Student Groupings'!$A:$A,'Student Groupings'!$B:$B=$C278,'Student Groupings'!$H:$H=""Can't be Together""),"""");iferror(filter('Student Groupings'!$A:$A,'Student Groupings'!$E:$E=$C278,'Student Groupings"&amp;"'!$H:$H=""Can't be Together""),"""")})="" - "","""",join("" - "",{iferror(filter('Student Groupings'!$A:$A,'Student Groupings'!$B:$B=$C278,'Student Groupings'!$H:$H=""Can't be Together""),"""");iferror(filter('Student Groupings'!$A:$A,'Student Groupings'!"&amp;"$E:$E=$C278,'Student Groupings'!$H:$H=""Can't be Together""),"""")})))"),"")</f>
        <v/>
      </c>
      <c r="AD278" s="103" t="str">
        <f>IFERROR(__xludf.DUMMYFUNCTION("if($C278="""","""",if(join("" - "",{iferror(filter('Student Groupings'!$A:$A,'Student Groupings'!$B:$B=$C278,'Student Groupings'!$H:$H=""Must be Together""),"""");iferror(filter('Student Groupings'!$A:$A,'Student Groupings'!$E:$E=$C278,'Student Groupings'"&amp;"!$H:$H=""Must be Together""),"""")})="" - "","""",join("" - "",{iferror(filter('Student Groupings'!$A:$A,'Student Groupings'!$B:$B=$C278,'Student Groupings'!$H:$H=""Must be Together""),"""");iferror(filter('Student Groupings'!$A:$A,'Student Groupings'!$E:"&amp;"$E=$C278,'Student Groupings'!$H:$H=""Must be Together""),"""")})))"),"")</f>
        <v/>
      </c>
      <c r="AE278" s="104"/>
      <c r="AF278" s="104"/>
      <c r="AG278" s="104"/>
      <c r="AH278" s="104"/>
    </row>
    <row r="279">
      <c r="A279" s="101">
        <v>8.0</v>
      </c>
      <c r="B279" s="101">
        <v>29003.0</v>
      </c>
      <c r="C279" s="102" t="s">
        <v>547</v>
      </c>
      <c r="D279" s="52" t="s">
        <v>176</v>
      </c>
      <c r="E279" s="52">
        <v>4.0</v>
      </c>
      <c r="F279" s="52" t="s">
        <v>162</v>
      </c>
      <c r="G279" s="101">
        <v>6.0</v>
      </c>
      <c r="H279" s="52" t="s">
        <v>185</v>
      </c>
      <c r="I279" s="52">
        <v>1.0</v>
      </c>
      <c r="J279" s="52" t="s">
        <v>190</v>
      </c>
      <c r="K279" s="52">
        <v>3.0</v>
      </c>
      <c r="L279" s="52" t="s">
        <v>201</v>
      </c>
      <c r="M279" s="52">
        <v>2.0</v>
      </c>
      <c r="N279" s="52" t="s">
        <v>149</v>
      </c>
      <c r="O279" s="52" t="s">
        <v>112</v>
      </c>
      <c r="P279" s="52" t="s">
        <v>135</v>
      </c>
      <c r="Q279" s="52" t="s">
        <v>124</v>
      </c>
      <c r="R279" s="52" t="s">
        <v>118</v>
      </c>
      <c r="S279" s="52" t="s">
        <v>124</v>
      </c>
      <c r="T279" s="65" t="s">
        <v>27</v>
      </c>
      <c r="U279" s="32">
        <v>1.0</v>
      </c>
      <c r="V279" s="32">
        <v>1.0</v>
      </c>
      <c r="W279" s="32">
        <v>1.0</v>
      </c>
      <c r="X279" s="32">
        <v>1.0</v>
      </c>
      <c r="Y279" s="32">
        <v>1.0</v>
      </c>
      <c r="Z279" s="32">
        <v>1.0</v>
      </c>
      <c r="AA279" s="32">
        <v>6.0</v>
      </c>
      <c r="AB279" s="32">
        <v>0.0</v>
      </c>
      <c r="AC279" s="103" t="str">
        <f>IFERROR(__xludf.DUMMYFUNCTION("if($C279="""","""",if(join("" - "",{iferror(filter('Student Groupings'!$A:$A,'Student Groupings'!$B:$B=$C279,'Student Groupings'!$H:$H=""Can't be Together""),"""");iferror(filter('Student Groupings'!$A:$A,'Student Groupings'!$E:$E=$C279,'Student Groupings"&amp;"'!$H:$H=""Can't be Together""),"""")})="" - "","""",join("" - "",{iferror(filter('Student Groupings'!$A:$A,'Student Groupings'!$B:$B=$C279,'Student Groupings'!$H:$H=""Can't be Together""),"""");iferror(filter('Student Groupings'!$A:$A,'Student Groupings'!"&amp;"$E:$E=$C279,'Student Groupings'!$H:$H=""Can't be Together""),"""")})))"),"")</f>
        <v/>
      </c>
      <c r="AD279" s="103" t="str">
        <f>IFERROR(__xludf.DUMMYFUNCTION("if($C279="""","""",if(join("" - "",{iferror(filter('Student Groupings'!$A:$A,'Student Groupings'!$B:$B=$C279,'Student Groupings'!$H:$H=""Must be Together""),"""");iferror(filter('Student Groupings'!$A:$A,'Student Groupings'!$E:$E=$C279,'Student Groupings'"&amp;"!$H:$H=""Must be Together""),"""")})="" - "","""",join("" - "",{iferror(filter('Student Groupings'!$A:$A,'Student Groupings'!$B:$B=$C279,'Student Groupings'!$H:$H=""Must be Together""),"""");iferror(filter('Student Groupings'!$A:$A,'Student Groupings'!$E:"&amp;"$E=$C279,'Student Groupings'!$H:$H=""Must be Together""),"""")})))"),"")</f>
        <v/>
      </c>
      <c r="AE279" s="104"/>
      <c r="AF279" s="104"/>
      <c r="AG279" s="104"/>
      <c r="AH279" s="104"/>
    </row>
    <row r="280">
      <c r="A280" s="101">
        <v>8.0</v>
      </c>
      <c r="B280" s="101">
        <v>29004.0</v>
      </c>
      <c r="C280" s="102" t="s">
        <v>548</v>
      </c>
      <c r="D280" s="52" t="s">
        <v>176</v>
      </c>
      <c r="E280" s="52">
        <v>4.0</v>
      </c>
      <c r="F280" s="52" t="s">
        <v>167</v>
      </c>
      <c r="G280" s="52">
        <v>5.0</v>
      </c>
      <c r="H280" s="52" t="s">
        <v>185</v>
      </c>
      <c r="I280" s="52">
        <v>1.0</v>
      </c>
      <c r="J280" s="52" t="s">
        <v>190</v>
      </c>
      <c r="K280" s="52">
        <v>3.0</v>
      </c>
      <c r="L280" s="52" t="s">
        <v>201</v>
      </c>
      <c r="M280" s="52">
        <v>2.0</v>
      </c>
      <c r="N280" s="52" t="s">
        <v>149</v>
      </c>
      <c r="O280" s="52" t="s">
        <v>120</v>
      </c>
      <c r="P280" s="52" t="s">
        <v>141</v>
      </c>
      <c r="Q280" s="52" t="s">
        <v>109</v>
      </c>
      <c r="R280" s="52" t="s">
        <v>141</v>
      </c>
      <c r="S280" s="52" t="s">
        <v>109</v>
      </c>
      <c r="T280" s="65" t="s">
        <v>30</v>
      </c>
      <c r="U280" s="32">
        <v>1.0</v>
      </c>
      <c r="V280" s="32">
        <v>1.0</v>
      </c>
      <c r="W280" s="32">
        <v>1.0</v>
      </c>
      <c r="X280" s="32">
        <v>1.0</v>
      </c>
      <c r="Y280" s="32">
        <v>1.0</v>
      </c>
      <c r="Z280" s="32">
        <v>1.0</v>
      </c>
      <c r="AA280" s="32">
        <v>6.0</v>
      </c>
      <c r="AB280" s="32">
        <v>0.0</v>
      </c>
      <c r="AC280" s="103" t="str">
        <f>IFERROR(__xludf.DUMMYFUNCTION("if($C280="""","""",if(join("" - "",{iferror(filter('Student Groupings'!$A:$A,'Student Groupings'!$B:$B=$C280,'Student Groupings'!$H:$H=""Can't be Together""),"""");iferror(filter('Student Groupings'!$A:$A,'Student Groupings'!$E:$E=$C280,'Student Groupings"&amp;"'!$H:$H=""Can't be Together""),"""")})="" - "","""",join("" - "",{iferror(filter('Student Groupings'!$A:$A,'Student Groupings'!$B:$B=$C280,'Student Groupings'!$H:$H=""Can't be Together""),"""");iferror(filter('Student Groupings'!$A:$A,'Student Groupings'!"&amp;"$E:$E=$C280,'Student Groupings'!$H:$H=""Can't be Together""),"""")})))"),"")</f>
        <v/>
      </c>
      <c r="AD280" s="103" t="str">
        <f>IFERROR(__xludf.DUMMYFUNCTION("if($C280="""","""",if(join("" - "",{iferror(filter('Student Groupings'!$A:$A,'Student Groupings'!$B:$B=$C280,'Student Groupings'!$H:$H=""Must be Together""),"""");iferror(filter('Student Groupings'!$A:$A,'Student Groupings'!$E:$E=$C280,'Student Groupings'"&amp;"!$H:$H=""Must be Together""),"""")})="" - "","""",join("" - "",{iferror(filter('Student Groupings'!$A:$A,'Student Groupings'!$B:$B=$C280,'Student Groupings'!$H:$H=""Must be Together""),"""");iferror(filter('Student Groupings'!$A:$A,'Student Groupings'!$E:"&amp;"$E=$C280,'Student Groupings'!$H:$H=""Must be Together""),"""")})))"),"")</f>
        <v/>
      </c>
      <c r="AE280" s="104"/>
      <c r="AF280" s="104"/>
      <c r="AG280" s="104"/>
      <c r="AH280" s="104"/>
    </row>
    <row r="281">
      <c r="A281" s="101">
        <v>8.0</v>
      </c>
      <c r="B281" s="101">
        <v>29170.0</v>
      </c>
      <c r="C281" s="102" t="s">
        <v>549</v>
      </c>
      <c r="D281" s="52" t="s">
        <v>176</v>
      </c>
      <c r="E281" s="52">
        <v>4.0</v>
      </c>
      <c r="F281" s="52" t="s">
        <v>162</v>
      </c>
      <c r="G281" s="52">
        <v>6.0</v>
      </c>
      <c r="H281" s="52" t="s">
        <v>185</v>
      </c>
      <c r="I281" s="52">
        <v>5.0</v>
      </c>
      <c r="J281" s="52" t="s">
        <v>190</v>
      </c>
      <c r="K281" s="52">
        <v>3.0</v>
      </c>
      <c r="L281" s="52" t="s">
        <v>201</v>
      </c>
      <c r="M281" s="52">
        <v>2.0</v>
      </c>
      <c r="N281" s="52" t="s">
        <v>149</v>
      </c>
      <c r="O281" s="52" t="s">
        <v>108</v>
      </c>
      <c r="P281" s="52" t="s">
        <v>141</v>
      </c>
      <c r="Q281" s="52" t="s">
        <v>129</v>
      </c>
      <c r="R281" s="52" t="s">
        <v>141</v>
      </c>
      <c r="S281" s="52" t="s">
        <v>129</v>
      </c>
      <c r="T281" s="65" t="s">
        <v>8</v>
      </c>
      <c r="U281" s="32">
        <v>1.0</v>
      </c>
      <c r="V281" s="32">
        <v>1.0</v>
      </c>
      <c r="W281" s="32">
        <v>1.0</v>
      </c>
      <c r="X281" s="32">
        <v>1.0</v>
      </c>
      <c r="Y281" s="32">
        <v>1.0</v>
      </c>
      <c r="Z281" s="32">
        <v>1.0</v>
      </c>
      <c r="AA281" s="32">
        <v>6.0</v>
      </c>
      <c r="AB281" s="32">
        <v>0.0</v>
      </c>
      <c r="AC281" s="103" t="str">
        <f>IFERROR(__xludf.DUMMYFUNCTION("if($C281="""","""",if(join("" - "",{iferror(filter('Student Groupings'!$A:$A,'Student Groupings'!$B:$B=$C281,'Student Groupings'!$H:$H=""Can't be Together""),"""");iferror(filter('Student Groupings'!$A:$A,'Student Groupings'!$E:$E=$C281,'Student Groupings"&amp;"'!$H:$H=""Can't be Together""),"""")})="" - "","""",join("" - "",{iferror(filter('Student Groupings'!$A:$A,'Student Groupings'!$B:$B=$C281,'Student Groupings'!$H:$H=""Can't be Together""),"""");iferror(filter('Student Groupings'!$A:$A,'Student Groupings'!"&amp;"$E:$E=$C281,'Student Groupings'!$H:$H=""Can't be Together""),"""")})))"),"")</f>
        <v/>
      </c>
      <c r="AD281" s="103" t="str">
        <f>IFERROR(__xludf.DUMMYFUNCTION("if($C281="""","""",if(join("" - "",{iferror(filter('Student Groupings'!$A:$A,'Student Groupings'!$B:$B=$C281,'Student Groupings'!$H:$H=""Must be Together""),"""");iferror(filter('Student Groupings'!$A:$A,'Student Groupings'!$E:$E=$C281,'Student Groupings'"&amp;"!$H:$H=""Must be Together""),"""")})="" - "","""",join("" - "",{iferror(filter('Student Groupings'!$A:$A,'Student Groupings'!$B:$B=$C281,'Student Groupings'!$H:$H=""Must be Together""),"""");iferror(filter('Student Groupings'!$A:$A,'Student Groupings'!$E:"&amp;"$E=$C281,'Student Groupings'!$H:$H=""Must be Together""),"""")})))"),"")</f>
        <v/>
      </c>
      <c r="AE281" s="104"/>
      <c r="AF281" s="104"/>
      <c r="AG281" s="104"/>
      <c r="AH281" s="104"/>
    </row>
    <row r="282">
      <c r="A282" s="101">
        <v>8.0</v>
      </c>
      <c r="B282" s="101">
        <v>29007.0</v>
      </c>
      <c r="C282" s="102" t="s">
        <v>261</v>
      </c>
      <c r="D282" s="52" t="s">
        <v>176</v>
      </c>
      <c r="E282" s="52">
        <v>2.0</v>
      </c>
      <c r="F282" s="52" t="s">
        <v>162</v>
      </c>
      <c r="G282" s="52">
        <v>6.0</v>
      </c>
      <c r="H282" s="52" t="s">
        <v>185</v>
      </c>
      <c r="I282" s="52">
        <v>5.0</v>
      </c>
      <c r="J282" s="52" t="s">
        <v>190</v>
      </c>
      <c r="K282" s="52">
        <v>4.0</v>
      </c>
      <c r="L282" s="52" t="s">
        <v>201</v>
      </c>
      <c r="M282" s="52">
        <v>3.0</v>
      </c>
      <c r="N282" s="52" t="s">
        <v>149</v>
      </c>
      <c r="O282" s="52" t="s">
        <v>108</v>
      </c>
      <c r="P282" s="52" t="s">
        <v>141</v>
      </c>
      <c r="Q282" s="52" t="s">
        <v>129</v>
      </c>
      <c r="R282" s="52" t="s">
        <v>141</v>
      </c>
      <c r="S282" s="52" t="s">
        <v>129</v>
      </c>
      <c r="T282" s="65" t="s">
        <v>30</v>
      </c>
      <c r="U282" s="32">
        <v>1.0</v>
      </c>
      <c r="V282" s="32">
        <v>1.0</v>
      </c>
      <c r="W282" s="32">
        <v>1.0</v>
      </c>
      <c r="X282" s="32">
        <v>1.0</v>
      </c>
      <c r="Y282" s="32">
        <v>1.0</v>
      </c>
      <c r="Z282" s="32">
        <v>1.0</v>
      </c>
      <c r="AA282" s="32">
        <v>6.0</v>
      </c>
      <c r="AB282" s="32">
        <v>0.0</v>
      </c>
      <c r="AC282" s="103" t="str">
        <f>IFERROR(__xludf.DUMMYFUNCTION("if($C282="""","""",if(join("" - "",{iferror(filter('Student Groupings'!$A:$A,'Student Groupings'!$B:$B=$C282,'Student Groupings'!$H:$H=""Can't be Together""),"""");iferror(filter('Student Groupings'!$A:$A,'Student Groupings'!$E:$E=$C282,'Student Groupings"&amp;"'!$H:$H=""Can't be Together""),"""")})="" - "","""",join("" - "",{iferror(filter('Student Groupings'!$A:$A,'Student Groupings'!$B:$B=$C282,'Student Groupings'!$H:$H=""Can't be Together""),"""");iferror(filter('Student Groupings'!$A:$A,'Student Groupings'!"&amp;"$E:$E=$C282,'Student Groupings'!$H:$H=""Can't be Together""),"""")})))"),"43 - 44 - ")</f>
        <v>43 - 44 - </v>
      </c>
      <c r="AD282" s="103" t="str">
        <f>IFERROR(__xludf.DUMMYFUNCTION("if($C282="""","""",if(join("" - "",{iferror(filter('Student Groupings'!$A:$A,'Student Groupings'!$B:$B=$C282,'Student Groupings'!$H:$H=""Must be Together""),"""");iferror(filter('Student Groupings'!$A:$A,'Student Groupings'!$E:$E=$C282,'Student Groupings'"&amp;"!$H:$H=""Must be Together""),"""")})="" - "","""",join("" - "",{iferror(filter('Student Groupings'!$A:$A,'Student Groupings'!$B:$B=$C282,'Student Groupings'!$H:$H=""Must be Together""),"""");iferror(filter('Student Groupings'!$A:$A,'Student Groupings'!$E:"&amp;"$E=$C282,'Student Groupings'!$H:$H=""Must be Together""),"""")})))"),"")</f>
        <v/>
      </c>
      <c r="AE282" s="104"/>
      <c r="AF282" s="104"/>
      <c r="AG282" s="104"/>
      <c r="AH282" s="104"/>
    </row>
    <row r="283">
      <c r="A283" s="101">
        <v>8.0</v>
      </c>
      <c r="B283" s="101">
        <v>29008.0</v>
      </c>
      <c r="C283" s="102" t="s">
        <v>550</v>
      </c>
      <c r="D283" s="52" t="s">
        <v>176</v>
      </c>
      <c r="E283" s="52">
        <v>5.0</v>
      </c>
      <c r="F283" s="52" t="s">
        <v>167</v>
      </c>
      <c r="G283" s="52">
        <v>4.0</v>
      </c>
      <c r="H283" s="52" t="s">
        <v>185</v>
      </c>
      <c r="I283" s="52">
        <v>3.0</v>
      </c>
      <c r="J283" s="52" t="s">
        <v>190</v>
      </c>
      <c r="K283" s="52">
        <v>1.0</v>
      </c>
      <c r="L283" s="52" t="s">
        <v>201</v>
      </c>
      <c r="M283" s="52">
        <v>6.0</v>
      </c>
      <c r="N283" s="52" t="s">
        <v>149</v>
      </c>
      <c r="O283" s="52" t="s">
        <v>125</v>
      </c>
      <c r="P283" s="52" t="s">
        <v>141</v>
      </c>
      <c r="Q283" s="52" t="s">
        <v>119</v>
      </c>
      <c r="R283" s="52" t="s">
        <v>141</v>
      </c>
      <c r="S283" s="52" t="s">
        <v>119</v>
      </c>
      <c r="T283" s="65" t="s">
        <v>30</v>
      </c>
      <c r="U283" s="32">
        <v>1.0</v>
      </c>
      <c r="V283" s="32">
        <v>1.0</v>
      </c>
      <c r="W283" s="32">
        <v>1.0</v>
      </c>
      <c r="X283" s="32">
        <v>1.0</v>
      </c>
      <c r="Y283" s="32">
        <v>1.0</v>
      </c>
      <c r="Z283" s="32">
        <v>1.0</v>
      </c>
      <c r="AA283" s="32">
        <v>6.0</v>
      </c>
      <c r="AB283" s="32">
        <v>0.0</v>
      </c>
      <c r="AC283" s="103" t="str">
        <f>IFERROR(__xludf.DUMMYFUNCTION("if($C283="""","""",if(join("" - "",{iferror(filter('Student Groupings'!$A:$A,'Student Groupings'!$B:$B=$C283,'Student Groupings'!$H:$H=""Can't be Together""),"""");iferror(filter('Student Groupings'!$A:$A,'Student Groupings'!$E:$E=$C283,'Student Groupings"&amp;"'!$H:$H=""Can't be Together""),"""")})="" - "","""",join("" - "",{iferror(filter('Student Groupings'!$A:$A,'Student Groupings'!$B:$B=$C283,'Student Groupings'!$H:$H=""Can't be Together""),"""");iferror(filter('Student Groupings'!$A:$A,'Student Groupings'!"&amp;"$E:$E=$C283,'Student Groupings'!$H:$H=""Can't be Together""),"""")})))"),"")</f>
        <v/>
      </c>
      <c r="AD283" s="103" t="str">
        <f>IFERROR(__xludf.DUMMYFUNCTION("if($C283="""","""",if(join("" - "",{iferror(filter('Student Groupings'!$A:$A,'Student Groupings'!$B:$B=$C283,'Student Groupings'!$H:$H=""Must be Together""),"""");iferror(filter('Student Groupings'!$A:$A,'Student Groupings'!$E:$E=$C283,'Student Groupings'"&amp;"!$H:$H=""Must be Together""),"""")})="" - "","""",join("" - "",{iferror(filter('Student Groupings'!$A:$A,'Student Groupings'!$B:$B=$C283,'Student Groupings'!$H:$H=""Must be Together""),"""");iferror(filter('Student Groupings'!$A:$A,'Student Groupings'!$E:"&amp;"$E=$C283,'Student Groupings'!$H:$H=""Must be Together""),"""")})))"),"")</f>
        <v/>
      </c>
      <c r="AE283" s="104"/>
      <c r="AF283" s="104"/>
      <c r="AG283" s="104"/>
      <c r="AH283" s="104"/>
    </row>
    <row r="284">
      <c r="A284" s="101">
        <v>8.0</v>
      </c>
      <c r="B284" s="101">
        <v>29009.0</v>
      </c>
      <c r="C284" s="102" t="s">
        <v>551</v>
      </c>
      <c r="D284" s="52" t="s">
        <v>176</v>
      </c>
      <c r="E284" s="52">
        <v>3.0</v>
      </c>
      <c r="F284" s="52" t="s">
        <v>162</v>
      </c>
      <c r="G284" s="52">
        <v>6.0</v>
      </c>
      <c r="H284" s="52" t="s">
        <v>185</v>
      </c>
      <c r="I284" s="52">
        <v>5.0</v>
      </c>
      <c r="J284" s="52" t="s">
        <v>190</v>
      </c>
      <c r="K284" s="52">
        <v>2.0</v>
      </c>
      <c r="L284" s="52" t="s">
        <v>201</v>
      </c>
      <c r="M284" s="52">
        <v>4.0</v>
      </c>
      <c r="N284" s="52" t="s">
        <v>149</v>
      </c>
      <c r="O284" s="52" t="s">
        <v>108</v>
      </c>
      <c r="P284" s="52" t="s">
        <v>141</v>
      </c>
      <c r="Q284" s="52" t="s">
        <v>129</v>
      </c>
      <c r="R284" s="52" t="s">
        <v>141</v>
      </c>
      <c r="S284" s="52" t="s">
        <v>129</v>
      </c>
      <c r="T284" s="65" t="s">
        <v>8</v>
      </c>
      <c r="U284" s="32">
        <v>1.0</v>
      </c>
      <c r="V284" s="32">
        <v>1.0</v>
      </c>
      <c r="W284" s="32">
        <v>1.0</v>
      </c>
      <c r="X284" s="32">
        <v>1.0</v>
      </c>
      <c r="Y284" s="32">
        <v>1.0</v>
      </c>
      <c r="Z284" s="32">
        <v>1.0</v>
      </c>
      <c r="AA284" s="32">
        <v>6.0</v>
      </c>
      <c r="AB284" s="32">
        <v>0.0</v>
      </c>
      <c r="AC284" s="103" t="str">
        <f>IFERROR(__xludf.DUMMYFUNCTION("if($C284="""","""",if(join("" - "",{iferror(filter('Student Groupings'!$A:$A,'Student Groupings'!$B:$B=$C284,'Student Groupings'!$H:$H=""Can't be Together""),"""");iferror(filter('Student Groupings'!$A:$A,'Student Groupings'!$E:$E=$C284,'Student Groupings"&amp;"'!$H:$H=""Can't be Together""),"""")})="" - "","""",join("" - "",{iferror(filter('Student Groupings'!$A:$A,'Student Groupings'!$B:$B=$C284,'Student Groupings'!$H:$H=""Can't be Together""),"""");iferror(filter('Student Groupings'!$A:$A,'Student Groupings'!"&amp;"$E:$E=$C284,'Student Groupings'!$H:$H=""Can't be Together""),"""")})))"),"")</f>
        <v/>
      </c>
      <c r="AD284" s="103" t="str">
        <f>IFERROR(__xludf.DUMMYFUNCTION("if($C284="""","""",if(join("" - "",{iferror(filter('Student Groupings'!$A:$A,'Student Groupings'!$B:$B=$C284,'Student Groupings'!$H:$H=""Must be Together""),"""");iferror(filter('Student Groupings'!$A:$A,'Student Groupings'!$E:$E=$C284,'Student Groupings'"&amp;"!$H:$H=""Must be Together""),"""")})="" - "","""",join("" - "",{iferror(filter('Student Groupings'!$A:$A,'Student Groupings'!$B:$B=$C284,'Student Groupings'!$H:$H=""Must be Together""),"""");iferror(filter('Student Groupings'!$A:$A,'Student Groupings'!$E:"&amp;"$E=$C284,'Student Groupings'!$H:$H=""Must be Together""),"""")})))"),"")</f>
        <v/>
      </c>
      <c r="AE284" s="104"/>
      <c r="AF284" s="104"/>
      <c r="AG284" s="104"/>
      <c r="AH284" s="104"/>
    </row>
    <row r="285">
      <c r="A285" s="101">
        <v>8.0</v>
      </c>
      <c r="B285" s="101">
        <v>29010.0</v>
      </c>
      <c r="C285" s="102" t="s">
        <v>552</v>
      </c>
      <c r="D285" s="52" t="s">
        <v>176</v>
      </c>
      <c r="E285" s="52">
        <v>5.0</v>
      </c>
      <c r="F285" s="52" t="s">
        <v>167</v>
      </c>
      <c r="G285" s="52">
        <v>3.0</v>
      </c>
      <c r="H285" s="52" t="s">
        <v>185</v>
      </c>
      <c r="I285" s="52">
        <v>2.0</v>
      </c>
      <c r="J285" s="52" t="s">
        <v>190</v>
      </c>
      <c r="K285" s="52">
        <v>1.0</v>
      </c>
      <c r="L285" s="52" t="s">
        <v>201</v>
      </c>
      <c r="M285" s="52">
        <v>6.0</v>
      </c>
      <c r="N285" s="52" t="s">
        <v>149</v>
      </c>
      <c r="O285" s="52" t="s">
        <v>111</v>
      </c>
      <c r="P285" s="52" t="s">
        <v>135</v>
      </c>
      <c r="Q285" s="52" t="s">
        <v>130</v>
      </c>
      <c r="R285" s="52" t="s">
        <v>118</v>
      </c>
      <c r="S285" s="52" t="s">
        <v>130</v>
      </c>
      <c r="T285" s="65" t="s">
        <v>27</v>
      </c>
      <c r="U285" s="32">
        <v>1.0</v>
      </c>
      <c r="V285" s="32">
        <v>1.0</v>
      </c>
      <c r="W285" s="32">
        <v>1.0</v>
      </c>
      <c r="X285" s="32">
        <v>1.0</v>
      </c>
      <c r="Y285" s="32">
        <v>1.0</v>
      </c>
      <c r="Z285" s="32">
        <v>1.0</v>
      </c>
      <c r="AA285" s="32">
        <v>6.0</v>
      </c>
      <c r="AB285" s="32">
        <v>0.0</v>
      </c>
      <c r="AC285" s="103" t="str">
        <f>IFERROR(__xludf.DUMMYFUNCTION("if($C285="""","""",if(join("" - "",{iferror(filter('Student Groupings'!$A:$A,'Student Groupings'!$B:$B=$C285,'Student Groupings'!$H:$H=""Can't be Together""),"""");iferror(filter('Student Groupings'!$A:$A,'Student Groupings'!$E:$E=$C285,'Student Groupings"&amp;"'!$H:$H=""Can't be Together""),"""")})="" - "","""",join("" - "",{iferror(filter('Student Groupings'!$A:$A,'Student Groupings'!$B:$B=$C285,'Student Groupings'!$H:$H=""Can't be Together""),"""");iferror(filter('Student Groupings'!$A:$A,'Student Groupings'!"&amp;"$E:$E=$C285,'Student Groupings'!$H:$H=""Can't be Together""),"""")})))"),"")</f>
        <v/>
      </c>
      <c r="AD285" s="103" t="str">
        <f>IFERROR(__xludf.DUMMYFUNCTION("if($C285="""","""",if(join("" - "",{iferror(filter('Student Groupings'!$A:$A,'Student Groupings'!$B:$B=$C285,'Student Groupings'!$H:$H=""Must be Together""),"""");iferror(filter('Student Groupings'!$A:$A,'Student Groupings'!$E:$E=$C285,'Student Groupings'"&amp;"!$H:$H=""Must be Together""),"""")})="" - "","""",join("" - "",{iferror(filter('Student Groupings'!$A:$A,'Student Groupings'!$B:$B=$C285,'Student Groupings'!$H:$H=""Must be Together""),"""");iferror(filter('Student Groupings'!$A:$A,'Student Groupings'!$E:"&amp;"$E=$C285,'Student Groupings'!$H:$H=""Must be Together""),"""")})))"),"")</f>
        <v/>
      </c>
      <c r="AE285" s="104"/>
      <c r="AF285" s="104"/>
      <c r="AG285" s="104"/>
      <c r="AH285" s="104"/>
    </row>
    <row r="286">
      <c r="A286" s="101">
        <v>8.0</v>
      </c>
      <c r="B286" s="101">
        <v>29011.0</v>
      </c>
      <c r="C286" s="102" t="s">
        <v>290</v>
      </c>
      <c r="D286" s="52" t="s">
        <v>176</v>
      </c>
      <c r="E286" s="52">
        <v>4.0</v>
      </c>
      <c r="F286" s="52" t="s">
        <v>167</v>
      </c>
      <c r="G286" s="52">
        <v>5.0</v>
      </c>
      <c r="H286" s="52" t="s">
        <v>185</v>
      </c>
      <c r="I286" s="101">
        <v>1.0</v>
      </c>
      <c r="J286" s="52" t="s">
        <v>190</v>
      </c>
      <c r="K286" s="52">
        <v>3.0</v>
      </c>
      <c r="L286" s="52" t="s">
        <v>201</v>
      </c>
      <c r="M286" s="52">
        <v>2.0</v>
      </c>
      <c r="N286" s="52" t="s">
        <v>149</v>
      </c>
      <c r="O286" s="52" t="s">
        <v>120</v>
      </c>
      <c r="P286" s="52" t="s">
        <v>141</v>
      </c>
      <c r="Q286" s="52" t="s">
        <v>109</v>
      </c>
      <c r="R286" s="52" t="s">
        <v>141</v>
      </c>
      <c r="S286" s="52" t="s">
        <v>109</v>
      </c>
      <c r="T286" s="65" t="s">
        <v>30</v>
      </c>
      <c r="U286" s="32">
        <v>1.0</v>
      </c>
      <c r="V286" s="32">
        <v>1.0</v>
      </c>
      <c r="W286" s="32">
        <v>1.0</v>
      </c>
      <c r="X286" s="32">
        <v>1.0</v>
      </c>
      <c r="Y286" s="32">
        <v>1.0</v>
      </c>
      <c r="Z286" s="32">
        <v>1.0</v>
      </c>
      <c r="AA286" s="32">
        <v>6.0</v>
      </c>
      <c r="AB286" s="32">
        <v>0.0</v>
      </c>
      <c r="AC286" s="103" t="str">
        <f>IFERROR(__xludf.DUMMYFUNCTION("if($C286="""","""",if(join("" - "",{iferror(filter('Student Groupings'!$A:$A,'Student Groupings'!$B:$B=$C286,'Student Groupings'!$H:$H=""Can't be Together""),"""");iferror(filter('Student Groupings'!$A:$A,'Student Groupings'!$E:$E=$C286,'Student Groupings"&amp;"'!$H:$H=""Can't be Together""),"""")})="" - "","""",join("" - "",{iferror(filter('Student Groupings'!$A:$A,'Student Groupings'!$B:$B=$C286,'Student Groupings'!$H:$H=""Can't be Together""),"""");iferror(filter('Student Groupings'!$A:$A,'Student Groupings'!"&amp;"$E:$E=$C286,'Student Groupings'!$H:$H=""Can't be Together""),"""")})))"),"")</f>
        <v/>
      </c>
      <c r="AD286" s="103" t="str">
        <f>IFERROR(__xludf.DUMMYFUNCTION("if($C286="""","""",if(join("" - "",{iferror(filter('Student Groupings'!$A:$A,'Student Groupings'!$B:$B=$C286,'Student Groupings'!$H:$H=""Must be Together""),"""");iferror(filter('Student Groupings'!$A:$A,'Student Groupings'!$E:$E=$C286,'Student Groupings'"&amp;"!$H:$H=""Must be Together""),"""")})="" - "","""",join("" - "",{iferror(filter('Student Groupings'!$A:$A,'Student Groupings'!$B:$B=$C286,'Student Groupings'!$H:$H=""Must be Together""),"""");iferror(filter('Student Groupings'!$A:$A,'Student Groupings'!$E:"&amp;"$E=$C286,'Student Groupings'!$H:$H=""Must be Together""),"""")})))")," - 121")</f>
        <v> - 121</v>
      </c>
      <c r="AE286" s="104"/>
      <c r="AF286" s="104"/>
      <c r="AG286" s="105"/>
      <c r="AH286" s="105"/>
    </row>
    <row r="287">
      <c r="A287" s="101">
        <v>8.0</v>
      </c>
      <c r="B287" s="101">
        <v>29012.0</v>
      </c>
      <c r="C287" s="102" t="s">
        <v>553</v>
      </c>
      <c r="D287" s="52" t="s">
        <v>176</v>
      </c>
      <c r="E287" s="52">
        <v>4.0</v>
      </c>
      <c r="F287" s="52" t="s">
        <v>167</v>
      </c>
      <c r="G287" s="52">
        <v>5.0</v>
      </c>
      <c r="H287" s="52" t="s">
        <v>187</v>
      </c>
      <c r="I287" s="52">
        <v>6.0</v>
      </c>
      <c r="J287" s="52" t="s">
        <v>190</v>
      </c>
      <c r="K287" s="52">
        <v>3.0</v>
      </c>
      <c r="L287" s="52" t="s">
        <v>201</v>
      </c>
      <c r="M287" s="52">
        <v>2.0</v>
      </c>
      <c r="N287" s="52" t="s">
        <v>149</v>
      </c>
      <c r="O287" s="52" t="s">
        <v>108</v>
      </c>
      <c r="P287" s="52" t="s">
        <v>141</v>
      </c>
      <c r="Q287" s="52" t="s">
        <v>129</v>
      </c>
      <c r="R287" s="52" t="s">
        <v>141</v>
      </c>
      <c r="S287" s="52" t="s">
        <v>129</v>
      </c>
      <c r="T287" s="65" t="s">
        <v>30</v>
      </c>
      <c r="U287" s="32">
        <v>1.0</v>
      </c>
      <c r="V287" s="32">
        <v>1.0</v>
      </c>
      <c r="W287" s="32">
        <v>1.0</v>
      </c>
      <c r="X287" s="32">
        <v>1.0</v>
      </c>
      <c r="Y287" s="32">
        <v>1.0</v>
      </c>
      <c r="Z287" s="32">
        <v>1.0</v>
      </c>
      <c r="AA287" s="32">
        <v>6.0</v>
      </c>
      <c r="AB287" s="32">
        <v>0.0</v>
      </c>
      <c r="AC287" s="103" t="str">
        <f>IFERROR(__xludf.DUMMYFUNCTION("if($C287="""","""",if(join("" - "",{iferror(filter('Student Groupings'!$A:$A,'Student Groupings'!$B:$B=$C287,'Student Groupings'!$H:$H=""Can't be Together""),"""");iferror(filter('Student Groupings'!$A:$A,'Student Groupings'!$E:$E=$C287,'Student Groupings"&amp;"'!$H:$H=""Can't be Together""),"""")})="" - "","""",join("" - "",{iferror(filter('Student Groupings'!$A:$A,'Student Groupings'!$B:$B=$C287,'Student Groupings'!$H:$H=""Can't be Together""),"""");iferror(filter('Student Groupings'!$A:$A,'Student Groupings'!"&amp;"$E:$E=$C287,'Student Groupings'!$H:$H=""Can't be Together""),"""")})))"),"")</f>
        <v/>
      </c>
      <c r="AD287" s="103" t="str">
        <f>IFERROR(__xludf.DUMMYFUNCTION("if($C287="""","""",if(join("" - "",{iferror(filter('Student Groupings'!$A:$A,'Student Groupings'!$B:$B=$C287,'Student Groupings'!$H:$H=""Must be Together""),"""");iferror(filter('Student Groupings'!$A:$A,'Student Groupings'!$E:$E=$C287,'Student Groupings'"&amp;"!$H:$H=""Must be Together""),"""")})="" - "","""",join("" - "",{iferror(filter('Student Groupings'!$A:$A,'Student Groupings'!$B:$B=$C287,'Student Groupings'!$H:$H=""Must be Together""),"""");iferror(filter('Student Groupings'!$A:$A,'Student Groupings'!$E:"&amp;"$E=$C287,'Student Groupings'!$H:$H=""Must be Together""),"""")})))"),"")</f>
        <v/>
      </c>
      <c r="AE287" s="104"/>
      <c r="AF287" s="104"/>
      <c r="AG287" s="104"/>
      <c r="AH287" s="104"/>
    </row>
    <row r="288">
      <c r="A288" s="101">
        <v>8.0</v>
      </c>
      <c r="B288" s="101">
        <v>28006.0</v>
      </c>
      <c r="C288" s="102" t="s">
        <v>554</v>
      </c>
      <c r="D288" s="52" t="s">
        <v>176</v>
      </c>
      <c r="E288" s="52">
        <v>6.0</v>
      </c>
      <c r="F288" s="52" t="s">
        <v>167</v>
      </c>
      <c r="G288" s="52">
        <v>4.0</v>
      </c>
      <c r="H288" s="52" t="s">
        <v>185</v>
      </c>
      <c r="I288" s="52">
        <v>3.0</v>
      </c>
      <c r="J288" s="52" t="s">
        <v>190</v>
      </c>
      <c r="K288" s="52">
        <v>5.0</v>
      </c>
      <c r="L288" s="52" t="s">
        <v>201</v>
      </c>
      <c r="M288" s="52">
        <v>1.0</v>
      </c>
      <c r="N288" s="52" t="s">
        <v>149</v>
      </c>
      <c r="O288" s="52" t="s">
        <v>125</v>
      </c>
      <c r="P288" s="52" t="s">
        <v>141</v>
      </c>
      <c r="Q288" s="52" t="s">
        <v>119</v>
      </c>
      <c r="R288" s="52" t="s">
        <v>141</v>
      </c>
      <c r="S288" s="52" t="s">
        <v>119</v>
      </c>
      <c r="T288" s="65" t="s">
        <v>30</v>
      </c>
      <c r="U288" s="32">
        <v>1.0</v>
      </c>
      <c r="V288" s="32">
        <v>1.0</v>
      </c>
      <c r="W288" s="32">
        <v>1.0</v>
      </c>
      <c r="X288" s="32">
        <v>1.0</v>
      </c>
      <c r="Y288" s="32">
        <v>1.0</v>
      </c>
      <c r="Z288" s="32">
        <v>1.0</v>
      </c>
      <c r="AA288" s="32">
        <v>6.0</v>
      </c>
      <c r="AB288" s="32">
        <v>0.0</v>
      </c>
      <c r="AC288" s="103" t="str">
        <f>IFERROR(__xludf.DUMMYFUNCTION("if($C288="""","""",if(join("" - "",{iferror(filter('Student Groupings'!$A:$A,'Student Groupings'!$B:$B=$C288,'Student Groupings'!$H:$H=""Can't be Together""),"""");iferror(filter('Student Groupings'!$A:$A,'Student Groupings'!$E:$E=$C288,'Student Groupings"&amp;"'!$H:$H=""Can't be Together""),"""")})="" - "","""",join("" - "",{iferror(filter('Student Groupings'!$A:$A,'Student Groupings'!$B:$B=$C288,'Student Groupings'!$H:$H=""Can't be Together""),"""");iferror(filter('Student Groupings'!$A:$A,'Student Groupings'!"&amp;"$E:$E=$C288,'Student Groupings'!$H:$H=""Can't be Together""),"""")})))"),"")</f>
        <v/>
      </c>
      <c r="AD288" s="103" t="str">
        <f>IFERROR(__xludf.DUMMYFUNCTION("if($C288="""","""",if(join("" - "",{iferror(filter('Student Groupings'!$A:$A,'Student Groupings'!$B:$B=$C288,'Student Groupings'!$H:$H=""Must be Together""),"""");iferror(filter('Student Groupings'!$A:$A,'Student Groupings'!$E:$E=$C288,'Student Groupings'"&amp;"!$H:$H=""Must be Together""),"""")})="" - "","""",join("" - "",{iferror(filter('Student Groupings'!$A:$A,'Student Groupings'!$B:$B=$C288,'Student Groupings'!$H:$H=""Must be Together""),"""");iferror(filter('Student Groupings'!$A:$A,'Student Groupings'!$E:"&amp;"$E=$C288,'Student Groupings'!$H:$H=""Must be Together""),"""")})))"),"")</f>
        <v/>
      </c>
      <c r="AE288" s="104"/>
      <c r="AF288" s="104"/>
      <c r="AG288" s="104"/>
      <c r="AH288" s="104"/>
    </row>
    <row r="289">
      <c r="A289" s="101">
        <v>8.0</v>
      </c>
      <c r="B289" s="101">
        <v>29015.0</v>
      </c>
      <c r="C289" s="102" t="s">
        <v>555</v>
      </c>
      <c r="D289" s="52" t="s">
        <v>176</v>
      </c>
      <c r="E289" s="52">
        <v>4.0</v>
      </c>
      <c r="F289" s="52" t="s">
        <v>170</v>
      </c>
      <c r="G289" s="52">
        <v>1.0</v>
      </c>
      <c r="H289" s="52" t="s">
        <v>185</v>
      </c>
      <c r="I289" s="52">
        <v>6.0</v>
      </c>
      <c r="J289" s="52" t="s">
        <v>190</v>
      </c>
      <c r="K289" s="52">
        <v>3.0</v>
      </c>
      <c r="L289" s="52" t="s">
        <v>201</v>
      </c>
      <c r="M289" s="52">
        <v>2.0</v>
      </c>
      <c r="N289" s="52" t="s">
        <v>149</v>
      </c>
      <c r="O289" s="52" t="s">
        <v>124</v>
      </c>
      <c r="P289" s="52" t="s">
        <v>141</v>
      </c>
      <c r="Q289" s="52" t="s">
        <v>112</v>
      </c>
      <c r="R289" s="52" t="s">
        <v>141</v>
      </c>
      <c r="S289" s="52" t="s">
        <v>112</v>
      </c>
      <c r="T289" s="65" t="s">
        <v>30</v>
      </c>
      <c r="U289" s="32">
        <v>1.0</v>
      </c>
      <c r="V289" s="32">
        <v>1.0</v>
      </c>
      <c r="W289" s="32">
        <v>1.0</v>
      </c>
      <c r="X289" s="32">
        <v>1.0</v>
      </c>
      <c r="Y289" s="32">
        <v>1.0</v>
      </c>
      <c r="Z289" s="32">
        <v>1.0</v>
      </c>
      <c r="AA289" s="32">
        <v>6.0</v>
      </c>
      <c r="AB289" s="32">
        <v>0.0</v>
      </c>
      <c r="AC289" s="103" t="str">
        <f>IFERROR(__xludf.DUMMYFUNCTION("if($C289="""","""",if(join("" - "",{iferror(filter('Student Groupings'!$A:$A,'Student Groupings'!$B:$B=$C289,'Student Groupings'!$H:$H=""Can't be Together""),"""");iferror(filter('Student Groupings'!$A:$A,'Student Groupings'!$E:$E=$C289,'Student Groupings"&amp;"'!$H:$H=""Can't be Together""),"""")})="" - "","""",join("" - "",{iferror(filter('Student Groupings'!$A:$A,'Student Groupings'!$B:$B=$C289,'Student Groupings'!$H:$H=""Can't be Together""),"""");iferror(filter('Student Groupings'!$A:$A,'Student Groupings'!"&amp;"$E:$E=$C289,'Student Groupings'!$H:$H=""Can't be Together""),"""")})))"),"")</f>
        <v/>
      </c>
      <c r="AD289" s="103" t="str">
        <f>IFERROR(__xludf.DUMMYFUNCTION("if($C289="""","""",if(join("" - "",{iferror(filter('Student Groupings'!$A:$A,'Student Groupings'!$B:$B=$C289,'Student Groupings'!$H:$H=""Must be Together""),"""");iferror(filter('Student Groupings'!$A:$A,'Student Groupings'!$E:$E=$C289,'Student Groupings'"&amp;"!$H:$H=""Must be Together""),"""")})="" - "","""",join("" - "",{iferror(filter('Student Groupings'!$A:$A,'Student Groupings'!$B:$B=$C289,'Student Groupings'!$H:$H=""Must be Together""),"""");iferror(filter('Student Groupings'!$A:$A,'Student Groupings'!$E:"&amp;"$E=$C289,'Student Groupings'!$H:$H=""Must be Together""),"""")})))"),"")</f>
        <v/>
      </c>
      <c r="AE289" s="105"/>
      <c r="AF289" s="105">
        <v>1.0</v>
      </c>
      <c r="AG289" s="104"/>
      <c r="AH289" s="104"/>
    </row>
    <row r="290">
      <c r="A290" s="101">
        <v>8.0</v>
      </c>
      <c r="B290" s="101">
        <v>29016.0</v>
      </c>
      <c r="C290" s="102" t="s">
        <v>556</v>
      </c>
      <c r="D290" s="52" t="s">
        <v>176</v>
      </c>
      <c r="E290" s="52">
        <v>5.0</v>
      </c>
      <c r="F290" s="52" t="s">
        <v>167</v>
      </c>
      <c r="G290" s="52">
        <v>3.0</v>
      </c>
      <c r="H290" s="52" t="s">
        <v>185</v>
      </c>
      <c r="I290" s="52">
        <v>2.0</v>
      </c>
      <c r="J290" s="52" t="s">
        <v>190</v>
      </c>
      <c r="K290" s="52">
        <v>1.0</v>
      </c>
      <c r="L290" s="52" t="s">
        <v>201</v>
      </c>
      <c r="M290" s="52">
        <v>6.0</v>
      </c>
      <c r="N290" s="52" t="s">
        <v>149</v>
      </c>
      <c r="O290" s="52" t="s">
        <v>111</v>
      </c>
      <c r="P290" s="52" t="s">
        <v>135</v>
      </c>
      <c r="Q290" s="52" t="s">
        <v>130</v>
      </c>
      <c r="R290" s="52" t="s">
        <v>118</v>
      </c>
      <c r="S290" s="52" t="s">
        <v>130</v>
      </c>
      <c r="T290" s="65" t="s">
        <v>27</v>
      </c>
      <c r="U290" s="32">
        <v>1.0</v>
      </c>
      <c r="V290" s="32">
        <v>1.0</v>
      </c>
      <c r="W290" s="32">
        <v>1.0</v>
      </c>
      <c r="X290" s="32">
        <v>1.0</v>
      </c>
      <c r="Y290" s="32">
        <v>1.0</v>
      </c>
      <c r="Z290" s="32">
        <v>1.0</v>
      </c>
      <c r="AA290" s="32">
        <v>6.0</v>
      </c>
      <c r="AB290" s="32">
        <v>0.0</v>
      </c>
      <c r="AC290" s="103" t="str">
        <f>IFERROR(__xludf.DUMMYFUNCTION("if($C290="""","""",if(join("" - "",{iferror(filter('Student Groupings'!$A:$A,'Student Groupings'!$B:$B=$C290,'Student Groupings'!$H:$H=""Can't be Together""),"""");iferror(filter('Student Groupings'!$A:$A,'Student Groupings'!$E:$E=$C290,'Student Groupings"&amp;"'!$H:$H=""Can't be Together""),"""")})="" - "","""",join("" - "",{iferror(filter('Student Groupings'!$A:$A,'Student Groupings'!$B:$B=$C290,'Student Groupings'!$H:$H=""Can't be Together""),"""");iferror(filter('Student Groupings'!$A:$A,'Student Groupings'!"&amp;"$E:$E=$C290,'Student Groupings'!$H:$H=""Can't be Together""),"""")})))"),"")</f>
        <v/>
      </c>
      <c r="AD290" s="103" t="str">
        <f>IFERROR(__xludf.DUMMYFUNCTION("if($C290="""","""",if(join("" - "",{iferror(filter('Student Groupings'!$A:$A,'Student Groupings'!$B:$B=$C290,'Student Groupings'!$H:$H=""Must be Together""),"""");iferror(filter('Student Groupings'!$A:$A,'Student Groupings'!$E:$E=$C290,'Student Groupings'"&amp;"!$H:$H=""Must be Together""),"""")})="" - "","""",join("" - "",{iferror(filter('Student Groupings'!$A:$A,'Student Groupings'!$B:$B=$C290,'Student Groupings'!$H:$H=""Must be Together""),"""");iferror(filter('Student Groupings'!$A:$A,'Student Groupings'!$E:"&amp;"$E=$C290,'Student Groupings'!$H:$H=""Must be Together""),"""")})))"),"")</f>
        <v/>
      </c>
      <c r="AE290" s="104"/>
      <c r="AF290" s="104"/>
      <c r="AG290" s="104"/>
      <c r="AH290" s="104"/>
    </row>
    <row r="291">
      <c r="A291" s="101">
        <v>8.0</v>
      </c>
      <c r="B291" s="101">
        <v>29018.0</v>
      </c>
      <c r="C291" s="102" t="s">
        <v>264</v>
      </c>
      <c r="D291" s="52" t="s">
        <v>176</v>
      </c>
      <c r="E291" s="52">
        <v>3.0</v>
      </c>
      <c r="F291" s="52" t="s">
        <v>162</v>
      </c>
      <c r="G291" s="52">
        <v>6.0</v>
      </c>
      <c r="H291" s="52" t="s">
        <v>185</v>
      </c>
      <c r="I291" s="52">
        <v>1.0</v>
      </c>
      <c r="J291" s="52" t="s">
        <v>190</v>
      </c>
      <c r="K291" s="52">
        <v>2.0</v>
      </c>
      <c r="L291" s="52" t="s">
        <v>201</v>
      </c>
      <c r="M291" s="52">
        <v>4.0</v>
      </c>
      <c r="N291" s="52" t="s">
        <v>149</v>
      </c>
      <c r="O291" s="52" t="s">
        <v>124</v>
      </c>
      <c r="P291" s="52" t="s">
        <v>141</v>
      </c>
      <c r="Q291" s="52" t="s">
        <v>112</v>
      </c>
      <c r="R291" s="52" t="s">
        <v>141</v>
      </c>
      <c r="S291" s="52" t="s">
        <v>112</v>
      </c>
      <c r="T291" s="65" t="s">
        <v>30</v>
      </c>
      <c r="U291" s="32">
        <v>1.0</v>
      </c>
      <c r="V291" s="32">
        <v>1.0</v>
      </c>
      <c r="W291" s="32">
        <v>1.0</v>
      </c>
      <c r="X291" s="32">
        <v>1.0</v>
      </c>
      <c r="Y291" s="32">
        <v>1.0</v>
      </c>
      <c r="Z291" s="32">
        <v>1.0</v>
      </c>
      <c r="AA291" s="32">
        <v>6.0</v>
      </c>
      <c r="AB291" s="32">
        <v>0.0</v>
      </c>
      <c r="AC291" s="103" t="str">
        <f>IFERROR(__xludf.DUMMYFUNCTION("if($C291="""","""",if(join("" - "",{iferror(filter('Student Groupings'!$A:$A,'Student Groupings'!$B:$B=$C291,'Student Groupings'!$H:$H=""Can't be Together""),"""");iferror(filter('Student Groupings'!$A:$A,'Student Groupings'!$E:$E=$C291,'Student Groupings"&amp;"'!$H:$H=""Can't be Together""),"""")})="" - "","""",join("" - "",{iferror(filter('Student Groupings'!$A:$A,'Student Groupings'!$B:$B=$C291,'Student Groupings'!$H:$H=""Can't be Together""),"""");iferror(filter('Student Groupings'!$A:$A,'Student Groupings'!"&amp;"$E:$E=$C291,'Student Groupings'!$H:$H=""Can't be Together""),"""")})))"),"")</f>
        <v/>
      </c>
      <c r="AD291" s="103" t="str">
        <f>IFERROR(__xludf.DUMMYFUNCTION("if($C291="""","""",if(join("" - "",{iferror(filter('Student Groupings'!$A:$A,'Student Groupings'!$B:$B=$C291,'Student Groupings'!$H:$H=""Must be Together""),"""");iferror(filter('Student Groupings'!$A:$A,'Student Groupings'!$E:$E=$C291,'Student Groupings'"&amp;"!$H:$H=""Must be Together""),"""")})="" - "","""",join("" - "",{iferror(filter('Student Groupings'!$A:$A,'Student Groupings'!$B:$B=$C291,'Student Groupings'!$H:$H=""Must be Together""),"""");iferror(filter('Student Groupings'!$A:$A,'Student Groupings'!$E:"&amp;"$E=$C291,'Student Groupings'!$H:$H=""Must be Together""),"""")})))")," - 46")</f>
        <v> - 46</v>
      </c>
      <c r="AE291" s="104"/>
      <c r="AF291" s="104"/>
      <c r="AG291" s="104"/>
      <c r="AH291" s="104"/>
    </row>
    <row r="292">
      <c r="A292" s="101">
        <v>8.0</v>
      </c>
      <c r="B292" s="101">
        <v>29019.0</v>
      </c>
      <c r="C292" s="102" t="s">
        <v>557</v>
      </c>
      <c r="D292" s="52" t="s">
        <v>176</v>
      </c>
      <c r="E292" s="52">
        <v>6.0</v>
      </c>
      <c r="F292" s="52" t="s">
        <v>167</v>
      </c>
      <c r="G292" s="52">
        <v>3.0</v>
      </c>
      <c r="H292" s="52" t="s">
        <v>185</v>
      </c>
      <c r="I292" s="52">
        <v>2.0</v>
      </c>
      <c r="J292" s="52" t="s">
        <v>190</v>
      </c>
      <c r="K292" s="52">
        <v>5.0</v>
      </c>
      <c r="L292" s="52" t="s">
        <v>201</v>
      </c>
      <c r="M292" s="52">
        <v>1.0</v>
      </c>
      <c r="N292" s="52" t="s">
        <v>149</v>
      </c>
      <c r="O292" s="52" t="s">
        <v>111</v>
      </c>
      <c r="P292" s="52" t="s">
        <v>135</v>
      </c>
      <c r="Q292" s="52" t="s">
        <v>130</v>
      </c>
      <c r="R292" s="52" t="s">
        <v>118</v>
      </c>
      <c r="S292" s="52" t="s">
        <v>130</v>
      </c>
      <c r="T292" s="65" t="s">
        <v>27</v>
      </c>
      <c r="U292" s="32">
        <v>1.0</v>
      </c>
      <c r="V292" s="32">
        <v>1.0</v>
      </c>
      <c r="W292" s="32">
        <v>1.0</v>
      </c>
      <c r="X292" s="32">
        <v>1.0</v>
      </c>
      <c r="Y292" s="32">
        <v>1.0</v>
      </c>
      <c r="Z292" s="32">
        <v>1.0</v>
      </c>
      <c r="AA292" s="32">
        <v>6.0</v>
      </c>
      <c r="AB292" s="32">
        <v>0.0</v>
      </c>
      <c r="AC292" s="103" t="str">
        <f>IFERROR(__xludf.DUMMYFUNCTION("if($C292="""","""",if(join("" - "",{iferror(filter('Student Groupings'!$A:$A,'Student Groupings'!$B:$B=$C292,'Student Groupings'!$H:$H=""Can't be Together""),"""");iferror(filter('Student Groupings'!$A:$A,'Student Groupings'!$E:$E=$C292,'Student Groupings"&amp;"'!$H:$H=""Can't be Together""),"""")})="" - "","""",join("" - "",{iferror(filter('Student Groupings'!$A:$A,'Student Groupings'!$B:$B=$C292,'Student Groupings'!$H:$H=""Can't be Together""),"""");iferror(filter('Student Groupings'!$A:$A,'Student Groupings'!"&amp;"$E:$E=$C292,'Student Groupings'!$H:$H=""Can't be Together""),"""")})))"),"")</f>
        <v/>
      </c>
      <c r="AD292" s="103" t="str">
        <f>IFERROR(__xludf.DUMMYFUNCTION("if($C292="""","""",if(join("" - "",{iferror(filter('Student Groupings'!$A:$A,'Student Groupings'!$B:$B=$C292,'Student Groupings'!$H:$H=""Must be Together""),"""");iferror(filter('Student Groupings'!$A:$A,'Student Groupings'!$E:$E=$C292,'Student Groupings'"&amp;"!$H:$H=""Must be Together""),"""")})="" - "","""",join("" - "",{iferror(filter('Student Groupings'!$A:$A,'Student Groupings'!$B:$B=$C292,'Student Groupings'!$H:$H=""Must be Together""),"""");iferror(filter('Student Groupings'!$A:$A,'Student Groupings'!$E:"&amp;"$E=$C292,'Student Groupings'!$H:$H=""Must be Together""),"""")})))"),"")</f>
        <v/>
      </c>
      <c r="AE292" s="104"/>
      <c r="AF292" s="104"/>
      <c r="AG292" s="104"/>
      <c r="AH292" s="104"/>
    </row>
    <row r="293">
      <c r="A293" s="101">
        <v>8.0</v>
      </c>
      <c r="B293" s="101">
        <v>29160.0</v>
      </c>
      <c r="C293" s="102" t="s">
        <v>272</v>
      </c>
      <c r="D293" s="52" t="s">
        <v>177</v>
      </c>
      <c r="E293" s="52">
        <v>4.0</v>
      </c>
      <c r="F293" s="52" t="s">
        <v>162</v>
      </c>
      <c r="G293" s="52">
        <v>6.0</v>
      </c>
      <c r="H293" s="52" t="s">
        <v>185</v>
      </c>
      <c r="I293" s="52">
        <v>1.0</v>
      </c>
      <c r="J293" s="52" t="s">
        <v>191</v>
      </c>
      <c r="K293" s="52">
        <v>3.0</v>
      </c>
      <c r="L293" s="52" t="s">
        <v>202</v>
      </c>
      <c r="M293" s="52">
        <v>2.0</v>
      </c>
      <c r="N293" s="52" t="s">
        <v>149</v>
      </c>
      <c r="O293" s="52" t="s">
        <v>112</v>
      </c>
      <c r="P293" s="52" t="s">
        <v>118</v>
      </c>
      <c r="Q293" s="52" t="s">
        <v>124</v>
      </c>
      <c r="R293" s="52" t="s">
        <v>135</v>
      </c>
      <c r="S293" s="52" t="s">
        <v>124</v>
      </c>
      <c r="T293" s="65" t="s">
        <v>27</v>
      </c>
      <c r="U293" s="32">
        <v>1.0</v>
      </c>
      <c r="V293" s="32">
        <v>1.0</v>
      </c>
      <c r="W293" s="32">
        <v>1.0</v>
      </c>
      <c r="X293" s="32">
        <v>1.0</v>
      </c>
      <c r="Y293" s="32">
        <v>1.0</v>
      </c>
      <c r="Z293" s="32">
        <v>1.0</v>
      </c>
      <c r="AA293" s="32">
        <v>6.0</v>
      </c>
      <c r="AB293" s="32">
        <v>0.0</v>
      </c>
      <c r="AC293" s="103" t="str">
        <f>IFERROR(__xludf.DUMMYFUNCTION("if($C293="""","""",if(join("" - "",{iferror(filter('Student Groupings'!$A:$A,'Student Groupings'!$B:$B=$C293,'Student Groupings'!$H:$H=""Can't be Together""),"""");iferror(filter('Student Groupings'!$A:$A,'Student Groupings'!$E:$E=$C293,'Student Groupings"&amp;"'!$H:$H=""Can't be Together""),"""")})="" - "","""",join("" - "",{iferror(filter('Student Groupings'!$A:$A,'Student Groupings'!$B:$B=$C293,'Student Groupings'!$H:$H=""Can't be Together""),"""");iferror(filter('Student Groupings'!$A:$A,'Student Groupings'!"&amp;"$E:$E=$C293,'Student Groupings'!$H:$H=""Can't be Together""),"""")})))"),"")</f>
        <v/>
      </c>
      <c r="AD293" s="103" t="str">
        <f>IFERROR(__xludf.DUMMYFUNCTION("if($C293="""","""",if(join("" - "",{iferror(filter('Student Groupings'!$A:$A,'Student Groupings'!$B:$B=$C293,'Student Groupings'!$H:$H=""Must be Together""),"""");iferror(filter('Student Groupings'!$A:$A,'Student Groupings'!$E:$E=$C293,'Student Groupings'"&amp;"!$H:$H=""Must be Together""),"""")})="" - "","""",join("" - "",{iferror(filter('Student Groupings'!$A:$A,'Student Groupings'!$B:$B=$C293,'Student Groupings'!$H:$H=""Must be Together""),"""");iferror(filter('Student Groupings'!$A:$A,'Student Groupings'!$E:"&amp;"$E=$C293,'Student Groupings'!$H:$H=""Must be Together""),"""")})))"),"53 - ")</f>
        <v>53 - </v>
      </c>
      <c r="AE293" s="104"/>
      <c r="AF293" s="104"/>
      <c r="AG293" s="104"/>
      <c r="AH293" s="104"/>
    </row>
    <row r="294">
      <c r="A294" s="101">
        <v>8.0</v>
      </c>
      <c r="B294" s="101">
        <v>29020.0</v>
      </c>
      <c r="C294" s="102" t="s">
        <v>558</v>
      </c>
      <c r="D294" s="52" t="s">
        <v>176</v>
      </c>
      <c r="E294" s="52">
        <v>3.0</v>
      </c>
      <c r="F294" s="52" t="s">
        <v>162</v>
      </c>
      <c r="G294" s="52">
        <v>1.0</v>
      </c>
      <c r="H294" s="52" t="s">
        <v>185</v>
      </c>
      <c r="I294" s="52">
        <v>5.0</v>
      </c>
      <c r="J294" s="52" t="s">
        <v>190</v>
      </c>
      <c r="K294" s="52">
        <v>2.0</v>
      </c>
      <c r="L294" s="52" t="s">
        <v>201</v>
      </c>
      <c r="M294" s="52">
        <v>4.0</v>
      </c>
      <c r="N294" s="52" t="s">
        <v>149</v>
      </c>
      <c r="O294" s="52" t="s">
        <v>120</v>
      </c>
      <c r="P294" s="52" t="s">
        <v>141</v>
      </c>
      <c r="Q294" s="52" t="s">
        <v>109</v>
      </c>
      <c r="R294" s="52" t="s">
        <v>141</v>
      </c>
      <c r="S294" s="52" t="s">
        <v>109</v>
      </c>
      <c r="T294" s="65" t="s">
        <v>30</v>
      </c>
      <c r="U294" s="32">
        <v>1.0</v>
      </c>
      <c r="V294" s="32">
        <v>1.0</v>
      </c>
      <c r="W294" s="32">
        <v>1.0</v>
      </c>
      <c r="X294" s="32">
        <v>1.0</v>
      </c>
      <c r="Y294" s="32">
        <v>1.0</v>
      </c>
      <c r="Z294" s="32">
        <v>1.0</v>
      </c>
      <c r="AA294" s="32">
        <v>6.0</v>
      </c>
      <c r="AB294" s="32">
        <v>0.0</v>
      </c>
      <c r="AC294" s="103" t="str">
        <f>IFERROR(__xludf.DUMMYFUNCTION("if($C294="""","""",if(join("" - "",{iferror(filter('Student Groupings'!$A:$A,'Student Groupings'!$B:$B=$C294,'Student Groupings'!$H:$H=""Can't be Together""),"""");iferror(filter('Student Groupings'!$A:$A,'Student Groupings'!$E:$E=$C294,'Student Groupings"&amp;"'!$H:$H=""Can't be Together""),"""")})="" - "","""",join("" - "",{iferror(filter('Student Groupings'!$A:$A,'Student Groupings'!$B:$B=$C294,'Student Groupings'!$H:$H=""Can't be Together""),"""");iferror(filter('Student Groupings'!$A:$A,'Student Groupings'!"&amp;"$E:$E=$C294,'Student Groupings'!$H:$H=""Can't be Together""),"""")})))"),"")</f>
        <v/>
      </c>
      <c r="AD294" s="103" t="str">
        <f>IFERROR(__xludf.DUMMYFUNCTION("if($C294="""","""",if(join("" - "",{iferror(filter('Student Groupings'!$A:$A,'Student Groupings'!$B:$B=$C294,'Student Groupings'!$H:$H=""Must be Together""),"""");iferror(filter('Student Groupings'!$A:$A,'Student Groupings'!$E:$E=$C294,'Student Groupings'"&amp;"!$H:$H=""Must be Together""),"""")})="" - "","""",join("" - "",{iferror(filter('Student Groupings'!$A:$A,'Student Groupings'!$B:$B=$C294,'Student Groupings'!$H:$H=""Must be Together""),"""");iferror(filter('Student Groupings'!$A:$A,'Student Groupings'!$E:"&amp;"$E=$C294,'Student Groupings'!$H:$H=""Must be Together""),"""")})))"),"")</f>
        <v/>
      </c>
      <c r="AE294" s="104"/>
      <c r="AF294" s="104"/>
      <c r="AG294" s="104"/>
      <c r="AH294" s="104"/>
    </row>
    <row r="295">
      <c r="A295" s="101">
        <v>8.0</v>
      </c>
      <c r="B295" s="101">
        <v>29021.0</v>
      </c>
      <c r="C295" s="102" t="s">
        <v>559</v>
      </c>
      <c r="D295" s="52" t="s">
        <v>176</v>
      </c>
      <c r="E295" s="52">
        <v>2.0</v>
      </c>
      <c r="F295" s="52" t="s">
        <v>167</v>
      </c>
      <c r="G295" s="52">
        <v>5.0</v>
      </c>
      <c r="H295" s="52" t="s">
        <v>185</v>
      </c>
      <c r="I295" s="52">
        <v>1.0</v>
      </c>
      <c r="J295" s="52" t="s">
        <v>190</v>
      </c>
      <c r="K295" s="52">
        <v>4.0</v>
      </c>
      <c r="L295" s="52" t="s">
        <v>201</v>
      </c>
      <c r="M295" s="52">
        <v>3.0</v>
      </c>
      <c r="N295" s="52" t="s">
        <v>149</v>
      </c>
      <c r="O295" s="52" t="s">
        <v>120</v>
      </c>
      <c r="P295" s="52" t="s">
        <v>141</v>
      </c>
      <c r="Q295" s="52" t="s">
        <v>109</v>
      </c>
      <c r="R295" s="52" t="s">
        <v>141</v>
      </c>
      <c r="S295" s="52" t="s">
        <v>109</v>
      </c>
      <c r="T295" s="65" t="s">
        <v>30</v>
      </c>
      <c r="U295" s="32">
        <v>1.0</v>
      </c>
      <c r="V295" s="32">
        <v>1.0</v>
      </c>
      <c r="W295" s="32">
        <v>1.0</v>
      </c>
      <c r="X295" s="32">
        <v>1.0</v>
      </c>
      <c r="Y295" s="32">
        <v>1.0</v>
      </c>
      <c r="Z295" s="32">
        <v>1.0</v>
      </c>
      <c r="AA295" s="32">
        <v>6.0</v>
      </c>
      <c r="AB295" s="32">
        <v>0.0</v>
      </c>
      <c r="AC295" s="103" t="str">
        <f>IFERROR(__xludf.DUMMYFUNCTION("if($C295="""","""",if(join("" - "",{iferror(filter('Student Groupings'!$A:$A,'Student Groupings'!$B:$B=$C295,'Student Groupings'!$H:$H=""Can't be Together""),"""");iferror(filter('Student Groupings'!$A:$A,'Student Groupings'!$E:$E=$C295,'Student Groupings"&amp;"'!$H:$H=""Can't be Together""),"""")})="" - "","""",join("" - "",{iferror(filter('Student Groupings'!$A:$A,'Student Groupings'!$B:$B=$C295,'Student Groupings'!$H:$H=""Can't be Together""),"""");iferror(filter('Student Groupings'!$A:$A,'Student Groupings'!"&amp;"$E:$E=$C295,'Student Groupings'!$H:$H=""Can't be Together""),"""")})))"),"")</f>
        <v/>
      </c>
      <c r="AD295" s="103" t="str">
        <f>IFERROR(__xludf.DUMMYFUNCTION("if($C295="""","""",if(join("" - "",{iferror(filter('Student Groupings'!$A:$A,'Student Groupings'!$B:$B=$C295,'Student Groupings'!$H:$H=""Must be Together""),"""");iferror(filter('Student Groupings'!$A:$A,'Student Groupings'!$E:$E=$C295,'Student Groupings'"&amp;"!$H:$H=""Must be Together""),"""")})="" - "","""",join("" - "",{iferror(filter('Student Groupings'!$A:$A,'Student Groupings'!$B:$B=$C295,'Student Groupings'!$H:$H=""Must be Together""),"""");iferror(filter('Student Groupings'!$A:$A,'Student Groupings'!$E:"&amp;"$E=$C295,'Student Groupings'!$H:$H=""Must be Together""),"""")})))"),"")</f>
        <v/>
      </c>
      <c r="AE295" s="104"/>
      <c r="AF295" s="104"/>
      <c r="AG295" s="104"/>
      <c r="AH295" s="104"/>
    </row>
    <row r="296">
      <c r="A296" s="101">
        <v>8.0</v>
      </c>
      <c r="B296" s="101">
        <v>29022.0</v>
      </c>
      <c r="C296" s="102" t="s">
        <v>560</v>
      </c>
      <c r="D296" s="52" t="s">
        <v>176</v>
      </c>
      <c r="E296" s="52">
        <v>5.0</v>
      </c>
      <c r="F296" s="52" t="s">
        <v>167</v>
      </c>
      <c r="G296" s="52">
        <v>4.0</v>
      </c>
      <c r="H296" s="52" t="s">
        <v>185</v>
      </c>
      <c r="I296" s="52">
        <v>3.0</v>
      </c>
      <c r="J296" s="52" t="s">
        <v>190</v>
      </c>
      <c r="K296" s="52">
        <v>1.0</v>
      </c>
      <c r="L296" s="52" t="s">
        <v>201</v>
      </c>
      <c r="M296" s="52">
        <v>6.0</v>
      </c>
      <c r="N296" s="52" t="s">
        <v>149</v>
      </c>
      <c r="O296" s="52" t="s">
        <v>125</v>
      </c>
      <c r="P296" s="52" t="s">
        <v>141</v>
      </c>
      <c r="Q296" s="52" t="s">
        <v>119</v>
      </c>
      <c r="R296" s="52" t="s">
        <v>141</v>
      </c>
      <c r="S296" s="52" t="s">
        <v>119</v>
      </c>
      <c r="T296" s="65" t="s">
        <v>30</v>
      </c>
      <c r="U296" s="32">
        <v>1.0</v>
      </c>
      <c r="V296" s="32">
        <v>1.0</v>
      </c>
      <c r="W296" s="32">
        <v>1.0</v>
      </c>
      <c r="X296" s="32">
        <v>1.0</v>
      </c>
      <c r="Y296" s="32">
        <v>1.0</v>
      </c>
      <c r="Z296" s="32">
        <v>1.0</v>
      </c>
      <c r="AA296" s="32">
        <v>6.0</v>
      </c>
      <c r="AB296" s="32">
        <v>0.0</v>
      </c>
      <c r="AC296" s="103" t="str">
        <f>IFERROR(__xludf.DUMMYFUNCTION("if($C296="""","""",if(join("" - "",{iferror(filter('Student Groupings'!$A:$A,'Student Groupings'!$B:$B=$C296,'Student Groupings'!$H:$H=""Can't be Together""),"""");iferror(filter('Student Groupings'!$A:$A,'Student Groupings'!$E:$E=$C296,'Student Groupings"&amp;"'!$H:$H=""Can't be Together""),"""")})="" - "","""",join("" - "",{iferror(filter('Student Groupings'!$A:$A,'Student Groupings'!$B:$B=$C296,'Student Groupings'!$H:$H=""Can't be Together""),"""");iferror(filter('Student Groupings'!$A:$A,'Student Groupings'!"&amp;"$E:$E=$C296,'Student Groupings'!$H:$H=""Can't be Together""),"""")})))"),"")</f>
        <v/>
      </c>
      <c r="AD296" s="103" t="str">
        <f>IFERROR(__xludf.DUMMYFUNCTION("if($C296="""","""",if(join("" - "",{iferror(filter('Student Groupings'!$A:$A,'Student Groupings'!$B:$B=$C296,'Student Groupings'!$H:$H=""Must be Together""),"""");iferror(filter('Student Groupings'!$A:$A,'Student Groupings'!$E:$E=$C296,'Student Groupings'"&amp;"!$H:$H=""Must be Together""),"""")})="" - "","""",join("" - "",{iferror(filter('Student Groupings'!$A:$A,'Student Groupings'!$B:$B=$C296,'Student Groupings'!$H:$H=""Must be Together""),"""");iferror(filter('Student Groupings'!$A:$A,'Student Groupings'!$E:"&amp;"$E=$C296,'Student Groupings'!$H:$H=""Must be Together""),"""")})))"),"")</f>
        <v/>
      </c>
      <c r="AE296" s="105"/>
      <c r="AF296" s="105"/>
      <c r="AG296" s="105"/>
      <c r="AH296" s="105"/>
    </row>
    <row r="297">
      <c r="A297" s="101">
        <v>8.0</v>
      </c>
      <c r="B297" s="101">
        <v>29167.0</v>
      </c>
      <c r="C297" s="102" t="s">
        <v>561</v>
      </c>
      <c r="D297" s="52" t="s">
        <v>177</v>
      </c>
      <c r="E297" s="52">
        <v>4.0</v>
      </c>
      <c r="F297" s="52" t="s">
        <v>162</v>
      </c>
      <c r="G297" s="52">
        <v>1.0</v>
      </c>
      <c r="H297" s="52" t="s">
        <v>185</v>
      </c>
      <c r="I297" s="52">
        <v>6.0</v>
      </c>
      <c r="J297" s="52" t="s">
        <v>191</v>
      </c>
      <c r="K297" s="52">
        <v>3.0</v>
      </c>
      <c r="L297" s="52" t="s">
        <v>197</v>
      </c>
      <c r="M297" s="52">
        <v>2.0</v>
      </c>
      <c r="N297" s="52" t="s">
        <v>149</v>
      </c>
      <c r="O297" s="52" t="s">
        <v>124</v>
      </c>
      <c r="P297" s="52" t="s">
        <v>141</v>
      </c>
      <c r="Q297" s="52" t="s">
        <v>112</v>
      </c>
      <c r="R297" s="52" t="s">
        <v>141</v>
      </c>
      <c r="S297" s="52" t="s">
        <v>112</v>
      </c>
      <c r="T297" s="65" t="s">
        <v>30</v>
      </c>
      <c r="U297" s="32">
        <v>1.0</v>
      </c>
      <c r="V297" s="32">
        <v>1.0</v>
      </c>
      <c r="W297" s="32">
        <v>1.0</v>
      </c>
      <c r="X297" s="32">
        <v>1.0</v>
      </c>
      <c r="Y297" s="32">
        <v>1.0</v>
      </c>
      <c r="Z297" s="32">
        <v>1.0</v>
      </c>
      <c r="AA297" s="32">
        <v>6.0</v>
      </c>
      <c r="AB297" s="32">
        <v>0.0</v>
      </c>
      <c r="AC297" s="103" t="str">
        <f>IFERROR(__xludf.DUMMYFUNCTION("if($C297="""","""",if(join("" - "",{iferror(filter('Student Groupings'!$A:$A,'Student Groupings'!$B:$B=$C297,'Student Groupings'!$H:$H=""Can't be Together""),"""");iferror(filter('Student Groupings'!$A:$A,'Student Groupings'!$E:$E=$C297,'Student Groupings"&amp;"'!$H:$H=""Can't be Together""),"""")})="" - "","""",join("" - "",{iferror(filter('Student Groupings'!$A:$A,'Student Groupings'!$B:$B=$C297,'Student Groupings'!$H:$H=""Can't be Together""),"""");iferror(filter('Student Groupings'!$A:$A,'Student Groupings'!"&amp;"$E:$E=$C297,'Student Groupings'!$H:$H=""Can't be Together""),"""")})))"),"")</f>
        <v/>
      </c>
      <c r="AD297" s="103" t="str">
        <f>IFERROR(__xludf.DUMMYFUNCTION("if($C297="""","""",if(join("" - "",{iferror(filter('Student Groupings'!$A:$A,'Student Groupings'!$B:$B=$C297,'Student Groupings'!$H:$H=""Must be Together""),"""");iferror(filter('Student Groupings'!$A:$A,'Student Groupings'!$E:$E=$C297,'Student Groupings'"&amp;"!$H:$H=""Must be Together""),"""")})="" - "","""",join("" - "",{iferror(filter('Student Groupings'!$A:$A,'Student Groupings'!$B:$B=$C297,'Student Groupings'!$H:$H=""Must be Together""),"""");iferror(filter('Student Groupings'!$A:$A,'Student Groupings'!$E:"&amp;"$E=$C297,'Student Groupings'!$H:$H=""Must be Together""),"""")})))"),"")</f>
        <v/>
      </c>
      <c r="AE297" s="105">
        <v>1.0</v>
      </c>
      <c r="AF297" s="104"/>
      <c r="AG297" s="104"/>
      <c r="AH297" s="104"/>
    </row>
    <row r="298">
      <c r="A298" s="101">
        <v>8.0</v>
      </c>
      <c r="B298" s="101">
        <v>29023.0</v>
      </c>
      <c r="C298" s="102" t="s">
        <v>260</v>
      </c>
      <c r="D298" s="52" t="s">
        <v>176</v>
      </c>
      <c r="E298" s="52">
        <v>5.0</v>
      </c>
      <c r="F298" s="52" t="s">
        <v>167</v>
      </c>
      <c r="G298" s="52">
        <v>3.0</v>
      </c>
      <c r="H298" s="52" t="s">
        <v>185</v>
      </c>
      <c r="I298" s="52">
        <v>2.0</v>
      </c>
      <c r="J298" s="52" t="s">
        <v>190</v>
      </c>
      <c r="K298" s="52">
        <v>1.0</v>
      </c>
      <c r="L298" s="52" t="s">
        <v>201</v>
      </c>
      <c r="M298" s="52">
        <v>6.0</v>
      </c>
      <c r="N298" s="52" t="s">
        <v>149</v>
      </c>
      <c r="O298" s="52" t="s">
        <v>111</v>
      </c>
      <c r="P298" s="52" t="s">
        <v>135</v>
      </c>
      <c r="Q298" s="52" t="s">
        <v>130</v>
      </c>
      <c r="R298" s="52" t="s">
        <v>118</v>
      </c>
      <c r="S298" s="52" t="s">
        <v>130</v>
      </c>
      <c r="T298" s="65" t="s">
        <v>27</v>
      </c>
      <c r="U298" s="32">
        <v>1.0</v>
      </c>
      <c r="V298" s="32">
        <v>1.0</v>
      </c>
      <c r="W298" s="32">
        <v>1.0</v>
      </c>
      <c r="X298" s="32">
        <v>1.0</v>
      </c>
      <c r="Y298" s="32">
        <v>1.0</v>
      </c>
      <c r="Z298" s="32">
        <v>1.0</v>
      </c>
      <c r="AA298" s="32">
        <v>6.0</v>
      </c>
      <c r="AB298" s="32">
        <v>0.0</v>
      </c>
      <c r="AC298" s="103" t="str">
        <f>IFERROR(__xludf.DUMMYFUNCTION("if($C298="""","""",if(join("" - "",{iferror(filter('Student Groupings'!$A:$A,'Student Groupings'!$B:$B=$C298,'Student Groupings'!$H:$H=""Can't be Together""),"""");iferror(filter('Student Groupings'!$A:$A,'Student Groupings'!$E:$E=$C298,'Student Groupings"&amp;"'!$H:$H=""Can't be Together""),"""")})="" - "","""",join("" - "",{iferror(filter('Student Groupings'!$A:$A,'Student Groupings'!$B:$B=$C298,'Student Groupings'!$H:$H=""Can't be Together""),"""");iferror(filter('Student Groupings'!$A:$A,'Student Groupings'!"&amp;"$E:$E=$C298,'Student Groupings'!$H:$H=""Can't be Together""),"""")})))"),"")</f>
        <v/>
      </c>
      <c r="AD298" s="103" t="str">
        <f>IFERROR(__xludf.DUMMYFUNCTION("if($C298="""","""",if(join("" - "",{iferror(filter('Student Groupings'!$A:$A,'Student Groupings'!$B:$B=$C298,'Student Groupings'!$H:$H=""Must be Together""),"""");iferror(filter('Student Groupings'!$A:$A,'Student Groupings'!$E:$E=$C298,'Student Groupings'"&amp;"!$H:$H=""Must be Together""),"""")})="" - "","""",join("" - "",{iferror(filter('Student Groupings'!$A:$A,'Student Groupings'!$B:$B=$C298,'Student Groupings'!$H:$H=""Must be Together""),"""");iferror(filter('Student Groupings'!$A:$A,'Student Groupings'!$E:"&amp;"$E=$C298,'Student Groupings'!$H:$H=""Must be Together""),"""")})))")," - 42")</f>
        <v> - 42</v>
      </c>
      <c r="AE298" s="104"/>
      <c r="AF298" s="104"/>
      <c r="AG298" s="104"/>
      <c r="AH298" s="104"/>
    </row>
    <row r="299">
      <c r="A299" s="101">
        <v>8.0</v>
      </c>
      <c r="B299" s="101">
        <v>29161.0</v>
      </c>
      <c r="C299" s="102" t="s">
        <v>289</v>
      </c>
      <c r="D299" s="52" t="s">
        <v>176</v>
      </c>
      <c r="E299" s="52">
        <v>4.0</v>
      </c>
      <c r="F299" s="52" t="s">
        <v>167</v>
      </c>
      <c r="G299" s="52">
        <v>5.0</v>
      </c>
      <c r="H299" s="52" t="s">
        <v>185</v>
      </c>
      <c r="I299" s="52">
        <v>1.0</v>
      </c>
      <c r="J299" s="52" t="s">
        <v>190</v>
      </c>
      <c r="K299" s="52">
        <v>3.0</v>
      </c>
      <c r="L299" s="52" t="s">
        <v>201</v>
      </c>
      <c r="M299" s="52">
        <v>2.0</v>
      </c>
      <c r="N299" s="52" t="s">
        <v>149</v>
      </c>
      <c r="O299" s="52" t="s">
        <v>120</v>
      </c>
      <c r="P299" s="52" t="s">
        <v>141</v>
      </c>
      <c r="Q299" s="52" t="s">
        <v>109</v>
      </c>
      <c r="R299" s="52" t="s">
        <v>141</v>
      </c>
      <c r="S299" s="52" t="s">
        <v>109</v>
      </c>
      <c r="T299" s="65" t="s">
        <v>30</v>
      </c>
      <c r="U299" s="32">
        <v>1.0</v>
      </c>
      <c r="V299" s="32">
        <v>1.0</v>
      </c>
      <c r="W299" s="32">
        <v>1.0</v>
      </c>
      <c r="X299" s="32">
        <v>1.0</v>
      </c>
      <c r="Y299" s="32">
        <v>1.0</v>
      </c>
      <c r="Z299" s="32">
        <v>1.0</v>
      </c>
      <c r="AA299" s="32">
        <v>6.0</v>
      </c>
      <c r="AB299" s="32">
        <v>0.0</v>
      </c>
      <c r="AC299" s="103" t="str">
        <f>IFERROR(__xludf.DUMMYFUNCTION("if($C299="""","""",if(join("" - "",{iferror(filter('Student Groupings'!$A:$A,'Student Groupings'!$B:$B=$C299,'Student Groupings'!$H:$H=""Can't be Together""),"""");iferror(filter('Student Groupings'!$A:$A,'Student Groupings'!$E:$E=$C299,'Student Groupings"&amp;"'!$H:$H=""Can't be Together""),"""")})="" - "","""",join("" - "",{iferror(filter('Student Groupings'!$A:$A,'Student Groupings'!$B:$B=$C299,'Student Groupings'!$H:$H=""Can't be Together""),"""");iferror(filter('Student Groupings'!$A:$A,'Student Groupings'!"&amp;"$E:$E=$C299,'Student Groupings'!$H:$H=""Can't be Together""),"""")})))"),"")</f>
        <v/>
      </c>
      <c r="AD299" s="103" t="str">
        <f>IFERROR(__xludf.DUMMYFUNCTION("if($C299="""","""",if(join("" - "",{iferror(filter('Student Groupings'!$A:$A,'Student Groupings'!$B:$B=$C299,'Student Groupings'!$H:$H=""Must be Together""),"""");iferror(filter('Student Groupings'!$A:$A,'Student Groupings'!$E:$E=$C299,'Student Groupings'"&amp;"!$H:$H=""Must be Together""),"""")})="" - "","""",join("" - "",{iferror(filter('Student Groupings'!$A:$A,'Student Groupings'!$B:$B=$C299,'Student Groupings'!$H:$H=""Must be Together""),"""");iferror(filter('Student Groupings'!$A:$A,'Student Groupings'!$E:"&amp;"$E=$C299,'Student Groupings'!$H:$H=""Must be Together""),"""")})))"),"121 - 129")</f>
        <v>121 - 129</v>
      </c>
      <c r="AE299" s="104"/>
      <c r="AF299" s="104"/>
      <c r="AG299" s="104"/>
      <c r="AH299" s="104"/>
    </row>
    <row r="300">
      <c r="A300" s="101">
        <v>8.0</v>
      </c>
      <c r="B300" s="101">
        <v>29150.0</v>
      </c>
      <c r="C300" s="102" t="s">
        <v>562</v>
      </c>
      <c r="D300" s="52" t="s">
        <v>176</v>
      </c>
      <c r="E300" s="52">
        <v>3.0</v>
      </c>
      <c r="F300" s="52" t="s">
        <v>162</v>
      </c>
      <c r="G300" s="52">
        <v>1.0</v>
      </c>
      <c r="H300" s="52" t="s">
        <v>187</v>
      </c>
      <c r="I300" s="52">
        <v>6.0</v>
      </c>
      <c r="J300" s="52" t="s">
        <v>190</v>
      </c>
      <c r="K300" s="52">
        <v>2.0</v>
      </c>
      <c r="L300" s="52" t="s">
        <v>201</v>
      </c>
      <c r="M300" s="52">
        <v>4.0</v>
      </c>
      <c r="N300" s="52" t="s">
        <v>149</v>
      </c>
      <c r="O300" s="52" t="s">
        <v>112</v>
      </c>
      <c r="P300" s="52" t="s">
        <v>135</v>
      </c>
      <c r="Q300" s="52" t="s">
        <v>124</v>
      </c>
      <c r="R300" s="52" t="s">
        <v>118</v>
      </c>
      <c r="S300" s="52" t="s">
        <v>124</v>
      </c>
      <c r="T300" s="65" t="s">
        <v>27</v>
      </c>
      <c r="U300" s="32">
        <v>1.0</v>
      </c>
      <c r="V300" s="32">
        <v>1.0</v>
      </c>
      <c r="W300" s="32">
        <v>1.0</v>
      </c>
      <c r="X300" s="32">
        <v>1.0</v>
      </c>
      <c r="Y300" s="32">
        <v>1.0</v>
      </c>
      <c r="Z300" s="32">
        <v>1.0</v>
      </c>
      <c r="AA300" s="32">
        <v>6.0</v>
      </c>
      <c r="AB300" s="32">
        <v>0.0</v>
      </c>
      <c r="AC300" s="103" t="str">
        <f>IFERROR(__xludf.DUMMYFUNCTION("if($C300="""","""",if(join("" - "",{iferror(filter('Student Groupings'!$A:$A,'Student Groupings'!$B:$B=$C300,'Student Groupings'!$H:$H=""Can't be Together""),"""");iferror(filter('Student Groupings'!$A:$A,'Student Groupings'!$E:$E=$C300,'Student Groupings"&amp;"'!$H:$H=""Can't be Together""),"""")})="" - "","""",join("" - "",{iferror(filter('Student Groupings'!$A:$A,'Student Groupings'!$B:$B=$C300,'Student Groupings'!$H:$H=""Can't be Together""),"""");iferror(filter('Student Groupings'!$A:$A,'Student Groupings'!"&amp;"$E:$E=$C300,'Student Groupings'!$H:$H=""Can't be Together""),"""")})))"),"")</f>
        <v/>
      </c>
      <c r="AD300" s="103" t="str">
        <f>IFERROR(__xludf.DUMMYFUNCTION("if($C300="""","""",if(join("" - "",{iferror(filter('Student Groupings'!$A:$A,'Student Groupings'!$B:$B=$C300,'Student Groupings'!$H:$H=""Must be Together""),"""");iferror(filter('Student Groupings'!$A:$A,'Student Groupings'!$E:$E=$C300,'Student Groupings'"&amp;"!$H:$H=""Must be Together""),"""")})="" - "","""",join("" - "",{iferror(filter('Student Groupings'!$A:$A,'Student Groupings'!$B:$B=$C300,'Student Groupings'!$H:$H=""Must be Together""),"""");iferror(filter('Student Groupings'!$A:$A,'Student Groupings'!$E:"&amp;"$E=$C300,'Student Groupings'!$H:$H=""Must be Together""),"""")})))"),"")</f>
        <v/>
      </c>
      <c r="AE300" s="104"/>
      <c r="AF300" s="104"/>
      <c r="AG300" s="104"/>
      <c r="AH300" s="104"/>
    </row>
    <row r="301">
      <c r="A301" s="101">
        <v>8.0</v>
      </c>
      <c r="B301" s="101">
        <v>29024.0</v>
      </c>
      <c r="C301" s="102" t="s">
        <v>270</v>
      </c>
      <c r="D301" s="52" t="s">
        <v>176</v>
      </c>
      <c r="E301" s="52">
        <v>4.0</v>
      </c>
      <c r="F301" s="52" t="s">
        <v>162</v>
      </c>
      <c r="G301" s="52">
        <v>6.0</v>
      </c>
      <c r="H301" s="52" t="s">
        <v>185</v>
      </c>
      <c r="I301" s="101">
        <v>5.0</v>
      </c>
      <c r="J301" s="52" t="s">
        <v>190</v>
      </c>
      <c r="K301" s="101">
        <v>3.0</v>
      </c>
      <c r="L301" s="52" t="s">
        <v>201</v>
      </c>
      <c r="M301" s="101">
        <v>2.0</v>
      </c>
      <c r="N301" s="52" t="s">
        <v>149</v>
      </c>
      <c r="O301" s="52" t="s">
        <v>108</v>
      </c>
      <c r="P301" s="52" t="s">
        <v>141</v>
      </c>
      <c r="Q301" s="52" t="s">
        <v>129</v>
      </c>
      <c r="R301" s="52" t="s">
        <v>141</v>
      </c>
      <c r="S301" s="52" t="s">
        <v>129</v>
      </c>
      <c r="T301" s="65" t="s">
        <v>30</v>
      </c>
      <c r="U301" s="32">
        <v>1.0</v>
      </c>
      <c r="V301" s="32">
        <v>1.0</v>
      </c>
      <c r="W301" s="32">
        <v>1.0</v>
      </c>
      <c r="X301" s="32">
        <v>1.0</v>
      </c>
      <c r="Y301" s="32">
        <v>1.0</v>
      </c>
      <c r="Z301" s="32">
        <v>1.0</v>
      </c>
      <c r="AA301" s="32">
        <v>6.0</v>
      </c>
      <c r="AB301" s="32">
        <v>0.0</v>
      </c>
      <c r="AC301" s="103" t="str">
        <f>IFERROR(__xludf.DUMMYFUNCTION("if($C301="""","""",if(join("" - "",{iferror(filter('Student Groupings'!$A:$A,'Student Groupings'!$B:$B=$C301,'Student Groupings'!$H:$H=""Can't be Together""),"""");iferror(filter('Student Groupings'!$A:$A,'Student Groupings'!$E:$E=$C301,'Student Groupings"&amp;"'!$H:$H=""Can't be Together""),"""")})="" - "","""",join("" - "",{iferror(filter('Student Groupings'!$A:$A,'Student Groupings'!$B:$B=$C301,'Student Groupings'!$H:$H=""Can't be Together""),"""");iferror(filter('Student Groupings'!$A:$A,'Student Groupings'!"&amp;"$E:$E=$C301,'Student Groupings'!$H:$H=""Can't be Together""),"""")})))")," - 51")</f>
        <v> - 51</v>
      </c>
      <c r="AD301" s="103" t="str">
        <f>IFERROR(__xludf.DUMMYFUNCTION("if($C301="""","""",if(join("" - "",{iferror(filter('Student Groupings'!$A:$A,'Student Groupings'!$B:$B=$C301,'Student Groupings'!$H:$H=""Must be Together""),"""");iferror(filter('Student Groupings'!$A:$A,'Student Groupings'!$E:$E=$C301,'Student Groupings'"&amp;"!$H:$H=""Must be Together""),"""")})="" - "","""",join("" - "",{iferror(filter('Student Groupings'!$A:$A,'Student Groupings'!$B:$B=$C301,'Student Groupings'!$H:$H=""Must be Together""),"""");iferror(filter('Student Groupings'!$A:$A,'Student Groupings'!$E:"&amp;"$E=$C301,'Student Groupings'!$H:$H=""Must be Together""),"""")})))"),"")</f>
        <v/>
      </c>
      <c r="AE301" s="104"/>
      <c r="AF301" s="104"/>
      <c r="AG301" s="104"/>
      <c r="AH301" s="104"/>
    </row>
    <row r="302">
      <c r="A302" s="101">
        <v>8.0</v>
      </c>
      <c r="B302" s="101">
        <v>29025.0</v>
      </c>
      <c r="C302" s="102" t="s">
        <v>563</v>
      </c>
      <c r="D302" s="52" t="s">
        <v>176</v>
      </c>
      <c r="E302" s="52">
        <v>4.0</v>
      </c>
      <c r="F302" s="52" t="s">
        <v>170</v>
      </c>
      <c r="G302" s="52">
        <v>1.0</v>
      </c>
      <c r="H302" s="52" t="s">
        <v>187</v>
      </c>
      <c r="I302" s="52">
        <v>6.0</v>
      </c>
      <c r="J302" s="52" t="s">
        <v>190</v>
      </c>
      <c r="K302" s="52">
        <v>3.0</v>
      </c>
      <c r="L302" s="52" t="s">
        <v>201</v>
      </c>
      <c r="M302" s="52">
        <v>2.0</v>
      </c>
      <c r="N302" s="52" t="s">
        <v>149</v>
      </c>
      <c r="O302" s="52" t="s">
        <v>124</v>
      </c>
      <c r="P302" s="52" t="s">
        <v>141</v>
      </c>
      <c r="Q302" s="52" t="s">
        <v>112</v>
      </c>
      <c r="R302" s="52" t="s">
        <v>141</v>
      </c>
      <c r="S302" s="52" t="s">
        <v>112</v>
      </c>
      <c r="T302" s="65" t="s">
        <v>30</v>
      </c>
      <c r="U302" s="32">
        <v>1.0</v>
      </c>
      <c r="V302" s="32">
        <v>1.0</v>
      </c>
      <c r="W302" s="32">
        <v>1.0</v>
      </c>
      <c r="X302" s="32">
        <v>1.0</v>
      </c>
      <c r="Y302" s="32">
        <v>1.0</v>
      </c>
      <c r="Z302" s="32">
        <v>1.0</v>
      </c>
      <c r="AA302" s="32">
        <v>6.0</v>
      </c>
      <c r="AB302" s="32">
        <v>0.0</v>
      </c>
      <c r="AC302" s="103" t="str">
        <f>IFERROR(__xludf.DUMMYFUNCTION("if($C302="""","""",if(join("" - "",{iferror(filter('Student Groupings'!$A:$A,'Student Groupings'!$B:$B=$C302,'Student Groupings'!$H:$H=""Can't be Together""),"""");iferror(filter('Student Groupings'!$A:$A,'Student Groupings'!$E:$E=$C302,'Student Groupings"&amp;"'!$H:$H=""Can't be Together""),"""")})="" - "","""",join("" - "",{iferror(filter('Student Groupings'!$A:$A,'Student Groupings'!$B:$B=$C302,'Student Groupings'!$H:$H=""Can't be Together""),"""");iferror(filter('Student Groupings'!$A:$A,'Student Groupings'!"&amp;"$E:$E=$C302,'Student Groupings'!$H:$H=""Can't be Together""),"""")})))"),"")</f>
        <v/>
      </c>
      <c r="AD302" s="103" t="str">
        <f>IFERROR(__xludf.DUMMYFUNCTION("if($C302="""","""",if(join("" - "",{iferror(filter('Student Groupings'!$A:$A,'Student Groupings'!$B:$B=$C302,'Student Groupings'!$H:$H=""Must be Together""),"""");iferror(filter('Student Groupings'!$A:$A,'Student Groupings'!$E:$E=$C302,'Student Groupings'"&amp;"!$H:$H=""Must be Together""),"""")})="" - "","""",join("" - "",{iferror(filter('Student Groupings'!$A:$A,'Student Groupings'!$B:$B=$C302,'Student Groupings'!$H:$H=""Must be Together""),"""");iferror(filter('Student Groupings'!$A:$A,'Student Groupings'!$E:"&amp;"$E=$C302,'Student Groupings'!$H:$H=""Must be Together""),"""")})))"),"")</f>
        <v/>
      </c>
      <c r="AE302" s="104"/>
      <c r="AF302" s="104"/>
      <c r="AG302" s="104"/>
      <c r="AH302" s="104"/>
    </row>
    <row r="303">
      <c r="A303" s="101">
        <v>8.0</v>
      </c>
      <c r="B303" s="101">
        <v>29027.0</v>
      </c>
      <c r="C303" s="102" t="s">
        <v>564</v>
      </c>
      <c r="D303" s="52" t="s">
        <v>177</v>
      </c>
      <c r="E303" s="52">
        <v>4.0</v>
      </c>
      <c r="F303" s="52" t="s">
        <v>167</v>
      </c>
      <c r="G303" s="52">
        <v>5.0</v>
      </c>
      <c r="H303" s="52" t="s">
        <v>187</v>
      </c>
      <c r="I303" s="52">
        <v>6.0</v>
      </c>
      <c r="J303" s="52" t="s">
        <v>191</v>
      </c>
      <c r="K303" s="52">
        <v>3.0</v>
      </c>
      <c r="L303" s="52" t="s">
        <v>202</v>
      </c>
      <c r="M303" s="52">
        <v>2.0</v>
      </c>
      <c r="N303" s="52" t="s">
        <v>149</v>
      </c>
      <c r="O303" s="52" t="s">
        <v>108</v>
      </c>
      <c r="P303" s="52" t="s">
        <v>141</v>
      </c>
      <c r="Q303" s="52" t="s">
        <v>129</v>
      </c>
      <c r="R303" s="52" t="s">
        <v>141</v>
      </c>
      <c r="S303" s="52" t="s">
        <v>129</v>
      </c>
      <c r="T303" s="65" t="s">
        <v>30</v>
      </c>
      <c r="U303" s="32">
        <v>1.0</v>
      </c>
      <c r="V303" s="32">
        <v>1.0</v>
      </c>
      <c r="W303" s="32">
        <v>1.0</v>
      </c>
      <c r="X303" s="32">
        <v>1.0</v>
      </c>
      <c r="Y303" s="32">
        <v>1.0</v>
      </c>
      <c r="Z303" s="32">
        <v>1.0</v>
      </c>
      <c r="AA303" s="32">
        <v>6.0</v>
      </c>
      <c r="AB303" s="32">
        <v>0.0</v>
      </c>
      <c r="AC303" s="103" t="str">
        <f>IFERROR(__xludf.DUMMYFUNCTION("if($C303="""","""",if(join("" - "",{iferror(filter('Student Groupings'!$A:$A,'Student Groupings'!$B:$B=$C303,'Student Groupings'!$H:$H=""Can't be Together""),"""");iferror(filter('Student Groupings'!$A:$A,'Student Groupings'!$E:$E=$C303,'Student Groupings"&amp;"'!$H:$H=""Can't be Together""),"""")})="" - "","""",join("" - "",{iferror(filter('Student Groupings'!$A:$A,'Student Groupings'!$B:$B=$C303,'Student Groupings'!$H:$H=""Can't be Together""),"""");iferror(filter('Student Groupings'!$A:$A,'Student Groupings'!"&amp;"$E:$E=$C303,'Student Groupings'!$H:$H=""Can't be Together""),"""")})))"),"")</f>
        <v/>
      </c>
      <c r="AD303" s="103" t="str">
        <f>IFERROR(__xludf.DUMMYFUNCTION("if($C303="""","""",if(join("" - "",{iferror(filter('Student Groupings'!$A:$A,'Student Groupings'!$B:$B=$C303,'Student Groupings'!$H:$H=""Must be Together""),"""");iferror(filter('Student Groupings'!$A:$A,'Student Groupings'!$E:$E=$C303,'Student Groupings'"&amp;"!$H:$H=""Must be Together""),"""")})="" - "","""",join("" - "",{iferror(filter('Student Groupings'!$A:$A,'Student Groupings'!$B:$B=$C303,'Student Groupings'!$H:$H=""Must be Together""),"""");iferror(filter('Student Groupings'!$A:$A,'Student Groupings'!$E:"&amp;"$E=$C303,'Student Groupings'!$H:$H=""Must be Together""),"""")})))"),"")</f>
        <v/>
      </c>
      <c r="AE303" s="104"/>
      <c r="AF303" s="104"/>
      <c r="AG303" s="104"/>
      <c r="AH303" s="104"/>
    </row>
    <row r="304">
      <c r="A304" s="101">
        <v>8.0</v>
      </c>
      <c r="B304" s="101">
        <v>29028.0</v>
      </c>
      <c r="C304" s="102" t="s">
        <v>565</v>
      </c>
      <c r="D304" s="52" t="s">
        <v>176</v>
      </c>
      <c r="E304" s="52">
        <v>6.0</v>
      </c>
      <c r="F304" s="52" t="s">
        <v>167</v>
      </c>
      <c r="G304" s="52">
        <v>4.0</v>
      </c>
      <c r="H304" s="52" t="s">
        <v>185</v>
      </c>
      <c r="I304" s="52">
        <v>3.0</v>
      </c>
      <c r="J304" s="52" t="s">
        <v>190</v>
      </c>
      <c r="K304" s="52">
        <v>5.0</v>
      </c>
      <c r="L304" s="107" t="s">
        <v>201</v>
      </c>
      <c r="M304" s="52">
        <v>1.0</v>
      </c>
      <c r="N304" s="52" t="s">
        <v>149</v>
      </c>
      <c r="O304" s="52" t="s">
        <v>125</v>
      </c>
      <c r="P304" s="52" t="s">
        <v>141</v>
      </c>
      <c r="Q304" s="52" t="s">
        <v>119</v>
      </c>
      <c r="R304" s="52" t="s">
        <v>141</v>
      </c>
      <c r="S304" s="52" t="s">
        <v>119</v>
      </c>
      <c r="T304" s="65" t="s">
        <v>30</v>
      </c>
      <c r="U304" s="32">
        <v>1.0</v>
      </c>
      <c r="V304" s="32">
        <v>1.0</v>
      </c>
      <c r="W304" s="32">
        <v>1.0</v>
      </c>
      <c r="X304" s="32">
        <v>1.0</v>
      </c>
      <c r="Y304" s="32">
        <v>1.0</v>
      </c>
      <c r="Z304" s="32">
        <v>1.0</v>
      </c>
      <c r="AA304" s="32">
        <v>6.0</v>
      </c>
      <c r="AB304" s="32">
        <v>0.0</v>
      </c>
      <c r="AC304" s="103" t="str">
        <f>IFERROR(__xludf.DUMMYFUNCTION("if($C304="""","""",if(join("" - "",{iferror(filter('Student Groupings'!$A:$A,'Student Groupings'!$B:$B=$C304,'Student Groupings'!$H:$H=""Can't be Together""),"""");iferror(filter('Student Groupings'!$A:$A,'Student Groupings'!$E:$E=$C304,'Student Groupings"&amp;"'!$H:$H=""Can't be Together""),"""")})="" - "","""",join("" - "",{iferror(filter('Student Groupings'!$A:$A,'Student Groupings'!$B:$B=$C304,'Student Groupings'!$H:$H=""Can't be Together""),"""");iferror(filter('Student Groupings'!$A:$A,'Student Groupings'!"&amp;"$E:$E=$C304,'Student Groupings'!$H:$H=""Can't be Together""),"""")})))"),"")</f>
        <v/>
      </c>
      <c r="AD304" s="103" t="str">
        <f>IFERROR(__xludf.DUMMYFUNCTION("if($C304="""","""",if(join("" - "",{iferror(filter('Student Groupings'!$A:$A,'Student Groupings'!$B:$B=$C304,'Student Groupings'!$H:$H=""Must be Together""),"""");iferror(filter('Student Groupings'!$A:$A,'Student Groupings'!$E:$E=$C304,'Student Groupings'"&amp;"!$H:$H=""Must be Together""),"""")})="" - "","""",join("" - "",{iferror(filter('Student Groupings'!$A:$A,'Student Groupings'!$B:$B=$C304,'Student Groupings'!$H:$H=""Must be Together""),"""");iferror(filter('Student Groupings'!$A:$A,'Student Groupings'!$E:"&amp;"$E=$C304,'Student Groupings'!$H:$H=""Must be Together""),"""")})))"),"")</f>
        <v/>
      </c>
      <c r="AE304" s="104"/>
      <c r="AF304" s="104"/>
      <c r="AG304" s="104"/>
      <c r="AH304" s="104"/>
    </row>
    <row r="305">
      <c r="A305" s="101">
        <v>8.0</v>
      </c>
      <c r="B305" s="101">
        <v>29029.0</v>
      </c>
      <c r="C305" s="102" t="s">
        <v>566</v>
      </c>
      <c r="D305" s="52" t="s">
        <v>176</v>
      </c>
      <c r="E305" s="52">
        <v>2.0</v>
      </c>
      <c r="F305" s="52" t="s">
        <v>162</v>
      </c>
      <c r="G305" s="52">
        <v>1.0</v>
      </c>
      <c r="H305" s="52" t="s">
        <v>185</v>
      </c>
      <c r="I305" s="52">
        <v>6.0</v>
      </c>
      <c r="J305" s="52" t="s">
        <v>190</v>
      </c>
      <c r="K305" s="52">
        <v>4.0</v>
      </c>
      <c r="L305" s="52" t="s">
        <v>201</v>
      </c>
      <c r="M305" s="52">
        <v>3.0</v>
      </c>
      <c r="N305" s="52" t="s">
        <v>149</v>
      </c>
      <c r="O305" s="52" t="s">
        <v>124</v>
      </c>
      <c r="P305" s="52" t="s">
        <v>141</v>
      </c>
      <c r="Q305" s="52" t="s">
        <v>112</v>
      </c>
      <c r="R305" s="52" t="s">
        <v>141</v>
      </c>
      <c r="S305" s="52" t="s">
        <v>112</v>
      </c>
      <c r="T305" s="65" t="s">
        <v>30</v>
      </c>
      <c r="U305" s="32">
        <v>1.0</v>
      </c>
      <c r="V305" s="32">
        <v>1.0</v>
      </c>
      <c r="W305" s="32">
        <v>1.0</v>
      </c>
      <c r="X305" s="32">
        <v>1.0</v>
      </c>
      <c r="Y305" s="32">
        <v>1.0</v>
      </c>
      <c r="Z305" s="32">
        <v>1.0</v>
      </c>
      <c r="AA305" s="32">
        <v>6.0</v>
      </c>
      <c r="AB305" s="32">
        <v>0.0</v>
      </c>
      <c r="AC305" s="103" t="str">
        <f>IFERROR(__xludf.DUMMYFUNCTION("if($C305="""","""",if(join("" - "",{iferror(filter('Student Groupings'!$A:$A,'Student Groupings'!$B:$B=$C305,'Student Groupings'!$H:$H=""Can't be Together""),"""");iferror(filter('Student Groupings'!$A:$A,'Student Groupings'!$E:$E=$C305,'Student Groupings"&amp;"'!$H:$H=""Can't be Together""),"""")})="" - "","""",join("" - "",{iferror(filter('Student Groupings'!$A:$A,'Student Groupings'!$B:$B=$C305,'Student Groupings'!$H:$H=""Can't be Together""),"""");iferror(filter('Student Groupings'!$A:$A,'Student Groupings'!"&amp;"$E:$E=$C305,'Student Groupings'!$H:$H=""Can't be Together""),"""")})))"),"")</f>
        <v/>
      </c>
      <c r="AD305" s="103" t="str">
        <f>IFERROR(__xludf.DUMMYFUNCTION("if($C305="""","""",if(join("" - "",{iferror(filter('Student Groupings'!$A:$A,'Student Groupings'!$B:$B=$C305,'Student Groupings'!$H:$H=""Must be Together""),"""");iferror(filter('Student Groupings'!$A:$A,'Student Groupings'!$E:$E=$C305,'Student Groupings'"&amp;"!$H:$H=""Must be Together""),"""")})="" - "","""",join("" - "",{iferror(filter('Student Groupings'!$A:$A,'Student Groupings'!$B:$B=$C305,'Student Groupings'!$H:$H=""Must be Together""),"""");iferror(filter('Student Groupings'!$A:$A,'Student Groupings'!$E:"&amp;"$E=$C305,'Student Groupings'!$H:$H=""Must be Together""),"""")})))"),"")</f>
        <v/>
      </c>
      <c r="AE305" s="105"/>
      <c r="AF305" s="105">
        <v>1.0</v>
      </c>
      <c r="AG305" s="105">
        <v>1.0</v>
      </c>
      <c r="AH305" s="105"/>
    </row>
    <row r="306">
      <c r="A306" s="101">
        <v>8.0</v>
      </c>
      <c r="B306" s="101">
        <v>29136.0</v>
      </c>
      <c r="C306" s="102" t="s">
        <v>567</v>
      </c>
      <c r="D306" s="52" t="s">
        <v>176</v>
      </c>
      <c r="E306" s="52">
        <v>3.0</v>
      </c>
      <c r="F306" s="52" t="s">
        <v>167</v>
      </c>
      <c r="G306" s="52">
        <v>5.0</v>
      </c>
      <c r="H306" s="52" t="s">
        <v>185</v>
      </c>
      <c r="I306" s="52">
        <v>6.0</v>
      </c>
      <c r="J306" s="52" t="s">
        <v>190</v>
      </c>
      <c r="K306" s="52">
        <v>2.0</v>
      </c>
      <c r="L306" s="52" t="s">
        <v>201</v>
      </c>
      <c r="M306" s="52">
        <v>4.0</v>
      </c>
      <c r="N306" s="52" t="s">
        <v>149</v>
      </c>
      <c r="O306" s="52" t="s">
        <v>108</v>
      </c>
      <c r="P306" s="52" t="s">
        <v>141</v>
      </c>
      <c r="Q306" s="52" t="s">
        <v>129</v>
      </c>
      <c r="R306" s="52" t="s">
        <v>141</v>
      </c>
      <c r="S306" s="52" t="s">
        <v>129</v>
      </c>
      <c r="T306" s="65" t="s">
        <v>30</v>
      </c>
      <c r="U306" s="32">
        <v>1.0</v>
      </c>
      <c r="V306" s="32">
        <v>1.0</v>
      </c>
      <c r="W306" s="32">
        <v>1.0</v>
      </c>
      <c r="X306" s="32">
        <v>1.0</v>
      </c>
      <c r="Y306" s="32">
        <v>1.0</v>
      </c>
      <c r="Z306" s="32">
        <v>1.0</v>
      </c>
      <c r="AA306" s="32">
        <v>6.0</v>
      </c>
      <c r="AB306" s="32">
        <v>0.0</v>
      </c>
      <c r="AC306" s="103" t="str">
        <f>IFERROR(__xludf.DUMMYFUNCTION("if($C306="""","""",if(join("" - "",{iferror(filter('Student Groupings'!$A:$A,'Student Groupings'!$B:$B=$C306,'Student Groupings'!$H:$H=""Can't be Together""),"""");iferror(filter('Student Groupings'!$A:$A,'Student Groupings'!$E:$E=$C306,'Student Groupings"&amp;"'!$H:$H=""Can't be Together""),"""")})="" - "","""",join("" - "",{iferror(filter('Student Groupings'!$A:$A,'Student Groupings'!$B:$B=$C306,'Student Groupings'!$H:$H=""Can't be Together""),"""");iferror(filter('Student Groupings'!$A:$A,'Student Groupings'!"&amp;"$E:$E=$C306,'Student Groupings'!$H:$H=""Can't be Together""),"""")})))"),"")</f>
        <v/>
      </c>
      <c r="AD306" s="103" t="str">
        <f>IFERROR(__xludf.DUMMYFUNCTION("if($C306="""","""",if(join("" - "",{iferror(filter('Student Groupings'!$A:$A,'Student Groupings'!$B:$B=$C306,'Student Groupings'!$H:$H=""Must be Together""),"""");iferror(filter('Student Groupings'!$A:$A,'Student Groupings'!$E:$E=$C306,'Student Groupings'"&amp;"!$H:$H=""Must be Together""),"""")})="" - "","""",join("" - "",{iferror(filter('Student Groupings'!$A:$A,'Student Groupings'!$B:$B=$C306,'Student Groupings'!$H:$H=""Must be Together""),"""");iferror(filter('Student Groupings'!$A:$A,'Student Groupings'!$E:"&amp;"$E=$C306,'Student Groupings'!$H:$H=""Must be Together""),"""")})))"),"")</f>
        <v/>
      </c>
      <c r="AE306" s="104"/>
      <c r="AF306" s="104"/>
      <c r="AG306" s="104"/>
      <c r="AH306" s="104"/>
    </row>
    <row r="307">
      <c r="A307" s="101">
        <v>8.0</v>
      </c>
      <c r="B307" s="101">
        <v>28023.0</v>
      </c>
      <c r="C307" s="102" t="s">
        <v>568</v>
      </c>
      <c r="D307" s="52" t="s">
        <v>177</v>
      </c>
      <c r="E307" s="52">
        <v>4.0</v>
      </c>
      <c r="F307" s="52" t="s">
        <v>162</v>
      </c>
      <c r="G307" s="52">
        <v>1.0</v>
      </c>
      <c r="H307" s="52" t="s">
        <v>185</v>
      </c>
      <c r="I307" s="52">
        <v>5.0</v>
      </c>
      <c r="J307" s="52" t="s">
        <v>191</v>
      </c>
      <c r="K307" s="52">
        <v>3.0</v>
      </c>
      <c r="L307" s="52" t="s">
        <v>202</v>
      </c>
      <c r="M307" s="52">
        <v>2.0</v>
      </c>
      <c r="N307" s="52" t="s">
        <v>149</v>
      </c>
      <c r="O307" s="52" t="s">
        <v>120</v>
      </c>
      <c r="P307" s="52" t="s">
        <v>141</v>
      </c>
      <c r="Q307" s="52" t="s">
        <v>109</v>
      </c>
      <c r="R307" s="52" t="s">
        <v>141</v>
      </c>
      <c r="S307" s="52" t="s">
        <v>109</v>
      </c>
      <c r="T307" s="65" t="s">
        <v>30</v>
      </c>
      <c r="U307" s="32">
        <v>1.0</v>
      </c>
      <c r="V307" s="32">
        <v>1.0</v>
      </c>
      <c r="W307" s="32">
        <v>1.0</v>
      </c>
      <c r="X307" s="32">
        <v>1.0</v>
      </c>
      <c r="Y307" s="32">
        <v>1.0</v>
      </c>
      <c r="Z307" s="32">
        <v>1.0</v>
      </c>
      <c r="AA307" s="32">
        <v>6.0</v>
      </c>
      <c r="AB307" s="32">
        <v>0.0</v>
      </c>
      <c r="AC307" s="103" t="str">
        <f>IFERROR(__xludf.DUMMYFUNCTION("if($C307="""","""",if(join("" - "",{iferror(filter('Student Groupings'!$A:$A,'Student Groupings'!$B:$B=$C307,'Student Groupings'!$H:$H=""Can't be Together""),"""");iferror(filter('Student Groupings'!$A:$A,'Student Groupings'!$E:$E=$C307,'Student Groupings"&amp;"'!$H:$H=""Can't be Together""),"""")})="" - "","""",join("" - "",{iferror(filter('Student Groupings'!$A:$A,'Student Groupings'!$B:$B=$C307,'Student Groupings'!$H:$H=""Can't be Together""),"""");iferror(filter('Student Groupings'!$A:$A,'Student Groupings'!"&amp;"$E:$E=$C307,'Student Groupings'!$H:$H=""Can't be Together""),"""")})))"),"")</f>
        <v/>
      </c>
      <c r="AD307" s="103" t="str">
        <f>IFERROR(__xludf.DUMMYFUNCTION("if($C307="""","""",if(join("" - "",{iferror(filter('Student Groupings'!$A:$A,'Student Groupings'!$B:$B=$C307,'Student Groupings'!$H:$H=""Must be Together""),"""");iferror(filter('Student Groupings'!$A:$A,'Student Groupings'!$E:$E=$C307,'Student Groupings'"&amp;"!$H:$H=""Must be Together""),"""")})="" - "","""",join("" - "",{iferror(filter('Student Groupings'!$A:$A,'Student Groupings'!$B:$B=$C307,'Student Groupings'!$H:$H=""Must be Together""),"""");iferror(filter('Student Groupings'!$A:$A,'Student Groupings'!$E:"&amp;"$E=$C307,'Student Groupings'!$H:$H=""Must be Together""),"""")})))"),"")</f>
        <v/>
      </c>
      <c r="AE307" s="104"/>
      <c r="AF307" s="104"/>
      <c r="AG307" s="104"/>
      <c r="AH307" s="104"/>
    </row>
    <row r="308">
      <c r="A308" s="101">
        <v>8.0</v>
      </c>
      <c r="B308" s="101">
        <v>29030.0</v>
      </c>
      <c r="C308" s="102" t="s">
        <v>569</v>
      </c>
      <c r="D308" s="52" t="s">
        <v>176</v>
      </c>
      <c r="E308" s="52">
        <v>3.0</v>
      </c>
      <c r="F308" s="52" t="s">
        <v>167</v>
      </c>
      <c r="G308" s="52">
        <v>5.0</v>
      </c>
      <c r="H308" s="52" t="s">
        <v>185</v>
      </c>
      <c r="I308" s="52">
        <v>6.0</v>
      </c>
      <c r="J308" s="52" t="s">
        <v>190</v>
      </c>
      <c r="K308" s="52">
        <v>2.0</v>
      </c>
      <c r="L308" s="52" t="s">
        <v>201</v>
      </c>
      <c r="M308" s="52">
        <v>4.0</v>
      </c>
      <c r="N308" s="52" t="s">
        <v>149</v>
      </c>
      <c r="O308" s="52" t="s">
        <v>108</v>
      </c>
      <c r="P308" s="52" t="s">
        <v>141</v>
      </c>
      <c r="Q308" s="52" t="s">
        <v>129</v>
      </c>
      <c r="R308" s="52" t="s">
        <v>141</v>
      </c>
      <c r="S308" s="52" t="s">
        <v>129</v>
      </c>
      <c r="T308" s="65" t="s">
        <v>30</v>
      </c>
      <c r="U308" s="32">
        <v>1.0</v>
      </c>
      <c r="V308" s="32">
        <v>1.0</v>
      </c>
      <c r="W308" s="32">
        <v>1.0</v>
      </c>
      <c r="X308" s="32">
        <v>1.0</v>
      </c>
      <c r="Y308" s="32">
        <v>1.0</v>
      </c>
      <c r="Z308" s="32">
        <v>1.0</v>
      </c>
      <c r="AA308" s="32">
        <v>6.0</v>
      </c>
      <c r="AB308" s="32">
        <v>0.0</v>
      </c>
      <c r="AC308" s="103" t="str">
        <f>IFERROR(__xludf.DUMMYFUNCTION("if($C308="""","""",if(join("" - "",{iferror(filter('Student Groupings'!$A:$A,'Student Groupings'!$B:$B=$C308,'Student Groupings'!$H:$H=""Can't be Together""),"""");iferror(filter('Student Groupings'!$A:$A,'Student Groupings'!$E:$E=$C308,'Student Groupings"&amp;"'!$H:$H=""Can't be Together""),"""")})="" - "","""",join("" - "",{iferror(filter('Student Groupings'!$A:$A,'Student Groupings'!$B:$B=$C308,'Student Groupings'!$H:$H=""Can't be Together""),"""");iferror(filter('Student Groupings'!$A:$A,'Student Groupings'!"&amp;"$E:$E=$C308,'Student Groupings'!$H:$H=""Can't be Together""),"""")})))"),"")</f>
        <v/>
      </c>
      <c r="AD308" s="103" t="str">
        <f>IFERROR(__xludf.DUMMYFUNCTION("if($C308="""","""",if(join("" - "",{iferror(filter('Student Groupings'!$A:$A,'Student Groupings'!$B:$B=$C308,'Student Groupings'!$H:$H=""Must be Together""),"""");iferror(filter('Student Groupings'!$A:$A,'Student Groupings'!$E:$E=$C308,'Student Groupings'"&amp;"!$H:$H=""Must be Together""),"""")})="" - "","""",join("" - "",{iferror(filter('Student Groupings'!$A:$A,'Student Groupings'!$B:$B=$C308,'Student Groupings'!$H:$H=""Must be Together""),"""");iferror(filter('Student Groupings'!$A:$A,'Student Groupings'!$E:"&amp;"$E=$C308,'Student Groupings'!$H:$H=""Must be Together""),"""")})))"),"")</f>
        <v/>
      </c>
      <c r="AE308" s="104"/>
      <c r="AF308" s="104"/>
      <c r="AG308" s="104"/>
      <c r="AH308" s="104"/>
    </row>
    <row r="309">
      <c r="A309" s="101">
        <v>8.0</v>
      </c>
      <c r="B309" s="101">
        <v>29164.0</v>
      </c>
      <c r="C309" s="102" t="s">
        <v>283</v>
      </c>
      <c r="D309" s="52" t="s">
        <v>176</v>
      </c>
      <c r="E309" s="52">
        <v>4.0</v>
      </c>
      <c r="F309" s="52" t="s">
        <v>162</v>
      </c>
      <c r="G309" s="52">
        <v>6.0</v>
      </c>
      <c r="H309" s="52" t="s">
        <v>185</v>
      </c>
      <c r="I309" s="52">
        <v>5.0</v>
      </c>
      <c r="J309" s="52" t="s">
        <v>190</v>
      </c>
      <c r="K309" s="52">
        <v>3.0</v>
      </c>
      <c r="L309" s="52" t="s">
        <v>201</v>
      </c>
      <c r="M309" s="52">
        <v>2.0</v>
      </c>
      <c r="N309" s="52" t="s">
        <v>149</v>
      </c>
      <c r="O309" s="52" t="s">
        <v>108</v>
      </c>
      <c r="P309" s="52" t="s">
        <v>141</v>
      </c>
      <c r="Q309" s="52" t="s">
        <v>129</v>
      </c>
      <c r="R309" s="52" t="s">
        <v>141</v>
      </c>
      <c r="S309" s="52" t="s">
        <v>129</v>
      </c>
      <c r="T309" s="65" t="s">
        <v>30</v>
      </c>
      <c r="U309" s="32">
        <v>1.0</v>
      </c>
      <c r="V309" s="32">
        <v>1.0</v>
      </c>
      <c r="W309" s="32">
        <v>1.0</v>
      </c>
      <c r="X309" s="32">
        <v>1.0</v>
      </c>
      <c r="Y309" s="32">
        <v>1.0</v>
      </c>
      <c r="Z309" s="32">
        <v>1.0</v>
      </c>
      <c r="AA309" s="32">
        <v>6.0</v>
      </c>
      <c r="AB309" s="32">
        <v>0.0</v>
      </c>
      <c r="AC309" s="103" t="str">
        <f>IFERROR(__xludf.DUMMYFUNCTION("if($C309="""","""",if(join("" - "",{iferror(filter('Student Groupings'!$A:$A,'Student Groupings'!$B:$B=$C309,'Student Groupings'!$H:$H=""Can't be Together""),"""");iferror(filter('Student Groupings'!$A:$A,'Student Groupings'!$E:$E=$C309,'Student Groupings"&amp;"'!$H:$H=""Can't be Together""),"""")})="" - "","""",join("" - "",{iferror(filter('Student Groupings'!$A:$A,'Student Groupings'!$B:$B=$C309,'Student Groupings'!$H:$H=""Can't be Together""),"""");iferror(filter('Student Groupings'!$A:$A,'Student Groupings'!"&amp;"$E:$E=$C309,'Student Groupings'!$H:$H=""Can't be Together""),"""")})))")," - 117")</f>
        <v> - 117</v>
      </c>
      <c r="AD309" s="103" t="str">
        <f>IFERROR(__xludf.DUMMYFUNCTION("if($C309="""","""",if(join("" - "",{iferror(filter('Student Groupings'!$A:$A,'Student Groupings'!$B:$B=$C309,'Student Groupings'!$H:$H=""Must be Together""),"""");iferror(filter('Student Groupings'!$A:$A,'Student Groupings'!$E:$E=$C309,'Student Groupings'"&amp;"!$H:$H=""Must be Together""),"""")})="" - "","""",join("" - "",{iferror(filter('Student Groupings'!$A:$A,'Student Groupings'!$B:$B=$C309,'Student Groupings'!$H:$H=""Must be Together""),"""");iferror(filter('Student Groupings'!$A:$A,'Student Groupings'!$E:"&amp;"$E=$C309,'Student Groupings'!$H:$H=""Must be Together""),"""")})))"),"")</f>
        <v/>
      </c>
      <c r="AE309" s="104"/>
      <c r="AF309" s="104"/>
      <c r="AG309" s="104"/>
      <c r="AH309" s="104"/>
    </row>
    <row r="310">
      <c r="A310" s="101">
        <v>8.0</v>
      </c>
      <c r="B310" s="101">
        <v>29032.0</v>
      </c>
      <c r="C310" s="102" t="s">
        <v>570</v>
      </c>
      <c r="D310" s="52" t="s">
        <v>176</v>
      </c>
      <c r="E310" s="52">
        <v>2.0</v>
      </c>
      <c r="F310" s="52" t="s">
        <v>162</v>
      </c>
      <c r="G310" s="52">
        <v>1.0</v>
      </c>
      <c r="H310" s="52" t="s">
        <v>185</v>
      </c>
      <c r="I310" s="52">
        <v>5.0</v>
      </c>
      <c r="J310" s="52" t="s">
        <v>190</v>
      </c>
      <c r="K310" s="52">
        <v>4.0</v>
      </c>
      <c r="L310" s="52" t="s">
        <v>201</v>
      </c>
      <c r="M310" s="52">
        <v>3.0</v>
      </c>
      <c r="N310" s="52" t="s">
        <v>149</v>
      </c>
      <c r="O310" s="52" t="s">
        <v>120</v>
      </c>
      <c r="P310" s="52" t="s">
        <v>141</v>
      </c>
      <c r="Q310" s="52" t="s">
        <v>109</v>
      </c>
      <c r="R310" s="52" t="s">
        <v>141</v>
      </c>
      <c r="S310" s="52" t="s">
        <v>109</v>
      </c>
      <c r="T310" s="65" t="s">
        <v>30</v>
      </c>
      <c r="U310" s="32">
        <v>1.0</v>
      </c>
      <c r="V310" s="32">
        <v>1.0</v>
      </c>
      <c r="W310" s="32">
        <v>1.0</v>
      </c>
      <c r="X310" s="32">
        <v>1.0</v>
      </c>
      <c r="Y310" s="32">
        <v>1.0</v>
      </c>
      <c r="Z310" s="32">
        <v>1.0</v>
      </c>
      <c r="AA310" s="32">
        <v>6.0</v>
      </c>
      <c r="AB310" s="32">
        <v>0.0</v>
      </c>
      <c r="AC310" s="103" t="str">
        <f>IFERROR(__xludf.DUMMYFUNCTION("if($C310="""","""",if(join("" - "",{iferror(filter('Student Groupings'!$A:$A,'Student Groupings'!$B:$B=$C310,'Student Groupings'!$H:$H=""Can't be Together""),"""");iferror(filter('Student Groupings'!$A:$A,'Student Groupings'!$E:$E=$C310,'Student Groupings"&amp;"'!$H:$H=""Can't be Together""),"""")})="" - "","""",join("" - "",{iferror(filter('Student Groupings'!$A:$A,'Student Groupings'!$B:$B=$C310,'Student Groupings'!$H:$H=""Can't be Together""),"""");iferror(filter('Student Groupings'!$A:$A,'Student Groupings'!"&amp;"$E:$E=$C310,'Student Groupings'!$H:$H=""Can't be Together""),"""")})))"),"")</f>
        <v/>
      </c>
      <c r="AD310" s="103" t="str">
        <f>IFERROR(__xludf.DUMMYFUNCTION("if($C310="""","""",if(join("" - "",{iferror(filter('Student Groupings'!$A:$A,'Student Groupings'!$B:$B=$C310,'Student Groupings'!$H:$H=""Must be Together""),"""");iferror(filter('Student Groupings'!$A:$A,'Student Groupings'!$E:$E=$C310,'Student Groupings'"&amp;"!$H:$H=""Must be Together""),"""")})="" - "","""",join("" - "",{iferror(filter('Student Groupings'!$A:$A,'Student Groupings'!$B:$B=$C310,'Student Groupings'!$H:$H=""Must be Together""),"""");iferror(filter('Student Groupings'!$A:$A,'Student Groupings'!$E:"&amp;"$E=$C310,'Student Groupings'!$H:$H=""Must be Together""),"""")})))"),"")</f>
        <v/>
      </c>
      <c r="AE310" s="104"/>
      <c r="AF310" s="104"/>
      <c r="AG310" s="104"/>
      <c r="AH310" s="104"/>
    </row>
    <row r="311">
      <c r="A311" s="101">
        <v>8.0</v>
      </c>
      <c r="B311" s="101">
        <v>29165.0</v>
      </c>
      <c r="C311" s="102" t="s">
        <v>571</v>
      </c>
      <c r="D311" s="52" t="s">
        <v>176</v>
      </c>
      <c r="E311" s="52">
        <v>4.0</v>
      </c>
      <c r="F311" s="52" t="s">
        <v>162</v>
      </c>
      <c r="G311" s="52">
        <v>1.0</v>
      </c>
      <c r="H311" s="52" t="s">
        <v>185</v>
      </c>
      <c r="I311" s="52">
        <v>5.0</v>
      </c>
      <c r="J311" s="52" t="s">
        <v>190</v>
      </c>
      <c r="K311" s="52">
        <v>3.0</v>
      </c>
      <c r="L311" s="52" t="s">
        <v>201</v>
      </c>
      <c r="M311" s="52">
        <v>2.0</v>
      </c>
      <c r="N311" s="52" t="s">
        <v>149</v>
      </c>
      <c r="O311" s="52" t="s">
        <v>120</v>
      </c>
      <c r="P311" s="52" t="s">
        <v>141</v>
      </c>
      <c r="Q311" s="52" t="s">
        <v>109</v>
      </c>
      <c r="R311" s="52" t="s">
        <v>141</v>
      </c>
      <c r="S311" s="52" t="s">
        <v>109</v>
      </c>
      <c r="T311" s="65" t="s">
        <v>30</v>
      </c>
      <c r="U311" s="32">
        <v>1.0</v>
      </c>
      <c r="V311" s="32">
        <v>1.0</v>
      </c>
      <c r="W311" s="32">
        <v>1.0</v>
      </c>
      <c r="X311" s="32">
        <v>1.0</v>
      </c>
      <c r="Y311" s="32">
        <v>1.0</v>
      </c>
      <c r="Z311" s="32">
        <v>1.0</v>
      </c>
      <c r="AA311" s="32">
        <v>6.0</v>
      </c>
      <c r="AB311" s="32">
        <v>0.0</v>
      </c>
      <c r="AC311" s="103" t="str">
        <f>IFERROR(__xludf.DUMMYFUNCTION("if($C311="""","""",if(join("" - "",{iferror(filter('Student Groupings'!$A:$A,'Student Groupings'!$B:$B=$C311,'Student Groupings'!$H:$H=""Can't be Together""),"""");iferror(filter('Student Groupings'!$A:$A,'Student Groupings'!$E:$E=$C311,'Student Groupings"&amp;"'!$H:$H=""Can't be Together""),"""")})="" - "","""",join("" - "",{iferror(filter('Student Groupings'!$A:$A,'Student Groupings'!$B:$B=$C311,'Student Groupings'!$H:$H=""Can't be Together""),"""");iferror(filter('Student Groupings'!$A:$A,'Student Groupings'!"&amp;"$E:$E=$C311,'Student Groupings'!$H:$H=""Can't be Together""),"""")})))"),"")</f>
        <v/>
      </c>
      <c r="AD311" s="103" t="str">
        <f>IFERROR(__xludf.DUMMYFUNCTION("if($C311="""","""",if(join("" - "",{iferror(filter('Student Groupings'!$A:$A,'Student Groupings'!$B:$B=$C311,'Student Groupings'!$H:$H=""Must be Together""),"""");iferror(filter('Student Groupings'!$A:$A,'Student Groupings'!$E:$E=$C311,'Student Groupings'"&amp;"!$H:$H=""Must be Together""),"""")})="" - "","""",join("" - "",{iferror(filter('Student Groupings'!$A:$A,'Student Groupings'!$B:$B=$C311,'Student Groupings'!$H:$H=""Must be Together""),"""");iferror(filter('Student Groupings'!$A:$A,'Student Groupings'!$E:"&amp;"$E=$C311,'Student Groupings'!$H:$H=""Must be Together""),"""")})))"),"")</f>
        <v/>
      </c>
      <c r="AE311" s="104"/>
      <c r="AF311" s="104"/>
      <c r="AG311" s="104"/>
      <c r="AH311" s="104"/>
    </row>
    <row r="312">
      <c r="A312" s="101">
        <v>8.0</v>
      </c>
      <c r="B312" s="101">
        <v>29034.0</v>
      </c>
      <c r="C312" s="102" t="s">
        <v>572</v>
      </c>
      <c r="D312" s="52" t="s">
        <v>176</v>
      </c>
      <c r="E312" s="52">
        <v>5.0</v>
      </c>
      <c r="F312" s="52" t="s">
        <v>167</v>
      </c>
      <c r="G312" s="52">
        <v>4.0</v>
      </c>
      <c r="H312" s="52" t="s">
        <v>185</v>
      </c>
      <c r="I312" s="52">
        <v>3.0</v>
      </c>
      <c r="J312" s="52" t="s">
        <v>190</v>
      </c>
      <c r="K312" s="52">
        <v>1.0</v>
      </c>
      <c r="L312" s="52" t="s">
        <v>201</v>
      </c>
      <c r="M312" s="52">
        <v>6.0</v>
      </c>
      <c r="N312" s="52" t="s">
        <v>149</v>
      </c>
      <c r="O312" s="52" t="s">
        <v>125</v>
      </c>
      <c r="P312" s="52" t="s">
        <v>141</v>
      </c>
      <c r="Q312" s="52" t="s">
        <v>119</v>
      </c>
      <c r="R312" s="52" t="s">
        <v>141</v>
      </c>
      <c r="S312" s="52" t="s">
        <v>119</v>
      </c>
      <c r="T312" s="65" t="s">
        <v>30</v>
      </c>
      <c r="U312" s="32">
        <v>1.0</v>
      </c>
      <c r="V312" s="32">
        <v>1.0</v>
      </c>
      <c r="W312" s="32">
        <v>1.0</v>
      </c>
      <c r="X312" s="32">
        <v>1.0</v>
      </c>
      <c r="Y312" s="32">
        <v>1.0</v>
      </c>
      <c r="Z312" s="32">
        <v>1.0</v>
      </c>
      <c r="AA312" s="32">
        <v>6.0</v>
      </c>
      <c r="AB312" s="32">
        <v>0.0</v>
      </c>
      <c r="AC312" s="103" t="str">
        <f>IFERROR(__xludf.DUMMYFUNCTION("if($C312="""","""",if(join("" - "",{iferror(filter('Student Groupings'!$A:$A,'Student Groupings'!$B:$B=$C312,'Student Groupings'!$H:$H=""Can't be Together""),"""");iferror(filter('Student Groupings'!$A:$A,'Student Groupings'!$E:$E=$C312,'Student Groupings"&amp;"'!$H:$H=""Can't be Together""),"""")})="" - "","""",join("" - "",{iferror(filter('Student Groupings'!$A:$A,'Student Groupings'!$B:$B=$C312,'Student Groupings'!$H:$H=""Can't be Together""),"""");iferror(filter('Student Groupings'!$A:$A,'Student Groupings'!"&amp;"$E:$E=$C312,'Student Groupings'!$H:$H=""Can't be Together""),"""")})))"),"")</f>
        <v/>
      </c>
      <c r="AD312" s="103" t="str">
        <f>IFERROR(__xludf.DUMMYFUNCTION("if($C312="""","""",if(join("" - "",{iferror(filter('Student Groupings'!$A:$A,'Student Groupings'!$B:$B=$C312,'Student Groupings'!$H:$H=""Must be Together""),"""");iferror(filter('Student Groupings'!$A:$A,'Student Groupings'!$E:$E=$C312,'Student Groupings'"&amp;"!$H:$H=""Must be Together""),"""")})="" - "","""",join("" - "",{iferror(filter('Student Groupings'!$A:$A,'Student Groupings'!$B:$B=$C312,'Student Groupings'!$H:$H=""Must be Together""),"""");iferror(filter('Student Groupings'!$A:$A,'Student Groupings'!$E:"&amp;"$E=$C312,'Student Groupings'!$H:$H=""Must be Together""),"""")})))"),"")</f>
        <v/>
      </c>
      <c r="AE312" s="104"/>
      <c r="AF312" s="104"/>
      <c r="AG312" s="104"/>
      <c r="AH312" s="104"/>
    </row>
    <row r="313">
      <c r="A313" s="101">
        <v>8.0</v>
      </c>
      <c r="B313" s="101">
        <v>29035.0</v>
      </c>
      <c r="C313" s="102" t="s">
        <v>573</v>
      </c>
      <c r="D313" s="52" t="s">
        <v>177</v>
      </c>
      <c r="E313" s="52">
        <v>4.0</v>
      </c>
      <c r="F313" s="52" t="s">
        <v>170</v>
      </c>
      <c r="G313" s="52">
        <v>1.0</v>
      </c>
      <c r="H313" s="52" t="s">
        <v>187</v>
      </c>
      <c r="I313" s="52">
        <v>6.0</v>
      </c>
      <c r="J313" s="52" t="s">
        <v>191</v>
      </c>
      <c r="K313" s="52">
        <v>3.0</v>
      </c>
      <c r="L313" s="52" t="s">
        <v>202</v>
      </c>
      <c r="M313" s="52">
        <v>2.0</v>
      </c>
      <c r="N313" s="52" t="s">
        <v>149</v>
      </c>
      <c r="O313" s="52" t="s">
        <v>112</v>
      </c>
      <c r="P313" s="52" t="s">
        <v>135</v>
      </c>
      <c r="Q313" s="52" t="s">
        <v>124</v>
      </c>
      <c r="R313" s="52" t="s">
        <v>118</v>
      </c>
      <c r="S313" s="52" t="s">
        <v>124</v>
      </c>
      <c r="T313" s="65" t="s">
        <v>27</v>
      </c>
      <c r="U313" s="32">
        <v>1.0</v>
      </c>
      <c r="V313" s="32">
        <v>1.0</v>
      </c>
      <c r="W313" s="32">
        <v>1.0</v>
      </c>
      <c r="X313" s="32">
        <v>1.0</v>
      </c>
      <c r="Y313" s="32">
        <v>1.0</v>
      </c>
      <c r="Z313" s="32">
        <v>1.0</v>
      </c>
      <c r="AA313" s="32">
        <v>6.0</v>
      </c>
      <c r="AB313" s="32">
        <v>0.0</v>
      </c>
      <c r="AC313" s="103" t="str">
        <f>IFERROR(__xludf.DUMMYFUNCTION("if($C313="""","""",if(join("" - "",{iferror(filter('Student Groupings'!$A:$A,'Student Groupings'!$B:$B=$C313,'Student Groupings'!$H:$H=""Can't be Together""),"""");iferror(filter('Student Groupings'!$A:$A,'Student Groupings'!$E:$E=$C313,'Student Groupings"&amp;"'!$H:$H=""Can't be Together""),"""")})="" - "","""",join("" - "",{iferror(filter('Student Groupings'!$A:$A,'Student Groupings'!$B:$B=$C313,'Student Groupings'!$H:$H=""Can't be Together""),"""");iferror(filter('Student Groupings'!$A:$A,'Student Groupings'!"&amp;"$E:$E=$C313,'Student Groupings'!$H:$H=""Can't be Together""),"""")})))"),"")</f>
        <v/>
      </c>
      <c r="AD313" s="103" t="str">
        <f>IFERROR(__xludf.DUMMYFUNCTION("if($C313="""","""",if(join("" - "",{iferror(filter('Student Groupings'!$A:$A,'Student Groupings'!$B:$B=$C313,'Student Groupings'!$H:$H=""Must be Together""),"""");iferror(filter('Student Groupings'!$A:$A,'Student Groupings'!$E:$E=$C313,'Student Groupings'"&amp;"!$H:$H=""Must be Together""),"""")})="" - "","""",join("" - "",{iferror(filter('Student Groupings'!$A:$A,'Student Groupings'!$B:$B=$C313,'Student Groupings'!$H:$H=""Must be Together""),"""");iferror(filter('Student Groupings'!$A:$A,'Student Groupings'!$E:"&amp;"$E=$C313,'Student Groupings'!$H:$H=""Must be Together""),"""")})))"),"")</f>
        <v/>
      </c>
      <c r="AE313" s="104"/>
      <c r="AF313" s="104"/>
      <c r="AG313" s="105"/>
      <c r="AH313" s="105"/>
    </row>
    <row r="314">
      <c r="A314" s="101">
        <v>8.0</v>
      </c>
      <c r="B314" s="101">
        <v>29135.0</v>
      </c>
      <c r="C314" s="102" t="s">
        <v>273</v>
      </c>
      <c r="D314" s="52" t="s">
        <v>176</v>
      </c>
      <c r="E314" s="52">
        <v>5.0</v>
      </c>
      <c r="F314" s="52" t="s">
        <v>167</v>
      </c>
      <c r="G314" s="52">
        <v>3.0</v>
      </c>
      <c r="H314" s="52" t="s">
        <v>185</v>
      </c>
      <c r="I314" s="52">
        <v>2.0</v>
      </c>
      <c r="J314" s="52" t="s">
        <v>190</v>
      </c>
      <c r="K314" s="52">
        <v>1.0</v>
      </c>
      <c r="L314" s="52" t="s">
        <v>201</v>
      </c>
      <c r="M314" s="52">
        <v>6.0</v>
      </c>
      <c r="N314" s="52" t="s">
        <v>149</v>
      </c>
      <c r="O314" s="52" t="s">
        <v>111</v>
      </c>
      <c r="P314" s="52" t="s">
        <v>135</v>
      </c>
      <c r="Q314" s="52" t="s">
        <v>130</v>
      </c>
      <c r="R314" s="52" t="s">
        <v>118</v>
      </c>
      <c r="S314" s="52" t="s">
        <v>130</v>
      </c>
      <c r="T314" s="65" t="s">
        <v>27</v>
      </c>
      <c r="U314" s="32">
        <v>1.0</v>
      </c>
      <c r="V314" s="32">
        <v>1.0</v>
      </c>
      <c r="W314" s="32">
        <v>1.0</v>
      </c>
      <c r="X314" s="32">
        <v>1.0</v>
      </c>
      <c r="Y314" s="32">
        <v>1.0</v>
      </c>
      <c r="Z314" s="32">
        <v>1.0</v>
      </c>
      <c r="AA314" s="32">
        <v>6.0</v>
      </c>
      <c r="AB314" s="32">
        <v>0.0</v>
      </c>
      <c r="AC314" s="103" t="str">
        <f>IFERROR(__xludf.DUMMYFUNCTION("if($C314="""","""",if(join("" - "",{iferror(filter('Student Groupings'!$A:$A,'Student Groupings'!$B:$B=$C314,'Student Groupings'!$H:$H=""Can't be Together""),"""");iferror(filter('Student Groupings'!$A:$A,'Student Groupings'!$E:$E=$C314,'Student Groupings"&amp;"'!$H:$H=""Can't be Together""),"""")})="" - "","""",join("" - "",{iferror(filter('Student Groupings'!$A:$A,'Student Groupings'!$B:$B=$C314,'Student Groupings'!$H:$H=""Can't be Together""),"""");iferror(filter('Student Groupings'!$A:$A,'Student Groupings'!"&amp;"$E:$E=$C314,'Student Groupings'!$H:$H=""Can't be Together""),"""")})))"),"")</f>
        <v/>
      </c>
      <c r="AD314" s="103" t="str">
        <f>IFERROR(__xludf.DUMMYFUNCTION("if($C314="""","""",if(join("" - "",{iferror(filter('Student Groupings'!$A:$A,'Student Groupings'!$B:$B=$C314,'Student Groupings'!$H:$H=""Must be Together""),"""");iferror(filter('Student Groupings'!$A:$A,'Student Groupings'!$E:$E=$C314,'Student Groupings'"&amp;"!$H:$H=""Must be Together""),"""")})="" - "","""",join("" - "",{iferror(filter('Student Groupings'!$A:$A,'Student Groupings'!$B:$B=$C314,'Student Groupings'!$H:$H=""Must be Together""),"""");iferror(filter('Student Groupings'!$A:$A,'Student Groupings'!$E:"&amp;"$E=$C314,'Student Groupings'!$H:$H=""Must be Together""),"""")})))")," - 53")</f>
        <v> - 53</v>
      </c>
      <c r="AE314" s="104"/>
      <c r="AF314" s="104"/>
      <c r="AG314" s="104"/>
      <c r="AH314" s="104"/>
    </row>
    <row r="315">
      <c r="A315" s="101">
        <v>8.0</v>
      </c>
      <c r="B315" s="101">
        <v>29138.0</v>
      </c>
      <c r="C315" s="102" t="s">
        <v>274</v>
      </c>
      <c r="D315" s="52" t="s">
        <v>176</v>
      </c>
      <c r="E315" s="52">
        <v>4.0</v>
      </c>
      <c r="F315" s="52" t="s">
        <v>167</v>
      </c>
      <c r="G315" s="52">
        <v>5.0</v>
      </c>
      <c r="H315" s="52" t="s">
        <v>185</v>
      </c>
      <c r="I315" s="52">
        <v>1.0</v>
      </c>
      <c r="J315" s="52" t="s">
        <v>190</v>
      </c>
      <c r="K315" s="52">
        <v>3.0</v>
      </c>
      <c r="L315" s="52" t="s">
        <v>201</v>
      </c>
      <c r="M315" s="52">
        <v>2.0</v>
      </c>
      <c r="N315" s="52" t="s">
        <v>149</v>
      </c>
      <c r="O315" s="52" t="s">
        <v>120</v>
      </c>
      <c r="P315" s="52" t="s">
        <v>141</v>
      </c>
      <c r="Q315" s="52" t="s">
        <v>109</v>
      </c>
      <c r="R315" s="52" t="s">
        <v>141</v>
      </c>
      <c r="S315" s="52" t="s">
        <v>109</v>
      </c>
      <c r="T315" s="65" t="s">
        <v>30</v>
      </c>
      <c r="U315" s="32">
        <v>1.0</v>
      </c>
      <c r="V315" s="32">
        <v>1.0</v>
      </c>
      <c r="W315" s="32">
        <v>1.0</v>
      </c>
      <c r="X315" s="32">
        <v>1.0</v>
      </c>
      <c r="Y315" s="32">
        <v>1.0</v>
      </c>
      <c r="Z315" s="32">
        <v>1.0</v>
      </c>
      <c r="AA315" s="32">
        <v>6.0</v>
      </c>
      <c r="AB315" s="32">
        <v>0.0</v>
      </c>
      <c r="AC315" s="103" t="str">
        <f>IFERROR(__xludf.DUMMYFUNCTION("if($C315="""","""",if(join("" - "",{iferror(filter('Student Groupings'!$A:$A,'Student Groupings'!$B:$B=$C315,'Student Groupings'!$H:$H=""Can't be Together""),"""");iferror(filter('Student Groupings'!$A:$A,'Student Groupings'!$E:$E=$C315,'Student Groupings"&amp;"'!$H:$H=""Can't be Together""),"""")})="" - "","""",join("" - "",{iferror(filter('Student Groupings'!$A:$A,'Student Groupings'!$B:$B=$C315,'Student Groupings'!$H:$H=""Can't be Together""),"""");iferror(filter('Student Groupings'!$A:$A,'Student Groupings'!"&amp;"$E:$E=$C315,'Student Groupings'!$H:$H=""Can't be Together""),"""")})))"),"54 - 55 - 56 - 57 - 58 - 62 - 66 - 70")</f>
        <v>54 - 55 - 56 - 57 - 58 - 62 - 66 - 70</v>
      </c>
      <c r="AD315" s="103" t="str">
        <f>IFERROR(__xludf.DUMMYFUNCTION("if($C315="""","""",if(join("" - "",{iferror(filter('Student Groupings'!$A:$A,'Student Groupings'!$B:$B=$C315,'Student Groupings'!$H:$H=""Must be Together""),"""");iferror(filter('Student Groupings'!$A:$A,'Student Groupings'!$E:$E=$C315,'Student Groupings'"&amp;"!$H:$H=""Must be Together""),"""")})="" - "","""",join("" - "",{iferror(filter('Student Groupings'!$A:$A,'Student Groupings'!$B:$B=$C315,'Student Groupings'!$H:$H=""Must be Together""),"""");iferror(filter('Student Groupings'!$A:$A,'Student Groupings'!$E:"&amp;"$E=$C315,'Student Groupings'!$H:$H=""Must be Together""),"""")})))"),"")</f>
        <v/>
      </c>
      <c r="AE315" s="104"/>
      <c r="AF315" s="104"/>
      <c r="AG315" s="104"/>
      <c r="AH315" s="104"/>
    </row>
    <row r="316">
      <c r="A316" s="101">
        <v>8.0</v>
      </c>
      <c r="B316" s="101">
        <v>29036.0</v>
      </c>
      <c r="C316" s="102" t="s">
        <v>285</v>
      </c>
      <c r="D316" s="52" t="s">
        <v>176</v>
      </c>
      <c r="E316" s="52">
        <v>2.0</v>
      </c>
      <c r="F316" s="52" t="s">
        <v>162</v>
      </c>
      <c r="G316" s="52">
        <v>6.0</v>
      </c>
      <c r="H316" s="52" t="s">
        <v>185</v>
      </c>
      <c r="I316" s="52">
        <v>5.0</v>
      </c>
      <c r="J316" s="52" t="s">
        <v>190</v>
      </c>
      <c r="K316" s="52">
        <v>4.0</v>
      </c>
      <c r="L316" s="52" t="s">
        <v>201</v>
      </c>
      <c r="M316" s="52">
        <v>3.0</v>
      </c>
      <c r="N316" s="52" t="s">
        <v>149</v>
      </c>
      <c r="O316" s="52" t="s">
        <v>108</v>
      </c>
      <c r="P316" s="52" t="s">
        <v>141</v>
      </c>
      <c r="Q316" s="52" t="s">
        <v>129</v>
      </c>
      <c r="R316" s="52" t="s">
        <v>141</v>
      </c>
      <c r="S316" s="52" t="s">
        <v>129</v>
      </c>
      <c r="T316" s="65" t="s">
        <v>30</v>
      </c>
      <c r="U316" s="32">
        <v>1.0</v>
      </c>
      <c r="V316" s="32">
        <v>1.0</v>
      </c>
      <c r="W316" s="32">
        <v>1.0</v>
      </c>
      <c r="X316" s="32">
        <v>1.0</v>
      </c>
      <c r="Y316" s="32">
        <v>1.0</v>
      </c>
      <c r="Z316" s="32">
        <v>1.0</v>
      </c>
      <c r="AA316" s="32">
        <v>6.0</v>
      </c>
      <c r="AB316" s="32">
        <v>0.0</v>
      </c>
      <c r="AC316" s="103" t="str">
        <f>IFERROR(__xludf.DUMMYFUNCTION("if($C316="""","""",if(join("" - "",{iferror(filter('Student Groupings'!$A:$A,'Student Groupings'!$B:$B=$C316,'Student Groupings'!$H:$H=""Can't be Together""),"""");iferror(filter('Student Groupings'!$A:$A,'Student Groupings'!$E:$E=$C316,'Student Groupings"&amp;"'!$H:$H=""Can't be Together""),"""")})="" - "","""",join("" - "",{iferror(filter('Student Groupings'!$A:$A,'Student Groupings'!$B:$B=$C316,'Student Groupings'!$H:$H=""Can't be Together""),"""");iferror(filter('Student Groupings'!$A:$A,'Student Groupings'!"&amp;"$E:$E=$C316,'Student Groupings'!$H:$H=""Can't be Together""),"""")})))")," - 118")</f>
        <v> - 118</v>
      </c>
      <c r="AD316" s="103" t="str">
        <f>IFERROR(__xludf.DUMMYFUNCTION("if($C316="""","""",if(join("" - "",{iferror(filter('Student Groupings'!$A:$A,'Student Groupings'!$B:$B=$C316,'Student Groupings'!$H:$H=""Must be Together""),"""");iferror(filter('Student Groupings'!$A:$A,'Student Groupings'!$E:$E=$C316,'Student Groupings'"&amp;"!$H:$H=""Must be Together""),"""")})="" - "","""",join("" - "",{iferror(filter('Student Groupings'!$A:$A,'Student Groupings'!$B:$B=$C316,'Student Groupings'!$H:$H=""Must be Together""),"""");iferror(filter('Student Groupings'!$A:$A,'Student Groupings'!$E:"&amp;"$E=$C316,'Student Groupings'!$H:$H=""Must be Together""),"""")})))"),"")</f>
        <v/>
      </c>
      <c r="AE316" s="104"/>
      <c r="AF316" s="104"/>
      <c r="AG316" s="104"/>
      <c r="AH316" s="104"/>
    </row>
    <row r="317">
      <c r="A317" s="101">
        <v>8.0</v>
      </c>
      <c r="B317" s="101">
        <v>29037.0</v>
      </c>
      <c r="C317" s="102" t="s">
        <v>574</v>
      </c>
      <c r="D317" s="52" t="s">
        <v>176</v>
      </c>
      <c r="E317" s="52">
        <v>6.0</v>
      </c>
      <c r="F317" s="52" t="s">
        <v>167</v>
      </c>
      <c r="G317" s="52">
        <v>3.0</v>
      </c>
      <c r="H317" s="52" t="s">
        <v>185</v>
      </c>
      <c r="I317" s="52">
        <v>2.0</v>
      </c>
      <c r="J317" s="52" t="s">
        <v>190</v>
      </c>
      <c r="K317" s="52">
        <v>5.0</v>
      </c>
      <c r="L317" s="52" t="s">
        <v>201</v>
      </c>
      <c r="M317" s="52">
        <v>1.0</v>
      </c>
      <c r="N317" s="52" t="s">
        <v>149</v>
      </c>
      <c r="O317" s="52" t="s">
        <v>111</v>
      </c>
      <c r="P317" s="52" t="s">
        <v>135</v>
      </c>
      <c r="Q317" s="52" t="s">
        <v>130</v>
      </c>
      <c r="R317" s="52" t="s">
        <v>118</v>
      </c>
      <c r="S317" s="52" t="s">
        <v>130</v>
      </c>
      <c r="T317" s="65" t="s">
        <v>27</v>
      </c>
      <c r="U317" s="32">
        <v>1.0</v>
      </c>
      <c r="V317" s="32">
        <v>1.0</v>
      </c>
      <c r="W317" s="32">
        <v>1.0</v>
      </c>
      <c r="X317" s="32">
        <v>1.0</v>
      </c>
      <c r="Y317" s="32">
        <v>1.0</v>
      </c>
      <c r="Z317" s="32">
        <v>1.0</v>
      </c>
      <c r="AA317" s="32">
        <v>6.0</v>
      </c>
      <c r="AB317" s="32">
        <v>0.0</v>
      </c>
      <c r="AC317" s="103" t="str">
        <f>IFERROR(__xludf.DUMMYFUNCTION("if($C317="""","""",if(join("" - "",{iferror(filter('Student Groupings'!$A:$A,'Student Groupings'!$B:$B=$C317,'Student Groupings'!$H:$H=""Can't be Together""),"""");iferror(filter('Student Groupings'!$A:$A,'Student Groupings'!$E:$E=$C317,'Student Groupings"&amp;"'!$H:$H=""Can't be Together""),"""")})="" - "","""",join("" - "",{iferror(filter('Student Groupings'!$A:$A,'Student Groupings'!$B:$B=$C317,'Student Groupings'!$H:$H=""Can't be Together""),"""");iferror(filter('Student Groupings'!$A:$A,'Student Groupings'!"&amp;"$E:$E=$C317,'Student Groupings'!$H:$H=""Can't be Together""),"""")})))"),"")</f>
        <v/>
      </c>
      <c r="AD317" s="103" t="str">
        <f>IFERROR(__xludf.DUMMYFUNCTION("if($C317="""","""",if(join("" - "",{iferror(filter('Student Groupings'!$A:$A,'Student Groupings'!$B:$B=$C317,'Student Groupings'!$H:$H=""Must be Together""),"""");iferror(filter('Student Groupings'!$A:$A,'Student Groupings'!$E:$E=$C317,'Student Groupings'"&amp;"!$H:$H=""Must be Together""),"""")})="" - "","""",join("" - "",{iferror(filter('Student Groupings'!$A:$A,'Student Groupings'!$B:$B=$C317,'Student Groupings'!$H:$H=""Must be Together""),"""");iferror(filter('Student Groupings'!$A:$A,'Student Groupings'!$E:"&amp;"$E=$C317,'Student Groupings'!$H:$H=""Must be Together""),"""")})))"),"")</f>
        <v/>
      </c>
      <c r="AE317" s="104"/>
      <c r="AF317" s="104"/>
      <c r="AG317" s="104"/>
      <c r="AH317" s="104"/>
    </row>
    <row r="318">
      <c r="A318" s="101">
        <v>8.0</v>
      </c>
      <c r="B318" s="101">
        <v>29038.0</v>
      </c>
      <c r="C318" s="102" t="s">
        <v>282</v>
      </c>
      <c r="D318" s="52" t="s">
        <v>176</v>
      </c>
      <c r="E318" s="52">
        <v>2.0</v>
      </c>
      <c r="F318" s="52" t="s">
        <v>162</v>
      </c>
      <c r="G318" s="52">
        <v>1.0</v>
      </c>
      <c r="H318" s="52" t="s">
        <v>185</v>
      </c>
      <c r="I318" s="52">
        <v>6.0</v>
      </c>
      <c r="J318" s="52" t="s">
        <v>190</v>
      </c>
      <c r="K318" s="52">
        <v>4.0</v>
      </c>
      <c r="L318" s="52" t="s">
        <v>201</v>
      </c>
      <c r="M318" s="52">
        <v>3.0</v>
      </c>
      <c r="N318" s="52" t="s">
        <v>149</v>
      </c>
      <c r="O318" s="52" t="s">
        <v>112</v>
      </c>
      <c r="P318" s="52" t="s">
        <v>118</v>
      </c>
      <c r="Q318" s="52" t="s">
        <v>124</v>
      </c>
      <c r="R318" s="52" t="s">
        <v>135</v>
      </c>
      <c r="S318" s="52" t="s">
        <v>124</v>
      </c>
      <c r="T318" s="65" t="s">
        <v>27</v>
      </c>
      <c r="U318" s="32">
        <v>1.0</v>
      </c>
      <c r="V318" s="32">
        <v>1.0</v>
      </c>
      <c r="W318" s="32">
        <v>1.0</v>
      </c>
      <c r="X318" s="32">
        <v>1.0</v>
      </c>
      <c r="Y318" s="32">
        <v>1.0</v>
      </c>
      <c r="Z318" s="32">
        <v>1.0</v>
      </c>
      <c r="AA318" s="32">
        <v>6.0</v>
      </c>
      <c r="AB318" s="32">
        <v>0.0</v>
      </c>
      <c r="AC318" s="103" t="str">
        <f>IFERROR(__xludf.DUMMYFUNCTION("if($C318="""","""",if(join("" - "",{iferror(filter('Student Groupings'!$A:$A,'Student Groupings'!$B:$B=$C318,'Student Groupings'!$H:$H=""Can't be Together""),"""");iferror(filter('Student Groupings'!$A:$A,'Student Groupings'!$E:$E=$C318,'Student Groupings"&amp;"'!$H:$H=""Can't be Together""),"""")})="" - "","""",join("" - "",{iferror(filter('Student Groupings'!$A:$A,'Student Groupings'!$B:$B=$C318,'Student Groupings'!$H:$H=""Can't be Together""),"""");iferror(filter('Student Groupings'!$A:$A,'Student Groupings'!"&amp;"$E:$E=$C318,'Student Groupings'!$H:$H=""Can't be Together""),"""")})))"),"116 - 117 - ")</f>
        <v>116 - 117 - </v>
      </c>
      <c r="AD318" s="103" t="str">
        <f>IFERROR(__xludf.DUMMYFUNCTION("if($C318="""","""",if(join("" - "",{iferror(filter('Student Groupings'!$A:$A,'Student Groupings'!$B:$B=$C318,'Student Groupings'!$H:$H=""Must be Together""),"""");iferror(filter('Student Groupings'!$A:$A,'Student Groupings'!$E:$E=$C318,'Student Groupings'"&amp;"!$H:$H=""Must be Together""),"""")})="" - "","""",join("" - "",{iferror(filter('Student Groupings'!$A:$A,'Student Groupings'!$B:$B=$C318,'Student Groupings'!$H:$H=""Must be Together""),"""");iferror(filter('Student Groupings'!$A:$A,'Student Groupings'!$E:"&amp;"$E=$C318,'Student Groupings'!$H:$H=""Must be Together""),"""")})))"),"")</f>
        <v/>
      </c>
      <c r="AE318" s="104"/>
      <c r="AF318" s="104"/>
      <c r="AG318" s="104"/>
      <c r="AH318" s="104"/>
    </row>
    <row r="319">
      <c r="A319" s="101">
        <v>8.0</v>
      </c>
      <c r="B319" s="101">
        <v>29039.0</v>
      </c>
      <c r="C319" s="102" t="s">
        <v>276</v>
      </c>
      <c r="D319" s="52" t="s">
        <v>176</v>
      </c>
      <c r="E319" s="52">
        <v>2.0</v>
      </c>
      <c r="F319" s="52" t="s">
        <v>170</v>
      </c>
      <c r="G319" s="52">
        <v>1.0</v>
      </c>
      <c r="H319" s="52" t="s">
        <v>187</v>
      </c>
      <c r="I319" s="101">
        <v>6.0</v>
      </c>
      <c r="J319" s="52" t="s">
        <v>190</v>
      </c>
      <c r="K319" s="52">
        <v>4.0</v>
      </c>
      <c r="L319" s="52" t="s">
        <v>201</v>
      </c>
      <c r="M319" s="52">
        <v>3.0</v>
      </c>
      <c r="N319" s="52" t="s">
        <v>149</v>
      </c>
      <c r="O319" s="52" t="s">
        <v>112</v>
      </c>
      <c r="P319" s="52" t="s">
        <v>135</v>
      </c>
      <c r="Q319" s="52" t="s">
        <v>124</v>
      </c>
      <c r="R319" s="52" t="s">
        <v>118</v>
      </c>
      <c r="S319" s="52" t="s">
        <v>124</v>
      </c>
      <c r="T319" s="65" t="s">
        <v>27</v>
      </c>
      <c r="U319" s="32">
        <v>1.0</v>
      </c>
      <c r="V319" s="32">
        <v>1.0</v>
      </c>
      <c r="W319" s="32">
        <v>1.0</v>
      </c>
      <c r="X319" s="32">
        <v>1.0</v>
      </c>
      <c r="Y319" s="32">
        <v>1.0</v>
      </c>
      <c r="Z319" s="32">
        <v>1.0</v>
      </c>
      <c r="AA319" s="32">
        <v>6.0</v>
      </c>
      <c r="AB319" s="32">
        <v>0.0</v>
      </c>
      <c r="AC319" s="103" t="str">
        <f>IFERROR(__xludf.DUMMYFUNCTION("if($C319="""","""",if(join("" - "",{iferror(filter('Student Groupings'!$A:$A,'Student Groupings'!$B:$B=$C319,'Student Groupings'!$H:$H=""Can't be Together""),"""");iferror(filter('Student Groupings'!$A:$A,'Student Groupings'!$E:$E=$C319,'Student Groupings"&amp;"'!$H:$H=""Can't be Together""),"""")})="" - "","""",join("" - "",{iferror(filter('Student Groupings'!$A:$A,'Student Groupings'!$B:$B=$C319,'Student Groupings'!$H:$H=""Can't be Together""),"""");iferror(filter('Student Groupings'!$A:$A,'Student Groupings'!"&amp;"$E:$E=$C319,'Student Groupings'!$H:$H=""Can't be Together""),"""")})))"),"62 - 63 - 64 - 65 - 55 - 59 - 68 - 72")</f>
        <v>62 - 63 - 64 - 65 - 55 - 59 - 68 - 72</v>
      </c>
      <c r="AD319" s="103" t="str">
        <f>IFERROR(__xludf.DUMMYFUNCTION("if($C319="""","""",if(join("" - "",{iferror(filter('Student Groupings'!$A:$A,'Student Groupings'!$B:$B=$C319,'Student Groupings'!$H:$H=""Must be Together""),"""");iferror(filter('Student Groupings'!$A:$A,'Student Groupings'!$E:$E=$C319,'Student Groupings'"&amp;"!$H:$H=""Must be Together""),"""")})="" - "","""",join("" - "",{iferror(filter('Student Groupings'!$A:$A,'Student Groupings'!$B:$B=$C319,'Student Groupings'!$H:$H=""Must be Together""),"""");iferror(filter('Student Groupings'!$A:$A,'Student Groupings'!$E:"&amp;"$E=$C319,'Student Groupings'!$H:$H=""Must be Together""),"""")})))"),"")</f>
        <v/>
      </c>
      <c r="AE319" s="104"/>
      <c r="AF319" s="104"/>
      <c r="AG319" s="104"/>
      <c r="AH319" s="104"/>
    </row>
    <row r="320">
      <c r="A320" s="101">
        <v>8.0</v>
      </c>
      <c r="B320" s="101">
        <v>29040.0</v>
      </c>
      <c r="C320" s="102" t="s">
        <v>286</v>
      </c>
      <c r="D320" s="52" t="s">
        <v>176</v>
      </c>
      <c r="E320" s="52">
        <v>2.0</v>
      </c>
      <c r="F320" s="52" t="s">
        <v>167</v>
      </c>
      <c r="G320" s="52">
        <v>5.0</v>
      </c>
      <c r="H320" s="52" t="s">
        <v>185</v>
      </c>
      <c r="I320" s="52">
        <v>1.0</v>
      </c>
      <c r="J320" s="52" t="s">
        <v>190</v>
      </c>
      <c r="K320" s="52">
        <v>4.0</v>
      </c>
      <c r="L320" s="52" t="s">
        <v>201</v>
      </c>
      <c r="M320" s="52">
        <v>3.0</v>
      </c>
      <c r="N320" s="52" t="s">
        <v>149</v>
      </c>
      <c r="O320" s="52" t="s">
        <v>120</v>
      </c>
      <c r="P320" s="52" t="s">
        <v>141</v>
      </c>
      <c r="Q320" s="52" t="s">
        <v>109</v>
      </c>
      <c r="R320" s="52" t="s">
        <v>141</v>
      </c>
      <c r="S320" s="52" t="s">
        <v>109</v>
      </c>
      <c r="T320" s="65" t="s">
        <v>30</v>
      </c>
      <c r="U320" s="32">
        <v>1.0</v>
      </c>
      <c r="V320" s="32">
        <v>1.0</v>
      </c>
      <c r="W320" s="32">
        <v>1.0</v>
      </c>
      <c r="X320" s="32">
        <v>1.0</v>
      </c>
      <c r="Y320" s="32">
        <v>1.0</v>
      </c>
      <c r="Z320" s="32">
        <v>1.0</v>
      </c>
      <c r="AA320" s="32">
        <v>6.0</v>
      </c>
      <c r="AB320" s="32">
        <v>0.0</v>
      </c>
      <c r="AC320" s="103" t="str">
        <f>IFERROR(__xludf.DUMMYFUNCTION("if($C320="""","""",if(join("" - "",{iferror(filter('Student Groupings'!$A:$A,'Student Groupings'!$B:$B=$C320,'Student Groupings'!$H:$H=""Can't be Together""),"""");iferror(filter('Student Groupings'!$A:$A,'Student Groupings'!$E:$E=$C320,'Student Groupings"&amp;"'!$H:$H=""Can't be Together""),"""")})="" - "","""",join("" - "",{iferror(filter('Student Groupings'!$A:$A,'Student Groupings'!$B:$B=$C320,'Student Groupings'!$H:$H=""Can't be Together""),"""");iferror(filter('Student Groupings'!$A:$A,'Student Groupings'!"&amp;"$E:$E=$C320,'Student Groupings'!$H:$H=""Can't be Together""),"""")})))")," - 119")</f>
        <v> - 119</v>
      </c>
      <c r="AD320" s="103" t="str">
        <f>IFERROR(__xludf.DUMMYFUNCTION("if($C320="""","""",if(join("" - "",{iferror(filter('Student Groupings'!$A:$A,'Student Groupings'!$B:$B=$C320,'Student Groupings'!$H:$H=""Must be Together""),"""");iferror(filter('Student Groupings'!$A:$A,'Student Groupings'!$E:$E=$C320,'Student Groupings'"&amp;"!$H:$H=""Must be Together""),"""")})="" - "","""",join("" - "",{iferror(filter('Student Groupings'!$A:$A,'Student Groupings'!$B:$B=$C320,'Student Groupings'!$H:$H=""Must be Together""),"""");iferror(filter('Student Groupings'!$A:$A,'Student Groupings'!$E:"&amp;"$E=$C320,'Student Groupings'!$H:$H=""Must be Together""),"""")})))"),"")</f>
        <v/>
      </c>
      <c r="AE320" s="104"/>
      <c r="AF320" s="104"/>
      <c r="AG320" s="104"/>
      <c r="AH320" s="104"/>
    </row>
    <row r="321">
      <c r="A321" s="101">
        <v>8.0</v>
      </c>
      <c r="B321" s="101">
        <v>29041.0</v>
      </c>
      <c r="C321" s="102" t="s">
        <v>575</v>
      </c>
      <c r="D321" s="52" t="s">
        <v>176</v>
      </c>
      <c r="E321" s="52">
        <v>2.0</v>
      </c>
      <c r="F321" s="52" t="s">
        <v>162</v>
      </c>
      <c r="G321" s="52">
        <v>6.0</v>
      </c>
      <c r="H321" s="52" t="s">
        <v>185</v>
      </c>
      <c r="I321" s="52">
        <v>1.0</v>
      </c>
      <c r="J321" s="52" t="s">
        <v>190</v>
      </c>
      <c r="K321" s="52">
        <v>4.0</v>
      </c>
      <c r="L321" s="52" t="s">
        <v>201</v>
      </c>
      <c r="M321" s="52">
        <v>3.0</v>
      </c>
      <c r="N321" s="52" t="s">
        <v>149</v>
      </c>
      <c r="O321" s="52" t="s">
        <v>112</v>
      </c>
      <c r="P321" s="52" t="s">
        <v>118</v>
      </c>
      <c r="Q321" s="52" t="s">
        <v>124</v>
      </c>
      <c r="R321" s="52" t="s">
        <v>135</v>
      </c>
      <c r="S321" s="52" t="s">
        <v>124</v>
      </c>
      <c r="T321" s="65" t="s">
        <v>27</v>
      </c>
      <c r="U321" s="32">
        <v>1.0</v>
      </c>
      <c r="V321" s="32">
        <v>1.0</v>
      </c>
      <c r="W321" s="32">
        <v>1.0</v>
      </c>
      <c r="X321" s="32">
        <v>1.0</v>
      </c>
      <c r="Y321" s="32">
        <v>1.0</v>
      </c>
      <c r="Z321" s="32">
        <v>1.0</v>
      </c>
      <c r="AA321" s="32">
        <v>6.0</v>
      </c>
      <c r="AB321" s="32">
        <v>0.0</v>
      </c>
      <c r="AC321" s="103" t="str">
        <f>IFERROR(__xludf.DUMMYFUNCTION("if($C321="""","""",if(join("" - "",{iferror(filter('Student Groupings'!$A:$A,'Student Groupings'!$B:$B=$C321,'Student Groupings'!$H:$H=""Can't be Together""),"""");iferror(filter('Student Groupings'!$A:$A,'Student Groupings'!$E:$E=$C321,'Student Groupings"&amp;"'!$H:$H=""Can't be Together""),"""")})="" - "","""",join("" - "",{iferror(filter('Student Groupings'!$A:$A,'Student Groupings'!$B:$B=$C321,'Student Groupings'!$H:$H=""Can't be Together""),"""");iferror(filter('Student Groupings'!$A:$A,'Student Groupings'!"&amp;"$E:$E=$C321,'Student Groupings'!$H:$H=""Can't be Together""),"""")})))"),"")</f>
        <v/>
      </c>
      <c r="AD321" s="103" t="str">
        <f>IFERROR(__xludf.DUMMYFUNCTION("if($C321="""","""",if(join("" - "",{iferror(filter('Student Groupings'!$A:$A,'Student Groupings'!$B:$B=$C321,'Student Groupings'!$H:$H=""Must be Together""),"""");iferror(filter('Student Groupings'!$A:$A,'Student Groupings'!$E:$E=$C321,'Student Groupings'"&amp;"!$H:$H=""Must be Together""),"""")})="" - "","""",join("" - "",{iferror(filter('Student Groupings'!$A:$A,'Student Groupings'!$B:$B=$C321,'Student Groupings'!$H:$H=""Must be Together""),"""");iferror(filter('Student Groupings'!$A:$A,'Student Groupings'!$E:"&amp;"$E=$C321,'Student Groupings'!$H:$H=""Must be Together""),"""")})))"),"")</f>
        <v/>
      </c>
      <c r="AE321" s="104"/>
      <c r="AF321" s="104"/>
      <c r="AG321" s="104"/>
      <c r="AH321" s="104"/>
    </row>
    <row r="322">
      <c r="A322" s="101">
        <v>8.0</v>
      </c>
      <c r="B322" s="101">
        <v>29155.0</v>
      </c>
      <c r="C322" s="102" t="s">
        <v>576</v>
      </c>
      <c r="D322" s="52" t="s">
        <v>176</v>
      </c>
      <c r="E322" s="52">
        <v>3.0</v>
      </c>
      <c r="F322" s="52" t="s">
        <v>170</v>
      </c>
      <c r="G322" s="52">
        <v>1.0</v>
      </c>
      <c r="H322" s="52" t="s">
        <v>187</v>
      </c>
      <c r="I322" s="52">
        <v>6.0</v>
      </c>
      <c r="J322" s="52" t="s">
        <v>190</v>
      </c>
      <c r="K322" s="52">
        <v>2.0</v>
      </c>
      <c r="L322" s="52" t="s">
        <v>201</v>
      </c>
      <c r="M322" s="52">
        <v>4.0</v>
      </c>
      <c r="N322" s="52" t="s">
        <v>149</v>
      </c>
      <c r="O322" s="52" t="s">
        <v>112</v>
      </c>
      <c r="P322" s="52" t="s">
        <v>135</v>
      </c>
      <c r="Q322" s="52" t="s">
        <v>124</v>
      </c>
      <c r="R322" s="52" t="s">
        <v>118</v>
      </c>
      <c r="S322" s="52" t="s">
        <v>124</v>
      </c>
      <c r="T322" s="65" t="s">
        <v>27</v>
      </c>
      <c r="U322" s="32">
        <v>1.0</v>
      </c>
      <c r="V322" s="32">
        <v>1.0</v>
      </c>
      <c r="W322" s="32">
        <v>1.0</v>
      </c>
      <c r="X322" s="32">
        <v>1.0</v>
      </c>
      <c r="Y322" s="32">
        <v>1.0</v>
      </c>
      <c r="Z322" s="32">
        <v>1.0</v>
      </c>
      <c r="AA322" s="32">
        <v>6.0</v>
      </c>
      <c r="AB322" s="32">
        <v>0.0</v>
      </c>
      <c r="AC322" s="103" t="str">
        <f>IFERROR(__xludf.DUMMYFUNCTION("if($C322="""","""",if(join("" - "",{iferror(filter('Student Groupings'!$A:$A,'Student Groupings'!$B:$B=$C322,'Student Groupings'!$H:$H=""Can't be Together""),"""");iferror(filter('Student Groupings'!$A:$A,'Student Groupings'!$E:$E=$C322,'Student Groupings"&amp;"'!$H:$H=""Can't be Together""),"""")})="" - "","""",join("" - "",{iferror(filter('Student Groupings'!$A:$A,'Student Groupings'!$B:$B=$C322,'Student Groupings'!$H:$H=""Can't be Together""),"""");iferror(filter('Student Groupings'!$A:$A,'Student Groupings'!"&amp;"$E:$E=$C322,'Student Groupings'!$H:$H=""Can't be Together""),"""")})))"),"")</f>
        <v/>
      </c>
      <c r="AD322" s="103" t="str">
        <f>IFERROR(__xludf.DUMMYFUNCTION("if($C322="""","""",if(join("" - "",{iferror(filter('Student Groupings'!$A:$A,'Student Groupings'!$B:$B=$C322,'Student Groupings'!$H:$H=""Must be Together""),"""");iferror(filter('Student Groupings'!$A:$A,'Student Groupings'!$E:$E=$C322,'Student Groupings'"&amp;"!$H:$H=""Must be Together""),"""")})="" - "","""",join("" - "",{iferror(filter('Student Groupings'!$A:$A,'Student Groupings'!$B:$B=$C322,'Student Groupings'!$H:$H=""Must be Together""),"""");iferror(filter('Student Groupings'!$A:$A,'Student Groupings'!$E:"&amp;"$E=$C322,'Student Groupings'!$H:$H=""Must be Together""),"""")})))"),"")</f>
        <v/>
      </c>
      <c r="AE322" s="104"/>
      <c r="AF322" s="104"/>
      <c r="AG322" s="104"/>
      <c r="AH322" s="104"/>
    </row>
    <row r="323">
      <c r="A323" s="101">
        <v>8.0</v>
      </c>
      <c r="B323" s="101">
        <v>29156.0</v>
      </c>
      <c r="C323" s="102" t="s">
        <v>577</v>
      </c>
      <c r="D323" s="52" t="s">
        <v>176</v>
      </c>
      <c r="E323" s="52">
        <v>2.0</v>
      </c>
      <c r="F323" s="52" t="s">
        <v>167</v>
      </c>
      <c r="G323" s="52">
        <v>5.0</v>
      </c>
      <c r="H323" s="52" t="s">
        <v>185</v>
      </c>
      <c r="I323" s="52">
        <v>6.0</v>
      </c>
      <c r="J323" s="52" t="s">
        <v>190</v>
      </c>
      <c r="K323" s="52">
        <v>4.0</v>
      </c>
      <c r="L323" s="52" t="s">
        <v>201</v>
      </c>
      <c r="M323" s="52">
        <v>3.0</v>
      </c>
      <c r="N323" s="52" t="s">
        <v>149</v>
      </c>
      <c r="O323" s="52" t="s">
        <v>108</v>
      </c>
      <c r="P323" s="52" t="s">
        <v>141</v>
      </c>
      <c r="Q323" s="52" t="s">
        <v>129</v>
      </c>
      <c r="R323" s="52" t="s">
        <v>141</v>
      </c>
      <c r="S323" s="52" t="s">
        <v>129</v>
      </c>
      <c r="T323" s="65" t="s">
        <v>30</v>
      </c>
      <c r="U323" s="32">
        <v>1.0</v>
      </c>
      <c r="V323" s="32">
        <v>1.0</v>
      </c>
      <c r="W323" s="32">
        <v>1.0</v>
      </c>
      <c r="X323" s="32">
        <v>1.0</v>
      </c>
      <c r="Y323" s="32">
        <v>1.0</v>
      </c>
      <c r="Z323" s="32">
        <v>1.0</v>
      </c>
      <c r="AA323" s="32">
        <v>6.0</v>
      </c>
      <c r="AB323" s="32">
        <v>0.0</v>
      </c>
      <c r="AC323" s="103" t="str">
        <f>IFERROR(__xludf.DUMMYFUNCTION("if($C323="""","""",if(join("" - "",{iferror(filter('Student Groupings'!$A:$A,'Student Groupings'!$B:$B=$C323,'Student Groupings'!$H:$H=""Can't be Together""),"""");iferror(filter('Student Groupings'!$A:$A,'Student Groupings'!$E:$E=$C323,'Student Groupings"&amp;"'!$H:$H=""Can't be Together""),"""")})="" - "","""",join("" - "",{iferror(filter('Student Groupings'!$A:$A,'Student Groupings'!$B:$B=$C323,'Student Groupings'!$H:$H=""Can't be Together""),"""");iferror(filter('Student Groupings'!$A:$A,'Student Groupings'!"&amp;"$E:$E=$C323,'Student Groupings'!$H:$H=""Can't be Together""),"""")})))"),"")</f>
        <v/>
      </c>
      <c r="AD323" s="103" t="str">
        <f>IFERROR(__xludf.DUMMYFUNCTION("if($C323="""","""",if(join("" - "",{iferror(filter('Student Groupings'!$A:$A,'Student Groupings'!$B:$B=$C323,'Student Groupings'!$H:$H=""Must be Together""),"""");iferror(filter('Student Groupings'!$A:$A,'Student Groupings'!$E:$E=$C323,'Student Groupings'"&amp;"!$H:$H=""Must be Together""),"""")})="" - "","""",join("" - "",{iferror(filter('Student Groupings'!$A:$A,'Student Groupings'!$B:$B=$C323,'Student Groupings'!$H:$H=""Must be Together""),"""");iferror(filter('Student Groupings'!$A:$A,'Student Groupings'!$E:"&amp;"$E=$C323,'Student Groupings'!$H:$H=""Must be Together""),"""")})))"),"")</f>
        <v/>
      </c>
      <c r="AE323" s="104"/>
      <c r="AF323" s="104"/>
      <c r="AG323" s="104"/>
      <c r="AH323" s="104"/>
    </row>
    <row r="324">
      <c r="A324" s="101">
        <v>8.0</v>
      </c>
      <c r="B324" s="101">
        <v>28032.0</v>
      </c>
      <c r="C324" s="102" t="s">
        <v>268</v>
      </c>
      <c r="D324" s="52" t="s">
        <v>176</v>
      </c>
      <c r="E324" s="52">
        <v>4.0</v>
      </c>
      <c r="F324" s="52" t="s">
        <v>162</v>
      </c>
      <c r="G324" s="52">
        <v>6.0</v>
      </c>
      <c r="H324" s="52" t="s">
        <v>185</v>
      </c>
      <c r="I324" s="52">
        <v>5.0</v>
      </c>
      <c r="J324" s="52" t="s">
        <v>190</v>
      </c>
      <c r="K324" s="52">
        <v>3.0</v>
      </c>
      <c r="L324" s="52" t="s">
        <v>201</v>
      </c>
      <c r="M324" s="52">
        <v>2.0</v>
      </c>
      <c r="N324" s="52" t="s">
        <v>149</v>
      </c>
      <c r="O324" s="52" t="s">
        <v>108</v>
      </c>
      <c r="P324" s="52" t="s">
        <v>141</v>
      </c>
      <c r="Q324" s="52" t="s">
        <v>129</v>
      </c>
      <c r="R324" s="52" t="s">
        <v>141</v>
      </c>
      <c r="S324" s="52" t="s">
        <v>129</v>
      </c>
      <c r="T324" s="65" t="s">
        <v>30</v>
      </c>
      <c r="U324" s="32">
        <v>1.0</v>
      </c>
      <c r="V324" s="32">
        <v>1.0</v>
      </c>
      <c r="W324" s="32">
        <v>1.0</v>
      </c>
      <c r="X324" s="32">
        <v>1.0</v>
      </c>
      <c r="Y324" s="32">
        <v>1.0</v>
      </c>
      <c r="Z324" s="32">
        <v>1.0</v>
      </c>
      <c r="AA324" s="32">
        <v>6.0</v>
      </c>
      <c r="AB324" s="32">
        <v>0.0</v>
      </c>
      <c r="AC324" s="103" t="str">
        <f>IFERROR(__xludf.DUMMYFUNCTION("if($C324="""","""",if(join("" - "",{iferror(filter('Student Groupings'!$A:$A,'Student Groupings'!$B:$B=$C324,'Student Groupings'!$H:$H=""Can't be Together""),"""");iferror(filter('Student Groupings'!$A:$A,'Student Groupings'!$E:$E=$C324,'Student Groupings"&amp;"'!$H:$H=""Can't be Together""),"""")})="" - "","""",join("" - "",{iferror(filter('Student Groupings'!$A:$A,'Student Groupings'!$B:$B=$C324,'Student Groupings'!$H:$H=""Can't be Together""),"""");iferror(filter('Student Groupings'!$A:$A,'Student Groupings'!"&amp;"$E:$E=$C324,'Student Groupings'!$H:$H=""Can't be Together""),"""")})))"),"74 - 75 - 76 - 77 - 78 - 79 - 49 - 80 - 86 - 92 - 98 - 104 - 110 - 116")</f>
        <v>74 - 75 - 76 - 77 - 78 - 79 - 49 - 80 - 86 - 92 - 98 - 104 - 110 - 116</v>
      </c>
      <c r="AD324" s="103" t="str">
        <f>IFERROR(__xludf.DUMMYFUNCTION("if($C324="""","""",if(join("" - "",{iferror(filter('Student Groupings'!$A:$A,'Student Groupings'!$B:$B=$C324,'Student Groupings'!$H:$H=""Must be Together""),"""");iferror(filter('Student Groupings'!$A:$A,'Student Groupings'!$E:$E=$C324,'Student Groupings'"&amp;"!$H:$H=""Must be Together""),"""")})="" - "","""",join("" - "",{iferror(filter('Student Groupings'!$A:$A,'Student Groupings'!$B:$B=$C324,'Student Groupings'!$H:$H=""Must be Together""),"""");iferror(filter('Student Groupings'!$A:$A,'Student Groupings'!$E:"&amp;"$E=$C324,'Student Groupings'!$H:$H=""Must be Together""),"""")})))"),"")</f>
        <v/>
      </c>
      <c r="AE324" s="104"/>
      <c r="AF324" s="104"/>
      <c r="AG324" s="104"/>
      <c r="AH324" s="104"/>
    </row>
    <row r="325">
      <c r="A325" s="101">
        <v>8.0</v>
      </c>
      <c r="B325" s="101">
        <v>29042.0</v>
      </c>
      <c r="C325" s="102" t="s">
        <v>578</v>
      </c>
      <c r="D325" s="52" t="s">
        <v>176</v>
      </c>
      <c r="E325" s="52">
        <v>4.0</v>
      </c>
      <c r="F325" s="52" t="s">
        <v>162</v>
      </c>
      <c r="G325" s="52">
        <v>1.0</v>
      </c>
      <c r="H325" s="52" t="s">
        <v>187</v>
      </c>
      <c r="I325" s="52">
        <v>6.0</v>
      </c>
      <c r="J325" s="52" t="s">
        <v>190</v>
      </c>
      <c r="K325" s="52">
        <v>3.0</v>
      </c>
      <c r="L325" s="52" t="s">
        <v>201</v>
      </c>
      <c r="M325" s="52">
        <v>2.0</v>
      </c>
      <c r="N325" s="52" t="s">
        <v>149</v>
      </c>
      <c r="O325" s="52" t="s">
        <v>124</v>
      </c>
      <c r="P325" s="52" t="s">
        <v>141</v>
      </c>
      <c r="Q325" s="52" t="s">
        <v>112</v>
      </c>
      <c r="R325" s="52" t="s">
        <v>141</v>
      </c>
      <c r="S325" s="52" t="s">
        <v>112</v>
      </c>
      <c r="T325" s="65" t="s">
        <v>30</v>
      </c>
      <c r="U325" s="32">
        <v>1.0</v>
      </c>
      <c r="V325" s="32">
        <v>1.0</v>
      </c>
      <c r="W325" s="32">
        <v>1.0</v>
      </c>
      <c r="X325" s="32">
        <v>1.0</v>
      </c>
      <c r="Y325" s="32">
        <v>1.0</v>
      </c>
      <c r="Z325" s="32">
        <v>1.0</v>
      </c>
      <c r="AA325" s="32">
        <v>6.0</v>
      </c>
      <c r="AB325" s="32">
        <v>0.0</v>
      </c>
      <c r="AC325" s="103" t="str">
        <f>IFERROR(__xludf.DUMMYFUNCTION("if($C325="""","""",if(join("" - "",{iferror(filter('Student Groupings'!$A:$A,'Student Groupings'!$B:$B=$C325,'Student Groupings'!$H:$H=""Can't be Together""),"""");iferror(filter('Student Groupings'!$A:$A,'Student Groupings'!$E:$E=$C325,'Student Groupings"&amp;"'!$H:$H=""Can't be Together""),"""")})="" - "","""",join("" - "",{iferror(filter('Student Groupings'!$A:$A,'Student Groupings'!$B:$B=$C325,'Student Groupings'!$H:$H=""Can't be Together""),"""");iferror(filter('Student Groupings'!$A:$A,'Student Groupings'!"&amp;"$E:$E=$C325,'Student Groupings'!$H:$H=""Can't be Together""),"""")})))"),"")</f>
        <v/>
      </c>
      <c r="AD325" s="103" t="str">
        <f>IFERROR(__xludf.DUMMYFUNCTION("if($C325="""","""",if(join("" - "",{iferror(filter('Student Groupings'!$A:$A,'Student Groupings'!$B:$B=$C325,'Student Groupings'!$H:$H=""Must be Together""),"""");iferror(filter('Student Groupings'!$A:$A,'Student Groupings'!$E:$E=$C325,'Student Groupings'"&amp;"!$H:$H=""Must be Together""),"""")})="" - "","""",join("" - "",{iferror(filter('Student Groupings'!$A:$A,'Student Groupings'!$B:$B=$C325,'Student Groupings'!$H:$H=""Must be Together""),"""");iferror(filter('Student Groupings'!$A:$A,'Student Groupings'!$E:"&amp;"$E=$C325,'Student Groupings'!$H:$H=""Must be Together""),"""")})))"),"")</f>
        <v/>
      </c>
      <c r="AE325" s="104"/>
      <c r="AF325" s="104"/>
      <c r="AG325" s="104"/>
      <c r="AH325" s="104"/>
    </row>
    <row r="326">
      <c r="A326" s="101">
        <v>8.0</v>
      </c>
      <c r="B326" s="101">
        <v>29043.0</v>
      </c>
      <c r="C326" s="102" t="s">
        <v>579</v>
      </c>
      <c r="D326" s="52" t="s">
        <v>176</v>
      </c>
      <c r="E326" s="52">
        <v>5.0</v>
      </c>
      <c r="F326" s="52" t="s">
        <v>167</v>
      </c>
      <c r="G326" s="52">
        <v>3.0</v>
      </c>
      <c r="H326" s="52" t="s">
        <v>185</v>
      </c>
      <c r="I326" s="52">
        <v>2.0</v>
      </c>
      <c r="J326" s="52" t="s">
        <v>190</v>
      </c>
      <c r="K326" s="52">
        <v>1.0</v>
      </c>
      <c r="L326" s="52" t="s">
        <v>201</v>
      </c>
      <c r="M326" s="52">
        <v>6.0</v>
      </c>
      <c r="N326" s="52" t="s">
        <v>149</v>
      </c>
      <c r="O326" s="52" t="s">
        <v>111</v>
      </c>
      <c r="P326" s="52" t="s">
        <v>135</v>
      </c>
      <c r="Q326" s="52" t="s">
        <v>130</v>
      </c>
      <c r="R326" s="52" t="s">
        <v>118</v>
      </c>
      <c r="S326" s="52" t="s">
        <v>130</v>
      </c>
      <c r="T326" s="65" t="s">
        <v>27</v>
      </c>
      <c r="U326" s="32">
        <v>1.0</v>
      </c>
      <c r="V326" s="32">
        <v>1.0</v>
      </c>
      <c r="W326" s="32">
        <v>1.0</v>
      </c>
      <c r="X326" s="32">
        <v>1.0</v>
      </c>
      <c r="Y326" s="32">
        <v>1.0</v>
      </c>
      <c r="Z326" s="32">
        <v>1.0</v>
      </c>
      <c r="AA326" s="32">
        <v>6.0</v>
      </c>
      <c r="AB326" s="32">
        <v>0.0</v>
      </c>
      <c r="AC326" s="103" t="str">
        <f>IFERROR(__xludf.DUMMYFUNCTION("if($C326="""","""",if(join("" - "",{iferror(filter('Student Groupings'!$A:$A,'Student Groupings'!$B:$B=$C326,'Student Groupings'!$H:$H=""Can't be Together""),"""");iferror(filter('Student Groupings'!$A:$A,'Student Groupings'!$E:$E=$C326,'Student Groupings"&amp;"'!$H:$H=""Can't be Together""),"""")})="" - "","""",join("" - "",{iferror(filter('Student Groupings'!$A:$A,'Student Groupings'!$B:$B=$C326,'Student Groupings'!$H:$H=""Can't be Together""),"""");iferror(filter('Student Groupings'!$A:$A,'Student Groupings'!"&amp;"$E:$E=$C326,'Student Groupings'!$H:$H=""Can't be Together""),"""")})))"),"")</f>
        <v/>
      </c>
      <c r="AD326" s="103" t="str">
        <f>IFERROR(__xludf.DUMMYFUNCTION("if($C326="""","""",if(join("" - "",{iferror(filter('Student Groupings'!$A:$A,'Student Groupings'!$B:$B=$C326,'Student Groupings'!$H:$H=""Must be Together""),"""");iferror(filter('Student Groupings'!$A:$A,'Student Groupings'!$E:$E=$C326,'Student Groupings'"&amp;"!$H:$H=""Must be Together""),"""")})="" - "","""",join("" - "",{iferror(filter('Student Groupings'!$A:$A,'Student Groupings'!$B:$B=$C326,'Student Groupings'!$H:$H=""Must be Together""),"""");iferror(filter('Student Groupings'!$A:$A,'Student Groupings'!$E:"&amp;"$E=$C326,'Student Groupings'!$H:$H=""Must be Together""),"""")})))"),"")</f>
        <v/>
      </c>
      <c r="AE326" s="104"/>
      <c r="AF326" s="104"/>
      <c r="AG326" s="104"/>
      <c r="AH326" s="104"/>
    </row>
    <row r="327">
      <c r="A327" s="101">
        <v>8.0</v>
      </c>
      <c r="B327" s="101">
        <v>29045.0</v>
      </c>
      <c r="C327" s="102" t="s">
        <v>580</v>
      </c>
      <c r="D327" s="52" t="s">
        <v>176</v>
      </c>
      <c r="E327" s="52">
        <v>6.0</v>
      </c>
      <c r="F327" s="52" t="s">
        <v>167</v>
      </c>
      <c r="G327" s="52">
        <v>4.0</v>
      </c>
      <c r="H327" s="52" t="s">
        <v>185</v>
      </c>
      <c r="I327" s="52">
        <v>3.0</v>
      </c>
      <c r="J327" s="52" t="s">
        <v>190</v>
      </c>
      <c r="K327" s="52">
        <v>5.0</v>
      </c>
      <c r="L327" s="52" t="s">
        <v>201</v>
      </c>
      <c r="M327" s="52">
        <v>1.0</v>
      </c>
      <c r="N327" s="52" t="s">
        <v>149</v>
      </c>
      <c r="O327" s="52" t="s">
        <v>125</v>
      </c>
      <c r="P327" s="52" t="s">
        <v>141</v>
      </c>
      <c r="Q327" s="52" t="s">
        <v>119</v>
      </c>
      <c r="R327" s="52" t="s">
        <v>141</v>
      </c>
      <c r="S327" s="52" t="s">
        <v>119</v>
      </c>
      <c r="T327" s="65" t="s">
        <v>8</v>
      </c>
      <c r="U327" s="32">
        <v>1.0</v>
      </c>
      <c r="V327" s="32">
        <v>1.0</v>
      </c>
      <c r="W327" s="32">
        <v>1.0</v>
      </c>
      <c r="X327" s="32">
        <v>1.0</v>
      </c>
      <c r="Y327" s="32">
        <v>1.0</v>
      </c>
      <c r="Z327" s="32">
        <v>1.0</v>
      </c>
      <c r="AA327" s="32">
        <v>6.0</v>
      </c>
      <c r="AB327" s="32">
        <v>0.0</v>
      </c>
      <c r="AC327" s="103" t="str">
        <f>IFERROR(__xludf.DUMMYFUNCTION("if($C327="""","""",if(join("" - "",{iferror(filter('Student Groupings'!$A:$A,'Student Groupings'!$B:$B=$C327,'Student Groupings'!$H:$H=""Can't be Together""),"""");iferror(filter('Student Groupings'!$A:$A,'Student Groupings'!$E:$E=$C327,'Student Groupings"&amp;"'!$H:$H=""Can't be Together""),"""")})="" - "","""",join("" - "",{iferror(filter('Student Groupings'!$A:$A,'Student Groupings'!$B:$B=$C327,'Student Groupings'!$H:$H=""Can't be Together""),"""");iferror(filter('Student Groupings'!$A:$A,'Student Groupings'!"&amp;"$E:$E=$C327,'Student Groupings'!$H:$H=""Can't be Together""),"""")})))"),"")</f>
        <v/>
      </c>
      <c r="AD327" s="103" t="str">
        <f>IFERROR(__xludf.DUMMYFUNCTION("if($C327="""","""",if(join("" - "",{iferror(filter('Student Groupings'!$A:$A,'Student Groupings'!$B:$B=$C327,'Student Groupings'!$H:$H=""Must be Together""),"""");iferror(filter('Student Groupings'!$A:$A,'Student Groupings'!$E:$E=$C327,'Student Groupings'"&amp;"!$H:$H=""Must be Together""),"""")})="" - "","""",join("" - "",{iferror(filter('Student Groupings'!$A:$A,'Student Groupings'!$B:$B=$C327,'Student Groupings'!$H:$H=""Must be Together""),"""");iferror(filter('Student Groupings'!$A:$A,'Student Groupings'!$E:"&amp;"$E=$C327,'Student Groupings'!$H:$H=""Must be Together""),"""")})))"),"")</f>
        <v/>
      </c>
      <c r="AE327" s="104"/>
      <c r="AF327" s="104"/>
      <c r="AG327" s="104"/>
      <c r="AH327" s="104"/>
    </row>
    <row r="328">
      <c r="A328" s="101">
        <v>8.0</v>
      </c>
      <c r="B328" s="101">
        <v>29046.0</v>
      </c>
      <c r="C328" s="102" t="s">
        <v>581</v>
      </c>
      <c r="D328" s="52" t="s">
        <v>177</v>
      </c>
      <c r="E328" s="52">
        <v>4.0</v>
      </c>
      <c r="F328" s="52" t="s">
        <v>162</v>
      </c>
      <c r="G328" s="52">
        <v>1.0</v>
      </c>
      <c r="H328" s="52" t="s">
        <v>185</v>
      </c>
      <c r="I328" s="52">
        <v>5.0</v>
      </c>
      <c r="J328" s="52" t="s">
        <v>191</v>
      </c>
      <c r="K328" s="52">
        <v>3.0</v>
      </c>
      <c r="L328" s="52" t="s">
        <v>202</v>
      </c>
      <c r="M328" s="52">
        <v>2.0</v>
      </c>
      <c r="N328" s="52" t="s">
        <v>149</v>
      </c>
      <c r="O328" s="52" t="s">
        <v>120</v>
      </c>
      <c r="P328" s="52" t="s">
        <v>141</v>
      </c>
      <c r="Q328" s="52" t="s">
        <v>109</v>
      </c>
      <c r="R328" s="52" t="s">
        <v>141</v>
      </c>
      <c r="S328" s="52" t="s">
        <v>109</v>
      </c>
      <c r="T328" s="65" t="s">
        <v>30</v>
      </c>
      <c r="U328" s="32">
        <v>1.0</v>
      </c>
      <c r="V328" s="32">
        <v>1.0</v>
      </c>
      <c r="W328" s="32">
        <v>1.0</v>
      </c>
      <c r="X328" s="32">
        <v>1.0</v>
      </c>
      <c r="Y328" s="32">
        <v>1.0</v>
      </c>
      <c r="Z328" s="32">
        <v>1.0</v>
      </c>
      <c r="AA328" s="32">
        <v>6.0</v>
      </c>
      <c r="AB328" s="32">
        <v>0.0</v>
      </c>
      <c r="AC328" s="103" t="str">
        <f>IFERROR(__xludf.DUMMYFUNCTION("if($C328="""","""",if(join("" - "",{iferror(filter('Student Groupings'!$A:$A,'Student Groupings'!$B:$B=$C328,'Student Groupings'!$H:$H=""Can't be Together""),"""");iferror(filter('Student Groupings'!$A:$A,'Student Groupings'!$E:$E=$C328,'Student Groupings"&amp;"'!$H:$H=""Can't be Together""),"""")})="" - "","""",join("" - "",{iferror(filter('Student Groupings'!$A:$A,'Student Groupings'!$B:$B=$C328,'Student Groupings'!$H:$H=""Can't be Together""),"""");iferror(filter('Student Groupings'!$A:$A,'Student Groupings'!"&amp;"$E:$E=$C328,'Student Groupings'!$H:$H=""Can't be Together""),"""")})))"),"")</f>
        <v/>
      </c>
      <c r="AD328" s="103" t="str">
        <f>IFERROR(__xludf.DUMMYFUNCTION("if($C328="""","""",if(join("" - "",{iferror(filter('Student Groupings'!$A:$A,'Student Groupings'!$B:$B=$C328,'Student Groupings'!$H:$H=""Must be Together""),"""");iferror(filter('Student Groupings'!$A:$A,'Student Groupings'!$E:$E=$C328,'Student Groupings'"&amp;"!$H:$H=""Must be Together""),"""")})="" - "","""",join("" - "",{iferror(filter('Student Groupings'!$A:$A,'Student Groupings'!$B:$B=$C328,'Student Groupings'!$H:$H=""Must be Together""),"""");iferror(filter('Student Groupings'!$A:$A,'Student Groupings'!$E:"&amp;"$E=$C328,'Student Groupings'!$H:$H=""Must be Together""),"""")})))"),"")</f>
        <v/>
      </c>
      <c r="AE328" s="104"/>
      <c r="AF328" s="104"/>
      <c r="AG328" s="104"/>
      <c r="AH328" s="104"/>
    </row>
    <row r="329">
      <c r="A329" s="101">
        <v>8.0</v>
      </c>
      <c r="B329" s="101">
        <v>29048.0</v>
      </c>
      <c r="C329" s="102" t="s">
        <v>582</v>
      </c>
      <c r="D329" s="52" t="s">
        <v>176</v>
      </c>
      <c r="E329" s="52">
        <v>6.0</v>
      </c>
      <c r="F329" s="52" t="s">
        <v>167</v>
      </c>
      <c r="G329" s="52">
        <v>3.0</v>
      </c>
      <c r="H329" s="52" t="s">
        <v>185</v>
      </c>
      <c r="I329" s="52">
        <v>2.0</v>
      </c>
      <c r="J329" s="52" t="s">
        <v>190</v>
      </c>
      <c r="K329" s="52">
        <v>5.0</v>
      </c>
      <c r="L329" s="52" t="s">
        <v>201</v>
      </c>
      <c r="M329" s="52">
        <v>1.0</v>
      </c>
      <c r="N329" s="52" t="s">
        <v>149</v>
      </c>
      <c r="O329" s="52" t="s">
        <v>111</v>
      </c>
      <c r="P329" s="52" t="s">
        <v>135</v>
      </c>
      <c r="Q329" s="52" t="s">
        <v>130</v>
      </c>
      <c r="R329" s="52" t="s">
        <v>118</v>
      </c>
      <c r="S329" s="52" t="s">
        <v>130</v>
      </c>
      <c r="T329" s="65" t="s">
        <v>27</v>
      </c>
      <c r="U329" s="32">
        <v>1.0</v>
      </c>
      <c r="V329" s="32">
        <v>1.0</v>
      </c>
      <c r="W329" s="32">
        <v>1.0</v>
      </c>
      <c r="X329" s="32">
        <v>1.0</v>
      </c>
      <c r="Y329" s="32">
        <v>1.0</v>
      </c>
      <c r="Z329" s="32">
        <v>1.0</v>
      </c>
      <c r="AA329" s="32">
        <v>6.0</v>
      </c>
      <c r="AB329" s="32">
        <v>0.0</v>
      </c>
      <c r="AC329" s="103" t="str">
        <f>IFERROR(__xludf.DUMMYFUNCTION("if($C329="""","""",if(join("" - "",{iferror(filter('Student Groupings'!$A:$A,'Student Groupings'!$B:$B=$C329,'Student Groupings'!$H:$H=""Can't be Together""),"""");iferror(filter('Student Groupings'!$A:$A,'Student Groupings'!$E:$E=$C329,'Student Groupings"&amp;"'!$H:$H=""Can't be Together""),"""")})="" - "","""",join("" - "",{iferror(filter('Student Groupings'!$A:$A,'Student Groupings'!$B:$B=$C329,'Student Groupings'!$H:$H=""Can't be Together""),"""");iferror(filter('Student Groupings'!$A:$A,'Student Groupings'!"&amp;"$E:$E=$C329,'Student Groupings'!$H:$H=""Can't be Together""),"""")})))"),"")</f>
        <v/>
      </c>
      <c r="AD329" s="103" t="str">
        <f>IFERROR(__xludf.DUMMYFUNCTION("if($C329="""","""",if(join("" - "",{iferror(filter('Student Groupings'!$A:$A,'Student Groupings'!$B:$B=$C329,'Student Groupings'!$H:$H=""Must be Together""),"""");iferror(filter('Student Groupings'!$A:$A,'Student Groupings'!$E:$E=$C329,'Student Groupings'"&amp;"!$H:$H=""Must be Together""),"""")})="" - "","""",join("" - "",{iferror(filter('Student Groupings'!$A:$A,'Student Groupings'!$B:$B=$C329,'Student Groupings'!$H:$H=""Must be Together""),"""");iferror(filter('Student Groupings'!$A:$A,'Student Groupings'!$E:"&amp;"$E=$C329,'Student Groupings'!$H:$H=""Must be Together""),"""")})))"),"")</f>
        <v/>
      </c>
      <c r="AE329" s="104"/>
      <c r="AF329" s="104"/>
      <c r="AG329" s="104"/>
      <c r="AH329" s="104"/>
    </row>
    <row r="330">
      <c r="A330" s="101">
        <v>8.0</v>
      </c>
      <c r="B330" s="101">
        <v>29049.0</v>
      </c>
      <c r="C330" s="102" t="s">
        <v>266</v>
      </c>
      <c r="D330" s="52" t="s">
        <v>176</v>
      </c>
      <c r="E330" s="52">
        <v>2.0</v>
      </c>
      <c r="F330" s="52" t="s">
        <v>170</v>
      </c>
      <c r="G330" s="52">
        <v>1.0</v>
      </c>
      <c r="H330" s="52" t="s">
        <v>185</v>
      </c>
      <c r="I330" s="101">
        <v>5.0</v>
      </c>
      <c r="J330" s="52" t="s">
        <v>190</v>
      </c>
      <c r="K330" s="101">
        <v>4.0</v>
      </c>
      <c r="L330" s="52" t="s">
        <v>201</v>
      </c>
      <c r="M330" s="101">
        <v>3.0</v>
      </c>
      <c r="N330" s="52" t="s">
        <v>149</v>
      </c>
      <c r="O330" s="52" t="s">
        <v>120</v>
      </c>
      <c r="P330" s="52" t="s">
        <v>141</v>
      </c>
      <c r="Q330" s="52" t="s">
        <v>109</v>
      </c>
      <c r="R330" s="52" t="s">
        <v>141</v>
      </c>
      <c r="S330" s="52" t="s">
        <v>109</v>
      </c>
      <c r="T330" s="65" t="s">
        <v>30</v>
      </c>
      <c r="U330" s="32">
        <v>1.0</v>
      </c>
      <c r="V330" s="32">
        <v>1.0</v>
      </c>
      <c r="W330" s="32">
        <v>1.0</v>
      </c>
      <c r="X330" s="32">
        <v>1.0</v>
      </c>
      <c r="Y330" s="32">
        <v>1.0</v>
      </c>
      <c r="Z330" s="32">
        <v>1.0</v>
      </c>
      <c r="AA330" s="32">
        <v>6.0</v>
      </c>
      <c r="AB330" s="32">
        <v>0.0</v>
      </c>
      <c r="AC330" s="103" t="str">
        <f>IFERROR(__xludf.DUMMYFUNCTION("if($C330="""","""",if(join("" - "",{iferror(filter('Student Groupings'!$A:$A,'Student Groupings'!$B:$B=$C330,'Student Groupings'!$H:$H=""Can't be Together""),"""");iferror(filter('Student Groupings'!$A:$A,'Student Groupings'!$E:$E=$C330,'Student Groupings"&amp;"'!$H:$H=""Can't be Together""),"""")})="" - "","""",join("" - "",{iferror(filter('Student Groupings'!$A:$A,'Student Groupings'!$B:$B=$C330,'Student Groupings'!$H:$H=""Can't be Together""),"""");iferror(filter('Student Groupings'!$A:$A,'Student Groupings'!"&amp;"$E:$E=$C330,'Student Groupings'!$H:$H=""Can't be Together""),"""")})))"),"80 - 81 - 82 - 83 - 84 - 85 - 47 - 74 - 87 - 93 - 99 - 105 - 111")</f>
        <v>80 - 81 - 82 - 83 - 84 - 85 - 47 - 74 - 87 - 93 - 99 - 105 - 111</v>
      </c>
      <c r="AD330" s="103" t="str">
        <f>IFERROR(__xludf.DUMMYFUNCTION("if($C330="""","""",if(join("" - "",{iferror(filter('Student Groupings'!$A:$A,'Student Groupings'!$B:$B=$C330,'Student Groupings'!$H:$H=""Must be Together""),"""");iferror(filter('Student Groupings'!$A:$A,'Student Groupings'!$E:$E=$C330,'Student Groupings'"&amp;"!$H:$H=""Must be Together""),"""")})="" - "","""",join("" - "",{iferror(filter('Student Groupings'!$A:$A,'Student Groupings'!$B:$B=$C330,'Student Groupings'!$H:$H=""Must be Together""),"""");iferror(filter('Student Groupings'!$A:$A,'Student Groupings'!$E:"&amp;"$E=$C330,'Student Groupings'!$H:$H=""Must be Together""),"""")})))"),"")</f>
        <v/>
      </c>
      <c r="AE330" s="104"/>
      <c r="AF330" s="104"/>
      <c r="AG330" s="104"/>
      <c r="AH330" s="104"/>
    </row>
    <row r="331">
      <c r="A331" s="101">
        <v>8.0</v>
      </c>
      <c r="B331" s="101">
        <v>29050.0</v>
      </c>
      <c r="C331" s="102" t="s">
        <v>267</v>
      </c>
      <c r="D331" s="52" t="s">
        <v>176</v>
      </c>
      <c r="E331" s="52">
        <v>3.0</v>
      </c>
      <c r="F331" s="52" t="s">
        <v>170</v>
      </c>
      <c r="G331" s="52">
        <v>1.0</v>
      </c>
      <c r="H331" s="52" t="s">
        <v>187</v>
      </c>
      <c r="I331" s="52">
        <v>6.0</v>
      </c>
      <c r="J331" s="52" t="s">
        <v>190</v>
      </c>
      <c r="K331" s="52">
        <v>2.0</v>
      </c>
      <c r="L331" s="52" t="s">
        <v>201</v>
      </c>
      <c r="M331" s="52">
        <v>4.0</v>
      </c>
      <c r="N331" s="52" t="s">
        <v>149</v>
      </c>
      <c r="O331" s="52" t="s">
        <v>124</v>
      </c>
      <c r="P331" s="52" t="s">
        <v>141</v>
      </c>
      <c r="Q331" s="52" t="s">
        <v>112</v>
      </c>
      <c r="R331" s="52" t="s">
        <v>141</v>
      </c>
      <c r="S331" s="52" t="s">
        <v>112</v>
      </c>
      <c r="T331" s="65" t="s">
        <v>30</v>
      </c>
      <c r="U331" s="32">
        <v>1.0</v>
      </c>
      <c r="V331" s="32">
        <v>1.0</v>
      </c>
      <c r="W331" s="32">
        <v>1.0</v>
      </c>
      <c r="X331" s="32">
        <v>1.0</v>
      </c>
      <c r="Y331" s="32">
        <v>1.0</v>
      </c>
      <c r="Z331" s="32">
        <v>1.0</v>
      </c>
      <c r="AA331" s="32">
        <v>6.0</v>
      </c>
      <c r="AB331" s="32">
        <v>0.0</v>
      </c>
      <c r="AC331" s="103" t="str">
        <f>IFERROR(__xludf.DUMMYFUNCTION("if($C331="""","""",if(join("" - "",{iferror(filter('Student Groupings'!$A:$A,'Student Groupings'!$B:$B=$C331,'Student Groupings'!$H:$H=""Can't be Together""),"""");iferror(filter('Student Groupings'!$A:$A,'Student Groupings'!$E:$E=$C331,'Student Groupings"&amp;"'!$H:$H=""Can't be Together""),"""")})="" - "","""",join("" - "",{iferror(filter('Student Groupings'!$A:$A,'Student Groupings'!$B:$B=$C331,'Student Groupings'!$H:$H=""Can't be Together""),"""");iferror(filter('Student Groupings'!$A:$A,'Student Groupings'!"&amp;"$E:$E=$C331,'Student Groupings'!$H:$H=""Can't be Together""),"""")})))"),"86 - 87 - 88 - 89 - 90 - 91 - 48 - 75 - 81 - 94 - 100 - 106 - 112")</f>
        <v>86 - 87 - 88 - 89 - 90 - 91 - 48 - 75 - 81 - 94 - 100 - 106 - 112</v>
      </c>
      <c r="AD331" s="103" t="str">
        <f>IFERROR(__xludf.DUMMYFUNCTION("if($C331="""","""",if(join("" - "",{iferror(filter('Student Groupings'!$A:$A,'Student Groupings'!$B:$B=$C331,'Student Groupings'!$H:$H=""Must be Together""),"""");iferror(filter('Student Groupings'!$A:$A,'Student Groupings'!$E:$E=$C331,'Student Groupings'"&amp;"!$H:$H=""Must be Together""),"""")})="" - "","""",join("" - "",{iferror(filter('Student Groupings'!$A:$A,'Student Groupings'!$B:$B=$C331,'Student Groupings'!$H:$H=""Must be Together""),"""");iferror(filter('Student Groupings'!$A:$A,'Student Groupings'!$E:"&amp;"$E=$C331,'Student Groupings'!$H:$H=""Must be Together""),"""")})))"),"")</f>
        <v/>
      </c>
      <c r="AE331" s="104"/>
      <c r="AF331" s="104"/>
      <c r="AG331" s="104"/>
      <c r="AH331" s="104"/>
    </row>
    <row r="332">
      <c r="A332" s="101">
        <v>8.0</v>
      </c>
      <c r="B332" s="101">
        <v>28046.0</v>
      </c>
      <c r="C332" s="102" t="s">
        <v>279</v>
      </c>
      <c r="D332" s="52" t="s">
        <v>176</v>
      </c>
      <c r="E332" s="52">
        <v>3.0</v>
      </c>
      <c r="F332" s="52" t="s">
        <v>170</v>
      </c>
      <c r="G332" s="52">
        <v>1.0</v>
      </c>
      <c r="H332" s="52" t="s">
        <v>187</v>
      </c>
      <c r="I332" s="52">
        <v>6.0</v>
      </c>
      <c r="J332" s="52" t="s">
        <v>190</v>
      </c>
      <c r="K332" s="52">
        <v>2.0</v>
      </c>
      <c r="L332" s="52" t="s">
        <v>201</v>
      </c>
      <c r="M332" s="52">
        <v>4.0</v>
      </c>
      <c r="N332" s="52" t="s">
        <v>149</v>
      </c>
      <c r="O332" s="52" t="s">
        <v>124</v>
      </c>
      <c r="P332" s="52" t="s">
        <v>141</v>
      </c>
      <c r="Q332" s="52" t="s">
        <v>112</v>
      </c>
      <c r="R332" s="52" t="s">
        <v>141</v>
      </c>
      <c r="S332" s="52" t="s">
        <v>112</v>
      </c>
      <c r="T332" s="65" t="s">
        <v>30</v>
      </c>
      <c r="U332" s="32">
        <v>1.0</v>
      </c>
      <c r="V332" s="32">
        <v>1.0</v>
      </c>
      <c r="W332" s="32">
        <v>1.0</v>
      </c>
      <c r="X332" s="32">
        <v>1.0</v>
      </c>
      <c r="Y332" s="32">
        <v>1.0</v>
      </c>
      <c r="Z332" s="32">
        <v>1.0</v>
      </c>
      <c r="AA332" s="32">
        <v>6.0</v>
      </c>
      <c r="AB332" s="32">
        <v>0.0</v>
      </c>
      <c r="AC332" s="103" t="str">
        <f>IFERROR(__xludf.DUMMYFUNCTION("if($C332="""","""",if(join("" - "",{iferror(filter('Student Groupings'!$A:$A,'Student Groupings'!$B:$B=$C332,'Student Groupings'!$H:$H=""Can't be Together""),"""");iferror(filter('Student Groupings'!$A:$A,'Student Groupings'!$E:$E=$C332,'Student Groupings"&amp;"'!$H:$H=""Can't be Together""),"""")})="" - "","""",join("" - "",{iferror(filter('Student Groupings'!$A:$A,'Student Groupings'!$B:$B=$C332,'Student Groupings'!$H:$H=""Can't be Together""),"""");iferror(filter('Student Groupings'!$A:$A,'Student Groupings'!"&amp;"$E:$E=$C332,'Student Groupings'!$H:$H=""Can't be Together""),"""")})))"),"92 - 93 - 94 - 95 - 96 - 97 - 76 - 82 - 88 - 101 - 107 - 113")</f>
        <v>92 - 93 - 94 - 95 - 96 - 97 - 76 - 82 - 88 - 101 - 107 - 113</v>
      </c>
      <c r="AD332" s="103" t="str">
        <f>IFERROR(__xludf.DUMMYFUNCTION("if($C332="""","""",if(join("" - "",{iferror(filter('Student Groupings'!$A:$A,'Student Groupings'!$B:$B=$C332,'Student Groupings'!$H:$H=""Must be Together""),"""");iferror(filter('Student Groupings'!$A:$A,'Student Groupings'!$E:$E=$C332,'Student Groupings'"&amp;"!$H:$H=""Must be Together""),"""")})="" - "","""",join("" - "",{iferror(filter('Student Groupings'!$A:$A,'Student Groupings'!$B:$B=$C332,'Student Groupings'!$H:$H=""Must be Together""),"""");iferror(filter('Student Groupings'!$A:$A,'Student Groupings'!$E:"&amp;"$E=$C332,'Student Groupings'!$H:$H=""Must be Together""),"""")})))"),"")</f>
        <v/>
      </c>
      <c r="AE332" s="104"/>
      <c r="AF332" s="104"/>
      <c r="AG332" s="104"/>
      <c r="AH332" s="104"/>
    </row>
    <row r="333">
      <c r="A333" s="101">
        <v>8.0</v>
      </c>
      <c r="B333" s="101">
        <v>29052.0</v>
      </c>
      <c r="C333" s="102" t="s">
        <v>583</v>
      </c>
      <c r="D333" s="52" t="s">
        <v>176</v>
      </c>
      <c r="E333" s="52">
        <v>4.0</v>
      </c>
      <c r="F333" s="52" t="s">
        <v>170</v>
      </c>
      <c r="G333" s="52">
        <v>1.0</v>
      </c>
      <c r="H333" s="52" t="s">
        <v>187</v>
      </c>
      <c r="I333" s="52">
        <v>6.0</v>
      </c>
      <c r="J333" s="52" t="s">
        <v>190</v>
      </c>
      <c r="K333" s="52">
        <v>3.0</v>
      </c>
      <c r="L333" s="52" t="s">
        <v>201</v>
      </c>
      <c r="M333" s="52">
        <v>2.0</v>
      </c>
      <c r="N333" s="52" t="s">
        <v>149</v>
      </c>
      <c r="O333" s="52" t="s">
        <v>112</v>
      </c>
      <c r="P333" s="52" t="s">
        <v>118</v>
      </c>
      <c r="Q333" s="52" t="s">
        <v>124</v>
      </c>
      <c r="R333" s="52" t="s">
        <v>135</v>
      </c>
      <c r="S333" s="52" t="s">
        <v>124</v>
      </c>
      <c r="T333" s="65" t="s">
        <v>27</v>
      </c>
      <c r="U333" s="32">
        <v>1.0</v>
      </c>
      <c r="V333" s="32">
        <v>1.0</v>
      </c>
      <c r="W333" s="32">
        <v>1.0</v>
      </c>
      <c r="X333" s="32">
        <v>1.0</v>
      </c>
      <c r="Y333" s="32">
        <v>1.0</v>
      </c>
      <c r="Z333" s="32">
        <v>1.0</v>
      </c>
      <c r="AA333" s="32">
        <v>6.0</v>
      </c>
      <c r="AB333" s="32">
        <v>0.0</v>
      </c>
      <c r="AC333" s="103" t="str">
        <f>IFERROR(__xludf.DUMMYFUNCTION("if($C333="""","""",if(join("" - "",{iferror(filter('Student Groupings'!$A:$A,'Student Groupings'!$B:$B=$C333,'Student Groupings'!$H:$H=""Can't be Together""),"""");iferror(filter('Student Groupings'!$A:$A,'Student Groupings'!$E:$E=$C333,'Student Groupings"&amp;"'!$H:$H=""Can't be Together""),"""")})="" - "","""",join("" - "",{iferror(filter('Student Groupings'!$A:$A,'Student Groupings'!$B:$B=$C333,'Student Groupings'!$H:$H=""Can't be Together""),"""");iferror(filter('Student Groupings'!$A:$A,'Student Groupings'!"&amp;"$E:$E=$C333,'Student Groupings'!$H:$H=""Can't be Together""),"""")})))"),"")</f>
        <v/>
      </c>
      <c r="AD333" s="103" t="str">
        <f>IFERROR(__xludf.DUMMYFUNCTION("if($C333="""","""",if(join("" - "",{iferror(filter('Student Groupings'!$A:$A,'Student Groupings'!$B:$B=$C333,'Student Groupings'!$H:$H=""Must be Together""),"""");iferror(filter('Student Groupings'!$A:$A,'Student Groupings'!$E:$E=$C333,'Student Groupings'"&amp;"!$H:$H=""Must be Together""),"""")})="" - "","""",join("" - "",{iferror(filter('Student Groupings'!$A:$A,'Student Groupings'!$B:$B=$C333,'Student Groupings'!$H:$H=""Must be Together""),"""");iferror(filter('Student Groupings'!$A:$A,'Student Groupings'!$E:"&amp;"$E=$C333,'Student Groupings'!$H:$H=""Must be Together""),"""")})))"),"")</f>
        <v/>
      </c>
      <c r="AE333" s="104"/>
      <c r="AF333" s="104"/>
      <c r="AG333" s="104"/>
      <c r="AH333" s="104"/>
    </row>
    <row r="334">
      <c r="A334" s="101">
        <v>8.0</v>
      </c>
      <c r="B334" s="101">
        <v>29053.0</v>
      </c>
      <c r="C334" s="102" t="s">
        <v>584</v>
      </c>
      <c r="D334" s="52" t="s">
        <v>176</v>
      </c>
      <c r="E334" s="52">
        <v>5.0</v>
      </c>
      <c r="F334" s="52" t="s">
        <v>167</v>
      </c>
      <c r="G334" s="52">
        <v>3.0</v>
      </c>
      <c r="H334" s="52" t="s">
        <v>185</v>
      </c>
      <c r="I334" s="52">
        <v>2.0</v>
      </c>
      <c r="J334" s="52" t="s">
        <v>190</v>
      </c>
      <c r="K334" s="52">
        <v>1.0</v>
      </c>
      <c r="L334" s="52" t="s">
        <v>201</v>
      </c>
      <c r="M334" s="52">
        <v>6.0</v>
      </c>
      <c r="N334" s="52" t="s">
        <v>149</v>
      </c>
      <c r="O334" s="52" t="s">
        <v>111</v>
      </c>
      <c r="P334" s="52" t="s">
        <v>135</v>
      </c>
      <c r="Q334" s="52" t="s">
        <v>130</v>
      </c>
      <c r="R334" s="52" t="s">
        <v>118</v>
      </c>
      <c r="S334" s="52" t="s">
        <v>130</v>
      </c>
      <c r="T334" s="65" t="s">
        <v>27</v>
      </c>
      <c r="U334" s="32">
        <v>1.0</v>
      </c>
      <c r="V334" s="32">
        <v>1.0</v>
      </c>
      <c r="W334" s="32">
        <v>1.0</v>
      </c>
      <c r="X334" s="32">
        <v>1.0</v>
      </c>
      <c r="Y334" s="32">
        <v>1.0</v>
      </c>
      <c r="Z334" s="32">
        <v>1.0</v>
      </c>
      <c r="AA334" s="32">
        <v>6.0</v>
      </c>
      <c r="AB334" s="32">
        <v>0.0</v>
      </c>
      <c r="AC334" s="103" t="str">
        <f>IFERROR(__xludf.DUMMYFUNCTION("if($C334="""","""",if(join("" - "",{iferror(filter('Student Groupings'!$A:$A,'Student Groupings'!$B:$B=$C334,'Student Groupings'!$H:$H=""Can't be Together""),"""");iferror(filter('Student Groupings'!$A:$A,'Student Groupings'!$E:$E=$C334,'Student Groupings"&amp;"'!$H:$H=""Can't be Together""),"""")})="" - "","""",join("" - "",{iferror(filter('Student Groupings'!$A:$A,'Student Groupings'!$B:$B=$C334,'Student Groupings'!$H:$H=""Can't be Together""),"""");iferror(filter('Student Groupings'!$A:$A,'Student Groupings'!"&amp;"$E:$E=$C334,'Student Groupings'!$H:$H=""Can't be Together""),"""")})))"),"")</f>
        <v/>
      </c>
      <c r="AD334" s="103" t="str">
        <f>IFERROR(__xludf.DUMMYFUNCTION("if($C334="""","""",if(join("" - "",{iferror(filter('Student Groupings'!$A:$A,'Student Groupings'!$B:$B=$C334,'Student Groupings'!$H:$H=""Must be Together""),"""");iferror(filter('Student Groupings'!$A:$A,'Student Groupings'!$E:$E=$C334,'Student Groupings'"&amp;"!$H:$H=""Must be Together""),"""")})="" - "","""",join("" - "",{iferror(filter('Student Groupings'!$A:$A,'Student Groupings'!$B:$B=$C334,'Student Groupings'!$H:$H=""Must be Together""),"""");iferror(filter('Student Groupings'!$A:$A,'Student Groupings'!$E:"&amp;"$E=$C334,'Student Groupings'!$H:$H=""Must be Together""),"""")})))"),"")</f>
        <v/>
      </c>
      <c r="AE334" s="104"/>
      <c r="AF334" s="104"/>
      <c r="AG334" s="104"/>
      <c r="AH334" s="104"/>
    </row>
    <row r="335">
      <c r="A335" s="101">
        <v>8.0</v>
      </c>
      <c r="B335" s="101">
        <v>29056.0</v>
      </c>
      <c r="C335" s="102" t="s">
        <v>284</v>
      </c>
      <c r="D335" s="52" t="s">
        <v>176</v>
      </c>
      <c r="E335" s="52">
        <v>4.0</v>
      </c>
      <c r="F335" s="52" t="s">
        <v>170</v>
      </c>
      <c r="G335" s="52">
        <v>1.0</v>
      </c>
      <c r="H335" s="52" t="s">
        <v>185</v>
      </c>
      <c r="I335" s="52">
        <v>6.0</v>
      </c>
      <c r="J335" s="52" t="s">
        <v>190</v>
      </c>
      <c r="K335" s="52">
        <v>3.0</v>
      </c>
      <c r="L335" s="52" t="s">
        <v>201</v>
      </c>
      <c r="M335" s="52">
        <v>2.0</v>
      </c>
      <c r="N335" s="52" t="s">
        <v>149</v>
      </c>
      <c r="O335" s="52" t="s">
        <v>124</v>
      </c>
      <c r="P335" s="52" t="s">
        <v>141</v>
      </c>
      <c r="Q335" s="52" t="s">
        <v>112</v>
      </c>
      <c r="R335" s="52" t="s">
        <v>141</v>
      </c>
      <c r="S335" s="52" t="s">
        <v>112</v>
      </c>
      <c r="T335" s="65" t="s">
        <v>30</v>
      </c>
      <c r="U335" s="32">
        <v>1.0</v>
      </c>
      <c r="V335" s="32">
        <v>1.0</v>
      </c>
      <c r="W335" s="32">
        <v>1.0</v>
      </c>
      <c r="X335" s="32">
        <v>1.0</v>
      </c>
      <c r="Y335" s="32">
        <v>1.0</v>
      </c>
      <c r="Z335" s="32">
        <v>1.0</v>
      </c>
      <c r="AA335" s="32">
        <v>6.0</v>
      </c>
      <c r="AB335" s="32">
        <v>0.0</v>
      </c>
      <c r="AC335" s="103" t="str">
        <f>IFERROR(__xludf.DUMMYFUNCTION("if($C335="""","""",if(join("" - "",{iferror(filter('Student Groupings'!$A:$A,'Student Groupings'!$B:$B=$C335,'Student Groupings'!$H:$H=""Can't be Together""),"""");iferror(filter('Student Groupings'!$A:$A,'Student Groupings'!$E:$E=$C335,'Student Groupings"&amp;"'!$H:$H=""Can't be Together""),"""")})="" - "","""",join("" - "",{iferror(filter('Student Groupings'!$A:$A,'Student Groupings'!$B:$B=$C335,'Student Groupings'!$H:$H=""Can't be Together""),"""");iferror(filter('Student Groupings'!$A:$A,'Student Groupings'!"&amp;"$E:$E=$C335,'Student Groupings'!$H:$H=""Can't be Together""),"""")})))"),"118 - 119 - ")</f>
        <v>118 - 119 - </v>
      </c>
      <c r="AD335" s="103" t="str">
        <f>IFERROR(__xludf.DUMMYFUNCTION("if($C335="""","""",if(join("" - "",{iferror(filter('Student Groupings'!$A:$A,'Student Groupings'!$B:$B=$C335,'Student Groupings'!$H:$H=""Must be Together""),"""");iferror(filter('Student Groupings'!$A:$A,'Student Groupings'!$E:$E=$C335,'Student Groupings'"&amp;"!$H:$H=""Must be Together""),"""")})="" - "","""",join("" - "",{iferror(filter('Student Groupings'!$A:$A,'Student Groupings'!$B:$B=$C335,'Student Groupings'!$H:$H=""Must be Together""),"""");iferror(filter('Student Groupings'!$A:$A,'Student Groupings'!$E:"&amp;"$E=$C335,'Student Groupings'!$H:$H=""Must be Together""),"""")})))"),"")</f>
        <v/>
      </c>
      <c r="AE335" s="105"/>
      <c r="AF335" s="105">
        <v>1.0</v>
      </c>
      <c r="AG335" s="104"/>
      <c r="AH335" s="104"/>
    </row>
    <row r="336">
      <c r="A336" s="101">
        <v>8.0</v>
      </c>
      <c r="B336" s="101">
        <v>29057.0</v>
      </c>
      <c r="C336" s="102" t="s">
        <v>585</v>
      </c>
      <c r="D336" s="52" t="s">
        <v>176</v>
      </c>
      <c r="E336" s="52">
        <v>6.0</v>
      </c>
      <c r="F336" s="52" t="s">
        <v>167</v>
      </c>
      <c r="G336" s="52">
        <v>4.0</v>
      </c>
      <c r="H336" s="52" t="s">
        <v>185</v>
      </c>
      <c r="I336" s="52">
        <v>3.0</v>
      </c>
      <c r="J336" s="52" t="s">
        <v>190</v>
      </c>
      <c r="K336" s="52">
        <v>5.0</v>
      </c>
      <c r="L336" s="52" t="s">
        <v>201</v>
      </c>
      <c r="M336" s="52">
        <v>1.0</v>
      </c>
      <c r="N336" s="52" t="s">
        <v>149</v>
      </c>
      <c r="O336" s="52" t="s">
        <v>125</v>
      </c>
      <c r="P336" s="52" t="s">
        <v>141</v>
      </c>
      <c r="Q336" s="52" t="s">
        <v>119</v>
      </c>
      <c r="R336" s="52" t="s">
        <v>141</v>
      </c>
      <c r="S336" s="52" t="s">
        <v>119</v>
      </c>
      <c r="T336" s="65" t="s">
        <v>30</v>
      </c>
      <c r="U336" s="32">
        <v>1.0</v>
      </c>
      <c r="V336" s="32">
        <v>1.0</v>
      </c>
      <c r="W336" s="32">
        <v>1.0</v>
      </c>
      <c r="X336" s="32">
        <v>1.0</v>
      </c>
      <c r="Y336" s="32">
        <v>1.0</v>
      </c>
      <c r="Z336" s="32">
        <v>1.0</v>
      </c>
      <c r="AA336" s="32">
        <v>6.0</v>
      </c>
      <c r="AB336" s="32">
        <v>0.0</v>
      </c>
      <c r="AC336" s="103" t="str">
        <f>IFERROR(__xludf.DUMMYFUNCTION("if($C336="""","""",if(join("" - "",{iferror(filter('Student Groupings'!$A:$A,'Student Groupings'!$B:$B=$C336,'Student Groupings'!$H:$H=""Can't be Together""),"""");iferror(filter('Student Groupings'!$A:$A,'Student Groupings'!$E:$E=$C336,'Student Groupings"&amp;"'!$H:$H=""Can't be Together""),"""")})="" - "","""",join("" - "",{iferror(filter('Student Groupings'!$A:$A,'Student Groupings'!$B:$B=$C336,'Student Groupings'!$H:$H=""Can't be Together""),"""");iferror(filter('Student Groupings'!$A:$A,'Student Groupings'!"&amp;"$E:$E=$C336,'Student Groupings'!$H:$H=""Can't be Together""),"""")})))"),"")</f>
        <v/>
      </c>
      <c r="AD336" s="103" t="str">
        <f>IFERROR(__xludf.DUMMYFUNCTION("if($C336="""","""",if(join("" - "",{iferror(filter('Student Groupings'!$A:$A,'Student Groupings'!$B:$B=$C336,'Student Groupings'!$H:$H=""Must be Together""),"""");iferror(filter('Student Groupings'!$A:$A,'Student Groupings'!$E:$E=$C336,'Student Groupings'"&amp;"!$H:$H=""Must be Together""),"""")})="" - "","""",join("" - "",{iferror(filter('Student Groupings'!$A:$A,'Student Groupings'!$B:$B=$C336,'Student Groupings'!$H:$H=""Must be Together""),"""");iferror(filter('Student Groupings'!$A:$A,'Student Groupings'!$E:"&amp;"$E=$C336,'Student Groupings'!$H:$H=""Must be Together""),"""")})))"),"")</f>
        <v/>
      </c>
      <c r="AE336" s="104"/>
      <c r="AF336" s="104"/>
      <c r="AG336" s="104"/>
      <c r="AH336" s="104"/>
    </row>
    <row r="337">
      <c r="A337" s="101">
        <v>8.0</v>
      </c>
      <c r="B337" s="101">
        <v>29058.0</v>
      </c>
      <c r="C337" s="102" t="s">
        <v>586</v>
      </c>
      <c r="D337" s="52" t="s">
        <v>176</v>
      </c>
      <c r="E337" s="52">
        <v>2.0</v>
      </c>
      <c r="F337" s="52" t="s">
        <v>167</v>
      </c>
      <c r="G337" s="52">
        <v>5.0</v>
      </c>
      <c r="H337" s="52" t="s">
        <v>185</v>
      </c>
      <c r="I337" s="52">
        <v>6.0</v>
      </c>
      <c r="J337" s="52" t="s">
        <v>190</v>
      </c>
      <c r="K337" s="52">
        <v>4.0</v>
      </c>
      <c r="L337" s="52" t="s">
        <v>201</v>
      </c>
      <c r="M337" s="52">
        <v>3.0</v>
      </c>
      <c r="N337" s="52" t="s">
        <v>149</v>
      </c>
      <c r="O337" s="52" t="s">
        <v>108</v>
      </c>
      <c r="P337" s="52" t="s">
        <v>141</v>
      </c>
      <c r="Q337" s="52" t="s">
        <v>129</v>
      </c>
      <c r="R337" s="52" t="s">
        <v>141</v>
      </c>
      <c r="S337" s="52" t="s">
        <v>129</v>
      </c>
      <c r="T337" s="65" t="s">
        <v>30</v>
      </c>
      <c r="U337" s="32">
        <v>1.0</v>
      </c>
      <c r="V337" s="32">
        <v>1.0</v>
      </c>
      <c r="W337" s="32">
        <v>1.0</v>
      </c>
      <c r="X337" s="32">
        <v>1.0</v>
      </c>
      <c r="Y337" s="32">
        <v>1.0</v>
      </c>
      <c r="Z337" s="32">
        <v>1.0</v>
      </c>
      <c r="AA337" s="32">
        <v>6.0</v>
      </c>
      <c r="AB337" s="32">
        <v>0.0</v>
      </c>
      <c r="AC337" s="103" t="str">
        <f>IFERROR(__xludf.DUMMYFUNCTION("if($C337="""","""",if(join("" - "",{iferror(filter('Student Groupings'!$A:$A,'Student Groupings'!$B:$B=$C337,'Student Groupings'!$H:$H=""Can't be Together""),"""");iferror(filter('Student Groupings'!$A:$A,'Student Groupings'!$E:$E=$C337,'Student Groupings"&amp;"'!$H:$H=""Can't be Together""),"""")})="" - "","""",join("" - "",{iferror(filter('Student Groupings'!$A:$A,'Student Groupings'!$B:$B=$C337,'Student Groupings'!$H:$H=""Can't be Together""),"""");iferror(filter('Student Groupings'!$A:$A,'Student Groupings'!"&amp;"$E:$E=$C337,'Student Groupings'!$H:$H=""Can't be Together""),"""")})))"),"")</f>
        <v/>
      </c>
      <c r="AD337" s="103" t="str">
        <f>IFERROR(__xludf.DUMMYFUNCTION("if($C337="""","""",if(join("" - "",{iferror(filter('Student Groupings'!$A:$A,'Student Groupings'!$B:$B=$C337,'Student Groupings'!$H:$H=""Must be Together""),"""");iferror(filter('Student Groupings'!$A:$A,'Student Groupings'!$E:$E=$C337,'Student Groupings'"&amp;"!$H:$H=""Must be Together""),"""")})="" - "","""",join("" - "",{iferror(filter('Student Groupings'!$A:$A,'Student Groupings'!$B:$B=$C337,'Student Groupings'!$H:$H=""Must be Together""),"""");iferror(filter('Student Groupings'!$A:$A,'Student Groupings'!$E:"&amp;"$E=$C337,'Student Groupings'!$H:$H=""Must be Together""),"""")})))"),"")</f>
        <v/>
      </c>
      <c r="AE337" s="104"/>
      <c r="AF337" s="104"/>
      <c r="AG337" s="104"/>
      <c r="AH337" s="104"/>
    </row>
    <row r="338">
      <c r="A338" s="101">
        <v>8.0</v>
      </c>
      <c r="B338" s="101">
        <v>29059.0</v>
      </c>
      <c r="C338" s="102" t="s">
        <v>281</v>
      </c>
      <c r="D338" s="52" t="s">
        <v>176</v>
      </c>
      <c r="E338" s="52">
        <v>3.0</v>
      </c>
      <c r="F338" s="52" t="s">
        <v>170</v>
      </c>
      <c r="G338" s="52">
        <v>1.0</v>
      </c>
      <c r="H338" s="52" t="s">
        <v>187</v>
      </c>
      <c r="I338" s="52">
        <v>6.0</v>
      </c>
      <c r="J338" s="52" t="s">
        <v>190</v>
      </c>
      <c r="K338" s="52">
        <v>2.0</v>
      </c>
      <c r="L338" s="52" t="s">
        <v>201</v>
      </c>
      <c r="M338" s="52">
        <v>4.0</v>
      </c>
      <c r="N338" s="52" t="s">
        <v>149</v>
      </c>
      <c r="O338" s="52" t="s">
        <v>124</v>
      </c>
      <c r="P338" s="52" t="s">
        <v>141</v>
      </c>
      <c r="Q338" s="52" t="s">
        <v>112</v>
      </c>
      <c r="R338" s="52" t="s">
        <v>141</v>
      </c>
      <c r="S338" s="52" t="s">
        <v>112</v>
      </c>
      <c r="T338" s="65" t="s">
        <v>30</v>
      </c>
      <c r="U338" s="32">
        <v>1.0</v>
      </c>
      <c r="V338" s="32">
        <v>1.0</v>
      </c>
      <c r="W338" s="32">
        <v>1.0</v>
      </c>
      <c r="X338" s="32">
        <v>1.0</v>
      </c>
      <c r="Y338" s="32">
        <v>1.0</v>
      </c>
      <c r="Z338" s="32">
        <v>1.0</v>
      </c>
      <c r="AA338" s="32">
        <v>6.0</v>
      </c>
      <c r="AB338" s="32">
        <v>0.0</v>
      </c>
      <c r="AC338" s="103" t="str">
        <f>IFERROR(__xludf.DUMMYFUNCTION("if($C338="""","""",if(join("" - "",{iferror(filter('Student Groupings'!$A:$A,'Student Groupings'!$B:$B=$C338,'Student Groupings'!$H:$H=""Can't be Together""),"""");iferror(filter('Student Groupings'!$A:$A,'Student Groupings'!$E:$E=$C338,'Student Groupings"&amp;"'!$H:$H=""Can't be Together""),"""")})="" - "","""",join("" - "",{iferror(filter('Student Groupings'!$A:$A,'Student Groupings'!$B:$B=$C338,'Student Groupings'!$H:$H=""Can't be Together""),"""");iferror(filter('Student Groupings'!$A:$A,'Student Groupings'!"&amp;"$E:$E=$C338,'Student Groupings'!$H:$H=""Can't be Together""),"""")})))"),"104 - 105 - 106 - 107 - 108 - 109 - 78 - 84 - 90 - 96 - 102 - 115")</f>
        <v>104 - 105 - 106 - 107 - 108 - 109 - 78 - 84 - 90 - 96 - 102 - 115</v>
      </c>
      <c r="AD338" s="103" t="str">
        <f>IFERROR(__xludf.DUMMYFUNCTION("if($C338="""","""",if(join("" - "",{iferror(filter('Student Groupings'!$A:$A,'Student Groupings'!$B:$B=$C338,'Student Groupings'!$H:$H=""Must be Together""),"""");iferror(filter('Student Groupings'!$A:$A,'Student Groupings'!$E:$E=$C338,'Student Groupings'"&amp;"!$H:$H=""Must be Together""),"""")})="" - "","""",join("" - "",{iferror(filter('Student Groupings'!$A:$A,'Student Groupings'!$B:$B=$C338,'Student Groupings'!$H:$H=""Must be Together""),"""");iferror(filter('Student Groupings'!$A:$A,'Student Groupings'!$E:"&amp;"$E=$C338,'Student Groupings'!$H:$H=""Must be Together""),"""")})))"),"")</f>
        <v/>
      </c>
      <c r="AE338" s="104"/>
      <c r="AF338" s="104"/>
      <c r="AG338" s="104"/>
      <c r="AH338" s="104"/>
    </row>
    <row r="339">
      <c r="A339" s="101">
        <v>8.0</v>
      </c>
      <c r="B339" s="101">
        <v>29060.0</v>
      </c>
      <c r="C339" s="102" t="s">
        <v>587</v>
      </c>
      <c r="D339" s="52" t="s">
        <v>176</v>
      </c>
      <c r="E339" s="52">
        <v>2.0</v>
      </c>
      <c r="F339" s="52" t="s">
        <v>170</v>
      </c>
      <c r="G339" s="52">
        <v>1.0</v>
      </c>
      <c r="H339" s="52" t="s">
        <v>187</v>
      </c>
      <c r="I339" s="52">
        <v>6.0</v>
      </c>
      <c r="J339" s="52" t="s">
        <v>190</v>
      </c>
      <c r="K339" s="52">
        <v>4.0</v>
      </c>
      <c r="L339" s="52" t="s">
        <v>201</v>
      </c>
      <c r="M339" s="52">
        <v>3.0</v>
      </c>
      <c r="N339" s="52" t="s">
        <v>149</v>
      </c>
      <c r="O339" s="52" t="s">
        <v>124</v>
      </c>
      <c r="P339" s="52" t="s">
        <v>141</v>
      </c>
      <c r="Q339" s="52" t="s">
        <v>112</v>
      </c>
      <c r="R339" s="52" t="s">
        <v>141</v>
      </c>
      <c r="S339" s="52" t="s">
        <v>112</v>
      </c>
      <c r="T339" s="65" t="s">
        <v>30</v>
      </c>
      <c r="U339" s="32">
        <v>1.0</v>
      </c>
      <c r="V339" s="32">
        <v>1.0</v>
      </c>
      <c r="W339" s="32">
        <v>1.0</v>
      </c>
      <c r="X339" s="32">
        <v>1.0</v>
      </c>
      <c r="Y339" s="32">
        <v>1.0</v>
      </c>
      <c r="Z339" s="32">
        <v>1.0</v>
      </c>
      <c r="AA339" s="32">
        <v>6.0</v>
      </c>
      <c r="AB339" s="32">
        <v>0.0</v>
      </c>
      <c r="AC339" s="103" t="str">
        <f>IFERROR(__xludf.DUMMYFUNCTION("if($C339="""","""",if(join("" - "",{iferror(filter('Student Groupings'!$A:$A,'Student Groupings'!$B:$B=$C339,'Student Groupings'!$H:$H=""Can't be Together""),"""");iferror(filter('Student Groupings'!$A:$A,'Student Groupings'!$E:$E=$C339,'Student Groupings"&amp;"'!$H:$H=""Can't be Together""),"""")})="" - "","""",join("" - "",{iferror(filter('Student Groupings'!$A:$A,'Student Groupings'!$B:$B=$C339,'Student Groupings'!$H:$H=""Can't be Together""),"""");iferror(filter('Student Groupings'!$A:$A,'Student Groupings'!"&amp;"$E:$E=$C339,'Student Groupings'!$H:$H=""Can't be Together""),"""")})))"),"")</f>
        <v/>
      </c>
      <c r="AD339" s="103" t="str">
        <f>IFERROR(__xludf.DUMMYFUNCTION("if($C339="""","""",if(join("" - "",{iferror(filter('Student Groupings'!$A:$A,'Student Groupings'!$B:$B=$C339,'Student Groupings'!$H:$H=""Must be Together""),"""");iferror(filter('Student Groupings'!$A:$A,'Student Groupings'!$E:$E=$C339,'Student Groupings'"&amp;"!$H:$H=""Must be Together""),"""")})="" - "","""",join("" - "",{iferror(filter('Student Groupings'!$A:$A,'Student Groupings'!$B:$B=$C339,'Student Groupings'!$H:$H=""Must be Together""),"""");iferror(filter('Student Groupings'!$A:$A,'Student Groupings'!$E:"&amp;"$E=$C339,'Student Groupings'!$H:$H=""Must be Together""),"""")})))"),"")</f>
        <v/>
      </c>
      <c r="AE339" s="104"/>
      <c r="AF339" s="104"/>
      <c r="AG339" s="104"/>
      <c r="AH339" s="104"/>
    </row>
    <row r="340">
      <c r="A340" s="101">
        <v>8.0</v>
      </c>
      <c r="B340" s="101">
        <v>29061.0</v>
      </c>
      <c r="C340" s="102" t="s">
        <v>588</v>
      </c>
      <c r="D340" s="52" t="s">
        <v>177</v>
      </c>
      <c r="E340" s="52">
        <v>4.0</v>
      </c>
      <c r="F340" s="52" t="s">
        <v>167</v>
      </c>
      <c r="G340" s="52">
        <v>5.0</v>
      </c>
      <c r="H340" s="52" t="s">
        <v>185</v>
      </c>
      <c r="I340" s="52">
        <v>6.0</v>
      </c>
      <c r="J340" s="52" t="s">
        <v>191</v>
      </c>
      <c r="K340" s="52">
        <v>3.0</v>
      </c>
      <c r="L340" s="52" t="s">
        <v>202</v>
      </c>
      <c r="M340" s="52">
        <v>2.0</v>
      </c>
      <c r="N340" s="52" t="s">
        <v>149</v>
      </c>
      <c r="O340" s="52" t="s">
        <v>108</v>
      </c>
      <c r="P340" s="52" t="s">
        <v>141</v>
      </c>
      <c r="Q340" s="52" t="s">
        <v>129</v>
      </c>
      <c r="R340" s="52" t="s">
        <v>141</v>
      </c>
      <c r="S340" s="52" t="s">
        <v>129</v>
      </c>
      <c r="T340" s="65" t="s">
        <v>30</v>
      </c>
      <c r="U340" s="32">
        <v>1.0</v>
      </c>
      <c r="V340" s="32">
        <v>1.0</v>
      </c>
      <c r="W340" s="32">
        <v>1.0</v>
      </c>
      <c r="X340" s="32">
        <v>1.0</v>
      </c>
      <c r="Y340" s="32">
        <v>1.0</v>
      </c>
      <c r="Z340" s="32">
        <v>1.0</v>
      </c>
      <c r="AA340" s="32">
        <v>6.0</v>
      </c>
      <c r="AB340" s="32">
        <v>0.0</v>
      </c>
      <c r="AC340" s="103" t="str">
        <f>IFERROR(__xludf.DUMMYFUNCTION("if($C340="""","""",if(join("" - "",{iferror(filter('Student Groupings'!$A:$A,'Student Groupings'!$B:$B=$C340,'Student Groupings'!$H:$H=""Can't be Together""),"""");iferror(filter('Student Groupings'!$A:$A,'Student Groupings'!$E:$E=$C340,'Student Groupings"&amp;"'!$H:$H=""Can't be Together""),"""")})="" - "","""",join("" - "",{iferror(filter('Student Groupings'!$A:$A,'Student Groupings'!$B:$B=$C340,'Student Groupings'!$H:$H=""Can't be Together""),"""");iferror(filter('Student Groupings'!$A:$A,'Student Groupings'!"&amp;"$E:$E=$C340,'Student Groupings'!$H:$H=""Can't be Together""),"""")})))"),"")</f>
        <v/>
      </c>
      <c r="AD340" s="103" t="str">
        <f>IFERROR(__xludf.DUMMYFUNCTION("if($C340="""","""",if(join("" - "",{iferror(filter('Student Groupings'!$A:$A,'Student Groupings'!$B:$B=$C340,'Student Groupings'!$H:$H=""Must be Together""),"""");iferror(filter('Student Groupings'!$A:$A,'Student Groupings'!$E:$E=$C340,'Student Groupings'"&amp;"!$H:$H=""Must be Together""),"""")})="" - "","""",join("" - "",{iferror(filter('Student Groupings'!$A:$A,'Student Groupings'!$B:$B=$C340,'Student Groupings'!$H:$H=""Must be Together""),"""");iferror(filter('Student Groupings'!$A:$A,'Student Groupings'!$E:"&amp;"$E=$C340,'Student Groupings'!$H:$H=""Must be Together""),"""")})))"),"")</f>
        <v/>
      </c>
      <c r="AE340" s="105"/>
      <c r="AF340" s="105"/>
      <c r="AG340" s="105"/>
      <c r="AH340" s="105"/>
    </row>
    <row r="341">
      <c r="A341" s="101">
        <v>8.0</v>
      </c>
      <c r="B341" s="101">
        <v>28144.0</v>
      </c>
      <c r="C341" s="102" t="s">
        <v>298</v>
      </c>
      <c r="D341" s="52" t="s">
        <v>176</v>
      </c>
      <c r="E341" s="52">
        <v>4.0</v>
      </c>
      <c r="F341" s="52" t="s">
        <v>167</v>
      </c>
      <c r="G341" s="52">
        <v>5.0</v>
      </c>
      <c r="H341" s="52" t="s">
        <v>185</v>
      </c>
      <c r="I341" s="52">
        <v>1.0</v>
      </c>
      <c r="J341" s="52" t="s">
        <v>190</v>
      </c>
      <c r="K341" s="52">
        <v>3.0</v>
      </c>
      <c r="L341" s="52" t="s">
        <v>201</v>
      </c>
      <c r="M341" s="52">
        <v>2.0</v>
      </c>
      <c r="N341" s="52" t="s">
        <v>149</v>
      </c>
      <c r="O341" s="52" t="s">
        <v>120</v>
      </c>
      <c r="P341" s="52" t="s">
        <v>141</v>
      </c>
      <c r="Q341" s="52" t="s">
        <v>109</v>
      </c>
      <c r="R341" s="52" t="s">
        <v>141</v>
      </c>
      <c r="S341" s="52" t="s">
        <v>109</v>
      </c>
      <c r="T341" s="65" t="s">
        <v>30</v>
      </c>
      <c r="U341" s="32">
        <v>1.0</v>
      </c>
      <c r="V341" s="32">
        <v>1.0</v>
      </c>
      <c r="W341" s="32">
        <v>1.0</v>
      </c>
      <c r="X341" s="32">
        <v>1.0</v>
      </c>
      <c r="Y341" s="32">
        <v>1.0</v>
      </c>
      <c r="Z341" s="32">
        <v>1.0</v>
      </c>
      <c r="AA341" s="32">
        <v>6.0</v>
      </c>
      <c r="AB341" s="32">
        <v>0.0</v>
      </c>
      <c r="AC341" s="103" t="str">
        <f>IFERROR(__xludf.DUMMYFUNCTION("if($C341="""","""",if(join("" - "",{iferror(filter('Student Groupings'!$A:$A,'Student Groupings'!$B:$B=$C341,'Student Groupings'!$H:$H=""Can't be Together""),"""");iferror(filter('Student Groupings'!$A:$A,'Student Groupings'!$E:$E=$C341,'Student Groupings"&amp;"'!$H:$H=""Can't be Together""),"""")})="" - "","""",join("" - "",{iferror(filter('Student Groupings'!$A:$A,'Student Groupings'!$B:$B=$C341,'Student Groupings'!$H:$H=""Can't be Together""),"""");iferror(filter('Student Groupings'!$A:$A,'Student Groupings'!"&amp;"$E:$E=$C341,'Student Groupings'!$H:$H=""Can't be Together""),"""")})))"),"")</f>
        <v/>
      </c>
      <c r="AD341" s="103" t="str">
        <f>IFERROR(__xludf.DUMMYFUNCTION("if($C341="""","""",if(join("" - "",{iferror(filter('Student Groupings'!$A:$A,'Student Groupings'!$B:$B=$C341,'Student Groupings'!$H:$H=""Must be Together""),"""");iferror(filter('Student Groupings'!$A:$A,'Student Groupings'!$E:$E=$C341,'Student Groupings'"&amp;"!$H:$H=""Must be Together""),"""")})="" - "","""",join("" - "",{iferror(filter('Student Groupings'!$A:$A,'Student Groupings'!$B:$B=$C341,'Student Groupings'!$H:$H=""Must be Together""),"""");iferror(filter('Student Groupings'!$A:$A,'Student Groupings'!$E:"&amp;"$E=$C341,'Student Groupings'!$H:$H=""Must be Together""),"""")})))")," - 127")</f>
        <v> - 127</v>
      </c>
      <c r="AE341" s="104"/>
      <c r="AF341" s="104"/>
      <c r="AG341" s="104"/>
      <c r="AH341" s="104"/>
    </row>
    <row r="342">
      <c r="A342" s="101">
        <v>8.0</v>
      </c>
      <c r="B342" s="101">
        <v>29147.0</v>
      </c>
      <c r="C342" s="102" t="s">
        <v>589</v>
      </c>
      <c r="D342" s="52" t="s">
        <v>176</v>
      </c>
      <c r="E342" s="52">
        <v>2.0</v>
      </c>
      <c r="F342" s="52" t="s">
        <v>162</v>
      </c>
      <c r="G342" s="52">
        <v>6.0</v>
      </c>
      <c r="H342" s="52" t="s">
        <v>185</v>
      </c>
      <c r="I342" s="52">
        <v>5.0</v>
      </c>
      <c r="J342" s="52" t="s">
        <v>190</v>
      </c>
      <c r="K342" s="52">
        <v>4.0</v>
      </c>
      <c r="L342" s="52" t="s">
        <v>201</v>
      </c>
      <c r="M342" s="52">
        <v>3.0</v>
      </c>
      <c r="N342" s="52" t="s">
        <v>149</v>
      </c>
      <c r="O342" s="52" t="s">
        <v>108</v>
      </c>
      <c r="P342" s="52" t="s">
        <v>141</v>
      </c>
      <c r="Q342" s="52" t="s">
        <v>129</v>
      </c>
      <c r="R342" s="52" t="s">
        <v>141</v>
      </c>
      <c r="S342" s="52" t="s">
        <v>129</v>
      </c>
      <c r="T342" s="65" t="s">
        <v>8</v>
      </c>
      <c r="U342" s="32">
        <v>1.0</v>
      </c>
      <c r="V342" s="32">
        <v>1.0</v>
      </c>
      <c r="W342" s="32">
        <v>1.0</v>
      </c>
      <c r="X342" s="32">
        <v>1.0</v>
      </c>
      <c r="Y342" s="32">
        <v>1.0</v>
      </c>
      <c r="Z342" s="32">
        <v>1.0</v>
      </c>
      <c r="AA342" s="32">
        <v>6.0</v>
      </c>
      <c r="AB342" s="32">
        <v>0.0</v>
      </c>
      <c r="AC342" s="103" t="str">
        <f>IFERROR(__xludf.DUMMYFUNCTION("if($C342="""","""",if(join("" - "",{iferror(filter('Student Groupings'!$A:$A,'Student Groupings'!$B:$B=$C342,'Student Groupings'!$H:$H=""Can't be Together""),"""");iferror(filter('Student Groupings'!$A:$A,'Student Groupings'!$E:$E=$C342,'Student Groupings"&amp;"'!$H:$H=""Can't be Together""),"""")})="" - "","""",join("" - "",{iferror(filter('Student Groupings'!$A:$A,'Student Groupings'!$B:$B=$C342,'Student Groupings'!$H:$H=""Can't be Together""),"""");iferror(filter('Student Groupings'!$A:$A,'Student Groupings'!"&amp;"$E:$E=$C342,'Student Groupings'!$H:$H=""Can't be Together""),"""")})))"),"")</f>
        <v/>
      </c>
      <c r="AD342" s="103" t="str">
        <f>IFERROR(__xludf.DUMMYFUNCTION("if($C342="""","""",if(join("" - "",{iferror(filter('Student Groupings'!$A:$A,'Student Groupings'!$B:$B=$C342,'Student Groupings'!$H:$H=""Must be Together""),"""");iferror(filter('Student Groupings'!$A:$A,'Student Groupings'!$E:$E=$C342,'Student Groupings'"&amp;"!$H:$H=""Must be Together""),"""")})="" - "","""",join("" - "",{iferror(filter('Student Groupings'!$A:$A,'Student Groupings'!$B:$B=$C342,'Student Groupings'!$H:$H=""Must be Together""),"""");iferror(filter('Student Groupings'!$A:$A,'Student Groupings'!$E:"&amp;"$E=$C342,'Student Groupings'!$H:$H=""Must be Together""),"""")})))"),"")</f>
        <v/>
      </c>
      <c r="AE342" s="104"/>
      <c r="AF342" s="104"/>
      <c r="AG342" s="104"/>
      <c r="AH342" s="104"/>
    </row>
    <row r="343">
      <c r="A343" s="101">
        <v>8.0</v>
      </c>
      <c r="B343" s="101">
        <v>29062.0</v>
      </c>
      <c r="C343" s="102" t="s">
        <v>590</v>
      </c>
      <c r="D343" s="52" t="s">
        <v>176</v>
      </c>
      <c r="E343" s="52">
        <v>6.0</v>
      </c>
      <c r="F343" s="52" t="s">
        <v>167</v>
      </c>
      <c r="G343" s="52">
        <v>4.0</v>
      </c>
      <c r="H343" s="52" t="s">
        <v>185</v>
      </c>
      <c r="I343" s="52">
        <v>3.0</v>
      </c>
      <c r="J343" s="52" t="s">
        <v>190</v>
      </c>
      <c r="K343" s="52">
        <v>5.0</v>
      </c>
      <c r="L343" s="52" t="s">
        <v>201</v>
      </c>
      <c r="M343" s="52">
        <v>1.0</v>
      </c>
      <c r="N343" s="52" t="s">
        <v>149</v>
      </c>
      <c r="O343" s="52" t="s">
        <v>125</v>
      </c>
      <c r="P343" s="52" t="s">
        <v>141</v>
      </c>
      <c r="Q343" s="52" t="s">
        <v>119</v>
      </c>
      <c r="R343" s="52" t="s">
        <v>141</v>
      </c>
      <c r="S343" s="52" t="s">
        <v>119</v>
      </c>
      <c r="T343" s="65" t="s">
        <v>30</v>
      </c>
      <c r="U343" s="32">
        <v>1.0</v>
      </c>
      <c r="V343" s="32">
        <v>1.0</v>
      </c>
      <c r="W343" s="32">
        <v>1.0</v>
      </c>
      <c r="X343" s="32">
        <v>1.0</v>
      </c>
      <c r="Y343" s="32">
        <v>1.0</v>
      </c>
      <c r="Z343" s="32">
        <v>1.0</v>
      </c>
      <c r="AA343" s="32">
        <v>6.0</v>
      </c>
      <c r="AB343" s="32">
        <v>0.0</v>
      </c>
      <c r="AC343" s="103" t="str">
        <f>IFERROR(__xludf.DUMMYFUNCTION("if($C343="""","""",if(join("" - "",{iferror(filter('Student Groupings'!$A:$A,'Student Groupings'!$B:$B=$C343,'Student Groupings'!$H:$H=""Can't be Together""),"""");iferror(filter('Student Groupings'!$A:$A,'Student Groupings'!$E:$E=$C343,'Student Groupings"&amp;"'!$H:$H=""Can't be Together""),"""")})="" - "","""",join("" - "",{iferror(filter('Student Groupings'!$A:$A,'Student Groupings'!$B:$B=$C343,'Student Groupings'!$H:$H=""Can't be Together""),"""");iferror(filter('Student Groupings'!$A:$A,'Student Groupings'!"&amp;"$E:$E=$C343,'Student Groupings'!$H:$H=""Can't be Together""),"""")})))"),"")</f>
        <v/>
      </c>
      <c r="AD343" s="103" t="str">
        <f>IFERROR(__xludf.DUMMYFUNCTION("if($C343="""","""",if(join("" - "",{iferror(filter('Student Groupings'!$A:$A,'Student Groupings'!$B:$B=$C343,'Student Groupings'!$H:$H=""Must be Together""),"""");iferror(filter('Student Groupings'!$A:$A,'Student Groupings'!$E:$E=$C343,'Student Groupings'"&amp;"!$H:$H=""Must be Together""),"""")})="" - "","""",join("" - "",{iferror(filter('Student Groupings'!$A:$A,'Student Groupings'!$B:$B=$C343,'Student Groupings'!$H:$H=""Must be Together""),"""");iferror(filter('Student Groupings'!$A:$A,'Student Groupings'!$E:"&amp;"$E=$C343,'Student Groupings'!$H:$H=""Must be Together""),"""")})))"),"")</f>
        <v/>
      </c>
      <c r="AE343" s="104"/>
      <c r="AF343" s="104"/>
      <c r="AG343" s="104"/>
      <c r="AH343" s="104"/>
    </row>
    <row r="344">
      <c r="A344" s="101">
        <v>8.0</v>
      </c>
      <c r="B344" s="101">
        <v>29064.0</v>
      </c>
      <c r="C344" s="102" t="s">
        <v>591</v>
      </c>
      <c r="D344" s="52" t="s">
        <v>176</v>
      </c>
      <c r="E344" s="52">
        <v>6.0</v>
      </c>
      <c r="F344" s="52" t="s">
        <v>167</v>
      </c>
      <c r="G344" s="52">
        <v>3.0</v>
      </c>
      <c r="H344" s="52" t="s">
        <v>185</v>
      </c>
      <c r="I344" s="52">
        <v>2.0</v>
      </c>
      <c r="J344" s="52" t="s">
        <v>190</v>
      </c>
      <c r="K344" s="52">
        <v>5.0</v>
      </c>
      <c r="L344" s="52" t="s">
        <v>201</v>
      </c>
      <c r="M344" s="52">
        <v>1.0</v>
      </c>
      <c r="N344" s="52" t="s">
        <v>149</v>
      </c>
      <c r="O344" s="52" t="s">
        <v>111</v>
      </c>
      <c r="P344" s="52" t="s">
        <v>135</v>
      </c>
      <c r="Q344" s="52" t="s">
        <v>130</v>
      </c>
      <c r="R344" s="52" t="s">
        <v>118</v>
      </c>
      <c r="S344" s="52" t="s">
        <v>130</v>
      </c>
      <c r="T344" s="65" t="s">
        <v>27</v>
      </c>
      <c r="U344" s="32">
        <v>1.0</v>
      </c>
      <c r="V344" s="32">
        <v>1.0</v>
      </c>
      <c r="W344" s="32">
        <v>1.0</v>
      </c>
      <c r="X344" s="32">
        <v>1.0</v>
      </c>
      <c r="Y344" s="32">
        <v>1.0</v>
      </c>
      <c r="Z344" s="32">
        <v>1.0</v>
      </c>
      <c r="AA344" s="32">
        <v>6.0</v>
      </c>
      <c r="AB344" s="32">
        <v>0.0</v>
      </c>
      <c r="AC344" s="103" t="str">
        <f>IFERROR(__xludf.DUMMYFUNCTION("if($C344="""","""",if(join("" - "",{iferror(filter('Student Groupings'!$A:$A,'Student Groupings'!$B:$B=$C344,'Student Groupings'!$H:$H=""Can't be Together""),"""");iferror(filter('Student Groupings'!$A:$A,'Student Groupings'!$E:$E=$C344,'Student Groupings"&amp;"'!$H:$H=""Can't be Together""),"""")})="" - "","""",join("" - "",{iferror(filter('Student Groupings'!$A:$A,'Student Groupings'!$B:$B=$C344,'Student Groupings'!$H:$H=""Can't be Together""),"""");iferror(filter('Student Groupings'!$A:$A,'Student Groupings'!"&amp;"$E:$E=$C344,'Student Groupings'!$H:$H=""Can't be Together""),"""")})))"),"")</f>
        <v/>
      </c>
      <c r="AD344" s="103" t="str">
        <f>IFERROR(__xludf.DUMMYFUNCTION("if($C344="""","""",if(join("" - "",{iferror(filter('Student Groupings'!$A:$A,'Student Groupings'!$B:$B=$C344,'Student Groupings'!$H:$H=""Must be Together""),"""");iferror(filter('Student Groupings'!$A:$A,'Student Groupings'!$E:$E=$C344,'Student Groupings'"&amp;"!$H:$H=""Must be Together""),"""")})="" - "","""",join("" - "",{iferror(filter('Student Groupings'!$A:$A,'Student Groupings'!$B:$B=$C344,'Student Groupings'!$H:$H=""Must be Together""),"""");iferror(filter('Student Groupings'!$A:$A,'Student Groupings'!$E:"&amp;"$E=$C344,'Student Groupings'!$H:$H=""Must be Together""),"""")})))"),"")</f>
        <v/>
      </c>
      <c r="AE344" s="104"/>
      <c r="AF344" s="104"/>
      <c r="AG344" s="104"/>
      <c r="AH344" s="104"/>
    </row>
    <row r="345">
      <c r="A345" s="101">
        <v>8.0</v>
      </c>
      <c r="B345" s="101">
        <v>29065.0</v>
      </c>
      <c r="C345" s="102" t="s">
        <v>280</v>
      </c>
      <c r="D345" s="52" t="s">
        <v>176</v>
      </c>
      <c r="E345" s="52">
        <v>5.0</v>
      </c>
      <c r="F345" s="52" t="s">
        <v>167</v>
      </c>
      <c r="G345" s="52">
        <v>4.0</v>
      </c>
      <c r="H345" s="52" t="s">
        <v>185</v>
      </c>
      <c r="I345" s="52">
        <v>3.0</v>
      </c>
      <c r="J345" s="52" t="s">
        <v>190</v>
      </c>
      <c r="K345" s="52">
        <v>1.0</v>
      </c>
      <c r="L345" s="52" t="s">
        <v>201</v>
      </c>
      <c r="M345" s="52">
        <v>6.0</v>
      </c>
      <c r="N345" s="52" t="s">
        <v>149</v>
      </c>
      <c r="O345" s="52" t="s">
        <v>125</v>
      </c>
      <c r="P345" s="52" t="s">
        <v>141</v>
      </c>
      <c r="Q345" s="52" t="s">
        <v>119</v>
      </c>
      <c r="R345" s="52" t="s">
        <v>141</v>
      </c>
      <c r="S345" s="52" t="s">
        <v>119</v>
      </c>
      <c r="T345" s="65" t="s">
        <v>30</v>
      </c>
      <c r="U345" s="32">
        <v>1.0</v>
      </c>
      <c r="V345" s="32">
        <v>1.0</v>
      </c>
      <c r="W345" s="32">
        <v>1.0</v>
      </c>
      <c r="X345" s="32">
        <v>1.0</v>
      </c>
      <c r="Y345" s="32">
        <v>1.0</v>
      </c>
      <c r="Z345" s="32">
        <v>1.0</v>
      </c>
      <c r="AA345" s="32">
        <v>6.0</v>
      </c>
      <c r="AB345" s="32">
        <v>0.0</v>
      </c>
      <c r="AC345" s="103" t="str">
        <f>IFERROR(__xludf.DUMMYFUNCTION("if($C345="""","""",if(join("" - "",{iferror(filter('Student Groupings'!$A:$A,'Student Groupings'!$B:$B=$C345,'Student Groupings'!$H:$H=""Can't be Together""),"""");iferror(filter('Student Groupings'!$A:$A,'Student Groupings'!$E:$E=$C345,'Student Groupings"&amp;"'!$H:$H=""Can't be Together""),"""")})="" - "","""",join("" - "",{iferror(filter('Student Groupings'!$A:$A,'Student Groupings'!$B:$B=$C345,'Student Groupings'!$H:$H=""Can't be Together""),"""");iferror(filter('Student Groupings'!$A:$A,'Student Groupings'!"&amp;"$E:$E=$C345,'Student Groupings'!$H:$H=""Can't be Together""),"""")})))"),"98 - 99 - 100 - 101 - 102 - 103 - 77 - 83 - 89 - 95 - 108 - 114")</f>
        <v>98 - 99 - 100 - 101 - 102 - 103 - 77 - 83 - 89 - 95 - 108 - 114</v>
      </c>
      <c r="AD345" s="103" t="str">
        <f>IFERROR(__xludf.DUMMYFUNCTION("if($C345="""","""",if(join("" - "",{iferror(filter('Student Groupings'!$A:$A,'Student Groupings'!$B:$B=$C345,'Student Groupings'!$H:$H=""Must be Together""),"""");iferror(filter('Student Groupings'!$A:$A,'Student Groupings'!$E:$E=$C345,'Student Groupings'"&amp;"!$H:$H=""Must be Together""),"""")})="" - "","""",join("" - "",{iferror(filter('Student Groupings'!$A:$A,'Student Groupings'!$B:$B=$C345,'Student Groupings'!$H:$H=""Must be Together""),"""");iferror(filter('Student Groupings'!$A:$A,'Student Groupings'!$E:"&amp;"$E=$C345,'Student Groupings'!$H:$H=""Must be Together""),"""")})))"),"")</f>
        <v/>
      </c>
      <c r="AE345" s="104"/>
      <c r="AF345" s="104"/>
      <c r="AG345" s="104"/>
      <c r="AH345" s="104"/>
    </row>
    <row r="346">
      <c r="A346" s="101">
        <v>8.0</v>
      </c>
      <c r="B346" s="101">
        <v>29066.0</v>
      </c>
      <c r="C346" s="102" t="s">
        <v>259</v>
      </c>
      <c r="D346" s="52" t="s">
        <v>176</v>
      </c>
      <c r="E346" s="52">
        <v>5.0</v>
      </c>
      <c r="F346" s="52" t="s">
        <v>167</v>
      </c>
      <c r="G346" s="52">
        <v>4.0</v>
      </c>
      <c r="H346" s="52" t="s">
        <v>185</v>
      </c>
      <c r="I346" s="52">
        <v>3.0</v>
      </c>
      <c r="J346" s="52" t="s">
        <v>190</v>
      </c>
      <c r="K346" s="52">
        <v>1.0</v>
      </c>
      <c r="L346" s="52" t="s">
        <v>201</v>
      </c>
      <c r="M346" s="52">
        <v>6.0</v>
      </c>
      <c r="N346" s="52" t="s">
        <v>149</v>
      </c>
      <c r="O346" s="52" t="s">
        <v>125</v>
      </c>
      <c r="P346" s="52" t="s">
        <v>141</v>
      </c>
      <c r="Q346" s="52" t="s">
        <v>119</v>
      </c>
      <c r="R346" s="52" t="s">
        <v>141</v>
      </c>
      <c r="S346" s="52" t="s">
        <v>119</v>
      </c>
      <c r="T346" s="65" t="s">
        <v>30</v>
      </c>
      <c r="U346" s="32">
        <v>1.0</v>
      </c>
      <c r="V346" s="32">
        <v>1.0</v>
      </c>
      <c r="W346" s="32">
        <v>1.0</v>
      </c>
      <c r="X346" s="32">
        <v>1.0</v>
      </c>
      <c r="Y346" s="32">
        <v>1.0</v>
      </c>
      <c r="Z346" s="32">
        <v>1.0</v>
      </c>
      <c r="AA346" s="32">
        <v>6.0</v>
      </c>
      <c r="AB346" s="32">
        <v>0.0</v>
      </c>
      <c r="AC346" s="103" t="str">
        <f>IFERROR(__xludf.DUMMYFUNCTION("if($C346="""","""",if(join("" - "",{iferror(filter('Student Groupings'!$A:$A,'Student Groupings'!$B:$B=$C346,'Student Groupings'!$H:$H=""Can't be Together""),"""");iferror(filter('Student Groupings'!$A:$A,'Student Groupings'!$E:$E=$C346,'Student Groupings"&amp;"'!$H:$H=""Can't be Together""),"""")})="" - "","""",join("" - "",{iferror(filter('Student Groupings'!$A:$A,'Student Groupings'!$B:$B=$C346,'Student Groupings'!$H:$H=""Can't be Together""),"""");iferror(filter('Student Groupings'!$A:$A,'Student Groupings'!"&amp;"$E:$E=$C346,'Student Groupings'!$H:$H=""Can't be Together""),"""")})))"),"")</f>
        <v/>
      </c>
      <c r="AD346" s="103" t="str">
        <f>IFERROR(__xludf.DUMMYFUNCTION("if($C346="""","""",if(join("" - "",{iferror(filter('Student Groupings'!$A:$A,'Student Groupings'!$B:$B=$C346,'Student Groupings'!$H:$H=""Must be Together""),"""");iferror(filter('Student Groupings'!$A:$A,'Student Groupings'!$E:$E=$C346,'Student Groupings'"&amp;"!$H:$H=""Must be Together""),"""")})="" - "","""",join("" - "",{iferror(filter('Student Groupings'!$A:$A,'Student Groupings'!$B:$B=$C346,'Student Groupings'!$H:$H=""Must be Together""),"""");iferror(filter('Student Groupings'!$A:$A,'Student Groupings'!$E:"&amp;"$E=$C346,'Student Groupings'!$H:$H=""Must be Together""),"""")})))")," - 41")</f>
        <v> - 41</v>
      </c>
      <c r="AE346" s="104"/>
      <c r="AF346" s="104"/>
      <c r="AG346" s="104"/>
      <c r="AH346" s="104"/>
    </row>
    <row r="347">
      <c r="A347" s="101">
        <v>8.0</v>
      </c>
      <c r="B347" s="101">
        <v>29068.0</v>
      </c>
      <c r="C347" s="102" t="s">
        <v>269</v>
      </c>
      <c r="D347" s="52" t="s">
        <v>176</v>
      </c>
      <c r="E347" s="52">
        <v>3.0</v>
      </c>
      <c r="F347" s="52" t="s">
        <v>162</v>
      </c>
      <c r="G347" s="52">
        <v>1.0</v>
      </c>
      <c r="H347" s="52" t="s">
        <v>185</v>
      </c>
      <c r="I347" s="52">
        <v>6.0</v>
      </c>
      <c r="J347" s="52" t="s">
        <v>190</v>
      </c>
      <c r="K347" s="52">
        <v>2.0</v>
      </c>
      <c r="L347" s="52" t="s">
        <v>201</v>
      </c>
      <c r="M347" s="52">
        <v>4.0</v>
      </c>
      <c r="N347" s="52" t="s">
        <v>149</v>
      </c>
      <c r="O347" s="52" t="s">
        <v>124</v>
      </c>
      <c r="P347" s="52" t="s">
        <v>141</v>
      </c>
      <c r="Q347" s="52" t="s">
        <v>112</v>
      </c>
      <c r="R347" s="52" t="s">
        <v>141</v>
      </c>
      <c r="S347" s="52" t="s">
        <v>112</v>
      </c>
      <c r="T347" s="65" t="s">
        <v>30</v>
      </c>
      <c r="U347" s="32">
        <v>1.0</v>
      </c>
      <c r="V347" s="32">
        <v>1.0</v>
      </c>
      <c r="W347" s="32">
        <v>1.0</v>
      </c>
      <c r="X347" s="32">
        <v>1.0</v>
      </c>
      <c r="Y347" s="32">
        <v>1.0</v>
      </c>
      <c r="Z347" s="32">
        <v>1.0</v>
      </c>
      <c r="AA347" s="32">
        <v>6.0</v>
      </c>
      <c r="AB347" s="32">
        <v>0.0</v>
      </c>
      <c r="AC347" s="103" t="str">
        <f>IFERROR(__xludf.DUMMYFUNCTION("if($C347="""","""",if(join("" - "",{iferror(filter('Student Groupings'!$A:$A,'Student Groupings'!$B:$B=$C347,'Student Groupings'!$H:$H=""Can't be Together""),"""");iferror(filter('Student Groupings'!$A:$A,'Student Groupings'!$E:$E=$C347,'Student Groupings"&amp;"'!$H:$H=""Can't be Together""),"""")})="" - "","""",join("" - "",{iferror(filter('Student Groupings'!$A:$A,'Student Groupings'!$B:$B=$C347,'Student Groupings'!$H:$H=""Can't be Together""),"""");iferror(filter('Student Groupings'!$A:$A,'Student Groupings'!"&amp;"$E:$E=$C347,'Student Groupings'!$H:$H=""Can't be Together""),"""")})))"),"110 - 111 - 112 - 113 - 114 - 115 - 50 - 79 - 85 - 91 - 97 - 103 - 109")</f>
        <v>110 - 111 - 112 - 113 - 114 - 115 - 50 - 79 - 85 - 91 - 97 - 103 - 109</v>
      </c>
      <c r="AD347" s="103" t="str">
        <f>IFERROR(__xludf.DUMMYFUNCTION("if($C347="""","""",if(join("" - "",{iferror(filter('Student Groupings'!$A:$A,'Student Groupings'!$B:$B=$C347,'Student Groupings'!$H:$H=""Must be Together""),"""");iferror(filter('Student Groupings'!$A:$A,'Student Groupings'!$E:$E=$C347,'Student Groupings'"&amp;"!$H:$H=""Must be Together""),"""")})="" - "","""",join("" - "",{iferror(filter('Student Groupings'!$A:$A,'Student Groupings'!$B:$B=$C347,'Student Groupings'!$H:$H=""Must be Together""),"""");iferror(filter('Student Groupings'!$A:$A,'Student Groupings'!$E:"&amp;"$E=$C347,'Student Groupings'!$H:$H=""Must be Together""),"""")})))"),"")</f>
        <v/>
      </c>
      <c r="AE347" s="105"/>
      <c r="AF347" s="105">
        <v>1.0</v>
      </c>
      <c r="AG347" s="105">
        <v>1.0</v>
      </c>
      <c r="AH347" s="105">
        <v>1.0</v>
      </c>
    </row>
    <row r="348">
      <c r="A348" s="101">
        <v>8.0</v>
      </c>
      <c r="B348" s="101">
        <v>29069.0</v>
      </c>
      <c r="C348" s="102" t="s">
        <v>592</v>
      </c>
      <c r="D348" s="52" t="s">
        <v>176</v>
      </c>
      <c r="E348" s="52">
        <v>3.0</v>
      </c>
      <c r="F348" s="52" t="s">
        <v>167</v>
      </c>
      <c r="G348" s="52">
        <v>5.0</v>
      </c>
      <c r="H348" s="52" t="s">
        <v>185</v>
      </c>
      <c r="I348" s="52">
        <v>6.0</v>
      </c>
      <c r="J348" s="52" t="s">
        <v>190</v>
      </c>
      <c r="K348" s="52">
        <v>2.0</v>
      </c>
      <c r="L348" s="52" t="s">
        <v>201</v>
      </c>
      <c r="M348" s="52">
        <v>4.0</v>
      </c>
      <c r="N348" s="52" t="s">
        <v>149</v>
      </c>
      <c r="O348" s="52" t="s">
        <v>108</v>
      </c>
      <c r="P348" s="52" t="s">
        <v>141</v>
      </c>
      <c r="Q348" s="52" t="s">
        <v>129</v>
      </c>
      <c r="R348" s="52" t="s">
        <v>141</v>
      </c>
      <c r="S348" s="52" t="s">
        <v>129</v>
      </c>
      <c r="T348" s="65" t="s">
        <v>30</v>
      </c>
      <c r="U348" s="32">
        <v>1.0</v>
      </c>
      <c r="V348" s="32">
        <v>1.0</v>
      </c>
      <c r="W348" s="32">
        <v>1.0</v>
      </c>
      <c r="X348" s="32">
        <v>1.0</v>
      </c>
      <c r="Y348" s="32">
        <v>1.0</v>
      </c>
      <c r="Z348" s="32">
        <v>1.0</v>
      </c>
      <c r="AA348" s="32">
        <v>6.0</v>
      </c>
      <c r="AB348" s="32">
        <v>0.0</v>
      </c>
      <c r="AC348" s="103" t="str">
        <f>IFERROR(__xludf.DUMMYFUNCTION("if($C348="""","""",if(join("" - "",{iferror(filter('Student Groupings'!$A:$A,'Student Groupings'!$B:$B=$C348,'Student Groupings'!$H:$H=""Can't be Together""),"""");iferror(filter('Student Groupings'!$A:$A,'Student Groupings'!$E:$E=$C348,'Student Groupings"&amp;"'!$H:$H=""Can't be Together""),"""")})="" - "","""",join("" - "",{iferror(filter('Student Groupings'!$A:$A,'Student Groupings'!$B:$B=$C348,'Student Groupings'!$H:$H=""Can't be Together""),"""");iferror(filter('Student Groupings'!$A:$A,'Student Groupings'!"&amp;"$E:$E=$C348,'Student Groupings'!$H:$H=""Can't be Together""),"""")})))"),"")</f>
        <v/>
      </c>
      <c r="AD348" s="103" t="str">
        <f>IFERROR(__xludf.DUMMYFUNCTION("if($C348="""","""",if(join("" - "",{iferror(filter('Student Groupings'!$A:$A,'Student Groupings'!$B:$B=$C348,'Student Groupings'!$H:$H=""Must be Together""),"""");iferror(filter('Student Groupings'!$A:$A,'Student Groupings'!$E:$E=$C348,'Student Groupings'"&amp;"!$H:$H=""Must be Together""),"""")})="" - "","""",join("" - "",{iferror(filter('Student Groupings'!$A:$A,'Student Groupings'!$B:$B=$C348,'Student Groupings'!$H:$H=""Must be Together""),"""");iferror(filter('Student Groupings'!$A:$A,'Student Groupings'!$E:"&amp;"$E=$C348,'Student Groupings'!$H:$H=""Must be Together""),"""")})))"),"")</f>
        <v/>
      </c>
      <c r="AE348" s="104"/>
      <c r="AF348" s="104"/>
      <c r="AG348" s="104"/>
      <c r="AH348" s="105">
        <v>1.0</v>
      </c>
    </row>
    <row r="349">
      <c r="A349" s="101">
        <v>8.0</v>
      </c>
      <c r="B349" s="101">
        <v>29070.0</v>
      </c>
      <c r="C349" s="102" t="s">
        <v>593</v>
      </c>
      <c r="D349" s="52" t="s">
        <v>176</v>
      </c>
      <c r="E349" s="52">
        <v>6.0</v>
      </c>
      <c r="F349" s="52" t="s">
        <v>167</v>
      </c>
      <c r="G349" s="52">
        <v>3.0</v>
      </c>
      <c r="H349" s="52" t="s">
        <v>185</v>
      </c>
      <c r="I349" s="52">
        <v>2.0</v>
      </c>
      <c r="J349" s="52" t="s">
        <v>190</v>
      </c>
      <c r="K349" s="52">
        <v>5.0</v>
      </c>
      <c r="L349" s="52" t="s">
        <v>201</v>
      </c>
      <c r="M349" s="52">
        <v>1.0</v>
      </c>
      <c r="N349" s="52" t="s">
        <v>149</v>
      </c>
      <c r="O349" s="52" t="s">
        <v>111</v>
      </c>
      <c r="P349" s="52" t="s">
        <v>135</v>
      </c>
      <c r="Q349" s="52" t="s">
        <v>130</v>
      </c>
      <c r="R349" s="52" t="s">
        <v>118</v>
      </c>
      <c r="S349" s="52" t="s">
        <v>130</v>
      </c>
      <c r="T349" s="65" t="s">
        <v>27</v>
      </c>
      <c r="U349" s="32">
        <v>1.0</v>
      </c>
      <c r="V349" s="32">
        <v>1.0</v>
      </c>
      <c r="W349" s="32">
        <v>1.0</v>
      </c>
      <c r="X349" s="32">
        <v>1.0</v>
      </c>
      <c r="Y349" s="32">
        <v>1.0</v>
      </c>
      <c r="Z349" s="32">
        <v>1.0</v>
      </c>
      <c r="AA349" s="32">
        <v>6.0</v>
      </c>
      <c r="AB349" s="32">
        <v>0.0</v>
      </c>
      <c r="AC349" s="103" t="str">
        <f>IFERROR(__xludf.DUMMYFUNCTION("if($C349="""","""",if(join("" - "",{iferror(filter('Student Groupings'!$A:$A,'Student Groupings'!$B:$B=$C349,'Student Groupings'!$H:$H=""Can't be Together""),"""");iferror(filter('Student Groupings'!$A:$A,'Student Groupings'!$E:$E=$C349,'Student Groupings"&amp;"'!$H:$H=""Can't be Together""),"""")})="" - "","""",join("" - "",{iferror(filter('Student Groupings'!$A:$A,'Student Groupings'!$B:$B=$C349,'Student Groupings'!$H:$H=""Can't be Together""),"""");iferror(filter('Student Groupings'!$A:$A,'Student Groupings'!"&amp;"$E:$E=$C349,'Student Groupings'!$H:$H=""Can't be Together""),"""")})))"),"")</f>
        <v/>
      </c>
      <c r="AD349" s="103" t="str">
        <f>IFERROR(__xludf.DUMMYFUNCTION("if($C349="""","""",if(join("" - "",{iferror(filter('Student Groupings'!$A:$A,'Student Groupings'!$B:$B=$C349,'Student Groupings'!$H:$H=""Must be Together""),"""");iferror(filter('Student Groupings'!$A:$A,'Student Groupings'!$E:$E=$C349,'Student Groupings'"&amp;"!$H:$H=""Must be Together""),"""")})="" - "","""",join("" - "",{iferror(filter('Student Groupings'!$A:$A,'Student Groupings'!$B:$B=$C349,'Student Groupings'!$H:$H=""Must be Together""),"""");iferror(filter('Student Groupings'!$A:$A,'Student Groupings'!$E:"&amp;"$E=$C349,'Student Groupings'!$H:$H=""Must be Together""),"""")})))"),"")</f>
        <v/>
      </c>
      <c r="AE349" s="104"/>
      <c r="AF349" s="104"/>
      <c r="AG349" s="104"/>
      <c r="AH349" s="104"/>
    </row>
    <row r="350">
      <c r="A350" s="101">
        <v>8.0</v>
      </c>
      <c r="B350" s="101">
        <v>29071.0</v>
      </c>
      <c r="C350" s="102" t="s">
        <v>594</v>
      </c>
      <c r="D350" s="52" t="s">
        <v>176</v>
      </c>
      <c r="E350" s="52">
        <v>5.0</v>
      </c>
      <c r="F350" s="52" t="s">
        <v>167</v>
      </c>
      <c r="G350" s="52">
        <v>3.0</v>
      </c>
      <c r="H350" s="52" t="s">
        <v>185</v>
      </c>
      <c r="I350" s="52">
        <v>2.0</v>
      </c>
      <c r="J350" s="52" t="s">
        <v>190</v>
      </c>
      <c r="K350" s="52">
        <v>1.0</v>
      </c>
      <c r="L350" s="52" t="s">
        <v>201</v>
      </c>
      <c r="M350" s="52">
        <v>6.0</v>
      </c>
      <c r="N350" s="52" t="s">
        <v>149</v>
      </c>
      <c r="O350" s="52" t="s">
        <v>111</v>
      </c>
      <c r="P350" s="52" t="s">
        <v>135</v>
      </c>
      <c r="Q350" s="52" t="s">
        <v>130</v>
      </c>
      <c r="R350" s="52" t="s">
        <v>118</v>
      </c>
      <c r="S350" s="52" t="s">
        <v>130</v>
      </c>
      <c r="T350" s="65" t="s">
        <v>8</v>
      </c>
      <c r="U350" s="32">
        <v>1.0</v>
      </c>
      <c r="V350" s="32">
        <v>1.0</v>
      </c>
      <c r="W350" s="32">
        <v>1.0</v>
      </c>
      <c r="X350" s="32">
        <v>1.0</v>
      </c>
      <c r="Y350" s="32">
        <v>1.0</v>
      </c>
      <c r="Z350" s="32">
        <v>1.0</v>
      </c>
      <c r="AA350" s="32">
        <v>6.0</v>
      </c>
      <c r="AB350" s="32">
        <v>0.0</v>
      </c>
      <c r="AC350" s="103" t="str">
        <f>IFERROR(__xludf.DUMMYFUNCTION("if($C350="""","""",if(join("" - "",{iferror(filter('Student Groupings'!$A:$A,'Student Groupings'!$B:$B=$C350,'Student Groupings'!$H:$H=""Can't be Together""),"""");iferror(filter('Student Groupings'!$A:$A,'Student Groupings'!$E:$E=$C350,'Student Groupings"&amp;"'!$H:$H=""Can't be Together""),"""")})="" - "","""",join("" - "",{iferror(filter('Student Groupings'!$A:$A,'Student Groupings'!$B:$B=$C350,'Student Groupings'!$H:$H=""Can't be Together""),"""");iferror(filter('Student Groupings'!$A:$A,'Student Groupings'!"&amp;"$E:$E=$C350,'Student Groupings'!$H:$H=""Can't be Together""),"""")})))"),"")</f>
        <v/>
      </c>
      <c r="AD350" s="103" t="str">
        <f>IFERROR(__xludf.DUMMYFUNCTION("if($C350="""","""",if(join("" - "",{iferror(filter('Student Groupings'!$A:$A,'Student Groupings'!$B:$B=$C350,'Student Groupings'!$H:$H=""Must be Together""),"""");iferror(filter('Student Groupings'!$A:$A,'Student Groupings'!$E:$E=$C350,'Student Groupings'"&amp;"!$H:$H=""Must be Together""),"""")})="" - "","""",join("" - "",{iferror(filter('Student Groupings'!$A:$A,'Student Groupings'!$B:$B=$C350,'Student Groupings'!$H:$H=""Must be Together""),"""");iferror(filter('Student Groupings'!$A:$A,'Student Groupings'!$E:"&amp;"$E=$C350,'Student Groupings'!$H:$H=""Must be Together""),"""")})))"),"")</f>
        <v/>
      </c>
      <c r="AE350" s="104"/>
      <c r="AF350" s="104"/>
      <c r="AG350" s="104"/>
      <c r="AH350" s="104"/>
    </row>
    <row r="351">
      <c r="A351" s="101">
        <v>8.0</v>
      </c>
      <c r="B351" s="101">
        <v>29072.0</v>
      </c>
      <c r="C351" s="102" t="s">
        <v>287</v>
      </c>
      <c r="D351" s="52" t="s">
        <v>176</v>
      </c>
      <c r="E351" s="52">
        <v>5.0</v>
      </c>
      <c r="F351" s="52" t="s">
        <v>167</v>
      </c>
      <c r="G351" s="52">
        <v>4.0</v>
      </c>
      <c r="H351" s="52" t="s">
        <v>185</v>
      </c>
      <c r="I351" s="101">
        <v>3.0</v>
      </c>
      <c r="J351" s="52" t="s">
        <v>190</v>
      </c>
      <c r="K351" s="101">
        <v>1.0</v>
      </c>
      <c r="L351" s="52" t="s">
        <v>201</v>
      </c>
      <c r="M351" s="101">
        <v>6.0</v>
      </c>
      <c r="N351" s="52" t="s">
        <v>149</v>
      </c>
      <c r="O351" s="52" t="s">
        <v>125</v>
      </c>
      <c r="P351" s="52" t="s">
        <v>141</v>
      </c>
      <c r="Q351" s="52" t="s">
        <v>119</v>
      </c>
      <c r="R351" s="52" t="s">
        <v>141</v>
      </c>
      <c r="S351" s="52" t="s">
        <v>119</v>
      </c>
      <c r="T351" s="65" t="s">
        <v>30</v>
      </c>
      <c r="U351" s="32">
        <v>1.0</v>
      </c>
      <c r="V351" s="32">
        <v>1.0</v>
      </c>
      <c r="W351" s="32">
        <v>1.0</v>
      </c>
      <c r="X351" s="32">
        <v>1.0</v>
      </c>
      <c r="Y351" s="32">
        <v>1.0</v>
      </c>
      <c r="Z351" s="32">
        <v>1.0</v>
      </c>
      <c r="AA351" s="32">
        <v>6.0</v>
      </c>
      <c r="AB351" s="32">
        <v>0.0</v>
      </c>
      <c r="AC351" s="103" t="str">
        <f>IFERROR(__xludf.DUMMYFUNCTION("if($C351="""","""",if(join("" - "",{iferror(filter('Student Groupings'!$A:$A,'Student Groupings'!$B:$B=$C351,'Student Groupings'!$H:$H=""Can't be Together""),"""");iferror(filter('Student Groupings'!$A:$A,'Student Groupings'!$E:$E=$C351,'Student Groupings"&amp;"'!$H:$H=""Can't be Together""),"""")})="" - "","""",join("" - "",{iferror(filter('Student Groupings'!$A:$A,'Student Groupings'!$B:$B=$C351,'Student Groupings'!$H:$H=""Can't be Together""),"""");iferror(filter('Student Groupings'!$A:$A,'Student Groupings'!"&amp;"$E:$E=$C351,'Student Groupings'!$H:$H=""Can't be Together""),"""")})))"),"")</f>
        <v/>
      </c>
      <c r="AD351" s="103" t="str">
        <f>IFERROR(__xludf.DUMMYFUNCTION("if($C351="""","""",if(join("" - "",{iferror(filter('Student Groupings'!$A:$A,'Student Groupings'!$B:$B=$C351,'Student Groupings'!$H:$H=""Must be Together""),"""");iferror(filter('Student Groupings'!$A:$A,'Student Groupings'!$E:$E=$C351,'Student Groupings'"&amp;"!$H:$H=""Must be Together""),"""")})="" - "","""",join("" - "",{iferror(filter('Student Groupings'!$A:$A,'Student Groupings'!$B:$B=$C351,'Student Groupings'!$H:$H=""Must be Together""),"""");iferror(filter('Student Groupings'!$A:$A,'Student Groupings'!$E:"&amp;"$E=$C351,'Student Groupings'!$H:$H=""Must be Together""),"""")})))"),"120 - ")</f>
        <v>120 - </v>
      </c>
      <c r="AE351" s="104"/>
      <c r="AF351" s="104"/>
      <c r="AG351" s="105"/>
      <c r="AH351" s="105"/>
    </row>
    <row r="352">
      <c r="A352" s="101">
        <v>8.0</v>
      </c>
      <c r="B352" s="101">
        <v>29073.0</v>
      </c>
      <c r="C352" s="102" t="s">
        <v>297</v>
      </c>
      <c r="D352" s="52" t="s">
        <v>176</v>
      </c>
      <c r="E352" s="52">
        <v>4.0</v>
      </c>
      <c r="F352" s="52" t="s">
        <v>167</v>
      </c>
      <c r="G352" s="52">
        <v>5.0</v>
      </c>
      <c r="H352" s="52" t="s">
        <v>185</v>
      </c>
      <c r="I352" s="52">
        <v>1.0</v>
      </c>
      <c r="J352" s="52" t="s">
        <v>190</v>
      </c>
      <c r="K352" s="52">
        <v>3.0</v>
      </c>
      <c r="L352" s="52" t="s">
        <v>201</v>
      </c>
      <c r="M352" s="52">
        <v>2.0</v>
      </c>
      <c r="N352" s="52" t="s">
        <v>149</v>
      </c>
      <c r="O352" s="52" t="s">
        <v>120</v>
      </c>
      <c r="P352" s="52" t="s">
        <v>141</v>
      </c>
      <c r="Q352" s="52" t="s">
        <v>109</v>
      </c>
      <c r="R352" s="52" t="s">
        <v>141</v>
      </c>
      <c r="S352" s="52" t="s">
        <v>109</v>
      </c>
      <c r="T352" s="65" t="s">
        <v>30</v>
      </c>
      <c r="U352" s="32">
        <v>1.0</v>
      </c>
      <c r="V352" s="32">
        <v>1.0</v>
      </c>
      <c r="W352" s="32">
        <v>1.0</v>
      </c>
      <c r="X352" s="32">
        <v>1.0</v>
      </c>
      <c r="Y352" s="32">
        <v>1.0</v>
      </c>
      <c r="Z352" s="32">
        <v>1.0</v>
      </c>
      <c r="AA352" s="32">
        <v>6.0</v>
      </c>
      <c r="AB352" s="32">
        <v>0.0</v>
      </c>
      <c r="AC352" s="103" t="str">
        <f>IFERROR(__xludf.DUMMYFUNCTION("if($C352="""","""",if(join("" - "",{iferror(filter('Student Groupings'!$A:$A,'Student Groupings'!$B:$B=$C352,'Student Groupings'!$H:$H=""Can't be Together""),"""");iferror(filter('Student Groupings'!$A:$A,'Student Groupings'!$E:$E=$C352,'Student Groupings"&amp;"'!$H:$H=""Can't be Together""),"""")})="" - "","""",join("" - "",{iferror(filter('Student Groupings'!$A:$A,'Student Groupings'!$B:$B=$C352,'Student Groupings'!$H:$H=""Can't be Together""),"""");iferror(filter('Student Groupings'!$A:$A,'Student Groupings'!"&amp;"$E:$E=$C352,'Student Groupings'!$H:$H=""Can't be Together""),"""")})))"),"")</f>
        <v/>
      </c>
      <c r="AD352" s="103" t="str">
        <f>IFERROR(__xludf.DUMMYFUNCTION("if($C352="""","""",if(join("" - "",{iferror(filter('Student Groupings'!$A:$A,'Student Groupings'!$B:$B=$C352,'Student Groupings'!$H:$H=""Must be Together""),"""");iferror(filter('Student Groupings'!$A:$A,'Student Groupings'!$E:$E=$C352,'Student Groupings'"&amp;"!$H:$H=""Must be Together""),"""")})="" - "","""",join("" - "",{iferror(filter('Student Groupings'!$A:$A,'Student Groupings'!$B:$B=$C352,'Student Groupings'!$H:$H=""Must be Together""),"""");iferror(filter('Student Groupings'!$A:$A,'Student Groupings'!$E:"&amp;"$E=$C352,'Student Groupings'!$H:$H=""Must be Together""),"""")})))")," - 126")</f>
        <v> - 126</v>
      </c>
      <c r="AE352" s="104"/>
      <c r="AF352" s="104"/>
      <c r="AG352" s="104"/>
      <c r="AH352" s="104"/>
    </row>
    <row r="353">
      <c r="A353" s="101">
        <v>8.0</v>
      </c>
      <c r="B353" s="101">
        <v>29074.0</v>
      </c>
      <c r="C353" s="102" t="s">
        <v>258</v>
      </c>
      <c r="D353" s="52" t="s">
        <v>176</v>
      </c>
      <c r="E353" s="52">
        <v>5.0</v>
      </c>
      <c r="F353" s="52" t="s">
        <v>167</v>
      </c>
      <c r="G353" s="52">
        <v>4.0</v>
      </c>
      <c r="H353" s="52" t="s">
        <v>185</v>
      </c>
      <c r="I353" s="52">
        <v>3.0</v>
      </c>
      <c r="J353" s="52" t="s">
        <v>190</v>
      </c>
      <c r="K353" s="52">
        <v>1.0</v>
      </c>
      <c r="L353" s="52" t="s">
        <v>201</v>
      </c>
      <c r="M353" s="52">
        <v>6.0</v>
      </c>
      <c r="N353" s="52" t="s">
        <v>149</v>
      </c>
      <c r="O353" s="52" t="s">
        <v>125</v>
      </c>
      <c r="P353" s="52" t="s">
        <v>141</v>
      </c>
      <c r="Q353" s="52" t="s">
        <v>119</v>
      </c>
      <c r="R353" s="52" t="s">
        <v>141</v>
      </c>
      <c r="S353" s="52" t="s">
        <v>119</v>
      </c>
      <c r="T353" s="65" t="s">
        <v>30</v>
      </c>
      <c r="U353" s="32">
        <v>1.0</v>
      </c>
      <c r="V353" s="32">
        <v>1.0</v>
      </c>
      <c r="W353" s="32">
        <v>1.0</v>
      </c>
      <c r="X353" s="32">
        <v>1.0</v>
      </c>
      <c r="Y353" s="32">
        <v>1.0</v>
      </c>
      <c r="Z353" s="32">
        <v>1.0</v>
      </c>
      <c r="AA353" s="32">
        <v>6.0</v>
      </c>
      <c r="AB353" s="32">
        <v>0.0</v>
      </c>
      <c r="AC353" s="103" t="str">
        <f>IFERROR(__xludf.DUMMYFUNCTION("if($C353="""","""",if(join("" - "",{iferror(filter('Student Groupings'!$A:$A,'Student Groupings'!$B:$B=$C353,'Student Groupings'!$H:$H=""Can't be Together""),"""");iferror(filter('Student Groupings'!$A:$A,'Student Groupings'!$E:$E=$C353,'Student Groupings"&amp;"'!$H:$H=""Can't be Together""),"""")})="" - "","""",join("" - "",{iferror(filter('Student Groupings'!$A:$A,'Student Groupings'!$B:$B=$C353,'Student Groupings'!$H:$H=""Can't be Together""),"""");iferror(filter('Student Groupings'!$A:$A,'Student Groupings'!"&amp;"$E:$E=$C353,'Student Groupings'!$H:$H=""Can't be Together""),"""")})))"),"")</f>
        <v/>
      </c>
      <c r="AD353" s="103" t="str">
        <f>IFERROR(__xludf.DUMMYFUNCTION("if($C353="""","""",if(join("" - "",{iferror(filter('Student Groupings'!$A:$A,'Student Groupings'!$B:$B=$C353,'Student Groupings'!$H:$H=""Must be Together""),"""");iferror(filter('Student Groupings'!$A:$A,'Student Groupings'!$E:$E=$C353,'Student Groupings'"&amp;"!$H:$H=""Must be Together""),"""")})="" - "","""",join("" - "",{iferror(filter('Student Groupings'!$A:$A,'Student Groupings'!$B:$B=$C353,'Student Groupings'!$H:$H=""Must be Together""),"""");iferror(filter('Student Groupings'!$A:$A,'Student Groupings'!$E:"&amp;"$E=$C353,'Student Groupings'!$H:$H=""Must be Together""),"""")})))")," - 40")</f>
        <v> - 40</v>
      </c>
      <c r="AE353" s="104"/>
      <c r="AF353" s="104"/>
      <c r="AG353" s="104"/>
      <c r="AH353" s="104"/>
    </row>
    <row r="354">
      <c r="A354" s="101">
        <v>8.0</v>
      </c>
      <c r="B354" s="101">
        <v>29075.0</v>
      </c>
      <c r="C354" s="102" t="s">
        <v>595</v>
      </c>
      <c r="D354" s="52" t="s">
        <v>176</v>
      </c>
      <c r="E354" s="52">
        <v>6.0</v>
      </c>
      <c r="F354" s="52" t="s">
        <v>167</v>
      </c>
      <c r="G354" s="52">
        <v>3.0</v>
      </c>
      <c r="H354" s="52" t="s">
        <v>185</v>
      </c>
      <c r="I354" s="52">
        <v>2.0</v>
      </c>
      <c r="J354" s="52" t="s">
        <v>190</v>
      </c>
      <c r="K354" s="52">
        <v>5.0</v>
      </c>
      <c r="L354" s="52" t="s">
        <v>201</v>
      </c>
      <c r="M354" s="52">
        <v>1.0</v>
      </c>
      <c r="N354" s="52" t="s">
        <v>149</v>
      </c>
      <c r="O354" s="52" t="s">
        <v>111</v>
      </c>
      <c r="P354" s="52" t="s">
        <v>135</v>
      </c>
      <c r="Q354" s="52" t="s">
        <v>130</v>
      </c>
      <c r="R354" s="52" t="s">
        <v>118</v>
      </c>
      <c r="S354" s="52" t="s">
        <v>130</v>
      </c>
      <c r="T354" s="65" t="s">
        <v>27</v>
      </c>
      <c r="U354" s="32">
        <v>1.0</v>
      </c>
      <c r="V354" s="32">
        <v>1.0</v>
      </c>
      <c r="W354" s="32">
        <v>1.0</v>
      </c>
      <c r="X354" s="32">
        <v>1.0</v>
      </c>
      <c r="Y354" s="32">
        <v>1.0</v>
      </c>
      <c r="Z354" s="32">
        <v>1.0</v>
      </c>
      <c r="AA354" s="32">
        <v>6.0</v>
      </c>
      <c r="AB354" s="32">
        <v>0.0</v>
      </c>
      <c r="AC354" s="103" t="str">
        <f>IFERROR(__xludf.DUMMYFUNCTION("if($C354="""","""",if(join("" - "",{iferror(filter('Student Groupings'!$A:$A,'Student Groupings'!$B:$B=$C354,'Student Groupings'!$H:$H=""Can't be Together""),"""");iferror(filter('Student Groupings'!$A:$A,'Student Groupings'!$E:$E=$C354,'Student Groupings"&amp;"'!$H:$H=""Can't be Together""),"""")})="" - "","""",join("" - "",{iferror(filter('Student Groupings'!$A:$A,'Student Groupings'!$B:$B=$C354,'Student Groupings'!$H:$H=""Can't be Together""),"""");iferror(filter('Student Groupings'!$A:$A,'Student Groupings'!"&amp;"$E:$E=$C354,'Student Groupings'!$H:$H=""Can't be Together""),"""")})))"),"")</f>
        <v/>
      </c>
      <c r="AD354" s="103" t="str">
        <f>IFERROR(__xludf.DUMMYFUNCTION("if($C354="""","""",if(join("" - "",{iferror(filter('Student Groupings'!$A:$A,'Student Groupings'!$B:$B=$C354,'Student Groupings'!$H:$H=""Must be Together""),"""");iferror(filter('Student Groupings'!$A:$A,'Student Groupings'!$E:$E=$C354,'Student Groupings'"&amp;"!$H:$H=""Must be Together""),"""")})="" - "","""",join("" - "",{iferror(filter('Student Groupings'!$A:$A,'Student Groupings'!$B:$B=$C354,'Student Groupings'!$H:$H=""Must be Together""),"""");iferror(filter('Student Groupings'!$A:$A,'Student Groupings'!$E:"&amp;"$E=$C354,'Student Groupings'!$H:$H=""Must be Together""),"""")})))"),"")</f>
        <v/>
      </c>
      <c r="AE354" s="104"/>
      <c r="AF354" s="104"/>
      <c r="AG354" s="104"/>
      <c r="AH354" s="104"/>
    </row>
    <row r="355">
      <c r="A355" s="101">
        <v>8.0</v>
      </c>
      <c r="B355" s="101">
        <v>29076.0</v>
      </c>
      <c r="C355" s="102" t="s">
        <v>596</v>
      </c>
      <c r="D355" s="52" t="s">
        <v>176</v>
      </c>
      <c r="E355" s="52">
        <v>2.0</v>
      </c>
      <c r="F355" s="52" t="s">
        <v>162</v>
      </c>
      <c r="G355" s="52">
        <v>6.0</v>
      </c>
      <c r="H355" s="52" t="s">
        <v>185</v>
      </c>
      <c r="I355" s="52">
        <v>1.0</v>
      </c>
      <c r="J355" s="52" t="s">
        <v>190</v>
      </c>
      <c r="K355" s="52">
        <v>4.0</v>
      </c>
      <c r="L355" s="52" t="s">
        <v>201</v>
      </c>
      <c r="M355" s="52">
        <v>3.0</v>
      </c>
      <c r="N355" s="52" t="s">
        <v>149</v>
      </c>
      <c r="O355" s="52" t="s">
        <v>112</v>
      </c>
      <c r="P355" s="52" t="s">
        <v>135</v>
      </c>
      <c r="Q355" s="52" t="s">
        <v>124</v>
      </c>
      <c r="R355" s="52" t="s">
        <v>118</v>
      </c>
      <c r="S355" s="52" t="s">
        <v>124</v>
      </c>
      <c r="T355" s="65" t="s">
        <v>27</v>
      </c>
      <c r="U355" s="32">
        <v>1.0</v>
      </c>
      <c r="V355" s="32">
        <v>1.0</v>
      </c>
      <c r="W355" s="32">
        <v>1.0</v>
      </c>
      <c r="X355" s="32">
        <v>1.0</v>
      </c>
      <c r="Y355" s="32">
        <v>1.0</v>
      </c>
      <c r="Z355" s="32">
        <v>1.0</v>
      </c>
      <c r="AA355" s="32">
        <v>6.0</v>
      </c>
      <c r="AB355" s="32">
        <v>0.0</v>
      </c>
      <c r="AC355" s="103" t="str">
        <f>IFERROR(__xludf.DUMMYFUNCTION("if($C355="""","""",if(join("" - "",{iferror(filter('Student Groupings'!$A:$A,'Student Groupings'!$B:$B=$C355,'Student Groupings'!$H:$H=""Can't be Together""),"""");iferror(filter('Student Groupings'!$A:$A,'Student Groupings'!$E:$E=$C355,'Student Groupings"&amp;"'!$H:$H=""Can't be Together""),"""")})="" - "","""",join("" - "",{iferror(filter('Student Groupings'!$A:$A,'Student Groupings'!$B:$B=$C355,'Student Groupings'!$H:$H=""Can't be Together""),"""");iferror(filter('Student Groupings'!$A:$A,'Student Groupings'!"&amp;"$E:$E=$C355,'Student Groupings'!$H:$H=""Can't be Together""),"""")})))"),"")</f>
        <v/>
      </c>
      <c r="AD355" s="103" t="str">
        <f>IFERROR(__xludf.DUMMYFUNCTION("if($C355="""","""",if(join("" - "",{iferror(filter('Student Groupings'!$A:$A,'Student Groupings'!$B:$B=$C355,'Student Groupings'!$H:$H=""Must be Together""),"""");iferror(filter('Student Groupings'!$A:$A,'Student Groupings'!$E:$E=$C355,'Student Groupings'"&amp;"!$H:$H=""Must be Together""),"""")})="" - "","""",join("" - "",{iferror(filter('Student Groupings'!$A:$A,'Student Groupings'!$B:$B=$C355,'Student Groupings'!$H:$H=""Must be Together""),"""");iferror(filter('Student Groupings'!$A:$A,'Student Groupings'!$E:"&amp;"$E=$C355,'Student Groupings'!$H:$H=""Must be Together""),"""")})))"),"")</f>
        <v/>
      </c>
      <c r="AE355" s="104"/>
      <c r="AF355" s="104"/>
      <c r="AG355" s="104"/>
      <c r="AH355" s="104"/>
    </row>
    <row r="356">
      <c r="A356" s="101">
        <v>8.0</v>
      </c>
      <c r="B356" s="101">
        <v>29077.0</v>
      </c>
      <c r="C356" s="102" t="s">
        <v>597</v>
      </c>
      <c r="D356" s="52" t="s">
        <v>176</v>
      </c>
      <c r="E356" s="52">
        <v>6.0</v>
      </c>
      <c r="F356" s="52" t="s">
        <v>167</v>
      </c>
      <c r="G356" s="52">
        <v>3.0</v>
      </c>
      <c r="H356" s="52" t="s">
        <v>185</v>
      </c>
      <c r="I356" s="52">
        <v>2.0</v>
      </c>
      <c r="J356" s="52" t="s">
        <v>190</v>
      </c>
      <c r="K356" s="52">
        <v>5.0</v>
      </c>
      <c r="L356" s="52" t="s">
        <v>201</v>
      </c>
      <c r="M356" s="52">
        <v>1.0</v>
      </c>
      <c r="N356" s="52" t="s">
        <v>149</v>
      </c>
      <c r="O356" s="52" t="s">
        <v>111</v>
      </c>
      <c r="P356" s="52" t="s">
        <v>135</v>
      </c>
      <c r="Q356" s="52" t="s">
        <v>130</v>
      </c>
      <c r="R356" s="52" t="s">
        <v>118</v>
      </c>
      <c r="S356" s="52" t="s">
        <v>130</v>
      </c>
      <c r="T356" s="65" t="s">
        <v>27</v>
      </c>
      <c r="U356" s="32">
        <v>1.0</v>
      </c>
      <c r="V356" s="32">
        <v>1.0</v>
      </c>
      <c r="W356" s="32">
        <v>1.0</v>
      </c>
      <c r="X356" s="32">
        <v>1.0</v>
      </c>
      <c r="Y356" s="32">
        <v>1.0</v>
      </c>
      <c r="Z356" s="32">
        <v>1.0</v>
      </c>
      <c r="AA356" s="32">
        <v>6.0</v>
      </c>
      <c r="AB356" s="32">
        <v>0.0</v>
      </c>
      <c r="AC356" s="103" t="str">
        <f>IFERROR(__xludf.DUMMYFUNCTION("if($C356="""","""",if(join("" - "",{iferror(filter('Student Groupings'!$A:$A,'Student Groupings'!$B:$B=$C356,'Student Groupings'!$H:$H=""Can't be Together""),"""");iferror(filter('Student Groupings'!$A:$A,'Student Groupings'!$E:$E=$C356,'Student Groupings"&amp;"'!$H:$H=""Can't be Together""),"""")})="" - "","""",join("" - "",{iferror(filter('Student Groupings'!$A:$A,'Student Groupings'!$B:$B=$C356,'Student Groupings'!$H:$H=""Can't be Together""),"""");iferror(filter('Student Groupings'!$A:$A,'Student Groupings'!"&amp;"$E:$E=$C356,'Student Groupings'!$H:$H=""Can't be Together""),"""")})))"),"")</f>
        <v/>
      </c>
      <c r="AD356" s="103" t="str">
        <f>IFERROR(__xludf.DUMMYFUNCTION("if($C356="""","""",if(join("" - "",{iferror(filter('Student Groupings'!$A:$A,'Student Groupings'!$B:$B=$C356,'Student Groupings'!$H:$H=""Must be Together""),"""");iferror(filter('Student Groupings'!$A:$A,'Student Groupings'!$E:$E=$C356,'Student Groupings'"&amp;"!$H:$H=""Must be Together""),"""")})="" - "","""",join("" - "",{iferror(filter('Student Groupings'!$A:$A,'Student Groupings'!$B:$B=$C356,'Student Groupings'!$H:$H=""Must be Together""),"""");iferror(filter('Student Groupings'!$A:$A,'Student Groupings'!$E:"&amp;"$E=$C356,'Student Groupings'!$H:$H=""Must be Together""),"""")})))"),"")</f>
        <v/>
      </c>
      <c r="AE356" s="104"/>
      <c r="AF356" s="104"/>
      <c r="AG356" s="104"/>
      <c r="AH356" s="104"/>
    </row>
    <row r="357">
      <c r="A357" s="101">
        <v>8.0</v>
      </c>
      <c r="B357" s="101">
        <v>29079.0</v>
      </c>
      <c r="C357" s="102" t="s">
        <v>598</v>
      </c>
      <c r="D357" s="52" t="s">
        <v>176</v>
      </c>
      <c r="E357" s="52">
        <v>6.0</v>
      </c>
      <c r="F357" s="52" t="s">
        <v>167</v>
      </c>
      <c r="G357" s="52">
        <v>3.0</v>
      </c>
      <c r="H357" s="52" t="s">
        <v>185</v>
      </c>
      <c r="I357" s="52">
        <v>2.0</v>
      </c>
      <c r="J357" s="52" t="s">
        <v>190</v>
      </c>
      <c r="K357" s="52">
        <v>5.0</v>
      </c>
      <c r="L357" s="52" t="s">
        <v>201</v>
      </c>
      <c r="M357" s="52">
        <v>1.0</v>
      </c>
      <c r="N357" s="52" t="s">
        <v>149</v>
      </c>
      <c r="O357" s="52" t="s">
        <v>111</v>
      </c>
      <c r="P357" s="52" t="s">
        <v>135</v>
      </c>
      <c r="Q357" s="52" t="s">
        <v>130</v>
      </c>
      <c r="R357" s="52" t="s">
        <v>118</v>
      </c>
      <c r="S357" s="52" t="s">
        <v>130</v>
      </c>
      <c r="T357" s="65" t="s">
        <v>27</v>
      </c>
      <c r="U357" s="32">
        <v>1.0</v>
      </c>
      <c r="V357" s="32">
        <v>1.0</v>
      </c>
      <c r="W357" s="32">
        <v>1.0</v>
      </c>
      <c r="X357" s="32">
        <v>1.0</v>
      </c>
      <c r="Y357" s="32">
        <v>1.0</v>
      </c>
      <c r="Z357" s="32">
        <v>1.0</v>
      </c>
      <c r="AA357" s="32">
        <v>6.0</v>
      </c>
      <c r="AB357" s="32">
        <v>0.0</v>
      </c>
      <c r="AC357" s="103" t="str">
        <f>IFERROR(__xludf.DUMMYFUNCTION("if($C357="""","""",if(join("" - "",{iferror(filter('Student Groupings'!$A:$A,'Student Groupings'!$B:$B=$C357,'Student Groupings'!$H:$H=""Can't be Together""),"""");iferror(filter('Student Groupings'!$A:$A,'Student Groupings'!$E:$E=$C357,'Student Groupings"&amp;"'!$H:$H=""Can't be Together""),"""")})="" - "","""",join("" - "",{iferror(filter('Student Groupings'!$A:$A,'Student Groupings'!$B:$B=$C357,'Student Groupings'!$H:$H=""Can't be Together""),"""");iferror(filter('Student Groupings'!$A:$A,'Student Groupings'!"&amp;"$E:$E=$C357,'Student Groupings'!$H:$H=""Can't be Together""),"""")})))"),"")</f>
        <v/>
      </c>
      <c r="AD357" s="103" t="str">
        <f>IFERROR(__xludf.DUMMYFUNCTION("if($C357="""","""",if(join("" - "",{iferror(filter('Student Groupings'!$A:$A,'Student Groupings'!$B:$B=$C357,'Student Groupings'!$H:$H=""Must be Together""),"""");iferror(filter('Student Groupings'!$A:$A,'Student Groupings'!$E:$E=$C357,'Student Groupings'"&amp;"!$H:$H=""Must be Together""),"""")})="" - "","""",join("" - "",{iferror(filter('Student Groupings'!$A:$A,'Student Groupings'!$B:$B=$C357,'Student Groupings'!$H:$H=""Must be Together""),"""");iferror(filter('Student Groupings'!$A:$A,'Student Groupings'!$E:"&amp;"$E=$C357,'Student Groupings'!$H:$H=""Must be Together""),"""")})))"),"")</f>
        <v/>
      </c>
      <c r="AE357" s="104"/>
      <c r="AF357" s="104"/>
      <c r="AG357" s="104"/>
      <c r="AH357" s="104"/>
    </row>
    <row r="358">
      <c r="A358" s="101">
        <v>8.0</v>
      </c>
      <c r="B358" s="101">
        <v>29153.0</v>
      </c>
      <c r="C358" s="102" t="s">
        <v>291</v>
      </c>
      <c r="D358" s="52" t="s">
        <v>176</v>
      </c>
      <c r="E358" s="52">
        <v>5.0</v>
      </c>
      <c r="F358" s="52" t="s">
        <v>167</v>
      </c>
      <c r="G358" s="52">
        <v>3.0</v>
      </c>
      <c r="H358" s="52" t="s">
        <v>185</v>
      </c>
      <c r="I358" s="52">
        <v>2.0</v>
      </c>
      <c r="J358" s="52" t="s">
        <v>190</v>
      </c>
      <c r="K358" s="52">
        <v>1.0</v>
      </c>
      <c r="L358" s="52" t="s">
        <v>201</v>
      </c>
      <c r="M358" s="52">
        <v>6.0</v>
      </c>
      <c r="N358" s="52" t="s">
        <v>149</v>
      </c>
      <c r="O358" s="52" t="s">
        <v>111</v>
      </c>
      <c r="P358" s="52" t="s">
        <v>135</v>
      </c>
      <c r="Q358" s="52" t="s">
        <v>130</v>
      </c>
      <c r="R358" s="52" t="s">
        <v>118</v>
      </c>
      <c r="S358" s="52" t="s">
        <v>130</v>
      </c>
      <c r="T358" s="65" t="s">
        <v>27</v>
      </c>
      <c r="U358" s="32">
        <v>1.0</v>
      </c>
      <c r="V358" s="32">
        <v>1.0</v>
      </c>
      <c r="W358" s="32">
        <v>1.0</v>
      </c>
      <c r="X358" s="32">
        <v>1.0</v>
      </c>
      <c r="Y358" s="32">
        <v>1.0</v>
      </c>
      <c r="Z358" s="32">
        <v>1.0</v>
      </c>
      <c r="AA358" s="32">
        <v>6.0</v>
      </c>
      <c r="AB358" s="32">
        <v>0.0</v>
      </c>
      <c r="AC358" s="103" t="str">
        <f>IFERROR(__xludf.DUMMYFUNCTION("if($C358="""","""",if(join("" - "",{iferror(filter('Student Groupings'!$A:$A,'Student Groupings'!$B:$B=$C358,'Student Groupings'!$H:$H=""Can't be Together""),"""");iferror(filter('Student Groupings'!$A:$A,'Student Groupings'!$E:$E=$C358,'Student Groupings"&amp;"'!$H:$H=""Can't be Together""),"""")})="" - "","""",join("" - "",{iferror(filter('Student Groupings'!$A:$A,'Student Groupings'!$B:$B=$C358,'Student Groupings'!$H:$H=""Can't be Together""),"""");iferror(filter('Student Groupings'!$A:$A,'Student Groupings'!"&amp;"$E:$E=$C358,'Student Groupings'!$H:$H=""Can't be Together""),"""")})))"),"")</f>
        <v/>
      </c>
      <c r="AD358" s="103" t="str">
        <f>IFERROR(__xludf.DUMMYFUNCTION("if($C358="""","""",if(join("" - "",{iferror(filter('Student Groupings'!$A:$A,'Student Groupings'!$B:$B=$C358,'Student Groupings'!$H:$H=""Must be Together""),"""");iferror(filter('Student Groupings'!$A:$A,'Student Groupings'!$E:$E=$C358,'Student Groupings'"&amp;"!$H:$H=""Must be Together""),"""")})="" - "","""",join("" - "",{iferror(filter('Student Groupings'!$A:$A,'Student Groupings'!$B:$B=$C358,'Student Groupings'!$H:$H=""Must be Together""),"""");iferror(filter('Student Groupings'!$A:$A,'Student Groupings'!$E:"&amp;"$E=$C358,'Student Groupings'!$H:$H=""Must be Together""),"""")})))"),"122 - ")</f>
        <v>122 - </v>
      </c>
      <c r="AE358" s="104"/>
      <c r="AF358" s="104"/>
      <c r="AG358" s="104"/>
      <c r="AH358" s="104"/>
    </row>
    <row r="359">
      <c r="A359" s="101">
        <v>8.0</v>
      </c>
      <c r="B359" s="101">
        <v>29143.0</v>
      </c>
      <c r="C359" s="102" t="s">
        <v>599</v>
      </c>
      <c r="D359" s="52" t="s">
        <v>177</v>
      </c>
      <c r="E359" s="52">
        <v>4.0</v>
      </c>
      <c r="F359" s="52" t="s">
        <v>170</v>
      </c>
      <c r="G359" s="52">
        <v>1.0</v>
      </c>
      <c r="H359" s="52" t="s">
        <v>187</v>
      </c>
      <c r="I359" s="52">
        <v>6.0</v>
      </c>
      <c r="J359" s="52" t="s">
        <v>191</v>
      </c>
      <c r="K359" s="52">
        <v>3.0</v>
      </c>
      <c r="L359" s="52" t="s">
        <v>202</v>
      </c>
      <c r="M359" s="52">
        <v>2.0</v>
      </c>
      <c r="N359" s="52" t="s">
        <v>149</v>
      </c>
      <c r="O359" s="52" t="s">
        <v>112</v>
      </c>
      <c r="P359" s="52" t="s">
        <v>118</v>
      </c>
      <c r="Q359" s="52" t="s">
        <v>124</v>
      </c>
      <c r="R359" s="52" t="s">
        <v>135</v>
      </c>
      <c r="S359" s="52" t="s">
        <v>124</v>
      </c>
      <c r="T359" s="65" t="s">
        <v>27</v>
      </c>
      <c r="U359" s="32">
        <v>1.0</v>
      </c>
      <c r="V359" s="32">
        <v>1.0</v>
      </c>
      <c r="W359" s="32">
        <v>1.0</v>
      </c>
      <c r="X359" s="32">
        <v>1.0</v>
      </c>
      <c r="Y359" s="32">
        <v>1.0</v>
      </c>
      <c r="Z359" s="32">
        <v>1.0</v>
      </c>
      <c r="AA359" s="32">
        <v>6.0</v>
      </c>
      <c r="AB359" s="32">
        <v>0.0</v>
      </c>
      <c r="AC359" s="103" t="str">
        <f>IFERROR(__xludf.DUMMYFUNCTION("if($C359="""","""",if(join("" - "",{iferror(filter('Student Groupings'!$A:$A,'Student Groupings'!$B:$B=$C359,'Student Groupings'!$H:$H=""Can't be Together""),"""");iferror(filter('Student Groupings'!$A:$A,'Student Groupings'!$E:$E=$C359,'Student Groupings"&amp;"'!$H:$H=""Can't be Together""),"""")})="" - "","""",join("" - "",{iferror(filter('Student Groupings'!$A:$A,'Student Groupings'!$B:$B=$C359,'Student Groupings'!$H:$H=""Can't be Together""),"""");iferror(filter('Student Groupings'!$A:$A,'Student Groupings'!"&amp;"$E:$E=$C359,'Student Groupings'!$H:$H=""Can't be Together""),"""")})))"),"")</f>
        <v/>
      </c>
      <c r="AD359" s="103" t="str">
        <f>IFERROR(__xludf.DUMMYFUNCTION("if($C359="""","""",if(join("" - "",{iferror(filter('Student Groupings'!$A:$A,'Student Groupings'!$B:$B=$C359,'Student Groupings'!$H:$H=""Must be Together""),"""");iferror(filter('Student Groupings'!$A:$A,'Student Groupings'!$E:$E=$C359,'Student Groupings'"&amp;"!$H:$H=""Must be Together""),"""")})="" - "","""",join("" - "",{iferror(filter('Student Groupings'!$A:$A,'Student Groupings'!$B:$B=$C359,'Student Groupings'!$H:$H=""Must be Together""),"""");iferror(filter('Student Groupings'!$A:$A,'Student Groupings'!$E:"&amp;"$E=$C359,'Student Groupings'!$H:$H=""Must be Together""),"""")})))"),"")</f>
        <v/>
      </c>
      <c r="AE359" s="104"/>
      <c r="AF359" s="104"/>
      <c r="AG359" s="104"/>
      <c r="AH359" s="104"/>
    </row>
    <row r="360">
      <c r="A360" s="101">
        <v>8.0</v>
      </c>
      <c r="B360" s="101">
        <v>29080.0</v>
      </c>
      <c r="C360" s="102" t="s">
        <v>256</v>
      </c>
      <c r="D360" s="52" t="s">
        <v>176</v>
      </c>
      <c r="E360" s="101">
        <v>5.0</v>
      </c>
      <c r="F360" s="52" t="s">
        <v>167</v>
      </c>
      <c r="G360" s="52">
        <v>4.0</v>
      </c>
      <c r="H360" s="52" t="s">
        <v>185</v>
      </c>
      <c r="I360" s="52">
        <v>3.0</v>
      </c>
      <c r="J360" s="52" t="s">
        <v>190</v>
      </c>
      <c r="K360" s="101">
        <v>1.0</v>
      </c>
      <c r="L360" s="52" t="s">
        <v>201</v>
      </c>
      <c r="M360" s="52">
        <v>6.0</v>
      </c>
      <c r="N360" s="52" t="s">
        <v>149</v>
      </c>
      <c r="O360" s="52" t="s">
        <v>125</v>
      </c>
      <c r="P360" s="52" t="s">
        <v>141</v>
      </c>
      <c r="Q360" s="52" t="s">
        <v>119</v>
      </c>
      <c r="R360" s="52" t="s">
        <v>141</v>
      </c>
      <c r="S360" s="52" t="s">
        <v>119</v>
      </c>
      <c r="T360" s="65" t="s">
        <v>30</v>
      </c>
      <c r="U360" s="32">
        <v>1.0</v>
      </c>
      <c r="V360" s="32">
        <v>1.0</v>
      </c>
      <c r="W360" s="32">
        <v>1.0</v>
      </c>
      <c r="X360" s="32">
        <v>1.0</v>
      </c>
      <c r="Y360" s="32">
        <v>1.0</v>
      </c>
      <c r="Z360" s="32">
        <v>1.0</v>
      </c>
      <c r="AA360" s="32">
        <v>6.0</v>
      </c>
      <c r="AB360" s="32">
        <v>0.0</v>
      </c>
      <c r="AC360" s="103" t="str">
        <f>IFERROR(__xludf.DUMMYFUNCTION("if($C360="""","""",if(join("" - "",{iferror(filter('Student Groupings'!$A:$A,'Student Groupings'!$B:$B=$C360,'Student Groupings'!$H:$H=""Can't be Together""),"""");iferror(filter('Student Groupings'!$A:$A,'Student Groupings'!$E:$E=$C360,'Student Groupings"&amp;"'!$H:$H=""Can't be Together""),"""")})="" - "","""",join("" - "",{iferror(filter('Student Groupings'!$A:$A,'Student Groupings'!$B:$B=$C360,'Student Groupings'!$H:$H=""Can't be Together""),"""");iferror(filter('Student Groupings'!$A:$A,'Student Groupings'!"&amp;"$E:$E=$C360,'Student Groupings'!$H:$H=""Can't be Together""),"""")})))"),"39 - ")</f>
        <v>39 - </v>
      </c>
      <c r="AD360" s="103" t="str">
        <f>IFERROR(__xludf.DUMMYFUNCTION("if($C360="""","""",if(join("" - "",{iferror(filter('Student Groupings'!$A:$A,'Student Groupings'!$B:$B=$C360,'Student Groupings'!$H:$H=""Must be Together""),"""");iferror(filter('Student Groupings'!$A:$A,'Student Groupings'!$E:$E=$C360,'Student Groupings'"&amp;"!$H:$H=""Must be Together""),"""")})="" - "","""",join("" - "",{iferror(filter('Student Groupings'!$A:$A,'Student Groupings'!$B:$B=$C360,'Student Groupings'!$H:$H=""Must be Together""),"""");iferror(filter('Student Groupings'!$A:$A,'Student Groupings'!$E:"&amp;"$E=$C360,'Student Groupings'!$H:$H=""Must be Together""),"""")})))"),"40 - 41 - 42 - ")</f>
        <v>40 - 41 - 42 - </v>
      </c>
      <c r="AE360" s="104"/>
      <c r="AF360" s="104"/>
      <c r="AG360" s="104"/>
      <c r="AH360" s="104"/>
    </row>
    <row r="361">
      <c r="A361" s="101">
        <v>8.0</v>
      </c>
      <c r="B361" s="101">
        <v>29081.0</v>
      </c>
      <c r="C361" s="102" t="s">
        <v>600</v>
      </c>
      <c r="D361" s="52" t="s">
        <v>176</v>
      </c>
      <c r="E361" s="52">
        <v>2.0</v>
      </c>
      <c r="F361" s="52" t="s">
        <v>170</v>
      </c>
      <c r="G361" s="52">
        <v>1.0</v>
      </c>
      <c r="H361" s="52" t="s">
        <v>187</v>
      </c>
      <c r="I361" s="52">
        <v>6.0</v>
      </c>
      <c r="J361" s="52" t="s">
        <v>190</v>
      </c>
      <c r="K361" s="52">
        <v>4.0</v>
      </c>
      <c r="L361" s="52" t="s">
        <v>201</v>
      </c>
      <c r="M361" s="52">
        <v>3.0</v>
      </c>
      <c r="N361" s="52" t="s">
        <v>149</v>
      </c>
      <c r="O361" s="52" t="s">
        <v>112</v>
      </c>
      <c r="P361" s="52" t="s">
        <v>135</v>
      </c>
      <c r="Q361" s="52" t="s">
        <v>124</v>
      </c>
      <c r="R361" s="52" t="s">
        <v>118</v>
      </c>
      <c r="S361" s="52" t="s">
        <v>124</v>
      </c>
      <c r="T361" s="65" t="s">
        <v>27</v>
      </c>
      <c r="U361" s="32">
        <v>1.0</v>
      </c>
      <c r="V361" s="32">
        <v>1.0</v>
      </c>
      <c r="W361" s="32">
        <v>1.0</v>
      </c>
      <c r="X361" s="32">
        <v>1.0</v>
      </c>
      <c r="Y361" s="32">
        <v>1.0</v>
      </c>
      <c r="Z361" s="32">
        <v>1.0</v>
      </c>
      <c r="AA361" s="32">
        <v>6.0</v>
      </c>
      <c r="AB361" s="32">
        <v>0.0</v>
      </c>
      <c r="AC361" s="103" t="str">
        <f>IFERROR(__xludf.DUMMYFUNCTION("if($C361="""","""",if(join("" - "",{iferror(filter('Student Groupings'!$A:$A,'Student Groupings'!$B:$B=$C361,'Student Groupings'!$H:$H=""Can't be Together""),"""");iferror(filter('Student Groupings'!$A:$A,'Student Groupings'!$E:$E=$C361,'Student Groupings"&amp;"'!$H:$H=""Can't be Together""),"""")})="" - "","""",join("" - "",{iferror(filter('Student Groupings'!$A:$A,'Student Groupings'!$B:$B=$C361,'Student Groupings'!$H:$H=""Can't be Together""),"""");iferror(filter('Student Groupings'!$A:$A,'Student Groupings'!"&amp;"$E:$E=$C361,'Student Groupings'!$H:$H=""Can't be Together""),"""")})))"),"")</f>
        <v/>
      </c>
      <c r="AD361" s="103" t="str">
        <f>IFERROR(__xludf.DUMMYFUNCTION("if($C361="""","""",if(join("" - "",{iferror(filter('Student Groupings'!$A:$A,'Student Groupings'!$B:$B=$C361,'Student Groupings'!$H:$H=""Must be Together""),"""");iferror(filter('Student Groupings'!$A:$A,'Student Groupings'!$E:$E=$C361,'Student Groupings'"&amp;"!$H:$H=""Must be Together""),"""")})="" - "","""",join("" - "",{iferror(filter('Student Groupings'!$A:$A,'Student Groupings'!$B:$B=$C361,'Student Groupings'!$H:$H=""Must be Together""),"""");iferror(filter('Student Groupings'!$A:$A,'Student Groupings'!$E:"&amp;"$E=$C361,'Student Groupings'!$H:$H=""Must be Together""),"""")})))"),"")</f>
        <v/>
      </c>
      <c r="AE361" s="104"/>
      <c r="AF361" s="104"/>
      <c r="AG361" s="104"/>
      <c r="AH361" s="104"/>
    </row>
    <row r="362">
      <c r="A362" s="101">
        <v>8.0</v>
      </c>
      <c r="B362" s="101">
        <v>29083.0</v>
      </c>
      <c r="C362" s="102" t="s">
        <v>257</v>
      </c>
      <c r="D362" s="52" t="s">
        <v>176</v>
      </c>
      <c r="E362" s="52">
        <v>4.0</v>
      </c>
      <c r="F362" s="52" t="s">
        <v>162</v>
      </c>
      <c r="G362" s="52">
        <v>6.0</v>
      </c>
      <c r="H362" s="52" t="s">
        <v>185</v>
      </c>
      <c r="I362" s="52">
        <v>5.0</v>
      </c>
      <c r="J362" s="52" t="s">
        <v>190</v>
      </c>
      <c r="K362" s="52">
        <v>3.0</v>
      </c>
      <c r="L362" s="52" t="s">
        <v>201</v>
      </c>
      <c r="M362" s="52">
        <v>2.0</v>
      </c>
      <c r="N362" s="52" t="s">
        <v>149</v>
      </c>
      <c r="O362" s="52" t="s">
        <v>108</v>
      </c>
      <c r="P362" s="52" t="s">
        <v>141</v>
      </c>
      <c r="Q362" s="52" t="s">
        <v>129</v>
      </c>
      <c r="R362" s="52" t="s">
        <v>141</v>
      </c>
      <c r="S362" s="52" t="s">
        <v>129</v>
      </c>
      <c r="T362" s="65" t="s">
        <v>30</v>
      </c>
      <c r="U362" s="32">
        <v>1.0</v>
      </c>
      <c r="V362" s="32">
        <v>1.0</v>
      </c>
      <c r="W362" s="32">
        <v>1.0</v>
      </c>
      <c r="X362" s="32">
        <v>1.0</v>
      </c>
      <c r="Y362" s="32">
        <v>1.0</v>
      </c>
      <c r="Z362" s="32">
        <v>1.0</v>
      </c>
      <c r="AA362" s="32">
        <v>6.0</v>
      </c>
      <c r="AB362" s="32">
        <v>0.0</v>
      </c>
      <c r="AC362" s="103" t="str">
        <f>IFERROR(__xludf.DUMMYFUNCTION("if($C362="""","""",if(join("" - "",{iferror(filter('Student Groupings'!$A:$A,'Student Groupings'!$B:$B=$C362,'Student Groupings'!$H:$H=""Can't be Together""),"""");iferror(filter('Student Groupings'!$A:$A,'Student Groupings'!$E:$E=$C362,'Student Groupings"&amp;"'!$H:$H=""Can't be Together""),"""")})="" - "","""",join("" - "",{iferror(filter('Student Groupings'!$A:$A,'Student Groupings'!$B:$B=$C362,'Student Groupings'!$H:$H=""Can't be Together""),"""");iferror(filter('Student Groupings'!$A:$A,'Student Groupings'!"&amp;"$E:$E=$C362,'Student Groupings'!$H:$H=""Can't be Together""),"""")})))")," - 39")</f>
        <v> - 39</v>
      </c>
      <c r="AD362" s="103" t="str">
        <f>IFERROR(__xludf.DUMMYFUNCTION("if($C362="""","""",if(join("" - "",{iferror(filter('Student Groupings'!$A:$A,'Student Groupings'!$B:$B=$C362,'Student Groupings'!$H:$H=""Must be Together""),"""");iferror(filter('Student Groupings'!$A:$A,'Student Groupings'!$E:$E=$C362,'Student Groupings'"&amp;"!$H:$H=""Must be Together""),"""")})="" - "","""",join("" - "",{iferror(filter('Student Groupings'!$A:$A,'Student Groupings'!$B:$B=$C362,'Student Groupings'!$H:$H=""Must be Together""),"""");iferror(filter('Student Groupings'!$A:$A,'Student Groupings'!$E:"&amp;"$E=$C362,'Student Groupings'!$H:$H=""Must be Together""),"""")})))"),"")</f>
        <v/>
      </c>
      <c r="AE362" s="104"/>
      <c r="AF362" s="104"/>
      <c r="AG362" s="104"/>
      <c r="AH362" s="104"/>
    </row>
    <row r="363">
      <c r="A363" s="101">
        <v>8.0</v>
      </c>
      <c r="B363" s="101">
        <v>29158.0</v>
      </c>
      <c r="C363" s="102" t="s">
        <v>601</v>
      </c>
      <c r="D363" s="52" t="s">
        <v>177</v>
      </c>
      <c r="E363" s="52">
        <v>4.0</v>
      </c>
      <c r="F363" s="52" t="s">
        <v>170</v>
      </c>
      <c r="G363" s="52">
        <v>1.0</v>
      </c>
      <c r="H363" s="52" t="s">
        <v>187</v>
      </c>
      <c r="I363" s="52">
        <v>6.0</v>
      </c>
      <c r="J363" s="52" t="s">
        <v>191</v>
      </c>
      <c r="K363" s="101">
        <v>3.0</v>
      </c>
      <c r="L363" s="52" t="s">
        <v>202</v>
      </c>
      <c r="M363" s="101">
        <v>2.0</v>
      </c>
      <c r="N363" s="52" t="s">
        <v>149</v>
      </c>
      <c r="O363" s="52" t="s">
        <v>124</v>
      </c>
      <c r="P363" s="52" t="s">
        <v>141</v>
      </c>
      <c r="Q363" s="52" t="s">
        <v>112</v>
      </c>
      <c r="R363" s="52" t="s">
        <v>141</v>
      </c>
      <c r="S363" s="52" t="s">
        <v>112</v>
      </c>
      <c r="T363" s="65" t="s">
        <v>30</v>
      </c>
      <c r="U363" s="32">
        <v>1.0</v>
      </c>
      <c r="V363" s="32">
        <v>1.0</v>
      </c>
      <c r="W363" s="32">
        <v>1.0</v>
      </c>
      <c r="X363" s="32">
        <v>1.0</v>
      </c>
      <c r="Y363" s="32">
        <v>1.0</v>
      </c>
      <c r="Z363" s="32">
        <v>1.0</v>
      </c>
      <c r="AA363" s="32">
        <v>6.0</v>
      </c>
      <c r="AB363" s="32">
        <v>0.0</v>
      </c>
      <c r="AC363" s="103" t="str">
        <f>IFERROR(__xludf.DUMMYFUNCTION("if($C363="""","""",if(join("" - "",{iferror(filter('Student Groupings'!$A:$A,'Student Groupings'!$B:$B=$C363,'Student Groupings'!$H:$H=""Can't be Together""),"""");iferror(filter('Student Groupings'!$A:$A,'Student Groupings'!$E:$E=$C363,'Student Groupings"&amp;"'!$H:$H=""Can't be Together""),"""")})="" - "","""",join("" - "",{iferror(filter('Student Groupings'!$A:$A,'Student Groupings'!$B:$B=$C363,'Student Groupings'!$H:$H=""Can't be Together""),"""");iferror(filter('Student Groupings'!$A:$A,'Student Groupings'!"&amp;"$E:$E=$C363,'Student Groupings'!$H:$H=""Can't be Together""),"""")})))"),"")</f>
        <v/>
      </c>
      <c r="AD363" s="103" t="str">
        <f>IFERROR(__xludf.DUMMYFUNCTION("if($C363="""","""",if(join("" - "",{iferror(filter('Student Groupings'!$A:$A,'Student Groupings'!$B:$B=$C363,'Student Groupings'!$H:$H=""Must be Together""),"""");iferror(filter('Student Groupings'!$A:$A,'Student Groupings'!$E:$E=$C363,'Student Groupings'"&amp;"!$H:$H=""Must be Together""),"""")})="" - "","""",join("" - "",{iferror(filter('Student Groupings'!$A:$A,'Student Groupings'!$B:$B=$C363,'Student Groupings'!$H:$H=""Must be Together""),"""");iferror(filter('Student Groupings'!$A:$A,'Student Groupings'!$E:"&amp;"$E=$C363,'Student Groupings'!$H:$H=""Must be Together""),"""")})))"),"")</f>
        <v/>
      </c>
      <c r="AE363" s="104"/>
      <c r="AF363" s="104"/>
      <c r="AG363" s="104"/>
      <c r="AH363" s="104"/>
    </row>
    <row r="364">
      <c r="A364" s="101">
        <v>8.0</v>
      </c>
      <c r="B364" s="101">
        <v>29137.0</v>
      </c>
      <c r="C364" s="102" t="s">
        <v>602</v>
      </c>
      <c r="D364" s="52" t="s">
        <v>176</v>
      </c>
      <c r="E364" s="52">
        <v>3.0</v>
      </c>
      <c r="F364" s="52" t="s">
        <v>162</v>
      </c>
      <c r="G364" s="52">
        <v>1.0</v>
      </c>
      <c r="H364" s="52" t="s">
        <v>185</v>
      </c>
      <c r="I364" s="52">
        <v>5.0</v>
      </c>
      <c r="J364" s="52" t="s">
        <v>190</v>
      </c>
      <c r="K364" s="52">
        <v>2.0</v>
      </c>
      <c r="L364" s="52" t="s">
        <v>201</v>
      </c>
      <c r="M364" s="52">
        <v>4.0</v>
      </c>
      <c r="N364" s="52" t="s">
        <v>149</v>
      </c>
      <c r="O364" s="52" t="s">
        <v>120</v>
      </c>
      <c r="P364" s="52" t="s">
        <v>141</v>
      </c>
      <c r="Q364" s="52" t="s">
        <v>109</v>
      </c>
      <c r="R364" s="52" t="s">
        <v>141</v>
      </c>
      <c r="S364" s="52" t="s">
        <v>109</v>
      </c>
      <c r="T364" s="65" t="s">
        <v>30</v>
      </c>
      <c r="U364" s="32">
        <v>1.0</v>
      </c>
      <c r="V364" s="32">
        <v>1.0</v>
      </c>
      <c r="W364" s="32">
        <v>1.0</v>
      </c>
      <c r="X364" s="32">
        <v>1.0</v>
      </c>
      <c r="Y364" s="32">
        <v>1.0</v>
      </c>
      <c r="Z364" s="32">
        <v>1.0</v>
      </c>
      <c r="AA364" s="32">
        <v>6.0</v>
      </c>
      <c r="AB364" s="32">
        <v>0.0</v>
      </c>
      <c r="AC364" s="103" t="str">
        <f>IFERROR(__xludf.DUMMYFUNCTION("if($C364="""","""",if(join("" - "",{iferror(filter('Student Groupings'!$A:$A,'Student Groupings'!$B:$B=$C364,'Student Groupings'!$H:$H=""Can't be Together""),"""");iferror(filter('Student Groupings'!$A:$A,'Student Groupings'!$E:$E=$C364,'Student Groupings"&amp;"'!$H:$H=""Can't be Together""),"""")})="" - "","""",join("" - "",{iferror(filter('Student Groupings'!$A:$A,'Student Groupings'!$B:$B=$C364,'Student Groupings'!$H:$H=""Can't be Together""),"""");iferror(filter('Student Groupings'!$A:$A,'Student Groupings'!"&amp;"$E:$E=$C364,'Student Groupings'!$H:$H=""Can't be Together""),"""")})))"),"")</f>
        <v/>
      </c>
      <c r="AD364" s="103" t="str">
        <f>IFERROR(__xludf.DUMMYFUNCTION("if($C364="""","""",if(join("" - "",{iferror(filter('Student Groupings'!$A:$A,'Student Groupings'!$B:$B=$C364,'Student Groupings'!$H:$H=""Must be Together""),"""");iferror(filter('Student Groupings'!$A:$A,'Student Groupings'!$E:$E=$C364,'Student Groupings'"&amp;"!$H:$H=""Must be Together""),"""")})="" - "","""",join("" - "",{iferror(filter('Student Groupings'!$A:$A,'Student Groupings'!$B:$B=$C364,'Student Groupings'!$H:$H=""Must be Together""),"""");iferror(filter('Student Groupings'!$A:$A,'Student Groupings'!$E:"&amp;"$E=$C364,'Student Groupings'!$H:$H=""Must be Together""),"""")})))"),"")</f>
        <v/>
      </c>
      <c r="AE364" s="104"/>
      <c r="AF364" s="104"/>
      <c r="AG364" s="104"/>
      <c r="AH364" s="104"/>
    </row>
    <row r="365">
      <c r="A365" s="101">
        <v>8.0</v>
      </c>
      <c r="B365" s="101">
        <v>28077.0</v>
      </c>
      <c r="C365" s="102" t="s">
        <v>603</v>
      </c>
      <c r="D365" s="52" t="s">
        <v>176</v>
      </c>
      <c r="E365" s="52">
        <v>2.0</v>
      </c>
      <c r="F365" s="52" t="s">
        <v>162</v>
      </c>
      <c r="G365" s="52">
        <v>1.0</v>
      </c>
      <c r="H365" s="52" t="s">
        <v>185</v>
      </c>
      <c r="I365" s="52">
        <v>6.0</v>
      </c>
      <c r="J365" s="52" t="s">
        <v>190</v>
      </c>
      <c r="K365" s="52">
        <v>4.0</v>
      </c>
      <c r="L365" s="52" t="s">
        <v>201</v>
      </c>
      <c r="M365" s="52">
        <v>3.0</v>
      </c>
      <c r="N365" s="52" t="s">
        <v>149</v>
      </c>
      <c r="O365" s="52" t="s">
        <v>112</v>
      </c>
      <c r="P365" s="52" t="s">
        <v>118</v>
      </c>
      <c r="Q365" s="52" t="s">
        <v>124</v>
      </c>
      <c r="R365" s="52" t="s">
        <v>135</v>
      </c>
      <c r="S365" s="52" t="s">
        <v>124</v>
      </c>
      <c r="T365" s="65" t="s">
        <v>27</v>
      </c>
      <c r="U365" s="32">
        <v>1.0</v>
      </c>
      <c r="V365" s="32">
        <v>1.0</v>
      </c>
      <c r="W365" s="32">
        <v>1.0</v>
      </c>
      <c r="X365" s="32">
        <v>1.0</v>
      </c>
      <c r="Y365" s="32">
        <v>1.0</v>
      </c>
      <c r="Z365" s="32">
        <v>1.0</v>
      </c>
      <c r="AA365" s="32">
        <v>6.0</v>
      </c>
      <c r="AB365" s="32">
        <v>0.0</v>
      </c>
      <c r="AC365" s="103" t="str">
        <f>IFERROR(__xludf.DUMMYFUNCTION("if($C365="""","""",if(join("" - "",{iferror(filter('Student Groupings'!$A:$A,'Student Groupings'!$B:$B=$C365,'Student Groupings'!$H:$H=""Can't be Together""),"""");iferror(filter('Student Groupings'!$A:$A,'Student Groupings'!$E:$E=$C365,'Student Groupings"&amp;"'!$H:$H=""Can't be Together""),"""")})="" - "","""",join("" - "",{iferror(filter('Student Groupings'!$A:$A,'Student Groupings'!$B:$B=$C365,'Student Groupings'!$H:$H=""Can't be Together""),"""");iferror(filter('Student Groupings'!$A:$A,'Student Groupings'!"&amp;"$E:$E=$C365,'Student Groupings'!$H:$H=""Can't be Together""),"""")})))"),"")</f>
        <v/>
      </c>
      <c r="AD365" s="103" t="str">
        <f>IFERROR(__xludf.DUMMYFUNCTION("if($C365="""","""",if(join("" - "",{iferror(filter('Student Groupings'!$A:$A,'Student Groupings'!$B:$B=$C365,'Student Groupings'!$H:$H=""Must be Together""),"""");iferror(filter('Student Groupings'!$A:$A,'Student Groupings'!$E:$E=$C365,'Student Groupings'"&amp;"!$H:$H=""Must be Together""),"""")})="" - "","""",join("" - "",{iferror(filter('Student Groupings'!$A:$A,'Student Groupings'!$B:$B=$C365,'Student Groupings'!$H:$H=""Must be Together""),"""");iferror(filter('Student Groupings'!$A:$A,'Student Groupings'!$E:"&amp;"$E=$C365,'Student Groupings'!$H:$H=""Must be Together""),"""")})))"),"")</f>
        <v/>
      </c>
      <c r="AE365" s="105"/>
      <c r="AF365" s="105">
        <v>1.0</v>
      </c>
      <c r="AG365" s="105">
        <v>1.0</v>
      </c>
      <c r="AH365" s="105"/>
    </row>
    <row r="366">
      <c r="A366" s="101">
        <v>8.0</v>
      </c>
      <c r="B366" s="101">
        <v>29084.0</v>
      </c>
      <c r="C366" s="102" t="s">
        <v>604</v>
      </c>
      <c r="D366" s="52" t="s">
        <v>176</v>
      </c>
      <c r="E366" s="52">
        <v>5.0</v>
      </c>
      <c r="F366" s="52" t="s">
        <v>167</v>
      </c>
      <c r="G366" s="52">
        <v>4.0</v>
      </c>
      <c r="H366" s="52" t="s">
        <v>185</v>
      </c>
      <c r="I366" s="101">
        <v>3.0</v>
      </c>
      <c r="J366" s="52" t="s">
        <v>190</v>
      </c>
      <c r="K366" s="52">
        <v>1.0</v>
      </c>
      <c r="L366" s="52" t="s">
        <v>201</v>
      </c>
      <c r="M366" s="101">
        <v>6.0</v>
      </c>
      <c r="N366" s="52" t="s">
        <v>149</v>
      </c>
      <c r="O366" s="52" t="s">
        <v>125</v>
      </c>
      <c r="P366" s="52" t="s">
        <v>141</v>
      </c>
      <c r="Q366" s="52" t="s">
        <v>119</v>
      </c>
      <c r="R366" s="52" t="s">
        <v>141</v>
      </c>
      <c r="S366" s="52" t="s">
        <v>119</v>
      </c>
      <c r="T366" s="65" t="s">
        <v>8</v>
      </c>
      <c r="U366" s="32">
        <v>1.0</v>
      </c>
      <c r="V366" s="32">
        <v>1.0</v>
      </c>
      <c r="W366" s="32">
        <v>1.0</v>
      </c>
      <c r="X366" s="32">
        <v>1.0</v>
      </c>
      <c r="Y366" s="32">
        <v>1.0</v>
      </c>
      <c r="Z366" s="32">
        <v>1.0</v>
      </c>
      <c r="AA366" s="32">
        <v>6.0</v>
      </c>
      <c r="AB366" s="32">
        <v>0.0</v>
      </c>
      <c r="AC366" s="103" t="str">
        <f>IFERROR(__xludf.DUMMYFUNCTION("if($C366="""","""",if(join("" - "",{iferror(filter('Student Groupings'!$A:$A,'Student Groupings'!$B:$B=$C366,'Student Groupings'!$H:$H=""Can't be Together""),"""");iferror(filter('Student Groupings'!$A:$A,'Student Groupings'!$E:$E=$C366,'Student Groupings"&amp;"'!$H:$H=""Can't be Together""),"""")})="" - "","""",join("" - "",{iferror(filter('Student Groupings'!$A:$A,'Student Groupings'!$B:$B=$C366,'Student Groupings'!$H:$H=""Can't be Together""),"""");iferror(filter('Student Groupings'!$A:$A,'Student Groupings'!"&amp;"$E:$E=$C366,'Student Groupings'!$H:$H=""Can't be Together""),"""")})))"),"")</f>
        <v/>
      </c>
      <c r="AD366" s="103" t="str">
        <f>IFERROR(__xludf.DUMMYFUNCTION("if($C366="""","""",if(join("" - "",{iferror(filter('Student Groupings'!$A:$A,'Student Groupings'!$B:$B=$C366,'Student Groupings'!$H:$H=""Must be Together""),"""");iferror(filter('Student Groupings'!$A:$A,'Student Groupings'!$E:$E=$C366,'Student Groupings'"&amp;"!$H:$H=""Must be Together""),"""")})="" - "","""",join("" - "",{iferror(filter('Student Groupings'!$A:$A,'Student Groupings'!$B:$B=$C366,'Student Groupings'!$H:$H=""Must be Together""),"""");iferror(filter('Student Groupings'!$A:$A,'Student Groupings'!$E:"&amp;"$E=$C366,'Student Groupings'!$H:$H=""Must be Together""),"""")})))"),"")</f>
        <v/>
      </c>
      <c r="AE366" s="104"/>
      <c r="AF366" s="104"/>
      <c r="AG366" s="104"/>
      <c r="AH366" s="104"/>
    </row>
    <row r="367">
      <c r="A367" s="101">
        <v>8.0</v>
      </c>
      <c r="B367" s="101">
        <v>29148.0</v>
      </c>
      <c r="C367" s="102" t="s">
        <v>605</v>
      </c>
      <c r="D367" s="52" t="s">
        <v>176</v>
      </c>
      <c r="E367" s="52">
        <v>6.0</v>
      </c>
      <c r="F367" s="52" t="s">
        <v>167</v>
      </c>
      <c r="G367" s="52">
        <v>4.0</v>
      </c>
      <c r="H367" s="52" t="s">
        <v>185</v>
      </c>
      <c r="I367" s="52">
        <v>3.0</v>
      </c>
      <c r="J367" s="52" t="s">
        <v>190</v>
      </c>
      <c r="K367" s="52">
        <v>5.0</v>
      </c>
      <c r="L367" s="52" t="s">
        <v>201</v>
      </c>
      <c r="M367" s="52">
        <v>1.0</v>
      </c>
      <c r="N367" s="52" t="s">
        <v>149</v>
      </c>
      <c r="O367" s="52" t="s">
        <v>125</v>
      </c>
      <c r="P367" s="52" t="s">
        <v>141</v>
      </c>
      <c r="Q367" s="52" t="s">
        <v>119</v>
      </c>
      <c r="R367" s="52" t="s">
        <v>141</v>
      </c>
      <c r="S367" s="52" t="s">
        <v>119</v>
      </c>
      <c r="T367" s="65" t="s">
        <v>30</v>
      </c>
      <c r="U367" s="32">
        <v>1.0</v>
      </c>
      <c r="V367" s="32">
        <v>1.0</v>
      </c>
      <c r="W367" s="32">
        <v>1.0</v>
      </c>
      <c r="X367" s="32">
        <v>1.0</v>
      </c>
      <c r="Y367" s="32">
        <v>1.0</v>
      </c>
      <c r="Z367" s="32">
        <v>1.0</v>
      </c>
      <c r="AA367" s="32">
        <v>6.0</v>
      </c>
      <c r="AB367" s="32">
        <v>0.0</v>
      </c>
      <c r="AC367" s="103" t="str">
        <f>IFERROR(__xludf.DUMMYFUNCTION("if($C367="""","""",if(join("" - "",{iferror(filter('Student Groupings'!$A:$A,'Student Groupings'!$B:$B=$C367,'Student Groupings'!$H:$H=""Can't be Together""),"""");iferror(filter('Student Groupings'!$A:$A,'Student Groupings'!$E:$E=$C367,'Student Groupings"&amp;"'!$H:$H=""Can't be Together""),"""")})="" - "","""",join("" - "",{iferror(filter('Student Groupings'!$A:$A,'Student Groupings'!$B:$B=$C367,'Student Groupings'!$H:$H=""Can't be Together""),"""");iferror(filter('Student Groupings'!$A:$A,'Student Groupings'!"&amp;"$E:$E=$C367,'Student Groupings'!$H:$H=""Can't be Together""),"""")})))"),"")</f>
        <v/>
      </c>
      <c r="AD367" s="103" t="str">
        <f>IFERROR(__xludf.DUMMYFUNCTION("if($C367="""","""",if(join("" - "",{iferror(filter('Student Groupings'!$A:$A,'Student Groupings'!$B:$B=$C367,'Student Groupings'!$H:$H=""Must be Together""),"""");iferror(filter('Student Groupings'!$A:$A,'Student Groupings'!$E:$E=$C367,'Student Groupings'"&amp;"!$H:$H=""Must be Together""),"""")})="" - "","""",join("" - "",{iferror(filter('Student Groupings'!$A:$A,'Student Groupings'!$B:$B=$C367,'Student Groupings'!$H:$H=""Must be Together""),"""");iferror(filter('Student Groupings'!$A:$A,'Student Groupings'!$E:"&amp;"$E=$C367,'Student Groupings'!$H:$H=""Must be Together""),"""")})))"),"")</f>
        <v/>
      </c>
      <c r="AE367" s="104"/>
      <c r="AF367" s="104"/>
      <c r="AG367" s="104"/>
      <c r="AH367" s="104"/>
    </row>
    <row r="368">
      <c r="A368" s="101">
        <v>8.0</v>
      </c>
      <c r="B368" s="101">
        <v>29085.0</v>
      </c>
      <c r="C368" s="102" t="s">
        <v>606</v>
      </c>
      <c r="D368" s="52" t="s">
        <v>177</v>
      </c>
      <c r="E368" s="52">
        <v>4.0</v>
      </c>
      <c r="F368" s="52" t="s">
        <v>170</v>
      </c>
      <c r="G368" s="52">
        <v>1.0</v>
      </c>
      <c r="H368" s="52" t="s">
        <v>187</v>
      </c>
      <c r="I368" s="52">
        <v>6.0</v>
      </c>
      <c r="J368" s="52" t="s">
        <v>191</v>
      </c>
      <c r="K368" s="52">
        <v>3.0</v>
      </c>
      <c r="L368" s="52" t="s">
        <v>202</v>
      </c>
      <c r="M368" s="52">
        <v>2.0</v>
      </c>
      <c r="N368" s="52" t="s">
        <v>149</v>
      </c>
      <c r="O368" s="52" t="s">
        <v>124</v>
      </c>
      <c r="P368" s="52" t="s">
        <v>141</v>
      </c>
      <c r="Q368" s="52" t="s">
        <v>112</v>
      </c>
      <c r="R368" s="52" t="s">
        <v>141</v>
      </c>
      <c r="S368" s="52" t="s">
        <v>112</v>
      </c>
      <c r="T368" s="65" t="s">
        <v>30</v>
      </c>
      <c r="U368" s="32">
        <v>1.0</v>
      </c>
      <c r="V368" s="32">
        <v>1.0</v>
      </c>
      <c r="W368" s="32">
        <v>1.0</v>
      </c>
      <c r="X368" s="32">
        <v>1.0</v>
      </c>
      <c r="Y368" s="32">
        <v>1.0</v>
      </c>
      <c r="Z368" s="32">
        <v>1.0</v>
      </c>
      <c r="AA368" s="32">
        <v>6.0</v>
      </c>
      <c r="AB368" s="32">
        <v>0.0</v>
      </c>
      <c r="AC368" s="103" t="str">
        <f>IFERROR(__xludf.DUMMYFUNCTION("if($C368="""","""",if(join("" - "",{iferror(filter('Student Groupings'!$A:$A,'Student Groupings'!$B:$B=$C368,'Student Groupings'!$H:$H=""Can't be Together""),"""");iferror(filter('Student Groupings'!$A:$A,'Student Groupings'!$E:$E=$C368,'Student Groupings"&amp;"'!$H:$H=""Can't be Together""),"""")})="" - "","""",join("" - "",{iferror(filter('Student Groupings'!$A:$A,'Student Groupings'!$B:$B=$C368,'Student Groupings'!$H:$H=""Can't be Together""),"""");iferror(filter('Student Groupings'!$A:$A,'Student Groupings'!"&amp;"$E:$E=$C368,'Student Groupings'!$H:$H=""Can't be Together""),"""")})))"),"")</f>
        <v/>
      </c>
      <c r="AD368" s="103" t="str">
        <f>IFERROR(__xludf.DUMMYFUNCTION("if($C368="""","""",if(join("" - "",{iferror(filter('Student Groupings'!$A:$A,'Student Groupings'!$B:$B=$C368,'Student Groupings'!$H:$H=""Must be Together""),"""");iferror(filter('Student Groupings'!$A:$A,'Student Groupings'!$E:$E=$C368,'Student Groupings'"&amp;"!$H:$H=""Must be Together""),"""")})="" - "","""",join("" - "",{iferror(filter('Student Groupings'!$A:$A,'Student Groupings'!$B:$B=$C368,'Student Groupings'!$H:$H=""Must be Together""),"""");iferror(filter('Student Groupings'!$A:$A,'Student Groupings'!$E:"&amp;"$E=$C368,'Student Groupings'!$H:$H=""Must be Together""),"""")})))"),"")</f>
        <v/>
      </c>
      <c r="AE368" s="104"/>
      <c r="AF368" s="104"/>
      <c r="AG368" s="104"/>
      <c r="AH368" s="105">
        <v>1.0</v>
      </c>
    </row>
    <row r="369">
      <c r="A369" s="101">
        <v>8.0</v>
      </c>
      <c r="B369" s="101">
        <v>29159.0</v>
      </c>
      <c r="C369" s="102" t="s">
        <v>607</v>
      </c>
      <c r="D369" s="52" t="s">
        <v>177</v>
      </c>
      <c r="E369" s="52">
        <v>4.0</v>
      </c>
      <c r="F369" s="52" t="s">
        <v>167</v>
      </c>
      <c r="G369" s="52">
        <v>5.0</v>
      </c>
      <c r="H369" s="52" t="s">
        <v>187</v>
      </c>
      <c r="I369" s="52">
        <v>6.0</v>
      </c>
      <c r="J369" s="52" t="s">
        <v>191</v>
      </c>
      <c r="K369" s="52">
        <v>3.0</v>
      </c>
      <c r="L369" s="52" t="s">
        <v>202</v>
      </c>
      <c r="M369" s="52">
        <v>2.0</v>
      </c>
      <c r="N369" s="52" t="s">
        <v>149</v>
      </c>
      <c r="O369" s="52" t="s">
        <v>108</v>
      </c>
      <c r="P369" s="52" t="s">
        <v>141</v>
      </c>
      <c r="Q369" s="52" t="s">
        <v>129</v>
      </c>
      <c r="R369" s="52" t="s">
        <v>141</v>
      </c>
      <c r="S369" s="52" t="s">
        <v>129</v>
      </c>
      <c r="T369" s="65" t="s">
        <v>30</v>
      </c>
      <c r="U369" s="32">
        <v>1.0</v>
      </c>
      <c r="V369" s="32">
        <v>1.0</v>
      </c>
      <c r="W369" s="32">
        <v>1.0</v>
      </c>
      <c r="X369" s="32">
        <v>1.0</v>
      </c>
      <c r="Y369" s="32">
        <v>1.0</v>
      </c>
      <c r="Z369" s="32">
        <v>1.0</v>
      </c>
      <c r="AA369" s="32">
        <v>6.0</v>
      </c>
      <c r="AB369" s="32">
        <v>0.0</v>
      </c>
      <c r="AC369" s="103" t="str">
        <f>IFERROR(__xludf.DUMMYFUNCTION("if($C369="""","""",if(join("" - "",{iferror(filter('Student Groupings'!$A:$A,'Student Groupings'!$B:$B=$C369,'Student Groupings'!$H:$H=""Can't be Together""),"""");iferror(filter('Student Groupings'!$A:$A,'Student Groupings'!$E:$E=$C369,'Student Groupings"&amp;"'!$H:$H=""Can't be Together""),"""")})="" - "","""",join("" - "",{iferror(filter('Student Groupings'!$A:$A,'Student Groupings'!$B:$B=$C369,'Student Groupings'!$H:$H=""Can't be Together""),"""");iferror(filter('Student Groupings'!$A:$A,'Student Groupings'!"&amp;"$E:$E=$C369,'Student Groupings'!$H:$H=""Can't be Together""),"""")})))"),"")</f>
        <v/>
      </c>
      <c r="AD369" s="103" t="str">
        <f>IFERROR(__xludf.DUMMYFUNCTION("if($C369="""","""",if(join("" - "",{iferror(filter('Student Groupings'!$A:$A,'Student Groupings'!$B:$B=$C369,'Student Groupings'!$H:$H=""Must be Together""),"""");iferror(filter('Student Groupings'!$A:$A,'Student Groupings'!$E:$E=$C369,'Student Groupings'"&amp;"!$H:$H=""Must be Together""),"""")})="" - "","""",join("" - "",{iferror(filter('Student Groupings'!$A:$A,'Student Groupings'!$B:$B=$C369,'Student Groupings'!$H:$H=""Must be Together""),"""");iferror(filter('Student Groupings'!$A:$A,'Student Groupings'!$E:"&amp;"$E=$C369,'Student Groupings'!$H:$H=""Must be Together""),"""")})))"),"")</f>
        <v/>
      </c>
      <c r="AE369" s="104"/>
      <c r="AF369" s="104"/>
      <c r="AG369" s="104"/>
      <c r="AH369" s="104"/>
    </row>
    <row r="370">
      <c r="A370" s="101">
        <v>8.0</v>
      </c>
      <c r="B370" s="101">
        <v>29087.0</v>
      </c>
      <c r="C370" s="102" t="s">
        <v>275</v>
      </c>
      <c r="D370" s="52" t="s">
        <v>176</v>
      </c>
      <c r="E370" s="101">
        <v>3.0</v>
      </c>
      <c r="F370" s="52" t="s">
        <v>162</v>
      </c>
      <c r="G370" s="52">
        <v>1.0</v>
      </c>
      <c r="H370" s="52" t="s">
        <v>185</v>
      </c>
      <c r="I370" s="52">
        <v>6.0</v>
      </c>
      <c r="J370" s="52" t="s">
        <v>190</v>
      </c>
      <c r="K370" s="52">
        <v>2.0</v>
      </c>
      <c r="L370" s="52" t="s">
        <v>201</v>
      </c>
      <c r="M370" s="52">
        <v>4.0</v>
      </c>
      <c r="N370" s="52" t="s">
        <v>149</v>
      </c>
      <c r="O370" s="52" t="s">
        <v>124</v>
      </c>
      <c r="P370" s="52" t="s">
        <v>141</v>
      </c>
      <c r="Q370" s="52" t="s">
        <v>112</v>
      </c>
      <c r="R370" s="52" t="s">
        <v>141</v>
      </c>
      <c r="S370" s="52" t="s">
        <v>112</v>
      </c>
      <c r="T370" s="65" t="s">
        <v>30</v>
      </c>
      <c r="U370" s="32">
        <v>1.0</v>
      </c>
      <c r="V370" s="32">
        <v>1.0</v>
      </c>
      <c r="W370" s="32">
        <v>1.0</v>
      </c>
      <c r="X370" s="32">
        <v>1.0</v>
      </c>
      <c r="Y370" s="32">
        <v>1.0</v>
      </c>
      <c r="Z370" s="32">
        <v>1.0</v>
      </c>
      <c r="AA370" s="32">
        <v>6.0</v>
      </c>
      <c r="AB370" s="32">
        <v>0.0</v>
      </c>
      <c r="AC370" s="103" t="str">
        <f>IFERROR(__xludf.DUMMYFUNCTION("if($C370="""","""",if(join("" - "",{iferror(filter('Student Groupings'!$A:$A,'Student Groupings'!$B:$B=$C370,'Student Groupings'!$H:$H=""Can't be Together""),"""");iferror(filter('Student Groupings'!$A:$A,'Student Groupings'!$E:$E=$C370,'Student Groupings"&amp;"'!$H:$H=""Can't be Together""),"""")})="" - "","""",join("" - "",{iferror(filter('Student Groupings'!$A:$A,'Student Groupings'!$B:$B=$C370,'Student Groupings'!$H:$H=""Can't be Together""),"""");iferror(filter('Student Groupings'!$A:$A,'Student Groupings'!"&amp;"$E:$E=$C370,'Student Groupings'!$H:$H=""Can't be Together""),"""")})))"),"58 - 59 - 60 - 61 - 54 - 63 - 67 - 71")</f>
        <v>58 - 59 - 60 - 61 - 54 - 63 - 67 - 71</v>
      </c>
      <c r="AD370" s="103" t="str">
        <f>IFERROR(__xludf.DUMMYFUNCTION("if($C370="""","""",if(join("" - "",{iferror(filter('Student Groupings'!$A:$A,'Student Groupings'!$B:$B=$C370,'Student Groupings'!$H:$H=""Must be Together""),"""");iferror(filter('Student Groupings'!$A:$A,'Student Groupings'!$E:$E=$C370,'Student Groupings'"&amp;"!$H:$H=""Must be Together""),"""")})="" - "","""",join("" - "",{iferror(filter('Student Groupings'!$A:$A,'Student Groupings'!$B:$B=$C370,'Student Groupings'!$H:$H=""Must be Together""),"""");iferror(filter('Student Groupings'!$A:$A,'Student Groupings'!$E:"&amp;"$E=$C370,'Student Groupings'!$H:$H=""Must be Together""),"""")})))"),"")</f>
        <v/>
      </c>
      <c r="AE370" s="105"/>
      <c r="AF370" s="105">
        <v>1.0</v>
      </c>
      <c r="AG370" s="105">
        <v>1.0</v>
      </c>
      <c r="AH370" s="105"/>
    </row>
    <row r="371">
      <c r="A371" s="101">
        <v>8.0</v>
      </c>
      <c r="B371" s="101">
        <v>29088.0</v>
      </c>
      <c r="C371" s="102" t="s">
        <v>608</v>
      </c>
      <c r="D371" s="52" t="s">
        <v>176</v>
      </c>
      <c r="E371" s="52">
        <v>6.0</v>
      </c>
      <c r="F371" s="52" t="s">
        <v>167</v>
      </c>
      <c r="G371" s="52">
        <v>4.0</v>
      </c>
      <c r="H371" s="52" t="s">
        <v>185</v>
      </c>
      <c r="I371" s="52">
        <v>3.0</v>
      </c>
      <c r="J371" s="52" t="s">
        <v>190</v>
      </c>
      <c r="K371" s="52">
        <v>5.0</v>
      </c>
      <c r="L371" s="52" t="s">
        <v>201</v>
      </c>
      <c r="M371" s="52">
        <v>1.0</v>
      </c>
      <c r="N371" s="52" t="s">
        <v>149</v>
      </c>
      <c r="O371" s="52" t="s">
        <v>125</v>
      </c>
      <c r="P371" s="52" t="s">
        <v>141</v>
      </c>
      <c r="Q371" s="52" t="s">
        <v>119</v>
      </c>
      <c r="R371" s="52" t="s">
        <v>141</v>
      </c>
      <c r="S371" s="52" t="s">
        <v>119</v>
      </c>
      <c r="T371" s="65" t="s">
        <v>30</v>
      </c>
      <c r="U371" s="32">
        <v>1.0</v>
      </c>
      <c r="V371" s="32">
        <v>1.0</v>
      </c>
      <c r="W371" s="32">
        <v>1.0</v>
      </c>
      <c r="X371" s="32">
        <v>1.0</v>
      </c>
      <c r="Y371" s="32">
        <v>1.0</v>
      </c>
      <c r="Z371" s="32">
        <v>1.0</v>
      </c>
      <c r="AA371" s="32">
        <v>6.0</v>
      </c>
      <c r="AB371" s="32">
        <v>0.0</v>
      </c>
      <c r="AC371" s="103" t="str">
        <f>IFERROR(__xludf.DUMMYFUNCTION("if($C371="""","""",if(join("" - "",{iferror(filter('Student Groupings'!$A:$A,'Student Groupings'!$B:$B=$C371,'Student Groupings'!$H:$H=""Can't be Together""),"""");iferror(filter('Student Groupings'!$A:$A,'Student Groupings'!$E:$E=$C371,'Student Groupings"&amp;"'!$H:$H=""Can't be Together""),"""")})="" - "","""",join("" - "",{iferror(filter('Student Groupings'!$A:$A,'Student Groupings'!$B:$B=$C371,'Student Groupings'!$H:$H=""Can't be Together""),"""");iferror(filter('Student Groupings'!$A:$A,'Student Groupings'!"&amp;"$E:$E=$C371,'Student Groupings'!$H:$H=""Can't be Together""),"""")})))"),"")</f>
        <v/>
      </c>
      <c r="AD371" s="103" t="str">
        <f>IFERROR(__xludf.DUMMYFUNCTION("if($C371="""","""",if(join("" - "",{iferror(filter('Student Groupings'!$A:$A,'Student Groupings'!$B:$B=$C371,'Student Groupings'!$H:$H=""Must be Together""),"""");iferror(filter('Student Groupings'!$A:$A,'Student Groupings'!$E:$E=$C371,'Student Groupings'"&amp;"!$H:$H=""Must be Together""),"""")})="" - "","""",join("" - "",{iferror(filter('Student Groupings'!$A:$A,'Student Groupings'!$B:$B=$C371,'Student Groupings'!$H:$H=""Must be Together""),"""");iferror(filter('Student Groupings'!$A:$A,'Student Groupings'!$E:"&amp;"$E=$C371,'Student Groupings'!$H:$H=""Must be Together""),"""")})))"),"")</f>
        <v/>
      </c>
      <c r="AE371" s="104"/>
      <c r="AF371" s="104"/>
      <c r="AG371" s="104"/>
      <c r="AH371" s="104"/>
    </row>
    <row r="372">
      <c r="A372" s="101">
        <v>8.0</v>
      </c>
      <c r="B372" s="101">
        <v>29089.0</v>
      </c>
      <c r="C372" s="102" t="s">
        <v>609</v>
      </c>
      <c r="D372" s="52" t="s">
        <v>176</v>
      </c>
      <c r="E372" s="52">
        <v>6.0</v>
      </c>
      <c r="F372" s="52" t="s">
        <v>167</v>
      </c>
      <c r="G372" s="52">
        <v>3.0</v>
      </c>
      <c r="H372" s="52" t="s">
        <v>185</v>
      </c>
      <c r="I372" s="52">
        <v>2.0</v>
      </c>
      <c r="J372" s="52" t="s">
        <v>190</v>
      </c>
      <c r="K372" s="101">
        <v>5.0</v>
      </c>
      <c r="L372" s="52" t="s">
        <v>201</v>
      </c>
      <c r="M372" s="52">
        <v>1.0</v>
      </c>
      <c r="N372" s="52" t="s">
        <v>149</v>
      </c>
      <c r="O372" s="52" t="s">
        <v>111</v>
      </c>
      <c r="P372" s="52" t="s">
        <v>135</v>
      </c>
      <c r="Q372" s="52" t="s">
        <v>130</v>
      </c>
      <c r="R372" s="52" t="s">
        <v>118</v>
      </c>
      <c r="S372" s="52" t="s">
        <v>130</v>
      </c>
      <c r="T372" s="65" t="s">
        <v>27</v>
      </c>
      <c r="U372" s="32">
        <v>1.0</v>
      </c>
      <c r="V372" s="32">
        <v>1.0</v>
      </c>
      <c r="W372" s="32">
        <v>1.0</v>
      </c>
      <c r="X372" s="32">
        <v>1.0</v>
      </c>
      <c r="Y372" s="32">
        <v>1.0</v>
      </c>
      <c r="Z372" s="32">
        <v>1.0</v>
      </c>
      <c r="AA372" s="32">
        <v>6.0</v>
      </c>
      <c r="AB372" s="32">
        <v>0.0</v>
      </c>
      <c r="AC372" s="103" t="str">
        <f>IFERROR(__xludf.DUMMYFUNCTION("if($C372="""","""",if(join("" - "",{iferror(filter('Student Groupings'!$A:$A,'Student Groupings'!$B:$B=$C372,'Student Groupings'!$H:$H=""Can't be Together""),"""");iferror(filter('Student Groupings'!$A:$A,'Student Groupings'!$E:$E=$C372,'Student Groupings"&amp;"'!$H:$H=""Can't be Together""),"""")})="" - "","""",join("" - "",{iferror(filter('Student Groupings'!$A:$A,'Student Groupings'!$B:$B=$C372,'Student Groupings'!$H:$H=""Can't be Together""),"""");iferror(filter('Student Groupings'!$A:$A,'Student Groupings'!"&amp;"$E:$E=$C372,'Student Groupings'!$H:$H=""Can't be Together""),"""")})))"),"")</f>
        <v/>
      </c>
      <c r="AD372" s="103" t="str">
        <f>IFERROR(__xludf.DUMMYFUNCTION("if($C372="""","""",if(join("" - "",{iferror(filter('Student Groupings'!$A:$A,'Student Groupings'!$B:$B=$C372,'Student Groupings'!$H:$H=""Must be Together""),"""");iferror(filter('Student Groupings'!$A:$A,'Student Groupings'!$E:$E=$C372,'Student Groupings'"&amp;"!$H:$H=""Must be Together""),"""")})="" - "","""",join("" - "",{iferror(filter('Student Groupings'!$A:$A,'Student Groupings'!$B:$B=$C372,'Student Groupings'!$H:$H=""Must be Together""),"""");iferror(filter('Student Groupings'!$A:$A,'Student Groupings'!$E:"&amp;"$E=$C372,'Student Groupings'!$H:$H=""Must be Together""),"""")})))"),"")</f>
        <v/>
      </c>
      <c r="AE372" s="104"/>
      <c r="AF372" s="104"/>
      <c r="AG372" s="104"/>
      <c r="AH372" s="104"/>
    </row>
    <row r="373">
      <c r="A373" s="101">
        <v>8.0</v>
      </c>
      <c r="B373" s="101">
        <v>29157.0</v>
      </c>
      <c r="C373" s="102" t="s">
        <v>293</v>
      </c>
      <c r="D373" s="52" t="s">
        <v>176</v>
      </c>
      <c r="E373" s="52">
        <v>5.0</v>
      </c>
      <c r="F373" s="52" t="s">
        <v>167</v>
      </c>
      <c r="G373" s="52">
        <v>3.0</v>
      </c>
      <c r="H373" s="52" t="s">
        <v>185</v>
      </c>
      <c r="I373" s="52">
        <v>2.0</v>
      </c>
      <c r="J373" s="52" t="s">
        <v>190</v>
      </c>
      <c r="K373" s="52">
        <v>1.0</v>
      </c>
      <c r="L373" s="52" t="s">
        <v>201</v>
      </c>
      <c r="M373" s="52">
        <v>6.0</v>
      </c>
      <c r="N373" s="52" t="s">
        <v>149</v>
      </c>
      <c r="O373" s="52" t="s">
        <v>111</v>
      </c>
      <c r="P373" s="52" t="s">
        <v>135</v>
      </c>
      <c r="Q373" s="52" t="s">
        <v>130</v>
      </c>
      <c r="R373" s="52" t="s">
        <v>118</v>
      </c>
      <c r="S373" s="52" t="s">
        <v>130</v>
      </c>
      <c r="T373" s="65" t="s">
        <v>27</v>
      </c>
      <c r="U373" s="32">
        <v>1.0</v>
      </c>
      <c r="V373" s="32">
        <v>1.0</v>
      </c>
      <c r="W373" s="32">
        <v>1.0</v>
      </c>
      <c r="X373" s="32">
        <v>1.0</v>
      </c>
      <c r="Y373" s="32">
        <v>1.0</v>
      </c>
      <c r="Z373" s="32">
        <v>1.0</v>
      </c>
      <c r="AA373" s="32">
        <v>6.0</v>
      </c>
      <c r="AB373" s="32">
        <v>0.0</v>
      </c>
      <c r="AC373" s="103" t="str">
        <f>IFERROR(__xludf.DUMMYFUNCTION("if($C373="""","""",if(join("" - "",{iferror(filter('Student Groupings'!$A:$A,'Student Groupings'!$B:$B=$C373,'Student Groupings'!$H:$H=""Can't be Together""),"""");iferror(filter('Student Groupings'!$A:$A,'Student Groupings'!$E:$E=$C373,'Student Groupings"&amp;"'!$H:$H=""Can't be Together""),"""")})="" - "","""",join("" - "",{iferror(filter('Student Groupings'!$A:$A,'Student Groupings'!$B:$B=$C373,'Student Groupings'!$H:$H=""Can't be Together""),"""");iferror(filter('Student Groupings'!$A:$A,'Student Groupings'!"&amp;"$E:$E=$C373,'Student Groupings'!$H:$H=""Can't be Together""),"""")})))"),"123 - 124 - ")</f>
        <v>123 - 124 - </v>
      </c>
      <c r="AD373" s="103" t="str">
        <f>IFERROR(__xludf.DUMMYFUNCTION("if($C373="""","""",if(join("" - "",{iferror(filter('Student Groupings'!$A:$A,'Student Groupings'!$B:$B=$C373,'Student Groupings'!$H:$H=""Must be Together""),"""");iferror(filter('Student Groupings'!$A:$A,'Student Groupings'!$E:$E=$C373,'Student Groupings'"&amp;"!$H:$H=""Must be Together""),"""")})="" - "","""",join("" - "",{iferror(filter('Student Groupings'!$A:$A,'Student Groupings'!$B:$B=$C373,'Student Groupings'!$H:$H=""Must be Together""),"""");iferror(filter('Student Groupings'!$A:$A,'Student Groupings'!$E:"&amp;"$E=$C373,'Student Groupings'!$H:$H=""Must be Together""),"""")})))"),"")</f>
        <v/>
      </c>
      <c r="AE373" s="104"/>
      <c r="AF373" s="104"/>
      <c r="AG373" s="104"/>
      <c r="AH373" s="104"/>
    </row>
    <row r="374">
      <c r="A374" s="101">
        <v>8.0</v>
      </c>
      <c r="B374" s="101">
        <v>29091.0</v>
      </c>
      <c r="C374" s="102" t="s">
        <v>610</v>
      </c>
      <c r="D374" s="52" t="s">
        <v>176</v>
      </c>
      <c r="E374" s="52">
        <v>5.0</v>
      </c>
      <c r="F374" s="52" t="s">
        <v>167</v>
      </c>
      <c r="G374" s="52">
        <v>3.0</v>
      </c>
      <c r="H374" s="52" t="s">
        <v>185</v>
      </c>
      <c r="I374" s="52">
        <v>2.0</v>
      </c>
      <c r="J374" s="52" t="s">
        <v>190</v>
      </c>
      <c r="K374" s="52">
        <v>1.0</v>
      </c>
      <c r="L374" s="52" t="s">
        <v>201</v>
      </c>
      <c r="M374" s="52">
        <v>6.0</v>
      </c>
      <c r="N374" s="52" t="s">
        <v>149</v>
      </c>
      <c r="O374" s="52" t="s">
        <v>111</v>
      </c>
      <c r="P374" s="52" t="s">
        <v>135</v>
      </c>
      <c r="Q374" s="52" t="s">
        <v>130</v>
      </c>
      <c r="R374" s="52" t="s">
        <v>118</v>
      </c>
      <c r="S374" s="52" t="s">
        <v>130</v>
      </c>
      <c r="T374" s="65" t="s">
        <v>27</v>
      </c>
      <c r="U374" s="32">
        <v>1.0</v>
      </c>
      <c r="V374" s="32">
        <v>1.0</v>
      </c>
      <c r="W374" s="32">
        <v>1.0</v>
      </c>
      <c r="X374" s="32">
        <v>1.0</v>
      </c>
      <c r="Y374" s="32">
        <v>1.0</v>
      </c>
      <c r="Z374" s="32">
        <v>1.0</v>
      </c>
      <c r="AA374" s="32">
        <v>6.0</v>
      </c>
      <c r="AB374" s="32">
        <v>0.0</v>
      </c>
      <c r="AC374" s="103" t="str">
        <f>IFERROR(__xludf.DUMMYFUNCTION("if($C374="""","""",if(join("" - "",{iferror(filter('Student Groupings'!$A:$A,'Student Groupings'!$B:$B=$C374,'Student Groupings'!$H:$H=""Can't be Together""),"""");iferror(filter('Student Groupings'!$A:$A,'Student Groupings'!$E:$E=$C374,'Student Groupings"&amp;"'!$H:$H=""Can't be Together""),"""")})="" - "","""",join("" - "",{iferror(filter('Student Groupings'!$A:$A,'Student Groupings'!$B:$B=$C374,'Student Groupings'!$H:$H=""Can't be Together""),"""");iferror(filter('Student Groupings'!$A:$A,'Student Groupings'!"&amp;"$E:$E=$C374,'Student Groupings'!$H:$H=""Can't be Together""),"""")})))"),"")</f>
        <v/>
      </c>
      <c r="AD374" s="103" t="str">
        <f>IFERROR(__xludf.DUMMYFUNCTION("if($C374="""","""",if(join("" - "",{iferror(filter('Student Groupings'!$A:$A,'Student Groupings'!$B:$B=$C374,'Student Groupings'!$H:$H=""Must be Together""),"""");iferror(filter('Student Groupings'!$A:$A,'Student Groupings'!$E:$E=$C374,'Student Groupings'"&amp;"!$H:$H=""Must be Together""),"""")})="" - "","""",join("" - "",{iferror(filter('Student Groupings'!$A:$A,'Student Groupings'!$B:$B=$C374,'Student Groupings'!$H:$H=""Must be Together""),"""");iferror(filter('Student Groupings'!$A:$A,'Student Groupings'!$E:"&amp;"$E=$C374,'Student Groupings'!$H:$H=""Must be Together""),"""")})))"),"")</f>
        <v/>
      </c>
      <c r="AE374" s="104"/>
      <c r="AF374" s="104"/>
      <c r="AG374" s="104"/>
      <c r="AH374" s="104"/>
    </row>
    <row r="375">
      <c r="A375" s="101">
        <v>8.0</v>
      </c>
      <c r="B375" s="101">
        <v>29093.0</v>
      </c>
      <c r="C375" s="102" t="s">
        <v>611</v>
      </c>
      <c r="D375" s="52" t="s">
        <v>176</v>
      </c>
      <c r="E375" s="52">
        <v>2.0</v>
      </c>
      <c r="F375" s="52" t="s">
        <v>167</v>
      </c>
      <c r="G375" s="52">
        <v>5.0</v>
      </c>
      <c r="H375" s="52" t="s">
        <v>185</v>
      </c>
      <c r="I375" s="52">
        <v>6.0</v>
      </c>
      <c r="J375" s="52" t="s">
        <v>190</v>
      </c>
      <c r="K375" s="52">
        <v>4.0</v>
      </c>
      <c r="L375" s="52" t="s">
        <v>201</v>
      </c>
      <c r="M375" s="52">
        <v>3.0</v>
      </c>
      <c r="N375" s="52" t="s">
        <v>149</v>
      </c>
      <c r="O375" s="52" t="s">
        <v>108</v>
      </c>
      <c r="P375" s="52" t="s">
        <v>141</v>
      </c>
      <c r="Q375" s="52" t="s">
        <v>129</v>
      </c>
      <c r="R375" s="52" t="s">
        <v>141</v>
      </c>
      <c r="S375" s="52" t="s">
        <v>129</v>
      </c>
      <c r="T375" s="65" t="s">
        <v>30</v>
      </c>
      <c r="U375" s="32">
        <v>1.0</v>
      </c>
      <c r="V375" s="32">
        <v>1.0</v>
      </c>
      <c r="W375" s="32">
        <v>1.0</v>
      </c>
      <c r="X375" s="32">
        <v>1.0</v>
      </c>
      <c r="Y375" s="32">
        <v>1.0</v>
      </c>
      <c r="Z375" s="32">
        <v>1.0</v>
      </c>
      <c r="AA375" s="32">
        <v>6.0</v>
      </c>
      <c r="AB375" s="32">
        <v>0.0</v>
      </c>
      <c r="AC375" s="103" t="str">
        <f>IFERROR(__xludf.DUMMYFUNCTION("if($C375="""","""",if(join("" - "",{iferror(filter('Student Groupings'!$A:$A,'Student Groupings'!$B:$B=$C375,'Student Groupings'!$H:$H=""Can't be Together""),"""");iferror(filter('Student Groupings'!$A:$A,'Student Groupings'!$E:$E=$C375,'Student Groupings"&amp;"'!$H:$H=""Can't be Together""),"""")})="" - "","""",join("" - "",{iferror(filter('Student Groupings'!$A:$A,'Student Groupings'!$B:$B=$C375,'Student Groupings'!$H:$H=""Can't be Together""),"""");iferror(filter('Student Groupings'!$A:$A,'Student Groupings'!"&amp;"$E:$E=$C375,'Student Groupings'!$H:$H=""Can't be Together""),"""")})))"),"")</f>
        <v/>
      </c>
      <c r="AD375" s="103" t="str">
        <f>IFERROR(__xludf.DUMMYFUNCTION("if($C375="""","""",if(join("" - "",{iferror(filter('Student Groupings'!$A:$A,'Student Groupings'!$B:$B=$C375,'Student Groupings'!$H:$H=""Must be Together""),"""");iferror(filter('Student Groupings'!$A:$A,'Student Groupings'!$E:$E=$C375,'Student Groupings'"&amp;"!$H:$H=""Must be Together""),"""")})="" - "","""",join("" - "",{iferror(filter('Student Groupings'!$A:$A,'Student Groupings'!$B:$B=$C375,'Student Groupings'!$H:$H=""Must be Together""),"""");iferror(filter('Student Groupings'!$A:$A,'Student Groupings'!$E:"&amp;"$E=$C375,'Student Groupings'!$H:$H=""Must be Together""),"""")})))"),"")</f>
        <v/>
      </c>
      <c r="AE375" s="104"/>
      <c r="AF375" s="104"/>
      <c r="AG375" s="104"/>
      <c r="AH375" s="104"/>
    </row>
    <row r="376">
      <c r="A376" s="101">
        <v>8.0</v>
      </c>
      <c r="B376" s="101">
        <v>28087.0</v>
      </c>
      <c r="C376" s="102" t="s">
        <v>265</v>
      </c>
      <c r="D376" s="52" t="s">
        <v>176</v>
      </c>
      <c r="E376" s="52">
        <v>3.0</v>
      </c>
      <c r="F376" s="52" t="s">
        <v>170</v>
      </c>
      <c r="G376" s="52">
        <v>1.0</v>
      </c>
      <c r="H376" s="52" t="s">
        <v>187</v>
      </c>
      <c r="I376" s="52">
        <v>6.0</v>
      </c>
      <c r="J376" s="52" t="s">
        <v>190</v>
      </c>
      <c r="K376" s="101">
        <v>2.0</v>
      </c>
      <c r="L376" s="52" t="s">
        <v>201</v>
      </c>
      <c r="M376" s="101">
        <v>4.0</v>
      </c>
      <c r="N376" s="52" t="s">
        <v>149</v>
      </c>
      <c r="O376" s="52" t="s">
        <v>124</v>
      </c>
      <c r="P376" s="52" t="s">
        <v>141</v>
      </c>
      <c r="Q376" s="52" t="s">
        <v>112</v>
      </c>
      <c r="R376" s="52" t="s">
        <v>141</v>
      </c>
      <c r="S376" s="52" t="s">
        <v>112</v>
      </c>
      <c r="T376" s="65" t="s">
        <v>30</v>
      </c>
      <c r="U376" s="32">
        <v>1.0</v>
      </c>
      <c r="V376" s="32">
        <v>1.0</v>
      </c>
      <c r="W376" s="32">
        <v>1.0</v>
      </c>
      <c r="X376" s="32">
        <v>1.0</v>
      </c>
      <c r="Y376" s="32">
        <v>1.0</v>
      </c>
      <c r="Z376" s="32">
        <v>1.0</v>
      </c>
      <c r="AA376" s="32">
        <v>6.0</v>
      </c>
      <c r="AB376" s="32">
        <v>0.0</v>
      </c>
      <c r="AC376" s="103" t="str">
        <f>IFERROR(__xludf.DUMMYFUNCTION("if($C376="""","""",if(join("" - "",{iferror(filter('Student Groupings'!$A:$A,'Student Groupings'!$B:$B=$C376,'Student Groupings'!$H:$H=""Can't be Together""),"""");iferror(filter('Student Groupings'!$A:$A,'Student Groupings'!$E:$E=$C376,'Student Groupings"&amp;"'!$H:$H=""Can't be Together""),"""")})="" - "","""",join("" - "",{iferror(filter('Student Groupings'!$A:$A,'Student Groupings'!$B:$B=$C376,'Student Groupings'!$H:$H=""Can't be Together""),"""");iferror(filter('Student Groupings'!$A:$A,'Student Groupings'!"&amp;"$E:$E=$C376,'Student Groupings'!$H:$H=""Can't be Together""),"""")})))"),"47 - 48 - 49 - 50 - 51 - ")</f>
        <v>47 - 48 - 49 - 50 - 51 - </v>
      </c>
      <c r="AD376" s="103" t="str">
        <f>IFERROR(__xludf.DUMMYFUNCTION("if($C376="""","""",if(join("" - "",{iferror(filter('Student Groupings'!$A:$A,'Student Groupings'!$B:$B=$C376,'Student Groupings'!$H:$H=""Must be Together""),"""");iferror(filter('Student Groupings'!$A:$A,'Student Groupings'!$E:$E=$C376,'Student Groupings'"&amp;"!$H:$H=""Must be Together""),"""")})="" - "","""",join("" - "",{iferror(filter('Student Groupings'!$A:$A,'Student Groupings'!$B:$B=$C376,'Student Groupings'!$H:$H=""Must be Together""),"""");iferror(filter('Student Groupings'!$A:$A,'Student Groupings'!$E:"&amp;"$E=$C376,'Student Groupings'!$H:$H=""Must be Together""),"""")})))"),"52 - ")</f>
        <v>52 - </v>
      </c>
      <c r="AE376" s="104"/>
      <c r="AF376" s="104"/>
      <c r="AG376" s="104"/>
      <c r="AH376" s="105">
        <v>1.0</v>
      </c>
    </row>
    <row r="377">
      <c r="A377" s="101">
        <v>8.0</v>
      </c>
      <c r="B377" s="101">
        <v>29096.0</v>
      </c>
      <c r="C377" s="102" t="s">
        <v>296</v>
      </c>
      <c r="D377" s="52" t="s">
        <v>177</v>
      </c>
      <c r="E377" s="52">
        <v>4.0</v>
      </c>
      <c r="F377" s="52" t="s">
        <v>167</v>
      </c>
      <c r="G377" s="52">
        <v>5.0</v>
      </c>
      <c r="H377" s="52" t="s">
        <v>185</v>
      </c>
      <c r="I377" s="52">
        <v>1.0</v>
      </c>
      <c r="J377" s="52" t="s">
        <v>191</v>
      </c>
      <c r="K377" s="52">
        <v>3.0</v>
      </c>
      <c r="L377" s="52" t="s">
        <v>202</v>
      </c>
      <c r="M377" s="52">
        <v>2.0</v>
      </c>
      <c r="N377" s="52" t="s">
        <v>149</v>
      </c>
      <c r="O377" s="52" t="s">
        <v>120</v>
      </c>
      <c r="P377" s="52" t="s">
        <v>141</v>
      </c>
      <c r="Q377" s="52" t="s">
        <v>109</v>
      </c>
      <c r="R377" s="52" t="s">
        <v>141</v>
      </c>
      <c r="S377" s="52" t="s">
        <v>109</v>
      </c>
      <c r="T377" s="65" t="s">
        <v>30</v>
      </c>
      <c r="U377" s="32">
        <v>1.0</v>
      </c>
      <c r="V377" s="32">
        <v>1.0</v>
      </c>
      <c r="W377" s="32">
        <v>1.0</v>
      </c>
      <c r="X377" s="32">
        <v>1.0</v>
      </c>
      <c r="Y377" s="32">
        <v>1.0</v>
      </c>
      <c r="Z377" s="32">
        <v>1.0</v>
      </c>
      <c r="AA377" s="32">
        <v>6.0</v>
      </c>
      <c r="AB377" s="32">
        <v>0.0</v>
      </c>
      <c r="AC377" s="103" t="str">
        <f>IFERROR(__xludf.DUMMYFUNCTION("if($C377="""","""",if(join("" - "",{iferror(filter('Student Groupings'!$A:$A,'Student Groupings'!$B:$B=$C377,'Student Groupings'!$H:$H=""Can't be Together""),"""");iferror(filter('Student Groupings'!$A:$A,'Student Groupings'!$E:$E=$C377,'Student Groupings"&amp;"'!$H:$H=""Can't be Together""),"""")})="" - "","""",join("" - "",{iferror(filter('Student Groupings'!$A:$A,'Student Groupings'!$B:$B=$C377,'Student Groupings'!$H:$H=""Can't be Together""),"""");iferror(filter('Student Groupings'!$A:$A,'Student Groupings'!"&amp;"$E:$E=$C377,'Student Groupings'!$H:$H=""Can't be Together""),"""")})))"),"")</f>
        <v/>
      </c>
      <c r="AD377" s="103" t="str">
        <f>IFERROR(__xludf.DUMMYFUNCTION("if($C377="""","""",if(join("" - "",{iferror(filter('Student Groupings'!$A:$A,'Student Groupings'!$B:$B=$C377,'Student Groupings'!$H:$H=""Must be Together""),"""");iferror(filter('Student Groupings'!$A:$A,'Student Groupings'!$E:$E=$C377,'Student Groupings'"&amp;"!$H:$H=""Must be Together""),"""")})="" - "","""",join("" - "",{iferror(filter('Student Groupings'!$A:$A,'Student Groupings'!$B:$B=$C377,'Student Groupings'!$H:$H=""Must be Together""),"""");iferror(filter('Student Groupings'!$A:$A,'Student Groupings'!$E:"&amp;"$E=$C377,'Student Groupings'!$H:$H=""Must be Together""),"""")})))")," - 125")</f>
        <v> - 125</v>
      </c>
      <c r="AE377" s="104"/>
      <c r="AF377" s="104"/>
      <c r="AG377" s="104"/>
      <c r="AH377" s="104"/>
    </row>
    <row r="378">
      <c r="A378" s="101">
        <v>8.0</v>
      </c>
      <c r="B378" s="101">
        <v>29097.0</v>
      </c>
      <c r="C378" s="102" t="s">
        <v>612</v>
      </c>
      <c r="D378" s="52" t="s">
        <v>176</v>
      </c>
      <c r="E378" s="52">
        <v>6.0</v>
      </c>
      <c r="F378" s="52" t="s">
        <v>167</v>
      </c>
      <c r="G378" s="52">
        <v>4.0</v>
      </c>
      <c r="H378" s="52" t="s">
        <v>185</v>
      </c>
      <c r="I378" s="52">
        <v>3.0</v>
      </c>
      <c r="J378" s="52" t="s">
        <v>190</v>
      </c>
      <c r="K378" s="52">
        <v>5.0</v>
      </c>
      <c r="L378" s="52" t="s">
        <v>201</v>
      </c>
      <c r="M378" s="52">
        <v>1.0</v>
      </c>
      <c r="N378" s="52" t="s">
        <v>149</v>
      </c>
      <c r="O378" s="52" t="s">
        <v>125</v>
      </c>
      <c r="P378" s="52" t="s">
        <v>141</v>
      </c>
      <c r="Q378" s="52" t="s">
        <v>119</v>
      </c>
      <c r="R378" s="52" t="s">
        <v>141</v>
      </c>
      <c r="S378" s="52" t="s">
        <v>119</v>
      </c>
      <c r="T378" s="65" t="s">
        <v>30</v>
      </c>
      <c r="U378" s="32">
        <v>1.0</v>
      </c>
      <c r="V378" s="32">
        <v>1.0</v>
      </c>
      <c r="W378" s="32">
        <v>1.0</v>
      </c>
      <c r="X378" s="32">
        <v>1.0</v>
      </c>
      <c r="Y378" s="32">
        <v>1.0</v>
      </c>
      <c r="Z378" s="32">
        <v>1.0</v>
      </c>
      <c r="AA378" s="32">
        <v>6.0</v>
      </c>
      <c r="AB378" s="32">
        <v>0.0</v>
      </c>
      <c r="AC378" s="103" t="str">
        <f>IFERROR(__xludf.DUMMYFUNCTION("if($C378="""","""",if(join("" - "",{iferror(filter('Student Groupings'!$A:$A,'Student Groupings'!$B:$B=$C378,'Student Groupings'!$H:$H=""Can't be Together""),"""");iferror(filter('Student Groupings'!$A:$A,'Student Groupings'!$E:$E=$C378,'Student Groupings"&amp;"'!$H:$H=""Can't be Together""),"""")})="" - "","""",join("" - "",{iferror(filter('Student Groupings'!$A:$A,'Student Groupings'!$B:$B=$C378,'Student Groupings'!$H:$H=""Can't be Together""),"""");iferror(filter('Student Groupings'!$A:$A,'Student Groupings'!"&amp;"$E:$E=$C378,'Student Groupings'!$H:$H=""Can't be Together""),"""")})))"),"")</f>
        <v/>
      </c>
      <c r="AD378" s="103" t="str">
        <f>IFERROR(__xludf.DUMMYFUNCTION("if($C378="""","""",if(join("" - "",{iferror(filter('Student Groupings'!$A:$A,'Student Groupings'!$B:$B=$C378,'Student Groupings'!$H:$H=""Must be Together""),"""");iferror(filter('Student Groupings'!$A:$A,'Student Groupings'!$E:$E=$C378,'Student Groupings'"&amp;"!$H:$H=""Must be Together""),"""")})="" - "","""",join("" - "",{iferror(filter('Student Groupings'!$A:$A,'Student Groupings'!$B:$B=$C378,'Student Groupings'!$H:$H=""Must be Together""),"""");iferror(filter('Student Groupings'!$A:$A,'Student Groupings'!$E:"&amp;"$E=$C378,'Student Groupings'!$H:$H=""Must be Together""),"""")})))"),"")</f>
        <v/>
      </c>
      <c r="AE378" s="104"/>
      <c r="AF378" s="104"/>
      <c r="AG378" s="104"/>
      <c r="AH378" s="104"/>
    </row>
    <row r="379">
      <c r="A379" s="101">
        <v>8.0</v>
      </c>
      <c r="B379" s="101">
        <v>29169.0</v>
      </c>
      <c r="C379" s="102" t="s">
        <v>613</v>
      </c>
      <c r="D379" s="52" t="s">
        <v>176</v>
      </c>
      <c r="E379" s="52">
        <v>2.0</v>
      </c>
      <c r="F379" s="52" t="s">
        <v>162</v>
      </c>
      <c r="G379" s="52">
        <v>1.0</v>
      </c>
      <c r="H379" s="52" t="s">
        <v>185</v>
      </c>
      <c r="I379" s="52">
        <v>5.0</v>
      </c>
      <c r="J379" s="52" t="s">
        <v>190</v>
      </c>
      <c r="K379" s="52">
        <v>4.0</v>
      </c>
      <c r="L379" s="52" t="s">
        <v>201</v>
      </c>
      <c r="M379" s="52">
        <v>3.0</v>
      </c>
      <c r="N379" s="52" t="s">
        <v>149</v>
      </c>
      <c r="O379" s="52" t="s">
        <v>120</v>
      </c>
      <c r="P379" s="52" t="s">
        <v>141</v>
      </c>
      <c r="Q379" s="52" t="s">
        <v>109</v>
      </c>
      <c r="R379" s="52" t="s">
        <v>141</v>
      </c>
      <c r="S379" s="52" t="s">
        <v>109</v>
      </c>
      <c r="T379" s="65" t="s">
        <v>30</v>
      </c>
      <c r="U379" s="32">
        <v>1.0</v>
      </c>
      <c r="V379" s="32">
        <v>1.0</v>
      </c>
      <c r="W379" s="32">
        <v>1.0</v>
      </c>
      <c r="X379" s="32">
        <v>1.0</v>
      </c>
      <c r="Y379" s="32">
        <v>1.0</v>
      </c>
      <c r="Z379" s="32">
        <v>1.0</v>
      </c>
      <c r="AA379" s="32">
        <v>6.0</v>
      </c>
      <c r="AB379" s="32">
        <v>0.0</v>
      </c>
      <c r="AC379" s="103" t="str">
        <f>IFERROR(__xludf.DUMMYFUNCTION("if($C379="""","""",if(join("" - "",{iferror(filter('Student Groupings'!$A:$A,'Student Groupings'!$B:$B=$C379,'Student Groupings'!$H:$H=""Can't be Together""),"""");iferror(filter('Student Groupings'!$A:$A,'Student Groupings'!$E:$E=$C379,'Student Groupings"&amp;"'!$H:$H=""Can't be Together""),"""")})="" - "","""",join("" - "",{iferror(filter('Student Groupings'!$A:$A,'Student Groupings'!$B:$B=$C379,'Student Groupings'!$H:$H=""Can't be Together""),"""");iferror(filter('Student Groupings'!$A:$A,'Student Groupings'!"&amp;"$E:$E=$C379,'Student Groupings'!$H:$H=""Can't be Together""),"""")})))"),"")</f>
        <v/>
      </c>
      <c r="AD379" s="103" t="str">
        <f>IFERROR(__xludf.DUMMYFUNCTION("if($C379="""","""",if(join("" - "",{iferror(filter('Student Groupings'!$A:$A,'Student Groupings'!$B:$B=$C379,'Student Groupings'!$H:$H=""Must be Together""),"""");iferror(filter('Student Groupings'!$A:$A,'Student Groupings'!$E:$E=$C379,'Student Groupings'"&amp;"!$H:$H=""Must be Together""),"""")})="" - "","""",join("" - "",{iferror(filter('Student Groupings'!$A:$A,'Student Groupings'!$B:$B=$C379,'Student Groupings'!$H:$H=""Must be Together""),"""");iferror(filter('Student Groupings'!$A:$A,'Student Groupings'!$E:"&amp;"$E=$C379,'Student Groupings'!$H:$H=""Must be Together""),"""")})))"),"")</f>
        <v/>
      </c>
      <c r="AE379" s="104"/>
      <c r="AF379" s="104"/>
      <c r="AG379" s="104"/>
      <c r="AH379" s="104"/>
    </row>
    <row r="380">
      <c r="A380" s="101">
        <v>8.0</v>
      </c>
      <c r="B380" s="101">
        <v>29098.0</v>
      </c>
      <c r="C380" s="102" t="s">
        <v>614</v>
      </c>
      <c r="D380" s="52" t="s">
        <v>176</v>
      </c>
      <c r="E380" s="52">
        <v>6.0</v>
      </c>
      <c r="F380" s="52" t="s">
        <v>167</v>
      </c>
      <c r="G380" s="52">
        <v>4.0</v>
      </c>
      <c r="H380" s="52" t="s">
        <v>185</v>
      </c>
      <c r="I380" s="52">
        <v>3.0</v>
      </c>
      <c r="J380" s="52" t="s">
        <v>190</v>
      </c>
      <c r="K380" s="101">
        <v>5.0</v>
      </c>
      <c r="L380" s="52" t="s">
        <v>201</v>
      </c>
      <c r="M380" s="52">
        <v>1.0</v>
      </c>
      <c r="N380" s="52" t="s">
        <v>149</v>
      </c>
      <c r="O380" s="52" t="s">
        <v>125</v>
      </c>
      <c r="P380" s="52" t="s">
        <v>141</v>
      </c>
      <c r="Q380" s="52" t="s">
        <v>119</v>
      </c>
      <c r="R380" s="52" t="s">
        <v>141</v>
      </c>
      <c r="S380" s="52" t="s">
        <v>119</v>
      </c>
      <c r="T380" s="65" t="s">
        <v>30</v>
      </c>
      <c r="U380" s="32">
        <v>1.0</v>
      </c>
      <c r="V380" s="32">
        <v>1.0</v>
      </c>
      <c r="W380" s="32">
        <v>1.0</v>
      </c>
      <c r="X380" s="32">
        <v>1.0</v>
      </c>
      <c r="Y380" s="32">
        <v>1.0</v>
      </c>
      <c r="Z380" s="32">
        <v>1.0</v>
      </c>
      <c r="AA380" s="32">
        <v>6.0</v>
      </c>
      <c r="AB380" s="32">
        <v>0.0</v>
      </c>
      <c r="AC380" s="103" t="str">
        <f>IFERROR(__xludf.DUMMYFUNCTION("if($C380="""","""",if(join("" - "",{iferror(filter('Student Groupings'!$A:$A,'Student Groupings'!$B:$B=$C380,'Student Groupings'!$H:$H=""Can't be Together""),"""");iferror(filter('Student Groupings'!$A:$A,'Student Groupings'!$E:$E=$C380,'Student Groupings"&amp;"'!$H:$H=""Can't be Together""),"""")})="" - "","""",join("" - "",{iferror(filter('Student Groupings'!$A:$A,'Student Groupings'!$B:$B=$C380,'Student Groupings'!$H:$H=""Can't be Together""),"""");iferror(filter('Student Groupings'!$A:$A,'Student Groupings'!"&amp;"$E:$E=$C380,'Student Groupings'!$H:$H=""Can't be Together""),"""")})))"),"")</f>
        <v/>
      </c>
      <c r="AD380" s="103" t="str">
        <f>IFERROR(__xludf.DUMMYFUNCTION("if($C380="""","""",if(join("" - "",{iferror(filter('Student Groupings'!$A:$A,'Student Groupings'!$B:$B=$C380,'Student Groupings'!$H:$H=""Must be Together""),"""");iferror(filter('Student Groupings'!$A:$A,'Student Groupings'!$E:$E=$C380,'Student Groupings'"&amp;"!$H:$H=""Must be Together""),"""")})="" - "","""",join("" - "",{iferror(filter('Student Groupings'!$A:$A,'Student Groupings'!$B:$B=$C380,'Student Groupings'!$H:$H=""Must be Together""),"""");iferror(filter('Student Groupings'!$A:$A,'Student Groupings'!$E:"&amp;"$E=$C380,'Student Groupings'!$H:$H=""Must be Together""),"""")})))"),"")</f>
        <v/>
      </c>
      <c r="AE380" s="104"/>
      <c r="AF380" s="104"/>
      <c r="AG380" s="104"/>
      <c r="AH380" s="104"/>
    </row>
    <row r="381">
      <c r="A381" s="101">
        <v>8.0</v>
      </c>
      <c r="B381" s="101">
        <v>29099.0</v>
      </c>
      <c r="C381" s="102" t="s">
        <v>615</v>
      </c>
      <c r="D381" s="52" t="s">
        <v>176</v>
      </c>
      <c r="E381" s="52">
        <v>3.0</v>
      </c>
      <c r="F381" s="52" t="s">
        <v>170</v>
      </c>
      <c r="G381" s="52">
        <v>1.0</v>
      </c>
      <c r="H381" s="52" t="s">
        <v>185</v>
      </c>
      <c r="I381" s="52">
        <v>5.0</v>
      </c>
      <c r="J381" s="52" t="s">
        <v>190</v>
      </c>
      <c r="K381" s="52">
        <v>2.0</v>
      </c>
      <c r="L381" s="52" t="s">
        <v>201</v>
      </c>
      <c r="M381" s="52">
        <v>4.0</v>
      </c>
      <c r="N381" s="52" t="s">
        <v>149</v>
      </c>
      <c r="O381" s="52" t="s">
        <v>120</v>
      </c>
      <c r="P381" s="52" t="s">
        <v>141</v>
      </c>
      <c r="Q381" s="52" t="s">
        <v>109</v>
      </c>
      <c r="R381" s="52" t="s">
        <v>141</v>
      </c>
      <c r="S381" s="52" t="s">
        <v>109</v>
      </c>
      <c r="T381" s="65" t="s">
        <v>30</v>
      </c>
      <c r="U381" s="32">
        <v>1.0</v>
      </c>
      <c r="V381" s="32">
        <v>1.0</v>
      </c>
      <c r="W381" s="32">
        <v>1.0</v>
      </c>
      <c r="X381" s="32">
        <v>1.0</v>
      </c>
      <c r="Y381" s="32">
        <v>1.0</v>
      </c>
      <c r="Z381" s="32">
        <v>1.0</v>
      </c>
      <c r="AA381" s="32">
        <v>6.0</v>
      </c>
      <c r="AB381" s="32">
        <v>0.0</v>
      </c>
      <c r="AC381" s="103" t="str">
        <f>IFERROR(__xludf.DUMMYFUNCTION("if($C381="""","""",if(join("" - "",{iferror(filter('Student Groupings'!$A:$A,'Student Groupings'!$B:$B=$C381,'Student Groupings'!$H:$H=""Can't be Together""),"""");iferror(filter('Student Groupings'!$A:$A,'Student Groupings'!$E:$E=$C381,'Student Groupings"&amp;"'!$H:$H=""Can't be Together""),"""")})="" - "","""",join("" - "",{iferror(filter('Student Groupings'!$A:$A,'Student Groupings'!$B:$B=$C381,'Student Groupings'!$H:$H=""Can't be Together""),"""");iferror(filter('Student Groupings'!$A:$A,'Student Groupings'!"&amp;"$E:$E=$C381,'Student Groupings'!$H:$H=""Can't be Together""),"""")})))"),"")</f>
        <v/>
      </c>
      <c r="AD381" s="103" t="str">
        <f>IFERROR(__xludf.DUMMYFUNCTION("if($C381="""","""",if(join("" - "",{iferror(filter('Student Groupings'!$A:$A,'Student Groupings'!$B:$B=$C381,'Student Groupings'!$H:$H=""Must be Together""),"""");iferror(filter('Student Groupings'!$A:$A,'Student Groupings'!$E:$E=$C381,'Student Groupings'"&amp;"!$H:$H=""Must be Together""),"""")})="" - "","""",join("" - "",{iferror(filter('Student Groupings'!$A:$A,'Student Groupings'!$B:$B=$C381,'Student Groupings'!$H:$H=""Must be Together""),"""");iferror(filter('Student Groupings'!$A:$A,'Student Groupings'!$E:"&amp;"$E=$C381,'Student Groupings'!$H:$H=""Must be Together""),"""")})))"),"")</f>
        <v/>
      </c>
      <c r="AE381" s="104"/>
      <c r="AF381" s="104"/>
      <c r="AG381" s="104"/>
      <c r="AH381" s="104"/>
    </row>
    <row r="382">
      <c r="A382" s="101">
        <v>8.0</v>
      </c>
      <c r="B382" s="101">
        <v>29100.0</v>
      </c>
      <c r="C382" s="102" t="s">
        <v>278</v>
      </c>
      <c r="D382" s="52" t="s">
        <v>176</v>
      </c>
      <c r="E382" s="52">
        <v>3.0</v>
      </c>
      <c r="F382" s="52" t="s">
        <v>170</v>
      </c>
      <c r="G382" s="101">
        <v>1.0</v>
      </c>
      <c r="H382" s="52" t="s">
        <v>185</v>
      </c>
      <c r="I382" s="52">
        <v>5.0</v>
      </c>
      <c r="J382" s="52" t="s">
        <v>190</v>
      </c>
      <c r="K382" s="52">
        <v>2.0</v>
      </c>
      <c r="L382" s="52" t="s">
        <v>201</v>
      </c>
      <c r="M382" s="52">
        <v>4.0</v>
      </c>
      <c r="N382" s="52" t="s">
        <v>149</v>
      </c>
      <c r="O382" s="52" t="s">
        <v>120</v>
      </c>
      <c r="P382" s="52" t="s">
        <v>141</v>
      </c>
      <c r="Q382" s="52" t="s">
        <v>109</v>
      </c>
      <c r="R382" s="52" t="s">
        <v>141</v>
      </c>
      <c r="S382" s="52" t="s">
        <v>109</v>
      </c>
      <c r="T382" s="65" t="s">
        <v>30</v>
      </c>
      <c r="U382" s="32">
        <v>1.0</v>
      </c>
      <c r="V382" s="32">
        <v>1.0</v>
      </c>
      <c r="W382" s="32">
        <v>1.0</v>
      </c>
      <c r="X382" s="32">
        <v>1.0</v>
      </c>
      <c r="Y382" s="32">
        <v>1.0</v>
      </c>
      <c r="Z382" s="32">
        <v>1.0</v>
      </c>
      <c r="AA382" s="32">
        <v>6.0</v>
      </c>
      <c r="AB382" s="32">
        <v>0.0</v>
      </c>
      <c r="AC382" s="103" t="str">
        <f>IFERROR(__xludf.DUMMYFUNCTION("if($C382="""","""",if(join("" - "",{iferror(filter('Student Groupings'!$A:$A,'Student Groupings'!$B:$B=$C382,'Student Groupings'!$H:$H=""Can't be Together""),"""");iferror(filter('Student Groupings'!$A:$A,'Student Groupings'!$E:$E=$C382,'Student Groupings"&amp;"'!$H:$H=""Can't be Together""),"""")})="" - "","""",join("" - "",{iferror(filter('Student Groupings'!$A:$A,'Student Groupings'!$B:$B=$C382,'Student Groupings'!$H:$H=""Can't be Together""),"""");iferror(filter('Student Groupings'!$A:$A,'Student Groupings'!"&amp;"$E:$E=$C382,'Student Groupings'!$H:$H=""Can't be Together""),"""")})))"),"70 - 71 - 72 - 73 - 57 - 61 - 65 - 69")</f>
        <v>70 - 71 - 72 - 73 - 57 - 61 - 65 - 69</v>
      </c>
      <c r="AD382" s="103" t="str">
        <f>IFERROR(__xludf.DUMMYFUNCTION("if($C382="""","""",if(join("" - "",{iferror(filter('Student Groupings'!$A:$A,'Student Groupings'!$B:$B=$C382,'Student Groupings'!$H:$H=""Must be Together""),"""");iferror(filter('Student Groupings'!$A:$A,'Student Groupings'!$E:$E=$C382,'Student Groupings'"&amp;"!$H:$H=""Must be Together""),"""")})="" - "","""",join("" - "",{iferror(filter('Student Groupings'!$A:$A,'Student Groupings'!$B:$B=$C382,'Student Groupings'!$H:$H=""Must be Together""),"""");iferror(filter('Student Groupings'!$A:$A,'Student Groupings'!$E:"&amp;"$E=$C382,'Student Groupings'!$H:$H=""Must be Together""),"""")})))"),"")</f>
        <v/>
      </c>
      <c r="AE382" s="104"/>
      <c r="AF382" s="104"/>
      <c r="AG382" s="104"/>
      <c r="AH382" s="104"/>
    </row>
    <row r="383">
      <c r="A383" s="101">
        <v>8.0</v>
      </c>
      <c r="B383" s="101">
        <v>29101.0</v>
      </c>
      <c r="C383" s="102" t="s">
        <v>616</v>
      </c>
      <c r="D383" s="52" t="s">
        <v>176</v>
      </c>
      <c r="E383" s="52">
        <v>6.0</v>
      </c>
      <c r="F383" s="52" t="s">
        <v>167</v>
      </c>
      <c r="G383" s="52">
        <v>4.0</v>
      </c>
      <c r="H383" s="52" t="s">
        <v>185</v>
      </c>
      <c r="I383" s="52">
        <v>3.0</v>
      </c>
      <c r="J383" s="52" t="s">
        <v>190</v>
      </c>
      <c r="K383" s="52">
        <v>5.0</v>
      </c>
      <c r="L383" s="52" t="s">
        <v>201</v>
      </c>
      <c r="M383" s="52">
        <v>1.0</v>
      </c>
      <c r="N383" s="52" t="s">
        <v>149</v>
      </c>
      <c r="O383" s="52" t="s">
        <v>125</v>
      </c>
      <c r="P383" s="52" t="s">
        <v>141</v>
      </c>
      <c r="Q383" s="52" t="s">
        <v>119</v>
      </c>
      <c r="R383" s="52" t="s">
        <v>141</v>
      </c>
      <c r="S383" s="52" t="s">
        <v>119</v>
      </c>
      <c r="T383" s="65" t="s">
        <v>30</v>
      </c>
      <c r="U383" s="32">
        <v>1.0</v>
      </c>
      <c r="V383" s="32">
        <v>1.0</v>
      </c>
      <c r="W383" s="32">
        <v>1.0</v>
      </c>
      <c r="X383" s="32">
        <v>1.0</v>
      </c>
      <c r="Y383" s="32">
        <v>1.0</v>
      </c>
      <c r="Z383" s="32">
        <v>1.0</v>
      </c>
      <c r="AA383" s="32">
        <v>6.0</v>
      </c>
      <c r="AB383" s="32">
        <v>0.0</v>
      </c>
      <c r="AC383" s="103" t="str">
        <f>IFERROR(__xludf.DUMMYFUNCTION("if($C383="""","""",if(join("" - "",{iferror(filter('Student Groupings'!$A:$A,'Student Groupings'!$B:$B=$C383,'Student Groupings'!$H:$H=""Can't be Together""),"""");iferror(filter('Student Groupings'!$A:$A,'Student Groupings'!$E:$E=$C383,'Student Groupings"&amp;"'!$H:$H=""Can't be Together""),"""")})="" - "","""",join("" - "",{iferror(filter('Student Groupings'!$A:$A,'Student Groupings'!$B:$B=$C383,'Student Groupings'!$H:$H=""Can't be Together""),"""");iferror(filter('Student Groupings'!$A:$A,'Student Groupings'!"&amp;"$E:$E=$C383,'Student Groupings'!$H:$H=""Can't be Together""),"""")})))"),"")</f>
        <v/>
      </c>
      <c r="AD383" s="103" t="str">
        <f>IFERROR(__xludf.DUMMYFUNCTION("if($C383="""","""",if(join("" - "",{iferror(filter('Student Groupings'!$A:$A,'Student Groupings'!$B:$B=$C383,'Student Groupings'!$H:$H=""Must be Together""),"""");iferror(filter('Student Groupings'!$A:$A,'Student Groupings'!$E:$E=$C383,'Student Groupings'"&amp;"!$H:$H=""Must be Together""),"""")})="" - "","""",join("" - "",{iferror(filter('Student Groupings'!$A:$A,'Student Groupings'!$B:$B=$C383,'Student Groupings'!$H:$H=""Must be Together""),"""");iferror(filter('Student Groupings'!$A:$A,'Student Groupings'!$E:"&amp;"$E=$C383,'Student Groupings'!$H:$H=""Must be Together""),"""")})))"),"")</f>
        <v/>
      </c>
      <c r="AE383" s="104"/>
      <c r="AF383" s="104"/>
      <c r="AG383" s="104"/>
      <c r="AH383" s="105">
        <v>1.0</v>
      </c>
    </row>
    <row r="384">
      <c r="A384" s="101">
        <v>8.0</v>
      </c>
      <c r="B384" s="101">
        <v>28160.0</v>
      </c>
      <c r="C384" s="102" t="s">
        <v>617</v>
      </c>
      <c r="D384" s="52" t="s">
        <v>176</v>
      </c>
      <c r="E384" s="52">
        <v>3.0</v>
      </c>
      <c r="F384" s="52" t="s">
        <v>162</v>
      </c>
      <c r="G384" s="52">
        <v>1.0</v>
      </c>
      <c r="H384" s="52" t="s">
        <v>185</v>
      </c>
      <c r="I384" s="52">
        <v>5.0</v>
      </c>
      <c r="J384" s="52" t="s">
        <v>190</v>
      </c>
      <c r="K384" s="52">
        <v>2.0</v>
      </c>
      <c r="L384" s="52" t="s">
        <v>201</v>
      </c>
      <c r="M384" s="52">
        <v>4.0</v>
      </c>
      <c r="N384" s="52" t="s">
        <v>149</v>
      </c>
      <c r="O384" s="52" t="s">
        <v>120</v>
      </c>
      <c r="P384" s="52" t="s">
        <v>141</v>
      </c>
      <c r="Q384" s="52" t="s">
        <v>109</v>
      </c>
      <c r="R384" s="52" t="s">
        <v>141</v>
      </c>
      <c r="S384" s="52" t="s">
        <v>109</v>
      </c>
      <c r="T384" s="65" t="s">
        <v>30</v>
      </c>
      <c r="U384" s="32">
        <v>1.0</v>
      </c>
      <c r="V384" s="32">
        <v>1.0</v>
      </c>
      <c r="W384" s="32">
        <v>1.0</v>
      </c>
      <c r="X384" s="32">
        <v>1.0</v>
      </c>
      <c r="Y384" s="32">
        <v>1.0</v>
      </c>
      <c r="Z384" s="32">
        <v>1.0</v>
      </c>
      <c r="AA384" s="32">
        <v>6.0</v>
      </c>
      <c r="AB384" s="32">
        <v>0.0</v>
      </c>
      <c r="AC384" s="103" t="str">
        <f>IFERROR(__xludf.DUMMYFUNCTION("if($C384="""","""",if(join("" - "",{iferror(filter('Student Groupings'!$A:$A,'Student Groupings'!$B:$B=$C384,'Student Groupings'!$H:$H=""Can't be Together""),"""");iferror(filter('Student Groupings'!$A:$A,'Student Groupings'!$E:$E=$C384,'Student Groupings"&amp;"'!$H:$H=""Can't be Together""),"""")})="" - "","""",join("" - "",{iferror(filter('Student Groupings'!$A:$A,'Student Groupings'!$B:$B=$C384,'Student Groupings'!$H:$H=""Can't be Together""),"""");iferror(filter('Student Groupings'!$A:$A,'Student Groupings'!"&amp;"$E:$E=$C384,'Student Groupings'!$H:$H=""Can't be Together""),"""")})))"),"")</f>
        <v/>
      </c>
      <c r="AD384" s="103" t="str">
        <f>IFERROR(__xludf.DUMMYFUNCTION("if($C384="""","""",if(join("" - "",{iferror(filter('Student Groupings'!$A:$A,'Student Groupings'!$B:$B=$C384,'Student Groupings'!$H:$H=""Must be Together""),"""");iferror(filter('Student Groupings'!$A:$A,'Student Groupings'!$E:$E=$C384,'Student Groupings'"&amp;"!$H:$H=""Must be Together""),"""")})="" - "","""",join("" - "",{iferror(filter('Student Groupings'!$A:$A,'Student Groupings'!$B:$B=$C384,'Student Groupings'!$H:$H=""Must be Together""),"""");iferror(filter('Student Groupings'!$A:$A,'Student Groupings'!$E:"&amp;"$E=$C384,'Student Groupings'!$H:$H=""Must be Together""),"""")})))"),"")</f>
        <v/>
      </c>
      <c r="AE384" s="104"/>
      <c r="AF384" s="104"/>
      <c r="AG384" s="104"/>
      <c r="AH384" s="104"/>
    </row>
    <row r="385">
      <c r="A385" s="101">
        <v>8.0</v>
      </c>
      <c r="B385" s="101">
        <v>29163.0</v>
      </c>
      <c r="C385" s="102" t="s">
        <v>618</v>
      </c>
      <c r="D385" s="52" t="s">
        <v>176</v>
      </c>
      <c r="E385" s="52">
        <v>2.0</v>
      </c>
      <c r="F385" s="52" t="s">
        <v>170</v>
      </c>
      <c r="G385" s="52">
        <v>1.0</v>
      </c>
      <c r="H385" s="52" t="s">
        <v>187</v>
      </c>
      <c r="I385" s="52">
        <v>6.0</v>
      </c>
      <c r="J385" s="52" t="s">
        <v>190</v>
      </c>
      <c r="K385" s="101">
        <v>4.0</v>
      </c>
      <c r="L385" s="52" t="s">
        <v>201</v>
      </c>
      <c r="M385" s="101">
        <v>3.0</v>
      </c>
      <c r="N385" s="52" t="s">
        <v>149</v>
      </c>
      <c r="O385" s="52" t="s">
        <v>124</v>
      </c>
      <c r="P385" s="52" t="s">
        <v>141</v>
      </c>
      <c r="Q385" s="52" t="s">
        <v>112</v>
      </c>
      <c r="R385" s="52" t="s">
        <v>141</v>
      </c>
      <c r="S385" s="52" t="s">
        <v>112</v>
      </c>
      <c r="T385" s="65" t="s">
        <v>30</v>
      </c>
      <c r="U385" s="32">
        <v>1.0</v>
      </c>
      <c r="V385" s="32">
        <v>1.0</v>
      </c>
      <c r="W385" s="32">
        <v>1.0</v>
      </c>
      <c r="X385" s="32">
        <v>1.0</v>
      </c>
      <c r="Y385" s="32">
        <v>1.0</v>
      </c>
      <c r="Z385" s="32">
        <v>1.0</v>
      </c>
      <c r="AA385" s="32">
        <v>6.0</v>
      </c>
      <c r="AB385" s="32">
        <v>0.0</v>
      </c>
      <c r="AC385" s="103" t="str">
        <f>IFERROR(__xludf.DUMMYFUNCTION("if($C385="""","""",if(join("" - "",{iferror(filter('Student Groupings'!$A:$A,'Student Groupings'!$B:$B=$C385,'Student Groupings'!$H:$H=""Can't be Together""),"""");iferror(filter('Student Groupings'!$A:$A,'Student Groupings'!$E:$E=$C385,'Student Groupings"&amp;"'!$H:$H=""Can't be Together""),"""")})="" - "","""",join("" - "",{iferror(filter('Student Groupings'!$A:$A,'Student Groupings'!$B:$B=$C385,'Student Groupings'!$H:$H=""Can't be Together""),"""");iferror(filter('Student Groupings'!$A:$A,'Student Groupings'!"&amp;"$E:$E=$C385,'Student Groupings'!$H:$H=""Can't be Together""),"""")})))"),"")</f>
        <v/>
      </c>
      <c r="AD385" s="103" t="str">
        <f>IFERROR(__xludf.DUMMYFUNCTION("if($C385="""","""",if(join("" - "",{iferror(filter('Student Groupings'!$A:$A,'Student Groupings'!$B:$B=$C385,'Student Groupings'!$H:$H=""Must be Together""),"""");iferror(filter('Student Groupings'!$A:$A,'Student Groupings'!$E:$E=$C385,'Student Groupings'"&amp;"!$H:$H=""Must be Together""),"""")})="" - "","""",join("" - "",{iferror(filter('Student Groupings'!$A:$A,'Student Groupings'!$B:$B=$C385,'Student Groupings'!$H:$H=""Must be Together""),"""");iferror(filter('Student Groupings'!$A:$A,'Student Groupings'!$E:"&amp;"$E=$C385,'Student Groupings'!$H:$H=""Must be Together""),"""")})))"),"")</f>
        <v/>
      </c>
      <c r="AE385" s="104"/>
      <c r="AF385" s="104"/>
      <c r="AG385" s="104"/>
      <c r="AH385" s="104"/>
    </row>
    <row r="386">
      <c r="A386" s="101">
        <v>8.0</v>
      </c>
      <c r="B386" s="101">
        <v>29103.0</v>
      </c>
      <c r="C386" s="102" t="s">
        <v>294</v>
      </c>
      <c r="D386" s="52" t="s">
        <v>176</v>
      </c>
      <c r="E386" s="52">
        <v>4.0</v>
      </c>
      <c r="F386" s="52" t="s">
        <v>162</v>
      </c>
      <c r="G386" s="52">
        <v>6.0</v>
      </c>
      <c r="H386" s="52" t="s">
        <v>185</v>
      </c>
      <c r="I386" s="101">
        <v>5.0</v>
      </c>
      <c r="J386" s="52" t="s">
        <v>190</v>
      </c>
      <c r="K386" s="101">
        <v>3.0</v>
      </c>
      <c r="L386" s="52" t="s">
        <v>201</v>
      </c>
      <c r="M386" s="101">
        <v>2.0</v>
      </c>
      <c r="N386" s="52" t="s">
        <v>149</v>
      </c>
      <c r="O386" s="52" t="s">
        <v>108</v>
      </c>
      <c r="P386" s="52" t="s">
        <v>141</v>
      </c>
      <c r="Q386" s="52" t="s">
        <v>129</v>
      </c>
      <c r="R386" s="52" t="s">
        <v>141</v>
      </c>
      <c r="S386" s="52" t="s">
        <v>129</v>
      </c>
      <c r="T386" s="65" t="s">
        <v>30</v>
      </c>
      <c r="U386" s="32">
        <v>1.0</v>
      </c>
      <c r="V386" s="32">
        <v>1.0</v>
      </c>
      <c r="W386" s="32">
        <v>1.0</v>
      </c>
      <c r="X386" s="32">
        <v>1.0</v>
      </c>
      <c r="Y386" s="32">
        <v>1.0</v>
      </c>
      <c r="Z386" s="32">
        <v>1.0</v>
      </c>
      <c r="AA386" s="32">
        <v>6.0</v>
      </c>
      <c r="AB386" s="32">
        <v>0.0</v>
      </c>
      <c r="AC386" s="103" t="str">
        <f>IFERROR(__xludf.DUMMYFUNCTION("if($C386="""","""",if(join("" - "",{iferror(filter('Student Groupings'!$A:$A,'Student Groupings'!$B:$B=$C386,'Student Groupings'!$H:$H=""Can't be Together""),"""");iferror(filter('Student Groupings'!$A:$A,'Student Groupings'!$E:$E=$C386,'Student Groupings"&amp;"'!$H:$H=""Can't be Together""),"""")})="" - "","""",join("" - "",{iferror(filter('Student Groupings'!$A:$A,'Student Groupings'!$B:$B=$C386,'Student Groupings'!$H:$H=""Can't be Together""),"""");iferror(filter('Student Groupings'!$A:$A,'Student Groupings'!"&amp;"$E:$E=$C386,'Student Groupings'!$H:$H=""Can't be Together""),"""")})))")," - 123")</f>
        <v> - 123</v>
      </c>
      <c r="AD386" s="103" t="str">
        <f>IFERROR(__xludf.DUMMYFUNCTION("if($C386="""","""",if(join("" - "",{iferror(filter('Student Groupings'!$A:$A,'Student Groupings'!$B:$B=$C386,'Student Groupings'!$H:$H=""Must be Together""),"""");iferror(filter('Student Groupings'!$A:$A,'Student Groupings'!$E:$E=$C386,'Student Groupings'"&amp;"!$H:$H=""Must be Together""),"""")})="" - "","""",join("" - "",{iferror(filter('Student Groupings'!$A:$A,'Student Groupings'!$B:$B=$C386,'Student Groupings'!$H:$H=""Must be Together""),"""");iferror(filter('Student Groupings'!$A:$A,'Student Groupings'!$E:"&amp;"$E=$C386,'Student Groupings'!$H:$H=""Must be Together""),"""")})))"),"")</f>
        <v/>
      </c>
      <c r="AE386" s="104"/>
      <c r="AF386" s="104"/>
      <c r="AG386" s="104"/>
      <c r="AH386" s="104"/>
    </row>
    <row r="387">
      <c r="A387" s="101">
        <v>8.0</v>
      </c>
      <c r="B387" s="101">
        <v>29149.0</v>
      </c>
      <c r="C387" s="102" t="s">
        <v>619</v>
      </c>
      <c r="D387" s="52" t="s">
        <v>176</v>
      </c>
      <c r="E387" s="52">
        <v>6.0</v>
      </c>
      <c r="F387" s="52" t="s">
        <v>167</v>
      </c>
      <c r="G387" s="52">
        <v>3.0</v>
      </c>
      <c r="H387" s="52" t="s">
        <v>185</v>
      </c>
      <c r="I387" s="101">
        <v>2.0</v>
      </c>
      <c r="J387" s="52" t="s">
        <v>190</v>
      </c>
      <c r="K387" s="101">
        <v>5.0</v>
      </c>
      <c r="L387" s="52" t="s">
        <v>201</v>
      </c>
      <c r="M387" s="101">
        <v>1.0</v>
      </c>
      <c r="N387" s="52" t="s">
        <v>149</v>
      </c>
      <c r="O387" s="52" t="s">
        <v>111</v>
      </c>
      <c r="P387" s="52" t="s">
        <v>135</v>
      </c>
      <c r="Q387" s="52" t="s">
        <v>130</v>
      </c>
      <c r="R387" s="52" t="s">
        <v>118</v>
      </c>
      <c r="S387" s="52" t="s">
        <v>130</v>
      </c>
      <c r="T387" s="65" t="s">
        <v>27</v>
      </c>
      <c r="U387" s="32">
        <v>1.0</v>
      </c>
      <c r="V387" s="32">
        <v>1.0</v>
      </c>
      <c r="W387" s="32">
        <v>1.0</v>
      </c>
      <c r="X387" s="32">
        <v>1.0</v>
      </c>
      <c r="Y387" s="32">
        <v>1.0</v>
      </c>
      <c r="Z387" s="32">
        <v>1.0</v>
      </c>
      <c r="AA387" s="32">
        <v>6.0</v>
      </c>
      <c r="AB387" s="32">
        <v>0.0</v>
      </c>
      <c r="AC387" s="103" t="str">
        <f>IFERROR(__xludf.DUMMYFUNCTION("if($C387="""","""",if(join("" - "",{iferror(filter('Student Groupings'!$A:$A,'Student Groupings'!$B:$B=$C387,'Student Groupings'!$H:$H=""Can't be Together""),"""");iferror(filter('Student Groupings'!$A:$A,'Student Groupings'!$E:$E=$C387,'Student Groupings"&amp;"'!$H:$H=""Can't be Together""),"""")})="" - "","""",join("" - "",{iferror(filter('Student Groupings'!$A:$A,'Student Groupings'!$B:$B=$C387,'Student Groupings'!$H:$H=""Can't be Together""),"""");iferror(filter('Student Groupings'!$A:$A,'Student Groupings'!"&amp;"$E:$E=$C387,'Student Groupings'!$H:$H=""Can't be Together""),"""")})))"),"")</f>
        <v/>
      </c>
      <c r="AD387" s="103" t="str">
        <f>IFERROR(__xludf.DUMMYFUNCTION("if($C387="""","""",if(join("" - "",{iferror(filter('Student Groupings'!$A:$A,'Student Groupings'!$B:$B=$C387,'Student Groupings'!$H:$H=""Must be Together""),"""");iferror(filter('Student Groupings'!$A:$A,'Student Groupings'!$E:$E=$C387,'Student Groupings'"&amp;"!$H:$H=""Must be Together""),"""")})="" - "","""",join("" - "",{iferror(filter('Student Groupings'!$A:$A,'Student Groupings'!$B:$B=$C387,'Student Groupings'!$H:$H=""Must be Together""),"""");iferror(filter('Student Groupings'!$A:$A,'Student Groupings'!$E:"&amp;"$E=$C387,'Student Groupings'!$H:$H=""Must be Together""),"""")})))"),"")</f>
        <v/>
      </c>
      <c r="AE387" s="104"/>
      <c r="AF387" s="104"/>
      <c r="AG387" s="104"/>
      <c r="AH387" s="104"/>
    </row>
    <row r="388">
      <c r="A388" s="101">
        <v>8.0</v>
      </c>
      <c r="B388" s="101">
        <v>29105.0</v>
      </c>
      <c r="C388" s="102" t="s">
        <v>620</v>
      </c>
      <c r="D388" s="52" t="s">
        <v>177</v>
      </c>
      <c r="E388" s="52">
        <v>4.0</v>
      </c>
      <c r="F388" s="52" t="s">
        <v>170</v>
      </c>
      <c r="G388" s="52">
        <v>1.0</v>
      </c>
      <c r="H388" s="52" t="s">
        <v>187</v>
      </c>
      <c r="I388" s="52">
        <v>6.0</v>
      </c>
      <c r="J388" s="52" t="s">
        <v>191</v>
      </c>
      <c r="K388" s="52">
        <v>3.0</v>
      </c>
      <c r="L388" s="52" t="s">
        <v>202</v>
      </c>
      <c r="M388" s="52">
        <v>2.0</v>
      </c>
      <c r="N388" s="52" t="s">
        <v>149</v>
      </c>
      <c r="O388" s="52" t="s">
        <v>124</v>
      </c>
      <c r="P388" s="52" t="s">
        <v>141</v>
      </c>
      <c r="Q388" s="52" t="s">
        <v>112</v>
      </c>
      <c r="R388" s="52" t="s">
        <v>141</v>
      </c>
      <c r="S388" s="52" t="s">
        <v>112</v>
      </c>
      <c r="T388" s="65" t="s">
        <v>30</v>
      </c>
      <c r="U388" s="32">
        <v>1.0</v>
      </c>
      <c r="V388" s="32">
        <v>1.0</v>
      </c>
      <c r="W388" s="32">
        <v>1.0</v>
      </c>
      <c r="X388" s="32">
        <v>1.0</v>
      </c>
      <c r="Y388" s="32">
        <v>1.0</v>
      </c>
      <c r="Z388" s="32">
        <v>1.0</v>
      </c>
      <c r="AA388" s="32">
        <v>6.0</v>
      </c>
      <c r="AB388" s="32">
        <v>0.0</v>
      </c>
      <c r="AC388" s="103" t="str">
        <f>IFERROR(__xludf.DUMMYFUNCTION("if($C388="""","""",if(join("" - "",{iferror(filter('Student Groupings'!$A:$A,'Student Groupings'!$B:$B=$C388,'Student Groupings'!$H:$H=""Can't be Together""),"""");iferror(filter('Student Groupings'!$A:$A,'Student Groupings'!$E:$E=$C388,'Student Groupings"&amp;"'!$H:$H=""Can't be Together""),"""")})="" - "","""",join("" - "",{iferror(filter('Student Groupings'!$A:$A,'Student Groupings'!$B:$B=$C388,'Student Groupings'!$H:$H=""Can't be Together""),"""");iferror(filter('Student Groupings'!$A:$A,'Student Groupings'!"&amp;"$E:$E=$C388,'Student Groupings'!$H:$H=""Can't be Together""),"""")})))"),"")</f>
        <v/>
      </c>
      <c r="AD388" s="103" t="str">
        <f>IFERROR(__xludf.DUMMYFUNCTION("if($C388="""","""",if(join("" - "",{iferror(filter('Student Groupings'!$A:$A,'Student Groupings'!$B:$B=$C388,'Student Groupings'!$H:$H=""Must be Together""),"""");iferror(filter('Student Groupings'!$A:$A,'Student Groupings'!$E:$E=$C388,'Student Groupings'"&amp;"!$H:$H=""Must be Together""),"""")})="" - "","""",join("" - "",{iferror(filter('Student Groupings'!$A:$A,'Student Groupings'!$B:$B=$C388,'Student Groupings'!$H:$H=""Must be Together""),"""");iferror(filter('Student Groupings'!$A:$A,'Student Groupings'!$E:"&amp;"$E=$C388,'Student Groupings'!$H:$H=""Must be Together""),"""")})))"),"")</f>
        <v/>
      </c>
      <c r="AE388" s="104"/>
      <c r="AF388" s="104"/>
      <c r="AG388" s="104"/>
      <c r="AH388" s="104"/>
    </row>
    <row r="389">
      <c r="A389" s="101">
        <v>8.0</v>
      </c>
      <c r="B389" s="101">
        <v>29106.0</v>
      </c>
      <c r="C389" s="102" t="s">
        <v>621</v>
      </c>
      <c r="D389" s="52" t="s">
        <v>177</v>
      </c>
      <c r="E389" s="52">
        <v>4.0</v>
      </c>
      <c r="F389" s="52" t="s">
        <v>167</v>
      </c>
      <c r="G389" s="52">
        <v>5.0</v>
      </c>
      <c r="H389" s="52" t="s">
        <v>185</v>
      </c>
      <c r="I389" s="52">
        <v>6.0</v>
      </c>
      <c r="J389" s="52" t="s">
        <v>191</v>
      </c>
      <c r="K389" s="52">
        <v>3.0</v>
      </c>
      <c r="L389" s="52" t="s">
        <v>202</v>
      </c>
      <c r="M389" s="52">
        <v>2.0</v>
      </c>
      <c r="N389" s="52" t="s">
        <v>149</v>
      </c>
      <c r="O389" s="52" t="s">
        <v>108</v>
      </c>
      <c r="P389" s="52" t="s">
        <v>141</v>
      </c>
      <c r="Q389" s="52" t="s">
        <v>129</v>
      </c>
      <c r="R389" s="52" t="s">
        <v>141</v>
      </c>
      <c r="S389" s="52" t="s">
        <v>129</v>
      </c>
      <c r="T389" s="65" t="s">
        <v>30</v>
      </c>
      <c r="U389" s="32">
        <v>1.0</v>
      </c>
      <c r="V389" s="32">
        <v>1.0</v>
      </c>
      <c r="W389" s="32">
        <v>1.0</v>
      </c>
      <c r="X389" s="32">
        <v>1.0</v>
      </c>
      <c r="Y389" s="32">
        <v>1.0</v>
      </c>
      <c r="Z389" s="32">
        <v>1.0</v>
      </c>
      <c r="AA389" s="32">
        <v>6.0</v>
      </c>
      <c r="AB389" s="32">
        <v>0.0</v>
      </c>
      <c r="AC389" s="103" t="str">
        <f>IFERROR(__xludf.DUMMYFUNCTION("if($C389="""","""",if(join("" - "",{iferror(filter('Student Groupings'!$A:$A,'Student Groupings'!$B:$B=$C389,'Student Groupings'!$H:$H=""Can't be Together""),"""");iferror(filter('Student Groupings'!$A:$A,'Student Groupings'!$E:$E=$C389,'Student Groupings"&amp;"'!$H:$H=""Can't be Together""),"""")})="" - "","""",join("" - "",{iferror(filter('Student Groupings'!$A:$A,'Student Groupings'!$B:$B=$C389,'Student Groupings'!$H:$H=""Can't be Together""),"""");iferror(filter('Student Groupings'!$A:$A,'Student Groupings'!"&amp;"$E:$E=$C389,'Student Groupings'!$H:$H=""Can't be Together""),"""")})))"),"")</f>
        <v/>
      </c>
      <c r="AD389" s="103" t="str">
        <f>IFERROR(__xludf.DUMMYFUNCTION("if($C389="""","""",if(join("" - "",{iferror(filter('Student Groupings'!$A:$A,'Student Groupings'!$B:$B=$C389,'Student Groupings'!$H:$H=""Must be Together""),"""");iferror(filter('Student Groupings'!$A:$A,'Student Groupings'!$E:$E=$C389,'Student Groupings'"&amp;"!$H:$H=""Must be Together""),"""")})="" - "","""",join("" - "",{iferror(filter('Student Groupings'!$A:$A,'Student Groupings'!$B:$B=$C389,'Student Groupings'!$H:$H=""Must be Together""),"""");iferror(filter('Student Groupings'!$A:$A,'Student Groupings'!$E:"&amp;"$E=$C389,'Student Groupings'!$H:$H=""Must be Together""),"""")})))"),"")</f>
        <v/>
      </c>
      <c r="AE389" s="104"/>
      <c r="AF389" s="104"/>
      <c r="AG389" s="104"/>
      <c r="AH389" s="104"/>
    </row>
    <row r="390">
      <c r="A390" s="101">
        <v>8.0</v>
      </c>
      <c r="B390" s="101">
        <v>29107.0</v>
      </c>
      <c r="C390" s="102" t="s">
        <v>622</v>
      </c>
      <c r="D390" s="52" t="s">
        <v>176</v>
      </c>
      <c r="E390" s="52">
        <v>5.0</v>
      </c>
      <c r="F390" s="52" t="s">
        <v>167</v>
      </c>
      <c r="G390" s="52">
        <v>4.0</v>
      </c>
      <c r="H390" s="52" t="s">
        <v>185</v>
      </c>
      <c r="I390" s="52">
        <v>3.0</v>
      </c>
      <c r="J390" s="52" t="s">
        <v>190</v>
      </c>
      <c r="K390" s="52">
        <v>1.0</v>
      </c>
      <c r="L390" s="52" t="s">
        <v>201</v>
      </c>
      <c r="M390" s="52">
        <v>6.0</v>
      </c>
      <c r="N390" s="52" t="s">
        <v>149</v>
      </c>
      <c r="O390" s="52" t="s">
        <v>125</v>
      </c>
      <c r="P390" s="52" t="s">
        <v>141</v>
      </c>
      <c r="Q390" s="52" t="s">
        <v>119</v>
      </c>
      <c r="R390" s="52" t="s">
        <v>141</v>
      </c>
      <c r="S390" s="52" t="s">
        <v>119</v>
      </c>
      <c r="T390" s="65" t="s">
        <v>30</v>
      </c>
      <c r="U390" s="32">
        <v>1.0</v>
      </c>
      <c r="V390" s="32">
        <v>1.0</v>
      </c>
      <c r="W390" s="32">
        <v>1.0</v>
      </c>
      <c r="X390" s="32">
        <v>1.0</v>
      </c>
      <c r="Y390" s="32">
        <v>1.0</v>
      </c>
      <c r="Z390" s="32">
        <v>1.0</v>
      </c>
      <c r="AA390" s="32">
        <v>6.0</v>
      </c>
      <c r="AB390" s="32">
        <v>0.0</v>
      </c>
      <c r="AC390" s="103" t="str">
        <f>IFERROR(__xludf.DUMMYFUNCTION("if($C390="""","""",if(join("" - "",{iferror(filter('Student Groupings'!$A:$A,'Student Groupings'!$B:$B=$C390,'Student Groupings'!$H:$H=""Can't be Together""),"""");iferror(filter('Student Groupings'!$A:$A,'Student Groupings'!$E:$E=$C390,'Student Groupings"&amp;"'!$H:$H=""Can't be Together""),"""")})="" - "","""",join("" - "",{iferror(filter('Student Groupings'!$A:$A,'Student Groupings'!$B:$B=$C390,'Student Groupings'!$H:$H=""Can't be Together""),"""");iferror(filter('Student Groupings'!$A:$A,'Student Groupings'!"&amp;"$E:$E=$C390,'Student Groupings'!$H:$H=""Can't be Together""),"""")})))"),"")</f>
        <v/>
      </c>
      <c r="AD390" s="103" t="str">
        <f>IFERROR(__xludf.DUMMYFUNCTION("if($C390="""","""",if(join("" - "",{iferror(filter('Student Groupings'!$A:$A,'Student Groupings'!$B:$B=$C390,'Student Groupings'!$H:$H=""Must be Together""),"""");iferror(filter('Student Groupings'!$A:$A,'Student Groupings'!$E:$E=$C390,'Student Groupings'"&amp;"!$H:$H=""Must be Together""),"""")})="" - "","""",join("" - "",{iferror(filter('Student Groupings'!$A:$A,'Student Groupings'!$B:$B=$C390,'Student Groupings'!$H:$H=""Must be Together""),"""");iferror(filter('Student Groupings'!$A:$A,'Student Groupings'!$E:"&amp;"$E=$C390,'Student Groupings'!$H:$H=""Must be Together""),"""")})))"),"")</f>
        <v/>
      </c>
      <c r="AE390" s="104"/>
      <c r="AF390" s="104"/>
      <c r="AG390" s="104"/>
      <c r="AH390" s="104"/>
    </row>
    <row r="391">
      <c r="A391" s="101">
        <v>8.0</v>
      </c>
      <c r="B391" s="101">
        <v>29108.0</v>
      </c>
      <c r="C391" s="102" t="s">
        <v>292</v>
      </c>
      <c r="D391" s="52" t="s">
        <v>177</v>
      </c>
      <c r="E391" s="52">
        <v>4.0</v>
      </c>
      <c r="F391" s="52" t="s">
        <v>162</v>
      </c>
      <c r="G391" s="52">
        <v>6.0</v>
      </c>
      <c r="H391" s="52" t="s">
        <v>185</v>
      </c>
      <c r="I391" s="52">
        <v>1.0</v>
      </c>
      <c r="J391" s="52" t="s">
        <v>191</v>
      </c>
      <c r="K391" s="52">
        <v>3.0</v>
      </c>
      <c r="L391" s="52" t="s">
        <v>202</v>
      </c>
      <c r="M391" s="52">
        <v>2.0</v>
      </c>
      <c r="N391" s="52" t="s">
        <v>149</v>
      </c>
      <c r="O391" s="52" t="s">
        <v>112</v>
      </c>
      <c r="P391" s="52" t="s">
        <v>135</v>
      </c>
      <c r="Q391" s="52" t="s">
        <v>124</v>
      </c>
      <c r="R391" s="52" t="s">
        <v>118</v>
      </c>
      <c r="S391" s="52" t="s">
        <v>124</v>
      </c>
      <c r="T391" s="65" t="s">
        <v>27</v>
      </c>
      <c r="U391" s="32">
        <v>1.0</v>
      </c>
      <c r="V391" s="32">
        <v>1.0</v>
      </c>
      <c r="W391" s="32">
        <v>1.0</v>
      </c>
      <c r="X391" s="32">
        <v>1.0</v>
      </c>
      <c r="Y391" s="32">
        <v>1.0</v>
      </c>
      <c r="Z391" s="32">
        <v>1.0</v>
      </c>
      <c r="AA391" s="32">
        <v>6.0</v>
      </c>
      <c r="AB391" s="32">
        <v>0.0</v>
      </c>
      <c r="AC391" s="103" t="str">
        <f>IFERROR(__xludf.DUMMYFUNCTION("if($C391="""","""",if(join("" - "",{iferror(filter('Student Groupings'!$A:$A,'Student Groupings'!$B:$B=$C391,'Student Groupings'!$H:$H=""Can't be Together""),"""");iferror(filter('Student Groupings'!$A:$A,'Student Groupings'!$E:$E=$C391,'Student Groupings"&amp;"'!$H:$H=""Can't be Together""),"""")})="" - "","""",join("" - "",{iferror(filter('Student Groupings'!$A:$A,'Student Groupings'!$B:$B=$C391,'Student Groupings'!$H:$H=""Can't be Together""),"""");iferror(filter('Student Groupings'!$A:$A,'Student Groupings'!"&amp;"$E:$E=$C391,'Student Groupings'!$H:$H=""Can't be Together""),"""")})))"),"")</f>
        <v/>
      </c>
      <c r="AD391" s="103" t="str">
        <f>IFERROR(__xludf.DUMMYFUNCTION("if($C391="""","""",if(join("" - "",{iferror(filter('Student Groupings'!$A:$A,'Student Groupings'!$B:$B=$C391,'Student Groupings'!$H:$H=""Must be Together""),"""");iferror(filter('Student Groupings'!$A:$A,'Student Groupings'!$E:$E=$C391,'Student Groupings'"&amp;"!$H:$H=""Must be Together""),"""")})="" - "","""",join("" - "",{iferror(filter('Student Groupings'!$A:$A,'Student Groupings'!$B:$B=$C391,'Student Groupings'!$H:$H=""Must be Together""),"""");iferror(filter('Student Groupings'!$A:$A,'Student Groupings'!$E:"&amp;"$E=$C391,'Student Groupings'!$H:$H=""Must be Together""),"""")})))")," - 122")</f>
        <v> - 122</v>
      </c>
      <c r="AE391" s="104"/>
      <c r="AF391" s="104"/>
      <c r="AG391" s="104"/>
      <c r="AH391" s="104"/>
    </row>
    <row r="392">
      <c r="A392" s="101">
        <v>8.0</v>
      </c>
      <c r="B392" s="101">
        <v>29171.0</v>
      </c>
      <c r="C392" s="102" t="s">
        <v>623</v>
      </c>
      <c r="D392" s="52" t="s">
        <v>177</v>
      </c>
      <c r="E392" s="52">
        <v>4.0</v>
      </c>
      <c r="F392" s="52" t="s">
        <v>162</v>
      </c>
      <c r="G392" s="52">
        <v>1.0</v>
      </c>
      <c r="H392" s="52" t="s">
        <v>185</v>
      </c>
      <c r="I392" s="52">
        <v>6.0</v>
      </c>
      <c r="J392" s="52" t="s">
        <v>191</v>
      </c>
      <c r="K392" s="52">
        <v>3.0</v>
      </c>
      <c r="L392" s="52" t="s">
        <v>197</v>
      </c>
      <c r="M392" s="52">
        <v>2.0</v>
      </c>
      <c r="N392" s="52" t="s">
        <v>149</v>
      </c>
      <c r="O392" s="52" t="s">
        <v>124</v>
      </c>
      <c r="P392" s="52" t="s">
        <v>141</v>
      </c>
      <c r="Q392" s="52" t="s">
        <v>112</v>
      </c>
      <c r="R392" s="52" t="s">
        <v>141</v>
      </c>
      <c r="S392" s="52" t="s">
        <v>112</v>
      </c>
      <c r="T392" s="65" t="s">
        <v>8</v>
      </c>
      <c r="U392" s="32">
        <v>1.0</v>
      </c>
      <c r="V392" s="32">
        <v>1.0</v>
      </c>
      <c r="W392" s="32">
        <v>1.0</v>
      </c>
      <c r="X392" s="32">
        <v>1.0</v>
      </c>
      <c r="Y392" s="32">
        <v>1.0</v>
      </c>
      <c r="Z392" s="32">
        <v>1.0</v>
      </c>
      <c r="AA392" s="32">
        <v>6.0</v>
      </c>
      <c r="AB392" s="32">
        <v>0.0</v>
      </c>
      <c r="AC392" s="103" t="str">
        <f>IFERROR(__xludf.DUMMYFUNCTION("if($C392="""","""",if(join("" - "",{iferror(filter('Student Groupings'!$A:$A,'Student Groupings'!$B:$B=$C392,'Student Groupings'!$H:$H=""Can't be Together""),"""");iferror(filter('Student Groupings'!$A:$A,'Student Groupings'!$E:$E=$C392,'Student Groupings"&amp;"'!$H:$H=""Can't be Together""),"""")})="" - "","""",join("" - "",{iferror(filter('Student Groupings'!$A:$A,'Student Groupings'!$B:$B=$C392,'Student Groupings'!$H:$H=""Can't be Together""),"""");iferror(filter('Student Groupings'!$A:$A,'Student Groupings'!"&amp;"$E:$E=$C392,'Student Groupings'!$H:$H=""Can't be Together""),"""")})))"),"")</f>
        <v/>
      </c>
      <c r="AD392" s="103" t="str">
        <f>IFERROR(__xludf.DUMMYFUNCTION("if($C392="""","""",if(join("" - "",{iferror(filter('Student Groupings'!$A:$A,'Student Groupings'!$B:$B=$C392,'Student Groupings'!$H:$H=""Must be Together""),"""");iferror(filter('Student Groupings'!$A:$A,'Student Groupings'!$E:$E=$C392,'Student Groupings'"&amp;"!$H:$H=""Must be Together""),"""")})="" - "","""",join("" - "",{iferror(filter('Student Groupings'!$A:$A,'Student Groupings'!$B:$B=$C392,'Student Groupings'!$H:$H=""Must be Together""),"""");iferror(filter('Student Groupings'!$A:$A,'Student Groupings'!$E:"&amp;"$E=$C392,'Student Groupings'!$H:$H=""Must be Together""),"""")})))"),"")</f>
        <v/>
      </c>
      <c r="AE392" s="105">
        <v>1.0</v>
      </c>
      <c r="AF392" s="104"/>
      <c r="AG392" s="104"/>
      <c r="AH392" s="104"/>
    </row>
    <row r="393">
      <c r="A393" s="101">
        <v>8.0</v>
      </c>
      <c r="B393" s="101">
        <v>29109.0</v>
      </c>
      <c r="C393" s="102" t="s">
        <v>624</v>
      </c>
      <c r="D393" s="52" t="s">
        <v>177</v>
      </c>
      <c r="E393" s="52">
        <v>4.0</v>
      </c>
      <c r="F393" s="52" t="s">
        <v>162</v>
      </c>
      <c r="G393" s="52">
        <v>6.0</v>
      </c>
      <c r="H393" s="52" t="s">
        <v>185</v>
      </c>
      <c r="I393" s="52">
        <v>1.0</v>
      </c>
      <c r="J393" s="52" t="s">
        <v>191</v>
      </c>
      <c r="K393" s="52">
        <v>3.0</v>
      </c>
      <c r="L393" s="52" t="s">
        <v>202</v>
      </c>
      <c r="M393" s="52">
        <v>2.0</v>
      </c>
      <c r="N393" s="52" t="s">
        <v>149</v>
      </c>
      <c r="O393" s="52" t="s">
        <v>112</v>
      </c>
      <c r="P393" s="52" t="s">
        <v>135</v>
      </c>
      <c r="Q393" s="52" t="s">
        <v>124</v>
      </c>
      <c r="R393" s="52" t="s">
        <v>118</v>
      </c>
      <c r="S393" s="52" t="s">
        <v>124</v>
      </c>
      <c r="T393" s="65" t="s">
        <v>27</v>
      </c>
      <c r="U393" s="32">
        <v>1.0</v>
      </c>
      <c r="V393" s="32">
        <v>1.0</v>
      </c>
      <c r="W393" s="32">
        <v>1.0</v>
      </c>
      <c r="X393" s="32">
        <v>1.0</v>
      </c>
      <c r="Y393" s="32">
        <v>1.0</v>
      </c>
      <c r="Z393" s="32">
        <v>1.0</v>
      </c>
      <c r="AA393" s="32">
        <v>6.0</v>
      </c>
      <c r="AB393" s="32">
        <v>0.0</v>
      </c>
      <c r="AC393" s="103" t="str">
        <f>IFERROR(__xludf.DUMMYFUNCTION("if($C393="""","""",if(join("" - "",{iferror(filter('Student Groupings'!$A:$A,'Student Groupings'!$B:$B=$C393,'Student Groupings'!$H:$H=""Can't be Together""),"""");iferror(filter('Student Groupings'!$A:$A,'Student Groupings'!$E:$E=$C393,'Student Groupings"&amp;"'!$H:$H=""Can't be Together""),"""")})="" - "","""",join("" - "",{iferror(filter('Student Groupings'!$A:$A,'Student Groupings'!$B:$B=$C393,'Student Groupings'!$H:$H=""Can't be Together""),"""");iferror(filter('Student Groupings'!$A:$A,'Student Groupings'!"&amp;"$E:$E=$C393,'Student Groupings'!$H:$H=""Can't be Together""),"""")})))"),"")</f>
        <v/>
      </c>
      <c r="AD393" s="103" t="str">
        <f>IFERROR(__xludf.DUMMYFUNCTION("if($C393="""","""",if(join("" - "",{iferror(filter('Student Groupings'!$A:$A,'Student Groupings'!$B:$B=$C393,'Student Groupings'!$H:$H=""Must be Together""),"""");iferror(filter('Student Groupings'!$A:$A,'Student Groupings'!$E:$E=$C393,'Student Groupings'"&amp;"!$H:$H=""Must be Together""),"""")})="" - "","""",join("" - "",{iferror(filter('Student Groupings'!$A:$A,'Student Groupings'!$B:$B=$C393,'Student Groupings'!$H:$H=""Must be Together""),"""");iferror(filter('Student Groupings'!$A:$A,'Student Groupings'!$E:"&amp;"$E=$C393,'Student Groupings'!$H:$H=""Must be Together""),"""")})))"),"")</f>
        <v/>
      </c>
      <c r="AE393" s="104"/>
      <c r="AF393" s="104"/>
      <c r="AG393" s="104"/>
      <c r="AH393" s="104"/>
    </row>
    <row r="394">
      <c r="A394" s="101">
        <v>8.0</v>
      </c>
      <c r="B394" s="101">
        <v>29110.0</v>
      </c>
      <c r="C394" s="102" t="s">
        <v>625</v>
      </c>
      <c r="D394" s="52" t="s">
        <v>176</v>
      </c>
      <c r="E394" s="52">
        <v>6.0</v>
      </c>
      <c r="F394" s="52" t="s">
        <v>167</v>
      </c>
      <c r="G394" s="52">
        <v>4.0</v>
      </c>
      <c r="H394" s="52" t="s">
        <v>185</v>
      </c>
      <c r="I394" s="101">
        <v>3.0</v>
      </c>
      <c r="J394" s="52" t="s">
        <v>190</v>
      </c>
      <c r="K394" s="101">
        <v>5.0</v>
      </c>
      <c r="L394" s="52" t="s">
        <v>201</v>
      </c>
      <c r="M394" s="101">
        <v>1.0</v>
      </c>
      <c r="N394" s="52" t="s">
        <v>149</v>
      </c>
      <c r="O394" s="52" t="s">
        <v>125</v>
      </c>
      <c r="P394" s="52" t="s">
        <v>141</v>
      </c>
      <c r="Q394" s="52" t="s">
        <v>119</v>
      </c>
      <c r="R394" s="52" t="s">
        <v>141</v>
      </c>
      <c r="S394" s="52" t="s">
        <v>119</v>
      </c>
      <c r="T394" s="65" t="s">
        <v>30</v>
      </c>
      <c r="U394" s="32">
        <v>1.0</v>
      </c>
      <c r="V394" s="32">
        <v>1.0</v>
      </c>
      <c r="W394" s="32">
        <v>1.0</v>
      </c>
      <c r="X394" s="32">
        <v>1.0</v>
      </c>
      <c r="Y394" s="32">
        <v>1.0</v>
      </c>
      <c r="Z394" s="32">
        <v>1.0</v>
      </c>
      <c r="AA394" s="32">
        <v>6.0</v>
      </c>
      <c r="AB394" s="32">
        <v>0.0</v>
      </c>
      <c r="AC394" s="103" t="str">
        <f>IFERROR(__xludf.DUMMYFUNCTION("if($C394="""","""",if(join("" - "",{iferror(filter('Student Groupings'!$A:$A,'Student Groupings'!$B:$B=$C394,'Student Groupings'!$H:$H=""Can't be Together""),"""");iferror(filter('Student Groupings'!$A:$A,'Student Groupings'!$E:$E=$C394,'Student Groupings"&amp;"'!$H:$H=""Can't be Together""),"""")})="" - "","""",join("" - "",{iferror(filter('Student Groupings'!$A:$A,'Student Groupings'!$B:$B=$C394,'Student Groupings'!$H:$H=""Can't be Together""),"""");iferror(filter('Student Groupings'!$A:$A,'Student Groupings'!"&amp;"$E:$E=$C394,'Student Groupings'!$H:$H=""Can't be Together""),"""")})))"),"")</f>
        <v/>
      </c>
      <c r="AD394" s="103" t="str">
        <f>IFERROR(__xludf.DUMMYFUNCTION("if($C394="""","""",if(join("" - "",{iferror(filter('Student Groupings'!$A:$A,'Student Groupings'!$B:$B=$C394,'Student Groupings'!$H:$H=""Must be Together""),"""");iferror(filter('Student Groupings'!$A:$A,'Student Groupings'!$E:$E=$C394,'Student Groupings'"&amp;"!$H:$H=""Must be Together""),"""")})="" - "","""",join("" - "",{iferror(filter('Student Groupings'!$A:$A,'Student Groupings'!$B:$B=$C394,'Student Groupings'!$H:$H=""Must be Together""),"""");iferror(filter('Student Groupings'!$A:$A,'Student Groupings'!$E:"&amp;"$E=$C394,'Student Groupings'!$H:$H=""Must be Together""),"""")})))"),"")</f>
        <v/>
      </c>
      <c r="AE394" s="104"/>
      <c r="AF394" s="104"/>
      <c r="AG394" s="104"/>
      <c r="AH394" s="104"/>
    </row>
    <row r="395">
      <c r="A395" s="101">
        <v>8.0</v>
      </c>
      <c r="B395" s="101">
        <v>29111.0</v>
      </c>
      <c r="C395" s="102" t="s">
        <v>271</v>
      </c>
      <c r="D395" s="52" t="s">
        <v>176</v>
      </c>
      <c r="E395" s="52">
        <v>4.0</v>
      </c>
      <c r="F395" s="52" t="s">
        <v>162</v>
      </c>
      <c r="G395" s="52">
        <v>6.0</v>
      </c>
      <c r="H395" s="52" t="s">
        <v>185</v>
      </c>
      <c r="I395" s="52">
        <v>1.0</v>
      </c>
      <c r="J395" s="52" t="s">
        <v>190</v>
      </c>
      <c r="K395" s="52">
        <v>3.0</v>
      </c>
      <c r="L395" s="52" t="s">
        <v>201</v>
      </c>
      <c r="M395" s="52">
        <v>2.0</v>
      </c>
      <c r="N395" s="52" t="s">
        <v>149</v>
      </c>
      <c r="O395" s="52" t="s">
        <v>112</v>
      </c>
      <c r="P395" s="52" t="s">
        <v>118</v>
      </c>
      <c r="Q395" s="52" t="s">
        <v>124</v>
      </c>
      <c r="R395" s="52" t="s">
        <v>135</v>
      </c>
      <c r="S395" s="52" t="s">
        <v>124</v>
      </c>
      <c r="T395" s="65" t="s">
        <v>27</v>
      </c>
      <c r="U395" s="32">
        <v>1.0</v>
      </c>
      <c r="V395" s="32">
        <v>1.0</v>
      </c>
      <c r="W395" s="32">
        <v>1.0</v>
      </c>
      <c r="X395" s="32">
        <v>1.0</v>
      </c>
      <c r="Y395" s="32">
        <v>1.0</v>
      </c>
      <c r="Z395" s="32">
        <v>1.0</v>
      </c>
      <c r="AA395" s="32">
        <v>6.0</v>
      </c>
      <c r="AB395" s="32">
        <v>0.0</v>
      </c>
      <c r="AC395" s="103" t="str">
        <f>IFERROR(__xludf.DUMMYFUNCTION("if($C395="""","""",if(join("" - "",{iferror(filter('Student Groupings'!$A:$A,'Student Groupings'!$B:$B=$C395,'Student Groupings'!$H:$H=""Can't be Together""),"""");iferror(filter('Student Groupings'!$A:$A,'Student Groupings'!$E:$E=$C395,'Student Groupings"&amp;"'!$H:$H=""Can't be Together""),"""")})="" - "","""",join("" - "",{iferror(filter('Student Groupings'!$A:$A,'Student Groupings'!$B:$B=$C395,'Student Groupings'!$H:$H=""Can't be Together""),"""");iferror(filter('Student Groupings'!$A:$A,'Student Groupings'!"&amp;"$E:$E=$C395,'Student Groupings'!$H:$H=""Can't be Together""),"""")})))"),"")</f>
        <v/>
      </c>
      <c r="AD395" s="103" t="str">
        <f>IFERROR(__xludf.DUMMYFUNCTION("if($C395="""","""",if(join("" - "",{iferror(filter('Student Groupings'!$A:$A,'Student Groupings'!$B:$B=$C395,'Student Groupings'!$H:$H=""Must be Together""),"""");iferror(filter('Student Groupings'!$A:$A,'Student Groupings'!$E:$E=$C395,'Student Groupings'"&amp;"!$H:$H=""Must be Together""),"""")})="" - "","""",join("" - "",{iferror(filter('Student Groupings'!$A:$A,'Student Groupings'!$B:$B=$C395,'Student Groupings'!$H:$H=""Must be Together""),"""");iferror(filter('Student Groupings'!$A:$A,'Student Groupings'!$E:"&amp;"$E=$C395,'Student Groupings'!$H:$H=""Must be Together""),"""")})))")," - 52 - 128")</f>
        <v> - 52 - 128</v>
      </c>
      <c r="AE395" s="104"/>
      <c r="AF395" s="104"/>
      <c r="AG395" s="104"/>
      <c r="AH395" s="104"/>
    </row>
    <row r="396">
      <c r="A396" s="101">
        <v>8.0</v>
      </c>
      <c r="B396" s="101">
        <v>29112.0</v>
      </c>
      <c r="C396" s="102" t="s">
        <v>626</v>
      </c>
      <c r="D396" s="52" t="s">
        <v>176</v>
      </c>
      <c r="E396" s="52">
        <v>5.0</v>
      </c>
      <c r="F396" s="52" t="s">
        <v>167</v>
      </c>
      <c r="G396" s="52">
        <v>4.0</v>
      </c>
      <c r="H396" s="52" t="s">
        <v>185</v>
      </c>
      <c r="I396" s="52">
        <v>3.0</v>
      </c>
      <c r="J396" s="52" t="s">
        <v>190</v>
      </c>
      <c r="K396" s="52">
        <v>1.0</v>
      </c>
      <c r="L396" s="52" t="s">
        <v>201</v>
      </c>
      <c r="M396" s="52">
        <v>6.0</v>
      </c>
      <c r="N396" s="52" t="s">
        <v>149</v>
      </c>
      <c r="O396" s="52" t="s">
        <v>125</v>
      </c>
      <c r="P396" s="52" t="s">
        <v>141</v>
      </c>
      <c r="Q396" s="52" t="s">
        <v>119</v>
      </c>
      <c r="R396" s="52" t="s">
        <v>141</v>
      </c>
      <c r="S396" s="52" t="s">
        <v>119</v>
      </c>
      <c r="T396" s="65" t="s">
        <v>8</v>
      </c>
      <c r="U396" s="32">
        <v>1.0</v>
      </c>
      <c r="V396" s="32">
        <v>1.0</v>
      </c>
      <c r="W396" s="32">
        <v>1.0</v>
      </c>
      <c r="X396" s="32">
        <v>1.0</v>
      </c>
      <c r="Y396" s="32">
        <v>1.0</v>
      </c>
      <c r="Z396" s="32">
        <v>1.0</v>
      </c>
      <c r="AA396" s="32">
        <v>6.0</v>
      </c>
      <c r="AB396" s="32">
        <v>0.0</v>
      </c>
      <c r="AC396" s="103" t="str">
        <f>IFERROR(__xludf.DUMMYFUNCTION("if($C396="""","""",if(join("" - "",{iferror(filter('Student Groupings'!$A:$A,'Student Groupings'!$B:$B=$C396,'Student Groupings'!$H:$H=""Can't be Together""),"""");iferror(filter('Student Groupings'!$A:$A,'Student Groupings'!$E:$E=$C396,'Student Groupings"&amp;"'!$H:$H=""Can't be Together""),"""")})="" - "","""",join("" - "",{iferror(filter('Student Groupings'!$A:$A,'Student Groupings'!$B:$B=$C396,'Student Groupings'!$H:$H=""Can't be Together""),"""");iferror(filter('Student Groupings'!$A:$A,'Student Groupings'!"&amp;"$E:$E=$C396,'Student Groupings'!$H:$H=""Can't be Together""),"""")})))"),"")</f>
        <v/>
      </c>
      <c r="AD396" s="103" t="str">
        <f>IFERROR(__xludf.DUMMYFUNCTION("if($C396="""","""",if(join("" - "",{iferror(filter('Student Groupings'!$A:$A,'Student Groupings'!$B:$B=$C396,'Student Groupings'!$H:$H=""Must be Together""),"""");iferror(filter('Student Groupings'!$A:$A,'Student Groupings'!$E:$E=$C396,'Student Groupings'"&amp;"!$H:$H=""Must be Together""),"""")})="" - "","""",join("" - "",{iferror(filter('Student Groupings'!$A:$A,'Student Groupings'!$B:$B=$C396,'Student Groupings'!$H:$H=""Must be Together""),"""");iferror(filter('Student Groupings'!$A:$A,'Student Groupings'!$E:"&amp;"$E=$C396,'Student Groupings'!$H:$H=""Must be Together""),"""")})))"),"")</f>
        <v/>
      </c>
      <c r="AE396" s="104"/>
      <c r="AF396" s="104"/>
      <c r="AG396" s="104"/>
      <c r="AH396" s="104"/>
    </row>
    <row r="397">
      <c r="A397" s="101">
        <v>8.0</v>
      </c>
      <c r="B397" s="101">
        <v>29113.0</v>
      </c>
      <c r="C397" s="102" t="s">
        <v>627</v>
      </c>
      <c r="D397" s="52" t="s">
        <v>176</v>
      </c>
      <c r="E397" s="52">
        <v>6.0</v>
      </c>
      <c r="F397" s="52" t="s">
        <v>167</v>
      </c>
      <c r="G397" s="52">
        <v>3.0</v>
      </c>
      <c r="H397" s="52" t="s">
        <v>185</v>
      </c>
      <c r="I397" s="52">
        <v>2.0</v>
      </c>
      <c r="J397" s="52" t="s">
        <v>190</v>
      </c>
      <c r="K397" s="52">
        <v>5.0</v>
      </c>
      <c r="L397" s="52" t="s">
        <v>201</v>
      </c>
      <c r="M397" s="52">
        <v>1.0</v>
      </c>
      <c r="N397" s="52" t="s">
        <v>149</v>
      </c>
      <c r="O397" s="52" t="s">
        <v>111</v>
      </c>
      <c r="P397" s="52" t="s">
        <v>135</v>
      </c>
      <c r="Q397" s="52" t="s">
        <v>130</v>
      </c>
      <c r="R397" s="52" t="s">
        <v>118</v>
      </c>
      <c r="S397" s="52" t="s">
        <v>130</v>
      </c>
      <c r="T397" s="65" t="s">
        <v>27</v>
      </c>
      <c r="U397" s="32">
        <v>1.0</v>
      </c>
      <c r="V397" s="32">
        <v>1.0</v>
      </c>
      <c r="W397" s="32">
        <v>1.0</v>
      </c>
      <c r="X397" s="32">
        <v>1.0</v>
      </c>
      <c r="Y397" s="32">
        <v>1.0</v>
      </c>
      <c r="Z397" s="32">
        <v>1.0</v>
      </c>
      <c r="AA397" s="32">
        <v>6.0</v>
      </c>
      <c r="AB397" s="32">
        <v>0.0</v>
      </c>
      <c r="AC397" s="103" t="str">
        <f>IFERROR(__xludf.DUMMYFUNCTION("if($C397="""","""",if(join("" - "",{iferror(filter('Student Groupings'!$A:$A,'Student Groupings'!$B:$B=$C397,'Student Groupings'!$H:$H=""Can't be Together""),"""");iferror(filter('Student Groupings'!$A:$A,'Student Groupings'!$E:$E=$C397,'Student Groupings"&amp;"'!$H:$H=""Can't be Together""),"""")})="" - "","""",join("" - "",{iferror(filter('Student Groupings'!$A:$A,'Student Groupings'!$B:$B=$C397,'Student Groupings'!$H:$H=""Can't be Together""),"""");iferror(filter('Student Groupings'!$A:$A,'Student Groupings'!"&amp;"$E:$E=$C397,'Student Groupings'!$H:$H=""Can't be Together""),"""")})))"),"")</f>
        <v/>
      </c>
      <c r="AD397" s="103" t="str">
        <f>IFERROR(__xludf.DUMMYFUNCTION("if($C397="""","""",if(join("" - "",{iferror(filter('Student Groupings'!$A:$A,'Student Groupings'!$B:$B=$C397,'Student Groupings'!$H:$H=""Must be Together""),"""");iferror(filter('Student Groupings'!$A:$A,'Student Groupings'!$E:$E=$C397,'Student Groupings'"&amp;"!$H:$H=""Must be Together""),"""")})="" - "","""",join("" - "",{iferror(filter('Student Groupings'!$A:$A,'Student Groupings'!$B:$B=$C397,'Student Groupings'!$H:$H=""Must be Together""),"""");iferror(filter('Student Groupings'!$A:$A,'Student Groupings'!$E:"&amp;"$E=$C397,'Student Groupings'!$H:$H=""Must be Together""),"""")})))"),"")</f>
        <v/>
      </c>
      <c r="AE397" s="104"/>
      <c r="AF397" s="104"/>
      <c r="AG397" s="104"/>
      <c r="AH397" s="104"/>
    </row>
    <row r="398">
      <c r="A398" s="101">
        <v>8.0</v>
      </c>
      <c r="B398" s="101">
        <v>29114.0</v>
      </c>
      <c r="C398" s="102" t="s">
        <v>628</v>
      </c>
      <c r="D398" s="52" t="s">
        <v>176</v>
      </c>
      <c r="E398" s="52">
        <v>5.0</v>
      </c>
      <c r="F398" s="52" t="s">
        <v>167</v>
      </c>
      <c r="G398" s="52">
        <v>3.0</v>
      </c>
      <c r="H398" s="52" t="s">
        <v>185</v>
      </c>
      <c r="I398" s="52">
        <v>2.0</v>
      </c>
      <c r="J398" s="52" t="s">
        <v>190</v>
      </c>
      <c r="K398" s="52">
        <v>1.0</v>
      </c>
      <c r="L398" s="52" t="s">
        <v>201</v>
      </c>
      <c r="M398" s="101">
        <v>6.0</v>
      </c>
      <c r="N398" s="52" t="s">
        <v>149</v>
      </c>
      <c r="O398" s="52" t="s">
        <v>111</v>
      </c>
      <c r="P398" s="52" t="s">
        <v>135</v>
      </c>
      <c r="Q398" s="52" t="s">
        <v>130</v>
      </c>
      <c r="R398" s="52" t="s">
        <v>118</v>
      </c>
      <c r="S398" s="52" t="s">
        <v>130</v>
      </c>
      <c r="T398" s="65" t="s">
        <v>27</v>
      </c>
      <c r="U398" s="32">
        <v>1.0</v>
      </c>
      <c r="V398" s="32">
        <v>1.0</v>
      </c>
      <c r="W398" s="32">
        <v>1.0</v>
      </c>
      <c r="X398" s="32">
        <v>1.0</v>
      </c>
      <c r="Y398" s="32">
        <v>1.0</v>
      </c>
      <c r="Z398" s="32">
        <v>1.0</v>
      </c>
      <c r="AA398" s="32">
        <v>6.0</v>
      </c>
      <c r="AB398" s="32">
        <v>0.0</v>
      </c>
      <c r="AC398" s="103" t="str">
        <f>IFERROR(__xludf.DUMMYFUNCTION("if($C398="""","""",if(join("" - "",{iferror(filter('Student Groupings'!$A:$A,'Student Groupings'!$B:$B=$C398,'Student Groupings'!$H:$H=""Can't be Together""),"""");iferror(filter('Student Groupings'!$A:$A,'Student Groupings'!$E:$E=$C398,'Student Groupings"&amp;"'!$H:$H=""Can't be Together""),"""")})="" - "","""",join("" - "",{iferror(filter('Student Groupings'!$A:$A,'Student Groupings'!$B:$B=$C398,'Student Groupings'!$H:$H=""Can't be Together""),"""");iferror(filter('Student Groupings'!$A:$A,'Student Groupings'!"&amp;"$E:$E=$C398,'Student Groupings'!$H:$H=""Can't be Together""),"""")})))"),"")</f>
        <v/>
      </c>
      <c r="AD398" s="103" t="str">
        <f>IFERROR(__xludf.DUMMYFUNCTION("if($C398="""","""",if(join("" - "",{iferror(filter('Student Groupings'!$A:$A,'Student Groupings'!$B:$B=$C398,'Student Groupings'!$H:$H=""Must be Together""),"""");iferror(filter('Student Groupings'!$A:$A,'Student Groupings'!$E:$E=$C398,'Student Groupings'"&amp;"!$H:$H=""Must be Together""),"""")})="" - "","""",join("" - "",{iferror(filter('Student Groupings'!$A:$A,'Student Groupings'!$B:$B=$C398,'Student Groupings'!$H:$H=""Must be Together""),"""");iferror(filter('Student Groupings'!$A:$A,'Student Groupings'!$E:"&amp;"$E=$C398,'Student Groupings'!$H:$H=""Must be Together""),"""")})))"),"")</f>
        <v/>
      </c>
      <c r="AE398" s="104"/>
      <c r="AF398" s="104"/>
      <c r="AG398" s="104"/>
      <c r="AH398" s="104"/>
    </row>
    <row r="399">
      <c r="A399" s="101">
        <v>8.0</v>
      </c>
      <c r="B399" s="101">
        <v>29115.0</v>
      </c>
      <c r="C399" s="102" t="s">
        <v>629</v>
      </c>
      <c r="D399" s="52" t="s">
        <v>176</v>
      </c>
      <c r="E399" s="52">
        <v>2.0</v>
      </c>
      <c r="F399" s="52" t="s">
        <v>162</v>
      </c>
      <c r="G399" s="52">
        <v>6.0</v>
      </c>
      <c r="H399" s="52" t="s">
        <v>185</v>
      </c>
      <c r="I399" s="52">
        <v>1.0</v>
      </c>
      <c r="J399" s="52" t="s">
        <v>190</v>
      </c>
      <c r="K399" s="52">
        <v>4.0</v>
      </c>
      <c r="L399" s="52" t="s">
        <v>201</v>
      </c>
      <c r="M399" s="52">
        <v>3.0</v>
      </c>
      <c r="N399" s="52" t="s">
        <v>149</v>
      </c>
      <c r="O399" s="52" t="s">
        <v>112</v>
      </c>
      <c r="P399" s="52" t="s">
        <v>118</v>
      </c>
      <c r="Q399" s="52" t="s">
        <v>124</v>
      </c>
      <c r="R399" s="52" t="s">
        <v>135</v>
      </c>
      <c r="S399" s="52" t="s">
        <v>124</v>
      </c>
      <c r="T399" s="65" t="s">
        <v>27</v>
      </c>
      <c r="U399" s="32">
        <v>1.0</v>
      </c>
      <c r="V399" s="32">
        <v>1.0</v>
      </c>
      <c r="W399" s="32">
        <v>1.0</v>
      </c>
      <c r="X399" s="32">
        <v>1.0</v>
      </c>
      <c r="Y399" s="32">
        <v>1.0</v>
      </c>
      <c r="Z399" s="32">
        <v>1.0</v>
      </c>
      <c r="AA399" s="32">
        <v>6.0</v>
      </c>
      <c r="AB399" s="32">
        <v>0.0</v>
      </c>
      <c r="AC399" s="103" t="str">
        <f>IFERROR(__xludf.DUMMYFUNCTION("if($C399="""","""",if(join("" - "",{iferror(filter('Student Groupings'!$A:$A,'Student Groupings'!$B:$B=$C399,'Student Groupings'!$H:$H=""Can't be Together""),"""");iferror(filter('Student Groupings'!$A:$A,'Student Groupings'!$E:$E=$C399,'Student Groupings"&amp;"'!$H:$H=""Can't be Together""),"""")})="" - "","""",join("" - "",{iferror(filter('Student Groupings'!$A:$A,'Student Groupings'!$B:$B=$C399,'Student Groupings'!$H:$H=""Can't be Together""),"""");iferror(filter('Student Groupings'!$A:$A,'Student Groupings'!"&amp;"$E:$E=$C399,'Student Groupings'!$H:$H=""Can't be Together""),"""")})))"),"")</f>
        <v/>
      </c>
      <c r="AD399" s="103" t="str">
        <f>IFERROR(__xludf.DUMMYFUNCTION("if($C399="""","""",if(join("" - "",{iferror(filter('Student Groupings'!$A:$A,'Student Groupings'!$B:$B=$C399,'Student Groupings'!$H:$H=""Must be Together""),"""");iferror(filter('Student Groupings'!$A:$A,'Student Groupings'!$E:$E=$C399,'Student Groupings'"&amp;"!$H:$H=""Must be Together""),"""")})="" - "","""",join("" - "",{iferror(filter('Student Groupings'!$A:$A,'Student Groupings'!$B:$B=$C399,'Student Groupings'!$H:$H=""Must be Together""),"""");iferror(filter('Student Groupings'!$A:$A,'Student Groupings'!$E:"&amp;"$E=$C399,'Student Groupings'!$H:$H=""Must be Together""),"""")})))"),"")</f>
        <v/>
      </c>
      <c r="AE399" s="104"/>
      <c r="AF399" s="104"/>
      <c r="AG399" s="104"/>
      <c r="AH399" s="105">
        <v>1.0</v>
      </c>
    </row>
    <row r="400">
      <c r="A400" s="101">
        <v>8.0</v>
      </c>
      <c r="B400" s="101">
        <v>29116.0</v>
      </c>
      <c r="C400" s="102" t="s">
        <v>630</v>
      </c>
      <c r="D400" s="52" t="s">
        <v>176</v>
      </c>
      <c r="E400" s="52">
        <v>3.0</v>
      </c>
      <c r="F400" s="52" t="s">
        <v>162</v>
      </c>
      <c r="G400" s="52">
        <v>1.0</v>
      </c>
      <c r="H400" s="52" t="s">
        <v>185</v>
      </c>
      <c r="I400" s="52">
        <v>5.0</v>
      </c>
      <c r="J400" s="52" t="s">
        <v>190</v>
      </c>
      <c r="K400" s="52">
        <v>2.0</v>
      </c>
      <c r="L400" s="52" t="s">
        <v>201</v>
      </c>
      <c r="M400" s="52">
        <v>4.0</v>
      </c>
      <c r="N400" s="52" t="s">
        <v>149</v>
      </c>
      <c r="O400" s="52" t="s">
        <v>120</v>
      </c>
      <c r="P400" s="52" t="s">
        <v>141</v>
      </c>
      <c r="Q400" s="52" t="s">
        <v>109</v>
      </c>
      <c r="R400" s="52" t="s">
        <v>141</v>
      </c>
      <c r="S400" s="52" t="s">
        <v>109</v>
      </c>
      <c r="T400" s="65" t="s">
        <v>30</v>
      </c>
      <c r="U400" s="32">
        <v>1.0</v>
      </c>
      <c r="V400" s="32">
        <v>1.0</v>
      </c>
      <c r="W400" s="32">
        <v>1.0</v>
      </c>
      <c r="X400" s="32">
        <v>1.0</v>
      </c>
      <c r="Y400" s="32">
        <v>1.0</v>
      </c>
      <c r="Z400" s="32">
        <v>1.0</v>
      </c>
      <c r="AA400" s="32">
        <v>6.0</v>
      </c>
      <c r="AB400" s="32">
        <v>0.0</v>
      </c>
      <c r="AC400" s="103" t="str">
        <f>IFERROR(__xludf.DUMMYFUNCTION("if($C400="""","""",if(join("" - "",{iferror(filter('Student Groupings'!$A:$A,'Student Groupings'!$B:$B=$C400,'Student Groupings'!$H:$H=""Can't be Together""),"""");iferror(filter('Student Groupings'!$A:$A,'Student Groupings'!$E:$E=$C400,'Student Groupings"&amp;"'!$H:$H=""Can't be Together""),"""")})="" - "","""",join("" - "",{iferror(filter('Student Groupings'!$A:$A,'Student Groupings'!$B:$B=$C400,'Student Groupings'!$H:$H=""Can't be Together""),"""");iferror(filter('Student Groupings'!$A:$A,'Student Groupings'!"&amp;"$E:$E=$C400,'Student Groupings'!$H:$H=""Can't be Together""),"""")})))"),"")</f>
        <v/>
      </c>
      <c r="AD400" s="103" t="str">
        <f>IFERROR(__xludf.DUMMYFUNCTION("if($C400="""","""",if(join("" - "",{iferror(filter('Student Groupings'!$A:$A,'Student Groupings'!$B:$B=$C400,'Student Groupings'!$H:$H=""Must be Together""),"""");iferror(filter('Student Groupings'!$A:$A,'Student Groupings'!$E:$E=$C400,'Student Groupings'"&amp;"!$H:$H=""Must be Together""),"""")})="" - "","""",join("" - "",{iferror(filter('Student Groupings'!$A:$A,'Student Groupings'!$B:$B=$C400,'Student Groupings'!$H:$H=""Must be Together""),"""");iferror(filter('Student Groupings'!$A:$A,'Student Groupings'!$E:"&amp;"$E=$C400,'Student Groupings'!$H:$H=""Must be Together""),"""")})))"),"")</f>
        <v/>
      </c>
      <c r="AE400" s="104"/>
      <c r="AF400" s="104"/>
      <c r="AG400" s="104"/>
      <c r="AH400" s="104"/>
    </row>
    <row r="401">
      <c r="A401" s="101">
        <v>8.0</v>
      </c>
      <c r="B401" s="101">
        <v>29142.0</v>
      </c>
      <c r="C401" s="102" t="s">
        <v>631</v>
      </c>
      <c r="D401" s="52" t="s">
        <v>177</v>
      </c>
      <c r="E401" s="52">
        <v>4.0</v>
      </c>
      <c r="F401" s="52" t="s">
        <v>170</v>
      </c>
      <c r="G401" s="52">
        <v>1.0</v>
      </c>
      <c r="H401" s="52" t="s">
        <v>187</v>
      </c>
      <c r="I401" s="52">
        <v>6.0</v>
      </c>
      <c r="J401" s="52" t="s">
        <v>191</v>
      </c>
      <c r="K401" s="101">
        <v>3.0</v>
      </c>
      <c r="L401" s="52" t="s">
        <v>202</v>
      </c>
      <c r="M401" s="101">
        <v>2.0</v>
      </c>
      <c r="N401" s="52" t="s">
        <v>149</v>
      </c>
      <c r="O401" s="52" t="s">
        <v>124</v>
      </c>
      <c r="P401" s="52" t="s">
        <v>141</v>
      </c>
      <c r="Q401" s="52" t="s">
        <v>112</v>
      </c>
      <c r="R401" s="52" t="s">
        <v>141</v>
      </c>
      <c r="S401" s="52" t="s">
        <v>112</v>
      </c>
      <c r="T401" s="65" t="s">
        <v>30</v>
      </c>
      <c r="U401" s="32">
        <v>1.0</v>
      </c>
      <c r="V401" s="32">
        <v>1.0</v>
      </c>
      <c r="W401" s="32">
        <v>1.0</v>
      </c>
      <c r="X401" s="32">
        <v>1.0</v>
      </c>
      <c r="Y401" s="32">
        <v>1.0</v>
      </c>
      <c r="Z401" s="32">
        <v>1.0</v>
      </c>
      <c r="AA401" s="32">
        <v>6.0</v>
      </c>
      <c r="AB401" s="32">
        <v>0.0</v>
      </c>
      <c r="AC401" s="103" t="str">
        <f>IFERROR(__xludf.DUMMYFUNCTION("if($C401="""","""",if(join("" - "",{iferror(filter('Student Groupings'!$A:$A,'Student Groupings'!$B:$B=$C401,'Student Groupings'!$H:$H=""Can't be Together""),"""");iferror(filter('Student Groupings'!$A:$A,'Student Groupings'!$E:$E=$C401,'Student Groupings"&amp;"'!$H:$H=""Can't be Together""),"""")})="" - "","""",join("" - "",{iferror(filter('Student Groupings'!$A:$A,'Student Groupings'!$B:$B=$C401,'Student Groupings'!$H:$H=""Can't be Together""),"""");iferror(filter('Student Groupings'!$A:$A,'Student Groupings'!"&amp;"$E:$E=$C401,'Student Groupings'!$H:$H=""Can't be Together""),"""")})))"),"")</f>
        <v/>
      </c>
      <c r="AD401" s="103" t="str">
        <f>IFERROR(__xludf.DUMMYFUNCTION("if($C401="""","""",if(join("" - "",{iferror(filter('Student Groupings'!$A:$A,'Student Groupings'!$B:$B=$C401,'Student Groupings'!$H:$H=""Must be Together""),"""");iferror(filter('Student Groupings'!$A:$A,'Student Groupings'!$E:$E=$C401,'Student Groupings'"&amp;"!$H:$H=""Must be Together""),"""")})="" - "","""",join("" - "",{iferror(filter('Student Groupings'!$A:$A,'Student Groupings'!$B:$B=$C401,'Student Groupings'!$H:$H=""Must be Together""),"""");iferror(filter('Student Groupings'!$A:$A,'Student Groupings'!$E:"&amp;"$E=$C401,'Student Groupings'!$H:$H=""Must be Together""),"""")})))"),"")</f>
        <v/>
      </c>
      <c r="AE401" s="104"/>
      <c r="AF401" s="104"/>
      <c r="AG401" s="104"/>
      <c r="AH401" s="104"/>
    </row>
    <row r="402">
      <c r="A402" s="101">
        <v>8.0</v>
      </c>
      <c r="B402" s="101">
        <v>29117.0</v>
      </c>
      <c r="C402" s="102" t="s">
        <v>632</v>
      </c>
      <c r="D402" s="52" t="s">
        <v>176</v>
      </c>
      <c r="E402" s="52">
        <v>2.0</v>
      </c>
      <c r="F402" s="52" t="s">
        <v>167</v>
      </c>
      <c r="G402" s="52">
        <v>5.0</v>
      </c>
      <c r="H402" s="52" t="s">
        <v>185</v>
      </c>
      <c r="I402" s="52">
        <v>1.0</v>
      </c>
      <c r="J402" s="52" t="s">
        <v>190</v>
      </c>
      <c r="K402" s="52">
        <v>4.0</v>
      </c>
      <c r="L402" s="52" t="s">
        <v>201</v>
      </c>
      <c r="M402" s="52">
        <v>3.0</v>
      </c>
      <c r="N402" s="52" t="s">
        <v>149</v>
      </c>
      <c r="O402" s="52" t="s">
        <v>120</v>
      </c>
      <c r="P402" s="52" t="s">
        <v>141</v>
      </c>
      <c r="Q402" s="52" t="s">
        <v>109</v>
      </c>
      <c r="R402" s="52" t="s">
        <v>141</v>
      </c>
      <c r="S402" s="52" t="s">
        <v>109</v>
      </c>
      <c r="T402" s="65" t="s">
        <v>30</v>
      </c>
      <c r="U402" s="32">
        <v>1.0</v>
      </c>
      <c r="V402" s="32">
        <v>1.0</v>
      </c>
      <c r="W402" s="32">
        <v>1.0</v>
      </c>
      <c r="X402" s="32">
        <v>1.0</v>
      </c>
      <c r="Y402" s="32">
        <v>1.0</v>
      </c>
      <c r="Z402" s="32">
        <v>1.0</v>
      </c>
      <c r="AA402" s="32">
        <v>6.0</v>
      </c>
      <c r="AB402" s="32">
        <v>0.0</v>
      </c>
      <c r="AC402" s="103" t="str">
        <f>IFERROR(__xludf.DUMMYFUNCTION("if($C402="""","""",if(join("" - "",{iferror(filter('Student Groupings'!$A:$A,'Student Groupings'!$B:$B=$C402,'Student Groupings'!$H:$H=""Can't be Together""),"""");iferror(filter('Student Groupings'!$A:$A,'Student Groupings'!$E:$E=$C402,'Student Groupings"&amp;"'!$H:$H=""Can't be Together""),"""")})="" - "","""",join("" - "",{iferror(filter('Student Groupings'!$A:$A,'Student Groupings'!$B:$B=$C402,'Student Groupings'!$H:$H=""Can't be Together""),"""");iferror(filter('Student Groupings'!$A:$A,'Student Groupings'!"&amp;"$E:$E=$C402,'Student Groupings'!$H:$H=""Can't be Together""),"""")})))"),"")</f>
        <v/>
      </c>
      <c r="AD402" s="103" t="str">
        <f>IFERROR(__xludf.DUMMYFUNCTION("if($C402="""","""",if(join("" - "",{iferror(filter('Student Groupings'!$A:$A,'Student Groupings'!$B:$B=$C402,'Student Groupings'!$H:$H=""Must be Together""),"""");iferror(filter('Student Groupings'!$A:$A,'Student Groupings'!$E:$E=$C402,'Student Groupings'"&amp;"!$H:$H=""Must be Together""),"""")})="" - "","""",join("" - "",{iferror(filter('Student Groupings'!$A:$A,'Student Groupings'!$B:$B=$C402,'Student Groupings'!$H:$H=""Must be Together""),"""");iferror(filter('Student Groupings'!$A:$A,'Student Groupings'!$E:"&amp;"$E=$C402,'Student Groupings'!$H:$H=""Must be Together""),"""")})))"),"")</f>
        <v/>
      </c>
      <c r="AE402" s="104"/>
      <c r="AF402" s="104"/>
      <c r="AG402" s="104"/>
      <c r="AH402" s="104"/>
    </row>
    <row r="403">
      <c r="A403" s="101">
        <v>8.0</v>
      </c>
      <c r="B403" s="101">
        <v>29118.0</v>
      </c>
      <c r="C403" s="102" t="s">
        <v>633</v>
      </c>
      <c r="D403" s="52" t="s">
        <v>176</v>
      </c>
      <c r="E403" s="52">
        <v>3.0</v>
      </c>
      <c r="F403" s="52" t="s">
        <v>167</v>
      </c>
      <c r="G403" s="52">
        <v>5.0</v>
      </c>
      <c r="H403" s="52" t="s">
        <v>185</v>
      </c>
      <c r="I403" s="52">
        <v>6.0</v>
      </c>
      <c r="J403" s="52" t="s">
        <v>190</v>
      </c>
      <c r="K403" s="52">
        <v>2.0</v>
      </c>
      <c r="L403" s="52" t="s">
        <v>201</v>
      </c>
      <c r="M403" s="52">
        <v>4.0</v>
      </c>
      <c r="N403" s="52" t="s">
        <v>149</v>
      </c>
      <c r="O403" s="52" t="s">
        <v>108</v>
      </c>
      <c r="P403" s="52" t="s">
        <v>141</v>
      </c>
      <c r="Q403" s="52" t="s">
        <v>129</v>
      </c>
      <c r="R403" s="52" t="s">
        <v>141</v>
      </c>
      <c r="S403" s="52" t="s">
        <v>129</v>
      </c>
      <c r="T403" s="65" t="s">
        <v>30</v>
      </c>
      <c r="U403" s="32">
        <v>1.0</v>
      </c>
      <c r="V403" s="32">
        <v>1.0</v>
      </c>
      <c r="W403" s="32">
        <v>1.0</v>
      </c>
      <c r="X403" s="32">
        <v>1.0</v>
      </c>
      <c r="Y403" s="32">
        <v>1.0</v>
      </c>
      <c r="Z403" s="32">
        <v>1.0</v>
      </c>
      <c r="AA403" s="32">
        <v>6.0</v>
      </c>
      <c r="AB403" s="32">
        <v>0.0</v>
      </c>
      <c r="AC403" s="103" t="str">
        <f>IFERROR(__xludf.DUMMYFUNCTION("if($C403="""","""",if(join("" - "",{iferror(filter('Student Groupings'!$A:$A,'Student Groupings'!$B:$B=$C403,'Student Groupings'!$H:$H=""Can't be Together""),"""");iferror(filter('Student Groupings'!$A:$A,'Student Groupings'!$E:$E=$C403,'Student Groupings"&amp;"'!$H:$H=""Can't be Together""),"""")})="" - "","""",join("" - "",{iferror(filter('Student Groupings'!$A:$A,'Student Groupings'!$B:$B=$C403,'Student Groupings'!$H:$H=""Can't be Together""),"""");iferror(filter('Student Groupings'!$A:$A,'Student Groupings'!"&amp;"$E:$E=$C403,'Student Groupings'!$H:$H=""Can't be Together""),"""")})))"),"")</f>
        <v/>
      </c>
      <c r="AD403" s="103" t="str">
        <f>IFERROR(__xludf.DUMMYFUNCTION("if($C403="""","""",if(join("" - "",{iferror(filter('Student Groupings'!$A:$A,'Student Groupings'!$B:$B=$C403,'Student Groupings'!$H:$H=""Must be Together""),"""");iferror(filter('Student Groupings'!$A:$A,'Student Groupings'!$E:$E=$C403,'Student Groupings'"&amp;"!$H:$H=""Must be Together""),"""")})="" - "","""",join("" - "",{iferror(filter('Student Groupings'!$A:$A,'Student Groupings'!$B:$B=$C403,'Student Groupings'!$H:$H=""Must be Together""),"""");iferror(filter('Student Groupings'!$A:$A,'Student Groupings'!$E:"&amp;"$E=$C403,'Student Groupings'!$H:$H=""Must be Together""),"""")})))"),"")</f>
        <v/>
      </c>
      <c r="AE403" s="104"/>
      <c r="AF403" s="104"/>
      <c r="AG403" s="104"/>
      <c r="AH403" s="104"/>
    </row>
    <row r="404">
      <c r="A404" s="101">
        <v>8.0</v>
      </c>
      <c r="B404" s="101">
        <v>29119.0</v>
      </c>
      <c r="C404" s="102" t="s">
        <v>634</v>
      </c>
      <c r="D404" s="52" t="s">
        <v>176</v>
      </c>
      <c r="E404" s="52">
        <v>6.0</v>
      </c>
      <c r="F404" s="52" t="s">
        <v>167</v>
      </c>
      <c r="G404" s="52">
        <v>4.0</v>
      </c>
      <c r="H404" s="52" t="s">
        <v>185</v>
      </c>
      <c r="I404" s="52">
        <v>3.0</v>
      </c>
      <c r="J404" s="52" t="s">
        <v>190</v>
      </c>
      <c r="K404" s="52">
        <v>5.0</v>
      </c>
      <c r="L404" s="52" t="s">
        <v>201</v>
      </c>
      <c r="M404" s="52">
        <v>1.0</v>
      </c>
      <c r="N404" s="52" t="s">
        <v>149</v>
      </c>
      <c r="O404" s="52" t="s">
        <v>125</v>
      </c>
      <c r="P404" s="52" t="s">
        <v>141</v>
      </c>
      <c r="Q404" s="52" t="s">
        <v>119</v>
      </c>
      <c r="R404" s="52" t="s">
        <v>141</v>
      </c>
      <c r="S404" s="52" t="s">
        <v>119</v>
      </c>
      <c r="T404" s="65" t="s">
        <v>30</v>
      </c>
      <c r="U404" s="32">
        <v>1.0</v>
      </c>
      <c r="V404" s="32">
        <v>1.0</v>
      </c>
      <c r="W404" s="32">
        <v>1.0</v>
      </c>
      <c r="X404" s="32">
        <v>1.0</v>
      </c>
      <c r="Y404" s="32">
        <v>1.0</v>
      </c>
      <c r="Z404" s="32">
        <v>1.0</v>
      </c>
      <c r="AA404" s="32">
        <v>6.0</v>
      </c>
      <c r="AB404" s="32">
        <v>0.0</v>
      </c>
      <c r="AC404" s="103" t="str">
        <f>IFERROR(__xludf.DUMMYFUNCTION("if($C404="""","""",if(join("" - "",{iferror(filter('Student Groupings'!$A:$A,'Student Groupings'!$B:$B=$C404,'Student Groupings'!$H:$H=""Can't be Together""),"""");iferror(filter('Student Groupings'!$A:$A,'Student Groupings'!$E:$E=$C404,'Student Groupings"&amp;"'!$H:$H=""Can't be Together""),"""")})="" - "","""",join("" - "",{iferror(filter('Student Groupings'!$A:$A,'Student Groupings'!$B:$B=$C404,'Student Groupings'!$H:$H=""Can't be Together""),"""");iferror(filter('Student Groupings'!$A:$A,'Student Groupings'!"&amp;"$E:$E=$C404,'Student Groupings'!$H:$H=""Can't be Together""),"""")})))"),"")</f>
        <v/>
      </c>
      <c r="AD404" s="103" t="str">
        <f>IFERROR(__xludf.DUMMYFUNCTION("if($C404="""","""",if(join("" - "",{iferror(filter('Student Groupings'!$A:$A,'Student Groupings'!$B:$B=$C404,'Student Groupings'!$H:$H=""Must be Together""),"""");iferror(filter('Student Groupings'!$A:$A,'Student Groupings'!$E:$E=$C404,'Student Groupings'"&amp;"!$H:$H=""Must be Together""),"""")})="" - "","""",join("" - "",{iferror(filter('Student Groupings'!$A:$A,'Student Groupings'!$B:$B=$C404,'Student Groupings'!$H:$H=""Must be Together""),"""");iferror(filter('Student Groupings'!$A:$A,'Student Groupings'!$E:"&amp;"$E=$C404,'Student Groupings'!$H:$H=""Must be Together""),"""")})))"),"")</f>
        <v/>
      </c>
      <c r="AE404" s="104"/>
      <c r="AF404" s="104"/>
      <c r="AG404" s="104"/>
      <c r="AH404" s="104"/>
    </row>
    <row r="405">
      <c r="A405" s="101">
        <v>8.0</v>
      </c>
      <c r="B405" s="101">
        <v>29092.0</v>
      </c>
      <c r="C405" s="102" t="s">
        <v>635</v>
      </c>
      <c r="D405" s="52" t="s">
        <v>176</v>
      </c>
      <c r="E405" s="52">
        <v>6.0</v>
      </c>
      <c r="F405" s="52" t="s">
        <v>167</v>
      </c>
      <c r="G405" s="52">
        <v>4.0</v>
      </c>
      <c r="H405" s="52" t="s">
        <v>185</v>
      </c>
      <c r="I405" s="52">
        <v>3.0</v>
      </c>
      <c r="J405" s="52" t="s">
        <v>190</v>
      </c>
      <c r="K405" s="52">
        <v>5.0</v>
      </c>
      <c r="L405" s="52" t="s">
        <v>201</v>
      </c>
      <c r="M405" s="52">
        <v>1.0</v>
      </c>
      <c r="N405" s="52" t="s">
        <v>149</v>
      </c>
      <c r="O405" s="52" t="s">
        <v>125</v>
      </c>
      <c r="P405" s="52" t="s">
        <v>141</v>
      </c>
      <c r="Q405" s="52" t="s">
        <v>119</v>
      </c>
      <c r="R405" s="52" t="s">
        <v>141</v>
      </c>
      <c r="S405" s="52" t="s">
        <v>119</v>
      </c>
      <c r="T405" s="65" t="s">
        <v>30</v>
      </c>
      <c r="U405" s="32">
        <v>1.0</v>
      </c>
      <c r="V405" s="32">
        <v>1.0</v>
      </c>
      <c r="W405" s="32">
        <v>1.0</v>
      </c>
      <c r="X405" s="32">
        <v>1.0</v>
      </c>
      <c r="Y405" s="32">
        <v>1.0</v>
      </c>
      <c r="Z405" s="32">
        <v>1.0</v>
      </c>
      <c r="AA405" s="32">
        <v>6.0</v>
      </c>
      <c r="AB405" s="32">
        <v>0.0</v>
      </c>
      <c r="AC405" s="103" t="str">
        <f>IFERROR(__xludf.DUMMYFUNCTION("if($C405="""","""",if(join("" - "",{iferror(filter('Student Groupings'!$A:$A,'Student Groupings'!$B:$B=$C405,'Student Groupings'!$H:$H=""Can't be Together""),"""");iferror(filter('Student Groupings'!$A:$A,'Student Groupings'!$E:$E=$C405,'Student Groupings"&amp;"'!$H:$H=""Can't be Together""),"""")})="" - "","""",join("" - "",{iferror(filter('Student Groupings'!$A:$A,'Student Groupings'!$B:$B=$C405,'Student Groupings'!$H:$H=""Can't be Together""),"""");iferror(filter('Student Groupings'!$A:$A,'Student Groupings'!"&amp;"$E:$E=$C405,'Student Groupings'!$H:$H=""Can't be Together""),"""")})))"),"")</f>
        <v/>
      </c>
      <c r="AD405" s="103" t="str">
        <f>IFERROR(__xludf.DUMMYFUNCTION("if($C405="""","""",if(join("" - "",{iferror(filter('Student Groupings'!$A:$A,'Student Groupings'!$B:$B=$C405,'Student Groupings'!$H:$H=""Must be Together""),"""");iferror(filter('Student Groupings'!$A:$A,'Student Groupings'!$E:$E=$C405,'Student Groupings'"&amp;"!$H:$H=""Must be Together""),"""")})="" - "","""",join("" - "",{iferror(filter('Student Groupings'!$A:$A,'Student Groupings'!$B:$B=$C405,'Student Groupings'!$H:$H=""Must be Together""),"""");iferror(filter('Student Groupings'!$A:$A,'Student Groupings'!$E:"&amp;"$E=$C405,'Student Groupings'!$H:$H=""Must be Together""),"""")})))"),"")</f>
        <v/>
      </c>
      <c r="AE405" s="105"/>
      <c r="AF405" s="105"/>
      <c r="AG405" s="105"/>
      <c r="AH405" s="105"/>
    </row>
    <row r="406">
      <c r="A406" s="101">
        <v>8.0</v>
      </c>
      <c r="B406" s="101">
        <v>29120.0</v>
      </c>
      <c r="C406" s="102" t="s">
        <v>636</v>
      </c>
      <c r="D406" s="52" t="s">
        <v>177</v>
      </c>
      <c r="E406" s="52">
        <v>4.0</v>
      </c>
      <c r="F406" s="52" t="s">
        <v>170</v>
      </c>
      <c r="G406" s="52">
        <v>1.0</v>
      </c>
      <c r="H406" s="52" t="s">
        <v>187</v>
      </c>
      <c r="I406" s="52">
        <v>6.0</v>
      </c>
      <c r="J406" s="52" t="s">
        <v>191</v>
      </c>
      <c r="K406" s="101">
        <v>3.0</v>
      </c>
      <c r="L406" s="52" t="s">
        <v>202</v>
      </c>
      <c r="M406" s="101">
        <v>2.0</v>
      </c>
      <c r="N406" s="52" t="s">
        <v>149</v>
      </c>
      <c r="O406" s="52" t="s">
        <v>124</v>
      </c>
      <c r="P406" s="52" t="s">
        <v>141</v>
      </c>
      <c r="Q406" s="52" t="s">
        <v>112</v>
      </c>
      <c r="R406" s="52" t="s">
        <v>141</v>
      </c>
      <c r="S406" s="52" t="s">
        <v>112</v>
      </c>
      <c r="T406" s="65" t="s">
        <v>30</v>
      </c>
      <c r="U406" s="32">
        <v>1.0</v>
      </c>
      <c r="V406" s="32">
        <v>1.0</v>
      </c>
      <c r="W406" s="32">
        <v>1.0</v>
      </c>
      <c r="X406" s="32">
        <v>1.0</v>
      </c>
      <c r="Y406" s="32">
        <v>1.0</v>
      </c>
      <c r="Z406" s="32">
        <v>1.0</v>
      </c>
      <c r="AA406" s="32">
        <v>6.0</v>
      </c>
      <c r="AB406" s="32">
        <v>0.0</v>
      </c>
      <c r="AC406" s="103" t="str">
        <f>IFERROR(__xludf.DUMMYFUNCTION("if($C406="""","""",if(join("" - "",{iferror(filter('Student Groupings'!$A:$A,'Student Groupings'!$B:$B=$C406,'Student Groupings'!$H:$H=""Can't be Together""),"""");iferror(filter('Student Groupings'!$A:$A,'Student Groupings'!$E:$E=$C406,'Student Groupings"&amp;"'!$H:$H=""Can't be Together""),"""")})="" - "","""",join("" - "",{iferror(filter('Student Groupings'!$A:$A,'Student Groupings'!$B:$B=$C406,'Student Groupings'!$H:$H=""Can't be Together""),"""");iferror(filter('Student Groupings'!$A:$A,'Student Groupings'!"&amp;"$E:$E=$C406,'Student Groupings'!$H:$H=""Can't be Together""),"""")})))"),"")</f>
        <v/>
      </c>
      <c r="AD406" s="103" t="str">
        <f>IFERROR(__xludf.DUMMYFUNCTION("if($C406="""","""",if(join("" - "",{iferror(filter('Student Groupings'!$A:$A,'Student Groupings'!$B:$B=$C406,'Student Groupings'!$H:$H=""Must be Together""),"""");iferror(filter('Student Groupings'!$A:$A,'Student Groupings'!$E:$E=$C406,'Student Groupings'"&amp;"!$H:$H=""Must be Together""),"""")})="" - "","""",join("" - "",{iferror(filter('Student Groupings'!$A:$A,'Student Groupings'!$B:$B=$C406,'Student Groupings'!$H:$H=""Must be Together""),"""");iferror(filter('Student Groupings'!$A:$A,'Student Groupings'!$E:"&amp;"$E=$C406,'Student Groupings'!$H:$H=""Must be Together""),"""")})))"),"")</f>
        <v/>
      </c>
      <c r="AE406" s="104"/>
      <c r="AF406" s="104"/>
      <c r="AG406" s="105"/>
      <c r="AH406" s="105"/>
    </row>
    <row r="407">
      <c r="A407" s="101">
        <v>8.0</v>
      </c>
      <c r="B407" s="101">
        <v>29122.0</v>
      </c>
      <c r="C407" s="102" t="s">
        <v>262</v>
      </c>
      <c r="D407" s="52" t="s">
        <v>176</v>
      </c>
      <c r="E407" s="52">
        <v>4.0</v>
      </c>
      <c r="F407" s="52" t="s">
        <v>162</v>
      </c>
      <c r="G407" s="52">
        <v>1.0</v>
      </c>
      <c r="H407" s="52" t="s">
        <v>185</v>
      </c>
      <c r="I407" s="52">
        <v>6.0</v>
      </c>
      <c r="J407" s="52" t="s">
        <v>190</v>
      </c>
      <c r="K407" s="52">
        <v>3.0</v>
      </c>
      <c r="L407" s="52" t="s">
        <v>201</v>
      </c>
      <c r="M407" s="52">
        <v>2.0</v>
      </c>
      <c r="N407" s="52" t="s">
        <v>149</v>
      </c>
      <c r="O407" s="52" t="s">
        <v>112</v>
      </c>
      <c r="P407" s="52" t="s">
        <v>135</v>
      </c>
      <c r="Q407" s="52" t="s">
        <v>124</v>
      </c>
      <c r="R407" s="52" t="s">
        <v>118</v>
      </c>
      <c r="S407" s="52" t="s">
        <v>124</v>
      </c>
      <c r="T407" s="65" t="s">
        <v>8</v>
      </c>
      <c r="U407" s="32">
        <v>1.0</v>
      </c>
      <c r="V407" s="32">
        <v>1.0</v>
      </c>
      <c r="W407" s="32">
        <v>1.0</v>
      </c>
      <c r="X407" s="32">
        <v>1.0</v>
      </c>
      <c r="Y407" s="32">
        <v>1.0</v>
      </c>
      <c r="Z407" s="32">
        <v>1.0</v>
      </c>
      <c r="AA407" s="32">
        <v>6.0</v>
      </c>
      <c r="AB407" s="32">
        <v>0.0</v>
      </c>
      <c r="AC407" s="103" t="str">
        <f>IFERROR(__xludf.DUMMYFUNCTION("if($C407="""","""",if(join("" - "",{iferror(filter('Student Groupings'!$A:$A,'Student Groupings'!$B:$B=$C407,'Student Groupings'!$H:$H=""Can't be Together""),"""");iferror(filter('Student Groupings'!$A:$A,'Student Groupings'!$E:$E=$C407,'Student Groupings"&amp;"'!$H:$H=""Can't be Together""),"""")})="" - "","""",join("" - "",{iferror(filter('Student Groupings'!$A:$A,'Student Groupings'!$B:$B=$C407,'Student Groupings'!$H:$H=""Can't be Together""),"""");iferror(filter('Student Groupings'!$A:$A,'Student Groupings'!"&amp;"$E:$E=$C407,'Student Groupings'!$H:$H=""Can't be Together""),"""")})))")," - 43 - 45 - 124")</f>
        <v> - 43 - 45 - 124</v>
      </c>
      <c r="AD407" s="103" t="str">
        <f>IFERROR(__xludf.DUMMYFUNCTION("if($C407="""","""",if(join("" - "",{iferror(filter('Student Groupings'!$A:$A,'Student Groupings'!$B:$B=$C407,'Student Groupings'!$H:$H=""Must be Together""),"""");iferror(filter('Student Groupings'!$A:$A,'Student Groupings'!$E:$E=$C407,'Student Groupings'"&amp;"!$H:$H=""Must be Together""),"""")})="" - "","""",join("" - "",{iferror(filter('Student Groupings'!$A:$A,'Student Groupings'!$B:$B=$C407,'Student Groupings'!$H:$H=""Must be Together""),"""");iferror(filter('Student Groupings'!$A:$A,'Student Groupings'!$E:"&amp;"$E=$C407,'Student Groupings'!$H:$H=""Must be Together""),"""")})))"),"")</f>
        <v/>
      </c>
      <c r="AE407" s="104"/>
      <c r="AF407" s="104"/>
      <c r="AG407" s="104"/>
      <c r="AH407" s="104"/>
    </row>
    <row r="408">
      <c r="A408" s="101">
        <v>8.0</v>
      </c>
      <c r="B408" s="101">
        <v>29123.0</v>
      </c>
      <c r="C408" s="102" t="s">
        <v>637</v>
      </c>
      <c r="D408" s="52" t="s">
        <v>176</v>
      </c>
      <c r="E408" s="52">
        <v>3.0</v>
      </c>
      <c r="F408" s="52" t="s">
        <v>167</v>
      </c>
      <c r="G408" s="52">
        <v>5.0</v>
      </c>
      <c r="H408" s="52" t="s">
        <v>187</v>
      </c>
      <c r="I408" s="52">
        <v>6.0</v>
      </c>
      <c r="J408" s="52" t="s">
        <v>190</v>
      </c>
      <c r="K408" s="52">
        <v>2.0</v>
      </c>
      <c r="L408" s="52" t="s">
        <v>201</v>
      </c>
      <c r="M408" s="52">
        <v>4.0</v>
      </c>
      <c r="N408" s="52" t="s">
        <v>149</v>
      </c>
      <c r="O408" s="52" t="s">
        <v>108</v>
      </c>
      <c r="P408" s="52" t="s">
        <v>141</v>
      </c>
      <c r="Q408" s="52" t="s">
        <v>129</v>
      </c>
      <c r="R408" s="52" t="s">
        <v>141</v>
      </c>
      <c r="S408" s="52" t="s">
        <v>129</v>
      </c>
      <c r="T408" s="65" t="s">
        <v>30</v>
      </c>
      <c r="U408" s="32">
        <v>1.0</v>
      </c>
      <c r="V408" s="32">
        <v>1.0</v>
      </c>
      <c r="W408" s="32">
        <v>1.0</v>
      </c>
      <c r="X408" s="32">
        <v>1.0</v>
      </c>
      <c r="Y408" s="32">
        <v>1.0</v>
      </c>
      <c r="Z408" s="32">
        <v>1.0</v>
      </c>
      <c r="AA408" s="32">
        <v>6.0</v>
      </c>
      <c r="AB408" s="32">
        <v>0.0</v>
      </c>
      <c r="AC408" s="103" t="str">
        <f>IFERROR(__xludf.DUMMYFUNCTION("if($C408="""","""",if(join("" - "",{iferror(filter('Student Groupings'!$A:$A,'Student Groupings'!$B:$B=$C408,'Student Groupings'!$H:$H=""Can't be Together""),"""");iferror(filter('Student Groupings'!$A:$A,'Student Groupings'!$E:$E=$C408,'Student Groupings"&amp;"'!$H:$H=""Can't be Together""),"""")})="" - "","""",join("" - "",{iferror(filter('Student Groupings'!$A:$A,'Student Groupings'!$B:$B=$C408,'Student Groupings'!$H:$H=""Can't be Together""),"""");iferror(filter('Student Groupings'!$A:$A,'Student Groupings'!"&amp;"$E:$E=$C408,'Student Groupings'!$H:$H=""Can't be Together""),"""")})))"),"")</f>
        <v/>
      </c>
      <c r="AD408" s="103" t="str">
        <f>IFERROR(__xludf.DUMMYFUNCTION("if($C408="""","""",if(join("" - "",{iferror(filter('Student Groupings'!$A:$A,'Student Groupings'!$B:$B=$C408,'Student Groupings'!$H:$H=""Must be Together""),"""");iferror(filter('Student Groupings'!$A:$A,'Student Groupings'!$E:$E=$C408,'Student Groupings'"&amp;"!$H:$H=""Must be Together""),"""")})="" - "","""",join("" - "",{iferror(filter('Student Groupings'!$A:$A,'Student Groupings'!$B:$B=$C408,'Student Groupings'!$H:$H=""Must be Together""),"""");iferror(filter('Student Groupings'!$A:$A,'Student Groupings'!$E:"&amp;"$E=$C408,'Student Groupings'!$H:$H=""Must be Together""),"""")})))"),"")</f>
        <v/>
      </c>
      <c r="AE408" s="104"/>
      <c r="AF408" s="104"/>
      <c r="AG408" s="104"/>
      <c r="AH408" s="104"/>
    </row>
    <row r="409">
      <c r="A409" s="101">
        <v>8.0</v>
      </c>
      <c r="B409" s="101">
        <v>29124.0</v>
      </c>
      <c r="C409" s="102" t="s">
        <v>288</v>
      </c>
      <c r="D409" s="52" t="s">
        <v>176</v>
      </c>
      <c r="E409" s="52">
        <v>5.0</v>
      </c>
      <c r="F409" s="52" t="s">
        <v>167</v>
      </c>
      <c r="G409" s="52">
        <v>3.0</v>
      </c>
      <c r="H409" s="52" t="s">
        <v>185</v>
      </c>
      <c r="I409" s="52">
        <v>2.0</v>
      </c>
      <c r="J409" s="52" t="s">
        <v>190</v>
      </c>
      <c r="K409" s="52">
        <v>1.0</v>
      </c>
      <c r="L409" s="52" t="s">
        <v>201</v>
      </c>
      <c r="M409" s="52">
        <v>6.0</v>
      </c>
      <c r="N409" s="52" t="s">
        <v>149</v>
      </c>
      <c r="O409" s="52" t="s">
        <v>111</v>
      </c>
      <c r="P409" s="52" t="s">
        <v>135</v>
      </c>
      <c r="Q409" s="52" t="s">
        <v>130</v>
      </c>
      <c r="R409" s="52" t="s">
        <v>118</v>
      </c>
      <c r="S409" s="52" t="s">
        <v>130</v>
      </c>
      <c r="T409" s="65" t="s">
        <v>27</v>
      </c>
      <c r="U409" s="32">
        <v>1.0</v>
      </c>
      <c r="V409" s="32">
        <v>1.0</v>
      </c>
      <c r="W409" s="32">
        <v>1.0</v>
      </c>
      <c r="X409" s="32">
        <v>1.0</v>
      </c>
      <c r="Y409" s="32">
        <v>1.0</v>
      </c>
      <c r="Z409" s="32">
        <v>1.0</v>
      </c>
      <c r="AA409" s="32">
        <v>6.0</v>
      </c>
      <c r="AB409" s="32">
        <v>0.0</v>
      </c>
      <c r="AC409" s="103" t="str">
        <f>IFERROR(__xludf.DUMMYFUNCTION("if($C409="""","""",if(join("" - "",{iferror(filter('Student Groupings'!$A:$A,'Student Groupings'!$B:$B=$C409,'Student Groupings'!$H:$H=""Can't be Together""),"""");iferror(filter('Student Groupings'!$A:$A,'Student Groupings'!$E:$E=$C409,'Student Groupings"&amp;"'!$H:$H=""Can't be Together""),"""")})="" - "","""",join("" - "",{iferror(filter('Student Groupings'!$A:$A,'Student Groupings'!$B:$B=$C409,'Student Groupings'!$H:$H=""Can't be Together""),"""");iferror(filter('Student Groupings'!$A:$A,'Student Groupings'!"&amp;"$E:$E=$C409,'Student Groupings'!$H:$H=""Can't be Together""),"""")})))"),"")</f>
        <v/>
      </c>
      <c r="AD409" s="103" t="str">
        <f>IFERROR(__xludf.DUMMYFUNCTION("if($C409="""","""",if(join("" - "",{iferror(filter('Student Groupings'!$A:$A,'Student Groupings'!$B:$B=$C409,'Student Groupings'!$H:$H=""Must be Together""),"""");iferror(filter('Student Groupings'!$A:$A,'Student Groupings'!$E:$E=$C409,'Student Groupings'"&amp;"!$H:$H=""Must be Together""),"""")})="" - "","""",join("" - "",{iferror(filter('Student Groupings'!$A:$A,'Student Groupings'!$B:$B=$C409,'Student Groupings'!$H:$H=""Must be Together""),"""");iferror(filter('Student Groupings'!$A:$A,'Student Groupings'!$E:"&amp;"$E=$C409,'Student Groupings'!$H:$H=""Must be Together""),"""")})))")," - 120")</f>
        <v> - 120</v>
      </c>
      <c r="AE409" s="104"/>
      <c r="AF409" s="104"/>
      <c r="AG409" s="104"/>
      <c r="AH409" s="104"/>
    </row>
    <row r="410">
      <c r="A410" s="101">
        <v>8.0</v>
      </c>
      <c r="B410" s="101">
        <v>29125.0</v>
      </c>
      <c r="C410" s="102" t="s">
        <v>638</v>
      </c>
      <c r="D410" s="52" t="s">
        <v>176</v>
      </c>
      <c r="E410" s="52">
        <v>5.0</v>
      </c>
      <c r="F410" s="52" t="s">
        <v>167</v>
      </c>
      <c r="G410" s="52">
        <v>4.0</v>
      </c>
      <c r="H410" s="52" t="s">
        <v>185</v>
      </c>
      <c r="I410" s="52">
        <v>3.0</v>
      </c>
      <c r="J410" s="52" t="s">
        <v>190</v>
      </c>
      <c r="K410" s="52">
        <v>1.0</v>
      </c>
      <c r="L410" s="52" t="s">
        <v>201</v>
      </c>
      <c r="M410" s="52">
        <v>6.0</v>
      </c>
      <c r="N410" s="52" t="s">
        <v>149</v>
      </c>
      <c r="O410" s="52" t="s">
        <v>125</v>
      </c>
      <c r="P410" s="52" t="s">
        <v>141</v>
      </c>
      <c r="Q410" s="52" t="s">
        <v>119</v>
      </c>
      <c r="R410" s="52" t="s">
        <v>141</v>
      </c>
      <c r="S410" s="52" t="s">
        <v>119</v>
      </c>
      <c r="T410" s="65" t="s">
        <v>30</v>
      </c>
      <c r="U410" s="32">
        <v>1.0</v>
      </c>
      <c r="V410" s="32">
        <v>1.0</v>
      </c>
      <c r="W410" s="32">
        <v>1.0</v>
      </c>
      <c r="X410" s="32">
        <v>1.0</v>
      </c>
      <c r="Y410" s="32">
        <v>1.0</v>
      </c>
      <c r="Z410" s="32">
        <v>1.0</v>
      </c>
      <c r="AA410" s="32">
        <v>6.0</v>
      </c>
      <c r="AB410" s="32">
        <v>0.0</v>
      </c>
      <c r="AC410" s="103" t="str">
        <f>IFERROR(__xludf.DUMMYFUNCTION("if($C410="""","""",if(join("" - "",{iferror(filter('Student Groupings'!$A:$A,'Student Groupings'!$B:$B=$C410,'Student Groupings'!$H:$H=""Can't be Together""),"""");iferror(filter('Student Groupings'!$A:$A,'Student Groupings'!$E:$E=$C410,'Student Groupings"&amp;"'!$H:$H=""Can't be Together""),"""")})="" - "","""",join("" - "",{iferror(filter('Student Groupings'!$A:$A,'Student Groupings'!$B:$B=$C410,'Student Groupings'!$H:$H=""Can't be Together""),"""");iferror(filter('Student Groupings'!$A:$A,'Student Groupings'!"&amp;"$E:$E=$C410,'Student Groupings'!$H:$H=""Can't be Together""),"""")})))"),"")</f>
        <v/>
      </c>
      <c r="AD410" s="103" t="str">
        <f>IFERROR(__xludf.DUMMYFUNCTION("if($C410="""","""",if(join("" - "",{iferror(filter('Student Groupings'!$A:$A,'Student Groupings'!$B:$B=$C410,'Student Groupings'!$H:$H=""Must be Together""),"""");iferror(filter('Student Groupings'!$A:$A,'Student Groupings'!$E:$E=$C410,'Student Groupings'"&amp;"!$H:$H=""Must be Together""),"""")})="" - "","""",join("" - "",{iferror(filter('Student Groupings'!$A:$A,'Student Groupings'!$B:$B=$C410,'Student Groupings'!$H:$H=""Must be Together""),"""");iferror(filter('Student Groupings'!$A:$A,'Student Groupings'!$E:"&amp;"$E=$C410,'Student Groupings'!$H:$H=""Must be Together""),"""")})))"),"")</f>
        <v/>
      </c>
      <c r="AE410" s="104"/>
      <c r="AF410" s="104"/>
      <c r="AG410" s="104"/>
      <c r="AH410" s="104"/>
    </row>
    <row r="411">
      <c r="A411" s="101">
        <v>8.0</v>
      </c>
      <c r="B411" s="101">
        <v>29126.0</v>
      </c>
      <c r="C411" s="102" t="s">
        <v>263</v>
      </c>
      <c r="D411" s="52" t="s">
        <v>176</v>
      </c>
      <c r="E411" s="52">
        <v>3.0</v>
      </c>
      <c r="F411" s="52" t="s">
        <v>162</v>
      </c>
      <c r="G411" s="52">
        <v>6.0</v>
      </c>
      <c r="H411" s="52" t="s">
        <v>185</v>
      </c>
      <c r="I411" s="52">
        <v>1.0</v>
      </c>
      <c r="J411" s="52" t="s">
        <v>190</v>
      </c>
      <c r="K411" s="52">
        <v>2.0</v>
      </c>
      <c r="L411" s="52" t="s">
        <v>201</v>
      </c>
      <c r="M411" s="52">
        <v>4.0</v>
      </c>
      <c r="N411" s="52" t="s">
        <v>149</v>
      </c>
      <c r="O411" s="52" t="s">
        <v>112</v>
      </c>
      <c r="P411" s="52" t="s">
        <v>118</v>
      </c>
      <c r="Q411" s="52" t="s">
        <v>124</v>
      </c>
      <c r="R411" s="52" t="s">
        <v>135</v>
      </c>
      <c r="S411" s="52" t="s">
        <v>124</v>
      </c>
      <c r="T411" s="65" t="s">
        <v>27</v>
      </c>
      <c r="U411" s="32">
        <v>1.0</v>
      </c>
      <c r="V411" s="32">
        <v>1.0</v>
      </c>
      <c r="W411" s="32">
        <v>1.0</v>
      </c>
      <c r="X411" s="32">
        <v>1.0</v>
      </c>
      <c r="Y411" s="32">
        <v>1.0</v>
      </c>
      <c r="Z411" s="32">
        <v>1.0</v>
      </c>
      <c r="AA411" s="32">
        <v>6.0</v>
      </c>
      <c r="AB411" s="32">
        <v>0.0</v>
      </c>
      <c r="AC411" s="103" t="str">
        <f>IFERROR(__xludf.DUMMYFUNCTION("if($C411="""","""",if(join("" - "",{iferror(filter('Student Groupings'!$A:$A,'Student Groupings'!$B:$B=$C411,'Student Groupings'!$H:$H=""Can't be Together""),"""");iferror(filter('Student Groupings'!$A:$A,'Student Groupings'!$E:$E=$C411,'Student Groupings"&amp;"'!$H:$H=""Can't be Together""),"""")})="" - "","""",join("" - "",{iferror(filter('Student Groupings'!$A:$A,'Student Groupings'!$B:$B=$C411,'Student Groupings'!$H:$H=""Can't be Together""),"""");iferror(filter('Student Groupings'!$A:$A,'Student Groupings'!"&amp;"$E:$E=$C411,'Student Groupings'!$H:$H=""Can't be Together""),"""")})))"),"45 - 44")</f>
        <v>45 - 44</v>
      </c>
      <c r="AD411" s="103" t="str">
        <f>IFERROR(__xludf.DUMMYFUNCTION("if($C411="""","""",if(join("" - "",{iferror(filter('Student Groupings'!$A:$A,'Student Groupings'!$B:$B=$C411,'Student Groupings'!$H:$H=""Must be Together""),"""");iferror(filter('Student Groupings'!$A:$A,'Student Groupings'!$E:$E=$C411,'Student Groupings'"&amp;"!$H:$H=""Must be Together""),"""")})="" - "","""",join("" - "",{iferror(filter('Student Groupings'!$A:$A,'Student Groupings'!$B:$B=$C411,'Student Groupings'!$H:$H=""Must be Together""),"""");iferror(filter('Student Groupings'!$A:$A,'Student Groupings'!$E:"&amp;"$E=$C411,'Student Groupings'!$H:$H=""Must be Together""),"""")})))"),"46 - ")</f>
        <v>46 - </v>
      </c>
      <c r="AE411" s="104"/>
      <c r="AF411" s="104"/>
      <c r="AG411" s="104"/>
      <c r="AH411" s="104"/>
    </row>
    <row r="412">
      <c r="A412" s="101">
        <v>8.0</v>
      </c>
      <c r="B412" s="101">
        <v>29145.0</v>
      </c>
      <c r="C412" s="102" t="s">
        <v>639</v>
      </c>
      <c r="D412" s="52" t="s">
        <v>176</v>
      </c>
      <c r="E412" s="52">
        <v>2.0</v>
      </c>
      <c r="F412" s="52" t="s">
        <v>170</v>
      </c>
      <c r="G412" s="52">
        <v>1.0</v>
      </c>
      <c r="H412" s="52" t="s">
        <v>185</v>
      </c>
      <c r="I412" s="52">
        <v>6.0</v>
      </c>
      <c r="J412" s="52" t="s">
        <v>190</v>
      </c>
      <c r="K412" s="52">
        <v>4.0</v>
      </c>
      <c r="L412" s="52" t="s">
        <v>201</v>
      </c>
      <c r="M412" s="52">
        <v>3.0</v>
      </c>
      <c r="N412" s="52" t="s">
        <v>149</v>
      </c>
      <c r="O412" s="52" t="s">
        <v>124</v>
      </c>
      <c r="P412" s="52" t="s">
        <v>141</v>
      </c>
      <c r="Q412" s="52" t="s">
        <v>112</v>
      </c>
      <c r="R412" s="52" t="s">
        <v>141</v>
      </c>
      <c r="S412" s="52" t="s">
        <v>112</v>
      </c>
      <c r="T412" s="65" t="s">
        <v>30</v>
      </c>
      <c r="U412" s="32">
        <v>1.0</v>
      </c>
      <c r="V412" s="32">
        <v>1.0</v>
      </c>
      <c r="W412" s="32">
        <v>1.0</v>
      </c>
      <c r="X412" s="32">
        <v>1.0</v>
      </c>
      <c r="Y412" s="32">
        <v>1.0</v>
      </c>
      <c r="Z412" s="32">
        <v>1.0</v>
      </c>
      <c r="AA412" s="32">
        <v>6.0</v>
      </c>
      <c r="AB412" s="32">
        <v>0.0</v>
      </c>
      <c r="AC412" s="103" t="str">
        <f>IFERROR(__xludf.DUMMYFUNCTION("if($C412="""","""",if(join("" - "",{iferror(filter('Student Groupings'!$A:$A,'Student Groupings'!$B:$B=$C412,'Student Groupings'!$H:$H=""Can't be Together""),"""");iferror(filter('Student Groupings'!$A:$A,'Student Groupings'!$E:$E=$C412,'Student Groupings"&amp;"'!$H:$H=""Can't be Together""),"""")})="" - "","""",join("" - "",{iferror(filter('Student Groupings'!$A:$A,'Student Groupings'!$B:$B=$C412,'Student Groupings'!$H:$H=""Can't be Together""),"""");iferror(filter('Student Groupings'!$A:$A,'Student Groupings'!"&amp;"$E:$E=$C412,'Student Groupings'!$H:$H=""Can't be Together""),"""")})))"),"")</f>
        <v/>
      </c>
      <c r="AD412" s="103" t="str">
        <f>IFERROR(__xludf.DUMMYFUNCTION("if($C412="""","""",if(join("" - "",{iferror(filter('Student Groupings'!$A:$A,'Student Groupings'!$B:$B=$C412,'Student Groupings'!$H:$H=""Must be Together""),"""");iferror(filter('Student Groupings'!$A:$A,'Student Groupings'!$E:$E=$C412,'Student Groupings'"&amp;"!$H:$H=""Must be Together""),"""")})="" - "","""",join("" - "",{iferror(filter('Student Groupings'!$A:$A,'Student Groupings'!$B:$B=$C412,'Student Groupings'!$H:$H=""Must be Together""),"""");iferror(filter('Student Groupings'!$A:$A,'Student Groupings'!$E:"&amp;"$E=$C412,'Student Groupings'!$H:$H=""Must be Together""),"""")})))"),"")</f>
        <v/>
      </c>
      <c r="AE412" s="105"/>
      <c r="AF412" s="105">
        <v>1.0</v>
      </c>
      <c r="AG412" s="104"/>
      <c r="AH412" s="104"/>
    </row>
    <row r="413">
      <c r="A413" s="101">
        <v>8.0</v>
      </c>
      <c r="B413" s="101">
        <v>29128.0</v>
      </c>
      <c r="C413" s="102" t="s">
        <v>295</v>
      </c>
      <c r="D413" s="52" t="s">
        <v>176</v>
      </c>
      <c r="E413" s="52">
        <v>4.0</v>
      </c>
      <c r="F413" s="52" t="s">
        <v>162</v>
      </c>
      <c r="G413" s="52">
        <v>6.0</v>
      </c>
      <c r="H413" s="52" t="s">
        <v>185</v>
      </c>
      <c r="I413" s="52">
        <v>1.0</v>
      </c>
      <c r="J413" s="52" t="s">
        <v>190</v>
      </c>
      <c r="K413" s="52">
        <v>3.0</v>
      </c>
      <c r="L413" s="52" t="s">
        <v>201</v>
      </c>
      <c r="M413" s="52">
        <v>2.0</v>
      </c>
      <c r="N413" s="52" t="s">
        <v>149</v>
      </c>
      <c r="O413" s="52" t="s">
        <v>124</v>
      </c>
      <c r="P413" s="52" t="s">
        <v>141</v>
      </c>
      <c r="Q413" s="52" t="s">
        <v>112</v>
      </c>
      <c r="R413" s="52" t="s">
        <v>141</v>
      </c>
      <c r="S413" s="52" t="s">
        <v>112</v>
      </c>
      <c r="T413" s="65" t="s">
        <v>30</v>
      </c>
      <c r="U413" s="32">
        <v>1.0</v>
      </c>
      <c r="V413" s="32">
        <v>1.0</v>
      </c>
      <c r="W413" s="32">
        <v>1.0</v>
      </c>
      <c r="X413" s="32">
        <v>1.0</v>
      </c>
      <c r="Y413" s="32">
        <v>1.0</v>
      </c>
      <c r="Z413" s="32">
        <v>1.0</v>
      </c>
      <c r="AA413" s="32">
        <v>6.0</v>
      </c>
      <c r="AB413" s="32">
        <v>0.0</v>
      </c>
      <c r="AC413" s="103" t="str">
        <f>IFERROR(__xludf.DUMMYFUNCTION("if($C413="""","""",if(join("" - "",{iferror(filter('Student Groupings'!$A:$A,'Student Groupings'!$B:$B=$C413,'Student Groupings'!$H:$H=""Can't be Together""),"""");iferror(filter('Student Groupings'!$A:$A,'Student Groupings'!$E:$E=$C413,'Student Groupings"&amp;"'!$H:$H=""Can't be Together""),"""")})="" - "","""",join("" - "",{iferror(filter('Student Groupings'!$A:$A,'Student Groupings'!$B:$B=$C413,'Student Groupings'!$H:$H=""Can't be Together""),"""");iferror(filter('Student Groupings'!$A:$A,'Student Groupings'!"&amp;"$E:$E=$C413,'Student Groupings'!$H:$H=""Can't be Together""),"""")})))"),"")</f>
        <v/>
      </c>
      <c r="AD413" s="103" t="str">
        <f>IFERROR(__xludf.DUMMYFUNCTION("if($C413="""","""",if(join("" - "",{iferror(filter('Student Groupings'!$A:$A,'Student Groupings'!$B:$B=$C413,'Student Groupings'!$H:$H=""Must be Together""),"""");iferror(filter('Student Groupings'!$A:$A,'Student Groupings'!$E:$E=$C413,'Student Groupings'"&amp;"!$H:$H=""Must be Together""),"""")})="" - "","""",join("" - "",{iferror(filter('Student Groupings'!$A:$A,'Student Groupings'!$B:$B=$C413,'Student Groupings'!$H:$H=""Must be Together""),"""");iferror(filter('Student Groupings'!$A:$A,'Student Groupings'!$E:"&amp;"$E=$C413,'Student Groupings'!$H:$H=""Must be Together""),"""")})))"),"125 - 126 - 127 - 128 - 129 - ")</f>
        <v>125 - 126 - 127 - 128 - 129 - </v>
      </c>
      <c r="AE413" s="104"/>
      <c r="AF413" s="104"/>
      <c r="AG413" s="104"/>
      <c r="AH413" s="104"/>
    </row>
    <row r="414">
      <c r="A414" s="101">
        <v>8.0</v>
      </c>
      <c r="B414" s="101">
        <v>29129.0</v>
      </c>
      <c r="C414" s="102" t="s">
        <v>277</v>
      </c>
      <c r="D414" s="52" t="s">
        <v>176</v>
      </c>
      <c r="E414" s="52">
        <v>3.0</v>
      </c>
      <c r="F414" s="52" t="s">
        <v>162</v>
      </c>
      <c r="G414" s="52">
        <v>6.0</v>
      </c>
      <c r="H414" s="52" t="s">
        <v>185</v>
      </c>
      <c r="I414" s="52">
        <v>1.0</v>
      </c>
      <c r="J414" s="52" t="s">
        <v>190</v>
      </c>
      <c r="K414" s="52">
        <v>2.0</v>
      </c>
      <c r="L414" s="52" t="s">
        <v>201</v>
      </c>
      <c r="M414" s="52">
        <v>4.0</v>
      </c>
      <c r="N414" s="52" t="s">
        <v>149</v>
      </c>
      <c r="O414" s="52" t="s">
        <v>112</v>
      </c>
      <c r="P414" s="52" t="s">
        <v>118</v>
      </c>
      <c r="Q414" s="52" t="s">
        <v>124</v>
      </c>
      <c r="R414" s="52" t="s">
        <v>135</v>
      </c>
      <c r="S414" s="52" t="s">
        <v>124</v>
      </c>
      <c r="T414" s="65" t="s">
        <v>27</v>
      </c>
      <c r="U414" s="32">
        <v>1.0</v>
      </c>
      <c r="V414" s="32">
        <v>1.0</v>
      </c>
      <c r="W414" s="32">
        <v>1.0</v>
      </c>
      <c r="X414" s="32">
        <v>1.0</v>
      </c>
      <c r="Y414" s="32">
        <v>1.0</v>
      </c>
      <c r="Z414" s="32">
        <v>1.0</v>
      </c>
      <c r="AA414" s="32">
        <v>6.0</v>
      </c>
      <c r="AB414" s="32">
        <v>0.0</v>
      </c>
      <c r="AC414" s="103" t="str">
        <f>IFERROR(__xludf.DUMMYFUNCTION("if($C414="""","""",if(join("" - "",{iferror(filter('Student Groupings'!$A:$A,'Student Groupings'!$B:$B=$C414,'Student Groupings'!$H:$H=""Can't be Together""),"""");iferror(filter('Student Groupings'!$A:$A,'Student Groupings'!$E:$E=$C414,'Student Groupings"&amp;"'!$H:$H=""Can't be Together""),"""")})="" - "","""",join("" - "",{iferror(filter('Student Groupings'!$A:$A,'Student Groupings'!$B:$B=$C414,'Student Groupings'!$H:$H=""Can't be Together""),"""");iferror(filter('Student Groupings'!$A:$A,'Student Groupings'!"&amp;"$E:$E=$C414,'Student Groupings'!$H:$H=""Can't be Together""),"""")})))"),"66 - 67 - 68 - 69 - 56 - 60 - 64 - 73")</f>
        <v>66 - 67 - 68 - 69 - 56 - 60 - 64 - 73</v>
      </c>
      <c r="AD414" s="103" t="str">
        <f>IFERROR(__xludf.DUMMYFUNCTION("if($C414="""","""",if(join("" - "",{iferror(filter('Student Groupings'!$A:$A,'Student Groupings'!$B:$B=$C414,'Student Groupings'!$H:$H=""Must be Together""),"""");iferror(filter('Student Groupings'!$A:$A,'Student Groupings'!$E:$E=$C414,'Student Groupings'"&amp;"!$H:$H=""Must be Together""),"""")})="" - "","""",join("" - "",{iferror(filter('Student Groupings'!$A:$A,'Student Groupings'!$B:$B=$C414,'Student Groupings'!$H:$H=""Must be Together""),"""");iferror(filter('Student Groupings'!$A:$A,'Student Groupings'!$E:"&amp;"$E=$C414,'Student Groupings'!$H:$H=""Must be Together""),"""")})))"),"")</f>
        <v/>
      </c>
      <c r="AE414" s="104"/>
      <c r="AF414" s="104"/>
      <c r="AG414" s="104"/>
      <c r="AH414" s="104"/>
    </row>
    <row r="415">
      <c r="A415" s="101">
        <v>8.0</v>
      </c>
      <c r="B415" s="101">
        <v>29131.0</v>
      </c>
      <c r="C415" s="102" t="s">
        <v>640</v>
      </c>
      <c r="D415" s="52" t="s">
        <v>176</v>
      </c>
      <c r="E415" s="52">
        <v>6.0</v>
      </c>
      <c r="F415" s="52" t="s">
        <v>167</v>
      </c>
      <c r="G415" s="52">
        <v>3.0</v>
      </c>
      <c r="H415" s="52" t="s">
        <v>185</v>
      </c>
      <c r="I415" s="52">
        <v>2.0</v>
      </c>
      <c r="J415" s="52" t="s">
        <v>190</v>
      </c>
      <c r="K415" s="52">
        <v>5.0</v>
      </c>
      <c r="L415" s="52" t="s">
        <v>201</v>
      </c>
      <c r="M415" s="52">
        <v>1.0</v>
      </c>
      <c r="N415" s="52" t="s">
        <v>149</v>
      </c>
      <c r="O415" s="52" t="s">
        <v>111</v>
      </c>
      <c r="P415" s="52" t="s">
        <v>135</v>
      </c>
      <c r="Q415" s="52" t="s">
        <v>130</v>
      </c>
      <c r="R415" s="52" t="s">
        <v>118</v>
      </c>
      <c r="S415" s="52" t="s">
        <v>130</v>
      </c>
      <c r="T415" s="65" t="s">
        <v>27</v>
      </c>
      <c r="U415" s="32">
        <v>1.0</v>
      </c>
      <c r="V415" s="32">
        <v>1.0</v>
      </c>
      <c r="W415" s="32">
        <v>1.0</v>
      </c>
      <c r="X415" s="32">
        <v>1.0</v>
      </c>
      <c r="Y415" s="32">
        <v>1.0</v>
      </c>
      <c r="Z415" s="32">
        <v>1.0</v>
      </c>
      <c r="AA415" s="32">
        <v>6.0</v>
      </c>
      <c r="AB415" s="32">
        <v>0.0</v>
      </c>
      <c r="AC415" s="103" t="str">
        <f>IFERROR(__xludf.DUMMYFUNCTION("if($C415="""","""",if(join("" - "",{iferror(filter('Student Groupings'!$A:$A,'Student Groupings'!$B:$B=$C415,'Student Groupings'!$H:$H=""Can't be Together""),"""");iferror(filter('Student Groupings'!$A:$A,'Student Groupings'!$E:$E=$C415,'Student Groupings"&amp;"'!$H:$H=""Can't be Together""),"""")})="" - "","""",join("" - "",{iferror(filter('Student Groupings'!$A:$A,'Student Groupings'!$B:$B=$C415,'Student Groupings'!$H:$H=""Can't be Together""),"""");iferror(filter('Student Groupings'!$A:$A,'Student Groupings'!"&amp;"$E:$E=$C415,'Student Groupings'!$H:$H=""Can't be Together""),"""")})))"),"")</f>
        <v/>
      </c>
      <c r="AD415" s="103" t="str">
        <f>IFERROR(__xludf.DUMMYFUNCTION("if($C415="""","""",if(join("" - "",{iferror(filter('Student Groupings'!$A:$A,'Student Groupings'!$B:$B=$C415,'Student Groupings'!$H:$H=""Must be Together""),"""");iferror(filter('Student Groupings'!$A:$A,'Student Groupings'!$E:$E=$C415,'Student Groupings'"&amp;"!$H:$H=""Must be Together""),"""")})="" - "","""",join("" - "",{iferror(filter('Student Groupings'!$A:$A,'Student Groupings'!$B:$B=$C415,'Student Groupings'!$H:$H=""Must be Together""),"""");iferror(filter('Student Groupings'!$A:$A,'Student Groupings'!$E:"&amp;"$E=$C415,'Student Groupings'!$H:$H=""Must be Together""),"""")})))"),"")</f>
        <v/>
      </c>
      <c r="AE415" s="104"/>
      <c r="AF415" s="104"/>
      <c r="AG415" s="104"/>
      <c r="AH415" s="104"/>
    </row>
    <row r="416">
      <c r="A416" s="101">
        <v>8.0</v>
      </c>
      <c r="B416" s="101">
        <v>29132.0</v>
      </c>
      <c r="C416" s="102" t="s">
        <v>641</v>
      </c>
      <c r="D416" s="52" t="s">
        <v>177</v>
      </c>
      <c r="E416" s="52">
        <v>4.0</v>
      </c>
      <c r="F416" s="52" t="s">
        <v>167</v>
      </c>
      <c r="G416" s="52">
        <v>5.0</v>
      </c>
      <c r="H416" s="52" t="s">
        <v>185</v>
      </c>
      <c r="I416" s="52">
        <v>6.0</v>
      </c>
      <c r="J416" s="52" t="s">
        <v>191</v>
      </c>
      <c r="K416" s="52">
        <v>3.0</v>
      </c>
      <c r="L416" s="52" t="s">
        <v>202</v>
      </c>
      <c r="M416" s="52">
        <v>2.0</v>
      </c>
      <c r="N416" s="52" t="s">
        <v>149</v>
      </c>
      <c r="O416" s="52" t="s">
        <v>108</v>
      </c>
      <c r="P416" s="52" t="s">
        <v>141</v>
      </c>
      <c r="Q416" s="52" t="s">
        <v>129</v>
      </c>
      <c r="R416" s="52" t="s">
        <v>141</v>
      </c>
      <c r="S416" s="52" t="s">
        <v>129</v>
      </c>
      <c r="T416" s="65" t="s">
        <v>30</v>
      </c>
      <c r="U416" s="32">
        <v>1.0</v>
      </c>
      <c r="V416" s="32">
        <v>1.0</v>
      </c>
      <c r="W416" s="32">
        <v>1.0</v>
      </c>
      <c r="X416" s="32">
        <v>1.0</v>
      </c>
      <c r="Y416" s="32">
        <v>1.0</v>
      </c>
      <c r="Z416" s="32">
        <v>1.0</v>
      </c>
      <c r="AA416" s="32">
        <v>6.0</v>
      </c>
      <c r="AB416" s="32">
        <v>0.0</v>
      </c>
      <c r="AC416" s="103" t="str">
        <f>IFERROR(__xludf.DUMMYFUNCTION("if($C416="""","""",if(join("" - "",{iferror(filter('Student Groupings'!$A:$A,'Student Groupings'!$B:$B=$C416,'Student Groupings'!$H:$H=""Can't be Together""),"""");iferror(filter('Student Groupings'!$A:$A,'Student Groupings'!$E:$E=$C416,'Student Groupings"&amp;"'!$H:$H=""Can't be Together""),"""")})="" - "","""",join("" - "",{iferror(filter('Student Groupings'!$A:$A,'Student Groupings'!$B:$B=$C416,'Student Groupings'!$H:$H=""Can't be Together""),"""");iferror(filter('Student Groupings'!$A:$A,'Student Groupings'!"&amp;"$E:$E=$C416,'Student Groupings'!$H:$H=""Can't be Together""),"""")})))"),"")</f>
        <v/>
      </c>
      <c r="AD416" s="103" t="str">
        <f>IFERROR(__xludf.DUMMYFUNCTION("if($C416="""","""",if(join("" - "",{iferror(filter('Student Groupings'!$A:$A,'Student Groupings'!$B:$B=$C416,'Student Groupings'!$H:$H=""Must be Together""),"""");iferror(filter('Student Groupings'!$A:$A,'Student Groupings'!$E:$E=$C416,'Student Groupings'"&amp;"!$H:$H=""Must be Together""),"""")})="" - "","""",join("" - "",{iferror(filter('Student Groupings'!$A:$A,'Student Groupings'!$B:$B=$C416,'Student Groupings'!$H:$H=""Must be Together""),"""");iferror(filter('Student Groupings'!$A:$A,'Student Groupings'!$E:"&amp;"$E=$C416,'Student Groupings'!$H:$H=""Must be Together""),"""")})))"),"")</f>
        <v/>
      </c>
      <c r="AE416" s="104"/>
      <c r="AF416" s="104"/>
      <c r="AG416" s="104"/>
      <c r="AH416" s="104"/>
    </row>
    <row r="417">
      <c r="A417" s="101">
        <v>8.0</v>
      </c>
      <c r="B417" s="101">
        <v>29133.0</v>
      </c>
      <c r="C417" s="102" t="s">
        <v>642</v>
      </c>
      <c r="D417" s="52" t="s">
        <v>176</v>
      </c>
      <c r="E417" s="52">
        <v>3.0</v>
      </c>
      <c r="F417" s="52" t="s">
        <v>162</v>
      </c>
      <c r="G417" s="52">
        <v>1.0</v>
      </c>
      <c r="H417" s="52" t="s">
        <v>185</v>
      </c>
      <c r="I417" s="52">
        <v>5.0</v>
      </c>
      <c r="J417" s="52" t="s">
        <v>190</v>
      </c>
      <c r="K417" s="52">
        <v>2.0</v>
      </c>
      <c r="L417" s="52" t="s">
        <v>201</v>
      </c>
      <c r="M417" s="52">
        <v>4.0</v>
      </c>
      <c r="N417" s="52" t="s">
        <v>149</v>
      </c>
      <c r="O417" s="52" t="s">
        <v>120</v>
      </c>
      <c r="P417" s="52" t="s">
        <v>141</v>
      </c>
      <c r="Q417" s="52" t="s">
        <v>109</v>
      </c>
      <c r="R417" s="52" t="s">
        <v>141</v>
      </c>
      <c r="S417" s="52" t="s">
        <v>109</v>
      </c>
      <c r="T417" s="65" t="s">
        <v>30</v>
      </c>
      <c r="U417" s="32">
        <v>1.0</v>
      </c>
      <c r="V417" s="32">
        <v>1.0</v>
      </c>
      <c r="W417" s="32">
        <v>1.0</v>
      </c>
      <c r="X417" s="32">
        <v>1.0</v>
      </c>
      <c r="Y417" s="32">
        <v>1.0</v>
      </c>
      <c r="Z417" s="32">
        <v>1.0</v>
      </c>
      <c r="AA417" s="32">
        <v>6.0</v>
      </c>
      <c r="AB417" s="32">
        <v>0.0</v>
      </c>
      <c r="AC417" s="103" t="str">
        <f>IFERROR(__xludf.DUMMYFUNCTION("if($C417="""","""",if(join("" - "",{iferror(filter('Student Groupings'!$A:$A,'Student Groupings'!$B:$B=$C417,'Student Groupings'!$H:$H=""Can't be Together""),"""");iferror(filter('Student Groupings'!$A:$A,'Student Groupings'!$E:$E=$C417,'Student Groupings"&amp;"'!$H:$H=""Can't be Together""),"""")})="" - "","""",join("" - "",{iferror(filter('Student Groupings'!$A:$A,'Student Groupings'!$B:$B=$C417,'Student Groupings'!$H:$H=""Can't be Together""),"""");iferror(filter('Student Groupings'!$A:$A,'Student Groupings'!"&amp;"$E:$E=$C417,'Student Groupings'!$H:$H=""Can't be Together""),"""")})))"),"")</f>
        <v/>
      </c>
      <c r="AD417" s="103" t="str">
        <f>IFERROR(__xludf.DUMMYFUNCTION("if($C417="""","""",if(join("" - "",{iferror(filter('Student Groupings'!$A:$A,'Student Groupings'!$B:$B=$C417,'Student Groupings'!$H:$H=""Must be Together""),"""");iferror(filter('Student Groupings'!$A:$A,'Student Groupings'!$E:$E=$C417,'Student Groupings'"&amp;"!$H:$H=""Must be Together""),"""")})="" - "","""",join("" - "",{iferror(filter('Student Groupings'!$A:$A,'Student Groupings'!$B:$B=$C417,'Student Groupings'!$H:$H=""Must be Together""),"""");iferror(filter('Student Groupings'!$A:$A,'Student Groupings'!$E:"&amp;"$E=$C417,'Student Groupings'!$H:$H=""Must be Together""),"""")})))"),"")</f>
        <v/>
      </c>
      <c r="AE417" s="104"/>
      <c r="AF417" s="104"/>
      <c r="AG417" s="104"/>
      <c r="AH417" s="104"/>
    </row>
    <row r="418">
      <c r="A418" s="101">
        <v>8.0</v>
      </c>
      <c r="B418" s="101">
        <v>27128.0</v>
      </c>
      <c r="C418" s="102" t="s">
        <v>643</v>
      </c>
      <c r="D418" s="52" t="s">
        <v>177</v>
      </c>
      <c r="E418" s="52">
        <v>4.0</v>
      </c>
      <c r="F418" s="52" t="s">
        <v>162</v>
      </c>
      <c r="G418" s="52">
        <v>1.0</v>
      </c>
      <c r="H418" s="52" t="s">
        <v>185</v>
      </c>
      <c r="I418" s="52">
        <v>6.0</v>
      </c>
      <c r="J418" s="52" t="s">
        <v>191</v>
      </c>
      <c r="K418" s="52">
        <v>3.0</v>
      </c>
      <c r="L418" s="52" t="s">
        <v>202</v>
      </c>
      <c r="M418" s="52">
        <v>2.0</v>
      </c>
      <c r="N418" s="52" t="s">
        <v>149</v>
      </c>
      <c r="O418" s="52" t="s">
        <v>124</v>
      </c>
      <c r="P418" s="52" t="s">
        <v>141</v>
      </c>
      <c r="Q418" s="52" t="s">
        <v>112</v>
      </c>
      <c r="R418" s="52" t="s">
        <v>141</v>
      </c>
      <c r="S418" s="52" t="s">
        <v>112</v>
      </c>
      <c r="T418" s="65" t="s">
        <v>30</v>
      </c>
      <c r="U418" s="32">
        <v>1.0</v>
      </c>
      <c r="V418" s="32">
        <v>1.0</v>
      </c>
      <c r="W418" s="32">
        <v>1.0</v>
      </c>
      <c r="X418" s="32">
        <v>1.0</v>
      </c>
      <c r="Y418" s="32">
        <v>1.0</v>
      </c>
      <c r="Z418" s="32">
        <v>1.0</v>
      </c>
      <c r="AA418" s="32">
        <v>6.0</v>
      </c>
      <c r="AB418" s="32">
        <v>0.0</v>
      </c>
      <c r="AC418" s="103" t="str">
        <f>IFERROR(__xludf.DUMMYFUNCTION("if($C418="""","""",if(join("" - "",{iferror(filter('Student Groupings'!$A:$A,'Student Groupings'!$B:$B=$C418,'Student Groupings'!$H:$H=""Can't be Together""),"""");iferror(filter('Student Groupings'!$A:$A,'Student Groupings'!$E:$E=$C418,'Student Groupings"&amp;"'!$H:$H=""Can't be Together""),"""")})="" - "","""",join("" - "",{iferror(filter('Student Groupings'!$A:$A,'Student Groupings'!$B:$B=$C418,'Student Groupings'!$H:$H=""Can't be Together""),"""");iferror(filter('Student Groupings'!$A:$A,'Student Groupings'!"&amp;"$E:$E=$C418,'Student Groupings'!$H:$H=""Can't be Together""),"""")})))"),"")</f>
        <v/>
      </c>
      <c r="AD418" s="103" t="str">
        <f>IFERROR(__xludf.DUMMYFUNCTION("if($C418="""","""",if(join("" - "",{iferror(filter('Student Groupings'!$A:$A,'Student Groupings'!$B:$B=$C418,'Student Groupings'!$H:$H=""Must be Together""),"""");iferror(filter('Student Groupings'!$A:$A,'Student Groupings'!$E:$E=$C418,'Student Groupings'"&amp;"!$H:$H=""Must be Together""),"""")})="" - "","""",join("" - "",{iferror(filter('Student Groupings'!$A:$A,'Student Groupings'!$B:$B=$C418,'Student Groupings'!$H:$H=""Must be Together""),"""");iferror(filter('Student Groupings'!$A:$A,'Student Groupings'!$E:"&amp;"$E=$C418,'Student Groupings'!$H:$H=""Must be Together""),"""")})))"),"")</f>
        <v/>
      </c>
      <c r="AE418" s="105"/>
      <c r="AF418" s="105">
        <v>1.0</v>
      </c>
      <c r="AG418" s="105">
        <v>1.0</v>
      </c>
      <c r="AH418" s="105"/>
    </row>
  </sheetData>
  <autoFilter ref="$A$1:$AH$418"/>
  <customSheetViews>
    <customSheetView guid="{1AB824AD-7C5B-4223-98E9-55A60E334B74}" filter="1" showAutoFilter="1">
      <autoFilter ref="$A$1:$AH$145"/>
    </customSheetView>
    <customSheetView guid="{2932E752-7BB1-4804-8679-1BF97FA4DD92}" filter="1" showAutoFilter="1">
      <autoFilter ref="$A$1:$AG$418">
        <filterColumn colId="0">
          <filters>
            <filter val="6"/>
          </filters>
        </filterColumn>
      </autoFilter>
    </customSheetView>
    <customSheetView guid="{C4F7F46B-CE6A-4404-83A0-FC330E91BD20}" filter="1" showAutoFilter="1">
      <autoFilter ref="$A$1:$AH$418">
        <filterColumn colId="0">
          <filters>
            <filter val="7"/>
          </filters>
        </filterColumn>
        <filterColumn colId="3">
          <filters>
            <filter val="Science 6"/>
            <filter val="Science 8"/>
            <filter val="Science 8A"/>
            <filter val="Science 6A"/>
            <filter val="Science 7A"/>
          </filters>
        </filterColumn>
      </autoFilter>
    </customSheetView>
  </customSheetViews>
  <conditionalFormatting sqref="AB1:AB418">
    <cfRule type="cellIs" dxfId="0" priority="1" operator="greaterThan">
      <formula>0</formula>
    </cfRule>
  </conditionalFormatting>
  <conditionalFormatting sqref="A2:AH418">
    <cfRule type="expression" dxfId="1" priority="2">
      <formula>OR($AE2&lt;&gt;"",$AF2&lt;&gt;"",$AG2&lt;&gt;"")</formula>
    </cfRule>
  </conditionalFormatting>
  <conditionalFormatting sqref="A2:AH418">
    <cfRule type="expression" dxfId="2" priority="3">
      <formula>AND($AC2&lt;&gt;"",$AD2&lt;&gt;"")</formula>
    </cfRule>
  </conditionalFormatting>
  <conditionalFormatting sqref="A2:AH418">
    <cfRule type="expression" dxfId="3" priority="4">
      <formula>$AC2&lt;&gt;""</formula>
    </cfRule>
  </conditionalFormatting>
  <conditionalFormatting sqref="A2:AH418">
    <cfRule type="expression" dxfId="4" priority="5">
      <formula>$AD2&lt;&gt;""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4" t="s">
        <v>645</v>
      </c>
      <c r="B1" s="124" t="s">
        <v>646</v>
      </c>
      <c r="C1" s="125"/>
      <c r="D1" s="125"/>
      <c r="E1" s="125"/>
      <c r="F1" s="125"/>
      <c r="G1" s="125" t="s">
        <v>8</v>
      </c>
      <c r="I1" s="124" t="s">
        <v>647</v>
      </c>
      <c r="J1" s="124" t="s">
        <v>302</v>
      </c>
      <c r="K1" s="125"/>
      <c r="L1" s="125"/>
      <c r="M1" s="125"/>
      <c r="N1" s="125"/>
      <c r="O1" s="125" t="s">
        <v>8</v>
      </c>
      <c r="Q1" s="124" t="s">
        <v>648</v>
      </c>
      <c r="R1" s="124" t="s">
        <v>302</v>
      </c>
      <c r="S1" s="125"/>
      <c r="T1" s="125"/>
      <c r="U1" s="125"/>
      <c r="V1" s="125"/>
      <c r="W1" s="125" t="s">
        <v>8</v>
      </c>
      <c r="Y1" s="124" t="s">
        <v>649</v>
      </c>
      <c r="Z1" s="124" t="s">
        <v>650</v>
      </c>
      <c r="AA1" s="125"/>
      <c r="AB1" s="125"/>
      <c r="AC1" s="125"/>
      <c r="AD1" s="125"/>
      <c r="AE1" s="125" t="s">
        <v>8</v>
      </c>
    </row>
    <row r="2">
      <c r="A2" s="124" t="s">
        <v>94</v>
      </c>
      <c r="B2" s="124" t="s">
        <v>95</v>
      </c>
      <c r="C2" s="124" t="s">
        <v>96</v>
      </c>
      <c r="D2" s="124" t="s">
        <v>97</v>
      </c>
      <c r="E2" s="124" t="s">
        <v>98</v>
      </c>
      <c r="F2" s="124" t="s">
        <v>99</v>
      </c>
      <c r="G2" s="124" t="s">
        <v>651</v>
      </c>
      <c r="I2" s="124" t="s">
        <v>94</v>
      </c>
      <c r="J2" s="124" t="s">
        <v>95</v>
      </c>
      <c r="K2" s="124" t="s">
        <v>96</v>
      </c>
      <c r="L2" s="124" t="s">
        <v>97</v>
      </c>
      <c r="M2" s="124" t="s">
        <v>98</v>
      </c>
      <c r="N2" s="124" t="s">
        <v>99</v>
      </c>
      <c r="O2" s="124" t="s">
        <v>651</v>
      </c>
      <c r="Q2" s="124" t="s">
        <v>94</v>
      </c>
      <c r="R2" s="124" t="s">
        <v>95</v>
      </c>
      <c r="S2" s="124" t="s">
        <v>96</v>
      </c>
      <c r="T2" s="124" t="s">
        <v>97</v>
      </c>
      <c r="U2" s="124" t="s">
        <v>98</v>
      </c>
      <c r="V2" s="124" t="s">
        <v>99</v>
      </c>
      <c r="W2" s="124" t="s">
        <v>651</v>
      </c>
      <c r="Y2" s="124" t="s">
        <v>94</v>
      </c>
      <c r="Z2" s="124" t="s">
        <v>95</v>
      </c>
      <c r="AA2" s="124" t="s">
        <v>96</v>
      </c>
      <c r="AB2" s="124" t="s">
        <v>97</v>
      </c>
      <c r="AC2" s="124" t="s">
        <v>98</v>
      </c>
      <c r="AD2" s="124" t="s">
        <v>99</v>
      </c>
      <c r="AE2" s="124" t="s">
        <v>651</v>
      </c>
    </row>
    <row r="3">
      <c r="A3" s="124">
        <v>1.0</v>
      </c>
      <c r="B3" s="124" t="s">
        <v>652</v>
      </c>
      <c r="C3" s="124" t="s">
        <v>653</v>
      </c>
      <c r="D3" s="124" t="s">
        <v>654</v>
      </c>
      <c r="E3" s="124" t="s">
        <v>655</v>
      </c>
      <c r="F3" s="125" t="s">
        <v>8</v>
      </c>
      <c r="G3" s="125" t="s">
        <v>8</v>
      </c>
      <c r="I3" s="124">
        <v>1.0</v>
      </c>
      <c r="J3" s="125"/>
      <c r="K3" s="124"/>
      <c r="L3" s="124" t="s">
        <v>656</v>
      </c>
      <c r="M3" s="12" t="s">
        <v>657</v>
      </c>
      <c r="N3" s="12" t="s">
        <v>658</v>
      </c>
      <c r="O3" s="125"/>
      <c r="Q3" s="124">
        <v>1.0</v>
      </c>
      <c r="R3" s="125"/>
      <c r="S3" s="124"/>
      <c r="T3" s="124" t="s">
        <v>659</v>
      </c>
      <c r="U3" s="125"/>
      <c r="V3" s="12" t="s">
        <v>660</v>
      </c>
      <c r="W3" s="125"/>
      <c r="Y3" s="124">
        <v>1.0</v>
      </c>
      <c r="Z3" s="125"/>
      <c r="AA3" s="124"/>
      <c r="AB3" s="124"/>
      <c r="AC3" s="125"/>
      <c r="AD3" s="124" t="s">
        <v>661</v>
      </c>
      <c r="AE3" s="125"/>
    </row>
    <row r="4">
      <c r="A4" s="124">
        <v>2.0</v>
      </c>
      <c r="B4" s="124" t="s">
        <v>662</v>
      </c>
      <c r="C4" s="125" t="s">
        <v>8</v>
      </c>
      <c r="D4" s="124" t="s">
        <v>662</v>
      </c>
      <c r="E4" s="124" t="s">
        <v>652</v>
      </c>
      <c r="F4" s="124" t="s">
        <v>653</v>
      </c>
      <c r="G4" s="125"/>
      <c r="I4" s="124">
        <v>2.0</v>
      </c>
      <c r="J4" s="124" t="s">
        <v>663</v>
      </c>
      <c r="K4" s="12" t="s">
        <v>658</v>
      </c>
      <c r="L4" s="124" t="s">
        <v>663</v>
      </c>
      <c r="M4" s="125"/>
      <c r="N4" s="124"/>
      <c r="O4" s="125"/>
      <c r="Q4" s="124">
        <v>2.0</v>
      </c>
      <c r="R4" s="124" t="s">
        <v>664</v>
      </c>
      <c r="S4" s="12" t="s">
        <v>660</v>
      </c>
      <c r="T4" s="124" t="s">
        <v>664</v>
      </c>
      <c r="U4" s="125"/>
      <c r="V4" s="124"/>
      <c r="W4" s="125"/>
      <c r="Y4" s="124">
        <v>2.0</v>
      </c>
      <c r="Z4" s="124"/>
      <c r="AA4" s="124" t="s">
        <v>661</v>
      </c>
      <c r="AB4" s="124"/>
      <c r="AC4" s="125"/>
      <c r="AD4" s="124"/>
      <c r="AE4" s="125"/>
    </row>
    <row r="5">
      <c r="A5" s="124">
        <v>3.0</v>
      </c>
      <c r="B5" s="124" t="s">
        <v>654</v>
      </c>
      <c r="C5" s="124" t="s">
        <v>654</v>
      </c>
      <c r="D5" s="125" t="s">
        <v>8</v>
      </c>
      <c r="E5" s="124" t="s">
        <v>662</v>
      </c>
      <c r="F5" s="125" t="s">
        <v>8</v>
      </c>
      <c r="G5" s="125"/>
      <c r="I5" s="124">
        <v>3.0</v>
      </c>
      <c r="J5" s="124" t="s">
        <v>656</v>
      </c>
      <c r="K5" s="124" t="s">
        <v>656</v>
      </c>
      <c r="L5" s="12" t="s">
        <v>658</v>
      </c>
      <c r="M5" s="124" t="s">
        <v>663</v>
      </c>
      <c r="N5" s="125"/>
      <c r="O5" s="125"/>
      <c r="Q5" s="124">
        <v>3.0</v>
      </c>
      <c r="R5" s="124" t="s">
        <v>659</v>
      </c>
      <c r="S5" s="124" t="s">
        <v>659</v>
      </c>
      <c r="T5" s="124"/>
      <c r="U5" s="124" t="s">
        <v>664</v>
      </c>
      <c r="V5" s="125"/>
      <c r="W5" s="125"/>
      <c r="Y5" s="124">
        <v>3.0</v>
      </c>
      <c r="Z5" s="124"/>
      <c r="AA5" s="124"/>
      <c r="AB5" s="124" t="s">
        <v>661</v>
      </c>
      <c r="AC5" s="124"/>
      <c r="AD5" s="125"/>
      <c r="AE5" s="125"/>
    </row>
    <row r="6">
      <c r="A6" s="124">
        <v>4.0</v>
      </c>
      <c r="B6" s="124" t="s">
        <v>655</v>
      </c>
      <c r="C6" s="124" t="s">
        <v>652</v>
      </c>
      <c r="D6" s="124" t="s">
        <v>653</v>
      </c>
      <c r="E6" s="124" t="s">
        <v>654</v>
      </c>
      <c r="F6" s="124" t="s">
        <v>655</v>
      </c>
      <c r="G6" s="125"/>
      <c r="I6" s="124">
        <v>4.0</v>
      </c>
      <c r="J6" s="12" t="s">
        <v>657</v>
      </c>
      <c r="K6" s="125"/>
      <c r="L6" s="124"/>
      <c r="M6" s="124" t="s">
        <v>656</v>
      </c>
      <c r="N6" s="12" t="s">
        <v>657</v>
      </c>
      <c r="O6" s="125"/>
      <c r="Q6" s="124">
        <v>4.0</v>
      </c>
      <c r="R6" s="125"/>
      <c r="S6" s="125"/>
      <c r="T6" s="12" t="s">
        <v>660</v>
      </c>
      <c r="U6" s="124" t="s">
        <v>659</v>
      </c>
      <c r="V6" s="125"/>
      <c r="W6" s="125"/>
      <c r="Y6" s="124">
        <v>4.0</v>
      </c>
      <c r="Z6" s="125"/>
      <c r="AA6" s="125"/>
      <c r="AB6" s="124"/>
      <c r="AC6" s="124"/>
      <c r="AD6" s="125"/>
      <c r="AE6" s="125"/>
    </row>
    <row r="7">
      <c r="A7" s="124">
        <v>5.0</v>
      </c>
      <c r="B7" s="125" t="s">
        <v>8</v>
      </c>
      <c r="C7" s="124" t="s">
        <v>662</v>
      </c>
      <c r="D7" s="124" t="s">
        <v>655</v>
      </c>
      <c r="E7" s="124" t="s">
        <v>653</v>
      </c>
      <c r="F7" s="124" t="s">
        <v>652</v>
      </c>
      <c r="G7" s="125"/>
      <c r="I7" s="124">
        <v>5.0</v>
      </c>
      <c r="J7" s="12" t="s">
        <v>658</v>
      </c>
      <c r="K7" s="124" t="s">
        <v>663</v>
      </c>
      <c r="L7" s="12" t="s">
        <v>657</v>
      </c>
      <c r="M7" s="124"/>
      <c r="N7" s="125"/>
      <c r="O7" s="125"/>
      <c r="Q7" s="124">
        <v>5.0</v>
      </c>
      <c r="R7" s="12" t="s">
        <v>660</v>
      </c>
      <c r="S7" s="124" t="s">
        <v>664</v>
      </c>
      <c r="T7" s="125"/>
      <c r="V7" s="125"/>
      <c r="W7" s="125"/>
      <c r="Y7" s="124">
        <v>5.0</v>
      </c>
      <c r="Z7" s="124" t="s">
        <v>661</v>
      </c>
      <c r="AA7" s="124"/>
      <c r="AB7" s="125"/>
      <c r="AC7" s="125"/>
      <c r="AD7" s="125"/>
      <c r="AE7" s="125"/>
    </row>
    <row r="10">
      <c r="A10" s="12" t="s">
        <v>665</v>
      </c>
      <c r="B10" s="12" t="s">
        <v>666</v>
      </c>
      <c r="I10" s="124" t="s">
        <v>667</v>
      </c>
      <c r="J10" s="124" t="s">
        <v>668</v>
      </c>
      <c r="K10" s="125"/>
      <c r="L10" s="125"/>
      <c r="M10" s="125"/>
      <c r="N10" s="125"/>
      <c r="O10" s="125" t="s">
        <v>8</v>
      </c>
    </row>
    <row r="11">
      <c r="A11" s="124" t="s">
        <v>645</v>
      </c>
      <c r="B11" s="125"/>
      <c r="C11" s="125"/>
      <c r="D11" s="125"/>
      <c r="E11" s="125"/>
      <c r="F11" s="125"/>
      <c r="G11" s="125" t="s">
        <v>8</v>
      </c>
      <c r="I11" s="124" t="s">
        <v>94</v>
      </c>
      <c r="J11" s="124" t="s">
        <v>95</v>
      </c>
      <c r="K11" s="124" t="s">
        <v>96</v>
      </c>
      <c r="L11" s="124" t="s">
        <v>97</v>
      </c>
      <c r="M11" s="124" t="s">
        <v>98</v>
      </c>
      <c r="N11" s="124" t="s">
        <v>99</v>
      </c>
      <c r="O11" s="124" t="s">
        <v>651</v>
      </c>
    </row>
    <row r="12">
      <c r="A12" s="124" t="s">
        <v>94</v>
      </c>
      <c r="B12" s="124" t="s">
        <v>95</v>
      </c>
      <c r="C12" s="124" t="s">
        <v>96</v>
      </c>
      <c r="D12" s="124" t="s">
        <v>97</v>
      </c>
      <c r="E12" s="124" t="s">
        <v>98</v>
      </c>
      <c r="F12" s="124" t="s">
        <v>99</v>
      </c>
      <c r="G12" s="124" t="s">
        <v>651</v>
      </c>
      <c r="I12" s="124">
        <v>1.0</v>
      </c>
      <c r="J12" s="124"/>
      <c r="K12" s="124"/>
      <c r="L12" s="124"/>
      <c r="M12" s="125"/>
      <c r="N12" s="124"/>
      <c r="O12" s="125"/>
    </row>
    <row r="13">
      <c r="A13" s="124">
        <v>1.0</v>
      </c>
      <c r="B13" s="125" t="s">
        <v>8</v>
      </c>
      <c r="C13" s="125" t="s">
        <v>8</v>
      </c>
      <c r="D13" s="125" t="s">
        <v>8</v>
      </c>
      <c r="E13" s="124" t="s">
        <v>669</v>
      </c>
      <c r="F13" s="124" t="s">
        <v>670</v>
      </c>
      <c r="G13" s="125" t="s">
        <v>8</v>
      </c>
      <c r="I13" s="124">
        <v>2.0</v>
      </c>
      <c r="J13" s="124" t="s">
        <v>671</v>
      </c>
      <c r="K13" s="124"/>
      <c r="L13" s="124" t="s">
        <v>671</v>
      </c>
      <c r="M13" s="124"/>
      <c r="N13" s="124"/>
      <c r="O13" s="125"/>
    </row>
    <row r="14">
      <c r="A14" s="124">
        <v>2.0</v>
      </c>
      <c r="B14" s="125" t="s">
        <v>8</v>
      </c>
      <c r="C14" s="124" t="s">
        <v>670</v>
      </c>
      <c r="D14" s="125" t="s">
        <v>8</v>
      </c>
      <c r="E14" s="125" t="s">
        <v>8</v>
      </c>
      <c r="F14" s="125" t="s">
        <v>8</v>
      </c>
      <c r="G14" s="125"/>
      <c r="I14" s="124">
        <v>3.0</v>
      </c>
      <c r="J14" s="124"/>
      <c r="K14" s="124"/>
      <c r="L14" s="124"/>
      <c r="M14" s="124" t="s">
        <v>671</v>
      </c>
      <c r="N14" s="125"/>
      <c r="O14" s="125"/>
    </row>
    <row r="15">
      <c r="A15" s="124">
        <v>3.0</v>
      </c>
      <c r="B15" s="125" t="s">
        <v>8</v>
      </c>
      <c r="C15" s="125" t="s">
        <v>8</v>
      </c>
      <c r="D15" s="124" t="s">
        <v>670</v>
      </c>
      <c r="E15" s="125" t="s">
        <v>8</v>
      </c>
      <c r="F15" s="125" t="s">
        <v>8</v>
      </c>
      <c r="G15" s="125"/>
      <c r="I15" s="124">
        <v>4.0</v>
      </c>
      <c r="J15" s="125"/>
      <c r="K15" s="124"/>
      <c r="L15" s="124"/>
      <c r="M15" s="124"/>
      <c r="N15" s="125"/>
      <c r="O15" s="125"/>
    </row>
    <row r="16">
      <c r="A16" s="124">
        <v>4.0</v>
      </c>
      <c r="B16" s="124" t="s">
        <v>669</v>
      </c>
      <c r="C16" s="125" t="s">
        <v>8</v>
      </c>
      <c r="D16" s="125" t="s">
        <v>8</v>
      </c>
      <c r="E16" s="125" t="s">
        <v>8</v>
      </c>
      <c r="F16" s="124" t="s">
        <v>669</v>
      </c>
      <c r="G16" s="125"/>
      <c r="I16" s="124">
        <v>5.0</v>
      </c>
      <c r="J16" s="124"/>
      <c r="K16" s="124" t="s">
        <v>671</v>
      </c>
      <c r="L16" s="125"/>
      <c r="M16" s="124"/>
      <c r="N16" s="124"/>
      <c r="O16" s="125"/>
    </row>
    <row r="17">
      <c r="A17" s="124">
        <v>5.0</v>
      </c>
      <c r="B17" s="124" t="s">
        <v>670</v>
      </c>
      <c r="C17" s="125" t="s">
        <v>8</v>
      </c>
      <c r="D17" s="124" t="s">
        <v>669</v>
      </c>
      <c r="E17" s="125" t="s">
        <v>8</v>
      </c>
      <c r="F17" s="125" t="s">
        <v>8</v>
      </c>
      <c r="G17" s="125"/>
    </row>
    <row r="20">
      <c r="A20" s="124" t="s">
        <v>672</v>
      </c>
      <c r="B20" s="124" t="s">
        <v>673</v>
      </c>
      <c r="C20" s="125"/>
      <c r="D20" s="125"/>
      <c r="E20" s="125"/>
      <c r="F20" s="125"/>
      <c r="G20" s="125" t="s">
        <v>8</v>
      </c>
      <c r="I20" s="124" t="s">
        <v>674</v>
      </c>
      <c r="J20" s="124" t="s">
        <v>305</v>
      </c>
      <c r="K20" s="125"/>
      <c r="L20" s="125"/>
      <c r="M20" s="125"/>
      <c r="N20" s="125"/>
      <c r="O20" s="125" t="s">
        <v>8</v>
      </c>
    </row>
    <row r="21">
      <c r="A21" s="124" t="s">
        <v>94</v>
      </c>
      <c r="B21" s="124" t="s">
        <v>95</v>
      </c>
      <c r="C21" s="124" t="s">
        <v>96</v>
      </c>
      <c r="D21" s="124" t="s">
        <v>97</v>
      </c>
      <c r="E21" s="124" t="s">
        <v>98</v>
      </c>
      <c r="F21" s="124" t="s">
        <v>99</v>
      </c>
      <c r="G21" s="124" t="s">
        <v>651</v>
      </c>
      <c r="I21" s="124" t="s">
        <v>94</v>
      </c>
      <c r="J21" s="124" t="s">
        <v>95</v>
      </c>
      <c r="K21" s="124" t="s">
        <v>96</v>
      </c>
      <c r="L21" s="124" t="s">
        <v>97</v>
      </c>
      <c r="M21" s="124" t="s">
        <v>98</v>
      </c>
      <c r="N21" s="124" t="s">
        <v>99</v>
      </c>
      <c r="O21" s="124" t="s">
        <v>651</v>
      </c>
    </row>
    <row r="22">
      <c r="A22" s="124">
        <v>1.0</v>
      </c>
      <c r="B22" s="126" t="s">
        <v>675</v>
      </c>
      <c r="C22" s="124" t="s">
        <v>676</v>
      </c>
      <c r="D22" s="124"/>
      <c r="E22" s="125"/>
      <c r="F22" s="124"/>
      <c r="G22" s="125"/>
      <c r="I22" s="124">
        <v>1.0</v>
      </c>
      <c r="J22" s="124" t="s">
        <v>677</v>
      </c>
      <c r="K22" s="124"/>
      <c r="L22" s="124"/>
      <c r="M22" s="125"/>
      <c r="N22" s="124"/>
      <c r="O22" s="125"/>
    </row>
    <row r="23">
      <c r="A23" s="124">
        <v>2.0</v>
      </c>
      <c r="B23" s="124" t="s">
        <v>678</v>
      </c>
      <c r="C23" s="124"/>
      <c r="D23" s="124" t="s">
        <v>678</v>
      </c>
      <c r="E23" s="126" t="s">
        <v>675</v>
      </c>
      <c r="F23" s="124" t="s">
        <v>676</v>
      </c>
      <c r="G23" s="125"/>
      <c r="I23" s="124">
        <v>2.0</v>
      </c>
      <c r="J23" s="124" t="s">
        <v>679</v>
      </c>
      <c r="K23" s="124"/>
      <c r="L23" s="124" t="s">
        <v>679</v>
      </c>
      <c r="M23" s="124" t="s">
        <v>677</v>
      </c>
      <c r="N23" s="124"/>
      <c r="O23" s="125"/>
    </row>
    <row r="24">
      <c r="A24" s="124">
        <v>3.0</v>
      </c>
      <c r="B24" s="124"/>
      <c r="C24" s="124"/>
      <c r="D24" s="124"/>
      <c r="E24" s="124" t="s">
        <v>678</v>
      </c>
      <c r="F24" s="125"/>
      <c r="G24" s="125"/>
      <c r="I24" s="124">
        <v>3.0</v>
      </c>
      <c r="J24" s="124"/>
      <c r="K24" s="124"/>
      <c r="L24" s="124"/>
      <c r="M24" s="124" t="s">
        <v>679</v>
      </c>
      <c r="N24" s="125"/>
      <c r="O24" s="125"/>
    </row>
    <row r="25">
      <c r="A25" s="124">
        <v>4.0</v>
      </c>
      <c r="B25" s="125"/>
      <c r="C25" s="126" t="s">
        <v>675</v>
      </c>
      <c r="D25" s="124" t="s">
        <v>676</v>
      </c>
      <c r="E25" s="124"/>
      <c r="F25" s="125"/>
      <c r="G25" s="125"/>
      <c r="I25" s="124">
        <v>4.0</v>
      </c>
      <c r="J25" s="125"/>
      <c r="K25" s="124" t="s">
        <v>677</v>
      </c>
      <c r="L25" s="124"/>
      <c r="M25" s="124"/>
      <c r="N25" s="125"/>
      <c r="O25" s="125"/>
    </row>
    <row r="26">
      <c r="A26" s="124">
        <v>5.0</v>
      </c>
      <c r="B26" s="124"/>
      <c r="C26" s="124" t="s">
        <v>678</v>
      </c>
      <c r="D26" s="125"/>
      <c r="E26" s="124" t="s">
        <v>676</v>
      </c>
      <c r="F26" s="126" t="s">
        <v>675</v>
      </c>
      <c r="G26" s="125"/>
      <c r="I26" s="124">
        <v>5.0</v>
      </c>
      <c r="J26" s="124"/>
      <c r="K26" s="124" t="s">
        <v>679</v>
      </c>
      <c r="L26" s="125"/>
      <c r="M26" s="124"/>
      <c r="N26" s="124" t="s">
        <v>677</v>
      </c>
      <c r="O26" s="125"/>
    </row>
    <row r="28">
      <c r="B28" s="12" t="s">
        <v>680</v>
      </c>
    </row>
    <row r="29">
      <c r="A29" s="124"/>
      <c r="B29" s="124" t="s">
        <v>95</v>
      </c>
      <c r="C29" s="124" t="s">
        <v>96</v>
      </c>
      <c r="D29" s="124" t="s">
        <v>97</v>
      </c>
      <c r="E29" s="124" t="s">
        <v>98</v>
      </c>
      <c r="F29" s="124" t="s">
        <v>99</v>
      </c>
    </row>
    <row r="30">
      <c r="A30" s="124">
        <v>1.0</v>
      </c>
      <c r="B30" s="124"/>
      <c r="C30" s="124"/>
      <c r="D30" s="124" t="s">
        <v>681</v>
      </c>
      <c r="E30" s="124"/>
      <c r="F30" s="124" t="s">
        <v>682</v>
      </c>
    </row>
    <row r="31">
      <c r="A31" s="124">
        <v>2.0</v>
      </c>
      <c r="B31" s="124" t="s">
        <v>683</v>
      </c>
      <c r="C31" s="124" t="s">
        <v>682</v>
      </c>
      <c r="D31" s="124" t="s">
        <v>683</v>
      </c>
      <c r="E31" s="124" t="s">
        <v>684</v>
      </c>
      <c r="F31" s="124" t="s">
        <v>684</v>
      </c>
    </row>
    <row r="32">
      <c r="A32" s="124">
        <v>3.0</v>
      </c>
      <c r="B32" s="124" t="s">
        <v>681</v>
      </c>
      <c r="C32" s="124" t="s">
        <v>681</v>
      </c>
      <c r="D32" s="124" t="s">
        <v>682</v>
      </c>
      <c r="E32" s="124" t="s">
        <v>683</v>
      </c>
      <c r="F32" s="124" t="s">
        <v>685</v>
      </c>
    </row>
    <row r="33">
      <c r="A33" s="124" t="s">
        <v>686</v>
      </c>
      <c r="B33" s="124" t="s">
        <v>687</v>
      </c>
      <c r="C33" s="124"/>
      <c r="D33" s="124" t="s">
        <v>687</v>
      </c>
      <c r="E33" s="124"/>
      <c r="F33" s="124"/>
    </row>
    <row r="34">
      <c r="A34" s="124">
        <v>4.0</v>
      </c>
      <c r="B34" s="124"/>
      <c r="C34" s="124"/>
      <c r="D34" s="124"/>
      <c r="E34" s="124" t="s">
        <v>681</v>
      </c>
      <c r="F34" s="124"/>
    </row>
    <row r="35">
      <c r="A35" s="124">
        <v>5.0</v>
      </c>
      <c r="B35" s="124" t="s">
        <v>682</v>
      </c>
      <c r="C35" s="124" t="s">
        <v>683</v>
      </c>
      <c r="D35" s="124" t="s">
        <v>688</v>
      </c>
      <c r="E35" s="124" t="s">
        <v>688</v>
      </c>
      <c r="F35" s="124"/>
    </row>
    <row r="38">
      <c r="A38" s="124"/>
      <c r="B38" s="124"/>
      <c r="C38" s="124"/>
      <c r="D38" s="124"/>
      <c r="E38" s="124"/>
      <c r="F38" s="124"/>
    </row>
    <row r="39">
      <c r="A39" s="124"/>
      <c r="B39" s="124"/>
      <c r="C39" s="127"/>
      <c r="D39" s="127"/>
      <c r="E39" s="124"/>
      <c r="F39" s="127"/>
    </row>
    <row r="40">
      <c r="A40" s="124"/>
      <c r="B40" s="124"/>
      <c r="C40" s="127"/>
      <c r="D40" s="124"/>
      <c r="E40" s="124"/>
      <c r="F40" s="127"/>
    </row>
    <row r="41">
      <c r="A41" s="124"/>
      <c r="B41" s="127"/>
      <c r="C41" s="127"/>
      <c r="D41" s="127"/>
      <c r="E41" s="124"/>
      <c r="F41" s="124"/>
    </row>
    <row r="42">
      <c r="A42" s="124"/>
      <c r="B42" s="124"/>
      <c r="C42" s="124"/>
      <c r="D42" s="127"/>
      <c r="E42" s="127"/>
      <c r="F42" s="124"/>
    </row>
    <row r="43">
      <c r="A43" s="124"/>
      <c r="B43" s="127"/>
      <c r="C43" s="124"/>
      <c r="D43" s="124"/>
      <c r="E43" s="127"/>
      <c r="F43" s="12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3" max="3" width="15.63"/>
    <col customWidth="1" min="4" max="4" width="14.88"/>
    <col customWidth="1" min="5" max="7" width="16.88"/>
  </cols>
  <sheetData>
    <row r="1">
      <c r="A1" s="128" t="s">
        <v>689</v>
      </c>
      <c r="B1" s="129" t="s">
        <v>690</v>
      </c>
      <c r="C1" s="128" t="s">
        <v>691</v>
      </c>
      <c r="D1" s="129" t="s">
        <v>692</v>
      </c>
      <c r="E1" s="130" t="str">
        <f t="array" ref="E1:E500">if(ROW(E:E)=1,"Ghost Class Sensor",if(C:C="","",iferror(if(match(C:C&amp;D:D,A:A&amp;B:B,0)&gt;0,0,1),1)))</f>
        <v>Ghost Class Sensor</v>
      </c>
      <c r="F1" s="131" t="s">
        <v>693</v>
      </c>
      <c r="G1" s="131" t="s">
        <v>694</v>
      </c>
    </row>
    <row r="2">
      <c r="A2" s="132" t="str">
        <f>IFERROR(__xludf.DUMMYFUNCTION("{iferror(filter({Schedule!M3:M500,if(Schedule!M3:M500&lt;&gt;"""",Schedule!M2,"""")&amp;Schedule!K3:K500&amp;if(Schedule!J3:J500&lt;&gt;""Y"",Schedule!J3:J500,"""")},Schedule!M3:M500&lt;&gt;""""),{"""",""""});
iferror(filter({Schedule!P3:P500,if(Schedule!P3:P500&lt;&gt;"""",Schedule!P2,"&amp;""""")&amp;Schedule!K3:K500&amp;if(Schedule!J3:J500&lt;&gt;""Y"",Schedule!J3:J500,"""")},Schedule!P3:P500&lt;&gt;""""),{"""",""""});
iferror(filter({Schedule!S3:S500,if(Schedule!S3:S500&lt;&gt;"""",Schedule!S2,"""")&amp;Schedule!K3:K500&amp;if(Schedule!J3:J500&lt;&gt;""Y"",Schedule!J3:J500,"""")"&amp;"},Schedule!S3:S500&lt;&gt;""""),{"""",""""});
iferror(filter({Schedule!V3:V500,if(Schedule!V3:V500&lt;&gt;"""",Schedule!V2,"""")&amp;Schedule!K3:K500&amp;if(Schedule!J3:J500&lt;&gt;""Y"",Schedule!J3:J500,"""")},Schedule!V3:V500&lt;&gt;""""),{"""",""""});
iferror(filter({Schedule!Y3:Y500"&amp;",if(Schedule!Y3:Y500&lt;&gt;"""",Schedule!Y2,"""")&amp;Schedule!K3:K500&amp;if(Schedule!J3:J500&lt;&gt;""Y"",Schedule!J3:J500,"""")},Schedule!Y3:Y500&lt;&gt;""""),{"""",""""});
iferror(filter({Schedule!AB3:AB500,if(Schedule!AB3:AB500&lt;&gt;"""",Schedule!AB2,"""")&amp;Schedule!K3:K500&amp;if(Sc"&amp;"hedule!J3:J500&lt;&gt;""Y"",Schedule!J3:J500,"""")},Schedule!AB3:AB500&lt;&gt;""""),{"""",""""})}"),"Art 7")</f>
        <v>Art 7</v>
      </c>
      <c r="B2" s="31" t="str">
        <f>IFERROR(__xludf.DUMMYFUNCTION("""COMPUTED_VALUE"""),"1aS1")</f>
        <v>1aS1</v>
      </c>
      <c r="C2" s="132" t="str">
        <f>IFERROR(__xludf.DUMMYFUNCTION("sort(unique({
iferror(filter({Students!D2:E500},Students!E2:E500&lt;&gt;""""),{"""",""""});
iferror(filter({Students!F2:G500},Students!G2:G500&lt;&gt;""""),{"""",""""});
iferror(filter({Students!H2:I500},Students!I2:I500&lt;&gt;""""),{"""",""""});
iferror(filter({Students!"&amp;"J2:K500},Students!K2:K500&lt;&gt;""""),{"""",""""});
iferror(filter({Students!L2:M500},Students!M2:M500&lt;&gt;""""),{"""",""""});
iferror(filter({Students!N2:O500},Students!O2:O500&lt;&gt;""""),{"""",""""});
iferror(filter({Students!P2:P500,Students!Q2:Q500&amp;if(Students!Q2"&amp;":Q500&lt;&gt;"""",""S1"","""")},Students!Q2:Q500&lt;&gt;""""),{"""",""""});
iferror(filter({Students!R2:R500,Students!S2:S500&amp;if(Students!S2:S500&lt;&gt;"""",""S2"","""")},Students!S2:S500&lt;&gt;""""),{"""",""""})}))"),"Algebra")</f>
        <v>Algebra</v>
      </c>
      <c r="D2" s="31">
        <f>IFERROR(__xludf.DUMMYFUNCTION("""COMPUTED_VALUE"""),3.0)</f>
        <v>3</v>
      </c>
      <c r="E2" s="8">
        <v>0.0</v>
      </c>
      <c r="F2" s="133" t="str">
        <f>IFERROR(__xludf.DUMMYFUNCTION("iferror(filter(C:D,E:E=1),"""")"),"")</f>
        <v/>
      </c>
      <c r="G2" s="88"/>
    </row>
    <row r="3">
      <c r="A3" t="str">
        <f>IFERROR(__xludf.DUMMYFUNCTION("""COMPUTED_VALUE"""),"Art 6")</f>
        <v>Art 6</v>
      </c>
      <c r="B3" s="31" t="str">
        <f>IFERROR(__xludf.DUMMYFUNCTION("""COMPUTED_VALUE"""),"1bS1")</f>
        <v>1bS1</v>
      </c>
      <c r="C3" t="str">
        <f>IFERROR(__xludf.DUMMYFUNCTION("""COMPUTED_VALUE"""),"Algebra")</f>
        <v>Algebra</v>
      </c>
      <c r="D3" s="31">
        <f>IFERROR(__xludf.DUMMYFUNCTION("""COMPUTED_VALUE"""),4.0)</f>
        <v>4</v>
      </c>
      <c r="E3" s="8">
        <v>0.0</v>
      </c>
      <c r="F3" s="88"/>
      <c r="G3" s="88"/>
    </row>
    <row r="4">
      <c r="A4" t="str">
        <f>IFERROR(__xludf.DUMMYFUNCTION("""COMPUTED_VALUE"""),"Art 7")</f>
        <v>Art 7</v>
      </c>
      <c r="B4" s="31" t="str">
        <f>IFERROR(__xludf.DUMMYFUNCTION("""COMPUTED_VALUE"""),"1aS2")</f>
        <v>1aS2</v>
      </c>
      <c r="C4" t="str">
        <f>IFERROR(__xludf.DUMMYFUNCTION("""COMPUTED_VALUE"""),"Algebra")</f>
        <v>Algebra</v>
      </c>
      <c r="D4" s="31">
        <f>IFERROR(__xludf.DUMMYFUNCTION("""COMPUTED_VALUE"""),5.0)</f>
        <v>5</v>
      </c>
      <c r="E4" s="8">
        <v>0.0</v>
      </c>
      <c r="F4" s="88"/>
      <c r="G4" s="88"/>
    </row>
    <row r="5">
      <c r="A5" t="str">
        <f>IFERROR(__xludf.DUMMYFUNCTION("""COMPUTED_VALUE"""),"Art 6")</f>
        <v>Art 6</v>
      </c>
      <c r="B5" s="31" t="str">
        <f>IFERROR(__xludf.DUMMYFUNCTION("""COMPUTED_VALUE"""),"1bS2")</f>
        <v>1bS2</v>
      </c>
      <c r="C5" t="str">
        <f>IFERROR(__xludf.DUMMYFUNCTION("""COMPUTED_VALUE"""),"Art 6")</f>
        <v>Art 6</v>
      </c>
      <c r="D5" s="31" t="str">
        <f>IFERROR(__xludf.DUMMYFUNCTION("""COMPUTED_VALUE"""),"1bS1")</f>
        <v>1bS1</v>
      </c>
      <c r="E5" s="8">
        <v>0.0</v>
      </c>
      <c r="F5" s="88"/>
      <c r="G5" s="88"/>
    </row>
    <row r="6">
      <c r="A6" t="str">
        <f>IFERROR(__xludf.DUMMYFUNCTION("""COMPUTED_VALUE"""),"Tech 7")</f>
        <v>Tech 7</v>
      </c>
      <c r="B6" s="31" t="str">
        <f>IFERROR(__xludf.DUMMYFUNCTION("""COMPUTED_VALUE"""),"1aS1")</f>
        <v>1aS1</v>
      </c>
      <c r="C6" t="str">
        <f>IFERROR(__xludf.DUMMYFUNCTION("""COMPUTED_VALUE"""),"Art 6")</f>
        <v>Art 6</v>
      </c>
      <c r="D6" s="31" t="str">
        <f>IFERROR(__xludf.DUMMYFUNCTION("""COMPUTED_VALUE"""),"1bS2")</f>
        <v>1bS2</v>
      </c>
      <c r="E6" s="8">
        <v>0.0</v>
      </c>
      <c r="F6" s="88"/>
      <c r="G6" s="88"/>
    </row>
    <row r="7">
      <c r="A7" t="str">
        <f>IFERROR(__xludf.DUMMYFUNCTION("""COMPUTED_VALUE"""),"Tech 6")</f>
        <v>Tech 6</v>
      </c>
      <c r="B7" s="31" t="str">
        <f>IFERROR(__xludf.DUMMYFUNCTION("""COMPUTED_VALUE"""),"1bS1")</f>
        <v>1bS1</v>
      </c>
      <c r="C7" t="str">
        <f>IFERROR(__xludf.DUMMYFUNCTION("""COMPUTED_VALUE"""),"Art 6")</f>
        <v>Art 6</v>
      </c>
      <c r="D7" s="31" t="str">
        <f>IFERROR(__xludf.DUMMYFUNCTION("""COMPUTED_VALUE"""),"2aS1")</f>
        <v>2aS1</v>
      </c>
      <c r="E7" s="8">
        <v>0.0</v>
      </c>
      <c r="F7" s="88"/>
      <c r="G7" s="88"/>
    </row>
    <row r="8">
      <c r="A8" t="str">
        <f>IFERROR(__xludf.DUMMYFUNCTION("""COMPUTED_VALUE"""),"Tech 7")</f>
        <v>Tech 7</v>
      </c>
      <c r="B8" s="31" t="str">
        <f>IFERROR(__xludf.DUMMYFUNCTION("""COMPUTED_VALUE"""),"1aS2")</f>
        <v>1aS2</v>
      </c>
      <c r="C8" t="str">
        <f>IFERROR(__xludf.DUMMYFUNCTION("""COMPUTED_VALUE"""),"Art 6")</f>
        <v>Art 6</v>
      </c>
      <c r="D8" s="31" t="str">
        <f>IFERROR(__xludf.DUMMYFUNCTION("""COMPUTED_VALUE"""),"2aS2")</f>
        <v>2aS2</v>
      </c>
      <c r="E8" s="8">
        <v>0.0</v>
      </c>
      <c r="F8" s="88"/>
      <c r="G8" s="88"/>
    </row>
    <row r="9">
      <c r="A9" t="str">
        <f>IFERROR(__xludf.DUMMYFUNCTION("""COMPUTED_VALUE"""),"Tech 6")</f>
        <v>Tech 6</v>
      </c>
      <c r="B9" s="31" t="str">
        <f>IFERROR(__xludf.DUMMYFUNCTION("""COMPUTED_VALUE"""),"1bS2")</f>
        <v>1bS2</v>
      </c>
      <c r="C9" t="str">
        <f>IFERROR(__xludf.DUMMYFUNCTION("""COMPUTED_VALUE"""),"Art 6")</f>
        <v>Art 6</v>
      </c>
      <c r="D9" s="31" t="str">
        <f>IFERROR(__xludf.DUMMYFUNCTION("""COMPUTED_VALUE"""),"4aS1")</f>
        <v>4aS1</v>
      </c>
      <c r="E9" s="8">
        <v>0.0</v>
      </c>
      <c r="F9" s="88"/>
      <c r="G9" s="88"/>
    </row>
    <row r="10">
      <c r="A10" t="str">
        <f>IFERROR(__xludf.DUMMYFUNCTION("""COMPUTED_VALUE"""),"Band 7")</f>
        <v>Band 7</v>
      </c>
      <c r="B10" s="31" t="str">
        <f>IFERROR(__xludf.DUMMYFUNCTION("""COMPUTED_VALUE"""),"1aS1")</f>
        <v>1aS1</v>
      </c>
      <c r="C10" t="str">
        <f>IFERROR(__xludf.DUMMYFUNCTION("""COMPUTED_VALUE"""),"Art 6")</f>
        <v>Art 6</v>
      </c>
      <c r="D10" s="31" t="str">
        <f>IFERROR(__xludf.DUMMYFUNCTION("""COMPUTED_VALUE"""),"4aS2")</f>
        <v>4aS2</v>
      </c>
      <c r="E10" s="8">
        <v>0.0</v>
      </c>
      <c r="F10" s="88"/>
      <c r="G10" s="88"/>
    </row>
    <row r="11">
      <c r="A11" t="str">
        <f>IFERROR(__xludf.DUMMYFUNCTION("""COMPUTED_VALUE"""),"Band 8")</f>
        <v>Band 8</v>
      </c>
      <c r="B11" s="31" t="str">
        <f>IFERROR(__xludf.DUMMYFUNCTION("""COMPUTED_VALUE"""),"1bS1")</f>
        <v>1bS1</v>
      </c>
      <c r="C11" t="str">
        <f>IFERROR(__xludf.DUMMYFUNCTION("""COMPUTED_VALUE"""),"Art 6")</f>
        <v>Art 6</v>
      </c>
      <c r="D11" s="31" t="str">
        <f>IFERROR(__xludf.DUMMYFUNCTION("""COMPUTED_VALUE"""),"6bS1")</f>
        <v>6bS1</v>
      </c>
      <c r="E11" s="8">
        <v>0.0</v>
      </c>
      <c r="F11" s="88"/>
      <c r="G11" s="88"/>
    </row>
    <row r="12">
      <c r="A12" t="str">
        <f>IFERROR(__xludf.DUMMYFUNCTION("""COMPUTED_VALUE"""),"Band 7")</f>
        <v>Band 7</v>
      </c>
      <c r="B12" s="31" t="str">
        <f>IFERROR(__xludf.DUMMYFUNCTION("""COMPUTED_VALUE"""),"1aS2")</f>
        <v>1aS2</v>
      </c>
      <c r="C12" t="str">
        <f>IFERROR(__xludf.DUMMYFUNCTION("""COMPUTED_VALUE"""),"Art 6")</f>
        <v>Art 6</v>
      </c>
      <c r="D12" s="31" t="str">
        <f>IFERROR(__xludf.DUMMYFUNCTION("""COMPUTED_VALUE"""),"6bS2")</f>
        <v>6bS2</v>
      </c>
      <c r="E12" s="8">
        <v>0.0</v>
      </c>
      <c r="F12" s="88"/>
      <c r="G12" s="88"/>
    </row>
    <row r="13">
      <c r="A13" t="str">
        <f>IFERROR(__xludf.DUMMYFUNCTION("""COMPUTED_VALUE"""),"Band 8")</f>
        <v>Band 8</v>
      </c>
      <c r="B13" s="31" t="str">
        <f>IFERROR(__xludf.DUMMYFUNCTION("""COMPUTED_VALUE"""),"1bS2")</f>
        <v>1bS2</v>
      </c>
      <c r="C13" t="str">
        <f>IFERROR(__xludf.DUMMYFUNCTION("""COMPUTED_VALUE"""),"Art 7")</f>
        <v>Art 7</v>
      </c>
      <c r="D13" s="31" t="str">
        <f>IFERROR(__xludf.DUMMYFUNCTION("""COMPUTED_VALUE"""),"1aS1")</f>
        <v>1aS1</v>
      </c>
      <c r="E13" s="8">
        <v>0.0</v>
      </c>
      <c r="F13" s="88"/>
      <c r="G13" s="88"/>
    </row>
    <row r="14">
      <c r="A14" t="str">
        <f>IFERROR(__xludf.DUMMYFUNCTION("""COMPUTED_VALUE"""),"PE 8")</f>
        <v>PE 8</v>
      </c>
      <c r="B14" s="31" t="str">
        <f>IFERROR(__xludf.DUMMYFUNCTION("""COMPUTED_VALUE"""),"1a")</f>
        <v>1a</v>
      </c>
      <c r="C14" t="str">
        <f>IFERROR(__xludf.DUMMYFUNCTION("""COMPUTED_VALUE"""),"Art 7")</f>
        <v>Art 7</v>
      </c>
      <c r="D14" s="31" t="str">
        <f>IFERROR(__xludf.DUMMYFUNCTION("""COMPUTED_VALUE"""),"1aS2")</f>
        <v>1aS2</v>
      </c>
      <c r="E14" s="8">
        <v>0.0</v>
      </c>
      <c r="F14" s="88"/>
      <c r="G14" s="88"/>
    </row>
    <row r="15">
      <c r="A15" t="str">
        <f>IFERROR(__xludf.DUMMYFUNCTION("""COMPUTED_VALUE"""),"PE 7")</f>
        <v>PE 7</v>
      </c>
      <c r="B15" s="31" t="str">
        <f>IFERROR(__xludf.DUMMYFUNCTION("""COMPUTED_VALUE"""),"1b")</f>
        <v>1b</v>
      </c>
      <c r="C15" t="str">
        <f>IFERROR(__xludf.DUMMYFUNCTION("""COMPUTED_VALUE"""),"Art 7")</f>
        <v>Art 7</v>
      </c>
      <c r="D15" s="31" t="str">
        <f>IFERROR(__xludf.DUMMYFUNCTION("""COMPUTED_VALUE"""),"2bS1")</f>
        <v>2bS1</v>
      </c>
      <c r="E15" s="8">
        <v>0.0</v>
      </c>
      <c r="F15" s="88"/>
      <c r="G15" s="88"/>
    </row>
    <row r="16">
      <c r="A16" t="str">
        <f>IFERROR(__xludf.DUMMYFUNCTION("""COMPUTED_VALUE"""),"PE 6")</f>
        <v>PE 6</v>
      </c>
      <c r="B16" s="31" t="str">
        <f>IFERROR(__xludf.DUMMYFUNCTION("""COMPUTED_VALUE"""),"1a")</f>
        <v>1a</v>
      </c>
      <c r="C16" t="str">
        <f>IFERROR(__xludf.DUMMYFUNCTION("""COMPUTED_VALUE"""),"Art 7")</f>
        <v>Art 7</v>
      </c>
      <c r="D16" s="31" t="str">
        <f>IFERROR(__xludf.DUMMYFUNCTION("""COMPUTED_VALUE"""),"2bS2")</f>
        <v>2bS2</v>
      </c>
      <c r="E16" s="8">
        <v>0.0</v>
      </c>
      <c r="F16" s="88"/>
      <c r="G16" s="88"/>
    </row>
    <row r="17">
      <c r="A17" t="str">
        <f>IFERROR(__xludf.DUMMYFUNCTION("""COMPUTED_VALUE"""),"PE 7A")</f>
        <v>PE 7A</v>
      </c>
      <c r="B17" s="31" t="str">
        <f>IFERROR(__xludf.DUMMYFUNCTION("""COMPUTED_VALUE"""),"1b")</f>
        <v>1b</v>
      </c>
      <c r="C17" t="str">
        <f>IFERROR(__xludf.DUMMYFUNCTION("""COMPUTED_VALUE"""),"Art 7")</f>
        <v>Art 7</v>
      </c>
      <c r="D17" s="31" t="str">
        <f>IFERROR(__xludf.DUMMYFUNCTION("""COMPUTED_VALUE"""),"6aS1")</f>
        <v>6aS1</v>
      </c>
      <c r="E17" s="8">
        <v>0.0</v>
      </c>
      <c r="F17" s="88"/>
      <c r="G17" s="88"/>
    </row>
    <row r="18">
      <c r="A18" t="str">
        <f>IFERROR(__xludf.DUMMYFUNCTION("""COMPUTED_VALUE"""),"Math 6")</f>
        <v>Math 6</v>
      </c>
      <c r="B18" s="31" t="str">
        <f>IFERROR(__xludf.DUMMYFUNCTION("""COMPUTED_VALUE"""),"1")</f>
        <v>1</v>
      </c>
      <c r="C18" t="str">
        <f>IFERROR(__xludf.DUMMYFUNCTION("""COMPUTED_VALUE"""),"Art 8")</f>
        <v>Art 8</v>
      </c>
      <c r="D18" s="31" t="str">
        <f>IFERROR(__xludf.DUMMYFUNCTION("""COMPUTED_VALUE"""),"4bS2")</f>
        <v>4bS2</v>
      </c>
      <c r="E18" s="8">
        <v>0.0</v>
      </c>
      <c r="F18" s="88"/>
      <c r="G18" s="88"/>
    </row>
    <row r="19">
      <c r="A19" t="str">
        <f>IFERROR(__xludf.DUMMYFUNCTION("""COMPUTED_VALUE"""),"Math 8")</f>
        <v>Math 8</v>
      </c>
      <c r="B19" s="31" t="str">
        <f>IFERROR(__xludf.DUMMYFUNCTION("""COMPUTED_VALUE"""),"1")</f>
        <v>1</v>
      </c>
      <c r="C19" t="str">
        <f>IFERROR(__xludf.DUMMYFUNCTION("""COMPUTED_VALUE"""),"Art 8")</f>
        <v>Art 8</v>
      </c>
      <c r="D19" s="31" t="str">
        <f>IFERROR(__xludf.DUMMYFUNCTION("""COMPUTED_VALUE"""),"5aS1")</f>
        <v>5aS1</v>
      </c>
      <c r="E19" s="8">
        <v>0.0</v>
      </c>
      <c r="F19" s="88"/>
      <c r="G19" s="88"/>
    </row>
    <row r="20">
      <c r="A20" t="str">
        <f>IFERROR(__xludf.DUMMYFUNCTION("""COMPUTED_VALUE"""),"Math 8")</f>
        <v>Math 8</v>
      </c>
      <c r="B20" s="31" t="str">
        <f>IFERROR(__xludf.DUMMYFUNCTION("""COMPUTED_VALUE"""),"1")</f>
        <v>1</v>
      </c>
      <c r="C20" t="str">
        <f>IFERROR(__xludf.DUMMYFUNCTION("""COMPUTED_VALUE"""),"Art 8")</f>
        <v>Art 8</v>
      </c>
      <c r="D20" s="31" t="str">
        <f>IFERROR(__xludf.DUMMYFUNCTION("""COMPUTED_VALUE"""),"5aS2")</f>
        <v>5aS2</v>
      </c>
      <c r="E20" s="8">
        <v>0.0</v>
      </c>
      <c r="F20" s="88"/>
      <c r="G20" s="88"/>
    </row>
    <row r="21">
      <c r="A21" t="str">
        <f>IFERROR(__xludf.DUMMYFUNCTION("""COMPUTED_VALUE"""),"Math 8A")</f>
        <v>Math 8A</v>
      </c>
      <c r="B21" s="31" t="str">
        <f>IFERROR(__xludf.DUMMYFUNCTION("""COMPUTED_VALUE"""),"1")</f>
        <v>1</v>
      </c>
      <c r="C21" t="str">
        <f>IFERROR(__xludf.DUMMYFUNCTION("""COMPUTED_VALUE"""),"Band 7")</f>
        <v>Band 7</v>
      </c>
      <c r="D21" s="31" t="str">
        <f>IFERROR(__xludf.DUMMYFUNCTION("""COMPUTED_VALUE"""),"1aS1")</f>
        <v>1aS1</v>
      </c>
      <c r="E21" s="8">
        <v>0.0</v>
      </c>
      <c r="F21" s="88"/>
      <c r="G21" s="88"/>
    </row>
    <row r="22">
      <c r="A22" t="str">
        <f>IFERROR(__xludf.DUMMYFUNCTION("""COMPUTED_VALUE"""),"English 6A")</f>
        <v>English 6A</v>
      </c>
      <c r="B22" s="31" t="str">
        <f>IFERROR(__xludf.DUMMYFUNCTION("""COMPUTED_VALUE"""),"1")</f>
        <v>1</v>
      </c>
      <c r="C22" t="str">
        <f>IFERROR(__xludf.DUMMYFUNCTION("""COMPUTED_VALUE"""),"Band 7")</f>
        <v>Band 7</v>
      </c>
      <c r="D22" s="31" t="str">
        <f>IFERROR(__xludf.DUMMYFUNCTION("""COMPUTED_VALUE"""),"1aS2")</f>
        <v>1aS2</v>
      </c>
      <c r="E22" s="8">
        <v>0.0</v>
      </c>
      <c r="F22" s="88"/>
      <c r="G22" s="88"/>
    </row>
    <row r="23">
      <c r="A23" t="str">
        <f>IFERROR(__xludf.DUMMYFUNCTION("""COMPUTED_VALUE"""),"English 6A")</f>
        <v>English 6A</v>
      </c>
      <c r="B23" s="31" t="str">
        <f>IFERROR(__xludf.DUMMYFUNCTION("""COMPUTED_VALUE"""),"1")</f>
        <v>1</v>
      </c>
      <c r="C23" t="str">
        <f>IFERROR(__xludf.DUMMYFUNCTION("""COMPUTED_VALUE"""),"Band 7")</f>
        <v>Band 7</v>
      </c>
      <c r="D23" s="31" t="str">
        <f>IFERROR(__xludf.DUMMYFUNCTION("""COMPUTED_VALUE"""),"2bS1")</f>
        <v>2bS1</v>
      </c>
      <c r="E23" s="8">
        <v>0.0</v>
      </c>
      <c r="F23" s="88"/>
      <c r="G23" s="88"/>
    </row>
    <row r="24">
      <c r="A24" t="str">
        <f>IFERROR(__xludf.DUMMYFUNCTION("""COMPUTED_VALUE"""),"English 6")</f>
        <v>English 6</v>
      </c>
      <c r="B24" s="31" t="str">
        <f>IFERROR(__xludf.DUMMYFUNCTION("""COMPUTED_VALUE"""),"1")</f>
        <v>1</v>
      </c>
      <c r="C24" t="str">
        <f>IFERROR(__xludf.DUMMYFUNCTION("""COMPUTED_VALUE"""),"Band 7")</f>
        <v>Band 7</v>
      </c>
      <c r="D24" s="31" t="str">
        <f>IFERROR(__xludf.DUMMYFUNCTION("""COMPUTED_VALUE"""),"2bS2")</f>
        <v>2bS2</v>
      </c>
      <c r="E24" s="8">
        <v>0.0</v>
      </c>
      <c r="F24" s="88"/>
      <c r="G24" s="88"/>
    </row>
    <row r="25">
      <c r="A25" t="str">
        <f>IFERROR(__xludf.DUMMYFUNCTION("""COMPUTED_VALUE"""),"English 7")</f>
        <v>English 7</v>
      </c>
      <c r="B25" s="31" t="str">
        <f>IFERROR(__xludf.DUMMYFUNCTION("""COMPUTED_VALUE"""),"1")</f>
        <v>1</v>
      </c>
      <c r="C25" t="str">
        <f>IFERROR(__xludf.DUMMYFUNCTION("""COMPUTED_VALUE"""),"Band 7")</f>
        <v>Band 7</v>
      </c>
      <c r="D25" s="31" t="str">
        <f>IFERROR(__xludf.DUMMYFUNCTION("""COMPUTED_VALUE"""),"4bS1")</f>
        <v>4bS1</v>
      </c>
      <c r="E25" s="8">
        <v>0.0</v>
      </c>
      <c r="F25" s="88"/>
      <c r="G25" s="88"/>
    </row>
    <row r="26">
      <c r="A26" t="str">
        <f>IFERROR(__xludf.DUMMYFUNCTION("""COMPUTED_VALUE"""),"English 8")</f>
        <v>English 8</v>
      </c>
      <c r="B26" s="31" t="str">
        <f>IFERROR(__xludf.DUMMYFUNCTION("""COMPUTED_VALUE"""),"1")</f>
        <v>1</v>
      </c>
      <c r="C26" t="str">
        <f>IFERROR(__xludf.DUMMYFUNCTION("""COMPUTED_VALUE"""),"Band 7")</f>
        <v>Band 7</v>
      </c>
      <c r="D26" s="31" t="str">
        <f>IFERROR(__xludf.DUMMYFUNCTION("""COMPUTED_VALUE"""),"4bS2")</f>
        <v>4bS2</v>
      </c>
      <c r="E26" s="8">
        <v>0.0</v>
      </c>
      <c r="F26" s="88"/>
      <c r="G26" s="88"/>
    </row>
    <row r="27">
      <c r="A27" t="str">
        <f>IFERROR(__xludf.DUMMYFUNCTION("""COMPUTED_VALUE"""),"Sociales 8")</f>
        <v>Sociales 8</v>
      </c>
      <c r="B27" s="31" t="str">
        <f>IFERROR(__xludf.DUMMYFUNCTION("""COMPUTED_VALUE"""),"1")</f>
        <v>1</v>
      </c>
      <c r="C27" t="str">
        <f>IFERROR(__xludf.DUMMYFUNCTION("""COMPUTED_VALUE"""),"Band 8")</f>
        <v>Band 8</v>
      </c>
      <c r="D27" s="31" t="str">
        <f>IFERROR(__xludf.DUMMYFUNCTION("""COMPUTED_VALUE"""),"1bS1")</f>
        <v>1bS1</v>
      </c>
      <c r="E27" s="8">
        <v>0.0</v>
      </c>
      <c r="F27" s="88"/>
      <c r="G27" s="88"/>
    </row>
    <row r="28">
      <c r="A28" t="str">
        <f>IFERROR(__xludf.DUMMYFUNCTION("""COMPUTED_VALUE"""),"Sociales 6")</f>
        <v>Sociales 6</v>
      </c>
      <c r="B28" s="31" t="str">
        <f>IFERROR(__xludf.DUMMYFUNCTION("""COMPUTED_VALUE"""),"1")</f>
        <v>1</v>
      </c>
      <c r="C28" t="str">
        <f>IFERROR(__xludf.DUMMYFUNCTION("""COMPUTED_VALUE"""),"Band 8")</f>
        <v>Band 8</v>
      </c>
      <c r="D28" s="31" t="str">
        <f>IFERROR(__xludf.DUMMYFUNCTION("""COMPUTED_VALUE"""),"1bS2")</f>
        <v>1bS2</v>
      </c>
      <c r="E28" s="8">
        <v>0.0</v>
      </c>
      <c r="F28" s="88"/>
      <c r="G28" s="88"/>
    </row>
    <row r="29">
      <c r="A29" t="str">
        <f>IFERROR(__xludf.DUMMYFUNCTION("""COMPUTED_VALUE"""),"Sociales 7A")</f>
        <v>Sociales 7A</v>
      </c>
      <c r="B29" s="31" t="str">
        <f>IFERROR(__xludf.DUMMYFUNCTION("""COMPUTED_VALUE"""),"1")</f>
        <v>1</v>
      </c>
      <c r="C29" t="str">
        <f>IFERROR(__xludf.DUMMYFUNCTION("""COMPUTED_VALUE"""),"Band 8")</f>
        <v>Band 8</v>
      </c>
      <c r="D29" s="31" t="str">
        <f>IFERROR(__xludf.DUMMYFUNCTION("""COMPUTED_VALUE"""),"2aS1")</f>
        <v>2aS1</v>
      </c>
      <c r="E29" s="8">
        <v>0.0</v>
      </c>
      <c r="F29" s="88"/>
      <c r="G29" s="88"/>
    </row>
    <row r="30">
      <c r="A30" t="str">
        <f>IFERROR(__xludf.DUMMYFUNCTION("""COMPUTED_VALUE"""),"Sociales 7")</f>
        <v>Sociales 7</v>
      </c>
      <c r="B30" s="31" t="str">
        <f>IFERROR(__xludf.DUMMYFUNCTION("""COMPUTED_VALUE"""),"1")</f>
        <v>1</v>
      </c>
      <c r="C30" t="str">
        <f>IFERROR(__xludf.DUMMYFUNCTION("""COMPUTED_VALUE"""),"Band 8")</f>
        <v>Band 8</v>
      </c>
      <c r="D30" s="31" t="str">
        <f>IFERROR(__xludf.DUMMYFUNCTION("""COMPUTED_VALUE"""),"2aS2")</f>
        <v>2aS2</v>
      </c>
      <c r="E30" s="8">
        <v>0.0</v>
      </c>
      <c r="F30" s="88"/>
      <c r="G30" s="88"/>
    </row>
    <row r="31">
      <c r="A31" t="str">
        <f>IFERROR(__xludf.DUMMYFUNCTION("""COMPUTED_VALUE"""),"Spanish 6")</f>
        <v>Spanish 6</v>
      </c>
      <c r="B31" s="31" t="str">
        <f>IFERROR(__xludf.DUMMYFUNCTION("""COMPUTED_VALUE"""),"1")</f>
        <v>1</v>
      </c>
      <c r="C31" t="str">
        <f>IFERROR(__xludf.DUMMYFUNCTION("""COMPUTED_VALUE"""),"Band 8")</f>
        <v>Band 8</v>
      </c>
      <c r="D31" s="31" t="str">
        <f>IFERROR(__xludf.DUMMYFUNCTION("""COMPUTED_VALUE"""),"5bS1")</f>
        <v>5bS1</v>
      </c>
      <c r="E31" s="8">
        <v>0.0</v>
      </c>
      <c r="F31" s="88"/>
      <c r="G31" s="88"/>
    </row>
    <row r="32">
      <c r="A32" t="str">
        <f>IFERROR(__xludf.DUMMYFUNCTION("""COMPUTED_VALUE"""),"Spanish 7")</f>
        <v>Spanish 7</v>
      </c>
      <c r="B32" s="31" t="str">
        <f>IFERROR(__xludf.DUMMYFUNCTION("""COMPUTED_VALUE"""),"1")</f>
        <v>1</v>
      </c>
      <c r="C32" t="str">
        <f>IFERROR(__xludf.DUMMYFUNCTION("""COMPUTED_VALUE"""),"Band 8")</f>
        <v>Band 8</v>
      </c>
      <c r="D32" s="31" t="str">
        <f>IFERROR(__xludf.DUMMYFUNCTION("""COMPUTED_VALUE"""),"5bS2")</f>
        <v>5bS2</v>
      </c>
      <c r="E32" s="8">
        <v>0.0</v>
      </c>
      <c r="F32" s="88"/>
      <c r="G32" s="88"/>
    </row>
    <row r="33">
      <c r="A33" t="str">
        <f>IFERROR(__xludf.DUMMYFUNCTION("""COMPUTED_VALUE"""),"Spanish 8")</f>
        <v>Spanish 8</v>
      </c>
      <c r="B33" s="31" t="str">
        <f>IFERROR(__xludf.DUMMYFUNCTION("""COMPUTED_VALUE"""),"1")</f>
        <v>1</v>
      </c>
      <c r="C33" t="str">
        <f>IFERROR(__xludf.DUMMYFUNCTION("""COMPUTED_VALUE"""),"Band 8")</f>
        <v>Band 8</v>
      </c>
      <c r="D33" s="31" t="str">
        <f>IFERROR(__xludf.DUMMYFUNCTION("""COMPUTED_VALUE"""),"6bS1")</f>
        <v>6bS1</v>
      </c>
      <c r="E33" s="8">
        <v>0.0</v>
      </c>
      <c r="F33" s="88"/>
      <c r="G33" s="88"/>
    </row>
    <row r="34">
      <c r="A34" t="str">
        <f>IFERROR(__xludf.DUMMYFUNCTION("""COMPUTED_VALUE"""),"Art 6")</f>
        <v>Art 6</v>
      </c>
      <c r="B34" s="31" t="str">
        <f>IFERROR(__xludf.DUMMYFUNCTION("""COMPUTED_VALUE"""),"2aS1")</f>
        <v>2aS1</v>
      </c>
      <c r="C34" t="str">
        <f>IFERROR(__xludf.DUMMYFUNCTION("""COMPUTED_VALUE"""),"Band 8")</f>
        <v>Band 8</v>
      </c>
      <c r="D34" s="31" t="str">
        <f>IFERROR(__xludf.DUMMYFUNCTION("""COMPUTED_VALUE"""),"6bS2")</f>
        <v>6bS2</v>
      </c>
      <c r="E34" s="8">
        <v>0.0</v>
      </c>
      <c r="F34" s="88"/>
      <c r="G34" s="88"/>
    </row>
    <row r="35">
      <c r="A35" t="str">
        <f>IFERROR(__xludf.DUMMYFUNCTION("""COMPUTED_VALUE"""),"Art 7")</f>
        <v>Art 7</v>
      </c>
      <c r="B35" s="31" t="str">
        <f>IFERROR(__xludf.DUMMYFUNCTION("""COMPUTED_VALUE"""),"2bS1")</f>
        <v>2bS1</v>
      </c>
      <c r="C35" t="str">
        <f>IFERROR(__xludf.DUMMYFUNCTION("""COMPUTED_VALUE"""),"English 6")</f>
        <v>English 6</v>
      </c>
      <c r="D35" s="31">
        <f>IFERROR(__xludf.DUMMYFUNCTION("""COMPUTED_VALUE"""),1.0)</f>
        <v>1</v>
      </c>
      <c r="E35" s="8">
        <v>0.0</v>
      </c>
      <c r="F35" s="88"/>
      <c r="G35" s="88"/>
    </row>
    <row r="36">
      <c r="A36" t="str">
        <f>IFERROR(__xludf.DUMMYFUNCTION("""COMPUTED_VALUE"""),"Art 6")</f>
        <v>Art 6</v>
      </c>
      <c r="B36" s="31" t="str">
        <f>IFERROR(__xludf.DUMMYFUNCTION("""COMPUTED_VALUE"""),"2aS2")</f>
        <v>2aS2</v>
      </c>
      <c r="C36" t="str">
        <f>IFERROR(__xludf.DUMMYFUNCTION("""COMPUTED_VALUE"""),"English 6")</f>
        <v>English 6</v>
      </c>
      <c r="D36" s="31">
        <f>IFERROR(__xludf.DUMMYFUNCTION("""COMPUTED_VALUE"""),2.0)</f>
        <v>2</v>
      </c>
      <c r="E36" s="8">
        <v>0.0</v>
      </c>
      <c r="F36" s="88"/>
      <c r="G36" s="88"/>
    </row>
    <row r="37">
      <c r="A37" t="str">
        <f>IFERROR(__xludf.DUMMYFUNCTION("""COMPUTED_VALUE"""),"Art 7")</f>
        <v>Art 7</v>
      </c>
      <c r="B37" s="31" t="str">
        <f>IFERROR(__xludf.DUMMYFUNCTION("""COMPUTED_VALUE"""),"2bS2")</f>
        <v>2bS2</v>
      </c>
      <c r="C37" t="str">
        <f>IFERROR(__xludf.DUMMYFUNCTION("""COMPUTED_VALUE"""),"English 6")</f>
        <v>English 6</v>
      </c>
      <c r="D37" s="31">
        <f>IFERROR(__xludf.DUMMYFUNCTION("""COMPUTED_VALUE"""),3.0)</f>
        <v>3</v>
      </c>
      <c r="E37" s="8">
        <v>0.0</v>
      </c>
      <c r="F37" s="88"/>
      <c r="G37" s="88"/>
    </row>
    <row r="38">
      <c r="A38" t="str">
        <f>IFERROR(__xludf.DUMMYFUNCTION("""COMPUTED_VALUE"""),"Tech 6")</f>
        <v>Tech 6</v>
      </c>
      <c r="B38" s="31" t="str">
        <f>IFERROR(__xludf.DUMMYFUNCTION("""COMPUTED_VALUE"""),"2aS1")</f>
        <v>2aS1</v>
      </c>
      <c r="C38" t="str">
        <f>IFERROR(__xludf.DUMMYFUNCTION("""COMPUTED_VALUE"""),"English 6")</f>
        <v>English 6</v>
      </c>
      <c r="D38" s="31">
        <f>IFERROR(__xludf.DUMMYFUNCTION("""COMPUTED_VALUE"""),5.0)</f>
        <v>5</v>
      </c>
      <c r="E38" s="8">
        <v>0.0</v>
      </c>
      <c r="F38" s="88"/>
      <c r="G38" s="88"/>
    </row>
    <row r="39">
      <c r="A39" t="str">
        <f>IFERROR(__xludf.DUMMYFUNCTION("""COMPUTED_VALUE"""),"Tech 7")</f>
        <v>Tech 7</v>
      </c>
      <c r="B39" s="31" t="str">
        <f>IFERROR(__xludf.DUMMYFUNCTION("""COMPUTED_VALUE"""),"2bS1")</f>
        <v>2bS1</v>
      </c>
      <c r="C39" t="str">
        <f>IFERROR(__xludf.DUMMYFUNCTION("""COMPUTED_VALUE"""),"English 6")</f>
        <v>English 6</v>
      </c>
      <c r="D39" s="31">
        <f>IFERROR(__xludf.DUMMYFUNCTION("""COMPUTED_VALUE"""),6.0)</f>
        <v>6</v>
      </c>
      <c r="E39" s="8">
        <v>0.0</v>
      </c>
      <c r="F39" s="88"/>
      <c r="G39" s="88"/>
    </row>
    <row r="40">
      <c r="A40" t="str">
        <f>IFERROR(__xludf.DUMMYFUNCTION("""COMPUTED_VALUE"""),"Tech 6")</f>
        <v>Tech 6</v>
      </c>
      <c r="B40" s="31" t="str">
        <f>IFERROR(__xludf.DUMMYFUNCTION("""COMPUTED_VALUE"""),"2aS2")</f>
        <v>2aS2</v>
      </c>
      <c r="C40" t="str">
        <f>IFERROR(__xludf.DUMMYFUNCTION("""COMPUTED_VALUE"""),"English 6A")</f>
        <v>English 6A</v>
      </c>
      <c r="D40" s="31">
        <f>IFERROR(__xludf.DUMMYFUNCTION("""COMPUTED_VALUE"""),1.0)</f>
        <v>1</v>
      </c>
      <c r="E40" s="8">
        <v>0.0</v>
      </c>
      <c r="F40" s="88"/>
      <c r="G40" s="88"/>
    </row>
    <row r="41">
      <c r="A41" t="str">
        <f>IFERROR(__xludf.DUMMYFUNCTION("""COMPUTED_VALUE"""),"Tech 7")</f>
        <v>Tech 7</v>
      </c>
      <c r="B41" s="31" t="str">
        <f>IFERROR(__xludf.DUMMYFUNCTION("""COMPUTED_VALUE"""),"2bS2")</f>
        <v>2bS2</v>
      </c>
      <c r="C41" t="str">
        <f>IFERROR(__xludf.DUMMYFUNCTION("""COMPUTED_VALUE"""),"English 7")</f>
        <v>English 7</v>
      </c>
      <c r="D41" s="31">
        <f>IFERROR(__xludf.DUMMYFUNCTION("""COMPUTED_VALUE"""),1.0)</f>
        <v>1</v>
      </c>
      <c r="E41" s="8">
        <v>0.0</v>
      </c>
      <c r="F41" s="88"/>
      <c r="G41" s="88"/>
    </row>
    <row r="42">
      <c r="A42" t="str">
        <f>IFERROR(__xludf.DUMMYFUNCTION("""COMPUTED_VALUE"""),"Band 8")</f>
        <v>Band 8</v>
      </c>
      <c r="B42" s="31" t="str">
        <f>IFERROR(__xludf.DUMMYFUNCTION("""COMPUTED_VALUE"""),"2aS1")</f>
        <v>2aS1</v>
      </c>
      <c r="C42" t="str">
        <f>IFERROR(__xludf.DUMMYFUNCTION("""COMPUTED_VALUE"""),"English 7")</f>
        <v>English 7</v>
      </c>
      <c r="D42" s="31">
        <f>IFERROR(__xludf.DUMMYFUNCTION("""COMPUTED_VALUE"""),2.0)</f>
        <v>2</v>
      </c>
      <c r="E42" s="8">
        <v>0.0</v>
      </c>
      <c r="F42" s="88"/>
      <c r="G42" s="88"/>
    </row>
    <row r="43">
      <c r="A43" t="str">
        <f>IFERROR(__xludf.DUMMYFUNCTION("""COMPUTED_VALUE"""),"Band 7")</f>
        <v>Band 7</v>
      </c>
      <c r="B43" s="31" t="str">
        <f>IFERROR(__xludf.DUMMYFUNCTION("""COMPUTED_VALUE"""),"2bS1")</f>
        <v>2bS1</v>
      </c>
      <c r="C43" t="str">
        <f>IFERROR(__xludf.DUMMYFUNCTION("""COMPUTED_VALUE"""),"English 7")</f>
        <v>English 7</v>
      </c>
      <c r="D43" s="31">
        <f>IFERROR(__xludf.DUMMYFUNCTION("""COMPUTED_VALUE"""),3.0)</f>
        <v>3</v>
      </c>
      <c r="E43" s="8">
        <v>0.0</v>
      </c>
      <c r="F43" s="88"/>
      <c r="G43" s="88"/>
    </row>
    <row r="44">
      <c r="A44" t="str">
        <f>IFERROR(__xludf.DUMMYFUNCTION("""COMPUTED_VALUE"""),"Band 8")</f>
        <v>Band 8</v>
      </c>
      <c r="B44" s="31" t="str">
        <f>IFERROR(__xludf.DUMMYFUNCTION("""COMPUTED_VALUE"""),"2aS2")</f>
        <v>2aS2</v>
      </c>
      <c r="C44" t="str">
        <f>IFERROR(__xludf.DUMMYFUNCTION("""COMPUTED_VALUE"""),"English 7")</f>
        <v>English 7</v>
      </c>
      <c r="D44" s="31">
        <f>IFERROR(__xludf.DUMMYFUNCTION("""COMPUTED_VALUE"""),5.0)</f>
        <v>5</v>
      </c>
      <c r="E44" s="8">
        <v>0.0</v>
      </c>
      <c r="F44" s="88"/>
      <c r="G44" s="88"/>
    </row>
    <row r="45">
      <c r="A45" t="str">
        <f>IFERROR(__xludf.DUMMYFUNCTION("""COMPUTED_VALUE"""),"Band 7")</f>
        <v>Band 7</v>
      </c>
      <c r="B45" s="31" t="str">
        <f>IFERROR(__xludf.DUMMYFUNCTION("""COMPUTED_VALUE"""),"2bS2")</f>
        <v>2bS2</v>
      </c>
      <c r="C45" t="str">
        <f>IFERROR(__xludf.DUMMYFUNCTION("""COMPUTED_VALUE"""),"English 7")</f>
        <v>English 7</v>
      </c>
      <c r="D45" s="31">
        <f>IFERROR(__xludf.DUMMYFUNCTION("""COMPUTED_VALUE"""),6.0)</f>
        <v>6</v>
      </c>
      <c r="E45" s="8">
        <v>0.0</v>
      </c>
      <c r="F45" s="88"/>
      <c r="G45" s="88"/>
    </row>
    <row r="46">
      <c r="A46" t="str">
        <f>IFERROR(__xludf.DUMMYFUNCTION("""COMPUTED_VALUE"""),"PE 7")</f>
        <v>PE 7</v>
      </c>
      <c r="B46" s="31" t="str">
        <f>IFERROR(__xludf.DUMMYFUNCTION("""COMPUTED_VALUE"""),"2a")</f>
        <v>2a</v>
      </c>
      <c r="C46" t="str">
        <f>IFERROR(__xludf.DUMMYFUNCTION("""COMPUTED_VALUE"""),"English 7A")</f>
        <v>English 7A</v>
      </c>
      <c r="D46" s="31">
        <f>IFERROR(__xludf.DUMMYFUNCTION("""COMPUTED_VALUE"""),5.0)</f>
        <v>5</v>
      </c>
      <c r="E46" s="8">
        <v>0.0</v>
      </c>
      <c r="F46" s="88"/>
      <c r="G46" s="88"/>
    </row>
    <row r="47">
      <c r="A47" t="str">
        <f>IFERROR(__xludf.DUMMYFUNCTION("""COMPUTED_VALUE"""),"PE 8")</f>
        <v>PE 8</v>
      </c>
      <c r="B47" s="31" t="str">
        <f>IFERROR(__xludf.DUMMYFUNCTION("""COMPUTED_VALUE"""),"2b")</f>
        <v>2b</v>
      </c>
      <c r="C47" t="str">
        <f>IFERROR(__xludf.DUMMYFUNCTION("""COMPUTED_VALUE"""),"English 8")</f>
        <v>English 8</v>
      </c>
      <c r="D47" s="31">
        <f>IFERROR(__xludf.DUMMYFUNCTION("""COMPUTED_VALUE"""),1.0)</f>
        <v>1</v>
      </c>
      <c r="E47" s="8">
        <v>0.0</v>
      </c>
      <c r="F47" s="88"/>
      <c r="G47" s="88"/>
    </row>
    <row r="48">
      <c r="A48" t="str">
        <f>IFERROR(__xludf.DUMMYFUNCTION("""COMPUTED_VALUE"""),"PE 7A")</f>
        <v>PE 7A</v>
      </c>
      <c r="B48" s="31" t="str">
        <f>IFERROR(__xludf.DUMMYFUNCTION("""COMPUTED_VALUE"""),"2a")</f>
        <v>2a</v>
      </c>
      <c r="C48" t="str">
        <f>IFERROR(__xludf.DUMMYFUNCTION("""COMPUTED_VALUE"""),"English 8")</f>
        <v>English 8</v>
      </c>
      <c r="D48" s="31">
        <f>IFERROR(__xludf.DUMMYFUNCTION("""COMPUTED_VALUE"""),2.0)</f>
        <v>2</v>
      </c>
      <c r="E48" s="8">
        <v>0.0</v>
      </c>
      <c r="F48" s="88"/>
      <c r="G48" s="88"/>
    </row>
    <row r="49">
      <c r="A49" t="str">
        <f>IFERROR(__xludf.DUMMYFUNCTION("""COMPUTED_VALUE"""),"PE 6")</f>
        <v>PE 6</v>
      </c>
      <c r="B49" s="31" t="str">
        <f>IFERROR(__xludf.DUMMYFUNCTION("""COMPUTED_VALUE"""),"2b")</f>
        <v>2b</v>
      </c>
      <c r="C49" t="str">
        <f>IFERROR(__xludf.DUMMYFUNCTION("""COMPUTED_VALUE"""),"English 8")</f>
        <v>English 8</v>
      </c>
      <c r="D49" s="31">
        <f>IFERROR(__xludf.DUMMYFUNCTION("""COMPUTED_VALUE"""),3.0)</f>
        <v>3</v>
      </c>
      <c r="E49" s="8">
        <v>0.0</v>
      </c>
      <c r="F49" s="88"/>
      <c r="G49" s="88"/>
    </row>
    <row r="50">
      <c r="A50" t="str">
        <f>IFERROR(__xludf.DUMMYFUNCTION("""COMPUTED_VALUE"""),"Science 6")</f>
        <v>Science 6</v>
      </c>
      <c r="B50" s="31" t="str">
        <f>IFERROR(__xludf.DUMMYFUNCTION("""COMPUTED_VALUE"""),"2")</f>
        <v>2</v>
      </c>
      <c r="C50" t="str">
        <f>IFERROR(__xludf.DUMMYFUNCTION("""COMPUTED_VALUE"""),"English 8")</f>
        <v>English 8</v>
      </c>
      <c r="D50" s="31">
        <f>IFERROR(__xludf.DUMMYFUNCTION("""COMPUTED_VALUE"""),5.0)</f>
        <v>5</v>
      </c>
      <c r="E50" s="8">
        <v>0.0</v>
      </c>
      <c r="F50" s="88"/>
      <c r="G50" s="88"/>
    </row>
    <row r="51">
      <c r="A51" t="str">
        <f>IFERROR(__xludf.DUMMYFUNCTION("""COMPUTED_VALUE"""),"Science 8")</f>
        <v>Science 8</v>
      </c>
      <c r="B51" s="31" t="str">
        <f>IFERROR(__xludf.DUMMYFUNCTION("""COMPUTED_VALUE"""),"2")</f>
        <v>2</v>
      </c>
      <c r="C51" t="str">
        <f>IFERROR(__xludf.DUMMYFUNCTION("""COMPUTED_VALUE"""),"English 8")</f>
        <v>English 8</v>
      </c>
      <c r="D51" s="31">
        <f>IFERROR(__xludf.DUMMYFUNCTION("""COMPUTED_VALUE"""),6.0)</f>
        <v>6</v>
      </c>
      <c r="E51" s="8">
        <v>0.0</v>
      </c>
      <c r="F51" s="88"/>
      <c r="G51" s="88"/>
    </row>
    <row r="52">
      <c r="A52" t="str">
        <f>IFERROR(__xludf.DUMMYFUNCTION("""COMPUTED_VALUE"""),"Science 7")</f>
        <v>Science 7</v>
      </c>
      <c r="B52" s="31" t="str">
        <f>IFERROR(__xludf.DUMMYFUNCTION("""COMPUTED_VALUE"""),"2")</f>
        <v>2</v>
      </c>
      <c r="C52" t="str">
        <f>IFERROR(__xludf.DUMMYFUNCTION("""COMPUTED_VALUE"""),"English 8A")</f>
        <v>English 8A</v>
      </c>
      <c r="D52" s="31">
        <f>IFERROR(__xludf.DUMMYFUNCTION("""COMPUTED_VALUE"""),6.0)</f>
        <v>6</v>
      </c>
      <c r="E52" s="8">
        <v>0.0</v>
      </c>
      <c r="F52" s="88"/>
      <c r="G52" s="88"/>
    </row>
    <row r="53">
      <c r="A53" t="str">
        <f>IFERROR(__xludf.DUMMYFUNCTION("""COMPUTED_VALUE"""),"English 6")</f>
        <v>English 6</v>
      </c>
      <c r="B53" s="31" t="str">
        <f>IFERROR(__xludf.DUMMYFUNCTION("""COMPUTED_VALUE"""),"2")</f>
        <v>2</v>
      </c>
      <c r="C53" t="str">
        <f>IFERROR(__xludf.DUMMYFUNCTION("""COMPUTED_VALUE"""),"Math 6")</f>
        <v>Math 6</v>
      </c>
      <c r="D53" s="31">
        <f>IFERROR(__xludf.DUMMYFUNCTION("""COMPUTED_VALUE"""),1.0)</f>
        <v>1</v>
      </c>
      <c r="E53" s="8">
        <v>0.0</v>
      </c>
      <c r="F53" s="88"/>
      <c r="G53" s="88"/>
    </row>
    <row r="54">
      <c r="A54" t="str">
        <f>IFERROR(__xludf.DUMMYFUNCTION("""COMPUTED_VALUE"""),"English 8")</f>
        <v>English 8</v>
      </c>
      <c r="B54" s="31" t="str">
        <f>IFERROR(__xludf.DUMMYFUNCTION("""COMPUTED_VALUE"""),"2")</f>
        <v>2</v>
      </c>
      <c r="C54" t="str">
        <f>IFERROR(__xludf.DUMMYFUNCTION("""COMPUTED_VALUE"""),"Math 6")</f>
        <v>Math 6</v>
      </c>
      <c r="D54" s="31">
        <f>IFERROR(__xludf.DUMMYFUNCTION("""COMPUTED_VALUE"""),3.0)</f>
        <v>3</v>
      </c>
      <c r="E54" s="8">
        <v>0.0</v>
      </c>
      <c r="F54" s="88"/>
      <c r="G54" s="88"/>
    </row>
    <row r="55">
      <c r="A55" t="str">
        <f>IFERROR(__xludf.DUMMYFUNCTION("""COMPUTED_VALUE"""),"English 7")</f>
        <v>English 7</v>
      </c>
      <c r="B55" s="31" t="str">
        <f>IFERROR(__xludf.DUMMYFUNCTION("""COMPUTED_VALUE"""),"2")</f>
        <v>2</v>
      </c>
      <c r="C55" t="str">
        <f>IFERROR(__xludf.DUMMYFUNCTION("""COMPUTED_VALUE"""),"Math 6")</f>
        <v>Math 6</v>
      </c>
      <c r="D55" s="31">
        <f>IFERROR(__xludf.DUMMYFUNCTION("""COMPUTED_VALUE"""),4.0)</f>
        <v>4</v>
      </c>
      <c r="E55" s="8">
        <v>0.0</v>
      </c>
      <c r="F55" s="88"/>
      <c r="G55" s="88"/>
    </row>
    <row r="56">
      <c r="A56" t="str">
        <f>IFERROR(__xludf.DUMMYFUNCTION("""COMPUTED_VALUE"""),"Sociales 8")</f>
        <v>Sociales 8</v>
      </c>
      <c r="B56" s="31" t="str">
        <f>IFERROR(__xludf.DUMMYFUNCTION("""COMPUTED_VALUE"""),"2")</f>
        <v>2</v>
      </c>
      <c r="C56" t="str">
        <f>IFERROR(__xludf.DUMMYFUNCTION("""COMPUTED_VALUE"""),"Math 6")</f>
        <v>Math 6</v>
      </c>
      <c r="D56" s="31">
        <f>IFERROR(__xludf.DUMMYFUNCTION("""COMPUTED_VALUE"""),5.0)</f>
        <v>5</v>
      </c>
      <c r="E56" s="8">
        <v>0.0</v>
      </c>
      <c r="F56" s="88"/>
      <c r="G56" s="88"/>
    </row>
    <row r="57">
      <c r="A57" t="str">
        <f>IFERROR(__xludf.DUMMYFUNCTION("""COMPUTED_VALUE"""),"Sociales 6")</f>
        <v>Sociales 6</v>
      </c>
      <c r="B57" s="31" t="str">
        <f>IFERROR(__xludf.DUMMYFUNCTION("""COMPUTED_VALUE"""),"2")</f>
        <v>2</v>
      </c>
      <c r="C57" t="str">
        <f>IFERROR(__xludf.DUMMYFUNCTION("""COMPUTED_VALUE"""),"Math 6")</f>
        <v>Math 6</v>
      </c>
      <c r="D57" s="31">
        <f>IFERROR(__xludf.DUMMYFUNCTION("""COMPUTED_VALUE"""),6.0)</f>
        <v>6</v>
      </c>
      <c r="E57" s="8">
        <v>0.0</v>
      </c>
      <c r="F57" s="88"/>
      <c r="G57" s="88"/>
    </row>
    <row r="58">
      <c r="A58" t="str">
        <f>IFERROR(__xludf.DUMMYFUNCTION("""COMPUTED_VALUE"""),"Sociales 6A")</f>
        <v>Sociales 6A</v>
      </c>
      <c r="B58" s="31" t="str">
        <f>IFERROR(__xludf.DUMMYFUNCTION("""COMPUTED_VALUE"""),"2")</f>
        <v>2</v>
      </c>
      <c r="C58" t="str">
        <f>IFERROR(__xludf.DUMMYFUNCTION("""COMPUTED_VALUE"""),"Math 6A")</f>
        <v>Math 6A</v>
      </c>
      <c r="D58" s="31">
        <f>IFERROR(__xludf.DUMMYFUNCTION("""COMPUTED_VALUE"""),5.0)</f>
        <v>5</v>
      </c>
      <c r="E58" s="8">
        <v>0.0</v>
      </c>
      <c r="F58" s="88"/>
      <c r="G58" s="88"/>
    </row>
    <row r="59">
      <c r="A59" t="str">
        <f>IFERROR(__xludf.DUMMYFUNCTION("""COMPUTED_VALUE"""),"Sociales 7")</f>
        <v>Sociales 7</v>
      </c>
      <c r="B59" s="31" t="str">
        <f>IFERROR(__xludf.DUMMYFUNCTION("""COMPUTED_VALUE"""),"2")</f>
        <v>2</v>
      </c>
      <c r="C59" t="str">
        <f>IFERROR(__xludf.DUMMYFUNCTION("""COMPUTED_VALUE"""),"Math 7")</f>
        <v>Math 7</v>
      </c>
      <c r="D59" s="31">
        <f>IFERROR(__xludf.DUMMYFUNCTION("""COMPUTED_VALUE"""),3.0)</f>
        <v>3</v>
      </c>
      <c r="E59" s="8">
        <v>0.0</v>
      </c>
      <c r="F59" s="88"/>
      <c r="G59" s="88"/>
    </row>
    <row r="60">
      <c r="A60" t="str">
        <f>IFERROR(__xludf.DUMMYFUNCTION("""COMPUTED_VALUE"""),"Spanish 6")</f>
        <v>Spanish 6</v>
      </c>
      <c r="B60" s="31" t="str">
        <f>IFERROR(__xludf.DUMMYFUNCTION("""COMPUTED_VALUE"""),"2")</f>
        <v>2</v>
      </c>
      <c r="C60" t="str">
        <f>IFERROR(__xludf.DUMMYFUNCTION("""COMPUTED_VALUE"""),"Math 7")</f>
        <v>Math 7</v>
      </c>
      <c r="D60" s="31">
        <f>IFERROR(__xludf.DUMMYFUNCTION("""COMPUTED_VALUE"""),4.0)</f>
        <v>4</v>
      </c>
      <c r="E60" s="8">
        <v>0.0</v>
      </c>
      <c r="F60" s="88"/>
      <c r="G60" s="88"/>
    </row>
    <row r="61">
      <c r="A61" t="str">
        <f>IFERROR(__xludf.DUMMYFUNCTION("""COMPUTED_VALUE"""),"SAL")</f>
        <v>SAL</v>
      </c>
      <c r="B61" s="31" t="str">
        <f>IFERROR(__xludf.DUMMYFUNCTION("""COMPUTED_VALUE"""),"2")</f>
        <v>2</v>
      </c>
      <c r="C61" t="str">
        <f>IFERROR(__xludf.DUMMYFUNCTION("""COMPUTED_VALUE"""),"Math 7")</f>
        <v>Math 7</v>
      </c>
      <c r="D61" s="31">
        <f>IFERROR(__xludf.DUMMYFUNCTION("""COMPUTED_VALUE"""),5.0)</f>
        <v>5</v>
      </c>
      <c r="E61" s="8">
        <v>0.0</v>
      </c>
      <c r="F61" s="88"/>
      <c r="G61" s="88"/>
    </row>
    <row r="62">
      <c r="A62" t="str">
        <f>IFERROR(__xludf.DUMMYFUNCTION("""COMPUTED_VALUE"""),"Spanish 7")</f>
        <v>Spanish 7</v>
      </c>
      <c r="B62" s="31" t="str">
        <f>IFERROR(__xludf.DUMMYFUNCTION("""COMPUTED_VALUE"""),"2")</f>
        <v>2</v>
      </c>
      <c r="C62" t="str">
        <f>IFERROR(__xludf.DUMMYFUNCTION("""COMPUTED_VALUE"""),"Math 7")</f>
        <v>Math 7</v>
      </c>
      <c r="D62" s="31">
        <f>IFERROR(__xludf.DUMMYFUNCTION("""COMPUTED_VALUE"""),6.0)</f>
        <v>6</v>
      </c>
      <c r="E62" s="8">
        <v>0.0</v>
      </c>
      <c r="F62" s="88"/>
      <c r="G62" s="88"/>
    </row>
    <row r="63">
      <c r="A63" t="str">
        <f>IFERROR(__xludf.DUMMYFUNCTION("""COMPUTED_VALUE"""),"Spanish 8A")</f>
        <v>Spanish 8A</v>
      </c>
      <c r="B63" s="31" t="str">
        <f>IFERROR(__xludf.DUMMYFUNCTION("""COMPUTED_VALUE"""),"2")</f>
        <v>2</v>
      </c>
      <c r="C63" t="str">
        <f>IFERROR(__xludf.DUMMYFUNCTION("""COMPUTED_VALUE"""),"Math 7A")</f>
        <v>Math 7A</v>
      </c>
      <c r="D63" s="31">
        <f>IFERROR(__xludf.DUMMYFUNCTION("""COMPUTED_VALUE"""),3.0)</f>
        <v>3</v>
      </c>
      <c r="E63" s="8">
        <v>0.0</v>
      </c>
      <c r="F63" s="88"/>
      <c r="G63" s="88"/>
    </row>
    <row r="64">
      <c r="A64" t="str">
        <f>IFERROR(__xludf.DUMMYFUNCTION("""COMPUTED_VALUE"""),"Spanish 8")</f>
        <v>Spanish 8</v>
      </c>
      <c r="B64" s="31" t="str">
        <f>IFERROR(__xludf.DUMMYFUNCTION("""COMPUTED_VALUE"""),"2")</f>
        <v>2</v>
      </c>
      <c r="C64" t="str">
        <f>IFERROR(__xludf.DUMMYFUNCTION("""COMPUTED_VALUE"""),"Math 7A")</f>
        <v>Math 7A</v>
      </c>
      <c r="D64" s="31">
        <f>IFERROR(__xludf.DUMMYFUNCTION("""COMPUTED_VALUE"""),4.0)</f>
        <v>4</v>
      </c>
      <c r="E64" s="8">
        <v>0.0</v>
      </c>
      <c r="F64" s="88"/>
      <c r="G64" s="88"/>
    </row>
    <row r="65">
      <c r="A65" t="str">
        <f>IFERROR(__xludf.DUMMYFUNCTION("""COMPUTED_VALUE"""),"Math 6")</f>
        <v>Math 6</v>
      </c>
      <c r="B65" s="31" t="str">
        <f>IFERROR(__xludf.DUMMYFUNCTION("""COMPUTED_VALUE"""),"3")</f>
        <v>3</v>
      </c>
      <c r="C65" t="str">
        <f>IFERROR(__xludf.DUMMYFUNCTION("""COMPUTED_VALUE"""),"Math 8")</f>
        <v>Math 8</v>
      </c>
      <c r="D65" s="31">
        <f>IFERROR(__xludf.DUMMYFUNCTION("""COMPUTED_VALUE"""),1.0)</f>
        <v>1</v>
      </c>
      <c r="E65" s="8">
        <v>0.0</v>
      </c>
      <c r="F65" s="88"/>
      <c r="G65" s="88"/>
    </row>
    <row r="66">
      <c r="A66" t="str">
        <f>IFERROR(__xludf.DUMMYFUNCTION("""COMPUTED_VALUE"""),"Math 7A")</f>
        <v>Math 7A</v>
      </c>
      <c r="B66" s="31" t="str">
        <f>IFERROR(__xludf.DUMMYFUNCTION("""COMPUTED_VALUE"""),"3")</f>
        <v>3</v>
      </c>
      <c r="C66" t="str">
        <f>IFERROR(__xludf.DUMMYFUNCTION("""COMPUTED_VALUE"""),"Math 8")</f>
        <v>Math 8</v>
      </c>
      <c r="D66" s="31">
        <f>IFERROR(__xludf.DUMMYFUNCTION("""COMPUTED_VALUE"""),6.0)</f>
        <v>6</v>
      </c>
      <c r="E66" s="8">
        <v>0.0</v>
      </c>
      <c r="F66" s="88"/>
      <c r="G66" s="88"/>
    </row>
    <row r="67">
      <c r="A67" t="str">
        <f>IFERROR(__xludf.DUMMYFUNCTION("""COMPUTED_VALUE"""),"Algebra")</f>
        <v>Algebra</v>
      </c>
      <c r="B67" s="31" t="str">
        <f>IFERROR(__xludf.DUMMYFUNCTION("""COMPUTED_VALUE"""),"3")</f>
        <v>3</v>
      </c>
      <c r="C67" t="str">
        <f>IFERROR(__xludf.DUMMYFUNCTION("""COMPUTED_VALUE"""),"Math 8A")</f>
        <v>Math 8A</v>
      </c>
      <c r="D67" s="31">
        <f>IFERROR(__xludf.DUMMYFUNCTION("""COMPUTED_VALUE"""),1.0)</f>
        <v>1</v>
      </c>
      <c r="E67" s="8">
        <v>0.0</v>
      </c>
      <c r="F67" s="88"/>
      <c r="G67" s="88"/>
    </row>
    <row r="68">
      <c r="A68" t="str">
        <f>IFERROR(__xludf.DUMMYFUNCTION("""COMPUTED_VALUE"""),"Math 7")</f>
        <v>Math 7</v>
      </c>
      <c r="B68" s="31" t="str">
        <f>IFERROR(__xludf.DUMMYFUNCTION("""COMPUTED_VALUE"""),"3")</f>
        <v>3</v>
      </c>
      <c r="C68" t="str">
        <f>IFERROR(__xludf.DUMMYFUNCTION("""COMPUTED_VALUE"""),"PE 6")</f>
        <v>PE 6</v>
      </c>
      <c r="D68" s="31" t="str">
        <f>IFERROR(__xludf.DUMMYFUNCTION("""COMPUTED_VALUE"""),"1a")</f>
        <v>1a</v>
      </c>
      <c r="E68" s="8">
        <v>0.0</v>
      </c>
      <c r="F68" s="88"/>
      <c r="G68" s="88"/>
    </row>
    <row r="69">
      <c r="A69" t="str">
        <f>IFERROR(__xludf.DUMMYFUNCTION("""COMPUTED_VALUE"""),"Science 6")</f>
        <v>Science 6</v>
      </c>
      <c r="B69" s="31" t="str">
        <f>IFERROR(__xludf.DUMMYFUNCTION("""COMPUTED_VALUE"""),"3")</f>
        <v>3</v>
      </c>
      <c r="C69" t="str">
        <f>IFERROR(__xludf.DUMMYFUNCTION("""COMPUTED_VALUE"""),"PE 6")</f>
        <v>PE 6</v>
      </c>
      <c r="D69" s="31" t="str">
        <f>IFERROR(__xludf.DUMMYFUNCTION("""COMPUTED_VALUE"""),"2b")</f>
        <v>2b</v>
      </c>
      <c r="E69" s="8">
        <v>0.0</v>
      </c>
      <c r="F69" s="88"/>
      <c r="G69" s="88"/>
    </row>
    <row r="70">
      <c r="A70" t="str">
        <f>IFERROR(__xludf.DUMMYFUNCTION("""COMPUTED_VALUE"""),"Science 6A")</f>
        <v>Science 6A</v>
      </c>
      <c r="B70" s="31" t="str">
        <f>IFERROR(__xludf.DUMMYFUNCTION("""COMPUTED_VALUE"""),"3")</f>
        <v>3</v>
      </c>
      <c r="C70" t="str">
        <f>IFERROR(__xludf.DUMMYFUNCTION("""COMPUTED_VALUE"""),"PE 6")</f>
        <v>PE 6</v>
      </c>
      <c r="D70" s="31" t="str">
        <f>IFERROR(__xludf.DUMMYFUNCTION("""COMPUTED_VALUE"""),"4b")</f>
        <v>4b</v>
      </c>
      <c r="E70" s="8">
        <v>0.0</v>
      </c>
      <c r="F70" s="88"/>
      <c r="G70" s="88"/>
    </row>
    <row r="71">
      <c r="A71" t="str">
        <f>IFERROR(__xludf.DUMMYFUNCTION("""COMPUTED_VALUE"""),"Science 7")</f>
        <v>Science 7</v>
      </c>
      <c r="B71" s="31" t="str">
        <f>IFERROR(__xludf.DUMMYFUNCTION("""COMPUTED_VALUE"""),"3")</f>
        <v>3</v>
      </c>
      <c r="C71" t="str">
        <f>IFERROR(__xludf.DUMMYFUNCTION("""COMPUTED_VALUE"""),"PE 6")</f>
        <v>PE 6</v>
      </c>
      <c r="D71" s="31" t="str">
        <f>IFERROR(__xludf.DUMMYFUNCTION("""COMPUTED_VALUE"""),"5b")</f>
        <v>5b</v>
      </c>
      <c r="E71" s="8">
        <v>0.0</v>
      </c>
      <c r="F71" s="88"/>
      <c r="G71" s="88"/>
    </row>
    <row r="72">
      <c r="A72" t="str">
        <f>IFERROR(__xludf.DUMMYFUNCTION("""COMPUTED_VALUE"""),"Science 8")</f>
        <v>Science 8</v>
      </c>
      <c r="B72" s="31" t="str">
        <f>IFERROR(__xludf.DUMMYFUNCTION("""COMPUTED_VALUE"""),"3")</f>
        <v>3</v>
      </c>
      <c r="C72" t="str">
        <f>IFERROR(__xludf.DUMMYFUNCTION("""COMPUTED_VALUE"""),"PE 6")</f>
        <v>PE 6</v>
      </c>
      <c r="D72" s="31" t="str">
        <f>IFERROR(__xludf.DUMMYFUNCTION("""COMPUTED_VALUE"""),"6a")</f>
        <v>6a</v>
      </c>
      <c r="E72" s="8">
        <v>0.0</v>
      </c>
      <c r="F72" s="88"/>
      <c r="G72" s="88"/>
    </row>
    <row r="73">
      <c r="A73" t="str">
        <f>IFERROR(__xludf.DUMMYFUNCTION("""COMPUTED_VALUE"""),"English 6")</f>
        <v>English 6</v>
      </c>
      <c r="B73" s="31" t="str">
        <f>IFERROR(__xludf.DUMMYFUNCTION("""COMPUTED_VALUE"""),"3")</f>
        <v>3</v>
      </c>
      <c r="C73" t="str">
        <f>IFERROR(__xludf.DUMMYFUNCTION("""COMPUTED_VALUE"""),"PE 6")</f>
        <v>PE 6</v>
      </c>
      <c r="D73" s="31" t="str">
        <f>IFERROR(__xludf.DUMMYFUNCTION("""COMPUTED_VALUE"""),"6b")</f>
        <v>6b</v>
      </c>
      <c r="E73" s="8">
        <v>0.0</v>
      </c>
      <c r="F73" s="88"/>
      <c r="G73" s="88"/>
    </row>
    <row r="74">
      <c r="A74" t="str">
        <f>IFERROR(__xludf.DUMMYFUNCTION("""COMPUTED_VALUE"""),"English 8")</f>
        <v>English 8</v>
      </c>
      <c r="B74" s="31" t="str">
        <f>IFERROR(__xludf.DUMMYFUNCTION("""COMPUTED_VALUE"""),"3")</f>
        <v>3</v>
      </c>
      <c r="C74" t="str">
        <f>IFERROR(__xludf.DUMMYFUNCTION("""COMPUTED_VALUE"""),"PE 7")</f>
        <v>PE 7</v>
      </c>
      <c r="D74" s="31" t="str">
        <f>IFERROR(__xludf.DUMMYFUNCTION("""COMPUTED_VALUE"""),"1b")</f>
        <v>1b</v>
      </c>
      <c r="E74" s="8">
        <v>0.0</v>
      </c>
      <c r="F74" s="88"/>
      <c r="G74" s="88"/>
    </row>
    <row r="75">
      <c r="A75" t="str">
        <f>IFERROR(__xludf.DUMMYFUNCTION("""COMPUTED_VALUE"""),"English 7")</f>
        <v>English 7</v>
      </c>
      <c r="B75" s="31" t="str">
        <f>IFERROR(__xludf.DUMMYFUNCTION("""COMPUTED_VALUE"""),"3")</f>
        <v>3</v>
      </c>
      <c r="C75" t="str">
        <f>IFERROR(__xludf.DUMMYFUNCTION("""COMPUTED_VALUE"""),"PE 7")</f>
        <v>PE 7</v>
      </c>
      <c r="D75" s="31" t="str">
        <f>IFERROR(__xludf.DUMMYFUNCTION("""COMPUTED_VALUE"""),"2a")</f>
        <v>2a</v>
      </c>
      <c r="E75" s="8">
        <v>0.0</v>
      </c>
      <c r="F75" s="88"/>
      <c r="G75" s="88"/>
    </row>
    <row r="76">
      <c r="A76" t="str">
        <f>IFERROR(__xludf.DUMMYFUNCTION("""COMPUTED_VALUE"""),"Sociales 8A")</f>
        <v>Sociales 8A</v>
      </c>
      <c r="B76" s="31" t="str">
        <f>IFERROR(__xludf.DUMMYFUNCTION("""COMPUTED_VALUE"""),"3")</f>
        <v>3</v>
      </c>
      <c r="C76" t="str">
        <f>IFERROR(__xludf.DUMMYFUNCTION("""COMPUTED_VALUE"""),"PE 7")</f>
        <v>PE 7</v>
      </c>
      <c r="D76" s="31" t="str">
        <f>IFERROR(__xludf.DUMMYFUNCTION("""COMPUTED_VALUE"""),"4a")</f>
        <v>4a</v>
      </c>
      <c r="E76" s="8">
        <v>0.0</v>
      </c>
      <c r="F76" s="88"/>
      <c r="G76" s="88"/>
    </row>
    <row r="77">
      <c r="A77" t="str">
        <f>IFERROR(__xludf.DUMMYFUNCTION("""COMPUTED_VALUE"""),"Sociales 8")</f>
        <v>Sociales 8</v>
      </c>
      <c r="B77" s="31" t="str">
        <f>IFERROR(__xludf.DUMMYFUNCTION("""COMPUTED_VALUE"""),"3")</f>
        <v>3</v>
      </c>
      <c r="C77" t="str">
        <f>IFERROR(__xludf.DUMMYFUNCTION("""COMPUTED_VALUE"""),"PE 7")</f>
        <v>PE 7</v>
      </c>
      <c r="D77" s="31" t="str">
        <f>IFERROR(__xludf.DUMMYFUNCTION("""COMPUTED_VALUE"""),"6b")</f>
        <v>6b</v>
      </c>
      <c r="E77" s="8">
        <v>0.0</v>
      </c>
      <c r="F77" s="88"/>
      <c r="G77" s="88"/>
    </row>
    <row r="78">
      <c r="A78" t="str">
        <f>IFERROR(__xludf.DUMMYFUNCTION("""COMPUTED_VALUE"""),"Sociales 6")</f>
        <v>Sociales 6</v>
      </c>
      <c r="B78" s="31" t="str">
        <f>IFERROR(__xludf.DUMMYFUNCTION("""COMPUTED_VALUE"""),"3")</f>
        <v>3</v>
      </c>
      <c r="C78" t="str">
        <f>IFERROR(__xludf.DUMMYFUNCTION("""COMPUTED_VALUE"""),"PE 7A")</f>
        <v>PE 7A</v>
      </c>
      <c r="D78" s="31" t="str">
        <f>IFERROR(__xludf.DUMMYFUNCTION("""COMPUTED_VALUE"""),"1b")</f>
        <v>1b</v>
      </c>
      <c r="E78" s="8">
        <v>0.0</v>
      </c>
      <c r="F78" s="88"/>
      <c r="G78" s="88"/>
    </row>
    <row r="79">
      <c r="A79" t="str">
        <f>IFERROR(__xludf.DUMMYFUNCTION("""COMPUTED_VALUE"""),"Sociales 7")</f>
        <v>Sociales 7</v>
      </c>
      <c r="B79" s="31" t="str">
        <f>IFERROR(__xludf.DUMMYFUNCTION("""COMPUTED_VALUE"""),"3")</f>
        <v>3</v>
      </c>
      <c r="C79" t="str">
        <f>IFERROR(__xludf.DUMMYFUNCTION("""COMPUTED_VALUE"""),"PE 7A")</f>
        <v>PE 7A</v>
      </c>
      <c r="D79" s="31" t="str">
        <f>IFERROR(__xludf.DUMMYFUNCTION("""COMPUTED_VALUE"""),"2a")</f>
        <v>2a</v>
      </c>
      <c r="E79" s="8">
        <v>0.0</v>
      </c>
      <c r="F79" s="88"/>
      <c r="G79" s="88"/>
    </row>
    <row r="80">
      <c r="A80" t="str">
        <f>IFERROR(__xludf.DUMMYFUNCTION("""COMPUTED_VALUE"""),"Spanish 6")</f>
        <v>Spanish 6</v>
      </c>
      <c r="B80" s="31" t="str">
        <f>IFERROR(__xludf.DUMMYFUNCTION("""COMPUTED_VALUE"""),"3")</f>
        <v>3</v>
      </c>
      <c r="C80" t="str">
        <f>IFERROR(__xludf.DUMMYFUNCTION("""COMPUTED_VALUE"""),"PE 8")</f>
        <v>PE 8</v>
      </c>
      <c r="D80" s="31" t="str">
        <f>IFERROR(__xludf.DUMMYFUNCTION("""COMPUTED_VALUE"""),"1a")</f>
        <v>1a</v>
      </c>
      <c r="E80" s="8">
        <v>0.0</v>
      </c>
      <c r="F80" s="88"/>
      <c r="G80" s="88"/>
    </row>
    <row r="81">
      <c r="A81" t="str">
        <f>IFERROR(__xludf.DUMMYFUNCTION("""COMPUTED_VALUE"""),"Spanish 7")</f>
        <v>Spanish 7</v>
      </c>
      <c r="B81" s="31" t="str">
        <f>IFERROR(__xludf.DUMMYFUNCTION("""COMPUTED_VALUE"""),"3")</f>
        <v>3</v>
      </c>
      <c r="C81" t="str">
        <f>IFERROR(__xludf.DUMMYFUNCTION("""COMPUTED_VALUE"""),"PE 8")</f>
        <v>PE 8</v>
      </c>
      <c r="D81" s="31" t="str">
        <f>IFERROR(__xludf.DUMMYFUNCTION("""COMPUTED_VALUE"""),"2b")</f>
        <v>2b</v>
      </c>
      <c r="E81" s="8">
        <v>0.0</v>
      </c>
      <c r="F81" s="88"/>
      <c r="G81" s="88"/>
    </row>
    <row r="82">
      <c r="A82" t="str">
        <f>IFERROR(__xludf.DUMMYFUNCTION("""COMPUTED_VALUE"""),"Spanish 8")</f>
        <v>Spanish 8</v>
      </c>
      <c r="B82" s="31" t="str">
        <f>IFERROR(__xludf.DUMMYFUNCTION("""COMPUTED_VALUE"""),"3")</f>
        <v>3</v>
      </c>
      <c r="C82" t="str">
        <f>IFERROR(__xludf.DUMMYFUNCTION("""COMPUTED_VALUE"""),"PE 8")</f>
        <v>PE 8</v>
      </c>
      <c r="D82" s="31" t="str">
        <f>IFERROR(__xludf.DUMMYFUNCTION("""COMPUTED_VALUE"""),"4a")</f>
        <v>4a</v>
      </c>
      <c r="E82" s="8">
        <v>0.0</v>
      </c>
      <c r="F82" s="88"/>
      <c r="G82" s="88"/>
    </row>
    <row r="83">
      <c r="A83" t="str">
        <f>IFERROR(__xludf.DUMMYFUNCTION("""COMPUTED_VALUE"""),"Art 6")</f>
        <v>Art 6</v>
      </c>
      <c r="B83" s="31" t="str">
        <f>IFERROR(__xludf.DUMMYFUNCTION("""COMPUTED_VALUE"""),"4aS1")</f>
        <v>4aS1</v>
      </c>
      <c r="C83" t="str">
        <f>IFERROR(__xludf.DUMMYFUNCTION("""COMPUTED_VALUE"""),"PE 8")</f>
        <v>PE 8</v>
      </c>
      <c r="D83" s="31" t="str">
        <f>IFERROR(__xludf.DUMMYFUNCTION("""COMPUTED_VALUE"""),"5a")</f>
        <v>5a</v>
      </c>
      <c r="E83" s="8">
        <v>0.0</v>
      </c>
      <c r="F83" s="88"/>
      <c r="G83" s="88"/>
    </row>
    <row r="84">
      <c r="A84" t="str">
        <f>IFERROR(__xludf.DUMMYFUNCTION("""COMPUTED_VALUE"""),"Art 6")</f>
        <v>Art 6</v>
      </c>
      <c r="B84" s="31" t="str">
        <f>IFERROR(__xludf.DUMMYFUNCTION("""COMPUTED_VALUE"""),"4aS2")</f>
        <v>4aS2</v>
      </c>
      <c r="C84" t="str">
        <f>IFERROR(__xludf.DUMMYFUNCTION("""COMPUTED_VALUE"""),"PE 8")</f>
        <v>PE 8</v>
      </c>
      <c r="D84" s="31" t="str">
        <f>IFERROR(__xludf.DUMMYFUNCTION("""COMPUTED_VALUE"""),"5b")</f>
        <v>5b</v>
      </c>
      <c r="E84" s="8">
        <v>0.0</v>
      </c>
      <c r="F84" s="88"/>
      <c r="G84" s="88"/>
    </row>
    <row r="85">
      <c r="A85" t="str">
        <f>IFERROR(__xludf.DUMMYFUNCTION("""COMPUTED_VALUE"""),"Art 8")</f>
        <v>Art 8</v>
      </c>
      <c r="B85" s="31" t="str">
        <f>IFERROR(__xludf.DUMMYFUNCTION("""COMPUTED_VALUE"""),"4bS2")</f>
        <v>4bS2</v>
      </c>
      <c r="C85" t="str">
        <f>IFERROR(__xludf.DUMMYFUNCTION("""COMPUTED_VALUE"""),"PE 8")</f>
        <v>PE 8</v>
      </c>
      <c r="D85" s="31" t="str">
        <f>IFERROR(__xludf.DUMMYFUNCTION("""COMPUTED_VALUE"""),"6a")</f>
        <v>6a</v>
      </c>
      <c r="E85" s="8">
        <v>0.0</v>
      </c>
      <c r="F85" s="88"/>
      <c r="G85" s="88"/>
    </row>
    <row r="86">
      <c r="A86" t="str">
        <f>IFERROR(__xludf.DUMMYFUNCTION("""COMPUTED_VALUE"""),"Tech 6")</f>
        <v>Tech 6</v>
      </c>
      <c r="B86" s="31" t="str">
        <f>IFERROR(__xludf.DUMMYFUNCTION("""COMPUTED_VALUE"""),"4aS1")</f>
        <v>4aS1</v>
      </c>
      <c r="C86" t="str">
        <f>IFERROR(__xludf.DUMMYFUNCTION("""COMPUTED_VALUE"""),"Regular Band")</f>
        <v>Regular Band</v>
      </c>
      <c r="D86" s="31" t="str">
        <f>IFERROR(__xludf.DUMMYFUNCTION("""COMPUTED_VALUE"""),"6aS1")</f>
        <v>6aS1</v>
      </c>
      <c r="E86" s="8">
        <v>0.0</v>
      </c>
      <c r="F86" s="88"/>
      <c r="G86" s="88"/>
    </row>
    <row r="87">
      <c r="A87" t="str">
        <f>IFERROR(__xludf.DUMMYFUNCTION("""COMPUTED_VALUE"""),"Tech 8")</f>
        <v>Tech 8</v>
      </c>
      <c r="B87" s="31" t="str">
        <f>IFERROR(__xludf.DUMMYFUNCTION("""COMPUTED_VALUE"""),"4bS1")</f>
        <v>4bS1</v>
      </c>
      <c r="C87" t="str">
        <f>IFERROR(__xludf.DUMMYFUNCTION("""COMPUTED_VALUE"""),"Regular Band")</f>
        <v>Regular Band</v>
      </c>
      <c r="D87" s="31" t="str">
        <f>IFERROR(__xludf.DUMMYFUNCTION("""COMPUTED_VALUE"""),"6aS2")</f>
        <v>6aS2</v>
      </c>
      <c r="E87" s="8">
        <v>0.0</v>
      </c>
      <c r="F87" s="88"/>
      <c r="G87" s="88"/>
    </row>
    <row r="88">
      <c r="A88" t="str">
        <f>IFERROR(__xludf.DUMMYFUNCTION("""COMPUTED_VALUE"""),"Tech 6")</f>
        <v>Tech 6</v>
      </c>
      <c r="B88" s="31" t="str">
        <f>IFERROR(__xludf.DUMMYFUNCTION("""COMPUTED_VALUE"""),"4aS2")</f>
        <v>4aS2</v>
      </c>
      <c r="C88" t="str">
        <f>IFERROR(__xludf.DUMMYFUNCTION("""COMPUTED_VALUE"""),"SAL")</f>
        <v>SAL</v>
      </c>
      <c r="D88" s="31">
        <f>IFERROR(__xludf.DUMMYFUNCTION("""COMPUTED_VALUE"""),2.0)</f>
        <v>2</v>
      </c>
      <c r="E88" s="8">
        <v>0.0</v>
      </c>
      <c r="F88" s="88"/>
      <c r="G88" s="88"/>
    </row>
    <row r="89">
      <c r="A89" t="str">
        <f>IFERROR(__xludf.DUMMYFUNCTION("""COMPUTED_VALUE"""),"Band 7")</f>
        <v>Band 7</v>
      </c>
      <c r="B89" s="31" t="str">
        <f>IFERROR(__xludf.DUMMYFUNCTION("""COMPUTED_VALUE"""),"4bS1")</f>
        <v>4bS1</v>
      </c>
      <c r="C89" t="str">
        <f>IFERROR(__xludf.DUMMYFUNCTION("""COMPUTED_VALUE"""),"Science 6")</f>
        <v>Science 6</v>
      </c>
      <c r="D89" s="31">
        <f>IFERROR(__xludf.DUMMYFUNCTION("""COMPUTED_VALUE"""),2.0)</f>
        <v>2</v>
      </c>
      <c r="E89" s="8">
        <v>0.0</v>
      </c>
      <c r="F89" s="88"/>
      <c r="G89" s="88"/>
    </row>
    <row r="90">
      <c r="A90" t="str">
        <f>IFERROR(__xludf.DUMMYFUNCTION("""COMPUTED_VALUE"""),"Band 7")</f>
        <v>Band 7</v>
      </c>
      <c r="B90" s="31" t="str">
        <f>IFERROR(__xludf.DUMMYFUNCTION("""COMPUTED_VALUE"""),"4bS2")</f>
        <v>4bS2</v>
      </c>
      <c r="C90" t="str">
        <f>IFERROR(__xludf.DUMMYFUNCTION("""COMPUTED_VALUE"""),"Science 6")</f>
        <v>Science 6</v>
      </c>
      <c r="D90" s="31">
        <f>IFERROR(__xludf.DUMMYFUNCTION("""COMPUTED_VALUE"""),3.0)</f>
        <v>3</v>
      </c>
      <c r="E90" s="8">
        <v>0.0</v>
      </c>
      <c r="F90" s="88"/>
      <c r="G90" s="88"/>
    </row>
    <row r="91">
      <c r="A91" t="str">
        <f>IFERROR(__xludf.DUMMYFUNCTION("""COMPUTED_VALUE"""),"PE 8")</f>
        <v>PE 8</v>
      </c>
      <c r="B91" s="31" t="str">
        <f>IFERROR(__xludf.DUMMYFUNCTION("""COMPUTED_VALUE"""),"4a")</f>
        <v>4a</v>
      </c>
      <c r="C91" t="str">
        <f>IFERROR(__xludf.DUMMYFUNCTION("""COMPUTED_VALUE"""),"Science 6")</f>
        <v>Science 6</v>
      </c>
      <c r="D91" s="31">
        <f>IFERROR(__xludf.DUMMYFUNCTION("""COMPUTED_VALUE"""),4.0)</f>
        <v>4</v>
      </c>
      <c r="E91" s="8">
        <v>0.0</v>
      </c>
      <c r="F91" s="88"/>
      <c r="G91" s="88"/>
    </row>
    <row r="92">
      <c r="A92" t="str">
        <f>IFERROR(__xludf.DUMMYFUNCTION("""COMPUTED_VALUE"""),"PE 7")</f>
        <v>PE 7</v>
      </c>
      <c r="B92" s="31" t="str">
        <f>IFERROR(__xludf.DUMMYFUNCTION("""COMPUTED_VALUE"""),"4a")</f>
        <v>4a</v>
      </c>
      <c r="C92" t="str">
        <f>IFERROR(__xludf.DUMMYFUNCTION("""COMPUTED_VALUE"""),"Science 6")</f>
        <v>Science 6</v>
      </c>
      <c r="D92" s="31">
        <f>IFERROR(__xludf.DUMMYFUNCTION("""COMPUTED_VALUE"""),5.0)</f>
        <v>5</v>
      </c>
      <c r="E92" s="8">
        <v>0.0</v>
      </c>
      <c r="F92" s="88"/>
      <c r="G92" s="88"/>
    </row>
    <row r="93">
      <c r="A93" t="str">
        <f>IFERROR(__xludf.DUMMYFUNCTION("""COMPUTED_VALUE"""),"PE 6")</f>
        <v>PE 6</v>
      </c>
      <c r="B93" s="31" t="str">
        <f>IFERROR(__xludf.DUMMYFUNCTION("""COMPUTED_VALUE"""),"4b")</f>
        <v>4b</v>
      </c>
      <c r="C93" t="str">
        <f>IFERROR(__xludf.DUMMYFUNCTION("""COMPUTED_VALUE"""),"Science 6")</f>
        <v>Science 6</v>
      </c>
      <c r="D93" s="31">
        <f>IFERROR(__xludf.DUMMYFUNCTION("""COMPUTED_VALUE"""),6.0)</f>
        <v>6</v>
      </c>
      <c r="E93" s="8">
        <v>0.0</v>
      </c>
      <c r="F93" s="88"/>
      <c r="G93" s="88"/>
    </row>
    <row r="94">
      <c r="A94" t="str">
        <f>IFERROR(__xludf.DUMMYFUNCTION("""COMPUTED_VALUE"""),"Math 7")</f>
        <v>Math 7</v>
      </c>
      <c r="B94" s="31" t="str">
        <f>IFERROR(__xludf.DUMMYFUNCTION("""COMPUTED_VALUE"""),"4")</f>
        <v>4</v>
      </c>
      <c r="C94" t="str">
        <f>IFERROR(__xludf.DUMMYFUNCTION("""COMPUTED_VALUE"""),"Science 6A")</f>
        <v>Science 6A</v>
      </c>
      <c r="D94" s="31">
        <f>IFERROR(__xludf.DUMMYFUNCTION("""COMPUTED_VALUE"""),3.0)</f>
        <v>3</v>
      </c>
      <c r="E94" s="8">
        <v>0.0</v>
      </c>
      <c r="F94" s="88"/>
      <c r="G94" s="88"/>
    </row>
    <row r="95">
      <c r="A95" t="str">
        <f>IFERROR(__xludf.DUMMYFUNCTION("""COMPUTED_VALUE"""),"Math 7")</f>
        <v>Math 7</v>
      </c>
      <c r="B95" s="31" t="str">
        <f>IFERROR(__xludf.DUMMYFUNCTION("""COMPUTED_VALUE"""),"4")</f>
        <v>4</v>
      </c>
      <c r="C95" t="str">
        <f>IFERROR(__xludf.DUMMYFUNCTION("""COMPUTED_VALUE"""),"Science 7")</f>
        <v>Science 7</v>
      </c>
      <c r="D95" s="31">
        <f>IFERROR(__xludf.DUMMYFUNCTION("""COMPUTED_VALUE"""),2.0)</f>
        <v>2</v>
      </c>
      <c r="E95" s="8">
        <v>0.0</v>
      </c>
      <c r="F95" s="88"/>
      <c r="G95" s="88"/>
    </row>
    <row r="96">
      <c r="A96" t="str">
        <f>IFERROR(__xludf.DUMMYFUNCTION("""COMPUTED_VALUE"""),"Algebra")</f>
        <v>Algebra</v>
      </c>
      <c r="B96" s="31" t="str">
        <f>IFERROR(__xludf.DUMMYFUNCTION("""COMPUTED_VALUE"""),"4")</f>
        <v>4</v>
      </c>
      <c r="C96" t="str">
        <f>IFERROR(__xludf.DUMMYFUNCTION("""COMPUTED_VALUE"""),"Science 7")</f>
        <v>Science 7</v>
      </c>
      <c r="D96" s="31">
        <f>IFERROR(__xludf.DUMMYFUNCTION("""COMPUTED_VALUE"""),3.0)</f>
        <v>3</v>
      </c>
      <c r="E96" s="8">
        <v>0.0</v>
      </c>
      <c r="F96" s="88"/>
      <c r="G96" s="88"/>
    </row>
    <row r="97">
      <c r="A97" t="str">
        <f>IFERROR(__xludf.DUMMYFUNCTION("""COMPUTED_VALUE"""),"Math 7A")</f>
        <v>Math 7A</v>
      </c>
      <c r="B97" s="31" t="str">
        <f>IFERROR(__xludf.DUMMYFUNCTION("""COMPUTED_VALUE"""),"4")</f>
        <v>4</v>
      </c>
      <c r="C97" t="str">
        <f>IFERROR(__xludf.DUMMYFUNCTION("""COMPUTED_VALUE"""),"Science 7")</f>
        <v>Science 7</v>
      </c>
      <c r="D97" s="31">
        <f>IFERROR(__xludf.DUMMYFUNCTION("""COMPUTED_VALUE"""),4.0)</f>
        <v>4</v>
      </c>
      <c r="E97" s="8">
        <v>0.0</v>
      </c>
      <c r="F97" s="88"/>
      <c r="G97" s="88"/>
    </row>
    <row r="98">
      <c r="A98" t="str">
        <f>IFERROR(__xludf.DUMMYFUNCTION("""COMPUTED_VALUE"""),"Math 6")</f>
        <v>Math 6</v>
      </c>
      <c r="B98" s="31" t="str">
        <f>IFERROR(__xludf.DUMMYFUNCTION("""COMPUTED_VALUE"""),"4")</f>
        <v>4</v>
      </c>
      <c r="C98" t="str">
        <f>IFERROR(__xludf.DUMMYFUNCTION("""COMPUTED_VALUE"""),"Science 7")</f>
        <v>Science 7</v>
      </c>
      <c r="D98" s="31">
        <f>IFERROR(__xludf.DUMMYFUNCTION("""COMPUTED_VALUE"""),5.0)</f>
        <v>5</v>
      </c>
      <c r="E98" s="8">
        <v>0.0</v>
      </c>
      <c r="F98" s="88"/>
      <c r="G98" s="88"/>
    </row>
    <row r="99">
      <c r="A99" t="str">
        <f>IFERROR(__xludf.DUMMYFUNCTION("""COMPUTED_VALUE"""),"Science 6")</f>
        <v>Science 6</v>
      </c>
      <c r="B99" s="31" t="str">
        <f>IFERROR(__xludf.DUMMYFUNCTION("""COMPUTED_VALUE"""),"4")</f>
        <v>4</v>
      </c>
      <c r="C99" t="str">
        <f>IFERROR(__xludf.DUMMYFUNCTION("""COMPUTED_VALUE"""),"Science 7")</f>
        <v>Science 7</v>
      </c>
      <c r="D99" s="31">
        <f>IFERROR(__xludf.DUMMYFUNCTION("""COMPUTED_VALUE"""),6.0)</f>
        <v>6</v>
      </c>
      <c r="E99" s="8">
        <v>0.0</v>
      </c>
      <c r="F99" s="88"/>
      <c r="G99" s="88"/>
    </row>
    <row r="100">
      <c r="A100" t="str">
        <f>IFERROR(__xludf.DUMMYFUNCTION("""COMPUTED_VALUE"""),"Science 7")</f>
        <v>Science 7</v>
      </c>
      <c r="B100" s="31" t="str">
        <f>IFERROR(__xludf.DUMMYFUNCTION("""COMPUTED_VALUE"""),"4")</f>
        <v>4</v>
      </c>
      <c r="C100" t="str">
        <f>IFERROR(__xludf.DUMMYFUNCTION("""COMPUTED_VALUE"""),"Science 7A")</f>
        <v>Science 7A</v>
      </c>
      <c r="D100" s="31">
        <f>IFERROR(__xludf.DUMMYFUNCTION("""COMPUTED_VALUE"""),6.0)</f>
        <v>6</v>
      </c>
      <c r="E100" s="8">
        <v>0.0</v>
      </c>
      <c r="F100" s="88"/>
      <c r="G100" s="88"/>
    </row>
    <row r="101">
      <c r="A101" t="str">
        <f>IFERROR(__xludf.DUMMYFUNCTION("""COMPUTED_VALUE"""),"Science 8A")</f>
        <v>Science 8A</v>
      </c>
      <c r="B101" s="31" t="str">
        <f>IFERROR(__xludf.DUMMYFUNCTION("""COMPUTED_VALUE"""),"4")</f>
        <v>4</v>
      </c>
      <c r="C101" t="str">
        <f>IFERROR(__xludf.DUMMYFUNCTION("""COMPUTED_VALUE"""),"Science 8")</f>
        <v>Science 8</v>
      </c>
      <c r="D101" s="31">
        <f>IFERROR(__xludf.DUMMYFUNCTION("""COMPUTED_VALUE"""),2.0)</f>
        <v>2</v>
      </c>
      <c r="E101" s="8">
        <v>0.0</v>
      </c>
      <c r="F101" s="88"/>
      <c r="G101" s="88"/>
    </row>
    <row r="102">
      <c r="A102" t="str">
        <f>IFERROR(__xludf.DUMMYFUNCTION("""COMPUTED_VALUE"""),"Science 8")</f>
        <v>Science 8</v>
      </c>
      <c r="B102" s="31" t="str">
        <f>IFERROR(__xludf.DUMMYFUNCTION("""COMPUTED_VALUE"""),"4")</f>
        <v>4</v>
      </c>
      <c r="C102" t="str">
        <f>IFERROR(__xludf.DUMMYFUNCTION("""COMPUTED_VALUE"""),"Science 8")</f>
        <v>Science 8</v>
      </c>
      <c r="D102" s="31">
        <f>IFERROR(__xludf.DUMMYFUNCTION("""COMPUTED_VALUE"""),3.0)</f>
        <v>3</v>
      </c>
      <c r="E102" s="8">
        <v>0.0</v>
      </c>
      <c r="F102" s="88"/>
      <c r="G102" s="88"/>
    </row>
    <row r="103">
      <c r="A103" t="str">
        <f>IFERROR(__xludf.DUMMYFUNCTION("""COMPUTED_VALUE"""),"Sociales 8")</f>
        <v>Sociales 8</v>
      </c>
      <c r="B103" s="31" t="str">
        <f>IFERROR(__xludf.DUMMYFUNCTION("""COMPUTED_VALUE"""),"4")</f>
        <v>4</v>
      </c>
      <c r="C103" t="str">
        <f>IFERROR(__xludf.DUMMYFUNCTION("""COMPUTED_VALUE"""),"Science 8")</f>
        <v>Science 8</v>
      </c>
      <c r="D103" s="31">
        <f>IFERROR(__xludf.DUMMYFUNCTION("""COMPUTED_VALUE"""),4.0)</f>
        <v>4</v>
      </c>
      <c r="E103" s="8">
        <v>0.0</v>
      </c>
      <c r="F103" s="88"/>
      <c r="G103" s="88"/>
    </row>
    <row r="104">
      <c r="A104" t="str">
        <f>IFERROR(__xludf.DUMMYFUNCTION("""COMPUTED_VALUE"""),"Sociales 6")</f>
        <v>Sociales 6</v>
      </c>
      <c r="B104" s="31" t="str">
        <f>IFERROR(__xludf.DUMMYFUNCTION("""COMPUTED_VALUE"""),"4")</f>
        <v>4</v>
      </c>
      <c r="C104" t="str">
        <f>IFERROR(__xludf.DUMMYFUNCTION("""COMPUTED_VALUE"""),"Science 8")</f>
        <v>Science 8</v>
      </c>
      <c r="D104" s="31">
        <f>IFERROR(__xludf.DUMMYFUNCTION("""COMPUTED_VALUE"""),5.0)</f>
        <v>5</v>
      </c>
      <c r="E104" s="8">
        <v>0.0</v>
      </c>
      <c r="F104" s="88"/>
      <c r="G104" s="88"/>
    </row>
    <row r="105">
      <c r="A105" t="str">
        <f>IFERROR(__xludf.DUMMYFUNCTION("""COMPUTED_VALUE"""),"Spanish 6")</f>
        <v>Spanish 6</v>
      </c>
      <c r="B105" s="31" t="str">
        <f>IFERROR(__xludf.DUMMYFUNCTION("""COMPUTED_VALUE"""),"4")</f>
        <v>4</v>
      </c>
      <c r="C105" t="str">
        <f>IFERROR(__xludf.DUMMYFUNCTION("""COMPUTED_VALUE"""),"Science 8")</f>
        <v>Science 8</v>
      </c>
      <c r="D105" s="31">
        <f>IFERROR(__xludf.DUMMYFUNCTION("""COMPUTED_VALUE"""),6.0)</f>
        <v>6</v>
      </c>
      <c r="E105" s="8">
        <v>0.0</v>
      </c>
      <c r="F105" s="88"/>
      <c r="G105" s="88"/>
    </row>
    <row r="106">
      <c r="A106" t="str">
        <f>IFERROR(__xludf.DUMMYFUNCTION("""COMPUTED_VALUE"""),"Spanish 6A")</f>
        <v>Spanish 6A</v>
      </c>
      <c r="B106" s="31" t="str">
        <f>IFERROR(__xludf.DUMMYFUNCTION("""COMPUTED_VALUE"""),"4")</f>
        <v>4</v>
      </c>
      <c r="C106" t="str">
        <f>IFERROR(__xludf.DUMMYFUNCTION("""COMPUTED_VALUE"""),"Science 8A")</f>
        <v>Science 8A</v>
      </c>
      <c r="D106" s="31">
        <f>IFERROR(__xludf.DUMMYFUNCTION("""COMPUTED_VALUE"""),4.0)</f>
        <v>4</v>
      </c>
      <c r="E106" s="8">
        <v>0.0</v>
      </c>
      <c r="F106" s="88"/>
      <c r="G106" s="88"/>
    </row>
    <row r="107">
      <c r="A107" t="str">
        <f>IFERROR(__xludf.DUMMYFUNCTION("""COMPUTED_VALUE"""),"Spanish 7")</f>
        <v>Spanish 7</v>
      </c>
      <c r="B107" s="31" t="str">
        <f>IFERROR(__xludf.DUMMYFUNCTION("""COMPUTED_VALUE"""),"4")</f>
        <v>4</v>
      </c>
      <c r="C107" t="str">
        <f>IFERROR(__xludf.DUMMYFUNCTION("""COMPUTED_VALUE"""),"Sociales 6")</f>
        <v>Sociales 6</v>
      </c>
      <c r="D107" s="31">
        <f>IFERROR(__xludf.DUMMYFUNCTION("""COMPUTED_VALUE"""),1.0)</f>
        <v>1</v>
      </c>
      <c r="E107" s="8">
        <v>0.0</v>
      </c>
      <c r="F107" s="88"/>
      <c r="G107" s="88"/>
    </row>
    <row r="108">
      <c r="A108" t="str">
        <f>IFERROR(__xludf.DUMMYFUNCTION("""COMPUTED_VALUE"""),"Spanish 7A")</f>
        <v>Spanish 7A</v>
      </c>
      <c r="B108" s="31" t="str">
        <f>IFERROR(__xludf.DUMMYFUNCTION("""COMPUTED_VALUE"""),"4")</f>
        <v>4</v>
      </c>
      <c r="C108" t="str">
        <f>IFERROR(__xludf.DUMMYFUNCTION("""COMPUTED_VALUE"""),"Sociales 6")</f>
        <v>Sociales 6</v>
      </c>
      <c r="D108" s="31">
        <f>IFERROR(__xludf.DUMMYFUNCTION("""COMPUTED_VALUE"""),2.0)</f>
        <v>2</v>
      </c>
      <c r="E108" s="8">
        <v>0.0</v>
      </c>
      <c r="F108" s="88"/>
      <c r="G108" s="88"/>
    </row>
    <row r="109">
      <c r="A109" t="str">
        <f>IFERROR(__xludf.DUMMYFUNCTION("""COMPUTED_VALUE"""),"Spanish 8")</f>
        <v>Spanish 8</v>
      </c>
      <c r="B109" s="31" t="str">
        <f>IFERROR(__xludf.DUMMYFUNCTION("""COMPUTED_VALUE"""),"4")</f>
        <v>4</v>
      </c>
      <c r="C109" t="str">
        <f>IFERROR(__xludf.DUMMYFUNCTION("""COMPUTED_VALUE"""),"Sociales 6")</f>
        <v>Sociales 6</v>
      </c>
      <c r="D109" s="31">
        <f>IFERROR(__xludf.DUMMYFUNCTION("""COMPUTED_VALUE"""),3.0)</f>
        <v>3</v>
      </c>
      <c r="E109" s="8">
        <v>0.0</v>
      </c>
      <c r="F109" s="88"/>
      <c r="G109" s="88"/>
    </row>
    <row r="110">
      <c r="A110" t="str">
        <f>IFERROR(__xludf.DUMMYFUNCTION("""COMPUTED_VALUE"""),"Art 8")</f>
        <v>Art 8</v>
      </c>
      <c r="B110" s="31" t="str">
        <f>IFERROR(__xludf.DUMMYFUNCTION("""COMPUTED_VALUE"""),"5aS1")</f>
        <v>5aS1</v>
      </c>
      <c r="C110" t="str">
        <f>IFERROR(__xludf.DUMMYFUNCTION("""COMPUTED_VALUE"""),"Sociales 6")</f>
        <v>Sociales 6</v>
      </c>
      <c r="D110" s="31">
        <f>IFERROR(__xludf.DUMMYFUNCTION("""COMPUTED_VALUE"""),4.0)</f>
        <v>4</v>
      </c>
      <c r="E110" s="8">
        <v>0.0</v>
      </c>
      <c r="F110" s="88"/>
      <c r="G110" s="88"/>
    </row>
    <row r="111">
      <c r="A111" t="str">
        <f>IFERROR(__xludf.DUMMYFUNCTION("""COMPUTED_VALUE"""),"Art 8")</f>
        <v>Art 8</v>
      </c>
      <c r="B111" s="31" t="str">
        <f>IFERROR(__xludf.DUMMYFUNCTION("""COMPUTED_VALUE"""),"5aS2")</f>
        <v>5aS2</v>
      </c>
      <c r="C111" t="str">
        <f>IFERROR(__xludf.DUMMYFUNCTION("""COMPUTED_VALUE"""),"Sociales 6")</f>
        <v>Sociales 6</v>
      </c>
      <c r="D111" s="31">
        <f>IFERROR(__xludf.DUMMYFUNCTION("""COMPUTED_VALUE"""),5.0)</f>
        <v>5</v>
      </c>
      <c r="E111" s="8">
        <v>0.0</v>
      </c>
      <c r="F111" s="88"/>
      <c r="G111" s="88"/>
    </row>
    <row r="112">
      <c r="A112" t="str">
        <f>IFERROR(__xludf.DUMMYFUNCTION("""COMPUTED_VALUE"""),"Tech 8")</f>
        <v>Tech 8</v>
      </c>
      <c r="B112" s="31" t="str">
        <f>IFERROR(__xludf.DUMMYFUNCTION("""COMPUTED_VALUE"""),"5aS1")</f>
        <v>5aS1</v>
      </c>
      <c r="C112" t="str">
        <f>IFERROR(__xludf.DUMMYFUNCTION("""COMPUTED_VALUE"""),"Sociales 6A")</f>
        <v>Sociales 6A</v>
      </c>
      <c r="D112" s="31">
        <f>IFERROR(__xludf.DUMMYFUNCTION("""COMPUTED_VALUE"""),2.0)</f>
        <v>2</v>
      </c>
      <c r="E112" s="8">
        <v>0.0</v>
      </c>
      <c r="F112" s="88"/>
      <c r="G112" s="88"/>
    </row>
    <row r="113">
      <c r="A113" t="str">
        <f>IFERROR(__xludf.DUMMYFUNCTION("""COMPUTED_VALUE"""),"Tech 8")</f>
        <v>Tech 8</v>
      </c>
      <c r="B113" s="31" t="str">
        <f>IFERROR(__xludf.DUMMYFUNCTION("""COMPUTED_VALUE"""),"5aS2")</f>
        <v>5aS2</v>
      </c>
      <c r="C113" t="str">
        <f>IFERROR(__xludf.DUMMYFUNCTION("""COMPUTED_VALUE"""),"Sociales 7")</f>
        <v>Sociales 7</v>
      </c>
      <c r="D113" s="31">
        <f>IFERROR(__xludf.DUMMYFUNCTION("""COMPUTED_VALUE"""),1.0)</f>
        <v>1</v>
      </c>
      <c r="E113" s="8">
        <v>0.0</v>
      </c>
      <c r="F113" s="88"/>
      <c r="G113" s="88"/>
    </row>
    <row r="114">
      <c r="A114" t="str">
        <f>IFERROR(__xludf.DUMMYFUNCTION("""COMPUTED_VALUE"""),"Symphony Band")</f>
        <v>Symphony Band</v>
      </c>
      <c r="B114" s="31" t="str">
        <f>IFERROR(__xludf.DUMMYFUNCTION("""COMPUTED_VALUE"""),"5aS1")</f>
        <v>5aS1</v>
      </c>
      <c r="C114" t="str">
        <f>IFERROR(__xludf.DUMMYFUNCTION("""COMPUTED_VALUE"""),"Sociales 7")</f>
        <v>Sociales 7</v>
      </c>
      <c r="D114" s="31">
        <f>IFERROR(__xludf.DUMMYFUNCTION("""COMPUTED_VALUE"""),2.0)</f>
        <v>2</v>
      </c>
      <c r="E114" s="8">
        <v>0.0</v>
      </c>
      <c r="F114" s="88"/>
      <c r="G114" s="88"/>
    </row>
    <row r="115">
      <c r="A115" t="str">
        <f>IFERROR(__xludf.DUMMYFUNCTION("""COMPUTED_VALUE"""),"Band 8")</f>
        <v>Band 8</v>
      </c>
      <c r="B115" s="31" t="str">
        <f>IFERROR(__xludf.DUMMYFUNCTION("""COMPUTED_VALUE"""),"5bS1")</f>
        <v>5bS1</v>
      </c>
      <c r="C115" t="str">
        <f>IFERROR(__xludf.DUMMYFUNCTION("""COMPUTED_VALUE"""),"Sociales 7")</f>
        <v>Sociales 7</v>
      </c>
      <c r="D115" s="31">
        <f>IFERROR(__xludf.DUMMYFUNCTION("""COMPUTED_VALUE"""),3.0)</f>
        <v>3</v>
      </c>
      <c r="E115" s="8">
        <v>0.0</v>
      </c>
      <c r="F115" s="88"/>
      <c r="G115" s="88"/>
    </row>
    <row r="116">
      <c r="A116" t="str">
        <f>IFERROR(__xludf.DUMMYFUNCTION("""COMPUTED_VALUE"""),"Symphony Band")</f>
        <v>Symphony Band</v>
      </c>
      <c r="B116" s="31" t="str">
        <f>IFERROR(__xludf.DUMMYFUNCTION("""COMPUTED_VALUE"""),"5aS2")</f>
        <v>5aS2</v>
      </c>
      <c r="C116" t="str">
        <f>IFERROR(__xludf.DUMMYFUNCTION("""COMPUTED_VALUE"""),"Sociales 7")</f>
        <v>Sociales 7</v>
      </c>
      <c r="D116" s="31">
        <f>IFERROR(__xludf.DUMMYFUNCTION("""COMPUTED_VALUE"""),5.0)</f>
        <v>5</v>
      </c>
      <c r="E116" s="8">
        <v>0.0</v>
      </c>
      <c r="F116" s="88"/>
      <c r="G116" s="88"/>
    </row>
    <row r="117">
      <c r="A117" t="str">
        <f>IFERROR(__xludf.DUMMYFUNCTION("""COMPUTED_VALUE"""),"Band 8")</f>
        <v>Band 8</v>
      </c>
      <c r="B117" s="31" t="str">
        <f>IFERROR(__xludf.DUMMYFUNCTION("""COMPUTED_VALUE"""),"5bS2")</f>
        <v>5bS2</v>
      </c>
      <c r="C117" t="str">
        <f>IFERROR(__xludf.DUMMYFUNCTION("""COMPUTED_VALUE"""),"Sociales 7A")</f>
        <v>Sociales 7A</v>
      </c>
      <c r="D117" s="31">
        <f>IFERROR(__xludf.DUMMYFUNCTION("""COMPUTED_VALUE"""),1.0)</f>
        <v>1</v>
      </c>
      <c r="E117" s="8">
        <v>0.0</v>
      </c>
      <c r="F117" s="88"/>
      <c r="G117" s="88"/>
    </row>
    <row r="118">
      <c r="A118" t="str">
        <f>IFERROR(__xludf.DUMMYFUNCTION("""COMPUTED_VALUE"""),"PE 8")</f>
        <v>PE 8</v>
      </c>
      <c r="B118" s="31" t="str">
        <f>IFERROR(__xludf.DUMMYFUNCTION("""COMPUTED_VALUE"""),"5a")</f>
        <v>5a</v>
      </c>
      <c r="C118" t="str">
        <f>IFERROR(__xludf.DUMMYFUNCTION("""COMPUTED_VALUE"""),"Sociales 7A")</f>
        <v>Sociales 7A</v>
      </c>
      <c r="D118" s="31">
        <f>IFERROR(__xludf.DUMMYFUNCTION("""COMPUTED_VALUE"""),5.0)</f>
        <v>5</v>
      </c>
      <c r="E118" s="8">
        <v>0.0</v>
      </c>
      <c r="F118" s="88"/>
      <c r="G118" s="88"/>
    </row>
    <row r="119">
      <c r="A119" t="str">
        <f>IFERROR(__xludf.DUMMYFUNCTION("""COMPUTED_VALUE"""),"PE 8")</f>
        <v>PE 8</v>
      </c>
      <c r="B119" s="31" t="str">
        <f>IFERROR(__xludf.DUMMYFUNCTION("""COMPUTED_VALUE"""),"5b")</f>
        <v>5b</v>
      </c>
      <c r="C119" t="str">
        <f>IFERROR(__xludf.DUMMYFUNCTION("""COMPUTED_VALUE"""),"Sociales 8")</f>
        <v>Sociales 8</v>
      </c>
      <c r="D119" s="31">
        <f>IFERROR(__xludf.DUMMYFUNCTION("""COMPUTED_VALUE"""),1.0)</f>
        <v>1</v>
      </c>
      <c r="E119" s="8">
        <v>0.0</v>
      </c>
      <c r="F119" s="88"/>
      <c r="G119" s="88"/>
    </row>
    <row r="120">
      <c r="A120" t="str">
        <f>IFERROR(__xludf.DUMMYFUNCTION("""COMPUTED_VALUE"""),"PE 6")</f>
        <v>PE 6</v>
      </c>
      <c r="B120" s="31" t="str">
        <f>IFERROR(__xludf.DUMMYFUNCTION("""COMPUTED_VALUE"""),"5b")</f>
        <v>5b</v>
      </c>
      <c r="C120" t="str">
        <f>IFERROR(__xludf.DUMMYFUNCTION("""COMPUTED_VALUE"""),"Sociales 8")</f>
        <v>Sociales 8</v>
      </c>
      <c r="D120" s="31">
        <f>IFERROR(__xludf.DUMMYFUNCTION("""COMPUTED_VALUE"""),2.0)</f>
        <v>2</v>
      </c>
      <c r="E120" s="8">
        <v>0.0</v>
      </c>
      <c r="F120" s="88"/>
      <c r="G120" s="88"/>
    </row>
    <row r="121">
      <c r="A121" t="str">
        <f>IFERROR(__xludf.DUMMYFUNCTION("""COMPUTED_VALUE"""),"Math 6A")</f>
        <v>Math 6A</v>
      </c>
      <c r="B121" s="31" t="str">
        <f>IFERROR(__xludf.DUMMYFUNCTION("""COMPUTED_VALUE"""),"5")</f>
        <v>5</v>
      </c>
      <c r="C121" t="str">
        <f>IFERROR(__xludf.DUMMYFUNCTION("""COMPUTED_VALUE"""),"Sociales 8")</f>
        <v>Sociales 8</v>
      </c>
      <c r="D121" s="31">
        <f>IFERROR(__xludf.DUMMYFUNCTION("""COMPUTED_VALUE"""),3.0)</f>
        <v>3</v>
      </c>
      <c r="E121" s="8">
        <v>0.0</v>
      </c>
      <c r="F121" s="88"/>
      <c r="G121" s="88"/>
    </row>
    <row r="122">
      <c r="A122" t="str">
        <f>IFERROR(__xludf.DUMMYFUNCTION("""COMPUTED_VALUE"""),"Math 6A")</f>
        <v>Math 6A</v>
      </c>
      <c r="B122" s="31" t="str">
        <f>IFERROR(__xludf.DUMMYFUNCTION("""COMPUTED_VALUE"""),"5")</f>
        <v>5</v>
      </c>
      <c r="C122" t="str">
        <f>IFERROR(__xludf.DUMMYFUNCTION("""COMPUTED_VALUE"""),"Sociales 8")</f>
        <v>Sociales 8</v>
      </c>
      <c r="D122" s="31">
        <f>IFERROR(__xludf.DUMMYFUNCTION("""COMPUTED_VALUE"""),4.0)</f>
        <v>4</v>
      </c>
      <c r="E122" s="8">
        <v>0.0</v>
      </c>
      <c r="F122" s="88"/>
      <c r="G122" s="88"/>
    </row>
    <row r="123">
      <c r="A123" t="str">
        <f>IFERROR(__xludf.DUMMYFUNCTION("""COMPUTED_VALUE"""),"Math 7")</f>
        <v>Math 7</v>
      </c>
      <c r="B123" s="31" t="str">
        <f>IFERROR(__xludf.DUMMYFUNCTION("""COMPUTED_VALUE"""),"5")</f>
        <v>5</v>
      </c>
      <c r="C123" t="str">
        <f>IFERROR(__xludf.DUMMYFUNCTION("""COMPUTED_VALUE"""),"Sociales 8")</f>
        <v>Sociales 8</v>
      </c>
      <c r="D123" s="31">
        <f>IFERROR(__xludf.DUMMYFUNCTION("""COMPUTED_VALUE"""),5.0)</f>
        <v>5</v>
      </c>
      <c r="E123" s="8">
        <v>0.0</v>
      </c>
      <c r="F123" s="88"/>
      <c r="G123" s="88"/>
    </row>
    <row r="124">
      <c r="A124" t="str">
        <f>IFERROR(__xludf.DUMMYFUNCTION("""COMPUTED_VALUE"""),"Algebra")</f>
        <v>Algebra</v>
      </c>
      <c r="B124" s="31" t="str">
        <f>IFERROR(__xludf.DUMMYFUNCTION("""COMPUTED_VALUE"""),"5")</f>
        <v>5</v>
      </c>
      <c r="C124" t="str">
        <f>IFERROR(__xludf.DUMMYFUNCTION("""COMPUTED_VALUE"""),"Sociales 8A")</f>
        <v>Sociales 8A</v>
      </c>
      <c r="D124" s="31">
        <f>IFERROR(__xludf.DUMMYFUNCTION("""COMPUTED_VALUE"""),3.0)</f>
        <v>3</v>
      </c>
      <c r="E124" s="8">
        <v>0.0</v>
      </c>
      <c r="F124" s="88"/>
      <c r="G124" s="88"/>
    </row>
    <row r="125">
      <c r="A125" t="str">
        <f>IFERROR(__xludf.DUMMYFUNCTION("""COMPUTED_VALUE"""),"Math 6")</f>
        <v>Math 6</v>
      </c>
      <c r="B125" s="31" t="str">
        <f>IFERROR(__xludf.DUMMYFUNCTION("""COMPUTED_VALUE"""),"5")</f>
        <v>5</v>
      </c>
      <c r="C125" t="str">
        <f>IFERROR(__xludf.DUMMYFUNCTION("""COMPUTED_VALUE"""),"Spanish 6")</f>
        <v>Spanish 6</v>
      </c>
      <c r="D125" s="31">
        <f>IFERROR(__xludf.DUMMYFUNCTION("""COMPUTED_VALUE"""),1.0)</f>
        <v>1</v>
      </c>
      <c r="E125" s="8">
        <v>0.0</v>
      </c>
      <c r="F125" s="88"/>
      <c r="G125" s="88"/>
    </row>
    <row r="126">
      <c r="A126" t="str">
        <f>IFERROR(__xludf.DUMMYFUNCTION("""COMPUTED_VALUE"""),"Science 6")</f>
        <v>Science 6</v>
      </c>
      <c r="B126" s="31" t="str">
        <f>IFERROR(__xludf.DUMMYFUNCTION("""COMPUTED_VALUE"""),"5")</f>
        <v>5</v>
      </c>
      <c r="C126" t="str">
        <f>IFERROR(__xludf.DUMMYFUNCTION("""COMPUTED_VALUE"""),"Spanish 6")</f>
        <v>Spanish 6</v>
      </c>
      <c r="D126" s="31">
        <f>IFERROR(__xludf.DUMMYFUNCTION("""COMPUTED_VALUE"""),2.0)</f>
        <v>2</v>
      </c>
      <c r="E126" s="8">
        <v>0.0</v>
      </c>
      <c r="F126" s="88"/>
      <c r="G126" s="88"/>
    </row>
    <row r="127">
      <c r="A127" t="str">
        <f>IFERROR(__xludf.DUMMYFUNCTION("""COMPUTED_VALUE"""),"Science 7")</f>
        <v>Science 7</v>
      </c>
      <c r="B127" s="31" t="str">
        <f>IFERROR(__xludf.DUMMYFUNCTION("""COMPUTED_VALUE"""),"5")</f>
        <v>5</v>
      </c>
      <c r="C127" t="str">
        <f>IFERROR(__xludf.DUMMYFUNCTION("""COMPUTED_VALUE"""),"Spanish 6")</f>
        <v>Spanish 6</v>
      </c>
      <c r="D127" s="31">
        <f>IFERROR(__xludf.DUMMYFUNCTION("""COMPUTED_VALUE"""),3.0)</f>
        <v>3</v>
      </c>
      <c r="E127" s="8">
        <v>0.0</v>
      </c>
      <c r="F127" s="88"/>
      <c r="G127" s="88"/>
    </row>
    <row r="128">
      <c r="A128" t="str">
        <f>IFERROR(__xludf.DUMMYFUNCTION("""COMPUTED_VALUE"""),"Science 8")</f>
        <v>Science 8</v>
      </c>
      <c r="B128" s="31" t="str">
        <f>IFERROR(__xludf.DUMMYFUNCTION("""COMPUTED_VALUE"""),"5")</f>
        <v>5</v>
      </c>
      <c r="C128" t="str">
        <f>IFERROR(__xludf.DUMMYFUNCTION("""COMPUTED_VALUE"""),"Spanish 6")</f>
        <v>Spanish 6</v>
      </c>
      <c r="D128" s="31">
        <f>IFERROR(__xludf.DUMMYFUNCTION("""COMPUTED_VALUE"""),4.0)</f>
        <v>4</v>
      </c>
      <c r="E128" s="8">
        <v>0.0</v>
      </c>
      <c r="F128" s="88"/>
      <c r="G128" s="88"/>
    </row>
    <row r="129">
      <c r="A129" t="str">
        <f>IFERROR(__xludf.DUMMYFUNCTION("""COMPUTED_VALUE"""),"English 7")</f>
        <v>English 7</v>
      </c>
      <c r="B129" s="31" t="str">
        <f>IFERROR(__xludf.DUMMYFUNCTION("""COMPUTED_VALUE"""),"5")</f>
        <v>5</v>
      </c>
      <c r="C129" t="str">
        <f>IFERROR(__xludf.DUMMYFUNCTION("""COMPUTED_VALUE"""),"Spanish 6")</f>
        <v>Spanish 6</v>
      </c>
      <c r="D129" s="31">
        <f>IFERROR(__xludf.DUMMYFUNCTION("""COMPUTED_VALUE"""),6.0)</f>
        <v>6</v>
      </c>
      <c r="E129" s="8">
        <v>0.0</v>
      </c>
      <c r="F129" s="88"/>
      <c r="G129" s="88"/>
    </row>
    <row r="130">
      <c r="A130" t="str">
        <f>IFERROR(__xludf.DUMMYFUNCTION("""COMPUTED_VALUE"""),"English 6")</f>
        <v>English 6</v>
      </c>
      <c r="B130" s="31" t="str">
        <f>IFERROR(__xludf.DUMMYFUNCTION("""COMPUTED_VALUE"""),"5")</f>
        <v>5</v>
      </c>
      <c r="C130" t="str">
        <f>IFERROR(__xludf.DUMMYFUNCTION("""COMPUTED_VALUE"""),"Spanish 6A")</f>
        <v>Spanish 6A</v>
      </c>
      <c r="D130" s="31">
        <f>IFERROR(__xludf.DUMMYFUNCTION("""COMPUTED_VALUE"""),4.0)</f>
        <v>4</v>
      </c>
      <c r="E130" s="8">
        <v>0.0</v>
      </c>
      <c r="F130" s="88"/>
      <c r="G130" s="88"/>
    </row>
    <row r="131">
      <c r="A131" t="str">
        <f>IFERROR(__xludf.DUMMYFUNCTION("""COMPUTED_VALUE"""),"English 7A")</f>
        <v>English 7A</v>
      </c>
      <c r="B131" s="31" t="str">
        <f>IFERROR(__xludf.DUMMYFUNCTION("""COMPUTED_VALUE"""),"5")</f>
        <v>5</v>
      </c>
      <c r="C131" t="str">
        <f>IFERROR(__xludf.DUMMYFUNCTION("""COMPUTED_VALUE"""),"Spanish 7")</f>
        <v>Spanish 7</v>
      </c>
      <c r="D131" s="31">
        <f>IFERROR(__xludf.DUMMYFUNCTION("""COMPUTED_VALUE"""),1.0)</f>
        <v>1</v>
      </c>
      <c r="E131" s="8">
        <v>0.0</v>
      </c>
      <c r="F131" s="88"/>
      <c r="G131" s="88"/>
    </row>
    <row r="132">
      <c r="A132" t="str">
        <f>IFERROR(__xludf.DUMMYFUNCTION("""COMPUTED_VALUE"""),"English 8")</f>
        <v>English 8</v>
      </c>
      <c r="B132" s="31" t="str">
        <f>IFERROR(__xludf.DUMMYFUNCTION("""COMPUTED_VALUE"""),"5")</f>
        <v>5</v>
      </c>
      <c r="C132" t="str">
        <f>IFERROR(__xludf.DUMMYFUNCTION("""COMPUTED_VALUE"""),"Spanish 7")</f>
        <v>Spanish 7</v>
      </c>
      <c r="D132" s="31">
        <f>IFERROR(__xludf.DUMMYFUNCTION("""COMPUTED_VALUE"""),2.0)</f>
        <v>2</v>
      </c>
      <c r="E132" s="8">
        <v>0.0</v>
      </c>
      <c r="F132" s="88"/>
      <c r="G132" s="88"/>
    </row>
    <row r="133">
      <c r="A133" t="str">
        <f>IFERROR(__xludf.DUMMYFUNCTION("""COMPUTED_VALUE"""),"English 7")</f>
        <v>English 7</v>
      </c>
      <c r="B133" s="31" t="str">
        <f>IFERROR(__xludf.DUMMYFUNCTION("""COMPUTED_VALUE"""),"5")</f>
        <v>5</v>
      </c>
      <c r="C133" t="str">
        <f>IFERROR(__xludf.DUMMYFUNCTION("""COMPUTED_VALUE"""),"Spanish 7")</f>
        <v>Spanish 7</v>
      </c>
      <c r="D133" s="31">
        <f>IFERROR(__xludf.DUMMYFUNCTION("""COMPUTED_VALUE"""),3.0)</f>
        <v>3</v>
      </c>
      <c r="E133" s="8">
        <v>0.0</v>
      </c>
      <c r="F133" s="88"/>
      <c r="G133" s="88"/>
    </row>
    <row r="134">
      <c r="A134" t="str">
        <f>IFERROR(__xludf.DUMMYFUNCTION("""COMPUTED_VALUE"""),"Sociales 8")</f>
        <v>Sociales 8</v>
      </c>
      <c r="B134" s="31" t="str">
        <f>IFERROR(__xludf.DUMMYFUNCTION("""COMPUTED_VALUE"""),"5")</f>
        <v>5</v>
      </c>
      <c r="C134" t="str">
        <f>IFERROR(__xludf.DUMMYFUNCTION("""COMPUTED_VALUE"""),"Spanish 7")</f>
        <v>Spanish 7</v>
      </c>
      <c r="D134" s="31">
        <f>IFERROR(__xludf.DUMMYFUNCTION("""COMPUTED_VALUE"""),4.0)</f>
        <v>4</v>
      </c>
      <c r="E134" s="8">
        <v>0.0</v>
      </c>
      <c r="F134" s="88"/>
      <c r="G134" s="88"/>
    </row>
    <row r="135">
      <c r="A135" t="str">
        <f>IFERROR(__xludf.DUMMYFUNCTION("""COMPUTED_VALUE"""),"Sociales 6")</f>
        <v>Sociales 6</v>
      </c>
      <c r="B135" s="31" t="str">
        <f>IFERROR(__xludf.DUMMYFUNCTION("""COMPUTED_VALUE"""),"5")</f>
        <v>5</v>
      </c>
      <c r="C135" t="str">
        <f>IFERROR(__xludf.DUMMYFUNCTION("""COMPUTED_VALUE"""),"Spanish 7")</f>
        <v>Spanish 7</v>
      </c>
      <c r="D135" s="31">
        <f>IFERROR(__xludf.DUMMYFUNCTION("""COMPUTED_VALUE"""),6.0)</f>
        <v>6</v>
      </c>
      <c r="E135" s="8">
        <v>0.0</v>
      </c>
      <c r="F135" s="88"/>
      <c r="G135" s="88"/>
    </row>
    <row r="136">
      <c r="A136" t="str">
        <f>IFERROR(__xludf.DUMMYFUNCTION("""COMPUTED_VALUE"""),"Sociales 7A")</f>
        <v>Sociales 7A</v>
      </c>
      <c r="B136" s="31" t="str">
        <f>IFERROR(__xludf.DUMMYFUNCTION("""COMPUTED_VALUE"""),"5")</f>
        <v>5</v>
      </c>
      <c r="C136" t="str">
        <f>IFERROR(__xludf.DUMMYFUNCTION("""COMPUTED_VALUE"""),"Spanish 7A")</f>
        <v>Spanish 7A</v>
      </c>
      <c r="D136" s="31">
        <f>IFERROR(__xludf.DUMMYFUNCTION("""COMPUTED_VALUE"""),4.0)</f>
        <v>4</v>
      </c>
      <c r="E136" s="8">
        <v>0.0</v>
      </c>
      <c r="F136" s="88"/>
      <c r="G136" s="88"/>
    </row>
    <row r="137">
      <c r="A137" t="str">
        <f>IFERROR(__xludf.DUMMYFUNCTION("""COMPUTED_VALUE"""),"Sociales 7")</f>
        <v>Sociales 7</v>
      </c>
      <c r="B137" s="31" t="str">
        <f>IFERROR(__xludf.DUMMYFUNCTION("""COMPUTED_VALUE"""),"5")</f>
        <v>5</v>
      </c>
      <c r="C137" t="str">
        <f>IFERROR(__xludf.DUMMYFUNCTION("""COMPUTED_VALUE"""),"Spanish 8")</f>
        <v>Spanish 8</v>
      </c>
      <c r="D137" s="31">
        <f>IFERROR(__xludf.DUMMYFUNCTION("""COMPUTED_VALUE"""),1.0)</f>
        <v>1</v>
      </c>
      <c r="E137" s="8">
        <v>0.0</v>
      </c>
      <c r="F137" s="88"/>
      <c r="G137" s="88"/>
    </row>
    <row r="138">
      <c r="A138" t="str">
        <f>IFERROR(__xludf.DUMMYFUNCTION("""COMPUTED_VALUE"""),"Art 7")</f>
        <v>Art 7</v>
      </c>
      <c r="B138" s="31" t="str">
        <f>IFERROR(__xludf.DUMMYFUNCTION("""COMPUTED_VALUE"""),"6aS1")</f>
        <v>6aS1</v>
      </c>
      <c r="C138" t="str">
        <f>IFERROR(__xludf.DUMMYFUNCTION("""COMPUTED_VALUE"""),"Spanish 8")</f>
        <v>Spanish 8</v>
      </c>
      <c r="D138" s="31">
        <f>IFERROR(__xludf.DUMMYFUNCTION("""COMPUTED_VALUE"""),2.0)</f>
        <v>2</v>
      </c>
      <c r="E138" s="8">
        <v>0.0</v>
      </c>
      <c r="F138" s="88"/>
      <c r="G138" s="88"/>
    </row>
    <row r="139">
      <c r="A139" t="str">
        <f>IFERROR(__xludf.DUMMYFUNCTION("""COMPUTED_VALUE"""),"Art 6")</f>
        <v>Art 6</v>
      </c>
      <c r="B139" s="31" t="str">
        <f>IFERROR(__xludf.DUMMYFUNCTION("""COMPUTED_VALUE"""),"6bS1")</f>
        <v>6bS1</v>
      </c>
      <c r="C139" t="str">
        <f>IFERROR(__xludf.DUMMYFUNCTION("""COMPUTED_VALUE"""),"Spanish 8")</f>
        <v>Spanish 8</v>
      </c>
      <c r="D139" s="31">
        <f>IFERROR(__xludf.DUMMYFUNCTION("""COMPUTED_VALUE"""),3.0)</f>
        <v>3</v>
      </c>
      <c r="E139" s="8">
        <v>0.0</v>
      </c>
      <c r="F139" s="88"/>
      <c r="G139" s="88"/>
    </row>
    <row r="140">
      <c r="A140" t="str">
        <f>IFERROR(__xludf.DUMMYFUNCTION("""COMPUTED_VALUE"""),"Art 6")</f>
        <v>Art 6</v>
      </c>
      <c r="B140" s="31" t="str">
        <f>IFERROR(__xludf.DUMMYFUNCTION("""COMPUTED_VALUE"""),"6bS2")</f>
        <v>6bS2</v>
      </c>
      <c r="C140" t="str">
        <f>IFERROR(__xludf.DUMMYFUNCTION("""COMPUTED_VALUE"""),"Spanish 8")</f>
        <v>Spanish 8</v>
      </c>
      <c r="D140" s="31">
        <f>IFERROR(__xludf.DUMMYFUNCTION("""COMPUTED_VALUE"""),4.0)</f>
        <v>4</v>
      </c>
      <c r="E140" s="8">
        <v>0.0</v>
      </c>
      <c r="F140" s="88"/>
      <c r="G140" s="88"/>
    </row>
    <row r="141">
      <c r="A141" t="str">
        <f>IFERROR(__xludf.DUMMYFUNCTION("""COMPUTED_VALUE"""),"Tech 6")</f>
        <v>Tech 6</v>
      </c>
      <c r="B141" s="31" t="str">
        <f>IFERROR(__xludf.DUMMYFUNCTION("""COMPUTED_VALUE"""),"6bS1")</f>
        <v>6bS1</v>
      </c>
      <c r="C141" t="str">
        <f>IFERROR(__xludf.DUMMYFUNCTION("""COMPUTED_VALUE"""),"Spanish 8")</f>
        <v>Spanish 8</v>
      </c>
      <c r="D141" s="31">
        <f>IFERROR(__xludf.DUMMYFUNCTION("""COMPUTED_VALUE"""),6.0)</f>
        <v>6</v>
      </c>
      <c r="E141" s="8">
        <v>0.0</v>
      </c>
      <c r="F141" s="88"/>
      <c r="G141" s="88"/>
    </row>
    <row r="142">
      <c r="A142" t="str">
        <f>IFERROR(__xludf.DUMMYFUNCTION("""COMPUTED_VALUE"""),"Tech 7")</f>
        <v>Tech 7</v>
      </c>
      <c r="B142" s="31" t="str">
        <f>IFERROR(__xludf.DUMMYFUNCTION("""COMPUTED_VALUE"""),"6aS2")</f>
        <v>6aS2</v>
      </c>
      <c r="C142" t="str">
        <f>IFERROR(__xludf.DUMMYFUNCTION("""COMPUTED_VALUE"""),"Spanish 8A")</f>
        <v>Spanish 8A</v>
      </c>
      <c r="D142" s="31">
        <f>IFERROR(__xludf.DUMMYFUNCTION("""COMPUTED_VALUE"""),2.0)</f>
        <v>2</v>
      </c>
      <c r="E142" s="8">
        <v>0.0</v>
      </c>
      <c r="F142" s="88"/>
      <c r="G142" s="88"/>
    </row>
    <row r="143">
      <c r="A143" t="str">
        <f>IFERROR(__xludf.DUMMYFUNCTION("""COMPUTED_VALUE"""),"Tech 6")</f>
        <v>Tech 6</v>
      </c>
      <c r="B143" s="31" t="str">
        <f>IFERROR(__xludf.DUMMYFUNCTION("""COMPUTED_VALUE"""),"6bS2")</f>
        <v>6bS2</v>
      </c>
      <c r="C143" t="str">
        <f>IFERROR(__xludf.DUMMYFUNCTION("""COMPUTED_VALUE"""),"Symphony Band")</f>
        <v>Symphony Band</v>
      </c>
      <c r="D143" s="31" t="str">
        <f>IFERROR(__xludf.DUMMYFUNCTION("""COMPUTED_VALUE"""),"5aS1")</f>
        <v>5aS1</v>
      </c>
      <c r="E143" s="8">
        <v>0.0</v>
      </c>
      <c r="F143" s="88"/>
      <c r="G143" s="88"/>
    </row>
    <row r="144">
      <c r="A144" t="str">
        <f>IFERROR(__xludf.DUMMYFUNCTION("""COMPUTED_VALUE"""),"Regular Band")</f>
        <v>Regular Band</v>
      </c>
      <c r="B144" s="31" t="str">
        <f>IFERROR(__xludf.DUMMYFUNCTION("""COMPUTED_VALUE"""),"6aS1")</f>
        <v>6aS1</v>
      </c>
      <c r="C144" t="str">
        <f>IFERROR(__xludf.DUMMYFUNCTION("""COMPUTED_VALUE"""),"Symphony Band")</f>
        <v>Symphony Band</v>
      </c>
      <c r="D144" s="31" t="str">
        <f>IFERROR(__xludf.DUMMYFUNCTION("""COMPUTED_VALUE"""),"5aS2")</f>
        <v>5aS2</v>
      </c>
      <c r="E144" s="8">
        <v>0.0</v>
      </c>
      <c r="F144" s="88"/>
      <c r="G144" s="88"/>
    </row>
    <row r="145">
      <c r="A145" t="str">
        <f>IFERROR(__xludf.DUMMYFUNCTION("""COMPUTED_VALUE"""),"Band 8")</f>
        <v>Band 8</v>
      </c>
      <c r="B145" s="31" t="str">
        <f>IFERROR(__xludf.DUMMYFUNCTION("""COMPUTED_VALUE"""),"6bS1")</f>
        <v>6bS1</v>
      </c>
      <c r="C145" t="str">
        <f>IFERROR(__xludf.DUMMYFUNCTION("""COMPUTED_VALUE"""),"Tech 6")</f>
        <v>Tech 6</v>
      </c>
      <c r="D145" s="31" t="str">
        <f>IFERROR(__xludf.DUMMYFUNCTION("""COMPUTED_VALUE"""),"1bS1")</f>
        <v>1bS1</v>
      </c>
      <c r="E145" s="8">
        <v>0.0</v>
      </c>
      <c r="F145" s="88"/>
      <c r="G145" s="88"/>
    </row>
    <row r="146">
      <c r="A146" t="str">
        <f>IFERROR(__xludf.DUMMYFUNCTION("""COMPUTED_VALUE"""),"Regular Band")</f>
        <v>Regular Band</v>
      </c>
      <c r="B146" s="31" t="str">
        <f>IFERROR(__xludf.DUMMYFUNCTION("""COMPUTED_VALUE"""),"6aS2")</f>
        <v>6aS2</v>
      </c>
      <c r="C146" t="str">
        <f>IFERROR(__xludf.DUMMYFUNCTION("""COMPUTED_VALUE"""),"Tech 6")</f>
        <v>Tech 6</v>
      </c>
      <c r="D146" s="31" t="str">
        <f>IFERROR(__xludf.DUMMYFUNCTION("""COMPUTED_VALUE"""),"1bS2")</f>
        <v>1bS2</v>
      </c>
      <c r="E146" s="8">
        <v>0.0</v>
      </c>
      <c r="F146" s="88"/>
      <c r="G146" s="88"/>
    </row>
    <row r="147">
      <c r="A147" t="str">
        <f>IFERROR(__xludf.DUMMYFUNCTION("""COMPUTED_VALUE"""),"Band 8")</f>
        <v>Band 8</v>
      </c>
      <c r="B147" s="31" t="str">
        <f>IFERROR(__xludf.DUMMYFUNCTION("""COMPUTED_VALUE"""),"6bS2")</f>
        <v>6bS2</v>
      </c>
      <c r="C147" t="str">
        <f>IFERROR(__xludf.DUMMYFUNCTION("""COMPUTED_VALUE"""),"Tech 6")</f>
        <v>Tech 6</v>
      </c>
      <c r="D147" s="31" t="str">
        <f>IFERROR(__xludf.DUMMYFUNCTION("""COMPUTED_VALUE"""),"2aS1")</f>
        <v>2aS1</v>
      </c>
      <c r="E147" s="8">
        <v>0.0</v>
      </c>
      <c r="F147" s="88"/>
      <c r="G147" s="88"/>
    </row>
    <row r="148">
      <c r="A148" t="str">
        <f>IFERROR(__xludf.DUMMYFUNCTION("""COMPUTED_VALUE"""),"PE 8")</f>
        <v>PE 8</v>
      </c>
      <c r="B148" s="31" t="str">
        <f>IFERROR(__xludf.DUMMYFUNCTION("""COMPUTED_VALUE"""),"6a")</f>
        <v>6a</v>
      </c>
      <c r="C148" t="str">
        <f>IFERROR(__xludf.DUMMYFUNCTION("""COMPUTED_VALUE"""),"Tech 6")</f>
        <v>Tech 6</v>
      </c>
      <c r="D148" s="31" t="str">
        <f>IFERROR(__xludf.DUMMYFUNCTION("""COMPUTED_VALUE"""),"2aS2")</f>
        <v>2aS2</v>
      </c>
      <c r="E148" s="8">
        <v>0.0</v>
      </c>
      <c r="F148" s="88"/>
      <c r="G148" s="88"/>
    </row>
    <row r="149">
      <c r="A149" t="str">
        <f>IFERROR(__xludf.DUMMYFUNCTION("""COMPUTED_VALUE"""),"PE 7")</f>
        <v>PE 7</v>
      </c>
      <c r="B149" s="31" t="str">
        <f>IFERROR(__xludf.DUMMYFUNCTION("""COMPUTED_VALUE"""),"6b")</f>
        <v>6b</v>
      </c>
      <c r="C149" t="str">
        <f>IFERROR(__xludf.DUMMYFUNCTION("""COMPUTED_VALUE"""),"Tech 6")</f>
        <v>Tech 6</v>
      </c>
      <c r="D149" s="31" t="str">
        <f>IFERROR(__xludf.DUMMYFUNCTION("""COMPUTED_VALUE"""),"4aS1")</f>
        <v>4aS1</v>
      </c>
      <c r="E149" s="8">
        <v>0.0</v>
      </c>
      <c r="F149" s="88"/>
      <c r="G149" s="88"/>
    </row>
    <row r="150">
      <c r="A150" t="str">
        <f>IFERROR(__xludf.DUMMYFUNCTION("""COMPUTED_VALUE"""),"PE 6")</f>
        <v>PE 6</v>
      </c>
      <c r="B150" s="31" t="str">
        <f>IFERROR(__xludf.DUMMYFUNCTION("""COMPUTED_VALUE"""),"6a")</f>
        <v>6a</v>
      </c>
      <c r="C150" t="str">
        <f>IFERROR(__xludf.DUMMYFUNCTION("""COMPUTED_VALUE"""),"Tech 6")</f>
        <v>Tech 6</v>
      </c>
      <c r="D150" s="31" t="str">
        <f>IFERROR(__xludf.DUMMYFUNCTION("""COMPUTED_VALUE"""),"4aS2")</f>
        <v>4aS2</v>
      </c>
      <c r="E150" s="8">
        <v>0.0</v>
      </c>
      <c r="F150" s="88"/>
      <c r="G150" s="88"/>
    </row>
    <row r="151">
      <c r="A151" t="str">
        <f>IFERROR(__xludf.DUMMYFUNCTION("""COMPUTED_VALUE"""),"PE 6")</f>
        <v>PE 6</v>
      </c>
      <c r="B151" s="31" t="str">
        <f>IFERROR(__xludf.DUMMYFUNCTION("""COMPUTED_VALUE"""),"6b")</f>
        <v>6b</v>
      </c>
      <c r="C151" t="str">
        <f>IFERROR(__xludf.DUMMYFUNCTION("""COMPUTED_VALUE"""),"Tech 6")</f>
        <v>Tech 6</v>
      </c>
      <c r="D151" s="31" t="str">
        <f>IFERROR(__xludf.DUMMYFUNCTION("""COMPUTED_VALUE"""),"6bS1")</f>
        <v>6bS1</v>
      </c>
      <c r="E151" s="8">
        <v>0.0</v>
      </c>
      <c r="F151" s="88"/>
      <c r="G151" s="88"/>
    </row>
    <row r="152">
      <c r="A152" t="str">
        <f>IFERROR(__xludf.DUMMYFUNCTION("""COMPUTED_VALUE"""),"Math 6")</f>
        <v>Math 6</v>
      </c>
      <c r="B152" s="31" t="str">
        <f>IFERROR(__xludf.DUMMYFUNCTION("""COMPUTED_VALUE"""),"6")</f>
        <v>6</v>
      </c>
      <c r="C152" t="str">
        <f>IFERROR(__xludf.DUMMYFUNCTION("""COMPUTED_VALUE"""),"Tech 6")</f>
        <v>Tech 6</v>
      </c>
      <c r="D152" s="31" t="str">
        <f>IFERROR(__xludf.DUMMYFUNCTION("""COMPUTED_VALUE"""),"6bS2")</f>
        <v>6bS2</v>
      </c>
      <c r="E152" s="8">
        <v>0.0</v>
      </c>
      <c r="F152" s="88"/>
      <c r="G152" s="88"/>
    </row>
    <row r="153">
      <c r="A153" t="str">
        <f>IFERROR(__xludf.DUMMYFUNCTION("""COMPUTED_VALUE"""),"Math 7")</f>
        <v>Math 7</v>
      </c>
      <c r="B153" s="31" t="str">
        <f>IFERROR(__xludf.DUMMYFUNCTION("""COMPUTED_VALUE"""),"6")</f>
        <v>6</v>
      </c>
      <c r="C153" t="str">
        <f>IFERROR(__xludf.DUMMYFUNCTION("""COMPUTED_VALUE"""),"Tech 7")</f>
        <v>Tech 7</v>
      </c>
      <c r="D153" s="31" t="str">
        <f>IFERROR(__xludf.DUMMYFUNCTION("""COMPUTED_VALUE"""),"1aS1")</f>
        <v>1aS1</v>
      </c>
      <c r="E153" s="8">
        <v>0.0</v>
      </c>
      <c r="F153" s="88"/>
      <c r="G153" s="88"/>
    </row>
    <row r="154">
      <c r="A154" t="str">
        <f>IFERROR(__xludf.DUMMYFUNCTION("""COMPUTED_VALUE"""),"Math 8")</f>
        <v>Math 8</v>
      </c>
      <c r="B154" s="31" t="str">
        <f>IFERROR(__xludf.DUMMYFUNCTION("""COMPUTED_VALUE"""),"6")</f>
        <v>6</v>
      </c>
      <c r="C154" t="str">
        <f>IFERROR(__xludf.DUMMYFUNCTION("""COMPUTED_VALUE"""),"Tech 7")</f>
        <v>Tech 7</v>
      </c>
      <c r="D154" s="31" t="str">
        <f>IFERROR(__xludf.DUMMYFUNCTION("""COMPUTED_VALUE"""),"1aS2")</f>
        <v>1aS2</v>
      </c>
      <c r="E154" s="8">
        <v>0.0</v>
      </c>
      <c r="F154" s="88"/>
      <c r="G154" s="88"/>
    </row>
    <row r="155">
      <c r="A155" t="str">
        <f>IFERROR(__xludf.DUMMYFUNCTION("""COMPUTED_VALUE"""),"Science 6")</f>
        <v>Science 6</v>
      </c>
      <c r="B155" s="31" t="str">
        <f>IFERROR(__xludf.DUMMYFUNCTION("""COMPUTED_VALUE"""),"6")</f>
        <v>6</v>
      </c>
      <c r="C155" t="str">
        <f>IFERROR(__xludf.DUMMYFUNCTION("""COMPUTED_VALUE"""),"Tech 7")</f>
        <v>Tech 7</v>
      </c>
      <c r="D155" s="31" t="str">
        <f>IFERROR(__xludf.DUMMYFUNCTION("""COMPUTED_VALUE"""),"2bS1")</f>
        <v>2bS1</v>
      </c>
      <c r="E155" s="8">
        <v>0.0</v>
      </c>
      <c r="F155" s="88"/>
      <c r="G155" s="88"/>
    </row>
    <row r="156">
      <c r="A156" t="str">
        <f>IFERROR(__xludf.DUMMYFUNCTION("""COMPUTED_VALUE"""),"Science 7")</f>
        <v>Science 7</v>
      </c>
      <c r="B156" s="31" t="str">
        <f>IFERROR(__xludf.DUMMYFUNCTION("""COMPUTED_VALUE"""),"6")</f>
        <v>6</v>
      </c>
      <c r="C156" t="str">
        <f>IFERROR(__xludf.DUMMYFUNCTION("""COMPUTED_VALUE"""),"Tech 7")</f>
        <v>Tech 7</v>
      </c>
      <c r="D156" s="31" t="str">
        <f>IFERROR(__xludf.DUMMYFUNCTION("""COMPUTED_VALUE"""),"2bS2")</f>
        <v>2bS2</v>
      </c>
      <c r="E156" s="8">
        <v>0.0</v>
      </c>
      <c r="F156" s="88"/>
      <c r="G156" s="88"/>
    </row>
    <row r="157">
      <c r="A157" t="str">
        <f>IFERROR(__xludf.DUMMYFUNCTION("""COMPUTED_VALUE"""),"Science 8")</f>
        <v>Science 8</v>
      </c>
      <c r="B157" s="31" t="str">
        <f>IFERROR(__xludf.DUMMYFUNCTION("""COMPUTED_VALUE"""),"6")</f>
        <v>6</v>
      </c>
      <c r="C157" t="str">
        <f>IFERROR(__xludf.DUMMYFUNCTION("""COMPUTED_VALUE"""),"Tech 7")</f>
        <v>Tech 7</v>
      </c>
      <c r="D157" s="31" t="str">
        <f>IFERROR(__xludf.DUMMYFUNCTION("""COMPUTED_VALUE"""),"6aS2")</f>
        <v>6aS2</v>
      </c>
      <c r="E157" s="8">
        <v>0.0</v>
      </c>
      <c r="F157" s="88"/>
      <c r="G157" s="88"/>
    </row>
    <row r="158">
      <c r="A158" t="str">
        <f>IFERROR(__xludf.DUMMYFUNCTION("""COMPUTED_VALUE"""),"Science 7A")</f>
        <v>Science 7A</v>
      </c>
      <c r="B158" s="31" t="str">
        <f>IFERROR(__xludf.DUMMYFUNCTION("""COMPUTED_VALUE"""),"6")</f>
        <v>6</v>
      </c>
      <c r="C158" t="str">
        <f>IFERROR(__xludf.DUMMYFUNCTION("""COMPUTED_VALUE"""),"Tech 8")</f>
        <v>Tech 8</v>
      </c>
      <c r="D158" s="31" t="str">
        <f>IFERROR(__xludf.DUMMYFUNCTION("""COMPUTED_VALUE"""),"4bS1")</f>
        <v>4bS1</v>
      </c>
      <c r="E158" s="8">
        <v>0.0</v>
      </c>
      <c r="F158" s="88"/>
      <c r="G158" s="88"/>
    </row>
    <row r="159">
      <c r="A159" t="str">
        <f>IFERROR(__xludf.DUMMYFUNCTION("""COMPUTED_VALUE"""),"English 6")</f>
        <v>English 6</v>
      </c>
      <c r="B159" s="31" t="str">
        <f>IFERROR(__xludf.DUMMYFUNCTION("""COMPUTED_VALUE"""),"6")</f>
        <v>6</v>
      </c>
      <c r="C159" t="str">
        <f>IFERROR(__xludf.DUMMYFUNCTION("""COMPUTED_VALUE"""),"Tech 8")</f>
        <v>Tech 8</v>
      </c>
      <c r="D159" s="31" t="str">
        <f>IFERROR(__xludf.DUMMYFUNCTION("""COMPUTED_VALUE"""),"5aS1")</f>
        <v>5aS1</v>
      </c>
      <c r="E159" s="8">
        <v>0.0</v>
      </c>
      <c r="F159" s="88"/>
      <c r="G159" s="88"/>
    </row>
    <row r="160">
      <c r="A160" t="str">
        <f>IFERROR(__xludf.DUMMYFUNCTION("""COMPUTED_VALUE"""),"English 8")</f>
        <v>English 8</v>
      </c>
      <c r="B160" s="31" t="str">
        <f>IFERROR(__xludf.DUMMYFUNCTION("""COMPUTED_VALUE"""),"6")</f>
        <v>6</v>
      </c>
      <c r="C160" t="str">
        <f>IFERROR(__xludf.DUMMYFUNCTION("""COMPUTED_VALUE"""),"Tech 8")</f>
        <v>Tech 8</v>
      </c>
      <c r="D160" s="31" t="str">
        <f>IFERROR(__xludf.DUMMYFUNCTION("""COMPUTED_VALUE"""),"5aS2")</f>
        <v>5aS2</v>
      </c>
      <c r="E160" s="8">
        <v>0.0</v>
      </c>
      <c r="F160" s="88"/>
      <c r="G160" s="88"/>
    </row>
    <row r="161">
      <c r="A161" t="str">
        <f>IFERROR(__xludf.DUMMYFUNCTION("""COMPUTED_VALUE"""),"English 8A")</f>
        <v>English 8A</v>
      </c>
      <c r="B161" s="31" t="str">
        <f>IFERROR(__xludf.DUMMYFUNCTION("""COMPUTED_VALUE"""),"6")</f>
        <v>6</v>
      </c>
      <c r="D161" s="31"/>
      <c r="E161" s="8" t="s">
        <v>8</v>
      </c>
      <c r="F161" s="88"/>
      <c r="G161" s="88"/>
    </row>
    <row r="162">
      <c r="A162" t="str">
        <f>IFERROR(__xludf.DUMMYFUNCTION("""COMPUTED_VALUE"""),"English 7")</f>
        <v>English 7</v>
      </c>
      <c r="B162" s="31" t="str">
        <f>IFERROR(__xludf.DUMMYFUNCTION("""COMPUTED_VALUE"""),"6")</f>
        <v>6</v>
      </c>
      <c r="D162" s="31"/>
      <c r="E162" s="8" t="s">
        <v>8</v>
      </c>
      <c r="F162" s="88"/>
      <c r="G162" s="88"/>
    </row>
    <row r="163">
      <c r="A163" t="str">
        <f>IFERROR(__xludf.DUMMYFUNCTION("""COMPUTED_VALUE"""),"English 8")</f>
        <v>English 8</v>
      </c>
      <c r="B163" s="31" t="str">
        <f>IFERROR(__xludf.DUMMYFUNCTION("""COMPUTED_VALUE"""),"6")</f>
        <v>6</v>
      </c>
      <c r="D163" s="31"/>
      <c r="E163" s="8" t="s">
        <v>8</v>
      </c>
      <c r="F163" s="88"/>
      <c r="G163" s="88"/>
    </row>
    <row r="164">
      <c r="A164" t="str">
        <f>IFERROR(__xludf.DUMMYFUNCTION("""COMPUTED_VALUE"""),"Spanish 6")</f>
        <v>Spanish 6</v>
      </c>
      <c r="B164" s="31" t="str">
        <f>IFERROR(__xludf.DUMMYFUNCTION("""COMPUTED_VALUE"""),"6")</f>
        <v>6</v>
      </c>
      <c r="D164" s="31"/>
      <c r="E164" s="8" t="s">
        <v>8</v>
      </c>
      <c r="F164" s="88"/>
      <c r="G164" s="88"/>
    </row>
    <row r="165">
      <c r="A165" t="str">
        <f>IFERROR(__xludf.DUMMYFUNCTION("""COMPUTED_VALUE"""),"Spanish 7")</f>
        <v>Spanish 7</v>
      </c>
      <c r="B165" s="31" t="str">
        <f>IFERROR(__xludf.DUMMYFUNCTION("""COMPUTED_VALUE"""),"6")</f>
        <v>6</v>
      </c>
      <c r="D165" s="31"/>
      <c r="E165" s="8" t="s">
        <v>8</v>
      </c>
      <c r="F165" s="88"/>
      <c r="G165" s="88"/>
    </row>
    <row r="166">
      <c r="A166" t="str">
        <f>IFERROR(__xludf.DUMMYFUNCTION("""COMPUTED_VALUE"""),"Spanish 8")</f>
        <v>Spanish 8</v>
      </c>
      <c r="B166" s="31" t="str">
        <f>IFERROR(__xludf.DUMMYFUNCTION("""COMPUTED_VALUE"""),"6")</f>
        <v>6</v>
      </c>
      <c r="D166" s="31"/>
      <c r="E166" s="8" t="s">
        <v>8</v>
      </c>
      <c r="F166" s="88"/>
      <c r="G166" s="88"/>
    </row>
    <row r="167">
      <c r="B167" s="31"/>
      <c r="D167" s="31"/>
      <c r="E167" s="8" t="s">
        <v>8</v>
      </c>
      <c r="F167" s="88"/>
      <c r="G167" s="88"/>
    </row>
    <row r="168">
      <c r="B168" s="31"/>
      <c r="D168" s="31"/>
      <c r="E168" s="8" t="s">
        <v>8</v>
      </c>
      <c r="F168" s="88"/>
      <c r="G168" s="88"/>
    </row>
    <row r="169">
      <c r="B169" s="31"/>
      <c r="D169" s="31"/>
      <c r="E169" s="8" t="s">
        <v>8</v>
      </c>
      <c r="F169" s="88"/>
      <c r="G169" s="88"/>
    </row>
    <row r="170">
      <c r="B170" s="31"/>
      <c r="D170" s="31"/>
      <c r="E170" s="8" t="s">
        <v>8</v>
      </c>
      <c r="F170" s="88"/>
      <c r="G170" s="88"/>
    </row>
    <row r="171">
      <c r="B171" s="31"/>
      <c r="D171" s="31"/>
      <c r="E171" s="8" t="s">
        <v>8</v>
      </c>
      <c r="F171" s="88"/>
      <c r="G171" s="88"/>
    </row>
    <row r="172">
      <c r="B172" s="31"/>
      <c r="D172" s="31"/>
      <c r="E172" s="8" t="s">
        <v>8</v>
      </c>
      <c r="F172" s="88"/>
      <c r="G172" s="88"/>
    </row>
    <row r="173">
      <c r="B173" s="31"/>
      <c r="D173" s="31"/>
      <c r="E173" s="8" t="s">
        <v>8</v>
      </c>
      <c r="F173" s="88"/>
      <c r="G173" s="88"/>
    </row>
    <row r="174">
      <c r="B174" s="31"/>
      <c r="D174" s="31"/>
      <c r="E174" s="8" t="s">
        <v>8</v>
      </c>
      <c r="F174" s="88"/>
      <c r="G174" s="88"/>
    </row>
    <row r="175">
      <c r="B175" s="31"/>
      <c r="D175" s="31"/>
      <c r="E175" s="8" t="s">
        <v>8</v>
      </c>
      <c r="F175" s="88"/>
      <c r="G175" s="88"/>
    </row>
    <row r="176">
      <c r="B176" s="31"/>
      <c r="D176" s="31"/>
      <c r="E176" s="8" t="s">
        <v>8</v>
      </c>
      <c r="F176" s="88"/>
      <c r="G176" s="88"/>
    </row>
    <row r="177">
      <c r="B177" s="31"/>
      <c r="D177" s="31"/>
      <c r="E177" s="8" t="s">
        <v>8</v>
      </c>
      <c r="F177" s="88"/>
      <c r="G177" s="88"/>
    </row>
    <row r="178">
      <c r="B178" s="31"/>
      <c r="D178" s="31"/>
      <c r="E178" s="8" t="s">
        <v>8</v>
      </c>
      <c r="F178" s="88"/>
      <c r="G178" s="88"/>
    </row>
    <row r="179">
      <c r="B179" s="31"/>
      <c r="D179" s="31"/>
      <c r="E179" s="8" t="s">
        <v>8</v>
      </c>
      <c r="F179" s="88"/>
      <c r="G179" s="88"/>
    </row>
    <row r="180">
      <c r="B180" s="31"/>
      <c r="D180" s="31"/>
      <c r="E180" s="8" t="s">
        <v>8</v>
      </c>
      <c r="F180" s="88"/>
      <c r="G180" s="88"/>
    </row>
    <row r="181">
      <c r="B181" s="31"/>
      <c r="D181" s="31"/>
      <c r="E181" s="8" t="s">
        <v>8</v>
      </c>
      <c r="F181" s="88"/>
      <c r="G181" s="88"/>
    </row>
    <row r="182">
      <c r="B182" s="31"/>
      <c r="D182" s="31"/>
      <c r="E182" s="8" t="s">
        <v>8</v>
      </c>
      <c r="F182" s="88"/>
      <c r="G182" s="88"/>
    </row>
    <row r="183">
      <c r="B183" s="31"/>
      <c r="D183" s="31"/>
      <c r="E183" s="8" t="s">
        <v>8</v>
      </c>
      <c r="F183" s="88"/>
      <c r="G183" s="88"/>
    </row>
    <row r="184">
      <c r="B184" s="31"/>
      <c r="D184" s="31"/>
      <c r="E184" s="8" t="s">
        <v>8</v>
      </c>
      <c r="F184" s="88"/>
      <c r="G184" s="88"/>
    </row>
    <row r="185">
      <c r="B185" s="31"/>
      <c r="D185" s="31"/>
      <c r="E185" s="8" t="s">
        <v>8</v>
      </c>
      <c r="F185" s="88"/>
      <c r="G185" s="88"/>
    </row>
    <row r="186">
      <c r="B186" s="31"/>
      <c r="D186" s="31"/>
      <c r="E186" s="8" t="s">
        <v>8</v>
      </c>
      <c r="F186" s="88"/>
      <c r="G186" s="88"/>
    </row>
    <row r="187">
      <c r="B187" s="31"/>
      <c r="D187" s="31"/>
      <c r="E187" s="8" t="s">
        <v>8</v>
      </c>
      <c r="F187" s="88"/>
      <c r="G187" s="88"/>
    </row>
    <row r="188">
      <c r="B188" s="31"/>
      <c r="D188" s="31"/>
      <c r="E188" s="8" t="s">
        <v>8</v>
      </c>
      <c r="F188" s="88"/>
      <c r="G188" s="88"/>
    </row>
    <row r="189">
      <c r="B189" s="31"/>
      <c r="D189" s="31"/>
      <c r="E189" s="8" t="s">
        <v>8</v>
      </c>
      <c r="F189" s="88"/>
      <c r="G189" s="88"/>
    </row>
    <row r="190">
      <c r="B190" s="31"/>
      <c r="D190" s="31"/>
      <c r="E190" s="8" t="s">
        <v>8</v>
      </c>
      <c r="F190" s="88"/>
      <c r="G190" s="88"/>
    </row>
    <row r="191">
      <c r="B191" s="31"/>
      <c r="D191" s="31"/>
      <c r="E191" s="8" t="s">
        <v>8</v>
      </c>
      <c r="F191" s="88"/>
      <c r="G191" s="88"/>
    </row>
    <row r="192">
      <c r="B192" s="31"/>
      <c r="D192" s="31"/>
      <c r="E192" s="8" t="s">
        <v>8</v>
      </c>
      <c r="F192" s="88"/>
      <c r="G192" s="88"/>
    </row>
    <row r="193">
      <c r="B193" s="31"/>
      <c r="D193" s="31"/>
      <c r="E193" s="8" t="s">
        <v>8</v>
      </c>
      <c r="F193" s="88"/>
      <c r="G193" s="88"/>
    </row>
    <row r="194">
      <c r="B194" s="31"/>
      <c r="D194" s="31"/>
      <c r="E194" s="8" t="s">
        <v>8</v>
      </c>
      <c r="F194" s="88"/>
      <c r="G194" s="88"/>
    </row>
    <row r="195">
      <c r="B195" s="31"/>
      <c r="D195" s="31"/>
      <c r="E195" s="8" t="s">
        <v>8</v>
      </c>
      <c r="F195" s="88"/>
      <c r="G195" s="88"/>
    </row>
    <row r="196">
      <c r="B196" s="31"/>
      <c r="D196" s="31"/>
      <c r="E196" s="8" t="s">
        <v>8</v>
      </c>
      <c r="F196" s="88"/>
      <c r="G196" s="88"/>
    </row>
    <row r="197">
      <c r="B197" s="31"/>
      <c r="D197" s="31"/>
      <c r="E197" s="8" t="s">
        <v>8</v>
      </c>
      <c r="F197" s="88"/>
      <c r="G197" s="88"/>
    </row>
    <row r="198">
      <c r="B198" s="31"/>
      <c r="D198" s="31"/>
      <c r="E198" s="8" t="s">
        <v>8</v>
      </c>
      <c r="F198" s="88"/>
      <c r="G198" s="88"/>
    </row>
    <row r="199">
      <c r="B199" s="31"/>
      <c r="D199" s="31"/>
      <c r="E199" s="8" t="s">
        <v>8</v>
      </c>
      <c r="F199" s="88"/>
      <c r="G199" s="88"/>
    </row>
    <row r="200">
      <c r="B200" s="31"/>
      <c r="D200" s="31"/>
      <c r="E200" s="8" t="s">
        <v>8</v>
      </c>
      <c r="F200" s="88"/>
      <c r="G200" s="88"/>
    </row>
    <row r="201">
      <c r="B201" s="31"/>
      <c r="D201" s="31"/>
      <c r="E201" s="8" t="s">
        <v>8</v>
      </c>
      <c r="F201" s="88"/>
      <c r="G201" s="88"/>
    </row>
    <row r="202">
      <c r="B202" s="31"/>
      <c r="D202" s="31"/>
      <c r="E202" s="8" t="s">
        <v>8</v>
      </c>
      <c r="F202" s="88"/>
      <c r="G202" s="88"/>
    </row>
    <row r="203">
      <c r="B203" s="31"/>
      <c r="D203" s="31"/>
      <c r="E203" s="8" t="s">
        <v>8</v>
      </c>
      <c r="F203" s="88"/>
      <c r="G203" s="88"/>
    </row>
    <row r="204">
      <c r="B204" s="31"/>
      <c r="D204" s="31"/>
      <c r="E204" s="8" t="s">
        <v>8</v>
      </c>
      <c r="F204" s="88"/>
      <c r="G204" s="88"/>
    </row>
    <row r="205">
      <c r="B205" s="31"/>
      <c r="D205" s="31"/>
      <c r="E205" s="8" t="s">
        <v>8</v>
      </c>
      <c r="F205" s="88"/>
      <c r="G205" s="88"/>
    </row>
    <row r="206">
      <c r="B206" s="31"/>
      <c r="D206" s="31"/>
      <c r="E206" s="8" t="s">
        <v>8</v>
      </c>
      <c r="F206" s="88"/>
      <c r="G206" s="88"/>
    </row>
    <row r="207">
      <c r="B207" s="31"/>
      <c r="D207" s="31"/>
      <c r="E207" s="8" t="s">
        <v>8</v>
      </c>
      <c r="F207" s="88"/>
      <c r="G207" s="88"/>
    </row>
    <row r="208">
      <c r="B208" s="31"/>
      <c r="D208" s="31"/>
      <c r="E208" s="8" t="s">
        <v>8</v>
      </c>
      <c r="F208" s="88"/>
      <c r="G208" s="88"/>
    </row>
    <row r="209">
      <c r="B209" s="31"/>
      <c r="D209" s="31"/>
      <c r="E209" s="8" t="s">
        <v>8</v>
      </c>
      <c r="F209" s="88"/>
      <c r="G209" s="88"/>
    </row>
    <row r="210">
      <c r="B210" s="31"/>
      <c r="D210" s="31"/>
      <c r="E210" s="8" t="s">
        <v>8</v>
      </c>
      <c r="F210" s="88"/>
      <c r="G210" s="88"/>
    </row>
    <row r="211">
      <c r="B211" s="31"/>
      <c r="D211" s="31"/>
      <c r="E211" s="8" t="s">
        <v>8</v>
      </c>
      <c r="F211" s="88"/>
      <c r="G211" s="88"/>
    </row>
    <row r="212">
      <c r="B212" s="31"/>
      <c r="D212" s="31"/>
      <c r="E212" s="8" t="s">
        <v>8</v>
      </c>
      <c r="F212" s="88"/>
      <c r="G212" s="88"/>
    </row>
    <row r="213">
      <c r="B213" s="31"/>
      <c r="D213" s="31"/>
      <c r="E213" s="8" t="s">
        <v>8</v>
      </c>
      <c r="F213" s="88"/>
      <c r="G213" s="88"/>
    </row>
    <row r="214">
      <c r="B214" s="31"/>
      <c r="D214" s="31"/>
      <c r="E214" s="8" t="s">
        <v>8</v>
      </c>
      <c r="F214" s="88"/>
      <c r="G214" s="88"/>
    </row>
    <row r="215">
      <c r="B215" s="31"/>
      <c r="D215" s="31"/>
      <c r="E215" s="8" t="s">
        <v>8</v>
      </c>
      <c r="F215" s="88"/>
      <c r="G215" s="88"/>
    </row>
    <row r="216">
      <c r="B216" s="31"/>
      <c r="D216" s="31"/>
      <c r="E216" s="8" t="s">
        <v>8</v>
      </c>
      <c r="F216" s="88"/>
      <c r="G216" s="88"/>
    </row>
    <row r="217">
      <c r="B217" s="31"/>
      <c r="D217" s="31"/>
      <c r="E217" s="8" t="s">
        <v>8</v>
      </c>
      <c r="F217" s="88"/>
      <c r="G217" s="88"/>
    </row>
    <row r="218">
      <c r="B218" s="31"/>
      <c r="D218" s="31"/>
      <c r="E218" s="8" t="s">
        <v>8</v>
      </c>
      <c r="F218" s="88"/>
      <c r="G218" s="88"/>
    </row>
    <row r="219">
      <c r="B219" s="31"/>
      <c r="D219" s="31"/>
      <c r="E219" s="8" t="s">
        <v>8</v>
      </c>
      <c r="F219" s="88"/>
      <c r="G219" s="88"/>
    </row>
    <row r="220">
      <c r="B220" s="31"/>
      <c r="D220" s="31"/>
      <c r="E220" s="8" t="s">
        <v>8</v>
      </c>
      <c r="F220" s="88"/>
      <c r="G220" s="88"/>
    </row>
    <row r="221">
      <c r="B221" s="31"/>
      <c r="D221" s="31"/>
      <c r="E221" s="8" t="s">
        <v>8</v>
      </c>
      <c r="F221" s="88"/>
      <c r="G221" s="88"/>
    </row>
    <row r="222">
      <c r="B222" s="31"/>
      <c r="D222" s="31"/>
      <c r="E222" s="8" t="s">
        <v>8</v>
      </c>
      <c r="F222" s="88"/>
      <c r="G222" s="88"/>
    </row>
    <row r="223">
      <c r="B223" s="31"/>
      <c r="D223" s="31"/>
      <c r="E223" s="8" t="s">
        <v>8</v>
      </c>
      <c r="F223" s="88"/>
      <c r="G223" s="88"/>
    </row>
    <row r="224">
      <c r="B224" s="31"/>
      <c r="D224" s="31"/>
      <c r="E224" s="8" t="s">
        <v>8</v>
      </c>
      <c r="F224" s="88"/>
      <c r="G224" s="88"/>
    </row>
    <row r="225">
      <c r="B225" s="31"/>
      <c r="D225" s="31"/>
      <c r="E225" s="8" t="s">
        <v>8</v>
      </c>
      <c r="F225" s="88"/>
      <c r="G225" s="88"/>
    </row>
    <row r="226">
      <c r="B226" s="31"/>
      <c r="D226" s="31"/>
      <c r="E226" s="8" t="s">
        <v>8</v>
      </c>
      <c r="F226" s="88"/>
      <c r="G226" s="88"/>
    </row>
    <row r="227">
      <c r="B227" s="31"/>
      <c r="D227" s="31"/>
      <c r="E227" s="8" t="s">
        <v>8</v>
      </c>
      <c r="F227" s="88"/>
      <c r="G227" s="88"/>
    </row>
    <row r="228">
      <c r="B228" s="31"/>
      <c r="D228" s="31"/>
      <c r="E228" s="8" t="s">
        <v>8</v>
      </c>
      <c r="F228" s="88"/>
      <c r="G228" s="88"/>
    </row>
    <row r="229">
      <c r="B229" s="31"/>
      <c r="D229" s="31"/>
      <c r="E229" s="8" t="s">
        <v>8</v>
      </c>
      <c r="F229" s="88"/>
      <c r="G229" s="88"/>
    </row>
    <row r="230">
      <c r="B230" s="31"/>
      <c r="D230" s="31"/>
      <c r="E230" s="8" t="s">
        <v>8</v>
      </c>
      <c r="F230" s="88"/>
      <c r="G230" s="88"/>
    </row>
    <row r="231">
      <c r="B231" s="31"/>
      <c r="D231" s="31"/>
      <c r="E231" s="8" t="s">
        <v>8</v>
      </c>
      <c r="F231" s="88"/>
      <c r="G231" s="88"/>
    </row>
    <row r="232">
      <c r="B232" s="31"/>
      <c r="D232" s="31"/>
      <c r="E232" s="8" t="s">
        <v>8</v>
      </c>
      <c r="F232" s="88"/>
      <c r="G232" s="88"/>
    </row>
    <row r="233">
      <c r="B233" s="31"/>
      <c r="D233" s="31"/>
      <c r="E233" s="8" t="s">
        <v>8</v>
      </c>
      <c r="F233" s="88"/>
      <c r="G233" s="88"/>
    </row>
    <row r="234">
      <c r="B234" s="31"/>
      <c r="D234" s="31"/>
      <c r="E234" s="8" t="s">
        <v>8</v>
      </c>
      <c r="F234" s="88"/>
      <c r="G234" s="88"/>
    </row>
    <row r="235">
      <c r="B235" s="31"/>
      <c r="D235" s="31"/>
      <c r="E235" s="8" t="s">
        <v>8</v>
      </c>
      <c r="F235" s="88"/>
      <c r="G235" s="88"/>
    </row>
    <row r="236">
      <c r="B236" s="31"/>
      <c r="D236" s="31"/>
      <c r="E236" s="8" t="s">
        <v>8</v>
      </c>
      <c r="F236" s="88"/>
      <c r="G236" s="88"/>
    </row>
    <row r="237">
      <c r="B237" s="31"/>
      <c r="D237" s="31"/>
      <c r="E237" s="8" t="s">
        <v>8</v>
      </c>
      <c r="F237" s="88"/>
      <c r="G237" s="88"/>
    </row>
    <row r="238">
      <c r="B238" s="31"/>
      <c r="D238" s="31"/>
      <c r="E238" s="8" t="s">
        <v>8</v>
      </c>
      <c r="F238" s="88"/>
      <c r="G238" s="88"/>
    </row>
    <row r="239">
      <c r="B239" s="31"/>
      <c r="D239" s="31"/>
      <c r="E239" s="8" t="s">
        <v>8</v>
      </c>
      <c r="F239" s="88"/>
      <c r="G239" s="88"/>
    </row>
    <row r="240">
      <c r="B240" s="31"/>
      <c r="D240" s="31"/>
      <c r="E240" s="8" t="s">
        <v>8</v>
      </c>
      <c r="F240" s="88"/>
      <c r="G240" s="88"/>
    </row>
    <row r="241">
      <c r="B241" s="31"/>
      <c r="D241" s="31"/>
      <c r="E241" s="8" t="s">
        <v>8</v>
      </c>
      <c r="F241" s="88"/>
      <c r="G241" s="88"/>
    </row>
    <row r="242">
      <c r="B242" s="31"/>
      <c r="D242" s="31"/>
      <c r="E242" s="8" t="s">
        <v>8</v>
      </c>
      <c r="F242" s="88"/>
      <c r="G242" s="88"/>
    </row>
    <row r="243">
      <c r="B243" s="31"/>
      <c r="D243" s="31"/>
      <c r="E243" s="8" t="s">
        <v>8</v>
      </c>
      <c r="F243" s="88"/>
      <c r="G243" s="88"/>
    </row>
    <row r="244">
      <c r="B244" s="31"/>
      <c r="D244" s="31"/>
      <c r="E244" s="8" t="s">
        <v>8</v>
      </c>
      <c r="F244" s="88"/>
      <c r="G244" s="88"/>
    </row>
    <row r="245">
      <c r="B245" s="31"/>
      <c r="D245" s="31"/>
      <c r="E245" s="8" t="s">
        <v>8</v>
      </c>
      <c r="F245" s="88"/>
      <c r="G245" s="88"/>
    </row>
    <row r="246">
      <c r="B246" s="31"/>
      <c r="D246" s="31"/>
      <c r="E246" s="8" t="s">
        <v>8</v>
      </c>
      <c r="F246" s="88"/>
      <c r="G246" s="88"/>
    </row>
    <row r="247">
      <c r="B247" s="31"/>
      <c r="D247" s="31"/>
      <c r="E247" s="8" t="s">
        <v>8</v>
      </c>
      <c r="F247" s="88"/>
      <c r="G247" s="88"/>
    </row>
    <row r="248">
      <c r="B248" s="31"/>
      <c r="D248" s="31"/>
      <c r="E248" s="8" t="s">
        <v>8</v>
      </c>
      <c r="F248" s="88"/>
      <c r="G248" s="88"/>
    </row>
    <row r="249">
      <c r="B249" s="31"/>
      <c r="D249" s="31"/>
      <c r="E249" s="8" t="s">
        <v>8</v>
      </c>
      <c r="F249" s="88"/>
      <c r="G249" s="88"/>
    </row>
    <row r="250">
      <c r="B250" s="31"/>
      <c r="D250" s="31"/>
      <c r="E250" s="8" t="s">
        <v>8</v>
      </c>
      <c r="F250" s="88"/>
      <c r="G250" s="88"/>
    </row>
    <row r="251">
      <c r="B251" s="31"/>
      <c r="D251" s="31"/>
      <c r="E251" s="8" t="s">
        <v>8</v>
      </c>
      <c r="F251" s="88"/>
      <c r="G251" s="88"/>
    </row>
    <row r="252">
      <c r="B252" s="31"/>
      <c r="D252" s="31"/>
      <c r="E252" s="8" t="s">
        <v>8</v>
      </c>
      <c r="F252" s="88"/>
      <c r="G252" s="88"/>
    </row>
    <row r="253">
      <c r="B253" s="31"/>
      <c r="D253" s="31"/>
      <c r="E253" s="8" t="s">
        <v>8</v>
      </c>
      <c r="F253" s="88"/>
      <c r="G253" s="88"/>
    </row>
    <row r="254">
      <c r="B254" s="31"/>
      <c r="D254" s="31"/>
      <c r="E254" s="8" t="s">
        <v>8</v>
      </c>
      <c r="F254" s="88"/>
      <c r="G254" s="88"/>
    </row>
    <row r="255">
      <c r="B255" s="31"/>
      <c r="D255" s="31"/>
      <c r="E255" s="8" t="s">
        <v>8</v>
      </c>
      <c r="F255" s="88"/>
      <c r="G255" s="88"/>
    </row>
    <row r="256">
      <c r="B256" s="31"/>
      <c r="D256" s="31"/>
      <c r="E256" s="8" t="s">
        <v>8</v>
      </c>
      <c r="F256" s="88"/>
      <c r="G256" s="88"/>
    </row>
    <row r="257">
      <c r="B257" s="31"/>
      <c r="D257" s="31"/>
      <c r="E257" s="8" t="s">
        <v>8</v>
      </c>
      <c r="F257" s="88"/>
      <c r="G257" s="88"/>
    </row>
    <row r="258">
      <c r="B258" s="31"/>
      <c r="D258" s="31"/>
      <c r="E258" s="8" t="s">
        <v>8</v>
      </c>
      <c r="F258" s="88"/>
      <c r="G258" s="88"/>
    </row>
    <row r="259">
      <c r="B259" s="31"/>
      <c r="D259" s="31"/>
      <c r="E259" s="8" t="s">
        <v>8</v>
      </c>
      <c r="F259" s="88"/>
      <c r="G259" s="88"/>
    </row>
    <row r="260">
      <c r="B260" s="31"/>
      <c r="D260" s="31"/>
      <c r="E260" s="8" t="s">
        <v>8</v>
      </c>
      <c r="F260" s="88"/>
      <c r="G260" s="88"/>
    </row>
    <row r="261">
      <c r="B261" s="31"/>
      <c r="D261" s="31"/>
      <c r="E261" s="8" t="s">
        <v>8</v>
      </c>
      <c r="F261" s="88"/>
      <c r="G261" s="88"/>
    </row>
    <row r="262">
      <c r="B262" s="31"/>
      <c r="D262" s="31"/>
      <c r="E262" s="8" t="s">
        <v>8</v>
      </c>
      <c r="F262" s="88"/>
      <c r="G262" s="88"/>
    </row>
    <row r="263">
      <c r="B263" s="31"/>
      <c r="D263" s="31"/>
      <c r="E263" s="8" t="s">
        <v>8</v>
      </c>
      <c r="F263" s="88"/>
      <c r="G263" s="88"/>
    </row>
    <row r="264">
      <c r="B264" s="31"/>
      <c r="D264" s="31"/>
      <c r="E264" s="8" t="s">
        <v>8</v>
      </c>
      <c r="F264" s="88"/>
      <c r="G264" s="88"/>
    </row>
    <row r="265">
      <c r="B265" s="31"/>
      <c r="D265" s="31"/>
      <c r="E265" s="8" t="s">
        <v>8</v>
      </c>
      <c r="F265" s="88"/>
      <c r="G265" s="88"/>
    </row>
    <row r="266">
      <c r="B266" s="31"/>
      <c r="D266" s="31"/>
      <c r="E266" s="8" t="s">
        <v>8</v>
      </c>
      <c r="F266" s="88"/>
      <c r="G266" s="88"/>
    </row>
    <row r="267">
      <c r="B267" s="31"/>
      <c r="D267" s="31"/>
      <c r="E267" s="8" t="s">
        <v>8</v>
      </c>
      <c r="F267" s="88"/>
      <c r="G267" s="88"/>
    </row>
    <row r="268">
      <c r="B268" s="31"/>
      <c r="D268" s="31"/>
      <c r="E268" s="8" t="s">
        <v>8</v>
      </c>
      <c r="F268" s="88"/>
      <c r="G268" s="88"/>
    </row>
    <row r="269">
      <c r="B269" s="31"/>
      <c r="D269" s="31"/>
      <c r="E269" s="8" t="s">
        <v>8</v>
      </c>
      <c r="F269" s="88"/>
      <c r="G269" s="88"/>
    </row>
    <row r="270">
      <c r="B270" s="31"/>
      <c r="D270" s="31"/>
      <c r="E270" s="8" t="s">
        <v>8</v>
      </c>
      <c r="F270" s="88"/>
      <c r="G270" s="88"/>
    </row>
    <row r="271">
      <c r="B271" s="31"/>
      <c r="D271" s="31"/>
      <c r="E271" s="8" t="s">
        <v>8</v>
      </c>
      <c r="F271" s="88"/>
      <c r="G271" s="88"/>
    </row>
    <row r="272">
      <c r="B272" s="31"/>
      <c r="D272" s="31"/>
      <c r="E272" s="8" t="s">
        <v>8</v>
      </c>
      <c r="F272" s="88"/>
      <c r="G272" s="88"/>
    </row>
    <row r="273">
      <c r="B273" s="31"/>
      <c r="D273" s="31"/>
      <c r="E273" s="8" t="s">
        <v>8</v>
      </c>
      <c r="F273" s="88"/>
      <c r="G273" s="88"/>
    </row>
    <row r="274">
      <c r="B274" s="31"/>
      <c r="D274" s="31"/>
      <c r="E274" s="8" t="s">
        <v>8</v>
      </c>
      <c r="F274" s="88"/>
      <c r="G274" s="88"/>
    </row>
    <row r="275">
      <c r="B275" s="31"/>
      <c r="D275" s="31"/>
      <c r="E275" s="8" t="s">
        <v>8</v>
      </c>
      <c r="F275" s="88"/>
      <c r="G275" s="88"/>
    </row>
    <row r="276">
      <c r="B276" s="31"/>
      <c r="D276" s="31"/>
      <c r="E276" s="8" t="s">
        <v>8</v>
      </c>
      <c r="F276" s="88"/>
      <c r="G276" s="88"/>
    </row>
    <row r="277">
      <c r="B277" s="31"/>
      <c r="D277" s="31"/>
      <c r="E277" s="8" t="s">
        <v>8</v>
      </c>
      <c r="F277" s="88"/>
      <c r="G277" s="88"/>
    </row>
    <row r="278">
      <c r="B278" s="31"/>
      <c r="D278" s="31"/>
      <c r="E278" s="8" t="s">
        <v>8</v>
      </c>
      <c r="F278" s="88"/>
      <c r="G278" s="88"/>
    </row>
    <row r="279">
      <c r="B279" s="31"/>
      <c r="D279" s="31"/>
      <c r="E279" s="8" t="s">
        <v>8</v>
      </c>
      <c r="F279" s="88"/>
      <c r="G279" s="88"/>
    </row>
    <row r="280">
      <c r="B280" s="31"/>
      <c r="D280" s="31"/>
      <c r="E280" s="8" t="s">
        <v>8</v>
      </c>
      <c r="F280" s="88"/>
      <c r="G280" s="88"/>
    </row>
    <row r="281">
      <c r="B281" s="31"/>
      <c r="D281" s="31"/>
      <c r="E281" s="8" t="s">
        <v>8</v>
      </c>
      <c r="F281" s="88"/>
      <c r="G281" s="88"/>
    </row>
    <row r="282">
      <c r="B282" s="31"/>
      <c r="D282" s="31"/>
      <c r="E282" s="8" t="s">
        <v>8</v>
      </c>
      <c r="F282" s="88"/>
      <c r="G282" s="88"/>
    </row>
    <row r="283">
      <c r="B283" s="31"/>
      <c r="D283" s="31"/>
      <c r="E283" s="8" t="s">
        <v>8</v>
      </c>
      <c r="F283" s="88"/>
      <c r="G283" s="88"/>
    </row>
    <row r="284">
      <c r="B284" s="31"/>
      <c r="D284" s="31"/>
      <c r="E284" s="8" t="s">
        <v>8</v>
      </c>
      <c r="F284" s="88"/>
      <c r="G284" s="88"/>
    </row>
    <row r="285">
      <c r="B285" s="31"/>
      <c r="D285" s="31"/>
      <c r="E285" s="8" t="s">
        <v>8</v>
      </c>
      <c r="F285" s="88"/>
      <c r="G285" s="88"/>
    </row>
    <row r="286">
      <c r="B286" s="31"/>
      <c r="D286" s="31"/>
      <c r="E286" s="8" t="s">
        <v>8</v>
      </c>
      <c r="F286" s="88"/>
      <c r="G286" s="88"/>
    </row>
    <row r="287">
      <c r="B287" s="31"/>
      <c r="D287" s="31"/>
      <c r="E287" s="8" t="s">
        <v>8</v>
      </c>
      <c r="F287" s="88"/>
      <c r="G287" s="88"/>
    </row>
    <row r="288">
      <c r="B288" s="31"/>
      <c r="D288" s="31"/>
      <c r="E288" s="8" t="s">
        <v>8</v>
      </c>
      <c r="F288" s="88"/>
      <c r="G288" s="88"/>
    </row>
    <row r="289">
      <c r="B289" s="31"/>
      <c r="D289" s="31"/>
      <c r="E289" s="8" t="s">
        <v>8</v>
      </c>
      <c r="F289" s="88"/>
      <c r="G289" s="88"/>
    </row>
    <row r="290">
      <c r="B290" s="31"/>
      <c r="D290" s="31"/>
      <c r="E290" s="8" t="s">
        <v>8</v>
      </c>
      <c r="F290" s="88"/>
      <c r="G290" s="88"/>
    </row>
    <row r="291">
      <c r="B291" s="31"/>
      <c r="D291" s="31"/>
      <c r="E291" s="8" t="s">
        <v>8</v>
      </c>
      <c r="F291" s="88"/>
      <c r="G291" s="88"/>
    </row>
    <row r="292">
      <c r="B292" s="31"/>
      <c r="D292" s="31"/>
      <c r="E292" s="8" t="s">
        <v>8</v>
      </c>
      <c r="F292" s="88"/>
      <c r="G292" s="88"/>
    </row>
    <row r="293">
      <c r="B293" s="31"/>
      <c r="D293" s="31"/>
      <c r="E293" s="8" t="s">
        <v>8</v>
      </c>
      <c r="F293" s="88"/>
      <c r="G293" s="88"/>
    </row>
    <row r="294">
      <c r="B294" s="31"/>
      <c r="D294" s="31"/>
      <c r="E294" s="8" t="s">
        <v>8</v>
      </c>
      <c r="F294" s="88"/>
      <c r="G294" s="88"/>
    </row>
    <row r="295">
      <c r="B295" s="31"/>
      <c r="D295" s="31"/>
      <c r="E295" s="8" t="s">
        <v>8</v>
      </c>
      <c r="F295" s="88"/>
      <c r="G295" s="88"/>
    </row>
    <row r="296">
      <c r="B296" s="31"/>
      <c r="D296" s="31"/>
      <c r="E296" s="8" t="s">
        <v>8</v>
      </c>
      <c r="F296" s="88"/>
      <c r="G296" s="88"/>
    </row>
    <row r="297">
      <c r="B297" s="31"/>
      <c r="D297" s="31"/>
      <c r="E297" s="8" t="s">
        <v>8</v>
      </c>
      <c r="F297" s="88"/>
      <c r="G297" s="88"/>
    </row>
    <row r="298">
      <c r="B298" s="31"/>
      <c r="D298" s="31"/>
      <c r="E298" s="8" t="s">
        <v>8</v>
      </c>
      <c r="F298" s="88"/>
      <c r="G298" s="88"/>
    </row>
    <row r="299">
      <c r="B299" s="31"/>
      <c r="D299" s="31"/>
      <c r="E299" s="8" t="s">
        <v>8</v>
      </c>
      <c r="F299" s="88"/>
      <c r="G299" s="88"/>
    </row>
    <row r="300">
      <c r="B300" s="31"/>
      <c r="D300" s="31"/>
      <c r="E300" s="8" t="s">
        <v>8</v>
      </c>
      <c r="F300" s="88"/>
      <c r="G300" s="88"/>
    </row>
    <row r="301">
      <c r="B301" s="31"/>
      <c r="D301" s="31"/>
      <c r="E301" s="8" t="s">
        <v>8</v>
      </c>
      <c r="F301" s="88"/>
      <c r="G301" s="88"/>
    </row>
    <row r="302">
      <c r="B302" s="31"/>
      <c r="D302" s="31"/>
      <c r="E302" s="8" t="s">
        <v>8</v>
      </c>
      <c r="F302" s="88"/>
      <c r="G302" s="88"/>
    </row>
    <row r="303">
      <c r="B303" s="31"/>
      <c r="D303" s="31"/>
      <c r="E303" s="8" t="s">
        <v>8</v>
      </c>
      <c r="F303" s="88"/>
      <c r="G303" s="88"/>
    </row>
    <row r="304">
      <c r="B304" s="31"/>
      <c r="D304" s="31"/>
      <c r="E304" s="8" t="s">
        <v>8</v>
      </c>
      <c r="F304" s="88"/>
      <c r="G304" s="88"/>
    </row>
    <row r="305">
      <c r="B305" s="31"/>
      <c r="D305" s="31"/>
      <c r="E305" s="8" t="s">
        <v>8</v>
      </c>
      <c r="F305" s="88"/>
      <c r="G305" s="88"/>
    </row>
    <row r="306">
      <c r="B306" s="31"/>
      <c r="D306" s="31"/>
      <c r="E306" s="8" t="s">
        <v>8</v>
      </c>
      <c r="F306" s="88"/>
      <c r="G306" s="88"/>
    </row>
    <row r="307">
      <c r="B307" s="31"/>
      <c r="D307" s="31"/>
      <c r="E307" s="8" t="s">
        <v>8</v>
      </c>
      <c r="F307" s="88"/>
      <c r="G307" s="88"/>
    </row>
    <row r="308">
      <c r="B308" s="31"/>
      <c r="D308" s="31"/>
      <c r="E308" s="8" t="s">
        <v>8</v>
      </c>
      <c r="F308" s="88"/>
      <c r="G308" s="88"/>
    </row>
    <row r="309">
      <c r="B309" s="31"/>
      <c r="D309" s="31"/>
      <c r="E309" s="8" t="s">
        <v>8</v>
      </c>
      <c r="F309" s="88"/>
      <c r="G309" s="88"/>
    </row>
    <row r="310">
      <c r="B310" s="31"/>
      <c r="D310" s="31"/>
      <c r="E310" s="8" t="s">
        <v>8</v>
      </c>
      <c r="F310" s="88"/>
      <c r="G310" s="88"/>
    </row>
    <row r="311">
      <c r="B311" s="31"/>
      <c r="D311" s="31"/>
      <c r="E311" s="8" t="s">
        <v>8</v>
      </c>
      <c r="F311" s="88"/>
      <c r="G311" s="88"/>
    </row>
    <row r="312">
      <c r="B312" s="31"/>
      <c r="D312" s="31"/>
      <c r="E312" s="8" t="s">
        <v>8</v>
      </c>
      <c r="F312" s="88"/>
      <c r="G312" s="88"/>
    </row>
    <row r="313">
      <c r="B313" s="31"/>
      <c r="D313" s="31"/>
      <c r="E313" s="8" t="s">
        <v>8</v>
      </c>
      <c r="F313" s="88"/>
      <c r="G313" s="88"/>
    </row>
    <row r="314">
      <c r="B314" s="31"/>
      <c r="D314" s="31"/>
      <c r="E314" s="8" t="s">
        <v>8</v>
      </c>
      <c r="F314" s="88"/>
      <c r="G314" s="88"/>
    </row>
    <row r="315">
      <c r="B315" s="31"/>
      <c r="D315" s="31"/>
      <c r="E315" s="8" t="s">
        <v>8</v>
      </c>
      <c r="F315" s="88"/>
      <c r="G315" s="88"/>
    </row>
    <row r="316">
      <c r="B316" s="31"/>
      <c r="D316" s="31"/>
      <c r="E316" s="8" t="s">
        <v>8</v>
      </c>
      <c r="F316" s="88"/>
      <c r="G316" s="88"/>
    </row>
    <row r="317">
      <c r="B317" s="31"/>
      <c r="D317" s="31"/>
      <c r="E317" s="8" t="s">
        <v>8</v>
      </c>
      <c r="F317" s="88"/>
      <c r="G317" s="88"/>
    </row>
    <row r="318">
      <c r="B318" s="31"/>
      <c r="D318" s="31"/>
      <c r="E318" s="8" t="s">
        <v>8</v>
      </c>
      <c r="F318" s="88"/>
      <c r="G318" s="88"/>
    </row>
    <row r="319">
      <c r="B319" s="31"/>
      <c r="D319" s="31"/>
      <c r="E319" s="8" t="s">
        <v>8</v>
      </c>
      <c r="F319" s="88"/>
      <c r="G319" s="88"/>
    </row>
    <row r="320">
      <c r="B320" s="31"/>
      <c r="D320" s="31"/>
      <c r="E320" s="8" t="s">
        <v>8</v>
      </c>
      <c r="F320" s="88"/>
      <c r="G320" s="88"/>
    </row>
    <row r="321">
      <c r="B321" s="31"/>
      <c r="D321" s="31"/>
      <c r="E321" s="8" t="s">
        <v>8</v>
      </c>
      <c r="F321" s="88"/>
      <c r="G321" s="88"/>
    </row>
    <row r="322">
      <c r="B322" s="31"/>
      <c r="D322" s="31"/>
      <c r="E322" s="8" t="s">
        <v>8</v>
      </c>
      <c r="F322" s="88"/>
      <c r="G322" s="88"/>
    </row>
    <row r="323">
      <c r="B323" s="31"/>
      <c r="D323" s="31"/>
      <c r="E323" s="8" t="s">
        <v>8</v>
      </c>
      <c r="F323" s="88"/>
      <c r="G323" s="88"/>
    </row>
    <row r="324">
      <c r="B324" s="31"/>
      <c r="D324" s="31"/>
      <c r="E324" s="8" t="s">
        <v>8</v>
      </c>
      <c r="F324" s="88"/>
      <c r="G324" s="88"/>
    </row>
    <row r="325">
      <c r="B325" s="31"/>
      <c r="D325" s="31"/>
      <c r="E325" s="8" t="s">
        <v>8</v>
      </c>
      <c r="F325" s="88"/>
      <c r="G325" s="88"/>
    </row>
    <row r="326">
      <c r="B326" s="31"/>
      <c r="D326" s="31"/>
      <c r="E326" s="8" t="s">
        <v>8</v>
      </c>
      <c r="F326" s="88"/>
      <c r="G326" s="88"/>
    </row>
    <row r="327">
      <c r="B327" s="31"/>
      <c r="D327" s="31"/>
      <c r="E327" s="8" t="s">
        <v>8</v>
      </c>
      <c r="F327" s="88"/>
      <c r="G327" s="88"/>
    </row>
    <row r="328">
      <c r="B328" s="31"/>
      <c r="D328" s="31"/>
      <c r="E328" s="8" t="s">
        <v>8</v>
      </c>
      <c r="F328" s="88"/>
      <c r="G328" s="88"/>
    </row>
    <row r="329">
      <c r="B329" s="31"/>
      <c r="D329" s="31"/>
      <c r="E329" s="8" t="s">
        <v>8</v>
      </c>
      <c r="F329" s="88"/>
      <c r="G329" s="88"/>
    </row>
    <row r="330">
      <c r="B330" s="31"/>
      <c r="D330" s="31"/>
      <c r="E330" s="8" t="s">
        <v>8</v>
      </c>
      <c r="F330" s="88"/>
      <c r="G330" s="88"/>
    </row>
    <row r="331">
      <c r="B331" s="31"/>
      <c r="D331" s="31"/>
      <c r="E331" s="8" t="s">
        <v>8</v>
      </c>
      <c r="F331" s="88"/>
      <c r="G331" s="88"/>
    </row>
    <row r="332">
      <c r="B332" s="31"/>
      <c r="D332" s="31"/>
      <c r="E332" s="8" t="s">
        <v>8</v>
      </c>
      <c r="F332" s="88"/>
      <c r="G332" s="88"/>
    </row>
    <row r="333">
      <c r="B333" s="31"/>
      <c r="D333" s="31"/>
      <c r="E333" s="8" t="s">
        <v>8</v>
      </c>
      <c r="F333" s="88"/>
      <c r="G333" s="88"/>
    </row>
    <row r="334">
      <c r="B334" s="31"/>
      <c r="D334" s="31"/>
      <c r="E334" s="8" t="s">
        <v>8</v>
      </c>
      <c r="F334" s="88"/>
      <c r="G334" s="88"/>
    </row>
    <row r="335">
      <c r="B335" s="31"/>
      <c r="D335" s="31"/>
      <c r="E335" s="8" t="s">
        <v>8</v>
      </c>
      <c r="F335" s="88"/>
      <c r="G335" s="88"/>
    </row>
    <row r="336">
      <c r="B336" s="31"/>
      <c r="D336" s="31"/>
      <c r="E336" s="8" t="s">
        <v>8</v>
      </c>
      <c r="F336" s="88"/>
      <c r="G336" s="88"/>
    </row>
    <row r="337">
      <c r="B337" s="31"/>
      <c r="D337" s="31"/>
      <c r="E337" s="8" t="s">
        <v>8</v>
      </c>
      <c r="F337" s="88"/>
      <c r="G337" s="88"/>
    </row>
    <row r="338">
      <c r="B338" s="31"/>
      <c r="D338" s="31"/>
      <c r="E338" s="8" t="s">
        <v>8</v>
      </c>
      <c r="F338" s="88"/>
      <c r="G338" s="88"/>
    </row>
    <row r="339">
      <c r="B339" s="31"/>
      <c r="D339" s="31"/>
      <c r="E339" s="8" t="s">
        <v>8</v>
      </c>
      <c r="F339" s="88"/>
      <c r="G339" s="88"/>
    </row>
    <row r="340">
      <c r="B340" s="31"/>
      <c r="D340" s="31"/>
      <c r="E340" s="8" t="s">
        <v>8</v>
      </c>
      <c r="F340" s="88"/>
      <c r="G340" s="88"/>
    </row>
    <row r="341">
      <c r="B341" s="31"/>
      <c r="D341" s="31"/>
      <c r="E341" s="8" t="s">
        <v>8</v>
      </c>
      <c r="F341" s="88"/>
      <c r="G341" s="88"/>
    </row>
    <row r="342">
      <c r="B342" s="31"/>
      <c r="D342" s="31"/>
      <c r="E342" s="8" t="s">
        <v>8</v>
      </c>
      <c r="F342" s="88"/>
      <c r="G342" s="88"/>
    </row>
    <row r="343">
      <c r="B343" s="31"/>
      <c r="D343" s="31"/>
      <c r="E343" s="8" t="s">
        <v>8</v>
      </c>
      <c r="F343" s="88"/>
      <c r="G343" s="88"/>
    </row>
    <row r="344">
      <c r="B344" s="31"/>
      <c r="D344" s="31"/>
      <c r="E344" s="8" t="s">
        <v>8</v>
      </c>
      <c r="F344" s="88"/>
      <c r="G344" s="88"/>
    </row>
    <row r="345">
      <c r="B345" s="31"/>
      <c r="D345" s="31"/>
      <c r="E345" s="8" t="s">
        <v>8</v>
      </c>
      <c r="F345" s="88"/>
      <c r="G345" s="88"/>
    </row>
    <row r="346">
      <c r="B346" s="31"/>
      <c r="D346" s="31"/>
      <c r="E346" s="8" t="s">
        <v>8</v>
      </c>
      <c r="F346" s="88"/>
      <c r="G346" s="88"/>
    </row>
    <row r="347">
      <c r="B347" s="31"/>
      <c r="D347" s="31"/>
      <c r="E347" s="8" t="s">
        <v>8</v>
      </c>
      <c r="F347" s="88"/>
      <c r="G347" s="88"/>
    </row>
    <row r="348">
      <c r="B348" s="31"/>
      <c r="D348" s="31"/>
      <c r="E348" s="8" t="s">
        <v>8</v>
      </c>
      <c r="F348" s="88"/>
      <c r="G348" s="88"/>
    </row>
    <row r="349">
      <c r="B349" s="31"/>
      <c r="D349" s="31"/>
      <c r="E349" s="8" t="s">
        <v>8</v>
      </c>
      <c r="F349" s="88"/>
      <c r="G349" s="88"/>
    </row>
    <row r="350">
      <c r="B350" s="31"/>
      <c r="D350" s="31"/>
      <c r="E350" s="8" t="s">
        <v>8</v>
      </c>
      <c r="F350" s="88"/>
      <c r="G350" s="88"/>
    </row>
    <row r="351">
      <c r="B351" s="31"/>
      <c r="D351" s="31"/>
      <c r="E351" s="8" t="s">
        <v>8</v>
      </c>
      <c r="F351" s="88"/>
      <c r="G351" s="88"/>
    </row>
    <row r="352">
      <c r="B352" s="31"/>
      <c r="D352" s="31"/>
      <c r="E352" s="8" t="s">
        <v>8</v>
      </c>
      <c r="F352" s="88"/>
      <c r="G352" s="88"/>
    </row>
    <row r="353">
      <c r="B353" s="31"/>
      <c r="D353" s="31"/>
      <c r="E353" s="8" t="s">
        <v>8</v>
      </c>
      <c r="F353" s="88"/>
      <c r="G353" s="88"/>
    </row>
    <row r="354">
      <c r="B354" s="31"/>
      <c r="D354" s="31"/>
      <c r="E354" s="8" t="s">
        <v>8</v>
      </c>
      <c r="F354" s="88"/>
      <c r="G354" s="88"/>
    </row>
    <row r="355">
      <c r="B355" s="31"/>
      <c r="D355" s="31"/>
      <c r="E355" s="8" t="s">
        <v>8</v>
      </c>
      <c r="F355" s="88"/>
      <c r="G355" s="88"/>
    </row>
    <row r="356">
      <c r="B356" s="31"/>
      <c r="D356" s="31"/>
      <c r="E356" s="8" t="s">
        <v>8</v>
      </c>
      <c r="F356" s="88"/>
      <c r="G356" s="88"/>
    </row>
    <row r="357">
      <c r="B357" s="31"/>
      <c r="D357" s="31"/>
      <c r="E357" s="8" t="s">
        <v>8</v>
      </c>
      <c r="F357" s="88"/>
      <c r="G357" s="88"/>
    </row>
    <row r="358">
      <c r="B358" s="31"/>
      <c r="D358" s="31"/>
      <c r="E358" s="8" t="s">
        <v>8</v>
      </c>
      <c r="F358" s="88"/>
      <c r="G358" s="88"/>
    </row>
    <row r="359">
      <c r="B359" s="31"/>
      <c r="D359" s="31"/>
      <c r="E359" s="8" t="s">
        <v>8</v>
      </c>
      <c r="F359" s="88"/>
      <c r="G359" s="88"/>
    </row>
    <row r="360">
      <c r="B360" s="31"/>
      <c r="D360" s="31"/>
      <c r="E360" s="8" t="s">
        <v>8</v>
      </c>
      <c r="F360" s="88"/>
      <c r="G360" s="88"/>
    </row>
    <row r="361">
      <c r="B361" s="31"/>
      <c r="D361" s="31"/>
      <c r="E361" s="8" t="s">
        <v>8</v>
      </c>
      <c r="F361" s="88"/>
      <c r="G361" s="88"/>
    </row>
    <row r="362">
      <c r="B362" s="31"/>
      <c r="D362" s="31"/>
      <c r="E362" s="8" t="s">
        <v>8</v>
      </c>
      <c r="F362" s="88"/>
      <c r="G362" s="88"/>
    </row>
    <row r="363">
      <c r="B363" s="31"/>
      <c r="D363" s="31"/>
      <c r="E363" s="8" t="s">
        <v>8</v>
      </c>
      <c r="F363" s="88"/>
      <c r="G363" s="88"/>
    </row>
    <row r="364">
      <c r="B364" s="31"/>
      <c r="D364" s="31"/>
      <c r="E364" s="8" t="s">
        <v>8</v>
      </c>
      <c r="F364" s="88"/>
      <c r="G364" s="88"/>
    </row>
    <row r="365">
      <c r="B365" s="31"/>
      <c r="D365" s="31"/>
      <c r="E365" s="8" t="s">
        <v>8</v>
      </c>
      <c r="F365" s="88"/>
      <c r="G365" s="88"/>
    </row>
    <row r="366">
      <c r="B366" s="31"/>
      <c r="D366" s="31"/>
      <c r="E366" s="8" t="s">
        <v>8</v>
      </c>
      <c r="F366" s="88"/>
      <c r="G366" s="88"/>
    </row>
    <row r="367">
      <c r="B367" s="31"/>
      <c r="D367" s="31"/>
      <c r="E367" s="8" t="s">
        <v>8</v>
      </c>
      <c r="F367" s="88"/>
      <c r="G367" s="88"/>
    </row>
    <row r="368">
      <c r="B368" s="31"/>
      <c r="D368" s="31"/>
      <c r="E368" s="8" t="s">
        <v>8</v>
      </c>
      <c r="F368" s="88"/>
      <c r="G368" s="88"/>
    </row>
    <row r="369">
      <c r="B369" s="31"/>
      <c r="D369" s="31"/>
      <c r="E369" s="8" t="s">
        <v>8</v>
      </c>
      <c r="F369" s="88"/>
      <c r="G369" s="88"/>
    </row>
    <row r="370">
      <c r="B370" s="31"/>
      <c r="D370" s="31"/>
      <c r="E370" s="8" t="s">
        <v>8</v>
      </c>
      <c r="F370" s="88"/>
      <c r="G370" s="88"/>
    </row>
    <row r="371">
      <c r="B371" s="31"/>
      <c r="D371" s="31"/>
      <c r="E371" s="8" t="s">
        <v>8</v>
      </c>
      <c r="F371" s="88"/>
      <c r="G371" s="88"/>
    </row>
    <row r="372">
      <c r="B372" s="31"/>
      <c r="D372" s="31"/>
      <c r="E372" s="8" t="s">
        <v>8</v>
      </c>
      <c r="F372" s="88"/>
      <c r="G372" s="88"/>
    </row>
    <row r="373">
      <c r="B373" s="31"/>
      <c r="D373" s="31"/>
      <c r="E373" s="8" t="s">
        <v>8</v>
      </c>
      <c r="F373" s="88"/>
      <c r="G373" s="88"/>
    </row>
    <row r="374">
      <c r="B374" s="31"/>
      <c r="D374" s="31"/>
      <c r="E374" s="8" t="s">
        <v>8</v>
      </c>
      <c r="F374" s="88"/>
      <c r="G374" s="88"/>
    </row>
    <row r="375">
      <c r="B375" s="31"/>
      <c r="D375" s="31"/>
      <c r="E375" s="8" t="s">
        <v>8</v>
      </c>
      <c r="F375" s="88"/>
      <c r="G375" s="88"/>
    </row>
    <row r="376">
      <c r="B376" s="31"/>
      <c r="D376" s="31"/>
      <c r="E376" s="8" t="s">
        <v>8</v>
      </c>
      <c r="F376" s="88"/>
      <c r="G376" s="88"/>
    </row>
    <row r="377">
      <c r="B377" s="31"/>
      <c r="D377" s="31"/>
      <c r="E377" s="8" t="s">
        <v>8</v>
      </c>
      <c r="F377" s="88"/>
      <c r="G377" s="88"/>
    </row>
    <row r="378">
      <c r="B378" s="31"/>
      <c r="D378" s="31"/>
      <c r="E378" s="8" t="s">
        <v>8</v>
      </c>
      <c r="F378" s="88"/>
      <c r="G378" s="88"/>
    </row>
    <row r="379">
      <c r="B379" s="31"/>
      <c r="D379" s="31"/>
      <c r="E379" s="8" t="s">
        <v>8</v>
      </c>
      <c r="F379" s="88"/>
      <c r="G379" s="88"/>
    </row>
    <row r="380">
      <c r="B380" s="31"/>
      <c r="D380" s="31"/>
      <c r="E380" s="8" t="s">
        <v>8</v>
      </c>
      <c r="F380" s="88"/>
      <c r="G380" s="88"/>
    </row>
    <row r="381">
      <c r="B381" s="31"/>
      <c r="D381" s="31"/>
      <c r="E381" s="8" t="s">
        <v>8</v>
      </c>
      <c r="F381" s="88"/>
      <c r="G381" s="88"/>
    </row>
    <row r="382">
      <c r="B382" s="31"/>
      <c r="D382" s="31"/>
      <c r="E382" s="8" t="s">
        <v>8</v>
      </c>
      <c r="F382" s="88"/>
      <c r="G382" s="88"/>
    </row>
    <row r="383">
      <c r="B383" s="31"/>
      <c r="D383" s="31"/>
      <c r="E383" s="8" t="s">
        <v>8</v>
      </c>
      <c r="F383" s="88"/>
      <c r="G383" s="88"/>
    </row>
    <row r="384">
      <c r="B384" s="31"/>
      <c r="D384" s="31"/>
      <c r="E384" s="8" t="s">
        <v>8</v>
      </c>
      <c r="F384" s="88"/>
      <c r="G384" s="88"/>
    </row>
    <row r="385">
      <c r="B385" s="31"/>
      <c r="D385" s="31"/>
      <c r="E385" s="8" t="s">
        <v>8</v>
      </c>
      <c r="F385" s="88"/>
      <c r="G385" s="88"/>
    </row>
    <row r="386">
      <c r="B386" s="31"/>
      <c r="D386" s="31"/>
      <c r="E386" s="8" t="s">
        <v>8</v>
      </c>
      <c r="F386" s="88"/>
      <c r="G386" s="88"/>
    </row>
    <row r="387">
      <c r="B387" s="31"/>
      <c r="D387" s="31"/>
      <c r="E387" s="8" t="s">
        <v>8</v>
      </c>
      <c r="F387" s="88"/>
      <c r="G387" s="88"/>
    </row>
    <row r="388">
      <c r="B388" s="31"/>
      <c r="D388" s="31"/>
      <c r="E388" s="8" t="s">
        <v>8</v>
      </c>
      <c r="F388" s="88"/>
      <c r="G388" s="88"/>
    </row>
    <row r="389">
      <c r="B389" s="31"/>
      <c r="D389" s="31"/>
      <c r="E389" s="8" t="s">
        <v>8</v>
      </c>
      <c r="F389" s="88"/>
      <c r="G389" s="88"/>
    </row>
    <row r="390">
      <c r="B390" s="31"/>
      <c r="D390" s="31"/>
      <c r="E390" s="8" t="s">
        <v>8</v>
      </c>
      <c r="F390" s="88"/>
      <c r="G390" s="88"/>
    </row>
    <row r="391">
      <c r="B391" s="31"/>
      <c r="D391" s="31"/>
      <c r="E391" s="8" t="s">
        <v>8</v>
      </c>
      <c r="F391" s="88"/>
      <c r="G391" s="88"/>
    </row>
    <row r="392">
      <c r="B392" s="31"/>
      <c r="D392" s="31"/>
      <c r="E392" s="8" t="s">
        <v>8</v>
      </c>
      <c r="F392" s="88"/>
      <c r="G392" s="88"/>
    </row>
    <row r="393">
      <c r="B393" s="31"/>
      <c r="D393" s="31"/>
      <c r="E393" s="8" t="s">
        <v>8</v>
      </c>
      <c r="F393" s="88"/>
      <c r="G393" s="88"/>
    </row>
    <row r="394">
      <c r="B394" s="31"/>
      <c r="D394" s="31"/>
      <c r="E394" s="8" t="s">
        <v>8</v>
      </c>
      <c r="F394" s="88"/>
      <c r="G394" s="88"/>
    </row>
    <row r="395">
      <c r="B395" s="31"/>
      <c r="D395" s="31"/>
      <c r="E395" s="8" t="s">
        <v>8</v>
      </c>
      <c r="F395" s="88"/>
      <c r="G395" s="88"/>
    </row>
    <row r="396">
      <c r="B396" s="31"/>
      <c r="D396" s="31"/>
      <c r="E396" s="8" t="s">
        <v>8</v>
      </c>
      <c r="F396" s="88"/>
      <c r="G396" s="88"/>
    </row>
    <row r="397">
      <c r="B397" s="31"/>
      <c r="D397" s="31"/>
      <c r="E397" s="8" t="s">
        <v>8</v>
      </c>
      <c r="F397" s="88"/>
      <c r="G397" s="88"/>
    </row>
    <row r="398">
      <c r="B398" s="31"/>
      <c r="D398" s="31"/>
      <c r="E398" s="8" t="s">
        <v>8</v>
      </c>
      <c r="F398" s="88"/>
      <c r="G398" s="88"/>
    </row>
    <row r="399">
      <c r="B399" s="31"/>
      <c r="D399" s="31"/>
      <c r="E399" s="8" t="s">
        <v>8</v>
      </c>
      <c r="F399" s="88"/>
      <c r="G399" s="88"/>
    </row>
    <row r="400">
      <c r="B400" s="31"/>
      <c r="D400" s="31"/>
      <c r="E400" s="8" t="s">
        <v>8</v>
      </c>
      <c r="F400" s="88"/>
      <c r="G400" s="88"/>
    </row>
    <row r="401">
      <c r="B401" s="31"/>
      <c r="D401" s="31"/>
      <c r="E401" s="8" t="s">
        <v>8</v>
      </c>
      <c r="F401" s="88"/>
      <c r="G401" s="88"/>
    </row>
    <row r="402">
      <c r="B402" s="31"/>
      <c r="D402" s="31"/>
      <c r="E402" s="8" t="s">
        <v>8</v>
      </c>
      <c r="F402" s="88"/>
      <c r="G402" s="88"/>
    </row>
    <row r="403">
      <c r="B403" s="31"/>
      <c r="D403" s="31"/>
      <c r="E403" s="8" t="s">
        <v>8</v>
      </c>
      <c r="F403" s="88"/>
      <c r="G403" s="88"/>
    </row>
    <row r="404">
      <c r="B404" s="31"/>
      <c r="D404" s="31"/>
      <c r="E404" s="8" t="s">
        <v>8</v>
      </c>
      <c r="F404" s="88"/>
      <c r="G404" s="88"/>
    </row>
    <row r="405">
      <c r="B405" s="31"/>
      <c r="D405" s="31"/>
      <c r="E405" s="8" t="s">
        <v>8</v>
      </c>
      <c r="F405" s="88"/>
      <c r="G405" s="88"/>
    </row>
    <row r="406">
      <c r="B406" s="31"/>
      <c r="D406" s="31"/>
      <c r="E406" s="8" t="s">
        <v>8</v>
      </c>
      <c r="F406" s="88"/>
      <c r="G406" s="88"/>
    </row>
    <row r="407">
      <c r="B407" s="31"/>
      <c r="D407" s="31"/>
      <c r="E407" s="8" t="s">
        <v>8</v>
      </c>
      <c r="F407" s="88"/>
      <c r="G407" s="88"/>
    </row>
    <row r="408">
      <c r="B408" s="31"/>
      <c r="D408" s="31"/>
      <c r="E408" s="8" t="s">
        <v>8</v>
      </c>
      <c r="F408" s="88"/>
      <c r="G408" s="88"/>
    </row>
    <row r="409">
      <c r="B409" s="31"/>
      <c r="D409" s="31"/>
      <c r="E409" s="8" t="s">
        <v>8</v>
      </c>
      <c r="F409" s="88"/>
      <c r="G409" s="88"/>
    </row>
    <row r="410">
      <c r="B410" s="31"/>
      <c r="D410" s="31"/>
      <c r="E410" s="8" t="s">
        <v>8</v>
      </c>
      <c r="F410" s="88"/>
      <c r="G410" s="88"/>
    </row>
    <row r="411">
      <c r="B411" s="31"/>
      <c r="D411" s="31"/>
      <c r="E411" s="8" t="s">
        <v>8</v>
      </c>
      <c r="F411" s="88"/>
      <c r="G411" s="88"/>
    </row>
    <row r="412">
      <c r="B412" s="31"/>
      <c r="D412" s="31"/>
      <c r="E412" s="8" t="s">
        <v>8</v>
      </c>
      <c r="F412" s="88"/>
      <c r="G412" s="88"/>
    </row>
    <row r="413">
      <c r="B413" s="31"/>
      <c r="D413" s="31"/>
      <c r="E413" s="8" t="s">
        <v>8</v>
      </c>
      <c r="F413" s="88"/>
      <c r="G413" s="88"/>
    </row>
    <row r="414">
      <c r="B414" s="31"/>
      <c r="D414" s="31"/>
      <c r="E414" s="8" t="s">
        <v>8</v>
      </c>
      <c r="F414" s="88"/>
      <c r="G414" s="88"/>
    </row>
    <row r="415">
      <c r="B415" s="31"/>
      <c r="D415" s="31"/>
      <c r="E415" s="8" t="s">
        <v>8</v>
      </c>
      <c r="F415" s="88"/>
      <c r="G415" s="88"/>
    </row>
    <row r="416">
      <c r="B416" s="31"/>
      <c r="D416" s="31"/>
      <c r="E416" s="8" t="s">
        <v>8</v>
      </c>
      <c r="F416" s="88"/>
      <c r="G416" s="88"/>
    </row>
    <row r="417">
      <c r="B417" s="31"/>
      <c r="D417" s="31"/>
      <c r="E417" s="8" t="s">
        <v>8</v>
      </c>
      <c r="F417" s="88"/>
      <c r="G417" s="88"/>
    </row>
    <row r="418">
      <c r="B418" s="31"/>
      <c r="D418" s="31"/>
      <c r="E418" s="8" t="s">
        <v>8</v>
      </c>
      <c r="F418" s="88"/>
      <c r="G418" s="88"/>
    </row>
    <row r="419">
      <c r="B419" s="31"/>
      <c r="D419" s="31"/>
      <c r="E419" s="8" t="s">
        <v>8</v>
      </c>
      <c r="F419" s="88"/>
      <c r="G419" s="88"/>
    </row>
    <row r="420">
      <c r="B420" s="31"/>
      <c r="D420" s="31"/>
      <c r="E420" s="8" t="s">
        <v>8</v>
      </c>
      <c r="F420" s="88"/>
      <c r="G420" s="88"/>
    </row>
    <row r="421">
      <c r="B421" s="31"/>
      <c r="D421" s="31"/>
      <c r="E421" s="8" t="s">
        <v>8</v>
      </c>
      <c r="F421" s="88"/>
      <c r="G421" s="88"/>
    </row>
    <row r="422">
      <c r="B422" s="31"/>
      <c r="D422" s="31"/>
      <c r="E422" s="8" t="s">
        <v>8</v>
      </c>
      <c r="F422" s="88"/>
      <c r="G422" s="88"/>
    </row>
    <row r="423">
      <c r="B423" s="31"/>
      <c r="D423" s="31"/>
      <c r="E423" s="8" t="s">
        <v>8</v>
      </c>
      <c r="F423" s="88"/>
      <c r="G423" s="88"/>
    </row>
    <row r="424">
      <c r="B424" s="31"/>
      <c r="D424" s="31"/>
      <c r="E424" s="8" t="s">
        <v>8</v>
      </c>
      <c r="F424" s="88"/>
      <c r="G424" s="88"/>
    </row>
    <row r="425">
      <c r="B425" s="31"/>
      <c r="D425" s="31"/>
      <c r="E425" s="8" t="s">
        <v>8</v>
      </c>
      <c r="F425" s="88"/>
      <c r="G425" s="88"/>
    </row>
    <row r="426">
      <c r="B426" s="31"/>
      <c r="D426" s="31"/>
      <c r="E426" s="8" t="s">
        <v>8</v>
      </c>
      <c r="F426" s="88"/>
      <c r="G426" s="88"/>
    </row>
    <row r="427">
      <c r="B427" s="31"/>
      <c r="D427" s="31"/>
      <c r="E427" s="8" t="s">
        <v>8</v>
      </c>
      <c r="F427" s="88"/>
      <c r="G427" s="88"/>
    </row>
    <row r="428">
      <c r="B428" s="31"/>
      <c r="D428" s="31"/>
      <c r="E428" s="8" t="s">
        <v>8</v>
      </c>
      <c r="F428" s="88"/>
      <c r="G428" s="88"/>
    </row>
    <row r="429">
      <c r="B429" s="31"/>
      <c r="D429" s="31"/>
      <c r="E429" s="8" t="s">
        <v>8</v>
      </c>
      <c r="F429" s="88"/>
      <c r="G429" s="88"/>
    </row>
    <row r="430">
      <c r="B430" s="31"/>
      <c r="D430" s="31"/>
      <c r="E430" s="8" t="s">
        <v>8</v>
      </c>
      <c r="F430" s="88"/>
      <c r="G430" s="88"/>
    </row>
    <row r="431">
      <c r="B431" s="31"/>
      <c r="D431" s="31"/>
      <c r="E431" s="8" t="s">
        <v>8</v>
      </c>
      <c r="F431" s="88"/>
      <c r="G431" s="88"/>
    </row>
    <row r="432">
      <c r="B432" s="31"/>
      <c r="D432" s="31"/>
      <c r="E432" s="8" t="s">
        <v>8</v>
      </c>
      <c r="F432" s="88"/>
      <c r="G432" s="88"/>
    </row>
    <row r="433">
      <c r="B433" s="31"/>
      <c r="D433" s="31"/>
      <c r="E433" s="8" t="s">
        <v>8</v>
      </c>
      <c r="F433" s="88"/>
      <c r="G433" s="88"/>
    </row>
    <row r="434">
      <c r="B434" s="31"/>
      <c r="D434" s="31"/>
      <c r="E434" s="8" t="s">
        <v>8</v>
      </c>
      <c r="F434" s="88"/>
      <c r="G434" s="88"/>
    </row>
    <row r="435">
      <c r="B435" s="31"/>
      <c r="D435" s="31"/>
      <c r="E435" s="8" t="s">
        <v>8</v>
      </c>
      <c r="F435" s="88"/>
      <c r="G435" s="88"/>
    </row>
    <row r="436">
      <c r="B436" s="31"/>
      <c r="D436" s="31"/>
      <c r="E436" s="8" t="s">
        <v>8</v>
      </c>
      <c r="F436" s="88"/>
      <c r="G436" s="88"/>
    </row>
    <row r="437">
      <c r="B437" s="31"/>
      <c r="D437" s="31"/>
      <c r="E437" s="8" t="s">
        <v>8</v>
      </c>
      <c r="F437" s="88"/>
      <c r="G437" s="88"/>
    </row>
    <row r="438">
      <c r="B438" s="31"/>
      <c r="D438" s="31"/>
      <c r="E438" s="8" t="s">
        <v>8</v>
      </c>
      <c r="F438" s="88"/>
      <c r="G438" s="88"/>
    </row>
    <row r="439">
      <c r="B439" s="31"/>
      <c r="D439" s="31"/>
      <c r="E439" s="8" t="s">
        <v>8</v>
      </c>
      <c r="F439" s="88"/>
      <c r="G439" s="88"/>
    </row>
    <row r="440">
      <c r="B440" s="31"/>
      <c r="D440" s="31"/>
      <c r="E440" s="8" t="s">
        <v>8</v>
      </c>
      <c r="F440" s="88"/>
      <c r="G440" s="88"/>
    </row>
    <row r="441">
      <c r="B441" s="31"/>
      <c r="D441" s="31"/>
      <c r="E441" s="8" t="s">
        <v>8</v>
      </c>
      <c r="F441" s="88"/>
      <c r="G441" s="88"/>
    </row>
    <row r="442">
      <c r="B442" s="31"/>
      <c r="D442" s="31"/>
      <c r="E442" s="8" t="s">
        <v>8</v>
      </c>
      <c r="F442" s="88"/>
      <c r="G442" s="88"/>
    </row>
    <row r="443">
      <c r="B443" s="31"/>
      <c r="D443" s="31"/>
      <c r="E443" s="8" t="s">
        <v>8</v>
      </c>
      <c r="F443" s="88"/>
      <c r="G443" s="88"/>
    </row>
    <row r="444">
      <c r="B444" s="31"/>
      <c r="D444" s="31"/>
      <c r="E444" s="8" t="s">
        <v>8</v>
      </c>
      <c r="F444" s="88"/>
      <c r="G444" s="88"/>
    </row>
    <row r="445">
      <c r="B445" s="31"/>
      <c r="D445" s="31"/>
      <c r="E445" s="8" t="s">
        <v>8</v>
      </c>
      <c r="F445" s="88"/>
      <c r="G445" s="88"/>
    </row>
    <row r="446">
      <c r="B446" s="31"/>
      <c r="D446" s="31"/>
      <c r="E446" s="8" t="s">
        <v>8</v>
      </c>
      <c r="F446" s="88"/>
      <c r="G446" s="88"/>
    </row>
    <row r="447">
      <c r="B447" s="31"/>
      <c r="D447" s="31"/>
      <c r="E447" s="8" t="s">
        <v>8</v>
      </c>
      <c r="F447" s="88"/>
      <c r="G447" s="88"/>
    </row>
    <row r="448">
      <c r="B448" s="31"/>
      <c r="D448" s="31"/>
      <c r="E448" s="8" t="s">
        <v>8</v>
      </c>
      <c r="F448" s="88"/>
      <c r="G448" s="88"/>
    </row>
    <row r="449">
      <c r="B449" s="31"/>
      <c r="D449" s="31"/>
      <c r="E449" s="8" t="s">
        <v>8</v>
      </c>
      <c r="F449" s="88"/>
      <c r="G449" s="88"/>
    </row>
    <row r="450">
      <c r="B450" s="31"/>
      <c r="D450" s="31"/>
      <c r="E450" s="8" t="s">
        <v>8</v>
      </c>
      <c r="F450" s="88"/>
      <c r="G450" s="88"/>
    </row>
    <row r="451">
      <c r="B451" s="31"/>
      <c r="D451" s="31"/>
      <c r="E451" s="8" t="s">
        <v>8</v>
      </c>
      <c r="F451" s="88"/>
      <c r="G451" s="88"/>
    </row>
    <row r="452">
      <c r="B452" s="31"/>
      <c r="D452" s="31"/>
      <c r="E452" s="8" t="s">
        <v>8</v>
      </c>
      <c r="F452" s="88"/>
      <c r="G452" s="88"/>
    </row>
    <row r="453">
      <c r="B453" s="31"/>
      <c r="D453" s="31"/>
      <c r="E453" s="8" t="s">
        <v>8</v>
      </c>
      <c r="F453" s="88"/>
      <c r="G453" s="88"/>
    </row>
    <row r="454">
      <c r="B454" s="31"/>
      <c r="D454" s="31"/>
      <c r="E454" s="8" t="s">
        <v>8</v>
      </c>
      <c r="F454" s="88"/>
      <c r="G454" s="88"/>
    </row>
    <row r="455">
      <c r="B455" s="31"/>
      <c r="D455" s="31"/>
      <c r="E455" s="8" t="s">
        <v>8</v>
      </c>
      <c r="F455" s="88"/>
      <c r="G455" s="88"/>
    </row>
    <row r="456">
      <c r="B456" s="31"/>
      <c r="D456" s="31"/>
      <c r="E456" s="8" t="s">
        <v>8</v>
      </c>
      <c r="F456" s="88"/>
      <c r="G456" s="88"/>
    </row>
    <row r="457">
      <c r="B457" s="31"/>
      <c r="D457" s="31"/>
      <c r="E457" s="8" t="s">
        <v>8</v>
      </c>
      <c r="F457" s="88"/>
      <c r="G457" s="88"/>
    </row>
    <row r="458">
      <c r="B458" s="31"/>
      <c r="D458" s="31"/>
      <c r="E458" s="8" t="s">
        <v>8</v>
      </c>
      <c r="F458" s="88"/>
      <c r="G458" s="88"/>
    </row>
    <row r="459">
      <c r="B459" s="31"/>
      <c r="D459" s="31"/>
      <c r="E459" s="8" t="s">
        <v>8</v>
      </c>
      <c r="F459" s="88"/>
      <c r="G459" s="88"/>
    </row>
    <row r="460">
      <c r="B460" s="31"/>
      <c r="D460" s="31"/>
      <c r="E460" s="8" t="s">
        <v>8</v>
      </c>
      <c r="F460" s="88"/>
      <c r="G460" s="88"/>
    </row>
    <row r="461">
      <c r="B461" s="31"/>
      <c r="D461" s="31"/>
      <c r="E461" s="8" t="s">
        <v>8</v>
      </c>
      <c r="F461" s="88"/>
      <c r="G461" s="88"/>
    </row>
    <row r="462">
      <c r="B462" s="31"/>
      <c r="D462" s="31"/>
      <c r="E462" s="8" t="s">
        <v>8</v>
      </c>
      <c r="F462" s="88"/>
      <c r="G462" s="88"/>
    </row>
    <row r="463">
      <c r="B463" s="31"/>
      <c r="D463" s="31"/>
      <c r="E463" s="8" t="s">
        <v>8</v>
      </c>
      <c r="F463" s="88"/>
      <c r="G463" s="88"/>
    </row>
    <row r="464">
      <c r="B464" s="31"/>
      <c r="D464" s="31"/>
      <c r="E464" s="8" t="s">
        <v>8</v>
      </c>
      <c r="F464" s="88"/>
      <c r="G464" s="88"/>
    </row>
    <row r="465">
      <c r="B465" s="31"/>
      <c r="D465" s="31"/>
      <c r="E465" s="8" t="s">
        <v>8</v>
      </c>
      <c r="F465" s="88"/>
      <c r="G465" s="88"/>
    </row>
    <row r="466">
      <c r="B466" s="31"/>
      <c r="D466" s="31"/>
      <c r="E466" s="8" t="s">
        <v>8</v>
      </c>
      <c r="F466" s="88"/>
      <c r="G466" s="88"/>
    </row>
    <row r="467">
      <c r="B467" s="31"/>
      <c r="D467" s="31"/>
      <c r="E467" s="8" t="s">
        <v>8</v>
      </c>
      <c r="F467" s="88"/>
      <c r="G467" s="88"/>
    </row>
    <row r="468">
      <c r="B468" s="31"/>
      <c r="D468" s="31"/>
      <c r="E468" s="8" t="s">
        <v>8</v>
      </c>
      <c r="F468" s="88"/>
      <c r="G468" s="88"/>
    </row>
    <row r="469">
      <c r="B469" s="31"/>
      <c r="D469" s="31"/>
      <c r="E469" s="8" t="s">
        <v>8</v>
      </c>
      <c r="F469" s="88"/>
      <c r="G469" s="88"/>
    </row>
    <row r="470">
      <c r="B470" s="31"/>
      <c r="D470" s="31"/>
      <c r="E470" s="8" t="s">
        <v>8</v>
      </c>
      <c r="F470" s="88"/>
      <c r="G470" s="88"/>
    </row>
    <row r="471">
      <c r="B471" s="31"/>
      <c r="D471" s="31"/>
      <c r="E471" s="8" t="s">
        <v>8</v>
      </c>
      <c r="F471" s="88"/>
      <c r="G471" s="88"/>
    </row>
    <row r="472">
      <c r="B472" s="31"/>
      <c r="D472" s="31"/>
      <c r="E472" s="8" t="s">
        <v>8</v>
      </c>
      <c r="F472" s="88"/>
      <c r="G472" s="88"/>
    </row>
    <row r="473">
      <c r="B473" s="31"/>
      <c r="D473" s="31"/>
      <c r="E473" s="8" t="s">
        <v>8</v>
      </c>
      <c r="F473" s="88"/>
      <c r="G473" s="88"/>
    </row>
    <row r="474">
      <c r="B474" s="31"/>
      <c r="D474" s="31"/>
      <c r="E474" s="8" t="s">
        <v>8</v>
      </c>
      <c r="F474" s="88"/>
      <c r="G474" s="88"/>
    </row>
    <row r="475">
      <c r="B475" s="31"/>
      <c r="D475" s="31"/>
      <c r="E475" s="8" t="s">
        <v>8</v>
      </c>
      <c r="F475" s="88"/>
      <c r="G475" s="88"/>
    </row>
    <row r="476">
      <c r="B476" s="31"/>
      <c r="D476" s="31"/>
      <c r="E476" s="8" t="s">
        <v>8</v>
      </c>
      <c r="F476" s="88"/>
      <c r="G476" s="88"/>
    </row>
    <row r="477">
      <c r="B477" s="31"/>
      <c r="D477" s="31"/>
      <c r="E477" s="8" t="s">
        <v>8</v>
      </c>
      <c r="F477" s="88"/>
      <c r="G477" s="88"/>
    </row>
    <row r="478">
      <c r="B478" s="31"/>
      <c r="D478" s="31"/>
      <c r="E478" s="8" t="s">
        <v>8</v>
      </c>
      <c r="F478" s="88"/>
      <c r="G478" s="88"/>
    </row>
    <row r="479">
      <c r="B479" s="31"/>
      <c r="D479" s="31"/>
      <c r="E479" s="8" t="s">
        <v>8</v>
      </c>
      <c r="F479" s="88"/>
      <c r="G479" s="88"/>
    </row>
    <row r="480">
      <c r="B480" s="31"/>
      <c r="D480" s="31"/>
      <c r="E480" s="8" t="s">
        <v>8</v>
      </c>
      <c r="F480" s="88"/>
      <c r="G480" s="88"/>
    </row>
    <row r="481">
      <c r="B481" s="31"/>
      <c r="D481" s="31"/>
      <c r="E481" s="8" t="s">
        <v>8</v>
      </c>
      <c r="F481" s="88"/>
      <c r="G481" s="88"/>
    </row>
    <row r="482">
      <c r="B482" s="31"/>
      <c r="D482" s="31"/>
      <c r="E482" s="8" t="s">
        <v>8</v>
      </c>
      <c r="F482" s="88"/>
      <c r="G482" s="88"/>
    </row>
    <row r="483">
      <c r="B483" s="31"/>
      <c r="D483" s="31"/>
      <c r="E483" s="8" t="s">
        <v>8</v>
      </c>
      <c r="F483" s="88"/>
      <c r="G483" s="88"/>
    </row>
    <row r="484">
      <c r="B484" s="31"/>
      <c r="D484" s="31"/>
      <c r="E484" s="8" t="s">
        <v>8</v>
      </c>
      <c r="F484" s="88"/>
      <c r="G484" s="88"/>
    </row>
    <row r="485">
      <c r="B485" s="31"/>
      <c r="D485" s="31"/>
      <c r="E485" s="8" t="s">
        <v>8</v>
      </c>
      <c r="F485" s="88"/>
      <c r="G485" s="88"/>
    </row>
    <row r="486">
      <c r="B486" s="31"/>
      <c r="D486" s="31"/>
      <c r="E486" s="8" t="s">
        <v>8</v>
      </c>
      <c r="F486" s="88"/>
      <c r="G486" s="88"/>
    </row>
    <row r="487">
      <c r="B487" s="31"/>
      <c r="D487" s="31"/>
      <c r="E487" s="8" t="s">
        <v>8</v>
      </c>
      <c r="F487" s="88"/>
      <c r="G487" s="88"/>
    </row>
    <row r="488">
      <c r="B488" s="31"/>
      <c r="D488" s="31"/>
      <c r="E488" s="8" t="s">
        <v>8</v>
      </c>
      <c r="F488" s="88"/>
      <c r="G488" s="88"/>
    </row>
    <row r="489">
      <c r="B489" s="31"/>
      <c r="D489" s="31"/>
      <c r="E489" s="8" t="s">
        <v>8</v>
      </c>
      <c r="F489" s="88"/>
      <c r="G489" s="88"/>
    </row>
    <row r="490">
      <c r="B490" s="31"/>
      <c r="D490" s="31"/>
      <c r="E490" s="8" t="s">
        <v>8</v>
      </c>
      <c r="F490" s="88"/>
      <c r="G490" s="88"/>
    </row>
    <row r="491">
      <c r="B491" s="31"/>
      <c r="D491" s="31"/>
      <c r="E491" s="8" t="s">
        <v>8</v>
      </c>
      <c r="F491" s="88"/>
      <c r="G491" s="88"/>
    </row>
    <row r="492">
      <c r="B492" s="31"/>
      <c r="D492" s="31"/>
      <c r="E492" s="8" t="s">
        <v>8</v>
      </c>
      <c r="F492" s="88"/>
      <c r="G492" s="88"/>
    </row>
    <row r="493">
      <c r="B493" s="31"/>
      <c r="D493" s="31"/>
      <c r="E493" s="8" t="s">
        <v>8</v>
      </c>
      <c r="F493" s="88"/>
      <c r="G493" s="88"/>
    </row>
    <row r="494">
      <c r="B494" s="31"/>
      <c r="D494" s="31"/>
      <c r="E494" s="8" t="s">
        <v>8</v>
      </c>
      <c r="F494" s="88"/>
      <c r="G494" s="88"/>
    </row>
    <row r="495">
      <c r="B495" s="31"/>
      <c r="D495" s="31"/>
      <c r="E495" s="8" t="s">
        <v>8</v>
      </c>
      <c r="F495" s="88"/>
      <c r="G495" s="88"/>
    </row>
    <row r="496">
      <c r="B496" s="31"/>
      <c r="D496" s="31"/>
      <c r="E496" s="8" t="s">
        <v>8</v>
      </c>
      <c r="F496" s="88"/>
      <c r="G496" s="88"/>
    </row>
    <row r="497">
      <c r="B497" s="31"/>
      <c r="D497" s="31"/>
      <c r="E497" s="8" t="s">
        <v>8</v>
      </c>
      <c r="F497" s="88"/>
      <c r="G497" s="88"/>
    </row>
    <row r="498">
      <c r="B498" s="31"/>
      <c r="D498" s="31"/>
      <c r="E498" s="8" t="s">
        <v>8</v>
      </c>
      <c r="F498" s="88"/>
      <c r="G498" s="88"/>
    </row>
    <row r="499">
      <c r="B499" s="31"/>
      <c r="D499" s="31"/>
      <c r="E499" s="8" t="s">
        <v>8</v>
      </c>
      <c r="F499" s="88"/>
      <c r="G499" s="88"/>
    </row>
    <row r="500">
      <c r="B500" s="31"/>
      <c r="D500" s="31"/>
      <c r="E500" s="8" t="s">
        <v>8</v>
      </c>
      <c r="F500" s="88"/>
      <c r="G500" s="8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3.13"/>
    <col customWidth="1" min="4" max="4" width="24.0"/>
    <col customWidth="1" min="6" max="11" width="5.5"/>
    <col customWidth="1" min="12" max="12" width="10.88"/>
    <col customWidth="1" min="13" max="15" width="20.5"/>
    <col customWidth="1" min="16" max="16" width="15.0"/>
  </cols>
  <sheetData>
    <row r="1">
      <c r="A1" s="12" t="s">
        <v>695</v>
      </c>
      <c r="B1" s="12" t="s">
        <v>299</v>
      </c>
      <c r="C1" s="12" t="s">
        <v>696</v>
      </c>
      <c r="D1" s="12" t="s">
        <v>697</v>
      </c>
      <c r="E1" s="134" t="s">
        <v>698</v>
      </c>
      <c r="F1" s="6" t="str">
        <f t="array" ref="F1:F4543">if(ROW(F:F)=1,"E1",if($B:$B="","",xlookup($B:$B,Students!$B:$B,Students!U:U)))</f>
        <v>E1</v>
      </c>
      <c r="G1" s="6" t="str">
        <f t="array" ref="G1:G4543">if(ROW(G:G)=1,"E2",if($B:$B="","",xlookup($B:$B,Students!$B:$B,Students!V:V)))</f>
        <v>E2</v>
      </c>
      <c r="H1" s="6" t="str">
        <f t="array" ref="H1:H4543">if(ROW(H:H)=1,"E3",if($B:$B="","",xlookup($B:$B,Students!$B:$B,Students!W:W)))</f>
        <v>E3</v>
      </c>
      <c r="I1" s="6" t="str">
        <f t="array" ref="I1:I4543">if(ROW(I:I)=1,"E4",if($B:$B="","",xlookup($B:$B,Students!$B:$B,Students!X:X)))</f>
        <v>E4</v>
      </c>
      <c r="J1" s="6" t="str">
        <f t="array" ref="J1:J4543">if(ROW(J:J)=1,"E5",if($B:$B="","",xlookup($B:$B,Students!$B:$B,Students!Y:Y)))</f>
        <v>E5</v>
      </c>
      <c r="K1" s="6" t="str">
        <f t="array" ref="K1:K4543">if(ROW(K:K)=1,"E6",if($B:$B="","",xlookup($B:$B,Students!$B:$B,Students!Z:Z)))</f>
        <v>E6</v>
      </c>
      <c r="L1" s="6" t="str">
        <f t="array" ref="L1:L4543">if(ROW(L:L)=1,"Scheduled",if(B:B="","",F:F+G:G+H:H+I:I+J:J+K:K))</f>
        <v>Scheduled</v>
      </c>
      <c r="M1" s="6"/>
      <c r="N1" s="6"/>
      <c r="O1" s="6" t="str">
        <f t="array" ref="O1:O4543">if(ROW(O:O)=1,"Course-Section",if(E:E="","",D:D&amp;"-"&amp;E:E))</f>
        <v>Course-Section</v>
      </c>
      <c r="P1" s="6" t="str">
        <f t="array" ref="P1:P4543">if(ROW(P:P)=1,"Total Sections",if(O:O="","",xlookup(D:D,'Total Groups'!A:A,'Total Groups'!B:B)))</f>
        <v>Total Sections</v>
      </c>
    </row>
    <row r="2">
      <c r="A2" s="132">
        <f>IFERROR(__xludf.DUMMYFUNCTION("{filter({Students!A2:C4543,Students!D2:D4543,Students!E2:E4543},Students!D2:D4543&lt;&gt;"""");
filter({Students!A2:C4543,Students!F2:F4543,Students!G2:G4543},Students!F2:F4543&lt;&gt;"""");
filter({Students!A2:C4543,Students!H2:H4543,Students!I2:I4543},Students!H2:H"&amp;"4543&lt;&gt;"""");
filter({Students!A2:C4543,Students!J2:J4543,Students!K2:K4543},Students!J2:J4543&lt;&gt;"""");
filter({Students!A2:C4543,Students!L2:L4543,Students!M2:M4543},Students!L2:L4543&lt;&gt;"""");
filter({Students!A2:C4543,Students!N2:N4543,Students!O2:O4543},S"&amp;"tudents!N2:N4543&lt;&gt;"""");
iferror(filter({Students!A2:C4543,Students!P2:P4543&amp;""S1"",Students!Q2:Q4543},Students!P2:P4543&lt;&gt;""""),{"""","""","""","""",""""});
iferror(filter({Students!A2:C4543,Students!R2:R4543&amp;""S2"",Students!S2:S4543},Students!R2:R4543&lt;&gt;"&amp;"""""),{"""","""","""","""",""""})
}"),6.0)</f>
        <v>6</v>
      </c>
      <c r="B2">
        <f>IFERROR(__xludf.DUMMYFUNCTION("""COMPUTED_VALUE"""),31002.0)</f>
        <v>31002</v>
      </c>
      <c r="C2" t="str">
        <f>IFERROR(__xludf.DUMMYFUNCTION("""COMPUTED_VALUE"""),"ACEVEDO ARANGO, VICENTE")</f>
        <v>ACEVEDO ARANGO, VICENTE</v>
      </c>
      <c r="D2" t="str">
        <f>IFERROR(__xludf.DUMMYFUNCTION("""COMPUTED_VALUE"""),"Science 6")</f>
        <v>Science 6</v>
      </c>
      <c r="E2" s="31">
        <f>IFERROR(__xludf.DUMMYFUNCTION("""COMPUTED_VALUE"""),6.0)</f>
        <v>6</v>
      </c>
      <c r="F2" s="8">
        <v>1.0</v>
      </c>
      <c r="G2" s="8">
        <v>1.0</v>
      </c>
      <c r="H2" s="8">
        <v>1.0</v>
      </c>
      <c r="I2" s="8">
        <v>1.0</v>
      </c>
      <c r="J2" s="8">
        <v>1.0</v>
      </c>
      <c r="K2" s="8">
        <v>1.0</v>
      </c>
      <c r="L2" s="8">
        <v>6.0</v>
      </c>
      <c r="M2" s="8"/>
      <c r="N2" s="8"/>
      <c r="O2" s="8" t="s">
        <v>699</v>
      </c>
      <c r="P2" s="8">
        <v>6.0</v>
      </c>
    </row>
    <row r="3">
      <c r="A3">
        <f>IFERROR(__xludf.DUMMYFUNCTION("""COMPUTED_VALUE"""),6.0)</f>
        <v>6</v>
      </c>
      <c r="B3">
        <f>IFERROR(__xludf.DUMMYFUNCTION("""COMPUTED_VALUE"""),31003.0)</f>
        <v>31003</v>
      </c>
      <c r="C3" t="str">
        <f>IFERROR(__xludf.DUMMYFUNCTION("""COMPUTED_VALUE"""),"AGUIRRE ARANGO, MARIA")</f>
        <v>AGUIRRE ARANGO, MARIA</v>
      </c>
      <c r="D3" t="str">
        <f>IFERROR(__xludf.DUMMYFUNCTION("""COMPUTED_VALUE"""),"Science 6")</f>
        <v>Science 6</v>
      </c>
      <c r="E3" s="31">
        <f>IFERROR(__xludf.DUMMYFUNCTION("""COMPUTED_VALUE"""),3.0)</f>
        <v>3</v>
      </c>
      <c r="F3" s="8">
        <v>1.0</v>
      </c>
      <c r="G3" s="8">
        <v>1.0</v>
      </c>
      <c r="H3" s="8">
        <v>1.0</v>
      </c>
      <c r="I3" s="8">
        <v>1.0</v>
      </c>
      <c r="J3" s="8">
        <v>1.0</v>
      </c>
      <c r="K3" s="8">
        <v>1.0</v>
      </c>
      <c r="L3" s="8">
        <v>6.0</v>
      </c>
      <c r="M3" s="8"/>
      <c r="N3" s="8"/>
      <c r="O3" s="8" t="s">
        <v>700</v>
      </c>
      <c r="P3" s="8">
        <v>6.0</v>
      </c>
    </row>
    <row r="4">
      <c r="A4">
        <f>IFERROR(__xludf.DUMMYFUNCTION("""COMPUTED_VALUE"""),6.0)</f>
        <v>6</v>
      </c>
      <c r="B4">
        <f>IFERROR(__xludf.DUMMYFUNCTION("""COMPUTED_VALUE"""),31004.0)</f>
        <v>31004</v>
      </c>
      <c r="C4" t="str">
        <f>IFERROR(__xludf.DUMMYFUNCTION("""COMPUTED_VALUE"""),"ALVAREZ RIVERA, SALVADOR")</f>
        <v>ALVAREZ RIVERA, SALVADOR</v>
      </c>
      <c r="D4" t="str">
        <f>IFERROR(__xludf.DUMMYFUNCTION("""COMPUTED_VALUE"""),"Science 6")</f>
        <v>Science 6</v>
      </c>
      <c r="E4" s="31">
        <f>IFERROR(__xludf.DUMMYFUNCTION("""COMPUTED_VALUE"""),4.0)</f>
        <v>4</v>
      </c>
      <c r="F4" s="8">
        <v>1.0</v>
      </c>
      <c r="G4" s="8">
        <v>1.0</v>
      </c>
      <c r="H4" s="8">
        <v>1.0</v>
      </c>
      <c r="I4" s="8">
        <v>1.0</v>
      </c>
      <c r="J4" s="8">
        <v>1.0</v>
      </c>
      <c r="K4" s="8">
        <v>1.0</v>
      </c>
      <c r="L4" s="8">
        <v>6.0</v>
      </c>
      <c r="M4" s="8"/>
      <c r="N4" s="8"/>
      <c r="O4" s="8" t="s">
        <v>701</v>
      </c>
      <c r="P4" s="8">
        <v>6.0</v>
      </c>
    </row>
    <row r="5">
      <c r="A5">
        <f>IFERROR(__xludf.DUMMYFUNCTION("""COMPUTED_VALUE"""),6.0)</f>
        <v>6</v>
      </c>
      <c r="B5">
        <f>IFERROR(__xludf.DUMMYFUNCTION("""COMPUTED_VALUE"""),31005.0)</f>
        <v>31005</v>
      </c>
      <c r="C5" t="str">
        <f>IFERROR(__xludf.DUMMYFUNCTION("""COMPUTED_VALUE"""),"ARANGO VILLA, MATIAS")</f>
        <v>ARANGO VILLA, MATIAS</v>
      </c>
      <c r="D5" t="str">
        <f>IFERROR(__xludf.DUMMYFUNCTION("""COMPUTED_VALUE"""),"Science 6")</f>
        <v>Science 6</v>
      </c>
      <c r="E5" s="31">
        <f>IFERROR(__xludf.DUMMYFUNCTION("""COMPUTED_VALUE"""),2.0)</f>
        <v>2</v>
      </c>
      <c r="F5" s="8">
        <v>1.0</v>
      </c>
      <c r="G5" s="8">
        <v>1.0</v>
      </c>
      <c r="H5" s="8">
        <v>1.0</v>
      </c>
      <c r="I5" s="8">
        <v>1.0</v>
      </c>
      <c r="J5" s="8">
        <v>1.0</v>
      </c>
      <c r="K5" s="8">
        <v>1.0</v>
      </c>
      <c r="L5" s="8">
        <v>6.0</v>
      </c>
      <c r="M5" s="8"/>
      <c r="N5" s="8"/>
      <c r="O5" s="8" t="s">
        <v>702</v>
      </c>
      <c r="P5" s="8">
        <v>6.0</v>
      </c>
    </row>
    <row r="6">
      <c r="A6">
        <f>IFERROR(__xludf.DUMMYFUNCTION("""COMPUTED_VALUE"""),6.0)</f>
        <v>6</v>
      </c>
      <c r="B6">
        <f>IFERROR(__xludf.DUMMYFUNCTION("""COMPUTED_VALUE"""),31151.0)</f>
        <v>31151</v>
      </c>
      <c r="C6" t="str">
        <f>IFERROR(__xludf.DUMMYFUNCTION("""COMPUTED_VALUE"""),"AREVALO RODRIGUEZ, MANUELA")</f>
        <v>AREVALO RODRIGUEZ, MANUELA</v>
      </c>
      <c r="D6" t="str">
        <f>IFERROR(__xludf.DUMMYFUNCTION("""COMPUTED_VALUE"""),"Science 6")</f>
        <v>Science 6</v>
      </c>
      <c r="E6" s="31">
        <f>IFERROR(__xludf.DUMMYFUNCTION("""COMPUTED_VALUE"""),3.0)</f>
        <v>3</v>
      </c>
      <c r="F6" s="8">
        <v>1.0</v>
      </c>
      <c r="G6" s="8">
        <v>1.0</v>
      </c>
      <c r="H6" s="8">
        <v>1.0</v>
      </c>
      <c r="I6" s="8">
        <v>1.0</v>
      </c>
      <c r="J6" s="8">
        <v>1.0</v>
      </c>
      <c r="K6" s="8">
        <v>1.0</v>
      </c>
      <c r="L6" s="8">
        <v>6.0</v>
      </c>
      <c r="M6" s="8"/>
      <c r="N6" s="8"/>
      <c r="O6" s="8" t="s">
        <v>700</v>
      </c>
      <c r="P6" s="8">
        <v>6.0</v>
      </c>
    </row>
    <row r="7">
      <c r="A7">
        <f>IFERROR(__xludf.DUMMYFUNCTION("""COMPUTED_VALUE"""),6.0)</f>
        <v>6</v>
      </c>
      <c r="B7">
        <f>IFERROR(__xludf.DUMMYFUNCTION("""COMPUTED_VALUE"""),31006.0)</f>
        <v>31006</v>
      </c>
      <c r="C7" t="str">
        <f>IFERROR(__xludf.DUMMYFUNCTION("""COMPUTED_VALUE"""),"ARIAS GARCIA, SALOMON")</f>
        <v>ARIAS GARCIA, SALOMON</v>
      </c>
      <c r="D7" t="str">
        <f>IFERROR(__xludf.DUMMYFUNCTION("""COMPUTED_VALUE"""),"Science 6")</f>
        <v>Science 6</v>
      </c>
      <c r="E7" s="31">
        <f>IFERROR(__xludf.DUMMYFUNCTION("""COMPUTED_VALUE"""),2.0)</f>
        <v>2</v>
      </c>
      <c r="F7" s="8">
        <v>1.0</v>
      </c>
      <c r="G7" s="8">
        <v>1.0</v>
      </c>
      <c r="H7" s="8">
        <v>1.0</v>
      </c>
      <c r="I7" s="8">
        <v>1.0</v>
      </c>
      <c r="J7" s="8">
        <v>1.0</v>
      </c>
      <c r="K7" s="8">
        <v>1.0</v>
      </c>
      <c r="L7" s="8">
        <v>6.0</v>
      </c>
      <c r="M7" s="8"/>
      <c r="N7" s="8"/>
      <c r="O7" s="8" t="s">
        <v>702</v>
      </c>
      <c r="P7" s="8">
        <v>6.0</v>
      </c>
    </row>
    <row r="8">
      <c r="A8">
        <f>IFERROR(__xludf.DUMMYFUNCTION("""COMPUTED_VALUE"""),6.0)</f>
        <v>6</v>
      </c>
      <c r="B8">
        <f>IFERROR(__xludf.DUMMYFUNCTION("""COMPUTED_VALUE"""),31007.0)</f>
        <v>31007</v>
      </c>
      <c r="C8" t="str">
        <f>IFERROR(__xludf.DUMMYFUNCTION("""COMPUTED_VALUE"""),"ARISTIZABAL SOTO, EMILIO")</f>
        <v>ARISTIZABAL SOTO, EMILIO</v>
      </c>
      <c r="D8" t="str">
        <f>IFERROR(__xludf.DUMMYFUNCTION("""COMPUTED_VALUE"""),"Science 6")</f>
        <v>Science 6</v>
      </c>
      <c r="E8" s="31">
        <f>IFERROR(__xludf.DUMMYFUNCTION("""COMPUTED_VALUE"""),4.0)</f>
        <v>4</v>
      </c>
      <c r="F8" s="8">
        <v>1.0</v>
      </c>
      <c r="G8" s="8">
        <v>1.0</v>
      </c>
      <c r="H8" s="8">
        <v>1.0</v>
      </c>
      <c r="I8" s="8">
        <v>1.0</v>
      </c>
      <c r="J8" s="8">
        <v>1.0</v>
      </c>
      <c r="K8" s="8">
        <v>1.0</v>
      </c>
      <c r="L8" s="8">
        <v>6.0</v>
      </c>
      <c r="M8" s="8"/>
      <c r="N8" s="8"/>
      <c r="O8" s="8" t="s">
        <v>701</v>
      </c>
      <c r="P8" s="8">
        <v>6.0</v>
      </c>
    </row>
    <row r="9">
      <c r="A9">
        <f>IFERROR(__xludf.DUMMYFUNCTION("""COMPUTED_VALUE"""),6.0)</f>
        <v>6</v>
      </c>
      <c r="B9">
        <f>IFERROR(__xludf.DUMMYFUNCTION("""COMPUTED_VALUE"""),31008.0)</f>
        <v>31008</v>
      </c>
      <c r="C9" t="str">
        <f>IFERROR(__xludf.DUMMYFUNCTION("""COMPUTED_VALUE"""),"ARROYAVE LONDOÑO, MIGUEL")</f>
        <v>ARROYAVE LONDOÑO, MIGUEL</v>
      </c>
      <c r="D9" t="str">
        <f>IFERROR(__xludf.DUMMYFUNCTION("""COMPUTED_VALUE"""),"Science 6")</f>
        <v>Science 6</v>
      </c>
      <c r="E9" s="31">
        <f>IFERROR(__xludf.DUMMYFUNCTION("""COMPUTED_VALUE"""),2.0)</f>
        <v>2</v>
      </c>
      <c r="F9" s="8">
        <v>1.0</v>
      </c>
      <c r="G9" s="8">
        <v>1.0</v>
      </c>
      <c r="H9" s="8">
        <v>1.0</v>
      </c>
      <c r="I9" s="8">
        <v>1.0</v>
      </c>
      <c r="J9" s="8">
        <v>1.0</v>
      </c>
      <c r="K9" s="8">
        <v>1.0</v>
      </c>
      <c r="L9" s="8">
        <v>6.0</v>
      </c>
      <c r="M9" s="8"/>
      <c r="N9" s="8"/>
      <c r="O9" s="8" t="s">
        <v>702</v>
      </c>
      <c r="P9" s="8">
        <v>6.0</v>
      </c>
    </row>
    <row r="10">
      <c r="A10">
        <f>IFERROR(__xludf.DUMMYFUNCTION("""COMPUTED_VALUE"""),6.0)</f>
        <v>6</v>
      </c>
      <c r="B10">
        <f>IFERROR(__xludf.DUMMYFUNCTION("""COMPUTED_VALUE"""),31009.0)</f>
        <v>31009</v>
      </c>
      <c r="C10" t="str">
        <f>IFERROR(__xludf.DUMMYFUNCTION("""COMPUTED_VALUE"""),"ARROYAVE SIERRA, RAFAEL")</f>
        <v>ARROYAVE SIERRA, RAFAEL</v>
      </c>
      <c r="D10" t="str">
        <f>IFERROR(__xludf.DUMMYFUNCTION("""COMPUTED_VALUE"""),"Science 6")</f>
        <v>Science 6</v>
      </c>
      <c r="E10" s="31">
        <f>IFERROR(__xludf.DUMMYFUNCTION("""COMPUTED_VALUE"""),5.0)</f>
        <v>5</v>
      </c>
      <c r="F10" s="8">
        <v>1.0</v>
      </c>
      <c r="G10" s="8">
        <v>1.0</v>
      </c>
      <c r="H10" s="8">
        <v>1.0</v>
      </c>
      <c r="I10" s="8">
        <v>1.0</v>
      </c>
      <c r="J10" s="8">
        <v>1.0</v>
      </c>
      <c r="K10" s="8">
        <v>1.0</v>
      </c>
      <c r="L10" s="8">
        <v>6.0</v>
      </c>
      <c r="M10" s="8"/>
      <c r="N10" s="8"/>
      <c r="O10" s="8" t="s">
        <v>703</v>
      </c>
      <c r="P10" s="8">
        <v>6.0</v>
      </c>
    </row>
    <row r="11">
      <c r="A11">
        <f>IFERROR(__xludf.DUMMYFUNCTION("""COMPUTED_VALUE"""),6.0)</f>
        <v>6</v>
      </c>
      <c r="B11">
        <f>IFERROR(__xludf.DUMMYFUNCTION("""COMPUTED_VALUE"""),31010.0)</f>
        <v>31010</v>
      </c>
      <c r="C11" t="str">
        <f>IFERROR(__xludf.DUMMYFUNCTION("""COMPUTED_VALUE"""),"BARRERA CAMPIS, VALENTINA")</f>
        <v>BARRERA CAMPIS, VALENTINA</v>
      </c>
      <c r="D11" t="str">
        <f>IFERROR(__xludf.DUMMYFUNCTION("""COMPUTED_VALUE"""),"Science 6A")</f>
        <v>Science 6A</v>
      </c>
      <c r="E11" s="31">
        <f>IFERROR(__xludf.DUMMYFUNCTION("""COMPUTED_VALUE"""),3.0)</f>
        <v>3</v>
      </c>
      <c r="F11" s="8">
        <v>1.0</v>
      </c>
      <c r="G11" s="8">
        <v>1.0</v>
      </c>
      <c r="H11" s="8">
        <v>1.0</v>
      </c>
      <c r="I11" s="8">
        <v>1.0</v>
      </c>
      <c r="J11" s="8">
        <v>1.0</v>
      </c>
      <c r="K11" s="8">
        <v>1.0</v>
      </c>
      <c r="L11" s="8">
        <v>6.0</v>
      </c>
      <c r="M11" s="8"/>
      <c r="N11" s="8"/>
      <c r="O11" s="8" t="s">
        <v>704</v>
      </c>
      <c r="P11" s="8" t="e">
        <v>#N/A</v>
      </c>
    </row>
    <row r="12">
      <c r="A12">
        <f>IFERROR(__xludf.DUMMYFUNCTION("""COMPUTED_VALUE"""),6.0)</f>
        <v>6</v>
      </c>
      <c r="B12">
        <f>IFERROR(__xludf.DUMMYFUNCTION("""COMPUTED_VALUE"""),31011.0)</f>
        <v>31011</v>
      </c>
      <c r="C12" t="str">
        <f>IFERROR(__xludf.DUMMYFUNCTION("""COMPUTED_VALUE"""),"BARRERA TORO, LORENZO")</f>
        <v>BARRERA TORO, LORENZO</v>
      </c>
      <c r="D12" t="str">
        <f>IFERROR(__xludf.DUMMYFUNCTION("""COMPUTED_VALUE"""),"Science 6")</f>
        <v>Science 6</v>
      </c>
      <c r="E12" s="31">
        <f>IFERROR(__xludf.DUMMYFUNCTION("""COMPUTED_VALUE"""),6.0)</f>
        <v>6</v>
      </c>
      <c r="F12" s="8">
        <v>1.0</v>
      </c>
      <c r="G12" s="8">
        <v>1.0</v>
      </c>
      <c r="H12" s="8">
        <v>1.0</v>
      </c>
      <c r="I12" s="8">
        <v>1.0</v>
      </c>
      <c r="J12" s="8">
        <v>1.0</v>
      </c>
      <c r="K12" s="8">
        <v>1.0</v>
      </c>
      <c r="L12" s="8">
        <v>6.0</v>
      </c>
      <c r="M12" s="8"/>
      <c r="N12" s="8"/>
      <c r="O12" s="8" t="s">
        <v>699</v>
      </c>
      <c r="P12" s="8">
        <v>6.0</v>
      </c>
    </row>
    <row r="13">
      <c r="A13">
        <f>IFERROR(__xludf.DUMMYFUNCTION("""COMPUTED_VALUE"""),6.0)</f>
        <v>6</v>
      </c>
      <c r="B13">
        <f>IFERROR(__xludf.DUMMYFUNCTION("""COMPUTED_VALUE"""),31012.0)</f>
        <v>31012</v>
      </c>
      <c r="C13" t="str">
        <f>IFERROR(__xludf.DUMMYFUNCTION("""COMPUTED_VALUE"""),"BARTOLINI VELEZ, LORENZO")</f>
        <v>BARTOLINI VELEZ, LORENZO</v>
      </c>
      <c r="D13" t="str">
        <f>IFERROR(__xludf.DUMMYFUNCTION("""COMPUTED_VALUE"""),"Science 6A")</f>
        <v>Science 6A</v>
      </c>
      <c r="E13" s="31">
        <f>IFERROR(__xludf.DUMMYFUNCTION("""COMPUTED_VALUE"""),3.0)</f>
        <v>3</v>
      </c>
      <c r="F13" s="8">
        <v>1.0</v>
      </c>
      <c r="G13" s="8">
        <v>1.0</v>
      </c>
      <c r="H13" s="8">
        <v>1.0</v>
      </c>
      <c r="I13" s="8">
        <v>1.0</v>
      </c>
      <c r="J13" s="8">
        <v>1.0</v>
      </c>
      <c r="K13" s="8">
        <v>1.0</v>
      </c>
      <c r="L13" s="8">
        <v>6.0</v>
      </c>
      <c r="M13" s="8"/>
      <c r="N13" s="8"/>
      <c r="O13" s="8" t="s">
        <v>704</v>
      </c>
      <c r="P13" s="8" t="e">
        <v>#N/A</v>
      </c>
    </row>
    <row r="14">
      <c r="A14">
        <f>IFERROR(__xludf.DUMMYFUNCTION("""COMPUTED_VALUE"""),6.0)</f>
        <v>6</v>
      </c>
      <c r="B14">
        <f>IFERROR(__xludf.DUMMYFUNCTION("""COMPUTED_VALUE"""),31013.0)</f>
        <v>31013</v>
      </c>
      <c r="C14" t="str">
        <f>IFERROR(__xludf.DUMMYFUNCTION("""COMPUTED_VALUE"""),"BASTIDAS MEJIA, JUAN JOSE")</f>
        <v>BASTIDAS MEJIA, JUAN JOSE</v>
      </c>
      <c r="D14" t="str">
        <f>IFERROR(__xludf.DUMMYFUNCTION("""COMPUTED_VALUE"""),"Science 6")</f>
        <v>Science 6</v>
      </c>
      <c r="E14" s="31">
        <f>IFERROR(__xludf.DUMMYFUNCTION("""COMPUTED_VALUE"""),2.0)</f>
        <v>2</v>
      </c>
      <c r="F14" s="8">
        <v>1.0</v>
      </c>
      <c r="G14" s="8">
        <v>1.0</v>
      </c>
      <c r="H14" s="8">
        <v>1.0</v>
      </c>
      <c r="I14" s="8">
        <v>1.0</v>
      </c>
      <c r="J14" s="8">
        <v>1.0</v>
      </c>
      <c r="K14" s="8">
        <v>1.0</v>
      </c>
      <c r="L14" s="8">
        <v>6.0</v>
      </c>
      <c r="M14" s="8"/>
      <c r="N14" s="8"/>
      <c r="O14" s="8" t="s">
        <v>702</v>
      </c>
      <c r="P14" s="8">
        <v>6.0</v>
      </c>
    </row>
    <row r="15">
      <c r="A15">
        <f>IFERROR(__xludf.DUMMYFUNCTION("""COMPUTED_VALUE"""),6.0)</f>
        <v>6</v>
      </c>
      <c r="B15">
        <f>IFERROR(__xludf.DUMMYFUNCTION("""COMPUTED_VALUE"""),31014.0)</f>
        <v>31014</v>
      </c>
      <c r="C15" t="str">
        <f>IFERROR(__xludf.DUMMYFUNCTION("""COMPUTED_VALUE"""),"BETANCUR PENAGOS, AGUSTIN")</f>
        <v>BETANCUR PENAGOS, AGUSTIN</v>
      </c>
      <c r="D15" t="str">
        <f>IFERROR(__xludf.DUMMYFUNCTION("""COMPUTED_VALUE"""),"Science 6")</f>
        <v>Science 6</v>
      </c>
      <c r="E15" s="31">
        <f>IFERROR(__xludf.DUMMYFUNCTION("""COMPUTED_VALUE"""),4.0)</f>
        <v>4</v>
      </c>
      <c r="F15" s="8">
        <v>1.0</v>
      </c>
      <c r="G15" s="8">
        <v>1.0</v>
      </c>
      <c r="H15" s="8">
        <v>1.0</v>
      </c>
      <c r="I15" s="8">
        <v>1.0</v>
      </c>
      <c r="J15" s="8">
        <v>1.0</v>
      </c>
      <c r="K15" s="8">
        <v>1.0</v>
      </c>
      <c r="L15" s="8">
        <v>6.0</v>
      </c>
      <c r="M15" s="8"/>
      <c r="N15" s="8"/>
      <c r="O15" s="8" t="s">
        <v>701</v>
      </c>
      <c r="P15" s="8">
        <v>6.0</v>
      </c>
    </row>
    <row r="16">
      <c r="A16">
        <f>IFERROR(__xludf.DUMMYFUNCTION("""COMPUTED_VALUE"""),6.0)</f>
        <v>6</v>
      </c>
      <c r="B16">
        <f>IFERROR(__xludf.DUMMYFUNCTION("""COMPUTED_VALUE"""),31015.0)</f>
        <v>31015</v>
      </c>
      <c r="C16" t="str">
        <f>IFERROR(__xludf.DUMMYFUNCTION("""COMPUTED_VALUE"""),"BETANCUR PENAGOS, LORENZO")</f>
        <v>BETANCUR PENAGOS, LORENZO</v>
      </c>
      <c r="D16" t="str">
        <f>IFERROR(__xludf.DUMMYFUNCTION("""COMPUTED_VALUE"""),"Science 6")</f>
        <v>Science 6</v>
      </c>
      <c r="E16" s="31">
        <f>IFERROR(__xludf.DUMMYFUNCTION("""COMPUTED_VALUE"""),2.0)</f>
        <v>2</v>
      </c>
      <c r="F16" s="8">
        <v>1.0</v>
      </c>
      <c r="G16" s="8">
        <v>1.0</v>
      </c>
      <c r="H16" s="8">
        <v>1.0</v>
      </c>
      <c r="I16" s="8">
        <v>1.0</v>
      </c>
      <c r="J16" s="8">
        <v>1.0</v>
      </c>
      <c r="K16" s="8">
        <v>1.0</v>
      </c>
      <c r="L16" s="8">
        <v>6.0</v>
      </c>
      <c r="M16" s="8"/>
      <c r="N16" s="8"/>
      <c r="O16" s="8" t="s">
        <v>702</v>
      </c>
      <c r="P16" s="8">
        <v>6.0</v>
      </c>
    </row>
    <row r="17">
      <c r="A17">
        <f>IFERROR(__xludf.DUMMYFUNCTION("""COMPUTED_VALUE"""),6.0)</f>
        <v>6</v>
      </c>
      <c r="B17">
        <f>IFERROR(__xludf.DUMMYFUNCTION("""COMPUTED_VALUE"""),31016.0)</f>
        <v>31016</v>
      </c>
      <c r="C17" t="str">
        <f>IFERROR(__xludf.DUMMYFUNCTION("""COMPUTED_VALUE"""),"BETANCUR ROBLEDO, VICENTE")</f>
        <v>BETANCUR ROBLEDO, VICENTE</v>
      </c>
      <c r="D17" t="str">
        <f>IFERROR(__xludf.DUMMYFUNCTION("""COMPUTED_VALUE"""),"Science 6A")</f>
        <v>Science 6A</v>
      </c>
      <c r="E17" s="31">
        <f>IFERROR(__xludf.DUMMYFUNCTION("""COMPUTED_VALUE"""),3.0)</f>
        <v>3</v>
      </c>
      <c r="F17" s="8">
        <v>1.0</v>
      </c>
      <c r="G17" s="8">
        <v>1.0</v>
      </c>
      <c r="H17" s="8">
        <v>1.0</v>
      </c>
      <c r="I17" s="8">
        <v>1.0</v>
      </c>
      <c r="J17" s="8">
        <v>1.0</v>
      </c>
      <c r="K17" s="8">
        <v>1.0</v>
      </c>
      <c r="L17" s="8">
        <v>6.0</v>
      </c>
      <c r="M17" s="8"/>
      <c r="N17" s="8"/>
      <c r="O17" s="8" t="s">
        <v>704</v>
      </c>
      <c r="P17" s="8" t="e">
        <v>#N/A</v>
      </c>
    </row>
    <row r="18">
      <c r="A18">
        <f>IFERROR(__xludf.DUMMYFUNCTION("""COMPUTED_VALUE"""),6.0)</f>
        <v>6</v>
      </c>
      <c r="B18">
        <f>IFERROR(__xludf.DUMMYFUNCTION("""COMPUTED_VALUE"""),31166.0)</f>
        <v>31166</v>
      </c>
      <c r="C18" t="str">
        <f>IFERROR(__xludf.DUMMYFUNCTION("""COMPUTED_VALUE"""),"BISHOP, XAVIER PATRICK")</f>
        <v>BISHOP, XAVIER PATRICK</v>
      </c>
      <c r="D18" t="str">
        <f>IFERROR(__xludf.DUMMYFUNCTION("""COMPUTED_VALUE"""),"Science 6")</f>
        <v>Science 6</v>
      </c>
      <c r="E18" s="31">
        <f>IFERROR(__xludf.DUMMYFUNCTION("""COMPUTED_VALUE"""),4.0)</f>
        <v>4</v>
      </c>
      <c r="F18" s="8">
        <v>1.0</v>
      </c>
      <c r="G18" s="8">
        <v>1.0</v>
      </c>
      <c r="H18" s="8">
        <v>1.0</v>
      </c>
      <c r="I18" s="8">
        <v>1.0</v>
      </c>
      <c r="J18" s="8">
        <v>1.0</v>
      </c>
      <c r="K18" s="8">
        <v>1.0</v>
      </c>
      <c r="L18" s="8">
        <v>6.0</v>
      </c>
      <c r="M18" s="8"/>
      <c r="N18" s="8"/>
      <c r="O18" s="8" t="s">
        <v>701</v>
      </c>
      <c r="P18" s="8">
        <v>6.0</v>
      </c>
    </row>
    <row r="19">
      <c r="A19">
        <f>IFERROR(__xludf.DUMMYFUNCTION("""COMPUTED_VALUE"""),6.0)</f>
        <v>6</v>
      </c>
      <c r="B19">
        <f>IFERROR(__xludf.DUMMYFUNCTION("""COMPUTED_VALUE"""),31152.0)</f>
        <v>31152</v>
      </c>
      <c r="C19" t="str">
        <f>IFERROR(__xludf.DUMMYFUNCTION("""COMPUTED_VALUE"""),"BLANCO HENRIQUEZ, JUAN MARTIN")</f>
        <v>BLANCO HENRIQUEZ, JUAN MARTIN</v>
      </c>
      <c r="D19" t="str">
        <f>IFERROR(__xludf.DUMMYFUNCTION("""COMPUTED_VALUE"""),"Science 6")</f>
        <v>Science 6</v>
      </c>
      <c r="E19" s="31">
        <f>IFERROR(__xludf.DUMMYFUNCTION("""COMPUTED_VALUE"""),3.0)</f>
        <v>3</v>
      </c>
      <c r="F19" s="8">
        <v>1.0</v>
      </c>
      <c r="G19" s="8">
        <v>1.0</v>
      </c>
      <c r="H19" s="8">
        <v>1.0</v>
      </c>
      <c r="I19" s="8">
        <v>1.0</v>
      </c>
      <c r="J19" s="8">
        <v>1.0</v>
      </c>
      <c r="K19" s="8">
        <v>1.0</v>
      </c>
      <c r="L19" s="8">
        <v>6.0</v>
      </c>
      <c r="M19" s="8"/>
      <c r="N19" s="8"/>
      <c r="O19" s="8" t="s">
        <v>700</v>
      </c>
      <c r="P19" s="8">
        <v>6.0</v>
      </c>
    </row>
    <row r="20">
      <c r="A20">
        <f>IFERROR(__xludf.DUMMYFUNCTION("""COMPUTED_VALUE"""),6.0)</f>
        <v>6</v>
      </c>
      <c r="B20">
        <f>IFERROR(__xludf.DUMMYFUNCTION("""COMPUTED_VALUE"""),31017.0)</f>
        <v>31017</v>
      </c>
      <c r="C20" t="str">
        <f>IFERROR(__xludf.DUMMYFUNCTION("""COMPUTED_VALUE"""),"BORDA AZCARATE, AGUSTIN")</f>
        <v>BORDA AZCARATE, AGUSTIN</v>
      </c>
      <c r="D20" t="str">
        <f>IFERROR(__xludf.DUMMYFUNCTION("""COMPUTED_VALUE"""),"Science 6")</f>
        <v>Science 6</v>
      </c>
      <c r="E20" s="31">
        <f>IFERROR(__xludf.DUMMYFUNCTION("""COMPUTED_VALUE"""),4.0)</f>
        <v>4</v>
      </c>
      <c r="F20" s="8">
        <v>1.0</v>
      </c>
      <c r="G20" s="8">
        <v>1.0</v>
      </c>
      <c r="H20" s="8">
        <v>1.0</v>
      </c>
      <c r="I20" s="8">
        <v>1.0</v>
      </c>
      <c r="J20" s="8">
        <v>1.0</v>
      </c>
      <c r="K20" s="8">
        <v>1.0</v>
      </c>
      <c r="L20" s="8">
        <v>6.0</v>
      </c>
      <c r="M20" s="8"/>
      <c r="N20" s="8"/>
      <c r="O20" s="8" t="s">
        <v>701</v>
      </c>
      <c r="P20" s="8">
        <v>6.0</v>
      </c>
    </row>
    <row r="21">
      <c r="A21">
        <f>IFERROR(__xludf.DUMMYFUNCTION("""COMPUTED_VALUE"""),6.0)</f>
        <v>6</v>
      </c>
      <c r="B21">
        <f>IFERROR(__xludf.DUMMYFUNCTION("""COMPUTED_VALUE"""),31019.0)</f>
        <v>31019</v>
      </c>
      <c r="C21" t="str">
        <f>IFERROR(__xludf.DUMMYFUNCTION("""COMPUTED_VALUE"""),"BOTERO BOTERO, AMALIA")</f>
        <v>BOTERO BOTERO, AMALIA</v>
      </c>
      <c r="D21" t="str">
        <f>IFERROR(__xludf.DUMMYFUNCTION("""COMPUTED_VALUE"""),"Science 6")</f>
        <v>Science 6</v>
      </c>
      <c r="E21" s="31">
        <f>IFERROR(__xludf.DUMMYFUNCTION("""COMPUTED_VALUE"""),5.0)</f>
        <v>5</v>
      </c>
      <c r="F21" s="8">
        <v>1.0</v>
      </c>
      <c r="G21" s="8">
        <v>1.0</v>
      </c>
      <c r="H21" s="8">
        <v>1.0</v>
      </c>
      <c r="I21" s="8">
        <v>1.0</v>
      </c>
      <c r="J21" s="8">
        <v>1.0</v>
      </c>
      <c r="K21" s="8">
        <v>1.0</v>
      </c>
      <c r="L21" s="8">
        <v>6.0</v>
      </c>
      <c r="M21" s="8"/>
      <c r="N21" s="8"/>
      <c r="O21" s="8" t="s">
        <v>703</v>
      </c>
      <c r="P21" s="8">
        <v>6.0</v>
      </c>
    </row>
    <row r="22">
      <c r="A22">
        <f>IFERROR(__xludf.DUMMYFUNCTION("""COMPUTED_VALUE"""),6.0)</f>
        <v>6</v>
      </c>
      <c r="B22">
        <f>IFERROR(__xludf.DUMMYFUNCTION("""COMPUTED_VALUE"""),31020.0)</f>
        <v>31020</v>
      </c>
      <c r="C22" t="str">
        <f>IFERROR(__xludf.DUMMYFUNCTION("""COMPUTED_VALUE"""),"BOTERO DEL CORRAL, MARTINA")</f>
        <v>BOTERO DEL CORRAL, MARTINA</v>
      </c>
      <c r="D22" t="str">
        <f>IFERROR(__xludf.DUMMYFUNCTION("""COMPUTED_VALUE"""),"Science 6")</f>
        <v>Science 6</v>
      </c>
      <c r="E22" s="31">
        <f>IFERROR(__xludf.DUMMYFUNCTION("""COMPUTED_VALUE"""),6.0)</f>
        <v>6</v>
      </c>
      <c r="F22" s="8">
        <v>1.0</v>
      </c>
      <c r="G22" s="8">
        <v>1.0</v>
      </c>
      <c r="H22" s="8">
        <v>1.0</v>
      </c>
      <c r="I22" s="8">
        <v>1.0</v>
      </c>
      <c r="J22" s="8">
        <v>1.0</v>
      </c>
      <c r="K22" s="8">
        <v>1.0</v>
      </c>
      <c r="L22" s="8">
        <v>6.0</v>
      </c>
      <c r="M22" s="8"/>
      <c r="N22" s="8"/>
      <c r="O22" s="8" t="s">
        <v>699</v>
      </c>
      <c r="P22" s="8">
        <v>6.0</v>
      </c>
    </row>
    <row r="23">
      <c r="A23">
        <f>IFERROR(__xludf.DUMMYFUNCTION("""COMPUTED_VALUE"""),6.0)</f>
        <v>6</v>
      </c>
      <c r="B23">
        <f>IFERROR(__xludf.DUMMYFUNCTION("""COMPUTED_VALUE"""),31018.0)</f>
        <v>31018</v>
      </c>
      <c r="C23" t="str">
        <f>IFERROR(__xludf.DUMMYFUNCTION("""COMPUTED_VALUE"""),"BOTERO MONTOYA, MATIAS")</f>
        <v>BOTERO MONTOYA, MATIAS</v>
      </c>
      <c r="D23" t="str">
        <f>IFERROR(__xludf.DUMMYFUNCTION("""COMPUTED_VALUE"""),"Science 6")</f>
        <v>Science 6</v>
      </c>
      <c r="E23" s="31">
        <f>IFERROR(__xludf.DUMMYFUNCTION("""COMPUTED_VALUE"""),4.0)</f>
        <v>4</v>
      </c>
      <c r="F23" s="8">
        <v>1.0</v>
      </c>
      <c r="G23" s="8">
        <v>1.0</v>
      </c>
      <c r="H23" s="8">
        <v>1.0</v>
      </c>
      <c r="I23" s="8">
        <v>1.0</v>
      </c>
      <c r="J23" s="8">
        <v>1.0</v>
      </c>
      <c r="K23" s="8">
        <v>1.0</v>
      </c>
      <c r="L23" s="8">
        <v>6.0</v>
      </c>
      <c r="M23" s="8"/>
      <c r="N23" s="8"/>
      <c r="O23" s="8" t="s">
        <v>701</v>
      </c>
      <c r="P23" s="8">
        <v>6.0</v>
      </c>
    </row>
    <row r="24">
      <c r="A24">
        <f>IFERROR(__xludf.DUMMYFUNCTION("""COMPUTED_VALUE"""),6.0)</f>
        <v>6</v>
      </c>
      <c r="B24">
        <f>IFERROR(__xludf.DUMMYFUNCTION("""COMPUTED_VALUE"""),31022.0)</f>
        <v>31022</v>
      </c>
      <c r="C24" t="str">
        <f>IFERROR(__xludf.DUMMYFUNCTION("""COMPUTED_VALUE"""),"CALDWELL VALLEJO, MAX")</f>
        <v>CALDWELL VALLEJO, MAX</v>
      </c>
      <c r="D24" t="str">
        <f>IFERROR(__xludf.DUMMYFUNCTION("""COMPUTED_VALUE"""),"Science 6")</f>
        <v>Science 6</v>
      </c>
      <c r="E24" s="31">
        <f>IFERROR(__xludf.DUMMYFUNCTION("""COMPUTED_VALUE"""),5.0)</f>
        <v>5</v>
      </c>
      <c r="F24" s="8">
        <v>1.0</v>
      </c>
      <c r="G24" s="8">
        <v>1.0</v>
      </c>
      <c r="H24" s="8">
        <v>1.0</v>
      </c>
      <c r="I24" s="8">
        <v>1.0</v>
      </c>
      <c r="J24" s="8">
        <v>1.0</v>
      </c>
      <c r="K24" s="8">
        <v>1.0</v>
      </c>
      <c r="L24" s="8">
        <v>6.0</v>
      </c>
      <c r="M24" s="8"/>
      <c r="N24" s="8"/>
      <c r="O24" s="8" t="s">
        <v>703</v>
      </c>
      <c r="P24" s="8">
        <v>6.0</v>
      </c>
    </row>
    <row r="25">
      <c r="A25">
        <f>IFERROR(__xludf.DUMMYFUNCTION("""COMPUTED_VALUE"""),6.0)</f>
        <v>6</v>
      </c>
      <c r="B25">
        <f>IFERROR(__xludf.DUMMYFUNCTION("""COMPUTED_VALUE"""),31023.0)</f>
        <v>31023</v>
      </c>
      <c r="C25" t="str">
        <f>IFERROR(__xludf.DUMMYFUNCTION("""COMPUTED_VALUE"""),"CAPMARTIN GOMEZ, VALERIA")</f>
        <v>CAPMARTIN GOMEZ, VALERIA</v>
      </c>
      <c r="D25" t="str">
        <f>IFERROR(__xludf.DUMMYFUNCTION("""COMPUTED_VALUE"""),"Science 6")</f>
        <v>Science 6</v>
      </c>
      <c r="E25" s="31">
        <f>IFERROR(__xludf.DUMMYFUNCTION("""COMPUTED_VALUE"""),3.0)</f>
        <v>3</v>
      </c>
      <c r="F25" s="8">
        <v>1.0</v>
      </c>
      <c r="G25" s="8">
        <v>1.0</v>
      </c>
      <c r="H25" s="8">
        <v>1.0</v>
      </c>
      <c r="I25" s="8">
        <v>1.0</v>
      </c>
      <c r="J25" s="8">
        <v>1.0</v>
      </c>
      <c r="K25" s="8">
        <v>1.0</v>
      </c>
      <c r="L25" s="8">
        <v>6.0</v>
      </c>
      <c r="M25" s="8"/>
      <c r="N25" s="8"/>
      <c r="O25" s="8" t="s">
        <v>700</v>
      </c>
      <c r="P25" s="8">
        <v>6.0</v>
      </c>
    </row>
    <row r="26">
      <c r="A26">
        <f>IFERROR(__xludf.DUMMYFUNCTION("""COMPUTED_VALUE"""),6.0)</f>
        <v>6</v>
      </c>
      <c r="B26">
        <f>IFERROR(__xludf.DUMMYFUNCTION("""COMPUTED_VALUE"""),31024.0)</f>
        <v>31024</v>
      </c>
      <c r="C26" t="str">
        <f>IFERROR(__xludf.DUMMYFUNCTION("""COMPUTED_VALUE"""),"CARDONA VELEZ, ALICIA")</f>
        <v>CARDONA VELEZ, ALICIA</v>
      </c>
      <c r="D26" t="str">
        <f>IFERROR(__xludf.DUMMYFUNCTION("""COMPUTED_VALUE"""),"Science 6")</f>
        <v>Science 6</v>
      </c>
      <c r="E26" s="31">
        <f>IFERROR(__xludf.DUMMYFUNCTION("""COMPUTED_VALUE"""),6.0)</f>
        <v>6</v>
      </c>
      <c r="F26" s="8">
        <v>1.0</v>
      </c>
      <c r="G26" s="8">
        <v>1.0</v>
      </c>
      <c r="H26" s="8">
        <v>1.0</v>
      </c>
      <c r="I26" s="8">
        <v>1.0</v>
      </c>
      <c r="J26" s="8">
        <v>1.0</v>
      </c>
      <c r="K26" s="8">
        <v>1.0</v>
      </c>
      <c r="L26" s="8">
        <v>6.0</v>
      </c>
      <c r="M26" s="8"/>
      <c r="N26" s="8"/>
      <c r="O26" s="8" t="s">
        <v>699</v>
      </c>
      <c r="P26" s="8">
        <v>6.0</v>
      </c>
    </row>
    <row r="27">
      <c r="A27">
        <f>IFERROR(__xludf.DUMMYFUNCTION("""COMPUTED_VALUE"""),6.0)</f>
        <v>6</v>
      </c>
      <c r="B27">
        <f>IFERROR(__xludf.DUMMYFUNCTION("""COMPUTED_VALUE"""),31025.0)</f>
        <v>31025</v>
      </c>
      <c r="C27" t="str">
        <f>IFERROR(__xludf.DUMMYFUNCTION("""COMPUTED_VALUE"""),"CORREA ALVAREZ, EMILIO")</f>
        <v>CORREA ALVAREZ, EMILIO</v>
      </c>
      <c r="D27" t="str">
        <f>IFERROR(__xludf.DUMMYFUNCTION("""COMPUTED_VALUE"""),"Science 6A")</f>
        <v>Science 6A</v>
      </c>
      <c r="E27" s="31">
        <f>IFERROR(__xludf.DUMMYFUNCTION("""COMPUTED_VALUE"""),3.0)</f>
        <v>3</v>
      </c>
      <c r="F27" s="8">
        <v>1.0</v>
      </c>
      <c r="G27" s="8">
        <v>1.0</v>
      </c>
      <c r="H27" s="8">
        <v>1.0</v>
      </c>
      <c r="I27" s="8">
        <v>1.0</v>
      </c>
      <c r="J27" s="8">
        <v>1.0</v>
      </c>
      <c r="K27" s="8">
        <v>1.0</v>
      </c>
      <c r="L27" s="8">
        <v>6.0</v>
      </c>
      <c r="M27" s="8"/>
      <c r="N27" s="8"/>
      <c r="O27" s="8" t="s">
        <v>704</v>
      </c>
      <c r="P27" s="8" t="e">
        <v>#N/A</v>
      </c>
    </row>
    <row r="28">
      <c r="A28">
        <f>IFERROR(__xludf.DUMMYFUNCTION("""COMPUTED_VALUE"""),6.0)</f>
        <v>6</v>
      </c>
      <c r="B28">
        <f>IFERROR(__xludf.DUMMYFUNCTION("""COMPUTED_VALUE"""),31026.0)</f>
        <v>31026</v>
      </c>
      <c r="C28" t="str">
        <f>IFERROR(__xludf.DUMMYFUNCTION("""COMPUTED_VALUE"""),"CORTES ARANGO, JUAN MARTIN")</f>
        <v>CORTES ARANGO, JUAN MARTIN</v>
      </c>
      <c r="D28" t="str">
        <f>IFERROR(__xludf.DUMMYFUNCTION("""COMPUTED_VALUE"""),"Science 6")</f>
        <v>Science 6</v>
      </c>
      <c r="E28" s="31">
        <f>IFERROR(__xludf.DUMMYFUNCTION("""COMPUTED_VALUE"""),5.0)</f>
        <v>5</v>
      </c>
      <c r="F28" s="8">
        <v>1.0</v>
      </c>
      <c r="G28" s="8">
        <v>1.0</v>
      </c>
      <c r="H28" s="8">
        <v>1.0</v>
      </c>
      <c r="I28" s="8">
        <v>1.0</v>
      </c>
      <c r="J28" s="8">
        <v>1.0</v>
      </c>
      <c r="K28" s="8">
        <v>1.0</v>
      </c>
      <c r="L28" s="8">
        <v>6.0</v>
      </c>
      <c r="M28" s="8"/>
      <c r="N28" s="8"/>
      <c r="O28" s="8" t="s">
        <v>703</v>
      </c>
      <c r="P28" s="8">
        <v>6.0</v>
      </c>
    </row>
    <row r="29">
      <c r="A29">
        <f>IFERROR(__xludf.DUMMYFUNCTION("""COMPUTED_VALUE"""),6.0)</f>
        <v>6</v>
      </c>
      <c r="B29">
        <f>IFERROR(__xludf.DUMMYFUNCTION("""COMPUTED_VALUE"""),31027.0)</f>
        <v>31027</v>
      </c>
      <c r="C29" t="str">
        <f>IFERROR(__xludf.DUMMYFUNCTION("""COMPUTED_VALUE"""),"CUARTAS GOMEZ, SANTIAGO")</f>
        <v>CUARTAS GOMEZ, SANTIAGO</v>
      </c>
      <c r="D29" t="str">
        <f>IFERROR(__xludf.DUMMYFUNCTION("""COMPUTED_VALUE"""),"Science 6")</f>
        <v>Science 6</v>
      </c>
      <c r="E29" s="31">
        <f>IFERROR(__xludf.DUMMYFUNCTION("""COMPUTED_VALUE"""),2.0)</f>
        <v>2</v>
      </c>
      <c r="F29" s="8">
        <v>1.0</v>
      </c>
      <c r="G29" s="8">
        <v>1.0</v>
      </c>
      <c r="H29" s="8">
        <v>1.0</v>
      </c>
      <c r="I29" s="8">
        <v>1.0</v>
      </c>
      <c r="J29" s="8">
        <v>1.0</v>
      </c>
      <c r="K29" s="8">
        <v>1.0</v>
      </c>
      <c r="L29" s="8">
        <v>6.0</v>
      </c>
      <c r="M29" s="8"/>
      <c r="N29" s="8"/>
      <c r="O29" s="8" t="s">
        <v>702</v>
      </c>
      <c r="P29" s="8">
        <v>6.0</v>
      </c>
    </row>
    <row r="30">
      <c r="A30">
        <f>IFERROR(__xludf.DUMMYFUNCTION("""COMPUTED_VALUE"""),6.0)</f>
        <v>6</v>
      </c>
      <c r="B30">
        <f>IFERROR(__xludf.DUMMYFUNCTION("""COMPUTED_VALUE"""),31028.0)</f>
        <v>31028</v>
      </c>
      <c r="C30" t="str">
        <f>IFERROR(__xludf.DUMMYFUNCTION("""COMPUTED_VALUE"""),"DE HOMMEL COCK, ARTHUR JEAN")</f>
        <v>DE HOMMEL COCK, ARTHUR JEAN</v>
      </c>
      <c r="D30" t="str">
        <f>IFERROR(__xludf.DUMMYFUNCTION("""COMPUTED_VALUE"""),"Science 6")</f>
        <v>Science 6</v>
      </c>
      <c r="E30" s="31">
        <f>IFERROR(__xludf.DUMMYFUNCTION("""COMPUTED_VALUE"""),6.0)</f>
        <v>6</v>
      </c>
      <c r="F30" s="8">
        <v>1.0</v>
      </c>
      <c r="G30" s="8">
        <v>1.0</v>
      </c>
      <c r="H30" s="8">
        <v>1.0</v>
      </c>
      <c r="I30" s="8">
        <v>1.0</v>
      </c>
      <c r="J30" s="8">
        <v>1.0</v>
      </c>
      <c r="K30" s="8">
        <v>1.0</v>
      </c>
      <c r="L30" s="8">
        <v>6.0</v>
      </c>
      <c r="M30" s="8"/>
      <c r="N30" s="8"/>
      <c r="O30" s="8" t="s">
        <v>699</v>
      </c>
      <c r="P30" s="8">
        <v>6.0</v>
      </c>
    </row>
    <row r="31">
      <c r="A31">
        <f>IFERROR(__xludf.DUMMYFUNCTION("""COMPUTED_VALUE"""),6.0)</f>
        <v>6</v>
      </c>
      <c r="B31">
        <f>IFERROR(__xludf.DUMMYFUNCTION("""COMPUTED_VALUE"""),31029.0)</f>
        <v>31029</v>
      </c>
      <c r="C31" t="str">
        <f>IFERROR(__xludf.DUMMYFUNCTION("""COMPUTED_VALUE"""),"DE KOLLER GAVIRIA, PAOLO")</f>
        <v>DE KOLLER GAVIRIA, PAOLO</v>
      </c>
      <c r="D31" t="str">
        <f>IFERROR(__xludf.DUMMYFUNCTION("""COMPUTED_VALUE"""),"Science 6")</f>
        <v>Science 6</v>
      </c>
      <c r="E31" s="31">
        <f>IFERROR(__xludf.DUMMYFUNCTION("""COMPUTED_VALUE"""),3.0)</f>
        <v>3</v>
      </c>
      <c r="F31" s="8">
        <v>1.0</v>
      </c>
      <c r="G31" s="8">
        <v>1.0</v>
      </c>
      <c r="H31" s="8">
        <v>1.0</v>
      </c>
      <c r="I31" s="8">
        <v>1.0</v>
      </c>
      <c r="J31" s="8">
        <v>1.0</v>
      </c>
      <c r="K31" s="8">
        <v>1.0</v>
      </c>
      <c r="L31" s="8">
        <v>6.0</v>
      </c>
      <c r="M31" s="8"/>
      <c r="N31" s="8"/>
      <c r="O31" s="8" t="s">
        <v>700</v>
      </c>
      <c r="P31" s="8">
        <v>6.0</v>
      </c>
    </row>
    <row r="32">
      <c r="A32">
        <f>IFERROR(__xludf.DUMMYFUNCTION("""COMPUTED_VALUE"""),6.0)</f>
        <v>6</v>
      </c>
      <c r="B32">
        <f>IFERROR(__xludf.DUMMYFUNCTION("""COMPUTED_VALUE"""),31030.0)</f>
        <v>31030</v>
      </c>
      <c r="C32" t="str">
        <f>IFERROR(__xludf.DUMMYFUNCTION("""COMPUTED_VALUE"""),"DE KOLLER GAVIRIA, ROMEO")</f>
        <v>DE KOLLER GAVIRIA, ROMEO</v>
      </c>
      <c r="D32" t="str">
        <f>IFERROR(__xludf.DUMMYFUNCTION("""COMPUTED_VALUE"""),"Science 6A")</f>
        <v>Science 6A</v>
      </c>
      <c r="E32" s="31">
        <f>IFERROR(__xludf.DUMMYFUNCTION("""COMPUTED_VALUE"""),3.0)</f>
        <v>3</v>
      </c>
      <c r="F32" s="8">
        <v>1.0</v>
      </c>
      <c r="G32" s="8">
        <v>1.0</v>
      </c>
      <c r="H32" s="8">
        <v>1.0</v>
      </c>
      <c r="I32" s="8">
        <v>1.0</v>
      </c>
      <c r="J32" s="8">
        <v>1.0</v>
      </c>
      <c r="K32" s="8">
        <v>1.0</v>
      </c>
      <c r="L32" s="8">
        <v>6.0</v>
      </c>
      <c r="M32" s="8"/>
      <c r="N32" s="8"/>
      <c r="O32" s="8" t="s">
        <v>704</v>
      </c>
      <c r="P32" s="8" t="e">
        <v>#N/A</v>
      </c>
    </row>
    <row r="33">
      <c r="A33">
        <f>IFERROR(__xludf.DUMMYFUNCTION("""COMPUTED_VALUE"""),6.0)</f>
        <v>6</v>
      </c>
      <c r="B33">
        <f>IFERROR(__xludf.DUMMYFUNCTION("""COMPUTED_VALUE"""),31032.0)</f>
        <v>31032</v>
      </c>
      <c r="C33" t="str">
        <f>IFERROR(__xludf.DUMMYFUNCTION("""COMPUTED_VALUE"""),"DE LOS RIOS AGUDELO, MARTIN")</f>
        <v>DE LOS RIOS AGUDELO, MARTIN</v>
      </c>
      <c r="D33" t="str">
        <f>IFERROR(__xludf.DUMMYFUNCTION("""COMPUTED_VALUE"""),"Science 6")</f>
        <v>Science 6</v>
      </c>
      <c r="E33" s="31">
        <f>IFERROR(__xludf.DUMMYFUNCTION("""COMPUTED_VALUE"""),3.0)</f>
        <v>3</v>
      </c>
      <c r="F33" s="8">
        <v>1.0</v>
      </c>
      <c r="G33" s="8">
        <v>1.0</v>
      </c>
      <c r="H33" s="8">
        <v>1.0</v>
      </c>
      <c r="I33" s="8">
        <v>1.0</v>
      </c>
      <c r="J33" s="8">
        <v>1.0</v>
      </c>
      <c r="K33" s="8">
        <v>1.0</v>
      </c>
      <c r="L33" s="8">
        <v>6.0</v>
      </c>
      <c r="M33" s="8"/>
      <c r="N33" s="8"/>
      <c r="O33" s="8" t="s">
        <v>700</v>
      </c>
      <c r="P33" s="8">
        <v>6.0</v>
      </c>
    </row>
    <row r="34">
      <c r="A34">
        <f>IFERROR(__xludf.DUMMYFUNCTION("""COMPUTED_VALUE"""),6.0)</f>
        <v>6</v>
      </c>
      <c r="B34">
        <f>IFERROR(__xludf.DUMMYFUNCTION("""COMPUTED_VALUE"""),31031.0)</f>
        <v>31031</v>
      </c>
      <c r="C34" t="str">
        <f>IFERROR(__xludf.DUMMYFUNCTION("""COMPUTED_VALUE"""),"DE LOS RIOS AGUDELO, MATIAS")</f>
        <v>DE LOS RIOS AGUDELO, MATIAS</v>
      </c>
      <c r="D34" t="str">
        <f>IFERROR(__xludf.DUMMYFUNCTION("""COMPUTED_VALUE"""),"Science 6")</f>
        <v>Science 6</v>
      </c>
      <c r="E34" s="31">
        <f>IFERROR(__xludf.DUMMYFUNCTION("""COMPUTED_VALUE"""),2.0)</f>
        <v>2</v>
      </c>
      <c r="F34" s="8">
        <v>1.0</v>
      </c>
      <c r="G34" s="8">
        <v>1.0</v>
      </c>
      <c r="H34" s="8">
        <v>1.0</v>
      </c>
      <c r="I34" s="8">
        <v>1.0</v>
      </c>
      <c r="J34" s="8">
        <v>1.0</v>
      </c>
      <c r="K34" s="8">
        <v>1.0</v>
      </c>
      <c r="L34" s="8">
        <v>6.0</v>
      </c>
      <c r="M34" s="8"/>
      <c r="N34" s="8"/>
      <c r="O34" s="8" t="s">
        <v>702</v>
      </c>
      <c r="P34" s="8">
        <v>6.0</v>
      </c>
    </row>
    <row r="35">
      <c r="A35">
        <f>IFERROR(__xludf.DUMMYFUNCTION("""COMPUTED_VALUE"""),6.0)</f>
        <v>6</v>
      </c>
      <c r="B35">
        <f>IFERROR(__xludf.DUMMYFUNCTION("""COMPUTED_VALUE"""),31168.0)</f>
        <v>31168</v>
      </c>
      <c r="C35" t="str">
        <f>IFERROR(__xludf.DUMMYFUNCTION("""COMPUTED_VALUE"""),"DE MUNCK MORTIER, LUCA")</f>
        <v>DE MUNCK MORTIER, LUCA</v>
      </c>
      <c r="D35" t="str">
        <f>IFERROR(__xludf.DUMMYFUNCTION("""COMPUTED_VALUE"""),"Science 6")</f>
        <v>Science 6</v>
      </c>
      <c r="E35" s="31">
        <f>IFERROR(__xludf.DUMMYFUNCTION("""COMPUTED_VALUE"""),4.0)</f>
        <v>4</v>
      </c>
      <c r="F35" s="8">
        <v>1.0</v>
      </c>
      <c r="G35" s="8">
        <v>1.0</v>
      </c>
      <c r="H35" s="8">
        <v>1.0</v>
      </c>
      <c r="I35" s="8">
        <v>1.0</v>
      </c>
      <c r="J35" s="8">
        <v>1.0</v>
      </c>
      <c r="K35" s="8">
        <v>1.0</v>
      </c>
      <c r="L35" s="8">
        <v>6.0</v>
      </c>
      <c r="M35" s="8"/>
      <c r="N35" s="8"/>
      <c r="O35" s="8" t="s">
        <v>701</v>
      </c>
      <c r="P35" s="8">
        <v>6.0</v>
      </c>
    </row>
    <row r="36">
      <c r="A36">
        <f>IFERROR(__xludf.DUMMYFUNCTION("""COMPUTED_VALUE"""),6.0)</f>
        <v>6</v>
      </c>
      <c r="B36">
        <f>IFERROR(__xludf.DUMMYFUNCTION("""COMPUTED_VALUE"""),31163.0)</f>
        <v>31163</v>
      </c>
      <c r="C36" t="str">
        <f>IFERROR(__xludf.DUMMYFUNCTION("""COMPUTED_VALUE"""),"DOMINGUEZ JORGENSEN, GABRIEL")</f>
        <v>DOMINGUEZ JORGENSEN, GABRIEL</v>
      </c>
      <c r="D36" t="str">
        <f>IFERROR(__xludf.DUMMYFUNCTION("""COMPUTED_VALUE"""),"Science 6")</f>
        <v>Science 6</v>
      </c>
      <c r="E36" s="31">
        <f>IFERROR(__xludf.DUMMYFUNCTION("""COMPUTED_VALUE"""),5.0)</f>
        <v>5</v>
      </c>
      <c r="F36" s="8">
        <v>1.0</v>
      </c>
      <c r="G36" s="8">
        <v>1.0</v>
      </c>
      <c r="H36" s="8">
        <v>1.0</v>
      </c>
      <c r="I36" s="8">
        <v>1.0</v>
      </c>
      <c r="J36" s="8">
        <v>1.0</v>
      </c>
      <c r="K36" s="8">
        <v>1.0</v>
      </c>
      <c r="L36" s="8">
        <v>6.0</v>
      </c>
      <c r="M36" s="8"/>
      <c r="N36" s="8"/>
      <c r="O36" s="8" t="s">
        <v>703</v>
      </c>
      <c r="P36" s="8">
        <v>6.0</v>
      </c>
    </row>
    <row r="37">
      <c r="A37">
        <f>IFERROR(__xludf.DUMMYFUNCTION("""COMPUTED_VALUE"""),6.0)</f>
        <v>6</v>
      </c>
      <c r="B37">
        <f>IFERROR(__xludf.DUMMYFUNCTION("""COMPUTED_VALUE"""),31167.0)</f>
        <v>31167</v>
      </c>
      <c r="C37" t="str">
        <f>IFERROR(__xludf.DUMMYFUNCTION("""COMPUTED_VALUE"""),"DUQUE, JACOB")</f>
        <v>DUQUE, JACOB</v>
      </c>
      <c r="D37" t="str">
        <f>IFERROR(__xludf.DUMMYFUNCTION("""COMPUTED_VALUE"""),"Science 6")</f>
        <v>Science 6</v>
      </c>
      <c r="E37" s="31">
        <f>IFERROR(__xludf.DUMMYFUNCTION("""COMPUTED_VALUE"""),4.0)</f>
        <v>4</v>
      </c>
      <c r="F37" s="8">
        <v>1.0</v>
      </c>
      <c r="G37" s="8">
        <v>1.0</v>
      </c>
      <c r="H37" s="8">
        <v>1.0</v>
      </c>
      <c r="I37" s="8">
        <v>1.0</v>
      </c>
      <c r="J37" s="8">
        <v>1.0</v>
      </c>
      <c r="K37" s="8">
        <v>1.0</v>
      </c>
      <c r="L37" s="8">
        <v>6.0</v>
      </c>
      <c r="M37" s="8"/>
      <c r="N37" s="8"/>
      <c r="O37" s="8" t="s">
        <v>701</v>
      </c>
      <c r="P37" s="8">
        <v>6.0</v>
      </c>
    </row>
    <row r="38">
      <c r="A38">
        <f>IFERROR(__xludf.DUMMYFUNCTION("""COMPUTED_VALUE"""),6.0)</f>
        <v>6</v>
      </c>
      <c r="B38">
        <f>IFERROR(__xludf.DUMMYFUNCTION("""COMPUTED_VALUE"""),30041.0)</f>
        <v>30041</v>
      </c>
      <c r="C38" t="str">
        <f>IFERROR(__xludf.DUMMYFUNCTION("""COMPUTED_VALUE"""),"ESPINAL MONTOYA, ARIANA")</f>
        <v>ESPINAL MONTOYA, ARIANA</v>
      </c>
      <c r="D38" t="str">
        <f>IFERROR(__xludf.DUMMYFUNCTION("""COMPUTED_VALUE"""),"Science 6")</f>
        <v>Science 6</v>
      </c>
      <c r="E38" s="31">
        <f>IFERROR(__xludf.DUMMYFUNCTION("""COMPUTED_VALUE"""),4.0)</f>
        <v>4</v>
      </c>
      <c r="F38" s="8">
        <v>1.0</v>
      </c>
      <c r="G38" s="8">
        <v>1.0</v>
      </c>
      <c r="H38" s="8">
        <v>1.0</v>
      </c>
      <c r="I38" s="8">
        <v>1.0</v>
      </c>
      <c r="J38" s="8">
        <v>1.0</v>
      </c>
      <c r="K38" s="8">
        <v>1.0</v>
      </c>
      <c r="L38" s="8">
        <v>6.0</v>
      </c>
      <c r="M38" s="8"/>
      <c r="N38" s="8"/>
      <c r="O38" s="8" t="s">
        <v>701</v>
      </c>
      <c r="P38" s="8">
        <v>6.0</v>
      </c>
    </row>
    <row r="39">
      <c r="A39">
        <f>IFERROR(__xludf.DUMMYFUNCTION("""COMPUTED_VALUE"""),6.0)</f>
        <v>6</v>
      </c>
      <c r="B39">
        <f>IFERROR(__xludf.DUMMYFUNCTION("""COMPUTED_VALUE"""),31034.0)</f>
        <v>31034</v>
      </c>
      <c r="C39" t="str">
        <f>IFERROR(__xludf.DUMMYFUNCTION("""COMPUTED_VALUE"""),"ESPINOSA ABAD, MARTINA")</f>
        <v>ESPINOSA ABAD, MARTINA</v>
      </c>
      <c r="D39" t="str">
        <f>IFERROR(__xludf.DUMMYFUNCTION("""COMPUTED_VALUE"""),"Science 6")</f>
        <v>Science 6</v>
      </c>
      <c r="E39" s="31">
        <f>IFERROR(__xludf.DUMMYFUNCTION("""COMPUTED_VALUE"""),6.0)</f>
        <v>6</v>
      </c>
      <c r="F39" s="8">
        <v>1.0</v>
      </c>
      <c r="G39" s="8">
        <v>1.0</v>
      </c>
      <c r="H39" s="8">
        <v>1.0</v>
      </c>
      <c r="I39" s="8">
        <v>1.0</v>
      </c>
      <c r="J39" s="8">
        <v>1.0</v>
      </c>
      <c r="K39" s="8">
        <v>1.0</v>
      </c>
      <c r="L39" s="8">
        <v>6.0</v>
      </c>
      <c r="M39" s="8"/>
      <c r="N39" s="8"/>
      <c r="O39" s="8" t="s">
        <v>699</v>
      </c>
      <c r="P39" s="8">
        <v>6.0</v>
      </c>
    </row>
    <row r="40">
      <c r="A40">
        <f>IFERROR(__xludf.DUMMYFUNCTION("""COMPUTED_VALUE"""),6.0)</f>
        <v>6</v>
      </c>
      <c r="B40">
        <f>IFERROR(__xludf.DUMMYFUNCTION("""COMPUTED_VALUE"""),31037.0)</f>
        <v>31037</v>
      </c>
      <c r="C40" t="str">
        <f>IFERROR(__xludf.DUMMYFUNCTION("""COMPUTED_VALUE"""),"FERNANDEZ GUTIERREZ, MARIA JOSE")</f>
        <v>FERNANDEZ GUTIERREZ, MARIA JOSE</v>
      </c>
      <c r="D40" t="str">
        <f>IFERROR(__xludf.DUMMYFUNCTION("""COMPUTED_VALUE"""),"Science 6")</f>
        <v>Science 6</v>
      </c>
      <c r="E40" s="31">
        <f>IFERROR(__xludf.DUMMYFUNCTION("""COMPUTED_VALUE"""),5.0)</f>
        <v>5</v>
      </c>
      <c r="F40" s="8">
        <v>1.0</v>
      </c>
      <c r="G40" s="8">
        <v>1.0</v>
      </c>
      <c r="H40" s="8">
        <v>1.0</v>
      </c>
      <c r="I40" s="8">
        <v>1.0</v>
      </c>
      <c r="J40" s="8">
        <v>1.0</v>
      </c>
      <c r="K40" s="8">
        <v>1.0</v>
      </c>
      <c r="L40" s="8">
        <v>6.0</v>
      </c>
      <c r="M40" s="8"/>
      <c r="N40" s="8"/>
      <c r="O40" s="8" t="s">
        <v>703</v>
      </c>
      <c r="P40" s="8">
        <v>6.0</v>
      </c>
    </row>
    <row r="41">
      <c r="A41">
        <f>IFERROR(__xludf.DUMMYFUNCTION("""COMPUTED_VALUE"""),6.0)</f>
        <v>6</v>
      </c>
      <c r="B41">
        <f>IFERROR(__xludf.DUMMYFUNCTION("""COMPUTED_VALUE"""),31039.0)</f>
        <v>31039</v>
      </c>
      <c r="C41" t="str">
        <f>IFERROR(__xludf.DUMMYFUNCTION("""COMPUTED_VALUE"""),"GALLEGO OCAMPO, MARTIN")</f>
        <v>GALLEGO OCAMPO, MARTIN</v>
      </c>
      <c r="D41" t="str">
        <f>IFERROR(__xludf.DUMMYFUNCTION("""COMPUTED_VALUE"""),"Science 6")</f>
        <v>Science 6</v>
      </c>
      <c r="E41" s="31">
        <f>IFERROR(__xludf.DUMMYFUNCTION("""COMPUTED_VALUE"""),2.0)</f>
        <v>2</v>
      </c>
      <c r="F41" s="8">
        <v>1.0</v>
      </c>
      <c r="G41" s="8">
        <v>1.0</v>
      </c>
      <c r="H41" s="8">
        <v>1.0</v>
      </c>
      <c r="I41" s="8">
        <v>1.0</v>
      </c>
      <c r="J41" s="8">
        <v>1.0</v>
      </c>
      <c r="K41" s="8">
        <v>1.0</v>
      </c>
      <c r="L41" s="8">
        <v>6.0</v>
      </c>
      <c r="M41" s="8"/>
      <c r="N41" s="8"/>
      <c r="O41" s="8" t="s">
        <v>702</v>
      </c>
      <c r="P41" s="8">
        <v>6.0</v>
      </c>
    </row>
    <row r="42">
      <c r="A42">
        <f>IFERROR(__xludf.DUMMYFUNCTION("""COMPUTED_VALUE"""),6.0)</f>
        <v>6</v>
      </c>
      <c r="B42">
        <f>IFERROR(__xludf.DUMMYFUNCTION("""COMPUTED_VALUE"""),31040.0)</f>
        <v>31040</v>
      </c>
      <c r="C42" t="str">
        <f>IFERROR(__xludf.DUMMYFUNCTION("""COMPUTED_VALUE"""),"GARCIA ISAZA, VIOLETA")</f>
        <v>GARCIA ISAZA, VIOLETA</v>
      </c>
      <c r="D42" t="str">
        <f>IFERROR(__xludf.DUMMYFUNCTION("""COMPUTED_VALUE"""),"Science 6")</f>
        <v>Science 6</v>
      </c>
      <c r="E42" s="31">
        <f>IFERROR(__xludf.DUMMYFUNCTION("""COMPUTED_VALUE"""),6.0)</f>
        <v>6</v>
      </c>
      <c r="F42" s="8">
        <v>1.0</v>
      </c>
      <c r="G42" s="8">
        <v>1.0</v>
      </c>
      <c r="H42" s="8">
        <v>1.0</v>
      </c>
      <c r="I42" s="8">
        <v>1.0</v>
      </c>
      <c r="J42" s="8">
        <v>1.0</v>
      </c>
      <c r="K42" s="8">
        <v>1.0</v>
      </c>
      <c r="L42" s="8">
        <v>6.0</v>
      </c>
      <c r="M42" s="8"/>
      <c r="N42" s="8"/>
      <c r="O42" s="8" t="s">
        <v>699</v>
      </c>
      <c r="P42" s="8">
        <v>6.0</v>
      </c>
    </row>
    <row r="43">
      <c r="A43">
        <f>IFERROR(__xludf.DUMMYFUNCTION("""COMPUTED_VALUE"""),6.0)</f>
        <v>6</v>
      </c>
      <c r="B43">
        <f>IFERROR(__xludf.DUMMYFUNCTION("""COMPUTED_VALUE"""),31042.0)</f>
        <v>31042</v>
      </c>
      <c r="C43" t="str">
        <f>IFERROR(__xludf.DUMMYFUNCTION("""COMPUTED_VALUE"""),"GAVIRIA ARBELAEZ, AGUSTIN")</f>
        <v>GAVIRIA ARBELAEZ, AGUSTIN</v>
      </c>
      <c r="D43" t="str">
        <f>IFERROR(__xludf.DUMMYFUNCTION("""COMPUTED_VALUE"""),"Science 6A")</f>
        <v>Science 6A</v>
      </c>
      <c r="E43" s="31">
        <f>IFERROR(__xludf.DUMMYFUNCTION("""COMPUTED_VALUE"""),3.0)</f>
        <v>3</v>
      </c>
      <c r="F43" s="8">
        <v>1.0</v>
      </c>
      <c r="G43" s="8">
        <v>1.0</v>
      </c>
      <c r="H43" s="8">
        <v>1.0</v>
      </c>
      <c r="I43" s="8">
        <v>1.0</v>
      </c>
      <c r="J43" s="8">
        <v>1.0</v>
      </c>
      <c r="K43" s="8">
        <v>1.0</v>
      </c>
      <c r="L43" s="8">
        <v>6.0</v>
      </c>
      <c r="M43" s="8"/>
      <c r="N43" s="8"/>
      <c r="O43" s="8" t="s">
        <v>704</v>
      </c>
      <c r="P43" s="8" t="e">
        <v>#N/A</v>
      </c>
    </row>
    <row r="44">
      <c r="A44">
        <f>IFERROR(__xludf.DUMMYFUNCTION("""COMPUTED_VALUE"""),6.0)</f>
        <v>6</v>
      </c>
      <c r="B44">
        <f>IFERROR(__xludf.DUMMYFUNCTION("""COMPUTED_VALUE"""),31044.0)</f>
        <v>31044</v>
      </c>
      <c r="C44" t="str">
        <f>IFERROR(__xludf.DUMMYFUNCTION("""COMPUTED_VALUE"""),"GOMEZ ROLDAN, SANTIAGO")</f>
        <v>GOMEZ ROLDAN, SANTIAGO</v>
      </c>
      <c r="D44" t="str">
        <f>IFERROR(__xludf.DUMMYFUNCTION("""COMPUTED_VALUE"""),"Science 6A")</f>
        <v>Science 6A</v>
      </c>
      <c r="E44" s="31">
        <f>IFERROR(__xludf.DUMMYFUNCTION("""COMPUTED_VALUE"""),3.0)</f>
        <v>3</v>
      </c>
      <c r="F44" s="8">
        <v>1.0</v>
      </c>
      <c r="G44" s="8">
        <v>1.0</v>
      </c>
      <c r="H44" s="8">
        <v>1.0</v>
      </c>
      <c r="I44" s="8">
        <v>1.0</v>
      </c>
      <c r="J44" s="8">
        <v>1.0</v>
      </c>
      <c r="K44" s="8">
        <v>1.0</v>
      </c>
      <c r="L44" s="8">
        <v>6.0</v>
      </c>
      <c r="M44" s="8"/>
      <c r="N44" s="8"/>
      <c r="O44" s="8" t="s">
        <v>704</v>
      </c>
      <c r="P44" s="8" t="e">
        <v>#N/A</v>
      </c>
    </row>
    <row r="45">
      <c r="A45">
        <f>IFERROR(__xludf.DUMMYFUNCTION("""COMPUTED_VALUE"""),6.0)</f>
        <v>6</v>
      </c>
      <c r="B45">
        <f>IFERROR(__xludf.DUMMYFUNCTION("""COMPUTED_VALUE"""),31045.0)</f>
        <v>31045</v>
      </c>
      <c r="C45" t="str">
        <f>IFERROR(__xludf.DUMMYFUNCTION("""COMPUTED_VALUE"""),"GOMEZ VELASQUEZ, LORENZO")</f>
        <v>GOMEZ VELASQUEZ, LORENZO</v>
      </c>
      <c r="D45" t="str">
        <f>IFERROR(__xludf.DUMMYFUNCTION("""COMPUTED_VALUE"""),"Science 6")</f>
        <v>Science 6</v>
      </c>
      <c r="E45" s="31">
        <f>IFERROR(__xludf.DUMMYFUNCTION("""COMPUTED_VALUE"""),2.0)</f>
        <v>2</v>
      </c>
      <c r="F45" s="8">
        <v>1.0</v>
      </c>
      <c r="G45" s="8">
        <v>1.0</v>
      </c>
      <c r="H45" s="8">
        <v>1.0</v>
      </c>
      <c r="I45" s="8">
        <v>1.0</v>
      </c>
      <c r="J45" s="8">
        <v>1.0</v>
      </c>
      <c r="K45" s="8">
        <v>1.0</v>
      </c>
      <c r="L45" s="8">
        <v>6.0</v>
      </c>
      <c r="M45" s="8"/>
      <c r="N45" s="8"/>
      <c r="O45" s="8" t="s">
        <v>702</v>
      </c>
      <c r="P45" s="8">
        <v>6.0</v>
      </c>
    </row>
    <row r="46">
      <c r="A46">
        <f>IFERROR(__xludf.DUMMYFUNCTION("""COMPUTED_VALUE"""),6.0)</f>
        <v>6</v>
      </c>
      <c r="B46">
        <f>IFERROR(__xludf.DUMMYFUNCTION("""COMPUTED_VALUE"""),31046.0)</f>
        <v>31046</v>
      </c>
      <c r="C46" t="str">
        <f>IFERROR(__xludf.DUMMYFUNCTION("""COMPUTED_VALUE"""),"GONZALEZ LONDOÑO, LAURA")</f>
        <v>GONZALEZ LONDOÑO, LAURA</v>
      </c>
      <c r="D46" t="str">
        <f>IFERROR(__xludf.DUMMYFUNCTION("""COMPUTED_VALUE"""),"Science 6")</f>
        <v>Science 6</v>
      </c>
      <c r="E46" s="31">
        <f>IFERROR(__xludf.DUMMYFUNCTION("""COMPUTED_VALUE"""),3.0)</f>
        <v>3</v>
      </c>
      <c r="F46" s="8">
        <v>1.0</v>
      </c>
      <c r="G46" s="8">
        <v>1.0</v>
      </c>
      <c r="H46" s="8">
        <v>1.0</v>
      </c>
      <c r="I46" s="8">
        <v>1.0</v>
      </c>
      <c r="J46" s="8">
        <v>1.0</v>
      </c>
      <c r="K46" s="8">
        <v>1.0</v>
      </c>
      <c r="L46" s="8">
        <v>6.0</v>
      </c>
      <c r="M46" s="8"/>
      <c r="N46" s="8"/>
      <c r="O46" s="8" t="s">
        <v>700</v>
      </c>
      <c r="P46" s="8">
        <v>6.0</v>
      </c>
    </row>
    <row r="47">
      <c r="A47">
        <f>IFERROR(__xludf.DUMMYFUNCTION("""COMPUTED_VALUE"""),6.0)</f>
        <v>6</v>
      </c>
      <c r="B47">
        <f>IFERROR(__xludf.DUMMYFUNCTION("""COMPUTED_VALUE"""),31047.0)</f>
        <v>31047</v>
      </c>
      <c r="C47" t="str">
        <f>IFERROR(__xludf.DUMMYFUNCTION("""COMPUTED_VALUE"""),"GONZALEZ NICHOLLS, MARIA JOSE")</f>
        <v>GONZALEZ NICHOLLS, MARIA JOSE</v>
      </c>
      <c r="D47" t="str">
        <f>IFERROR(__xludf.DUMMYFUNCTION("""COMPUTED_VALUE"""),"Science 6")</f>
        <v>Science 6</v>
      </c>
      <c r="E47" s="31">
        <f>IFERROR(__xludf.DUMMYFUNCTION("""COMPUTED_VALUE"""),4.0)</f>
        <v>4</v>
      </c>
      <c r="F47" s="8">
        <v>1.0</v>
      </c>
      <c r="G47" s="8">
        <v>1.0</v>
      </c>
      <c r="H47" s="8">
        <v>1.0</v>
      </c>
      <c r="I47" s="8">
        <v>1.0</v>
      </c>
      <c r="J47" s="8">
        <v>1.0</v>
      </c>
      <c r="K47" s="8">
        <v>1.0</v>
      </c>
      <c r="L47" s="8">
        <v>6.0</v>
      </c>
      <c r="M47" s="8"/>
      <c r="N47" s="8"/>
      <c r="O47" s="8" t="s">
        <v>701</v>
      </c>
      <c r="P47" s="8">
        <v>6.0</v>
      </c>
    </row>
    <row r="48">
      <c r="A48">
        <f>IFERROR(__xludf.DUMMYFUNCTION("""COMPUTED_VALUE"""),6.0)</f>
        <v>6</v>
      </c>
      <c r="B48">
        <f>IFERROR(__xludf.DUMMYFUNCTION("""COMPUTED_VALUE"""),31170.0)</f>
        <v>31170</v>
      </c>
      <c r="C48" t="str">
        <f>IFERROR(__xludf.DUMMYFUNCTION("""COMPUTED_VALUE"""),"GRULLON SANTOS, ISABELLA")</f>
        <v>GRULLON SANTOS, ISABELLA</v>
      </c>
      <c r="D48" t="str">
        <f>IFERROR(__xludf.DUMMYFUNCTION("""COMPUTED_VALUE"""),"Science 6")</f>
        <v>Science 6</v>
      </c>
      <c r="E48" s="31">
        <f>IFERROR(__xludf.DUMMYFUNCTION("""COMPUTED_VALUE"""),3.0)</f>
        <v>3</v>
      </c>
      <c r="F48" s="8">
        <v>1.0</v>
      </c>
      <c r="G48" s="8">
        <v>1.0</v>
      </c>
      <c r="H48" s="8">
        <v>1.0</v>
      </c>
      <c r="I48" s="8">
        <v>1.0</v>
      </c>
      <c r="J48" s="8">
        <v>1.0</v>
      </c>
      <c r="K48" s="8">
        <v>1.0</v>
      </c>
      <c r="L48" s="8">
        <v>6.0</v>
      </c>
      <c r="M48" s="8"/>
      <c r="N48" s="8"/>
      <c r="O48" s="8" t="s">
        <v>700</v>
      </c>
      <c r="P48" s="8">
        <v>6.0</v>
      </c>
    </row>
    <row r="49">
      <c r="A49">
        <f>IFERROR(__xludf.DUMMYFUNCTION("""COMPUTED_VALUE"""),6.0)</f>
        <v>6</v>
      </c>
      <c r="B49">
        <f>IFERROR(__xludf.DUMMYFUNCTION("""COMPUTED_VALUE"""),31048.0)</f>
        <v>31048</v>
      </c>
      <c r="C49" t="str">
        <f>IFERROR(__xludf.DUMMYFUNCTION("""COMPUTED_VALUE"""),"GUERRA MARTINEZ, BENJAMIN")</f>
        <v>GUERRA MARTINEZ, BENJAMIN</v>
      </c>
      <c r="D49" t="str">
        <f>IFERROR(__xludf.DUMMYFUNCTION("""COMPUTED_VALUE"""),"Science 6")</f>
        <v>Science 6</v>
      </c>
      <c r="E49" s="31">
        <f>IFERROR(__xludf.DUMMYFUNCTION("""COMPUTED_VALUE"""),4.0)</f>
        <v>4</v>
      </c>
      <c r="F49" s="8">
        <v>1.0</v>
      </c>
      <c r="G49" s="8">
        <v>1.0</v>
      </c>
      <c r="H49" s="8">
        <v>1.0</v>
      </c>
      <c r="I49" s="8">
        <v>1.0</v>
      </c>
      <c r="J49" s="8">
        <v>1.0</v>
      </c>
      <c r="K49" s="8">
        <v>1.0</v>
      </c>
      <c r="L49" s="8">
        <v>6.0</v>
      </c>
      <c r="M49" s="8"/>
      <c r="N49" s="8"/>
      <c r="O49" s="8" t="s">
        <v>701</v>
      </c>
      <c r="P49" s="8">
        <v>6.0</v>
      </c>
    </row>
    <row r="50">
      <c r="A50">
        <f>IFERROR(__xludf.DUMMYFUNCTION("""COMPUTED_VALUE"""),6.0)</f>
        <v>6</v>
      </c>
      <c r="B50">
        <f>IFERROR(__xludf.DUMMYFUNCTION("""COMPUTED_VALUE"""),31049.0)</f>
        <v>31049</v>
      </c>
      <c r="C50" t="str">
        <f>IFERROR(__xludf.DUMMYFUNCTION("""COMPUTED_VALUE"""),"HENAO MARTINEZ, SOFIA")</f>
        <v>HENAO MARTINEZ, SOFIA</v>
      </c>
      <c r="D50" t="str">
        <f>IFERROR(__xludf.DUMMYFUNCTION("""COMPUTED_VALUE"""),"Science 6")</f>
        <v>Science 6</v>
      </c>
      <c r="E50" s="31">
        <f>IFERROR(__xludf.DUMMYFUNCTION("""COMPUTED_VALUE"""),4.0)</f>
        <v>4</v>
      </c>
      <c r="F50" s="8">
        <v>1.0</v>
      </c>
      <c r="G50" s="8">
        <v>1.0</v>
      </c>
      <c r="H50" s="8">
        <v>1.0</v>
      </c>
      <c r="I50" s="8">
        <v>1.0</v>
      </c>
      <c r="J50" s="8">
        <v>1.0</v>
      </c>
      <c r="K50" s="8">
        <v>1.0</v>
      </c>
      <c r="L50" s="8">
        <v>6.0</v>
      </c>
      <c r="M50" s="8"/>
      <c r="N50" s="8"/>
      <c r="O50" s="8" t="s">
        <v>701</v>
      </c>
      <c r="P50" s="8">
        <v>6.0</v>
      </c>
    </row>
    <row r="51">
      <c r="A51">
        <f>IFERROR(__xludf.DUMMYFUNCTION("""COMPUTED_VALUE"""),6.0)</f>
        <v>6</v>
      </c>
      <c r="B51">
        <f>IFERROR(__xludf.DUMMYFUNCTION("""COMPUTED_VALUE"""),31052.0)</f>
        <v>31052</v>
      </c>
      <c r="C51" t="str">
        <f>IFERROR(__xludf.DUMMYFUNCTION("""COMPUTED_VALUE"""),"IBAÑEZ MONTOYA, VALENTINA")</f>
        <v>IBAÑEZ MONTOYA, VALENTINA</v>
      </c>
      <c r="D51" t="str">
        <f>IFERROR(__xludf.DUMMYFUNCTION("""COMPUTED_VALUE"""),"Science 6")</f>
        <v>Science 6</v>
      </c>
      <c r="E51" s="31">
        <f>IFERROR(__xludf.DUMMYFUNCTION("""COMPUTED_VALUE"""),2.0)</f>
        <v>2</v>
      </c>
      <c r="F51" s="8">
        <v>1.0</v>
      </c>
      <c r="G51" s="8">
        <v>1.0</v>
      </c>
      <c r="H51" s="8">
        <v>1.0</v>
      </c>
      <c r="I51" s="8">
        <v>1.0</v>
      </c>
      <c r="J51" s="8">
        <v>1.0</v>
      </c>
      <c r="K51" s="8">
        <v>1.0</v>
      </c>
      <c r="L51" s="8">
        <v>6.0</v>
      </c>
      <c r="M51" s="8"/>
      <c r="N51" s="8"/>
      <c r="O51" s="8" t="s">
        <v>702</v>
      </c>
      <c r="P51" s="8">
        <v>6.0</v>
      </c>
    </row>
    <row r="52">
      <c r="A52">
        <f>IFERROR(__xludf.DUMMYFUNCTION("""COMPUTED_VALUE"""),6.0)</f>
        <v>6</v>
      </c>
      <c r="B52">
        <f>IFERROR(__xludf.DUMMYFUNCTION("""COMPUTED_VALUE"""),31054.0)</f>
        <v>31054</v>
      </c>
      <c r="C52" t="str">
        <f>IFERROR(__xludf.DUMMYFUNCTION("""COMPUTED_VALUE"""),"JALLER TRUJILLO, MARIA")</f>
        <v>JALLER TRUJILLO, MARIA</v>
      </c>
      <c r="D52" t="str">
        <f>IFERROR(__xludf.DUMMYFUNCTION("""COMPUTED_VALUE"""),"Science 6")</f>
        <v>Science 6</v>
      </c>
      <c r="E52" s="31">
        <f>IFERROR(__xludf.DUMMYFUNCTION("""COMPUTED_VALUE"""),6.0)</f>
        <v>6</v>
      </c>
      <c r="F52" s="8">
        <v>1.0</v>
      </c>
      <c r="G52" s="8">
        <v>1.0</v>
      </c>
      <c r="H52" s="8">
        <v>1.0</v>
      </c>
      <c r="I52" s="8">
        <v>1.0</v>
      </c>
      <c r="J52" s="8">
        <v>1.0</v>
      </c>
      <c r="K52" s="8">
        <v>1.0</v>
      </c>
      <c r="L52" s="8">
        <v>6.0</v>
      </c>
      <c r="M52" s="8"/>
      <c r="N52" s="8"/>
      <c r="O52" s="8" t="s">
        <v>699</v>
      </c>
      <c r="P52" s="8">
        <v>6.0</v>
      </c>
    </row>
    <row r="53">
      <c r="A53">
        <f>IFERROR(__xludf.DUMMYFUNCTION("""COMPUTED_VALUE"""),6.0)</f>
        <v>6</v>
      </c>
      <c r="B53">
        <f>IFERROR(__xludf.DUMMYFUNCTION("""COMPUTED_VALUE"""),31053.0)</f>
        <v>31053</v>
      </c>
      <c r="C53" t="str">
        <f>IFERROR(__xludf.DUMMYFUNCTION("""COMPUTED_VALUE"""),"JALLER VELEZ, MARTINA")</f>
        <v>JALLER VELEZ, MARTINA</v>
      </c>
      <c r="D53" t="str">
        <f>IFERROR(__xludf.DUMMYFUNCTION("""COMPUTED_VALUE"""),"Science 6")</f>
        <v>Science 6</v>
      </c>
      <c r="E53" s="31">
        <f>IFERROR(__xludf.DUMMYFUNCTION("""COMPUTED_VALUE"""),5.0)</f>
        <v>5</v>
      </c>
      <c r="F53" s="8">
        <v>1.0</v>
      </c>
      <c r="G53" s="8">
        <v>1.0</v>
      </c>
      <c r="H53" s="8">
        <v>1.0</v>
      </c>
      <c r="I53" s="8">
        <v>1.0</v>
      </c>
      <c r="J53" s="8">
        <v>1.0</v>
      </c>
      <c r="K53" s="8">
        <v>1.0</v>
      </c>
      <c r="L53" s="8">
        <v>6.0</v>
      </c>
      <c r="M53" s="8"/>
      <c r="N53" s="8"/>
      <c r="O53" s="8" t="s">
        <v>703</v>
      </c>
      <c r="P53" s="8">
        <v>6.0</v>
      </c>
    </row>
    <row r="54">
      <c r="A54">
        <f>IFERROR(__xludf.DUMMYFUNCTION("""COMPUTED_VALUE"""),6.0)</f>
        <v>6</v>
      </c>
      <c r="B54">
        <f>IFERROR(__xludf.DUMMYFUNCTION("""COMPUTED_VALUE"""),31057.0)</f>
        <v>31057</v>
      </c>
      <c r="C54" t="str">
        <f>IFERROR(__xludf.DUMMYFUNCTION("""COMPUTED_VALUE"""),"JARAMILLO ARBELAEZ, AMALIA")</f>
        <v>JARAMILLO ARBELAEZ, AMALIA</v>
      </c>
      <c r="D54" t="str">
        <f>IFERROR(__xludf.DUMMYFUNCTION("""COMPUTED_VALUE"""),"Science 6")</f>
        <v>Science 6</v>
      </c>
      <c r="E54" s="31">
        <f>IFERROR(__xludf.DUMMYFUNCTION("""COMPUTED_VALUE"""),2.0)</f>
        <v>2</v>
      </c>
      <c r="F54" s="8">
        <v>1.0</v>
      </c>
      <c r="G54" s="8">
        <v>1.0</v>
      </c>
      <c r="H54" s="8">
        <v>1.0</v>
      </c>
      <c r="I54" s="8">
        <v>1.0</v>
      </c>
      <c r="J54" s="8">
        <v>1.0</v>
      </c>
      <c r="K54" s="8">
        <v>1.0</v>
      </c>
      <c r="L54" s="8">
        <v>6.0</v>
      </c>
      <c r="M54" s="8"/>
      <c r="N54" s="8"/>
      <c r="O54" s="8" t="s">
        <v>702</v>
      </c>
      <c r="P54" s="8">
        <v>6.0</v>
      </c>
    </row>
    <row r="55">
      <c r="A55">
        <f>IFERROR(__xludf.DUMMYFUNCTION("""COMPUTED_VALUE"""),6.0)</f>
        <v>6</v>
      </c>
      <c r="B55">
        <f>IFERROR(__xludf.DUMMYFUNCTION("""COMPUTED_VALUE"""),31055.0)</f>
        <v>31055</v>
      </c>
      <c r="C55" t="str">
        <f>IFERROR(__xludf.DUMMYFUNCTION("""COMPUTED_VALUE"""),"JARAMILLO GONZALEZ, MARIA")</f>
        <v>JARAMILLO GONZALEZ, MARIA</v>
      </c>
      <c r="D55" t="str">
        <f>IFERROR(__xludf.DUMMYFUNCTION("""COMPUTED_VALUE"""),"Science 6")</f>
        <v>Science 6</v>
      </c>
      <c r="E55" s="31">
        <f>IFERROR(__xludf.DUMMYFUNCTION("""COMPUTED_VALUE"""),6.0)</f>
        <v>6</v>
      </c>
      <c r="F55" s="8">
        <v>1.0</v>
      </c>
      <c r="G55" s="8">
        <v>1.0</v>
      </c>
      <c r="H55" s="8">
        <v>1.0</v>
      </c>
      <c r="I55" s="8">
        <v>1.0</v>
      </c>
      <c r="J55" s="8">
        <v>1.0</v>
      </c>
      <c r="K55" s="8">
        <v>1.0</v>
      </c>
      <c r="L55" s="8">
        <v>6.0</v>
      </c>
      <c r="M55" s="8"/>
      <c r="N55" s="8"/>
      <c r="O55" s="8" t="s">
        <v>699</v>
      </c>
      <c r="P55" s="8">
        <v>6.0</v>
      </c>
    </row>
    <row r="56">
      <c r="A56">
        <f>IFERROR(__xludf.DUMMYFUNCTION("""COMPUTED_VALUE"""),6.0)</f>
        <v>6</v>
      </c>
      <c r="B56">
        <f>IFERROR(__xludf.DUMMYFUNCTION("""COMPUTED_VALUE"""),31058.0)</f>
        <v>31058</v>
      </c>
      <c r="C56" t="str">
        <f>IFERROR(__xludf.DUMMYFUNCTION("""COMPUTED_VALUE"""),"JARAMILLO OCHOA, LUCAS")</f>
        <v>JARAMILLO OCHOA, LUCAS</v>
      </c>
      <c r="D56" t="str">
        <f>IFERROR(__xludf.DUMMYFUNCTION("""COMPUTED_VALUE"""),"Science 6A")</f>
        <v>Science 6A</v>
      </c>
      <c r="E56" s="31">
        <f>IFERROR(__xludf.DUMMYFUNCTION("""COMPUTED_VALUE"""),3.0)</f>
        <v>3</v>
      </c>
      <c r="F56" s="8">
        <v>1.0</v>
      </c>
      <c r="G56" s="8">
        <v>1.0</v>
      </c>
      <c r="H56" s="8">
        <v>1.0</v>
      </c>
      <c r="I56" s="8">
        <v>1.0</v>
      </c>
      <c r="J56" s="8">
        <v>1.0</v>
      </c>
      <c r="K56" s="8">
        <v>1.0</v>
      </c>
      <c r="L56" s="8">
        <v>6.0</v>
      </c>
      <c r="M56" s="8"/>
      <c r="N56" s="8"/>
      <c r="O56" s="8" t="s">
        <v>704</v>
      </c>
      <c r="P56" s="8" t="e">
        <v>#N/A</v>
      </c>
    </row>
    <row r="57">
      <c r="A57">
        <f>IFERROR(__xludf.DUMMYFUNCTION("""COMPUTED_VALUE"""),6.0)</f>
        <v>6</v>
      </c>
      <c r="B57">
        <f>IFERROR(__xludf.DUMMYFUNCTION("""COMPUTED_VALUE"""),31059.0)</f>
        <v>31059</v>
      </c>
      <c r="C57" t="str">
        <f>IFERROR(__xludf.DUMMYFUNCTION("""COMPUTED_VALUE"""),"JIMENEZ ESCOBAR, ROSARIO")</f>
        <v>JIMENEZ ESCOBAR, ROSARIO</v>
      </c>
      <c r="D57" t="str">
        <f>IFERROR(__xludf.DUMMYFUNCTION("""COMPUTED_VALUE"""),"Science 6A")</f>
        <v>Science 6A</v>
      </c>
      <c r="E57" s="31">
        <f>IFERROR(__xludf.DUMMYFUNCTION("""COMPUTED_VALUE"""),3.0)</f>
        <v>3</v>
      </c>
      <c r="F57" s="8">
        <v>1.0</v>
      </c>
      <c r="G57" s="8">
        <v>1.0</v>
      </c>
      <c r="H57" s="8">
        <v>1.0</v>
      </c>
      <c r="I57" s="8">
        <v>1.0</v>
      </c>
      <c r="J57" s="8">
        <v>1.0</v>
      </c>
      <c r="K57" s="8">
        <v>1.0</v>
      </c>
      <c r="L57" s="8">
        <v>6.0</v>
      </c>
      <c r="M57" s="8"/>
      <c r="N57" s="8"/>
      <c r="O57" s="8" t="s">
        <v>704</v>
      </c>
      <c r="P57" s="8" t="e">
        <v>#N/A</v>
      </c>
    </row>
    <row r="58">
      <c r="A58">
        <f>IFERROR(__xludf.DUMMYFUNCTION("""COMPUTED_VALUE"""),6.0)</f>
        <v>6</v>
      </c>
      <c r="B58">
        <f>IFERROR(__xludf.DUMMYFUNCTION("""COMPUTED_VALUE"""),31172.0)</f>
        <v>31172</v>
      </c>
      <c r="C58" t="str">
        <f>IFERROR(__xludf.DUMMYFUNCTION("""COMPUTED_VALUE"""),"JONCK CORRENTE, CLARICE")</f>
        <v>JONCK CORRENTE, CLARICE</v>
      </c>
      <c r="D58" t="str">
        <f>IFERROR(__xludf.DUMMYFUNCTION("""COMPUTED_VALUE"""),"Science 6")</f>
        <v>Science 6</v>
      </c>
      <c r="E58" s="31">
        <f>IFERROR(__xludf.DUMMYFUNCTION("""COMPUTED_VALUE"""),2.0)</f>
        <v>2</v>
      </c>
      <c r="F58" s="8">
        <v>1.0</v>
      </c>
      <c r="G58" s="8">
        <v>1.0</v>
      </c>
      <c r="H58" s="8">
        <v>1.0</v>
      </c>
      <c r="I58" s="8">
        <v>1.0</v>
      </c>
      <c r="J58" s="8">
        <v>1.0</v>
      </c>
      <c r="K58" s="8">
        <v>1.0</v>
      </c>
      <c r="L58" s="8">
        <v>6.0</v>
      </c>
      <c r="M58" s="8"/>
      <c r="N58" s="8"/>
      <c r="O58" s="8" t="s">
        <v>702</v>
      </c>
      <c r="P58" s="8">
        <v>6.0</v>
      </c>
    </row>
    <row r="59">
      <c r="A59">
        <f>IFERROR(__xludf.DUMMYFUNCTION("""COMPUTED_VALUE"""),6.0)</f>
        <v>6</v>
      </c>
      <c r="B59">
        <f>IFERROR(__xludf.DUMMYFUNCTION("""COMPUTED_VALUE"""),31061.0)</f>
        <v>31061</v>
      </c>
      <c r="C59" t="str">
        <f>IFERROR(__xludf.DUMMYFUNCTION("""COMPUTED_VALUE"""),"LAVERDE GIRALDO, CONSTANTINO")</f>
        <v>LAVERDE GIRALDO, CONSTANTINO</v>
      </c>
      <c r="D59" t="str">
        <f>IFERROR(__xludf.DUMMYFUNCTION("""COMPUTED_VALUE"""),"Science 6A")</f>
        <v>Science 6A</v>
      </c>
      <c r="E59" s="31">
        <f>IFERROR(__xludf.DUMMYFUNCTION("""COMPUTED_VALUE"""),3.0)</f>
        <v>3</v>
      </c>
      <c r="F59" s="8">
        <v>1.0</v>
      </c>
      <c r="G59" s="8">
        <v>1.0</v>
      </c>
      <c r="H59" s="8">
        <v>1.0</v>
      </c>
      <c r="I59" s="8">
        <v>1.0</v>
      </c>
      <c r="J59" s="8">
        <v>1.0</v>
      </c>
      <c r="K59" s="8">
        <v>1.0</v>
      </c>
      <c r="L59" s="8">
        <v>6.0</v>
      </c>
      <c r="M59" s="8"/>
      <c r="N59" s="8"/>
      <c r="O59" s="8" t="s">
        <v>704</v>
      </c>
      <c r="P59" s="8" t="e">
        <v>#N/A</v>
      </c>
    </row>
    <row r="60">
      <c r="A60">
        <f>IFERROR(__xludf.DUMMYFUNCTION("""COMPUTED_VALUE"""),6.0)</f>
        <v>6</v>
      </c>
      <c r="B60">
        <f>IFERROR(__xludf.DUMMYFUNCTION("""COMPUTED_VALUE"""),31060.0)</f>
        <v>31060</v>
      </c>
      <c r="C60" t="str">
        <f>IFERROR(__xludf.DUMMYFUNCTION("""COMPUTED_VALUE"""),"LAVERDE MOLINA, MATIAS")</f>
        <v>LAVERDE MOLINA, MATIAS</v>
      </c>
      <c r="D60" t="str">
        <f>IFERROR(__xludf.DUMMYFUNCTION("""COMPUTED_VALUE"""),"Science 6")</f>
        <v>Science 6</v>
      </c>
      <c r="E60" s="31">
        <f>IFERROR(__xludf.DUMMYFUNCTION("""COMPUTED_VALUE"""),2.0)</f>
        <v>2</v>
      </c>
      <c r="F60" s="8">
        <v>1.0</v>
      </c>
      <c r="G60" s="8">
        <v>1.0</v>
      </c>
      <c r="H60" s="8">
        <v>1.0</v>
      </c>
      <c r="I60" s="8">
        <v>1.0</v>
      </c>
      <c r="J60" s="8">
        <v>1.0</v>
      </c>
      <c r="K60" s="8">
        <v>1.0</v>
      </c>
      <c r="L60" s="8">
        <v>6.0</v>
      </c>
      <c r="M60" s="8"/>
      <c r="N60" s="8"/>
      <c r="O60" s="8" t="s">
        <v>702</v>
      </c>
      <c r="P60" s="8">
        <v>6.0</v>
      </c>
    </row>
    <row r="61">
      <c r="A61">
        <f>IFERROR(__xludf.DUMMYFUNCTION("""COMPUTED_VALUE"""),6.0)</f>
        <v>6</v>
      </c>
      <c r="B61">
        <f>IFERROR(__xludf.DUMMYFUNCTION("""COMPUTED_VALUE"""),31062.0)</f>
        <v>31062</v>
      </c>
      <c r="C61" t="str">
        <f>IFERROR(__xludf.DUMMYFUNCTION("""COMPUTED_VALUE"""),"LEMA GARCIA, MIA")</f>
        <v>LEMA GARCIA, MIA</v>
      </c>
      <c r="D61" t="str">
        <f>IFERROR(__xludf.DUMMYFUNCTION("""COMPUTED_VALUE"""),"Science 6")</f>
        <v>Science 6</v>
      </c>
      <c r="E61" s="31">
        <f>IFERROR(__xludf.DUMMYFUNCTION("""COMPUTED_VALUE"""),3.0)</f>
        <v>3</v>
      </c>
      <c r="F61" s="8">
        <v>1.0</v>
      </c>
      <c r="G61" s="8">
        <v>1.0</v>
      </c>
      <c r="H61" s="8">
        <v>1.0</v>
      </c>
      <c r="I61" s="8">
        <v>1.0</v>
      </c>
      <c r="J61" s="8">
        <v>1.0</v>
      </c>
      <c r="K61" s="8">
        <v>1.0</v>
      </c>
      <c r="L61" s="8">
        <v>6.0</v>
      </c>
      <c r="M61" s="8"/>
      <c r="N61" s="8"/>
      <c r="O61" s="8" t="s">
        <v>700</v>
      </c>
      <c r="P61" s="8">
        <v>6.0</v>
      </c>
    </row>
    <row r="62">
      <c r="A62">
        <f>IFERROR(__xludf.DUMMYFUNCTION("""COMPUTED_VALUE"""),6.0)</f>
        <v>6</v>
      </c>
      <c r="B62">
        <f>IFERROR(__xludf.DUMMYFUNCTION("""COMPUTED_VALUE"""),31063.0)</f>
        <v>31063</v>
      </c>
      <c r="C62" t="str">
        <f>IFERROR(__xludf.DUMMYFUNCTION("""COMPUTED_VALUE"""),"LONDOÑO ARRIOLA, LUCIA")</f>
        <v>LONDOÑO ARRIOLA, LUCIA</v>
      </c>
      <c r="D62" t="str">
        <f>IFERROR(__xludf.DUMMYFUNCTION("""COMPUTED_VALUE"""),"Science 6")</f>
        <v>Science 6</v>
      </c>
      <c r="E62" s="31">
        <f>IFERROR(__xludf.DUMMYFUNCTION("""COMPUTED_VALUE"""),5.0)</f>
        <v>5</v>
      </c>
      <c r="F62" s="8">
        <v>1.0</v>
      </c>
      <c r="G62" s="8">
        <v>1.0</v>
      </c>
      <c r="H62" s="8">
        <v>1.0</v>
      </c>
      <c r="I62" s="8">
        <v>1.0</v>
      </c>
      <c r="J62" s="8">
        <v>1.0</v>
      </c>
      <c r="K62" s="8">
        <v>1.0</v>
      </c>
      <c r="L62" s="8">
        <v>6.0</v>
      </c>
      <c r="M62" s="8"/>
      <c r="N62" s="8"/>
      <c r="O62" s="8" t="s">
        <v>703</v>
      </c>
      <c r="P62" s="8">
        <v>6.0</v>
      </c>
    </row>
    <row r="63">
      <c r="A63">
        <f>IFERROR(__xludf.DUMMYFUNCTION("""COMPUTED_VALUE"""),6.0)</f>
        <v>6</v>
      </c>
      <c r="B63">
        <f>IFERROR(__xludf.DUMMYFUNCTION("""COMPUTED_VALUE"""),32076.0)</f>
        <v>32076</v>
      </c>
      <c r="C63" t="str">
        <f>IFERROR(__xludf.DUMMYFUNCTION("""COMPUTED_VALUE"""),"LONDOÑO BAQUERO, JUAN")</f>
        <v>LONDOÑO BAQUERO, JUAN</v>
      </c>
      <c r="D63" t="str">
        <f>IFERROR(__xludf.DUMMYFUNCTION("""COMPUTED_VALUE"""),"Science 6")</f>
        <v>Science 6</v>
      </c>
      <c r="E63" s="31">
        <f>IFERROR(__xludf.DUMMYFUNCTION("""COMPUTED_VALUE"""),6.0)</f>
        <v>6</v>
      </c>
      <c r="F63" s="8">
        <v>1.0</v>
      </c>
      <c r="G63" s="8">
        <v>1.0</v>
      </c>
      <c r="H63" s="8">
        <v>1.0</v>
      </c>
      <c r="I63" s="8">
        <v>1.0</v>
      </c>
      <c r="J63" s="8">
        <v>1.0</v>
      </c>
      <c r="K63" s="8">
        <v>1.0</v>
      </c>
      <c r="L63" s="8">
        <v>6.0</v>
      </c>
      <c r="M63" s="8"/>
      <c r="N63" s="8"/>
      <c r="O63" s="8" t="s">
        <v>699</v>
      </c>
      <c r="P63" s="8">
        <v>6.0</v>
      </c>
    </row>
    <row r="64">
      <c r="A64">
        <f>IFERROR(__xludf.DUMMYFUNCTION("""COMPUTED_VALUE"""),6.0)</f>
        <v>6</v>
      </c>
      <c r="B64">
        <f>IFERROR(__xludf.DUMMYFUNCTION("""COMPUTED_VALUE"""),31064.0)</f>
        <v>31064</v>
      </c>
      <c r="C64" t="str">
        <f>IFERROR(__xludf.DUMMYFUNCTION("""COMPUTED_VALUE"""),"MARQUEZ BARRERA, LORENZO CAYETANO")</f>
        <v>MARQUEZ BARRERA, LORENZO CAYETANO</v>
      </c>
      <c r="D64" t="str">
        <f>IFERROR(__xludf.DUMMYFUNCTION("""COMPUTED_VALUE"""),"Science 6")</f>
        <v>Science 6</v>
      </c>
      <c r="E64" s="31">
        <f>IFERROR(__xludf.DUMMYFUNCTION("""COMPUTED_VALUE"""),5.0)</f>
        <v>5</v>
      </c>
      <c r="F64" s="8">
        <v>1.0</v>
      </c>
      <c r="G64" s="8">
        <v>1.0</v>
      </c>
      <c r="H64" s="8">
        <v>1.0</v>
      </c>
      <c r="I64" s="8">
        <v>1.0</v>
      </c>
      <c r="J64" s="8">
        <v>1.0</v>
      </c>
      <c r="K64" s="8">
        <v>1.0</v>
      </c>
      <c r="L64" s="8">
        <v>6.0</v>
      </c>
      <c r="M64" s="8"/>
      <c r="N64" s="8"/>
      <c r="O64" s="8" t="s">
        <v>703</v>
      </c>
      <c r="P64" s="8">
        <v>6.0</v>
      </c>
    </row>
    <row r="65">
      <c r="A65">
        <f>IFERROR(__xludf.DUMMYFUNCTION("""COMPUTED_VALUE"""),6.0)</f>
        <v>6</v>
      </c>
      <c r="B65">
        <f>IFERROR(__xludf.DUMMYFUNCTION("""COMPUTED_VALUE"""),31065.0)</f>
        <v>31065</v>
      </c>
      <c r="C65" t="str">
        <f>IFERROR(__xludf.DUMMYFUNCTION("""COMPUTED_VALUE"""),"MARTINEZ UPEGUI, PEDRO")</f>
        <v>MARTINEZ UPEGUI, PEDRO</v>
      </c>
      <c r="D65" t="str">
        <f>IFERROR(__xludf.DUMMYFUNCTION("""COMPUTED_VALUE"""),"Science 6")</f>
        <v>Science 6</v>
      </c>
      <c r="E65" s="31">
        <f>IFERROR(__xludf.DUMMYFUNCTION("""COMPUTED_VALUE"""),6.0)</f>
        <v>6</v>
      </c>
      <c r="F65" s="8">
        <v>1.0</v>
      </c>
      <c r="G65" s="8">
        <v>1.0</v>
      </c>
      <c r="H65" s="8">
        <v>1.0</v>
      </c>
      <c r="I65" s="8">
        <v>1.0</v>
      </c>
      <c r="J65" s="8">
        <v>1.0</v>
      </c>
      <c r="K65" s="8">
        <v>1.0</v>
      </c>
      <c r="L65" s="8">
        <v>6.0</v>
      </c>
      <c r="M65" s="8"/>
      <c r="N65" s="8"/>
      <c r="O65" s="8" t="s">
        <v>699</v>
      </c>
      <c r="P65" s="8">
        <v>6.0</v>
      </c>
    </row>
    <row r="66">
      <c r="A66">
        <f>IFERROR(__xludf.DUMMYFUNCTION("""COMPUTED_VALUE"""),6.0)</f>
        <v>6</v>
      </c>
      <c r="B66">
        <f>IFERROR(__xludf.DUMMYFUNCTION("""COMPUTED_VALUE"""),31066.0)</f>
        <v>31066</v>
      </c>
      <c r="C66" t="str">
        <f>IFERROR(__xludf.DUMMYFUNCTION("""COMPUTED_VALUE"""),"MATALLANA TOBON, ROSARIO")</f>
        <v>MATALLANA TOBON, ROSARIO</v>
      </c>
      <c r="D66" t="str">
        <f>IFERROR(__xludf.DUMMYFUNCTION("""COMPUTED_VALUE"""),"Science 6")</f>
        <v>Science 6</v>
      </c>
      <c r="E66" s="31">
        <f>IFERROR(__xludf.DUMMYFUNCTION("""COMPUTED_VALUE"""),4.0)</f>
        <v>4</v>
      </c>
      <c r="F66" s="8">
        <v>1.0</v>
      </c>
      <c r="G66" s="8">
        <v>1.0</v>
      </c>
      <c r="H66" s="8">
        <v>1.0</v>
      </c>
      <c r="I66" s="8">
        <v>1.0</v>
      </c>
      <c r="J66" s="8">
        <v>1.0</v>
      </c>
      <c r="K66" s="8">
        <v>1.0</v>
      </c>
      <c r="L66" s="8">
        <v>6.0</v>
      </c>
      <c r="M66" s="8"/>
      <c r="N66" s="8"/>
      <c r="O66" s="8" t="s">
        <v>701</v>
      </c>
      <c r="P66" s="8">
        <v>6.0</v>
      </c>
    </row>
    <row r="67">
      <c r="A67">
        <f>IFERROR(__xludf.DUMMYFUNCTION("""COMPUTED_VALUE"""),6.0)</f>
        <v>6</v>
      </c>
      <c r="B67">
        <f>IFERROR(__xludf.DUMMYFUNCTION("""COMPUTED_VALUE"""),31067.0)</f>
        <v>31067</v>
      </c>
      <c r="C67" t="str">
        <f>IFERROR(__xludf.DUMMYFUNCTION("""COMPUTED_VALUE"""),"MAYA BEDOYA, EMILIA")</f>
        <v>MAYA BEDOYA, EMILIA</v>
      </c>
      <c r="D67" t="str">
        <f>IFERROR(__xludf.DUMMYFUNCTION("""COMPUTED_VALUE"""),"Science 6")</f>
        <v>Science 6</v>
      </c>
      <c r="E67" s="31">
        <f>IFERROR(__xludf.DUMMYFUNCTION("""COMPUTED_VALUE"""),5.0)</f>
        <v>5</v>
      </c>
      <c r="F67" s="8">
        <v>1.0</v>
      </c>
      <c r="G67" s="8">
        <v>1.0</v>
      </c>
      <c r="H67" s="8">
        <v>1.0</v>
      </c>
      <c r="I67" s="8">
        <v>1.0</v>
      </c>
      <c r="J67" s="8">
        <v>1.0</v>
      </c>
      <c r="K67" s="8">
        <v>1.0</v>
      </c>
      <c r="L67" s="8">
        <v>6.0</v>
      </c>
      <c r="M67" s="8"/>
      <c r="N67" s="8"/>
      <c r="O67" s="8" t="s">
        <v>703</v>
      </c>
      <c r="P67" s="8">
        <v>6.0</v>
      </c>
    </row>
    <row r="68">
      <c r="A68">
        <f>IFERROR(__xludf.DUMMYFUNCTION("""COMPUTED_VALUE"""),6.0)</f>
        <v>6</v>
      </c>
      <c r="B68">
        <f>IFERROR(__xludf.DUMMYFUNCTION("""COMPUTED_VALUE"""),31149.0)</f>
        <v>31149</v>
      </c>
      <c r="C68" t="str">
        <f>IFERROR(__xludf.DUMMYFUNCTION("""COMPUTED_VALUE"""),"MAZO DIAZ, ANTONIO")</f>
        <v>MAZO DIAZ, ANTONIO</v>
      </c>
      <c r="D68" t="str">
        <f>IFERROR(__xludf.DUMMYFUNCTION("""COMPUTED_VALUE"""),"Science 6")</f>
        <v>Science 6</v>
      </c>
      <c r="E68" s="31">
        <f>IFERROR(__xludf.DUMMYFUNCTION("""COMPUTED_VALUE"""),3.0)</f>
        <v>3</v>
      </c>
      <c r="F68" s="8">
        <v>1.0</v>
      </c>
      <c r="G68" s="8">
        <v>1.0</v>
      </c>
      <c r="H68" s="8">
        <v>1.0</v>
      </c>
      <c r="I68" s="8">
        <v>1.0</v>
      </c>
      <c r="J68" s="8">
        <v>1.0</v>
      </c>
      <c r="K68" s="8">
        <v>1.0</v>
      </c>
      <c r="L68" s="8">
        <v>6.0</v>
      </c>
      <c r="M68" s="8"/>
      <c r="N68" s="8"/>
      <c r="O68" s="8" t="s">
        <v>700</v>
      </c>
      <c r="P68" s="8">
        <v>6.0</v>
      </c>
    </row>
    <row r="69">
      <c r="A69">
        <f>IFERROR(__xludf.DUMMYFUNCTION("""COMPUTED_VALUE"""),6.0)</f>
        <v>6</v>
      </c>
      <c r="B69">
        <f>IFERROR(__xludf.DUMMYFUNCTION("""COMPUTED_VALUE"""),31164.0)</f>
        <v>31164</v>
      </c>
      <c r="C69" t="str">
        <f>IFERROR(__xludf.DUMMYFUNCTION("""COMPUTED_VALUE"""),"MCGARGHAN, RHYS LEIGH-ANNA")</f>
        <v>MCGARGHAN, RHYS LEIGH-ANNA</v>
      </c>
      <c r="D69" t="str">
        <f>IFERROR(__xludf.DUMMYFUNCTION("""COMPUTED_VALUE"""),"Science 6")</f>
        <v>Science 6</v>
      </c>
      <c r="E69" s="31">
        <f>IFERROR(__xludf.DUMMYFUNCTION("""COMPUTED_VALUE"""),4.0)</f>
        <v>4</v>
      </c>
      <c r="F69" s="8">
        <v>1.0</v>
      </c>
      <c r="G69" s="8">
        <v>1.0</v>
      </c>
      <c r="H69" s="8">
        <v>1.0</v>
      </c>
      <c r="I69" s="8">
        <v>1.0</v>
      </c>
      <c r="J69" s="8">
        <v>1.0</v>
      </c>
      <c r="K69" s="8">
        <v>1.0</v>
      </c>
      <c r="L69" s="8">
        <v>6.0</v>
      </c>
      <c r="M69" s="8"/>
      <c r="N69" s="8"/>
      <c r="O69" s="8" t="s">
        <v>701</v>
      </c>
      <c r="P69" s="8">
        <v>6.0</v>
      </c>
    </row>
    <row r="70">
      <c r="A70">
        <f>IFERROR(__xludf.DUMMYFUNCTION("""COMPUTED_VALUE"""),6.0)</f>
        <v>6</v>
      </c>
      <c r="B70">
        <f>IFERROR(__xludf.DUMMYFUNCTION("""COMPUTED_VALUE"""),31070.0)</f>
        <v>31070</v>
      </c>
      <c r="C70" t="str">
        <f>IFERROR(__xludf.DUMMYFUNCTION("""COMPUTED_VALUE"""),"MEJIA GALLEGO, MARTIN")</f>
        <v>MEJIA GALLEGO, MARTIN</v>
      </c>
      <c r="D70" t="str">
        <f>IFERROR(__xludf.DUMMYFUNCTION("""COMPUTED_VALUE"""),"Science 6")</f>
        <v>Science 6</v>
      </c>
      <c r="E70" s="31">
        <f>IFERROR(__xludf.DUMMYFUNCTION("""COMPUTED_VALUE"""),2.0)</f>
        <v>2</v>
      </c>
      <c r="F70" s="8">
        <v>1.0</v>
      </c>
      <c r="G70" s="8">
        <v>1.0</v>
      </c>
      <c r="H70" s="8">
        <v>1.0</v>
      </c>
      <c r="I70" s="8">
        <v>1.0</v>
      </c>
      <c r="J70" s="8">
        <v>1.0</v>
      </c>
      <c r="K70" s="8">
        <v>1.0</v>
      </c>
      <c r="L70" s="8">
        <v>6.0</v>
      </c>
      <c r="M70" s="8"/>
      <c r="N70" s="8"/>
      <c r="O70" s="8" t="s">
        <v>702</v>
      </c>
      <c r="P70" s="8">
        <v>6.0</v>
      </c>
    </row>
    <row r="71">
      <c r="A71">
        <f>IFERROR(__xludf.DUMMYFUNCTION("""COMPUTED_VALUE"""),6.0)</f>
        <v>6</v>
      </c>
      <c r="B71">
        <f>IFERROR(__xludf.DUMMYFUNCTION("""COMPUTED_VALUE"""),31071.0)</f>
        <v>31071</v>
      </c>
      <c r="C71" t="str">
        <f>IFERROR(__xludf.DUMMYFUNCTION("""COMPUTED_VALUE"""),"MEJIA TORO, MIGUEL")</f>
        <v>MEJIA TORO, MIGUEL</v>
      </c>
      <c r="D71" t="str">
        <f>IFERROR(__xludf.DUMMYFUNCTION("""COMPUTED_VALUE"""),"Science 6")</f>
        <v>Science 6</v>
      </c>
      <c r="E71" s="31">
        <f>IFERROR(__xludf.DUMMYFUNCTION("""COMPUTED_VALUE"""),5.0)</f>
        <v>5</v>
      </c>
      <c r="F71" s="8">
        <v>1.0</v>
      </c>
      <c r="G71" s="8">
        <v>1.0</v>
      </c>
      <c r="H71" s="8">
        <v>1.0</v>
      </c>
      <c r="I71" s="8">
        <v>1.0</v>
      </c>
      <c r="J71" s="8">
        <v>1.0</v>
      </c>
      <c r="K71" s="8">
        <v>1.0</v>
      </c>
      <c r="L71" s="8">
        <v>6.0</v>
      </c>
      <c r="M71" s="8"/>
      <c r="N71" s="8"/>
      <c r="O71" s="8" t="s">
        <v>703</v>
      </c>
      <c r="P71" s="8">
        <v>6.0</v>
      </c>
    </row>
    <row r="72">
      <c r="A72">
        <f>IFERROR(__xludf.DUMMYFUNCTION("""COMPUTED_VALUE"""),6.0)</f>
        <v>6</v>
      </c>
      <c r="B72">
        <f>IFERROR(__xludf.DUMMYFUNCTION("""COMPUTED_VALUE"""),31072.0)</f>
        <v>31072</v>
      </c>
      <c r="C72" t="str">
        <f>IFERROR(__xludf.DUMMYFUNCTION("""COMPUTED_VALUE"""),"MEJIA VELEZ, ABRIL")</f>
        <v>MEJIA VELEZ, ABRIL</v>
      </c>
      <c r="D72" t="str">
        <f>IFERROR(__xludf.DUMMYFUNCTION("""COMPUTED_VALUE"""),"Science 6")</f>
        <v>Science 6</v>
      </c>
      <c r="E72" s="31">
        <f>IFERROR(__xludf.DUMMYFUNCTION("""COMPUTED_VALUE"""),6.0)</f>
        <v>6</v>
      </c>
      <c r="F72" s="8">
        <v>1.0</v>
      </c>
      <c r="G72" s="8">
        <v>1.0</v>
      </c>
      <c r="H72" s="8">
        <v>1.0</v>
      </c>
      <c r="I72" s="8">
        <v>1.0</v>
      </c>
      <c r="J72" s="8">
        <v>1.0</v>
      </c>
      <c r="K72" s="8">
        <v>1.0</v>
      </c>
      <c r="L72" s="8">
        <v>6.0</v>
      </c>
      <c r="M72" s="8"/>
      <c r="N72" s="8"/>
      <c r="O72" s="8" t="s">
        <v>699</v>
      </c>
      <c r="P72" s="8">
        <v>6.0</v>
      </c>
    </row>
    <row r="73">
      <c r="A73">
        <f>IFERROR(__xludf.DUMMYFUNCTION("""COMPUTED_VALUE"""),6.0)</f>
        <v>6</v>
      </c>
      <c r="B73">
        <f>IFERROR(__xludf.DUMMYFUNCTION("""COMPUTED_VALUE"""),31157.0)</f>
        <v>31157</v>
      </c>
      <c r="C73" t="str">
        <f>IFERROR(__xludf.DUMMYFUNCTION("""COMPUTED_VALUE"""),"MILLAN HUERTAS, EMILIANO")</f>
        <v>MILLAN HUERTAS, EMILIANO</v>
      </c>
      <c r="D73" t="str">
        <f>IFERROR(__xludf.DUMMYFUNCTION("""COMPUTED_VALUE"""),"Science 6")</f>
        <v>Science 6</v>
      </c>
      <c r="E73" s="31">
        <f>IFERROR(__xludf.DUMMYFUNCTION("""COMPUTED_VALUE"""),2.0)</f>
        <v>2</v>
      </c>
      <c r="F73" s="8">
        <v>1.0</v>
      </c>
      <c r="G73" s="8">
        <v>1.0</v>
      </c>
      <c r="H73" s="8">
        <v>1.0</v>
      </c>
      <c r="I73" s="8">
        <v>1.0</v>
      </c>
      <c r="J73" s="8">
        <v>1.0</v>
      </c>
      <c r="K73" s="8">
        <v>1.0</v>
      </c>
      <c r="L73" s="8">
        <v>6.0</v>
      </c>
      <c r="M73" s="8"/>
      <c r="N73" s="8"/>
      <c r="O73" s="8" t="s">
        <v>702</v>
      </c>
      <c r="P73" s="8">
        <v>6.0</v>
      </c>
    </row>
    <row r="74">
      <c r="A74">
        <f>IFERROR(__xludf.DUMMYFUNCTION("""COMPUTED_VALUE"""),6.0)</f>
        <v>6</v>
      </c>
      <c r="B74">
        <f>IFERROR(__xludf.DUMMYFUNCTION("""COMPUTED_VALUE"""),31073.0)</f>
        <v>31073</v>
      </c>
      <c r="C74" t="str">
        <f>IFERROR(__xludf.DUMMYFUNCTION("""COMPUTED_VALUE"""),"MISAS MESA, RAFAEL")</f>
        <v>MISAS MESA, RAFAEL</v>
      </c>
      <c r="D74" t="str">
        <f>IFERROR(__xludf.DUMMYFUNCTION("""COMPUTED_VALUE"""),"Science 6")</f>
        <v>Science 6</v>
      </c>
      <c r="E74" s="31">
        <f>IFERROR(__xludf.DUMMYFUNCTION("""COMPUTED_VALUE"""),4.0)</f>
        <v>4</v>
      </c>
      <c r="F74" s="8">
        <v>1.0</v>
      </c>
      <c r="G74" s="8">
        <v>1.0</v>
      </c>
      <c r="H74" s="8">
        <v>1.0</v>
      </c>
      <c r="I74" s="8">
        <v>1.0</v>
      </c>
      <c r="J74" s="8">
        <v>1.0</v>
      </c>
      <c r="K74" s="8">
        <v>1.0</v>
      </c>
      <c r="L74" s="8">
        <v>6.0</v>
      </c>
      <c r="M74" s="8"/>
      <c r="N74" s="8"/>
      <c r="O74" s="8" t="s">
        <v>701</v>
      </c>
      <c r="P74" s="8">
        <v>6.0</v>
      </c>
    </row>
    <row r="75">
      <c r="A75">
        <f>IFERROR(__xludf.DUMMYFUNCTION("""COMPUTED_VALUE"""),6.0)</f>
        <v>6</v>
      </c>
      <c r="B75">
        <f>IFERROR(__xludf.DUMMYFUNCTION("""COMPUTED_VALUE"""),31074.0)</f>
        <v>31074</v>
      </c>
      <c r="C75" t="str">
        <f>IFERROR(__xludf.DUMMYFUNCTION("""COMPUTED_VALUE"""),"MONTOYA BERNAL, FELIPE")</f>
        <v>MONTOYA BERNAL, FELIPE</v>
      </c>
      <c r="D75" t="str">
        <f>IFERROR(__xludf.DUMMYFUNCTION("""COMPUTED_VALUE"""),"Science 6")</f>
        <v>Science 6</v>
      </c>
      <c r="E75" s="31">
        <f>IFERROR(__xludf.DUMMYFUNCTION("""COMPUTED_VALUE"""),4.0)</f>
        <v>4</v>
      </c>
      <c r="F75" s="8">
        <v>1.0</v>
      </c>
      <c r="G75" s="8">
        <v>1.0</v>
      </c>
      <c r="H75" s="8">
        <v>1.0</v>
      </c>
      <c r="I75" s="8">
        <v>1.0</v>
      </c>
      <c r="J75" s="8">
        <v>1.0</v>
      </c>
      <c r="K75" s="8">
        <v>1.0</v>
      </c>
      <c r="L75" s="8">
        <v>6.0</v>
      </c>
      <c r="M75" s="8"/>
      <c r="N75" s="8"/>
      <c r="O75" s="8" t="s">
        <v>701</v>
      </c>
      <c r="P75" s="8">
        <v>6.0</v>
      </c>
    </row>
    <row r="76">
      <c r="A76">
        <f>IFERROR(__xludf.DUMMYFUNCTION("""COMPUTED_VALUE"""),6.0)</f>
        <v>6</v>
      </c>
      <c r="B76">
        <f>IFERROR(__xludf.DUMMYFUNCTION("""COMPUTED_VALUE"""),31075.0)</f>
        <v>31075</v>
      </c>
      <c r="C76" t="str">
        <f>IFERROR(__xludf.DUMMYFUNCTION("""COMPUTED_VALUE"""),"MORENO MORENO, CARLOTA")</f>
        <v>MORENO MORENO, CARLOTA</v>
      </c>
      <c r="D76" t="str">
        <f>IFERROR(__xludf.DUMMYFUNCTION("""COMPUTED_VALUE"""),"Science 6")</f>
        <v>Science 6</v>
      </c>
      <c r="E76" s="31">
        <f>IFERROR(__xludf.DUMMYFUNCTION("""COMPUTED_VALUE"""),5.0)</f>
        <v>5</v>
      </c>
      <c r="F76" s="8">
        <v>1.0</v>
      </c>
      <c r="G76" s="8">
        <v>1.0</v>
      </c>
      <c r="H76" s="8">
        <v>1.0</v>
      </c>
      <c r="I76" s="8">
        <v>1.0</v>
      </c>
      <c r="J76" s="8">
        <v>1.0</v>
      </c>
      <c r="K76" s="8">
        <v>1.0</v>
      </c>
      <c r="L76" s="8">
        <v>6.0</v>
      </c>
      <c r="M76" s="8"/>
      <c r="N76" s="8"/>
      <c r="O76" s="8" t="s">
        <v>703</v>
      </c>
      <c r="P76" s="8">
        <v>6.0</v>
      </c>
    </row>
    <row r="77">
      <c r="A77">
        <f>IFERROR(__xludf.DUMMYFUNCTION("""COMPUTED_VALUE"""),6.0)</f>
        <v>6</v>
      </c>
      <c r="B77">
        <f>IFERROR(__xludf.DUMMYFUNCTION("""COMPUTED_VALUE"""),31076.0)</f>
        <v>31076</v>
      </c>
      <c r="C77" t="str">
        <f>IFERROR(__xludf.DUMMYFUNCTION("""COMPUTED_VALUE"""),"MORENO PALACIO, SIMON")</f>
        <v>MORENO PALACIO, SIMON</v>
      </c>
      <c r="D77" t="str">
        <f>IFERROR(__xludf.DUMMYFUNCTION("""COMPUTED_VALUE"""),"Science 6")</f>
        <v>Science 6</v>
      </c>
      <c r="E77" s="31">
        <f>IFERROR(__xludf.DUMMYFUNCTION("""COMPUTED_VALUE"""),2.0)</f>
        <v>2</v>
      </c>
      <c r="F77" s="8">
        <v>1.0</v>
      </c>
      <c r="G77" s="8">
        <v>1.0</v>
      </c>
      <c r="H77" s="8">
        <v>1.0</v>
      </c>
      <c r="I77" s="8">
        <v>1.0</v>
      </c>
      <c r="J77" s="8">
        <v>1.0</v>
      </c>
      <c r="K77" s="8">
        <v>1.0</v>
      </c>
      <c r="L77" s="8">
        <v>6.0</v>
      </c>
      <c r="M77" s="8"/>
      <c r="N77" s="8"/>
      <c r="O77" s="8" t="s">
        <v>702</v>
      </c>
      <c r="P77" s="8">
        <v>6.0</v>
      </c>
    </row>
    <row r="78">
      <c r="A78">
        <f>IFERROR(__xludf.DUMMYFUNCTION("""COMPUTED_VALUE"""),6.0)</f>
        <v>6</v>
      </c>
      <c r="B78">
        <f>IFERROR(__xludf.DUMMYFUNCTION("""COMPUTED_VALUE"""),31077.0)</f>
        <v>31077</v>
      </c>
      <c r="C78" t="str">
        <f>IFERROR(__xludf.DUMMYFUNCTION("""COMPUTED_VALUE"""),"MUÑOZ JARAMILLO, MARIANA")</f>
        <v>MUÑOZ JARAMILLO, MARIANA</v>
      </c>
      <c r="D78" t="str">
        <f>IFERROR(__xludf.DUMMYFUNCTION("""COMPUTED_VALUE"""),"Science 6")</f>
        <v>Science 6</v>
      </c>
      <c r="E78" s="31">
        <f>IFERROR(__xludf.DUMMYFUNCTION("""COMPUTED_VALUE"""),6.0)</f>
        <v>6</v>
      </c>
      <c r="F78" s="8">
        <v>1.0</v>
      </c>
      <c r="G78" s="8">
        <v>1.0</v>
      </c>
      <c r="H78" s="8">
        <v>1.0</v>
      </c>
      <c r="I78" s="8">
        <v>1.0</v>
      </c>
      <c r="J78" s="8">
        <v>1.0</v>
      </c>
      <c r="K78" s="8">
        <v>1.0</v>
      </c>
      <c r="L78" s="8">
        <v>6.0</v>
      </c>
      <c r="M78" s="8"/>
      <c r="N78" s="8"/>
      <c r="O78" s="8" t="s">
        <v>699</v>
      </c>
      <c r="P78" s="8">
        <v>6.0</v>
      </c>
    </row>
    <row r="79">
      <c r="A79">
        <f>IFERROR(__xludf.DUMMYFUNCTION("""COMPUTED_VALUE"""),6.0)</f>
        <v>6</v>
      </c>
      <c r="B79">
        <f>IFERROR(__xludf.DUMMYFUNCTION("""COMPUTED_VALUE"""),31078.0)</f>
        <v>31078</v>
      </c>
      <c r="C79" t="str">
        <f>IFERROR(__xludf.DUMMYFUNCTION("""COMPUTED_VALUE"""),"NAVARRO ABAD, FERNANDA")</f>
        <v>NAVARRO ABAD, FERNANDA</v>
      </c>
      <c r="D79" t="str">
        <f>IFERROR(__xludf.DUMMYFUNCTION("""COMPUTED_VALUE"""),"Science 6A")</f>
        <v>Science 6A</v>
      </c>
      <c r="E79" s="31">
        <f>IFERROR(__xludf.DUMMYFUNCTION("""COMPUTED_VALUE"""),3.0)</f>
        <v>3</v>
      </c>
      <c r="F79" s="8">
        <v>1.0</v>
      </c>
      <c r="G79" s="8">
        <v>1.0</v>
      </c>
      <c r="H79" s="8">
        <v>1.0</v>
      </c>
      <c r="I79" s="8">
        <v>1.0</v>
      </c>
      <c r="J79" s="8">
        <v>1.0</v>
      </c>
      <c r="K79" s="8">
        <v>1.0</v>
      </c>
      <c r="L79" s="8">
        <v>6.0</v>
      </c>
      <c r="M79" s="8"/>
      <c r="N79" s="8"/>
      <c r="O79" s="8" t="s">
        <v>704</v>
      </c>
      <c r="P79" s="8" t="e">
        <v>#N/A</v>
      </c>
    </row>
    <row r="80">
      <c r="A80">
        <f>IFERROR(__xludf.DUMMYFUNCTION("""COMPUTED_VALUE"""),6.0)</f>
        <v>6</v>
      </c>
      <c r="B80">
        <f>IFERROR(__xludf.DUMMYFUNCTION("""COMPUTED_VALUE"""),31079.0)</f>
        <v>31079</v>
      </c>
      <c r="C80" t="str">
        <f>IFERROR(__xludf.DUMMYFUNCTION("""COMPUTED_VALUE"""),"OBERTI FRANCO, LINDA")</f>
        <v>OBERTI FRANCO, LINDA</v>
      </c>
      <c r="D80" t="str">
        <f>IFERROR(__xludf.DUMMYFUNCTION("""COMPUTED_VALUE"""),"Science 6")</f>
        <v>Science 6</v>
      </c>
      <c r="E80" s="31">
        <f>IFERROR(__xludf.DUMMYFUNCTION("""COMPUTED_VALUE"""),3.0)</f>
        <v>3</v>
      </c>
      <c r="F80" s="8">
        <v>1.0</v>
      </c>
      <c r="G80" s="8">
        <v>1.0</v>
      </c>
      <c r="H80" s="8">
        <v>1.0</v>
      </c>
      <c r="I80" s="8">
        <v>1.0</v>
      </c>
      <c r="J80" s="8">
        <v>1.0</v>
      </c>
      <c r="K80" s="8">
        <v>1.0</v>
      </c>
      <c r="L80" s="8">
        <v>6.0</v>
      </c>
      <c r="M80" s="8"/>
      <c r="N80" s="8"/>
      <c r="O80" s="8" t="s">
        <v>700</v>
      </c>
      <c r="P80" s="8">
        <v>6.0</v>
      </c>
    </row>
    <row r="81">
      <c r="A81">
        <f>IFERROR(__xludf.DUMMYFUNCTION("""COMPUTED_VALUE"""),6.0)</f>
        <v>6</v>
      </c>
      <c r="B81">
        <f>IFERROR(__xludf.DUMMYFUNCTION("""COMPUTED_VALUE"""),31080.0)</f>
        <v>31080</v>
      </c>
      <c r="C81" t="str">
        <f>IFERROR(__xludf.DUMMYFUNCTION("""COMPUTED_VALUE"""),"OCAMPO CEBALLOS, RAFAEL")</f>
        <v>OCAMPO CEBALLOS, RAFAEL</v>
      </c>
      <c r="D81" t="str">
        <f>IFERROR(__xludf.DUMMYFUNCTION("""COMPUTED_VALUE"""),"Science 6")</f>
        <v>Science 6</v>
      </c>
      <c r="E81" s="31">
        <f>IFERROR(__xludf.DUMMYFUNCTION("""COMPUTED_VALUE"""),5.0)</f>
        <v>5</v>
      </c>
      <c r="F81" s="8">
        <v>1.0</v>
      </c>
      <c r="G81" s="8">
        <v>1.0</v>
      </c>
      <c r="H81" s="8">
        <v>1.0</v>
      </c>
      <c r="I81" s="8">
        <v>1.0</v>
      </c>
      <c r="J81" s="8">
        <v>1.0</v>
      </c>
      <c r="K81" s="8">
        <v>1.0</v>
      </c>
      <c r="L81" s="8">
        <v>6.0</v>
      </c>
      <c r="M81" s="8"/>
      <c r="N81" s="8"/>
      <c r="O81" s="8" t="s">
        <v>703</v>
      </c>
      <c r="P81" s="8">
        <v>6.0</v>
      </c>
    </row>
    <row r="82">
      <c r="A82">
        <f>IFERROR(__xludf.DUMMYFUNCTION("""COMPUTED_VALUE"""),6.0)</f>
        <v>6</v>
      </c>
      <c r="B82">
        <f>IFERROR(__xludf.DUMMYFUNCTION("""COMPUTED_VALUE"""),31081.0)</f>
        <v>31081</v>
      </c>
      <c r="C82" t="str">
        <f>IFERROR(__xludf.DUMMYFUNCTION("""COMPUTED_VALUE"""),"OROZCO MONTOYA, MARTINA")</f>
        <v>OROZCO MONTOYA, MARTINA</v>
      </c>
      <c r="D82" t="str">
        <f>IFERROR(__xludf.DUMMYFUNCTION("""COMPUTED_VALUE"""),"Science 6")</f>
        <v>Science 6</v>
      </c>
      <c r="E82" s="31">
        <f>IFERROR(__xludf.DUMMYFUNCTION("""COMPUTED_VALUE"""),5.0)</f>
        <v>5</v>
      </c>
      <c r="F82" s="8">
        <v>1.0</v>
      </c>
      <c r="G82" s="8">
        <v>1.0</v>
      </c>
      <c r="H82" s="8">
        <v>1.0</v>
      </c>
      <c r="I82" s="8">
        <v>1.0</v>
      </c>
      <c r="J82" s="8">
        <v>1.0</v>
      </c>
      <c r="K82" s="8">
        <v>1.0</v>
      </c>
      <c r="L82" s="8">
        <v>6.0</v>
      </c>
      <c r="M82" s="8"/>
      <c r="N82" s="8"/>
      <c r="O82" s="8" t="s">
        <v>703</v>
      </c>
      <c r="P82" s="8">
        <v>6.0</v>
      </c>
    </row>
    <row r="83">
      <c r="A83">
        <f>IFERROR(__xludf.DUMMYFUNCTION("""COMPUTED_VALUE"""),6.0)</f>
        <v>6</v>
      </c>
      <c r="B83">
        <f>IFERROR(__xludf.DUMMYFUNCTION("""COMPUTED_VALUE"""),31082.0)</f>
        <v>31082</v>
      </c>
      <c r="C83" t="str">
        <f>IFERROR(__xludf.DUMMYFUNCTION("""COMPUTED_VALUE"""),"ORTIZ MOLINA, MARTINA")</f>
        <v>ORTIZ MOLINA, MARTINA</v>
      </c>
      <c r="D83" t="str">
        <f>IFERROR(__xludf.DUMMYFUNCTION("""COMPUTED_VALUE"""),"Science 6")</f>
        <v>Science 6</v>
      </c>
      <c r="E83" s="31">
        <f>IFERROR(__xludf.DUMMYFUNCTION("""COMPUTED_VALUE"""),5.0)</f>
        <v>5</v>
      </c>
      <c r="F83" s="8">
        <v>1.0</v>
      </c>
      <c r="G83" s="8">
        <v>1.0</v>
      </c>
      <c r="H83" s="8">
        <v>1.0</v>
      </c>
      <c r="I83" s="8">
        <v>1.0</v>
      </c>
      <c r="J83" s="8">
        <v>1.0</v>
      </c>
      <c r="K83" s="8">
        <v>1.0</v>
      </c>
      <c r="L83" s="8">
        <v>6.0</v>
      </c>
      <c r="M83" s="8"/>
      <c r="N83" s="8"/>
      <c r="O83" s="8" t="s">
        <v>703</v>
      </c>
      <c r="P83" s="8">
        <v>6.0</v>
      </c>
    </row>
    <row r="84">
      <c r="A84">
        <f>IFERROR(__xludf.DUMMYFUNCTION("""COMPUTED_VALUE"""),6.0)</f>
        <v>6</v>
      </c>
      <c r="B84">
        <f>IFERROR(__xludf.DUMMYFUNCTION("""COMPUTED_VALUE"""),31083.0)</f>
        <v>31083</v>
      </c>
      <c r="C84" t="str">
        <f>IFERROR(__xludf.DUMMYFUNCTION("""COMPUTED_VALUE"""),"OSORIO GARCIA, JERONIMO")</f>
        <v>OSORIO GARCIA, JERONIMO</v>
      </c>
      <c r="D84" t="str">
        <f>IFERROR(__xludf.DUMMYFUNCTION("""COMPUTED_VALUE"""),"Science 6")</f>
        <v>Science 6</v>
      </c>
      <c r="E84" s="31">
        <f>IFERROR(__xludf.DUMMYFUNCTION("""COMPUTED_VALUE"""),3.0)</f>
        <v>3</v>
      </c>
      <c r="F84" s="8">
        <v>1.0</v>
      </c>
      <c r="G84" s="8">
        <v>1.0</v>
      </c>
      <c r="H84" s="8">
        <v>1.0</v>
      </c>
      <c r="I84" s="8">
        <v>1.0</v>
      </c>
      <c r="J84" s="8">
        <v>1.0</v>
      </c>
      <c r="K84" s="8">
        <v>1.0</v>
      </c>
      <c r="L84" s="8">
        <v>6.0</v>
      </c>
      <c r="M84" s="8"/>
      <c r="N84" s="8"/>
      <c r="O84" s="8" t="s">
        <v>700</v>
      </c>
      <c r="P84" s="8">
        <v>6.0</v>
      </c>
    </row>
    <row r="85">
      <c r="A85">
        <f>IFERROR(__xludf.DUMMYFUNCTION("""COMPUTED_VALUE"""),6.0)</f>
        <v>6</v>
      </c>
      <c r="B85">
        <f>IFERROR(__xludf.DUMMYFUNCTION("""COMPUTED_VALUE"""),31084.0)</f>
        <v>31084</v>
      </c>
      <c r="C85" t="str">
        <f>IFERROR(__xludf.DUMMYFUNCTION("""COMPUTED_VALUE"""),"OSORIO MARIN, GABRIELA")</f>
        <v>OSORIO MARIN, GABRIELA</v>
      </c>
      <c r="D85" t="str">
        <f>IFERROR(__xludf.DUMMYFUNCTION("""COMPUTED_VALUE"""),"Science 6")</f>
        <v>Science 6</v>
      </c>
      <c r="E85" s="31">
        <f>IFERROR(__xludf.DUMMYFUNCTION("""COMPUTED_VALUE"""),6.0)</f>
        <v>6</v>
      </c>
      <c r="F85" s="8">
        <v>1.0</v>
      </c>
      <c r="G85" s="8">
        <v>1.0</v>
      </c>
      <c r="H85" s="8">
        <v>1.0</v>
      </c>
      <c r="I85" s="8">
        <v>1.0</v>
      </c>
      <c r="J85" s="8">
        <v>1.0</v>
      </c>
      <c r="K85" s="8">
        <v>1.0</v>
      </c>
      <c r="L85" s="8">
        <v>6.0</v>
      </c>
      <c r="M85" s="8"/>
      <c r="N85" s="8"/>
      <c r="O85" s="8" t="s">
        <v>699</v>
      </c>
      <c r="P85" s="8">
        <v>6.0</v>
      </c>
    </row>
    <row r="86">
      <c r="A86">
        <f>IFERROR(__xludf.DUMMYFUNCTION("""COMPUTED_VALUE"""),6.0)</f>
        <v>6</v>
      </c>
      <c r="B86">
        <f>IFERROR(__xludf.DUMMYFUNCTION("""COMPUTED_VALUE"""),31085.0)</f>
        <v>31085</v>
      </c>
      <c r="C86" t="str">
        <f>IFERROR(__xludf.DUMMYFUNCTION("""COMPUTED_VALUE"""),"OSORIO QUINTERO, SALOME")</f>
        <v>OSORIO QUINTERO, SALOME</v>
      </c>
      <c r="D86" t="str">
        <f>IFERROR(__xludf.DUMMYFUNCTION("""COMPUTED_VALUE"""),"Science 6A")</f>
        <v>Science 6A</v>
      </c>
      <c r="E86" s="31">
        <f>IFERROR(__xludf.DUMMYFUNCTION("""COMPUTED_VALUE"""),3.0)</f>
        <v>3</v>
      </c>
      <c r="F86" s="8">
        <v>1.0</v>
      </c>
      <c r="G86" s="8">
        <v>1.0</v>
      </c>
      <c r="H86" s="8">
        <v>1.0</v>
      </c>
      <c r="I86" s="8">
        <v>1.0</v>
      </c>
      <c r="J86" s="8">
        <v>1.0</v>
      </c>
      <c r="K86" s="8">
        <v>1.0</v>
      </c>
      <c r="L86" s="8">
        <v>6.0</v>
      </c>
      <c r="M86" s="8"/>
      <c r="N86" s="8"/>
      <c r="O86" s="8" t="s">
        <v>704</v>
      </c>
      <c r="P86" s="8" t="e">
        <v>#N/A</v>
      </c>
    </row>
    <row r="87">
      <c r="A87">
        <f>IFERROR(__xludf.DUMMYFUNCTION("""COMPUTED_VALUE"""),6.0)</f>
        <v>6</v>
      </c>
      <c r="B87">
        <f>IFERROR(__xludf.DUMMYFUNCTION("""COMPUTED_VALUE"""),31158.0)</f>
        <v>31158</v>
      </c>
      <c r="C87" t="str">
        <f>IFERROR(__xludf.DUMMYFUNCTION("""COMPUTED_VALUE"""),"OSORIO RUIZ, AMELIA")</f>
        <v>OSORIO RUIZ, AMELIA</v>
      </c>
      <c r="D87" t="str">
        <f>IFERROR(__xludf.DUMMYFUNCTION("""COMPUTED_VALUE"""),"Science 6A")</f>
        <v>Science 6A</v>
      </c>
      <c r="E87" s="31">
        <f>IFERROR(__xludf.DUMMYFUNCTION("""COMPUTED_VALUE"""),3.0)</f>
        <v>3</v>
      </c>
      <c r="F87" s="8">
        <v>1.0</v>
      </c>
      <c r="G87" s="8">
        <v>1.0</v>
      </c>
      <c r="H87" s="8">
        <v>1.0</v>
      </c>
      <c r="I87" s="8">
        <v>1.0</v>
      </c>
      <c r="J87" s="8">
        <v>1.0</v>
      </c>
      <c r="K87" s="8">
        <v>1.0</v>
      </c>
      <c r="L87" s="8">
        <v>6.0</v>
      </c>
      <c r="M87" s="8"/>
      <c r="N87" s="8"/>
      <c r="O87" s="8" t="s">
        <v>704</v>
      </c>
      <c r="P87" s="8" t="e">
        <v>#N/A</v>
      </c>
    </row>
    <row r="88">
      <c r="A88">
        <f>IFERROR(__xludf.DUMMYFUNCTION("""COMPUTED_VALUE"""),6.0)</f>
        <v>6</v>
      </c>
      <c r="B88">
        <f>IFERROR(__xludf.DUMMYFUNCTION("""COMPUTED_VALUE"""),31086.0)</f>
        <v>31086</v>
      </c>
      <c r="C88" t="str">
        <f>IFERROR(__xludf.DUMMYFUNCTION("""COMPUTED_VALUE"""),"PATERNINA SALDARRIAGA, SOFIA")</f>
        <v>PATERNINA SALDARRIAGA, SOFIA</v>
      </c>
      <c r="D88" t="str">
        <f>IFERROR(__xludf.DUMMYFUNCTION("""COMPUTED_VALUE"""),"Science 6")</f>
        <v>Science 6</v>
      </c>
      <c r="E88" s="31">
        <f>IFERROR(__xludf.DUMMYFUNCTION("""COMPUTED_VALUE"""),3.0)</f>
        <v>3</v>
      </c>
      <c r="F88" s="8">
        <v>1.0</v>
      </c>
      <c r="G88" s="8">
        <v>1.0</v>
      </c>
      <c r="H88" s="8">
        <v>1.0</v>
      </c>
      <c r="I88" s="8">
        <v>1.0</v>
      </c>
      <c r="J88" s="8">
        <v>1.0</v>
      </c>
      <c r="K88" s="8">
        <v>1.0</v>
      </c>
      <c r="L88" s="8">
        <v>6.0</v>
      </c>
      <c r="M88" s="8"/>
      <c r="N88" s="8"/>
      <c r="O88" s="8" t="s">
        <v>700</v>
      </c>
      <c r="P88" s="8">
        <v>6.0</v>
      </c>
    </row>
    <row r="89">
      <c r="A89">
        <f>IFERROR(__xludf.DUMMYFUNCTION("""COMPUTED_VALUE"""),6.0)</f>
        <v>6</v>
      </c>
      <c r="B89">
        <f>IFERROR(__xludf.DUMMYFUNCTION("""COMPUTED_VALUE"""),31087.0)</f>
        <v>31087</v>
      </c>
      <c r="C89" t="str">
        <f>IFERROR(__xludf.DUMMYFUNCTION("""COMPUTED_VALUE"""),"PEAK DUQUE, NICOLE")</f>
        <v>PEAK DUQUE, NICOLE</v>
      </c>
      <c r="D89" t="str">
        <f>IFERROR(__xludf.DUMMYFUNCTION("""COMPUTED_VALUE"""),"Science 6A")</f>
        <v>Science 6A</v>
      </c>
      <c r="E89" s="31">
        <f>IFERROR(__xludf.DUMMYFUNCTION("""COMPUTED_VALUE"""),3.0)</f>
        <v>3</v>
      </c>
      <c r="F89" s="8">
        <v>1.0</v>
      </c>
      <c r="G89" s="8">
        <v>1.0</v>
      </c>
      <c r="H89" s="8">
        <v>1.0</v>
      </c>
      <c r="I89" s="8">
        <v>1.0</v>
      </c>
      <c r="J89" s="8">
        <v>1.0</v>
      </c>
      <c r="K89" s="8">
        <v>1.0</v>
      </c>
      <c r="L89" s="8">
        <v>6.0</v>
      </c>
      <c r="M89" s="8"/>
      <c r="N89" s="8"/>
      <c r="O89" s="8" t="s">
        <v>704</v>
      </c>
      <c r="P89" s="8" t="e">
        <v>#N/A</v>
      </c>
    </row>
    <row r="90">
      <c r="A90">
        <f>IFERROR(__xludf.DUMMYFUNCTION("""COMPUTED_VALUE"""),6.0)</f>
        <v>6</v>
      </c>
      <c r="B90">
        <f>IFERROR(__xludf.DUMMYFUNCTION("""COMPUTED_VALUE"""),31089.0)</f>
        <v>31089</v>
      </c>
      <c r="C90" t="str">
        <f>IFERROR(__xludf.DUMMYFUNCTION("""COMPUTED_VALUE"""),"PELAEZ BORDA, DAVID")</f>
        <v>PELAEZ BORDA, DAVID</v>
      </c>
      <c r="D90" t="str">
        <f>IFERROR(__xludf.DUMMYFUNCTION("""COMPUTED_VALUE"""),"Science 6")</f>
        <v>Science 6</v>
      </c>
      <c r="E90" s="31">
        <f>IFERROR(__xludf.DUMMYFUNCTION("""COMPUTED_VALUE"""),6.0)</f>
        <v>6</v>
      </c>
      <c r="F90" s="8">
        <v>1.0</v>
      </c>
      <c r="G90" s="8">
        <v>1.0</v>
      </c>
      <c r="H90" s="8">
        <v>1.0</v>
      </c>
      <c r="I90" s="8">
        <v>1.0</v>
      </c>
      <c r="J90" s="8">
        <v>1.0</v>
      </c>
      <c r="K90" s="8">
        <v>1.0</v>
      </c>
      <c r="L90" s="8">
        <v>6.0</v>
      </c>
      <c r="M90" s="8"/>
      <c r="N90" s="8"/>
      <c r="O90" s="8" t="s">
        <v>699</v>
      </c>
      <c r="P90" s="8">
        <v>6.0</v>
      </c>
    </row>
    <row r="91">
      <c r="A91">
        <f>IFERROR(__xludf.DUMMYFUNCTION("""COMPUTED_VALUE"""),6.0)</f>
        <v>6</v>
      </c>
      <c r="B91">
        <f>IFERROR(__xludf.DUMMYFUNCTION("""COMPUTED_VALUE"""),31088.0)</f>
        <v>31088</v>
      </c>
      <c r="C91" t="str">
        <f>IFERROR(__xludf.DUMMYFUNCTION("""COMPUTED_VALUE"""),"PELAEZ BOTERO, AMELIA")</f>
        <v>PELAEZ BOTERO, AMELIA</v>
      </c>
      <c r="D91" t="str">
        <f>IFERROR(__xludf.DUMMYFUNCTION("""COMPUTED_VALUE"""),"Science 6")</f>
        <v>Science 6</v>
      </c>
      <c r="E91" s="31">
        <f>IFERROR(__xludf.DUMMYFUNCTION("""COMPUTED_VALUE"""),5.0)</f>
        <v>5</v>
      </c>
      <c r="F91" s="8">
        <v>1.0</v>
      </c>
      <c r="G91" s="8">
        <v>1.0</v>
      </c>
      <c r="H91" s="8">
        <v>1.0</v>
      </c>
      <c r="I91" s="8">
        <v>1.0</v>
      </c>
      <c r="J91" s="8">
        <v>1.0</v>
      </c>
      <c r="K91" s="8">
        <v>1.0</v>
      </c>
      <c r="L91" s="8">
        <v>6.0</v>
      </c>
      <c r="M91" s="8"/>
      <c r="N91" s="8"/>
      <c r="O91" s="8" t="s">
        <v>703</v>
      </c>
      <c r="P91" s="8">
        <v>6.0</v>
      </c>
    </row>
    <row r="92">
      <c r="A92">
        <f>IFERROR(__xludf.DUMMYFUNCTION("""COMPUTED_VALUE"""),6.0)</f>
        <v>6</v>
      </c>
      <c r="B92">
        <f>IFERROR(__xludf.DUMMYFUNCTION("""COMPUTED_VALUE"""),31090.0)</f>
        <v>31090</v>
      </c>
      <c r="C92" t="str">
        <f>IFERROR(__xludf.DUMMYFUNCTION("""COMPUTED_VALUE"""),"PELAEZ PIEDRAHITA, EMILIO")</f>
        <v>PELAEZ PIEDRAHITA, EMILIO</v>
      </c>
      <c r="D92" t="str">
        <f>IFERROR(__xludf.DUMMYFUNCTION("""COMPUTED_VALUE"""),"Science 6A")</f>
        <v>Science 6A</v>
      </c>
      <c r="E92" s="31">
        <f>IFERROR(__xludf.DUMMYFUNCTION("""COMPUTED_VALUE"""),3.0)</f>
        <v>3</v>
      </c>
      <c r="F92" s="8">
        <v>1.0</v>
      </c>
      <c r="G92" s="8">
        <v>1.0</v>
      </c>
      <c r="H92" s="8">
        <v>1.0</v>
      </c>
      <c r="I92" s="8">
        <v>1.0</v>
      </c>
      <c r="J92" s="8">
        <v>1.0</v>
      </c>
      <c r="K92" s="8">
        <v>1.0</v>
      </c>
      <c r="L92" s="8">
        <v>6.0</v>
      </c>
      <c r="M92" s="8"/>
      <c r="N92" s="8"/>
      <c r="O92" s="8" t="s">
        <v>704</v>
      </c>
      <c r="P92" s="8" t="e">
        <v>#N/A</v>
      </c>
    </row>
    <row r="93">
      <c r="A93">
        <f>IFERROR(__xludf.DUMMYFUNCTION("""COMPUTED_VALUE"""),6.0)</f>
        <v>6</v>
      </c>
      <c r="B93">
        <f>IFERROR(__xludf.DUMMYFUNCTION("""COMPUTED_VALUE"""),31092.0)</f>
        <v>31092</v>
      </c>
      <c r="C93" t="str">
        <f>IFERROR(__xludf.DUMMYFUNCTION("""COMPUTED_VALUE"""),"PEREZ DUQUE, JULIA")</f>
        <v>PEREZ DUQUE, JULIA</v>
      </c>
      <c r="D93" t="str">
        <f>IFERROR(__xludf.DUMMYFUNCTION("""COMPUTED_VALUE"""),"Science 6A")</f>
        <v>Science 6A</v>
      </c>
      <c r="E93" s="31">
        <f>IFERROR(__xludf.DUMMYFUNCTION("""COMPUTED_VALUE"""),3.0)</f>
        <v>3</v>
      </c>
      <c r="F93" s="8">
        <v>1.0</v>
      </c>
      <c r="G93" s="8">
        <v>1.0</v>
      </c>
      <c r="H93" s="8">
        <v>1.0</v>
      </c>
      <c r="I93" s="8">
        <v>1.0</v>
      </c>
      <c r="J93" s="8">
        <v>1.0</v>
      </c>
      <c r="K93" s="8">
        <v>1.0</v>
      </c>
      <c r="L93" s="8">
        <v>6.0</v>
      </c>
      <c r="M93" s="8"/>
      <c r="N93" s="8"/>
      <c r="O93" s="8" t="s">
        <v>704</v>
      </c>
      <c r="P93" s="8" t="e">
        <v>#N/A</v>
      </c>
    </row>
    <row r="94">
      <c r="A94">
        <f>IFERROR(__xludf.DUMMYFUNCTION("""COMPUTED_VALUE"""),6.0)</f>
        <v>6</v>
      </c>
      <c r="B94">
        <f>IFERROR(__xludf.DUMMYFUNCTION("""COMPUTED_VALUE"""),31091.0)</f>
        <v>31091</v>
      </c>
      <c r="C94" t="str">
        <f>IFERROR(__xludf.DUMMYFUNCTION("""COMPUTED_VALUE"""),"PEREZ OTERO, ALEJANDRO")</f>
        <v>PEREZ OTERO, ALEJANDRO</v>
      </c>
      <c r="D94" t="str">
        <f>IFERROR(__xludf.DUMMYFUNCTION("""COMPUTED_VALUE"""),"Science 6")</f>
        <v>Science 6</v>
      </c>
      <c r="E94" s="31">
        <f>IFERROR(__xludf.DUMMYFUNCTION("""COMPUTED_VALUE"""),6.0)</f>
        <v>6</v>
      </c>
      <c r="F94" s="8">
        <v>1.0</v>
      </c>
      <c r="G94" s="8">
        <v>1.0</v>
      </c>
      <c r="H94" s="8">
        <v>1.0</v>
      </c>
      <c r="I94" s="8">
        <v>1.0</v>
      </c>
      <c r="J94" s="8">
        <v>1.0</v>
      </c>
      <c r="K94" s="8">
        <v>1.0</v>
      </c>
      <c r="L94" s="8">
        <v>6.0</v>
      </c>
      <c r="M94" s="8"/>
      <c r="N94" s="8"/>
      <c r="O94" s="8" t="s">
        <v>699</v>
      </c>
      <c r="P94" s="8">
        <v>6.0</v>
      </c>
    </row>
    <row r="95">
      <c r="A95">
        <f>IFERROR(__xludf.DUMMYFUNCTION("""COMPUTED_VALUE"""),6.0)</f>
        <v>6</v>
      </c>
      <c r="B95">
        <f>IFERROR(__xludf.DUMMYFUNCTION("""COMPUTED_VALUE"""),31160.0)</f>
        <v>31160</v>
      </c>
      <c r="C95" t="str">
        <f>IFERROR(__xludf.DUMMYFUNCTION("""COMPUTED_VALUE"""),"PFORTNER CASTRO, MORITZ")</f>
        <v>PFORTNER CASTRO, MORITZ</v>
      </c>
      <c r="D95" t="str">
        <f>IFERROR(__xludf.DUMMYFUNCTION("""COMPUTED_VALUE"""),"Science 6")</f>
        <v>Science 6</v>
      </c>
      <c r="E95" s="31">
        <f>IFERROR(__xludf.DUMMYFUNCTION("""COMPUTED_VALUE"""),5.0)</f>
        <v>5</v>
      </c>
      <c r="F95" s="8">
        <v>1.0</v>
      </c>
      <c r="G95" s="8">
        <v>1.0</v>
      </c>
      <c r="H95" s="8">
        <v>1.0</v>
      </c>
      <c r="I95" s="8">
        <v>1.0</v>
      </c>
      <c r="J95" s="8">
        <v>1.0</v>
      </c>
      <c r="K95" s="8">
        <v>1.0</v>
      </c>
      <c r="L95" s="8">
        <v>6.0</v>
      </c>
      <c r="M95" s="8"/>
      <c r="N95" s="8"/>
      <c r="O95" s="8" t="s">
        <v>703</v>
      </c>
      <c r="P95" s="8">
        <v>6.0</v>
      </c>
    </row>
    <row r="96">
      <c r="A96">
        <f>IFERROR(__xludf.DUMMYFUNCTION("""COMPUTED_VALUE"""),6.0)</f>
        <v>6</v>
      </c>
      <c r="B96">
        <f>IFERROR(__xludf.DUMMYFUNCTION("""COMPUTED_VALUE"""),31093.0)</f>
        <v>31093</v>
      </c>
      <c r="C96" t="str">
        <f>IFERROR(__xludf.DUMMYFUNCTION("""COMPUTED_VALUE"""),"PICO RUEDA, SEBASTIAN")</f>
        <v>PICO RUEDA, SEBASTIAN</v>
      </c>
      <c r="D96" t="str">
        <f>IFERROR(__xludf.DUMMYFUNCTION("""COMPUTED_VALUE"""),"Science 6")</f>
        <v>Science 6</v>
      </c>
      <c r="E96" s="31">
        <f>IFERROR(__xludf.DUMMYFUNCTION("""COMPUTED_VALUE"""),2.0)</f>
        <v>2</v>
      </c>
      <c r="F96" s="8">
        <v>1.0</v>
      </c>
      <c r="G96" s="8">
        <v>1.0</v>
      </c>
      <c r="H96" s="8">
        <v>1.0</v>
      </c>
      <c r="I96" s="8">
        <v>1.0</v>
      </c>
      <c r="J96" s="8">
        <v>1.0</v>
      </c>
      <c r="K96" s="8">
        <v>1.0</v>
      </c>
      <c r="L96" s="8">
        <v>6.0</v>
      </c>
      <c r="M96" s="8"/>
      <c r="N96" s="8"/>
      <c r="O96" s="8" t="s">
        <v>702</v>
      </c>
      <c r="P96" s="8">
        <v>6.0</v>
      </c>
    </row>
    <row r="97">
      <c r="A97">
        <f>IFERROR(__xludf.DUMMYFUNCTION("""COMPUTED_VALUE"""),6.0)</f>
        <v>6</v>
      </c>
      <c r="B97">
        <f>IFERROR(__xludf.DUMMYFUNCTION("""COMPUTED_VALUE"""),31095.0)</f>
        <v>31095</v>
      </c>
      <c r="C97" t="str">
        <f>IFERROR(__xludf.DUMMYFUNCTION("""COMPUTED_VALUE"""),"PINEDA ARANGO, MARTINA")</f>
        <v>PINEDA ARANGO, MARTINA</v>
      </c>
      <c r="D97" t="str">
        <f>IFERROR(__xludf.DUMMYFUNCTION("""COMPUTED_VALUE"""),"Science 6")</f>
        <v>Science 6</v>
      </c>
      <c r="E97" s="31">
        <f>IFERROR(__xludf.DUMMYFUNCTION("""COMPUTED_VALUE"""),4.0)</f>
        <v>4</v>
      </c>
      <c r="F97" s="8">
        <v>1.0</v>
      </c>
      <c r="G97" s="8">
        <v>1.0</v>
      </c>
      <c r="H97" s="8">
        <v>1.0</v>
      </c>
      <c r="I97" s="8">
        <v>1.0</v>
      </c>
      <c r="J97" s="8">
        <v>1.0</v>
      </c>
      <c r="K97" s="8">
        <v>1.0</v>
      </c>
      <c r="L97" s="8">
        <v>6.0</v>
      </c>
      <c r="M97" s="8"/>
      <c r="N97" s="8"/>
      <c r="O97" s="8" t="s">
        <v>701</v>
      </c>
      <c r="P97" s="8">
        <v>6.0</v>
      </c>
    </row>
    <row r="98">
      <c r="A98">
        <f>IFERROR(__xludf.DUMMYFUNCTION("""COMPUTED_VALUE"""),6.0)</f>
        <v>6</v>
      </c>
      <c r="B98">
        <f>IFERROR(__xludf.DUMMYFUNCTION("""COMPUTED_VALUE"""),31096.0)</f>
        <v>31096</v>
      </c>
      <c r="C98" t="str">
        <f>IFERROR(__xludf.DUMMYFUNCTION("""COMPUTED_VALUE"""),"POSADA FERNANDEZ, ALICIA")</f>
        <v>POSADA FERNANDEZ, ALICIA</v>
      </c>
      <c r="D98" t="str">
        <f>IFERROR(__xludf.DUMMYFUNCTION("""COMPUTED_VALUE"""),"Science 6")</f>
        <v>Science 6</v>
      </c>
      <c r="E98" s="31">
        <f>IFERROR(__xludf.DUMMYFUNCTION("""COMPUTED_VALUE"""),3.0)</f>
        <v>3</v>
      </c>
      <c r="F98" s="8">
        <v>1.0</v>
      </c>
      <c r="G98" s="8">
        <v>1.0</v>
      </c>
      <c r="H98" s="8">
        <v>1.0</v>
      </c>
      <c r="I98" s="8">
        <v>1.0</v>
      </c>
      <c r="J98" s="8">
        <v>1.0</v>
      </c>
      <c r="K98" s="8">
        <v>1.0</v>
      </c>
      <c r="L98" s="8">
        <v>6.0</v>
      </c>
      <c r="M98" s="8"/>
      <c r="N98" s="8"/>
      <c r="O98" s="8" t="s">
        <v>700</v>
      </c>
      <c r="P98" s="8">
        <v>6.0</v>
      </c>
    </row>
    <row r="99">
      <c r="A99">
        <f>IFERROR(__xludf.DUMMYFUNCTION("""COMPUTED_VALUE"""),6.0)</f>
        <v>6</v>
      </c>
      <c r="B99">
        <f>IFERROR(__xludf.DUMMYFUNCTION("""COMPUTED_VALUE"""),31097.0)</f>
        <v>31097</v>
      </c>
      <c r="C99" t="str">
        <f>IFERROR(__xludf.DUMMYFUNCTION("""COMPUTED_VALUE"""),"PUYO TORO, ELENA")</f>
        <v>PUYO TORO, ELENA</v>
      </c>
      <c r="D99" t="str">
        <f>IFERROR(__xludf.DUMMYFUNCTION("""COMPUTED_VALUE"""),"Science 6")</f>
        <v>Science 6</v>
      </c>
      <c r="E99" s="31">
        <f>IFERROR(__xludf.DUMMYFUNCTION("""COMPUTED_VALUE"""),5.0)</f>
        <v>5</v>
      </c>
      <c r="F99" s="8">
        <v>1.0</v>
      </c>
      <c r="G99" s="8">
        <v>1.0</v>
      </c>
      <c r="H99" s="8">
        <v>1.0</v>
      </c>
      <c r="I99" s="8">
        <v>1.0</v>
      </c>
      <c r="J99" s="8">
        <v>1.0</v>
      </c>
      <c r="K99" s="8">
        <v>1.0</v>
      </c>
      <c r="L99" s="8">
        <v>6.0</v>
      </c>
      <c r="M99" s="8"/>
      <c r="N99" s="8"/>
      <c r="O99" s="8" t="s">
        <v>703</v>
      </c>
      <c r="P99" s="8">
        <v>6.0</v>
      </c>
    </row>
    <row r="100">
      <c r="A100">
        <f>IFERROR(__xludf.DUMMYFUNCTION("""COMPUTED_VALUE"""),6.0)</f>
        <v>6</v>
      </c>
      <c r="B100">
        <f>IFERROR(__xludf.DUMMYFUNCTION("""COMPUTED_VALUE"""),31098.0)</f>
        <v>31098</v>
      </c>
      <c r="C100" t="str">
        <f>IFERROR(__xludf.DUMMYFUNCTION("""COMPUTED_VALUE"""),"QUINTERO DARBY, VIOLETA")</f>
        <v>QUINTERO DARBY, VIOLETA</v>
      </c>
      <c r="D100" t="str">
        <f>IFERROR(__xludf.DUMMYFUNCTION("""COMPUTED_VALUE"""),"Science 6")</f>
        <v>Science 6</v>
      </c>
      <c r="E100" s="31">
        <f>IFERROR(__xludf.DUMMYFUNCTION("""COMPUTED_VALUE"""),2.0)</f>
        <v>2</v>
      </c>
      <c r="F100" s="8">
        <v>1.0</v>
      </c>
      <c r="G100" s="8">
        <v>1.0</v>
      </c>
      <c r="H100" s="8">
        <v>1.0</v>
      </c>
      <c r="I100" s="8">
        <v>1.0</v>
      </c>
      <c r="J100" s="8">
        <v>1.0</v>
      </c>
      <c r="K100" s="8">
        <v>1.0</v>
      </c>
      <c r="L100" s="8">
        <v>6.0</v>
      </c>
      <c r="M100" s="8"/>
      <c r="N100" s="8"/>
      <c r="O100" s="8" t="s">
        <v>702</v>
      </c>
      <c r="P100" s="8">
        <v>6.0</v>
      </c>
    </row>
    <row r="101">
      <c r="A101">
        <f>IFERROR(__xludf.DUMMYFUNCTION("""COMPUTED_VALUE"""),6.0)</f>
        <v>6</v>
      </c>
      <c r="B101">
        <f>IFERROR(__xludf.DUMMYFUNCTION("""COMPUTED_VALUE"""),31099.0)</f>
        <v>31099</v>
      </c>
      <c r="C101" t="str">
        <f>IFERROR(__xludf.DUMMYFUNCTION("""COMPUTED_VALUE"""),"RAMIREZ LIBREROS, MARTIN")</f>
        <v>RAMIREZ LIBREROS, MARTIN</v>
      </c>
      <c r="D101" t="str">
        <f>IFERROR(__xludf.DUMMYFUNCTION("""COMPUTED_VALUE"""),"Science 6")</f>
        <v>Science 6</v>
      </c>
      <c r="E101" s="31">
        <f>IFERROR(__xludf.DUMMYFUNCTION("""COMPUTED_VALUE"""),3.0)</f>
        <v>3</v>
      </c>
      <c r="F101" s="8">
        <v>1.0</v>
      </c>
      <c r="G101" s="8">
        <v>1.0</v>
      </c>
      <c r="H101" s="8">
        <v>1.0</v>
      </c>
      <c r="I101" s="8">
        <v>1.0</v>
      </c>
      <c r="J101" s="8">
        <v>1.0</v>
      </c>
      <c r="K101" s="8">
        <v>1.0</v>
      </c>
      <c r="L101" s="8">
        <v>6.0</v>
      </c>
      <c r="M101" s="8"/>
      <c r="N101" s="8"/>
      <c r="O101" s="8" t="s">
        <v>700</v>
      </c>
      <c r="P101" s="8">
        <v>6.0</v>
      </c>
    </row>
    <row r="102">
      <c r="A102">
        <f>IFERROR(__xludf.DUMMYFUNCTION("""COMPUTED_VALUE"""),6.0)</f>
        <v>6</v>
      </c>
      <c r="B102">
        <f>IFERROR(__xludf.DUMMYFUNCTION("""COMPUTED_VALUE"""),31100.0)</f>
        <v>31100</v>
      </c>
      <c r="C102" t="str">
        <f>IFERROR(__xludf.DUMMYFUNCTION("""COMPUTED_VALUE"""),"RAMIREZ LIBREROS, MATIAS")</f>
        <v>RAMIREZ LIBREROS, MATIAS</v>
      </c>
      <c r="D102" t="str">
        <f>IFERROR(__xludf.DUMMYFUNCTION("""COMPUTED_VALUE"""),"Science 6")</f>
        <v>Science 6</v>
      </c>
      <c r="E102" s="31">
        <f>IFERROR(__xludf.DUMMYFUNCTION("""COMPUTED_VALUE"""),6.0)</f>
        <v>6</v>
      </c>
      <c r="F102" s="8">
        <v>1.0</v>
      </c>
      <c r="G102" s="8">
        <v>1.0</v>
      </c>
      <c r="H102" s="8">
        <v>1.0</v>
      </c>
      <c r="I102" s="8">
        <v>1.0</v>
      </c>
      <c r="J102" s="8">
        <v>1.0</v>
      </c>
      <c r="K102" s="8">
        <v>1.0</v>
      </c>
      <c r="L102" s="8">
        <v>6.0</v>
      </c>
      <c r="M102" s="8"/>
      <c r="N102" s="8"/>
      <c r="O102" s="8" t="s">
        <v>699</v>
      </c>
      <c r="P102" s="8">
        <v>6.0</v>
      </c>
    </row>
    <row r="103">
      <c r="A103">
        <f>IFERROR(__xludf.DUMMYFUNCTION("""COMPUTED_VALUE"""),6.0)</f>
        <v>6</v>
      </c>
      <c r="B103">
        <f>IFERROR(__xludf.DUMMYFUNCTION("""COMPUTED_VALUE"""),31101.0)</f>
        <v>31101</v>
      </c>
      <c r="C103" t="str">
        <f>IFERROR(__xludf.DUMMYFUNCTION("""COMPUTED_VALUE"""),"RENDON ECHEVERRI, MIGUEL")</f>
        <v>RENDON ECHEVERRI, MIGUEL</v>
      </c>
      <c r="D103" t="str">
        <f>IFERROR(__xludf.DUMMYFUNCTION("""COMPUTED_VALUE"""),"Science 6")</f>
        <v>Science 6</v>
      </c>
      <c r="E103" s="31">
        <f>IFERROR(__xludf.DUMMYFUNCTION("""COMPUTED_VALUE"""),6.0)</f>
        <v>6</v>
      </c>
      <c r="F103" s="8">
        <v>1.0</v>
      </c>
      <c r="G103" s="8">
        <v>1.0</v>
      </c>
      <c r="H103" s="8">
        <v>1.0</v>
      </c>
      <c r="I103" s="8">
        <v>1.0</v>
      </c>
      <c r="J103" s="8">
        <v>1.0</v>
      </c>
      <c r="K103" s="8">
        <v>1.0</v>
      </c>
      <c r="L103" s="8">
        <v>6.0</v>
      </c>
      <c r="M103" s="8"/>
      <c r="N103" s="8"/>
      <c r="O103" s="8" t="s">
        <v>699</v>
      </c>
      <c r="P103" s="8">
        <v>6.0</v>
      </c>
    </row>
    <row r="104">
      <c r="A104">
        <f>IFERROR(__xludf.DUMMYFUNCTION("""COMPUTED_VALUE"""),6.0)</f>
        <v>6</v>
      </c>
      <c r="B104">
        <f>IFERROR(__xludf.DUMMYFUNCTION("""COMPUTED_VALUE"""),31173.0)</f>
        <v>31173</v>
      </c>
      <c r="C104" t="str">
        <f>IFERROR(__xludf.DUMMYFUNCTION("""COMPUTED_VALUE"""),"REPETTO LARROSA, FRANCHESCO")</f>
        <v>REPETTO LARROSA, FRANCHESCO</v>
      </c>
      <c r="D104" t="str">
        <f>IFERROR(__xludf.DUMMYFUNCTION("""COMPUTED_VALUE"""),"Science 6")</f>
        <v>Science 6</v>
      </c>
      <c r="E104" s="31">
        <f>IFERROR(__xludf.DUMMYFUNCTION("""COMPUTED_VALUE"""),4.0)</f>
        <v>4</v>
      </c>
      <c r="F104" s="8">
        <v>1.0</v>
      </c>
      <c r="G104" s="8">
        <v>1.0</v>
      </c>
      <c r="H104" s="8">
        <v>1.0</v>
      </c>
      <c r="I104" s="8">
        <v>1.0</v>
      </c>
      <c r="J104" s="8">
        <v>1.0</v>
      </c>
      <c r="K104" s="8">
        <v>1.0</v>
      </c>
      <c r="L104" s="8">
        <v>6.0</v>
      </c>
      <c r="M104" s="8"/>
      <c r="N104" s="8"/>
      <c r="O104" s="8" t="s">
        <v>701</v>
      </c>
      <c r="P104" s="8">
        <v>6.0</v>
      </c>
    </row>
    <row r="105">
      <c r="A105">
        <f>IFERROR(__xludf.DUMMYFUNCTION("""COMPUTED_VALUE"""),6.0)</f>
        <v>6</v>
      </c>
      <c r="B105">
        <f>IFERROR(__xludf.DUMMYFUNCTION("""COMPUTED_VALUE"""),31103.0)</f>
        <v>31103</v>
      </c>
      <c r="C105" t="str">
        <f>IFERROR(__xludf.DUMMYFUNCTION("""COMPUTED_VALUE"""),"RESTREPO BETANCUR, ALICIA")</f>
        <v>RESTREPO BETANCUR, ALICIA</v>
      </c>
      <c r="D105" t="str">
        <f>IFERROR(__xludf.DUMMYFUNCTION("""COMPUTED_VALUE"""),"Science 6")</f>
        <v>Science 6</v>
      </c>
      <c r="E105" s="31">
        <f>IFERROR(__xludf.DUMMYFUNCTION("""COMPUTED_VALUE"""),5.0)</f>
        <v>5</v>
      </c>
      <c r="F105" s="8">
        <v>1.0</v>
      </c>
      <c r="G105" s="8">
        <v>1.0</v>
      </c>
      <c r="H105" s="8">
        <v>1.0</v>
      </c>
      <c r="I105" s="8">
        <v>1.0</v>
      </c>
      <c r="J105" s="8">
        <v>1.0</v>
      </c>
      <c r="K105" s="8">
        <v>1.0</v>
      </c>
      <c r="L105" s="8">
        <v>6.0</v>
      </c>
      <c r="M105" s="8"/>
      <c r="N105" s="8"/>
      <c r="O105" s="8" t="s">
        <v>703</v>
      </c>
      <c r="P105" s="8">
        <v>6.0</v>
      </c>
    </row>
    <row r="106">
      <c r="A106">
        <f>IFERROR(__xludf.DUMMYFUNCTION("""COMPUTED_VALUE"""),6.0)</f>
        <v>6</v>
      </c>
      <c r="B106">
        <f>IFERROR(__xludf.DUMMYFUNCTION("""COMPUTED_VALUE"""),31104.0)</f>
        <v>31104</v>
      </c>
      <c r="C106" t="str">
        <f>IFERROR(__xludf.DUMMYFUNCTION("""COMPUTED_VALUE"""),"RESTREPO ECHAVARRIA, EMILIA")</f>
        <v>RESTREPO ECHAVARRIA, EMILIA</v>
      </c>
      <c r="D106" t="str">
        <f>IFERROR(__xludf.DUMMYFUNCTION("""COMPUTED_VALUE"""),"Science 6A")</f>
        <v>Science 6A</v>
      </c>
      <c r="E106" s="31">
        <f>IFERROR(__xludf.DUMMYFUNCTION("""COMPUTED_VALUE"""),3.0)</f>
        <v>3</v>
      </c>
      <c r="F106" s="8">
        <v>1.0</v>
      </c>
      <c r="G106" s="8">
        <v>1.0</v>
      </c>
      <c r="H106" s="8">
        <v>1.0</v>
      </c>
      <c r="I106" s="8">
        <v>1.0</v>
      </c>
      <c r="J106" s="8">
        <v>1.0</v>
      </c>
      <c r="K106" s="8">
        <v>1.0</v>
      </c>
      <c r="L106" s="8">
        <v>6.0</v>
      </c>
      <c r="M106" s="8"/>
      <c r="N106" s="8"/>
      <c r="O106" s="8" t="s">
        <v>704</v>
      </c>
      <c r="P106" s="8" t="e">
        <v>#N/A</v>
      </c>
    </row>
    <row r="107">
      <c r="A107">
        <f>IFERROR(__xludf.DUMMYFUNCTION("""COMPUTED_VALUE"""),6.0)</f>
        <v>6</v>
      </c>
      <c r="B107">
        <f>IFERROR(__xludf.DUMMYFUNCTION("""COMPUTED_VALUE"""),31105.0)</f>
        <v>31105</v>
      </c>
      <c r="C107" t="str">
        <f>IFERROR(__xludf.DUMMYFUNCTION("""COMPUTED_VALUE"""),"RESTREPO PELAEZ, EMILIA")</f>
        <v>RESTREPO PELAEZ, EMILIA</v>
      </c>
      <c r="D107" t="str">
        <f>IFERROR(__xludf.DUMMYFUNCTION("""COMPUTED_VALUE"""),"Science 6")</f>
        <v>Science 6</v>
      </c>
      <c r="E107" s="31">
        <f>IFERROR(__xludf.DUMMYFUNCTION("""COMPUTED_VALUE"""),5.0)</f>
        <v>5</v>
      </c>
      <c r="F107" s="8">
        <v>1.0</v>
      </c>
      <c r="G107" s="8">
        <v>1.0</v>
      </c>
      <c r="H107" s="8">
        <v>1.0</v>
      </c>
      <c r="I107" s="8">
        <v>1.0</v>
      </c>
      <c r="J107" s="8">
        <v>1.0</v>
      </c>
      <c r="K107" s="8">
        <v>1.0</v>
      </c>
      <c r="L107" s="8">
        <v>6.0</v>
      </c>
      <c r="M107" s="8"/>
      <c r="N107" s="8"/>
      <c r="O107" s="8" t="s">
        <v>703</v>
      </c>
      <c r="P107" s="8">
        <v>6.0</v>
      </c>
    </row>
    <row r="108">
      <c r="A108">
        <f>IFERROR(__xludf.DUMMYFUNCTION("""COMPUTED_VALUE"""),6.0)</f>
        <v>6</v>
      </c>
      <c r="B108">
        <f>IFERROR(__xludf.DUMMYFUNCTION("""COMPUTED_VALUE"""),31171.0)</f>
        <v>31171</v>
      </c>
      <c r="C108" t="str">
        <f>IFERROR(__xludf.DUMMYFUNCTION("""COMPUTED_VALUE"""),"RICHARDSON MEJIA, SOFIA")</f>
        <v>RICHARDSON MEJIA, SOFIA</v>
      </c>
      <c r="D108" t="str">
        <f>IFERROR(__xludf.DUMMYFUNCTION("""COMPUTED_VALUE"""),"Science 6")</f>
        <v>Science 6</v>
      </c>
      <c r="E108" s="31">
        <f>IFERROR(__xludf.DUMMYFUNCTION("""COMPUTED_VALUE"""),6.0)</f>
        <v>6</v>
      </c>
      <c r="F108" s="8">
        <v>1.0</v>
      </c>
      <c r="G108" s="8">
        <v>1.0</v>
      </c>
      <c r="H108" s="8">
        <v>1.0</v>
      </c>
      <c r="I108" s="8">
        <v>1.0</v>
      </c>
      <c r="J108" s="8">
        <v>1.0</v>
      </c>
      <c r="K108" s="8">
        <v>1.0</v>
      </c>
      <c r="L108" s="8">
        <v>6.0</v>
      </c>
      <c r="M108" s="8"/>
      <c r="N108" s="8"/>
      <c r="O108" s="8" t="s">
        <v>699</v>
      </c>
      <c r="P108" s="8">
        <v>6.0</v>
      </c>
    </row>
    <row r="109">
      <c r="A109">
        <f>IFERROR(__xludf.DUMMYFUNCTION("""COMPUTED_VALUE"""),6.0)</f>
        <v>6</v>
      </c>
      <c r="B109">
        <f>IFERROR(__xludf.DUMMYFUNCTION("""COMPUTED_VALUE"""),31106.0)</f>
        <v>31106</v>
      </c>
      <c r="C109" t="str">
        <f>IFERROR(__xludf.DUMMYFUNCTION("""COMPUTED_VALUE"""),"RINCON URIBE, NICOLAS")</f>
        <v>RINCON URIBE, NICOLAS</v>
      </c>
      <c r="D109" t="str">
        <f>IFERROR(__xludf.DUMMYFUNCTION("""COMPUTED_VALUE"""),"Science 6A")</f>
        <v>Science 6A</v>
      </c>
      <c r="E109" s="31">
        <f>IFERROR(__xludf.DUMMYFUNCTION("""COMPUTED_VALUE"""),3.0)</f>
        <v>3</v>
      </c>
      <c r="F109" s="8">
        <v>1.0</v>
      </c>
      <c r="G109" s="8">
        <v>1.0</v>
      </c>
      <c r="H109" s="8">
        <v>1.0</v>
      </c>
      <c r="I109" s="8">
        <v>1.0</v>
      </c>
      <c r="J109" s="8">
        <v>1.0</v>
      </c>
      <c r="K109" s="8">
        <v>1.0</v>
      </c>
      <c r="L109" s="8">
        <v>6.0</v>
      </c>
      <c r="M109" s="8"/>
      <c r="N109" s="8"/>
      <c r="O109" s="8" t="s">
        <v>704</v>
      </c>
      <c r="P109" s="8" t="e">
        <v>#N/A</v>
      </c>
    </row>
    <row r="110">
      <c r="A110">
        <f>IFERROR(__xludf.DUMMYFUNCTION("""COMPUTED_VALUE"""),6.0)</f>
        <v>6</v>
      </c>
      <c r="B110">
        <f>IFERROR(__xludf.DUMMYFUNCTION("""COMPUTED_VALUE"""),31107.0)</f>
        <v>31107</v>
      </c>
      <c r="C110" t="str">
        <f>IFERROR(__xludf.DUMMYFUNCTION("""COMPUTED_VALUE"""),"ROBLEDO LLANO, JERONIMO")</f>
        <v>ROBLEDO LLANO, JERONIMO</v>
      </c>
      <c r="D110" t="str">
        <f>IFERROR(__xludf.DUMMYFUNCTION("""COMPUTED_VALUE"""),"Science 6A")</f>
        <v>Science 6A</v>
      </c>
      <c r="E110" s="31">
        <f>IFERROR(__xludf.DUMMYFUNCTION("""COMPUTED_VALUE"""),3.0)</f>
        <v>3</v>
      </c>
      <c r="F110" s="8">
        <v>1.0</v>
      </c>
      <c r="G110" s="8">
        <v>1.0</v>
      </c>
      <c r="H110" s="8">
        <v>1.0</v>
      </c>
      <c r="I110" s="8">
        <v>1.0</v>
      </c>
      <c r="J110" s="8">
        <v>1.0</v>
      </c>
      <c r="K110" s="8">
        <v>1.0</v>
      </c>
      <c r="L110" s="8">
        <v>6.0</v>
      </c>
      <c r="M110" s="8"/>
      <c r="N110" s="8"/>
      <c r="O110" s="8" t="s">
        <v>704</v>
      </c>
      <c r="P110" s="8" t="e">
        <v>#N/A</v>
      </c>
    </row>
    <row r="111">
      <c r="A111">
        <f>IFERROR(__xludf.DUMMYFUNCTION("""COMPUTED_VALUE"""),6.0)</f>
        <v>6</v>
      </c>
      <c r="B111">
        <f>IFERROR(__xludf.DUMMYFUNCTION("""COMPUTED_VALUE"""),30159.0)</f>
        <v>30159</v>
      </c>
      <c r="C111" t="str">
        <f>IFERROR(__xludf.DUMMYFUNCTION("""COMPUTED_VALUE"""),"ROJAS REYES, MATEO")</f>
        <v>ROJAS REYES, MATEO</v>
      </c>
      <c r="D111" t="str">
        <f>IFERROR(__xludf.DUMMYFUNCTION("""COMPUTED_VALUE"""),"Science 6")</f>
        <v>Science 6</v>
      </c>
      <c r="E111" s="31">
        <f>IFERROR(__xludf.DUMMYFUNCTION("""COMPUTED_VALUE"""),3.0)</f>
        <v>3</v>
      </c>
      <c r="F111" s="8">
        <v>1.0</v>
      </c>
      <c r="G111" s="8">
        <v>1.0</v>
      </c>
      <c r="H111" s="8">
        <v>1.0</v>
      </c>
      <c r="I111" s="8">
        <v>1.0</v>
      </c>
      <c r="J111" s="8">
        <v>1.0</v>
      </c>
      <c r="K111" s="8">
        <v>1.0</v>
      </c>
      <c r="L111" s="8">
        <v>6.0</v>
      </c>
      <c r="M111" s="8"/>
      <c r="N111" s="8"/>
      <c r="O111" s="8" t="s">
        <v>700</v>
      </c>
      <c r="P111" s="8">
        <v>6.0</v>
      </c>
    </row>
    <row r="112">
      <c r="A112">
        <f>IFERROR(__xludf.DUMMYFUNCTION("""COMPUTED_VALUE"""),6.0)</f>
        <v>6</v>
      </c>
      <c r="B112">
        <f>IFERROR(__xludf.DUMMYFUNCTION("""COMPUTED_VALUE"""),31110.0)</f>
        <v>31110</v>
      </c>
      <c r="C112" t="str">
        <f>IFERROR(__xludf.DUMMYFUNCTION("""COMPUTED_VALUE"""),"RUIZ CORREA, MARIANA")</f>
        <v>RUIZ CORREA, MARIANA</v>
      </c>
      <c r="D112" t="str">
        <f>IFERROR(__xludf.DUMMYFUNCTION("""COMPUTED_VALUE"""),"Science 6")</f>
        <v>Science 6</v>
      </c>
      <c r="E112" s="31">
        <f>IFERROR(__xludf.DUMMYFUNCTION("""COMPUTED_VALUE"""),2.0)</f>
        <v>2</v>
      </c>
      <c r="F112" s="8">
        <v>1.0</v>
      </c>
      <c r="G112" s="8">
        <v>1.0</v>
      </c>
      <c r="H112" s="8">
        <v>1.0</v>
      </c>
      <c r="I112" s="8">
        <v>1.0</v>
      </c>
      <c r="J112" s="8">
        <v>1.0</v>
      </c>
      <c r="K112" s="8">
        <v>1.0</v>
      </c>
      <c r="L112" s="8">
        <v>6.0</v>
      </c>
      <c r="M112" s="8"/>
      <c r="N112" s="8"/>
      <c r="O112" s="8" t="s">
        <v>702</v>
      </c>
      <c r="P112" s="8">
        <v>6.0</v>
      </c>
    </row>
    <row r="113">
      <c r="A113">
        <f>IFERROR(__xludf.DUMMYFUNCTION("""COMPUTED_VALUE"""),6.0)</f>
        <v>6</v>
      </c>
      <c r="B113">
        <f>IFERROR(__xludf.DUMMYFUNCTION("""COMPUTED_VALUE"""),31111.0)</f>
        <v>31111</v>
      </c>
      <c r="C113" t="str">
        <f>IFERROR(__xludf.DUMMYFUNCTION("""COMPUTED_VALUE"""),"RUIZ DUQUE, ANTONIO")</f>
        <v>RUIZ DUQUE, ANTONIO</v>
      </c>
      <c r="D113" t="str">
        <f>IFERROR(__xludf.DUMMYFUNCTION("""COMPUTED_VALUE"""),"Science 6")</f>
        <v>Science 6</v>
      </c>
      <c r="E113" s="31">
        <f>IFERROR(__xludf.DUMMYFUNCTION("""COMPUTED_VALUE"""),6.0)</f>
        <v>6</v>
      </c>
      <c r="F113" s="8">
        <v>1.0</v>
      </c>
      <c r="G113" s="8">
        <v>1.0</v>
      </c>
      <c r="H113" s="8">
        <v>1.0</v>
      </c>
      <c r="I113" s="8">
        <v>1.0</v>
      </c>
      <c r="J113" s="8">
        <v>1.0</v>
      </c>
      <c r="K113" s="8">
        <v>1.0</v>
      </c>
      <c r="L113" s="8">
        <v>6.0</v>
      </c>
      <c r="M113" s="8"/>
      <c r="N113" s="8"/>
      <c r="O113" s="8" t="s">
        <v>699</v>
      </c>
      <c r="P113" s="8">
        <v>6.0</v>
      </c>
    </row>
    <row r="114">
      <c r="A114">
        <f>IFERROR(__xludf.DUMMYFUNCTION("""COMPUTED_VALUE"""),6.0)</f>
        <v>6</v>
      </c>
      <c r="B114">
        <f>IFERROR(__xludf.DUMMYFUNCTION("""COMPUTED_VALUE"""),31109.0)</f>
        <v>31109</v>
      </c>
      <c r="C114" t="str">
        <f>IFERROR(__xludf.DUMMYFUNCTION("""COMPUTED_VALUE"""),"RUZ GUZMAN, FEDERICO")</f>
        <v>RUZ GUZMAN, FEDERICO</v>
      </c>
      <c r="D114" t="str">
        <f>IFERROR(__xludf.DUMMYFUNCTION("""COMPUTED_VALUE"""),"Science 6")</f>
        <v>Science 6</v>
      </c>
      <c r="E114" s="31">
        <f>IFERROR(__xludf.DUMMYFUNCTION("""COMPUTED_VALUE"""),4.0)</f>
        <v>4</v>
      </c>
      <c r="F114" s="8">
        <v>1.0</v>
      </c>
      <c r="G114" s="8">
        <v>1.0</v>
      </c>
      <c r="H114" s="8">
        <v>1.0</v>
      </c>
      <c r="I114" s="8">
        <v>1.0</v>
      </c>
      <c r="J114" s="8">
        <v>1.0</v>
      </c>
      <c r="K114" s="8">
        <v>1.0</v>
      </c>
      <c r="L114" s="8">
        <v>6.0</v>
      </c>
      <c r="M114" s="8"/>
      <c r="N114" s="8"/>
      <c r="O114" s="8" t="s">
        <v>701</v>
      </c>
      <c r="P114" s="8">
        <v>6.0</v>
      </c>
    </row>
    <row r="115">
      <c r="A115">
        <f>IFERROR(__xludf.DUMMYFUNCTION("""COMPUTED_VALUE"""),6.0)</f>
        <v>6</v>
      </c>
      <c r="B115">
        <f>IFERROR(__xludf.DUMMYFUNCTION("""COMPUTED_VALUE"""),31112.0)</f>
        <v>31112</v>
      </c>
      <c r="C115" t="str">
        <f>IFERROR(__xludf.DUMMYFUNCTION("""COMPUTED_VALUE"""),"SALAZAR BOTERO, FEDERICO")</f>
        <v>SALAZAR BOTERO, FEDERICO</v>
      </c>
      <c r="D115" t="str">
        <f>IFERROR(__xludf.DUMMYFUNCTION("""COMPUTED_VALUE"""),"Science 6")</f>
        <v>Science 6</v>
      </c>
      <c r="E115" s="31">
        <f>IFERROR(__xludf.DUMMYFUNCTION("""COMPUTED_VALUE"""),3.0)</f>
        <v>3</v>
      </c>
      <c r="F115" s="8">
        <v>1.0</v>
      </c>
      <c r="G115" s="8">
        <v>1.0</v>
      </c>
      <c r="H115" s="8">
        <v>1.0</v>
      </c>
      <c r="I115" s="8">
        <v>1.0</v>
      </c>
      <c r="J115" s="8">
        <v>1.0</v>
      </c>
      <c r="K115" s="8">
        <v>1.0</v>
      </c>
      <c r="L115" s="8">
        <v>6.0</v>
      </c>
      <c r="M115" s="8"/>
      <c r="N115" s="8"/>
      <c r="O115" s="8" t="s">
        <v>700</v>
      </c>
      <c r="P115" s="8">
        <v>6.0</v>
      </c>
    </row>
    <row r="116">
      <c r="A116">
        <f>IFERROR(__xludf.DUMMYFUNCTION("""COMPUTED_VALUE"""),6.0)</f>
        <v>6</v>
      </c>
      <c r="B116">
        <f>IFERROR(__xludf.DUMMYFUNCTION("""COMPUTED_VALUE"""),31153.0)</f>
        <v>31153</v>
      </c>
      <c r="C116" t="str">
        <f>IFERROR(__xludf.DUMMYFUNCTION("""COMPUTED_VALUE"""),"SALCEDO PERICO, JACOBO")</f>
        <v>SALCEDO PERICO, JACOBO</v>
      </c>
      <c r="D116" t="str">
        <f>IFERROR(__xludf.DUMMYFUNCTION("""COMPUTED_VALUE"""),"Science 6A")</f>
        <v>Science 6A</v>
      </c>
      <c r="E116" s="31">
        <f>IFERROR(__xludf.DUMMYFUNCTION("""COMPUTED_VALUE"""),3.0)</f>
        <v>3</v>
      </c>
      <c r="F116" s="8">
        <v>1.0</v>
      </c>
      <c r="G116" s="8">
        <v>1.0</v>
      </c>
      <c r="H116" s="8">
        <v>1.0</v>
      </c>
      <c r="I116" s="8">
        <v>1.0</v>
      </c>
      <c r="J116" s="8">
        <v>1.0</v>
      </c>
      <c r="K116" s="8">
        <v>1.0</v>
      </c>
      <c r="L116" s="8">
        <v>6.0</v>
      </c>
      <c r="M116" s="8"/>
      <c r="N116" s="8"/>
      <c r="O116" s="8" t="s">
        <v>704</v>
      </c>
      <c r="P116" s="8" t="e">
        <v>#N/A</v>
      </c>
    </row>
    <row r="117">
      <c r="A117">
        <f>IFERROR(__xludf.DUMMYFUNCTION("""COMPUTED_VALUE"""),6.0)</f>
        <v>6</v>
      </c>
      <c r="B117">
        <f>IFERROR(__xludf.DUMMYFUNCTION("""COMPUTED_VALUE"""),31113.0)</f>
        <v>31113</v>
      </c>
      <c r="C117" t="str">
        <f>IFERROR(__xludf.DUMMYFUNCTION("""COMPUTED_VALUE"""),"SANTAMARIA SALDARRIAGA, JUAN MARTIN")</f>
        <v>SANTAMARIA SALDARRIAGA, JUAN MARTIN</v>
      </c>
      <c r="D117" t="str">
        <f>IFERROR(__xludf.DUMMYFUNCTION("""COMPUTED_VALUE"""),"Science 6A")</f>
        <v>Science 6A</v>
      </c>
      <c r="E117" s="31">
        <f>IFERROR(__xludf.DUMMYFUNCTION("""COMPUTED_VALUE"""),3.0)</f>
        <v>3</v>
      </c>
      <c r="F117" s="8">
        <v>1.0</v>
      </c>
      <c r="G117" s="8">
        <v>1.0</v>
      </c>
      <c r="H117" s="8">
        <v>1.0</v>
      </c>
      <c r="I117" s="8">
        <v>1.0</v>
      </c>
      <c r="J117" s="8">
        <v>1.0</v>
      </c>
      <c r="K117" s="8">
        <v>1.0</v>
      </c>
      <c r="L117" s="8">
        <v>6.0</v>
      </c>
      <c r="M117" s="8"/>
      <c r="N117" s="8"/>
      <c r="O117" s="8" t="s">
        <v>704</v>
      </c>
      <c r="P117" s="8" t="e">
        <v>#N/A</v>
      </c>
    </row>
    <row r="118">
      <c r="A118">
        <f>IFERROR(__xludf.DUMMYFUNCTION("""COMPUTED_VALUE"""),6.0)</f>
        <v>6</v>
      </c>
      <c r="B118">
        <f>IFERROR(__xludf.DUMMYFUNCTION("""COMPUTED_VALUE"""),31114.0)</f>
        <v>31114</v>
      </c>
      <c r="C118" t="str">
        <f>IFERROR(__xludf.DUMMYFUNCTION("""COMPUTED_VALUE"""),"SCHOBER OCAMPO, MIA")</f>
        <v>SCHOBER OCAMPO, MIA</v>
      </c>
      <c r="D118" t="str">
        <f>IFERROR(__xludf.DUMMYFUNCTION("""COMPUTED_VALUE"""),"Science 6")</f>
        <v>Science 6</v>
      </c>
      <c r="E118" s="31">
        <f>IFERROR(__xludf.DUMMYFUNCTION("""COMPUTED_VALUE"""),5.0)</f>
        <v>5</v>
      </c>
      <c r="F118" s="8">
        <v>1.0</v>
      </c>
      <c r="G118" s="8">
        <v>1.0</v>
      </c>
      <c r="H118" s="8">
        <v>1.0</v>
      </c>
      <c r="I118" s="8">
        <v>1.0</v>
      </c>
      <c r="J118" s="8">
        <v>1.0</v>
      </c>
      <c r="K118" s="8">
        <v>1.0</v>
      </c>
      <c r="L118" s="8">
        <v>6.0</v>
      </c>
      <c r="M118" s="8"/>
      <c r="N118" s="8"/>
      <c r="O118" s="8" t="s">
        <v>703</v>
      </c>
      <c r="P118" s="8">
        <v>6.0</v>
      </c>
    </row>
    <row r="119">
      <c r="A119">
        <f>IFERROR(__xludf.DUMMYFUNCTION("""COMPUTED_VALUE"""),6.0)</f>
        <v>6</v>
      </c>
      <c r="B119">
        <f>IFERROR(__xludf.DUMMYFUNCTION("""COMPUTED_VALUE"""),31115.0)</f>
        <v>31115</v>
      </c>
      <c r="C119" t="str">
        <f>IFERROR(__xludf.DUMMYFUNCTION("""COMPUTED_VALUE"""),"SERANI ANGEL, TOMAS")</f>
        <v>SERANI ANGEL, TOMAS</v>
      </c>
      <c r="D119" t="str">
        <f>IFERROR(__xludf.DUMMYFUNCTION("""COMPUTED_VALUE"""),"Science 6")</f>
        <v>Science 6</v>
      </c>
      <c r="E119" s="31">
        <f>IFERROR(__xludf.DUMMYFUNCTION("""COMPUTED_VALUE"""),3.0)</f>
        <v>3</v>
      </c>
      <c r="F119" s="8">
        <v>1.0</v>
      </c>
      <c r="G119" s="8">
        <v>1.0</v>
      </c>
      <c r="H119" s="8">
        <v>1.0</v>
      </c>
      <c r="I119" s="8">
        <v>1.0</v>
      </c>
      <c r="J119" s="8">
        <v>1.0</v>
      </c>
      <c r="K119" s="8">
        <v>1.0</v>
      </c>
      <c r="L119" s="8">
        <v>6.0</v>
      </c>
      <c r="M119" s="8"/>
      <c r="N119" s="8"/>
      <c r="O119" s="8" t="s">
        <v>700</v>
      </c>
      <c r="P119" s="8">
        <v>6.0</v>
      </c>
    </row>
    <row r="120">
      <c r="A120">
        <f>IFERROR(__xludf.DUMMYFUNCTION("""COMPUTED_VALUE"""),6.0)</f>
        <v>6</v>
      </c>
      <c r="B120">
        <f>IFERROR(__xludf.DUMMYFUNCTION("""COMPUTED_VALUE"""),31116.0)</f>
        <v>31116</v>
      </c>
      <c r="C120" t="str">
        <f>IFERROR(__xludf.DUMMYFUNCTION("""COMPUTED_VALUE"""),"SERRANO BARRENECHE, JUAN FELIPE")</f>
        <v>SERRANO BARRENECHE, JUAN FELIPE</v>
      </c>
      <c r="D120" t="str">
        <f>IFERROR(__xludf.DUMMYFUNCTION("""COMPUTED_VALUE"""),"Science 6")</f>
        <v>Science 6</v>
      </c>
      <c r="E120" s="31">
        <f>IFERROR(__xludf.DUMMYFUNCTION("""COMPUTED_VALUE"""),4.0)</f>
        <v>4</v>
      </c>
      <c r="F120" s="8">
        <v>1.0</v>
      </c>
      <c r="G120" s="8">
        <v>1.0</v>
      </c>
      <c r="H120" s="8">
        <v>1.0</v>
      </c>
      <c r="I120" s="8">
        <v>1.0</v>
      </c>
      <c r="J120" s="8">
        <v>1.0</v>
      </c>
      <c r="K120" s="8">
        <v>1.0</v>
      </c>
      <c r="L120" s="8">
        <v>6.0</v>
      </c>
      <c r="M120" s="8"/>
      <c r="N120" s="8"/>
      <c r="O120" s="8" t="s">
        <v>701</v>
      </c>
      <c r="P120" s="8">
        <v>6.0</v>
      </c>
    </row>
    <row r="121">
      <c r="A121">
        <f>IFERROR(__xludf.DUMMYFUNCTION("""COMPUTED_VALUE"""),6.0)</f>
        <v>6</v>
      </c>
      <c r="B121">
        <f>IFERROR(__xludf.DUMMYFUNCTION("""COMPUTED_VALUE"""),31117.0)</f>
        <v>31117</v>
      </c>
      <c r="C121" t="str">
        <f>IFERROR(__xludf.DUMMYFUNCTION("""COMPUTED_VALUE"""),"SIERRA ECHAVARRIA, BENJAMIN")</f>
        <v>SIERRA ECHAVARRIA, BENJAMIN</v>
      </c>
      <c r="D121" t="str">
        <f>IFERROR(__xludf.DUMMYFUNCTION("""COMPUTED_VALUE"""),"Science 6")</f>
        <v>Science 6</v>
      </c>
      <c r="E121" s="31">
        <f>IFERROR(__xludf.DUMMYFUNCTION("""COMPUTED_VALUE"""),3.0)</f>
        <v>3</v>
      </c>
      <c r="F121" s="8">
        <v>1.0</v>
      </c>
      <c r="G121" s="8">
        <v>1.0</v>
      </c>
      <c r="H121" s="8">
        <v>1.0</v>
      </c>
      <c r="I121" s="8">
        <v>1.0</v>
      </c>
      <c r="J121" s="8">
        <v>1.0</v>
      </c>
      <c r="K121" s="8">
        <v>1.0</v>
      </c>
      <c r="L121" s="8">
        <v>6.0</v>
      </c>
      <c r="M121" s="8"/>
      <c r="N121" s="8"/>
      <c r="O121" s="8" t="s">
        <v>700</v>
      </c>
      <c r="P121" s="8">
        <v>6.0</v>
      </c>
    </row>
    <row r="122">
      <c r="A122">
        <f>IFERROR(__xludf.DUMMYFUNCTION("""COMPUTED_VALUE"""),6.0)</f>
        <v>6</v>
      </c>
      <c r="B122">
        <f>IFERROR(__xludf.DUMMYFUNCTION("""COMPUTED_VALUE"""),31118.0)</f>
        <v>31118</v>
      </c>
      <c r="C122" t="str">
        <f>IFERROR(__xludf.DUMMYFUNCTION("""COMPUTED_VALUE"""),"TOBON PEÑALOZA, EMILIA")</f>
        <v>TOBON PEÑALOZA, EMILIA</v>
      </c>
      <c r="D122" t="str">
        <f>IFERROR(__xludf.DUMMYFUNCTION("""COMPUTED_VALUE"""),"Science 6A")</f>
        <v>Science 6A</v>
      </c>
      <c r="E122" s="31">
        <f>IFERROR(__xludf.DUMMYFUNCTION("""COMPUTED_VALUE"""),3.0)</f>
        <v>3</v>
      </c>
      <c r="F122" s="8">
        <v>1.0</v>
      </c>
      <c r="G122" s="8">
        <v>1.0</v>
      </c>
      <c r="H122" s="8">
        <v>1.0</v>
      </c>
      <c r="I122" s="8">
        <v>1.0</v>
      </c>
      <c r="J122" s="8">
        <v>1.0</v>
      </c>
      <c r="K122" s="8">
        <v>1.0</v>
      </c>
      <c r="L122" s="8">
        <v>6.0</v>
      </c>
      <c r="M122" s="8"/>
      <c r="N122" s="8"/>
      <c r="O122" s="8" t="s">
        <v>704</v>
      </c>
      <c r="P122" s="8" t="e">
        <v>#N/A</v>
      </c>
    </row>
    <row r="123">
      <c r="A123">
        <f>IFERROR(__xludf.DUMMYFUNCTION("""COMPUTED_VALUE"""),6.0)</f>
        <v>6</v>
      </c>
      <c r="B123">
        <f>IFERROR(__xludf.DUMMYFUNCTION("""COMPUTED_VALUE"""),31119.0)</f>
        <v>31119</v>
      </c>
      <c r="C123" t="str">
        <f>IFERROR(__xludf.DUMMYFUNCTION("""COMPUTED_VALUE"""),"TOBON PEÑALOZA, JUAN")</f>
        <v>TOBON PEÑALOZA, JUAN</v>
      </c>
      <c r="D123" t="str">
        <f>IFERROR(__xludf.DUMMYFUNCTION("""COMPUTED_VALUE"""),"Science 6")</f>
        <v>Science 6</v>
      </c>
      <c r="E123" s="31">
        <f>IFERROR(__xludf.DUMMYFUNCTION("""COMPUTED_VALUE"""),4.0)</f>
        <v>4</v>
      </c>
      <c r="F123" s="8">
        <v>1.0</v>
      </c>
      <c r="G123" s="8">
        <v>1.0</v>
      </c>
      <c r="H123" s="8">
        <v>1.0</v>
      </c>
      <c r="I123" s="8">
        <v>1.0</v>
      </c>
      <c r="J123" s="8">
        <v>1.0</v>
      </c>
      <c r="K123" s="8">
        <v>1.0</v>
      </c>
      <c r="L123" s="8">
        <v>6.0</v>
      </c>
      <c r="M123" s="8"/>
      <c r="N123" s="8"/>
      <c r="O123" s="8" t="s">
        <v>701</v>
      </c>
      <c r="P123" s="8">
        <v>6.0</v>
      </c>
    </row>
    <row r="124">
      <c r="A124">
        <f>IFERROR(__xludf.DUMMYFUNCTION("""COMPUTED_VALUE"""),6.0)</f>
        <v>6</v>
      </c>
      <c r="B124">
        <f>IFERROR(__xludf.DUMMYFUNCTION("""COMPUTED_VALUE"""),31120.0)</f>
        <v>31120</v>
      </c>
      <c r="C124" t="str">
        <f>IFERROR(__xludf.DUMMYFUNCTION("""COMPUTED_VALUE"""),"TORO PEREZ, GREGORIO")</f>
        <v>TORO PEREZ, GREGORIO</v>
      </c>
      <c r="D124" t="str">
        <f>IFERROR(__xludf.DUMMYFUNCTION("""COMPUTED_VALUE"""),"Science 6")</f>
        <v>Science 6</v>
      </c>
      <c r="E124" s="31">
        <f>IFERROR(__xludf.DUMMYFUNCTION("""COMPUTED_VALUE"""),4.0)</f>
        <v>4</v>
      </c>
      <c r="F124" s="8">
        <v>1.0</v>
      </c>
      <c r="G124" s="8">
        <v>1.0</v>
      </c>
      <c r="H124" s="8">
        <v>1.0</v>
      </c>
      <c r="I124" s="8">
        <v>1.0</v>
      </c>
      <c r="J124" s="8">
        <v>1.0</v>
      </c>
      <c r="K124" s="8">
        <v>1.0</v>
      </c>
      <c r="L124" s="8">
        <v>6.0</v>
      </c>
      <c r="M124" s="8"/>
      <c r="N124" s="8"/>
      <c r="O124" s="8" t="s">
        <v>701</v>
      </c>
      <c r="P124" s="8">
        <v>6.0</v>
      </c>
    </row>
    <row r="125">
      <c r="A125">
        <f>IFERROR(__xludf.DUMMYFUNCTION("""COMPUTED_VALUE"""),6.0)</f>
        <v>6</v>
      </c>
      <c r="B125">
        <f>IFERROR(__xludf.DUMMYFUNCTION("""COMPUTED_VALUE"""),31121.0)</f>
        <v>31121</v>
      </c>
      <c r="C125" t="str">
        <f>IFERROR(__xludf.DUMMYFUNCTION("""COMPUTED_VALUE"""),"TRUJILLO ARANGO, MARTIN")</f>
        <v>TRUJILLO ARANGO, MARTIN</v>
      </c>
      <c r="D125" t="str">
        <f>IFERROR(__xludf.DUMMYFUNCTION("""COMPUTED_VALUE"""),"Science 6")</f>
        <v>Science 6</v>
      </c>
      <c r="E125" s="31">
        <f>IFERROR(__xludf.DUMMYFUNCTION("""COMPUTED_VALUE"""),6.0)</f>
        <v>6</v>
      </c>
      <c r="F125" s="8">
        <v>1.0</v>
      </c>
      <c r="G125" s="8">
        <v>1.0</v>
      </c>
      <c r="H125" s="8">
        <v>1.0</v>
      </c>
      <c r="I125" s="8">
        <v>1.0</v>
      </c>
      <c r="J125" s="8">
        <v>1.0</v>
      </c>
      <c r="K125" s="8">
        <v>1.0</v>
      </c>
      <c r="L125" s="8">
        <v>6.0</v>
      </c>
      <c r="M125" s="8"/>
      <c r="N125" s="8"/>
      <c r="O125" s="8" t="s">
        <v>699</v>
      </c>
      <c r="P125" s="8">
        <v>6.0</v>
      </c>
    </row>
    <row r="126">
      <c r="A126">
        <f>IFERROR(__xludf.DUMMYFUNCTION("""COMPUTED_VALUE"""),6.0)</f>
        <v>6</v>
      </c>
      <c r="B126">
        <f>IFERROR(__xludf.DUMMYFUNCTION("""COMPUTED_VALUE"""),30108.0)</f>
        <v>30108</v>
      </c>
      <c r="C126" t="str">
        <f>IFERROR(__xludf.DUMMYFUNCTION("""COMPUTED_VALUE"""),"TRUJILLO BUITRAGO, MARTIN")</f>
        <v>TRUJILLO BUITRAGO, MARTIN</v>
      </c>
      <c r="D126" t="str">
        <f>IFERROR(__xludf.DUMMYFUNCTION("""COMPUTED_VALUE"""),"Science 6")</f>
        <v>Science 6</v>
      </c>
      <c r="E126" s="31">
        <f>IFERROR(__xludf.DUMMYFUNCTION("""COMPUTED_VALUE"""),2.0)</f>
        <v>2</v>
      </c>
      <c r="F126" s="8">
        <v>1.0</v>
      </c>
      <c r="G126" s="8">
        <v>1.0</v>
      </c>
      <c r="H126" s="8">
        <v>1.0</v>
      </c>
      <c r="I126" s="8">
        <v>1.0</v>
      </c>
      <c r="J126" s="8">
        <v>1.0</v>
      </c>
      <c r="K126" s="8">
        <v>1.0</v>
      </c>
      <c r="L126" s="8">
        <v>6.0</v>
      </c>
      <c r="M126" s="8"/>
      <c r="N126" s="8"/>
      <c r="O126" s="8" t="s">
        <v>702</v>
      </c>
      <c r="P126" s="8">
        <v>6.0</v>
      </c>
    </row>
    <row r="127">
      <c r="A127">
        <f>IFERROR(__xludf.DUMMYFUNCTION("""COMPUTED_VALUE"""),6.0)</f>
        <v>6</v>
      </c>
      <c r="B127">
        <f>IFERROR(__xludf.DUMMYFUNCTION("""COMPUTED_VALUE"""),31122.0)</f>
        <v>31122</v>
      </c>
      <c r="C127" t="str">
        <f>IFERROR(__xludf.DUMMYFUNCTION("""COMPUTED_VALUE"""),"URDANETA MEJIA, GABRIELA")</f>
        <v>URDANETA MEJIA, GABRIELA</v>
      </c>
      <c r="D127" t="str">
        <f>IFERROR(__xludf.DUMMYFUNCTION("""COMPUTED_VALUE"""),"Science 6")</f>
        <v>Science 6</v>
      </c>
      <c r="E127" s="31">
        <f>IFERROR(__xludf.DUMMYFUNCTION("""COMPUTED_VALUE"""),6.0)</f>
        <v>6</v>
      </c>
      <c r="F127" s="8">
        <v>1.0</v>
      </c>
      <c r="G127" s="8">
        <v>1.0</v>
      </c>
      <c r="H127" s="8">
        <v>1.0</v>
      </c>
      <c r="I127" s="8">
        <v>1.0</v>
      </c>
      <c r="J127" s="8">
        <v>1.0</v>
      </c>
      <c r="K127" s="8">
        <v>1.0</v>
      </c>
      <c r="L127" s="8">
        <v>6.0</v>
      </c>
      <c r="M127" s="8"/>
      <c r="N127" s="8"/>
      <c r="O127" s="8" t="s">
        <v>699</v>
      </c>
      <c r="P127" s="8">
        <v>6.0</v>
      </c>
    </row>
    <row r="128">
      <c r="A128">
        <f>IFERROR(__xludf.DUMMYFUNCTION("""COMPUTED_VALUE"""),6.0)</f>
        <v>6</v>
      </c>
      <c r="B128">
        <f>IFERROR(__xludf.DUMMYFUNCTION("""COMPUTED_VALUE"""),31123.0)</f>
        <v>31123</v>
      </c>
      <c r="C128" t="str">
        <f>IFERROR(__xludf.DUMMYFUNCTION("""COMPUTED_VALUE"""),"URIBE BOTERO, MANUEL")</f>
        <v>URIBE BOTERO, MANUEL</v>
      </c>
      <c r="D128" t="str">
        <f>IFERROR(__xludf.DUMMYFUNCTION("""COMPUTED_VALUE"""),"Science 6")</f>
        <v>Science 6</v>
      </c>
      <c r="E128" s="31">
        <f>IFERROR(__xludf.DUMMYFUNCTION("""COMPUTED_VALUE"""),3.0)</f>
        <v>3</v>
      </c>
      <c r="F128" s="8">
        <v>1.0</v>
      </c>
      <c r="G128" s="8">
        <v>1.0</v>
      </c>
      <c r="H128" s="8">
        <v>1.0</v>
      </c>
      <c r="I128" s="8">
        <v>1.0</v>
      </c>
      <c r="J128" s="8">
        <v>1.0</v>
      </c>
      <c r="K128" s="8">
        <v>1.0</v>
      </c>
      <c r="L128" s="8">
        <v>6.0</v>
      </c>
      <c r="M128" s="8"/>
      <c r="N128" s="8"/>
      <c r="O128" s="8" t="s">
        <v>700</v>
      </c>
      <c r="P128" s="8">
        <v>6.0</v>
      </c>
    </row>
    <row r="129">
      <c r="A129">
        <f>IFERROR(__xludf.DUMMYFUNCTION("""COMPUTED_VALUE"""),6.0)</f>
        <v>6</v>
      </c>
      <c r="B129">
        <f>IFERROR(__xludf.DUMMYFUNCTION("""COMPUTED_VALUE"""),31124.0)</f>
        <v>31124</v>
      </c>
      <c r="C129" t="str">
        <f>IFERROR(__xludf.DUMMYFUNCTION("""COMPUTED_VALUE"""),"URIBE MEJIA, MARTINA")</f>
        <v>URIBE MEJIA, MARTINA</v>
      </c>
      <c r="D129" t="str">
        <f>IFERROR(__xludf.DUMMYFUNCTION("""COMPUTED_VALUE"""),"Science 6")</f>
        <v>Science 6</v>
      </c>
      <c r="E129" s="31">
        <f>IFERROR(__xludf.DUMMYFUNCTION("""COMPUTED_VALUE"""),3.0)</f>
        <v>3</v>
      </c>
      <c r="F129" s="8">
        <v>1.0</v>
      </c>
      <c r="G129" s="8">
        <v>1.0</v>
      </c>
      <c r="H129" s="8">
        <v>1.0</v>
      </c>
      <c r="I129" s="8">
        <v>1.0</v>
      </c>
      <c r="J129" s="8">
        <v>1.0</v>
      </c>
      <c r="K129" s="8">
        <v>1.0</v>
      </c>
      <c r="L129" s="8">
        <v>6.0</v>
      </c>
      <c r="M129" s="8"/>
      <c r="N129" s="8"/>
      <c r="O129" s="8" t="s">
        <v>700</v>
      </c>
      <c r="P129" s="8">
        <v>6.0</v>
      </c>
    </row>
    <row r="130">
      <c r="A130">
        <f>IFERROR(__xludf.DUMMYFUNCTION("""COMPUTED_VALUE"""),6.0)</f>
        <v>6</v>
      </c>
      <c r="B130">
        <f>IFERROR(__xludf.DUMMYFUNCTION("""COMPUTED_VALUE"""),31125.0)</f>
        <v>31125</v>
      </c>
      <c r="C130" t="str">
        <f>IFERROR(__xludf.DUMMYFUNCTION("""COMPUTED_VALUE"""),"URIBE RODRIGUEZ, ANDRES")</f>
        <v>URIBE RODRIGUEZ, ANDRES</v>
      </c>
      <c r="D130" t="str">
        <f>IFERROR(__xludf.DUMMYFUNCTION("""COMPUTED_VALUE"""),"Science 6")</f>
        <v>Science 6</v>
      </c>
      <c r="E130" s="31">
        <f>IFERROR(__xludf.DUMMYFUNCTION("""COMPUTED_VALUE"""),3.0)</f>
        <v>3</v>
      </c>
      <c r="F130" s="8">
        <v>1.0</v>
      </c>
      <c r="G130" s="8">
        <v>1.0</v>
      </c>
      <c r="H130" s="8">
        <v>1.0</v>
      </c>
      <c r="I130" s="8">
        <v>1.0</v>
      </c>
      <c r="J130" s="8">
        <v>1.0</v>
      </c>
      <c r="K130" s="8">
        <v>1.0</v>
      </c>
      <c r="L130" s="8">
        <v>6.0</v>
      </c>
      <c r="M130" s="8"/>
      <c r="N130" s="8"/>
      <c r="O130" s="8" t="s">
        <v>700</v>
      </c>
      <c r="P130" s="8">
        <v>6.0</v>
      </c>
    </row>
    <row r="131">
      <c r="A131">
        <f>IFERROR(__xludf.DUMMYFUNCTION("""COMPUTED_VALUE"""),6.0)</f>
        <v>6</v>
      </c>
      <c r="B131">
        <f>IFERROR(__xludf.DUMMYFUNCTION("""COMPUTED_VALUE"""),31126.0)</f>
        <v>31126</v>
      </c>
      <c r="C131" t="str">
        <f>IFERROR(__xludf.DUMMYFUNCTION("""COMPUTED_VALUE"""),"URIBE RUIZ, MANUEL")</f>
        <v>URIBE RUIZ, MANUEL</v>
      </c>
      <c r="D131" t="str">
        <f>IFERROR(__xludf.DUMMYFUNCTION("""COMPUTED_VALUE"""),"Science 6")</f>
        <v>Science 6</v>
      </c>
      <c r="E131" s="31">
        <f>IFERROR(__xludf.DUMMYFUNCTION("""COMPUTED_VALUE"""),2.0)</f>
        <v>2</v>
      </c>
      <c r="F131" s="8">
        <v>1.0</v>
      </c>
      <c r="G131" s="8">
        <v>1.0</v>
      </c>
      <c r="H131" s="8">
        <v>1.0</v>
      </c>
      <c r="I131" s="8">
        <v>1.0</v>
      </c>
      <c r="J131" s="8">
        <v>1.0</v>
      </c>
      <c r="K131" s="8">
        <v>1.0</v>
      </c>
      <c r="L131" s="8">
        <v>6.0</v>
      </c>
      <c r="M131" s="8"/>
      <c r="N131" s="8"/>
      <c r="O131" s="8" t="s">
        <v>702</v>
      </c>
      <c r="P131" s="8">
        <v>6.0</v>
      </c>
    </row>
    <row r="132">
      <c r="A132">
        <f>IFERROR(__xludf.DUMMYFUNCTION("""COMPUTED_VALUE"""),6.0)</f>
        <v>6</v>
      </c>
      <c r="B132">
        <f>IFERROR(__xludf.DUMMYFUNCTION("""COMPUTED_VALUE"""),31127.0)</f>
        <v>31127</v>
      </c>
      <c r="C132" t="str">
        <f>IFERROR(__xludf.DUMMYFUNCTION("""COMPUTED_VALUE"""),"URIBE VELASQUEZ, JERONIMO")</f>
        <v>URIBE VELASQUEZ, JERONIMO</v>
      </c>
      <c r="D132" t="str">
        <f>IFERROR(__xludf.DUMMYFUNCTION("""COMPUTED_VALUE"""),"Science 6")</f>
        <v>Science 6</v>
      </c>
      <c r="E132" s="31">
        <f>IFERROR(__xludf.DUMMYFUNCTION("""COMPUTED_VALUE"""),5.0)</f>
        <v>5</v>
      </c>
      <c r="F132" s="8">
        <v>1.0</v>
      </c>
      <c r="G132" s="8">
        <v>1.0</v>
      </c>
      <c r="H132" s="8">
        <v>1.0</v>
      </c>
      <c r="I132" s="8">
        <v>1.0</v>
      </c>
      <c r="J132" s="8">
        <v>1.0</v>
      </c>
      <c r="K132" s="8">
        <v>1.0</v>
      </c>
      <c r="L132" s="8">
        <v>6.0</v>
      </c>
      <c r="M132" s="8"/>
      <c r="N132" s="8"/>
      <c r="O132" s="8" t="s">
        <v>703</v>
      </c>
      <c r="P132" s="8">
        <v>6.0</v>
      </c>
    </row>
    <row r="133">
      <c r="A133">
        <f>IFERROR(__xludf.DUMMYFUNCTION("""COMPUTED_VALUE"""),6.0)</f>
        <v>6</v>
      </c>
      <c r="B133">
        <f>IFERROR(__xludf.DUMMYFUNCTION("""COMPUTED_VALUE"""),31128.0)</f>
        <v>31128</v>
      </c>
      <c r="C133" t="str">
        <f>IFERROR(__xludf.DUMMYFUNCTION("""COMPUTED_VALUE"""),"URRETA HENAO, PEDRO")</f>
        <v>URRETA HENAO, PEDRO</v>
      </c>
      <c r="D133" t="str">
        <f>IFERROR(__xludf.DUMMYFUNCTION("""COMPUTED_VALUE"""),"Science 6")</f>
        <v>Science 6</v>
      </c>
      <c r="E133" s="31">
        <f>IFERROR(__xludf.DUMMYFUNCTION("""COMPUTED_VALUE"""),4.0)</f>
        <v>4</v>
      </c>
      <c r="F133" s="8">
        <v>1.0</v>
      </c>
      <c r="G133" s="8">
        <v>1.0</v>
      </c>
      <c r="H133" s="8">
        <v>1.0</v>
      </c>
      <c r="I133" s="8">
        <v>1.0</v>
      </c>
      <c r="J133" s="8">
        <v>1.0</v>
      </c>
      <c r="K133" s="8">
        <v>1.0</v>
      </c>
      <c r="L133" s="8">
        <v>6.0</v>
      </c>
      <c r="M133" s="8"/>
      <c r="N133" s="8"/>
      <c r="O133" s="8" t="s">
        <v>701</v>
      </c>
      <c r="P133" s="8">
        <v>6.0</v>
      </c>
    </row>
    <row r="134">
      <c r="A134">
        <f>IFERROR(__xludf.DUMMYFUNCTION("""COMPUTED_VALUE"""),6.0)</f>
        <v>6</v>
      </c>
      <c r="B134">
        <f>IFERROR(__xludf.DUMMYFUNCTION("""COMPUTED_VALUE"""),31165.0)</f>
        <v>31165</v>
      </c>
      <c r="C134" t="str">
        <f>IFERROR(__xludf.DUMMYFUNCTION("""COMPUTED_VALUE"""),"VALDEZ URIBE, SAMANTHA")</f>
        <v>VALDEZ URIBE, SAMANTHA</v>
      </c>
      <c r="D134" t="str">
        <f>IFERROR(__xludf.DUMMYFUNCTION("""COMPUTED_VALUE"""),"Science 6A")</f>
        <v>Science 6A</v>
      </c>
      <c r="E134" s="31">
        <f>IFERROR(__xludf.DUMMYFUNCTION("""COMPUTED_VALUE"""),3.0)</f>
        <v>3</v>
      </c>
      <c r="F134" s="8">
        <v>1.0</v>
      </c>
      <c r="G134" s="8">
        <v>1.0</v>
      </c>
      <c r="H134" s="8">
        <v>1.0</v>
      </c>
      <c r="I134" s="8">
        <v>1.0</v>
      </c>
      <c r="J134" s="8">
        <v>1.0</v>
      </c>
      <c r="K134" s="8">
        <v>1.0</v>
      </c>
      <c r="L134" s="8">
        <v>6.0</v>
      </c>
      <c r="M134" s="8"/>
      <c r="N134" s="8"/>
      <c r="O134" s="8" t="s">
        <v>704</v>
      </c>
      <c r="P134" s="8" t="e">
        <v>#N/A</v>
      </c>
    </row>
    <row r="135">
      <c r="A135">
        <f>IFERROR(__xludf.DUMMYFUNCTION("""COMPUTED_VALUE"""),6.0)</f>
        <v>6</v>
      </c>
      <c r="B135">
        <f>IFERROR(__xludf.DUMMYFUNCTION("""COMPUTED_VALUE"""),31129.0)</f>
        <v>31129</v>
      </c>
      <c r="C135" t="str">
        <f>IFERROR(__xludf.DUMMYFUNCTION("""COMPUTED_VALUE"""),"VALENCIA VILLEGAS, ELENA")</f>
        <v>VALENCIA VILLEGAS, ELENA</v>
      </c>
      <c r="D135" t="str">
        <f>IFERROR(__xludf.DUMMYFUNCTION("""COMPUTED_VALUE"""),"Science 6")</f>
        <v>Science 6</v>
      </c>
      <c r="E135" s="31">
        <f>IFERROR(__xludf.DUMMYFUNCTION("""COMPUTED_VALUE"""),5.0)</f>
        <v>5</v>
      </c>
      <c r="F135" s="8">
        <v>1.0</v>
      </c>
      <c r="G135" s="8">
        <v>1.0</v>
      </c>
      <c r="H135" s="8">
        <v>1.0</v>
      </c>
      <c r="I135" s="8">
        <v>1.0</v>
      </c>
      <c r="J135" s="8">
        <v>1.0</v>
      </c>
      <c r="K135" s="8">
        <v>1.0</v>
      </c>
      <c r="L135" s="8">
        <v>6.0</v>
      </c>
      <c r="M135" s="8"/>
      <c r="N135" s="8"/>
      <c r="O135" s="8" t="s">
        <v>703</v>
      </c>
      <c r="P135" s="8">
        <v>6.0</v>
      </c>
    </row>
    <row r="136">
      <c r="A136">
        <f>IFERROR(__xludf.DUMMYFUNCTION("""COMPUTED_VALUE"""),6.0)</f>
        <v>6</v>
      </c>
      <c r="B136">
        <f>IFERROR(__xludf.DUMMYFUNCTION("""COMPUTED_VALUE"""),31130.0)</f>
        <v>31130</v>
      </c>
      <c r="C136" t="str">
        <f>IFERROR(__xludf.DUMMYFUNCTION("""COMPUTED_VALUE"""),"VARGAS ACEVEDO, DANTE")</f>
        <v>VARGAS ACEVEDO, DANTE</v>
      </c>
      <c r="D136" t="str">
        <f>IFERROR(__xludf.DUMMYFUNCTION("""COMPUTED_VALUE"""),"Science 6")</f>
        <v>Science 6</v>
      </c>
      <c r="E136" s="31">
        <f>IFERROR(__xludf.DUMMYFUNCTION("""COMPUTED_VALUE"""),2.0)</f>
        <v>2</v>
      </c>
      <c r="F136" s="8">
        <v>1.0</v>
      </c>
      <c r="G136" s="8">
        <v>1.0</v>
      </c>
      <c r="H136" s="8">
        <v>1.0</v>
      </c>
      <c r="I136" s="8">
        <v>1.0</v>
      </c>
      <c r="J136" s="8">
        <v>1.0</v>
      </c>
      <c r="K136" s="8">
        <v>1.0</v>
      </c>
      <c r="L136" s="8">
        <v>6.0</v>
      </c>
      <c r="M136" s="8"/>
      <c r="N136" s="8"/>
      <c r="O136" s="8" t="s">
        <v>702</v>
      </c>
      <c r="P136" s="8">
        <v>6.0</v>
      </c>
    </row>
    <row r="137">
      <c r="A137">
        <f>IFERROR(__xludf.DUMMYFUNCTION("""COMPUTED_VALUE"""),6.0)</f>
        <v>6</v>
      </c>
      <c r="B137">
        <f>IFERROR(__xludf.DUMMYFUNCTION("""COMPUTED_VALUE"""),31132.0)</f>
        <v>31132</v>
      </c>
      <c r="C137" t="str">
        <f>IFERROR(__xludf.DUMMYFUNCTION("""COMPUTED_VALUE"""),"VASQUEZ HENAO, MATIAS")</f>
        <v>VASQUEZ HENAO, MATIAS</v>
      </c>
      <c r="D137" t="str">
        <f>IFERROR(__xludf.DUMMYFUNCTION("""COMPUTED_VALUE"""),"Science 6")</f>
        <v>Science 6</v>
      </c>
      <c r="E137" s="31">
        <f>IFERROR(__xludf.DUMMYFUNCTION("""COMPUTED_VALUE"""),6.0)</f>
        <v>6</v>
      </c>
      <c r="F137" s="8">
        <v>1.0</v>
      </c>
      <c r="G137" s="8">
        <v>1.0</v>
      </c>
      <c r="H137" s="8">
        <v>1.0</v>
      </c>
      <c r="I137" s="8">
        <v>1.0</v>
      </c>
      <c r="J137" s="8">
        <v>1.0</v>
      </c>
      <c r="K137" s="8">
        <v>1.0</v>
      </c>
      <c r="L137" s="8">
        <v>6.0</v>
      </c>
      <c r="M137" s="8"/>
      <c r="N137" s="8"/>
      <c r="O137" s="8" t="s">
        <v>699</v>
      </c>
      <c r="P137" s="8">
        <v>6.0</v>
      </c>
    </row>
    <row r="138">
      <c r="A138">
        <f>IFERROR(__xludf.DUMMYFUNCTION("""COMPUTED_VALUE"""),6.0)</f>
        <v>6</v>
      </c>
      <c r="B138">
        <f>IFERROR(__xludf.DUMMYFUNCTION("""COMPUTED_VALUE"""),30118.0)</f>
        <v>30118</v>
      </c>
      <c r="C138" t="str">
        <f>IFERROR(__xludf.DUMMYFUNCTION("""COMPUTED_VALUE"""),"VASQUEZ MEDINA, MATIAS")</f>
        <v>VASQUEZ MEDINA, MATIAS</v>
      </c>
      <c r="D138" t="str">
        <f>IFERROR(__xludf.DUMMYFUNCTION("""COMPUTED_VALUE"""),"Science 6A")</f>
        <v>Science 6A</v>
      </c>
      <c r="E138" s="31">
        <f>IFERROR(__xludf.DUMMYFUNCTION("""COMPUTED_VALUE"""),3.0)</f>
        <v>3</v>
      </c>
      <c r="F138" s="8">
        <v>1.0</v>
      </c>
      <c r="G138" s="8">
        <v>1.0</v>
      </c>
      <c r="H138" s="8">
        <v>1.0</v>
      </c>
      <c r="I138" s="8">
        <v>1.0</v>
      </c>
      <c r="J138" s="8">
        <v>1.0</v>
      </c>
      <c r="K138" s="8">
        <v>1.0</v>
      </c>
      <c r="L138" s="8">
        <v>6.0</v>
      </c>
      <c r="M138" s="8"/>
      <c r="N138" s="8"/>
      <c r="O138" s="8" t="s">
        <v>704</v>
      </c>
      <c r="P138" s="8" t="e">
        <v>#N/A</v>
      </c>
    </row>
    <row r="139">
      <c r="A139">
        <f>IFERROR(__xludf.DUMMYFUNCTION("""COMPUTED_VALUE"""),6.0)</f>
        <v>6</v>
      </c>
      <c r="B139">
        <f>IFERROR(__xludf.DUMMYFUNCTION("""COMPUTED_VALUE"""),31134.0)</f>
        <v>31134</v>
      </c>
      <c r="C139" t="str">
        <f>IFERROR(__xludf.DUMMYFUNCTION("""COMPUTED_VALUE"""),"VELEZ ARANGO, LAURA")</f>
        <v>VELEZ ARANGO, LAURA</v>
      </c>
      <c r="D139" t="str">
        <f>IFERROR(__xludf.DUMMYFUNCTION("""COMPUTED_VALUE"""),"Science 6")</f>
        <v>Science 6</v>
      </c>
      <c r="E139" s="31">
        <f>IFERROR(__xludf.DUMMYFUNCTION("""COMPUTED_VALUE"""),2.0)</f>
        <v>2</v>
      </c>
      <c r="F139" s="8">
        <v>1.0</v>
      </c>
      <c r="G139" s="8">
        <v>1.0</v>
      </c>
      <c r="H139" s="8">
        <v>1.0</v>
      </c>
      <c r="I139" s="8">
        <v>1.0</v>
      </c>
      <c r="J139" s="8">
        <v>1.0</v>
      </c>
      <c r="K139" s="8">
        <v>1.0</v>
      </c>
      <c r="L139" s="8">
        <v>6.0</v>
      </c>
      <c r="M139" s="8"/>
      <c r="N139" s="8"/>
      <c r="O139" s="8" t="s">
        <v>702</v>
      </c>
      <c r="P139" s="8">
        <v>6.0</v>
      </c>
    </row>
    <row r="140">
      <c r="A140">
        <f>IFERROR(__xludf.DUMMYFUNCTION("""COMPUTED_VALUE"""),6.0)</f>
        <v>6</v>
      </c>
      <c r="B140">
        <f>IFERROR(__xludf.DUMMYFUNCTION("""COMPUTED_VALUE"""),31135.0)</f>
        <v>31135</v>
      </c>
      <c r="C140" t="str">
        <f>IFERROR(__xludf.DUMMYFUNCTION("""COMPUTED_VALUE"""),"VELEZ ARANGO, PEDRO")</f>
        <v>VELEZ ARANGO, PEDRO</v>
      </c>
      <c r="D140" t="str">
        <f>IFERROR(__xludf.DUMMYFUNCTION("""COMPUTED_VALUE"""),"Science 6")</f>
        <v>Science 6</v>
      </c>
      <c r="E140" s="31">
        <f>IFERROR(__xludf.DUMMYFUNCTION("""COMPUTED_VALUE"""),6.0)</f>
        <v>6</v>
      </c>
      <c r="F140" s="8">
        <v>1.0</v>
      </c>
      <c r="G140" s="8">
        <v>1.0</v>
      </c>
      <c r="H140" s="8">
        <v>1.0</v>
      </c>
      <c r="I140" s="8">
        <v>1.0</v>
      </c>
      <c r="J140" s="8">
        <v>1.0</v>
      </c>
      <c r="K140" s="8">
        <v>1.0</v>
      </c>
      <c r="L140" s="8">
        <v>6.0</v>
      </c>
      <c r="M140" s="8"/>
      <c r="N140" s="8"/>
      <c r="O140" s="8" t="s">
        <v>699</v>
      </c>
      <c r="P140" s="8">
        <v>6.0</v>
      </c>
    </row>
    <row r="141">
      <c r="A141">
        <f>IFERROR(__xludf.DUMMYFUNCTION("""COMPUTED_VALUE"""),6.0)</f>
        <v>6</v>
      </c>
      <c r="B141">
        <f>IFERROR(__xludf.DUMMYFUNCTION("""COMPUTED_VALUE"""),31174.0)</f>
        <v>31174</v>
      </c>
      <c r="C141" t="str">
        <f>IFERROR(__xludf.DUMMYFUNCTION("""COMPUTED_VALUE"""),"WILSON, HERBERT GEORGE")</f>
        <v>WILSON, HERBERT GEORGE</v>
      </c>
      <c r="D141" t="str">
        <f>IFERROR(__xludf.DUMMYFUNCTION("""COMPUTED_VALUE"""),"Science 6")</f>
        <v>Science 6</v>
      </c>
      <c r="E141" s="31">
        <f>IFERROR(__xludf.DUMMYFUNCTION("""COMPUTED_VALUE"""),4.0)</f>
        <v>4</v>
      </c>
      <c r="F141" s="8">
        <v>1.0</v>
      </c>
      <c r="G141" s="8">
        <v>1.0</v>
      </c>
      <c r="H141" s="8">
        <v>1.0</v>
      </c>
      <c r="I141" s="8">
        <v>1.0</v>
      </c>
      <c r="J141" s="8">
        <v>1.0</v>
      </c>
      <c r="K141" s="8">
        <v>1.0</v>
      </c>
      <c r="L141" s="8">
        <v>6.0</v>
      </c>
      <c r="M141" s="8"/>
      <c r="N141" s="8"/>
      <c r="O141" s="8" t="s">
        <v>701</v>
      </c>
      <c r="P141" s="8">
        <v>6.0</v>
      </c>
    </row>
    <row r="142">
      <c r="A142">
        <f>IFERROR(__xludf.DUMMYFUNCTION("""COMPUTED_VALUE"""),6.0)</f>
        <v>6</v>
      </c>
      <c r="B142">
        <f>IFERROR(__xludf.DUMMYFUNCTION("""COMPUTED_VALUE"""),31136.0)</f>
        <v>31136</v>
      </c>
      <c r="C142" t="str">
        <f>IFERROR(__xludf.DUMMYFUNCTION("""COMPUTED_VALUE"""),"YANOVICH URIBE, MARCOS")</f>
        <v>YANOVICH URIBE, MARCOS</v>
      </c>
      <c r="D142" t="str">
        <f>IFERROR(__xludf.DUMMYFUNCTION("""COMPUTED_VALUE"""),"Science 6")</f>
        <v>Science 6</v>
      </c>
      <c r="E142" s="31">
        <f>IFERROR(__xludf.DUMMYFUNCTION("""COMPUTED_VALUE"""),5.0)</f>
        <v>5</v>
      </c>
      <c r="F142" s="8">
        <v>1.0</v>
      </c>
      <c r="G142" s="8">
        <v>1.0</v>
      </c>
      <c r="H142" s="8">
        <v>1.0</v>
      </c>
      <c r="I142" s="8">
        <v>1.0</v>
      </c>
      <c r="J142" s="8">
        <v>1.0</v>
      </c>
      <c r="K142" s="8">
        <v>1.0</v>
      </c>
      <c r="L142" s="8">
        <v>6.0</v>
      </c>
      <c r="M142" s="8"/>
      <c r="N142" s="8"/>
      <c r="O142" s="8" t="s">
        <v>703</v>
      </c>
      <c r="P142" s="8">
        <v>6.0</v>
      </c>
    </row>
    <row r="143">
      <c r="A143">
        <f>IFERROR(__xludf.DUMMYFUNCTION("""COMPUTED_VALUE"""),6.0)</f>
        <v>6</v>
      </c>
      <c r="B143">
        <f>IFERROR(__xludf.DUMMYFUNCTION("""COMPUTED_VALUE"""),30157.0)</f>
        <v>30157</v>
      </c>
      <c r="C143" t="str">
        <f>IFERROR(__xludf.DUMMYFUNCTION("""COMPUTED_VALUE"""),"ZARRUK BELTRAN, ALEJANDRO")</f>
        <v>ZARRUK BELTRAN, ALEJANDRO</v>
      </c>
      <c r="D143" t="str">
        <f>IFERROR(__xludf.DUMMYFUNCTION("""COMPUTED_VALUE"""),"Science 6")</f>
        <v>Science 6</v>
      </c>
      <c r="E143" s="31">
        <f>IFERROR(__xludf.DUMMYFUNCTION("""COMPUTED_VALUE"""),3.0)</f>
        <v>3</v>
      </c>
      <c r="F143" s="8">
        <v>1.0</v>
      </c>
      <c r="G143" s="8">
        <v>1.0</v>
      </c>
      <c r="H143" s="8">
        <v>1.0</v>
      </c>
      <c r="I143" s="8">
        <v>1.0</v>
      </c>
      <c r="J143" s="8">
        <v>1.0</v>
      </c>
      <c r="K143" s="8">
        <v>1.0</v>
      </c>
      <c r="L143" s="8">
        <v>6.0</v>
      </c>
      <c r="M143" s="8"/>
      <c r="N143" s="8"/>
      <c r="O143" s="8" t="s">
        <v>700</v>
      </c>
      <c r="P143" s="8">
        <v>6.0</v>
      </c>
    </row>
    <row r="144">
      <c r="A144">
        <f>IFERROR(__xludf.DUMMYFUNCTION("""COMPUTED_VALUE"""),6.0)</f>
        <v>6</v>
      </c>
      <c r="B144">
        <f>IFERROR(__xludf.DUMMYFUNCTION("""COMPUTED_VALUE"""),31138.0)</f>
        <v>31138</v>
      </c>
      <c r="C144" t="str">
        <f>IFERROR(__xludf.DUMMYFUNCTION("""COMPUTED_VALUE"""),"ZULOAGA MUÑOZ, PEDRO")</f>
        <v>ZULOAGA MUÑOZ, PEDRO</v>
      </c>
      <c r="D144" t="str">
        <f>IFERROR(__xludf.DUMMYFUNCTION("""COMPUTED_VALUE"""),"Science 6")</f>
        <v>Science 6</v>
      </c>
      <c r="E144" s="31">
        <f>IFERROR(__xludf.DUMMYFUNCTION("""COMPUTED_VALUE"""),3.0)</f>
        <v>3</v>
      </c>
      <c r="F144" s="8">
        <v>1.0</v>
      </c>
      <c r="G144" s="8">
        <v>1.0</v>
      </c>
      <c r="H144" s="8">
        <v>1.0</v>
      </c>
      <c r="I144" s="8">
        <v>1.0</v>
      </c>
      <c r="J144" s="8">
        <v>1.0</v>
      </c>
      <c r="K144" s="8">
        <v>1.0</v>
      </c>
      <c r="L144" s="8">
        <v>6.0</v>
      </c>
      <c r="M144" s="8"/>
      <c r="N144" s="8"/>
      <c r="O144" s="8" t="s">
        <v>700</v>
      </c>
      <c r="P144" s="8">
        <v>6.0</v>
      </c>
    </row>
    <row r="145">
      <c r="A145">
        <f>IFERROR(__xludf.DUMMYFUNCTION("""COMPUTED_VALUE"""),6.0)</f>
        <v>6</v>
      </c>
      <c r="B145">
        <f>IFERROR(__xludf.DUMMYFUNCTION("""COMPUTED_VALUE"""),31137.0)</f>
        <v>31137</v>
      </c>
      <c r="C145" t="str">
        <f>IFERROR(__xludf.DUMMYFUNCTION("""COMPUTED_VALUE"""),"ZULUAGA HOYOS, ALEJANDRO")</f>
        <v>ZULUAGA HOYOS, ALEJANDRO</v>
      </c>
      <c r="D145" t="str">
        <f>IFERROR(__xludf.DUMMYFUNCTION("""COMPUTED_VALUE"""),"Science 6")</f>
        <v>Science 6</v>
      </c>
      <c r="E145" s="31">
        <f>IFERROR(__xludf.DUMMYFUNCTION("""COMPUTED_VALUE"""),2.0)</f>
        <v>2</v>
      </c>
      <c r="F145" s="8">
        <v>1.0</v>
      </c>
      <c r="G145" s="8">
        <v>1.0</v>
      </c>
      <c r="H145" s="8">
        <v>1.0</v>
      </c>
      <c r="I145" s="8">
        <v>1.0</v>
      </c>
      <c r="J145" s="8">
        <v>1.0</v>
      </c>
      <c r="K145" s="8">
        <v>1.0</v>
      </c>
      <c r="L145" s="8">
        <v>6.0</v>
      </c>
      <c r="M145" s="8"/>
      <c r="N145" s="8"/>
      <c r="O145" s="8" t="s">
        <v>702</v>
      </c>
      <c r="P145" s="8">
        <v>6.0</v>
      </c>
    </row>
    <row r="146">
      <c r="A146">
        <f>IFERROR(__xludf.DUMMYFUNCTION("""COMPUTED_VALUE"""),7.0)</f>
        <v>7</v>
      </c>
      <c r="B146">
        <f>IFERROR(__xludf.DUMMYFUNCTION("""COMPUTED_VALUE"""),30001.0)</f>
        <v>30001</v>
      </c>
      <c r="C146" t="str">
        <f>IFERROR(__xludf.DUMMYFUNCTION("""COMPUTED_VALUE"""),"ALVAREZ GOMEZ, FEDERICO")</f>
        <v>ALVAREZ GOMEZ, FEDERICO</v>
      </c>
      <c r="D146" t="str">
        <f>IFERROR(__xludf.DUMMYFUNCTION("""COMPUTED_VALUE"""),"Science 7")</f>
        <v>Science 7</v>
      </c>
      <c r="E146" s="31">
        <f>IFERROR(__xludf.DUMMYFUNCTION("""COMPUTED_VALUE"""),6.0)</f>
        <v>6</v>
      </c>
      <c r="F146" s="8">
        <v>1.0</v>
      </c>
      <c r="G146" s="8">
        <v>1.0</v>
      </c>
      <c r="H146" s="8">
        <v>1.0</v>
      </c>
      <c r="I146" s="8">
        <v>1.0</v>
      </c>
      <c r="J146" s="8">
        <v>1.0</v>
      </c>
      <c r="K146" s="8">
        <v>1.0</v>
      </c>
      <c r="L146" s="8">
        <v>6.0</v>
      </c>
      <c r="M146" s="8"/>
      <c r="N146" s="8"/>
      <c r="O146" s="8" t="s">
        <v>705</v>
      </c>
      <c r="P146" s="8">
        <v>6.0</v>
      </c>
    </row>
    <row r="147">
      <c r="A147">
        <f>IFERROR(__xludf.DUMMYFUNCTION("""COMPUTED_VALUE"""),7.0)</f>
        <v>7</v>
      </c>
      <c r="B147">
        <f>IFERROR(__xludf.DUMMYFUNCTION("""COMPUTED_VALUE"""),30002.0)</f>
        <v>30002</v>
      </c>
      <c r="C147" t="str">
        <f>IFERROR(__xludf.DUMMYFUNCTION("""COMPUTED_VALUE"""),"ALVAREZ VERA, ALEJANDRA")</f>
        <v>ALVAREZ VERA, ALEJANDRA</v>
      </c>
      <c r="D147" t="str">
        <f>IFERROR(__xludf.DUMMYFUNCTION("""COMPUTED_VALUE"""),"Science 7A")</f>
        <v>Science 7A</v>
      </c>
      <c r="E147" s="31">
        <f>IFERROR(__xludf.DUMMYFUNCTION("""COMPUTED_VALUE"""),6.0)</f>
        <v>6</v>
      </c>
      <c r="F147" s="8">
        <v>1.0</v>
      </c>
      <c r="G147" s="8">
        <v>1.0</v>
      </c>
      <c r="H147" s="8">
        <v>1.0</v>
      </c>
      <c r="I147" s="8">
        <v>1.0</v>
      </c>
      <c r="J147" s="8">
        <v>1.0</v>
      </c>
      <c r="K147" s="8">
        <v>1.0</v>
      </c>
      <c r="L147" s="8">
        <v>6.0</v>
      </c>
      <c r="M147" s="8"/>
      <c r="N147" s="8"/>
      <c r="O147" s="8" t="s">
        <v>706</v>
      </c>
      <c r="P147" s="8" t="e">
        <v>#N/A</v>
      </c>
    </row>
    <row r="148">
      <c r="A148">
        <f>IFERROR(__xludf.DUMMYFUNCTION("""COMPUTED_VALUE"""),7.0)</f>
        <v>7</v>
      </c>
      <c r="B148">
        <f>IFERROR(__xludf.DUMMYFUNCTION("""COMPUTED_VALUE"""),30003.0)</f>
        <v>30003</v>
      </c>
      <c r="C148" t="str">
        <f>IFERROR(__xludf.DUMMYFUNCTION("""COMPUTED_VALUE"""),"ALZATE ZAPATA, SIMON")</f>
        <v>ALZATE ZAPATA, SIMON</v>
      </c>
      <c r="D148" t="str">
        <f>IFERROR(__xludf.DUMMYFUNCTION("""COMPUTED_VALUE"""),"Science 7")</f>
        <v>Science 7</v>
      </c>
      <c r="E148" s="31">
        <f>IFERROR(__xludf.DUMMYFUNCTION("""COMPUTED_VALUE"""),3.0)</f>
        <v>3</v>
      </c>
      <c r="F148" s="8">
        <v>1.0</v>
      </c>
      <c r="G148" s="8">
        <v>1.0</v>
      </c>
      <c r="H148" s="8">
        <v>1.0</v>
      </c>
      <c r="I148" s="8">
        <v>1.0</v>
      </c>
      <c r="J148" s="8">
        <v>1.0</v>
      </c>
      <c r="K148" s="8">
        <v>1.0</v>
      </c>
      <c r="L148" s="8">
        <v>6.0</v>
      </c>
      <c r="M148" s="8"/>
      <c r="N148" s="8"/>
      <c r="O148" s="8" t="s">
        <v>707</v>
      </c>
      <c r="P148" s="8">
        <v>6.0</v>
      </c>
    </row>
    <row r="149">
      <c r="A149">
        <f>IFERROR(__xludf.DUMMYFUNCTION("""COMPUTED_VALUE"""),7.0)</f>
        <v>7</v>
      </c>
      <c r="B149">
        <f>IFERROR(__xludf.DUMMYFUNCTION("""COMPUTED_VALUE"""),30004.0)</f>
        <v>30004</v>
      </c>
      <c r="C149" t="str">
        <f>IFERROR(__xludf.DUMMYFUNCTION("""COMPUTED_VALUE"""),"ANGEL MEDINA, LUCIA")</f>
        <v>ANGEL MEDINA, LUCIA</v>
      </c>
      <c r="D149" t="str">
        <f>IFERROR(__xludf.DUMMYFUNCTION("""COMPUTED_VALUE"""),"Science 7")</f>
        <v>Science 7</v>
      </c>
      <c r="E149" s="31">
        <f>IFERROR(__xludf.DUMMYFUNCTION("""COMPUTED_VALUE"""),4.0)</f>
        <v>4</v>
      </c>
      <c r="F149" s="8">
        <v>1.0</v>
      </c>
      <c r="G149" s="8">
        <v>1.0</v>
      </c>
      <c r="H149" s="8">
        <v>1.0</v>
      </c>
      <c r="I149" s="8">
        <v>1.0</v>
      </c>
      <c r="J149" s="8">
        <v>1.0</v>
      </c>
      <c r="K149" s="8">
        <v>1.0</v>
      </c>
      <c r="L149" s="8">
        <v>6.0</v>
      </c>
      <c r="M149" s="8"/>
      <c r="N149" s="8"/>
      <c r="O149" s="8" t="s">
        <v>708</v>
      </c>
      <c r="P149" s="8">
        <v>6.0</v>
      </c>
    </row>
    <row r="150">
      <c r="A150">
        <f>IFERROR(__xludf.DUMMYFUNCTION("""COMPUTED_VALUE"""),7.0)</f>
        <v>7</v>
      </c>
      <c r="B150">
        <f>IFERROR(__xludf.DUMMYFUNCTION("""COMPUTED_VALUE"""),30005.0)</f>
        <v>30005</v>
      </c>
      <c r="C150" t="str">
        <f>IFERROR(__xludf.DUMMYFUNCTION("""COMPUTED_VALUE"""),"APA ECHAVARRIA, LUCIANO")</f>
        <v>APA ECHAVARRIA, LUCIANO</v>
      </c>
      <c r="D150" t="str">
        <f>IFERROR(__xludf.DUMMYFUNCTION("""COMPUTED_VALUE"""),"Science 7")</f>
        <v>Science 7</v>
      </c>
      <c r="E150" s="31">
        <f>IFERROR(__xludf.DUMMYFUNCTION("""COMPUTED_VALUE"""),2.0)</f>
        <v>2</v>
      </c>
      <c r="F150" s="8">
        <v>1.0</v>
      </c>
      <c r="G150" s="8">
        <v>1.0</v>
      </c>
      <c r="H150" s="8">
        <v>1.0</v>
      </c>
      <c r="I150" s="8">
        <v>1.0</v>
      </c>
      <c r="J150" s="8">
        <v>1.0</v>
      </c>
      <c r="K150" s="8">
        <v>1.0</v>
      </c>
      <c r="L150" s="8">
        <v>6.0</v>
      </c>
      <c r="M150" s="8"/>
      <c r="N150" s="8"/>
      <c r="O150" s="8" t="s">
        <v>709</v>
      </c>
      <c r="P150" s="8">
        <v>6.0</v>
      </c>
    </row>
    <row r="151">
      <c r="A151">
        <f>IFERROR(__xludf.DUMMYFUNCTION("""COMPUTED_VALUE"""),7.0)</f>
        <v>7</v>
      </c>
      <c r="B151">
        <f>IFERROR(__xludf.DUMMYFUNCTION("""COMPUTED_VALUE"""),30006.0)</f>
        <v>30006</v>
      </c>
      <c r="C151" t="str">
        <f>IFERROR(__xludf.DUMMYFUNCTION("""COMPUTED_VALUE"""),"ARANGO DUQUE, MIGUEL")</f>
        <v>ARANGO DUQUE, MIGUEL</v>
      </c>
      <c r="D151" t="str">
        <f>IFERROR(__xludf.DUMMYFUNCTION("""COMPUTED_VALUE"""),"Science 7")</f>
        <v>Science 7</v>
      </c>
      <c r="E151" s="31">
        <f>IFERROR(__xludf.DUMMYFUNCTION("""COMPUTED_VALUE"""),6.0)</f>
        <v>6</v>
      </c>
      <c r="F151" s="8">
        <v>1.0</v>
      </c>
      <c r="G151" s="8">
        <v>1.0</v>
      </c>
      <c r="H151" s="8">
        <v>1.0</v>
      </c>
      <c r="I151" s="8">
        <v>1.0</v>
      </c>
      <c r="J151" s="8">
        <v>1.0</v>
      </c>
      <c r="K151" s="8">
        <v>1.0</v>
      </c>
      <c r="L151" s="8">
        <v>6.0</v>
      </c>
      <c r="M151" s="8"/>
      <c r="N151" s="8"/>
      <c r="O151" s="8" t="s">
        <v>705</v>
      </c>
      <c r="P151" s="8">
        <v>6.0</v>
      </c>
    </row>
    <row r="152">
      <c r="A152">
        <f>IFERROR(__xludf.DUMMYFUNCTION("""COMPUTED_VALUE"""),7.0)</f>
        <v>7</v>
      </c>
      <c r="B152">
        <f>IFERROR(__xludf.DUMMYFUNCTION("""COMPUTED_VALUE"""),30169.0)</f>
        <v>30169</v>
      </c>
      <c r="C152" t="str">
        <f>IFERROR(__xludf.DUMMYFUNCTION("""COMPUTED_VALUE"""),"ARANGO LINHARES, FILIPPA")</f>
        <v>ARANGO LINHARES, FILIPPA</v>
      </c>
      <c r="D152" t="str">
        <f>IFERROR(__xludf.DUMMYFUNCTION("""COMPUTED_VALUE"""),"Science 7")</f>
        <v>Science 7</v>
      </c>
      <c r="E152" s="31">
        <f>IFERROR(__xludf.DUMMYFUNCTION("""COMPUTED_VALUE"""),4.0)</f>
        <v>4</v>
      </c>
      <c r="F152" s="8">
        <v>1.0</v>
      </c>
      <c r="G152" s="8">
        <v>1.0</v>
      </c>
      <c r="H152" s="8">
        <v>1.0</v>
      </c>
      <c r="I152" s="8">
        <v>1.0</v>
      </c>
      <c r="J152" s="8">
        <v>1.0</v>
      </c>
      <c r="K152" s="8">
        <v>1.0</v>
      </c>
      <c r="L152" s="8">
        <v>6.0</v>
      </c>
      <c r="M152" s="8"/>
      <c r="N152" s="8"/>
      <c r="O152" s="8" t="s">
        <v>708</v>
      </c>
      <c r="P152" s="8">
        <v>6.0</v>
      </c>
    </row>
    <row r="153">
      <c r="A153">
        <f>IFERROR(__xludf.DUMMYFUNCTION("""COMPUTED_VALUE"""),7.0)</f>
        <v>7</v>
      </c>
      <c r="B153">
        <f>IFERROR(__xludf.DUMMYFUNCTION("""COMPUTED_VALUE"""),30007.0)</f>
        <v>30007</v>
      </c>
      <c r="C153" t="str">
        <f>IFERROR(__xludf.DUMMYFUNCTION("""COMPUTED_VALUE"""),"ARANGO RODRIGUEZ, RAFAEL")</f>
        <v>ARANGO RODRIGUEZ, RAFAEL</v>
      </c>
      <c r="D153" t="str">
        <f>IFERROR(__xludf.DUMMYFUNCTION("""COMPUTED_VALUE"""),"Science 7A")</f>
        <v>Science 7A</v>
      </c>
      <c r="E153" s="31">
        <f>IFERROR(__xludf.DUMMYFUNCTION("""COMPUTED_VALUE"""),6.0)</f>
        <v>6</v>
      </c>
      <c r="F153" s="8">
        <v>1.0</v>
      </c>
      <c r="G153" s="8">
        <v>1.0</v>
      </c>
      <c r="H153" s="8">
        <v>1.0</v>
      </c>
      <c r="I153" s="8">
        <v>1.0</v>
      </c>
      <c r="J153" s="8">
        <v>1.0</v>
      </c>
      <c r="K153" s="8">
        <v>1.0</v>
      </c>
      <c r="L153" s="8">
        <v>6.0</v>
      </c>
      <c r="M153" s="8"/>
      <c r="N153" s="8"/>
      <c r="O153" s="8" t="s">
        <v>706</v>
      </c>
      <c r="P153" s="8" t="e">
        <v>#N/A</v>
      </c>
    </row>
    <row r="154">
      <c r="A154">
        <f>IFERROR(__xludf.DUMMYFUNCTION("""COMPUTED_VALUE"""),7.0)</f>
        <v>7</v>
      </c>
      <c r="B154">
        <f>IFERROR(__xludf.DUMMYFUNCTION("""COMPUTED_VALUE"""),30008.0)</f>
        <v>30008</v>
      </c>
      <c r="C154" t="str">
        <f>IFERROR(__xludf.DUMMYFUNCTION("""COMPUTED_VALUE"""),"ARANGO VELEZ, ALICIA")</f>
        <v>ARANGO VELEZ, ALICIA</v>
      </c>
      <c r="D154" t="str">
        <f>IFERROR(__xludf.DUMMYFUNCTION("""COMPUTED_VALUE"""),"Science 7")</f>
        <v>Science 7</v>
      </c>
      <c r="E154" s="31">
        <f>IFERROR(__xludf.DUMMYFUNCTION("""COMPUTED_VALUE"""),5.0)</f>
        <v>5</v>
      </c>
      <c r="F154" s="8">
        <v>1.0</v>
      </c>
      <c r="G154" s="8">
        <v>1.0</v>
      </c>
      <c r="H154" s="8">
        <v>1.0</v>
      </c>
      <c r="I154" s="8">
        <v>1.0</v>
      </c>
      <c r="J154" s="8">
        <v>1.0</v>
      </c>
      <c r="K154" s="8">
        <v>1.0</v>
      </c>
      <c r="L154" s="8">
        <v>6.0</v>
      </c>
      <c r="M154" s="8"/>
      <c r="N154" s="8"/>
      <c r="O154" s="8" t="s">
        <v>710</v>
      </c>
      <c r="P154" s="8">
        <v>6.0</v>
      </c>
    </row>
    <row r="155">
      <c r="A155">
        <f>IFERROR(__xludf.DUMMYFUNCTION("""COMPUTED_VALUE"""),7.0)</f>
        <v>7</v>
      </c>
      <c r="B155">
        <f>IFERROR(__xludf.DUMMYFUNCTION("""COMPUTED_VALUE"""),29014.0)</f>
        <v>29014</v>
      </c>
      <c r="C155" t="str">
        <f>IFERROR(__xludf.DUMMYFUNCTION("""COMPUTED_VALUE"""),"ARISMENDI MELO, MARIANA")</f>
        <v>ARISMENDI MELO, MARIANA</v>
      </c>
      <c r="D155" t="str">
        <f>IFERROR(__xludf.DUMMYFUNCTION("""COMPUTED_VALUE"""),"Science 7")</f>
        <v>Science 7</v>
      </c>
      <c r="E155" s="31">
        <f>IFERROR(__xludf.DUMMYFUNCTION("""COMPUTED_VALUE"""),4.0)</f>
        <v>4</v>
      </c>
      <c r="F155" s="8">
        <v>1.0</v>
      </c>
      <c r="G155" s="8">
        <v>1.0</v>
      </c>
      <c r="H155" s="8">
        <v>1.0</v>
      </c>
      <c r="I155" s="8">
        <v>1.0</v>
      </c>
      <c r="J155" s="8">
        <v>1.0</v>
      </c>
      <c r="K155" s="8">
        <v>1.0</v>
      </c>
      <c r="L155" s="8">
        <v>6.0</v>
      </c>
      <c r="M155" s="8"/>
      <c r="N155" s="8"/>
      <c r="O155" s="8" t="s">
        <v>708</v>
      </c>
      <c r="P155" s="8">
        <v>6.0</v>
      </c>
    </row>
    <row r="156">
      <c r="A156">
        <f>IFERROR(__xludf.DUMMYFUNCTION("""COMPUTED_VALUE"""),7.0)</f>
        <v>7</v>
      </c>
      <c r="B156">
        <f>IFERROR(__xludf.DUMMYFUNCTION("""COMPUTED_VALUE"""),30009.0)</f>
        <v>30009</v>
      </c>
      <c r="C156" t="str">
        <f>IFERROR(__xludf.DUMMYFUNCTION("""COMPUTED_VALUE"""),"ARISTIZABAL BOLIVAR, EMILIANA")</f>
        <v>ARISTIZABAL BOLIVAR, EMILIANA</v>
      </c>
      <c r="D156" t="str">
        <f>IFERROR(__xludf.DUMMYFUNCTION("""COMPUTED_VALUE"""),"Science 7")</f>
        <v>Science 7</v>
      </c>
      <c r="E156" s="31">
        <f>IFERROR(__xludf.DUMMYFUNCTION("""COMPUTED_VALUE"""),3.0)</f>
        <v>3</v>
      </c>
      <c r="F156" s="8">
        <v>1.0</v>
      </c>
      <c r="G156" s="8">
        <v>1.0</v>
      </c>
      <c r="H156" s="8">
        <v>1.0</v>
      </c>
      <c r="I156" s="8">
        <v>1.0</v>
      </c>
      <c r="J156" s="8">
        <v>1.0</v>
      </c>
      <c r="K156" s="8">
        <v>1.0</v>
      </c>
      <c r="L156" s="8">
        <v>6.0</v>
      </c>
      <c r="M156" s="8"/>
      <c r="N156" s="8"/>
      <c r="O156" s="8" t="s">
        <v>707</v>
      </c>
      <c r="P156" s="8">
        <v>6.0</v>
      </c>
    </row>
    <row r="157">
      <c r="A157">
        <f>IFERROR(__xludf.DUMMYFUNCTION("""COMPUTED_VALUE"""),7.0)</f>
        <v>7</v>
      </c>
      <c r="B157">
        <f>IFERROR(__xludf.DUMMYFUNCTION("""COMPUTED_VALUE"""),30010.0)</f>
        <v>30010</v>
      </c>
      <c r="C157" t="str">
        <f>IFERROR(__xludf.DUMMYFUNCTION("""COMPUTED_VALUE"""),"ARISTIZABAL BOLIVAR, MATILDE")</f>
        <v>ARISTIZABAL BOLIVAR, MATILDE</v>
      </c>
      <c r="D157" t="str">
        <f>IFERROR(__xludf.DUMMYFUNCTION("""COMPUTED_VALUE"""),"Science 7")</f>
        <v>Science 7</v>
      </c>
      <c r="E157" s="31">
        <f>IFERROR(__xludf.DUMMYFUNCTION("""COMPUTED_VALUE"""),2.0)</f>
        <v>2</v>
      </c>
      <c r="F157" s="8">
        <v>1.0</v>
      </c>
      <c r="G157" s="8">
        <v>1.0</v>
      </c>
      <c r="H157" s="8">
        <v>1.0</v>
      </c>
      <c r="I157" s="8">
        <v>1.0</v>
      </c>
      <c r="J157" s="8">
        <v>1.0</v>
      </c>
      <c r="K157" s="8">
        <v>1.0</v>
      </c>
      <c r="L157" s="8">
        <v>6.0</v>
      </c>
      <c r="M157" s="8"/>
      <c r="N157" s="8"/>
      <c r="O157" s="8" t="s">
        <v>709</v>
      </c>
      <c r="P157" s="8">
        <v>6.0</v>
      </c>
    </row>
    <row r="158">
      <c r="A158">
        <f>IFERROR(__xludf.DUMMYFUNCTION("""COMPUTED_VALUE"""),7.0)</f>
        <v>7</v>
      </c>
      <c r="B158">
        <f>IFERROR(__xludf.DUMMYFUNCTION("""COMPUTED_VALUE"""),30011.0)</f>
        <v>30011</v>
      </c>
      <c r="C158" t="str">
        <f>IFERROR(__xludf.DUMMYFUNCTION("""COMPUTED_VALUE"""),"ARISTIZABAL ECHAVARRIA, MILAGROS")</f>
        <v>ARISTIZABAL ECHAVARRIA, MILAGROS</v>
      </c>
      <c r="D158" t="str">
        <f>IFERROR(__xludf.DUMMYFUNCTION("""COMPUTED_VALUE"""),"Science 7")</f>
        <v>Science 7</v>
      </c>
      <c r="E158" s="31">
        <f>IFERROR(__xludf.DUMMYFUNCTION("""COMPUTED_VALUE"""),5.0)</f>
        <v>5</v>
      </c>
      <c r="F158" s="8">
        <v>1.0</v>
      </c>
      <c r="G158" s="8">
        <v>1.0</v>
      </c>
      <c r="H158" s="8">
        <v>1.0</v>
      </c>
      <c r="I158" s="8">
        <v>1.0</v>
      </c>
      <c r="J158" s="8">
        <v>1.0</v>
      </c>
      <c r="K158" s="8">
        <v>1.0</v>
      </c>
      <c r="L158" s="8">
        <v>6.0</v>
      </c>
      <c r="M158" s="8"/>
      <c r="N158" s="8"/>
      <c r="O158" s="8" t="s">
        <v>710</v>
      </c>
      <c r="P158" s="8">
        <v>6.0</v>
      </c>
    </row>
    <row r="159">
      <c r="A159">
        <f>IFERROR(__xludf.DUMMYFUNCTION("""COMPUTED_VALUE"""),7.0)</f>
        <v>7</v>
      </c>
      <c r="B159">
        <f>IFERROR(__xludf.DUMMYFUNCTION("""COMPUTED_VALUE"""),30012.0)</f>
        <v>30012</v>
      </c>
      <c r="C159" t="str">
        <f>IFERROR(__xludf.DUMMYFUNCTION("""COMPUTED_VALUE"""),"ARISTIZABAL RESTREPO, AMALIA")</f>
        <v>ARISTIZABAL RESTREPO, AMALIA</v>
      </c>
      <c r="D159" t="str">
        <f>IFERROR(__xludf.DUMMYFUNCTION("""COMPUTED_VALUE"""),"Science 7")</f>
        <v>Science 7</v>
      </c>
      <c r="E159" s="31">
        <f>IFERROR(__xludf.DUMMYFUNCTION("""COMPUTED_VALUE"""),6.0)</f>
        <v>6</v>
      </c>
      <c r="F159" s="8">
        <v>1.0</v>
      </c>
      <c r="G159" s="8">
        <v>1.0</v>
      </c>
      <c r="H159" s="8">
        <v>1.0</v>
      </c>
      <c r="I159" s="8">
        <v>1.0</v>
      </c>
      <c r="J159" s="8">
        <v>1.0</v>
      </c>
      <c r="K159" s="8">
        <v>1.0</v>
      </c>
      <c r="L159" s="8">
        <v>6.0</v>
      </c>
      <c r="M159" s="8"/>
      <c r="N159" s="8"/>
      <c r="O159" s="8" t="s">
        <v>705</v>
      </c>
      <c r="P159" s="8">
        <v>6.0</v>
      </c>
    </row>
    <row r="160">
      <c r="A160">
        <f>IFERROR(__xludf.DUMMYFUNCTION("""COMPUTED_VALUE"""),7.0)</f>
        <v>7</v>
      </c>
      <c r="B160">
        <f>IFERROR(__xludf.DUMMYFUNCTION("""COMPUTED_VALUE"""),30014.0)</f>
        <v>30014</v>
      </c>
      <c r="C160" t="str">
        <f>IFERROR(__xludf.DUMMYFUNCTION("""COMPUTED_VALUE"""),"ARISTIZABAL VILLEGAS, ROSARIO")</f>
        <v>ARISTIZABAL VILLEGAS, ROSARIO</v>
      </c>
      <c r="D160" t="str">
        <f>IFERROR(__xludf.DUMMYFUNCTION("""COMPUTED_VALUE"""),"Science 7")</f>
        <v>Science 7</v>
      </c>
      <c r="E160" s="31">
        <f>IFERROR(__xludf.DUMMYFUNCTION("""COMPUTED_VALUE"""),2.0)</f>
        <v>2</v>
      </c>
      <c r="F160" s="8">
        <v>1.0</v>
      </c>
      <c r="G160" s="8">
        <v>1.0</v>
      </c>
      <c r="H160" s="8">
        <v>1.0</v>
      </c>
      <c r="I160" s="8">
        <v>1.0</v>
      </c>
      <c r="J160" s="8">
        <v>1.0</v>
      </c>
      <c r="K160" s="8">
        <v>1.0</v>
      </c>
      <c r="L160" s="8">
        <v>6.0</v>
      </c>
      <c r="M160" s="8"/>
      <c r="N160" s="8"/>
      <c r="O160" s="8" t="s">
        <v>709</v>
      </c>
      <c r="P160" s="8">
        <v>6.0</v>
      </c>
    </row>
    <row r="161">
      <c r="A161">
        <f>IFERROR(__xludf.DUMMYFUNCTION("""COMPUTED_VALUE"""),7.0)</f>
        <v>7</v>
      </c>
      <c r="B161">
        <f>IFERROR(__xludf.DUMMYFUNCTION("""COMPUTED_VALUE"""),30013.0)</f>
        <v>30013</v>
      </c>
      <c r="C161" t="str">
        <f>IFERROR(__xludf.DUMMYFUNCTION("""COMPUTED_VALUE"""),"ARISTIZABAL ZULUAGA, SALVADOR")</f>
        <v>ARISTIZABAL ZULUAGA, SALVADOR</v>
      </c>
      <c r="D161" t="str">
        <f>IFERROR(__xludf.DUMMYFUNCTION("""COMPUTED_VALUE"""),"Science 7A")</f>
        <v>Science 7A</v>
      </c>
      <c r="E161" s="31">
        <f>IFERROR(__xludf.DUMMYFUNCTION("""COMPUTED_VALUE"""),6.0)</f>
        <v>6</v>
      </c>
      <c r="F161" s="8">
        <v>1.0</v>
      </c>
      <c r="G161" s="8">
        <v>1.0</v>
      </c>
      <c r="H161" s="8">
        <v>1.0</v>
      </c>
      <c r="I161" s="8">
        <v>1.0</v>
      </c>
      <c r="J161" s="8">
        <v>1.0</v>
      </c>
      <c r="K161" s="8">
        <v>1.0</v>
      </c>
      <c r="L161" s="8">
        <v>6.0</v>
      </c>
      <c r="M161" s="8"/>
      <c r="N161" s="8"/>
      <c r="O161" s="8" t="s">
        <v>706</v>
      </c>
      <c r="P161" s="8" t="e">
        <v>#N/A</v>
      </c>
    </row>
    <row r="162">
      <c r="A162">
        <f>IFERROR(__xludf.DUMMYFUNCTION("""COMPUTED_VALUE"""),7.0)</f>
        <v>7</v>
      </c>
      <c r="B162">
        <f>IFERROR(__xludf.DUMMYFUNCTION("""COMPUTED_VALUE"""),29017.0)</f>
        <v>29017</v>
      </c>
      <c r="C162" t="str">
        <f>IFERROR(__xludf.DUMMYFUNCTION("""COMPUTED_VALUE"""),"ARROYAVE SIERRA, MATIAS")</f>
        <v>ARROYAVE SIERRA, MATIAS</v>
      </c>
      <c r="D162" t="str">
        <f>IFERROR(__xludf.DUMMYFUNCTION("""COMPUTED_VALUE"""),"Science 7")</f>
        <v>Science 7</v>
      </c>
      <c r="E162" s="31">
        <f>IFERROR(__xludf.DUMMYFUNCTION("""COMPUTED_VALUE"""),3.0)</f>
        <v>3</v>
      </c>
      <c r="F162" s="8">
        <v>1.0</v>
      </c>
      <c r="G162" s="8">
        <v>1.0</v>
      </c>
      <c r="H162" s="8">
        <v>1.0</v>
      </c>
      <c r="I162" s="8">
        <v>1.0</v>
      </c>
      <c r="J162" s="8">
        <v>1.0</v>
      </c>
      <c r="K162" s="8">
        <v>1.0</v>
      </c>
      <c r="L162" s="8">
        <v>6.0</v>
      </c>
      <c r="M162" s="8"/>
      <c r="N162" s="8"/>
      <c r="O162" s="8" t="s">
        <v>707</v>
      </c>
      <c r="P162" s="8">
        <v>6.0</v>
      </c>
    </row>
    <row r="163">
      <c r="A163">
        <f>IFERROR(__xludf.DUMMYFUNCTION("""COMPUTED_VALUE"""),7.0)</f>
        <v>7</v>
      </c>
      <c r="B163">
        <f>IFERROR(__xludf.DUMMYFUNCTION("""COMPUTED_VALUE"""),30015.0)</f>
        <v>30015</v>
      </c>
      <c r="C163" t="str">
        <f>IFERROR(__xludf.DUMMYFUNCTION("""COMPUTED_VALUE"""),"ARROYAVE YACAMAN, EMILIO")</f>
        <v>ARROYAVE YACAMAN, EMILIO</v>
      </c>
      <c r="D163" t="str">
        <f>IFERROR(__xludf.DUMMYFUNCTION("""COMPUTED_VALUE"""),"Science 7")</f>
        <v>Science 7</v>
      </c>
      <c r="E163" s="31">
        <f>IFERROR(__xludf.DUMMYFUNCTION("""COMPUTED_VALUE"""),2.0)</f>
        <v>2</v>
      </c>
      <c r="F163" s="8">
        <v>1.0</v>
      </c>
      <c r="G163" s="8">
        <v>1.0</v>
      </c>
      <c r="H163" s="8">
        <v>1.0</v>
      </c>
      <c r="I163" s="8">
        <v>1.0</v>
      </c>
      <c r="J163" s="8">
        <v>1.0</v>
      </c>
      <c r="K163" s="8">
        <v>1.0</v>
      </c>
      <c r="L163" s="8">
        <v>6.0</v>
      </c>
      <c r="M163" s="8"/>
      <c r="N163" s="8"/>
      <c r="O163" s="8" t="s">
        <v>709</v>
      </c>
      <c r="P163" s="8">
        <v>6.0</v>
      </c>
    </row>
    <row r="164">
      <c r="A164">
        <f>IFERROR(__xludf.DUMMYFUNCTION("""COMPUTED_VALUE"""),7.0)</f>
        <v>7</v>
      </c>
      <c r="B164">
        <f>IFERROR(__xludf.DUMMYFUNCTION("""COMPUTED_VALUE"""),30018.0)</f>
        <v>30018</v>
      </c>
      <c r="C164" t="str">
        <f>IFERROR(__xludf.DUMMYFUNCTION("""COMPUTED_VALUE"""),"BETANCUR ECHAVARRIA, JERONIMO")</f>
        <v>BETANCUR ECHAVARRIA, JERONIMO</v>
      </c>
      <c r="D164" t="str">
        <f>IFERROR(__xludf.DUMMYFUNCTION("""COMPUTED_VALUE"""),"Science 7")</f>
        <v>Science 7</v>
      </c>
      <c r="E164" s="31">
        <f>IFERROR(__xludf.DUMMYFUNCTION("""COMPUTED_VALUE"""),2.0)</f>
        <v>2</v>
      </c>
      <c r="F164" s="8">
        <v>1.0</v>
      </c>
      <c r="G164" s="8">
        <v>1.0</v>
      </c>
      <c r="H164" s="8">
        <v>1.0</v>
      </c>
      <c r="I164" s="8">
        <v>1.0</v>
      </c>
      <c r="J164" s="8">
        <v>1.0</v>
      </c>
      <c r="K164" s="8">
        <v>1.0</v>
      </c>
      <c r="L164" s="8">
        <v>6.0</v>
      </c>
      <c r="M164" s="8"/>
      <c r="N164" s="8"/>
      <c r="O164" s="8" t="s">
        <v>709</v>
      </c>
      <c r="P164" s="8">
        <v>6.0</v>
      </c>
    </row>
    <row r="165">
      <c r="A165">
        <f>IFERROR(__xludf.DUMMYFUNCTION("""COMPUTED_VALUE"""),7.0)</f>
        <v>7</v>
      </c>
      <c r="B165">
        <f>IFERROR(__xludf.DUMMYFUNCTION("""COMPUTED_VALUE"""),30170.0)</f>
        <v>30170</v>
      </c>
      <c r="C165" t="str">
        <f>IFERROR(__xludf.DUMMYFUNCTION("""COMPUTED_VALUE"""),"BETANCUR VELASQUEZ, RENATA")</f>
        <v>BETANCUR VELASQUEZ, RENATA</v>
      </c>
      <c r="D165" t="str">
        <f>IFERROR(__xludf.DUMMYFUNCTION("""COMPUTED_VALUE"""),"Science 7")</f>
        <v>Science 7</v>
      </c>
      <c r="E165" s="31">
        <f>IFERROR(__xludf.DUMMYFUNCTION("""COMPUTED_VALUE"""),2.0)</f>
        <v>2</v>
      </c>
      <c r="F165" s="8">
        <v>1.0</v>
      </c>
      <c r="G165" s="8">
        <v>1.0</v>
      </c>
      <c r="H165" s="8">
        <v>1.0</v>
      </c>
      <c r="I165" s="8">
        <v>1.0</v>
      </c>
      <c r="J165" s="8">
        <v>1.0</v>
      </c>
      <c r="K165" s="8">
        <v>1.0</v>
      </c>
      <c r="L165" s="8">
        <v>6.0</v>
      </c>
      <c r="M165" s="8"/>
      <c r="N165" s="8"/>
      <c r="O165" s="8" t="s">
        <v>709</v>
      </c>
      <c r="P165" s="8">
        <v>6.0</v>
      </c>
    </row>
    <row r="166">
      <c r="A166">
        <f>IFERROR(__xludf.DUMMYFUNCTION("""COMPUTED_VALUE"""),7.0)</f>
        <v>7</v>
      </c>
      <c r="B166">
        <f>IFERROR(__xludf.DUMMYFUNCTION("""COMPUTED_VALUE"""),30019.0)</f>
        <v>30019</v>
      </c>
      <c r="C166" t="str">
        <f>IFERROR(__xludf.DUMMYFUNCTION("""COMPUTED_VALUE"""),"BOTERO BETANCOURT, SEBASTIAN")</f>
        <v>BOTERO BETANCOURT, SEBASTIAN</v>
      </c>
      <c r="D166" t="str">
        <f>IFERROR(__xludf.DUMMYFUNCTION("""COMPUTED_VALUE"""),"Science 7")</f>
        <v>Science 7</v>
      </c>
      <c r="E166" s="31">
        <f>IFERROR(__xludf.DUMMYFUNCTION("""COMPUTED_VALUE"""),6.0)</f>
        <v>6</v>
      </c>
      <c r="F166" s="8">
        <v>1.0</v>
      </c>
      <c r="G166" s="8">
        <v>1.0</v>
      </c>
      <c r="H166" s="8">
        <v>1.0</v>
      </c>
      <c r="I166" s="8">
        <v>1.0</v>
      </c>
      <c r="J166" s="8">
        <v>1.0</v>
      </c>
      <c r="K166" s="8">
        <v>1.0</v>
      </c>
      <c r="L166" s="8">
        <v>6.0</v>
      </c>
      <c r="M166" s="8"/>
      <c r="N166" s="8"/>
      <c r="O166" s="8" t="s">
        <v>705</v>
      </c>
      <c r="P166" s="8">
        <v>6.0</v>
      </c>
    </row>
    <row r="167">
      <c r="A167">
        <f>IFERROR(__xludf.DUMMYFUNCTION("""COMPUTED_VALUE"""),7.0)</f>
        <v>7</v>
      </c>
      <c r="B167">
        <f>IFERROR(__xludf.DUMMYFUNCTION("""COMPUTED_VALUE"""),30021.0)</f>
        <v>30021</v>
      </c>
      <c r="C167" t="str">
        <f>IFERROR(__xludf.DUMMYFUNCTION("""COMPUTED_VALUE"""),"BOTERO TOQUICA, MATILDE")</f>
        <v>BOTERO TOQUICA, MATILDE</v>
      </c>
      <c r="D167" t="str">
        <f>IFERROR(__xludf.DUMMYFUNCTION("""COMPUTED_VALUE"""),"Science 7")</f>
        <v>Science 7</v>
      </c>
      <c r="E167" s="31">
        <f>IFERROR(__xludf.DUMMYFUNCTION("""COMPUTED_VALUE"""),4.0)</f>
        <v>4</v>
      </c>
      <c r="F167" s="8">
        <v>1.0</v>
      </c>
      <c r="G167" s="8">
        <v>1.0</v>
      </c>
      <c r="H167" s="8">
        <v>1.0</v>
      </c>
      <c r="I167" s="8">
        <v>1.0</v>
      </c>
      <c r="J167" s="8">
        <v>1.0</v>
      </c>
      <c r="K167" s="8">
        <v>1.0</v>
      </c>
      <c r="L167" s="8">
        <v>6.0</v>
      </c>
      <c r="M167" s="8"/>
      <c r="N167" s="8"/>
      <c r="O167" s="8" t="s">
        <v>708</v>
      </c>
      <c r="P167" s="8">
        <v>6.0</v>
      </c>
    </row>
    <row r="168">
      <c r="A168">
        <f>IFERROR(__xludf.DUMMYFUNCTION("""COMPUTED_VALUE"""),7.0)</f>
        <v>7</v>
      </c>
      <c r="B168">
        <f>IFERROR(__xludf.DUMMYFUNCTION("""COMPUTED_VALUE"""),30022.0)</f>
        <v>30022</v>
      </c>
      <c r="C168" s="135" t="str">
        <f>IFERROR(__xludf.DUMMYFUNCTION("""COMPUTED_VALUE"""),"CAMELO ZULUAGA, BENJAMIN")</f>
        <v>CAMELO ZULUAGA, BENJAMIN</v>
      </c>
      <c r="D168" t="str">
        <f>IFERROR(__xludf.DUMMYFUNCTION("""COMPUTED_VALUE"""),"Science 7A")</f>
        <v>Science 7A</v>
      </c>
      <c r="E168" s="31">
        <f>IFERROR(__xludf.DUMMYFUNCTION("""COMPUTED_VALUE"""),6.0)</f>
        <v>6</v>
      </c>
      <c r="F168" s="8">
        <v>1.0</v>
      </c>
      <c r="G168" s="8">
        <v>1.0</v>
      </c>
      <c r="H168" s="8">
        <v>1.0</v>
      </c>
      <c r="I168" s="8">
        <v>1.0</v>
      </c>
      <c r="J168" s="8">
        <v>1.0</v>
      </c>
      <c r="K168" s="8">
        <v>1.0</v>
      </c>
      <c r="L168" s="8">
        <v>6.0</v>
      </c>
      <c r="M168" s="8"/>
      <c r="N168" s="8"/>
      <c r="O168" s="8" t="s">
        <v>706</v>
      </c>
      <c r="P168" s="8" t="e">
        <v>#N/A</v>
      </c>
    </row>
    <row r="169">
      <c r="A169">
        <f>IFERROR(__xludf.DUMMYFUNCTION("""COMPUTED_VALUE"""),7.0)</f>
        <v>7</v>
      </c>
      <c r="B169">
        <f>IFERROR(__xludf.DUMMYFUNCTION("""COMPUTED_VALUE"""),30023.0)</f>
        <v>30023</v>
      </c>
      <c r="C169" t="str">
        <f>IFERROR(__xludf.DUMMYFUNCTION("""COMPUTED_VALUE"""),"CAMPILLO VALENCIA, LUCIANA")</f>
        <v>CAMPILLO VALENCIA, LUCIANA</v>
      </c>
      <c r="D169" t="str">
        <f>IFERROR(__xludf.DUMMYFUNCTION("""COMPUTED_VALUE"""),"Science 7")</f>
        <v>Science 7</v>
      </c>
      <c r="E169" s="31">
        <f>IFERROR(__xludf.DUMMYFUNCTION("""COMPUTED_VALUE"""),5.0)</f>
        <v>5</v>
      </c>
      <c r="F169" s="8">
        <v>1.0</v>
      </c>
      <c r="G169" s="8">
        <v>1.0</v>
      </c>
      <c r="H169" s="8">
        <v>1.0</v>
      </c>
      <c r="I169" s="8">
        <v>1.0</v>
      </c>
      <c r="J169" s="8">
        <v>1.0</v>
      </c>
      <c r="K169" s="8">
        <v>1.0</v>
      </c>
      <c r="L169" s="8">
        <v>6.0</v>
      </c>
      <c r="M169" s="8"/>
      <c r="N169" s="8"/>
      <c r="O169" s="8" t="s">
        <v>710</v>
      </c>
      <c r="P169" s="8">
        <v>6.0</v>
      </c>
    </row>
    <row r="170">
      <c r="A170">
        <f>IFERROR(__xludf.DUMMYFUNCTION("""COMPUTED_VALUE"""),7.0)</f>
        <v>7</v>
      </c>
      <c r="B170">
        <f>IFERROR(__xludf.DUMMYFUNCTION("""COMPUTED_VALUE"""),30024.0)</f>
        <v>30024</v>
      </c>
      <c r="C170" t="str">
        <f>IFERROR(__xludf.DUMMYFUNCTION("""COMPUTED_VALUE"""),"CANO MESA, AMELIA")</f>
        <v>CANO MESA, AMELIA</v>
      </c>
      <c r="D170" t="str">
        <f>IFERROR(__xludf.DUMMYFUNCTION("""COMPUTED_VALUE"""),"Science 7")</f>
        <v>Science 7</v>
      </c>
      <c r="E170" s="31">
        <f>IFERROR(__xludf.DUMMYFUNCTION("""COMPUTED_VALUE"""),4.0)</f>
        <v>4</v>
      </c>
      <c r="F170" s="8">
        <v>1.0</v>
      </c>
      <c r="G170" s="8">
        <v>1.0</v>
      </c>
      <c r="H170" s="8">
        <v>1.0</v>
      </c>
      <c r="I170" s="8">
        <v>1.0</v>
      </c>
      <c r="J170" s="8">
        <v>1.0</v>
      </c>
      <c r="K170" s="8">
        <v>1.0</v>
      </c>
      <c r="L170" s="8">
        <v>6.0</v>
      </c>
      <c r="M170" s="8"/>
      <c r="N170" s="8"/>
      <c r="O170" s="8" t="s">
        <v>708</v>
      </c>
      <c r="P170" s="8">
        <v>6.0</v>
      </c>
    </row>
    <row r="171">
      <c r="A171">
        <f>IFERROR(__xludf.DUMMYFUNCTION("""COMPUTED_VALUE"""),7.0)</f>
        <v>7</v>
      </c>
      <c r="B171">
        <f>IFERROR(__xludf.DUMMYFUNCTION("""COMPUTED_VALUE"""),30025.0)</f>
        <v>30025</v>
      </c>
      <c r="C171" t="str">
        <f>IFERROR(__xludf.DUMMYFUNCTION("""COMPUTED_VALUE"""),"CAÑON GARCIA, MARTINA")</f>
        <v>CAÑON GARCIA, MARTINA</v>
      </c>
      <c r="D171" t="str">
        <f>IFERROR(__xludf.DUMMYFUNCTION("""COMPUTED_VALUE"""),"Science 7")</f>
        <v>Science 7</v>
      </c>
      <c r="E171" s="31">
        <f>IFERROR(__xludf.DUMMYFUNCTION("""COMPUTED_VALUE"""),5.0)</f>
        <v>5</v>
      </c>
      <c r="F171" s="8">
        <v>1.0</v>
      </c>
      <c r="G171" s="8">
        <v>1.0</v>
      </c>
      <c r="H171" s="8">
        <v>1.0</v>
      </c>
      <c r="I171" s="8">
        <v>1.0</v>
      </c>
      <c r="J171" s="8">
        <v>1.0</v>
      </c>
      <c r="K171" s="8">
        <v>1.0</v>
      </c>
      <c r="L171" s="8">
        <v>6.0</v>
      </c>
      <c r="M171" s="8"/>
      <c r="N171" s="8"/>
      <c r="O171" s="8" t="s">
        <v>710</v>
      </c>
      <c r="P171" s="8">
        <v>6.0</v>
      </c>
    </row>
    <row r="172">
      <c r="A172">
        <f>IFERROR(__xludf.DUMMYFUNCTION("""COMPUTED_VALUE"""),7.0)</f>
        <v>7</v>
      </c>
      <c r="B172">
        <f>IFERROR(__xludf.DUMMYFUNCTION("""COMPUTED_VALUE"""),30026.0)</f>
        <v>30026</v>
      </c>
      <c r="C172" t="str">
        <f>IFERROR(__xludf.DUMMYFUNCTION("""COMPUTED_VALUE"""),"CAPMARTIN GOMEZ, NICOLAS")</f>
        <v>CAPMARTIN GOMEZ, NICOLAS</v>
      </c>
      <c r="D172" t="str">
        <f>IFERROR(__xludf.DUMMYFUNCTION("""COMPUTED_VALUE"""),"Science 7")</f>
        <v>Science 7</v>
      </c>
      <c r="E172" s="31">
        <f>IFERROR(__xludf.DUMMYFUNCTION("""COMPUTED_VALUE"""),4.0)</f>
        <v>4</v>
      </c>
      <c r="F172" s="8">
        <v>1.0</v>
      </c>
      <c r="G172" s="8">
        <v>1.0</v>
      </c>
      <c r="H172" s="8">
        <v>1.0</v>
      </c>
      <c r="I172" s="8">
        <v>1.0</v>
      </c>
      <c r="J172" s="8">
        <v>1.0</v>
      </c>
      <c r="K172" s="8">
        <v>1.0</v>
      </c>
      <c r="L172" s="8">
        <v>6.0</v>
      </c>
      <c r="M172" s="8"/>
      <c r="N172" s="8"/>
      <c r="O172" s="8" t="s">
        <v>708</v>
      </c>
      <c r="P172" s="8">
        <v>6.0</v>
      </c>
    </row>
    <row r="173">
      <c r="A173">
        <f>IFERROR(__xludf.DUMMYFUNCTION("""COMPUTED_VALUE"""),7.0)</f>
        <v>7</v>
      </c>
      <c r="B173">
        <f>IFERROR(__xludf.DUMMYFUNCTION("""COMPUTED_VALUE"""),30027.0)</f>
        <v>30027</v>
      </c>
      <c r="C173" t="str">
        <f>IFERROR(__xludf.DUMMYFUNCTION("""COMPUTED_VALUE"""),"CARDONA CASTAÑEDA, JUANITA")</f>
        <v>CARDONA CASTAÑEDA, JUANITA</v>
      </c>
      <c r="D173" t="str">
        <f>IFERROR(__xludf.DUMMYFUNCTION("""COMPUTED_VALUE"""),"Science 7")</f>
        <v>Science 7</v>
      </c>
      <c r="E173" s="31">
        <f>IFERROR(__xludf.DUMMYFUNCTION("""COMPUTED_VALUE"""),5.0)</f>
        <v>5</v>
      </c>
      <c r="F173" s="8">
        <v>1.0</v>
      </c>
      <c r="G173" s="8">
        <v>1.0</v>
      </c>
      <c r="H173" s="8">
        <v>1.0</v>
      </c>
      <c r="I173" s="8">
        <v>1.0</v>
      </c>
      <c r="J173" s="8">
        <v>1.0</v>
      </c>
      <c r="K173" s="8">
        <v>1.0</v>
      </c>
      <c r="L173" s="8">
        <v>6.0</v>
      </c>
      <c r="M173" s="8"/>
      <c r="N173" s="8"/>
      <c r="O173" s="8" t="s">
        <v>710</v>
      </c>
      <c r="P173" s="8">
        <v>6.0</v>
      </c>
    </row>
    <row r="174">
      <c r="A174">
        <f>IFERROR(__xludf.DUMMYFUNCTION("""COMPUTED_VALUE"""),7.0)</f>
        <v>7</v>
      </c>
      <c r="B174">
        <f>IFERROR(__xludf.DUMMYFUNCTION("""COMPUTED_VALUE"""),30135.0)</f>
        <v>30135</v>
      </c>
      <c r="C174" t="str">
        <f>IFERROR(__xludf.DUMMYFUNCTION("""COMPUTED_VALUE"""),"CARDONA URIBE, EMILIANA")</f>
        <v>CARDONA URIBE, EMILIANA</v>
      </c>
      <c r="D174" t="str">
        <f>IFERROR(__xludf.DUMMYFUNCTION("""COMPUTED_VALUE"""),"Science 7")</f>
        <v>Science 7</v>
      </c>
      <c r="E174" s="31">
        <f>IFERROR(__xludf.DUMMYFUNCTION("""COMPUTED_VALUE"""),4.0)</f>
        <v>4</v>
      </c>
      <c r="F174" s="8">
        <v>1.0</v>
      </c>
      <c r="G174" s="8">
        <v>1.0</v>
      </c>
      <c r="H174" s="8">
        <v>1.0</v>
      </c>
      <c r="I174" s="8">
        <v>1.0</v>
      </c>
      <c r="J174" s="8">
        <v>1.0</v>
      </c>
      <c r="K174" s="8">
        <v>1.0</v>
      </c>
      <c r="L174" s="8">
        <v>6.0</v>
      </c>
      <c r="M174" s="8"/>
      <c r="N174" s="8"/>
      <c r="O174" s="8" t="s">
        <v>708</v>
      </c>
      <c r="P174" s="8">
        <v>6.0</v>
      </c>
    </row>
    <row r="175">
      <c r="A175">
        <f>IFERROR(__xludf.DUMMYFUNCTION("""COMPUTED_VALUE"""),7.0)</f>
        <v>7</v>
      </c>
      <c r="B175">
        <f>IFERROR(__xludf.DUMMYFUNCTION("""COMPUTED_VALUE"""),30028.0)</f>
        <v>30028</v>
      </c>
      <c r="C175" t="str">
        <f>IFERROR(__xludf.DUMMYFUNCTION("""COMPUTED_VALUE"""),"CHAN MEI, JACOB")</f>
        <v>CHAN MEI, JACOB</v>
      </c>
      <c r="D175" t="str">
        <f>IFERROR(__xludf.DUMMYFUNCTION("""COMPUTED_VALUE"""),"Science 7")</f>
        <v>Science 7</v>
      </c>
      <c r="E175" s="31">
        <f>IFERROR(__xludf.DUMMYFUNCTION("""COMPUTED_VALUE"""),3.0)</f>
        <v>3</v>
      </c>
      <c r="F175" s="8">
        <v>1.0</v>
      </c>
      <c r="G175" s="8">
        <v>1.0</v>
      </c>
      <c r="H175" s="8">
        <v>1.0</v>
      </c>
      <c r="I175" s="8">
        <v>1.0</v>
      </c>
      <c r="J175" s="8">
        <v>1.0</v>
      </c>
      <c r="K175" s="8">
        <v>1.0</v>
      </c>
      <c r="L175" s="8">
        <v>6.0</v>
      </c>
      <c r="M175" s="8"/>
      <c r="N175" s="8"/>
      <c r="O175" s="8" t="s">
        <v>707</v>
      </c>
      <c r="P175" s="8">
        <v>6.0</v>
      </c>
    </row>
    <row r="176">
      <c r="A176">
        <f>IFERROR(__xludf.DUMMYFUNCTION("""COMPUTED_VALUE"""),7.0)</f>
        <v>7</v>
      </c>
      <c r="B176">
        <f>IFERROR(__xludf.DUMMYFUNCTION("""COMPUTED_VALUE"""),30029.0)</f>
        <v>30029</v>
      </c>
      <c r="C176" t="str">
        <f>IFERROR(__xludf.DUMMYFUNCTION("""COMPUTED_VALUE"""),"CORREA GARCES, PEDRO PABLO")</f>
        <v>CORREA GARCES, PEDRO PABLO</v>
      </c>
      <c r="D176" t="str">
        <f>IFERROR(__xludf.DUMMYFUNCTION("""COMPUTED_VALUE"""),"Science 7")</f>
        <v>Science 7</v>
      </c>
      <c r="E176" s="31">
        <f>IFERROR(__xludf.DUMMYFUNCTION("""COMPUTED_VALUE"""),6.0)</f>
        <v>6</v>
      </c>
      <c r="F176" s="8">
        <v>1.0</v>
      </c>
      <c r="G176" s="8">
        <v>1.0</v>
      </c>
      <c r="H176" s="8">
        <v>1.0</v>
      </c>
      <c r="I176" s="8">
        <v>1.0</v>
      </c>
      <c r="J176" s="8">
        <v>1.0</v>
      </c>
      <c r="K176" s="8">
        <v>1.0</v>
      </c>
      <c r="L176" s="8">
        <v>6.0</v>
      </c>
      <c r="M176" s="8"/>
      <c r="N176" s="8"/>
      <c r="O176" s="8" t="s">
        <v>705</v>
      </c>
      <c r="P176" s="8">
        <v>6.0</v>
      </c>
    </row>
    <row r="177">
      <c r="A177">
        <f>IFERROR(__xludf.DUMMYFUNCTION("""COMPUTED_VALUE"""),7.0)</f>
        <v>7</v>
      </c>
      <c r="B177">
        <f>IFERROR(__xludf.DUMMYFUNCTION("""COMPUTED_VALUE"""),30030.0)</f>
        <v>30030</v>
      </c>
      <c r="C177" t="str">
        <f>IFERROR(__xludf.DUMMYFUNCTION("""COMPUTED_VALUE"""),"CORREA MERINO, VICENTE")</f>
        <v>CORREA MERINO, VICENTE</v>
      </c>
      <c r="D177" t="str">
        <f>IFERROR(__xludf.DUMMYFUNCTION("""COMPUTED_VALUE"""),"Science 7")</f>
        <v>Science 7</v>
      </c>
      <c r="E177" s="31">
        <f>IFERROR(__xludf.DUMMYFUNCTION("""COMPUTED_VALUE"""),2.0)</f>
        <v>2</v>
      </c>
      <c r="F177" s="8">
        <v>1.0</v>
      </c>
      <c r="G177" s="8">
        <v>1.0</v>
      </c>
      <c r="H177" s="8">
        <v>1.0</v>
      </c>
      <c r="I177" s="8">
        <v>1.0</v>
      </c>
      <c r="J177" s="8">
        <v>1.0</v>
      </c>
      <c r="K177" s="8">
        <v>1.0</v>
      </c>
      <c r="L177" s="8">
        <v>6.0</v>
      </c>
      <c r="M177" s="8"/>
      <c r="N177" s="8"/>
      <c r="O177" s="8" t="s">
        <v>709</v>
      </c>
      <c r="P177" s="8">
        <v>6.0</v>
      </c>
    </row>
    <row r="178">
      <c r="A178">
        <f>IFERROR(__xludf.DUMMYFUNCTION("""COMPUTED_VALUE"""),7.0)</f>
        <v>7</v>
      </c>
      <c r="B178">
        <f>IFERROR(__xludf.DUMMYFUNCTION("""COMPUTED_VALUE"""),30031.0)</f>
        <v>30031</v>
      </c>
      <c r="C178" t="str">
        <f>IFERROR(__xludf.DUMMYFUNCTION("""COMPUTED_VALUE"""),"CORTES CASTAÑO, FELIPE")</f>
        <v>CORTES CASTAÑO, FELIPE</v>
      </c>
      <c r="D178" t="str">
        <f>IFERROR(__xludf.DUMMYFUNCTION("""COMPUTED_VALUE"""),"Science 7A")</f>
        <v>Science 7A</v>
      </c>
      <c r="E178" s="31">
        <f>IFERROR(__xludf.DUMMYFUNCTION("""COMPUTED_VALUE"""),6.0)</f>
        <v>6</v>
      </c>
      <c r="F178" s="8">
        <v>1.0</v>
      </c>
      <c r="G178" s="8">
        <v>1.0</v>
      </c>
      <c r="H178" s="8">
        <v>1.0</v>
      </c>
      <c r="I178" s="8">
        <v>1.0</v>
      </c>
      <c r="J178" s="8">
        <v>1.0</v>
      </c>
      <c r="K178" s="8">
        <v>1.0</v>
      </c>
      <c r="L178" s="8">
        <v>6.0</v>
      </c>
      <c r="M178" s="8"/>
      <c r="N178" s="8"/>
      <c r="O178" s="8" t="s">
        <v>706</v>
      </c>
      <c r="P178" s="8" t="e">
        <v>#N/A</v>
      </c>
    </row>
    <row r="179">
      <c r="A179">
        <f>IFERROR(__xludf.DUMMYFUNCTION("""COMPUTED_VALUE"""),7.0)</f>
        <v>7</v>
      </c>
      <c r="B179">
        <f>IFERROR(__xludf.DUMMYFUNCTION("""COMPUTED_VALUE"""),30032.0)</f>
        <v>30032</v>
      </c>
      <c r="C179" t="str">
        <f>IFERROR(__xludf.DUMMYFUNCTION("""COMPUTED_VALUE"""),"CRUZ PEREYRA, ANA VICTORIA")</f>
        <v>CRUZ PEREYRA, ANA VICTORIA</v>
      </c>
      <c r="D179" t="str">
        <f>IFERROR(__xludf.DUMMYFUNCTION("""COMPUTED_VALUE"""),"Science 7")</f>
        <v>Science 7</v>
      </c>
      <c r="E179" s="31">
        <f>IFERROR(__xludf.DUMMYFUNCTION("""COMPUTED_VALUE"""),3.0)</f>
        <v>3</v>
      </c>
      <c r="F179" s="8">
        <v>1.0</v>
      </c>
      <c r="G179" s="8">
        <v>1.0</v>
      </c>
      <c r="H179" s="8">
        <v>1.0</v>
      </c>
      <c r="I179" s="8">
        <v>1.0</v>
      </c>
      <c r="J179" s="8">
        <v>1.0</v>
      </c>
      <c r="K179" s="8">
        <v>1.0</v>
      </c>
      <c r="L179" s="8">
        <v>6.0</v>
      </c>
      <c r="M179" s="8"/>
      <c r="N179" s="8"/>
      <c r="O179" s="8" t="s">
        <v>707</v>
      </c>
      <c r="P179" s="8">
        <v>6.0</v>
      </c>
    </row>
    <row r="180">
      <c r="A180">
        <f>IFERROR(__xludf.DUMMYFUNCTION("""COMPUTED_VALUE"""),7.0)</f>
        <v>7</v>
      </c>
      <c r="B180">
        <f>IFERROR(__xludf.DUMMYFUNCTION("""COMPUTED_VALUE"""),30033.0)</f>
        <v>30033</v>
      </c>
      <c r="C180" t="str">
        <f>IFERROR(__xludf.DUMMYFUNCTION("""COMPUTED_VALUE"""),"CUARTAS VILLEGAS, ELIAS")</f>
        <v>CUARTAS VILLEGAS, ELIAS</v>
      </c>
      <c r="D180" t="str">
        <f>IFERROR(__xludf.DUMMYFUNCTION("""COMPUTED_VALUE"""),"Science 7")</f>
        <v>Science 7</v>
      </c>
      <c r="E180" s="31">
        <f>IFERROR(__xludf.DUMMYFUNCTION("""COMPUTED_VALUE"""),2.0)</f>
        <v>2</v>
      </c>
      <c r="F180" s="8">
        <v>1.0</v>
      </c>
      <c r="G180" s="8">
        <v>1.0</v>
      </c>
      <c r="H180" s="8">
        <v>1.0</v>
      </c>
      <c r="I180" s="8">
        <v>1.0</v>
      </c>
      <c r="J180" s="8">
        <v>1.0</v>
      </c>
      <c r="K180" s="8">
        <v>1.0</v>
      </c>
      <c r="L180" s="8">
        <v>6.0</v>
      </c>
      <c r="M180" s="8"/>
      <c r="N180" s="8"/>
      <c r="O180" s="8" t="s">
        <v>709</v>
      </c>
      <c r="P180" s="8">
        <v>6.0</v>
      </c>
    </row>
    <row r="181">
      <c r="A181">
        <f>IFERROR(__xludf.DUMMYFUNCTION("""COMPUTED_VALUE"""),7.0)</f>
        <v>7</v>
      </c>
      <c r="B181">
        <f>IFERROR(__xludf.DUMMYFUNCTION("""COMPUTED_VALUE"""),30034.0)</f>
        <v>30034</v>
      </c>
      <c r="C181" t="str">
        <f>IFERROR(__xludf.DUMMYFUNCTION("""COMPUTED_VALUE"""),"CUERVO HINESTROSA, MARTIN")</f>
        <v>CUERVO HINESTROSA, MARTIN</v>
      </c>
      <c r="D181" t="str">
        <f>IFERROR(__xludf.DUMMYFUNCTION("""COMPUTED_VALUE"""),"Science 7")</f>
        <v>Science 7</v>
      </c>
      <c r="E181" s="31">
        <f>IFERROR(__xludf.DUMMYFUNCTION("""COMPUTED_VALUE"""),6.0)</f>
        <v>6</v>
      </c>
      <c r="F181" s="8">
        <v>1.0</v>
      </c>
      <c r="G181" s="8">
        <v>1.0</v>
      </c>
      <c r="H181" s="8">
        <v>1.0</v>
      </c>
      <c r="I181" s="8">
        <v>1.0</v>
      </c>
      <c r="J181" s="8">
        <v>1.0</v>
      </c>
      <c r="K181" s="8">
        <v>1.0</v>
      </c>
      <c r="L181" s="8">
        <v>6.0</v>
      </c>
      <c r="M181" s="8"/>
      <c r="N181" s="8"/>
      <c r="O181" s="8" t="s">
        <v>705</v>
      </c>
      <c r="P181" s="8">
        <v>6.0</v>
      </c>
    </row>
    <row r="182">
      <c r="A182">
        <f>IFERROR(__xludf.DUMMYFUNCTION("""COMPUTED_VALUE"""),7.0)</f>
        <v>7</v>
      </c>
      <c r="B182">
        <f>IFERROR(__xludf.DUMMYFUNCTION("""COMPUTED_VALUE"""),30137.0)</f>
        <v>30137</v>
      </c>
      <c r="C182" t="str">
        <f>IFERROR(__xludf.DUMMYFUNCTION("""COMPUTED_VALUE"""),"DA SILVA ABATEPAULO, IAN")</f>
        <v>DA SILVA ABATEPAULO, IAN</v>
      </c>
      <c r="D182" t="str">
        <f>IFERROR(__xludf.DUMMYFUNCTION("""COMPUTED_VALUE"""),"Science 7A")</f>
        <v>Science 7A</v>
      </c>
      <c r="E182" s="31">
        <f>IFERROR(__xludf.DUMMYFUNCTION("""COMPUTED_VALUE"""),6.0)</f>
        <v>6</v>
      </c>
      <c r="F182" s="8">
        <v>1.0</v>
      </c>
      <c r="G182" s="8">
        <v>1.0</v>
      </c>
      <c r="H182" s="8">
        <v>1.0</v>
      </c>
      <c r="I182" s="8">
        <v>1.0</v>
      </c>
      <c r="J182" s="8">
        <v>1.0</v>
      </c>
      <c r="K182" s="8">
        <v>1.0</v>
      </c>
      <c r="L182" s="8">
        <v>6.0</v>
      </c>
      <c r="M182" s="8"/>
      <c r="N182" s="8"/>
      <c r="O182" s="8" t="s">
        <v>706</v>
      </c>
      <c r="P182" s="8" t="e">
        <v>#N/A</v>
      </c>
    </row>
    <row r="183">
      <c r="A183">
        <f>IFERROR(__xludf.DUMMYFUNCTION("""COMPUTED_VALUE"""),7.0)</f>
        <v>7</v>
      </c>
      <c r="B183">
        <f>IFERROR(__xludf.DUMMYFUNCTION("""COMPUTED_VALUE"""),30036.0)</f>
        <v>30036</v>
      </c>
      <c r="C183" t="str">
        <f>IFERROR(__xludf.DUMMYFUNCTION("""COMPUTED_VALUE"""),"DUQUE OCHOA, PABLO")</f>
        <v>DUQUE OCHOA, PABLO</v>
      </c>
      <c r="D183" t="str">
        <f>IFERROR(__xludf.DUMMYFUNCTION("""COMPUTED_VALUE"""),"Science 7")</f>
        <v>Science 7</v>
      </c>
      <c r="E183" s="31">
        <f>IFERROR(__xludf.DUMMYFUNCTION("""COMPUTED_VALUE"""),3.0)</f>
        <v>3</v>
      </c>
      <c r="F183" s="8">
        <v>1.0</v>
      </c>
      <c r="G183" s="8">
        <v>1.0</v>
      </c>
      <c r="H183" s="8">
        <v>1.0</v>
      </c>
      <c r="I183" s="8">
        <v>1.0</v>
      </c>
      <c r="J183" s="8">
        <v>1.0</v>
      </c>
      <c r="K183" s="8">
        <v>1.0</v>
      </c>
      <c r="L183" s="8">
        <v>6.0</v>
      </c>
      <c r="M183" s="8"/>
      <c r="N183" s="8"/>
      <c r="O183" s="8" t="s">
        <v>707</v>
      </c>
      <c r="P183" s="8">
        <v>6.0</v>
      </c>
    </row>
    <row r="184">
      <c r="A184">
        <f>IFERROR(__xludf.DUMMYFUNCTION("""COMPUTED_VALUE"""),7.0)</f>
        <v>7</v>
      </c>
      <c r="B184">
        <f>IFERROR(__xludf.DUMMYFUNCTION("""COMPUTED_VALUE"""),30037.0)</f>
        <v>30037</v>
      </c>
      <c r="C184" t="str">
        <f>IFERROR(__xludf.DUMMYFUNCTION("""COMPUTED_VALUE"""),"DUQUE ZAPATA, SAMUEL")</f>
        <v>DUQUE ZAPATA, SAMUEL</v>
      </c>
      <c r="D184" t="str">
        <f>IFERROR(__xludf.DUMMYFUNCTION("""COMPUTED_VALUE"""),"Science 7")</f>
        <v>Science 7</v>
      </c>
      <c r="E184" s="31">
        <f>IFERROR(__xludf.DUMMYFUNCTION("""COMPUTED_VALUE"""),2.0)</f>
        <v>2</v>
      </c>
      <c r="F184" s="8">
        <v>1.0</v>
      </c>
      <c r="G184" s="8">
        <v>1.0</v>
      </c>
      <c r="H184" s="8">
        <v>1.0</v>
      </c>
      <c r="I184" s="8">
        <v>1.0</v>
      </c>
      <c r="J184" s="8">
        <v>1.0</v>
      </c>
      <c r="K184" s="8">
        <v>1.0</v>
      </c>
      <c r="L184" s="8">
        <v>6.0</v>
      </c>
      <c r="M184" s="8"/>
      <c r="N184" s="8"/>
      <c r="O184" s="8" t="s">
        <v>709</v>
      </c>
      <c r="P184" s="8">
        <v>6.0</v>
      </c>
    </row>
    <row r="185">
      <c r="A185">
        <f>IFERROR(__xludf.DUMMYFUNCTION("""COMPUTED_VALUE"""),7.0)</f>
        <v>7</v>
      </c>
      <c r="B185">
        <f>IFERROR(__xludf.DUMMYFUNCTION("""COMPUTED_VALUE"""),30038.0)</f>
        <v>30038</v>
      </c>
      <c r="C185" t="str">
        <f>IFERROR(__xludf.DUMMYFUNCTION("""COMPUTED_VALUE"""),"ESCANDON LIBOS, AMELIA")</f>
        <v>ESCANDON LIBOS, AMELIA</v>
      </c>
      <c r="D185" t="str">
        <f>IFERROR(__xludf.DUMMYFUNCTION("""COMPUTED_VALUE"""),"Science 7")</f>
        <v>Science 7</v>
      </c>
      <c r="E185" s="31">
        <f>IFERROR(__xludf.DUMMYFUNCTION("""COMPUTED_VALUE"""),5.0)</f>
        <v>5</v>
      </c>
      <c r="F185" s="8">
        <v>1.0</v>
      </c>
      <c r="G185" s="8">
        <v>1.0</v>
      </c>
      <c r="H185" s="8">
        <v>1.0</v>
      </c>
      <c r="I185" s="8">
        <v>1.0</v>
      </c>
      <c r="J185" s="8">
        <v>1.0</v>
      </c>
      <c r="K185" s="8">
        <v>1.0</v>
      </c>
      <c r="L185" s="8">
        <v>6.0</v>
      </c>
      <c r="M185" s="8"/>
      <c r="N185" s="8"/>
      <c r="O185" s="8" t="s">
        <v>710</v>
      </c>
      <c r="P185" s="8">
        <v>6.0</v>
      </c>
    </row>
    <row r="186">
      <c r="A186">
        <f>IFERROR(__xludf.DUMMYFUNCTION("""COMPUTED_VALUE"""),7.0)</f>
        <v>7</v>
      </c>
      <c r="B186">
        <f>IFERROR(__xludf.DUMMYFUNCTION("""COMPUTED_VALUE"""),30039.0)</f>
        <v>30039</v>
      </c>
      <c r="C186" t="str">
        <f>IFERROR(__xludf.DUMMYFUNCTION("""COMPUTED_VALUE"""),"ESCOBAR CASTAÑO, ALICIA")</f>
        <v>ESCOBAR CASTAÑO, ALICIA</v>
      </c>
      <c r="D186" t="str">
        <f>IFERROR(__xludf.DUMMYFUNCTION("""COMPUTED_VALUE"""),"Science 7")</f>
        <v>Science 7</v>
      </c>
      <c r="E186" s="31">
        <f>IFERROR(__xludf.DUMMYFUNCTION("""COMPUTED_VALUE"""),4.0)</f>
        <v>4</v>
      </c>
      <c r="F186" s="8">
        <v>1.0</v>
      </c>
      <c r="G186" s="8">
        <v>1.0</v>
      </c>
      <c r="H186" s="8">
        <v>1.0</v>
      </c>
      <c r="I186" s="8">
        <v>1.0</v>
      </c>
      <c r="J186" s="8">
        <v>1.0</v>
      </c>
      <c r="K186" s="8">
        <v>1.0</v>
      </c>
      <c r="L186" s="8">
        <v>6.0</v>
      </c>
      <c r="M186" s="8"/>
      <c r="N186" s="8"/>
      <c r="O186" s="8" t="s">
        <v>708</v>
      </c>
      <c r="P186" s="8">
        <v>6.0</v>
      </c>
    </row>
    <row r="187">
      <c r="A187">
        <f>IFERROR(__xludf.DUMMYFUNCTION("""COMPUTED_VALUE"""),7.0)</f>
        <v>7</v>
      </c>
      <c r="B187">
        <f>IFERROR(__xludf.DUMMYFUNCTION("""COMPUTED_VALUE"""),30040.0)</f>
        <v>30040</v>
      </c>
      <c r="C187" t="str">
        <f>IFERROR(__xludf.DUMMYFUNCTION("""COMPUTED_VALUE"""),"ESCOBEDO DRAVIGNEY, ZOE")</f>
        <v>ESCOBEDO DRAVIGNEY, ZOE</v>
      </c>
      <c r="D187" t="str">
        <f>IFERROR(__xludf.DUMMYFUNCTION("""COMPUTED_VALUE"""),"Science 7A")</f>
        <v>Science 7A</v>
      </c>
      <c r="E187" s="31">
        <f>IFERROR(__xludf.DUMMYFUNCTION("""COMPUTED_VALUE"""),6.0)</f>
        <v>6</v>
      </c>
      <c r="F187" s="8">
        <v>1.0</v>
      </c>
      <c r="G187" s="8">
        <v>1.0</v>
      </c>
      <c r="H187" s="8">
        <v>1.0</v>
      </c>
      <c r="I187" s="8">
        <v>1.0</v>
      </c>
      <c r="J187" s="8">
        <v>1.0</v>
      </c>
      <c r="K187" s="8">
        <v>1.0</v>
      </c>
      <c r="L187" s="8">
        <v>6.0</v>
      </c>
      <c r="M187" s="8"/>
      <c r="N187" s="8"/>
      <c r="O187" s="8" t="s">
        <v>706</v>
      </c>
      <c r="P187" s="8" t="e">
        <v>#N/A</v>
      </c>
    </row>
    <row r="188">
      <c r="A188">
        <f>IFERROR(__xludf.DUMMYFUNCTION("""COMPUTED_VALUE"""),7.0)</f>
        <v>7</v>
      </c>
      <c r="B188">
        <f>IFERROR(__xludf.DUMMYFUNCTION("""COMPUTED_VALUE"""),30042.0)</f>
        <v>30042</v>
      </c>
      <c r="C188" t="str">
        <f>IFERROR(__xludf.DUMMYFUNCTION("""COMPUTED_VALUE"""),"ESTELA NARANJO, JOSE MARIA")</f>
        <v>ESTELA NARANJO, JOSE MARIA</v>
      </c>
      <c r="D188" t="str">
        <f>IFERROR(__xludf.DUMMYFUNCTION("""COMPUTED_VALUE"""),"Science 7")</f>
        <v>Science 7</v>
      </c>
      <c r="E188" s="31">
        <f>IFERROR(__xludf.DUMMYFUNCTION("""COMPUTED_VALUE"""),5.0)</f>
        <v>5</v>
      </c>
      <c r="F188" s="8">
        <v>1.0</v>
      </c>
      <c r="G188" s="8">
        <v>1.0</v>
      </c>
      <c r="H188" s="8">
        <v>1.0</v>
      </c>
      <c r="I188" s="8">
        <v>1.0</v>
      </c>
      <c r="J188" s="8">
        <v>1.0</v>
      </c>
      <c r="K188" s="8">
        <v>1.0</v>
      </c>
      <c r="L188" s="8">
        <v>6.0</v>
      </c>
      <c r="M188" s="8"/>
      <c r="N188" s="8"/>
      <c r="O188" s="8" t="s">
        <v>710</v>
      </c>
      <c r="P188" s="8">
        <v>6.0</v>
      </c>
    </row>
    <row r="189">
      <c r="A189">
        <f>IFERROR(__xludf.DUMMYFUNCTION("""COMPUTED_VALUE"""),7.0)</f>
        <v>7</v>
      </c>
      <c r="B189">
        <f>IFERROR(__xludf.DUMMYFUNCTION("""COMPUTED_VALUE"""),30043.0)</f>
        <v>30043</v>
      </c>
      <c r="C189" t="str">
        <f>IFERROR(__xludf.DUMMYFUNCTION("""COMPUTED_VALUE"""),"FERNANDEZ RAMIREZ, SANTIAGO")</f>
        <v>FERNANDEZ RAMIREZ, SANTIAGO</v>
      </c>
      <c r="D189" t="str">
        <f>IFERROR(__xludf.DUMMYFUNCTION("""COMPUTED_VALUE"""),"Science 7")</f>
        <v>Science 7</v>
      </c>
      <c r="E189" s="31">
        <f>IFERROR(__xludf.DUMMYFUNCTION("""COMPUTED_VALUE"""),2.0)</f>
        <v>2</v>
      </c>
      <c r="F189" s="8">
        <v>1.0</v>
      </c>
      <c r="G189" s="8">
        <v>1.0</v>
      </c>
      <c r="H189" s="8">
        <v>1.0</v>
      </c>
      <c r="I189" s="8">
        <v>1.0</v>
      </c>
      <c r="J189" s="8">
        <v>1.0</v>
      </c>
      <c r="K189" s="8">
        <v>1.0</v>
      </c>
      <c r="L189" s="8">
        <v>6.0</v>
      </c>
      <c r="M189" s="8"/>
      <c r="N189" s="8"/>
      <c r="O189" s="8" t="s">
        <v>709</v>
      </c>
      <c r="P189" s="8">
        <v>6.0</v>
      </c>
    </row>
    <row r="190">
      <c r="A190">
        <f>IFERROR(__xludf.DUMMYFUNCTION("""COMPUTED_VALUE"""),7.0)</f>
        <v>7</v>
      </c>
      <c r="B190">
        <f>IFERROR(__xludf.DUMMYFUNCTION("""COMPUTED_VALUE"""),30045.0)</f>
        <v>30045</v>
      </c>
      <c r="C190" t="str">
        <f>IFERROR(__xludf.DUMMYFUNCTION("""COMPUTED_VALUE"""),"GALVEZ ATEHORTUA, LAURA")</f>
        <v>GALVEZ ATEHORTUA, LAURA</v>
      </c>
      <c r="D190" t="str">
        <f>IFERROR(__xludf.DUMMYFUNCTION("""COMPUTED_VALUE"""),"Science 7")</f>
        <v>Science 7</v>
      </c>
      <c r="E190" s="31">
        <f>IFERROR(__xludf.DUMMYFUNCTION("""COMPUTED_VALUE"""),6.0)</f>
        <v>6</v>
      </c>
      <c r="F190" s="8">
        <v>1.0</v>
      </c>
      <c r="G190" s="8">
        <v>1.0</v>
      </c>
      <c r="H190" s="8">
        <v>1.0</v>
      </c>
      <c r="I190" s="8">
        <v>1.0</v>
      </c>
      <c r="J190" s="8">
        <v>1.0</v>
      </c>
      <c r="K190" s="8">
        <v>1.0</v>
      </c>
      <c r="L190" s="8">
        <v>6.0</v>
      </c>
      <c r="M190" s="8"/>
      <c r="N190" s="8"/>
      <c r="O190" s="8" t="s">
        <v>705</v>
      </c>
      <c r="P190" s="8">
        <v>6.0</v>
      </c>
    </row>
    <row r="191">
      <c r="A191">
        <f>IFERROR(__xludf.DUMMYFUNCTION("""COMPUTED_VALUE"""),7.0)</f>
        <v>7</v>
      </c>
      <c r="B191">
        <f>IFERROR(__xludf.DUMMYFUNCTION("""COMPUTED_VALUE"""),30139.0)</f>
        <v>30139</v>
      </c>
      <c r="C191" t="str">
        <f>IFERROR(__xludf.DUMMYFUNCTION("""COMPUTED_VALUE"""),"GARCIA RESTREPO, MATIAS")</f>
        <v>GARCIA RESTREPO, MATIAS</v>
      </c>
      <c r="D191" t="str">
        <f>IFERROR(__xludf.DUMMYFUNCTION("""COMPUTED_VALUE"""),"Science 7")</f>
        <v>Science 7</v>
      </c>
      <c r="E191" s="31">
        <f>IFERROR(__xludf.DUMMYFUNCTION("""COMPUTED_VALUE"""),3.0)</f>
        <v>3</v>
      </c>
      <c r="F191" s="8">
        <v>1.0</v>
      </c>
      <c r="G191" s="8">
        <v>1.0</v>
      </c>
      <c r="H191" s="8">
        <v>1.0</v>
      </c>
      <c r="I191" s="8">
        <v>1.0</v>
      </c>
      <c r="J191" s="8">
        <v>1.0</v>
      </c>
      <c r="K191" s="8">
        <v>1.0</v>
      </c>
      <c r="L191" s="8">
        <v>6.0</v>
      </c>
      <c r="M191" s="8"/>
      <c r="N191" s="8"/>
      <c r="O191" s="8" t="s">
        <v>707</v>
      </c>
      <c r="P191" s="8">
        <v>6.0</v>
      </c>
    </row>
    <row r="192">
      <c r="A192">
        <f>IFERROR(__xludf.DUMMYFUNCTION("""COMPUTED_VALUE"""),7.0)</f>
        <v>7</v>
      </c>
      <c r="B192">
        <f>IFERROR(__xludf.DUMMYFUNCTION("""COMPUTED_VALUE"""),30046.0)</f>
        <v>30046</v>
      </c>
      <c r="C192" t="str">
        <f>IFERROR(__xludf.DUMMYFUNCTION("""COMPUTED_VALUE"""),"GARCIA RIVERA, MARTIN")</f>
        <v>GARCIA RIVERA, MARTIN</v>
      </c>
      <c r="D192" t="str">
        <f>IFERROR(__xludf.DUMMYFUNCTION("""COMPUTED_VALUE"""),"Science 7A")</f>
        <v>Science 7A</v>
      </c>
      <c r="E192" s="31">
        <f>IFERROR(__xludf.DUMMYFUNCTION("""COMPUTED_VALUE"""),6.0)</f>
        <v>6</v>
      </c>
      <c r="F192" s="8">
        <v>1.0</v>
      </c>
      <c r="G192" s="8">
        <v>1.0</v>
      </c>
      <c r="H192" s="8">
        <v>1.0</v>
      </c>
      <c r="I192" s="8">
        <v>1.0</v>
      </c>
      <c r="J192" s="8">
        <v>1.0</v>
      </c>
      <c r="K192" s="8">
        <v>1.0</v>
      </c>
      <c r="L192" s="8">
        <v>6.0</v>
      </c>
      <c r="M192" s="8"/>
      <c r="N192" s="8"/>
      <c r="O192" s="8" t="s">
        <v>706</v>
      </c>
      <c r="P192" s="8" t="e">
        <v>#N/A</v>
      </c>
    </row>
    <row r="193">
      <c r="A193">
        <f>IFERROR(__xludf.DUMMYFUNCTION("""COMPUTED_VALUE"""),7.0)</f>
        <v>7</v>
      </c>
      <c r="B193">
        <f>IFERROR(__xludf.DUMMYFUNCTION("""COMPUTED_VALUE"""),30047.0)</f>
        <v>30047</v>
      </c>
      <c r="C193" t="str">
        <f>IFERROR(__xludf.DUMMYFUNCTION("""COMPUTED_VALUE"""),"GAVIRIA ISAZA, CAMILO")</f>
        <v>GAVIRIA ISAZA, CAMILO</v>
      </c>
      <c r="D193" t="str">
        <f>IFERROR(__xludf.DUMMYFUNCTION("""COMPUTED_VALUE"""),"Science 7")</f>
        <v>Science 7</v>
      </c>
      <c r="E193" s="31">
        <f>IFERROR(__xludf.DUMMYFUNCTION("""COMPUTED_VALUE"""),6.0)</f>
        <v>6</v>
      </c>
      <c r="F193" s="8">
        <v>1.0</v>
      </c>
      <c r="G193" s="8">
        <v>1.0</v>
      </c>
      <c r="H193" s="8">
        <v>1.0</v>
      </c>
      <c r="I193" s="8">
        <v>1.0</v>
      </c>
      <c r="J193" s="8">
        <v>1.0</v>
      </c>
      <c r="K193" s="8">
        <v>1.0</v>
      </c>
      <c r="L193" s="8">
        <v>6.0</v>
      </c>
      <c r="M193" s="8"/>
      <c r="N193" s="8"/>
      <c r="O193" s="8" t="s">
        <v>705</v>
      </c>
      <c r="P193" s="8">
        <v>6.0</v>
      </c>
    </row>
    <row r="194">
      <c r="A194">
        <f>IFERROR(__xludf.DUMMYFUNCTION("""COMPUTED_VALUE"""),7.0)</f>
        <v>7</v>
      </c>
      <c r="B194">
        <f>IFERROR(__xludf.DUMMYFUNCTION("""COMPUTED_VALUE"""),30048.0)</f>
        <v>30048</v>
      </c>
      <c r="C194" t="str">
        <f>IFERROR(__xludf.DUMMYFUNCTION("""COMPUTED_VALUE"""),"GAVIRIA OLAYA, AMALIA")</f>
        <v>GAVIRIA OLAYA, AMALIA</v>
      </c>
      <c r="D194" t="str">
        <f>IFERROR(__xludf.DUMMYFUNCTION("""COMPUTED_VALUE"""),"Science 7")</f>
        <v>Science 7</v>
      </c>
      <c r="E194" s="31">
        <f>IFERROR(__xludf.DUMMYFUNCTION("""COMPUTED_VALUE"""),3.0)</f>
        <v>3</v>
      </c>
      <c r="F194" s="8">
        <v>1.0</v>
      </c>
      <c r="G194" s="8">
        <v>1.0</v>
      </c>
      <c r="H194" s="8">
        <v>1.0</v>
      </c>
      <c r="I194" s="8">
        <v>1.0</v>
      </c>
      <c r="J194" s="8">
        <v>1.0</v>
      </c>
      <c r="K194" s="8">
        <v>1.0</v>
      </c>
      <c r="L194" s="8">
        <v>6.0</v>
      </c>
      <c r="M194" s="8"/>
      <c r="N194" s="8"/>
      <c r="O194" s="8" t="s">
        <v>707</v>
      </c>
      <c r="P194" s="8">
        <v>6.0</v>
      </c>
    </row>
    <row r="195">
      <c r="A195">
        <f>IFERROR(__xludf.DUMMYFUNCTION("""COMPUTED_VALUE"""),7.0)</f>
        <v>7</v>
      </c>
      <c r="B195">
        <f>IFERROR(__xludf.DUMMYFUNCTION("""COMPUTED_VALUE"""),30146.0)</f>
        <v>30146</v>
      </c>
      <c r="C195" t="str">
        <f>IFERROR(__xludf.DUMMYFUNCTION("""COMPUTED_VALUE"""),"GIRALDO MONTOYA, EMMA")</f>
        <v>GIRALDO MONTOYA, EMMA</v>
      </c>
      <c r="D195" t="str">
        <f>IFERROR(__xludf.DUMMYFUNCTION("""COMPUTED_VALUE"""),"Science 7")</f>
        <v>Science 7</v>
      </c>
      <c r="E195" s="31">
        <f>IFERROR(__xludf.DUMMYFUNCTION("""COMPUTED_VALUE"""),4.0)</f>
        <v>4</v>
      </c>
      <c r="F195" s="8">
        <v>1.0</v>
      </c>
      <c r="G195" s="8">
        <v>1.0</v>
      </c>
      <c r="H195" s="8">
        <v>1.0</v>
      </c>
      <c r="I195" s="8">
        <v>1.0</v>
      </c>
      <c r="J195" s="8">
        <v>1.0</v>
      </c>
      <c r="K195" s="8">
        <v>1.0</v>
      </c>
      <c r="L195" s="8">
        <v>6.0</v>
      </c>
      <c r="M195" s="8"/>
      <c r="N195" s="8"/>
      <c r="O195" s="8" t="s">
        <v>708</v>
      </c>
      <c r="P195" s="8">
        <v>6.0</v>
      </c>
    </row>
    <row r="196">
      <c r="A196">
        <f>IFERROR(__xludf.DUMMYFUNCTION("""COMPUTED_VALUE"""),7.0)</f>
        <v>7</v>
      </c>
      <c r="B196">
        <f>IFERROR(__xludf.DUMMYFUNCTION("""COMPUTED_VALUE"""),30049.0)</f>
        <v>30049</v>
      </c>
      <c r="C196" t="str">
        <f>IFERROR(__xludf.DUMMYFUNCTION("""COMPUTED_VALUE"""),"GOMEZ RAMIREZ, JOAQUIN")</f>
        <v>GOMEZ RAMIREZ, JOAQUIN</v>
      </c>
      <c r="D196" t="str">
        <f>IFERROR(__xludf.DUMMYFUNCTION("""COMPUTED_VALUE"""),"Science 7")</f>
        <v>Science 7</v>
      </c>
      <c r="E196" s="31">
        <f>IFERROR(__xludf.DUMMYFUNCTION("""COMPUTED_VALUE"""),2.0)</f>
        <v>2</v>
      </c>
      <c r="F196" s="8">
        <v>1.0</v>
      </c>
      <c r="G196" s="8">
        <v>1.0</v>
      </c>
      <c r="H196" s="8">
        <v>1.0</v>
      </c>
      <c r="I196" s="8">
        <v>1.0</v>
      </c>
      <c r="J196" s="8">
        <v>1.0</v>
      </c>
      <c r="K196" s="8">
        <v>1.0</v>
      </c>
      <c r="L196" s="8">
        <v>6.0</v>
      </c>
      <c r="M196" s="8"/>
      <c r="N196" s="8"/>
      <c r="O196" s="8" t="s">
        <v>709</v>
      </c>
      <c r="P196" s="8">
        <v>6.0</v>
      </c>
    </row>
    <row r="197">
      <c r="A197">
        <f>IFERROR(__xludf.DUMMYFUNCTION("""COMPUTED_VALUE"""),7.0)</f>
        <v>7</v>
      </c>
      <c r="B197">
        <f>IFERROR(__xludf.DUMMYFUNCTION("""COMPUTED_VALUE"""),30050.0)</f>
        <v>30050</v>
      </c>
      <c r="C197" t="str">
        <f>IFERROR(__xludf.DUMMYFUNCTION("""COMPUTED_VALUE"""),"GOMEZ TORRES, AMALIA")</f>
        <v>GOMEZ TORRES, AMALIA</v>
      </c>
      <c r="D197" t="str">
        <f>IFERROR(__xludf.DUMMYFUNCTION("""COMPUTED_VALUE"""),"Science 7")</f>
        <v>Science 7</v>
      </c>
      <c r="E197" s="31">
        <f>IFERROR(__xludf.DUMMYFUNCTION("""COMPUTED_VALUE"""),5.0)</f>
        <v>5</v>
      </c>
      <c r="F197" s="8">
        <v>1.0</v>
      </c>
      <c r="G197" s="8">
        <v>1.0</v>
      </c>
      <c r="H197" s="8">
        <v>1.0</v>
      </c>
      <c r="I197" s="8">
        <v>1.0</v>
      </c>
      <c r="J197" s="8">
        <v>1.0</v>
      </c>
      <c r="K197" s="8">
        <v>1.0</v>
      </c>
      <c r="L197" s="8">
        <v>6.0</v>
      </c>
      <c r="M197" s="8"/>
      <c r="N197" s="8"/>
      <c r="O197" s="8" t="s">
        <v>710</v>
      </c>
      <c r="P197" s="8">
        <v>6.0</v>
      </c>
    </row>
    <row r="198">
      <c r="A198">
        <f>IFERROR(__xludf.DUMMYFUNCTION("""COMPUTED_VALUE"""),7.0)</f>
        <v>7</v>
      </c>
      <c r="B198">
        <f>IFERROR(__xludf.DUMMYFUNCTION("""COMPUTED_VALUE"""),30051.0)</f>
        <v>30051</v>
      </c>
      <c r="C198" t="str">
        <f>IFERROR(__xludf.DUMMYFUNCTION("""COMPUTED_VALUE"""),"GONZALEZ MONSALVE, JULIETA")</f>
        <v>GONZALEZ MONSALVE, JULIETA</v>
      </c>
      <c r="D198" t="str">
        <f>IFERROR(__xludf.DUMMYFUNCTION("""COMPUTED_VALUE"""),"Science 7A")</f>
        <v>Science 7A</v>
      </c>
      <c r="E198" s="31">
        <f>IFERROR(__xludf.DUMMYFUNCTION("""COMPUTED_VALUE"""),6.0)</f>
        <v>6</v>
      </c>
      <c r="F198" s="8">
        <v>1.0</v>
      </c>
      <c r="G198" s="8">
        <v>1.0</v>
      </c>
      <c r="H198" s="8">
        <v>1.0</v>
      </c>
      <c r="I198" s="8">
        <v>1.0</v>
      </c>
      <c r="J198" s="8">
        <v>1.0</v>
      </c>
      <c r="K198" s="8">
        <v>1.0</v>
      </c>
      <c r="L198" s="8">
        <v>6.0</v>
      </c>
      <c r="M198" s="8"/>
      <c r="N198" s="8"/>
      <c r="O198" s="8" t="s">
        <v>706</v>
      </c>
      <c r="P198" s="8" t="e">
        <v>#N/A</v>
      </c>
    </row>
    <row r="199">
      <c r="A199">
        <f>IFERROR(__xludf.DUMMYFUNCTION("""COMPUTED_VALUE"""),7.0)</f>
        <v>7</v>
      </c>
      <c r="B199">
        <f>IFERROR(__xludf.DUMMYFUNCTION("""COMPUTED_VALUE"""),30052.0)</f>
        <v>30052</v>
      </c>
      <c r="C199" t="str">
        <f>IFERROR(__xludf.DUMMYFUNCTION("""COMPUTED_VALUE"""),"GONZALEZ TORRES, SEBASTIAN")</f>
        <v>GONZALEZ TORRES, SEBASTIAN</v>
      </c>
      <c r="D199" t="str">
        <f>IFERROR(__xludf.DUMMYFUNCTION("""COMPUTED_VALUE"""),"Science 7")</f>
        <v>Science 7</v>
      </c>
      <c r="E199" s="31">
        <f>IFERROR(__xludf.DUMMYFUNCTION("""COMPUTED_VALUE"""),6.0)</f>
        <v>6</v>
      </c>
      <c r="F199" s="8">
        <v>1.0</v>
      </c>
      <c r="G199" s="8">
        <v>1.0</v>
      </c>
      <c r="H199" s="8">
        <v>1.0</v>
      </c>
      <c r="I199" s="8">
        <v>1.0</v>
      </c>
      <c r="J199" s="8">
        <v>1.0</v>
      </c>
      <c r="K199" s="8">
        <v>1.0</v>
      </c>
      <c r="L199" s="8">
        <v>6.0</v>
      </c>
      <c r="M199" s="8"/>
      <c r="N199" s="8"/>
      <c r="O199" s="8" t="s">
        <v>705</v>
      </c>
      <c r="P199" s="8">
        <v>6.0</v>
      </c>
    </row>
    <row r="200">
      <c r="A200">
        <f>IFERROR(__xludf.DUMMYFUNCTION("""COMPUTED_VALUE"""),7.0)</f>
        <v>7</v>
      </c>
      <c r="B200">
        <f>IFERROR(__xludf.DUMMYFUNCTION("""COMPUTED_VALUE"""),30053.0)</f>
        <v>30053</v>
      </c>
      <c r="C200" t="str">
        <f>IFERROR(__xludf.DUMMYFUNCTION("""COMPUTED_VALUE"""),"GONZALEZ TRABOULSI, MATIAS")</f>
        <v>GONZALEZ TRABOULSI, MATIAS</v>
      </c>
      <c r="D200" t="str">
        <f>IFERROR(__xludf.DUMMYFUNCTION("""COMPUTED_VALUE"""),"Science 7")</f>
        <v>Science 7</v>
      </c>
      <c r="E200" s="31">
        <f>IFERROR(__xludf.DUMMYFUNCTION("""COMPUTED_VALUE"""),4.0)</f>
        <v>4</v>
      </c>
      <c r="F200" s="8">
        <v>1.0</v>
      </c>
      <c r="G200" s="8">
        <v>1.0</v>
      </c>
      <c r="H200" s="8">
        <v>1.0</v>
      </c>
      <c r="I200" s="8">
        <v>1.0</v>
      </c>
      <c r="J200" s="8">
        <v>1.0</v>
      </c>
      <c r="K200" s="8">
        <v>1.0</v>
      </c>
      <c r="L200" s="8">
        <v>6.0</v>
      </c>
      <c r="M200" s="8"/>
      <c r="N200" s="8"/>
      <c r="O200" s="8" t="s">
        <v>708</v>
      </c>
      <c r="P200" s="8">
        <v>6.0</v>
      </c>
    </row>
    <row r="201">
      <c r="A201">
        <f>IFERROR(__xludf.DUMMYFUNCTION("""COMPUTED_VALUE"""),7.0)</f>
        <v>7</v>
      </c>
      <c r="B201">
        <f>IFERROR(__xludf.DUMMYFUNCTION("""COMPUTED_VALUE"""),30054.0)</f>
        <v>30054</v>
      </c>
      <c r="C201" t="str">
        <f>IFERROR(__xludf.DUMMYFUNCTION("""COMPUTED_VALUE"""),"GRISALES PINEDA, ELISA")</f>
        <v>GRISALES PINEDA, ELISA</v>
      </c>
      <c r="D201" t="str">
        <f>IFERROR(__xludf.DUMMYFUNCTION("""COMPUTED_VALUE"""),"Science 7")</f>
        <v>Science 7</v>
      </c>
      <c r="E201" s="31">
        <f>IFERROR(__xludf.DUMMYFUNCTION("""COMPUTED_VALUE"""),3.0)</f>
        <v>3</v>
      </c>
      <c r="F201" s="8">
        <v>1.0</v>
      </c>
      <c r="G201" s="8">
        <v>1.0</v>
      </c>
      <c r="H201" s="8">
        <v>1.0</v>
      </c>
      <c r="I201" s="8">
        <v>1.0</v>
      </c>
      <c r="J201" s="8">
        <v>1.0</v>
      </c>
      <c r="K201" s="8">
        <v>1.0</v>
      </c>
      <c r="L201" s="8">
        <v>6.0</v>
      </c>
      <c r="M201" s="8"/>
      <c r="N201" s="8"/>
      <c r="O201" s="8" t="s">
        <v>707</v>
      </c>
      <c r="P201" s="8">
        <v>6.0</v>
      </c>
    </row>
    <row r="202">
      <c r="A202">
        <f>IFERROR(__xludf.DUMMYFUNCTION("""COMPUTED_VALUE"""),7.0)</f>
        <v>7</v>
      </c>
      <c r="B202">
        <f>IFERROR(__xludf.DUMMYFUNCTION("""COMPUTED_VALUE"""),30055.0)</f>
        <v>30055</v>
      </c>
      <c r="C202" t="str">
        <f>IFERROR(__xludf.DUMMYFUNCTION("""COMPUTED_VALUE"""),"GUERRERO JARAMILLO, CAMILA")</f>
        <v>GUERRERO JARAMILLO, CAMILA</v>
      </c>
      <c r="D202" t="str">
        <f>IFERROR(__xludf.DUMMYFUNCTION("""COMPUTED_VALUE"""),"Science 7")</f>
        <v>Science 7</v>
      </c>
      <c r="E202" s="31">
        <f>IFERROR(__xludf.DUMMYFUNCTION("""COMPUTED_VALUE"""),5.0)</f>
        <v>5</v>
      </c>
      <c r="F202" s="8">
        <v>1.0</v>
      </c>
      <c r="G202" s="8">
        <v>1.0</v>
      </c>
      <c r="H202" s="8">
        <v>1.0</v>
      </c>
      <c r="I202" s="8">
        <v>1.0</v>
      </c>
      <c r="J202" s="8">
        <v>1.0</v>
      </c>
      <c r="K202" s="8">
        <v>1.0</v>
      </c>
      <c r="L202" s="8">
        <v>6.0</v>
      </c>
      <c r="M202" s="8"/>
      <c r="N202" s="8"/>
      <c r="O202" s="8" t="s">
        <v>710</v>
      </c>
      <c r="P202" s="8">
        <v>6.0</v>
      </c>
    </row>
    <row r="203">
      <c r="A203">
        <f>IFERROR(__xludf.DUMMYFUNCTION("""COMPUTED_VALUE"""),7.0)</f>
        <v>7</v>
      </c>
      <c r="B203">
        <f>IFERROR(__xludf.DUMMYFUNCTION("""COMPUTED_VALUE"""),30056.0)</f>
        <v>30056</v>
      </c>
      <c r="C203" t="str">
        <f>IFERROR(__xludf.DUMMYFUNCTION("""COMPUTED_VALUE"""),"GUTIERREZ CARVAJAL, VIOLETA")</f>
        <v>GUTIERREZ CARVAJAL, VIOLETA</v>
      </c>
      <c r="D203" t="str">
        <f>IFERROR(__xludf.DUMMYFUNCTION("""COMPUTED_VALUE"""),"Science 7A")</f>
        <v>Science 7A</v>
      </c>
      <c r="E203" s="31">
        <f>IFERROR(__xludf.DUMMYFUNCTION("""COMPUTED_VALUE"""),6.0)</f>
        <v>6</v>
      </c>
      <c r="F203" s="8">
        <v>1.0</v>
      </c>
      <c r="G203" s="8">
        <v>1.0</v>
      </c>
      <c r="H203" s="8">
        <v>1.0</v>
      </c>
      <c r="I203" s="8">
        <v>1.0</v>
      </c>
      <c r="J203" s="8">
        <v>1.0</v>
      </c>
      <c r="K203" s="8">
        <v>1.0</v>
      </c>
      <c r="L203" s="8">
        <v>6.0</v>
      </c>
      <c r="M203" s="8"/>
      <c r="N203" s="8"/>
      <c r="O203" s="8" t="s">
        <v>706</v>
      </c>
      <c r="P203" s="8" t="e">
        <v>#N/A</v>
      </c>
    </row>
    <row r="204">
      <c r="A204">
        <f>IFERROR(__xludf.DUMMYFUNCTION("""COMPUTED_VALUE"""),7.0)</f>
        <v>7</v>
      </c>
      <c r="B204">
        <f>IFERROR(__xludf.DUMMYFUNCTION("""COMPUTED_VALUE"""),30057.0)</f>
        <v>30057</v>
      </c>
      <c r="C204" t="str">
        <f>IFERROR(__xludf.DUMMYFUNCTION("""COMPUTED_VALUE"""),"GUTIERREZ OCAMPO, ISABELA")</f>
        <v>GUTIERREZ OCAMPO, ISABELA</v>
      </c>
      <c r="D204" t="str">
        <f>IFERROR(__xludf.DUMMYFUNCTION("""COMPUTED_VALUE"""),"Science 7")</f>
        <v>Science 7</v>
      </c>
      <c r="E204" s="31">
        <f>IFERROR(__xludf.DUMMYFUNCTION("""COMPUTED_VALUE"""),4.0)</f>
        <v>4</v>
      </c>
      <c r="F204" s="8">
        <v>1.0</v>
      </c>
      <c r="G204" s="8">
        <v>1.0</v>
      </c>
      <c r="H204" s="8">
        <v>1.0</v>
      </c>
      <c r="I204" s="8">
        <v>1.0</v>
      </c>
      <c r="J204" s="8">
        <v>1.0</v>
      </c>
      <c r="K204" s="8">
        <v>1.0</v>
      </c>
      <c r="L204" s="8">
        <v>6.0</v>
      </c>
      <c r="M204" s="8"/>
      <c r="N204" s="8"/>
      <c r="O204" s="8" t="s">
        <v>708</v>
      </c>
      <c r="P204" s="8">
        <v>6.0</v>
      </c>
    </row>
    <row r="205">
      <c r="A205">
        <f>IFERROR(__xludf.DUMMYFUNCTION("""COMPUTED_VALUE"""),7.0)</f>
        <v>7</v>
      </c>
      <c r="B205">
        <f>IFERROR(__xludf.DUMMYFUNCTION("""COMPUTED_VALUE"""),30058.0)</f>
        <v>30058</v>
      </c>
      <c r="C205" t="str">
        <f>IFERROR(__xludf.DUMMYFUNCTION("""COMPUTED_VALUE"""),"GUZMAN FRANCO, SEBASTIAN")</f>
        <v>GUZMAN FRANCO, SEBASTIAN</v>
      </c>
      <c r="D205" t="str">
        <f>IFERROR(__xludf.DUMMYFUNCTION("""COMPUTED_VALUE"""),"Science 7")</f>
        <v>Science 7</v>
      </c>
      <c r="E205" s="31">
        <f>IFERROR(__xludf.DUMMYFUNCTION("""COMPUTED_VALUE"""),5.0)</f>
        <v>5</v>
      </c>
      <c r="F205" s="8">
        <v>1.0</v>
      </c>
      <c r="G205" s="8">
        <v>1.0</v>
      </c>
      <c r="H205" s="8">
        <v>1.0</v>
      </c>
      <c r="I205" s="8">
        <v>1.0</v>
      </c>
      <c r="J205" s="8">
        <v>1.0</v>
      </c>
      <c r="K205" s="8">
        <v>1.0</v>
      </c>
      <c r="L205" s="8">
        <v>6.0</v>
      </c>
      <c r="M205" s="8"/>
      <c r="N205" s="8"/>
      <c r="O205" s="8" t="s">
        <v>710</v>
      </c>
      <c r="P205" s="8">
        <v>6.0</v>
      </c>
    </row>
    <row r="206">
      <c r="A206">
        <f>IFERROR(__xludf.DUMMYFUNCTION("""COMPUTED_VALUE"""),7.0)</f>
        <v>7</v>
      </c>
      <c r="B206">
        <f>IFERROR(__xludf.DUMMYFUNCTION("""COMPUTED_VALUE"""),30059.0)</f>
        <v>30059</v>
      </c>
      <c r="C206" t="str">
        <f>IFERROR(__xludf.DUMMYFUNCTION("""COMPUTED_VALUE"""),"HALABY NAVARRO, MARCO")</f>
        <v>HALABY NAVARRO, MARCO</v>
      </c>
      <c r="D206" t="str">
        <f>IFERROR(__xludf.DUMMYFUNCTION("""COMPUTED_VALUE"""),"Science 7")</f>
        <v>Science 7</v>
      </c>
      <c r="E206" s="31">
        <f>IFERROR(__xludf.DUMMYFUNCTION("""COMPUTED_VALUE"""),6.0)</f>
        <v>6</v>
      </c>
      <c r="F206" s="8">
        <v>1.0</v>
      </c>
      <c r="G206" s="8">
        <v>1.0</v>
      </c>
      <c r="H206" s="8">
        <v>1.0</v>
      </c>
      <c r="I206" s="8">
        <v>1.0</v>
      </c>
      <c r="J206" s="8">
        <v>1.0</v>
      </c>
      <c r="K206" s="8">
        <v>1.0</v>
      </c>
      <c r="L206" s="8">
        <v>6.0</v>
      </c>
      <c r="M206" s="8"/>
      <c r="N206" s="8"/>
      <c r="O206" s="8" t="s">
        <v>705</v>
      </c>
      <c r="P206" s="8">
        <v>6.0</v>
      </c>
    </row>
    <row r="207">
      <c r="A207">
        <f>IFERROR(__xludf.DUMMYFUNCTION("""COMPUTED_VALUE"""),7.0)</f>
        <v>7</v>
      </c>
      <c r="B207">
        <f>IFERROR(__xludf.DUMMYFUNCTION("""COMPUTED_VALUE"""),30166.0)</f>
        <v>30166</v>
      </c>
      <c r="C207" t="str">
        <f>IFERROR(__xludf.DUMMYFUNCTION("""COMPUTED_VALUE"""),"HERNANDEZ GOMEZ, EMILIA")</f>
        <v>HERNANDEZ GOMEZ, EMILIA</v>
      </c>
      <c r="D207" t="str">
        <f>IFERROR(__xludf.DUMMYFUNCTION("""COMPUTED_VALUE"""),"Science 7")</f>
        <v>Science 7</v>
      </c>
      <c r="E207" s="31">
        <f>IFERROR(__xludf.DUMMYFUNCTION("""COMPUTED_VALUE"""),3.0)</f>
        <v>3</v>
      </c>
      <c r="F207" s="8">
        <v>1.0</v>
      </c>
      <c r="G207" s="8">
        <v>1.0</v>
      </c>
      <c r="H207" s="8">
        <v>1.0</v>
      </c>
      <c r="I207" s="8">
        <v>1.0</v>
      </c>
      <c r="J207" s="8">
        <v>1.0</v>
      </c>
      <c r="K207" s="8">
        <v>1.0</v>
      </c>
      <c r="L207" s="8">
        <v>6.0</v>
      </c>
      <c r="M207" s="8"/>
      <c r="N207" s="8"/>
      <c r="O207" s="8" t="s">
        <v>707</v>
      </c>
      <c r="P207" s="8">
        <v>6.0</v>
      </c>
    </row>
    <row r="208">
      <c r="A208">
        <f>IFERROR(__xludf.DUMMYFUNCTION("""COMPUTED_VALUE"""),7.0)</f>
        <v>7</v>
      </c>
      <c r="B208">
        <f>IFERROR(__xludf.DUMMYFUNCTION("""COMPUTED_VALUE"""),30062.0)</f>
        <v>30062</v>
      </c>
      <c r="C208" t="str">
        <f>IFERROR(__xludf.DUMMYFUNCTION("""COMPUTED_VALUE"""),"HURTADO FAJARDO, VALERIA")</f>
        <v>HURTADO FAJARDO, VALERIA</v>
      </c>
      <c r="D208" t="str">
        <f>IFERROR(__xludf.DUMMYFUNCTION("""COMPUTED_VALUE"""),"Science 7A")</f>
        <v>Science 7A</v>
      </c>
      <c r="E208" s="31">
        <f>IFERROR(__xludf.DUMMYFUNCTION("""COMPUTED_VALUE"""),6.0)</f>
        <v>6</v>
      </c>
      <c r="F208" s="8">
        <v>1.0</v>
      </c>
      <c r="G208" s="8">
        <v>1.0</v>
      </c>
      <c r="H208" s="8">
        <v>1.0</v>
      </c>
      <c r="I208" s="8">
        <v>1.0</v>
      </c>
      <c r="J208" s="8">
        <v>1.0</v>
      </c>
      <c r="K208" s="8">
        <v>1.0</v>
      </c>
      <c r="L208" s="8">
        <v>6.0</v>
      </c>
      <c r="M208" s="8"/>
      <c r="N208" s="8"/>
      <c r="O208" s="8" t="s">
        <v>706</v>
      </c>
      <c r="P208" s="8" t="e">
        <v>#N/A</v>
      </c>
    </row>
    <row r="209">
      <c r="A209">
        <f>IFERROR(__xludf.DUMMYFUNCTION("""COMPUTED_VALUE"""),7.0)</f>
        <v>7</v>
      </c>
      <c r="B209">
        <f>IFERROR(__xludf.DUMMYFUNCTION("""COMPUTED_VALUE"""),30064.0)</f>
        <v>30064</v>
      </c>
      <c r="C209" t="str">
        <f>IFERROR(__xludf.DUMMYFUNCTION("""COMPUTED_VALUE"""),"JARAMILLO ARBELAEZ, TOMAS")</f>
        <v>JARAMILLO ARBELAEZ, TOMAS</v>
      </c>
      <c r="D209" t="str">
        <f>IFERROR(__xludf.DUMMYFUNCTION("""COMPUTED_VALUE"""),"Science 7")</f>
        <v>Science 7</v>
      </c>
      <c r="E209" s="31">
        <f>IFERROR(__xludf.DUMMYFUNCTION("""COMPUTED_VALUE"""),2.0)</f>
        <v>2</v>
      </c>
      <c r="F209" s="8">
        <v>1.0</v>
      </c>
      <c r="G209" s="8">
        <v>1.0</v>
      </c>
      <c r="H209" s="8">
        <v>1.0</v>
      </c>
      <c r="I209" s="8">
        <v>1.0</v>
      </c>
      <c r="J209" s="8">
        <v>1.0</v>
      </c>
      <c r="K209" s="8">
        <v>1.0</v>
      </c>
      <c r="L209" s="8">
        <v>6.0</v>
      </c>
      <c r="M209" s="8"/>
      <c r="N209" s="8"/>
      <c r="O209" s="8" t="s">
        <v>709</v>
      </c>
      <c r="P209" s="8">
        <v>6.0</v>
      </c>
    </row>
    <row r="210">
      <c r="A210">
        <f>IFERROR(__xludf.DUMMYFUNCTION("""COMPUTED_VALUE"""),7.0)</f>
        <v>7</v>
      </c>
      <c r="B210">
        <f>IFERROR(__xludf.DUMMYFUNCTION("""COMPUTED_VALUE"""),30065.0)</f>
        <v>30065</v>
      </c>
      <c r="C210" t="str">
        <f>IFERROR(__xludf.DUMMYFUNCTION("""COMPUTED_VALUE"""),"JARAMILLO MORA, CARMEN")</f>
        <v>JARAMILLO MORA, CARMEN</v>
      </c>
      <c r="D210" t="str">
        <f>IFERROR(__xludf.DUMMYFUNCTION("""COMPUTED_VALUE"""),"Science 7")</f>
        <v>Science 7</v>
      </c>
      <c r="E210" s="31">
        <f>IFERROR(__xludf.DUMMYFUNCTION("""COMPUTED_VALUE"""),6.0)</f>
        <v>6</v>
      </c>
      <c r="F210" s="8">
        <v>1.0</v>
      </c>
      <c r="G210" s="8">
        <v>1.0</v>
      </c>
      <c r="H210" s="8">
        <v>1.0</v>
      </c>
      <c r="I210" s="8">
        <v>1.0</v>
      </c>
      <c r="J210" s="8">
        <v>1.0</v>
      </c>
      <c r="K210" s="8">
        <v>1.0</v>
      </c>
      <c r="L210" s="8">
        <v>6.0</v>
      </c>
      <c r="M210" s="8"/>
      <c r="N210" s="8"/>
      <c r="O210" s="8" t="s">
        <v>705</v>
      </c>
      <c r="P210" s="8">
        <v>6.0</v>
      </c>
    </row>
    <row r="211">
      <c r="A211">
        <f>IFERROR(__xludf.DUMMYFUNCTION("""COMPUTED_VALUE"""),7.0)</f>
        <v>7</v>
      </c>
      <c r="B211">
        <f>IFERROR(__xludf.DUMMYFUNCTION("""COMPUTED_VALUE"""),30066.0)</f>
        <v>30066</v>
      </c>
      <c r="C211" t="str">
        <f>IFERROR(__xludf.DUMMYFUNCTION("""COMPUTED_VALUE"""),"JARAMILLO PEÑA, MIGUEL ANTONIO")</f>
        <v>JARAMILLO PEÑA, MIGUEL ANTONIO</v>
      </c>
      <c r="D211" t="str">
        <f>IFERROR(__xludf.DUMMYFUNCTION("""COMPUTED_VALUE"""),"Science 7")</f>
        <v>Science 7</v>
      </c>
      <c r="E211" s="31">
        <f>IFERROR(__xludf.DUMMYFUNCTION("""COMPUTED_VALUE"""),3.0)</f>
        <v>3</v>
      </c>
      <c r="F211" s="8">
        <v>1.0</v>
      </c>
      <c r="G211" s="8">
        <v>1.0</v>
      </c>
      <c r="H211" s="8">
        <v>1.0</v>
      </c>
      <c r="I211" s="8">
        <v>1.0</v>
      </c>
      <c r="J211" s="8">
        <v>1.0</v>
      </c>
      <c r="K211" s="8">
        <v>1.0</v>
      </c>
      <c r="L211" s="8">
        <v>6.0</v>
      </c>
      <c r="M211" s="8"/>
      <c r="N211" s="8"/>
      <c r="O211" s="8" t="s">
        <v>707</v>
      </c>
      <c r="P211" s="8">
        <v>6.0</v>
      </c>
    </row>
    <row r="212">
      <c r="A212">
        <f>IFERROR(__xludf.DUMMYFUNCTION("""COMPUTED_VALUE"""),7.0)</f>
        <v>7</v>
      </c>
      <c r="B212">
        <f>IFERROR(__xludf.DUMMYFUNCTION("""COMPUTED_VALUE"""),30148.0)</f>
        <v>30148</v>
      </c>
      <c r="C212" t="str">
        <f>IFERROR(__xludf.DUMMYFUNCTION("""COMPUTED_VALUE"""),"JARAMILLO VELASQUEZ, FEDERICO")</f>
        <v>JARAMILLO VELASQUEZ, FEDERICO</v>
      </c>
      <c r="D212" t="str">
        <f>IFERROR(__xludf.DUMMYFUNCTION("""COMPUTED_VALUE"""),"Science 7")</f>
        <v>Science 7</v>
      </c>
      <c r="E212" s="31">
        <f>IFERROR(__xludf.DUMMYFUNCTION("""COMPUTED_VALUE"""),4.0)</f>
        <v>4</v>
      </c>
      <c r="F212" s="8">
        <v>1.0</v>
      </c>
      <c r="G212" s="8">
        <v>1.0</v>
      </c>
      <c r="H212" s="8">
        <v>1.0</v>
      </c>
      <c r="I212" s="8">
        <v>1.0</v>
      </c>
      <c r="J212" s="8">
        <v>1.0</v>
      </c>
      <c r="K212" s="8">
        <v>1.0</v>
      </c>
      <c r="L212" s="8">
        <v>6.0</v>
      </c>
      <c r="M212" s="8"/>
      <c r="N212" s="8"/>
      <c r="O212" s="8" t="s">
        <v>708</v>
      </c>
      <c r="P212" s="8">
        <v>6.0</v>
      </c>
    </row>
    <row r="213">
      <c r="A213">
        <f>IFERROR(__xludf.DUMMYFUNCTION("""COMPUTED_VALUE"""),7.0)</f>
        <v>7</v>
      </c>
      <c r="B213">
        <f>IFERROR(__xludf.DUMMYFUNCTION("""COMPUTED_VALUE"""),30068.0)</f>
        <v>30068</v>
      </c>
      <c r="C213" t="str">
        <f>IFERROR(__xludf.DUMMYFUNCTION("""COMPUTED_VALUE"""),"LIBREROS ZULUAGA, JOSHUA")</f>
        <v>LIBREROS ZULUAGA, JOSHUA</v>
      </c>
      <c r="D213" t="str">
        <f>IFERROR(__xludf.DUMMYFUNCTION("""COMPUTED_VALUE"""),"Science 7A")</f>
        <v>Science 7A</v>
      </c>
      <c r="E213" s="31">
        <f>IFERROR(__xludf.DUMMYFUNCTION("""COMPUTED_VALUE"""),6.0)</f>
        <v>6</v>
      </c>
      <c r="F213" s="8">
        <v>1.0</v>
      </c>
      <c r="G213" s="8">
        <v>1.0</v>
      </c>
      <c r="H213" s="8">
        <v>1.0</v>
      </c>
      <c r="I213" s="8">
        <v>1.0</v>
      </c>
      <c r="J213" s="8">
        <v>1.0</v>
      </c>
      <c r="K213" s="8">
        <v>1.0</v>
      </c>
      <c r="L213" s="8">
        <v>6.0</v>
      </c>
      <c r="M213" s="8"/>
      <c r="N213" s="8"/>
      <c r="O213" s="8" t="s">
        <v>706</v>
      </c>
      <c r="P213" s="8" t="e">
        <v>#N/A</v>
      </c>
    </row>
    <row r="214">
      <c r="A214">
        <f>IFERROR(__xludf.DUMMYFUNCTION("""COMPUTED_VALUE"""),7.0)</f>
        <v>7</v>
      </c>
      <c r="B214">
        <f>IFERROR(__xludf.DUMMYFUNCTION("""COMPUTED_VALUE"""),30069.0)</f>
        <v>30069</v>
      </c>
      <c r="C214" t="str">
        <f>IFERROR(__xludf.DUMMYFUNCTION("""COMPUTED_VALUE"""),"LLANO PIEDRAHITA, TOMAS")</f>
        <v>LLANO PIEDRAHITA, TOMAS</v>
      </c>
      <c r="D214" t="str">
        <f>IFERROR(__xludf.DUMMYFUNCTION("""COMPUTED_VALUE"""),"Science 7")</f>
        <v>Science 7</v>
      </c>
      <c r="E214" s="31">
        <f>IFERROR(__xludf.DUMMYFUNCTION("""COMPUTED_VALUE"""),6.0)</f>
        <v>6</v>
      </c>
      <c r="F214" s="8">
        <v>1.0</v>
      </c>
      <c r="G214" s="8">
        <v>1.0</v>
      </c>
      <c r="H214" s="8">
        <v>1.0</v>
      </c>
      <c r="I214" s="8">
        <v>1.0</v>
      </c>
      <c r="J214" s="8">
        <v>1.0</v>
      </c>
      <c r="K214" s="8">
        <v>1.0</v>
      </c>
      <c r="L214" s="8">
        <v>6.0</v>
      </c>
      <c r="M214" s="8"/>
      <c r="N214" s="8"/>
      <c r="O214" s="8" t="s">
        <v>705</v>
      </c>
      <c r="P214" s="8">
        <v>6.0</v>
      </c>
    </row>
    <row r="215">
      <c r="A215">
        <f>IFERROR(__xludf.DUMMYFUNCTION("""COMPUTED_VALUE"""),7.0)</f>
        <v>7</v>
      </c>
      <c r="B215">
        <f>IFERROR(__xludf.DUMMYFUNCTION("""COMPUTED_VALUE"""),30070.0)</f>
        <v>30070</v>
      </c>
      <c r="C215" t="str">
        <f>IFERROR(__xludf.DUMMYFUNCTION("""COMPUTED_VALUE"""),"LONDOÑO CUARTAS, PABLO")</f>
        <v>LONDOÑO CUARTAS, PABLO</v>
      </c>
      <c r="D215" t="str">
        <f>IFERROR(__xludf.DUMMYFUNCTION("""COMPUTED_VALUE"""),"Science 7")</f>
        <v>Science 7</v>
      </c>
      <c r="E215" s="31">
        <f>IFERROR(__xludf.DUMMYFUNCTION("""COMPUTED_VALUE"""),3.0)</f>
        <v>3</v>
      </c>
      <c r="F215" s="8">
        <v>1.0</v>
      </c>
      <c r="G215" s="8">
        <v>1.0</v>
      </c>
      <c r="H215" s="8">
        <v>1.0</v>
      </c>
      <c r="I215" s="8">
        <v>1.0</v>
      </c>
      <c r="J215" s="8">
        <v>1.0</v>
      </c>
      <c r="K215" s="8">
        <v>1.0</v>
      </c>
      <c r="L215" s="8">
        <v>6.0</v>
      </c>
      <c r="M215" s="8"/>
      <c r="N215" s="8"/>
      <c r="O215" s="8" t="s">
        <v>707</v>
      </c>
      <c r="P215" s="8">
        <v>6.0</v>
      </c>
    </row>
    <row r="216">
      <c r="A216">
        <f>IFERROR(__xludf.DUMMYFUNCTION("""COMPUTED_VALUE"""),7.0)</f>
        <v>7</v>
      </c>
      <c r="B216">
        <f>IFERROR(__xludf.DUMMYFUNCTION("""COMPUTED_VALUE"""),30155.0)</f>
        <v>30155</v>
      </c>
      <c r="C216" t="str">
        <f>IFERROR(__xludf.DUMMYFUNCTION("""COMPUTED_VALUE"""),"LONDOÑO JARAMILLO, MARIANO")</f>
        <v>LONDOÑO JARAMILLO, MARIANO</v>
      </c>
      <c r="D216" t="str">
        <f>IFERROR(__xludf.DUMMYFUNCTION("""COMPUTED_VALUE"""),"Science 7")</f>
        <v>Science 7</v>
      </c>
      <c r="E216" s="31">
        <f>IFERROR(__xludf.DUMMYFUNCTION("""COMPUTED_VALUE"""),2.0)</f>
        <v>2</v>
      </c>
      <c r="F216" s="8">
        <v>1.0</v>
      </c>
      <c r="G216" s="8">
        <v>1.0</v>
      </c>
      <c r="H216" s="8">
        <v>1.0</v>
      </c>
      <c r="I216" s="8">
        <v>1.0</v>
      </c>
      <c r="J216" s="8">
        <v>1.0</v>
      </c>
      <c r="K216" s="8">
        <v>1.0</v>
      </c>
      <c r="L216" s="8">
        <v>6.0</v>
      </c>
      <c r="M216" s="8"/>
      <c r="N216" s="8"/>
      <c r="O216" s="8" t="s">
        <v>709</v>
      </c>
      <c r="P216" s="8">
        <v>6.0</v>
      </c>
    </row>
    <row r="217">
      <c r="A217">
        <f>IFERROR(__xludf.DUMMYFUNCTION("""COMPUTED_VALUE"""),7.0)</f>
        <v>7</v>
      </c>
      <c r="B217">
        <f>IFERROR(__xludf.DUMMYFUNCTION("""COMPUTED_VALUE"""),30072.0)</f>
        <v>30072</v>
      </c>
      <c r="C217" t="str">
        <f>IFERROR(__xludf.DUMMYFUNCTION("""COMPUTED_VALUE"""),"LOZANO NAVARRO, GREGORIO")</f>
        <v>LOZANO NAVARRO, GREGORIO</v>
      </c>
      <c r="D217" t="str">
        <f>IFERROR(__xludf.DUMMYFUNCTION("""COMPUTED_VALUE"""),"Science 7A")</f>
        <v>Science 7A</v>
      </c>
      <c r="E217" s="31">
        <f>IFERROR(__xludf.DUMMYFUNCTION("""COMPUTED_VALUE"""),6.0)</f>
        <v>6</v>
      </c>
      <c r="F217" s="8">
        <v>1.0</v>
      </c>
      <c r="G217" s="8">
        <v>1.0</v>
      </c>
      <c r="H217" s="8">
        <v>1.0</v>
      </c>
      <c r="I217" s="8">
        <v>1.0</v>
      </c>
      <c r="J217" s="8">
        <v>1.0</v>
      </c>
      <c r="K217" s="8">
        <v>1.0</v>
      </c>
      <c r="L217" s="8">
        <v>6.0</v>
      </c>
      <c r="M217" s="8"/>
      <c r="N217" s="8"/>
      <c r="O217" s="8" t="s">
        <v>706</v>
      </c>
      <c r="P217" s="8" t="e">
        <v>#N/A</v>
      </c>
    </row>
    <row r="218">
      <c r="A218">
        <f>IFERROR(__xludf.DUMMYFUNCTION("""COMPUTED_VALUE"""),7.0)</f>
        <v>7</v>
      </c>
      <c r="B218">
        <f>IFERROR(__xludf.DUMMYFUNCTION("""COMPUTED_VALUE"""),30074.0)</f>
        <v>30074</v>
      </c>
      <c r="C218" t="str">
        <f>IFERROR(__xludf.DUMMYFUNCTION("""COMPUTED_VALUE"""),"MACIA TORO, ALICIA")</f>
        <v>MACIA TORO, ALICIA</v>
      </c>
      <c r="D218" t="str">
        <f>IFERROR(__xludf.DUMMYFUNCTION("""COMPUTED_VALUE"""),"Science 7")</f>
        <v>Science 7</v>
      </c>
      <c r="E218" s="31">
        <f>IFERROR(__xludf.DUMMYFUNCTION("""COMPUTED_VALUE"""),6.0)</f>
        <v>6</v>
      </c>
      <c r="F218" s="8">
        <v>1.0</v>
      </c>
      <c r="G218" s="8">
        <v>1.0</v>
      </c>
      <c r="H218" s="8">
        <v>1.0</v>
      </c>
      <c r="I218" s="8">
        <v>1.0</v>
      </c>
      <c r="J218" s="8">
        <v>1.0</v>
      </c>
      <c r="K218" s="8">
        <v>1.0</v>
      </c>
      <c r="L218" s="8">
        <v>6.0</v>
      </c>
      <c r="M218" s="8"/>
      <c r="N218" s="8"/>
      <c r="O218" s="8" t="s">
        <v>705</v>
      </c>
      <c r="P218" s="8">
        <v>6.0</v>
      </c>
    </row>
    <row r="219">
      <c r="A219">
        <f>IFERROR(__xludf.DUMMYFUNCTION("""COMPUTED_VALUE"""),7.0)</f>
        <v>7</v>
      </c>
      <c r="B219">
        <f>IFERROR(__xludf.DUMMYFUNCTION("""COMPUTED_VALUE"""),30075.0)</f>
        <v>30075</v>
      </c>
      <c r="C219" t="str">
        <f>IFERROR(__xludf.DUMMYFUNCTION("""COMPUTED_VALUE"""),"MANRIQUE CUESTA, VALERIA")</f>
        <v>MANRIQUE CUESTA, VALERIA</v>
      </c>
      <c r="D219" t="str">
        <f>IFERROR(__xludf.DUMMYFUNCTION("""COMPUTED_VALUE"""),"Science 7")</f>
        <v>Science 7</v>
      </c>
      <c r="E219" s="31">
        <f>IFERROR(__xludf.DUMMYFUNCTION("""COMPUTED_VALUE"""),5.0)</f>
        <v>5</v>
      </c>
      <c r="F219" s="8">
        <v>1.0</v>
      </c>
      <c r="G219" s="8">
        <v>1.0</v>
      </c>
      <c r="H219" s="8">
        <v>1.0</v>
      </c>
      <c r="I219" s="8">
        <v>1.0</v>
      </c>
      <c r="J219" s="8">
        <v>1.0</v>
      </c>
      <c r="K219" s="8">
        <v>1.0</v>
      </c>
      <c r="L219" s="8">
        <v>6.0</v>
      </c>
      <c r="M219" s="8"/>
      <c r="N219" s="8"/>
      <c r="O219" s="8" t="s">
        <v>710</v>
      </c>
      <c r="P219" s="8">
        <v>6.0</v>
      </c>
    </row>
    <row r="220">
      <c r="A220">
        <f>IFERROR(__xludf.DUMMYFUNCTION("""COMPUTED_VALUE"""),7.0)</f>
        <v>7</v>
      </c>
      <c r="B220">
        <f>IFERROR(__xludf.DUMMYFUNCTION("""COMPUTED_VALUE"""),30076.0)</f>
        <v>30076</v>
      </c>
      <c r="C220" t="str">
        <f>IFERROR(__xludf.DUMMYFUNCTION("""COMPUTED_VALUE"""),"MARTINEZ OROZCO, GABRIELA")</f>
        <v>MARTINEZ OROZCO, GABRIELA</v>
      </c>
      <c r="D220" t="str">
        <f>IFERROR(__xludf.DUMMYFUNCTION("""COMPUTED_VALUE"""),"Science 7")</f>
        <v>Science 7</v>
      </c>
      <c r="E220" s="31">
        <f>IFERROR(__xludf.DUMMYFUNCTION("""COMPUTED_VALUE"""),4.0)</f>
        <v>4</v>
      </c>
      <c r="F220" s="8">
        <v>1.0</v>
      </c>
      <c r="G220" s="8">
        <v>1.0</v>
      </c>
      <c r="H220" s="8">
        <v>1.0</v>
      </c>
      <c r="I220" s="8">
        <v>1.0</v>
      </c>
      <c r="J220" s="8">
        <v>1.0</v>
      </c>
      <c r="K220" s="8">
        <v>1.0</v>
      </c>
      <c r="L220" s="8">
        <v>6.0</v>
      </c>
      <c r="M220" s="8"/>
      <c r="N220" s="8"/>
      <c r="O220" s="8" t="s">
        <v>708</v>
      </c>
      <c r="P220" s="8">
        <v>6.0</v>
      </c>
    </row>
    <row r="221">
      <c r="A221">
        <f>IFERROR(__xludf.DUMMYFUNCTION("""COMPUTED_VALUE"""),7.0)</f>
        <v>7</v>
      </c>
      <c r="B221">
        <f>IFERROR(__xludf.DUMMYFUNCTION("""COMPUTED_VALUE"""),30077.0)</f>
        <v>30077</v>
      </c>
      <c r="C221" t="str">
        <f>IFERROR(__xludf.DUMMYFUNCTION("""COMPUTED_VALUE"""),"MC LEAN HIDRON, SIMON")</f>
        <v>MC LEAN HIDRON, SIMON</v>
      </c>
      <c r="D221" t="str">
        <f>IFERROR(__xludf.DUMMYFUNCTION("""COMPUTED_VALUE"""),"Science 7")</f>
        <v>Science 7</v>
      </c>
      <c r="E221" s="31">
        <f>IFERROR(__xludf.DUMMYFUNCTION("""COMPUTED_VALUE"""),3.0)</f>
        <v>3</v>
      </c>
      <c r="F221" s="8">
        <v>1.0</v>
      </c>
      <c r="G221" s="8">
        <v>1.0</v>
      </c>
      <c r="H221" s="8">
        <v>1.0</v>
      </c>
      <c r="I221" s="8">
        <v>1.0</v>
      </c>
      <c r="J221" s="8">
        <v>1.0</v>
      </c>
      <c r="K221" s="8">
        <v>1.0</v>
      </c>
      <c r="L221" s="8">
        <v>6.0</v>
      </c>
      <c r="M221" s="8"/>
      <c r="N221" s="8"/>
      <c r="O221" s="8" t="s">
        <v>707</v>
      </c>
      <c r="P221" s="8">
        <v>6.0</v>
      </c>
    </row>
    <row r="222">
      <c r="A222">
        <f>IFERROR(__xludf.DUMMYFUNCTION("""COMPUTED_VALUE"""),7.0)</f>
        <v>7</v>
      </c>
      <c r="B222">
        <f>IFERROR(__xludf.DUMMYFUNCTION("""COMPUTED_VALUE"""),30174.0)</f>
        <v>30174</v>
      </c>
      <c r="C222" t="str">
        <f>IFERROR(__xludf.DUMMYFUNCTION("""COMPUTED_VALUE"""),"MEJIA BOTERO, FRANCISCA")</f>
        <v>MEJIA BOTERO, FRANCISCA</v>
      </c>
      <c r="D222" t="str">
        <f>IFERROR(__xludf.DUMMYFUNCTION("""COMPUTED_VALUE"""),"Science 7")</f>
        <v>Science 7</v>
      </c>
      <c r="E222" s="31">
        <f>IFERROR(__xludf.DUMMYFUNCTION("""COMPUTED_VALUE"""),5.0)</f>
        <v>5</v>
      </c>
      <c r="F222" s="8">
        <v>1.0</v>
      </c>
      <c r="G222" s="8">
        <v>1.0</v>
      </c>
      <c r="H222" s="8">
        <v>1.0</v>
      </c>
      <c r="I222" s="8">
        <v>1.0</v>
      </c>
      <c r="J222" s="8">
        <v>1.0</v>
      </c>
      <c r="K222" s="8">
        <v>1.0</v>
      </c>
      <c r="L222" s="8">
        <v>6.0</v>
      </c>
      <c r="M222" s="8"/>
      <c r="N222" s="8"/>
      <c r="O222" s="8" t="s">
        <v>710</v>
      </c>
      <c r="P222" s="8">
        <v>6.0</v>
      </c>
    </row>
    <row r="223">
      <c r="A223">
        <f>IFERROR(__xludf.DUMMYFUNCTION("""COMPUTED_VALUE"""),7.0)</f>
        <v>7</v>
      </c>
      <c r="B223">
        <f>IFERROR(__xludf.DUMMYFUNCTION("""COMPUTED_VALUE"""),30078.0)</f>
        <v>30078</v>
      </c>
      <c r="C223" t="str">
        <f>IFERROR(__xludf.DUMMYFUNCTION("""COMPUTED_VALUE"""),"MESA GARCIA, ISABEL")</f>
        <v>MESA GARCIA, ISABEL</v>
      </c>
      <c r="D223" t="str">
        <f>IFERROR(__xludf.DUMMYFUNCTION("""COMPUTED_VALUE"""),"Science 7")</f>
        <v>Science 7</v>
      </c>
      <c r="E223" s="31">
        <f>IFERROR(__xludf.DUMMYFUNCTION("""COMPUTED_VALUE"""),4.0)</f>
        <v>4</v>
      </c>
      <c r="F223" s="8">
        <v>1.0</v>
      </c>
      <c r="G223" s="8">
        <v>1.0</v>
      </c>
      <c r="H223" s="8">
        <v>1.0</v>
      </c>
      <c r="I223" s="8">
        <v>1.0</v>
      </c>
      <c r="J223" s="8">
        <v>1.0</v>
      </c>
      <c r="K223" s="8">
        <v>1.0</v>
      </c>
      <c r="L223" s="8">
        <v>6.0</v>
      </c>
      <c r="M223" s="8"/>
      <c r="N223" s="8"/>
      <c r="O223" s="8" t="s">
        <v>708</v>
      </c>
      <c r="P223" s="8">
        <v>6.0</v>
      </c>
    </row>
    <row r="224">
      <c r="A224">
        <f>IFERROR(__xludf.DUMMYFUNCTION("""COMPUTED_VALUE"""),7.0)</f>
        <v>7</v>
      </c>
      <c r="B224">
        <f>IFERROR(__xludf.DUMMYFUNCTION("""COMPUTED_VALUE"""),30079.0)</f>
        <v>30079</v>
      </c>
      <c r="C224" t="str">
        <f>IFERROR(__xludf.DUMMYFUNCTION("""COMPUTED_VALUE"""),"MESA RESTREPO, BRUNO")</f>
        <v>MESA RESTREPO, BRUNO</v>
      </c>
      <c r="D224" t="str">
        <f>IFERROR(__xludf.DUMMYFUNCTION("""COMPUTED_VALUE"""),"Science 7")</f>
        <v>Science 7</v>
      </c>
      <c r="E224" s="31">
        <f>IFERROR(__xludf.DUMMYFUNCTION("""COMPUTED_VALUE"""),2.0)</f>
        <v>2</v>
      </c>
      <c r="F224" s="8">
        <v>1.0</v>
      </c>
      <c r="G224" s="8">
        <v>1.0</v>
      </c>
      <c r="H224" s="8">
        <v>1.0</v>
      </c>
      <c r="I224" s="8">
        <v>1.0</v>
      </c>
      <c r="J224" s="8">
        <v>1.0</v>
      </c>
      <c r="K224" s="8">
        <v>1.0</v>
      </c>
      <c r="L224" s="8">
        <v>6.0</v>
      </c>
      <c r="M224" s="8"/>
      <c r="N224" s="8"/>
      <c r="O224" s="8" t="s">
        <v>709</v>
      </c>
      <c r="P224" s="8">
        <v>6.0</v>
      </c>
    </row>
    <row r="225">
      <c r="A225">
        <f>IFERROR(__xludf.DUMMYFUNCTION("""COMPUTED_VALUE"""),7.0)</f>
        <v>7</v>
      </c>
      <c r="B225">
        <f>IFERROR(__xludf.DUMMYFUNCTION("""COMPUTED_VALUE"""),30080.0)</f>
        <v>30080</v>
      </c>
      <c r="C225" t="str">
        <f>IFERROR(__xludf.DUMMYFUNCTION("""COMPUTED_VALUE"""),"MEZA SUAREZ, NIKOLAI")</f>
        <v>MEZA SUAREZ, NIKOLAI</v>
      </c>
      <c r="D225" t="str">
        <f>IFERROR(__xludf.DUMMYFUNCTION("""COMPUTED_VALUE"""),"Science 7")</f>
        <v>Science 7</v>
      </c>
      <c r="E225" s="31">
        <f>IFERROR(__xludf.DUMMYFUNCTION("""COMPUTED_VALUE"""),5.0)</f>
        <v>5</v>
      </c>
      <c r="F225" s="8">
        <v>1.0</v>
      </c>
      <c r="G225" s="8">
        <v>1.0</v>
      </c>
      <c r="H225" s="8">
        <v>1.0</v>
      </c>
      <c r="I225" s="8">
        <v>1.0</v>
      </c>
      <c r="J225" s="8">
        <v>1.0</v>
      </c>
      <c r="K225" s="8">
        <v>1.0</v>
      </c>
      <c r="L225" s="8">
        <v>6.0</v>
      </c>
      <c r="M225" s="8"/>
      <c r="N225" s="8"/>
      <c r="O225" s="8" t="s">
        <v>710</v>
      </c>
      <c r="P225" s="8">
        <v>6.0</v>
      </c>
    </row>
    <row r="226">
      <c r="A226">
        <f>IFERROR(__xludf.DUMMYFUNCTION("""COMPUTED_VALUE"""),7.0)</f>
        <v>7</v>
      </c>
      <c r="B226">
        <f>IFERROR(__xludf.DUMMYFUNCTION("""COMPUTED_VALUE"""),30081.0)</f>
        <v>30081</v>
      </c>
      <c r="C226" t="str">
        <f>IFERROR(__xludf.DUMMYFUNCTION("""COMPUTED_VALUE"""),"MOLINA HOYOS, AMALIA")</f>
        <v>MOLINA HOYOS, AMALIA</v>
      </c>
      <c r="D226" t="str">
        <f>IFERROR(__xludf.DUMMYFUNCTION("""COMPUTED_VALUE"""),"Science 7A")</f>
        <v>Science 7A</v>
      </c>
      <c r="E226" s="31">
        <f>IFERROR(__xludf.DUMMYFUNCTION("""COMPUTED_VALUE"""),6.0)</f>
        <v>6</v>
      </c>
      <c r="F226" s="8">
        <v>1.0</v>
      </c>
      <c r="G226" s="8">
        <v>1.0</v>
      </c>
      <c r="H226" s="8">
        <v>1.0</v>
      </c>
      <c r="I226" s="8">
        <v>1.0</v>
      </c>
      <c r="J226" s="8">
        <v>1.0</v>
      </c>
      <c r="K226" s="8">
        <v>1.0</v>
      </c>
      <c r="L226" s="8">
        <v>6.0</v>
      </c>
      <c r="M226" s="8"/>
      <c r="N226" s="8"/>
      <c r="O226" s="8" t="s">
        <v>706</v>
      </c>
      <c r="P226" s="8" t="e">
        <v>#N/A</v>
      </c>
    </row>
    <row r="227">
      <c r="A227">
        <f>IFERROR(__xludf.DUMMYFUNCTION("""COMPUTED_VALUE"""),7.0)</f>
        <v>7</v>
      </c>
      <c r="B227">
        <f>IFERROR(__xludf.DUMMYFUNCTION("""COMPUTED_VALUE"""),30082.0)</f>
        <v>30082</v>
      </c>
      <c r="C227" t="str">
        <f>IFERROR(__xludf.DUMMYFUNCTION("""COMPUTED_VALUE"""),"MONSALVE HOYOS, JUAN JOSE")</f>
        <v>MONSALVE HOYOS, JUAN JOSE</v>
      </c>
      <c r="D227" t="str">
        <f>IFERROR(__xludf.DUMMYFUNCTION("""COMPUTED_VALUE"""),"Science 7")</f>
        <v>Science 7</v>
      </c>
      <c r="E227" s="31">
        <f>IFERROR(__xludf.DUMMYFUNCTION("""COMPUTED_VALUE"""),6.0)</f>
        <v>6</v>
      </c>
      <c r="F227" s="8">
        <v>1.0</v>
      </c>
      <c r="G227" s="8">
        <v>1.0</v>
      </c>
      <c r="H227" s="8">
        <v>1.0</v>
      </c>
      <c r="I227" s="8">
        <v>1.0</v>
      </c>
      <c r="J227" s="8">
        <v>1.0</v>
      </c>
      <c r="K227" s="8">
        <v>1.0</v>
      </c>
      <c r="L227" s="8">
        <v>6.0</v>
      </c>
      <c r="M227" s="8"/>
      <c r="N227" s="8"/>
      <c r="O227" s="8" t="s">
        <v>705</v>
      </c>
      <c r="P227" s="8">
        <v>6.0</v>
      </c>
    </row>
    <row r="228">
      <c r="A228">
        <f>IFERROR(__xludf.DUMMYFUNCTION("""COMPUTED_VALUE"""),7.0)</f>
        <v>7</v>
      </c>
      <c r="B228">
        <f>IFERROR(__xludf.DUMMYFUNCTION("""COMPUTED_VALUE"""),30142.0)</f>
        <v>30142</v>
      </c>
      <c r="C228" t="str">
        <f>IFERROR(__xludf.DUMMYFUNCTION("""COMPUTED_VALUE"""),"MONTOYA GOMEZ, RAFAELA")</f>
        <v>MONTOYA GOMEZ, RAFAELA</v>
      </c>
      <c r="D228" t="str">
        <f>IFERROR(__xludf.DUMMYFUNCTION("""COMPUTED_VALUE"""),"Science 7")</f>
        <v>Science 7</v>
      </c>
      <c r="E228" s="31">
        <f>IFERROR(__xludf.DUMMYFUNCTION("""COMPUTED_VALUE"""),4.0)</f>
        <v>4</v>
      </c>
      <c r="F228" s="8">
        <v>1.0</v>
      </c>
      <c r="G228" s="8">
        <v>1.0</v>
      </c>
      <c r="H228" s="8">
        <v>1.0</v>
      </c>
      <c r="I228" s="8">
        <v>1.0</v>
      </c>
      <c r="J228" s="8">
        <v>1.0</v>
      </c>
      <c r="K228" s="8">
        <v>1.0</v>
      </c>
      <c r="L228" s="8">
        <v>6.0</v>
      </c>
      <c r="M228" s="8"/>
      <c r="N228" s="8"/>
      <c r="O228" s="8" t="s">
        <v>708</v>
      </c>
      <c r="P228" s="8">
        <v>6.0</v>
      </c>
    </row>
    <row r="229">
      <c r="A229">
        <f>IFERROR(__xludf.DUMMYFUNCTION("""COMPUTED_VALUE"""),7.0)</f>
        <v>7</v>
      </c>
      <c r="B229">
        <f>IFERROR(__xludf.DUMMYFUNCTION("""COMPUTED_VALUE"""),30084.0)</f>
        <v>30084</v>
      </c>
      <c r="C229" t="str">
        <f>IFERROR(__xludf.DUMMYFUNCTION("""COMPUTED_VALUE"""),"MONTOYA OCHOA, SARA")</f>
        <v>MONTOYA OCHOA, SARA</v>
      </c>
      <c r="D229" t="str">
        <f>IFERROR(__xludf.DUMMYFUNCTION("""COMPUTED_VALUE"""),"Science 7")</f>
        <v>Science 7</v>
      </c>
      <c r="E229" s="31">
        <f>IFERROR(__xludf.DUMMYFUNCTION("""COMPUTED_VALUE"""),5.0)</f>
        <v>5</v>
      </c>
      <c r="F229" s="8">
        <v>1.0</v>
      </c>
      <c r="G229" s="8">
        <v>1.0</v>
      </c>
      <c r="H229" s="8">
        <v>1.0</v>
      </c>
      <c r="I229" s="8">
        <v>1.0</v>
      </c>
      <c r="J229" s="8">
        <v>1.0</v>
      </c>
      <c r="K229" s="8">
        <v>1.0</v>
      </c>
      <c r="L229" s="8">
        <v>6.0</v>
      </c>
      <c r="M229" s="8"/>
      <c r="N229" s="8"/>
      <c r="O229" s="8" t="s">
        <v>710</v>
      </c>
      <c r="P229" s="8">
        <v>6.0</v>
      </c>
    </row>
    <row r="230">
      <c r="A230">
        <f>IFERROR(__xludf.DUMMYFUNCTION("""COMPUTED_VALUE"""),7.0)</f>
        <v>7</v>
      </c>
      <c r="B230">
        <f>IFERROR(__xludf.DUMMYFUNCTION("""COMPUTED_VALUE"""),30085.0)</f>
        <v>30085</v>
      </c>
      <c r="C230" t="str">
        <f>IFERROR(__xludf.DUMMYFUNCTION("""COMPUTED_VALUE"""),"MORA LE FLOHIC, AGUSTIN")</f>
        <v>MORA LE FLOHIC, AGUSTIN</v>
      </c>
      <c r="D230" t="str">
        <f>IFERROR(__xludf.DUMMYFUNCTION("""COMPUTED_VALUE"""),"Science 7")</f>
        <v>Science 7</v>
      </c>
      <c r="E230" s="31">
        <f>IFERROR(__xludf.DUMMYFUNCTION("""COMPUTED_VALUE"""),3.0)</f>
        <v>3</v>
      </c>
      <c r="F230" s="8">
        <v>1.0</v>
      </c>
      <c r="G230" s="8">
        <v>1.0</v>
      </c>
      <c r="H230" s="8">
        <v>1.0</v>
      </c>
      <c r="I230" s="8">
        <v>1.0</v>
      </c>
      <c r="J230" s="8">
        <v>1.0</v>
      </c>
      <c r="K230" s="8">
        <v>1.0</v>
      </c>
      <c r="L230" s="8">
        <v>6.0</v>
      </c>
      <c r="M230" s="8"/>
      <c r="N230" s="8"/>
      <c r="O230" s="8" t="s">
        <v>707</v>
      </c>
      <c r="P230" s="8">
        <v>6.0</v>
      </c>
    </row>
    <row r="231">
      <c r="A231">
        <f>IFERROR(__xludf.DUMMYFUNCTION("""COMPUTED_VALUE"""),7.0)</f>
        <v>7</v>
      </c>
      <c r="B231">
        <f>IFERROR(__xludf.DUMMYFUNCTION("""COMPUTED_VALUE"""),30086.0)</f>
        <v>30086</v>
      </c>
      <c r="C231" t="str">
        <f>IFERROR(__xludf.DUMMYFUNCTION("""COMPUTED_VALUE"""),"MORA MEJIA, EMILIA")</f>
        <v>MORA MEJIA, EMILIA</v>
      </c>
      <c r="D231" t="str">
        <f>IFERROR(__xludf.DUMMYFUNCTION("""COMPUTED_VALUE"""),"Science 7")</f>
        <v>Science 7</v>
      </c>
      <c r="E231" s="31">
        <f>IFERROR(__xludf.DUMMYFUNCTION("""COMPUTED_VALUE"""),4.0)</f>
        <v>4</v>
      </c>
      <c r="F231" s="8">
        <v>1.0</v>
      </c>
      <c r="G231" s="8">
        <v>1.0</v>
      </c>
      <c r="H231" s="8">
        <v>1.0</v>
      </c>
      <c r="I231" s="8">
        <v>1.0</v>
      </c>
      <c r="J231" s="8">
        <v>1.0</v>
      </c>
      <c r="K231" s="8">
        <v>1.0</v>
      </c>
      <c r="L231" s="8">
        <v>6.0</v>
      </c>
      <c r="M231" s="8"/>
      <c r="N231" s="8"/>
      <c r="O231" s="8" t="s">
        <v>708</v>
      </c>
      <c r="P231" s="8">
        <v>6.0</v>
      </c>
    </row>
    <row r="232">
      <c r="A232">
        <f>IFERROR(__xludf.DUMMYFUNCTION("""COMPUTED_VALUE"""),7.0)</f>
        <v>7</v>
      </c>
      <c r="B232">
        <f>IFERROR(__xludf.DUMMYFUNCTION("""COMPUTED_VALUE"""),30087.0)</f>
        <v>30087</v>
      </c>
      <c r="C232" t="str">
        <f>IFERROR(__xludf.DUMMYFUNCTION("""COMPUTED_VALUE"""),"MORENO BETANCOURT, LUCIANA")</f>
        <v>MORENO BETANCOURT, LUCIANA</v>
      </c>
      <c r="D232" t="str">
        <f>IFERROR(__xludf.DUMMYFUNCTION("""COMPUTED_VALUE"""),"Science 7")</f>
        <v>Science 7</v>
      </c>
      <c r="E232" s="31">
        <f>IFERROR(__xludf.DUMMYFUNCTION("""COMPUTED_VALUE"""),5.0)</f>
        <v>5</v>
      </c>
      <c r="F232" s="8">
        <v>1.0</v>
      </c>
      <c r="G232" s="8">
        <v>1.0</v>
      </c>
      <c r="H232" s="8">
        <v>1.0</v>
      </c>
      <c r="I232" s="8">
        <v>1.0</v>
      </c>
      <c r="J232" s="8">
        <v>1.0</v>
      </c>
      <c r="K232" s="8">
        <v>1.0</v>
      </c>
      <c r="L232" s="8">
        <v>6.0</v>
      </c>
      <c r="M232" s="8"/>
      <c r="N232" s="8"/>
      <c r="O232" s="8" t="s">
        <v>710</v>
      </c>
      <c r="P232" s="8">
        <v>6.0</v>
      </c>
    </row>
    <row r="233">
      <c r="A233">
        <f>IFERROR(__xludf.DUMMYFUNCTION("""COMPUTED_VALUE"""),7.0)</f>
        <v>7</v>
      </c>
      <c r="B233">
        <f>IFERROR(__xludf.DUMMYFUNCTION("""COMPUTED_VALUE"""),30161.0)</f>
        <v>30161</v>
      </c>
      <c r="C233" t="str">
        <f>IFERROR(__xludf.DUMMYFUNCTION("""COMPUTED_VALUE"""),"NAVARRA GOMEZ, CHLOE")</f>
        <v>NAVARRA GOMEZ, CHLOE</v>
      </c>
      <c r="D233" t="str">
        <f>IFERROR(__xludf.DUMMYFUNCTION("""COMPUTED_VALUE"""),"Science 7A")</f>
        <v>Science 7A</v>
      </c>
      <c r="E233" s="31">
        <f>IFERROR(__xludf.DUMMYFUNCTION("""COMPUTED_VALUE"""),6.0)</f>
        <v>6</v>
      </c>
      <c r="F233" s="8">
        <v>1.0</v>
      </c>
      <c r="G233" s="8">
        <v>1.0</v>
      </c>
      <c r="H233" s="8">
        <v>1.0</v>
      </c>
      <c r="I233" s="8">
        <v>1.0</v>
      </c>
      <c r="J233" s="8">
        <v>1.0</v>
      </c>
      <c r="K233" s="8">
        <v>1.0</v>
      </c>
      <c r="L233" s="8">
        <v>6.0</v>
      </c>
      <c r="M233" s="8"/>
      <c r="N233" s="8"/>
      <c r="O233" s="8" t="s">
        <v>706</v>
      </c>
      <c r="P233" s="8" t="e">
        <v>#N/A</v>
      </c>
    </row>
    <row r="234">
      <c r="A234">
        <f>IFERROR(__xludf.DUMMYFUNCTION("""COMPUTED_VALUE"""),7.0)</f>
        <v>7</v>
      </c>
      <c r="B234">
        <f>IFERROR(__xludf.DUMMYFUNCTION("""COMPUTED_VALUE"""),30089.0)</f>
        <v>30089</v>
      </c>
      <c r="C234" t="str">
        <f>IFERROR(__xludf.DUMMYFUNCTION("""COMPUTED_VALUE"""),"NAVARRO RAMIREZ, LUCAS")</f>
        <v>NAVARRO RAMIREZ, LUCAS</v>
      </c>
      <c r="D234" t="str">
        <f>IFERROR(__xludf.DUMMYFUNCTION("""COMPUTED_VALUE"""),"Science 7")</f>
        <v>Science 7</v>
      </c>
      <c r="E234" s="31">
        <f>IFERROR(__xludf.DUMMYFUNCTION("""COMPUTED_VALUE"""),6.0)</f>
        <v>6</v>
      </c>
      <c r="F234" s="8">
        <v>1.0</v>
      </c>
      <c r="G234" s="8">
        <v>1.0</v>
      </c>
      <c r="H234" s="8">
        <v>1.0</v>
      </c>
      <c r="I234" s="8">
        <v>1.0</v>
      </c>
      <c r="J234" s="8">
        <v>1.0</v>
      </c>
      <c r="K234" s="8">
        <v>1.0</v>
      </c>
      <c r="L234" s="8">
        <v>6.0</v>
      </c>
      <c r="M234" s="8"/>
      <c r="N234" s="8"/>
      <c r="O234" s="8" t="s">
        <v>705</v>
      </c>
      <c r="P234" s="8">
        <v>6.0</v>
      </c>
    </row>
    <row r="235">
      <c r="A235">
        <f>IFERROR(__xludf.DUMMYFUNCTION("""COMPUTED_VALUE"""),7.0)</f>
        <v>7</v>
      </c>
      <c r="B235">
        <f>IFERROR(__xludf.DUMMYFUNCTION("""COMPUTED_VALUE"""),30090.0)</f>
        <v>30090</v>
      </c>
      <c r="C235" t="str">
        <f>IFERROR(__xludf.DUMMYFUNCTION("""COMPUTED_VALUE"""),"NEUMANN MARQUEZ, JERONIMO")</f>
        <v>NEUMANN MARQUEZ, JERONIMO</v>
      </c>
      <c r="D235" t="str">
        <f>IFERROR(__xludf.DUMMYFUNCTION("""COMPUTED_VALUE"""),"Science 7")</f>
        <v>Science 7</v>
      </c>
      <c r="E235" s="31">
        <f>IFERROR(__xludf.DUMMYFUNCTION("""COMPUTED_VALUE"""),3.0)</f>
        <v>3</v>
      </c>
      <c r="F235" s="8">
        <v>1.0</v>
      </c>
      <c r="G235" s="8">
        <v>1.0</v>
      </c>
      <c r="H235" s="8">
        <v>1.0</v>
      </c>
      <c r="I235" s="8">
        <v>1.0</v>
      </c>
      <c r="J235" s="8">
        <v>1.0</v>
      </c>
      <c r="K235" s="8">
        <v>1.0</v>
      </c>
      <c r="L235" s="8">
        <v>6.0</v>
      </c>
      <c r="M235" s="8"/>
      <c r="N235" s="8"/>
      <c r="O235" s="8" t="s">
        <v>707</v>
      </c>
      <c r="P235" s="8">
        <v>6.0</v>
      </c>
    </row>
    <row r="236">
      <c r="A236">
        <f>IFERROR(__xludf.DUMMYFUNCTION("""COMPUTED_VALUE"""),7.0)</f>
        <v>7</v>
      </c>
      <c r="B236">
        <f>IFERROR(__xludf.DUMMYFUNCTION("""COMPUTED_VALUE"""),30172.0)</f>
        <v>30172</v>
      </c>
      <c r="C236" t="str">
        <f>IFERROR(__xludf.DUMMYFUNCTION("""COMPUTED_VALUE"""),"OLIVA, EMMA")</f>
        <v>OLIVA, EMMA</v>
      </c>
      <c r="D236" t="str">
        <f>IFERROR(__xludf.DUMMYFUNCTION("""COMPUTED_VALUE"""),"Science 7")</f>
        <v>Science 7</v>
      </c>
      <c r="E236" s="31">
        <f>IFERROR(__xludf.DUMMYFUNCTION("""COMPUTED_VALUE"""),2.0)</f>
        <v>2</v>
      </c>
      <c r="F236" s="8">
        <v>1.0</v>
      </c>
      <c r="G236" s="8">
        <v>1.0</v>
      </c>
      <c r="H236" s="8">
        <v>1.0</v>
      </c>
      <c r="I236" s="8">
        <v>1.0</v>
      </c>
      <c r="J236" s="8">
        <v>1.0</v>
      </c>
      <c r="K236" s="8">
        <v>1.0</v>
      </c>
      <c r="L236" s="8">
        <v>6.0</v>
      </c>
      <c r="M236" s="8"/>
      <c r="N236" s="8"/>
      <c r="O236" s="8" t="s">
        <v>709</v>
      </c>
      <c r="P236" s="8">
        <v>6.0</v>
      </c>
    </row>
    <row r="237">
      <c r="A237">
        <f>IFERROR(__xludf.DUMMYFUNCTION("""COMPUTED_VALUE"""),7.0)</f>
        <v>7</v>
      </c>
      <c r="B237">
        <f>IFERROR(__xludf.DUMMYFUNCTION("""COMPUTED_VALUE"""),30158.0)</f>
        <v>30158</v>
      </c>
      <c r="C237" t="str">
        <f>IFERROR(__xludf.DUMMYFUNCTION("""COMPUTED_VALUE"""),"OROZCO RINCON, VALERIA")</f>
        <v>OROZCO RINCON, VALERIA</v>
      </c>
      <c r="D237" t="str">
        <f>IFERROR(__xludf.DUMMYFUNCTION("""COMPUTED_VALUE"""),"Science 7")</f>
        <v>Science 7</v>
      </c>
      <c r="E237" s="31">
        <f>IFERROR(__xludf.DUMMYFUNCTION("""COMPUTED_VALUE"""),4.0)</f>
        <v>4</v>
      </c>
      <c r="F237" s="8">
        <v>1.0</v>
      </c>
      <c r="G237" s="8">
        <v>1.0</v>
      </c>
      <c r="H237" s="8">
        <v>1.0</v>
      </c>
      <c r="I237" s="8">
        <v>1.0</v>
      </c>
      <c r="J237" s="8">
        <v>1.0</v>
      </c>
      <c r="K237" s="8">
        <v>1.0</v>
      </c>
      <c r="L237" s="8">
        <v>6.0</v>
      </c>
      <c r="M237" s="8"/>
      <c r="N237" s="8"/>
      <c r="O237" s="8" t="s">
        <v>708</v>
      </c>
      <c r="P237" s="8">
        <v>6.0</v>
      </c>
    </row>
    <row r="238">
      <c r="A238">
        <f>IFERROR(__xludf.DUMMYFUNCTION("""COMPUTED_VALUE"""),7.0)</f>
        <v>7</v>
      </c>
      <c r="B238">
        <f>IFERROR(__xludf.DUMMYFUNCTION("""COMPUTED_VALUE"""),30153.0)</f>
        <v>30153</v>
      </c>
      <c r="C238" t="str">
        <f>IFERROR(__xludf.DUMMYFUNCTION("""COMPUTED_VALUE"""),"ORTEGA OCHOA, LORENZO")</f>
        <v>ORTEGA OCHOA, LORENZO</v>
      </c>
      <c r="D238" t="str">
        <f>IFERROR(__xludf.DUMMYFUNCTION("""COMPUTED_VALUE"""),"Science 7A")</f>
        <v>Science 7A</v>
      </c>
      <c r="E238" s="31">
        <f>IFERROR(__xludf.DUMMYFUNCTION("""COMPUTED_VALUE"""),6.0)</f>
        <v>6</v>
      </c>
      <c r="F238" s="8">
        <v>1.0</v>
      </c>
      <c r="G238" s="8">
        <v>1.0</v>
      </c>
      <c r="H238" s="8">
        <v>1.0</v>
      </c>
      <c r="I238" s="8">
        <v>1.0</v>
      </c>
      <c r="J238" s="8">
        <v>1.0</v>
      </c>
      <c r="K238" s="8">
        <v>1.0</v>
      </c>
      <c r="L238" s="8">
        <v>6.0</v>
      </c>
      <c r="M238" s="8"/>
      <c r="N238" s="8"/>
      <c r="O238" s="8" t="s">
        <v>706</v>
      </c>
      <c r="P238" s="8" t="e">
        <v>#N/A</v>
      </c>
    </row>
    <row r="239">
      <c r="A239">
        <f>IFERROR(__xludf.DUMMYFUNCTION("""COMPUTED_VALUE"""),7.0)</f>
        <v>7</v>
      </c>
      <c r="B239">
        <f>IFERROR(__xludf.DUMMYFUNCTION("""COMPUTED_VALUE"""),30154.0)</f>
        <v>30154</v>
      </c>
      <c r="C239" t="str">
        <f>IFERROR(__xludf.DUMMYFUNCTION("""COMPUTED_VALUE"""),"ORTEGA OCHOA, MARIA DEL MAR")</f>
        <v>ORTEGA OCHOA, MARIA DEL MAR</v>
      </c>
      <c r="D239" t="str">
        <f>IFERROR(__xludf.DUMMYFUNCTION("""COMPUTED_VALUE"""),"Science 7")</f>
        <v>Science 7</v>
      </c>
      <c r="E239" s="31">
        <f>IFERROR(__xludf.DUMMYFUNCTION("""COMPUTED_VALUE"""),3.0)</f>
        <v>3</v>
      </c>
      <c r="F239" s="8">
        <v>1.0</v>
      </c>
      <c r="G239" s="8">
        <v>1.0</v>
      </c>
      <c r="H239" s="8">
        <v>1.0</v>
      </c>
      <c r="I239" s="8">
        <v>1.0</v>
      </c>
      <c r="J239" s="8">
        <v>1.0</v>
      </c>
      <c r="K239" s="8">
        <v>1.0</v>
      </c>
      <c r="L239" s="8">
        <v>6.0</v>
      </c>
      <c r="M239" s="8"/>
      <c r="N239" s="8"/>
      <c r="O239" s="8" t="s">
        <v>707</v>
      </c>
      <c r="P239" s="8">
        <v>6.0</v>
      </c>
    </row>
    <row r="240">
      <c r="A240">
        <f>IFERROR(__xludf.DUMMYFUNCTION("""COMPUTED_VALUE"""),7.0)</f>
        <v>7</v>
      </c>
      <c r="B240">
        <f>IFERROR(__xludf.DUMMYFUNCTION("""COMPUTED_VALUE"""),30141.0)</f>
        <v>30141</v>
      </c>
      <c r="C240" t="str">
        <f>IFERROR(__xludf.DUMMYFUNCTION("""COMPUTED_VALUE"""),"OSORIO PATIÑO, MIRANDA")</f>
        <v>OSORIO PATIÑO, MIRANDA</v>
      </c>
      <c r="D240" t="str">
        <f>IFERROR(__xludf.DUMMYFUNCTION("""COMPUTED_VALUE"""),"Science 7")</f>
        <v>Science 7</v>
      </c>
      <c r="E240" s="31">
        <f>IFERROR(__xludf.DUMMYFUNCTION("""COMPUTED_VALUE"""),2.0)</f>
        <v>2</v>
      </c>
      <c r="F240" s="8">
        <v>1.0</v>
      </c>
      <c r="G240" s="8">
        <v>1.0</v>
      </c>
      <c r="H240" s="8">
        <v>1.0</v>
      </c>
      <c r="I240" s="8">
        <v>1.0</v>
      </c>
      <c r="J240" s="8">
        <v>1.0</v>
      </c>
      <c r="K240" s="8">
        <v>1.0</v>
      </c>
      <c r="L240" s="8">
        <v>6.0</v>
      </c>
      <c r="M240" s="8"/>
      <c r="N240" s="8"/>
      <c r="O240" s="8" t="s">
        <v>709</v>
      </c>
      <c r="P240" s="8">
        <v>6.0</v>
      </c>
    </row>
    <row r="241">
      <c r="A241">
        <f>IFERROR(__xludf.DUMMYFUNCTION("""COMPUTED_VALUE"""),7.0)</f>
        <v>7</v>
      </c>
      <c r="B241">
        <f>IFERROR(__xludf.DUMMYFUNCTION("""COMPUTED_VALUE"""),30092.0)</f>
        <v>30092</v>
      </c>
      <c r="C241" t="str">
        <f>IFERROR(__xludf.DUMMYFUNCTION("""COMPUTED_VALUE"""),"OSPINA ESCOBAR, SOFIA")</f>
        <v>OSPINA ESCOBAR, SOFIA</v>
      </c>
      <c r="D241" t="str">
        <f>IFERROR(__xludf.DUMMYFUNCTION("""COMPUTED_VALUE"""),"Science 7")</f>
        <v>Science 7</v>
      </c>
      <c r="E241" s="31">
        <f>IFERROR(__xludf.DUMMYFUNCTION("""COMPUTED_VALUE"""),6.0)</f>
        <v>6</v>
      </c>
      <c r="F241" s="8">
        <v>1.0</v>
      </c>
      <c r="G241" s="8">
        <v>1.0</v>
      </c>
      <c r="H241" s="8">
        <v>1.0</v>
      </c>
      <c r="I241" s="8">
        <v>1.0</v>
      </c>
      <c r="J241" s="8">
        <v>1.0</v>
      </c>
      <c r="K241" s="8">
        <v>1.0</v>
      </c>
      <c r="L241" s="8">
        <v>6.0</v>
      </c>
      <c r="M241" s="8"/>
      <c r="N241" s="8"/>
      <c r="O241" s="8" t="s">
        <v>705</v>
      </c>
      <c r="P241" s="8">
        <v>6.0</v>
      </c>
    </row>
    <row r="242">
      <c r="A242">
        <f>IFERROR(__xludf.DUMMYFUNCTION("""COMPUTED_VALUE"""),7.0)</f>
        <v>7</v>
      </c>
      <c r="B242">
        <f>IFERROR(__xludf.DUMMYFUNCTION("""COMPUTED_VALUE"""),30093.0)</f>
        <v>30093</v>
      </c>
      <c r="C242" t="str">
        <f>IFERROR(__xludf.DUMMYFUNCTION("""COMPUTED_VALUE"""),"OSPINA RESTREPO, RAFAEL")</f>
        <v>OSPINA RESTREPO, RAFAEL</v>
      </c>
      <c r="D242" t="str">
        <f>IFERROR(__xludf.DUMMYFUNCTION("""COMPUTED_VALUE"""),"Science 7A")</f>
        <v>Science 7A</v>
      </c>
      <c r="E242" s="31">
        <f>IFERROR(__xludf.DUMMYFUNCTION("""COMPUTED_VALUE"""),6.0)</f>
        <v>6</v>
      </c>
      <c r="F242" s="8">
        <v>1.0</v>
      </c>
      <c r="G242" s="8">
        <v>1.0</v>
      </c>
      <c r="H242" s="8">
        <v>1.0</v>
      </c>
      <c r="I242" s="8">
        <v>1.0</v>
      </c>
      <c r="J242" s="8">
        <v>1.0</v>
      </c>
      <c r="K242" s="8">
        <v>1.0</v>
      </c>
      <c r="L242" s="8">
        <v>6.0</v>
      </c>
      <c r="M242" s="8"/>
      <c r="N242" s="8"/>
      <c r="O242" s="8" t="s">
        <v>706</v>
      </c>
      <c r="P242" s="8" t="e">
        <v>#N/A</v>
      </c>
    </row>
    <row r="243">
      <c r="A243">
        <f>IFERROR(__xludf.DUMMYFUNCTION("""COMPUTED_VALUE"""),7.0)</f>
        <v>7</v>
      </c>
      <c r="B243">
        <f>IFERROR(__xludf.DUMMYFUNCTION("""COMPUTED_VALUE"""),30173.0)</f>
        <v>30173</v>
      </c>
      <c r="C243" t="str">
        <f>IFERROR(__xludf.DUMMYFUNCTION("""COMPUTED_VALUE"""),"PARAMO VELASQUEZ, ISABEL")</f>
        <v>PARAMO VELASQUEZ, ISABEL</v>
      </c>
      <c r="D243" t="str">
        <f>IFERROR(__xludf.DUMMYFUNCTION("""COMPUTED_VALUE"""),"Science 7")</f>
        <v>Science 7</v>
      </c>
      <c r="E243" s="31">
        <f>IFERROR(__xludf.DUMMYFUNCTION("""COMPUTED_VALUE"""),5.0)</f>
        <v>5</v>
      </c>
      <c r="F243" s="8">
        <v>1.0</v>
      </c>
      <c r="G243" s="8">
        <v>1.0</v>
      </c>
      <c r="H243" s="8">
        <v>1.0</v>
      </c>
      <c r="I243" s="8">
        <v>1.0</v>
      </c>
      <c r="J243" s="8">
        <v>1.0</v>
      </c>
      <c r="K243" s="8">
        <v>1.0</v>
      </c>
      <c r="L243" s="8">
        <v>6.0</v>
      </c>
      <c r="M243" s="8"/>
      <c r="N243" s="8"/>
      <c r="O243" s="8" t="s">
        <v>710</v>
      </c>
      <c r="P243" s="8">
        <v>6.0</v>
      </c>
    </row>
    <row r="244">
      <c r="A244">
        <f>IFERROR(__xludf.DUMMYFUNCTION("""COMPUTED_VALUE"""),7.0)</f>
        <v>7</v>
      </c>
      <c r="B244">
        <f>IFERROR(__xludf.DUMMYFUNCTION("""COMPUTED_VALUE"""),30094.0)</f>
        <v>30094</v>
      </c>
      <c r="C244" t="str">
        <f>IFERROR(__xludf.DUMMYFUNCTION("""COMPUTED_VALUE"""),"PELAEZ PIEDRAHITA, MARTIN")</f>
        <v>PELAEZ PIEDRAHITA, MARTIN</v>
      </c>
      <c r="D244" t="str">
        <f>IFERROR(__xludf.DUMMYFUNCTION("""COMPUTED_VALUE"""),"Science 7")</f>
        <v>Science 7</v>
      </c>
      <c r="E244" s="31">
        <f>IFERROR(__xludf.DUMMYFUNCTION("""COMPUTED_VALUE"""),6.0)</f>
        <v>6</v>
      </c>
      <c r="F244" s="8">
        <v>1.0</v>
      </c>
      <c r="G244" s="8">
        <v>1.0</v>
      </c>
      <c r="H244" s="8">
        <v>1.0</v>
      </c>
      <c r="I244" s="8">
        <v>1.0</v>
      </c>
      <c r="J244" s="8">
        <v>1.0</v>
      </c>
      <c r="K244" s="8">
        <v>1.0</v>
      </c>
      <c r="L244" s="8">
        <v>6.0</v>
      </c>
      <c r="M244" s="8"/>
      <c r="N244" s="8"/>
      <c r="O244" s="8" t="s">
        <v>705</v>
      </c>
      <c r="P244" s="8">
        <v>6.0</v>
      </c>
    </row>
    <row r="245">
      <c r="A245">
        <f>IFERROR(__xludf.DUMMYFUNCTION("""COMPUTED_VALUE"""),7.0)</f>
        <v>7</v>
      </c>
      <c r="B245">
        <f>IFERROR(__xludf.DUMMYFUNCTION("""COMPUTED_VALUE"""),30095.0)</f>
        <v>30095</v>
      </c>
      <c r="C245" t="str">
        <f>IFERROR(__xludf.DUMMYFUNCTION("""COMPUTED_VALUE"""),"PENAGOS VELEZ, PEDRO")</f>
        <v>PENAGOS VELEZ, PEDRO</v>
      </c>
      <c r="D245" t="str">
        <f>IFERROR(__xludf.DUMMYFUNCTION("""COMPUTED_VALUE"""),"Science 7")</f>
        <v>Science 7</v>
      </c>
      <c r="E245" s="31">
        <f>IFERROR(__xludf.DUMMYFUNCTION("""COMPUTED_VALUE"""),4.0)</f>
        <v>4</v>
      </c>
      <c r="F245" s="8">
        <v>1.0</v>
      </c>
      <c r="G245" s="8">
        <v>1.0</v>
      </c>
      <c r="H245" s="8">
        <v>1.0</v>
      </c>
      <c r="I245" s="8">
        <v>1.0</v>
      </c>
      <c r="J245" s="8">
        <v>1.0</v>
      </c>
      <c r="K245" s="8">
        <v>1.0</v>
      </c>
      <c r="L245" s="8">
        <v>6.0</v>
      </c>
      <c r="M245" s="8"/>
      <c r="N245" s="8"/>
      <c r="O245" s="8" t="s">
        <v>708</v>
      </c>
      <c r="P245" s="8">
        <v>6.0</v>
      </c>
    </row>
    <row r="246">
      <c r="A246">
        <f>IFERROR(__xludf.DUMMYFUNCTION("""COMPUTED_VALUE"""),7.0)</f>
        <v>7</v>
      </c>
      <c r="B246">
        <f>IFERROR(__xludf.DUMMYFUNCTION("""COMPUTED_VALUE"""),29090.0)</f>
        <v>29090</v>
      </c>
      <c r="C246" t="str">
        <f>IFERROR(__xludf.DUMMYFUNCTION("""COMPUTED_VALUE"""),"PEREZ DUQUE, MARIA PAZ")</f>
        <v>PEREZ DUQUE, MARIA PAZ</v>
      </c>
      <c r="D246" t="str">
        <f>IFERROR(__xludf.DUMMYFUNCTION("""COMPUTED_VALUE"""),"Science 7")</f>
        <v>Science 7</v>
      </c>
      <c r="E246" s="31">
        <f>IFERROR(__xludf.DUMMYFUNCTION("""COMPUTED_VALUE"""),3.0)</f>
        <v>3</v>
      </c>
      <c r="F246" s="8">
        <v>1.0</v>
      </c>
      <c r="G246" s="8">
        <v>1.0</v>
      </c>
      <c r="H246" s="8">
        <v>1.0</v>
      </c>
      <c r="I246" s="8">
        <v>1.0</v>
      </c>
      <c r="J246" s="8">
        <v>1.0</v>
      </c>
      <c r="K246" s="8">
        <v>1.0</v>
      </c>
      <c r="L246" s="8">
        <v>6.0</v>
      </c>
      <c r="M246" s="8"/>
      <c r="N246" s="8"/>
      <c r="O246" s="8" t="s">
        <v>707</v>
      </c>
      <c r="P246" s="8">
        <v>6.0</v>
      </c>
    </row>
    <row r="247">
      <c r="A247">
        <f>IFERROR(__xludf.DUMMYFUNCTION("""COMPUTED_VALUE"""),7.0)</f>
        <v>7</v>
      </c>
      <c r="B247">
        <f>IFERROR(__xludf.DUMMYFUNCTION("""COMPUTED_VALUE"""),30097.0)</f>
        <v>30097</v>
      </c>
      <c r="C247" t="str">
        <f>IFERROR(__xludf.DUMMYFUNCTION("""COMPUTED_VALUE"""),"PUERTA TIRADO, JUAN SEBASTIAN")</f>
        <v>PUERTA TIRADO, JUAN SEBASTIAN</v>
      </c>
      <c r="D247" t="str">
        <f>IFERROR(__xludf.DUMMYFUNCTION("""COMPUTED_VALUE"""),"Science 7")</f>
        <v>Science 7</v>
      </c>
      <c r="E247" s="31">
        <f>IFERROR(__xludf.DUMMYFUNCTION("""COMPUTED_VALUE"""),5.0)</f>
        <v>5</v>
      </c>
      <c r="F247" s="8">
        <v>1.0</v>
      </c>
      <c r="G247" s="8">
        <v>1.0</v>
      </c>
      <c r="H247" s="8">
        <v>1.0</v>
      </c>
      <c r="I247" s="8">
        <v>1.0</v>
      </c>
      <c r="J247" s="8">
        <v>1.0</v>
      </c>
      <c r="K247" s="8">
        <v>1.0</v>
      </c>
      <c r="L247" s="8">
        <v>6.0</v>
      </c>
      <c r="M247" s="8"/>
      <c r="N247" s="8"/>
      <c r="O247" s="8" t="s">
        <v>710</v>
      </c>
      <c r="P247" s="8">
        <v>6.0</v>
      </c>
    </row>
    <row r="248">
      <c r="A248">
        <f>IFERROR(__xludf.DUMMYFUNCTION("""COMPUTED_VALUE"""),7.0)</f>
        <v>7</v>
      </c>
      <c r="B248">
        <f>IFERROR(__xludf.DUMMYFUNCTION("""COMPUTED_VALUE"""),30147.0)</f>
        <v>30147</v>
      </c>
      <c r="C248" t="str">
        <f>IFERROR(__xludf.DUMMYFUNCTION("""COMPUTED_VALUE"""),"RAMIREZ ESCOBAR, ISABELLA")</f>
        <v>RAMIREZ ESCOBAR, ISABELLA</v>
      </c>
      <c r="D248" t="str">
        <f>IFERROR(__xludf.DUMMYFUNCTION("""COMPUTED_VALUE"""),"Science 7")</f>
        <v>Science 7</v>
      </c>
      <c r="E248" s="31">
        <f>IFERROR(__xludf.DUMMYFUNCTION("""COMPUTED_VALUE"""),4.0)</f>
        <v>4</v>
      </c>
      <c r="F248" s="8">
        <v>1.0</v>
      </c>
      <c r="G248" s="8">
        <v>1.0</v>
      </c>
      <c r="H248" s="8">
        <v>1.0</v>
      </c>
      <c r="I248" s="8">
        <v>1.0</v>
      </c>
      <c r="J248" s="8">
        <v>1.0</v>
      </c>
      <c r="K248" s="8">
        <v>1.0</v>
      </c>
      <c r="L248" s="8">
        <v>6.0</v>
      </c>
      <c r="M248" s="8"/>
      <c r="N248" s="8"/>
      <c r="O248" s="8" t="s">
        <v>708</v>
      </c>
      <c r="P248" s="8">
        <v>6.0</v>
      </c>
    </row>
    <row r="249">
      <c r="A249">
        <f>IFERROR(__xludf.DUMMYFUNCTION("""COMPUTED_VALUE"""),7.0)</f>
        <v>7</v>
      </c>
      <c r="B249">
        <f>IFERROR(__xludf.DUMMYFUNCTION("""COMPUTED_VALUE"""),30098.0)</f>
        <v>30098</v>
      </c>
      <c r="C249" t="str">
        <f>IFERROR(__xludf.DUMMYFUNCTION("""COMPUTED_VALUE"""),"REINOSO TRUJILLO, SANTIAGO")</f>
        <v>REINOSO TRUJILLO, SANTIAGO</v>
      </c>
      <c r="D249" t="str">
        <f>IFERROR(__xludf.DUMMYFUNCTION("""COMPUTED_VALUE"""),"Science 7")</f>
        <v>Science 7</v>
      </c>
      <c r="E249" s="31">
        <f>IFERROR(__xludf.DUMMYFUNCTION("""COMPUTED_VALUE"""),2.0)</f>
        <v>2</v>
      </c>
      <c r="F249" s="8">
        <v>1.0</v>
      </c>
      <c r="G249" s="8">
        <v>1.0</v>
      </c>
      <c r="H249" s="8">
        <v>1.0</v>
      </c>
      <c r="I249" s="8">
        <v>1.0</v>
      </c>
      <c r="J249" s="8">
        <v>1.0</v>
      </c>
      <c r="K249" s="8">
        <v>1.0</v>
      </c>
      <c r="L249" s="8">
        <v>6.0</v>
      </c>
      <c r="M249" s="8"/>
      <c r="N249" s="8"/>
      <c r="O249" s="8" t="s">
        <v>709</v>
      </c>
      <c r="P249" s="8">
        <v>6.0</v>
      </c>
    </row>
    <row r="250">
      <c r="A250">
        <f>IFERROR(__xludf.DUMMYFUNCTION("""COMPUTED_VALUE"""),7.0)</f>
        <v>7</v>
      </c>
      <c r="B250">
        <f>IFERROR(__xludf.DUMMYFUNCTION("""COMPUTED_VALUE"""),30100.0)</f>
        <v>30100</v>
      </c>
      <c r="C250" t="str">
        <f>IFERROR(__xludf.DUMMYFUNCTION("""COMPUTED_VALUE"""),"RESTREPO QUINTERO, MARTIN")</f>
        <v>RESTREPO QUINTERO, MARTIN</v>
      </c>
      <c r="D250" t="str">
        <f>IFERROR(__xludf.DUMMYFUNCTION("""COMPUTED_VALUE"""),"Science 7A")</f>
        <v>Science 7A</v>
      </c>
      <c r="E250" s="31">
        <f>IFERROR(__xludf.DUMMYFUNCTION("""COMPUTED_VALUE"""),6.0)</f>
        <v>6</v>
      </c>
      <c r="F250" s="8">
        <v>1.0</v>
      </c>
      <c r="G250" s="8">
        <v>1.0</v>
      </c>
      <c r="H250" s="8">
        <v>1.0</v>
      </c>
      <c r="I250" s="8">
        <v>1.0</v>
      </c>
      <c r="J250" s="8">
        <v>1.0</v>
      </c>
      <c r="K250" s="8">
        <v>1.0</v>
      </c>
      <c r="L250" s="8">
        <v>6.0</v>
      </c>
      <c r="M250" s="8"/>
      <c r="N250" s="8"/>
      <c r="O250" s="8" t="s">
        <v>706</v>
      </c>
      <c r="P250" s="8" t="e">
        <v>#N/A</v>
      </c>
    </row>
    <row r="251">
      <c r="A251">
        <f>IFERROR(__xludf.DUMMYFUNCTION("""COMPUTED_VALUE"""),7.0)</f>
        <v>7</v>
      </c>
      <c r="B251">
        <f>IFERROR(__xludf.DUMMYFUNCTION("""COMPUTED_VALUE"""),30101.0)</f>
        <v>30101</v>
      </c>
      <c r="C251" t="str">
        <f>IFERROR(__xludf.DUMMYFUNCTION("""COMPUTED_VALUE"""),"RESTREPO RAMIREZ, MATIAS")</f>
        <v>RESTREPO RAMIREZ, MATIAS</v>
      </c>
      <c r="D251" t="str">
        <f>IFERROR(__xludf.DUMMYFUNCTION("""COMPUTED_VALUE"""),"Science 7")</f>
        <v>Science 7</v>
      </c>
      <c r="E251" s="31">
        <f>IFERROR(__xludf.DUMMYFUNCTION("""COMPUTED_VALUE"""),3.0)</f>
        <v>3</v>
      </c>
      <c r="F251" s="8">
        <v>1.0</v>
      </c>
      <c r="G251" s="8">
        <v>1.0</v>
      </c>
      <c r="H251" s="8">
        <v>1.0</v>
      </c>
      <c r="I251" s="8">
        <v>1.0</v>
      </c>
      <c r="J251" s="8">
        <v>1.0</v>
      </c>
      <c r="K251" s="8">
        <v>1.0</v>
      </c>
      <c r="L251" s="8">
        <v>6.0</v>
      </c>
      <c r="M251" s="8"/>
      <c r="N251" s="8"/>
      <c r="O251" s="8" t="s">
        <v>707</v>
      </c>
      <c r="P251" s="8">
        <v>6.0</v>
      </c>
    </row>
    <row r="252">
      <c r="A252">
        <f>IFERROR(__xludf.DUMMYFUNCTION("""COMPUTED_VALUE"""),7.0)</f>
        <v>7</v>
      </c>
      <c r="B252">
        <f>IFERROR(__xludf.DUMMYFUNCTION("""COMPUTED_VALUE"""),29102.0)</f>
        <v>29102</v>
      </c>
      <c r="C252" t="str">
        <f>IFERROR(__xludf.DUMMYFUNCTION("""COMPUTED_VALUE"""),"ROJAS SANCHEZ, SAMUEL")</f>
        <v>ROJAS SANCHEZ, SAMUEL</v>
      </c>
      <c r="D252" t="str">
        <f>IFERROR(__xludf.DUMMYFUNCTION("""COMPUTED_VALUE"""),"Science 7")</f>
        <v>Science 7</v>
      </c>
      <c r="E252" s="31">
        <f>IFERROR(__xludf.DUMMYFUNCTION("""COMPUTED_VALUE"""),2.0)</f>
        <v>2</v>
      </c>
      <c r="F252" s="8">
        <v>1.0</v>
      </c>
      <c r="G252" s="8">
        <v>1.0</v>
      </c>
      <c r="H252" s="8">
        <v>1.0</v>
      </c>
      <c r="I252" s="8">
        <v>1.0</v>
      </c>
      <c r="J252" s="8">
        <v>1.0</v>
      </c>
      <c r="K252" s="8">
        <v>1.0</v>
      </c>
      <c r="L252" s="8">
        <v>6.0</v>
      </c>
      <c r="M252" s="8"/>
      <c r="N252" s="8"/>
      <c r="O252" s="8" t="s">
        <v>709</v>
      </c>
      <c r="P252" s="8">
        <v>6.0</v>
      </c>
    </row>
    <row r="253">
      <c r="A253">
        <f>IFERROR(__xludf.DUMMYFUNCTION("""COMPUTED_VALUE"""),7.0)</f>
        <v>7</v>
      </c>
      <c r="B253">
        <f>IFERROR(__xludf.DUMMYFUNCTION("""COMPUTED_VALUE"""),30102.0)</f>
        <v>30102</v>
      </c>
      <c r="C253" t="str">
        <f>IFERROR(__xludf.DUMMYFUNCTION("""COMPUTED_VALUE"""),"RUIZ ROLDAN, LAURA")</f>
        <v>RUIZ ROLDAN, LAURA</v>
      </c>
      <c r="D253" t="str">
        <f>IFERROR(__xludf.DUMMYFUNCTION("""COMPUTED_VALUE"""),"Science 7")</f>
        <v>Science 7</v>
      </c>
      <c r="E253" s="31">
        <f>IFERROR(__xludf.DUMMYFUNCTION("""COMPUTED_VALUE"""),6.0)</f>
        <v>6</v>
      </c>
      <c r="F253" s="8">
        <v>1.0</v>
      </c>
      <c r="G253" s="8">
        <v>1.0</v>
      </c>
      <c r="H253" s="8">
        <v>1.0</v>
      </c>
      <c r="I253" s="8">
        <v>1.0</v>
      </c>
      <c r="J253" s="8">
        <v>1.0</v>
      </c>
      <c r="K253" s="8">
        <v>1.0</v>
      </c>
      <c r="L253" s="8">
        <v>6.0</v>
      </c>
      <c r="M253" s="8"/>
      <c r="N253" s="8"/>
      <c r="O253" s="8" t="s">
        <v>705</v>
      </c>
      <c r="P253" s="8">
        <v>6.0</v>
      </c>
    </row>
    <row r="254">
      <c r="A254">
        <f>IFERROR(__xludf.DUMMYFUNCTION("""COMPUTED_VALUE"""),7.0)</f>
        <v>7</v>
      </c>
      <c r="B254">
        <f>IFERROR(__xludf.DUMMYFUNCTION("""COMPUTED_VALUE"""),30103.0)</f>
        <v>30103</v>
      </c>
      <c r="C254" t="str">
        <f>IFERROR(__xludf.DUMMYFUNCTION("""COMPUTED_VALUE"""),"SANCHEZ GONZALEZ, EMILIANA")</f>
        <v>SANCHEZ GONZALEZ, EMILIANA</v>
      </c>
      <c r="D254" t="str">
        <f>IFERROR(__xludf.DUMMYFUNCTION("""COMPUTED_VALUE"""),"Science 7A")</f>
        <v>Science 7A</v>
      </c>
      <c r="E254" s="31">
        <f>IFERROR(__xludf.DUMMYFUNCTION("""COMPUTED_VALUE"""),6.0)</f>
        <v>6</v>
      </c>
      <c r="F254" s="8">
        <v>1.0</v>
      </c>
      <c r="G254" s="8">
        <v>1.0</v>
      </c>
      <c r="H254" s="8">
        <v>1.0</v>
      </c>
      <c r="I254" s="8">
        <v>1.0</v>
      </c>
      <c r="J254" s="8">
        <v>1.0</v>
      </c>
      <c r="K254" s="8">
        <v>1.0</v>
      </c>
      <c r="L254" s="8">
        <v>6.0</v>
      </c>
      <c r="M254" s="8"/>
      <c r="N254" s="8"/>
      <c r="O254" s="8" t="s">
        <v>706</v>
      </c>
      <c r="P254" s="8" t="e">
        <v>#N/A</v>
      </c>
    </row>
    <row r="255">
      <c r="A255">
        <f>IFERROR(__xludf.DUMMYFUNCTION("""COMPUTED_VALUE"""),7.0)</f>
        <v>7</v>
      </c>
      <c r="B255">
        <f>IFERROR(__xludf.DUMMYFUNCTION("""COMPUTED_VALUE"""),30104.0)</f>
        <v>30104</v>
      </c>
      <c r="C255" t="str">
        <f>IFERROR(__xludf.DUMMYFUNCTION("""COMPUTED_VALUE"""),"SIERRA VILLA, RAQUEL")</f>
        <v>SIERRA VILLA, RAQUEL</v>
      </c>
      <c r="D255" t="str">
        <f>IFERROR(__xludf.DUMMYFUNCTION("""COMPUTED_VALUE"""),"Science 7")</f>
        <v>Science 7</v>
      </c>
      <c r="E255" s="31">
        <f>IFERROR(__xludf.DUMMYFUNCTION("""COMPUTED_VALUE"""),3.0)</f>
        <v>3</v>
      </c>
      <c r="F255" s="8">
        <v>1.0</v>
      </c>
      <c r="G255" s="8">
        <v>1.0</v>
      </c>
      <c r="H255" s="8">
        <v>1.0</v>
      </c>
      <c r="I255" s="8">
        <v>1.0</v>
      </c>
      <c r="J255" s="8">
        <v>1.0</v>
      </c>
      <c r="K255" s="8">
        <v>1.0</v>
      </c>
      <c r="L255" s="8">
        <v>6.0</v>
      </c>
      <c r="M255" s="8"/>
      <c r="N255" s="8"/>
      <c r="O255" s="8" t="s">
        <v>707</v>
      </c>
      <c r="P255" s="8">
        <v>6.0</v>
      </c>
    </row>
    <row r="256">
      <c r="A256">
        <f>IFERROR(__xludf.DUMMYFUNCTION("""COMPUTED_VALUE"""),7.0)</f>
        <v>7</v>
      </c>
      <c r="B256">
        <f>IFERROR(__xludf.DUMMYFUNCTION("""COMPUTED_VALUE"""),30105.0)</f>
        <v>30105</v>
      </c>
      <c r="C256" t="str">
        <f>IFERROR(__xludf.DUMMYFUNCTION("""COMPUTED_VALUE"""),"TOBON RESTREPO, PEDRO")</f>
        <v>TOBON RESTREPO, PEDRO</v>
      </c>
      <c r="D256" t="str">
        <f>IFERROR(__xludf.DUMMYFUNCTION("""COMPUTED_VALUE"""),"Science 7")</f>
        <v>Science 7</v>
      </c>
      <c r="E256" s="31">
        <f>IFERROR(__xludf.DUMMYFUNCTION("""COMPUTED_VALUE"""),6.0)</f>
        <v>6</v>
      </c>
      <c r="F256" s="8">
        <v>1.0</v>
      </c>
      <c r="G256" s="8">
        <v>1.0</v>
      </c>
      <c r="H256" s="8">
        <v>1.0</v>
      </c>
      <c r="I256" s="8">
        <v>1.0</v>
      </c>
      <c r="J256" s="8">
        <v>1.0</v>
      </c>
      <c r="K256" s="8">
        <v>1.0</v>
      </c>
      <c r="L256" s="8">
        <v>6.0</v>
      </c>
      <c r="M256" s="8"/>
      <c r="N256" s="8"/>
      <c r="O256" s="8" t="s">
        <v>705</v>
      </c>
      <c r="P256" s="8">
        <v>6.0</v>
      </c>
    </row>
    <row r="257">
      <c r="A257">
        <f>IFERROR(__xludf.DUMMYFUNCTION("""COMPUTED_VALUE"""),7.0)</f>
        <v>7</v>
      </c>
      <c r="B257">
        <f>IFERROR(__xludf.DUMMYFUNCTION("""COMPUTED_VALUE"""),30106.0)</f>
        <v>30106</v>
      </c>
      <c r="C257" t="str">
        <f>IFERROR(__xludf.DUMMYFUNCTION("""COMPUTED_VALUE"""),"TORO BOTERO, PEDRO")</f>
        <v>TORO BOTERO, PEDRO</v>
      </c>
      <c r="D257" t="str">
        <f>IFERROR(__xludf.DUMMYFUNCTION("""COMPUTED_VALUE"""),"Science 7")</f>
        <v>Science 7</v>
      </c>
      <c r="E257" s="31">
        <f>IFERROR(__xludf.DUMMYFUNCTION("""COMPUTED_VALUE"""),2.0)</f>
        <v>2</v>
      </c>
      <c r="F257" s="8">
        <v>1.0</v>
      </c>
      <c r="G257" s="8">
        <v>1.0</v>
      </c>
      <c r="H257" s="8">
        <v>1.0</v>
      </c>
      <c r="I257" s="8">
        <v>1.0</v>
      </c>
      <c r="J257" s="8">
        <v>1.0</v>
      </c>
      <c r="K257" s="8">
        <v>1.0</v>
      </c>
      <c r="L257" s="8">
        <v>6.0</v>
      </c>
      <c r="M257" s="8"/>
      <c r="N257" s="8"/>
      <c r="O257" s="8" t="s">
        <v>709</v>
      </c>
      <c r="P257" s="8">
        <v>6.0</v>
      </c>
    </row>
    <row r="258">
      <c r="A258">
        <f>IFERROR(__xludf.DUMMYFUNCTION("""COMPUTED_VALUE"""),7.0)</f>
        <v>7</v>
      </c>
      <c r="B258">
        <f>IFERROR(__xludf.DUMMYFUNCTION("""COMPUTED_VALUE"""),30107.0)</f>
        <v>30107</v>
      </c>
      <c r="C258" t="str">
        <f>IFERROR(__xludf.DUMMYFUNCTION("""COMPUTED_VALUE"""),"TORRES POSADA, NICOLAS")</f>
        <v>TORRES POSADA, NICOLAS</v>
      </c>
      <c r="D258" t="str">
        <f>IFERROR(__xludf.DUMMYFUNCTION("""COMPUTED_VALUE"""),"Science 7")</f>
        <v>Science 7</v>
      </c>
      <c r="E258" s="31">
        <f>IFERROR(__xludf.DUMMYFUNCTION("""COMPUTED_VALUE"""),5.0)</f>
        <v>5</v>
      </c>
      <c r="F258" s="8">
        <v>1.0</v>
      </c>
      <c r="G258" s="8">
        <v>1.0</v>
      </c>
      <c r="H258" s="8">
        <v>1.0</v>
      </c>
      <c r="I258" s="8">
        <v>1.0</v>
      </c>
      <c r="J258" s="8">
        <v>1.0</v>
      </c>
      <c r="K258" s="8">
        <v>1.0</v>
      </c>
      <c r="L258" s="8">
        <v>6.0</v>
      </c>
      <c r="M258" s="8"/>
      <c r="N258" s="8"/>
      <c r="O258" s="8" t="s">
        <v>710</v>
      </c>
      <c r="P258" s="8">
        <v>6.0</v>
      </c>
    </row>
    <row r="259">
      <c r="A259">
        <f>IFERROR(__xludf.DUMMYFUNCTION("""COMPUTED_VALUE"""),7.0)</f>
        <v>7</v>
      </c>
      <c r="B259">
        <f>IFERROR(__xludf.DUMMYFUNCTION("""COMPUTED_VALUE"""),30109.0)</f>
        <v>30109</v>
      </c>
      <c r="C259" t="str">
        <f>IFERROR(__xludf.DUMMYFUNCTION("""COMPUTED_VALUE"""),"TRUJILLO RENDON, CAMILA")</f>
        <v>TRUJILLO RENDON, CAMILA</v>
      </c>
      <c r="D259" t="str">
        <f>IFERROR(__xludf.DUMMYFUNCTION("""COMPUTED_VALUE"""),"Science 7")</f>
        <v>Science 7</v>
      </c>
      <c r="E259" s="31">
        <f>IFERROR(__xludf.DUMMYFUNCTION("""COMPUTED_VALUE"""),4.0)</f>
        <v>4</v>
      </c>
      <c r="F259" s="8">
        <v>1.0</v>
      </c>
      <c r="G259" s="8">
        <v>1.0</v>
      </c>
      <c r="H259" s="8">
        <v>1.0</v>
      </c>
      <c r="I259" s="8">
        <v>1.0</v>
      </c>
      <c r="J259" s="8">
        <v>1.0</v>
      </c>
      <c r="K259" s="8">
        <v>1.0</v>
      </c>
      <c r="L259" s="8">
        <v>6.0</v>
      </c>
      <c r="M259" s="8"/>
      <c r="N259" s="8"/>
      <c r="O259" s="8" t="s">
        <v>708</v>
      </c>
      <c r="P259" s="8">
        <v>6.0</v>
      </c>
    </row>
    <row r="260">
      <c r="A260">
        <f>IFERROR(__xludf.DUMMYFUNCTION("""COMPUTED_VALUE"""),7.0)</f>
        <v>7</v>
      </c>
      <c r="B260">
        <f>IFERROR(__xludf.DUMMYFUNCTION("""COMPUTED_VALUE"""),30111.0)</f>
        <v>30111</v>
      </c>
      <c r="C260" t="str">
        <f>IFERROR(__xludf.DUMMYFUNCTION("""COMPUTED_VALUE"""),"URIBE MUÑOZ, ANDREA")</f>
        <v>URIBE MUÑOZ, ANDREA</v>
      </c>
      <c r="D260" t="str">
        <f>IFERROR(__xludf.DUMMYFUNCTION("""COMPUTED_VALUE"""),"Science 7A")</f>
        <v>Science 7A</v>
      </c>
      <c r="E260" s="31">
        <f>IFERROR(__xludf.DUMMYFUNCTION("""COMPUTED_VALUE"""),6.0)</f>
        <v>6</v>
      </c>
      <c r="F260" s="8">
        <v>1.0</v>
      </c>
      <c r="G260" s="8">
        <v>1.0</v>
      </c>
      <c r="H260" s="8">
        <v>1.0</v>
      </c>
      <c r="I260" s="8">
        <v>1.0</v>
      </c>
      <c r="J260" s="8">
        <v>1.0</v>
      </c>
      <c r="K260" s="8">
        <v>1.0</v>
      </c>
      <c r="L260" s="8">
        <v>6.0</v>
      </c>
      <c r="M260" s="8"/>
      <c r="N260" s="8"/>
      <c r="O260" s="8" t="s">
        <v>706</v>
      </c>
      <c r="P260" s="8" t="e">
        <v>#N/A</v>
      </c>
    </row>
    <row r="261">
      <c r="A261">
        <f>IFERROR(__xludf.DUMMYFUNCTION("""COMPUTED_VALUE"""),7.0)</f>
        <v>7</v>
      </c>
      <c r="B261">
        <f>IFERROR(__xludf.DUMMYFUNCTION("""COMPUTED_VALUE"""),30112.0)</f>
        <v>30112</v>
      </c>
      <c r="C261" t="str">
        <f>IFERROR(__xludf.DUMMYFUNCTION("""COMPUTED_VALUE"""),"URIBE MUÑOZ, VALENTINA")</f>
        <v>URIBE MUÑOZ, VALENTINA</v>
      </c>
      <c r="D261" t="str">
        <f>IFERROR(__xludf.DUMMYFUNCTION("""COMPUTED_VALUE"""),"Science 7")</f>
        <v>Science 7</v>
      </c>
      <c r="E261" s="31">
        <f>IFERROR(__xludf.DUMMYFUNCTION("""COMPUTED_VALUE"""),5.0)</f>
        <v>5</v>
      </c>
      <c r="F261" s="8">
        <v>1.0</v>
      </c>
      <c r="G261" s="8">
        <v>1.0</v>
      </c>
      <c r="H261" s="8">
        <v>1.0</v>
      </c>
      <c r="I261" s="8">
        <v>1.0</v>
      </c>
      <c r="J261" s="8">
        <v>1.0</v>
      </c>
      <c r="K261" s="8">
        <v>1.0</v>
      </c>
      <c r="L261" s="8">
        <v>6.0</v>
      </c>
      <c r="M261" s="8"/>
      <c r="N261" s="8"/>
      <c r="O261" s="8" t="s">
        <v>710</v>
      </c>
      <c r="P261" s="8">
        <v>6.0</v>
      </c>
    </row>
    <row r="262">
      <c r="A262">
        <f>IFERROR(__xludf.DUMMYFUNCTION("""COMPUTED_VALUE"""),7.0)</f>
        <v>7</v>
      </c>
      <c r="B262">
        <f>IFERROR(__xludf.DUMMYFUNCTION("""COMPUTED_VALUE"""),30114.0)</f>
        <v>30114</v>
      </c>
      <c r="C262" t="str">
        <f>IFERROR(__xludf.DUMMYFUNCTION("""COMPUTED_VALUE"""),"URIBE RUIZ, VICENTE")</f>
        <v>URIBE RUIZ, VICENTE</v>
      </c>
      <c r="D262" t="str">
        <f>IFERROR(__xludf.DUMMYFUNCTION("""COMPUTED_VALUE"""),"Science 7")</f>
        <v>Science 7</v>
      </c>
      <c r="E262" s="31">
        <f>IFERROR(__xludf.DUMMYFUNCTION("""COMPUTED_VALUE"""),3.0)</f>
        <v>3</v>
      </c>
      <c r="F262" s="8">
        <v>1.0</v>
      </c>
      <c r="G262" s="8">
        <v>1.0</v>
      </c>
      <c r="H262" s="8">
        <v>1.0</v>
      </c>
      <c r="I262" s="8">
        <v>1.0</v>
      </c>
      <c r="J262" s="8">
        <v>1.0</v>
      </c>
      <c r="K262" s="8">
        <v>1.0</v>
      </c>
      <c r="L262" s="8">
        <v>6.0</v>
      </c>
      <c r="M262" s="8"/>
      <c r="N262" s="8"/>
      <c r="O262" s="8" t="s">
        <v>707</v>
      </c>
      <c r="P262" s="8">
        <v>6.0</v>
      </c>
    </row>
    <row r="263">
      <c r="A263">
        <f>IFERROR(__xludf.DUMMYFUNCTION("""COMPUTED_VALUE"""),7.0)</f>
        <v>7</v>
      </c>
      <c r="B263">
        <f>IFERROR(__xludf.DUMMYFUNCTION("""COMPUTED_VALUE"""),30115.0)</f>
        <v>30115</v>
      </c>
      <c r="C263" t="str">
        <f>IFERROR(__xludf.DUMMYFUNCTION("""COMPUTED_VALUE"""),"URIBE VELASQUEZ, AGUSTIN")</f>
        <v>URIBE VELASQUEZ, AGUSTIN</v>
      </c>
      <c r="D263" t="str">
        <f>IFERROR(__xludf.DUMMYFUNCTION("""COMPUTED_VALUE"""),"Science 7")</f>
        <v>Science 7</v>
      </c>
      <c r="E263" s="31">
        <f>IFERROR(__xludf.DUMMYFUNCTION("""COMPUTED_VALUE"""),4.0)</f>
        <v>4</v>
      </c>
      <c r="F263" s="8">
        <v>1.0</v>
      </c>
      <c r="G263" s="8">
        <v>1.0</v>
      </c>
      <c r="H263" s="8">
        <v>1.0</v>
      </c>
      <c r="I263" s="8">
        <v>1.0</v>
      </c>
      <c r="J263" s="8">
        <v>1.0</v>
      </c>
      <c r="K263" s="8">
        <v>1.0</v>
      </c>
      <c r="L263" s="8">
        <v>6.0</v>
      </c>
      <c r="M263" s="8"/>
      <c r="N263" s="8"/>
      <c r="O263" s="8" t="s">
        <v>708</v>
      </c>
      <c r="P263" s="8">
        <v>6.0</v>
      </c>
    </row>
    <row r="264">
      <c r="A264">
        <f>IFERROR(__xludf.DUMMYFUNCTION("""COMPUTED_VALUE"""),7.0)</f>
        <v>7</v>
      </c>
      <c r="B264">
        <f>IFERROR(__xludf.DUMMYFUNCTION("""COMPUTED_VALUE"""),30117.0)</f>
        <v>30117</v>
      </c>
      <c r="C264" t="str">
        <f>IFERROR(__xludf.DUMMYFUNCTION("""COMPUTED_VALUE"""),"VASQUEZ ECHEVERRI, MARIANA")</f>
        <v>VASQUEZ ECHEVERRI, MARIANA</v>
      </c>
      <c r="D264" t="str">
        <f>IFERROR(__xludf.DUMMYFUNCTION("""COMPUTED_VALUE"""),"Science 7")</f>
        <v>Science 7</v>
      </c>
      <c r="E264" s="31">
        <f>IFERROR(__xludf.DUMMYFUNCTION("""COMPUTED_VALUE"""),6.0)</f>
        <v>6</v>
      </c>
      <c r="F264" s="8">
        <v>1.0</v>
      </c>
      <c r="G264" s="8">
        <v>1.0</v>
      </c>
      <c r="H264" s="8">
        <v>1.0</v>
      </c>
      <c r="I264" s="8">
        <v>1.0</v>
      </c>
      <c r="J264" s="8">
        <v>1.0</v>
      </c>
      <c r="K264" s="8">
        <v>1.0</v>
      </c>
      <c r="L264" s="8">
        <v>6.0</v>
      </c>
      <c r="M264" s="8"/>
      <c r="N264" s="8"/>
      <c r="O264" s="8" t="s">
        <v>705</v>
      </c>
      <c r="P264" s="8">
        <v>6.0</v>
      </c>
    </row>
    <row r="265">
      <c r="A265">
        <f>IFERROR(__xludf.DUMMYFUNCTION("""COMPUTED_VALUE"""),7.0)</f>
        <v>7</v>
      </c>
      <c r="B265">
        <f>IFERROR(__xludf.DUMMYFUNCTION("""COMPUTED_VALUE"""),30119.0)</f>
        <v>30119</v>
      </c>
      <c r="C265" t="str">
        <f>IFERROR(__xludf.DUMMYFUNCTION("""COMPUTED_VALUE"""),"VASQUEZ MUÑOZ, LUCIA")</f>
        <v>VASQUEZ MUÑOZ, LUCIA</v>
      </c>
      <c r="D265" t="str">
        <f>IFERROR(__xludf.DUMMYFUNCTION("""COMPUTED_VALUE"""),"Science 7A")</f>
        <v>Science 7A</v>
      </c>
      <c r="E265" s="31">
        <f>IFERROR(__xludf.DUMMYFUNCTION("""COMPUTED_VALUE"""),6.0)</f>
        <v>6</v>
      </c>
      <c r="F265" s="8">
        <v>1.0</v>
      </c>
      <c r="G265" s="8">
        <v>1.0</v>
      </c>
      <c r="H265" s="8">
        <v>1.0</v>
      </c>
      <c r="I265" s="8">
        <v>1.0</v>
      </c>
      <c r="J265" s="8">
        <v>1.0</v>
      </c>
      <c r="K265" s="8">
        <v>1.0</v>
      </c>
      <c r="L265" s="8">
        <v>6.0</v>
      </c>
      <c r="M265" s="8"/>
      <c r="N265" s="8"/>
      <c r="O265" s="8" t="s">
        <v>706</v>
      </c>
      <c r="P265" s="8" t="e">
        <v>#N/A</v>
      </c>
    </row>
    <row r="266">
      <c r="A266">
        <f>IFERROR(__xludf.DUMMYFUNCTION("""COMPUTED_VALUE"""),7.0)</f>
        <v>7</v>
      </c>
      <c r="B266">
        <f>IFERROR(__xludf.DUMMYFUNCTION("""COMPUTED_VALUE"""),30162.0)</f>
        <v>30162</v>
      </c>
      <c r="C266" t="str">
        <f>IFERROR(__xludf.DUMMYFUNCTION("""COMPUTED_VALUE"""),"VASQUEZ TAMAYO, ISABEL")</f>
        <v>VASQUEZ TAMAYO, ISABEL</v>
      </c>
      <c r="D266" t="str">
        <f>IFERROR(__xludf.DUMMYFUNCTION("""COMPUTED_VALUE"""),"Science 7")</f>
        <v>Science 7</v>
      </c>
      <c r="E266" s="31">
        <f>IFERROR(__xludf.DUMMYFUNCTION("""COMPUTED_VALUE"""),5.0)</f>
        <v>5</v>
      </c>
      <c r="F266" s="8">
        <v>1.0</v>
      </c>
      <c r="G266" s="8">
        <v>1.0</v>
      </c>
      <c r="H266" s="8">
        <v>1.0</v>
      </c>
      <c r="I266" s="8">
        <v>1.0</v>
      </c>
      <c r="J266" s="8">
        <v>1.0</v>
      </c>
      <c r="K266" s="8">
        <v>1.0</v>
      </c>
      <c r="L266" s="8">
        <v>6.0</v>
      </c>
      <c r="M266" s="8"/>
      <c r="N266" s="8"/>
      <c r="O266" s="8" t="s">
        <v>710</v>
      </c>
      <c r="P266" s="8">
        <v>6.0</v>
      </c>
    </row>
    <row r="267">
      <c r="A267">
        <f>IFERROR(__xludf.DUMMYFUNCTION("""COMPUTED_VALUE"""),7.0)</f>
        <v>7</v>
      </c>
      <c r="B267">
        <f>IFERROR(__xludf.DUMMYFUNCTION("""COMPUTED_VALUE"""),30163.0)</f>
        <v>30163</v>
      </c>
      <c r="C267" t="str">
        <f>IFERROR(__xludf.DUMMYFUNCTION("""COMPUTED_VALUE"""),"VASQUEZ TAMAYO, PABLO")</f>
        <v>VASQUEZ TAMAYO, PABLO</v>
      </c>
      <c r="D267" t="str">
        <f>IFERROR(__xludf.DUMMYFUNCTION("""COMPUTED_VALUE"""),"Science 7")</f>
        <v>Science 7</v>
      </c>
      <c r="E267" s="31">
        <f>IFERROR(__xludf.DUMMYFUNCTION("""COMPUTED_VALUE"""),2.0)</f>
        <v>2</v>
      </c>
      <c r="F267" s="8">
        <v>1.0</v>
      </c>
      <c r="G267" s="8">
        <v>1.0</v>
      </c>
      <c r="H267" s="8">
        <v>1.0</v>
      </c>
      <c r="I267" s="8">
        <v>1.0</v>
      </c>
      <c r="J267" s="8">
        <v>1.0</v>
      </c>
      <c r="K267" s="8">
        <v>1.0</v>
      </c>
      <c r="L267" s="8">
        <v>6.0</v>
      </c>
      <c r="M267" s="8"/>
      <c r="N267" s="8"/>
      <c r="O267" s="8" t="s">
        <v>709</v>
      </c>
      <c r="P267" s="8">
        <v>6.0</v>
      </c>
    </row>
    <row r="268">
      <c r="A268">
        <f>IFERROR(__xludf.DUMMYFUNCTION("""COMPUTED_VALUE"""),7.0)</f>
        <v>7</v>
      </c>
      <c r="B268">
        <f>IFERROR(__xludf.DUMMYFUNCTION("""COMPUTED_VALUE"""),30164.0)</f>
        <v>30164</v>
      </c>
      <c r="C268" t="str">
        <f>IFERROR(__xludf.DUMMYFUNCTION("""COMPUTED_VALUE"""),"VASQUEZ TAMAYO, SAMUEL")</f>
        <v>VASQUEZ TAMAYO, SAMUEL</v>
      </c>
      <c r="D268" t="str">
        <f>IFERROR(__xludf.DUMMYFUNCTION("""COMPUTED_VALUE"""),"Science 7")</f>
        <v>Science 7</v>
      </c>
      <c r="E268" s="31">
        <f>IFERROR(__xludf.DUMMYFUNCTION("""COMPUTED_VALUE"""),3.0)</f>
        <v>3</v>
      </c>
      <c r="F268" s="8">
        <v>1.0</v>
      </c>
      <c r="G268" s="8">
        <v>1.0</v>
      </c>
      <c r="H268" s="8">
        <v>1.0</v>
      </c>
      <c r="I268" s="8">
        <v>1.0</v>
      </c>
      <c r="J268" s="8">
        <v>1.0</v>
      </c>
      <c r="K268" s="8">
        <v>1.0</v>
      </c>
      <c r="L268" s="8">
        <v>6.0</v>
      </c>
      <c r="M268" s="8"/>
      <c r="N268" s="8"/>
      <c r="O268" s="8" t="s">
        <v>707</v>
      </c>
      <c r="P268" s="8">
        <v>6.0</v>
      </c>
    </row>
    <row r="269">
      <c r="A269">
        <f>IFERROR(__xludf.DUMMYFUNCTION("""COMPUTED_VALUE"""),7.0)</f>
        <v>7</v>
      </c>
      <c r="B269">
        <f>IFERROR(__xludf.DUMMYFUNCTION("""COMPUTED_VALUE"""),30120.0)</f>
        <v>30120</v>
      </c>
      <c r="C269" t="str">
        <f>IFERROR(__xludf.DUMMYFUNCTION("""COMPUTED_VALUE"""),"VELASQUEZ URIBE, JUAN SEBASTIAN")</f>
        <v>VELASQUEZ URIBE, JUAN SEBASTIAN</v>
      </c>
      <c r="D269" t="str">
        <f>IFERROR(__xludf.DUMMYFUNCTION("""COMPUTED_VALUE"""),"Science 7")</f>
        <v>Science 7</v>
      </c>
      <c r="E269" s="31">
        <f>IFERROR(__xludf.DUMMYFUNCTION("""COMPUTED_VALUE"""),4.0)</f>
        <v>4</v>
      </c>
      <c r="F269" s="8">
        <v>1.0</v>
      </c>
      <c r="G269" s="8">
        <v>1.0</v>
      </c>
      <c r="H269" s="8">
        <v>1.0</v>
      </c>
      <c r="I269" s="8">
        <v>1.0</v>
      </c>
      <c r="J269" s="8">
        <v>1.0</v>
      </c>
      <c r="K269" s="8">
        <v>1.0</v>
      </c>
      <c r="L269" s="8">
        <v>6.0</v>
      </c>
      <c r="M269" s="8"/>
      <c r="N269" s="8"/>
      <c r="O269" s="8" t="s">
        <v>708</v>
      </c>
      <c r="P269" s="8">
        <v>6.0</v>
      </c>
    </row>
    <row r="270">
      <c r="A270">
        <f>IFERROR(__xludf.DUMMYFUNCTION("""COMPUTED_VALUE"""),7.0)</f>
        <v>7</v>
      </c>
      <c r="B270">
        <f>IFERROR(__xludf.DUMMYFUNCTION("""COMPUTED_VALUE"""),30121.0)</f>
        <v>30121</v>
      </c>
      <c r="C270" t="str">
        <f>IFERROR(__xludf.DUMMYFUNCTION("""COMPUTED_VALUE"""),"VELEZ ECHANDIA, DANIEL")</f>
        <v>VELEZ ECHANDIA, DANIEL</v>
      </c>
      <c r="D270" t="str">
        <f>IFERROR(__xludf.DUMMYFUNCTION("""COMPUTED_VALUE"""),"Science 7")</f>
        <v>Science 7</v>
      </c>
      <c r="E270" s="31">
        <f>IFERROR(__xludf.DUMMYFUNCTION("""COMPUTED_VALUE"""),6.0)</f>
        <v>6</v>
      </c>
      <c r="F270" s="8">
        <v>1.0</v>
      </c>
      <c r="G270" s="8">
        <v>1.0</v>
      </c>
      <c r="H270" s="8">
        <v>1.0</v>
      </c>
      <c r="I270" s="8">
        <v>1.0</v>
      </c>
      <c r="J270" s="8">
        <v>1.0</v>
      </c>
      <c r="K270" s="8">
        <v>1.0</v>
      </c>
      <c r="L270" s="8">
        <v>6.0</v>
      </c>
      <c r="M270" s="8"/>
      <c r="N270" s="8"/>
      <c r="O270" s="8" t="s">
        <v>705</v>
      </c>
      <c r="P270" s="8">
        <v>6.0</v>
      </c>
    </row>
    <row r="271">
      <c r="A271">
        <f>IFERROR(__xludf.DUMMYFUNCTION("""COMPUTED_VALUE"""),7.0)</f>
        <v>7</v>
      </c>
      <c r="B271">
        <f>IFERROR(__xludf.DUMMYFUNCTION("""COMPUTED_VALUE"""),30122.0)</f>
        <v>30122</v>
      </c>
      <c r="C271" t="str">
        <f>IFERROR(__xludf.DUMMYFUNCTION("""COMPUTED_VALUE"""),"VILLEGAS MEJIA, MARTIN")</f>
        <v>VILLEGAS MEJIA, MARTIN</v>
      </c>
      <c r="D271" t="str">
        <f>IFERROR(__xludf.DUMMYFUNCTION("""COMPUTED_VALUE"""),"Science 7")</f>
        <v>Science 7</v>
      </c>
      <c r="E271" s="31">
        <f>IFERROR(__xludf.DUMMYFUNCTION("""COMPUTED_VALUE"""),2.0)</f>
        <v>2</v>
      </c>
      <c r="F271" s="8">
        <v>1.0</v>
      </c>
      <c r="G271" s="8">
        <v>1.0</v>
      </c>
      <c r="H271" s="8">
        <v>1.0</v>
      </c>
      <c r="I271" s="8">
        <v>1.0</v>
      </c>
      <c r="J271" s="8">
        <v>1.0</v>
      </c>
      <c r="K271" s="8">
        <v>1.0</v>
      </c>
      <c r="L271" s="8">
        <v>6.0</v>
      </c>
      <c r="M271" s="8"/>
      <c r="N271" s="8"/>
      <c r="O271" s="8" t="s">
        <v>709</v>
      </c>
      <c r="P271" s="8">
        <v>6.0</v>
      </c>
    </row>
    <row r="272">
      <c r="A272">
        <f>IFERROR(__xludf.DUMMYFUNCTION("""COMPUTED_VALUE"""),7.0)</f>
        <v>7</v>
      </c>
      <c r="B272">
        <f>IFERROR(__xludf.DUMMYFUNCTION("""COMPUTED_VALUE"""),30123.0)</f>
        <v>30123</v>
      </c>
      <c r="C272" t="str">
        <f>IFERROR(__xludf.DUMMYFUNCTION("""COMPUTED_VALUE"""),"YACAMAN RESTREPO, TOMAS")</f>
        <v>YACAMAN RESTREPO, TOMAS</v>
      </c>
      <c r="D272" t="str">
        <f>IFERROR(__xludf.DUMMYFUNCTION("""COMPUTED_VALUE"""),"Science 7")</f>
        <v>Science 7</v>
      </c>
      <c r="E272" s="31">
        <f>IFERROR(__xludf.DUMMYFUNCTION("""COMPUTED_VALUE"""),5.0)</f>
        <v>5</v>
      </c>
      <c r="F272" s="8">
        <v>1.0</v>
      </c>
      <c r="G272" s="8">
        <v>1.0</v>
      </c>
      <c r="H272" s="8">
        <v>1.0</v>
      </c>
      <c r="I272" s="8">
        <v>1.0</v>
      </c>
      <c r="J272" s="8">
        <v>1.0</v>
      </c>
      <c r="K272" s="8">
        <v>1.0</v>
      </c>
      <c r="L272" s="8">
        <v>6.0</v>
      </c>
      <c r="M272" s="8"/>
      <c r="N272" s="8"/>
      <c r="O272" s="8" t="s">
        <v>710</v>
      </c>
      <c r="P272" s="8">
        <v>6.0</v>
      </c>
    </row>
    <row r="273">
      <c r="A273">
        <f>IFERROR(__xludf.DUMMYFUNCTION("""COMPUTED_VALUE"""),7.0)</f>
        <v>7</v>
      </c>
      <c r="B273">
        <f>IFERROR(__xludf.DUMMYFUNCTION("""COMPUTED_VALUE"""),30124.0)</f>
        <v>30124</v>
      </c>
      <c r="C273" t="str">
        <f>IFERROR(__xludf.DUMMYFUNCTION("""COMPUTED_VALUE"""),"YEPES RAMIREZ, LUCIANA")</f>
        <v>YEPES RAMIREZ, LUCIANA</v>
      </c>
      <c r="D273" t="str">
        <f>IFERROR(__xludf.DUMMYFUNCTION("""COMPUTED_VALUE"""),"Science 7A")</f>
        <v>Science 7A</v>
      </c>
      <c r="E273" s="31">
        <f>IFERROR(__xludf.DUMMYFUNCTION("""COMPUTED_VALUE"""),6.0)</f>
        <v>6</v>
      </c>
      <c r="F273" s="8">
        <v>1.0</v>
      </c>
      <c r="G273" s="8">
        <v>1.0</v>
      </c>
      <c r="H273" s="8">
        <v>1.0</v>
      </c>
      <c r="I273" s="8">
        <v>1.0</v>
      </c>
      <c r="J273" s="8">
        <v>1.0</v>
      </c>
      <c r="K273" s="8">
        <v>1.0</v>
      </c>
      <c r="L273" s="8">
        <v>6.0</v>
      </c>
      <c r="M273" s="8"/>
      <c r="N273" s="8"/>
      <c r="O273" s="8" t="s">
        <v>706</v>
      </c>
      <c r="P273" s="8" t="e">
        <v>#N/A</v>
      </c>
    </row>
    <row r="274">
      <c r="A274">
        <f>IFERROR(__xludf.DUMMYFUNCTION("""COMPUTED_VALUE"""),7.0)</f>
        <v>7</v>
      </c>
      <c r="B274">
        <f>IFERROR(__xludf.DUMMYFUNCTION("""COMPUTED_VALUE"""),30125.0)</f>
        <v>30125</v>
      </c>
      <c r="C274" t="str">
        <f>IFERROR(__xludf.DUMMYFUNCTION("""COMPUTED_VALUE"""),"ZAPATA URIBE, MARTINA")</f>
        <v>ZAPATA URIBE, MARTINA</v>
      </c>
      <c r="D274" t="str">
        <f>IFERROR(__xludf.DUMMYFUNCTION("""COMPUTED_VALUE"""),"Science 7")</f>
        <v>Science 7</v>
      </c>
      <c r="E274" s="31">
        <f>IFERROR(__xludf.DUMMYFUNCTION("""COMPUTED_VALUE"""),3.0)</f>
        <v>3</v>
      </c>
      <c r="F274" s="8">
        <v>1.0</v>
      </c>
      <c r="G274" s="8">
        <v>1.0</v>
      </c>
      <c r="H274" s="8">
        <v>1.0</v>
      </c>
      <c r="I274" s="8">
        <v>1.0</v>
      </c>
      <c r="J274" s="8">
        <v>1.0</v>
      </c>
      <c r="K274" s="8">
        <v>1.0</v>
      </c>
      <c r="L274" s="8">
        <v>6.0</v>
      </c>
      <c r="M274" s="8"/>
      <c r="N274" s="8"/>
      <c r="O274" s="8" t="s">
        <v>707</v>
      </c>
      <c r="P274" s="8">
        <v>6.0</v>
      </c>
    </row>
    <row r="275">
      <c r="A275">
        <f>IFERROR(__xludf.DUMMYFUNCTION("""COMPUTED_VALUE"""),7.0)</f>
        <v>7</v>
      </c>
      <c r="B275">
        <f>IFERROR(__xludf.DUMMYFUNCTION("""COMPUTED_VALUE"""),30126.0)</f>
        <v>30126</v>
      </c>
      <c r="C275" t="str">
        <f>IFERROR(__xludf.DUMMYFUNCTION("""COMPUTED_VALUE"""),"ZULOAGA AYUB, NICOLAS")</f>
        <v>ZULOAGA AYUB, NICOLAS</v>
      </c>
      <c r="D275" t="str">
        <f>IFERROR(__xludf.DUMMYFUNCTION("""COMPUTED_VALUE"""),"Science 7")</f>
        <v>Science 7</v>
      </c>
      <c r="E275" s="31">
        <f>IFERROR(__xludf.DUMMYFUNCTION("""COMPUTED_VALUE"""),4.0)</f>
        <v>4</v>
      </c>
      <c r="F275" s="8">
        <v>1.0</v>
      </c>
      <c r="G275" s="8">
        <v>1.0</v>
      </c>
      <c r="H275" s="8">
        <v>1.0</v>
      </c>
      <c r="I275" s="8">
        <v>1.0</v>
      </c>
      <c r="J275" s="8">
        <v>1.0</v>
      </c>
      <c r="K275" s="8">
        <v>1.0</v>
      </c>
      <c r="L275" s="8">
        <v>6.0</v>
      </c>
      <c r="M275" s="8"/>
      <c r="N275" s="8"/>
      <c r="O275" s="8" t="s">
        <v>708</v>
      </c>
      <c r="P275" s="8">
        <v>6.0</v>
      </c>
    </row>
    <row r="276">
      <c r="A276">
        <f>IFERROR(__xludf.DUMMYFUNCTION("""COMPUTED_VALUE"""),7.0)</f>
        <v>7</v>
      </c>
      <c r="B276">
        <f>IFERROR(__xludf.DUMMYFUNCTION("""COMPUTED_VALUE"""),30127.0)</f>
        <v>30127</v>
      </c>
      <c r="C276" t="str">
        <f>IFERROR(__xludf.DUMMYFUNCTION("""COMPUTED_VALUE"""),"ZULUAGA SIERRA, MATIAS")</f>
        <v>ZULUAGA SIERRA, MATIAS</v>
      </c>
      <c r="D276" t="str">
        <f>IFERROR(__xludf.DUMMYFUNCTION("""COMPUTED_VALUE"""),"Science 7")</f>
        <v>Science 7</v>
      </c>
      <c r="E276" s="31">
        <f>IFERROR(__xludf.DUMMYFUNCTION("""COMPUTED_VALUE"""),6.0)</f>
        <v>6</v>
      </c>
      <c r="F276" s="8">
        <v>1.0</v>
      </c>
      <c r="G276" s="8">
        <v>1.0</v>
      </c>
      <c r="H276" s="8">
        <v>1.0</v>
      </c>
      <c r="I276" s="8">
        <v>1.0</v>
      </c>
      <c r="J276" s="8">
        <v>1.0</v>
      </c>
      <c r="K276" s="8">
        <v>1.0</v>
      </c>
      <c r="L276" s="8">
        <v>6.0</v>
      </c>
      <c r="M276" s="8"/>
      <c r="N276" s="8"/>
      <c r="O276" s="8" t="s">
        <v>705</v>
      </c>
      <c r="P276" s="8">
        <v>6.0</v>
      </c>
    </row>
    <row r="277">
      <c r="A277">
        <f>IFERROR(__xludf.DUMMYFUNCTION("""COMPUTED_VALUE"""),8.0)</f>
        <v>8</v>
      </c>
      <c r="B277">
        <f>IFERROR(__xludf.DUMMYFUNCTION("""COMPUTED_VALUE"""),29001.0)</f>
        <v>29001</v>
      </c>
      <c r="C277" t="str">
        <f>IFERROR(__xludf.DUMMYFUNCTION("""COMPUTED_VALUE"""),"ACEVEDO ARANGO, ROSARIO")</f>
        <v>ACEVEDO ARANGO, ROSARIO</v>
      </c>
      <c r="D277" t="str">
        <f>IFERROR(__xludf.DUMMYFUNCTION("""COMPUTED_VALUE"""),"Science 8")</f>
        <v>Science 8</v>
      </c>
      <c r="E277" s="31">
        <f>IFERROR(__xludf.DUMMYFUNCTION("""COMPUTED_VALUE"""),5.0)</f>
        <v>5</v>
      </c>
      <c r="F277" s="8">
        <v>1.0</v>
      </c>
      <c r="G277" s="8">
        <v>1.0</v>
      </c>
      <c r="H277" s="8">
        <v>1.0</v>
      </c>
      <c r="I277" s="8">
        <v>1.0</v>
      </c>
      <c r="J277" s="8">
        <v>1.0</v>
      </c>
      <c r="K277" s="8">
        <v>1.0</v>
      </c>
      <c r="L277" s="8">
        <v>6.0</v>
      </c>
      <c r="M277" s="8"/>
      <c r="N277" s="8"/>
      <c r="O277" s="8" t="s">
        <v>711</v>
      </c>
      <c r="P277" s="8">
        <v>6.0</v>
      </c>
    </row>
    <row r="278">
      <c r="A278">
        <f>IFERROR(__xludf.DUMMYFUNCTION("""COMPUTED_VALUE"""),8.0)</f>
        <v>8</v>
      </c>
      <c r="B278">
        <f>IFERROR(__xludf.DUMMYFUNCTION("""COMPUTED_VALUE"""),29002.0)</f>
        <v>29002</v>
      </c>
      <c r="C278" t="str">
        <f>IFERROR(__xludf.DUMMYFUNCTION("""COMPUTED_VALUE"""),"ACEVEDO OCHOA, MARIA DEL MAR")</f>
        <v>ACEVEDO OCHOA, MARIA DEL MAR</v>
      </c>
      <c r="D278" t="str">
        <f>IFERROR(__xludf.DUMMYFUNCTION("""COMPUTED_VALUE"""),"Science 8")</f>
        <v>Science 8</v>
      </c>
      <c r="E278" s="31">
        <f>IFERROR(__xludf.DUMMYFUNCTION("""COMPUTED_VALUE"""),3.0)</f>
        <v>3</v>
      </c>
      <c r="F278" s="8">
        <v>1.0</v>
      </c>
      <c r="G278" s="8">
        <v>1.0</v>
      </c>
      <c r="H278" s="8">
        <v>1.0</v>
      </c>
      <c r="I278" s="8">
        <v>1.0</v>
      </c>
      <c r="J278" s="8">
        <v>1.0</v>
      </c>
      <c r="K278" s="8">
        <v>1.0</v>
      </c>
      <c r="L278" s="8">
        <v>6.0</v>
      </c>
      <c r="M278" s="8"/>
      <c r="N278" s="8"/>
      <c r="O278" s="8" t="s">
        <v>712</v>
      </c>
      <c r="P278" s="8">
        <v>6.0</v>
      </c>
    </row>
    <row r="279">
      <c r="A279">
        <f>IFERROR(__xludf.DUMMYFUNCTION("""COMPUTED_VALUE"""),8.0)</f>
        <v>8</v>
      </c>
      <c r="B279">
        <f>IFERROR(__xludf.DUMMYFUNCTION("""COMPUTED_VALUE"""),29003.0)</f>
        <v>29003</v>
      </c>
      <c r="C279" t="str">
        <f>IFERROR(__xludf.DUMMYFUNCTION("""COMPUTED_VALUE"""),"ACEVEDO OROZCO, MARIA CELESTE")</f>
        <v>ACEVEDO OROZCO, MARIA CELESTE</v>
      </c>
      <c r="D279" t="str">
        <f>IFERROR(__xludf.DUMMYFUNCTION("""COMPUTED_VALUE"""),"Science 8")</f>
        <v>Science 8</v>
      </c>
      <c r="E279" s="31">
        <f>IFERROR(__xludf.DUMMYFUNCTION("""COMPUTED_VALUE"""),4.0)</f>
        <v>4</v>
      </c>
      <c r="F279" s="8">
        <v>1.0</v>
      </c>
      <c r="G279" s="8">
        <v>1.0</v>
      </c>
      <c r="H279" s="8">
        <v>1.0</v>
      </c>
      <c r="I279" s="8">
        <v>1.0</v>
      </c>
      <c r="J279" s="8">
        <v>1.0</v>
      </c>
      <c r="K279" s="8">
        <v>1.0</v>
      </c>
      <c r="L279" s="8">
        <v>6.0</v>
      </c>
      <c r="M279" s="8"/>
      <c r="N279" s="8"/>
      <c r="O279" s="8" t="s">
        <v>713</v>
      </c>
      <c r="P279" s="8">
        <v>6.0</v>
      </c>
    </row>
    <row r="280">
      <c r="A280">
        <f>IFERROR(__xludf.DUMMYFUNCTION("""COMPUTED_VALUE"""),8.0)</f>
        <v>8</v>
      </c>
      <c r="B280">
        <f>IFERROR(__xludf.DUMMYFUNCTION("""COMPUTED_VALUE"""),29004.0)</f>
        <v>29004</v>
      </c>
      <c r="C280" t="str">
        <f>IFERROR(__xludf.DUMMYFUNCTION("""COMPUTED_VALUE"""),"AGUIRRE ARANGO, DAVID")</f>
        <v>AGUIRRE ARANGO, DAVID</v>
      </c>
      <c r="D280" t="str">
        <f>IFERROR(__xludf.DUMMYFUNCTION("""COMPUTED_VALUE"""),"Science 8")</f>
        <v>Science 8</v>
      </c>
      <c r="E280" s="31">
        <f>IFERROR(__xludf.DUMMYFUNCTION("""COMPUTED_VALUE"""),4.0)</f>
        <v>4</v>
      </c>
      <c r="F280" s="8">
        <v>1.0</v>
      </c>
      <c r="G280" s="8">
        <v>1.0</v>
      </c>
      <c r="H280" s="8">
        <v>1.0</v>
      </c>
      <c r="I280" s="8">
        <v>1.0</v>
      </c>
      <c r="J280" s="8">
        <v>1.0</v>
      </c>
      <c r="K280" s="8">
        <v>1.0</v>
      </c>
      <c r="L280" s="8">
        <v>6.0</v>
      </c>
      <c r="M280" s="8"/>
      <c r="N280" s="8"/>
      <c r="O280" s="8" t="s">
        <v>713</v>
      </c>
      <c r="P280" s="8">
        <v>6.0</v>
      </c>
    </row>
    <row r="281">
      <c r="A281">
        <f>IFERROR(__xludf.DUMMYFUNCTION("""COMPUTED_VALUE"""),8.0)</f>
        <v>8</v>
      </c>
      <c r="B281">
        <f>IFERROR(__xludf.DUMMYFUNCTION("""COMPUTED_VALUE"""),29170.0)</f>
        <v>29170</v>
      </c>
      <c r="C281" t="str">
        <f>IFERROR(__xludf.DUMMYFUNCTION("""COMPUTED_VALUE"""),"ALVAREZ CARDENAS, JUAN EMILIO")</f>
        <v>ALVAREZ CARDENAS, JUAN EMILIO</v>
      </c>
      <c r="D281" t="str">
        <f>IFERROR(__xludf.DUMMYFUNCTION("""COMPUTED_VALUE"""),"Science 8")</f>
        <v>Science 8</v>
      </c>
      <c r="E281" s="31">
        <f>IFERROR(__xludf.DUMMYFUNCTION("""COMPUTED_VALUE"""),4.0)</f>
        <v>4</v>
      </c>
      <c r="F281" s="8">
        <v>1.0</v>
      </c>
      <c r="G281" s="8">
        <v>1.0</v>
      </c>
      <c r="H281" s="8">
        <v>1.0</v>
      </c>
      <c r="I281" s="8">
        <v>1.0</v>
      </c>
      <c r="J281" s="8">
        <v>1.0</v>
      </c>
      <c r="K281" s="8">
        <v>1.0</v>
      </c>
      <c r="L281" s="8">
        <v>6.0</v>
      </c>
      <c r="M281" s="8"/>
      <c r="N281" s="8"/>
      <c r="O281" s="8" t="s">
        <v>713</v>
      </c>
      <c r="P281" s="8">
        <v>6.0</v>
      </c>
    </row>
    <row r="282">
      <c r="A282">
        <f>IFERROR(__xludf.DUMMYFUNCTION("""COMPUTED_VALUE"""),8.0)</f>
        <v>8</v>
      </c>
      <c r="B282">
        <f>IFERROR(__xludf.DUMMYFUNCTION("""COMPUTED_VALUE"""),29007.0)</f>
        <v>29007</v>
      </c>
      <c r="C282" t="str">
        <f>IFERROR(__xludf.DUMMYFUNCTION("""COMPUTED_VALUE"""),"ALZATE GARCIA, LUCIANA")</f>
        <v>ALZATE GARCIA, LUCIANA</v>
      </c>
      <c r="D282" t="str">
        <f>IFERROR(__xludf.DUMMYFUNCTION("""COMPUTED_VALUE"""),"Science 8")</f>
        <v>Science 8</v>
      </c>
      <c r="E282" s="31">
        <f>IFERROR(__xludf.DUMMYFUNCTION("""COMPUTED_VALUE"""),2.0)</f>
        <v>2</v>
      </c>
      <c r="F282" s="8">
        <v>1.0</v>
      </c>
      <c r="G282" s="8">
        <v>1.0</v>
      </c>
      <c r="H282" s="8">
        <v>1.0</v>
      </c>
      <c r="I282" s="8">
        <v>1.0</v>
      </c>
      <c r="J282" s="8">
        <v>1.0</v>
      </c>
      <c r="K282" s="8">
        <v>1.0</v>
      </c>
      <c r="L282" s="8">
        <v>6.0</v>
      </c>
      <c r="M282" s="8"/>
      <c r="N282" s="8"/>
      <c r="O282" s="8" t="s">
        <v>714</v>
      </c>
      <c r="P282" s="8">
        <v>6.0</v>
      </c>
    </row>
    <row r="283">
      <c r="A283">
        <f>IFERROR(__xludf.DUMMYFUNCTION("""COMPUTED_VALUE"""),8.0)</f>
        <v>8</v>
      </c>
      <c r="B283">
        <f>IFERROR(__xludf.DUMMYFUNCTION("""COMPUTED_VALUE"""),29008.0)</f>
        <v>29008</v>
      </c>
      <c r="C283" t="str">
        <f>IFERROR(__xludf.DUMMYFUNCTION("""COMPUTED_VALUE"""),"APA ECHAVARRIA, LORENZO")</f>
        <v>APA ECHAVARRIA, LORENZO</v>
      </c>
      <c r="D283" t="str">
        <f>IFERROR(__xludf.DUMMYFUNCTION("""COMPUTED_VALUE"""),"Science 8")</f>
        <v>Science 8</v>
      </c>
      <c r="E283" s="31">
        <f>IFERROR(__xludf.DUMMYFUNCTION("""COMPUTED_VALUE"""),5.0)</f>
        <v>5</v>
      </c>
      <c r="F283" s="8">
        <v>1.0</v>
      </c>
      <c r="G283" s="8">
        <v>1.0</v>
      </c>
      <c r="H283" s="8">
        <v>1.0</v>
      </c>
      <c r="I283" s="8">
        <v>1.0</v>
      </c>
      <c r="J283" s="8">
        <v>1.0</v>
      </c>
      <c r="K283" s="8">
        <v>1.0</v>
      </c>
      <c r="L283" s="8">
        <v>6.0</v>
      </c>
      <c r="M283" s="8"/>
      <c r="N283" s="8"/>
      <c r="O283" s="8" t="s">
        <v>711</v>
      </c>
      <c r="P283" s="8">
        <v>6.0</v>
      </c>
    </row>
    <row r="284">
      <c r="A284">
        <f>IFERROR(__xludf.DUMMYFUNCTION("""COMPUTED_VALUE"""),8.0)</f>
        <v>8</v>
      </c>
      <c r="B284">
        <f>IFERROR(__xludf.DUMMYFUNCTION("""COMPUTED_VALUE"""),29009.0)</f>
        <v>29009</v>
      </c>
      <c r="C284" t="str">
        <f>IFERROR(__xludf.DUMMYFUNCTION("""COMPUTED_VALUE"""),"ARANGO MOLINA, ALICIA")</f>
        <v>ARANGO MOLINA, ALICIA</v>
      </c>
      <c r="D284" t="str">
        <f>IFERROR(__xludf.DUMMYFUNCTION("""COMPUTED_VALUE"""),"Science 8")</f>
        <v>Science 8</v>
      </c>
      <c r="E284" s="31">
        <f>IFERROR(__xludf.DUMMYFUNCTION("""COMPUTED_VALUE"""),3.0)</f>
        <v>3</v>
      </c>
      <c r="F284" s="8">
        <v>1.0</v>
      </c>
      <c r="G284" s="8">
        <v>1.0</v>
      </c>
      <c r="H284" s="8">
        <v>1.0</v>
      </c>
      <c r="I284" s="8">
        <v>1.0</v>
      </c>
      <c r="J284" s="8">
        <v>1.0</v>
      </c>
      <c r="K284" s="8">
        <v>1.0</v>
      </c>
      <c r="L284" s="8">
        <v>6.0</v>
      </c>
      <c r="M284" s="8"/>
      <c r="N284" s="8"/>
      <c r="O284" s="8" t="s">
        <v>712</v>
      </c>
      <c r="P284" s="8">
        <v>6.0</v>
      </c>
    </row>
    <row r="285">
      <c r="A285">
        <f>IFERROR(__xludf.DUMMYFUNCTION("""COMPUTED_VALUE"""),8.0)</f>
        <v>8</v>
      </c>
      <c r="B285">
        <f>IFERROR(__xludf.DUMMYFUNCTION("""COMPUTED_VALUE"""),29010.0)</f>
        <v>29010</v>
      </c>
      <c r="C285" t="str">
        <f>IFERROR(__xludf.DUMMYFUNCTION("""COMPUTED_VALUE"""),"ARANGO NAVARRO, MANUELA")</f>
        <v>ARANGO NAVARRO, MANUELA</v>
      </c>
      <c r="D285" t="str">
        <f>IFERROR(__xludf.DUMMYFUNCTION("""COMPUTED_VALUE"""),"Science 8")</f>
        <v>Science 8</v>
      </c>
      <c r="E285" s="31">
        <f>IFERROR(__xludf.DUMMYFUNCTION("""COMPUTED_VALUE"""),5.0)</f>
        <v>5</v>
      </c>
      <c r="F285" s="8">
        <v>1.0</v>
      </c>
      <c r="G285" s="8">
        <v>1.0</v>
      </c>
      <c r="H285" s="8">
        <v>1.0</v>
      </c>
      <c r="I285" s="8">
        <v>1.0</v>
      </c>
      <c r="J285" s="8">
        <v>1.0</v>
      </c>
      <c r="K285" s="8">
        <v>1.0</v>
      </c>
      <c r="L285" s="8">
        <v>6.0</v>
      </c>
      <c r="M285" s="8"/>
      <c r="N285" s="8"/>
      <c r="O285" s="8" t="s">
        <v>711</v>
      </c>
      <c r="P285" s="8">
        <v>6.0</v>
      </c>
    </row>
    <row r="286">
      <c r="A286">
        <f>IFERROR(__xludf.DUMMYFUNCTION("""COMPUTED_VALUE"""),8.0)</f>
        <v>8</v>
      </c>
      <c r="B286">
        <f>IFERROR(__xludf.DUMMYFUNCTION("""COMPUTED_VALUE"""),29011.0)</f>
        <v>29011</v>
      </c>
      <c r="C286" t="str">
        <f>IFERROR(__xludf.DUMMYFUNCTION("""COMPUTED_VALUE"""),"ARANGO RUBIO, ROSARIO")</f>
        <v>ARANGO RUBIO, ROSARIO</v>
      </c>
      <c r="D286" t="str">
        <f>IFERROR(__xludf.DUMMYFUNCTION("""COMPUTED_VALUE"""),"Science 8")</f>
        <v>Science 8</v>
      </c>
      <c r="E286" s="31">
        <f>IFERROR(__xludf.DUMMYFUNCTION("""COMPUTED_VALUE"""),4.0)</f>
        <v>4</v>
      </c>
      <c r="F286" s="8">
        <v>1.0</v>
      </c>
      <c r="G286" s="8">
        <v>1.0</v>
      </c>
      <c r="H286" s="8">
        <v>1.0</v>
      </c>
      <c r="I286" s="8">
        <v>1.0</v>
      </c>
      <c r="J286" s="8">
        <v>1.0</v>
      </c>
      <c r="K286" s="8">
        <v>1.0</v>
      </c>
      <c r="L286" s="8">
        <v>6.0</v>
      </c>
      <c r="M286" s="8"/>
      <c r="N286" s="8"/>
      <c r="O286" s="8" t="s">
        <v>713</v>
      </c>
      <c r="P286" s="8">
        <v>6.0</v>
      </c>
    </row>
    <row r="287">
      <c r="A287">
        <f>IFERROR(__xludf.DUMMYFUNCTION("""COMPUTED_VALUE"""),8.0)</f>
        <v>8</v>
      </c>
      <c r="B287">
        <f>IFERROR(__xludf.DUMMYFUNCTION("""COMPUTED_VALUE"""),29012.0)</f>
        <v>29012</v>
      </c>
      <c r="C287" t="str">
        <f>IFERROR(__xludf.DUMMYFUNCTION("""COMPUTED_VALUE"""),"ARANGO VILLA, TOMAS")</f>
        <v>ARANGO VILLA, TOMAS</v>
      </c>
      <c r="D287" t="str">
        <f>IFERROR(__xludf.DUMMYFUNCTION("""COMPUTED_VALUE"""),"Science 8")</f>
        <v>Science 8</v>
      </c>
      <c r="E287" s="31">
        <f>IFERROR(__xludf.DUMMYFUNCTION("""COMPUTED_VALUE"""),4.0)</f>
        <v>4</v>
      </c>
      <c r="F287" s="8">
        <v>1.0</v>
      </c>
      <c r="G287" s="8">
        <v>1.0</v>
      </c>
      <c r="H287" s="8">
        <v>1.0</v>
      </c>
      <c r="I287" s="8">
        <v>1.0</v>
      </c>
      <c r="J287" s="8">
        <v>1.0</v>
      </c>
      <c r="K287" s="8">
        <v>1.0</v>
      </c>
      <c r="L287" s="8">
        <v>6.0</v>
      </c>
      <c r="M287" s="8"/>
      <c r="N287" s="8"/>
      <c r="O287" s="8" t="s">
        <v>713</v>
      </c>
      <c r="P287" s="8">
        <v>6.0</v>
      </c>
    </row>
    <row r="288">
      <c r="A288">
        <f>IFERROR(__xludf.DUMMYFUNCTION("""COMPUTED_VALUE"""),8.0)</f>
        <v>8</v>
      </c>
      <c r="B288">
        <f>IFERROR(__xludf.DUMMYFUNCTION("""COMPUTED_VALUE"""),28006.0)</f>
        <v>28006</v>
      </c>
      <c r="C288" t="str">
        <f>IFERROR(__xludf.DUMMYFUNCTION("""COMPUTED_VALUE"""),"ARISTIZABAL ECHAVARRIA, CRISTOBAL")</f>
        <v>ARISTIZABAL ECHAVARRIA, CRISTOBAL</v>
      </c>
      <c r="D288" t="str">
        <f>IFERROR(__xludf.DUMMYFUNCTION("""COMPUTED_VALUE"""),"Science 8")</f>
        <v>Science 8</v>
      </c>
      <c r="E288" s="31">
        <f>IFERROR(__xludf.DUMMYFUNCTION("""COMPUTED_VALUE"""),6.0)</f>
        <v>6</v>
      </c>
      <c r="F288" s="8">
        <v>1.0</v>
      </c>
      <c r="G288" s="8">
        <v>1.0</v>
      </c>
      <c r="H288" s="8">
        <v>1.0</v>
      </c>
      <c r="I288" s="8">
        <v>1.0</v>
      </c>
      <c r="J288" s="8">
        <v>1.0</v>
      </c>
      <c r="K288" s="8">
        <v>1.0</v>
      </c>
      <c r="L288" s="8">
        <v>6.0</v>
      </c>
      <c r="M288" s="8"/>
      <c r="N288" s="8"/>
      <c r="O288" s="8" t="s">
        <v>715</v>
      </c>
      <c r="P288" s="8">
        <v>6.0</v>
      </c>
    </row>
    <row r="289">
      <c r="A289">
        <f>IFERROR(__xludf.DUMMYFUNCTION("""COMPUTED_VALUE"""),8.0)</f>
        <v>8</v>
      </c>
      <c r="B289">
        <f>IFERROR(__xludf.DUMMYFUNCTION("""COMPUTED_VALUE"""),29015.0)</f>
        <v>29015</v>
      </c>
      <c r="C289" t="str">
        <f>IFERROR(__xludf.DUMMYFUNCTION("""COMPUTED_VALUE"""),"ARISTIZABAL URIBE, MATIAS")</f>
        <v>ARISTIZABAL URIBE, MATIAS</v>
      </c>
      <c r="D289" t="str">
        <f>IFERROR(__xludf.DUMMYFUNCTION("""COMPUTED_VALUE"""),"Science 8")</f>
        <v>Science 8</v>
      </c>
      <c r="E289" s="31">
        <f>IFERROR(__xludf.DUMMYFUNCTION("""COMPUTED_VALUE"""),4.0)</f>
        <v>4</v>
      </c>
      <c r="F289" s="8">
        <v>1.0</v>
      </c>
      <c r="G289" s="8">
        <v>1.0</v>
      </c>
      <c r="H289" s="8">
        <v>1.0</v>
      </c>
      <c r="I289" s="8">
        <v>1.0</v>
      </c>
      <c r="J289" s="8">
        <v>1.0</v>
      </c>
      <c r="K289" s="8">
        <v>1.0</v>
      </c>
      <c r="L289" s="8">
        <v>6.0</v>
      </c>
      <c r="M289" s="8"/>
      <c r="N289" s="8"/>
      <c r="O289" s="8" t="s">
        <v>713</v>
      </c>
      <c r="P289" s="8">
        <v>6.0</v>
      </c>
    </row>
    <row r="290">
      <c r="A290">
        <f>IFERROR(__xludf.DUMMYFUNCTION("""COMPUTED_VALUE"""),8.0)</f>
        <v>8</v>
      </c>
      <c r="B290">
        <f>IFERROR(__xludf.DUMMYFUNCTION("""COMPUTED_VALUE"""),29016.0)</f>
        <v>29016</v>
      </c>
      <c r="C290" t="str">
        <f>IFERROR(__xludf.DUMMYFUNCTION("""COMPUTED_VALUE"""),"ARROYAVE LONDOÑO, ELISA")</f>
        <v>ARROYAVE LONDOÑO, ELISA</v>
      </c>
      <c r="D290" t="str">
        <f>IFERROR(__xludf.DUMMYFUNCTION("""COMPUTED_VALUE"""),"Science 8")</f>
        <v>Science 8</v>
      </c>
      <c r="E290" s="31">
        <f>IFERROR(__xludf.DUMMYFUNCTION("""COMPUTED_VALUE"""),5.0)</f>
        <v>5</v>
      </c>
      <c r="F290" s="8">
        <v>1.0</v>
      </c>
      <c r="G290" s="8">
        <v>1.0</v>
      </c>
      <c r="H290" s="8">
        <v>1.0</v>
      </c>
      <c r="I290" s="8">
        <v>1.0</v>
      </c>
      <c r="J290" s="8">
        <v>1.0</v>
      </c>
      <c r="K290" s="8">
        <v>1.0</v>
      </c>
      <c r="L290" s="8">
        <v>6.0</v>
      </c>
      <c r="M290" s="8"/>
      <c r="N290" s="8"/>
      <c r="O290" s="8" t="s">
        <v>711</v>
      </c>
      <c r="P290" s="8">
        <v>6.0</v>
      </c>
    </row>
    <row r="291">
      <c r="A291">
        <f>IFERROR(__xludf.DUMMYFUNCTION("""COMPUTED_VALUE"""),8.0)</f>
        <v>8</v>
      </c>
      <c r="B291">
        <f>IFERROR(__xludf.DUMMYFUNCTION("""COMPUTED_VALUE"""),29018.0)</f>
        <v>29018</v>
      </c>
      <c r="C291" t="str">
        <f>IFERROR(__xludf.DUMMYFUNCTION("""COMPUTED_VALUE"""),"BAENA GIRALDO, VIOLETA")</f>
        <v>BAENA GIRALDO, VIOLETA</v>
      </c>
      <c r="D291" t="str">
        <f>IFERROR(__xludf.DUMMYFUNCTION("""COMPUTED_VALUE"""),"Science 8")</f>
        <v>Science 8</v>
      </c>
      <c r="E291" s="31">
        <f>IFERROR(__xludf.DUMMYFUNCTION("""COMPUTED_VALUE"""),3.0)</f>
        <v>3</v>
      </c>
      <c r="F291" s="8">
        <v>1.0</v>
      </c>
      <c r="G291" s="8">
        <v>1.0</v>
      </c>
      <c r="H291" s="8">
        <v>1.0</v>
      </c>
      <c r="I291" s="8">
        <v>1.0</v>
      </c>
      <c r="J291" s="8">
        <v>1.0</v>
      </c>
      <c r="K291" s="8">
        <v>1.0</v>
      </c>
      <c r="L291" s="8">
        <v>6.0</v>
      </c>
      <c r="M291" s="8"/>
      <c r="N291" s="8"/>
      <c r="O291" s="8" t="s">
        <v>712</v>
      </c>
      <c r="P291" s="8">
        <v>6.0</v>
      </c>
    </row>
    <row r="292">
      <c r="A292">
        <f>IFERROR(__xludf.DUMMYFUNCTION("""COMPUTED_VALUE"""),8.0)</f>
        <v>8</v>
      </c>
      <c r="B292">
        <f>IFERROR(__xludf.DUMMYFUNCTION("""COMPUTED_VALUE"""),29019.0)</f>
        <v>29019</v>
      </c>
      <c r="C292" t="str">
        <f>IFERROR(__xludf.DUMMYFUNCTION("""COMPUTED_VALUE"""),"BARRIENTOS ALVAREZ, ELISA")</f>
        <v>BARRIENTOS ALVAREZ, ELISA</v>
      </c>
      <c r="D292" t="str">
        <f>IFERROR(__xludf.DUMMYFUNCTION("""COMPUTED_VALUE"""),"Science 8")</f>
        <v>Science 8</v>
      </c>
      <c r="E292" s="31">
        <f>IFERROR(__xludf.DUMMYFUNCTION("""COMPUTED_VALUE"""),6.0)</f>
        <v>6</v>
      </c>
      <c r="F292" s="8">
        <v>1.0</v>
      </c>
      <c r="G292" s="8">
        <v>1.0</v>
      </c>
      <c r="H292" s="8">
        <v>1.0</v>
      </c>
      <c r="I292" s="8">
        <v>1.0</v>
      </c>
      <c r="J292" s="8">
        <v>1.0</v>
      </c>
      <c r="K292" s="8">
        <v>1.0</v>
      </c>
      <c r="L292" s="8">
        <v>6.0</v>
      </c>
      <c r="M292" s="8"/>
      <c r="N292" s="8"/>
      <c r="O292" s="8" t="s">
        <v>715</v>
      </c>
      <c r="P292" s="8">
        <v>6.0</v>
      </c>
    </row>
    <row r="293">
      <c r="A293">
        <f>IFERROR(__xludf.DUMMYFUNCTION("""COMPUTED_VALUE"""),8.0)</f>
        <v>8</v>
      </c>
      <c r="B293">
        <f>IFERROR(__xludf.DUMMYFUNCTION("""COMPUTED_VALUE"""),29160.0)</f>
        <v>29160</v>
      </c>
      <c r="C293" t="str">
        <f>IFERROR(__xludf.DUMMYFUNCTION("""COMPUTED_VALUE"""),"BARRIOS CASTILLO, NICOLAS GUILLERMO")</f>
        <v>BARRIOS CASTILLO, NICOLAS GUILLERMO</v>
      </c>
      <c r="D293" t="str">
        <f>IFERROR(__xludf.DUMMYFUNCTION("""COMPUTED_VALUE"""),"Science 8A")</f>
        <v>Science 8A</v>
      </c>
      <c r="E293" s="31">
        <f>IFERROR(__xludf.DUMMYFUNCTION("""COMPUTED_VALUE"""),4.0)</f>
        <v>4</v>
      </c>
      <c r="F293" s="8">
        <v>1.0</v>
      </c>
      <c r="G293" s="8">
        <v>1.0</v>
      </c>
      <c r="H293" s="8">
        <v>1.0</v>
      </c>
      <c r="I293" s="8">
        <v>1.0</v>
      </c>
      <c r="J293" s="8">
        <v>1.0</v>
      </c>
      <c r="K293" s="8">
        <v>1.0</v>
      </c>
      <c r="L293" s="8">
        <v>6.0</v>
      </c>
      <c r="M293" s="8"/>
      <c r="N293" s="8"/>
      <c r="O293" s="8" t="s">
        <v>716</v>
      </c>
      <c r="P293" s="8" t="e">
        <v>#N/A</v>
      </c>
    </row>
    <row r="294">
      <c r="A294">
        <f>IFERROR(__xludf.DUMMYFUNCTION("""COMPUTED_VALUE"""),8.0)</f>
        <v>8</v>
      </c>
      <c r="B294">
        <f>IFERROR(__xludf.DUMMYFUNCTION("""COMPUTED_VALUE"""),29020.0)</f>
        <v>29020</v>
      </c>
      <c r="C294" t="str">
        <f>IFERROR(__xludf.DUMMYFUNCTION("""COMPUTED_VALUE"""),"BETANCOURT QUINTERO, LUCAS")</f>
        <v>BETANCOURT QUINTERO, LUCAS</v>
      </c>
      <c r="D294" t="str">
        <f>IFERROR(__xludf.DUMMYFUNCTION("""COMPUTED_VALUE"""),"Science 8")</f>
        <v>Science 8</v>
      </c>
      <c r="E294" s="31">
        <f>IFERROR(__xludf.DUMMYFUNCTION("""COMPUTED_VALUE"""),3.0)</f>
        <v>3</v>
      </c>
      <c r="F294" s="8">
        <v>1.0</v>
      </c>
      <c r="G294" s="8">
        <v>1.0</v>
      </c>
      <c r="H294" s="8">
        <v>1.0</v>
      </c>
      <c r="I294" s="8">
        <v>1.0</v>
      </c>
      <c r="J294" s="8">
        <v>1.0</v>
      </c>
      <c r="K294" s="8">
        <v>1.0</v>
      </c>
      <c r="L294" s="8">
        <v>6.0</v>
      </c>
      <c r="M294" s="8"/>
      <c r="N294" s="8"/>
      <c r="O294" s="8" t="s">
        <v>712</v>
      </c>
      <c r="P294" s="8">
        <v>6.0</v>
      </c>
    </row>
    <row r="295">
      <c r="A295">
        <f>IFERROR(__xludf.DUMMYFUNCTION("""COMPUTED_VALUE"""),8.0)</f>
        <v>8</v>
      </c>
      <c r="B295">
        <f>IFERROR(__xludf.DUMMYFUNCTION("""COMPUTED_VALUE"""),29021.0)</f>
        <v>29021</v>
      </c>
      <c r="C295" t="str">
        <f>IFERROR(__xludf.DUMMYFUNCTION("""COMPUTED_VALUE"""),"BETANCOURT QUINTERO, SIMON")</f>
        <v>BETANCOURT QUINTERO, SIMON</v>
      </c>
      <c r="D295" t="str">
        <f>IFERROR(__xludf.DUMMYFUNCTION("""COMPUTED_VALUE"""),"Science 8")</f>
        <v>Science 8</v>
      </c>
      <c r="E295" s="31">
        <f>IFERROR(__xludf.DUMMYFUNCTION("""COMPUTED_VALUE"""),2.0)</f>
        <v>2</v>
      </c>
      <c r="F295" s="8">
        <v>1.0</v>
      </c>
      <c r="G295" s="8">
        <v>1.0</v>
      </c>
      <c r="H295" s="8">
        <v>1.0</v>
      </c>
      <c r="I295" s="8">
        <v>1.0</v>
      </c>
      <c r="J295" s="8">
        <v>1.0</v>
      </c>
      <c r="K295" s="8">
        <v>1.0</v>
      </c>
      <c r="L295" s="8">
        <v>6.0</v>
      </c>
      <c r="M295" s="8"/>
      <c r="N295" s="8"/>
      <c r="O295" s="8" t="s">
        <v>714</v>
      </c>
      <c r="P295" s="8">
        <v>6.0</v>
      </c>
    </row>
    <row r="296">
      <c r="A296">
        <f>IFERROR(__xludf.DUMMYFUNCTION("""COMPUTED_VALUE"""),8.0)</f>
        <v>8</v>
      </c>
      <c r="B296">
        <f>IFERROR(__xludf.DUMMYFUNCTION("""COMPUTED_VALUE"""),29022.0)</f>
        <v>29022</v>
      </c>
      <c r="C296" t="str">
        <f>IFERROR(__xludf.DUMMYFUNCTION("""COMPUTED_VALUE"""),"BETANCUR ROBLEDO, PEDRO")</f>
        <v>BETANCUR ROBLEDO, PEDRO</v>
      </c>
      <c r="D296" t="str">
        <f>IFERROR(__xludf.DUMMYFUNCTION("""COMPUTED_VALUE"""),"Science 8")</f>
        <v>Science 8</v>
      </c>
      <c r="E296" s="31">
        <f>IFERROR(__xludf.DUMMYFUNCTION("""COMPUTED_VALUE"""),5.0)</f>
        <v>5</v>
      </c>
      <c r="F296" s="8">
        <v>1.0</v>
      </c>
      <c r="G296" s="8">
        <v>1.0</v>
      </c>
      <c r="H296" s="8">
        <v>1.0</v>
      </c>
      <c r="I296" s="8">
        <v>1.0</v>
      </c>
      <c r="J296" s="8">
        <v>1.0</v>
      </c>
      <c r="K296" s="8">
        <v>1.0</v>
      </c>
      <c r="L296" s="8">
        <v>6.0</v>
      </c>
      <c r="M296" s="8"/>
      <c r="N296" s="8"/>
      <c r="O296" s="8" t="s">
        <v>711</v>
      </c>
      <c r="P296" s="8">
        <v>6.0</v>
      </c>
    </row>
    <row r="297">
      <c r="A297">
        <f>IFERROR(__xludf.DUMMYFUNCTION("""COMPUTED_VALUE"""),8.0)</f>
        <v>8</v>
      </c>
      <c r="B297">
        <f>IFERROR(__xludf.DUMMYFUNCTION("""COMPUTED_VALUE"""),29167.0)</f>
        <v>29167</v>
      </c>
      <c r="C297" t="str">
        <f>IFERROR(__xludf.DUMMYFUNCTION("""COMPUTED_VALUE"""),"BISHOP, JULIETTE ROSE")</f>
        <v>BISHOP, JULIETTE ROSE</v>
      </c>
      <c r="D297" t="str">
        <f>IFERROR(__xludf.DUMMYFUNCTION("""COMPUTED_VALUE"""),"Science 8A")</f>
        <v>Science 8A</v>
      </c>
      <c r="E297" s="31">
        <f>IFERROR(__xludf.DUMMYFUNCTION("""COMPUTED_VALUE"""),4.0)</f>
        <v>4</v>
      </c>
      <c r="F297" s="8">
        <v>1.0</v>
      </c>
      <c r="G297" s="8">
        <v>1.0</v>
      </c>
      <c r="H297" s="8">
        <v>1.0</v>
      </c>
      <c r="I297" s="8">
        <v>1.0</v>
      </c>
      <c r="J297" s="8">
        <v>1.0</v>
      </c>
      <c r="K297" s="8">
        <v>1.0</v>
      </c>
      <c r="L297" s="8">
        <v>6.0</v>
      </c>
      <c r="M297" s="8"/>
      <c r="N297" s="8"/>
      <c r="O297" s="8" t="s">
        <v>716</v>
      </c>
      <c r="P297" s="8" t="e">
        <v>#N/A</v>
      </c>
    </row>
    <row r="298">
      <c r="A298">
        <f>IFERROR(__xludf.DUMMYFUNCTION("""COMPUTED_VALUE"""),8.0)</f>
        <v>8</v>
      </c>
      <c r="B298">
        <f>IFERROR(__xludf.DUMMYFUNCTION("""COMPUTED_VALUE"""),29023.0)</f>
        <v>29023</v>
      </c>
      <c r="C298" t="str">
        <f>IFERROR(__xludf.DUMMYFUNCTION("""COMPUTED_VALUE"""),"BOTERO DEL CORRAL, EMILIANA")</f>
        <v>BOTERO DEL CORRAL, EMILIANA</v>
      </c>
      <c r="D298" t="str">
        <f>IFERROR(__xludf.DUMMYFUNCTION("""COMPUTED_VALUE"""),"Science 8")</f>
        <v>Science 8</v>
      </c>
      <c r="E298" s="31">
        <f>IFERROR(__xludf.DUMMYFUNCTION("""COMPUTED_VALUE"""),5.0)</f>
        <v>5</v>
      </c>
      <c r="F298" s="8">
        <v>1.0</v>
      </c>
      <c r="G298" s="8">
        <v>1.0</v>
      </c>
      <c r="H298" s="8">
        <v>1.0</v>
      </c>
      <c r="I298" s="8">
        <v>1.0</v>
      </c>
      <c r="J298" s="8">
        <v>1.0</v>
      </c>
      <c r="K298" s="8">
        <v>1.0</v>
      </c>
      <c r="L298" s="8">
        <v>6.0</v>
      </c>
      <c r="M298" s="8"/>
      <c r="N298" s="8"/>
      <c r="O298" s="8" t="s">
        <v>711</v>
      </c>
      <c r="P298" s="8">
        <v>6.0</v>
      </c>
    </row>
    <row r="299">
      <c r="A299">
        <f>IFERROR(__xludf.DUMMYFUNCTION("""COMPUTED_VALUE"""),8.0)</f>
        <v>8</v>
      </c>
      <c r="B299">
        <f>IFERROR(__xludf.DUMMYFUNCTION("""COMPUTED_VALUE"""),29161.0)</f>
        <v>29161</v>
      </c>
      <c r="C299" t="str">
        <f>IFERROR(__xludf.DUMMYFUNCTION("""COMPUTED_VALUE"""),"BURKHALTER, ESPERANZA JOY")</f>
        <v>BURKHALTER, ESPERANZA JOY</v>
      </c>
      <c r="D299" t="str">
        <f>IFERROR(__xludf.DUMMYFUNCTION("""COMPUTED_VALUE"""),"Science 8")</f>
        <v>Science 8</v>
      </c>
      <c r="E299" s="31">
        <f>IFERROR(__xludf.DUMMYFUNCTION("""COMPUTED_VALUE"""),4.0)</f>
        <v>4</v>
      </c>
      <c r="F299" s="8">
        <v>1.0</v>
      </c>
      <c r="G299" s="8">
        <v>1.0</v>
      </c>
      <c r="H299" s="8">
        <v>1.0</v>
      </c>
      <c r="I299" s="8">
        <v>1.0</v>
      </c>
      <c r="J299" s="8">
        <v>1.0</v>
      </c>
      <c r="K299" s="8">
        <v>1.0</v>
      </c>
      <c r="L299" s="8">
        <v>6.0</v>
      </c>
      <c r="M299" s="8"/>
      <c r="N299" s="8"/>
      <c r="O299" s="8" t="s">
        <v>713</v>
      </c>
      <c r="P299" s="8">
        <v>6.0</v>
      </c>
    </row>
    <row r="300">
      <c r="A300">
        <f>IFERROR(__xludf.DUMMYFUNCTION("""COMPUTED_VALUE"""),8.0)</f>
        <v>8</v>
      </c>
      <c r="B300">
        <f>IFERROR(__xludf.DUMMYFUNCTION("""COMPUTED_VALUE"""),29150.0)</f>
        <v>29150</v>
      </c>
      <c r="C300" t="str">
        <f>IFERROR(__xludf.DUMMYFUNCTION("""COMPUTED_VALUE"""),"CABAL AYALA, MARTINA")</f>
        <v>CABAL AYALA, MARTINA</v>
      </c>
      <c r="D300" t="str">
        <f>IFERROR(__xludf.DUMMYFUNCTION("""COMPUTED_VALUE"""),"Science 8")</f>
        <v>Science 8</v>
      </c>
      <c r="E300" s="31">
        <f>IFERROR(__xludf.DUMMYFUNCTION("""COMPUTED_VALUE"""),3.0)</f>
        <v>3</v>
      </c>
      <c r="F300" s="8">
        <v>1.0</v>
      </c>
      <c r="G300" s="8">
        <v>1.0</v>
      </c>
      <c r="H300" s="8">
        <v>1.0</v>
      </c>
      <c r="I300" s="8">
        <v>1.0</v>
      </c>
      <c r="J300" s="8">
        <v>1.0</v>
      </c>
      <c r="K300" s="8">
        <v>1.0</v>
      </c>
      <c r="L300" s="8">
        <v>6.0</v>
      </c>
      <c r="M300" s="8"/>
      <c r="N300" s="8"/>
      <c r="O300" s="8" t="s">
        <v>712</v>
      </c>
      <c r="P300" s="8">
        <v>6.0</v>
      </c>
    </row>
    <row r="301">
      <c r="A301">
        <f>IFERROR(__xludf.DUMMYFUNCTION("""COMPUTED_VALUE"""),8.0)</f>
        <v>8</v>
      </c>
      <c r="B301">
        <f>IFERROR(__xludf.DUMMYFUNCTION("""COMPUTED_VALUE"""),29024.0)</f>
        <v>29024</v>
      </c>
      <c r="C301" t="str">
        <f>IFERROR(__xludf.DUMMYFUNCTION("""COMPUTED_VALUE"""),"CADAVID RESTREPO, LUIS FERNANDO")</f>
        <v>CADAVID RESTREPO, LUIS FERNANDO</v>
      </c>
      <c r="D301" t="str">
        <f>IFERROR(__xludf.DUMMYFUNCTION("""COMPUTED_VALUE"""),"Science 8")</f>
        <v>Science 8</v>
      </c>
      <c r="E301" s="31">
        <f>IFERROR(__xludf.DUMMYFUNCTION("""COMPUTED_VALUE"""),4.0)</f>
        <v>4</v>
      </c>
      <c r="F301" s="8">
        <v>1.0</v>
      </c>
      <c r="G301" s="8">
        <v>1.0</v>
      </c>
      <c r="H301" s="8">
        <v>1.0</v>
      </c>
      <c r="I301" s="8">
        <v>1.0</v>
      </c>
      <c r="J301" s="8">
        <v>1.0</v>
      </c>
      <c r="K301" s="8">
        <v>1.0</v>
      </c>
      <c r="L301" s="8">
        <v>6.0</v>
      </c>
      <c r="M301" s="8"/>
      <c r="N301" s="8"/>
      <c r="O301" s="8" t="s">
        <v>713</v>
      </c>
      <c r="P301" s="8">
        <v>6.0</v>
      </c>
    </row>
    <row r="302">
      <c r="A302">
        <f>IFERROR(__xludf.DUMMYFUNCTION("""COMPUTED_VALUE"""),8.0)</f>
        <v>8</v>
      </c>
      <c r="B302">
        <f>IFERROR(__xludf.DUMMYFUNCTION("""COMPUTED_VALUE"""),29025.0)</f>
        <v>29025</v>
      </c>
      <c r="C302" t="str">
        <f>IFERROR(__xludf.DUMMYFUNCTION("""COMPUTED_VALUE"""),"CALLE BUITRAGO, ESTEBAN")</f>
        <v>CALLE BUITRAGO, ESTEBAN</v>
      </c>
      <c r="D302" t="str">
        <f>IFERROR(__xludf.DUMMYFUNCTION("""COMPUTED_VALUE"""),"Science 8")</f>
        <v>Science 8</v>
      </c>
      <c r="E302" s="31">
        <f>IFERROR(__xludf.DUMMYFUNCTION("""COMPUTED_VALUE"""),4.0)</f>
        <v>4</v>
      </c>
      <c r="F302" s="8">
        <v>1.0</v>
      </c>
      <c r="G302" s="8">
        <v>1.0</v>
      </c>
      <c r="H302" s="8">
        <v>1.0</v>
      </c>
      <c r="I302" s="8">
        <v>1.0</v>
      </c>
      <c r="J302" s="8">
        <v>1.0</v>
      </c>
      <c r="K302" s="8">
        <v>1.0</v>
      </c>
      <c r="L302" s="8">
        <v>6.0</v>
      </c>
      <c r="M302" s="8"/>
      <c r="N302" s="8"/>
      <c r="O302" s="8" t="s">
        <v>713</v>
      </c>
      <c r="P302" s="8">
        <v>6.0</v>
      </c>
    </row>
    <row r="303">
      <c r="A303">
        <f>IFERROR(__xludf.DUMMYFUNCTION("""COMPUTED_VALUE"""),8.0)</f>
        <v>8</v>
      </c>
      <c r="B303">
        <f>IFERROR(__xludf.DUMMYFUNCTION("""COMPUTED_VALUE"""),29027.0)</f>
        <v>29027</v>
      </c>
      <c r="C303" t="str">
        <f>IFERROR(__xludf.DUMMYFUNCTION("""COMPUTED_VALUE"""),"CARDONA VELEZ, MATIAS")</f>
        <v>CARDONA VELEZ, MATIAS</v>
      </c>
      <c r="D303" t="str">
        <f>IFERROR(__xludf.DUMMYFUNCTION("""COMPUTED_VALUE"""),"Science 8A")</f>
        <v>Science 8A</v>
      </c>
      <c r="E303" s="31">
        <f>IFERROR(__xludf.DUMMYFUNCTION("""COMPUTED_VALUE"""),4.0)</f>
        <v>4</v>
      </c>
      <c r="F303" s="8">
        <v>1.0</v>
      </c>
      <c r="G303" s="8">
        <v>1.0</v>
      </c>
      <c r="H303" s="8">
        <v>1.0</v>
      </c>
      <c r="I303" s="8">
        <v>1.0</v>
      </c>
      <c r="J303" s="8">
        <v>1.0</v>
      </c>
      <c r="K303" s="8">
        <v>1.0</v>
      </c>
      <c r="L303" s="8">
        <v>6.0</v>
      </c>
      <c r="M303" s="8"/>
      <c r="N303" s="8"/>
      <c r="O303" s="8" t="s">
        <v>716</v>
      </c>
      <c r="P303" s="8" t="e">
        <v>#N/A</v>
      </c>
    </row>
    <row r="304">
      <c r="A304">
        <f>IFERROR(__xludf.DUMMYFUNCTION("""COMPUTED_VALUE"""),8.0)</f>
        <v>8</v>
      </c>
      <c r="B304">
        <f>IFERROR(__xludf.DUMMYFUNCTION("""COMPUTED_VALUE"""),29028.0)</f>
        <v>29028</v>
      </c>
      <c r="C304" t="str">
        <f>IFERROR(__xludf.DUMMYFUNCTION("""COMPUTED_VALUE"""),"CARVAJAL ACOSTA, MARTIN")</f>
        <v>CARVAJAL ACOSTA, MARTIN</v>
      </c>
      <c r="D304" t="str">
        <f>IFERROR(__xludf.DUMMYFUNCTION("""COMPUTED_VALUE"""),"Science 8")</f>
        <v>Science 8</v>
      </c>
      <c r="E304" s="31">
        <f>IFERROR(__xludf.DUMMYFUNCTION("""COMPUTED_VALUE"""),6.0)</f>
        <v>6</v>
      </c>
      <c r="F304" s="8">
        <v>1.0</v>
      </c>
      <c r="G304" s="8">
        <v>1.0</v>
      </c>
      <c r="H304" s="8">
        <v>1.0</v>
      </c>
      <c r="I304" s="8">
        <v>1.0</v>
      </c>
      <c r="J304" s="8">
        <v>1.0</v>
      </c>
      <c r="K304" s="8">
        <v>1.0</v>
      </c>
      <c r="L304" s="8">
        <v>6.0</v>
      </c>
      <c r="M304" s="8"/>
      <c r="N304" s="8"/>
      <c r="O304" s="8" t="s">
        <v>715</v>
      </c>
      <c r="P304" s="8">
        <v>6.0</v>
      </c>
    </row>
    <row r="305">
      <c r="A305">
        <f>IFERROR(__xludf.DUMMYFUNCTION("""COMPUTED_VALUE"""),8.0)</f>
        <v>8</v>
      </c>
      <c r="B305">
        <f>IFERROR(__xludf.DUMMYFUNCTION("""COMPUTED_VALUE"""),29029.0)</f>
        <v>29029</v>
      </c>
      <c r="C305" t="str">
        <f>IFERROR(__xludf.DUMMYFUNCTION("""COMPUTED_VALUE"""),"CHAVARRIAGA MESA, GREGORIO")</f>
        <v>CHAVARRIAGA MESA, GREGORIO</v>
      </c>
      <c r="D305" t="str">
        <f>IFERROR(__xludf.DUMMYFUNCTION("""COMPUTED_VALUE"""),"Science 8")</f>
        <v>Science 8</v>
      </c>
      <c r="E305" s="31">
        <f>IFERROR(__xludf.DUMMYFUNCTION("""COMPUTED_VALUE"""),2.0)</f>
        <v>2</v>
      </c>
      <c r="F305" s="8">
        <v>1.0</v>
      </c>
      <c r="G305" s="8">
        <v>1.0</v>
      </c>
      <c r="H305" s="8">
        <v>1.0</v>
      </c>
      <c r="I305" s="8">
        <v>1.0</v>
      </c>
      <c r="J305" s="8">
        <v>1.0</v>
      </c>
      <c r="K305" s="8">
        <v>1.0</v>
      </c>
      <c r="L305" s="8">
        <v>6.0</v>
      </c>
      <c r="M305" s="8"/>
      <c r="N305" s="8"/>
      <c r="O305" s="8" t="s">
        <v>714</v>
      </c>
      <c r="P305" s="8">
        <v>6.0</v>
      </c>
    </row>
    <row r="306">
      <c r="A306">
        <f>IFERROR(__xludf.DUMMYFUNCTION("""COMPUTED_VALUE"""),8.0)</f>
        <v>8</v>
      </c>
      <c r="B306">
        <f>IFERROR(__xludf.DUMMYFUNCTION("""COMPUTED_VALUE"""),29136.0)</f>
        <v>29136</v>
      </c>
      <c r="C306" t="str">
        <f>IFERROR(__xludf.DUMMYFUNCTION("""COMPUTED_VALUE"""),"CHOPRA, HARSHUL")</f>
        <v>CHOPRA, HARSHUL</v>
      </c>
      <c r="D306" t="str">
        <f>IFERROR(__xludf.DUMMYFUNCTION("""COMPUTED_VALUE"""),"Science 8")</f>
        <v>Science 8</v>
      </c>
      <c r="E306" s="31">
        <f>IFERROR(__xludf.DUMMYFUNCTION("""COMPUTED_VALUE"""),3.0)</f>
        <v>3</v>
      </c>
      <c r="F306" s="8">
        <v>1.0</v>
      </c>
      <c r="G306" s="8">
        <v>1.0</v>
      </c>
      <c r="H306" s="8">
        <v>1.0</v>
      </c>
      <c r="I306" s="8">
        <v>1.0</v>
      </c>
      <c r="J306" s="8">
        <v>1.0</v>
      </c>
      <c r="K306" s="8">
        <v>1.0</v>
      </c>
      <c r="L306" s="8">
        <v>6.0</v>
      </c>
      <c r="M306" s="8"/>
      <c r="N306" s="8"/>
      <c r="O306" s="8" t="s">
        <v>712</v>
      </c>
      <c r="P306" s="8">
        <v>6.0</v>
      </c>
    </row>
    <row r="307">
      <c r="A307">
        <f>IFERROR(__xludf.DUMMYFUNCTION("""COMPUTED_VALUE"""),8.0)</f>
        <v>8</v>
      </c>
      <c r="B307">
        <f>IFERROR(__xludf.DUMMYFUNCTION("""COMPUTED_VALUE"""),28023.0)</f>
        <v>28023</v>
      </c>
      <c r="C307" t="str">
        <f>IFERROR(__xludf.DUMMYFUNCTION("""COMPUTED_VALUE"""),"CLAVIJO GIRALDO, LORENZO")</f>
        <v>CLAVIJO GIRALDO, LORENZO</v>
      </c>
      <c r="D307" t="str">
        <f>IFERROR(__xludf.DUMMYFUNCTION("""COMPUTED_VALUE"""),"Science 8A")</f>
        <v>Science 8A</v>
      </c>
      <c r="E307" s="31">
        <f>IFERROR(__xludf.DUMMYFUNCTION("""COMPUTED_VALUE"""),4.0)</f>
        <v>4</v>
      </c>
      <c r="F307" s="8">
        <v>1.0</v>
      </c>
      <c r="G307" s="8">
        <v>1.0</v>
      </c>
      <c r="H307" s="8">
        <v>1.0</v>
      </c>
      <c r="I307" s="8">
        <v>1.0</v>
      </c>
      <c r="J307" s="8">
        <v>1.0</v>
      </c>
      <c r="K307" s="8">
        <v>1.0</v>
      </c>
      <c r="L307" s="8">
        <v>6.0</v>
      </c>
      <c r="M307" s="8"/>
      <c r="N307" s="8"/>
      <c r="O307" s="8" t="s">
        <v>716</v>
      </c>
      <c r="P307" s="8" t="e">
        <v>#N/A</v>
      </c>
    </row>
    <row r="308">
      <c r="A308">
        <f>IFERROR(__xludf.DUMMYFUNCTION("""COMPUTED_VALUE"""),8.0)</f>
        <v>8</v>
      </c>
      <c r="B308">
        <f>IFERROR(__xludf.DUMMYFUNCTION("""COMPUTED_VALUE"""),29030.0)</f>
        <v>29030</v>
      </c>
      <c r="C308" t="str">
        <f>IFERROR(__xludf.DUMMYFUNCTION("""COMPUTED_VALUE"""),"COCK ECHEVERRI, JULIETA")</f>
        <v>COCK ECHEVERRI, JULIETA</v>
      </c>
      <c r="D308" t="str">
        <f>IFERROR(__xludf.DUMMYFUNCTION("""COMPUTED_VALUE"""),"Science 8")</f>
        <v>Science 8</v>
      </c>
      <c r="E308" s="31">
        <f>IFERROR(__xludf.DUMMYFUNCTION("""COMPUTED_VALUE"""),3.0)</f>
        <v>3</v>
      </c>
      <c r="F308" s="8">
        <v>1.0</v>
      </c>
      <c r="G308" s="8">
        <v>1.0</v>
      </c>
      <c r="H308" s="8">
        <v>1.0</v>
      </c>
      <c r="I308" s="8">
        <v>1.0</v>
      </c>
      <c r="J308" s="8">
        <v>1.0</v>
      </c>
      <c r="K308" s="8">
        <v>1.0</v>
      </c>
      <c r="L308" s="8">
        <v>6.0</v>
      </c>
      <c r="M308" s="8"/>
      <c r="N308" s="8"/>
      <c r="O308" s="8" t="s">
        <v>712</v>
      </c>
      <c r="P308" s="8">
        <v>6.0</v>
      </c>
    </row>
    <row r="309">
      <c r="A309">
        <f>IFERROR(__xludf.DUMMYFUNCTION("""COMPUTED_VALUE"""),8.0)</f>
        <v>8</v>
      </c>
      <c r="B309">
        <f>IFERROR(__xludf.DUMMYFUNCTION("""COMPUTED_VALUE"""),29164.0)</f>
        <v>29164</v>
      </c>
      <c r="C309" t="str">
        <f>IFERROR(__xludf.DUMMYFUNCTION("""COMPUTED_VALUE"""),"CONCHA VELASCO, LORENZO")</f>
        <v>CONCHA VELASCO, LORENZO</v>
      </c>
      <c r="D309" t="str">
        <f>IFERROR(__xludf.DUMMYFUNCTION("""COMPUTED_VALUE"""),"Science 8")</f>
        <v>Science 8</v>
      </c>
      <c r="E309" s="31">
        <f>IFERROR(__xludf.DUMMYFUNCTION("""COMPUTED_VALUE"""),4.0)</f>
        <v>4</v>
      </c>
      <c r="F309" s="8">
        <v>1.0</v>
      </c>
      <c r="G309" s="8">
        <v>1.0</v>
      </c>
      <c r="H309" s="8">
        <v>1.0</v>
      </c>
      <c r="I309" s="8">
        <v>1.0</v>
      </c>
      <c r="J309" s="8">
        <v>1.0</v>
      </c>
      <c r="K309" s="8">
        <v>1.0</v>
      </c>
      <c r="L309" s="8">
        <v>6.0</v>
      </c>
      <c r="M309" s="8"/>
      <c r="N309" s="8"/>
      <c r="O309" s="8" t="s">
        <v>713</v>
      </c>
      <c r="P309" s="8">
        <v>6.0</v>
      </c>
    </row>
    <row r="310">
      <c r="A310">
        <f>IFERROR(__xludf.DUMMYFUNCTION("""COMPUTED_VALUE"""),8.0)</f>
        <v>8</v>
      </c>
      <c r="B310">
        <f>IFERROR(__xludf.DUMMYFUNCTION("""COMPUTED_VALUE"""),29032.0)</f>
        <v>29032</v>
      </c>
      <c r="C310" t="str">
        <f>IFERROR(__xludf.DUMMYFUNCTION("""COMPUTED_VALUE"""),"CORTES SIERRA, TOMAS")</f>
        <v>CORTES SIERRA, TOMAS</v>
      </c>
      <c r="D310" t="str">
        <f>IFERROR(__xludf.DUMMYFUNCTION("""COMPUTED_VALUE"""),"Science 8")</f>
        <v>Science 8</v>
      </c>
      <c r="E310" s="31">
        <f>IFERROR(__xludf.DUMMYFUNCTION("""COMPUTED_VALUE"""),2.0)</f>
        <v>2</v>
      </c>
      <c r="F310" s="8">
        <v>1.0</v>
      </c>
      <c r="G310" s="8">
        <v>1.0</v>
      </c>
      <c r="H310" s="8">
        <v>1.0</v>
      </c>
      <c r="I310" s="8">
        <v>1.0</v>
      </c>
      <c r="J310" s="8">
        <v>1.0</v>
      </c>
      <c r="K310" s="8">
        <v>1.0</v>
      </c>
      <c r="L310" s="8">
        <v>6.0</v>
      </c>
      <c r="M310" s="8"/>
      <c r="N310" s="8"/>
      <c r="O310" s="8" t="s">
        <v>714</v>
      </c>
      <c r="P310" s="8">
        <v>6.0</v>
      </c>
    </row>
    <row r="311">
      <c r="A311">
        <f>IFERROR(__xludf.DUMMYFUNCTION("""COMPUTED_VALUE"""),8.0)</f>
        <v>8</v>
      </c>
      <c r="B311">
        <f>IFERROR(__xludf.DUMMYFUNCTION("""COMPUTED_VALUE"""),29165.0)</f>
        <v>29165</v>
      </c>
      <c r="C311" t="str">
        <f>IFERROR(__xludf.DUMMYFUNCTION("""COMPUTED_VALUE"""),"DOMINGUEZ JORGENSEN, MARCELO")</f>
        <v>DOMINGUEZ JORGENSEN, MARCELO</v>
      </c>
      <c r="D311" t="str">
        <f>IFERROR(__xludf.DUMMYFUNCTION("""COMPUTED_VALUE"""),"Science 8")</f>
        <v>Science 8</v>
      </c>
      <c r="E311" s="31">
        <f>IFERROR(__xludf.DUMMYFUNCTION("""COMPUTED_VALUE"""),4.0)</f>
        <v>4</v>
      </c>
      <c r="F311" s="8">
        <v>1.0</v>
      </c>
      <c r="G311" s="8">
        <v>1.0</v>
      </c>
      <c r="H311" s="8">
        <v>1.0</v>
      </c>
      <c r="I311" s="8">
        <v>1.0</v>
      </c>
      <c r="J311" s="8">
        <v>1.0</v>
      </c>
      <c r="K311" s="8">
        <v>1.0</v>
      </c>
      <c r="L311" s="8">
        <v>6.0</v>
      </c>
      <c r="M311" s="8"/>
      <c r="N311" s="8"/>
      <c r="O311" s="8" t="s">
        <v>713</v>
      </c>
      <c r="P311" s="8">
        <v>6.0</v>
      </c>
    </row>
    <row r="312">
      <c r="A312">
        <f>IFERROR(__xludf.DUMMYFUNCTION("""COMPUTED_VALUE"""),8.0)</f>
        <v>8</v>
      </c>
      <c r="B312">
        <f>IFERROR(__xludf.DUMMYFUNCTION("""COMPUTED_VALUE"""),29034.0)</f>
        <v>29034</v>
      </c>
      <c r="C312" t="str">
        <f>IFERROR(__xludf.DUMMYFUNCTION("""COMPUTED_VALUE"""),"DUQUE BONNETT, ELISA")</f>
        <v>DUQUE BONNETT, ELISA</v>
      </c>
      <c r="D312" t="str">
        <f>IFERROR(__xludf.DUMMYFUNCTION("""COMPUTED_VALUE"""),"Science 8")</f>
        <v>Science 8</v>
      </c>
      <c r="E312" s="31">
        <f>IFERROR(__xludf.DUMMYFUNCTION("""COMPUTED_VALUE"""),5.0)</f>
        <v>5</v>
      </c>
      <c r="F312" s="8">
        <v>1.0</v>
      </c>
      <c r="G312" s="8">
        <v>1.0</v>
      </c>
      <c r="H312" s="8">
        <v>1.0</v>
      </c>
      <c r="I312" s="8">
        <v>1.0</v>
      </c>
      <c r="J312" s="8">
        <v>1.0</v>
      </c>
      <c r="K312" s="8">
        <v>1.0</v>
      </c>
      <c r="L312" s="8">
        <v>6.0</v>
      </c>
      <c r="M312" s="8"/>
      <c r="N312" s="8"/>
      <c r="O312" s="8" t="s">
        <v>711</v>
      </c>
      <c r="P312" s="8">
        <v>6.0</v>
      </c>
    </row>
    <row r="313">
      <c r="A313">
        <f>IFERROR(__xludf.DUMMYFUNCTION("""COMPUTED_VALUE"""),8.0)</f>
        <v>8</v>
      </c>
      <c r="B313">
        <f>IFERROR(__xludf.DUMMYFUNCTION("""COMPUTED_VALUE"""),29035.0)</f>
        <v>29035</v>
      </c>
      <c r="C313" t="str">
        <f>IFERROR(__xludf.DUMMYFUNCTION("""COMPUTED_VALUE"""),"DURAN CALAD, MIGUEL")</f>
        <v>DURAN CALAD, MIGUEL</v>
      </c>
      <c r="D313" t="str">
        <f>IFERROR(__xludf.DUMMYFUNCTION("""COMPUTED_VALUE"""),"Science 8A")</f>
        <v>Science 8A</v>
      </c>
      <c r="E313" s="31">
        <f>IFERROR(__xludf.DUMMYFUNCTION("""COMPUTED_VALUE"""),4.0)</f>
        <v>4</v>
      </c>
      <c r="F313" s="8">
        <v>1.0</v>
      </c>
      <c r="G313" s="8">
        <v>1.0</v>
      </c>
      <c r="H313" s="8">
        <v>1.0</v>
      </c>
      <c r="I313" s="8">
        <v>1.0</v>
      </c>
      <c r="J313" s="8">
        <v>1.0</v>
      </c>
      <c r="K313" s="8">
        <v>1.0</v>
      </c>
      <c r="L313" s="8">
        <v>6.0</v>
      </c>
      <c r="M313" s="8"/>
      <c r="N313" s="8"/>
      <c r="O313" s="8" t="s">
        <v>716</v>
      </c>
      <c r="P313" s="8" t="e">
        <v>#N/A</v>
      </c>
    </row>
    <row r="314">
      <c r="A314">
        <f>IFERROR(__xludf.DUMMYFUNCTION("""COMPUTED_VALUE"""),8.0)</f>
        <v>8</v>
      </c>
      <c r="B314">
        <f>IFERROR(__xludf.DUMMYFUNCTION("""COMPUTED_VALUE"""),29135.0)</f>
        <v>29135</v>
      </c>
      <c r="C314" t="str">
        <f>IFERROR(__xludf.DUMMYFUNCTION("""COMPUTED_VALUE"""),"ECHAVARRIA MUÑOZ, NICOLAS")</f>
        <v>ECHAVARRIA MUÑOZ, NICOLAS</v>
      </c>
      <c r="D314" t="str">
        <f>IFERROR(__xludf.DUMMYFUNCTION("""COMPUTED_VALUE"""),"Science 8")</f>
        <v>Science 8</v>
      </c>
      <c r="E314" s="31">
        <f>IFERROR(__xludf.DUMMYFUNCTION("""COMPUTED_VALUE"""),5.0)</f>
        <v>5</v>
      </c>
      <c r="F314" s="8">
        <v>1.0</v>
      </c>
      <c r="G314" s="8">
        <v>1.0</v>
      </c>
      <c r="H314" s="8">
        <v>1.0</v>
      </c>
      <c r="I314" s="8">
        <v>1.0</v>
      </c>
      <c r="J314" s="8">
        <v>1.0</v>
      </c>
      <c r="K314" s="8">
        <v>1.0</v>
      </c>
      <c r="L314" s="8">
        <v>6.0</v>
      </c>
      <c r="M314" s="8"/>
      <c r="N314" s="8"/>
      <c r="O314" s="8" t="s">
        <v>711</v>
      </c>
      <c r="P314" s="8">
        <v>6.0</v>
      </c>
    </row>
    <row r="315">
      <c r="A315">
        <f>IFERROR(__xludf.DUMMYFUNCTION("""COMPUTED_VALUE"""),8.0)</f>
        <v>8</v>
      </c>
      <c r="B315">
        <f>IFERROR(__xludf.DUMMYFUNCTION("""COMPUTED_VALUE"""),29138.0)</f>
        <v>29138</v>
      </c>
      <c r="C315" t="str">
        <f>IFERROR(__xludf.DUMMYFUNCTION("""COMPUTED_VALUE"""),"ECHAVARRIA ROLDAN, TOMAS")</f>
        <v>ECHAVARRIA ROLDAN, TOMAS</v>
      </c>
      <c r="D315" t="str">
        <f>IFERROR(__xludf.DUMMYFUNCTION("""COMPUTED_VALUE"""),"Science 8")</f>
        <v>Science 8</v>
      </c>
      <c r="E315" s="31">
        <f>IFERROR(__xludf.DUMMYFUNCTION("""COMPUTED_VALUE"""),4.0)</f>
        <v>4</v>
      </c>
      <c r="F315" s="8">
        <v>1.0</v>
      </c>
      <c r="G315" s="8">
        <v>1.0</v>
      </c>
      <c r="H315" s="8">
        <v>1.0</v>
      </c>
      <c r="I315" s="8">
        <v>1.0</v>
      </c>
      <c r="J315" s="8">
        <v>1.0</v>
      </c>
      <c r="K315" s="8">
        <v>1.0</v>
      </c>
      <c r="L315" s="8">
        <v>6.0</v>
      </c>
      <c r="M315" s="8"/>
      <c r="N315" s="8"/>
      <c r="O315" s="8" t="s">
        <v>713</v>
      </c>
      <c r="P315" s="8">
        <v>6.0</v>
      </c>
    </row>
    <row r="316">
      <c r="A316">
        <f>IFERROR(__xludf.DUMMYFUNCTION("""COMPUTED_VALUE"""),8.0)</f>
        <v>8</v>
      </c>
      <c r="B316">
        <f>IFERROR(__xludf.DUMMYFUNCTION("""COMPUTED_VALUE"""),29036.0)</f>
        <v>29036</v>
      </c>
      <c r="C316" t="str">
        <f>IFERROR(__xludf.DUMMYFUNCTION("""COMPUTED_VALUE"""),"ECHEVERRI ESCOBAR, RODRIGO")</f>
        <v>ECHEVERRI ESCOBAR, RODRIGO</v>
      </c>
      <c r="D316" t="str">
        <f>IFERROR(__xludf.DUMMYFUNCTION("""COMPUTED_VALUE"""),"Science 8")</f>
        <v>Science 8</v>
      </c>
      <c r="E316" s="31">
        <f>IFERROR(__xludf.DUMMYFUNCTION("""COMPUTED_VALUE"""),2.0)</f>
        <v>2</v>
      </c>
      <c r="F316" s="8">
        <v>1.0</v>
      </c>
      <c r="G316" s="8">
        <v>1.0</v>
      </c>
      <c r="H316" s="8">
        <v>1.0</v>
      </c>
      <c r="I316" s="8">
        <v>1.0</v>
      </c>
      <c r="J316" s="8">
        <v>1.0</v>
      </c>
      <c r="K316" s="8">
        <v>1.0</v>
      </c>
      <c r="L316" s="8">
        <v>6.0</v>
      </c>
      <c r="M316" s="8"/>
      <c r="N316" s="8"/>
      <c r="O316" s="8" t="s">
        <v>714</v>
      </c>
      <c r="P316" s="8">
        <v>6.0</v>
      </c>
    </row>
    <row r="317">
      <c r="A317">
        <f>IFERROR(__xludf.DUMMYFUNCTION("""COMPUTED_VALUE"""),8.0)</f>
        <v>8</v>
      </c>
      <c r="B317">
        <f>IFERROR(__xludf.DUMMYFUNCTION("""COMPUTED_VALUE"""),29037.0)</f>
        <v>29037</v>
      </c>
      <c r="C317" t="str">
        <f>IFERROR(__xludf.DUMMYFUNCTION("""COMPUTED_VALUE"""),"ESCOBAR INFANTINO, RAQUEL")</f>
        <v>ESCOBAR INFANTINO, RAQUEL</v>
      </c>
      <c r="D317" t="str">
        <f>IFERROR(__xludf.DUMMYFUNCTION("""COMPUTED_VALUE"""),"Science 8")</f>
        <v>Science 8</v>
      </c>
      <c r="E317" s="31">
        <f>IFERROR(__xludf.DUMMYFUNCTION("""COMPUTED_VALUE"""),6.0)</f>
        <v>6</v>
      </c>
      <c r="F317" s="8">
        <v>1.0</v>
      </c>
      <c r="G317" s="8">
        <v>1.0</v>
      </c>
      <c r="H317" s="8">
        <v>1.0</v>
      </c>
      <c r="I317" s="8">
        <v>1.0</v>
      </c>
      <c r="J317" s="8">
        <v>1.0</v>
      </c>
      <c r="K317" s="8">
        <v>1.0</v>
      </c>
      <c r="L317" s="8">
        <v>6.0</v>
      </c>
      <c r="M317" s="8"/>
      <c r="N317" s="8"/>
      <c r="O317" s="8" t="s">
        <v>715</v>
      </c>
      <c r="P317" s="8">
        <v>6.0</v>
      </c>
    </row>
    <row r="318">
      <c r="A318">
        <f>IFERROR(__xludf.DUMMYFUNCTION("""COMPUTED_VALUE"""),8.0)</f>
        <v>8</v>
      </c>
      <c r="B318">
        <f>IFERROR(__xludf.DUMMYFUNCTION("""COMPUTED_VALUE"""),29038.0)</f>
        <v>29038</v>
      </c>
      <c r="C318" t="str">
        <f>IFERROR(__xludf.DUMMYFUNCTION("""COMPUTED_VALUE"""),"ESCOBAR MADRID, MAXIMILIANO")</f>
        <v>ESCOBAR MADRID, MAXIMILIANO</v>
      </c>
      <c r="D318" t="str">
        <f>IFERROR(__xludf.DUMMYFUNCTION("""COMPUTED_VALUE"""),"Science 8")</f>
        <v>Science 8</v>
      </c>
      <c r="E318" s="31">
        <f>IFERROR(__xludf.DUMMYFUNCTION("""COMPUTED_VALUE"""),2.0)</f>
        <v>2</v>
      </c>
      <c r="F318" s="8">
        <v>1.0</v>
      </c>
      <c r="G318" s="8">
        <v>1.0</v>
      </c>
      <c r="H318" s="8">
        <v>1.0</v>
      </c>
      <c r="I318" s="8">
        <v>1.0</v>
      </c>
      <c r="J318" s="8">
        <v>1.0</v>
      </c>
      <c r="K318" s="8">
        <v>1.0</v>
      </c>
      <c r="L318" s="8">
        <v>6.0</v>
      </c>
      <c r="M318" s="8"/>
      <c r="N318" s="8"/>
      <c r="O318" s="8" t="s">
        <v>714</v>
      </c>
      <c r="P318" s="8">
        <v>6.0</v>
      </c>
    </row>
    <row r="319">
      <c r="A319">
        <f>IFERROR(__xludf.DUMMYFUNCTION("""COMPUTED_VALUE"""),8.0)</f>
        <v>8</v>
      </c>
      <c r="B319">
        <f>IFERROR(__xludf.DUMMYFUNCTION("""COMPUTED_VALUE"""),29039.0)</f>
        <v>29039</v>
      </c>
      <c r="C319" t="str">
        <f>IFERROR(__xludf.DUMMYFUNCTION("""COMPUTED_VALUE"""),"ESPINOSA ABAD, GREGORIO")</f>
        <v>ESPINOSA ABAD, GREGORIO</v>
      </c>
      <c r="D319" t="str">
        <f>IFERROR(__xludf.DUMMYFUNCTION("""COMPUTED_VALUE"""),"Science 8")</f>
        <v>Science 8</v>
      </c>
      <c r="E319" s="31">
        <f>IFERROR(__xludf.DUMMYFUNCTION("""COMPUTED_VALUE"""),2.0)</f>
        <v>2</v>
      </c>
      <c r="F319" s="8">
        <v>1.0</v>
      </c>
      <c r="G319" s="8">
        <v>1.0</v>
      </c>
      <c r="H319" s="8">
        <v>1.0</v>
      </c>
      <c r="I319" s="8">
        <v>1.0</v>
      </c>
      <c r="J319" s="8">
        <v>1.0</v>
      </c>
      <c r="K319" s="8">
        <v>1.0</v>
      </c>
      <c r="L319" s="8">
        <v>6.0</v>
      </c>
      <c r="M319" s="8"/>
      <c r="N319" s="8"/>
      <c r="O319" s="8" t="s">
        <v>714</v>
      </c>
      <c r="P319" s="8">
        <v>6.0</v>
      </c>
    </row>
    <row r="320">
      <c r="A320">
        <f>IFERROR(__xludf.DUMMYFUNCTION("""COMPUTED_VALUE"""),8.0)</f>
        <v>8</v>
      </c>
      <c r="B320">
        <f>IFERROR(__xludf.DUMMYFUNCTION("""COMPUTED_VALUE"""),29040.0)</f>
        <v>29040</v>
      </c>
      <c r="C320" t="str">
        <f>IFERROR(__xludf.DUMMYFUNCTION("""COMPUTED_VALUE"""),"ESTRADA ZAPATA, MARTIN")</f>
        <v>ESTRADA ZAPATA, MARTIN</v>
      </c>
      <c r="D320" t="str">
        <f>IFERROR(__xludf.DUMMYFUNCTION("""COMPUTED_VALUE"""),"Science 8")</f>
        <v>Science 8</v>
      </c>
      <c r="E320" s="31">
        <f>IFERROR(__xludf.DUMMYFUNCTION("""COMPUTED_VALUE"""),2.0)</f>
        <v>2</v>
      </c>
      <c r="F320" s="8">
        <v>1.0</v>
      </c>
      <c r="G320" s="8">
        <v>1.0</v>
      </c>
      <c r="H320" s="8">
        <v>1.0</v>
      </c>
      <c r="I320" s="8">
        <v>1.0</v>
      </c>
      <c r="J320" s="8">
        <v>1.0</v>
      </c>
      <c r="K320" s="8">
        <v>1.0</v>
      </c>
      <c r="L320" s="8">
        <v>6.0</v>
      </c>
      <c r="M320" s="8"/>
      <c r="N320" s="8"/>
      <c r="O320" s="8" t="s">
        <v>714</v>
      </c>
      <c r="P320" s="8">
        <v>6.0</v>
      </c>
    </row>
    <row r="321">
      <c r="A321">
        <f>IFERROR(__xludf.DUMMYFUNCTION("""COMPUTED_VALUE"""),8.0)</f>
        <v>8</v>
      </c>
      <c r="B321">
        <f>IFERROR(__xludf.DUMMYFUNCTION("""COMPUTED_VALUE"""),29041.0)</f>
        <v>29041</v>
      </c>
      <c r="C321" t="str">
        <f>IFERROR(__xludf.DUMMYFUNCTION("""COMPUTED_VALUE"""),"FAJARDO VILLA, LUCIANA")</f>
        <v>FAJARDO VILLA, LUCIANA</v>
      </c>
      <c r="D321" t="str">
        <f>IFERROR(__xludf.DUMMYFUNCTION("""COMPUTED_VALUE"""),"Science 8")</f>
        <v>Science 8</v>
      </c>
      <c r="E321" s="31">
        <f>IFERROR(__xludf.DUMMYFUNCTION("""COMPUTED_VALUE"""),2.0)</f>
        <v>2</v>
      </c>
      <c r="F321" s="8">
        <v>1.0</v>
      </c>
      <c r="G321" s="8">
        <v>1.0</v>
      </c>
      <c r="H321" s="8">
        <v>1.0</v>
      </c>
      <c r="I321" s="8">
        <v>1.0</v>
      </c>
      <c r="J321" s="8">
        <v>1.0</v>
      </c>
      <c r="K321" s="8">
        <v>1.0</v>
      </c>
      <c r="L321" s="8">
        <v>6.0</v>
      </c>
      <c r="M321" s="8"/>
      <c r="N321" s="8"/>
      <c r="O321" s="8" t="s">
        <v>714</v>
      </c>
      <c r="P321" s="8">
        <v>6.0</v>
      </c>
    </row>
    <row r="322">
      <c r="A322">
        <f>IFERROR(__xludf.DUMMYFUNCTION("""COMPUTED_VALUE"""),8.0)</f>
        <v>8</v>
      </c>
      <c r="B322">
        <f>IFERROR(__xludf.DUMMYFUNCTION("""COMPUTED_VALUE"""),29155.0)</f>
        <v>29155</v>
      </c>
      <c r="C322" t="str">
        <f>IFERROR(__xludf.DUMMYFUNCTION("""COMPUTED_VALUE"""),"FERNANDEZ CALDERON, HANNA")</f>
        <v>FERNANDEZ CALDERON, HANNA</v>
      </c>
      <c r="D322" t="str">
        <f>IFERROR(__xludf.DUMMYFUNCTION("""COMPUTED_VALUE"""),"Science 8")</f>
        <v>Science 8</v>
      </c>
      <c r="E322" s="31">
        <f>IFERROR(__xludf.DUMMYFUNCTION("""COMPUTED_VALUE"""),3.0)</f>
        <v>3</v>
      </c>
      <c r="F322" s="8">
        <v>1.0</v>
      </c>
      <c r="G322" s="8">
        <v>1.0</v>
      </c>
      <c r="H322" s="8">
        <v>1.0</v>
      </c>
      <c r="I322" s="8">
        <v>1.0</v>
      </c>
      <c r="J322" s="8">
        <v>1.0</v>
      </c>
      <c r="K322" s="8">
        <v>1.0</v>
      </c>
      <c r="L322" s="8">
        <v>6.0</v>
      </c>
      <c r="M322" s="8"/>
      <c r="N322" s="8"/>
      <c r="O322" s="8" t="s">
        <v>712</v>
      </c>
      <c r="P322" s="8">
        <v>6.0</v>
      </c>
    </row>
    <row r="323">
      <c r="A323">
        <f>IFERROR(__xludf.DUMMYFUNCTION("""COMPUTED_VALUE"""),8.0)</f>
        <v>8</v>
      </c>
      <c r="B323">
        <f>IFERROR(__xludf.DUMMYFUNCTION("""COMPUTED_VALUE"""),29156.0)</f>
        <v>29156</v>
      </c>
      <c r="C323" t="str">
        <f>IFERROR(__xludf.DUMMYFUNCTION("""COMPUTED_VALUE"""),"FERNANDEZ CALDERON, TAMARA")</f>
        <v>FERNANDEZ CALDERON, TAMARA</v>
      </c>
      <c r="D323" t="str">
        <f>IFERROR(__xludf.DUMMYFUNCTION("""COMPUTED_VALUE"""),"Science 8")</f>
        <v>Science 8</v>
      </c>
      <c r="E323" s="31">
        <f>IFERROR(__xludf.DUMMYFUNCTION("""COMPUTED_VALUE"""),2.0)</f>
        <v>2</v>
      </c>
      <c r="F323" s="8">
        <v>1.0</v>
      </c>
      <c r="G323" s="8">
        <v>1.0</v>
      </c>
      <c r="H323" s="8">
        <v>1.0</v>
      </c>
      <c r="I323" s="8">
        <v>1.0</v>
      </c>
      <c r="J323" s="8">
        <v>1.0</v>
      </c>
      <c r="K323" s="8">
        <v>1.0</v>
      </c>
      <c r="L323" s="8">
        <v>6.0</v>
      </c>
      <c r="M323" s="8"/>
      <c r="N323" s="8"/>
      <c r="O323" s="8" t="s">
        <v>714</v>
      </c>
      <c r="P323" s="8">
        <v>6.0</v>
      </c>
    </row>
    <row r="324">
      <c r="A324">
        <f>IFERROR(__xludf.DUMMYFUNCTION("""COMPUTED_VALUE"""),8.0)</f>
        <v>8</v>
      </c>
      <c r="B324">
        <f>IFERROR(__xludf.DUMMYFUNCTION("""COMPUTED_VALUE"""),28032.0)</f>
        <v>28032</v>
      </c>
      <c r="C324" t="str">
        <f>IFERROR(__xludf.DUMMYFUNCTION("""COMPUTED_VALUE"""),"GALLON TOBON, GERONIMO")</f>
        <v>GALLON TOBON, GERONIMO</v>
      </c>
      <c r="D324" t="str">
        <f>IFERROR(__xludf.DUMMYFUNCTION("""COMPUTED_VALUE"""),"Science 8")</f>
        <v>Science 8</v>
      </c>
      <c r="E324" s="31">
        <f>IFERROR(__xludf.DUMMYFUNCTION("""COMPUTED_VALUE"""),4.0)</f>
        <v>4</v>
      </c>
      <c r="F324" s="8">
        <v>1.0</v>
      </c>
      <c r="G324" s="8">
        <v>1.0</v>
      </c>
      <c r="H324" s="8">
        <v>1.0</v>
      </c>
      <c r="I324" s="8">
        <v>1.0</v>
      </c>
      <c r="J324" s="8">
        <v>1.0</v>
      </c>
      <c r="K324" s="8">
        <v>1.0</v>
      </c>
      <c r="L324" s="8">
        <v>6.0</v>
      </c>
      <c r="M324" s="8"/>
      <c r="N324" s="8"/>
      <c r="O324" s="8" t="s">
        <v>713</v>
      </c>
      <c r="P324" s="8">
        <v>6.0</v>
      </c>
    </row>
    <row r="325">
      <c r="A325">
        <f>IFERROR(__xludf.DUMMYFUNCTION("""COMPUTED_VALUE"""),8.0)</f>
        <v>8</v>
      </c>
      <c r="B325">
        <f>IFERROR(__xludf.DUMMYFUNCTION("""COMPUTED_VALUE"""),29042.0)</f>
        <v>29042</v>
      </c>
      <c r="C325" t="str">
        <f>IFERROR(__xludf.DUMMYFUNCTION("""COMPUTED_VALUE"""),"GOMEZ MIRA, GREGORIO")</f>
        <v>GOMEZ MIRA, GREGORIO</v>
      </c>
      <c r="D325" t="str">
        <f>IFERROR(__xludf.DUMMYFUNCTION("""COMPUTED_VALUE"""),"Science 8")</f>
        <v>Science 8</v>
      </c>
      <c r="E325" s="31">
        <f>IFERROR(__xludf.DUMMYFUNCTION("""COMPUTED_VALUE"""),4.0)</f>
        <v>4</v>
      </c>
      <c r="F325" s="8">
        <v>1.0</v>
      </c>
      <c r="G325" s="8">
        <v>1.0</v>
      </c>
      <c r="H325" s="8">
        <v>1.0</v>
      </c>
      <c r="I325" s="8">
        <v>1.0</v>
      </c>
      <c r="J325" s="8">
        <v>1.0</v>
      </c>
      <c r="K325" s="8">
        <v>1.0</v>
      </c>
      <c r="L325" s="8">
        <v>6.0</v>
      </c>
      <c r="M325" s="8"/>
      <c r="N325" s="8"/>
      <c r="O325" s="8" t="s">
        <v>713</v>
      </c>
      <c r="P325" s="8">
        <v>6.0</v>
      </c>
    </row>
    <row r="326">
      <c r="A326">
        <f>IFERROR(__xludf.DUMMYFUNCTION("""COMPUTED_VALUE"""),8.0)</f>
        <v>8</v>
      </c>
      <c r="B326">
        <f>IFERROR(__xludf.DUMMYFUNCTION("""COMPUTED_VALUE"""),29043.0)</f>
        <v>29043</v>
      </c>
      <c r="C326" t="str">
        <f>IFERROR(__xludf.DUMMYFUNCTION("""COMPUTED_VALUE"""),"GOMEZ PASCHKE, VALERIA")</f>
        <v>GOMEZ PASCHKE, VALERIA</v>
      </c>
      <c r="D326" t="str">
        <f>IFERROR(__xludf.DUMMYFUNCTION("""COMPUTED_VALUE"""),"Science 8")</f>
        <v>Science 8</v>
      </c>
      <c r="E326" s="31">
        <f>IFERROR(__xludf.DUMMYFUNCTION("""COMPUTED_VALUE"""),5.0)</f>
        <v>5</v>
      </c>
      <c r="F326" s="8">
        <v>1.0</v>
      </c>
      <c r="G326" s="8">
        <v>1.0</v>
      </c>
      <c r="H326" s="8">
        <v>1.0</v>
      </c>
      <c r="I326" s="8">
        <v>1.0</v>
      </c>
      <c r="J326" s="8">
        <v>1.0</v>
      </c>
      <c r="K326" s="8">
        <v>1.0</v>
      </c>
      <c r="L326" s="8">
        <v>6.0</v>
      </c>
      <c r="M326" s="8"/>
      <c r="N326" s="8"/>
      <c r="O326" s="8" t="s">
        <v>711</v>
      </c>
      <c r="P326" s="8">
        <v>6.0</v>
      </c>
    </row>
    <row r="327">
      <c r="A327">
        <f>IFERROR(__xludf.DUMMYFUNCTION("""COMPUTED_VALUE"""),8.0)</f>
        <v>8</v>
      </c>
      <c r="B327">
        <f>IFERROR(__xludf.DUMMYFUNCTION("""COMPUTED_VALUE"""),29045.0)</f>
        <v>29045</v>
      </c>
      <c r="C327" t="str">
        <f>IFERROR(__xludf.DUMMYFUNCTION("""COMPUTED_VALUE"""),"GOMEZ ZULUAGA, JUAN JOSE")</f>
        <v>GOMEZ ZULUAGA, JUAN JOSE</v>
      </c>
      <c r="D327" t="str">
        <f>IFERROR(__xludf.DUMMYFUNCTION("""COMPUTED_VALUE"""),"Science 8")</f>
        <v>Science 8</v>
      </c>
      <c r="E327" s="31">
        <f>IFERROR(__xludf.DUMMYFUNCTION("""COMPUTED_VALUE"""),6.0)</f>
        <v>6</v>
      </c>
      <c r="F327" s="8">
        <v>1.0</v>
      </c>
      <c r="G327" s="8">
        <v>1.0</v>
      </c>
      <c r="H327" s="8">
        <v>1.0</v>
      </c>
      <c r="I327" s="8">
        <v>1.0</v>
      </c>
      <c r="J327" s="8">
        <v>1.0</v>
      </c>
      <c r="K327" s="8">
        <v>1.0</v>
      </c>
      <c r="L327" s="8">
        <v>6.0</v>
      </c>
      <c r="M327" s="8"/>
      <c r="N327" s="8"/>
      <c r="O327" s="8" t="s">
        <v>715</v>
      </c>
      <c r="P327" s="8">
        <v>6.0</v>
      </c>
    </row>
    <row r="328">
      <c r="A328">
        <f>IFERROR(__xludf.DUMMYFUNCTION("""COMPUTED_VALUE"""),8.0)</f>
        <v>8</v>
      </c>
      <c r="B328">
        <f>IFERROR(__xludf.DUMMYFUNCTION("""COMPUTED_VALUE"""),29046.0)</f>
        <v>29046</v>
      </c>
      <c r="C328" t="str">
        <f>IFERROR(__xludf.DUMMYFUNCTION("""COMPUTED_VALUE"""),"GONZALEZ LOPEZ, SAMUEL")</f>
        <v>GONZALEZ LOPEZ, SAMUEL</v>
      </c>
      <c r="D328" t="str">
        <f>IFERROR(__xludf.DUMMYFUNCTION("""COMPUTED_VALUE"""),"Science 8A")</f>
        <v>Science 8A</v>
      </c>
      <c r="E328" s="31">
        <f>IFERROR(__xludf.DUMMYFUNCTION("""COMPUTED_VALUE"""),4.0)</f>
        <v>4</v>
      </c>
      <c r="F328" s="8">
        <v>1.0</v>
      </c>
      <c r="G328" s="8">
        <v>1.0</v>
      </c>
      <c r="H328" s="8">
        <v>1.0</v>
      </c>
      <c r="I328" s="8">
        <v>1.0</v>
      </c>
      <c r="J328" s="8">
        <v>1.0</v>
      </c>
      <c r="K328" s="8">
        <v>1.0</v>
      </c>
      <c r="L328" s="8">
        <v>6.0</v>
      </c>
      <c r="M328" s="8"/>
      <c r="N328" s="8"/>
      <c r="O328" s="8" t="s">
        <v>716</v>
      </c>
      <c r="P328" s="8" t="e">
        <v>#N/A</v>
      </c>
    </row>
    <row r="329">
      <c r="A329">
        <f>IFERROR(__xludf.DUMMYFUNCTION("""COMPUTED_VALUE"""),8.0)</f>
        <v>8</v>
      </c>
      <c r="B329">
        <f>IFERROR(__xludf.DUMMYFUNCTION("""COMPUTED_VALUE"""),29048.0)</f>
        <v>29048</v>
      </c>
      <c r="C329" t="str">
        <f>IFERROR(__xludf.DUMMYFUNCTION("""COMPUTED_VALUE"""),"HENAO RESTREPO, ANTONIA")</f>
        <v>HENAO RESTREPO, ANTONIA</v>
      </c>
      <c r="D329" t="str">
        <f>IFERROR(__xludf.DUMMYFUNCTION("""COMPUTED_VALUE"""),"Science 8")</f>
        <v>Science 8</v>
      </c>
      <c r="E329" s="31">
        <f>IFERROR(__xludf.DUMMYFUNCTION("""COMPUTED_VALUE"""),6.0)</f>
        <v>6</v>
      </c>
      <c r="F329" s="8">
        <v>1.0</v>
      </c>
      <c r="G329" s="8">
        <v>1.0</v>
      </c>
      <c r="H329" s="8">
        <v>1.0</v>
      </c>
      <c r="I329" s="8">
        <v>1.0</v>
      </c>
      <c r="J329" s="8">
        <v>1.0</v>
      </c>
      <c r="K329" s="8">
        <v>1.0</v>
      </c>
      <c r="L329" s="8">
        <v>6.0</v>
      </c>
      <c r="M329" s="8"/>
      <c r="N329" s="8"/>
      <c r="O329" s="8" t="s">
        <v>715</v>
      </c>
      <c r="P329" s="8">
        <v>6.0</v>
      </c>
    </row>
    <row r="330">
      <c r="A330">
        <f>IFERROR(__xludf.DUMMYFUNCTION("""COMPUTED_VALUE"""),8.0)</f>
        <v>8</v>
      </c>
      <c r="B330">
        <f>IFERROR(__xludf.DUMMYFUNCTION("""COMPUTED_VALUE"""),29049.0)</f>
        <v>29049</v>
      </c>
      <c r="C330" t="str">
        <f>IFERROR(__xludf.DUMMYFUNCTION("""COMPUTED_VALUE"""),"HINESTROSA SIERRA, MIGUEL")</f>
        <v>HINESTROSA SIERRA, MIGUEL</v>
      </c>
      <c r="D330" t="str">
        <f>IFERROR(__xludf.DUMMYFUNCTION("""COMPUTED_VALUE"""),"Science 8")</f>
        <v>Science 8</v>
      </c>
      <c r="E330" s="31">
        <f>IFERROR(__xludf.DUMMYFUNCTION("""COMPUTED_VALUE"""),2.0)</f>
        <v>2</v>
      </c>
      <c r="F330" s="8">
        <v>1.0</v>
      </c>
      <c r="G330" s="8">
        <v>1.0</v>
      </c>
      <c r="H330" s="8">
        <v>1.0</v>
      </c>
      <c r="I330" s="8">
        <v>1.0</v>
      </c>
      <c r="J330" s="8">
        <v>1.0</v>
      </c>
      <c r="K330" s="8">
        <v>1.0</v>
      </c>
      <c r="L330" s="8">
        <v>6.0</v>
      </c>
      <c r="M330" s="8"/>
      <c r="N330" s="8"/>
      <c r="O330" s="8" t="s">
        <v>714</v>
      </c>
      <c r="P330" s="8">
        <v>6.0</v>
      </c>
    </row>
    <row r="331">
      <c r="A331">
        <f>IFERROR(__xludf.DUMMYFUNCTION("""COMPUTED_VALUE"""),8.0)</f>
        <v>8</v>
      </c>
      <c r="B331">
        <f>IFERROR(__xludf.DUMMYFUNCTION("""COMPUTED_VALUE"""),29050.0)</f>
        <v>29050</v>
      </c>
      <c r="C331" t="str">
        <f>IFERROR(__xludf.DUMMYFUNCTION("""COMPUTED_VALUE"""),"HINESTROSA SIERRA, PEDRO")</f>
        <v>HINESTROSA SIERRA, PEDRO</v>
      </c>
      <c r="D331" t="str">
        <f>IFERROR(__xludf.DUMMYFUNCTION("""COMPUTED_VALUE"""),"Science 8")</f>
        <v>Science 8</v>
      </c>
      <c r="E331" s="31">
        <f>IFERROR(__xludf.DUMMYFUNCTION("""COMPUTED_VALUE"""),3.0)</f>
        <v>3</v>
      </c>
      <c r="F331" s="8">
        <v>1.0</v>
      </c>
      <c r="G331" s="8">
        <v>1.0</v>
      </c>
      <c r="H331" s="8">
        <v>1.0</v>
      </c>
      <c r="I331" s="8">
        <v>1.0</v>
      </c>
      <c r="J331" s="8">
        <v>1.0</v>
      </c>
      <c r="K331" s="8">
        <v>1.0</v>
      </c>
      <c r="L331" s="8">
        <v>6.0</v>
      </c>
      <c r="M331" s="8"/>
      <c r="N331" s="8"/>
      <c r="O331" s="8" t="s">
        <v>712</v>
      </c>
      <c r="P331" s="8">
        <v>6.0</v>
      </c>
    </row>
    <row r="332">
      <c r="A332">
        <f>IFERROR(__xludf.DUMMYFUNCTION("""COMPUTED_VALUE"""),8.0)</f>
        <v>8</v>
      </c>
      <c r="B332">
        <f>IFERROR(__xludf.DUMMYFUNCTION("""COMPUTED_VALUE"""),28046.0)</f>
        <v>28046</v>
      </c>
      <c r="C332" t="str">
        <f>IFERROR(__xludf.DUMMYFUNCTION("""COMPUTED_VALUE"""),"HOYOS SARAVIA, TOMAS")</f>
        <v>HOYOS SARAVIA, TOMAS</v>
      </c>
      <c r="D332" t="str">
        <f>IFERROR(__xludf.DUMMYFUNCTION("""COMPUTED_VALUE"""),"Science 8")</f>
        <v>Science 8</v>
      </c>
      <c r="E332" s="31">
        <f>IFERROR(__xludf.DUMMYFUNCTION("""COMPUTED_VALUE"""),3.0)</f>
        <v>3</v>
      </c>
      <c r="F332" s="8">
        <v>1.0</v>
      </c>
      <c r="G332" s="8">
        <v>1.0</v>
      </c>
      <c r="H332" s="8">
        <v>1.0</v>
      </c>
      <c r="I332" s="8">
        <v>1.0</v>
      </c>
      <c r="J332" s="8">
        <v>1.0</v>
      </c>
      <c r="K332" s="8">
        <v>1.0</v>
      </c>
      <c r="L332" s="8">
        <v>6.0</v>
      </c>
      <c r="M332" s="8"/>
      <c r="N332" s="8"/>
      <c r="O332" s="8" t="s">
        <v>712</v>
      </c>
      <c r="P332" s="8">
        <v>6.0</v>
      </c>
    </row>
    <row r="333">
      <c r="A333">
        <f>IFERROR(__xludf.DUMMYFUNCTION("""COMPUTED_VALUE"""),8.0)</f>
        <v>8</v>
      </c>
      <c r="B333">
        <f>IFERROR(__xludf.DUMMYFUNCTION("""COMPUTED_VALUE"""),29052.0)</f>
        <v>29052</v>
      </c>
      <c r="C333" t="str">
        <f>IFERROR(__xludf.DUMMYFUNCTION("""COMPUTED_VALUE"""),"HURTADO ARISTIZABAL, CAMILA")</f>
        <v>HURTADO ARISTIZABAL, CAMILA</v>
      </c>
      <c r="D333" t="str">
        <f>IFERROR(__xludf.DUMMYFUNCTION("""COMPUTED_VALUE"""),"Science 8")</f>
        <v>Science 8</v>
      </c>
      <c r="E333" s="31">
        <f>IFERROR(__xludf.DUMMYFUNCTION("""COMPUTED_VALUE"""),4.0)</f>
        <v>4</v>
      </c>
      <c r="F333" s="8">
        <v>1.0</v>
      </c>
      <c r="G333" s="8">
        <v>1.0</v>
      </c>
      <c r="H333" s="8">
        <v>1.0</v>
      </c>
      <c r="I333" s="8">
        <v>1.0</v>
      </c>
      <c r="J333" s="8">
        <v>1.0</v>
      </c>
      <c r="K333" s="8">
        <v>1.0</v>
      </c>
      <c r="L333" s="8">
        <v>6.0</v>
      </c>
      <c r="M333" s="8"/>
      <c r="N333" s="8"/>
      <c r="O333" s="8" t="s">
        <v>713</v>
      </c>
      <c r="P333" s="8">
        <v>6.0</v>
      </c>
    </row>
    <row r="334">
      <c r="A334">
        <f>IFERROR(__xludf.DUMMYFUNCTION("""COMPUTED_VALUE"""),8.0)</f>
        <v>8</v>
      </c>
      <c r="B334">
        <f>IFERROR(__xludf.DUMMYFUNCTION("""COMPUTED_VALUE"""),29053.0)</f>
        <v>29053</v>
      </c>
      <c r="C334" t="str">
        <f>IFERROR(__xludf.DUMMYFUNCTION("""COMPUTED_VALUE"""),"HURTADO FAJARDO, JUANITA")</f>
        <v>HURTADO FAJARDO, JUANITA</v>
      </c>
      <c r="D334" t="str">
        <f>IFERROR(__xludf.DUMMYFUNCTION("""COMPUTED_VALUE"""),"Science 8")</f>
        <v>Science 8</v>
      </c>
      <c r="E334" s="31">
        <f>IFERROR(__xludf.DUMMYFUNCTION("""COMPUTED_VALUE"""),5.0)</f>
        <v>5</v>
      </c>
      <c r="F334" s="8">
        <v>1.0</v>
      </c>
      <c r="G334" s="8">
        <v>1.0</v>
      </c>
      <c r="H334" s="8">
        <v>1.0</v>
      </c>
      <c r="I334" s="8">
        <v>1.0</v>
      </c>
      <c r="J334" s="8">
        <v>1.0</v>
      </c>
      <c r="K334" s="8">
        <v>1.0</v>
      </c>
      <c r="L334" s="8">
        <v>6.0</v>
      </c>
      <c r="M334" s="8"/>
      <c r="N334" s="8"/>
      <c r="O334" s="8" t="s">
        <v>711</v>
      </c>
      <c r="P334" s="8">
        <v>6.0</v>
      </c>
    </row>
    <row r="335">
      <c r="A335">
        <f>IFERROR(__xludf.DUMMYFUNCTION("""COMPUTED_VALUE"""),8.0)</f>
        <v>8</v>
      </c>
      <c r="B335">
        <f>IFERROR(__xludf.DUMMYFUNCTION("""COMPUTED_VALUE"""),29056.0)</f>
        <v>29056</v>
      </c>
      <c r="C335" t="str">
        <f>IFERROR(__xludf.DUMMYFUNCTION("""COMPUTED_VALUE"""),"JAILLIER PINZON, MAXIMILIANO")</f>
        <v>JAILLIER PINZON, MAXIMILIANO</v>
      </c>
      <c r="D335" t="str">
        <f>IFERROR(__xludf.DUMMYFUNCTION("""COMPUTED_VALUE"""),"Science 8")</f>
        <v>Science 8</v>
      </c>
      <c r="E335" s="31">
        <f>IFERROR(__xludf.DUMMYFUNCTION("""COMPUTED_VALUE"""),4.0)</f>
        <v>4</v>
      </c>
      <c r="F335" s="8">
        <v>1.0</v>
      </c>
      <c r="G335" s="8">
        <v>1.0</v>
      </c>
      <c r="H335" s="8">
        <v>1.0</v>
      </c>
      <c r="I335" s="8">
        <v>1.0</v>
      </c>
      <c r="J335" s="8">
        <v>1.0</v>
      </c>
      <c r="K335" s="8">
        <v>1.0</v>
      </c>
      <c r="L335" s="8">
        <v>6.0</v>
      </c>
      <c r="M335" s="8"/>
      <c r="N335" s="8"/>
      <c r="O335" s="8" t="s">
        <v>713</v>
      </c>
      <c r="P335" s="8">
        <v>6.0</v>
      </c>
    </row>
    <row r="336">
      <c r="A336">
        <f>IFERROR(__xludf.DUMMYFUNCTION("""COMPUTED_VALUE"""),8.0)</f>
        <v>8</v>
      </c>
      <c r="B336">
        <f>IFERROR(__xludf.DUMMYFUNCTION("""COMPUTED_VALUE"""),29057.0)</f>
        <v>29057</v>
      </c>
      <c r="C336" t="str">
        <f>IFERROR(__xludf.DUMMYFUNCTION("""COMPUTED_VALUE"""),"JALLER TRUJILLO, KAMEL")</f>
        <v>JALLER TRUJILLO, KAMEL</v>
      </c>
      <c r="D336" t="str">
        <f>IFERROR(__xludf.DUMMYFUNCTION("""COMPUTED_VALUE"""),"Science 8")</f>
        <v>Science 8</v>
      </c>
      <c r="E336" s="31">
        <f>IFERROR(__xludf.DUMMYFUNCTION("""COMPUTED_VALUE"""),6.0)</f>
        <v>6</v>
      </c>
      <c r="F336" s="8">
        <v>1.0</v>
      </c>
      <c r="G336" s="8">
        <v>1.0</v>
      </c>
      <c r="H336" s="8">
        <v>1.0</v>
      </c>
      <c r="I336" s="8">
        <v>1.0</v>
      </c>
      <c r="J336" s="8">
        <v>1.0</v>
      </c>
      <c r="K336" s="8">
        <v>1.0</v>
      </c>
      <c r="L336" s="8">
        <v>6.0</v>
      </c>
      <c r="M336" s="8"/>
      <c r="N336" s="8"/>
      <c r="O336" s="8" t="s">
        <v>715</v>
      </c>
      <c r="P336" s="8">
        <v>6.0</v>
      </c>
    </row>
    <row r="337">
      <c r="A337">
        <f>IFERROR(__xludf.DUMMYFUNCTION("""COMPUTED_VALUE"""),8.0)</f>
        <v>8</v>
      </c>
      <c r="B337">
        <f>IFERROR(__xludf.DUMMYFUNCTION("""COMPUTED_VALUE"""),29058.0)</f>
        <v>29058</v>
      </c>
      <c r="C337" t="str">
        <f>IFERROR(__xludf.DUMMYFUNCTION("""COMPUTED_VALUE"""),"JARAMILLO DONADO, AMELIA")</f>
        <v>JARAMILLO DONADO, AMELIA</v>
      </c>
      <c r="D337" t="str">
        <f>IFERROR(__xludf.DUMMYFUNCTION("""COMPUTED_VALUE"""),"Science 8")</f>
        <v>Science 8</v>
      </c>
      <c r="E337" s="31">
        <f>IFERROR(__xludf.DUMMYFUNCTION("""COMPUTED_VALUE"""),2.0)</f>
        <v>2</v>
      </c>
      <c r="F337" s="8">
        <v>1.0</v>
      </c>
      <c r="G337" s="8">
        <v>1.0</v>
      </c>
      <c r="H337" s="8">
        <v>1.0</v>
      </c>
      <c r="I337" s="8">
        <v>1.0</v>
      </c>
      <c r="J337" s="8">
        <v>1.0</v>
      </c>
      <c r="K337" s="8">
        <v>1.0</v>
      </c>
      <c r="L337" s="8">
        <v>6.0</v>
      </c>
      <c r="M337" s="8"/>
      <c r="N337" s="8"/>
      <c r="O337" s="8" t="s">
        <v>714</v>
      </c>
      <c r="P337" s="8">
        <v>6.0</v>
      </c>
    </row>
    <row r="338">
      <c r="A338">
        <f>IFERROR(__xludf.DUMMYFUNCTION("""COMPUTED_VALUE"""),8.0)</f>
        <v>8</v>
      </c>
      <c r="B338">
        <f>IFERROR(__xludf.DUMMYFUNCTION("""COMPUTED_VALUE"""),29059.0)</f>
        <v>29059</v>
      </c>
      <c r="C338" t="str">
        <f>IFERROR(__xludf.DUMMYFUNCTION("""COMPUTED_VALUE"""),"JARAMILLO GONZALEZ, PASCUAL")</f>
        <v>JARAMILLO GONZALEZ, PASCUAL</v>
      </c>
      <c r="D338" t="str">
        <f>IFERROR(__xludf.DUMMYFUNCTION("""COMPUTED_VALUE"""),"Science 8")</f>
        <v>Science 8</v>
      </c>
      <c r="E338" s="31">
        <f>IFERROR(__xludf.DUMMYFUNCTION("""COMPUTED_VALUE"""),3.0)</f>
        <v>3</v>
      </c>
      <c r="F338" s="8">
        <v>1.0</v>
      </c>
      <c r="G338" s="8">
        <v>1.0</v>
      </c>
      <c r="H338" s="8">
        <v>1.0</v>
      </c>
      <c r="I338" s="8">
        <v>1.0</v>
      </c>
      <c r="J338" s="8">
        <v>1.0</v>
      </c>
      <c r="K338" s="8">
        <v>1.0</v>
      </c>
      <c r="L338" s="8">
        <v>6.0</v>
      </c>
      <c r="M338" s="8"/>
      <c r="N338" s="8"/>
      <c r="O338" s="8" t="s">
        <v>712</v>
      </c>
      <c r="P338" s="8">
        <v>6.0</v>
      </c>
    </row>
    <row r="339">
      <c r="A339">
        <f>IFERROR(__xludf.DUMMYFUNCTION("""COMPUTED_VALUE"""),8.0)</f>
        <v>8</v>
      </c>
      <c r="B339">
        <f>IFERROR(__xludf.DUMMYFUNCTION("""COMPUTED_VALUE"""),29060.0)</f>
        <v>29060</v>
      </c>
      <c r="C339" t="str">
        <f>IFERROR(__xludf.DUMMYFUNCTION("""COMPUTED_VALUE"""),"JARAMILLO NARANJO, NICOLAS")</f>
        <v>JARAMILLO NARANJO, NICOLAS</v>
      </c>
      <c r="D339" t="str">
        <f>IFERROR(__xludf.DUMMYFUNCTION("""COMPUTED_VALUE"""),"Science 8")</f>
        <v>Science 8</v>
      </c>
      <c r="E339" s="31">
        <f>IFERROR(__xludf.DUMMYFUNCTION("""COMPUTED_VALUE"""),2.0)</f>
        <v>2</v>
      </c>
      <c r="F339" s="8">
        <v>1.0</v>
      </c>
      <c r="G339" s="8">
        <v>1.0</v>
      </c>
      <c r="H339" s="8">
        <v>1.0</v>
      </c>
      <c r="I339" s="8">
        <v>1.0</v>
      </c>
      <c r="J339" s="8">
        <v>1.0</v>
      </c>
      <c r="K339" s="8">
        <v>1.0</v>
      </c>
      <c r="L339" s="8">
        <v>6.0</v>
      </c>
      <c r="M339" s="8"/>
      <c r="N339" s="8"/>
      <c r="O339" s="8" t="s">
        <v>714</v>
      </c>
      <c r="P339" s="8">
        <v>6.0</v>
      </c>
    </row>
    <row r="340">
      <c r="A340">
        <f>IFERROR(__xludf.DUMMYFUNCTION("""COMPUTED_VALUE"""),8.0)</f>
        <v>8</v>
      </c>
      <c r="B340">
        <f>IFERROR(__xludf.DUMMYFUNCTION("""COMPUTED_VALUE"""),29061.0)</f>
        <v>29061</v>
      </c>
      <c r="C340" t="str">
        <f>IFERROR(__xludf.DUMMYFUNCTION("""COMPUTED_VALUE"""),"JARAMILLO OSPINA, MANUEL")</f>
        <v>JARAMILLO OSPINA, MANUEL</v>
      </c>
      <c r="D340" t="str">
        <f>IFERROR(__xludf.DUMMYFUNCTION("""COMPUTED_VALUE"""),"Science 8A")</f>
        <v>Science 8A</v>
      </c>
      <c r="E340" s="31">
        <f>IFERROR(__xludf.DUMMYFUNCTION("""COMPUTED_VALUE"""),4.0)</f>
        <v>4</v>
      </c>
      <c r="F340" s="8">
        <v>1.0</v>
      </c>
      <c r="G340" s="8">
        <v>1.0</v>
      </c>
      <c r="H340" s="8">
        <v>1.0</v>
      </c>
      <c r="I340" s="8">
        <v>1.0</v>
      </c>
      <c r="J340" s="8">
        <v>1.0</v>
      </c>
      <c r="K340" s="8">
        <v>1.0</v>
      </c>
      <c r="L340" s="8">
        <v>6.0</v>
      </c>
      <c r="M340" s="8"/>
      <c r="N340" s="8"/>
      <c r="O340" s="8" t="s">
        <v>716</v>
      </c>
      <c r="P340" s="8" t="e">
        <v>#N/A</v>
      </c>
    </row>
    <row r="341">
      <c r="A341">
        <f>IFERROR(__xludf.DUMMYFUNCTION("""COMPUTED_VALUE"""),8.0)</f>
        <v>8</v>
      </c>
      <c r="B341">
        <f>IFERROR(__xludf.DUMMYFUNCTION("""COMPUTED_VALUE"""),28144.0)</f>
        <v>28144</v>
      </c>
      <c r="C341" t="str">
        <f>IFERROR(__xludf.DUMMYFUNCTION("""COMPUTED_VALUE"""),"JIMENEZ PATIÑO, EMILIO")</f>
        <v>JIMENEZ PATIÑO, EMILIO</v>
      </c>
      <c r="D341" t="str">
        <f>IFERROR(__xludf.DUMMYFUNCTION("""COMPUTED_VALUE"""),"Science 8")</f>
        <v>Science 8</v>
      </c>
      <c r="E341" s="31">
        <f>IFERROR(__xludf.DUMMYFUNCTION("""COMPUTED_VALUE"""),4.0)</f>
        <v>4</v>
      </c>
      <c r="F341" s="8">
        <v>1.0</v>
      </c>
      <c r="G341" s="8">
        <v>1.0</v>
      </c>
      <c r="H341" s="8">
        <v>1.0</v>
      </c>
      <c r="I341" s="8">
        <v>1.0</v>
      </c>
      <c r="J341" s="8">
        <v>1.0</v>
      </c>
      <c r="K341" s="8">
        <v>1.0</v>
      </c>
      <c r="L341" s="8">
        <v>6.0</v>
      </c>
      <c r="M341" s="8"/>
      <c r="N341" s="8"/>
      <c r="O341" s="8" t="s">
        <v>713</v>
      </c>
      <c r="P341" s="8">
        <v>6.0</v>
      </c>
    </row>
    <row r="342">
      <c r="A342">
        <f>IFERROR(__xludf.DUMMYFUNCTION("""COMPUTED_VALUE"""),8.0)</f>
        <v>8</v>
      </c>
      <c r="B342">
        <f>IFERROR(__xludf.DUMMYFUNCTION("""COMPUTED_VALUE"""),29147.0)</f>
        <v>29147</v>
      </c>
      <c r="C342" t="str">
        <f>IFERROR(__xludf.DUMMYFUNCTION("""COMPUTED_VALUE"""),"JIMENO ARISTIZABAL, ISABELLA")</f>
        <v>JIMENO ARISTIZABAL, ISABELLA</v>
      </c>
      <c r="D342" t="str">
        <f>IFERROR(__xludf.DUMMYFUNCTION("""COMPUTED_VALUE"""),"Science 8")</f>
        <v>Science 8</v>
      </c>
      <c r="E342" s="31">
        <f>IFERROR(__xludf.DUMMYFUNCTION("""COMPUTED_VALUE"""),2.0)</f>
        <v>2</v>
      </c>
      <c r="F342" s="8">
        <v>1.0</v>
      </c>
      <c r="G342" s="8">
        <v>1.0</v>
      </c>
      <c r="H342" s="8">
        <v>1.0</v>
      </c>
      <c r="I342" s="8">
        <v>1.0</v>
      </c>
      <c r="J342" s="8">
        <v>1.0</v>
      </c>
      <c r="K342" s="8">
        <v>1.0</v>
      </c>
      <c r="L342" s="8">
        <v>6.0</v>
      </c>
      <c r="M342" s="8"/>
      <c r="N342" s="8"/>
      <c r="O342" s="8" t="s">
        <v>714</v>
      </c>
      <c r="P342" s="8">
        <v>6.0</v>
      </c>
    </row>
    <row r="343">
      <c r="A343">
        <f>IFERROR(__xludf.DUMMYFUNCTION("""COMPUTED_VALUE"""),8.0)</f>
        <v>8</v>
      </c>
      <c r="B343">
        <f>IFERROR(__xludf.DUMMYFUNCTION("""COMPUTED_VALUE"""),29062.0)</f>
        <v>29062</v>
      </c>
      <c r="C343" t="str">
        <f>IFERROR(__xludf.DUMMYFUNCTION("""COMPUTED_VALUE"""),"KIM LEE, SAE YOON LUCAS")</f>
        <v>KIM LEE, SAE YOON LUCAS</v>
      </c>
      <c r="D343" t="str">
        <f>IFERROR(__xludf.DUMMYFUNCTION("""COMPUTED_VALUE"""),"Science 8")</f>
        <v>Science 8</v>
      </c>
      <c r="E343" s="31">
        <f>IFERROR(__xludf.DUMMYFUNCTION("""COMPUTED_VALUE"""),6.0)</f>
        <v>6</v>
      </c>
      <c r="F343" s="8">
        <v>1.0</v>
      </c>
      <c r="G343" s="8">
        <v>1.0</v>
      </c>
      <c r="H343" s="8">
        <v>1.0</v>
      </c>
      <c r="I343" s="8">
        <v>1.0</v>
      </c>
      <c r="J343" s="8">
        <v>1.0</v>
      </c>
      <c r="K343" s="8">
        <v>1.0</v>
      </c>
      <c r="L343" s="8">
        <v>6.0</v>
      </c>
      <c r="M343" s="8"/>
      <c r="N343" s="8"/>
      <c r="O343" s="8" t="s">
        <v>715</v>
      </c>
      <c r="P343" s="8">
        <v>6.0</v>
      </c>
    </row>
    <row r="344">
      <c r="A344">
        <f>IFERROR(__xludf.DUMMYFUNCTION("""COMPUTED_VALUE"""),8.0)</f>
        <v>8</v>
      </c>
      <c r="B344">
        <f>IFERROR(__xludf.DUMMYFUNCTION("""COMPUTED_VALUE"""),29064.0)</f>
        <v>29064</v>
      </c>
      <c r="C344" t="str">
        <f>IFERROR(__xludf.DUMMYFUNCTION("""COMPUTED_VALUE"""),"LONDOÑO BAQUERO, EMILIA")</f>
        <v>LONDOÑO BAQUERO, EMILIA</v>
      </c>
      <c r="D344" t="str">
        <f>IFERROR(__xludf.DUMMYFUNCTION("""COMPUTED_VALUE"""),"Science 8")</f>
        <v>Science 8</v>
      </c>
      <c r="E344" s="31">
        <f>IFERROR(__xludf.DUMMYFUNCTION("""COMPUTED_VALUE"""),6.0)</f>
        <v>6</v>
      </c>
      <c r="F344" s="8">
        <v>1.0</v>
      </c>
      <c r="G344" s="8">
        <v>1.0</v>
      </c>
      <c r="H344" s="8">
        <v>1.0</v>
      </c>
      <c r="I344" s="8">
        <v>1.0</v>
      </c>
      <c r="J344" s="8">
        <v>1.0</v>
      </c>
      <c r="K344" s="8">
        <v>1.0</v>
      </c>
      <c r="L344" s="8">
        <v>6.0</v>
      </c>
      <c r="M344" s="8"/>
      <c r="N344" s="8"/>
      <c r="O344" s="8" t="s">
        <v>715</v>
      </c>
      <c r="P344" s="8">
        <v>6.0</v>
      </c>
    </row>
    <row r="345">
      <c r="A345">
        <f>IFERROR(__xludf.DUMMYFUNCTION("""COMPUTED_VALUE"""),8.0)</f>
        <v>8</v>
      </c>
      <c r="B345">
        <f>IFERROR(__xludf.DUMMYFUNCTION("""COMPUTED_VALUE"""),29065.0)</f>
        <v>29065</v>
      </c>
      <c r="C345" t="str">
        <f>IFERROR(__xludf.DUMMYFUNCTION("""COMPUTED_VALUE"""),"LONDOÑO CUARTAS, TOMAS")</f>
        <v>LONDOÑO CUARTAS, TOMAS</v>
      </c>
      <c r="D345" t="str">
        <f>IFERROR(__xludf.DUMMYFUNCTION("""COMPUTED_VALUE"""),"Science 8")</f>
        <v>Science 8</v>
      </c>
      <c r="E345" s="31">
        <f>IFERROR(__xludf.DUMMYFUNCTION("""COMPUTED_VALUE"""),5.0)</f>
        <v>5</v>
      </c>
      <c r="F345" s="8">
        <v>1.0</v>
      </c>
      <c r="G345" s="8">
        <v>1.0</v>
      </c>
      <c r="H345" s="8">
        <v>1.0</v>
      </c>
      <c r="I345" s="8">
        <v>1.0</v>
      </c>
      <c r="J345" s="8">
        <v>1.0</v>
      </c>
      <c r="K345" s="8">
        <v>1.0</v>
      </c>
      <c r="L345" s="8">
        <v>6.0</v>
      </c>
      <c r="M345" s="8"/>
      <c r="N345" s="8"/>
      <c r="O345" s="8" t="s">
        <v>711</v>
      </c>
      <c r="P345" s="8">
        <v>6.0</v>
      </c>
    </row>
    <row r="346">
      <c r="A346">
        <f>IFERROR(__xludf.DUMMYFUNCTION("""COMPUTED_VALUE"""),8.0)</f>
        <v>8</v>
      </c>
      <c r="B346">
        <f>IFERROR(__xludf.DUMMYFUNCTION("""COMPUTED_VALUE"""),29066.0)</f>
        <v>29066</v>
      </c>
      <c r="C346" t="str">
        <f>IFERROR(__xludf.DUMMYFUNCTION("""COMPUTED_VALUE"""),"LONDOÑO JARAMILLO, MARTINA")</f>
        <v>LONDOÑO JARAMILLO, MARTINA</v>
      </c>
      <c r="D346" t="str">
        <f>IFERROR(__xludf.DUMMYFUNCTION("""COMPUTED_VALUE"""),"Science 8")</f>
        <v>Science 8</v>
      </c>
      <c r="E346" s="31">
        <f>IFERROR(__xludf.DUMMYFUNCTION("""COMPUTED_VALUE"""),5.0)</f>
        <v>5</v>
      </c>
      <c r="F346" s="8">
        <v>1.0</v>
      </c>
      <c r="G346" s="8">
        <v>1.0</v>
      </c>
      <c r="H346" s="8">
        <v>1.0</v>
      </c>
      <c r="I346" s="8">
        <v>1.0</v>
      </c>
      <c r="J346" s="8">
        <v>1.0</v>
      </c>
      <c r="K346" s="8">
        <v>1.0</v>
      </c>
      <c r="L346" s="8">
        <v>6.0</v>
      </c>
      <c r="M346" s="8"/>
      <c r="N346" s="8"/>
      <c r="O346" s="8" t="s">
        <v>711</v>
      </c>
      <c r="P346" s="8">
        <v>6.0</v>
      </c>
    </row>
    <row r="347">
      <c r="A347">
        <f>IFERROR(__xludf.DUMMYFUNCTION("""COMPUTED_VALUE"""),8.0)</f>
        <v>8</v>
      </c>
      <c r="B347">
        <f>IFERROR(__xludf.DUMMYFUNCTION("""COMPUTED_VALUE"""),29068.0)</f>
        <v>29068</v>
      </c>
      <c r="C347" t="str">
        <f>IFERROR(__xludf.DUMMYFUNCTION("""COMPUTED_VALUE"""),"LOPEZ JAIMES, VICENTE")</f>
        <v>LOPEZ JAIMES, VICENTE</v>
      </c>
      <c r="D347" t="str">
        <f>IFERROR(__xludf.DUMMYFUNCTION("""COMPUTED_VALUE"""),"Science 8")</f>
        <v>Science 8</v>
      </c>
      <c r="E347" s="31">
        <f>IFERROR(__xludf.DUMMYFUNCTION("""COMPUTED_VALUE"""),3.0)</f>
        <v>3</v>
      </c>
      <c r="F347" s="8">
        <v>1.0</v>
      </c>
      <c r="G347" s="8">
        <v>1.0</v>
      </c>
      <c r="H347" s="8">
        <v>1.0</v>
      </c>
      <c r="I347" s="8">
        <v>1.0</v>
      </c>
      <c r="J347" s="8">
        <v>1.0</v>
      </c>
      <c r="K347" s="8">
        <v>1.0</v>
      </c>
      <c r="L347" s="8">
        <v>6.0</v>
      </c>
      <c r="M347" s="8"/>
      <c r="N347" s="8"/>
      <c r="O347" s="8" t="s">
        <v>712</v>
      </c>
      <c r="P347" s="8">
        <v>6.0</v>
      </c>
    </row>
    <row r="348">
      <c r="A348">
        <f>IFERROR(__xludf.DUMMYFUNCTION("""COMPUTED_VALUE"""),8.0)</f>
        <v>8</v>
      </c>
      <c r="B348">
        <f>IFERROR(__xludf.DUMMYFUNCTION("""COMPUTED_VALUE"""),29069.0)</f>
        <v>29069</v>
      </c>
      <c r="C348" t="str">
        <f>IFERROR(__xludf.DUMMYFUNCTION("""COMPUTED_VALUE"""),"LUNA ALZATE, AMALIA")</f>
        <v>LUNA ALZATE, AMALIA</v>
      </c>
      <c r="D348" t="str">
        <f>IFERROR(__xludf.DUMMYFUNCTION("""COMPUTED_VALUE"""),"Science 8")</f>
        <v>Science 8</v>
      </c>
      <c r="E348" s="31">
        <f>IFERROR(__xludf.DUMMYFUNCTION("""COMPUTED_VALUE"""),3.0)</f>
        <v>3</v>
      </c>
      <c r="F348" s="8">
        <v>1.0</v>
      </c>
      <c r="G348" s="8">
        <v>1.0</v>
      </c>
      <c r="H348" s="8">
        <v>1.0</v>
      </c>
      <c r="I348" s="8">
        <v>1.0</v>
      </c>
      <c r="J348" s="8">
        <v>1.0</v>
      </c>
      <c r="K348" s="8">
        <v>1.0</v>
      </c>
      <c r="L348" s="8">
        <v>6.0</v>
      </c>
      <c r="M348" s="8"/>
      <c r="N348" s="8"/>
      <c r="O348" s="8" t="s">
        <v>712</v>
      </c>
      <c r="P348" s="8">
        <v>6.0</v>
      </c>
    </row>
    <row r="349">
      <c r="A349">
        <f>IFERROR(__xludf.DUMMYFUNCTION("""COMPUTED_VALUE"""),8.0)</f>
        <v>8</v>
      </c>
      <c r="B349">
        <f>IFERROR(__xludf.DUMMYFUNCTION("""COMPUTED_VALUE"""),29070.0)</f>
        <v>29070</v>
      </c>
      <c r="C349" t="str">
        <f>IFERROR(__xludf.DUMMYFUNCTION("""COMPUTED_VALUE"""),"MANRIQUE CUESTA, ISABELLA")</f>
        <v>MANRIQUE CUESTA, ISABELLA</v>
      </c>
      <c r="D349" t="str">
        <f>IFERROR(__xludf.DUMMYFUNCTION("""COMPUTED_VALUE"""),"Science 8")</f>
        <v>Science 8</v>
      </c>
      <c r="E349" s="31">
        <f>IFERROR(__xludf.DUMMYFUNCTION("""COMPUTED_VALUE"""),6.0)</f>
        <v>6</v>
      </c>
      <c r="F349" s="8">
        <v>1.0</v>
      </c>
      <c r="G349" s="8">
        <v>1.0</v>
      </c>
      <c r="H349" s="8">
        <v>1.0</v>
      </c>
      <c r="I349" s="8">
        <v>1.0</v>
      </c>
      <c r="J349" s="8">
        <v>1.0</v>
      </c>
      <c r="K349" s="8">
        <v>1.0</v>
      </c>
      <c r="L349" s="8">
        <v>6.0</v>
      </c>
      <c r="M349" s="8"/>
      <c r="N349" s="8"/>
      <c r="O349" s="8" t="s">
        <v>715</v>
      </c>
      <c r="P349" s="8">
        <v>6.0</v>
      </c>
    </row>
    <row r="350">
      <c r="A350">
        <f>IFERROR(__xludf.DUMMYFUNCTION("""COMPUTED_VALUE"""),8.0)</f>
        <v>8</v>
      </c>
      <c r="B350">
        <f>IFERROR(__xludf.DUMMYFUNCTION("""COMPUTED_VALUE"""),29071.0)</f>
        <v>29071</v>
      </c>
      <c r="C350" t="str">
        <f>IFERROR(__xludf.DUMMYFUNCTION("""COMPUTED_VALUE"""),"MARQUEZ BARRERA, MIRANDA")</f>
        <v>MARQUEZ BARRERA, MIRANDA</v>
      </c>
      <c r="D350" t="str">
        <f>IFERROR(__xludf.DUMMYFUNCTION("""COMPUTED_VALUE"""),"Science 8")</f>
        <v>Science 8</v>
      </c>
      <c r="E350" s="31">
        <f>IFERROR(__xludf.DUMMYFUNCTION("""COMPUTED_VALUE"""),5.0)</f>
        <v>5</v>
      </c>
      <c r="F350" s="8">
        <v>1.0</v>
      </c>
      <c r="G350" s="8">
        <v>1.0</v>
      </c>
      <c r="H350" s="8">
        <v>1.0</v>
      </c>
      <c r="I350" s="8">
        <v>1.0</v>
      </c>
      <c r="J350" s="8">
        <v>1.0</v>
      </c>
      <c r="K350" s="8">
        <v>1.0</v>
      </c>
      <c r="L350" s="8">
        <v>6.0</v>
      </c>
      <c r="M350" s="8"/>
      <c r="N350" s="8"/>
      <c r="O350" s="8" t="s">
        <v>711</v>
      </c>
      <c r="P350" s="8">
        <v>6.0</v>
      </c>
    </row>
    <row r="351">
      <c r="A351">
        <f>IFERROR(__xludf.DUMMYFUNCTION("""COMPUTED_VALUE"""),8.0)</f>
        <v>8</v>
      </c>
      <c r="B351">
        <f>IFERROR(__xludf.DUMMYFUNCTION("""COMPUTED_VALUE"""),29072.0)</f>
        <v>29072</v>
      </c>
      <c r="C351" t="str">
        <f>IFERROR(__xludf.DUMMYFUNCTION("""COMPUTED_VALUE"""),"MARQUEZ RAHAL, PEDRO")</f>
        <v>MARQUEZ RAHAL, PEDRO</v>
      </c>
      <c r="D351" t="str">
        <f>IFERROR(__xludf.DUMMYFUNCTION("""COMPUTED_VALUE"""),"Science 8")</f>
        <v>Science 8</v>
      </c>
      <c r="E351" s="31">
        <f>IFERROR(__xludf.DUMMYFUNCTION("""COMPUTED_VALUE"""),5.0)</f>
        <v>5</v>
      </c>
      <c r="F351" s="8">
        <v>1.0</v>
      </c>
      <c r="G351" s="8">
        <v>1.0</v>
      </c>
      <c r="H351" s="8">
        <v>1.0</v>
      </c>
      <c r="I351" s="8">
        <v>1.0</v>
      </c>
      <c r="J351" s="8">
        <v>1.0</v>
      </c>
      <c r="K351" s="8">
        <v>1.0</v>
      </c>
      <c r="L351" s="8">
        <v>6.0</v>
      </c>
      <c r="M351" s="8"/>
      <c r="N351" s="8"/>
      <c r="O351" s="8" t="s">
        <v>711</v>
      </c>
      <c r="P351" s="8">
        <v>6.0</v>
      </c>
    </row>
    <row r="352">
      <c r="A352">
        <f>IFERROR(__xludf.DUMMYFUNCTION("""COMPUTED_VALUE"""),8.0)</f>
        <v>8</v>
      </c>
      <c r="B352">
        <f>IFERROR(__xludf.DUMMYFUNCTION("""COMPUTED_VALUE"""),29073.0)</f>
        <v>29073</v>
      </c>
      <c r="C352" t="str">
        <f>IFERROR(__xludf.DUMMYFUNCTION("""COMPUTED_VALUE"""),"MARRERO MARTA, ALINA")</f>
        <v>MARRERO MARTA, ALINA</v>
      </c>
      <c r="D352" t="str">
        <f>IFERROR(__xludf.DUMMYFUNCTION("""COMPUTED_VALUE"""),"Science 8")</f>
        <v>Science 8</v>
      </c>
      <c r="E352" s="31">
        <f>IFERROR(__xludf.DUMMYFUNCTION("""COMPUTED_VALUE"""),4.0)</f>
        <v>4</v>
      </c>
      <c r="F352" s="8">
        <v>1.0</v>
      </c>
      <c r="G352" s="8">
        <v>1.0</v>
      </c>
      <c r="H352" s="8">
        <v>1.0</v>
      </c>
      <c r="I352" s="8">
        <v>1.0</v>
      </c>
      <c r="J352" s="8">
        <v>1.0</v>
      </c>
      <c r="K352" s="8">
        <v>1.0</v>
      </c>
      <c r="L352" s="8">
        <v>6.0</v>
      </c>
      <c r="M352" s="8"/>
      <c r="N352" s="8"/>
      <c r="O352" s="8" t="s">
        <v>713</v>
      </c>
      <c r="P352" s="8">
        <v>6.0</v>
      </c>
    </row>
    <row r="353">
      <c r="A353">
        <f>IFERROR(__xludf.DUMMYFUNCTION("""COMPUTED_VALUE"""),8.0)</f>
        <v>8</v>
      </c>
      <c r="B353">
        <f>IFERROR(__xludf.DUMMYFUNCTION("""COMPUTED_VALUE"""),29074.0)</f>
        <v>29074</v>
      </c>
      <c r="C353" t="str">
        <f>IFERROR(__xludf.DUMMYFUNCTION("""COMPUTED_VALUE"""),"MEDINA JARAMILLO, ALICIA")</f>
        <v>MEDINA JARAMILLO, ALICIA</v>
      </c>
      <c r="D353" t="str">
        <f>IFERROR(__xludf.DUMMYFUNCTION("""COMPUTED_VALUE"""),"Science 8")</f>
        <v>Science 8</v>
      </c>
      <c r="E353" s="31">
        <f>IFERROR(__xludf.DUMMYFUNCTION("""COMPUTED_VALUE"""),5.0)</f>
        <v>5</v>
      </c>
      <c r="F353" s="8">
        <v>1.0</v>
      </c>
      <c r="G353" s="8">
        <v>1.0</v>
      </c>
      <c r="H353" s="8">
        <v>1.0</v>
      </c>
      <c r="I353" s="8">
        <v>1.0</v>
      </c>
      <c r="J353" s="8">
        <v>1.0</v>
      </c>
      <c r="K353" s="8">
        <v>1.0</v>
      </c>
      <c r="L353" s="8">
        <v>6.0</v>
      </c>
      <c r="M353" s="8"/>
      <c r="N353" s="8"/>
      <c r="O353" s="8" t="s">
        <v>711</v>
      </c>
      <c r="P353" s="8">
        <v>6.0</v>
      </c>
    </row>
    <row r="354">
      <c r="A354">
        <f>IFERROR(__xludf.DUMMYFUNCTION("""COMPUTED_VALUE"""),8.0)</f>
        <v>8</v>
      </c>
      <c r="B354">
        <f>IFERROR(__xludf.DUMMYFUNCTION("""COMPUTED_VALUE"""),29075.0)</f>
        <v>29075</v>
      </c>
      <c r="C354" t="str">
        <f>IFERROR(__xludf.DUMMYFUNCTION("""COMPUTED_VALUE"""),"MEJIA BUSTAMANTE, ANTONIA")</f>
        <v>MEJIA BUSTAMANTE, ANTONIA</v>
      </c>
      <c r="D354" t="str">
        <f>IFERROR(__xludf.DUMMYFUNCTION("""COMPUTED_VALUE"""),"Science 8")</f>
        <v>Science 8</v>
      </c>
      <c r="E354" s="31">
        <f>IFERROR(__xludf.DUMMYFUNCTION("""COMPUTED_VALUE"""),6.0)</f>
        <v>6</v>
      </c>
      <c r="F354" s="8">
        <v>1.0</v>
      </c>
      <c r="G354" s="8">
        <v>1.0</v>
      </c>
      <c r="H354" s="8">
        <v>1.0</v>
      </c>
      <c r="I354" s="8">
        <v>1.0</v>
      </c>
      <c r="J354" s="8">
        <v>1.0</v>
      </c>
      <c r="K354" s="8">
        <v>1.0</v>
      </c>
      <c r="L354" s="8">
        <v>6.0</v>
      </c>
      <c r="M354" s="8"/>
      <c r="N354" s="8"/>
      <c r="O354" s="8" t="s">
        <v>715</v>
      </c>
      <c r="P354" s="8">
        <v>6.0</v>
      </c>
    </row>
    <row r="355">
      <c r="A355">
        <f>IFERROR(__xludf.DUMMYFUNCTION("""COMPUTED_VALUE"""),8.0)</f>
        <v>8</v>
      </c>
      <c r="B355">
        <f>IFERROR(__xludf.DUMMYFUNCTION("""COMPUTED_VALUE"""),29076.0)</f>
        <v>29076</v>
      </c>
      <c r="C355" t="str">
        <f>IFERROR(__xludf.DUMMYFUNCTION("""COMPUTED_VALUE"""),"MEJIA MANTILLA, MATEO")</f>
        <v>MEJIA MANTILLA, MATEO</v>
      </c>
      <c r="D355" t="str">
        <f>IFERROR(__xludf.DUMMYFUNCTION("""COMPUTED_VALUE"""),"Science 8")</f>
        <v>Science 8</v>
      </c>
      <c r="E355" s="31">
        <f>IFERROR(__xludf.DUMMYFUNCTION("""COMPUTED_VALUE"""),2.0)</f>
        <v>2</v>
      </c>
      <c r="F355" s="8">
        <v>1.0</v>
      </c>
      <c r="G355" s="8">
        <v>1.0</v>
      </c>
      <c r="H355" s="8">
        <v>1.0</v>
      </c>
      <c r="I355" s="8">
        <v>1.0</v>
      </c>
      <c r="J355" s="8">
        <v>1.0</v>
      </c>
      <c r="K355" s="8">
        <v>1.0</v>
      </c>
      <c r="L355" s="8">
        <v>6.0</v>
      </c>
      <c r="M355" s="8"/>
      <c r="N355" s="8"/>
      <c r="O355" s="8" t="s">
        <v>714</v>
      </c>
      <c r="P355" s="8">
        <v>6.0</v>
      </c>
    </row>
    <row r="356">
      <c r="A356">
        <f>IFERROR(__xludf.DUMMYFUNCTION("""COMPUTED_VALUE"""),8.0)</f>
        <v>8</v>
      </c>
      <c r="B356">
        <f>IFERROR(__xludf.DUMMYFUNCTION("""COMPUTED_VALUE"""),29077.0)</f>
        <v>29077</v>
      </c>
      <c r="C356" t="str">
        <f>IFERROR(__xludf.DUMMYFUNCTION("""COMPUTED_VALUE"""),"MEJIA VILLEGAS, CANDELARIA")</f>
        <v>MEJIA VILLEGAS, CANDELARIA</v>
      </c>
      <c r="D356" t="str">
        <f>IFERROR(__xludf.DUMMYFUNCTION("""COMPUTED_VALUE"""),"Science 8")</f>
        <v>Science 8</v>
      </c>
      <c r="E356" s="31">
        <f>IFERROR(__xludf.DUMMYFUNCTION("""COMPUTED_VALUE"""),6.0)</f>
        <v>6</v>
      </c>
      <c r="F356" s="8">
        <v>1.0</v>
      </c>
      <c r="G356" s="8">
        <v>1.0</v>
      </c>
      <c r="H356" s="8">
        <v>1.0</v>
      </c>
      <c r="I356" s="8">
        <v>1.0</v>
      </c>
      <c r="J356" s="8">
        <v>1.0</v>
      </c>
      <c r="K356" s="8">
        <v>1.0</v>
      </c>
      <c r="L356" s="8">
        <v>6.0</v>
      </c>
      <c r="M356" s="8"/>
      <c r="N356" s="8"/>
      <c r="O356" s="8" t="s">
        <v>715</v>
      </c>
      <c r="P356" s="8">
        <v>6.0</v>
      </c>
    </row>
    <row r="357">
      <c r="A357">
        <f>IFERROR(__xludf.DUMMYFUNCTION("""COMPUTED_VALUE"""),8.0)</f>
        <v>8</v>
      </c>
      <c r="B357">
        <f>IFERROR(__xludf.DUMMYFUNCTION("""COMPUTED_VALUE"""),29079.0)</f>
        <v>29079</v>
      </c>
      <c r="C357" t="str">
        <f>IFERROR(__xludf.DUMMYFUNCTION("""COMPUTED_VALUE"""),"MISAS MESA, ALICIA")</f>
        <v>MISAS MESA, ALICIA</v>
      </c>
      <c r="D357" t="str">
        <f>IFERROR(__xludf.DUMMYFUNCTION("""COMPUTED_VALUE"""),"Science 8")</f>
        <v>Science 8</v>
      </c>
      <c r="E357" s="31">
        <f>IFERROR(__xludf.DUMMYFUNCTION("""COMPUTED_VALUE"""),6.0)</f>
        <v>6</v>
      </c>
      <c r="F357" s="8">
        <v>1.0</v>
      </c>
      <c r="G357" s="8">
        <v>1.0</v>
      </c>
      <c r="H357" s="8">
        <v>1.0</v>
      </c>
      <c r="I357" s="8">
        <v>1.0</v>
      </c>
      <c r="J357" s="8">
        <v>1.0</v>
      </c>
      <c r="K357" s="8">
        <v>1.0</v>
      </c>
      <c r="L357" s="8">
        <v>6.0</v>
      </c>
      <c r="M357" s="8"/>
      <c r="N357" s="8"/>
      <c r="O357" s="8" t="s">
        <v>715</v>
      </c>
      <c r="P357" s="8">
        <v>6.0</v>
      </c>
    </row>
    <row r="358">
      <c r="A358">
        <f>IFERROR(__xludf.DUMMYFUNCTION("""COMPUTED_VALUE"""),8.0)</f>
        <v>8</v>
      </c>
      <c r="B358">
        <f>IFERROR(__xludf.DUMMYFUNCTION("""COMPUTED_VALUE"""),29153.0)</f>
        <v>29153</v>
      </c>
      <c r="C358" t="str">
        <f>IFERROR(__xludf.DUMMYFUNCTION("""COMPUTED_VALUE"""),"MISERENDINO MUÑOZ, GABRIEL")</f>
        <v>MISERENDINO MUÑOZ, GABRIEL</v>
      </c>
      <c r="D358" t="str">
        <f>IFERROR(__xludf.DUMMYFUNCTION("""COMPUTED_VALUE"""),"Science 8")</f>
        <v>Science 8</v>
      </c>
      <c r="E358" s="31">
        <f>IFERROR(__xludf.DUMMYFUNCTION("""COMPUTED_VALUE"""),5.0)</f>
        <v>5</v>
      </c>
      <c r="F358" s="8">
        <v>1.0</v>
      </c>
      <c r="G358" s="8">
        <v>1.0</v>
      </c>
      <c r="H358" s="8">
        <v>1.0</v>
      </c>
      <c r="I358" s="8">
        <v>1.0</v>
      </c>
      <c r="J358" s="8">
        <v>1.0</v>
      </c>
      <c r="K358" s="8">
        <v>1.0</v>
      </c>
      <c r="L358" s="8">
        <v>6.0</v>
      </c>
      <c r="M358" s="8"/>
      <c r="N358" s="8"/>
      <c r="O358" s="8" t="s">
        <v>711</v>
      </c>
      <c r="P358" s="8">
        <v>6.0</v>
      </c>
    </row>
    <row r="359">
      <c r="A359">
        <f>IFERROR(__xludf.DUMMYFUNCTION("""COMPUTED_VALUE"""),8.0)</f>
        <v>8</v>
      </c>
      <c r="B359">
        <f>IFERROR(__xludf.DUMMYFUNCTION("""COMPUTED_VALUE"""),29143.0)</f>
        <v>29143</v>
      </c>
      <c r="C359" t="str">
        <f>IFERROR(__xludf.DUMMYFUNCTION("""COMPUTED_VALUE"""),"MOLANO MESA, CARMEN")</f>
        <v>MOLANO MESA, CARMEN</v>
      </c>
      <c r="D359" t="str">
        <f>IFERROR(__xludf.DUMMYFUNCTION("""COMPUTED_VALUE"""),"Science 8A")</f>
        <v>Science 8A</v>
      </c>
      <c r="E359" s="31">
        <f>IFERROR(__xludf.DUMMYFUNCTION("""COMPUTED_VALUE"""),4.0)</f>
        <v>4</v>
      </c>
      <c r="F359" s="8">
        <v>1.0</v>
      </c>
      <c r="G359" s="8">
        <v>1.0</v>
      </c>
      <c r="H359" s="8">
        <v>1.0</v>
      </c>
      <c r="I359" s="8">
        <v>1.0</v>
      </c>
      <c r="J359" s="8">
        <v>1.0</v>
      </c>
      <c r="K359" s="8">
        <v>1.0</v>
      </c>
      <c r="L359" s="8">
        <v>6.0</v>
      </c>
      <c r="M359" s="8"/>
      <c r="N359" s="8"/>
      <c r="O359" s="8" t="s">
        <v>716</v>
      </c>
      <c r="P359" s="8" t="e">
        <v>#N/A</v>
      </c>
    </row>
    <row r="360">
      <c r="A360">
        <f>IFERROR(__xludf.DUMMYFUNCTION("""COMPUTED_VALUE"""),8.0)</f>
        <v>8</v>
      </c>
      <c r="B360">
        <f>IFERROR(__xludf.DUMMYFUNCTION("""COMPUTED_VALUE"""),29080.0)</f>
        <v>29080</v>
      </c>
      <c r="C360" t="str">
        <f>IFERROR(__xludf.DUMMYFUNCTION("""COMPUTED_VALUE"""),"MONTES LOPEZ, MANUELA")</f>
        <v>MONTES LOPEZ, MANUELA</v>
      </c>
      <c r="D360" t="str">
        <f>IFERROR(__xludf.DUMMYFUNCTION("""COMPUTED_VALUE"""),"Science 8")</f>
        <v>Science 8</v>
      </c>
      <c r="E360" s="31">
        <f>IFERROR(__xludf.DUMMYFUNCTION("""COMPUTED_VALUE"""),5.0)</f>
        <v>5</v>
      </c>
      <c r="F360" s="8">
        <v>1.0</v>
      </c>
      <c r="G360" s="8">
        <v>1.0</v>
      </c>
      <c r="H360" s="8">
        <v>1.0</v>
      </c>
      <c r="I360" s="8">
        <v>1.0</v>
      </c>
      <c r="J360" s="8">
        <v>1.0</v>
      </c>
      <c r="K360" s="8">
        <v>1.0</v>
      </c>
      <c r="L360" s="8">
        <v>6.0</v>
      </c>
      <c r="M360" s="8"/>
      <c r="N360" s="8"/>
      <c r="O360" s="8" t="s">
        <v>711</v>
      </c>
      <c r="P360" s="8">
        <v>6.0</v>
      </c>
    </row>
    <row r="361">
      <c r="A361">
        <f>IFERROR(__xludf.DUMMYFUNCTION("""COMPUTED_VALUE"""),8.0)</f>
        <v>8</v>
      </c>
      <c r="B361">
        <f>IFERROR(__xludf.DUMMYFUNCTION("""COMPUTED_VALUE"""),29081.0)</f>
        <v>29081</v>
      </c>
      <c r="C361" t="str">
        <f>IFERROR(__xludf.DUMMYFUNCTION("""COMPUTED_VALUE"""),"MORA JARAMILLO, ALICIA")</f>
        <v>MORA JARAMILLO, ALICIA</v>
      </c>
      <c r="D361" t="str">
        <f>IFERROR(__xludf.DUMMYFUNCTION("""COMPUTED_VALUE"""),"Science 8")</f>
        <v>Science 8</v>
      </c>
      <c r="E361" s="31">
        <f>IFERROR(__xludf.DUMMYFUNCTION("""COMPUTED_VALUE"""),2.0)</f>
        <v>2</v>
      </c>
      <c r="F361" s="8">
        <v>1.0</v>
      </c>
      <c r="G361" s="8">
        <v>1.0</v>
      </c>
      <c r="H361" s="8">
        <v>1.0</v>
      </c>
      <c r="I361" s="8">
        <v>1.0</v>
      </c>
      <c r="J361" s="8">
        <v>1.0</v>
      </c>
      <c r="K361" s="8">
        <v>1.0</v>
      </c>
      <c r="L361" s="8">
        <v>6.0</v>
      </c>
      <c r="M361" s="8"/>
      <c r="N361" s="8"/>
      <c r="O361" s="8" t="s">
        <v>714</v>
      </c>
      <c r="P361" s="8">
        <v>6.0</v>
      </c>
    </row>
    <row r="362">
      <c r="A362">
        <f>IFERROR(__xludf.DUMMYFUNCTION("""COMPUTED_VALUE"""),8.0)</f>
        <v>8</v>
      </c>
      <c r="B362">
        <f>IFERROR(__xludf.DUMMYFUNCTION("""COMPUTED_VALUE"""),29083.0)</f>
        <v>29083</v>
      </c>
      <c r="C362" t="str">
        <f>IFERROR(__xludf.DUMMYFUNCTION("""COMPUTED_VALUE"""),"NAVARRO ZULUAGA, SOFIA")</f>
        <v>NAVARRO ZULUAGA, SOFIA</v>
      </c>
      <c r="D362" t="str">
        <f>IFERROR(__xludf.DUMMYFUNCTION("""COMPUTED_VALUE"""),"Science 8")</f>
        <v>Science 8</v>
      </c>
      <c r="E362" s="31">
        <f>IFERROR(__xludf.DUMMYFUNCTION("""COMPUTED_VALUE"""),4.0)</f>
        <v>4</v>
      </c>
      <c r="F362" s="8">
        <v>1.0</v>
      </c>
      <c r="G362" s="8">
        <v>1.0</v>
      </c>
      <c r="H362" s="8">
        <v>1.0</v>
      </c>
      <c r="I362" s="8">
        <v>1.0</v>
      </c>
      <c r="J362" s="8">
        <v>1.0</v>
      </c>
      <c r="K362" s="8">
        <v>1.0</v>
      </c>
      <c r="L362" s="8">
        <v>6.0</v>
      </c>
      <c r="M362" s="8"/>
      <c r="N362" s="8"/>
      <c r="O362" s="8" t="s">
        <v>713</v>
      </c>
      <c r="P362" s="8">
        <v>6.0</v>
      </c>
    </row>
    <row r="363">
      <c r="A363">
        <f>IFERROR(__xludf.DUMMYFUNCTION("""COMPUTED_VALUE"""),8.0)</f>
        <v>8</v>
      </c>
      <c r="B363">
        <f>IFERROR(__xludf.DUMMYFUNCTION("""COMPUTED_VALUE"""),29158.0)</f>
        <v>29158</v>
      </c>
      <c r="C363" t="str">
        <f>IFERROR(__xludf.DUMMYFUNCTION("""COMPUTED_VALUE"""),"NIEHAUS TRUJILLO, MICHELLE")</f>
        <v>NIEHAUS TRUJILLO, MICHELLE</v>
      </c>
      <c r="D363" t="str">
        <f>IFERROR(__xludf.DUMMYFUNCTION("""COMPUTED_VALUE"""),"Science 8A")</f>
        <v>Science 8A</v>
      </c>
      <c r="E363" s="31">
        <f>IFERROR(__xludf.DUMMYFUNCTION("""COMPUTED_VALUE"""),4.0)</f>
        <v>4</v>
      </c>
      <c r="F363" s="8">
        <v>1.0</v>
      </c>
      <c r="G363" s="8">
        <v>1.0</v>
      </c>
      <c r="H363" s="8">
        <v>1.0</v>
      </c>
      <c r="I363" s="8">
        <v>1.0</v>
      </c>
      <c r="J363" s="8">
        <v>1.0</v>
      </c>
      <c r="K363" s="8">
        <v>1.0</v>
      </c>
      <c r="L363" s="8">
        <v>6.0</v>
      </c>
      <c r="M363" s="8"/>
      <c r="N363" s="8"/>
      <c r="O363" s="8" t="s">
        <v>716</v>
      </c>
      <c r="P363" s="8" t="e">
        <v>#N/A</v>
      </c>
    </row>
    <row r="364">
      <c r="A364">
        <f>IFERROR(__xludf.DUMMYFUNCTION("""COMPUTED_VALUE"""),8.0)</f>
        <v>8</v>
      </c>
      <c r="B364">
        <f>IFERROR(__xludf.DUMMYFUNCTION("""COMPUTED_VALUE"""),29137.0)</f>
        <v>29137</v>
      </c>
      <c r="C364" t="str">
        <f>IFERROR(__xludf.DUMMYFUNCTION("""COMPUTED_VALUE"""),"OLARTE JARAMILLO, EMILIO")</f>
        <v>OLARTE JARAMILLO, EMILIO</v>
      </c>
      <c r="D364" t="str">
        <f>IFERROR(__xludf.DUMMYFUNCTION("""COMPUTED_VALUE"""),"Science 8")</f>
        <v>Science 8</v>
      </c>
      <c r="E364" s="31">
        <f>IFERROR(__xludf.DUMMYFUNCTION("""COMPUTED_VALUE"""),3.0)</f>
        <v>3</v>
      </c>
      <c r="F364" s="8">
        <v>1.0</v>
      </c>
      <c r="G364" s="8">
        <v>1.0</v>
      </c>
      <c r="H364" s="8">
        <v>1.0</v>
      </c>
      <c r="I364" s="8">
        <v>1.0</v>
      </c>
      <c r="J364" s="8">
        <v>1.0</v>
      </c>
      <c r="K364" s="8">
        <v>1.0</v>
      </c>
      <c r="L364" s="8">
        <v>6.0</v>
      </c>
      <c r="M364" s="8"/>
      <c r="N364" s="8"/>
      <c r="O364" s="8" t="s">
        <v>712</v>
      </c>
      <c r="P364" s="8">
        <v>6.0</v>
      </c>
    </row>
    <row r="365">
      <c r="A365">
        <f>IFERROR(__xludf.DUMMYFUNCTION("""COMPUTED_VALUE"""),8.0)</f>
        <v>8</v>
      </c>
      <c r="B365">
        <f>IFERROR(__xludf.DUMMYFUNCTION("""COMPUTED_VALUE"""),28077.0)</f>
        <v>28077</v>
      </c>
      <c r="C365" t="str">
        <f>IFERROR(__xludf.DUMMYFUNCTION("""COMPUTED_VALUE"""),"OLIVEIRA CASTAÑO, MARIANA")</f>
        <v>OLIVEIRA CASTAÑO, MARIANA</v>
      </c>
      <c r="D365" t="str">
        <f>IFERROR(__xludf.DUMMYFUNCTION("""COMPUTED_VALUE"""),"Science 8")</f>
        <v>Science 8</v>
      </c>
      <c r="E365" s="31">
        <f>IFERROR(__xludf.DUMMYFUNCTION("""COMPUTED_VALUE"""),2.0)</f>
        <v>2</v>
      </c>
      <c r="F365" s="8">
        <v>1.0</v>
      </c>
      <c r="G365" s="8">
        <v>1.0</v>
      </c>
      <c r="H365" s="8">
        <v>1.0</v>
      </c>
      <c r="I365" s="8">
        <v>1.0</v>
      </c>
      <c r="J365" s="8">
        <v>1.0</v>
      </c>
      <c r="K365" s="8">
        <v>1.0</v>
      </c>
      <c r="L365" s="8">
        <v>6.0</v>
      </c>
      <c r="M365" s="8"/>
      <c r="N365" s="8"/>
      <c r="O365" s="8" t="s">
        <v>714</v>
      </c>
      <c r="P365" s="8">
        <v>6.0</v>
      </c>
    </row>
    <row r="366">
      <c r="A366">
        <f>IFERROR(__xludf.DUMMYFUNCTION("""COMPUTED_VALUE"""),8.0)</f>
        <v>8</v>
      </c>
      <c r="B366">
        <f>IFERROR(__xludf.DUMMYFUNCTION("""COMPUTED_VALUE"""),29084.0)</f>
        <v>29084</v>
      </c>
      <c r="C366" t="str">
        <f>IFERROR(__xludf.DUMMYFUNCTION("""COMPUTED_VALUE"""),"OROZCO MONTOYA, ANTONIA")</f>
        <v>OROZCO MONTOYA, ANTONIA</v>
      </c>
      <c r="D366" t="str">
        <f>IFERROR(__xludf.DUMMYFUNCTION("""COMPUTED_VALUE"""),"Science 8")</f>
        <v>Science 8</v>
      </c>
      <c r="E366" s="31">
        <f>IFERROR(__xludf.DUMMYFUNCTION("""COMPUTED_VALUE"""),5.0)</f>
        <v>5</v>
      </c>
      <c r="F366" s="8">
        <v>1.0</v>
      </c>
      <c r="G366" s="8">
        <v>1.0</v>
      </c>
      <c r="H366" s="8">
        <v>1.0</v>
      </c>
      <c r="I366" s="8">
        <v>1.0</v>
      </c>
      <c r="J366" s="8">
        <v>1.0</v>
      </c>
      <c r="K366" s="8">
        <v>1.0</v>
      </c>
      <c r="L366" s="8">
        <v>6.0</v>
      </c>
      <c r="M366" s="8"/>
      <c r="N366" s="8"/>
      <c r="O366" s="8" t="s">
        <v>711</v>
      </c>
      <c r="P366" s="8">
        <v>6.0</v>
      </c>
    </row>
    <row r="367">
      <c r="A367">
        <f>IFERROR(__xludf.DUMMYFUNCTION("""COMPUTED_VALUE"""),8.0)</f>
        <v>8</v>
      </c>
      <c r="B367">
        <f>IFERROR(__xludf.DUMMYFUNCTION("""COMPUTED_VALUE"""),29148.0)</f>
        <v>29148</v>
      </c>
      <c r="C367" t="str">
        <f>IFERROR(__xludf.DUMMYFUNCTION("""COMPUTED_VALUE"""),"OSORIO ARISTIZABAL, MATIAS")</f>
        <v>OSORIO ARISTIZABAL, MATIAS</v>
      </c>
      <c r="D367" t="str">
        <f>IFERROR(__xludf.DUMMYFUNCTION("""COMPUTED_VALUE"""),"Science 8")</f>
        <v>Science 8</v>
      </c>
      <c r="E367" s="31">
        <f>IFERROR(__xludf.DUMMYFUNCTION("""COMPUTED_VALUE"""),6.0)</f>
        <v>6</v>
      </c>
      <c r="F367" s="8">
        <v>1.0</v>
      </c>
      <c r="G367" s="8">
        <v>1.0</v>
      </c>
      <c r="H367" s="8">
        <v>1.0</v>
      </c>
      <c r="I367" s="8">
        <v>1.0</v>
      </c>
      <c r="J367" s="8">
        <v>1.0</v>
      </c>
      <c r="K367" s="8">
        <v>1.0</v>
      </c>
      <c r="L367" s="8">
        <v>6.0</v>
      </c>
      <c r="M367" s="8"/>
      <c r="N367" s="8"/>
      <c r="O367" s="8" t="s">
        <v>715</v>
      </c>
      <c r="P367" s="8">
        <v>6.0</v>
      </c>
    </row>
    <row r="368">
      <c r="A368">
        <f>IFERROR(__xludf.DUMMYFUNCTION("""COMPUTED_VALUE"""),8.0)</f>
        <v>8</v>
      </c>
      <c r="B368">
        <f>IFERROR(__xludf.DUMMYFUNCTION("""COMPUTED_VALUE"""),29085.0)</f>
        <v>29085</v>
      </c>
      <c r="C368" t="str">
        <f>IFERROR(__xludf.DUMMYFUNCTION("""COMPUTED_VALUE"""),"OTALVARO ABAD, JUAN MARTIN")</f>
        <v>OTALVARO ABAD, JUAN MARTIN</v>
      </c>
      <c r="D368" t="str">
        <f>IFERROR(__xludf.DUMMYFUNCTION("""COMPUTED_VALUE"""),"Science 8A")</f>
        <v>Science 8A</v>
      </c>
      <c r="E368" s="31">
        <f>IFERROR(__xludf.DUMMYFUNCTION("""COMPUTED_VALUE"""),4.0)</f>
        <v>4</v>
      </c>
      <c r="F368" s="8">
        <v>1.0</v>
      </c>
      <c r="G368" s="8">
        <v>1.0</v>
      </c>
      <c r="H368" s="8">
        <v>1.0</v>
      </c>
      <c r="I368" s="8">
        <v>1.0</v>
      </c>
      <c r="J368" s="8">
        <v>1.0</v>
      </c>
      <c r="K368" s="8">
        <v>1.0</v>
      </c>
      <c r="L368" s="8">
        <v>6.0</v>
      </c>
      <c r="M368" s="8"/>
      <c r="N368" s="8"/>
      <c r="O368" s="8" t="s">
        <v>716</v>
      </c>
      <c r="P368" s="8" t="e">
        <v>#N/A</v>
      </c>
    </row>
    <row r="369">
      <c r="A369">
        <f>IFERROR(__xludf.DUMMYFUNCTION("""COMPUTED_VALUE"""),8.0)</f>
        <v>8</v>
      </c>
      <c r="B369">
        <f>IFERROR(__xludf.DUMMYFUNCTION("""COMPUTED_VALUE"""),29159.0)</f>
        <v>29159</v>
      </c>
      <c r="C369" t="str">
        <f>IFERROR(__xludf.DUMMYFUNCTION("""COMPUTED_VALUE"""),"PACHECO GARCIA, MARIANA")</f>
        <v>PACHECO GARCIA, MARIANA</v>
      </c>
      <c r="D369" t="str">
        <f>IFERROR(__xludf.DUMMYFUNCTION("""COMPUTED_VALUE"""),"Science 8A")</f>
        <v>Science 8A</v>
      </c>
      <c r="E369" s="31">
        <f>IFERROR(__xludf.DUMMYFUNCTION("""COMPUTED_VALUE"""),4.0)</f>
        <v>4</v>
      </c>
      <c r="F369" s="8">
        <v>1.0</v>
      </c>
      <c r="G369" s="8">
        <v>1.0</v>
      </c>
      <c r="H369" s="8">
        <v>1.0</v>
      </c>
      <c r="I369" s="8">
        <v>1.0</v>
      </c>
      <c r="J369" s="8">
        <v>1.0</v>
      </c>
      <c r="K369" s="8">
        <v>1.0</v>
      </c>
      <c r="L369" s="8">
        <v>6.0</v>
      </c>
      <c r="M369" s="8"/>
      <c r="N369" s="8"/>
      <c r="O369" s="8" t="s">
        <v>716</v>
      </c>
      <c r="P369" s="8" t="e">
        <v>#N/A</v>
      </c>
    </row>
    <row r="370">
      <c r="A370">
        <f>IFERROR(__xludf.DUMMYFUNCTION("""COMPUTED_VALUE"""),8.0)</f>
        <v>8</v>
      </c>
      <c r="B370">
        <f>IFERROR(__xludf.DUMMYFUNCTION("""COMPUTED_VALUE"""),29087.0)</f>
        <v>29087</v>
      </c>
      <c r="C370" t="str">
        <f>IFERROR(__xludf.DUMMYFUNCTION("""COMPUTED_VALUE"""),"PALACIO BOTERO, MATIAS")</f>
        <v>PALACIO BOTERO, MATIAS</v>
      </c>
      <c r="D370" t="str">
        <f>IFERROR(__xludf.DUMMYFUNCTION("""COMPUTED_VALUE"""),"Science 8")</f>
        <v>Science 8</v>
      </c>
      <c r="E370" s="31">
        <f>IFERROR(__xludf.DUMMYFUNCTION("""COMPUTED_VALUE"""),3.0)</f>
        <v>3</v>
      </c>
      <c r="F370" s="8">
        <v>1.0</v>
      </c>
      <c r="G370" s="8">
        <v>1.0</v>
      </c>
      <c r="H370" s="8">
        <v>1.0</v>
      </c>
      <c r="I370" s="8">
        <v>1.0</v>
      </c>
      <c r="J370" s="8">
        <v>1.0</v>
      </c>
      <c r="K370" s="8">
        <v>1.0</v>
      </c>
      <c r="L370" s="8">
        <v>6.0</v>
      </c>
      <c r="M370" s="8"/>
      <c r="N370" s="8"/>
      <c r="O370" s="8" t="s">
        <v>712</v>
      </c>
      <c r="P370" s="8">
        <v>6.0</v>
      </c>
    </row>
    <row r="371">
      <c r="A371">
        <f>IFERROR(__xludf.DUMMYFUNCTION("""COMPUTED_VALUE"""),8.0)</f>
        <v>8</v>
      </c>
      <c r="B371">
        <f>IFERROR(__xludf.DUMMYFUNCTION("""COMPUTED_VALUE"""),29088.0)</f>
        <v>29088</v>
      </c>
      <c r="C371" t="str">
        <f>IFERROR(__xludf.DUMMYFUNCTION("""COMPUTED_VALUE"""),"PEREZ ALVARADO, SARA")</f>
        <v>PEREZ ALVARADO, SARA</v>
      </c>
      <c r="D371" t="str">
        <f>IFERROR(__xludf.DUMMYFUNCTION("""COMPUTED_VALUE"""),"Science 8")</f>
        <v>Science 8</v>
      </c>
      <c r="E371" s="31">
        <f>IFERROR(__xludf.DUMMYFUNCTION("""COMPUTED_VALUE"""),6.0)</f>
        <v>6</v>
      </c>
      <c r="F371" s="8">
        <v>1.0</v>
      </c>
      <c r="G371" s="8">
        <v>1.0</v>
      </c>
      <c r="H371" s="8">
        <v>1.0</v>
      </c>
      <c r="I371" s="8">
        <v>1.0</v>
      </c>
      <c r="J371" s="8">
        <v>1.0</v>
      </c>
      <c r="K371" s="8">
        <v>1.0</v>
      </c>
      <c r="L371" s="8">
        <v>6.0</v>
      </c>
      <c r="M371" s="8"/>
      <c r="N371" s="8"/>
      <c r="O371" s="8" t="s">
        <v>715</v>
      </c>
      <c r="P371" s="8">
        <v>6.0</v>
      </c>
    </row>
    <row r="372">
      <c r="A372">
        <f>IFERROR(__xludf.DUMMYFUNCTION("""COMPUTED_VALUE"""),8.0)</f>
        <v>8</v>
      </c>
      <c r="B372">
        <f>IFERROR(__xludf.DUMMYFUNCTION("""COMPUTED_VALUE"""),29089.0)</f>
        <v>29089</v>
      </c>
      <c r="C372" t="str">
        <f>IFERROR(__xludf.DUMMYFUNCTION("""COMPUTED_VALUE"""),"PEREZ BEDOYA, ELENA")</f>
        <v>PEREZ BEDOYA, ELENA</v>
      </c>
      <c r="D372" t="str">
        <f>IFERROR(__xludf.DUMMYFUNCTION("""COMPUTED_VALUE"""),"Science 8")</f>
        <v>Science 8</v>
      </c>
      <c r="E372" s="31">
        <f>IFERROR(__xludf.DUMMYFUNCTION("""COMPUTED_VALUE"""),6.0)</f>
        <v>6</v>
      </c>
      <c r="F372" s="8">
        <v>1.0</v>
      </c>
      <c r="G372" s="8">
        <v>1.0</v>
      </c>
      <c r="H372" s="8">
        <v>1.0</v>
      </c>
      <c r="I372" s="8">
        <v>1.0</v>
      </c>
      <c r="J372" s="8">
        <v>1.0</v>
      </c>
      <c r="K372" s="8">
        <v>1.0</v>
      </c>
      <c r="L372" s="8">
        <v>6.0</v>
      </c>
      <c r="M372" s="8"/>
      <c r="N372" s="8"/>
      <c r="O372" s="8" t="s">
        <v>715</v>
      </c>
      <c r="P372" s="8">
        <v>6.0</v>
      </c>
    </row>
    <row r="373">
      <c r="A373">
        <f>IFERROR(__xludf.DUMMYFUNCTION("""COMPUTED_VALUE"""),8.0)</f>
        <v>8</v>
      </c>
      <c r="B373">
        <f>IFERROR(__xludf.DUMMYFUNCTION("""COMPUTED_VALUE"""),29157.0)</f>
        <v>29157</v>
      </c>
      <c r="C373" t="str">
        <f>IFERROR(__xludf.DUMMYFUNCTION("""COMPUTED_VALUE"""),"PETTERSSON VANEGAS, DOMINIQUE")</f>
        <v>PETTERSSON VANEGAS, DOMINIQUE</v>
      </c>
      <c r="D373" t="str">
        <f>IFERROR(__xludf.DUMMYFUNCTION("""COMPUTED_VALUE"""),"Science 8")</f>
        <v>Science 8</v>
      </c>
      <c r="E373" s="31">
        <f>IFERROR(__xludf.DUMMYFUNCTION("""COMPUTED_VALUE"""),5.0)</f>
        <v>5</v>
      </c>
      <c r="F373" s="8">
        <v>1.0</v>
      </c>
      <c r="G373" s="8">
        <v>1.0</v>
      </c>
      <c r="H373" s="8">
        <v>1.0</v>
      </c>
      <c r="I373" s="8">
        <v>1.0</v>
      </c>
      <c r="J373" s="8">
        <v>1.0</v>
      </c>
      <c r="K373" s="8">
        <v>1.0</v>
      </c>
      <c r="L373" s="8">
        <v>6.0</v>
      </c>
      <c r="M373" s="8"/>
      <c r="N373" s="8"/>
      <c r="O373" s="8" t="s">
        <v>711</v>
      </c>
      <c r="P373" s="8">
        <v>6.0</v>
      </c>
    </row>
    <row r="374">
      <c r="A374">
        <f>IFERROR(__xludf.DUMMYFUNCTION("""COMPUTED_VALUE"""),8.0)</f>
        <v>8</v>
      </c>
      <c r="B374">
        <f>IFERROR(__xludf.DUMMYFUNCTION("""COMPUTED_VALUE"""),29091.0)</f>
        <v>29091</v>
      </c>
      <c r="C374" t="str">
        <f>IFERROR(__xludf.DUMMYFUNCTION("""COMPUTED_VALUE"""),"PLATA BOLAÑOS, CAMILA")</f>
        <v>PLATA BOLAÑOS, CAMILA</v>
      </c>
      <c r="D374" t="str">
        <f>IFERROR(__xludf.DUMMYFUNCTION("""COMPUTED_VALUE"""),"Science 8")</f>
        <v>Science 8</v>
      </c>
      <c r="E374" s="31">
        <f>IFERROR(__xludf.DUMMYFUNCTION("""COMPUTED_VALUE"""),5.0)</f>
        <v>5</v>
      </c>
      <c r="F374" s="8">
        <v>1.0</v>
      </c>
      <c r="G374" s="8">
        <v>1.0</v>
      </c>
      <c r="H374" s="8">
        <v>1.0</v>
      </c>
      <c r="I374" s="8">
        <v>1.0</v>
      </c>
      <c r="J374" s="8">
        <v>1.0</v>
      </c>
      <c r="K374" s="8">
        <v>1.0</v>
      </c>
      <c r="L374" s="8">
        <v>6.0</v>
      </c>
      <c r="M374" s="8"/>
      <c r="N374" s="8"/>
      <c r="O374" s="8" t="s">
        <v>711</v>
      </c>
      <c r="P374" s="8">
        <v>6.0</v>
      </c>
    </row>
    <row r="375">
      <c r="A375">
        <f>IFERROR(__xludf.DUMMYFUNCTION("""COMPUTED_VALUE"""),8.0)</f>
        <v>8</v>
      </c>
      <c r="B375">
        <f>IFERROR(__xludf.DUMMYFUNCTION("""COMPUTED_VALUE"""),29093.0)</f>
        <v>29093</v>
      </c>
      <c r="C375" t="str">
        <f>IFERROR(__xludf.DUMMYFUNCTION("""COMPUTED_VALUE"""),"PUGLIESE STRICKLAND, MARCELLO ANTONIO")</f>
        <v>PUGLIESE STRICKLAND, MARCELLO ANTONIO</v>
      </c>
      <c r="D375" t="str">
        <f>IFERROR(__xludf.DUMMYFUNCTION("""COMPUTED_VALUE"""),"Science 8")</f>
        <v>Science 8</v>
      </c>
      <c r="E375" s="31">
        <f>IFERROR(__xludf.DUMMYFUNCTION("""COMPUTED_VALUE"""),2.0)</f>
        <v>2</v>
      </c>
      <c r="F375" s="8">
        <v>1.0</v>
      </c>
      <c r="G375" s="8">
        <v>1.0</v>
      </c>
      <c r="H375" s="8">
        <v>1.0</v>
      </c>
      <c r="I375" s="8">
        <v>1.0</v>
      </c>
      <c r="J375" s="8">
        <v>1.0</v>
      </c>
      <c r="K375" s="8">
        <v>1.0</v>
      </c>
      <c r="L375" s="8">
        <v>6.0</v>
      </c>
      <c r="M375" s="8"/>
      <c r="N375" s="8"/>
      <c r="O375" s="8" t="s">
        <v>714</v>
      </c>
      <c r="P375" s="8">
        <v>6.0</v>
      </c>
    </row>
    <row r="376">
      <c r="A376">
        <f>IFERROR(__xludf.DUMMYFUNCTION("""COMPUTED_VALUE"""),8.0)</f>
        <v>8</v>
      </c>
      <c r="B376">
        <f>IFERROR(__xludf.DUMMYFUNCTION("""COMPUTED_VALUE"""),28087.0)</f>
        <v>28087</v>
      </c>
      <c r="C376" t="str">
        <f>IFERROR(__xludf.DUMMYFUNCTION("""COMPUTED_VALUE"""),"QUINTERO HENAO, MATEO")</f>
        <v>QUINTERO HENAO, MATEO</v>
      </c>
      <c r="D376" t="str">
        <f>IFERROR(__xludf.DUMMYFUNCTION("""COMPUTED_VALUE"""),"Science 8")</f>
        <v>Science 8</v>
      </c>
      <c r="E376" s="31">
        <f>IFERROR(__xludf.DUMMYFUNCTION("""COMPUTED_VALUE"""),3.0)</f>
        <v>3</v>
      </c>
      <c r="F376" s="8">
        <v>1.0</v>
      </c>
      <c r="G376" s="8">
        <v>1.0</v>
      </c>
      <c r="H376" s="8">
        <v>1.0</v>
      </c>
      <c r="I376" s="8">
        <v>1.0</v>
      </c>
      <c r="J376" s="8">
        <v>1.0</v>
      </c>
      <c r="K376" s="8">
        <v>1.0</v>
      </c>
      <c r="L376" s="8">
        <v>6.0</v>
      </c>
      <c r="M376" s="8"/>
      <c r="N376" s="8"/>
      <c r="O376" s="8" t="s">
        <v>712</v>
      </c>
      <c r="P376" s="8">
        <v>6.0</v>
      </c>
    </row>
    <row r="377">
      <c r="A377">
        <f>IFERROR(__xludf.DUMMYFUNCTION("""COMPUTED_VALUE"""),8.0)</f>
        <v>8</v>
      </c>
      <c r="B377">
        <f>IFERROR(__xludf.DUMMYFUNCTION("""COMPUTED_VALUE"""),29096.0)</f>
        <v>29096</v>
      </c>
      <c r="C377" t="str">
        <f>IFERROR(__xludf.DUMMYFUNCTION("""COMPUTED_VALUE"""),"RAMIREZ PELAEZ, ANTONIA")</f>
        <v>RAMIREZ PELAEZ, ANTONIA</v>
      </c>
      <c r="D377" t="str">
        <f>IFERROR(__xludf.DUMMYFUNCTION("""COMPUTED_VALUE"""),"Science 8A")</f>
        <v>Science 8A</v>
      </c>
      <c r="E377" s="31">
        <f>IFERROR(__xludf.DUMMYFUNCTION("""COMPUTED_VALUE"""),4.0)</f>
        <v>4</v>
      </c>
      <c r="F377" s="8">
        <v>1.0</v>
      </c>
      <c r="G377" s="8">
        <v>1.0</v>
      </c>
      <c r="H377" s="8">
        <v>1.0</v>
      </c>
      <c r="I377" s="8">
        <v>1.0</v>
      </c>
      <c r="J377" s="8">
        <v>1.0</v>
      </c>
      <c r="K377" s="8">
        <v>1.0</v>
      </c>
      <c r="L377" s="8">
        <v>6.0</v>
      </c>
      <c r="M377" s="8"/>
      <c r="N377" s="8"/>
      <c r="O377" s="8" t="s">
        <v>716</v>
      </c>
      <c r="P377" s="8" t="e">
        <v>#N/A</v>
      </c>
    </row>
    <row r="378">
      <c r="A378">
        <f>IFERROR(__xludf.DUMMYFUNCTION("""COMPUTED_VALUE"""),8.0)</f>
        <v>8</v>
      </c>
      <c r="B378">
        <f>IFERROR(__xludf.DUMMYFUNCTION("""COMPUTED_VALUE"""),29097.0)</f>
        <v>29097</v>
      </c>
      <c r="C378" t="str">
        <f>IFERROR(__xludf.DUMMYFUNCTION("""COMPUTED_VALUE"""),"RAMIREZ PELAEZ, ELENA")</f>
        <v>RAMIREZ PELAEZ, ELENA</v>
      </c>
      <c r="D378" t="str">
        <f>IFERROR(__xludf.DUMMYFUNCTION("""COMPUTED_VALUE"""),"Science 8")</f>
        <v>Science 8</v>
      </c>
      <c r="E378" s="31">
        <f>IFERROR(__xludf.DUMMYFUNCTION("""COMPUTED_VALUE"""),6.0)</f>
        <v>6</v>
      </c>
      <c r="F378" s="8">
        <v>1.0</v>
      </c>
      <c r="G378" s="8">
        <v>1.0</v>
      </c>
      <c r="H378" s="8">
        <v>1.0</v>
      </c>
      <c r="I378" s="8">
        <v>1.0</v>
      </c>
      <c r="J378" s="8">
        <v>1.0</v>
      </c>
      <c r="K378" s="8">
        <v>1.0</v>
      </c>
      <c r="L378" s="8">
        <v>6.0</v>
      </c>
      <c r="M378" s="8"/>
      <c r="N378" s="8"/>
      <c r="O378" s="8" t="s">
        <v>715</v>
      </c>
      <c r="P378" s="8">
        <v>6.0</v>
      </c>
    </row>
    <row r="379">
      <c r="A379">
        <f>IFERROR(__xludf.DUMMYFUNCTION("""COMPUTED_VALUE"""),8.0)</f>
        <v>8</v>
      </c>
      <c r="B379">
        <f>IFERROR(__xludf.DUMMYFUNCTION("""COMPUTED_VALUE"""),29169.0)</f>
        <v>29169</v>
      </c>
      <c r="C379" t="str">
        <f>IFERROR(__xludf.DUMMYFUNCTION("""COMPUTED_VALUE"""),"REPETTO LARROSA, FAUSTINO")</f>
        <v>REPETTO LARROSA, FAUSTINO</v>
      </c>
      <c r="D379" t="str">
        <f>IFERROR(__xludf.DUMMYFUNCTION("""COMPUTED_VALUE"""),"Science 8")</f>
        <v>Science 8</v>
      </c>
      <c r="E379" s="31">
        <f>IFERROR(__xludf.DUMMYFUNCTION("""COMPUTED_VALUE"""),2.0)</f>
        <v>2</v>
      </c>
      <c r="F379" s="8">
        <v>1.0</v>
      </c>
      <c r="G379" s="8">
        <v>1.0</v>
      </c>
      <c r="H379" s="8">
        <v>1.0</v>
      </c>
      <c r="I379" s="8">
        <v>1.0</v>
      </c>
      <c r="J379" s="8">
        <v>1.0</v>
      </c>
      <c r="K379" s="8">
        <v>1.0</v>
      </c>
      <c r="L379" s="8">
        <v>6.0</v>
      </c>
      <c r="M379" s="8"/>
      <c r="N379" s="8"/>
      <c r="O379" s="8" t="s">
        <v>714</v>
      </c>
      <c r="P379" s="8">
        <v>6.0</v>
      </c>
    </row>
    <row r="380">
      <c r="A380">
        <f>IFERROR(__xludf.DUMMYFUNCTION("""COMPUTED_VALUE"""),8.0)</f>
        <v>8</v>
      </c>
      <c r="B380">
        <f>IFERROR(__xludf.DUMMYFUNCTION("""COMPUTED_VALUE"""),29098.0)</f>
        <v>29098</v>
      </c>
      <c r="C380" t="str">
        <f>IFERROR(__xludf.DUMMYFUNCTION("""COMPUTED_VALUE"""),"RESTREPO ESCOBAR, ISABELA")</f>
        <v>RESTREPO ESCOBAR, ISABELA</v>
      </c>
      <c r="D380" t="str">
        <f>IFERROR(__xludf.DUMMYFUNCTION("""COMPUTED_VALUE"""),"Science 8")</f>
        <v>Science 8</v>
      </c>
      <c r="E380" s="31">
        <f>IFERROR(__xludf.DUMMYFUNCTION("""COMPUTED_VALUE"""),6.0)</f>
        <v>6</v>
      </c>
      <c r="F380" s="8">
        <v>1.0</v>
      </c>
      <c r="G380" s="8">
        <v>1.0</v>
      </c>
      <c r="H380" s="8">
        <v>1.0</v>
      </c>
      <c r="I380" s="8">
        <v>1.0</v>
      </c>
      <c r="J380" s="8">
        <v>1.0</v>
      </c>
      <c r="K380" s="8">
        <v>1.0</v>
      </c>
      <c r="L380" s="8">
        <v>6.0</v>
      </c>
      <c r="M380" s="8"/>
      <c r="N380" s="8"/>
      <c r="O380" s="8" t="s">
        <v>715</v>
      </c>
      <c r="P380" s="8">
        <v>6.0</v>
      </c>
    </row>
    <row r="381">
      <c r="A381">
        <f>IFERROR(__xludf.DUMMYFUNCTION("""COMPUTED_VALUE"""),8.0)</f>
        <v>8</v>
      </c>
      <c r="B381">
        <f>IFERROR(__xludf.DUMMYFUNCTION("""COMPUTED_VALUE"""),29099.0)</f>
        <v>29099</v>
      </c>
      <c r="C381" t="str">
        <f>IFERROR(__xludf.DUMMYFUNCTION("""COMPUTED_VALUE"""),"RESTREPO RESTREPO, MATIAS")</f>
        <v>RESTREPO RESTREPO, MATIAS</v>
      </c>
      <c r="D381" t="str">
        <f>IFERROR(__xludf.DUMMYFUNCTION("""COMPUTED_VALUE"""),"Science 8")</f>
        <v>Science 8</v>
      </c>
      <c r="E381" s="31">
        <f>IFERROR(__xludf.DUMMYFUNCTION("""COMPUTED_VALUE"""),3.0)</f>
        <v>3</v>
      </c>
      <c r="F381" s="8">
        <v>1.0</v>
      </c>
      <c r="G381" s="8">
        <v>1.0</v>
      </c>
      <c r="H381" s="8">
        <v>1.0</v>
      </c>
      <c r="I381" s="8">
        <v>1.0</v>
      </c>
      <c r="J381" s="8">
        <v>1.0</v>
      </c>
      <c r="K381" s="8">
        <v>1.0</v>
      </c>
      <c r="L381" s="8">
        <v>6.0</v>
      </c>
      <c r="M381" s="8"/>
      <c r="N381" s="8"/>
      <c r="O381" s="8" t="s">
        <v>712</v>
      </c>
      <c r="P381" s="8">
        <v>6.0</v>
      </c>
    </row>
    <row r="382">
      <c r="A382">
        <f>IFERROR(__xludf.DUMMYFUNCTION("""COMPUTED_VALUE"""),8.0)</f>
        <v>8</v>
      </c>
      <c r="B382">
        <f>IFERROR(__xludf.DUMMYFUNCTION("""COMPUTED_VALUE"""),29100.0)</f>
        <v>29100</v>
      </c>
      <c r="C382" t="str">
        <f>IFERROR(__xludf.DUMMYFUNCTION("""COMPUTED_VALUE"""),"RESTREPO VILLEGAS, PEDRO")</f>
        <v>RESTREPO VILLEGAS, PEDRO</v>
      </c>
      <c r="D382" t="str">
        <f>IFERROR(__xludf.DUMMYFUNCTION("""COMPUTED_VALUE"""),"Science 8")</f>
        <v>Science 8</v>
      </c>
      <c r="E382" s="31">
        <f>IFERROR(__xludf.DUMMYFUNCTION("""COMPUTED_VALUE"""),3.0)</f>
        <v>3</v>
      </c>
      <c r="F382" s="8">
        <v>1.0</v>
      </c>
      <c r="G382" s="8">
        <v>1.0</v>
      </c>
      <c r="H382" s="8">
        <v>1.0</v>
      </c>
      <c r="I382" s="8">
        <v>1.0</v>
      </c>
      <c r="J382" s="8">
        <v>1.0</v>
      </c>
      <c r="K382" s="8">
        <v>1.0</v>
      </c>
      <c r="L382" s="8">
        <v>6.0</v>
      </c>
      <c r="M382" s="8"/>
      <c r="N382" s="8"/>
      <c r="O382" s="8" t="s">
        <v>712</v>
      </c>
      <c r="P382" s="8">
        <v>6.0</v>
      </c>
    </row>
    <row r="383">
      <c r="A383">
        <f>IFERROR(__xludf.DUMMYFUNCTION("""COMPUTED_VALUE"""),8.0)</f>
        <v>8</v>
      </c>
      <c r="B383">
        <f>IFERROR(__xludf.DUMMYFUNCTION("""COMPUTED_VALUE"""),29101.0)</f>
        <v>29101</v>
      </c>
      <c r="C383" t="str">
        <f>IFERROR(__xludf.DUMMYFUNCTION("""COMPUTED_VALUE"""),"ROBLES MARTINEZ, MARIA")</f>
        <v>ROBLES MARTINEZ, MARIA</v>
      </c>
      <c r="D383" t="str">
        <f>IFERROR(__xludf.DUMMYFUNCTION("""COMPUTED_VALUE"""),"Science 8")</f>
        <v>Science 8</v>
      </c>
      <c r="E383" s="31">
        <f>IFERROR(__xludf.DUMMYFUNCTION("""COMPUTED_VALUE"""),6.0)</f>
        <v>6</v>
      </c>
      <c r="F383" s="8">
        <v>1.0</v>
      </c>
      <c r="G383" s="8">
        <v>1.0</v>
      </c>
      <c r="H383" s="8">
        <v>1.0</v>
      </c>
      <c r="I383" s="8">
        <v>1.0</v>
      </c>
      <c r="J383" s="8">
        <v>1.0</v>
      </c>
      <c r="K383" s="8">
        <v>1.0</v>
      </c>
      <c r="L383" s="8">
        <v>6.0</v>
      </c>
      <c r="M383" s="8"/>
      <c r="N383" s="8"/>
      <c r="O383" s="8" t="s">
        <v>715</v>
      </c>
      <c r="P383" s="8">
        <v>6.0</v>
      </c>
    </row>
    <row r="384">
      <c r="A384">
        <f>IFERROR(__xludf.DUMMYFUNCTION("""COMPUTED_VALUE"""),8.0)</f>
        <v>8</v>
      </c>
      <c r="B384">
        <f>IFERROR(__xludf.DUMMYFUNCTION("""COMPUTED_VALUE"""),28160.0)</f>
        <v>28160</v>
      </c>
      <c r="C384" t="str">
        <f>IFERROR(__xludf.DUMMYFUNCTION("""COMPUTED_VALUE"""),"ROJAS REYES, JERONIMO")</f>
        <v>ROJAS REYES, JERONIMO</v>
      </c>
      <c r="D384" t="str">
        <f>IFERROR(__xludf.DUMMYFUNCTION("""COMPUTED_VALUE"""),"Science 8")</f>
        <v>Science 8</v>
      </c>
      <c r="E384" s="31">
        <f>IFERROR(__xludf.DUMMYFUNCTION("""COMPUTED_VALUE"""),3.0)</f>
        <v>3</v>
      </c>
      <c r="F384" s="8">
        <v>1.0</v>
      </c>
      <c r="G384" s="8">
        <v>1.0</v>
      </c>
      <c r="H384" s="8">
        <v>1.0</v>
      </c>
      <c r="I384" s="8">
        <v>1.0</v>
      </c>
      <c r="J384" s="8">
        <v>1.0</v>
      </c>
      <c r="K384" s="8">
        <v>1.0</v>
      </c>
      <c r="L384" s="8">
        <v>6.0</v>
      </c>
      <c r="M384" s="8"/>
      <c r="N384" s="8"/>
      <c r="O384" s="8" t="s">
        <v>712</v>
      </c>
      <c r="P384" s="8">
        <v>6.0</v>
      </c>
    </row>
    <row r="385">
      <c r="A385">
        <f>IFERROR(__xludf.DUMMYFUNCTION("""COMPUTED_VALUE"""),8.0)</f>
        <v>8</v>
      </c>
      <c r="B385">
        <f>IFERROR(__xludf.DUMMYFUNCTION("""COMPUTED_VALUE"""),29163.0)</f>
        <v>29163</v>
      </c>
      <c r="C385" t="str">
        <f>IFERROR(__xludf.DUMMYFUNCTION("""COMPUTED_VALUE"""),"ROMERO OROZCO, SALVADOR")</f>
        <v>ROMERO OROZCO, SALVADOR</v>
      </c>
      <c r="D385" t="str">
        <f>IFERROR(__xludf.DUMMYFUNCTION("""COMPUTED_VALUE"""),"Science 8")</f>
        <v>Science 8</v>
      </c>
      <c r="E385" s="31">
        <f>IFERROR(__xludf.DUMMYFUNCTION("""COMPUTED_VALUE"""),2.0)</f>
        <v>2</v>
      </c>
      <c r="F385" s="8">
        <v>1.0</v>
      </c>
      <c r="G385" s="8">
        <v>1.0</v>
      </c>
      <c r="H385" s="8">
        <v>1.0</v>
      </c>
      <c r="I385" s="8">
        <v>1.0</v>
      </c>
      <c r="J385" s="8">
        <v>1.0</v>
      </c>
      <c r="K385" s="8">
        <v>1.0</v>
      </c>
      <c r="L385" s="8">
        <v>6.0</v>
      </c>
      <c r="M385" s="8"/>
      <c r="N385" s="8"/>
      <c r="O385" s="8" t="s">
        <v>714</v>
      </c>
      <c r="P385" s="8">
        <v>6.0</v>
      </c>
    </row>
    <row r="386">
      <c r="A386">
        <f>IFERROR(__xludf.DUMMYFUNCTION("""COMPUTED_VALUE"""),8.0)</f>
        <v>8</v>
      </c>
      <c r="B386">
        <f>IFERROR(__xludf.DUMMYFUNCTION("""COMPUTED_VALUE"""),29103.0)</f>
        <v>29103</v>
      </c>
      <c r="C386" t="str">
        <f>IFERROR(__xludf.DUMMYFUNCTION("""COMPUTED_VALUE"""),"SALAZAR ECHEVERRI, ANTONIA")</f>
        <v>SALAZAR ECHEVERRI, ANTONIA</v>
      </c>
      <c r="D386" t="str">
        <f>IFERROR(__xludf.DUMMYFUNCTION("""COMPUTED_VALUE"""),"Science 8")</f>
        <v>Science 8</v>
      </c>
      <c r="E386" s="31">
        <f>IFERROR(__xludf.DUMMYFUNCTION("""COMPUTED_VALUE"""),4.0)</f>
        <v>4</v>
      </c>
      <c r="F386" s="8">
        <v>1.0</v>
      </c>
      <c r="G386" s="8">
        <v>1.0</v>
      </c>
      <c r="H386" s="8">
        <v>1.0</v>
      </c>
      <c r="I386" s="8">
        <v>1.0</v>
      </c>
      <c r="J386" s="8">
        <v>1.0</v>
      </c>
      <c r="K386" s="8">
        <v>1.0</v>
      </c>
      <c r="L386" s="8">
        <v>6.0</v>
      </c>
      <c r="M386" s="8"/>
      <c r="N386" s="8"/>
      <c r="O386" s="8" t="s">
        <v>713</v>
      </c>
      <c r="P386" s="8">
        <v>6.0</v>
      </c>
    </row>
    <row r="387">
      <c r="A387">
        <f>IFERROR(__xludf.DUMMYFUNCTION("""COMPUTED_VALUE"""),8.0)</f>
        <v>8</v>
      </c>
      <c r="B387">
        <f>IFERROR(__xludf.DUMMYFUNCTION("""COMPUTED_VALUE"""),29149.0)</f>
        <v>29149</v>
      </c>
      <c r="C387" t="str">
        <f>IFERROR(__xludf.DUMMYFUNCTION("""COMPUTED_VALUE"""),"SALEMME GUTIERREZ, AMALIA")</f>
        <v>SALEMME GUTIERREZ, AMALIA</v>
      </c>
      <c r="D387" t="str">
        <f>IFERROR(__xludf.DUMMYFUNCTION("""COMPUTED_VALUE"""),"Science 8")</f>
        <v>Science 8</v>
      </c>
      <c r="E387" s="31">
        <f>IFERROR(__xludf.DUMMYFUNCTION("""COMPUTED_VALUE"""),6.0)</f>
        <v>6</v>
      </c>
      <c r="F387" s="8">
        <v>1.0</v>
      </c>
      <c r="G387" s="8">
        <v>1.0</v>
      </c>
      <c r="H387" s="8">
        <v>1.0</v>
      </c>
      <c r="I387" s="8">
        <v>1.0</v>
      </c>
      <c r="J387" s="8">
        <v>1.0</v>
      </c>
      <c r="K387" s="8">
        <v>1.0</v>
      </c>
      <c r="L387" s="8">
        <v>6.0</v>
      </c>
      <c r="M387" s="8"/>
      <c r="N387" s="8"/>
      <c r="O387" s="8" t="s">
        <v>715</v>
      </c>
      <c r="P387" s="8">
        <v>6.0</v>
      </c>
    </row>
    <row r="388">
      <c r="A388">
        <f>IFERROR(__xludf.DUMMYFUNCTION("""COMPUTED_VALUE"""),8.0)</f>
        <v>8</v>
      </c>
      <c r="B388">
        <f>IFERROR(__xludf.DUMMYFUNCTION("""COMPUTED_VALUE"""),29105.0)</f>
        <v>29105</v>
      </c>
      <c r="C388" t="str">
        <f>IFERROR(__xludf.DUMMYFUNCTION("""COMPUTED_VALUE"""),"SANCHEZ DIAZ, MATIAS")</f>
        <v>SANCHEZ DIAZ, MATIAS</v>
      </c>
      <c r="D388" t="str">
        <f>IFERROR(__xludf.DUMMYFUNCTION("""COMPUTED_VALUE"""),"Science 8A")</f>
        <v>Science 8A</v>
      </c>
      <c r="E388" s="31">
        <f>IFERROR(__xludf.DUMMYFUNCTION("""COMPUTED_VALUE"""),4.0)</f>
        <v>4</v>
      </c>
      <c r="F388" s="8">
        <v>1.0</v>
      </c>
      <c r="G388" s="8">
        <v>1.0</v>
      </c>
      <c r="H388" s="8">
        <v>1.0</v>
      </c>
      <c r="I388" s="8">
        <v>1.0</v>
      </c>
      <c r="J388" s="8">
        <v>1.0</v>
      </c>
      <c r="K388" s="8">
        <v>1.0</v>
      </c>
      <c r="L388" s="8">
        <v>6.0</v>
      </c>
      <c r="M388" s="8"/>
      <c r="N388" s="8"/>
      <c r="O388" s="8" t="s">
        <v>716</v>
      </c>
      <c r="P388" s="8" t="e">
        <v>#N/A</v>
      </c>
    </row>
    <row r="389">
      <c r="A389">
        <f>IFERROR(__xludf.DUMMYFUNCTION("""COMPUTED_VALUE"""),8.0)</f>
        <v>8</v>
      </c>
      <c r="B389">
        <f>IFERROR(__xludf.DUMMYFUNCTION("""COMPUTED_VALUE"""),29106.0)</f>
        <v>29106</v>
      </c>
      <c r="C389" t="str">
        <f>IFERROR(__xludf.DUMMYFUNCTION("""COMPUTED_VALUE"""),"SANCHEZ DIAZ, SIMON")</f>
        <v>SANCHEZ DIAZ, SIMON</v>
      </c>
      <c r="D389" t="str">
        <f>IFERROR(__xludf.DUMMYFUNCTION("""COMPUTED_VALUE"""),"Science 8A")</f>
        <v>Science 8A</v>
      </c>
      <c r="E389" s="31">
        <f>IFERROR(__xludf.DUMMYFUNCTION("""COMPUTED_VALUE"""),4.0)</f>
        <v>4</v>
      </c>
      <c r="F389" s="8">
        <v>1.0</v>
      </c>
      <c r="G389" s="8">
        <v>1.0</v>
      </c>
      <c r="H389" s="8">
        <v>1.0</v>
      </c>
      <c r="I389" s="8">
        <v>1.0</v>
      </c>
      <c r="J389" s="8">
        <v>1.0</v>
      </c>
      <c r="K389" s="8">
        <v>1.0</v>
      </c>
      <c r="L389" s="8">
        <v>6.0</v>
      </c>
      <c r="M389" s="8"/>
      <c r="N389" s="8"/>
      <c r="O389" s="8" t="s">
        <v>716</v>
      </c>
      <c r="P389" s="8" t="e">
        <v>#N/A</v>
      </c>
    </row>
    <row r="390">
      <c r="A390">
        <f>IFERROR(__xludf.DUMMYFUNCTION("""COMPUTED_VALUE"""),8.0)</f>
        <v>8</v>
      </c>
      <c r="B390">
        <f>IFERROR(__xludf.DUMMYFUNCTION("""COMPUTED_VALUE"""),29107.0)</f>
        <v>29107</v>
      </c>
      <c r="C390" t="str">
        <f>IFERROR(__xludf.DUMMYFUNCTION("""COMPUTED_VALUE"""),"SANIN JARAMILLO, PEDRO")</f>
        <v>SANIN JARAMILLO, PEDRO</v>
      </c>
      <c r="D390" t="str">
        <f>IFERROR(__xludf.DUMMYFUNCTION("""COMPUTED_VALUE"""),"Science 8")</f>
        <v>Science 8</v>
      </c>
      <c r="E390" s="31">
        <f>IFERROR(__xludf.DUMMYFUNCTION("""COMPUTED_VALUE"""),5.0)</f>
        <v>5</v>
      </c>
      <c r="F390" s="8">
        <v>1.0</v>
      </c>
      <c r="G390" s="8">
        <v>1.0</v>
      </c>
      <c r="H390" s="8">
        <v>1.0</v>
      </c>
      <c r="I390" s="8">
        <v>1.0</v>
      </c>
      <c r="J390" s="8">
        <v>1.0</v>
      </c>
      <c r="K390" s="8">
        <v>1.0</v>
      </c>
      <c r="L390" s="8">
        <v>6.0</v>
      </c>
      <c r="M390" s="8"/>
      <c r="N390" s="8"/>
      <c r="O390" s="8" t="s">
        <v>711</v>
      </c>
      <c r="P390" s="8">
        <v>6.0</v>
      </c>
    </row>
    <row r="391">
      <c r="A391">
        <f>IFERROR(__xludf.DUMMYFUNCTION("""COMPUTED_VALUE"""),8.0)</f>
        <v>8</v>
      </c>
      <c r="B391">
        <f>IFERROR(__xludf.DUMMYFUNCTION("""COMPUTED_VALUE"""),29108.0)</f>
        <v>29108</v>
      </c>
      <c r="C391" t="str">
        <f>IFERROR(__xludf.DUMMYFUNCTION("""COMPUTED_VALUE"""),"SCHOBER OCAMPO, DANIEL")</f>
        <v>SCHOBER OCAMPO, DANIEL</v>
      </c>
      <c r="D391" t="str">
        <f>IFERROR(__xludf.DUMMYFUNCTION("""COMPUTED_VALUE"""),"Science 8A")</f>
        <v>Science 8A</v>
      </c>
      <c r="E391" s="31">
        <f>IFERROR(__xludf.DUMMYFUNCTION("""COMPUTED_VALUE"""),4.0)</f>
        <v>4</v>
      </c>
      <c r="F391" s="8">
        <v>1.0</v>
      </c>
      <c r="G391" s="8">
        <v>1.0</v>
      </c>
      <c r="H391" s="8">
        <v>1.0</v>
      </c>
      <c r="I391" s="8">
        <v>1.0</v>
      </c>
      <c r="J391" s="8">
        <v>1.0</v>
      </c>
      <c r="K391" s="8">
        <v>1.0</v>
      </c>
      <c r="L391" s="8">
        <v>6.0</v>
      </c>
      <c r="M391" s="8"/>
      <c r="N391" s="8"/>
      <c r="O391" s="8" t="s">
        <v>716</v>
      </c>
      <c r="P391" s="8" t="e">
        <v>#N/A</v>
      </c>
    </row>
    <row r="392">
      <c r="A392">
        <f>IFERROR(__xludf.DUMMYFUNCTION("""COMPUTED_VALUE"""),8.0)</f>
        <v>8</v>
      </c>
      <c r="B392">
        <f>IFERROR(__xludf.DUMMYFUNCTION("""COMPUTED_VALUE"""),29171.0)</f>
        <v>29171</v>
      </c>
      <c r="C392" t="str">
        <f>IFERROR(__xludf.DUMMYFUNCTION("""COMPUTED_VALUE"""),"SCHUCHASKIE, KEATON")</f>
        <v>SCHUCHASKIE, KEATON</v>
      </c>
      <c r="D392" t="str">
        <f>IFERROR(__xludf.DUMMYFUNCTION("""COMPUTED_VALUE"""),"Science 8A")</f>
        <v>Science 8A</v>
      </c>
      <c r="E392" s="31">
        <f>IFERROR(__xludf.DUMMYFUNCTION("""COMPUTED_VALUE"""),4.0)</f>
        <v>4</v>
      </c>
      <c r="F392" s="8">
        <v>1.0</v>
      </c>
      <c r="G392" s="8">
        <v>1.0</v>
      </c>
      <c r="H392" s="8">
        <v>1.0</v>
      </c>
      <c r="I392" s="8">
        <v>1.0</v>
      </c>
      <c r="J392" s="8">
        <v>1.0</v>
      </c>
      <c r="K392" s="8">
        <v>1.0</v>
      </c>
      <c r="L392" s="8">
        <v>6.0</v>
      </c>
      <c r="M392" s="8"/>
      <c r="N392" s="8"/>
      <c r="O392" s="8" t="s">
        <v>716</v>
      </c>
      <c r="P392" s="8" t="e">
        <v>#N/A</v>
      </c>
    </row>
    <row r="393">
      <c r="A393">
        <f>IFERROR(__xludf.DUMMYFUNCTION("""COMPUTED_VALUE"""),8.0)</f>
        <v>8</v>
      </c>
      <c r="B393">
        <f>IFERROR(__xludf.DUMMYFUNCTION("""COMPUTED_VALUE"""),29109.0)</f>
        <v>29109</v>
      </c>
      <c r="C393" t="str">
        <f>IFERROR(__xludf.DUMMYFUNCTION("""COMPUTED_VALUE"""),"SERANI ANGEL, LUCIANA")</f>
        <v>SERANI ANGEL, LUCIANA</v>
      </c>
      <c r="D393" t="str">
        <f>IFERROR(__xludf.DUMMYFUNCTION("""COMPUTED_VALUE"""),"Science 8A")</f>
        <v>Science 8A</v>
      </c>
      <c r="E393" s="31">
        <f>IFERROR(__xludf.DUMMYFUNCTION("""COMPUTED_VALUE"""),4.0)</f>
        <v>4</v>
      </c>
      <c r="F393" s="8">
        <v>1.0</v>
      </c>
      <c r="G393" s="8">
        <v>1.0</v>
      </c>
      <c r="H393" s="8">
        <v>1.0</v>
      </c>
      <c r="I393" s="8">
        <v>1.0</v>
      </c>
      <c r="J393" s="8">
        <v>1.0</v>
      </c>
      <c r="K393" s="8">
        <v>1.0</v>
      </c>
      <c r="L393" s="8">
        <v>6.0</v>
      </c>
      <c r="M393" s="8"/>
      <c r="N393" s="8"/>
      <c r="O393" s="8" t="s">
        <v>716</v>
      </c>
      <c r="P393" s="8" t="e">
        <v>#N/A</v>
      </c>
    </row>
    <row r="394">
      <c r="A394">
        <f>IFERROR(__xludf.DUMMYFUNCTION("""COMPUTED_VALUE"""),8.0)</f>
        <v>8</v>
      </c>
      <c r="B394">
        <f>IFERROR(__xludf.DUMMYFUNCTION("""COMPUTED_VALUE"""),29110.0)</f>
        <v>29110</v>
      </c>
      <c r="C394" t="str">
        <f>IFERROR(__xludf.DUMMYFUNCTION("""COMPUTED_VALUE"""),"SOSA ECHAVARRIA, EMILIO")</f>
        <v>SOSA ECHAVARRIA, EMILIO</v>
      </c>
      <c r="D394" t="str">
        <f>IFERROR(__xludf.DUMMYFUNCTION("""COMPUTED_VALUE"""),"Science 8")</f>
        <v>Science 8</v>
      </c>
      <c r="E394" s="31">
        <f>IFERROR(__xludf.DUMMYFUNCTION("""COMPUTED_VALUE"""),6.0)</f>
        <v>6</v>
      </c>
      <c r="F394" s="8">
        <v>1.0</v>
      </c>
      <c r="G394" s="8">
        <v>1.0</v>
      </c>
      <c r="H394" s="8">
        <v>1.0</v>
      </c>
      <c r="I394" s="8">
        <v>1.0</v>
      </c>
      <c r="J394" s="8">
        <v>1.0</v>
      </c>
      <c r="K394" s="8">
        <v>1.0</v>
      </c>
      <c r="L394" s="8">
        <v>6.0</v>
      </c>
      <c r="M394" s="8"/>
      <c r="N394" s="8"/>
      <c r="O394" s="8" t="s">
        <v>715</v>
      </c>
      <c r="P394" s="8">
        <v>6.0</v>
      </c>
    </row>
    <row r="395">
      <c r="A395">
        <f>IFERROR(__xludf.DUMMYFUNCTION("""COMPUTED_VALUE"""),8.0)</f>
        <v>8</v>
      </c>
      <c r="B395">
        <f>IFERROR(__xludf.DUMMYFUNCTION("""COMPUTED_VALUE"""),29111.0)</f>
        <v>29111</v>
      </c>
      <c r="C395" t="str">
        <f>IFERROR(__xludf.DUMMYFUNCTION("""COMPUTED_VALUE"""),"SOTO ANGEL, GABRIELA")</f>
        <v>SOTO ANGEL, GABRIELA</v>
      </c>
      <c r="D395" t="str">
        <f>IFERROR(__xludf.DUMMYFUNCTION("""COMPUTED_VALUE"""),"Science 8")</f>
        <v>Science 8</v>
      </c>
      <c r="E395" s="31">
        <f>IFERROR(__xludf.DUMMYFUNCTION("""COMPUTED_VALUE"""),4.0)</f>
        <v>4</v>
      </c>
      <c r="F395" s="8">
        <v>1.0</v>
      </c>
      <c r="G395" s="8">
        <v>1.0</v>
      </c>
      <c r="H395" s="8">
        <v>1.0</v>
      </c>
      <c r="I395" s="8">
        <v>1.0</v>
      </c>
      <c r="J395" s="8">
        <v>1.0</v>
      </c>
      <c r="K395" s="8">
        <v>1.0</v>
      </c>
      <c r="L395" s="8">
        <v>6.0</v>
      </c>
      <c r="M395" s="8"/>
      <c r="N395" s="8"/>
      <c r="O395" s="8" t="s">
        <v>713</v>
      </c>
      <c r="P395" s="8">
        <v>6.0</v>
      </c>
    </row>
    <row r="396">
      <c r="A396">
        <f>IFERROR(__xludf.DUMMYFUNCTION("""COMPUTED_VALUE"""),8.0)</f>
        <v>8</v>
      </c>
      <c r="B396">
        <f>IFERROR(__xludf.DUMMYFUNCTION("""COMPUTED_VALUE"""),29112.0)</f>
        <v>29112</v>
      </c>
      <c r="C396" t="str">
        <f>IFERROR(__xludf.DUMMYFUNCTION("""COMPUTED_VALUE"""),"SUAREZ MARTINEZ, ANA")</f>
        <v>SUAREZ MARTINEZ, ANA</v>
      </c>
      <c r="D396" t="str">
        <f>IFERROR(__xludf.DUMMYFUNCTION("""COMPUTED_VALUE"""),"Science 8")</f>
        <v>Science 8</v>
      </c>
      <c r="E396" s="31">
        <f>IFERROR(__xludf.DUMMYFUNCTION("""COMPUTED_VALUE"""),5.0)</f>
        <v>5</v>
      </c>
      <c r="F396" s="8">
        <v>1.0</v>
      </c>
      <c r="G396" s="8">
        <v>1.0</v>
      </c>
      <c r="H396" s="8">
        <v>1.0</v>
      </c>
      <c r="I396" s="8">
        <v>1.0</v>
      </c>
      <c r="J396" s="8">
        <v>1.0</v>
      </c>
      <c r="K396" s="8">
        <v>1.0</v>
      </c>
      <c r="L396" s="8">
        <v>6.0</v>
      </c>
      <c r="M396" s="8"/>
      <c r="N396" s="8"/>
      <c r="O396" s="8" t="s">
        <v>711</v>
      </c>
      <c r="P396" s="8">
        <v>6.0</v>
      </c>
    </row>
    <row r="397">
      <c r="A397">
        <f>IFERROR(__xludf.DUMMYFUNCTION("""COMPUTED_VALUE"""),8.0)</f>
        <v>8</v>
      </c>
      <c r="B397">
        <f>IFERROR(__xludf.DUMMYFUNCTION("""COMPUTED_VALUE"""),29113.0)</f>
        <v>29113</v>
      </c>
      <c r="C397" t="str">
        <f>IFERROR(__xludf.DUMMYFUNCTION("""COMPUTED_VALUE"""),"THIRIEZ VILLA, EMMA")</f>
        <v>THIRIEZ VILLA, EMMA</v>
      </c>
      <c r="D397" t="str">
        <f>IFERROR(__xludf.DUMMYFUNCTION("""COMPUTED_VALUE"""),"Science 8")</f>
        <v>Science 8</v>
      </c>
      <c r="E397" s="31">
        <f>IFERROR(__xludf.DUMMYFUNCTION("""COMPUTED_VALUE"""),6.0)</f>
        <v>6</v>
      </c>
      <c r="F397" s="8">
        <v>1.0</v>
      </c>
      <c r="G397" s="8">
        <v>1.0</v>
      </c>
      <c r="H397" s="8">
        <v>1.0</v>
      </c>
      <c r="I397" s="8">
        <v>1.0</v>
      </c>
      <c r="J397" s="8">
        <v>1.0</v>
      </c>
      <c r="K397" s="8">
        <v>1.0</v>
      </c>
      <c r="L397" s="8">
        <v>6.0</v>
      </c>
      <c r="M397" s="8"/>
      <c r="N397" s="8"/>
      <c r="O397" s="8" t="s">
        <v>715</v>
      </c>
      <c r="P397" s="8">
        <v>6.0</v>
      </c>
    </row>
    <row r="398">
      <c r="A398">
        <f>IFERROR(__xludf.DUMMYFUNCTION("""COMPUTED_VALUE"""),8.0)</f>
        <v>8</v>
      </c>
      <c r="B398">
        <f>IFERROR(__xludf.DUMMYFUNCTION("""COMPUTED_VALUE"""),29114.0)</f>
        <v>29114</v>
      </c>
      <c r="C398" t="str">
        <f>IFERROR(__xludf.DUMMYFUNCTION("""COMPUTED_VALUE"""),"THIRIEZ VILLA, MARIA")</f>
        <v>THIRIEZ VILLA, MARIA</v>
      </c>
      <c r="D398" t="str">
        <f>IFERROR(__xludf.DUMMYFUNCTION("""COMPUTED_VALUE"""),"Science 8")</f>
        <v>Science 8</v>
      </c>
      <c r="E398" s="31">
        <f>IFERROR(__xludf.DUMMYFUNCTION("""COMPUTED_VALUE"""),5.0)</f>
        <v>5</v>
      </c>
      <c r="F398" s="8">
        <v>1.0</v>
      </c>
      <c r="G398" s="8">
        <v>1.0</v>
      </c>
      <c r="H398" s="8">
        <v>1.0</v>
      </c>
      <c r="I398" s="8">
        <v>1.0</v>
      </c>
      <c r="J398" s="8">
        <v>1.0</v>
      </c>
      <c r="K398" s="8">
        <v>1.0</v>
      </c>
      <c r="L398" s="8">
        <v>6.0</v>
      </c>
      <c r="M398" s="8"/>
      <c r="N398" s="8"/>
      <c r="O398" s="8" t="s">
        <v>711</v>
      </c>
      <c r="P398" s="8">
        <v>6.0</v>
      </c>
    </row>
    <row r="399">
      <c r="A399">
        <f>IFERROR(__xludf.DUMMYFUNCTION("""COMPUTED_VALUE"""),8.0)</f>
        <v>8</v>
      </c>
      <c r="B399">
        <f>IFERROR(__xludf.DUMMYFUNCTION("""COMPUTED_VALUE"""),29115.0)</f>
        <v>29115</v>
      </c>
      <c r="C399" t="str">
        <f>IFERROR(__xludf.DUMMYFUNCTION("""COMPUTED_VALUE"""),"TIRADO SANIN, ELENA")</f>
        <v>TIRADO SANIN, ELENA</v>
      </c>
      <c r="D399" t="str">
        <f>IFERROR(__xludf.DUMMYFUNCTION("""COMPUTED_VALUE"""),"Science 8")</f>
        <v>Science 8</v>
      </c>
      <c r="E399" s="31">
        <f>IFERROR(__xludf.DUMMYFUNCTION("""COMPUTED_VALUE"""),2.0)</f>
        <v>2</v>
      </c>
      <c r="F399" s="8">
        <v>1.0</v>
      </c>
      <c r="G399" s="8">
        <v>1.0</v>
      </c>
      <c r="H399" s="8">
        <v>1.0</v>
      </c>
      <c r="I399" s="8">
        <v>1.0</v>
      </c>
      <c r="J399" s="8">
        <v>1.0</v>
      </c>
      <c r="K399" s="8">
        <v>1.0</v>
      </c>
      <c r="L399" s="8">
        <v>6.0</v>
      </c>
      <c r="M399" s="8"/>
      <c r="N399" s="8"/>
      <c r="O399" s="8" t="s">
        <v>714</v>
      </c>
      <c r="P399" s="8">
        <v>6.0</v>
      </c>
    </row>
    <row r="400">
      <c r="A400">
        <f>IFERROR(__xludf.DUMMYFUNCTION("""COMPUTED_VALUE"""),8.0)</f>
        <v>8</v>
      </c>
      <c r="B400">
        <f>IFERROR(__xludf.DUMMYFUNCTION("""COMPUTED_VALUE"""),29116.0)</f>
        <v>29116</v>
      </c>
      <c r="C400" t="str">
        <f>IFERROR(__xludf.DUMMYFUNCTION("""COMPUTED_VALUE"""),"TOBAR MEJIA, CAMILO")</f>
        <v>TOBAR MEJIA, CAMILO</v>
      </c>
      <c r="D400" t="str">
        <f>IFERROR(__xludf.DUMMYFUNCTION("""COMPUTED_VALUE"""),"Science 8")</f>
        <v>Science 8</v>
      </c>
      <c r="E400" s="31">
        <f>IFERROR(__xludf.DUMMYFUNCTION("""COMPUTED_VALUE"""),3.0)</f>
        <v>3</v>
      </c>
      <c r="F400" s="8">
        <v>1.0</v>
      </c>
      <c r="G400" s="8">
        <v>1.0</v>
      </c>
      <c r="H400" s="8">
        <v>1.0</v>
      </c>
      <c r="I400" s="8">
        <v>1.0</v>
      </c>
      <c r="J400" s="8">
        <v>1.0</v>
      </c>
      <c r="K400" s="8">
        <v>1.0</v>
      </c>
      <c r="L400" s="8">
        <v>6.0</v>
      </c>
      <c r="M400" s="8"/>
      <c r="N400" s="8"/>
      <c r="O400" s="8" t="s">
        <v>712</v>
      </c>
      <c r="P400" s="8">
        <v>6.0</v>
      </c>
    </row>
    <row r="401">
      <c r="A401">
        <f>IFERROR(__xludf.DUMMYFUNCTION("""COMPUTED_VALUE"""),8.0)</f>
        <v>8</v>
      </c>
      <c r="B401">
        <f>IFERROR(__xludf.DUMMYFUNCTION("""COMPUTED_VALUE"""),29142.0)</f>
        <v>29142</v>
      </c>
      <c r="C401" t="str">
        <f>IFERROR(__xludf.DUMMYFUNCTION("""COMPUTED_VALUE"""),"TOBON CARMONA, JACOBO")</f>
        <v>TOBON CARMONA, JACOBO</v>
      </c>
      <c r="D401" t="str">
        <f>IFERROR(__xludf.DUMMYFUNCTION("""COMPUTED_VALUE"""),"Science 8A")</f>
        <v>Science 8A</v>
      </c>
      <c r="E401" s="31">
        <f>IFERROR(__xludf.DUMMYFUNCTION("""COMPUTED_VALUE"""),4.0)</f>
        <v>4</v>
      </c>
      <c r="F401" s="8">
        <v>1.0</v>
      </c>
      <c r="G401" s="8">
        <v>1.0</v>
      </c>
      <c r="H401" s="8">
        <v>1.0</v>
      </c>
      <c r="I401" s="8">
        <v>1.0</v>
      </c>
      <c r="J401" s="8">
        <v>1.0</v>
      </c>
      <c r="K401" s="8">
        <v>1.0</v>
      </c>
      <c r="L401" s="8">
        <v>6.0</v>
      </c>
      <c r="M401" s="8"/>
      <c r="N401" s="8"/>
      <c r="O401" s="8" t="s">
        <v>716</v>
      </c>
      <c r="P401" s="8" t="e">
        <v>#N/A</v>
      </c>
    </row>
    <row r="402">
      <c r="A402">
        <f>IFERROR(__xludf.DUMMYFUNCTION("""COMPUTED_VALUE"""),8.0)</f>
        <v>8</v>
      </c>
      <c r="B402">
        <f>IFERROR(__xludf.DUMMYFUNCTION("""COMPUTED_VALUE"""),29117.0)</f>
        <v>29117</v>
      </c>
      <c r="C402" t="str">
        <f>IFERROR(__xludf.DUMMYFUNCTION("""COMPUTED_VALUE"""),"TOBON GONZALEZ, FLORENCIA")</f>
        <v>TOBON GONZALEZ, FLORENCIA</v>
      </c>
      <c r="D402" t="str">
        <f>IFERROR(__xludf.DUMMYFUNCTION("""COMPUTED_VALUE"""),"Science 8")</f>
        <v>Science 8</v>
      </c>
      <c r="E402" s="31">
        <f>IFERROR(__xludf.DUMMYFUNCTION("""COMPUTED_VALUE"""),2.0)</f>
        <v>2</v>
      </c>
      <c r="F402" s="8">
        <v>1.0</v>
      </c>
      <c r="G402" s="8">
        <v>1.0</v>
      </c>
      <c r="H402" s="8">
        <v>1.0</v>
      </c>
      <c r="I402" s="8">
        <v>1.0</v>
      </c>
      <c r="J402" s="8">
        <v>1.0</v>
      </c>
      <c r="K402" s="8">
        <v>1.0</v>
      </c>
      <c r="L402" s="8">
        <v>6.0</v>
      </c>
      <c r="M402" s="8"/>
      <c r="N402" s="8"/>
      <c r="O402" s="8" t="s">
        <v>714</v>
      </c>
      <c r="P402" s="8">
        <v>6.0</v>
      </c>
    </row>
    <row r="403">
      <c r="A403">
        <f>IFERROR(__xludf.DUMMYFUNCTION("""COMPUTED_VALUE"""),8.0)</f>
        <v>8</v>
      </c>
      <c r="B403">
        <f>IFERROR(__xludf.DUMMYFUNCTION("""COMPUTED_VALUE"""),29118.0)</f>
        <v>29118</v>
      </c>
      <c r="C403" t="str">
        <f>IFERROR(__xludf.DUMMYFUNCTION("""COMPUTED_VALUE"""),"TRUJILLO RUIZ, SAMUEL")</f>
        <v>TRUJILLO RUIZ, SAMUEL</v>
      </c>
      <c r="D403" t="str">
        <f>IFERROR(__xludf.DUMMYFUNCTION("""COMPUTED_VALUE"""),"Science 8")</f>
        <v>Science 8</v>
      </c>
      <c r="E403" s="31">
        <f>IFERROR(__xludf.DUMMYFUNCTION("""COMPUTED_VALUE"""),3.0)</f>
        <v>3</v>
      </c>
      <c r="F403" s="8">
        <v>1.0</v>
      </c>
      <c r="G403" s="8">
        <v>1.0</v>
      </c>
      <c r="H403" s="8">
        <v>1.0</v>
      </c>
      <c r="I403" s="8">
        <v>1.0</v>
      </c>
      <c r="J403" s="8">
        <v>1.0</v>
      </c>
      <c r="K403" s="8">
        <v>1.0</v>
      </c>
      <c r="L403" s="8">
        <v>6.0</v>
      </c>
      <c r="M403" s="8"/>
      <c r="N403" s="8"/>
      <c r="O403" s="8" t="s">
        <v>712</v>
      </c>
      <c r="P403" s="8">
        <v>6.0</v>
      </c>
    </row>
    <row r="404">
      <c r="A404">
        <f>IFERROR(__xludf.DUMMYFUNCTION("""COMPUTED_VALUE"""),8.0)</f>
        <v>8</v>
      </c>
      <c r="B404">
        <f>IFERROR(__xludf.DUMMYFUNCTION("""COMPUTED_VALUE"""),29119.0)</f>
        <v>29119</v>
      </c>
      <c r="C404" t="str">
        <f>IFERROR(__xludf.DUMMYFUNCTION("""COMPUTED_VALUE"""),"TRUJILLO RUIZ, SARA")</f>
        <v>TRUJILLO RUIZ, SARA</v>
      </c>
      <c r="D404" t="str">
        <f>IFERROR(__xludf.DUMMYFUNCTION("""COMPUTED_VALUE"""),"Science 8")</f>
        <v>Science 8</v>
      </c>
      <c r="E404" s="31">
        <f>IFERROR(__xludf.DUMMYFUNCTION("""COMPUTED_VALUE"""),6.0)</f>
        <v>6</v>
      </c>
      <c r="F404" s="8">
        <v>1.0</v>
      </c>
      <c r="G404" s="8">
        <v>1.0</v>
      </c>
      <c r="H404" s="8">
        <v>1.0</v>
      </c>
      <c r="I404" s="8">
        <v>1.0</v>
      </c>
      <c r="J404" s="8">
        <v>1.0</v>
      </c>
      <c r="K404" s="8">
        <v>1.0</v>
      </c>
      <c r="L404" s="8">
        <v>6.0</v>
      </c>
      <c r="M404" s="8"/>
      <c r="N404" s="8"/>
      <c r="O404" s="8" t="s">
        <v>715</v>
      </c>
      <c r="P404" s="8">
        <v>6.0</v>
      </c>
    </row>
    <row r="405">
      <c r="A405">
        <f>IFERROR(__xludf.DUMMYFUNCTION("""COMPUTED_VALUE"""),8.0)</f>
        <v>8</v>
      </c>
      <c r="B405">
        <f>IFERROR(__xludf.DUMMYFUNCTION("""COMPUTED_VALUE"""),29092.0)</f>
        <v>29092</v>
      </c>
      <c r="C405" t="str">
        <f>IFERROR(__xludf.DUMMYFUNCTION("""COMPUTED_VALUE"""),"TURIZZO BORRERO, CAMILO ANDRES")</f>
        <v>TURIZZO BORRERO, CAMILO ANDRES</v>
      </c>
      <c r="D405" t="str">
        <f>IFERROR(__xludf.DUMMYFUNCTION("""COMPUTED_VALUE"""),"Science 8")</f>
        <v>Science 8</v>
      </c>
      <c r="E405" s="31">
        <f>IFERROR(__xludf.DUMMYFUNCTION("""COMPUTED_VALUE"""),6.0)</f>
        <v>6</v>
      </c>
      <c r="F405" s="8">
        <v>1.0</v>
      </c>
      <c r="G405" s="8">
        <v>1.0</v>
      </c>
      <c r="H405" s="8">
        <v>1.0</v>
      </c>
      <c r="I405" s="8">
        <v>1.0</v>
      </c>
      <c r="J405" s="8">
        <v>1.0</v>
      </c>
      <c r="K405" s="8">
        <v>1.0</v>
      </c>
      <c r="L405" s="8">
        <v>6.0</v>
      </c>
      <c r="M405" s="8"/>
      <c r="N405" s="8"/>
      <c r="O405" s="8" t="s">
        <v>715</v>
      </c>
      <c r="P405" s="8">
        <v>6.0</v>
      </c>
    </row>
    <row r="406">
      <c r="A406">
        <f>IFERROR(__xludf.DUMMYFUNCTION("""COMPUTED_VALUE"""),8.0)</f>
        <v>8</v>
      </c>
      <c r="B406">
        <f>IFERROR(__xludf.DUMMYFUNCTION("""COMPUTED_VALUE"""),29120.0)</f>
        <v>29120</v>
      </c>
      <c r="C406" t="str">
        <f>IFERROR(__xludf.DUMMYFUNCTION("""COMPUTED_VALUE"""),"URIBE JARAMILLO, PEDRO JUAN")</f>
        <v>URIBE JARAMILLO, PEDRO JUAN</v>
      </c>
      <c r="D406" t="str">
        <f>IFERROR(__xludf.DUMMYFUNCTION("""COMPUTED_VALUE"""),"Science 8A")</f>
        <v>Science 8A</v>
      </c>
      <c r="E406" s="31">
        <f>IFERROR(__xludf.DUMMYFUNCTION("""COMPUTED_VALUE"""),4.0)</f>
        <v>4</v>
      </c>
      <c r="F406" s="8">
        <v>1.0</v>
      </c>
      <c r="G406" s="8">
        <v>1.0</v>
      </c>
      <c r="H406" s="8">
        <v>1.0</v>
      </c>
      <c r="I406" s="8">
        <v>1.0</v>
      </c>
      <c r="J406" s="8">
        <v>1.0</v>
      </c>
      <c r="K406" s="8">
        <v>1.0</v>
      </c>
      <c r="L406" s="8">
        <v>6.0</v>
      </c>
      <c r="M406" s="8"/>
      <c r="N406" s="8"/>
      <c r="O406" s="8" t="s">
        <v>716</v>
      </c>
      <c r="P406" s="8" t="e">
        <v>#N/A</v>
      </c>
    </row>
    <row r="407">
      <c r="A407">
        <f>IFERROR(__xludf.DUMMYFUNCTION("""COMPUTED_VALUE"""),8.0)</f>
        <v>8</v>
      </c>
      <c r="B407">
        <f>IFERROR(__xludf.DUMMYFUNCTION("""COMPUTED_VALUE"""),29122.0)</f>
        <v>29122</v>
      </c>
      <c r="C407" t="str">
        <f>IFERROR(__xludf.DUMMYFUNCTION("""COMPUTED_VALUE"""),"URIBE RODRIGUEZ, MARIA LUISA")</f>
        <v>URIBE RODRIGUEZ, MARIA LUISA</v>
      </c>
      <c r="D407" t="str">
        <f>IFERROR(__xludf.DUMMYFUNCTION("""COMPUTED_VALUE"""),"Science 8")</f>
        <v>Science 8</v>
      </c>
      <c r="E407" s="31">
        <f>IFERROR(__xludf.DUMMYFUNCTION("""COMPUTED_VALUE"""),4.0)</f>
        <v>4</v>
      </c>
      <c r="F407" s="8">
        <v>1.0</v>
      </c>
      <c r="G407" s="8">
        <v>1.0</v>
      </c>
      <c r="H407" s="8">
        <v>1.0</v>
      </c>
      <c r="I407" s="8">
        <v>1.0</v>
      </c>
      <c r="J407" s="8">
        <v>1.0</v>
      </c>
      <c r="K407" s="8">
        <v>1.0</v>
      </c>
      <c r="L407" s="8">
        <v>6.0</v>
      </c>
      <c r="M407" s="8"/>
      <c r="N407" s="8"/>
      <c r="O407" s="8" t="s">
        <v>713</v>
      </c>
      <c r="P407" s="8">
        <v>6.0</v>
      </c>
    </row>
    <row r="408">
      <c r="A408">
        <f>IFERROR(__xludf.DUMMYFUNCTION("""COMPUTED_VALUE"""),8.0)</f>
        <v>8</v>
      </c>
      <c r="B408">
        <f>IFERROR(__xludf.DUMMYFUNCTION("""COMPUTED_VALUE"""),29123.0)</f>
        <v>29123</v>
      </c>
      <c r="C408" t="str">
        <f>IFERROR(__xludf.DUMMYFUNCTION("""COMPUTED_VALUE"""),"URRETA HENAO, OLIVIA")</f>
        <v>URRETA HENAO, OLIVIA</v>
      </c>
      <c r="D408" t="str">
        <f>IFERROR(__xludf.DUMMYFUNCTION("""COMPUTED_VALUE"""),"Science 8")</f>
        <v>Science 8</v>
      </c>
      <c r="E408" s="31">
        <f>IFERROR(__xludf.DUMMYFUNCTION("""COMPUTED_VALUE"""),3.0)</f>
        <v>3</v>
      </c>
      <c r="F408" s="8">
        <v>1.0</v>
      </c>
      <c r="G408" s="8">
        <v>1.0</v>
      </c>
      <c r="H408" s="8">
        <v>1.0</v>
      </c>
      <c r="I408" s="8">
        <v>1.0</v>
      </c>
      <c r="J408" s="8">
        <v>1.0</v>
      </c>
      <c r="K408" s="8">
        <v>1.0</v>
      </c>
      <c r="L408" s="8">
        <v>6.0</v>
      </c>
      <c r="M408" s="8"/>
      <c r="N408" s="8"/>
      <c r="O408" s="8" t="s">
        <v>712</v>
      </c>
      <c r="P408" s="8">
        <v>6.0</v>
      </c>
    </row>
    <row r="409">
      <c r="A409">
        <f>IFERROR(__xludf.DUMMYFUNCTION("""COMPUTED_VALUE"""),8.0)</f>
        <v>8</v>
      </c>
      <c r="B409">
        <f>IFERROR(__xludf.DUMMYFUNCTION("""COMPUTED_VALUE"""),29124.0)</f>
        <v>29124</v>
      </c>
      <c r="C409" t="str">
        <f>IFERROR(__xludf.DUMMYFUNCTION("""COMPUTED_VALUE"""),"VALLEJO HOYOS, JUAN")</f>
        <v>VALLEJO HOYOS, JUAN</v>
      </c>
      <c r="D409" t="str">
        <f>IFERROR(__xludf.DUMMYFUNCTION("""COMPUTED_VALUE"""),"Science 8")</f>
        <v>Science 8</v>
      </c>
      <c r="E409" s="31">
        <f>IFERROR(__xludf.DUMMYFUNCTION("""COMPUTED_VALUE"""),5.0)</f>
        <v>5</v>
      </c>
      <c r="F409" s="8">
        <v>1.0</v>
      </c>
      <c r="G409" s="8">
        <v>1.0</v>
      </c>
      <c r="H409" s="8">
        <v>1.0</v>
      </c>
      <c r="I409" s="8">
        <v>1.0</v>
      </c>
      <c r="J409" s="8">
        <v>1.0</v>
      </c>
      <c r="K409" s="8">
        <v>1.0</v>
      </c>
      <c r="L409" s="8">
        <v>6.0</v>
      </c>
      <c r="M409" s="8"/>
      <c r="N409" s="8"/>
      <c r="O409" s="8" t="s">
        <v>711</v>
      </c>
      <c r="P409" s="8">
        <v>6.0</v>
      </c>
    </row>
    <row r="410">
      <c r="A410">
        <f>IFERROR(__xludf.DUMMYFUNCTION("""COMPUTED_VALUE"""),8.0)</f>
        <v>8</v>
      </c>
      <c r="B410">
        <f>IFERROR(__xludf.DUMMYFUNCTION("""COMPUTED_VALUE"""),29125.0)</f>
        <v>29125</v>
      </c>
      <c r="C410" t="str">
        <f>IFERROR(__xludf.DUMMYFUNCTION("""COMPUTED_VALUE"""),"VALLEJO LONDOÑO, TOMAS")</f>
        <v>VALLEJO LONDOÑO, TOMAS</v>
      </c>
      <c r="D410" t="str">
        <f>IFERROR(__xludf.DUMMYFUNCTION("""COMPUTED_VALUE"""),"Science 8")</f>
        <v>Science 8</v>
      </c>
      <c r="E410" s="31">
        <f>IFERROR(__xludf.DUMMYFUNCTION("""COMPUTED_VALUE"""),5.0)</f>
        <v>5</v>
      </c>
      <c r="F410" s="8">
        <v>1.0</v>
      </c>
      <c r="G410" s="8">
        <v>1.0</v>
      </c>
      <c r="H410" s="8">
        <v>1.0</v>
      </c>
      <c r="I410" s="8">
        <v>1.0</v>
      </c>
      <c r="J410" s="8">
        <v>1.0</v>
      </c>
      <c r="K410" s="8">
        <v>1.0</v>
      </c>
      <c r="L410" s="8">
        <v>6.0</v>
      </c>
      <c r="M410" s="8"/>
      <c r="N410" s="8"/>
      <c r="O410" s="8" t="s">
        <v>711</v>
      </c>
      <c r="P410" s="8">
        <v>6.0</v>
      </c>
    </row>
    <row r="411">
      <c r="A411">
        <f>IFERROR(__xludf.DUMMYFUNCTION("""COMPUTED_VALUE"""),8.0)</f>
        <v>8</v>
      </c>
      <c r="B411">
        <f>IFERROR(__xludf.DUMMYFUNCTION("""COMPUTED_VALUE"""),29126.0)</f>
        <v>29126</v>
      </c>
      <c r="C411" t="str">
        <f>IFERROR(__xludf.DUMMYFUNCTION("""COMPUTED_VALUE"""),"VASQUEZ ANGEL, JUANITA")</f>
        <v>VASQUEZ ANGEL, JUANITA</v>
      </c>
      <c r="D411" t="str">
        <f>IFERROR(__xludf.DUMMYFUNCTION("""COMPUTED_VALUE"""),"Science 8")</f>
        <v>Science 8</v>
      </c>
      <c r="E411" s="31">
        <f>IFERROR(__xludf.DUMMYFUNCTION("""COMPUTED_VALUE"""),3.0)</f>
        <v>3</v>
      </c>
      <c r="F411" s="8">
        <v>1.0</v>
      </c>
      <c r="G411" s="8">
        <v>1.0</v>
      </c>
      <c r="H411" s="8">
        <v>1.0</v>
      </c>
      <c r="I411" s="8">
        <v>1.0</v>
      </c>
      <c r="J411" s="8">
        <v>1.0</v>
      </c>
      <c r="K411" s="8">
        <v>1.0</v>
      </c>
      <c r="L411" s="8">
        <v>6.0</v>
      </c>
      <c r="M411" s="8"/>
      <c r="N411" s="8"/>
      <c r="O411" s="8" t="s">
        <v>712</v>
      </c>
      <c r="P411" s="8">
        <v>6.0</v>
      </c>
    </row>
    <row r="412">
      <c r="A412">
        <f>IFERROR(__xludf.DUMMYFUNCTION("""COMPUTED_VALUE"""),8.0)</f>
        <v>8</v>
      </c>
      <c r="B412">
        <f>IFERROR(__xludf.DUMMYFUNCTION("""COMPUTED_VALUE"""),29145.0)</f>
        <v>29145</v>
      </c>
      <c r="C412" t="str">
        <f>IFERROR(__xludf.DUMMYFUNCTION("""COMPUTED_VALUE"""),"VELASQUEZ GUTIERREZ, SAMUEL")</f>
        <v>VELASQUEZ GUTIERREZ, SAMUEL</v>
      </c>
      <c r="D412" t="str">
        <f>IFERROR(__xludf.DUMMYFUNCTION("""COMPUTED_VALUE"""),"Science 8")</f>
        <v>Science 8</v>
      </c>
      <c r="E412" s="31">
        <f>IFERROR(__xludf.DUMMYFUNCTION("""COMPUTED_VALUE"""),2.0)</f>
        <v>2</v>
      </c>
      <c r="F412" s="8">
        <v>1.0</v>
      </c>
      <c r="G412" s="8">
        <v>1.0</v>
      </c>
      <c r="H412" s="8">
        <v>1.0</v>
      </c>
      <c r="I412" s="8">
        <v>1.0</v>
      </c>
      <c r="J412" s="8">
        <v>1.0</v>
      </c>
      <c r="K412" s="8">
        <v>1.0</v>
      </c>
      <c r="L412" s="8">
        <v>6.0</v>
      </c>
      <c r="M412" s="8"/>
      <c r="N412" s="8"/>
      <c r="O412" s="8" t="s">
        <v>714</v>
      </c>
      <c r="P412" s="8">
        <v>6.0</v>
      </c>
    </row>
    <row r="413">
      <c r="A413">
        <f>IFERROR(__xludf.DUMMYFUNCTION("""COMPUTED_VALUE"""),8.0)</f>
        <v>8</v>
      </c>
      <c r="B413">
        <f>IFERROR(__xludf.DUMMYFUNCTION("""COMPUTED_VALUE"""),29128.0)</f>
        <v>29128</v>
      </c>
      <c r="C413" t="str">
        <f>IFERROR(__xludf.DUMMYFUNCTION("""COMPUTED_VALUE"""),"VELASQUEZ JARAMILLO, MARIA")</f>
        <v>VELASQUEZ JARAMILLO, MARIA</v>
      </c>
      <c r="D413" t="str">
        <f>IFERROR(__xludf.DUMMYFUNCTION("""COMPUTED_VALUE"""),"Science 8")</f>
        <v>Science 8</v>
      </c>
      <c r="E413" s="31">
        <f>IFERROR(__xludf.DUMMYFUNCTION("""COMPUTED_VALUE"""),4.0)</f>
        <v>4</v>
      </c>
      <c r="F413" s="8">
        <v>1.0</v>
      </c>
      <c r="G413" s="8">
        <v>1.0</v>
      </c>
      <c r="H413" s="8">
        <v>1.0</v>
      </c>
      <c r="I413" s="8">
        <v>1.0</v>
      </c>
      <c r="J413" s="8">
        <v>1.0</v>
      </c>
      <c r="K413" s="8">
        <v>1.0</v>
      </c>
      <c r="L413" s="8">
        <v>6.0</v>
      </c>
      <c r="M413" s="8"/>
      <c r="N413" s="8"/>
      <c r="O413" s="8" t="s">
        <v>713</v>
      </c>
      <c r="P413" s="8">
        <v>6.0</v>
      </c>
    </row>
    <row r="414">
      <c r="A414">
        <f>IFERROR(__xludf.DUMMYFUNCTION("""COMPUTED_VALUE"""),8.0)</f>
        <v>8</v>
      </c>
      <c r="B414">
        <f>IFERROR(__xludf.DUMMYFUNCTION("""COMPUTED_VALUE"""),29129.0)</f>
        <v>29129</v>
      </c>
      <c r="C414" t="str">
        <f>IFERROR(__xludf.DUMMYFUNCTION("""COMPUTED_VALUE"""),"VELEZ RESTREPO, SIMON")</f>
        <v>VELEZ RESTREPO, SIMON</v>
      </c>
      <c r="D414" t="str">
        <f>IFERROR(__xludf.DUMMYFUNCTION("""COMPUTED_VALUE"""),"Science 8")</f>
        <v>Science 8</v>
      </c>
      <c r="E414" s="31">
        <f>IFERROR(__xludf.DUMMYFUNCTION("""COMPUTED_VALUE"""),3.0)</f>
        <v>3</v>
      </c>
      <c r="F414" s="8">
        <v>1.0</v>
      </c>
      <c r="G414" s="8">
        <v>1.0</v>
      </c>
      <c r="H414" s="8">
        <v>1.0</v>
      </c>
      <c r="I414" s="8">
        <v>1.0</v>
      </c>
      <c r="J414" s="8">
        <v>1.0</v>
      </c>
      <c r="K414" s="8">
        <v>1.0</v>
      </c>
      <c r="L414" s="8">
        <v>6.0</v>
      </c>
      <c r="M414" s="8"/>
      <c r="N414" s="8"/>
      <c r="O414" s="8" t="s">
        <v>712</v>
      </c>
      <c r="P414" s="8">
        <v>6.0</v>
      </c>
    </row>
    <row r="415">
      <c r="A415">
        <f>IFERROR(__xludf.DUMMYFUNCTION("""COMPUTED_VALUE"""),8.0)</f>
        <v>8</v>
      </c>
      <c r="B415">
        <f>IFERROR(__xludf.DUMMYFUNCTION("""COMPUTED_VALUE"""),29131.0)</f>
        <v>29131</v>
      </c>
      <c r="C415" t="str">
        <f>IFERROR(__xludf.DUMMYFUNCTION("""COMPUTED_VALUE"""),"VILLEGAS HINCAPIE, CANDELARIA")</f>
        <v>VILLEGAS HINCAPIE, CANDELARIA</v>
      </c>
      <c r="D415" t="str">
        <f>IFERROR(__xludf.DUMMYFUNCTION("""COMPUTED_VALUE"""),"Science 8")</f>
        <v>Science 8</v>
      </c>
      <c r="E415" s="31">
        <f>IFERROR(__xludf.DUMMYFUNCTION("""COMPUTED_VALUE"""),6.0)</f>
        <v>6</v>
      </c>
      <c r="F415" s="8">
        <v>1.0</v>
      </c>
      <c r="G415" s="8">
        <v>1.0</v>
      </c>
      <c r="H415" s="8">
        <v>1.0</v>
      </c>
      <c r="I415" s="8">
        <v>1.0</v>
      </c>
      <c r="J415" s="8">
        <v>1.0</v>
      </c>
      <c r="K415" s="8">
        <v>1.0</v>
      </c>
      <c r="L415" s="8">
        <v>6.0</v>
      </c>
      <c r="M415" s="8"/>
      <c r="N415" s="8"/>
      <c r="O415" s="8" t="s">
        <v>715</v>
      </c>
      <c r="P415" s="8">
        <v>6.0</v>
      </c>
    </row>
    <row r="416">
      <c r="A416">
        <f>IFERROR(__xludf.DUMMYFUNCTION("""COMPUTED_VALUE"""),8.0)</f>
        <v>8</v>
      </c>
      <c r="B416">
        <f>IFERROR(__xludf.DUMMYFUNCTION("""COMPUTED_VALUE"""),29132.0)</f>
        <v>29132</v>
      </c>
      <c r="C416" t="str">
        <f>IFERROR(__xludf.DUMMYFUNCTION("""COMPUTED_VALUE"""),"VILLEGAS MEJIA, SIMON")</f>
        <v>VILLEGAS MEJIA, SIMON</v>
      </c>
      <c r="D416" t="str">
        <f>IFERROR(__xludf.DUMMYFUNCTION("""COMPUTED_VALUE"""),"Science 8A")</f>
        <v>Science 8A</v>
      </c>
      <c r="E416" s="31">
        <f>IFERROR(__xludf.DUMMYFUNCTION("""COMPUTED_VALUE"""),4.0)</f>
        <v>4</v>
      </c>
      <c r="F416" s="8">
        <v>1.0</v>
      </c>
      <c r="G416" s="8">
        <v>1.0</v>
      </c>
      <c r="H416" s="8">
        <v>1.0</v>
      </c>
      <c r="I416" s="8">
        <v>1.0</v>
      </c>
      <c r="J416" s="8">
        <v>1.0</v>
      </c>
      <c r="K416" s="8">
        <v>1.0</v>
      </c>
      <c r="L416" s="8">
        <v>6.0</v>
      </c>
      <c r="M416" s="8"/>
      <c r="N416" s="8"/>
      <c r="O416" s="8" t="s">
        <v>716</v>
      </c>
      <c r="P416" s="8" t="e">
        <v>#N/A</v>
      </c>
    </row>
    <row r="417">
      <c r="A417">
        <f>IFERROR(__xludf.DUMMYFUNCTION("""COMPUTED_VALUE"""),8.0)</f>
        <v>8</v>
      </c>
      <c r="B417">
        <f>IFERROR(__xludf.DUMMYFUNCTION("""COMPUTED_VALUE"""),29133.0)</f>
        <v>29133</v>
      </c>
      <c r="C417" t="str">
        <f>IFERROR(__xludf.DUMMYFUNCTION("""COMPUTED_VALUE"""),"ZAPATA URIBE, RAFAEL")</f>
        <v>ZAPATA URIBE, RAFAEL</v>
      </c>
      <c r="D417" t="str">
        <f>IFERROR(__xludf.DUMMYFUNCTION("""COMPUTED_VALUE"""),"Science 8")</f>
        <v>Science 8</v>
      </c>
      <c r="E417" s="31">
        <f>IFERROR(__xludf.DUMMYFUNCTION("""COMPUTED_VALUE"""),3.0)</f>
        <v>3</v>
      </c>
      <c r="F417" s="8">
        <v>1.0</v>
      </c>
      <c r="G417" s="8">
        <v>1.0</v>
      </c>
      <c r="H417" s="8">
        <v>1.0</v>
      </c>
      <c r="I417" s="8">
        <v>1.0</v>
      </c>
      <c r="J417" s="8">
        <v>1.0</v>
      </c>
      <c r="K417" s="8">
        <v>1.0</v>
      </c>
      <c r="L417" s="8">
        <v>6.0</v>
      </c>
      <c r="M417" s="8"/>
      <c r="N417" s="8"/>
      <c r="O417" s="8" t="s">
        <v>712</v>
      </c>
      <c r="P417" s="8">
        <v>6.0</v>
      </c>
    </row>
    <row r="418">
      <c r="A418">
        <f>IFERROR(__xludf.DUMMYFUNCTION("""COMPUTED_VALUE"""),8.0)</f>
        <v>8</v>
      </c>
      <c r="B418">
        <f>IFERROR(__xludf.DUMMYFUNCTION("""COMPUTED_VALUE"""),27128.0)</f>
        <v>27128</v>
      </c>
      <c r="C418" t="str">
        <f>IFERROR(__xludf.DUMMYFUNCTION("""COMPUTED_VALUE"""),"ZULUAGA CHAVEZ, ISAIAS")</f>
        <v>ZULUAGA CHAVEZ, ISAIAS</v>
      </c>
      <c r="D418" t="str">
        <f>IFERROR(__xludf.DUMMYFUNCTION("""COMPUTED_VALUE"""),"Science 8A")</f>
        <v>Science 8A</v>
      </c>
      <c r="E418" s="31">
        <f>IFERROR(__xludf.DUMMYFUNCTION("""COMPUTED_VALUE"""),4.0)</f>
        <v>4</v>
      </c>
      <c r="F418" s="8">
        <v>1.0</v>
      </c>
      <c r="G418" s="8">
        <v>1.0</v>
      </c>
      <c r="H418" s="8">
        <v>1.0</v>
      </c>
      <c r="I418" s="8">
        <v>1.0</v>
      </c>
      <c r="J418" s="8">
        <v>1.0</v>
      </c>
      <c r="K418" s="8">
        <v>1.0</v>
      </c>
      <c r="L418" s="8">
        <v>6.0</v>
      </c>
      <c r="M418" s="8"/>
      <c r="N418" s="8"/>
      <c r="O418" s="8" t="s">
        <v>716</v>
      </c>
      <c r="P418" s="8" t="e">
        <v>#N/A</v>
      </c>
    </row>
    <row r="419">
      <c r="A419">
        <f>IFERROR(__xludf.DUMMYFUNCTION("""COMPUTED_VALUE"""),6.0)</f>
        <v>6</v>
      </c>
      <c r="B419">
        <f>IFERROR(__xludf.DUMMYFUNCTION("""COMPUTED_VALUE"""),31002.0)</f>
        <v>31002</v>
      </c>
      <c r="C419" t="str">
        <f>IFERROR(__xludf.DUMMYFUNCTION("""COMPUTED_VALUE"""),"ACEVEDO ARANGO, VICENTE")</f>
        <v>ACEVEDO ARANGO, VICENTE</v>
      </c>
      <c r="D419" t="str">
        <f>IFERROR(__xludf.DUMMYFUNCTION("""COMPUTED_VALUE"""),"Math 6")</f>
        <v>Math 6</v>
      </c>
      <c r="E419" s="31">
        <f>IFERROR(__xludf.DUMMYFUNCTION("""COMPUTED_VALUE"""),3.0)</f>
        <v>3</v>
      </c>
      <c r="F419" s="8">
        <v>1.0</v>
      </c>
      <c r="G419" s="8">
        <v>1.0</v>
      </c>
      <c r="H419" s="8">
        <v>1.0</v>
      </c>
      <c r="I419" s="8">
        <v>1.0</v>
      </c>
      <c r="J419" s="8">
        <v>1.0</v>
      </c>
      <c r="K419" s="8">
        <v>1.0</v>
      </c>
      <c r="L419" s="8">
        <v>6.0</v>
      </c>
      <c r="M419" s="8"/>
      <c r="N419" s="8"/>
      <c r="O419" s="8" t="s">
        <v>717</v>
      </c>
      <c r="P419" s="8">
        <v>8.0</v>
      </c>
    </row>
    <row r="420">
      <c r="A420">
        <f>IFERROR(__xludf.DUMMYFUNCTION("""COMPUTED_VALUE"""),6.0)</f>
        <v>6</v>
      </c>
      <c r="B420">
        <f>IFERROR(__xludf.DUMMYFUNCTION("""COMPUTED_VALUE"""),31003.0)</f>
        <v>31003</v>
      </c>
      <c r="C420" t="str">
        <f>IFERROR(__xludf.DUMMYFUNCTION("""COMPUTED_VALUE"""),"AGUIRRE ARANGO, MARIA")</f>
        <v>AGUIRRE ARANGO, MARIA</v>
      </c>
      <c r="D420" t="str">
        <f>IFERROR(__xludf.DUMMYFUNCTION("""COMPUTED_VALUE"""),"Math 6")</f>
        <v>Math 6</v>
      </c>
      <c r="E420" s="31">
        <f>IFERROR(__xludf.DUMMYFUNCTION("""COMPUTED_VALUE"""),6.0)</f>
        <v>6</v>
      </c>
      <c r="F420" s="8">
        <v>1.0</v>
      </c>
      <c r="G420" s="8">
        <v>1.0</v>
      </c>
      <c r="H420" s="8">
        <v>1.0</v>
      </c>
      <c r="I420" s="8">
        <v>1.0</v>
      </c>
      <c r="J420" s="8">
        <v>1.0</v>
      </c>
      <c r="K420" s="8">
        <v>1.0</v>
      </c>
      <c r="L420" s="8">
        <v>6.0</v>
      </c>
      <c r="M420" s="8"/>
      <c r="N420" s="8"/>
      <c r="O420" s="8" t="s">
        <v>718</v>
      </c>
      <c r="P420" s="8">
        <v>8.0</v>
      </c>
    </row>
    <row r="421">
      <c r="A421">
        <f>IFERROR(__xludf.DUMMYFUNCTION("""COMPUTED_VALUE"""),6.0)</f>
        <v>6</v>
      </c>
      <c r="B421">
        <f>IFERROR(__xludf.DUMMYFUNCTION("""COMPUTED_VALUE"""),31004.0)</f>
        <v>31004</v>
      </c>
      <c r="C421" t="str">
        <f>IFERROR(__xludf.DUMMYFUNCTION("""COMPUTED_VALUE"""),"ALVAREZ RIVERA, SALVADOR")</f>
        <v>ALVAREZ RIVERA, SALVADOR</v>
      </c>
      <c r="D421" t="str">
        <f>IFERROR(__xludf.DUMMYFUNCTION("""COMPUTED_VALUE"""),"Math 6")</f>
        <v>Math 6</v>
      </c>
      <c r="E421" s="31">
        <f>IFERROR(__xludf.DUMMYFUNCTION("""COMPUTED_VALUE"""),1.0)</f>
        <v>1</v>
      </c>
      <c r="F421" s="8">
        <v>1.0</v>
      </c>
      <c r="G421" s="8">
        <v>1.0</v>
      </c>
      <c r="H421" s="8">
        <v>1.0</v>
      </c>
      <c r="I421" s="8">
        <v>1.0</v>
      </c>
      <c r="J421" s="8">
        <v>1.0</v>
      </c>
      <c r="K421" s="8">
        <v>1.0</v>
      </c>
      <c r="L421" s="8">
        <v>6.0</v>
      </c>
      <c r="M421" s="8"/>
      <c r="N421" s="8"/>
      <c r="O421" s="8" t="s">
        <v>719</v>
      </c>
      <c r="P421" s="8">
        <v>8.0</v>
      </c>
    </row>
    <row r="422">
      <c r="A422">
        <f>IFERROR(__xludf.DUMMYFUNCTION("""COMPUTED_VALUE"""),6.0)</f>
        <v>6</v>
      </c>
      <c r="B422">
        <f>IFERROR(__xludf.DUMMYFUNCTION("""COMPUTED_VALUE"""),31005.0)</f>
        <v>31005</v>
      </c>
      <c r="C422" t="str">
        <f>IFERROR(__xludf.DUMMYFUNCTION("""COMPUTED_VALUE"""),"ARANGO VILLA, MATIAS")</f>
        <v>ARANGO VILLA, MATIAS</v>
      </c>
      <c r="D422" t="str">
        <f>IFERROR(__xludf.DUMMYFUNCTION("""COMPUTED_VALUE"""),"Math 6")</f>
        <v>Math 6</v>
      </c>
      <c r="E422" s="31">
        <f>IFERROR(__xludf.DUMMYFUNCTION("""COMPUTED_VALUE"""),6.0)</f>
        <v>6</v>
      </c>
      <c r="F422" s="8">
        <v>1.0</v>
      </c>
      <c r="G422" s="8">
        <v>1.0</v>
      </c>
      <c r="H422" s="8">
        <v>1.0</v>
      </c>
      <c r="I422" s="8">
        <v>1.0</v>
      </c>
      <c r="J422" s="8">
        <v>1.0</v>
      </c>
      <c r="K422" s="8">
        <v>1.0</v>
      </c>
      <c r="L422" s="8">
        <v>6.0</v>
      </c>
      <c r="M422" s="8"/>
      <c r="N422" s="8"/>
      <c r="O422" s="8" t="s">
        <v>718</v>
      </c>
      <c r="P422" s="8">
        <v>8.0</v>
      </c>
    </row>
    <row r="423">
      <c r="A423">
        <f>IFERROR(__xludf.DUMMYFUNCTION("""COMPUTED_VALUE"""),6.0)</f>
        <v>6</v>
      </c>
      <c r="B423">
        <f>IFERROR(__xludf.DUMMYFUNCTION("""COMPUTED_VALUE"""),31151.0)</f>
        <v>31151</v>
      </c>
      <c r="C423" t="str">
        <f>IFERROR(__xludf.DUMMYFUNCTION("""COMPUTED_VALUE"""),"AREVALO RODRIGUEZ, MANUELA")</f>
        <v>AREVALO RODRIGUEZ, MANUELA</v>
      </c>
      <c r="D423" t="str">
        <f>IFERROR(__xludf.DUMMYFUNCTION("""COMPUTED_VALUE"""),"Math 6")</f>
        <v>Math 6</v>
      </c>
      <c r="E423" s="31">
        <f>IFERROR(__xludf.DUMMYFUNCTION("""COMPUTED_VALUE"""),1.0)</f>
        <v>1</v>
      </c>
      <c r="F423" s="8">
        <v>1.0</v>
      </c>
      <c r="G423" s="8">
        <v>1.0</v>
      </c>
      <c r="H423" s="8">
        <v>1.0</v>
      </c>
      <c r="I423" s="8">
        <v>1.0</v>
      </c>
      <c r="J423" s="8">
        <v>1.0</v>
      </c>
      <c r="K423" s="8">
        <v>1.0</v>
      </c>
      <c r="L423" s="8">
        <v>6.0</v>
      </c>
      <c r="M423" s="8"/>
      <c r="N423" s="8"/>
      <c r="O423" s="8" t="s">
        <v>719</v>
      </c>
      <c r="P423" s="8">
        <v>8.0</v>
      </c>
    </row>
    <row r="424">
      <c r="A424">
        <f>IFERROR(__xludf.DUMMYFUNCTION("""COMPUTED_VALUE"""),6.0)</f>
        <v>6</v>
      </c>
      <c r="B424">
        <f>IFERROR(__xludf.DUMMYFUNCTION("""COMPUTED_VALUE"""),31006.0)</f>
        <v>31006</v>
      </c>
      <c r="C424" t="str">
        <f>IFERROR(__xludf.DUMMYFUNCTION("""COMPUTED_VALUE"""),"ARIAS GARCIA, SALOMON")</f>
        <v>ARIAS GARCIA, SALOMON</v>
      </c>
      <c r="D424" t="str">
        <f>IFERROR(__xludf.DUMMYFUNCTION("""COMPUTED_VALUE"""),"Math 6")</f>
        <v>Math 6</v>
      </c>
      <c r="E424" s="31">
        <f>IFERROR(__xludf.DUMMYFUNCTION("""COMPUTED_VALUE"""),1.0)</f>
        <v>1</v>
      </c>
      <c r="F424" s="8">
        <v>1.0</v>
      </c>
      <c r="G424" s="8">
        <v>1.0</v>
      </c>
      <c r="H424" s="8">
        <v>1.0</v>
      </c>
      <c r="I424" s="8">
        <v>1.0</v>
      </c>
      <c r="J424" s="8">
        <v>1.0</v>
      </c>
      <c r="K424" s="8">
        <v>1.0</v>
      </c>
      <c r="L424" s="8">
        <v>6.0</v>
      </c>
      <c r="M424" s="8"/>
      <c r="N424" s="8"/>
      <c r="O424" s="8" t="s">
        <v>719</v>
      </c>
      <c r="P424" s="8">
        <v>8.0</v>
      </c>
    </row>
    <row r="425">
      <c r="A425">
        <f>IFERROR(__xludf.DUMMYFUNCTION("""COMPUTED_VALUE"""),6.0)</f>
        <v>6</v>
      </c>
      <c r="B425">
        <f>IFERROR(__xludf.DUMMYFUNCTION("""COMPUTED_VALUE"""),31007.0)</f>
        <v>31007</v>
      </c>
      <c r="C425" t="str">
        <f>IFERROR(__xludf.DUMMYFUNCTION("""COMPUTED_VALUE"""),"ARISTIZABAL SOTO, EMILIO")</f>
        <v>ARISTIZABAL SOTO, EMILIO</v>
      </c>
      <c r="D425" t="str">
        <f>IFERROR(__xludf.DUMMYFUNCTION("""COMPUTED_VALUE"""),"Math 6A")</f>
        <v>Math 6A</v>
      </c>
      <c r="E425" s="31">
        <f>IFERROR(__xludf.DUMMYFUNCTION("""COMPUTED_VALUE"""),5.0)</f>
        <v>5</v>
      </c>
      <c r="F425" s="8">
        <v>1.0</v>
      </c>
      <c r="G425" s="8">
        <v>1.0</v>
      </c>
      <c r="H425" s="8">
        <v>1.0</v>
      </c>
      <c r="I425" s="8">
        <v>1.0</v>
      </c>
      <c r="J425" s="8">
        <v>1.0</v>
      </c>
      <c r="K425" s="8">
        <v>1.0</v>
      </c>
      <c r="L425" s="8">
        <v>6.0</v>
      </c>
      <c r="M425" s="8"/>
      <c r="N425" s="8"/>
      <c r="O425" s="8" t="s">
        <v>720</v>
      </c>
      <c r="P425" s="8" t="e">
        <v>#N/A</v>
      </c>
    </row>
    <row r="426">
      <c r="A426">
        <f>IFERROR(__xludf.DUMMYFUNCTION("""COMPUTED_VALUE"""),6.0)</f>
        <v>6</v>
      </c>
      <c r="B426">
        <f>IFERROR(__xludf.DUMMYFUNCTION("""COMPUTED_VALUE"""),31008.0)</f>
        <v>31008</v>
      </c>
      <c r="C426" t="str">
        <f>IFERROR(__xludf.DUMMYFUNCTION("""COMPUTED_VALUE"""),"ARROYAVE LONDOÑO, MIGUEL")</f>
        <v>ARROYAVE LONDOÑO, MIGUEL</v>
      </c>
      <c r="D426" t="str">
        <f>IFERROR(__xludf.DUMMYFUNCTION("""COMPUTED_VALUE"""),"Math 6")</f>
        <v>Math 6</v>
      </c>
      <c r="E426" s="31">
        <f>IFERROR(__xludf.DUMMYFUNCTION("""COMPUTED_VALUE"""),6.0)</f>
        <v>6</v>
      </c>
      <c r="F426" s="8">
        <v>1.0</v>
      </c>
      <c r="G426" s="8">
        <v>1.0</v>
      </c>
      <c r="H426" s="8">
        <v>1.0</v>
      </c>
      <c r="I426" s="8">
        <v>1.0</v>
      </c>
      <c r="J426" s="8">
        <v>1.0</v>
      </c>
      <c r="K426" s="8">
        <v>1.0</v>
      </c>
      <c r="L426" s="8">
        <v>6.0</v>
      </c>
      <c r="M426" s="8"/>
      <c r="N426" s="8"/>
      <c r="O426" s="8" t="s">
        <v>718</v>
      </c>
      <c r="P426" s="8">
        <v>8.0</v>
      </c>
    </row>
    <row r="427">
      <c r="A427">
        <f>IFERROR(__xludf.DUMMYFUNCTION("""COMPUTED_VALUE"""),6.0)</f>
        <v>6</v>
      </c>
      <c r="B427">
        <f>IFERROR(__xludf.DUMMYFUNCTION("""COMPUTED_VALUE"""),31009.0)</f>
        <v>31009</v>
      </c>
      <c r="C427" t="str">
        <f>IFERROR(__xludf.DUMMYFUNCTION("""COMPUTED_VALUE"""),"ARROYAVE SIERRA, RAFAEL")</f>
        <v>ARROYAVE SIERRA, RAFAEL</v>
      </c>
      <c r="D427" t="str">
        <f>IFERROR(__xludf.DUMMYFUNCTION("""COMPUTED_VALUE"""),"Math 6")</f>
        <v>Math 6</v>
      </c>
      <c r="E427" s="31">
        <f>IFERROR(__xludf.DUMMYFUNCTION("""COMPUTED_VALUE"""),3.0)</f>
        <v>3</v>
      </c>
      <c r="F427" s="8">
        <v>1.0</v>
      </c>
      <c r="G427" s="8">
        <v>1.0</v>
      </c>
      <c r="H427" s="8">
        <v>1.0</v>
      </c>
      <c r="I427" s="8">
        <v>1.0</v>
      </c>
      <c r="J427" s="8">
        <v>1.0</v>
      </c>
      <c r="K427" s="8">
        <v>1.0</v>
      </c>
      <c r="L427" s="8">
        <v>6.0</v>
      </c>
      <c r="M427" s="8"/>
      <c r="N427" s="8"/>
      <c r="O427" s="8" t="s">
        <v>717</v>
      </c>
      <c r="P427" s="8">
        <v>8.0</v>
      </c>
    </row>
    <row r="428">
      <c r="A428">
        <f>IFERROR(__xludf.DUMMYFUNCTION("""COMPUTED_VALUE"""),6.0)</f>
        <v>6</v>
      </c>
      <c r="B428">
        <f>IFERROR(__xludf.DUMMYFUNCTION("""COMPUTED_VALUE"""),31010.0)</f>
        <v>31010</v>
      </c>
      <c r="C428" t="str">
        <f>IFERROR(__xludf.DUMMYFUNCTION("""COMPUTED_VALUE"""),"BARRERA CAMPIS, VALENTINA")</f>
        <v>BARRERA CAMPIS, VALENTINA</v>
      </c>
      <c r="D428" t="str">
        <f>IFERROR(__xludf.DUMMYFUNCTION("""COMPUTED_VALUE"""),"Math 6A")</f>
        <v>Math 6A</v>
      </c>
      <c r="E428" s="31">
        <f>IFERROR(__xludf.DUMMYFUNCTION("""COMPUTED_VALUE"""),5.0)</f>
        <v>5</v>
      </c>
      <c r="F428" s="8">
        <v>1.0</v>
      </c>
      <c r="G428" s="8">
        <v>1.0</v>
      </c>
      <c r="H428" s="8">
        <v>1.0</v>
      </c>
      <c r="I428" s="8">
        <v>1.0</v>
      </c>
      <c r="J428" s="8">
        <v>1.0</v>
      </c>
      <c r="K428" s="8">
        <v>1.0</v>
      </c>
      <c r="L428" s="8">
        <v>6.0</v>
      </c>
      <c r="M428" s="8"/>
      <c r="N428" s="8"/>
      <c r="O428" s="8" t="s">
        <v>720</v>
      </c>
      <c r="P428" s="8" t="e">
        <v>#N/A</v>
      </c>
    </row>
    <row r="429">
      <c r="A429">
        <f>IFERROR(__xludf.DUMMYFUNCTION("""COMPUTED_VALUE"""),6.0)</f>
        <v>6</v>
      </c>
      <c r="B429">
        <f>IFERROR(__xludf.DUMMYFUNCTION("""COMPUTED_VALUE"""),31011.0)</f>
        <v>31011</v>
      </c>
      <c r="C429" t="str">
        <f>IFERROR(__xludf.DUMMYFUNCTION("""COMPUTED_VALUE"""),"BARRERA TORO, LORENZO")</f>
        <v>BARRERA TORO, LORENZO</v>
      </c>
      <c r="D429" t="str">
        <f>IFERROR(__xludf.DUMMYFUNCTION("""COMPUTED_VALUE"""),"Math 6")</f>
        <v>Math 6</v>
      </c>
      <c r="E429" s="31">
        <f>IFERROR(__xludf.DUMMYFUNCTION("""COMPUTED_VALUE"""),3.0)</f>
        <v>3</v>
      </c>
      <c r="F429" s="8">
        <v>1.0</v>
      </c>
      <c r="G429" s="8">
        <v>1.0</v>
      </c>
      <c r="H429" s="8">
        <v>1.0</v>
      </c>
      <c r="I429" s="8">
        <v>1.0</v>
      </c>
      <c r="J429" s="8">
        <v>1.0</v>
      </c>
      <c r="K429" s="8">
        <v>1.0</v>
      </c>
      <c r="L429" s="8">
        <v>6.0</v>
      </c>
      <c r="M429" s="8"/>
      <c r="N429" s="8"/>
      <c r="O429" s="8" t="s">
        <v>717</v>
      </c>
      <c r="P429" s="8">
        <v>8.0</v>
      </c>
    </row>
    <row r="430">
      <c r="A430">
        <f>IFERROR(__xludf.DUMMYFUNCTION("""COMPUTED_VALUE"""),6.0)</f>
        <v>6</v>
      </c>
      <c r="B430">
        <f>IFERROR(__xludf.DUMMYFUNCTION("""COMPUTED_VALUE"""),31012.0)</f>
        <v>31012</v>
      </c>
      <c r="C430" t="str">
        <f>IFERROR(__xludf.DUMMYFUNCTION("""COMPUTED_VALUE"""),"BARTOLINI VELEZ, LORENZO")</f>
        <v>BARTOLINI VELEZ, LORENZO</v>
      </c>
      <c r="D430" t="str">
        <f>IFERROR(__xludf.DUMMYFUNCTION("""COMPUTED_VALUE"""),"Math 6")</f>
        <v>Math 6</v>
      </c>
      <c r="E430" s="31">
        <f>IFERROR(__xludf.DUMMYFUNCTION("""COMPUTED_VALUE"""),6.0)</f>
        <v>6</v>
      </c>
      <c r="F430" s="8">
        <v>1.0</v>
      </c>
      <c r="G430" s="8">
        <v>1.0</v>
      </c>
      <c r="H430" s="8">
        <v>1.0</v>
      </c>
      <c r="I430" s="8">
        <v>1.0</v>
      </c>
      <c r="J430" s="8">
        <v>1.0</v>
      </c>
      <c r="K430" s="8">
        <v>1.0</v>
      </c>
      <c r="L430" s="8">
        <v>6.0</v>
      </c>
      <c r="M430" s="8"/>
      <c r="N430" s="8"/>
      <c r="O430" s="8" t="s">
        <v>718</v>
      </c>
      <c r="P430" s="8">
        <v>8.0</v>
      </c>
    </row>
    <row r="431">
      <c r="A431">
        <f>IFERROR(__xludf.DUMMYFUNCTION("""COMPUTED_VALUE"""),6.0)</f>
        <v>6</v>
      </c>
      <c r="B431">
        <f>IFERROR(__xludf.DUMMYFUNCTION("""COMPUTED_VALUE"""),31013.0)</f>
        <v>31013</v>
      </c>
      <c r="C431" t="str">
        <f>IFERROR(__xludf.DUMMYFUNCTION("""COMPUTED_VALUE"""),"BASTIDAS MEJIA, JUAN JOSE")</f>
        <v>BASTIDAS MEJIA, JUAN JOSE</v>
      </c>
      <c r="D431" t="str">
        <f>IFERROR(__xludf.DUMMYFUNCTION("""COMPUTED_VALUE"""),"Math 6")</f>
        <v>Math 6</v>
      </c>
      <c r="E431" s="31">
        <f>IFERROR(__xludf.DUMMYFUNCTION("""COMPUTED_VALUE"""),6.0)</f>
        <v>6</v>
      </c>
      <c r="F431" s="8">
        <v>1.0</v>
      </c>
      <c r="G431" s="8">
        <v>1.0</v>
      </c>
      <c r="H431" s="8">
        <v>1.0</v>
      </c>
      <c r="I431" s="8">
        <v>1.0</v>
      </c>
      <c r="J431" s="8">
        <v>1.0</v>
      </c>
      <c r="K431" s="8">
        <v>1.0</v>
      </c>
      <c r="L431" s="8">
        <v>6.0</v>
      </c>
      <c r="M431" s="8"/>
      <c r="N431" s="8"/>
      <c r="O431" s="8" t="s">
        <v>718</v>
      </c>
      <c r="P431" s="8">
        <v>8.0</v>
      </c>
    </row>
    <row r="432">
      <c r="A432">
        <f>IFERROR(__xludf.DUMMYFUNCTION("""COMPUTED_VALUE"""),6.0)</f>
        <v>6</v>
      </c>
      <c r="B432">
        <f>IFERROR(__xludf.DUMMYFUNCTION("""COMPUTED_VALUE"""),31014.0)</f>
        <v>31014</v>
      </c>
      <c r="C432" t="str">
        <f>IFERROR(__xludf.DUMMYFUNCTION("""COMPUTED_VALUE"""),"BETANCUR PENAGOS, AGUSTIN")</f>
        <v>BETANCUR PENAGOS, AGUSTIN</v>
      </c>
      <c r="D432" t="str">
        <f>IFERROR(__xludf.DUMMYFUNCTION("""COMPUTED_VALUE"""),"Math 6")</f>
        <v>Math 6</v>
      </c>
      <c r="E432" s="31">
        <f>IFERROR(__xludf.DUMMYFUNCTION("""COMPUTED_VALUE"""),5.0)</f>
        <v>5</v>
      </c>
      <c r="F432" s="8">
        <v>1.0</v>
      </c>
      <c r="G432" s="8">
        <v>1.0</v>
      </c>
      <c r="H432" s="8">
        <v>1.0</v>
      </c>
      <c r="I432" s="8">
        <v>1.0</v>
      </c>
      <c r="J432" s="8">
        <v>1.0</v>
      </c>
      <c r="K432" s="8">
        <v>1.0</v>
      </c>
      <c r="L432" s="8">
        <v>6.0</v>
      </c>
      <c r="M432" s="8"/>
      <c r="N432" s="8"/>
      <c r="O432" s="8" t="s">
        <v>721</v>
      </c>
      <c r="P432" s="8">
        <v>8.0</v>
      </c>
    </row>
    <row r="433">
      <c r="A433">
        <f>IFERROR(__xludf.DUMMYFUNCTION("""COMPUTED_VALUE"""),6.0)</f>
        <v>6</v>
      </c>
      <c r="B433">
        <f>IFERROR(__xludf.DUMMYFUNCTION("""COMPUTED_VALUE"""),31015.0)</f>
        <v>31015</v>
      </c>
      <c r="C433" t="str">
        <f>IFERROR(__xludf.DUMMYFUNCTION("""COMPUTED_VALUE"""),"BETANCUR PENAGOS, LORENZO")</f>
        <v>BETANCUR PENAGOS, LORENZO</v>
      </c>
      <c r="D433" t="str">
        <f>IFERROR(__xludf.DUMMYFUNCTION("""COMPUTED_VALUE"""),"Math 6")</f>
        <v>Math 6</v>
      </c>
      <c r="E433" s="31">
        <f>IFERROR(__xludf.DUMMYFUNCTION("""COMPUTED_VALUE"""),6.0)</f>
        <v>6</v>
      </c>
      <c r="F433" s="8">
        <v>1.0</v>
      </c>
      <c r="G433" s="8">
        <v>1.0</v>
      </c>
      <c r="H433" s="8">
        <v>1.0</v>
      </c>
      <c r="I433" s="8">
        <v>1.0</v>
      </c>
      <c r="J433" s="8">
        <v>1.0</v>
      </c>
      <c r="K433" s="8">
        <v>1.0</v>
      </c>
      <c r="L433" s="8">
        <v>6.0</v>
      </c>
      <c r="M433" s="8"/>
      <c r="N433" s="8"/>
      <c r="O433" s="8" t="s">
        <v>718</v>
      </c>
      <c r="P433" s="8">
        <v>8.0</v>
      </c>
    </row>
    <row r="434">
      <c r="A434">
        <f>IFERROR(__xludf.DUMMYFUNCTION("""COMPUTED_VALUE"""),6.0)</f>
        <v>6</v>
      </c>
      <c r="B434">
        <f>IFERROR(__xludf.DUMMYFUNCTION("""COMPUTED_VALUE"""),31016.0)</f>
        <v>31016</v>
      </c>
      <c r="C434" t="str">
        <f>IFERROR(__xludf.DUMMYFUNCTION("""COMPUTED_VALUE"""),"BETANCUR ROBLEDO, VICENTE")</f>
        <v>BETANCUR ROBLEDO, VICENTE</v>
      </c>
      <c r="D434" t="str">
        <f>IFERROR(__xludf.DUMMYFUNCTION("""COMPUTED_VALUE"""),"Math 6A")</f>
        <v>Math 6A</v>
      </c>
      <c r="E434" s="31">
        <f>IFERROR(__xludf.DUMMYFUNCTION("""COMPUTED_VALUE"""),5.0)</f>
        <v>5</v>
      </c>
      <c r="F434" s="8">
        <v>1.0</v>
      </c>
      <c r="G434" s="8">
        <v>1.0</v>
      </c>
      <c r="H434" s="8">
        <v>1.0</v>
      </c>
      <c r="I434" s="8">
        <v>1.0</v>
      </c>
      <c r="J434" s="8">
        <v>1.0</v>
      </c>
      <c r="K434" s="8">
        <v>1.0</v>
      </c>
      <c r="L434" s="8">
        <v>6.0</v>
      </c>
      <c r="M434" s="8"/>
      <c r="N434" s="8"/>
      <c r="O434" s="8" t="s">
        <v>720</v>
      </c>
      <c r="P434" s="8" t="e">
        <v>#N/A</v>
      </c>
    </row>
    <row r="435">
      <c r="A435">
        <f>IFERROR(__xludf.DUMMYFUNCTION("""COMPUTED_VALUE"""),6.0)</f>
        <v>6</v>
      </c>
      <c r="B435">
        <f>IFERROR(__xludf.DUMMYFUNCTION("""COMPUTED_VALUE"""),31166.0)</f>
        <v>31166</v>
      </c>
      <c r="C435" t="str">
        <f>IFERROR(__xludf.DUMMYFUNCTION("""COMPUTED_VALUE"""),"BISHOP, XAVIER PATRICK")</f>
        <v>BISHOP, XAVIER PATRICK</v>
      </c>
      <c r="D435" t="str">
        <f>IFERROR(__xludf.DUMMYFUNCTION("""COMPUTED_VALUE"""),"Math 6")</f>
        <v>Math 6</v>
      </c>
      <c r="E435" s="31">
        <f>IFERROR(__xludf.DUMMYFUNCTION("""COMPUTED_VALUE"""),1.0)</f>
        <v>1</v>
      </c>
      <c r="F435" s="8">
        <v>1.0</v>
      </c>
      <c r="G435" s="8">
        <v>1.0</v>
      </c>
      <c r="H435" s="8">
        <v>1.0</v>
      </c>
      <c r="I435" s="8">
        <v>1.0</v>
      </c>
      <c r="J435" s="8">
        <v>1.0</v>
      </c>
      <c r="K435" s="8">
        <v>1.0</v>
      </c>
      <c r="L435" s="8">
        <v>6.0</v>
      </c>
      <c r="M435" s="8"/>
      <c r="N435" s="8"/>
      <c r="O435" s="8" t="s">
        <v>719</v>
      </c>
      <c r="P435" s="8">
        <v>8.0</v>
      </c>
    </row>
    <row r="436">
      <c r="A436">
        <f>IFERROR(__xludf.DUMMYFUNCTION("""COMPUTED_VALUE"""),6.0)</f>
        <v>6</v>
      </c>
      <c r="B436">
        <f>IFERROR(__xludf.DUMMYFUNCTION("""COMPUTED_VALUE"""),31152.0)</f>
        <v>31152</v>
      </c>
      <c r="C436" t="str">
        <f>IFERROR(__xludf.DUMMYFUNCTION("""COMPUTED_VALUE"""),"BLANCO HENRIQUEZ, JUAN MARTIN")</f>
        <v>BLANCO HENRIQUEZ, JUAN MARTIN</v>
      </c>
      <c r="D436" t="str">
        <f>IFERROR(__xludf.DUMMYFUNCTION("""COMPUTED_VALUE"""),"Math 6")</f>
        <v>Math 6</v>
      </c>
      <c r="E436" s="31">
        <f>IFERROR(__xludf.DUMMYFUNCTION("""COMPUTED_VALUE"""),1.0)</f>
        <v>1</v>
      </c>
      <c r="F436" s="8">
        <v>1.0</v>
      </c>
      <c r="G436" s="8">
        <v>1.0</v>
      </c>
      <c r="H436" s="8">
        <v>1.0</v>
      </c>
      <c r="I436" s="8">
        <v>1.0</v>
      </c>
      <c r="J436" s="8">
        <v>1.0</v>
      </c>
      <c r="K436" s="8">
        <v>1.0</v>
      </c>
      <c r="L436" s="8">
        <v>6.0</v>
      </c>
      <c r="M436" s="8"/>
      <c r="N436" s="8"/>
      <c r="O436" s="8" t="s">
        <v>719</v>
      </c>
      <c r="P436" s="8">
        <v>8.0</v>
      </c>
    </row>
    <row r="437">
      <c r="A437">
        <f>IFERROR(__xludf.DUMMYFUNCTION("""COMPUTED_VALUE"""),6.0)</f>
        <v>6</v>
      </c>
      <c r="B437">
        <f>IFERROR(__xludf.DUMMYFUNCTION("""COMPUTED_VALUE"""),31017.0)</f>
        <v>31017</v>
      </c>
      <c r="C437" t="str">
        <f>IFERROR(__xludf.DUMMYFUNCTION("""COMPUTED_VALUE"""),"BORDA AZCARATE, AGUSTIN")</f>
        <v>BORDA AZCARATE, AGUSTIN</v>
      </c>
      <c r="D437" t="str">
        <f>IFERROR(__xludf.DUMMYFUNCTION("""COMPUTED_VALUE"""),"Math 6")</f>
        <v>Math 6</v>
      </c>
      <c r="E437" s="31">
        <f>IFERROR(__xludf.DUMMYFUNCTION("""COMPUTED_VALUE"""),1.0)</f>
        <v>1</v>
      </c>
      <c r="F437" s="8">
        <v>1.0</v>
      </c>
      <c r="G437" s="8">
        <v>1.0</v>
      </c>
      <c r="H437" s="8">
        <v>1.0</v>
      </c>
      <c r="I437" s="8">
        <v>1.0</v>
      </c>
      <c r="J437" s="8">
        <v>1.0</v>
      </c>
      <c r="K437" s="8">
        <v>1.0</v>
      </c>
      <c r="L437" s="8">
        <v>6.0</v>
      </c>
      <c r="M437" s="8"/>
      <c r="N437" s="8"/>
      <c r="O437" s="8" t="s">
        <v>719</v>
      </c>
      <c r="P437" s="8">
        <v>8.0</v>
      </c>
    </row>
    <row r="438">
      <c r="A438">
        <f>IFERROR(__xludf.DUMMYFUNCTION("""COMPUTED_VALUE"""),6.0)</f>
        <v>6</v>
      </c>
      <c r="B438">
        <f>IFERROR(__xludf.DUMMYFUNCTION("""COMPUTED_VALUE"""),31019.0)</f>
        <v>31019</v>
      </c>
      <c r="C438" t="str">
        <f>IFERROR(__xludf.DUMMYFUNCTION("""COMPUTED_VALUE"""),"BOTERO BOTERO, AMALIA")</f>
        <v>BOTERO BOTERO, AMALIA</v>
      </c>
      <c r="D438" t="str">
        <f>IFERROR(__xludf.DUMMYFUNCTION("""COMPUTED_VALUE"""),"Math 6")</f>
        <v>Math 6</v>
      </c>
      <c r="E438" s="31">
        <f>IFERROR(__xludf.DUMMYFUNCTION("""COMPUTED_VALUE"""),3.0)</f>
        <v>3</v>
      </c>
      <c r="F438" s="8">
        <v>1.0</v>
      </c>
      <c r="G438" s="8">
        <v>1.0</v>
      </c>
      <c r="H438" s="8">
        <v>1.0</v>
      </c>
      <c r="I438" s="8">
        <v>1.0</v>
      </c>
      <c r="J438" s="8">
        <v>1.0</v>
      </c>
      <c r="K438" s="8">
        <v>1.0</v>
      </c>
      <c r="L438" s="8">
        <v>6.0</v>
      </c>
      <c r="M438" s="8"/>
      <c r="N438" s="8"/>
      <c r="O438" s="8" t="s">
        <v>717</v>
      </c>
      <c r="P438" s="8">
        <v>8.0</v>
      </c>
    </row>
    <row r="439">
      <c r="A439">
        <f>IFERROR(__xludf.DUMMYFUNCTION("""COMPUTED_VALUE"""),6.0)</f>
        <v>6</v>
      </c>
      <c r="B439">
        <f>IFERROR(__xludf.DUMMYFUNCTION("""COMPUTED_VALUE"""),31020.0)</f>
        <v>31020</v>
      </c>
      <c r="C439" t="str">
        <f>IFERROR(__xludf.DUMMYFUNCTION("""COMPUTED_VALUE"""),"BOTERO DEL CORRAL, MARTINA")</f>
        <v>BOTERO DEL CORRAL, MARTINA</v>
      </c>
      <c r="D439" t="str">
        <f>IFERROR(__xludf.DUMMYFUNCTION("""COMPUTED_VALUE"""),"Math 6")</f>
        <v>Math 6</v>
      </c>
      <c r="E439" s="31">
        <f>IFERROR(__xludf.DUMMYFUNCTION("""COMPUTED_VALUE"""),4.0)</f>
        <v>4</v>
      </c>
      <c r="F439" s="8">
        <v>1.0</v>
      </c>
      <c r="G439" s="8">
        <v>1.0</v>
      </c>
      <c r="H439" s="8">
        <v>1.0</v>
      </c>
      <c r="I439" s="8">
        <v>1.0</v>
      </c>
      <c r="J439" s="8">
        <v>1.0</v>
      </c>
      <c r="K439" s="8">
        <v>1.0</v>
      </c>
      <c r="L439" s="8">
        <v>6.0</v>
      </c>
      <c r="M439" s="8"/>
      <c r="N439" s="8"/>
      <c r="O439" s="8" t="s">
        <v>722</v>
      </c>
      <c r="P439" s="8">
        <v>8.0</v>
      </c>
    </row>
    <row r="440">
      <c r="A440">
        <f>IFERROR(__xludf.DUMMYFUNCTION("""COMPUTED_VALUE"""),6.0)</f>
        <v>6</v>
      </c>
      <c r="B440">
        <f>IFERROR(__xludf.DUMMYFUNCTION("""COMPUTED_VALUE"""),31018.0)</f>
        <v>31018</v>
      </c>
      <c r="C440" t="str">
        <f>IFERROR(__xludf.DUMMYFUNCTION("""COMPUTED_VALUE"""),"BOTERO MONTOYA, MATIAS")</f>
        <v>BOTERO MONTOYA, MATIAS</v>
      </c>
      <c r="D440" t="str">
        <f>IFERROR(__xludf.DUMMYFUNCTION("""COMPUTED_VALUE"""),"Math 6")</f>
        <v>Math 6</v>
      </c>
      <c r="E440" s="31">
        <f>IFERROR(__xludf.DUMMYFUNCTION("""COMPUTED_VALUE"""),1.0)</f>
        <v>1</v>
      </c>
      <c r="F440" s="8">
        <v>1.0</v>
      </c>
      <c r="G440" s="8">
        <v>1.0</v>
      </c>
      <c r="H440" s="8">
        <v>1.0</v>
      </c>
      <c r="I440" s="8">
        <v>1.0</v>
      </c>
      <c r="J440" s="8">
        <v>1.0</v>
      </c>
      <c r="K440" s="8">
        <v>1.0</v>
      </c>
      <c r="L440" s="8">
        <v>6.0</v>
      </c>
      <c r="M440" s="8"/>
      <c r="N440" s="8"/>
      <c r="O440" s="8" t="s">
        <v>719</v>
      </c>
      <c r="P440" s="8">
        <v>8.0</v>
      </c>
    </row>
    <row r="441">
      <c r="A441">
        <f>IFERROR(__xludf.DUMMYFUNCTION("""COMPUTED_VALUE"""),6.0)</f>
        <v>6</v>
      </c>
      <c r="B441">
        <f>IFERROR(__xludf.DUMMYFUNCTION("""COMPUTED_VALUE"""),31022.0)</f>
        <v>31022</v>
      </c>
      <c r="C441" t="str">
        <f>IFERROR(__xludf.DUMMYFUNCTION("""COMPUTED_VALUE"""),"CALDWELL VALLEJO, MAX")</f>
        <v>CALDWELL VALLEJO, MAX</v>
      </c>
      <c r="D441" t="str">
        <f>IFERROR(__xludf.DUMMYFUNCTION("""COMPUTED_VALUE"""),"Math 6")</f>
        <v>Math 6</v>
      </c>
      <c r="E441" s="31">
        <f>IFERROR(__xludf.DUMMYFUNCTION("""COMPUTED_VALUE"""),3.0)</f>
        <v>3</v>
      </c>
      <c r="F441" s="8">
        <v>1.0</v>
      </c>
      <c r="G441" s="8">
        <v>1.0</v>
      </c>
      <c r="H441" s="8">
        <v>1.0</v>
      </c>
      <c r="I441" s="8">
        <v>1.0</v>
      </c>
      <c r="J441" s="8">
        <v>1.0</v>
      </c>
      <c r="K441" s="8">
        <v>1.0</v>
      </c>
      <c r="L441" s="8">
        <v>6.0</v>
      </c>
      <c r="M441" s="8"/>
      <c r="N441" s="8"/>
      <c r="O441" s="8" t="s">
        <v>717</v>
      </c>
      <c r="P441" s="8">
        <v>8.0</v>
      </c>
    </row>
    <row r="442">
      <c r="A442">
        <f>IFERROR(__xludf.DUMMYFUNCTION("""COMPUTED_VALUE"""),6.0)</f>
        <v>6</v>
      </c>
      <c r="B442">
        <f>IFERROR(__xludf.DUMMYFUNCTION("""COMPUTED_VALUE"""),31023.0)</f>
        <v>31023</v>
      </c>
      <c r="C442" t="str">
        <f>IFERROR(__xludf.DUMMYFUNCTION("""COMPUTED_VALUE"""),"CAPMARTIN GOMEZ, VALERIA")</f>
        <v>CAPMARTIN GOMEZ, VALERIA</v>
      </c>
      <c r="D442" t="str">
        <f>IFERROR(__xludf.DUMMYFUNCTION("""COMPUTED_VALUE"""),"Math 6")</f>
        <v>Math 6</v>
      </c>
      <c r="E442" s="31">
        <f>IFERROR(__xludf.DUMMYFUNCTION("""COMPUTED_VALUE"""),1.0)</f>
        <v>1</v>
      </c>
      <c r="F442" s="8">
        <v>1.0</v>
      </c>
      <c r="G442" s="8">
        <v>1.0</v>
      </c>
      <c r="H442" s="8">
        <v>1.0</v>
      </c>
      <c r="I442" s="8">
        <v>1.0</v>
      </c>
      <c r="J442" s="8">
        <v>1.0</v>
      </c>
      <c r="K442" s="8">
        <v>1.0</v>
      </c>
      <c r="L442" s="8">
        <v>6.0</v>
      </c>
      <c r="M442" s="8"/>
      <c r="N442" s="8"/>
      <c r="O442" s="8" t="s">
        <v>719</v>
      </c>
      <c r="P442" s="8">
        <v>8.0</v>
      </c>
    </row>
    <row r="443">
      <c r="A443">
        <f>IFERROR(__xludf.DUMMYFUNCTION("""COMPUTED_VALUE"""),6.0)</f>
        <v>6</v>
      </c>
      <c r="B443">
        <f>IFERROR(__xludf.DUMMYFUNCTION("""COMPUTED_VALUE"""),31024.0)</f>
        <v>31024</v>
      </c>
      <c r="C443" t="str">
        <f>IFERROR(__xludf.DUMMYFUNCTION("""COMPUTED_VALUE"""),"CARDONA VELEZ, ALICIA")</f>
        <v>CARDONA VELEZ, ALICIA</v>
      </c>
      <c r="D443" t="str">
        <f>IFERROR(__xludf.DUMMYFUNCTION("""COMPUTED_VALUE"""),"Math 6")</f>
        <v>Math 6</v>
      </c>
      <c r="E443" s="31">
        <f>IFERROR(__xludf.DUMMYFUNCTION("""COMPUTED_VALUE"""),4.0)</f>
        <v>4</v>
      </c>
      <c r="F443" s="8">
        <v>1.0</v>
      </c>
      <c r="G443" s="8">
        <v>1.0</v>
      </c>
      <c r="H443" s="8">
        <v>1.0</v>
      </c>
      <c r="I443" s="8">
        <v>1.0</v>
      </c>
      <c r="J443" s="8">
        <v>1.0</v>
      </c>
      <c r="K443" s="8">
        <v>1.0</v>
      </c>
      <c r="L443" s="8">
        <v>6.0</v>
      </c>
      <c r="M443" s="8"/>
      <c r="N443" s="8"/>
      <c r="O443" s="8" t="s">
        <v>722</v>
      </c>
      <c r="P443" s="8">
        <v>8.0</v>
      </c>
    </row>
    <row r="444">
      <c r="A444">
        <f>IFERROR(__xludf.DUMMYFUNCTION("""COMPUTED_VALUE"""),6.0)</f>
        <v>6</v>
      </c>
      <c r="B444">
        <f>IFERROR(__xludf.DUMMYFUNCTION("""COMPUTED_VALUE"""),31025.0)</f>
        <v>31025</v>
      </c>
      <c r="C444" t="str">
        <f>IFERROR(__xludf.DUMMYFUNCTION("""COMPUTED_VALUE"""),"CORREA ALVAREZ, EMILIO")</f>
        <v>CORREA ALVAREZ, EMILIO</v>
      </c>
      <c r="D444" t="str">
        <f>IFERROR(__xludf.DUMMYFUNCTION("""COMPUTED_VALUE"""),"Math 6")</f>
        <v>Math 6</v>
      </c>
      <c r="E444" s="31">
        <f>IFERROR(__xludf.DUMMYFUNCTION("""COMPUTED_VALUE"""),6.0)</f>
        <v>6</v>
      </c>
      <c r="F444" s="8">
        <v>1.0</v>
      </c>
      <c r="G444" s="8">
        <v>1.0</v>
      </c>
      <c r="H444" s="8">
        <v>1.0</v>
      </c>
      <c r="I444" s="8">
        <v>1.0</v>
      </c>
      <c r="J444" s="8">
        <v>1.0</v>
      </c>
      <c r="K444" s="8">
        <v>1.0</v>
      </c>
      <c r="L444" s="8">
        <v>6.0</v>
      </c>
      <c r="M444" s="8"/>
      <c r="N444" s="8"/>
      <c r="O444" s="8" t="s">
        <v>718</v>
      </c>
      <c r="P444" s="8">
        <v>8.0</v>
      </c>
    </row>
    <row r="445">
      <c r="A445">
        <f>IFERROR(__xludf.DUMMYFUNCTION("""COMPUTED_VALUE"""),6.0)</f>
        <v>6</v>
      </c>
      <c r="B445">
        <f>IFERROR(__xludf.DUMMYFUNCTION("""COMPUTED_VALUE"""),31026.0)</f>
        <v>31026</v>
      </c>
      <c r="C445" t="str">
        <f>IFERROR(__xludf.DUMMYFUNCTION("""COMPUTED_VALUE"""),"CORTES ARANGO, JUAN MARTIN")</f>
        <v>CORTES ARANGO, JUAN MARTIN</v>
      </c>
      <c r="D445" t="str">
        <f>IFERROR(__xludf.DUMMYFUNCTION("""COMPUTED_VALUE"""),"Math 6")</f>
        <v>Math 6</v>
      </c>
      <c r="E445" s="31">
        <f>IFERROR(__xludf.DUMMYFUNCTION("""COMPUTED_VALUE"""),3.0)</f>
        <v>3</v>
      </c>
      <c r="F445" s="8">
        <v>1.0</v>
      </c>
      <c r="G445" s="8">
        <v>1.0</v>
      </c>
      <c r="H445" s="8">
        <v>1.0</v>
      </c>
      <c r="I445" s="8">
        <v>1.0</v>
      </c>
      <c r="J445" s="8">
        <v>1.0</v>
      </c>
      <c r="K445" s="8">
        <v>1.0</v>
      </c>
      <c r="L445" s="8">
        <v>6.0</v>
      </c>
      <c r="M445" s="8"/>
      <c r="N445" s="8"/>
      <c r="O445" s="8" t="s">
        <v>717</v>
      </c>
      <c r="P445" s="8">
        <v>8.0</v>
      </c>
    </row>
    <row r="446">
      <c r="A446">
        <f>IFERROR(__xludf.DUMMYFUNCTION("""COMPUTED_VALUE"""),6.0)</f>
        <v>6</v>
      </c>
      <c r="B446">
        <f>IFERROR(__xludf.DUMMYFUNCTION("""COMPUTED_VALUE"""),31027.0)</f>
        <v>31027</v>
      </c>
      <c r="C446" t="str">
        <f>IFERROR(__xludf.DUMMYFUNCTION("""COMPUTED_VALUE"""),"CUARTAS GOMEZ, SANTIAGO")</f>
        <v>CUARTAS GOMEZ, SANTIAGO</v>
      </c>
      <c r="D446" t="str">
        <f>IFERROR(__xludf.DUMMYFUNCTION("""COMPUTED_VALUE"""),"Math 6")</f>
        <v>Math 6</v>
      </c>
      <c r="E446" s="31">
        <f>IFERROR(__xludf.DUMMYFUNCTION("""COMPUTED_VALUE"""),5.0)</f>
        <v>5</v>
      </c>
      <c r="F446" s="8">
        <v>1.0</v>
      </c>
      <c r="G446" s="8">
        <v>1.0</v>
      </c>
      <c r="H446" s="8">
        <v>1.0</v>
      </c>
      <c r="I446" s="8">
        <v>1.0</v>
      </c>
      <c r="J446" s="8">
        <v>1.0</v>
      </c>
      <c r="K446" s="8">
        <v>1.0</v>
      </c>
      <c r="L446" s="8">
        <v>6.0</v>
      </c>
      <c r="M446" s="8"/>
      <c r="N446" s="8"/>
      <c r="O446" s="8" t="s">
        <v>721</v>
      </c>
      <c r="P446" s="8">
        <v>8.0</v>
      </c>
    </row>
    <row r="447">
      <c r="A447">
        <f>IFERROR(__xludf.DUMMYFUNCTION("""COMPUTED_VALUE"""),6.0)</f>
        <v>6</v>
      </c>
      <c r="B447">
        <f>IFERROR(__xludf.DUMMYFUNCTION("""COMPUTED_VALUE"""),31028.0)</f>
        <v>31028</v>
      </c>
      <c r="C447" t="str">
        <f>IFERROR(__xludf.DUMMYFUNCTION("""COMPUTED_VALUE"""),"DE HOMMEL COCK, ARTHUR JEAN")</f>
        <v>DE HOMMEL COCK, ARTHUR JEAN</v>
      </c>
      <c r="D447" t="str">
        <f>IFERROR(__xludf.DUMMYFUNCTION("""COMPUTED_VALUE"""),"Math 6")</f>
        <v>Math 6</v>
      </c>
      <c r="E447" s="31">
        <f>IFERROR(__xludf.DUMMYFUNCTION("""COMPUTED_VALUE"""),4.0)</f>
        <v>4</v>
      </c>
      <c r="F447" s="8">
        <v>1.0</v>
      </c>
      <c r="G447" s="8">
        <v>1.0</v>
      </c>
      <c r="H447" s="8">
        <v>1.0</v>
      </c>
      <c r="I447" s="8">
        <v>1.0</v>
      </c>
      <c r="J447" s="8">
        <v>1.0</v>
      </c>
      <c r="K447" s="8">
        <v>1.0</v>
      </c>
      <c r="L447" s="8">
        <v>6.0</v>
      </c>
      <c r="M447" s="8"/>
      <c r="N447" s="8"/>
      <c r="O447" s="8" t="s">
        <v>722</v>
      </c>
      <c r="P447" s="8">
        <v>8.0</v>
      </c>
    </row>
    <row r="448">
      <c r="A448">
        <f>IFERROR(__xludf.DUMMYFUNCTION("""COMPUTED_VALUE"""),6.0)</f>
        <v>6</v>
      </c>
      <c r="B448">
        <f>IFERROR(__xludf.DUMMYFUNCTION("""COMPUTED_VALUE"""),31029.0)</f>
        <v>31029</v>
      </c>
      <c r="C448" t="str">
        <f>IFERROR(__xludf.DUMMYFUNCTION("""COMPUTED_VALUE"""),"DE KOLLER GAVIRIA, PAOLO")</f>
        <v>DE KOLLER GAVIRIA, PAOLO</v>
      </c>
      <c r="D448" t="str">
        <f>IFERROR(__xludf.DUMMYFUNCTION("""COMPUTED_VALUE"""),"Math 6A")</f>
        <v>Math 6A</v>
      </c>
      <c r="E448" s="31">
        <f>IFERROR(__xludf.DUMMYFUNCTION("""COMPUTED_VALUE"""),5.0)</f>
        <v>5</v>
      </c>
      <c r="F448" s="8">
        <v>1.0</v>
      </c>
      <c r="G448" s="8">
        <v>1.0</v>
      </c>
      <c r="H448" s="8">
        <v>1.0</v>
      </c>
      <c r="I448" s="8">
        <v>1.0</v>
      </c>
      <c r="J448" s="8">
        <v>1.0</v>
      </c>
      <c r="K448" s="8">
        <v>1.0</v>
      </c>
      <c r="L448" s="8">
        <v>6.0</v>
      </c>
      <c r="M448" s="8"/>
      <c r="N448" s="8"/>
      <c r="O448" s="8" t="s">
        <v>720</v>
      </c>
      <c r="P448" s="8" t="e">
        <v>#N/A</v>
      </c>
    </row>
    <row r="449">
      <c r="A449">
        <f>IFERROR(__xludf.DUMMYFUNCTION("""COMPUTED_VALUE"""),6.0)</f>
        <v>6</v>
      </c>
      <c r="B449">
        <f>IFERROR(__xludf.DUMMYFUNCTION("""COMPUTED_VALUE"""),31030.0)</f>
        <v>31030</v>
      </c>
      <c r="C449" t="str">
        <f>IFERROR(__xludf.DUMMYFUNCTION("""COMPUTED_VALUE"""),"DE KOLLER GAVIRIA, ROMEO")</f>
        <v>DE KOLLER GAVIRIA, ROMEO</v>
      </c>
      <c r="D449" t="str">
        <f>IFERROR(__xludf.DUMMYFUNCTION("""COMPUTED_VALUE"""),"Math 6")</f>
        <v>Math 6</v>
      </c>
      <c r="E449" s="31">
        <f>IFERROR(__xludf.DUMMYFUNCTION("""COMPUTED_VALUE"""),6.0)</f>
        <v>6</v>
      </c>
      <c r="F449" s="8">
        <v>1.0</v>
      </c>
      <c r="G449" s="8">
        <v>1.0</v>
      </c>
      <c r="H449" s="8">
        <v>1.0</v>
      </c>
      <c r="I449" s="8">
        <v>1.0</v>
      </c>
      <c r="J449" s="8">
        <v>1.0</v>
      </c>
      <c r="K449" s="8">
        <v>1.0</v>
      </c>
      <c r="L449" s="8">
        <v>6.0</v>
      </c>
      <c r="M449" s="8"/>
      <c r="N449" s="8"/>
      <c r="O449" s="8" t="s">
        <v>718</v>
      </c>
      <c r="P449" s="8">
        <v>8.0</v>
      </c>
    </row>
    <row r="450">
      <c r="A450">
        <f>IFERROR(__xludf.DUMMYFUNCTION("""COMPUTED_VALUE"""),6.0)</f>
        <v>6</v>
      </c>
      <c r="B450">
        <f>IFERROR(__xludf.DUMMYFUNCTION("""COMPUTED_VALUE"""),31032.0)</f>
        <v>31032</v>
      </c>
      <c r="C450" t="str">
        <f>IFERROR(__xludf.DUMMYFUNCTION("""COMPUTED_VALUE"""),"DE LOS RIOS AGUDELO, MARTIN")</f>
        <v>DE LOS RIOS AGUDELO, MARTIN</v>
      </c>
      <c r="D450" t="str">
        <f>IFERROR(__xludf.DUMMYFUNCTION("""COMPUTED_VALUE"""),"Math 6")</f>
        <v>Math 6</v>
      </c>
      <c r="E450" s="31">
        <f>IFERROR(__xludf.DUMMYFUNCTION("""COMPUTED_VALUE"""),1.0)</f>
        <v>1</v>
      </c>
      <c r="F450" s="8">
        <v>1.0</v>
      </c>
      <c r="G450" s="8">
        <v>1.0</v>
      </c>
      <c r="H450" s="8">
        <v>1.0</v>
      </c>
      <c r="I450" s="8">
        <v>1.0</v>
      </c>
      <c r="J450" s="8">
        <v>1.0</v>
      </c>
      <c r="K450" s="8">
        <v>1.0</v>
      </c>
      <c r="L450" s="8">
        <v>6.0</v>
      </c>
      <c r="M450" s="8"/>
      <c r="N450" s="8"/>
      <c r="O450" s="8" t="s">
        <v>719</v>
      </c>
      <c r="P450" s="8">
        <v>8.0</v>
      </c>
    </row>
    <row r="451">
      <c r="A451">
        <f>IFERROR(__xludf.DUMMYFUNCTION("""COMPUTED_VALUE"""),6.0)</f>
        <v>6</v>
      </c>
      <c r="B451">
        <f>IFERROR(__xludf.DUMMYFUNCTION("""COMPUTED_VALUE"""),31031.0)</f>
        <v>31031</v>
      </c>
      <c r="C451" t="str">
        <f>IFERROR(__xludf.DUMMYFUNCTION("""COMPUTED_VALUE"""),"DE LOS RIOS AGUDELO, MATIAS")</f>
        <v>DE LOS RIOS AGUDELO, MATIAS</v>
      </c>
      <c r="D451" t="str">
        <f>IFERROR(__xludf.DUMMYFUNCTION("""COMPUTED_VALUE"""),"Math 6")</f>
        <v>Math 6</v>
      </c>
      <c r="E451" s="31">
        <f>IFERROR(__xludf.DUMMYFUNCTION("""COMPUTED_VALUE"""),6.0)</f>
        <v>6</v>
      </c>
      <c r="F451" s="8">
        <v>1.0</v>
      </c>
      <c r="G451" s="8">
        <v>1.0</v>
      </c>
      <c r="H451" s="8">
        <v>1.0</v>
      </c>
      <c r="I451" s="8">
        <v>1.0</v>
      </c>
      <c r="J451" s="8">
        <v>1.0</v>
      </c>
      <c r="K451" s="8">
        <v>1.0</v>
      </c>
      <c r="L451" s="8">
        <v>6.0</v>
      </c>
      <c r="M451" s="8"/>
      <c r="N451" s="8"/>
      <c r="O451" s="8" t="s">
        <v>718</v>
      </c>
      <c r="P451" s="8">
        <v>8.0</v>
      </c>
    </row>
    <row r="452">
      <c r="A452">
        <f>IFERROR(__xludf.DUMMYFUNCTION("""COMPUTED_VALUE"""),6.0)</f>
        <v>6</v>
      </c>
      <c r="B452">
        <f>IFERROR(__xludf.DUMMYFUNCTION("""COMPUTED_VALUE"""),31168.0)</f>
        <v>31168</v>
      </c>
      <c r="C452" t="str">
        <f>IFERROR(__xludf.DUMMYFUNCTION("""COMPUTED_VALUE"""),"DE MUNCK MORTIER, LUCA")</f>
        <v>DE MUNCK MORTIER, LUCA</v>
      </c>
      <c r="D452" t="str">
        <f>IFERROR(__xludf.DUMMYFUNCTION("""COMPUTED_VALUE"""),"Math 6")</f>
        <v>Math 6</v>
      </c>
      <c r="E452" s="31">
        <f>IFERROR(__xludf.DUMMYFUNCTION("""COMPUTED_VALUE"""),5.0)</f>
        <v>5</v>
      </c>
      <c r="F452" s="8">
        <v>1.0</v>
      </c>
      <c r="G452" s="8">
        <v>1.0</v>
      </c>
      <c r="H452" s="8">
        <v>1.0</v>
      </c>
      <c r="I452" s="8">
        <v>1.0</v>
      </c>
      <c r="J452" s="8">
        <v>1.0</v>
      </c>
      <c r="K452" s="8">
        <v>1.0</v>
      </c>
      <c r="L452" s="8">
        <v>6.0</v>
      </c>
      <c r="M452" s="8"/>
      <c r="N452" s="8"/>
      <c r="O452" s="8" t="s">
        <v>721</v>
      </c>
      <c r="P452" s="8">
        <v>8.0</v>
      </c>
    </row>
    <row r="453">
      <c r="A453">
        <f>IFERROR(__xludf.DUMMYFUNCTION("""COMPUTED_VALUE"""),6.0)</f>
        <v>6</v>
      </c>
      <c r="B453">
        <f>IFERROR(__xludf.DUMMYFUNCTION("""COMPUTED_VALUE"""),31163.0)</f>
        <v>31163</v>
      </c>
      <c r="C453" t="str">
        <f>IFERROR(__xludf.DUMMYFUNCTION("""COMPUTED_VALUE"""),"DOMINGUEZ JORGENSEN, GABRIEL")</f>
        <v>DOMINGUEZ JORGENSEN, GABRIEL</v>
      </c>
      <c r="D453" t="str">
        <f>IFERROR(__xludf.DUMMYFUNCTION("""COMPUTED_VALUE"""),"Math 6")</f>
        <v>Math 6</v>
      </c>
      <c r="E453" s="31">
        <f>IFERROR(__xludf.DUMMYFUNCTION("""COMPUTED_VALUE"""),4.0)</f>
        <v>4</v>
      </c>
      <c r="F453" s="8">
        <v>1.0</v>
      </c>
      <c r="G453" s="8">
        <v>1.0</v>
      </c>
      <c r="H453" s="8">
        <v>1.0</v>
      </c>
      <c r="I453" s="8">
        <v>1.0</v>
      </c>
      <c r="J453" s="8">
        <v>1.0</v>
      </c>
      <c r="K453" s="8">
        <v>1.0</v>
      </c>
      <c r="L453" s="8">
        <v>6.0</v>
      </c>
      <c r="M453" s="8"/>
      <c r="N453" s="8"/>
      <c r="O453" s="8" t="s">
        <v>722</v>
      </c>
      <c r="P453" s="8">
        <v>8.0</v>
      </c>
    </row>
    <row r="454">
      <c r="A454">
        <f>IFERROR(__xludf.DUMMYFUNCTION("""COMPUTED_VALUE"""),6.0)</f>
        <v>6</v>
      </c>
      <c r="B454">
        <f>IFERROR(__xludf.DUMMYFUNCTION("""COMPUTED_VALUE"""),31167.0)</f>
        <v>31167</v>
      </c>
      <c r="C454" t="str">
        <f>IFERROR(__xludf.DUMMYFUNCTION("""COMPUTED_VALUE"""),"DUQUE, JACOB")</f>
        <v>DUQUE, JACOB</v>
      </c>
      <c r="D454" t="str">
        <f>IFERROR(__xludf.DUMMYFUNCTION("""COMPUTED_VALUE"""),"Math 6A")</f>
        <v>Math 6A</v>
      </c>
      <c r="E454" s="31">
        <f>IFERROR(__xludf.DUMMYFUNCTION("""COMPUTED_VALUE"""),5.0)</f>
        <v>5</v>
      </c>
      <c r="F454" s="8">
        <v>1.0</v>
      </c>
      <c r="G454" s="8">
        <v>1.0</v>
      </c>
      <c r="H454" s="8">
        <v>1.0</v>
      </c>
      <c r="I454" s="8">
        <v>1.0</v>
      </c>
      <c r="J454" s="8">
        <v>1.0</v>
      </c>
      <c r="K454" s="8">
        <v>1.0</v>
      </c>
      <c r="L454" s="8">
        <v>6.0</v>
      </c>
      <c r="M454" s="8"/>
      <c r="N454" s="8"/>
      <c r="O454" s="8" t="s">
        <v>720</v>
      </c>
      <c r="P454" s="8" t="e">
        <v>#N/A</v>
      </c>
    </row>
    <row r="455">
      <c r="A455">
        <f>IFERROR(__xludf.DUMMYFUNCTION("""COMPUTED_VALUE"""),6.0)</f>
        <v>6</v>
      </c>
      <c r="B455">
        <f>IFERROR(__xludf.DUMMYFUNCTION("""COMPUTED_VALUE"""),30041.0)</f>
        <v>30041</v>
      </c>
      <c r="C455" t="str">
        <f>IFERROR(__xludf.DUMMYFUNCTION("""COMPUTED_VALUE"""),"ESPINAL MONTOYA, ARIANA")</f>
        <v>ESPINAL MONTOYA, ARIANA</v>
      </c>
      <c r="D455" t="str">
        <f>IFERROR(__xludf.DUMMYFUNCTION("""COMPUTED_VALUE"""),"Math 6")</f>
        <v>Math 6</v>
      </c>
      <c r="E455" s="31">
        <f>IFERROR(__xludf.DUMMYFUNCTION("""COMPUTED_VALUE"""),5.0)</f>
        <v>5</v>
      </c>
      <c r="F455" s="8">
        <v>1.0</v>
      </c>
      <c r="G455" s="8">
        <v>1.0</v>
      </c>
      <c r="H455" s="8">
        <v>1.0</v>
      </c>
      <c r="I455" s="8">
        <v>1.0</v>
      </c>
      <c r="J455" s="8">
        <v>1.0</v>
      </c>
      <c r="K455" s="8">
        <v>1.0</v>
      </c>
      <c r="L455" s="8">
        <v>6.0</v>
      </c>
      <c r="M455" s="8"/>
      <c r="N455" s="8"/>
      <c r="O455" s="8" t="s">
        <v>721</v>
      </c>
      <c r="P455" s="8">
        <v>8.0</v>
      </c>
    </row>
    <row r="456">
      <c r="A456">
        <f>IFERROR(__xludf.DUMMYFUNCTION("""COMPUTED_VALUE"""),6.0)</f>
        <v>6</v>
      </c>
      <c r="B456">
        <f>IFERROR(__xludf.DUMMYFUNCTION("""COMPUTED_VALUE"""),31034.0)</f>
        <v>31034</v>
      </c>
      <c r="C456" t="str">
        <f>IFERROR(__xludf.DUMMYFUNCTION("""COMPUTED_VALUE"""),"ESPINOSA ABAD, MARTINA")</f>
        <v>ESPINOSA ABAD, MARTINA</v>
      </c>
      <c r="D456" t="str">
        <f>IFERROR(__xludf.DUMMYFUNCTION("""COMPUTED_VALUE"""),"Math 6")</f>
        <v>Math 6</v>
      </c>
      <c r="E456" s="31">
        <f>IFERROR(__xludf.DUMMYFUNCTION("""COMPUTED_VALUE"""),4.0)</f>
        <v>4</v>
      </c>
      <c r="F456" s="8">
        <v>1.0</v>
      </c>
      <c r="G456" s="8">
        <v>1.0</v>
      </c>
      <c r="H456" s="8">
        <v>1.0</v>
      </c>
      <c r="I456" s="8">
        <v>1.0</v>
      </c>
      <c r="J456" s="8">
        <v>1.0</v>
      </c>
      <c r="K456" s="8">
        <v>1.0</v>
      </c>
      <c r="L456" s="8">
        <v>6.0</v>
      </c>
      <c r="M456" s="8"/>
      <c r="N456" s="8"/>
      <c r="O456" s="8" t="s">
        <v>722</v>
      </c>
      <c r="P456" s="8">
        <v>8.0</v>
      </c>
    </row>
    <row r="457">
      <c r="A457">
        <f>IFERROR(__xludf.DUMMYFUNCTION("""COMPUTED_VALUE"""),6.0)</f>
        <v>6</v>
      </c>
      <c r="B457">
        <f>IFERROR(__xludf.DUMMYFUNCTION("""COMPUTED_VALUE"""),31037.0)</f>
        <v>31037</v>
      </c>
      <c r="C457" t="str">
        <f>IFERROR(__xludf.DUMMYFUNCTION("""COMPUTED_VALUE"""),"FERNANDEZ GUTIERREZ, MARIA JOSE")</f>
        <v>FERNANDEZ GUTIERREZ, MARIA JOSE</v>
      </c>
      <c r="D457" t="str">
        <f>IFERROR(__xludf.DUMMYFUNCTION("""COMPUTED_VALUE"""),"Math 6")</f>
        <v>Math 6</v>
      </c>
      <c r="E457" s="31">
        <f>IFERROR(__xludf.DUMMYFUNCTION("""COMPUTED_VALUE"""),3.0)</f>
        <v>3</v>
      </c>
      <c r="F457" s="8">
        <v>1.0</v>
      </c>
      <c r="G457" s="8">
        <v>1.0</v>
      </c>
      <c r="H457" s="8">
        <v>1.0</v>
      </c>
      <c r="I457" s="8">
        <v>1.0</v>
      </c>
      <c r="J457" s="8">
        <v>1.0</v>
      </c>
      <c r="K457" s="8">
        <v>1.0</v>
      </c>
      <c r="L457" s="8">
        <v>6.0</v>
      </c>
      <c r="M457" s="8"/>
      <c r="N457" s="8"/>
      <c r="O457" s="8" t="s">
        <v>717</v>
      </c>
      <c r="P457" s="8">
        <v>8.0</v>
      </c>
    </row>
    <row r="458">
      <c r="A458">
        <f>IFERROR(__xludf.DUMMYFUNCTION("""COMPUTED_VALUE"""),6.0)</f>
        <v>6</v>
      </c>
      <c r="B458">
        <f>IFERROR(__xludf.DUMMYFUNCTION("""COMPUTED_VALUE"""),31039.0)</f>
        <v>31039</v>
      </c>
      <c r="C458" t="str">
        <f>IFERROR(__xludf.DUMMYFUNCTION("""COMPUTED_VALUE"""),"GALLEGO OCAMPO, MARTIN")</f>
        <v>GALLEGO OCAMPO, MARTIN</v>
      </c>
      <c r="D458" t="str">
        <f>IFERROR(__xludf.DUMMYFUNCTION("""COMPUTED_VALUE"""),"Math 6A")</f>
        <v>Math 6A</v>
      </c>
      <c r="E458" s="31">
        <f>IFERROR(__xludf.DUMMYFUNCTION("""COMPUTED_VALUE"""),5.0)</f>
        <v>5</v>
      </c>
      <c r="F458" s="8">
        <v>1.0</v>
      </c>
      <c r="G458" s="8">
        <v>1.0</v>
      </c>
      <c r="H458" s="8">
        <v>1.0</v>
      </c>
      <c r="I458" s="8">
        <v>1.0</v>
      </c>
      <c r="J458" s="8">
        <v>1.0</v>
      </c>
      <c r="K458" s="8">
        <v>1.0</v>
      </c>
      <c r="L458" s="8">
        <v>6.0</v>
      </c>
      <c r="M458" s="8"/>
      <c r="N458" s="8"/>
      <c r="O458" s="8" t="s">
        <v>720</v>
      </c>
      <c r="P458" s="8" t="e">
        <v>#N/A</v>
      </c>
    </row>
    <row r="459">
      <c r="A459">
        <f>IFERROR(__xludf.DUMMYFUNCTION("""COMPUTED_VALUE"""),6.0)</f>
        <v>6</v>
      </c>
      <c r="B459">
        <f>IFERROR(__xludf.DUMMYFUNCTION("""COMPUTED_VALUE"""),31040.0)</f>
        <v>31040</v>
      </c>
      <c r="C459" t="str">
        <f>IFERROR(__xludf.DUMMYFUNCTION("""COMPUTED_VALUE"""),"GARCIA ISAZA, VIOLETA")</f>
        <v>GARCIA ISAZA, VIOLETA</v>
      </c>
      <c r="D459" t="str">
        <f>IFERROR(__xludf.DUMMYFUNCTION("""COMPUTED_VALUE"""),"Math 6")</f>
        <v>Math 6</v>
      </c>
      <c r="E459" s="31">
        <f>IFERROR(__xludf.DUMMYFUNCTION("""COMPUTED_VALUE"""),4.0)</f>
        <v>4</v>
      </c>
      <c r="F459" s="8">
        <v>1.0</v>
      </c>
      <c r="G459" s="8">
        <v>1.0</v>
      </c>
      <c r="H459" s="8">
        <v>1.0</v>
      </c>
      <c r="I459" s="8">
        <v>1.0</v>
      </c>
      <c r="J459" s="8">
        <v>1.0</v>
      </c>
      <c r="K459" s="8">
        <v>1.0</v>
      </c>
      <c r="L459" s="8">
        <v>6.0</v>
      </c>
      <c r="M459" s="8"/>
      <c r="N459" s="8"/>
      <c r="O459" s="8" t="s">
        <v>722</v>
      </c>
      <c r="P459" s="8">
        <v>8.0</v>
      </c>
    </row>
    <row r="460">
      <c r="A460">
        <f>IFERROR(__xludf.DUMMYFUNCTION("""COMPUTED_VALUE"""),6.0)</f>
        <v>6</v>
      </c>
      <c r="B460">
        <f>IFERROR(__xludf.DUMMYFUNCTION("""COMPUTED_VALUE"""),31042.0)</f>
        <v>31042</v>
      </c>
      <c r="C460" t="str">
        <f>IFERROR(__xludf.DUMMYFUNCTION("""COMPUTED_VALUE"""),"GAVIRIA ARBELAEZ, AGUSTIN")</f>
        <v>GAVIRIA ARBELAEZ, AGUSTIN</v>
      </c>
      <c r="D460" t="str">
        <f>IFERROR(__xludf.DUMMYFUNCTION("""COMPUTED_VALUE"""),"Math 6")</f>
        <v>Math 6</v>
      </c>
      <c r="E460" s="31">
        <f>IFERROR(__xludf.DUMMYFUNCTION("""COMPUTED_VALUE"""),5.0)</f>
        <v>5</v>
      </c>
      <c r="F460" s="8">
        <v>1.0</v>
      </c>
      <c r="G460" s="8">
        <v>1.0</v>
      </c>
      <c r="H460" s="8">
        <v>1.0</v>
      </c>
      <c r="I460" s="8">
        <v>1.0</v>
      </c>
      <c r="J460" s="8">
        <v>1.0</v>
      </c>
      <c r="K460" s="8">
        <v>1.0</v>
      </c>
      <c r="L460" s="8">
        <v>6.0</v>
      </c>
      <c r="M460" s="8"/>
      <c r="N460" s="8"/>
      <c r="O460" s="8" t="s">
        <v>721</v>
      </c>
      <c r="P460" s="8">
        <v>8.0</v>
      </c>
    </row>
    <row r="461">
      <c r="A461">
        <f>IFERROR(__xludf.DUMMYFUNCTION("""COMPUTED_VALUE"""),6.0)</f>
        <v>6</v>
      </c>
      <c r="B461">
        <f>IFERROR(__xludf.DUMMYFUNCTION("""COMPUTED_VALUE"""),31044.0)</f>
        <v>31044</v>
      </c>
      <c r="C461" t="str">
        <f>IFERROR(__xludf.DUMMYFUNCTION("""COMPUTED_VALUE"""),"GOMEZ ROLDAN, SANTIAGO")</f>
        <v>GOMEZ ROLDAN, SANTIAGO</v>
      </c>
      <c r="D461" t="str">
        <f>IFERROR(__xludf.DUMMYFUNCTION("""COMPUTED_VALUE"""),"Math 6")</f>
        <v>Math 6</v>
      </c>
      <c r="E461" s="31">
        <f>IFERROR(__xludf.DUMMYFUNCTION("""COMPUTED_VALUE"""),5.0)</f>
        <v>5</v>
      </c>
      <c r="F461" s="8">
        <v>1.0</v>
      </c>
      <c r="G461" s="8">
        <v>1.0</v>
      </c>
      <c r="H461" s="8">
        <v>1.0</v>
      </c>
      <c r="I461" s="8">
        <v>1.0</v>
      </c>
      <c r="J461" s="8">
        <v>1.0</v>
      </c>
      <c r="K461" s="8">
        <v>1.0</v>
      </c>
      <c r="L461" s="8">
        <v>6.0</v>
      </c>
      <c r="M461" s="8"/>
      <c r="N461" s="8"/>
      <c r="O461" s="8" t="s">
        <v>721</v>
      </c>
      <c r="P461" s="8">
        <v>8.0</v>
      </c>
    </row>
    <row r="462">
      <c r="A462">
        <f>IFERROR(__xludf.DUMMYFUNCTION("""COMPUTED_VALUE"""),6.0)</f>
        <v>6</v>
      </c>
      <c r="B462">
        <f>IFERROR(__xludf.DUMMYFUNCTION("""COMPUTED_VALUE"""),31045.0)</f>
        <v>31045</v>
      </c>
      <c r="C462" t="str">
        <f>IFERROR(__xludf.DUMMYFUNCTION("""COMPUTED_VALUE"""),"GOMEZ VELASQUEZ, LORENZO")</f>
        <v>GOMEZ VELASQUEZ, LORENZO</v>
      </c>
      <c r="D462" t="str">
        <f>IFERROR(__xludf.DUMMYFUNCTION("""COMPUTED_VALUE"""),"Math 6A")</f>
        <v>Math 6A</v>
      </c>
      <c r="E462" s="31">
        <f>IFERROR(__xludf.DUMMYFUNCTION("""COMPUTED_VALUE"""),5.0)</f>
        <v>5</v>
      </c>
      <c r="F462" s="8">
        <v>1.0</v>
      </c>
      <c r="G462" s="8">
        <v>1.0</v>
      </c>
      <c r="H462" s="8">
        <v>1.0</v>
      </c>
      <c r="I462" s="8">
        <v>1.0</v>
      </c>
      <c r="J462" s="8">
        <v>1.0</v>
      </c>
      <c r="K462" s="8">
        <v>1.0</v>
      </c>
      <c r="L462" s="8">
        <v>6.0</v>
      </c>
      <c r="M462" s="8"/>
      <c r="N462" s="8"/>
      <c r="O462" s="8" t="s">
        <v>720</v>
      </c>
      <c r="P462" s="8" t="e">
        <v>#N/A</v>
      </c>
    </row>
    <row r="463">
      <c r="A463">
        <f>IFERROR(__xludf.DUMMYFUNCTION("""COMPUTED_VALUE"""),6.0)</f>
        <v>6</v>
      </c>
      <c r="B463">
        <f>IFERROR(__xludf.DUMMYFUNCTION("""COMPUTED_VALUE"""),31046.0)</f>
        <v>31046</v>
      </c>
      <c r="C463" t="str">
        <f>IFERROR(__xludf.DUMMYFUNCTION("""COMPUTED_VALUE"""),"GONZALEZ LONDOÑO, LAURA")</f>
        <v>GONZALEZ LONDOÑO, LAURA</v>
      </c>
      <c r="D463" t="str">
        <f>IFERROR(__xludf.DUMMYFUNCTION("""COMPUTED_VALUE"""),"Math 6A")</f>
        <v>Math 6A</v>
      </c>
      <c r="E463" s="31">
        <f>IFERROR(__xludf.DUMMYFUNCTION("""COMPUTED_VALUE"""),5.0)</f>
        <v>5</v>
      </c>
      <c r="F463" s="8">
        <v>1.0</v>
      </c>
      <c r="G463" s="8">
        <v>1.0</v>
      </c>
      <c r="H463" s="8">
        <v>1.0</v>
      </c>
      <c r="I463" s="8">
        <v>1.0</v>
      </c>
      <c r="J463" s="8">
        <v>1.0</v>
      </c>
      <c r="K463" s="8">
        <v>1.0</v>
      </c>
      <c r="L463" s="8">
        <v>6.0</v>
      </c>
      <c r="M463" s="8"/>
      <c r="N463" s="8"/>
      <c r="O463" s="8" t="s">
        <v>720</v>
      </c>
      <c r="P463" s="8" t="e">
        <v>#N/A</v>
      </c>
    </row>
    <row r="464">
      <c r="A464">
        <f>IFERROR(__xludf.DUMMYFUNCTION("""COMPUTED_VALUE"""),6.0)</f>
        <v>6</v>
      </c>
      <c r="B464">
        <f>IFERROR(__xludf.DUMMYFUNCTION("""COMPUTED_VALUE"""),31047.0)</f>
        <v>31047</v>
      </c>
      <c r="C464" t="str">
        <f>IFERROR(__xludf.DUMMYFUNCTION("""COMPUTED_VALUE"""),"GONZALEZ NICHOLLS, MARIA JOSE")</f>
        <v>GONZALEZ NICHOLLS, MARIA JOSE</v>
      </c>
      <c r="D464" t="str">
        <f>IFERROR(__xludf.DUMMYFUNCTION("""COMPUTED_VALUE"""),"Math 6")</f>
        <v>Math 6</v>
      </c>
      <c r="E464" s="31">
        <f>IFERROR(__xludf.DUMMYFUNCTION("""COMPUTED_VALUE"""),1.0)</f>
        <v>1</v>
      </c>
      <c r="F464" s="8">
        <v>1.0</v>
      </c>
      <c r="G464" s="8">
        <v>1.0</v>
      </c>
      <c r="H464" s="8">
        <v>1.0</v>
      </c>
      <c r="I464" s="8">
        <v>1.0</v>
      </c>
      <c r="J464" s="8">
        <v>1.0</v>
      </c>
      <c r="K464" s="8">
        <v>1.0</v>
      </c>
      <c r="L464" s="8">
        <v>6.0</v>
      </c>
      <c r="M464" s="8"/>
      <c r="N464" s="8"/>
      <c r="O464" s="8" t="s">
        <v>719</v>
      </c>
      <c r="P464" s="8">
        <v>8.0</v>
      </c>
    </row>
    <row r="465">
      <c r="A465">
        <f>IFERROR(__xludf.DUMMYFUNCTION("""COMPUTED_VALUE"""),6.0)</f>
        <v>6</v>
      </c>
      <c r="B465">
        <f>IFERROR(__xludf.DUMMYFUNCTION("""COMPUTED_VALUE"""),31170.0)</f>
        <v>31170</v>
      </c>
      <c r="C465" t="str">
        <f>IFERROR(__xludf.DUMMYFUNCTION("""COMPUTED_VALUE"""),"GRULLON SANTOS, ISABELLA")</f>
        <v>GRULLON SANTOS, ISABELLA</v>
      </c>
      <c r="D465" t="str">
        <f>IFERROR(__xludf.DUMMYFUNCTION("""COMPUTED_VALUE"""),"Math 6")</f>
        <v>Math 6</v>
      </c>
      <c r="E465" s="31">
        <f>IFERROR(__xludf.DUMMYFUNCTION("""COMPUTED_VALUE"""),6.0)</f>
        <v>6</v>
      </c>
      <c r="F465" s="8">
        <v>1.0</v>
      </c>
      <c r="G465" s="8">
        <v>1.0</v>
      </c>
      <c r="H465" s="8">
        <v>1.0</v>
      </c>
      <c r="I465" s="8">
        <v>1.0</v>
      </c>
      <c r="J465" s="8">
        <v>1.0</v>
      </c>
      <c r="K465" s="8">
        <v>1.0</v>
      </c>
      <c r="L465" s="8">
        <v>6.0</v>
      </c>
      <c r="M465" s="8"/>
      <c r="N465" s="8"/>
      <c r="O465" s="8" t="s">
        <v>718</v>
      </c>
      <c r="P465" s="8">
        <v>8.0</v>
      </c>
    </row>
    <row r="466">
      <c r="A466">
        <f>IFERROR(__xludf.DUMMYFUNCTION("""COMPUTED_VALUE"""),6.0)</f>
        <v>6</v>
      </c>
      <c r="B466">
        <f>IFERROR(__xludf.DUMMYFUNCTION("""COMPUTED_VALUE"""),31048.0)</f>
        <v>31048</v>
      </c>
      <c r="C466" t="str">
        <f>IFERROR(__xludf.DUMMYFUNCTION("""COMPUTED_VALUE"""),"GUERRA MARTINEZ, BENJAMIN")</f>
        <v>GUERRA MARTINEZ, BENJAMIN</v>
      </c>
      <c r="D466" t="str">
        <f>IFERROR(__xludf.DUMMYFUNCTION("""COMPUTED_VALUE"""),"Math 6")</f>
        <v>Math 6</v>
      </c>
      <c r="E466" s="31">
        <f>IFERROR(__xludf.DUMMYFUNCTION("""COMPUTED_VALUE"""),6.0)</f>
        <v>6</v>
      </c>
      <c r="F466" s="8">
        <v>1.0</v>
      </c>
      <c r="G466" s="8">
        <v>1.0</v>
      </c>
      <c r="H466" s="8">
        <v>1.0</v>
      </c>
      <c r="I466" s="8">
        <v>1.0</v>
      </c>
      <c r="J466" s="8">
        <v>1.0</v>
      </c>
      <c r="K466" s="8">
        <v>1.0</v>
      </c>
      <c r="L466" s="8">
        <v>6.0</v>
      </c>
      <c r="M466" s="8"/>
      <c r="N466" s="8"/>
      <c r="O466" s="8" t="s">
        <v>718</v>
      </c>
      <c r="P466" s="8">
        <v>8.0</v>
      </c>
    </row>
    <row r="467">
      <c r="A467">
        <f>IFERROR(__xludf.DUMMYFUNCTION("""COMPUTED_VALUE"""),6.0)</f>
        <v>6</v>
      </c>
      <c r="B467">
        <f>IFERROR(__xludf.DUMMYFUNCTION("""COMPUTED_VALUE"""),31049.0)</f>
        <v>31049</v>
      </c>
      <c r="C467" t="str">
        <f>IFERROR(__xludf.DUMMYFUNCTION("""COMPUTED_VALUE"""),"HENAO MARTINEZ, SOFIA")</f>
        <v>HENAO MARTINEZ, SOFIA</v>
      </c>
      <c r="D467" t="str">
        <f>IFERROR(__xludf.DUMMYFUNCTION("""COMPUTED_VALUE"""),"Math 6")</f>
        <v>Math 6</v>
      </c>
      <c r="E467" s="31">
        <f>IFERROR(__xludf.DUMMYFUNCTION("""COMPUTED_VALUE"""),1.0)</f>
        <v>1</v>
      </c>
      <c r="F467" s="8">
        <v>1.0</v>
      </c>
      <c r="G467" s="8">
        <v>1.0</v>
      </c>
      <c r="H467" s="8">
        <v>1.0</v>
      </c>
      <c r="I467" s="8">
        <v>1.0</v>
      </c>
      <c r="J467" s="8">
        <v>1.0</v>
      </c>
      <c r="K467" s="8">
        <v>1.0</v>
      </c>
      <c r="L467" s="8">
        <v>6.0</v>
      </c>
      <c r="M467" s="8"/>
      <c r="N467" s="8"/>
      <c r="O467" s="8" t="s">
        <v>719</v>
      </c>
      <c r="P467" s="8">
        <v>8.0</v>
      </c>
    </row>
    <row r="468">
      <c r="A468">
        <f>IFERROR(__xludf.DUMMYFUNCTION("""COMPUTED_VALUE"""),6.0)</f>
        <v>6</v>
      </c>
      <c r="B468">
        <f>IFERROR(__xludf.DUMMYFUNCTION("""COMPUTED_VALUE"""),31052.0)</f>
        <v>31052</v>
      </c>
      <c r="C468" t="str">
        <f>IFERROR(__xludf.DUMMYFUNCTION("""COMPUTED_VALUE"""),"IBAÑEZ MONTOYA, VALENTINA")</f>
        <v>IBAÑEZ MONTOYA, VALENTINA</v>
      </c>
      <c r="D468" t="str">
        <f>IFERROR(__xludf.DUMMYFUNCTION("""COMPUTED_VALUE"""),"Math 6")</f>
        <v>Math 6</v>
      </c>
      <c r="E468" s="31">
        <f>IFERROR(__xludf.DUMMYFUNCTION("""COMPUTED_VALUE"""),1.0)</f>
        <v>1</v>
      </c>
      <c r="F468" s="8">
        <v>1.0</v>
      </c>
      <c r="G468" s="8">
        <v>1.0</v>
      </c>
      <c r="H468" s="8">
        <v>1.0</v>
      </c>
      <c r="I468" s="8">
        <v>1.0</v>
      </c>
      <c r="J468" s="8">
        <v>1.0</v>
      </c>
      <c r="K468" s="8">
        <v>1.0</v>
      </c>
      <c r="L468" s="8">
        <v>6.0</v>
      </c>
      <c r="M468" s="8"/>
      <c r="N468" s="8"/>
      <c r="O468" s="8" t="s">
        <v>719</v>
      </c>
      <c r="P468" s="8">
        <v>8.0</v>
      </c>
    </row>
    <row r="469">
      <c r="A469">
        <f>IFERROR(__xludf.DUMMYFUNCTION("""COMPUTED_VALUE"""),6.0)</f>
        <v>6</v>
      </c>
      <c r="B469">
        <f>IFERROR(__xludf.DUMMYFUNCTION("""COMPUTED_VALUE"""),31054.0)</f>
        <v>31054</v>
      </c>
      <c r="C469" t="str">
        <f>IFERROR(__xludf.DUMMYFUNCTION("""COMPUTED_VALUE"""),"JALLER TRUJILLO, MARIA")</f>
        <v>JALLER TRUJILLO, MARIA</v>
      </c>
      <c r="D469" t="str">
        <f>IFERROR(__xludf.DUMMYFUNCTION("""COMPUTED_VALUE"""),"Math 6")</f>
        <v>Math 6</v>
      </c>
      <c r="E469" s="31">
        <f>IFERROR(__xludf.DUMMYFUNCTION("""COMPUTED_VALUE"""),3.0)</f>
        <v>3</v>
      </c>
      <c r="F469" s="8">
        <v>1.0</v>
      </c>
      <c r="G469" s="8">
        <v>1.0</v>
      </c>
      <c r="H469" s="8">
        <v>1.0</v>
      </c>
      <c r="I469" s="8">
        <v>1.0</v>
      </c>
      <c r="J469" s="8">
        <v>1.0</v>
      </c>
      <c r="K469" s="8">
        <v>1.0</v>
      </c>
      <c r="L469" s="8">
        <v>6.0</v>
      </c>
      <c r="M469" s="8"/>
      <c r="N469" s="8"/>
      <c r="O469" s="8" t="s">
        <v>717</v>
      </c>
      <c r="P469" s="8">
        <v>8.0</v>
      </c>
    </row>
    <row r="470">
      <c r="A470">
        <f>IFERROR(__xludf.DUMMYFUNCTION("""COMPUTED_VALUE"""),6.0)</f>
        <v>6</v>
      </c>
      <c r="B470">
        <f>IFERROR(__xludf.DUMMYFUNCTION("""COMPUTED_VALUE"""),31053.0)</f>
        <v>31053</v>
      </c>
      <c r="C470" t="str">
        <f>IFERROR(__xludf.DUMMYFUNCTION("""COMPUTED_VALUE"""),"JALLER VELEZ, MARTINA")</f>
        <v>JALLER VELEZ, MARTINA</v>
      </c>
      <c r="D470" t="str">
        <f>IFERROR(__xludf.DUMMYFUNCTION("""COMPUTED_VALUE"""),"Math 6")</f>
        <v>Math 6</v>
      </c>
      <c r="E470" s="31">
        <f>IFERROR(__xludf.DUMMYFUNCTION("""COMPUTED_VALUE"""),4.0)</f>
        <v>4</v>
      </c>
      <c r="F470" s="8">
        <v>1.0</v>
      </c>
      <c r="G470" s="8">
        <v>1.0</v>
      </c>
      <c r="H470" s="8">
        <v>1.0</v>
      </c>
      <c r="I470" s="8">
        <v>1.0</v>
      </c>
      <c r="J470" s="8">
        <v>1.0</v>
      </c>
      <c r="K470" s="8">
        <v>1.0</v>
      </c>
      <c r="L470" s="8">
        <v>6.0</v>
      </c>
      <c r="M470" s="8"/>
      <c r="N470" s="8"/>
      <c r="O470" s="8" t="s">
        <v>722</v>
      </c>
      <c r="P470" s="8">
        <v>8.0</v>
      </c>
    </row>
    <row r="471">
      <c r="A471">
        <f>IFERROR(__xludf.DUMMYFUNCTION("""COMPUTED_VALUE"""),6.0)</f>
        <v>6</v>
      </c>
      <c r="B471">
        <f>IFERROR(__xludf.DUMMYFUNCTION("""COMPUTED_VALUE"""),31057.0)</f>
        <v>31057</v>
      </c>
      <c r="C471" t="str">
        <f>IFERROR(__xludf.DUMMYFUNCTION("""COMPUTED_VALUE"""),"JARAMILLO ARBELAEZ, AMALIA")</f>
        <v>JARAMILLO ARBELAEZ, AMALIA</v>
      </c>
      <c r="D471" t="str">
        <f>IFERROR(__xludf.DUMMYFUNCTION("""COMPUTED_VALUE"""),"Math 6")</f>
        <v>Math 6</v>
      </c>
      <c r="E471" s="31">
        <f>IFERROR(__xludf.DUMMYFUNCTION("""COMPUTED_VALUE"""),5.0)</f>
        <v>5</v>
      </c>
      <c r="F471" s="8">
        <v>1.0</v>
      </c>
      <c r="G471" s="8">
        <v>1.0</v>
      </c>
      <c r="H471" s="8">
        <v>1.0</v>
      </c>
      <c r="I471" s="8">
        <v>1.0</v>
      </c>
      <c r="J471" s="8">
        <v>1.0</v>
      </c>
      <c r="K471" s="8">
        <v>1.0</v>
      </c>
      <c r="L471" s="8">
        <v>6.0</v>
      </c>
      <c r="M471" s="8"/>
      <c r="N471" s="8"/>
      <c r="O471" s="8" t="s">
        <v>721</v>
      </c>
      <c r="P471" s="8">
        <v>8.0</v>
      </c>
    </row>
    <row r="472">
      <c r="A472">
        <f>IFERROR(__xludf.DUMMYFUNCTION("""COMPUTED_VALUE"""),6.0)</f>
        <v>6</v>
      </c>
      <c r="B472">
        <f>IFERROR(__xludf.DUMMYFUNCTION("""COMPUTED_VALUE"""),31055.0)</f>
        <v>31055</v>
      </c>
      <c r="C472" t="str">
        <f>IFERROR(__xludf.DUMMYFUNCTION("""COMPUTED_VALUE"""),"JARAMILLO GONZALEZ, MARIA")</f>
        <v>JARAMILLO GONZALEZ, MARIA</v>
      </c>
      <c r="D472" t="str">
        <f>IFERROR(__xludf.DUMMYFUNCTION("""COMPUTED_VALUE"""),"Math 6")</f>
        <v>Math 6</v>
      </c>
      <c r="E472" s="31">
        <f>IFERROR(__xludf.DUMMYFUNCTION("""COMPUTED_VALUE"""),4.0)</f>
        <v>4</v>
      </c>
      <c r="F472" s="8">
        <v>1.0</v>
      </c>
      <c r="G472" s="8">
        <v>1.0</v>
      </c>
      <c r="H472" s="8">
        <v>1.0</v>
      </c>
      <c r="I472" s="8">
        <v>1.0</v>
      </c>
      <c r="J472" s="8">
        <v>1.0</v>
      </c>
      <c r="K472" s="8">
        <v>1.0</v>
      </c>
      <c r="L472" s="8">
        <v>6.0</v>
      </c>
      <c r="M472" s="8"/>
      <c r="N472" s="8"/>
      <c r="O472" s="8" t="s">
        <v>722</v>
      </c>
      <c r="P472" s="8">
        <v>8.0</v>
      </c>
    </row>
    <row r="473">
      <c r="A473">
        <f>IFERROR(__xludf.DUMMYFUNCTION("""COMPUTED_VALUE"""),6.0)</f>
        <v>6</v>
      </c>
      <c r="B473">
        <f>IFERROR(__xludf.DUMMYFUNCTION("""COMPUTED_VALUE"""),31058.0)</f>
        <v>31058</v>
      </c>
      <c r="C473" t="str">
        <f>IFERROR(__xludf.DUMMYFUNCTION("""COMPUTED_VALUE"""),"JARAMILLO OCHOA, LUCAS")</f>
        <v>JARAMILLO OCHOA, LUCAS</v>
      </c>
      <c r="D473" t="str">
        <f>IFERROR(__xludf.DUMMYFUNCTION("""COMPUTED_VALUE"""),"Math 6A")</f>
        <v>Math 6A</v>
      </c>
      <c r="E473" s="31">
        <f>IFERROR(__xludf.DUMMYFUNCTION("""COMPUTED_VALUE"""),5.0)</f>
        <v>5</v>
      </c>
      <c r="F473" s="8">
        <v>1.0</v>
      </c>
      <c r="G473" s="8">
        <v>1.0</v>
      </c>
      <c r="H473" s="8">
        <v>1.0</v>
      </c>
      <c r="I473" s="8">
        <v>1.0</v>
      </c>
      <c r="J473" s="8">
        <v>1.0</v>
      </c>
      <c r="K473" s="8">
        <v>1.0</v>
      </c>
      <c r="L473" s="8">
        <v>6.0</v>
      </c>
      <c r="M473" s="8"/>
      <c r="N473" s="8"/>
      <c r="O473" s="8" t="s">
        <v>720</v>
      </c>
      <c r="P473" s="8" t="e">
        <v>#N/A</v>
      </c>
    </row>
    <row r="474">
      <c r="A474">
        <f>IFERROR(__xludf.DUMMYFUNCTION("""COMPUTED_VALUE"""),6.0)</f>
        <v>6</v>
      </c>
      <c r="B474">
        <f>IFERROR(__xludf.DUMMYFUNCTION("""COMPUTED_VALUE"""),31059.0)</f>
        <v>31059</v>
      </c>
      <c r="C474" t="str">
        <f>IFERROR(__xludf.DUMMYFUNCTION("""COMPUTED_VALUE"""),"JIMENEZ ESCOBAR, ROSARIO")</f>
        <v>JIMENEZ ESCOBAR, ROSARIO</v>
      </c>
      <c r="D474" t="str">
        <f>IFERROR(__xludf.DUMMYFUNCTION("""COMPUTED_VALUE"""),"Math 6")</f>
        <v>Math 6</v>
      </c>
      <c r="E474" s="31">
        <f>IFERROR(__xludf.DUMMYFUNCTION("""COMPUTED_VALUE"""),6.0)</f>
        <v>6</v>
      </c>
      <c r="F474" s="8">
        <v>1.0</v>
      </c>
      <c r="G474" s="8">
        <v>1.0</v>
      </c>
      <c r="H474" s="8">
        <v>1.0</v>
      </c>
      <c r="I474" s="8">
        <v>1.0</v>
      </c>
      <c r="J474" s="8">
        <v>1.0</v>
      </c>
      <c r="K474" s="8">
        <v>1.0</v>
      </c>
      <c r="L474" s="8">
        <v>6.0</v>
      </c>
      <c r="M474" s="8"/>
      <c r="N474" s="8"/>
      <c r="O474" s="8" t="s">
        <v>718</v>
      </c>
      <c r="P474" s="8">
        <v>8.0</v>
      </c>
    </row>
    <row r="475">
      <c r="A475">
        <f>IFERROR(__xludf.DUMMYFUNCTION("""COMPUTED_VALUE"""),6.0)</f>
        <v>6</v>
      </c>
      <c r="B475">
        <f>IFERROR(__xludf.DUMMYFUNCTION("""COMPUTED_VALUE"""),31172.0)</f>
        <v>31172</v>
      </c>
      <c r="C475" t="str">
        <f>IFERROR(__xludf.DUMMYFUNCTION("""COMPUTED_VALUE"""),"JONCK CORRENTE, CLARICE")</f>
        <v>JONCK CORRENTE, CLARICE</v>
      </c>
      <c r="D475" t="str">
        <f>IFERROR(__xludf.DUMMYFUNCTION("""COMPUTED_VALUE"""),"Math 6")</f>
        <v>Math 6</v>
      </c>
      <c r="E475" s="31">
        <f>IFERROR(__xludf.DUMMYFUNCTION("""COMPUTED_VALUE"""),5.0)</f>
        <v>5</v>
      </c>
      <c r="F475" s="8">
        <v>1.0</v>
      </c>
      <c r="G475" s="8">
        <v>1.0</v>
      </c>
      <c r="H475" s="8">
        <v>1.0</v>
      </c>
      <c r="I475" s="8">
        <v>1.0</v>
      </c>
      <c r="J475" s="8">
        <v>1.0</v>
      </c>
      <c r="K475" s="8">
        <v>1.0</v>
      </c>
      <c r="L475" s="8">
        <v>6.0</v>
      </c>
      <c r="M475" s="8"/>
      <c r="N475" s="8"/>
      <c r="O475" s="8" t="s">
        <v>721</v>
      </c>
      <c r="P475" s="8">
        <v>8.0</v>
      </c>
    </row>
    <row r="476">
      <c r="A476">
        <f>IFERROR(__xludf.DUMMYFUNCTION("""COMPUTED_VALUE"""),6.0)</f>
        <v>6</v>
      </c>
      <c r="B476">
        <f>IFERROR(__xludf.DUMMYFUNCTION("""COMPUTED_VALUE"""),31061.0)</f>
        <v>31061</v>
      </c>
      <c r="C476" t="str">
        <f>IFERROR(__xludf.DUMMYFUNCTION("""COMPUTED_VALUE"""),"LAVERDE GIRALDO, CONSTANTINO")</f>
        <v>LAVERDE GIRALDO, CONSTANTINO</v>
      </c>
      <c r="D476" t="str">
        <f>IFERROR(__xludf.DUMMYFUNCTION("""COMPUTED_VALUE"""),"Math 6A")</f>
        <v>Math 6A</v>
      </c>
      <c r="E476" s="31">
        <f>IFERROR(__xludf.DUMMYFUNCTION("""COMPUTED_VALUE"""),5.0)</f>
        <v>5</v>
      </c>
      <c r="F476" s="8">
        <v>1.0</v>
      </c>
      <c r="G476" s="8">
        <v>1.0</v>
      </c>
      <c r="H476" s="8">
        <v>1.0</v>
      </c>
      <c r="I476" s="8">
        <v>1.0</v>
      </c>
      <c r="J476" s="8">
        <v>1.0</v>
      </c>
      <c r="K476" s="8">
        <v>1.0</v>
      </c>
      <c r="L476" s="8">
        <v>6.0</v>
      </c>
      <c r="M476" s="8"/>
      <c r="N476" s="8"/>
      <c r="O476" s="8" t="s">
        <v>720</v>
      </c>
      <c r="P476" s="8" t="e">
        <v>#N/A</v>
      </c>
    </row>
    <row r="477">
      <c r="A477">
        <f>IFERROR(__xludf.DUMMYFUNCTION("""COMPUTED_VALUE"""),6.0)</f>
        <v>6</v>
      </c>
      <c r="B477">
        <f>IFERROR(__xludf.DUMMYFUNCTION("""COMPUTED_VALUE"""),31060.0)</f>
        <v>31060</v>
      </c>
      <c r="C477" t="str">
        <f>IFERROR(__xludf.DUMMYFUNCTION("""COMPUTED_VALUE"""),"LAVERDE MOLINA, MATIAS")</f>
        <v>LAVERDE MOLINA, MATIAS</v>
      </c>
      <c r="D477" t="str">
        <f>IFERROR(__xludf.DUMMYFUNCTION("""COMPUTED_VALUE"""),"Math 6")</f>
        <v>Math 6</v>
      </c>
      <c r="E477" s="31">
        <f>IFERROR(__xludf.DUMMYFUNCTION("""COMPUTED_VALUE"""),6.0)</f>
        <v>6</v>
      </c>
      <c r="F477" s="8">
        <v>1.0</v>
      </c>
      <c r="G477" s="8">
        <v>1.0</v>
      </c>
      <c r="H477" s="8">
        <v>1.0</v>
      </c>
      <c r="I477" s="8">
        <v>1.0</v>
      </c>
      <c r="J477" s="8">
        <v>1.0</v>
      </c>
      <c r="K477" s="8">
        <v>1.0</v>
      </c>
      <c r="L477" s="8">
        <v>6.0</v>
      </c>
      <c r="M477" s="8"/>
      <c r="N477" s="8"/>
      <c r="O477" s="8" t="s">
        <v>718</v>
      </c>
      <c r="P477" s="8">
        <v>8.0</v>
      </c>
    </row>
    <row r="478">
      <c r="A478">
        <f>IFERROR(__xludf.DUMMYFUNCTION("""COMPUTED_VALUE"""),6.0)</f>
        <v>6</v>
      </c>
      <c r="B478">
        <f>IFERROR(__xludf.DUMMYFUNCTION("""COMPUTED_VALUE"""),31062.0)</f>
        <v>31062</v>
      </c>
      <c r="C478" t="str">
        <f>IFERROR(__xludf.DUMMYFUNCTION("""COMPUTED_VALUE"""),"LEMA GARCIA, MIA")</f>
        <v>LEMA GARCIA, MIA</v>
      </c>
      <c r="D478" t="str">
        <f>IFERROR(__xludf.DUMMYFUNCTION("""COMPUTED_VALUE"""),"Math 6")</f>
        <v>Math 6</v>
      </c>
      <c r="E478" s="31">
        <f>IFERROR(__xludf.DUMMYFUNCTION("""COMPUTED_VALUE"""),1.0)</f>
        <v>1</v>
      </c>
      <c r="F478" s="8">
        <v>1.0</v>
      </c>
      <c r="G478" s="8">
        <v>1.0</v>
      </c>
      <c r="H478" s="8">
        <v>1.0</v>
      </c>
      <c r="I478" s="8">
        <v>1.0</v>
      </c>
      <c r="J478" s="8">
        <v>1.0</v>
      </c>
      <c r="K478" s="8">
        <v>1.0</v>
      </c>
      <c r="L478" s="8">
        <v>6.0</v>
      </c>
      <c r="M478" s="8"/>
      <c r="N478" s="8"/>
      <c r="O478" s="8" t="s">
        <v>719</v>
      </c>
      <c r="P478" s="8">
        <v>8.0</v>
      </c>
    </row>
    <row r="479">
      <c r="A479">
        <f>IFERROR(__xludf.DUMMYFUNCTION("""COMPUTED_VALUE"""),6.0)</f>
        <v>6</v>
      </c>
      <c r="B479">
        <f>IFERROR(__xludf.DUMMYFUNCTION("""COMPUTED_VALUE"""),31063.0)</f>
        <v>31063</v>
      </c>
      <c r="C479" t="str">
        <f>IFERROR(__xludf.DUMMYFUNCTION("""COMPUTED_VALUE"""),"LONDOÑO ARRIOLA, LUCIA")</f>
        <v>LONDOÑO ARRIOLA, LUCIA</v>
      </c>
      <c r="D479" t="str">
        <f>IFERROR(__xludf.DUMMYFUNCTION("""COMPUTED_VALUE"""),"Math 6")</f>
        <v>Math 6</v>
      </c>
      <c r="E479" s="31">
        <f>IFERROR(__xludf.DUMMYFUNCTION("""COMPUTED_VALUE"""),3.0)</f>
        <v>3</v>
      </c>
      <c r="F479" s="8">
        <v>1.0</v>
      </c>
      <c r="G479" s="8">
        <v>1.0</v>
      </c>
      <c r="H479" s="8">
        <v>1.0</v>
      </c>
      <c r="I479" s="8">
        <v>1.0</v>
      </c>
      <c r="J479" s="8">
        <v>1.0</v>
      </c>
      <c r="K479" s="8">
        <v>1.0</v>
      </c>
      <c r="L479" s="8">
        <v>6.0</v>
      </c>
      <c r="M479" s="8"/>
      <c r="N479" s="8"/>
      <c r="O479" s="8" t="s">
        <v>717</v>
      </c>
      <c r="P479" s="8">
        <v>8.0</v>
      </c>
    </row>
    <row r="480">
      <c r="A480">
        <f>IFERROR(__xludf.DUMMYFUNCTION("""COMPUTED_VALUE"""),6.0)</f>
        <v>6</v>
      </c>
      <c r="B480">
        <f>IFERROR(__xludf.DUMMYFUNCTION("""COMPUTED_VALUE"""),32076.0)</f>
        <v>32076</v>
      </c>
      <c r="C480" t="str">
        <f>IFERROR(__xludf.DUMMYFUNCTION("""COMPUTED_VALUE"""),"LONDOÑO BAQUERO, JUAN")</f>
        <v>LONDOÑO BAQUERO, JUAN</v>
      </c>
      <c r="D480" t="str">
        <f>IFERROR(__xludf.DUMMYFUNCTION("""COMPUTED_VALUE"""),"Math 6")</f>
        <v>Math 6</v>
      </c>
      <c r="E480" s="31">
        <f>IFERROR(__xludf.DUMMYFUNCTION("""COMPUTED_VALUE"""),4.0)</f>
        <v>4</v>
      </c>
      <c r="F480" s="8">
        <v>1.0</v>
      </c>
      <c r="G480" s="8">
        <v>1.0</v>
      </c>
      <c r="H480" s="8">
        <v>1.0</v>
      </c>
      <c r="I480" s="8">
        <v>1.0</v>
      </c>
      <c r="J480" s="8">
        <v>1.0</v>
      </c>
      <c r="K480" s="8">
        <v>1.0</v>
      </c>
      <c r="L480" s="8">
        <v>6.0</v>
      </c>
      <c r="M480" s="8"/>
      <c r="N480" s="8"/>
      <c r="O480" s="8" t="s">
        <v>722</v>
      </c>
      <c r="P480" s="8">
        <v>8.0</v>
      </c>
    </row>
    <row r="481">
      <c r="A481">
        <f>IFERROR(__xludf.DUMMYFUNCTION("""COMPUTED_VALUE"""),6.0)</f>
        <v>6</v>
      </c>
      <c r="B481">
        <f>IFERROR(__xludf.DUMMYFUNCTION("""COMPUTED_VALUE"""),31064.0)</f>
        <v>31064</v>
      </c>
      <c r="C481" t="str">
        <f>IFERROR(__xludf.DUMMYFUNCTION("""COMPUTED_VALUE"""),"MARQUEZ BARRERA, LORENZO CAYETANO")</f>
        <v>MARQUEZ BARRERA, LORENZO CAYETANO</v>
      </c>
      <c r="D481" t="str">
        <f>IFERROR(__xludf.DUMMYFUNCTION("""COMPUTED_VALUE"""),"Math 6")</f>
        <v>Math 6</v>
      </c>
      <c r="E481" s="31">
        <f>IFERROR(__xludf.DUMMYFUNCTION("""COMPUTED_VALUE"""),3.0)</f>
        <v>3</v>
      </c>
      <c r="F481" s="8">
        <v>1.0</v>
      </c>
      <c r="G481" s="8">
        <v>1.0</v>
      </c>
      <c r="H481" s="8">
        <v>1.0</v>
      </c>
      <c r="I481" s="8">
        <v>1.0</v>
      </c>
      <c r="J481" s="8">
        <v>1.0</v>
      </c>
      <c r="K481" s="8">
        <v>1.0</v>
      </c>
      <c r="L481" s="8">
        <v>6.0</v>
      </c>
      <c r="M481" s="8"/>
      <c r="N481" s="8"/>
      <c r="O481" s="8" t="s">
        <v>717</v>
      </c>
      <c r="P481" s="8">
        <v>8.0</v>
      </c>
    </row>
    <row r="482">
      <c r="A482">
        <f>IFERROR(__xludf.DUMMYFUNCTION("""COMPUTED_VALUE"""),6.0)</f>
        <v>6</v>
      </c>
      <c r="B482">
        <f>IFERROR(__xludf.DUMMYFUNCTION("""COMPUTED_VALUE"""),31065.0)</f>
        <v>31065</v>
      </c>
      <c r="C482" t="str">
        <f>IFERROR(__xludf.DUMMYFUNCTION("""COMPUTED_VALUE"""),"MARTINEZ UPEGUI, PEDRO")</f>
        <v>MARTINEZ UPEGUI, PEDRO</v>
      </c>
      <c r="D482" t="str">
        <f>IFERROR(__xludf.DUMMYFUNCTION("""COMPUTED_VALUE"""),"Math 6")</f>
        <v>Math 6</v>
      </c>
      <c r="E482" s="31">
        <f>IFERROR(__xludf.DUMMYFUNCTION("""COMPUTED_VALUE"""),4.0)</f>
        <v>4</v>
      </c>
      <c r="F482" s="8">
        <v>1.0</v>
      </c>
      <c r="G482" s="8">
        <v>1.0</v>
      </c>
      <c r="H482" s="8">
        <v>1.0</v>
      </c>
      <c r="I482" s="8">
        <v>1.0</v>
      </c>
      <c r="J482" s="8">
        <v>1.0</v>
      </c>
      <c r="K482" s="8">
        <v>1.0</v>
      </c>
      <c r="L482" s="8">
        <v>6.0</v>
      </c>
      <c r="M482" s="8"/>
      <c r="N482" s="8"/>
      <c r="O482" s="8" t="s">
        <v>722</v>
      </c>
      <c r="P482" s="8">
        <v>8.0</v>
      </c>
    </row>
    <row r="483">
      <c r="A483">
        <f>IFERROR(__xludf.DUMMYFUNCTION("""COMPUTED_VALUE"""),6.0)</f>
        <v>6</v>
      </c>
      <c r="B483">
        <f>IFERROR(__xludf.DUMMYFUNCTION("""COMPUTED_VALUE"""),31066.0)</f>
        <v>31066</v>
      </c>
      <c r="C483" t="str">
        <f>IFERROR(__xludf.DUMMYFUNCTION("""COMPUTED_VALUE"""),"MATALLANA TOBON, ROSARIO")</f>
        <v>MATALLANA TOBON, ROSARIO</v>
      </c>
      <c r="D483" t="str">
        <f>IFERROR(__xludf.DUMMYFUNCTION("""COMPUTED_VALUE"""),"Math 6")</f>
        <v>Math 6</v>
      </c>
      <c r="E483" s="31">
        <f>IFERROR(__xludf.DUMMYFUNCTION("""COMPUTED_VALUE"""),5.0)</f>
        <v>5</v>
      </c>
      <c r="F483" s="8">
        <v>1.0</v>
      </c>
      <c r="G483" s="8">
        <v>1.0</v>
      </c>
      <c r="H483" s="8">
        <v>1.0</v>
      </c>
      <c r="I483" s="8">
        <v>1.0</v>
      </c>
      <c r="J483" s="8">
        <v>1.0</v>
      </c>
      <c r="K483" s="8">
        <v>1.0</v>
      </c>
      <c r="L483" s="8">
        <v>6.0</v>
      </c>
      <c r="M483" s="8"/>
      <c r="N483" s="8"/>
      <c r="O483" s="8" t="s">
        <v>721</v>
      </c>
      <c r="P483" s="8">
        <v>8.0</v>
      </c>
    </row>
    <row r="484">
      <c r="A484">
        <f>IFERROR(__xludf.DUMMYFUNCTION("""COMPUTED_VALUE"""),6.0)</f>
        <v>6</v>
      </c>
      <c r="B484">
        <f>IFERROR(__xludf.DUMMYFUNCTION("""COMPUTED_VALUE"""),31067.0)</f>
        <v>31067</v>
      </c>
      <c r="C484" t="str">
        <f>IFERROR(__xludf.DUMMYFUNCTION("""COMPUTED_VALUE"""),"MAYA BEDOYA, EMILIA")</f>
        <v>MAYA BEDOYA, EMILIA</v>
      </c>
      <c r="D484" t="str">
        <f>IFERROR(__xludf.DUMMYFUNCTION("""COMPUTED_VALUE"""),"Math 6")</f>
        <v>Math 6</v>
      </c>
      <c r="E484" s="31">
        <f>IFERROR(__xludf.DUMMYFUNCTION("""COMPUTED_VALUE"""),3.0)</f>
        <v>3</v>
      </c>
      <c r="F484" s="8">
        <v>1.0</v>
      </c>
      <c r="G484" s="8">
        <v>1.0</v>
      </c>
      <c r="H484" s="8">
        <v>1.0</v>
      </c>
      <c r="I484" s="8">
        <v>1.0</v>
      </c>
      <c r="J484" s="8">
        <v>1.0</v>
      </c>
      <c r="K484" s="8">
        <v>1.0</v>
      </c>
      <c r="L484" s="8">
        <v>6.0</v>
      </c>
      <c r="M484" s="8"/>
      <c r="N484" s="8"/>
      <c r="O484" s="8" t="s">
        <v>717</v>
      </c>
      <c r="P484" s="8">
        <v>8.0</v>
      </c>
    </row>
    <row r="485">
      <c r="A485">
        <f>IFERROR(__xludf.DUMMYFUNCTION("""COMPUTED_VALUE"""),6.0)</f>
        <v>6</v>
      </c>
      <c r="B485">
        <f>IFERROR(__xludf.DUMMYFUNCTION("""COMPUTED_VALUE"""),31149.0)</f>
        <v>31149</v>
      </c>
      <c r="C485" t="str">
        <f>IFERROR(__xludf.DUMMYFUNCTION("""COMPUTED_VALUE"""),"MAZO DIAZ, ANTONIO")</f>
        <v>MAZO DIAZ, ANTONIO</v>
      </c>
      <c r="D485" t="str">
        <f>IFERROR(__xludf.DUMMYFUNCTION("""COMPUTED_VALUE"""),"Math 6")</f>
        <v>Math 6</v>
      </c>
      <c r="E485" s="31">
        <f>IFERROR(__xludf.DUMMYFUNCTION("""COMPUTED_VALUE"""),1.0)</f>
        <v>1</v>
      </c>
      <c r="F485" s="8">
        <v>1.0</v>
      </c>
      <c r="G485" s="8">
        <v>1.0</v>
      </c>
      <c r="H485" s="8">
        <v>1.0</v>
      </c>
      <c r="I485" s="8">
        <v>1.0</v>
      </c>
      <c r="J485" s="8">
        <v>1.0</v>
      </c>
      <c r="K485" s="8">
        <v>1.0</v>
      </c>
      <c r="L485" s="8">
        <v>6.0</v>
      </c>
      <c r="M485" s="8"/>
      <c r="N485" s="8"/>
      <c r="O485" s="8" t="s">
        <v>719</v>
      </c>
      <c r="P485" s="8">
        <v>8.0</v>
      </c>
    </row>
    <row r="486">
      <c r="A486">
        <f>IFERROR(__xludf.DUMMYFUNCTION("""COMPUTED_VALUE"""),6.0)</f>
        <v>6</v>
      </c>
      <c r="B486">
        <f>IFERROR(__xludf.DUMMYFUNCTION("""COMPUTED_VALUE"""),31164.0)</f>
        <v>31164</v>
      </c>
      <c r="C486" t="str">
        <f>IFERROR(__xludf.DUMMYFUNCTION("""COMPUTED_VALUE"""),"MCGARGHAN, RHYS LEIGH-ANNA")</f>
        <v>MCGARGHAN, RHYS LEIGH-ANNA</v>
      </c>
      <c r="D486" t="str">
        <f>IFERROR(__xludf.DUMMYFUNCTION("""COMPUTED_VALUE"""),"Math 6")</f>
        <v>Math 6</v>
      </c>
      <c r="E486" s="31">
        <f>IFERROR(__xludf.DUMMYFUNCTION("""COMPUTED_VALUE"""),5.0)</f>
        <v>5</v>
      </c>
      <c r="F486" s="8">
        <v>1.0</v>
      </c>
      <c r="G486" s="8">
        <v>1.0</v>
      </c>
      <c r="H486" s="8">
        <v>1.0</v>
      </c>
      <c r="I486" s="8">
        <v>1.0</v>
      </c>
      <c r="J486" s="8">
        <v>1.0</v>
      </c>
      <c r="K486" s="8">
        <v>1.0</v>
      </c>
      <c r="L486" s="8">
        <v>6.0</v>
      </c>
      <c r="M486" s="8"/>
      <c r="N486" s="8"/>
      <c r="O486" s="8" t="s">
        <v>721</v>
      </c>
      <c r="P486" s="8">
        <v>8.0</v>
      </c>
    </row>
    <row r="487">
      <c r="A487">
        <f>IFERROR(__xludf.DUMMYFUNCTION("""COMPUTED_VALUE"""),6.0)</f>
        <v>6</v>
      </c>
      <c r="B487">
        <f>IFERROR(__xludf.DUMMYFUNCTION("""COMPUTED_VALUE"""),31070.0)</f>
        <v>31070</v>
      </c>
      <c r="C487" t="str">
        <f>IFERROR(__xludf.DUMMYFUNCTION("""COMPUTED_VALUE"""),"MEJIA GALLEGO, MARTIN")</f>
        <v>MEJIA GALLEGO, MARTIN</v>
      </c>
      <c r="D487" t="str">
        <f>IFERROR(__xludf.DUMMYFUNCTION("""COMPUTED_VALUE"""),"Math 6")</f>
        <v>Math 6</v>
      </c>
      <c r="E487" s="31">
        <f>IFERROR(__xludf.DUMMYFUNCTION("""COMPUTED_VALUE"""),6.0)</f>
        <v>6</v>
      </c>
      <c r="F487" s="8">
        <v>1.0</v>
      </c>
      <c r="G487" s="8">
        <v>1.0</v>
      </c>
      <c r="H487" s="8">
        <v>1.0</v>
      </c>
      <c r="I487" s="8">
        <v>1.0</v>
      </c>
      <c r="J487" s="8">
        <v>1.0</v>
      </c>
      <c r="K487" s="8">
        <v>1.0</v>
      </c>
      <c r="L487" s="8">
        <v>6.0</v>
      </c>
      <c r="M487" s="8"/>
      <c r="N487" s="8"/>
      <c r="O487" s="8" t="s">
        <v>718</v>
      </c>
      <c r="P487" s="8">
        <v>8.0</v>
      </c>
    </row>
    <row r="488">
      <c r="A488">
        <f>IFERROR(__xludf.DUMMYFUNCTION("""COMPUTED_VALUE"""),6.0)</f>
        <v>6</v>
      </c>
      <c r="B488">
        <f>IFERROR(__xludf.DUMMYFUNCTION("""COMPUTED_VALUE"""),31071.0)</f>
        <v>31071</v>
      </c>
      <c r="C488" t="str">
        <f>IFERROR(__xludf.DUMMYFUNCTION("""COMPUTED_VALUE"""),"MEJIA TORO, MIGUEL")</f>
        <v>MEJIA TORO, MIGUEL</v>
      </c>
      <c r="D488" t="str">
        <f>IFERROR(__xludf.DUMMYFUNCTION("""COMPUTED_VALUE"""),"Math 6")</f>
        <v>Math 6</v>
      </c>
      <c r="E488" s="31">
        <f>IFERROR(__xludf.DUMMYFUNCTION("""COMPUTED_VALUE"""),4.0)</f>
        <v>4</v>
      </c>
      <c r="F488" s="8">
        <v>1.0</v>
      </c>
      <c r="G488" s="8">
        <v>1.0</v>
      </c>
      <c r="H488" s="8">
        <v>1.0</v>
      </c>
      <c r="I488" s="8">
        <v>1.0</v>
      </c>
      <c r="J488" s="8">
        <v>1.0</v>
      </c>
      <c r="K488" s="8">
        <v>1.0</v>
      </c>
      <c r="L488" s="8">
        <v>6.0</v>
      </c>
      <c r="M488" s="8"/>
      <c r="N488" s="8"/>
      <c r="O488" s="8" t="s">
        <v>722</v>
      </c>
      <c r="P488" s="8">
        <v>8.0</v>
      </c>
    </row>
    <row r="489">
      <c r="A489">
        <f>IFERROR(__xludf.DUMMYFUNCTION("""COMPUTED_VALUE"""),6.0)</f>
        <v>6</v>
      </c>
      <c r="B489">
        <f>IFERROR(__xludf.DUMMYFUNCTION("""COMPUTED_VALUE"""),31072.0)</f>
        <v>31072</v>
      </c>
      <c r="C489" t="str">
        <f>IFERROR(__xludf.DUMMYFUNCTION("""COMPUTED_VALUE"""),"MEJIA VELEZ, ABRIL")</f>
        <v>MEJIA VELEZ, ABRIL</v>
      </c>
      <c r="D489" t="str">
        <f>IFERROR(__xludf.DUMMYFUNCTION("""COMPUTED_VALUE"""),"Math 6")</f>
        <v>Math 6</v>
      </c>
      <c r="E489" s="31">
        <f>IFERROR(__xludf.DUMMYFUNCTION("""COMPUTED_VALUE"""),3.0)</f>
        <v>3</v>
      </c>
      <c r="F489" s="8">
        <v>1.0</v>
      </c>
      <c r="G489" s="8">
        <v>1.0</v>
      </c>
      <c r="H489" s="8">
        <v>1.0</v>
      </c>
      <c r="I489" s="8">
        <v>1.0</v>
      </c>
      <c r="J489" s="8">
        <v>1.0</v>
      </c>
      <c r="K489" s="8">
        <v>1.0</v>
      </c>
      <c r="L489" s="8">
        <v>6.0</v>
      </c>
      <c r="M489" s="8"/>
      <c r="N489" s="8"/>
      <c r="O489" s="8" t="s">
        <v>717</v>
      </c>
      <c r="P489" s="8">
        <v>8.0</v>
      </c>
    </row>
    <row r="490">
      <c r="A490">
        <f>IFERROR(__xludf.DUMMYFUNCTION("""COMPUTED_VALUE"""),6.0)</f>
        <v>6</v>
      </c>
      <c r="B490">
        <f>IFERROR(__xludf.DUMMYFUNCTION("""COMPUTED_VALUE"""),31157.0)</f>
        <v>31157</v>
      </c>
      <c r="C490" t="str">
        <f>IFERROR(__xludf.DUMMYFUNCTION("""COMPUTED_VALUE"""),"MILLAN HUERTAS, EMILIANO")</f>
        <v>MILLAN HUERTAS, EMILIANO</v>
      </c>
      <c r="D490" t="str">
        <f>IFERROR(__xludf.DUMMYFUNCTION("""COMPUTED_VALUE"""),"Math 6")</f>
        <v>Math 6</v>
      </c>
      <c r="E490" s="31">
        <f>IFERROR(__xludf.DUMMYFUNCTION("""COMPUTED_VALUE"""),5.0)</f>
        <v>5</v>
      </c>
      <c r="F490" s="8">
        <v>1.0</v>
      </c>
      <c r="G490" s="8">
        <v>1.0</v>
      </c>
      <c r="H490" s="8">
        <v>1.0</v>
      </c>
      <c r="I490" s="8">
        <v>1.0</v>
      </c>
      <c r="J490" s="8">
        <v>1.0</v>
      </c>
      <c r="K490" s="8">
        <v>1.0</v>
      </c>
      <c r="L490" s="8">
        <v>6.0</v>
      </c>
      <c r="M490" s="8"/>
      <c r="N490" s="8"/>
      <c r="O490" s="8" t="s">
        <v>721</v>
      </c>
      <c r="P490" s="8">
        <v>8.0</v>
      </c>
    </row>
    <row r="491">
      <c r="A491">
        <f>IFERROR(__xludf.DUMMYFUNCTION("""COMPUTED_VALUE"""),6.0)</f>
        <v>6</v>
      </c>
      <c r="B491">
        <f>IFERROR(__xludf.DUMMYFUNCTION("""COMPUTED_VALUE"""),31073.0)</f>
        <v>31073</v>
      </c>
      <c r="C491" t="str">
        <f>IFERROR(__xludf.DUMMYFUNCTION("""COMPUTED_VALUE"""),"MISAS MESA, RAFAEL")</f>
        <v>MISAS MESA, RAFAEL</v>
      </c>
      <c r="D491" t="str">
        <f>IFERROR(__xludf.DUMMYFUNCTION("""COMPUTED_VALUE"""),"Math 6A")</f>
        <v>Math 6A</v>
      </c>
      <c r="E491" s="31">
        <f>IFERROR(__xludf.DUMMYFUNCTION("""COMPUTED_VALUE"""),5.0)</f>
        <v>5</v>
      </c>
      <c r="F491" s="8">
        <v>1.0</v>
      </c>
      <c r="G491" s="8">
        <v>1.0</v>
      </c>
      <c r="H491" s="8">
        <v>1.0</v>
      </c>
      <c r="I491" s="8">
        <v>1.0</v>
      </c>
      <c r="J491" s="8">
        <v>1.0</v>
      </c>
      <c r="K491" s="8">
        <v>1.0</v>
      </c>
      <c r="L491" s="8">
        <v>6.0</v>
      </c>
      <c r="M491" s="8"/>
      <c r="N491" s="8"/>
      <c r="O491" s="8" t="s">
        <v>720</v>
      </c>
      <c r="P491" s="8" t="e">
        <v>#N/A</v>
      </c>
    </row>
    <row r="492">
      <c r="A492">
        <f>IFERROR(__xludf.DUMMYFUNCTION("""COMPUTED_VALUE"""),6.0)</f>
        <v>6</v>
      </c>
      <c r="B492">
        <f>IFERROR(__xludf.DUMMYFUNCTION("""COMPUTED_VALUE"""),31074.0)</f>
        <v>31074</v>
      </c>
      <c r="C492" t="str">
        <f>IFERROR(__xludf.DUMMYFUNCTION("""COMPUTED_VALUE"""),"MONTOYA BERNAL, FELIPE")</f>
        <v>MONTOYA BERNAL, FELIPE</v>
      </c>
      <c r="D492" t="str">
        <f>IFERROR(__xludf.DUMMYFUNCTION("""COMPUTED_VALUE"""),"Math 6A")</f>
        <v>Math 6A</v>
      </c>
      <c r="E492" s="31">
        <f>IFERROR(__xludf.DUMMYFUNCTION("""COMPUTED_VALUE"""),5.0)</f>
        <v>5</v>
      </c>
      <c r="F492" s="8">
        <v>1.0</v>
      </c>
      <c r="G492" s="8">
        <v>1.0</v>
      </c>
      <c r="H492" s="8">
        <v>1.0</v>
      </c>
      <c r="I492" s="8">
        <v>1.0</v>
      </c>
      <c r="J492" s="8">
        <v>1.0</v>
      </c>
      <c r="K492" s="8">
        <v>1.0</v>
      </c>
      <c r="L492" s="8">
        <v>6.0</v>
      </c>
      <c r="M492" s="8"/>
      <c r="N492" s="8"/>
      <c r="O492" s="8" t="s">
        <v>720</v>
      </c>
      <c r="P492" s="8" t="e">
        <v>#N/A</v>
      </c>
    </row>
    <row r="493">
      <c r="A493">
        <f>IFERROR(__xludf.DUMMYFUNCTION("""COMPUTED_VALUE"""),6.0)</f>
        <v>6</v>
      </c>
      <c r="B493">
        <f>IFERROR(__xludf.DUMMYFUNCTION("""COMPUTED_VALUE"""),31075.0)</f>
        <v>31075</v>
      </c>
      <c r="C493" t="str">
        <f>IFERROR(__xludf.DUMMYFUNCTION("""COMPUTED_VALUE"""),"MORENO MORENO, CARLOTA")</f>
        <v>MORENO MORENO, CARLOTA</v>
      </c>
      <c r="D493" t="str">
        <f>IFERROR(__xludf.DUMMYFUNCTION("""COMPUTED_VALUE"""),"Math 6")</f>
        <v>Math 6</v>
      </c>
      <c r="E493" s="31">
        <f>IFERROR(__xludf.DUMMYFUNCTION("""COMPUTED_VALUE"""),4.0)</f>
        <v>4</v>
      </c>
      <c r="F493" s="8">
        <v>1.0</v>
      </c>
      <c r="G493" s="8">
        <v>1.0</v>
      </c>
      <c r="H493" s="8">
        <v>1.0</v>
      </c>
      <c r="I493" s="8">
        <v>1.0</v>
      </c>
      <c r="J493" s="8">
        <v>1.0</v>
      </c>
      <c r="K493" s="8">
        <v>1.0</v>
      </c>
      <c r="L493" s="8">
        <v>6.0</v>
      </c>
      <c r="M493" s="8"/>
      <c r="N493" s="8"/>
      <c r="O493" s="8" t="s">
        <v>722</v>
      </c>
      <c r="P493" s="8">
        <v>8.0</v>
      </c>
    </row>
    <row r="494">
      <c r="A494">
        <f>IFERROR(__xludf.DUMMYFUNCTION("""COMPUTED_VALUE"""),6.0)</f>
        <v>6</v>
      </c>
      <c r="B494">
        <f>IFERROR(__xludf.DUMMYFUNCTION("""COMPUTED_VALUE"""),31076.0)</f>
        <v>31076</v>
      </c>
      <c r="C494" t="str">
        <f>IFERROR(__xludf.DUMMYFUNCTION("""COMPUTED_VALUE"""),"MORENO PALACIO, SIMON")</f>
        <v>MORENO PALACIO, SIMON</v>
      </c>
      <c r="D494" t="str">
        <f>IFERROR(__xludf.DUMMYFUNCTION("""COMPUTED_VALUE"""),"Math 6A")</f>
        <v>Math 6A</v>
      </c>
      <c r="E494" s="31">
        <f>IFERROR(__xludf.DUMMYFUNCTION("""COMPUTED_VALUE"""),5.0)</f>
        <v>5</v>
      </c>
      <c r="F494" s="8">
        <v>1.0</v>
      </c>
      <c r="G494" s="8">
        <v>1.0</v>
      </c>
      <c r="H494" s="8">
        <v>1.0</v>
      </c>
      <c r="I494" s="8">
        <v>1.0</v>
      </c>
      <c r="J494" s="8">
        <v>1.0</v>
      </c>
      <c r="K494" s="8">
        <v>1.0</v>
      </c>
      <c r="L494" s="8">
        <v>6.0</v>
      </c>
      <c r="M494" s="8"/>
      <c r="N494" s="8"/>
      <c r="O494" s="8" t="s">
        <v>720</v>
      </c>
      <c r="P494" s="8" t="e">
        <v>#N/A</v>
      </c>
    </row>
    <row r="495">
      <c r="A495">
        <f>IFERROR(__xludf.DUMMYFUNCTION("""COMPUTED_VALUE"""),6.0)</f>
        <v>6</v>
      </c>
      <c r="B495">
        <f>IFERROR(__xludf.DUMMYFUNCTION("""COMPUTED_VALUE"""),31077.0)</f>
        <v>31077</v>
      </c>
      <c r="C495" t="str">
        <f>IFERROR(__xludf.DUMMYFUNCTION("""COMPUTED_VALUE"""),"MUÑOZ JARAMILLO, MARIANA")</f>
        <v>MUÑOZ JARAMILLO, MARIANA</v>
      </c>
      <c r="D495" t="str">
        <f>IFERROR(__xludf.DUMMYFUNCTION("""COMPUTED_VALUE"""),"Math 6")</f>
        <v>Math 6</v>
      </c>
      <c r="E495" s="31">
        <f>IFERROR(__xludf.DUMMYFUNCTION("""COMPUTED_VALUE"""),3.0)</f>
        <v>3</v>
      </c>
      <c r="F495" s="8">
        <v>1.0</v>
      </c>
      <c r="G495" s="8">
        <v>1.0</v>
      </c>
      <c r="H495" s="8">
        <v>1.0</v>
      </c>
      <c r="I495" s="8">
        <v>1.0</v>
      </c>
      <c r="J495" s="8">
        <v>1.0</v>
      </c>
      <c r="K495" s="8">
        <v>1.0</v>
      </c>
      <c r="L495" s="8">
        <v>6.0</v>
      </c>
      <c r="M495" s="8"/>
      <c r="N495" s="8"/>
      <c r="O495" s="8" t="s">
        <v>717</v>
      </c>
      <c r="P495" s="8">
        <v>8.0</v>
      </c>
    </row>
    <row r="496">
      <c r="A496">
        <f>IFERROR(__xludf.DUMMYFUNCTION("""COMPUTED_VALUE"""),6.0)</f>
        <v>6</v>
      </c>
      <c r="B496">
        <f>IFERROR(__xludf.DUMMYFUNCTION("""COMPUTED_VALUE"""),31078.0)</f>
        <v>31078</v>
      </c>
      <c r="C496" t="str">
        <f>IFERROR(__xludf.DUMMYFUNCTION("""COMPUTED_VALUE"""),"NAVARRO ABAD, FERNANDA")</f>
        <v>NAVARRO ABAD, FERNANDA</v>
      </c>
      <c r="D496" t="str">
        <f>IFERROR(__xludf.DUMMYFUNCTION("""COMPUTED_VALUE"""),"Math 6A")</f>
        <v>Math 6A</v>
      </c>
      <c r="E496" s="31">
        <f>IFERROR(__xludf.DUMMYFUNCTION("""COMPUTED_VALUE"""),5.0)</f>
        <v>5</v>
      </c>
      <c r="F496" s="8">
        <v>1.0</v>
      </c>
      <c r="G496" s="8">
        <v>1.0</v>
      </c>
      <c r="H496" s="8">
        <v>1.0</v>
      </c>
      <c r="I496" s="8">
        <v>1.0</v>
      </c>
      <c r="J496" s="8">
        <v>1.0</v>
      </c>
      <c r="K496" s="8">
        <v>1.0</v>
      </c>
      <c r="L496" s="8">
        <v>6.0</v>
      </c>
      <c r="M496" s="8"/>
      <c r="N496" s="8"/>
      <c r="O496" s="8" t="s">
        <v>720</v>
      </c>
      <c r="P496" s="8" t="e">
        <v>#N/A</v>
      </c>
    </row>
    <row r="497">
      <c r="A497">
        <f>IFERROR(__xludf.DUMMYFUNCTION("""COMPUTED_VALUE"""),6.0)</f>
        <v>6</v>
      </c>
      <c r="B497">
        <f>IFERROR(__xludf.DUMMYFUNCTION("""COMPUTED_VALUE"""),31079.0)</f>
        <v>31079</v>
      </c>
      <c r="C497" t="str">
        <f>IFERROR(__xludf.DUMMYFUNCTION("""COMPUTED_VALUE"""),"OBERTI FRANCO, LINDA")</f>
        <v>OBERTI FRANCO, LINDA</v>
      </c>
      <c r="D497" t="str">
        <f>IFERROR(__xludf.DUMMYFUNCTION("""COMPUTED_VALUE"""),"Math 6")</f>
        <v>Math 6</v>
      </c>
      <c r="E497" s="31">
        <f>IFERROR(__xludf.DUMMYFUNCTION("""COMPUTED_VALUE"""),6.0)</f>
        <v>6</v>
      </c>
      <c r="F497" s="8">
        <v>1.0</v>
      </c>
      <c r="G497" s="8">
        <v>1.0</v>
      </c>
      <c r="H497" s="8">
        <v>1.0</v>
      </c>
      <c r="I497" s="8">
        <v>1.0</v>
      </c>
      <c r="J497" s="8">
        <v>1.0</v>
      </c>
      <c r="K497" s="8">
        <v>1.0</v>
      </c>
      <c r="L497" s="8">
        <v>6.0</v>
      </c>
      <c r="M497" s="8"/>
      <c r="N497" s="8"/>
      <c r="O497" s="8" t="s">
        <v>718</v>
      </c>
      <c r="P497" s="8">
        <v>8.0</v>
      </c>
    </row>
    <row r="498">
      <c r="A498">
        <f>IFERROR(__xludf.DUMMYFUNCTION("""COMPUTED_VALUE"""),6.0)</f>
        <v>6</v>
      </c>
      <c r="B498">
        <f>IFERROR(__xludf.DUMMYFUNCTION("""COMPUTED_VALUE"""),31080.0)</f>
        <v>31080</v>
      </c>
      <c r="C498" t="str">
        <f>IFERROR(__xludf.DUMMYFUNCTION("""COMPUTED_VALUE"""),"OCAMPO CEBALLOS, RAFAEL")</f>
        <v>OCAMPO CEBALLOS, RAFAEL</v>
      </c>
      <c r="D498" t="str">
        <f>IFERROR(__xludf.DUMMYFUNCTION("""COMPUTED_VALUE"""),"Math 6")</f>
        <v>Math 6</v>
      </c>
      <c r="E498" s="31">
        <f>IFERROR(__xludf.DUMMYFUNCTION("""COMPUTED_VALUE"""),4.0)</f>
        <v>4</v>
      </c>
      <c r="F498" s="8">
        <v>1.0</v>
      </c>
      <c r="G498" s="8">
        <v>1.0</v>
      </c>
      <c r="H498" s="8">
        <v>1.0</v>
      </c>
      <c r="I498" s="8">
        <v>1.0</v>
      </c>
      <c r="J498" s="8">
        <v>1.0</v>
      </c>
      <c r="K498" s="8">
        <v>1.0</v>
      </c>
      <c r="L498" s="8">
        <v>6.0</v>
      </c>
      <c r="M498" s="8"/>
      <c r="N498" s="8"/>
      <c r="O498" s="8" t="s">
        <v>722</v>
      </c>
      <c r="P498" s="8">
        <v>8.0</v>
      </c>
    </row>
    <row r="499">
      <c r="A499">
        <f>IFERROR(__xludf.DUMMYFUNCTION("""COMPUTED_VALUE"""),6.0)</f>
        <v>6</v>
      </c>
      <c r="B499">
        <f>IFERROR(__xludf.DUMMYFUNCTION("""COMPUTED_VALUE"""),31081.0)</f>
        <v>31081</v>
      </c>
      <c r="C499" t="str">
        <f>IFERROR(__xludf.DUMMYFUNCTION("""COMPUTED_VALUE"""),"OROZCO MONTOYA, MARTINA")</f>
        <v>OROZCO MONTOYA, MARTINA</v>
      </c>
      <c r="D499" t="str">
        <f>IFERROR(__xludf.DUMMYFUNCTION("""COMPUTED_VALUE"""),"Math 6")</f>
        <v>Math 6</v>
      </c>
      <c r="E499" s="31">
        <f>IFERROR(__xludf.DUMMYFUNCTION("""COMPUTED_VALUE"""),4.0)</f>
        <v>4</v>
      </c>
      <c r="F499" s="8">
        <v>1.0</v>
      </c>
      <c r="G499" s="8">
        <v>1.0</v>
      </c>
      <c r="H499" s="8">
        <v>1.0</v>
      </c>
      <c r="I499" s="8">
        <v>1.0</v>
      </c>
      <c r="J499" s="8">
        <v>1.0</v>
      </c>
      <c r="K499" s="8">
        <v>1.0</v>
      </c>
      <c r="L499" s="8">
        <v>6.0</v>
      </c>
      <c r="M499" s="8"/>
      <c r="N499" s="8"/>
      <c r="O499" s="8" t="s">
        <v>722</v>
      </c>
      <c r="P499" s="8">
        <v>8.0</v>
      </c>
    </row>
    <row r="500">
      <c r="A500">
        <f>IFERROR(__xludf.DUMMYFUNCTION("""COMPUTED_VALUE"""),6.0)</f>
        <v>6</v>
      </c>
      <c r="B500">
        <f>IFERROR(__xludf.DUMMYFUNCTION("""COMPUTED_VALUE"""),31082.0)</f>
        <v>31082</v>
      </c>
      <c r="C500" t="str">
        <f>IFERROR(__xludf.DUMMYFUNCTION("""COMPUTED_VALUE"""),"ORTIZ MOLINA, MARTINA")</f>
        <v>ORTIZ MOLINA, MARTINA</v>
      </c>
      <c r="D500" t="str">
        <f>IFERROR(__xludf.DUMMYFUNCTION("""COMPUTED_VALUE"""),"Math 6")</f>
        <v>Math 6</v>
      </c>
      <c r="E500" s="31">
        <f>IFERROR(__xludf.DUMMYFUNCTION("""COMPUTED_VALUE"""),3.0)</f>
        <v>3</v>
      </c>
      <c r="F500" s="8">
        <v>1.0</v>
      </c>
      <c r="G500" s="8">
        <v>1.0</v>
      </c>
      <c r="H500" s="8">
        <v>1.0</v>
      </c>
      <c r="I500" s="8">
        <v>1.0</v>
      </c>
      <c r="J500" s="8">
        <v>1.0</v>
      </c>
      <c r="K500" s="8">
        <v>1.0</v>
      </c>
      <c r="L500" s="8">
        <v>6.0</v>
      </c>
      <c r="M500" s="8"/>
      <c r="N500" s="8"/>
      <c r="O500" s="8" t="s">
        <v>717</v>
      </c>
      <c r="P500" s="8">
        <v>8.0</v>
      </c>
    </row>
    <row r="501">
      <c r="A501">
        <f>IFERROR(__xludf.DUMMYFUNCTION("""COMPUTED_VALUE"""),6.0)</f>
        <v>6</v>
      </c>
      <c r="B501">
        <f>IFERROR(__xludf.DUMMYFUNCTION("""COMPUTED_VALUE"""),31083.0)</f>
        <v>31083</v>
      </c>
      <c r="C501" t="str">
        <f>IFERROR(__xludf.DUMMYFUNCTION("""COMPUTED_VALUE"""),"OSORIO GARCIA, JERONIMO")</f>
        <v>OSORIO GARCIA, JERONIMO</v>
      </c>
      <c r="D501" t="str">
        <f>IFERROR(__xludf.DUMMYFUNCTION("""COMPUTED_VALUE"""),"Math 6")</f>
        <v>Math 6</v>
      </c>
      <c r="E501" s="31">
        <f>IFERROR(__xludf.DUMMYFUNCTION("""COMPUTED_VALUE"""),5.0)</f>
        <v>5</v>
      </c>
      <c r="F501" s="8">
        <v>1.0</v>
      </c>
      <c r="G501" s="8">
        <v>1.0</v>
      </c>
      <c r="H501" s="8">
        <v>1.0</v>
      </c>
      <c r="I501" s="8">
        <v>1.0</v>
      </c>
      <c r="J501" s="8">
        <v>1.0</v>
      </c>
      <c r="K501" s="8">
        <v>1.0</v>
      </c>
      <c r="L501" s="8">
        <v>6.0</v>
      </c>
      <c r="M501" s="8"/>
      <c r="N501" s="8"/>
      <c r="O501" s="8" t="s">
        <v>721</v>
      </c>
      <c r="P501" s="8">
        <v>8.0</v>
      </c>
    </row>
    <row r="502">
      <c r="A502">
        <f>IFERROR(__xludf.DUMMYFUNCTION("""COMPUTED_VALUE"""),6.0)</f>
        <v>6</v>
      </c>
      <c r="B502">
        <f>IFERROR(__xludf.DUMMYFUNCTION("""COMPUTED_VALUE"""),31084.0)</f>
        <v>31084</v>
      </c>
      <c r="C502" t="str">
        <f>IFERROR(__xludf.DUMMYFUNCTION("""COMPUTED_VALUE"""),"OSORIO MARIN, GABRIELA")</f>
        <v>OSORIO MARIN, GABRIELA</v>
      </c>
      <c r="D502" t="str">
        <f>IFERROR(__xludf.DUMMYFUNCTION("""COMPUTED_VALUE"""),"Math 6")</f>
        <v>Math 6</v>
      </c>
      <c r="E502" s="31">
        <f>IFERROR(__xludf.DUMMYFUNCTION("""COMPUTED_VALUE"""),3.0)</f>
        <v>3</v>
      </c>
      <c r="F502" s="8">
        <v>1.0</v>
      </c>
      <c r="G502" s="8">
        <v>1.0</v>
      </c>
      <c r="H502" s="8">
        <v>1.0</v>
      </c>
      <c r="I502" s="8">
        <v>1.0</v>
      </c>
      <c r="J502" s="8">
        <v>1.0</v>
      </c>
      <c r="K502" s="8">
        <v>1.0</v>
      </c>
      <c r="L502" s="8">
        <v>6.0</v>
      </c>
      <c r="M502" s="8"/>
      <c r="N502" s="8"/>
      <c r="O502" s="8" t="s">
        <v>717</v>
      </c>
      <c r="P502" s="8">
        <v>8.0</v>
      </c>
    </row>
    <row r="503">
      <c r="A503">
        <f>IFERROR(__xludf.DUMMYFUNCTION("""COMPUTED_VALUE"""),6.0)</f>
        <v>6</v>
      </c>
      <c r="B503">
        <f>IFERROR(__xludf.DUMMYFUNCTION("""COMPUTED_VALUE"""),31085.0)</f>
        <v>31085</v>
      </c>
      <c r="C503" t="str">
        <f>IFERROR(__xludf.DUMMYFUNCTION("""COMPUTED_VALUE"""),"OSORIO QUINTERO, SALOME")</f>
        <v>OSORIO QUINTERO, SALOME</v>
      </c>
      <c r="D503" t="str">
        <f>IFERROR(__xludf.DUMMYFUNCTION("""COMPUTED_VALUE"""),"Math 6")</f>
        <v>Math 6</v>
      </c>
      <c r="E503" s="31">
        <f>IFERROR(__xludf.DUMMYFUNCTION("""COMPUTED_VALUE"""),5.0)</f>
        <v>5</v>
      </c>
      <c r="F503" s="8">
        <v>1.0</v>
      </c>
      <c r="G503" s="8">
        <v>1.0</v>
      </c>
      <c r="H503" s="8">
        <v>1.0</v>
      </c>
      <c r="I503" s="8">
        <v>1.0</v>
      </c>
      <c r="J503" s="8">
        <v>1.0</v>
      </c>
      <c r="K503" s="8">
        <v>1.0</v>
      </c>
      <c r="L503" s="8">
        <v>6.0</v>
      </c>
      <c r="M503" s="8"/>
      <c r="N503" s="8"/>
      <c r="O503" s="8" t="s">
        <v>721</v>
      </c>
      <c r="P503" s="8">
        <v>8.0</v>
      </c>
    </row>
    <row r="504">
      <c r="A504">
        <f>IFERROR(__xludf.DUMMYFUNCTION("""COMPUTED_VALUE"""),6.0)</f>
        <v>6</v>
      </c>
      <c r="B504">
        <f>IFERROR(__xludf.DUMMYFUNCTION("""COMPUTED_VALUE"""),31158.0)</f>
        <v>31158</v>
      </c>
      <c r="C504" t="str">
        <f>IFERROR(__xludf.DUMMYFUNCTION("""COMPUTED_VALUE"""),"OSORIO RUIZ, AMELIA")</f>
        <v>OSORIO RUIZ, AMELIA</v>
      </c>
      <c r="D504" t="str">
        <f>IFERROR(__xludf.DUMMYFUNCTION("""COMPUTED_VALUE"""),"Math 6")</f>
        <v>Math 6</v>
      </c>
      <c r="E504" s="31">
        <f>IFERROR(__xludf.DUMMYFUNCTION("""COMPUTED_VALUE"""),5.0)</f>
        <v>5</v>
      </c>
      <c r="F504" s="8">
        <v>1.0</v>
      </c>
      <c r="G504" s="8">
        <v>1.0</v>
      </c>
      <c r="H504" s="8">
        <v>1.0</v>
      </c>
      <c r="I504" s="8">
        <v>1.0</v>
      </c>
      <c r="J504" s="8">
        <v>1.0</v>
      </c>
      <c r="K504" s="8">
        <v>1.0</v>
      </c>
      <c r="L504" s="8">
        <v>6.0</v>
      </c>
      <c r="M504" s="8"/>
      <c r="N504" s="8"/>
      <c r="O504" s="8" t="s">
        <v>721</v>
      </c>
      <c r="P504" s="8">
        <v>8.0</v>
      </c>
    </row>
    <row r="505">
      <c r="A505">
        <f>IFERROR(__xludf.DUMMYFUNCTION("""COMPUTED_VALUE"""),6.0)</f>
        <v>6</v>
      </c>
      <c r="B505">
        <f>IFERROR(__xludf.DUMMYFUNCTION("""COMPUTED_VALUE"""),31086.0)</f>
        <v>31086</v>
      </c>
      <c r="C505" t="str">
        <f>IFERROR(__xludf.DUMMYFUNCTION("""COMPUTED_VALUE"""),"PATERNINA SALDARRIAGA, SOFIA")</f>
        <v>PATERNINA SALDARRIAGA, SOFIA</v>
      </c>
      <c r="D505" t="str">
        <f>IFERROR(__xludf.DUMMYFUNCTION("""COMPUTED_VALUE"""),"Math 6")</f>
        <v>Math 6</v>
      </c>
      <c r="E505" s="31">
        <f>IFERROR(__xludf.DUMMYFUNCTION("""COMPUTED_VALUE"""),6.0)</f>
        <v>6</v>
      </c>
      <c r="F505" s="8">
        <v>1.0</v>
      </c>
      <c r="G505" s="8">
        <v>1.0</v>
      </c>
      <c r="H505" s="8">
        <v>1.0</v>
      </c>
      <c r="I505" s="8">
        <v>1.0</v>
      </c>
      <c r="J505" s="8">
        <v>1.0</v>
      </c>
      <c r="K505" s="8">
        <v>1.0</v>
      </c>
      <c r="L505" s="8">
        <v>6.0</v>
      </c>
      <c r="M505" s="8"/>
      <c r="N505" s="8"/>
      <c r="O505" s="8" t="s">
        <v>718</v>
      </c>
      <c r="P505" s="8">
        <v>8.0</v>
      </c>
    </row>
    <row r="506">
      <c r="A506">
        <f>IFERROR(__xludf.DUMMYFUNCTION("""COMPUTED_VALUE"""),6.0)</f>
        <v>6</v>
      </c>
      <c r="B506">
        <f>IFERROR(__xludf.DUMMYFUNCTION("""COMPUTED_VALUE"""),31087.0)</f>
        <v>31087</v>
      </c>
      <c r="C506" t="str">
        <f>IFERROR(__xludf.DUMMYFUNCTION("""COMPUTED_VALUE"""),"PEAK DUQUE, NICOLE")</f>
        <v>PEAK DUQUE, NICOLE</v>
      </c>
      <c r="D506" t="str">
        <f>IFERROR(__xludf.DUMMYFUNCTION("""COMPUTED_VALUE"""),"Math 6")</f>
        <v>Math 6</v>
      </c>
      <c r="E506" s="31">
        <f>IFERROR(__xludf.DUMMYFUNCTION("""COMPUTED_VALUE"""),6.0)</f>
        <v>6</v>
      </c>
      <c r="F506" s="8">
        <v>1.0</v>
      </c>
      <c r="G506" s="8">
        <v>1.0</v>
      </c>
      <c r="H506" s="8">
        <v>1.0</v>
      </c>
      <c r="I506" s="8">
        <v>1.0</v>
      </c>
      <c r="J506" s="8">
        <v>1.0</v>
      </c>
      <c r="K506" s="8">
        <v>1.0</v>
      </c>
      <c r="L506" s="8">
        <v>6.0</v>
      </c>
      <c r="M506" s="8"/>
      <c r="N506" s="8"/>
      <c r="O506" s="8" t="s">
        <v>718</v>
      </c>
      <c r="P506" s="8">
        <v>8.0</v>
      </c>
    </row>
    <row r="507">
      <c r="A507">
        <f>IFERROR(__xludf.DUMMYFUNCTION("""COMPUTED_VALUE"""),6.0)</f>
        <v>6</v>
      </c>
      <c r="B507">
        <f>IFERROR(__xludf.DUMMYFUNCTION("""COMPUTED_VALUE"""),31089.0)</f>
        <v>31089</v>
      </c>
      <c r="C507" t="str">
        <f>IFERROR(__xludf.DUMMYFUNCTION("""COMPUTED_VALUE"""),"PELAEZ BORDA, DAVID")</f>
        <v>PELAEZ BORDA, DAVID</v>
      </c>
      <c r="D507" t="str">
        <f>IFERROR(__xludf.DUMMYFUNCTION("""COMPUTED_VALUE"""),"Math 6")</f>
        <v>Math 6</v>
      </c>
      <c r="E507" s="31">
        <f>IFERROR(__xludf.DUMMYFUNCTION("""COMPUTED_VALUE"""),4.0)</f>
        <v>4</v>
      </c>
      <c r="F507" s="8">
        <v>1.0</v>
      </c>
      <c r="G507" s="8">
        <v>1.0</v>
      </c>
      <c r="H507" s="8">
        <v>1.0</v>
      </c>
      <c r="I507" s="8">
        <v>1.0</v>
      </c>
      <c r="J507" s="8">
        <v>1.0</v>
      </c>
      <c r="K507" s="8">
        <v>1.0</v>
      </c>
      <c r="L507" s="8">
        <v>6.0</v>
      </c>
      <c r="M507" s="8"/>
      <c r="N507" s="8"/>
      <c r="O507" s="8" t="s">
        <v>722</v>
      </c>
      <c r="P507" s="8">
        <v>8.0</v>
      </c>
    </row>
    <row r="508">
      <c r="A508">
        <f>IFERROR(__xludf.DUMMYFUNCTION("""COMPUTED_VALUE"""),6.0)</f>
        <v>6</v>
      </c>
      <c r="B508">
        <f>IFERROR(__xludf.DUMMYFUNCTION("""COMPUTED_VALUE"""),31088.0)</f>
        <v>31088</v>
      </c>
      <c r="C508" t="str">
        <f>IFERROR(__xludf.DUMMYFUNCTION("""COMPUTED_VALUE"""),"PELAEZ BOTERO, AMELIA")</f>
        <v>PELAEZ BOTERO, AMELIA</v>
      </c>
      <c r="D508" t="str">
        <f>IFERROR(__xludf.DUMMYFUNCTION("""COMPUTED_VALUE"""),"Math 6")</f>
        <v>Math 6</v>
      </c>
      <c r="E508" s="31">
        <f>IFERROR(__xludf.DUMMYFUNCTION("""COMPUTED_VALUE"""),3.0)</f>
        <v>3</v>
      </c>
      <c r="F508" s="8">
        <v>1.0</v>
      </c>
      <c r="G508" s="8">
        <v>1.0</v>
      </c>
      <c r="H508" s="8">
        <v>1.0</v>
      </c>
      <c r="I508" s="8">
        <v>1.0</v>
      </c>
      <c r="J508" s="8">
        <v>1.0</v>
      </c>
      <c r="K508" s="8">
        <v>1.0</v>
      </c>
      <c r="L508" s="8">
        <v>6.0</v>
      </c>
      <c r="M508" s="8"/>
      <c r="N508" s="8"/>
      <c r="O508" s="8" t="s">
        <v>717</v>
      </c>
      <c r="P508" s="8">
        <v>8.0</v>
      </c>
    </row>
    <row r="509">
      <c r="A509">
        <f>IFERROR(__xludf.DUMMYFUNCTION("""COMPUTED_VALUE"""),6.0)</f>
        <v>6</v>
      </c>
      <c r="B509">
        <f>IFERROR(__xludf.DUMMYFUNCTION("""COMPUTED_VALUE"""),31090.0)</f>
        <v>31090</v>
      </c>
      <c r="C509" t="str">
        <f>IFERROR(__xludf.DUMMYFUNCTION("""COMPUTED_VALUE"""),"PELAEZ PIEDRAHITA, EMILIO")</f>
        <v>PELAEZ PIEDRAHITA, EMILIO</v>
      </c>
      <c r="D509" t="str">
        <f>IFERROR(__xludf.DUMMYFUNCTION("""COMPUTED_VALUE"""),"Math 6A")</f>
        <v>Math 6A</v>
      </c>
      <c r="E509" s="31">
        <f>IFERROR(__xludf.DUMMYFUNCTION("""COMPUTED_VALUE"""),5.0)</f>
        <v>5</v>
      </c>
      <c r="F509" s="8">
        <v>1.0</v>
      </c>
      <c r="G509" s="8">
        <v>1.0</v>
      </c>
      <c r="H509" s="8">
        <v>1.0</v>
      </c>
      <c r="I509" s="8">
        <v>1.0</v>
      </c>
      <c r="J509" s="8">
        <v>1.0</v>
      </c>
      <c r="K509" s="8">
        <v>1.0</v>
      </c>
      <c r="L509" s="8">
        <v>6.0</v>
      </c>
      <c r="M509" s="8"/>
      <c r="N509" s="8"/>
      <c r="O509" s="8" t="s">
        <v>720</v>
      </c>
      <c r="P509" s="8" t="e">
        <v>#N/A</v>
      </c>
    </row>
    <row r="510">
      <c r="A510">
        <f>IFERROR(__xludf.DUMMYFUNCTION("""COMPUTED_VALUE"""),6.0)</f>
        <v>6</v>
      </c>
      <c r="B510">
        <f>IFERROR(__xludf.DUMMYFUNCTION("""COMPUTED_VALUE"""),31092.0)</f>
        <v>31092</v>
      </c>
      <c r="C510" t="str">
        <f>IFERROR(__xludf.DUMMYFUNCTION("""COMPUTED_VALUE"""),"PEREZ DUQUE, JULIA")</f>
        <v>PEREZ DUQUE, JULIA</v>
      </c>
      <c r="D510" t="str">
        <f>IFERROR(__xludf.DUMMYFUNCTION("""COMPUTED_VALUE"""),"Math 6")</f>
        <v>Math 6</v>
      </c>
      <c r="E510" s="31">
        <f>IFERROR(__xludf.DUMMYFUNCTION("""COMPUTED_VALUE"""),1.0)</f>
        <v>1</v>
      </c>
      <c r="F510" s="8">
        <v>1.0</v>
      </c>
      <c r="G510" s="8">
        <v>1.0</v>
      </c>
      <c r="H510" s="8">
        <v>1.0</v>
      </c>
      <c r="I510" s="8">
        <v>1.0</v>
      </c>
      <c r="J510" s="8">
        <v>1.0</v>
      </c>
      <c r="K510" s="8">
        <v>1.0</v>
      </c>
      <c r="L510" s="8">
        <v>6.0</v>
      </c>
      <c r="M510" s="8"/>
      <c r="N510" s="8"/>
      <c r="O510" s="8" t="s">
        <v>719</v>
      </c>
      <c r="P510" s="8">
        <v>8.0</v>
      </c>
    </row>
    <row r="511">
      <c r="A511">
        <f>IFERROR(__xludf.DUMMYFUNCTION("""COMPUTED_VALUE"""),6.0)</f>
        <v>6</v>
      </c>
      <c r="B511">
        <f>IFERROR(__xludf.DUMMYFUNCTION("""COMPUTED_VALUE"""),31091.0)</f>
        <v>31091</v>
      </c>
      <c r="C511" t="str">
        <f>IFERROR(__xludf.DUMMYFUNCTION("""COMPUTED_VALUE"""),"PEREZ OTERO, ALEJANDRO")</f>
        <v>PEREZ OTERO, ALEJANDRO</v>
      </c>
      <c r="D511" t="str">
        <f>IFERROR(__xludf.DUMMYFUNCTION("""COMPUTED_VALUE"""),"Math 6")</f>
        <v>Math 6</v>
      </c>
      <c r="E511" s="31">
        <f>IFERROR(__xludf.DUMMYFUNCTION("""COMPUTED_VALUE"""),4.0)</f>
        <v>4</v>
      </c>
      <c r="F511" s="8">
        <v>1.0</v>
      </c>
      <c r="G511" s="8">
        <v>1.0</v>
      </c>
      <c r="H511" s="8">
        <v>1.0</v>
      </c>
      <c r="I511" s="8">
        <v>1.0</v>
      </c>
      <c r="J511" s="8">
        <v>1.0</v>
      </c>
      <c r="K511" s="8">
        <v>1.0</v>
      </c>
      <c r="L511" s="8">
        <v>6.0</v>
      </c>
      <c r="M511" s="8"/>
      <c r="N511" s="8"/>
      <c r="O511" s="8" t="s">
        <v>722</v>
      </c>
      <c r="P511" s="8">
        <v>8.0</v>
      </c>
    </row>
    <row r="512">
      <c r="A512">
        <f>IFERROR(__xludf.DUMMYFUNCTION("""COMPUTED_VALUE"""),6.0)</f>
        <v>6</v>
      </c>
      <c r="B512">
        <f>IFERROR(__xludf.DUMMYFUNCTION("""COMPUTED_VALUE"""),31160.0)</f>
        <v>31160</v>
      </c>
      <c r="C512" t="str">
        <f>IFERROR(__xludf.DUMMYFUNCTION("""COMPUTED_VALUE"""),"PFORTNER CASTRO, MORITZ")</f>
        <v>PFORTNER CASTRO, MORITZ</v>
      </c>
      <c r="D512" t="str">
        <f>IFERROR(__xludf.DUMMYFUNCTION("""COMPUTED_VALUE"""),"Math 6")</f>
        <v>Math 6</v>
      </c>
      <c r="E512" s="31">
        <f>IFERROR(__xludf.DUMMYFUNCTION("""COMPUTED_VALUE"""),4.0)</f>
        <v>4</v>
      </c>
      <c r="F512" s="8">
        <v>1.0</v>
      </c>
      <c r="G512" s="8">
        <v>1.0</v>
      </c>
      <c r="H512" s="8">
        <v>1.0</v>
      </c>
      <c r="I512" s="8">
        <v>1.0</v>
      </c>
      <c r="J512" s="8">
        <v>1.0</v>
      </c>
      <c r="K512" s="8">
        <v>1.0</v>
      </c>
      <c r="L512" s="8">
        <v>6.0</v>
      </c>
      <c r="M512" s="8"/>
      <c r="N512" s="8"/>
      <c r="O512" s="8" t="s">
        <v>722</v>
      </c>
      <c r="P512" s="8">
        <v>8.0</v>
      </c>
    </row>
    <row r="513">
      <c r="A513">
        <f>IFERROR(__xludf.DUMMYFUNCTION("""COMPUTED_VALUE"""),6.0)</f>
        <v>6</v>
      </c>
      <c r="B513">
        <f>IFERROR(__xludf.DUMMYFUNCTION("""COMPUTED_VALUE"""),31093.0)</f>
        <v>31093</v>
      </c>
      <c r="C513" t="str">
        <f>IFERROR(__xludf.DUMMYFUNCTION("""COMPUTED_VALUE"""),"PICO RUEDA, SEBASTIAN")</f>
        <v>PICO RUEDA, SEBASTIAN</v>
      </c>
      <c r="D513" t="str">
        <f>IFERROR(__xludf.DUMMYFUNCTION("""COMPUTED_VALUE"""),"Math 6A")</f>
        <v>Math 6A</v>
      </c>
      <c r="E513" s="31">
        <f>IFERROR(__xludf.DUMMYFUNCTION("""COMPUTED_VALUE"""),5.0)</f>
        <v>5</v>
      </c>
      <c r="F513" s="8">
        <v>1.0</v>
      </c>
      <c r="G513" s="8">
        <v>1.0</v>
      </c>
      <c r="H513" s="8">
        <v>1.0</v>
      </c>
      <c r="I513" s="8">
        <v>1.0</v>
      </c>
      <c r="J513" s="8">
        <v>1.0</v>
      </c>
      <c r="K513" s="8">
        <v>1.0</v>
      </c>
      <c r="L513" s="8">
        <v>6.0</v>
      </c>
      <c r="M513" s="8"/>
      <c r="N513" s="8"/>
      <c r="O513" s="8" t="s">
        <v>720</v>
      </c>
      <c r="P513" s="8" t="e">
        <v>#N/A</v>
      </c>
    </row>
    <row r="514">
      <c r="A514">
        <f>IFERROR(__xludf.DUMMYFUNCTION("""COMPUTED_VALUE"""),6.0)</f>
        <v>6</v>
      </c>
      <c r="B514">
        <f>IFERROR(__xludf.DUMMYFUNCTION("""COMPUTED_VALUE"""),31095.0)</f>
        <v>31095</v>
      </c>
      <c r="C514" t="str">
        <f>IFERROR(__xludf.DUMMYFUNCTION("""COMPUTED_VALUE"""),"PINEDA ARANGO, MARTINA")</f>
        <v>PINEDA ARANGO, MARTINA</v>
      </c>
      <c r="D514" t="str">
        <f>IFERROR(__xludf.DUMMYFUNCTION("""COMPUTED_VALUE"""),"Math 6")</f>
        <v>Math 6</v>
      </c>
      <c r="E514" s="31">
        <f>IFERROR(__xludf.DUMMYFUNCTION("""COMPUTED_VALUE"""),1.0)</f>
        <v>1</v>
      </c>
      <c r="F514" s="8">
        <v>1.0</v>
      </c>
      <c r="G514" s="8">
        <v>1.0</v>
      </c>
      <c r="H514" s="8">
        <v>1.0</v>
      </c>
      <c r="I514" s="8">
        <v>1.0</v>
      </c>
      <c r="J514" s="8">
        <v>1.0</v>
      </c>
      <c r="K514" s="8">
        <v>1.0</v>
      </c>
      <c r="L514" s="8">
        <v>6.0</v>
      </c>
      <c r="M514" s="8"/>
      <c r="N514" s="8"/>
      <c r="O514" s="8" t="s">
        <v>719</v>
      </c>
      <c r="P514" s="8">
        <v>8.0</v>
      </c>
    </row>
    <row r="515">
      <c r="A515">
        <f>IFERROR(__xludf.DUMMYFUNCTION("""COMPUTED_VALUE"""),6.0)</f>
        <v>6</v>
      </c>
      <c r="B515">
        <f>IFERROR(__xludf.DUMMYFUNCTION("""COMPUTED_VALUE"""),31096.0)</f>
        <v>31096</v>
      </c>
      <c r="C515" t="str">
        <f>IFERROR(__xludf.DUMMYFUNCTION("""COMPUTED_VALUE"""),"POSADA FERNANDEZ, ALICIA")</f>
        <v>POSADA FERNANDEZ, ALICIA</v>
      </c>
      <c r="D515" t="str">
        <f>IFERROR(__xludf.DUMMYFUNCTION("""COMPUTED_VALUE"""),"Math 6")</f>
        <v>Math 6</v>
      </c>
      <c r="E515" s="31">
        <f>IFERROR(__xludf.DUMMYFUNCTION("""COMPUTED_VALUE"""),1.0)</f>
        <v>1</v>
      </c>
      <c r="F515" s="8">
        <v>1.0</v>
      </c>
      <c r="G515" s="8">
        <v>1.0</v>
      </c>
      <c r="H515" s="8">
        <v>1.0</v>
      </c>
      <c r="I515" s="8">
        <v>1.0</v>
      </c>
      <c r="J515" s="8">
        <v>1.0</v>
      </c>
      <c r="K515" s="8">
        <v>1.0</v>
      </c>
      <c r="L515" s="8">
        <v>6.0</v>
      </c>
      <c r="M515" s="8"/>
      <c r="N515" s="8"/>
      <c r="O515" s="8" t="s">
        <v>719</v>
      </c>
      <c r="P515" s="8">
        <v>8.0</v>
      </c>
    </row>
    <row r="516">
      <c r="A516">
        <f>IFERROR(__xludf.DUMMYFUNCTION("""COMPUTED_VALUE"""),6.0)</f>
        <v>6</v>
      </c>
      <c r="B516">
        <f>IFERROR(__xludf.DUMMYFUNCTION("""COMPUTED_VALUE"""),31097.0)</f>
        <v>31097</v>
      </c>
      <c r="C516" t="str">
        <f>IFERROR(__xludf.DUMMYFUNCTION("""COMPUTED_VALUE"""),"PUYO TORO, ELENA")</f>
        <v>PUYO TORO, ELENA</v>
      </c>
      <c r="D516" t="str">
        <f>IFERROR(__xludf.DUMMYFUNCTION("""COMPUTED_VALUE"""),"Math 6")</f>
        <v>Math 6</v>
      </c>
      <c r="E516" s="31">
        <f>IFERROR(__xludf.DUMMYFUNCTION("""COMPUTED_VALUE"""),3.0)</f>
        <v>3</v>
      </c>
      <c r="F516" s="8">
        <v>1.0</v>
      </c>
      <c r="G516" s="8">
        <v>1.0</v>
      </c>
      <c r="H516" s="8">
        <v>1.0</v>
      </c>
      <c r="I516" s="8">
        <v>1.0</v>
      </c>
      <c r="J516" s="8">
        <v>1.0</v>
      </c>
      <c r="K516" s="8">
        <v>1.0</v>
      </c>
      <c r="L516" s="8">
        <v>6.0</v>
      </c>
      <c r="M516" s="8"/>
      <c r="N516" s="8"/>
      <c r="O516" s="8" t="s">
        <v>717</v>
      </c>
      <c r="P516" s="8">
        <v>8.0</v>
      </c>
    </row>
    <row r="517">
      <c r="A517">
        <f>IFERROR(__xludf.DUMMYFUNCTION("""COMPUTED_VALUE"""),6.0)</f>
        <v>6</v>
      </c>
      <c r="B517">
        <f>IFERROR(__xludf.DUMMYFUNCTION("""COMPUTED_VALUE"""),31098.0)</f>
        <v>31098</v>
      </c>
      <c r="C517" t="str">
        <f>IFERROR(__xludf.DUMMYFUNCTION("""COMPUTED_VALUE"""),"QUINTERO DARBY, VIOLETA")</f>
        <v>QUINTERO DARBY, VIOLETA</v>
      </c>
      <c r="D517" t="str">
        <f>IFERROR(__xludf.DUMMYFUNCTION("""COMPUTED_VALUE"""),"Math 6A")</f>
        <v>Math 6A</v>
      </c>
      <c r="E517" s="31">
        <f>IFERROR(__xludf.DUMMYFUNCTION("""COMPUTED_VALUE"""),5.0)</f>
        <v>5</v>
      </c>
      <c r="F517" s="8">
        <v>1.0</v>
      </c>
      <c r="G517" s="8">
        <v>1.0</v>
      </c>
      <c r="H517" s="8">
        <v>1.0</v>
      </c>
      <c r="I517" s="8">
        <v>1.0</v>
      </c>
      <c r="J517" s="8">
        <v>1.0</v>
      </c>
      <c r="K517" s="8">
        <v>1.0</v>
      </c>
      <c r="L517" s="8">
        <v>6.0</v>
      </c>
      <c r="M517" s="8"/>
      <c r="N517" s="8"/>
      <c r="O517" s="8" t="s">
        <v>720</v>
      </c>
      <c r="P517" s="8" t="e">
        <v>#N/A</v>
      </c>
    </row>
    <row r="518">
      <c r="A518">
        <f>IFERROR(__xludf.DUMMYFUNCTION("""COMPUTED_VALUE"""),6.0)</f>
        <v>6</v>
      </c>
      <c r="B518">
        <f>IFERROR(__xludf.DUMMYFUNCTION("""COMPUTED_VALUE"""),31099.0)</f>
        <v>31099</v>
      </c>
      <c r="C518" t="str">
        <f>IFERROR(__xludf.DUMMYFUNCTION("""COMPUTED_VALUE"""),"RAMIREZ LIBREROS, MARTIN")</f>
        <v>RAMIREZ LIBREROS, MARTIN</v>
      </c>
      <c r="D518" t="str">
        <f>IFERROR(__xludf.DUMMYFUNCTION("""COMPUTED_VALUE"""),"Math 6")</f>
        <v>Math 6</v>
      </c>
      <c r="E518" s="31">
        <f>IFERROR(__xludf.DUMMYFUNCTION("""COMPUTED_VALUE"""),5.0)</f>
        <v>5</v>
      </c>
      <c r="F518" s="8">
        <v>1.0</v>
      </c>
      <c r="G518" s="8">
        <v>1.0</v>
      </c>
      <c r="H518" s="8">
        <v>1.0</v>
      </c>
      <c r="I518" s="8">
        <v>1.0</v>
      </c>
      <c r="J518" s="8">
        <v>1.0</v>
      </c>
      <c r="K518" s="8">
        <v>1.0</v>
      </c>
      <c r="L518" s="8">
        <v>6.0</v>
      </c>
      <c r="M518" s="8"/>
      <c r="N518" s="8"/>
      <c r="O518" s="8" t="s">
        <v>721</v>
      </c>
      <c r="P518" s="8">
        <v>8.0</v>
      </c>
    </row>
    <row r="519">
      <c r="A519">
        <f>IFERROR(__xludf.DUMMYFUNCTION("""COMPUTED_VALUE"""),6.0)</f>
        <v>6</v>
      </c>
      <c r="B519">
        <f>IFERROR(__xludf.DUMMYFUNCTION("""COMPUTED_VALUE"""),31100.0)</f>
        <v>31100</v>
      </c>
      <c r="C519" t="str">
        <f>IFERROR(__xludf.DUMMYFUNCTION("""COMPUTED_VALUE"""),"RAMIREZ LIBREROS, MATIAS")</f>
        <v>RAMIREZ LIBREROS, MATIAS</v>
      </c>
      <c r="D519" t="str">
        <f>IFERROR(__xludf.DUMMYFUNCTION("""COMPUTED_VALUE"""),"Math 6")</f>
        <v>Math 6</v>
      </c>
      <c r="E519" s="31">
        <f>IFERROR(__xludf.DUMMYFUNCTION("""COMPUTED_VALUE"""),3.0)</f>
        <v>3</v>
      </c>
      <c r="F519" s="8">
        <v>1.0</v>
      </c>
      <c r="G519" s="8">
        <v>1.0</v>
      </c>
      <c r="H519" s="8">
        <v>1.0</v>
      </c>
      <c r="I519" s="8">
        <v>1.0</v>
      </c>
      <c r="J519" s="8">
        <v>1.0</v>
      </c>
      <c r="K519" s="8">
        <v>1.0</v>
      </c>
      <c r="L519" s="8">
        <v>6.0</v>
      </c>
      <c r="M519" s="8"/>
      <c r="N519" s="8"/>
      <c r="O519" s="8" t="s">
        <v>717</v>
      </c>
      <c r="P519" s="8">
        <v>8.0</v>
      </c>
    </row>
    <row r="520">
      <c r="A520">
        <f>IFERROR(__xludf.DUMMYFUNCTION("""COMPUTED_VALUE"""),6.0)</f>
        <v>6</v>
      </c>
      <c r="B520">
        <f>IFERROR(__xludf.DUMMYFUNCTION("""COMPUTED_VALUE"""),31101.0)</f>
        <v>31101</v>
      </c>
      <c r="C520" t="str">
        <f>IFERROR(__xludf.DUMMYFUNCTION("""COMPUTED_VALUE"""),"RENDON ECHEVERRI, MIGUEL")</f>
        <v>RENDON ECHEVERRI, MIGUEL</v>
      </c>
      <c r="D520" t="str">
        <f>IFERROR(__xludf.DUMMYFUNCTION("""COMPUTED_VALUE"""),"Math 6")</f>
        <v>Math 6</v>
      </c>
      <c r="E520" s="31">
        <f>IFERROR(__xludf.DUMMYFUNCTION("""COMPUTED_VALUE"""),4.0)</f>
        <v>4</v>
      </c>
      <c r="F520" s="8">
        <v>1.0</v>
      </c>
      <c r="G520" s="8">
        <v>1.0</v>
      </c>
      <c r="H520" s="8">
        <v>1.0</v>
      </c>
      <c r="I520" s="8">
        <v>1.0</v>
      </c>
      <c r="J520" s="8">
        <v>1.0</v>
      </c>
      <c r="K520" s="8">
        <v>1.0</v>
      </c>
      <c r="L520" s="8">
        <v>6.0</v>
      </c>
      <c r="M520" s="8"/>
      <c r="N520" s="8"/>
      <c r="O520" s="8" t="s">
        <v>722</v>
      </c>
      <c r="P520" s="8">
        <v>8.0</v>
      </c>
    </row>
    <row r="521">
      <c r="A521">
        <f>IFERROR(__xludf.DUMMYFUNCTION("""COMPUTED_VALUE"""),6.0)</f>
        <v>6</v>
      </c>
      <c r="B521">
        <f>IFERROR(__xludf.DUMMYFUNCTION("""COMPUTED_VALUE"""),31173.0)</f>
        <v>31173</v>
      </c>
      <c r="C521" t="str">
        <f>IFERROR(__xludf.DUMMYFUNCTION("""COMPUTED_VALUE"""),"REPETTO LARROSA, FRANCHESCO")</f>
        <v>REPETTO LARROSA, FRANCHESCO</v>
      </c>
      <c r="D521" t="str">
        <f>IFERROR(__xludf.DUMMYFUNCTION("""COMPUTED_VALUE"""),"Math 6A")</f>
        <v>Math 6A</v>
      </c>
      <c r="E521" s="31">
        <f>IFERROR(__xludf.DUMMYFUNCTION("""COMPUTED_VALUE"""),5.0)</f>
        <v>5</v>
      </c>
      <c r="F521" s="8">
        <v>1.0</v>
      </c>
      <c r="G521" s="8">
        <v>1.0</v>
      </c>
      <c r="H521" s="8">
        <v>1.0</v>
      </c>
      <c r="I521" s="8">
        <v>1.0</v>
      </c>
      <c r="J521" s="8">
        <v>1.0</v>
      </c>
      <c r="K521" s="8">
        <v>1.0</v>
      </c>
      <c r="L521" s="8">
        <v>6.0</v>
      </c>
      <c r="M521" s="8"/>
      <c r="N521" s="8"/>
      <c r="O521" s="8" t="s">
        <v>720</v>
      </c>
      <c r="P521" s="8" t="e">
        <v>#N/A</v>
      </c>
    </row>
    <row r="522">
      <c r="A522">
        <f>IFERROR(__xludf.DUMMYFUNCTION("""COMPUTED_VALUE"""),6.0)</f>
        <v>6</v>
      </c>
      <c r="B522">
        <f>IFERROR(__xludf.DUMMYFUNCTION("""COMPUTED_VALUE"""),31103.0)</f>
        <v>31103</v>
      </c>
      <c r="C522" t="str">
        <f>IFERROR(__xludf.DUMMYFUNCTION("""COMPUTED_VALUE"""),"RESTREPO BETANCUR, ALICIA")</f>
        <v>RESTREPO BETANCUR, ALICIA</v>
      </c>
      <c r="D522" t="str">
        <f>IFERROR(__xludf.DUMMYFUNCTION("""COMPUTED_VALUE"""),"Math 6")</f>
        <v>Math 6</v>
      </c>
      <c r="E522" s="31">
        <f>IFERROR(__xludf.DUMMYFUNCTION("""COMPUTED_VALUE"""),4.0)</f>
        <v>4</v>
      </c>
      <c r="F522" s="8">
        <v>1.0</v>
      </c>
      <c r="G522" s="8">
        <v>1.0</v>
      </c>
      <c r="H522" s="8">
        <v>1.0</v>
      </c>
      <c r="I522" s="8">
        <v>1.0</v>
      </c>
      <c r="J522" s="8">
        <v>1.0</v>
      </c>
      <c r="K522" s="8">
        <v>1.0</v>
      </c>
      <c r="L522" s="8">
        <v>6.0</v>
      </c>
      <c r="M522" s="8"/>
      <c r="N522" s="8"/>
      <c r="O522" s="8" t="s">
        <v>722</v>
      </c>
      <c r="P522" s="8">
        <v>8.0</v>
      </c>
    </row>
    <row r="523">
      <c r="A523">
        <f>IFERROR(__xludf.DUMMYFUNCTION("""COMPUTED_VALUE"""),6.0)</f>
        <v>6</v>
      </c>
      <c r="B523">
        <f>IFERROR(__xludf.DUMMYFUNCTION("""COMPUTED_VALUE"""),31104.0)</f>
        <v>31104</v>
      </c>
      <c r="C523" t="str">
        <f>IFERROR(__xludf.DUMMYFUNCTION("""COMPUTED_VALUE"""),"RESTREPO ECHAVARRIA, EMILIA")</f>
        <v>RESTREPO ECHAVARRIA, EMILIA</v>
      </c>
      <c r="D523" t="str">
        <f>IFERROR(__xludf.DUMMYFUNCTION("""COMPUTED_VALUE"""),"Math 6")</f>
        <v>Math 6</v>
      </c>
      <c r="E523" s="31">
        <f>IFERROR(__xludf.DUMMYFUNCTION("""COMPUTED_VALUE"""),5.0)</f>
        <v>5</v>
      </c>
      <c r="F523" s="8">
        <v>1.0</v>
      </c>
      <c r="G523" s="8">
        <v>1.0</v>
      </c>
      <c r="H523" s="8">
        <v>1.0</v>
      </c>
      <c r="I523" s="8">
        <v>1.0</v>
      </c>
      <c r="J523" s="8">
        <v>1.0</v>
      </c>
      <c r="K523" s="8">
        <v>1.0</v>
      </c>
      <c r="L523" s="8">
        <v>6.0</v>
      </c>
      <c r="M523" s="8"/>
      <c r="N523" s="8"/>
      <c r="O523" s="8" t="s">
        <v>721</v>
      </c>
      <c r="P523" s="8">
        <v>8.0</v>
      </c>
    </row>
    <row r="524">
      <c r="A524">
        <f>IFERROR(__xludf.DUMMYFUNCTION("""COMPUTED_VALUE"""),6.0)</f>
        <v>6</v>
      </c>
      <c r="B524">
        <f>IFERROR(__xludf.DUMMYFUNCTION("""COMPUTED_VALUE"""),31105.0)</f>
        <v>31105</v>
      </c>
      <c r="C524" t="str">
        <f>IFERROR(__xludf.DUMMYFUNCTION("""COMPUTED_VALUE"""),"RESTREPO PELAEZ, EMILIA")</f>
        <v>RESTREPO PELAEZ, EMILIA</v>
      </c>
      <c r="D524" t="str">
        <f>IFERROR(__xludf.DUMMYFUNCTION("""COMPUTED_VALUE"""),"Math 6")</f>
        <v>Math 6</v>
      </c>
      <c r="E524" s="31">
        <f>IFERROR(__xludf.DUMMYFUNCTION("""COMPUTED_VALUE"""),3.0)</f>
        <v>3</v>
      </c>
      <c r="F524" s="8">
        <v>1.0</v>
      </c>
      <c r="G524" s="8">
        <v>1.0</v>
      </c>
      <c r="H524" s="8">
        <v>1.0</v>
      </c>
      <c r="I524" s="8">
        <v>1.0</v>
      </c>
      <c r="J524" s="8">
        <v>1.0</v>
      </c>
      <c r="K524" s="8">
        <v>1.0</v>
      </c>
      <c r="L524" s="8">
        <v>6.0</v>
      </c>
      <c r="M524" s="8"/>
      <c r="N524" s="8"/>
      <c r="O524" s="8" t="s">
        <v>717</v>
      </c>
      <c r="P524" s="8">
        <v>8.0</v>
      </c>
    </row>
    <row r="525">
      <c r="A525">
        <f>IFERROR(__xludf.DUMMYFUNCTION("""COMPUTED_VALUE"""),6.0)</f>
        <v>6</v>
      </c>
      <c r="B525">
        <f>IFERROR(__xludf.DUMMYFUNCTION("""COMPUTED_VALUE"""),31171.0)</f>
        <v>31171</v>
      </c>
      <c r="C525" t="str">
        <f>IFERROR(__xludf.DUMMYFUNCTION("""COMPUTED_VALUE"""),"RICHARDSON MEJIA, SOFIA")</f>
        <v>RICHARDSON MEJIA, SOFIA</v>
      </c>
      <c r="D525" t="str">
        <f>IFERROR(__xludf.DUMMYFUNCTION("""COMPUTED_VALUE"""),"Math 6")</f>
        <v>Math 6</v>
      </c>
      <c r="E525" s="31">
        <f>IFERROR(__xludf.DUMMYFUNCTION("""COMPUTED_VALUE"""),4.0)</f>
        <v>4</v>
      </c>
      <c r="F525" s="8">
        <v>1.0</v>
      </c>
      <c r="G525" s="8">
        <v>1.0</v>
      </c>
      <c r="H525" s="8">
        <v>1.0</v>
      </c>
      <c r="I525" s="8">
        <v>1.0</v>
      </c>
      <c r="J525" s="8">
        <v>1.0</v>
      </c>
      <c r="K525" s="8">
        <v>1.0</v>
      </c>
      <c r="L525" s="8">
        <v>6.0</v>
      </c>
      <c r="M525" s="8"/>
      <c r="N525" s="8"/>
      <c r="O525" s="8" t="s">
        <v>722</v>
      </c>
      <c r="P525" s="8">
        <v>8.0</v>
      </c>
    </row>
    <row r="526">
      <c r="A526">
        <f>IFERROR(__xludf.DUMMYFUNCTION("""COMPUTED_VALUE"""),6.0)</f>
        <v>6</v>
      </c>
      <c r="B526">
        <f>IFERROR(__xludf.DUMMYFUNCTION("""COMPUTED_VALUE"""),31106.0)</f>
        <v>31106</v>
      </c>
      <c r="C526" t="str">
        <f>IFERROR(__xludf.DUMMYFUNCTION("""COMPUTED_VALUE"""),"RINCON URIBE, NICOLAS")</f>
        <v>RINCON URIBE, NICOLAS</v>
      </c>
      <c r="D526" t="str">
        <f>IFERROR(__xludf.DUMMYFUNCTION("""COMPUTED_VALUE"""),"Math 6")</f>
        <v>Math 6</v>
      </c>
      <c r="E526" s="31">
        <f>IFERROR(__xludf.DUMMYFUNCTION("""COMPUTED_VALUE"""),6.0)</f>
        <v>6</v>
      </c>
      <c r="F526" s="8">
        <v>1.0</v>
      </c>
      <c r="G526" s="8">
        <v>1.0</v>
      </c>
      <c r="H526" s="8">
        <v>1.0</v>
      </c>
      <c r="I526" s="8">
        <v>1.0</v>
      </c>
      <c r="J526" s="8">
        <v>1.0</v>
      </c>
      <c r="K526" s="8">
        <v>1.0</v>
      </c>
      <c r="L526" s="8">
        <v>6.0</v>
      </c>
      <c r="M526" s="8"/>
      <c r="N526" s="8"/>
      <c r="O526" s="8" t="s">
        <v>718</v>
      </c>
      <c r="P526" s="8">
        <v>8.0</v>
      </c>
    </row>
    <row r="527">
      <c r="A527">
        <f>IFERROR(__xludf.DUMMYFUNCTION("""COMPUTED_VALUE"""),6.0)</f>
        <v>6</v>
      </c>
      <c r="B527">
        <f>IFERROR(__xludf.DUMMYFUNCTION("""COMPUTED_VALUE"""),31107.0)</f>
        <v>31107</v>
      </c>
      <c r="C527" t="str">
        <f>IFERROR(__xludf.DUMMYFUNCTION("""COMPUTED_VALUE"""),"ROBLEDO LLANO, JERONIMO")</f>
        <v>ROBLEDO LLANO, JERONIMO</v>
      </c>
      <c r="D527" t="str">
        <f>IFERROR(__xludf.DUMMYFUNCTION("""COMPUTED_VALUE"""),"Math 6A")</f>
        <v>Math 6A</v>
      </c>
      <c r="E527" s="31">
        <f>IFERROR(__xludf.DUMMYFUNCTION("""COMPUTED_VALUE"""),5.0)</f>
        <v>5</v>
      </c>
      <c r="F527" s="8">
        <v>1.0</v>
      </c>
      <c r="G527" s="8">
        <v>1.0</v>
      </c>
      <c r="H527" s="8">
        <v>1.0</v>
      </c>
      <c r="I527" s="8">
        <v>1.0</v>
      </c>
      <c r="J527" s="8">
        <v>1.0</v>
      </c>
      <c r="K527" s="8">
        <v>1.0</v>
      </c>
      <c r="L527" s="8">
        <v>6.0</v>
      </c>
      <c r="M527" s="8"/>
      <c r="N527" s="8"/>
      <c r="O527" s="8" t="s">
        <v>720</v>
      </c>
      <c r="P527" s="8" t="e">
        <v>#N/A</v>
      </c>
    </row>
    <row r="528">
      <c r="A528">
        <f>IFERROR(__xludf.DUMMYFUNCTION("""COMPUTED_VALUE"""),6.0)</f>
        <v>6</v>
      </c>
      <c r="B528">
        <f>IFERROR(__xludf.DUMMYFUNCTION("""COMPUTED_VALUE"""),30159.0)</f>
        <v>30159</v>
      </c>
      <c r="C528" t="str">
        <f>IFERROR(__xludf.DUMMYFUNCTION("""COMPUTED_VALUE"""),"ROJAS REYES, MATEO")</f>
        <v>ROJAS REYES, MATEO</v>
      </c>
      <c r="D528" t="str">
        <f>IFERROR(__xludf.DUMMYFUNCTION("""COMPUTED_VALUE"""),"Math 6A")</f>
        <v>Math 6A</v>
      </c>
      <c r="E528" s="31">
        <f>IFERROR(__xludf.DUMMYFUNCTION("""COMPUTED_VALUE"""),5.0)</f>
        <v>5</v>
      </c>
      <c r="F528" s="8">
        <v>1.0</v>
      </c>
      <c r="G528" s="8">
        <v>1.0</v>
      </c>
      <c r="H528" s="8">
        <v>1.0</v>
      </c>
      <c r="I528" s="8">
        <v>1.0</v>
      </c>
      <c r="J528" s="8">
        <v>1.0</v>
      </c>
      <c r="K528" s="8">
        <v>1.0</v>
      </c>
      <c r="L528" s="8">
        <v>6.0</v>
      </c>
      <c r="M528" s="8"/>
      <c r="N528" s="8"/>
      <c r="O528" s="8" t="s">
        <v>720</v>
      </c>
      <c r="P528" s="8" t="e">
        <v>#N/A</v>
      </c>
    </row>
    <row r="529">
      <c r="A529">
        <f>IFERROR(__xludf.DUMMYFUNCTION("""COMPUTED_VALUE"""),6.0)</f>
        <v>6</v>
      </c>
      <c r="B529">
        <f>IFERROR(__xludf.DUMMYFUNCTION("""COMPUTED_VALUE"""),31110.0)</f>
        <v>31110</v>
      </c>
      <c r="C529" t="str">
        <f>IFERROR(__xludf.DUMMYFUNCTION("""COMPUTED_VALUE"""),"RUIZ CORREA, MARIANA")</f>
        <v>RUIZ CORREA, MARIANA</v>
      </c>
      <c r="D529" t="str">
        <f>IFERROR(__xludf.DUMMYFUNCTION("""COMPUTED_VALUE"""),"Math 6")</f>
        <v>Math 6</v>
      </c>
      <c r="E529" s="31">
        <f>IFERROR(__xludf.DUMMYFUNCTION("""COMPUTED_VALUE"""),5.0)</f>
        <v>5</v>
      </c>
      <c r="F529" s="8">
        <v>1.0</v>
      </c>
      <c r="G529" s="8">
        <v>1.0</v>
      </c>
      <c r="H529" s="8">
        <v>1.0</v>
      </c>
      <c r="I529" s="8">
        <v>1.0</v>
      </c>
      <c r="J529" s="8">
        <v>1.0</v>
      </c>
      <c r="K529" s="8">
        <v>1.0</v>
      </c>
      <c r="L529" s="8">
        <v>6.0</v>
      </c>
      <c r="M529" s="8"/>
      <c r="N529" s="8"/>
      <c r="O529" s="8" t="s">
        <v>721</v>
      </c>
      <c r="P529" s="8">
        <v>8.0</v>
      </c>
    </row>
    <row r="530">
      <c r="A530">
        <f>IFERROR(__xludf.DUMMYFUNCTION("""COMPUTED_VALUE"""),6.0)</f>
        <v>6</v>
      </c>
      <c r="B530">
        <f>IFERROR(__xludf.DUMMYFUNCTION("""COMPUTED_VALUE"""),31111.0)</f>
        <v>31111</v>
      </c>
      <c r="C530" t="str">
        <f>IFERROR(__xludf.DUMMYFUNCTION("""COMPUTED_VALUE"""),"RUIZ DUQUE, ANTONIO")</f>
        <v>RUIZ DUQUE, ANTONIO</v>
      </c>
      <c r="D530" t="str">
        <f>IFERROR(__xludf.DUMMYFUNCTION("""COMPUTED_VALUE"""),"Math 6")</f>
        <v>Math 6</v>
      </c>
      <c r="E530" s="31">
        <f>IFERROR(__xludf.DUMMYFUNCTION("""COMPUTED_VALUE"""),3.0)</f>
        <v>3</v>
      </c>
      <c r="F530" s="8">
        <v>1.0</v>
      </c>
      <c r="G530" s="8">
        <v>1.0</v>
      </c>
      <c r="H530" s="8">
        <v>1.0</v>
      </c>
      <c r="I530" s="8">
        <v>1.0</v>
      </c>
      <c r="J530" s="8">
        <v>1.0</v>
      </c>
      <c r="K530" s="8">
        <v>1.0</v>
      </c>
      <c r="L530" s="8">
        <v>6.0</v>
      </c>
      <c r="M530" s="8"/>
      <c r="N530" s="8"/>
      <c r="O530" s="8" t="s">
        <v>717</v>
      </c>
      <c r="P530" s="8">
        <v>8.0</v>
      </c>
    </row>
    <row r="531">
      <c r="A531">
        <f>IFERROR(__xludf.DUMMYFUNCTION("""COMPUTED_VALUE"""),6.0)</f>
        <v>6</v>
      </c>
      <c r="B531">
        <f>IFERROR(__xludf.DUMMYFUNCTION("""COMPUTED_VALUE"""),31109.0)</f>
        <v>31109</v>
      </c>
      <c r="C531" t="str">
        <f>IFERROR(__xludf.DUMMYFUNCTION("""COMPUTED_VALUE"""),"RUZ GUZMAN, FEDERICO")</f>
        <v>RUZ GUZMAN, FEDERICO</v>
      </c>
      <c r="D531" t="str">
        <f>IFERROR(__xludf.DUMMYFUNCTION("""COMPUTED_VALUE"""),"Math 6")</f>
        <v>Math 6</v>
      </c>
      <c r="E531" s="31">
        <f>IFERROR(__xludf.DUMMYFUNCTION("""COMPUTED_VALUE"""),1.0)</f>
        <v>1</v>
      </c>
      <c r="F531" s="8">
        <v>1.0</v>
      </c>
      <c r="G531" s="8">
        <v>1.0</v>
      </c>
      <c r="H531" s="8">
        <v>1.0</v>
      </c>
      <c r="I531" s="8">
        <v>1.0</v>
      </c>
      <c r="J531" s="8">
        <v>1.0</v>
      </c>
      <c r="K531" s="8">
        <v>1.0</v>
      </c>
      <c r="L531" s="8">
        <v>6.0</v>
      </c>
      <c r="M531" s="8"/>
      <c r="N531" s="8"/>
      <c r="O531" s="8" t="s">
        <v>719</v>
      </c>
      <c r="P531" s="8">
        <v>8.0</v>
      </c>
    </row>
    <row r="532">
      <c r="A532">
        <f>IFERROR(__xludf.DUMMYFUNCTION("""COMPUTED_VALUE"""),6.0)</f>
        <v>6</v>
      </c>
      <c r="B532">
        <f>IFERROR(__xludf.DUMMYFUNCTION("""COMPUTED_VALUE"""),31112.0)</f>
        <v>31112</v>
      </c>
      <c r="C532" t="str">
        <f>IFERROR(__xludf.DUMMYFUNCTION("""COMPUTED_VALUE"""),"SALAZAR BOTERO, FEDERICO")</f>
        <v>SALAZAR BOTERO, FEDERICO</v>
      </c>
      <c r="D532" t="str">
        <f>IFERROR(__xludf.DUMMYFUNCTION("""COMPUTED_VALUE"""),"Math 6")</f>
        <v>Math 6</v>
      </c>
      <c r="E532" s="31">
        <f>IFERROR(__xludf.DUMMYFUNCTION("""COMPUTED_VALUE"""),6.0)</f>
        <v>6</v>
      </c>
      <c r="F532" s="8">
        <v>1.0</v>
      </c>
      <c r="G532" s="8">
        <v>1.0</v>
      </c>
      <c r="H532" s="8">
        <v>1.0</v>
      </c>
      <c r="I532" s="8">
        <v>1.0</v>
      </c>
      <c r="J532" s="8">
        <v>1.0</v>
      </c>
      <c r="K532" s="8">
        <v>1.0</v>
      </c>
      <c r="L532" s="8">
        <v>6.0</v>
      </c>
      <c r="M532" s="8"/>
      <c r="N532" s="8"/>
      <c r="O532" s="8" t="s">
        <v>718</v>
      </c>
      <c r="P532" s="8">
        <v>8.0</v>
      </c>
    </row>
    <row r="533">
      <c r="A533">
        <f>IFERROR(__xludf.DUMMYFUNCTION("""COMPUTED_VALUE"""),6.0)</f>
        <v>6</v>
      </c>
      <c r="B533">
        <f>IFERROR(__xludf.DUMMYFUNCTION("""COMPUTED_VALUE"""),31153.0)</f>
        <v>31153</v>
      </c>
      <c r="C533" t="str">
        <f>IFERROR(__xludf.DUMMYFUNCTION("""COMPUTED_VALUE"""),"SALCEDO PERICO, JACOBO")</f>
        <v>SALCEDO PERICO, JACOBO</v>
      </c>
      <c r="D533" t="str">
        <f>IFERROR(__xludf.DUMMYFUNCTION("""COMPUTED_VALUE"""),"Math 6")</f>
        <v>Math 6</v>
      </c>
      <c r="E533" s="31">
        <f>IFERROR(__xludf.DUMMYFUNCTION("""COMPUTED_VALUE"""),1.0)</f>
        <v>1</v>
      </c>
      <c r="F533" s="8">
        <v>1.0</v>
      </c>
      <c r="G533" s="8">
        <v>1.0</v>
      </c>
      <c r="H533" s="8">
        <v>1.0</v>
      </c>
      <c r="I533" s="8">
        <v>1.0</v>
      </c>
      <c r="J533" s="8">
        <v>1.0</v>
      </c>
      <c r="K533" s="8">
        <v>1.0</v>
      </c>
      <c r="L533" s="8">
        <v>6.0</v>
      </c>
      <c r="M533" s="8"/>
      <c r="N533" s="8"/>
      <c r="O533" s="8" t="s">
        <v>719</v>
      </c>
      <c r="P533" s="8">
        <v>8.0</v>
      </c>
    </row>
    <row r="534">
      <c r="A534">
        <f>IFERROR(__xludf.DUMMYFUNCTION("""COMPUTED_VALUE"""),6.0)</f>
        <v>6</v>
      </c>
      <c r="B534">
        <f>IFERROR(__xludf.DUMMYFUNCTION("""COMPUTED_VALUE"""),31113.0)</f>
        <v>31113</v>
      </c>
      <c r="C534" t="str">
        <f>IFERROR(__xludf.DUMMYFUNCTION("""COMPUTED_VALUE"""),"SANTAMARIA SALDARRIAGA, JUAN MARTIN")</f>
        <v>SANTAMARIA SALDARRIAGA, JUAN MARTIN</v>
      </c>
      <c r="D534" t="str">
        <f>IFERROR(__xludf.DUMMYFUNCTION("""COMPUTED_VALUE"""),"Math 6A")</f>
        <v>Math 6A</v>
      </c>
      <c r="E534" s="31">
        <f>IFERROR(__xludf.DUMMYFUNCTION("""COMPUTED_VALUE"""),5.0)</f>
        <v>5</v>
      </c>
      <c r="F534" s="8">
        <v>1.0</v>
      </c>
      <c r="G534" s="8">
        <v>1.0</v>
      </c>
      <c r="H534" s="8">
        <v>1.0</v>
      </c>
      <c r="I534" s="8">
        <v>1.0</v>
      </c>
      <c r="J534" s="8">
        <v>1.0</v>
      </c>
      <c r="K534" s="8">
        <v>1.0</v>
      </c>
      <c r="L534" s="8">
        <v>6.0</v>
      </c>
      <c r="M534" s="8"/>
      <c r="N534" s="8"/>
      <c r="O534" s="8" t="s">
        <v>720</v>
      </c>
      <c r="P534" s="8" t="e">
        <v>#N/A</v>
      </c>
    </row>
    <row r="535">
      <c r="A535">
        <f>IFERROR(__xludf.DUMMYFUNCTION("""COMPUTED_VALUE"""),6.0)</f>
        <v>6</v>
      </c>
      <c r="B535">
        <f>IFERROR(__xludf.DUMMYFUNCTION("""COMPUTED_VALUE"""),31114.0)</f>
        <v>31114</v>
      </c>
      <c r="C535" t="str">
        <f>IFERROR(__xludf.DUMMYFUNCTION("""COMPUTED_VALUE"""),"SCHOBER OCAMPO, MIA")</f>
        <v>SCHOBER OCAMPO, MIA</v>
      </c>
      <c r="D535" t="str">
        <f>IFERROR(__xludf.DUMMYFUNCTION("""COMPUTED_VALUE"""),"Math 6")</f>
        <v>Math 6</v>
      </c>
      <c r="E535" s="31">
        <f>IFERROR(__xludf.DUMMYFUNCTION("""COMPUTED_VALUE"""),3.0)</f>
        <v>3</v>
      </c>
      <c r="F535" s="8">
        <v>1.0</v>
      </c>
      <c r="G535" s="8">
        <v>1.0</v>
      </c>
      <c r="H535" s="8">
        <v>1.0</v>
      </c>
      <c r="I535" s="8">
        <v>1.0</v>
      </c>
      <c r="J535" s="8">
        <v>1.0</v>
      </c>
      <c r="K535" s="8">
        <v>1.0</v>
      </c>
      <c r="L535" s="8">
        <v>6.0</v>
      </c>
      <c r="M535" s="8"/>
      <c r="N535" s="8"/>
      <c r="O535" s="8" t="s">
        <v>717</v>
      </c>
      <c r="P535" s="8">
        <v>8.0</v>
      </c>
    </row>
    <row r="536">
      <c r="A536">
        <f>IFERROR(__xludf.DUMMYFUNCTION("""COMPUTED_VALUE"""),6.0)</f>
        <v>6</v>
      </c>
      <c r="B536">
        <f>IFERROR(__xludf.DUMMYFUNCTION("""COMPUTED_VALUE"""),31115.0)</f>
        <v>31115</v>
      </c>
      <c r="C536" t="str">
        <f>IFERROR(__xludf.DUMMYFUNCTION("""COMPUTED_VALUE"""),"SERANI ANGEL, TOMAS")</f>
        <v>SERANI ANGEL, TOMAS</v>
      </c>
      <c r="D536" t="str">
        <f>IFERROR(__xludf.DUMMYFUNCTION("""COMPUTED_VALUE"""),"Math 6")</f>
        <v>Math 6</v>
      </c>
      <c r="E536" s="31">
        <f>IFERROR(__xludf.DUMMYFUNCTION("""COMPUTED_VALUE"""),6.0)</f>
        <v>6</v>
      </c>
      <c r="F536" s="8">
        <v>1.0</v>
      </c>
      <c r="G536" s="8">
        <v>1.0</v>
      </c>
      <c r="H536" s="8">
        <v>1.0</v>
      </c>
      <c r="I536" s="8">
        <v>1.0</v>
      </c>
      <c r="J536" s="8">
        <v>1.0</v>
      </c>
      <c r="K536" s="8">
        <v>1.0</v>
      </c>
      <c r="L536" s="8">
        <v>6.0</v>
      </c>
      <c r="M536" s="8"/>
      <c r="N536" s="8"/>
      <c r="O536" s="8" t="s">
        <v>718</v>
      </c>
      <c r="P536" s="8">
        <v>8.0</v>
      </c>
    </row>
    <row r="537">
      <c r="A537">
        <f>IFERROR(__xludf.DUMMYFUNCTION("""COMPUTED_VALUE"""),6.0)</f>
        <v>6</v>
      </c>
      <c r="B537">
        <f>IFERROR(__xludf.DUMMYFUNCTION("""COMPUTED_VALUE"""),31116.0)</f>
        <v>31116</v>
      </c>
      <c r="C537" t="str">
        <f>IFERROR(__xludf.DUMMYFUNCTION("""COMPUTED_VALUE"""),"SERRANO BARRENECHE, JUAN FELIPE")</f>
        <v>SERRANO BARRENECHE, JUAN FELIPE</v>
      </c>
      <c r="D537" t="str">
        <f>IFERROR(__xludf.DUMMYFUNCTION("""COMPUTED_VALUE"""),"Math 6")</f>
        <v>Math 6</v>
      </c>
      <c r="E537" s="31">
        <f>IFERROR(__xludf.DUMMYFUNCTION("""COMPUTED_VALUE"""),6.0)</f>
        <v>6</v>
      </c>
      <c r="F537" s="8">
        <v>1.0</v>
      </c>
      <c r="G537" s="8">
        <v>1.0</v>
      </c>
      <c r="H537" s="8">
        <v>1.0</v>
      </c>
      <c r="I537" s="8">
        <v>1.0</v>
      </c>
      <c r="J537" s="8">
        <v>1.0</v>
      </c>
      <c r="K537" s="8">
        <v>1.0</v>
      </c>
      <c r="L537" s="8">
        <v>6.0</v>
      </c>
      <c r="M537" s="8"/>
      <c r="N537" s="8"/>
      <c r="O537" s="8" t="s">
        <v>718</v>
      </c>
      <c r="P537" s="8">
        <v>8.0</v>
      </c>
    </row>
    <row r="538">
      <c r="A538">
        <f>IFERROR(__xludf.DUMMYFUNCTION("""COMPUTED_VALUE"""),6.0)</f>
        <v>6</v>
      </c>
      <c r="B538">
        <f>IFERROR(__xludf.DUMMYFUNCTION("""COMPUTED_VALUE"""),31117.0)</f>
        <v>31117</v>
      </c>
      <c r="C538" t="str">
        <f>IFERROR(__xludf.DUMMYFUNCTION("""COMPUTED_VALUE"""),"SIERRA ECHAVARRIA, BENJAMIN")</f>
        <v>SIERRA ECHAVARRIA, BENJAMIN</v>
      </c>
      <c r="D538" t="str">
        <f>IFERROR(__xludf.DUMMYFUNCTION("""COMPUTED_VALUE"""),"Math 6")</f>
        <v>Math 6</v>
      </c>
      <c r="E538" s="31">
        <f>IFERROR(__xludf.DUMMYFUNCTION("""COMPUTED_VALUE"""),1.0)</f>
        <v>1</v>
      </c>
      <c r="F538" s="8">
        <v>1.0</v>
      </c>
      <c r="G538" s="8">
        <v>1.0</v>
      </c>
      <c r="H538" s="8">
        <v>1.0</v>
      </c>
      <c r="I538" s="8">
        <v>1.0</v>
      </c>
      <c r="J538" s="8">
        <v>1.0</v>
      </c>
      <c r="K538" s="8">
        <v>1.0</v>
      </c>
      <c r="L538" s="8">
        <v>6.0</v>
      </c>
      <c r="M538" s="8"/>
      <c r="N538" s="8"/>
      <c r="O538" s="8" t="s">
        <v>719</v>
      </c>
      <c r="P538" s="8">
        <v>8.0</v>
      </c>
    </row>
    <row r="539">
      <c r="A539">
        <f>IFERROR(__xludf.DUMMYFUNCTION("""COMPUTED_VALUE"""),6.0)</f>
        <v>6</v>
      </c>
      <c r="B539">
        <f>IFERROR(__xludf.DUMMYFUNCTION("""COMPUTED_VALUE"""),31118.0)</f>
        <v>31118</v>
      </c>
      <c r="C539" t="str">
        <f>IFERROR(__xludf.DUMMYFUNCTION("""COMPUTED_VALUE"""),"TOBON PEÑALOZA, EMILIA")</f>
        <v>TOBON PEÑALOZA, EMILIA</v>
      </c>
      <c r="D539" t="str">
        <f>IFERROR(__xludf.DUMMYFUNCTION("""COMPUTED_VALUE"""),"Math 6")</f>
        <v>Math 6</v>
      </c>
      <c r="E539" s="31">
        <f>IFERROR(__xludf.DUMMYFUNCTION("""COMPUTED_VALUE"""),5.0)</f>
        <v>5</v>
      </c>
      <c r="F539" s="8">
        <v>1.0</v>
      </c>
      <c r="G539" s="8">
        <v>1.0</v>
      </c>
      <c r="H539" s="8">
        <v>1.0</v>
      </c>
      <c r="I539" s="8">
        <v>1.0</v>
      </c>
      <c r="J539" s="8">
        <v>1.0</v>
      </c>
      <c r="K539" s="8">
        <v>1.0</v>
      </c>
      <c r="L539" s="8">
        <v>6.0</v>
      </c>
      <c r="M539" s="8"/>
      <c r="N539" s="8"/>
      <c r="O539" s="8" t="s">
        <v>721</v>
      </c>
      <c r="P539" s="8">
        <v>8.0</v>
      </c>
    </row>
    <row r="540">
      <c r="A540">
        <f>IFERROR(__xludf.DUMMYFUNCTION("""COMPUTED_VALUE"""),6.0)</f>
        <v>6</v>
      </c>
      <c r="B540">
        <f>IFERROR(__xludf.DUMMYFUNCTION("""COMPUTED_VALUE"""),31119.0)</f>
        <v>31119</v>
      </c>
      <c r="C540" t="str">
        <f>IFERROR(__xludf.DUMMYFUNCTION("""COMPUTED_VALUE"""),"TOBON PEÑALOZA, JUAN")</f>
        <v>TOBON PEÑALOZA, JUAN</v>
      </c>
      <c r="D540" t="str">
        <f>IFERROR(__xludf.DUMMYFUNCTION("""COMPUTED_VALUE"""),"Math 6")</f>
        <v>Math 6</v>
      </c>
      <c r="E540" s="31">
        <f>IFERROR(__xludf.DUMMYFUNCTION("""COMPUTED_VALUE"""),1.0)</f>
        <v>1</v>
      </c>
      <c r="F540" s="8">
        <v>1.0</v>
      </c>
      <c r="G540" s="8">
        <v>1.0</v>
      </c>
      <c r="H540" s="8">
        <v>1.0</v>
      </c>
      <c r="I540" s="8">
        <v>1.0</v>
      </c>
      <c r="J540" s="8">
        <v>1.0</v>
      </c>
      <c r="K540" s="8">
        <v>1.0</v>
      </c>
      <c r="L540" s="8">
        <v>6.0</v>
      </c>
      <c r="M540" s="8"/>
      <c r="N540" s="8"/>
      <c r="O540" s="8" t="s">
        <v>719</v>
      </c>
      <c r="P540" s="8">
        <v>8.0</v>
      </c>
    </row>
    <row r="541">
      <c r="A541">
        <f>IFERROR(__xludf.DUMMYFUNCTION("""COMPUTED_VALUE"""),6.0)</f>
        <v>6</v>
      </c>
      <c r="B541">
        <f>IFERROR(__xludf.DUMMYFUNCTION("""COMPUTED_VALUE"""),31120.0)</f>
        <v>31120</v>
      </c>
      <c r="C541" t="str">
        <f>IFERROR(__xludf.DUMMYFUNCTION("""COMPUTED_VALUE"""),"TORO PEREZ, GREGORIO")</f>
        <v>TORO PEREZ, GREGORIO</v>
      </c>
      <c r="D541" t="str">
        <f>IFERROR(__xludf.DUMMYFUNCTION("""COMPUTED_VALUE"""),"Math 6A")</f>
        <v>Math 6A</v>
      </c>
      <c r="E541" s="31">
        <f>IFERROR(__xludf.DUMMYFUNCTION("""COMPUTED_VALUE"""),5.0)</f>
        <v>5</v>
      </c>
      <c r="F541" s="8">
        <v>1.0</v>
      </c>
      <c r="G541" s="8">
        <v>1.0</v>
      </c>
      <c r="H541" s="8">
        <v>1.0</v>
      </c>
      <c r="I541" s="8">
        <v>1.0</v>
      </c>
      <c r="J541" s="8">
        <v>1.0</v>
      </c>
      <c r="K541" s="8">
        <v>1.0</v>
      </c>
      <c r="L541" s="8">
        <v>6.0</v>
      </c>
      <c r="M541" s="8"/>
      <c r="N541" s="8"/>
      <c r="O541" s="8" t="s">
        <v>720</v>
      </c>
      <c r="P541" s="8" t="e">
        <v>#N/A</v>
      </c>
    </row>
    <row r="542">
      <c r="A542">
        <f>IFERROR(__xludf.DUMMYFUNCTION("""COMPUTED_VALUE"""),6.0)</f>
        <v>6</v>
      </c>
      <c r="B542">
        <f>IFERROR(__xludf.DUMMYFUNCTION("""COMPUTED_VALUE"""),31121.0)</f>
        <v>31121</v>
      </c>
      <c r="C542" t="str">
        <f>IFERROR(__xludf.DUMMYFUNCTION("""COMPUTED_VALUE"""),"TRUJILLO ARANGO, MARTIN")</f>
        <v>TRUJILLO ARANGO, MARTIN</v>
      </c>
      <c r="D542" t="str">
        <f>IFERROR(__xludf.DUMMYFUNCTION("""COMPUTED_VALUE"""),"Math 6")</f>
        <v>Math 6</v>
      </c>
      <c r="E542" s="31">
        <f>IFERROR(__xludf.DUMMYFUNCTION("""COMPUTED_VALUE"""),4.0)</f>
        <v>4</v>
      </c>
      <c r="F542" s="8">
        <v>1.0</v>
      </c>
      <c r="G542" s="8">
        <v>1.0</v>
      </c>
      <c r="H542" s="8">
        <v>1.0</v>
      </c>
      <c r="I542" s="8">
        <v>1.0</v>
      </c>
      <c r="J542" s="8">
        <v>1.0</v>
      </c>
      <c r="K542" s="8">
        <v>1.0</v>
      </c>
      <c r="L542" s="8">
        <v>6.0</v>
      </c>
      <c r="M542" s="8"/>
      <c r="N542" s="8"/>
      <c r="O542" s="8" t="s">
        <v>722</v>
      </c>
      <c r="P542" s="8">
        <v>8.0</v>
      </c>
    </row>
    <row r="543">
      <c r="A543">
        <f>IFERROR(__xludf.DUMMYFUNCTION("""COMPUTED_VALUE"""),6.0)</f>
        <v>6</v>
      </c>
      <c r="B543">
        <f>IFERROR(__xludf.DUMMYFUNCTION("""COMPUTED_VALUE"""),30108.0)</f>
        <v>30108</v>
      </c>
      <c r="C543" t="str">
        <f>IFERROR(__xludf.DUMMYFUNCTION("""COMPUTED_VALUE"""),"TRUJILLO BUITRAGO, MARTIN")</f>
        <v>TRUJILLO BUITRAGO, MARTIN</v>
      </c>
      <c r="D543" t="str">
        <f>IFERROR(__xludf.DUMMYFUNCTION("""COMPUTED_VALUE"""),"Math 6")</f>
        <v>Math 6</v>
      </c>
      <c r="E543" s="31">
        <f>IFERROR(__xludf.DUMMYFUNCTION("""COMPUTED_VALUE"""),1.0)</f>
        <v>1</v>
      </c>
      <c r="F543" s="8">
        <v>1.0</v>
      </c>
      <c r="G543" s="8">
        <v>1.0</v>
      </c>
      <c r="H543" s="8">
        <v>1.0</v>
      </c>
      <c r="I543" s="8">
        <v>1.0</v>
      </c>
      <c r="J543" s="8">
        <v>1.0</v>
      </c>
      <c r="K543" s="8">
        <v>1.0</v>
      </c>
      <c r="L543" s="8">
        <v>6.0</v>
      </c>
      <c r="M543" s="8"/>
      <c r="N543" s="8"/>
      <c r="O543" s="8" t="s">
        <v>719</v>
      </c>
      <c r="P543" s="8">
        <v>8.0</v>
      </c>
    </row>
    <row r="544">
      <c r="A544">
        <f>IFERROR(__xludf.DUMMYFUNCTION("""COMPUTED_VALUE"""),6.0)</f>
        <v>6</v>
      </c>
      <c r="B544">
        <f>IFERROR(__xludf.DUMMYFUNCTION("""COMPUTED_VALUE"""),31122.0)</f>
        <v>31122</v>
      </c>
      <c r="C544" t="str">
        <f>IFERROR(__xludf.DUMMYFUNCTION("""COMPUTED_VALUE"""),"URDANETA MEJIA, GABRIELA")</f>
        <v>URDANETA MEJIA, GABRIELA</v>
      </c>
      <c r="D544" t="str">
        <f>IFERROR(__xludf.DUMMYFUNCTION("""COMPUTED_VALUE"""),"Math 6")</f>
        <v>Math 6</v>
      </c>
      <c r="E544" s="31">
        <f>IFERROR(__xludf.DUMMYFUNCTION("""COMPUTED_VALUE"""),4.0)</f>
        <v>4</v>
      </c>
      <c r="F544" s="8">
        <v>1.0</v>
      </c>
      <c r="G544" s="8">
        <v>1.0</v>
      </c>
      <c r="H544" s="8">
        <v>1.0</v>
      </c>
      <c r="I544" s="8">
        <v>1.0</v>
      </c>
      <c r="J544" s="8">
        <v>1.0</v>
      </c>
      <c r="K544" s="8">
        <v>1.0</v>
      </c>
      <c r="L544" s="8">
        <v>6.0</v>
      </c>
      <c r="M544" s="8"/>
      <c r="N544" s="8"/>
      <c r="O544" s="8" t="s">
        <v>722</v>
      </c>
      <c r="P544" s="8">
        <v>8.0</v>
      </c>
    </row>
    <row r="545">
      <c r="A545">
        <f>IFERROR(__xludf.DUMMYFUNCTION("""COMPUTED_VALUE"""),6.0)</f>
        <v>6</v>
      </c>
      <c r="B545">
        <f>IFERROR(__xludf.DUMMYFUNCTION("""COMPUTED_VALUE"""),31123.0)</f>
        <v>31123</v>
      </c>
      <c r="C545" t="str">
        <f>IFERROR(__xludf.DUMMYFUNCTION("""COMPUTED_VALUE"""),"URIBE BOTERO, MANUEL")</f>
        <v>URIBE BOTERO, MANUEL</v>
      </c>
      <c r="D545" t="str">
        <f>IFERROR(__xludf.DUMMYFUNCTION("""COMPUTED_VALUE"""),"Math 6")</f>
        <v>Math 6</v>
      </c>
      <c r="E545" s="31">
        <f>IFERROR(__xludf.DUMMYFUNCTION("""COMPUTED_VALUE"""),6.0)</f>
        <v>6</v>
      </c>
      <c r="F545" s="8">
        <v>1.0</v>
      </c>
      <c r="G545" s="8">
        <v>1.0</v>
      </c>
      <c r="H545" s="8">
        <v>1.0</v>
      </c>
      <c r="I545" s="8">
        <v>1.0</v>
      </c>
      <c r="J545" s="8">
        <v>1.0</v>
      </c>
      <c r="K545" s="8">
        <v>1.0</v>
      </c>
      <c r="L545" s="8">
        <v>6.0</v>
      </c>
      <c r="M545" s="8"/>
      <c r="N545" s="8"/>
      <c r="O545" s="8" t="s">
        <v>718</v>
      </c>
      <c r="P545" s="8">
        <v>8.0</v>
      </c>
    </row>
    <row r="546">
      <c r="A546">
        <f>IFERROR(__xludf.DUMMYFUNCTION("""COMPUTED_VALUE"""),6.0)</f>
        <v>6</v>
      </c>
      <c r="B546">
        <f>IFERROR(__xludf.DUMMYFUNCTION("""COMPUTED_VALUE"""),31124.0)</f>
        <v>31124</v>
      </c>
      <c r="C546" t="str">
        <f>IFERROR(__xludf.DUMMYFUNCTION("""COMPUTED_VALUE"""),"URIBE MEJIA, MARTINA")</f>
        <v>URIBE MEJIA, MARTINA</v>
      </c>
      <c r="D546" t="str">
        <f>IFERROR(__xludf.DUMMYFUNCTION("""COMPUTED_VALUE"""),"Math 6")</f>
        <v>Math 6</v>
      </c>
      <c r="E546" s="31">
        <f>IFERROR(__xludf.DUMMYFUNCTION("""COMPUTED_VALUE"""),6.0)</f>
        <v>6</v>
      </c>
      <c r="F546" s="8">
        <v>1.0</v>
      </c>
      <c r="G546" s="8">
        <v>1.0</v>
      </c>
      <c r="H546" s="8">
        <v>1.0</v>
      </c>
      <c r="I546" s="8">
        <v>1.0</v>
      </c>
      <c r="J546" s="8">
        <v>1.0</v>
      </c>
      <c r="K546" s="8">
        <v>1.0</v>
      </c>
      <c r="L546" s="8">
        <v>6.0</v>
      </c>
      <c r="M546" s="8"/>
      <c r="N546" s="8"/>
      <c r="O546" s="8" t="s">
        <v>718</v>
      </c>
      <c r="P546" s="8">
        <v>8.0</v>
      </c>
    </row>
    <row r="547">
      <c r="A547">
        <f>IFERROR(__xludf.DUMMYFUNCTION("""COMPUTED_VALUE"""),6.0)</f>
        <v>6</v>
      </c>
      <c r="B547">
        <f>IFERROR(__xludf.DUMMYFUNCTION("""COMPUTED_VALUE"""),31125.0)</f>
        <v>31125</v>
      </c>
      <c r="C547" t="str">
        <f>IFERROR(__xludf.DUMMYFUNCTION("""COMPUTED_VALUE"""),"URIBE RODRIGUEZ, ANDRES")</f>
        <v>URIBE RODRIGUEZ, ANDRES</v>
      </c>
      <c r="D547" t="str">
        <f>IFERROR(__xludf.DUMMYFUNCTION("""COMPUTED_VALUE"""),"Math 6")</f>
        <v>Math 6</v>
      </c>
      <c r="E547" s="31">
        <f>IFERROR(__xludf.DUMMYFUNCTION("""COMPUTED_VALUE"""),5.0)</f>
        <v>5</v>
      </c>
      <c r="F547" s="8">
        <v>1.0</v>
      </c>
      <c r="G547" s="8">
        <v>1.0</v>
      </c>
      <c r="H547" s="8">
        <v>1.0</v>
      </c>
      <c r="I547" s="8">
        <v>1.0</v>
      </c>
      <c r="J547" s="8">
        <v>1.0</v>
      </c>
      <c r="K547" s="8">
        <v>1.0</v>
      </c>
      <c r="L547" s="8">
        <v>6.0</v>
      </c>
      <c r="M547" s="8"/>
      <c r="N547" s="8"/>
      <c r="O547" s="8" t="s">
        <v>721</v>
      </c>
      <c r="P547" s="8">
        <v>8.0</v>
      </c>
    </row>
    <row r="548">
      <c r="A548">
        <f>IFERROR(__xludf.DUMMYFUNCTION("""COMPUTED_VALUE"""),6.0)</f>
        <v>6</v>
      </c>
      <c r="B548">
        <f>IFERROR(__xludf.DUMMYFUNCTION("""COMPUTED_VALUE"""),31126.0)</f>
        <v>31126</v>
      </c>
      <c r="C548" t="str">
        <f>IFERROR(__xludf.DUMMYFUNCTION("""COMPUTED_VALUE"""),"URIBE RUIZ, MANUEL")</f>
        <v>URIBE RUIZ, MANUEL</v>
      </c>
      <c r="D548" t="str">
        <f>IFERROR(__xludf.DUMMYFUNCTION("""COMPUTED_VALUE"""),"Math 6")</f>
        <v>Math 6</v>
      </c>
      <c r="E548" s="31">
        <f>IFERROR(__xludf.DUMMYFUNCTION("""COMPUTED_VALUE"""),6.0)</f>
        <v>6</v>
      </c>
      <c r="F548" s="8">
        <v>1.0</v>
      </c>
      <c r="G548" s="8">
        <v>1.0</v>
      </c>
      <c r="H548" s="8">
        <v>1.0</v>
      </c>
      <c r="I548" s="8">
        <v>1.0</v>
      </c>
      <c r="J548" s="8">
        <v>1.0</v>
      </c>
      <c r="K548" s="8">
        <v>1.0</v>
      </c>
      <c r="L548" s="8">
        <v>6.0</v>
      </c>
      <c r="M548" s="8"/>
      <c r="N548" s="8"/>
      <c r="O548" s="8" t="s">
        <v>718</v>
      </c>
      <c r="P548" s="8">
        <v>8.0</v>
      </c>
    </row>
    <row r="549">
      <c r="A549">
        <f>IFERROR(__xludf.DUMMYFUNCTION("""COMPUTED_VALUE"""),6.0)</f>
        <v>6</v>
      </c>
      <c r="B549">
        <f>IFERROR(__xludf.DUMMYFUNCTION("""COMPUTED_VALUE"""),31127.0)</f>
        <v>31127</v>
      </c>
      <c r="C549" t="str">
        <f>IFERROR(__xludf.DUMMYFUNCTION("""COMPUTED_VALUE"""),"URIBE VELASQUEZ, JERONIMO")</f>
        <v>URIBE VELASQUEZ, JERONIMO</v>
      </c>
      <c r="D549" t="str">
        <f>IFERROR(__xludf.DUMMYFUNCTION("""COMPUTED_VALUE"""),"Math 6")</f>
        <v>Math 6</v>
      </c>
      <c r="E549" s="31">
        <f>IFERROR(__xludf.DUMMYFUNCTION("""COMPUTED_VALUE"""),3.0)</f>
        <v>3</v>
      </c>
      <c r="F549" s="8">
        <v>1.0</v>
      </c>
      <c r="G549" s="8">
        <v>1.0</v>
      </c>
      <c r="H549" s="8">
        <v>1.0</v>
      </c>
      <c r="I549" s="8">
        <v>1.0</v>
      </c>
      <c r="J549" s="8">
        <v>1.0</v>
      </c>
      <c r="K549" s="8">
        <v>1.0</v>
      </c>
      <c r="L549" s="8">
        <v>6.0</v>
      </c>
      <c r="M549" s="8"/>
      <c r="N549" s="8"/>
      <c r="O549" s="8" t="s">
        <v>717</v>
      </c>
      <c r="P549" s="8">
        <v>8.0</v>
      </c>
    </row>
    <row r="550">
      <c r="A550">
        <f>IFERROR(__xludf.DUMMYFUNCTION("""COMPUTED_VALUE"""),6.0)</f>
        <v>6</v>
      </c>
      <c r="B550">
        <f>IFERROR(__xludf.DUMMYFUNCTION("""COMPUTED_VALUE"""),31128.0)</f>
        <v>31128</v>
      </c>
      <c r="C550" t="str">
        <f>IFERROR(__xludf.DUMMYFUNCTION("""COMPUTED_VALUE"""),"URRETA HENAO, PEDRO")</f>
        <v>URRETA HENAO, PEDRO</v>
      </c>
      <c r="D550" t="str">
        <f>IFERROR(__xludf.DUMMYFUNCTION("""COMPUTED_VALUE"""),"Math 6A")</f>
        <v>Math 6A</v>
      </c>
      <c r="E550" s="31">
        <f>IFERROR(__xludf.DUMMYFUNCTION("""COMPUTED_VALUE"""),5.0)</f>
        <v>5</v>
      </c>
      <c r="F550" s="8">
        <v>1.0</v>
      </c>
      <c r="G550" s="8">
        <v>1.0</v>
      </c>
      <c r="H550" s="8">
        <v>1.0</v>
      </c>
      <c r="I550" s="8">
        <v>1.0</v>
      </c>
      <c r="J550" s="8">
        <v>1.0</v>
      </c>
      <c r="K550" s="8">
        <v>1.0</v>
      </c>
      <c r="L550" s="8">
        <v>6.0</v>
      </c>
      <c r="M550" s="8"/>
      <c r="N550" s="8"/>
      <c r="O550" s="8" t="s">
        <v>720</v>
      </c>
      <c r="P550" s="8" t="e">
        <v>#N/A</v>
      </c>
    </row>
    <row r="551">
      <c r="A551">
        <f>IFERROR(__xludf.DUMMYFUNCTION("""COMPUTED_VALUE"""),6.0)</f>
        <v>6</v>
      </c>
      <c r="B551">
        <f>IFERROR(__xludf.DUMMYFUNCTION("""COMPUTED_VALUE"""),31165.0)</f>
        <v>31165</v>
      </c>
      <c r="C551" t="str">
        <f>IFERROR(__xludf.DUMMYFUNCTION("""COMPUTED_VALUE"""),"VALDEZ URIBE, SAMANTHA")</f>
        <v>VALDEZ URIBE, SAMANTHA</v>
      </c>
      <c r="D551" t="str">
        <f>IFERROR(__xludf.DUMMYFUNCTION("""COMPUTED_VALUE"""),"Math 6")</f>
        <v>Math 6</v>
      </c>
      <c r="E551" s="31">
        <f>IFERROR(__xludf.DUMMYFUNCTION("""COMPUTED_VALUE"""),5.0)</f>
        <v>5</v>
      </c>
      <c r="F551" s="8">
        <v>1.0</v>
      </c>
      <c r="G551" s="8">
        <v>1.0</v>
      </c>
      <c r="H551" s="8">
        <v>1.0</v>
      </c>
      <c r="I551" s="8">
        <v>1.0</v>
      </c>
      <c r="J551" s="8">
        <v>1.0</v>
      </c>
      <c r="K551" s="8">
        <v>1.0</v>
      </c>
      <c r="L551" s="8">
        <v>6.0</v>
      </c>
      <c r="M551" s="8"/>
      <c r="N551" s="8"/>
      <c r="O551" s="8" t="s">
        <v>721</v>
      </c>
      <c r="P551" s="8">
        <v>8.0</v>
      </c>
    </row>
    <row r="552">
      <c r="A552">
        <f>IFERROR(__xludf.DUMMYFUNCTION("""COMPUTED_VALUE"""),6.0)</f>
        <v>6</v>
      </c>
      <c r="B552">
        <f>IFERROR(__xludf.DUMMYFUNCTION("""COMPUTED_VALUE"""),31129.0)</f>
        <v>31129</v>
      </c>
      <c r="C552" t="str">
        <f>IFERROR(__xludf.DUMMYFUNCTION("""COMPUTED_VALUE"""),"VALENCIA VILLEGAS, ELENA")</f>
        <v>VALENCIA VILLEGAS, ELENA</v>
      </c>
      <c r="D552" t="str">
        <f>IFERROR(__xludf.DUMMYFUNCTION("""COMPUTED_VALUE"""),"Math 6")</f>
        <v>Math 6</v>
      </c>
      <c r="E552" s="31">
        <f>IFERROR(__xludf.DUMMYFUNCTION("""COMPUTED_VALUE"""),3.0)</f>
        <v>3</v>
      </c>
      <c r="F552" s="8">
        <v>1.0</v>
      </c>
      <c r="G552" s="8">
        <v>1.0</v>
      </c>
      <c r="H552" s="8">
        <v>1.0</v>
      </c>
      <c r="I552" s="8">
        <v>1.0</v>
      </c>
      <c r="J552" s="8">
        <v>1.0</v>
      </c>
      <c r="K552" s="8">
        <v>1.0</v>
      </c>
      <c r="L552" s="8">
        <v>6.0</v>
      </c>
      <c r="M552" s="8"/>
      <c r="N552" s="8"/>
      <c r="O552" s="8" t="s">
        <v>717</v>
      </c>
      <c r="P552" s="8">
        <v>8.0</v>
      </c>
    </row>
    <row r="553">
      <c r="A553">
        <f>IFERROR(__xludf.DUMMYFUNCTION("""COMPUTED_VALUE"""),6.0)</f>
        <v>6</v>
      </c>
      <c r="B553">
        <f>IFERROR(__xludf.DUMMYFUNCTION("""COMPUTED_VALUE"""),31130.0)</f>
        <v>31130</v>
      </c>
      <c r="C553" t="str">
        <f>IFERROR(__xludf.DUMMYFUNCTION("""COMPUTED_VALUE"""),"VARGAS ACEVEDO, DANTE")</f>
        <v>VARGAS ACEVEDO, DANTE</v>
      </c>
      <c r="D553" t="str">
        <f>IFERROR(__xludf.DUMMYFUNCTION("""COMPUTED_VALUE"""),"Math 6")</f>
        <v>Math 6</v>
      </c>
      <c r="E553" s="31">
        <f>IFERROR(__xludf.DUMMYFUNCTION("""COMPUTED_VALUE"""),5.0)</f>
        <v>5</v>
      </c>
      <c r="F553" s="8">
        <v>1.0</v>
      </c>
      <c r="G553" s="8">
        <v>1.0</v>
      </c>
      <c r="H553" s="8">
        <v>1.0</v>
      </c>
      <c r="I553" s="8">
        <v>1.0</v>
      </c>
      <c r="J553" s="8">
        <v>1.0</v>
      </c>
      <c r="K553" s="8">
        <v>1.0</v>
      </c>
      <c r="L553" s="8">
        <v>6.0</v>
      </c>
      <c r="M553" s="8"/>
      <c r="N553" s="8"/>
      <c r="O553" s="8" t="s">
        <v>721</v>
      </c>
      <c r="P553" s="8">
        <v>8.0</v>
      </c>
    </row>
    <row r="554">
      <c r="A554">
        <f>IFERROR(__xludf.DUMMYFUNCTION("""COMPUTED_VALUE"""),6.0)</f>
        <v>6</v>
      </c>
      <c r="B554">
        <f>IFERROR(__xludf.DUMMYFUNCTION("""COMPUTED_VALUE"""),31132.0)</f>
        <v>31132</v>
      </c>
      <c r="C554" t="str">
        <f>IFERROR(__xludf.DUMMYFUNCTION("""COMPUTED_VALUE"""),"VASQUEZ HENAO, MATIAS")</f>
        <v>VASQUEZ HENAO, MATIAS</v>
      </c>
      <c r="D554" t="str">
        <f>IFERROR(__xludf.DUMMYFUNCTION("""COMPUTED_VALUE"""),"Math 6")</f>
        <v>Math 6</v>
      </c>
      <c r="E554" s="31">
        <f>IFERROR(__xludf.DUMMYFUNCTION("""COMPUTED_VALUE"""),4.0)</f>
        <v>4</v>
      </c>
      <c r="F554" s="8">
        <v>1.0</v>
      </c>
      <c r="G554" s="8">
        <v>1.0</v>
      </c>
      <c r="H554" s="8">
        <v>1.0</v>
      </c>
      <c r="I554" s="8">
        <v>1.0</v>
      </c>
      <c r="J554" s="8">
        <v>1.0</v>
      </c>
      <c r="K554" s="8">
        <v>1.0</v>
      </c>
      <c r="L554" s="8">
        <v>6.0</v>
      </c>
      <c r="M554" s="8"/>
      <c r="N554" s="8"/>
      <c r="O554" s="8" t="s">
        <v>722</v>
      </c>
      <c r="P554" s="8">
        <v>8.0</v>
      </c>
    </row>
    <row r="555">
      <c r="A555">
        <f>IFERROR(__xludf.DUMMYFUNCTION("""COMPUTED_VALUE"""),6.0)</f>
        <v>6</v>
      </c>
      <c r="B555">
        <f>IFERROR(__xludf.DUMMYFUNCTION("""COMPUTED_VALUE"""),30118.0)</f>
        <v>30118</v>
      </c>
      <c r="C555" t="str">
        <f>IFERROR(__xludf.DUMMYFUNCTION("""COMPUTED_VALUE"""),"VASQUEZ MEDINA, MATIAS")</f>
        <v>VASQUEZ MEDINA, MATIAS</v>
      </c>
      <c r="D555" t="str">
        <f>IFERROR(__xludf.DUMMYFUNCTION("""COMPUTED_VALUE"""),"Math 6")</f>
        <v>Math 6</v>
      </c>
      <c r="E555" s="31">
        <f>IFERROR(__xludf.DUMMYFUNCTION("""COMPUTED_VALUE"""),6.0)</f>
        <v>6</v>
      </c>
      <c r="F555" s="8">
        <v>1.0</v>
      </c>
      <c r="G555" s="8">
        <v>1.0</v>
      </c>
      <c r="H555" s="8">
        <v>1.0</v>
      </c>
      <c r="I555" s="8">
        <v>1.0</v>
      </c>
      <c r="J555" s="8">
        <v>1.0</v>
      </c>
      <c r="K555" s="8">
        <v>1.0</v>
      </c>
      <c r="L555" s="8">
        <v>6.0</v>
      </c>
      <c r="M555" s="8"/>
      <c r="N555" s="8"/>
      <c r="O555" s="8" t="s">
        <v>718</v>
      </c>
      <c r="P555" s="8">
        <v>8.0</v>
      </c>
    </row>
    <row r="556">
      <c r="A556">
        <f>IFERROR(__xludf.DUMMYFUNCTION("""COMPUTED_VALUE"""),6.0)</f>
        <v>6</v>
      </c>
      <c r="B556">
        <f>IFERROR(__xludf.DUMMYFUNCTION("""COMPUTED_VALUE"""),31134.0)</f>
        <v>31134</v>
      </c>
      <c r="C556" t="str">
        <f>IFERROR(__xludf.DUMMYFUNCTION("""COMPUTED_VALUE"""),"VELEZ ARANGO, LAURA")</f>
        <v>VELEZ ARANGO, LAURA</v>
      </c>
      <c r="D556" t="str">
        <f>IFERROR(__xludf.DUMMYFUNCTION("""COMPUTED_VALUE"""),"Math 6A")</f>
        <v>Math 6A</v>
      </c>
      <c r="E556" s="31">
        <f>IFERROR(__xludf.DUMMYFUNCTION("""COMPUTED_VALUE"""),5.0)</f>
        <v>5</v>
      </c>
      <c r="F556" s="8">
        <v>1.0</v>
      </c>
      <c r="G556" s="8">
        <v>1.0</v>
      </c>
      <c r="H556" s="8">
        <v>1.0</v>
      </c>
      <c r="I556" s="8">
        <v>1.0</v>
      </c>
      <c r="J556" s="8">
        <v>1.0</v>
      </c>
      <c r="K556" s="8">
        <v>1.0</v>
      </c>
      <c r="L556" s="8">
        <v>6.0</v>
      </c>
      <c r="M556" s="8"/>
      <c r="N556" s="8"/>
      <c r="O556" s="8" t="s">
        <v>720</v>
      </c>
      <c r="P556" s="8" t="e">
        <v>#N/A</v>
      </c>
    </row>
    <row r="557">
      <c r="A557">
        <f>IFERROR(__xludf.DUMMYFUNCTION("""COMPUTED_VALUE"""),6.0)</f>
        <v>6</v>
      </c>
      <c r="B557">
        <f>IFERROR(__xludf.DUMMYFUNCTION("""COMPUTED_VALUE"""),31135.0)</f>
        <v>31135</v>
      </c>
      <c r="C557" t="str">
        <f>IFERROR(__xludf.DUMMYFUNCTION("""COMPUTED_VALUE"""),"VELEZ ARANGO, PEDRO")</f>
        <v>VELEZ ARANGO, PEDRO</v>
      </c>
      <c r="D557" t="str">
        <f>IFERROR(__xludf.DUMMYFUNCTION("""COMPUTED_VALUE"""),"Math 6")</f>
        <v>Math 6</v>
      </c>
      <c r="E557" s="31">
        <f>IFERROR(__xludf.DUMMYFUNCTION("""COMPUTED_VALUE"""),4.0)</f>
        <v>4</v>
      </c>
      <c r="F557" s="8">
        <v>1.0</v>
      </c>
      <c r="G557" s="8">
        <v>1.0</v>
      </c>
      <c r="H557" s="8">
        <v>1.0</v>
      </c>
      <c r="I557" s="8">
        <v>1.0</v>
      </c>
      <c r="J557" s="8">
        <v>1.0</v>
      </c>
      <c r="K557" s="8">
        <v>1.0</v>
      </c>
      <c r="L557" s="8">
        <v>6.0</v>
      </c>
      <c r="M557" s="8"/>
      <c r="N557" s="8"/>
      <c r="O557" s="8" t="s">
        <v>722</v>
      </c>
      <c r="P557" s="8">
        <v>8.0</v>
      </c>
    </row>
    <row r="558">
      <c r="A558">
        <f>IFERROR(__xludf.DUMMYFUNCTION("""COMPUTED_VALUE"""),6.0)</f>
        <v>6</v>
      </c>
      <c r="B558">
        <f>IFERROR(__xludf.DUMMYFUNCTION("""COMPUTED_VALUE"""),31174.0)</f>
        <v>31174</v>
      </c>
      <c r="C558" t="str">
        <f>IFERROR(__xludf.DUMMYFUNCTION("""COMPUTED_VALUE"""),"WILSON, HERBERT GEORGE")</f>
        <v>WILSON, HERBERT GEORGE</v>
      </c>
      <c r="D558" t="str">
        <f>IFERROR(__xludf.DUMMYFUNCTION("""COMPUTED_VALUE"""),"Math 6")</f>
        <v>Math 6</v>
      </c>
      <c r="E558" s="31">
        <f>IFERROR(__xludf.DUMMYFUNCTION("""COMPUTED_VALUE"""),1.0)</f>
        <v>1</v>
      </c>
      <c r="F558" s="8">
        <v>1.0</v>
      </c>
      <c r="G558" s="8">
        <v>1.0</v>
      </c>
      <c r="H558" s="8">
        <v>1.0</v>
      </c>
      <c r="I558" s="8">
        <v>1.0</v>
      </c>
      <c r="J558" s="8">
        <v>1.0</v>
      </c>
      <c r="K558" s="8">
        <v>1.0</v>
      </c>
      <c r="L558" s="8">
        <v>6.0</v>
      </c>
      <c r="M558" s="8"/>
      <c r="N558" s="8"/>
      <c r="O558" s="8" t="s">
        <v>719</v>
      </c>
      <c r="P558" s="8">
        <v>8.0</v>
      </c>
    </row>
    <row r="559">
      <c r="A559">
        <f>IFERROR(__xludf.DUMMYFUNCTION("""COMPUTED_VALUE"""),6.0)</f>
        <v>6</v>
      </c>
      <c r="B559">
        <f>IFERROR(__xludf.DUMMYFUNCTION("""COMPUTED_VALUE"""),31136.0)</f>
        <v>31136</v>
      </c>
      <c r="C559" t="str">
        <f>IFERROR(__xludf.DUMMYFUNCTION("""COMPUTED_VALUE"""),"YANOVICH URIBE, MARCOS")</f>
        <v>YANOVICH URIBE, MARCOS</v>
      </c>
      <c r="D559" t="str">
        <f>IFERROR(__xludf.DUMMYFUNCTION("""COMPUTED_VALUE"""),"Math 6")</f>
        <v>Math 6</v>
      </c>
      <c r="E559" s="31">
        <f>IFERROR(__xludf.DUMMYFUNCTION("""COMPUTED_VALUE"""),3.0)</f>
        <v>3</v>
      </c>
      <c r="F559" s="8">
        <v>1.0</v>
      </c>
      <c r="G559" s="8">
        <v>1.0</v>
      </c>
      <c r="H559" s="8">
        <v>1.0</v>
      </c>
      <c r="I559" s="8">
        <v>1.0</v>
      </c>
      <c r="J559" s="8">
        <v>1.0</v>
      </c>
      <c r="K559" s="8">
        <v>1.0</v>
      </c>
      <c r="L559" s="8">
        <v>6.0</v>
      </c>
      <c r="M559" s="8"/>
      <c r="N559" s="8"/>
      <c r="O559" s="8" t="s">
        <v>717</v>
      </c>
      <c r="P559" s="8">
        <v>8.0</v>
      </c>
    </row>
    <row r="560">
      <c r="A560">
        <f>IFERROR(__xludf.DUMMYFUNCTION("""COMPUTED_VALUE"""),6.0)</f>
        <v>6</v>
      </c>
      <c r="B560">
        <f>IFERROR(__xludf.DUMMYFUNCTION("""COMPUTED_VALUE"""),30157.0)</f>
        <v>30157</v>
      </c>
      <c r="C560" t="str">
        <f>IFERROR(__xludf.DUMMYFUNCTION("""COMPUTED_VALUE"""),"ZARRUK BELTRAN, ALEJANDRO")</f>
        <v>ZARRUK BELTRAN, ALEJANDRO</v>
      </c>
      <c r="D560" t="str">
        <f>IFERROR(__xludf.DUMMYFUNCTION("""COMPUTED_VALUE"""),"Math 6")</f>
        <v>Math 6</v>
      </c>
      <c r="E560" s="31">
        <f>IFERROR(__xludf.DUMMYFUNCTION("""COMPUTED_VALUE"""),5.0)</f>
        <v>5</v>
      </c>
      <c r="F560" s="8">
        <v>1.0</v>
      </c>
      <c r="G560" s="8">
        <v>1.0</v>
      </c>
      <c r="H560" s="8">
        <v>1.0</v>
      </c>
      <c r="I560" s="8">
        <v>1.0</v>
      </c>
      <c r="J560" s="8">
        <v>1.0</v>
      </c>
      <c r="K560" s="8">
        <v>1.0</v>
      </c>
      <c r="L560" s="8">
        <v>6.0</v>
      </c>
      <c r="M560" s="8"/>
      <c r="N560" s="8"/>
      <c r="O560" s="8" t="s">
        <v>721</v>
      </c>
      <c r="P560" s="8">
        <v>8.0</v>
      </c>
    </row>
    <row r="561">
      <c r="A561">
        <f>IFERROR(__xludf.DUMMYFUNCTION("""COMPUTED_VALUE"""),6.0)</f>
        <v>6</v>
      </c>
      <c r="B561">
        <f>IFERROR(__xludf.DUMMYFUNCTION("""COMPUTED_VALUE"""),31138.0)</f>
        <v>31138</v>
      </c>
      <c r="C561" t="str">
        <f>IFERROR(__xludf.DUMMYFUNCTION("""COMPUTED_VALUE"""),"ZULOAGA MUÑOZ, PEDRO")</f>
        <v>ZULOAGA MUÑOZ, PEDRO</v>
      </c>
      <c r="D561" t="str">
        <f>IFERROR(__xludf.DUMMYFUNCTION("""COMPUTED_VALUE"""),"Math 6")</f>
        <v>Math 6</v>
      </c>
      <c r="E561" s="31">
        <f>IFERROR(__xludf.DUMMYFUNCTION("""COMPUTED_VALUE"""),5.0)</f>
        <v>5</v>
      </c>
      <c r="F561" s="8">
        <v>1.0</v>
      </c>
      <c r="G561" s="8">
        <v>1.0</v>
      </c>
      <c r="H561" s="8">
        <v>1.0</v>
      </c>
      <c r="I561" s="8">
        <v>1.0</v>
      </c>
      <c r="J561" s="8">
        <v>1.0</v>
      </c>
      <c r="K561" s="8">
        <v>1.0</v>
      </c>
      <c r="L561" s="8">
        <v>6.0</v>
      </c>
      <c r="M561" s="8"/>
      <c r="N561" s="8"/>
      <c r="O561" s="8" t="s">
        <v>721</v>
      </c>
      <c r="P561" s="8">
        <v>8.0</v>
      </c>
    </row>
    <row r="562">
      <c r="A562">
        <f>IFERROR(__xludf.DUMMYFUNCTION("""COMPUTED_VALUE"""),6.0)</f>
        <v>6</v>
      </c>
      <c r="B562">
        <f>IFERROR(__xludf.DUMMYFUNCTION("""COMPUTED_VALUE"""),31137.0)</f>
        <v>31137</v>
      </c>
      <c r="C562" t="str">
        <f>IFERROR(__xludf.DUMMYFUNCTION("""COMPUTED_VALUE"""),"ZULUAGA HOYOS, ALEJANDRO")</f>
        <v>ZULUAGA HOYOS, ALEJANDRO</v>
      </c>
      <c r="D562" t="str">
        <f>IFERROR(__xludf.DUMMYFUNCTION("""COMPUTED_VALUE"""),"Math 6")</f>
        <v>Math 6</v>
      </c>
      <c r="E562" s="31">
        <f>IFERROR(__xludf.DUMMYFUNCTION("""COMPUTED_VALUE"""),1.0)</f>
        <v>1</v>
      </c>
      <c r="F562" s="8">
        <v>1.0</v>
      </c>
      <c r="G562" s="8">
        <v>1.0</v>
      </c>
      <c r="H562" s="8">
        <v>1.0</v>
      </c>
      <c r="I562" s="8">
        <v>1.0</v>
      </c>
      <c r="J562" s="8">
        <v>1.0</v>
      </c>
      <c r="K562" s="8">
        <v>1.0</v>
      </c>
      <c r="L562" s="8">
        <v>6.0</v>
      </c>
      <c r="M562" s="8"/>
      <c r="N562" s="8"/>
      <c r="O562" s="8" t="s">
        <v>719</v>
      </c>
      <c r="P562" s="8">
        <v>8.0</v>
      </c>
    </row>
    <row r="563">
      <c r="A563">
        <f>IFERROR(__xludf.DUMMYFUNCTION("""COMPUTED_VALUE"""),7.0)</f>
        <v>7</v>
      </c>
      <c r="B563">
        <f>IFERROR(__xludf.DUMMYFUNCTION("""COMPUTED_VALUE"""),30001.0)</f>
        <v>30001</v>
      </c>
      <c r="C563" t="str">
        <f>IFERROR(__xludf.DUMMYFUNCTION("""COMPUTED_VALUE"""),"ALVAREZ GOMEZ, FEDERICO")</f>
        <v>ALVAREZ GOMEZ, FEDERICO</v>
      </c>
      <c r="D563" t="str">
        <f>IFERROR(__xludf.DUMMYFUNCTION("""COMPUTED_VALUE"""),"Math 7")</f>
        <v>Math 7</v>
      </c>
      <c r="E563" s="31">
        <f>IFERROR(__xludf.DUMMYFUNCTION("""COMPUTED_VALUE"""),5.0)</f>
        <v>5</v>
      </c>
      <c r="F563" s="8">
        <v>1.0</v>
      </c>
      <c r="G563" s="8">
        <v>1.0</v>
      </c>
      <c r="H563" s="8">
        <v>1.0</v>
      </c>
      <c r="I563" s="8">
        <v>1.0</v>
      </c>
      <c r="J563" s="8">
        <v>1.0</v>
      </c>
      <c r="K563" s="8">
        <v>1.0</v>
      </c>
      <c r="L563" s="8">
        <v>6.0</v>
      </c>
      <c r="M563" s="8"/>
      <c r="N563" s="8"/>
      <c r="O563" s="8" t="s">
        <v>723</v>
      </c>
      <c r="P563" s="8">
        <v>6.0</v>
      </c>
    </row>
    <row r="564">
      <c r="A564">
        <f>IFERROR(__xludf.DUMMYFUNCTION("""COMPUTED_VALUE"""),7.0)</f>
        <v>7</v>
      </c>
      <c r="B564">
        <f>IFERROR(__xludf.DUMMYFUNCTION("""COMPUTED_VALUE"""),30002.0)</f>
        <v>30002</v>
      </c>
      <c r="C564" t="str">
        <f>IFERROR(__xludf.DUMMYFUNCTION("""COMPUTED_VALUE"""),"ALVAREZ VERA, ALEJANDRA")</f>
        <v>ALVAREZ VERA, ALEJANDRA</v>
      </c>
      <c r="D564" t="str">
        <f>IFERROR(__xludf.DUMMYFUNCTION("""COMPUTED_VALUE"""),"Math 7")</f>
        <v>Math 7</v>
      </c>
      <c r="E564" s="31">
        <f>IFERROR(__xludf.DUMMYFUNCTION("""COMPUTED_VALUE"""),4.0)</f>
        <v>4</v>
      </c>
      <c r="F564" s="8">
        <v>1.0</v>
      </c>
      <c r="G564" s="8">
        <v>1.0</v>
      </c>
      <c r="H564" s="8">
        <v>1.0</v>
      </c>
      <c r="I564" s="8">
        <v>1.0</v>
      </c>
      <c r="J564" s="8">
        <v>1.0</v>
      </c>
      <c r="K564" s="8">
        <v>1.0</v>
      </c>
      <c r="L564" s="8">
        <v>6.0</v>
      </c>
      <c r="M564" s="8"/>
      <c r="N564" s="8"/>
      <c r="O564" s="8" t="s">
        <v>724</v>
      </c>
      <c r="P564" s="8">
        <v>6.0</v>
      </c>
    </row>
    <row r="565">
      <c r="A565">
        <f>IFERROR(__xludf.DUMMYFUNCTION("""COMPUTED_VALUE"""),7.0)</f>
        <v>7</v>
      </c>
      <c r="B565">
        <f>IFERROR(__xludf.DUMMYFUNCTION("""COMPUTED_VALUE"""),30003.0)</f>
        <v>30003</v>
      </c>
      <c r="C565" t="str">
        <f>IFERROR(__xludf.DUMMYFUNCTION("""COMPUTED_VALUE"""),"ALZATE ZAPATA, SIMON")</f>
        <v>ALZATE ZAPATA, SIMON</v>
      </c>
      <c r="D565" t="str">
        <f>IFERROR(__xludf.DUMMYFUNCTION("""COMPUTED_VALUE"""),"Math 7A")</f>
        <v>Math 7A</v>
      </c>
      <c r="E565" s="31">
        <f>IFERROR(__xludf.DUMMYFUNCTION("""COMPUTED_VALUE"""),4.0)</f>
        <v>4</v>
      </c>
      <c r="F565" s="8">
        <v>1.0</v>
      </c>
      <c r="G565" s="8">
        <v>1.0</v>
      </c>
      <c r="H565" s="8">
        <v>1.0</v>
      </c>
      <c r="I565" s="8">
        <v>1.0</v>
      </c>
      <c r="J565" s="8">
        <v>1.0</v>
      </c>
      <c r="K565" s="8">
        <v>1.0</v>
      </c>
      <c r="L565" s="8">
        <v>6.0</v>
      </c>
      <c r="M565" s="8"/>
      <c r="N565" s="8"/>
      <c r="O565" s="8" t="s">
        <v>725</v>
      </c>
      <c r="P565" s="8" t="e">
        <v>#N/A</v>
      </c>
    </row>
    <row r="566">
      <c r="A566">
        <f>IFERROR(__xludf.DUMMYFUNCTION("""COMPUTED_VALUE"""),7.0)</f>
        <v>7</v>
      </c>
      <c r="B566">
        <f>IFERROR(__xludf.DUMMYFUNCTION("""COMPUTED_VALUE"""),30004.0)</f>
        <v>30004</v>
      </c>
      <c r="C566" t="str">
        <f>IFERROR(__xludf.DUMMYFUNCTION("""COMPUTED_VALUE"""),"ANGEL MEDINA, LUCIA")</f>
        <v>ANGEL MEDINA, LUCIA</v>
      </c>
      <c r="D566" t="str">
        <f>IFERROR(__xludf.DUMMYFUNCTION("""COMPUTED_VALUE"""),"Math 7A")</f>
        <v>Math 7A</v>
      </c>
      <c r="E566" s="31">
        <f>IFERROR(__xludf.DUMMYFUNCTION("""COMPUTED_VALUE"""),3.0)</f>
        <v>3</v>
      </c>
      <c r="F566" s="8">
        <v>1.0</v>
      </c>
      <c r="G566" s="8">
        <v>1.0</v>
      </c>
      <c r="H566" s="8">
        <v>1.0</v>
      </c>
      <c r="I566" s="8">
        <v>1.0</v>
      </c>
      <c r="J566" s="8">
        <v>1.0</v>
      </c>
      <c r="K566" s="8">
        <v>1.0</v>
      </c>
      <c r="L566" s="8">
        <v>6.0</v>
      </c>
      <c r="M566" s="8"/>
      <c r="N566" s="8"/>
      <c r="O566" s="8" t="s">
        <v>726</v>
      </c>
      <c r="P566" s="8" t="e">
        <v>#N/A</v>
      </c>
    </row>
    <row r="567">
      <c r="A567">
        <f>IFERROR(__xludf.DUMMYFUNCTION("""COMPUTED_VALUE"""),7.0)</f>
        <v>7</v>
      </c>
      <c r="B567">
        <f>IFERROR(__xludf.DUMMYFUNCTION("""COMPUTED_VALUE"""),30005.0)</f>
        <v>30005</v>
      </c>
      <c r="C567" t="str">
        <f>IFERROR(__xludf.DUMMYFUNCTION("""COMPUTED_VALUE"""),"APA ECHAVARRIA, LUCIANO")</f>
        <v>APA ECHAVARRIA, LUCIANO</v>
      </c>
      <c r="D567" t="str">
        <f>IFERROR(__xludf.DUMMYFUNCTION("""COMPUTED_VALUE"""),"Math 7")</f>
        <v>Math 7</v>
      </c>
      <c r="E567" s="31">
        <f>IFERROR(__xludf.DUMMYFUNCTION("""COMPUTED_VALUE"""),6.0)</f>
        <v>6</v>
      </c>
      <c r="F567" s="8">
        <v>1.0</v>
      </c>
      <c r="G567" s="8">
        <v>1.0</v>
      </c>
      <c r="H567" s="8">
        <v>1.0</v>
      </c>
      <c r="I567" s="8">
        <v>1.0</v>
      </c>
      <c r="J567" s="8">
        <v>1.0</v>
      </c>
      <c r="K567" s="8">
        <v>1.0</v>
      </c>
      <c r="L567" s="8">
        <v>6.0</v>
      </c>
      <c r="M567" s="8"/>
      <c r="N567" s="8"/>
      <c r="O567" s="8" t="s">
        <v>727</v>
      </c>
      <c r="P567" s="8">
        <v>6.0</v>
      </c>
    </row>
    <row r="568">
      <c r="A568">
        <f>IFERROR(__xludf.DUMMYFUNCTION("""COMPUTED_VALUE"""),7.0)</f>
        <v>7</v>
      </c>
      <c r="B568">
        <f>IFERROR(__xludf.DUMMYFUNCTION("""COMPUTED_VALUE"""),30006.0)</f>
        <v>30006</v>
      </c>
      <c r="C568" t="str">
        <f>IFERROR(__xludf.DUMMYFUNCTION("""COMPUTED_VALUE"""),"ARANGO DUQUE, MIGUEL")</f>
        <v>ARANGO DUQUE, MIGUEL</v>
      </c>
      <c r="D568" t="str">
        <f>IFERROR(__xludf.DUMMYFUNCTION("""COMPUTED_VALUE"""),"Math 7A")</f>
        <v>Math 7A</v>
      </c>
      <c r="E568" s="31">
        <f>IFERROR(__xludf.DUMMYFUNCTION("""COMPUTED_VALUE"""),4.0)</f>
        <v>4</v>
      </c>
      <c r="F568" s="8">
        <v>1.0</v>
      </c>
      <c r="G568" s="8">
        <v>1.0</v>
      </c>
      <c r="H568" s="8">
        <v>1.0</v>
      </c>
      <c r="I568" s="8">
        <v>1.0</v>
      </c>
      <c r="J568" s="8">
        <v>1.0</v>
      </c>
      <c r="K568" s="8">
        <v>1.0</v>
      </c>
      <c r="L568" s="8">
        <v>6.0</v>
      </c>
      <c r="M568" s="8"/>
      <c r="N568" s="8"/>
      <c r="O568" s="8" t="s">
        <v>725</v>
      </c>
      <c r="P568" s="8" t="e">
        <v>#N/A</v>
      </c>
    </row>
    <row r="569">
      <c r="A569">
        <f>IFERROR(__xludf.DUMMYFUNCTION("""COMPUTED_VALUE"""),7.0)</f>
        <v>7</v>
      </c>
      <c r="B569">
        <f>IFERROR(__xludf.DUMMYFUNCTION("""COMPUTED_VALUE"""),30169.0)</f>
        <v>30169</v>
      </c>
      <c r="C569" t="str">
        <f>IFERROR(__xludf.DUMMYFUNCTION("""COMPUTED_VALUE"""),"ARANGO LINHARES, FILIPPA")</f>
        <v>ARANGO LINHARES, FILIPPA</v>
      </c>
      <c r="D569" t="str">
        <f>IFERROR(__xludf.DUMMYFUNCTION("""COMPUTED_VALUE"""),"Math 7A")</f>
        <v>Math 7A</v>
      </c>
      <c r="E569" s="31">
        <f>IFERROR(__xludf.DUMMYFUNCTION("""COMPUTED_VALUE"""),3.0)</f>
        <v>3</v>
      </c>
      <c r="F569" s="8">
        <v>1.0</v>
      </c>
      <c r="G569" s="8">
        <v>1.0</v>
      </c>
      <c r="H569" s="8">
        <v>1.0</v>
      </c>
      <c r="I569" s="8">
        <v>1.0</v>
      </c>
      <c r="J569" s="8">
        <v>1.0</v>
      </c>
      <c r="K569" s="8">
        <v>1.0</v>
      </c>
      <c r="L569" s="8">
        <v>6.0</v>
      </c>
      <c r="M569" s="8"/>
      <c r="N569" s="8"/>
      <c r="O569" s="8" t="s">
        <v>726</v>
      </c>
      <c r="P569" s="8" t="e">
        <v>#N/A</v>
      </c>
    </row>
    <row r="570">
      <c r="A570">
        <f>IFERROR(__xludf.DUMMYFUNCTION("""COMPUTED_VALUE"""),7.0)</f>
        <v>7</v>
      </c>
      <c r="B570">
        <f>IFERROR(__xludf.DUMMYFUNCTION("""COMPUTED_VALUE"""),30007.0)</f>
        <v>30007</v>
      </c>
      <c r="C570" t="str">
        <f>IFERROR(__xludf.DUMMYFUNCTION("""COMPUTED_VALUE"""),"ARANGO RODRIGUEZ, RAFAEL")</f>
        <v>ARANGO RODRIGUEZ, RAFAEL</v>
      </c>
      <c r="D570" t="str">
        <f>IFERROR(__xludf.DUMMYFUNCTION("""COMPUTED_VALUE"""),"Math 7")</f>
        <v>Math 7</v>
      </c>
      <c r="E570" s="31">
        <f>IFERROR(__xludf.DUMMYFUNCTION("""COMPUTED_VALUE"""),5.0)</f>
        <v>5</v>
      </c>
      <c r="F570" s="8">
        <v>1.0</v>
      </c>
      <c r="G570" s="8">
        <v>1.0</v>
      </c>
      <c r="H570" s="8">
        <v>1.0</v>
      </c>
      <c r="I570" s="8">
        <v>1.0</v>
      </c>
      <c r="J570" s="8">
        <v>1.0</v>
      </c>
      <c r="K570" s="8">
        <v>1.0</v>
      </c>
      <c r="L570" s="8">
        <v>6.0</v>
      </c>
      <c r="M570" s="8"/>
      <c r="N570" s="8"/>
      <c r="O570" s="8" t="s">
        <v>723</v>
      </c>
      <c r="P570" s="8">
        <v>6.0</v>
      </c>
    </row>
    <row r="571">
      <c r="A571">
        <f>IFERROR(__xludf.DUMMYFUNCTION("""COMPUTED_VALUE"""),7.0)</f>
        <v>7</v>
      </c>
      <c r="B571">
        <f>IFERROR(__xludf.DUMMYFUNCTION("""COMPUTED_VALUE"""),30008.0)</f>
        <v>30008</v>
      </c>
      <c r="C571" t="str">
        <f>IFERROR(__xludf.DUMMYFUNCTION("""COMPUTED_VALUE"""),"ARANGO VELEZ, ALICIA")</f>
        <v>ARANGO VELEZ, ALICIA</v>
      </c>
      <c r="D571" t="str">
        <f>IFERROR(__xludf.DUMMYFUNCTION("""COMPUTED_VALUE"""),"Math 7")</f>
        <v>Math 7</v>
      </c>
      <c r="E571" s="31">
        <f>IFERROR(__xludf.DUMMYFUNCTION("""COMPUTED_VALUE"""),3.0)</f>
        <v>3</v>
      </c>
      <c r="F571" s="8">
        <v>1.0</v>
      </c>
      <c r="G571" s="8">
        <v>1.0</v>
      </c>
      <c r="H571" s="8">
        <v>1.0</v>
      </c>
      <c r="I571" s="8">
        <v>1.0</v>
      </c>
      <c r="J571" s="8">
        <v>1.0</v>
      </c>
      <c r="K571" s="8">
        <v>1.0</v>
      </c>
      <c r="L571" s="8">
        <v>6.0</v>
      </c>
      <c r="M571" s="8"/>
      <c r="N571" s="8"/>
      <c r="O571" s="8" t="s">
        <v>728</v>
      </c>
      <c r="P571" s="8">
        <v>6.0</v>
      </c>
    </row>
    <row r="572">
      <c r="A572">
        <f>IFERROR(__xludf.DUMMYFUNCTION("""COMPUTED_VALUE"""),7.0)</f>
        <v>7</v>
      </c>
      <c r="B572">
        <f>IFERROR(__xludf.DUMMYFUNCTION("""COMPUTED_VALUE"""),29014.0)</f>
        <v>29014</v>
      </c>
      <c r="C572" t="str">
        <f>IFERROR(__xludf.DUMMYFUNCTION("""COMPUTED_VALUE"""),"ARISMENDI MELO, MARIANA")</f>
        <v>ARISMENDI MELO, MARIANA</v>
      </c>
      <c r="D572" t="str">
        <f>IFERROR(__xludf.DUMMYFUNCTION("""COMPUTED_VALUE"""),"Math 7A")</f>
        <v>Math 7A</v>
      </c>
      <c r="E572" s="31">
        <f>IFERROR(__xludf.DUMMYFUNCTION("""COMPUTED_VALUE"""),3.0)</f>
        <v>3</v>
      </c>
      <c r="F572" s="8">
        <v>1.0</v>
      </c>
      <c r="G572" s="8">
        <v>1.0</v>
      </c>
      <c r="H572" s="8">
        <v>1.0</v>
      </c>
      <c r="I572" s="8">
        <v>1.0</v>
      </c>
      <c r="J572" s="8">
        <v>1.0</v>
      </c>
      <c r="K572" s="8">
        <v>1.0</v>
      </c>
      <c r="L572" s="8">
        <v>6.0</v>
      </c>
      <c r="M572" s="8"/>
      <c r="N572" s="8"/>
      <c r="O572" s="8" t="s">
        <v>726</v>
      </c>
      <c r="P572" s="8" t="e">
        <v>#N/A</v>
      </c>
    </row>
    <row r="573">
      <c r="A573">
        <f>IFERROR(__xludf.DUMMYFUNCTION("""COMPUTED_VALUE"""),7.0)</f>
        <v>7</v>
      </c>
      <c r="B573">
        <f>IFERROR(__xludf.DUMMYFUNCTION("""COMPUTED_VALUE"""),30009.0)</f>
        <v>30009</v>
      </c>
      <c r="C573" t="str">
        <f>IFERROR(__xludf.DUMMYFUNCTION("""COMPUTED_VALUE"""),"ARISTIZABAL BOLIVAR, EMILIANA")</f>
        <v>ARISTIZABAL BOLIVAR, EMILIANA</v>
      </c>
      <c r="D573" t="str">
        <f>IFERROR(__xludf.DUMMYFUNCTION("""COMPUTED_VALUE"""),"Math 7A")</f>
        <v>Math 7A</v>
      </c>
      <c r="E573" s="31">
        <f>IFERROR(__xludf.DUMMYFUNCTION("""COMPUTED_VALUE"""),4.0)</f>
        <v>4</v>
      </c>
      <c r="F573" s="8">
        <v>1.0</v>
      </c>
      <c r="G573" s="8">
        <v>1.0</v>
      </c>
      <c r="H573" s="8">
        <v>1.0</v>
      </c>
      <c r="I573" s="8">
        <v>1.0</v>
      </c>
      <c r="J573" s="8">
        <v>1.0</v>
      </c>
      <c r="K573" s="8">
        <v>1.0</v>
      </c>
      <c r="L573" s="8">
        <v>6.0</v>
      </c>
      <c r="M573" s="8"/>
      <c r="N573" s="8"/>
      <c r="O573" s="8" t="s">
        <v>725</v>
      </c>
      <c r="P573" s="8" t="e">
        <v>#N/A</v>
      </c>
    </row>
    <row r="574">
      <c r="A574">
        <f>IFERROR(__xludf.DUMMYFUNCTION("""COMPUTED_VALUE"""),7.0)</f>
        <v>7</v>
      </c>
      <c r="B574">
        <f>IFERROR(__xludf.DUMMYFUNCTION("""COMPUTED_VALUE"""),30010.0)</f>
        <v>30010</v>
      </c>
      <c r="C574" t="str">
        <f>IFERROR(__xludf.DUMMYFUNCTION("""COMPUTED_VALUE"""),"ARISTIZABAL BOLIVAR, MATILDE")</f>
        <v>ARISTIZABAL BOLIVAR, MATILDE</v>
      </c>
      <c r="D574" t="str">
        <f>IFERROR(__xludf.DUMMYFUNCTION("""COMPUTED_VALUE"""),"Math 7")</f>
        <v>Math 7</v>
      </c>
      <c r="E574" s="31">
        <f>IFERROR(__xludf.DUMMYFUNCTION("""COMPUTED_VALUE"""),6.0)</f>
        <v>6</v>
      </c>
      <c r="F574" s="8">
        <v>1.0</v>
      </c>
      <c r="G574" s="8">
        <v>1.0</v>
      </c>
      <c r="H574" s="8">
        <v>1.0</v>
      </c>
      <c r="I574" s="8">
        <v>1.0</v>
      </c>
      <c r="J574" s="8">
        <v>1.0</v>
      </c>
      <c r="K574" s="8">
        <v>1.0</v>
      </c>
      <c r="L574" s="8">
        <v>6.0</v>
      </c>
      <c r="M574" s="8"/>
      <c r="N574" s="8"/>
      <c r="O574" s="8" t="s">
        <v>727</v>
      </c>
      <c r="P574" s="8">
        <v>6.0</v>
      </c>
    </row>
    <row r="575">
      <c r="A575">
        <f>IFERROR(__xludf.DUMMYFUNCTION("""COMPUTED_VALUE"""),7.0)</f>
        <v>7</v>
      </c>
      <c r="B575">
        <f>IFERROR(__xludf.DUMMYFUNCTION("""COMPUTED_VALUE"""),30011.0)</f>
        <v>30011</v>
      </c>
      <c r="C575" t="str">
        <f>IFERROR(__xludf.DUMMYFUNCTION("""COMPUTED_VALUE"""),"ARISTIZABAL ECHAVARRIA, MILAGROS")</f>
        <v>ARISTIZABAL ECHAVARRIA, MILAGROS</v>
      </c>
      <c r="D575" t="str">
        <f>IFERROR(__xludf.DUMMYFUNCTION("""COMPUTED_VALUE"""),"Math 7")</f>
        <v>Math 7</v>
      </c>
      <c r="E575" s="31">
        <f>IFERROR(__xludf.DUMMYFUNCTION("""COMPUTED_VALUE"""),3.0)</f>
        <v>3</v>
      </c>
      <c r="F575" s="8">
        <v>1.0</v>
      </c>
      <c r="G575" s="8">
        <v>1.0</v>
      </c>
      <c r="H575" s="8">
        <v>1.0</v>
      </c>
      <c r="I575" s="8">
        <v>1.0</v>
      </c>
      <c r="J575" s="8">
        <v>1.0</v>
      </c>
      <c r="K575" s="8">
        <v>1.0</v>
      </c>
      <c r="L575" s="8">
        <v>6.0</v>
      </c>
      <c r="M575" s="8"/>
      <c r="N575" s="8"/>
      <c r="O575" s="8" t="s">
        <v>728</v>
      </c>
      <c r="P575" s="8">
        <v>6.0</v>
      </c>
    </row>
    <row r="576">
      <c r="A576">
        <f>IFERROR(__xludf.DUMMYFUNCTION("""COMPUTED_VALUE"""),7.0)</f>
        <v>7</v>
      </c>
      <c r="B576">
        <f>IFERROR(__xludf.DUMMYFUNCTION("""COMPUTED_VALUE"""),30012.0)</f>
        <v>30012</v>
      </c>
      <c r="C576" t="str">
        <f>IFERROR(__xludf.DUMMYFUNCTION("""COMPUTED_VALUE"""),"ARISTIZABAL RESTREPO, AMALIA")</f>
        <v>ARISTIZABAL RESTREPO, AMALIA</v>
      </c>
      <c r="D576" t="str">
        <f>IFERROR(__xludf.DUMMYFUNCTION("""COMPUTED_VALUE"""),"Math 7")</f>
        <v>Math 7</v>
      </c>
      <c r="E576" s="31">
        <f>IFERROR(__xludf.DUMMYFUNCTION("""COMPUTED_VALUE"""),4.0)</f>
        <v>4</v>
      </c>
      <c r="F576" s="8">
        <v>1.0</v>
      </c>
      <c r="G576" s="8">
        <v>1.0</v>
      </c>
      <c r="H576" s="8">
        <v>1.0</v>
      </c>
      <c r="I576" s="8">
        <v>1.0</v>
      </c>
      <c r="J576" s="8">
        <v>1.0</v>
      </c>
      <c r="K576" s="8">
        <v>1.0</v>
      </c>
      <c r="L576" s="8">
        <v>6.0</v>
      </c>
      <c r="M576" s="8"/>
      <c r="N576" s="8"/>
      <c r="O576" s="8" t="s">
        <v>724</v>
      </c>
      <c r="P576" s="8">
        <v>6.0</v>
      </c>
    </row>
    <row r="577">
      <c r="A577">
        <f>IFERROR(__xludf.DUMMYFUNCTION("""COMPUTED_VALUE"""),7.0)</f>
        <v>7</v>
      </c>
      <c r="B577">
        <f>IFERROR(__xludf.DUMMYFUNCTION("""COMPUTED_VALUE"""),30014.0)</f>
        <v>30014</v>
      </c>
      <c r="C577" t="str">
        <f>IFERROR(__xludf.DUMMYFUNCTION("""COMPUTED_VALUE"""),"ARISTIZABAL VILLEGAS, ROSARIO")</f>
        <v>ARISTIZABAL VILLEGAS, ROSARIO</v>
      </c>
      <c r="D577" t="str">
        <f>IFERROR(__xludf.DUMMYFUNCTION("""COMPUTED_VALUE"""),"Math 7")</f>
        <v>Math 7</v>
      </c>
      <c r="E577" s="31">
        <f>IFERROR(__xludf.DUMMYFUNCTION("""COMPUTED_VALUE"""),6.0)</f>
        <v>6</v>
      </c>
      <c r="F577" s="8">
        <v>1.0</v>
      </c>
      <c r="G577" s="8">
        <v>1.0</v>
      </c>
      <c r="H577" s="8">
        <v>1.0</v>
      </c>
      <c r="I577" s="8">
        <v>1.0</v>
      </c>
      <c r="J577" s="8">
        <v>1.0</v>
      </c>
      <c r="K577" s="8">
        <v>1.0</v>
      </c>
      <c r="L577" s="8">
        <v>6.0</v>
      </c>
      <c r="M577" s="8"/>
      <c r="N577" s="8"/>
      <c r="O577" s="8" t="s">
        <v>727</v>
      </c>
      <c r="P577" s="8">
        <v>6.0</v>
      </c>
    </row>
    <row r="578">
      <c r="A578">
        <f>IFERROR(__xludf.DUMMYFUNCTION("""COMPUTED_VALUE"""),7.0)</f>
        <v>7</v>
      </c>
      <c r="B578">
        <f>IFERROR(__xludf.DUMMYFUNCTION("""COMPUTED_VALUE"""),30013.0)</f>
        <v>30013</v>
      </c>
      <c r="C578" t="str">
        <f>IFERROR(__xludf.DUMMYFUNCTION("""COMPUTED_VALUE"""),"ARISTIZABAL ZULUAGA, SALVADOR")</f>
        <v>ARISTIZABAL ZULUAGA, SALVADOR</v>
      </c>
      <c r="D578" t="str">
        <f>IFERROR(__xludf.DUMMYFUNCTION("""COMPUTED_VALUE"""),"Math 7")</f>
        <v>Math 7</v>
      </c>
      <c r="E578" s="31">
        <f>IFERROR(__xludf.DUMMYFUNCTION("""COMPUTED_VALUE"""),5.0)</f>
        <v>5</v>
      </c>
      <c r="F578" s="8">
        <v>1.0</v>
      </c>
      <c r="G578" s="8">
        <v>1.0</v>
      </c>
      <c r="H578" s="8">
        <v>1.0</v>
      </c>
      <c r="I578" s="8">
        <v>1.0</v>
      </c>
      <c r="J578" s="8">
        <v>1.0</v>
      </c>
      <c r="K578" s="8">
        <v>1.0</v>
      </c>
      <c r="L578" s="8">
        <v>6.0</v>
      </c>
      <c r="M578" s="8"/>
      <c r="N578" s="8"/>
      <c r="O578" s="8" t="s">
        <v>723</v>
      </c>
      <c r="P578" s="8">
        <v>6.0</v>
      </c>
    </row>
    <row r="579">
      <c r="A579">
        <f>IFERROR(__xludf.DUMMYFUNCTION("""COMPUTED_VALUE"""),7.0)</f>
        <v>7</v>
      </c>
      <c r="B579">
        <f>IFERROR(__xludf.DUMMYFUNCTION("""COMPUTED_VALUE"""),29017.0)</f>
        <v>29017</v>
      </c>
      <c r="C579" t="str">
        <f>IFERROR(__xludf.DUMMYFUNCTION("""COMPUTED_VALUE"""),"ARROYAVE SIERRA, MATIAS")</f>
        <v>ARROYAVE SIERRA, MATIAS</v>
      </c>
      <c r="D579" t="str">
        <f>IFERROR(__xludf.DUMMYFUNCTION("""COMPUTED_VALUE"""),"Math 7A")</f>
        <v>Math 7A</v>
      </c>
      <c r="E579" s="31">
        <f>IFERROR(__xludf.DUMMYFUNCTION("""COMPUTED_VALUE"""),4.0)</f>
        <v>4</v>
      </c>
      <c r="F579" s="8">
        <v>1.0</v>
      </c>
      <c r="G579" s="8">
        <v>1.0</v>
      </c>
      <c r="H579" s="8">
        <v>1.0</v>
      </c>
      <c r="I579" s="8">
        <v>1.0</v>
      </c>
      <c r="J579" s="8">
        <v>1.0</v>
      </c>
      <c r="K579" s="8">
        <v>1.0</v>
      </c>
      <c r="L579" s="8">
        <v>6.0</v>
      </c>
      <c r="M579" s="8"/>
      <c r="N579" s="8"/>
      <c r="O579" s="8" t="s">
        <v>725</v>
      </c>
      <c r="P579" s="8" t="e">
        <v>#N/A</v>
      </c>
    </row>
    <row r="580">
      <c r="A580">
        <f>IFERROR(__xludf.DUMMYFUNCTION("""COMPUTED_VALUE"""),7.0)</f>
        <v>7</v>
      </c>
      <c r="B580">
        <f>IFERROR(__xludf.DUMMYFUNCTION("""COMPUTED_VALUE"""),30015.0)</f>
        <v>30015</v>
      </c>
      <c r="C580" t="str">
        <f>IFERROR(__xludf.DUMMYFUNCTION("""COMPUTED_VALUE"""),"ARROYAVE YACAMAN, EMILIO")</f>
        <v>ARROYAVE YACAMAN, EMILIO</v>
      </c>
      <c r="D580" t="str">
        <f>IFERROR(__xludf.DUMMYFUNCTION("""COMPUTED_VALUE"""),"Math 7")</f>
        <v>Math 7</v>
      </c>
      <c r="E580" s="31">
        <f>IFERROR(__xludf.DUMMYFUNCTION("""COMPUTED_VALUE"""),6.0)</f>
        <v>6</v>
      </c>
      <c r="F580" s="8">
        <v>1.0</v>
      </c>
      <c r="G580" s="8">
        <v>1.0</v>
      </c>
      <c r="H580" s="8">
        <v>1.0</v>
      </c>
      <c r="I580" s="8">
        <v>1.0</v>
      </c>
      <c r="J580" s="8">
        <v>1.0</v>
      </c>
      <c r="K580" s="8">
        <v>1.0</v>
      </c>
      <c r="L580" s="8">
        <v>6.0</v>
      </c>
      <c r="M580" s="8"/>
      <c r="N580" s="8"/>
      <c r="O580" s="8" t="s">
        <v>727</v>
      </c>
      <c r="P580" s="8">
        <v>6.0</v>
      </c>
    </row>
    <row r="581">
      <c r="A581">
        <f>IFERROR(__xludf.DUMMYFUNCTION("""COMPUTED_VALUE"""),7.0)</f>
        <v>7</v>
      </c>
      <c r="B581">
        <f>IFERROR(__xludf.DUMMYFUNCTION("""COMPUTED_VALUE"""),30018.0)</f>
        <v>30018</v>
      </c>
      <c r="C581" t="str">
        <f>IFERROR(__xludf.DUMMYFUNCTION("""COMPUTED_VALUE"""),"BETANCUR ECHAVARRIA, JERONIMO")</f>
        <v>BETANCUR ECHAVARRIA, JERONIMO</v>
      </c>
      <c r="D581" t="str">
        <f>IFERROR(__xludf.DUMMYFUNCTION("""COMPUTED_VALUE"""),"Math 7")</f>
        <v>Math 7</v>
      </c>
      <c r="E581" s="31">
        <f>IFERROR(__xludf.DUMMYFUNCTION("""COMPUTED_VALUE"""),6.0)</f>
        <v>6</v>
      </c>
      <c r="F581" s="8">
        <v>1.0</v>
      </c>
      <c r="G581" s="8">
        <v>1.0</v>
      </c>
      <c r="H581" s="8">
        <v>1.0</v>
      </c>
      <c r="I581" s="8">
        <v>1.0</v>
      </c>
      <c r="J581" s="8">
        <v>1.0</v>
      </c>
      <c r="K581" s="8">
        <v>1.0</v>
      </c>
      <c r="L581" s="8">
        <v>6.0</v>
      </c>
      <c r="M581" s="8"/>
      <c r="N581" s="8"/>
      <c r="O581" s="8" t="s">
        <v>727</v>
      </c>
      <c r="P581" s="8">
        <v>6.0</v>
      </c>
    </row>
    <row r="582">
      <c r="A582">
        <f>IFERROR(__xludf.DUMMYFUNCTION("""COMPUTED_VALUE"""),7.0)</f>
        <v>7</v>
      </c>
      <c r="B582">
        <f>IFERROR(__xludf.DUMMYFUNCTION("""COMPUTED_VALUE"""),30170.0)</f>
        <v>30170</v>
      </c>
      <c r="C582" t="str">
        <f>IFERROR(__xludf.DUMMYFUNCTION("""COMPUTED_VALUE"""),"BETANCUR VELASQUEZ, RENATA")</f>
        <v>BETANCUR VELASQUEZ, RENATA</v>
      </c>
      <c r="D582" t="str">
        <f>IFERROR(__xludf.DUMMYFUNCTION("""COMPUTED_VALUE"""),"Math 7")</f>
        <v>Math 7</v>
      </c>
      <c r="E582" s="31">
        <f>IFERROR(__xludf.DUMMYFUNCTION("""COMPUTED_VALUE"""),6.0)</f>
        <v>6</v>
      </c>
      <c r="F582" s="8">
        <v>1.0</v>
      </c>
      <c r="G582" s="8">
        <v>1.0</v>
      </c>
      <c r="H582" s="8">
        <v>1.0</v>
      </c>
      <c r="I582" s="8">
        <v>1.0</v>
      </c>
      <c r="J582" s="8">
        <v>1.0</v>
      </c>
      <c r="K582" s="8">
        <v>1.0</v>
      </c>
      <c r="L582" s="8">
        <v>6.0</v>
      </c>
      <c r="M582" s="8"/>
      <c r="N582" s="8"/>
      <c r="O582" s="8" t="s">
        <v>727</v>
      </c>
      <c r="P582" s="8">
        <v>6.0</v>
      </c>
    </row>
    <row r="583">
      <c r="A583">
        <f>IFERROR(__xludf.DUMMYFUNCTION("""COMPUTED_VALUE"""),7.0)</f>
        <v>7</v>
      </c>
      <c r="B583">
        <f>IFERROR(__xludf.DUMMYFUNCTION("""COMPUTED_VALUE"""),30019.0)</f>
        <v>30019</v>
      </c>
      <c r="C583" t="str">
        <f>IFERROR(__xludf.DUMMYFUNCTION("""COMPUTED_VALUE"""),"BOTERO BETANCOURT, SEBASTIAN")</f>
        <v>BOTERO BETANCOURT, SEBASTIAN</v>
      </c>
      <c r="D583" t="str">
        <f>IFERROR(__xludf.DUMMYFUNCTION("""COMPUTED_VALUE"""),"Math 7")</f>
        <v>Math 7</v>
      </c>
      <c r="E583" s="31">
        <f>IFERROR(__xludf.DUMMYFUNCTION("""COMPUTED_VALUE"""),5.0)</f>
        <v>5</v>
      </c>
      <c r="F583" s="8">
        <v>1.0</v>
      </c>
      <c r="G583" s="8">
        <v>1.0</v>
      </c>
      <c r="H583" s="8">
        <v>1.0</v>
      </c>
      <c r="I583" s="8">
        <v>1.0</v>
      </c>
      <c r="J583" s="8">
        <v>1.0</v>
      </c>
      <c r="K583" s="8">
        <v>1.0</v>
      </c>
      <c r="L583" s="8">
        <v>6.0</v>
      </c>
      <c r="M583" s="8"/>
      <c r="N583" s="8"/>
      <c r="O583" s="8" t="s">
        <v>723</v>
      </c>
      <c r="P583" s="8">
        <v>6.0</v>
      </c>
    </row>
    <row r="584">
      <c r="A584">
        <f>IFERROR(__xludf.DUMMYFUNCTION("""COMPUTED_VALUE"""),7.0)</f>
        <v>7</v>
      </c>
      <c r="B584">
        <f>IFERROR(__xludf.DUMMYFUNCTION("""COMPUTED_VALUE"""),30021.0)</f>
        <v>30021</v>
      </c>
      <c r="C584" t="str">
        <f>IFERROR(__xludf.DUMMYFUNCTION("""COMPUTED_VALUE"""),"BOTERO TOQUICA, MATILDE")</f>
        <v>BOTERO TOQUICA, MATILDE</v>
      </c>
      <c r="D584" t="str">
        <f>IFERROR(__xludf.DUMMYFUNCTION("""COMPUTED_VALUE"""),"Math 7A")</f>
        <v>Math 7A</v>
      </c>
      <c r="E584" s="31">
        <f>IFERROR(__xludf.DUMMYFUNCTION("""COMPUTED_VALUE"""),3.0)</f>
        <v>3</v>
      </c>
      <c r="F584" s="8">
        <v>1.0</v>
      </c>
      <c r="G584" s="8">
        <v>1.0</v>
      </c>
      <c r="H584" s="8">
        <v>1.0</v>
      </c>
      <c r="I584" s="8">
        <v>1.0</v>
      </c>
      <c r="J584" s="8">
        <v>1.0</v>
      </c>
      <c r="K584" s="8">
        <v>1.0</v>
      </c>
      <c r="L584" s="8">
        <v>6.0</v>
      </c>
      <c r="M584" s="8"/>
      <c r="N584" s="8"/>
      <c r="O584" s="8" t="s">
        <v>726</v>
      </c>
      <c r="P584" s="8" t="e">
        <v>#N/A</v>
      </c>
    </row>
    <row r="585">
      <c r="A585">
        <f>IFERROR(__xludf.DUMMYFUNCTION("""COMPUTED_VALUE"""),7.0)</f>
        <v>7</v>
      </c>
      <c r="B585">
        <f>IFERROR(__xludf.DUMMYFUNCTION("""COMPUTED_VALUE"""),30022.0)</f>
        <v>30022</v>
      </c>
      <c r="C585" s="135" t="str">
        <f>IFERROR(__xludf.DUMMYFUNCTION("""COMPUTED_VALUE"""),"CAMELO ZULUAGA, BENJAMIN")</f>
        <v>CAMELO ZULUAGA, BENJAMIN</v>
      </c>
      <c r="D585" t="str">
        <f>IFERROR(__xludf.DUMMYFUNCTION("""COMPUTED_VALUE"""),"Math 7A")</f>
        <v>Math 7A</v>
      </c>
      <c r="E585" s="31">
        <f>IFERROR(__xludf.DUMMYFUNCTION("""COMPUTED_VALUE"""),4.0)</f>
        <v>4</v>
      </c>
      <c r="F585" s="8">
        <v>1.0</v>
      </c>
      <c r="G585" s="8">
        <v>1.0</v>
      </c>
      <c r="H585" s="8">
        <v>1.0</v>
      </c>
      <c r="I585" s="8">
        <v>1.0</v>
      </c>
      <c r="J585" s="8">
        <v>1.0</v>
      </c>
      <c r="K585" s="8">
        <v>1.0</v>
      </c>
      <c r="L585" s="8">
        <v>6.0</v>
      </c>
      <c r="M585" s="8"/>
      <c r="N585" s="8"/>
      <c r="O585" s="8" t="s">
        <v>725</v>
      </c>
      <c r="P585" s="8" t="e">
        <v>#N/A</v>
      </c>
    </row>
    <row r="586">
      <c r="A586">
        <f>IFERROR(__xludf.DUMMYFUNCTION("""COMPUTED_VALUE"""),7.0)</f>
        <v>7</v>
      </c>
      <c r="B586">
        <f>IFERROR(__xludf.DUMMYFUNCTION("""COMPUTED_VALUE"""),30023.0)</f>
        <v>30023</v>
      </c>
      <c r="C586" t="str">
        <f>IFERROR(__xludf.DUMMYFUNCTION("""COMPUTED_VALUE"""),"CAMPILLO VALENCIA, LUCIANA")</f>
        <v>CAMPILLO VALENCIA, LUCIANA</v>
      </c>
      <c r="D586" t="str">
        <f>IFERROR(__xludf.DUMMYFUNCTION("""COMPUTED_VALUE"""),"Math 7")</f>
        <v>Math 7</v>
      </c>
      <c r="E586" s="31">
        <f>IFERROR(__xludf.DUMMYFUNCTION("""COMPUTED_VALUE"""),3.0)</f>
        <v>3</v>
      </c>
      <c r="F586" s="8">
        <v>1.0</v>
      </c>
      <c r="G586" s="8">
        <v>1.0</v>
      </c>
      <c r="H586" s="8">
        <v>1.0</v>
      </c>
      <c r="I586" s="8">
        <v>1.0</v>
      </c>
      <c r="J586" s="8">
        <v>1.0</v>
      </c>
      <c r="K586" s="8">
        <v>1.0</v>
      </c>
      <c r="L586" s="8">
        <v>6.0</v>
      </c>
      <c r="M586" s="8"/>
      <c r="N586" s="8"/>
      <c r="O586" s="8" t="s">
        <v>728</v>
      </c>
      <c r="P586" s="8">
        <v>6.0</v>
      </c>
    </row>
    <row r="587">
      <c r="A587">
        <f>IFERROR(__xludf.DUMMYFUNCTION("""COMPUTED_VALUE"""),7.0)</f>
        <v>7</v>
      </c>
      <c r="B587">
        <f>IFERROR(__xludf.DUMMYFUNCTION("""COMPUTED_VALUE"""),30024.0)</f>
        <v>30024</v>
      </c>
      <c r="C587" t="str">
        <f>IFERROR(__xludf.DUMMYFUNCTION("""COMPUTED_VALUE"""),"CANO MESA, AMELIA")</f>
        <v>CANO MESA, AMELIA</v>
      </c>
      <c r="D587" t="str">
        <f>IFERROR(__xludf.DUMMYFUNCTION("""COMPUTED_VALUE"""),"Math 7A")</f>
        <v>Math 7A</v>
      </c>
      <c r="E587" s="31">
        <f>IFERROR(__xludf.DUMMYFUNCTION("""COMPUTED_VALUE"""),3.0)</f>
        <v>3</v>
      </c>
      <c r="F587" s="8">
        <v>1.0</v>
      </c>
      <c r="G587" s="8">
        <v>1.0</v>
      </c>
      <c r="H587" s="8">
        <v>1.0</v>
      </c>
      <c r="I587" s="8">
        <v>1.0</v>
      </c>
      <c r="J587" s="8">
        <v>1.0</v>
      </c>
      <c r="K587" s="8">
        <v>1.0</v>
      </c>
      <c r="L587" s="8">
        <v>6.0</v>
      </c>
      <c r="M587" s="8"/>
      <c r="N587" s="8"/>
      <c r="O587" s="8" t="s">
        <v>726</v>
      </c>
      <c r="P587" s="8" t="e">
        <v>#N/A</v>
      </c>
    </row>
    <row r="588">
      <c r="A588">
        <f>IFERROR(__xludf.DUMMYFUNCTION("""COMPUTED_VALUE"""),7.0)</f>
        <v>7</v>
      </c>
      <c r="B588">
        <f>IFERROR(__xludf.DUMMYFUNCTION("""COMPUTED_VALUE"""),30025.0)</f>
        <v>30025</v>
      </c>
      <c r="C588" t="str">
        <f>IFERROR(__xludf.DUMMYFUNCTION("""COMPUTED_VALUE"""),"CAÑON GARCIA, MARTINA")</f>
        <v>CAÑON GARCIA, MARTINA</v>
      </c>
      <c r="D588" t="str">
        <f>IFERROR(__xludf.DUMMYFUNCTION("""COMPUTED_VALUE"""),"Math 7")</f>
        <v>Math 7</v>
      </c>
      <c r="E588" s="31">
        <f>IFERROR(__xludf.DUMMYFUNCTION("""COMPUTED_VALUE"""),3.0)</f>
        <v>3</v>
      </c>
      <c r="F588" s="8">
        <v>1.0</v>
      </c>
      <c r="G588" s="8">
        <v>1.0</v>
      </c>
      <c r="H588" s="8">
        <v>1.0</v>
      </c>
      <c r="I588" s="8">
        <v>1.0</v>
      </c>
      <c r="J588" s="8">
        <v>1.0</v>
      </c>
      <c r="K588" s="8">
        <v>1.0</v>
      </c>
      <c r="L588" s="8">
        <v>6.0</v>
      </c>
      <c r="M588" s="8"/>
      <c r="N588" s="8"/>
      <c r="O588" s="8" t="s">
        <v>728</v>
      </c>
      <c r="P588" s="8">
        <v>6.0</v>
      </c>
    </row>
    <row r="589">
      <c r="A589">
        <f>IFERROR(__xludf.DUMMYFUNCTION("""COMPUTED_VALUE"""),7.0)</f>
        <v>7</v>
      </c>
      <c r="B589">
        <f>IFERROR(__xludf.DUMMYFUNCTION("""COMPUTED_VALUE"""),30026.0)</f>
        <v>30026</v>
      </c>
      <c r="C589" t="str">
        <f>IFERROR(__xludf.DUMMYFUNCTION("""COMPUTED_VALUE"""),"CAPMARTIN GOMEZ, NICOLAS")</f>
        <v>CAPMARTIN GOMEZ, NICOLAS</v>
      </c>
      <c r="D589" t="str">
        <f>IFERROR(__xludf.DUMMYFUNCTION("""COMPUTED_VALUE"""),"Math 7A")</f>
        <v>Math 7A</v>
      </c>
      <c r="E589" s="31">
        <f>IFERROR(__xludf.DUMMYFUNCTION("""COMPUTED_VALUE"""),3.0)</f>
        <v>3</v>
      </c>
      <c r="F589" s="8">
        <v>1.0</v>
      </c>
      <c r="G589" s="8">
        <v>1.0</v>
      </c>
      <c r="H589" s="8">
        <v>1.0</v>
      </c>
      <c r="I589" s="8">
        <v>1.0</v>
      </c>
      <c r="J589" s="8">
        <v>1.0</v>
      </c>
      <c r="K589" s="8">
        <v>1.0</v>
      </c>
      <c r="L589" s="8">
        <v>6.0</v>
      </c>
      <c r="M589" s="8"/>
      <c r="N589" s="8"/>
      <c r="O589" s="8" t="s">
        <v>726</v>
      </c>
      <c r="P589" s="8" t="e">
        <v>#N/A</v>
      </c>
    </row>
    <row r="590">
      <c r="A590">
        <f>IFERROR(__xludf.DUMMYFUNCTION("""COMPUTED_VALUE"""),7.0)</f>
        <v>7</v>
      </c>
      <c r="B590">
        <f>IFERROR(__xludf.DUMMYFUNCTION("""COMPUTED_VALUE"""),30027.0)</f>
        <v>30027</v>
      </c>
      <c r="C590" t="str">
        <f>IFERROR(__xludf.DUMMYFUNCTION("""COMPUTED_VALUE"""),"CARDONA CASTAÑEDA, JUANITA")</f>
        <v>CARDONA CASTAÑEDA, JUANITA</v>
      </c>
      <c r="D590" t="str">
        <f>IFERROR(__xludf.DUMMYFUNCTION("""COMPUTED_VALUE"""),"Math 7")</f>
        <v>Math 7</v>
      </c>
      <c r="E590" s="31">
        <f>IFERROR(__xludf.DUMMYFUNCTION("""COMPUTED_VALUE"""),3.0)</f>
        <v>3</v>
      </c>
      <c r="F590" s="8">
        <v>1.0</v>
      </c>
      <c r="G590" s="8">
        <v>1.0</v>
      </c>
      <c r="H590" s="8">
        <v>1.0</v>
      </c>
      <c r="I590" s="8">
        <v>1.0</v>
      </c>
      <c r="J590" s="8">
        <v>1.0</v>
      </c>
      <c r="K590" s="8">
        <v>1.0</v>
      </c>
      <c r="L590" s="8">
        <v>6.0</v>
      </c>
      <c r="M590" s="8"/>
      <c r="N590" s="8"/>
      <c r="O590" s="8" t="s">
        <v>728</v>
      </c>
      <c r="P590" s="8">
        <v>6.0</v>
      </c>
    </row>
    <row r="591">
      <c r="A591">
        <f>IFERROR(__xludf.DUMMYFUNCTION("""COMPUTED_VALUE"""),7.0)</f>
        <v>7</v>
      </c>
      <c r="B591">
        <f>IFERROR(__xludf.DUMMYFUNCTION("""COMPUTED_VALUE"""),30135.0)</f>
        <v>30135</v>
      </c>
      <c r="C591" t="str">
        <f>IFERROR(__xludf.DUMMYFUNCTION("""COMPUTED_VALUE"""),"CARDONA URIBE, EMILIANA")</f>
        <v>CARDONA URIBE, EMILIANA</v>
      </c>
      <c r="D591" t="str">
        <f>IFERROR(__xludf.DUMMYFUNCTION("""COMPUTED_VALUE"""),"Math 7A")</f>
        <v>Math 7A</v>
      </c>
      <c r="E591" s="31">
        <f>IFERROR(__xludf.DUMMYFUNCTION("""COMPUTED_VALUE"""),3.0)</f>
        <v>3</v>
      </c>
      <c r="F591" s="8">
        <v>1.0</v>
      </c>
      <c r="G591" s="8">
        <v>1.0</v>
      </c>
      <c r="H591" s="8">
        <v>1.0</v>
      </c>
      <c r="I591" s="8">
        <v>1.0</v>
      </c>
      <c r="J591" s="8">
        <v>1.0</v>
      </c>
      <c r="K591" s="8">
        <v>1.0</v>
      </c>
      <c r="L591" s="8">
        <v>6.0</v>
      </c>
      <c r="M591" s="8"/>
      <c r="N591" s="8"/>
      <c r="O591" s="8" t="s">
        <v>726</v>
      </c>
      <c r="P591" s="8" t="e">
        <v>#N/A</v>
      </c>
    </row>
    <row r="592">
      <c r="A592">
        <f>IFERROR(__xludf.DUMMYFUNCTION("""COMPUTED_VALUE"""),7.0)</f>
        <v>7</v>
      </c>
      <c r="B592">
        <f>IFERROR(__xludf.DUMMYFUNCTION("""COMPUTED_VALUE"""),30028.0)</f>
        <v>30028</v>
      </c>
      <c r="C592" t="str">
        <f>IFERROR(__xludf.DUMMYFUNCTION("""COMPUTED_VALUE"""),"CHAN MEI, JACOB")</f>
        <v>CHAN MEI, JACOB</v>
      </c>
      <c r="D592" t="str">
        <f>IFERROR(__xludf.DUMMYFUNCTION("""COMPUTED_VALUE"""),"Math 7")</f>
        <v>Math 7</v>
      </c>
      <c r="E592" s="31">
        <f>IFERROR(__xludf.DUMMYFUNCTION("""COMPUTED_VALUE"""),4.0)</f>
        <v>4</v>
      </c>
      <c r="F592" s="8">
        <v>1.0</v>
      </c>
      <c r="G592" s="8">
        <v>1.0</v>
      </c>
      <c r="H592" s="8">
        <v>1.0</v>
      </c>
      <c r="I592" s="8">
        <v>1.0</v>
      </c>
      <c r="J592" s="8">
        <v>1.0</v>
      </c>
      <c r="K592" s="8">
        <v>1.0</v>
      </c>
      <c r="L592" s="8">
        <v>6.0</v>
      </c>
      <c r="M592" s="8"/>
      <c r="N592" s="8"/>
      <c r="O592" s="8" t="s">
        <v>724</v>
      </c>
      <c r="P592" s="8">
        <v>6.0</v>
      </c>
    </row>
    <row r="593">
      <c r="A593">
        <f>IFERROR(__xludf.DUMMYFUNCTION("""COMPUTED_VALUE"""),7.0)</f>
        <v>7</v>
      </c>
      <c r="B593">
        <f>IFERROR(__xludf.DUMMYFUNCTION("""COMPUTED_VALUE"""),30029.0)</f>
        <v>30029</v>
      </c>
      <c r="C593" t="str">
        <f>IFERROR(__xludf.DUMMYFUNCTION("""COMPUTED_VALUE"""),"CORREA GARCES, PEDRO PABLO")</f>
        <v>CORREA GARCES, PEDRO PABLO</v>
      </c>
      <c r="D593" t="str">
        <f>IFERROR(__xludf.DUMMYFUNCTION("""COMPUTED_VALUE"""),"Math 7")</f>
        <v>Math 7</v>
      </c>
      <c r="E593" s="31">
        <f>IFERROR(__xludf.DUMMYFUNCTION("""COMPUTED_VALUE"""),4.0)</f>
        <v>4</v>
      </c>
      <c r="F593" s="8">
        <v>1.0</v>
      </c>
      <c r="G593" s="8">
        <v>1.0</v>
      </c>
      <c r="H593" s="8">
        <v>1.0</v>
      </c>
      <c r="I593" s="8">
        <v>1.0</v>
      </c>
      <c r="J593" s="8">
        <v>1.0</v>
      </c>
      <c r="K593" s="8">
        <v>1.0</v>
      </c>
      <c r="L593" s="8">
        <v>6.0</v>
      </c>
      <c r="M593" s="8"/>
      <c r="N593" s="8"/>
      <c r="O593" s="8" t="s">
        <v>724</v>
      </c>
      <c r="P593" s="8">
        <v>6.0</v>
      </c>
    </row>
    <row r="594">
      <c r="A594">
        <f>IFERROR(__xludf.DUMMYFUNCTION("""COMPUTED_VALUE"""),7.0)</f>
        <v>7</v>
      </c>
      <c r="B594">
        <f>IFERROR(__xludf.DUMMYFUNCTION("""COMPUTED_VALUE"""),30030.0)</f>
        <v>30030</v>
      </c>
      <c r="C594" t="str">
        <f>IFERROR(__xludf.DUMMYFUNCTION("""COMPUTED_VALUE"""),"CORREA MERINO, VICENTE")</f>
        <v>CORREA MERINO, VICENTE</v>
      </c>
      <c r="D594" t="str">
        <f>IFERROR(__xludf.DUMMYFUNCTION("""COMPUTED_VALUE"""),"Math 7")</f>
        <v>Math 7</v>
      </c>
      <c r="E594" s="31">
        <f>IFERROR(__xludf.DUMMYFUNCTION("""COMPUTED_VALUE"""),6.0)</f>
        <v>6</v>
      </c>
      <c r="F594" s="8">
        <v>1.0</v>
      </c>
      <c r="G594" s="8">
        <v>1.0</v>
      </c>
      <c r="H594" s="8">
        <v>1.0</v>
      </c>
      <c r="I594" s="8">
        <v>1.0</v>
      </c>
      <c r="J594" s="8">
        <v>1.0</v>
      </c>
      <c r="K594" s="8">
        <v>1.0</v>
      </c>
      <c r="L594" s="8">
        <v>6.0</v>
      </c>
      <c r="M594" s="8"/>
      <c r="N594" s="8"/>
      <c r="O594" s="8" t="s">
        <v>727</v>
      </c>
      <c r="P594" s="8">
        <v>6.0</v>
      </c>
    </row>
    <row r="595">
      <c r="A595">
        <f>IFERROR(__xludf.DUMMYFUNCTION("""COMPUTED_VALUE"""),7.0)</f>
        <v>7</v>
      </c>
      <c r="B595">
        <f>IFERROR(__xludf.DUMMYFUNCTION("""COMPUTED_VALUE"""),30031.0)</f>
        <v>30031</v>
      </c>
      <c r="C595" t="str">
        <f>IFERROR(__xludf.DUMMYFUNCTION("""COMPUTED_VALUE"""),"CORTES CASTAÑO, FELIPE")</f>
        <v>CORTES CASTAÑO, FELIPE</v>
      </c>
      <c r="D595" t="str">
        <f>IFERROR(__xludf.DUMMYFUNCTION("""COMPUTED_VALUE"""),"Math 7")</f>
        <v>Math 7</v>
      </c>
      <c r="E595" s="31">
        <f>IFERROR(__xludf.DUMMYFUNCTION("""COMPUTED_VALUE"""),5.0)</f>
        <v>5</v>
      </c>
      <c r="F595" s="8">
        <v>1.0</v>
      </c>
      <c r="G595" s="8">
        <v>1.0</v>
      </c>
      <c r="H595" s="8">
        <v>1.0</v>
      </c>
      <c r="I595" s="8">
        <v>1.0</v>
      </c>
      <c r="J595" s="8">
        <v>1.0</v>
      </c>
      <c r="K595" s="8">
        <v>1.0</v>
      </c>
      <c r="L595" s="8">
        <v>6.0</v>
      </c>
      <c r="M595" s="8"/>
      <c r="N595" s="8"/>
      <c r="O595" s="8" t="s">
        <v>723</v>
      </c>
      <c r="P595" s="8">
        <v>6.0</v>
      </c>
    </row>
    <row r="596">
      <c r="A596">
        <f>IFERROR(__xludf.DUMMYFUNCTION("""COMPUTED_VALUE"""),7.0)</f>
        <v>7</v>
      </c>
      <c r="B596">
        <f>IFERROR(__xludf.DUMMYFUNCTION("""COMPUTED_VALUE"""),30032.0)</f>
        <v>30032</v>
      </c>
      <c r="C596" t="str">
        <f>IFERROR(__xludf.DUMMYFUNCTION("""COMPUTED_VALUE"""),"CRUZ PEREYRA, ANA VICTORIA")</f>
        <v>CRUZ PEREYRA, ANA VICTORIA</v>
      </c>
      <c r="D596" t="str">
        <f>IFERROR(__xludf.DUMMYFUNCTION("""COMPUTED_VALUE"""),"Math 7A")</f>
        <v>Math 7A</v>
      </c>
      <c r="E596" s="31">
        <f>IFERROR(__xludf.DUMMYFUNCTION("""COMPUTED_VALUE"""),4.0)</f>
        <v>4</v>
      </c>
      <c r="F596" s="8">
        <v>1.0</v>
      </c>
      <c r="G596" s="8">
        <v>1.0</v>
      </c>
      <c r="H596" s="8">
        <v>1.0</v>
      </c>
      <c r="I596" s="8">
        <v>1.0</v>
      </c>
      <c r="J596" s="8">
        <v>1.0</v>
      </c>
      <c r="K596" s="8">
        <v>1.0</v>
      </c>
      <c r="L596" s="8">
        <v>6.0</v>
      </c>
      <c r="M596" s="8"/>
      <c r="N596" s="8"/>
      <c r="O596" s="8" t="s">
        <v>725</v>
      </c>
      <c r="P596" s="8" t="e">
        <v>#N/A</v>
      </c>
    </row>
    <row r="597">
      <c r="A597">
        <f>IFERROR(__xludf.DUMMYFUNCTION("""COMPUTED_VALUE"""),7.0)</f>
        <v>7</v>
      </c>
      <c r="B597">
        <f>IFERROR(__xludf.DUMMYFUNCTION("""COMPUTED_VALUE"""),30033.0)</f>
        <v>30033</v>
      </c>
      <c r="C597" t="str">
        <f>IFERROR(__xludf.DUMMYFUNCTION("""COMPUTED_VALUE"""),"CUARTAS VILLEGAS, ELIAS")</f>
        <v>CUARTAS VILLEGAS, ELIAS</v>
      </c>
      <c r="D597" t="str">
        <f>IFERROR(__xludf.DUMMYFUNCTION("""COMPUTED_VALUE"""),"Math 7")</f>
        <v>Math 7</v>
      </c>
      <c r="E597" s="31">
        <f>IFERROR(__xludf.DUMMYFUNCTION("""COMPUTED_VALUE"""),6.0)</f>
        <v>6</v>
      </c>
      <c r="F597" s="8">
        <v>1.0</v>
      </c>
      <c r="G597" s="8">
        <v>1.0</v>
      </c>
      <c r="H597" s="8">
        <v>1.0</v>
      </c>
      <c r="I597" s="8">
        <v>1.0</v>
      </c>
      <c r="J597" s="8">
        <v>1.0</v>
      </c>
      <c r="K597" s="8">
        <v>1.0</v>
      </c>
      <c r="L597" s="8">
        <v>6.0</v>
      </c>
      <c r="M597" s="8"/>
      <c r="N597" s="8"/>
      <c r="O597" s="8" t="s">
        <v>727</v>
      </c>
      <c r="P597" s="8">
        <v>6.0</v>
      </c>
    </row>
    <row r="598">
      <c r="A598">
        <f>IFERROR(__xludf.DUMMYFUNCTION("""COMPUTED_VALUE"""),7.0)</f>
        <v>7</v>
      </c>
      <c r="B598">
        <f>IFERROR(__xludf.DUMMYFUNCTION("""COMPUTED_VALUE"""),30034.0)</f>
        <v>30034</v>
      </c>
      <c r="C598" t="str">
        <f>IFERROR(__xludf.DUMMYFUNCTION("""COMPUTED_VALUE"""),"CUERVO HINESTROSA, MARTIN")</f>
        <v>CUERVO HINESTROSA, MARTIN</v>
      </c>
      <c r="D598" t="str">
        <f>IFERROR(__xludf.DUMMYFUNCTION("""COMPUTED_VALUE"""),"Math 7")</f>
        <v>Math 7</v>
      </c>
      <c r="E598" s="31">
        <f>IFERROR(__xludf.DUMMYFUNCTION("""COMPUTED_VALUE"""),4.0)</f>
        <v>4</v>
      </c>
      <c r="F598" s="8">
        <v>1.0</v>
      </c>
      <c r="G598" s="8">
        <v>1.0</v>
      </c>
      <c r="H598" s="8">
        <v>1.0</v>
      </c>
      <c r="I598" s="8">
        <v>1.0</v>
      </c>
      <c r="J598" s="8">
        <v>1.0</v>
      </c>
      <c r="K598" s="8">
        <v>1.0</v>
      </c>
      <c r="L598" s="8">
        <v>6.0</v>
      </c>
      <c r="M598" s="8"/>
      <c r="N598" s="8"/>
      <c r="O598" s="8" t="s">
        <v>724</v>
      </c>
      <c r="P598" s="8">
        <v>6.0</v>
      </c>
    </row>
    <row r="599">
      <c r="A599">
        <f>IFERROR(__xludf.DUMMYFUNCTION("""COMPUTED_VALUE"""),7.0)</f>
        <v>7</v>
      </c>
      <c r="B599">
        <f>IFERROR(__xludf.DUMMYFUNCTION("""COMPUTED_VALUE"""),30137.0)</f>
        <v>30137</v>
      </c>
      <c r="C599" t="str">
        <f>IFERROR(__xludf.DUMMYFUNCTION("""COMPUTED_VALUE"""),"DA SILVA ABATEPAULO, IAN")</f>
        <v>DA SILVA ABATEPAULO, IAN</v>
      </c>
      <c r="D599" t="str">
        <f>IFERROR(__xludf.DUMMYFUNCTION("""COMPUTED_VALUE"""),"Math 7A")</f>
        <v>Math 7A</v>
      </c>
      <c r="E599" s="31">
        <f>IFERROR(__xludf.DUMMYFUNCTION("""COMPUTED_VALUE"""),4.0)</f>
        <v>4</v>
      </c>
      <c r="F599" s="8">
        <v>1.0</v>
      </c>
      <c r="G599" s="8">
        <v>1.0</v>
      </c>
      <c r="H599" s="8">
        <v>1.0</v>
      </c>
      <c r="I599" s="8">
        <v>1.0</v>
      </c>
      <c r="J599" s="8">
        <v>1.0</v>
      </c>
      <c r="K599" s="8">
        <v>1.0</v>
      </c>
      <c r="L599" s="8">
        <v>6.0</v>
      </c>
      <c r="M599" s="8"/>
      <c r="N599" s="8"/>
      <c r="O599" s="8" t="s">
        <v>725</v>
      </c>
      <c r="P599" s="8" t="e">
        <v>#N/A</v>
      </c>
    </row>
    <row r="600">
      <c r="A600">
        <f>IFERROR(__xludf.DUMMYFUNCTION("""COMPUTED_VALUE"""),7.0)</f>
        <v>7</v>
      </c>
      <c r="B600">
        <f>IFERROR(__xludf.DUMMYFUNCTION("""COMPUTED_VALUE"""),30036.0)</f>
        <v>30036</v>
      </c>
      <c r="C600" t="str">
        <f>IFERROR(__xludf.DUMMYFUNCTION("""COMPUTED_VALUE"""),"DUQUE OCHOA, PABLO")</f>
        <v>DUQUE OCHOA, PABLO</v>
      </c>
      <c r="D600" t="str">
        <f>IFERROR(__xludf.DUMMYFUNCTION("""COMPUTED_VALUE"""),"Math 7")</f>
        <v>Math 7</v>
      </c>
      <c r="E600" s="31">
        <f>IFERROR(__xludf.DUMMYFUNCTION("""COMPUTED_VALUE"""),5.0)</f>
        <v>5</v>
      </c>
      <c r="F600" s="8">
        <v>1.0</v>
      </c>
      <c r="G600" s="8">
        <v>1.0</v>
      </c>
      <c r="H600" s="8">
        <v>1.0</v>
      </c>
      <c r="I600" s="8">
        <v>1.0</v>
      </c>
      <c r="J600" s="8">
        <v>1.0</v>
      </c>
      <c r="K600" s="8">
        <v>1.0</v>
      </c>
      <c r="L600" s="8">
        <v>6.0</v>
      </c>
      <c r="M600" s="8"/>
      <c r="N600" s="8"/>
      <c r="O600" s="8" t="s">
        <v>723</v>
      </c>
      <c r="P600" s="8">
        <v>6.0</v>
      </c>
    </row>
    <row r="601">
      <c r="A601">
        <f>IFERROR(__xludf.DUMMYFUNCTION("""COMPUTED_VALUE"""),7.0)</f>
        <v>7</v>
      </c>
      <c r="B601">
        <f>IFERROR(__xludf.DUMMYFUNCTION("""COMPUTED_VALUE"""),30037.0)</f>
        <v>30037</v>
      </c>
      <c r="C601" t="str">
        <f>IFERROR(__xludf.DUMMYFUNCTION("""COMPUTED_VALUE"""),"DUQUE ZAPATA, SAMUEL")</f>
        <v>DUQUE ZAPATA, SAMUEL</v>
      </c>
      <c r="D601" t="str">
        <f>IFERROR(__xludf.DUMMYFUNCTION("""COMPUTED_VALUE"""),"Math 7")</f>
        <v>Math 7</v>
      </c>
      <c r="E601" s="31">
        <f>IFERROR(__xludf.DUMMYFUNCTION("""COMPUTED_VALUE"""),6.0)</f>
        <v>6</v>
      </c>
      <c r="F601" s="8">
        <v>1.0</v>
      </c>
      <c r="G601" s="8">
        <v>1.0</v>
      </c>
      <c r="H601" s="8">
        <v>1.0</v>
      </c>
      <c r="I601" s="8">
        <v>1.0</v>
      </c>
      <c r="J601" s="8">
        <v>1.0</v>
      </c>
      <c r="K601" s="8">
        <v>1.0</v>
      </c>
      <c r="L601" s="8">
        <v>6.0</v>
      </c>
      <c r="M601" s="8"/>
      <c r="N601" s="8"/>
      <c r="O601" s="8" t="s">
        <v>727</v>
      </c>
      <c r="P601" s="8">
        <v>6.0</v>
      </c>
    </row>
    <row r="602">
      <c r="A602">
        <f>IFERROR(__xludf.DUMMYFUNCTION("""COMPUTED_VALUE"""),7.0)</f>
        <v>7</v>
      </c>
      <c r="B602">
        <f>IFERROR(__xludf.DUMMYFUNCTION("""COMPUTED_VALUE"""),30038.0)</f>
        <v>30038</v>
      </c>
      <c r="C602" t="str">
        <f>IFERROR(__xludf.DUMMYFUNCTION("""COMPUTED_VALUE"""),"ESCANDON LIBOS, AMELIA")</f>
        <v>ESCANDON LIBOS, AMELIA</v>
      </c>
      <c r="D602" t="str">
        <f>IFERROR(__xludf.DUMMYFUNCTION("""COMPUTED_VALUE"""),"Math 7")</f>
        <v>Math 7</v>
      </c>
      <c r="E602" s="31">
        <f>IFERROR(__xludf.DUMMYFUNCTION("""COMPUTED_VALUE"""),3.0)</f>
        <v>3</v>
      </c>
      <c r="F602" s="8">
        <v>1.0</v>
      </c>
      <c r="G602" s="8">
        <v>1.0</v>
      </c>
      <c r="H602" s="8">
        <v>1.0</v>
      </c>
      <c r="I602" s="8">
        <v>1.0</v>
      </c>
      <c r="J602" s="8">
        <v>1.0</v>
      </c>
      <c r="K602" s="8">
        <v>1.0</v>
      </c>
      <c r="L602" s="8">
        <v>6.0</v>
      </c>
      <c r="M602" s="8"/>
      <c r="N602" s="8"/>
      <c r="O602" s="8" t="s">
        <v>728</v>
      </c>
      <c r="P602" s="8">
        <v>6.0</v>
      </c>
    </row>
    <row r="603">
      <c r="A603">
        <f>IFERROR(__xludf.DUMMYFUNCTION("""COMPUTED_VALUE"""),7.0)</f>
        <v>7</v>
      </c>
      <c r="B603">
        <f>IFERROR(__xludf.DUMMYFUNCTION("""COMPUTED_VALUE"""),30039.0)</f>
        <v>30039</v>
      </c>
      <c r="C603" t="str">
        <f>IFERROR(__xludf.DUMMYFUNCTION("""COMPUTED_VALUE"""),"ESCOBAR CASTAÑO, ALICIA")</f>
        <v>ESCOBAR CASTAÑO, ALICIA</v>
      </c>
      <c r="D603" t="str">
        <f>IFERROR(__xludf.DUMMYFUNCTION("""COMPUTED_VALUE"""),"Math 7A")</f>
        <v>Math 7A</v>
      </c>
      <c r="E603" s="31">
        <f>IFERROR(__xludf.DUMMYFUNCTION("""COMPUTED_VALUE"""),3.0)</f>
        <v>3</v>
      </c>
      <c r="F603" s="8">
        <v>1.0</v>
      </c>
      <c r="G603" s="8">
        <v>1.0</v>
      </c>
      <c r="H603" s="8">
        <v>1.0</v>
      </c>
      <c r="I603" s="8">
        <v>1.0</v>
      </c>
      <c r="J603" s="8">
        <v>1.0</v>
      </c>
      <c r="K603" s="8">
        <v>1.0</v>
      </c>
      <c r="L603" s="8">
        <v>6.0</v>
      </c>
      <c r="M603" s="8"/>
      <c r="N603" s="8"/>
      <c r="O603" s="8" t="s">
        <v>726</v>
      </c>
      <c r="P603" s="8" t="e">
        <v>#N/A</v>
      </c>
    </row>
    <row r="604">
      <c r="A604">
        <f>IFERROR(__xludf.DUMMYFUNCTION("""COMPUTED_VALUE"""),7.0)</f>
        <v>7</v>
      </c>
      <c r="B604">
        <f>IFERROR(__xludf.DUMMYFUNCTION("""COMPUTED_VALUE"""),30040.0)</f>
        <v>30040</v>
      </c>
      <c r="C604" t="str">
        <f>IFERROR(__xludf.DUMMYFUNCTION("""COMPUTED_VALUE"""),"ESCOBEDO DRAVIGNEY, ZOE")</f>
        <v>ESCOBEDO DRAVIGNEY, ZOE</v>
      </c>
      <c r="D604" t="str">
        <f>IFERROR(__xludf.DUMMYFUNCTION("""COMPUTED_VALUE"""),"Math 7A")</f>
        <v>Math 7A</v>
      </c>
      <c r="E604" s="31">
        <f>IFERROR(__xludf.DUMMYFUNCTION("""COMPUTED_VALUE"""),4.0)</f>
        <v>4</v>
      </c>
      <c r="F604" s="8">
        <v>1.0</v>
      </c>
      <c r="G604" s="8">
        <v>1.0</v>
      </c>
      <c r="H604" s="8">
        <v>1.0</v>
      </c>
      <c r="I604" s="8">
        <v>1.0</v>
      </c>
      <c r="J604" s="8">
        <v>1.0</v>
      </c>
      <c r="K604" s="8">
        <v>1.0</v>
      </c>
      <c r="L604" s="8">
        <v>6.0</v>
      </c>
      <c r="M604" s="8"/>
      <c r="N604" s="8"/>
      <c r="O604" s="8" t="s">
        <v>725</v>
      </c>
      <c r="P604" s="8" t="e">
        <v>#N/A</v>
      </c>
    </row>
    <row r="605">
      <c r="A605">
        <f>IFERROR(__xludf.DUMMYFUNCTION("""COMPUTED_VALUE"""),7.0)</f>
        <v>7</v>
      </c>
      <c r="B605">
        <f>IFERROR(__xludf.DUMMYFUNCTION("""COMPUTED_VALUE"""),30042.0)</f>
        <v>30042</v>
      </c>
      <c r="C605" t="str">
        <f>IFERROR(__xludf.DUMMYFUNCTION("""COMPUTED_VALUE"""),"ESTELA NARANJO, JOSE MARIA")</f>
        <v>ESTELA NARANJO, JOSE MARIA</v>
      </c>
      <c r="D605" t="str">
        <f>IFERROR(__xludf.DUMMYFUNCTION("""COMPUTED_VALUE"""),"Math 7")</f>
        <v>Math 7</v>
      </c>
      <c r="E605" s="31">
        <f>IFERROR(__xludf.DUMMYFUNCTION("""COMPUTED_VALUE"""),3.0)</f>
        <v>3</v>
      </c>
      <c r="F605" s="8">
        <v>1.0</v>
      </c>
      <c r="G605" s="8">
        <v>1.0</v>
      </c>
      <c r="H605" s="8">
        <v>1.0</v>
      </c>
      <c r="I605" s="8">
        <v>1.0</v>
      </c>
      <c r="J605" s="8">
        <v>1.0</v>
      </c>
      <c r="K605" s="8">
        <v>1.0</v>
      </c>
      <c r="L605" s="8">
        <v>6.0</v>
      </c>
      <c r="M605" s="8"/>
      <c r="N605" s="8"/>
      <c r="O605" s="8" t="s">
        <v>728</v>
      </c>
      <c r="P605" s="8">
        <v>6.0</v>
      </c>
    </row>
    <row r="606">
      <c r="A606">
        <f>IFERROR(__xludf.DUMMYFUNCTION("""COMPUTED_VALUE"""),7.0)</f>
        <v>7</v>
      </c>
      <c r="B606">
        <f>IFERROR(__xludf.DUMMYFUNCTION("""COMPUTED_VALUE"""),30043.0)</f>
        <v>30043</v>
      </c>
      <c r="C606" t="str">
        <f>IFERROR(__xludf.DUMMYFUNCTION("""COMPUTED_VALUE"""),"FERNANDEZ RAMIREZ, SANTIAGO")</f>
        <v>FERNANDEZ RAMIREZ, SANTIAGO</v>
      </c>
      <c r="D606" t="str">
        <f>IFERROR(__xludf.DUMMYFUNCTION("""COMPUTED_VALUE"""),"Math 7")</f>
        <v>Math 7</v>
      </c>
      <c r="E606" s="31">
        <f>IFERROR(__xludf.DUMMYFUNCTION("""COMPUTED_VALUE"""),6.0)</f>
        <v>6</v>
      </c>
      <c r="F606" s="8">
        <v>1.0</v>
      </c>
      <c r="G606" s="8">
        <v>1.0</v>
      </c>
      <c r="H606" s="8">
        <v>1.0</v>
      </c>
      <c r="I606" s="8">
        <v>1.0</v>
      </c>
      <c r="J606" s="8">
        <v>1.0</v>
      </c>
      <c r="K606" s="8">
        <v>1.0</v>
      </c>
      <c r="L606" s="8">
        <v>6.0</v>
      </c>
      <c r="M606" s="8"/>
      <c r="N606" s="8"/>
      <c r="O606" s="8" t="s">
        <v>727</v>
      </c>
      <c r="P606" s="8">
        <v>6.0</v>
      </c>
    </row>
    <row r="607">
      <c r="A607">
        <f>IFERROR(__xludf.DUMMYFUNCTION("""COMPUTED_VALUE"""),7.0)</f>
        <v>7</v>
      </c>
      <c r="B607">
        <f>IFERROR(__xludf.DUMMYFUNCTION("""COMPUTED_VALUE"""),30045.0)</f>
        <v>30045</v>
      </c>
      <c r="C607" t="str">
        <f>IFERROR(__xludf.DUMMYFUNCTION("""COMPUTED_VALUE"""),"GALVEZ ATEHORTUA, LAURA")</f>
        <v>GALVEZ ATEHORTUA, LAURA</v>
      </c>
      <c r="D607" t="str">
        <f>IFERROR(__xludf.DUMMYFUNCTION("""COMPUTED_VALUE"""),"Math 7A")</f>
        <v>Math 7A</v>
      </c>
      <c r="E607" s="31">
        <f>IFERROR(__xludf.DUMMYFUNCTION("""COMPUTED_VALUE"""),4.0)</f>
        <v>4</v>
      </c>
      <c r="F607" s="8">
        <v>1.0</v>
      </c>
      <c r="G607" s="8">
        <v>1.0</v>
      </c>
      <c r="H607" s="8">
        <v>1.0</v>
      </c>
      <c r="I607" s="8">
        <v>1.0</v>
      </c>
      <c r="J607" s="8">
        <v>1.0</v>
      </c>
      <c r="K607" s="8">
        <v>1.0</v>
      </c>
      <c r="L607" s="8">
        <v>6.0</v>
      </c>
      <c r="M607" s="8"/>
      <c r="N607" s="8"/>
      <c r="O607" s="8" t="s">
        <v>725</v>
      </c>
      <c r="P607" s="8" t="e">
        <v>#N/A</v>
      </c>
    </row>
    <row r="608">
      <c r="A608">
        <f>IFERROR(__xludf.DUMMYFUNCTION("""COMPUTED_VALUE"""),7.0)</f>
        <v>7</v>
      </c>
      <c r="B608">
        <f>IFERROR(__xludf.DUMMYFUNCTION("""COMPUTED_VALUE"""),30139.0)</f>
        <v>30139</v>
      </c>
      <c r="C608" t="str">
        <f>IFERROR(__xludf.DUMMYFUNCTION("""COMPUTED_VALUE"""),"GARCIA RESTREPO, MATIAS")</f>
        <v>GARCIA RESTREPO, MATIAS</v>
      </c>
      <c r="D608" t="str">
        <f>IFERROR(__xludf.DUMMYFUNCTION("""COMPUTED_VALUE"""),"Math 7")</f>
        <v>Math 7</v>
      </c>
      <c r="E608" s="31">
        <f>IFERROR(__xludf.DUMMYFUNCTION("""COMPUTED_VALUE"""),5.0)</f>
        <v>5</v>
      </c>
      <c r="F608" s="8">
        <v>1.0</v>
      </c>
      <c r="G608" s="8">
        <v>1.0</v>
      </c>
      <c r="H608" s="8">
        <v>1.0</v>
      </c>
      <c r="I608" s="8">
        <v>1.0</v>
      </c>
      <c r="J608" s="8">
        <v>1.0</v>
      </c>
      <c r="K608" s="8">
        <v>1.0</v>
      </c>
      <c r="L608" s="8">
        <v>6.0</v>
      </c>
      <c r="M608" s="8"/>
      <c r="N608" s="8"/>
      <c r="O608" s="8" t="s">
        <v>723</v>
      </c>
      <c r="P608" s="8">
        <v>6.0</v>
      </c>
    </row>
    <row r="609">
      <c r="A609">
        <f>IFERROR(__xludf.DUMMYFUNCTION("""COMPUTED_VALUE"""),7.0)</f>
        <v>7</v>
      </c>
      <c r="B609">
        <f>IFERROR(__xludf.DUMMYFUNCTION("""COMPUTED_VALUE"""),30046.0)</f>
        <v>30046</v>
      </c>
      <c r="C609" t="str">
        <f>IFERROR(__xludf.DUMMYFUNCTION("""COMPUTED_VALUE"""),"GARCIA RIVERA, MARTIN")</f>
        <v>GARCIA RIVERA, MARTIN</v>
      </c>
      <c r="D609" t="str">
        <f>IFERROR(__xludf.DUMMYFUNCTION("""COMPUTED_VALUE"""),"Math 7A")</f>
        <v>Math 7A</v>
      </c>
      <c r="E609" s="31">
        <f>IFERROR(__xludf.DUMMYFUNCTION("""COMPUTED_VALUE"""),4.0)</f>
        <v>4</v>
      </c>
      <c r="F609" s="8">
        <v>1.0</v>
      </c>
      <c r="G609" s="8">
        <v>1.0</v>
      </c>
      <c r="H609" s="8">
        <v>1.0</v>
      </c>
      <c r="I609" s="8">
        <v>1.0</v>
      </c>
      <c r="J609" s="8">
        <v>1.0</v>
      </c>
      <c r="K609" s="8">
        <v>1.0</v>
      </c>
      <c r="L609" s="8">
        <v>6.0</v>
      </c>
      <c r="M609" s="8"/>
      <c r="N609" s="8"/>
      <c r="O609" s="8" t="s">
        <v>725</v>
      </c>
      <c r="P609" s="8" t="e">
        <v>#N/A</v>
      </c>
    </row>
    <row r="610">
      <c r="A610">
        <f>IFERROR(__xludf.DUMMYFUNCTION("""COMPUTED_VALUE"""),7.0)</f>
        <v>7</v>
      </c>
      <c r="B610">
        <f>IFERROR(__xludf.DUMMYFUNCTION("""COMPUTED_VALUE"""),30047.0)</f>
        <v>30047</v>
      </c>
      <c r="C610" t="str">
        <f>IFERROR(__xludf.DUMMYFUNCTION("""COMPUTED_VALUE"""),"GAVIRIA ISAZA, CAMILO")</f>
        <v>GAVIRIA ISAZA, CAMILO</v>
      </c>
      <c r="D610" t="str">
        <f>IFERROR(__xludf.DUMMYFUNCTION("""COMPUTED_VALUE"""),"Math 7")</f>
        <v>Math 7</v>
      </c>
      <c r="E610" s="31">
        <f>IFERROR(__xludf.DUMMYFUNCTION("""COMPUTED_VALUE"""),4.0)</f>
        <v>4</v>
      </c>
      <c r="F610" s="8">
        <v>1.0</v>
      </c>
      <c r="G610" s="8">
        <v>1.0</v>
      </c>
      <c r="H610" s="8">
        <v>1.0</v>
      </c>
      <c r="I610" s="8">
        <v>1.0</v>
      </c>
      <c r="J610" s="8">
        <v>1.0</v>
      </c>
      <c r="K610" s="8">
        <v>1.0</v>
      </c>
      <c r="L610" s="8">
        <v>6.0</v>
      </c>
      <c r="M610" s="8"/>
      <c r="N610" s="8"/>
      <c r="O610" s="8" t="s">
        <v>724</v>
      </c>
      <c r="P610" s="8">
        <v>6.0</v>
      </c>
    </row>
    <row r="611">
      <c r="A611">
        <f>IFERROR(__xludf.DUMMYFUNCTION("""COMPUTED_VALUE"""),7.0)</f>
        <v>7</v>
      </c>
      <c r="B611">
        <f>IFERROR(__xludf.DUMMYFUNCTION("""COMPUTED_VALUE"""),30048.0)</f>
        <v>30048</v>
      </c>
      <c r="C611" t="str">
        <f>IFERROR(__xludf.DUMMYFUNCTION("""COMPUTED_VALUE"""),"GAVIRIA OLAYA, AMALIA")</f>
        <v>GAVIRIA OLAYA, AMALIA</v>
      </c>
      <c r="D611" t="str">
        <f>IFERROR(__xludf.DUMMYFUNCTION("""COMPUTED_VALUE"""),"Math 7")</f>
        <v>Math 7</v>
      </c>
      <c r="E611" s="31">
        <f>IFERROR(__xludf.DUMMYFUNCTION("""COMPUTED_VALUE"""),4.0)</f>
        <v>4</v>
      </c>
      <c r="F611" s="8">
        <v>1.0</v>
      </c>
      <c r="G611" s="8">
        <v>1.0</v>
      </c>
      <c r="H611" s="8">
        <v>1.0</v>
      </c>
      <c r="I611" s="8">
        <v>1.0</v>
      </c>
      <c r="J611" s="8">
        <v>1.0</v>
      </c>
      <c r="K611" s="8">
        <v>1.0</v>
      </c>
      <c r="L611" s="8">
        <v>6.0</v>
      </c>
      <c r="M611" s="8"/>
      <c r="N611" s="8"/>
      <c r="O611" s="8" t="s">
        <v>724</v>
      </c>
      <c r="P611" s="8">
        <v>6.0</v>
      </c>
    </row>
    <row r="612">
      <c r="A612">
        <f>IFERROR(__xludf.DUMMYFUNCTION("""COMPUTED_VALUE"""),7.0)</f>
        <v>7</v>
      </c>
      <c r="B612">
        <f>IFERROR(__xludf.DUMMYFUNCTION("""COMPUTED_VALUE"""),30146.0)</f>
        <v>30146</v>
      </c>
      <c r="C612" t="str">
        <f>IFERROR(__xludf.DUMMYFUNCTION("""COMPUTED_VALUE"""),"GIRALDO MONTOYA, EMMA")</f>
        <v>GIRALDO MONTOYA, EMMA</v>
      </c>
      <c r="D612" t="str">
        <f>IFERROR(__xludf.DUMMYFUNCTION("""COMPUTED_VALUE"""),"Math 7A")</f>
        <v>Math 7A</v>
      </c>
      <c r="E612" s="31">
        <f>IFERROR(__xludf.DUMMYFUNCTION("""COMPUTED_VALUE"""),3.0)</f>
        <v>3</v>
      </c>
      <c r="F612" s="8">
        <v>1.0</v>
      </c>
      <c r="G612" s="8">
        <v>1.0</v>
      </c>
      <c r="H612" s="8">
        <v>1.0</v>
      </c>
      <c r="I612" s="8">
        <v>1.0</v>
      </c>
      <c r="J612" s="8">
        <v>1.0</v>
      </c>
      <c r="K612" s="8">
        <v>1.0</v>
      </c>
      <c r="L612" s="8">
        <v>6.0</v>
      </c>
      <c r="M612" s="8"/>
      <c r="N612" s="8"/>
      <c r="O612" s="8" t="s">
        <v>726</v>
      </c>
      <c r="P612" s="8" t="e">
        <v>#N/A</v>
      </c>
    </row>
    <row r="613">
      <c r="A613">
        <f>IFERROR(__xludf.DUMMYFUNCTION("""COMPUTED_VALUE"""),7.0)</f>
        <v>7</v>
      </c>
      <c r="B613">
        <f>IFERROR(__xludf.DUMMYFUNCTION("""COMPUTED_VALUE"""),30049.0)</f>
        <v>30049</v>
      </c>
      <c r="C613" t="str">
        <f>IFERROR(__xludf.DUMMYFUNCTION("""COMPUTED_VALUE"""),"GOMEZ RAMIREZ, JOAQUIN")</f>
        <v>GOMEZ RAMIREZ, JOAQUIN</v>
      </c>
      <c r="D613" t="str">
        <f>IFERROR(__xludf.DUMMYFUNCTION("""COMPUTED_VALUE"""),"Math 7")</f>
        <v>Math 7</v>
      </c>
      <c r="E613" s="31">
        <f>IFERROR(__xludf.DUMMYFUNCTION("""COMPUTED_VALUE"""),6.0)</f>
        <v>6</v>
      </c>
      <c r="F613" s="8">
        <v>1.0</v>
      </c>
      <c r="G613" s="8">
        <v>1.0</v>
      </c>
      <c r="H613" s="8">
        <v>1.0</v>
      </c>
      <c r="I613" s="8">
        <v>1.0</v>
      </c>
      <c r="J613" s="8">
        <v>1.0</v>
      </c>
      <c r="K613" s="8">
        <v>1.0</v>
      </c>
      <c r="L613" s="8">
        <v>6.0</v>
      </c>
      <c r="M613" s="8"/>
      <c r="N613" s="8"/>
      <c r="O613" s="8" t="s">
        <v>727</v>
      </c>
      <c r="P613" s="8">
        <v>6.0</v>
      </c>
    </row>
    <row r="614">
      <c r="A614">
        <f>IFERROR(__xludf.DUMMYFUNCTION("""COMPUTED_VALUE"""),7.0)</f>
        <v>7</v>
      </c>
      <c r="B614">
        <f>IFERROR(__xludf.DUMMYFUNCTION("""COMPUTED_VALUE"""),30050.0)</f>
        <v>30050</v>
      </c>
      <c r="C614" t="str">
        <f>IFERROR(__xludf.DUMMYFUNCTION("""COMPUTED_VALUE"""),"GOMEZ TORRES, AMALIA")</f>
        <v>GOMEZ TORRES, AMALIA</v>
      </c>
      <c r="D614" t="str">
        <f>IFERROR(__xludf.DUMMYFUNCTION("""COMPUTED_VALUE"""),"Math 7")</f>
        <v>Math 7</v>
      </c>
      <c r="E614" s="31">
        <f>IFERROR(__xludf.DUMMYFUNCTION("""COMPUTED_VALUE"""),3.0)</f>
        <v>3</v>
      </c>
      <c r="F614" s="8">
        <v>1.0</v>
      </c>
      <c r="G614" s="8">
        <v>1.0</v>
      </c>
      <c r="H614" s="8">
        <v>1.0</v>
      </c>
      <c r="I614" s="8">
        <v>1.0</v>
      </c>
      <c r="J614" s="8">
        <v>1.0</v>
      </c>
      <c r="K614" s="8">
        <v>1.0</v>
      </c>
      <c r="L614" s="8">
        <v>6.0</v>
      </c>
      <c r="M614" s="8"/>
      <c r="N614" s="8"/>
      <c r="O614" s="8" t="s">
        <v>728</v>
      </c>
      <c r="P614" s="8">
        <v>6.0</v>
      </c>
    </row>
    <row r="615">
      <c r="A615">
        <f>IFERROR(__xludf.DUMMYFUNCTION("""COMPUTED_VALUE"""),7.0)</f>
        <v>7</v>
      </c>
      <c r="B615">
        <f>IFERROR(__xludf.DUMMYFUNCTION("""COMPUTED_VALUE"""),30051.0)</f>
        <v>30051</v>
      </c>
      <c r="C615" t="str">
        <f>IFERROR(__xludf.DUMMYFUNCTION("""COMPUTED_VALUE"""),"GONZALEZ MONSALVE, JULIETA")</f>
        <v>GONZALEZ MONSALVE, JULIETA</v>
      </c>
      <c r="D615" t="str">
        <f>IFERROR(__xludf.DUMMYFUNCTION("""COMPUTED_VALUE"""),"Math 7")</f>
        <v>Math 7</v>
      </c>
      <c r="E615" s="31">
        <f>IFERROR(__xludf.DUMMYFUNCTION("""COMPUTED_VALUE"""),4.0)</f>
        <v>4</v>
      </c>
      <c r="F615" s="8">
        <v>1.0</v>
      </c>
      <c r="G615" s="8">
        <v>1.0</v>
      </c>
      <c r="H615" s="8">
        <v>1.0</v>
      </c>
      <c r="I615" s="8">
        <v>1.0</v>
      </c>
      <c r="J615" s="8">
        <v>1.0</v>
      </c>
      <c r="K615" s="8">
        <v>1.0</v>
      </c>
      <c r="L615" s="8">
        <v>6.0</v>
      </c>
      <c r="M615" s="8"/>
      <c r="N615" s="8"/>
      <c r="O615" s="8" t="s">
        <v>724</v>
      </c>
      <c r="P615" s="8">
        <v>6.0</v>
      </c>
    </row>
    <row r="616">
      <c r="A616">
        <f>IFERROR(__xludf.DUMMYFUNCTION("""COMPUTED_VALUE"""),7.0)</f>
        <v>7</v>
      </c>
      <c r="B616">
        <f>IFERROR(__xludf.DUMMYFUNCTION("""COMPUTED_VALUE"""),30052.0)</f>
        <v>30052</v>
      </c>
      <c r="C616" t="str">
        <f>IFERROR(__xludf.DUMMYFUNCTION("""COMPUTED_VALUE"""),"GONZALEZ TORRES, SEBASTIAN")</f>
        <v>GONZALEZ TORRES, SEBASTIAN</v>
      </c>
      <c r="D616" t="str">
        <f>IFERROR(__xludf.DUMMYFUNCTION("""COMPUTED_VALUE"""),"Math 7")</f>
        <v>Math 7</v>
      </c>
      <c r="E616" s="31">
        <f>IFERROR(__xludf.DUMMYFUNCTION("""COMPUTED_VALUE"""),4.0)</f>
        <v>4</v>
      </c>
      <c r="F616" s="8">
        <v>1.0</v>
      </c>
      <c r="G616" s="8">
        <v>1.0</v>
      </c>
      <c r="H616" s="8">
        <v>1.0</v>
      </c>
      <c r="I616" s="8">
        <v>1.0</v>
      </c>
      <c r="J616" s="8">
        <v>1.0</v>
      </c>
      <c r="K616" s="8">
        <v>1.0</v>
      </c>
      <c r="L616" s="8">
        <v>6.0</v>
      </c>
      <c r="M616" s="8"/>
      <c r="N616" s="8"/>
      <c r="O616" s="8" t="s">
        <v>724</v>
      </c>
      <c r="P616" s="8">
        <v>6.0</v>
      </c>
    </row>
    <row r="617">
      <c r="A617">
        <f>IFERROR(__xludf.DUMMYFUNCTION("""COMPUTED_VALUE"""),7.0)</f>
        <v>7</v>
      </c>
      <c r="B617">
        <f>IFERROR(__xludf.DUMMYFUNCTION("""COMPUTED_VALUE"""),30053.0)</f>
        <v>30053</v>
      </c>
      <c r="C617" t="str">
        <f>IFERROR(__xludf.DUMMYFUNCTION("""COMPUTED_VALUE"""),"GONZALEZ TRABOULSI, MATIAS")</f>
        <v>GONZALEZ TRABOULSI, MATIAS</v>
      </c>
      <c r="D617" t="str">
        <f>IFERROR(__xludf.DUMMYFUNCTION("""COMPUTED_VALUE"""),"Math 7A")</f>
        <v>Math 7A</v>
      </c>
      <c r="E617" s="31">
        <f>IFERROR(__xludf.DUMMYFUNCTION("""COMPUTED_VALUE"""),3.0)</f>
        <v>3</v>
      </c>
      <c r="F617" s="8">
        <v>1.0</v>
      </c>
      <c r="G617" s="8">
        <v>1.0</v>
      </c>
      <c r="H617" s="8">
        <v>1.0</v>
      </c>
      <c r="I617" s="8">
        <v>1.0</v>
      </c>
      <c r="J617" s="8">
        <v>1.0</v>
      </c>
      <c r="K617" s="8">
        <v>1.0</v>
      </c>
      <c r="L617" s="8">
        <v>6.0</v>
      </c>
      <c r="M617" s="8"/>
      <c r="N617" s="8"/>
      <c r="O617" s="8" t="s">
        <v>726</v>
      </c>
      <c r="P617" s="8" t="e">
        <v>#N/A</v>
      </c>
    </row>
    <row r="618">
      <c r="A618">
        <f>IFERROR(__xludf.DUMMYFUNCTION("""COMPUTED_VALUE"""),7.0)</f>
        <v>7</v>
      </c>
      <c r="B618">
        <f>IFERROR(__xludf.DUMMYFUNCTION("""COMPUTED_VALUE"""),30054.0)</f>
        <v>30054</v>
      </c>
      <c r="C618" t="str">
        <f>IFERROR(__xludf.DUMMYFUNCTION("""COMPUTED_VALUE"""),"GRISALES PINEDA, ELISA")</f>
        <v>GRISALES PINEDA, ELISA</v>
      </c>
      <c r="D618" t="str">
        <f>IFERROR(__xludf.DUMMYFUNCTION("""COMPUTED_VALUE"""),"Math 7A")</f>
        <v>Math 7A</v>
      </c>
      <c r="E618" s="31">
        <f>IFERROR(__xludf.DUMMYFUNCTION("""COMPUTED_VALUE"""),4.0)</f>
        <v>4</v>
      </c>
      <c r="F618" s="8">
        <v>1.0</v>
      </c>
      <c r="G618" s="8">
        <v>1.0</v>
      </c>
      <c r="H618" s="8">
        <v>1.0</v>
      </c>
      <c r="I618" s="8">
        <v>1.0</v>
      </c>
      <c r="J618" s="8">
        <v>1.0</v>
      </c>
      <c r="K618" s="8">
        <v>1.0</v>
      </c>
      <c r="L618" s="8">
        <v>6.0</v>
      </c>
      <c r="M618" s="8"/>
      <c r="N618" s="8"/>
      <c r="O618" s="8" t="s">
        <v>725</v>
      </c>
      <c r="P618" s="8" t="e">
        <v>#N/A</v>
      </c>
    </row>
    <row r="619">
      <c r="A619">
        <f>IFERROR(__xludf.DUMMYFUNCTION("""COMPUTED_VALUE"""),7.0)</f>
        <v>7</v>
      </c>
      <c r="B619">
        <f>IFERROR(__xludf.DUMMYFUNCTION("""COMPUTED_VALUE"""),30055.0)</f>
        <v>30055</v>
      </c>
      <c r="C619" t="str">
        <f>IFERROR(__xludf.DUMMYFUNCTION("""COMPUTED_VALUE"""),"GUERRERO JARAMILLO, CAMILA")</f>
        <v>GUERRERO JARAMILLO, CAMILA</v>
      </c>
      <c r="D619" t="str">
        <f>IFERROR(__xludf.DUMMYFUNCTION("""COMPUTED_VALUE"""),"Math 7")</f>
        <v>Math 7</v>
      </c>
      <c r="E619" s="31">
        <f>IFERROR(__xludf.DUMMYFUNCTION("""COMPUTED_VALUE"""),3.0)</f>
        <v>3</v>
      </c>
      <c r="F619" s="8">
        <v>1.0</v>
      </c>
      <c r="G619" s="8">
        <v>1.0</v>
      </c>
      <c r="H619" s="8">
        <v>1.0</v>
      </c>
      <c r="I619" s="8">
        <v>1.0</v>
      </c>
      <c r="J619" s="8">
        <v>1.0</v>
      </c>
      <c r="K619" s="8">
        <v>1.0</v>
      </c>
      <c r="L619" s="8">
        <v>6.0</v>
      </c>
      <c r="M619" s="8"/>
      <c r="N619" s="8"/>
      <c r="O619" s="8" t="s">
        <v>728</v>
      </c>
      <c r="P619" s="8">
        <v>6.0</v>
      </c>
    </row>
    <row r="620">
      <c r="A620">
        <f>IFERROR(__xludf.DUMMYFUNCTION("""COMPUTED_VALUE"""),7.0)</f>
        <v>7</v>
      </c>
      <c r="B620">
        <f>IFERROR(__xludf.DUMMYFUNCTION("""COMPUTED_VALUE"""),30056.0)</f>
        <v>30056</v>
      </c>
      <c r="C620" t="str">
        <f>IFERROR(__xludf.DUMMYFUNCTION("""COMPUTED_VALUE"""),"GUTIERREZ CARVAJAL, VIOLETA")</f>
        <v>GUTIERREZ CARVAJAL, VIOLETA</v>
      </c>
      <c r="D620" t="str">
        <f>IFERROR(__xludf.DUMMYFUNCTION("""COMPUTED_VALUE"""),"Math 7")</f>
        <v>Math 7</v>
      </c>
      <c r="E620" s="31">
        <f>IFERROR(__xludf.DUMMYFUNCTION("""COMPUTED_VALUE"""),4.0)</f>
        <v>4</v>
      </c>
      <c r="F620" s="8">
        <v>1.0</v>
      </c>
      <c r="G620" s="8">
        <v>1.0</v>
      </c>
      <c r="H620" s="8">
        <v>1.0</v>
      </c>
      <c r="I620" s="8">
        <v>1.0</v>
      </c>
      <c r="J620" s="8">
        <v>1.0</v>
      </c>
      <c r="K620" s="8">
        <v>1.0</v>
      </c>
      <c r="L620" s="8">
        <v>6.0</v>
      </c>
      <c r="M620" s="8"/>
      <c r="N620" s="8"/>
      <c r="O620" s="8" t="s">
        <v>724</v>
      </c>
      <c r="P620" s="8">
        <v>6.0</v>
      </c>
    </row>
    <row r="621">
      <c r="A621">
        <f>IFERROR(__xludf.DUMMYFUNCTION("""COMPUTED_VALUE"""),7.0)</f>
        <v>7</v>
      </c>
      <c r="B621">
        <f>IFERROR(__xludf.DUMMYFUNCTION("""COMPUTED_VALUE"""),30057.0)</f>
        <v>30057</v>
      </c>
      <c r="C621" t="str">
        <f>IFERROR(__xludf.DUMMYFUNCTION("""COMPUTED_VALUE"""),"GUTIERREZ OCAMPO, ISABELA")</f>
        <v>GUTIERREZ OCAMPO, ISABELA</v>
      </c>
      <c r="D621" t="str">
        <f>IFERROR(__xludf.DUMMYFUNCTION("""COMPUTED_VALUE"""),"Math 7A")</f>
        <v>Math 7A</v>
      </c>
      <c r="E621" s="31">
        <f>IFERROR(__xludf.DUMMYFUNCTION("""COMPUTED_VALUE"""),3.0)</f>
        <v>3</v>
      </c>
      <c r="F621" s="8">
        <v>1.0</v>
      </c>
      <c r="G621" s="8">
        <v>1.0</v>
      </c>
      <c r="H621" s="8">
        <v>1.0</v>
      </c>
      <c r="I621" s="8">
        <v>1.0</v>
      </c>
      <c r="J621" s="8">
        <v>1.0</v>
      </c>
      <c r="K621" s="8">
        <v>1.0</v>
      </c>
      <c r="L621" s="8">
        <v>6.0</v>
      </c>
      <c r="M621" s="8"/>
      <c r="N621" s="8"/>
      <c r="O621" s="8" t="s">
        <v>726</v>
      </c>
      <c r="P621" s="8" t="e">
        <v>#N/A</v>
      </c>
    </row>
    <row r="622">
      <c r="A622">
        <f>IFERROR(__xludf.DUMMYFUNCTION("""COMPUTED_VALUE"""),7.0)</f>
        <v>7</v>
      </c>
      <c r="B622">
        <f>IFERROR(__xludf.DUMMYFUNCTION("""COMPUTED_VALUE"""),30058.0)</f>
        <v>30058</v>
      </c>
      <c r="C622" t="str">
        <f>IFERROR(__xludf.DUMMYFUNCTION("""COMPUTED_VALUE"""),"GUZMAN FRANCO, SEBASTIAN")</f>
        <v>GUZMAN FRANCO, SEBASTIAN</v>
      </c>
      <c r="D622" t="str">
        <f>IFERROR(__xludf.DUMMYFUNCTION("""COMPUTED_VALUE"""),"Math 7")</f>
        <v>Math 7</v>
      </c>
      <c r="E622" s="31">
        <f>IFERROR(__xludf.DUMMYFUNCTION("""COMPUTED_VALUE"""),3.0)</f>
        <v>3</v>
      </c>
      <c r="F622" s="8">
        <v>1.0</v>
      </c>
      <c r="G622" s="8">
        <v>1.0</v>
      </c>
      <c r="H622" s="8">
        <v>1.0</v>
      </c>
      <c r="I622" s="8">
        <v>1.0</v>
      </c>
      <c r="J622" s="8">
        <v>1.0</v>
      </c>
      <c r="K622" s="8">
        <v>1.0</v>
      </c>
      <c r="L622" s="8">
        <v>6.0</v>
      </c>
      <c r="M622" s="8"/>
      <c r="N622" s="8"/>
      <c r="O622" s="8" t="s">
        <v>728</v>
      </c>
      <c r="P622" s="8">
        <v>6.0</v>
      </c>
    </row>
    <row r="623">
      <c r="A623">
        <f>IFERROR(__xludf.DUMMYFUNCTION("""COMPUTED_VALUE"""),7.0)</f>
        <v>7</v>
      </c>
      <c r="B623">
        <f>IFERROR(__xludf.DUMMYFUNCTION("""COMPUTED_VALUE"""),30059.0)</f>
        <v>30059</v>
      </c>
      <c r="C623" t="str">
        <f>IFERROR(__xludf.DUMMYFUNCTION("""COMPUTED_VALUE"""),"HALABY NAVARRO, MARCO")</f>
        <v>HALABY NAVARRO, MARCO</v>
      </c>
      <c r="D623" t="str">
        <f>IFERROR(__xludf.DUMMYFUNCTION("""COMPUTED_VALUE"""),"Math 7")</f>
        <v>Math 7</v>
      </c>
      <c r="E623" s="31">
        <f>IFERROR(__xludf.DUMMYFUNCTION("""COMPUTED_VALUE"""),4.0)</f>
        <v>4</v>
      </c>
      <c r="F623" s="8">
        <v>1.0</v>
      </c>
      <c r="G623" s="8">
        <v>1.0</v>
      </c>
      <c r="H623" s="8">
        <v>1.0</v>
      </c>
      <c r="I623" s="8">
        <v>1.0</v>
      </c>
      <c r="J623" s="8">
        <v>1.0</v>
      </c>
      <c r="K623" s="8">
        <v>1.0</v>
      </c>
      <c r="L623" s="8">
        <v>6.0</v>
      </c>
      <c r="M623" s="8"/>
      <c r="N623" s="8"/>
      <c r="O623" s="8" t="s">
        <v>724</v>
      </c>
      <c r="P623" s="8">
        <v>6.0</v>
      </c>
    </row>
    <row r="624">
      <c r="A624">
        <f>IFERROR(__xludf.DUMMYFUNCTION("""COMPUTED_VALUE"""),7.0)</f>
        <v>7</v>
      </c>
      <c r="B624">
        <f>IFERROR(__xludf.DUMMYFUNCTION("""COMPUTED_VALUE"""),30166.0)</f>
        <v>30166</v>
      </c>
      <c r="C624" t="str">
        <f>IFERROR(__xludf.DUMMYFUNCTION("""COMPUTED_VALUE"""),"HERNANDEZ GOMEZ, EMILIA")</f>
        <v>HERNANDEZ GOMEZ, EMILIA</v>
      </c>
      <c r="D624" t="str">
        <f>IFERROR(__xludf.DUMMYFUNCTION("""COMPUTED_VALUE"""),"Math 7")</f>
        <v>Math 7</v>
      </c>
      <c r="E624" s="31">
        <f>IFERROR(__xludf.DUMMYFUNCTION("""COMPUTED_VALUE"""),4.0)</f>
        <v>4</v>
      </c>
      <c r="F624" s="8">
        <v>1.0</v>
      </c>
      <c r="G624" s="8">
        <v>1.0</v>
      </c>
      <c r="H624" s="8">
        <v>1.0</v>
      </c>
      <c r="I624" s="8">
        <v>1.0</v>
      </c>
      <c r="J624" s="8">
        <v>1.0</v>
      </c>
      <c r="K624" s="8">
        <v>1.0</v>
      </c>
      <c r="L624" s="8">
        <v>6.0</v>
      </c>
      <c r="M624" s="8"/>
      <c r="N624" s="8"/>
      <c r="O624" s="8" t="s">
        <v>724</v>
      </c>
      <c r="P624" s="8">
        <v>6.0</v>
      </c>
    </row>
    <row r="625">
      <c r="A625">
        <f>IFERROR(__xludf.DUMMYFUNCTION("""COMPUTED_VALUE"""),7.0)</f>
        <v>7</v>
      </c>
      <c r="B625">
        <f>IFERROR(__xludf.DUMMYFUNCTION("""COMPUTED_VALUE"""),30062.0)</f>
        <v>30062</v>
      </c>
      <c r="C625" t="str">
        <f>IFERROR(__xludf.DUMMYFUNCTION("""COMPUTED_VALUE"""),"HURTADO FAJARDO, VALERIA")</f>
        <v>HURTADO FAJARDO, VALERIA</v>
      </c>
      <c r="D625" t="str">
        <f>IFERROR(__xludf.DUMMYFUNCTION("""COMPUTED_VALUE"""),"Math 7")</f>
        <v>Math 7</v>
      </c>
      <c r="E625" s="31">
        <f>IFERROR(__xludf.DUMMYFUNCTION("""COMPUTED_VALUE"""),4.0)</f>
        <v>4</v>
      </c>
      <c r="F625" s="8">
        <v>1.0</v>
      </c>
      <c r="G625" s="8">
        <v>1.0</v>
      </c>
      <c r="H625" s="8">
        <v>1.0</v>
      </c>
      <c r="I625" s="8">
        <v>1.0</v>
      </c>
      <c r="J625" s="8">
        <v>1.0</v>
      </c>
      <c r="K625" s="8">
        <v>1.0</v>
      </c>
      <c r="L625" s="8">
        <v>6.0</v>
      </c>
      <c r="M625" s="8"/>
      <c r="N625" s="8"/>
      <c r="O625" s="8" t="s">
        <v>724</v>
      </c>
      <c r="P625" s="8">
        <v>6.0</v>
      </c>
    </row>
    <row r="626">
      <c r="A626">
        <f>IFERROR(__xludf.DUMMYFUNCTION("""COMPUTED_VALUE"""),7.0)</f>
        <v>7</v>
      </c>
      <c r="B626">
        <f>IFERROR(__xludf.DUMMYFUNCTION("""COMPUTED_VALUE"""),30064.0)</f>
        <v>30064</v>
      </c>
      <c r="C626" t="str">
        <f>IFERROR(__xludf.DUMMYFUNCTION("""COMPUTED_VALUE"""),"JARAMILLO ARBELAEZ, TOMAS")</f>
        <v>JARAMILLO ARBELAEZ, TOMAS</v>
      </c>
      <c r="D626" t="str">
        <f>IFERROR(__xludf.DUMMYFUNCTION("""COMPUTED_VALUE"""),"Math 7")</f>
        <v>Math 7</v>
      </c>
      <c r="E626" s="31">
        <f>IFERROR(__xludf.DUMMYFUNCTION("""COMPUTED_VALUE"""),6.0)</f>
        <v>6</v>
      </c>
      <c r="F626" s="8">
        <v>1.0</v>
      </c>
      <c r="G626" s="8">
        <v>1.0</v>
      </c>
      <c r="H626" s="8">
        <v>1.0</v>
      </c>
      <c r="I626" s="8">
        <v>1.0</v>
      </c>
      <c r="J626" s="8">
        <v>1.0</v>
      </c>
      <c r="K626" s="8">
        <v>1.0</v>
      </c>
      <c r="L626" s="8">
        <v>6.0</v>
      </c>
      <c r="M626" s="8"/>
      <c r="N626" s="8"/>
      <c r="O626" s="8" t="s">
        <v>727</v>
      </c>
      <c r="P626" s="8">
        <v>6.0</v>
      </c>
    </row>
    <row r="627">
      <c r="A627">
        <f>IFERROR(__xludf.DUMMYFUNCTION("""COMPUTED_VALUE"""),7.0)</f>
        <v>7</v>
      </c>
      <c r="B627">
        <f>IFERROR(__xludf.DUMMYFUNCTION("""COMPUTED_VALUE"""),30065.0)</f>
        <v>30065</v>
      </c>
      <c r="C627" t="str">
        <f>IFERROR(__xludf.DUMMYFUNCTION("""COMPUTED_VALUE"""),"JARAMILLO MORA, CARMEN")</f>
        <v>JARAMILLO MORA, CARMEN</v>
      </c>
      <c r="D627" t="str">
        <f>IFERROR(__xludf.DUMMYFUNCTION("""COMPUTED_VALUE"""),"Math 7A")</f>
        <v>Math 7A</v>
      </c>
      <c r="E627" s="31">
        <f>IFERROR(__xludf.DUMMYFUNCTION("""COMPUTED_VALUE"""),4.0)</f>
        <v>4</v>
      </c>
      <c r="F627" s="8">
        <v>1.0</v>
      </c>
      <c r="G627" s="8">
        <v>1.0</v>
      </c>
      <c r="H627" s="8">
        <v>1.0</v>
      </c>
      <c r="I627" s="8">
        <v>1.0</v>
      </c>
      <c r="J627" s="8">
        <v>1.0</v>
      </c>
      <c r="K627" s="8">
        <v>1.0</v>
      </c>
      <c r="L627" s="8">
        <v>6.0</v>
      </c>
      <c r="M627" s="8"/>
      <c r="N627" s="8"/>
      <c r="O627" s="8" t="s">
        <v>725</v>
      </c>
      <c r="P627" s="8" t="e">
        <v>#N/A</v>
      </c>
    </row>
    <row r="628">
      <c r="A628">
        <f>IFERROR(__xludf.DUMMYFUNCTION("""COMPUTED_VALUE"""),7.0)</f>
        <v>7</v>
      </c>
      <c r="B628">
        <f>IFERROR(__xludf.DUMMYFUNCTION("""COMPUTED_VALUE"""),30066.0)</f>
        <v>30066</v>
      </c>
      <c r="C628" t="str">
        <f>IFERROR(__xludf.DUMMYFUNCTION("""COMPUTED_VALUE"""),"JARAMILLO PEÑA, MIGUEL ANTONIO")</f>
        <v>JARAMILLO PEÑA, MIGUEL ANTONIO</v>
      </c>
      <c r="D628" t="str">
        <f>IFERROR(__xludf.DUMMYFUNCTION("""COMPUTED_VALUE"""),"Math 7")</f>
        <v>Math 7</v>
      </c>
      <c r="E628" s="31">
        <f>IFERROR(__xludf.DUMMYFUNCTION("""COMPUTED_VALUE"""),5.0)</f>
        <v>5</v>
      </c>
      <c r="F628" s="8">
        <v>1.0</v>
      </c>
      <c r="G628" s="8">
        <v>1.0</v>
      </c>
      <c r="H628" s="8">
        <v>1.0</v>
      </c>
      <c r="I628" s="8">
        <v>1.0</v>
      </c>
      <c r="J628" s="8">
        <v>1.0</v>
      </c>
      <c r="K628" s="8">
        <v>1.0</v>
      </c>
      <c r="L628" s="8">
        <v>6.0</v>
      </c>
      <c r="M628" s="8"/>
      <c r="N628" s="8"/>
      <c r="O628" s="8" t="s">
        <v>723</v>
      </c>
      <c r="P628" s="8">
        <v>6.0</v>
      </c>
    </row>
    <row r="629">
      <c r="A629">
        <f>IFERROR(__xludf.DUMMYFUNCTION("""COMPUTED_VALUE"""),7.0)</f>
        <v>7</v>
      </c>
      <c r="B629">
        <f>IFERROR(__xludf.DUMMYFUNCTION("""COMPUTED_VALUE"""),30148.0)</f>
        <v>30148</v>
      </c>
      <c r="C629" t="str">
        <f>IFERROR(__xludf.DUMMYFUNCTION("""COMPUTED_VALUE"""),"JARAMILLO VELASQUEZ, FEDERICO")</f>
        <v>JARAMILLO VELASQUEZ, FEDERICO</v>
      </c>
      <c r="D629" t="str">
        <f>IFERROR(__xludf.DUMMYFUNCTION("""COMPUTED_VALUE"""),"Math 7A")</f>
        <v>Math 7A</v>
      </c>
      <c r="E629" s="31">
        <f>IFERROR(__xludf.DUMMYFUNCTION("""COMPUTED_VALUE"""),3.0)</f>
        <v>3</v>
      </c>
      <c r="F629" s="8">
        <v>1.0</v>
      </c>
      <c r="G629" s="8">
        <v>1.0</v>
      </c>
      <c r="H629" s="8">
        <v>1.0</v>
      </c>
      <c r="I629" s="8">
        <v>1.0</v>
      </c>
      <c r="J629" s="8">
        <v>1.0</v>
      </c>
      <c r="K629" s="8">
        <v>1.0</v>
      </c>
      <c r="L629" s="8">
        <v>6.0</v>
      </c>
      <c r="M629" s="8"/>
      <c r="N629" s="8"/>
      <c r="O629" s="8" t="s">
        <v>726</v>
      </c>
      <c r="P629" s="8" t="e">
        <v>#N/A</v>
      </c>
    </row>
    <row r="630">
      <c r="A630">
        <f>IFERROR(__xludf.DUMMYFUNCTION("""COMPUTED_VALUE"""),7.0)</f>
        <v>7</v>
      </c>
      <c r="B630">
        <f>IFERROR(__xludf.DUMMYFUNCTION("""COMPUTED_VALUE"""),30068.0)</f>
        <v>30068</v>
      </c>
      <c r="C630" t="str">
        <f>IFERROR(__xludf.DUMMYFUNCTION("""COMPUTED_VALUE"""),"LIBREROS ZULUAGA, JOSHUA")</f>
        <v>LIBREROS ZULUAGA, JOSHUA</v>
      </c>
      <c r="D630" t="str">
        <f>IFERROR(__xludf.DUMMYFUNCTION("""COMPUTED_VALUE"""),"Math 7")</f>
        <v>Math 7</v>
      </c>
      <c r="E630" s="31">
        <f>IFERROR(__xludf.DUMMYFUNCTION("""COMPUTED_VALUE"""),4.0)</f>
        <v>4</v>
      </c>
      <c r="F630" s="8">
        <v>1.0</v>
      </c>
      <c r="G630" s="8">
        <v>1.0</v>
      </c>
      <c r="H630" s="8">
        <v>1.0</v>
      </c>
      <c r="I630" s="8">
        <v>1.0</v>
      </c>
      <c r="J630" s="8">
        <v>1.0</v>
      </c>
      <c r="K630" s="8">
        <v>1.0</v>
      </c>
      <c r="L630" s="8">
        <v>6.0</v>
      </c>
      <c r="M630" s="8"/>
      <c r="N630" s="8"/>
      <c r="O630" s="8" t="s">
        <v>724</v>
      </c>
      <c r="P630" s="8">
        <v>6.0</v>
      </c>
    </row>
    <row r="631">
      <c r="A631">
        <f>IFERROR(__xludf.DUMMYFUNCTION("""COMPUTED_VALUE"""),7.0)</f>
        <v>7</v>
      </c>
      <c r="B631">
        <f>IFERROR(__xludf.DUMMYFUNCTION("""COMPUTED_VALUE"""),30069.0)</f>
        <v>30069</v>
      </c>
      <c r="C631" t="str">
        <f>IFERROR(__xludf.DUMMYFUNCTION("""COMPUTED_VALUE"""),"LLANO PIEDRAHITA, TOMAS")</f>
        <v>LLANO PIEDRAHITA, TOMAS</v>
      </c>
      <c r="D631" t="str">
        <f>IFERROR(__xludf.DUMMYFUNCTION("""COMPUTED_VALUE"""),"Math 7A")</f>
        <v>Math 7A</v>
      </c>
      <c r="E631" s="31">
        <f>IFERROR(__xludf.DUMMYFUNCTION("""COMPUTED_VALUE"""),4.0)</f>
        <v>4</v>
      </c>
      <c r="F631" s="8">
        <v>1.0</v>
      </c>
      <c r="G631" s="8">
        <v>1.0</v>
      </c>
      <c r="H631" s="8">
        <v>1.0</v>
      </c>
      <c r="I631" s="8">
        <v>1.0</v>
      </c>
      <c r="J631" s="8">
        <v>1.0</v>
      </c>
      <c r="K631" s="8">
        <v>1.0</v>
      </c>
      <c r="L631" s="8">
        <v>6.0</v>
      </c>
      <c r="M631" s="8"/>
      <c r="N631" s="8"/>
      <c r="O631" s="8" t="s">
        <v>725</v>
      </c>
      <c r="P631" s="8" t="e">
        <v>#N/A</v>
      </c>
    </row>
    <row r="632">
      <c r="A632">
        <f>IFERROR(__xludf.DUMMYFUNCTION("""COMPUTED_VALUE"""),7.0)</f>
        <v>7</v>
      </c>
      <c r="B632">
        <f>IFERROR(__xludf.DUMMYFUNCTION("""COMPUTED_VALUE"""),30070.0)</f>
        <v>30070</v>
      </c>
      <c r="C632" t="str">
        <f>IFERROR(__xludf.DUMMYFUNCTION("""COMPUTED_VALUE"""),"LONDOÑO CUARTAS, PABLO")</f>
        <v>LONDOÑO CUARTAS, PABLO</v>
      </c>
      <c r="D632" t="str">
        <f>IFERROR(__xludf.DUMMYFUNCTION("""COMPUTED_VALUE"""),"Math 7")</f>
        <v>Math 7</v>
      </c>
      <c r="E632" s="31">
        <f>IFERROR(__xludf.DUMMYFUNCTION("""COMPUTED_VALUE"""),5.0)</f>
        <v>5</v>
      </c>
      <c r="F632" s="8">
        <v>1.0</v>
      </c>
      <c r="G632" s="8">
        <v>1.0</v>
      </c>
      <c r="H632" s="8">
        <v>1.0</v>
      </c>
      <c r="I632" s="8">
        <v>1.0</v>
      </c>
      <c r="J632" s="8">
        <v>1.0</v>
      </c>
      <c r="K632" s="8">
        <v>1.0</v>
      </c>
      <c r="L632" s="8">
        <v>6.0</v>
      </c>
      <c r="M632" s="8"/>
      <c r="N632" s="8"/>
      <c r="O632" s="8" t="s">
        <v>723</v>
      </c>
      <c r="P632" s="8">
        <v>6.0</v>
      </c>
    </row>
    <row r="633">
      <c r="A633">
        <f>IFERROR(__xludf.DUMMYFUNCTION("""COMPUTED_VALUE"""),7.0)</f>
        <v>7</v>
      </c>
      <c r="B633">
        <f>IFERROR(__xludf.DUMMYFUNCTION("""COMPUTED_VALUE"""),30155.0)</f>
        <v>30155</v>
      </c>
      <c r="C633" t="str">
        <f>IFERROR(__xludf.DUMMYFUNCTION("""COMPUTED_VALUE"""),"LONDOÑO JARAMILLO, MARIANO")</f>
        <v>LONDOÑO JARAMILLO, MARIANO</v>
      </c>
      <c r="D633" t="str">
        <f>IFERROR(__xludf.DUMMYFUNCTION("""COMPUTED_VALUE"""),"Math 7")</f>
        <v>Math 7</v>
      </c>
      <c r="E633" s="31">
        <f>IFERROR(__xludf.DUMMYFUNCTION("""COMPUTED_VALUE"""),6.0)</f>
        <v>6</v>
      </c>
      <c r="F633" s="8">
        <v>1.0</v>
      </c>
      <c r="G633" s="8">
        <v>1.0</v>
      </c>
      <c r="H633" s="8">
        <v>1.0</v>
      </c>
      <c r="I633" s="8">
        <v>1.0</v>
      </c>
      <c r="J633" s="8">
        <v>1.0</v>
      </c>
      <c r="K633" s="8">
        <v>1.0</v>
      </c>
      <c r="L633" s="8">
        <v>6.0</v>
      </c>
      <c r="M633" s="8"/>
      <c r="N633" s="8"/>
      <c r="O633" s="8" t="s">
        <v>727</v>
      </c>
      <c r="P633" s="8">
        <v>6.0</v>
      </c>
    </row>
    <row r="634">
      <c r="A634">
        <f>IFERROR(__xludf.DUMMYFUNCTION("""COMPUTED_VALUE"""),7.0)</f>
        <v>7</v>
      </c>
      <c r="B634">
        <f>IFERROR(__xludf.DUMMYFUNCTION("""COMPUTED_VALUE"""),30072.0)</f>
        <v>30072</v>
      </c>
      <c r="C634" t="str">
        <f>IFERROR(__xludf.DUMMYFUNCTION("""COMPUTED_VALUE"""),"LOZANO NAVARRO, GREGORIO")</f>
        <v>LOZANO NAVARRO, GREGORIO</v>
      </c>
      <c r="D634" t="str">
        <f>IFERROR(__xludf.DUMMYFUNCTION("""COMPUTED_VALUE"""),"Math 7")</f>
        <v>Math 7</v>
      </c>
      <c r="E634" s="31">
        <f>IFERROR(__xludf.DUMMYFUNCTION("""COMPUTED_VALUE"""),5.0)</f>
        <v>5</v>
      </c>
      <c r="F634" s="8">
        <v>1.0</v>
      </c>
      <c r="G634" s="8">
        <v>1.0</v>
      </c>
      <c r="H634" s="8">
        <v>1.0</v>
      </c>
      <c r="I634" s="8">
        <v>1.0</v>
      </c>
      <c r="J634" s="8">
        <v>1.0</v>
      </c>
      <c r="K634" s="8">
        <v>1.0</v>
      </c>
      <c r="L634" s="8">
        <v>6.0</v>
      </c>
      <c r="M634" s="8"/>
      <c r="N634" s="8"/>
      <c r="O634" s="8" t="s">
        <v>723</v>
      </c>
      <c r="P634" s="8">
        <v>6.0</v>
      </c>
    </row>
    <row r="635">
      <c r="A635">
        <f>IFERROR(__xludf.DUMMYFUNCTION("""COMPUTED_VALUE"""),7.0)</f>
        <v>7</v>
      </c>
      <c r="B635">
        <f>IFERROR(__xludf.DUMMYFUNCTION("""COMPUTED_VALUE"""),30074.0)</f>
        <v>30074</v>
      </c>
      <c r="C635" t="str">
        <f>IFERROR(__xludf.DUMMYFUNCTION("""COMPUTED_VALUE"""),"MACIA TORO, ALICIA")</f>
        <v>MACIA TORO, ALICIA</v>
      </c>
      <c r="D635" t="str">
        <f>IFERROR(__xludf.DUMMYFUNCTION("""COMPUTED_VALUE"""),"Math 7A")</f>
        <v>Math 7A</v>
      </c>
      <c r="E635" s="31">
        <f>IFERROR(__xludf.DUMMYFUNCTION("""COMPUTED_VALUE"""),4.0)</f>
        <v>4</v>
      </c>
      <c r="F635" s="8">
        <v>1.0</v>
      </c>
      <c r="G635" s="8">
        <v>1.0</v>
      </c>
      <c r="H635" s="8">
        <v>1.0</v>
      </c>
      <c r="I635" s="8">
        <v>1.0</v>
      </c>
      <c r="J635" s="8">
        <v>1.0</v>
      </c>
      <c r="K635" s="8">
        <v>1.0</v>
      </c>
      <c r="L635" s="8">
        <v>6.0</v>
      </c>
      <c r="M635" s="8"/>
      <c r="N635" s="8"/>
      <c r="O635" s="8" t="s">
        <v>725</v>
      </c>
      <c r="P635" s="8" t="e">
        <v>#N/A</v>
      </c>
    </row>
    <row r="636">
      <c r="A636">
        <f>IFERROR(__xludf.DUMMYFUNCTION("""COMPUTED_VALUE"""),7.0)</f>
        <v>7</v>
      </c>
      <c r="B636">
        <f>IFERROR(__xludf.DUMMYFUNCTION("""COMPUTED_VALUE"""),30075.0)</f>
        <v>30075</v>
      </c>
      <c r="C636" t="str">
        <f>IFERROR(__xludf.DUMMYFUNCTION("""COMPUTED_VALUE"""),"MANRIQUE CUESTA, VALERIA")</f>
        <v>MANRIQUE CUESTA, VALERIA</v>
      </c>
      <c r="D636" t="str">
        <f>IFERROR(__xludf.DUMMYFUNCTION("""COMPUTED_VALUE"""),"Math 7")</f>
        <v>Math 7</v>
      </c>
      <c r="E636" s="31">
        <f>IFERROR(__xludf.DUMMYFUNCTION("""COMPUTED_VALUE"""),3.0)</f>
        <v>3</v>
      </c>
      <c r="F636" s="8">
        <v>1.0</v>
      </c>
      <c r="G636" s="8">
        <v>1.0</v>
      </c>
      <c r="H636" s="8">
        <v>1.0</v>
      </c>
      <c r="I636" s="8">
        <v>1.0</v>
      </c>
      <c r="J636" s="8">
        <v>1.0</v>
      </c>
      <c r="K636" s="8">
        <v>1.0</v>
      </c>
      <c r="L636" s="8">
        <v>6.0</v>
      </c>
      <c r="M636" s="8"/>
      <c r="N636" s="8"/>
      <c r="O636" s="8" t="s">
        <v>728</v>
      </c>
      <c r="P636" s="8">
        <v>6.0</v>
      </c>
    </row>
    <row r="637">
      <c r="A637">
        <f>IFERROR(__xludf.DUMMYFUNCTION("""COMPUTED_VALUE"""),7.0)</f>
        <v>7</v>
      </c>
      <c r="B637">
        <f>IFERROR(__xludf.DUMMYFUNCTION("""COMPUTED_VALUE"""),30076.0)</f>
        <v>30076</v>
      </c>
      <c r="C637" t="str">
        <f>IFERROR(__xludf.DUMMYFUNCTION("""COMPUTED_VALUE"""),"MARTINEZ OROZCO, GABRIELA")</f>
        <v>MARTINEZ OROZCO, GABRIELA</v>
      </c>
      <c r="D637" t="str">
        <f>IFERROR(__xludf.DUMMYFUNCTION("""COMPUTED_VALUE"""),"Math 7A")</f>
        <v>Math 7A</v>
      </c>
      <c r="E637" s="31">
        <f>IFERROR(__xludf.DUMMYFUNCTION("""COMPUTED_VALUE"""),3.0)</f>
        <v>3</v>
      </c>
      <c r="F637" s="8">
        <v>1.0</v>
      </c>
      <c r="G637" s="8">
        <v>1.0</v>
      </c>
      <c r="H637" s="8">
        <v>1.0</v>
      </c>
      <c r="I637" s="8">
        <v>1.0</v>
      </c>
      <c r="J637" s="8">
        <v>1.0</v>
      </c>
      <c r="K637" s="8">
        <v>1.0</v>
      </c>
      <c r="L637" s="8">
        <v>6.0</v>
      </c>
      <c r="M637" s="8"/>
      <c r="N637" s="8"/>
      <c r="O637" s="8" t="s">
        <v>726</v>
      </c>
      <c r="P637" s="8" t="e">
        <v>#N/A</v>
      </c>
    </row>
    <row r="638">
      <c r="A638">
        <f>IFERROR(__xludf.DUMMYFUNCTION("""COMPUTED_VALUE"""),7.0)</f>
        <v>7</v>
      </c>
      <c r="B638">
        <f>IFERROR(__xludf.DUMMYFUNCTION("""COMPUTED_VALUE"""),30077.0)</f>
        <v>30077</v>
      </c>
      <c r="C638" t="str">
        <f>IFERROR(__xludf.DUMMYFUNCTION("""COMPUTED_VALUE"""),"MC LEAN HIDRON, SIMON")</f>
        <v>MC LEAN HIDRON, SIMON</v>
      </c>
      <c r="D638" t="str">
        <f>IFERROR(__xludf.DUMMYFUNCTION("""COMPUTED_VALUE"""),"Math 7")</f>
        <v>Math 7</v>
      </c>
      <c r="E638" s="31">
        <f>IFERROR(__xludf.DUMMYFUNCTION("""COMPUTED_VALUE"""),5.0)</f>
        <v>5</v>
      </c>
      <c r="F638" s="8">
        <v>1.0</v>
      </c>
      <c r="G638" s="8">
        <v>1.0</v>
      </c>
      <c r="H638" s="8">
        <v>1.0</v>
      </c>
      <c r="I638" s="8">
        <v>1.0</v>
      </c>
      <c r="J638" s="8">
        <v>1.0</v>
      </c>
      <c r="K638" s="8">
        <v>1.0</v>
      </c>
      <c r="L638" s="8">
        <v>6.0</v>
      </c>
      <c r="M638" s="8"/>
      <c r="N638" s="8"/>
      <c r="O638" s="8" t="s">
        <v>723</v>
      </c>
      <c r="P638" s="8">
        <v>6.0</v>
      </c>
    </row>
    <row r="639">
      <c r="A639">
        <f>IFERROR(__xludf.DUMMYFUNCTION("""COMPUTED_VALUE"""),7.0)</f>
        <v>7</v>
      </c>
      <c r="B639">
        <f>IFERROR(__xludf.DUMMYFUNCTION("""COMPUTED_VALUE"""),30174.0)</f>
        <v>30174</v>
      </c>
      <c r="C639" t="str">
        <f>IFERROR(__xludf.DUMMYFUNCTION("""COMPUTED_VALUE"""),"MEJIA BOTERO, FRANCISCA")</f>
        <v>MEJIA BOTERO, FRANCISCA</v>
      </c>
      <c r="D639" t="str">
        <f>IFERROR(__xludf.DUMMYFUNCTION("""COMPUTED_VALUE"""),"Math 7")</f>
        <v>Math 7</v>
      </c>
      <c r="E639" s="31">
        <f>IFERROR(__xludf.DUMMYFUNCTION("""COMPUTED_VALUE"""),3.0)</f>
        <v>3</v>
      </c>
      <c r="F639" s="8">
        <v>1.0</v>
      </c>
      <c r="G639" s="8">
        <v>1.0</v>
      </c>
      <c r="H639" s="8">
        <v>1.0</v>
      </c>
      <c r="I639" s="8">
        <v>1.0</v>
      </c>
      <c r="J639" s="8">
        <v>1.0</v>
      </c>
      <c r="K639" s="8">
        <v>1.0</v>
      </c>
      <c r="L639" s="8">
        <v>6.0</v>
      </c>
      <c r="M639" s="8"/>
      <c r="N639" s="8"/>
      <c r="O639" s="8" t="s">
        <v>728</v>
      </c>
      <c r="P639" s="8">
        <v>6.0</v>
      </c>
    </row>
    <row r="640">
      <c r="A640">
        <f>IFERROR(__xludf.DUMMYFUNCTION("""COMPUTED_VALUE"""),7.0)</f>
        <v>7</v>
      </c>
      <c r="B640">
        <f>IFERROR(__xludf.DUMMYFUNCTION("""COMPUTED_VALUE"""),30078.0)</f>
        <v>30078</v>
      </c>
      <c r="C640" t="str">
        <f>IFERROR(__xludf.DUMMYFUNCTION("""COMPUTED_VALUE"""),"MESA GARCIA, ISABEL")</f>
        <v>MESA GARCIA, ISABEL</v>
      </c>
      <c r="D640" t="str">
        <f>IFERROR(__xludf.DUMMYFUNCTION("""COMPUTED_VALUE"""),"Math 7A")</f>
        <v>Math 7A</v>
      </c>
      <c r="E640" s="31">
        <f>IFERROR(__xludf.DUMMYFUNCTION("""COMPUTED_VALUE"""),3.0)</f>
        <v>3</v>
      </c>
      <c r="F640" s="8">
        <v>1.0</v>
      </c>
      <c r="G640" s="8">
        <v>1.0</v>
      </c>
      <c r="H640" s="8">
        <v>1.0</v>
      </c>
      <c r="I640" s="8">
        <v>1.0</v>
      </c>
      <c r="J640" s="8">
        <v>1.0</v>
      </c>
      <c r="K640" s="8">
        <v>1.0</v>
      </c>
      <c r="L640" s="8">
        <v>6.0</v>
      </c>
      <c r="M640" s="8"/>
      <c r="N640" s="8"/>
      <c r="O640" s="8" t="s">
        <v>726</v>
      </c>
      <c r="P640" s="8" t="e">
        <v>#N/A</v>
      </c>
    </row>
    <row r="641">
      <c r="A641">
        <f>IFERROR(__xludf.DUMMYFUNCTION("""COMPUTED_VALUE"""),7.0)</f>
        <v>7</v>
      </c>
      <c r="B641">
        <f>IFERROR(__xludf.DUMMYFUNCTION("""COMPUTED_VALUE"""),30079.0)</f>
        <v>30079</v>
      </c>
      <c r="C641" t="str">
        <f>IFERROR(__xludf.DUMMYFUNCTION("""COMPUTED_VALUE"""),"MESA RESTREPO, BRUNO")</f>
        <v>MESA RESTREPO, BRUNO</v>
      </c>
      <c r="D641" t="str">
        <f>IFERROR(__xludf.DUMMYFUNCTION("""COMPUTED_VALUE"""),"Math 7")</f>
        <v>Math 7</v>
      </c>
      <c r="E641" s="31">
        <f>IFERROR(__xludf.DUMMYFUNCTION("""COMPUTED_VALUE"""),6.0)</f>
        <v>6</v>
      </c>
      <c r="F641" s="8">
        <v>1.0</v>
      </c>
      <c r="G641" s="8">
        <v>1.0</v>
      </c>
      <c r="H641" s="8">
        <v>1.0</v>
      </c>
      <c r="I641" s="8">
        <v>1.0</v>
      </c>
      <c r="J641" s="8">
        <v>1.0</v>
      </c>
      <c r="K641" s="8">
        <v>1.0</v>
      </c>
      <c r="L641" s="8">
        <v>6.0</v>
      </c>
      <c r="M641" s="8"/>
      <c r="N641" s="8"/>
      <c r="O641" s="8" t="s">
        <v>727</v>
      </c>
      <c r="P641" s="8">
        <v>6.0</v>
      </c>
    </row>
    <row r="642">
      <c r="A642">
        <f>IFERROR(__xludf.DUMMYFUNCTION("""COMPUTED_VALUE"""),7.0)</f>
        <v>7</v>
      </c>
      <c r="B642">
        <f>IFERROR(__xludf.DUMMYFUNCTION("""COMPUTED_VALUE"""),30080.0)</f>
        <v>30080</v>
      </c>
      <c r="C642" t="str">
        <f>IFERROR(__xludf.DUMMYFUNCTION("""COMPUTED_VALUE"""),"MEZA SUAREZ, NIKOLAI")</f>
        <v>MEZA SUAREZ, NIKOLAI</v>
      </c>
      <c r="D642" t="str">
        <f>IFERROR(__xludf.DUMMYFUNCTION("""COMPUTED_VALUE"""),"Math 7")</f>
        <v>Math 7</v>
      </c>
      <c r="E642" s="31">
        <f>IFERROR(__xludf.DUMMYFUNCTION("""COMPUTED_VALUE"""),3.0)</f>
        <v>3</v>
      </c>
      <c r="F642" s="8">
        <v>1.0</v>
      </c>
      <c r="G642" s="8">
        <v>1.0</v>
      </c>
      <c r="H642" s="8">
        <v>1.0</v>
      </c>
      <c r="I642" s="8">
        <v>1.0</v>
      </c>
      <c r="J642" s="8">
        <v>1.0</v>
      </c>
      <c r="K642" s="8">
        <v>1.0</v>
      </c>
      <c r="L642" s="8">
        <v>6.0</v>
      </c>
      <c r="M642" s="8"/>
      <c r="N642" s="8"/>
      <c r="O642" s="8" t="s">
        <v>728</v>
      </c>
      <c r="P642" s="8">
        <v>6.0</v>
      </c>
    </row>
    <row r="643">
      <c r="A643">
        <f>IFERROR(__xludf.DUMMYFUNCTION("""COMPUTED_VALUE"""),7.0)</f>
        <v>7</v>
      </c>
      <c r="B643">
        <f>IFERROR(__xludf.DUMMYFUNCTION("""COMPUTED_VALUE"""),30081.0)</f>
        <v>30081</v>
      </c>
      <c r="C643" t="str">
        <f>IFERROR(__xludf.DUMMYFUNCTION("""COMPUTED_VALUE"""),"MOLINA HOYOS, AMALIA")</f>
        <v>MOLINA HOYOS, AMALIA</v>
      </c>
      <c r="D643" t="str">
        <f>IFERROR(__xludf.DUMMYFUNCTION("""COMPUTED_VALUE"""),"Math 7")</f>
        <v>Math 7</v>
      </c>
      <c r="E643" s="31">
        <f>IFERROR(__xludf.DUMMYFUNCTION("""COMPUTED_VALUE"""),4.0)</f>
        <v>4</v>
      </c>
      <c r="F643" s="8">
        <v>1.0</v>
      </c>
      <c r="G643" s="8">
        <v>1.0</v>
      </c>
      <c r="H643" s="8">
        <v>1.0</v>
      </c>
      <c r="I643" s="8">
        <v>1.0</v>
      </c>
      <c r="J643" s="8">
        <v>1.0</v>
      </c>
      <c r="K643" s="8">
        <v>1.0</v>
      </c>
      <c r="L643" s="8">
        <v>6.0</v>
      </c>
      <c r="M643" s="8"/>
      <c r="N643" s="8"/>
      <c r="O643" s="8" t="s">
        <v>724</v>
      </c>
      <c r="P643" s="8">
        <v>6.0</v>
      </c>
    </row>
    <row r="644">
      <c r="A644">
        <f>IFERROR(__xludf.DUMMYFUNCTION("""COMPUTED_VALUE"""),7.0)</f>
        <v>7</v>
      </c>
      <c r="B644">
        <f>IFERROR(__xludf.DUMMYFUNCTION("""COMPUTED_VALUE"""),30082.0)</f>
        <v>30082</v>
      </c>
      <c r="C644" t="str">
        <f>IFERROR(__xludf.DUMMYFUNCTION("""COMPUTED_VALUE"""),"MONSALVE HOYOS, JUAN JOSE")</f>
        <v>MONSALVE HOYOS, JUAN JOSE</v>
      </c>
      <c r="D644" t="str">
        <f>IFERROR(__xludf.DUMMYFUNCTION("""COMPUTED_VALUE"""),"Math 7")</f>
        <v>Math 7</v>
      </c>
      <c r="E644" s="31">
        <f>IFERROR(__xludf.DUMMYFUNCTION("""COMPUTED_VALUE"""),4.0)</f>
        <v>4</v>
      </c>
      <c r="F644" s="8">
        <v>1.0</v>
      </c>
      <c r="G644" s="8">
        <v>1.0</v>
      </c>
      <c r="H644" s="8">
        <v>1.0</v>
      </c>
      <c r="I644" s="8">
        <v>1.0</v>
      </c>
      <c r="J644" s="8">
        <v>1.0</v>
      </c>
      <c r="K644" s="8">
        <v>1.0</v>
      </c>
      <c r="L644" s="8">
        <v>6.0</v>
      </c>
      <c r="M644" s="8"/>
      <c r="N644" s="8"/>
      <c r="O644" s="8" t="s">
        <v>724</v>
      </c>
      <c r="P644" s="8">
        <v>6.0</v>
      </c>
    </row>
    <row r="645">
      <c r="A645">
        <f>IFERROR(__xludf.DUMMYFUNCTION("""COMPUTED_VALUE"""),7.0)</f>
        <v>7</v>
      </c>
      <c r="B645">
        <f>IFERROR(__xludf.DUMMYFUNCTION("""COMPUTED_VALUE"""),30142.0)</f>
        <v>30142</v>
      </c>
      <c r="C645" t="str">
        <f>IFERROR(__xludf.DUMMYFUNCTION("""COMPUTED_VALUE"""),"MONTOYA GOMEZ, RAFAELA")</f>
        <v>MONTOYA GOMEZ, RAFAELA</v>
      </c>
      <c r="D645" t="str">
        <f>IFERROR(__xludf.DUMMYFUNCTION("""COMPUTED_VALUE"""),"Math 7A")</f>
        <v>Math 7A</v>
      </c>
      <c r="E645" s="31">
        <f>IFERROR(__xludf.DUMMYFUNCTION("""COMPUTED_VALUE"""),3.0)</f>
        <v>3</v>
      </c>
      <c r="F645" s="8">
        <v>1.0</v>
      </c>
      <c r="G645" s="8">
        <v>1.0</v>
      </c>
      <c r="H645" s="8">
        <v>1.0</v>
      </c>
      <c r="I645" s="8">
        <v>1.0</v>
      </c>
      <c r="J645" s="8">
        <v>1.0</v>
      </c>
      <c r="K645" s="8">
        <v>1.0</v>
      </c>
      <c r="L645" s="8">
        <v>6.0</v>
      </c>
      <c r="M645" s="8"/>
      <c r="N645" s="8"/>
      <c r="O645" s="8" t="s">
        <v>726</v>
      </c>
      <c r="P645" s="8" t="e">
        <v>#N/A</v>
      </c>
    </row>
    <row r="646">
      <c r="A646">
        <f>IFERROR(__xludf.DUMMYFUNCTION("""COMPUTED_VALUE"""),7.0)</f>
        <v>7</v>
      </c>
      <c r="B646">
        <f>IFERROR(__xludf.DUMMYFUNCTION("""COMPUTED_VALUE"""),30084.0)</f>
        <v>30084</v>
      </c>
      <c r="C646" t="str">
        <f>IFERROR(__xludf.DUMMYFUNCTION("""COMPUTED_VALUE"""),"MONTOYA OCHOA, SARA")</f>
        <v>MONTOYA OCHOA, SARA</v>
      </c>
      <c r="D646" t="str">
        <f>IFERROR(__xludf.DUMMYFUNCTION("""COMPUTED_VALUE"""),"Math 7")</f>
        <v>Math 7</v>
      </c>
      <c r="E646" s="31">
        <f>IFERROR(__xludf.DUMMYFUNCTION("""COMPUTED_VALUE"""),3.0)</f>
        <v>3</v>
      </c>
      <c r="F646" s="8">
        <v>1.0</v>
      </c>
      <c r="G646" s="8">
        <v>1.0</v>
      </c>
      <c r="H646" s="8">
        <v>1.0</v>
      </c>
      <c r="I646" s="8">
        <v>1.0</v>
      </c>
      <c r="J646" s="8">
        <v>1.0</v>
      </c>
      <c r="K646" s="8">
        <v>1.0</v>
      </c>
      <c r="L646" s="8">
        <v>6.0</v>
      </c>
      <c r="M646" s="8"/>
      <c r="N646" s="8"/>
      <c r="O646" s="8" t="s">
        <v>728</v>
      </c>
      <c r="P646" s="8">
        <v>6.0</v>
      </c>
    </row>
    <row r="647">
      <c r="A647">
        <f>IFERROR(__xludf.DUMMYFUNCTION("""COMPUTED_VALUE"""),7.0)</f>
        <v>7</v>
      </c>
      <c r="B647">
        <f>IFERROR(__xludf.DUMMYFUNCTION("""COMPUTED_VALUE"""),30085.0)</f>
        <v>30085</v>
      </c>
      <c r="C647" t="str">
        <f>IFERROR(__xludf.DUMMYFUNCTION("""COMPUTED_VALUE"""),"MORA LE FLOHIC, AGUSTIN")</f>
        <v>MORA LE FLOHIC, AGUSTIN</v>
      </c>
      <c r="D647" t="str">
        <f>IFERROR(__xludf.DUMMYFUNCTION("""COMPUTED_VALUE"""),"Math 7A")</f>
        <v>Math 7A</v>
      </c>
      <c r="E647" s="31">
        <f>IFERROR(__xludf.DUMMYFUNCTION("""COMPUTED_VALUE"""),4.0)</f>
        <v>4</v>
      </c>
      <c r="F647" s="8">
        <v>1.0</v>
      </c>
      <c r="G647" s="8">
        <v>1.0</v>
      </c>
      <c r="H647" s="8">
        <v>1.0</v>
      </c>
      <c r="I647" s="8">
        <v>1.0</v>
      </c>
      <c r="J647" s="8">
        <v>1.0</v>
      </c>
      <c r="K647" s="8">
        <v>1.0</v>
      </c>
      <c r="L647" s="8">
        <v>6.0</v>
      </c>
      <c r="M647" s="8"/>
      <c r="N647" s="8"/>
      <c r="O647" s="8" t="s">
        <v>725</v>
      </c>
      <c r="P647" s="8" t="e">
        <v>#N/A</v>
      </c>
    </row>
    <row r="648">
      <c r="A648">
        <f>IFERROR(__xludf.DUMMYFUNCTION("""COMPUTED_VALUE"""),7.0)</f>
        <v>7</v>
      </c>
      <c r="B648">
        <f>IFERROR(__xludf.DUMMYFUNCTION("""COMPUTED_VALUE"""),30086.0)</f>
        <v>30086</v>
      </c>
      <c r="C648" t="str">
        <f>IFERROR(__xludf.DUMMYFUNCTION("""COMPUTED_VALUE"""),"MORA MEJIA, EMILIA")</f>
        <v>MORA MEJIA, EMILIA</v>
      </c>
      <c r="D648" t="str">
        <f>IFERROR(__xludf.DUMMYFUNCTION("""COMPUTED_VALUE"""),"Math 7A")</f>
        <v>Math 7A</v>
      </c>
      <c r="E648" s="31">
        <f>IFERROR(__xludf.DUMMYFUNCTION("""COMPUTED_VALUE"""),3.0)</f>
        <v>3</v>
      </c>
      <c r="F648" s="8">
        <v>1.0</v>
      </c>
      <c r="G648" s="8">
        <v>1.0</v>
      </c>
      <c r="H648" s="8">
        <v>1.0</v>
      </c>
      <c r="I648" s="8">
        <v>1.0</v>
      </c>
      <c r="J648" s="8">
        <v>1.0</v>
      </c>
      <c r="K648" s="8">
        <v>1.0</v>
      </c>
      <c r="L648" s="8">
        <v>6.0</v>
      </c>
      <c r="M648" s="8"/>
      <c r="N648" s="8"/>
      <c r="O648" s="8" t="s">
        <v>726</v>
      </c>
      <c r="P648" s="8" t="e">
        <v>#N/A</v>
      </c>
    </row>
    <row r="649">
      <c r="A649">
        <f>IFERROR(__xludf.DUMMYFUNCTION("""COMPUTED_VALUE"""),7.0)</f>
        <v>7</v>
      </c>
      <c r="B649">
        <f>IFERROR(__xludf.DUMMYFUNCTION("""COMPUTED_VALUE"""),30087.0)</f>
        <v>30087</v>
      </c>
      <c r="C649" t="str">
        <f>IFERROR(__xludf.DUMMYFUNCTION("""COMPUTED_VALUE"""),"MORENO BETANCOURT, LUCIANA")</f>
        <v>MORENO BETANCOURT, LUCIANA</v>
      </c>
      <c r="D649" t="str">
        <f>IFERROR(__xludf.DUMMYFUNCTION("""COMPUTED_VALUE"""),"Math 7")</f>
        <v>Math 7</v>
      </c>
      <c r="E649" s="31">
        <f>IFERROR(__xludf.DUMMYFUNCTION("""COMPUTED_VALUE"""),3.0)</f>
        <v>3</v>
      </c>
      <c r="F649" s="8">
        <v>1.0</v>
      </c>
      <c r="G649" s="8">
        <v>1.0</v>
      </c>
      <c r="H649" s="8">
        <v>1.0</v>
      </c>
      <c r="I649" s="8">
        <v>1.0</v>
      </c>
      <c r="J649" s="8">
        <v>1.0</v>
      </c>
      <c r="K649" s="8">
        <v>1.0</v>
      </c>
      <c r="L649" s="8">
        <v>6.0</v>
      </c>
      <c r="M649" s="8"/>
      <c r="N649" s="8"/>
      <c r="O649" s="8" t="s">
        <v>728</v>
      </c>
      <c r="P649" s="8">
        <v>6.0</v>
      </c>
    </row>
    <row r="650">
      <c r="A650">
        <f>IFERROR(__xludf.DUMMYFUNCTION("""COMPUTED_VALUE"""),7.0)</f>
        <v>7</v>
      </c>
      <c r="B650">
        <f>IFERROR(__xludf.DUMMYFUNCTION("""COMPUTED_VALUE"""),30161.0)</f>
        <v>30161</v>
      </c>
      <c r="C650" t="str">
        <f>IFERROR(__xludf.DUMMYFUNCTION("""COMPUTED_VALUE"""),"NAVARRA GOMEZ, CHLOE")</f>
        <v>NAVARRA GOMEZ, CHLOE</v>
      </c>
      <c r="D650" t="str">
        <f>IFERROR(__xludf.DUMMYFUNCTION("""COMPUTED_VALUE"""),"Math 7")</f>
        <v>Math 7</v>
      </c>
      <c r="E650" s="31">
        <f>IFERROR(__xludf.DUMMYFUNCTION("""COMPUTED_VALUE"""),5.0)</f>
        <v>5</v>
      </c>
      <c r="F650" s="8">
        <v>1.0</v>
      </c>
      <c r="G650" s="8">
        <v>1.0</v>
      </c>
      <c r="H650" s="8">
        <v>1.0</v>
      </c>
      <c r="I650" s="8">
        <v>1.0</v>
      </c>
      <c r="J650" s="8">
        <v>1.0</v>
      </c>
      <c r="K650" s="8">
        <v>1.0</v>
      </c>
      <c r="L650" s="8">
        <v>6.0</v>
      </c>
      <c r="M650" s="8"/>
      <c r="N650" s="8"/>
      <c r="O650" s="8" t="s">
        <v>723</v>
      </c>
      <c r="P650" s="8">
        <v>6.0</v>
      </c>
    </row>
    <row r="651">
      <c r="A651">
        <f>IFERROR(__xludf.DUMMYFUNCTION("""COMPUTED_VALUE"""),7.0)</f>
        <v>7</v>
      </c>
      <c r="B651">
        <f>IFERROR(__xludf.DUMMYFUNCTION("""COMPUTED_VALUE"""),30089.0)</f>
        <v>30089</v>
      </c>
      <c r="C651" t="str">
        <f>IFERROR(__xludf.DUMMYFUNCTION("""COMPUTED_VALUE"""),"NAVARRO RAMIREZ, LUCAS")</f>
        <v>NAVARRO RAMIREZ, LUCAS</v>
      </c>
      <c r="D651" t="str">
        <f>IFERROR(__xludf.DUMMYFUNCTION("""COMPUTED_VALUE"""),"Math 7A")</f>
        <v>Math 7A</v>
      </c>
      <c r="E651" s="31">
        <f>IFERROR(__xludf.DUMMYFUNCTION("""COMPUTED_VALUE"""),4.0)</f>
        <v>4</v>
      </c>
      <c r="F651" s="8">
        <v>1.0</v>
      </c>
      <c r="G651" s="8">
        <v>1.0</v>
      </c>
      <c r="H651" s="8">
        <v>1.0</v>
      </c>
      <c r="I651" s="8">
        <v>1.0</v>
      </c>
      <c r="J651" s="8">
        <v>1.0</v>
      </c>
      <c r="K651" s="8">
        <v>1.0</v>
      </c>
      <c r="L651" s="8">
        <v>6.0</v>
      </c>
      <c r="M651" s="8"/>
      <c r="N651" s="8"/>
      <c r="O651" s="8" t="s">
        <v>725</v>
      </c>
      <c r="P651" s="8" t="e">
        <v>#N/A</v>
      </c>
    </row>
    <row r="652">
      <c r="A652">
        <f>IFERROR(__xludf.DUMMYFUNCTION("""COMPUTED_VALUE"""),7.0)</f>
        <v>7</v>
      </c>
      <c r="B652">
        <f>IFERROR(__xludf.DUMMYFUNCTION("""COMPUTED_VALUE"""),30090.0)</f>
        <v>30090</v>
      </c>
      <c r="C652" t="str">
        <f>IFERROR(__xludf.DUMMYFUNCTION("""COMPUTED_VALUE"""),"NEUMANN MARQUEZ, JERONIMO")</f>
        <v>NEUMANN MARQUEZ, JERONIMO</v>
      </c>
      <c r="D652" t="str">
        <f>IFERROR(__xludf.DUMMYFUNCTION("""COMPUTED_VALUE"""),"Math 7")</f>
        <v>Math 7</v>
      </c>
      <c r="E652" s="31">
        <f>IFERROR(__xludf.DUMMYFUNCTION("""COMPUTED_VALUE"""),4.0)</f>
        <v>4</v>
      </c>
      <c r="F652" s="8">
        <v>1.0</v>
      </c>
      <c r="G652" s="8">
        <v>1.0</v>
      </c>
      <c r="H652" s="8">
        <v>1.0</v>
      </c>
      <c r="I652" s="8">
        <v>1.0</v>
      </c>
      <c r="J652" s="8">
        <v>1.0</v>
      </c>
      <c r="K652" s="8">
        <v>1.0</v>
      </c>
      <c r="L652" s="8">
        <v>6.0</v>
      </c>
      <c r="M652" s="8"/>
      <c r="N652" s="8"/>
      <c r="O652" s="8" t="s">
        <v>724</v>
      </c>
      <c r="P652" s="8">
        <v>6.0</v>
      </c>
    </row>
    <row r="653">
      <c r="A653">
        <f>IFERROR(__xludf.DUMMYFUNCTION("""COMPUTED_VALUE"""),7.0)</f>
        <v>7</v>
      </c>
      <c r="B653">
        <f>IFERROR(__xludf.DUMMYFUNCTION("""COMPUTED_VALUE"""),30172.0)</f>
        <v>30172</v>
      </c>
      <c r="C653" t="str">
        <f>IFERROR(__xludf.DUMMYFUNCTION("""COMPUTED_VALUE"""),"OLIVA, EMMA")</f>
        <v>OLIVA, EMMA</v>
      </c>
      <c r="D653" t="str">
        <f>IFERROR(__xludf.DUMMYFUNCTION("""COMPUTED_VALUE"""),"Math 7")</f>
        <v>Math 7</v>
      </c>
      <c r="E653" s="31">
        <f>IFERROR(__xludf.DUMMYFUNCTION("""COMPUTED_VALUE"""),6.0)</f>
        <v>6</v>
      </c>
      <c r="F653" s="8">
        <v>1.0</v>
      </c>
      <c r="G653" s="8">
        <v>1.0</v>
      </c>
      <c r="H653" s="8">
        <v>1.0</v>
      </c>
      <c r="I653" s="8">
        <v>1.0</v>
      </c>
      <c r="J653" s="8">
        <v>1.0</v>
      </c>
      <c r="K653" s="8">
        <v>1.0</v>
      </c>
      <c r="L653" s="8">
        <v>6.0</v>
      </c>
      <c r="M653" s="8"/>
      <c r="N653" s="8"/>
      <c r="O653" s="8" t="s">
        <v>727</v>
      </c>
      <c r="P653" s="8">
        <v>6.0</v>
      </c>
    </row>
    <row r="654">
      <c r="A654">
        <f>IFERROR(__xludf.DUMMYFUNCTION("""COMPUTED_VALUE"""),7.0)</f>
        <v>7</v>
      </c>
      <c r="B654">
        <f>IFERROR(__xludf.DUMMYFUNCTION("""COMPUTED_VALUE"""),30158.0)</f>
        <v>30158</v>
      </c>
      <c r="C654" t="str">
        <f>IFERROR(__xludf.DUMMYFUNCTION("""COMPUTED_VALUE"""),"OROZCO RINCON, VALERIA")</f>
        <v>OROZCO RINCON, VALERIA</v>
      </c>
      <c r="D654" t="str">
        <f>IFERROR(__xludf.DUMMYFUNCTION("""COMPUTED_VALUE"""),"Math 7A")</f>
        <v>Math 7A</v>
      </c>
      <c r="E654" s="31">
        <f>IFERROR(__xludf.DUMMYFUNCTION("""COMPUTED_VALUE"""),3.0)</f>
        <v>3</v>
      </c>
      <c r="F654" s="8">
        <v>1.0</v>
      </c>
      <c r="G654" s="8">
        <v>1.0</v>
      </c>
      <c r="H654" s="8">
        <v>1.0</v>
      </c>
      <c r="I654" s="8">
        <v>1.0</v>
      </c>
      <c r="J654" s="8">
        <v>1.0</v>
      </c>
      <c r="K654" s="8">
        <v>1.0</v>
      </c>
      <c r="L654" s="8">
        <v>6.0</v>
      </c>
      <c r="M654" s="8"/>
      <c r="N654" s="8"/>
      <c r="O654" s="8" t="s">
        <v>726</v>
      </c>
      <c r="P654" s="8" t="e">
        <v>#N/A</v>
      </c>
    </row>
    <row r="655">
      <c r="A655">
        <f>IFERROR(__xludf.DUMMYFUNCTION("""COMPUTED_VALUE"""),7.0)</f>
        <v>7</v>
      </c>
      <c r="B655">
        <f>IFERROR(__xludf.DUMMYFUNCTION("""COMPUTED_VALUE"""),30153.0)</f>
        <v>30153</v>
      </c>
      <c r="C655" t="str">
        <f>IFERROR(__xludf.DUMMYFUNCTION("""COMPUTED_VALUE"""),"ORTEGA OCHOA, LORENZO")</f>
        <v>ORTEGA OCHOA, LORENZO</v>
      </c>
      <c r="D655" t="str">
        <f>IFERROR(__xludf.DUMMYFUNCTION("""COMPUTED_VALUE"""),"Math 7A")</f>
        <v>Math 7A</v>
      </c>
      <c r="E655" s="31">
        <f>IFERROR(__xludf.DUMMYFUNCTION("""COMPUTED_VALUE"""),4.0)</f>
        <v>4</v>
      </c>
      <c r="F655" s="8">
        <v>1.0</v>
      </c>
      <c r="G655" s="8">
        <v>1.0</v>
      </c>
      <c r="H655" s="8">
        <v>1.0</v>
      </c>
      <c r="I655" s="8">
        <v>1.0</v>
      </c>
      <c r="J655" s="8">
        <v>1.0</v>
      </c>
      <c r="K655" s="8">
        <v>1.0</v>
      </c>
      <c r="L655" s="8">
        <v>6.0</v>
      </c>
      <c r="M655" s="8"/>
      <c r="N655" s="8"/>
      <c r="O655" s="8" t="s">
        <v>725</v>
      </c>
      <c r="P655" s="8" t="e">
        <v>#N/A</v>
      </c>
    </row>
    <row r="656">
      <c r="A656">
        <f>IFERROR(__xludf.DUMMYFUNCTION("""COMPUTED_VALUE"""),7.0)</f>
        <v>7</v>
      </c>
      <c r="B656">
        <f>IFERROR(__xludf.DUMMYFUNCTION("""COMPUTED_VALUE"""),30154.0)</f>
        <v>30154</v>
      </c>
      <c r="C656" t="str">
        <f>IFERROR(__xludf.DUMMYFUNCTION("""COMPUTED_VALUE"""),"ORTEGA OCHOA, MARIA DEL MAR")</f>
        <v>ORTEGA OCHOA, MARIA DEL MAR</v>
      </c>
      <c r="D656" t="str">
        <f>IFERROR(__xludf.DUMMYFUNCTION("""COMPUTED_VALUE"""),"Math 7")</f>
        <v>Math 7</v>
      </c>
      <c r="E656" s="31">
        <f>IFERROR(__xludf.DUMMYFUNCTION("""COMPUTED_VALUE"""),5.0)</f>
        <v>5</v>
      </c>
      <c r="F656" s="8">
        <v>1.0</v>
      </c>
      <c r="G656" s="8">
        <v>1.0</v>
      </c>
      <c r="H656" s="8">
        <v>1.0</v>
      </c>
      <c r="I656" s="8">
        <v>1.0</v>
      </c>
      <c r="J656" s="8">
        <v>1.0</v>
      </c>
      <c r="K656" s="8">
        <v>1.0</v>
      </c>
      <c r="L656" s="8">
        <v>6.0</v>
      </c>
      <c r="M656" s="8"/>
      <c r="N656" s="8"/>
      <c r="O656" s="8" t="s">
        <v>723</v>
      </c>
      <c r="P656" s="8">
        <v>6.0</v>
      </c>
    </row>
    <row r="657">
      <c r="A657">
        <f>IFERROR(__xludf.DUMMYFUNCTION("""COMPUTED_VALUE"""),7.0)</f>
        <v>7</v>
      </c>
      <c r="B657">
        <f>IFERROR(__xludf.DUMMYFUNCTION("""COMPUTED_VALUE"""),30141.0)</f>
        <v>30141</v>
      </c>
      <c r="C657" t="str">
        <f>IFERROR(__xludf.DUMMYFUNCTION("""COMPUTED_VALUE"""),"OSORIO PATIÑO, MIRANDA")</f>
        <v>OSORIO PATIÑO, MIRANDA</v>
      </c>
      <c r="D657" t="str">
        <f>IFERROR(__xludf.DUMMYFUNCTION("""COMPUTED_VALUE"""),"Math 7")</f>
        <v>Math 7</v>
      </c>
      <c r="E657" s="31">
        <f>IFERROR(__xludf.DUMMYFUNCTION("""COMPUTED_VALUE"""),6.0)</f>
        <v>6</v>
      </c>
      <c r="F657" s="8">
        <v>1.0</v>
      </c>
      <c r="G657" s="8">
        <v>1.0</v>
      </c>
      <c r="H657" s="8">
        <v>1.0</v>
      </c>
      <c r="I657" s="8">
        <v>1.0</v>
      </c>
      <c r="J657" s="8">
        <v>1.0</v>
      </c>
      <c r="K657" s="8">
        <v>1.0</v>
      </c>
      <c r="L657" s="8">
        <v>6.0</v>
      </c>
      <c r="M657" s="8"/>
      <c r="N657" s="8"/>
      <c r="O657" s="8" t="s">
        <v>727</v>
      </c>
      <c r="P657" s="8">
        <v>6.0</v>
      </c>
    </row>
    <row r="658">
      <c r="A658">
        <f>IFERROR(__xludf.DUMMYFUNCTION("""COMPUTED_VALUE"""),7.0)</f>
        <v>7</v>
      </c>
      <c r="B658">
        <f>IFERROR(__xludf.DUMMYFUNCTION("""COMPUTED_VALUE"""),30092.0)</f>
        <v>30092</v>
      </c>
      <c r="C658" t="str">
        <f>IFERROR(__xludf.DUMMYFUNCTION("""COMPUTED_VALUE"""),"OSPINA ESCOBAR, SOFIA")</f>
        <v>OSPINA ESCOBAR, SOFIA</v>
      </c>
      <c r="D658" t="str">
        <f>IFERROR(__xludf.DUMMYFUNCTION("""COMPUTED_VALUE"""),"Math 7")</f>
        <v>Math 7</v>
      </c>
      <c r="E658" s="31">
        <f>IFERROR(__xludf.DUMMYFUNCTION("""COMPUTED_VALUE"""),5.0)</f>
        <v>5</v>
      </c>
      <c r="F658" s="8">
        <v>1.0</v>
      </c>
      <c r="G658" s="8">
        <v>1.0</v>
      </c>
      <c r="H658" s="8">
        <v>1.0</v>
      </c>
      <c r="I658" s="8">
        <v>1.0</v>
      </c>
      <c r="J658" s="8">
        <v>1.0</v>
      </c>
      <c r="K658" s="8">
        <v>1.0</v>
      </c>
      <c r="L658" s="8">
        <v>6.0</v>
      </c>
      <c r="M658" s="8"/>
      <c r="N658" s="8"/>
      <c r="O658" s="8" t="s">
        <v>723</v>
      </c>
      <c r="P658" s="8">
        <v>6.0</v>
      </c>
    </row>
    <row r="659">
      <c r="A659">
        <f>IFERROR(__xludf.DUMMYFUNCTION("""COMPUTED_VALUE"""),7.0)</f>
        <v>7</v>
      </c>
      <c r="B659">
        <f>IFERROR(__xludf.DUMMYFUNCTION("""COMPUTED_VALUE"""),30093.0)</f>
        <v>30093</v>
      </c>
      <c r="C659" t="str">
        <f>IFERROR(__xludf.DUMMYFUNCTION("""COMPUTED_VALUE"""),"OSPINA RESTREPO, RAFAEL")</f>
        <v>OSPINA RESTREPO, RAFAEL</v>
      </c>
      <c r="D659" t="str">
        <f>IFERROR(__xludf.DUMMYFUNCTION("""COMPUTED_VALUE"""),"Math 7A")</f>
        <v>Math 7A</v>
      </c>
      <c r="E659" s="31">
        <f>IFERROR(__xludf.DUMMYFUNCTION("""COMPUTED_VALUE"""),4.0)</f>
        <v>4</v>
      </c>
      <c r="F659" s="8">
        <v>1.0</v>
      </c>
      <c r="G659" s="8">
        <v>1.0</v>
      </c>
      <c r="H659" s="8">
        <v>1.0</v>
      </c>
      <c r="I659" s="8">
        <v>1.0</v>
      </c>
      <c r="J659" s="8">
        <v>1.0</v>
      </c>
      <c r="K659" s="8">
        <v>1.0</v>
      </c>
      <c r="L659" s="8">
        <v>6.0</v>
      </c>
      <c r="M659" s="8"/>
      <c r="N659" s="8"/>
      <c r="O659" s="8" t="s">
        <v>725</v>
      </c>
      <c r="P659" s="8" t="e">
        <v>#N/A</v>
      </c>
    </row>
    <row r="660">
      <c r="A660">
        <f>IFERROR(__xludf.DUMMYFUNCTION("""COMPUTED_VALUE"""),7.0)</f>
        <v>7</v>
      </c>
      <c r="B660">
        <f>IFERROR(__xludf.DUMMYFUNCTION("""COMPUTED_VALUE"""),30173.0)</f>
        <v>30173</v>
      </c>
      <c r="C660" t="str">
        <f>IFERROR(__xludf.DUMMYFUNCTION("""COMPUTED_VALUE"""),"PARAMO VELASQUEZ, ISABEL")</f>
        <v>PARAMO VELASQUEZ, ISABEL</v>
      </c>
      <c r="D660" t="str">
        <f>IFERROR(__xludf.DUMMYFUNCTION("""COMPUTED_VALUE"""),"Math 7")</f>
        <v>Math 7</v>
      </c>
      <c r="E660" s="31">
        <f>IFERROR(__xludf.DUMMYFUNCTION("""COMPUTED_VALUE"""),3.0)</f>
        <v>3</v>
      </c>
      <c r="F660" s="8">
        <v>1.0</v>
      </c>
      <c r="G660" s="8">
        <v>1.0</v>
      </c>
      <c r="H660" s="8">
        <v>1.0</v>
      </c>
      <c r="I660" s="8">
        <v>1.0</v>
      </c>
      <c r="J660" s="8">
        <v>1.0</v>
      </c>
      <c r="K660" s="8">
        <v>1.0</v>
      </c>
      <c r="L660" s="8">
        <v>6.0</v>
      </c>
      <c r="M660" s="8"/>
      <c r="N660" s="8"/>
      <c r="O660" s="8" t="s">
        <v>728</v>
      </c>
      <c r="P660" s="8">
        <v>6.0</v>
      </c>
    </row>
    <row r="661">
      <c r="A661">
        <f>IFERROR(__xludf.DUMMYFUNCTION("""COMPUTED_VALUE"""),7.0)</f>
        <v>7</v>
      </c>
      <c r="B661">
        <f>IFERROR(__xludf.DUMMYFUNCTION("""COMPUTED_VALUE"""),30094.0)</f>
        <v>30094</v>
      </c>
      <c r="C661" t="str">
        <f>IFERROR(__xludf.DUMMYFUNCTION("""COMPUTED_VALUE"""),"PELAEZ PIEDRAHITA, MARTIN")</f>
        <v>PELAEZ PIEDRAHITA, MARTIN</v>
      </c>
      <c r="D661" t="str">
        <f>IFERROR(__xludf.DUMMYFUNCTION("""COMPUTED_VALUE"""),"Math 7")</f>
        <v>Math 7</v>
      </c>
      <c r="E661" s="31">
        <f>IFERROR(__xludf.DUMMYFUNCTION("""COMPUTED_VALUE"""),5.0)</f>
        <v>5</v>
      </c>
      <c r="F661" s="8">
        <v>1.0</v>
      </c>
      <c r="G661" s="8">
        <v>1.0</v>
      </c>
      <c r="H661" s="8">
        <v>1.0</v>
      </c>
      <c r="I661" s="8">
        <v>1.0</v>
      </c>
      <c r="J661" s="8">
        <v>1.0</v>
      </c>
      <c r="K661" s="8">
        <v>1.0</v>
      </c>
      <c r="L661" s="8">
        <v>6.0</v>
      </c>
      <c r="M661" s="8"/>
      <c r="N661" s="8"/>
      <c r="O661" s="8" t="s">
        <v>723</v>
      </c>
      <c r="P661" s="8">
        <v>6.0</v>
      </c>
    </row>
    <row r="662">
      <c r="A662">
        <f>IFERROR(__xludf.DUMMYFUNCTION("""COMPUTED_VALUE"""),7.0)</f>
        <v>7</v>
      </c>
      <c r="B662">
        <f>IFERROR(__xludf.DUMMYFUNCTION("""COMPUTED_VALUE"""),30095.0)</f>
        <v>30095</v>
      </c>
      <c r="C662" t="str">
        <f>IFERROR(__xludf.DUMMYFUNCTION("""COMPUTED_VALUE"""),"PENAGOS VELEZ, PEDRO")</f>
        <v>PENAGOS VELEZ, PEDRO</v>
      </c>
      <c r="D662" t="str">
        <f>IFERROR(__xludf.DUMMYFUNCTION("""COMPUTED_VALUE"""),"Math 7A")</f>
        <v>Math 7A</v>
      </c>
      <c r="E662" s="31">
        <f>IFERROR(__xludf.DUMMYFUNCTION("""COMPUTED_VALUE"""),3.0)</f>
        <v>3</v>
      </c>
      <c r="F662" s="8">
        <v>1.0</v>
      </c>
      <c r="G662" s="8">
        <v>1.0</v>
      </c>
      <c r="H662" s="8">
        <v>1.0</v>
      </c>
      <c r="I662" s="8">
        <v>1.0</v>
      </c>
      <c r="J662" s="8">
        <v>1.0</v>
      </c>
      <c r="K662" s="8">
        <v>1.0</v>
      </c>
      <c r="L662" s="8">
        <v>6.0</v>
      </c>
      <c r="M662" s="8"/>
      <c r="N662" s="8"/>
      <c r="O662" s="8" t="s">
        <v>726</v>
      </c>
      <c r="P662" s="8" t="e">
        <v>#N/A</v>
      </c>
    </row>
    <row r="663">
      <c r="A663">
        <f>IFERROR(__xludf.DUMMYFUNCTION("""COMPUTED_VALUE"""),7.0)</f>
        <v>7</v>
      </c>
      <c r="B663">
        <f>IFERROR(__xludf.DUMMYFUNCTION("""COMPUTED_VALUE"""),29090.0)</f>
        <v>29090</v>
      </c>
      <c r="C663" t="str">
        <f>IFERROR(__xludf.DUMMYFUNCTION("""COMPUTED_VALUE"""),"PEREZ DUQUE, MARIA PAZ")</f>
        <v>PEREZ DUQUE, MARIA PAZ</v>
      </c>
      <c r="D663" t="str">
        <f>IFERROR(__xludf.DUMMYFUNCTION("""COMPUTED_VALUE"""),"Math 7")</f>
        <v>Math 7</v>
      </c>
      <c r="E663" s="31">
        <f>IFERROR(__xludf.DUMMYFUNCTION("""COMPUTED_VALUE"""),4.0)</f>
        <v>4</v>
      </c>
      <c r="F663" s="8">
        <v>1.0</v>
      </c>
      <c r="G663" s="8">
        <v>1.0</v>
      </c>
      <c r="H663" s="8">
        <v>1.0</v>
      </c>
      <c r="I663" s="8">
        <v>1.0</v>
      </c>
      <c r="J663" s="8">
        <v>1.0</v>
      </c>
      <c r="K663" s="8">
        <v>1.0</v>
      </c>
      <c r="L663" s="8">
        <v>6.0</v>
      </c>
      <c r="M663" s="8"/>
      <c r="N663" s="8"/>
      <c r="O663" s="8" t="s">
        <v>724</v>
      </c>
      <c r="P663" s="8">
        <v>6.0</v>
      </c>
    </row>
    <row r="664">
      <c r="A664">
        <f>IFERROR(__xludf.DUMMYFUNCTION("""COMPUTED_VALUE"""),7.0)</f>
        <v>7</v>
      </c>
      <c r="B664">
        <f>IFERROR(__xludf.DUMMYFUNCTION("""COMPUTED_VALUE"""),30097.0)</f>
        <v>30097</v>
      </c>
      <c r="C664" t="str">
        <f>IFERROR(__xludf.DUMMYFUNCTION("""COMPUTED_VALUE"""),"PUERTA TIRADO, JUAN SEBASTIAN")</f>
        <v>PUERTA TIRADO, JUAN SEBASTIAN</v>
      </c>
      <c r="D664" t="str">
        <f>IFERROR(__xludf.DUMMYFUNCTION("""COMPUTED_VALUE"""),"Math 7")</f>
        <v>Math 7</v>
      </c>
      <c r="E664" s="31">
        <f>IFERROR(__xludf.DUMMYFUNCTION("""COMPUTED_VALUE"""),3.0)</f>
        <v>3</v>
      </c>
      <c r="F664" s="8">
        <v>1.0</v>
      </c>
      <c r="G664" s="8">
        <v>1.0</v>
      </c>
      <c r="H664" s="8">
        <v>1.0</v>
      </c>
      <c r="I664" s="8">
        <v>1.0</v>
      </c>
      <c r="J664" s="8">
        <v>1.0</v>
      </c>
      <c r="K664" s="8">
        <v>1.0</v>
      </c>
      <c r="L664" s="8">
        <v>6.0</v>
      </c>
      <c r="M664" s="8"/>
      <c r="N664" s="8"/>
      <c r="O664" s="8" t="s">
        <v>728</v>
      </c>
      <c r="P664" s="8">
        <v>6.0</v>
      </c>
    </row>
    <row r="665">
      <c r="A665">
        <f>IFERROR(__xludf.DUMMYFUNCTION("""COMPUTED_VALUE"""),7.0)</f>
        <v>7</v>
      </c>
      <c r="B665">
        <f>IFERROR(__xludf.DUMMYFUNCTION("""COMPUTED_VALUE"""),30147.0)</f>
        <v>30147</v>
      </c>
      <c r="C665" t="str">
        <f>IFERROR(__xludf.DUMMYFUNCTION("""COMPUTED_VALUE"""),"RAMIREZ ESCOBAR, ISABELLA")</f>
        <v>RAMIREZ ESCOBAR, ISABELLA</v>
      </c>
      <c r="D665" t="str">
        <f>IFERROR(__xludf.DUMMYFUNCTION("""COMPUTED_VALUE"""),"Math 7A")</f>
        <v>Math 7A</v>
      </c>
      <c r="E665" s="31">
        <f>IFERROR(__xludf.DUMMYFUNCTION("""COMPUTED_VALUE"""),3.0)</f>
        <v>3</v>
      </c>
      <c r="F665" s="8">
        <v>1.0</v>
      </c>
      <c r="G665" s="8">
        <v>1.0</v>
      </c>
      <c r="H665" s="8">
        <v>1.0</v>
      </c>
      <c r="I665" s="8">
        <v>1.0</v>
      </c>
      <c r="J665" s="8">
        <v>1.0</v>
      </c>
      <c r="K665" s="8">
        <v>1.0</v>
      </c>
      <c r="L665" s="8">
        <v>6.0</v>
      </c>
      <c r="M665" s="8"/>
      <c r="N665" s="8"/>
      <c r="O665" s="8" t="s">
        <v>726</v>
      </c>
      <c r="P665" s="8" t="e">
        <v>#N/A</v>
      </c>
    </row>
    <row r="666">
      <c r="A666">
        <f>IFERROR(__xludf.DUMMYFUNCTION("""COMPUTED_VALUE"""),7.0)</f>
        <v>7</v>
      </c>
      <c r="B666">
        <f>IFERROR(__xludf.DUMMYFUNCTION("""COMPUTED_VALUE"""),30098.0)</f>
        <v>30098</v>
      </c>
      <c r="C666" t="str">
        <f>IFERROR(__xludf.DUMMYFUNCTION("""COMPUTED_VALUE"""),"REINOSO TRUJILLO, SANTIAGO")</f>
        <v>REINOSO TRUJILLO, SANTIAGO</v>
      </c>
      <c r="D666" t="str">
        <f>IFERROR(__xludf.DUMMYFUNCTION("""COMPUTED_VALUE"""),"Math 7")</f>
        <v>Math 7</v>
      </c>
      <c r="E666" s="31">
        <f>IFERROR(__xludf.DUMMYFUNCTION("""COMPUTED_VALUE"""),6.0)</f>
        <v>6</v>
      </c>
      <c r="F666" s="8">
        <v>1.0</v>
      </c>
      <c r="G666" s="8">
        <v>1.0</v>
      </c>
      <c r="H666" s="8">
        <v>1.0</v>
      </c>
      <c r="I666" s="8">
        <v>1.0</v>
      </c>
      <c r="J666" s="8">
        <v>1.0</v>
      </c>
      <c r="K666" s="8">
        <v>1.0</v>
      </c>
      <c r="L666" s="8">
        <v>6.0</v>
      </c>
      <c r="M666" s="8"/>
      <c r="N666" s="8"/>
      <c r="O666" s="8" t="s">
        <v>727</v>
      </c>
      <c r="P666" s="8">
        <v>6.0</v>
      </c>
    </row>
    <row r="667">
      <c r="A667">
        <f>IFERROR(__xludf.DUMMYFUNCTION("""COMPUTED_VALUE"""),7.0)</f>
        <v>7</v>
      </c>
      <c r="B667">
        <f>IFERROR(__xludf.DUMMYFUNCTION("""COMPUTED_VALUE"""),30100.0)</f>
        <v>30100</v>
      </c>
      <c r="C667" t="str">
        <f>IFERROR(__xludf.DUMMYFUNCTION("""COMPUTED_VALUE"""),"RESTREPO QUINTERO, MARTIN")</f>
        <v>RESTREPO QUINTERO, MARTIN</v>
      </c>
      <c r="D667" t="str">
        <f>IFERROR(__xludf.DUMMYFUNCTION("""COMPUTED_VALUE"""),"Math 7A")</f>
        <v>Math 7A</v>
      </c>
      <c r="E667" s="31">
        <f>IFERROR(__xludf.DUMMYFUNCTION("""COMPUTED_VALUE"""),4.0)</f>
        <v>4</v>
      </c>
      <c r="F667" s="8">
        <v>1.0</v>
      </c>
      <c r="G667" s="8">
        <v>1.0</v>
      </c>
      <c r="H667" s="8">
        <v>1.0</v>
      </c>
      <c r="I667" s="8">
        <v>1.0</v>
      </c>
      <c r="J667" s="8">
        <v>1.0</v>
      </c>
      <c r="K667" s="8">
        <v>1.0</v>
      </c>
      <c r="L667" s="8">
        <v>6.0</v>
      </c>
      <c r="M667" s="8"/>
      <c r="N667" s="8"/>
      <c r="O667" s="8" t="s">
        <v>725</v>
      </c>
      <c r="P667" s="8" t="e">
        <v>#N/A</v>
      </c>
    </row>
    <row r="668">
      <c r="A668">
        <f>IFERROR(__xludf.DUMMYFUNCTION("""COMPUTED_VALUE"""),7.0)</f>
        <v>7</v>
      </c>
      <c r="B668">
        <f>IFERROR(__xludf.DUMMYFUNCTION("""COMPUTED_VALUE"""),30101.0)</f>
        <v>30101</v>
      </c>
      <c r="C668" t="str">
        <f>IFERROR(__xludf.DUMMYFUNCTION("""COMPUTED_VALUE"""),"RESTREPO RAMIREZ, MATIAS")</f>
        <v>RESTREPO RAMIREZ, MATIAS</v>
      </c>
      <c r="D668" t="str">
        <f>IFERROR(__xludf.DUMMYFUNCTION("""COMPUTED_VALUE"""),"Math 7")</f>
        <v>Math 7</v>
      </c>
      <c r="E668" s="31">
        <f>IFERROR(__xludf.DUMMYFUNCTION("""COMPUTED_VALUE"""),5.0)</f>
        <v>5</v>
      </c>
      <c r="F668" s="8">
        <v>1.0</v>
      </c>
      <c r="G668" s="8">
        <v>1.0</v>
      </c>
      <c r="H668" s="8">
        <v>1.0</v>
      </c>
      <c r="I668" s="8">
        <v>1.0</v>
      </c>
      <c r="J668" s="8">
        <v>1.0</v>
      </c>
      <c r="K668" s="8">
        <v>1.0</v>
      </c>
      <c r="L668" s="8">
        <v>6.0</v>
      </c>
      <c r="M668" s="8"/>
      <c r="N668" s="8"/>
      <c r="O668" s="8" t="s">
        <v>723</v>
      </c>
      <c r="P668" s="8">
        <v>6.0</v>
      </c>
    </row>
    <row r="669">
      <c r="A669">
        <f>IFERROR(__xludf.DUMMYFUNCTION("""COMPUTED_VALUE"""),7.0)</f>
        <v>7</v>
      </c>
      <c r="B669">
        <f>IFERROR(__xludf.DUMMYFUNCTION("""COMPUTED_VALUE"""),29102.0)</f>
        <v>29102</v>
      </c>
      <c r="C669" t="str">
        <f>IFERROR(__xludf.DUMMYFUNCTION("""COMPUTED_VALUE"""),"ROJAS SANCHEZ, SAMUEL")</f>
        <v>ROJAS SANCHEZ, SAMUEL</v>
      </c>
      <c r="D669" t="str">
        <f>IFERROR(__xludf.DUMMYFUNCTION("""COMPUTED_VALUE"""),"Math 7")</f>
        <v>Math 7</v>
      </c>
      <c r="E669" s="31">
        <f>IFERROR(__xludf.DUMMYFUNCTION("""COMPUTED_VALUE"""),6.0)</f>
        <v>6</v>
      </c>
      <c r="F669" s="8">
        <v>1.0</v>
      </c>
      <c r="G669" s="8">
        <v>1.0</v>
      </c>
      <c r="H669" s="8">
        <v>1.0</v>
      </c>
      <c r="I669" s="8">
        <v>1.0</v>
      </c>
      <c r="J669" s="8">
        <v>1.0</v>
      </c>
      <c r="K669" s="8">
        <v>1.0</v>
      </c>
      <c r="L669" s="8">
        <v>6.0</v>
      </c>
      <c r="M669" s="8"/>
      <c r="N669" s="8"/>
      <c r="O669" s="8" t="s">
        <v>727</v>
      </c>
      <c r="P669" s="8">
        <v>6.0</v>
      </c>
    </row>
    <row r="670">
      <c r="A670">
        <f>IFERROR(__xludf.DUMMYFUNCTION("""COMPUTED_VALUE"""),7.0)</f>
        <v>7</v>
      </c>
      <c r="B670">
        <f>IFERROR(__xludf.DUMMYFUNCTION("""COMPUTED_VALUE"""),30102.0)</f>
        <v>30102</v>
      </c>
      <c r="C670" t="str">
        <f>IFERROR(__xludf.DUMMYFUNCTION("""COMPUTED_VALUE"""),"RUIZ ROLDAN, LAURA")</f>
        <v>RUIZ ROLDAN, LAURA</v>
      </c>
      <c r="D670" t="str">
        <f>IFERROR(__xludf.DUMMYFUNCTION("""COMPUTED_VALUE"""),"Math 7")</f>
        <v>Math 7</v>
      </c>
      <c r="E670" s="31">
        <f>IFERROR(__xludf.DUMMYFUNCTION("""COMPUTED_VALUE"""),5.0)</f>
        <v>5</v>
      </c>
      <c r="F670" s="8">
        <v>1.0</v>
      </c>
      <c r="G670" s="8">
        <v>1.0</v>
      </c>
      <c r="H670" s="8">
        <v>1.0</v>
      </c>
      <c r="I670" s="8">
        <v>1.0</v>
      </c>
      <c r="J670" s="8">
        <v>1.0</v>
      </c>
      <c r="K670" s="8">
        <v>1.0</v>
      </c>
      <c r="L670" s="8">
        <v>6.0</v>
      </c>
      <c r="M670" s="8"/>
      <c r="N670" s="8"/>
      <c r="O670" s="8" t="s">
        <v>723</v>
      </c>
      <c r="P670" s="8">
        <v>6.0</v>
      </c>
    </row>
    <row r="671">
      <c r="A671">
        <f>IFERROR(__xludf.DUMMYFUNCTION("""COMPUTED_VALUE"""),7.0)</f>
        <v>7</v>
      </c>
      <c r="B671">
        <f>IFERROR(__xludf.DUMMYFUNCTION("""COMPUTED_VALUE"""),30103.0)</f>
        <v>30103</v>
      </c>
      <c r="C671" t="str">
        <f>IFERROR(__xludf.DUMMYFUNCTION("""COMPUTED_VALUE"""),"SANCHEZ GONZALEZ, EMILIANA")</f>
        <v>SANCHEZ GONZALEZ, EMILIANA</v>
      </c>
      <c r="D671" t="str">
        <f>IFERROR(__xludf.DUMMYFUNCTION("""COMPUTED_VALUE"""),"Math 7A")</f>
        <v>Math 7A</v>
      </c>
      <c r="E671" s="31">
        <f>IFERROR(__xludf.DUMMYFUNCTION("""COMPUTED_VALUE"""),4.0)</f>
        <v>4</v>
      </c>
      <c r="F671" s="8">
        <v>1.0</v>
      </c>
      <c r="G671" s="8">
        <v>1.0</v>
      </c>
      <c r="H671" s="8">
        <v>1.0</v>
      </c>
      <c r="I671" s="8">
        <v>1.0</v>
      </c>
      <c r="J671" s="8">
        <v>1.0</v>
      </c>
      <c r="K671" s="8">
        <v>1.0</v>
      </c>
      <c r="L671" s="8">
        <v>6.0</v>
      </c>
      <c r="M671" s="8"/>
      <c r="N671" s="8"/>
      <c r="O671" s="8" t="s">
        <v>725</v>
      </c>
      <c r="P671" s="8" t="e">
        <v>#N/A</v>
      </c>
    </row>
    <row r="672">
      <c r="A672">
        <f>IFERROR(__xludf.DUMMYFUNCTION("""COMPUTED_VALUE"""),7.0)</f>
        <v>7</v>
      </c>
      <c r="B672">
        <f>IFERROR(__xludf.DUMMYFUNCTION("""COMPUTED_VALUE"""),30104.0)</f>
        <v>30104</v>
      </c>
      <c r="C672" t="str">
        <f>IFERROR(__xludf.DUMMYFUNCTION("""COMPUTED_VALUE"""),"SIERRA VILLA, RAQUEL")</f>
        <v>SIERRA VILLA, RAQUEL</v>
      </c>
      <c r="D672" t="str">
        <f>IFERROR(__xludf.DUMMYFUNCTION("""COMPUTED_VALUE"""),"Math 7")</f>
        <v>Math 7</v>
      </c>
      <c r="E672" s="31">
        <f>IFERROR(__xludf.DUMMYFUNCTION("""COMPUTED_VALUE"""),5.0)</f>
        <v>5</v>
      </c>
      <c r="F672" s="8">
        <v>1.0</v>
      </c>
      <c r="G672" s="8">
        <v>1.0</v>
      </c>
      <c r="H672" s="8">
        <v>1.0</v>
      </c>
      <c r="I672" s="8">
        <v>1.0</v>
      </c>
      <c r="J672" s="8">
        <v>1.0</v>
      </c>
      <c r="K672" s="8">
        <v>1.0</v>
      </c>
      <c r="L672" s="8">
        <v>6.0</v>
      </c>
      <c r="M672" s="8"/>
      <c r="N672" s="8"/>
      <c r="O672" s="8" t="s">
        <v>723</v>
      </c>
      <c r="P672" s="8">
        <v>6.0</v>
      </c>
    </row>
    <row r="673">
      <c r="A673">
        <f>IFERROR(__xludf.DUMMYFUNCTION("""COMPUTED_VALUE"""),7.0)</f>
        <v>7</v>
      </c>
      <c r="B673">
        <f>IFERROR(__xludf.DUMMYFUNCTION("""COMPUTED_VALUE"""),30105.0)</f>
        <v>30105</v>
      </c>
      <c r="C673" t="str">
        <f>IFERROR(__xludf.DUMMYFUNCTION("""COMPUTED_VALUE"""),"TOBON RESTREPO, PEDRO")</f>
        <v>TOBON RESTREPO, PEDRO</v>
      </c>
      <c r="D673" t="str">
        <f>IFERROR(__xludf.DUMMYFUNCTION("""COMPUTED_VALUE"""),"Math 7")</f>
        <v>Math 7</v>
      </c>
      <c r="E673" s="31">
        <f>IFERROR(__xludf.DUMMYFUNCTION("""COMPUTED_VALUE"""),5.0)</f>
        <v>5</v>
      </c>
      <c r="F673" s="8">
        <v>1.0</v>
      </c>
      <c r="G673" s="8">
        <v>1.0</v>
      </c>
      <c r="H673" s="8">
        <v>1.0</v>
      </c>
      <c r="I673" s="8">
        <v>1.0</v>
      </c>
      <c r="J673" s="8">
        <v>1.0</v>
      </c>
      <c r="K673" s="8">
        <v>1.0</v>
      </c>
      <c r="L673" s="8">
        <v>6.0</v>
      </c>
      <c r="M673" s="8"/>
      <c r="N673" s="8"/>
      <c r="O673" s="8" t="s">
        <v>723</v>
      </c>
      <c r="P673" s="8">
        <v>6.0</v>
      </c>
    </row>
    <row r="674">
      <c r="A674">
        <f>IFERROR(__xludf.DUMMYFUNCTION("""COMPUTED_VALUE"""),7.0)</f>
        <v>7</v>
      </c>
      <c r="B674">
        <f>IFERROR(__xludf.DUMMYFUNCTION("""COMPUTED_VALUE"""),30106.0)</f>
        <v>30106</v>
      </c>
      <c r="C674" t="str">
        <f>IFERROR(__xludf.DUMMYFUNCTION("""COMPUTED_VALUE"""),"TORO BOTERO, PEDRO")</f>
        <v>TORO BOTERO, PEDRO</v>
      </c>
      <c r="D674" t="str">
        <f>IFERROR(__xludf.DUMMYFUNCTION("""COMPUTED_VALUE"""),"Math 7")</f>
        <v>Math 7</v>
      </c>
      <c r="E674" s="31">
        <f>IFERROR(__xludf.DUMMYFUNCTION("""COMPUTED_VALUE"""),6.0)</f>
        <v>6</v>
      </c>
      <c r="F674" s="8">
        <v>1.0</v>
      </c>
      <c r="G674" s="8">
        <v>1.0</v>
      </c>
      <c r="H674" s="8">
        <v>1.0</v>
      </c>
      <c r="I674" s="8">
        <v>1.0</v>
      </c>
      <c r="J674" s="8">
        <v>1.0</v>
      </c>
      <c r="K674" s="8">
        <v>1.0</v>
      </c>
      <c r="L674" s="8">
        <v>6.0</v>
      </c>
      <c r="M674" s="8"/>
      <c r="N674" s="8"/>
      <c r="O674" s="8" t="s">
        <v>727</v>
      </c>
      <c r="P674" s="8">
        <v>6.0</v>
      </c>
    </row>
    <row r="675">
      <c r="A675">
        <f>IFERROR(__xludf.DUMMYFUNCTION("""COMPUTED_VALUE"""),7.0)</f>
        <v>7</v>
      </c>
      <c r="B675">
        <f>IFERROR(__xludf.DUMMYFUNCTION("""COMPUTED_VALUE"""),30107.0)</f>
        <v>30107</v>
      </c>
      <c r="C675" t="str">
        <f>IFERROR(__xludf.DUMMYFUNCTION("""COMPUTED_VALUE"""),"TORRES POSADA, NICOLAS")</f>
        <v>TORRES POSADA, NICOLAS</v>
      </c>
      <c r="D675" t="str">
        <f>IFERROR(__xludf.DUMMYFUNCTION("""COMPUTED_VALUE"""),"Math 7")</f>
        <v>Math 7</v>
      </c>
      <c r="E675" s="31">
        <f>IFERROR(__xludf.DUMMYFUNCTION("""COMPUTED_VALUE"""),3.0)</f>
        <v>3</v>
      </c>
      <c r="F675" s="8">
        <v>1.0</v>
      </c>
      <c r="G675" s="8">
        <v>1.0</v>
      </c>
      <c r="H675" s="8">
        <v>1.0</v>
      </c>
      <c r="I675" s="8">
        <v>1.0</v>
      </c>
      <c r="J675" s="8">
        <v>1.0</v>
      </c>
      <c r="K675" s="8">
        <v>1.0</v>
      </c>
      <c r="L675" s="8">
        <v>6.0</v>
      </c>
      <c r="M675" s="8"/>
      <c r="N675" s="8"/>
      <c r="O675" s="8" t="s">
        <v>728</v>
      </c>
      <c r="P675" s="8">
        <v>6.0</v>
      </c>
    </row>
    <row r="676">
      <c r="A676">
        <f>IFERROR(__xludf.DUMMYFUNCTION("""COMPUTED_VALUE"""),7.0)</f>
        <v>7</v>
      </c>
      <c r="B676">
        <f>IFERROR(__xludf.DUMMYFUNCTION("""COMPUTED_VALUE"""),30109.0)</f>
        <v>30109</v>
      </c>
      <c r="C676" t="str">
        <f>IFERROR(__xludf.DUMMYFUNCTION("""COMPUTED_VALUE"""),"TRUJILLO RENDON, CAMILA")</f>
        <v>TRUJILLO RENDON, CAMILA</v>
      </c>
      <c r="D676" t="str">
        <f>IFERROR(__xludf.DUMMYFUNCTION("""COMPUTED_VALUE"""),"Math 7A")</f>
        <v>Math 7A</v>
      </c>
      <c r="E676" s="31">
        <f>IFERROR(__xludf.DUMMYFUNCTION("""COMPUTED_VALUE"""),3.0)</f>
        <v>3</v>
      </c>
      <c r="F676" s="8">
        <v>1.0</v>
      </c>
      <c r="G676" s="8">
        <v>1.0</v>
      </c>
      <c r="H676" s="8">
        <v>1.0</v>
      </c>
      <c r="I676" s="8">
        <v>1.0</v>
      </c>
      <c r="J676" s="8">
        <v>1.0</v>
      </c>
      <c r="K676" s="8">
        <v>1.0</v>
      </c>
      <c r="L676" s="8">
        <v>6.0</v>
      </c>
      <c r="M676" s="8"/>
      <c r="N676" s="8"/>
      <c r="O676" s="8" t="s">
        <v>726</v>
      </c>
      <c r="P676" s="8" t="e">
        <v>#N/A</v>
      </c>
    </row>
    <row r="677">
      <c r="A677">
        <f>IFERROR(__xludf.DUMMYFUNCTION("""COMPUTED_VALUE"""),7.0)</f>
        <v>7</v>
      </c>
      <c r="B677">
        <f>IFERROR(__xludf.DUMMYFUNCTION("""COMPUTED_VALUE"""),30111.0)</f>
        <v>30111</v>
      </c>
      <c r="C677" t="str">
        <f>IFERROR(__xludf.DUMMYFUNCTION("""COMPUTED_VALUE"""),"URIBE MUÑOZ, ANDREA")</f>
        <v>URIBE MUÑOZ, ANDREA</v>
      </c>
      <c r="D677" t="str">
        <f>IFERROR(__xludf.DUMMYFUNCTION("""COMPUTED_VALUE"""),"Math 7")</f>
        <v>Math 7</v>
      </c>
      <c r="E677" s="31">
        <f>IFERROR(__xludf.DUMMYFUNCTION("""COMPUTED_VALUE"""),5.0)</f>
        <v>5</v>
      </c>
      <c r="F677" s="8">
        <v>1.0</v>
      </c>
      <c r="G677" s="8">
        <v>1.0</v>
      </c>
      <c r="H677" s="8">
        <v>1.0</v>
      </c>
      <c r="I677" s="8">
        <v>1.0</v>
      </c>
      <c r="J677" s="8">
        <v>1.0</v>
      </c>
      <c r="K677" s="8">
        <v>1.0</v>
      </c>
      <c r="L677" s="8">
        <v>6.0</v>
      </c>
      <c r="M677" s="8"/>
      <c r="N677" s="8"/>
      <c r="O677" s="8" t="s">
        <v>723</v>
      </c>
      <c r="P677" s="8">
        <v>6.0</v>
      </c>
    </row>
    <row r="678">
      <c r="A678">
        <f>IFERROR(__xludf.DUMMYFUNCTION("""COMPUTED_VALUE"""),7.0)</f>
        <v>7</v>
      </c>
      <c r="B678">
        <f>IFERROR(__xludf.DUMMYFUNCTION("""COMPUTED_VALUE"""),30112.0)</f>
        <v>30112</v>
      </c>
      <c r="C678" t="str">
        <f>IFERROR(__xludf.DUMMYFUNCTION("""COMPUTED_VALUE"""),"URIBE MUÑOZ, VALENTINA")</f>
        <v>URIBE MUÑOZ, VALENTINA</v>
      </c>
      <c r="D678" t="str">
        <f>IFERROR(__xludf.DUMMYFUNCTION("""COMPUTED_VALUE"""),"Math 7")</f>
        <v>Math 7</v>
      </c>
      <c r="E678" s="31">
        <f>IFERROR(__xludf.DUMMYFUNCTION("""COMPUTED_VALUE"""),3.0)</f>
        <v>3</v>
      </c>
      <c r="F678" s="8">
        <v>1.0</v>
      </c>
      <c r="G678" s="8">
        <v>1.0</v>
      </c>
      <c r="H678" s="8">
        <v>1.0</v>
      </c>
      <c r="I678" s="8">
        <v>1.0</v>
      </c>
      <c r="J678" s="8">
        <v>1.0</v>
      </c>
      <c r="K678" s="8">
        <v>1.0</v>
      </c>
      <c r="L678" s="8">
        <v>6.0</v>
      </c>
      <c r="M678" s="8"/>
      <c r="N678" s="8"/>
      <c r="O678" s="8" t="s">
        <v>728</v>
      </c>
      <c r="P678" s="8">
        <v>6.0</v>
      </c>
    </row>
    <row r="679">
      <c r="A679">
        <f>IFERROR(__xludf.DUMMYFUNCTION("""COMPUTED_VALUE"""),7.0)</f>
        <v>7</v>
      </c>
      <c r="B679">
        <f>IFERROR(__xludf.DUMMYFUNCTION("""COMPUTED_VALUE"""),30114.0)</f>
        <v>30114</v>
      </c>
      <c r="C679" t="str">
        <f>IFERROR(__xludf.DUMMYFUNCTION("""COMPUTED_VALUE"""),"URIBE RUIZ, VICENTE")</f>
        <v>URIBE RUIZ, VICENTE</v>
      </c>
      <c r="D679" t="str">
        <f>IFERROR(__xludf.DUMMYFUNCTION("""COMPUTED_VALUE"""),"Math 7")</f>
        <v>Math 7</v>
      </c>
      <c r="E679" s="31">
        <f>IFERROR(__xludf.DUMMYFUNCTION("""COMPUTED_VALUE"""),4.0)</f>
        <v>4</v>
      </c>
      <c r="F679" s="8">
        <v>1.0</v>
      </c>
      <c r="G679" s="8">
        <v>1.0</v>
      </c>
      <c r="H679" s="8">
        <v>1.0</v>
      </c>
      <c r="I679" s="8">
        <v>1.0</v>
      </c>
      <c r="J679" s="8">
        <v>1.0</v>
      </c>
      <c r="K679" s="8">
        <v>1.0</v>
      </c>
      <c r="L679" s="8">
        <v>6.0</v>
      </c>
      <c r="M679" s="8"/>
      <c r="N679" s="8"/>
      <c r="O679" s="8" t="s">
        <v>724</v>
      </c>
      <c r="P679" s="8">
        <v>6.0</v>
      </c>
    </row>
    <row r="680">
      <c r="A680">
        <f>IFERROR(__xludf.DUMMYFUNCTION("""COMPUTED_VALUE"""),7.0)</f>
        <v>7</v>
      </c>
      <c r="B680">
        <f>IFERROR(__xludf.DUMMYFUNCTION("""COMPUTED_VALUE"""),30115.0)</f>
        <v>30115</v>
      </c>
      <c r="C680" t="str">
        <f>IFERROR(__xludf.DUMMYFUNCTION("""COMPUTED_VALUE"""),"URIBE VELASQUEZ, AGUSTIN")</f>
        <v>URIBE VELASQUEZ, AGUSTIN</v>
      </c>
      <c r="D680" t="str">
        <f>IFERROR(__xludf.DUMMYFUNCTION("""COMPUTED_VALUE"""),"Math 7A")</f>
        <v>Math 7A</v>
      </c>
      <c r="E680" s="31">
        <f>IFERROR(__xludf.DUMMYFUNCTION("""COMPUTED_VALUE"""),3.0)</f>
        <v>3</v>
      </c>
      <c r="F680" s="8">
        <v>1.0</v>
      </c>
      <c r="G680" s="8">
        <v>1.0</v>
      </c>
      <c r="H680" s="8">
        <v>1.0</v>
      </c>
      <c r="I680" s="8">
        <v>1.0</v>
      </c>
      <c r="J680" s="8">
        <v>1.0</v>
      </c>
      <c r="K680" s="8">
        <v>1.0</v>
      </c>
      <c r="L680" s="8">
        <v>6.0</v>
      </c>
      <c r="M680" s="8"/>
      <c r="N680" s="8"/>
      <c r="O680" s="8" t="s">
        <v>726</v>
      </c>
      <c r="P680" s="8" t="e">
        <v>#N/A</v>
      </c>
    </row>
    <row r="681">
      <c r="A681">
        <f>IFERROR(__xludf.DUMMYFUNCTION("""COMPUTED_VALUE"""),7.0)</f>
        <v>7</v>
      </c>
      <c r="B681">
        <f>IFERROR(__xludf.DUMMYFUNCTION("""COMPUTED_VALUE"""),30117.0)</f>
        <v>30117</v>
      </c>
      <c r="C681" t="str">
        <f>IFERROR(__xludf.DUMMYFUNCTION("""COMPUTED_VALUE"""),"VASQUEZ ECHEVERRI, MARIANA")</f>
        <v>VASQUEZ ECHEVERRI, MARIANA</v>
      </c>
      <c r="D681" t="str">
        <f>IFERROR(__xludf.DUMMYFUNCTION("""COMPUTED_VALUE"""),"Math 7")</f>
        <v>Math 7</v>
      </c>
      <c r="E681" s="31">
        <f>IFERROR(__xludf.DUMMYFUNCTION("""COMPUTED_VALUE"""),4.0)</f>
        <v>4</v>
      </c>
      <c r="F681" s="8">
        <v>1.0</v>
      </c>
      <c r="G681" s="8">
        <v>1.0</v>
      </c>
      <c r="H681" s="8">
        <v>1.0</v>
      </c>
      <c r="I681" s="8">
        <v>1.0</v>
      </c>
      <c r="J681" s="8">
        <v>1.0</v>
      </c>
      <c r="K681" s="8">
        <v>1.0</v>
      </c>
      <c r="L681" s="8">
        <v>6.0</v>
      </c>
      <c r="M681" s="8"/>
      <c r="N681" s="8"/>
      <c r="O681" s="8" t="s">
        <v>724</v>
      </c>
      <c r="P681" s="8">
        <v>6.0</v>
      </c>
    </row>
    <row r="682">
      <c r="A682">
        <f>IFERROR(__xludf.DUMMYFUNCTION("""COMPUTED_VALUE"""),7.0)</f>
        <v>7</v>
      </c>
      <c r="B682">
        <f>IFERROR(__xludf.DUMMYFUNCTION("""COMPUTED_VALUE"""),30119.0)</f>
        <v>30119</v>
      </c>
      <c r="C682" t="str">
        <f>IFERROR(__xludf.DUMMYFUNCTION("""COMPUTED_VALUE"""),"VASQUEZ MUÑOZ, LUCIA")</f>
        <v>VASQUEZ MUÑOZ, LUCIA</v>
      </c>
      <c r="D682" t="str">
        <f>IFERROR(__xludf.DUMMYFUNCTION("""COMPUTED_VALUE"""),"Math 7")</f>
        <v>Math 7</v>
      </c>
      <c r="E682" s="31">
        <f>IFERROR(__xludf.DUMMYFUNCTION("""COMPUTED_VALUE"""),4.0)</f>
        <v>4</v>
      </c>
      <c r="F682" s="8">
        <v>1.0</v>
      </c>
      <c r="G682" s="8">
        <v>1.0</v>
      </c>
      <c r="H682" s="8">
        <v>1.0</v>
      </c>
      <c r="I682" s="8">
        <v>1.0</v>
      </c>
      <c r="J682" s="8">
        <v>1.0</v>
      </c>
      <c r="K682" s="8">
        <v>1.0</v>
      </c>
      <c r="L682" s="8">
        <v>6.0</v>
      </c>
      <c r="M682" s="8"/>
      <c r="N682" s="8"/>
      <c r="O682" s="8" t="s">
        <v>724</v>
      </c>
      <c r="P682" s="8">
        <v>6.0</v>
      </c>
    </row>
    <row r="683">
      <c r="A683">
        <f>IFERROR(__xludf.DUMMYFUNCTION("""COMPUTED_VALUE"""),7.0)</f>
        <v>7</v>
      </c>
      <c r="B683">
        <f>IFERROR(__xludf.DUMMYFUNCTION("""COMPUTED_VALUE"""),30162.0)</f>
        <v>30162</v>
      </c>
      <c r="C683" t="str">
        <f>IFERROR(__xludf.DUMMYFUNCTION("""COMPUTED_VALUE"""),"VASQUEZ TAMAYO, ISABEL")</f>
        <v>VASQUEZ TAMAYO, ISABEL</v>
      </c>
      <c r="D683" t="str">
        <f>IFERROR(__xludf.DUMMYFUNCTION("""COMPUTED_VALUE"""),"Math 7")</f>
        <v>Math 7</v>
      </c>
      <c r="E683" s="31">
        <f>IFERROR(__xludf.DUMMYFUNCTION("""COMPUTED_VALUE"""),3.0)</f>
        <v>3</v>
      </c>
      <c r="F683" s="8">
        <v>1.0</v>
      </c>
      <c r="G683" s="8">
        <v>1.0</v>
      </c>
      <c r="H683" s="8">
        <v>1.0</v>
      </c>
      <c r="I683" s="8">
        <v>1.0</v>
      </c>
      <c r="J683" s="8">
        <v>1.0</v>
      </c>
      <c r="K683" s="8">
        <v>1.0</v>
      </c>
      <c r="L683" s="8">
        <v>6.0</v>
      </c>
      <c r="M683" s="8"/>
      <c r="N683" s="8"/>
      <c r="O683" s="8" t="s">
        <v>728</v>
      </c>
      <c r="P683" s="8">
        <v>6.0</v>
      </c>
    </row>
    <row r="684">
      <c r="A684">
        <f>IFERROR(__xludf.DUMMYFUNCTION("""COMPUTED_VALUE"""),7.0)</f>
        <v>7</v>
      </c>
      <c r="B684">
        <f>IFERROR(__xludf.DUMMYFUNCTION("""COMPUTED_VALUE"""),30163.0)</f>
        <v>30163</v>
      </c>
      <c r="C684" t="str">
        <f>IFERROR(__xludf.DUMMYFUNCTION("""COMPUTED_VALUE"""),"VASQUEZ TAMAYO, PABLO")</f>
        <v>VASQUEZ TAMAYO, PABLO</v>
      </c>
      <c r="D684" t="str">
        <f>IFERROR(__xludf.DUMMYFUNCTION("""COMPUTED_VALUE"""),"Math 7")</f>
        <v>Math 7</v>
      </c>
      <c r="E684" s="31">
        <f>IFERROR(__xludf.DUMMYFUNCTION("""COMPUTED_VALUE"""),6.0)</f>
        <v>6</v>
      </c>
      <c r="F684" s="8">
        <v>1.0</v>
      </c>
      <c r="G684" s="8">
        <v>1.0</v>
      </c>
      <c r="H684" s="8">
        <v>1.0</v>
      </c>
      <c r="I684" s="8">
        <v>1.0</v>
      </c>
      <c r="J684" s="8">
        <v>1.0</v>
      </c>
      <c r="K684" s="8">
        <v>1.0</v>
      </c>
      <c r="L684" s="8">
        <v>6.0</v>
      </c>
      <c r="M684" s="8"/>
      <c r="N684" s="8"/>
      <c r="O684" s="8" t="s">
        <v>727</v>
      </c>
      <c r="P684" s="8">
        <v>6.0</v>
      </c>
    </row>
    <row r="685">
      <c r="A685">
        <f>IFERROR(__xludf.DUMMYFUNCTION("""COMPUTED_VALUE"""),7.0)</f>
        <v>7</v>
      </c>
      <c r="B685">
        <f>IFERROR(__xludf.DUMMYFUNCTION("""COMPUTED_VALUE"""),30164.0)</f>
        <v>30164</v>
      </c>
      <c r="C685" t="str">
        <f>IFERROR(__xludf.DUMMYFUNCTION("""COMPUTED_VALUE"""),"VASQUEZ TAMAYO, SAMUEL")</f>
        <v>VASQUEZ TAMAYO, SAMUEL</v>
      </c>
      <c r="D685" t="str">
        <f>IFERROR(__xludf.DUMMYFUNCTION("""COMPUTED_VALUE"""),"Math 7")</f>
        <v>Math 7</v>
      </c>
      <c r="E685" s="31">
        <f>IFERROR(__xludf.DUMMYFUNCTION("""COMPUTED_VALUE"""),5.0)</f>
        <v>5</v>
      </c>
      <c r="F685" s="8">
        <v>1.0</v>
      </c>
      <c r="G685" s="8">
        <v>1.0</v>
      </c>
      <c r="H685" s="8">
        <v>1.0</v>
      </c>
      <c r="I685" s="8">
        <v>1.0</v>
      </c>
      <c r="J685" s="8">
        <v>1.0</v>
      </c>
      <c r="K685" s="8">
        <v>1.0</v>
      </c>
      <c r="L685" s="8">
        <v>6.0</v>
      </c>
      <c r="M685" s="8"/>
      <c r="N685" s="8"/>
      <c r="O685" s="8" t="s">
        <v>723</v>
      </c>
      <c r="P685" s="8">
        <v>6.0</v>
      </c>
    </row>
    <row r="686">
      <c r="A686">
        <f>IFERROR(__xludf.DUMMYFUNCTION("""COMPUTED_VALUE"""),7.0)</f>
        <v>7</v>
      </c>
      <c r="B686">
        <f>IFERROR(__xludf.DUMMYFUNCTION("""COMPUTED_VALUE"""),30120.0)</f>
        <v>30120</v>
      </c>
      <c r="C686" t="str">
        <f>IFERROR(__xludf.DUMMYFUNCTION("""COMPUTED_VALUE"""),"VELASQUEZ URIBE, JUAN SEBASTIAN")</f>
        <v>VELASQUEZ URIBE, JUAN SEBASTIAN</v>
      </c>
      <c r="D686" t="str">
        <f>IFERROR(__xludf.DUMMYFUNCTION("""COMPUTED_VALUE"""),"Math 7A")</f>
        <v>Math 7A</v>
      </c>
      <c r="E686" s="31">
        <f>IFERROR(__xludf.DUMMYFUNCTION("""COMPUTED_VALUE"""),3.0)</f>
        <v>3</v>
      </c>
      <c r="F686" s="8">
        <v>1.0</v>
      </c>
      <c r="G686" s="8">
        <v>1.0</v>
      </c>
      <c r="H686" s="8">
        <v>1.0</v>
      </c>
      <c r="I686" s="8">
        <v>1.0</v>
      </c>
      <c r="J686" s="8">
        <v>1.0</v>
      </c>
      <c r="K686" s="8">
        <v>1.0</v>
      </c>
      <c r="L686" s="8">
        <v>6.0</v>
      </c>
      <c r="M686" s="8"/>
      <c r="N686" s="8"/>
      <c r="O686" s="8" t="s">
        <v>726</v>
      </c>
      <c r="P686" s="8" t="e">
        <v>#N/A</v>
      </c>
    </row>
    <row r="687">
      <c r="A687">
        <f>IFERROR(__xludf.DUMMYFUNCTION("""COMPUTED_VALUE"""),7.0)</f>
        <v>7</v>
      </c>
      <c r="B687">
        <f>IFERROR(__xludf.DUMMYFUNCTION("""COMPUTED_VALUE"""),30121.0)</f>
        <v>30121</v>
      </c>
      <c r="C687" t="str">
        <f>IFERROR(__xludf.DUMMYFUNCTION("""COMPUTED_VALUE"""),"VELEZ ECHANDIA, DANIEL")</f>
        <v>VELEZ ECHANDIA, DANIEL</v>
      </c>
      <c r="D687" t="str">
        <f>IFERROR(__xludf.DUMMYFUNCTION("""COMPUTED_VALUE"""),"Math 7A")</f>
        <v>Math 7A</v>
      </c>
      <c r="E687" s="31">
        <f>IFERROR(__xludf.DUMMYFUNCTION("""COMPUTED_VALUE"""),4.0)</f>
        <v>4</v>
      </c>
      <c r="F687" s="8">
        <v>1.0</v>
      </c>
      <c r="G687" s="8">
        <v>1.0</v>
      </c>
      <c r="H687" s="8">
        <v>1.0</v>
      </c>
      <c r="I687" s="8">
        <v>1.0</v>
      </c>
      <c r="J687" s="8">
        <v>1.0</v>
      </c>
      <c r="K687" s="8">
        <v>1.0</v>
      </c>
      <c r="L687" s="8">
        <v>6.0</v>
      </c>
      <c r="M687" s="8"/>
      <c r="N687" s="8"/>
      <c r="O687" s="8" t="s">
        <v>725</v>
      </c>
      <c r="P687" s="8" t="e">
        <v>#N/A</v>
      </c>
    </row>
    <row r="688">
      <c r="A688">
        <f>IFERROR(__xludf.DUMMYFUNCTION("""COMPUTED_VALUE"""),7.0)</f>
        <v>7</v>
      </c>
      <c r="B688">
        <f>IFERROR(__xludf.DUMMYFUNCTION("""COMPUTED_VALUE"""),30122.0)</f>
        <v>30122</v>
      </c>
      <c r="C688" t="str">
        <f>IFERROR(__xludf.DUMMYFUNCTION("""COMPUTED_VALUE"""),"VILLEGAS MEJIA, MARTIN")</f>
        <v>VILLEGAS MEJIA, MARTIN</v>
      </c>
      <c r="D688" t="str">
        <f>IFERROR(__xludf.DUMMYFUNCTION("""COMPUTED_VALUE"""),"Math 7")</f>
        <v>Math 7</v>
      </c>
      <c r="E688" s="31">
        <f>IFERROR(__xludf.DUMMYFUNCTION("""COMPUTED_VALUE"""),6.0)</f>
        <v>6</v>
      </c>
      <c r="F688" s="8">
        <v>1.0</v>
      </c>
      <c r="G688" s="8">
        <v>1.0</v>
      </c>
      <c r="H688" s="8">
        <v>1.0</v>
      </c>
      <c r="I688" s="8">
        <v>1.0</v>
      </c>
      <c r="J688" s="8">
        <v>1.0</v>
      </c>
      <c r="K688" s="8">
        <v>1.0</v>
      </c>
      <c r="L688" s="8">
        <v>6.0</v>
      </c>
      <c r="M688" s="8"/>
      <c r="N688" s="8"/>
      <c r="O688" s="8" t="s">
        <v>727</v>
      </c>
      <c r="P688" s="8">
        <v>6.0</v>
      </c>
    </row>
    <row r="689">
      <c r="A689">
        <f>IFERROR(__xludf.DUMMYFUNCTION("""COMPUTED_VALUE"""),7.0)</f>
        <v>7</v>
      </c>
      <c r="B689">
        <f>IFERROR(__xludf.DUMMYFUNCTION("""COMPUTED_VALUE"""),30123.0)</f>
        <v>30123</v>
      </c>
      <c r="C689" t="str">
        <f>IFERROR(__xludf.DUMMYFUNCTION("""COMPUTED_VALUE"""),"YACAMAN RESTREPO, TOMAS")</f>
        <v>YACAMAN RESTREPO, TOMAS</v>
      </c>
      <c r="D689" t="str">
        <f>IFERROR(__xludf.DUMMYFUNCTION("""COMPUTED_VALUE"""),"Math 7")</f>
        <v>Math 7</v>
      </c>
      <c r="E689" s="31">
        <f>IFERROR(__xludf.DUMMYFUNCTION("""COMPUTED_VALUE"""),3.0)</f>
        <v>3</v>
      </c>
      <c r="F689" s="8">
        <v>1.0</v>
      </c>
      <c r="G689" s="8">
        <v>1.0</v>
      </c>
      <c r="H689" s="8">
        <v>1.0</v>
      </c>
      <c r="I689" s="8">
        <v>1.0</v>
      </c>
      <c r="J689" s="8">
        <v>1.0</v>
      </c>
      <c r="K689" s="8">
        <v>1.0</v>
      </c>
      <c r="L689" s="8">
        <v>6.0</v>
      </c>
      <c r="M689" s="8"/>
      <c r="N689" s="8"/>
      <c r="O689" s="8" t="s">
        <v>728</v>
      </c>
      <c r="P689" s="8">
        <v>6.0</v>
      </c>
    </row>
    <row r="690">
      <c r="A690">
        <f>IFERROR(__xludf.DUMMYFUNCTION("""COMPUTED_VALUE"""),7.0)</f>
        <v>7</v>
      </c>
      <c r="B690">
        <f>IFERROR(__xludf.DUMMYFUNCTION("""COMPUTED_VALUE"""),30124.0)</f>
        <v>30124</v>
      </c>
      <c r="C690" t="str">
        <f>IFERROR(__xludf.DUMMYFUNCTION("""COMPUTED_VALUE"""),"YEPES RAMIREZ, LUCIANA")</f>
        <v>YEPES RAMIREZ, LUCIANA</v>
      </c>
      <c r="D690" t="str">
        <f>IFERROR(__xludf.DUMMYFUNCTION("""COMPUTED_VALUE"""),"Math 7A")</f>
        <v>Math 7A</v>
      </c>
      <c r="E690" s="31">
        <f>IFERROR(__xludf.DUMMYFUNCTION("""COMPUTED_VALUE"""),4.0)</f>
        <v>4</v>
      </c>
      <c r="F690" s="8">
        <v>1.0</v>
      </c>
      <c r="G690" s="8">
        <v>1.0</v>
      </c>
      <c r="H690" s="8">
        <v>1.0</v>
      </c>
      <c r="I690" s="8">
        <v>1.0</v>
      </c>
      <c r="J690" s="8">
        <v>1.0</v>
      </c>
      <c r="K690" s="8">
        <v>1.0</v>
      </c>
      <c r="L690" s="8">
        <v>6.0</v>
      </c>
      <c r="M690" s="8"/>
      <c r="N690" s="8"/>
      <c r="O690" s="8" t="s">
        <v>725</v>
      </c>
      <c r="P690" s="8" t="e">
        <v>#N/A</v>
      </c>
    </row>
    <row r="691">
      <c r="A691">
        <f>IFERROR(__xludf.DUMMYFUNCTION("""COMPUTED_VALUE"""),7.0)</f>
        <v>7</v>
      </c>
      <c r="B691">
        <f>IFERROR(__xludf.DUMMYFUNCTION("""COMPUTED_VALUE"""),30125.0)</f>
        <v>30125</v>
      </c>
      <c r="C691" t="str">
        <f>IFERROR(__xludf.DUMMYFUNCTION("""COMPUTED_VALUE"""),"ZAPATA URIBE, MARTINA")</f>
        <v>ZAPATA URIBE, MARTINA</v>
      </c>
      <c r="D691" t="str">
        <f>IFERROR(__xludf.DUMMYFUNCTION("""COMPUTED_VALUE"""),"Math 7")</f>
        <v>Math 7</v>
      </c>
      <c r="E691" s="31">
        <f>IFERROR(__xludf.DUMMYFUNCTION("""COMPUTED_VALUE"""),5.0)</f>
        <v>5</v>
      </c>
      <c r="F691" s="8">
        <v>1.0</v>
      </c>
      <c r="G691" s="8">
        <v>1.0</v>
      </c>
      <c r="H691" s="8">
        <v>1.0</v>
      </c>
      <c r="I691" s="8">
        <v>1.0</v>
      </c>
      <c r="J691" s="8">
        <v>1.0</v>
      </c>
      <c r="K691" s="8">
        <v>1.0</v>
      </c>
      <c r="L691" s="8">
        <v>6.0</v>
      </c>
      <c r="M691" s="8"/>
      <c r="N691" s="8"/>
      <c r="O691" s="8" t="s">
        <v>723</v>
      </c>
      <c r="P691" s="8">
        <v>6.0</v>
      </c>
    </row>
    <row r="692">
      <c r="A692">
        <f>IFERROR(__xludf.DUMMYFUNCTION("""COMPUTED_VALUE"""),7.0)</f>
        <v>7</v>
      </c>
      <c r="B692">
        <f>IFERROR(__xludf.DUMMYFUNCTION("""COMPUTED_VALUE"""),30126.0)</f>
        <v>30126</v>
      </c>
      <c r="C692" t="str">
        <f>IFERROR(__xludf.DUMMYFUNCTION("""COMPUTED_VALUE"""),"ZULOAGA AYUB, NICOLAS")</f>
        <v>ZULOAGA AYUB, NICOLAS</v>
      </c>
      <c r="D692" t="str">
        <f>IFERROR(__xludf.DUMMYFUNCTION("""COMPUTED_VALUE"""),"Math 7A")</f>
        <v>Math 7A</v>
      </c>
      <c r="E692" s="31">
        <f>IFERROR(__xludf.DUMMYFUNCTION("""COMPUTED_VALUE"""),3.0)</f>
        <v>3</v>
      </c>
      <c r="F692" s="8">
        <v>1.0</v>
      </c>
      <c r="G692" s="8">
        <v>1.0</v>
      </c>
      <c r="H692" s="8">
        <v>1.0</v>
      </c>
      <c r="I692" s="8">
        <v>1.0</v>
      </c>
      <c r="J692" s="8">
        <v>1.0</v>
      </c>
      <c r="K692" s="8">
        <v>1.0</v>
      </c>
      <c r="L692" s="8">
        <v>6.0</v>
      </c>
      <c r="M692" s="8"/>
      <c r="N692" s="8"/>
      <c r="O692" s="8" t="s">
        <v>726</v>
      </c>
      <c r="P692" s="8" t="e">
        <v>#N/A</v>
      </c>
    </row>
    <row r="693">
      <c r="A693">
        <f>IFERROR(__xludf.DUMMYFUNCTION("""COMPUTED_VALUE"""),7.0)</f>
        <v>7</v>
      </c>
      <c r="B693">
        <f>IFERROR(__xludf.DUMMYFUNCTION("""COMPUTED_VALUE"""),30127.0)</f>
        <v>30127</v>
      </c>
      <c r="C693" t="str">
        <f>IFERROR(__xludf.DUMMYFUNCTION("""COMPUTED_VALUE"""),"ZULUAGA SIERRA, MATIAS")</f>
        <v>ZULUAGA SIERRA, MATIAS</v>
      </c>
      <c r="D693" t="str">
        <f>IFERROR(__xludf.DUMMYFUNCTION("""COMPUTED_VALUE"""),"Math 7")</f>
        <v>Math 7</v>
      </c>
      <c r="E693" s="31">
        <f>IFERROR(__xludf.DUMMYFUNCTION("""COMPUTED_VALUE"""),4.0)</f>
        <v>4</v>
      </c>
      <c r="F693" s="8">
        <v>1.0</v>
      </c>
      <c r="G693" s="8">
        <v>1.0</v>
      </c>
      <c r="H693" s="8">
        <v>1.0</v>
      </c>
      <c r="I693" s="8">
        <v>1.0</v>
      </c>
      <c r="J693" s="8">
        <v>1.0</v>
      </c>
      <c r="K693" s="8">
        <v>1.0</v>
      </c>
      <c r="L693" s="8">
        <v>6.0</v>
      </c>
      <c r="M693" s="8"/>
      <c r="N693" s="8"/>
      <c r="O693" s="8" t="s">
        <v>724</v>
      </c>
      <c r="P693" s="8">
        <v>6.0</v>
      </c>
    </row>
    <row r="694">
      <c r="A694">
        <f>IFERROR(__xludf.DUMMYFUNCTION("""COMPUTED_VALUE"""),8.0)</f>
        <v>8</v>
      </c>
      <c r="B694">
        <f>IFERROR(__xludf.DUMMYFUNCTION("""COMPUTED_VALUE"""),29001.0)</f>
        <v>29001</v>
      </c>
      <c r="C694" t="str">
        <f>IFERROR(__xludf.DUMMYFUNCTION("""COMPUTED_VALUE"""),"ACEVEDO ARANGO, ROSARIO")</f>
        <v>ACEVEDO ARANGO, ROSARIO</v>
      </c>
      <c r="D694" t="str">
        <f>IFERROR(__xludf.DUMMYFUNCTION("""COMPUTED_VALUE"""),"Algebra")</f>
        <v>Algebra</v>
      </c>
      <c r="E694" s="31">
        <f>IFERROR(__xludf.DUMMYFUNCTION("""COMPUTED_VALUE"""),3.0)</f>
        <v>3</v>
      </c>
      <c r="F694" s="8">
        <v>1.0</v>
      </c>
      <c r="G694" s="8">
        <v>1.0</v>
      </c>
      <c r="H694" s="8">
        <v>1.0</v>
      </c>
      <c r="I694" s="8">
        <v>1.0</v>
      </c>
      <c r="J694" s="8">
        <v>1.0</v>
      </c>
      <c r="K694" s="8">
        <v>1.0</v>
      </c>
      <c r="L694" s="8">
        <v>6.0</v>
      </c>
      <c r="M694" s="8"/>
      <c r="N694" s="8"/>
      <c r="O694" s="8" t="s">
        <v>729</v>
      </c>
      <c r="P694" s="8" t="e">
        <v>#N/A</v>
      </c>
    </row>
    <row r="695">
      <c r="A695">
        <f>IFERROR(__xludf.DUMMYFUNCTION("""COMPUTED_VALUE"""),8.0)</f>
        <v>8</v>
      </c>
      <c r="B695">
        <f>IFERROR(__xludf.DUMMYFUNCTION("""COMPUTED_VALUE"""),29002.0)</f>
        <v>29002</v>
      </c>
      <c r="C695" t="str">
        <f>IFERROR(__xludf.DUMMYFUNCTION("""COMPUTED_VALUE"""),"ACEVEDO OCHOA, MARIA DEL MAR")</f>
        <v>ACEVEDO OCHOA, MARIA DEL MAR</v>
      </c>
      <c r="D695" t="str">
        <f>IFERROR(__xludf.DUMMYFUNCTION("""COMPUTED_VALUE"""),"Algebra")</f>
        <v>Algebra</v>
      </c>
      <c r="E695" s="31">
        <f>IFERROR(__xludf.DUMMYFUNCTION("""COMPUTED_VALUE"""),5.0)</f>
        <v>5</v>
      </c>
      <c r="F695" s="8">
        <v>1.0</v>
      </c>
      <c r="G695" s="8">
        <v>1.0</v>
      </c>
      <c r="H695" s="8">
        <v>1.0</v>
      </c>
      <c r="I695" s="8">
        <v>1.0</v>
      </c>
      <c r="J695" s="8">
        <v>1.0</v>
      </c>
      <c r="K695" s="8">
        <v>1.0</v>
      </c>
      <c r="L695" s="8">
        <v>6.0</v>
      </c>
      <c r="M695" s="8"/>
      <c r="N695" s="8"/>
      <c r="O695" s="8" t="s">
        <v>730</v>
      </c>
      <c r="P695" s="8" t="e">
        <v>#N/A</v>
      </c>
    </row>
    <row r="696">
      <c r="A696">
        <f>IFERROR(__xludf.DUMMYFUNCTION("""COMPUTED_VALUE"""),8.0)</f>
        <v>8</v>
      </c>
      <c r="B696">
        <f>IFERROR(__xludf.DUMMYFUNCTION("""COMPUTED_VALUE"""),29003.0)</f>
        <v>29003</v>
      </c>
      <c r="C696" t="str">
        <f>IFERROR(__xludf.DUMMYFUNCTION("""COMPUTED_VALUE"""),"ACEVEDO OROZCO, MARIA CELESTE")</f>
        <v>ACEVEDO OROZCO, MARIA CELESTE</v>
      </c>
      <c r="D696" t="str">
        <f>IFERROR(__xludf.DUMMYFUNCTION("""COMPUTED_VALUE"""),"Math 8")</f>
        <v>Math 8</v>
      </c>
      <c r="E696" s="31">
        <f>IFERROR(__xludf.DUMMYFUNCTION("""COMPUTED_VALUE"""),6.0)</f>
        <v>6</v>
      </c>
      <c r="F696" s="8">
        <v>1.0</v>
      </c>
      <c r="G696" s="8">
        <v>1.0</v>
      </c>
      <c r="H696" s="8">
        <v>1.0</v>
      </c>
      <c r="I696" s="8">
        <v>1.0</v>
      </c>
      <c r="J696" s="8">
        <v>1.0</v>
      </c>
      <c r="K696" s="8">
        <v>1.0</v>
      </c>
      <c r="L696" s="8">
        <v>6.0</v>
      </c>
      <c r="M696" s="8"/>
      <c r="N696" s="8"/>
      <c r="O696" s="8" t="s">
        <v>731</v>
      </c>
      <c r="P696" s="8">
        <v>6.0</v>
      </c>
    </row>
    <row r="697">
      <c r="A697">
        <f>IFERROR(__xludf.DUMMYFUNCTION("""COMPUTED_VALUE"""),8.0)</f>
        <v>8</v>
      </c>
      <c r="B697">
        <f>IFERROR(__xludf.DUMMYFUNCTION("""COMPUTED_VALUE"""),29004.0)</f>
        <v>29004</v>
      </c>
      <c r="C697" t="str">
        <f>IFERROR(__xludf.DUMMYFUNCTION("""COMPUTED_VALUE"""),"AGUIRRE ARANGO, DAVID")</f>
        <v>AGUIRRE ARANGO, DAVID</v>
      </c>
      <c r="D697" t="str">
        <f>IFERROR(__xludf.DUMMYFUNCTION("""COMPUTED_VALUE"""),"Algebra")</f>
        <v>Algebra</v>
      </c>
      <c r="E697" s="31">
        <f>IFERROR(__xludf.DUMMYFUNCTION("""COMPUTED_VALUE"""),5.0)</f>
        <v>5</v>
      </c>
      <c r="F697" s="8">
        <v>1.0</v>
      </c>
      <c r="G697" s="8">
        <v>1.0</v>
      </c>
      <c r="H697" s="8">
        <v>1.0</v>
      </c>
      <c r="I697" s="8">
        <v>1.0</v>
      </c>
      <c r="J697" s="8">
        <v>1.0</v>
      </c>
      <c r="K697" s="8">
        <v>1.0</v>
      </c>
      <c r="L697" s="8">
        <v>6.0</v>
      </c>
      <c r="M697" s="8"/>
      <c r="N697" s="8"/>
      <c r="O697" s="8" t="s">
        <v>730</v>
      </c>
      <c r="P697" s="8" t="e">
        <v>#N/A</v>
      </c>
    </row>
    <row r="698">
      <c r="A698">
        <f>IFERROR(__xludf.DUMMYFUNCTION("""COMPUTED_VALUE"""),8.0)</f>
        <v>8</v>
      </c>
      <c r="B698">
        <f>IFERROR(__xludf.DUMMYFUNCTION("""COMPUTED_VALUE"""),29170.0)</f>
        <v>29170</v>
      </c>
      <c r="C698" t="str">
        <f>IFERROR(__xludf.DUMMYFUNCTION("""COMPUTED_VALUE"""),"ALVAREZ CARDENAS, JUAN EMILIO")</f>
        <v>ALVAREZ CARDENAS, JUAN EMILIO</v>
      </c>
      <c r="D698" t="str">
        <f>IFERROR(__xludf.DUMMYFUNCTION("""COMPUTED_VALUE"""),"Math 8")</f>
        <v>Math 8</v>
      </c>
      <c r="E698" s="31">
        <f>IFERROR(__xludf.DUMMYFUNCTION("""COMPUTED_VALUE"""),6.0)</f>
        <v>6</v>
      </c>
      <c r="F698" s="8">
        <v>1.0</v>
      </c>
      <c r="G698" s="8">
        <v>1.0</v>
      </c>
      <c r="H698" s="8">
        <v>1.0</v>
      </c>
      <c r="I698" s="8">
        <v>1.0</v>
      </c>
      <c r="J698" s="8">
        <v>1.0</v>
      </c>
      <c r="K698" s="8">
        <v>1.0</v>
      </c>
      <c r="L698" s="8">
        <v>6.0</v>
      </c>
      <c r="M698" s="8"/>
      <c r="N698" s="8"/>
      <c r="O698" s="8" t="s">
        <v>731</v>
      </c>
      <c r="P698" s="8">
        <v>6.0</v>
      </c>
    </row>
    <row r="699">
      <c r="A699">
        <f>IFERROR(__xludf.DUMMYFUNCTION("""COMPUTED_VALUE"""),8.0)</f>
        <v>8</v>
      </c>
      <c r="B699">
        <f>IFERROR(__xludf.DUMMYFUNCTION("""COMPUTED_VALUE"""),29007.0)</f>
        <v>29007</v>
      </c>
      <c r="C699" t="str">
        <f>IFERROR(__xludf.DUMMYFUNCTION("""COMPUTED_VALUE"""),"ALZATE GARCIA, LUCIANA")</f>
        <v>ALZATE GARCIA, LUCIANA</v>
      </c>
      <c r="D699" t="str">
        <f>IFERROR(__xludf.DUMMYFUNCTION("""COMPUTED_VALUE"""),"Math 8")</f>
        <v>Math 8</v>
      </c>
      <c r="E699" s="31">
        <f>IFERROR(__xludf.DUMMYFUNCTION("""COMPUTED_VALUE"""),6.0)</f>
        <v>6</v>
      </c>
      <c r="F699" s="8">
        <v>1.0</v>
      </c>
      <c r="G699" s="8">
        <v>1.0</v>
      </c>
      <c r="H699" s="8">
        <v>1.0</v>
      </c>
      <c r="I699" s="8">
        <v>1.0</v>
      </c>
      <c r="J699" s="8">
        <v>1.0</v>
      </c>
      <c r="K699" s="8">
        <v>1.0</v>
      </c>
      <c r="L699" s="8">
        <v>6.0</v>
      </c>
      <c r="M699" s="8"/>
      <c r="N699" s="8"/>
      <c r="O699" s="8" t="s">
        <v>731</v>
      </c>
      <c r="P699" s="8">
        <v>6.0</v>
      </c>
    </row>
    <row r="700">
      <c r="A700">
        <f>IFERROR(__xludf.DUMMYFUNCTION("""COMPUTED_VALUE"""),8.0)</f>
        <v>8</v>
      </c>
      <c r="B700">
        <f>IFERROR(__xludf.DUMMYFUNCTION("""COMPUTED_VALUE"""),29008.0)</f>
        <v>29008</v>
      </c>
      <c r="C700" t="str">
        <f>IFERROR(__xludf.DUMMYFUNCTION("""COMPUTED_VALUE"""),"APA ECHAVARRIA, LORENZO")</f>
        <v>APA ECHAVARRIA, LORENZO</v>
      </c>
      <c r="D700" t="str">
        <f>IFERROR(__xludf.DUMMYFUNCTION("""COMPUTED_VALUE"""),"Algebra")</f>
        <v>Algebra</v>
      </c>
      <c r="E700" s="31">
        <f>IFERROR(__xludf.DUMMYFUNCTION("""COMPUTED_VALUE"""),4.0)</f>
        <v>4</v>
      </c>
      <c r="F700" s="8">
        <v>1.0</v>
      </c>
      <c r="G700" s="8">
        <v>1.0</v>
      </c>
      <c r="H700" s="8">
        <v>1.0</v>
      </c>
      <c r="I700" s="8">
        <v>1.0</v>
      </c>
      <c r="J700" s="8">
        <v>1.0</v>
      </c>
      <c r="K700" s="8">
        <v>1.0</v>
      </c>
      <c r="L700" s="8">
        <v>6.0</v>
      </c>
      <c r="M700" s="8"/>
      <c r="N700" s="8"/>
      <c r="O700" s="8" t="s">
        <v>732</v>
      </c>
      <c r="P700" s="8" t="e">
        <v>#N/A</v>
      </c>
    </row>
    <row r="701">
      <c r="A701">
        <f>IFERROR(__xludf.DUMMYFUNCTION("""COMPUTED_VALUE"""),8.0)</f>
        <v>8</v>
      </c>
      <c r="B701">
        <f>IFERROR(__xludf.DUMMYFUNCTION("""COMPUTED_VALUE"""),29009.0)</f>
        <v>29009</v>
      </c>
      <c r="C701" t="str">
        <f>IFERROR(__xludf.DUMMYFUNCTION("""COMPUTED_VALUE"""),"ARANGO MOLINA, ALICIA")</f>
        <v>ARANGO MOLINA, ALICIA</v>
      </c>
      <c r="D701" t="str">
        <f>IFERROR(__xludf.DUMMYFUNCTION("""COMPUTED_VALUE"""),"Math 8")</f>
        <v>Math 8</v>
      </c>
      <c r="E701" s="31">
        <f>IFERROR(__xludf.DUMMYFUNCTION("""COMPUTED_VALUE"""),6.0)</f>
        <v>6</v>
      </c>
      <c r="F701" s="8">
        <v>1.0</v>
      </c>
      <c r="G701" s="8">
        <v>1.0</v>
      </c>
      <c r="H701" s="8">
        <v>1.0</v>
      </c>
      <c r="I701" s="8">
        <v>1.0</v>
      </c>
      <c r="J701" s="8">
        <v>1.0</v>
      </c>
      <c r="K701" s="8">
        <v>1.0</v>
      </c>
      <c r="L701" s="8">
        <v>6.0</v>
      </c>
      <c r="M701" s="8"/>
      <c r="N701" s="8"/>
      <c r="O701" s="8" t="s">
        <v>731</v>
      </c>
      <c r="P701" s="8">
        <v>6.0</v>
      </c>
    </row>
    <row r="702">
      <c r="A702">
        <f>IFERROR(__xludf.DUMMYFUNCTION("""COMPUTED_VALUE"""),8.0)</f>
        <v>8</v>
      </c>
      <c r="B702">
        <f>IFERROR(__xludf.DUMMYFUNCTION("""COMPUTED_VALUE"""),29010.0)</f>
        <v>29010</v>
      </c>
      <c r="C702" t="str">
        <f>IFERROR(__xludf.DUMMYFUNCTION("""COMPUTED_VALUE"""),"ARANGO NAVARRO, MANUELA")</f>
        <v>ARANGO NAVARRO, MANUELA</v>
      </c>
      <c r="D702" t="str">
        <f>IFERROR(__xludf.DUMMYFUNCTION("""COMPUTED_VALUE"""),"Algebra")</f>
        <v>Algebra</v>
      </c>
      <c r="E702" s="31">
        <f>IFERROR(__xludf.DUMMYFUNCTION("""COMPUTED_VALUE"""),3.0)</f>
        <v>3</v>
      </c>
      <c r="F702" s="8">
        <v>1.0</v>
      </c>
      <c r="G702" s="8">
        <v>1.0</v>
      </c>
      <c r="H702" s="8">
        <v>1.0</v>
      </c>
      <c r="I702" s="8">
        <v>1.0</v>
      </c>
      <c r="J702" s="8">
        <v>1.0</v>
      </c>
      <c r="K702" s="8">
        <v>1.0</v>
      </c>
      <c r="L702" s="8">
        <v>6.0</v>
      </c>
      <c r="M702" s="8"/>
      <c r="N702" s="8"/>
      <c r="O702" s="8" t="s">
        <v>729</v>
      </c>
      <c r="P702" s="8" t="e">
        <v>#N/A</v>
      </c>
    </row>
    <row r="703">
      <c r="A703">
        <f>IFERROR(__xludf.DUMMYFUNCTION("""COMPUTED_VALUE"""),8.0)</f>
        <v>8</v>
      </c>
      <c r="B703">
        <f>IFERROR(__xludf.DUMMYFUNCTION("""COMPUTED_VALUE"""),29011.0)</f>
        <v>29011</v>
      </c>
      <c r="C703" t="str">
        <f>IFERROR(__xludf.DUMMYFUNCTION("""COMPUTED_VALUE"""),"ARANGO RUBIO, ROSARIO")</f>
        <v>ARANGO RUBIO, ROSARIO</v>
      </c>
      <c r="D703" t="str">
        <f>IFERROR(__xludf.DUMMYFUNCTION("""COMPUTED_VALUE"""),"Algebra")</f>
        <v>Algebra</v>
      </c>
      <c r="E703" s="31">
        <f>IFERROR(__xludf.DUMMYFUNCTION("""COMPUTED_VALUE"""),5.0)</f>
        <v>5</v>
      </c>
      <c r="F703" s="8">
        <v>1.0</v>
      </c>
      <c r="G703" s="8">
        <v>1.0</v>
      </c>
      <c r="H703" s="8">
        <v>1.0</v>
      </c>
      <c r="I703" s="8">
        <v>1.0</v>
      </c>
      <c r="J703" s="8">
        <v>1.0</v>
      </c>
      <c r="K703" s="8">
        <v>1.0</v>
      </c>
      <c r="L703" s="8">
        <v>6.0</v>
      </c>
      <c r="M703" s="8"/>
      <c r="N703" s="8"/>
      <c r="O703" s="8" t="s">
        <v>730</v>
      </c>
      <c r="P703" s="8" t="e">
        <v>#N/A</v>
      </c>
    </row>
    <row r="704">
      <c r="A704">
        <f>IFERROR(__xludf.DUMMYFUNCTION("""COMPUTED_VALUE"""),8.0)</f>
        <v>8</v>
      </c>
      <c r="B704">
        <f>IFERROR(__xludf.DUMMYFUNCTION("""COMPUTED_VALUE"""),29012.0)</f>
        <v>29012</v>
      </c>
      <c r="C704" t="str">
        <f>IFERROR(__xludf.DUMMYFUNCTION("""COMPUTED_VALUE"""),"ARANGO VILLA, TOMAS")</f>
        <v>ARANGO VILLA, TOMAS</v>
      </c>
      <c r="D704" t="str">
        <f>IFERROR(__xludf.DUMMYFUNCTION("""COMPUTED_VALUE"""),"Algebra")</f>
        <v>Algebra</v>
      </c>
      <c r="E704" s="31">
        <f>IFERROR(__xludf.DUMMYFUNCTION("""COMPUTED_VALUE"""),5.0)</f>
        <v>5</v>
      </c>
      <c r="F704" s="8">
        <v>1.0</v>
      </c>
      <c r="G704" s="8">
        <v>1.0</v>
      </c>
      <c r="H704" s="8">
        <v>1.0</v>
      </c>
      <c r="I704" s="8">
        <v>1.0</v>
      </c>
      <c r="J704" s="8">
        <v>1.0</v>
      </c>
      <c r="K704" s="8">
        <v>1.0</v>
      </c>
      <c r="L704" s="8">
        <v>6.0</v>
      </c>
      <c r="M704" s="8"/>
      <c r="N704" s="8"/>
      <c r="O704" s="8" t="s">
        <v>730</v>
      </c>
      <c r="P704" s="8" t="e">
        <v>#N/A</v>
      </c>
    </row>
    <row r="705">
      <c r="A705">
        <f>IFERROR(__xludf.DUMMYFUNCTION("""COMPUTED_VALUE"""),8.0)</f>
        <v>8</v>
      </c>
      <c r="B705">
        <f>IFERROR(__xludf.DUMMYFUNCTION("""COMPUTED_VALUE"""),28006.0)</f>
        <v>28006</v>
      </c>
      <c r="C705" t="str">
        <f>IFERROR(__xludf.DUMMYFUNCTION("""COMPUTED_VALUE"""),"ARISTIZABAL ECHAVARRIA, CRISTOBAL")</f>
        <v>ARISTIZABAL ECHAVARRIA, CRISTOBAL</v>
      </c>
      <c r="D705" t="str">
        <f>IFERROR(__xludf.DUMMYFUNCTION("""COMPUTED_VALUE"""),"Algebra")</f>
        <v>Algebra</v>
      </c>
      <c r="E705" s="31">
        <f>IFERROR(__xludf.DUMMYFUNCTION("""COMPUTED_VALUE"""),4.0)</f>
        <v>4</v>
      </c>
      <c r="F705" s="8">
        <v>1.0</v>
      </c>
      <c r="G705" s="8">
        <v>1.0</v>
      </c>
      <c r="H705" s="8">
        <v>1.0</v>
      </c>
      <c r="I705" s="8">
        <v>1.0</v>
      </c>
      <c r="J705" s="8">
        <v>1.0</v>
      </c>
      <c r="K705" s="8">
        <v>1.0</v>
      </c>
      <c r="L705" s="8">
        <v>6.0</v>
      </c>
      <c r="M705" s="8"/>
      <c r="N705" s="8"/>
      <c r="O705" s="8" t="s">
        <v>732</v>
      </c>
      <c r="P705" s="8" t="e">
        <v>#N/A</v>
      </c>
    </row>
    <row r="706">
      <c r="A706">
        <f>IFERROR(__xludf.DUMMYFUNCTION("""COMPUTED_VALUE"""),8.0)</f>
        <v>8</v>
      </c>
      <c r="B706">
        <f>IFERROR(__xludf.DUMMYFUNCTION("""COMPUTED_VALUE"""),29015.0)</f>
        <v>29015</v>
      </c>
      <c r="C706" t="str">
        <f>IFERROR(__xludf.DUMMYFUNCTION("""COMPUTED_VALUE"""),"ARISTIZABAL URIBE, MATIAS")</f>
        <v>ARISTIZABAL URIBE, MATIAS</v>
      </c>
      <c r="D706" t="str">
        <f>IFERROR(__xludf.DUMMYFUNCTION("""COMPUTED_VALUE"""),"Math 8A")</f>
        <v>Math 8A</v>
      </c>
      <c r="E706" s="31">
        <f>IFERROR(__xludf.DUMMYFUNCTION("""COMPUTED_VALUE"""),1.0)</f>
        <v>1</v>
      </c>
      <c r="F706" s="8">
        <v>1.0</v>
      </c>
      <c r="G706" s="8">
        <v>1.0</v>
      </c>
      <c r="H706" s="8">
        <v>1.0</v>
      </c>
      <c r="I706" s="8">
        <v>1.0</v>
      </c>
      <c r="J706" s="8">
        <v>1.0</v>
      </c>
      <c r="K706" s="8">
        <v>1.0</v>
      </c>
      <c r="L706" s="8">
        <v>6.0</v>
      </c>
      <c r="M706" s="8"/>
      <c r="N706" s="8"/>
      <c r="O706" s="8" t="s">
        <v>733</v>
      </c>
      <c r="P706" s="8" t="e">
        <v>#N/A</v>
      </c>
    </row>
    <row r="707">
      <c r="A707">
        <f>IFERROR(__xludf.DUMMYFUNCTION("""COMPUTED_VALUE"""),8.0)</f>
        <v>8</v>
      </c>
      <c r="B707">
        <f>IFERROR(__xludf.DUMMYFUNCTION("""COMPUTED_VALUE"""),29016.0)</f>
        <v>29016</v>
      </c>
      <c r="C707" t="str">
        <f>IFERROR(__xludf.DUMMYFUNCTION("""COMPUTED_VALUE"""),"ARROYAVE LONDOÑO, ELISA")</f>
        <v>ARROYAVE LONDOÑO, ELISA</v>
      </c>
      <c r="D707" t="str">
        <f>IFERROR(__xludf.DUMMYFUNCTION("""COMPUTED_VALUE"""),"Algebra")</f>
        <v>Algebra</v>
      </c>
      <c r="E707" s="31">
        <f>IFERROR(__xludf.DUMMYFUNCTION("""COMPUTED_VALUE"""),3.0)</f>
        <v>3</v>
      </c>
      <c r="F707" s="8">
        <v>1.0</v>
      </c>
      <c r="G707" s="8">
        <v>1.0</v>
      </c>
      <c r="H707" s="8">
        <v>1.0</v>
      </c>
      <c r="I707" s="8">
        <v>1.0</v>
      </c>
      <c r="J707" s="8">
        <v>1.0</v>
      </c>
      <c r="K707" s="8">
        <v>1.0</v>
      </c>
      <c r="L707" s="8">
        <v>6.0</v>
      </c>
      <c r="M707" s="8"/>
      <c r="N707" s="8"/>
      <c r="O707" s="8" t="s">
        <v>729</v>
      </c>
      <c r="P707" s="8" t="e">
        <v>#N/A</v>
      </c>
    </row>
    <row r="708">
      <c r="A708">
        <f>IFERROR(__xludf.DUMMYFUNCTION("""COMPUTED_VALUE"""),8.0)</f>
        <v>8</v>
      </c>
      <c r="B708">
        <f>IFERROR(__xludf.DUMMYFUNCTION("""COMPUTED_VALUE"""),29018.0)</f>
        <v>29018</v>
      </c>
      <c r="C708" t="str">
        <f>IFERROR(__xludf.DUMMYFUNCTION("""COMPUTED_VALUE"""),"BAENA GIRALDO, VIOLETA")</f>
        <v>BAENA GIRALDO, VIOLETA</v>
      </c>
      <c r="D708" t="str">
        <f>IFERROR(__xludf.DUMMYFUNCTION("""COMPUTED_VALUE"""),"Math 8")</f>
        <v>Math 8</v>
      </c>
      <c r="E708" s="31">
        <f>IFERROR(__xludf.DUMMYFUNCTION("""COMPUTED_VALUE"""),6.0)</f>
        <v>6</v>
      </c>
      <c r="F708" s="8">
        <v>1.0</v>
      </c>
      <c r="G708" s="8">
        <v>1.0</v>
      </c>
      <c r="H708" s="8">
        <v>1.0</v>
      </c>
      <c r="I708" s="8">
        <v>1.0</v>
      </c>
      <c r="J708" s="8">
        <v>1.0</v>
      </c>
      <c r="K708" s="8">
        <v>1.0</v>
      </c>
      <c r="L708" s="8">
        <v>6.0</v>
      </c>
      <c r="M708" s="8"/>
      <c r="N708" s="8"/>
      <c r="O708" s="8" t="s">
        <v>731</v>
      </c>
      <c r="P708" s="8">
        <v>6.0</v>
      </c>
    </row>
    <row r="709">
      <c r="A709">
        <f>IFERROR(__xludf.DUMMYFUNCTION("""COMPUTED_VALUE"""),8.0)</f>
        <v>8</v>
      </c>
      <c r="B709">
        <f>IFERROR(__xludf.DUMMYFUNCTION("""COMPUTED_VALUE"""),29019.0)</f>
        <v>29019</v>
      </c>
      <c r="C709" t="str">
        <f>IFERROR(__xludf.DUMMYFUNCTION("""COMPUTED_VALUE"""),"BARRIENTOS ALVAREZ, ELISA")</f>
        <v>BARRIENTOS ALVAREZ, ELISA</v>
      </c>
      <c r="D709" t="str">
        <f>IFERROR(__xludf.DUMMYFUNCTION("""COMPUTED_VALUE"""),"Algebra")</f>
        <v>Algebra</v>
      </c>
      <c r="E709" s="31">
        <f>IFERROR(__xludf.DUMMYFUNCTION("""COMPUTED_VALUE"""),3.0)</f>
        <v>3</v>
      </c>
      <c r="F709" s="8">
        <v>1.0</v>
      </c>
      <c r="G709" s="8">
        <v>1.0</v>
      </c>
      <c r="H709" s="8">
        <v>1.0</v>
      </c>
      <c r="I709" s="8">
        <v>1.0</v>
      </c>
      <c r="J709" s="8">
        <v>1.0</v>
      </c>
      <c r="K709" s="8">
        <v>1.0</v>
      </c>
      <c r="L709" s="8">
        <v>6.0</v>
      </c>
      <c r="M709" s="8"/>
      <c r="N709" s="8"/>
      <c r="O709" s="8" t="s">
        <v>729</v>
      </c>
      <c r="P709" s="8" t="e">
        <v>#N/A</v>
      </c>
    </row>
    <row r="710">
      <c r="A710">
        <f>IFERROR(__xludf.DUMMYFUNCTION("""COMPUTED_VALUE"""),8.0)</f>
        <v>8</v>
      </c>
      <c r="B710">
        <f>IFERROR(__xludf.DUMMYFUNCTION("""COMPUTED_VALUE"""),29160.0)</f>
        <v>29160</v>
      </c>
      <c r="C710" t="str">
        <f>IFERROR(__xludf.DUMMYFUNCTION("""COMPUTED_VALUE"""),"BARRIOS CASTILLO, NICOLAS GUILLERMO")</f>
        <v>BARRIOS CASTILLO, NICOLAS GUILLERMO</v>
      </c>
      <c r="D710" t="str">
        <f>IFERROR(__xludf.DUMMYFUNCTION("""COMPUTED_VALUE"""),"Math 8")</f>
        <v>Math 8</v>
      </c>
      <c r="E710" s="31">
        <f>IFERROR(__xludf.DUMMYFUNCTION("""COMPUTED_VALUE"""),6.0)</f>
        <v>6</v>
      </c>
      <c r="F710" s="8">
        <v>1.0</v>
      </c>
      <c r="G710" s="8">
        <v>1.0</v>
      </c>
      <c r="H710" s="8">
        <v>1.0</v>
      </c>
      <c r="I710" s="8">
        <v>1.0</v>
      </c>
      <c r="J710" s="8">
        <v>1.0</v>
      </c>
      <c r="K710" s="8">
        <v>1.0</v>
      </c>
      <c r="L710" s="8">
        <v>6.0</v>
      </c>
      <c r="M710" s="8"/>
      <c r="N710" s="8"/>
      <c r="O710" s="8" t="s">
        <v>731</v>
      </c>
      <c r="P710" s="8">
        <v>6.0</v>
      </c>
    </row>
    <row r="711">
      <c r="A711">
        <f>IFERROR(__xludf.DUMMYFUNCTION("""COMPUTED_VALUE"""),8.0)</f>
        <v>8</v>
      </c>
      <c r="B711">
        <f>IFERROR(__xludf.DUMMYFUNCTION("""COMPUTED_VALUE"""),29020.0)</f>
        <v>29020</v>
      </c>
      <c r="C711" t="str">
        <f>IFERROR(__xludf.DUMMYFUNCTION("""COMPUTED_VALUE"""),"BETANCOURT QUINTERO, LUCAS")</f>
        <v>BETANCOURT QUINTERO, LUCAS</v>
      </c>
      <c r="D711" t="str">
        <f>IFERROR(__xludf.DUMMYFUNCTION("""COMPUTED_VALUE"""),"Math 8")</f>
        <v>Math 8</v>
      </c>
      <c r="E711" s="31">
        <f>IFERROR(__xludf.DUMMYFUNCTION("""COMPUTED_VALUE"""),1.0)</f>
        <v>1</v>
      </c>
      <c r="F711" s="8">
        <v>1.0</v>
      </c>
      <c r="G711" s="8">
        <v>1.0</v>
      </c>
      <c r="H711" s="8">
        <v>1.0</v>
      </c>
      <c r="I711" s="8">
        <v>1.0</v>
      </c>
      <c r="J711" s="8">
        <v>1.0</v>
      </c>
      <c r="K711" s="8">
        <v>1.0</v>
      </c>
      <c r="L711" s="8">
        <v>6.0</v>
      </c>
      <c r="M711" s="8"/>
      <c r="N711" s="8"/>
      <c r="O711" s="8" t="s">
        <v>734</v>
      </c>
      <c r="P711" s="8">
        <v>6.0</v>
      </c>
    </row>
    <row r="712">
      <c r="A712">
        <f>IFERROR(__xludf.DUMMYFUNCTION("""COMPUTED_VALUE"""),8.0)</f>
        <v>8</v>
      </c>
      <c r="B712">
        <f>IFERROR(__xludf.DUMMYFUNCTION("""COMPUTED_VALUE"""),29021.0)</f>
        <v>29021</v>
      </c>
      <c r="C712" t="str">
        <f>IFERROR(__xludf.DUMMYFUNCTION("""COMPUTED_VALUE"""),"BETANCOURT QUINTERO, SIMON")</f>
        <v>BETANCOURT QUINTERO, SIMON</v>
      </c>
      <c r="D712" t="str">
        <f>IFERROR(__xludf.DUMMYFUNCTION("""COMPUTED_VALUE"""),"Algebra")</f>
        <v>Algebra</v>
      </c>
      <c r="E712" s="31">
        <f>IFERROR(__xludf.DUMMYFUNCTION("""COMPUTED_VALUE"""),5.0)</f>
        <v>5</v>
      </c>
      <c r="F712" s="8">
        <v>1.0</v>
      </c>
      <c r="G712" s="8">
        <v>1.0</v>
      </c>
      <c r="H712" s="8">
        <v>1.0</v>
      </c>
      <c r="I712" s="8">
        <v>1.0</v>
      </c>
      <c r="J712" s="8">
        <v>1.0</v>
      </c>
      <c r="K712" s="8">
        <v>1.0</v>
      </c>
      <c r="L712" s="8">
        <v>6.0</v>
      </c>
      <c r="M712" s="8"/>
      <c r="N712" s="8"/>
      <c r="O712" s="8" t="s">
        <v>730</v>
      </c>
      <c r="P712" s="8" t="e">
        <v>#N/A</v>
      </c>
    </row>
    <row r="713">
      <c r="A713">
        <f>IFERROR(__xludf.DUMMYFUNCTION("""COMPUTED_VALUE"""),8.0)</f>
        <v>8</v>
      </c>
      <c r="B713">
        <f>IFERROR(__xludf.DUMMYFUNCTION("""COMPUTED_VALUE"""),29022.0)</f>
        <v>29022</v>
      </c>
      <c r="C713" t="str">
        <f>IFERROR(__xludf.DUMMYFUNCTION("""COMPUTED_VALUE"""),"BETANCUR ROBLEDO, PEDRO")</f>
        <v>BETANCUR ROBLEDO, PEDRO</v>
      </c>
      <c r="D713" t="str">
        <f>IFERROR(__xludf.DUMMYFUNCTION("""COMPUTED_VALUE"""),"Algebra")</f>
        <v>Algebra</v>
      </c>
      <c r="E713" s="31">
        <f>IFERROR(__xludf.DUMMYFUNCTION("""COMPUTED_VALUE"""),4.0)</f>
        <v>4</v>
      </c>
      <c r="F713" s="8">
        <v>1.0</v>
      </c>
      <c r="G713" s="8">
        <v>1.0</v>
      </c>
      <c r="H713" s="8">
        <v>1.0</v>
      </c>
      <c r="I713" s="8">
        <v>1.0</v>
      </c>
      <c r="J713" s="8">
        <v>1.0</v>
      </c>
      <c r="K713" s="8">
        <v>1.0</v>
      </c>
      <c r="L713" s="8">
        <v>6.0</v>
      </c>
      <c r="M713" s="8"/>
      <c r="N713" s="8"/>
      <c r="O713" s="8" t="s">
        <v>732</v>
      </c>
      <c r="P713" s="8" t="e">
        <v>#N/A</v>
      </c>
    </row>
    <row r="714">
      <c r="A714">
        <f>IFERROR(__xludf.DUMMYFUNCTION("""COMPUTED_VALUE"""),8.0)</f>
        <v>8</v>
      </c>
      <c r="B714">
        <f>IFERROR(__xludf.DUMMYFUNCTION("""COMPUTED_VALUE"""),29167.0)</f>
        <v>29167</v>
      </c>
      <c r="C714" t="str">
        <f>IFERROR(__xludf.DUMMYFUNCTION("""COMPUTED_VALUE"""),"BISHOP, JULIETTE ROSE")</f>
        <v>BISHOP, JULIETTE ROSE</v>
      </c>
      <c r="D714" t="str">
        <f>IFERROR(__xludf.DUMMYFUNCTION("""COMPUTED_VALUE"""),"Math 8")</f>
        <v>Math 8</v>
      </c>
      <c r="E714" s="31">
        <f>IFERROR(__xludf.DUMMYFUNCTION("""COMPUTED_VALUE"""),1.0)</f>
        <v>1</v>
      </c>
      <c r="F714" s="8">
        <v>1.0</v>
      </c>
      <c r="G714" s="8">
        <v>1.0</v>
      </c>
      <c r="H714" s="8">
        <v>1.0</v>
      </c>
      <c r="I714" s="8">
        <v>1.0</v>
      </c>
      <c r="J714" s="8">
        <v>1.0</v>
      </c>
      <c r="K714" s="8">
        <v>1.0</v>
      </c>
      <c r="L714" s="8">
        <v>6.0</v>
      </c>
      <c r="M714" s="8"/>
      <c r="N714" s="8"/>
      <c r="O714" s="8" t="s">
        <v>734</v>
      </c>
      <c r="P714" s="8">
        <v>6.0</v>
      </c>
    </row>
    <row r="715">
      <c r="A715">
        <f>IFERROR(__xludf.DUMMYFUNCTION("""COMPUTED_VALUE"""),8.0)</f>
        <v>8</v>
      </c>
      <c r="B715">
        <f>IFERROR(__xludf.DUMMYFUNCTION("""COMPUTED_VALUE"""),29023.0)</f>
        <v>29023</v>
      </c>
      <c r="C715" t="str">
        <f>IFERROR(__xludf.DUMMYFUNCTION("""COMPUTED_VALUE"""),"BOTERO DEL CORRAL, EMILIANA")</f>
        <v>BOTERO DEL CORRAL, EMILIANA</v>
      </c>
      <c r="D715" t="str">
        <f>IFERROR(__xludf.DUMMYFUNCTION("""COMPUTED_VALUE"""),"Algebra")</f>
        <v>Algebra</v>
      </c>
      <c r="E715" s="31">
        <f>IFERROR(__xludf.DUMMYFUNCTION("""COMPUTED_VALUE"""),3.0)</f>
        <v>3</v>
      </c>
      <c r="F715" s="8">
        <v>1.0</v>
      </c>
      <c r="G715" s="8">
        <v>1.0</v>
      </c>
      <c r="H715" s="8">
        <v>1.0</v>
      </c>
      <c r="I715" s="8">
        <v>1.0</v>
      </c>
      <c r="J715" s="8">
        <v>1.0</v>
      </c>
      <c r="K715" s="8">
        <v>1.0</v>
      </c>
      <c r="L715" s="8">
        <v>6.0</v>
      </c>
      <c r="M715" s="8"/>
      <c r="N715" s="8"/>
      <c r="O715" s="8" t="s">
        <v>729</v>
      </c>
      <c r="P715" s="8" t="e">
        <v>#N/A</v>
      </c>
    </row>
    <row r="716">
      <c r="A716">
        <f>IFERROR(__xludf.DUMMYFUNCTION("""COMPUTED_VALUE"""),8.0)</f>
        <v>8</v>
      </c>
      <c r="B716">
        <f>IFERROR(__xludf.DUMMYFUNCTION("""COMPUTED_VALUE"""),29161.0)</f>
        <v>29161</v>
      </c>
      <c r="C716" t="str">
        <f>IFERROR(__xludf.DUMMYFUNCTION("""COMPUTED_VALUE"""),"BURKHALTER, ESPERANZA JOY")</f>
        <v>BURKHALTER, ESPERANZA JOY</v>
      </c>
      <c r="D716" t="str">
        <f>IFERROR(__xludf.DUMMYFUNCTION("""COMPUTED_VALUE"""),"Algebra")</f>
        <v>Algebra</v>
      </c>
      <c r="E716" s="31">
        <f>IFERROR(__xludf.DUMMYFUNCTION("""COMPUTED_VALUE"""),5.0)</f>
        <v>5</v>
      </c>
      <c r="F716" s="8">
        <v>1.0</v>
      </c>
      <c r="G716" s="8">
        <v>1.0</v>
      </c>
      <c r="H716" s="8">
        <v>1.0</v>
      </c>
      <c r="I716" s="8">
        <v>1.0</v>
      </c>
      <c r="J716" s="8">
        <v>1.0</v>
      </c>
      <c r="K716" s="8">
        <v>1.0</v>
      </c>
      <c r="L716" s="8">
        <v>6.0</v>
      </c>
      <c r="M716" s="8"/>
      <c r="N716" s="8"/>
      <c r="O716" s="8" t="s">
        <v>730</v>
      </c>
      <c r="P716" s="8" t="e">
        <v>#N/A</v>
      </c>
    </row>
    <row r="717">
      <c r="A717">
        <f>IFERROR(__xludf.DUMMYFUNCTION("""COMPUTED_VALUE"""),8.0)</f>
        <v>8</v>
      </c>
      <c r="B717">
        <f>IFERROR(__xludf.DUMMYFUNCTION("""COMPUTED_VALUE"""),29150.0)</f>
        <v>29150</v>
      </c>
      <c r="C717" t="str">
        <f>IFERROR(__xludf.DUMMYFUNCTION("""COMPUTED_VALUE"""),"CABAL AYALA, MARTINA")</f>
        <v>CABAL AYALA, MARTINA</v>
      </c>
      <c r="D717" t="str">
        <f>IFERROR(__xludf.DUMMYFUNCTION("""COMPUTED_VALUE"""),"Math 8")</f>
        <v>Math 8</v>
      </c>
      <c r="E717" s="31">
        <f>IFERROR(__xludf.DUMMYFUNCTION("""COMPUTED_VALUE"""),1.0)</f>
        <v>1</v>
      </c>
      <c r="F717" s="8">
        <v>1.0</v>
      </c>
      <c r="G717" s="8">
        <v>1.0</v>
      </c>
      <c r="H717" s="8">
        <v>1.0</v>
      </c>
      <c r="I717" s="8">
        <v>1.0</v>
      </c>
      <c r="J717" s="8">
        <v>1.0</v>
      </c>
      <c r="K717" s="8">
        <v>1.0</v>
      </c>
      <c r="L717" s="8">
        <v>6.0</v>
      </c>
      <c r="M717" s="8"/>
      <c r="N717" s="8"/>
      <c r="O717" s="8" t="s">
        <v>734</v>
      </c>
      <c r="P717" s="8">
        <v>6.0</v>
      </c>
    </row>
    <row r="718">
      <c r="A718">
        <f>IFERROR(__xludf.DUMMYFUNCTION("""COMPUTED_VALUE"""),8.0)</f>
        <v>8</v>
      </c>
      <c r="B718">
        <f>IFERROR(__xludf.DUMMYFUNCTION("""COMPUTED_VALUE"""),29024.0)</f>
        <v>29024</v>
      </c>
      <c r="C718" t="str">
        <f>IFERROR(__xludf.DUMMYFUNCTION("""COMPUTED_VALUE"""),"CADAVID RESTREPO, LUIS FERNANDO")</f>
        <v>CADAVID RESTREPO, LUIS FERNANDO</v>
      </c>
      <c r="D718" t="str">
        <f>IFERROR(__xludf.DUMMYFUNCTION("""COMPUTED_VALUE"""),"Math 8")</f>
        <v>Math 8</v>
      </c>
      <c r="E718" s="31">
        <f>IFERROR(__xludf.DUMMYFUNCTION("""COMPUTED_VALUE"""),6.0)</f>
        <v>6</v>
      </c>
      <c r="F718" s="8">
        <v>1.0</v>
      </c>
      <c r="G718" s="8">
        <v>1.0</v>
      </c>
      <c r="H718" s="8">
        <v>1.0</v>
      </c>
      <c r="I718" s="8">
        <v>1.0</v>
      </c>
      <c r="J718" s="8">
        <v>1.0</v>
      </c>
      <c r="K718" s="8">
        <v>1.0</v>
      </c>
      <c r="L718" s="8">
        <v>6.0</v>
      </c>
      <c r="M718" s="8"/>
      <c r="N718" s="8"/>
      <c r="O718" s="8" t="s">
        <v>731</v>
      </c>
      <c r="P718" s="8">
        <v>6.0</v>
      </c>
    </row>
    <row r="719">
      <c r="A719">
        <f>IFERROR(__xludf.DUMMYFUNCTION("""COMPUTED_VALUE"""),8.0)</f>
        <v>8</v>
      </c>
      <c r="B719">
        <f>IFERROR(__xludf.DUMMYFUNCTION("""COMPUTED_VALUE"""),29025.0)</f>
        <v>29025</v>
      </c>
      <c r="C719" t="str">
        <f>IFERROR(__xludf.DUMMYFUNCTION("""COMPUTED_VALUE"""),"CALLE BUITRAGO, ESTEBAN")</f>
        <v>CALLE BUITRAGO, ESTEBAN</v>
      </c>
      <c r="D719" t="str">
        <f>IFERROR(__xludf.DUMMYFUNCTION("""COMPUTED_VALUE"""),"Math 8A")</f>
        <v>Math 8A</v>
      </c>
      <c r="E719" s="31">
        <f>IFERROR(__xludf.DUMMYFUNCTION("""COMPUTED_VALUE"""),1.0)</f>
        <v>1</v>
      </c>
      <c r="F719" s="8">
        <v>1.0</v>
      </c>
      <c r="G719" s="8">
        <v>1.0</v>
      </c>
      <c r="H719" s="8">
        <v>1.0</v>
      </c>
      <c r="I719" s="8">
        <v>1.0</v>
      </c>
      <c r="J719" s="8">
        <v>1.0</v>
      </c>
      <c r="K719" s="8">
        <v>1.0</v>
      </c>
      <c r="L719" s="8">
        <v>6.0</v>
      </c>
      <c r="M719" s="8"/>
      <c r="N719" s="8"/>
      <c r="O719" s="8" t="s">
        <v>733</v>
      </c>
      <c r="P719" s="8" t="e">
        <v>#N/A</v>
      </c>
    </row>
    <row r="720">
      <c r="A720">
        <f>IFERROR(__xludf.DUMMYFUNCTION("""COMPUTED_VALUE"""),8.0)</f>
        <v>8</v>
      </c>
      <c r="B720">
        <f>IFERROR(__xludf.DUMMYFUNCTION("""COMPUTED_VALUE"""),29027.0)</f>
        <v>29027</v>
      </c>
      <c r="C720" t="str">
        <f>IFERROR(__xludf.DUMMYFUNCTION("""COMPUTED_VALUE"""),"CARDONA VELEZ, MATIAS")</f>
        <v>CARDONA VELEZ, MATIAS</v>
      </c>
      <c r="D720" t="str">
        <f>IFERROR(__xludf.DUMMYFUNCTION("""COMPUTED_VALUE"""),"Algebra")</f>
        <v>Algebra</v>
      </c>
      <c r="E720" s="31">
        <f>IFERROR(__xludf.DUMMYFUNCTION("""COMPUTED_VALUE"""),5.0)</f>
        <v>5</v>
      </c>
      <c r="F720" s="8">
        <v>1.0</v>
      </c>
      <c r="G720" s="8">
        <v>1.0</v>
      </c>
      <c r="H720" s="8">
        <v>1.0</v>
      </c>
      <c r="I720" s="8">
        <v>1.0</v>
      </c>
      <c r="J720" s="8">
        <v>1.0</v>
      </c>
      <c r="K720" s="8">
        <v>1.0</v>
      </c>
      <c r="L720" s="8">
        <v>6.0</v>
      </c>
      <c r="M720" s="8"/>
      <c r="N720" s="8"/>
      <c r="O720" s="8" t="s">
        <v>730</v>
      </c>
      <c r="P720" s="8" t="e">
        <v>#N/A</v>
      </c>
    </row>
    <row r="721">
      <c r="A721">
        <f>IFERROR(__xludf.DUMMYFUNCTION("""COMPUTED_VALUE"""),8.0)</f>
        <v>8</v>
      </c>
      <c r="B721">
        <f>IFERROR(__xludf.DUMMYFUNCTION("""COMPUTED_VALUE"""),29028.0)</f>
        <v>29028</v>
      </c>
      <c r="C721" t="str">
        <f>IFERROR(__xludf.DUMMYFUNCTION("""COMPUTED_VALUE"""),"CARVAJAL ACOSTA, MARTIN")</f>
        <v>CARVAJAL ACOSTA, MARTIN</v>
      </c>
      <c r="D721" t="str">
        <f>IFERROR(__xludf.DUMMYFUNCTION("""COMPUTED_VALUE"""),"Algebra")</f>
        <v>Algebra</v>
      </c>
      <c r="E721" s="31">
        <f>IFERROR(__xludf.DUMMYFUNCTION("""COMPUTED_VALUE"""),4.0)</f>
        <v>4</v>
      </c>
      <c r="F721" s="8">
        <v>1.0</v>
      </c>
      <c r="G721" s="8">
        <v>1.0</v>
      </c>
      <c r="H721" s="8">
        <v>1.0</v>
      </c>
      <c r="I721" s="8">
        <v>1.0</v>
      </c>
      <c r="J721" s="8">
        <v>1.0</v>
      </c>
      <c r="K721" s="8">
        <v>1.0</v>
      </c>
      <c r="L721" s="8">
        <v>6.0</v>
      </c>
      <c r="M721" s="8"/>
      <c r="N721" s="8"/>
      <c r="O721" s="8" t="s">
        <v>732</v>
      </c>
      <c r="P721" s="8" t="e">
        <v>#N/A</v>
      </c>
    </row>
    <row r="722">
      <c r="A722">
        <f>IFERROR(__xludf.DUMMYFUNCTION("""COMPUTED_VALUE"""),8.0)</f>
        <v>8</v>
      </c>
      <c r="B722">
        <f>IFERROR(__xludf.DUMMYFUNCTION("""COMPUTED_VALUE"""),29029.0)</f>
        <v>29029</v>
      </c>
      <c r="C722" t="str">
        <f>IFERROR(__xludf.DUMMYFUNCTION("""COMPUTED_VALUE"""),"CHAVARRIAGA MESA, GREGORIO")</f>
        <v>CHAVARRIAGA MESA, GREGORIO</v>
      </c>
      <c r="D722" t="str">
        <f>IFERROR(__xludf.DUMMYFUNCTION("""COMPUTED_VALUE"""),"Math 8")</f>
        <v>Math 8</v>
      </c>
      <c r="E722" s="31">
        <f>IFERROR(__xludf.DUMMYFUNCTION("""COMPUTED_VALUE"""),1.0)</f>
        <v>1</v>
      </c>
      <c r="F722" s="8">
        <v>1.0</v>
      </c>
      <c r="G722" s="8">
        <v>1.0</v>
      </c>
      <c r="H722" s="8">
        <v>1.0</v>
      </c>
      <c r="I722" s="8">
        <v>1.0</v>
      </c>
      <c r="J722" s="8">
        <v>1.0</v>
      </c>
      <c r="K722" s="8">
        <v>1.0</v>
      </c>
      <c r="L722" s="8">
        <v>6.0</v>
      </c>
      <c r="M722" s="8"/>
      <c r="N722" s="8"/>
      <c r="O722" s="8" t="s">
        <v>734</v>
      </c>
      <c r="P722" s="8">
        <v>6.0</v>
      </c>
    </row>
    <row r="723">
      <c r="A723">
        <f>IFERROR(__xludf.DUMMYFUNCTION("""COMPUTED_VALUE"""),8.0)</f>
        <v>8</v>
      </c>
      <c r="B723">
        <f>IFERROR(__xludf.DUMMYFUNCTION("""COMPUTED_VALUE"""),29136.0)</f>
        <v>29136</v>
      </c>
      <c r="C723" t="str">
        <f>IFERROR(__xludf.DUMMYFUNCTION("""COMPUTED_VALUE"""),"CHOPRA, HARSHUL")</f>
        <v>CHOPRA, HARSHUL</v>
      </c>
      <c r="D723" t="str">
        <f>IFERROR(__xludf.DUMMYFUNCTION("""COMPUTED_VALUE"""),"Algebra")</f>
        <v>Algebra</v>
      </c>
      <c r="E723" s="31">
        <f>IFERROR(__xludf.DUMMYFUNCTION("""COMPUTED_VALUE"""),5.0)</f>
        <v>5</v>
      </c>
      <c r="F723" s="8">
        <v>1.0</v>
      </c>
      <c r="G723" s="8">
        <v>1.0</v>
      </c>
      <c r="H723" s="8">
        <v>1.0</v>
      </c>
      <c r="I723" s="8">
        <v>1.0</v>
      </c>
      <c r="J723" s="8">
        <v>1.0</v>
      </c>
      <c r="K723" s="8">
        <v>1.0</v>
      </c>
      <c r="L723" s="8">
        <v>6.0</v>
      </c>
      <c r="M723" s="8"/>
      <c r="N723" s="8"/>
      <c r="O723" s="8" t="s">
        <v>730</v>
      </c>
      <c r="P723" s="8" t="e">
        <v>#N/A</v>
      </c>
    </row>
    <row r="724">
      <c r="A724">
        <f>IFERROR(__xludf.DUMMYFUNCTION("""COMPUTED_VALUE"""),8.0)</f>
        <v>8</v>
      </c>
      <c r="B724">
        <f>IFERROR(__xludf.DUMMYFUNCTION("""COMPUTED_VALUE"""),28023.0)</f>
        <v>28023</v>
      </c>
      <c r="C724" t="str">
        <f>IFERROR(__xludf.DUMMYFUNCTION("""COMPUTED_VALUE"""),"CLAVIJO GIRALDO, LORENZO")</f>
        <v>CLAVIJO GIRALDO, LORENZO</v>
      </c>
      <c r="D724" t="str">
        <f>IFERROR(__xludf.DUMMYFUNCTION("""COMPUTED_VALUE"""),"Math 8")</f>
        <v>Math 8</v>
      </c>
      <c r="E724" s="31">
        <f>IFERROR(__xludf.DUMMYFUNCTION("""COMPUTED_VALUE"""),1.0)</f>
        <v>1</v>
      </c>
      <c r="F724" s="8">
        <v>1.0</v>
      </c>
      <c r="G724" s="8">
        <v>1.0</v>
      </c>
      <c r="H724" s="8">
        <v>1.0</v>
      </c>
      <c r="I724" s="8">
        <v>1.0</v>
      </c>
      <c r="J724" s="8">
        <v>1.0</v>
      </c>
      <c r="K724" s="8">
        <v>1.0</v>
      </c>
      <c r="L724" s="8">
        <v>6.0</v>
      </c>
      <c r="M724" s="8"/>
      <c r="N724" s="8"/>
      <c r="O724" s="8" t="s">
        <v>734</v>
      </c>
      <c r="P724" s="8">
        <v>6.0</v>
      </c>
    </row>
    <row r="725">
      <c r="A725">
        <f>IFERROR(__xludf.DUMMYFUNCTION("""COMPUTED_VALUE"""),8.0)</f>
        <v>8</v>
      </c>
      <c r="B725">
        <f>IFERROR(__xludf.DUMMYFUNCTION("""COMPUTED_VALUE"""),29030.0)</f>
        <v>29030</v>
      </c>
      <c r="C725" t="str">
        <f>IFERROR(__xludf.DUMMYFUNCTION("""COMPUTED_VALUE"""),"COCK ECHEVERRI, JULIETA")</f>
        <v>COCK ECHEVERRI, JULIETA</v>
      </c>
      <c r="D725" t="str">
        <f>IFERROR(__xludf.DUMMYFUNCTION("""COMPUTED_VALUE"""),"Algebra")</f>
        <v>Algebra</v>
      </c>
      <c r="E725" s="31">
        <f>IFERROR(__xludf.DUMMYFUNCTION("""COMPUTED_VALUE"""),5.0)</f>
        <v>5</v>
      </c>
      <c r="F725" s="8">
        <v>1.0</v>
      </c>
      <c r="G725" s="8">
        <v>1.0</v>
      </c>
      <c r="H725" s="8">
        <v>1.0</v>
      </c>
      <c r="I725" s="8">
        <v>1.0</v>
      </c>
      <c r="J725" s="8">
        <v>1.0</v>
      </c>
      <c r="K725" s="8">
        <v>1.0</v>
      </c>
      <c r="L725" s="8">
        <v>6.0</v>
      </c>
      <c r="M725" s="8"/>
      <c r="N725" s="8"/>
      <c r="O725" s="8" t="s">
        <v>730</v>
      </c>
      <c r="P725" s="8" t="e">
        <v>#N/A</v>
      </c>
    </row>
    <row r="726">
      <c r="A726">
        <f>IFERROR(__xludf.DUMMYFUNCTION("""COMPUTED_VALUE"""),8.0)</f>
        <v>8</v>
      </c>
      <c r="B726">
        <f>IFERROR(__xludf.DUMMYFUNCTION("""COMPUTED_VALUE"""),29164.0)</f>
        <v>29164</v>
      </c>
      <c r="C726" t="str">
        <f>IFERROR(__xludf.DUMMYFUNCTION("""COMPUTED_VALUE"""),"CONCHA VELASCO, LORENZO")</f>
        <v>CONCHA VELASCO, LORENZO</v>
      </c>
      <c r="D726" t="str">
        <f>IFERROR(__xludf.DUMMYFUNCTION("""COMPUTED_VALUE"""),"Math 8")</f>
        <v>Math 8</v>
      </c>
      <c r="E726" s="31">
        <f>IFERROR(__xludf.DUMMYFUNCTION("""COMPUTED_VALUE"""),6.0)</f>
        <v>6</v>
      </c>
      <c r="F726" s="8">
        <v>1.0</v>
      </c>
      <c r="G726" s="8">
        <v>1.0</v>
      </c>
      <c r="H726" s="8">
        <v>1.0</v>
      </c>
      <c r="I726" s="8">
        <v>1.0</v>
      </c>
      <c r="J726" s="8">
        <v>1.0</v>
      </c>
      <c r="K726" s="8">
        <v>1.0</v>
      </c>
      <c r="L726" s="8">
        <v>6.0</v>
      </c>
      <c r="M726" s="8"/>
      <c r="N726" s="8"/>
      <c r="O726" s="8" t="s">
        <v>731</v>
      </c>
      <c r="P726" s="8">
        <v>6.0</v>
      </c>
    </row>
    <row r="727">
      <c r="A727">
        <f>IFERROR(__xludf.DUMMYFUNCTION("""COMPUTED_VALUE"""),8.0)</f>
        <v>8</v>
      </c>
      <c r="B727">
        <f>IFERROR(__xludf.DUMMYFUNCTION("""COMPUTED_VALUE"""),29032.0)</f>
        <v>29032</v>
      </c>
      <c r="C727" t="str">
        <f>IFERROR(__xludf.DUMMYFUNCTION("""COMPUTED_VALUE"""),"CORTES SIERRA, TOMAS")</f>
        <v>CORTES SIERRA, TOMAS</v>
      </c>
      <c r="D727" t="str">
        <f>IFERROR(__xludf.DUMMYFUNCTION("""COMPUTED_VALUE"""),"Math 8")</f>
        <v>Math 8</v>
      </c>
      <c r="E727" s="31">
        <f>IFERROR(__xludf.DUMMYFUNCTION("""COMPUTED_VALUE"""),1.0)</f>
        <v>1</v>
      </c>
      <c r="F727" s="8">
        <v>1.0</v>
      </c>
      <c r="G727" s="8">
        <v>1.0</v>
      </c>
      <c r="H727" s="8">
        <v>1.0</v>
      </c>
      <c r="I727" s="8">
        <v>1.0</v>
      </c>
      <c r="J727" s="8">
        <v>1.0</v>
      </c>
      <c r="K727" s="8">
        <v>1.0</v>
      </c>
      <c r="L727" s="8">
        <v>6.0</v>
      </c>
      <c r="M727" s="8"/>
      <c r="N727" s="8"/>
      <c r="O727" s="8" t="s">
        <v>734</v>
      </c>
      <c r="P727" s="8">
        <v>6.0</v>
      </c>
    </row>
    <row r="728">
      <c r="A728">
        <f>IFERROR(__xludf.DUMMYFUNCTION("""COMPUTED_VALUE"""),8.0)</f>
        <v>8</v>
      </c>
      <c r="B728">
        <f>IFERROR(__xludf.DUMMYFUNCTION("""COMPUTED_VALUE"""),29165.0)</f>
        <v>29165</v>
      </c>
      <c r="C728" t="str">
        <f>IFERROR(__xludf.DUMMYFUNCTION("""COMPUTED_VALUE"""),"DOMINGUEZ JORGENSEN, MARCELO")</f>
        <v>DOMINGUEZ JORGENSEN, MARCELO</v>
      </c>
      <c r="D728" t="str">
        <f>IFERROR(__xludf.DUMMYFUNCTION("""COMPUTED_VALUE"""),"Math 8")</f>
        <v>Math 8</v>
      </c>
      <c r="E728" s="31">
        <f>IFERROR(__xludf.DUMMYFUNCTION("""COMPUTED_VALUE"""),1.0)</f>
        <v>1</v>
      </c>
      <c r="F728" s="8">
        <v>1.0</v>
      </c>
      <c r="G728" s="8">
        <v>1.0</v>
      </c>
      <c r="H728" s="8">
        <v>1.0</v>
      </c>
      <c r="I728" s="8">
        <v>1.0</v>
      </c>
      <c r="J728" s="8">
        <v>1.0</v>
      </c>
      <c r="K728" s="8">
        <v>1.0</v>
      </c>
      <c r="L728" s="8">
        <v>6.0</v>
      </c>
      <c r="M728" s="8"/>
      <c r="N728" s="8"/>
      <c r="O728" s="8" t="s">
        <v>734</v>
      </c>
      <c r="P728" s="8">
        <v>6.0</v>
      </c>
    </row>
    <row r="729">
      <c r="A729">
        <f>IFERROR(__xludf.DUMMYFUNCTION("""COMPUTED_VALUE"""),8.0)</f>
        <v>8</v>
      </c>
      <c r="B729">
        <f>IFERROR(__xludf.DUMMYFUNCTION("""COMPUTED_VALUE"""),29034.0)</f>
        <v>29034</v>
      </c>
      <c r="C729" t="str">
        <f>IFERROR(__xludf.DUMMYFUNCTION("""COMPUTED_VALUE"""),"DUQUE BONNETT, ELISA")</f>
        <v>DUQUE BONNETT, ELISA</v>
      </c>
      <c r="D729" t="str">
        <f>IFERROR(__xludf.DUMMYFUNCTION("""COMPUTED_VALUE"""),"Algebra")</f>
        <v>Algebra</v>
      </c>
      <c r="E729" s="31">
        <f>IFERROR(__xludf.DUMMYFUNCTION("""COMPUTED_VALUE"""),4.0)</f>
        <v>4</v>
      </c>
      <c r="F729" s="8">
        <v>1.0</v>
      </c>
      <c r="G729" s="8">
        <v>1.0</v>
      </c>
      <c r="H729" s="8">
        <v>1.0</v>
      </c>
      <c r="I729" s="8">
        <v>1.0</v>
      </c>
      <c r="J729" s="8">
        <v>1.0</v>
      </c>
      <c r="K729" s="8">
        <v>1.0</v>
      </c>
      <c r="L729" s="8">
        <v>6.0</v>
      </c>
      <c r="M729" s="8"/>
      <c r="N729" s="8"/>
      <c r="O729" s="8" t="s">
        <v>732</v>
      </c>
      <c r="P729" s="8" t="e">
        <v>#N/A</v>
      </c>
    </row>
    <row r="730">
      <c r="A730">
        <f>IFERROR(__xludf.DUMMYFUNCTION("""COMPUTED_VALUE"""),8.0)</f>
        <v>8</v>
      </c>
      <c r="B730">
        <f>IFERROR(__xludf.DUMMYFUNCTION("""COMPUTED_VALUE"""),29035.0)</f>
        <v>29035</v>
      </c>
      <c r="C730" t="str">
        <f>IFERROR(__xludf.DUMMYFUNCTION("""COMPUTED_VALUE"""),"DURAN CALAD, MIGUEL")</f>
        <v>DURAN CALAD, MIGUEL</v>
      </c>
      <c r="D730" t="str">
        <f>IFERROR(__xludf.DUMMYFUNCTION("""COMPUTED_VALUE"""),"Math 8A")</f>
        <v>Math 8A</v>
      </c>
      <c r="E730" s="31">
        <f>IFERROR(__xludf.DUMMYFUNCTION("""COMPUTED_VALUE"""),1.0)</f>
        <v>1</v>
      </c>
      <c r="F730" s="8">
        <v>1.0</v>
      </c>
      <c r="G730" s="8">
        <v>1.0</v>
      </c>
      <c r="H730" s="8">
        <v>1.0</v>
      </c>
      <c r="I730" s="8">
        <v>1.0</v>
      </c>
      <c r="J730" s="8">
        <v>1.0</v>
      </c>
      <c r="K730" s="8">
        <v>1.0</v>
      </c>
      <c r="L730" s="8">
        <v>6.0</v>
      </c>
      <c r="M730" s="8"/>
      <c r="N730" s="8"/>
      <c r="O730" s="8" t="s">
        <v>733</v>
      </c>
      <c r="P730" s="8" t="e">
        <v>#N/A</v>
      </c>
    </row>
    <row r="731">
      <c r="A731">
        <f>IFERROR(__xludf.DUMMYFUNCTION("""COMPUTED_VALUE"""),8.0)</f>
        <v>8</v>
      </c>
      <c r="B731">
        <f>IFERROR(__xludf.DUMMYFUNCTION("""COMPUTED_VALUE"""),29135.0)</f>
        <v>29135</v>
      </c>
      <c r="C731" t="str">
        <f>IFERROR(__xludf.DUMMYFUNCTION("""COMPUTED_VALUE"""),"ECHAVARRIA MUÑOZ, NICOLAS")</f>
        <v>ECHAVARRIA MUÑOZ, NICOLAS</v>
      </c>
      <c r="D731" t="str">
        <f>IFERROR(__xludf.DUMMYFUNCTION("""COMPUTED_VALUE"""),"Algebra")</f>
        <v>Algebra</v>
      </c>
      <c r="E731" s="31">
        <f>IFERROR(__xludf.DUMMYFUNCTION("""COMPUTED_VALUE"""),3.0)</f>
        <v>3</v>
      </c>
      <c r="F731" s="8">
        <v>1.0</v>
      </c>
      <c r="G731" s="8">
        <v>1.0</v>
      </c>
      <c r="H731" s="8">
        <v>1.0</v>
      </c>
      <c r="I731" s="8">
        <v>1.0</v>
      </c>
      <c r="J731" s="8">
        <v>1.0</v>
      </c>
      <c r="K731" s="8">
        <v>1.0</v>
      </c>
      <c r="L731" s="8">
        <v>6.0</v>
      </c>
      <c r="M731" s="8"/>
      <c r="N731" s="8"/>
      <c r="O731" s="8" t="s">
        <v>729</v>
      </c>
      <c r="P731" s="8" t="e">
        <v>#N/A</v>
      </c>
    </row>
    <row r="732">
      <c r="A732">
        <f>IFERROR(__xludf.DUMMYFUNCTION("""COMPUTED_VALUE"""),8.0)</f>
        <v>8</v>
      </c>
      <c r="B732">
        <f>IFERROR(__xludf.DUMMYFUNCTION("""COMPUTED_VALUE"""),29138.0)</f>
        <v>29138</v>
      </c>
      <c r="C732" t="str">
        <f>IFERROR(__xludf.DUMMYFUNCTION("""COMPUTED_VALUE"""),"ECHAVARRIA ROLDAN, TOMAS")</f>
        <v>ECHAVARRIA ROLDAN, TOMAS</v>
      </c>
      <c r="D732" t="str">
        <f>IFERROR(__xludf.DUMMYFUNCTION("""COMPUTED_VALUE"""),"Algebra")</f>
        <v>Algebra</v>
      </c>
      <c r="E732" s="31">
        <f>IFERROR(__xludf.DUMMYFUNCTION("""COMPUTED_VALUE"""),5.0)</f>
        <v>5</v>
      </c>
      <c r="F732" s="8">
        <v>1.0</v>
      </c>
      <c r="G732" s="8">
        <v>1.0</v>
      </c>
      <c r="H732" s="8">
        <v>1.0</v>
      </c>
      <c r="I732" s="8">
        <v>1.0</v>
      </c>
      <c r="J732" s="8">
        <v>1.0</v>
      </c>
      <c r="K732" s="8">
        <v>1.0</v>
      </c>
      <c r="L732" s="8">
        <v>6.0</v>
      </c>
      <c r="M732" s="8"/>
      <c r="N732" s="8"/>
      <c r="O732" s="8" t="s">
        <v>730</v>
      </c>
      <c r="P732" s="8" t="e">
        <v>#N/A</v>
      </c>
    </row>
    <row r="733">
      <c r="A733">
        <f>IFERROR(__xludf.DUMMYFUNCTION("""COMPUTED_VALUE"""),8.0)</f>
        <v>8</v>
      </c>
      <c r="B733">
        <f>IFERROR(__xludf.DUMMYFUNCTION("""COMPUTED_VALUE"""),29036.0)</f>
        <v>29036</v>
      </c>
      <c r="C733" t="str">
        <f>IFERROR(__xludf.DUMMYFUNCTION("""COMPUTED_VALUE"""),"ECHEVERRI ESCOBAR, RODRIGO")</f>
        <v>ECHEVERRI ESCOBAR, RODRIGO</v>
      </c>
      <c r="D733" t="str">
        <f>IFERROR(__xludf.DUMMYFUNCTION("""COMPUTED_VALUE"""),"Math 8")</f>
        <v>Math 8</v>
      </c>
      <c r="E733" s="31">
        <f>IFERROR(__xludf.DUMMYFUNCTION("""COMPUTED_VALUE"""),6.0)</f>
        <v>6</v>
      </c>
      <c r="F733" s="8">
        <v>1.0</v>
      </c>
      <c r="G733" s="8">
        <v>1.0</v>
      </c>
      <c r="H733" s="8">
        <v>1.0</v>
      </c>
      <c r="I733" s="8">
        <v>1.0</v>
      </c>
      <c r="J733" s="8">
        <v>1.0</v>
      </c>
      <c r="K733" s="8">
        <v>1.0</v>
      </c>
      <c r="L733" s="8">
        <v>6.0</v>
      </c>
      <c r="M733" s="8"/>
      <c r="N733" s="8"/>
      <c r="O733" s="8" t="s">
        <v>731</v>
      </c>
      <c r="P733" s="8">
        <v>6.0</v>
      </c>
    </row>
    <row r="734">
      <c r="A734">
        <f>IFERROR(__xludf.DUMMYFUNCTION("""COMPUTED_VALUE"""),8.0)</f>
        <v>8</v>
      </c>
      <c r="B734">
        <f>IFERROR(__xludf.DUMMYFUNCTION("""COMPUTED_VALUE"""),29037.0)</f>
        <v>29037</v>
      </c>
      <c r="C734" t="str">
        <f>IFERROR(__xludf.DUMMYFUNCTION("""COMPUTED_VALUE"""),"ESCOBAR INFANTINO, RAQUEL")</f>
        <v>ESCOBAR INFANTINO, RAQUEL</v>
      </c>
      <c r="D734" t="str">
        <f>IFERROR(__xludf.DUMMYFUNCTION("""COMPUTED_VALUE"""),"Algebra")</f>
        <v>Algebra</v>
      </c>
      <c r="E734" s="31">
        <f>IFERROR(__xludf.DUMMYFUNCTION("""COMPUTED_VALUE"""),3.0)</f>
        <v>3</v>
      </c>
      <c r="F734" s="8">
        <v>1.0</v>
      </c>
      <c r="G734" s="8">
        <v>1.0</v>
      </c>
      <c r="H734" s="8">
        <v>1.0</v>
      </c>
      <c r="I734" s="8">
        <v>1.0</v>
      </c>
      <c r="J734" s="8">
        <v>1.0</v>
      </c>
      <c r="K734" s="8">
        <v>1.0</v>
      </c>
      <c r="L734" s="8">
        <v>6.0</v>
      </c>
      <c r="M734" s="8"/>
      <c r="N734" s="8"/>
      <c r="O734" s="8" t="s">
        <v>729</v>
      </c>
      <c r="P734" s="8" t="e">
        <v>#N/A</v>
      </c>
    </row>
    <row r="735">
      <c r="A735">
        <f>IFERROR(__xludf.DUMMYFUNCTION("""COMPUTED_VALUE"""),8.0)</f>
        <v>8</v>
      </c>
      <c r="B735">
        <f>IFERROR(__xludf.DUMMYFUNCTION("""COMPUTED_VALUE"""),29038.0)</f>
        <v>29038</v>
      </c>
      <c r="C735" t="str">
        <f>IFERROR(__xludf.DUMMYFUNCTION("""COMPUTED_VALUE"""),"ESCOBAR MADRID, MAXIMILIANO")</f>
        <v>ESCOBAR MADRID, MAXIMILIANO</v>
      </c>
      <c r="D735" t="str">
        <f>IFERROR(__xludf.DUMMYFUNCTION("""COMPUTED_VALUE"""),"Math 8")</f>
        <v>Math 8</v>
      </c>
      <c r="E735" s="31">
        <f>IFERROR(__xludf.DUMMYFUNCTION("""COMPUTED_VALUE"""),1.0)</f>
        <v>1</v>
      </c>
      <c r="F735" s="8">
        <v>1.0</v>
      </c>
      <c r="G735" s="8">
        <v>1.0</v>
      </c>
      <c r="H735" s="8">
        <v>1.0</v>
      </c>
      <c r="I735" s="8">
        <v>1.0</v>
      </c>
      <c r="J735" s="8">
        <v>1.0</v>
      </c>
      <c r="K735" s="8">
        <v>1.0</v>
      </c>
      <c r="L735" s="8">
        <v>6.0</v>
      </c>
      <c r="M735" s="8"/>
      <c r="N735" s="8"/>
      <c r="O735" s="8" t="s">
        <v>734</v>
      </c>
      <c r="P735" s="8">
        <v>6.0</v>
      </c>
    </row>
    <row r="736">
      <c r="A736">
        <f>IFERROR(__xludf.DUMMYFUNCTION("""COMPUTED_VALUE"""),8.0)</f>
        <v>8</v>
      </c>
      <c r="B736">
        <f>IFERROR(__xludf.DUMMYFUNCTION("""COMPUTED_VALUE"""),29039.0)</f>
        <v>29039</v>
      </c>
      <c r="C736" t="str">
        <f>IFERROR(__xludf.DUMMYFUNCTION("""COMPUTED_VALUE"""),"ESPINOSA ABAD, GREGORIO")</f>
        <v>ESPINOSA ABAD, GREGORIO</v>
      </c>
      <c r="D736" t="str">
        <f>IFERROR(__xludf.DUMMYFUNCTION("""COMPUTED_VALUE"""),"Math 8A")</f>
        <v>Math 8A</v>
      </c>
      <c r="E736" s="31">
        <f>IFERROR(__xludf.DUMMYFUNCTION("""COMPUTED_VALUE"""),1.0)</f>
        <v>1</v>
      </c>
      <c r="F736" s="8">
        <v>1.0</v>
      </c>
      <c r="G736" s="8">
        <v>1.0</v>
      </c>
      <c r="H736" s="8">
        <v>1.0</v>
      </c>
      <c r="I736" s="8">
        <v>1.0</v>
      </c>
      <c r="J736" s="8">
        <v>1.0</v>
      </c>
      <c r="K736" s="8">
        <v>1.0</v>
      </c>
      <c r="L736" s="8">
        <v>6.0</v>
      </c>
      <c r="M736" s="8"/>
      <c r="N736" s="8"/>
      <c r="O736" s="8" t="s">
        <v>733</v>
      </c>
      <c r="P736" s="8" t="e">
        <v>#N/A</v>
      </c>
    </row>
    <row r="737">
      <c r="A737">
        <f>IFERROR(__xludf.DUMMYFUNCTION("""COMPUTED_VALUE"""),8.0)</f>
        <v>8</v>
      </c>
      <c r="B737">
        <f>IFERROR(__xludf.DUMMYFUNCTION("""COMPUTED_VALUE"""),29040.0)</f>
        <v>29040</v>
      </c>
      <c r="C737" t="str">
        <f>IFERROR(__xludf.DUMMYFUNCTION("""COMPUTED_VALUE"""),"ESTRADA ZAPATA, MARTIN")</f>
        <v>ESTRADA ZAPATA, MARTIN</v>
      </c>
      <c r="D737" t="str">
        <f>IFERROR(__xludf.DUMMYFUNCTION("""COMPUTED_VALUE"""),"Algebra")</f>
        <v>Algebra</v>
      </c>
      <c r="E737" s="31">
        <f>IFERROR(__xludf.DUMMYFUNCTION("""COMPUTED_VALUE"""),5.0)</f>
        <v>5</v>
      </c>
      <c r="F737" s="8">
        <v>1.0</v>
      </c>
      <c r="G737" s="8">
        <v>1.0</v>
      </c>
      <c r="H737" s="8">
        <v>1.0</v>
      </c>
      <c r="I737" s="8">
        <v>1.0</v>
      </c>
      <c r="J737" s="8">
        <v>1.0</v>
      </c>
      <c r="K737" s="8">
        <v>1.0</v>
      </c>
      <c r="L737" s="8">
        <v>6.0</v>
      </c>
      <c r="M737" s="8"/>
      <c r="N737" s="8"/>
      <c r="O737" s="8" t="s">
        <v>730</v>
      </c>
      <c r="P737" s="8" t="e">
        <v>#N/A</v>
      </c>
    </row>
    <row r="738">
      <c r="A738">
        <f>IFERROR(__xludf.DUMMYFUNCTION("""COMPUTED_VALUE"""),8.0)</f>
        <v>8</v>
      </c>
      <c r="B738">
        <f>IFERROR(__xludf.DUMMYFUNCTION("""COMPUTED_VALUE"""),29041.0)</f>
        <v>29041</v>
      </c>
      <c r="C738" t="str">
        <f>IFERROR(__xludf.DUMMYFUNCTION("""COMPUTED_VALUE"""),"FAJARDO VILLA, LUCIANA")</f>
        <v>FAJARDO VILLA, LUCIANA</v>
      </c>
      <c r="D738" t="str">
        <f>IFERROR(__xludf.DUMMYFUNCTION("""COMPUTED_VALUE"""),"Math 8")</f>
        <v>Math 8</v>
      </c>
      <c r="E738" s="31">
        <f>IFERROR(__xludf.DUMMYFUNCTION("""COMPUTED_VALUE"""),6.0)</f>
        <v>6</v>
      </c>
      <c r="F738" s="8">
        <v>1.0</v>
      </c>
      <c r="G738" s="8">
        <v>1.0</v>
      </c>
      <c r="H738" s="8">
        <v>1.0</v>
      </c>
      <c r="I738" s="8">
        <v>1.0</v>
      </c>
      <c r="J738" s="8">
        <v>1.0</v>
      </c>
      <c r="K738" s="8">
        <v>1.0</v>
      </c>
      <c r="L738" s="8">
        <v>6.0</v>
      </c>
      <c r="M738" s="8"/>
      <c r="N738" s="8"/>
      <c r="O738" s="8" t="s">
        <v>731</v>
      </c>
      <c r="P738" s="8">
        <v>6.0</v>
      </c>
    </row>
    <row r="739">
      <c r="A739">
        <f>IFERROR(__xludf.DUMMYFUNCTION("""COMPUTED_VALUE"""),8.0)</f>
        <v>8</v>
      </c>
      <c r="B739">
        <f>IFERROR(__xludf.DUMMYFUNCTION("""COMPUTED_VALUE"""),29155.0)</f>
        <v>29155</v>
      </c>
      <c r="C739" t="str">
        <f>IFERROR(__xludf.DUMMYFUNCTION("""COMPUTED_VALUE"""),"FERNANDEZ CALDERON, HANNA")</f>
        <v>FERNANDEZ CALDERON, HANNA</v>
      </c>
      <c r="D739" t="str">
        <f>IFERROR(__xludf.DUMMYFUNCTION("""COMPUTED_VALUE"""),"Math 8A")</f>
        <v>Math 8A</v>
      </c>
      <c r="E739" s="31">
        <f>IFERROR(__xludf.DUMMYFUNCTION("""COMPUTED_VALUE"""),1.0)</f>
        <v>1</v>
      </c>
      <c r="F739" s="8">
        <v>1.0</v>
      </c>
      <c r="G739" s="8">
        <v>1.0</v>
      </c>
      <c r="H739" s="8">
        <v>1.0</v>
      </c>
      <c r="I739" s="8">
        <v>1.0</v>
      </c>
      <c r="J739" s="8">
        <v>1.0</v>
      </c>
      <c r="K739" s="8">
        <v>1.0</v>
      </c>
      <c r="L739" s="8">
        <v>6.0</v>
      </c>
      <c r="M739" s="8"/>
      <c r="N739" s="8"/>
      <c r="O739" s="8" t="s">
        <v>733</v>
      </c>
      <c r="P739" s="8" t="e">
        <v>#N/A</v>
      </c>
    </row>
    <row r="740">
      <c r="A740">
        <f>IFERROR(__xludf.DUMMYFUNCTION("""COMPUTED_VALUE"""),8.0)</f>
        <v>8</v>
      </c>
      <c r="B740">
        <f>IFERROR(__xludf.DUMMYFUNCTION("""COMPUTED_VALUE"""),29156.0)</f>
        <v>29156</v>
      </c>
      <c r="C740" t="str">
        <f>IFERROR(__xludf.DUMMYFUNCTION("""COMPUTED_VALUE"""),"FERNANDEZ CALDERON, TAMARA")</f>
        <v>FERNANDEZ CALDERON, TAMARA</v>
      </c>
      <c r="D740" t="str">
        <f>IFERROR(__xludf.DUMMYFUNCTION("""COMPUTED_VALUE"""),"Algebra")</f>
        <v>Algebra</v>
      </c>
      <c r="E740" s="31">
        <f>IFERROR(__xludf.DUMMYFUNCTION("""COMPUTED_VALUE"""),5.0)</f>
        <v>5</v>
      </c>
      <c r="F740" s="8">
        <v>1.0</v>
      </c>
      <c r="G740" s="8">
        <v>1.0</v>
      </c>
      <c r="H740" s="8">
        <v>1.0</v>
      </c>
      <c r="I740" s="8">
        <v>1.0</v>
      </c>
      <c r="J740" s="8">
        <v>1.0</v>
      </c>
      <c r="K740" s="8">
        <v>1.0</v>
      </c>
      <c r="L740" s="8">
        <v>6.0</v>
      </c>
      <c r="M740" s="8"/>
      <c r="N740" s="8"/>
      <c r="O740" s="8" t="s">
        <v>730</v>
      </c>
      <c r="P740" s="8" t="e">
        <v>#N/A</v>
      </c>
    </row>
    <row r="741">
      <c r="A741">
        <f>IFERROR(__xludf.DUMMYFUNCTION("""COMPUTED_VALUE"""),8.0)</f>
        <v>8</v>
      </c>
      <c r="B741">
        <f>IFERROR(__xludf.DUMMYFUNCTION("""COMPUTED_VALUE"""),28032.0)</f>
        <v>28032</v>
      </c>
      <c r="C741" t="str">
        <f>IFERROR(__xludf.DUMMYFUNCTION("""COMPUTED_VALUE"""),"GALLON TOBON, GERONIMO")</f>
        <v>GALLON TOBON, GERONIMO</v>
      </c>
      <c r="D741" t="str">
        <f>IFERROR(__xludf.DUMMYFUNCTION("""COMPUTED_VALUE"""),"Math 8")</f>
        <v>Math 8</v>
      </c>
      <c r="E741" s="31">
        <f>IFERROR(__xludf.DUMMYFUNCTION("""COMPUTED_VALUE"""),6.0)</f>
        <v>6</v>
      </c>
      <c r="F741" s="8">
        <v>1.0</v>
      </c>
      <c r="G741" s="8">
        <v>1.0</v>
      </c>
      <c r="H741" s="8">
        <v>1.0</v>
      </c>
      <c r="I741" s="8">
        <v>1.0</v>
      </c>
      <c r="J741" s="8">
        <v>1.0</v>
      </c>
      <c r="K741" s="8">
        <v>1.0</v>
      </c>
      <c r="L741" s="8">
        <v>6.0</v>
      </c>
      <c r="M741" s="8"/>
      <c r="N741" s="8"/>
      <c r="O741" s="8" t="s">
        <v>731</v>
      </c>
      <c r="P741" s="8">
        <v>6.0</v>
      </c>
    </row>
    <row r="742">
      <c r="A742">
        <f>IFERROR(__xludf.DUMMYFUNCTION("""COMPUTED_VALUE"""),8.0)</f>
        <v>8</v>
      </c>
      <c r="B742">
        <f>IFERROR(__xludf.DUMMYFUNCTION("""COMPUTED_VALUE"""),29042.0)</f>
        <v>29042</v>
      </c>
      <c r="C742" t="str">
        <f>IFERROR(__xludf.DUMMYFUNCTION("""COMPUTED_VALUE"""),"GOMEZ MIRA, GREGORIO")</f>
        <v>GOMEZ MIRA, GREGORIO</v>
      </c>
      <c r="D742" t="str">
        <f>IFERROR(__xludf.DUMMYFUNCTION("""COMPUTED_VALUE"""),"Math 8")</f>
        <v>Math 8</v>
      </c>
      <c r="E742" s="31">
        <f>IFERROR(__xludf.DUMMYFUNCTION("""COMPUTED_VALUE"""),1.0)</f>
        <v>1</v>
      </c>
      <c r="F742" s="8">
        <v>1.0</v>
      </c>
      <c r="G742" s="8">
        <v>1.0</v>
      </c>
      <c r="H742" s="8">
        <v>1.0</v>
      </c>
      <c r="I742" s="8">
        <v>1.0</v>
      </c>
      <c r="J742" s="8">
        <v>1.0</v>
      </c>
      <c r="K742" s="8">
        <v>1.0</v>
      </c>
      <c r="L742" s="8">
        <v>6.0</v>
      </c>
      <c r="M742" s="8"/>
      <c r="N742" s="8"/>
      <c r="O742" s="8" t="s">
        <v>734</v>
      </c>
      <c r="P742" s="8">
        <v>6.0</v>
      </c>
    </row>
    <row r="743">
      <c r="A743">
        <f>IFERROR(__xludf.DUMMYFUNCTION("""COMPUTED_VALUE"""),8.0)</f>
        <v>8</v>
      </c>
      <c r="B743">
        <f>IFERROR(__xludf.DUMMYFUNCTION("""COMPUTED_VALUE"""),29043.0)</f>
        <v>29043</v>
      </c>
      <c r="C743" t="str">
        <f>IFERROR(__xludf.DUMMYFUNCTION("""COMPUTED_VALUE"""),"GOMEZ PASCHKE, VALERIA")</f>
        <v>GOMEZ PASCHKE, VALERIA</v>
      </c>
      <c r="D743" t="str">
        <f>IFERROR(__xludf.DUMMYFUNCTION("""COMPUTED_VALUE"""),"Algebra")</f>
        <v>Algebra</v>
      </c>
      <c r="E743" s="31">
        <f>IFERROR(__xludf.DUMMYFUNCTION("""COMPUTED_VALUE"""),3.0)</f>
        <v>3</v>
      </c>
      <c r="F743" s="8">
        <v>1.0</v>
      </c>
      <c r="G743" s="8">
        <v>1.0</v>
      </c>
      <c r="H743" s="8">
        <v>1.0</v>
      </c>
      <c r="I743" s="8">
        <v>1.0</v>
      </c>
      <c r="J743" s="8">
        <v>1.0</v>
      </c>
      <c r="K743" s="8">
        <v>1.0</v>
      </c>
      <c r="L743" s="8">
        <v>6.0</v>
      </c>
      <c r="M743" s="8"/>
      <c r="N743" s="8"/>
      <c r="O743" s="8" t="s">
        <v>729</v>
      </c>
      <c r="P743" s="8" t="e">
        <v>#N/A</v>
      </c>
    </row>
    <row r="744">
      <c r="A744">
        <f>IFERROR(__xludf.DUMMYFUNCTION("""COMPUTED_VALUE"""),8.0)</f>
        <v>8</v>
      </c>
      <c r="B744">
        <f>IFERROR(__xludf.DUMMYFUNCTION("""COMPUTED_VALUE"""),29045.0)</f>
        <v>29045</v>
      </c>
      <c r="C744" t="str">
        <f>IFERROR(__xludf.DUMMYFUNCTION("""COMPUTED_VALUE"""),"GOMEZ ZULUAGA, JUAN JOSE")</f>
        <v>GOMEZ ZULUAGA, JUAN JOSE</v>
      </c>
      <c r="D744" t="str">
        <f>IFERROR(__xludf.DUMMYFUNCTION("""COMPUTED_VALUE"""),"Algebra")</f>
        <v>Algebra</v>
      </c>
      <c r="E744" s="31">
        <f>IFERROR(__xludf.DUMMYFUNCTION("""COMPUTED_VALUE"""),4.0)</f>
        <v>4</v>
      </c>
      <c r="F744" s="8">
        <v>1.0</v>
      </c>
      <c r="G744" s="8">
        <v>1.0</v>
      </c>
      <c r="H744" s="8">
        <v>1.0</v>
      </c>
      <c r="I744" s="8">
        <v>1.0</v>
      </c>
      <c r="J744" s="8">
        <v>1.0</v>
      </c>
      <c r="K744" s="8">
        <v>1.0</v>
      </c>
      <c r="L744" s="8">
        <v>6.0</v>
      </c>
      <c r="M744" s="8"/>
      <c r="N744" s="8"/>
      <c r="O744" s="8" t="s">
        <v>732</v>
      </c>
      <c r="P744" s="8" t="e">
        <v>#N/A</v>
      </c>
    </row>
    <row r="745">
      <c r="A745">
        <f>IFERROR(__xludf.DUMMYFUNCTION("""COMPUTED_VALUE"""),8.0)</f>
        <v>8</v>
      </c>
      <c r="B745">
        <f>IFERROR(__xludf.DUMMYFUNCTION("""COMPUTED_VALUE"""),29046.0)</f>
        <v>29046</v>
      </c>
      <c r="C745" t="str">
        <f>IFERROR(__xludf.DUMMYFUNCTION("""COMPUTED_VALUE"""),"GONZALEZ LOPEZ, SAMUEL")</f>
        <v>GONZALEZ LOPEZ, SAMUEL</v>
      </c>
      <c r="D745" t="str">
        <f>IFERROR(__xludf.DUMMYFUNCTION("""COMPUTED_VALUE"""),"Math 8")</f>
        <v>Math 8</v>
      </c>
      <c r="E745" s="31">
        <f>IFERROR(__xludf.DUMMYFUNCTION("""COMPUTED_VALUE"""),1.0)</f>
        <v>1</v>
      </c>
      <c r="F745" s="8">
        <v>1.0</v>
      </c>
      <c r="G745" s="8">
        <v>1.0</v>
      </c>
      <c r="H745" s="8">
        <v>1.0</v>
      </c>
      <c r="I745" s="8">
        <v>1.0</v>
      </c>
      <c r="J745" s="8">
        <v>1.0</v>
      </c>
      <c r="K745" s="8">
        <v>1.0</v>
      </c>
      <c r="L745" s="8">
        <v>6.0</v>
      </c>
      <c r="M745" s="8"/>
      <c r="N745" s="8"/>
      <c r="O745" s="8" t="s">
        <v>734</v>
      </c>
      <c r="P745" s="8">
        <v>6.0</v>
      </c>
    </row>
    <row r="746">
      <c r="A746">
        <f>IFERROR(__xludf.DUMMYFUNCTION("""COMPUTED_VALUE"""),8.0)</f>
        <v>8</v>
      </c>
      <c r="B746">
        <f>IFERROR(__xludf.DUMMYFUNCTION("""COMPUTED_VALUE"""),29048.0)</f>
        <v>29048</v>
      </c>
      <c r="C746" t="str">
        <f>IFERROR(__xludf.DUMMYFUNCTION("""COMPUTED_VALUE"""),"HENAO RESTREPO, ANTONIA")</f>
        <v>HENAO RESTREPO, ANTONIA</v>
      </c>
      <c r="D746" t="str">
        <f>IFERROR(__xludf.DUMMYFUNCTION("""COMPUTED_VALUE"""),"Algebra")</f>
        <v>Algebra</v>
      </c>
      <c r="E746" s="31">
        <f>IFERROR(__xludf.DUMMYFUNCTION("""COMPUTED_VALUE"""),3.0)</f>
        <v>3</v>
      </c>
      <c r="F746" s="8">
        <v>1.0</v>
      </c>
      <c r="G746" s="8">
        <v>1.0</v>
      </c>
      <c r="H746" s="8">
        <v>1.0</v>
      </c>
      <c r="I746" s="8">
        <v>1.0</v>
      </c>
      <c r="J746" s="8">
        <v>1.0</v>
      </c>
      <c r="K746" s="8">
        <v>1.0</v>
      </c>
      <c r="L746" s="8">
        <v>6.0</v>
      </c>
      <c r="M746" s="8"/>
      <c r="N746" s="8"/>
      <c r="O746" s="8" t="s">
        <v>729</v>
      </c>
      <c r="P746" s="8" t="e">
        <v>#N/A</v>
      </c>
    </row>
    <row r="747">
      <c r="A747">
        <f>IFERROR(__xludf.DUMMYFUNCTION("""COMPUTED_VALUE"""),8.0)</f>
        <v>8</v>
      </c>
      <c r="B747">
        <f>IFERROR(__xludf.DUMMYFUNCTION("""COMPUTED_VALUE"""),29049.0)</f>
        <v>29049</v>
      </c>
      <c r="C747" t="str">
        <f>IFERROR(__xludf.DUMMYFUNCTION("""COMPUTED_VALUE"""),"HINESTROSA SIERRA, MIGUEL")</f>
        <v>HINESTROSA SIERRA, MIGUEL</v>
      </c>
      <c r="D747" t="str">
        <f>IFERROR(__xludf.DUMMYFUNCTION("""COMPUTED_VALUE"""),"Math 8A")</f>
        <v>Math 8A</v>
      </c>
      <c r="E747" s="31">
        <f>IFERROR(__xludf.DUMMYFUNCTION("""COMPUTED_VALUE"""),1.0)</f>
        <v>1</v>
      </c>
      <c r="F747" s="8">
        <v>1.0</v>
      </c>
      <c r="G747" s="8">
        <v>1.0</v>
      </c>
      <c r="H747" s="8">
        <v>1.0</v>
      </c>
      <c r="I747" s="8">
        <v>1.0</v>
      </c>
      <c r="J747" s="8">
        <v>1.0</v>
      </c>
      <c r="K747" s="8">
        <v>1.0</v>
      </c>
      <c r="L747" s="8">
        <v>6.0</v>
      </c>
      <c r="M747" s="8"/>
      <c r="N747" s="8"/>
      <c r="O747" s="8" t="s">
        <v>733</v>
      </c>
      <c r="P747" s="8" t="e">
        <v>#N/A</v>
      </c>
    </row>
    <row r="748">
      <c r="A748">
        <f>IFERROR(__xludf.DUMMYFUNCTION("""COMPUTED_VALUE"""),8.0)</f>
        <v>8</v>
      </c>
      <c r="B748">
        <f>IFERROR(__xludf.DUMMYFUNCTION("""COMPUTED_VALUE"""),29050.0)</f>
        <v>29050</v>
      </c>
      <c r="C748" t="str">
        <f>IFERROR(__xludf.DUMMYFUNCTION("""COMPUTED_VALUE"""),"HINESTROSA SIERRA, PEDRO")</f>
        <v>HINESTROSA SIERRA, PEDRO</v>
      </c>
      <c r="D748" t="str">
        <f>IFERROR(__xludf.DUMMYFUNCTION("""COMPUTED_VALUE"""),"Math 8A")</f>
        <v>Math 8A</v>
      </c>
      <c r="E748" s="31">
        <f>IFERROR(__xludf.DUMMYFUNCTION("""COMPUTED_VALUE"""),1.0)</f>
        <v>1</v>
      </c>
      <c r="F748" s="8">
        <v>1.0</v>
      </c>
      <c r="G748" s="8">
        <v>1.0</v>
      </c>
      <c r="H748" s="8">
        <v>1.0</v>
      </c>
      <c r="I748" s="8">
        <v>1.0</v>
      </c>
      <c r="J748" s="8">
        <v>1.0</v>
      </c>
      <c r="K748" s="8">
        <v>1.0</v>
      </c>
      <c r="L748" s="8">
        <v>6.0</v>
      </c>
      <c r="M748" s="8"/>
      <c r="N748" s="8"/>
      <c r="O748" s="8" t="s">
        <v>733</v>
      </c>
      <c r="P748" s="8" t="e">
        <v>#N/A</v>
      </c>
    </row>
    <row r="749">
      <c r="A749">
        <f>IFERROR(__xludf.DUMMYFUNCTION("""COMPUTED_VALUE"""),8.0)</f>
        <v>8</v>
      </c>
      <c r="B749">
        <f>IFERROR(__xludf.DUMMYFUNCTION("""COMPUTED_VALUE"""),28046.0)</f>
        <v>28046</v>
      </c>
      <c r="C749" t="str">
        <f>IFERROR(__xludf.DUMMYFUNCTION("""COMPUTED_VALUE"""),"HOYOS SARAVIA, TOMAS")</f>
        <v>HOYOS SARAVIA, TOMAS</v>
      </c>
      <c r="D749" t="str">
        <f>IFERROR(__xludf.DUMMYFUNCTION("""COMPUTED_VALUE"""),"Math 8A")</f>
        <v>Math 8A</v>
      </c>
      <c r="E749" s="31">
        <f>IFERROR(__xludf.DUMMYFUNCTION("""COMPUTED_VALUE"""),1.0)</f>
        <v>1</v>
      </c>
      <c r="F749" s="8">
        <v>1.0</v>
      </c>
      <c r="G749" s="8">
        <v>1.0</v>
      </c>
      <c r="H749" s="8">
        <v>1.0</v>
      </c>
      <c r="I749" s="8">
        <v>1.0</v>
      </c>
      <c r="J749" s="8">
        <v>1.0</v>
      </c>
      <c r="K749" s="8">
        <v>1.0</v>
      </c>
      <c r="L749" s="8">
        <v>6.0</v>
      </c>
      <c r="M749" s="8"/>
      <c r="N749" s="8"/>
      <c r="O749" s="8" t="s">
        <v>733</v>
      </c>
      <c r="P749" s="8" t="e">
        <v>#N/A</v>
      </c>
    </row>
    <row r="750">
      <c r="A750">
        <f>IFERROR(__xludf.DUMMYFUNCTION("""COMPUTED_VALUE"""),8.0)</f>
        <v>8</v>
      </c>
      <c r="B750">
        <f>IFERROR(__xludf.DUMMYFUNCTION("""COMPUTED_VALUE"""),29052.0)</f>
        <v>29052</v>
      </c>
      <c r="C750" t="str">
        <f>IFERROR(__xludf.DUMMYFUNCTION("""COMPUTED_VALUE"""),"HURTADO ARISTIZABAL, CAMILA")</f>
        <v>HURTADO ARISTIZABAL, CAMILA</v>
      </c>
      <c r="D750" t="str">
        <f>IFERROR(__xludf.DUMMYFUNCTION("""COMPUTED_VALUE"""),"Math 8A")</f>
        <v>Math 8A</v>
      </c>
      <c r="E750" s="31">
        <f>IFERROR(__xludf.DUMMYFUNCTION("""COMPUTED_VALUE"""),1.0)</f>
        <v>1</v>
      </c>
      <c r="F750" s="8">
        <v>1.0</v>
      </c>
      <c r="G750" s="8">
        <v>1.0</v>
      </c>
      <c r="H750" s="8">
        <v>1.0</v>
      </c>
      <c r="I750" s="8">
        <v>1.0</v>
      </c>
      <c r="J750" s="8">
        <v>1.0</v>
      </c>
      <c r="K750" s="8">
        <v>1.0</v>
      </c>
      <c r="L750" s="8">
        <v>6.0</v>
      </c>
      <c r="M750" s="8"/>
      <c r="N750" s="8"/>
      <c r="O750" s="8" t="s">
        <v>733</v>
      </c>
      <c r="P750" s="8" t="e">
        <v>#N/A</v>
      </c>
    </row>
    <row r="751">
      <c r="A751">
        <f>IFERROR(__xludf.DUMMYFUNCTION("""COMPUTED_VALUE"""),8.0)</f>
        <v>8</v>
      </c>
      <c r="B751">
        <f>IFERROR(__xludf.DUMMYFUNCTION("""COMPUTED_VALUE"""),29053.0)</f>
        <v>29053</v>
      </c>
      <c r="C751" t="str">
        <f>IFERROR(__xludf.DUMMYFUNCTION("""COMPUTED_VALUE"""),"HURTADO FAJARDO, JUANITA")</f>
        <v>HURTADO FAJARDO, JUANITA</v>
      </c>
      <c r="D751" t="str">
        <f>IFERROR(__xludf.DUMMYFUNCTION("""COMPUTED_VALUE"""),"Algebra")</f>
        <v>Algebra</v>
      </c>
      <c r="E751" s="31">
        <f>IFERROR(__xludf.DUMMYFUNCTION("""COMPUTED_VALUE"""),3.0)</f>
        <v>3</v>
      </c>
      <c r="F751" s="8">
        <v>1.0</v>
      </c>
      <c r="G751" s="8">
        <v>1.0</v>
      </c>
      <c r="H751" s="8">
        <v>1.0</v>
      </c>
      <c r="I751" s="8">
        <v>1.0</v>
      </c>
      <c r="J751" s="8">
        <v>1.0</v>
      </c>
      <c r="K751" s="8">
        <v>1.0</v>
      </c>
      <c r="L751" s="8">
        <v>6.0</v>
      </c>
      <c r="M751" s="8"/>
      <c r="N751" s="8"/>
      <c r="O751" s="8" t="s">
        <v>729</v>
      </c>
      <c r="P751" s="8" t="e">
        <v>#N/A</v>
      </c>
    </row>
    <row r="752">
      <c r="A752">
        <f>IFERROR(__xludf.DUMMYFUNCTION("""COMPUTED_VALUE"""),8.0)</f>
        <v>8</v>
      </c>
      <c r="B752">
        <f>IFERROR(__xludf.DUMMYFUNCTION("""COMPUTED_VALUE"""),29056.0)</f>
        <v>29056</v>
      </c>
      <c r="C752" t="str">
        <f>IFERROR(__xludf.DUMMYFUNCTION("""COMPUTED_VALUE"""),"JAILLIER PINZON, MAXIMILIANO")</f>
        <v>JAILLIER PINZON, MAXIMILIANO</v>
      </c>
      <c r="D752" t="str">
        <f>IFERROR(__xludf.DUMMYFUNCTION("""COMPUTED_VALUE"""),"Math 8A")</f>
        <v>Math 8A</v>
      </c>
      <c r="E752" s="31">
        <f>IFERROR(__xludf.DUMMYFUNCTION("""COMPUTED_VALUE"""),1.0)</f>
        <v>1</v>
      </c>
      <c r="F752" s="8">
        <v>1.0</v>
      </c>
      <c r="G752" s="8">
        <v>1.0</v>
      </c>
      <c r="H752" s="8">
        <v>1.0</v>
      </c>
      <c r="I752" s="8">
        <v>1.0</v>
      </c>
      <c r="J752" s="8">
        <v>1.0</v>
      </c>
      <c r="K752" s="8">
        <v>1.0</v>
      </c>
      <c r="L752" s="8">
        <v>6.0</v>
      </c>
      <c r="M752" s="8"/>
      <c r="N752" s="8"/>
      <c r="O752" s="8" t="s">
        <v>733</v>
      </c>
      <c r="P752" s="8" t="e">
        <v>#N/A</v>
      </c>
    </row>
    <row r="753">
      <c r="A753">
        <f>IFERROR(__xludf.DUMMYFUNCTION("""COMPUTED_VALUE"""),8.0)</f>
        <v>8</v>
      </c>
      <c r="B753">
        <f>IFERROR(__xludf.DUMMYFUNCTION("""COMPUTED_VALUE"""),29057.0)</f>
        <v>29057</v>
      </c>
      <c r="C753" t="str">
        <f>IFERROR(__xludf.DUMMYFUNCTION("""COMPUTED_VALUE"""),"JALLER TRUJILLO, KAMEL")</f>
        <v>JALLER TRUJILLO, KAMEL</v>
      </c>
      <c r="D753" t="str">
        <f>IFERROR(__xludf.DUMMYFUNCTION("""COMPUTED_VALUE"""),"Algebra")</f>
        <v>Algebra</v>
      </c>
      <c r="E753" s="31">
        <f>IFERROR(__xludf.DUMMYFUNCTION("""COMPUTED_VALUE"""),4.0)</f>
        <v>4</v>
      </c>
      <c r="F753" s="8">
        <v>1.0</v>
      </c>
      <c r="G753" s="8">
        <v>1.0</v>
      </c>
      <c r="H753" s="8">
        <v>1.0</v>
      </c>
      <c r="I753" s="8">
        <v>1.0</v>
      </c>
      <c r="J753" s="8">
        <v>1.0</v>
      </c>
      <c r="K753" s="8">
        <v>1.0</v>
      </c>
      <c r="L753" s="8">
        <v>6.0</v>
      </c>
      <c r="M753" s="8"/>
      <c r="N753" s="8"/>
      <c r="O753" s="8" t="s">
        <v>732</v>
      </c>
      <c r="P753" s="8" t="e">
        <v>#N/A</v>
      </c>
    </row>
    <row r="754">
      <c r="A754">
        <f>IFERROR(__xludf.DUMMYFUNCTION("""COMPUTED_VALUE"""),8.0)</f>
        <v>8</v>
      </c>
      <c r="B754">
        <f>IFERROR(__xludf.DUMMYFUNCTION("""COMPUTED_VALUE"""),29058.0)</f>
        <v>29058</v>
      </c>
      <c r="C754" t="str">
        <f>IFERROR(__xludf.DUMMYFUNCTION("""COMPUTED_VALUE"""),"JARAMILLO DONADO, AMELIA")</f>
        <v>JARAMILLO DONADO, AMELIA</v>
      </c>
      <c r="D754" t="str">
        <f>IFERROR(__xludf.DUMMYFUNCTION("""COMPUTED_VALUE"""),"Algebra")</f>
        <v>Algebra</v>
      </c>
      <c r="E754" s="31">
        <f>IFERROR(__xludf.DUMMYFUNCTION("""COMPUTED_VALUE"""),5.0)</f>
        <v>5</v>
      </c>
      <c r="F754" s="8">
        <v>1.0</v>
      </c>
      <c r="G754" s="8">
        <v>1.0</v>
      </c>
      <c r="H754" s="8">
        <v>1.0</v>
      </c>
      <c r="I754" s="8">
        <v>1.0</v>
      </c>
      <c r="J754" s="8">
        <v>1.0</v>
      </c>
      <c r="K754" s="8">
        <v>1.0</v>
      </c>
      <c r="L754" s="8">
        <v>6.0</v>
      </c>
      <c r="M754" s="8"/>
      <c r="N754" s="8"/>
      <c r="O754" s="8" t="s">
        <v>730</v>
      </c>
      <c r="P754" s="8" t="e">
        <v>#N/A</v>
      </c>
    </row>
    <row r="755">
      <c r="A755">
        <f>IFERROR(__xludf.DUMMYFUNCTION("""COMPUTED_VALUE"""),8.0)</f>
        <v>8</v>
      </c>
      <c r="B755">
        <f>IFERROR(__xludf.DUMMYFUNCTION("""COMPUTED_VALUE"""),29059.0)</f>
        <v>29059</v>
      </c>
      <c r="C755" t="str">
        <f>IFERROR(__xludf.DUMMYFUNCTION("""COMPUTED_VALUE"""),"JARAMILLO GONZALEZ, PASCUAL")</f>
        <v>JARAMILLO GONZALEZ, PASCUAL</v>
      </c>
      <c r="D755" t="str">
        <f>IFERROR(__xludf.DUMMYFUNCTION("""COMPUTED_VALUE"""),"Math 8A")</f>
        <v>Math 8A</v>
      </c>
      <c r="E755" s="31">
        <f>IFERROR(__xludf.DUMMYFUNCTION("""COMPUTED_VALUE"""),1.0)</f>
        <v>1</v>
      </c>
      <c r="F755" s="8">
        <v>1.0</v>
      </c>
      <c r="G755" s="8">
        <v>1.0</v>
      </c>
      <c r="H755" s="8">
        <v>1.0</v>
      </c>
      <c r="I755" s="8">
        <v>1.0</v>
      </c>
      <c r="J755" s="8">
        <v>1.0</v>
      </c>
      <c r="K755" s="8">
        <v>1.0</v>
      </c>
      <c r="L755" s="8">
        <v>6.0</v>
      </c>
      <c r="M755" s="8"/>
      <c r="N755" s="8"/>
      <c r="O755" s="8" t="s">
        <v>733</v>
      </c>
      <c r="P755" s="8" t="e">
        <v>#N/A</v>
      </c>
    </row>
    <row r="756">
      <c r="A756">
        <f>IFERROR(__xludf.DUMMYFUNCTION("""COMPUTED_VALUE"""),8.0)</f>
        <v>8</v>
      </c>
      <c r="B756">
        <f>IFERROR(__xludf.DUMMYFUNCTION("""COMPUTED_VALUE"""),29060.0)</f>
        <v>29060</v>
      </c>
      <c r="C756" t="str">
        <f>IFERROR(__xludf.DUMMYFUNCTION("""COMPUTED_VALUE"""),"JARAMILLO NARANJO, NICOLAS")</f>
        <v>JARAMILLO NARANJO, NICOLAS</v>
      </c>
      <c r="D756" t="str">
        <f>IFERROR(__xludf.DUMMYFUNCTION("""COMPUTED_VALUE"""),"Math 8A")</f>
        <v>Math 8A</v>
      </c>
      <c r="E756" s="31">
        <f>IFERROR(__xludf.DUMMYFUNCTION("""COMPUTED_VALUE"""),1.0)</f>
        <v>1</v>
      </c>
      <c r="F756" s="8">
        <v>1.0</v>
      </c>
      <c r="G756" s="8">
        <v>1.0</v>
      </c>
      <c r="H756" s="8">
        <v>1.0</v>
      </c>
      <c r="I756" s="8">
        <v>1.0</v>
      </c>
      <c r="J756" s="8">
        <v>1.0</v>
      </c>
      <c r="K756" s="8">
        <v>1.0</v>
      </c>
      <c r="L756" s="8">
        <v>6.0</v>
      </c>
      <c r="M756" s="8"/>
      <c r="N756" s="8"/>
      <c r="O756" s="8" t="s">
        <v>733</v>
      </c>
      <c r="P756" s="8" t="e">
        <v>#N/A</v>
      </c>
    </row>
    <row r="757">
      <c r="A757">
        <f>IFERROR(__xludf.DUMMYFUNCTION("""COMPUTED_VALUE"""),8.0)</f>
        <v>8</v>
      </c>
      <c r="B757">
        <f>IFERROR(__xludf.DUMMYFUNCTION("""COMPUTED_VALUE"""),29061.0)</f>
        <v>29061</v>
      </c>
      <c r="C757" t="str">
        <f>IFERROR(__xludf.DUMMYFUNCTION("""COMPUTED_VALUE"""),"JARAMILLO OSPINA, MANUEL")</f>
        <v>JARAMILLO OSPINA, MANUEL</v>
      </c>
      <c r="D757" t="str">
        <f>IFERROR(__xludf.DUMMYFUNCTION("""COMPUTED_VALUE"""),"Algebra")</f>
        <v>Algebra</v>
      </c>
      <c r="E757" s="31">
        <f>IFERROR(__xludf.DUMMYFUNCTION("""COMPUTED_VALUE"""),5.0)</f>
        <v>5</v>
      </c>
      <c r="F757" s="8">
        <v>1.0</v>
      </c>
      <c r="G757" s="8">
        <v>1.0</v>
      </c>
      <c r="H757" s="8">
        <v>1.0</v>
      </c>
      <c r="I757" s="8">
        <v>1.0</v>
      </c>
      <c r="J757" s="8">
        <v>1.0</v>
      </c>
      <c r="K757" s="8">
        <v>1.0</v>
      </c>
      <c r="L757" s="8">
        <v>6.0</v>
      </c>
      <c r="M757" s="8"/>
      <c r="N757" s="8"/>
      <c r="O757" s="8" t="s">
        <v>730</v>
      </c>
      <c r="P757" s="8" t="e">
        <v>#N/A</v>
      </c>
    </row>
    <row r="758">
      <c r="A758">
        <f>IFERROR(__xludf.DUMMYFUNCTION("""COMPUTED_VALUE"""),8.0)</f>
        <v>8</v>
      </c>
      <c r="B758">
        <f>IFERROR(__xludf.DUMMYFUNCTION("""COMPUTED_VALUE"""),28144.0)</f>
        <v>28144</v>
      </c>
      <c r="C758" t="str">
        <f>IFERROR(__xludf.DUMMYFUNCTION("""COMPUTED_VALUE"""),"JIMENEZ PATIÑO, EMILIO")</f>
        <v>JIMENEZ PATIÑO, EMILIO</v>
      </c>
      <c r="D758" t="str">
        <f>IFERROR(__xludf.DUMMYFUNCTION("""COMPUTED_VALUE"""),"Algebra")</f>
        <v>Algebra</v>
      </c>
      <c r="E758" s="31">
        <f>IFERROR(__xludf.DUMMYFUNCTION("""COMPUTED_VALUE"""),5.0)</f>
        <v>5</v>
      </c>
      <c r="F758" s="8">
        <v>1.0</v>
      </c>
      <c r="G758" s="8">
        <v>1.0</v>
      </c>
      <c r="H758" s="8">
        <v>1.0</v>
      </c>
      <c r="I758" s="8">
        <v>1.0</v>
      </c>
      <c r="J758" s="8">
        <v>1.0</v>
      </c>
      <c r="K758" s="8">
        <v>1.0</v>
      </c>
      <c r="L758" s="8">
        <v>6.0</v>
      </c>
      <c r="M758" s="8"/>
      <c r="N758" s="8"/>
      <c r="O758" s="8" t="s">
        <v>730</v>
      </c>
      <c r="P758" s="8" t="e">
        <v>#N/A</v>
      </c>
    </row>
    <row r="759">
      <c r="A759">
        <f>IFERROR(__xludf.DUMMYFUNCTION("""COMPUTED_VALUE"""),8.0)</f>
        <v>8</v>
      </c>
      <c r="B759">
        <f>IFERROR(__xludf.DUMMYFUNCTION("""COMPUTED_VALUE"""),29147.0)</f>
        <v>29147</v>
      </c>
      <c r="C759" t="str">
        <f>IFERROR(__xludf.DUMMYFUNCTION("""COMPUTED_VALUE"""),"JIMENO ARISTIZABAL, ISABELLA")</f>
        <v>JIMENO ARISTIZABAL, ISABELLA</v>
      </c>
      <c r="D759" t="str">
        <f>IFERROR(__xludf.DUMMYFUNCTION("""COMPUTED_VALUE"""),"Math 8")</f>
        <v>Math 8</v>
      </c>
      <c r="E759" s="31">
        <f>IFERROR(__xludf.DUMMYFUNCTION("""COMPUTED_VALUE"""),6.0)</f>
        <v>6</v>
      </c>
      <c r="F759" s="8">
        <v>1.0</v>
      </c>
      <c r="G759" s="8">
        <v>1.0</v>
      </c>
      <c r="H759" s="8">
        <v>1.0</v>
      </c>
      <c r="I759" s="8">
        <v>1.0</v>
      </c>
      <c r="J759" s="8">
        <v>1.0</v>
      </c>
      <c r="K759" s="8">
        <v>1.0</v>
      </c>
      <c r="L759" s="8">
        <v>6.0</v>
      </c>
      <c r="M759" s="8"/>
      <c r="N759" s="8"/>
      <c r="O759" s="8" t="s">
        <v>731</v>
      </c>
      <c r="P759" s="8">
        <v>6.0</v>
      </c>
    </row>
    <row r="760">
      <c r="A760">
        <f>IFERROR(__xludf.DUMMYFUNCTION("""COMPUTED_VALUE"""),8.0)</f>
        <v>8</v>
      </c>
      <c r="B760">
        <f>IFERROR(__xludf.DUMMYFUNCTION("""COMPUTED_VALUE"""),29062.0)</f>
        <v>29062</v>
      </c>
      <c r="C760" t="str">
        <f>IFERROR(__xludf.DUMMYFUNCTION("""COMPUTED_VALUE"""),"KIM LEE, SAE YOON LUCAS")</f>
        <v>KIM LEE, SAE YOON LUCAS</v>
      </c>
      <c r="D760" t="str">
        <f>IFERROR(__xludf.DUMMYFUNCTION("""COMPUTED_VALUE"""),"Algebra")</f>
        <v>Algebra</v>
      </c>
      <c r="E760" s="31">
        <f>IFERROR(__xludf.DUMMYFUNCTION("""COMPUTED_VALUE"""),4.0)</f>
        <v>4</v>
      </c>
      <c r="F760" s="8">
        <v>1.0</v>
      </c>
      <c r="G760" s="8">
        <v>1.0</v>
      </c>
      <c r="H760" s="8">
        <v>1.0</v>
      </c>
      <c r="I760" s="8">
        <v>1.0</v>
      </c>
      <c r="J760" s="8">
        <v>1.0</v>
      </c>
      <c r="K760" s="8">
        <v>1.0</v>
      </c>
      <c r="L760" s="8">
        <v>6.0</v>
      </c>
      <c r="M760" s="8"/>
      <c r="N760" s="8"/>
      <c r="O760" s="8" t="s">
        <v>732</v>
      </c>
      <c r="P760" s="8" t="e">
        <v>#N/A</v>
      </c>
    </row>
    <row r="761">
      <c r="A761">
        <f>IFERROR(__xludf.DUMMYFUNCTION("""COMPUTED_VALUE"""),8.0)</f>
        <v>8</v>
      </c>
      <c r="B761">
        <f>IFERROR(__xludf.DUMMYFUNCTION("""COMPUTED_VALUE"""),29064.0)</f>
        <v>29064</v>
      </c>
      <c r="C761" t="str">
        <f>IFERROR(__xludf.DUMMYFUNCTION("""COMPUTED_VALUE"""),"LONDOÑO BAQUERO, EMILIA")</f>
        <v>LONDOÑO BAQUERO, EMILIA</v>
      </c>
      <c r="D761" t="str">
        <f>IFERROR(__xludf.DUMMYFUNCTION("""COMPUTED_VALUE"""),"Algebra")</f>
        <v>Algebra</v>
      </c>
      <c r="E761" s="31">
        <f>IFERROR(__xludf.DUMMYFUNCTION("""COMPUTED_VALUE"""),3.0)</f>
        <v>3</v>
      </c>
      <c r="F761" s="8">
        <v>1.0</v>
      </c>
      <c r="G761" s="8">
        <v>1.0</v>
      </c>
      <c r="H761" s="8">
        <v>1.0</v>
      </c>
      <c r="I761" s="8">
        <v>1.0</v>
      </c>
      <c r="J761" s="8">
        <v>1.0</v>
      </c>
      <c r="K761" s="8">
        <v>1.0</v>
      </c>
      <c r="L761" s="8">
        <v>6.0</v>
      </c>
      <c r="M761" s="8"/>
      <c r="N761" s="8"/>
      <c r="O761" s="8" t="s">
        <v>729</v>
      </c>
      <c r="P761" s="8" t="e">
        <v>#N/A</v>
      </c>
    </row>
    <row r="762">
      <c r="A762">
        <f>IFERROR(__xludf.DUMMYFUNCTION("""COMPUTED_VALUE"""),8.0)</f>
        <v>8</v>
      </c>
      <c r="B762">
        <f>IFERROR(__xludf.DUMMYFUNCTION("""COMPUTED_VALUE"""),29065.0)</f>
        <v>29065</v>
      </c>
      <c r="C762" t="str">
        <f>IFERROR(__xludf.DUMMYFUNCTION("""COMPUTED_VALUE"""),"LONDOÑO CUARTAS, TOMAS")</f>
        <v>LONDOÑO CUARTAS, TOMAS</v>
      </c>
      <c r="D762" t="str">
        <f>IFERROR(__xludf.DUMMYFUNCTION("""COMPUTED_VALUE"""),"Algebra")</f>
        <v>Algebra</v>
      </c>
      <c r="E762" s="31">
        <f>IFERROR(__xludf.DUMMYFUNCTION("""COMPUTED_VALUE"""),4.0)</f>
        <v>4</v>
      </c>
      <c r="F762" s="8">
        <v>1.0</v>
      </c>
      <c r="G762" s="8">
        <v>1.0</v>
      </c>
      <c r="H762" s="8">
        <v>1.0</v>
      </c>
      <c r="I762" s="8">
        <v>1.0</v>
      </c>
      <c r="J762" s="8">
        <v>1.0</v>
      </c>
      <c r="K762" s="8">
        <v>1.0</v>
      </c>
      <c r="L762" s="8">
        <v>6.0</v>
      </c>
      <c r="M762" s="8"/>
      <c r="N762" s="8"/>
      <c r="O762" s="8" t="s">
        <v>732</v>
      </c>
      <c r="P762" s="8" t="e">
        <v>#N/A</v>
      </c>
    </row>
    <row r="763">
      <c r="A763">
        <f>IFERROR(__xludf.DUMMYFUNCTION("""COMPUTED_VALUE"""),8.0)</f>
        <v>8</v>
      </c>
      <c r="B763">
        <f>IFERROR(__xludf.DUMMYFUNCTION("""COMPUTED_VALUE"""),29066.0)</f>
        <v>29066</v>
      </c>
      <c r="C763" t="str">
        <f>IFERROR(__xludf.DUMMYFUNCTION("""COMPUTED_VALUE"""),"LONDOÑO JARAMILLO, MARTINA")</f>
        <v>LONDOÑO JARAMILLO, MARTINA</v>
      </c>
      <c r="D763" t="str">
        <f>IFERROR(__xludf.DUMMYFUNCTION("""COMPUTED_VALUE"""),"Algebra")</f>
        <v>Algebra</v>
      </c>
      <c r="E763" s="31">
        <f>IFERROR(__xludf.DUMMYFUNCTION("""COMPUTED_VALUE"""),4.0)</f>
        <v>4</v>
      </c>
      <c r="F763" s="8">
        <v>1.0</v>
      </c>
      <c r="G763" s="8">
        <v>1.0</v>
      </c>
      <c r="H763" s="8">
        <v>1.0</v>
      </c>
      <c r="I763" s="8">
        <v>1.0</v>
      </c>
      <c r="J763" s="8">
        <v>1.0</v>
      </c>
      <c r="K763" s="8">
        <v>1.0</v>
      </c>
      <c r="L763" s="8">
        <v>6.0</v>
      </c>
      <c r="M763" s="8"/>
      <c r="N763" s="8"/>
      <c r="O763" s="8" t="s">
        <v>732</v>
      </c>
      <c r="P763" s="8" t="e">
        <v>#N/A</v>
      </c>
    </row>
    <row r="764">
      <c r="A764">
        <f>IFERROR(__xludf.DUMMYFUNCTION("""COMPUTED_VALUE"""),8.0)</f>
        <v>8</v>
      </c>
      <c r="B764">
        <f>IFERROR(__xludf.DUMMYFUNCTION("""COMPUTED_VALUE"""),29068.0)</f>
        <v>29068</v>
      </c>
      <c r="C764" t="str">
        <f>IFERROR(__xludf.DUMMYFUNCTION("""COMPUTED_VALUE"""),"LOPEZ JAIMES, VICENTE")</f>
        <v>LOPEZ JAIMES, VICENTE</v>
      </c>
      <c r="D764" t="str">
        <f>IFERROR(__xludf.DUMMYFUNCTION("""COMPUTED_VALUE"""),"Math 8")</f>
        <v>Math 8</v>
      </c>
      <c r="E764" s="31">
        <f>IFERROR(__xludf.DUMMYFUNCTION("""COMPUTED_VALUE"""),1.0)</f>
        <v>1</v>
      </c>
      <c r="F764" s="8">
        <v>1.0</v>
      </c>
      <c r="G764" s="8">
        <v>1.0</v>
      </c>
      <c r="H764" s="8">
        <v>1.0</v>
      </c>
      <c r="I764" s="8">
        <v>1.0</v>
      </c>
      <c r="J764" s="8">
        <v>1.0</v>
      </c>
      <c r="K764" s="8">
        <v>1.0</v>
      </c>
      <c r="L764" s="8">
        <v>6.0</v>
      </c>
      <c r="M764" s="8"/>
      <c r="N764" s="8"/>
      <c r="O764" s="8" t="s">
        <v>734</v>
      </c>
      <c r="P764" s="8">
        <v>6.0</v>
      </c>
    </row>
    <row r="765">
      <c r="A765">
        <f>IFERROR(__xludf.DUMMYFUNCTION("""COMPUTED_VALUE"""),8.0)</f>
        <v>8</v>
      </c>
      <c r="B765">
        <f>IFERROR(__xludf.DUMMYFUNCTION("""COMPUTED_VALUE"""),29069.0)</f>
        <v>29069</v>
      </c>
      <c r="C765" t="str">
        <f>IFERROR(__xludf.DUMMYFUNCTION("""COMPUTED_VALUE"""),"LUNA ALZATE, AMALIA")</f>
        <v>LUNA ALZATE, AMALIA</v>
      </c>
      <c r="D765" t="str">
        <f>IFERROR(__xludf.DUMMYFUNCTION("""COMPUTED_VALUE"""),"Algebra")</f>
        <v>Algebra</v>
      </c>
      <c r="E765" s="31">
        <f>IFERROR(__xludf.DUMMYFUNCTION("""COMPUTED_VALUE"""),5.0)</f>
        <v>5</v>
      </c>
      <c r="F765" s="8">
        <v>1.0</v>
      </c>
      <c r="G765" s="8">
        <v>1.0</v>
      </c>
      <c r="H765" s="8">
        <v>1.0</v>
      </c>
      <c r="I765" s="8">
        <v>1.0</v>
      </c>
      <c r="J765" s="8">
        <v>1.0</v>
      </c>
      <c r="K765" s="8">
        <v>1.0</v>
      </c>
      <c r="L765" s="8">
        <v>6.0</v>
      </c>
      <c r="M765" s="8"/>
      <c r="N765" s="8"/>
      <c r="O765" s="8" t="s">
        <v>730</v>
      </c>
      <c r="P765" s="8" t="e">
        <v>#N/A</v>
      </c>
    </row>
    <row r="766">
      <c r="A766">
        <f>IFERROR(__xludf.DUMMYFUNCTION("""COMPUTED_VALUE"""),8.0)</f>
        <v>8</v>
      </c>
      <c r="B766">
        <f>IFERROR(__xludf.DUMMYFUNCTION("""COMPUTED_VALUE"""),29070.0)</f>
        <v>29070</v>
      </c>
      <c r="C766" t="str">
        <f>IFERROR(__xludf.DUMMYFUNCTION("""COMPUTED_VALUE"""),"MANRIQUE CUESTA, ISABELLA")</f>
        <v>MANRIQUE CUESTA, ISABELLA</v>
      </c>
      <c r="D766" t="str">
        <f>IFERROR(__xludf.DUMMYFUNCTION("""COMPUTED_VALUE"""),"Algebra")</f>
        <v>Algebra</v>
      </c>
      <c r="E766" s="31">
        <f>IFERROR(__xludf.DUMMYFUNCTION("""COMPUTED_VALUE"""),3.0)</f>
        <v>3</v>
      </c>
      <c r="F766" s="8">
        <v>1.0</v>
      </c>
      <c r="G766" s="8">
        <v>1.0</v>
      </c>
      <c r="H766" s="8">
        <v>1.0</v>
      </c>
      <c r="I766" s="8">
        <v>1.0</v>
      </c>
      <c r="J766" s="8">
        <v>1.0</v>
      </c>
      <c r="K766" s="8">
        <v>1.0</v>
      </c>
      <c r="L766" s="8">
        <v>6.0</v>
      </c>
      <c r="M766" s="8"/>
      <c r="N766" s="8"/>
      <c r="O766" s="8" t="s">
        <v>729</v>
      </c>
      <c r="P766" s="8" t="e">
        <v>#N/A</v>
      </c>
    </row>
    <row r="767">
      <c r="A767">
        <f>IFERROR(__xludf.DUMMYFUNCTION("""COMPUTED_VALUE"""),8.0)</f>
        <v>8</v>
      </c>
      <c r="B767">
        <f>IFERROR(__xludf.DUMMYFUNCTION("""COMPUTED_VALUE"""),29071.0)</f>
        <v>29071</v>
      </c>
      <c r="C767" t="str">
        <f>IFERROR(__xludf.DUMMYFUNCTION("""COMPUTED_VALUE"""),"MARQUEZ BARRERA, MIRANDA")</f>
        <v>MARQUEZ BARRERA, MIRANDA</v>
      </c>
      <c r="D767" t="str">
        <f>IFERROR(__xludf.DUMMYFUNCTION("""COMPUTED_VALUE"""),"Algebra")</f>
        <v>Algebra</v>
      </c>
      <c r="E767" s="31">
        <f>IFERROR(__xludf.DUMMYFUNCTION("""COMPUTED_VALUE"""),3.0)</f>
        <v>3</v>
      </c>
      <c r="F767" s="8">
        <v>1.0</v>
      </c>
      <c r="G767" s="8">
        <v>1.0</v>
      </c>
      <c r="H767" s="8">
        <v>1.0</v>
      </c>
      <c r="I767" s="8">
        <v>1.0</v>
      </c>
      <c r="J767" s="8">
        <v>1.0</v>
      </c>
      <c r="K767" s="8">
        <v>1.0</v>
      </c>
      <c r="L767" s="8">
        <v>6.0</v>
      </c>
      <c r="M767" s="8"/>
      <c r="N767" s="8"/>
      <c r="O767" s="8" t="s">
        <v>729</v>
      </c>
      <c r="P767" s="8" t="e">
        <v>#N/A</v>
      </c>
    </row>
    <row r="768">
      <c r="A768">
        <f>IFERROR(__xludf.DUMMYFUNCTION("""COMPUTED_VALUE"""),8.0)</f>
        <v>8</v>
      </c>
      <c r="B768">
        <f>IFERROR(__xludf.DUMMYFUNCTION("""COMPUTED_VALUE"""),29072.0)</f>
        <v>29072</v>
      </c>
      <c r="C768" t="str">
        <f>IFERROR(__xludf.DUMMYFUNCTION("""COMPUTED_VALUE"""),"MARQUEZ RAHAL, PEDRO")</f>
        <v>MARQUEZ RAHAL, PEDRO</v>
      </c>
      <c r="D768" t="str">
        <f>IFERROR(__xludf.DUMMYFUNCTION("""COMPUTED_VALUE"""),"Algebra")</f>
        <v>Algebra</v>
      </c>
      <c r="E768" s="31">
        <f>IFERROR(__xludf.DUMMYFUNCTION("""COMPUTED_VALUE"""),4.0)</f>
        <v>4</v>
      </c>
      <c r="F768" s="8">
        <v>1.0</v>
      </c>
      <c r="G768" s="8">
        <v>1.0</v>
      </c>
      <c r="H768" s="8">
        <v>1.0</v>
      </c>
      <c r="I768" s="8">
        <v>1.0</v>
      </c>
      <c r="J768" s="8">
        <v>1.0</v>
      </c>
      <c r="K768" s="8">
        <v>1.0</v>
      </c>
      <c r="L768" s="8">
        <v>6.0</v>
      </c>
      <c r="M768" s="8"/>
      <c r="N768" s="8"/>
      <c r="O768" s="8" t="s">
        <v>732</v>
      </c>
      <c r="P768" s="8" t="e">
        <v>#N/A</v>
      </c>
    </row>
    <row r="769">
      <c r="A769">
        <f>IFERROR(__xludf.DUMMYFUNCTION("""COMPUTED_VALUE"""),8.0)</f>
        <v>8</v>
      </c>
      <c r="B769">
        <f>IFERROR(__xludf.DUMMYFUNCTION("""COMPUTED_VALUE"""),29073.0)</f>
        <v>29073</v>
      </c>
      <c r="C769" t="str">
        <f>IFERROR(__xludf.DUMMYFUNCTION("""COMPUTED_VALUE"""),"MARRERO MARTA, ALINA")</f>
        <v>MARRERO MARTA, ALINA</v>
      </c>
      <c r="D769" t="str">
        <f>IFERROR(__xludf.DUMMYFUNCTION("""COMPUTED_VALUE"""),"Algebra")</f>
        <v>Algebra</v>
      </c>
      <c r="E769" s="31">
        <f>IFERROR(__xludf.DUMMYFUNCTION("""COMPUTED_VALUE"""),5.0)</f>
        <v>5</v>
      </c>
      <c r="F769" s="8">
        <v>1.0</v>
      </c>
      <c r="G769" s="8">
        <v>1.0</v>
      </c>
      <c r="H769" s="8">
        <v>1.0</v>
      </c>
      <c r="I769" s="8">
        <v>1.0</v>
      </c>
      <c r="J769" s="8">
        <v>1.0</v>
      </c>
      <c r="K769" s="8">
        <v>1.0</v>
      </c>
      <c r="L769" s="8">
        <v>6.0</v>
      </c>
      <c r="M769" s="8"/>
      <c r="N769" s="8"/>
      <c r="O769" s="8" t="s">
        <v>730</v>
      </c>
      <c r="P769" s="8" t="e">
        <v>#N/A</v>
      </c>
    </row>
    <row r="770">
      <c r="A770">
        <f>IFERROR(__xludf.DUMMYFUNCTION("""COMPUTED_VALUE"""),8.0)</f>
        <v>8</v>
      </c>
      <c r="B770">
        <f>IFERROR(__xludf.DUMMYFUNCTION("""COMPUTED_VALUE"""),29074.0)</f>
        <v>29074</v>
      </c>
      <c r="C770" t="str">
        <f>IFERROR(__xludf.DUMMYFUNCTION("""COMPUTED_VALUE"""),"MEDINA JARAMILLO, ALICIA")</f>
        <v>MEDINA JARAMILLO, ALICIA</v>
      </c>
      <c r="D770" t="str">
        <f>IFERROR(__xludf.DUMMYFUNCTION("""COMPUTED_VALUE"""),"Algebra")</f>
        <v>Algebra</v>
      </c>
      <c r="E770" s="31">
        <f>IFERROR(__xludf.DUMMYFUNCTION("""COMPUTED_VALUE"""),4.0)</f>
        <v>4</v>
      </c>
      <c r="F770" s="8">
        <v>1.0</v>
      </c>
      <c r="G770" s="8">
        <v>1.0</v>
      </c>
      <c r="H770" s="8">
        <v>1.0</v>
      </c>
      <c r="I770" s="8">
        <v>1.0</v>
      </c>
      <c r="J770" s="8">
        <v>1.0</v>
      </c>
      <c r="K770" s="8">
        <v>1.0</v>
      </c>
      <c r="L770" s="8">
        <v>6.0</v>
      </c>
      <c r="M770" s="8"/>
      <c r="N770" s="8"/>
      <c r="O770" s="8" t="s">
        <v>732</v>
      </c>
      <c r="P770" s="8" t="e">
        <v>#N/A</v>
      </c>
    </row>
    <row r="771">
      <c r="A771">
        <f>IFERROR(__xludf.DUMMYFUNCTION("""COMPUTED_VALUE"""),8.0)</f>
        <v>8</v>
      </c>
      <c r="B771">
        <f>IFERROR(__xludf.DUMMYFUNCTION("""COMPUTED_VALUE"""),29075.0)</f>
        <v>29075</v>
      </c>
      <c r="C771" t="str">
        <f>IFERROR(__xludf.DUMMYFUNCTION("""COMPUTED_VALUE"""),"MEJIA BUSTAMANTE, ANTONIA")</f>
        <v>MEJIA BUSTAMANTE, ANTONIA</v>
      </c>
      <c r="D771" t="str">
        <f>IFERROR(__xludf.DUMMYFUNCTION("""COMPUTED_VALUE"""),"Algebra")</f>
        <v>Algebra</v>
      </c>
      <c r="E771" s="31">
        <f>IFERROR(__xludf.DUMMYFUNCTION("""COMPUTED_VALUE"""),3.0)</f>
        <v>3</v>
      </c>
      <c r="F771" s="8">
        <v>1.0</v>
      </c>
      <c r="G771" s="8">
        <v>1.0</v>
      </c>
      <c r="H771" s="8">
        <v>1.0</v>
      </c>
      <c r="I771" s="8">
        <v>1.0</v>
      </c>
      <c r="J771" s="8">
        <v>1.0</v>
      </c>
      <c r="K771" s="8">
        <v>1.0</v>
      </c>
      <c r="L771" s="8">
        <v>6.0</v>
      </c>
      <c r="M771" s="8"/>
      <c r="N771" s="8"/>
      <c r="O771" s="8" t="s">
        <v>729</v>
      </c>
      <c r="P771" s="8" t="e">
        <v>#N/A</v>
      </c>
    </row>
    <row r="772">
      <c r="A772">
        <f>IFERROR(__xludf.DUMMYFUNCTION("""COMPUTED_VALUE"""),8.0)</f>
        <v>8</v>
      </c>
      <c r="B772">
        <f>IFERROR(__xludf.DUMMYFUNCTION("""COMPUTED_VALUE"""),29076.0)</f>
        <v>29076</v>
      </c>
      <c r="C772" t="str">
        <f>IFERROR(__xludf.DUMMYFUNCTION("""COMPUTED_VALUE"""),"MEJIA MANTILLA, MATEO")</f>
        <v>MEJIA MANTILLA, MATEO</v>
      </c>
      <c r="D772" t="str">
        <f>IFERROR(__xludf.DUMMYFUNCTION("""COMPUTED_VALUE"""),"Math 8")</f>
        <v>Math 8</v>
      </c>
      <c r="E772" s="31">
        <f>IFERROR(__xludf.DUMMYFUNCTION("""COMPUTED_VALUE"""),6.0)</f>
        <v>6</v>
      </c>
      <c r="F772" s="8">
        <v>1.0</v>
      </c>
      <c r="G772" s="8">
        <v>1.0</v>
      </c>
      <c r="H772" s="8">
        <v>1.0</v>
      </c>
      <c r="I772" s="8">
        <v>1.0</v>
      </c>
      <c r="J772" s="8">
        <v>1.0</v>
      </c>
      <c r="K772" s="8">
        <v>1.0</v>
      </c>
      <c r="L772" s="8">
        <v>6.0</v>
      </c>
      <c r="M772" s="8"/>
      <c r="N772" s="8"/>
      <c r="O772" s="8" t="s">
        <v>731</v>
      </c>
      <c r="P772" s="8">
        <v>6.0</v>
      </c>
    </row>
    <row r="773">
      <c r="A773">
        <f>IFERROR(__xludf.DUMMYFUNCTION("""COMPUTED_VALUE"""),8.0)</f>
        <v>8</v>
      </c>
      <c r="B773">
        <f>IFERROR(__xludf.DUMMYFUNCTION("""COMPUTED_VALUE"""),29077.0)</f>
        <v>29077</v>
      </c>
      <c r="C773" t="str">
        <f>IFERROR(__xludf.DUMMYFUNCTION("""COMPUTED_VALUE"""),"MEJIA VILLEGAS, CANDELARIA")</f>
        <v>MEJIA VILLEGAS, CANDELARIA</v>
      </c>
      <c r="D773" t="str">
        <f>IFERROR(__xludf.DUMMYFUNCTION("""COMPUTED_VALUE"""),"Algebra")</f>
        <v>Algebra</v>
      </c>
      <c r="E773" s="31">
        <f>IFERROR(__xludf.DUMMYFUNCTION("""COMPUTED_VALUE"""),3.0)</f>
        <v>3</v>
      </c>
      <c r="F773" s="8">
        <v>1.0</v>
      </c>
      <c r="G773" s="8">
        <v>1.0</v>
      </c>
      <c r="H773" s="8">
        <v>1.0</v>
      </c>
      <c r="I773" s="8">
        <v>1.0</v>
      </c>
      <c r="J773" s="8">
        <v>1.0</v>
      </c>
      <c r="K773" s="8">
        <v>1.0</v>
      </c>
      <c r="L773" s="8">
        <v>6.0</v>
      </c>
      <c r="M773" s="8"/>
      <c r="N773" s="8"/>
      <c r="O773" s="8" t="s">
        <v>729</v>
      </c>
      <c r="P773" s="8" t="e">
        <v>#N/A</v>
      </c>
    </row>
    <row r="774">
      <c r="A774">
        <f>IFERROR(__xludf.DUMMYFUNCTION("""COMPUTED_VALUE"""),8.0)</f>
        <v>8</v>
      </c>
      <c r="B774">
        <f>IFERROR(__xludf.DUMMYFUNCTION("""COMPUTED_VALUE"""),29079.0)</f>
        <v>29079</v>
      </c>
      <c r="C774" t="str">
        <f>IFERROR(__xludf.DUMMYFUNCTION("""COMPUTED_VALUE"""),"MISAS MESA, ALICIA")</f>
        <v>MISAS MESA, ALICIA</v>
      </c>
      <c r="D774" t="str">
        <f>IFERROR(__xludf.DUMMYFUNCTION("""COMPUTED_VALUE"""),"Algebra")</f>
        <v>Algebra</v>
      </c>
      <c r="E774" s="31">
        <f>IFERROR(__xludf.DUMMYFUNCTION("""COMPUTED_VALUE"""),3.0)</f>
        <v>3</v>
      </c>
      <c r="F774" s="8">
        <v>1.0</v>
      </c>
      <c r="G774" s="8">
        <v>1.0</v>
      </c>
      <c r="H774" s="8">
        <v>1.0</v>
      </c>
      <c r="I774" s="8">
        <v>1.0</v>
      </c>
      <c r="J774" s="8">
        <v>1.0</v>
      </c>
      <c r="K774" s="8">
        <v>1.0</v>
      </c>
      <c r="L774" s="8">
        <v>6.0</v>
      </c>
      <c r="M774" s="8"/>
      <c r="N774" s="8"/>
      <c r="O774" s="8" t="s">
        <v>729</v>
      </c>
      <c r="P774" s="8" t="e">
        <v>#N/A</v>
      </c>
    </row>
    <row r="775">
      <c r="A775">
        <f>IFERROR(__xludf.DUMMYFUNCTION("""COMPUTED_VALUE"""),8.0)</f>
        <v>8</v>
      </c>
      <c r="B775">
        <f>IFERROR(__xludf.DUMMYFUNCTION("""COMPUTED_VALUE"""),29153.0)</f>
        <v>29153</v>
      </c>
      <c r="C775" t="str">
        <f>IFERROR(__xludf.DUMMYFUNCTION("""COMPUTED_VALUE"""),"MISERENDINO MUÑOZ, GABRIEL")</f>
        <v>MISERENDINO MUÑOZ, GABRIEL</v>
      </c>
      <c r="D775" t="str">
        <f>IFERROR(__xludf.DUMMYFUNCTION("""COMPUTED_VALUE"""),"Algebra")</f>
        <v>Algebra</v>
      </c>
      <c r="E775" s="31">
        <f>IFERROR(__xludf.DUMMYFUNCTION("""COMPUTED_VALUE"""),3.0)</f>
        <v>3</v>
      </c>
      <c r="F775" s="8">
        <v>1.0</v>
      </c>
      <c r="G775" s="8">
        <v>1.0</v>
      </c>
      <c r="H775" s="8">
        <v>1.0</v>
      </c>
      <c r="I775" s="8">
        <v>1.0</v>
      </c>
      <c r="J775" s="8">
        <v>1.0</v>
      </c>
      <c r="K775" s="8">
        <v>1.0</v>
      </c>
      <c r="L775" s="8">
        <v>6.0</v>
      </c>
      <c r="M775" s="8"/>
      <c r="N775" s="8"/>
      <c r="O775" s="8" t="s">
        <v>729</v>
      </c>
      <c r="P775" s="8" t="e">
        <v>#N/A</v>
      </c>
    </row>
    <row r="776">
      <c r="A776">
        <f>IFERROR(__xludf.DUMMYFUNCTION("""COMPUTED_VALUE"""),8.0)</f>
        <v>8</v>
      </c>
      <c r="B776">
        <f>IFERROR(__xludf.DUMMYFUNCTION("""COMPUTED_VALUE"""),29143.0)</f>
        <v>29143</v>
      </c>
      <c r="C776" t="str">
        <f>IFERROR(__xludf.DUMMYFUNCTION("""COMPUTED_VALUE"""),"MOLANO MESA, CARMEN")</f>
        <v>MOLANO MESA, CARMEN</v>
      </c>
      <c r="D776" t="str">
        <f>IFERROR(__xludf.DUMMYFUNCTION("""COMPUTED_VALUE"""),"Math 8A")</f>
        <v>Math 8A</v>
      </c>
      <c r="E776" s="31">
        <f>IFERROR(__xludf.DUMMYFUNCTION("""COMPUTED_VALUE"""),1.0)</f>
        <v>1</v>
      </c>
      <c r="F776" s="8">
        <v>1.0</v>
      </c>
      <c r="G776" s="8">
        <v>1.0</v>
      </c>
      <c r="H776" s="8">
        <v>1.0</v>
      </c>
      <c r="I776" s="8">
        <v>1.0</v>
      </c>
      <c r="J776" s="8">
        <v>1.0</v>
      </c>
      <c r="K776" s="8">
        <v>1.0</v>
      </c>
      <c r="L776" s="8">
        <v>6.0</v>
      </c>
      <c r="M776" s="8"/>
      <c r="N776" s="8"/>
      <c r="O776" s="8" t="s">
        <v>733</v>
      </c>
      <c r="P776" s="8" t="e">
        <v>#N/A</v>
      </c>
    </row>
    <row r="777">
      <c r="A777">
        <f>IFERROR(__xludf.DUMMYFUNCTION("""COMPUTED_VALUE"""),8.0)</f>
        <v>8</v>
      </c>
      <c r="B777">
        <f>IFERROR(__xludf.DUMMYFUNCTION("""COMPUTED_VALUE"""),29080.0)</f>
        <v>29080</v>
      </c>
      <c r="C777" t="str">
        <f>IFERROR(__xludf.DUMMYFUNCTION("""COMPUTED_VALUE"""),"MONTES LOPEZ, MANUELA")</f>
        <v>MONTES LOPEZ, MANUELA</v>
      </c>
      <c r="D777" t="str">
        <f>IFERROR(__xludf.DUMMYFUNCTION("""COMPUTED_VALUE"""),"Algebra")</f>
        <v>Algebra</v>
      </c>
      <c r="E777" s="31">
        <f>IFERROR(__xludf.DUMMYFUNCTION("""COMPUTED_VALUE"""),4.0)</f>
        <v>4</v>
      </c>
      <c r="F777" s="8">
        <v>1.0</v>
      </c>
      <c r="G777" s="8">
        <v>1.0</v>
      </c>
      <c r="H777" s="8">
        <v>1.0</v>
      </c>
      <c r="I777" s="8">
        <v>1.0</v>
      </c>
      <c r="J777" s="8">
        <v>1.0</v>
      </c>
      <c r="K777" s="8">
        <v>1.0</v>
      </c>
      <c r="L777" s="8">
        <v>6.0</v>
      </c>
      <c r="M777" s="8"/>
      <c r="N777" s="8"/>
      <c r="O777" s="8" t="s">
        <v>732</v>
      </c>
      <c r="P777" s="8" t="e">
        <v>#N/A</v>
      </c>
    </row>
    <row r="778">
      <c r="A778">
        <f>IFERROR(__xludf.DUMMYFUNCTION("""COMPUTED_VALUE"""),8.0)</f>
        <v>8</v>
      </c>
      <c r="B778">
        <f>IFERROR(__xludf.DUMMYFUNCTION("""COMPUTED_VALUE"""),29081.0)</f>
        <v>29081</v>
      </c>
      <c r="C778" t="str">
        <f>IFERROR(__xludf.DUMMYFUNCTION("""COMPUTED_VALUE"""),"MORA JARAMILLO, ALICIA")</f>
        <v>MORA JARAMILLO, ALICIA</v>
      </c>
      <c r="D778" t="str">
        <f>IFERROR(__xludf.DUMMYFUNCTION("""COMPUTED_VALUE"""),"Math 8A")</f>
        <v>Math 8A</v>
      </c>
      <c r="E778" s="31">
        <f>IFERROR(__xludf.DUMMYFUNCTION("""COMPUTED_VALUE"""),1.0)</f>
        <v>1</v>
      </c>
      <c r="F778" s="8">
        <v>1.0</v>
      </c>
      <c r="G778" s="8">
        <v>1.0</v>
      </c>
      <c r="H778" s="8">
        <v>1.0</v>
      </c>
      <c r="I778" s="8">
        <v>1.0</v>
      </c>
      <c r="J778" s="8">
        <v>1.0</v>
      </c>
      <c r="K778" s="8">
        <v>1.0</v>
      </c>
      <c r="L778" s="8">
        <v>6.0</v>
      </c>
      <c r="M778" s="8"/>
      <c r="N778" s="8"/>
      <c r="O778" s="8" t="s">
        <v>733</v>
      </c>
      <c r="P778" s="8" t="e">
        <v>#N/A</v>
      </c>
    </row>
    <row r="779">
      <c r="A779">
        <f>IFERROR(__xludf.DUMMYFUNCTION("""COMPUTED_VALUE"""),8.0)</f>
        <v>8</v>
      </c>
      <c r="B779">
        <f>IFERROR(__xludf.DUMMYFUNCTION("""COMPUTED_VALUE"""),29083.0)</f>
        <v>29083</v>
      </c>
      <c r="C779" t="str">
        <f>IFERROR(__xludf.DUMMYFUNCTION("""COMPUTED_VALUE"""),"NAVARRO ZULUAGA, SOFIA")</f>
        <v>NAVARRO ZULUAGA, SOFIA</v>
      </c>
      <c r="D779" t="str">
        <f>IFERROR(__xludf.DUMMYFUNCTION("""COMPUTED_VALUE"""),"Math 8")</f>
        <v>Math 8</v>
      </c>
      <c r="E779" s="31">
        <f>IFERROR(__xludf.DUMMYFUNCTION("""COMPUTED_VALUE"""),6.0)</f>
        <v>6</v>
      </c>
      <c r="F779" s="8">
        <v>1.0</v>
      </c>
      <c r="G779" s="8">
        <v>1.0</v>
      </c>
      <c r="H779" s="8">
        <v>1.0</v>
      </c>
      <c r="I779" s="8">
        <v>1.0</v>
      </c>
      <c r="J779" s="8">
        <v>1.0</v>
      </c>
      <c r="K779" s="8">
        <v>1.0</v>
      </c>
      <c r="L779" s="8">
        <v>6.0</v>
      </c>
      <c r="M779" s="8"/>
      <c r="N779" s="8"/>
      <c r="O779" s="8" t="s">
        <v>731</v>
      </c>
      <c r="P779" s="8">
        <v>6.0</v>
      </c>
    </row>
    <row r="780">
      <c r="A780">
        <f>IFERROR(__xludf.DUMMYFUNCTION("""COMPUTED_VALUE"""),8.0)</f>
        <v>8</v>
      </c>
      <c r="B780">
        <f>IFERROR(__xludf.DUMMYFUNCTION("""COMPUTED_VALUE"""),29158.0)</f>
        <v>29158</v>
      </c>
      <c r="C780" t="str">
        <f>IFERROR(__xludf.DUMMYFUNCTION("""COMPUTED_VALUE"""),"NIEHAUS TRUJILLO, MICHELLE")</f>
        <v>NIEHAUS TRUJILLO, MICHELLE</v>
      </c>
      <c r="D780" t="str">
        <f>IFERROR(__xludf.DUMMYFUNCTION("""COMPUTED_VALUE"""),"Math 8A")</f>
        <v>Math 8A</v>
      </c>
      <c r="E780" s="31">
        <f>IFERROR(__xludf.DUMMYFUNCTION("""COMPUTED_VALUE"""),1.0)</f>
        <v>1</v>
      </c>
      <c r="F780" s="8">
        <v>1.0</v>
      </c>
      <c r="G780" s="8">
        <v>1.0</v>
      </c>
      <c r="H780" s="8">
        <v>1.0</v>
      </c>
      <c r="I780" s="8">
        <v>1.0</v>
      </c>
      <c r="J780" s="8">
        <v>1.0</v>
      </c>
      <c r="K780" s="8">
        <v>1.0</v>
      </c>
      <c r="L780" s="8">
        <v>6.0</v>
      </c>
      <c r="M780" s="8"/>
      <c r="N780" s="8"/>
      <c r="O780" s="8" t="s">
        <v>733</v>
      </c>
      <c r="P780" s="8" t="e">
        <v>#N/A</v>
      </c>
    </row>
    <row r="781">
      <c r="A781">
        <f>IFERROR(__xludf.DUMMYFUNCTION("""COMPUTED_VALUE"""),8.0)</f>
        <v>8</v>
      </c>
      <c r="B781">
        <f>IFERROR(__xludf.DUMMYFUNCTION("""COMPUTED_VALUE"""),29137.0)</f>
        <v>29137</v>
      </c>
      <c r="C781" t="str">
        <f>IFERROR(__xludf.DUMMYFUNCTION("""COMPUTED_VALUE"""),"OLARTE JARAMILLO, EMILIO")</f>
        <v>OLARTE JARAMILLO, EMILIO</v>
      </c>
      <c r="D781" t="str">
        <f>IFERROR(__xludf.DUMMYFUNCTION("""COMPUTED_VALUE"""),"Math 8")</f>
        <v>Math 8</v>
      </c>
      <c r="E781" s="31">
        <f>IFERROR(__xludf.DUMMYFUNCTION("""COMPUTED_VALUE"""),1.0)</f>
        <v>1</v>
      </c>
      <c r="F781" s="8">
        <v>1.0</v>
      </c>
      <c r="G781" s="8">
        <v>1.0</v>
      </c>
      <c r="H781" s="8">
        <v>1.0</v>
      </c>
      <c r="I781" s="8">
        <v>1.0</v>
      </c>
      <c r="J781" s="8">
        <v>1.0</v>
      </c>
      <c r="K781" s="8">
        <v>1.0</v>
      </c>
      <c r="L781" s="8">
        <v>6.0</v>
      </c>
      <c r="M781" s="8"/>
      <c r="N781" s="8"/>
      <c r="O781" s="8" t="s">
        <v>734</v>
      </c>
      <c r="P781" s="8">
        <v>6.0</v>
      </c>
    </row>
    <row r="782">
      <c r="A782">
        <f>IFERROR(__xludf.DUMMYFUNCTION("""COMPUTED_VALUE"""),8.0)</f>
        <v>8</v>
      </c>
      <c r="B782">
        <f>IFERROR(__xludf.DUMMYFUNCTION("""COMPUTED_VALUE"""),28077.0)</f>
        <v>28077</v>
      </c>
      <c r="C782" t="str">
        <f>IFERROR(__xludf.DUMMYFUNCTION("""COMPUTED_VALUE"""),"OLIVEIRA CASTAÑO, MARIANA")</f>
        <v>OLIVEIRA CASTAÑO, MARIANA</v>
      </c>
      <c r="D782" t="str">
        <f>IFERROR(__xludf.DUMMYFUNCTION("""COMPUTED_VALUE"""),"Math 8")</f>
        <v>Math 8</v>
      </c>
      <c r="E782" s="31">
        <f>IFERROR(__xludf.DUMMYFUNCTION("""COMPUTED_VALUE"""),1.0)</f>
        <v>1</v>
      </c>
      <c r="F782" s="8">
        <v>1.0</v>
      </c>
      <c r="G782" s="8">
        <v>1.0</v>
      </c>
      <c r="H782" s="8">
        <v>1.0</v>
      </c>
      <c r="I782" s="8">
        <v>1.0</v>
      </c>
      <c r="J782" s="8">
        <v>1.0</v>
      </c>
      <c r="K782" s="8">
        <v>1.0</v>
      </c>
      <c r="L782" s="8">
        <v>6.0</v>
      </c>
      <c r="M782" s="8"/>
      <c r="N782" s="8"/>
      <c r="O782" s="8" t="s">
        <v>734</v>
      </c>
      <c r="P782" s="8">
        <v>6.0</v>
      </c>
    </row>
    <row r="783">
      <c r="A783">
        <f>IFERROR(__xludf.DUMMYFUNCTION("""COMPUTED_VALUE"""),8.0)</f>
        <v>8</v>
      </c>
      <c r="B783">
        <f>IFERROR(__xludf.DUMMYFUNCTION("""COMPUTED_VALUE"""),29084.0)</f>
        <v>29084</v>
      </c>
      <c r="C783" t="str">
        <f>IFERROR(__xludf.DUMMYFUNCTION("""COMPUTED_VALUE"""),"OROZCO MONTOYA, ANTONIA")</f>
        <v>OROZCO MONTOYA, ANTONIA</v>
      </c>
      <c r="D783" t="str">
        <f>IFERROR(__xludf.DUMMYFUNCTION("""COMPUTED_VALUE"""),"Algebra")</f>
        <v>Algebra</v>
      </c>
      <c r="E783" s="31">
        <f>IFERROR(__xludf.DUMMYFUNCTION("""COMPUTED_VALUE"""),4.0)</f>
        <v>4</v>
      </c>
      <c r="F783" s="8">
        <v>1.0</v>
      </c>
      <c r="G783" s="8">
        <v>1.0</v>
      </c>
      <c r="H783" s="8">
        <v>1.0</v>
      </c>
      <c r="I783" s="8">
        <v>1.0</v>
      </c>
      <c r="J783" s="8">
        <v>1.0</v>
      </c>
      <c r="K783" s="8">
        <v>1.0</v>
      </c>
      <c r="L783" s="8">
        <v>6.0</v>
      </c>
      <c r="M783" s="8"/>
      <c r="N783" s="8"/>
      <c r="O783" s="8" t="s">
        <v>732</v>
      </c>
      <c r="P783" s="8" t="e">
        <v>#N/A</v>
      </c>
    </row>
    <row r="784">
      <c r="A784">
        <f>IFERROR(__xludf.DUMMYFUNCTION("""COMPUTED_VALUE"""),8.0)</f>
        <v>8</v>
      </c>
      <c r="B784">
        <f>IFERROR(__xludf.DUMMYFUNCTION("""COMPUTED_VALUE"""),29148.0)</f>
        <v>29148</v>
      </c>
      <c r="C784" t="str">
        <f>IFERROR(__xludf.DUMMYFUNCTION("""COMPUTED_VALUE"""),"OSORIO ARISTIZABAL, MATIAS")</f>
        <v>OSORIO ARISTIZABAL, MATIAS</v>
      </c>
      <c r="D784" t="str">
        <f>IFERROR(__xludf.DUMMYFUNCTION("""COMPUTED_VALUE"""),"Algebra")</f>
        <v>Algebra</v>
      </c>
      <c r="E784" s="31">
        <f>IFERROR(__xludf.DUMMYFUNCTION("""COMPUTED_VALUE"""),4.0)</f>
        <v>4</v>
      </c>
      <c r="F784" s="8">
        <v>1.0</v>
      </c>
      <c r="G784" s="8">
        <v>1.0</v>
      </c>
      <c r="H784" s="8">
        <v>1.0</v>
      </c>
      <c r="I784" s="8">
        <v>1.0</v>
      </c>
      <c r="J784" s="8">
        <v>1.0</v>
      </c>
      <c r="K784" s="8">
        <v>1.0</v>
      </c>
      <c r="L784" s="8">
        <v>6.0</v>
      </c>
      <c r="M784" s="8"/>
      <c r="N784" s="8"/>
      <c r="O784" s="8" t="s">
        <v>732</v>
      </c>
      <c r="P784" s="8" t="e">
        <v>#N/A</v>
      </c>
    </row>
    <row r="785">
      <c r="A785">
        <f>IFERROR(__xludf.DUMMYFUNCTION("""COMPUTED_VALUE"""),8.0)</f>
        <v>8</v>
      </c>
      <c r="B785">
        <f>IFERROR(__xludf.DUMMYFUNCTION("""COMPUTED_VALUE"""),29085.0)</f>
        <v>29085</v>
      </c>
      <c r="C785" t="str">
        <f>IFERROR(__xludf.DUMMYFUNCTION("""COMPUTED_VALUE"""),"OTALVARO ABAD, JUAN MARTIN")</f>
        <v>OTALVARO ABAD, JUAN MARTIN</v>
      </c>
      <c r="D785" t="str">
        <f>IFERROR(__xludf.DUMMYFUNCTION("""COMPUTED_VALUE"""),"Math 8A")</f>
        <v>Math 8A</v>
      </c>
      <c r="E785" s="31">
        <f>IFERROR(__xludf.DUMMYFUNCTION("""COMPUTED_VALUE"""),1.0)</f>
        <v>1</v>
      </c>
      <c r="F785" s="8">
        <v>1.0</v>
      </c>
      <c r="G785" s="8">
        <v>1.0</v>
      </c>
      <c r="H785" s="8">
        <v>1.0</v>
      </c>
      <c r="I785" s="8">
        <v>1.0</v>
      </c>
      <c r="J785" s="8">
        <v>1.0</v>
      </c>
      <c r="K785" s="8">
        <v>1.0</v>
      </c>
      <c r="L785" s="8">
        <v>6.0</v>
      </c>
      <c r="M785" s="8"/>
      <c r="N785" s="8"/>
      <c r="O785" s="8" t="s">
        <v>733</v>
      </c>
      <c r="P785" s="8" t="e">
        <v>#N/A</v>
      </c>
    </row>
    <row r="786">
      <c r="A786">
        <f>IFERROR(__xludf.DUMMYFUNCTION("""COMPUTED_VALUE"""),8.0)</f>
        <v>8</v>
      </c>
      <c r="B786">
        <f>IFERROR(__xludf.DUMMYFUNCTION("""COMPUTED_VALUE"""),29159.0)</f>
        <v>29159</v>
      </c>
      <c r="C786" t="str">
        <f>IFERROR(__xludf.DUMMYFUNCTION("""COMPUTED_VALUE"""),"PACHECO GARCIA, MARIANA")</f>
        <v>PACHECO GARCIA, MARIANA</v>
      </c>
      <c r="D786" t="str">
        <f>IFERROR(__xludf.DUMMYFUNCTION("""COMPUTED_VALUE"""),"Algebra")</f>
        <v>Algebra</v>
      </c>
      <c r="E786" s="31">
        <f>IFERROR(__xludf.DUMMYFUNCTION("""COMPUTED_VALUE"""),5.0)</f>
        <v>5</v>
      </c>
      <c r="F786" s="8">
        <v>1.0</v>
      </c>
      <c r="G786" s="8">
        <v>1.0</v>
      </c>
      <c r="H786" s="8">
        <v>1.0</v>
      </c>
      <c r="I786" s="8">
        <v>1.0</v>
      </c>
      <c r="J786" s="8">
        <v>1.0</v>
      </c>
      <c r="K786" s="8">
        <v>1.0</v>
      </c>
      <c r="L786" s="8">
        <v>6.0</v>
      </c>
      <c r="M786" s="8"/>
      <c r="N786" s="8"/>
      <c r="O786" s="8" t="s">
        <v>730</v>
      </c>
      <c r="P786" s="8" t="e">
        <v>#N/A</v>
      </c>
    </row>
    <row r="787">
      <c r="A787">
        <f>IFERROR(__xludf.DUMMYFUNCTION("""COMPUTED_VALUE"""),8.0)</f>
        <v>8</v>
      </c>
      <c r="B787">
        <f>IFERROR(__xludf.DUMMYFUNCTION("""COMPUTED_VALUE"""),29087.0)</f>
        <v>29087</v>
      </c>
      <c r="C787" t="str">
        <f>IFERROR(__xludf.DUMMYFUNCTION("""COMPUTED_VALUE"""),"PALACIO BOTERO, MATIAS")</f>
        <v>PALACIO BOTERO, MATIAS</v>
      </c>
      <c r="D787" t="str">
        <f>IFERROR(__xludf.DUMMYFUNCTION("""COMPUTED_VALUE"""),"Math 8")</f>
        <v>Math 8</v>
      </c>
      <c r="E787" s="31">
        <f>IFERROR(__xludf.DUMMYFUNCTION("""COMPUTED_VALUE"""),1.0)</f>
        <v>1</v>
      </c>
      <c r="F787" s="8">
        <v>1.0</v>
      </c>
      <c r="G787" s="8">
        <v>1.0</v>
      </c>
      <c r="H787" s="8">
        <v>1.0</v>
      </c>
      <c r="I787" s="8">
        <v>1.0</v>
      </c>
      <c r="J787" s="8">
        <v>1.0</v>
      </c>
      <c r="K787" s="8">
        <v>1.0</v>
      </c>
      <c r="L787" s="8">
        <v>6.0</v>
      </c>
      <c r="M787" s="8"/>
      <c r="N787" s="8"/>
      <c r="O787" s="8" t="s">
        <v>734</v>
      </c>
      <c r="P787" s="8">
        <v>6.0</v>
      </c>
    </row>
    <row r="788">
      <c r="A788">
        <f>IFERROR(__xludf.DUMMYFUNCTION("""COMPUTED_VALUE"""),8.0)</f>
        <v>8</v>
      </c>
      <c r="B788">
        <f>IFERROR(__xludf.DUMMYFUNCTION("""COMPUTED_VALUE"""),29088.0)</f>
        <v>29088</v>
      </c>
      <c r="C788" t="str">
        <f>IFERROR(__xludf.DUMMYFUNCTION("""COMPUTED_VALUE"""),"PEREZ ALVARADO, SARA")</f>
        <v>PEREZ ALVARADO, SARA</v>
      </c>
      <c r="D788" t="str">
        <f>IFERROR(__xludf.DUMMYFUNCTION("""COMPUTED_VALUE"""),"Algebra")</f>
        <v>Algebra</v>
      </c>
      <c r="E788" s="31">
        <f>IFERROR(__xludf.DUMMYFUNCTION("""COMPUTED_VALUE"""),4.0)</f>
        <v>4</v>
      </c>
      <c r="F788" s="8">
        <v>1.0</v>
      </c>
      <c r="G788" s="8">
        <v>1.0</v>
      </c>
      <c r="H788" s="8">
        <v>1.0</v>
      </c>
      <c r="I788" s="8">
        <v>1.0</v>
      </c>
      <c r="J788" s="8">
        <v>1.0</v>
      </c>
      <c r="K788" s="8">
        <v>1.0</v>
      </c>
      <c r="L788" s="8">
        <v>6.0</v>
      </c>
      <c r="M788" s="8"/>
      <c r="N788" s="8"/>
      <c r="O788" s="8" t="s">
        <v>732</v>
      </c>
      <c r="P788" s="8" t="e">
        <v>#N/A</v>
      </c>
    </row>
    <row r="789">
      <c r="A789">
        <f>IFERROR(__xludf.DUMMYFUNCTION("""COMPUTED_VALUE"""),8.0)</f>
        <v>8</v>
      </c>
      <c r="B789">
        <f>IFERROR(__xludf.DUMMYFUNCTION("""COMPUTED_VALUE"""),29089.0)</f>
        <v>29089</v>
      </c>
      <c r="C789" t="str">
        <f>IFERROR(__xludf.DUMMYFUNCTION("""COMPUTED_VALUE"""),"PEREZ BEDOYA, ELENA")</f>
        <v>PEREZ BEDOYA, ELENA</v>
      </c>
      <c r="D789" t="str">
        <f>IFERROR(__xludf.DUMMYFUNCTION("""COMPUTED_VALUE"""),"Algebra")</f>
        <v>Algebra</v>
      </c>
      <c r="E789" s="31">
        <f>IFERROR(__xludf.DUMMYFUNCTION("""COMPUTED_VALUE"""),3.0)</f>
        <v>3</v>
      </c>
      <c r="F789" s="8">
        <v>1.0</v>
      </c>
      <c r="G789" s="8">
        <v>1.0</v>
      </c>
      <c r="H789" s="8">
        <v>1.0</v>
      </c>
      <c r="I789" s="8">
        <v>1.0</v>
      </c>
      <c r="J789" s="8">
        <v>1.0</v>
      </c>
      <c r="K789" s="8">
        <v>1.0</v>
      </c>
      <c r="L789" s="8">
        <v>6.0</v>
      </c>
      <c r="M789" s="8"/>
      <c r="N789" s="8"/>
      <c r="O789" s="8" t="s">
        <v>729</v>
      </c>
      <c r="P789" s="8" t="e">
        <v>#N/A</v>
      </c>
    </row>
    <row r="790">
      <c r="A790">
        <f>IFERROR(__xludf.DUMMYFUNCTION("""COMPUTED_VALUE"""),8.0)</f>
        <v>8</v>
      </c>
      <c r="B790">
        <f>IFERROR(__xludf.DUMMYFUNCTION("""COMPUTED_VALUE"""),29157.0)</f>
        <v>29157</v>
      </c>
      <c r="C790" t="str">
        <f>IFERROR(__xludf.DUMMYFUNCTION("""COMPUTED_VALUE"""),"PETTERSSON VANEGAS, DOMINIQUE")</f>
        <v>PETTERSSON VANEGAS, DOMINIQUE</v>
      </c>
      <c r="D790" t="str">
        <f>IFERROR(__xludf.DUMMYFUNCTION("""COMPUTED_VALUE"""),"Algebra")</f>
        <v>Algebra</v>
      </c>
      <c r="E790" s="31">
        <f>IFERROR(__xludf.DUMMYFUNCTION("""COMPUTED_VALUE"""),3.0)</f>
        <v>3</v>
      </c>
      <c r="F790" s="8">
        <v>1.0</v>
      </c>
      <c r="G790" s="8">
        <v>1.0</v>
      </c>
      <c r="H790" s="8">
        <v>1.0</v>
      </c>
      <c r="I790" s="8">
        <v>1.0</v>
      </c>
      <c r="J790" s="8">
        <v>1.0</v>
      </c>
      <c r="K790" s="8">
        <v>1.0</v>
      </c>
      <c r="L790" s="8">
        <v>6.0</v>
      </c>
      <c r="M790" s="8"/>
      <c r="N790" s="8"/>
      <c r="O790" s="8" t="s">
        <v>729</v>
      </c>
      <c r="P790" s="8" t="e">
        <v>#N/A</v>
      </c>
    </row>
    <row r="791">
      <c r="A791">
        <f>IFERROR(__xludf.DUMMYFUNCTION("""COMPUTED_VALUE"""),8.0)</f>
        <v>8</v>
      </c>
      <c r="B791">
        <f>IFERROR(__xludf.DUMMYFUNCTION("""COMPUTED_VALUE"""),29091.0)</f>
        <v>29091</v>
      </c>
      <c r="C791" t="str">
        <f>IFERROR(__xludf.DUMMYFUNCTION("""COMPUTED_VALUE"""),"PLATA BOLAÑOS, CAMILA")</f>
        <v>PLATA BOLAÑOS, CAMILA</v>
      </c>
      <c r="D791" t="str">
        <f>IFERROR(__xludf.DUMMYFUNCTION("""COMPUTED_VALUE"""),"Algebra")</f>
        <v>Algebra</v>
      </c>
      <c r="E791" s="31">
        <f>IFERROR(__xludf.DUMMYFUNCTION("""COMPUTED_VALUE"""),3.0)</f>
        <v>3</v>
      </c>
      <c r="F791" s="8">
        <v>1.0</v>
      </c>
      <c r="G791" s="8">
        <v>1.0</v>
      </c>
      <c r="H791" s="8">
        <v>1.0</v>
      </c>
      <c r="I791" s="8">
        <v>1.0</v>
      </c>
      <c r="J791" s="8">
        <v>1.0</v>
      </c>
      <c r="K791" s="8">
        <v>1.0</v>
      </c>
      <c r="L791" s="8">
        <v>6.0</v>
      </c>
      <c r="M791" s="8"/>
      <c r="N791" s="8"/>
      <c r="O791" s="8" t="s">
        <v>729</v>
      </c>
      <c r="P791" s="8" t="e">
        <v>#N/A</v>
      </c>
    </row>
    <row r="792">
      <c r="A792">
        <f>IFERROR(__xludf.DUMMYFUNCTION("""COMPUTED_VALUE"""),8.0)</f>
        <v>8</v>
      </c>
      <c r="B792">
        <f>IFERROR(__xludf.DUMMYFUNCTION("""COMPUTED_VALUE"""),29093.0)</f>
        <v>29093</v>
      </c>
      <c r="C792" t="str">
        <f>IFERROR(__xludf.DUMMYFUNCTION("""COMPUTED_VALUE"""),"PUGLIESE STRICKLAND, MARCELLO ANTONIO")</f>
        <v>PUGLIESE STRICKLAND, MARCELLO ANTONIO</v>
      </c>
      <c r="D792" t="str">
        <f>IFERROR(__xludf.DUMMYFUNCTION("""COMPUTED_VALUE"""),"Algebra")</f>
        <v>Algebra</v>
      </c>
      <c r="E792" s="31">
        <f>IFERROR(__xludf.DUMMYFUNCTION("""COMPUTED_VALUE"""),5.0)</f>
        <v>5</v>
      </c>
      <c r="F792" s="8">
        <v>1.0</v>
      </c>
      <c r="G792" s="8">
        <v>1.0</v>
      </c>
      <c r="H792" s="8">
        <v>1.0</v>
      </c>
      <c r="I792" s="8">
        <v>1.0</v>
      </c>
      <c r="J792" s="8">
        <v>1.0</v>
      </c>
      <c r="K792" s="8">
        <v>1.0</v>
      </c>
      <c r="L792" s="8">
        <v>6.0</v>
      </c>
      <c r="M792" s="8"/>
      <c r="N792" s="8"/>
      <c r="O792" s="8" t="s">
        <v>730</v>
      </c>
      <c r="P792" s="8" t="e">
        <v>#N/A</v>
      </c>
    </row>
    <row r="793">
      <c r="A793">
        <f>IFERROR(__xludf.DUMMYFUNCTION("""COMPUTED_VALUE"""),8.0)</f>
        <v>8</v>
      </c>
      <c r="B793">
        <f>IFERROR(__xludf.DUMMYFUNCTION("""COMPUTED_VALUE"""),28087.0)</f>
        <v>28087</v>
      </c>
      <c r="C793" t="str">
        <f>IFERROR(__xludf.DUMMYFUNCTION("""COMPUTED_VALUE"""),"QUINTERO HENAO, MATEO")</f>
        <v>QUINTERO HENAO, MATEO</v>
      </c>
      <c r="D793" t="str">
        <f>IFERROR(__xludf.DUMMYFUNCTION("""COMPUTED_VALUE"""),"Math 8A")</f>
        <v>Math 8A</v>
      </c>
      <c r="E793" s="31">
        <f>IFERROR(__xludf.DUMMYFUNCTION("""COMPUTED_VALUE"""),1.0)</f>
        <v>1</v>
      </c>
      <c r="F793" s="8">
        <v>1.0</v>
      </c>
      <c r="G793" s="8">
        <v>1.0</v>
      </c>
      <c r="H793" s="8">
        <v>1.0</v>
      </c>
      <c r="I793" s="8">
        <v>1.0</v>
      </c>
      <c r="J793" s="8">
        <v>1.0</v>
      </c>
      <c r="K793" s="8">
        <v>1.0</v>
      </c>
      <c r="L793" s="8">
        <v>6.0</v>
      </c>
      <c r="M793" s="8"/>
      <c r="N793" s="8"/>
      <c r="O793" s="8" t="s">
        <v>733</v>
      </c>
      <c r="P793" s="8" t="e">
        <v>#N/A</v>
      </c>
    </row>
    <row r="794">
      <c r="A794">
        <f>IFERROR(__xludf.DUMMYFUNCTION("""COMPUTED_VALUE"""),8.0)</f>
        <v>8</v>
      </c>
      <c r="B794">
        <f>IFERROR(__xludf.DUMMYFUNCTION("""COMPUTED_VALUE"""),29096.0)</f>
        <v>29096</v>
      </c>
      <c r="C794" t="str">
        <f>IFERROR(__xludf.DUMMYFUNCTION("""COMPUTED_VALUE"""),"RAMIREZ PELAEZ, ANTONIA")</f>
        <v>RAMIREZ PELAEZ, ANTONIA</v>
      </c>
      <c r="D794" t="str">
        <f>IFERROR(__xludf.DUMMYFUNCTION("""COMPUTED_VALUE"""),"Algebra")</f>
        <v>Algebra</v>
      </c>
      <c r="E794" s="31">
        <f>IFERROR(__xludf.DUMMYFUNCTION("""COMPUTED_VALUE"""),5.0)</f>
        <v>5</v>
      </c>
      <c r="F794" s="8">
        <v>1.0</v>
      </c>
      <c r="G794" s="8">
        <v>1.0</v>
      </c>
      <c r="H794" s="8">
        <v>1.0</v>
      </c>
      <c r="I794" s="8">
        <v>1.0</v>
      </c>
      <c r="J794" s="8">
        <v>1.0</v>
      </c>
      <c r="K794" s="8">
        <v>1.0</v>
      </c>
      <c r="L794" s="8">
        <v>6.0</v>
      </c>
      <c r="M794" s="8"/>
      <c r="N794" s="8"/>
      <c r="O794" s="8" t="s">
        <v>730</v>
      </c>
      <c r="P794" s="8" t="e">
        <v>#N/A</v>
      </c>
    </row>
    <row r="795">
      <c r="A795">
        <f>IFERROR(__xludf.DUMMYFUNCTION("""COMPUTED_VALUE"""),8.0)</f>
        <v>8</v>
      </c>
      <c r="B795">
        <f>IFERROR(__xludf.DUMMYFUNCTION("""COMPUTED_VALUE"""),29097.0)</f>
        <v>29097</v>
      </c>
      <c r="C795" t="str">
        <f>IFERROR(__xludf.DUMMYFUNCTION("""COMPUTED_VALUE"""),"RAMIREZ PELAEZ, ELENA")</f>
        <v>RAMIREZ PELAEZ, ELENA</v>
      </c>
      <c r="D795" t="str">
        <f>IFERROR(__xludf.DUMMYFUNCTION("""COMPUTED_VALUE"""),"Algebra")</f>
        <v>Algebra</v>
      </c>
      <c r="E795" s="31">
        <f>IFERROR(__xludf.DUMMYFUNCTION("""COMPUTED_VALUE"""),4.0)</f>
        <v>4</v>
      </c>
      <c r="F795" s="8">
        <v>1.0</v>
      </c>
      <c r="G795" s="8">
        <v>1.0</v>
      </c>
      <c r="H795" s="8">
        <v>1.0</v>
      </c>
      <c r="I795" s="8">
        <v>1.0</v>
      </c>
      <c r="J795" s="8">
        <v>1.0</v>
      </c>
      <c r="K795" s="8">
        <v>1.0</v>
      </c>
      <c r="L795" s="8">
        <v>6.0</v>
      </c>
      <c r="M795" s="8"/>
      <c r="N795" s="8"/>
      <c r="O795" s="8" t="s">
        <v>732</v>
      </c>
      <c r="P795" s="8" t="e">
        <v>#N/A</v>
      </c>
    </row>
    <row r="796">
      <c r="A796">
        <f>IFERROR(__xludf.DUMMYFUNCTION("""COMPUTED_VALUE"""),8.0)</f>
        <v>8</v>
      </c>
      <c r="B796">
        <f>IFERROR(__xludf.DUMMYFUNCTION("""COMPUTED_VALUE"""),29169.0)</f>
        <v>29169</v>
      </c>
      <c r="C796" t="str">
        <f>IFERROR(__xludf.DUMMYFUNCTION("""COMPUTED_VALUE"""),"REPETTO LARROSA, FAUSTINO")</f>
        <v>REPETTO LARROSA, FAUSTINO</v>
      </c>
      <c r="D796" t="str">
        <f>IFERROR(__xludf.DUMMYFUNCTION("""COMPUTED_VALUE"""),"Math 8")</f>
        <v>Math 8</v>
      </c>
      <c r="E796" s="31">
        <f>IFERROR(__xludf.DUMMYFUNCTION("""COMPUTED_VALUE"""),1.0)</f>
        <v>1</v>
      </c>
      <c r="F796" s="8">
        <v>1.0</v>
      </c>
      <c r="G796" s="8">
        <v>1.0</v>
      </c>
      <c r="H796" s="8">
        <v>1.0</v>
      </c>
      <c r="I796" s="8">
        <v>1.0</v>
      </c>
      <c r="J796" s="8">
        <v>1.0</v>
      </c>
      <c r="K796" s="8">
        <v>1.0</v>
      </c>
      <c r="L796" s="8">
        <v>6.0</v>
      </c>
      <c r="M796" s="8"/>
      <c r="N796" s="8"/>
      <c r="O796" s="8" t="s">
        <v>734</v>
      </c>
      <c r="P796" s="8">
        <v>6.0</v>
      </c>
    </row>
    <row r="797">
      <c r="A797">
        <f>IFERROR(__xludf.DUMMYFUNCTION("""COMPUTED_VALUE"""),8.0)</f>
        <v>8</v>
      </c>
      <c r="B797">
        <f>IFERROR(__xludf.DUMMYFUNCTION("""COMPUTED_VALUE"""),29098.0)</f>
        <v>29098</v>
      </c>
      <c r="C797" t="str">
        <f>IFERROR(__xludf.DUMMYFUNCTION("""COMPUTED_VALUE"""),"RESTREPO ESCOBAR, ISABELA")</f>
        <v>RESTREPO ESCOBAR, ISABELA</v>
      </c>
      <c r="D797" t="str">
        <f>IFERROR(__xludf.DUMMYFUNCTION("""COMPUTED_VALUE"""),"Algebra")</f>
        <v>Algebra</v>
      </c>
      <c r="E797" s="31">
        <f>IFERROR(__xludf.DUMMYFUNCTION("""COMPUTED_VALUE"""),4.0)</f>
        <v>4</v>
      </c>
      <c r="F797" s="8">
        <v>1.0</v>
      </c>
      <c r="G797" s="8">
        <v>1.0</v>
      </c>
      <c r="H797" s="8">
        <v>1.0</v>
      </c>
      <c r="I797" s="8">
        <v>1.0</v>
      </c>
      <c r="J797" s="8">
        <v>1.0</v>
      </c>
      <c r="K797" s="8">
        <v>1.0</v>
      </c>
      <c r="L797" s="8">
        <v>6.0</v>
      </c>
      <c r="M797" s="8"/>
      <c r="N797" s="8"/>
      <c r="O797" s="8" t="s">
        <v>732</v>
      </c>
      <c r="P797" s="8" t="e">
        <v>#N/A</v>
      </c>
    </row>
    <row r="798">
      <c r="A798">
        <f>IFERROR(__xludf.DUMMYFUNCTION("""COMPUTED_VALUE"""),8.0)</f>
        <v>8</v>
      </c>
      <c r="B798">
        <f>IFERROR(__xludf.DUMMYFUNCTION("""COMPUTED_VALUE"""),29099.0)</f>
        <v>29099</v>
      </c>
      <c r="C798" t="str">
        <f>IFERROR(__xludf.DUMMYFUNCTION("""COMPUTED_VALUE"""),"RESTREPO RESTREPO, MATIAS")</f>
        <v>RESTREPO RESTREPO, MATIAS</v>
      </c>
      <c r="D798" t="str">
        <f>IFERROR(__xludf.DUMMYFUNCTION("""COMPUTED_VALUE"""),"Math 8A")</f>
        <v>Math 8A</v>
      </c>
      <c r="E798" s="31">
        <f>IFERROR(__xludf.DUMMYFUNCTION("""COMPUTED_VALUE"""),1.0)</f>
        <v>1</v>
      </c>
      <c r="F798" s="8">
        <v>1.0</v>
      </c>
      <c r="G798" s="8">
        <v>1.0</v>
      </c>
      <c r="H798" s="8">
        <v>1.0</v>
      </c>
      <c r="I798" s="8">
        <v>1.0</v>
      </c>
      <c r="J798" s="8">
        <v>1.0</v>
      </c>
      <c r="K798" s="8">
        <v>1.0</v>
      </c>
      <c r="L798" s="8">
        <v>6.0</v>
      </c>
      <c r="M798" s="8"/>
      <c r="N798" s="8"/>
      <c r="O798" s="8" t="s">
        <v>733</v>
      </c>
      <c r="P798" s="8" t="e">
        <v>#N/A</v>
      </c>
    </row>
    <row r="799">
      <c r="A799">
        <f>IFERROR(__xludf.DUMMYFUNCTION("""COMPUTED_VALUE"""),8.0)</f>
        <v>8</v>
      </c>
      <c r="B799">
        <f>IFERROR(__xludf.DUMMYFUNCTION("""COMPUTED_VALUE"""),29100.0)</f>
        <v>29100</v>
      </c>
      <c r="C799" t="str">
        <f>IFERROR(__xludf.DUMMYFUNCTION("""COMPUTED_VALUE"""),"RESTREPO VILLEGAS, PEDRO")</f>
        <v>RESTREPO VILLEGAS, PEDRO</v>
      </c>
      <c r="D799" t="str">
        <f>IFERROR(__xludf.DUMMYFUNCTION("""COMPUTED_VALUE"""),"Math 8A")</f>
        <v>Math 8A</v>
      </c>
      <c r="E799" s="31">
        <f>IFERROR(__xludf.DUMMYFUNCTION("""COMPUTED_VALUE"""),1.0)</f>
        <v>1</v>
      </c>
      <c r="F799" s="8">
        <v>1.0</v>
      </c>
      <c r="G799" s="8">
        <v>1.0</v>
      </c>
      <c r="H799" s="8">
        <v>1.0</v>
      </c>
      <c r="I799" s="8">
        <v>1.0</v>
      </c>
      <c r="J799" s="8">
        <v>1.0</v>
      </c>
      <c r="K799" s="8">
        <v>1.0</v>
      </c>
      <c r="L799" s="8">
        <v>6.0</v>
      </c>
      <c r="M799" s="8"/>
      <c r="N799" s="8"/>
      <c r="O799" s="8" t="s">
        <v>733</v>
      </c>
      <c r="P799" s="8" t="e">
        <v>#N/A</v>
      </c>
    </row>
    <row r="800">
      <c r="A800">
        <f>IFERROR(__xludf.DUMMYFUNCTION("""COMPUTED_VALUE"""),8.0)</f>
        <v>8</v>
      </c>
      <c r="B800">
        <f>IFERROR(__xludf.DUMMYFUNCTION("""COMPUTED_VALUE"""),29101.0)</f>
        <v>29101</v>
      </c>
      <c r="C800" t="str">
        <f>IFERROR(__xludf.DUMMYFUNCTION("""COMPUTED_VALUE"""),"ROBLES MARTINEZ, MARIA")</f>
        <v>ROBLES MARTINEZ, MARIA</v>
      </c>
      <c r="D800" t="str">
        <f>IFERROR(__xludf.DUMMYFUNCTION("""COMPUTED_VALUE"""),"Algebra")</f>
        <v>Algebra</v>
      </c>
      <c r="E800" s="31">
        <f>IFERROR(__xludf.DUMMYFUNCTION("""COMPUTED_VALUE"""),4.0)</f>
        <v>4</v>
      </c>
      <c r="F800" s="8">
        <v>1.0</v>
      </c>
      <c r="G800" s="8">
        <v>1.0</v>
      </c>
      <c r="H800" s="8">
        <v>1.0</v>
      </c>
      <c r="I800" s="8">
        <v>1.0</v>
      </c>
      <c r="J800" s="8">
        <v>1.0</v>
      </c>
      <c r="K800" s="8">
        <v>1.0</v>
      </c>
      <c r="L800" s="8">
        <v>6.0</v>
      </c>
      <c r="M800" s="8"/>
      <c r="N800" s="8"/>
      <c r="O800" s="8" t="s">
        <v>732</v>
      </c>
      <c r="P800" s="8" t="e">
        <v>#N/A</v>
      </c>
    </row>
    <row r="801">
      <c r="A801">
        <f>IFERROR(__xludf.DUMMYFUNCTION("""COMPUTED_VALUE"""),8.0)</f>
        <v>8</v>
      </c>
      <c r="B801">
        <f>IFERROR(__xludf.DUMMYFUNCTION("""COMPUTED_VALUE"""),28160.0)</f>
        <v>28160</v>
      </c>
      <c r="C801" t="str">
        <f>IFERROR(__xludf.DUMMYFUNCTION("""COMPUTED_VALUE"""),"ROJAS REYES, JERONIMO")</f>
        <v>ROJAS REYES, JERONIMO</v>
      </c>
      <c r="D801" t="str">
        <f>IFERROR(__xludf.DUMMYFUNCTION("""COMPUTED_VALUE"""),"Math 8")</f>
        <v>Math 8</v>
      </c>
      <c r="E801" s="31">
        <f>IFERROR(__xludf.DUMMYFUNCTION("""COMPUTED_VALUE"""),1.0)</f>
        <v>1</v>
      </c>
      <c r="F801" s="8">
        <v>1.0</v>
      </c>
      <c r="G801" s="8">
        <v>1.0</v>
      </c>
      <c r="H801" s="8">
        <v>1.0</v>
      </c>
      <c r="I801" s="8">
        <v>1.0</v>
      </c>
      <c r="J801" s="8">
        <v>1.0</v>
      </c>
      <c r="K801" s="8">
        <v>1.0</v>
      </c>
      <c r="L801" s="8">
        <v>6.0</v>
      </c>
      <c r="M801" s="8"/>
      <c r="N801" s="8"/>
      <c r="O801" s="8" t="s">
        <v>734</v>
      </c>
      <c r="P801" s="8">
        <v>6.0</v>
      </c>
    </row>
    <row r="802">
      <c r="A802">
        <f>IFERROR(__xludf.DUMMYFUNCTION("""COMPUTED_VALUE"""),8.0)</f>
        <v>8</v>
      </c>
      <c r="B802">
        <f>IFERROR(__xludf.DUMMYFUNCTION("""COMPUTED_VALUE"""),29163.0)</f>
        <v>29163</v>
      </c>
      <c r="C802" t="str">
        <f>IFERROR(__xludf.DUMMYFUNCTION("""COMPUTED_VALUE"""),"ROMERO OROZCO, SALVADOR")</f>
        <v>ROMERO OROZCO, SALVADOR</v>
      </c>
      <c r="D802" t="str">
        <f>IFERROR(__xludf.DUMMYFUNCTION("""COMPUTED_VALUE"""),"Math 8A")</f>
        <v>Math 8A</v>
      </c>
      <c r="E802" s="31">
        <f>IFERROR(__xludf.DUMMYFUNCTION("""COMPUTED_VALUE"""),1.0)</f>
        <v>1</v>
      </c>
      <c r="F802" s="8">
        <v>1.0</v>
      </c>
      <c r="G802" s="8">
        <v>1.0</v>
      </c>
      <c r="H802" s="8">
        <v>1.0</v>
      </c>
      <c r="I802" s="8">
        <v>1.0</v>
      </c>
      <c r="J802" s="8">
        <v>1.0</v>
      </c>
      <c r="K802" s="8">
        <v>1.0</v>
      </c>
      <c r="L802" s="8">
        <v>6.0</v>
      </c>
      <c r="M802" s="8"/>
      <c r="N802" s="8"/>
      <c r="O802" s="8" t="s">
        <v>733</v>
      </c>
      <c r="P802" s="8" t="e">
        <v>#N/A</v>
      </c>
    </row>
    <row r="803">
      <c r="A803">
        <f>IFERROR(__xludf.DUMMYFUNCTION("""COMPUTED_VALUE"""),8.0)</f>
        <v>8</v>
      </c>
      <c r="B803">
        <f>IFERROR(__xludf.DUMMYFUNCTION("""COMPUTED_VALUE"""),29103.0)</f>
        <v>29103</v>
      </c>
      <c r="C803" t="str">
        <f>IFERROR(__xludf.DUMMYFUNCTION("""COMPUTED_VALUE"""),"SALAZAR ECHEVERRI, ANTONIA")</f>
        <v>SALAZAR ECHEVERRI, ANTONIA</v>
      </c>
      <c r="D803" t="str">
        <f>IFERROR(__xludf.DUMMYFUNCTION("""COMPUTED_VALUE"""),"Math 8")</f>
        <v>Math 8</v>
      </c>
      <c r="E803" s="31">
        <f>IFERROR(__xludf.DUMMYFUNCTION("""COMPUTED_VALUE"""),6.0)</f>
        <v>6</v>
      </c>
      <c r="F803" s="8">
        <v>1.0</v>
      </c>
      <c r="G803" s="8">
        <v>1.0</v>
      </c>
      <c r="H803" s="8">
        <v>1.0</v>
      </c>
      <c r="I803" s="8">
        <v>1.0</v>
      </c>
      <c r="J803" s="8">
        <v>1.0</v>
      </c>
      <c r="K803" s="8">
        <v>1.0</v>
      </c>
      <c r="L803" s="8">
        <v>6.0</v>
      </c>
      <c r="M803" s="8"/>
      <c r="N803" s="8"/>
      <c r="O803" s="8" t="s">
        <v>731</v>
      </c>
      <c r="P803" s="8">
        <v>6.0</v>
      </c>
    </row>
    <row r="804">
      <c r="A804">
        <f>IFERROR(__xludf.DUMMYFUNCTION("""COMPUTED_VALUE"""),8.0)</f>
        <v>8</v>
      </c>
      <c r="B804">
        <f>IFERROR(__xludf.DUMMYFUNCTION("""COMPUTED_VALUE"""),29149.0)</f>
        <v>29149</v>
      </c>
      <c r="C804" t="str">
        <f>IFERROR(__xludf.DUMMYFUNCTION("""COMPUTED_VALUE"""),"SALEMME GUTIERREZ, AMALIA")</f>
        <v>SALEMME GUTIERREZ, AMALIA</v>
      </c>
      <c r="D804" t="str">
        <f>IFERROR(__xludf.DUMMYFUNCTION("""COMPUTED_VALUE"""),"Algebra")</f>
        <v>Algebra</v>
      </c>
      <c r="E804" s="31">
        <f>IFERROR(__xludf.DUMMYFUNCTION("""COMPUTED_VALUE"""),3.0)</f>
        <v>3</v>
      </c>
      <c r="F804" s="8">
        <v>1.0</v>
      </c>
      <c r="G804" s="8">
        <v>1.0</v>
      </c>
      <c r="H804" s="8">
        <v>1.0</v>
      </c>
      <c r="I804" s="8">
        <v>1.0</v>
      </c>
      <c r="J804" s="8">
        <v>1.0</v>
      </c>
      <c r="K804" s="8">
        <v>1.0</v>
      </c>
      <c r="L804" s="8">
        <v>6.0</v>
      </c>
      <c r="M804" s="8"/>
      <c r="N804" s="8"/>
      <c r="O804" s="8" t="s">
        <v>729</v>
      </c>
      <c r="P804" s="8" t="e">
        <v>#N/A</v>
      </c>
    </row>
    <row r="805">
      <c r="A805">
        <f>IFERROR(__xludf.DUMMYFUNCTION("""COMPUTED_VALUE"""),8.0)</f>
        <v>8</v>
      </c>
      <c r="B805">
        <f>IFERROR(__xludf.DUMMYFUNCTION("""COMPUTED_VALUE"""),29105.0)</f>
        <v>29105</v>
      </c>
      <c r="C805" t="str">
        <f>IFERROR(__xludf.DUMMYFUNCTION("""COMPUTED_VALUE"""),"SANCHEZ DIAZ, MATIAS")</f>
        <v>SANCHEZ DIAZ, MATIAS</v>
      </c>
      <c r="D805" t="str">
        <f>IFERROR(__xludf.DUMMYFUNCTION("""COMPUTED_VALUE"""),"Math 8A")</f>
        <v>Math 8A</v>
      </c>
      <c r="E805" s="31">
        <f>IFERROR(__xludf.DUMMYFUNCTION("""COMPUTED_VALUE"""),1.0)</f>
        <v>1</v>
      </c>
      <c r="F805" s="8">
        <v>1.0</v>
      </c>
      <c r="G805" s="8">
        <v>1.0</v>
      </c>
      <c r="H805" s="8">
        <v>1.0</v>
      </c>
      <c r="I805" s="8">
        <v>1.0</v>
      </c>
      <c r="J805" s="8">
        <v>1.0</v>
      </c>
      <c r="K805" s="8">
        <v>1.0</v>
      </c>
      <c r="L805" s="8">
        <v>6.0</v>
      </c>
      <c r="M805" s="8"/>
      <c r="N805" s="8"/>
      <c r="O805" s="8" t="s">
        <v>733</v>
      </c>
      <c r="P805" s="8" t="e">
        <v>#N/A</v>
      </c>
    </row>
    <row r="806">
      <c r="A806">
        <f>IFERROR(__xludf.DUMMYFUNCTION("""COMPUTED_VALUE"""),8.0)</f>
        <v>8</v>
      </c>
      <c r="B806">
        <f>IFERROR(__xludf.DUMMYFUNCTION("""COMPUTED_VALUE"""),29106.0)</f>
        <v>29106</v>
      </c>
      <c r="C806" t="str">
        <f>IFERROR(__xludf.DUMMYFUNCTION("""COMPUTED_VALUE"""),"SANCHEZ DIAZ, SIMON")</f>
        <v>SANCHEZ DIAZ, SIMON</v>
      </c>
      <c r="D806" t="str">
        <f>IFERROR(__xludf.DUMMYFUNCTION("""COMPUTED_VALUE"""),"Algebra")</f>
        <v>Algebra</v>
      </c>
      <c r="E806" s="31">
        <f>IFERROR(__xludf.DUMMYFUNCTION("""COMPUTED_VALUE"""),5.0)</f>
        <v>5</v>
      </c>
      <c r="F806" s="8">
        <v>1.0</v>
      </c>
      <c r="G806" s="8">
        <v>1.0</v>
      </c>
      <c r="H806" s="8">
        <v>1.0</v>
      </c>
      <c r="I806" s="8">
        <v>1.0</v>
      </c>
      <c r="J806" s="8">
        <v>1.0</v>
      </c>
      <c r="K806" s="8">
        <v>1.0</v>
      </c>
      <c r="L806" s="8">
        <v>6.0</v>
      </c>
      <c r="M806" s="8"/>
      <c r="N806" s="8"/>
      <c r="O806" s="8" t="s">
        <v>730</v>
      </c>
      <c r="P806" s="8" t="e">
        <v>#N/A</v>
      </c>
    </row>
    <row r="807">
      <c r="A807">
        <f>IFERROR(__xludf.DUMMYFUNCTION("""COMPUTED_VALUE"""),8.0)</f>
        <v>8</v>
      </c>
      <c r="B807">
        <f>IFERROR(__xludf.DUMMYFUNCTION("""COMPUTED_VALUE"""),29107.0)</f>
        <v>29107</v>
      </c>
      <c r="C807" t="str">
        <f>IFERROR(__xludf.DUMMYFUNCTION("""COMPUTED_VALUE"""),"SANIN JARAMILLO, PEDRO")</f>
        <v>SANIN JARAMILLO, PEDRO</v>
      </c>
      <c r="D807" t="str">
        <f>IFERROR(__xludf.DUMMYFUNCTION("""COMPUTED_VALUE"""),"Algebra")</f>
        <v>Algebra</v>
      </c>
      <c r="E807" s="31">
        <f>IFERROR(__xludf.DUMMYFUNCTION("""COMPUTED_VALUE"""),4.0)</f>
        <v>4</v>
      </c>
      <c r="F807" s="8">
        <v>1.0</v>
      </c>
      <c r="G807" s="8">
        <v>1.0</v>
      </c>
      <c r="H807" s="8">
        <v>1.0</v>
      </c>
      <c r="I807" s="8">
        <v>1.0</v>
      </c>
      <c r="J807" s="8">
        <v>1.0</v>
      </c>
      <c r="K807" s="8">
        <v>1.0</v>
      </c>
      <c r="L807" s="8">
        <v>6.0</v>
      </c>
      <c r="M807" s="8"/>
      <c r="N807" s="8"/>
      <c r="O807" s="8" t="s">
        <v>732</v>
      </c>
      <c r="P807" s="8" t="e">
        <v>#N/A</v>
      </c>
    </row>
    <row r="808">
      <c r="A808">
        <f>IFERROR(__xludf.DUMMYFUNCTION("""COMPUTED_VALUE"""),8.0)</f>
        <v>8</v>
      </c>
      <c r="B808">
        <f>IFERROR(__xludf.DUMMYFUNCTION("""COMPUTED_VALUE"""),29108.0)</f>
        <v>29108</v>
      </c>
      <c r="C808" t="str">
        <f>IFERROR(__xludf.DUMMYFUNCTION("""COMPUTED_VALUE"""),"SCHOBER OCAMPO, DANIEL")</f>
        <v>SCHOBER OCAMPO, DANIEL</v>
      </c>
      <c r="D808" t="str">
        <f>IFERROR(__xludf.DUMMYFUNCTION("""COMPUTED_VALUE"""),"Math 8")</f>
        <v>Math 8</v>
      </c>
      <c r="E808" s="31">
        <f>IFERROR(__xludf.DUMMYFUNCTION("""COMPUTED_VALUE"""),6.0)</f>
        <v>6</v>
      </c>
      <c r="F808" s="8">
        <v>1.0</v>
      </c>
      <c r="G808" s="8">
        <v>1.0</v>
      </c>
      <c r="H808" s="8">
        <v>1.0</v>
      </c>
      <c r="I808" s="8">
        <v>1.0</v>
      </c>
      <c r="J808" s="8">
        <v>1.0</v>
      </c>
      <c r="K808" s="8">
        <v>1.0</v>
      </c>
      <c r="L808" s="8">
        <v>6.0</v>
      </c>
      <c r="M808" s="8"/>
      <c r="N808" s="8"/>
      <c r="O808" s="8" t="s">
        <v>731</v>
      </c>
      <c r="P808" s="8">
        <v>6.0</v>
      </c>
    </row>
    <row r="809">
      <c r="A809">
        <f>IFERROR(__xludf.DUMMYFUNCTION("""COMPUTED_VALUE"""),8.0)</f>
        <v>8</v>
      </c>
      <c r="B809">
        <f>IFERROR(__xludf.DUMMYFUNCTION("""COMPUTED_VALUE"""),29171.0)</f>
        <v>29171</v>
      </c>
      <c r="C809" t="str">
        <f>IFERROR(__xludf.DUMMYFUNCTION("""COMPUTED_VALUE"""),"SCHUCHASKIE, KEATON")</f>
        <v>SCHUCHASKIE, KEATON</v>
      </c>
      <c r="D809" t="str">
        <f>IFERROR(__xludf.DUMMYFUNCTION("""COMPUTED_VALUE"""),"Math 8")</f>
        <v>Math 8</v>
      </c>
      <c r="E809" s="31">
        <f>IFERROR(__xludf.DUMMYFUNCTION("""COMPUTED_VALUE"""),1.0)</f>
        <v>1</v>
      </c>
      <c r="F809" s="8">
        <v>1.0</v>
      </c>
      <c r="G809" s="8">
        <v>1.0</v>
      </c>
      <c r="H809" s="8">
        <v>1.0</v>
      </c>
      <c r="I809" s="8">
        <v>1.0</v>
      </c>
      <c r="J809" s="8">
        <v>1.0</v>
      </c>
      <c r="K809" s="8">
        <v>1.0</v>
      </c>
      <c r="L809" s="8">
        <v>6.0</v>
      </c>
      <c r="M809" s="8"/>
      <c r="N809" s="8"/>
      <c r="O809" s="8" t="s">
        <v>734</v>
      </c>
      <c r="P809" s="8">
        <v>6.0</v>
      </c>
    </row>
    <row r="810">
      <c r="A810">
        <f>IFERROR(__xludf.DUMMYFUNCTION("""COMPUTED_VALUE"""),8.0)</f>
        <v>8</v>
      </c>
      <c r="B810">
        <f>IFERROR(__xludf.DUMMYFUNCTION("""COMPUTED_VALUE"""),29109.0)</f>
        <v>29109</v>
      </c>
      <c r="C810" t="str">
        <f>IFERROR(__xludf.DUMMYFUNCTION("""COMPUTED_VALUE"""),"SERANI ANGEL, LUCIANA")</f>
        <v>SERANI ANGEL, LUCIANA</v>
      </c>
      <c r="D810" t="str">
        <f>IFERROR(__xludf.DUMMYFUNCTION("""COMPUTED_VALUE"""),"Math 8")</f>
        <v>Math 8</v>
      </c>
      <c r="E810" s="31">
        <f>IFERROR(__xludf.DUMMYFUNCTION("""COMPUTED_VALUE"""),6.0)</f>
        <v>6</v>
      </c>
      <c r="F810" s="8">
        <v>1.0</v>
      </c>
      <c r="G810" s="8">
        <v>1.0</v>
      </c>
      <c r="H810" s="8">
        <v>1.0</v>
      </c>
      <c r="I810" s="8">
        <v>1.0</v>
      </c>
      <c r="J810" s="8">
        <v>1.0</v>
      </c>
      <c r="K810" s="8">
        <v>1.0</v>
      </c>
      <c r="L810" s="8">
        <v>6.0</v>
      </c>
      <c r="M810" s="8"/>
      <c r="N810" s="8"/>
      <c r="O810" s="8" t="s">
        <v>731</v>
      </c>
      <c r="P810" s="8">
        <v>6.0</v>
      </c>
    </row>
    <row r="811">
      <c r="A811">
        <f>IFERROR(__xludf.DUMMYFUNCTION("""COMPUTED_VALUE"""),8.0)</f>
        <v>8</v>
      </c>
      <c r="B811">
        <f>IFERROR(__xludf.DUMMYFUNCTION("""COMPUTED_VALUE"""),29110.0)</f>
        <v>29110</v>
      </c>
      <c r="C811" t="str">
        <f>IFERROR(__xludf.DUMMYFUNCTION("""COMPUTED_VALUE"""),"SOSA ECHAVARRIA, EMILIO")</f>
        <v>SOSA ECHAVARRIA, EMILIO</v>
      </c>
      <c r="D811" t="str">
        <f>IFERROR(__xludf.DUMMYFUNCTION("""COMPUTED_VALUE"""),"Algebra")</f>
        <v>Algebra</v>
      </c>
      <c r="E811" s="31">
        <f>IFERROR(__xludf.DUMMYFUNCTION("""COMPUTED_VALUE"""),4.0)</f>
        <v>4</v>
      </c>
      <c r="F811" s="8">
        <v>1.0</v>
      </c>
      <c r="G811" s="8">
        <v>1.0</v>
      </c>
      <c r="H811" s="8">
        <v>1.0</v>
      </c>
      <c r="I811" s="8">
        <v>1.0</v>
      </c>
      <c r="J811" s="8">
        <v>1.0</v>
      </c>
      <c r="K811" s="8">
        <v>1.0</v>
      </c>
      <c r="L811" s="8">
        <v>6.0</v>
      </c>
      <c r="M811" s="8"/>
      <c r="N811" s="8"/>
      <c r="O811" s="8" t="s">
        <v>732</v>
      </c>
      <c r="P811" s="8" t="e">
        <v>#N/A</v>
      </c>
    </row>
    <row r="812">
      <c r="A812">
        <f>IFERROR(__xludf.DUMMYFUNCTION("""COMPUTED_VALUE"""),8.0)</f>
        <v>8</v>
      </c>
      <c r="B812">
        <f>IFERROR(__xludf.DUMMYFUNCTION("""COMPUTED_VALUE"""),29111.0)</f>
        <v>29111</v>
      </c>
      <c r="C812" t="str">
        <f>IFERROR(__xludf.DUMMYFUNCTION("""COMPUTED_VALUE"""),"SOTO ANGEL, GABRIELA")</f>
        <v>SOTO ANGEL, GABRIELA</v>
      </c>
      <c r="D812" t="str">
        <f>IFERROR(__xludf.DUMMYFUNCTION("""COMPUTED_VALUE"""),"Math 8")</f>
        <v>Math 8</v>
      </c>
      <c r="E812" s="31">
        <f>IFERROR(__xludf.DUMMYFUNCTION("""COMPUTED_VALUE"""),6.0)</f>
        <v>6</v>
      </c>
      <c r="F812" s="8">
        <v>1.0</v>
      </c>
      <c r="G812" s="8">
        <v>1.0</v>
      </c>
      <c r="H812" s="8">
        <v>1.0</v>
      </c>
      <c r="I812" s="8">
        <v>1.0</v>
      </c>
      <c r="J812" s="8">
        <v>1.0</v>
      </c>
      <c r="K812" s="8">
        <v>1.0</v>
      </c>
      <c r="L812" s="8">
        <v>6.0</v>
      </c>
      <c r="M812" s="8"/>
      <c r="N812" s="8"/>
      <c r="O812" s="8" t="s">
        <v>731</v>
      </c>
      <c r="P812" s="8">
        <v>6.0</v>
      </c>
    </row>
    <row r="813">
      <c r="A813">
        <f>IFERROR(__xludf.DUMMYFUNCTION("""COMPUTED_VALUE"""),8.0)</f>
        <v>8</v>
      </c>
      <c r="B813">
        <f>IFERROR(__xludf.DUMMYFUNCTION("""COMPUTED_VALUE"""),29112.0)</f>
        <v>29112</v>
      </c>
      <c r="C813" t="str">
        <f>IFERROR(__xludf.DUMMYFUNCTION("""COMPUTED_VALUE"""),"SUAREZ MARTINEZ, ANA")</f>
        <v>SUAREZ MARTINEZ, ANA</v>
      </c>
      <c r="D813" t="str">
        <f>IFERROR(__xludf.DUMMYFUNCTION("""COMPUTED_VALUE"""),"Algebra")</f>
        <v>Algebra</v>
      </c>
      <c r="E813" s="31">
        <f>IFERROR(__xludf.DUMMYFUNCTION("""COMPUTED_VALUE"""),4.0)</f>
        <v>4</v>
      </c>
      <c r="F813" s="8">
        <v>1.0</v>
      </c>
      <c r="G813" s="8">
        <v>1.0</v>
      </c>
      <c r="H813" s="8">
        <v>1.0</v>
      </c>
      <c r="I813" s="8">
        <v>1.0</v>
      </c>
      <c r="J813" s="8">
        <v>1.0</v>
      </c>
      <c r="K813" s="8">
        <v>1.0</v>
      </c>
      <c r="L813" s="8">
        <v>6.0</v>
      </c>
      <c r="M813" s="8"/>
      <c r="N813" s="8"/>
      <c r="O813" s="8" t="s">
        <v>732</v>
      </c>
      <c r="P813" s="8" t="e">
        <v>#N/A</v>
      </c>
    </row>
    <row r="814">
      <c r="A814">
        <f>IFERROR(__xludf.DUMMYFUNCTION("""COMPUTED_VALUE"""),8.0)</f>
        <v>8</v>
      </c>
      <c r="B814">
        <f>IFERROR(__xludf.DUMMYFUNCTION("""COMPUTED_VALUE"""),29113.0)</f>
        <v>29113</v>
      </c>
      <c r="C814" t="str">
        <f>IFERROR(__xludf.DUMMYFUNCTION("""COMPUTED_VALUE"""),"THIRIEZ VILLA, EMMA")</f>
        <v>THIRIEZ VILLA, EMMA</v>
      </c>
      <c r="D814" t="str">
        <f>IFERROR(__xludf.DUMMYFUNCTION("""COMPUTED_VALUE"""),"Algebra")</f>
        <v>Algebra</v>
      </c>
      <c r="E814" s="31">
        <f>IFERROR(__xludf.DUMMYFUNCTION("""COMPUTED_VALUE"""),3.0)</f>
        <v>3</v>
      </c>
      <c r="F814" s="8">
        <v>1.0</v>
      </c>
      <c r="G814" s="8">
        <v>1.0</v>
      </c>
      <c r="H814" s="8">
        <v>1.0</v>
      </c>
      <c r="I814" s="8">
        <v>1.0</v>
      </c>
      <c r="J814" s="8">
        <v>1.0</v>
      </c>
      <c r="K814" s="8">
        <v>1.0</v>
      </c>
      <c r="L814" s="8">
        <v>6.0</v>
      </c>
      <c r="M814" s="8"/>
      <c r="N814" s="8"/>
      <c r="O814" s="8" t="s">
        <v>729</v>
      </c>
      <c r="P814" s="8" t="e">
        <v>#N/A</v>
      </c>
    </row>
    <row r="815">
      <c r="A815">
        <f>IFERROR(__xludf.DUMMYFUNCTION("""COMPUTED_VALUE"""),8.0)</f>
        <v>8</v>
      </c>
      <c r="B815">
        <f>IFERROR(__xludf.DUMMYFUNCTION("""COMPUTED_VALUE"""),29114.0)</f>
        <v>29114</v>
      </c>
      <c r="C815" t="str">
        <f>IFERROR(__xludf.DUMMYFUNCTION("""COMPUTED_VALUE"""),"THIRIEZ VILLA, MARIA")</f>
        <v>THIRIEZ VILLA, MARIA</v>
      </c>
      <c r="D815" t="str">
        <f>IFERROR(__xludf.DUMMYFUNCTION("""COMPUTED_VALUE"""),"Algebra")</f>
        <v>Algebra</v>
      </c>
      <c r="E815" s="31">
        <f>IFERROR(__xludf.DUMMYFUNCTION("""COMPUTED_VALUE"""),3.0)</f>
        <v>3</v>
      </c>
      <c r="F815" s="8">
        <v>1.0</v>
      </c>
      <c r="G815" s="8">
        <v>1.0</v>
      </c>
      <c r="H815" s="8">
        <v>1.0</v>
      </c>
      <c r="I815" s="8">
        <v>1.0</v>
      </c>
      <c r="J815" s="8">
        <v>1.0</v>
      </c>
      <c r="K815" s="8">
        <v>1.0</v>
      </c>
      <c r="L815" s="8">
        <v>6.0</v>
      </c>
      <c r="M815" s="8"/>
      <c r="N815" s="8"/>
      <c r="O815" s="8" t="s">
        <v>729</v>
      </c>
      <c r="P815" s="8" t="e">
        <v>#N/A</v>
      </c>
    </row>
    <row r="816">
      <c r="A816">
        <f>IFERROR(__xludf.DUMMYFUNCTION("""COMPUTED_VALUE"""),8.0)</f>
        <v>8</v>
      </c>
      <c r="B816">
        <f>IFERROR(__xludf.DUMMYFUNCTION("""COMPUTED_VALUE"""),29115.0)</f>
        <v>29115</v>
      </c>
      <c r="C816" t="str">
        <f>IFERROR(__xludf.DUMMYFUNCTION("""COMPUTED_VALUE"""),"TIRADO SANIN, ELENA")</f>
        <v>TIRADO SANIN, ELENA</v>
      </c>
      <c r="D816" t="str">
        <f>IFERROR(__xludf.DUMMYFUNCTION("""COMPUTED_VALUE"""),"Math 8")</f>
        <v>Math 8</v>
      </c>
      <c r="E816" s="31">
        <f>IFERROR(__xludf.DUMMYFUNCTION("""COMPUTED_VALUE"""),6.0)</f>
        <v>6</v>
      </c>
      <c r="F816" s="8">
        <v>1.0</v>
      </c>
      <c r="G816" s="8">
        <v>1.0</v>
      </c>
      <c r="H816" s="8">
        <v>1.0</v>
      </c>
      <c r="I816" s="8">
        <v>1.0</v>
      </c>
      <c r="J816" s="8">
        <v>1.0</v>
      </c>
      <c r="K816" s="8">
        <v>1.0</v>
      </c>
      <c r="L816" s="8">
        <v>6.0</v>
      </c>
      <c r="M816" s="8"/>
      <c r="N816" s="8"/>
      <c r="O816" s="8" t="s">
        <v>731</v>
      </c>
      <c r="P816" s="8">
        <v>6.0</v>
      </c>
    </row>
    <row r="817">
      <c r="A817">
        <f>IFERROR(__xludf.DUMMYFUNCTION("""COMPUTED_VALUE"""),8.0)</f>
        <v>8</v>
      </c>
      <c r="B817">
        <f>IFERROR(__xludf.DUMMYFUNCTION("""COMPUTED_VALUE"""),29116.0)</f>
        <v>29116</v>
      </c>
      <c r="C817" t="str">
        <f>IFERROR(__xludf.DUMMYFUNCTION("""COMPUTED_VALUE"""),"TOBAR MEJIA, CAMILO")</f>
        <v>TOBAR MEJIA, CAMILO</v>
      </c>
      <c r="D817" t="str">
        <f>IFERROR(__xludf.DUMMYFUNCTION("""COMPUTED_VALUE"""),"Math 8")</f>
        <v>Math 8</v>
      </c>
      <c r="E817" s="31">
        <f>IFERROR(__xludf.DUMMYFUNCTION("""COMPUTED_VALUE"""),1.0)</f>
        <v>1</v>
      </c>
      <c r="F817" s="8">
        <v>1.0</v>
      </c>
      <c r="G817" s="8">
        <v>1.0</v>
      </c>
      <c r="H817" s="8">
        <v>1.0</v>
      </c>
      <c r="I817" s="8">
        <v>1.0</v>
      </c>
      <c r="J817" s="8">
        <v>1.0</v>
      </c>
      <c r="K817" s="8">
        <v>1.0</v>
      </c>
      <c r="L817" s="8">
        <v>6.0</v>
      </c>
      <c r="M817" s="8"/>
      <c r="N817" s="8"/>
      <c r="O817" s="8" t="s">
        <v>734</v>
      </c>
      <c r="P817" s="8">
        <v>6.0</v>
      </c>
    </row>
    <row r="818">
      <c r="A818">
        <f>IFERROR(__xludf.DUMMYFUNCTION("""COMPUTED_VALUE"""),8.0)</f>
        <v>8</v>
      </c>
      <c r="B818">
        <f>IFERROR(__xludf.DUMMYFUNCTION("""COMPUTED_VALUE"""),29142.0)</f>
        <v>29142</v>
      </c>
      <c r="C818" t="str">
        <f>IFERROR(__xludf.DUMMYFUNCTION("""COMPUTED_VALUE"""),"TOBON CARMONA, JACOBO")</f>
        <v>TOBON CARMONA, JACOBO</v>
      </c>
      <c r="D818" t="str">
        <f>IFERROR(__xludf.DUMMYFUNCTION("""COMPUTED_VALUE"""),"Math 8A")</f>
        <v>Math 8A</v>
      </c>
      <c r="E818" s="31">
        <f>IFERROR(__xludf.DUMMYFUNCTION("""COMPUTED_VALUE"""),1.0)</f>
        <v>1</v>
      </c>
      <c r="F818" s="8">
        <v>1.0</v>
      </c>
      <c r="G818" s="8">
        <v>1.0</v>
      </c>
      <c r="H818" s="8">
        <v>1.0</v>
      </c>
      <c r="I818" s="8">
        <v>1.0</v>
      </c>
      <c r="J818" s="8">
        <v>1.0</v>
      </c>
      <c r="K818" s="8">
        <v>1.0</v>
      </c>
      <c r="L818" s="8">
        <v>6.0</v>
      </c>
      <c r="M818" s="8"/>
      <c r="N818" s="8"/>
      <c r="O818" s="8" t="s">
        <v>733</v>
      </c>
      <c r="P818" s="8" t="e">
        <v>#N/A</v>
      </c>
    </row>
    <row r="819">
      <c r="A819">
        <f>IFERROR(__xludf.DUMMYFUNCTION("""COMPUTED_VALUE"""),8.0)</f>
        <v>8</v>
      </c>
      <c r="B819">
        <f>IFERROR(__xludf.DUMMYFUNCTION("""COMPUTED_VALUE"""),29117.0)</f>
        <v>29117</v>
      </c>
      <c r="C819" t="str">
        <f>IFERROR(__xludf.DUMMYFUNCTION("""COMPUTED_VALUE"""),"TOBON GONZALEZ, FLORENCIA")</f>
        <v>TOBON GONZALEZ, FLORENCIA</v>
      </c>
      <c r="D819" t="str">
        <f>IFERROR(__xludf.DUMMYFUNCTION("""COMPUTED_VALUE"""),"Algebra")</f>
        <v>Algebra</v>
      </c>
      <c r="E819" s="31">
        <f>IFERROR(__xludf.DUMMYFUNCTION("""COMPUTED_VALUE"""),5.0)</f>
        <v>5</v>
      </c>
      <c r="F819" s="8">
        <v>1.0</v>
      </c>
      <c r="G819" s="8">
        <v>1.0</v>
      </c>
      <c r="H819" s="8">
        <v>1.0</v>
      </c>
      <c r="I819" s="8">
        <v>1.0</v>
      </c>
      <c r="J819" s="8">
        <v>1.0</v>
      </c>
      <c r="K819" s="8">
        <v>1.0</v>
      </c>
      <c r="L819" s="8">
        <v>6.0</v>
      </c>
      <c r="M819" s="8"/>
      <c r="N819" s="8"/>
      <c r="O819" s="8" t="s">
        <v>730</v>
      </c>
      <c r="P819" s="8" t="e">
        <v>#N/A</v>
      </c>
    </row>
    <row r="820">
      <c r="A820">
        <f>IFERROR(__xludf.DUMMYFUNCTION("""COMPUTED_VALUE"""),8.0)</f>
        <v>8</v>
      </c>
      <c r="B820">
        <f>IFERROR(__xludf.DUMMYFUNCTION("""COMPUTED_VALUE"""),29118.0)</f>
        <v>29118</v>
      </c>
      <c r="C820" t="str">
        <f>IFERROR(__xludf.DUMMYFUNCTION("""COMPUTED_VALUE"""),"TRUJILLO RUIZ, SAMUEL")</f>
        <v>TRUJILLO RUIZ, SAMUEL</v>
      </c>
      <c r="D820" t="str">
        <f>IFERROR(__xludf.DUMMYFUNCTION("""COMPUTED_VALUE"""),"Algebra")</f>
        <v>Algebra</v>
      </c>
      <c r="E820" s="31">
        <f>IFERROR(__xludf.DUMMYFUNCTION("""COMPUTED_VALUE"""),5.0)</f>
        <v>5</v>
      </c>
      <c r="F820" s="8">
        <v>1.0</v>
      </c>
      <c r="G820" s="8">
        <v>1.0</v>
      </c>
      <c r="H820" s="8">
        <v>1.0</v>
      </c>
      <c r="I820" s="8">
        <v>1.0</v>
      </c>
      <c r="J820" s="8">
        <v>1.0</v>
      </c>
      <c r="K820" s="8">
        <v>1.0</v>
      </c>
      <c r="L820" s="8">
        <v>6.0</v>
      </c>
      <c r="M820" s="8"/>
      <c r="N820" s="8"/>
      <c r="O820" s="8" t="s">
        <v>730</v>
      </c>
      <c r="P820" s="8" t="e">
        <v>#N/A</v>
      </c>
    </row>
    <row r="821">
      <c r="A821">
        <f>IFERROR(__xludf.DUMMYFUNCTION("""COMPUTED_VALUE"""),8.0)</f>
        <v>8</v>
      </c>
      <c r="B821">
        <f>IFERROR(__xludf.DUMMYFUNCTION("""COMPUTED_VALUE"""),29119.0)</f>
        <v>29119</v>
      </c>
      <c r="C821" t="str">
        <f>IFERROR(__xludf.DUMMYFUNCTION("""COMPUTED_VALUE"""),"TRUJILLO RUIZ, SARA")</f>
        <v>TRUJILLO RUIZ, SARA</v>
      </c>
      <c r="D821" t="str">
        <f>IFERROR(__xludf.DUMMYFUNCTION("""COMPUTED_VALUE"""),"Algebra")</f>
        <v>Algebra</v>
      </c>
      <c r="E821" s="31">
        <f>IFERROR(__xludf.DUMMYFUNCTION("""COMPUTED_VALUE"""),4.0)</f>
        <v>4</v>
      </c>
      <c r="F821" s="8">
        <v>1.0</v>
      </c>
      <c r="G821" s="8">
        <v>1.0</v>
      </c>
      <c r="H821" s="8">
        <v>1.0</v>
      </c>
      <c r="I821" s="8">
        <v>1.0</v>
      </c>
      <c r="J821" s="8">
        <v>1.0</v>
      </c>
      <c r="K821" s="8">
        <v>1.0</v>
      </c>
      <c r="L821" s="8">
        <v>6.0</v>
      </c>
      <c r="M821" s="8"/>
      <c r="N821" s="8"/>
      <c r="O821" s="8" t="s">
        <v>732</v>
      </c>
      <c r="P821" s="8" t="e">
        <v>#N/A</v>
      </c>
    </row>
    <row r="822">
      <c r="A822">
        <f>IFERROR(__xludf.DUMMYFUNCTION("""COMPUTED_VALUE"""),8.0)</f>
        <v>8</v>
      </c>
      <c r="B822">
        <f>IFERROR(__xludf.DUMMYFUNCTION("""COMPUTED_VALUE"""),29092.0)</f>
        <v>29092</v>
      </c>
      <c r="C822" t="str">
        <f>IFERROR(__xludf.DUMMYFUNCTION("""COMPUTED_VALUE"""),"TURIZZO BORRERO, CAMILO ANDRES")</f>
        <v>TURIZZO BORRERO, CAMILO ANDRES</v>
      </c>
      <c r="D822" t="str">
        <f>IFERROR(__xludf.DUMMYFUNCTION("""COMPUTED_VALUE"""),"Algebra")</f>
        <v>Algebra</v>
      </c>
      <c r="E822" s="31">
        <f>IFERROR(__xludf.DUMMYFUNCTION("""COMPUTED_VALUE"""),4.0)</f>
        <v>4</v>
      </c>
      <c r="F822" s="8">
        <v>1.0</v>
      </c>
      <c r="G822" s="8">
        <v>1.0</v>
      </c>
      <c r="H822" s="8">
        <v>1.0</v>
      </c>
      <c r="I822" s="8">
        <v>1.0</v>
      </c>
      <c r="J822" s="8">
        <v>1.0</v>
      </c>
      <c r="K822" s="8">
        <v>1.0</v>
      </c>
      <c r="L822" s="8">
        <v>6.0</v>
      </c>
      <c r="M822" s="8"/>
      <c r="N822" s="8"/>
      <c r="O822" s="8" t="s">
        <v>732</v>
      </c>
      <c r="P822" s="8" t="e">
        <v>#N/A</v>
      </c>
    </row>
    <row r="823">
      <c r="A823">
        <f>IFERROR(__xludf.DUMMYFUNCTION("""COMPUTED_VALUE"""),8.0)</f>
        <v>8</v>
      </c>
      <c r="B823">
        <f>IFERROR(__xludf.DUMMYFUNCTION("""COMPUTED_VALUE"""),29120.0)</f>
        <v>29120</v>
      </c>
      <c r="C823" t="str">
        <f>IFERROR(__xludf.DUMMYFUNCTION("""COMPUTED_VALUE"""),"URIBE JARAMILLO, PEDRO JUAN")</f>
        <v>URIBE JARAMILLO, PEDRO JUAN</v>
      </c>
      <c r="D823" t="str">
        <f>IFERROR(__xludf.DUMMYFUNCTION("""COMPUTED_VALUE"""),"Math 8A")</f>
        <v>Math 8A</v>
      </c>
      <c r="E823" s="31">
        <f>IFERROR(__xludf.DUMMYFUNCTION("""COMPUTED_VALUE"""),1.0)</f>
        <v>1</v>
      </c>
      <c r="F823" s="8">
        <v>1.0</v>
      </c>
      <c r="G823" s="8">
        <v>1.0</v>
      </c>
      <c r="H823" s="8">
        <v>1.0</v>
      </c>
      <c r="I823" s="8">
        <v>1.0</v>
      </c>
      <c r="J823" s="8">
        <v>1.0</v>
      </c>
      <c r="K823" s="8">
        <v>1.0</v>
      </c>
      <c r="L823" s="8">
        <v>6.0</v>
      </c>
      <c r="M823" s="8"/>
      <c r="N823" s="8"/>
      <c r="O823" s="8" t="s">
        <v>733</v>
      </c>
      <c r="P823" s="8" t="e">
        <v>#N/A</v>
      </c>
    </row>
    <row r="824">
      <c r="A824">
        <f>IFERROR(__xludf.DUMMYFUNCTION("""COMPUTED_VALUE"""),8.0)</f>
        <v>8</v>
      </c>
      <c r="B824">
        <f>IFERROR(__xludf.DUMMYFUNCTION("""COMPUTED_VALUE"""),29122.0)</f>
        <v>29122</v>
      </c>
      <c r="C824" t="str">
        <f>IFERROR(__xludf.DUMMYFUNCTION("""COMPUTED_VALUE"""),"URIBE RODRIGUEZ, MARIA LUISA")</f>
        <v>URIBE RODRIGUEZ, MARIA LUISA</v>
      </c>
      <c r="D824" t="str">
        <f>IFERROR(__xludf.DUMMYFUNCTION("""COMPUTED_VALUE"""),"Math 8")</f>
        <v>Math 8</v>
      </c>
      <c r="E824" s="31">
        <f>IFERROR(__xludf.DUMMYFUNCTION("""COMPUTED_VALUE"""),1.0)</f>
        <v>1</v>
      </c>
      <c r="F824" s="8">
        <v>1.0</v>
      </c>
      <c r="G824" s="8">
        <v>1.0</v>
      </c>
      <c r="H824" s="8">
        <v>1.0</v>
      </c>
      <c r="I824" s="8">
        <v>1.0</v>
      </c>
      <c r="J824" s="8">
        <v>1.0</v>
      </c>
      <c r="K824" s="8">
        <v>1.0</v>
      </c>
      <c r="L824" s="8">
        <v>6.0</v>
      </c>
      <c r="M824" s="8"/>
      <c r="N824" s="8"/>
      <c r="O824" s="8" t="s">
        <v>734</v>
      </c>
      <c r="P824" s="8">
        <v>6.0</v>
      </c>
    </row>
    <row r="825">
      <c r="A825">
        <f>IFERROR(__xludf.DUMMYFUNCTION("""COMPUTED_VALUE"""),8.0)</f>
        <v>8</v>
      </c>
      <c r="B825">
        <f>IFERROR(__xludf.DUMMYFUNCTION("""COMPUTED_VALUE"""),29123.0)</f>
        <v>29123</v>
      </c>
      <c r="C825" t="str">
        <f>IFERROR(__xludf.DUMMYFUNCTION("""COMPUTED_VALUE"""),"URRETA HENAO, OLIVIA")</f>
        <v>URRETA HENAO, OLIVIA</v>
      </c>
      <c r="D825" t="str">
        <f>IFERROR(__xludf.DUMMYFUNCTION("""COMPUTED_VALUE"""),"Algebra")</f>
        <v>Algebra</v>
      </c>
      <c r="E825" s="31">
        <f>IFERROR(__xludf.DUMMYFUNCTION("""COMPUTED_VALUE"""),5.0)</f>
        <v>5</v>
      </c>
      <c r="F825" s="8">
        <v>1.0</v>
      </c>
      <c r="G825" s="8">
        <v>1.0</v>
      </c>
      <c r="H825" s="8">
        <v>1.0</v>
      </c>
      <c r="I825" s="8">
        <v>1.0</v>
      </c>
      <c r="J825" s="8">
        <v>1.0</v>
      </c>
      <c r="K825" s="8">
        <v>1.0</v>
      </c>
      <c r="L825" s="8">
        <v>6.0</v>
      </c>
      <c r="M825" s="8"/>
      <c r="N825" s="8"/>
      <c r="O825" s="8" t="s">
        <v>730</v>
      </c>
      <c r="P825" s="8" t="e">
        <v>#N/A</v>
      </c>
    </row>
    <row r="826">
      <c r="A826">
        <f>IFERROR(__xludf.DUMMYFUNCTION("""COMPUTED_VALUE"""),8.0)</f>
        <v>8</v>
      </c>
      <c r="B826">
        <f>IFERROR(__xludf.DUMMYFUNCTION("""COMPUTED_VALUE"""),29124.0)</f>
        <v>29124</v>
      </c>
      <c r="C826" t="str">
        <f>IFERROR(__xludf.DUMMYFUNCTION("""COMPUTED_VALUE"""),"VALLEJO HOYOS, JUAN")</f>
        <v>VALLEJO HOYOS, JUAN</v>
      </c>
      <c r="D826" t="str">
        <f>IFERROR(__xludf.DUMMYFUNCTION("""COMPUTED_VALUE"""),"Algebra")</f>
        <v>Algebra</v>
      </c>
      <c r="E826" s="31">
        <f>IFERROR(__xludf.DUMMYFUNCTION("""COMPUTED_VALUE"""),3.0)</f>
        <v>3</v>
      </c>
      <c r="F826" s="8">
        <v>1.0</v>
      </c>
      <c r="G826" s="8">
        <v>1.0</v>
      </c>
      <c r="H826" s="8">
        <v>1.0</v>
      </c>
      <c r="I826" s="8">
        <v>1.0</v>
      </c>
      <c r="J826" s="8">
        <v>1.0</v>
      </c>
      <c r="K826" s="8">
        <v>1.0</v>
      </c>
      <c r="L826" s="8">
        <v>6.0</v>
      </c>
      <c r="M826" s="8"/>
      <c r="N826" s="8"/>
      <c r="O826" s="8" t="s">
        <v>729</v>
      </c>
      <c r="P826" s="8" t="e">
        <v>#N/A</v>
      </c>
    </row>
    <row r="827">
      <c r="A827">
        <f>IFERROR(__xludf.DUMMYFUNCTION("""COMPUTED_VALUE"""),8.0)</f>
        <v>8</v>
      </c>
      <c r="B827">
        <f>IFERROR(__xludf.DUMMYFUNCTION("""COMPUTED_VALUE"""),29125.0)</f>
        <v>29125</v>
      </c>
      <c r="C827" t="str">
        <f>IFERROR(__xludf.DUMMYFUNCTION("""COMPUTED_VALUE"""),"VALLEJO LONDOÑO, TOMAS")</f>
        <v>VALLEJO LONDOÑO, TOMAS</v>
      </c>
      <c r="D827" t="str">
        <f>IFERROR(__xludf.DUMMYFUNCTION("""COMPUTED_VALUE"""),"Algebra")</f>
        <v>Algebra</v>
      </c>
      <c r="E827" s="31">
        <f>IFERROR(__xludf.DUMMYFUNCTION("""COMPUTED_VALUE"""),4.0)</f>
        <v>4</v>
      </c>
      <c r="F827" s="8">
        <v>1.0</v>
      </c>
      <c r="G827" s="8">
        <v>1.0</v>
      </c>
      <c r="H827" s="8">
        <v>1.0</v>
      </c>
      <c r="I827" s="8">
        <v>1.0</v>
      </c>
      <c r="J827" s="8">
        <v>1.0</v>
      </c>
      <c r="K827" s="8">
        <v>1.0</v>
      </c>
      <c r="L827" s="8">
        <v>6.0</v>
      </c>
      <c r="M827" s="8"/>
      <c r="N827" s="8"/>
      <c r="O827" s="8" t="s">
        <v>732</v>
      </c>
      <c r="P827" s="8" t="e">
        <v>#N/A</v>
      </c>
    </row>
    <row r="828">
      <c r="A828">
        <f>IFERROR(__xludf.DUMMYFUNCTION("""COMPUTED_VALUE"""),8.0)</f>
        <v>8</v>
      </c>
      <c r="B828">
        <f>IFERROR(__xludf.DUMMYFUNCTION("""COMPUTED_VALUE"""),29126.0)</f>
        <v>29126</v>
      </c>
      <c r="C828" t="str">
        <f>IFERROR(__xludf.DUMMYFUNCTION("""COMPUTED_VALUE"""),"VASQUEZ ANGEL, JUANITA")</f>
        <v>VASQUEZ ANGEL, JUANITA</v>
      </c>
      <c r="D828" t="str">
        <f>IFERROR(__xludf.DUMMYFUNCTION("""COMPUTED_VALUE"""),"Math 8")</f>
        <v>Math 8</v>
      </c>
      <c r="E828" s="31">
        <f>IFERROR(__xludf.DUMMYFUNCTION("""COMPUTED_VALUE"""),6.0)</f>
        <v>6</v>
      </c>
      <c r="F828" s="8">
        <v>1.0</v>
      </c>
      <c r="G828" s="8">
        <v>1.0</v>
      </c>
      <c r="H828" s="8">
        <v>1.0</v>
      </c>
      <c r="I828" s="8">
        <v>1.0</v>
      </c>
      <c r="J828" s="8">
        <v>1.0</v>
      </c>
      <c r="K828" s="8">
        <v>1.0</v>
      </c>
      <c r="L828" s="8">
        <v>6.0</v>
      </c>
      <c r="M828" s="8"/>
      <c r="N828" s="8"/>
      <c r="O828" s="8" t="s">
        <v>731</v>
      </c>
      <c r="P828" s="8">
        <v>6.0</v>
      </c>
    </row>
    <row r="829">
      <c r="A829">
        <f>IFERROR(__xludf.DUMMYFUNCTION("""COMPUTED_VALUE"""),8.0)</f>
        <v>8</v>
      </c>
      <c r="B829">
        <f>IFERROR(__xludf.DUMMYFUNCTION("""COMPUTED_VALUE"""),29145.0)</f>
        <v>29145</v>
      </c>
      <c r="C829" t="str">
        <f>IFERROR(__xludf.DUMMYFUNCTION("""COMPUTED_VALUE"""),"VELASQUEZ GUTIERREZ, SAMUEL")</f>
        <v>VELASQUEZ GUTIERREZ, SAMUEL</v>
      </c>
      <c r="D829" t="str">
        <f>IFERROR(__xludf.DUMMYFUNCTION("""COMPUTED_VALUE"""),"Math 8A")</f>
        <v>Math 8A</v>
      </c>
      <c r="E829" s="31">
        <f>IFERROR(__xludf.DUMMYFUNCTION("""COMPUTED_VALUE"""),1.0)</f>
        <v>1</v>
      </c>
      <c r="F829" s="8">
        <v>1.0</v>
      </c>
      <c r="G829" s="8">
        <v>1.0</v>
      </c>
      <c r="H829" s="8">
        <v>1.0</v>
      </c>
      <c r="I829" s="8">
        <v>1.0</v>
      </c>
      <c r="J829" s="8">
        <v>1.0</v>
      </c>
      <c r="K829" s="8">
        <v>1.0</v>
      </c>
      <c r="L829" s="8">
        <v>6.0</v>
      </c>
      <c r="M829" s="8"/>
      <c r="N829" s="8"/>
      <c r="O829" s="8" t="s">
        <v>733</v>
      </c>
      <c r="P829" s="8" t="e">
        <v>#N/A</v>
      </c>
    </row>
    <row r="830">
      <c r="A830">
        <f>IFERROR(__xludf.DUMMYFUNCTION("""COMPUTED_VALUE"""),8.0)</f>
        <v>8</v>
      </c>
      <c r="B830">
        <f>IFERROR(__xludf.DUMMYFUNCTION("""COMPUTED_VALUE"""),29128.0)</f>
        <v>29128</v>
      </c>
      <c r="C830" t="str">
        <f>IFERROR(__xludf.DUMMYFUNCTION("""COMPUTED_VALUE"""),"VELASQUEZ JARAMILLO, MARIA")</f>
        <v>VELASQUEZ JARAMILLO, MARIA</v>
      </c>
      <c r="D830" t="str">
        <f>IFERROR(__xludf.DUMMYFUNCTION("""COMPUTED_VALUE"""),"Math 8")</f>
        <v>Math 8</v>
      </c>
      <c r="E830" s="31">
        <f>IFERROR(__xludf.DUMMYFUNCTION("""COMPUTED_VALUE"""),6.0)</f>
        <v>6</v>
      </c>
      <c r="F830" s="8">
        <v>1.0</v>
      </c>
      <c r="G830" s="8">
        <v>1.0</v>
      </c>
      <c r="H830" s="8">
        <v>1.0</v>
      </c>
      <c r="I830" s="8">
        <v>1.0</v>
      </c>
      <c r="J830" s="8">
        <v>1.0</v>
      </c>
      <c r="K830" s="8">
        <v>1.0</v>
      </c>
      <c r="L830" s="8">
        <v>6.0</v>
      </c>
      <c r="M830" s="8"/>
      <c r="N830" s="8"/>
      <c r="O830" s="8" t="s">
        <v>731</v>
      </c>
      <c r="P830" s="8">
        <v>6.0</v>
      </c>
    </row>
    <row r="831">
      <c r="A831">
        <f>IFERROR(__xludf.DUMMYFUNCTION("""COMPUTED_VALUE"""),8.0)</f>
        <v>8</v>
      </c>
      <c r="B831">
        <f>IFERROR(__xludf.DUMMYFUNCTION("""COMPUTED_VALUE"""),29129.0)</f>
        <v>29129</v>
      </c>
      <c r="C831" t="str">
        <f>IFERROR(__xludf.DUMMYFUNCTION("""COMPUTED_VALUE"""),"VELEZ RESTREPO, SIMON")</f>
        <v>VELEZ RESTREPO, SIMON</v>
      </c>
      <c r="D831" t="str">
        <f>IFERROR(__xludf.DUMMYFUNCTION("""COMPUTED_VALUE"""),"Math 8")</f>
        <v>Math 8</v>
      </c>
      <c r="E831" s="31">
        <f>IFERROR(__xludf.DUMMYFUNCTION("""COMPUTED_VALUE"""),6.0)</f>
        <v>6</v>
      </c>
      <c r="F831" s="8">
        <v>1.0</v>
      </c>
      <c r="G831" s="8">
        <v>1.0</v>
      </c>
      <c r="H831" s="8">
        <v>1.0</v>
      </c>
      <c r="I831" s="8">
        <v>1.0</v>
      </c>
      <c r="J831" s="8">
        <v>1.0</v>
      </c>
      <c r="K831" s="8">
        <v>1.0</v>
      </c>
      <c r="L831" s="8">
        <v>6.0</v>
      </c>
      <c r="M831" s="8"/>
      <c r="N831" s="8"/>
      <c r="O831" s="8" t="s">
        <v>731</v>
      </c>
      <c r="P831" s="8">
        <v>6.0</v>
      </c>
    </row>
    <row r="832">
      <c r="A832">
        <f>IFERROR(__xludf.DUMMYFUNCTION("""COMPUTED_VALUE"""),8.0)</f>
        <v>8</v>
      </c>
      <c r="B832">
        <f>IFERROR(__xludf.DUMMYFUNCTION("""COMPUTED_VALUE"""),29131.0)</f>
        <v>29131</v>
      </c>
      <c r="C832" t="str">
        <f>IFERROR(__xludf.DUMMYFUNCTION("""COMPUTED_VALUE"""),"VILLEGAS HINCAPIE, CANDELARIA")</f>
        <v>VILLEGAS HINCAPIE, CANDELARIA</v>
      </c>
      <c r="D832" t="str">
        <f>IFERROR(__xludf.DUMMYFUNCTION("""COMPUTED_VALUE"""),"Algebra")</f>
        <v>Algebra</v>
      </c>
      <c r="E832" s="31">
        <f>IFERROR(__xludf.DUMMYFUNCTION("""COMPUTED_VALUE"""),3.0)</f>
        <v>3</v>
      </c>
      <c r="F832" s="8">
        <v>1.0</v>
      </c>
      <c r="G832" s="8">
        <v>1.0</v>
      </c>
      <c r="H832" s="8">
        <v>1.0</v>
      </c>
      <c r="I832" s="8">
        <v>1.0</v>
      </c>
      <c r="J832" s="8">
        <v>1.0</v>
      </c>
      <c r="K832" s="8">
        <v>1.0</v>
      </c>
      <c r="L832" s="8">
        <v>6.0</v>
      </c>
      <c r="M832" s="8"/>
      <c r="N832" s="8"/>
      <c r="O832" s="8" t="s">
        <v>729</v>
      </c>
      <c r="P832" s="8" t="e">
        <v>#N/A</v>
      </c>
    </row>
    <row r="833">
      <c r="A833">
        <f>IFERROR(__xludf.DUMMYFUNCTION("""COMPUTED_VALUE"""),8.0)</f>
        <v>8</v>
      </c>
      <c r="B833">
        <f>IFERROR(__xludf.DUMMYFUNCTION("""COMPUTED_VALUE"""),29132.0)</f>
        <v>29132</v>
      </c>
      <c r="C833" t="str">
        <f>IFERROR(__xludf.DUMMYFUNCTION("""COMPUTED_VALUE"""),"VILLEGAS MEJIA, SIMON")</f>
        <v>VILLEGAS MEJIA, SIMON</v>
      </c>
      <c r="D833" t="str">
        <f>IFERROR(__xludf.DUMMYFUNCTION("""COMPUTED_VALUE"""),"Algebra")</f>
        <v>Algebra</v>
      </c>
      <c r="E833" s="31">
        <f>IFERROR(__xludf.DUMMYFUNCTION("""COMPUTED_VALUE"""),5.0)</f>
        <v>5</v>
      </c>
      <c r="F833" s="8">
        <v>1.0</v>
      </c>
      <c r="G833" s="8">
        <v>1.0</v>
      </c>
      <c r="H833" s="8">
        <v>1.0</v>
      </c>
      <c r="I833" s="8">
        <v>1.0</v>
      </c>
      <c r="J833" s="8">
        <v>1.0</v>
      </c>
      <c r="K833" s="8">
        <v>1.0</v>
      </c>
      <c r="L833" s="8">
        <v>6.0</v>
      </c>
      <c r="M833" s="8"/>
      <c r="N833" s="8"/>
      <c r="O833" s="8" t="s">
        <v>730</v>
      </c>
      <c r="P833" s="8" t="e">
        <v>#N/A</v>
      </c>
    </row>
    <row r="834">
      <c r="A834">
        <f>IFERROR(__xludf.DUMMYFUNCTION("""COMPUTED_VALUE"""),8.0)</f>
        <v>8</v>
      </c>
      <c r="B834">
        <f>IFERROR(__xludf.DUMMYFUNCTION("""COMPUTED_VALUE"""),29133.0)</f>
        <v>29133</v>
      </c>
      <c r="C834" t="str">
        <f>IFERROR(__xludf.DUMMYFUNCTION("""COMPUTED_VALUE"""),"ZAPATA URIBE, RAFAEL")</f>
        <v>ZAPATA URIBE, RAFAEL</v>
      </c>
      <c r="D834" t="str">
        <f>IFERROR(__xludf.DUMMYFUNCTION("""COMPUTED_VALUE"""),"Math 8")</f>
        <v>Math 8</v>
      </c>
      <c r="E834" s="31">
        <f>IFERROR(__xludf.DUMMYFUNCTION("""COMPUTED_VALUE"""),1.0)</f>
        <v>1</v>
      </c>
      <c r="F834" s="8">
        <v>1.0</v>
      </c>
      <c r="G834" s="8">
        <v>1.0</v>
      </c>
      <c r="H834" s="8">
        <v>1.0</v>
      </c>
      <c r="I834" s="8">
        <v>1.0</v>
      </c>
      <c r="J834" s="8">
        <v>1.0</v>
      </c>
      <c r="K834" s="8">
        <v>1.0</v>
      </c>
      <c r="L834" s="8">
        <v>6.0</v>
      </c>
      <c r="M834" s="8"/>
      <c r="N834" s="8"/>
      <c r="O834" s="8" t="s">
        <v>734</v>
      </c>
      <c r="P834" s="8">
        <v>6.0</v>
      </c>
    </row>
    <row r="835">
      <c r="A835">
        <f>IFERROR(__xludf.DUMMYFUNCTION("""COMPUTED_VALUE"""),8.0)</f>
        <v>8</v>
      </c>
      <c r="B835">
        <f>IFERROR(__xludf.DUMMYFUNCTION("""COMPUTED_VALUE"""),27128.0)</f>
        <v>27128</v>
      </c>
      <c r="C835" t="str">
        <f>IFERROR(__xludf.DUMMYFUNCTION("""COMPUTED_VALUE"""),"ZULUAGA CHAVEZ, ISAIAS")</f>
        <v>ZULUAGA CHAVEZ, ISAIAS</v>
      </c>
      <c r="D835" t="str">
        <f>IFERROR(__xludf.DUMMYFUNCTION("""COMPUTED_VALUE"""),"Math 8")</f>
        <v>Math 8</v>
      </c>
      <c r="E835" s="31">
        <f>IFERROR(__xludf.DUMMYFUNCTION("""COMPUTED_VALUE"""),1.0)</f>
        <v>1</v>
      </c>
      <c r="F835" s="8">
        <v>1.0</v>
      </c>
      <c r="G835" s="8">
        <v>1.0</v>
      </c>
      <c r="H835" s="8">
        <v>1.0</v>
      </c>
      <c r="I835" s="8">
        <v>1.0</v>
      </c>
      <c r="J835" s="8">
        <v>1.0</v>
      </c>
      <c r="K835" s="8">
        <v>1.0</v>
      </c>
      <c r="L835" s="8">
        <v>6.0</v>
      </c>
      <c r="M835" s="8"/>
      <c r="N835" s="8"/>
      <c r="O835" s="8" t="s">
        <v>734</v>
      </c>
      <c r="P835" s="8">
        <v>6.0</v>
      </c>
    </row>
    <row r="836">
      <c r="A836">
        <f>IFERROR(__xludf.DUMMYFUNCTION("""COMPUTED_VALUE"""),6.0)</f>
        <v>6</v>
      </c>
      <c r="B836">
        <f>IFERROR(__xludf.DUMMYFUNCTION("""COMPUTED_VALUE"""),31002.0)</f>
        <v>31002</v>
      </c>
      <c r="C836" t="str">
        <f>IFERROR(__xludf.DUMMYFUNCTION("""COMPUTED_VALUE"""),"ACEVEDO ARANGO, VICENTE")</f>
        <v>ACEVEDO ARANGO, VICENTE</v>
      </c>
      <c r="D836" t="str">
        <f>IFERROR(__xludf.DUMMYFUNCTION("""COMPUTED_VALUE"""),"English 6")</f>
        <v>English 6</v>
      </c>
      <c r="E836" s="31">
        <f>IFERROR(__xludf.DUMMYFUNCTION("""COMPUTED_VALUE"""),2.0)</f>
        <v>2</v>
      </c>
      <c r="F836" s="8">
        <v>1.0</v>
      </c>
      <c r="G836" s="8">
        <v>1.0</v>
      </c>
      <c r="H836" s="8">
        <v>1.0</v>
      </c>
      <c r="I836" s="8">
        <v>1.0</v>
      </c>
      <c r="J836" s="8">
        <v>1.0</v>
      </c>
      <c r="K836" s="8">
        <v>1.0</v>
      </c>
      <c r="L836" s="8">
        <v>6.0</v>
      </c>
      <c r="M836" s="8"/>
      <c r="N836" s="8"/>
      <c r="O836" s="8" t="s">
        <v>735</v>
      </c>
      <c r="P836" s="8">
        <v>6.0</v>
      </c>
    </row>
    <row r="837">
      <c r="A837">
        <f>IFERROR(__xludf.DUMMYFUNCTION("""COMPUTED_VALUE"""),6.0)</f>
        <v>6</v>
      </c>
      <c r="B837">
        <f>IFERROR(__xludf.DUMMYFUNCTION("""COMPUTED_VALUE"""),31003.0)</f>
        <v>31003</v>
      </c>
      <c r="C837" t="str">
        <f>IFERROR(__xludf.DUMMYFUNCTION("""COMPUTED_VALUE"""),"AGUIRRE ARANGO, MARIA")</f>
        <v>AGUIRRE ARANGO, MARIA</v>
      </c>
      <c r="D837" t="str">
        <f>IFERROR(__xludf.DUMMYFUNCTION("""COMPUTED_VALUE"""),"English 6")</f>
        <v>English 6</v>
      </c>
      <c r="E837" s="31">
        <f>IFERROR(__xludf.DUMMYFUNCTION("""COMPUTED_VALUE"""),1.0)</f>
        <v>1</v>
      </c>
      <c r="F837" s="8">
        <v>1.0</v>
      </c>
      <c r="G837" s="8">
        <v>1.0</v>
      </c>
      <c r="H837" s="8">
        <v>1.0</v>
      </c>
      <c r="I837" s="8">
        <v>1.0</v>
      </c>
      <c r="J837" s="8">
        <v>1.0</v>
      </c>
      <c r="K837" s="8">
        <v>1.0</v>
      </c>
      <c r="L837" s="8">
        <v>6.0</v>
      </c>
      <c r="M837" s="8"/>
      <c r="N837" s="8"/>
      <c r="O837" s="8" t="s">
        <v>736</v>
      </c>
      <c r="P837" s="8">
        <v>6.0</v>
      </c>
    </row>
    <row r="838">
      <c r="A838">
        <f>IFERROR(__xludf.DUMMYFUNCTION("""COMPUTED_VALUE"""),6.0)</f>
        <v>6</v>
      </c>
      <c r="B838">
        <f>IFERROR(__xludf.DUMMYFUNCTION("""COMPUTED_VALUE"""),31004.0)</f>
        <v>31004</v>
      </c>
      <c r="C838" t="str">
        <f>IFERROR(__xludf.DUMMYFUNCTION("""COMPUTED_VALUE"""),"ALVAREZ RIVERA, SALVADOR")</f>
        <v>ALVAREZ RIVERA, SALVADOR</v>
      </c>
      <c r="D838" t="str">
        <f>IFERROR(__xludf.DUMMYFUNCTION("""COMPUTED_VALUE"""),"English 6")</f>
        <v>English 6</v>
      </c>
      <c r="E838" s="31">
        <f>IFERROR(__xludf.DUMMYFUNCTION("""COMPUTED_VALUE"""),5.0)</f>
        <v>5</v>
      </c>
      <c r="F838" s="8">
        <v>1.0</v>
      </c>
      <c r="G838" s="8">
        <v>1.0</v>
      </c>
      <c r="H838" s="8">
        <v>1.0</v>
      </c>
      <c r="I838" s="8">
        <v>1.0</v>
      </c>
      <c r="J838" s="8">
        <v>1.0</v>
      </c>
      <c r="K838" s="8">
        <v>1.0</v>
      </c>
      <c r="L838" s="8">
        <v>6.0</v>
      </c>
      <c r="M838" s="8"/>
      <c r="N838" s="8"/>
      <c r="O838" s="8" t="s">
        <v>737</v>
      </c>
      <c r="P838" s="8">
        <v>6.0</v>
      </c>
    </row>
    <row r="839">
      <c r="A839">
        <f>IFERROR(__xludf.DUMMYFUNCTION("""COMPUTED_VALUE"""),6.0)</f>
        <v>6</v>
      </c>
      <c r="B839">
        <f>IFERROR(__xludf.DUMMYFUNCTION("""COMPUTED_VALUE"""),31005.0)</f>
        <v>31005</v>
      </c>
      <c r="C839" t="str">
        <f>IFERROR(__xludf.DUMMYFUNCTION("""COMPUTED_VALUE"""),"ARANGO VILLA, MATIAS")</f>
        <v>ARANGO VILLA, MATIAS</v>
      </c>
      <c r="D839" t="str">
        <f>IFERROR(__xludf.DUMMYFUNCTION("""COMPUTED_VALUE"""),"English 6")</f>
        <v>English 6</v>
      </c>
      <c r="E839" s="31">
        <f>IFERROR(__xludf.DUMMYFUNCTION("""COMPUTED_VALUE"""),5.0)</f>
        <v>5</v>
      </c>
      <c r="F839" s="8">
        <v>1.0</v>
      </c>
      <c r="G839" s="8">
        <v>1.0</v>
      </c>
      <c r="H839" s="8">
        <v>1.0</v>
      </c>
      <c r="I839" s="8">
        <v>1.0</v>
      </c>
      <c r="J839" s="8">
        <v>1.0</v>
      </c>
      <c r="K839" s="8">
        <v>1.0</v>
      </c>
      <c r="L839" s="8">
        <v>6.0</v>
      </c>
      <c r="M839" s="8"/>
      <c r="N839" s="8"/>
      <c r="O839" s="8" t="s">
        <v>737</v>
      </c>
      <c r="P839" s="8">
        <v>6.0</v>
      </c>
    </row>
    <row r="840">
      <c r="A840">
        <f>IFERROR(__xludf.DUMMYFUNCTION("""COMPUTED_VALUE"""),6.0)</f>
        <v>6</v>
      </c>
      <c r="B840">
        <f>IFERROR(__xludf.DUMMYFUNCTION("""COMPUTED_VALUE"""),31151.0)</f>
        <v>31151</v>
      </c>
      <c r="C840" t="str">
        <f>IFERROR(__xludf.DUMMYFUNCTION("""COMPUTED_VALUE"""),"AREVALO RODRIGUEZ, MANUELA")</f>
        <v>AREVALO RODRIGUEZ, MANUELA</v>
      </c>
      <c r="D840" t="str">
        <f>IFERROR(__xludf.DUMMYFUNCTION("""COMPUTED_VALUE"""),"English 6")</f>
        <v>English 6</v>
      </c>
      <c r="E840" s="31">
        <f>IFERROR(__xludf.DUMMYFUNCTION("""COMPUTED_VALUE"""),6.0)</f>
        <v>6</v>
      </c>
      <c r="F840" s="8">
        <v>1.0</v>
      </c>
      <c r="G840" s="8">
        <v>1.0</v>
      </c>
      <c r="H840" s="8">
        <v>1.0</v>
      </c>
      <c r="I840" s="8">
        <v>1.0</v>
      </c>
      <c r="J840" s="8">
        <v>1.0</v>
      </c>
      <c r="K840" s="8">
        <v>1.0</v>
      </c>
      <c r="L840" s="8">
        <v>6.0</v>
      </c>
      <c r="M840" s="8"/>
      <c r="N840" s="8"/>
      <c r="O840" s="8" t="s">
        <v>738</v>
      </c>
      <c r="P840" s="8">
        <v>6.0</v>
      </c>
    </row>
    <row r="841">
      <c r="A841">
        <f>IFERROR(__xludf.DUMMYFUNCTION("""COMPUTED_VALUE"""),6.0)</f>
        <v>6</v>
      </c>
      <c r="B841">
        <f>IFERROR(__xludf.DUMMYFUNCTION("""COMPUTED_VALUE"""),31006.0)</f>
        <v>31006</v>
      </c>
      <c r="C841" t="str">
        <f>IFERROR(__xludf.DUMMYFUNCTION("""COMPUTED_VALUE"""),"ARIAS GARCIA, SALOMON")</f>
        <v>ARIAS GARCIA, SALOMON</v>
      </c>
      <c r="D841" t="str">
        <f>IFERROR(__xludf.DUMMYFUNCTION("""COMPUTED_VALUE"""),"English 6")</f>
        <v>English 6</v>
      </c>
      <c r="E841" s="31">
        <f>IFERROR(__xludf.DUMMYFUNCTION("""COMPUTED_VALUE"""),5.0)</f>
        <v>5</v>
      </c>
      <c r="F841" s="8">
        <v>1.0</v>
      </c>
      <c r="G841" s="8">
        <v>1.0</v>
      </c>
      <c r="H841" s="8">
        <v>1.0</v>
      </c>
      <c r="I841" s="8">
        <v>1.0</v>
      </c>
      <c r="J841" s="8">
        <v>1.0</v>
      </c>
      <c r="K841" s="8">
        <v>1.0</v>
      </c>
      <c r="L841" s="8">
        <v>6.0</v>
      </c>
      <c r="M841" s="8"/>
      <c r="N841" s="8"/>
      <c r="O841" s="8" t="s">
        <v>737</v>
      </c>
      <c r="P841" s="8">
        <v>6.0</v>
      </c>
    </row>
    <row r="842">
      <c r="A842">
        <f>IFERROR(__xludf.DUMMYFUNCTION("""COMPUTED_VALUE"""),6.0)</f>
        <v>6</v>
      </c>
      <c r="B842">
        <f>IFERROR(__xludf.DUMMYFUNCTION("""COMPUTED_VALUE"""),31007.0)</f>
        <v>31007</v>
      </c>
      <c r="C842" t="str">
        <f>IFERROR(__xludf.DUMMYFUNCTION("""COMPUTED_VALUE"""),"ARISTIZABAL SOTO, EMILIO")</f>
        <v>ARISTIZABAL SOTO, EMILIO</v>
      </c>
      <c r="D842" t="str">
        <f>IFERROR(__xludf.DUMMYFUNCTION("""COMPUTED_VALUE"""),"English 6A")</f>
        <v>English 6A</v>
      </c>
      <c r="E842" s="31">
        <f>IFERROR(__xludf.DUMMYFUNCTION("""COMPUTED_VALUE"""),1.0)</f>
        <v>1</v>
      </c>
      <c r="F842" s="8">
        <v>1.0</v>
      </c>
      <c r="G842" s="8">
        <v>1.0</v>
      </c>
      <c r="H842" s="8">
        <v>1.0</v>
      </c>
      <c r="I842" s="8">
        <v>1.0</v>
      </c>
      <c r="J842" s="8">
        <v>1.0</v>
      </c>
      <c r="K842" s="8">
        <v>1.0</v>
      </c>
      <c r="L842" s="8">
        <v>6.0</v>
      </c>
      <c r="M842" s="8"/>
      <c r="N842" s="8"/>
      <c r="O842" s="8" t="s">
        <v>739</v>
      </c>
      <c r="P842" s="8" t="e">
        <v>#N/A</v>
      </c>
    </row>
    <row r="843">
      <c r="A843">
        <f>IFERROR(__xludf.DUMMYFUNCTION("""COMPUTED_VALUE"""),6.0)</f>
        <v>6</v>
      </c>
      <c r="B843">
        <f>IFERROR(__xludf.DUMMYFUNCTION("""COMPUTED_VALUE"""),31008.0)</f>
        <v>31008</v>
      </c>
      <c r="C843" t="str">
        <f>IFERROR(__xludf.DUMMYFUNCTION("""COMPUTED_VALUE"""),"ARROYAVE LONDOÑO, MIGUEL")</f>
        <v>ARROYAVE LONDOÑO, MIGUEL</v>
      </c>
      <c r="D843" t="str">
        <f>IFERROR(__xludf.DUMMYFUNCTION("""COMPUTED_VALUE"""),"English 6A")</f>
        <v>English 6A</v>
      </c>
      <c r="E843" s="31">
        <f>IFERROR(__xludf.DUMMYFUNCTION("""COMPUTED_VALUE"""),1.0)</f>
        <v>1</v>
      </c>
      <c r="F843" s="8">
        <v>1.0</v>
      </c>
      <c r="G843" s="8">
        <v>1.0</v>
      </c>
      <c r="H843" s="8">
        <v>1.0</v>
      </c>
      <c r="I843" s="8">
        <v>1.0</v>
      </c>
      <c r="J843" s="8">
        <v>1.0</v>
      </c>
      <c r="K843" s="8">
        <v>1.0</v>
      </c>
      <c r="L843" s="8">
        <v>6.0</v>
      </c>
      <c r="M843" s="8"/>
      <c r="N843" s="8"/>
      <c r="O843" s="8" t="s">
        <v>739</v>
      </c>
      <c r="P843" s="8" t="e">
        <v>#N/A</v>
      </c>
    </row>
    <row r="844">
      <c r="A844">
        <f>IFERROR(__xludf.DUMMYFUNCTION("""COMPUTED_VALUE"""),6.0)</f>
        <v>6</v>
      </c>
      <c r="B844">
        <f>IFERROR(__xludf.DUMMYFUNCTION("""COMPUTED_VALUE"""),31009.0)</f>
        <v>31009</v>
      </c>
      <c r="C844" t="str">
        <f>IFERROR(__xludf.DUMMYFUNCTION("""COMPUTED_VALUE"""),"ARROYAVE SIERRA, RAFAEL")</f>
        <v>ARROYAVE SIERRA, RAFAEL</v>
      </c>
      <c r="D844" t="str">
        <f>IFERROR(__xludf.DUMMYFUNCTION("""COMPUTED_VALUE"""),"English 6")</f>
        <v>English 6</v>
      </c>
      <c r="E844" s="31">
        <f>IFERROR(__xludf.DUMMYFUNCTION("""COMPUTED_VALUE"""),2.0)</f>
        <v>2</v>
      </c>
      <c r="F844" s="8">
        <v>1.0</v>
      </c>
      <c r="G844" s="8">
        <v>1.0</v>
      </c>
      <c r="H844" s="8">
        <v>1.0</v>
      </c>
      <c r="I844" s="8">
        <v>1.0</v>
      </c>
      <c r="J844" s="8">
        <v>1.0</v>
      </c>
      <c r="K844" s="8">
        <v>1.0</v>
      </c>
      <c r="L844" s="8">
        <v>6.0</v>
      </c>
      <c r="M844" s="8"/>
      <c r="N844" s="8"/>
      <c r="O844" s="8" t="s">
        <v>735</v>
      </c>
      <c r="P844" s="8">
        <v>6.0</v>
      </c>
    </row>
    <row r="845">
      <c r="A845">
        <f>IFERROR(__xludf.DUMMYFUNCTION("""COMPUTED_VALUE"""),6.0)</f>
        <v>6</v>
      </c>
      <c r="B845">
        <f>IFERROR(__xludf.DUMMYFUNCTION("""COMPUTED_VALUE"""),31010.0)</f>
        <v>31010</v>
      </c>
      <c r="C845" t="str">
        <f>IFERROR(__xludf.DUMMYFUNCTION("""COMPUTED_VALUE"""),"BARRERA CAMPIS, VALENTINA")</f>
        <v>BARRERA CAMPIS, VALENTINA</v>
      </c>
      <c r="D845" t="str">
        <f>IFERROR(__xludf.DUMMYFUNCTION("""COMPUTED_VALUE"""),"English 6")</f>
        <v>English 6</v>
      </c>
      <c r="E845" s="31">
        <f>IFERROR(__xludf.DUMMYFUNCTION("""COMPUTED_VALUE"""),6.0)</f>
        <v>6</v>
      </c>
      <c r="F845" s="8">
        <v>1.0</v>
      </c>
      <c r="G845" s="8">
        <v>1.0</v>
      </c>
      <c r="H845" s="8">
        <v>1.0</v>
      </c>
      <c r="I845" s="8">
        <v>1.0</v>
      </c>
      <c r="J845" s="8">
        <v>1.0</v>
      </c>
      <c r="K845" s="8">
        <v>1.0</v>
      </c>
      <c r="L845" s="8">
        <v>6.0</v>
      </c>
      <c r="M845" s="8"/>
      <c r="N845" s="8"/>
      <c r="O845" s="8" t="s">
        <v>738</v>
      </c>
      <c r="P845" s="8">
        <v>6.0</v>
      </c>
    </row>
    <row r="846">
      <c r="A846">
        <f>IFERROR(__xludf.DUMMYFUNCTION("""COMPUTED_VALUE"""),6.0)</f>
        <v>6</v>
      </c>
      <c r="B846">
        <f>IFERROR(__xludf.DUMMYFUNCTION("""COMPUTED_VALUE"""),31011.0)</f>
        <v>31011</v>
      </c>
      <c r="C846" t="str">
        <f>IFERROR(__xludf.DUMMYFUNCTION("""COMPUTED_VALUE"""),"BARRERA TORO, LORENZO")</f>
        <v>BARRERA TORO, LORENZO</v>
      </c>
      <c r="D846" t="str">
        <f>IFERROR(__xludf.DUMMYFUNCTION("""COMPUTED_VALUE"""),"English 6")</f>
        <v>English 6</v>
      </c>
      <c r="E846" s="31">
        <f>IFERROR(__xludf.DUMMYFUNCTION("""COMPUTED_VALUE"""),2.0)</f>
        <v>2</v>
      </c>
      <c r="F846" s="8">
        <v>1.0</v>
      </c>
      <c r="G846" s="8">
        <v>1.0</v>
      </c>
      <c r="H846" s="8">
        <v>1.0</v>
      </c>
      <c r="I846" s="8">
        <v>1.0</v>
      </c>
      <c r="J846" s="8">
        <v>1.0</v>
      </c>
      <c r="K846" s="8">
        <v>1.0</v>
      </c>
      <c r="L846" s="8">
        <v>6.0</v>
      </c>
      <c r="M846" s="8"/>
      <c r="N846" s="8"/>
      <c r="O846" s="8" t="s">
        <v>735</v>
      </c>
      <c r="P846" s="8">
        <v>6.0</v>
      </c>
    </row>
    <row r="847">
      <c r="A847">
        <f>IFERROR(__xludf.DUMMYFUNCTION("""COMPUTED_VALUE"""),6.0)</f>
        <v>6</v>
      </c>
      <c r="B847">
        <f>IFERROR(__xludf.DUMMYFUNCTION("""COMPUTED_VALUE"""),31012.0)</f>
        <v>31012</v>
      </c>
      <c r="C847" t="str">
        <f>IFERROR(__xludf.DUMMYFUNCTION("""COMPUTED_VALUE"""),"BARTOLINI VELEZ, LORENZO")</f>
        <v>BARTOLINI VELEZ, LORENZO</v>
      </c>
      <c r="D847" t="str">
        <f>IFERROR(__xludf.DUMMYFUNCTION("""COMPUTED_VALUE"""),"English 6")</f>
        <v>English 6</v>
      </c>
      <c r="E847" s="31">
        <f>IFERROR(__xludf.DUMMYFUNCTION("""COMPUTED_VALUE"""),5.0)</f>
        <v>5</v>
      </c>
      <c r="F847" s="8">
        <v>1.0</v>
      </c>
      <c r="G847" s="8">
        <v>1.0</v>
      </c>
      <c r="H847" s="8">
        <v>1.0</v>
      </c>
      <c r="I847" s="8">
        <v>1.0</v>
      </c>
      <c r="J847" s="8">
        <v>1.0</v>
      </c>
      <c r="K847" s="8">
        <v>1.0</v>
      </c>
      <c r="L847" s="8">
        <v>6.0</v>
      </c>
      <c r="M847" s="8"/>
      <c r="N847" s="8"/>
      <c r="O847" s="8" t="s">
        <v>737</v>
      </c>
      <c r="P847" s="8">
        <v>6.0</v>
      </c>
    </row>
    <row r="848">
      <c r="A848">
        <f>IFERROR(__xludf.DUMMYFUNCTION("""COMPUTED_VALUE"""),6.0)</f>
        <v>6</v>
      </c>
      <c r="B848">
        <f>IFERROR(__xludf.DUMMYFUNCTION("""COMPUTED_VALUE"""),31013.0)</f>
        <v>31013</v>
      </c>
      <c r="C848" t="str">
        <f>IFERROR(__xludf.DUMMYFUNCTION("""COMPUTED_VALUE"""),"BASTIDAS MEJIA, JUAN JOSE")</f>
        <v>BASTIDAS MEJIA, JUAN JOSE</v>
      </c>
      <c r="D848" t="str">
        <f>IFERROR(__xludf.DUMMYFUNCTION("""COMPUTED_VALUE"""),"English 6A")</f>
        <v>English 6A</v>
      </c>
      <c r="E848" s="31">
        <f>IFERROR(__xludf.DUMMYFUNCTION("""COMPUTED_VALUE"""),1.0)</f>
        <v>1</v>
      </c>
      <c r="F848" s="8">
        <v>1.0</v>
      </c>
      <c r="G848" s="8">
        <v>1.0</v>
      </c>
      <c r="H848" s="8">
        <v>1.0</v>
      </c>
      <c r="I848" s="8">
        <v>1.0</v>
      </c>
      <c r="J848" s="8">
        <v>1.0</v>
      </c>
      <c r="K848" s="8">
        <v>1.0</v>
      </c>
      <c r="L848" s="8">
        <v>6.0</v>
      </c>
      <c r="M848" s="8"/>
      <c r="N848" s="8"/>
      <c r="O848" s="8" t="s">
        <v>739</v>
      </c>
      <c r="P848" s="8" t="e">
        <v>#N/A</v>
      </c>
    </row>
    <row r="849">
      <c r="A849">
        <f>IFERROR(__xludf.DUMMYFUNCTION("""COMPUTED_VALUE"""),6.0)</f>
        <v>6</v>
      </c>
      <c r="B849">
        <f>IFERROR(__xludf.DUMMYFUNCTION("""COMPUTED_VALUE"""),31014.0)</f>
        <v>31014</v>
      </c>
      <c r="C849" t="str">
        <f>IFERROR(__xludf.DUMMYFUNCTION("""COMPUTED_VALUE"""),"BETANCUR PENAGOS, AGUSTIN")</f>
        <v>BETANCUR PENAGOS, AGUSTIN</v>
      </c>
      <c r="D849" t="str">
        <f>IFERROR(__xludf.DUMMYFUNCTION("""COMPUTED_VALUE"""),"English 6A")</f>
        <v>English 6A</v>
      </c>
      <c r="E849" s="31">
        <f>IFERROR(__xludf.DUMMYFUNCTION("""COMPUTED_VALUE"""),1.0)</f>
        <v>1</v>
      </c>
      <c r="F849" s="8">
        <v>1.0</v>
      </c>
      <c r="G849" s="8">
        <v>1.0</v>
      </c>
      <c r="H849" s="8">
        <v>1.0</v>
      </c>
      <c r="I849" s="8">
        <v>1.0</v>
      </c>
      <c r="J849" s="8">
        <v>1.0</v>
      </c>
      <c r="K849" s="8">
        <v>1.0</v>
      </c>
      <c r="L849" s="8">
        <v>6.0</v>
      </c>
      <c r="M849" s="8"/>
      <c r="N849" s="8"/>
      <c r="O849" s="8" t="s">
        <v>739</v>
      </c>
      <c r="P849" s="8" t="e">
        <v>#N/A</v>
      </c>
    </row>
    <row r="850">
      <c r="A850">
        <f>IFERROR(__xludf.DUMMYFUNCTION("""COMPUTED_VALUE"""),6.0)</f>
        <v>6</v>
      </c>
      <c r="B850">
        <f>IFERROR(__xludf.DUMMYFUNCTION("""COMPUTED_VALUE"""),31015.0)</f>
        <v>31015</v>
      </c>
      <c r="C850" t="str">
        <f>IFERROR(__xludf.DUMMYFUNCTION("""COMPUTED_VALUE"""),"BETANCUR PENAGOS, LORENZO")</f>
        <v>BETANCUR PENAGOS, LORENZO</v>
      </c>
      <c r="D850" t="str">
        <f>IFERROR(__xludf.DUMMYFUNCTION("""COMPUTED_VALUE"""),"English 6A")</f>
        <v>English 6A</v>
      </c>
      <c r="E850" s="31">
        <f>IFERROR(__xludf.DUMMYFUNCTION("""COMPUTED_VALUE"""),1.0)</f>
        <v>1</v>
      </c>
      <c r="F850" s="8">
        <v>1.0</v>
      </c>
      <c r="G850" s="8">
        <v>1.0</v>
      </c>
      <c r="H850" s="8">
        <v>1.0</v>
      </c>
      <c r="I850" s="8">
        <v>1.0</v>
      </c>
      <c r="J850" s="8">
        <v>1.0</v>
      </c>
      <c r="K850" s="8">
        <v>1.0</v>
      </c>
      <c r="L850" s="8">
        <v>6.0</v>
      </c>
      <c r="M850" s="8"/>
      <c r="N850" s="8"/>
      <c r="O850" s="8" t="s">
        <v>739</v>
      </c>
      <c r="P850" s="8" t="e">
        <v>#N/A</v>
      </c>
    </row>
    <row r="851">
      <c r="A851">
        <f>IFERROR(__xludf.DUMMYFUNCTION("""COMPUTED_VALUE"""),6.0)</f>
        <v>6</v>
      </c>
      <c r="B851">
        <f>IFERROR(__xludf.DUMMYFUNCTION("""COMPUTED_VALUE"""),31016.0)</f>
        <v>31016</v>
      </c>
      <c r="C851" t="str">
        <f>IFERROR(__xludf.DUMMYFUNCTION("""COMPUTED_VALUE"""),"BETANCUR ROBLEDO, VICENTE")</f>
        <v>BETANCUR ROBLEDO, VICENTE</v>
      </c>
      <c r="D851" t="str">
        <f>IFERROR(__xludf.DUMMYFUNCTION("""COMPUTED_VALUE"""),"English 6")</f>
        <v>English 6</v>
      </c>
      <c r="E851" s="31">
        <f>IFERROR(__xludf.DUMMYFUNCTION("""COMPUTED_VALUE"""),1.0)</f>
        <v>1</v>
      </c>
      <c r="F851" s="8">
        <v>1.0</v>
      </c>
      <c r="G851" s="8">
        <v>1.0</v>
      </c>
      <c r="H851" s="8">
        <v>1.0</v>
      </c>
      <c r="I851" s="8">
        <v>1.0</v>
      </c>
      <c r="J851" s="8">
        <v>1.0</v>
      </c>
      <c r="K851" s="8">
        <v>1.0</v>
      </c>
      <c r="L851" s="8">
        <v>6.0</v>
      </c>
      <c r="M851" s="8"/>
      <c r="N851" s="8"/>
      <c r="O851" s="8" t="s">
        <v>736</v>
      </c>
      <c r="P851" s="8">
        <v>6.0</v>
      </c>
    </row>
    <row r="852">
      <c r="A852">
        <f>IFERROR(__xludf.DUMMYFUNCTION("""COMPUTED_VALUE"""),6.0)</f>
        <v>6</v>
      </c>
      <c r="B852">
        <f>IFERROR(__xludf.DUMMYFUNCTION("""COMPUTED_VALUE"""),31166.0)</f>
        <v>31166</v>
      </c>
      <c r="C852" t="str">
        <f>IFERROR(__xludf.DUMMYFUNCTION("""COMPUTED_VALUE"""),"BISHOP, XAVIER PATRICK")</f>
        <v>BISHOP, XAVIER PATRICK</v>
      </c>
      <c r="D852" t="str">
        <f>IFERROR(__xludf.DUMMYFUNCTION("""COMPUTED_VALUE"""),"English 6")</f>
        <v>English 6</v>
      </c>
      <c r="E852" s="31">
        <f>IFERROR(__xludf.DUMMYFUNCTION("""COMPUTED_VALUE"""),5.0)</f>
        <v>5</v>
      </c>
      <c r="F852" s="8">
        <v>1.0</v>
      </c>
      <c r="G852" s="8">
        <v>1.0</v>
      </c>
      <c r="H852" s="8">
        <v>1.0</v>
      </c>
      <c r="I852" s="8">
        <v>1.0</v>
      </c>
      <c r="J852" s="8">
        <v>1.0</v>
      </c>
      <c r="K852" s="8">
        <v>1.0</v>
      </c>
      <c r="L852" s="8">
        <v>6.0</v>
      </c>
      <c r="M852" s="8"/>
      <c r="N852" s="8"/>
      <c r="O852" s="8" t="s">
        <v>737</v>
      </c>
      <c r="P852" s="8">
        <v>6.0</v>
      </c>
    </row>
    <row r="853">
      <c r="A853">
        <f>IFERROR(__xludf.DUMMYFUNCTION("""COMPUTED_VALUE"""),6.0)</f>
        <v>6</v>
      </c>
      <c r="B853">
        <f>IFERROR(__xludf.DUMMYFUNCTION("""COMPUTED_VALUE"""),31152.0)</f>
        <v>31152</v>
      </c>
      <c r="C853" t="str">
        <f>IFERROR(__xludf.DUMMYFUNCTION("""COMPUTED_VALUE"""),"BLANCO HENRIQUEZ, JUAN MARTIN")</f>
        <v>BLANCO HENRIQUEZ, JUAN MARTIN</v>
      </c>
      <c r="D853" t="str">
        <f>IFERROR(__xludf.DUMMYFUNCTION("""COMPUTED_VALUE"""),"English 6")</f>
        <v>English 6</v>
      </c>
      <c r="E853" s="31">
        <f>IFERROR(__xludf.DUMMYFUNCTION("""COMPUTED_VALUE"""),6.0)</f>
        <v>6</v>
      </c>
      <c r="F853" s="8">
        <v>1.0</v>
      </c>
      <c r="G853" s="8">
        <v>1.0</v>
      </c>
      <c r="H853" s="8">
        <v>1.0</v>
      </c>
      <c r="I853" s="8">
        <v>1.0</v>
      </c>
      <c r="J853" s="8">
        <v>1.0</v>
      </c>
      <c r="K853" s="8">
        <v>1.0</v>
      </c>
      <c r="L853" s="8">
        <v>6.0</v>
      </c>
      <c r="M853" s="8"/>
      <c r="N853" s="8"/>
      <c r="O853" s="8" t="s">
        <v>738</v>
      </c>
      <c r="P853" s="8">
        <v>6.0</v>
      </c>
    </row>
    <row r="854">
      <c r="A854">
        <f>IFERROR(__xludf.DUMMYFUNCTION("""COMPUTED_VALUE"""),6.0)</f>
        <v>6</v>
      </c>
      <c r="B854">
        <f>IFERROR(__xludf.DUMMYFUNCTION("""COMPUTED_VALUE"""),31017.0)</f>
        <v>31017</v>
      </c>
      <c r="C854" t="str">
        <f>IFERROR(__xludf.DUMMYFUNCTION("""COMPUTED_VALUE"""),"BORDA AZCARATE, AGUSTIN")</f>
        <v>BORDA AZCARATE, AGUSTIN</v>
      </c>
      <c r="D854" t="str">
        <f>IFERROR(__xludf.DUMMYFUNCTION("""COMPUTED_VALUE"""),"English 6")</f>
        <v>English 6</v>
      </c>
      <c r="E854" s="31">
        <f>IFERROR(__xludf.DUMMYFUNCTION("""COMPUTED_VALUE"""),6.0)</f>
        <v>6</v>
      </c>
      <c r="F854" s="8">
        <v>1.0</v>
      </c>
      <c r="G854" s="8">
        <v>1.0</v>
      </c>
      <c r="H854" s="8">
        <v>1.0</v>
      </c>
      <c r="I854" s="8">
        <v>1.0</v>
      </c>
      <c r="J854" s="8">
        <v>1.0</v>
      </c>
      <c r="K854" s="8">
        <v>1.0</v>
      </c>
      <c r="L854" s="8">
        <v>6.0</v>
      </c>
      <c r="M854" s="8"/>
      <c r="N854" s="8"/>
      <c r="O854" s="8" t="s">
        <v>738</v>
      </c>
      <c r="P854" s="8">
        <v>6.0</v>
      </c>
    </row>
    <row r="855">
      <c r="A855">
        <f>IFERROR(__xludf.DUMMYFUNCTION("""COMPUTED_VALUE"""),6.0)</f>
        <v>6</v>
      </c>
      <c r="B855">
        <f>IFERROR(__xludf.DUMMYFUNCTION("""COMPUTED_VALUE"""),31019.0)</f>
        <v>31019</v>
      </c>
      <c r="C855" t="str">
        <f>IFERROR(__xludf.DUMMYFUNCTION("""COMPUTED_VALUE"""),"BOTERO BOTERO, AMALIA")</f>
        <v>BOTERO BOTERO, AMALIA</v>
      </c>
      <c r="D855" t="str">
        <f>IFERROR(__xludf.DUMMYFUNCTION("""COMPUTED_VALUE"""),"English 6")</f>
        <v>English 6</v>
      </c>
      <c r="E855" s="31">
        <f>IFERROR(__xludf.DUMMYFUNCTION("""COMPUTED_VALUE"""),2.0)</f>
        <v>2</v>
      </c>
      <c r="F855" s="8">
        <v>1.0</v>
      </c>
      <c r="G855" s="8">
        <v>1.0</v>
      </c>
      <c r="H855" s="8">
        <v>1.0</v>
      </c>
      <c r="I855" s="8">
        <v>1.0</v>
      </c>
      <c r="J855" s="8">
        <v>1.0</v>
      </c>
      <c r="K855" s="8">
        <v>1.0</v>
      </c>
      <c r="L855" s="8">
        <v>6.0</v>
      </c>
      <c r="M855" s="8"/>
      <c r="N855" s="8"/>
      <c r="O855" s="8" t="s">
        <v>735</v>
      </c>
      <c r="P855" s="8">
        <v>6.0</v>
      </c>
    </row>
    <row r="856">
      <c r="A856">
        <f>IFERROR(__xludf.DUMMYFUNCTION("""COMPUTED_VALUE"""),6.0)</f>
        <v>6</v>
      </c>
      <c r="B856">
        <f>IFERROR(__xludf.DUMMYFUNCTION("""COMPUTED_VALUE"""),31020.0)</f>
        <v>31020</v>
      </c>
      <c r="C856" t="str">
        <f>IFERROR(__xludf.DUMMYFUNCTION("""COMPUTED_VALUE"""),"BOTERO DEL CORRAL, MARTINA")</f>
        <v>BOTERO DEL CORRAL, MARTINA</v>
      </c>
      <c r="D856" t="str">
        <f>IFERROR(__xludf.DUMMYFUNCTION("""COMPUTED_VALUE"""),"English 6")</f>
        <v>English 6</v>
      </c>
      <c r="E856" s="31">
        <f>IFERROR(__xludf.DUMMYFUNCTION("""COMPUTED_VALUE"""),3.0)</f>
        <v>3</v>
      </c>
      <c r="F856" s="8">
        <v>1.0</v>
      </c>
      <c r="G856" s="8">
        <v>1.0</v>
      </c>
      <c r="H856" s="8">
        <v>1.0</v>
      </c>
      <c r="I856" s="8">
        <v>1.0</v>
      </c>
      <c r="J856" s="8">
        <v>1.0</v>
      </c>
      <c r="K856" s="8">
        <v>1.0</v>
      </c>
      <c r="L856" s="8">
        <v>6.0</v>
      </c>
      <c r="M856" s="8"/>
      <c r="N856" s="8"/>
      <c r="O856" s="8" t="s">
        <v>740</v>
      </c>
      <c r="P856" s="8">
        <v>6.0</v>
      </c>
    </row>
    <row r="857">
      <c r="A857">
        <f>IFERROR(__xludf.DUMMYFUNCTION("""COMPUTED_VALUE"""),6.0)</f>
        <v>6</v>
      </c>
      <c r="B857">
        <f>IFERROR(__xludf.DUMMYFUNCTION("""COMPUTED_VALUE"""),31018.0)</f>
        <v>31018</v>
      </c>
      <c r="C857" t="str">
        <f>IFERROR(__xludf.DUMMYFUNCTION("""COMPUTED_VALUE"""),"BOTERO MONTOYA, MATIAS")</f>
        <v>BOTERO MONTOYA, MATIAS</v>
      </c>
      <c r="D857" t="str">
        <f>IFERROR(__xludf.DUMMYFUNCTION("""COMPUTED_VALUE"""),"English 6")</f>
        <v>English 6</v>
      </c>
      <c r="E857" s="31">
        <f>IFERROR(__xludf.DUMMYFUNCTION("""COMPUTED_VALUE"""),6.0)</f>
        <v>6</v>
      </c>
      <c r="F857" s="8">
        <v>1.0</v>
      </c>
      <c r="G857" s="8">
        <v>1.0</v>
      </c>
      <c r="H857" s="8">
        <v>1.0</v>
      </c>
      <c r="I857" s="8">
        <v>1.0</v>
      </c>
      <c r="J857" s="8">
        <v>1.0</v>
      </c>
      <c r="K857" s="8">
        <v>1.0</v>
      </c>
      <c r="L857" s="8">
        <v>6.0</v>
      </c>
      <c r="M857" s="8"/>
      <c r="N857" s="8"/>
      <c r="O857" s="8" t="s">
        <v>738</v>
      </c>
      <c r="P857" s="8">
        <v>6.0</v>
      </c>
    </row>
    <row r="858">
      <c r="A858">
        <f>IFERROR(__xludf.DUMMYFUNCTION("""COMPUTED_VALUE"""),6.0)</f>
        <v>6</v>
      </c>
      <c r="B858">
        <f>IFERROR(__xludf.DUMMYFUNCTION("""COMPUTED_VALUE"""),31022.0)</f>
        <v>31022</v>
      </c>
      <c r="C858" t="str">
        <f>IFERROR(__xludf.DUMMYFUNCTION("""COMPUTED_VALUE"""),"CALDWELL VALLEJO, MAX")</f>
        <v>CALDWELL VALLEJO, MAX</v>
      </c>
      <c r="D858" t="str">
        <f>IFERROR(__xludf.DUMMYFUNCTION("""COMPUTED_VALUE"""),"English 6")</f>
        <v>English 6</v>
      </c>
      <c r="E858" s="31">
        <f>IFERROR(__xludf.DUMMYFUNCTION("""COMPUTED_VALUE"""),2.0)</f>
        <v>2</v>
      </c>
      <c r="F858" s="8">
        <v>1.0</v>
      </c>
      <c r="G858" s="8">
        <v>1.0</v>
      </c>
      <c r="H858" s="8">
        <v>1.0</v>
      </c>
      <c r="I858" s="8">
        <v>1.0</v>
      </c>
      <c r="J858" s="8">
        <v>1.0</v>
      </c>
      <c r="K858" s="8">
        <v>1.0</v>
      </c>
      <c r="L858" s="8">
        <v>6.0</v>
      </c>
      <c r="M858" s="8"/>
      <c r="N858" s="8"/>
      <c r="O858" s="8" t="s">
        <v>735</v>
      </c>
      <c r="P858" s="8">
        <v>6.0</v>
      </c>
    </row>
    <row r="859">
      <c r="A859">
        <f>IFERROR(__xludf.DUMMYFUNCTION("""COMPUTED_VALUE"""),6.0)</f>
        <v>6</v>
      </c>
      <c r="B859">
        <f>IFERROR(__xludf.DUMMYFUNCTION("""COMPUTED_VALUE"""),31023.0)</f>
        <v>31023</v>
      </c>
      <c r="C859" t="str">
        <f>IFERROR(__xludf.DUMMYFUNCTION("""COMPUTED_VALUE"""),"CAPMARTIN GOMEZ, VALERIA")</f>
        <v>CAPMARTIN GOMEZ, VALERIA</v>
      </c>
      <c r="D859" t="str">
        <f>IFERROR(__xludf.DUMMYFUNCTION("""COMPUTED_VALUE"""),"English 6")</f>
        <v>English 6</v>
      </c>
      <c r="E859" s="31">
        <f>IFERROR(__xludf.DUMMYFUNCTION("""COMPUTED_VALUE"""),5.0)</f>
        <v>5</v>
      </c>
      <c r="F859" s="8">
        <v>1.0</v>
      </c>
      <c r="G859" s="8">
        <v>1.0</v>
      </c>
      <c r="H859" s="8">
        <v>1.0</v>
      </c>
      <c r="I859" s="8">
        <v>1.0</v>
      </c>
      <c r="J859" s="8">
        <v>1.0</v>
      </c>
      <c r="K859" s="8">
        <v>1.0</v>
      </c>
      <c r="L859" s="8">
        <v>6.0</v>
      </c>
      <c r="M859" s="8"/>
      <c r="N859" s="8"/>
      <c r="O859" s="8" t="s">
        <v>737</v>
      </c>
      <c r="P859" s="8">
        <v>6.0</v>
      </c>
    </row>
    <row r="860">
      <c r="A860">
        <f>IFERROR(__xludf.DUMMYFUNCTION("""COMPUTED_VALUE"""),6.0)</f>
        <v>6</v>
      </c>
      <c r="B860">
        <f>IFERROR(__xludf.DUMMYFUNCTION("""COMPUTED_VALUE"""),31024.0)</f>
        <v>31024</v>
      </c>
      <c r="C860" t="str">
        <f>IFERROR(__xludf.DUMMYFUNCTION("""COMPUTED_VALUE"""),"CARDONA VELEZ, ALICIA")</f>
        <v>CARDONA VELEZ, ALICIA</v>
      </c>
      <c r="D860" t="str">
        <f>IFERROR(__xludf.DUMMYFUNCTION("""COMPUTED_VALUE"""),"English 6")</f>
        <v>English 6</v>
      </c>
      <c r="E860" s="31">
        <f>IFERROR(__xludf.DUMMYFUNCTION("""COMPUTED_VALUE"""),3.0)</f>
        <v>3</v>
      </c>
      <c r="F860" s="8">
        <v>1.0</v>
      </c>
      <c r="G860" s="8">
        <v>1.0</v>
      </c>
      <c r="H860" s="8">
        <v>1.0</v>
      </c>
      <c r="I860" s="8">
        <v>1.0</v>
      </c>
      <c r="J860" s="8">
        <v>1.0</v>
      </c>
      <c r="K860" s="8">
        <v>1.0</v>
      </c>
      <c r="L860" s="8">
        <v>6.0</v>
      </c>
      <c r="M860" s="8"/>
      <c r="N860" s="8"/>
      <c r="O860" s="8" t="s">
        <v>740</v>
      </c>
      <c r="P860" s="8">
        <v>6.0</v>
      </c>
    </row>
    <row r="861">
      <c r="A861">
        <f>IFERROR(__xludf.DUMMYFUNCTION("""COMPUTED_VALUE"""),6.0)</f>
        <v>6</v>
      </c>
      <c r="B861">
        <f>IFERROR(__xludf.DUMMYFUNCTION("""COMPUTED_VALUE"""),31025.0)</f>
        <v>31025</v>
      </c>
      <c r="C861" t="str">
        <f>IFERROR(__xludf.DUMMYFUNCTION("""COMPUTED_VALUE"""),"CORREA ALVAREZ, EMILIO")</f>
        <v>CORREA ALVAREZ, EMILIO</v>
      </c>
      <c r="D861" t="str">
        <f>IFERROR(__xludf.DUMMYFUNCTION("""COMPUTED_VALUE"""),"English 6")</f>
        <v>English 6</v>
      </c>
      <c r="E861" s="31">
        <f>IFERROR(__xludf.DUMMYFUNCTION("""COMPUTED_VALUE"""),1.0)</f>
        <v>1</v>
      </c>
      <c r="F861" s="8">
        <v>1.0</v>
      </c>
      <c r="G861" s="8">
        <v>1.0</v>
      </c>
      <c r="H861" s="8">
        <v>1.0</v>
      </c>
      <c r="I861" s="8">
        <v>1.0</v>
      </c>
      <c r="J861" s="8">
        <v>1.0</v>
      </c>
      <c r="K861" s="8">
        <v>1.0</v>
      </c>
      <c r="L861" s="8">
        <v>6.0</v>
      </c>
      <c r="M861" s="8"/>
      <c r="N861" s="8"/>
      <c r="O861" s="8" t="s">
        <v>736</v>
      </c>
      <c r="P861" s="8">
        <v>6.0</v>
      </c>
    </row>
    <row r="862">
      <c r="A862">
        <f>IFERROR(__xludf.DUMMYFUNCTION("""COMPUTED_VALUE"""),6.0)</f>
        <v>6</v>
      </c>
      <c r="B862">
        <f>IFERROR(__xludf.DUMMYFUNCTION("""COMPUTED_VALUE"""),31026.0)</f>
        <v>31026</v>
      </c>
      <c r="C862" t="str">
        <f>IFERROR(__xludf.DUMMYFUNCTION("""COMPUTED_VALUE"""),"CORTES ARANGO, JUAN MARTIN")</f>
        <v>CORTES ARANGO, JUAN MARTIN</v>
      </c>
      <c r="D862" t="str">
        <f>IFERROR(__xludf.DUMMYFUNCTION("""COMPUTED_VALUE"""),"English 6")</f>
        <v>English 6</v>
      </c>
      <c r="E862" s="31">
        <f>IFERROR(__xludf.DUMMYFUNCTION("""COMPUTED_VALUE"""),2.0)</f>
        <v>2</v>
      </c>
      <c r="F862" s="8">
        <v>1.0</v>
      </c>
      <c r="G862" s="8">
        <v>1.0</v>
      </c>
      <c r="H862" s="8">
        <v>1.0</v>
      </c>
      <c r="I862" s="8">
        <v>1.0</v>
      </c>
      <c r="J862" s="8">
        <v>1.0</v>
      </c>
      <c r="K862" s="8">
        <v>1.0</v>
      </c>
      <c r="L862" s="8">
        <v>6.0</v>
      </c>
      <c r="M862" s="8"/>
      <c r="N862" s="8"/>
      <c r="O862" s="8" t="s">
        <v>735</v>
      </c>
      <c r="P862" s="8">
        <v>6.0</v>
      </c>
    </row>
    <row r="863">
      <c r="A863">
        <f>IFERROR(__xludf.DUMMYFUNCTION("""COMPUTED_VALUE"""),6.0)</f>
        <v>6</v>
      </c>
      <c r="B863">
        <f>IFERROR(__xludf.DUMMYFUNCTION("""COMPUTED_VALUE"""),31027.0)</f>
        <v>31027</v>
      </c>
      <c r="C863" t="str">
        <f>IFERROR(__xludf.DUMMYFUNCTION("""COMPUTED_VALUE"""),"CUARTAS GOMEZ, SANTIAGO")</f>
        <v>CUARTAS GOMEZ, SANTIAGO</v>
      </c>
      <c r="D863" t="str">
        <f>IFERROR(__xludf.DUMMYFUNCTION("""COMPUTED_VALUE"""),"English 6")</f>
        <v>English 6</v>
      </c>
      <c r="E863" s="31">
        <f>IFERROR(__xludf.DUMMYFUNCTION("""COMPUTED_VALUE"""),1.0)</f>
        <v>1</v>
      </c>
      <c r="F863" s="8">
        <v>1.0</v>
      </c>
      <c r="G863" s="8">
        <v>1.0</v>
      </c>
      <c r="H863" s="8">
        <v>1.0</v>
      </c>
      <c r="I863" s="8">
        <v>1.0</v>
      </c>
      <c r="J863" s="8">
        <v>1.0</v>
      </c>
      <c r="K863" s="8">
        <v>1.0</v>
      </c>
      <c r="L863" s="8">
        <v>6.0</v>
      </c>
      <c r="M863" s="8"/>
      <c r="N863" s="8"/>
      <c r="O863" s="8" t="s">
        <v>736</v>
      </c>
      <c r="P863" s="8">
        <v>6.0</v>
      </c>
    </row>
    <row r="864">
      <c r="A864">
        <f>IFERROR(__xludf.DUMMYFUNCTION("""COMPUTED_VALUE"""),6.0)</f>
        <v>6</v>
      </c>
      <c r="B864">
        <f>IFERROR(__xludf.DUMMYFUNCTION("""COMPUTED_VALUE"""),31028.0)</f>
        <v>31028</v>
      </c>
      <c r="C864" t="str">
        <f>IFERROR(__xludf.DUMMYFUNCTION("""COMPUTED_VALUE"""),"DE HOMMEL COCK, ARTHUR JEAN")</f>
        <v>DE HOMMEL COCK, ARTHUR JEAN</v>
      </c>
      <c r="D864" t="str">
        <f>IFERROR(__xludf.DUMMYFUNCTION("""COMPUTED_VALUE"""),"English 6")</f>
        <v>English 6</v>
      </c>
      <c r="E864" s="31">
        <f>IFERROR(__xludf.DUMMYFUNCTION("""COMPUTED_VALUE"""),3.0)</f>
        <v>3</v>
      </c>
      <c r="F864" s="8">
        <v>1.0</v>
      </c>
      <c r="G864" s="8">
        <v>1.0</v>
      </c>
      <c r="H864" s="8">
        <v>1.0</v>
      </c>
      <c r="I864" s="8">
        <v>1.0</v>
      </c>
      <c r="J864" s="8">
        <v>1.0</v>
      </c>
      <c r="K864" s="8">
        <v>1.0</v>
      </c>
      <c r="L864" s="8">
        <v>6.0</v>
      </c>
      <c r="M864" s="8"/>
      <c r="N864" s="8"/>
      <c r="O864" s="8" t="s">
        <v>740</v>
      </c>
      <c r="P864" s="8">
        <v>6.0</v>
      </c>
    </row>
    <row r="865">
      <c r="A865">
        <f>IFERROR(__xludf.DUMMYFUNCTION("""COMPUTED_VALUE"""),6.0)</f>
        <v>6</v>
      </c>
      <c r="B865">
        <f>IFERROR(__xludf.DUMMYFUNCTION("""COMPUTED_VALUE"""),31029.0)</f>
        <v>31029</v>
      </c>
      <c r="C865" t="str">
        <f>IFERROR(__xludf.DUMMYFUNCTION("""COMPUTED_VALUE"""),"DE KOLLER GAVIRIA, PAOLO")</f>
        <v>DE KOLLER GAVIRIA, PAOLO</v>
      </c>
      <c r="D865" t="str">
        <f>IFERROR(__xludf.DUMMYFUNCTION("""COMPUTED_VALUE"""),"English 6")</f>
        <v>English 6</v>
      </c>
      <c r="E865" s="31">
        <f>IFERROR(__xludf.DUMMYFUNCTION("""COMPUTED_VALUE"""),1.0)</f>
        <v>1</v>
      </c>
      <c r="F865" s="8">
        <v>1.0</v>
      </c>
      <c r="G865" s="8">
        <v>1.0</v>
      </c>
      <c r="H865" s="8">
        <v>1.0</v>
      </c>
      <c r="I865" s="8">
        <v>1.0</v>
      </c>
      <c r="J865" s="8">
        <v>1.0</v>
      </c>
      <c r="K865" s="8">
        <v>1.0</v>
      </c>
      <c r="L865" s="8">
        <v>6.0</v>
      </c>
      <c r="M865" s="8"/>
      <c r="N865" s="8"/>
      <c r="O865" s="8" t="s">
        <v>736</v>
      </c>
      <c r="P865" s="8">
        <v>6.0</v>
      </c>
    </row>
    <row r="866">
      <c r="A866">
        <f>IFERROR(__xludf.DUMMYFUNCTION("""COMPUTED_VALUE"""),6.0)</f>
        <v>6</v>
      </c>
      <c r="B866">
        <f>IFERROR(__xludf.DUMMYFUNCTION("""COMPUTED_VALUE"""),31030.0)</f>
        <v>31030</v>
      </c>
      <c r="C866" t="str">
        <f>IFERROR(__xludf.DUMMYFUNCTION("""COMPUTED_VALUE"""),"DE KOLLER GAVIRIA, ROMEO")</f>
        <v>DE KOLLER GAVIRIA, ROMEO</v>
      </c>
      <c r="D866" t="str">
        <f>IFERROR(__xludf.DUMMYFUNCTION("""COMPUTED_VALUE"""),"English 6A")</f>
        <v>English 6A</v>
      </c>
      <c r="E866" s="31">
        <f>IFERROR(__xludf.DUMMYFUNCTION("""COMPUTED_VALUE"""),1.0)</f>
        <v>1</v>
      </c>
      <c r="F866" s="8">
        <v>1.0</v>
      </c>
      <c r="G866" s="8">
        <v>1.0</v>
      </c>
      <c r="H866" s="8">
        <v>1.0</v>
      </c>
      <c r="I866" s="8">
        <v>1.0</v>
      </c>
      <c r="J866" s="8">
        <v>1.0</v>
      </c>
      <c r="K866" s="8">
        <v>1.0</v>
      </c>
      <c r="L866" s="8">
        <v>6.0</v>
      </c>
      <c r="M866" s="8"/>
      <c r="N866" s="8"/>
      <c r="O866" s="8" t="s">
        <v>739</v>
      </c>
      <c r="P866" s="8" t="e">
        <v>#N/A</v>
      </c>
    </row>
    <row r="867">
      <c r="A867">
        <f>IFERROR(__xludf.DUMMYFUNCTION("""COMPUTED_VALUE"""),6.0)</f>
        <v>6</v>
      </c>
      <c r="B867">
        <f>IFERROR(__xludf.DUMMYFUNCTION("""COMPUTED_VALUE"""),31032.0)</f>
        <v>31032</v>
      </c>
      <c r="C867" t="str">
        <f>IFERROR(__xludf.DUMMYFUNCTION("""COMPUTED_VALUE"""),"DE LOS RIOS AGUDELO, MARTIN")</f>
        <v>DE LOS RIOS AGUDELO, MARTIN</v>
      </c>
      <c r="D867" t="str">
        <f>IFERROR(__xludf.DUMMYFUNCTION("""COMPUTED_VALUE"""),"English 6")</f>
        <v>English 6</v>
      </c>
      <c r="E867" s="31">
        <f>IFERROR(__xludf.DUMMYFUNCTION("""COMPUTED_VALUE"""),6.0)</f>
        <v>6</v>
      </c>
      <c r="F867" s="8">
        <v>1.0</v>
      </c>
      <c r="G867" s="8">
        <v>1.0</v>
      </c>
      <c r="H867" s="8">
        <v>1.0</v>
      </c>
      <c r="I867" s="8">
        <v>1.0</v>
      </c>
      <c r="J867" s="8">
        <v>1.0</v>
      </c>
      <c r="K867" s="8">
        <v>1.0</v>
      </c>
      <c r="L867" s="8">
        <v>6.0</v>
      </c>
      <c r="M867" s="8"/>
      <c r="N867" s="8"/>
      <c r="O867" s="8" t="s">
        <v>738</v>
      </c>
      <c r="P867" s="8">
        <v>6.0</v>
      </c>
    </row>
    <row r="868">
      <c r="A868">
        <f>IFERROR(__xludf.DUMMYFUNCTION("""COMPUTED_VALUE"""),6.0)</f>
        <v>6</v>
      </c>
      <c r="B868">
        <f>IFERROR(__xludf.DUMMYFUNCTION("""COMPUTED_VALUE"""),31031.0)</f>
        <v>31031</v>
      </c>
      <c r="C868" t="str">
        <f>IFERROR(__xludf.DUMMYFUNCTION("""COMPUTED_VALUE"""),"DE LOS RIOS AGUDELO, MATIAS")</f>
        <v>DE LOS RIOS AGUDELO, MATIAS</v>
      </c>
      <c r="D868" t="str">
        <f>IFERROR(__xludf.DUMMYFUNCTION("""COMPUTED_VALUE"""),"English 6A")</f>
        <v>English 6A</v>
      </c>
      <c r="E868" s="31">
        <f>IFERROR(__xludf.DUMMYFUNCTION("""COMPUTED_VALUE"""),1.0)</f>
        <v>1</v>
      </c>
      <c r="F868" s="8">
        <v>1.0</v>
      </c>
      <c r="G868" s="8">
        <v>1.0</v>
      </c>
      <c r="H868" s="8">
        <v>1.0</v>
      </c>
      <c r="I868" s="8">
        <v>1.0</v>
      </c>
      <c r="J868" s="8">
        <v>1.0</v>
      </c>
      <c r="K868" s="8">
        <v>1.0</v>
      </c>
      <c r="L868" s="8">
        <v>6.0</v>
      </c>
      <c r="M868" s="8"/>
      <c r="N868" s="8"/>
      <c r="O868" s="8" t="s">
        <v>739</v>
      </c>
      <c r="P868" s="8" t="e">
        <v>#N/A</v>
      </c>
    </row>
    <row r="869">
      <c r="A869">
        <f>IFERROR(__xludf.DUMMYFUNCTION("""COMPUTED_VALUE"""),6.0)</f>
        <v>6</v>
      </c>
      <c r="B869">
        <f>IFERROR(__xludf.DUMMYFUNCTION("""COMPUTED_VALUE"""),31168.0)</f>
        <v>31168</v>
      </c>
      <c r="C869" t="str">
        <f>IFERROR(__xludf.DUMMYFUNCTION("""COMPUTED_VALUE"""),"DE MUNCK MORTIER, LUCA")</f>
        <v>DE MUNCK MORTIER, LUCA</v>
      </c>
      <c r="D869" t="str">
        <f>IFERROR(__xludf.DUMMYFUNCTION("""COMPUTED_VALUE"""),"English 6")</f>
        <v>English 6</v>
      </c>
      <c r="E869" s="31">
        <f>IFERROR(__xludf.DUMMYFUNCTION("""COMPUTED_VALUE"""),6.0)</f>
        <v>6</v>
      </c>
      <c r="F869" s="8">
        <v>1.0</v>
      </c>
      <c r="G869" s="8">
        <v>1.0</v>
      </c>
      <c r="H869" s="8">
        <v>1.0</v>
      </c>
      <c r="I869" s="8">
        <v>1.0</v>
      </c>
      <c r="J869" s="8">
        <v>1.0</v>
      </c>
      <c r="K869" s="8">
        <v>1.0</v>
      </c>
      <c r="L869" s="8">
        <v>6.0</v>
      </c>
      <c r="M869" s="8"/>
      <c r="N869" s="8"/>
      <c r="O869" s="8" t="s">
        <v>738</v>
      </c>
      <c r="P869" s="8">
        <v>6.0</v>
      </c>
    </row>
    <row r="870">
      <c r="A870">
        <f>IFERROR(__xludf.DUMMYFUNCTION("""COMPUTED_VALUE"""),6.0)</f>
        <v>6</v>
      </c>
      <c r="B870">
        <f>IFERROR(__xludf.DUMMYFUNCTION("""COMPUTED_VALUE"""),31163.0)</f>
        <v>31163</v>
      </c>
      <c r="C870" t="str">
        <f>IFERROR(__xludf.DUMMYFUNCTION("""COMPUTED_VALUE"""),"DOMINGUEZ JORGENSEN, GABRIEL")</f>
        <v>DOMINGUEZ JORGENSEN, GABRIEL</v>
      </c>
      <c r="D870" t="str">
        <f>IFERROR(__xludf.DUMMYFUNCTION("""COMPUTED_VALUE"""),"English 6")</f>
        <v>English 6</v>
      </c>
      <c r="E870" s="31">
        <f>IFERROR(__xludf.DUMMYFUNCTION("""COMPUTED_VALUE"""),3.0)</f>
        <v>3</v>
      </c>
      <c r="F870" s="8">
        <v>1.0</v>
      </c>
      <c r="G870" s="8">
        <v>1.0</v>
      </c>
      <c r="H870" s="8">
        <v>1.0</v>
      </c>
      <c r="I870" s="8">
        <v>1.0</v>
      </c>
      <c r="J870" s="8">
        <v>1.0</v>
      </c>
      <c r="K870" s="8">
        <v>1.0</v>
      </c>
      <c r="L870" s="8">
        <v>6.0</v>
      </c>
      <c r="M870" s="8"/>
      <c r="N870" s="8"/>
      <c r="O870" s="8" t="s">
        <v>740</v>
      </c>
      <c r="P870" s="8">
        <v>6.0</v>
      </c>
    </row>
    <row r="871">
      <c r="A871">
        <f>IFERROR(__xludf.DUMMYFUNCTION("""COMPUTED_VALUE"""),6.0)</f>
        <v>6</v>
      </c>
      <c r="B871">
        <f>IFERROR(__xludf.DUMMYFUNCTION("""COMPUTED_VALUE"""),31167.0)</f>
        <v>31167</v>
      </c>
      <c r="C871" t="str">
        <f>IFERROR(__xludf.DUMMYFUNCTION("""COMPUTED_VALUE"""),"DUQUE, JACOB")</f>
        <v>DUQUE, JACOB</v>
      </c>
      <c r="D871" t="str">
        <f>IFERROR(__xludf.DUMMYFUNCTION("""COMPUTED_VALUE"""),"English 6A")</f>
        <v>English 6A</v>
      </c>
      <c r="E871" s="31">
        <f>IFERROR(__xludf.DUMMYFUNCTION("""COMPUTED_VALUE"""),1.0)</f>
        <v>1</v>
      </c>
      <c r="F871" s="8">
        <v>1.0</v>
      </c>
      <c r="G871" s="8">
        <v>1.0</v>
      </c>
      <c r="H871" s="8">
        <v>1.0</v>
      </c>
      <c r="I871" s="8">
        <v>1.0</v>
      </c>
      <c r="J871" s="8">
        <v>1.0</v>
      </c>
      <c r="K871" s="8">
        <v>1.0</v>
      </c>
      <c r="L871" s="8">
        <v>6.0</v>
      </c>
      <c r="M871" s="8"/>
      <c r="N871" s="8"/>
      <c r="O871" s="8" t="s">
        <v>739</v>
      </c>
      <c r="P871" s="8" t="e">
        <v>#N/A</v>
      </c>
    </row>
    <row r="872">
      <c r="A872">
        <f>IFERROR(__xludf.DUMMYFUNCTION("""COMPUTED_VALUE"""),6.0)</f>
        <v>6</v>
      </c>
      <c r="B872">
        <f>IFERROR(__xludf.DUMMYFUNCTION("""COMPUTED_VALUE"""),30041.0)</f>
        <v>30041</v>
      </c>
      <c r="C872" t="str">
        <f>IFERROR(__xludf.DUMMYFUNCTION("""COMPUTED_VALUE"""),"ESPINAL MONTOYA, ARIANA")</f>
        <v>ESPINAL MONTOYA, ARIANA</v>
      </c>
      <c r="D872" t="str">
        <f>IFERROR(__xludf.DUMMYFUNCTION("""COMPUTED_VALUE"""),"English 6")</f>
        <v>English 6</v>
      </c>
      <c r="E872" s="31">
        <f>IFERROR(__xludf.DUMMYFUNCTION("""COMPUTED_VALUE"""),1.0)</f>
        <v>1</v>
      </c>
      <c r="F872" s="8">
        <v>1.0</v>
      </c>
      <c r="G872" s="8">
        <v>1.0</v>
      </c>
      <c r="H872" s="8">
        <v>1.0</v>
      </c>
      <c r="I872" s="8">
        <v>1.0</v>
      </c>
      <c r="J872" s="8">
        <v>1.0</v>
      </c>
      <c r="K872" s="8">
        <v>1.0</v>
      </c>
      <c r="L872" s="8">
        <v>6.0</v>
      </c>
      <c r="M872" s="8"/>
      <c r="N872" s="8"/>
      <c r="O872" s="8" t="s">
        <v>736</v>
      </c>
      <c r="P872" s="8">
        <v>6.0</v>
      </c>
    </row>
    <row r="873">
      <c r="A873">
        <f>IFERROR(__xludf.DUMMYFUNCTION("""COMPUTED_VALUE"""),6.0)</f>
        <v>6</v>
      </c>
      <c r="B873">
        <f>IFERROR(__xludf.DUMMYFUNCTION("""COMPUTED_VALUE"""),31034.0)</f>
        <v>31034</v>
      </c>
      <c r="C873" t="str">
        <f>IFERROR(__xludf.DUMMYFUNCTION("""COMPUTED_VALUE"""),"ESPINOSA ABAD, MARTINA")</f>
        <v>ESPINOSA ABAD, MARTINA</v>
      </c>
      <c r="D873" t="str">
        <f>IFERROR(__xludf.DUMMYFUNCTION("""COMPUTED_VALUE"""),"English 6")</f>
        <v>English 6</v>
      </c>
      <c r="E873" s="31">
        <f>IFERROR(__xludf.DUMMYFUNCTION("""COMPUTED_VALUE"""),3.0)</f>
        <v>3</v>
      </c>
      <c r="F873" s="8">
        <v>1.0</v>
      </c>
      <c r="G873" s="8">
        <v>1.0</v>
      </c>
      <c r="H873" s="8">
        <v>1.0</v>
      </c>
      <c r="I873" s="8">
        <v>1.0</v>
      </c>
      <c r="J873" s="8">
        <v>1.0</v>
      </c>
      <c r="K873" s="8">
        <v>1.0</v>
      </c>
      <c r="L873" s="8">
        <v>6.0</v>
      </c>
      <c r="M873" s="8"/>
      <c r="N873" s="8"/>
      <c r="O873" s="8" t="s">
        <v>740</v>
      </c>
      <c r="P873" s="8">
        <v>6.0</v>
      </c>
    </row>
    <row r="874">
      <c r="A874">
        <f>IFERROR(__xludf.DUMMYFUNCTION("""COMPUTED_VALUE"""),6.0)</f>
        <v>6</v>
      </c>
      <c r="B874">
        <f>IFERROR(__xludf.DUMMYFUNCTION("""COMPUTED_VALUE"""),31037.0)</f>
        <v>31037</v>
      </c>
      <c r="C874" t="str">
        <f>IFERROR(__xludf.DUMMYFUNCTION("""COMPUTED_VALUE"""),"FERNANDEZ GUTIERREZ, MARIA JOSE")</f>
        <v>FERNANDEZ GUTIERREZ, MARIA JOSE</v>
      </c>
      <c r="D874" t="str">
        <f>IFERROR(__xludf.DUMMYFUNCTION("""COMPUTED_VALUE"""),"English 6")</f>
        <v>English 6</v>
      </c>
      <c r="E874" s="31">
        <f>IFERROR(__xludf.DUMMYFUNCTION("""COMPUTED_VALUE"""),2.0)</f>
        <v>2</v>
      </c>
      <c r="F874" s="8">
        <v>1.0</v>
      </c>
      <c r="G874" s="8">
        <v>1.0</v>
      </c>
      <c r="H874" s="8">
        <v>1.0</v>
      </c>
      <c r="I874" s="8">
        <v>1.0</v>
      </c>
      <c r="J874" s="8">
        <v>1.0</v>
      </c>
      <c r="K874" s="8">
        <v>1.0</v>
      </c>
      <c r="L874" s="8">
        <v>6.0</v>
      </c>
      <c r="M874" s="8"/>
      <c r="N874" s="8"/>
      <c r="O874" s="8" t="s">
        <v>735</v>
      </c>
      <c r="P874" s="8">
        <v>6.0</v>
      </c>
    </row>
    <row r="875">
      <c r="A875">
        <f>IFERROR(__xludf.DUMMYFUNCTION("""COMPUTED_VALUE"""),6.0)</f>
        <v>6</v>
      </c>
      <c r="B875">
        <f>IFERROR(__xludf.DUMMYFUNCTION("""COMPUTED_VALUE"""),31039.0)</f>
        <v>31039</v>
      </c>
      <c r="C875" t="str">
        <f>IFERROR(__xludf.DUMMYFUNCTION("""COMPUTED_VALUE"""),"GALLEGO OCAMPO, MARTIN")</f>
        <v>GALLEGO OCAMPO, MARTIN</v>
      </c>
      <c r="D875" t="str">
        <f>IFERROR(__xludf.DUMMYFUNCTION("""COMPUTED_VALUE"""),"English 6A")</f>
        <v>English 6A</v>
      </c>
      <c r="E875" s="31">
        <f>IFERROR(__xludf.DUMMYFUNCTION("""COMPUTED_VALUE"""),1.0)</f>
        <v>1</v>
      </c>
      <c r="F875" s="8">
        <v>1.0</v>
      </c>
      <c r="G875" s="8">
        <v>1.0</v>
      </c>
      <c r="H875" s="8">
        <v>1.0</v>
      </c>
      <c r="I875" s="8">
        <v>1.0</v>
      </c>
      <c r="J875" s="8">
        <v>1.0</v>
      </c>
      <c r="K875" s="8">
        <v>1.0</v>
      </c>
      <c r="L875" s="8">
        <v>6.0</v>
      </c>
      <c r="M875" s="8"/>
      <c r="N875" s="8"/>
      <c r="O875" s="8" t="s">
        <v>739</v>
      </c>
      <c r="P875" s="8" t="e">
        <v>#N/A</v>
      </c>
    </row>
    <row r="876">
      <c r="A876">
        <f>IFERROR(__xludf.DUMMYFUNCTION("""COMPUTED_VALUE"""),6.0)</f>
        <v>6</v>
      </c>
      <c r="B876">
        <f>IFERROR(__xludf.DUMMYFUNCTION("""COMPUTED_VALUE"""),31040.0)</f>
        <v>31040</v>
      </c>
      <c r="C876" t="str">
        <f>IFERROR(__xludf.DUMMYFUNCTION("""COMPUTED_VALUE"""),"GARCIA ISAZA, VIOLETA")</f>
        <v>GARCIA ISAZA, VIOLETA</v>
      </c>
      <c r="D876" t="str">
        <f>IFERROR(__xludf.DUMMYFUNCTION("""COMPUTED_VALUE"""),"English 6")</f>
        <v>English 6</v>
      </c>
      <c r="E876" s="31">
        <f>IFERROR(__xludf.DUMMYFUNCTION("""COMPUTED_VALUE"""),3.0)</f>
        <v>3</v>
      </c>
      <c r="F876" s="8">
        <v>1.0</v>
      </c>
      <c r="G876" s="8">
        <v>1.0</v>
      </c>
      <c r="H876" s="8">
        <v>1.0</v>
      </c>
      <c r="I876" s="8">
        <v>1.0</v>
      </c>
      <c r="J876" s="8">
        <v>1.0</v>
      </c>
      <c r="K876" s="8">
        <v>1.0</v>
      </c>
      <c r="L876" s="8">
        <v>6.0</v>
      </c>
      <c r="M876" s="8"/>
      <c r="N876" s="8"/>
      <c r="O876" s="8" t="s">
        <v>740</v>
      </c>
      <c r="P876" s="8">
        <v>6.0</v>
      </c>
    </row>
    <row r="877">
      <c r="A877">
        <f>IFERROR(__xludf.DUMMYFUNCTION("""COMPUTED_VALUE"""),6.0)</f>
        <v>6</v>
      </c>
      <c r="B877">
        <f>IFERROR(__xludf.DUMMYFUNCTION("""COMPUTED_VALUE"""),31042.0)</f>
        <v>31042</v>
      </c>
      <c r="C877" t="str">
        <f>IFERROR(__xludf.DUMMYFUNCTION("""COMPUTED_VALUE"""),"GAVIRIA ARBELAEZ, AGUSTIN")</f>
        <v>GAVIRIA ARBELAEZ, AGUSTIN</v>
      </c>
      <c r="D877" t="str">
        <f>IFERROR(__xludf.DUMMYFUNCTION("""COMPUTED_VALUE"""),"English 6")</f>
        <v>English 6</v>
      </c>
      <c r="E877" s="31">
        <f>IFERROR(__xludf.DUMMYFUNCTION("""COMPUTED_VALUE"""),1.0)</f>
        <v>1</v>
      </c>
      <c r="F877" s="8">
        <v>1.0</v>
      </c>
      <c r="G877" s="8">
        <v>1.0</v>
      </c>
      <c r="H877" s="8">
        <v>1.0</v>
      </c>
      <c r="I877" s="8">
        <v>1.0</v>
      </c>
      <c r="J877" s="8">
        <v>1.0</v>
      </c>
      <c r="K877" s="8">
        <v>1.0</v>
      </c>
      <c r="L877" s="8">
        <v>6.0</v>
      </c>
      <c r="M877" s="8"/>
      <c r="N877" s="8"/>
      <c r="O877" s="8" t="s">
        <v>736</v>
      </c>
      <c r="P877" s="8">
        <v>6.0</v>
      </c>
    </row>
    <row r="878">
      <c r="A878">
        <f>IFERROR(__xludf.DUMMYFUNCTION("""COMPUTED_VALUE"""),6.0)</f>
        <v>6</v>
      </c>
      <c r="B878">
        <f>IFERROR(__xludf.DUMMYFUNCTION("""COMPUTED_VALUE"""),31044.0)</f>
        <v>31044</v>
      </c>
      <c r="C878" t="str">
        <f>IFERROR(__xludf.DUMMYFUNCTION("""COMPUTED_VALUE"""),"GOMEZ ROLDAN, SANTIAGO")</f>
        <v>GOMEZ ROLDAN, SANTIAGO</v>
      </c>
      <c r="D878" t="str">
        <f>IFERROR(__xludf.DUMMYFUNCTION("""COMPUTED_VALUE"""),"English 6")</f>
        <v>English 6</v>
      </c>
      <c r="E878" s="31">
        <f>IFERROR(__xludf.DUMMYFUNCTION("""COMPUTED_VALUE"""),6.0)</f>
        <v>6</v>
      </c>
      <c r="F878" s="8">
        <v>1.0</v>
      </c>
      <c r="G878" s="8">
        <v>1.0</v>
      </c>
      <c r="H878" s="8">
        <v>1.0</v>
      </c>
      <c r="I878" s="8">
        <v>1.0</v>
      </c>
      <c r="J878" s="8">
        <v>1.0</v>
      </c>
      <c r="K878" s="8">
        <v>1.0</v>
      </c>
      <c r="L878" s="8">
        <v>6.0</v>
      </c>
      <c r="M878" s="8"/>
      <c r="N878" s="8"/>
      <c r="O878" s="8" t="s">
        <v>738</v>
      </c>
      <c r="P878" s="8">
        <v>6.0</v>
      </c>
    </row>
    <row r="879">
      <c r="A879">
        <f>IFERROR(__xludf.DUMMYFUNCTION("""COMPUTED_VALUE"""),6.0)</f>
        <v>6</v>
      </c>
      <c r="B879">
        <f>IFERROR(__xludf.DUMMYFUNCTION("""COMPUTED_VALUE"""),31045.0)</f>
        <v>31045</v>
      </c>
      <c r="C879" t="str">
        <f>IFERROR(__xludf.DUMMYFUNCTION("""COMPUTED_VALUE"""),"GOMEZ VELASQUEZ, LORENZO")</f>
        <v>GOMEZ VELASQUEZ, LORENZO</v>
      </c>
      <c r="D879" t="str">
        <f>IFERROR(__xludf.DUMMYFUNCTION("""COMPUTED_VALUE"""),"English 6A")</f>
        <v>English 6A</v>
      </c>
      <c r="E879" s="31">
        <f>IFERROR(__xludf.DUMMYFUNCTION("""COMPUTED_VALUE"""),1.0)</f>
        <v>1</v>
      </c>
      <c r="F879" s="8">
        <v>1.0</v>
      </c>
      <c r="G879" s="8">
        <v>1.0</v>
      </c>
      <c r="H879" s="8">
        <v>1.0</v>
      </c>
      <c r="I879" s="8">
        <v>1.0</v>
      </c>
      <c r="J879" s="8">
        <v>1.0</v>
      </c>
      <c r="K879" s="8">
        <v>1.0</v>
      </c>
      <c r="L879" s="8">
        <v>6.0</v>
      </c>
      <c r="M879" s="8"/>
      <c r="N879" s="8"/>
      <c r="O879" s="8" t="s">
        <v>739</v>
      </c>
      <c r="P879" s="8" t="e">
        <v>#N/A</v>
      </c>
    </row>
    <row r="880">
      <c r="A880">
        <f>IFERROR(__xludf.DUMMYFUNCTION("""COMPUTED_VALUE"""),6.0)</f>
        <v>6</v>
      </c>
      <c r="B880">
        <f>IFERROR(__xludf.DUMMYFUNCTION("""COMPUTED_VALUE"""),31046.0)</f>
        <v>31046</v>
      </c>
      <c r="C880" t="str">
        <f>IFERROR(__xludf.DUMMYFUNCTION("""COMPUTED_VALUE"""),"GONZALEZ LONDOÑO, LAURA")</f>
        <v>GONZALEZ LONDOÑO, LAURA</v>
      </c>
      <c r="D880" t="str">
        <f>IFERROR(__xludf.DUMMYFUNCTION("""COMPUTED_VALUE"""),"English 6A")</f>
        <v>English 6A</v>
      </c>
      <c r="E880" s="31">
        <f>IFERROR(__xludf.DUMMYFUNCTION("""COMPUTED_VALUE"""),1.0)</f>
        <v>1</v>
      </c>
      <c r="F880" s="8">
        <v>1.0</v>
      </c>
      <c r="G880" s="8">
        <v>1.0</v>
      </c>
      <c r="H880" s="8">
        <v>1.0</v>
      </c>
      <c r="I880" s="8">
        <v>1.0</v>
      </c>
      <c r="J880" s="8">
        <v>1.0</v>
      </c>
      <c r="K880" s="8">
        <v>1.0</v>
      </c>
      <c r="L880" s="8">
        <v>6.0</v>
      </c>
      <c r="M880" s="8"/>
      <c r="N880" s="8"/>
      <c r="O880" s="8" t="s">
        <v>739</v>
      </c>
      <c r="P880" s="8" t="e">
        <v>#N/A</v>
      </c>
    </row>
    <row r="881">
      <c r="A881">
        <f>IFERROR(__xludf.DUMMYFUNCTION("""COMPUTED_VALUE"""),6.0)</f>
        <v>6</v>
      </c>
      <c r="B881">
        <f>IFERROR(__xludf.DUMMYFUNCTION("""COMPUTED_VALUE"""),31047.0)</f>
        <v>31047</v>
      </c>
      <c r="C881" t="str">
        <f>IFERROR(__xludf.DUMMYFUNCTION("""COMPUTED_VALUE"""),"GONZALEZ NICHOLLS, MARIA JOSE")</f>
        <v>GONZALEZ NICHOLLS, MARIA JOSE</v>
      </c>
      <c r="D881" t="str">
        <f>IFERROR(__xludf.DUMMYFUNCTION("""COMPUTED_VALUE"""),"English 6")</f>
        <v>English 6</v>
      </c>
      <c r="E881" s="31">
        <f>IFERROR(__xludf.DUMMYFUNCTION("""COMPUTED_VALUE"""),5.0)</f>
        <v>5</v>
      </c>
      <c r="F881" s="8">
        <v>1.0</v>
      </c>
      <c r="G881" s="8">
        <v>1.0</v>
      </c>
      <c r="H881" s="8">
        <v>1.0</v>
      </c>
      <c r="I881" s="8">
        <v>1.0</v>
      </c>
      <c r="J881" s="8">
        <v>1.0</v>
      </c>
      <c r="K881" s="8">
        <v>1.0</v>
      </c>
      <c r="L881" s="8">
        <v>6.0</v>
      </c>
      <c r="M881" s="8"/>
      <c r="N881" s="8"/>
      <c r="O881" s="8" t="s">
        <v>737</v>
      </c>
      <c r="P881" s="8">
        <v>6.0</v>
      </c>
    </row>
    <row r="882">
      <c r="A882">
        <f>IFERROR(__xludf.DUMMYFUNCTION("""COMPUTED_VALUE"""),6.0)</f>
        <v>6</v>
      </c>
      <c r="B882">
        <f>IFERROR(__xludf.DUMMYFUNCTION("""COMPUTED_VALUE"""),31170.0)</f>
        <v>31170</v>
      </c>
      <c r="C882" t="str">
        <f>IFERROR(__xludf.DUMMYFUNCTION("""COMPUTED_VALUE"""),"GRULLON SANTOS, ISABELLA")</f>
        <v>GRULLON SANTOS, ISABELLA</v>
      </c>
      <c r="D882" t="str">
        <f>IFERROR(__xludf.DUMMYFUNCTION("""COMPUTED_VALUE"""),"English 6")</f>
        <v>English 6</v>
      </c>
      <c r="E882" s="31">
        <f>IFERROR(__xludf.DUMMYFUNCTION("""COMPUTED_VALUE"""),5.0)</f>
        <v>5</v>
      </c>
      <c r="F882" s="8">
        <v>1.0</v>
      </c>
      <c r="G882" s="8">
        <v>1.0</v>
      </c>
      <c r="H882" s="8">
        <v>1.0</v>
      </c>
      <c r="I882" s="8">
        <v>1.0</v>
      </c>
      <c r="J882" s="8">
        <v>1.0</v>
      </c>
      <c r="K882" s="8">
        <v>1.0</v>
      </c>
      <c r="L882" s="8">
        <v>6.0</v>
      </c>
      <c r="M882" s="8"/>
      <c r="N882" s="8"/>
      <c r="O882" s="8" t="s">
        <v>737</v>
      </c>
      <c r="P882" s="8">
        <v>6.0</v>
      </c>
    </row>
    <row r="883">
      <c r="A883">
        <f>IFERROR(__xludf.DUMMYFUNCTION("""COMPUTED_VALUE"""),6.0)</f>
        <v>6</v>
      </c>
      <c r="B883">
        <f>IFERROR(__xludf.DUMMYFUNCTION("""COMPUTED_VALUE"""),31048.0)</f>
        <v>31048</v>
      </c>
      <c r="C883" t="str">
        <f>IFERROR(__xludf.DUMMYFUNCTION("""COMPUTED_VALUE"""),"GUERRA MARTINEZ, BENJAMIN")</f>
        <v>GUERRA MARTINEZ, BENJAMIN</v>
      </c>
      <c r="D883" t="str">
        <f>IFERROR(__xludf.DUMMYFUNCTION("""COMPUTED_VALUE"""),"English 6")</f>
        <v>English 6</v>
      </c>
      <c r="E883" s="31">
        <f>IFERROR(__xludf.DUMMYFUNCTION("""COMPUTED_VALUE"""),1.0)</f>
        <v>1</v>
      </c>
      <c r="F883" s="8">
        <v>1.0</v>
      </c>
      <c r="G883" s="8">
        <v>1.0</v>
      </c>
      <c r="H883" s="8">
        <v>1.0</v>
      </c>
      <c r="I883" s="8">
        <v>1.0</v>
      </c>
      <c r="J883" s="8">
        <v>1.0</v>
      </c>
      <c r="K883" s="8">
        <v>1.0</v>
      </c>
      <c r="L883" s="8">
        <v>6.0</v>
      </c>
      <c r="M883" s="8"/>
      <c r="N883" s="8"/>
      <c r="O883" s="8" t="s">
        <v>736</v>
      </c>
      <c r="P883" s="8">
        <v>6.0</v>
      </c>
    </row>
    <row r="884">
      <c r="A884">
        <f>IFERROR(__xludf.DUMMYFUNCTION("""COMPUTED_VALUE"""),6.0)</f>
        <v>6</v>
      </c>
      <c r="B884">
        <f>IFERROR(__xludf.DUMMYFUNCTION("""COMPUTED_VALUE"""),31049.0)</f>
        <v>31049</v>
      </c>
      <c r="C884" t="str">
        <f>IFERROR(__xludf.DUMMYFUNCTION("""COMPUTED_VALUE"""),"HENAO MARTINEZ, SOFIA")</f>
        <v>HENAO MARTINEZ, SOFIA</v>
      </c>
      <c r="D884" t="str">
        <f>IFERROR(__xludf.DUMMYFUNCTION("""COMPUTED_VALUE"""),"English 6")</f>
        <v>English 6</v>
      </c>
      <c r="E884" s="31">
        <f>IFERROR(__xludf.DUMMYFUNCTION("""COMPUTED_VALUE"""),5.0)</f>
        <v>5</v>
      </c>
      <c r="F884" s="8">
        <v>1.0</v>
      </c>
      <c r="G884" s="8">
        <v>1.0</v>
      </c>
      <c r="H884" s="8">
        <v>1.0</v>
      </c>
      <c r="I884" s="8">
        <v>1.0</v>
      </c>
      <c r="J884" s="8">
        <v>1.0</v>
      </c>
      <c r="K884" s="8">
        <v>1.0</v>
      </c>
      <c r="L884" s="8">
        <v>6.0</v>
      </c>
      <c r="M884" s="8"/>
      <c r="N884" s="8"/>
      <c r="O884" s="8" t="s">
        <v>737</v>
      </c>
      <c r="P884" s="8">
        <v>6.0</v>
      </c>
    </row>
    <row r="885">
      <c r="A885">
        <f>IFERROR(__xludf.DUMMYFUNCTION("""COMPUTED_VALUE"""),6.0)</f>
        <v>6</v>
      </c>
      <c r="B885">
        <f>IFERROR(__xludf.DUMMYFUNCTION("""COMPUTED_VALUE"""),31052.0)</f>
        <v>31052</v>
      </c>
      <c r="C885" t="str">
        <f>IFERROR(__xludf.DUMMYFUNCTION("""COMPUTED_VALUE"""),"IBAÑEZ MONTOYA, VALENTINA")</f>
        <v>IBAÑEZ MONTOYA, VALENTINA</v>
      </c>
      <c r="D885" t="str">
        <f>IFERROR(__xludf.DUMMYFUNCTION("""COMPUTED_VALUE"""),"English 6")</f>
        <v>English 6</v>
      </c>
      <c r="E885" s="31">
        <f>IFERROR(__xludf.DUMMYFUNCTION("""COMPUTED_VALUE"""),6.0)</f>
        <v>6</v>
      </c>
      <c r="F885" s="8">
        <v>1.0</v>
      </c>
      <c r="G885" s="8">
        <v>1.0</v>
      </c>
      <c r="H885" s="8">
        <v>1.0</v>
      </c>
      <c r="I885" s="8">
        <v>1.0</v>
      </c>
      <c r="J885" s="8">
        <v>1.0</v>
      </c>
      <c r="K885" s="8">
        <v>1.0</v>
      </c>
      <c r="L885" s="8">
        <v>6.0</v>
      </c>
      <c r="M885" s="8"/>
      <c r="N885" s="8"/>
      <c r="O885" s="8" t="s">
        <v>738</v>
      </c>
      <c r="P885" s="8">
        <v>6.0</v>
      </c>
    </row>
    <row r="886">
      <c r="A886">
        <f>IFERROR(__xludf.DUMMYFUNCTION("""COMPUTED_VALUE"""),6.0)</f>
        <v>6</v>
      </c>
      <c r="B886">
        <f>IFERROR(__xludf.DUMMYFUNCTION("""COMPUTED_VALUE"""),31054.0)</f>
        <v>31054</v>
      </c>
      <c r="C886" t="str">
        <f>IFERROR(__xludf.DUMMYFUNCTION("""COMPUTED_VALUE"""),"JALLER TRUJILLO, MARIA")</f>
        <v>JALLER TRUJILLO, MARIA</v>
      </c>
      <c r="D886" t="str">
        <f>IFERROR(__xludf.DUMMYFUNCTION("""COMPUTED_VALUE"""),"English 6")</f>
        <v>English 6</v>
      </c>
      <c r="E886" s="31">
        <f>IFERROR(__xludf.DUMMYFUNCTION("""COMPUTED_VALUE"""),2.0)</f>
        <v>2</v>
      </c>
      <c r="F886" s="8">
        <v>1.0</v>
      </c>
      <c r="G886" s="8">
        <v>1.0</v>
      </c>
      <c r="H886" s="8">
        <v>1.0</v>
      </c>
      <c r="I886" s="8">
        <v>1.0</v>
      </c>
      <c r="J886" s="8">
        <v>1.0</v>
      </c>
      <c r="K886" s="8">
        <v>1.0</v>
      </c>
      <c r="L886" s="8">
        <v>6.0</v>
      </c>
      <c r="M886" s="8"/>
      <c r="N886" s="8"/>
      <c r="O886" s="8" t="s">
        <v>735</v>
      </c>
      <c r="P886" s="8">
        <v>6.0</v>
      </c>
    </row>
    <row r="887">
      <c r="A887">
        <f>IFERROR(__xludf.DUMMYFUNCTION("""COMPUTED_VALUE"""),6.0)</f>
        <v>6</v>
      </c>
      <c r="B887">
        <f>IFERROR(__xludf.DUMMYFUNCTION("""COMPUTED_VALUE"""),31053.0)</f>
        <v>31053</v>
      </c>
      <c r="C887" t="str">
        <f>IFERROR(__xludf.DUMMYFUNCTION("""COMPUTED_VALUE"""),"JALLER VELEZ, MARTINA")</f>
        <v>JALLER VELEZ, MARTINA</v>
      </c>
      <c r="D887" t="str">
        <f>IFERROR(__xludf.DUMMYFUNCTION("""COMPUTED_VALUE"""),"English 6")</f>
        <v>English 6</v>
      </c>
      <c r="E887" s="31">
        <f>IFERROR(__xludf.DUMMYFUNCTION("""COMPUTED_VALUE"""),3.0)</f>
        <v>3</v>
      </c>
      <c r="F887" s="8">
        <v>1.0</v>
      </c>
      <c r="G887" s="8">
        <v>1.0</v>
      </c>
      <c r="H887" s="8">
        <v>1.0</v>
      </c>
      <c r="I887" s="8">
        <v>1.0</v>
      </c>
      <c r="J887" s="8">
        <v>1.0</v>
      </c>
      <c r="K887" s="8">
        <v>1.0</v>
      </c>
      <c r="L887" s="8">
        <v>6.0</v>
      </c>
      <c r="M887" s="8"/>
      <c r="N887" s="8"/>
      <c r="O887" s="8" t="s">
        <v>740</v>
      </c>
      <c r="P887" s="8">
        <v>6.0</v>
      </c>
    </row>
    <row r="888">
      <c r="A888">
        <f>IFERROR(__xludf.DUMMYFUNCTION("""COMPUTED_VALUE"""),6.0)</f>
        <v>6</v>
      </c>
      <c r="B888">
        <f>IFERROR(__xludf.DUMMYFUNCTION("""COMPUTED_VALUE"""),31057.0)</f>
        <v>31057</v>
      </c>
      <c r="C888" t="str">
        <f>IFERROR(__xludf.DUMMYFUNCTION("""COMPUTED_VALUE"""),"JARAMILLO ARBELAEZ, AMALIA")</f>
        <v>JARAMILLO ARBELAEZ, AMALIA</v>
      </c>
      <c r="D888" t="str">
        <f>IFERROR(__xludf.DUMMYFUNCTION("""COMPUTED_VALUE"""),"English 6")</f>
        <v>English 6</v>
      </c>
      <c r="E888" s="31">
        <f>IFERROR(__xludf.DUMMYFUNCTION("""COMPUTED_VALUE"""),6.0)</f>
        <v>6</v>
      </c>
      <c r="F888" s="8">
        <v>1.0</v>
      </c>
      <c r="G888" s="8">
        <v>1.0</v>
      </c>
      <c r="H888" s="8">
        <v>1.0</v>
      </c>
      <c r="I888" s="8">
        <v>1.0</v>
      </c>
      <c r="J888" s="8">
        <v>1.0</v>
      </c>
      <c r="K888" s="8">
        <v>1.0</v>
      </c>
      <c r="L888" s="8">
        <v>6.0</v>
      </c>
      <c r="M888" s="8"/>
      <c r="N888" s="8"/>
      <c r="O888" s="8" t="s">
        <v>738</v>
      </c>
      <c r="P888" s="8">
        <v>6.0</v>
      </c>
    </row>
    <row r="889">
      <c r="A889">
        <f>IFERROR(__xludf.DUMMYFUNCTION("""COMPUTED_VALUE"""),6.0)</f>
        <v>6</v>
      </c>
      <c r="B889">
        <f>IFERROR(__xludf.DUMMYFUNCTION("""COMPUTED_VALUE"""),31055.0)</f>
        <v>31055</v>
      </c>
      <c r="C889" t="str">
        <f>IFERROR(__xludf.DUMMYFUNCTION("""COMPUTED_VALUE"""),"JARAMILLO GONZALEZ, MARIA")</f>
        <v>JARAMILLO GONZALEZ, MARIA</v>
      </c>
      <c r="D889" t="str">
        <f>IFERROR(__xludf.DUMMYFUNCTION("""COMPUTED_VALUE"""),"English 6")</f>
        <v>English 6</v>
      </c>
      <c r="E889" s="31">
        <f>IFERROR(__xludf.DUMMYFUNCTION("""COMPUTED_VALUE"""),3.0)</f>
        <v>3</v>
      </c>
      <c r="F889" s="8">
        <v>1.0</v>
      </c>
      <c r="G889" s="8">
        <v>1.0</v>
      </c>
      <c r="H889" s="8">
        <v>1.0</v>
      </c>
      <c r="I889" s="8">
        <v>1.0</v>
      </c>
      <c r="J889" s="8">
        <v>1.0</v>
      </c>
      <c r="K889" s="8">
        <v>1.0</v>
      </c>
      <c r="L889" s="8">
        <v>6.0</v>
      </c>
      <c r="M889" s="8"/>
      <c r="N889" s="8"/>
      <c r="O889" s="8" t="s">
        <v>740</v>
      </c>
      <c r="P889" s="8">
        <v>6.0</v>
      </c>
    </row>
    <row r="890">
      <c r="A890">
        <f>IFERROR(__xludf.DUMMYFUNCTION("""COMPUTED_VALUE"""),6.0)</f>
        <v>6</v>
      </c>
      <c r="B890">
        <f>IFERROR(__xludf.DUMMYFUNCTION("""COMPUTED_VALUE"""),31058.0)</f>
        <v>31058</v>
      </c>
      <c r="C890" t="str">
        <f>IFERROR(__xludf.DUMMYFUNCTION("""COMPUTED_VALUE"""),"JARAMILLO OCHOA, LUCAS")</f>
        <v>JARAMILLO OCHOA, LUCAS</v>
      </c>
      <c r="D890" t="str">
        <f>IFERROR(__xludf.DUMMYFUNCTION("""COMPUTED_VALUE"""),"English 6")</f>
        <v>English 6</v>
      </c>
      <c r="E890" s="31">
        <f>IFERROR(__xludf.DUMMYFUNCTION("""COMPUTED_VALUE"""),1.0)</f>
        <v>1</v>
      </c>
      <c r="F890" s="8">
        <v>1.0</v>
      </c>
      <c r="G890" s="8">
        <v>1.0</v>
      </c>
      <c r="H890" s="8">
        <v>1.0</v>
      </c>
      <c r="I890" s="8">
        <v>1.0</v>
      </c>
      <c r="J890" s="8">
        <v>1.0</v>
      </c>
      <c r="K890" s="8">
        <v>1.0</v>
      </c>
      <c r="L890" s="8">
        <v>6.0</v>
      </c>
      <c r="M890" s="8"/>
      <c r="N890" s="8"/>
      <c r="O890" s="8" t="s">
        <v>736</v>
      </c>
      <c r="P890" s="8">
        <v>6.0</v>
      </c>
    </row>
    <row r="891">
      <c r="A891">
        <f>IFERROR(__xludf.DUMMYFUNCTION("""COMPUTED_VALUE"""),6.0)</f>
        <v>6</v>
      </c>
      <c r="B891">
        <f>IFERROR(__xludf.DUMMYFUNCTION("""COMPUTED_VALUE"""),31059.0)</f>
        <v>31059</v>
      </c>
      <c r="C891" t="str">
        <f>IFERROR(__xludf.DUMMYFUNCTION("""COMPUTED_VALUE"""),"JIMENEZ ESCOBAR, ROSARIO")</f>
        <v>JIMENEZ ESCOBAR, ROSARIO</v>
      </c>
      <c r="D891" t="str">
        <f>IFERROR(__xludf.DUMMYFUNCTION("""COMPUTED_VALUE"""),"English 6A")</f>
        <v>English 6A</v>
      </c>
      <c r="E891" s="31">
        <f>IFERROR(__xludf.DUMMYFUNCTION("""COMPUTED_VALUE"""),1.0)</f>
        <v>1</v>
      </c>
      <c r="F891" s="8">
        <v>1.0</v>
      </c>
      <c r="G891" s="8">
        <v>1.0</v>
      </c>
      <c r="H891" s="8">
        <v>1.0</v>
      </c>
      <c r="I891" s="8">
        <v>1.0</v>
      </c>
      <c r="J891" s="8">
        <v>1.0</v>
      </c>
      <c r="K891" s="8">
        <v>1.0</v>
      </c>
      <c r="L891" s="8">
        <v>6.0</v>
      </c>
      <c r="M891" s="8"/>
      <c r="N891" s="8"/>
      <c r="O891" s="8" t="s">
        <v>739</v>
      </c>
      <c r="P891" s="8" t="e">
        <v>#N/A</v>
      </c>
    </row>
    <row r="892">
      <c r="A892">
        <f>IFERROR(__xludf.DUMMYFUNCTION("""COMPUTED_VALUE"""),6.0)</f>
        <v>6</v>
      </c>
      <c r="B892">
        <f>IFERROR(__xludf.DUMMYFUNCTION("""COMPUTED_VALUE"""),31172.0)</f>
        <v>31172</v>
      </c>
      <c r="C892" t="str">
        <f>IFERROR(__xludf.DUMMYFUNCTION("""COMPUTED_VALUE"""),"JONCK CORRENTE, CLARICE")</f>
        <v>JONCK CORRENTE, CLARICE</v>
      </c>
      <c r="D892" t="str">
        <f>IFERROR(__xludf.DUMMYFUNCTION("""COMPUTED_VALUE"""),"English 6")</f>
        <v>English 6</v>
      </c>
      <c r="E892" s="31">
        <f>IFERROR(__xludf.DUMMYFUNCTION("""COMPUTED_VALUE"""),6.0)</f>
        <v>6</v>
      </c>
      <c r="F892" s="8">
        <v>1.0</v>
      </c>
      <c r="G892" s="8">
        <v>1.0</v>
      </c>
      <c r="H892" s="8">
        <v>1.0</v>
      </c>
      <c r="I892" s="8">
        <v>1.0</v>
      </c>
      <c r="J892" s="8">
        <v>1.0</v>
      </c>
      <c r="K892" s="8">
        <v>1.0</v>
      </c>
      <c r="L892" s="8">
        <v>6.0</v>
      </c>
      <c r="M892" s="8"/>
      <c r="N892" s="8"/>
      <c r="O892" s="8" t="s">
        <v>738</v>
      </c>
      <c r="P892" s="8">
        <v>6.0</v>
      </c>
    </row>
    <row r="893">
      <c r="A893">
        <f>IFERROR(__xludf.DUMMYFUNCTION("""COMPUTED_VALUE"""),6.0)</f>
        <v>6</v>
      </c>
      <c r="B893">
        <f>IFERROR(__xludf.DUMMYFUNCTION("""COMPUTED_VALUE"""),31061.0)</f>
        <v>31061</v>
      </c>
      <c r="C893" t="str">
        <f>IFERROR(__xludf.DUMMYFUNCTION("""COMPUTED_VALUE"""),"LAVERDE GIRALDO, CONSTANTINO")</f>
        <v>LAVERDE GIRALDO, CONSTANTINO</v>
      </c>
      <c r="D893" t="str">
        <f>IFERROR(__xludf.DUMMYFUNCTION("""COMPUTED_VALUE"""),"English 6")</f>
        <v>English 6</v>
      </c>
      <c r="E893" s="31">
        <f>IFERROR(__xludf.DUMMYFUNCTION("""COMPUTED_VALUE"""),1.0)</f>
        <v>1</v>
      </c>
      <c r="F893" s="8">
        <v>1.0</v>
      </c>
      <c r="G893" s="8">
        <v>1.0</v>
      </c>
      <c r="H893" s="8">
        <v>1.0</v>
      </c>
      <c r="I893" s="8">
        <v>1.0</v>
      </c>
      <c r="J893" s="8">
        <v>1.0</v>
      </c>
      <c r="K893" s="8">
        <v>1.0</v>
      </c>
      <c r="L893" s="8">
        <v>6.0</v>
      </c>
      <c r="M893" s="8"/>
      <c r="N893" s="8"/>
      <c r="O893" s="8" t="s">
        <v>736</v>
      </c>
      <c r="P893" s="8">
        <v>6.0</v>
      </c>
    </row>
    <row r="894">
      <c r="A894">
        <f>IFERROR(__xludf.DUMMYFUNCTION("""COMPUTED_VALUE"""),6.0)</f>
        <v>6</v>
      </c>
      <c r="B894">
        <f>IFERROR(__xludf.DUMMYFUNCTION("""COMPUTED_VALUE"""),31060.0)</f>
        <v>31060</v>
      </c>
      <c r="C894" t="str">
        <f>IFERROR(__xludf.DUMMYFUNCTION("""COMPUTED_VALUE"""),"LAVERDE MOLINA, MATIAS")</f>
        <v>LAVERDE MOLINA, MATIAS</v>
      </c>
      <c r="D894" t="str">
        <f>IFERROR(__xludf.DUMMYFUNCTION("""COMPUTED_VALUE"""),"English 6A")</f>
        <v>English 6A</v>
      </c>
      <c r="E894" s="31">
        <f>IFERROR(__xludf.DUMMYFUNCTION("""COMPUTED_VALUE"""),1.0)</f>
        <v>1</v>
      </c>
      <c r="F894" s="8">
        <v>1.0</v>
      </c>
      <c r="G894" s="8">
        <v>1.0</v>
      </c>
      <c r="H894" s="8">
        <v>1.0</v>
      </c>
      <c r="I894" s="8">
        <v>1.0</v>
      </c>
      <c r="J894" s="8">
        <v>1.0</v>
      </c>
      <c r="K894" s="8">
        <v>1.0</v>
      </c>
      <c r="L894" s="8">
        <v>6.0</v>
      </c>
      <c r="M894" s="8"/>
      <c r="N894" s="8"/>
      <c r="O894" s="8" t="s">
        <v>739</v>
      </c>
      <c r="P894" s="8" t="e">
        <v>#N/A</v>
      </c>
    </row>
    <row r="895">
      <c r="A895">
        <f>IFERROR(__xludf.DUMMYFUNCTION("""COMPUTED_VALUE"""),6.0)</f>
        <v>6</v>
      </c>
      <c r="B895">
        <f>IFERROR(__xludf.DUMMYFUNCTION("""COMPUTED_VALUE"""),31062.0)</f>
        <v>31062</v>
      </c>
      <c r="C895" t="str">
        <f>IFERROR(__xludf.DUMMYFUNCTION("""COMPUTED_VALUE"""),"LEMA GARCIA, MIA")</f>
        <v>LEMA GARCIA, MIA</v>
      </c>
      <c r="D895" t="str">
        <f>IFERROR(__xludf.DUMMYFUNCTION("""COMPUTED_VALUE"""),"English 6")</f>
        <v>English 6</v>
      </c>
      <c r="E895" s="31">
        <f>IFERROR(__xludf.DUMMYFUNCTION("""COMPUTED_VALUE"""),5.0)</f>
        <v>5</v>
      </c>
      <c r="F895" s="8">
        <v>1.0</v>
      </c>
      <c r="G895" s="8">
        <v>1.0</v>
      </c>
      <c r="H895" s="8">
        <v>1.0</v>
      </c>
      <c r="I895" s="8">
        <v>1.0</v>
      </c>
      <c r="J895" s="8">
        <v>1.0</v>
      </c>
      <c r="K895" s="8">
        <v>1.0</v>
      </c>
      <c r="L895" s="8">
        <v>6.0</v>
      </c>
      <c r="M895" s="8"/>
      <c r="N895" s="8"/>
      <c r="O895" s="8" t="s">
        <v>737</v>
      </c>
      <c r="P895" s="8">
        <v>6.0</v>
      </c>
    </row>
    <row r="896">
      <c r="A896">
        <f>IFERROR(__xludf.DUMMYFUNCTION("""COMPUTED_VALUE"""),6.0)</f>
        <v>6</v>
      </c>
      <c r="B896">
        <f>IFERROR(__xludf.DUMMYFUNCTION("""COMPUTED_VALUE"""),31063.0)</f>
        <v>31063</v>
      </c>
      <c r="C896" t="str">
        <f>IFERROR(__xludf.DUMMYFUNCTION("""COMPUTED_VALUE"""),"LONDOÑO ARRIOLA, LUCIA")</f>
        <v>LONDOÑO ARRIOLA, LUCIA</v>
      </c>
      <c r="D896" t="str">
        <f>IFERROR(__xludf.DUMMYFUNCTION("""COMPUTED_VALUE"""),"English 6")</f>
        <v>English 6</v>
      </c>
      <c r="E896" s="31">
        <f>IFERROR(__xludf.DUMMYFUNCTION("""COMPUTED_VALUE"""),2.0)</f>
        <v>2</v>
      </c>
      <c r="F896" s="8">
        <v>1.0</v>
      </c>
      <c r="G896" s="8">
        <v>1.0</v>
      </c>
      <c r="H896" s="8">
        <v>1.0</v>
      </c>
      <c r="I896" s="8">
        <v>1.0</v>
      </c>
      <c r="J896" s="8">
        <v>1.0</v>
      </c>
      <c r="K896" s="8">
        <v>1.0</v>
      </c>
      <c r="L896" s="8">
        <v>6.0</v>
      </c>
      <c r="M896" s="8"/>
      <c r="N896" s="8"/>
      <c r="O896" s="8" t="s">
        <v>735</v>
      </c>
      <c r="P896" s="8">
        <v>6.0</v>
      </c>
    </row>
    <row r="897">
      <c r="A897">
        <f>IFERROR(__xludf.DUMMYFUNCTION("""COMPUTED_VALUE"""),6.0)</f>
        <v>6</v>
      </c>
      <c r="B897">
        <f>IFERROR(__xludf.DUMMYFUNCTION("""COMPUTED_VALUE"""),32076.0)</f>
        <v>32076</v>
      </c>
      <c r="C897" t="str">
        <f>IFERROR(__xludf.DUMMYFUNCTION("""COMPUTED_VALUE"""),"LONDOÑO BAQUERO, JUAN")</f>
        <v>LONDOÑO BAQUERO, JUAN</v>
      </c>
      <c r="D897" t="str">
        <f>IFERROR(__xludf.DUMMYFUNCTION("""COMPUTED_VALUE"""),"English 6")</f>
        <v>English 6</v>
      </c>
      <c r="E897" s="31">
        <f>IFERROR(__xludf.DUMMYFUNCTION("""COMPUTED_VALUE"""),3.0)</f>
        <v>3</v>
      </c>
      <c r="F897" s="8">
        <v>1.0</v>
      </c>
      <c r="G897" s="8">
        <v>1.0</v>
      </c>
      <c r="H897" s="8">
        <v>1.0</v>
      </c>
      <c r="I897" s="8">
        <v>1.0</v>
      </c>
      <c r="J897" s="8">
        <v>1.0</v>
      </c>
      <c r="K897" s="8">
        <v>1.0</v>
      </c>
      <c r="L897" s="8">
        <v>6.0</v>
      </c>
      <c r="M897" s="8"/>
      <c r="N897" s="8"/>
      <c r="O897" s="8" t="s">
        <v>740</v>
      </c>
      <c r="P897" s="8">
        <v>6.0</v>
      </c>
    </row>
    <row r="898">
      <c r="A898">
        <f>IFERROR(__xludf.DUMMYFUNCTION("""COMPUTED_VALUE"""),6.0)</f>
        <v>6</v>
      </c>
      <c r="B898">
        <f>IFERROR(__xludf.DUMMYFUNCTION("""COMPUTED_VALUE"""),31064.0)</f>
        <v>31064</v>
      </c>
      <c r="C898" t="str">
        <f>IFERROR(__xludf.DUMMYFUNCTION("""COMPUTED_VALUE"""),"MARQUEZ BARRERA, LORENZO CAYETANO")</f>
        <v>MARQUEZ BARRERA, LORENZO CAYETANO</v>
      </c>
      <c r="D898" t="str">
        <f>IFERROR(__xludf.DUMMYFUNCTION("""COMPUTED_VALUE"""),"English 6")</f>
        <v>English 6</v>
      </c>
      <c r="E898" s="31">
        <f>IFERROR(__xludf.DUMMYFUNCTION("""COMPUTED_VALUE"""),2.0)</f>
        <v>2</v>
      </c>
      <c r="F898" s="8">
        <v>1.0</v>
      </c>
      <c r="G898" s="8">
        <v>1.0</v>
      </c>
      <c r="H898" s="8">
        <v>1.0</v>
      </c>
      <c r="I898" s="8">
        <v>1.0</v>
      </c>
      <c r="J898" s="8">
        <v>1.0</v>
      </c>
      <c r="K898" s="8">
        <v>1.0</v>
      </c>
      <c r="L898" s="8">
        <v>6.0</v>
      </c>
      <c r="M898" s="8"/>
      <c r="N898" s="8"/>
      <c r="O898" s="8" t="s">
        <v>735</v>
      </c>
      <c r="P898" s="8">
        <v>6.0</v>
      </c>
    </row>
    <row r="899">
      <c r="A899">
        <f>IFERROR(__xludf.DUMMYFUNCTION("""COMPUTED_VALUE"""),6.0)</f>
        <v>6</v>
      </c>
      <c r="B899">
        <f>IFERROR(__xludf.DUMMYFUNCTION("""COMPUTED_VALUE"""),31065.0)</f>
        <v>31065</v>
      </c>
      <c r="C899" t="str">
        <f>IFERROR(__xludf.DUMMYFUNCTION("""COMPUTED_VALUE"""),"MARTINEZ UPEGUI, PEDRO")</f>
        <v>MARTINEZ UPEGUI, PEDRO</v>
      </c>
      <c r="D899" t="str">
        <f>IFERROR(__xludf.DUMMYFUNCTION("""COMPUTED_VALUE"""),"English 6")</f>
        <v>English 6</v>
      </c>
      <c r="E899" s="31">
        <f>IFERROR(__xludf.DUMMYFUNCTION("""COMPUTED_VALUE"""),3.0)</f>
        <v>3</v>
      </c>
      <c r="F899" s="8">
        <v>1.0</v>
      </c>
      <c r="G899" s="8">
        <v>1.0</v>
      </c>
      <c r="H899" s="8">
        <v>1.0</v>
      </c>
      <c r="I899" s="8">
        <v>1.0</v>
      </c>
      <c r="J899" s="8">
        <v>1.0</v>
      </c>
      <c r="K899" s="8">
        <v>1.0</v>
      </c>
      <c r="L899" s="8">
        <v>6.0</v>
      </c>
      <c r="M899" s="8"/>
      <c r="N899" s="8"/>
      <c r="O899" s="8" t="s">
        <v>740</v>
      </c>
      <c r="P899" s="8">
        <v>6.0</v>
      </c>
    </row>
    <row r="900">
      <c r="A900">
        <f>IFERROR(__xludf.DUMMYFUNCTION("""COMPUTED_VALUE"""),6.0)</f>
        <v>6</v>
      </c>
      <c r="B900">
        <f>IFERROR(__xludf.DUMMYFUNCTION("""COMPUTED_VALUE"""),31066.0)</f>
        <v>31066</v>
      </c>
      <c r="C900" t="str">
        <f>IFERROR(__xludf.DUMMYFUNCTION("""COMPUTED_VALUE"""),"MATALLANA TOBON, ROSARIO")</f>
        <v>MATALLANA TOBON, ROSARIO</v>
      </c>
      <c r="D900" t="str">
        <f>IFERROR(__xludf.DUMMYFUNCTION("""COMPUTED_VALUE"""),"English 6")</f>
        <v>English 6</v>
      </c>
      <c r="E900" s="31">
        <f>IFERROR(__xludf.DUMMYFUNCTION("""COMPUTED_VALUE"""),6.0)</f>
        <v>6</v>
      </c>
      <c r="F900" s="8">
        <v>1.0</v>
      </c>
      <c r="G900" s="8">
        <v>1.0</v>
      </c>
      <c r="H900" s="8">
        <v>1.0</v>
      </c>
      <c r="I900" s="8">
        <v>1.0</v>
      </c>
      <c r="J900" s="8">
        <v>1.0</v>
      </c>
      <c r="K900" s="8">
        <v>1.0</v>
      </c>
      <c r="L900" s="8">
        <v>6.0</v>
      </c>
      <c r="M900" s="8"/>
      <c r="N900" s="8"/>
      <c r="O900" s="8" t="s">
        <v>738</v>
      </c>
      <c r="P900" s="8">
        <v>6.0</v>
      </c>
    </row>
    <row r="901">
      <c r="A901">
        <f>IFERROR(__xludf.DUMMYFUNCTION("""COMPUTED_VALUE"""),6.0)</f>
        <v>6</v>
      </c>
      <c r="B901">
        <f>IFERROR(__xludf.DUMMYFUNCTION("""COMPUTED_VALUE"""),31067.0)</f>
        <v>31067</v>
      </c>
      <c r="C901" t="str">
        <f>IFERROR(__xludf.DUMMYFUNCTION("""COMPUTED_VALUE"""),"MAYA BEDOYA, EMILIA")</f>
        <v>MAYA BEDOYA, EMILIA</v>
      </c>
      <c r="D901" t="str">
        <f>IFERROR(__xludf.DUMMYFUNCTION("""COMPUTED_VALUE"""),"English 6")</f>
        <v>English 6</v>
      </c>
      <c r="E901" s="31">
        <f>IFERROR(__xludf.DUMMYFUNCTION("""COMPUTED_VALUE"""),2.0)</f>
        <v>2</v>
      </c>
      <c r="F901" s="8">
        <v>1.0</v>
      </c>
      <c r="G901" s="8">
        <v>1.0</v>
      </c>
      <c r="H901" s="8">
        <v>1.0</v>
      </c>
      <c r="I901" s="8">
        <v>1.0</v>
      </c>
      <c r="J901" s="8">
        <v>1.0</v>
      </c>
      <c r="K901" s="8">
        <v>1.0</v>
      </c>
      <c r="L901" s="8">
        <v>6.0</v>
      </c>
      <c r="M901" s="8"/>
      <c r="N901" s="8"/>
      <c r="O901" s="8" t="s">
        <v>735</v>
      </c>
      <c r="P901" s="8">
        <v>6.0</v>
      </c>
    </row>
    <row r="902">
      <c r="A902">
        <f>IFERROR(__xludf.DUMMYFUNCTION("""COMPUTED_VALUE"""),6.0)</f>
        <v>6</v>
      </c>
      <c r="B902">
        <f>IFERROR(__xludf.DUMMYFUNCTION("""COMPUTED_VALUE"""),31149.0)</f>
        <v>31149</v>
      </c>
      <c r="C902" t="str">
        <f>IFERROR(__xludf.DUMMYFUNCTION("""COMPUTED_VALUE"""),"MAZO DIAZ, ANTONIO")</f>
        <v>MAZO DIAZ, ANTONIO</v>
      </c>
      <c r="D902" t="str">
        <f>IFERROR(__xludf.DUMMYFUNCTION("""COMPUTED_VALUE"""),"English 6")</f>
        <v>English 6</v>
      </c>
      <c r="E902" s="31">
        <f>IFERROR(__xludf.DUMMYFUNCTION("""COMPUTED_VALUE"""),6.0)</f>
        <v>6</v>
      </c>
      <c r="F902" s="8">
        <v>1.0</v>
      </c>
      <c r="G902" s="8">
        <v>1.0</v>
      </c>
      <c r="H902" s="8">
        <v>1.0</v>
      </c>
      <c r="I902" s="8">
        <v>1.0</v>
      </c>
      <c r="J902" s="8">
        <v>1.0</v>
      </c>
      <c r="K902" s="8">
        <v>1.0</v>
      </c>
      <c r="L902" s="8">
        <v>6.0</v>
      </c>
      <c r="M902" s="8"/>
      <c r="N902" s="8"/>
      <c r="O902" s="8" t="s">
        <v>738</v>
      </c>
      <c r="P902" s="8">
        <v>6.0</v>
      </c>
    </row>
    <row r="903">
      <c r="A903">
        <f>IFERROR(__xludf.DUMMYFUNCTION("""COMPUTED_VALUE"""),6.0)</f>
        <v>6</v>
      </c>
      <c r="B903">
        <f>IFERROR(__xludf.DUMMYFUNCTION("""COMPUTED_VALUE"""),31164.0)</f>
        <v>31164</v>
      </c>
      <c r="C903" t="str">
        <f>IFERROR(__xludf.DUMMYFUNCTION("""COMPUTED_VALUE"""),"MCGARGHAN, RHYS LEIGH-ANNA")</f>
        <v>MCGARGHAN, RHYS LEIGH-ANNA</v>
      </c>
      <c r="D903" t="str">
        <f>IFERROR(__xludf.DUMMYFUNCTION("""COMPUTED_VALUE"""),"English 6")</f>
        <v>English 6</v>
      </c>
      <c r="E903" s="31">
        <f>IFERROR(__xludf.DUMMYFUNCTION("""COMPUTED_VALUE"""),6.0)</f>
        <v>6</v>
      </c>
      <c r="F903" s="8">
        <v>1.0</v>
      </c>
      <c r="G903" s="8">
        <v>1.0</v>
      </c>
      <c r="H903" s="8">
        <v>1.0</v>
      </c>
      <c r="I903" s="8">
        <v>1.0</v>
      </c>
      <c r="J903" s="8">
        <v>1.0</v>
      </c>
      <c r="K903" s="8">
        <v>1.0</v>
      </c>
      <c r="L903" s="8">
        <v>6.0</v>
      </c>
      <c r="M903" s="8"/>
      <c r="N903" s="8"/>
      <c r="O903" s="8" t="s">
        <v>738</v>
      </c>
      <c r="P903" s="8">
        <v>6.0</v>
      </c>
    </row>
    <row r="904">
      <c r="A904">
        <f>IFERROR(__xludf.DUMMYFUNCTION("""COMPUTED_VALUE"""),6.0)</f>
        <v>6</v>
      </c>
      <c r="B904">
        <f>IFERROR(__xludf.DUMMYFUNCTION("""COMPUTED_VALUE"""),31070.0)</f>
        <v>31070</v>
      </c>
      <c r="C904" t="str">
        <f>IFERROR(__xludf.DUMMYFUNCTION("""COMPUTED_VALUE"""),"MEJIA GALLEGO, MARTIN")</f>
        <v>MEJIA GALLEGO, MARTIN</v>
      </c>
      <c r="D904" t="str">
        <f>IFERROR(__xludf.DUMMYFUNCTION("""COMPUTED_VALUE"""),"English 6")</f>
        <v>English 6</v>
      </c>
      <c r="E904" s="31">
        <f>IFERROR(__xludf.DUMMYFUNCTION("""COMPUTED_VALUE"""),1.0)</f>
        <v>1</v>
      </c>
      <c r="F904" s="8">
        <v>1.0</v>
      </c>
      <c r="G904" s="8">
        <v>1.0</v>
      </c>
      <c r="H904" s="8">
        <v>1.0</v>
      </c>
      <c r="I904" s="8">
        <v>1.0</v>
      </c>
      <c r="J904" s="8">
        <v>1.0</v>
      </c>
      <c r="K904" s="8">
        <v>1.0</v>
      </c>
      <c r="L904" s="8">
        <v>6.0</v>
      </c>
      <c r="M904" s="8"/>
      <c r="N904" s="8"/>
      <c r="O904" s="8" t="s">
        <v>736</v>
      </c>
      <c r="P904" s="8">
        <v>6.0</v>
      </c>
    </row>
    <row r="905">
      <c r="A905">
        <f>IFERROR(__xludf.DUMMYFUNCTION("""COMPUTED_VALUE"""),6.0)</f>
        <v>6</v>
      </c>
      <c r="B905">
        <f>IFERROR(__xludf.DUMMYFUNCTION("""COMPUTED_VALUE"""),31071.0)</f>
        <v>31071</v>
      </c>
      <c r="C905" t="str">
        <f>IFERROR(__xludf.DUMMYFUNCTION("""COMPUTED_VALUE"""),"MEJIA TORO, MIGUEL")</f>
        <v>MEJIA TORO, MIGUEL</v>
      </c>
      <c r="D905" t="str">
        <f>IFERROR(__xludf.DUMMYFUNCTION("""COMPUTED_VALUE"""),"English 6")</f>
        <v>English 6</v>
      </c>
      <c r="E905" s="31">
        <f>IFERROR(__xludf.DUMMYFUNCTION("""COMPUTED_VALUE"""),3.0)</f>
        <v>3</v>
      </c>
      <c r="F905" s="8">
        <v>1.0</v>
      </c>
      <c r="G905" s="8">
        <v>1.0</v>
      </c>
      <c r="H905" s="8">
        <v>1.0</v>
      </c>
      <c r="I905" s="8">
        <v>1.0</v>
      </c>
      <c r="J905" s="8">
        <v>1.0</v>
      </c>
      <c r="K905" s="8">
        <v>1.0</v>
      </c>
      <c r="L905" s="8">
        <v>6.0</v>
      </c>
      <c r="M905" s="8"/>
      <c r="N905" s="8"/>
      <c r="O905" s="8" t="s">
        <v>740</v>
      </c>
      <c r="P905" s="8">
        <v>6.0</v>
      </c>
    </row>
    <row r="906">
      <c r="A906">
        <f>IFERROR(__xludf.DUMMYFUNCTION("""COMPUTED_VALUE"""),6.0)</f>
        <v>6</v>
      </c>
      <c r="B906">
        <f>IFERROR(__xludf.DUMMYFUNCTION("""COMPUTED_VALUE"""),31072.0)</f>
        <v>31072</v>
      </c>
      <c r="C906" t="str">
        <f>IFERROR(__xludf.DUMMYFUNCTION("""COMPUTED_VALUE"""),"MEJIA VELEZ, ABRIL")</f>
        <v>MEJIA VELEZ, ABRIL</v>
      </c>
      <c r="D906" t="str">
        <f>IFERROR(__xludf.DUMMYFUNCTION("""COMPUTED_VALUE"""),"English 6")</f>
        <v>English 6</v>
      </c>
      <c r="E906" s="31">
        <f>IFERROR(__xludf.DUMMYFUNCTION("""COMPUTED_VALUE"""),2.0)</f>
        <v>2</v>
      </c>
      <c r="F906" s="8">
        <v>1.0</v>
      </c>
      <c r="G906" s="8">
        <v>1.0</v>
      </c>
      <c r="H906" s="8">
        <v>1.0</v>
      </c>
      <c r="I906" s="8">
        <v>1.0</v>
      </c>
      <c r="J906" s="8">
        <v>1.0</v>
      </c>
      <c r="K906" s="8">
        <v>1.0</v>
      </c>
      <c r="L906" s="8">
        <v>6.0</v>
      </c>
      <c r="M906" s="8"/>
      <c r="N906" s="8"/>
      <c r="O906" s="8" t="s">
        <v>735</v>
      </c>
      <c r="P906" s="8">
        <v>6.0</v>
      </c>
    </row>
    <row r="907">
      <c r="A907">
        <f>IFERROR(__xludf.DUMMYFUNCTION("""COMPUTED_VALUE"""),6.0)</f>
        <v>6</v>
      </c>
      <c r="B907">
        <f>IFERROR(__xludf.DUMMYFUNCTION("""COMPUTED_VALUE"""),31157.0)</f>
        <v>31157</v>
      </c>
      <c r="C907" t="str">
        <f>IFERROR(__xludf.DUMMYFUNCTION("""COMPUTED_VALUE"""),"MILLAN HUERTAS, EMILIANO")</f>
        <v>MILLAN HUERTAS, EMILIANO</v>
      </c>
      <c r="D907" t="str">
        <f>IFERROR(__xludf.DUMMYFUNCTION("""COMPUTED_VALUE"""),"English 6A")</f>
        <v>English 6A</v>
      </c>
      <c r="E907" s="31">
        <f>IFERROR(__xludf.DUMMYFUNCTION("""COMPUTED_VALUE"""),1.0)</f>
        <v>1</v>
      </c>
      <c r="F907" s="8">
        <v>1.0</v>
      </c>
      <c r="G907" s="8">
        <v>1.0</v>
      </c>
      <c r="H907" s="8">
        <v>1.0</v>
      </c>
      <c r="I907" s="8">
        <v>1.0</v>
      </c>
      <c r="J907" s="8">
        <v>1.0</v>
      </c>
      <c r="K907" s="8">
        <v>1.0</v>
      </c>
      <c r="L907" s="8">
        <v>6.0</v>
      </c>
      <c r="M907" s="8"/>
      <c r="N907" s="8"/>
      <c r="O907" s="8" t="s">
        <v>739</v>
      </c>
      <c r="P907" s="8" t="e">
        <v>#N/A</v>
      </c>
    </row>
    <row r="908">
      <c r="A908">
        <f>IFERROR(__xludf.DUMMYFUNCTION("""COMPUTED_VALUE"""),6.0)</f>
        <v>6</v>
      </c>
      <c r="B908">
        <f>IFERROR(__xludf.DUMMYFUNCTION("""COMPUTED_VALUE"""),31073.0)</f>
        <v>31073</v>
      </c>
      <c r="C908" t="str">
        <f>IFERROR(__xludf.DUMMYFUNCTION("""COMPUTED_VALUE"""),"MISAS MESA, RAFAEL")</f>
        <v>MISAS MESA, RAFAEL</v>
      </c>
      <c r="D908" t="str">
        <f>IFERROR(__xludf.DUMMYFUNCTION("""COMPUTED_VALUE"""),"English 6A")</f>
        <v>English 6A</v>
      </c>
      <c r="E908" s="31">
        <f>IFERROR(__xludf.DUMMYFUNCTION("""COMPUTED_VALUE"""),1.0)</f>
        <v>1</v>
      </c>
      <c r="F908" s="8">
        <v>1.0</v>
      </c>
      <c r="G908" s="8">
        <v>1.0</v>
      </c>
      <c r="H908" s="8">
        <v>1.0</v>
      </c>
      <c r="I908" s="8">
        <v>1.0</v>
      </c>
      <c r="J908" s="8">
        <v>1.0</v>
      </c>
      <c r="K908" s="8">
        <v>1.0</v>
      </c>
      <c r="L908" s="8">
        <v>6.0</v>
      </c>
      <c r="M908" s="8"/>
      <c r="N908" s="8"/>
      <c r="O908" s="8" t="s">
        <v>739</v>
      </c>
      <c r="P908" s="8" t="e">
        <v>#N/A</v>
      </c>
    </row>
    <row r="909">
      <c r="A909">
        <f>IFERROR(__xludf.DUMMYFUNCTION("""COMPUTED_VALUE"""),6.0)</f>
        <v>6</v>
      </c>
      <c r="B909">
        <f>IFERROR(__xludf.DUMMYFUNCTION("""COMPUTED_VALUE"""),31074.0)</f>
        <v>31074</v>
      </c>
      <c r="C909" t="str">
        <f>IFERROR(__xludf.DUMMYFUNCTION("""COMPUTED_VALUE"""),"MONTOYA BERNAL, FELIPE")</f>
        <v>MONTOYA BERNAL, FELIPE</v>
      </c>
      <c r="D909" t="str">
        <f>IFERROR(__xludf.DUMMYFUNCTION("""COMPUTED_VALUE"""),"English 6A")</f>
        <v>English 6A</v>
      </c>
      <c r="E909" s="31">
        <f>IFERROR(__xludf.DUMMYFUNCTION("""COMPUTED_VALUE"""),1.0)</f>
        <v>1</v>
      </c>
      <c r="F909" s="8">
        <v>1.0</v>
      </c>
      <c r="G909" s="8">
        <v>1.0</v>
      </c>
      <c r="H909" s="8">
        <v>1.0</v>
      </c>
      <c r="I909" s="8">
        <v>1.0</v>
      </c>
      <c r="J909" s="8">
        <v>1.0</v>
      </c>
      <c r="K909" s="8">
        <v>1.0</v>
      </c>
      <c r="L909" s="8">
        <v>6.0</v>
      </c>
      <c r="M909" s="8"/>
      <c r="N909" s="8"/>
      <c r="O909" s="8" t="s">
        <v>739</v>
      </c>
      <c r="P909" s="8" t="e">
        <v>#N/A</v>
      </c>
    </row>
    <row r="910">
      <c r="A910">
        <f>IFERROR(__xludf.DUMMYFUNCTION("""COMPUTED_VALUE"""),6.0)</f>
        <v>6</v>
      </c>
      <c r="B910">
        <f>IFERROR(__xludf.DUMMYFUNCTION("""COMPUTED_VALUE"""),31075.0)</f>
        <v>31075</v>
      </c>
      <c r="C910" t="str">
        <f>IFERROR(__xludf.DUMMYFUNCTION("""COMPUTED_VALUE"""),"MORENO MORENO, CARLOTA")</f>
        <v>MORENO MORENO, CARLOTA</v>
      </c>
      <c r="D910" t="str">
        <f>IFERROR(__xludf.DUMMYFUNCTION("""COMPUTED_VALUE"""),"English 6")</f>
        <v>English 6</v>
      </c>
      <c r="E910" s="31">
        <f>IFERROR(__xludf.DUMMYFUNCTION("""COMPUTED_VALUE"""),3.0)</f>
        <v>3</v>
      </c>
      <c r="F910" s="8">
        <v>1.0</v>
      </c>
      <c r="G910" s="8">
        <v>1.0</v>
      </c>
      <c r="H910" s="8">
        <v>1.0</v>
      </c>
      <c r="I910" s="8">
        <v>1.0</v>
      </c>
      <c r="J910" s="8">
        <v>1.0</v>
      </c>
      <c r="K910" s="8">
        <v>1.0</v>
      </c>
      <c r="L910" s="8">
        <v>6.0</v>
      </c>
      <c r="M910" s="8"/>
      <c r="N910" s="8"/>
      <c r="O910" s="8" t="s">
        <v>740</v>
      </c>
      <c r="P910" s="8">
        <v>6.0</v>
      </c>
    </row>
    <row r="911">
      <c r="A911">
        <f>IFERROR(__xludf.DUMMYFUNCTION("""COMPUTED_VALUE"""),6.0)</f>
        <v>6</v>
      </c>
      <c r="B911">
        <f>IFERROR(__xludf.DUMMYFUNCTION("""COMPUTED_VALUE"""),31076.0)</f>
        <v>31076</v>
      </c>
      <c r="C911" t="str">
        <f>IFERROR(__xludf.DUMMYFUNCTION("""COMPUTED_VALUE"""),"MORENO PALACIO, SIMON")</f>
        <v>MORENO PALACIO, SIMON</v>
      </c>
      <c r="D911" t="str">
        <f>IFERROR(__xludf.DUMMYFUNCTION("""COMPUTED_VALUE"""),"English 6")</f>
        <v>English 6</v>
      </c>
      <c r="E911" s="31">
        <f>IFERROR(__xludf.DUMMYFUNCTION("""COMPUTED_VALUE"""),1.0)</f>
        <v>1</v>
      </c>
      <c r="F911" s="8">
        <v>1.0</v>
      </c>
      <c r="G911" s="8">
        <v>1.0</v>
      </c>
      <c r="H911" s="8">
        <v>1.0</v>
      </c>
      <c r="I911" s="8">
        <v>1.0</v>
      </c>
      <c r="J911" s="8">
        <v>1.0</v>
      </c>
      <c r="K911" s="8">
        <v>1.0</v>
      </c>
      <c r="L911" s="8">
        <v>6.0</v>
      </c>
      <c r="M911" s="8"/>
      <c r="N911" s="8"/>
      <c r="O911" s="8" t="s">
        <v>736</v>
      </c>
      <c r="P911" s="8">
        <v>6.0</v>
      </c>
    </row>
    <row r="912">
      <c r="A912">
        <f>IFERROR(__xludf.DUMMYFUNCTION("""COMPUTED_VALUE"""),6.0)</f>
        <v>6</v>
      </c>
      <c r="B912">
        <f>IFERROR(__xludf.DUMMYFUNCTION("""COMPUTED_VALUE"""),31077.0)</f>
        <v>31077</v>
      </c>
      <c r="C912" t="str">
        <f>IFERROR(__xludf.DUMMYFUNCTION("""COMPUTED_VALUE"""),"MUÑOZ JARAMILLO, MARIANA")</f>
        <v>MUÑOZ JARAMILLO, MARIANA</v>
      </c>
      <c r="D912" t="str">
        <f>IFERROR(__xludf.DUMMYFUNCTION("""COMPUTED_VALUE"""),"English 6")</f>
        <v>English 6</v>
      </c>
      <c r="E912" s="31">
        <f>IFERROR(__xludf.DUMMYFUNCTION("""COMPUTED_VALUE"""),2.0)</f>
        <v>2</v>
      </c>
      <c r="F912" s="8">
        <v>1.0</v>
      </c>
      <c r="G912" s="8">
        <v>1.0</v>
      </c>
      <c r="H912" s="8">
        <v>1.0</v>
      </c>
      <c r="I912" s="8">
        <v>1.0</v>
      </c>
      <c r="J912" s="8">
        <v>1.0</v>
      </c>
      <c r="K912" s="8">
        <v>1.0</v>
      </c>
      <c r="L912" s="8">
        <v>6.0</v>
      </c>
      <c r="M912" s="8"/>
      <c r="N912" s="8"/>
      <c r="O912" s="8" t="s">
        <v>735</v>
      </c>
      <c r="P912" s="8">
        <v>6.0</v>
      </c>
    </row>
    <row r="913">
      <c r="A913">
        <f>IFERROR(__xludf.DUMMYFUNCTION("""COMPUTED_VALUE"""),6.0)</f>
        <v>6</v>
      </c>
      <c r="B913">
        <f>IFERROR(__xludf.DUMMYFUNCTION("""COMPUTED_VALUE"""),31078.0)</f>
        <v>31078</v>
      </c>
      <c r="C913" t="str">
        <f>IFERROR(__xludf.DUMMYFUNCTION("""COMPUTED_VALUE"""),"NAVARRO ABAD, FERNANDA")</f>
        <v>NAVARRO ABAD, FERNANDA</v>
      </c>
      <c r="D913" t="str">
        <f>IFERROR(__xludf.DUMMYFUNCTION("""COMPUTED_VALUE"""),"English 6")</f>
        <v>English 6</v>
      </c>
      <c r="E913" s="31">
        <f>IFERROR(__xludf.DUMMYFUNCTION("""COMPUTED_VALUE"""),1.0)</f>
        <v>1</v>
      </c>
      <c r="F913" s="8">
        <v>1.0</v>
      </c>
      <c r="G913" s="8">
        <v>1.0</v>
      </c>
      <c r="H913" s="8">
        <v>1.0</v>
      </c>
      <c r="I913" s="8">
        <v>1.0</v>
      </c>
      <c r="J913" s="8">
        <v>1.0</v>
      </c>
      <c r="K913" s="8">
        <v>1.0</v>
      </c>
      <c r="L913" s="8">
        <v>6.0</v>
      </c>
      <c r="M913" s="8"/>
      <c r="N913" s="8"/>
      <c r="O913" s="8" t="s">
        <v>736</v>
      </c>
      <c r="P913" s="8">
        <v>6.0</v>
      </c>
    </row>
    <row r="914">
      <c r="A914">
        <f>IFERROR(__xludf.DUMMYFUNCTION("""COMPUTED_VALUE"""),6.0)</f>
        <v>6</v>
      </c>
      <c r="B914">
        <f>IFERROR(__xludf.DUMMYFUNCTION("""COMPUTED_VALUE"""),31079.0)</f>
        <v>31079</v>
      </c>
      <c r="C914" t="str">
        <f>IFERROR(__xludf.DUMMYFUNCTION("""COMPUTED_VALUE"""),"OBERTI FRANCO, LINDA")</f>
        <v>OBERTI FRANCO, LINDA</v>
      </c>
      <c r="D914" t="str">
        <f>IFERROR(__xludf.DUMMYFUNCTION("""COMPUTED_VALUE"""),"English 6")</f>
        <v>English 6</v>
      </c>
      <c r="E914" s="31">
        <f>IFERROR(__xludf.DUMMYFUNCTION("""COMPUTED_VALUE"""),1.0)</f>
        <v>1</v>
      </c>
      <c r="F914" s="8">
        <v>1.0</v>
      </c>
      <c r="G914" s="8">
        <v>1.0</v>
      </c>
      <c r="H914" s="8">
        <v>1.0</v>
      </c>
      <c r="I914" s="8">
        <v>1.0</v>
      </c>
      <c r="J914" s="8">
        <v>1.0</v>
      </c>
      <c r="K914" s="8">
        <v>1.0</v>
      </c>
      <c r="L914" s="8">
        <v>6.0</v>
      </c>
      <c r="M914" s="8"/>
      <c r="N914" s="8"/>
      <c r="O914" s="8" t="s">
        <v>736</v>
      </c>
      <c r="P914" s="8">
        <v>6.0</v>
      </c>
    </row>
    <row r="915">
      <c r="A915">
        <f>IFERROR(__xludf.DUMMYFUNCTION("""COMPUTED_VALUE"""),6.0)</f>
        <v>6</v>
      </c>
      <c r="B915">
        <f>IFERROR(__xludf.DUMMYFUNCTION("""COMPUTED_VALUE"""),31080.0)</f>
        <v>31080</v>
      </c>
      <c r="C915" t="str">
        <f>IFERROR(__xludf.DUMMYFUNCTION("""COMPUTED_VALUE"""),"OCAMPO CEBALLOS, RAFAEL")</f>
        <v>OCAMPO CEBALLOS, RAFAEL</v>
      </c>
      <c r="D915" t="str">
        <f>IFERROR(__xludf.DUMMYFUNCTION("""COMPUTED_VALUE"""),"English 6")</f>
        <v>English 6</v>
      </c>
      <c r="E915" s="31">
        <f>IFERROR(__xludf.DUMMYFUNCTION("""COMPUTED_VALUE"""),3.0)</f>
        <v>3</v>
      </c>
      <c r="F915" s="8">
        <v>1.0</v>
      </c>
      <c r="G915" s="8">
        <v>1.0</v>
      </c>
      <c r="H915" s="8">
        <v>1.0</v>
      </c>
      <c r="I915" s="8">
        <v>1.0</v>
      </c>
      <c r="J915" s="8">
        <v>1.0</v>
      </c>
      <c r="K915" s="8">
        <v>1.0</v>
      </c>
      <c r="L915" s="8">
        <v>6.0</v>
      </c>
      <c r="M915" s="8"/>
      <c r="N915" s="8"/>
      <c r="O915" s="8" t="s">
        <v>740</v>
      </c>
      <c r="P915" s="8">
        <v>6.0</v>
      </c>
    </row>
    <row r="916">
      <c r="A916">
        <f>IFERROR(__xludf.DUMMYFUNCTION("""COMPUTED_VALUE"""),6.0)</f>
        <v>6</v>
      </c>
      <c r="B916">
        <f>IFERROR(__xludf.DUMMYFUNCTION("""COMPUTED_VALUE"""),31081.0)</f>
        <v>31081</v>
      </c>
      <c r="C916" t="str">
        <f>IFERROR(__xludf.DUMMYFUNCTION("""COMPUTED_VALUE"""),"OROZCO MONTOYA, MARTINA")</f>
        <v>OROZCO MONTOYA, MARTINA</v>
      </c>
      <c r="D916" t="str">
        <f>IFERROR(__xludf.DUMMYFUNCTION("""COMPUTED_VALUE"""),"English 6")</f>
        <v>English 6</v>
      </c>
      <c r="E916" s="31">
        <f>IFERROR(__xludf.DUMMYFUNCTION("""COMPUTED_VALUE"""),3.0)</f>
        <v>3</v>
      </c>
      <c r="F916" s="8">
        <v>1.0</v>
      </c>
      <c r="G916" s="8">
        <v>1.0</v>
      </c>
      <c r="H916" s="8">
        <v>1.0</v>
      </c>
      <c r="I916" s="8">
        <v>1.0</v>
      </c>
      <c r="J916" s="8">
        <v>1.0</v>
      </c>
      <c r="K916" s="8">
        <v>1.0</v>
      </c>
      <c r="L916" s="8">
        <v>6.0</v>
      </c>
      <c r="M916" s="8"/>
      <c r="N916" s="8"/>
      <c r="O916" s="8" t="s">
        <v>740</v>
      </c>
      <c r="P916" s="8">
        <v>6.0</v>
      </c>
    </row>
    <row r="917">
      <c r="A917">
        <f>IFERROR(__xludf.DUMMYFUNCTION("""COMPUTED_VALUE"""),6.0)</f>
        <v>6</v>
      </c>
      <c r="B917">
        <f>IFERROR(__xludf.DUMMYFUNCTION("""COMPUTED_VALUE"""),31082.0)</f>
        <v>31082</v>
      </c>
      <c r="C917" t="str">
        <f>IFERROR(__xludf.DUMMYFUNCTION("""COMPUTED_VALUE"""),"ORTIZ MOLINA, MARTINA")</f>
        <v>ORTIZ MOLINA, MARTINA</v>
      </c>
      <c r="D917" t="str">
        <f>IFERROR(__xludf.DUMMYFUNCTION("""COMPUTED_VALUE"""),"English 6")</f>
        <v>English 6</v>
      </c>
      <c r="E917" s="31">
        <f>IFERROR(__xludf.DUMMYFUNCTION("""COMPUTED_VALUE"""),2.0)</f>
        <v>2</v>
      </c>
      <c r="F917" s="8">
        <v>1.0</v>
      </c>
      <c r="G917" s="8">
        <v>1.0</v>
      </c>
      <c r="H917" s="8">
        <v>1.0</v>
      </c>
      <c r="I917" s="8">
        <v>1.0</v>
      </c>
      <c r="J917" s="8">
        <v>1.0</v>
      </c>
      <c r="K917" s="8">
        <v>1.0</v>
      </c>
      <c r="L917" s="8">
        <v>6.0</v>
      </c>
      <c r="M917" s="8"/>
      <c r="N917" s="8"/>
      <c r="O917" s="8" t="s">
        <v>735</v>
      </c>
      <c r="P917" s="8">
        <v>6.0</v>
      </c>
    </row>
    <row r="918">
      <c r="A918">
        <f>IFERROR(__xludf.DUMMYFUNCTION("""COMPUTED_VALUE"""),6.0)</f>
        <v>6</v>
      </c>
      <c r="B918">
        <f>IFERROR(__xludf.DUMMYFUNCTION("""COMPUTED_VALUE"""),31083.0)</f>
        <v>31083</v>
      </c>
      <c r="C918" t="str">
        <f>IFERROR(__xludf.DUMMYFUNCTION("""COMPUTED_VALUE"""),"OSORIO GARCIA, JERONIMO")</f>
        <v>OSORIO GARCIA, JERONIMO</v>
      </c>
      <c r="D918" t="str">
        <f>IFERROR(__xludf.DUMMYFUNCTION("""COMPUTED_VALUE"""),"English 6")</f>
        <v>English 6</v>
      </c>
      <c r="E918" s="31">
        <f>IFERROR(__xludf.DUMMYFUNCTION("""COMPUTED_VALUE"""),6.0)</f>
        <v>6</v>
      </c>
      <c r="F918" s="8">
        <v>1.0</v>
      </c>
      <c r="G918" s="8">
        <v>1.0</v>
      </c>
      <c r="H918" s="8">
        <v>1.0</v>
      </c>
      <c r="I918" s="8">
        <v>1.0</v>
      </c>
      <c r="J918" s="8">
        <v>1.0</v>
      </c>
      <c r="K918" s="8">
        <v>1.0</v>
      </c>
      <c r="L918" s="8">
        <v>6.0</v>
      </c>
      <c r="M918" s="8"/>
      <c r="N918" s="8"/>
      <c r="O918" s="8" t="s">
        <v>738</v>
      </c>
      <c r="P918" s="8">
        <v>6.0</v>
      </c>
    </row>
    <row r="919">
      <c r="A919">
        <f>IFERROR(__xludf.DUMMYFUNCTION("""COMPUTED_VALUE"""),6.0)</f>
        <v>6</v>
      </c>
      <c r="B919">
        <f>IFERROR(__xludf.DUMMYFUNCTION("""COMPUTED_VALUE"""),31084.0)</f>
        <v>31084</v>
      </c>
      <c r="C919" t="str">
        <f>IFERROR(__xludf.DUMMYFUNCTION("""COMPUTED_VALUE"""),"OSORIO MARIN, GABRIELA")</f>
        <v>OSORIO MARIN, GABRIELA</v>
      </c>
      <c r="D919" t="str">
        <f>IFERROR(__xludf.DUMMYFUNCTION("""COMPUTED_VALUE"""),"English 6")</f>
        <v>English 6</v>
      </c>
      <c r="E919" s="31">
        <f>IFERROR(__xludf.DUMMYFUNCTION("""COMPUTED_VALUE"""),2.0)</f>
        <v>2</v>
      </c>
      <c r="F919" s="8">
        <v>1.0</v>
      </c>
      <c r="G919" s="8">
        <v>1.0</v>
      </c>
      <c r="H919" s="8">
        <v>1.0</v>
      </c>
      <c r="I919" s="8">
        <v>1.0</v>
      </c>
      <c r="J919" s="8">
        <v>1.0</v>
      </c>
      <c r="K919" s="8">
        <v>1.0</v>
      </c>
      <c r="L919" s="8">
        <v>6.0</v>
      </c>
      <c r="M919" s="8"/>
      <c r="N919" s="8"/>
      <c r="O919" s="8" t="s">
        <v>735</v>
      </c>
      <c r="P919" s="8">
        <v>6.0</v>
      </c>
    </row>
    <row r="920">
      <c r="A920">
        <f>IFERROR(__xludf.DUMMYFUNCTION("""COMPUTED_VALUE"""),6.0)</f>
        <v>6</v>
      </c>
      <c r="B920">
        <f>IFERROR(__xludf.DUMMYFUNCTION("""COMPUTED_VALUE"""),31085.0)</f>
        <v>31085</v>
      </c>
      <c r="C920" t="str">
        <f>IFERROR(__xludf.DUMMYFUNCTION("""COMPUTED_VALUE"""),"OSORIO QUINTERO, SALOME")</f>
        <v>OSORIO QUINTERO, SALOME</v>
      </c>
      <c r="D920" t="str">
        <f>IFERROR(__xludf.DUMMYFUNCTION("""COMPUTED_VALUE"""),"English 6")</f>
        <v>English 6</v>
      </c>
      <c r="E920" s="31">
        <f>IFERROR(__xludf.DUMMYFUNCTION("""COMPUTED_VALUE"""),1.0)</f>
        <v>1</v>
      </c>
      <c r="F920" s="8">
        <v>1.0</v>
      </c>
      <c r="G920" s="8">
        <v>1.0</v>
      </c>
      <c r="H920" s="8">
        <v>1.0</v>
      </c>
      <c r="I920" s="8">
        <v>1.0</v>
      </c>
      <c r="J920" s="8">
        <v>1.0</v>
      </c>
      <c r="K920" s="8">
        <v>1.0</v>
      </c>
      <c r="L920" s="8">
        <v>6.0</v>
      </c>
      <c r="M920" s="8"/>
      <c r="N920" s="8"/>
      <c r="O920" s="8" t="s">
        <v>736</v>
      </c>
      <c r="P920" s="8">
        <v>6.0</v>
      </c>
    </row>
    <row r="921">
      <c r="A921">
        <f>IFERROR(__xludf.DUMMYFUNCTION("""COMPUTED_VALUE"""),6.0)</f>
        <v>6</v>
      </c>
      <c r="B921">
        <f>IFERROR(__xludf.DUMMYFUNCTION("""COMPUTED_VALUE"""),31158.0)</f>
        <v>31158</v>
      </c>
      <c r="C921" t="str">
        <f>IFERROR(__xludf.DUMMYFUNCTION("""COMPUTED_VALUE"""),"OSORIO RUIZ, AMELIA")</f>
        <v>OSORIO RUIZ, AMELIA</v>
      </c>
      <c r="D921" t="str">
        <f>IFERROR(__xludf.DUMMYFUNCTION("""COMPUTED_VALUE"""),"English 6")</f>
        <v>English 6</v>
      </c>
      <c r="E921" s="31">
        <f>IFERROR(__xludf.DUMMYFUNCTION("""COMPUTED_VALUE"""),1.0)</f>
        <v>1</v>
      </c>
      <c r="F921" s="8">
        <v>1.0</v>
      </c>
      <c r="G921" s="8">
        <v>1.0</v>
      </c>
      <c r="H921" s="8">
        <v>1.0</v>
      </c>
      <c r="I921" s="8">
        <v>1.0</v>
      </c>
      <c r="J921" s="8">
        <v>1.0</v>
      </c>
      <c r="K921" s="8">
        <v>1.0</v>
      </c>
      <c r="L921" s="8">
        <v>6.0</v>
      </c>
      <c r="M921" s="8"/>
      <c r="N921" s="8"/>
      <c r="O921" s="8" t="s">
        <v>736</v>
      </c>
      <c r="P921" s="8">
        <v>6.0</v>
      </c>
    </row>
    <row r="922">
      <c r="A922">
        <f>IFERROR(__xludf.DUMMYFUNCTION("""COMPUTED_VALUE"""),6.0)</f>
        <v>6</v>
      </c>
      <c r="B922">
        <f>IFERROR(__xludf.DUMMYFUNCTION("""COMPUTED_VALUE"""),31086.0)</f>
        <v>31086</v>
      </c>
      <c r="C922" t="str">
        <f>IFERROR(__xludf.DUMMYFUNCTION("""COMPUTED_VALUE"""),"PATERNINA SALDARRIAGA, SOFIA")</f>
        <v>PATERNINA SALDARRIAGA, SOFIA</v>
      </c>
      <c r="D922" t="str">
        <f>IFERROR(__xludf.DUMMYFUNCTION("""COMPUTED_VALUE"""),"English 6")</f>
        <v>English 6</v>
      </c>
      <c r="E922" s="31">
        <f>IFERROR(__xludf.DUMMYFUNCTION("""COMPUTED_VALUE"""),5.0)</f>
        <v>5</v>
      </c>
      <c r="F922" s="8">
        <v>1.0</v>
      </c>
      <c r="G922" s="8">
        <v>1.0</v>
      </c>
      <c r="H922" s="8">
        <v>1.0</v>
      </c>
      <c r="I922" s="8">
        <v>1.0</v>
      </c>
      <c r="J922" s="8">
        <v>1.0</v>
      </c>
      <c r="K922" s="8">
        <v>1.0</v>
      </c>
      <c r="L922" s="8">
        <v>6.0</v>
      </c>
      <c r="M922" s="8"/>
      <c r="N922" s="8"/>
      <c r="O922" s="8" t="s">
        <v>737</v>
      </c>
      <c r="P922" s="8">
        <v>6.0</v>
      </c>
    </row>
    <row r="923">
      <c r="A923">
        <f>IFERROR(__xludf.DUMMYFUNCTION("""COMPUTED_VALUE"""),6.0)</f>
        <v>6</v>
      </c>
      <c r="B923">
        <f>IFERROR(__xludf.DUMMYFUNCTION("""COMPUTED_VALUE"""),31087.0)</f>
        <v>31087</v>
      </c>
      <c r="C923" t="str">
        <f>IFERROR(__xludf.DUMMYFUNCTION("""COMPUTED_VALUE"""),"PEAK DUQUE, NICOLE")</f>
        <v>PEAK DUQUE, NICOLE</v>
      </c>
      <c r="D923" t="str">
        <f>IFERROR(__xludf.DUMMYFUNCTION("""COMPUTED_VALUE"""),"English 6")</f>
        <v>English 6</v>
      </c>
      <c r="E923" s="31">
        <f>IFERROR(__xludf.DUMMYFUNCTION("""COMPUTED_VALUE"""),5.0)</f>
        <v>5</v>
      </c>
      <c r="F923" s="8">
        <v>1.0</v>
      </c>
      <c r="G923" s="8">
        <v>1.0</v>
      </c>
      <c r="H923" s="8">
        <v>1.0</v>
      </c>
      <c r="I923" s="8">
        <v>1.0</v>
      </c>
      <c r="J923" s="8">
        <v>1.0</v>
      </c>
      <c r="K923" s="8">
        <v>1.0</v>
      </c>
      <c r="L923" s="8">
        <v>6.0</v>
      </c>
      <c r="M923" s="8"/>
      <c r="N923" s="8"/>
      <c r="O923" s="8" t="s">
        <v>737</v>
      </c>
      <c r="P923" s="8">
        <v>6.0</v>
      </c>
    </row>
    <row r="924">
      <c r="A924">
        <f>IFERROR(__xludf.DUMMYFUNCTION("""COMPUTED_VALUE"""),6.0)</f>
        <v>6</v>
      </c>
      <c r="B924">
        <f>IFERROR(__xludf.DUMMYFUNCTION("""COMPUTED_VALUE"""),31089.0)</f>
        <v>31089</v>
      </c>
      <c r="C924" t="str">
        <f>IFERROR(__xludf.DUMMYFUNCTION("""COMPUTED_VALUE"""),"PELAEZ BORDA, DAVID")</f>
        <v>PELAEZ BORDA, DAVID</v>
      </c>
      <c r="D924" t="str">
        <f>IFERROR(__xludf.DUMMYFUNCTION("""COMPUTED_VALUE"""),"English 6")</f>
        <v>English 6</v>
      </c>
      <c r="E924" s="31">
        <f>IFERROR(__xludf.DUMMYFUNCTION("""COMPUTED_VALUE"""),3.0)</f>
        <v>3</v>
      </c>
      <c r="F924" s="8">
        <v>1.0</v>
      </c>
      <c r="G924" s="8">
        <v>1.0</v>
      </c>
      <c r="H924" s="8">
        <v>1.0</v>
      </c>
      <c r="I924" s="8">
        <v>1.0</v>
      </c>
      <c r="J924" s="8">
        <v>1.0</v>
      </c>
      <c r="K924" s="8">
        <v>1.0</v>
      </c>
      <c r="L924" s="8">
        <v>6.0</v>
      </c>
      <c r="M924" s="8"/>
      <c r="N924" s="8"/>
      <c r="O924" s="8" t="s">
        <v>740</v>
      </c>
      <c r="P924" s="8">
        <v>6.0</v>
      </c>
    </row>
    <row r="925">
      <c r="A925">
        <f>IFERROR(__xludf.DUMMYFUNCTION("""COMPUTED_VALUE"""),6.0)</f>
        <v>6</v>
      </c>
      <c r="B925">
        <f>IFERROR(__xludf.DUMMYFUNCTION("""COMPUTED_VALUE"""),31088.0)</f>
        <v>31088</v>
      </c>
      <c r="C925" t="str">
        <f>IFERROR(__xludf.DUMMYFUNCTION("""COMPUTED_VALUE"""),"PELAEZ BOTERO, AMELIA")</f>
        <v>PELAEZ BOTERO, AMELIA</v>
      </c>
      <c r="D925" t="str">
        <f>IFERROR(__xludf.DUMMYFUNCTION("""COMPUTED_VALUE"""),"English 6")</f>
        <v>English 6</v>
      </c>
      <c r="E925" s="31">
        <f>IFERROR(__xludf.DUMMYFUNCTION("""COMPUTED_VALUE"""),2.0)</f>
        <v>2</v>
      </c>
      <c r="F925" s="8">
        <v>1.0</v>
      </c>
      <c r="G925" s="8">
        <v>1.0</v>
      </c>
      <c r="H925" s="8">
        <v>1.0</v>
      </c>
      <c r="I925" s="8">
        <v>1.0</v>
      </c>
      <c r="J925" s="8">
        <v>1.0</v>
      </c>
      <c r="K925" s="8">
        <v>1.0</v>
      </c>
      <c r="L925" s="8">
        <v>6.0</v>
      </c>
      <c r="M925" s="8"/>
      <c r="N925" s="8"/>
      <c r="O925" s="8" t="s">
        <v>735</v>
      </c>
      <c r="P925" s="8">
        <v>6.0</v>
      </c>
    </row>
    <row r="926">
      <c r="A926">
        <f>IFERROR(__xludf.DUMMYFUNCTION("""COMPUTED_VALUE"""),6.0)</f>
        <v>6</v>
      </c>
      <c r="B926">
        <f>IFERROR(__xludf.DUMMYFUNCTION("""COMPUTED_VALUE"""),31090.0)</f>
        <v>31090</v>
      </c>
      <c r="C926" t="str">
        <f>IFERROR(__xludf.DUMMYFUNCTION("""COMPUTED_VALUE"""),"PELAEZ PIEDRAHITA, EMILIO")</f>
        <v>PELAEZ PIEDRAHITA, EMILIO</v>
      </c>
      <c r="D926" t="str">
        <f>IFERROR(__xludf.DUMMYFUNCTION("""COMPUTED_VALUE"""),"English 6A")</f>
        <v>English 6A</v>
      </c>
      <c r="E926" s="31">
        <f>IFERROR(__xludf.DUMMYFUNCTION("""COMPUTED_VALUE"""),1.0)</f>
        <v>1</v>
      </c>
      <c r="F926" s="8">
        <v>1.0</v>
      </c>
      <c r="G926" s="8">
        <v>1.0</v>
      </c>
      <c r="H926" s="8">
        <v>1.0</v>
      </c>
      <c r="I926" s="8">
        <v>1.0</v>
      </c>
      <c r="J926" s="8">
        <v>1.0</v>
      </c>
      <c r="K926" s="8">
        <v>1.0</v>
      </c>
      <c r="L926" s="8">
        <v>6.0</v>
      </c>
      <c r="M926" s="8"/>
      <c r="N926" s="8"/>
      <c r="O926" s="8" t="s">
        <v>739</v>
      </c>
      <c r="P926" s="8" t="e">
        <v>#N/A</v>
      </c>
    </row>
    <row r="927">
      <c r="A927">
        <f>IFERROR(__xludf.DUMMYFUNCTION("""COMPUTED_VALUE"""),6.0)</f>
        <v>6</v>
      </c>
      <c r="B927">
        <f>IFERROR(__xludf.DUMMYFUNCTION("""COMPUTED_VALUE"""),31092.0)</f>
        <v>31092</v>
      </c>
      <c r="C927" t="str">
        <f>IFERROR(__xludf.DUMMYFUNCTION("""COMPUTED_VALUE"""),"PEREZ DUQUE, JULIA")</f>
        <v>PEREZ DUQUE, JULIA</v>
      </c>
      <c r="D927" t="str">
        <f>IFERROR(__xludf.DUMMYFUNCTION("""COMPUTED_VALUE"""),"English 6")</f>
        <v>English 6</v>
      </c>
      <c r="E927" s="31">
        <f>IFERROR(__xludf.DUMMYFUNCTION("""COMPUTED_VALUE"""),5.0)</f>
        <v>5</v>
      </c>
      <c r="F927" s="8">
        <v>1.0</v>
      </c>
      <c r="G927" s="8">
        <v>1.0</v>
      </c>
      <c r="H927" s="8">
        <v>1.0</v>
      </c>
      <c r="I927" s="8">
        <v>1.0</v>
      </c>
      <c r="J927" s="8">
        <v>1.0</v>
      </c>
      <c r="K927" s="8">
        <v>1.0</v>
      </c>
      <c r="L927" s="8">
        <v>6.0</v>
      </c>
      <c r="M927" s="8"/>
      <c r="N927" s="8"/>
      <c r="O927" s="8" t="s">
        <v>737</v>
      </c>
      <c r="P927" s="8">
        <v>6.0</v>
      </c>
    </row>
    <row r="928">
      <c r="A928">
        <f>IFERROR(__xludf.DUMMYFUNCTION("""COMPUTED_VALUE"""),6.0)</f>
        <v>6</v>
      </c>
      <c r="B928">
        <f>IFERROR(__xludf.DUMMYFUNCTION("""COMPUTED_VALUE"""),31091.0)</f>
        <v>31091</v>
      </c>
      <c r="C928" t="str">
        <f>IFERROR(__xludf.DUMMYFUNCTION("""COMPUTED_VALUE"""),"PEREZ OTERO, ALEJANDRO")</f>
        <v>PEREZ OTERO, ALEJANDRO</v>
      </c>
      <c r="D928" t="str">
        <f>IFERROR(__xludf.DUMMYFUNCTION("""COMPUTED_VALUE"""),"English 6")</f>
        <v>English 6</v>
      </c>
      <c r="E928" s="31">
        <f>IFERROR(__xludf.DUMMYFUNCTION("""COMPUTED_VALUE"""),3.0)</f>
        <v>3</v>
      </c>
      <c r="F928" s="8">
        <v>1.0</v>
      </c>
      <c r="G928" s="8">
        <v>1.0</v>
      </c>
      <c r="H928" s="8">
        <v>1.0</v>
      </c>
      <c r="I928" s="8">
        <v>1.0</v>
      </c>
      <c r="J928" s="8">
        <v>1.0</v>
      </c>
      <c r="K928" s="8">
        <v>1.0</v>
      </c>
      <c r="L928" s="8">
        <v>6.0</v>
      </c>
      <c r="M928" s="8"/>
      <c r="N928" s="8"/>
      <c r="O928" s="8" t="s">
        <v>740</v>
      </c>
      <c r="P928" s="8">
        <v>6.0</v>
      </c>
    </row>
    <row r="929">
      <c r="A929">
        <f>IFERROR(__xludf.DUMMYFUNCTION("""COMPUTED_VALUE"""),6.0)</f>
        <v>6</v>
      </c>
      <c r="B929">
        <f>IFERROR(__xludf.DUMMYFUNCTION("""COMPUTED_VALUE"""),31160.0)</f>
        <v>31160</v>
      </c>
      <c r="C929" t="str">
        <f>IFERROR(__xludf.DUMMYFUNCTION("""COMPUTED_VALUE"""),"PFORTNER CASTRO, MORITZ")</f>
        <v>PFORTNER CASTRO, MORITZ</v>
      </c>
      <c r="D929" t="str">
        <f>IFERROR(__xludf.DUMMYFUNCTION("""COMPUTED_VALUE"""),"English 6")</f>
        <v>English 6</v>
      </c>
      <c r="E929" s="31">
        <f>IFERROR(__xludf.DUMMYFUNCTION("""COMPUTED_VALUE"""),3.0)</f>
        <v>3</v>
      </c>
      <c r="F929" s="8">
        <v>1.0</v>
      </c>
      <c r="G929" s="8">
        <v>1.0</v>
      </c>
      <c r="H929" s="8">
        <v>1.0</v>
      </c>
      <c r="I929" s="8">
        <v>1.0</v>
      </c>
      <c r="J929" s="8">
        <v>1.0</v>
      </c>
      <c r="K929" s="8">
        <v>1.0</v>
      </c>
      <c r="L929" s="8">
        <v>6.0</v>
      </c>
      <c r="M929" s="8"/>
      <c r="N929" s="8"/>
      <c r="O929" s="8" t="s">
        <v>740</v>
      </c>
      <c r="P929" s="8">
        <v>6.0</v>
      </c>
    </row>
    <row r="930">
      <c r="A930">
        <f>IFERROR(__xludf.DUMMYFUNCTION("""COMPUTED_VALUE"""),6.0)</f>
        <v>6</v>
      </c>
      <c r="B930">
        <f>IFERROR(__xludf.DUMMYFUNCTION("""COMPUTED_VALUE"""),31093.0)</f>
        <v>31093</v>
      </c>
      <c r="C930" t="str">
        <f>IFERROR(__xludf.DUMMYFUNCTION("""COMPUTED_VALUE"""),"PICO RUEDA, SEBASTIAN")</f>
        <v>PICO RUEDA, SEBASTIAN</v>
      </c>
      <c r="D930" t="str">
        <f>IFERROR(__xludf.DUMMYFUNCTION("""COMPUTED_VALUE"""),"English 6")</f>
        <v>English 6</v>
      </c>
      <c r="E930" s="31">
        <f>IFERROR(__xludf.DUMMYFUNCTION("""COMPUTED_VALUE"""),6.0)</f>
        <v>6</v>
      </c>
      <c r="F930" s="8">
        <v>1.0</v>
      </c>
      <c r="G930" s="8">
        <v>1.0</v>
      </c>
      <c r="H930" s="8">
        <v>1.0</v>
      </c>
      <c r="I930" s="8">
        <v>1.0</v>
      </c>
      <c r="J930" s="8">
        <v>1.0</v>
      </c>
      <c r="K930" s="8">
        <v>1.0</v>
      </c>
      <c r="L930" s="8">
        <v>6.0</v>
      </c>
      <c r="M930" s="8"/>
      <c r="N930" s="8"/>
      <c r="O930" s="8" t="s">
        <v>738</v>
      </c>
      <c r="P930" s="8">
        <v>6.0</v>
      </c>
    </row>
    <row r="931">
      <c r="A931">
        <f>IFERROR(__xludf.DUMMYFUNCTION("""COMPUTED_VALUE"""),6.0)</f>
        <v>6</v>
      </c>
      <c r="B931">
        <f>IFERROR(__xludf.DUMMYFUNCTION("""COMPUTED_VALUE"""),31095.0)</f>
        <v>31095</v>
      </c>
      <c r="C931" t="str">
        <f>IFERROR(__xludf.DUMMYFUNCTION("""COMPUTED_VALUE"""),"PINEDA ARANGO, MARTINA")</f>
        <v>PINEDA ARANGO, MARTINA</v>
      </c>
      <c r="D931" t="str">
        <f>IFERROR(__xludf.DUMMYFUNCTION("""COMPUTED_VALUE"""),"English 6")</f>
        <v>English 6</v>
      </c>
      <c r="E931" s="31">
        <f>IFERROR(__xludf.DUMMYFUNCTION("""COMPUTED_VALUE"""),5.0)</f>
        <v>5</v>
      </c>
      <c r="F931" s="8">
        <v>1.0</v>
      </c>
      <c r="G931" s="8">
        <v>1.0</v>
      </c>
      <c r="H931" s="8">
        <v>1.0</v>
      </c>
      <c r="I931" s="8">
        <v>1.0</v>
      </c>
      <c r="J931" s="8">
        <v>1.0</v>
      </c>
      <c r="K931" s="8">
        <v>1.0</v>
      </c>
      <c r="L931" s="8">
        <v>6.0</v>
      </c>
      <c r="M931" s="8"/>
      <c r="N931" s="8"/>
      <c r="O931" s="8" t="s">
        <v>737</v>
      </c>
      <c r="P931" s="8">
        <v>6.0</v>
      </c>
    </row>
    <row r="932">
      <c r="A932">
        <f>IFERROR(__xludf.DUMMYFUNCTION("""COMPUTED_VALUE"""),6.0)</f>
        <v>6</v>
      </c>
      <c r="B932">
        <f>IFERROR(__xludf.DUMMYFUNCTION("""COMPUTED_VALUE"""),31096.0)</f>
        <v>31096</v>
      </c>
      <c r="C932" t="str">
        <f>IFERROR(__xludf.DUMMYFUNCTION("""COMPUTED_VALUE"""),"POSADA FERNANDEZ, ALICIA")</f>
        <v>POSADA FERNANDEZ, ALICIA</v>
      </c>
      <c r="D932" t="str">
        <f>IFERROR(__xludf.DUMMYFUNCTION("""COMPUTED_VALUE"""),"English 6")</f>
        <v>English 6</v>
      </c>
      <c r="E932" s="31">
        <f>IFERROR(__xludf.DUMMYFUNCTION("""COMPUTED_VALUE"""),5.0)</f>
        <v>5</v>
      </c>
      <c r="F932" s="8">
        <v>1.0</v>
      </c>
      <c r="G932" s="8">
        <v>1.0</v>
      </c>
      <c r="H932" s="8">
        <v>1.0</v>
      </c>
      <c r="I932" s="8">
        <v>1.0</v>
      </c>
      <c r="J932" s="8">
        <v>1.0</v>
      </c>
      <c r="K932" s="8">
        <v>1.0</v>
      </c>
      <c r="L932" s="8">
        <v>6.0</v>
      </c>
      <c r="M932" s="8"/>
      <c r="N932" s="8"/>
      <c r="O932" s="8" t="s">
        <v>737</v>
      </c>
      <c r="P932" s="8">
        <v>6.0</v>
      </c>
    </row>
    <row r="933">
      <c r="A933">
        <f>IFERROR(__xludf.DUMMYFUNCTION("""COMPUTED_VALUE"""),6.0)</f>
        <v>6</v>
      </c>
      <c r="B933">
        <f>IFERROR(__xludf.DUMMYFUNCTION("""COMPUTED_VALUE"""),31097.0)</f>
        <v>31097</v>
      </c>
      <c r="C933" t="str">
        <f>IFERROR(__xludf.DUMMYFUNCTION("""COMPUTED_VALUE"""),"PUYO TORO, ELENA")</f>
        <v>PUYO TORO, ELENA</v>
      </c>
      <c r="D933" t="str">
        <f>IFERROR(__xludf.DUMMYFUNCTION("""COMPUTED_VALUE"""),"English 6")</f>
        <v>English 6</v>
      </c>
      <c r="E933" s="31">
        <f>IFERROR(__xludf.DUMMYFUNCTION("""COMPUTED_VALUE"""),2.0)</f>
        <v>2</v>
      </c>
      <c r="F933" s="8">
        <v>1.0</v>
      </c>
      <c r="G933" s="8">
        <v>1.0</v>
      </c>
      <c r="H933" s="8">
        <v>1.0</v>
      </c>
      <c r="I933" s="8">
        <v>1.0</v>
      </c>
      <c r="J933" s="8">
        <v>1.0</v>
      </c>
      <c r="K933" s="8">
        <v>1.0</v>
      </c>
      <c r="L933" s="8">
        <v>6.0</v>
      </c>
      <c r="M933" s="8"/>
      <c r="N933" s="8"/>
      <c r="O933" s="8" t="s">
        <v>735</v>
      </c>
      <c r="P933" s="8">
        <v>6.0</v>
      </c>
    </row>
    <row r="934">
      <c r="A934">
        <f>IFERROR(__xludf.DUMMYFUNCTION("""COMPUTED_VALUE"""),6.0)</f>
        <v>6</v>
      </c>
      <c r="B934">
        <f>IFERROR(__xludf.DUMMYFUNCTION("""COMPUTED_VALUE"""),31098.0)</f>
        <v>31098</v>
      </c>
      <c r="C934" t="str">
        <f>IFERROR(__xludf.DUMMYFUNCTION("""COMPUTED_VALUE"""),"QUINTERO DARBY, VIOLETA")</f>
        <v>QUINTERO DARBY, VIOLETA</v>
      </c>
      <c r="D934" t="str">
        <f>IFERROR(__xludf.DUMMYFUNCTION("""COMPUTED_VALUE"""),"English 6")</f>
        <v>English 6</v>
      </c>
      <c r="E934" s="31">
        <f>IFERROR(__xludf.DUMMYFUNCTION("""COMPUTED_VALUE"""),6.0)</f>
        <v>6</v>
      </c>
      <c r="F934" s="8">
        <v>1.0</v>
      </c>
      <c r="G934" s="8">
        <v>1.0</v>
      </c>
      <c r="H934" s="8">
        <v>1.0</v>
      </c>
      <c r="I934" s="8">
        <v>1.0</v>
      </c>
      <c r="J934" s="8">
        <v>1.0</v>
      </c>
      <c r="K934" s="8">
        <v>1.0</v>
      </c>
      <c r="L934" s="8">
        <v>6.0</v>
      </c>
      <c r="M934" s="8"/>
      <c r="N934" s="8"/>
      <c r="O934" s="8" t="s">
        <v>738</v>
      </c>
      <c r="P934" s="8">
        <v>6.0</v>
      </c>
    </row>
    <row r="935">
      <c r="A935">
        <f>IFERROR(__xludf.DUMMYFUNCTION("""COMPUTED_VALUE"""),6.0)</f>
        <v>6</v>
      </c>
      <c r="B935">
        <f>IFERROR(__xludf.DUMMYFUNCTION("""COMPUTED_VALUE"""),31099.0)</f>
        <v>31099</v>
      </c>
      <c r="C935" t="str">
        <f>IFERROR(__xludf.DUMMYFUNCTION("""COMPUTED_VALUE"""),"RAMIREZ LIBREROS, MARTIN")</f>
        <v>RAMIREZ LIBREROS, MARTIN</v>
      </c>
      <c r="D935" t="str">
        <f>IFERROR(__xludf.DUMMYFUNCTION("""COMPUTED_VALUE"""),"English 6")</f>
        <v>English 6</v>
      </c>
      <c r="E935" s="31">
        <f>IFERROR(__xludf.DUMMYFUNCTION("""COMPUTED_VALUE"""),6.0)</f>
        <v>6</v>
      </c>
      <c r="F935" s="8">
        <v>1.0</v>
      </c>
      <c r="G935" s="8">
        <v>1.0</v>
      </c>
      <c r="H935" s="8">
        <v>1.0</v>
      </c>
      <c r="I935" s="8">
        <v>1.0</v>
      </c>
      <c r="J935" s="8">
        <v>1.0</v>
      </c>
      <c r="K935" s="8">
        <v>1.0</v>
      </c>
      <c r="L935" s="8">
        <v>6.0</v>
      </c>
      <c r="M935" s="8"/>
      <c r="N935" s="8"/>
      <c r="O935" s="8" t="s">
        <v>738</v>
      </c>
      <c r="P935" s="8">
        <v>6.0</v>
      </c>
    </row>
    <row r="936">
      <c r="A936">
        <f>IFERROR(__xludf.DUMMYFUNCTION("""COMPUTED_VALUE"""),6.0)</f>
        <v>6</v>
      </c>
      <c r="B936">
        <f>IFERROR(__xludf.DUMMYFUNCTION("""COMPUTED_VALUE"""),31100.0)</f>
        <v>31100</v>
      </c>
      <c r="C936" t="str">
        <f>IFERROR(__xludf.DUMMYFUNCTION("""COMPUTED_VALUE"""),"RAMIREZ LIBREROS, MATIAS")</f>
        <v>RAMIREZ LIBREROS, MATIAS</v>
      </c>
      <c r="D936" t="str">
        <f>IFERROR(__xludf.DUMMYFUNCTION("""COMPUTED_VALUE"""),"English 6")</f>
        <v>English 6</v>
      </c>
      <c r="E936" s="31">
        <f>IFERROR(__xludf.DUMMYFUNCTION("""COMPUTED_VALUE"""),2.0)</f>
        <v>2</v>
      </c>
      <c r="F936" s="8">
        <v>1.0</v>
      </c>
      <c r="G936" s="8">
        <v>1.0</v>
      </c>
      <c r="H936" s="8">
        <v>1.0</v>
      </c>
      <c r="I936" s="8">
        <v>1.0</v>
      </c>
      <c r="J936" s="8">
        <v>1.0</v>
      </c>
      <c r="K936" s="8">
        <v>1.0</v>
      </c>
      <c r="L936" s="8">
        <v>6.0</v>
      </c>
      <c r="M936" s="8"/>
      <c r="N936" s="8"/>
      <c r="O936" s="8" t="s">
        <v>735</v>
      </c>
      <c r="P936" s="8">
        <v>6.0</v>
      </c>
    </row>
    <row r="937">
      <c r="A937">
        <f>IFERROR(__xludf.DUMMYFUNCTION("""COMPUTED_VALUE"""),6.0)</f>
        <v>6</v>
      </c>
      <c r="B937">
        <f>IFERROR(__xludf.DUMMYFUNCTION("""COMPUTED_VALUE"""),31101.0)</f>
        <v>31101</v>
      </c>
      <c r="C937" t="str">
        <f>IFERROR(__xludf.DUMMYFUNCTION("""COMPUTED_VALUE"""),"RENDON ECHEVERRI, MIGUEL")</f>
        <v>RENDON ECHEVERRI, MIGUEL</v>
      </c>
      <c r="D937" t="str">
        <f>IFERROR(__xludf.DUMMYFUNCTION("""COMPUTED_VALUE"""),"English 6")</f>
        <v>English 6</v>
      </c>
      <c r="E937" s="31">
        <f>IFERROR(__xludf.DUMMYFUNCTION("""COMPUTED_VALUE"""),3.0)</f>
        <v>3</v>
      </c>
      <c r="F937" s="8">
        <v>1.0</v>
      </c>
      <c r="G937" s="8">
        <v>1.0</v>
      </c>
      <c r="H937" s="8">
        <v>1.0</v>
      </c>
      <c r="I937" s="8">
        <v>1.0</v>
      </c>
      <c r="J937" s="8">
        <v>1.0</v>
      </c>
      <c r="K937" s="8">
        <v>1.0</v>
      </c>
      <c r="L937" s="8">
        <v>6.0</v>
      </c>
      <c r="M937" s="8"/>
      <c r="N937" s="8"/>
      <c r="O937" s="8" t="s">
        <v>740</v>
      </c>
      <c r="P937" s="8">
        <v>6.0</v>
      </c>
    </row>
    <row r="938">
      <c r="A938">
        <f>IFERROR(__xludf.DUMMYFUNCTION("""COMPUTED_VALUE"""),6.0)</f>
        <v>6</v>
      </c>
      <c r="B938">
        <f>IFERROR(__xludf.DUMMYFUNCTION("""COMPUTED_VALUE"""),31173.0)</f>
        <v>31173</v>
      </c>
      <c r="C938" t="str">
        <f>IFERROR(__xludf.DUMMYFUNCTION("""COMPUTED_VALUE"""),"REPETTO LARROSA, FRANCHESCO")</f>
        <v>REPETTO LARROSA, FRANCHESCO</v>
      </c>
      <c r="D938" t="str">
        <f>IFERROR(__xludf.DUMMYFUNCTION("""COMPUTED_VALUE"""),"English 6A")</f>
        <v>English 6A</v>
      </c>
      <c r="E938" s="31">
        <f>IFERROR(__xludf.DUMMYFUNCTION("""COMPUTED_VALUE"""),1.0)</f>
        <v>1</v>
      </c>
      <c r="F938" s="8">
        <v>1.0</v>
      </c>
      <c r="G938" s="8">
        <v>1.0</v>
      </c>
      <c r="H938" s="8">
        <v>1.0</v>
      </c>
      <c r="I938" s="8">
        <v>1.0</v>
      </c>
      <c r="J938" s="8">
        <v>1.0</v>
      </c>
      <c r="K938" s="8">
        <v>1.0</v>
      </c>
      <c r="L938" s="8">
        <v>6.0</v>
      </c>
      <c r="M938" s="8"/>
      <c r="N938" s="8"/>
      <c r="O938" s="8" t="s">
        <v>739</v>
      </c>
      <c r="P938" s="8" t="e">
        <v>#N/A</v>
      </c>
    </row>
    <row r="939">
      <c r="A939">
        <f>IFERROR(__xludf.DUMMYFUNCTION("""COMPUTED_VALUE"""),6.0)</f>
        <v>6</v>
      </c>
      <c r="B939">
        <f>IFERROR(__xludf.DUMMYFUNCTION("""COMPUTED_VALUE"""),31103.0)</f>
        <v>31103</v>
      </c>
      <c r="C939" t="str">
        <f>IFERROR(__xludf.DUMMYFUNCTION("""COMPUTED_VALUE"""),"RESTREPO BETANCUR, ALICIA")</f>
        <v>RESTREPO BETANCUR, ALICIA</v>
      </c>
      <c r="D939" t="str">
        <f>IFERROR(__xludf.DUMMYFUNCTION("""COMPUTED_VALUE"""),"English 6")</f>
        <v>English 6</v>
      </c>
      <c r="E939" s="31">
        <f>IFERROR(__xludf.DUMMYFUNCTION("""COMPUTED_VALUE"""),3.0)</f>
        <v>3</v>
      </c>
      <c r="F939" s="8">
        <v>1.0</v>
      </c>
      <c r="G939" s="8">
        <v>1.0</v>
      </c>
      <c r="H939" s="8">
        <v>1.0</v>
      </c>
      <c r="I939" s="8">
        <v>1.0</v>
      </c>
      <c r="J939" s="8">
        <v>1.0</v>
      </c>
      <c r="K939" s="8">
        <v>1.0</v>
      </c>
      <c r="L939" s="8">
        <v>6.0</v>
      </c>
      <c r="M939" s="8"/>
      <c r="N939" s="8"/>
      <c r="O939" s="8" t="s">
        <v>740</v>
      </c>
      <c r="P939" s="8">
        <v>6.0</v>
      </c>
    </row>
    <row r="940">
      <c r="A940">
        <f>IFERROR(__xludf.DUMMYFUNCTION("""COMPUTED_VALUE"""),6.0)</f>
        <v>6</v>
      </c>
      <c r="B940">
        <f>IFERROR(__xludf.DUMMYFUNCTION("""COMPUTED_VALUE"""),31104.0)</f>
        <v>31104</v>
      </c>
      <c r="C940" t="str">
        <f>IFERROR(__xludf.DUMMYFUNCTION("""COMPUTED_VALUE"""),"RESTREPO ECHAVARRIA, EMILIA")</f>
        <v>RESTREPO ECHAVARRIA, EMILIA</v>
      </c>
      <c r="D940" t="str">
        <f>IFERROR(__xludf.DUMMYFUNCTION("""COMPUTED_VALUE"""),"English 6")</f>
        <v>English 6</v>
      </c>
      <c r="E940" s="31">
        <f>IFERROR(__xludf.DUMMYFUNCTION("""COMPUTED_VALUE"""),1.0)</f>
        <v>1</v>
      </c>
      <c r="F940" s="8">
        <v>1.0</v>
      </c>
      <c r="G940" s="8">
        <v>1.0</v>
      </c>
      <c r="H940" s="8">
        <v>1.0</v>
      </c>
      <c r="I940" s="8">
        <v>1.0</v>
      </c>
      <c r="J940" s="8">
        <v>1.0</v>
      </c>
      <c r="K940" s="8">
        <v>1.0</v>
      </c>
      <c r="L940" s="8">
        <v>6.0</v>
      </c>
      <c r="M940" s="8"/>
      <c r="N940" s="8"/>
      <c r="O940" s="8" t="s">
        <v>736</v>
      </c>
      <c r="P940" s="8">
        <v>6.0</v>
      </c>
    </row>
    <row r="941">
      <c r="A941">
        <f>IFERROR(__xludf.DUMMYFUNCTION("""COMPUTED_VALUE"""),6.0)</f>
        <v>6</v>
      </c>
      <c r="B941">
        <f>IFERROR(__xludf.DUMMYFUNCTION("""COMPUTED_VALUE"""),31105.0)</f>
        <v>31105</v>
      </c>
      <c r="C941" t="str">
        <f>IFERROR(__xludf.DUMMYFUNCTION("""COMPUTED_VALUE"""),"RESTREPO PELAEZ, EMILIA")</f>
        <v>RESTREPO PELAEZ, EMILIA</v>
      </c>
      <c r="D941" t="str">
        <f>IFERROR(__xludf.DUMMYFUNCTION("""COMPUTED_VALUE"""),"English 6")</f>
        <v>English 6</v>
      </c>
      <c r="E941" s="31">
        <f>IFERROR(__xludf.DUMMYFUNCTION("""COMPUTED_VALUE"""),2.0)</f>
        <v>2</v>
      </c>
      <c r="F941" s="8">
        <v>1.0</v>
      </c>
      <c r="G941" s="8">
        <v>1.0</v>
      </c>
      <c r="H941" s="8">
        <v>1.0</v>
      </c>
      <c r="I941" s="8">
        <v>1.0</v>
      </c>
      <c r="J941" s="8">
        <v>1.0</v>
      </c>
      <c r="K941" s="8">
        <v>1.0</v>
      </c>
      <c r="L941" s="8">
        <v>6.0</v>
      </c>
      <c r="M941" s="8"/>
      <c r="N941" s="8"/>
      <c r="O941" s="8" t="s">
        <v>735</v>
      </c>
      <c r="P941" s="8">
        <v>6.0</v>
      </c>
    </row>
    <row r="942">
      <c r="A942">
        <f>IFERROR(__xludf.DUMMYFUNCTION("""COMPUTED_VALUE"""),6.0)</f>
        <v>6</v>
      </c>
      <c r="B942">
        <f>IFERROR(__xludf.DUMMYFUNCTION("""COMPUTED_VALUE"""),31171.0)</f>
        <v>31171</v>
      </c>
      <c r="C942" t="str">
        <f>IFERROR(__xludf.DUMMYFUNCTION("""COMPUTED_VALUE"""),"RICHARDSON MEJIA, SOFIA")</f>
        <v>RICHARDSON MEJIA, SOFIA</v>
      </c>
      <c r="D942" t="str">
        <f>IFERROR(__xludf.DUMMYFUNCTION("""COMPUTED_VALUE"""),"English 6")</f>
        <v>English 6</v>
      </c>
      <c r="E942" s="31">
        <f>IFERROR(__xludf.DUMMYFUNCTION("""COMPUTED_VALUE"""),3.0)</f>
        <v>3</v>
      </c>
      <c r="F942" s="8">
        <v>1.0</v>
      </c>
      <c r="G942" s="8">
        <v>1.0</v>
      </c>
      <c r="H942" s="8">
        <v>1.0</v>
      </c>
      <c r="I942" s="8">
        <v>1.0</v>
      </c>
      <c r="J942" s="8">
        <v>1.0</v>
      </c>
      <c r="K942" s="8">
        <v>1.0</v>
      </c>
      <c r="L942" s="8">
        <v>6.0</v>
      </c>
      <c r="M942" s="8"/>
      <c r="N942" s="8"/>
      <c r="O942" s="8" t="s">
        <v>740</v>
      </c>
      <c r="P942" s="8">
        <v>6.0</v>
      </c>
    </row>
    <row r="943">
      <c r="A943">
        <f>IFERROR(__xludf.DUMMYFUNCTION("""COMPUTED_VALUE"""),6.0)</f>
        <v>6</v>
      </c>
      <c r="B943">
        <f>IFERROR(__xludf.DUMMYFUNCTION("""COMPUTED_VALUE"""),31106.0)</f>
        <v>31106</v>
      </c>
      <c r="C943" t="str">
        <f>IFERROR(__xludf.DUMMYFUNCTION("""COMPUTED_VALUE"""),"RINCON URIBE, NICOLAS")</f>
        <v>RINCON URIBE, NICOLAS</v>
      </c>
      <c r="D943" t="str">
        <f>IFERROR(__xludf.DUMMYFUNCTION("""COMPUTED_VALUE"""),"English 6")</f>
        <v>English 6</v>
      </c>
      <c r="E943" s="31">
        <f>IFERROR(__xludf.DUMMYFUNCTION("""COMPUTED_VALUE"""),1.0)</f>
        <v>1</v>
      </c>
      <c r="F943" s="8">
        <v>1.0</v>
      </c>
      <c r="G943" s="8">
        <v>1.0</v>
      </c>
      <c r="H943" s="8">
        <v>1.0</v>
      </c>
      <c r="I943" s="8">
        <v>1.0</v>
      </c>
      <c r="J943" s="8">
        <v>1.0</v>
      </c>
      <c r="K943" s="8">
        <v>1.0</v>
      </c>
      <c r="L943" s="8">
        <v>6.0</v>
      </c>
      <c r="M943" s="8"/>
      <c r="N943" s="8"/>
      <c r="O943" s="8" t="s">
        <v>736</v>
      </c>
      <c r="P943" s="8">
        <v>6.0</v>
      </c>
    </row>
    <row r="944">
      <c r="A944">
        <f>IFERROR(__xludf.DUMMYFUNCTION("""COMPUTED_VALUE"""),6.0)</f>
        <v>6</v>
      </c>
      <c r="B944">
        <f>IFERROR(__xludf.DUMMYFUNCTION("""COMPUTED_VALUE"""),31107.0)</f>
        <v>31107</v>
      </c>
      <c r="C944" t="str">
        <f>IFERROR(__xludf.DUMMYFUNCTION("""COMPUTED_VALUE"""),"ROBLEDO LLANO, JERONIMO")</f>
        <v>ROBLEDO LLANO, JERONIMO</v>
      </c>
      <c r="D944" t="str">
        <f>IFERROR(__xludf.DUMMYFUNCTION("""COMPUTED_VALUE"""),"English 6A")</f>
        <v>English 6A</v>
      </c>
      <c r="E944" s="31">
        <f>IFERROR(__xludf.DUMMYFUNCTION("""COMPUTED_VALUE"""),1.0)</f>
        <v>1</v>
      </c>
      <c r="F944" s="8">
        <v>1.0</v>
      </c>
      <c r="G944" s="8">
        <v>1.0</v>
      </c>
      <c r="H944" s="8">
        <v>1.0</v>
      </c>
      <c r="I944" s="8">
        <v>1.0</v>
      </c>
      <c r="J944" s="8">
        <v>1.0</v>
      </c>
      <c r="K944" s="8">
        <v>1.0</v>
      </c>
      <c r="L944" s="8">
        <v>6.0</v>
      </c>
      <c r="M944" s="8"/>
      <c r="N944" s="8"/>
      <c r="O944" s="8" t="s">
        <v>739</v>
      </c>
      <c r="P944" s="8" t="e">
        <v>#N/A</v>
      </c>
    </row>
    <row r="945">
      <c r="A945">
        <f>IFERROR(__xludf.DUMMYFUNCTION("""COMPUTED_VALUE"""),6.0)</f>
        <v>6</v>
      </c>
      <c r="B945">
        <f>IFERROR(__xludf.DUMMYFUNCTION("""COMPUTED_VALUE"""),30159.0)</f>
        <v>30159</v>
      </c>
      <c r="C945" t="str">
        <f>IFERROR(__xludf.DUMMYFUNCTION("""COMPUTED_VALUE"""),"ROJAS REYES, MATEO")</f>
        <v>ROJAS REYES, MATEO</v>
      </c>
      <c r="D945" t="str">
        <f>IFERROR(__xludf.DUMMYFUNCTION("""COMPUTED_VALUE"""),"English 6A")</f>
        <v>English 6A</v>
      </c>
      <c r="E945" s="31">
        <f>IFERROR(__xludf.DUMMYFUNCTION("""COMPUTED_VALUE"""),1.0)</f>
        <v>1</v>
      </c>
      <c r="F945" s="8">
        <v>1.0</v>
      </c>
      <c r="G945" s="8">
        <v>1.0</v>
      </c>
      <c r="H945" s="8">
        <v>1.0</v>
      </c>
      <c r="I945" s="8">
        <v>1.0</v>
      </c>
      <c r="J945" s="8">
        <v>1.0</v>
      </c>
      <c r="K945" s="8">
        <v>1.0</v>
      </c>
      <c r="L945" s="8">
        <v>6.0</v>
      </c>
      <c r="M945" s="8"/>
      <c r="N945" s="8"/>
      <c r="O945" s="8" t="s">
        <v>739</v>
      </c>
      <c r="P945" s="8" t="e">
        <v>#N/A</v>
      </c>
    </row>
    <row r="946">
      <c r="A946">
        <f>IFERROR(__xludf.DUMMYFUNCTION("""COMPUTED_VALUE"""),6.0)</f>
        <v>6</v>
      </c>
      <c r="B946">
        <f>IFERROR(__xludf.DUMMYFUNCTION("""COMPUTED_VALUE"""),31110.0)</f>
        <v>31110</v>
      </c>
      <c r="C946" t="str">
        <f>IFERROR(__xludf.DUMMYFUNCTION("""COMPUTED_VALUE"""),"RUIZ CORREA, MARIANA")</f>
        <v>RUIZ CORREA, MARIANA</v>
      </c>
      <c r="D946" t="str">
        <f>IFERROR(__xludf.DUMMYFUNCTION("""COMPUTED_VALUE"""),"English 6")</f>
        <v>English 6</v>
      </c>
      <c r="E946" s="31">
        <f>IFERROR(__xludf.DUMMYFUNCTION("""COMPUTED_VALUE"""),6.0)</f>
        <v>6</v>
      </c>
      <c r="F946" s="8">
        <v>1.0</v>
      </c>
      <c r="G946" s="8">
        <v>1.0</v>
      </c>
      <c r="H946" s="8">
        <v>1.0</v>
      </c>
      <c r="I946" s="8">
        <v>1.0</v>
      </c>
      <c r="J946" s="8">
        <v>1.0</v>
      </c>
      <c r="K946" s="8">
        <v>1.0</v>
      </c>
      <c r="L946" s="8">
        <v>6.0</v>
      </c>
      <c r="M946" s="8"/>
      <c r="N946" s="8"/>
      <c r="O946" s="8" t="s">
        <v>738</v>
      </c>
      <c r="P946" s="8">
        <v>6.0</v>
      </c>
    </row>
    <row r="947">
      <c r="A947">
        <f>IFERROR(__xludf.DUMMYFUNCTION("""COMPUTED_VALUE"""),6.0)</f>
        <v>6</v>
      </c>
      <c r="B947">
        <f>IFERROR(__xludf.DUMMYFUNCTION("""COMPUTED_VALUE"""),31111.0)</f>
        <v>31111</v>
      </c>
      <c r="C947" t="str">
        <f>IFERROR(__xludf.DUMMYFUNCTION("""COMPUTED_VALUE"""),"RUIZ DUQUE, ANTONIO")</f>
        <v>RUIZ DUQUE, ANTONIO</v>
      </c>
      <c r="D947" t="str">
        <f>IFERROR(__xludf.DUMMYFUNCTION("""COMPUTED_VALUE"""),"English 6")</f>
        <v>English 6</v>
      </c>
      <c r="E947" s="31">
        <f>IFERROR(__xludf.DUMMYFUNCTION("""COMPUTED_VALUE"""),2.0)</f>
        <v>2</v>
      </c>
      <c r="F947" s="8">
        <v>1.0</v>
      </c>
      <c r="G947" s="8">
        <v>1.0</v>
      </c>
      <c r="H947" s="8">
        <v>1.0</v>
      </c>
      <c r="I947" s="8">
        <v>1.0</v>
      </c>
      <c r="J947" s="8">
        <v>1.0</v>
      </c>
      <c r="K947" s="8">
        <v>1.0</v>
      </c>
      <c r="L947" s="8">
        <v>6.0</v>
      </c>
      <c r="M947" s="8"/>
      <c r="N947" s="8"/>
      <c r="O947" s="8" t="s">
        <v>735</v>
      </c>
      <c r="P947" s="8">
        <v>6.0</v>
      </c>
    </row>
    <row r="948">
      <c r="A948">
        <f>IFERROR(__xludf.DUMMYFUNCTION("""COMPUTED_VALUE"""),6.0)</f>
        <v>6</v>
      </c>
      <c r="B948">
        <f>IFERROR(__xludf.DUMMYFUNCTION("""COMPUTED_VALUE"""),31109.0)</f>
        <v>31109</v>
      </c>
      <c r="C948" t="str">
        <f>IFERROR(__xludf.DUMMYFUNCTION("""COMPUTED_VALUE"""),"RUZ GUZMAN, FEDERICO")</f>
        <v>RUZ GUZMAN, FEDERICO</v>
      </c>
      <c r="D948" t="str">
        <f>IFERROR(__xludf.DUMMYFUNCTION("""COMPUTED_VALUE"""),"English 6")</f>
        <v>English 6</v>
      </c>
      <c r="E948" s="31">
        <f>IFERROR(__xludf.DUMMYFUNCTION("""COMPUTED_VALUE"""),6.0)</f>
        <v>6</v>
      </c>
      <c r="F948" s="8">
        <v>1.0</v>
      </c>
      <c r="G948" s="8">
        <v>1.0</v>
      </c>
      <c r="H948" s="8">
        <v>1.0</v>
      </c>
      <c r="I948" s="8">
        <v>1.0</v>
      </c>
      <c r="J948" s="8">
        <v>1.0</v>
      </c>
      <c r="K948" s="8">
        <v>1.0</v>
      </c>
      <c r="L948" s="8">
        <v>6.0</v>
      </c>
      <c r="M948" s="8"/>
      <c r="N948" s="8"/>
      <c r="O948" s="8" t="s">
        <v>738</v>
      </c>
      <c r="P948" s="8">
        <v>6.0</v>
      </c>
    </row>
    <row r="949">
      <c r="A949">
        <f>IFERROR(__xludf.DUMMYFUNCTION("""COMPUTED_VALUE"""),6.0)</f>
        <v>6</v>
      </c>
      <c r="B949">
        <f>IFERROR(__xludf.DUMMYFUNCTION("""COMPUTED_VALUE"""),31112.0)</f>
        <v>31112</v>
      </c>
      <c r="C949" t="str">
        <f>IFERROR(__xludf.DUMMYFUNCTION("""COMPUTED_VALUE"""),"SALAZAR BOTERO, FEDERICO")</f>
        <v>SALAZAR BOTERO, FEDERICO</v>
      </c>
      <c r="D949" t="str">
        <f>IFERROR(__xludf.DUMMYFUNCTION("""COMPUTED_VALUE"""),"English 6")</f>
        <v>English 6</v>
      </c>
      <c r="E949" s="31">
        <f>IFERROR(__xludf.DUMMYFUNCTION("""COMPUTED_VALUE"""),1.0)</f>
        <v>1</v>
      </c>
      <c r="F949" s="8">
        <v>1.0</v>
      </c>
      <c r="G949" s="8">
        <v>1.0</v>
      </c>
      <c r="H949" s="8">
        <v>1.0</v>
      </c>
      <c r="I949" s="8">
        <v>1.0</v>
      </c>
      <c r="J949" s="8">
        <v>1.0</v>
      </c>
      <c r="K949" s="8">
        <v>1.0</v>
      </c>
      <c r="L949" s="8">
        <v>6.0</v>
      </c>
      <c r="M949" s="8"/>
      <c r="N949" s="8"/>
      <c r="O949" s="8" t="s">
        <v>736</v>
      </c>
      <c r="P949" s="8">
        <v>6.0</v>
      </c>
    </row>
    <row r="950">
      <c r="A950">
        <f>IFERROR(__xludf.DUMMYFUNCTION("""COMPUTED_VALUE"""),6.0)</f>
        <v>6</v>
      </c>
      <c r="B950">
        <f>IFERROR(__xludf.DUMMYFUNCTION("""COMPUTED_VALUE"""),31153.0)</f>
        <v>31153</v>
      </c>
      <c r="C950" t="str">
        <f>IFERROR(__xludf.DUMMYFUNCTION("""COMPUTED_VALUE"""),"SALCEDO PERICO, JACOBO")</f>
        <v>SALCEDO PERICO, JACOBO</v>
      </c>
      <c r="D950" t="str">
        <f>IFERROR(__xludf.DUMMYFUNCTION("""COMPUTED_VALUE"""),"English 6")</f>
        <v>English 6</v>
      </c>
      <c r="E950" s="31">
        <f>IFERROR(__xludf.DUMMYFUNCTION("""COMPUTED_VALUE"""),5.0)</f>
        <v>5</v>
      </c>
      <c r="F950" s="8">
        <v>1.0</v>
      </c>
      <c r="G950" s="8">
        <v>1.0</v>
      </c>
      <c r="H950" s="8">
        <v>1.0</v>
      </c>
      <c r="I950" s="8">
        <v>1.0</v>
      </c>
      <c r="J950" s="8">
        <v>1.0</v>
      </c>
      <c r="K950" s="8">
        <v>1.0</v>
      </c>
      <c r="L950" s="8">
        <v>6.0</v>
      </c>
      <c r="M950" s="8"/>
      <c r="N950" s="8"/>
      <c r="O950" s="8" t="s">
        <v>737</v>
      </c>
      <c r="P950" s="8">
        <v>6.0</v>
      </c>
    </row>
    <row r="951">
      <c r="A951">
        <f>IFERROR(__xludf.DUMMYFUNCTION("""COMPUTED_VALUE"""),6.0)</f>
        <v>6</v>
      </c>
      <c r="B951">
        <f>IFERROR(__xludf.DUMMYFUNCTION("""COMPUTED_VALUE"""),31113.0)</f>
        <v>31113</v>
      </c>
      <c r="C951" t="str">
        <f>IFERROR(__xludf.DUMMYFUNCTION("""COMPUTED_VALUE"""),"SANTAMARIA SALDARRIAGA, JUAN MARTIN")</f>
        <v>SANTAMARIA SALDARRIAGA, JUAN MARTIN</v>
      </c>
      <c r="D951" t="str">
        <f>IFERROR(__xludf.DUMMYFUNCTION("""COMPUTED_VALUE"""),"English 6")</f>
        <v>English 6</v>
      </c>
      <c r="E951" s="31">
        <f>IFERROR(__xludf.DUMMYFUNCTION("""COMPUTED_VALUE"""),1.0)</f>
        <v>1</v>
      </c>
      <c r="F951" s="8">
        <v>1.0</v>
      </c>
      <c r="G951" s="8">
        <v>1.0</v>
      </c>
      <c r="H951" s="8">
        <v>1.0</v>
      </c>
      <c r="I951" s="8">
        <v>1.0</v>
      </c>
      <c r="J951" s="8">
        <v>1.0</v>
      </c>
      <c r="K951" s="8">
        <v>1.0</v>
      </c>
      <c r="L951" s="8">
        <v>6.0</v>
      </c>
      <c r="M951" s="8"/>
      <c r="N951" s="8"/>
      <c r="O951" s="8" t="s">
        <v>736</v>
      </c>
      <c r="P951" s="8">
        <v>6.0</v>
      </c>
    </row>
    <row r="952">
      <c r="A952">
        <f>IFERROR(__xludf.DUMMYFUNCTION("""COMPUTED_VALUE"""),6.0)</f>
        <v>6</v>
      </c>
      <c r="B952">
        <f>IFERROR(__xludf.DUMMYFUNCTION("""COMPUTED_VALUE"""),31114.0)</f>
        <v>31114</v>
      </c>
      <c r="C952" t="str">
        <f>IFERROR(__xludf.DUMMYFUNCTION("""COMPUTED_VALUE"""),"SCHOBER OCAMPO, MIA")</f>
        <v>SCHOBER OCAMPO, MIA</v>
      </c>
      <c r="D952" t="str">
        <f>IFERROR(__xludf.DUMMYFUNCTION("""COMPUTED_VALUE"""),"English 6")</f>
        <v>English 6</v>
      </c>
      <c r="E952" s="31">
        <f>IFERROR(__xludf.DUMMYFUNCTION("""COMPUTED_VALUE"""),2.0)</f>
        <v>2</v>
      </c>
      <c r="F952" s="8">
        <v>1.0</v>
      </c>
      <c r="G952" s="8">
        <v>1.0</v>
      </c>
      <c r="H952" s="8">
        <v>1.0</v>
      </c>
      <c r="I952" s="8">
        <v>1.0</v>
      </c>
      <c r="J952" s="8">
        <v>1.0</v>
      </c>
      <c r="K952" s="8">
        <v>1.0</v>
      </c>
      <c r="L952" s="8">
        <v>6.0</v>
      </c>
      <c r="M952" s="8"/>
      <c r="N952" s="8"/>
      <c r="O952" s="8" t="s">
        <v>735</v>
      </c>
      <c r="P952" s="8">
        <v>6.0</v>
      </c>
    </row>
    <row r="953">
      <c r="A953">
        <f>IFERROR(__xludf.DUMMYFUNCTION("""COMPUTED_VALUE"""),6.0)</f>
        <v>6</v>
      </c>
      <c r="B953">
        <f>IFERROR(__xludf.DUMMYFUNCTION("""COMPUTED_VALUE"""),31115.0)</f>
        <v>31115</v>
      </c>
      <c r="C953" t="str">
        <f>IFERROR(__xludf.DUMMYFUNCTION("""COMPUTED_VALUE"""),"SERANI ANGEL, TOMAS")</f>
        <v>SERANI ANGEL, TOMAS</v>
      </c>
      <c r="D953" t="str">
        <f>IFERROR(__xludf.DUMMYFUNCTION("""COMPUTED_VALUE"""),"English 6")</f>
        <v>English 6</v>
      </c>
      <c r="E953" s="31">
        <f>IFERROR(__xludf.DUMMYFUNCTION("""COMPUTED_VALUE"""),1.0)</f>
        <v>1</v>
      </c>
      <c r="F953" s="8">
        <v>1.0</v>
      </c>
      <c r="G953" s="8">
        <v>1.0</v>
      </c>
      <c r="H953" s="8">
        <v>1.0</v>
      </c>
      <c r="I953" s="8">
        <v>1.0</v>
      </c>
      <c r="J953" s="8">
        <v>1.0</v>
      </c>
      <c r="K953" s="8">
        <v>1.0</v>
      </c>
      <c r="L953" s="8">
        <v>6.0</v>
      </c>
      <c r="M953" s="8"/>
      <c r="N953" s="8"/>
      <c r="O953" s="8" t="s">
        <v>736</v>
      </c>
      <c r="P953" s="8">
        <v>6.0</v>
      </c>
    </row>
    <row r="954">
      <c r="A954">
        <f>IFERROR(__xludf.DUMMYFUNCTION("""COMPUTED_VALUE"""),6.0)</f>
        <v>6</v>
      </c>
      <c r="B954">
        <f>IFERROR(__xludf.DUMMYFUNCTION("""COMPUTED_VALUE"""),31116.0)</f>
        <v>31116</v>
      </c>
      <c r="C954" t="str">
        <f>IFERROR(__xludf.DUMMYFUNCTION("""COMPUTED_VALUE"""),"SERRANO BARRENECHE, JUAN FELIPE")</f>
        <v>SERRANO BARRENECHE, JUAN FELIPE</v>
      </c>
      <c r="D954" t="str">
        <f>IFERROR(__xludf.DUMMYFUNCTION("""COMPUTED_VALUE"""),"English 6A")</f>
        <v>English 6A</v>
      </c>
      <c r="E954" s="31">
        <f>IFERROR(__xludf.DUMMYFUNCTION("""COMPUTED_VALUE"""),1.0)</f>
        <v>1</v>
      </c>
      <c r="F954" s="8">
        <v>1.0</v>
      </c>
      <c r="G954" s="8">
        <v>1.0</v>
      </c>
      <c r="H954" s="8">
        <v>1.0</v>
      </c>
      <c r="I954" s="8">
        <v>1.0</v>
      </c>
      <c r="J954" s="8">
        <v>1.0</v>
      </c>
      <c r="K954" s="8">
        <v>1.0</v>
      </c>
      <c r="L954" s="8">
        <v>6.0</v>
      </c>
      <c r="M954" s="8"/>
      <c r="N954" s="8"/>
      <c r="O954" s="8" t="s">
        <v>739</v>
      </c>
      <c r="P954" s="8" t="e">
        <v>#N/A</v>
      </c>
    </row>
    <row r="955">
      <c r="A955">
        <f>IFERROR(__xludf.DUMMYFUNCTION("""COMPUTED_VALUE"""),6.0)</f>
        <v>6</v>
      </c>
      <c r="B955">
        <f>IFERROR(__xludf.DUMMYFUNCTION("""COMPUTED_VALUE"""),31117.0)</f>
        <v>31117</v>
      </c>
      <c r="C955" t="str">
        <f>IFERROR(__xludf.DUMMYFUNCTION("""COMPUTED_VALUE"""),"SIERRA ECHAVARRIA, BENJAMIN")</f>
        <v>SIERRA ECHAVARRIA, BENJAMIN</v>
      </c>
      <c r="D955" t="str">
        <f>IFERROR(__xludf.DUMMYFUNCTION("""COMPUTED_VALUE"""),"English 6")</f>
        <v>English 6</v>
      </c>
      <c r="E955" s="31">
        <f>IFERROR(__xludf.DUMMYFUNCTION("""COMPUTED_VALUE"""),5.0)</f>
        <v>5</v>
      </c>
      <c r="F955" s="8">
        <v>1.0</v>
      </c>
      <c r="G955" s="8">
        <v>1.0</v>
      </c>
      <c r="H955" s="8">
        <v>1.0</v>
      </c>
      <c r="I955" s="8">
        <v>1.0</v>
      </c>
      <c r="J955" s="8">
        <v>1.0</v>
      </c>
      <c r="K955" s="8">
        <v>1.0</v>
      </c>
      <c r="L955" s="8">
        <v>6.0</v>
      </c>
      <c r="M955" s="8"/>
      <c r="N955" s="8"/>
      <c r="O955" s="8" t="s">
        <v>737</v>
      </c>
      <c r="P955" s="8">
        <v>6.0</v>
      </c>
    </row>
    <row r="956">
      <c r="A956">
        <f>IFERROR(__xludf.DUMMYFUNCTION("""COMPUTED_VALUE"""),6.0)</f>
        <v>6</v>
      </c>
      <c r="B956">
        <f>IFERROR(__xludf.DUMMYFUNCTION("""COMPUTED_VALUE"""),31118.0)</f>
        <v>31118</v>
      </c>
      <c r="C956" t="str">
        <f>IFERROR(__xludf.DUMMYFUNCTION("""COMPUTED_VALUE"""),"TOBON PEÑALOZA, EMILIA")</f>
        <v>TOBON PEÑALOZA, EMILIA</v>
      </c>
      <c r="D956" t="str">
        <f>IFERROR(__xludf.DUMMYFUNCTION("""COMPUTED_VALUE"""),"English 6")</f>
        <v>English 6</v>
      </c>
      <c r="E956" s="31">
        <f>IFERROR(__xludf.DUMMYFUNCTION("""COMPUTED_VALUE"""),6.0)</f>
        <v>6</v>
      </c>
      <c r="F956" s="8">
        <v>1.0</v>
      </c>
      <c r="G956" s="8">
        <v>1.0</v>
      </c>
      <c r="H956" s="8">
        <v>1.0</v>
      </c>
      <c r="I956" s="8">
        <v>1.0</v>
      </c>
      <c r="J956" s="8">
        <v>1.0</v>
      </c>
      <c r="K956" s="8">
        <v>1.0</v>
      </c>
      <c r="L956" s="8">
        <v>6.0</v>
      </c>
      <c r="M956" s="8"/>
      <c r="N956" s="8"/>
      <c r="O956" s="8" t="s">
        <v>738</v>
      </c>
      <c r="P956" s="8">
        <v>6.0</v>
      </c>
    </row>
    <row r="957">
      <c r="A957">
        <f>IFERROR(__xludf.DUMMYFUNCTION("""COMPUTED_VALUE"""),6.0)</f>
        <v>6</v>
      </c>
      <c r="B957">
        <f>IFERROR(__xludf.DUMMYFUNCTION("""COMPUTED_VALUE"""),31119.0)</f>
        <v>31119</v>
      </c>
      <c r="C957" t="str">
        <f>IFERROR(__xludf.DUMMYFUNCTION("""COMPUTED_VALUE"""),"TOBON PEÑALOZA, JUAN")</f>
        <v>TOBON PEÑALOZA, JUAN</v>
      </c>
      <c r="D957" t="str">
        <f>IFERROR(__xludf.DUMMYFUNCTION("""COMPUTED_VALUE"""),"English 6")</f>
        <v>English 6</v>
      </c>
      <c r="E957" s="31">
        <f>IFERROR(__xludf.DUMMYFUNCTION("""COMPUTED_VALUE"""),6.0)</f>
        <v>6</v>
      </c>
      <c r="F957" s="8">
        <v>1.0</v>
      </c>
      <c r="G957" s="8">
        <v>1.0</v>
      </c>
      <c r="H957" s="8">
        <v>1.0</v>
      </c>
      <c r="I957" s="8">
        <v>1.0</v>
      </c>
      <c r="J957" s="8">
        <v>1.0</v>
      </c>
      <c r="K957" s="8">
        <v>1.0</v>
      </c>
      <c r="L957" s="8">
        <v>6.0</v>
      </c>
      <c r="M957" s="8"/>
      <c r="N957" s="8"/>
      <c r="O957" s="8" t="s">
        <v>738</v>
      </c>
      <c r="P957" s="8">
        <v>6.0</v>
      </c>
    </row>
    <row r="958">
      <c r="A958">
        <f>IFERROR(__xludf.DUMMYFUNCTION("""COMPUTED_VALUE"""),6.0)</f>
        <v>6</v>
      </c>
      <c r="B958">
        <f>IFERROR(__xludf.DUMMYFUNCTION("""COMPUTED_VALUE"""),31120.0)</f>
        <v>31120</v>
      </c>
      <c r="C958" t="str">
        <f>IFERROR(__xludf.DUMMYFUNCTION("""COMPUTED_VALUE"""),"TORO PEREZ, GREGORIO")</f>
        <v>TORO PEREZ, GREGORIO</v>
      </c>
      <c r="D958" t="str">
        <f>IFERROR(__xludf.DUMMYFUNCTION("""COMPUTED_VALUE"""),"English 6")</f>
        <v>English 6</v>
      </c>
      <c r="E958" s="31">
        <f>IFERROR(__xludf.DUMMYFUNCTION("""COMPUTED_VALUE"""),6.0)</f>
        <v>6</v>
      </c>
      <c r="F958" s="8">
        <v>1.0</v>
      </c>
      <c r="G958" s="8">
        <v>1.0</v>
      </c>
      <c r="H958" s="8">
        <v>1.0</v>
      </c>
      <c r="I958" s="8">
        <v>1.0</v>
      </c>
      <c r="J958" s="8">
        <v>1.0</v>
      </c>
      <c r="K958" s="8">
        <v>1.0</v>
      </c>
      <c r="L958" s="8">
        <v>6.0</v>
      </c>
      <c r="M958" s="8"/>
      <c r="N958" s="8"/>
      <c r="O958" s="8" t="s">
        <v>738</v>
      </c>
      <c r="P958" s="8">
        <v>6.0</v>
      </c>
    </row>
    <row r="959">
      <c r="A959">
        <f>IFERROR(__xludf.DUMMYFUNCTION("""COMPUTED_VALUE"""),6.0)</f>
        <v>6</v>
      </c>
      <c r="B959">
        <f>IFERROR(__xludf.DUMMYFUNCTION("""COMPUTED_VALUE"""),31121.0)</f>
        <v>31121</v>
      </c>
      <c r="C959" t="str">
        <f>IFERROR(__xludf.DUMMYFUNCTION("""COMPUTED_VALUE"""),"TRUJILLO ARANGO, MARTIN")</f>
        <v>TRUJILLO ARANGO, MARTIN</v>
      </c>
      <c r="D959" t="str">
        <f>IFERROR(__xludf.DUMMYFUNCTION("""COMPUTED_VALUE"""),"English 6")</f>
        <v>English 6</v>
      </c>
      <c r="E959" s="31">
        <f>IFERROR(__xludf.DUMMYFUNCTION("""COMPUTED_VALUE"""),3.0)</f>
        <v>3</v>
      </c>
      <c r="F959" s="8">
        <v>1.0</v>
      </c>
      <c r="G959" s="8">
        <v>1.0</v>
      </c>
      <c r="H959" s="8">
        <v>1.0</v>
      </c>
      <c r="I959" s="8">
        <v>1.0</v>
      </c>
      <c r="J959" s="8">
        <v>1.0</v>
      </c>
      <c r="K959" s="8">
        <v>1.0</v>
      </c>
      <c r="L959" s="8">
        <v>6.0</v>
      </c>
      <c r="M959" s="8"/>
      <c r="N959" s="8"/>
      <c r="O959" s="8" t="s">
        <v>740</v>
      </c>
      <c r="P959" s="8">
        <v>6.0</v>
      </c>
    </row>
    <row r="960">
      <c r="A960">
        <f>IFERROR(__xludf.DUMMYFUNCTION("""COMPUTED_VALUE"""),6.0)</f>
        <v>6</v>
      </c>
      <c r="B960">
        <f>IFERROR(__xludf.DUMMYFUNCTION("""COMPUTED_VALUE"""),30108.0)</f>
        <v>30108</v>
      </c>
      <c r="C960" t="str">
        <f>IFERROR(__xludf.DUMMYFUNCTION("""COMPUTED_VALUE"""),"TRUJILLO BUITRAGO, MARTIN")</f>
        <v>TRUJILLO BUITRAGO, MARTIN</v>
      </c>
      <c r="D960" t="str">
        <f>IFERROR(__xludf.DUMMYFUNCTION("""COMPUTED_VALUE"""),"English 6")</f>
        <v>English 6</v>
      </c>
      <c r="E960" s="31">
        <f>IFERROR(__xludf.DUMMYFUNCTION("""COMPUTED_VALUE"""),5.0)</f>
        <v>5</v>
      </c>
      <c r="F960" s="8">
        <v>1.0</v>
      </c>
      <c r="G960" s="8">
        <v>1.0</v>
      </c>
      <c r="H960" s="8">
        <v>1.0</v>
      </c>
      <c r="I960" s="8">
        <v>1.0</v>
      </c>
      <c r="J960" s="8">
        <v>1.0</v>
      </c>
      <c r="K960" s="8">
        <v>1.0</v>
      </c>
      <c r="L960" s="8">
        <v>6.0</v>
      </c>
      <c r="M960" s="8"/>
      <c r="N960" s="8"/>
      <c r="O960" s="8" t="s">
        <v>737</v>
      </c>
      <c r="P960" s="8">
        <v>6.0</v>
      </c>
    </row>
    <row r="961">
      <c r="A961">
        <f>IFERROR(__xludf.DUMMYFUNCTION("""COMPUTED_VALUE"""),6.0)</f>
        <v>6</v>
      </c>
      <c r="B961">
        <f>IFERROR(__xludf.DUMMYFUNCTION("""COMPUTED_VALUE"""),31122.0)</f>
        <v>31122</v>
      </c>
      <c r="C961" t="str">
        <f>IFERROR(__xludf.DUMMYFUNCTION("""COMPUTED_VALUE"""),"URDANETA MEJIA, GABRIELA")</f>
        <v>URDANETA MEJIA, GABRIELA</v>
      </c>
      <c r="D961" t="str">
        <f>IFERROR(__xludf.DUMMYFUNCTION("""COMPUTED_VALUE"""),"English 6")</f>
        <v>English 6</v>
      </c>
      <c r="E961" s="31">
        <f>IFERROR(__xludf.DUMMYFUNCTION("""COMPUTED_VALUE"""),3.0)</f>
        <v>3</v>
      </c>
      <c r="F961" s="8">
        <v>1.0</v>
      </c>
      <c r="G961" s="8">
        <v>1.0</v>
      </c>
      <c r="H961" s="8">
        <v>1.0</v>
      </c>
      <c r="I961" s="8">
        <v>1.0</v>
      </c>
      <c r="J961" s="8">
        <v>1.0</v>
      </c>
      <c r="K961" s="8">
        <v>1.0</v>
      </c>
      <c r="L961" s="8">
        <v>6.0</v>
      </c>
      <c r="M961" s="8"/>
      <c r="N961" s="8"/>
      <c r="O961" s="8" t="s">
        <v>740</v>
      </c>
      <c r="P961" s="8">
        <v>6.0</v>
      </c>
    </row>
    <row r="962">
      <c r="A962">
        <f>IFERROR(__xludf.DUMMYFUNCTION("""COMPUTED_VALUE"""),6.0)</f>
        <v>6</v>
      </c>
      <c r="B962">
        <f>IFERROR(__xludf.DUMMYFUNCTION("""COMPUTED_VALUE"""),31123.0)</f>
        <v>31123</v>
      </c>
      <c r="C962" t="str">
        <f>IFERROR(__xludf.DUMMYFUNCTION("""COMPUTED_VALUE"""),"URIBE BOTERO, MANUEL")</f>
        <v>URIBE BOTERO, MANUEL</v>
      </c>
      <c r="D962" t="str">
        <f>IFERROR(__xludf.DUMMYFUNCTION("""COMPUTED_VALUE"""),"English 6")</f>
        <v>English 6</v>
      </c>
      <c r="E962" s="31">
        <f>IFERROR(__xludf.DUMMYFUNCTION("""COMPUTED_VALUE"""),5.0)</f>
        <v>5</v>
      </c>
      <c r="F962" s="8">
        <v>1.0</v>
      </c>
      <c r="G962" s="8">
        <v>1.0</v>
      </c>
      <c r="H962" s="8">
        <v>1.0</v>
      </c>
      <c r="I962" s="8">
        <v>1.0</v>
      </c>
      <c r="J962" s="8">
        <v>1.0</v>
      </c>
      <c r="K962" s="8">
        <v>1.0</v>
      </c>
      <c r="L962" s="8">
        <v>6.0</v>
      </c>
      <c r="M962" s="8"/>
      <c r="N962" s="8"/>
      <c r="O962" s="8" t="s">
        <v>737</v>
      </c>
      <c r="P962" s="8">
        <v>6.0</v>
      </c>
    </row>
    <row r="963">
      <c r="A963">
        <f>IFERROR(__xludf.DUMMYFUNCTION("""COMPUTED_VALUE"""),6.0)</f>
        <v>6</v>
      </c>
      <c r="B963">
        <f>IFERROR(__xludf.DUMMYFUNCTION("""COMPUTED_VALUE"""),31124.0)</f>
        <v>31124</v>
      </c>
      <c r="C963" t="str">
        <f>IFERROR(__xludf.DUMMYFUNCTION("""COMPUTED_VALUE"""),"URIBE MEJIA, MARTINA")</f>
        <v>URIBE MEJIA, MARTINA</v>
      </c>
      <c r="D963" t="str">
        <f>IFERROR(__xludf.DUMMYFUNCTION("""COMPUTED_VALUE"""),"English 6A")</f>
        <v>English 6A</v>
      </c>
      <c r="E963" s="31">
        <f>IFERROR(__xludf.DUMMYFUNCTION("""COMPUTED_VALUE"""),1.0)</f>
        <v>1</v>
      </c>
      <c r="F963" s="8">
        <v>1.0</v>
      </c>
      <c r="G963" s="8">
        <v>1.0</v>
      </c>
      <c r="H963" s="8">
        <v>1.0</v>
      </c>
      <c r="I963" s="8">
        <v>1.0</v>
      </c>
      <c r="J963" s="8">
        <v>1.0</v>
      </c>
      <c r="K963" s="8">
        <v>1.0</v>
      </c>
      <c r="L963" s="8">
        <v>6.0</v>
      </c>
      <c r="M963" s="8"/>
      <c r="N963" s="8"/>
      <c r="O963" s="8" t="s">
        <v>739</v>
      </c>
      <c r="P963" s="8" t="e">
        <v>#N/A</v>
      </c>
    </row>
    <row r="964">
      <c r="A964">
        <f>IFERROR(__xludf.DUMMYFUNCTION("""COMPUTED_VALUE"""),6.0)</f>
        <v>6</v>
      </c>
      <c r="B964">
        <f>IFERROR(__xludf.DUMMYFUNCTION("""COMPUTED_VALUE"""),31125.0)</f>
        <v>31125</v>
      </c>
      <c r="C964" t="str">
        <f>IFERROR(__xludf.DUMMYFUNCTION("""COMPUTED_VALUE"""),"URIBE RODRIGUEZ, ANDRES")</f>
        <v>URIBE RODRIGUEZ, ANDRES</v>
      </c>
      <c r="D964" t="str">
        <f>IFERROR(__xludf.DUMMYFUNCTION("""COMPUTED_VALUE"""),"English 6")</f>
        <v>English 6</v>
      </c>
      <c r="E964" s="31">
        <f>IFERROR(__xludf.DUMMYFUNCTION("""COMPUTED_VALUE"""),1.0)</f>
        <v>1</v>
      </c>
      <c r="F964" s="8">
        <v>1.0</v>
      </c>
      <c r="G964" s="8">
        <v>1.0</v>
      </c>
      <c r="H964" s="8">
        <v>1.0</v>
      </c>
      <c r="I964" s="8">
        <v>1.0</v>
      </c>
      <c r="J964" s="8">
        <v>1.0</v>
      </c>
      <c r="K964" s="8">
        <v>1.0</v>
      </c>
      <c r="L964" s="8">
        <v>6.0</v>
      </c>
      <c r="M964" s="8"/>
      <c r="N964" s="8"/>
      <c r="O964" s="8" t="s">
        <v>736</v>
      </c>
      <c r="P964" s="8">
        <v>6.0</v>
      </c>
    </row>
    <row r="965">
      <c r="A965">
        <f>IFERROR(__xludf.DUMMYFUNCTION("""COMPUTED_VALUE"""),6.0)</f>
        <v>6</v>
      </c>
      <c r="B965">
        <f>IFERROR(__xludf.DUMMYFUNCTION("""COMPUTED_VALUE"""),31126.0)</f>
        <v>31126</v>
      </c>
      <c r="C965" t="str">
        <f>IFERROR(__xludf.DUMMYFUNCTION("""COMPUTED_VALUE"""),"URIBE RUIZ, MANUEL")</f>
        <v>URIBE RUIZ, MANUEL</v>
      </c>
      <c r="D965" t="str">
        <f>IFERROR(__xludf.DUMMYFUNCTION("""COMPUTED_VALUE"""),"English 6")</f>
        <v>English 6</v>
      </c>
      <c r="E965" s="31">
        <f>IFERROR(__xludf.DUMMYFUNCTION("""COMPUTED_VALUE"""),5.0)</f>
        <v>5</v>
      </c>
      <c r="F965" s="8">
        <v>1.0</v>
      </c>
      <c r="G965" s="8">
        <v>1.0</v>
      </c>
      <c r="H965" s="8">
        <v>1.0</v>
      </c>
      <c r="I965" s="8">
        <v>1.0</v>
      </c>
      <c r="J965" s="8">
        <v>1.0</v>
      </c>
      <c r="K965" s="8">
        <v>1.0</v>
      </c>
      <c r="L965" s="8">
        <v>6.0</v>
      </c>
      <c r="M965" s="8"/>
      <c r="N965" s="8"/>
      <c r="O965" s="8" t="s">
        <v>737</v>
      </c>
      <c r="P965" s="8">
        <v>6.0</v>
      </c>
    </row>
    <row r="966">
      <c r="A966">
        <f>IFERROR(__xludf.DUMMYFUNCTION("""COMPUTED_VALUE"""),6.0)</f>
        <v>6</v>
      </c>
      <c r="B966">
        <f>IFERROR(__xludf.DUMMYFUNCTION("""COMPUTED_VALUE"""),31127.0)</f>
        <v>31127</v>
      </c>
      <c r="C966" t="str">
        <f>IFERROR(__xludf.DUMMYFUNCTION("""COMPUTED_VALUE"""),"URIBE VELASQUEZ, JERONIMO")</f>
        <v>URIBE VELASQUEZ, JERONIMO</v>
      </c>
      <c r="D966" t="str">
        <f>IFERROR(__xludf.DUMMYFUNCTION("""COMPUTED_VALUE"""),"English 6")</f>
        <v>English 6</v>
      </c>
      <c r="E966" s="31">
        <f>IFERROR(__xludf.DUMMYFUNCTION("""COMPUTED_VALUE"""),2.0)</f>
        <v>2</v>
      </c>
      <c r="F966" s="8">
        <v>1.0</v>
      </c>
      <c r="G966" s="8">
        <v>1.0</v>
      </c>
      <c r="H966" s="8">
        <v>1.0</v>
      </c>
      <c r="I966" s="8">
        <v>1.0</v>
      </c>
      <c r="J966" s="8">
        <v>1.0</v>
      </c>
      <c r="K966" s="8">
        <v>1.0</v>
      </c>
      <c r="L966" s="8">
        <v>6.0</v>
      </c>
      <c r="M966" s="8"/>
      <c r="N966" s="8"/>
      <c r="O966" s="8" t="s">
        <v>735</v>
      </c>
      <c r="P966" s="8">
        <v>6.0</v>
      </c>
    </row>
    <row r="967">
      <c r="A967">
        <f>IFERROR(__xludf.DUMMYFUNCTION("""COMPUTED_VALUE"""),6.0)</f>
        <v>6</v>
      </c>
      <c r="B967">
        <f>IFERROR(__xludf.DUMMYFUNCTION("""COMPUTED_VALUE"""),31128.0)</f>
        <v>31128</v>
      </c>
      <c r="C967" t="str">
        <f>IFERROR(__xludf.DUMMYFUNCTION("""COMPUTED_VALUE"""),"URRETA HENAO, PEDRO")</f>
        <v>URRETA HENAO, PEDRO</v>
      </c>
      <c r="D967" t="str">
        <f>IFERROR(__xludf.DUMMYFUNCTION("""COMPUTED_VALUE"""),"English 6A")</f>
        <v>English 6A</v>
      </c>
      <c r="E967" s="31">
        <f>IFERROR(__xludf.DUMMYFUNCTION("""COMPUTED_VALUE"""),1.0)</f>
        <v>1</v>
      </c>
      <c r="F967" s="8">
        <v>1.0</v>
      </c>
      <c r="G967" s="8">
        <v>1.0</v>
      </c>
      <c r="H967" s="8">
        <v>1.0</v>
      </c>
      <c r="I967" s="8">
        <v>1.0</v>
      </c>
      <c r="J967" s="8">
        <v>1.0</v>
      </c>
      <c r="K967" s="8">
        <v>1.0</v>
      </c>
      <c r="L967" s="8">
        <v>6.0</v>
      </c>
      <c r="M967" s="8"/>
      <c r="N967" s="8"/>
      <c r="O967" s="8" t="s">
        <v>739</v>
      </c>
      <c r="P967" s="8" t="e">
        <v>#N/A</v>
      </c>
    </row>
    <row r="968">
      <c r="A968">
        <f>IFERROR(__xludf.DUMMYFUNCTION("""COMPUTED_VALUE"""),6.0)</f>
        <v>6</v>
      </c>
      <c r="B968">
        <f>IFERROR(__xludf.DUMMYFUNCTION("""COMPUTED_VALUE"""),31165.0)</f>
        <v>31165</v>
      </c>
      <c r="C968" t="str">
        <f>IFERROR(__xludf.DUMMYFUNCTION("""COMPUTED_VALUE"""),"VALDEZ URIBE, SAMANTHA")</f>
        <v>VALDEZ URIBE, SAMANTHA</v>
      </c>
      <c r="D968" t="str">
        <f>IFERROR(__xludf.DUMMYFUNCTION("""COMPUTED_VALUE"""),"English 6")</f>
        <v>English 6</v>
      </c>
      <c r="E968" s="31">
        <f>IFERROR(__xludf.DUMMYFUNCTION("""COMPUTED_VALUE"""),1.0)</f>
        <v>1</v>
      </c>
      <c r="F968" s="8">
        <v>1.0</v>
      </c>
      <c r="G968" s="8">
        <v>1.0</v>
      </c>
      <c r="H968" s="8">
        <v>1.0</v>
      </c>
      <c r="I968" s="8">
        <v>1.0</v>
      </c>
      <c r="J968" s="8">
        <v>1.0</v>
      </c>
      <c r="K968" s="8">
        <v>1.0</v>
      </c>
      <c r="L968" s="8">
        <v>6.0</v>
      </c>
      <c r="M968" s="8"/>
      <c r="N968" s="8"/>
      <c r="O968" s="8" t="s">
        <v>736</v>
      </c>
      <c r="P968" s="8">
        <v>6.0</v>
      </c>
    </row>
    <row r="969">
      <c r="A969">
        <f>IFERROR(__xludf.DUMMYFUNCTION("""COMPUTED_VALUE"""),6.0)</f>
        <v>6</v>
      </c>
      <c r="B969">
        <f>IFERROR(__xludf.DUMMYFUNCTION("""COMPUTED_VALUE"""),31129.0)</f>
        <v>31129</v>
      </c>
      <c r="C969" t="str">
        <f>IFERROR(__xludf.DUMMYFUNCTION("""COMPUTED_VALUE"""),"VALENCIA VILLEGAS, ELENA")</f>
        <v>VALENCIA VILLEGAS, ELENA</v>
      </c>
      <c r="D969" t="str">
        <f>IFERROR(__xludf.DUMMYFUNCTION("""COMPUTED_VALUE"""),"English 6")</f>
        <v>English 6</v>
      </c>
      <c r="E969" s="31">
        <f>IFERROR(__xludf.DUMMYFUNCTION("""COMPUTED_VALUE"""),2.0)</f>
        <v>2</v>
      </c>
      <c r="F969" s="8">
        <v>1.0</v>
      </c>
      <c r="G969" s="8">
        <v>1.0</v>
      </c>
      <c r="H969" s="8">
        <v>1.0</v>
      </c>
      <c r="I969" s="8">
        <v>1.0</v>
      </c>
      <c r="J969" s="8">
        <v>1.0</v>
      </c>
      <c r="K969" s="8">
        <v>1.0</v>
      </c>
      <c r="L969" s="8">
        <v>6.0</v>
      </c>
      <c r="M969" s="8"/>
      <c r="N969" s="8"/>
      <c r="O969" s="8" t="s">
        <v>735</v>
      </c>
      <c r="P969" s="8">
        <v>6.0</v>
      </c>
    </row>
    <row r="970">
      <c r="A970">
        <f>IFERROR(__xludf.DUMMYFUNCTION("""COMPUTED_VALUE"""),6.0)</f>
        <v>6</v>
      </c>
      <c r="B970">
        <f>IFERROR(__xludf.DUMMYFUNCTION("""COMPUTED_VALUE"""),31130.0)</f>
        <v>31130</v>
      </c>
      <c r="C970" t="str">
        <f>IFERROR(__xludf.DUMMYFUNCTION("""COMPUTED_VALUE"""),"VARGAS ACEVEDO, DANTE")</f>
        <v>VARGAS ACEVEDO, DANTE</v>
      </c>
      <c r="D970" t="str">
        <f>IFERROR(__xludf.DUMMYFUNCTION("""COMPUTED_VALUE"""),"English 6A")</f>
        <v>English 6A</v>
      </c>
      <c r="E970" s="31">
        <f>IFERROR(__xludf.DUMMYFUNCTION("""COMPUTED_VALUE"""),1.0)</f>
        <v>1</v>
      </c>
      <c r="F970" s="8">
        <v>1.0</v>
      </c>
      <c r="G970" s="8">
        <v>1.0</v>
      </c>
      <c r="H970" s="8">
        <v>1.0</v>
      </c>
      <c r="I970" s="8">
        <v>1.0</v>
      </c>
      <c r="J970" s="8">
        <v>1.0</v>
      </c>
      <c r="K970" s="8">
        <v>1.0</v>
      </c>
      <c r="L970" s="8">
        <v>6.0</v>
      </c>
      <c r="M970" s="8"/>
      <c r="N970" s="8"/>
      <c r="O970" s="8" t="s">
        <v>739</v>
      </c>
      <c r="P970" s="8" t="e">
        <v>#N/A</v>
      </c>
    </row>
    <row r="971">
      <c r="A971">
        <f>IFERROR(__xludf.DUMMYFUNCTION("""COMPUTED_VALUE"""),6.0)</f>
        <v>6</v>
      </c>
      <c r="B971">
        <f>IFERROR(__xludf.DUMMYFUNCTION("""COMPUTED_VALUE"""),31132.0)</f>
        <v>31132</v>
      </c>
      <c r="C971" t="str">
        <f>IFERROR(__xludf.DUMMYFUNCTION("""COMPUTED_VALUE"""),"VASQUEZ HENAO, MATIAS")</f>
        <v>VASQUEZ HENAO, MATIAS</v>
      </c>
      <c r="D971" t="str">
        <f>IFERROR(__xludf.DUMMYFUNCTION("""COMPUTED_VALUE"""),"English 6")</f>
        <v>English 6</v>
      </c>
      <c r="E971" s="31">
        <f>IFERROR(__xludf.DUMMYFUNCTION("""COMPUTED_VALUE"""),3.0)</f>
        <v>3</v>
      </c>
      <c r="F971" s="8">
        <v>1.0</v>
      </c>
      <c r="G971" s="8">
        <v>1.0</v>
      </c>
      <c r="H971" s="8">
        <v>1.0</v>
      </c>
      <c r="I971" s="8">
        <v>1.0</v>
      </c>
      <c r="J971" s="8">
        <v>1.0</v>
      </c>
      <c r="K971" s="8">
        <v>1.0</v>
      </c>
      <c r="L971" s="8">
        <v>6.0</v>
      </c>
      <c r="M971" s="8"/>
      <c r="N971" s="8"/>
      <c r="O971" s="8" t="s">
        <v>740</v>
      </c>
      <c r="P971" s="8">
        <v>6.0</v>
      </c>
    </row>
    <row r="972">
      <c r="A972">
        <f>IFERROR(__xludf.DUMMYFUNCTION("""COMPUTED_VALUE"""),6.0)</f>
        <v>6</v>
      </c>
      <c r="B972">
        <f>IFERROR(__xludf.DUMMYFUNCTION("""COMPUTED_VALUE"""),30118.0)</f>
        <v>30118</v>
      </c>
      <c r="C972" t="str">
        <f>IFERROR(__xludf.DUMMYFUNCTION("""COMPUTED_VALUE"""),"VASQUEZ MEDINA, MATIAS")</f>
        <v>VASQUEZ MEDINA, MATIAS</v>
      </c>
      <c r="D972" t="str">
        <f>IFERROR(__xludf.DUMMYFUNCTION("""COMPUTED_VALUE"""),"English 6")</f>
        <v>English 6</v>
      </c>
      <c r="E972" s="31">
        <f>IFERROR(__xludf.DUMMYFUNCTION("""COMPUTED_VALUE"""),5.0)</f>
        <v>5</v>
      </c>
      <c r="F972" s="8">
        <v>1.0</v>
      </c>
      <c r="G972" s="8">
        <v>1.0</v>
      </c>
      <c r="H972" s="8">
        <v>1.0</v>
      </c>
      <c r="I972" s="8">
        <v>1.0</v>
      </c>
      <c r="J972" s="8">
        <v>1.0</v>
      </c>
      <c r="K972" s="8">
        <v>1.0</v>
      </c>
      <c r="L972" s="8">
        <v>6.0</v>
      </c>
      <c r="M972" s="8"/>
      <c r="N972" s="8"/>
      <c r="O972" s="8" t="s">
        <v>737</v>
      </c>
      <c r="P972" s="8">
        <v>6.0</v>
      </c>
    </row>
    <row r="973">
      <c r="A973">
        <f>IFERROR(__xludf.DUMMYFUNCTION("""COMPUTED_VALUE"""),6.0)</f>
        <v>6</v>
      </c>
      <c r="B973">
        <f>IFERROR(__xludf.DUMMYFUNCTION("""COMPUTED_VALUE"""),31134.0)</f>
        <v>31134</v>
      </c>
      <c r="C973" t="str">
        <f>IFERROR(__xludf.DUMMYFUNCTION("""COMPUTED_VALUE"""),"VELEZ ARANGO, LAURA")</f>
        <v>VELEZ ARANGO, LAURA</v>
      </c>
      <c r="D973" t="str">
        <f>IFERROR(__xludf.DUMMYFUNCTION("""COMPUTED_VALUE"""),"English 6")</f>
        <v>English 6</v>
      </c>
      <c r="E973" s="31">
        <f>IFERROR(__xludf.DUMMYFUNCTION("""COMPUTED_VALUE"""),6.0)</f>
        <v>6</v>
      </c>
      <c r="F973" s="8">
        <v>1.0</v>
      </c>
      <c r="G973" s="8">
        <v>1.0</v>
      </c>
      <c r="H973" s="8">
        <v>1.0</v>
      </c>
      <c r="I973" s="8">
        <v>1.0</v>
      </c>
      <c r="J973" s="8">
        <v>1.0</v>
      </c>
      <c r="K973" s="8">
        <v>1.0</v>
      </c>
      <c r="L973" s="8">
        <v>6.0</v>
      </c>
      <c r="M973" s="8"/>
      <c r="N973" s="8"/>
      <c r="O973" s="8" t="s">
        <v>738</v>
      </c>
      <c r="P973" s="8">
        <v>6.0</v>
      </c>
    </row>
    <row r="974">
      <c r="A974">
        <f>IFERROR(__xludf.DUMMYFUNCTION("""COMPUTED_VALUE"""),6.0)</f>
        <v>6</v>
      </c>
      <c r="B974">
        <f>IFERROR(__xludf.DUMMYFUNCTION("""COMPUTED_VALUE"""),31135.0)</f>
        <v>31135</v>
      </c>
      <c r="C974" t="str">
        <f>IFERROR(__xludf.DUMMYFUNCTION("""COMPUTED_VALUE"""),"VELEZ ARANGO, PEDRO")</f>
        <v>VELEZ ARANGO, PEDRO</v>
      </c>
      <c r="D974" t="str">
        <f>IFERROR(__xludf.DUMMYFUNCTION("""COMPUTED_VALUE"""),"English 6")</f>
        <v>English 6</v>
      </c>
      <c r="E974" s="31">
        <f>IFERROR(__xludf.DUMMYFUNCTION("""COMPUTED_VALUE"""),3.0)</f>
        <v>3</v>
      </c>
      <c r="F974" s="8">
        <v>1.0</v>
      </c>
      <c r="G974" s="8">
        <v>1.0</v>
      </c>
      <c r="H974" s="8">
        <v>1.0</v>
      </c>
      <c r="I974" s="8">
        <v>1.0</v>
      </c>
      <c r="J974" s="8">
        <v>1.0</v>
      </c>
      <c r="K974" s="8">
        <v>1.0</v>
      </c>
      <c r="L974" s="8">
        <v>6.0</v>
      </c>
      <c r="M974" s="8"/>
      <c r="N974" s="8"/>
      <c r="O974" s="8" t="s">
        <v>740</v>
      </c>
      <c r="P974" s="8">
        <v>6.0</v>
      </c>
    </row>
    <row r="975">
      <c r="A975">
        <f>IFERROR(__xludf.DUMMYFUNCTION("""COMPUTED_VALUE"""),6.0)</f>
        <v>6</v>
      </c>
      <c r="B975">
        <f>IFERROR(__xludf.DUMMYFUNCTION("""COMPUTED_VALUE"""),31174.0)</f>
        <v>31174</v>
      </c>
      <c r="C975" t="str">
        <f>IFERROR(__xludf.DUMMYFUNCTION("""COMPUTED_VALUE"""),"WILSON, HERBERT GEORGE")</f>
        <v>WILSON, HERBERT GEORGE</v>
      </c>
      <c r="D975" t="str">
        <f>IFERROR(__xludf.DUMMYFUNCTION("""COMPUTED_VALUE"""),"English 6")</f>
        <v>English 6</v>
      </c>
      <c r="E975" s="31">
        <f>IFERROR(__xludf.DUMMYFUNCTION("""COMPUTED_VALUE"""),5.0)</f>
        <v>5</v>
      </c>
      <c r="F975" s="8">
        <v>1.0</v>
      </c>
      <c r="G975" s="8">
        <v>1.0</v>
      </c>
      <c r="H975" s="8">
        <v>1.0</v>
      </c>
      <c r="I975" s="8">
        <v>1.0</v>
      </c>
      <c r="J975" s="8">
        <v>1.0</v>
      </c>
      <c r="K975" s="8">
        <v>1.0</v>
      </c>
      <c r="L975" s="8">
        <v>6.0</v>
      </c>
      <c r="M975" s="8"/>
      <c r="N975" s="8"/>
      <c r="O975" s="8" t="s">
        <v>737</v>
      </c>
      <c r="P975" s="8">
        <v>6.0</v>
      </c>
    </row>
    <row r="976">
      <c r="A976">
        <f>IFERROR(__xludf.DUMMYFUNCTION("""COMPUTED_VALUE"""),6.0)</f>
        <v>6</v>
      </c>
      <c r="B976">
        <f>IFERROR(__xludf.DUMMYFUNCTION("""COMPUTED_VALUE"""),31136.0)</f>
        <v>31136</v>
      </c>
      <c r="C976" t="str">
        <f>IFERROR(__xludf.DUMMYFUNCTION("""COMPUTED_VALUE"""),"YANOVICH URIBE, MARCOS")</f>
        <v>YANOVICH URIBE, MARCOS</v>
      </c>
      <c r="D976" t="str">
        <f>IFERROR(__xludf.DUMMYFUNCTION("""COMPUTED_VALUE"""),"English 6")</f>
        <v>English 6</v>
      </c>
      <c r="E976" s="31">
        <f>IFERROR(__xludf.DUMMYFUNCTION("""COMPUTED_VALUE"""),2.0)</f>
        <v>2</v>
      </c>
      <c r="F976" s="8">
        <v>1.0</v>
      </c>
      <c r="G976" s="8">
        <v>1.0</v>
      </c>
      <c r="H976" s="8">
        <v>1.0</v>
      </c>
      <c r="I976" s="8">
        <v>1.0</v>
      </c>
      <c r="J976" s="8">
        <v>1.0</v>
      </c>
      <c r="K976" s="8">
        <v>1.0</v>
      </c>
      <c r="L976" s="8">
        <v>6.0</v>
      </c>
      <c r="M976" s="8"/>
      <c r="N976" s="8"/>
      <c r="O976" s="8" t="s">
        <v>735</v>
      </c>
      <c r="P976" s="8">
        <v>6.0</v>
      </c>
    </row>
    <row r="977">
      <c r="A977">
        <f>IFERROR(__xludf.DUMMYFUNCTION("""COMPUTED_VALUE"""),6.0)</f>
        <v>6</v>
      </c>
      <c r="B977">
        <f>IFERROR(__xludf.DUMMYFUNCTION("""COMPUTED_VALUE"""),30157.0)</f>
        <v>30157</v>
      </c>
      <c r="C977" t="str">
        <f>IFERROR(__xludf.DUMMYFUNCTION("""COMPUTED_VALUE"""),"ZARRUK BELTRAN, ALEJANDRO")</f>
        <v>ZARRUK BELTRAN, ALEJANDRO</v>
      </c>
      <c r="D977" t="str">
        <f>IFERROR(__xludf.DUMMYFUNCTION("""COMPUTED_VALUE"""),"English 6")</f>
        <v>English 6</v>
      </c>
      <c r="E977" s="31">
        <f>IFERROR(__xludf.DUMMYFUNCTION("""COMPUTED_VALUE"""),1.0)</f>
        <v>1</v>
      </c>
      <c r="F977" s="8">
        <v>1.0</v>
      </c>
      <c r="G977" s="8">
        <v>1.0</v>
      </c>
      <c r="H977" s="8">
        <v>1.0</v>
      </c>
      <c r="I977" s="8">
        <v>1.0</v>
      </c>
      <c r="J977" s="8">
        <v>1.0</v>
      </c>
      <c r="K977" s="8">
        <v>1.0</v>
      </c>
      <c r="L977" s="8">
        <v>6.0</v>
      </c>
      <c r="M977" s="8"/>
      <c r="N977" s="8"/>
      <c r="O977" s="8" t="s">
        <v>736</v>
      </c>
      <c r="P977" s="8">
        <v>6.0</v>
      </c>
    </row>
    <row r="978">
      <c r="A978">
        <f>IFERROR(__xludf.DUMMYFUNCTION("""COMPUTED_VALUE"""),6.0)</f>
        <v>6</v>
      </c>
      <c r="B978">
        <f>IFERROR(__xludf.DUMMYFUNCTION("""COMPUTED_VALUE"""),31138.0)</f>
        <v>31138</v>
      </c>
      <c r="C978" t="str">
        <f>IFERROR(__xludf.DUMMYFUNCTION("""COMPUTED_VALUE"""),"ZULOAGA MUÑOZ, PEDRO")</f>
        <v>ZULOAGA MUÑOZ, PEDRO</v>
      </c>
      <c r="D978" t="str">
        <f>IFERROR(__xludf.DUMMYFUNCTION("""COMPUTED_VALUE"""),"English 6")</f>
        <v>English 6</v>
      </c>
      <c r="E978" s="31">
        <f>IFERROR(__xludf.DUMMYFUNCTION("""COMPUTED_VALUE"""),1.0)</f>
        <v>1</v>
      </c>
      <c r="F978" s="8">
        <v>1.0</v>
      </c>
      <c r="G978" s="8">
        <v>1.0</v>
      </c>
      <c r="H978" s="8">
        <v>1.0</v>
      </c>
      <c r="I978" s="8">
        <v>1.0</v>
      </c>
      <c r="J978" s="8">
        <v>1.0</v>
      </c>
      <c r="K978" s="8">
        <v>1.0</v>
      </c>
      <c r="L978" s="8">
        <v>6.0</v>
      </c>
      <c r="M978" s="8"/>
      <c r="N978" s="8"/>
      <c r="O978" s="8" t="s">
        <v>736</v>
      </c>
      <c r="P978" s="8">
        <v>6.0</v>
      </c>
    </row>
    <row r="979">
      <c r="A979">
        <f>IFERROR(__xludf.DUMMYFUNCTION("""COMPUTED_VALUE"""),6.0)</f>
        <v>6</v>
      </c>
      <c r="B979">
        <f>IFERROR(__xludf.DUMMYFUNCTION("""COMPUTED_VALUE"""),31137.0)</f>
        <v>31137</v>
      </c>
      <c r="C979" t="str">
        <f>IFERROR(__xludf.DUMMYFUNCTION("""COMPUTED_VALUE"""),"ZULUAGA HOYOS, ALEJANDRO")</f>
        <v>ZULUAGA HOYOS, ALEJANDRO</v>
      </c>
      <c r="D979" t="str">
        <f>IFERROR(__xludf.DUMMYFUNCTION("""COMPUTED_VALUE"""),"English 6")</f>
        <v>English 6</v>
      </c>
      <c r="E979" s="31">
        <f>IFERROR(__xludf.DUMMYFUNCTION("""COMPUTED_VALUE"""),5.0)</f>
        <v>5</v>
      </c>
      <c r="F979" s="8">
        <v>1.0</v>
      </c>
      <c r="G979" s="8">
        <v>1.0</v>
      </c>
      <c r="H979" s="8">
        <v>1.0</v>
      </c>
      <c r="I979" s="8">
        <v>1.0</v>
      </c>
      <c r="J979" s="8">
        <v>1.0</v>
      </c>
      <c r="K979" s="8">
        <v>1.0</v>
      </c>
      <c r="L979" s="8">
        <v>6.0</v>
      </c>
      <c r="M979" s="8"/>
      <c r="N979" s="8"/>
      <c r="O979" s="8" t="s">
        <v>737</v>
      </c>
      <c r="P979" s="8">
        <v>6.0</v>
      </c>
    </row>
    <row r="980">
      <c r="A980">
        <f>IFERROR(__xludf.DUMMYFUNCTION("""COMPUTED_VALUE"""),7.0)</f>
        <v>7</v>
      </c>
      <c r="B980">
        <f>IFERROR(__xludf.DUMMYFUNCTION("""COMPUTED_VALUE"""),30001.0)</f>
        <v>30001</v>
      </c>
      <c r="C980" t="str">
        <f>IFERROR(__xludf.DUMMYFUNCTION("""COMPUTED_VALUE"""),"ALVAREZ GOMEZ, FEDERICO")</f>
        <v>ALVAREZ GOMEZ, FEDERICO</v>
      </c>
      <c r="D980" t="str">
        <f>IFERROR(__xludf.DUMMYFUNCTION("""COMPUTED_VALUE"""),"English 7")</f>
        <v>English 7</v>
      </c>
      <c r="E980" s="31">
        <f>IFERROR(__xludf.DUMMYFUNCTION("""COMPUTED_VALUE"""),2.0)</f>
        <v>2</v>
      </c>
      <c r="F980" s="8">
        <v>1.0</v>
      </c>
      <c r="G980" s="8">
        <v>1.0</v>
      </c>
      <c r="H980" s="8">
        <v>1.0</v>
      </c>
      <c r="I980" s="8">
        <v>1.0</v>
      </c>
      <c r="J980" s="8">
        <v>1.0</v>
      </c>
      <c r="K980" s="8">
        <v>1.0</v>
      </c>
      <c r="L980" s="8">
        <v>6.0</v>
      </c>
      <c r="M980" s="8"/>
      <c r="N980" s="8"/>
      <c r="O980" s="8" t="s">
        <v>741</v>
      </c>
      <c r="P980" s="8">
        <v>6.0</v>
      </c>
    </row>
    <row r="981">
      <c r="A981">
        <f>IFERROR(__xludf.DUMMYFUNCTION("""COMPUTED_VALUE"""),7.0)</f>
        <v>7</v>
      </c>
      <c r="B981">
        <f>IFERROR(__xludf.DUMMYFUNCTION("""COMPUTED_VALUE"""),30002.0)</f>
        <v>30002</v>
      </c>
      <c r="C981" t="str">
        <f>IFERROR(__xludf.DUMMYFUNCTION("""COMPUTED_VALUE"""),"ALVAREZ VERA, ALEJANDRA")</f>
        <v>ALVAREZ VERA, ALEJANDRA</v>
      </c>
      <c r="D981" t="str">
        <f>IFERROR(__xludf.DUMMYFUNCTION("""COMPUTED_VALUE"""),"English 7")</f>
        <v>English 7</v>
      </c>
      <c r="E981" s="31">
        <f>IFERROR(__xludf.DUMMYFUNCTION("""COMPUTED_VALUE"""),5.0)</f>
        <v>5</v>
      </c>
      <c r="F981" s="8">
        <v>1.0</v>
      </c>
      <c r="G981" s="8">
        <v>1.0</v>
      </c>
      <c r="H981" s="8">
        <v>1.0</v>
      </c>
      <c r="I981" s="8">
        <v>1.0</v>
      </c>
      <c r="J981" s="8">
        <v>1.0</v>
      </c>
      <c r="K981" s="8">
        <v>1.0</v>
      </c>
      <c r="L981" s="8">
        <v>6.0</v>
      </c>
      <c r="M981" s="8"/>
      <c r="N981" s="8"/>
      <c r="O981" s="8" t="s">
        <v>742</v>
      </c>
      <c r="P981" s="8">
        <v>6.0</v>
      </c>
    </row>
    <row r="982">
      <c r="A982">
        <f>IFERROR(__xludf.DUMMYFUNCTION("""COMPUTED_VALUE"""),7.0)</f>
        <v>7</v>
      </c>
      <c r="B982">
        <f>IFERROR(__xludf.DUMMYFUNCTION("""COMPUTED_VALUE"""),30003.0)</f>
        <v>30003</v>
      </c>
      <c r="C982" t="str">
        <f>IFERROR(__xludf.DUMMYFUNCTION("""COMPUTED_VALUE"""),"ALZATE ZAPATA, SIMON")</f>
        <v>ALZATE ZAPATA, SIMON</v>
      </c>
      <c r="D982" t="str">
        <f>IFERROR(__xludf.DUMMYFUNCTION("""COMPUTED_VALUE"""),"English 7A")</f>
        <v>English 7A</v>
      </c>
      <c r="E982" s="31">
        <f>IFERROR(__xludf.DUMMYFUNCTION("""COMPUTED_VALUE"""),5.0)</f>
        <v>5</v>
      </c>
      <c r="F982" s="8">
        <v>1.0</v>
      </c>
      <c r="G982" s="8">
        <v>1.0</v>
      </c>
      <c r="H982" s="8">
        <v>1.0</v>
      </c>
      <c r="I982" s="8">
        <v>1.0</v>
      </c>
      <c r="J982" s="8">
        <v>1.0</v>
      </c>
      <c r="K982" s="8">
        <v>1.0</v>
      </c>
      <c r="L982" s="8">
        <v>6.0</v>
      </c>
      <c r="M982" s="8"/>
      <c r="N982" s="8"/>
      <c r="O982" s="8" t="s">
        <v>743</v>
      </c>
      <c r="P982" s="8" t="e">
        <v>#N/A</v>
      </c>
    </row>
    <row r="983">
      <c r="A983">
        <f>IFERROR(__xludf.DUMMYFUNCTION("""COMPUTED_VALUE"""),7.0)</f>
        <v>7</v>
      </c>
      <c r="B983">
        <f>IFERROR(__xludf.DUMMYFUNCTION("""COMPUTED_VALUE"""),30004.0)</f>
        <v>30004</v>
      </c>
      <c r="C983" t="str">
        <f>IFERROR(__xludf.DUMMYFUNCTION("""COMPUTED_VALUE"""),"ANGEL MEDINA, LUCIA")</f>
        <v>ANGEL MEDINA, LUCIA</v>
      </c>
      <c r="D983" t="str">
        <f>IFERROR(__xludf.DUMMYFUNCTION("""COMPUTED_VALUE"""),"English 7")</f>
        <v>English 7</v>
      </c>
      <c r="E983" s="31">
        <f>IFERROR(__xludf.DUMMYFUNCTION("""COMPUTED_VALUE"""),1.0)</f>
        <v>1</v>
      </c>
      <c r="F983" s="8">
        <v>1.0</v>
      </c>
      <c r="G983" s="8">
        <v>1.0</v>
      </c>
      <c r="H983" s="8">
        <v>1.0</v>
      </c>
      <c r="I983" s="8">
        <v>1.0</v>
      </c>
      <c r="J983" s="8">
        <v>1.0</v>
      </c>
      <c r="K983" s="8">
        <v>1.0</v>
      </c>
      <c r="L983" s="8">
        <v>6.0</v>
      </c>
      <c r="M983" s="8"/>
      <c r="N983" s="8"/>
      <c r="O983" s="8" t="s">
        <v>744</v>
      </c>
      <c r="P983" s="8">
        <v>6.0</v>
      </c>
    </row>
    <row r="984">
      <c r="A984">
        <f>IFERROR(__xludf.DUMMYFUNCTION("""COMPUTED_VALUE"""),7.0)</f>
        <v>7</v>
      </c>
      <c r="B984">
        <f>IFERROR(__xludf.DUMMYFUNCTION("""COMPUTED_VALUE"""),30005.0)</f>
        <v>30005</v>
      </c>
      <c r="C984" t="str">
        <f>IFERROR(__xludf.DUMMYFUNCTION("""COMPUTED_VALUE"""),"APA ECHAVARRIA, LUCIANO")</f>
        <v>APA ECHAVARRIA, LUCIANO</v>
      </c>
      <c r="D984" t="str">
        <f>IFERROR(__xludf.DUMMYFUNCTION("""COMPUTED_VALUE"""),"English 7")</f>
        <v>English 7</v>
      </c>
      <c r="E984" s="31">
        <f>IFERROR(__xludf.DUMMYFUNCTION("""COMPUTED_VALUE"""),3.0)</f>
        <v>3</v>
      </c>
      <c r="F984" s="8">
        <v>1.0</v>
      </c>
      <c r="G984" s="8">
        <v>1.0</v>
      </c>
      <c r="H984" s="8">
        <v>1.0</v>
      </c>
      <c r="I984" s="8">
        <v>1.0</v>
      </c>
      <c r="J984" s="8">
        <v>1.0</v>
      </c>
      <c r="K984" s="8">
        <v>1.0</v>
      </c>
      <c r="L984" s="8">
        <v>6.0</v>
      </c>
      <c r="M984" s="8"/>
      <c r="N984" s="8"/>
      <c r="O984" s="8" t="s">
        <v>745</v>
      </c>
      <c r="P984" s="8">
        <v>6.0</v>
      </c>
    </row>
    <row r="985">
      <c r="A985">
        <f>IFERROR(__xludf.DUMMYFUNCTION("""COMPUTED_VALUE"""),7.0)</f>
        <v>7</v>
      </c>
      <c r="B985">
        <f>IFERROR(__xludf.DUMMYFUNCTION("""COMPUTED_VALUE"""),30006.0)</f>
        <v>30006</v>
      </c>
      <c r="C985" t="str">
        <f>IFERROR(__xludf.DUMMYFUNCTION("""COMPUTED_VALUE"""),"ARANGO DUQUE, MIGUEL")</f>
        <v>ARANGO DUQUE, MIGUEL</v>
      </c>
      <c r="D985" t="str">
        <f>IFERROR(__xludf.DUMMYFUNCTION("""COMPUTED_VALUE"""),"English 7")</f>
        <v>English 7</v>
      </c>
      <c r="E985" s="31">
        <f>IFERROR(__xludf.DUMMYFUNCTION("""COMPUTED_VALUE"""),5.0)</f>
        <v>5</v>
      </c>
      <c r="F985" s="8">
        <v>1.0</v>
      </c>
      <c r="G985" s="8">
        <v>1.0</v>
      </c>
      <c r="H985" s="8">
        <v>1.0</v>
      </c>
      <c r="I985" s="8">
        <v>1.0</v>
      </c>
      <c r="J985" s="8">
        <v>1.0</v>
      </c>
      <c r="K985" s="8">
        <v>1.0</v>
      </c>
      <c r="L985" s="8">
        <v>6.0</v>
      </c>
      <c r="M985" s="8"/>
      <c r="N985" s="8"/>
      <c r="O985" s="8" t="s">
        <v>742</v>
      </c>
      <c r="P985" s="8">
        <v>6.0</v>
      </c>
    </row>
    <row r="986">
      <c r="A986">
        <f>IFERROR(__xludf.DUMMYFUNCTION("""COMPUTED_VALUE"""),7.0)</f>
        <v>7</v>
      </c>
      <c r="B986">
        <f>IFERROR(__xludf.DUMMYFUNCTION("""COMPUTED_VALUE"""),30169.0)</f>
        <v>30169</v>
      </c>
      <c r="C986" t="str">
        <f>IFERROR(__xludf.DUMMYFUNCTION("""COMPUTED_VALUE"""),"ARANGO LINHARES, FILIPPA")</f>
        <v>ARANGO LINHARES, FILIPPA</v>
      </c>
      <c r="D986" t="str">
        <f>IFERROR(__xludf.DUMMYFUNCTION("""COMPUTED_VALUE"""),"English 7")</f>
        <v>English 7</v>
      </c>
      <c r="E986" s="31">
        <f>IFERROR(__xludf.DUMMYFUNCTION("""COMPUTED_VALUE"""),1.0)</f>
        <v>1</v>
      </c>
      <c r="F986" s="8">
        <v>1.0</v>
      </c>
      <c r="G986" s="8">
        <v>1.0</v>
      </c>
      <c r="H986" s="8">
        <v>1.0</v>
      </c>
      <c r="I986" s="8">
        <v>1.0</v>
      </c>
      <c r="J986" s="8">
        <v>1.0</v>
      </c>
      <c r="K986" s="8">
        <v>1.0</v>
      </c>
      <c r="L986" s="8">
        <v>6.0</v>
      </c>
      <c r="M986" s="8"/>
      <c r="N986" s="8"/>
      <c r="O986" s="8" t="s">
        <v>744</v>
      </c>
      <c r="P986" s="8">
        <v>6.0</v>
      </c>
    </row>
    <row r="987">
      <c r="A987">
        <f>IFERROR(__xludf.DUMMYFUNCTION("""COMPUTED_VALUE"""),7.0)</f>
        <v>7</v>
      </c>
      <c r="B987">
        <f>IFERROR(__xludf.DUMMYFUNCTION("""COMPUTED_VALUE"""),30007.0)</f>
        <v>30007</v>
      </c>
      <c r="C987" t="str">
        <f>IFERROR(__xludf.DUMMYFUNCTION("""COMPUTED_VALUE"""),"ARANGO RODRIGUEZ, RAFAEL")</f>
        <v>ARANGO RODRIGUEZ, RAFAEL</v>
      </c>
      <c r="D987" t="str">
        <f>IFERROR(__xludf.DUMMYFUNCTION("""COMPUTED_VALUE"""),"English 7")</f>
        <v>English 7</v>
      </c>
      <c r="E987" s="31">
        <f>IFERROR(__xludf.DUMMYFUNCTION("""COMPUTED_VALUE"""),2.0)</f>
        <v>2</v>
      </c>
      <c r="F987" s="8">
        <v>1.0</v>
      </c>
      <c r="G987" s="8">
        <v>1.0</v>
      </c>
      <c r="H987" s="8">
        <v>1.0</v>
      </c>
      <c r="I987" s="8">
        <v>1.0</v>
      </c>
      <c r="J987" s="8">
        <v>1.0</v>
      </c>
      <c r="K987" s="8">
        <v>1.0</v>
      </c>
      <c r="L987" s="8">
        <v>6.0</v>
      </c>
      <c r="M987" s="8"/>
      <c r="N987" s="8"/>
      <c r="O987" s="8" t="s">
        <v>741</v>
      </c>
      <c r="P987" s="8">
        <v>6.0</v>
      </c>
    </row>
    <row r="988">
      <c r="A988">
        <f>IFERROR(__xludf.DUMMYFUNCTION("""COMPUTED_VALUE"""),7.0)</f>
        <v>7</v>
      </c>
      <c r="B988">
        <f>IFERROR(__xludf.DUMMYFUNCTION("""COMPUTED_VALUE"""),30008.0)</f>
        <v>30008</v>
      </c>
      <c r="C988" t="str">
        <f>IFERROR(__xludf.DUMMYFUNCTION("""COMPUTED_VALUE"""),"ARANGO VELEZ, ALICIA")</f>
        <v>ARANGO VELEZ, ALICIA</v>
      </c>
      <c r="D988" t="str">
        <f>IFERROR(__xludf.DUMMYFUNCTION("""COMPUTED_VALUE"""),"English 7")</f>
        <v>English 7</v>
      </c>
      <c r="E988" s="31">
        <f>IFERROR(__xludf.DUMMYFUNCTION("""COMPUTED_VALUE"""),6.0)</f>
        <v>6</v>
      </c>
      <c r="F988" s="8">
        <v>1.0</v>
      </c>
      <c r="G988" s="8">
        <v>1.0</v>
      </c>
      <c r="H988" s="8">
        <v>1.0</v>
      </c>
      <c r="I988" s="8">
        <v>1.0</v>
      </c>
      <c r="J988" s="8">
        <v>1.0</v>
      </c>
      <c r="K988" s="8">
        <v>1.0</v>
      </c>
      <c r="L988" s="8">
        <v>6.0</v>
      </c>
      <c r="M988" s="8"/>
      <c r="N988" s="8"/>
      <c r="O988" s="8" t="s">
        <v>746</v>
      </c>
      <c r="P988" s="8">
        <v>6.0</v>
      </c>
    </row>
    <row r="989">
      <c r="A989">
        <f>IFERROR(__xludf.DUMMYFUNCTION("""COMPUTED_VALUE"""),7.0)</f>
        <v>7</v>
      </c>
      <c r="B989">
        <f>IFERROR(__xludf.DUMMYFUNCTION("""COMPUTED_VALUE"""),29014.0)</f>
        <v>29014</v>
      </c>
      <c r="C989" t="str">
        <f>IFERROR(__xludf.DUMMYFUNCTION("""COMPUTED_VALUE"""),"ARISMENDI MELO, MARIANA")</f>
        <v>ARISMENDI MELO, MARIANA</v>
      </c>
      <c r="D989" t="str">
        <f>IFERROR(__xludf.DUMMYFUNCTION("""COMPUTED_VALUE"""),"English 7")</f>
        <v>English 7</v>
      </c>
      <c r="E989" s="31">
        <f>IFERROR(__xludf.DUMMYFUNCTION("""COMPUTED_VALUE"""),1.0)</f>
        <v>1</v>
      </c>
      <c r="F989" s="8">
        <v>1.0</v>
      </c>
      <c r="G989" s="8">
        <v>1.0</v>
      </c>
      <c r="H989" s="8">
        <v>1.0</v>
      </c>
      <c r="I989" s="8">
        <v>1.0</v>
      </c>
      <c r="J989" s="8">
        <v>1.0</v>
      </c>
      <c r="K989" s="8">
        <v>1.0</v>
      </c>
      <c r="L989" s="8">
        <v>6.0</v>
      </c>
      <c r="M989" s="8"/>
      <c r="N989" s="8"/>
      <c r="O989" s="8" t="s">
        <v>744</v>
      </c>
      <c r="P989" s="8">
        <v>6.0</v>
      </c>
    </row>
    <row r="990">
      <c r="A990">
        <f>IFERROR(__xludf.DUMMYFUNCTION("""COMPUTED_VALUE"""),7.0)</f>
        <v>7</v>
      </c>
      <c r="B990">
        <f>IFERROR(__xludf.DUMMYFUNCTION("""COMPUTED_VALUE"""),30009.0)</f>
        <v>30009</v>
      </c>
      <c r="C990" t="str">
        <f>IFERROR(__xludf.DUMMYFUNCTION("""COMPUTED_VALUE"""),"ARISTIZABAL BOLIVAR, EMILIANA")</f>
        <v>ARISTIZABAL BOLIVAR, EMILIANA</v>
      </c>
      <c r="D990" t="str">
        <f>IFERROR(__xludf.DUMMYFUNCTION("""COMPUTED_VALUE"""),"English 7A")</f>
        <v>English 7A</v>
      </c>
      <c r="E990" s="31">
        <f>IFERROR(__xludf.DUMMYFUNCTION("""COMPUTED_VALUE"""),5.0)</f>
        <v>5</v>
      </c>
      <c r="F990" s="8">
        <v>1.0</v>
      </c>
      <c r="G990" s="8">
        <v>1.0</v>
      </c>
      <c r="H990" s="8">
        <v>1.0</v>
      </c>
      <c r="I990" s="8">
        <v>1.0</v>
      </c>
      <c r="J990" s="8">
        <v>1.0</v>
      </c>
      <c r="K990" s="8">
        <v>1.0</v>
      </c>
      <c r="L990" s="8">
        <v>6.0</v>
      </c>
      <c r="M990" s="8"/>
      <c r="N990" s="8"/>
      <c r="O990" s="8" t="s">
        <v>743</v>
      </c>
      <c r="P990" s="8" t="e">
        <v>#N/A</v>
      </c>
    </row>
    <row r="991">
      <c r="A991">
        <f>IFERROR(__xludf.DUMMYFUNCTION("""COMPUTED_VALUE"""),7.0)</f>
        <v>7</v>
      </c>
      <c r="B991">
        <f>IFERROR(__xludf.DUMMYFUNCTION("""COMPUTED_VALUE"""),30010.0)</f>
        <v>30010</v>
      </c>
      <c r="C991" t="str">
        <f>IFERROR(__xludf.DUMMYFUNCTION("""COMPUTED_VALUE"""),"ARISTIZABAL BOLIVAR, MATILDE")</f>
        <v>ARISTIZABAL BOLIVAR, MATILDE</v>
      </c>
      <c r="D991" t="str">
        <f>IFERROR(__xludf.DUMMYFUNCTION("""COMPUTED_VALUE"""),"English 7")</f>
        <v>English 7</v>
      </c>
      <c r="E991" s="31">
        <f>IFERROR(__xludf.DUMMYFUNCTION("""COMPUTED_VALUE"""),3.0)</f>
        <v>3</v>
      </c>
      <c r="F991" s="8">
        <v>1.0</v>
      </c>
      <c r="G991" s="8">
        <v>1.0</v>
      </c>
      <c r="H991" s="8">
        <v>1.0</v>
      </c>
      <c r="I991" s="8">
        <v>1.0</v>
      </c>
      <c r="J991" s="8">
        <v>1.0</v>
      </c>
      <c r="K991" s="8">
        <v>1.0</v>
      </c>
      <c r="L991" s="8">
        <v>6.0</v>
      </c>
      <c r="M991" s="8"/>
      <c r="N991" s="8"/>
      <c r="O991" s="8" t="s">
        <v>745</v>
      </c>
      <c r="P991" s="8">
        <v>6.0</v>
      </c>
    </row>
    <row r="992">
      <c r="A992">
        <f>IFERROR(__xludf.DUMMYFUNCTION("""COMPUTED_VALUE"""),7.0)</f>
        <v>7</v>
      </c>
      <c r="B992">
        <f>IFERROR(__xludf.DUMMYFUNCTION("""COMPUTED_VALUE"""),30011.0)</f>
        <v>30011</v>
      </c>
      <c r="C992" t="str">
        <f>IFERROR(__xludf.DUMMYFUNCTION("""COMPUTED_VALUE"""),"ARISTIZABAL ECHAVARRIA, MILAGROS")</f>
        <v>ARISTIZABAL ECHAVARRIA, MILAGROS</v>
      </c>
      <c r="D992" t="str">
        <f>IFERROR(__xludf.DUMMYFUNCTION("""COMPUTED_VALUE"""),"English 7")</f>
        <v>English 7</v>
      </c>
      <c r="E992" s="31">
        <f>IFERROR(__xludf.DUMMYFUNCTION("""COMPUTED_VALUE"""),6.0)</f>
        <v>6</v>
      </c>
      <c r="F992" s="8">
        <v>1.0</v>
      </c>
      <c r="G992" s="8">
        <v>1.0</v>
      </c>
      <c r="H992" s="8">
        <v>1.0</v>
      </c>
      <c r="I992" s="8">
        <v>1.0</v>
      </c>
      <c r="J992" s="8">
        <v>1.0</v>
      </c>
      <c r="K992" s="8">
        <v>1.0</v>
      </c>
      <c r="L992" s="8">
        <v>6.0</v>
      </c>
      <c r="M992" s="8"/>
      <c r="N992" s="8"/>
      <c r="O992" s="8" t="s">
        <v>746</v>
      </c>
      <c r="P992" s="8">
        <v>6.0</v>
      </c>
    </row>
    <row r="993">
      <c r="A993">
        <f>IFERROR(__xludf.DUMMYFUNCTION("""COMPUTED_VALUE"""),7.0)</f>
        <v>7</v>
      </c>
      <c r="B993">
        <f>IFERROR(__xludf.DUMMYFUNCTION("""COMPUTED_VALUE"""),30012.0)</f>
        <v>30012</v>
      </c>
      <c r="C993" t="str">
        <f>IFERROR(__xludf.DUMMYFUNCTION("""COMPUTED_VALUE"""),"ARISTIZABAL RESTREPO, AMALIA")</f>
        <v>ARISTIZABAL RESTREPO, AMALIA</v>
      </c>
      <c r="D993" t="str">
        <f>IFERROR(__xludf.DUMMYFUNCTION("""COMPUTED_VALUE"""),"English 7A")</f>
        <v>English 7A</v>
      </c>
      <c r="E993" s="31">
        <f>IFERROR(__xludf.DUMMYFUNCTION("""COMPUTED_VALUE"""),5.0)</f>
        <v>5</v>
      </c>
      <c r="F993" s="8">
        <v>1.0</v>
      </c>
      <c r="G993" s="8">
        <v>1.0</v>
      </c>
      <c r="H993" s="8">
        <v>1.0</v>
      </c>
      <c r="I993" s="8">
        <v>1.0</v>
      </c>
      <c r="J993" s="8">
        <v>1.0</v>
      </c>
      <c r="K993" s="8">
        <v>1.0</v>
      </c>
      <c r="L993" s="8">
        <v>6.0</v>
      </c>
      <c r="M993" s="8"/>
      <c r="N993" s="8"/>
      <c r="O993" s="8" t="s">
        <v>743</v>
      </c>
      <c r="P993" s="8" t="e">
        <v>#N/A</v>
      </c>
    </row>
    <row r="994">
      <c r="A994">
        <f>IFERROR(__xludf.DUMMYFUNCTION("""COMPUTED_VALUE"""),7.0)</f>
        <v>7</v>
      </c>
      <c r="B994">
        <f>IFERROR(__xludf.DUMMYFUNCTION("""COMPUTED_VALUE"""),30014.0)</f>
        <v>30014</v>
      </c>
      <c r="C994" t="str">
        <f>IFERROR(__xludf.DUMMYFUNCTION("""COMPUTED_VALUE"""),"ARISTIZABAL VILLEGAS, ROSARIO")</f>
        <v>ARISTIZABAL VILLEGAS, ROSARIO</v>
      </c>
      <c r="D994" t="str">
        <f>IFERROR(__xludf.DUMMYFUNCTION("""COMPUTED_VALUE"""),"English 7")</f>
        <v>English 7</v>
      </c>
      <c r="E994" s="31">
        <f>IFERROR(__xludf.DUMMYFUNCTION("""COMPUTED_VALUE"""),3.0)</f>
        <v>3</v>
      </c>
      <c r="F994" s="8">
        <v>1.0</v>
      </c>
      <c r="G994" s="8">
        <v>1.0</v>
      </c>
      <c r="H994" s="8">
        <v>1.0</v>
      </c>
      <c r="I994" s="8">
        <v>1.0</v>
      </c>
      <c r="J994" s="8">
        <v>1.0</v>
      </c>
      <c r="K994" s="8">
        <v>1.0</v>
      </c>
      <c r="L994" s="8">
        <v>6.0</v>
      </c>
      <c r="M994" s="8"/>
      <c r="N994" s="8"/>
      <c r="O994" s="8" t="s">
        <v>745</v>
      </c>
      <c r="P994" s="8">
        <v>6.0</v>
      </c>
    </row>
    <row r="995">
      <c r="A995">
        <f>IFERROR(__xludf.DUMMYFUNCTION("""COMPUTED_VALUE"""),7.0)</f>
        <v>7</v>
      </c>
      <c r="B995">
        <f>IFERROR(__xludf.DUMMYFUNCTION("""COMPUTED_VALUE"""),30013.0)</f>
        <v>30013</v>
      </c>
      <c r="C995" t="str">
        <f>IFERROR(__xludf.DUMMYFUNCTION("""COMPUTED_VALUE"""),"ARISTIZABAL ZULUAGA, SALVADOR")</f>
        <v>ARISTIZABAL ZULUAGA, SALVADOR</v>
      </c>
      <c r="D995" t="str">
        <f>IFERROR(__xludf.DUMMYFUNCTION("""COMPUTED_VALUE"""),"English 7")</f>
        <v>English 7</v>
      </c>
      <c r="E995" s="31">
        <f>IFERROR(__xludf.DUMMYFUNCTION("""COMPUTED_VALUE"""),2.0)</f>
        <v>2</v>
      </c>
      <c r="F995" s="8">
        <v>1.0</v>
      </c>
      <c r="G995" s="8">
        <v>1.0</v>
      </c>
      <c r="H995" s="8">
        <v>1.0</v>
      </c>
      <c r="I995" s="8">
        <v>1.0</v>
      </c>
      <c r="J995" s="8">
        <v>1.0</v>
      </c>
      <c r="K995" s="8">
        <v>1.0</v>
      </c>
      <c r="L995" s="8">
        <v>6.0</v>
      </c>
      <c r="M995" s="8"/>
      <c r="N995" s="8"/>
      <c r="O995" s="8" t="s">
        <v>741</v>
      </c>
      <c r="P995" s="8">
        <v>6.0</v>
      </c>
    </row>
    <row r="996">
      <c r="A996">
        <f>IFERROR(__xludf.DUMMYFUNCTION("""COMPUTED_VALUE"""),7.0)</f>
        <v>7</v>
      </c>
      <c r="B996">
        <f>IFERROR(__xludf.DUMMYFUNCTION("""COMPUTED_VALUE"""),29017.0)</f>
        <v>29017</v>
      </c>
      <c r="C996" t="str">
        <f>IFERROR(__xludf.DUMMYFUNCTION("""COMPUTED_VALUE"""),"ARROYAVE SIERRA, MATIAS")</f>
        <v>ARROYAVE SIERRA, MATIAS</v>
      </c>
      <c r="D996" t="str">
        <f>IFERROR(__xludf.DUMMYFUNCTION("""COMPUTED_VALUE"""),"English 7A")</f>
        <v>English 7A</v>
      </c>
      <c r="E996" s="31">
        <f>IFERROR(__xludf.DUMMYFUNCTION("""COMPUTED_VALUE"""),5.0)</f>
        <v>5</v>
      </c>
      <c r="F996" s="8">
        <v>1.0</v>
      </c>
      <c r="G996" s="8">
        <v>1.0</v>
      </c>
      <c r="H996" s="8">
        <v>1.0</v>
      </c>
      <c r="I996" s="8">
        <v>1.0</v>
      </c>
      <c r="J996" s="8">
        <v>1.0</v>
      </c>
      <c r="K996" s="8">
        <v>1.0</v>
      </c>
      <c r="L996" s="8">
        <v>6.0</v>
      </c>
      <c r="M996" s="8"/>
      <c r="N996" s="8"/>
      <c r="O996" s="8" t="s">
        <v>743</v>
      </c>
      <c r="P996" s="8" t="e">
        <v>#N/A</v>
      </c>
    </row>
    <row r="997">
      <c r="A997">
        <f>IFERROR(__xludf.DUMMYFUNCTION("""COMPUTED_VALUE"""),7.0)</f>
        <v>7</v>
      </c>
      <c r="B997">
        <f>IFERROR(__xludf.DUMMYFUNCTION("""COMPUTED_VALUE"""),30015.0)</f>
        <v>30015</v>
      </c>
      <c r="C997" t="str">
        <f>IFERROR(__xludf.DUMMYFUNCTION("""COMPUTED_VALUE"""),"ARROYAVE YACAMAN, EMILIO")</f>
        <v>ARROYAVE YACAMAN, EMILIO</v>
      </c>
      <c r="D997" t="str">
        <f>IFERROR(__xludf.DUMMYFUNCTION("""COMPUTED_VALUE"""),"English 7")</f>
        <v>English 7</v>
      </c>
      <c r="E997" s="31">
        <f>IFERROR(__xludf.DUMMYFUNCTION("""COMPUTED_VALUE"""),3.0)</f>
        <v>3</v>
      </c>
      <c r="F997" s="8">
        <v>1.0</v>
      </c>
      <c r="G997" s="8">
        <v>1.0</v>
      </c>
      <c r="H997" s="8">
        <v>1.0</v>
      </c>
      <c r="I997" s="8">
        <v>1.0</v>
      </c>
      <c r="J997" s="8">
        <v>1.0</v>
      </c>
      <c r="K997" s="8">
        <v>1.0</v>
      </c>
      <c r="L997" s="8">
        <v>6.0</v>
      </c>
      <c r="M997" s="8"/>
      <c r="N997" s="8"/>
      <c r="O997" s="8" t="s">
        <v>745</v>
      </c>
      <c r="P997" s="8">
        <v>6.0</v>
      </c>
    </row>
    <row r="998">
      <c r="A998">
        <f>IFERROR(__xludf.DUMMYFUNCTION("""COMPUTED_VALUE"""),7.0)</f>
        <v>7</v>
      </c>
      <c r="B998">
        <f>IFERROR(__xludf.DUMMYFUNCTION("""COMPUTED_VALUE"""),30018.0)</f>
        <v>30018</v>
      </c>
      <c r="C998" t="str">
        <f>IFERROR(__xludf.DUMMYFUNCTION("""COMPUTED_VALUE"""),"BETANCUR ECHAVARRIA, JERONIMO")</f>
        <v>BETANCUR ECHAVARRIA, JERONIMO</v>
      </c>
      <c r="D998" t="str">
        <f>IFERROR(__xludf.DUMMYFUNCTION("""COMPUTED_VALUE"""),"English 7")</f>
        <v>English 7</v>
      </c>
      <c r="E998" s="31">
        <f>IFERROR(__xludf.DUMMYFUNCTION("""COMPUTED_VALUE"""),3.0)</f>
        <v>3</v>
      </c>
      <c r="F998" s="8">
        <v>1.0</v>
      </c>
      <c r="G998" s="8">
        <v>1.0</v>
      </c>
      <c r="H998" s="8">
        <v>1.0</v>
      </c>
      <c r="I998" s="8">
        <v>1.0</v>
      </c>
      <c r="J998" s="8">
        <v>1.0</v>
      </c>
      <c r="K998" s="8">
        <v>1.0</v>
      </c>
      <c r="L998" s="8">
        <v>6.0</v>
      </c>
      <c r="M998" s="8"/>
      <c r="N998" s="8"/>
      <c r="O998" s="8" t="s">
        <v>745</v>
      </c>
      <c r="P998" s="8">
        <v>6.0</v>
      </c>
    </row>
    <row r="999">
      <c r="A999">
        <f>IFERROR(__xludf.DUMMYFUNCTION("""COMPUTED_VALUE"""),7.0)</f>
        <v>7</v>
      </c>
      <c r="B999">
        <f>IFERROR(__xludf.DUMMYFUNCTION("""COMPUTED_VALUE"""),30170.0)</f>
        <v>30170</v>
      </c>
      <c r="C999" t="str">
        <f>IFERROR(__xludf.DUMMYFUNCTION("""COMPUTED_VALUE"""),"BETANCUR VELASQUEZ, RENATA")</f>
        <v>BETANCUR VELASQUEZ, RENATA</v>
      </c>
      <c r="D999" t="str">
        <f>IFERROR(__xludf.DUMMYFUNCTION("""COMPUTED_VALUE"""),"English 7")</f>
        <v>English 7</v>
      </c>
      <c r="E999" s="31">
        <f>IFERROR(__xludf.DUMMYFUNCTION("""COMPUTED_VALUE"""),3.0)</f>
        <v>3</v>
      </c>
      <c r="F999" s="8">
        <v>1.0</v>
      </c>
      <c r="G999" s="8">
        <v>1.0</v>
      </c>
      <c r="H999" s="8">
        <v>1.0</v>
      </c>
      <c r="I999" s="8">
        <v>1.0</v>
      </c>
      <c r="J999" s="8">
        <v>1.0</v>
      </c>
      <c r="K999" s="8">
        <v>1.0</v>
      </c>
      <c r="L999" s="8">
        <v>6.0</v>
      </c>
      <c r="M999" s="8"/>
      <c r="N999" s="8"/>
      <c r="O999" s="8" t="s">
        <v>745</v>
      </c>
      <c r="P999" s="8">
        <v>6.0</v>
      </c>
    </row>
    <row r="1000">
      <c r="A1000">
        <f>IFERROR(__xludf.DUMMYFUNCTION("""COMPUTED_VALUE"""),7.0)</f>
        <v>7</v>
      </c>
      <c r="B1000">
        <f>IFERROR(__xludf.DUMMYFUNCTION("""COMPUTED_VALUE"""),30019.0)</f>
        <v>30019</v>
      </c>
      <c r="C1000" t="str">
        <f>IFERROR(__xludf.DUMMYFUNCTION("""COMPUTED_VALUE"""),"BOTERO BETANCOURT, SEBASTIAN")</f>
        <v>BOTERO BETANCOURT, SEBASTIAN</v>
      </c>
      <c r="D1000" t="str">
        <f>IFERROR(__xludf.DUMMYFUNCTION("""COMPUTED_VALUE"""),"English 7")</f>
        <v>English 7</v>
      </c>
      <c r="E1000" s="31">
        <f>IFERROR(__xludf.DUMMYFUNCTION("""COMPUTED_VALUE"""),2.0)</f>
        <v>2</v>
      </c>
      <c r="F1000" s="8">
        <v>1.0</v>
      </c>
      <c r="G1000" s="8">
        <v>1.0</v>
      </c>
      <c r="H1000" s="8">
        <v>1.0</v>
      </c>
      <c r="I1000" s="8">
        <v>1.0</v>
      </c>
      <c r="J1000" s="8">
        <v>1.0</v>
      </c>
      <c r="K1000" s="8">
        <v>1.0</v>
      </c>
      <c r="L1000" s="8">
        <v>6.0</v>
      </c>
      <c r="M1000" s="8"/>
      <c r="N1000" s="8"/>
      <c r="O1000" s="8" t="s">
        <v>741</v>
      </c>
      <c r="P1000" s="8">
        <v>6.0</v>
      </c>
    </row>
    <row r="1001">
      <c r="A1001">
        <f>IFERROR(__xludf.DUMMYFUNCTION("""COMPUTED_VALUE"""),7.0)</f>
        <v>7</v>
      </c>
      <c r="B1001">
        <f>IFERROR(__xludf.DUMMYFUNCTION("""COMPUTED_VALUE"""),30021.0)</f>
        <v>30021</v>
      </c>
      <c r="C1001" t="str">
        <f>IFERROR(__xludf.DUMMYFUNCTION("""COMPUTED_VALUE"""),"BOTERO TOQUICA, MATILDE")</f>
        <v>BOTERO TOQUICA, MATILDE</v>
      </c>
      <c r="D1001" t="str">
        <f>IFERROR(__xludf.DUMMYFUNCTION("""COMPUTED_VALUE"""),"English 7")</f>
        <v>English 7</v>
      </c>
      <c r="E1001" s="31">
        <f>IFERROR(__xludf.DUMMYFUNCTION("""COMPUTED_VALUE"""),1.0)</f>
        <v>1</v>
      </c>
      <c r="F1001" s="8">
        <v>1.0</v>
      </c>
      <c r="G1001" s="8">
        <v>1.0</v>
      </c>
      <c r="H1001" s="8">
        <v>1.0</v>
      </c>
      <c r="I1001" s="8">
        <v>1.0</v>
      </c>
      <c r="J1001" s="8">
        <v>1.0</v>
      </c>
      <c r="K1001" s="8">
        <v>1.0</v>
      </c>
      <c r="L1001" s="8">
        <v>6.0</v>
      </c>
      <c r="M1001" s="8"/>
      <c r="N1001" s="8"/>
      <c r="O1001" s="8" t="s">
        <v>744</v>
      </c>
      <c r="P1001" s="8">
        <v>6.0</v>
      </c>
    </row>
    <row r="1002">
      <c r="A1002">
        <f>IFERROR(__xludf.DUMMYFUNCTION("""COMPUTED_VALUE"""),7.0)</f>
        <v>7</v>
      </c>
      <c r="B1002">
        <f>IFERROR(__xludf.DUMMYFUNCTION("""COMPUTED_VALUE"""),30022.0)</f>
        <v>30022</v>
      </c>
      <c r="C1002" s="135" t="str">
        <f>IFERROR(__xludf.DUMMYFUNCTION("""COMPUTED_VALUE"""),"CAMELO ZULUAGA, BENJAMIN")</f>
        <v>CAMELO ZULUAGA, BENJAMIN</v>
      </c>
      <c r="D1002" t="str">
        <f>IFERROR(__xludf.DUMMYFUNCTION("""COMPUTED_VALUE"""),"English 7A")</f>
        <v>English 7A</v>
      </c>
      <c r="E1002" s="31">
        <f>IFERROR(__xludf.DUMMYFUNCTION("""COMPUTED_VALUE"""),5.0)</f>
        <v>5</v>
      </c>
      <c r="F1002" s="8">
        <v>1.0</v>
      </c>
      <c r="G1002" s="8">
        <v>1.0</v>
      </c>
      <c r="H1002" s="8">
        <v>1.0</v>
      </c>
      <c r="I1002" s="8">
        <v>1.0</v>
      </c>
      <c r="J1002" s="8">
        <v>1.0</v>
      </c>
      <c r="K1002" s="8">
        <v>1.0</v>
      </c>
      <c r="L1002" s="8">
        <v>6.0</v>
      </c>
      <c r="M1002" s="8"/>
      <c r="N1002" s="8"/>
      <c r="O1002" s="8" t="s">
        <v>743</v>
      </c>
      <c r="P1002" s="8" t="e">
        <v>#N/A</v>
      </c>
    </row>
    <row r="1003">
      <c r="A1003">
        <f>IFERROR(__xludf.DUMMYFUNCTION("""COMPUTED_VALUE"""),7.0)</f>
        <v>7</v>
      </c>
      <c r="B1003">
        <f>IFERROR(__xludf.DUMMYFUNCTION("""COMPUTED_VALUE"""),30023.0)</f>
        <v>30023</v>
      </c>
      <c r="C1003" t="str">
        <f>IFERROR(__xludf.DUMMYFUNCTION("""COMPUTED_VALUE"""),"CAMPILLO VALENCIA, LUCIANA")</f>
        <v>CAMPILLO VALENCIA, LUCIANA</v>
      </c>
      <c r="D1003" t="str">
        <f>IFERROR(__xludf.DUMMYFUNCTION("""COMPUTED_VALUE"""),"English 7")</f>
        <v>English 7</v>
      </c>
      <c r="E1003" s="31">
        <f>IFERROR(__xludf.DUMMYFUNCTION("""COMPUTED_VALUE"""),6.0)</f>
        <v>6</v>
      </c>
      <c r="F1003" s="8">
        <v>1.0</v>
      </c>
      <c r="G1003" s="8">
        <v>1.0</v>
      </c>
      <c r="H1003" s="8">
        <v>1.0</v>
      </c>
      <c r="I1003" s="8">
        <v>1.0</v>
      </c>
      <c r="J1003" s="8">
        <v>1.0</v>
      </c>
      <c r="K1003" s="8">
        <v>1.0</v>
      </c>
      <c r="L1003" s="8">
        <v>6.0</v>
      </c>
      <c r="M1003" s="8"/>
      <c r="N1003" s="8"/>
      <c r="O1003" s="8" t="s">
        <v>746</v>
      </c>
      <c r="P1003" s="8">
        <v>6.0</v>
      </c>
    </row>
    <row r="1004">
      <c r="A1004">
        <f>IFERROR(__xludf.DUMMYFUNCTION("""COMPUTED_VALUE"""),7.0)</f>
        <v>7</v>
      </c>
      <c r="B1004">
        <f>IFERROR(__xludf.DUMMYFUNCTION("""COMPUTED_VALUE"""),30024.0)</f>
        <v>30024</v>
      </c>
      <c r="C1004" t="str">
        <f>IFERROR(__xludf.DUMMYFUNCTION("""COMPUTED_VALUE"""),"CANO MESA, AMELIA")</f>
        <v>CANO MESA, AMELIA</v>
      </c>
      <c r="D1004" t="str">
        <f>IFERROR(__xludf.DUMMYFUNCTION("""COMPUTED_VALUE"""),"English 7")</f>
        <v>English 7</v>
      </c>
      <c r="E1004" s="31">
        <f>IFERROR(__xludf.DUMMYFUNCTION("""COMPUTED_VALUE"""),1.0)</f>
        <v>1</v>
      </c>
      <c r="F1004" s="8">
        <v>1.0</v>
      </c>
      <c r="G1004" s="8">
        <v>1.0</v>
      </c>
      <c r="H1004" s="8">
        <v>1.0</v>
      </c>
      <c r="I1004" s="8">
        <v>1.0</v>
      </c>
      <c r="J1004" s="8">
        <v>1.0</v>
      </c>
      <c r="K1004" s="8">
        <v>1.0</v>
      </c>
      <c r="L1004" s="8">
        <v>6.0</v>
      </c>
      <c r="M1004" s="8"/>
      <c r="N1004" s="8"/>
      <c r="O1004" s="8" t="s">
        <v>744</v>
      </c>
      <c r="P1004" s="8">
        <v>6.0</v>
      </c>
    </row>
    <row r="1005">
      <c r="A1005">
        <f>IFERROR(__xludf.DUMMYFUNCTION("""COMPUTED_VALUE"""),7.0)</f>
        <v>7</v>
      </c>
      <c r="B1005">
        <f>IFERROR(__xludf.DUMMYFUNCTION("""COMPUTED_VALUE"""),30025.0)</f>
        <v>30025</v>
      </c>
      <c r="C1005" t="str">
        <f>IFERROR(__xludf.DUMMYFUNCTION("""COMPUTED_VALUE"""),"CAÑON GARCIA, MARTINA")</f>
        <v>CAÑON GARCIA, MARTINA</v>
      </c>
      <c r="D1005" t="str">
        <f>IFERROR(__xludf.DUMMYFUNCTION("""COMPUTED_VALUE"""),"English 7")</f>
        <v>English 7</v>
      </c>
      <c r="E1005" s="31">
        <f>IFERROR(__xludf.DUMMYFUNCTION("""COMPUTED_VALUE"""),6.0)</f>
        <v>6</v>
      </c>
      <c r="F1005" s="8">
        <v>1.0</v>
      </c>
      <c r="G1005" s="8">
        <v>1.0</v>
      </c>
      <c r="H1005" s="8">
        <v>1.0</v>
      </c>
      <c r="I1005" s="8">
        <v>1.0</v>
      </c>
      <c r="J1005" s="8">
        <v>1.0</v>
      </c>
      <c r="K1005" s="8">
        <v>1.0</v>
      </c>
      <c r="L1005" s="8">
        <v>6.0</v>
      </c>
      <c r="M1005" s="8"/>
      <c r="N1005" s="8"/>
      <c r="O1005" s="8" t="s">
        <v>746</v>
      </c>
      <c r="P1005" s="8">
        <v>6.0</v>
      </c>
    </row>
    <row r="1006">
      <c r="A1006">
        <f>IFERROR(__xludf.DUMMYFUNCTION("""COMPUTED_VALUE"""),7.0)</f>
        <v>7</v>
      </c>
      <c r="B1006">
        <f>IFERROR(__xludf.DUMMYFUNCTION("""COMPUTED_VALUE"""),30026.0)</f>
        <v>30026</v>
      </c>
      <c r="C1006" t="str">
        <f>IFERROR(__xludf.DUMMYFUNCTION("""COMPUTED_VALUE"""),"CAPMARTIN GOMEZ, NICOLAS")</f>
        <v>CAPMARTIN GOMEZ, NICOLAS</v>
      </c>
      <c r="D1006" t="str">
        <f>IFERROR(__xludf.DUMMYFUNCTION("""COMPUTED_VALUE"""),"English 7")</f>
        <v>English 7</v>
      </c>
      <c r="E1006" s="31">
        <f>IFERROR(__xludf.DUMMYFUNCTION("""COMPUTED_VALUE"""),1.0)</f>
        <v>1</v>
      </c>
      <c r="F1006" s="8">
        <v>1.0</v>
      </c>
      <c r="G1006" s="8">
        <v>1.0</v>
      </c>
      <c r="H1006" s="8">
        <v>1.0</v>
      </c>
      <c r="I1006" s="8">
        <v>1.0</v>
      </c>
      <c r="J1006" s="8">
        <v>1.0</v>
      </c>
      <c r="K1006" s="8">
        <v>1.0</v>
      </c>
      <c r="L1006" s="8">
        <v>6.0</v>
      </c>
      <c r="M1006" s="8"/>
      <c r="N1006" s="8"/>
      <c r="O1006" s="8" t="s">
        <v>744</v>
      </c>
      <c r="P1006" s="8">
        <v>6.0</v>
      </c>
    </row>
    <row r="1007">
      <c r="A1007">
        <f>IFERROR(__xludf.DUMMYFUNCTION("""COMPUTED_VALUE"""),7.0)</f>
        <v>7</v>
      </c>
      <c r="B1007">
        <f>IFERROR(__xludf.DUMMYFUNCTION("""COMPUTED_VALUE"""),30027.0)</f>
        <v>30027</v>
      </c>
      <c r="C1007" t="str">
        <f>IFERROR(__xludf.DUMMYFUNCTION("""COMPUTED_VALUE"""),"CARDONA CASTAÑEDA, JUANITA")</f>
        <v>CARDONA CASTAÑEDA, JUANITA</v>
      </c>
      <c r="D1007" t="str">
        <f>IFERROR(__xludf.DUMMYFUNCTION("""COMPUTED_VALUE"""),"English 7")</f>
        <v>English 7</v>
      </c>
      <c r="E1007" s="31">
        <f>IFERROR(__xludf.DUMMYFUNCTION("""COMPUTED_VALUE"""),6.0)</f>
        <v>6</v>
      </c>
      <c r="F1007" s="8">
        <v>1.0</v>
      </c>
      <c r="G1007" s="8">
        <v>1.0</v>
      </c>
      <c r="H1007" s="8">
        <v>1.0</v>
      </c>
      <c r="I1007" s="8">
        <v>1.0</v>
      </c>
      <c r="J1007" s="8">
        <v>1.0</v>
      </c>
      <c r="K1007" s="8">
        <v>1.0</v>
      </c>
      <c r="L1007" s="8">
        <v>6.0</v>
      </c>
      <c r="M1007" s="8"/>
      <c r="N1007" s="8"/>
      <c r="O1007" s="8" t="s">
        <v>746</v>
      </c>
      <c r="P1007" s="8">
        <v>6.0</v>
      </c>
    </row>
    <row r="1008">
      <c r="A1008">
        <f>IFERROR(__xludf.DUMMYFUNCTION("""COMPUTED_VALUE"""),7.0)</f>
        <v>7</v>
      </c>
      <c r="B1008">
        <f>IFERROR(__xludf.DUMMYFUNCTION("""COMPUTED_VALUE"""),30135.0)</f>
        <v>30135</v>
      </c>
      <c r="C1008" t="str">
        <f>IFERROR(__xludf.DUMMYFUNCTION("""COMPUTED_VALUE"""),"CARDONA URIBE, EMILIANA")</f>
        <v>CARDONA URIBE, EMILIANA</v>
      </c>
      <c r="D1008" t="str">
        <f>IFERROR(__xludf.DUMMYFUNCTION("""COMPUTED_VALUE"""),"English 7")</f>
        <v>English 7</v>
      </c>
      <c r="E1008" s="31">
        <f>IFERROR(__xludf.DUMMYFUNCTION("""COMPUTED_VALUE"""),1.0)</f>
        <v>1</v>
      </c>
      <c r="F1008" s="8">
        <v>1.0</v>
      </c>
      <c r="G1008" s="8">
        <v>1.0</v>
      </c>
      <c r="H1008" s="8">
        <v>1.0</v>
      </c>
      <c r="I1008" s="8">
        <v>1.0</v>
      </c>
      <c r="J1008" s="8">
        <v>1.0</v>
      </c>
      <c r="K1008" s="8">
        <v>1.0</v>
      </c>
      <c r="L1008" s="8">
        <v>6.0</v>
      </c>
      <c r="M1008" s="8"/>
      <c r="N1008" s="8"/>
      <c r="O1008" s="8" t="s">
        <v>744</v>
      </c>
      <c r="P1008" s="8">
        <v>6.0</v>
      </c>
    </row>
    <row r="1009">
      <c r="A1009">
        <f>IFERROR(__xludf.DUMMYFUNCTION("""COMPUTED_VALUE"""),7.0)</f>
        <v>7</v>
      </c>
      <c r="B1009">
        <f>IFERROR(__xludf.DUMMYFUNCTION("""COMPUTED_VALUE"""),30028.0)</f>
        <v>30028</v>
      </c>
      <c r="C1009" t="str">
        <f>IFERROR(__xludf.DUMMYFUNCTION("""COMPUTED_VALUE"""),"CHAN MEI, JACOB")</f>
        <v>CHAN MEI, JACOB</v>
      </c>
      <c r="D1009" t="str">
        <f>IFERROR(__xludf.DUMMYFUNCTION("""COMPUTED_VALUE"""),"English 7")</f>
        <v>English 7</v>
      </c>
      <c r="E1009" s="31">
        <f>IFERROR(__xludf.DUMMYFUNCTION("""COMPUTED_VALUE"""),5.0)</f>
        <v>5</v>
      </c>
      <c r="F1009" s="8">
        <v>1.0</v>
      </c>
      <c r="G1009" s="8">
        <v>1.0</v>
      </c>
      <c r="H1009" s="8">
        <v>1.0</v>
      </c>
      <c r="I1009" s="8">
        <v>1.0</v>
      </c>
      <c r="J1009" s="8">
        <v>1.0</v>
      </c>
      <c r="K1009" s="8">
        <v>1.0</v>
      </c>
      <c r="L1009" s="8">
        <v>6.0</v>
      </c>
      <c r="M1009" s="8"/>
      <c r="N1009" s="8"/>
      <c r="O1009" s="8" t="s">
        <v>742</v>
      </c>
      <c r="P1009" s="8">
        <v>6.0</v>
      </c>
    </row>
    <row r="1010">
      <c r="A1010">
        <f>IFERROR(__xludf.DUMMYFUNCTION("""COMPUTED_VALUE"""),7.0)</f>
        <v>7</v>
      </c>
      <c r="B1010">
        <f>IFERROR(__xludf.DUMMYFUNCTION("""COMPUTED_VALUE"""),30029.0)</f>
        <v>30029</v>
      </c>
      <c r="C1010" t="str">
        <f>IFERROR(__xludf.DUMMYFUNCTION("""COMPUTED_VALUE"""),"CORREA GARCES, PEDRO PABLO")</f>
        <v>CORREA GARCES, PEDRO PABLO</v>
      </c>
      <c r="D1010" t="str">
        <f>IFERROR(__xludf.DUMMYFUNCTION("""COMPUTED_VALUE"""),"English 7")</f>
        <v>English 7</v>
      </c>
      <c r="E1010" s="31">
        <f>IFERROR(__xludf.DUMMYFUNCTION("""COMPUTED_VALUE"""),5.0)</f>
        <v>5</v>
      </c>
      <c r="F1010" s="8">
        <v>1.0</v>
      </c>
      <c r="G1010" s="8">
        <v>1.0</v>
      </c>
      <c r="H1010" s="8">
        <v>1.0</v>
      </c>
      <c r="I1010" s="8">
        <v>1.0</v>
      </c>
      <c r="J1010" s="8">
        <v>1.0</v>
      </c>
      <c r="K1010" s="8">
        <v>1.0</v>
      </c>
      <c r="L1010" s="8">
        <v>6.0</v>
      </c>
      <c r="M1010" s="8"/>
      <c r="N1010" s="8"/>
      <c r="O1010" s="8" t="s">
        <v>742</v>
      </c>
      <c r="P1010" s="8">
        <v>6.0</v>
      </c>
    </row>
    <row r="1011">
      <c r="A1011">
        <f>IFERROR(__xludf.DUMMYFUNCTION("""COMPUTED_VALUE"""),7.0)</f>
        <v>7</v>
      </c>
      <c r="B1011">
        <f>IFERROR(__xludf.DUMMYFUNCTION("""COMPUTED_VALUE"""),30030.0)</f>
        <v>30030</v>
      </c>
      <c r="C1011" t="str">
        <f>IFERROR(__xludf.DUMMYFUNCTION("""COMPUTED_VALUE"""),"CORREA MERINO, VICENTE")</f>
        <v>CORREA MERINO, VICENTE</v>
      </c>
      <c r="D1011" t="str">
        <f>IFERROR(__xludf.DUMMYFUNCTION("""COMPUTED_VALUE"""),"English 7")</f>
        <v>English 7</v>
      </c>
      <c r="E1011" s="31">
        <f>IFERROR(__xludf.DUMMYFUNCTION("""COMPUTED_VALUE"""),3.0)</f>
        <v>3</v>
      </c>
      <c r="F1011" s="8">
        <v>1.0</v>
      </c>
      <c r="G1011" s="8">
        <v>1.0</v>
      </c>
      <c r="H1011" s="8">
        <v>1.0</v>
      </c>
      <c r="I1011" s="8">
        <v>1.0</v>
      </c>
      <c r="J1011" s="8">
        <v>1.0</v>
      </c>
      <c r="K1011" s="8">
        <v>1.0</v>
      </c>
      <c r="L1011" s="8">
        <v>6.0</v>
      </c>
      <c r="M1011" s="8"/>
      <c r="N1011" s="8"/>
      <c r="O1011" s="8" t="s">
        <v>745</v>
      </c>
      <c r="P1011" s="8">
        <v>6.0</v>
      </c>
    </row>
    <row r="1012">
      <c r="A1012">
        <f>IFERROR(__xludf.DUMMYFUNCTION("""COMPUTED_VALUE"""),7.0)</f>
        <v>7</v>
      </c>
      <c r="B1012">
        <f>IFERROR(__xludf.DUMMYFUNCTION("""COMPUTED_VALUE"""),30031.0)</f>
        <v>30031</v>
      </c>
      <c r="C1012" t="str">
        <f>IFERROR(__xludf.DUMMYFUNCTION("""COMPUTED_VALUE"""),"CORTES CASTAÑO, FELIPE")</f>
        <v>CORTES CASTAÑO, FELIPE</v>
      </c>
      <c r="D1012" t="str">
        <f>IFERROR(__xludf.DUMMYFUNCTION("""COMPUTED_VALUE"""),"English 7")</f>
        <v>English 7</v>
      </c>
      <c r="E1012" s="31">
        <f>IFERROR(__xludf.DUMMYFUNCTION("""COMPUTED_VALUE"""),2.0)</f>
        <v>2</v>
      </c>
      <c r="F1012" s="8">
        <v>1.0</v>
      </c>
      <c r="G1012" s="8">
        <v>1.0</v>
      </c>
      <c r="H1012" s="8">
        <v>1.0</v>
      </c>
      <c r="I1012" s="8">
        <v>1.0</v>
      </c>
      <c r="J1012" s="8">
        <v>1.0</v>
      </c>
      <c r="K1012" s="8">
        <v>1.0</v>
      </c>
      <c r="L1012" s="8">
        <v>6.0</v>
      </c>
      <c r="M1012" s="8"/>
      <c r="N1012" s="8"/>
      <c r="O1012" s="8" t="s">
        <v>741</v>
      </c>
      <c r="P1012" s="8">
        <v>6.0</v>
      </c>
    </row>
    <row r="1013">
      <c r="A1013">
        <f>IFERROR(__xludf.DUMMYFUNCTION("""COMPUTED_VALUE"""),7.0)</f>
        <v>7</v>
      </c>
      <c r="B1013">
        <f>IFERROR(__xludf.DUMMYFUNCTION("""COMPUTED_VALUE"""),30032.0)</f>
        <v>30032</v>
      </c>
      <c r="C1013" t="str">
        <f>IFERROR(__xludf.DUMMYFUNCTION("""COMPUTED_VALUE"""),"CRUZ PEREYRA, ANA VICTORIA")</f>
        <v>CRUZ PEREYRA, ANA VICTORIA</v>
      </c>
      <c r="D1013" t="str">
        <f>IFERROR(__xludf.DUMMYFUNCTION("""COMPUTED_VALUE"""),"English 7")</f>
        <v>English 7</v>
      </c>
      <c r="E1013" s="31">
        <f>IFERROR(__xludf.DUMMYFUNCTION("""COMPUTED_VALUE"""),5.0)</f>
        <v>5</v>
      </c>
      <c r="F1013" s="8">
        <v>1.0</v>
      </c>
      <c r="G1013" s="8">
        <v>1.0</v>
      </c>
      <c r="H1013" s="8">
        <v>1.0</v>
      </c>
      <c r="I1013" s="8">
        <v>1.0</v>
      </c>
      <c r="J1013" s="8">
        <v>1.0</v>
      </c>
      <c r="K1013" s="8">
        <v>1.0</v>
      </c>
      <c r="L1013" s="8">
        <v>6.0</v>
      </c>
      <c r="M1013" s="8"/>
      <c r="N1013" s="8"/>
      <c r="O1013" s="8" t="s">
        <v>742</v>
      </c>
      <c r="P1013" s="8">
        <v>6.0</v>
      </c>
    </row>
    <row r="1014">
      <c r="A1014">
        <f>IFERROR(__xludf.DUMMYFUNCTION("""COMPUTED_VALUE"""),7.0)</f>
        <v>7</v>
      </c>
      <c r="B1014">
        <f>IFERROR(__xludf.DUMMYFUNCTION("""COMPUTED_VALUE"""),30033.0)</f>
        <v>30033</v>
      </c>
      <c r="C1014" t="str">
        <f>IFERROR(__xludf.DUMMYFUNCTION("""COMPUTED_VALUE"""),"CUARTAS VILLEGAS, ELIAS")</f>
        <v>CUARTAS VILLEGAS, ELIAS</v>
      </c>
      <c r="D1014" t="str">
        <f>IFERROR(__xludf.DUMMYFUNCTION("""COMPUTED_VALUE"""),"English 7")</f>
        <v>English 7</v>
      </c>
      <c r="E1014" s="31">
        <f>IFERROR(__xludf.DUMMYFUNCTION("""COMPUTED_VALUE"""),3.0)</f>
        <v>3</v>
      </c>
      <c r="F1014" s="8">
        <v>1.0</v>
      </c>
      <c r="G1014" s="8">
        <v>1.0</v>
      </c>
      <c r="H1014" s="8">
        <v>1.0</v>
      </c>
      <c r="I1014" s="8">
        <v>1.0</v>
      </c>
      <c r="J1014" s="8">
        <v>1.0</v>
      </c>
      <c r="K1014" s="8">
        <v>1.0</v>
      </c>
      <c r="L1014" s="8">
        <v>6.0</v>
      </c>
      <c r="M1014" s="8"/>
      <c r="N1014" s="8"/>
      <c r="O1014" s="8" t="s">
        <v>745</v>
      </c>
      <c r="P1014" s="8">
        <v>6.0</v>
      </c>
    </row>
    <row r="1015">
      <c r="A1015">
        <f>IFERROR(__xludf.DUMMYFUNCTION("""COMPUTED_VALUE"""),7.0)</f>
        <v>7</v>
      </c>
      <c r="B1015">
        <f>IFERROR(__xludf.DUMMYFUNCTION("""COMPUTED_VALUE"""),30034.0)</f>
        <v>30034</v>
      </c>
      <c r="C1015" t="str">
        <f>IFERROR(__xludf.DUMMYFUNCTION("""COMPUTED_VALUE"""),"CUERVO HINESTROSA, MARTIN")</f>
        <v>CUERVO HINESTROSA, MARTIN</v>
      </c>
      <c r="D1015" t="str">
        <f>IFERROR(__xludf.DUMMYFUNCTION("""COMPUTED_VALUE"""),"English 7")</f>
        <v>English 7</v>
      </c>
      <c r="E1015" s="31">
        <f>IFERROR(__xludf.DUMMYFUNCTION("""COMPUTED_VALUE"""),5.0)</f>
        <v>5</v>
      </c>
      <c r="F1015" s="8">
        <v>1.0</v>
      </c>
      <c r="G1015" s="8">
        <v>1.0</v>
      </c>
      <c r="H1015" s="8">
        <v>1.0</v>
      </c>
      <c r="I1015" s="8">
        <v>1.0</v>
      </c>
      <c r="J1015" s="8">
        <v>1.0</v>
      </c>
      <c r="K1015" s="8">
        <v>1.0</v>
      </c>
      <c r="L1015" s="8">
        <v>6.0</v>
      </c>
      <c r="M1015" s="8"/>
      <c r="N1015" s="8"/>
      <c r="O1015" s="8" t="s">
        <v>742</v>
      </c>
      <c r="P1015" s="8">
        <v>6.0</v>
      </c>
    </row>
    <row r="1016">
      <c r="A1016">
        <f>IFERROR(__xludf.DUMMYFUNCTION("""COMPUTED_VALUE"""),7.0)</f>
        <v>7</v>
      </c>
      <c r="B1016">
        <f>IFERROR(__xludf.DUMMYFUNCTION("""COMPUTED_VALUE"""),30137.0)</f>
        <v>30137</v>
      </c>
      <c r="C1016" t="str">
        <f>IFERROR(__xludf.DUMMYFUNCTION("""COMPUTED_VALUE"""),"DA SILVA ABATEPAULO, IAN")</f>
        <v>DA SILVA ABATEPAULO, IAN</v>
      </c>
      <c r="D1016" t="str">
        <f>IFERROR(__xludf.DUMMYFUNCTION("""COMPUTED_VALUE"""),"English 7A")</f>
        <v>English 7A</v>
      </c>
      <c r="E1016" s="31">
        <f>IFERROR(__xludf.DUMMYFUNCTION("""COMPUTED_VALUE"""),5.0)</f>
        <v>5</v>
      </c>
      <c r="F1016" s="8">
        <v>1.0</v>
      </c>
      <c r="G1016" s="8">
        <v>1.0</v>
      </c>
      <c r="H1016" s="8">
        <v>1.0</v>
      </c>
      <c r="I1016" s="8">
        <v>1.0</v>
      </c>
      <c r="J1016" s="8">
        <v>1.0</v>
      </c>
      <c r="K1016" s="8">
        <v>1.0</v>
      </c>
      <c r="L1016" s="8">
        <v>6.0</v>
      </c>
      <c r="M1016" s="8"/>
      <c r="N1016" s="8"/>
      <c r="O1016" s="8" t="s">
        <v>743</v>
      </c>
      <c r="P1016" s="8" t="e">
        <v>#N/A</v>
      </c>
    </row>
    <row r="1017">
      <c r="A1017">
        <f>IFERROR(__xludf.DUMMYFUNCTION("""COMPUTED_VALUE"""),7.0)</f>
        <v>7</v>
      </c>
      <c r="B1017">
        <f>IFERROR(__xludf.DUMMYFUNCTION("""COMPUTED_VALUE"""),30036.0)</f>
        <v>30036</v>
      </c>
      <c r="C1017" t="str">
        <f>IFERROR(__xludf.DUMMYFUNCTION("""COMPUTED_VALUE"""),"DUQUE OCHOA, PABLO")</f>
        <v>DUQUE OCHOA, PABLO</v>
      </c>
      <c r="D1017" t="str">
        <f>IFERROR(__xludf.DUMMYFUNCTION("""COMPUTED_VALUE"""),"English 7")</f>
        <v>English 7</v>
      </c>
      <c r="E1017" s="31">
        <f>IFERROR(__xludf.DUMMYFUNCTION("""COMPUTED_VALUE"""),2.0)</f>
        <v>2</v>
      </c>
      <c r="F1017" s="8">
        <v>1.0</v>
      </c>
      <c r="G1017" s="8">
        <v>1.0</v>
      </c>
      <c r="H1017" s="8">
        <v>1.0</v>
      </c>
      <c r="I1017" s="8">
        <v>1.0</v>
      </c>
      <c r="J1017" s="8">
        <v>1.0</v>
      </c>
      <c r="K1017" s="8">
        <v>1.0</v>
      </c>
      <c r="L1017" s="8">
        <v>6.0</v>
      </c>
      <c r="M1017" s="8"/>
      <c r="N1017" s="8"/>
      <c r="O1017" s="8" t="s">
        <v>741</v>
      </c>
      <c r="P1017" s="8">
        <v>6.0</v>
      </c>
    </row>
    <row r="1018">
      <c r="A1018">
        <f>IFERROR(__xludf.DUMMYFUNCTION("""COMPUTED_VALUE"""),7.0)</f>
        <v>7</v>
      </c>
      <c r="B1018">
        <f>IFERROR(__xludf.DUMMYFUNCTION("""COMPUTED_VALUE"""),30037.0)</f>
        <v>30037</v>
      </c>
      <c r="C1018" t="str">
        <f>IFERROR(__xludf.DUMMYFUNCTION("""COMPUTED_VALUE"""),"DUQUE ZAPATA, SAMUEL")</f>
        <v>DUQUE ZAPATA, SAMUEL</v>
      </c>
      <c r="D1018" t="str">
        <f>IFERROR(__xludf.DUMMYFUNCTION("""COMPUTED_VALUE"""),"English 7")</f>
        <v>English 7</v>
      </c>
      <c r="E1018" s="31">
        <f>IFERROR(__xludf.DUMMYFUNCTION("""COMPUTED_VALUE"""),3.0)</f>
        <v>3</v>
      </c>
      <c r="F1018" s="8">
        <v>1.0</v>
      </c>
      <c r="G1018" s="8">
        <v>1.0</v>
      </c>
      <c r="H1018" s="8">
        <v>1.0</v>
      </c>
      <c r="I1018" s="8">
        <v>1.0</v>
      </c>
      <c r="J1018" s="8">
        <v>1.0</v>
      </c>
      <c r="K1018" s="8">
        <v>1.0</v>
      </c>
      <c r="L1018" s="8">
        <v>6.0</v>
      </c>
      <c r="M1018" s="8"/>
      <c r="N1018" s="8"/>
      <c r="O1018" s="8" t="s">
        <v>745</v>
      </c>
      <c r="P1018" s="8">
        <v>6.0</v>
      </c>
    </row>
    <row r="1019">
      <c r="A1019">
        <f>IFERROR(__xludf.DUMMYFUNCTION("""COMPUTED_VALUE"""),7.0)</f>
        <v>7</v>
      </c>
      <c r="B1019">
        <f>IFERROR(__xludf.DUMMYFUNCTION("""COMPUTED_VALUE"""),30038.0)</f>
        <v>30038</v>
      </c>
      <c r="C1019" t="str">
        <f>IFERROR(__xludf.DUMMYFUNCTION("""COMPUTED_VALUE"""),"ESCANDON LIBOS, AMELIA")</f>
        <v>ESCANDON LIBOS, AMELIA</v>
      </c>
      <c r="D1019" t="str">
        <f>IFERROR(__xludf.DUMMYFUNCTION("""COMPUTED_VALUE"""),"English 7")</f>
        <v>English 7</v>
      </c>
      <c r="E1019" s="31">
        <f>IFERROR(__xludf.DUMMYFUNCTION("""COMPUTED_VALUE"""),6.0)</f>
        <v>6</v>
      </c>
      <c r="F1019" s="8">
        <v>1.0</v>
      </c>
      <c r="G1019" s="8">
        <v>1.0</v>
      </c>
      <c r="H1019" s="8">
        <v>1.0</v>
      </c>
      <c r="I1019" s="8">
        <v>1.0</v>
      </c>
      <c r="J1019" s="8">
        <v>1.0</v>
      </c>
      <c r="K1019" s="8">
        <v>1.0</v>
      </c>
      <c r="L1019" s="8">
        <v>6.0</v>
      </c>
      <c r="M1019" s="8"/>
      <c r="N1019" s="8"/>
      <c r="O1019" s="8" t="s">
        <v>746</v>
      </c>
      <c r="P1019" s="8">
        <v>6.0</v>
      </c>
    </row>
    <row r="1020">
      <c r="A1020">
        <f>IFERROR(__xludf.DUMMYFUNCTION("""COMPUTED_VALUE"""),7.0)</f>
        <v>7</v>
      </c>
      <c r="B1020">
        <f>IFERROR(__xludf.DUMMYFUNCTION("""COMPUTED_VALUE"""),30039.0)</f>
        <v>30039</v>
      </c>
      <c r="C1020" t="str">
        <f>IFERROR(__xludf.DUMMYFUNCTION("""COMPUTED_VALUE"""),"ESCOBAR CASTAÑO, ALICIA")</f>
        <v>ESCOBAR CASTAÑO, ALICIA</v>
      </c>
      <c r="D1020" t="str">
        <f>IFERROR(__xludf.DUMMYFUNCTION("""COMPUTED_VALUE"""),"English 7")</f>
        <v>English 7</v>
      </c>
      <c r="E1020" s="31">
        <f>IFERROR(__xludf.DUMMYFUNCTION("""COMPUTED_VALUE"""),1.0)</f>
        <v>1</v>
      </c>
      <c r="F1020" s="8">
        <v>1.0</v>
      </c>
      <c r="G1020" s="8">
        <v>1.0</v>
      </c>
      <c r="H1020" s="8">
        <v>1.0</v>
      </c>
      <c r="I1020" s="8">
        <v>1.0</v>
      </c>
      <c r="J1020" s="8">
        <v>1.0</v>
      </c>
      <c r="K1020" s="8">
        <v>1.0</v>
      </c>
      <c r="L1020" s="8">
        <v>6.0</v>
      </c>
      <c r="M1020" s="8"/>
      <c r="N1020" s="8"/>
      <c r="O1020" s="8" t="s">
        <v>744</v>
      </c>
      <c r="P1020" s="8">
        <v>6.0</v>
      </c>
    </row>
    <row r="1021">
      <c r="A1021">
        <f>IFERROR(__xludf.DUMMYFUNCTION("""COMPUTED_VALUE"""),7.0)</f>
        <v>7</v>
      </c>
      <c r="B1021">
        <f>IFERROR(__xludf.DUMMYFUNCTION("""COMPUTED_VALUE"""),30040.0)</f>
        <v>30040</v>
      </c>
      <c r="C1021" t="str">
        <f>IFERROR(__xludf.DUMMYFUNCTION("""COMPUTED_VALUE"""),"ESCOBEDO DRAVIGNEY, ZOE")</f>
        <v>ESCOBEDO DRAVIGNEY, ZOE</v>
      </c>
      <c r="D1021" t="str">
        <f>IFERROR(__xludf.DUMMYFUNCTION("""COMPUTED_VALUE"""),"English 7")</f>
        <v>English 7</v>
      </c>
      <c r="E1021" s="31">
        <f>IFERROR(__xludf.DUMMYFUNCTION("""COMPUTED_VALUE"""),5.0)</f>
        <v>5</v>
      </c>
      <c r="F1021" s="8">
        <v>1.0</v>
      </c>
      <c r="G1021" s="8">
        <v>1.0</v>
      </c>
      <c r="H1021" s="8">
        <v>1.0</v>
      </c>
      <c r="I1021" s="8">
        <v>1.0</v>
      </c>
      <c r="J1021" s="8">
        <v>1.0</v>
      </c>
      <c r="K1021" s="8">
        <v>1.0</v>
      </c>
      <c r="L1021" s="8">
        <v>6.0</v>
      </c>
      <c r="M1021" s="8"/>
      <c r="N1021" s="8"/>
      <c r="O1021" s="8" t="s">
        <v>742</v>
      </c>
      <c r="P1021" s="8">
        <v>6.0</v>
      </c>
    </row>
    <row r="1022">
      <c r="A1022">
        <f>IFERROR(__xludf.DUMMYFUNCTION("""COMPUTED_VALUE"""),7.0)</f>
        <v>7</v>
      </c>
      <c r="B1022">
        <f>IFERROR(__xludf.DUMMYFUNCTION("""COMPUTED_VALUE"""),30042.0)</f>
        <v>30042</v>
      </c>
      <c r="C1022" t="str">
        <f>IFERROR(__xludf.DUMMYFUNCTION("""COMPUTED_VALUE"""),"ESTELA NARANJO, JOSE MARIA")</f>
        <v>ESTELA NARANJO, JOSE MARIA</v>
      </c>
      <c r="D1022" t="str">
        <f>IFERROR(__xludf.DUMMYFUNCTION("""COMPUTED_VALUE"""),"English 7")</f>
        <v>English 7</v>
      </c>
      <c r="E1022" s="31">
        <f>IFERROR(__xludf.DUMMYFUNCTION("""COMPUTED_VALUE"""),6.0)</f>
        <v>6</v>
      </c>
      <c r="F1022" s="8">
        <v>1.0</v>
      </c>
      <c r="G1022" s="8">
        <v>1.0</v>
      </c>
      <c r="H1022" s="8">
        <v>1.0</v>
      </c>
      <c r="I1022" s="8">
        <v>1.0</v>
      </c>
      <c r="J1022" s="8">
        <v>1.0</v>
      </c>
      <c r="K1022" s="8">
        <v>1.0</v>
      </c>
      <c r="L1022" s="8">
        <v>6.0</v>
      </c>
      <c r="M1022" s="8"/>
      <c r="N1022" s="8"/>
      <c r="O1022" s="8" t="s">
        <v>746</v>
      </c>
      <c r="P1022" s="8">
        <v>6.0</v>
      </c>
    </row>
    <row r="1023">
      <c r="A1023">
        <f>IFERROR(__xludf.DUMMYFUNCTION("""COMPUTED_VALUE"""),7.0)</f>
        <v>7</v>
      </c>
      <c r="B1023">
        <f>IFERROR(__xludf.DUMMYFUNCTION("""COMPUTED_VALUE"""),30043.0)</f>
        <v>30043</v>
      </c>
      <c r="C1023" t="str">
        <f>IFERROR(__xludf.DUMMYFUNCTION("""COMPUTED_VALUE"""),"FERNANDEZ RAMIREZ, SANTIAGO")</f>
        <v>FERNANDEZ RAMIREZ, SANTIAGO</v>
      </c>
      <c r="D1023" t="str">
        <f>IFERROR(__xludf.DUMMYFUNCTION("""COMPUTED_VALUE"""),"English 7")</f>
        <v>English 7</v>
      </c>
      <c r="E1023" s="31">
        <f>IFERROR(__xludf.DUMMYFUNCTION("""COMPUTED_VALUE"""),3.0)</f>
        <v>3</v>
      </c>
      <c r="F1023" s="8">
        <v>1.0</v>
      </c>
      <c r="G1023" s="8">
        <v>1.0</v>
      </c>
      <c r="H1023" s="8">
        <v>1.0</v>
      </c>
      <c r="I1023" s="8">
        <v>1.0</v>
      </c>
      <c r="J1023" s="8">
        <v>1.0</v>
      </c>
      <c r="K1023" s="8">
        <v>1.0</v>
      </c>
      <c r="L1023" s="8">
        <v>6.0</v>
      </c>
      <c r="M1023" s="8"/>
      <c r="N1023" s="8"/>
      <c r="O1023" s="8" t="s">
        <v>745</v>
      </c>
      <c r="P1023" s="8">
        <v>6.0</v>
      </c>
    </row>
    <row r="1024">
      <c r="A1024">
        <f>IFERROR(__xludf.DUMMYFUNCTION("""COMPUTED_VALUE"""),7.0)</f>
        <v>7</v>
      </c>
      <c r="B1024">
        <f>IFERROR(__xludf.DUMMYFUNCTION("""COMPUTED_VALUE"""),30045.0)</f>
        <v>30045</v>
      </c>
      <c r="C1024" t="str">
        <f>IFERROR(__xludf.DUMMYFUNCTION("""COMPUTED_VALUE"""),"GALVEZ ATEHORTUA, LAURA")</f>
        <v>GALVEZ ATEHORTUA, LAURA</v>
      </c>
      <c r="D1024" t="str">
        <f>IFERROR(__xludf.DUMMYFUNCTION("""COMPUTED_VALUE"""),"English 7A")</f>
        <v>English 7A</v>
      </c>
      <c r="E1024" s="31">
        <f>IFERROR(__xludf.DUMMYFUNCTION("""COMPUTED_VALUE"""),5.0)</f>
        <v>5</v>
      </c>
      <c r="F1024" s="8">
        <v>1.0</v>
      </c>
      <c r="G1024" s="8">
        <v>1.0</v>
      </c>
      <c r="H1024" s="8">
        <v>1.0</v>
      </c>
      <c r="I1024" s="8">
        <v>1.0</v>
      </c>
      <c r="J1024" s="8">
        <v>1.0</v>
      </c>
      <c r="K1024" s="8">
        <v>1.0</v>
      </c>
      <c r="L1024" s="8">
        <v>6.0</v>
      </c>
      <c r="M1024" s="8"/>
      <c r="N1024" s="8"/>
      <c r="O1024" s="8" t="s">
        <v>743</v>
      </c>
      <c r="P1024" s="8" t="e">
        <v>#N/A</v>
      </c>
    </row>
    <row r="1025">
      <c r="A1025">
        <f>IFERROR(__xludf.DUMMYFUNCTION("""COMPUTED_VALUE"""),7.0)</f>
        <v>7</v>
      </c>
      <c r="B1025">
        <f>IFERROR(__xludf.DUMMYFUNCTION("""COMPUTED_VALUE"""),30139.0)</f>
        <v>30139</v>
      </c>
      <c r="C1025" t="str">
        <f>IFERROR(__xludf.DUMMYFUNCTION("""COMPUTED_VALUE"""),"GARCIA RESTREPO, MATIAS")</f>
        <v>GARCIA RESTREPO, MATIAS</v>
      </c>
      <c r="D1025" t="str">
        <f>IFERROR(__xludf.DUMMYFUNCTION("""COMPUTED_VALUE"""),"English 7")</f>
        <v>English 7</v>
      </c>
      <c r="E1025" s="31">
        <f>IFERROR(__xludf.DUMMYFUNCTION("""COMPUTED_VALUE"""),2.0)</f>
        <v>2</v>
      </c>
      <c r="F1025" s="8">
        <v>1.0</v>
      </c>
      <c r="G1025" s="8">
        <v>1.0</v>
      </c>
      <c r="H1025" s="8">
        <v>1.0</v>
      </c>
      <c r="I1025" s="8">
        <v>1.0</v>
      </c>
      <c r="J1025" s="8">
        <v>1.0</v>
      </c>
      <c r="K1025" s="8">
        <v>1.0</v>
      </c>
      <c r="L1025" s="8">
        <v>6.0</v>
      </c>
      <c r="M1025" s="8"/>
      <c r="N1025" s="8"/>
      <c r="O1025" s="8" t="s">
        <v>741</v>
      </c>
      <c r="P1025" s="8">
        <v>6.0</v>
      </c>
    </row>
    <row r="1026">
      <c r="A1026">
        <f>IFERROR(__xludf.DUMMYFUNCTION("""COMPUTED_VALUE"""),7.0)</f>
        <v>7</v>
      </c>
      <c r="B1026">
        <f>IFERROR(__xludf.DUMMYFUNCTION("""COMPUTED_VALUE"""),30046.0)</f>
        <v>30046</v>
      </c>
      <c r="C1026" t="str">
        <f>IFERROR(__xludf.DUMMYFUNCTION("""COMPUTED_VALUE"""),"GARCIA RIVERA, MARTIN")</f>
        <v>GARCIA RIVERA, MARTIN</v>
      </c>
      <c r="D1026" t="str">
        <f>IFERROR(__xludf.DUMMYFUNCTION("""COMPUTED_VALUE"""),"English 7")</f>
        <v>English 7</v>
      </c>
      <c r="E1026" s="31">
        <f>IFERROR(__xludf.DUMMYFUNCTION("""COMPUTED_VALUE"""),5.0)</f>
        <v>5</v>
      </c>
      <c r="F1026" s="8">
        <v>1.0</v>
      </c>
      <c r="G1026" s="8">
        <v>1.0</v>
      </c>
      <c r="H1026" s="8">
        <v>1.0</v>
      </c>
      <c r="I1026" s="8">
        <v>1.0</v>
      </c>
      <c r="J1026" s="8">
        <v>1.0</v>
      </c>
      <c r="K1026" s="8">
        <v>1.0</v>
      </c>
      <c r="L1026" s="8">
        <v>6.0</v>
      </c>
      <c r="M1026" s="8"/>
      <c r="N1026" s="8"/>
      <c r="O1026" s="8" t="s">
        <v>742</v>
      </c>
      <c r="P1026" s="8">
        <v>6.0</v>
      </c>
    </row>
    <row r="1027">
      <c r="A1027">
        <f>IFERROR(__xludf.DUMMYFUNCTION("""COMPUTED_VALUE"""),7.0)</f>
        <v>7</v>
      </c>
      <c r="B1027">
        <f>IFERROR(__xludf.DUMMYFUNCTION("""COMPUTED_VALUE"""),30047.0)</f>
        <v>30047</v>
      </c>
      <c r="C1027" t="str">
        <f>IFERROR(__xludf.DUMMYFUNCTION("""COMPUTED_VALUE"""),"GAVIRIA ISAZA, CAMILO")</f>
        <v>GAVIRIA ISAZA, CAMILO</v>
      </c>
      <c r="D1027" t="str">
        <f>IFERROR(__xludf.DUMMYFUNCTION("""COMPUTED_VALUE"""),"English 7A")</f>
        <v>English 7A</v>
      </c>
      <c r="E1027" s="31">
        <f>IFERROR(__xludf.DUMMYFUNCTION("""COMPUTED_VALUE"""),5.0)</f>
        <v>5</v>
      </c>
      <c r="F1027" s="8">
        <v>1.0</v>
      </c>
      <c r="G1027" s="8">
        <v>1.0</v>
      </c>
      <c r="H1027" s="8">
        <v>1.0</v>
      </c>
      <c r="I1027" s="8">
        <v>1.0</v>
      </c>
      <c r="J1027" s="8">
        <v>1.0</v>
      </c>
      <c r="K1027" s="8">
        <v>1.0</v>
      </c>
      <c r="L1027" s="8">
        <v>6.0</v>
      </c>
      <c r="M1027" s="8"/>
      <c r="N1027" s="8"/>
      <c r="O1027" s="8" t="s">
        <v>743</v>
      </c>
      <c r="P1027" s="8" t="e">
        <v>#N/A</v>
      </c>
    </row>
    <row r="1028">
      <c r="A1028">
        <f>IFERROR(__xludf.DUMMYFUNCTION("""COMPUTED_VALUE"""),7.0)</f>
        <v>7</v>
      </c>
      <c r="B1028">
        <f>IFERROR(__xludf.DUMMYFUNCTION("""COMPUTED_VALUE"""),30048.0)</f>
        <v>30048</v>
      </c>
      <c r="C1028" t="str">
        <f>IFERROR(__xludf.DUMMYFUNCTION("""COMPUTED_VALUE"""),"GAVIRIA OLAYA, AMALIA")</f>
        <v>GAVIRIA OLAYA, AMALIA</v>
      </c>
      <c r="D1028" t="str">
        <f>IFERROR(__xludf.DUMMYFUNCTION("""COMPUTED_VALUE"""),"English 7")</f>
        <v>English 7</v>
      </c>
      <c r="E1028" s="31">
        <f>IFERROR(__xludf.DUMMYFUNCTION("""COMPUTED_VALUE"""),5.0)</f>
        <v>5</v>
      </c>
      <c r="F1028" s="8">
        <v>1.0</v>
      </c>
      <c r="G1028" s="8">
        <v>1.0</v>
      </c>
      <c r="H1028" s="8">
        <v>1.0</v>
      </c>
      <c r="I1028" s="8">
        <v>1.0</v>
      </c>
      <c r="J1028" s="8">
        <v>1.0</v>
      </c>
      <c r="K1028" s="8">
        <v>1.0</v>
      </c>
      <c r="L1028" s="8">
        <v>6.0</v>
      </c>
      <c r="M1028" s="8"/>
      <c r="N1028" s="8"/>
      <c r="O1028" s="8" t="s">
        <v>742</v>
      </c>
      <c r="P1028" s="8">
        <v>6.0</v>
      </c>
    </row>
    <row r="1029">
      <c r="A1029">
        <f>IFERROR(__xludf.DUMMYFUNCTION("""COMPUTED_VALUE"""),7.0)</f>
        <v>7</v>
      </c>
      <c r="B1029">
        <f>IFERROR(__xludf.DUMMYFUNCTION("""COMPUTED_VALUE"""),30146.0)</f>
        <v>30146</v>
      </c>
      <c r="C1029" t="str">
        <f>IFERROR(__xludf.DUMMYFUNCTION("""COMPUTED_VALUE"""),"GIRALDO MONTOYA, EMMA")</f>
        <v>GIRALDO MONTOYA, EMMA</v>
      </c>
      <c r="D1029" t="str">
        <f>IFERROR(__xludf.DUMMYFUNCTION("""COMPUTED_VALUE"""),"English 7")</f>
        <v>English 7</v>
      </c>
      <c r="E1029" s="31">
        <f>IFERROR(__xludf.DUMMYFUNCTION("""COMPUTED_VALUE"""),1.0)</f>
        <v>1</v>
      </c>
      <c r="F1029" s="8">
        <v>1.0</v>
      </c>
      <c r="G1029" s="8">
        <v>1.0</v>
      </c>
      <c r="H1029" s="8">
        <v>1.0</v>
      </c>
      <c r="I1029" s="8">
        <v>1.0</v>
      </c>
      <c r="J1029" s="8">
        <v>1.0</v>
      </c>
      <c r="K1029" s="8">
        <v>1.0</v>
      </c>
      <c r="L1029" s="8">
        <v>6.0</v>
      </c>
      <c r="M1029" s="8"/>
      <c r="N1029" s="8"/>
      <c r="O1029" s="8" t="s">
        <v>744</v>
      </c>
      <c r="P1029" s="8">
        <v>6.0</v>
      </c>
    </row>
    <row r="1030">
      <c r="A1030">
        <f>IFERROR(__xludf.DUMMYFUNCTION("""COMPUTED_VALUE"""),7.0)</f>
        <v>7</v>
      </c>
      <c r="B1030">
        <f>IFERROR(__xludf.DUMMYFUNCTION("""COMPUTED_VALUE"""),30049.0)</f>
        <v>30049</v>
      </c>
      <c r="C1030" t="str">
        <f>IFERROR(__xludf.DUMMYFUNCTION("""COMPUTED_VALUE"""),"GOMEZ RAMIREZ, JOAQUIN")</f>
        <v>GOMEZ RAMIREZ, JOAQUIN</v>
      </c>
      <c r="D1030" t="str">
        <f>IFERROR(__xludf.DUMMYFUNCTION("""COMPUTED_VALUE"""),"English 7")</f>
        <v>English 7</v>
      </c>
      <c r="E1030" s="31">
        <f>IFERROR(__xludf.DUMMYFUNCTION("""COMPUTED_VALUE"""),3.0)</f>
        <v>3</v>
      </c>
      <c r="F1030" s="8">
        <v>1.0</v>
      </c>
      <c r="G1030" s="8">
        <v>1.0</v>
      </c>
      <c r="H1030" s="8">
        <v>1.0</v>
      </c>
      <c r="I1030" s="8">
        <v>1.0</v>
      </c>
      <c r="J1030" s="8">
        <v>1.0</v>
      </c>
      <c r="K1030" s="8">
        <v>1.0</v>
      </c>
      <c r="L1030" s="8">
        <v>6.0</v>
      </c>
      <c r="M1030" s="8"/>
      <c r="N1030" s="8"/>
      <c r="O1030" s="8" t="s">
        <v>745</v>
      </c>
      <c r="P1030" s="8">
        <v>6.0</v>
      </c>
    </row>
    <row r="1031">
      <c r="A1031">
        <f>IFERROR(__xludf.DUMMYFUNCTION("""COMPUTED_VALUE"""),7.0)</f>
        <v>7</v>
      </c>
      <c r="B1031">
        <f>IFERROR(__xludf.DUMMYFUNCTION("""COMPUTED_VALUE"""),30050.0)</f>
        <v>30050</v>
      </c>
      <c r="C1031" t="str">
        <f>IFERROR(__xludf.DUMMYFUNCTION("""COMPUTED_VALUE"""),"GOMEZ TORRES, AMALIA")</f>
        <v>GOMEZ TORRES, AMALIA</v>
      </c>
      <c r="D1031" t="str">
        <f>IFERROR(__xludf.DUMMYFUNCTION("""COMPUTED_VALUE"""),"English 7")</f>
        <v>English 7</v>
      </c>
      <c r="E1031" s="31">
        <f>IFERROR(__xludf.DUMMYFUNCTION("""COMPUTED_VALUE"""),6.0)</f>
        <v>6</v>
      </c>
      <c r="F1031" s="8">
        <v>1.0</v>
      </c>
      <c r="G1031" s="8">
        <v>1.0</v>
      </c>
      <c r="H1031" s="8">
        <v>1.0</v>
      </c>
      <c r="I1031" s="8">
        <v>1.0</v>
      </c>
      <c r="J1031" s="8">
        <v>1.0</v>
      </c>
      <c r="K1031" s="8">
        <v>1.0</v>
      </c>
      <c r="L1031" s="8">
        <v>6.0</v>
      </c>
      <c r="M1031" s="8"/>
      <c r="N1031" s="8"/>
      <c r="O1031" s="8" t="s">
        <v>746</v>
      </c>
      <c r="P1031" s="8">
        <v>6.0</v>
      </c>
    </row>
    <row r="1032">
      <c r="A1032">
        <f>IFERROR(__xludf.DUMMYFUNCTION("""COMPUTED_VALUE"""),7.0)</f>
        <v>7</v>
      </c>
      <c r="B1032">
        <f>IFERROR(__xludf.DUMMYFUNCTION("""COMPUTED_VALUE"""),30051.0)</f>
        <v>30051</v>
      </c>
      <c r="C1032" t="str">
        <f>IFERROR(__xludf.DUMMYFUNCTION("""COMPUTED_VALUE"""),"GONZALEZ MONSALVE, JULIETA")</f>
        <v>GONZALEZ MONSALVE, JULIETA</v>
      </c>
      <c r="D1032" t="str">
        <f>IFERROR(__xludf.DUMMYFUNCTION("""COMPUTED_VALUE"""),"English 7A")</f>
        <v>English 7A</v>
      </c>
      <c r="E1032" s="31">
        <f>IFERROR(__xludf.DUMMYFUNCTION("""COMPUTED_VALUE"""),5.0)</f>
        <v>5</v>
      </c>
      <c r="F1032" s="8">
        <v>1.0</v>
      </c>
      <c r="G1032" s="8">
        <v>1.0</v>
      </c>
      <c r="H1032" s="8">
        <v>1.0</v>
      </c>
      <c r="I1032" s="8">
        <v>1.0</v>
      </c>
      <c r="J1032" s="8">
        <v>1.0</v>
      </c>
      <c r="K1032" s="8">
        <v>1.0</v>
      </c>
      <c r="L1032" s="8">
        <v>6.0</v>
      </c>
      <c r="M1032" s="8"/>
      <c r="N1032" s="8"/>
      <c r="O1032" s="8" t="s">
        <v>743</v>
      </c>
      <c r="P1032" s="8" t="e">
        <v>#N/A</v>
      </c>
    </row>
    <row r="1033">
      <c r="A1033">
        <f>IFERROR(__xludf.DUMMYFUNCTION("""COMPUTED_VALUE"""),7.0)</f>
        <v>7</v>
      </c>
      <c r="B1033">
        <f>IFERROR(__xludf.DUMMYFUNCTION("""COMPUTED_VALUE"""),30052.0)</f>
        <v>30052</v>
      </c>
      <c r="C1033" t="str">
        <f>IFERROR(__xludf.DUMMYFUNCTION("""COMPUTED_VALUE"""),"GONZALEZ TORRES, SEBASTIAN")</f>
        <v>GONZALEZ TORRES, SEBASTIAN</v>
      </c>
      <c r="D1033" t="str">
        <f>IFERROR(__xludf.DUMMYFUNCTION("""COMPUTED_VALUE"""),"English 7")</f>
        <v>English 7</v>
      </c>
      <c r="E1033" s="31">
        <f>IFERROR(__xludf.DUMMYFUNCTION("""COMPUTED_VALUE"""),5.0)</f>
        <v>5</v>
      </c>
      <c r="F1033" s="8">
        <v>1.0</v>
      </c>
      <c r="G1033" s="8">
        <v>1.0</v>
      </c>
      <c r="H1033" s="8">
        <v>1.0</v>
      </c>
      <c r="I1033" s="8">
        <v>1.0</v>
      </c>
      <c r="J1033" s="8">
        <v>1.0</v>
      </c>
      <c r="K1033" s="8">
        <v>1.0</v>
      </c>
      <c r="L1033" s="8">
        <v>6.0</v>
      </c>
      <c r="M1033" s="8"/>
      <c r="N1033" s="8"/>
      <c r="O1033" s="8" t="s">
        <v>742</v>
      </c>
      <c r="P1033" s="8">
        <v>6.0</v>
      </c>
    </row>
    <row r="1034">
      <c r="A1034">
        <f>IFERROR(__xludf.DUMMYFUNCTION("""COMPUTED_VALUE"""),7.0)</f>
        <v>7</v>
      </c>
      <c r="B1034">
        <f>IFERROR(__xludf.DUMMYFUNCTION("""COMPUTED_VALUE"""),30053.0)</f>
        <v>30053</v>
      </c>
      <c r="C1034" t="str">
        <f>IFERROR(__xludf.DUMMYFUNCTION("""COMPUTED_VALUE"""),"GONZALEZ TRABOULSI, MATIAS")</f>
        <v>GONZALEZ TRABOULSI, MATIAS</v>
      </c>
      <c r="D1034" t="str">
        <f>IFERROR(__xludf.DUMMYFUNCTION("""COMPUTED_VALUE"""),"English 7")</f>
        <v>English 7</v>
      </c>
      <c r="E1034" s="31">
        <f>IFERROR(__xludf.DUMMYFUNCTION("""COMPUTED_VALUE"""),1.0)</f>
        <v>1</v>
      </c>
      <c r="F1034" s="8">
        <v>1.0</v>
      </c>
      <c r="G1034" s="8">
        <v>1.0</v>
      </c>
      <c r="H1034" s="8">
        <v>1.0</v>
      </c>
      <c r="I1034" s="8">
        <v>1.0</v>
      </c>
      <c r="J1034" s="8">
        <v>1.0</v>
      </c>
      <c r="K1034" s="8">
        <v>1.0</v>
      </c>
      <c r="L1034" s="8">
        <v>6.0</v>
      </c>
      <c r="M1034" s="8"/>
      <c r="N1034" s="8"/>
      <c r="O1034" s="8" t="s">
        <v>744</v>
      </c>
      <c r="P1034" s="8">
        <v>6.0</v>
      </c>
    </row>
    <row r="1035">
      <c r="A1035">
        <f>IFERROR(__xludf.DUMMYFUNCTION("""COMPUTED_VALUE"""),7.0)</f>
        <v>7</v>
      </c>
      <c r="B1035">
        <f>IFERROR(__xludf.DUMMYFUNCTION("""COMPUTED_VALUE"""),30054.0)</f>
        <v>30054</v>
      </c>
      <c r="C1035" t="str">
        <f>IFERROR(__xludf.DUMMYFUNCTION("""COMPUTED_VALUE"""),"GRISALES PINEDA, ELISA")</f>
        <v>GRISALES PINEDA, ELISA</v>
      </c>
      <c r="D1035" t="str">
        <f>IFERROR(__xludf.DUMMYFUNCTION("""COMPUTED_VALUE"""),"English 7")</f>
        <v>English 7</v>
      </c>
      <c r="E1035" s="31">
        <f>IFERROR(__xludf.DUMMYFUNCTION("""COMPUTED_VALUE"""),5.0)</f>
        <v>5</v>
      </c>
      <c r="F1035" s="8">
        <v>1.0</v>
      </c>
      <c r="G1035" s="8">
        <v>1.0</v>
      </c>
      <c r="H1035" s="8">
        <v>1.0</v>
      </c>
      <c r="I1035" s="8">
        <v>1.0</v>
      </c>
      <c r="J1035" s="8">
        <v>1.0</v>
      </c>
      <c r="K1035" s="8">
        <v>1.0</v>
      </c>
      <c r="L1035" s="8">
        <v>6.0</v>
      </c>
      <c r="M1035" s="8"/>
      <c r="N1035" s="8"/>
      <c r="O1035" s="8" t="s">
        <v>742</v>
      </c>
      <c r="P1035" s="8">
        <v>6.0</v>
      </c>
    </row>
    <row r="1036">
      <c r="A1036">
        <f>IFERROR(__xludf.DUMMYFUNCTION("""COMPUTED_VALUE"""),7.0)</f>
        <v>7</v>
      </c>
      <c r="B1036">
        <f>IFERROR(__xludf.DUMMYFUNCTION("""COMPUTED_VALUE"""),30055.0)</f>
        <v>30055</v>
      </c>
      <c r="C1036" t="str">
        <f>IFERROR(__xludf.DUMMYFUNCTION("""COMPUTED_VALUE"""),"GUERRERO JARAMILLO, CAMILA")</f>
        <v>GUERRERO JARAMILLO, CAMILA</v>
      </c>
      <c r="D1036" t="str">
        <f>IFERROR(__xludf.DUMMYFUNCTION("""COMPUTED_VALUE"""),"English 7")</f>
        <v>English 7</v>
      </c>
      <c r="E1036" s="31">
        <f>IFERROR(__xludf.DUMMYFUNCTION("""COMPUTED_VALUE"""),6.0)</f>
        <v>6</v>
      </c>
      <c r="F1036" s="8">
        <v>1.0</v>
      </c>
      <c r="G1036" s="8">
        <v>1.0</v>
      </c>
      <c r="H1036" s="8">
        <v>1.0</v>
      </c>
      <c r="I1036" s="8">
        <v>1.0</v>
      </c>
      <c r="J1036" s="8">
        <v>1.0</v>
      </c>
      <c r="K1036" s="8">
        <v>1.0</v>
      </c>
      <c r="L1036" s="8">
        <v>6.0</v>
      </c>
      <c r="M1036" s="8"/>
      <c r="N1036" s="8"/>
      <c r="O1036" s="8" t="s">
        <v>746</v>
      </c>
      <c r="P1036" s="8">
        <v>6.0</v>
      </c>
    </row>
    <row r="1037">
      <c r="A1037">
        <f>IFERROR(__xludf.DUMMYFUNCTION("""COMPUTED_VALUE"""),7.0)</f>
        <v>7</v>
      </c>
      <c r="B1037">
        <f>IFERROR(__xludf.DUMMYFUNCTION("""COMPUTED_VALUE"""),30056.0)</f>
        <v>30056</v>
      </c>
      <c r="C1037" t="str">
        <f>IFERROR(__xludf.DUMMYFUNCTION("""COMPUTED_VALUE"""),"GUTIERREZ CARVAJAL, VIOLETA")</f>
        <v>GUTIERREZ CARVAJAL, VIOLETA</v>
      </c>
      <c r="D1037" t="str">
        <f>IFERROR(__xludf.DUMMYFUNCTION("""COMPUTED_VALUE"""),"English 7")</f>
        <v>English 7</v>
      </c>
      <c r="E1037" s="31">
        <f>IFERROR(__xludf.DUMMYFUNCTION("""COMPUTED_VALUE"""),5.0)</f>
        <v>5</v>
      </c>
      <c r="F1037" s="8">
        <v>1.0</v>
      </c>
      <c r="G1037" s="8">
        <v>1.0</v>
      </c>
      <c r="H1037" s="8">
        <v>1.0</v>
      </c>
      <c r="I1037" s="8">
        <v>1.0</v>
      </c>
      <c r="J1037" s="8">
        <v>1.0</v>
      </c>
      <c r="K1037" s="8">
        <v>1.0</v>
      </c>
      <c r="L1037" s="8">
        <v>6.0</v>
      </c>
      <c r="M1037" s="8"/>
      <c r="N1037" s="8"/>
      <c r="O1037" s="8" t="s">
        <v>742</v>
      </c>
      <c r="P1037" s="8">
        <v>6.0</v>
      </c>
    </row>
    <row r="1038">
      <c r="A1038">
        <f>IFERROR(__xludf.DUMMYFUNCTION("""COMPUTED_VALUE"""),7.0)</f>
        <v>7</v>
      </c>
      <c r="B1038">
        <f>IFERROR(__xludf.DUMMYFUNCTION("""COMPUTED_VALUE"""),30057.0)</f>
        <v>30057</v>
      </c>
      <c r="C1038" t="str">
        <f>IFERROR(__xludf.DUMMYFUNCTION("""COMPUTED_VALUE"""),"GUTIERREZ OCAMPO, ISABELA")</f>
        <v>GUTIERREZ OCAMPO, ISABELA</v>
      </c>
      <c r="D1038" t="str">
        <f>IFERROR(__xludf.DUMMYFUNCTION("""COMPUTED_VALUE"""),"English 7")</f>
        <v>English 7</v>
      </c>
      <c r="E1038" s="31">
        <f>IFERROR(__xludf.DUMMYFUNCTION("""COMPUTED_VALUE"""),1.0)</f>
        <v>1</v>
      </c>
      <c r="F1038" s="8">
        <v>1.0</v>
      </c>
      <c r="G1038" s="8">
        <v>1.0</v>
      </c>
      <c r="H1038" s="8">
        <v>1.0</v>
      </c>
      <c r="I1038" s="8">
        <v>1.0</v>
      </c>
      <c r="J1038" s="8">
        <v>1.0</v>
      </c>
      <c r="K1038" s="8">
        <v>1.0</v>
      </c>
      <c r="L1038" s="8">
        <v>6.0</v>
      </c>
      <c r="M1038" s="8"/>
      <c r="N1038" s="8"/>
      <c r="O1038" s="8" t="s">
        <v>744</v>
      </c>
      <c r="P1038" s="8">
        <v>6.0</v>
      </c>
    </row>
    <row r="1039">
      <c r="A1039">
        <f>IFERROR(__xludf.DUMMYFUNCTION("""COMPUTED_VALUE"""),7.0)</f>
        <v>7</v>
      </c>
      <c r="B1039">
        <f>IFERROR(__xludf.DUMMYFUNCTION("""COMPUTED_VALUE"""),30058.0)</f>
        <v>30058</v>
      </c>
      <c r="C1039" t="str">
        <f>IFERROR(__xludf.DUMMYFUNCTION("""COMPUTED_VALUE"""),"GUZMAN FRANCO, SEBASTIAN")</f>
        <v>GUZMAN FRANCO, SEBASTIAN</v>
      </c>
      <c r="D1039" t="str">
        <f>IFERROR(__xludf.DUMMYFUNCTION("""COMPUTED_VALUE"""),"English 7")</f>
        <v>English 7</v>
      </c>
      <c r="E1039" s="31">
        <f>IFERROR(__xludf.DUMMYFUNCTION("""COMPUTED_VALUE"""),6.0)</f>
        <v>6</v>
      </c>
      <c r="F1039" s="8">
        <v>1.0</v>
      </c>
      <c r="G1039" s="8">
        <v>1.0</v>
      </c>
      <c r="H1039" s="8">
        <v>1.0</v>
      </c>
      <c r="I1039" s="8">
        <v>1.0</v>
      </c>
      <c r="J1039" s="8">
        <v>1.0</v>
      </c>
      <c r="K1039" s="8">
        <v>1.0</v>
      </c>
      <c r="L1039" s="8">
        <v>6.0</v>
      </c>
      <c r="M1039" s="8"/>
      <c r="N1039" s="8"/>
      <c r="O1039" s="8" t="s">
        <v>746</v>
      </c>
      <c r="P1039" s="8">
        <v>6.0</v>
      </c>
    </row>
    <row r="1040">
      <c r="A1040">
        <f>IFERROR(__xludf.DUMMYFUNCTION("""COMPUTED_VALUE"""),7.0)</f>
        <v>7</v>
      </c>
      <c r="B1040">
        <f>IFERROR(__xludf.DUMMYFUNCTION("""COMPUTED_VALUE"""),30059.0)</f>
        <v>30059</v>
      </c>
      <c r="C1040" t="str">
        <f>IFERROR(__xludf.DUMMYFUNCTION("""COMPUTED_VALUE"""),"HALABY NAVARRO, MARCO")</f>
        <v>HALABY NAVARRO, MARCO</v>
      </c>
      <c r="D1040" t="str">
        <f>IFERROR(__xludf.DUMMYFUNCTION("""COMPUTED_VALUE"""),"English 7")</f>
        <v>English 7</v>
      </c>
      <c r="E1040" s="31">
        <f>IFERROR(__xludf.DUMMYFUNCTION("""COMPUTED_VALUE"""),5.0)</f>
        <v>5</v>
      </c>
      <c r="F1040" s="8">
        <v>1.0</v>
      </c>
      <c r="G1040" s="8">
        <v>1.0</v>
      </c>
      <c r="H1040" s="8">
        <v>1.0</v>
      </c>
      <c r="I1040" s="8">
        <v>1.0</v>
      </c>
      <c r="J1040" s="8">
        <v>1.0</v>
      </c>
      <c r="K1040" s="8">
        <v>1.0</v>
      </c>
      <c r="L1040" s="8">
        <v>6.0</v>
      </c>
      <c r="M1040" s="8"/>
      <c r="N1040" s="8"/>
      <c r="O1040" s="8" t="s">
        <v>742</v>
      </c>
      <c r="P1040" s="8">
        <v>6.0</v>
      </c>
    </row>
    <row r="1041">
      <c r="A1041">
        <f>IFERROR(__xludf.DUMMYFUNCTION("""COMPUTED_VALUE"""),7.0)</f>
        <v>7</v>
      </c>
      <c r="B1041">
        <f>IFERROR(__xludf.DUMMYFUNCTION("""COMPUTED_VALUE"""),30166.0)</f>
        <v>30166</v>
      </c>
      <c r="C1041" t="str">
        <f>IFERROR(__xludf.DUMMYFUNCTION("""COMPUTED_VALUE"""),"HERNANDEZ GOMEZ, EMILIA")</f>
        <v>HERNANDEZ GOMEZ, EMILIA</v>
      </c>
      <c r="D1041" t="str">
        <f>IFERROR(__xludf.DUMMYFUNCTION("""COMPUTED_VALUE"""),"English 7A")</f>
        <v>English 7A</v>
      </c>
      <c r="E1041" s="31">
        <f>IFERROR(__xludf.DUMMYFUNCTION("""COMPUTED_VALUE"""),5.0)</f>
        <v>5</v>
      </c>
      <c r="F1041" s="8">
        <v>1.0</v>
      </c>
      <c r="G1041" s="8">
        <v>1.0</v>
      </c>
      <c r="H1041" s="8">
        <v>1.0</v>
      </c>
      <c r="I1041" s="8">
        <v>1.0</v>
      </c>
      <c r="J1041" s="8">
        <v>1.0</v>
      </c>
      <c r="K1041" s="8">
        <v>1.0</v>
      </c>
      <c r="L1041" s="8">
        <v>6.0</v>
      </c>
      <c r="M1041" s="8"/>
      <c r="N1041" s="8"/>
      <c r="O1041" s="8" t="s">
        <v>743</v>
      </c>
      <c r="P1041" s="8" t="e">
        <v>#N/A</v>
      </c>
    </row>
    <row r="1042">
      <c r="A1042">
        <f>IFERROR(__xludf.DUMMYFUNCTION("""COMPUTED_VALUE"""),7.0)</f>
        <v>7</v>
      </c>
      <c r="B1042">
        <f>IFERROR(__xludf.DUMMYFUNCTION("""COMPUTED_VALUE"""),30062.0)</f>
        <v>30062</v>
      </c>
      <c r="C1042" t="str">
        <f>IFERROR(__xludf.DUMMYFUNCTION("""COMPUTED_VALUE"""),"HURTADO FAJARDO, VALERIA")</f>
        <v>HURTADO FAJARDO, VALERIA</v>
      </c>
      <c r="D1042" t="str">
        <f>IFERROR(__xludf.DUMMYFUNCTION("""COMPUTED_VALUE"""),"English 7")</f>
        <v>English 7</v>
      </c>
      <c r="E1042" s="31">
        <f>IFERROR(__xludf.DUMMYFUNCTION("""COMPUTED_VALUE"""),5.0)</f>
        <v>5</v>
      </c>
      <c r="F1042" s="8">
        <v>1.0</v>
      </c>
      <c r="G1042" s="8">
        <v>1.0</v>
      </c>
      <c r="H1042" s="8">
        <v>1.0</v>
      </c>
      <c r="I1042" s="8">
        <v>1.0</v>
      </c>
      <c r="J1042" s="8">
        <v>1.0</v>
      </c>
      <c r="K1042" s="8">
        <v>1.0</v>
      </c>
      <c r="L1042" s="8">
        <v>6.0</v>
      </c>
      <c r="M1042" s="8"/>
      <c r="N1042" s="8"/>
      <c r="O1042" s="8" t="s">
        <v>742</v>
      </c>
      <c r="P1042" s="8">
        <v>6.0</v>
      </c>
    </row>
    <row r="1043">
      <c r="A1043">
        <f>IFERROR(__xludf.DUMMYFUNCTION("""COMPUTED_VALUE"""),7.0)</f>
        <v>7</v>
      </c>
      <c r="B1043">
        <f>IFERROR(__xludf.DUMMYFUNCTION("""COMPUTED_VALUE"""),30064.0)</f>
        <v>30064</v>
      </c>
      <c r="C1043" t="str">
        <f>IFERROR(__xludf.DUMMYFUNCTION("""COMPUTED_VALUE"""),"JARAMILLO ARBELAEZ, TOMAS")</f>
        <v>JARAMILLO ARBELAEZ, TOMAS</v>
      </c>
      <c r="D1043" t="str">
        <f>IFERROR(__xludf.DUMMYFUNCTION("""COMPUTED_VALUE"""),"English 7")</f>
        <v>English 7</v>
      </c>
      <c r="E1043" s="31">
        <f>IFERROR(__xludf.DUMMYFUNCTION("""COMPUTED_VALUE"""),3.0)</f>
        <v>3</v>
      </c>
      <c r="F1043" s="8">
        <v>1.0</v>
      </c>
      <c r="G1043" s="8">
        <v>1.0</v>
      </c>
      <c r="H1043" s="8">
        <v>1.0</v>
      </c>
      <c r="I1043" s="8">
        <v>1.0</v>
      </c>
      <c r="J1043" s="8">
        <v>1.0</v>
      </c>
      <c r="K1043" s="8">
        <v>1.0</v>
      </c>
      <c r="L1043" s="8">
        <v>6.0</v>
      </c>
      <c r="M1043" s="8"/>
      <c r="N1043" s="8"/>
      <c r="O1043" s="8" t="s">
        <v>745</v>
      </c>
      <c r="P1043" s="8">
        <v>6.0</v>
      </c>
    </row>
    <row r="1044">
      <c r="A1044">
        <f>IFERROR(__xludf.DUMMYFUNCTION("""COMPUTED_VALUE"""),7.0)</f>
        <v>7</v>
      </c>
      <c r="B1044">
        <f>IFERROR(__xludf.DUMMYFUNCTION("""COMPUTED_VALUE"""),30065.0)</f>
        <v>30065</v>
      </c>
      <c r="C1044" t="str">
        <f>IFERROR(__xludf.DUMMYFUNCTION("""COMPUTED_VALUE"""),"JARAMILLO MORA, CARMEN")</f>
        <v>JARAMILLO MORA, CARMEN</v>
      </c>
      <c r="D1044" t="str">
        <f>IFERROR(__xludf.DUMMYFUNCTION("""COMPUTED_VALUE"""),"English 7A")</f>
        <v>English 7A</v>
      </c>
      <c r="E1044" s="31">
        <f>IFERROR(__xludf.DUMMYFUNCTION("""COMPUTED_VALUE"""),5.0)</f>
        <v>5</v>
      </c>
      <c r="F1044" s="8">
        <v>1.0</v>
      </c>
      <c r="G1044" s="8">
        <v>1.0</v>
      </c>
      <c r="H1044" s="8">
        <v>1.0</v>
      </c>
      <c r="I1044" s="8">
        <v>1.0</v>
      </c>
      <c r="J1044" s="8">
        <v>1.0</v>
      </c>
      <c r="K1044" s="8">
        <v>1.0</v>
      </c>
      <c r="L1044" s="8">
        <v>6.0</v>
      </c>
      <c r="M1044" s="8"/>
      <c r="N1044" s="8"/>
      <c r="O1044" s="8" t="s">
        <v>743</v>
      </c>
      <c r="P1044" s="8" t="e">
        <v>#N/A</v>
      </c>
    </row>
    <row r="1045">
      <c r="A1045">
        <f>IFERROR(__xludf.DUMMYFUNCTION("""COMPUTED_VALUE"""),7.0)</f>
        <v>7</v>
      </c>
      <c r="B1045">
        <f>IFERROR(__xludf.DUMMYFUNCTION("""COMPUTED_VALUE"""),30066.0)</f>
        <v>30066</v>
      </c>
      <c r="C1045" t="str">
        <f>IFERROR(__xludf.DUMMYFUNCTION("""COMPUTED_VALUE"""),"JARAMILLO PEÑA, MIGUEL ANTONIO")</f>
        <v>JARAMILLO PEÑA, MIGUEL ANTONIO</v>
      </c>
      <c r="D1045" t="str">
        <f>IFERROR(__xludf.DUMMYFUNCTION("""COMPUTED_VALUE"""),"English 7")</f>
        <v>English 7</v>
      </c>
      <c r="E1045" s="31">
        <f>IFERROR(__xludf.DUMMYFUNCTION("""COMPUTED_VALUE"""),2.0)</f>
        <v>2</v>
      </c>
      <c r="F1045" s="8">
        <v>1.0</v>
      </c>
      <c r="G1045" s="8">
        <v>1.0</v>
      </c>
      <c r="H1045" s="8">
        <v>1.0</v>
      </c>
      <c r="I1045" s="8">
        <v>1.0</v>
      </c>
      <c r="J1045" s="8">
        <v>1.0</v>
      </c>
      <c r="K1045" s="8">
        <v>1.0</v>
      </c>
      <c r="L1045" s="8">
        <v>6.0</v>
      </c>
      <c r="M1045" s="8"/>
      <c r="N1045" s="8"/>
      <c r="O1045" s="8" t="s">
        <v>741</v>
      </c>
      <c r="P1045" s="8">
        <v>6.0</v>
      </c>
    </row>
    <row r="1046">
      <c r="A1046">
        <f>IFERROR(__xludf.DUMMYFUNCTION("""COMPUTED_VALUE"""),7.0)</f>
        <v>7</v>
      </c>
      <c r="B1046">
        <f>IFERROR(__xludf.DUMMYFUNCTION("""COMPUTED_VALUE"""),30148.0)</f>
        <v>30148</v>
      </c>
      <c r="C1046" t="str">
        <f>IFERROR(__xludf.DUMMYFUNCTION("""COMPUTED_VALUE"""),"JARAMILLO VELASQUEZ, FEDERICO")</f>
        <v>JARAMILLO VELASQUEZ, FEDERICO</v>
      </c>
      <c r="D1046" t="str">
        <f>IFERROR(__xludf.DUMMYFUNCTION("""COMPUTED_VALUE"""),"English 7")</f>
        <v>English 7</v>
      </c>
      <c r="E1046" s="31">
        <f>IFERROR(__xludf.DUMMYFUNCTION("""COMPUTED_VALUE"""),1.0)</f>
        <v>1</v>
      </c>
      <c r="F1046" s="8">
        <v>1.0</v>
      </c>
      <c r="G1046" s="8">
        <v>1.0</v>
      </c>
      <c r="H1046" s="8">
        <v>1.0</v>
      </c>
      <c r="I1046" s="8">
        <v>1.0</v>
      </c>
      <c r="J1046" s="8">
        <v>1.0</v>
      </c>
      <c r="K1046" s="8">
        <v>1.0</v>
      </c>
      <c r="L1046" s="8">
        <v>6.0</v>
      </c>
      <c r="M1046" s="8"/>
      <c r="N1046" s="8"/>
      <c r="O1046" s="8" t="s">
        <v>744</v>
      </c>
      <c r="P1046" s="8">
        <v>6.0</v>
      </c>
    </row>
    <row r="1047">
      <c r="A1047">
        <f>IFERROR(__xludf.DUMMYFUNCTION("""COMPUTED_VALUE"""),7.0)</f>
        <v>7</v>
      </c>
      <c r="B1047">
        <f>IFERROR(__xludf.DUMMYFUNCTION("""COMPUTED_VALUE"""),30068.0)</f>
        <v>30068</v>
      </c>
      <c r="C1047" t="str">
        <f>IFERROR(__xludf.DUMMYFUNCTION("""COMPUTED_VALUE"""),"LIBREROS ZULUAGA, JOSHUA")</f>
        <v>LIBREROS ZULUAGA, JOSHUA</v>
      </c>
      <c r="D1047" t="str">
        <f>IFERROR(__xludf.DUMMYFUNCTION("""COMPUTED_VALUE"""),"English 7A")</f>
        <v>English 7A</v>
      </c>
      <c r="E1047" s="31">
        <f>IFERROR(__xludf.DUMMYFUNCTION("""COMPUTED_VALUE"""),5.0)</f>
        <v>5</v>
      </c>
      <c r="F1047" s="8">
        <v>1.0</v>
      </c>
      <c r="G1047" s="8">
        <v>1.0</v>
      </c>
      <c r="H1047" s="8">
        <v>1.0</v>
      </c>
      <c r="I1047" s="8">
        <v>1.0</v>
      </c>
      <c r="J1047" s="8">
        <v>1.0</v>
      </c>
      <c r="K1047" s="8">
        <v>1.0</v>
      </c>
      <c r="L1047" s="8">
        <v>6.0</v>
      </c>
      <c r="M1047" s="8"/>
      <c r="N1047" s="8"/>
      <c r="O1047" s="8" t="s">
        <v>743</v>
      </c>
      <c r="P1047" s="8" t="e">
        <v>#N/A</v>
      </c>
    </row>
    <row r="1048">
      <c r="A1048">
        <f>IFERROR(__xludf.DUMMYFUNCTION("""COMPUTED_VALUE"""),7.0)</f>
        <v>7</v>
      </c>
      <c r="B1048">
        <f>IFERROR(__xludf.DUMMYFUNCTION("""COMPUTED_VALUE"""),30069.0)</f>
        <v>30069</v>
      </c>
      <c r="C1048" t="str">
        <f>IFERROR(__xludf.DUMMYFUNCTION("""COMPUTED_VALUE"""),"LLANO PIEDRAHITA, TOMAS")</f>
        <v>LLANO PIEDRAHITA, TOMAS</v>
      </c>
      <c r="D1048" t="str">
        <f>IFERROR(__xludf.DUMMYFUNCTION("""COMPUTED_VALUE"""),"English 7A")</f>
        <v>English 7A</v>
      </c>
      <c r="E1048" s="31">
        <f>IFERROR(__xludf.DUMMYFUNCTION("""COMPUTED_VALUE"""),5.0)</f>
        <v>5</v>
      </c>
      <c r="F1048" s="8">
        <v>1.0</v>
      </c>
      <c r="G1048" s="8">
        <v>1.0</v>
      </c>
      <c r="H1048" s="8">
        <v>1.0</v>
      </c>
      <c r="I1048" s="8">
        <v>1.0</v>
      </c>
      <c r="J1048" s="8">
        <v>1.0</v>
      </c>
      <c r="K1048" s="8">
        <v>1.0</v>
      </c>
      <c r="L1048" s="8">
        <v>6.0</v>
      </c>
      <c r="M1048" s="8"/>
      <c r="N1048" s="8"/>
      <c r="O1048" s="8" t="s">
        <v>743</v>
      </c>
      <c r="P1048" s="8" t="e">
        <v>#N/A</v>
      </c>
    </row>
    <row r="1049">
      <c r="A1049">
        <f>IFERROR(__xludf.DUMMYFUNCTION("""COMPUTED_VALUE"""),7.0)</f>
        <v>7</v>
      </c>
      <c r="B1049">
        <f>IFERROR(__xludf.DUMMYFUNCTION("""COMPUTED_VALUE"""),30070.0)</f>
        <v>30070</v>
      </c>
      <c r="C1049" t="str">
        <f>IFERROR(__xludf.DUMMYFUNCTION("""COMPUTED_VALUE"""),"LONDOÑO CUARTAS, PABLO")</f>
        <v>LONDOÑO CUARTAS, PABLO</v>
      </c>
      <c r="D1049" t="str">
        <f>IFERROR(__xludf.DUMMYFUNCTION("""COMPUTED_VALUE"""),"English 7")</f>
        <v>English 7</v>
      </c>
      <c r="E1049" s="31">
        <f>IFERROR(__xludf.DUMMYFUNCTION("""COMPUTED_VALUE"""),2.0)</f>
        <v>2</v>
      </c>
      <c r="F1049" s="8">
        <v>1.0</v>
      </c>
      <c r="G1049" s="8">
        <v>1.0</v>
      </c>
      <c r="H1049" s="8">
        <v>1.0</v>
      </c>
      <c r="I1049" s="8">
        <v>1.0</v>
      </c>
      <c r="J1049" s="8">
        <v>1.0</v>
      </c>
      <c r="K1049" s="8">
        <v>1.0</v>
      </c>
      <c r="L1049" s="8">
        <v>6.0</v>
      </c>
      <c r="M1049" s="8"/>
      <c r="N1049" s="8"/>
      <c r="O1049" s="8" t="s">
        <v>741</v>
      </c>
      <c r="P1049" s="8">
        <v>6.0</v>
      </c>
    </row>
    <row r="1050">
      <c r="A1050">
        <f>IFERROR(__xludf.DUMMYFUNCTION("""COMPUTED_VALUE"""),7.0)</f>
        <v>7</v>
      </c>
      <c r="B1050">
        <f>IFERROR(__xludf.DUMMYFUNCTION("""COMPUTED_VALUE"""),30155.0)</f>
        <v>30155</v>
      </c>
      <c r="C1050" t="str">
        <f>IFERROR(__xludf.DUMMYFUNCTION("""COMPUTED_VALUE"""),"LONDOÑO JARAMILLO, MARIANO")</f>
        <v>LONDOÑO JARAMILLO, MARIANO</v>
      </c>
      <c r="D1050" t="str">
        <f>IFERROR(__xludf.DUMMYFUNCTION("""COMPUTED_VALUE"""),"English 7")</f>
        <v>English 7</v>
      </c>
      <c r="E1050" s="31">
        <f>IFERROR(__xludf.DUMMYFUNCTION("""COMPUTED_VALUE"""),3.0)</f>
        <v>3</v>
      </c>
      <c r="F1050" s="8">
        <v>1.0</v>
      </c>
      <c r="G1050" s="8">
        <v>1.0</v>
      </c>
      <c r="H1050" s="8">
        <v>1.0</v>
      </c>
      <c r="I1050" s="8">
        <v>1.0</v>
      </c>
      <c r="J1050" s="8">
        <v>1.0</v>
      </c>
      <c r="K1050" s="8">
        <v>1.0</v>
      </c>
      <c r="L1050" s="8">
        <v>6.0</v>
      </c>
      <c r="M1050" s="8"/>
      <c r="N1050" s="8"/>
      <c r="O1050" s="8" t="s">
        <v>745</v>
      </c>
      <c r="P1050" s="8">
        <v>6.0</v>
      </c>
    </row>
    <row r="1051">
      <c r="A1051">
        <f>IFERROR(__xludf.DUMMYFUNCTION("""COMPUTED_VALUE"""),7.0)</f>
        <v>7</v>
      </c>
      <c r="B1051">
        <f>IFERROR(__xludf.DUMMYFUNCTION("""COMPUTED_VALUE"""),30072.0)</f>
        <v>30072</v>
      </c>
      <c r="C1051" t="str">
        <f>IFERROR(__xludf.DUMMYFUNCTION("""COMPUTED_VALUE"""),"LOZANO NAVARRO, GREGORIO")</f>
        <v>LOZANO NAVARRO, GREGORIO</v>
      </c>
      <c r="D1051" t="str">
        <f>IFERROR(__xludf.DUMMYFUNCTION("""COMPUTED_VALUE"""),"English 7")</f>
        <v>English 7</v>
      </c>
      <c r="E1051" s="31">
        <f>IFERROR(__xludf.DUMMYFUNCTION("""COMPUTED_VALUE"""),2.0)</f>
        <v>2</v>
      </c>
      <c r="F1051" s="8">
        <v>1.0</v>
      </c>
      <c r="G1051" s="8">
        <v>1.0</v>
      </c>
      <c r="H1051" s="8">
        <v>1.0</v>
      </c>
      <c r="I1051" s="8">
        <v>1.0</v>
      </c>
      <c r="J1051" s="8">
        <v>1.0</v>
      </c>
      <c r="K1051" s="8">
        <v>1.0</v>
      </c>
      <c r="L1051" s="8">
        <v>6.0</v>
      </c>
      <c r="M1051" s="8"/>
      <c r="N1051" s="8"/>
      <c r="O1051" s="8" t="s">
        <v>741</v>
      </c>
      <c r="P1051" s="8">
        <v>6.0</v>
      </c>
    </row>
    <row r="1052">
      <c r="A1052">
        <f>IFERROR(__xludf.DUMMYFUNCTION("""COMPUTED_VALUE"""),7.0)</f>
        <v>7</v>
      </c>
      <c r="B1052">
        <f>IFERROR(__xludf.DUMMYFUNCTION("""COMPUTED_VALUE"""),30074.0)</f>
        <v>30074</v>
      </c>
      <c r="C1052" t="str">
        <f>IFERROR(__xludf.DUMMYFUNCTION("""COMPUTED_VALUE"""),"MACIA TORO, ALICIA")</f>
        <v>MACIA TORO, ALICIA</v>
      </c>
      <c r="D1052" t="str">
        <f>IFERROR(__xludf.DUMMYFUNCTION("""COMPUTED_VALUE"""),"English 7A")</f>
        <v>English 7A</v>
      </c>
      <c r="E1052" s="31">
        <f>IFERROR(__xludf.DUMMYFUNCTION("""COMPUTED_VALUE"""),5.0)</f>
        <v>5</v>
      </c>
      <c r="F1052" s="8">
        <v>1.0</v>
      </c>
      <c r="G1052" s="8">
        <v>1.0</v>
      </c>
      <c r="H1052" s="8">
        <v>1.0</v>
      </c>
      <c r="I1052" s="8">
        <v>1.0</v>
      </c>
      <c r="J1052" s="8">
        <v>1.0</v>
      </c>
      <c r="K1052" s="8">
        <v>1.0</v>
      </c>
      <c r="L1052" s="8">
        <v>6.0</v>
      </c>
      <c r="M1052" s="8"/>
      <c r="N1052" s="8"/>
      <c r="O1052" s="8" t="s">
        <v>743</v>
      </c>
      <c r="P1052" s="8" t="e">
        <v>#N/A</v>
      </c>
    </row>
    <row r="1053">
      <c r="A1053">
        <f>IFERROR(__xludf.DUMMYFUNCTION("""COMPUTED_VALUE"""),7.0)</f>
        <v>7</v>
      </c>
      <c r="B1053">
        <f>IFERROR(__xludf.DUMMYFUNCTION("""COMPUTED_VALUE"""),30075.0)</f>
        <v>30075</v>
      </c>
      <c r="C1053" t="str">
        <f>IFERROR(__xludf.DUMMYFUNCTION("""COMPUTED_VALUE"""),"MANRIQUE CUESTA, VALERIA")</f>
        <v>MANRIQUE CUESTA, VALERIA</v>
      </c>
      <c r="D1053" t="str">
        <f>IFERROR(__xludf.DUMMYFUNCTION("""COMPUTED_VALUE"""),"English 7")</f>
        <v>English 7</v>
      </c>
      <c r="E1053" s="31">
        <f>IFERROR(__xludf.DUMMYFUNCTION("""COMPUTED_VALUE"""),6.0)</f>
        <v>6</v>
      </c>
      <c r="F1053" s="8">
        <v>1.0</v>
      </c>
      <c r="G1053" s="8">
        <v>1.0</v>
      </c>
      <c r="H1053" s="8">
        <v>1.0</v>
      </c>
      <c r="I1053" s="8">
        <v>1.0</v>
      </c>
      <c r="J1053" s="8">
        <v>1.0</v>
      </c>
      <c r="K1053" s="8">
        <v>1.0</v>
      </c>
      <c r="L1053" s="8">
        <v>6.0</v>
      </c>
      <c r="M1053" s="8"/>
      <c r="N1053" s="8"/>
      <c r="O1053" s="8" t="s">
        <v>746</v>
      </c>
      <c r="P1053" s="8">
        <v>6.0</v>
      </c>
    </row>
    <row r="1054">
      <c r="A1054">
        <f>IFERROR(__xludf.DUMMYFUNCTION("""COMPUTED_VALUE"""),7.0)</f>
        <v>7</v>
      </c>
      <c r="B1054">
        <f>IFERROR(__xludf.DUMMYFUNCTION("""COMPUTED_VALUE"""),30076.0)</f>
        <v>30076</v>
      </c>
      <c r="C1054" t="str">
        <f>IFERROR(__xludf.DUMMYFUNCTION("""COMPUTED_VALUE"""),"MARTINEZ OROZCO, GABRIELA")</f>
        <v>MARTINEZ OROZCO, GABRIELA</v>
      </c>
      <c r="D1054" t="str">
        <f>IFERROR(__xludf.DUMMYFUNCTION("""COMPUTED_VALUE"""),"English 7")</f>
        <v>English 7</v>
      </c>
      <c r="E1054" s="31">
        <f>IFERROR(__xludf.DUMMYFUNCTION("""COMPUTED_VALUE"""),1.0)</f>
        <v>1</v>
      </c>
      <c r="F1054" s="8">
        <v>1.0</v>
      </c>
      <c r="G1054" s="8">
        <v>1.0</v>
      </c>
      <c r="H1054" s="8">
        <v>1.0</v>
      </c>
      <c r="I1054" s="8">
        <v>1.0</v>
      </c>
      <c r="J1054" s="8">
        <v>1.0</v>
      </c>
      <c r="K1054" s="8">
        <v>1.0</v>
      </c>
      <c r="L1054" s="8">
        <v>6.0</v>
      </c>
      <c r="M1054" s="8"/>
      <c r="N1054" s="8"/>
      <c r="O1054" s="8" t="s">
        <v>744</v>
      </c>
      <c r="P1054" s="8">
        <v>6.0</v>
      </c>
    </row>
    <row r="1055">
      <c r="A1055">
        <f>IFERROR(__xludf.DUMMYFUNCTION("""COMPUTED_VALUE"""),7.0)</f>
        <v>7</v>
      </c>
      <c r="B1055">
        <f>IFERROR(__xludf.DUMMYFUNCTION("""COMPUTED_VALUE"""),30077.0)</f>
        <v>30077</v>
      </c>
      <c r="C1055" t="str">
        <f>IFERROR(__xludf.DUMMYFUNCTION("""COMPUTED_VALUE"""),"MC LEAN HIDRON, SIMON")</f>
        <v>MC LEAN HIDRON, SIMON</v>
      </c>
      <c r="D1055" t="str">
        <f>IFERROR(__xludf.DUMMYFUNCTION("""COMPUTED_VALUE"""),"English 7")</f>
        <v>English 7</v>
      </c>
      <c r="E1055" s="31">
        <f>IFERROR(__xludf.DUMMYFUNCTION("""COMPUTED_VALUE"""),2.0)</f>
        <v>2</v>
      </c>
      <c r="F1055" s="8">
        <v>1.0</v>
      </c>
      <c r="G1055" s="8">
        <v>1.0</v>
      </c>
      <c r="H1055" s="8">
        <v>1.0</v>
      </c>
      <c r="I1055" s="8">
        <v>1.0</v>
      </c>
      <c r="J1055" s="8">
        <v>1.0</v>
      </c>
      <c r="K1055" s="8">
        <v>1.0</v>
      </c>
      <c r="L1055" s="8">
        <v>6.0</v>
      </c>
      <c r="M1055" s="8"/>
      <c r="N1055" s="8"/>
      <c r="O1055" s="8" t="s">
        <v>741</v>
      </c>
      <c r="P1055" s="8">
        <v>6.0</v>
      </c>
    </row>
    <row r="1056">
      <c r="A1056">
        <f>IFERROR(__xludf.DUMMYFUNCTION("""COMPUTED_VALUE"""),7.0)</f>
        <v>7</v>
      </c>
      <c r="B1056">
        <f>IFERROR(__xludf.DUMMYFUNCTION("""COMPUTED_VALUE"""),30174.0)</f>
        <v>30174</v>
      </c>
      <c r="C1056" t="str">
        <f>IFERROR(__xludf.DUMMYFUNCTION("""COMPUTED_VALUE"""),"MEJIA BOTERO, FRANCISCA")</f>
        <v>MEJIA BOTERO, FRANCISCA</v>
      </c>
      <c r="D1056" t="str">
        <f>IFERROR(__xludf.DUMMYFUNCTION("""COMPUTED_VALUE"""),"English 7")</f>
        <v>English 7</v>
      </c>
      <c r="E1056" s="31">
        <f>IFERROR(__xludf.DUMMYFUNCTION("""COMPUTED_VALUE"""),6.0)</f>
        <v>6</v>
      </c>
      <c r="F1056" s="8">
        <v>1.0</v>
      </c>
      <c r="G1056" s="8">
        <v>1.0</v>
      </c>
      <c r="H1056" s="8">
        <v>1.0</v>
      </c>
      <c r="I1056" s="8">
        <v>1.0</v>
      </c>
      <c r="J1056" s="8">
        <v>1.0</v>
      </c>
      <c r="K1056" s="8">
        <v>1.0</v>
      </c>
      <c r="L1056" s="8">
        <v>6.0</v>
      </c>
      <c r="M1056" s="8"/>
      <c r="N1056" s="8"/>
      <c r="O1056" s="8" t="s">
        <v>746</v>
      </c>
      <c r="P1056" s="8">
        <v>6.0</v>
      </c>
    </row>
    <row r="1057">
      <c r="A1057">
        <f>IFERROR(__xludf.DUMMYFUNCTION("""COMPUTED_VALUE"""),7.0)</f>
        <v>7</v>
      </c>
      <c r="B1057">
        <f>IFERROR(__xludf.DUMMYFUNCTION("""COMPUTED_VALUE"""),30078.0)</f>
        <v>30078</v>
      </c>
      <c r="C1057" t="str">
        <f>IFERROR(__xludf.DUMMYFUNCTION("""COMPUTED_VALUE"""),"MESA GARCIA, ISABEL")</f>
        <v>MESA GARCIA, ISABEL</v>
      </c>
      <c r="D1057" t="str">
        <f>IFERROR(__xludf.DUMMYFUNCTION("""COMPUTED_VALUE"""),"English 7")</f>
        <v>English 7</v>
      </c>
      <c r="E1057" s="31">
        <f>IFERROR(__xludf.DUMMYFUNCTION("""COMPUTED_VALUE"""),1.0)</f>
        <v>1</v>
      </c>
      <c r="F1057" s="8">
        <v>1.0</v>
      </c>
      <c r="G1057" s="8">
        <v>1.0</v>
      </c>
      <c r="H1057" s="8">
        <v>1.0</v>
      </c>
      <c r="I1057" s="8">
        <v>1.0</v>
      </c>
      <c r="J1057" s="8">
        <v>1.0</v>
      </c>
      <c r="K1057" s="8">
        <v>1.0</v>
      </c>
      <c r="L1057" s="8">
        <v>6.0</v>
      </c>
      <c r="M1057" s="8"/>
      <c r="N1057" s="8"/>
      <c r="O1057" s="8" t="s">
        <v>744</v>
      </c>
      <c r="P1057" s="8">
        <v>6.0</v>
      </c>
    </row>
    <row r="1058">
      <c r="A1058">
        <f>IFERROR(__xludf.DUMMYFUNCTION("""COMPUTED_VALUE"""),7.0)</f>
        <v>7</v>
      </c>
      <c r="B1058">
        <f>IFERROR(__xludf.DUMMYFUNCTION("""COMPUTED_VALUE"""),30079.0)</f>
        <v>30079</v>
      </c>
      <c r="C1058" t="str">
        <f>IFERROR(__xludf.DUMMYFUNCTION("""COMPUTED_VALUE"""),"MESA RESTREPO, BRUNO")</f>
        <v>MESA RESTREPO, BRUNO</v>
      </c>
      <c r="D1058" t="str">
        <f>IFERROR(__xludf.DUMMYFUNCTION("""COMPUTED_VALUE"""),"English 7")</f>
        <v>English 7</v>
      </c>
      <c r="E1058" s="31">
        <f>IFERROR(__xludf.DUMMYFUNCTION("""COMPUTED_VALUE"""),3.0)</f>
        <v>3</v>
      </c>
      <c r="F1058" s="8">
        <v>1.0</v>
      </c>
      <c r="G1058" s="8">
        <v>1.0</v>
      </c>
      <c r="H1058" s="8">
        <v>1.0</v>
      </c>
      <c r="I1058" s="8">
        <v>1.0</v>
      </c>
      <c r="J1058" s="8">
        <v>1.0</v>
      </c>
      <c r="K1058" s="8">
        <v>1.0</v>
      </c>
      <c r="L1058" s="8">
        <v>6.0</v>
      </c>
      <c r="M1058" s="8"/>
      <c r="N1058" s="8"/>
      <c r="O1058" s="8" t="s">
        <v>745</v>
      </c>
      <c r="P1058" s="8">
        <v>6.0</v>
      </c>
    </row>
    <row r="1059">
      <c r="A1059">
        <f>IFERROR(__xludf.DUMMYFUNCTION("""COMPUTED_VALUE"""),7.0)</f>
        <v>7</v>
      </c>
      <c r="B1059">
        <f>IFERROR(__xludf.DUMMYFUNCTION("""COMPUTED_VALUE"""),30080.0)</f>
        <v>30080</v>
      </c>
      <c r="C1059" t="str">
        <f>IFERROR(__xludf.DUMMYFUNCTION("""COMPUTED_VALUE"""),"MEZA SUAREZ, NIKOLAI")</f>
        <v>MEZA SUAREZ, NIKOLAI</v>
      </c>
      <c r="D1059" t="str">
        <f>IFERROR(__xludf.DUMMYFUNCTION("""COMPUTED_VALUE"""),"English 7")</f>
        <v>English 7</v>
      </c>
      <c r="E1059" s="31">
        <f>IFERROR(__xludf.DUMMYFUNCTION("""COMPUTED_VALUE"""),6.0)</f>
        <v>6</v>
      </c>
      <c r="F1059" s="8">
        <v>1.0</v>
      </c>
      <c r="G1059" s="8">
        <v>1.0</v>
      </c>
      <c r="H1059" s="8">
        <v>1.0</v>
      </c>
      <c r="I1059" s="8">
        <v>1.0</v>
      </c>
      <c r="J1059" s="8">
        <v>1.0</v>
      </c>
      <c r="K1059" s="8">
        <v>1.0</v>
      </c>
      <c r="L1059" s="8">
        <v>6.0</v>
      </c>
      <c r="M1059" s="8"/>
      <c r="N1059" s="8"/>
      <c r="O1059" s="8" t="s">
        <v>746</v>
      </c>
      <c r="P1059" s="8">
        <v>6.0</v>
      </c>
    </row>
    <row r="1060">
      <c r="A1060">
        <f>IFERROR(__xludf.DUMMYFUNCTION("""COMPUTED_VALUE"""),7.0)</f>
        <v>7</v>
      </c>
      <c r="B1060">
        <f>IFERROR(__xludf.DUMMYFUNCTION("""COMPUTED_VALUE"""),30081.0)</f>
        <v>30081</v>
      </c>
      <c r="C1060" t="str">
        <f>IFERROR(__xludf.DUMMYFUNCTION("""COMPUTED_VALUE"""),"MOLINA HOYOS, AMALIA")</f>
        <v>MOLINA HOYOS, AMALIA</v>
      </c>
      <c r="D1060" t="str">
        <f>IFERROR(__xludf.DUMMYFUNCTION("""COMPUTED_VALUE"""),"English 7A")</f>
        <v>English 7A</v>
      </c>
      <c r="E1060" s="31">
        <f>IFERROR(__xludf.DUMMYFUNCTION("""COMPUTED_VALUE"""),5.0)</f>
        <v>5</v>
      </c>
      <c r="F1060" s="8">
        <v>1.0</v>
      </c>
      <c r="G1060" s="8">
        <v>1.0</v>
      </c>
      <c r="H1060" s="8">
        <v>1.0</v>
      </c>
      <c r="I1060" s="8">
        <v>1.0</v>
      </c>
      <c r="J1060" s="8">
        <v>1.0</v>
      </c>
      <c r="K1060" s="8">
        <v>1.0</v>
      </c>
      <c r="L1060" s="8">
        <v>6.0</v>
      </c>
      <c r="M1060" s="8"/>
      <c r="N1060" s="8"/>
      <c r="O1060" s="8" t="s">
        <v>743</v>
      </c>
      <c r="P1060" s="8" t="e">
        <v>#N/A</v>
      </c>
    </row>
    <row r="1061">
      <c r="A1061">
        <f>IFERROR(__xludf.DUMMYFUNCTION("""COMPUTED_VALUE"""),7.0)</f>
        <v>7</v>
      </c>
      <c r="B1061">
        <f>IFERROR(__xludf.DUMMYFUNCTION("""COMPUTED_VALUE"""),30082.0)</f>
        <v>30082</v>
      </c>
      <c r="C1061" t="str">
        <f>IFERROR(__xludf.DUMMYFUNCTION("""COMPUTED_VALUE"""),"MONSALVE HOYOS, JUAN JOSE")</f>
        <v>MONSALVE HOYOS, JUAN JOSE</v>
      </c>
      <c r="D1061" t="str">
        <f>IFERROR(__xludf.DUMMYFUNCTION("""COMPUTED_VALUE"""),"English 7")</f>
        <v>English 7</v>
      </c>
      <c r="E1061" s="31">
        <f>IFERROR(__xludf.DUMMYFUNCTION("""COMPUTED_VALUE"""),5.0)</f>
        <v>5</v>
      </c>
      <c r="F1061" s="8">
        <v>1.0</v>
      </c>
      <c r="G1061" s="8">
        <v>1.0</v>
      </c>
      <c r="H1061" s="8">
        <v>1.0</v>
      </c>
      <c r="I1061" s="8">
        <v>1.0</v>
      </c>
      <c r="J1061" s="8">
        <v>1.0</v>
      </c>
      <c r="K1061" s="8">
        <v>1.0</v>
      </c>
      <c r="L1061" s="8">
        <v>6.0</v>
      </c>
      <c r="M1061" s="8"/>
      <c r="N1061" s="8"/>
      <c r="O1061" s="8" t="s">
        <v>742</v>
      </c>
      <c r="P1061" s="8">
        <v>6.0</v>
      </c>
    </row>
    <row r="1062">
      <c r="A1062">
        <f>IFERROR(__xludf.DUMMYFUNCTION("""COMPUTED_VALUE"""),7.0)</f>
        <v>7</v>
      </c>
      <c r="B1062">
        <f>IFERROR(__xludf.DUMMYFUNCTION("""COMPUTED_VALUE"""),30142.0)</f>
        <v>30142</v>
      </c>
      <c r="C1062" t="str">
        <f>IFERROR(__xludf.DUMMYFUNCTION("""COMPUTED_VALUE"""),"MONTOYA GOMEZ, RAFAELA")</f>
        <v>MONTOYA GOMEZ, RAFAELA</v>
      </c>
      <c r="D1062" t="str">
        <f>IFERROR(__xludf.DUMMYFUNCTION("""COMPUTED_VALUE"""),"English 7")</f>
        <v>English 7</v>
      </c>
      <c r="E1062" s="31">
        <f>IFERROR(__xludf.DUMMYFUNCTION("""COMPUTED_VALUE"""),1.0)</f>
        <v>1</v>
      </c>
      <c r="F1062" s="8">
        <v>1.0</v>
      </c>
      <c r="G1062" s="8">
        <v>1.0</v>
      </c>
      <c r="H1062" s="8">
        <v>1.0</v>
      </c>
      <c r="I1062" s="8">
        <v>1.0</v>
      </c>
      <c r="J1062" s="8">
        <v>1.0</v>
      </c>
      <c r="K1062" s="8">
        <v>1.0</v>
      </c>
      <c r="L1062" s="8">
        <v>6.0</v>
      </c>
      <c r="M1062" s="8"/>
      <c r="N1062" s="8"/>
      <c r="O1062" s="8" t="s">
        <v>744</v>
      </c>
      <c r="P1062" s="8">
        <v>6.0</v>
      </c>
    </row>
    <row r="1063">
      <c r="A1063">
        <f>IFERROR(__xludf.DUMMYFUNCTION("""COMPUTED_VALUE"""),7.0)</f>
        <v>7</v>
      </c>
      <c r="B1063">
        <f>IFERROR(__xludf.DUMMYFUNCTION("""COMPUTED_VALUE"""),30084.0)</f>
        <v>30084</v>
      </c>
      <c r="C1063" t="str">
        <f>IFERROR(__xludf.DUMMYFUNCTION("""COMPUTED_VALUE"""),"MONTOYA OCHOA, SARA")</f>
        <v>MONTOYA OCHOA, SARA</v>
      </c>
      <c r="D1063" t="str">
        <f>IFERROR(__xludf.DUMMYFUNCTION("""COMPUTED_VALUE"""),"English 7")</f>
        <v>English 7</v>
      </c>
      <c r="E1063" s="31">
        <f>IFERROR(__xludf.DUMMYFUNCTION("""COMPUTED_VALUE"""),6.0)</f>
        <v>6</v>
      </c>
      <c r="F1063" s="8">
        <v>1.0</v>
      </c>
      <c r="G1063" s="8">
        <v>1.0</v>
      </c>
      <c r="H1063" s="8">
        <v>1.0</v>
      </c>
      <c r="I1063" s="8">
        <v>1.0</v>
      </c>
      <c r="J1063" s="8">
        <v>1.0</v>
      </c>
      <c r="K1063" s="8">
        <v>1.0</v>
      </c>
      <c r="L1063" s="8">
        <v>6.0</v>
      </c>
      <c r="M1063" s="8"/>
      <c r="N1063" s="8"/>
      <c r="O1063" s="8" t="s">
        <v>746</v>
      </c>
      <c r="P1063" s="8">
        <v>6.0</v>
      </c>
    </row>
    <row r="1064">
      <c r="A1064">
        <f>IFERROR(__xludf.DUMMYFUNCTION("""COMPUTED_VALUE"""),7.0)</f>
        <v>7</v>
      </c>
      <c r="B1064">
        <f>IFERROR(__xludf.DUMMYFUNCTION("""COMPUTED_VALUE"""),30085.0)</f>
        <v>30085</v>
      </c>
      <c r="C1064" t="str">
        <f>IFERROR(__xludf.DUMMYFUNCTION("""COMPUTED_VALUE"""),"MORA LE FLOHIC, AGUSTIN")</f>
        <v>MORA LE FLOHIC, AGUSTIN</v>
      </c>
      <c r="D1064" t="str">
        <f>IFERROR(__xludf.DUMMYFUNCTION("""COMPUTED_VALUE"""),"English 7")</f>
        <v>English 7</v>
      </c>
      <c r="E1064" s="31">
        <f>IFERROR(__xludf.DUMMYFUNCTION("""COMPUTED_VALUE"""),5.0)</f>
        <v>5</v>
      </c>
      <c r="F1064" s="8">
        <v>1.0</v>
      </c>
      <c r="G1064" s="8">
        <v>1.0</v>
      </c>
      <c r="H1064" s="8">
        <v>1.0</v>
      </c>
      <c r="I1064" s="8">
        <v>1.0</v>
      </c>
      <c r="J1064" s="8">
        <v>1.0</v>
      </c>
      <c r="K1064" s="8">
        <v>1.0</v>
      </c>
      <c r="L1064" s="8">
        <v>6.0</v>
      </c>
      <c r="M1064" s="8"/>
      <c r="N1064" s="8"/>
      <c r="O1064" s="8" t="s">
        <v>742</v>
      </c>
      <c r="P1064" s="8">
        <v>6.0</v>
      </c>
    </row>
    <row r="1065">
      <c r="A1065">
        <f>IFERROR(__xludf.DUMMYFUNCTION("""COMPUTED_VALUE"""),7.0)</f>
        <v>7</v>
      </c>
      <c r="B1065">
        <f>IFERROR(__xludf.DUMMYFUNCTION("""COMPUTED_VALUE"""),30086.0)</f>
        <v>30086</v>
      </c>
      <c r="C1065" t="str">
        <f>IFERROR(__xludf.DUMMYFUNCTION("""COMPUTED_VALUE"""),"MORA MEJIA, EMILIA")</f>
        <v>MORA MEJIA, EMILIA</v>
      </c>
      <c r="D1065" t="str">
        <f>IFERROR(__xludf.DUMMYFUNCTION("""COMPUTED_VALUE"""),"English 7")</f>
        <v>English 7</v>
      </c>
      <c r="E1065" s="31">
        <f>IFERROR(__xludf.DUMMYFUNCTION("""COMPUTED_VALUE"""),1.0)</f>
        <v>1</v>
      </c>
      <c r="F1065" s="8">
        <v>1.0</v>
      </c>
      <c r="G1065" s="8">
        <v>1.0</v>
      </c>
      <c r="H1065" s="8">
        <v>1.0</v>
      </c>
      <c r="I1065" s="8">
        <v>1.0</v>
      </c>
      <c r="J1065" s="8">
        <v>1.0</v>
      </c>
      <c r="K1065" s="8">
        <v>1.0</v>
      </c>
      <c r="L1065" s="8">
        <v>6.0</v>
      </c>
      <c r="M1065" s="8"/>
      <c r="N1065" s="8"/>
      <c r="O1065" s="8" t="s">
        <v>744</v>
      </c>
      <c r="P1065" s="8">
        <v>6.0</v>
      </c>
    </row>
    <row r="1066">
      <c r="A1066">
        <f>IFERROR(__xludf.DUMMYFUNCTION("""COMPUTED_VALUE"""),7.0)</f>
        <v>7</v>
      </c>
      <c r="B1066">
        <f>IFERROR(__xludf.DUMMYFUNCTION("""COMPUTED_VALUE"""),30087.0)</f>
        <v>30087</v>
      </c>
      <c r="C1066" t="str">
        <f>IFERROR(__xludf.DUMMYFUNCTION("""COMPUTED_VALUE"""),"MORENO BETANCOURT, LUCIANA")</f>
        <v>MORENO BETANCOURT, LUCIANA</v>
      </c>
      <c r="D1066" t="str">
        <f>IFERROR(__xludf.DUMMYFUNCTION("""COMPUTED_VALUE"""),"English 7")</f>
        <v>English 7</v>
      </c>
      <c r="E1066" s="31">
        <f>IFERROR(__xludf.DUMMYFUNCTION("""COMPUTED_VALUE"""),6.0)</f>
        <v>6</v>
      </c>
      <c r="F1066" s="8">
        <v>1.0</v>
      </c>
      <c r="G1066" s="8">
        <v>1.0</v>
      </c>
      <c r="H1066" s="8">
        <v>1.0</v>
      </c>
      <c r="I1066" s="8">
        <v>1.0</v>
      </c>
      <c r="J1066" s="8">
        <v>1.0</v>
      </c>
      <c r="K1066" s="8">
        <v>1.0</v>
      </c>
      <c r="L1066" s="8">
        <v>6.0</v>
      </c>
      <c r="M1066" s="8"/>
      <c r="N1066" s="8"/>
      <c r="O1066" s="8" t="s">
        <v>746</v>
      </c>
      <c r="P1066" s="8">
        <v>6.0</v>
      </c>
    </row>
    <row r="1067">
      <c r="A1067">
        <f>IFERROR(__xludf.DUMMYFUNCTION("""COMPUTED_VALUE"""),7.0)</f>
        <v>7</v>
      </c>
      <c r="B1067">
        <f>IFERROR(__xludf.DUMMYFUNCTION("""COMPUTED_VALUE"""),30161.0)</f>
        <v>30161</v>
      </c>
      <c r="C1067" t="str">
        <f>IFERROR(__xludf.DUMMYFUNCTION("""COMPUTED_VALUE"""),"NAVARRA GOMEZ, CHLOE")</f>
        <v>NAVARRA GOMEZ, CHLOE</v>
      </c>
      <c r="D1067" t="str">
        <f>IFERROR(__xludf.DUMMYFUNCTION("""COMPUTED_VALUE"""),"English 7")</f>
        <v>English 7</v>
      </c>
      <c r="E1067" s="31">
        <f>IFERROR(__xludf.DUMMYFUNCTION("""COMPUTED_VALUE"""),2.0)</f>
        <v>2</v>
      </c>
      <c r="F1067" s="8">
        <v>1.0</v>
      </c>
      <c r="G1067" s="8">
        <v>1.0</v>
      </c>
      <c r="H1067" s="8">
        <v>1.0</v>
      </c>
      <c r="I1067" s="8">
        <v>1.0</v>
      </c>
      <c r="J1067" s="8">
        <v>1.0</v>
      </c>
      <c r="K1067" s="8">
        <v>1.0</v>
      </c>
      <c r="L1067" s="8">
        <v>6.0</v>
      </c>
      <c r="M1067" s="8"/>
      <c r="N1067" s="8"/>
      <c r="O1067" s="8" t="s">
        <v>741</v>
      </c>
      <c r="P1067" s="8">
        <v>6.0</v>
      </c>
    </row>
    <row r="1068">
      <c r="A1068">
        <f>IFERROR(__xludf.DUMMYFUNCTION("""COMPUTED_VALUE"""),7.0)</f>
        <v>7</v>
      </c>
      <c r="B1068">
        <f>IFERROR(__xludf.DUMMYFUNCTION("""COMPUTED_VALUE"""),30089.0)</f>
        <v>30089</v>
      </c>
      <c r="C1068" t="str">
        <f>IFERROR(__xludf.DUMMYFUNCTION("""COMPUTED_VALUE"""),"NAVARRO RAMIREZ, LUCAS")</f>
        <v>NAVARRO RAMIREZ, LUCAS</v>
      </c>
      <c r="D1068" t="str">
        <f>IFERROR(__xludf.DUMMYFUNCTION("""COMPUTED_VALUE"""),"English 7A")</f>
        <v>English 7A</v>
      </c>
      <c r="E1068" s="31">
        <f>IFERROR(__xludf.DUMMYFUNCTION("""COMPUTED_VALUE"""),5.0)</f>
        <v>5</v>
      </c>
      <c r="F1068" s="8">
        <v>1.0</v>
      </c>
      <c r="G1068" s="8">
        <v>1.0</v>
      </c>
      <c r="H1068" s="8">
        <v>1.0</v>
      </c>
      <c r="I1068" s="8">
        <v>1.0</v>
      </c>
      <c r="J1068" s="8">
        <v>1.0</v>
      </c>
      <c r="K1068" s="8">
        <v>1.0</v>
      </c>
      <c r="L1068" s="8">
        <v>6.0</v>
      </c>
      <c r="M1068" s="8"/>
      <c r="N1068" s="8"/>
      <c r="O1068" s="8" t="s">
        <v>743</v>
      </c>
      <c r="P1068" s="8" t="e">
        <v>#N/A</v>
      </c>
    </row>
    <row r="1069">
      <c r="A1069">
        <f>IFERROR(__xludf.DUMMYFUNCTION("""COMPUTED_VALUE"""),7.0)</f>
        <v>7</v>
      </c>
      <c r="B1069">
        <f>IFERROR(__xludf.DUMMYFUNCTION("""COMPUTED_VALUE"""),30090.0)</f>
        <v>30090</v>
      </c>
      <c r="C1069" t="str">
        <f>IFERROR(__xludf.DUMMYFUNCTION("""COMPUTED_VALUE"""),"NEUMANN MARQUEZ, JERONIMO")</f>
        <v>NEUMANN MARQUEZ, JERONIMO</v>
      </c>
      <c r="D1069" t="str">
        <f>IFERROR(__xludf.DUMMYFUNCTION("""COMPUTED_VALUE"""),"English 7")</f>
        <v>English 7</v>
      </c>
      <c r="E1069" s="31">
        <f>IFERROR(__xludf.DUMMYFUNCTION("""COMPUTED_VALUE"""),5.0)</f>
        <v>5</v>
      </c>
      <c r="F1069" s="8">
        <v>1.0</v>
      </c>
      <c r="G1069" s="8">
        <v>1.0</v>
      </c>
      <c r="H1069" s="8">
        <v>1.0</v>
      </c>
      <c r="I1069" s="8">
        <v>1.0</v>
      </c>
      <c r="J1069" s="8">
        <v>1.0</v>
      </c>
      <c r="K1069" s="8">
        <v>1.0</v>
      </c>
      <c r="L1069" s="8">
        <v>6.0</v>
      </c>
      <c r="M1069" s="8"/>
      <c r="N1069" s="8"/>
      <c r="O1069" s="8" t="s">
        <v>742</v>
      </c>
      <c r="P1069" s="8">
        <v>6.0</v>
      </c>
    </row>
    <row r="1070">
      <c r="A1070">
        <f>IFERROR(__xludf.DUMMYFUNCTION("""COMPUTED_VALUE"""),7.0)</f>
        <v>7</v>
      </c>
      <c r="B1070">
        <f>IFERROR(__xludf.DUMMYFUNCTION("""COMPUTED_VALUE"""),30172.0)</f>
        <v>30172</v>
      </c>
      <c r="C1070" t="str">
        <f>IFERROR(__xludf.DUMMYFUNCTION("""COMPUTED_VALUE"""),"OLIVA, EMMA")</f>
        <v>OLIVA, EMMA</v>
      </c>
      <c r="D1070" t="str">
        <f>IFERROR(__xludf.DUMMYFUNCTION("""COMPUTED_VALUE"""),"English 7")</f>
        <v>English 7</v>
      </c>
      <c r="E1070" s="31">
        <f>IFERROR(__xludf.DUMMYFUNCTION("""COMPUTED_VALUE"""),3.0)</f>
        <v>3</v>
      </c>
      <c r="F1070" s="8">
        <v>1.0</v>
      </c>
      <c r="G1070" s="8">
        <v>1.0</v>
      </c>
      <c r="H1070" s="8">
        <v>1.0</v>
      </c>
      <c r="I1070" s="8">
        <v>1.0</v>
      </c>
      <c r="J1070" s="8">
        <v>1.0</v>
      </c>
      <c r="K1070" s="8">
        <v>1.0</v>
      </c>
      <c r="L1070" s="8">
        <v>6.0</v>
      </c>
      <c r="M1070" s="8"/>
      <c r="N1070" s="8"/>
      <c r="O1070" s="8" t="s">
        <v>745</v>
      </c>
      <c r="P1070" s="8">
        <v>6.0</v>
      </c>
    </row>
    <row r="1071">
      <c r="A1071">
        <f>IFERROR(__xludf.DUMMYFUNCTION("""COMPUTED_VALUE"""),7.0)</f>
        <v>7</v>
      </c>
      <c r="B1071">
        <f>IFERROR(__xludf.DUMMYFUNCTION("""COMPUTED_VALUE"""),30158.0)</f>
        <v>30158</v>
      </c>
      <c r="C1071" t="str">
        <f>IFERROR(__xludf.DUMMYFUNCTION("""COMPUTED_VALUE"""),"OROZCO RINCON, VALERIA")</f>
        <v>OROZCO RINCON, VALERIA</v>
      </c>
      <c r="D1071" t="str">
        <f>IFERROR(__xludf.DUMMYFUNCTION("""COMPUTED_VALUE"""),"English 7")</f>
        <v>English 7</v>
      </c>
      <c r="E1071" s="31">
        <f>IFERROR(__xludf.DUMMYFUNCTION("""COMPUTED_VALUE"""),1.0)</f>
        <v>1</v>
      </c>
      <c r="F1071" s="8">
        <v>1.0</v>
      </c>
      <c r="G1071" s="8">
        <v>1.0</v>
      </c>
      <c r="H1071" s="8">
        <v>1.0</v>
      </c>
      <c r="I1071" s="8">
        <v>1.0</v>
      </c>
      <c r="J1071" s="8">
        <v>1.0</v>
      </c>
      <c r="K1071" s="8">
        <v>1.0</v>
      </c>
      <c r="L1071" s="8">
        <v>6.0</v>
      </c>
      <c r="M1071" s="8"/>
      <c r="N1071" s="8"/>
      <c r="O1071" s="8" t="s">
        <v>744</v>
      </c>
      <c r="P1071" s="8">
        <v>6.0</v>
      </c>
    </row>
    <row r="1072">
      <c r="A1072">
        <f>IFERROR(__xludf.DUMMYFUNCTION("""COMPUTED_VALUE"""),7.0)</f>
        <v>7</v>
      </c>
      <c r="B1072">
        <f>IFERROR(__xludf.DUMMYFUNCTION("""COMPUTED_VALUE"""),30153.0)</f>
        <v>30153</v>
      </c>
      <c r="C1072" t="str">
        <f>IFERROR(__xludf.DUMMYFUNCTION("""COMPUTED_VALUE"""),"ORTEGA OCHOA, LORENZO")</f>
        <v>ORTEGA OCHOA, LORENZO</v>
      </c>
      <c r="D1072" t="str">
        <f>IFERROR(__xludf.DUMMYFUNCTION("""COMPUTED_VALUE"""),"English 7A")</f>
        <v>English 7A</v>
      </c>
      <c r="E1072" s="31">
        <f>IFERROR(__xludf.DUMMYFUNCTION("""COMPUTED_VALUE"""),5.0)</f>
        <v>5</v>
      </c>
      <c r="F1072" s="8">
        <v>1.0</v>
      </c>
      <c r="G1072" s="8">
        <v>1.0</v>
      </c>
      <c r="H1072" s="8">
        <v>1.0</v>
      </c>
      <c r="I1072" s="8">
        <v>1.0</v>
      </c>
      <c r="J1072" s="8">
        <v>1.0</v>
      </c>
      <c r="K1072" s="8">
        <v>1.0</v>
      </c>
      <c r="L1072" s="8">
        <v>6.0</v>
      </c>
      <c r="M1072" s="8"/>
      <c r="N1072" s="8"/>
      <c r="O1072" s="8" t="s">
        <v>743</v>
      </c>
      <c r="P1072" s="8" t="e">
        <v>#N/A</v>
      </c>
    </row>
    <row r="1073">
      <c r="A1073">
        <f>IFERROR(__xludf.DUMMYFUNCTION("""COMPUTED_VALUE"""),7.0)</f>
        <v>7</v>
      </c>
      <c r="B1073">
        <f>IFERROR(__xludf.DUMMYFUNCTION("""COMPUTED_VALUE"""),30154.0)</f>
        <v>30154</v>
      </c>
      <c r="C1073" t="str">
        <f>IFERROR(__xludf.DUMMYFUNCTION("""COMPUTED_VALUE"""),"ORTEGA OCHOA, MARIA DEL MAR")</f>
        <v>ORTEGA OCHOA, MARIA DEL MAR</v>
      </c>
      <c r="D1073" t="str">
        <f>IFERROR(__xludf.DUMMYFUNCTION("""COMPUTED_VALUE"""),"English 7")</f>
        <v>English 7</v>
      </c>
      <c r="E1073" s="31">
        <f>IFERROR(__xludf.DUMMYFUNCTION("""COMPUTED_VALUE"""),2.0)</f>
        <v>2</v>
      </c>
      <c r="F1073" s="8">
        <v>1.0</v>
      </c>
      <c r="G1073" s="8">
        <v>1.0</v>
      </c>
      <c r="H1073" s="8">
        <v>1.0</v>
      </c>
      <c r="I1073" s="8">
        <v>1.0</v>
      </c>
      <c r="J1073" s="8">
        <v>1.0</v>
      </c>
      <c r="K1073" s="8">
        <v>1.0</v>
      </c>
      <c r="L1073" s="8">
        <v>6.0</v>
      </c>
      <c r="M1073" s="8"/>
      <c r="N1073" s="8"/>
      <c r="O1073" s="8" t="s">
        <v>741</v>
      </c>
      <c r="P1073" s="8">
        <v>6.0</v>
      </c>
    </row>
    <row r="1074">
      <c r="A1074">
        <f>IFERROR(__xludf.DUMMYFUNCTION("""COMPUTED_VALUE"""),7.0)</f>
        <v>7</v>
      </c>
      <c r="B1074">
        <f>IFERROR(__xludf.DUMMYFUNCTION("""COMPUTED_VALUE"""),30141.0)</f>
        <v>30141</v>
      </c>
      <c r="C1074" t="str">
        <f>IFERROR(__xludf.DUMMYFUNCTION("""COMPUTED_VALUE"""),"OSORIO PATIÑO, MIRANDA")</f>
        <v>OSORIO PATIÑO, MIRANDA</v>
      </c>
      <c r="D1074" t="str">
        <f>IFERROR(__xludf.DUMMYFUNCTION("""COMPUTED_VALUE"""),"English 7")</f>
        <v>English 7</v>
      </c>
      <c r="E1074" s="31">
        <f>IFERROR(__xludf.DUMMYFUNCTION("""COMPUTED_VALUE"""),3.0)</f>
        <v>3</v>
      </c>
      <c r="F1074" s="8">
        <v>1.0</v>
      </c>
      <c r="G1074" s="8">
        <v>1.0</v>
      </c>
      <c r="H1074" s="8">
        <v>1.0</v>
      </c>
      <c r="I1074" s="8">
        <v>1.0</v>
      </c>
      <c r="J1074" s="8">
        <v>1.0</v>
      </c>
      <c r="K1074" s="8">
        <v>1.0</v>
      </c>
      <c r="L1074" s="8">
        <v>6.0</v>
      </c>
      <c r="M1074" s="8"/>
      <c r="N1074" s="8"/>
      <c r="O1074" s="8" t="s">
        <v>745</v>
      </c>
      <c r="P1074" s="8">
        <v>6.0</v>
      </c>
    </row>
    <row r="1075">
      <c r="A1075">
        <f>IFERROR(__xludf.DUMMYFUNCTION("""COMPUTED_VALUE"""),7.0)</f>
        <v>7</v>
      </c>
      <c r="B1075">
        <f>IFERROR(__xludf.DUMMYFUNCTION("""COMPUTED_VALUE"""),30092.0)</f>
        <v>30092</v>
      </c>
      <c r="C1075" t="str">
        <f>IFERROR(__xludf.DUMMYFUNCTION("""COMPUTED_VALUE"""),"OSPINA ESCOBAR, SOFIA")</f>
        <v>OSPINA ESCOBAR, SOFIA</v>
      </c>
      <c r="D1075" t="str">
        <f>IFERROR(__xludf.DUMMYFUNCTION("""COMPUTED_VALUE"""),"English 7")</f>
        <v>English 7</v>
      </c>
      <c r="E1075" s="31">
        <f>IFERROR(__xludf.DUMMYFUNCTION("""COMPUTED_VALUE"""),2.0)</f>
        <v>2</v>
      </c>
      <c r="F1075" s="8">
        <v>1.0</v>
      </c>
      <c r="G1075" s="8">
        <v>1.0</v>
      </c>
      <c r="H1075" s="8">
        <v>1.0</v>
      </c>
      <c r="I1075" s="8">
        <v>1.0</v>
      </c>
      <c r="J1075" s="8">
        <v>1.0</v>
      </c>
      <c r="K1075" s="8">
        <v>1.0</v>
      </c>
      <c r="L1075" s="8">
        <v>6.0</v>
      </c>
      <c r="M1075" s="8"/>
      <c r="N1075" s="8"/>
      <c r="O1075" s="8" t="s">
        <v>741</v>
      </c>
      <c r="P1075" s="8">
        <v>6.0</v>
      </c>
    </row>
    <row r="1076">
      <c r="A1076">
        <f>IFERROR(__xludf.DUMMYFUNCTION("""COMPUTED_VALUE"""),7.0)</f>
        <v>7</v>
      </c>
      <c r="B1076">
        <f>IFERROR(__xludf.DUMMYFUNCTION("""COMPUTED_VALUE"""),30093.0)</f>
        <v>30093</v>
      </c>
      <c r="C1076" t="str">
        <f>IFERROR(__xludf.DUMMYFUNCTION("""COMPUTED_VALUE"""),"OSPINA RESTREPO, RAFAEL")</f>
        <v>OSPINA RESTREPO, RAFAEL</v>
      </c>
      <c r="D1076" t="str">
        <f>IFERROR(__xludf.DUMMYFUNCTION("""COMPUTED_VALUE"""),"English 7A")</f>
        <v>English 7A</v>
      </c>
      <c r="E1076" s="31">
        <f>IFERROR(__xludf.DUMMYFUNCTION("""COMPUTED_VALUE"""),5.0)</f>
        <v>5</v>
      </c>
      <c r="F1076" s="8">
        <v>1.0</v>
      </c>
      <c r="G1076" s="8">
        <v>1.0</v>
      </c>
      <c r="H1076" s="8">
        <v>1.0</v>
      </c>
      <c r="I1076" s="8">
        <v>1.0</v>
      </c>
      <c r="J1076" s="8">
        <v>1.0</v>
      </c>
      <c r="K1076" s="8">
        <v>1.0</v>
      </c>
      <c r="L1076" s="8">
        <v>6.0</v>
      </c>
      <c r="M1076" s="8"/>
      <c r="N1076" s="8"/>
      <c r="O1076" s="8" t="s">
        <v>743</v>
      </c>
      <c r="P1076" s="8" t="e">
        <v>#N/A</v>
      </c>
    </row>
    <row r="1077">
      <c r="A1077">
        <f>IFERROR(__xludf.DUMMYFUNCTION("""COMPUTED_VALUE"""),7.0)</f>
        <v>7</v>
      </c>
      <c r="B1077">
        <f>IFERROR(__xludf.DUMMYFUNCTION("""COMPUTED_VALUE"""),30173.0)</f>
        <v>30173</v>
      </c>
      <c r="C1077" t="str">
        <f>IFERROR(__xludf.DUMMYFUNCTION("""COMPUTED_VALUE"""),"PARAMO VELASQUEZ, ISABEL")</f>
        <v>PARAMO VELASQUEZ, ISABEL</v>
      </c>
      <c r="D1077" t="str">
        <f>IFERROR(__xludf.DUMMYFUNCTION("""COMPUTED_VALUE"""),"English 7")</f>
        <v>English 7</v>
      </c>
      <c r="E1077" s="31">
        <f>IFERROR(__xludf.DUMMYFUNCTION("""COMPUTED_VALUE"""),6.0)</f>
        <v>6</v>
      </c>
      <c r="F1077" s="8">
        <v>1.0</v>
      </c>
      <c r="G1077" s="8">
        <v>1.0</v>
      </c>
      <c r="H1077" s="8">
        <v>1.0</v>
      </c>
      <c r="I1077" s="8">
        <v>1.0</v>
      </c>
      <c r="J1077" s="8">
        <v>1.0</v>
      </c>
      <c r="K1077" s="8">
        <v>1.0</v>
      </c>
      <c r="L1077" s="8">
        <v>6.0</v>
      </c>
      <c r="M1077" s="8"/>
      <c r="N1077" s="8"/>
      <c r="O1077" s="8" t="s">
        <v>746</v>
      </c>
      <c r="P1077" s="8">
        <v>6.0</v>
      </c>
    </row>
    <row r="1078">
      <c r="A1078">
        <f>IFERROR(__xludf.DUMMYFUNCTION("""COMPUTED_VALUE"""),7.0)</f>
        <v>7</v>
      </c>
      <c r="B1078">
        <f>IFERROR(__xludf.DUMMYFUNCTION("""COMPUTED_VALUE"""),30094.0)</f>
        <v>30094</v>
      </c>
      <c r="C1078" t="str">
        <f>IFERROR(__xludf.DUMMYFUNCTION("""COMPUTED_VALUE"""),"PELAEZ PIEDRAHITA, MARTIN")</f>
        <v>PELAEZ PIEDRAHITA, MARTIN</v>
      </c>
      <c r="D1078" t="str">
        <f>IFERROR(__xludf.DUMMYFUNCTION("""COMPUTED_VALUE"""),"English 7")</f>
        <v>English 7</v>
      </c>
      <c r="E1078" s="31">
        <f>IFERROR(__xludf.DUMMYFUNCTION("""COMPUTED_VALUE"""),2.0)</f>
        <v>2</v>
      </c>
      <c r="F1078" s="8">
        <v>1.0</v>
      </c>
      <c r="G1078" s="8">
        <v>1.0</v>
      </c>
      <c r="H1078" s="8">
        <v>1.0</v>
      </c>
      <c r="I1078" s="8">
        <v>1.0</v>
      </c>
      <c r="J1078" s="8">
        <v>1.0</v>
      </c>
      <c r="K1078" s="8">
        <v>1.0</v>
      </c>
      <c r="L1078" s="8">
        <v>6.0</v>
      </c>
      <c r="M1078" s="8"/>
      <c r="N1078" s="8"/>
      <c r="O1078" s="8" t="s">
        <v>741</v>
      </c>
      <c r="P1078" s="8">
        <v>6.0</v>
      </c>
    </row>
    <row r="1079">
      <c r="A1079">
        <f>IFERROR(__xludf.DUMMYFUNCTION("""COMPUTED_VALUE"""),7.0)</f>
        <v>7</v>
      </c>
      <c r="B1079">
        <f>IFERROR(__xludf.DUMMYFUNCTION("""COMPUTED_VALUE"""),30095.0)</f>
        <v>30095</v>
      </c>
      <c r="C1079" t="str">
        <f>IFERROR(__xludf.DUMMYFUNCTION("""COMPUTED_VALUE"""),"PENAGOS VELEZ, PEDRO")</f>
        <v>PENAGOS VELEZ, PEDRO</v>
      </c>
      <c r="D1079" t="str">
        <f>IFERROR(__xludf.DUMMYFUNCTION("""COMPUTED_VALUE"""),"English 7")</f>
        <v>English 7</v>
      </c>
      <c r="E1079" s="31">
        <f>IFERROR(__xludf.DUMMYFUNCTION("""COMPUTED_VALUE"""),1.0)</f>
        <v>1</v>
      </c>
      <c r="F1079" s="8">
        <v>1.0</v>
      </c>
      <c r="G1079" s="8">
        <v>1.0</v>
      </c>
      <c r="H1079" s="8">
        <v>1.0</v>
      </c>
      <c r="I1079" s="8">
        <v>1.0</v>
      </c>
      <c r="J1079" s="8">
        <v>1.0</v>
      </c>
      <c r="K1079" s="8">
        <v>1.0</v>
      </c>
      <c r="L1079" s="8">
        <v>6.0</v>
      </c>
      <c r="M1079" s="8"/>
      <c r="N1079" s="8"/>
      <c r="O1079" s="8" t="s">
        <v>744</v>
      </c>
      <c r="P1079" s="8">
        <v>6.0</v>
      </c>
    </row>
    <row r="1080">
      <c r="A1080">
        <f>IFERROR(__xludf.DUMMYFUNCTION("""COMPUTED_VALUE"""),7.0)</f>
        <v>7</v>
      </c>
      <c r="B1080">
        <f>IFERROR(__xludf.DUMMYFUNCTION("""COMPUTED_VALUE"""),29090.0)</f>
        <v>29090</v>
      </c>
      <c r="C1080" t="str">
        <f>IFERROR(__xludf.DUMMYFUNCTION("""COMPUTED_VALUE"""),"PEREZ DUQUE, MARIA PAZ")</f>
        <v>PEREZ DUQUE, MARIA PAZ</v>
      </c>
      <c r="D1080" t="str">
        <f>IFERROR(__xludf.DUMMYFUNCTION("""COMPUTED_VALUE"""),"English 7")</f>
        <v>English 7</v>
      </c>
      <c r="E1080" s="31">
        <f>IFERROR(__xludf.DUMMYFUNCTION("""COMPUTED_VALUE"""),5.0)</f>
        <v>5</v>
      </c>
      <c r="F1080" s="8">
        <v>1.0</v>
      </c>
      <c r="G1080" s="8">
        <v>1.0</v>
      </c>
      <c r="H1080" s="8">
        <v>1.0</v>
      </c>
      <c r="I1080" s="8">
        <v>1.0</v>
      </c>
      <c r="J1080" s="8">
        <v>1.0</v>
      </c>
      <c r="K1080" s="8">
        <v>1.0</v>
      </c>
      <c r="L1080" s="8">
        <v>6.0</v>
      </c>
      <c r="M1080" s="8"/>
      <c r="N1080" s="8"/>
      <c r="O1080" s="8" t="s">
        <v>742</v>
      </c>
      <c r="P1080" s="8">
        <v>6.0</v>
      </c>
    </row>
    <row r="1081">
      <c r="A1081">
        <f>IFERROR(__xludf.DUMMYFUNCTION("""COMPUTED_VALUE"""),7.0)</f>
        <v>7</v>
      </c>
      <c r="B1081">
        <f>IFERROR(__xludf.DUMMYFUNCTION("""COMPUTED_VALUE"""),30097.0)</f>
        <v>30097</v>
      </c>
      <c r="C1081" t="str">
        <f>IFERROR(__xludf.DUMMYFUNCTION("""COMPUTED_VALUE"""),"PUERTA TIRADO, JUAN SEBASTIAN")</f>
        <v>PUERTA TIRADO, JUAN SEBASTIAN</v>
      </c>
      <c r="D1081" t="str">
        <f>IFERROR(__xludf.DUMMYFUNCTION("""COMPUTED_VALUE"""),"English 7")</f>
        <v>English 7</v>
      </c>
      <c r="E1081" s="31">
        <f>IFERROR(__xludf.DUMMYFUNCTION("""COMPUTED_VALUE"""),6.0)</f>
        <v>6</v>
      </c>
      <c r="F1081" s="8">
        <v>1.0</v>
      </c>
      <c r="G1081" s="8">
        <v>1.0</v>
      </c>
      <c r="H1081" s="8">
        <v>1.0</v>
      </c>
      <c r="I1081" s="8">
        <v>1.0</v>
      </c>
      <c r="J1081" s="8">
        <v>1.0</v>
      </c>
      <c r="K1081" s="8">
        <v>1.0</v>
      </c>
      <c r="L1081" s="8">
        <v>6.0</v>
      </c>
      <c r="M1081" s="8"/>
      <c r="N1081" s="8"/>
      <c r="O1081" s="8" t="s">
        <v>746</v>
      </c>
      <c r="P1081" s="8">
        <v>6.0</v>
      </c>
    </row>
    <row r="1082">
      <c r="A1082">
        <f>IFERROR(__xludf.DUMMYFUNCTION("""COMPUTED_VALUE"""),7.0)</f>
        <v>7</v>
      </c>
      <c r="B1082">
        <f>IFERROR(__xludf.DUMMYFUNCTION("""COMPUTED_VALUE"""),30147.0)</f>
        <v>30147</v>
      </c>
      <c r="C1082" t="str">
        <f>IFERROR(__xludf.DUMMYFUNCTION("""COMPUTED_VALUE"""),"RAMIREZ ESCOBAR, ISABELLA")</f>
        <v>RAMIREZ ESCOBAR, ISABELLA</v>
      </c>
      <c r="D1082" t="str">
        <f>IFERROR(__xludf.DUMMYFUNCTION("""COMPUTED_VALUE"""),"English 7")</f>
        <v>English 7</v>
      </c>
      <c r="E1082" s="31">
        <f>IFERROR(__xludf.DUMMYFUNCTION("""COMPUTED_VALUE"""),1.0)</f>
        <v>1</v>
      </c>
      <c r="F1082" s="8">
        <v>1.0</v>
      </c>
      <c r="G1082" s="8">
        <v>1.0</v>
      </c>
      <c r="H1082" s="8">
        <v>1.0</v>
      </c>
      <c r="I1082" s="8">
        <v>1.0</v>
      </c>
      <c r="J1082" s="8">
        <v>1.0</v>
      </c>
      <c r="K1082" s="8">
        <v>1.0</v>
      </c>
      <c r="L1082" s="8">
        <v>6.0</v>
      </c>
      <c r="M1082" s="8"/>
      <c r="N1082" s="8"/>
      <c r="O1082" s="8" t="s">
        <v>744</v>
      </c>
      <c r="P1082" s="8">
        <v>6.0</v>
      </c>
    </row>
    <row r="1083">
      <c r="A1083">
        <f>IFERROR(__xludf.DUMMYFUNCTION("""COMPUTED_VALUE"""),7.0)</f>
        <v>7</v>
      </c>
      <c r="B1083">
        <f>IFERROR(__xludf.DUMMYFUNCTION("""COMPUTED_VALUE"""),30098.0)</f>
        <v>30098</v>
      </c>
      <c r="C1083" t="str">
        <f>IFERROR(__xludf.DUMMYFUNCTION("""COMPUTED_VALUE"""),"REINOSO TRUJILLO, SANTIAGO")</f>
        <v>REINOSO TRUJILLO, SANTIAGO</v>
      </c>
      <c r="D1083" t="str">
        <f>IFERROR(__xludf.DUMMYFUNCTION("""COMPUTED_VALUE"""),"English 7")</f>
        <v>English 7</v>
      </c>
      <c r="E1083" s="31">
        <f>IFERROR(__xludf.DUMMYFUNCTION("""COMPUTED_VALUE"""),3.0)</f>
        <v>3</v>
      </c>
      <c r="F1083" s="8">
        <v>1.0</v>
      </c>
      <c r="G1083" s="8">
        <v>1.0</v>
      </c>
      <c r="H1083" s="8">
        <v>1.0</v>
      </c>
      <c r="I1083" s="8">
        <v>1.0</v>
      </c>
      <c r="J1083" s="8">
        <v>1.0</v>
      </c>
      <c r="K1083" s="8">
        <v>1.0</v>
      </c>
      <c r="L1083" s="8">
        <v>6.0</v>
      </c>
      <c r="M1083" s="8"/>
      <c r="N1083" s="8"/>
      <c r="O1083" s="8" t="s">
        <v>745</v>
      </c>
      <c r="P1083" s="8">
        <v>6.0</v>
      </c>
    </row>
    <row r="1084">
      <c r="A1084">
        <f>IFERROR(__xludf.DUMMYFUNCTION("""COMPUTED_VALUE"""),7.0)</f>
        <v>7</v>
      </c>
      <c r="B1084">
        <f>IFERROR(__xludf.DUMMYFUNCTION("""COMPUTED_VALUE"""),30100.0)</f>
        <v>30100</v>
      </c>
      <c r="C1084" t="str">
        <f>IFERROR(__xludf.DUMMYFUNCTION("""COMPUTED_VALUE"""),"RESTREPO QUINTERO, MARTIN")</f>
        <v>RESTREPO QUINTERO, MARTIN</v>
      </c>
      <c r="D1084" t="str">
        <f>IFERROR(__xludf.DUMMYFUNCTION("""COMPUTED_VALUE"""),"English 7A")</f>
        <v>English 7A</v>
      </c>
      <c r="E1084" s="31">
        <f>IFERROR(__xludf.DUMMYFUNCTION("""COMPUTED_VALUE"""),5.0)</f>
        <v>5</v>
      </c>
      <c r="F1084" s="8">
        <v>1.0</v>
      </c>
      <c r="G1084" s="8">
        <v>1.0</v>
      </c>
      <c r="H1084" s="8">
        <v>1.0</v>
      </c>
      <c r="I1084" s="8">
        <v>1.0</v>
      </c>
      <c r="J1084" s="8">
        <v>1.0</v>
      </c>
      <c r="K1084" s="8">
        <v>1.0</v>
      </c>
      <c r="L1084" s="8">
        <v>6.0</v>
      </c>
      <c r="M1084" s="8"/>
      <c r="N1084" s="8"/>
      <c r="O1084" s="8" t="s">
        <v>743</v>
      </c>
      <c r="P1084" s="8" t="e">
        <v>#N/A</v>
      </c>
    </row>
    <row r="1085">
      <c r="A1085">
        <f>IFERROR(__xludf.DUMMYFUNCTION("""COMPUTED_VALUE"""),7.0)</f>
        <v>7</v>
      </c>
      <c r="B1085">
        <f>IFERROR(__xludf.DUMMYFUNCTION("""COMPUTED_VALUE"""),30101.0)</f>
        <v>30101</v>
      </c>
      <c r="C1085" t="str">
        <f>IFERROR(__xludf.DUMMYFUNCTION("""COMPUTED_VALUE"""),"RESTREPO RAMIREZ, MATIAS")</f>
        <v>RESTREPO RAMIREZ, MATIAS</v>
      </c>
      <c r="D1085" t="str">
        <f>IFERROR(__xludf.DUMMYFUNCTION("""COMPUTED_VALUE"""),"English 7")</f>
        <v>English 7</v>
      </c>
      <c r="E1085" s="31">
        <f>IFERROR(__xludf.DUMMYFUNCTION("""COMPUTED_VALUE"""),2.0)</f>
        <v>2</v>
      </c>
      <c r="F1085" s="8">
        <v>1.0</v>
      </c>
      <c r="G1085" s="8">
        <v>1.0</v>
      </c>
      <c r="H1085" s="8">
        <v>1.0</v>
      </c>
      <c r="I1085" s="8">
        <v>1.0</v>
      </c>
      <c r="J1085" s="8">
        <v>1.0</v>
      </c>
      <c r="K1085" s="8">
        <v>1.0</v>
      </c>
      <c r="L1085" s="8">
        <v>6.0</v>
      </c>
      <c r="M1085" s="8"/>
      <c r="N1085" s="8"/>
      <c r="O1085" s="8" t="s">
        <v>741</v>
      </c>
      <c r="P1085" s="8">
        <v>6.0</v>
      </c>
    </row>
    <row r="1086">
      <c r="A1086">
        <f>IFERROR(__xludf.DUMMYFUNCTION("""COMPUTED_VALUE"""),7.0)</f>
        <v>7</v>
      </c>
      <c r="B1086">
        <f>IFERROR(__xludf.DUMMYFUNCTION("""COMPUTED_VALUE"""),29102.0)</f>
        <v>29102</v>
      </c>
      <c r="C1086" t="str">
        <f>IFERROR(__xludf.DUMMYFUNCTION("""COMPUTED_VALUE"""),"ROJAS SANCHEZ, SAMUEL")</f>
        <v>ROJAS SANCHEZ, SAMUEL</v>
      </c>
      <c r="D1086" t="str">
        <f>IFERROR(__xludf.DUMMYFUNCTION("""COMPUTED_VALUE"""),"English 7")</f>
        <v>English 7</v>
      </c>
      <c r="E1086" s="31">
        <f>IFERROR(__xludf.DUMMYFUNCTION("""COMPUTED_VALUE"""),3.0)</f>
        <v>3</v>
      </c>
      <c r="F1086" s="8">
        <v>1.0</v>
      </c>
      <c r="G1086" s="8">
        <v>1.0</v>
      </c>
      <c r="H1086" s="8">
        <v>1.0</v>
      </c>
      <c r="I1086" s="8">
        <v>1.0</v>
      </c>
      <c r="J1086" s="8">
        <v>1.0</v>
      </c>
      <c r="K1086" s="8">
        <v>1.0</v>
      </c>
      <c r="L1086" s="8">
        <v>6.0</v>
      </c>
      <c r="M1086" s="8"/>
      <c r="N1086" s="8"/>
      <c r="O1086" s="8" t="s">
        <v>745</v>
      </c>
      <c r="P1086" s="8">
        <v>6.0</v>
      </c>
    </row>
    <row r="1087">
      <c r="A1087">
        <f>IFERROR(__xludf.DUMMYFUNCTION("""COMPUTED_VALUE"""),7.0)</f>
        <v>7</v>
      </c>
      <c r="B1087">
        <f>IFERROR(__xludf.DUMMYFUNCTION("""COMPUTED_VALUE"""),30102.0)</f>
        <v>30102</v>
      </c>
      <c r="C1087" t="str">
        <f>IFERROR(__xludf.DUMMYFUNCTION("""COMPUTED_VALUE"""),"RUIZ ROLDAN, LAURA")</f>
        <v>RUIZ ROLDAN, LAURA</v>
      </c>
      <c r="D1087" t="str">
        <f>IFERROR(__xludf.DUMMYFUNCTION("""COMPUTED_VALUE"""),"English 7")</f>
        <v>English 7</v>
      </c>
      <c r="E1087" s="31">
        <f>IFERROR(__xludf.DUMMYFUNCTION("""COMPUTED_VALUE"""),2.0)</f>
        <v>2</v>
      </c>
      <c r="F1087" s="8">
        <v>1.0</v>
      </c>
      <c r="G1087" s="8">
        <v>1.0</v>
      </c>
      <c r="H1087" s="8">
        <v>1.0</v>
      </c>
      <c r="I1087" s="8">
        <v>1.0</v>
      </c>
      <c r="J1087" s="8">
        <v>1.0</v>
      </c>
      <c r="K1087" s="8">
        <v>1.0</v>
      </c>
      <c r="L1087" s="8">
        <v>6.0</v>
      </c>
      <c r="M1087" s="8"/>
      <c r="N1087" s="8"/>
      <c r="O1087" s="8" t="s">
        <v>741</v>
      </c>
      <c r="P1087" s="8">
        <v>6.0</v>
      </c>
    </row>
    <row r="1088">
      <c r="A1088">
        <f>IFERROR(__xludf.DUMMYFUNCTION("""COMPUTED_VALUE"""),7.0)</f>
        <v>7</v>
      </c>
      <c r="B1088">
        <f>IFERROR(__xludf.DUMMYFUNCTION("""COMPUTED_VALUE"""),30103.0)</f>
        <v>30103</v>
      </c>
      <c r="C1088" t="str">
        <f>IFERROR(__xludf.DUMMYFUNCTION("""COMPUTED_VALUE"""),"SANCHEZ GONZALEZ, EMILIANA")</f>
        <v>SANCHEZ GONZALEZ, EMILIANA</v>
      </c>
      <c r="D1088" t="str">
        <f>IFERROR(__xludf.DUMMYFUNCTION("""COMPUTED_VALUE"""),"English 7A")</f>
        <v>English 7A</v>
      </c>
      <c r="E1088" s="31">
        <f>IFERROR(__xludf.DUMMYFUNCTION("""COMPUTED_VALUE"""),5.0)</f>
        <v>5</v>
      </c>
      <c r="F1088" s="8">
        <v>1.0</v>
      </c>
      <c r="G1088" s="8">
        <v>1.0</v>
      </c>
      <c r="H1088" s="8">
        <v>1.0</v>
      </c>
      <c r="I1088" s="8">
        <v>1.0</v>
      </c>
      <c r="J1088" s="8">
        <v>1.0</v>
      </c>
      <c r="K1088" s="8">
        <v>1.0</v>
      </c>
      <c r="L1088" s="8">
        <v>6.0</v>
      </c>
      <c r="M1088" s="8"/>
      <c r="N1088" s="8"/>
      <c r="O1088" s="8" t="s">
        <v>743</v>
      </c>
      <c r="P1088" s="8" t="e">
        <v>#N/A</v>
      </c>
    </row>
    <row r="1089">
      <c r="A1089">
        <f>IFERROR(__xludf.DUMMYFUNCTION("""COMPUTED_VALUE"""),7.0)</f>
        <v>7</v>
      </c>
      <c r="B1089">
        <f>IFERROR(__xludf.DUMMYFUNCTION("""COMPUTED_VALUE"""),30104.0)</f>
        <v>30104</v>
      </c>
      <c r="C1089" t="str">
        <f>IFERROR(__xludf.DUMMYFUNCTION("""COMPUTED_VALUE"""),"SIERRA VILLA, RAQUEL")</f>
        <v>SIERRA VILLA, RAQUEL</v>
      </c>
      <c r="D1089" t="str">
        <f>IFERROR(__xludf.DUMMYFUNCTION("""COMPUTED_VALUE"""),"English 7")</f>
        <v>English 7</v>
      </c>
      <c r="E1089" s="31">
        <f>IFERROR(__xludf.DUMMYFUNCTION("""COMPUTED_VALUE"""),2.0)</f>
        <v>2</v>
      </c>
      <c r="F1089" s="8">
        <v>1.0</v>
      </c>
      <c r="G1089" s="8">
        <v>1.0</v>
      </c>
      <c r="H1089" s="8">
        <v>1.0</v>
      </c>
      <c r="I1089" s="8">
        <v>1.0</v>
      </c>
      <c r="J1089" s="8">
        <v>1.0</v>
      </c>
      <c r="K1089" s="8">
        <v>1.0</v>
      </c>
      <c r="L1089" s="8">
        <v>6.0</v>
      </c>
      <c r="M1089" s="8"/>
      <c r="N1089" s="8"/>
      <c r="O1089" s="8" t="s">
        <v>741</v>
      </c>
      <c r="P1089" s="8">
        <v>6.0</v>
      </c>
    </row>
    <row r="1090">
      <c r="A1090">
        <f>IFERROR(__xludf.DUMMYFUNCTION("""COMPUTED_VALUE"""),7.0)</f>
        <v>7</v>
      </c>
      <c r="B1090">
        <f>IFERROR(__xludf.DUMMYFUNCTION("""COMPUTED_VALUE"""),30105.0)</f>
        <v>30105</v>
      </c>
      <c r="C1090" t="str">
        <f>IFERROR(__xludf.DUMMYFUNCTION("""COMPUTED_VALUE"""),"TOBON RESTREPO, PEDRO")</f>
        <v>TOBON RESTREPO, PEDRO</v>
      </c>
      <c r="D1090" t="str">
        <f>IFERROR(__xludf.DUMMYFUNCTION("""COMPUTED_VALUE"""),"English 7")</f>
        <v>English 7</v>
      </c>
      <c r="E1090" s="31">
        <f>IFERROR(__xludf.DUMMYFUNCTION("""COMPUTED_VALUE"""),2.0)</f>
        <v>2</v>
      </c>
      <c r="F1090" s="8">
        <v>1.0</v>
      </c>
      <c r="G1090" s="8">
        <v>1.0</v>
      </c>
      <c r="H1090" s="8">
        <v>1.0</v>
      </c>
      <c r="I1090" s="8">
        <v>1.0</v>
      </c>
      <c r="J1090" s="8">
        <v>1.0</v>
      </c>
      <c r="K1090" s="8">
        <v>1.0</v>
      </c>
      <c r="L1090" s="8">
        <v>6.0</v>
      </c>
      <c r="M1090" s="8"/>
      <c r="N1090" s="8"/>
      <c r="O1090" s="8" t="s">
        <v>741</v>
      </c>
      <c r="P1090" s="8">
        <v>6.0</v>
      </c>
    </row>
    <row r="1091">
      <c r="A1091">
        <f>IFERROR(__xludf.DUMMYFUNCTION("""COMPUTED_VALUE"""),7.0)</f>
        <v>7</v>
      </c>
      <c r="B1091">
        <f>IFERROR(__xludf.DUMMYFUNCTION("""COMPUTED_VALUE"""),30106.0)</f>
        <v>30106</v>
      </c>
      <c r="C1091" t="str">
        <f>IFERROR(__xludf.DUMMYFUNCTION("""COMPUTED_VALUE"""),"TORO BOTERO, PEDRO")</f>
        <v>TORO BOTERO, PEDRO</v>
      </c>
      <c r="D1091" t="str">
        <f>IFERROR(__xludf.DUMMYFUNCTION("""COMPUTED_VALUE"""),"English 7")</f>
        <v>English 7</v>
      </c>
      <c r="E1091" s="31">
        <f>IFERROR(__xludf.DUMMYFUNCTION("""COMPUTED_VALUE"""),3.0)</f>
        <v>3</v>
      </c>
      <c r="F1091" s="8">
        <v>1.0</v>
      </c>
      <c r="G1091" s="8">
        <v>1.0</v>
      </c>
      <c r="H1091" s="8">
        <v>1.0</v>
      </c>
      <c r="I1091" s="8">
        <v>1.0</v>
      </c>
      <c r="J1091" s="8">
        <v>1.0</v>
      </c>
      <c r="K1091" s="8">
        <v>1.0</v>
      </c>
      <c r="L1091" s="8">
        <v>6.0</v>
      </c>
      <c r="M1091" s="8"/>
      <c r="N1091" s="8"/>
      <c r="O1091" s="8" t="s">
        <v>745</v>
      </c>
      <c r="P1091" s="8">
        <v>6.0</v>
      </c>
    </row>
    <row r="1092">
      <c r="A1092">
        <f>IFERROR(__xludf.DUMMYFUNCTION("""COMPUTED_VALUE"""),7.0)</f>
        <v>7</v>
      </c>
      <c r="B1092">
        <f>IFERROR(__xludf.DUMMYFUNCTION("""COMPUTED_VALUE"""),30107.0)</f>
        <v>30107</v>
      </c>
      <c r="C1092" t="str">
        <f>IFERROR(__xludf.DUMMYFUNCTION("""COMPUTED_VALUE"""),"TORRES POSADA, NICOLAS")</f>
        <v>TORRES POSADA, NICOLAS</v>
      </c>
      <c r="D1092" t="str">
        <f>IFERROR(__xludf.DUMMYFUNCTION("""COMPUTED_VALUE"""),"English 7")</f>
        <v>English 7</v>
      </c>
      <c r="E1092" s="31">
        <f>IFERROR(__xludf.DUMMYFUNCTION("""COMPUTED_VALUE"""),6.0)</f>
        <v>6</v>
      </c>
      <c r="F1092" s="8">
        <v>1.0</v>
      </c>
      <c r="G1092" s="8">
        <v>1.0</v>
      </c>
      <c r="H1092" s="8">
        <v>1.0</v>
      </c>
      <c r="I1092" s="8">
        <v>1.0</v>
      </c>
      <c r="J1092" s="8">
        <v>1.0</v>
      </c>
      <c r="K1092" s="8">
        <v>1.0</v>
      </c>
      <c r="L1092" s="8">
        <v>6.0</v>
      </c>
      <c r="M1092" s="8"/>
      <c r="N1092" s="8"/>
      <c r="O1092" s="8" t="s">
        <v>746</v>
      </c>
      <c r="P1092" s="8">
        <v>6.0</v>
      </c>
    </row>
    <row r="1093">
      <c r="A1093">
        <f>IFERROR(__xludf.DUMMYFUNCTION("""COMPUTED_VALUE"""),7.0)</f>
        <v>7</v>
      </c>
      <c r="B1093">
        <f>IFERROR(__xludf.DUMMYFUNCTION("""COMPUTED_VALUE"""),30109.0)</f>
        <v>30109</v>
      </c>
      <c r="C1093" t="str">
        <f>IFERROR(__xludf.DUMMYFUNCTION("""COMPUTED_VALUE"""),"TRUJILLO RENDON, CAMILA")</f>
        <v>TRUJILLO RENDON, CAMILA</v>
      </c>
      <c r="D1093" t="str">
        <f>IFERROR(__xludf.DUMMYFUNCTION("""COMPUTED_VALUE"""),"English 7")</f>
        <v>English 7</v>
      </c>
      <c r="E1093" s="31">
        <f>IFERROR(__xludf.DUMMYFUNCTION("""COMPUTED_VALUE"""),1.0)</f>
        <v>1</v>
      </c>
      <c r="F1093" s="8">
        <v>1.0</v>
      </c>
      <c r="G1093" s="8">
        <v>1.0</v>
      </c>
      <c r="H1093" s="8">
        <v>1.0</v>
      </c>
      <c r="I1093" s="8">
        <v>1.0</v>
      </c>
      <c r="J1093" s="8">
        <v>1.0</v>
      </c>
      <c r="K1093" s="8">
        <v>1.0</v>
      </c>
      <c r="L1093" s="8">
        <v>6.0</v>
      </c>
      <c r="M1093" s="8"/>
      <c r="N1093" s="8"/>
      <c r="O1093" s="8" t="s">
        <v>744</v>
      </c>
      <c r="P1093" s="8">
        <v>6.0</v>
      </c>
    </row>
    <row r="1094">
      <c r="A1094">
        <f>IFERROR(__xludf.DUMMYFUNCTION("""COMPUTED_VALUE"""),7.0)</f>
        <v>7</v>
      </c>
      <c r="B1094">
        <f>IFERROR(__xludf.DUMMYFUNCTION("""COMPUTED_VALUE"""),30111.0)</f>
        <v>30111</v>
      </c>
      <c r="C1094" t="str">
        <f>IFERROR(__xludf.DUMMYFUNCTION("""COMPUTED_VALUE"""),"URIBE MUÑOZ, ANDREA")</f>
        <v>URIBE MUÑOZ, ANDREA</v>
      </c>
      <c r="D1094" t="str">
        <f>IFERROR(__xludf.DUMMYFUNCTION("""COMPUTED_VALUE"""),"English 7")</f>
        <v>English 7</v>
      </c>
      <c r="E1094" s="31">
        <f>IFERROR(__xludf.DUMMYFUNCTION("""COMPUTED_VALUE"""),2.0)</f>
        <v>2</v>
      </c>
      <c r="F1094" s="8">
        <v>1.0</v>
      </c>
      <c r="G1094" s="8">
        <v>1.0</v>
      </c>
      <c r="H1094" s="8">
        <v>1.0</v>
      </c>
      <c r="I1094" s="8">
        <v>1.0</v>
      </c>
      <c r="J1094" s="8">
        <v>1.0</v>
      </c>
      <c r="K1094" s="8">
        <v>1.0</v>
      </c>
      <c r="L1094" s="8">
        <v>6.0</v>
      </c>
      <c r="M1094" s="8"/>
      <c r="N1094" s="8"/>
      <c r="O1094" s="8" t="s">
        <v>741</v>
      </c>
      <c r="P1094" s="8">
        <v>6.0</v>
      </c>
    </row>
    <row r="1095">
      <c r="A1095">
        <f>IFERROR(__xludf.DUMMYFUNCTION("""COMPUTED_VALUE"""),7.0)</f>
        <v>7</v>
      </c>
      <c r="B1095">
        <f>IFERROR(__xludf.DUMMYFUNCTION("""COMPUTED_VALUE"""),30112.0)</f>
        <v>30112</v>
      </c>
      <c r="C1095" t="str">
        <f>IFERROR(__xludf.DUMMYFUNCTION("""COMPUTED_VALUE"""),"URIBE MUÑOZ, VALENTINA")</f>
        <v>URIBE MUÑOZ, VALENTINA</v>
      </c>
      <c r="D1095" t="str">
        <f>IFERROR(__xludf.DUMMYFUNCTION("""COMPUTED_VALUE"""),"English 7")</f>
        <v>English 7</v>
      </c>
      <c r="E1095" s="31">
        <f>IFERROR(__xludf.DUMMYFUNCTION("""COMPUTED_VALUE"""),6.0)</f>
        <v>6</v>
      </c>
      <c r="F1095" s="8">
        <v>1.0</v>
      </c>
      <c r="G1095" s="8">
        <v>1.0</v>
      </c>
      <c r="H1095" s="8">
        <v>1.0</v>
      </c>
      <c r="I1095" s="8">
        <v>1.0</v>
      </c>
      <c r="J1095" s="8">
        <v>1.0</v>
      </c>
      <c r="K1095" s="8">
        <v>1.0</v>
      </c>
      <c r="L1095" s="8">
        <v>6.0</v>
      </c>
      <c r="M1095" s="8"/>
      <c r="N1095" s="8"/>
      <c r="O1095" s="8" t="s">
        <v>746</v>
      </c>
      <c r="P1095" s="8">
        <v>6.0</v>
      </c>
    </row>
    <row r="1096">
      <c r="A1096">
        <f>IFERROR(__xludf.DUMMYFUNCTION("""COMPUTED_VALUE"""),7.0)</f>
        <v>7</v>
      </c>
      <c r="B1096">
        <f>IFERROR(__xludf.DUMMYFUNCTION("""COMPUTED_VALUE"""),30114.0)</f>
        <v>30114</v>
      </c>
      <c r="C1096" t="str">
        <f>IFERROR(__xludf.DUMMYFUNCTION("""COMPUTED_VALUE"""),"URIBE RUIZ, VICENTE")</f>
        <v>URIBE RUIZ, VICENTE</v>
      </c>
      <c r="D1096" t="str">
        <f>IFERROR(__xludf.DUMMYFUNCTION("""COMPUTED_VALUE"""),"English 7")</f>
        <v>English 7</v>
      </c>
      <c r="E1096" s="31">
        <f>IFERROR(__xludf.DUMMYFUNCTION("""COMPUTED_VALUE"""),5.0)</f>
        <v>5</v>
      </c>
      <c r="F1096" s="8">
        <v>1.0</v>
      </c>
      <c r="G1096" s="8">
        <v>1.0</v>
      </c>
      <c r="H1096" s="8">
        <v>1.0</v>
      </c>
      <c r="I1096" s="8">
        <v>1.0</v>
      </c>
      <c r="J1096" s="8">
        <v>1.0</v>
      </c>
      <c r="K1096" s="8">
        <v>1.0</v>
      </c>
      <c r="L1096" s="8">
        <v>6.0</v>
      </c>
      <c r="M1096" s="8"/>
      <c r="N1096" s="8"/>
      <c r="O1096" s="8" t="s">
        <v>742</v>
      </c>
      <c r="P1096" s="8">
        <v>6.0</v>
      </c>
    </row>
    <row r="1097">
      <c r="A1097">
        <f>IFERROR(__xludf.DUMMYFUNCTION("""COMPUTED_VALUE"""),7.0)</f>
        <v>7</v>
      </c>
      <c r="B1097">
        <f>IFERROR(__xludf.DUMMYFUNCTION("""COMPUTED_VALUE"""),30115.0)</f>
        <v>30115</v>
      </c>
      <c r="C1097" t="str">
        <f>IFERROR(__xludf.DUMMYFUNCTION("""COMPUTED_VALUE"""),"URIBE VELASQUEZ, AGUSTIN")</f>
        <v>URIBE VELASQUEZ, AGUSTIN</v>
      </c>
      <c r="D1097" t="str">
        <f>IFERROR(__xludf.DUMMYFUNCTION("""COMPUTED_VALUE"""),"English 7")</f>
        <v>English 7</v>
      </c>
      <c r="E1097" s="31">
        <f>IFERROR(__xludf.DUMMYFUNCTION("""COMPUTED_VALUE"""),1.0)</f>
        <v>1</v>
      </c>
      <c r="F1097" s="8">
        <v>1.0</v>
      </c>
      <c r="G1097" s="8">
        <v>1.0</v>
      </c>
      <c r="H1097" s="8">
        <v>1.0</v>
      </c>
      <c r="I1097" s="8">
        <v>1.0</v>
      </c>
      <c r="J1097" s="8">
        <v>1.0</v>
      </c>
      <c r="K1097" s="8">
        <v>1.0</v>
      </c>
      <c r="L1097" s="8">
        <v>6.0</v>
      </c>
      <c r="M1097" s="8"/>
      <c r="N1097" s="8"/>
      <c r="O1097" s="8" t="s">
        <v>744</v>
      </c>
      <c r="P1097" s="8">
        <v>6.0</v>
      </c>
    </row>
    <row r="1098">
      <c r="A1098">
        <f>IFERROR(__xludf.DUMMYFUNCTION("""COMPUTED_VALUE"""),7.0)</f>
        <v>7</v>
      </c>
      <c r="B1098">
        <f>IFERROR(__xludf.DUMMYFUNCTION("""COMPUTED_VALUE"""),30117.0)</f>
        <v>30117</v>
      </c>
      <c r="C1098" t="str">
        <f>IFERROR(__xludf.DUMMYFUNCTION("""COMPUTED_VALUE"""),"VASQUEZ ECHEVERRI, MARIANA")</f>
        <v>VASQUEZ ECHEVERRI, MARIANA</v>
      </c>
      <c r="D1098" t="str">
        <f>IFERROR(__xludf.DUMMYFUNCTION("""COMPUTED_VALUE"""),"English 7")</f>
        <v>English 7</v>
      </c>
      <c r="E1098" s="31">
        <f>IFERROR(__xludf.DUMMYFUNCTION("""COMPUTED_VALUE"""),5.0)</f>
        <v>5</v>
      </c>
      <c r="F1098" s="8">
        <v>1.0</v>
      </c>
      <c r="G1098" s="8">
        <v>1.0</v>
      </c>
      <c r="H1098" s="8">
        <v>1.0</v>
      </c>
      <c r="I1098" s="8">
        <v>1.0</v>
      </c>
      <c r="J1098" s="8">
        <v>1.0</v>
      </c>
      <c r="K1098" s="8">
        <v>1.0</v>
      </c>
      <c r="L1098" s="8">
        <v>6.0</v>
      </c>
      <c r="M1098" s="8"/>
      <c r="N1098" s="8"/>
      <c r="O1098" s="8" t="s">
        <v>742</v>
      </c>
      <c r="P1098" s="8">
        <v>6.0</v>
      </c>
    </row>
    <row r="1099">
      <c r="A1099">
        <f>IFERROR(__xludf.DUMMYFUNCTION("""COMPUTED_VALUE"""),7.0)</f>
        <v>7</v>
      </c>
      <c r="B1099">
        <f>IFERROR(__xludf.DUMMYFUNCTION("""COMPUTED_VALUE"""),30119.0)</f>
        <v>30119</v>
      </c>
      <c r="C1099" t="str">
        <f>IFERROR(__xludf.DUMMYFUNCTION("""COMPUTED_VALUE"""),"VASQUEZ MUÑOZ, LUCIA")</f>
        <v>VASQUEZ MUÑOZ, LUCIA</v>
      </c>
      <c r="D1099" t="str">
        <f>IFERROR(__xludf.DUMMYFUNCTION("""COMPUTED_VALUE"""),"English 7")</f>
        <v>English 7</v>
      </c>
      <c r="E1099" s="31">
        <f>IFERROR(__xludf.DUMMYFUNCTION("""COMPUTED_VALUE"""),5.0)</f>
        <v>5</v>
      </c>
      <c r="F1099" s="8">
        <v>1.0</v>
      </c>
      <c r="G1099" s="8">
        <v>1.0</v>
      </c>
      <c r="H1099" s="8">
        <v>1.0</v>
      </c>
      <c r="I1099" s="8">
        <v>1.0</v>
      </c>
      <c r="J1099" s="8">
        <v>1.0</v>
      </c>
      <c r="K1099" s="8">
        <v>1.0</v>
      </c>
      <c r="L1099" s="8">
        <v>6.0</v>
      </c>
      <c r="M1099" s="8"/>
      <c r="N1099" s="8"/>
      <c r="O1099" s="8" t="s">
        <v>742</v>
      </c>
      <c r="P1099" s="8">
        <v>6.0</v>
      </c>
    </row>
    <row r="1100">
      <c r="A1100">
        <f>IFERROR(__xludf.DUMMYFUNCTION("""COMPUTED_VALUE"""),7.0)</f>
        <v>7</v>
      </c>
      <c r="B1100">
        <f>IFERROR(__xludf.DUMMYFUNCTION("""COMPUTED_VALUE"""),30162.0)</f>
        <v>30162</v>
      </c>
      <c r="C1100" t="str">
        <f>IFERROR(__xludf.DUMMYFUNCTION("""COMPUTED_VALUE"""),"VASQUEZ TAMAYO, ISABEL")</f>
        <v>VASQUEZ TAMAYO, ISABEL</v>
      </c>
      <c r="D1100" t="str">
        <f>IFERROR(__xludf.DUMMYFUNCTION("""COMPUTED_VALUE"""),"English 7")</f>
        <v>English 7</v>
      </c>
      <c r="E1100" s="31">
        <f>IFERROR(__xludf.DUMMYFUNCTION("""COMPUTED_VALUE"""),6.0)</f>
        <v>6</v>
      </c>
      <c r="F1100" s="8">
        <v>1.0</v>
      </c>
      <c r="G1100" s="8">
        <v>1.0</v>
      </c>
      <c r="H1100" s="8">
        <v>1.0</v>
      </c>
      <c r="I1100" s="8">
        <v>1.0</v>
      </c>
      <c r="J1100" s="8">
        <v>1.0</v>
      </c>
      <c r="K1100" s="8">
        <v>1.0</v>
      </c>
      <c r="L1100" s="8">
        <v>6.0</v>
      </c>
      <c r="M1100" s="8"/>
      <c r="N1100" s="8"/>
      <c r="O1100" s="8" t="s">
        <v>746</v>
      </c>
      <c r="P1100" s="8">
        <v>6.0</v>
      </c>
    </row>
    <row r="1101">
      <c r="A1101">
        <f>IFERROR(__xludf.DUMMYFUNCTION("""COMPUTED_VALUE"""),7.0)</f>
        <v>7</v>
      </c>
      <c r="B1101">
        <f>IFERROR(__xludf.DUMMYFUNCTION("""COMPUTED_VALUE"""),30163.0)</f>
        <v>30163</v>
      </c>
      <c r="C1101" t="str">
        <f>IFERROR(__xludf.DUMMYFUNCTION("""COMPUTED_VALUE"""),"VASQUEZ TAMAYO, PABLO")</f>
        <v>VASQUEZ TAMAYO, PABLO</v>
      </c>
      <c r="D1101" t="str">
        <f>IFERROR(__xludf.DUMMYFUNCTION("""COMPUTED_VALUE"""),"English 7")</f>
        <v>English 7</v>
      </c>
      <c r="E1101" s="31">
        <f>IFERROR(__xludf.DUMMYFUNCTION("""COMPUTED_VALUE"""),3.0)</f>
        <v>3</v>
      </c>
      <c r="F1101" s="8">
        <v>1.0</v>
      </c>
      <c r="G1101" s="8">
        <v>1.0</v>
      </c>
      <c r="H1101" s="8">
        <v>1.0</v>
      </c>
      <c r="I1101" s="8">
        <v>1.0</v>
      </c>
      <c r="J1101" s="8">
        <v>1.0</v>
      </c>
      <c r="K1101" s="8">
        <v>1.0</v>
      </c>
      <c r="L1101" s="8">
        <v>6.0</v>
      </c>
      <c r="M1101" s="8"/>
      <c r="N1101" s="8"/>
      <c r="O1101" s="8" t="s">
        <v>745</v>
      </c>
      <c r="P1101" s="8">
        <v>6.0</v>
      </c>
    </row>
    <row r="1102">
      <c r="A1102">
        <f>IFERROR(__xludf.DUMMYFUNCTION("""COMPUTED_VALUE"""),7.0)</f>
        <v>7</v>
      </c>
      <c r="B1102">
        <f>IFERROR(__xludf.DUMMYFUNCTION("""COMPUTED_VALUE"""),30164.0)</f>
        <v>30164</v>
      </c>
      <c r="C1102" t="str">
        <f>IFERROR(__xludf.DUMMYFUNCTION("""COMPUTED_VALUE"""),"VASQUEZ TAMAYO, SAMUEL")</f>
        <v>VASQUEZ TAMAYO, SAMUEL</v>
      </c>
      <c r="D1102" t="str">
        <f>IFERROR(__xludf.DUMMYFUNCTION("""COMPUTED_VALUE"""),"English 7")</f>
        <v>English 7</v>
      </c>
      <c r="E1102" s="31">
        <f>IFERROR(__xludf.DUMMYFUNCTION("""COMPUTED_VALUE"""),2.0)</f>
        <v>2</v>
      </c>
      <c r="F1102" s="8">
        <v>1.0</v>
      </c>
      <c r="G1102" s="8">
        <v>1.0</v>
      </c>
      <c r="H1102" s="8">
        <v>1.0</v>
      </c>
      <c r="I1102" s="8">
        <v>1.0</v>
      </c>
      <c r="J1102" s="8">
        <v>1.0</v>
      </c>
      <c r="K1102" s="8">
        <v>1.0</v>
      </c>
      <c r="L1102" s="8">
        <v>6.0</v>
      </c>
      <c r="M1102" s="8"/>
      <c r="N1102" s="8"/>
      <c r="O1102" s="8" t="s">
        <v>741</v>
      </c>
      <c r="P1102" s="8">
        <v>6.0</v>
      </c>
    </row>
    <row r="1103">
      <c r="A1103">
        <f>IFERROR(__xludf.DUMMYFUNCTION("""COMPUTED_VALUE"""),7.0)</f>
        <v>7</v>
      </c>
      <c r="B1103">
        <f>IFERROR(__xludf.DUMMYFUNCTION("""COMPUTED_VALUE"""),30120.0)</f>
        <v>30120</v>
      </c>
      <c r="C1103" t="str">
        <f>IFERROR(__xludf.DUMMYFUNCTION("""COMPUTED_VALUE"""),"VELASQUEZ URIBE, JUAN SEBASTIAN")</f>
        <v>VELASQUEZ URIBE, JUAN SEBASTIAN</v>
      </c>
      <c r="D1103" t="str">
        <f>IFERROR(__xludf.DUMMYFUNCTION("""COMPUTED_VALUE"""),"English 7")</f>
        <v>English 7</v>
      </c>
      <c r="E1103" s="31">
        <f>IFERROR(__xludf.DUMMYFUNCTION("""COMPUTED_VALUE"""),1.0)</f>
        <v>1</v>
      </c>
      <c r="F1103" s="8">
        <v>1.0</v>
      </c>
      <c r="G1103" s="8">
        <v>1.0</v>
      </c>
      <c r="H1103" s="8">
        <v>1.0</v>
      </c>
      <c r="I1103" s="8">
        <v>1.0</v>
      </c>
      <c r="J1103" s="8">
        <v>1.0</v>
      </c>
      <c r="K1103" s="8">
        <v>1.0</v>
      </c>
      <c r="L1103" s="8">
        <v>6.0</v>
      </c>
      <c r="M1103" s="8"/>
      <c r="N1103" s="8"/>
      <c r="O1103" s="8" t="s">
        <v>744</v>
      </c>
      <c r="P1103" s="8">
        <v>6.0</v>
      </c>
    </row>
    <row r="1104">
      <c r="A1104">
        <f>IFERROR(__xludf.DUMMYFUNCTION("""COMPUTED_VALUE"""),7.0)</f>
        <v>7</v>
      </c>
      <c r="B1104">
        <f>IFERROR(__xludf.DUMMYFUNCTION("""COMPUTED_VALUE"""),30121.0)</f>
        <v>30121</v>
      </c>
      <c r="C1104" t="str">
        <f>IFERROR(__xludf.DUMMYFUNCTION("""COMPUTED_VALUE"""),"VELEZ ECHANDIA, DANIEL")</f>
        <v>VELEZ ECHANDIA, DANIEL</v>
      </c>
      <c r="D1104" t="str">
        <f>IFERROR(__xludf.DUMMYFUNCTION("""COMPUTED_VALUE"""),"English 7A")</f>
        <v>English 7A</v>
      </c>
      <c r="E1104" s="31">
        <f>IFERROR(__xludf.DUMMYFUNCTION("""COMPUTED_VALUE"""),5.0)</f>
        <v>5</v>
      </c>
      <c r="F1104" s="8">
        <v>1.0</v>
      </c>
      <c r="G1104" s="8">
        <v>1.0</v>
      </c>
      <c r="H1104" s="8">
        <v>1.0</v>
      </c>
      <c r="I1104" s="8">
        <v>1.0</v>
      </c>
      <c r="J1104" s="8">
        <v>1.0</v>
      </c>
      <c r="K1104" s="8">
        <v>1.0</v>
      </c>
      <c r="L1104" s="8">
        <v>6.0</v>
      </c>
      <c r="M1104" s="8"/>
      <c r="N1104" s="8"/>
      <c r="O1104" s="8" t="s">
        <v>743</v>
      </c>
      <c r="P1104" s="8" t="e">
        <v>#N/A</v>
      </c>
    </row>
    <row r="1105">
      <c r="A1105">
        <f>IFERROR(__xludf.DUMMYFUNCTION("""COMPUTED_VALUE"""),7.0)</f>
        <v>7</v>
      </c>
      <c r="B1105">
        <f>IFERROR(__xludf.DUMMYFUNCTION("""COMPUTED_VALUE"""),30122.0)</f>
        <v>30122</v>
      </c>
      <c r="C1105" t="str">
        <f>IFERROR(__xludf.DUMMYFUNCTION("""COMPUTED_VALUE"""),"VILLEGAS MEJIA, MARTIN")</f>
        <v>VILLEGAS MEJIA, MARTIN</v>
      </c>
      <c r="D1105" t="str">
        <f>IFERROR(__xludf.DUMMYFUNCTION("""COMPUTED_VALUE"""),"English 7")</f>
        <v>English 7</v>
      </c>
      <c r="E1105" s="31">
        <f>IFERROR(__xludf.DUMMYFUNCTION("""COMPUTED_VALUE"""),3.0)</f>
        <v>3</v>
      </c>
      <c r="F1105" s="8">
        <v>1.0</v>
      </c>
      <c r="G1105" s="8">
        <v>1.0</v>
      </c>
      <c r="H1105" s="8">
        <v>1.0</v>
      </c>
      <c r="I1105" s="8">
        <v>1.0</v>
      </c>
      <c r="J1105" s="8">
        <v>1.0</v>
      </c>
      <c r="K1105" s="8">
        <v>1.0</v>
      </c>
      <c r="L1105" s="8">
        <v>6.0</v>
      </c>
      <c r="M1105" s="8"/>
      <c r="N1105" s="8"/>
      <c r="O1105" s="8" t="s">
        <v>745</v>
      </c>
      <c r="P1105" s="8">
        <v>6.0</v>
      </c>
    </row>
    <row r="1106">
      <c r="A1106">
        <f>IFERROR(__xludf.DUMMYFUNCTION("""COMPUTED_VALUE"""),7.0)</f>
        <v>7</v>
      </c>
      <c r="B1106">
        <f>IFERROR(__xludf.DUMMYFUNCTION("""COMPUTED_VALUE"""),30123.0)</f>
        <v>30123</v>
      </c>
      <c r="C1106" t="str">
        <f>IFERROR(__xludf.DUMMYFUNCTION("""COMPUTED_VALUE"""),"YACAMAN RESTREPO, TOMAS")</f>
        <v>YACAMAN RESTREPO, TOMAS</v>
      </c>
      <c r="D1106" t="str">
        <f>IFERROR(__xludf.DUMMYFUNCTION("""COMPUTED_VALUE"""),"English 7")</f>
        <v>English 7</v>
      </c>
      <c r="E1106" s="31">
        <f>IFERROR(__xludf.DUMMYFUNCTION("""COMPUTED_VALUE"""),6.0)</f>
        <v>6</v>
      </c>
      <c r="F1106" s="8">
        <v>1.0</v>
      </c>
      <c r="G1106" s="8">
        <v>1.0</v>
      </c>
      <c r="H1106" s="8">
        <v>1.0</v>
      </c>
      <c r="I1106" s="8">
        <v>1.0</v>
      </c>
      <c r="J1106" s="8">
        <v>1.0</v>
      </c>
      <c r="K1106" s="8">
        <v>1.0</v>
      </c>
      <c r="L1106" s="8">
        <v>6.0</v>
      </c>
      <c r="M1106" s="8"/>
      <c r="N1106" s="8"/>
      <c r="O1106" s="8" t="s">
        <v>746</v>
      </c>
      <c r="P1106" s="8">
        <v>6.0</v>
      </c>
    </row>
    <row r="1107">
      <c r="A1107">
        <f>IFERROR(__xludf.DUMMYFUNCTION("""COMPUTED_VALUE"""),7.0)</f>
        <v>7</v>
      </c>
      <c r="B1107">
        <f>IFERROR(__xludf.DUMMYFUNCTION("""COMPUTED_VALUE"""),30124.0)</f>
        <v>30124</v>
      </c>
      <c r="C1107" t="str">
        <f>IFERROR(__xludf.DUMMYFUNCTION("""COMPUTED_VALUE"""),"YEPES RAMIREZ, LUCIANA")</f>
        <v>YEPES RAMIREZ, LUCIANA</v>
      </c>
      <c r="D1107" t="str">
        <f>IFERROR(__xludf.DUMMYFUNCTION("""COMPUTED_VALUE"""),"English 7A")</f>
        <v>English 7A</v>
      </c>
      <c r="E1107" s="31">
        <f>IFERROR(__xludf.DUMMYFUNCTION("""COMPUTED_VALUE"""),5.0)</f>
        <v>5</v>
      </c>
      <c r="F1107" s="8">
        <v>1.0</v>
      </c>
      <c r="G1107" s="8">
        <v>1.0</v>
      </c>
      <c r="H1107" s="8">
        <v>1.0</v>
      </c>
      <c r="I1107" s="8">
        <v>1.0</v>
      </c>
      <c r="J1107" s="8">
        <v>1.0</v>
      </c>
      <c r="K1107" s="8">
        <v>1.0</v>
      </c>
      <c r="L1107" s="8">
        <v>6.0</v>
      </c>
      <c r="M1107" s="8"/>
      <c r="N1107" s="8"/>
      <c r="O1107" s="8" t="s">
        <v>743</v>
      </c>
      <c r="P1107" s="8" t="e">
        <v>#N/A</v>
      </c>
    </row>
    <row r="1108">
      <c r="A1108">
        <f>IFERROR(__xludf.DUMMYFUNCTION("""COMPUTED_VALUE"""),7.0)</f>
        <v>7</v>
      </c>
      <c r="B1108">
        <f>IFERROR(__xludf.DUMMYFUNCTION("""COMPUTED_VALUE"""),30125.0)</f>
        <v>30125</v>
      </c>
      <c r="C1108" t="str">
        <f>IFERROR(__xludf.DUMMYFUNCTION("""COMPUTED_VALUE"""),"ZAPATA URIBE, MARTINA")</f>
        <v>ZAPATA URIBE, MARTINA</v>
      </c>
      <c r="D1108" t="str">
        <f>IFERROR(__xludf.DUMMYFUNCTION("""COMPUTED_VALUE"""),"English 7")</f>
        <v>English 7</v>
      </c>
      <c r="E1108" s="31">
        <f>IFERROR(__xludf.DUMMYFUNCTION("""COMPUTED_VALUE"""),2.0)</f>
        <v>2</v>
      </c>
      <c r="F1108" s="8">
        <v>1.0</v>
      </c>
      <c r="G1108" s="8">
        <v>1.0</v>
      </c>
      <c r="H1108" s="8">
        <v>1.0</v>
      </c>
      <c r="I1108" s="8">
        <v>1.0</v>
      </c>
      <c r="J1108" s="8">
        <v>1.0</v>
      </c>
      <c r="K1108" s="8">
        <v>1.0</v>
      </c>
      <c r="L1108" s="8">
        <v>6.0</v>
      </c>
      <c r="M1108" s="8"/>
      <c r="N1108" s="8"/>
      <c r="O1108" s="8" t="s">
        <v>741</v>
      </c>
      <c r="P1108" s="8">
        <v>6.0</v>
      </c>
    </row>
    <row r="1109">
      <c r="A1109">
        <f>IFERROR(__xludf.DUMMYFUNCTION("""COMPUTED_VALUE"""),7.0)</f>
        <v>7</v>
      </c>
      <c r="B1109">
        <f>IFERROR(__xludf.DUMMYFUNCTION("""COMPUTED_VALUE"""),30126.0)</f>
        <v>30126</v>
      </c>
      <c r="C1109" t="str">
        <f>IFERROR(__xludf.DUMMYFUNCTION("""COMPUTED_VALUE"""),"ZULOAGA AYUB, NICOLAS")</f>
        <v>ZULOAGA AYUB, NICOLAS</v>
      </c>
      <c r="D1109" t="str">
        <f>IFERROR(__xludf.DUMMYFUNCTION("""COMPUTED_VALUE"""),"English 7")</f>
        <v>English 7</v>
      </c>
      <c r="E1109" s="31">
        <f>IFERROR(__xludf.DUMMYFUNCTION("""COMPUTED_VALUE"""),1.0)</f>
        <v>1</v>
      </c>
      <c r="F1109" s="8">
        <v>1.0</v>
      </c>
      <c r="G1109" s="8">
        <v>1.0</v>
      </c>
      <c r="H1109" s="8">
        <v>1.0</v>
      </c>
      <c r="I1109" s="8">
        <v>1.0</v>
      </c>
      <c r="J1109" s="8">
        <v>1.0</v>
      </c>
      <c r="K1109" s="8">
        <v>1.0</v>
      </c>
      <c r="L1109" s="8">
        <v>6.0</v>
      </c>
      <c r="M1109" s="8"/>
      <c r="N1109" s="8"/>
      <c r="O1109" s="8" t="s">
        <v>744</v>
      </c>
      <c r="P1109" s="8">
        <v>6.0</v>
      </c>
    </row>
    <row r="1110">
      <c r="A1110">
        <f>IFERROR(__xludf.DUMMYFUNCTION("""COMPUTED_VALUE"""),7.0)</f>
        <v>7</v>
      </c>
      <c r="B1110">
        <f>IFERROR(__xludf.DUMMYFUNCTION("""COMPUTED_VALUE"""),30127.0)</f>
        <v>30127</v>
      </c>
      <c r="C1110" t="str">
        <f>IFERROR(__xludf.DUMMYFUNCTION("""COMPUTED_VALUE"""),"ZULUAGA SIERRA, MATIAS")</f>
        <v>ZULUAGA SIERRA, MATIAS</v>
      </c>
      <c r="D1110" t="str">
        <f>IFERROR(__xludf.DUMMYFUNCTION("""COMPUTED_VALUE"""),"English 7")</f>
        <v>English 7</v>
      </c>
      <c r="E1110" s="31">
        <f>IFERROR(__xludf.DUMMYFUNCTION("""COMPUTED_VALUE"""),5.0)</f>
        <v>5</v>
      </c>
      <c r="F1110" s="8">
        <v>1.0</v>
      </c>
      <c r="G1110" s="8">
        <v>1.0</v>
      </c>
      <c r="H1110" s="8">
        <v>1.0</v>
      </c>
      <c r="I1110" s="8">
        <v>1.0</v>
      </c>
      <c r="J1110" s="8">
        <v>1.0</v>
      </c>
      <c r="K1110" s="8">
        <v>1.0</v>
      </c>
      <c r="L1110" s="8">
        <v>6.0</v>
      </c>
      <c r="M1110" s="8"/>
      <c r="N1110" s="8"/>
      <c r="O1110" s="8" t="s">
        <v>742</v>
      </c>
      <c r="P1110" s="8">
        <v>6.0</v>
      </c>
    </row>
    <row r="1111">
      <c r="A1111">
        <f>IFERROR(__xludf.DUMMYFUNCTION("""COMPUTED_VALUE"""),8.0)</f>
        <v>8</v>
      </c>
      <c r="B1111">
        <f>IFERROR(__xludf.DUMMYFUNCTION("""COMPUTED_VALUE"""),29001.0)</f>
        <v>29001</v>
      </c>
      <c r="C1111" t="str">
        <f>IFERROR(__xludf.DUMMYFUNCTION("""COMPUTED_VALUE"""),"ACEVEDO ARANGO, ROSARIO")</f>
        <v>ACEVEDO ARANGO, ROSARIO</v>
      </c>
      <c r="D1111" t="str">
        <f>IFERROR(__xludf.DUMMYFUNCTION("""COMPUTED_VALUE"""),"English 8")</f>
        <v>English 8</v>
      </c>
      <c r="E1111" s="31">
        <f>IFERROR(__xludf.DUMMYFUNCTION("""COMPUTED_VALUE"""),2.0)</f>
        <v>2</v>
      </c>
      <c r="F1111" s="8">
        <v>1.0</v>
      </c>
      <c r="G1111" s="8">
        <v>1.0</v>
      </c>
      <c r="H1111" s="8">
        <v>1.0</v>
      </c>
      <c r="I1111" s="8">
        <v>1.0</v>
      </c>
      <c r="J1111" s="8">
        <v>1.0</v>
      </c>
      <c r="K1111" s="8">
        <v>1.0</v>
      </c>
      <c r="L1111" s="8">
        <v>6.0</v>
      </c>
      <c r="M1111" s="8"/>
      <c r="N1111" s="8"/>
      <c r="O1111" s="8" t="s">
        <v>747</v>
      </c>
      <c r="P1111" s="8">
        <v>6.0</v>
      </c>
    </row>
    <row r="1112">
      <c r="A1112">
        <f>IFERROR(__xludf.DUMMYFUNCTION("""COMPUTED_VALUE"""),8.0)</f>
        <v>8</v>
      </c>
      <c r="B1112">
        <f>IFERROR(__xludf.DUMMYFUNCTION("""COMPUTED_VALUE"""),29002.0)</f>
        <v>29002</v>
      </c>
      <c r="C1112" t="str">
        <f>IFERROR(__xludf.DUMMYFUNCTION("""COMPUTED_VALUE"""),"ACEVEDO OCHOA, MARIA DEL MAR")</f>
        <v>ACEVEDO OCHOA, MARIA DEL MAR</v>
      </c>
      <c r="D1112" t="str">
        <f>IFERROR(__xludf.DUMMYFUNCTION("""COMPUTED_VALUE"""),"English 8")</f>
        <v>English 8</v>
      </c>
      <c r="E1112" s="31">
        <f>IFERROR(__xludf.DUMMYFUNCTION("""COMPUTED_VALUE"""),6.0)</f>
        <v>6</v>
      </c>
      <c r="F1112" s="8">
        <v>1.0</v>
      </c>
      <c r="G1112" s="8">
        <v>1.0</v>
      </c>
      <c r="H1112" s="8">
        <v>1.0</v>
      </c>
      <c r="I1112" s="8">
        <v>1.0</v>
      </c>
      <c r="J1112" s="8">
        <v>1.0</v>
      </c>
      <c r="K1112" s="8">
        <v>1.0</v>
      </c>
      <c r="L1112" s="8">
        <v>6.0</v>
      </c>
      <c r="M1112" s="8"/>
      <c r="N1112" s="8"/>
      <c r="O1112" s="8" t="s">
        <v>748</v>
      </c>
      <c r="P1112" s="8">
        <v>6.0</v>
      </c>
    </row>
    <row r="1113">
      <c r="A1113">
        <f>IFERROR(__xludf.DUMMYFUNCTION("""COMPUTED_VALUE"""),8.0)</f>
        <v>8</v>
      </c>
      <c r="B1113">
        <f>IFERROR(__xludf.DUMMYFUNCTION("""COMPUTED_VALUE"""),29003.0)</f>
        <v>29003</v>
      </c>
      <c r="C1113" t="str">
        <f>IFERROR(__xludf.DUMMYFUNCTION("""COMPUTED_VALUE"""),"ACEVEDO OROZCO, MARIA CELESTE")</f>
        <v>ACEVEDO OROZCO, MARIA CELESTE</v>
      </c>
      <c r="D1113" t="str">
        <f>IFERROR(__xludf.DUMMYFUNCTION("""COMPUTED_VALUE"""),"English 8")</f>
        <v>English 8</v>
      </c>
      <c r="E1113" s="31">
        <f>IFERROR(__xludf.DUMMYFUNCTION("""COMPUTED_VALUE"""),1.0)</f>
        <v>1</v>
      </c>
      <c r="F1113" s="8">
        <v>1.0</v>
      </c>
      <c r="G1113" s="8">
        <v>1.0</v>
      </c>
      <c r="H1113" s="8">
        <v>1.0</v>
      </c>
      <c r="I1113" s="8">
        <v>1.0</v>
      </c>
      <c r="J1113" s="8">
        <v>1.0</v>
      </c>
      <c r="K1113" s="8">
        <v>1.0</v>
      </c>
      <c r="L1113" s="8">
        <v>6.0</v>
      </c>
      <c r="M1113" s="8"/>
      <c r="N1113" s="8"/>
      <c r="O1113" s="8" t="s">
        <v>749</v>
      </c>
      <c r="P1113" s="8">
        <v>6.0</v>
      </c>
    </row>
    <row r="1114">
      <c r="A1114">
        <f>IFERROR(__xludf.DUMMYFUNCTION("""COMPUTED_VALUE"""),8.0)</f>
        <v>8</v>
      </c>
      <c r="B1114">
        <f>IFERROR(__xludf.DUMMYFUNCTION("""COMPUTED_VALUE"""),29004.0)</f>
        <v>29004</v>
      </c>
      <c r="C1114" t="str">
        <f>IFERROR(__xludf.DUMMYFUNCTION("""COMPUTED_VALUE"""),"AGUIRRE ARANGO, DAVID")</f>
        <v>AGUIRRE ARANGO, DAVID</v>
      </c>
      <c r="D1114" t="str">
        <f>IFERROR(__xludf.DUMMYFUNCTION("""COMPUTED_VALUE"""),"English 8")</f>
        <v>English 8</v>
      </c>
      <c r="E1114" s="31">
        <f>IFERROR(__xludf.DUMMYFUNCTION("""COMPUTED_VALUE"""),1.0)</f>
        <v>1</v>
      </c>
      <c r="F1114" s="8">
        <v>1.0</v>
      </c>
      <c r="G1114" s="8">
        <v>1.0</v>
      </c>
      <c r="H1114" s="8">
        <v>1.0</v>
      </c>
      <c r="I1114" s="8">
        <v>1.0</v>
      </c>
      <c r="J1114" s="8">
        <v>1.0</v>
      </c>
      <c r="K1114" s="8">
        <v>1.0</v>
      </c>
      <c r="L1114" s="8">
        <v>6.0</v>
      </c>
      <c r="M1114" s="8"/>
      <c r="N1114" s="8"/>
      <c r="O1114" s="8" t="s">
        <v>749</v>
      </c>
      <c r="P1114" s="8">
        <v>6.0</v>
      </c>
    </row>
    <row r="1115">
      <c r="A1115">
        <f>IFERROR(__xludf.DUMMYFUNCTION("""COMPUTED_VALUE"""),8.0)</f>
        <v>8</v>
      </c>
      <c r="B1115">
        <f>IFERROR(__xludf.DUMMYFUNCTION("""COMPUTED_VALUE"""),29170.0)</f>
        <v>29170</v>
      </c>
      <c r="C1115" t="str">
        <f>IFERROR(__xludf.DUMMYFUNCTION("""COMPUTED_VALUE"""),"ALVAREZ CARDENAS, JUAN EMILIO")</f>
        <v>ALVAREZ CARDENAS, JUAN EMILIO</v>
      </c>
      <c r="D1115" t="str">
        <f>IFERROR(__xludf.DUMMYFUNCTION("""COMPUTED_VALUE"""),"English 8")</f>
        <v>English 8</v>
      </c>
      <c r="E1115" s="31">
        <f>IFERROR(__xludf.DUMMYFUNCTION("""COMPUTED_VALUE"""),5.0)</f>
        <v>5</v>
      </c>
      <c r="F1115" s="8">
        <v>1.0</v>
      </c>
      <c r="G1115" s="8">
        <v>1.0</v>
      </c>
      <c r="H1115" s="8">
        <v>1.0</v>
      </c>
      <c r="I1115" s="8">
        <v>1.0</v>
      </c>
      <c r="J1115" s="8">
        <v>1.0</v>
      </c>
      <c r="K1115" s="8">
        <v>1.0</v>
      </c>
      <c r="L1115" s="8">
        <v>6.0</v>
      </c>
      <c r="M1115" s="8"/>
      <c r="N1115" s="8"/>
      <c r="O1115" s="8" t="s">
        <v>750</v>
      </c>
      <c r="P1115" s="8">
        <v>6.0</v>
      </c>
    </row>
    <row r="1116">
      <c r="A1116">
        <f>IFERROR(__xludf.DUMMYFUNCTION("""COMPUTED_VALUE"""),8.0)</f>
        <v>8</v>
      </c>
      <c r="B1116">
        <f>IFERROR(__xludf.DUMMYFUNCTION("""COMPUTED_VALUE"""),29007.0)</f>
        <v>29007</v>
      </c>
      <c r="C1116" t="str">
        <f>IFERROR(__xludf.DUMMYFUNCTION("""COMPUTED_VALUE"""),"ALZATE GARCIA, LUCIANA")</f>
        <v>ALZATE GARCIA, LUCIANA</v>
      </c>
      <c r="D1116" t="str">
        <f>IFERROR(__xludf.DUMMYFUNCTION("""COMPUTED_VALUE"""),"English 8")</f>
        <v>English 8</v>
      </c>
      <c r="E1116" s="31">
        <f>IFERROR(__xludf.DUMMYFUNCTION("""COMPUTED_VALUE"""),5.0)</f>
        <v>5</v>
      </c>
      <c r="F1116" s="8">
        <v>1.0</v>
      </c>
      <c r="G1116" s="8">
        <v>1.0</v>
      </c>
      <c r="H1116" s="8">
        <v>1.0</v>
      </c>
      <c r="I1116" s="8">
        <v>1.0</v>
      </c>
      <c r="J1116" s="8">
        <v>1.0</v>
      </c>
      <c r="K1116" s="8">
        <v>1.0</v>
      </c>
      <c r="L1116" s="8">
        <v>6.0</v>
      </c>
      <c r="M1116" s="8"/>
      <c r="N1116" s="8"/>
      <c r="O1116" s="8" t="s">
        <v>750</v>
      </c>
      <c r="P1116" s="8">
        <v>6.0</v>
      </c>
    </row>
    <row r="1117">
      <c r="A1117">
        <f>IFERROR(__xludf.DUMMYFUNCTION("""COMPUTED_VALUE"""),8.0)</f>
        <v>8</v>
      </c>
      <c r="B1117">
        <f>IFERROR(__xludf.DUMMYFUNCTION("""COMPUTED_VALUE"""),29008.0)</f>
        <v>29008</v>
      </c>
      <c r="C1117" t="str">
        <f>IFERROR(__xludf.DUMMYFUNCTION("""COMPUTED_VALUE"""),"APA ECHAVARRIA, LORENZO")</f>
        <v>APA ECHAVARRIA, LORENZO</v>
      </c>
      <c r="D1117" t="str">
        <f>IFERROR(__xludf.DUMMYFUNCTION("""COMPUTED_VALUE"""),"English 8")</f>
        <v>English 8</v>
      </c>
      <c r="E1117" s="31">
        <f>IFERROR(__xludf.DUMMYFUNCTION("""COMPUTED_VALUE"""),3.0)</f>
        <v>3</v>
      </c>
      <c r="F1117" s="8">
        <v>1.0</v>
      </c>
      <c r="G1117" s="8">
        <v>1.0</v>
      </c>
      <c r="H1117" s="8">
        <v>1.0</v>
      </c>
      <c r="I1117" s="8">
        <v>1.0</v>
      </c>
      <c r="J1117" s="8">
        <v>1.0</v>
      </c>
      <c r="K1117" s="8">
        <v>1.0</v>
      </c>
      <c r="L1117" s="8">
        <v>6.0</v>
      </c>
      <c r="M1117" s="8"/>
      <c r="N1117" s="8"/>
      <c r="O1117" s="8" t="s">
        <v>751</v>
      </c>
      <c r="P1117" s="8">
        <v>6.0</v>
      </c>
    </row>
    <row r="1118">
      <c r="A1118">
        <f>IFERROR(__xludf.DUMMYFUNCTION("""COMPUTED_VALUE"""),8.0)</f>
        <v>8</v>
      </c>
      <c r="B1118">
        <f>IFERROR(__xludf.DUMMYFUNCTION("""COMPUTED_VALUE"""),29009.0)</f>
        <v>29009</v>
      </c>
      <c r="C1118" t="str">
        <f>IFERROR(__xludf.DUMMYFUNCTION("""COMPUTED_VALUE"""),"ARANGO MOLINA, ALICIA")</f>
        <v>ARANGO MOLINA, ALICIA</v>
      </c>
      <c r="D1118" t="str">
        <f>IFERROR(__xludf.DUMMYFUNCTION("""COMPUTED_VALUE"""),"English 8")</f>
        <v>English 8</v>
      </c>
      <c r="E1118" s="31">
        <f>IFERROR(__xludf.DUMMYFUNCTION("""COMPUTED_VALUE"""),5.0)</f>
        <v>5</v>
      </c>
      <c r="F1118" s="8">
        <v>1.0</v>
      </c>
      <c r="G1118" s="8">
        <v>1.0</v>
      </c>
      <c r="H1118" s="8">
        <v>1.0</v>
      </c>
      <c r="I1118" s="8">
        <v>1.0</v>
      </c>
      <c r="J1118" s="8">
        <v>1.0</v>
      </c>
      <c r="K1118" s="8">
        <v>1.0</v>
      </c>
      <c r="L1118" s="8">
        <v>6.0</v>
      </c>
      <c r="M1118" s="8"/>
      <c r="N1118" s="8"/>
      <c r="O1118" s="8" t="s">
        <v>750</v>
      </c>
      <c r="P1118" s="8">
        <v>6.0</v>
      </c>
    </row>
    <row r="1119">
      <c r="A1119">
        <f>IFERROR(__xludf.DUMMYFUNCTION("""COMPUTED_VALUE"""),8.0)</f>
        <v>8</v>
      </c>
      <c r="B1119">
        <f>IFERROR(__xludf.DUMMYFUNCTION("""COMPUTED_VALUE"""),29010.0)</f>
        <v>29010</v>
      </c>
      <c r="C1119" t="str">
        <f>IFERROR(__xludf.DUMMYFUNCTION("""COMPUTED_VALUE"""),"ARANGO NAVARRO, MANUELA")</f>
        <v>ARANGO NAVARRO, MANUELA</v>
      </c>
      <c r="D1119" t="str">
        <f>IFERROR(__xludf.DUMMYFUNCTION("""COMPUTED_VALUE"""),"English 8")</f>
        <v>English 8</v>
      </c>
      <c r="E1119" s="31">
        <f>IFERROR(__xludf.DUMMYFUNCTION("""COMPUTED_VALUE"""),2.0)</f>
        <v>2</v>
      </c>
      <c r="F1119" s="8">
        <v>1.0</v>
      </c>
      <c r="G1119" s="8">
        <v>1.0</v>
      </c>
      <c r="H1119" s="8">
        <v>1.0</v>
      </c>
      <c r="I1119" s="8">
        <v>1.0</v>
      </c>
      <c r="J1119" s="8">
        <v>1.0</v>
      </c>
      <c r="K1119" s="8">
        <v>1.0</v>
      </c>
      <c r="L1119" s="8">
        <v>6.0</v>
      </c>
      <c r="M1119" s="8"/>
      <c r="N1119" s="8"/>
      <c r="O1119" s="8" t="s">
        <v>747</v>
      </c>
      <c r="P1119" s="8">
        <v>6.0</v>
      </c>
    </row>
    <row r="1120">
      <c r="A1120">
        <f>IFERROR(__xludf.DUMMYFUNCTION("""COMPUTED_VALUE"""),8.0)</f>
        <v>8</v>
      </c>
      <c r="B1120">
        <f>IFERROR(__xludf.DUMMYFUNCTION("""COMPUTED_VALUE"""),29011.0)</f>
        <v>29011</v>
      </c>
      <c r="C1120" t="str">
        <f>IFERROR(__xludf.DUMMYFUNCTION("""COMPUTED_VALUE"""),"ARANGO RUBIO, ROSARIO")</f>
        <v>ARANGO RUBIO, ROSARIO</v>
      </c>
      <c r="D1120" t="str">
        <f>IFERROR(__xludf.DUMMYFUNCTION("""COMPUTED_VALUE"""),"English 8")</f>
        <v>English 8</v>
      </c>
      <c r="E1120" s="31">
        <f>IFERROR(__xludf.DUMMYFUNCTION("""COMPUTED_VALUE"""),1.0)</f>
        <v>1</v>
      </c>
      <c r="F1120" s="8">
        <v>1.0</v>
      </c>
      <c r="G1120" s="8">
        <v>1.0</v>
      </c>
      <c r="H1120" s="8">
        <v>1.0</v>
      </c>
      <c r="I1120" s="8">
        <v>1.0</v>
      </c>
      <c r="J1120" s="8">
        <v>1.0</v>
      </c>
      <c r="K1120" s="8">
        <v>1.0</v>
      </c>
      <c r="L1120" s="8">
        <v>6.0</v>
      </c>
      <c r="M1120" s="8"/>
      <c r="N1120" s="8"/>
      <c r="O1120" s="8" t="s">
        <v>749</v>
      </c>
      <c r="P1120" s="8">
        <v>6.0</v>
      </c>
    </row>
    <row r="1121">
      <c r="A1121">
        <f>IFERROR(__xludf.DUMMYFUNCTION("""COMPUTED_VALUE"""),8.0)</f>
        <v>8</v>
      </c>
      <c r="B1121">
        <f>IFERROR(__xludf.DUMMYFUNCTION("""COMPUTED_VALUE"""),29012.0)</f>
        <v>29012</v>
      </c>
      <c r="C1121" t="str">
        <f>IFERROR(__xludf.DUMMYFUNCTION("""COMPUTED_VALUE"""),"ARANGO VILLA, TOMAS")</f>
        <v>ARANGO VILLA, TOMAS</v>
      </c>
      <c r="D1121" t="str">
        <f>IFERROR(__xludf.DUMMYFUNCTION("""COMPUTED_VALUE"""),"English 8A")</f>
        <v>English 8A</v>
      </c>
      <c r="E1121" s="31">
        <f>IFERROR(__xludf.DUMMYFUNCTION("""COMPUTED_VALUE"""),6.0)</f>
        <v>6</v>
      </c>
      <c r="F1121" s="8">
        <v>1.0</v>
      </c>
      <c r="G1121" s="8">
        <v>1.0</v>
      </c>
      <c r="H1121" s="8">
        <v>1.0</v>
      </c>
      <c r="I1121" s="8">
        <v>1.0</v>
      </c>
      <c r="J1121" s="8">
        <v>1.0</v>
      </c>
      <c r="K1121" s="8">
        <v>1.0</v>
      </c>
      <c r="L1121" s="8">
        <v>6.0</v>
      </c>
      <c r="M1121" s="8"/>
      <c r="N1121" s="8"/>
      <c r="O1121" s="8" t="s">
        <v>752</v>
      </c>
      <c r="P1121" s="8" t="e">
        <v>#N/A</v>
      </c>
    </row>
    <row r="1122">
      <c r="A1122">
        <f>IFERROR(__xludf.DUMMYFUNCTION("""COMPUTED_VALUE"""),8.0)</f>
        <v>8</v>
      </c>
      <c r="B1122">
        <f>IFERROR(__xludf.DUMMYFUNCTION("""COMPUTED_VALUE"""),28006.0)</f>
        <v>28006</v>
      </c>
      <c r="C1122" t="str">
        <f>IFERROR(__xludf.DUMMYFUNCTION("""COMPUTED_VALUE"""),"ARISTIZABAL ECHAVARRIA, CRISTOBAL")</f>
        <v>ARISTIZABAL ECHAVARRIA, CRISTOBAL</v>
      </c>
      <c r="D1122" t="str">
        <f>IFERROR(__xludf.DUMMYFUNCTION("""COMPUTED_VALUE"""),"English 8")</f>
        <v>English 8</v>
      </c>
      <c r="E1122" s="31">
        <f>IFERROR(__xludf.DUMMYFUNCTION("""COMPUTED_VALUE"""),3.0)</f>
        <v>3</v>
      </c>
      <c r="F1122" s="8">
        <v>1.0</v>
      </c>
      <c r="G1122" s="8">
        <v>1.0</v>
      </c>
      <c r="H1122" s="8">
        <v>1.0</v>
      </c>
      <c r="I1122" s="8">
        <v>1.0</v>
      </c>
      <c r="J1122" s="8">
        <v>1.0</v>
      </c>
      <c r="K1122" s="8">
        <v>1.0</v>
      </c>
      <c r="L1122" s="8">
        <v>6.0</v>
      </c>
      <c r="M1122" s="8"/>
      <c r="N1122" s="8"/>
      <c r="O1122" s="8" t="s">
        <v>751</v>
      </c>
      <c r="P1122" s="8">
        <v>6.0</v>
      </c>
    </row>
    <row r="1123">
      <c r="A1123">
        <f>IFERROR(__xludf.DUMMYFUNCTION("""COMPUTED_VALUE"""),8.0)</f>
        <v>8</v>
      </c>
      <c r="B1123">
        <f>IFERROR(__xludf.DUMMYFUNCTION("""COMPUTED_VALUE"""),29015.0)</f>
        <v>29015</v>
      </c>
      <c r="C1123" t="str">
        <f>IFERROR(__xludf.DUMMYFUNCTION("""COMPUTED_VALUE"""),"ARISTIZABAL URIBE, MATIAS")</f>
        <v>ARISTIZABAL URIBE, MATIAS</v>
      </c>
      <c r="D1123" t="str">
        <f>IFERROR(__xludf.DUMMYFUNCTION("""COMPUTED_VALUE"""),"English 8")</f>
        <v>English 8</v>
      </c>
      <c r="E1123" s="31">
        <f>IFERROR(__xludf.DUMMYFUNCTION("""COMPUTED_VALUE"""),6.0)</f>
        <v>6</v>
      </c>
      <c r="F1123" s="8">
        <v>1.0</v>
      </c>
      <c r="G1123" s="8">
        <v>1.0</v>
      </c>
      <c r="H1123" s="8">
        <v>1.0</v>
      </c>
      <c r="I1123" s="8">
        <v>1.0</v>
      </c>
      <c r="J1123" s="8">
        <v>1.0</v>
      </c>
      <c r="K1123" s="8">
        <v>1.0</v>
      </c>
      <c r="L1123" s="8">
        <v>6.0</v>
      </c>
      <c r="M1123" s="8"/>
      <c r="N1123" s="8"/>
      <c r="O1123" s="8" t="s">
        <v>748</v>
      </c>
      <c r="P1123" s="8">
        <v>6.0</v>
      </c>
    </row>
    <row r="1124">
      <c r="A1124">
        <f>IFERROR(__xludf.DUMMYFUNCTION("""COMPUTED_VALUE"""),8.0)</f>
        <v>8</v>
      </c>
      <c r="B1124">
        <f>IFERROR(__xludf.DUMMYFUNCTION("""COMPUTED_VALUE"""),29016.0)</f>
        <v>29016</v>
      </c>
      <c r="C1124" t="str">
        <f>IFERROR(__xludf.DUMMYFUNCTION("""COMPUTED_VALUE"""),"ARROYAVE LONDOÑO, ELISA")</f>
        <v>ARROYAVE LONDOÑO, ELISA</v>
      </c>
      <c r="D1124" t="str">
        <f>IFERROR(__xludf.DUMMYFUNCTION("""COMPUTED_VALUE"""),"English 8")</f>
        <v>English 8</v>
      </c>
      <c r="E1124" s="31">
        <f>IFERROR(__xludf.DUMMYFUNCTION("""COMPUTED_VALUE"""),2.0)</f>
        <v>2</v>
      </c>
      <c r="F1124" s="8">
        <v>1.0</v>
      </c>
      <c r="G1124" s="8">
        <v>1.0</v>
      </c>
      <c r="H1124" s="8">
        <v>1.0</v>
      </c>
      <c r="I1124" s="8">
        <v>1.0</v>
      </c>
      <c r="J1124" s="8">
        <v>1.0</v>
      </c>
      <c r="K1124" s="8">
        <v>1.0</v>
      </c>
      <c r="L1124" s="8">
        <v>6.0</v>
      </c>
      <c r="M1124" s="8"/>
      <c r="N1124" s="8"/>
      <c r="O1124" s="8" t="s">
        <v>747</v>
      </c>
      <c r="P1124" s="8">
        <v>6.0</v>
      </c>
    </row>
    <row r="1125">
      <c r="A1125">
        <f>IFERROR(__xludf.DUMMYFUNCTION("""COMPUTED_VALUE"""),8.0)</f>
        <v>8</v>
      </c>
      <c r="B1125">
        <f>IFERROR(__xludf.DUMMYFUNCTION("""COMPUTED_VALUE"""),29018.0)</f>
        <v>29018</v>
      </c>
      <c r="C1125" t="str">
        <f>IFERROR(__xludf.DUMMYFUNCTION("""COMPUTED_VALUE"""),"BAENA GIRALDO, VIOLETA")</f>
        <v>BAENA GIRALDO, VIOLETA</v>
      </c>
      <c r="D1125" t="str">
        <f>IFERROR(__xludf.DUMMYFUNCTION("""COMPUTED_VALUE"""),"English 8")</f>
        <v>English 8</v>
      </c>
      <c r="E1125" s="31">
        <f>IFERROR(__xludf.DUMMYFUNCTION("""COMPUTED_VALUE"""),1.0)</f>
        <v>1</v>
      </c>
      <c r="F1125" s="8">
        <v>1.0</v>
      </c>
      <c r="G1125" s="8">
        <v>1.0</v>
      </c>
      <c r="H1125" s="8">
        <v>1.0</v>
      </c>
      <c r="I1125" s="8">
        <v>1.0</v>
      </c>
      <c r="J1125" s="8">
        <v>1.0</v>
      </c>
      <c r="K1125" s="8">
        <v>1.0</v>
      </c>
      <c r="L1125" s="8">
        <v>6.0</v>
      </c>
      <c r="M1125" s="8"/>
      <c r="N1125" s="8"/>
      <c r="O1125" s="8" t="s">
        <v>749</v>
      </c>
      <c r="P1125" s="8">
        <v>6.0</v>
      </c>
    </row>
    <row r="1126">
      <c r="A1126">
        <f>IFERROR(__xludf.DUMMYFUNCTION("""COMPUTED_VALUE"""),8.0)</f>
        <v>8</v>
      </c>
      <c r="B1126">
        <f>IFERROR(__xludf.DUMMYFUNCTION("""COMPUTED_VALUE"""),29019.0)</f>
        <v>29019</v>
      </c>
      <c r="C1126" t="str">
        <f>IFERROR(__xludf.DUMMYFUNCTION("""COMPUTED_VALUE"""),"BARRIENTOS ALVAREZ, ELISA")</f>
        <v>BARRIENTOS ALVAREZ, ELISA</v>
      </c>
      <c r="D1126" t="str">
        <f>IFERROR(__xludf.DUMMYFUNCTION("""COMPUTED_VALUE"""),"English 8")</f>
        <v>English 8</v>
      </c>
      <c r="E1126" s="31">
        <f>IFERROR(__xludf.DUMMYFUNCTION("""COMPUTED_VALUE"""),2.0)</f>
        <v>2</v>
      </c>
      <c r="F1126" s="8">
        <v>1.0</v>
      </c>
      <c r="G1126" s="8">
        <v>1.0</v>
      </c>
      <c r="H1126" s="8">
        <v>1.0</v>
      </c>
      <c r="I1126" s="8">
        <v>1.0</v>
      </c>
      <c r="J1126" s="8">
        <v>1.0</v>
      </c>
      <c r="K1126" s="8">
        <v>1.0</v>
      </c>
      <c r="L1126" s="8">
        <v>6.0</v>
      </c>
      <c r="M1126" s="8"/>
      <c r="N1126" s="8"/>
      <c r="O1126" s="8" t="s">
        <v>747</v>
      </c>
      <c r="P1126" s="8">
        <v>6.0</v>
      </c>
    </row>
    <row r="1127">
      <c r="A1127">
        <f>IFERROR(__xludf.DUMMYFUNCTION("""COMPUTED_VALUE"""),8.0)</f>
        <v>8</v>
      </c>
      <c r="B1127">
        <f>IFERROR(__xludf.DUMMYFUNCTION("""COMPUTED_VALUE"""),29160.0)</f>
        <v>29160</v>
      </c>
      <c r="C1127" t="str">
        <f>IFERROR(__xludf.DUMMYFUNCTION("""COMPUTED_VALUE"""),"BARRIOS CASTILLO, NICOLAS GUILLERMO")</f>
        <v>BARRIOS CASTILLO, NICOLAS GUILLERMO</v>
      </c>
      <c r="D1127" t="str">
        <f>IFERROR(__xludf.DUMMYFUNCTION("""COMPUTED_VALUE"""),"English 8")</f>
        <v>English 8</v>
      </c>
      <c r="E1127" s="31">
        <f>IFERROR(__xludf.DUMMYFUNCTION("""COMPUTED_VALUE"""),1.0)</f>
        <v>1</v>
      </c>
      <c r="F1127" s="8">
        <v>1.0</v>
      </c>
      <c r="G1127" s="8">
        <v>1.0</v>
      </c>
      <c r="H1127" s="8">
        <v>1.0</v>
      </c>
      <c r="I1127" s="8">
        <v>1.0</v>
      </c>
      <c r="J1127" s="8">
        <v>1.0</v>
      </c>
      <c r="K1127" s="8">
        <v>1.0</v>
      </c>
      <c r="L1127" s="8">
        <v>6.0</v>
      </c>
      <c r="M1127" s="8"/>
      <c r="N1127" s="8"/>
      <c r="O1127" s="8" t="s">
        <v>749</v>
      </c>
      <c r="P1127" s="8">
        <v>6.0</v>
      </c>
    </row>
    <row r="1128">
      <c r="A1128">
        <f>IFERROR(__xludf.DUMMYFUNCTION("""COMPUTED_VALUE"""),8.0)</f>
        <v>8</v>
      </c>
      <c r="B1128">
        <f>IFERROR(__xludf.DUMMYFUNCTION("""COMPUTED_VALUE"""),29020.0)</f>
        <v>29020</v>
      </c>
      <c r="C1128" t="str">
        <f>IFERROR(__xludf.DUMMYFUNCTION("""COMPUTED_VALUE"""),"BETANCOURT QUINTERO, LUCAS")</f>
        <v>BETANCOURT QUINTERO, LUCAS</v>
      </c>
      <c r="D1128" t="str">
        <f>IFERROR(__xludf.DUMMYFUNCTION("""COMPUTED_VALUE"""),"English 8")</f>
        <v>English 8</v>
      </c>
      <c r="E1128" s="31">
        <f>IFERROR(__xludf.DUMMYFUNCTION("""COMPUTED_VALUE"""),5.0)</f>
        <v>5</v>
      </c>
      <c r="F1128" s="8">
        <v>1.0</v>
      </c>
      <c r="G1128" s="8">
        <v>1.0</v>
      </c>
      <c r="H1128" s="8">
        <v>1.0</v>
      </c>
      <c r="I1128" s="8">
        <v>1.0</v>
      </c>
      <c r="J1128" s="8">
        <v>1.0</v>
      </c>
      <c r="K1128" s="8">
        <v>1.0</v>
      </c>
      <c r="L1128" s="8">
        <v>6.0</v>
      </c>
      <c r="M1128" s="8"/>
      <c r="N1128" s="8"/>
      <c r="O1128" s="8" t="s">
        <v>750</v>
      </c>
      <c r="P1128" s="8">
        <v>6.0</v>
      </c>
    </row>
    <row r="1129">
      <c r="A1129">
        <f>IFERROR(__xludf.DUMMYFUNCTION("""COMPUTED_VALUE"""),8.0)</f>
        <v>8</v>
      </c>
      <c r="B1129">
        <f>IFERROR(__xludf.DUMMYFUNCTION("""COMPUTED_VALUE"""),29021.0)</f>
        <v>29021</v>
      </c>
      <c r="C1129" t="str">
        <f>IFERROR(__xludf.DUMMYFUNCTION("""COMPUTED_VALUE"""),"BETANCOURT QUINTERO, SIMON")</f>
        <v>BETANCOURT QUINTERO, SIMON</v>
      </c>
      <c r="D1129" t="str">
        <f>IFERROR(__xludf.DUMMYFUNCTION("""COMPUTED_VALUE"""),"English 8")</f>
        <v>English 8</v>
      </c>
      <c r="E1129" s="31">
        <f>IFERROR(__xludf.DUMMYFUNCTION("""COMPUTED_VALUE"""),1.0)</f>
        <v>1</v>
      </c>
      <c r="F1129" s="8">
        <v>1.0</v>
      </c>
      <c r="G1129" s="8">
        <v>1.0</v>
      </c>
      <c r="H1129" s="8">
        <v>1.0</v>
      </c>
      <c r="I1129" s="8">
        <v>1.0</v>
      </c>
      <c r="J1129" s="8">
        <v>1.0</v>
      </c>
      <c r="K1129" s="8">
        <v>1.0</v>
      </c>
      <c r="L1129" s="8">
        <v>6.0</v>
      </c>
      <c r="M1129" s="8"/>
      <c r="N1129" s="8"/>
      <c r="O1129" s="8" t="s">
        <v>749</v>
      </c>
      <c r="P1129" s="8">
        <v>6.0</v>
      </c>
    </row>
    <row r="1130">
      <c r="A1130">
        <f>IFERROR(__xludf.DUMMYFUNCTION("""COMPUTED_VALUE"""),8.0)</f>
        <v>8</v>
      </c>
      <c r="B1130">
        <f>IFERROR(__xludf.DUMMYFUNCTION("""COMPUTED_VALUE"""),29022.0)</f>
        <v>29022</v>
      </c>
      <c r="C1130" t="str">
        <f>IFERROR(__xludf.DUMMYFUNCTION("""COMPUTED_VALUE"""),"BETANCUR ROBLEDO, PEDRO")</f>
        <v>BETANCUR ROBLEDO, PEDRO</v>
      </c>
      <c r="D1130" t="str">
        <f>IFERROR(__xludf.DUMMYFUNCTION("""COMPUTED_VALUE"""),"English 8")</f>
        <v>English 8</v>
      </c>
      <c r="E1130" s="31">
        <f>IFERROR(__xludf.DUMMYFUNCTION("""COMPUTED_VALUE"""),3.0)</f>
        <v>3</v>
      </c>
      <c r="F1130" s="8">
        <v>1.0</v>
      </c>
      <c r="G1130" s="8">
        <v>1.0</v>
      </c>
      <c r="H1130" s="8">
        <v>1.0</v>
      </c>
      <c r="I1130" s="8">
        <v>1.0</v>
      </c>
      <c r="J1130" s="8">
        <v>1.0</v>
      </c>
      <c r="K1130" s="8">
        <v>1.0</v>
      </c>
      <c r="L1130" s="8">
        <v>6.0</v>
      </c>
      <c r="M1130" s="8"/>
      <c r="N1130" s="8"/>
      <c r="O1130" s="8" t="s">
        <v>751</v>
      </c>
      <c r="P1130" s="8">
        <v>6.0</v>
      </c>
    </row>
    <row r="1131">
      <c r="A1131">
        <f>IFERROR(__xludf.DUMMYFUNCTION("""COMPUTED_VALUE"""),8.0)</f>
        <v>8</v>
      </c>
      <c r="B1131">
        <f>IFERROR(__xludf.DUMMYFUNCTION("""COMPUTED_VALUE"""),29167.0)</f>
        <v>29167</v>
      </c>
      <c r="C1131" t="str">
        <f>IFERROR(__xludf.DUMMYFUNCTION("""COMPUTED_VALUE"""),"BISHOP, JULIETTE ROSE")</f>
        <v>BISHOP, JULIETTE ROSE</v>
      </c>
      <c r="D1131" t="str">
        <f>IFERROR(__xludf.DUMMYFUNCTION("""COMPUTED_VALUE"""),"English 8")</f>
        <v>English 8</v>
      </c>
      <c r="E1131" s="31">
        <f>IFERROR(__xludf.DUMMYFUNCTION("""COMPUTED_VALUE"""),6.0)</f>
        <v>6</v>
      </c>
      <c r="F1131" s="8">
        <v>1.0</v>
      </c>
      <c r="G1131" s="8">
        <v>1.0</v>
      </c>
      <c r="H1131" s="8">
        <v>1.0</v>
      </c>
      <c r="I1131" s="8">
        <v>1.0</v>
      </c>
      <c r="J1131" s="8">
        <v>1.0</v>
      </c>
      <c r="K1131" s="8">
        <v>1.0</v>
      </c>
      <c r="L1131" s="8">
        <v>6.0</v>
      </c>
      <c r="M1131" s="8"/>
      <c r="N1131" s="8"/>
      <c r="O1131" s="8" t="s">
        <v>748</v>
      </c>
      <c r="P1131" s="8">
        <v>6.0</v>
      </c>
    </row>
    <row r="1132">
      <c r="A1132">
        <f>IFERROR(__xludf.DUMMYFUNCTION("""COMPUTED_VALUE"""),8.0)</f>
        <v>8</v>
      </c>
      <c r="B1132">
        <f>IFERROR(__xludf.DUMMYFUNCTION("""COMPUTED_VALUE"""),29023.0)</f>
        <v>29023</v>
      </c>
      <c r="C1132" t="str">
        <f>IFERROR(__xludf.DUMMYFUNCTION("""COMPUTED_VALUE"""),"BOTERO DEL CORRAL, EMILIANA")</f>
        <v>BOTERO DEL CORRAL, EMILIANA</v>
      </c>
      <c r="D1132" t="str">
        <f>IFERROR(__xludf.DUMMYFUNCTION("""COMPUTED_VALUE"""),"English 8")</f>
        <v>English 8</v>
      </c>
      <c r="E1132" s="31">
        <f>IFERROR(__xludf.DUMMYFUNCTION("""COMPUTED_VALUE"""),2.0)</f>
        <v>2</v>
      </c>
      <c r="F1132" s="8">
        <v>1.0</v>
      </c>
      <c r="G1132" s="8">
        <v>1.0</v>
      </c>
      <c r="H1132" s="8">
        <v>1.0</v>
      </c>
      <c r="I1132" s="8">
        <v>1.0</v>
      </c>
      <c r="J1132" s="8">
        <v>1.0</v>
      </c>
      <c r="K1132" s="8">
        <v>1.0</v>
      </c>
      <c r="L1132" s="8">
        <v>6.0</v>
      </c>
      <c r="M1132" s="8"/>
      <c r="N1132" s="8"/>
      <c r="O1132" s="8" t="s">
        <v>747</v>
      </c>
      <c r="P1132" s="8">
        <v>6.0</v>
      </c>
    </row>
    <row r="1133">
      <c r="A1133">
        <f>IFERROR(__xludf.DUMMYFUNCTION("""COMPUTED_VALUE"""),8.0)</f>
        <v>8</v>
      </c>
      <c r="B1133">
        <f>IFERROR(__xludf.DUMMYFUNCTION("""COMPUTED_VALUE"""),29161.0)</f>
        <v>29161</v>
      </c>
      <c r="C1133" t="str">
        <f>IFERROR(__xludf.DUMMYFUNCTION("""COMPUTED_VALUE"""),"BURKHALTER, ESPERANZA JOY")</f>
        <v>BURKHALTER, ESPERANZA JOY</v>
      </c>
      <c r="D1133" t="str">
        <f>IFERROR(__xludf.DUMMYFUNCTION("""COMPUTED_VALUE"""),"English 8")</f>
        <v>English 8</v>
      </c>
      <c r="E1133" s="31">
        <f>IFERROR(__xludf.DUMMYFUNCTION("""COMPUTED_VALUE"""),1.0)</f>
        <v>1</v>
      </c>
      <c r="F1133" s="8">
        <v>1.0</v>
      </c>
      <c r="G1133" s="8">
        <v>1.0</v>
      </c>
      <c r="H1133" s="8">
        <v>1.0</v>
      </c>
      <c r="I1133" s="8">
        <v>1.0</v>
      </c>
      <c r="J1133" s="8">
        <v>1.0</v>
      </c>
      <c r="K1133" s="8">
        <v>1.0</v>
      </c>
      <c r="L1133" s="8">
        <v>6.0</v>
      </c>
      <c r="M1133" s="8"/>
      <c r="N1133" s="8"/>
      <c r="O1133" s="8" t="s">
        <v>749</v>
      </c>
      <c r="P1133" s="8">
        <v>6.0</v>
      </c>
    </row>
    <row r="1134">
      <c r="A1134">
        <f>IFERROR(__xludf.DUMMYFUNCTION("""COMPUTED_VALUE"""),8.0)</f>
        <v>8</v>
      </c>
      <c r="B1134">
        <f>IFERROR(__xludf.DUMMYFUNCTION("""COMPUTED_VALUE"""),29150.0)</f>
        <v>29150</v>
      </c>
      <c r="C1134" t="str">
        <f>IFERROR(__xludf.DUMMYFUNCTION("""COMPUTED_VALUE"""),"CABAL AYALA, MARTINA")</f>
        <v>CABAL AYALA, MARTINA</v>
      </c>
      <c r="D1134" t="str">
        <f>IFERROR(__xludf.DUMMYFUNCTION("""COMPUTED_VALUE"""),"English 8A")</f>
        <v>English 8A</v>
      </c>
      <c r="E1134" s="31">
        <f>IFERROR(__xludf.DUMMYFUNCTION("""COMPUTED_VALUE"""),6.0)</f>
        <v>6</v>
      </c>
      <c r="F1134" s="8">
        <v>1.0</v>
      </c>
      <c r="G1134" s="8">
        <v>1.0</v>
      </c>
      <c r="H1134" s="8">
        <v>1.0</v>
      </c>
      <c r="I1134" s="8">
        <v>1.0</v>
      </c>
      <c r="J1134" s="8">
        <v>1.0</v>
      </c>
      <c r="K1134" s="8">
        <v>1.0</v>
      </c>
      <c r="L1134" s="8">
        <v>6.0</v>
      </c>
      <c r="M1134" s="8"/>
      <c r="N1134" s="8"/>
      <c r="O1134" s="8" t="s">
        <v>752</v>
      </c>
      <c r="P1134" s="8" t="e">
        <v>#N/A</v>
      </c>
    </row>
    <row r="1135">
      <c r="A1135">
        <f>IFERROR(__xludf.DUMMYFUNCTION("""COMPUTED_VALUE"""),8.0)</f>
        <v>8</v>
      </c>
      <c r="B1135">
        <f>IFERROR(__xludf.DUMMYFUNCTION("""COMPUTED_VALUE"""),29024.0)</f>
        <v>29024</v>
      </c>
      <c r="C1135" t="str">
        <f>IFERROR(__xludf.DUMMYFUNCTION("""COMPUTED_VALUE"""),"CADAVID RESTREPO, LUIS FERNANDO")</f>
        <v>CADAVID RESTREPO, LUIS FERNANDO</v>
      </c>
      <c r="D1135" t="str">
        <f>IFERROR(__xludf.DUMMYFUNCTION("""COMPUTED_VALUE"""),"English 8")</f>
        <v>English 8</v>
      </c>
      <c r="E1135" s="31">
        <f>IFERROR(__xludf.DUMMYFUNCTION("""COMPUTED_VALUE"""),5.0)</f>
        <v>5</v>
      </c>
      <c r="F1135" s="8">
        <v>1.0</v>
      </c>
      <c r="G1135" s="8">
        <v>1.0</v>
      </c>
      <c r="H1135" s="8">
        <v>1.0</v>
      </c>
      <c r="I1135" s="8">
        <v>1.0</v>
      </c>
      <c r="J1135" s="8">
        <v>1.0</v>
      </c>
      <c r="K1135" s="8">
        <v>1.0</v>
      </c>
      <c r="L1135" s="8">
        <v>6.0</v>
      </c>
      <c r="M1135" s="8"/>
      <c r="N1135" s="8"/>
      <c r="O1135" s="8" t="s">
        <v>750</v>
      </c>
      <c r="P1135" s="8">
        <v>6.0</v>
      </c>
    </row>
    <row r="1136">
      <c r="A1136">
        <f>IFERROR(__xludf.DUMMYFUNCTION("""COMPUTED_VALUE"""),8.0)</f>
        <v>8</v>
      </c>
      <c r="B1136">
        <f>IFERROR(__xludf.DUMMYFUNCTION("""COMPUTED_VALUE"""),29025.0)</f>
        <v>29025</v>
      </c>
      <c r="C1136" t="str">
        <f>IFERROR(__xludf.DUMMYFUNCTION("""COMPUTED_VALUE"""),"CALLE BUITRAGO, ESTEBAN")</f>
        <v>CALLE BUITRAGO, ESTEBAN</v>
      </c>
      <c r="D1136" t="str">
        <f>IFERROR(__xludf.DUMMYFUNCTION("""COMPUTED_VALUE"""),"English 8A")</f>
        <v>English 8A</v>
      </c>
      <c r="E1136" s="31">
        <f>IFERROR(__xludf.DUMMYFUNCTION("""COMPUTED_VALUE"""),6.0)</f>
        <v>6</v>
      </c>
      <c r="F1136" s="8">
        <v>1.0</v>
      </c>
      <c r="G1136" s="8">
        <v>1.0</v>
      </c>
      <c r="H1136" s="8">
        <v>1.0</v>
      </c>
      <c r="I1136" s="8">
        <v>1.0</v>
      </c>
      <c r="J1136" s="8">
        <v>1.0</v>
      </c>
      <c r="K1136" s="8">
        <v>1.0</v>
      </c>
      <c r="L1136" s="8">
        <v>6.0</v>
      </c>
      <c r="M1136" s="8"/>
      <c r="N1136" s="8"/>
      <c r="O1136" s="8" t="s">
        <v>752</v>
      </c>
      <c r="P1136" s="8" t="e">
        <v>#N/A</v>
      </c>
    </row>
    <row r="1137">
      <c r="A1137">
        <f>IFERROR(__xludf.DUMMYFUNCTION("""COMPUTED_VALUE"""),8.0)</f>
        <v>8</v>
      </c>
      <c r="B1137">
        <f>IFERROR(__xludf.DUMMYFUNCTION("""COMPUTED_VALUE"""),29027.0)</f>
        <v>29027</v>
      </c>
      <c r="C1137" t="str">
        <f>IFERROR(__xludf.DUMMYFUNCTION("""COMPUTED_VALUE"""),"CARDONA VELEZ, MATIAS")</f>
        <v>CARDONA VELEZ, MATIAS</v>
      </c>
      <c r="D1137" t="str">
        <f>IFERROR(__xludf.DUMMYFUNCTION("""COMPUTED_VALUE"""),"English 8A")</f>
        <v>English 8A</v>
      </c>
      <c r="E1137" s="31">
        <f>IFERROR(__xludf.DUMMYFUNCTION("""COMPUTED_VALUE"""),6.0)</f>
        <v>6</v>
      </c>
      <c r="F1137" s="8">
        <v>1.0</v>
      </c>
      <c r="G1137" s="8">
        <v>1.0</v>
      </c>
      <c r="H1137" s="8">
        <v>1.0</v>
      </c>
      <c r="I1137" s="8">
        <v>1.0</v>
      </c>
      <c r="J1137" s="8">
        <v>1.0</v>
      </c>
      <c r="K1137" s="8">
        <v>1.0</v>
      </c>
      <c r="L1137" s="8">
        <v>6.0</v>
      </c>
      <c r="M1137" s="8"/>
      <c r="N1137" s="8"/>
      <c r="O1137" s="8" t="s">
        <v>752</v>
      </c>
      <c r="P1137" s="8" t="e">
        <v>#N/A</v>
      </c>
    </row>
    <row r="1138">
      <c r="A1138">
        <f>IFERROR(__xludf.DUMMYFUNCTION("""COMPUTED_VALUE"""),8.0)</f>
        <v>8</v>
      </c>
      <c r="B1138">
        <f>IFERROR(__xludf.DUMMYFUNCTION("""COMPUTED_VALUE"""),29028.0)</f>
        <v>29028</v>
      </c>
      <c r="C1138" t="str">
        <f>IFERROR(__xludf.DUMMYFUNCTION("""COMPUTED_VALUE"""),"CARVAJAL ACOSTA, MARTIN")</f>
        <v>CARVAJAL ACOSTA, MARTIN</v>
      </c>
      <c r="D1138" t="str">
        <f>IFERROR(__xludf.DUMMYFUNCTION("""COMPUTED_VALUE"""),"English 8")</f>
        <v>English 8</v>
      </c>
      <c r="E1138" s="31">
        <f>IFERROR(__xludf.DUMMYFUNCTION("""COMPUTED_VALUE"""),3.0)</f>
        <v>3</v>
      </c>
      <c r="F1138" s="8">
        <v>1.0</v>
      </c>
      <c r="G1138" s="8">
        <v>1.0</v>
      </c>
      <c r="H1138" s="8">
        <v>1.0</v>
      </c>
      <c r="I1138" s="8">
        <v>1.0</v>
      </c>
      <c r="J1138" s="8">
        <v>1.0</v>
      </c>
      <c r="K1138" s="8">
        <v>1.0</v>
      </c>
      <c r="L1138" s="8">
        <v>6.0</v>
      </c>
      <c r="M1138" s="8"/>
      <c r="N1138" s="8"/>
      <c r="O1138" s="8" t="s">
        <v>751</v>
      </c>
      <c r="P1138" s="8">
        <v>6.0</v>
      </c>
    </row>
    <row r="1139">
      <c r="A1139">
        <f>IFERROR(__xludf.DUMMYFUNCTION("""COMPUTED_VALUE"""),8.0)</f>
        <v>8</v>
      </c>
      <c r="B1139">
        <f>IFERROR(__xludf.DUMMYFUNCTION("""COMPUTED_VALUE"""),29029.0)</f>
        <v>29029</v>
      </c>
      <c r="C1139" t="str">
        <f>IFERROR(__xludf.DUMMYFUNCTION("""COMPUTED_VALUE"""),"CHAVARRIAGA MESA, GREGORIO")</f>
        <v>CHAVARRIAGA MESA, GREGORIO</v>
      </c>
      <c r="D1139" t="str">
        <f>IFERROR(__xludf.DUMMYFUNCTION("""COMPUTED_VALUE"""),"English 8")</f>
        <v>English 8</v>
      </c>
      <c r="E1139" s="31">
        <f>IFERROR(__xludf.DUMMYFUNCTION("""COMPUTED_VALUE"""),6.0)</f>
        <v>6</v>
      </c>
      <c r="F1139" s="8">
        <v>1.0</v>
      </c>
      <c r="G1139" s="8">
        <v>1.0</v>
      </c>
      <c r="H1139" s="8">
        <v>1.0</v>
      </c>
      <c r="I1139" s="8">
        <v>1.0</v>
      </c>
      <c r="J1139" s="8">
        <v>1.0</v>
      </c>
      <c r="K1139" s="8">
        <v>1.0</v>
      </c>
      <c r="L1139" s="8">
        <v>6.0</v>
      </c>
      <c r="M1139" s="8"/>
      <c r="N1139" s="8"/>
      <c r="O1139" s="8" t="s">
        <v>748</v>
      </c>
      <c r="P1139" s="8">
        <v>6.0</v>
      </c>
    </row>
    <row r="1140">
      <c r="A1140">
        <f>IFERROR(__xludf.DUMMYFUNCTION("""COMPUTED_VALUE"""),8.0)</f>
        <v>8</v>
      </c>
      <c r="B1140">
        <f>IFERROR(__xludf.DUMMYFUNCTION("""COMPUTED_VALUE"""),29136.0)</f>
        <v>29136</v>
      </c>
      <c r="C1140" t="str">
        <f>IFERROR(__xludf.DUMMYFUNCTION("""COMPUTED_VALUE"""),"CHOPRA, HARSHUL")</f>
        <v>CHOPRA, HARSHUL</v>
      </c>
      <c r="D1140" t="str">
        <f>IFERROR(__xludf.DUMMYFUNCTION("""COMPUTED_VALUE"""),"English 8")</f>
        <v>English 8</v>
      </c>
      <c r="E1140" s="31">
        <f>IFERROR(__xludf.DUMMYFUNCTION("""COMPUTED_VALUE"""),6.0)</f>
        <v>6</v>
      </c>
      <c r="F1140" s="8">
        <v>1.0</v>
      </c>
      <c r="G1140" s="8">
        <v>1.0</v>
      </c>
      <c r="H1140" s="8">
        <v>1.0</v>
      </c>
      <c r="I1140" s="8">
        <v>1.0</v>
      </c>
      <c r="J1140" s="8">
        <v>1.0</v>
      </c>
      <c r="K1140" s="8">
        <v>1.0</v>
      </c>
      <c r="L1140" s="8">
        <v>6.0</v>
      </c>
      <c r="M1140" s="8"/>
      <c r="N1140" s="8"/>
      <c r="O1140" s="8" t="s">
        <v>748</v>
      </c>
      <c r="P1140" s="8">
        <v>6.0</v>
      </c>
    </row>
    <row r="1141">
      <c r="A1141">
        <f>IFERROR(__xludf.DUMMYFUNCTION("""COMPUTED_VALUE"""),8.0)</f>
        <v>8</v>
      </c>
      <c r="B1141">
        <f>IFERROR(__xludf.DUMMYFUNCTION("""COMPUTED_VALUE"""),28023.0)</f>
        <v>28023</v>
      </c>
      <c r="C1141" t="str">
        <f>IFERROR(__xludf.DUMMYFUNCTION("""COMPUTED_VALUE"""),"CLAVIJO GIRALDO, LORENZO")</f>
        <v>CLAVIJO GIRALDO, LORENZO</v>
      </c>
      <c r="D1141" t="str">
        <f>IFERROR(__xludf.DUMMYFUNCTION("""COMPUTED_VALUE"""),"English 8")</f>
        <v>English 8</v>
      </c>
      <c r="E1141" s="31">
        <f>IFERROR(__xludf.DUMMYFUNCTION("""COMPUTED_VALUE"""),5.0)</f>
        <v>5</v>
      </c>
      <c r="F1141" s="8">
        <v>1.0</v>
      </c>
      <c r="G1141" s="8">
        <v>1.0</v>
      </c>
      <c r="H1141" s="8">
        <v>1.0</v>
      </c>
      <c r="I1141" s="8">
        <v>1.0</v>
      </c>
      <c r="J1141" s="8">
        <v>1.0</v>
      </c>
      <c r="K1141" s="8">
        <v>1.0</v>
      </c>
      <c r="L1141" s="8">
        <v>6.0</v>
      </c>
      <c r="M1141" s="8"/>
      <c r="N1141" s="8"/>
      <c r="O1141" s="8" t="s">
        <v>750</v>
      </c>
      <c r="P1141" s="8">
        <v>6.0</v>
      </c>
    </row>
    <row r="1142">
      <c r="A1142">
        <f>IFERROR(__xludf.DUMMYFUNCTION("""COMPUTED_VALUE"""),8.0)</f>
        <v>8</v>
      </c>
      <c r="B1142">
        <f>IFERROR(__xludf.DUMMYFUNCTION("""COMPUTED_VALUE"""),29030.0)</f>
        <v>29030</v>
      </c>
      <c r="C1142" t="str">
        <f>IFERROR(__xludf.DUMMYFUNCTION("""COMPUTED_VALUE"""),"COCK ECHEVERRI, JULIETA")</f>
        <v>COCK ECHEVERRI, JULIETA</v>
      </c>
      <c r="D1142" t="str">
        <f>IFERROR(__xludf.DUMMYFUNCTION("""COMPUTED_VALUE"""),"English 8")</f>
        <v>English 8</v>
      </c>
      <c r="E1142" s="31">
        <f>IFERROR(__xludf.DUMMYFUNCTION("""COMPUTED_VALUE"""),6.0)</f>
        <v>6</v>
      </c>
      <c r="F1142" s="8">
        <v>1.0</v>
      </c>
      <c r="G1142" s="8">
        <v>1.0</v>
      </c>
      <c r="H1142" s="8">
        <v>1.0</v>
      </c>
      <c r="I1142" s="8">
        <v>1.0</v>
      </c>
      <c r="J1142" s="8">
        <v>1.0</v>
      </c>
      <c r="K1142" s="8">
        <v>1.0</v>
      </c>
      <c r="L1142" s="8">
        <v>6.0</v>
      </c>
      <c r="M1142" s="8"/>
      <c r="N1142" s="8"/>
      <c r="O1142" s="8" t="s">
        <v>748</v>
      </c>
      <c r="P1142" s="8">
        <v>6.0</v>
      </c>
    </row>
    <row r="1143">
      <c r="A1143">
        <f>IFERROR(__xludf.DUMMYFUNCTION("""COMPUTED_VALUE"""),8.0)</f>
        <v>8</v>
      </c>
      <c r="B1143">
        <f>IFERROR(__xludf.DUMMYFUNCTION("""COMPUTED_VALUE"""),29164.0)</f>
        <v>29164</v>
      </c>
      <c r="C1143" t="str">
        <f>IFERROR(__xludf.DUMMYFUNCTION("""COMPUTED_VALUE"""),"CONCHA VELASCO, LORENZO")</f>
        <v>CONCHA VELASCO, LORENZO</v>
      </c>
      <c r="D1143" t="str">
        <f>IFERROR(__xludf.DUMMYFUNCTION("""COMPUTED_VALUE"""),"English 8")</f>
        <v>English 8</v>
      </c>
      <c r="E1143" s="31">
        <f>IFERROR(__xludf.DUMMYFUNCTION("""COMPUTED_VALUE"""),5.0)</f>
        <v>5</v>
      </c>
      <c r="F1143" s="8">
        <v>1.0</v>
      </c>
      <c r="G1143" s="8">
        <v>1.0</v>
      </c>
      <c r="H1143" s="8">
        <v>1.0</v>
      </c>
      <c r="I1143" s="8">
        <v>1.0</v>
      </c>
      <c r="J1143" s="8">
        <v>1.0</v>
      </c>
      <c r="K1143" s="8">
        <v>1.0</v>
      </c>
      <c r="L1143" s="8">
        <v>6.0</v>
      </c>
      <c r="M1143" s="8"/>
      <c r="N1143" s="8"/>
      <c r="O1143" s="8" t="s">
        <v>750</v>
      </c>
      <c r="P1143" s="8">
        <v>6.0</v>
      </c>
    </row>
    <row r="1144">
      <c r="A1144">
        <f>IFERROR(__xludf.DUMMYFUNCTION("""COMPUTED_VALUE"""),8.0)</f>
        <v>8</v>
      </c>
      <c r="B1144">
        <f>IFERROR(__xludf.DUMMYFUNCTION("""COMPUTED_VALUE"""),29032.0)</f>
        <v>29032</v>
      </c>
      <c r="C1144" t="str">
        <f>IFERROR(__xludf.DUMMYFUNCTION("""COMPUTED_VALUE"""),"CORTES SIERRA, TOMAS")</f>
        <v>CORTES SIERRA, TOMAS</v>
      </c>
      <c r="D1144" t="str">
        <f>IFERROR(__xludf.DUMMYFUNCTION("""COMPUTED_VALUE"""),"English 8")</f>
        <v>English 8</v>
      </c>
      <c r="E1144" s="31">
        <f>IFERROR(__xludf.DUMMYFUNCTION("""COMPUTED_VALUE"""),5.0)</f>
        <v>5</v>
      </c>
      <c r="F1144" s="8">
        <v>1.0</v>
      </c>
      <c r="G1144" s="8">
        <v>1.0</v>
      </c>
      <c r="H1144" s="8">
        <v>1.0</v>
      </c>
      <c r="I1144" s="8">
        <v>1.0</v>
      </c>
      <c r="J1144" s="8">
        <v>1.0</v>
      </c>
      <c r="K1144" s="8">
        <v>1.0</v>
      </c>
      <c r="L1144" s="8">
        <v>6.0</v>
      </c>
      <c r="M1144" s="8"/>
      <c r="N1144" s="8"/>
      <c r="O1144" s="8" t="s">
        <v>750</v>
      </c>
      <c r="P1144" s="8">
        <v>6.0</v>
      </c>
    </row>
    <row r="1145">
      <c r="A1145">
        <f>IFERROR(__xludf.DUMMYFUNCTION("""COMPUTED_VALUE"""),8.0)</f>
        <v>8</v>
      </c>
      <c r="B1145">
        <f>IFERROR(__xludf.DUMMYFUNCTION("""COMPUTED_VALUE"""),29165.0)</f>
        <v>29165</v>
      </c>
      <c r="C1145" t="str">
        <f>IFERROR(__xludf.DUMMYFUNCTION("""COMPUTED_VALUE"""),"DOMINGUEZ JORGENSEN, MARCELO")</f>
        <v>DOMINGUEZ JORGENSEN, MARCELO</v>
      </c>
      <c r="D1145" t="str">
        <f>IFERROR(__xludf.DUMMYFUNCTION("""COMPUTED_VALUE"""),"English 8")</f>
        <v>English 8</v>
      </c>
      <c r="E1145" s="31">
        <f>IFERROR(__xludf.DUMMYFUNCTION("""COMPUTED_VALUE"""),5.0)</f>
        <v>5</v>
      </c>
      <c r="F1145" s="8">
        <v>1.0</v>
      </c>
      <c r="G1145" s="8">
        <v>1.0</v>
      </c>
      <c r="H1145" s="8">
        <v>1.0</v>
      </c>
      <c r="I1145" s="8">
        <v>1.0</v>
      </c>
      <c r="J1145" s="8">
        <v>1.0</v>
      </c>
      <c r="K1145" s="8">
        <v>1.0</v>
      </c>
      <c r="L1145" s="8">
        <v>6.0</v>
      </c>
      <c r="M1145" s="8"/>
      <c r="N1145" s="8"/>
      <c r="O1145" s="8" t="s">
        <v>750</v>
      </c>
      <c r="P1145" s="8">
        <v>6.0</v>
      </c>
    </row>
    <row r="1146">
      <c r="A1146">
        <f>IFERROR(__xludf.DUMMYFUNCTION("""COMPUTED_VALUE"""),8.0)</f>
        <v>8</v>
      </c>
      <c r="B1146">
        <f>IFERROR(__xludf.DUMMYFUNCTION("""COMPUTED_VALUE"""),29034.0)</f>
        <v>29034</v>
      </c>
      <c r="C1146" t="str">
        <f>IFERROR(__xludf.DUMMYFUNCTION("""COMPUTED_VALUE"""),"DUQUE BONNETT, ELISA")</f>
        <v>DUQUE BONNETT, ELISA</v>
      </c>
      <c r="D1146" t="str">
        <f>IFERROR(__xludf.DUMMYFUNCTION("""COMPUTED_VALUE"""),"English 8")</f>
        <v>English 8</v>
      </c>
      <c r="E1146" s="31">
        <f>IFERROR(__xludf.DUMMYFUNCTION("""COMPUTED_VALUE"""),3.0)</f>
        <v>3</v>
      </c>
      <c r="F1146" s="8">
        <v>1.0</v>
      </c>
      <c r="G1146" s="8">
        <v>1.0</v>
      </c>
      <c r="H1146" s="8">
        <v>1.0</v>
      </c>
      <c r="I1146" s="8">
        <v>1.0</v>
      </c>
      <c r="J1146" s="8">
        <v>1.0</v>
      </c>
      <c r="K1146" s="8">
        <v>1.0</v>
      </c>
      <c r="L1146" s="8">
        <v>6.0</v>
      </c>
      <c r="M1146" s="8"/>
      <c r="N1146" s="8"/>
      <c r="O1146" s="8" t="s">
        <v>751</v>
      </c>
      <c r="P1146" s="8">
        <v>6.0</v>
      </c>
    </row>
    <row r="1147">
      <c r="A1147">
        <f>IFERROR(__xludf.DUMMYFUNCTION("""COMPUTED_VALUE"""),8.0)</f>
        <v>8</v>
      </c>
      <c r="B1147">
        <f>IFERROR(__xludf.DUMMYFUNCTION("""COMPUTED_VALUE"""),29035.0)</f>
        <v>29035</v>
      </c>
      <c r="C1147" t="str">
        <f>IFERROR(__xludf.DUMMYFUNCTION("""COMPUTED_VALUE"""),"DURAN CALAD, MIGUEL")</f>
        <v>DURAN CALAD, MIGUEL</v>
      </c>
      <c r="D1147" t="str">
        <f>IFERROR(__xludf.DUMMYFUNCTION("""COMPUTED_VALUE"""),"English 8A")</f>
        <v>English 8A</v>
      </c>
      <c r="E1147" s="31">
        <f>IFERROR(__xludf.DUMMYFUNCTION("""COMPUTED_VALUE"""),6.0)</f>
        <v>6</v>
      </c>
      <c r="F1147" s="8">
        <v>1.0</v>
      </c>
      <c r="G1147" s="8">
        <v>1.0</v>
      </c>
      <c r="H1147" s="8">
        <v>1.0</v>
      </c>
      <c r="I1147" s="8">
        <v>1.0</v>
      </c>
      <c r="J1147" s="8">
        <v>1.0</v>
      </c>
      <c r="K1147" s="8">
        <v>1.0</v>
      </c>
      <c r="L1147" s="8">
        <v>6.0</v>
      </c>
      <c r="M1147" s="8"/>
      <c r="N1147" s="8"/>
      <c r="O1147" s="8" t="s">
        <v>752</v>
      </c>
      <c r="P1147" s="8" t="e">
        <v>#N/A</v>
      </c>
    </row>
    <row r="1148">
      <c r="A1148">
        <f>IFERROR(__xludf.DUMMYFUNCTION("""COMPUTED_VALUE"""),8.0)</f>
        <v>8</v>
      </c>
      <c r="B1148">
        <f>IFERROR(__xludf.DUMMYFUNCTION("""COMPUTED_VALUE"""),29135.0)</f>
        <v>29135</v>
      </c>
      <c r="C1148" t="str">
        <f>IFERROR(__xludf.DUMMYFUNCTION("""COMPUTED_VALUE"""),"ECHAVARRIA MUÑOZ, NICOLAS")</f>
        <v>ECHAVARRIA MUÑOZ, NICOLAS</v>
      </c>
      <c r="D1148" t="str">
        <f>IFERROR(__xludf.DUMMYFUNCTION("""COMPUTED_VALUE"""),"English 8")</f>
        <v>English 8</v>
      </c>
      <c r="E1148" s="31">
        <f>IFERROR(__xludf.DUMMYFUNCTION("""COMPUTED_VALUE"""),2.0)</f>
        <v>2</v>
      </c>
      <c r="F1148" s="8">
        <v>1.0</v>
      </c>
      <c r="G1148" s="8">
        <v>1.0</v>
      </c>
      <c r="H1148" s="8">
        <v>1.0</v>
      </c>
      <c r="I1148" s="8">
        <v>1.0</v>
      </c>
      <c r="J1148" s="8">
        <v>1.0</v>
      </c>
      <c r="K1148" s="8">
        <v>1.0</v>
      </c>
      <c r="L1148" s="8">
        <v>6.0</v>
      </c>
      <c r="M1148" s="8"/>
      <c r="N1148" s="8"/>
      <c r="O1148" s="8" t="s">
        <v>747</v>
      </c>
      <c r="P1148" s="8">
        <v>6.0</v>
      </c>
    </row>
    <row r="1149">
      <c r="A1149">
        <f>IFERROR(__xludf.DUMMYFUNCTION("""COMPUTED_VALUE"""),8.0)</f>
        <v>8</v>
      </c>
      <c r="B1149">
        <f>IFERROR(__xludf.DUMMYFUNCTION("""COMPUTED_VALUE"""),29138.0)</f>
        <v>29138</v>
      </c>
      <c r="C1149" t="str">
        <f>IFERROR(__xludf.DUMMYFUNCTION("""COMPUTED_VALUE"""),"ECHAVARRIA ROLDAN, TOMAS")</f>
        <v>ECHAVARRIA ROLDAN, TOMAS</v>
      </c>
      <c r="D1149" t="str">
        <f>IFERROR(__xludf.DUMMYFUNCTION("""COMPUTED_VALUE"""),"English 8")</f>
        <v>English 8</v>
      </c>
      <c r="E1149" s="31">
        <f>IFERROR(__xludf.DUMMYFUNCTION("""COMPUTED_VALUE"""),1.0)</f>
        <v>1</v>
      </c>
      <c r="F1149" s="8">
        <v>1.0</v>
      </c>
      <c r="G1149" s="8">
        <v>1.0</v>
      </c>
      <c r="H1149" s="8">
        <v>1.0</v>
      </c>
      <c r="I1149" s="8">
        <v>1.0</v>
      </c>
      <c r="J1149" s="8">
        <v>1.0</v>
      </c>
      <c r="K1149" s="8">
        <v>1.0</v>
      </c>
      <c r="L1149" s="8">
        <v>6.0</v>
      </c>
      <c r="M1149" s="8"/>
      <c r="N1149" s="8"/>
      <c r="O1149" s="8" t="s">
        <v>749</v>
      </c>
      <c r="P1149" s="8">
        <v>6.0</v>
      </c>
    </row>
    <row r="1150">
      <c r="A1150">
        <f>IFERROR(__xludf.DUMMYFUNCTION("""COMPUTED_VALUE"""),8.0)</f>
        <v>8</v>
      </c>
      <c r="B1150">
        <f>IFERROR(__xludf.DUMMYFUNCTION("""COMPUTED_VALUE"""),29036.0)</f>
        <v>29036</v>
      </c>
      <c r="C1150" t="str">
        <f>IFERROR(__xludf.DUMMYFUNCTION("""COMPUTED_VALUE"""),"ECHEVERRI ESCOBAR, RODRIGO")</f>
        <v>ECHEVERRI ESCOBAR, RODRIGO</v>
      </c>
      <c r="D1150" t="str">
        <f>IFERROR(__xludf.DUMMYFUNCTION("""COMPUTED_VALUE"""),"English 8")</f>
        <v>English 8</v>
      </c>
      <c r="E1150" s="31">
        <f>IFERROR(__xludf.DUMMYFUNCTION("""COMPUTED_VALUE"""),5.0)</f>
        <v>5</v>
      </c>
      <c r="F1150" s="8">
        <v>1.0</v>
      </c>
      <c r="G1150" s="8">
        <v>1.0</v>
      </c>
      <c r="H1150" s="8">
        <v>1.0</v>
      </c>
      <c r="I1150" s="8">
        <v>1.0</v>
      </c>
      <c r="J1150" s="8">
        <v>1.0</v>
      </c>
      <c r="K1150" s="8">
        <v>1.0</v>
      </c>
      <c r="L1150" s="8">
        <v>6.0</v>
      </c>
      <c r="M1150" s="8"/>
      <c r="N1150" s="8"/>
      <c r="O1150" s="8" t="s">
        <v>750</v>
      </c>
      <c r="P1150" s="8">
        <v>6.0</v>
      </c>
    </row>
    <row r="1151">
      <c r="A1151">
        <f>IFERROR(__xludf.DUMMYFUNCTION("""COMPUTED_VALUE"""),8.0)</f>
        <v>8</v>
      </c>
      <c r="B1151">
        <f>IFERROR(__xludf.DUMMYFUNCTION("""COMPUTED_VALUE"""),29037.0)</f>
        <v>29037</v>
      </c>
      <c r="C1151" t="str">
        <f>IFERROR(__xludf.DUMMYFUNCTION("""COMPUTED_VALUE"""),"ESCOBAR INFANTINO, RAQUEL")</f>
        <v>ESCOBAR INFANTINO, RAQUEL</v>
      </c>
      <c r="D1151" t="str">
        <f>IFERROR(__xludf.DUMMYFUNCTION("""COMPUTED_VALUE"""),"English 8")</f>
        <v>English 8</v>
      </c>
      <c r="E1151" s="31">
        <f>IFERROR(__xludf.DUMMYFUNCTION("""COMPUTED_VALUE"""),2.0)</f>
        <v>2</v>
      </c>
      <c r="F1151" s="8">
        <v>1.0</v>
      </c>
      <c r="G1151" s="8">
        <v>1.0</v>
      </c>
      <c r="H1151" s="8">
        <v>1.0</v>
      </c>
      <c r="I1151" s="8">
        <v>1.0</v>
      </c>
      <c r="J1151" s="8">
        <v>1.0</v>
      </c>
      <c r="K1151" s="8">
        <v>1.0</v>
      </c>
      <c r="L1151" s="8">
        <v>6.0</v>
      </c>
      <c r="M1151" s="8"/>
      <c r="N1151" s="8"/>
      <c r="O1151" s="8" t="s">
        <v>747</v>
      </c>
      <c r="P1151" s="8">
        <v>6.0</v>
      </c>
    </row>
    <row r="1152">
      <c r="A1152">
        <f>IFERROR(__xludf.DUMMYFUNCTION("""COMPUTED_VALUE"""),8.0)</f>
        <v>8</v>
      </c>
      <c r="B1152">
        <f>IFERROR(__xludf.DUMMYFUNCTION("""COMPUTED_VALUE"""),29038.0)</f>
        <v>29038</v>
      </c>
      <c r="C1152" t="str">
        <f>IFERROR(__xludf.DUMMYFUNCTION("""COMPUTED_VALUE"""),"ESCOBAR MADRID, MAXIMILIANO")</f>
        <v>ESCOBAR MADRID, MAXIMILIANO</v>
      </c>
      <c r="D1152" t="str">
        <f>IFERROR(__xludf.DUMMYFUNCTION("""COMPUTED_VALUE"""),"English 8")</f>
        <v>English 8</v>
      </c>
      <c r="E1152" s="31">
        <f>IFERROR(__xludf.DUMMYFUNCTION("""COMPUTED_VALUE"""),6.0)</f>
        <v>6</v>
      </c>
      <c r="F1152" s="8">
        <v>1.0</v>
      </c>
      <c r="G1152" s="8">
        <v>1.0</v>
      </c>
      <c r="H1152" s="8">
        <v>1.0</v>
      </c>
      <c r="I1152" s="8">
        <v>1.0</v>
      </c>
      <c r="J1152" s="8">
        <v>1.0</v>
      </c>
      <c r="K1152" s="8">
        <v>1.0</v>
      </c>
      <c r="L1152" s="8">
        <v>6.0</v>
      </c>
      <c r="M1152" s="8"/>
      <c r="N1152" s="8"/>
      <c r="O1152" s="8" t="s">
        <v>748</v>
      </c>
      <c r="P1152" s="8">
        <v>6.0</v>
      </c>
    </row>
    <row r="1153">
      <c r="A1153">
        <f>IFERROR(__xludf.DUMMYFUNCTION("""COMPUTED_VALUE"""),8.0)</f>
        <v>8</v>
      </c>
      <c r="B1153">
        <f>IFERROR(__xludf.DUMMYFUNCTION("""COMPUTED_VALUE"""),29039.0)</f>
        <v>29039</v>
      </c>
      <c r="C1153" t="str">
        <f>IFERROR(__xludf.DUMMYFUNCTION("""COMPUTED_VALUE"""),"ESPINOSA ABAD, GREGORIO")</f>
        <v>ESPINOSA ABAD, GREGORIO</v>
      </c>
      <c r="D1153" t="str">
        <f>IFERROR(__xludf.DUMMYFUNCTION("""COMPUTED_VALUE"""),"English 8A")</f>
        <v>English 8A</v>
      </c>
      <c r="E1153" s="31">
        <f>IFERROR(__xludf.DUMMYFUNCTION("""COMPUTED_VALUE"""),6.0)</f>
        <v>6</v>
      </c>
      <c r="F1153" s="8">
        <v>1.0</v>
      </c>
      <c r="G1153" s="8">
        <v>1.0</v>
      </c>
      <c r="H1153" s="8">
        <v>1.0</v>
      </c>
      <c r="I1153" s="8">
        <v>1.0</v>
      </c>
      <c r="J1153" s="8">
        <v>1.0</v>
      </c>
      <c r="K1153" s="8">
        <v>1.0</v>
      </c>
      <c r="L1153" s="8">
        <v>6.0</v>
      </c>
      <c r="M1153" s="8"/>
      <c r="N1153" s="8"/>
      <c r="O1153" s="8" t="s">
        <v>752</v>
      </c>
      <c r="P1153" s="8" t="e">
        <v>#N/A</v>
      </c>
    </row>
    <row r="1154">
      <c r="A1154">
        <f>IFERROR(__xludf.DUMMYFUNCTION("""COMPUTED_VALUE"""),8.0)</f>
        <v>8</v>
      </c>
      <c r="B1154">
        <f>IFERROR(__xludf.DUMMYFUNCTION("""COMPUTED_VALUE"""),29040.0)</f>
        <v>29040</v>
      </c>
      <c r="C1154" t="str">
        <f>IFERROR(__xludf.DUMMYFUNCTION("""COMPUTED_VALUE"""),"ESTRADA ZAPATA, MARTIN")</f>
        <v>ESTRADA ZAPATA, MARTIN</v>
      </c>
      <c r="D1154" t="str">
        <f>IFERROR(__xludf.DUMMYFUNCTION("""COMPUTED_VALUE"""),"English 8")</f>
        <v>English 8</v>
      </c>
      <c r="E1154" s="31">
        <f>IFERROR(__xludf.DUMMYFUNCTION("""COMPUTED_VALUE"""),1.0)</f>
        <v>1</v>
      </c>
      <c r="F1154" s="8">
        <v>1.0</v>
      </c>
      <c r="G1154" s="8">
        <v>1.0</v>
      </c>
      <c r="H1154" s="8">
        <v>1.0</v>
      </c>
      <c r="I1154" s="8">
        <v>1.0</v>
      </c>
      <c r="J1154" s="8">
        <v>1.0</v>
      </c>
      <c r="K1154" s="8">
        <v>1.0</v>
      </c>
      <c r="L1154" s="8">
        <v>6.0</v>
      </c>
      <c r="M1154" s="8"/>
      <c r="N1154" s="8"/>
      <c r="O1154" s="8" t="s">
        <v>749</v>
      </c>
      <c r="P1154" s="8">
        <v>6.0</v>
      </c>
    </row>
    <row r="1155">
      <c r="A1155">
        <f>IFERROR(__xludf.DUMMYFUNCTION("""COMPUTED_VALUE"""),8.0)</f>
        <v>8</v>
      </c>
      <c r="B1155">
        <f>IFERROR(__xludf.DUMMYFUNCTION("""COMPUTED_VALUE"""),29041.0)</f>
        <v>29041</v>
      </c>
      <c r="C1155" t="str">
        <f>IFERROR(__xludf.DUMMYFUNCTION("""COMPUTED_VALUE"""),"FAJARDO VILLA, LUCIANA")</f>
        <v>FAJARDO VILLA, LUCIANA</v>
      </c>
      <c r="D1155" t="str">
        <f>IFERROR(__xludf.DUMMYFUNCTION("""COMPUTED_VALUE"""),"English 8")</f>
        <v>English 8</v>
      </c>
      <c r="E1155" s="31">
        <f>IFERROR(__xludf.DUMMYFUNCTION("""COMPUTED_VALUE"""),1.0)</f>
        <v>1</v>
      </c>
      <c r="F1155" s="8">
        <v>1.0</v>
      </c>
      <c r="G1155" s="8">
        <v>1.0</v>
      </c>
      <c r="H1155" s="8">
        <v>1.0</v>
      </c>
      <c r="I1155" s="8">
        <v>1.0</v>
      </c>
      <c r="J1155" s="8">
        <v>1.0</v>
      </c>
      <c r="K1155" s="8">
        <v>1.0</v>
      </c>
      <c r="L1155" s="8">
        <v>6.0</v>
      </c>
      <c r="M1155" s="8"/>
      <c r="N1155" s="8"/>
      <c r="O1155" s="8" t="s">
        <v>749</v>
      </c>
      <c r="P1155" s="8">
        <v>6.0</v>
      </c>
    </row>
    <row r="1156">
      <c r="A1156">
        <f>IFERROR(__xludf.DUMMYFUNCTION("""COMPUTED_VALUE"""),8.0)</f>
        <v>8</v>
      </c>
      <c r="B1156">
        <f>IFERROR(__xludf.DUMMYFUNCTION("""COMPUTED_VALUE"""),29155.0)</f>
        <v>29155</v>
      </c>
      <c r="C1156" t="str">
        <f>IFERROR(__xludf.DUMMYFUNCTION("""COMPUTED_VALUE"""),"FERNANDEZ CALDERON, HANNA")</f>
        <v>FERNANDEZ CALDERON, HANNA</v>
      </c>
      <c r="D1156" t="str">
        <f>IFERROR(__xludf.DUMMYFUNCTION("""COMPUTED_VALUE"""),"English 8A")</f>
        <v>English 8A</v>
      </c>
      <c r="E1156" s="31">
        <f>IFERROR(__xludf.DUMMYFUNCTION("""COMPUTED_VALUE"""),6.0)</f>
        <v>6</v>
      </c>
      <c r="F1156" s="8">
        <v>1.0</v>
      </c>
      <c r="G1156" s="8">
        <v>1.0</v>
      </c>
      <c r="H1156" s="8">
        <v>1.0</v>
      </c>
      <c r="I1156" s="8">
        <v>1.0</v>
      </c>
      <c r="J1156" s="8">
        <v>1.0</v>
      </c>
      <c r="K1156" s="8">
        <v>1.0</v>
      </c>
      <c r="L1156" s="8">
        <v>6.0</v>
      </c>
      <c r="M1156" s="8"/>
      <c r="N1156" s="8"/>
      <c r="O1156" s="8" t="s">
        <v>752</v>
      </c>
      <c r="P1156" s="8" t="e">
        <v>#N/A</v>
      </c>
    </row>
    <row r="1157">
      <c r="A1157">
        <f>IFERROR(__xludf.DUMMYFUNCTION("""COMPUTED_VALUE"""),8.0)</f>
        <v>8</v>
      </c>
      <c r="B1157">
        <f>IFERROR(__xludf.DUMMYFUNCTION("""COMPUTED_VALUE"""),29156.0)</f>
        <v>29156</v>
      </c>
      <c r="C1157" t="str">
        <f>IFERROR(__xludf.DUMMYFUNCTION("""COMPUTED_VALUE"""),"FERNANDEZ CALDERON, TAMARA")</f>
        <v>FERNANDEZ CALDERON, TAMARA</v>
      </c>
      <c r="D1157" t="str">
        <f>IFERROR(__xludf.DUMMYFUNCTION("""COMPUTED_VALUE"""),"English 8")</f>
        <v>English 8</v>
      </c>
      <c r="E1157" s="31">
        <f>IFERROR(__xludf.DUMMYFUNCTION("""COMPUTED_VALUE"""),6.0)</f>
        <v>6</v>
      </c>
      <c r="F1157" s="8">
        <v>1.0</v>
      </c>
      <c r="G1157" s="8">
        <v>1.0</v>
      </c>
      <c r="H1157" s="8">
        <v>1.0</v>
      </c>
      <c r="I1157" s="8">
        <v>1.0</v>
      </c>
      <c r="J1157" s="8">
        <v>1.0</v>
      </c>
      <c r="K1157" s="8">
        <v>1.0</v>
      </c>
      <c r="L1157" s="8">
        <v>6.0</v>
      </c>
      <c r="M1157" s="8"/>
      <c r="N1157" s="8"/>
      <c r="O1157" s="8" t="s">
        <v>748</v>
      </c>
      <c r="P1157" s="8">
        <v>6.0</v>
      </c>
    </row>
    <row r="1158">
      <c r="A1158">
        <f>IFERROR(__xludf.DUMMYFUNCTION("""COMPUTED_VALUE"""),8.0)</f>
        <v>8</v>
      </c>
      <c r="B1158">
        <f>IFERROR(__xludf.DUMMYFUNCTION("""COMPUTED_VALUE"""),28032.0)</f>
        <v>28032</v>
      </c>
      <c r="C1158" t="str">
        <f>IFERROR(__xludf.DUMMYFUNCTION("""COMPUTED_VALUE"""),"GALLON TOBON, GERONIMO")</f>
        <v>GALLON TOBON, GERONIMO</v>
      </c>
      <c r="D1158" t="str">
        <f>IFERROR(__xludf.DUMMYFUNCTION("""COMPUTED_VALUE"""),"English 8")</f>
        <v>English 8</v>
      </c>
      <c r="E1158" s="31">
        <f>IFERROR(__xludf.DUMMYFUNCTION("""COMPUTED_VALUE"""),5.0)</f>
        <v>5</v>
      </c>
      <c r="F1158" s="8">
        <v>1.0</v>
      </c>
      <c r="G1158" s="8">
        <v>1.0</v>
      </c>
      <c r="H1158" s="8">
        <v>1.0</v>
      </c>
      <c r="I1158" s="8">
        <v>1.0</v>
      </c>
      <c r="J1158" s="8">
        <v>1.0</v>
      </c>
      <c r="K1158" s="8">
        <v>1.0</v>
      </c>
      <c r="L1158" s="8">
        <v>6.0</v>
      </c>
      <c r="M1158" s="8"/>
      <c r="N1158" s="8"/>
      <c r="O1158" s="8" t="s">
        <v>750</v>
      </c>
      <c r="P1158" s="8">
        <v>6.0</v>
      </c>
    </row>
    <row r="1159">
      <c r="A1159">
        <f>IFERROR(__xludf.DUMMYFUNCTION("""COMPUTED_VALUE"""),8.0)</f>
        <v>8</v>
      </c>
      <c r="B1159">
        <f>IFERROR(__xludf.DUMMYFUNCTION("""COMPUTED_VALUE"""),29042.0)</f>
        <v>29042</v>
      </c>
      <c r="C1159" t="str">
        <f>IFERROR(__xludf.DUMMYFUNCTION("""COMPUTED_VALUE"""),"GOMEZ MIRA, GREGORIO")</f>
        <v>GOMEZ MIRA, GREGORIO</v>
      </c>
      <c r="D1159" t="str">
        <f>IFERROR(__xludf.DUMMYFUNCTION("""COMPUTED_VALUE"""),"English 8A")</f>
        <v>English 8A</v>
      </c>
      <c r="E1159" s="31">
        <f>IFERROR(__xludf.DUMMYFUNCTION("""COMPUTED_VALUE"""),6.0)</f>
        <v>6</v>
      </c>
      <c r="F1159" s="8">
        <v>1.0</v>
      </c>
      <c r="G1159" s="8">
        <v>1.0</v>
      </c>
      <c r="H1159" s="8">
        <v>1.0</v>
      </c>
      <c r="I1159" s="8">
        <v>1.0</v>
      </c>
      <c r="J1159" s="8">
        <v>1.0</v>
      </c>
      <c r="K1159" s="8">
        <v>1.0</v>
      </c>
      <c r="L1159" s="8">
        <v>6.0</v>
      </c>
      <c r="M1159" s="8"/>
      <c r="N1159" s="8"/>
      <c r="O1159" s="8" t="s">
        <v>752</v>
      </c>
      <c r="P1159" s="8" t="e">
        <v>#N/A</v>
      </c>
    </row>
    <row r="1160">
      <c r="A1160">
        <f>IFERROR(__xludf.DUMMYFUNCTION("""COMPUTED_VALUE"""),8.0)</f>
        <v>8</v>
      </c>
      <c r="B1160">
        <f>IFERROR(__xludf.DUMMYFUNCTION("""COMPUTED_VALUE"""),29043.0)</f>
        <v>29043</v>
      </c>
      <c r="C1160" t="str">
        <f>IFERROR(__xludf.DUMMYFUNCTION("""COMPUTED_VALUE"""),"GOMEZ PASCHKE, VALERIA")</f>
        <v>GOMEZ PASCHKE, VALERIA</v>
      </c>
      <c r="D1160" t="str">
        <f>IFERROR(__xludf.DUMMYFUNCTION("""COMPUTED_VALUE"""),"English 8")</f>
        <v>English 8</v>
      </c>
      <c r="E1160" s="31">
        <f>IFERROR(__xludf.DUMMYFUNCTION("""COMPUTED_VALUE"""),2.0)</f>
        <v>2</v>
      </c>
      <c r="F1160" s="8">
        <v>1.0</v>
      </c>
      <c r="G1160" s="8">
        <v>1.0</v>
      </c>
      <c r="H1160" s="8">
        <v>1.0</v>
      </c>
      <c r="I1160" s="8">
        <v>1.0</v>
      </c>
      <c r="J1160" s="8">
        <v>1.0</v>
      </c>
      <c r="K1160" s="8">
        <v>1.0</v>
      </c>
      <c r="L1160" s="8">
        <v>6.0</v>
      </c>
      <c r="M1160" s="8"/>
      <c r="N1160" s="8"/>
      <c r="O1160" s="8" t="s">
        <v>747</v>
      </c>
      <c r="P1160" s="8">
        <v>6.0</v>
      </c>
    </row>
    <row r="1161">
      <c r="A1161">
        <f>IFERROR(__xludf.DUMMYFUNCTION("""COMPUTED_VALUE"""),8.0)</f>
        <v>8</v>
      </c>
      <c r="B1161">
        <f>IFERROR(__xludf.DUMMYFUNCTION("""COMPUTED_VALUE"""),29045.0)</f>
        <v>29045</v>
      </c>
      <c r="C1161" t="str">
        <f>IFERROR(__xludf.DUMMYFUNCTION("""COMPUTED_VALUE"""),"GOMEZ ZULUAGA, JUAN JOSE")</f>
        <v>GOMEZ ZULUAGA, JUAN JOSE</v>
      </c>
      <c r="D1161" t="str">
        <f>IFERROR(__xludf.DUMMYFUNCTION("""COMPUTED_VALUE"""),"English 8")</f>
        <v>English 8</v>
      </c>
      <c r="E1161" s="31">
        <f>IFERROR(__xludf.DUMMYFUNCTION("""COMPUTED_VALUE"""),3.0)</f>
        <v>3</v>
      </c>
      <c r="F1161" s="8">
        <v>1.0</v>
      </c>
      <c r="G1161" s="8">
        <v>1.0</v>
      </c>
      <c r="H1161" s="8">
        <v>1.0</v>
      </c>
      <c r="I1161" s="8">
        <v>1.0</v>
      </c>
      <c r="J1161" s="8">
        <v>1.0</v>
      </c>
      <c r="K1161" s="8">
        <v>1.0</v>
      </c>
      <c r="L1161" s="8">
        <v>6.0</v>
      </c>
      <c r="M1161" s="8"/>
      <c r="N1161" s="8"/>
      <c r="O1161" s="8" t="s">
        <v>751</v>
      </c>
      <c r="P1161" s="8">
        <v>6.0</v>
      </c>
    </row>
    <row r="1162">
      <c r="A1162">
        <f>IFERROR(__xludf.DUMMYFUNCTION("""COMPUTED_VALUE"""),8.0)</f>
        <v>8</v>
      </c>
      <c r="B1162">
        <f>IFERROR(__xludf.DUMMYFUNCTION("""COMPUTED_VALUE"""),29046.0)</f>
        <v>29046</v>
      </c>
      <c r="C1162" t="str">
        <f>IFERROR(__xludf.DUMMYFUNCTION("""COMPUTED_VALUE"""),"GONZALEZ LOPEZ, SAMUEL")</f>
        <v>GONZALEZ LOPEZ, SAMUEL</v>
      </c>
      <c r="D1162" t="str">
        <f>IFERROR(__xludf.DUMMYFUNCTION("""COMPUTED_VALUE"""),"English 8")</f>
        <v>English 8</v>
      </c>
      <c r="E1162" s="31">
        <f>IFERROR(__xludf.DUMMYFUNCTION("""COMPUTED_VALUE"""),5.0)</f>
        <v>5</v>
      </c>
      <c r="F1162" s="8">
        <v>1.0</v>
      </c>
      <c r="G1162" s="8">
        <v>1.0</v>
      </c>
      <c r="H1162" s="8">
        <v>1.0</v>
      </c>
      <c r="I1162" s="8">
        <v>1.0</v>
      </c>
      <c r="J1162" s="8">
        <v>1.0</v>
      </c>
      <c r="K1162" s="8">
        <v>1.0</v>
      </c>
      <c r="L1162" s="8">
        <v>6.0</v>
      </c>
      <c r="M1162" s="8"/>
      <c r="N1162" s="8"/>
      <c r="O1162" s="8" t="s">
        <v>750</v>
      </c>
      <c r="P1162" s="8">
        <v>6.0</v>
      </c>
    </row>
    <row r="1163">
      <c r="A1163">
        <f>IFERROR(__xludf.DUMMYFUNCTION("""COMPUTED_VALUE"""),8.0)</f>
        <v>8</v>
      </c>
      <c r="B1163">
        <f>IFERROR(__xludf.DUMMYFUNCTION("""COMPUTED_VALUE"""),29048.0)</f>
        <v>29048</v>
      </c>
      <c r="C1163" t="str">
        <f>IFERROR(__xludf.DUMMYFUNCTION("""COMPUTED_VALUE"""),"HENAO RESTREPO, ANTONIA")</f>
        <v>HENAO RESTREPO, ANTONIA</v>
      </c>
      <c r="D1163" t="str">
        <f>IFERROR(__xludf.DUMMYFUNCTION("""COMPUTED_VALUE"""),"English 8")</f>
        <v>English 8</v>
      </c>
      <c r="E1163" s="31">
        <f>IFERROR(__xludf.DUMMYFUNCTION("""COMPUTED_VALUE"""),2.0)</f>
        <v>2</v>
      </c>
      <c r="F1163" s="8">
        <v>1.0</v>
      </c>
      <c r="G1163" s="8">
        <v>1.0</v>
      </c>
      <c r="H1163" s="8">
        <v>1.0</v>
      </c>
      <c r="I1163" s="8">
        <v>1.0</v>
      </c>
      <c r="J1163" s="8">
        <v>1.0</v>
      </c>
      <c r="K1163" s="8">
        <v>1.0</v>
      </c>
      <c r="L1163" s="8">
        <v>6.0</v>
      </c>
      <c r="M1163" s="8"/>
      <c r="N1163" s="8"/>
      <c r="O1163" s="8" t="s">
        <v>747</v>
      </c>
      <c r="P1163" s="8">
        <v>6.0</v>
      </c>
    </row>
    <row r="1164">
      <c r="A1164">
        <f>IFERROR(__xludf.DUMMYFUNCTION("""COMPUTED_VALUE"""),8.0)</f>
        <v>8</v>
      </c>
      <c r="B1164">
        <f>IFERROR(__xludf.DUMMYFUNCTION("""COMPUTED_VALUE"""),29049.0)</f>
        <v>29049</v>
      </c>
      <c r="C1164" t="str">
        <f>IFERROR(__xludf.DUMMYFUNCTION("""COMPUTED_VALUE"""),"HINESTROSA SIERRA, MIGUEL")</f>
        <v>HINESTROSA SIERRA, MIGUEL</v>
      </c>
      <c r="D1164" t="str">
        <f>IFERROR(__xludf.DUMMYFUNCTION("""COMPUTED_VALUE"""),"English 8")</f>
        <v>English 8</v>
      </c>
      <c r="E1164" s="31">
        <f>IFERROR(__xludf.DUMMYFUNCTION("""COMPUTED_VALUE"""),5.0)</f>
        <v>5</v>
      </c>
      <c r="F1164" s="8">
        <v>1.0</v>
      </c>
      <c r="G1164" s="8">
        <v>1.0</v>
      </c>
      <c r="H1164" s="8">
        <v>1.0</v>
      </c>
      <c r="I1164" s="8">
        <v>1.0</v>
      </c>
      <c r="J1164" s="8">
        <v>1.0</v>
      </c>
      <c r="K1164" s="8">
        <v>1.0</v>
      </c>
      <c r="L1164" s="8">
        <v>6.0</v>
      </c>
      <c r="M1164" s="8"/>
      <c r="N1164" s="8"/>
      <c r="O1164" s="8" t="s">
        <v>750</v>
      </c>
      <c r="P1164" s="8">
        <v>6.0</v>
      </c>
    </row>
    <row r="1165">
      <c r="A1165">
        <f>IFERROR(__xludf.DUMMYFUNCTION("""COMPUTED_VALUE"""),8.0)</f>
        <v>8</v>
      </c>
      <c r="B1165">
        <f>IFERROR(__xludf.DUMMYFUNCTION("""COMPUTED_VALUE"""),29050.0)</f>
        <v>29050</v>
      </c>
      <c r="C1165" t="str">
        <f>IFERROR(__xludf.DUMMYFUNCTION("""COMPUTED_VALUE"""),"HINESTROSA SIERRA, PEDRO")</f>
        <v>HINESTROSA SIERRA, PEDRO</v>
      </c>
      <c r="D1165" t="str">
        <f>IFERROR(__xludf.DUMMYFUNCTION("""COMPUTED_VALUE"""),"English 8A")</f>
        <v>English 8A</v>
      </c>
      <c r="E1165" s="31">
        <f>IFERROR(__xludf.DUMMYFUNCTION("""COMPUTED_VALUE"""),6.0)</f>
        <v>6</v>
      </c>
      <c r="F1165" s="8">
        <v>1.0</v>
      </c>
      <c r="G1165" s="8">
        <v>1.0</v>
      </c>
      <c r="H1165" s="8">
        <v>1.0</v>
      </c>
      <c r="I1165" s="8">
        <v>1.0</v>
      </c>
      <c r="J1165" s="8">
        <v>1.0</v>
      </c>
      <c r="K1165" s="8">
        <v>1.0</v>
      </c>
      <c r="L1165" s="8">
        <v>6.0</v>
      </c>
      <c r="M1165" s="8"/>
      <c r="N1165" s="8"/>
      <c r="O1165" s="8" t="s">
        <v>752</v>
      </c>
      <c r="P1165" s="8" t="e">
        <v>#N/A</v>
      </c>
    </row>
    <row r="1166">
      <c r="A1166">
        <f>IFERROR(__xludf.DUMMYFUNCTION("""COMPUTED_VALUE"""),8.0)</f>
        <v>8</v>
      </c>
      <c r="B1166">
        <f>IFERROR(__xludf.DUMMYFUNCTION("""COMPUTED_VALUE"""),28046.0)</f>
        <v>28046</v>
      </c>
      <c r="C1166" t="str">
        <f>IFERROR(__xludf.DUMMYFUNCTION("""COMPUTED_VALUE"""),"HOYOS SARAVIA, TOMAS")</f>
        <v>HOYOS SARAVIA, TOMAS</v>
      </c>
      <c r="D1166" t="str">
        <f>IFERROR(__xludf.DUMMYFUNCTION("""COMPUTED_VALUE"""),"English 8A")</f>
        <v>English 8A</v>
      </c>
      <c r="E1166" s="31">
        <f>IFERROR(__xludf.DUMMYFUNCTION("""COMPUTED_VALUE"""),6.0)</f>
        <v>6</v>
      </c>
      <c r="F1166" s="8">
        <v>1.0</v>
      </c>
      <c r="G1166" s="8">
        <v>1.0</v>
      </c>
      <c r="H1166" s="8">
        <v>1.0</v>
      </c>
      <c r="I1166" s="8">
        <v>1.0</v>
      </c>
      <c r="J1166" s="8">
        <v>1.0</v>
      </c>
      <c r="K1166" s="8">
        <v>1.0</v>
      </c>
      <c r="L1166" s="8">
        <v>6.0</v>
      </c>
      <c r="M1166" s="8"/>
      <c r="N1166" s="8"/>
      <c r="O1166" s="8" t="s">
        <v>752</v>
      </c>
      <c r="P1166" s="8" t="e">
        <v>#N/A</v>
      </c>
    </row>
    <row r="1167">
      <c r="A1167">
        <f>IFERROR(__xludf.DUMMYFUNCTION("""COMPUTED_VALUE"""),8.0)</f>
        <v>8</v>
      </c>
      <c r="B1167">
        <f>IFERROR(__xludf.DUMMYFUNCTION("""COMPUTED_VALUE"""),29052.0)</f>
        <v>29052</v>
      </c>
      <c r="C1167" t="str">
        <f>IFERROR(__xludf.DUMMYFUNCTION("""COMPUTED_VALUE"""),"HURTADO ARISTIZABAL, CAMILA")</f>
        <v>HURTADO ARISTIZABAL, CAMILA</v>
      </c>
      <c r="D1167" t="str">
        <f>IFERROR(__xludf.DUMMYFUNCTION("""COMPUTED_VALUE"""),"English 8A")</f>
        <v>English 8A</v>
      </c>
      <c r="E1167" s="31">
        <f>IFERROR(__xludf.DUMMYFUNCTION("""COMPUTED_VALUE"""),6.0)</f>
        <v>6</v>
      </c>
      <c r="F1167" s="8">
        <v>1.0</v>
      </c>
      <c r="G1167" s="8">
        <v>1.0</v>
      </c>
      <c r="H1167" s="8">
        <v>1.0</v>
      </c>
      <c r="I1167" s="8">
        <v>1.0</v>
      </c>
      <c r="J1167" s="8">
        <v>1.0</v>
      </c>
      <c r="K1167" s="8">
        <v>1.0</v>
      </c>
      <c r="L1167" s="8">
        <v>6.0</v>
      </c>
      <c r="M1167" s="8"/>
      <c r="N1167" s="8"/>
      <c r="O1167" s="8" t="s">
        <v>752</v>
      </c>
      <c r="P1167" s="8" t="e">
        <v>#N/A</v>
      </c>
    </row>
    <row r="1168">
      <c r="A1168">
        <f>IFERROR(__xludf.DUMMYFUNCTION("""COMPUTED_VALUE"""),8.0)</f>
        <v>8</v>
      </c>
      <c r="B1168">
        <f>IFERROR(__xludf.DUMMYFUNCTION("""COMPUTED_VALUE"""),29053.0)</f>
        <v>29053</v>
      </c>
      <c r="C1168" t="str">
        <f>IFERROR(__xludf.DUMMYFUNCTION("""COMPUTED_VALUE"""),"HURTADO FAJARDO, JUANITA")</f>
        <v>HURTADO FAJARDO, JUANITA</v>
      </c>
      <c r="D1168" t="str">
        <f>IFERROR(__xludf.DUMMYFUNCTION("""COMPUTED_VALUE"""),"English 8")</f>
        <v>English 8</v>
      </c>
      <c r="E1168" s="31">
        <f>IFERROR(__xludf.DUMMYFUNCTION("""COMPUTED_VALUE"""),2.0)</f>
        <v>2</v>
      </c>
      <c r="F1168" s="8">
        <v>1.0</v>
      </c>
      <c r="G1168" s="8">
        <v>1.0</v>
      </c>
      <c r="H1168" s="8">
        <v>1.0</v>
      </c>
      <c r="I1168" s="8">
        <v>1.0</v>
      </c>
      <c r="J1168" s="8">
        <v>1.0</v>
      </c>
      <c r="K1168" s="8">
        <v>1.0</v>
      </c>
      <c r="L1168" s="8">
        <v>6.0</v>
      </c>
      <c r="M1168" s="8"/>
      <c r="N1168" s="8"/>
      <c r="O1168" s="8" t="s">
        <v>747</v>
      </c>
      <c r="P1168" s="8">
        <v>6.0</v>
      </c>
    </row>
    <row r="1169">
      <c r="A1169">
        <f>IFERROR(__xludf.DUMMYFUNCTION("""COMPUTED_VALUE"""),8.0)</f>
        <v>8</v>
      </c>
      <c r="B1169">
        <f>IFERROR(__xludf.DUMMYFUNCTION("""COMPUTED_VALUE"""),29056.0)</f>
        <v>29056</v>
      </c>
      <c r="C1169" t="str">
        <f>IFERROR(__xludf.DUMMYFUNCTION("""COMPUTED_VALUE"""),"JAILLIER PINZON, MAXIMILIANO")</f>
        <v>JAILLIER PINZON, MAXIMILIANO</v>
      </c>
      <c r="D1169" t="str">
        <f>IFERROR(__xludf.DUMMYFUNCTION("""COMPUTED_VALUE"""),"English 8")</f>
        <v>English 8</v>
      </c>
      <c r="E1169" s="31">
        <f>IFERROR(__xludf.DUMMYFUNCTION("""COMPUTED_VALUE"""),6.0)</f>
        <v>6</v>
      </c>
      <c r="F1169" s="8">
        <v>1.0</v>
      </c>
      <c r="G1169" s="8">
        <v>1.0</v>
      </c>
      <c r="H1169" s="8">
        <v>1.0</v>
      </c>
      <c r="I1169" s="8">
        <v>1.0</v>
      </c>
      <c r="J1169" s="8">
        <v>1.0</v>
      </c>
      <c r="K1169" s="8">
        <v>1.0</v>
      </c>
      <c r="L1169" s="8">
        <v>6.0</v>
      </c>
      <c r="M1169" s="8"/>
      <c r="N1169" s="8"/>
      <c r="O1169" s="8" t="s">
        <v>748</v>
      </c>
      <c r="P1169" s="8">
        <v>6.0</v>
      </c>
    </row>
    <row r="1170">
      <c r="A1170">
        <f>IFERROR(__xludf.DUMMYFUNCTION("""COMPUTED_VALUE"""),8.0)</f>
        <v>8</v>
      </c>
      <c r="B1170">
        <f>IFERROR(__xludf.DUMMYFUNCTION("""COMPUTED_VALUE"""),29057.0)</f>
        <v>29057</v>
      </c>
      <c r="C1170" t="str">
        <f>IFERROR(__xludf.DUMMYFUNCTION("""COMPUTED_VALUE"""),"JALLER TRUJILLO, KAMEL")</f>
        <v>JALLER TRUJILLO, KAMEL</v>
      </c>
      <c r="D1170" t="str">
        <f>IFERROR(__xludf.DUMMYFUNCTION("""COMPUTED_VALUE"""),"English 8")</f>
        <v>English 8</v>
      </c>
      <c r="E1170" s="31">
        <f>IFERROR(__xludf.DUMMYFUNCTION("""COMPUTED_VALUE"""),3.0)</f>
        <v>3</v>
      </c>
      <c r="F1170" s="8">
        <v>1.0</v>
      </c>
      <c r="G1170" s="8">
        <v>1.0</v>
      </c>
      <c r="H1170" s="8">
        <v>1.0</v>
      </c>
      <c r="I1170" s="8">
        <v>1.0</v>
      </c>
      <c r="J1170" s="8">
        <v>1.0</v>
      </c>
      <c r="K1170" s="8">
        <v>1.0</v>
      </c>
      <c r="L1170" s="8">
        <v>6.0</v>
      </c>
      <c r="M1170" s="8"/>
      <c r="N1170" s="8"/>
      <c r="O1170" s="8" t="s">
        <v>751</v>
      </c>
      <c r="P1170" s="8">
        <v>6.0</v>
      </c>
    </row>
    <row r="1171">
      <c r="A1171">
        <f>IFERROR(__xludf.DUMMYFUNCTION("""COMPUTED_VALUE"""),8.0)</f>
        <v>8</v>
      </c>
      <c r="B1171">
        <f>IFERROR(__xludf.DUMMYFUNCTION("""COMPUTED_VALUE"""),29058.0)</f>
        <v>29058</v>
      </c>
      <c r="C1171" t="str">
        <f>IFERROR(__xludf.DUMMYFUNCTION("""COMPUTED_VALUE"""),"JARAMILLO DONADO, AMELIA")</f>
        <v>JARAMILLO DONADO, AMELIA</v>
      </c>
      <c r="D1171" t="str">
        <f>IFERROR(__xludf.DUMMYFUNCTION("""COMPUTED_VALUE"""),"English 8")</f>
        <v>English 8</v>
      </c>
      <c r="E1171" s="31">
        <f>IFERROR(__xludf.DUMMYFUNCTION("""COMPUTED_VALUE"""),6.0)</f>
        <v>6</v>
      </c>
      <c r="F1171" s="8">
        <v>1.0</v>
      </c>
      <c r="G1171" s="8">
        <v>1.0</v>
      </c>
      <c r="H1171" s="8">
        <v>1.0</v>
      </c>
      <c r="I1171" s="8">
        <v>1.0</v>
      </c>
      <c r="J1171" s="8">
        <v>1.0</v>
      </c>
      <c r="K1171" s="8">
        <v>1.0</v>
      </c>
      <c r="L1171" s="8">
        <v>6.0</v>
      </c>
      <c r="M1171" s="8"/>
      <c r="N1171" s="8"/>
      <c r="O1171" s="8" t="s">
        <v>748</v>
      </c>
      <c r="P1171" s="8">
        <v>6.0</v>
      </c>
    </row>
    <row r="1172">
      <c r="A1172">
        <f>IFERROR(__xludf.DUMMYFUNCTION("""COMPUTED_VALUE"""),8.0)</f>
        <v>8</v>
      </c>
      <c r="B1172">
        <f>IFERROR(__xludf.DUMMYFUNCTION("""COMPUTED_VALUE"""),29059.0)</f>
        <v>29059</v>
      </c>
      <c r="C1172" t="str">
        <f>IFERROR(__xludf.DUMMYFUNCTION("""COMPUTED_VALUE"""),"JARAMILLO GONZALEZ, PASCUAL")</f>
        <v>JARAMILLO GONZALEZ, PASCUAL</v>
      </c>
      <c r="D1172" t="str">
        <f>IFERROR(__xludf.DUMMYFUNCTION("""COMPUTED_VALUE"""),"English 8A")</f>
        <v>English 8A</v>
      </c>
      <c r="E1172" s="31">
        <f>IFERROR(__xludf.DUMMYFUNCTION("""COMPUTED_VALUE"""),6.0)</f>
        <v>6</v>
      </c>
      <c r="F1172" s="8">
        <v>1.0</v>
      </c>
      <c r="G1172" s="8">
        <v>1.0</v>
      </c>
      <c r="H1172" s="8">
        <v>1.0</v>
      </c>
      <c r="I1172" s="8">
        <v>1.0</v>
      </c>
      <c r="J1172" s="8">
        <v>1.0</v>
      </c>
      <c r="K1172" s="8">
        <v>1.0</v>
      </c>
      <c r="L1172" s="8">
        <v>6.0</v>
      </c>
      <c r="M1172" s="8"/>
      <c r="N1172" s="8"/>
      <c r="O1172" s="8" t="s">
        <v>752</v>
      </c>
      <c r="P1172" s="8" t="e">
        <v>#N/A</v>
      </c>
    </row>
    <row r="1173">
      <c r="A1173">
        <f>IFERROR(__xludf.DUMMYFUNCTION("""COMPUTED_VALUE"""),8.0)</f>
        <v>8</v>
      </c>
      <c r="B1173">
        <f>IFERROR(__xludf.DUMMYFUNCTION("""COMPUTED_VALUE"""),29060.0)</f>
        <v>29060</v>
      </c>
      <c r="C1173" t="str">
        <f>IFERROR(__xludf.DUMMYFUNCTION("""COMPUTED_VALUE"""),"JARAMILLO NARANJO, NICOLAS")</f>
        <v>JARAMILLO NARANJO, NICOLAS</v>
      </c>
      <c r="D1173" t="str">
        <f>IFERROR(__xludf.DUMMYFUNCTION("""COMPUTED_VALUE"""),"English 8A")</f>
        <v>English 8A</v>
      </c>
      <c r="E1173" s="31">
        <f>IFERROR(__xludf.DUMMYFUNCTION("""COMPUTED_VALUE"""),6.0)</f>
        <v>6</v>
      </c>
      <c r="F1173" s="8">
        <v>1.0</v>
      </c>
      <c r="G1173" s="8">
        <v>1.0</v>
      </c>
      <c r="H1173" s="8">
        <v>1.0</v>
      </c>
      <c r="I1173" s="8">
        <v>1.0</v>
      </c>
      <c r="J1173" s="8">
        <v>1.0</v>
      </c>
      <c r="K1173" s="8">
        <v>1.0</v>
      </c>
      <c r="L1173" s="8">
        <v>6.0</v>
      </c>
      <c r="M1173" s="8"/>
      <c r="N1173" s="8"/>
      <c r="O1173" s="8" t="s">
        <v>752</v>
      </c>
      <c r="P1173" s="8" t="e">
        <v>#N/A</v>
      </c>
    </row>
    <row r="1174">
      <c r="A1174">
        <f>IFERROR(__xludf.DUMMYFUNCTION("""COMPUTED_VALUE"""),8.0)</f>
        <v>8</v>
      </c>
      <c r="B1174">
        <f>IFERROR(__xludf.DUMMYFUNCTION("""COMPUTED_VALUE"""),29061.0)</f>
        <v>29061</v>
      </c>
      <c r="C1174" t="str">
        <f>IFERROR(__xludf.DUMMYFUNCTION("""COMPUTED_VALUE"""),"JARAMILLO OSPINA, MANUEL")</f>
        <v>JARAMILLO OSPINA, MANUEL</v>
      </c>
      <c r="D1174" t="str">
        <f>IFERROR(__xludf.DUMMYFUNCTION("""COMPUTED_VALUE"""),"English 8")</f>
        <v>English 8</v>
      </c>
      <c r="E1174" s="31">
        <f>IFERROR(__xludf.DUMMYFUNCTION("""COMPUTED_VALUE"""),6.0)</f>
        <v>6</v>
      </c>
      <c r="F1174" s="8">
        <v>1.0</v>
      </c>
      <c r="G1174" s="8">
        <v>1.0</v>
      </c>
      <c r="H1174" s="8">
        <v>1.0</v>
      </c>
      <c r="I1174" s="8">
        <v>1.0</v>
      </c>
      <c r="J1174" s="8">
        <v>1.0</v>
      </c>
      <c r="K1174" s="8">
        <v>1.0</v>
      </c>
      <c r="L1174" s="8">
        <v>6.0</v>
      </c>
      <c r="M1174" s="8"/>
      <c r="N1174" s="8"/>
      <c r="O1174" s="8" t="s">
        <v>748</v>
      </c>
      <c r="P1174" s="8">
        <v>6.0</v>
      </c>
    </row>
    <row r="1175">
      <c r="A1175">
        <f>IFERROR(__xludf.DUMMYFUNCTION("""COMPUTED_VALUE"""),8.0)</f>
        <v>8</v>
      </c>
      <c r="B1175">
        <f>IFERROR(__xludf.DUMMYFUNCTION("""COMPUTED_VALUE"""),28144.0)</f>
        <v>28144</v>
      </c>
      <c r="C1175" t="str">
        <f>IFERROR(__xludf.DUMMYFUNCTION("""COMPUTED_VALUE"""),"JIMENEZ PATIÑO, EMILIO")</f>
        <v>JIMENEZ PATIÑO, EMILIO</v>
      </c>
      <c r="D1175" t="str">
        <f>IFERROR(__xludf.DUMMYFUNCTION("""COMPUTED_VALUE"""),"English 8")</f>
        <v>English 8</v>
      </c>
      <c r="E1175" s="31">
        <f>IFERROR(__xludf.DUMMYFUNCTION("""COMPUTED_VALUE"""),1.0)</f>
        <v>1</v>
      </c>
      <c r="F1175" s="8">
        <v>1.0</v>
      </c>
      <c r="G1175" s="8">
        <v>1.0</v>
      </c>
      <c r="H1175" s="8">
        <v>1.0</v>
      </c>
      <c r="I1175" s="8">
        <v>1.0</v>
      </c>
      <c r="J1175" s="8">
        <v>1.0</v>
      </c>
      <c r="K1175" s="8">
        <v>1.0</v>
      </c>
      <c r="L1175" s="8">
        <v>6.0</v>
      </c>
      <c r="M1175" s="8"/>
      <c r="N1175" s="8"/>
      <c r="O1175" s="8" t="s">
        <v>749</v>
      </c>
      <c r="P1175" s="8">
        <v>6.0</v>
      </c>
    </row>
    <row r="1176">
      <c r="A1176">
        <f>IFERROR(__xludf.DUMMYFUNCTION("""COMPUTED_VALUE"""),8.0)</f>
        <v>8</v>
      </c>
      <c r="B1176">
        <f>IFERROR(__xludf.DUMMYFUNCTION("""COMPUTED_VALUE"""),29147.0)</f>
        <v>29147</v>
      </c>
      <c r="C1176" t="str">
        <f>IFERROR(__xludf.DUMMYFUNCTION("""COMPUTED_VALUE"""),"JIMENO ARISTIZABAL, ISABELLA")</f>
        <v>JIMENO ARISTIZABAL, ISABELLA</v>
      </c>
      <c r="D1176" t="str">
        <f>IFERROR(__xludf.DUMMYFUNCTION("""COMPUTED_VALUE"""),"English 8")</f>
        <v>English 8</v>
      </c>
      <c r="E1176" s="31">
        <f>IFERROR(__xludf.DUMMYFUNCTION("""COMPUTED_VALUE"""),5.0)</f>
        <v>5</v>
      </c>
      <c r="F1176" s="8">
        <v>1.0</v>
      </c>
      <c r="G1176" s="8">
        <v>1.0</v>
      </c>
      <c r="H1176" s="8">
        <v>1.0</v>
      </c>
      <c r="I1176" s="8">
        <v>1.0</v>
      </c>
      <c r="J1176" s="8">
        <v>1.0</v>
      </c>
      <c r="K1176" s="8">
        <v>1.0</v>
      </c>
      <c r="L1176" s="8">
        <v>6.0</v>
      </c>
      <c r="M1176" s="8"/>
      <c r="N1176" s="8"/>
      <c r="O1176" s="8" t="s">
        <v>750</v>
      </c>
      <c r="P1176" s="8">
        <v>6.0</v>
      </c>
    </row>
    <row r="1177">
      <c r="A1177">
        <f>IFERROR(__xludf.DUMMYFUNCTION("""COMPUTED_VALUE"""),8.0)</f>
        <v>8</v>
      </c>
      <c r="B1177">
        <f>IFERROR(__xludf.DUMMYFUNCTION("""COMPUTED_VALUE"""),29062.0)</f>
        <v>29062</v>
      </c>
      <c r="C1177" t="str">
        <f>IFERROR(__xludf.DUMMYFUNCTION("""COMPUTED_VALUE"""),"KIM LEE, SAE YOON LUCAS")</f>
        <v>KIM LEE, SAE YOON LUCAS</v>
      </c>
      <c r="D1177" t="str">
        <f>IFERROR(__xludf.DUMMYFUNCTION("""COMPUTED_VALUE"""),"English 8")</f>
        <v>English 8</v>
      </c>
      <c r="E1177" s="31">
        <f>IFERROR(__xludf.DUMMYFUNCTION("""COMPUTED_VALUE"""),3.0)</f>
        <v>3</v>
      </c>
      <c r="F1177" s="8">
        <v>1.0</v>
      </c>
      <c r="G1177" s="8">
        <v>1.0</v>
      </c>
      <c r="H1177" s="8">
        <v>1.0</v>
      </c>
      <c r="I1177" s="8">
        <v>1.0</v>
      </c>
      <c r="J1177" s="8">
        <v>1.0</v>
      </c>
      <c r="K1177" s="8">
        <v>1.0</v>
      </c>
      <c r="L1177" s="8">
        <v>6.0</v>
      </c>
      <c r="M1177" s="8"/>
      <c r="N1177" s="8"/>
      <c r="O1177" s="8" t="s">
        <v>751</v>
      </c>
      <c r="P1177" s="8">
        <v>6.0</v>
      </c>
    </row>
    <row r="1178">
      <c r="A1178">
        <f>IFERROR(__xludf.DUMMYFUNCTION("""COMPUTED_VALUE"""),8.0)</f>
        <v>8</v>
      </c>
      <c r="B1178">
        <f>IFERROR(__xludf.DUMMYFUNCTION("""COMPUTED_VALUE"""),29064.0)</f>
        <v>29064</v>
      </c>
      <c r="C1178" t="str">
        <f>IFERROR(__xludf.DUMMYFUNCTION("""COMPUTED_VALUE"""),"LONDOÑO BAQUERO, EMILIA")</f>
        <v>LONDOÑO BAQUERO, EMILIA</v>
      </c>
      <c r="D1178" t="str">
        <f>IFERROR(__xludf.DUMMYFUNCTION("""COMPUTED_VALUE"""),"English 8")</f>
        <v>English 8</v>
      </c>
      <c r="E1178" s="31">
        <f>IFERROR(__xludf.DUMMYFUNCTION("""COMPUTED_VALUE"""),2.0)</f>
        <v>2</v>
      </c>
      <c r="F1178" s="8">
        <v>1.0</v>
      </c>
      <c r="G1178" s="8">
        <v>1.0</v>
      </c>
      <c r="H1178" s="8">
        <v>1.0</v>
      </c>
      <c r="I1178" s="8">
        <v>1.0</v>
      </c>
      <c r="J1178" s="8">
        <v>1.0</v>
      </c>
      <c r="K1178" s="8">
        <v>1.0</v>
      </c>
      <c r="L1178" s="8">
        <v>6.0</v>
      </c>
      <c r="M1178" s="8"/>
      <c r="N1178" s="8"/>
      <c r="O1178" s="8" t="s">
        <v>747</v>
      </c>
      <c r="P1178" s="8">
        <v>6.0</v>
      </c>
    </row>
    <row r="1179">
      <c r="A1179">
        <f>IFERROR(__xludf.DUMMYFUNCTION("""COMPUTED_VALUE"""),8.0)</f>
        <v>8</v>
      </c>
      <c r="B1179">
        <f>IFERROR(__xludf.DUMMYFUNCTION("""COMPUTED_VALUE"""),29065.0)</f>
        <v>29065</v>
      </c>
      <c r="C1179" t="str">
        <f>IFERROR(__xludf.DUMMYFUNCTION("""COMPUTED_VALUE"""),"LONDOÑO CUARTAS, TOMAS")</f>
        <v>LONDOÑO CUARTAS, TOMAS</v>
      </c>
      <c r="D1179" t="str">
        <f>IFERROR(__xludf.DUMMYFUNCTION("""COMPUTED_VALUE"""),"English 8")</f>
        <v>English 8</v>
      </c>
      <c r="E1179" s="31">
        <f>IFERROR(__xludf.DUMMYFUNCTION("""COMPUTED_VALUE"""),3.0)</f>
        <v>3</v>
      </c>
      <c r="F1179" s="8">
        <v>1.0</v>
      </c>
      <c r="G1179" s="8">
        <v>1.0</v>
      </c>
      <c r="H1179" s="8">
        <v>1.0</v>
      </c>
      <c r="I1179" s="8">
        <v>1.0</v>
      </c>
      <c r="J1179" s="8">
        <v>1.0</v>
      </c>
      <c r="K1179" s="8">
        <v>1.0</v>
      </c>
      <c r="L1179" s="8">
        <v>6.0</v>
      </c>
      <c r="M1179" s="8"/>
      <c r="N1179" s="8"/>
      <c r="O1179" s="8" t="s">
        <v>751</v>
      </c>
      <c r="P1179" s="8">
        <v>6.0</v>
      </c>
    </row>
    <row r="1180">
      <c r="A1180">
        <f>IFERROR(__xludf.DUMMYFUNCTION("""COMPUTED_VALUE"""),8.0)</f>
        <v>8</v>
      </c>
      <c r="B1180">
        <f>IFERROR(__xludf.DUMMYFUNCTION("""COMPUTED_VALUE"""),29066.0)</f>
        <v>29066</v>
      </c>
      <c r="C1180" t="str">
        <f>IFERROR(__xludf.DUMMYFUNCTION("""COMPUTED_VALUE"""),"LONDOÑO JARAMILLO, MARTINA")</f>
        <v>LONDOÑO JARAMILLO, MARTINA</v>
      </c>
      <c r="D1180" t="str">
        <f>IFERROR(__xludf.DUMMYFUNCTION("""COMPUTED_VALUE"""),"English 8")</f>
        <v>English 8</v>
      </c>
      <c r="E1180" s="31">
        <f>IFERROR(__xludf.DUMMYFUNCTION("""COMPUTED_VALUE"""),3.0)</f>
        <v>3</v>
      </c>
      <c r="F1180" s="8">
        <v>1.0</v>
      </c>
      <c r="G1180" s="8">
        <v>1.0</v>
      </c>
      <c r="H1180" s="8">
        <v>1.0</v>
      </c>
      <c r="I1180" s="8">
        <v>1.0</v>
      </c>
      <c r="J1180" s="8">
        <v>1.0</v>
      </c>
      <c r="K1180" s="8">
        <v>1.0</v>
      </c>
      <c r="L1180" s="8">
        <v>6.0</v>
      </c>
      <c r="M1180" s="8"/>
      <c r="N1180" s="8"/>
      <c r="O1180" s="8" t="s">
        <v>751</v>
      </c>
      <c r="P1180" s="8">
        <v>6.0</v>
      </c>
    </row>
    <row r="1181">
      <c r="A1181">
        <f>IFERROR(__xludf.DUMMYFUNCTION("""COMPUTED_VALUE"""),8.0)</f>
        <v>8</v>
      </c>
      <c r="B1181">
        <f>IFERROR(__xludf.DUMMYFUNCTION("""COMPUTED_VALUE"""),29068.0)</f>
        <v>29068</v>
      </c>
      <c r="C1181" t="str">
        <f>IFERROR(__xludf.DUMMYFUNCTION("""COMPUTED_VALUE"""),"LOPEZ JAIMES, VICENTE")</f>
        <v>LOPEZ JAIMES, VICENTE</v>
      </c>
      <c r="D1181" t="str">
        <f>IFERROR(__xludf.DUMMYFUNCTION("""COMPUTED_VALUE"""),"English 8")</f>
        <v>English 8</v>
      </c>
      <c r="E1181" s="31">
        <f>IFERROR(__xludf.DUMMYFUNCTION("""COMPUTED_VALUE"""),6.0)</f>
        <v>6</v>
      </c>
      <c r="F1181" s="8">
        <v>1.0</v>
      </c>
      <c r="G1181" s="8">
        <v>1.0</v>
      </c>
      <c r="H1181" s="8">
        <v>1.0</v>
      </c>
      <c r="I1181" s="8">
        <v>1.0</v>
      </c>
      <c r="J1181" s="8">
        <v>1.0</v>
      </c>
      <c r="K1181" s="8">
        <v>1.0</v>
      </c>
      <c r="L1181" s="8">
        <v>6.0</v>
      </c>
      <c r="M1181" s="8"/>
      <c r="N1181" s="8"/>
      <c r="O1181" s="8" t="s">
        <v>748</v>
      </c>
      <c r="P1181" s="8">
        <v>6.0</v>
      </c>
    </row>
    <row r="1182">
      <c r="A1182">
        <f>IFERROR(__xludf.DUMMYFUNCTION("""COMPUTED_VALUE"""),8.0)</f>
        <v>8</v>
      </c>
      <c r="B1182">
        <f>IFERROR(__xludf.DUMMYFUNCTION("""COMPUTED_VALUE"""),29069.0)</f>
        <v>29069</v>
      </c>
      <c r="C1182" t="str">
        <f>IFERROR(__xludf.DUMMYFUNCTION("""COMPUTED_VALUE"""),"LUNA ALZATE, AMALIA")</f>
        <v>LUNA ALZATE, AMALIA</v>
      </c>
      <c r="D1182" t="str">
        <f>IFERROR(__xludf.DUMMYFUNCTION("""COMPUTED_VALUE"""),"English 8")</f>
        <v>English 8</v>
      </c>
      <c r="E1182" s="31">
        <f>IFERROR(__xludf.DUMMYFUNCTION("""COMPUTED_VALUE"""),6.0)</f>
        <v>6</v>
      </c>
      <c r="F1182" s="8">
        <v>1.0</v>
      </c>
      <c r="G1182" s="8">
        <v>1.0</v>
      </c>
      <c r="H1182" s="8">
        <v>1.0</v>
      </c>
      <c r="I1182" s="8">
        <v>1.0</v>
      </c>
      <c r="J1182" s="8">
        <v>1.0</v>
      </c>
      <c r="K1182" s="8">
        <v>1.0</v>
      </c>
      <c r="L1182" s="8">
        <v>6.0</v>
      </c>
      <c r="M1182" s="8"/>
      <c r="N1182" s="8"/>
      <c r="O1182" s="8" t="s">
        <v>748</v>
      </c>
      <c r="P1182" s="8">
        <v>6.0</v>
      </c>
    </row>
    <row r="1183">
      <c r="A1183">
        <f>IFERROR(__xludf.DUMMYFUNCTION("""COMPUTED_VALUE"""),8.0)</f>
        <v>8</v>
      </c>
      <c r="B1183">
        <f>IFERROR(__xludf.DUMMYFUNCTION("""COMPUTED_VALUE"""),29070.0)</f>
        <v>29070</v>
      </c>
      <c r="C1183" t="str">
        <f>IFERROR(__xludf.DUMMYFUNCTION("""COMPUTED_VALUE"""),"MANRIQUE CUESTA, ISABELLA")</f>
        <v>MANRIQUE CUESTA, ISABELLA</v>
      </c>
      <c r="D1183" t="str">
        <f>IFERROR(__xludf.DUMMYFUNCTION("""COMPUTED_VALUE"""),"English 8")</f>
        <v>English 8</v>
      </c>
      <c r="E1183" s="31">
        <f>IFERROR(__xludf.DUMMYFUNCTION("""COMPUTED_VALUE"""),2.0)</f>
        <v>2</v>
      </c>
      <c r="F1183" s="8">
        <v>1.0</v>
      </c>
      <c r="G1183" s="8">
        <v>1.0</v>
      </c>
      <c r="H1183" s="8">
        <v>1.0</v>
      </c>
      <c r="I1183" s="8">
        <v>1.0</v>
      </c>
      <c r="J1183" s="8">
        <v>1.0</v>
      </c>
      <c r="K1183" s="8">
        <v>1.0</v>
      </c>
      <c r="L1183" s="8">
        <v>6.0</v>
      </c>
      <c r="M1183" s="8"/>
      <c r="N1183" s="8"/>
      <c r="O1183" s="8" t="s">
        <v>747</v>
      </c>
      <c r="P1183" s="8">
        <v>6.0</v>
      </c>
    </row>
    <row r="1184">
      <c r="A1184">
        <f>IFERROR(__xludf.DUMMYFUNCTION("""COMPUTED_VALUE"""),8.0)</f>
        <v>8</v>
      </c>
      <c r="B1184">
        <f>IFERROR(__xludf.DUMMYFUNCTION("""COMPUTED_VALUE"""),29071.0)</f>
        <v>29071</v>
      </c>
      <c r="C1184" t="str">
        <f>IFERROR(__xludf.DUMMYFUNCTION("""COMPUTED_VALUE"""),"MARQUEZ BARRERA, MIRANDA")</f>
        <v>MARQUEZ BARRERA, MIRANDA</v>
      </c>
      <c r="D1184" t="str">
        <f>IFERROR(__xludf.DUMMYFUNCTION("""COMPUTED_VALUE"""),"English 8")</f>
        <v>English 8</v>
      </c>
      <c r="E1184" s="31">
        <f>IFERROR(__xludf.DUMMYFUNCTION("""COMPUTED_VALUE"""),2.0)</f>
        <v>2</v>
      </c>
      <c r="F1184" s="8">
        <v>1.0</v>
      </c>
      <c r="G1184" s="8">
        <v>1.0</v>
      </c>
      <c r="H1184" s="8">
        <v>1.0</v>
      </c>
      <c r="I1184" s="8">
        <v>1.0</v>
      </c>
      <c r="J1184" s="8">
        <v>1.0</v>
      </c>
      <c r="K1184" s="8">
        <v>1.0</v>
      </c>
      <c r="L1184" s="8">
        <v>6.0</v>
      </c>
      <c r="M1184" s="8"/>
      <c r="N1184" s="8"/>
      <c r="O1184" s="8" t="s">
        <v>747</v>
      </c>
      <c r="P1184" s="8">
        <v>6.0</v>
      </c>
    </row>
    <row r="1185">
      <c r="A1185">
        <f>IFERROR(__xludf.DUMMYFUNCTION("""COMPUTED_VALUE"""),8.0)</f>
        <v>8</v>
      </c>
      <c r="B1185">
        <f>IFERROR(__xludf.DUMMYFUNCTION("""COMPUTED_VALUE"""),29072.0)</f>
        <v>29072</v>
      </c>
      <c r="C1185" t="str">
        <f>IFERROR(__xludf.DUMMYFUNCTION("""COMPUTED_VALUE"""),"MARQUEZ RAHAL, PEDRO")</f>
        <v>MARQUEZ RAHAL, PEDRO</v>
      </c>
      <c r="D1185" t="str">
        <f>IFERROR(__xludf.DUMMYFUNCTION("""COMPUTED_VALUE"""),"English 8")</f>
        <v>English 8</v>
      </c>
      <c r="E1185" s="31">
        <f>IFERROR(__xludf.DUMMYFUNCTION("""COMPUTED_VALUE"""),3.0)</f>
        <v>3</v>
      </c>
      <c r="F1185" s="8">
        <v>1.0</v>
      </c>
      <c r="G1185" s="8">
        <v>1.0</v>
      </c>
      <c r="H1185" s="8">
        <v>1.0</v>
      </c>
      <c r="I1185" s="8">
        <v>1.0</v>
      </c>
      <c r="J1185" s="8">
        <v>1.0</v>
      </c>
      <c r="K1185" s="8">
        <v>1.0</v>
      </c>
      <c r="L1185" s="8">
        <v>6.0</v>
      </c>
      <c r="M1185" s="8"/>
      <c r="N1185" s="8"/>
      <c r="O1185" s="8" t="s">
        <v>751</v>
      </c>
      <c r="P1185" s="8">
        <v>6.0</v>
      </c>
    </row>
    <row r="1186">
      <c r="A1186">
        <f>IFERROR(__xludf.DUMMYFUNCTION("""COMPUTED_VALUE"""),8.0)</f>
        <v>8</v>
      </c>
      <c r="B1186">
        <f>IFERROR(__xludf.DUMMYFUNCTION("""COMPUTED_VALUE"""),29073.0)</f>
        <v>29073</v>
      </c>
      <c r="C1186" t="str">
        <f>IFERROR(__xludf.DUMMYFUNCTION("""COMPUTED_VALUE"""),"MARRERO MARTA, ALINA")</f>
        <v>MARRERO MARTA, ALINA</v>
      </c>
      <c r="D1186" t="str">
        <f>IFERROR(__xludf.DUMMYFUNCTION("""COMPUTED_VALUE"""),"English 8")</f>
        <v>English 8</v>
      </c>
      <c r="E1186" s="31">
        <f>IFERROR(__xludf.DUMMYFUNCTION("""COMPUTED_VALUE"""),1.0)</f>
        <v>1</v>
      </c>
      <c r="F1186" s="8">
        <v>1.0</v>
      </c>
      <c r="G1186" s="8">
        <v>1.0</v>
      </c>
      <c r="H1186" s="8">
        <v>1.0</v>
      </c>
      <c r="I1186" s="8">
        <v>1.0</v>
      </c>
      <c r="J1186" s="8">
        <v>1.0</v>
      </c>
      <c r="K1186" s="8">
        <v>1.0</v>
      </c>
      <c r="L1186" s="8">
        <v>6.0</v>
      </c>
      <c r="M1186" s="8"/>
      <c r="N1186" s="8"/>
      <c r="O1186" s="8" t="s">
        <v>749</v>
      </c>
      <c r="P1186" s="8">
        <v>6.0</v>
      </c>
    </row>
    <row r="1187">
      <c r="A1187">
        <f>IFERROR(__xludf.DUMMYFUNCTION("""COMPUTED_VALUE"""),8.0)</f>
        <v>8</v>
      </c>
      <c r="B1187">
        <f>IFERROR(__xludf.DUMMYFUNCTION("""COMPUTED_VALUE"""),29074.0)</f>
        <v>29074</v>
      </c>
      <c r="C1187" t="str">
        <f>IFERROR(__xludf.DUMMYFUNCTION("""COMPUTED_VALUE"""),"MEDINA JARAMILLO, ALICIA")</f>
        <v>MEDINA JARAMILLO, ALICIA</v>
      </c>
      <c r="D1187" t="str">
        <f>IFERROR(__xludf.DUMMYFUNCTION("""COMPUTED_VALUE"""),"English 8")</f>
        <v>English 8</v>
      </c>
      <c r="E1187" s="31">
        <f>IFERROR(__xludf.DUMMYFUNCTION("""COMPUTED_VALUE"""),3.0)</f>
        <v>3</v>
      </c>
      <c r="F1187" s="8">
        <v>1.0</v>
      </c>
      <c r="G1187" s="8">
        <v>1.0</v>
      </c>
      <c r="H1187" s="8">
        <v>1.0</v>
      </c>
      <c r="I1187" s="8">
        <v>1.0</v>
      </c>
      <c r="J1187" s="8">
        <v>1.0</v>
      </c>
      <c r="K1187" s="8">
        <v>1.0</v>
      </c>
      <c r="L1187" s="8">
        <v>6.0</v>
      </c>
      <c r="M1187" s="8"/>
      <c r="N1187" s="8"/>
      <c r="O1187" s="8" t="s">
        <v>751</v>
      </c>
      <c r="P1187" s="8">
        <v>6.0</v>
      </c>
    </row>
    <row r="1188">
      <c r="A1188">
        <f>IFERROR(__xludf.DUMMYFUNCTION("""COMPUTED_VALUE"""),8.0)</f>
        <v>8</v>
      </c>
      <c r="B1188">
        <f>IFERROR(__xludf.DUMMYFUNCTION("""COMPUTED_VALUE"""),29075.0)</f>
        <v>29075</v>
      </c>
      <c r="C1188" t="str">
        <f>IFERROR(__xludf.DUMMYFUNCTION("""COMPUTED_VALUE"""),"MEJIA BUSTAMANTE, ANTONIA")</f>
        <v>MEJIA BUSTAMANTE, ANTONIA</v>
      </c>
      <c r="D1188" t="str">
        <f>IFERROR(__xludf.DUMMYFUNCTION("""COMPUTED_VALUE"""),"English 8")</f>
        <v>English 8</v>
      </c>
      <c r="E1188" s="31">
        <f>IFERROR(__xludf.DUMMYFUNCTION("""COMPUTED_VALUE"""),2.0)</f>
        <v>2</v>
      </c>
      <c r="F1188" s="8">
        <v>1.0</v>
      </c>
      <c r="G1188" s="8">
        <v>1.0</v>
      </c>
      <c r="H1188" s="8">
        <v>1.0</v>
      </c>
      <c r="I1188" s="8">
        <v>1.0</v>
      </c>
      <c r="J1188" s="8">
        <v>1.0</v>
      </c>
      <c r="K1188" s="8">
        <v>1.0</v>
      </c>
      <c r="L1188" s="8">
        <v>6.0</v>
      </c>
      <c r="M1188" s="8"/>
      <c r="N1188" s="8"/>
      <c r="O1188" s="8" t="s">
        <v>747</v>
      </c>
      <c r="P1188" s="8">
        <v>6.0</v>
      </c>
    </row>
    <row r="1189">
      <c r="A1189">
        <f>IFERROR(__xludf.DUMMYFUNCTION("""COMPUTED_VALUE"""),8.0)</f>
        <v>8</v>
      </c>
      <c r="B1189">
        <f>IFERROR(__xludf.DUMMYFUNCTION("""COMPUTED_VALUE"""),29076.0)</f>
        <v>29076</v>
      </c>
      <c r="C1189" t="str">
        <f>IFERROR(__xludf.DUMMYFUNCTION("""COMPUTED_VALUE"""),"MEJIA MANTILLA, MATEO")</f>
        <v>MEJIA MANTILLA, MATEO</v>
      </c>
      <c r="D1189" t="str">
        <f>IFERROR(__xludf.DUMMYFUNCTION("""COMPUTED_VALUE"""),"English 8")</f>
        <v>English 8</v>
      </c>
      <c r="E1189" s="31">
        <f>IFERROR(__xludf.DUMMYFUNCTION("""COMPUTED_VALUE"""),1.0)</f>
        <v>1</v>
      </c>
      <c r="F1189" s="8">
        <v>1.0</v>
      </c>
      <c r="G1189" s="8">
        <v>1.0</v>
      </c>
      <c r="H1189" s="8">
        <v>1.0</v>
      </c>
      <c r="I1189" s="8">
        <v>1.0</v>
      </c>
      <c r="J1189" s="8">
        <v>1.0</v>
      </c>
      <c r="K1189" s="8">
        <v>1.0</v>
      </c>
      <c r="L1189" s="8">
        <v>6.0</v>
      </c>
      <c r="M1189" s="8"/>
      <c r="N1189" s="8"/>
      <c r="O1189" s="8" t="s">
        <v>749</v>
      </c>
      <c r="P1189" s="8">
        <v>6.0</v>
      </c>
    </row>
    <row r="1190">
      <c r="A1190">
        <f>IFERROR(__xludf.DUMMYFUNCTION("""COMPUTED_VALUE"""),8.0)</f>
        <v>8</v>
      </c>
      <c r="B1190">
        <f>IFERROR(__xludf.DUMMYFUNCTION("""COMPUTED_VALUE"""),29077.0)</f>
        <v>29077</v>
      </c>
      <c r="C1190" t="str">
        <f>IFERROR(__xludf.DUMMYFUNCTION("""COMPUTED_VALUE"""),"MEJIA VILLEGAS, CANDELARIA")</f>
        <v>MEJIA VILLEGAS, CANDELARIA</v>
      </c>
      <c r="D1190" t="str">
        <f>IFERROR(__xludf.DUMMYFUNCTION("""COMPUTED_VALUE"""),"English 8")</f>
        <v>English 8</v>
      </c>
      <c r="E1190" s="31">
        <f>IFERROR(__xludf.DUMMYFUNCTION("""COMPUTED_VALUE"""),2.0)</f>
        <v>2</v>
      </c>
      <c r="F1190" s="8">
        <v>1.0</v>
      </c>
      <c r="G1190" s="8">
        <v>1.0</v>
      </c>
      <c r="H1190" s="8">
        <v>1.0</v>
      </c>
      <c r="I1190" s="8">
        <v>1.0</v>
      </c>
      <c r="J1190" s="8">
        <v>1.0</v>
      </c>
      <c r="K1190" s="8">
        <v>1.0</v>
      </c>
      <c r="L1190" s="8">
        <v>6.0</v>
      </c>
      <c r="M1190" s="8"/>
      <c r="N1190" s="8"/>
      <c r="O1190" s="8" t="s">
        <v>747</v>
      </c>
      <c r="P1190" s="8">
        <v>6.0</v>
      </c>
    </row>
    <row r="1191">
      <c r="A1191">
        <f>IFERROR(__xludf.DUMMYFUNCTION("""COMPUTED_VALUE"""),8.0)</f>
        <v>8</v>
      </c>
      <c r="B1191">
        <f>IFERROR(__xludf.DUMMYFUNCTION("""COMPUTED_VALUE"""),29079.0)</f>
        <v>29079</v>
      </c>
      <c r="C1191" t="str">
        <f>IFERROR(__xludf.DUMMYFUNCTION("""COMPUTED_VALUE"""),"MISAS MESA, ALICIA")</f>
        <v>MISAS MESA, ALICIA</v>
      </c>
      <c r="D1191" t="str">
        <f>IFERROR(__xludf.DUMMYFUNCTION("""COMPUTED_VALUE"""),"English 8")</f>
        <v>English 8</v>
      </c>
      <c r="E1191" s="31">
        <f>IFERROR(__xludf.DUMMYFUNCTION("""COMPUTED_VALUE"""),2.0)</f>
        <v>2</v>
      </c>
      <c r="F1191" s="8">
        <v>1.0</v>
      </c>
      <c r="G1191" s="8">
        <v>1.0</v>
      </c>
      <c r="H1191" s="8">
        <v>1.0</v>
      </c>
      <c r="I1191" s="8">
        <v>1.0</v>
      </c>
      <c r="J1191" s="8">
        <v>1.0</v>
      </c>
      <c r="K1191" s="8">
        <v>1.0</v>
      </c>
      <c r="L1191" s="8">
        <v>6.0</v>
      </c>
      <c r="M1191" s="8"/>
      <c r="N1191" s="8"/>
      <c r="O1191" s="8" t="s">
        <v>747</v>
      </c>
      <c r="P1191" s="8">
        <v>6.0</v>
      </c>
    </row>
    <row r="1192">
      <c r="A1192">
        <f>IFERROR(__xludf.DUMMYFUNCTION("""COMPUTED_VALUE"""),8.0)</f>
        <v>8</v>
      </c>
      <c r="B1192">
        <f>IFERROR(__xludf.DUMMYFUNCTION("""COMPUTED_VALUE"""),29153.0)</f>
        <v>29153</v>
      </c>
      <c r="C1192" t="str">
        <f>IFERROR(__xludf.DUMMYFUNCTION("""COMPUTED_VALUE"""),"MISERENDINO MUÑOZ, GABRIEL")</f>
        <v>MISERENDINO MUÑOZ, GABRIEL</v>
      </c>
      <c r="D1192" t="str">
        <f>IFERROR(__xludf.DUMMYFUNCTION("""COMPUTED_VALUE"""),"English 8")</f>
        <v>English 8</v>
      </c>
      <c r="E1192" s="31">
        <f>IFERROR(__xludf.DUMMYFUNCTION("""COMPUTED_VALUE"""),2.0)</f>
        <v>2</v>
      </c>
      <c r="F1192" s="8">
        <v>1.0</v>
      </c>
      <c r="G1192" s="8">
        <v>1.0</v>
      </c>
      <c r="H1192" s="8">
        <v>1.0</v>
      </c>
      <c r="I1192" s="8">
        <v>1.0</v>
      </c>
      <c r="J1192" s="8">
        <v>1.0</v>
      </c>
      <c r="K1192" s="8">
        <v>1.0</v>
      </c>
      <c r="L1192" s="8">
        <v>6.0</v>
      </c>
      <c r="M1192" s="8"/>
      <c r="N1192" s="8"/>
      <c r="O1192" s="8" t="s">
        <v>747</v>
      </c>
      <c r="P1192" s="8">
        <v>6.0</v>
      </c>
    </row>
    <row r="1193">
      <c r="A1193">
        <f>IFERROR(__xludf.DUMMYFUNCTION("""COMPUTED_VALUE"""),8.0)</f>
        <v>8</v>
      </c>
      <c r="B1193">
        <f>IFERROR(__xludf.DUMMYFUNCTION("""COMPUTED_VALUE"""),29143.0)</f>
        <v>29143</v>
      </c>
      <c r="C1193" t="str">
        <f>IFERROR(__xludf.DUMMYFUNCTION("""COMPUTED_VALUE"""),"MOLANO MESA, CARMEN")</f>
        <v>MOLANO MESA, CARMEN</v>
      </c>
      <c r="D1193" t="str">
        <f>IFERROR(__xludf.DUMMYFUNCTION("""COMPUTED_VALUE"""),"English 8A")</f>
        <v>English 8A</v>
      </c>
      <c r="E1193" s="31">
        <f>IFERROR(__xludf.DUMMYFUNCTION("""COMPUTED_VALUE"""),6.0)</f>
        <v>6</v>
      </c>
      <c r="F1193" s="8">
        <v>1.0</v>
      </c>
      <c r="G1193" s="8">
        <v>1.0</v>
      </c>
      <c r="H1193" s="8">
        <v>1.0</v>
      </c>
      <c r="I1193" s="8">
        <v>1.0</v>
      </c>
      <c r="J1193" s="8">
        <v>1.0</v>
      </c>
      <c r="K1193" s="8">
        <v>1.0</v>
      </c>
      <c r="L1193" s="8">
        <v>6.0</v>
      </c>
      <c r="M1193" s="8"/>
      <c r="N1193" s="8"/>
      <c r="O1193" s="8" t="s">
        <v>752</v>
      </c>
      <c r="P1193" s="8" t="e">
        <v>#N/A</v>
      </c>
    </row>
    <row r="1194">
      <c r="A1194">
        <f>IFERROR(__xludf.DUMMYFUNCTION("""COMPUTED_VALUE"""),8.0)</f>
        <v>8</v>
      </c>
      <c r="B1194">
        <f>IFERROR(__xludf.DUMMYFUNCTION("""COMPUTED_VALUE"""),29080.0)</f>
        <v>29080</v>
      </c>
      <c r="C1194" t="str">
        <f>IFERROR(__xludf.DUMMYFUNCTION("""COMPUTED_VALUE"""),"MONTES LOPEZ, MANUELA")</f>
        <v>MONTES LOPEZ, MANUELA</v>
      </c>
      <c r="D1194" t="str">
        <f>IFERROR(__xludf.DUMMYFUNCTION("""COMPUTED_VALUE"""),"English 8")</f>
        <v>English 8</v>
      </c>
      <c r="E1194" s="31">
        <f>IFERROR(__xludf.DUMMYFUNCTION("""COMPUTED_VALUE"""),3.0)</f>
        <v>3</v>
      </c>
      <c r="F1194" s="8">
        <v>1.0</v>
      </c>
      <c r="G1194" s="8">
        <v>1.0</v>
      </c>
      <c r="H1194" s="8">
        <v>1.0</v>
      </c>
      <c r="I1194" s="8">
        <v>1.0</v>
      </c>
      <c r="J1194" s="8">
        <v>1.0</v>
      </c>
      <c r="K1194" s="8">
        <v>1.0</v>
      </c>
      <c r="L1194" s="8">
        <v>6.0</v>
      </c>
      <c r="M1194" s="8"/>
      <c r="N1194" s="8"/>
      <c r="O1194" s="8" t="s">
        <v>751</v>
      </c>
      <c r="P1194" s="8">
        <v>6.0</v>
      </c>
    </row>
    <row r="1195">
      <c r="A1195">
        <f>IFERROR(__xludf.DUMMYFUNCTION("""COMPUTED_VALUE"""),8.0)</f>
        <v>8</v>
      </c>
      <c r="B1195">
        <f>IFERROR(__xludf.DUMMYFUNCTION("""COMPUTED_VALUE"""),29081.0)</f>
        <v>29081</v>
      </c>
      <c r="C1195" t="str">
        <f>IFERROR(__xludf.DUMMYFUNCTION("""COMPUTED_VALUE"""),"MORA JARAMILLO, ALICIA")</f>
        <v>MORA JARAMILLO, ALICIA</v>
      </c>
      <c r="D1195" t="str">
        <f>IFERROR(__xludf.DUMMYFUNCTION("""COMPUTED_VALUE"""),"English 8A")</f>
        <v>English 8A</v>
      </c>
      <c r="E1195" s="31">
        <f>IFERROR(__xludf.DUMMYFUNCTION("""COMPUTED_VALUE"""),6.0)</f>
        <v>6</v>
      </c>
      <c r="F1195" s="8">
        <v>1.0</v>
      </c>
      <c r="G1195" s="8">
        <v>1.0</v>
      </c>
      <c r="H1195" s="8">
        <v>1.0</v>
      </c>
      <c r="I1195" s="8">
        <v>1.0</v>
      </c>
      <c r="J1195" s="8">
        <v>1.0</v>
      </c>
      <c r="K1195" s="8">
        <v>1.0</v>
      </c>
      <c r="L1195" s="8">
        <v>6.0</v>
      </c>
      <c r="M1195" s="8"/>
      <c r="N1195" s="8"/>
      <c r="O1195" s="8" t="s">
        <v>752</v>
      </c>
      <c r="P1195" s="8" t="e">
        <v>#N/A</v>
      </c>
    </row>
    <row r="1196">
      <c r="A1196">
        <f>IFERROR(__xludf.DUMMYFUNCTION("""COMPUTED_VALUE"""),8.0)</f>
        <v>8</v>
      </c>
      <c r="B1196">
        <f>IFERROR(__xludf.DUMMYFUNCTION("""COMPUTED_VALUE"""),29083.0)</f>
        <v>29083</v>
      </c>
      <c r="C1196" t="str">
        <f>IFERROR(__xludf.DUMMYFUNCTION("""COMPUTED_VALUE"""),"NAVARRO ZULUAGA, SOFIA")</f>
        <v>NAVARRO ZULUAGA, SOFIA</v>
      </c>
      <c r="D1196" t="str">
        <f>IFERROR(__xludf.DUMMYFUNCTION("""COMPUTED_VALUE"""),"English 8")</f>
        <v>English 8</v>
      </c>
      <c r="E1196" s="31">
        <f>IFERROR(__xludf.DUMMYFUNCTION("""COMPUTED_VALUE"""),5.0)</f>
        <v>5</v>
      </c>
      <c r="F1196" s="8">
        <v>1.0</v>
      </c>
      <c r="G1196" s="8">
        <v>1.0</v>
      </c>
      <c r="H1196" s="8">
        <v>1.0</v>
      </c>
      <c r="I1196" s="8">
        <v>1.0</v>
      </c>
      <c r="J1196" s="8">
        <v>1.0</v>
      </c>
      <c r="K1196" s="8">
        <v>1.0</v>
      </c>
      <c r="L1196" s="8">
        <v>6.0</v>
      </c>
      <c r="M1196" s="8"/>
      <c r="N1196" s="8"/>
      <c r="O1196" s="8" t="s">
        <v>750</v>
      </c>
      <c r="P1196" s="8">
        <v>6.0</v>
      </c>
    </row>
    <row r="1197">
      <c r="A1197">
        <f>IFERROR(__xludf.DUMMYFUNCTION("""COMPUTED_VALUE"""),8.0)</f>
        <v>8</v>
      </c>
      <c r="B1197">
        <f>IFERROR(__xludf.DUMMYFUNCTION("""COMPUTED_VALUE"""),29158.0)</f>
        <v>29158</v>
      </c>
      <c r="C1197" t="str">
        <f>IFERROR(__xludf.DUMMYFUNCTION("""COMPUTED_VALUE"""),"NIEHAUS TRUJILLO, MICHELLE")</f>
        <v>NIEHAUS TRUJILLO, MICHELLE</v>
      </c>
      <c r="D1197" t="str">
        <f>IFERROR(__xludf.DUMMYFUNCTION("""COMPUTED_VALUE"""),"English 8A")</f>
        <v>English 8A</v>
      </c>
      <c r="E1197" s="31">
        <f>IFERROR(__xludf.DUMMYFUNCTION("""COMPUTED_VALUE"""),6.0)</f>
        <v>6</v>
      </c>
      <c r="F1197" s="8">
        <v>1.0</v>
      </c>
      <c r="G1197" s="8">
        <v>1.0</v>
      </c>
      <c r="H1197" s="8">
        <v>1.0</v>
      </c>
      <c r="I1197" s="8">
        <v>1.0</v>
      </c>
      <c r="J1197" s="8">
        <v>1.0</v>
      </c>
      <c r="K1197" s="8">
        <v>1.0</v>
      </c>
      <c r="L1197" s="8">
        <v>6.0</v>
      </c>
      <c r="M1197" s="8"/>
      <c r="N1197" s="8"/>
      <c r="O1197" s="8" t="s">
        <v>752</v>
      </c>
      <c r="P1197" s="8" t="e">
        <v>#N/A</v>
      </c>
    </row>
    <row r="1198">
      <c r="A1198">
        <f>IFERROR(__xludf.DUMMYFUNCTION("""COMPUTED_VALUE"""),8.0)</f>
        <v>8</v>
      </c>
      <c r="B1198">
        <f>IFERROR(__xludf.DUMMYFUNCTION("""COMPUTED_VALUE"""),29137.0)</f>
        <v>29137</v>
      </c>
      <c r="C1198" t="str">
        <f>IFERROR(__xludf.DUMMYFUNCTION("""COMPUTED_VALUE"""),"OLARTE JARAMILLO, EMILIO")</f>
        <v>OLARTE JARAMILLO, EMILIO</v>
      </c>
      <c r="D1198" t="str">
        <f>IFERROR(__xludf.DUMMYFUNCTION("""COMPUTED_VALUE"""),"English 8")</f>
        <v>English 8</v>
      </c>
      <c r="E1198" s="31">
        <f>IFERROR(__xludf.DUMMYFUNCTION("""COMPUTED_VALUE"""),5.0)</f>
        <v>5</v>
      </c>
      <c r="F1198" s="8">
        <v>1.0</v>
      </c>
      <c r="G1198" s="8">
        <v>1.0</v>
      </c>
      <c r="H1198" s="8">
        <v>1.0</v>
      </c>
      <c r="I1198" s="8">
        <v>1.0</v>
      </c>
      <c r="J1198" s="8">
        <v>1.0</v>
      </c>
      <c r="K1198" s="8">
        <v>1.0</v>
      </c>
      <c r="L1198" s="8">
        <v>6.0</v>
      </c>
      <c r="M1198" s="8"/>
      <c r="N1198" s="8"/>
      <c r="O1198" s="8" t="s">
        <v>750</v>
      </c>
      <c r="P1198" s="8">
        <v>6.0</v>
      </c>
    </row>
    <row r="1199">
      <c r="A1199">
        <f>IFERROR(__xludf.DUMMYFUNCTION("""COMPUTED_VALUE"""),8.0)</f>
        <v>8</v>
      </c>
      <c r="B1199">
        <f>IFERROR(__xludf.DUMMYFUNCTION("""COMPUTED_VALUE"""),28077.0)</f>
        <v>28077</v>
      </c>
      <c r="C1199" t="str">
        <f>IFERROR(__xludf.DUMMYFUNCTION("""COMPUTED_VALUE"""),"OLIVEIRA CASTAÑO, MARIANA")</f>
        <v>OLIVEIRA CASTAÑO, MARIANA</v>
      </c>
      <c r="D1199" t="str">
        <f>IFERROR(__xludf.DUMMYFUNCTION("""COMPUTED_VALUE"""),"English 8")</f>
        <v>English 8</v>
      </c>
      <c r="E1199" s="31">
        <f>IFERROR(__xludf.DUMMYFUNCTION("""COMPUTED_VALUE"""),6.0)</f>
        <v>6</v>
      </c>
      <c r="F1199" s="8">
        <v>1.0</v>
      </c>
      <c r="G1199" s="8">
        <v>1.0</v>
      </c>
      <c r="H1199" s="8">
        <v>1.0</v>
      </c>
      <c r="I1199" s="8">
        <v>1.0</v>
      </c>
      <c r="J1199" s="8">
        <v>1.0</v>
      </c>
      <c r="K1199" s="8">
        <v>1.0</v>
      </c>
      <c r="L1199" s="8">
        <v>6.0</v>
      </c>
      <c r="M1199" s="8"/>
      <c r="N1199" s="8"/>
      <c r="O1199" s="8" t="s">
        <v>748</v>
      </c>
      <c r="P1199" s="8">
        <v>6.0</v>
      </c>
    </row>
    <row r="1200">
      <c r="A1200">
        <f>IFERROR(__xludf.DUMMYFUNCTION("""COMPUTED_VALUE"""),8.0)</f>
        <v>8</v>
      </c>
      <c r="B1200">
        <f>IFERROR(__xludf.DUMMYFUNCTION("""COMPUTED_VALUE"""),29084.0)</f>
        <v>29084</v>
      </c>
      <c r="C1200" t="str">
        <f>IFERROR(__xludf.DUMMYFUNCTION("""COMPUTED_VALUE"""),"OROZCO MONTOYA, ANTONIA")</f>
        <v>OROZCO MONTOYA, ANTONIA</v>
      </c>
      <c r="D1200" t="str">
        <f>IFERROR(__xludf.DUMMYFUNCTION("""COMPUTED_VALUE"""),"English 8")</f>
        <v>English 8</v>
      </c>
      <c r="E1200" s="31">
        <f>IFERROR(__xludf.DUMMYFUNCTION("""COMPUTED_VALUE"""),3.0)</f>
        <v>3</v>
      </c>
      <c r="F1200" s="8">
        <v>1.0</v>
      </c>
      <c r="G1200" s="8">
        <v>1.0</v>
      </c>
      <c r="H1200" s="8">
        <v>1.0</v>
      </c>
      <c r="I1200" s="8">
        <v>1.0</v>
      </c>
      <c r="J1200" s="8">
        <v>1.0</v>
      </c>
      <c r="K1200" s="8">
        <v>1.0</v>
      </c>
      <c r="L1200" s="8">
        <v>6.0</v>
      </c>
      <c r="M1200" s="8"/>
      <c r="N1200" s="8"/>
      <c r="O1200" s="8" t="s">
        <v>751</v>
      </c>
      <c r="P1200" s="8">
        <v>6.0</v>
      </c>
    </row>
    <row r="1201">
      <c r="A1201">
        <f>IFERROR(__xludf.DUMMYFUNCTION("""COMPUTED_VALUE"""),8.0)</f>
        <v>8</v>
      </c>
      <c r="B1201">
        <f>IFERROR(__xludf.DUMMYFUNCTION("""COMPUTED_VALUE"""),29148.0)</f>
        <v>29148</v>
      </c>
      <c r="C1201" t="str">
        <f>IFERROR(__xludf.DUMMYFUNCTION("""COMPUTED_VALUE"""),"OSORIO ARISTIZABAL, MATIAS")</f>
        <v>OSORIO ARISTIZABAL, MATIAS</v>
      </c>
      <c r="D1201" t="str">
        <f>IFERROR(__xludf.DUMMYFUNCTION("""COMPUTED_VALUE"""),"English 8")</f>
        <v>English 8</v>
      </c>
      <c r="E1201" s="31">
        <f>IFERROR(__xludf.DUMMYFUNCTION("""COMPUTED_VALUE"""),3.0)</f>
        <v>3</v>
      </c>
      <c r="F1201" s="8">
        <v>1.0</v>
      </c>
      <c r="G1201" s="8">
        <v>1.0</v>
      </c>
      <c r="H1201" s="8">
        <v>1.0</v>
      </c>
      <c r="I1201" s="8">
        <v>1.0</v>
      </c>
      <c r="J1201" s="8">
        <v>1.0</v>
      </c>
      <c r="K1201" s="8">
        <v>1.0</v>
      </c>
      <c r="L1201" s="8">
        <v>6.0</v>
      </c>
      <c r="M1201" s="8"/>
      <c r="N1201" s="8"/>
      <c r="O1201" s="8" t="s">
        <v>751</v>
      </c>
      <c r="P1201" s="8">
        <v>6.0</v>
      </c>
    </row>
    <row r="1202">
      <c r="A1202">
        <f>IFERROR(__xludf.DUMMYFUNCTION("""COMPUTED_VALUE"""),8.0)</f>
        <v>8</v>
      </c>
      <c r="B1202">
        <f>IFERROR(__xludf.DUMMYFUNCTION("""COMPUTED_VALUE"""),29085.0)</f>
        <v>29085</v>
      </c>
      <c r="C1202" t="str">
        <f>IFERROR(__xludf.DUMMYFUNCTION("""COMPUTED_VALUE"""),"OTALVARO ABAD, JUAN MARTIN")</f>
        <v>OTALVARO ABAD, JUAN MARTIN</v>
      </c>
      <c r="D1202" t="str">
        <f>IFERROR(__xludf.DUMMYFUNCTION("""COMPUTED_VALUE"""),"English 8A")</f>
        <v>English 8A</v>
      </c>
      <c r="E1202" s="31">
        <f>IFERROR(__xludf.DUMMYFUNCTION("""COMPUTED_VALUE"""),6.0)</f>
        <v>6</v>
      </c>
      <c r="F1202" s="8">
        <v>1.0</v>
      </c>
      <c r="G1202" s="8">
        <v>1.0</v>
      </c>
      <c r="H1202" s="8">
        <v>1.0</v>
      </c>
      <c r="I1202" s="8">
        <v>1.0</v>
      </c>
      <c r="J1202" s="8">
        <v>1.0</v>
      </c>
      <c r="K1202" s="8">
        <v>1.0</v>
      </c>
      <c r="L1202" s="8">
        <v>6.0</v>
      </c>
      <c r="M1202" s="8"/>
      <c r="N1202" s="8"/>
      <c r="O1202" s="8" t="s">
        <v>752</v>
      </c>
      <c r="P1202" s="8" t="e">
        <v>#N/A</v>
      </c>
    </row>
    <row r="1203">
      <c r="A1203">
        <f>IFERROR(__xludf.DUMMYFUNCTION("""COMPUTED_VALUE"""),8.0)</f>
        <v>8</v>
      </c>
      <c r="B1203">
        <f>IFERROR(__xludf.DUMMYFUNCTION("""COMPUTED_VALUE"""),29159.0)</f>
        <v>29159</v>
      </c>
      <c r="C1203" t="str">
        <f>IFERROR(__xludf.DUMMYFUNCTION("""COMPUTED_VALUE"""),"PACHECO GARCIA, MARIANA")</f>
        <v>PACHECO GARCIA, MARIANA</v>
      </c>
      <c r="D1203" t="str">
        <f>IFERROR(__xludf.DUMMYFUNCTION("""COMPUTED_VALUE"""),"English 8A")</f>
        <v>English 8A</v>
      </c>
      <c r="E1203" s="31">
        <f>IFERROR(__xludf.DUMMYFUNCTION("""COMPUTED_VALUE"""),6.0)</f>
        <v>6</v>
      </c>
      <c r="F1203" s="8">
        <v>1.0</v>
      </c>
      <c r="G1203" s="8">
        <v>1.0</v>
      </c>
      <c r="H1203" s="8">
        <v>1.0</v>
      </c>
      <c r="I1203" s="8">
        <v>1.0</v>
      </c>
      <c r="J1203" s="8">
        <v>1.0</v>
      </c>
      <c r="K1203" s="8">
        <v>1.0</v>
      </c>
      <c r="L1203" s="8">
        <v>6.0</v>
      </c>
      <c r="M1203" s="8"/>
      <c r="N1203" s="8"/>
      <c r="O1203" s="8" t="s">
        <v>752</v>
      </c>
      <c r="P1203" s="8" t="e">
        <v>#N/A</v>
      </c>
    </row>
    <row r="1204">
      <c r="A1204">
        <f>IFERROR(__xludf.DUMMYFUNCTION("""COMPUTED_VALUE"""),8.0)</f>
        <v>8</v>
      </c>
      <c r="B1204">
        <f>IFERROR(__xludf.DUMMYFUNCTION("""COMPUTED_VALUE"""),29087.0)</f>
        <v>29087</v>
      </c>
      <c r="C1204" t="str">
        <f>IFERROR(__xludf.DUMMYFUNCTION("""COMPUTED_VALUE"""),"PALACIO BOTERO, MATIAS")</f>
        <v>PALACIO BOTERO, MATIAS</v>
      </c>
      <c r="D1204" t="str">
        <f>IFERROR(__xludf.DUMMYFUNCTION("""COMPUTED_VALUE"""),"English 8")</f>
        <v>English 8</v>
      </c>
      <c r="E1204" s="31">
        <f>IFERROR(__xludf.DUMMYFUNCTION("""COMPUTED_VALUE"""),6.0)</f>
        <v>6</v>
      </c>
      <c r="F1204" s="8">
        <v>1.0</v>
      </c>
      <c r="G1204" s="8">
        <v>1.0</v>
      </c>
      <c r="H1204" s="8">
        <v>1.0</v>
      </c>
      <c r="I1204" s="8">
        <v>1.0</v>
      </c>
      <c r="J1204" s="8">
        <v>1.0</v>
      </c>
      <c r="K1204" s="8">
        <v>1.0</v>
      </c>
      <c r="L1204" s="8">
        <v>6.0</v>
      </c>
      <c r="M1204" s="8"/>
      <c r="N1204" s="8"/>
      <c r="O1204" s="8" t="s">
        <v>748</v>
      </c>
      <c r="P1204" s="8">
        <v>6.0</v>
      </c>
    </row>
    <row r="1205">
      <c r="A1205">
        <f>IFERROR(__xludf.DUMMYFUNCTION("""COMPUTED_VALUE"""),8.0)</f>
        <v>8</v>
      </c>
      <c r="B1205">
        <f>IFERROR(__xludf.DUMMYFUNCTION("""COMPUTED_VALUE"""),29088.0)</f>
        <v>29088</v>
      </c>
      <c r="C1205" t="str">
        <f>IFERROR(__xludf.DUMMYFUNCTION("""COMPUTED_VALUE"""),"PEREZ ALVARADO, SARA")</f>
        <v>PEREZ ALVARADO, SARA</v>
      </c>
      <c r="D1205" t="str">
        <f>IFERROR(__xludf.DUMMYFUNCTION("""COMPUTED_VALUE"""),"English 8")</f>
        <v>English 8</v>
      </c>
      <c r="E1205" s="31">
        <f>IFERROR(__xludf.DUMMYFUNCTION("""COMPUTED_VALUE"""),3.0)</f>
        <v>3</v>
      </c>
      <c r="F1205" s="8">
        <v>1.0</v>
      </c>
      <c r="G1205" s="8">
        <v>1.0</v>
      </c>
      <c r="H1205" s="8">
        <v>1.0</v>
      </c>
      <c r="I1205" s="8">
        <v>1.0</v>
      </c>
      <c r="J1205" s="8">
        <v>1.0</v>
      </c>
      <c r="K1205" s="8">
        <v>1.0</v>
      </c>
      <c r="L1205" s="8">
        <v>6.0</v>
      </c>
      <c r="M1205" s="8"/>
      <c r="N1205" s="8"/>
      <c r="O1205" s="8" t="s">
        <v>751</v>
      </c>
      <c r="P1205" s="8">
        <v>6.0</v>
      </c>
    </row>
    <row r="1206">
      <c r="A1206">
        <f>IFERROR(__xludf.DUMMYFUNCTION("""COMPUTED_VALUE"""),8.0)</f>
        <v>8</v>
      </c>
      <c r="B1206">
        <f>IFERROR(__xludf.DUMMYFUNCTION("""COMPUTED_VALUE"""),29089.0)</f>
        <v>29089</v>
      </c>
      <c r="C1206" t="str">
        <f>IFERROR(__xludf.DUMMYFUNCTION("""COMPUTED_VALUE"""),"PEREZ BEDOYA, ELENA")</f>
        <v>PEREZ BEDOYA, ELENA</v>
      </c>
      <c r="D1206" t="str">
        <f>IFERROR(__xludf.DUMMYFUNCTION("""COMPUTED_VALUE"""),"English 8")</f>
        <v>English 8</v>
      </c>
      <c r="E1206" s="31">
        <f>IFERROR(__xludf.DUMMYFUNCTION("""COMPUTED_VALUE"""),2.0)</f>
        <v>2</v>
      </c>
      <c r="F1206" s="8">
        <v>1.0</v>
      </c>
      <c r="G1206" s="8">
        <v>1.0</v>
      </c>
      <c r="H1206" s="8">
        <v>1.0</v>
      </c>
      <c r="I1206" s="8">
        <v>1.0</v>
      </c>
      <c r="J1206" s="8">
        <v>1.0</v>
      </c>
      <c r="K1206" s="8">
        <v>1.0</v>
      </c>
      <c r="L1206" s="8">
        <v>6.0</v>
      </c>
      <c r="M1206" s="8"/>
      <c r="N1206" s="8"/>
      <c r="O1206" s="8" t="s">
        <v>747</v>
      </c>
      <c r="P1206" s="8">
        <v>6.0</v>
      </c>
    </row>
    <row r="1207">
      <c r="A1207">
        <f>IFERROR(__xludf.DUMMYFUNCTION("""COMPUTED_VALUE"""),8.0)</f>
        <v>8</v>
      </c>
      <c r="B1207">
        <f>IFERROR(__xludf.DUMMYFUNCTION("""COMPUTED_VALUE"""),29157.0)</f>
        <v>29157</v>
      </c>
      <c r="C1207" t="str">
        <f>IFERROR(__xludf.DUMMYFUNCTION("""COMPUTED_VALUE"""),"PETTERSSON VANEGAS, DOMINIQUE")</f>
        <v>PETTERSSON VANEGAS, DOMINIQUE</v>
      </c>
      <c r="D1207" t="str">
        <f>IFERROR(__xludf.DUMMYFUNCTION("""COMPUTED_VALUE"""),"English 8")</f>
        <v>English 8</v>
      </c>
      <c r="E1207" s="31">
        <f>IFERROR(__xludf.DUMMYFUNCTION("""COMPUTED_VALUE"""),2.0)</f>
        <v>2</v>
      </c>
      <c r="F1207" s="8">
        <v>1.0</v>
      </c>
      <c r="G1207" s="8">
        <v>1.0</v>
      </c>
      <c r="H1207" s="8">
        <v>1.0</v>
      </c>
      <c r="I1207" s="8">
        <v>1.0</v>
      </c>
      <c r="J1207" s="8">
        <v>1.0</v>
      </c>
      <c r="K1207" s="8">
        <v>1.0</v>
      </c>
      <c r="L1207" s="8">
        <v>6.0</v>
      </c>
      <c r="M1207" s="8"/>
      <c r="N1207" s="8"/>
      <c r="O1207" s="8" t="s">
        <v>747</v>
      </c>
      <c r="P1207" s="8">
        <v>6.0</v>
      </c>
    </row>
    <row r="1208">
      <c r="A1208">
        <f>IFERROR(__xludf.DUMMYFUNCTION("""COMPUTED_VALUE"""),8.0)</f>
        <v>8</v>
      </c>
      <c r="B1208">
        <f>IFERROR(__xludf.DUMMYFUNCTION("""COMPUTED_VALUE"""),29091.0)</f>
        <v>29091</v>
      </c>
      <c r="C1208" t="str">
        <f>IFERROR(__xludf.DUMMYFUNCTION("""COMPUTED_VALUE"""),"PLATA BOLAÑOS, CAMILA")</f>
        <v>PLATA BOLAÑOS, CAMILA</v>
      </c>
      <c r="D1208" t="str">
        <f>IFERROR(__xludf.DUMMYFUNCTION("""COMPUTED_VALUE"""),"English 8")</f>
        <v>English 8</v>
      </c>
      <c r="E1208" s="31">
        <f>IFERROR(__xludf.DUMMYFUNCTION("""COMPUTED_VALUE"""),2.0)</f>
        <v>2</v>
      </c>
      <c r="F1208" s="8">
        <v>1.0</v>
      </c>
      <c r="G1208" s="8">
        <v>1.0</v>
      </c>
      <c r="H1208" s="8">
        <v>1.0</v>
      </c>
      <c r="I1208" s="8">
        <v>1.0</v>
      </c>
      <c r="J1208" s="8">
        <v>1.0</v>
      </c>
      <c r="K1208" s="8">
        <v>1.0</v>
      </c>
      <c r="L1208" s="8">
        <v>6.0</v>
      </c>
      <c r="M1208" s="8"/>
      <c r="N1208" s="8"/>
      <c r="O1208" s="8" t="s">
        <v>747</v>
      </c>
      <c r="P1208" s="8">
        <v>6.0</v>
      </c>
    </row>
    <row r="1209">
      <c r="A1209">
        <f>IFERROR(__xludf.DUMMYFUNCTION("""COMPUTED_VALUE"""),8.0)</f>
        <v>8</v>
      </c>
      <c r="B1209">
        <f>IFERROR(__xludf.DUMMYFUNCTION("""COMPUTED_VALUE"""),29093.0)</f>
        <v>29093</v>
      </c>
      <c r="C1209" t="str">
        <f>IFERROR(__xludf.DUMMYFUNCTION("""COMPUTED_VALUE"""),"PUGLIESE STRICKLAND, MARCELLO ANTONIO")</f>
        <v>PUGLIESE STRICKLAND, MARCELLO ANTONIO</v>
      </c>
      <c r="D1209" t="str">
        <f>IFERROR(__xludf.DUMMYFUNCTION("""COMPUTED_VALUE"""),"English 8")</f>
        <v>English 8</v>
      </c>
      <c r="E1209" s="31">
        <f>IFERROR(__xludf.DUMMYFUNCTION("""COMPUTED_VALUE"""),6.0)</f>
        <v>6</v>
      </c>
      <c r="F1209" s="8">
        <v>1.0</v>
      </c>
      <c r="G1209" s="8">
        <v>1.0</v>
      </c>
      <c r="H1209" s="8">
        <v>1.0</v>
      </c>
      <c r="I1209" s="8">
        <v>1.0</v>
      </c>
      <c r="J1209" s="8">
        <v>1.0</v>
      </c>
      <c r="K1209" s="8">
        <v>1.0</v>
      </c>
      <c r="L1209" s="8">
        <v>6.0</v>
      </c>
      <c r="M1209" s="8"/>
      <c r="N1209" s="8"/>
      <c r="O1209" s="8" t="s">
        <v>748</v>
      </c>
      <c r="P1209" s="8">
        <v>6.0</v>
      </c>
    </row>
    <row r="1210">
      <c r="A1210">
        <f>IFERROR(__xludf.DUMMYFUNCTION("""COMPUTED_VALUE"""),8.0)</f>
        <v>8</v>
      </c>
      <c r="B1210">
        <f>IFERROR(__xludf.DUMMYFUNCTION("""COMPUTED_VALUE"""),28087.0)</f>
        <v>28087</v>
      </c>
      <c r="C1210" t="str">
        <f>IFERROR(__xludf.DUMMYFUNCTION("""COMPUTED_VALUE"""),"QUINTERO HENAO, MATEO")</f>
        <v>QUINTERO HENAO, MATEO</v>
      </c>
      <c r="D1210" t="str">
        <f>IFERROR(__xludf.DUMMYFUNCTION("""COMPUTED_VALUE"""),"English 8A")</f>
        <v>English 8A</v>
      </c>
      <c r="E1210" s="31">
        <f>IFERROR(__xludf.DUMMYFUNCTION("""COMPUTED_VALUE"""),6.0)</f>
        <v>6</v>
      </c>
      <c r="F1210" s="8">
        <v>1.0</v>
      </c>
      <c r="G1210" s="8">
        <v>1.0</v>
      </c>
      <c r="H1210" s="8">
        <v>1.0</v>
      </c>
      <c r="I1210" s="8">
        <v>1.0</v>
      </c>
      <c r="J1210" s="8">
        <v>1.0</v>
      </c>
      <c r="K1210" s="8">
        <v>1.0</v>
      </c>
      <c r="L1210" s="8">
        <v>6.0</v>
      </c>
      <c r="M1210" s="8"/>
      <c r="N1210" s="8"/>
      <c r="O1210" s="8" t="s">
        <v>752</v>
      </c>
      <c r="P1210" s="8" t="e">
        <v>#N/A</v>
      </c>
    </row>
    <row r="1211">
      <c r="A1211">
        <f>IFERROR(__xludf.DUMMYFUNCTION("""COMPUTED_VALUE"""),8.0)</f>
        <v>8</v>
      </c>
      <c r="B1211">
        <f>IFERROR(__xludf.DUMMYFUNCTION("""COMPUTED_VALUE"""),29096.0)</f>
        <v>29096</v>
      </c>
      <c r="C1211" t="str">
        <f>IFERROR(__xludf.DUMMYFUNCTION("""COMPUTED_VALUE"""),"RAMIREZ PELAEZ, ANTONIA")</f>
        <v>RAMIREZ PELAEZ, ANTONIA</v>
      </c>
      <c r="D1211" t="str">
        <f>IFERROR(__xludf.DUMMYFUNCTION("""COMPUTED_VALUE"""),"English 8")</f>
        <v>English 8</v>
      </c>
      <c r="E1211" s="31">
        <f>IFERROR(__xludf.DUMMYFUNCTION("""COMPUTED_VALUE"""),1.0)</f>
        <v>1</v>
      </c>
      <c r="F1211" s="8">
        <v>1.0</v>
      </c>
      <c r="G1211" s="8">
        <v>1.0</v>
      </c>
      <c r="H1211" s="8">
        <v>1.0</v>
      </c>
      <c r="I1211" s="8">
        <v>1.0</v>
      </c>
      <c r="J1211" s="8">
        <v>1.0</v>
      </c>
      <c r="K1211" s="8">
        <v>1.0</v>
      </c>
      <c r="L1211" s="8">
        <v>6.0</v>
      </c>
      <c r="M1211" s="8"/>
      <c r="N1211" s="8"/>
      <c r="O1211" s="8" t="s">
        <v>749</v>
      </c>
      <c r="P1211" s="8">
        <v>6.0</v>
      </c>
    </row>
    <row r="1212">
      <c r="A1212">
        <f>IFERROR(__xludf.DUMMYFUNCTION("""COMPUTED_VALUE"""),8.0)</f>
        <v>8</v>
      </c>
      <c r="B1212">
        <f>IFERROR(__xludf.DUMMYFUNCTION("""COMPUTED_VALUE"""),29097.0)</f>
        <v>29097</v>
      </c>
      <c r="C1212" t="str">
        <f>IFERROR(__xludf.DUMMYFUNCTION("""COMPUTED_VALUE"""),"RAMIREZ PELAEZ, ELENA")</f>
        <v>RAMIREZ PELAEZ, ELENA</v>
      </c>
      <c r="D1212" t="str">
        <f>IFERROR(__xludf.DUMMYFUNCTION("""COMPUTED_VALUE"""),"English 8")</f>
        <v>English 8</v>
      </c>
      <c r="E1212" s="31">
        <f>IFERROR(__xludf.DUMMYFUNCTION("""COMPUTED_VALUE"""),3.0)</f>
        <v>3</v>
      </c>
      <c r="F1212" s="8">
        <v>1.0</v>
      </c>
      <c r="G1212" s="8">
        <v>1.0</v>
      </c>
      <c r="H1212" s="8">
        <v>1.0</v>
      </c>
      <c r="I1212" s="8">
        <v>1.0</v>
      </c>
      <c r="J1212" s="8">
        <v>1.0</v>
      </c>
      <c r="K1212" s="8">
        <v>1.0</v>
      </c>
      <c r="L1212" s="8">
        <v>6.0</v>
      </c>
      <c r="M1212" s="8"/>
      <c r="N1212" s="8"/>
      <c r="O1212" s="8" t="s">
        <v>751</v>
      </c>
      <c r="P1212" s="8">
        <v>6.0</v>
      </c>
    </row>
    <row r="1213">
      <c r="A1213">
        <f>IFERROR(__xludf.DUMMYFUNCTION("""COMPUTED_VALUE"""),8.0)</f>
        <v>8</v>
      </c>
      <c r="B1213">
        <f>IFERROR(__xludf.DUMMYFUNCTION("""COMPUTED_VALUE"""),29169.0)</f>
        <v>29169</v>
      </c>
      <c r="C1213" t="str">
        <f>IFERROR(__xludf.DUMMYFUNCTION("""COMPUTED_VALUE"""),"REPETTO LARROSA, FAUSTINO")</f>
        <v>REPETTO LARROSA, FAUSTINO</v>
      </c>
      <c r="D1213" t="str">
        <f>IFERROR(__xludf.DUMMYFUNCTION("""COMPUTED_VALUE"""),"English 8")</f>
        <v>English 8</v>
      </c>
      <c r="E1213" s="31">
        <f>IFERROR(__xludf.DUMMYFUNCTION("""COMPUTED_VALUE"""),5.0)</f>
        <v>5</v>
      </c>
      <c r="F1213" s="8">
        <v>1.0</v>
      </c>
      <c r="G1213" s="8">
        <v>1.0</v>
      </c>
      <c r="H1213" s="8">
        <v>1.0</v>
      </c>
      <c r="I1213" s="8">
        <v>1.0</v>
      </c>
      <c r="J1213" s="8">
        <v>1.0</v>
      </c>
      <c r="K1213" s="8">
        <v>1.0</v>
      </c>
      <c r="L1213" s="8">
        <v>6.0</v>
      </c>
      <c r="M1213" s="8"/>
      <c r="N1213" s="8"/>
      <c r="O1213" s="8" t="s">
        <v>750</v>
      </c>
      <c r="P1213" s="8">
        <v>6.0</v>
      </c>
    </row>
    <row r="1214">
      <c r="A1214">
        <f>IFERROR(__xludf.DUMMYFUNCTION("""COMPUTED_VALUE"""),8.0)</f>
        <v>8</v>
      </c>
      <c r="B1214">
        <f>IFERROR(__xludf.DUMMYFUNCTION("""COMPUTED_VALUE"""),29098.0)</f>
        <v>29098</v>
      </c>
      <c r="C1214" t="str">
        <f>IFERROR(__xludf.DUMMYFUNCTION("""COMPUTED_VALUE"""),"RESTREPO ESCOBAR, ISABELA")</f>
        <v>RESTREPO ESCOBAR, ISABELA</v>
      </c>
      <c r="D1214" t="str">
        <f>IFERROR(__xludf.DUMMYFUNCTION("""COMPUTED_VALUE"""),"English 8")</f>
        <v>English 8</v>
      </c>
      <c r="E1214" s="31">
        <f>IFERROR(__xludf.DUMMYFUNCTION("""COMPUTED_VALUE"""),3.0)</f>
        <v>3</v>
      </c>
      <c r="F1214" s="8">
        <v>1.0</v>
      </c>
      <c r="G1214" s="8">
        <v>1.0</v>
      </c>
      <c r="H1214" s="8">
        <v>1.0</v>
      </c>
      <c r="I1214" s="8">
        <v>1.0</v>
      </c>
      <c r="J1214" s="8">
        <v>1.0</v>
      </c>
      <c r="K1214" s="8">
        <v>1.0</v>
      </c>
      <c r="L1214" s="8">
        <v>6.0</v>
      </c>
      <c r="M1214" s="8"/>
      <c r="N1214" s="8"/>
      <c r="O1214" s="8" t="s">
        <v>751</v>
      </c>
      <c r="P1214" s="8">
        <v>6.0</v>
      </c>
    </row>
    <row r="1215">
      <c r="A1215">
        <f>IFERROR(__xludf.DUMMYFUNCTION("""COMPUTED_VALUE"""),8.0)</f>
        <v>8</v>
      </c>
      <c r="B1215">
        <f>IFERROR(__xludf.DUMMYFUNCTION("""COMPUTED_VALUE"""),29099.0)</f>
        <v>29099</v>
      </c>
      <c r="C1215" t="str">
        <f>IFERROR(__xludf.DUMMYFUNCTION("""COMPUTED_VALUE"""),"RESTREPO RESTREPO, MATIAS")</f>
        <v>RESTREPO RESTREPO, MATIAS</v>
      </c>
      <c r="D1215" t="str">
        <f>IFERROR(__xludf.DUMMYFUNCTION("""COMPUTED_VALUE"""),"English 8")</f>
        <v>English 8</v>
      </c>
      <c r="E1215" s="31">
        <f>IFERROR(__xludf.DUMMYFUNCTION("""COMPUTED_VALUE"""),5.0)</f>
        <v>5</v>
      </c>
      <c r="F1215" s="8">
        <v>1.0</v>
      </c>
      <c r="G1215" s="8">
        <v>1.0</v>
      </c>
      <c r="H1215" s="8">
        <v>1.0</v>
      </c>
      <c r="I1215" s="8">
        <v>1.0</v>
      </c>
      <c r="J1215" s="8">
        <v>1.0</v>
      </c>
      <c r="K1215" s="8">
        <v>1.0</v>
      </c>
      <c r="L1215" s="8">
        <v>6.0</v>
      </c>
      <c r="M1215" s="8"/>
      <c r="N1215" s="8"/>
      <c r="O1215" s="8" t="s">
        <v>750</v>
      </c>
      <c r="P1215" s="8">
        <v>6.0</v>
      </c>
    </row>
    <row r="1216">
      <c r="A1216">
        <f>IFERROR(__xludf.DUMMYFUNCTION("""COMPUTED_VALUE"""),8.0)</f>
        <v>8</v>
      </c>
      <c r="B1216">
        <f>IFERROR(__xludf.DUMMYFUNCTION("""COMPUTED_VALUE"""),29100.0)</f>
        <v>29100</v>
      </c>
      <c r="C1216" t="str">
        <f>IFERROR(__xludf.DUMMYFUNCTION("""COMPUTED_VALUE"""),"RESTREPO VILLEGAS, PEDRO")</f>
        <v>RESTREPO VILLEGAS, PEDRO</v>
      </c>
      <c r="D1216" t="str">
        <f>IFERROR(__xludf.DUMMYFUNCTION("""COMPUTED_VALUE"""),"English 8")</f>
        <v>English 8</v>
      </c>
      <c r="E1216" s="31">
        <f>IFERROR(__xludf.DUMMYFUNCTION("""COMPUTED_VALUE"""),5.0)</f>
        <v>5</v>
      </c>
      <c r="F1216" s="8">
        <v>1.0</v>
      </c>
      <c r="G1216" s="8">
        <v>1.0</v>
      </c>
      <c r="H1216" s="8">
        <v>1.0</v>
      </c>
      <c r="I1216" s="8">
        <v>1.0</v>
      </c>
      <c r="J1216" s="8">
        <v>1.0</v>
      </c>
      <c r="K1216" s="8">
        <v>1.0</v>
      </c>
      <c r="L1216" s="8">
        <v>6.0</v>
      </c>
      <c r="M1216" s="8"/>
      <c r="N1216" s="8"/>
      <c r="O1216" s="8" t="s">
        <v>750</v>
      </c>
      <c r="P1216" s="8">
        <v>6.0</v>
      </c>
    </row>
    <row r="1217">
      <c r="A1217">
        <f>IFERROR(__xludf.DUMMYFUNCTION("""COMPUTED_VALUE"""),8.0)</f>
        <v>8</v>
      </c>
      <c r="B1217">
        <f>IFERROR(__xludf.DUMMYFUNCTION("""COMPUTED_VALUE"""),29101.0)</f>
        <v>29101</v>
      </c>
      <c r="C1217" t="str">
        <f>IFERROR(__xludf.DUMMYFUNCTION("""COMPUTED_VALUE"""),"ROBLES MARTINEZ, MARIA")</f>
        <v>ROBLES MARTINEZ, MARIA</v>
      </c>
      <c r="D1217" t="str">
        <f>IFERROR(__xludf.DUMMYFUNCTION("""COMPUTED_VALUE"""),"English 8")</f>
        <v>English 8</v>
      </c>
      <c r="E1217" s="31">
        <f>IFERROR(__xludf.DUMMYFUNCTION("""COMPUTED_VALUE"""),3.0)</f>
        <v>3</v>
      </c>
      <c r="F1217" s="8">
        <v>1.0</v>
      </c>
      <c r="G1217" s="8">
        <v>1.0</v>
      </c>
      <c r="H1217" s="8">
        <v>1.0</v>
      </c>
      <c r="I1217" s="8">
        <v>1.0</v>
      </c>
      <c r="J1217" s="8">
        <v>1.0</v>
      </c>
      <c r="K1217" s="8">
        <v>1.0</v>
      </c>
      <c r="L1217" s="8">
        <v>6.0</v>
      </c>
      <c r="M1217" s="8"/>
      <c r="N1217" s="8"/>
      <c r="O1217" s="8" t="s">
        <v>751</v>
      </c>
      <c r="P1217" s="8">
        <v>6.0</v>
      </c>
    </row>
    <row r="1218">
      <c r="A1218">
        <f>IFERROR(__xludf.DUMMYFUNCTION("""COMPUTED_VALUE"""),8.0)</f>
        <v>8</v>
      </c>
      <c r="B1218">
        <f>IFERROR(__xludf.DUMMYFUNCTION("""COMPUTED_VALUE"""),28160.0)</f>
        <v>28160</v>
      </c>
      <c r="C1218" t="str">
        <f>IFERROR(__xludf.DUMMYFUNCTION("""COMPUTED_VALUE"""),"ROJAS REYES, JERONIMO")</f>
        <v>ROJAS REYES, JERONIMO</v>
      </c>
      <c r="D1218" t="str">
        <f>IFERROR(__xludf.DUMMYFUNCTION("""COMPUTED_VALUE"""),"English 8")</f>
        <v>English 8</v>
      </c>
      <c r="E1218" s="31">
        <f>IFERROR(__xludf.DUMMYFUNCTION("""COMPUTED_VALUE"""),5.0)</f>
        <v>5</v>
      </c>
      <c r="F1218" s="8">
        <v>1.0</v>
      </c>
      <c r="G1218" s="8">
        <v>1.0</v>
      </c>
      <c r="H1218" s="8">
        <v>1.0</v>
      </c>
      <c r="I1218" s="8">
        <v>1.0</v>
      </c>
      <c r="J1218" s="8">
        <v>1.0</v>
      </c>
      <c r="K1218" s="8">
        <v>1.0</v>
      </c>
      <c r="L1218" s="8">
        <v>6.0</v>
      </c>
      <c r="M1218" s="8"/>
      <c r="N1218" s="8"/>
      <c r="O1218" s="8" t="s">
        <v>750</v>
      </c>
      <c r="P1218" s="8">
        <v>6.0</v>
      </c>
    </row>
    <row r="1219">
      <c r="A1219">
        <f>IFERROR(__xludf.DUMMYFUNCTION("""COMPUTED_VALUE"""),8.0)</f>
        <v>8</v>
      </c>
      <c r="B1219">
        <f>IFERROR(__xludf.DUMMYFUNCTION("""COMPUTED_VALUE"""),29163.0)</f>
        <v>29163</v>
      </c>
      <c r="C1219" t="str">
        <f>IFERROR(__xludf.DUMMYFUNCTION("""COMPUTED_VALUE"""),"ROMERO OROZCO, SALVADOR")</f>
        <v>ROMERO OROZCO, SALVADOR</v>
      </c>
      <c r="D1219" t="str">
        <f>IFERROR(__xludf.DUMMYFUNCTION("""COMPUTED_VALUE"""),"English 8A")</f>
        <v>English 8A</v>
      </c>
      <c r="E1219" s="31">
        <f>IFERROR(__xludf.DUMMYFUNCTION("""COMPUTED_VALUE"""),6.0)</f>
        <v>6</v>
      </c>
      <c r="F1219" s="8">
        <v>1.0</v>
      </c>
      <c r="G1219" s="8">
        <v>1.0</v>
      </c>
      <c r="H1219" s="8">
        <v>1.0</v>
      </c>
      <c r="I1219" s="8">
        <v>1.0</v>
      </c>
      <c r="J1219" s="8">
        <v>1.0</v>
      </c>
      <c r="K1219" s="8">
        <v>1.0</v>
      </c>
      <c r="L1219" s="8">
        <v>6.0</v>
      </c>
      <c r="M1219" s="8"/>
      <c r="N1219" s="8"/>
      <c r="O1219" s="8" t="s">
        <v>752</v>
      </c>
      <c r="P1219" s="8" t="e">
        <v>#N/A</v>
      </c>
    </row>
    <row r="1220">
      <c r="A1220">
        <f>IFERROR(__xludf.DUMMYFUNCTION("""COMPUTED_VALUE"""),8.0)</f>
        <v>8</v>
      </c>
      <c r="B1220">
        <f>IFERROR(__xludf.DUMMYFUNCTION("""COMPUTED_VALUE"""),29103.0)</f>
        <v>29103</v>
      </c>
      <c r="C1220" t="str">
        <f>IFERROR(__xludf.DUMMYFUNCTION("""COMPUTED_VALUE"""),"SALAZAR ECHEVERRI, ANTONIA")</f>
        <v>SALAZAR ECHEVERRI, ANTONIA</v>
      </c>
      <c r="D1220" t="str">
        <f>IFERROR(__xludf.DUMMYFUNCTION("""COMPUTED_VALUE"""),"English 8")</f>
        <v>English 8</v>
      </c>
      <c r="E1220" s="31">
        <f>IFERROR(__xludf.DUMMYFUNCTION("""COMPUTED_VALUE"""),5.0)</f>
        <v>5</v>
      </c>
      <c r="F1220" s="8">
        <v>1.0</v>
      </c>
      <c r="G1220" s="8">
        <v>1.0</v>
      </c>
      <c r="H1220" s="8">
        <v>1.0</v>
      </c>
      <c r="I1220" s="8">
        <v>1.0</v>
      </c>
      <c r="J1220" s="8">
        <v>1.0</v>
      </c>
      <c r="K1220" s="8">
        <v>1.0</v>
      </c>
      <c r="L1220" s="8">
        <v>6.0</v>
      </c>
      <c r="M1220" s="8"/>
      <c r="N1220" s="8"/>
      <c r="O1220" s="8" t="s">
        <v>750</v>
      </c>
      <c r="P1220" s="8">
        <v>6.0</v>
      </c>
    </row>
    <row r="1221">
      <c r="A1221">
        <f>IFERROR(__xludf.DUMMYFUNCTION("""COMPUTED_VALUE"""),8.0)</f>
        <v>8</v>
      </c>
      <c r="B1221">
        <f>IFERROR(__xludf.DUMMYFUNCTION("""COMPUTED_VALUE"""),29149.0)</f>
        <v>29149</v>
      </c>
      <c r="C1221" t="str">
        <f>IFERROR(__xludf.DUMMYFUNCTION("""COMPUTED_VALUE"""),"SALEMME GUTIERREZ, AMALIA")</f>
        <v>SALEMME GUTIERREZ, AMALIA</v>
      </c>
      <c r="D1221" t="str">
        <f>IFERROR(__xludf.DUMMYFUNCTION("""COMPUTED_VALUE"""),"English 8")</f>
        <v>English 8</v>
      </c>
      <c r="E1221" s="31">
        <f>IFERROR(__xludf.DUMMYFUNCTION("""COMPUTED_VALUE"""),2.0)</f>
        <v>2</v>
      </c>
      <c r="F1221" s="8">
        <v>1.0</v>
      </c>
      <c r="G1221" s="8">
        <v>1.0</v>
      </c>
      <c r="H1221" s="8">
        <v>1.0</v>
      </c>
      <c r="I1221" s="8">
        <v>1.0</v>
      </c>
      <c r="J1221" s="8">
        <v>1.0</v>
      </c>
      <c r="K1221" s="8">
        <v>1.0</v>
      </c>
      <c r="L1221" s="8">
        <v>6.0</v>
      </c>
      <c r="M1221" s="8"/>
      <c r="N1221" s="8"/>
      <c r="O1221" s="8" t="s">
        <v>747</v>
      </c>
      <c r="P1221" s="8">
        <v>6.0</v>
      </c>
    </row>
    <row r="1222">
      <c r="A1222">
        <f>IFERROR(__xludf.DUMMYFUNCTION("""COMPUTED_VALUE"""),8.0)</f>
        <v>8</v>
      </c>
      <c r="B1222">
        <f>IFERROR(__xludf.DUMMYFUNCTION("""COMPUTED_VALUE"""),29105.0)</f>
        <v>29105</v>
      </c>
      <c r="C1222" t="str">
        <f>IFERROR(__xludf.DUMMYFUNCTION("""COMPUTED_VALUE"""),"SANCHEZ DIAZ, MATIAS")</f>
        <v>SANCHEZ DIAZ, MATIAS</v>
      </c>
      <c r="D1222" t="str">
        <f>IFERROR(__xludf.DUMMYFUNCTION("""COMPUTED_VALUE"""),"English 8A")</f>
        <v>English 8A</v>
      </c>
      <c r="E1222" s="31">
        <f>IFERROR(__xludf.DUMMYFUNCTION("""COMPUTED_VALUE"""),6.0)</f>
        <v>6</v>
      </c>
      <c r="F1222" s="8">
        <v>1.0</v>
      </c>
      <c r="G1222" s="8">
        <v>1.0</v>
      </c>
      <c r="H1222" s="8">
        <v>1.0</v>
      </c>
      <c r="I1222" s="8">
        <v>1.0</v>
      </c>
      <c r="J1222" s="8">
        <v>1.0</v>
      </c>
      <c r="K1222" s="8">
        <v>1.0</v>
      </c>
      <c r="L1222" s="8">
        <v>6.0</v>
      </c>
      <c r="M1222" s="8"/>
      <c r="N1222" s="8"/>
      <c r="O1222" s="8" t="s">
        <v>752</v>
      </c>
      <c r="P1222" s="8" t="e">
        <v>#N/A</v>
      </c>
    </row>
    <row r="1223">
      <c r="A1223">
        <f>IFERROR(__xludf.DUMMYFUNCTION("""COMPUTED_VALUE"""),8.0)</f>
        <v>8</v>
      </c>
      <c r="B1223">
        <f>IFERROR(__xludf.DUMMYFUNCTION("""COMPUTED_VALUE"""),29106.0)</f>
        <v>29106</v>
      </c>
      <c r="C1223" t="str">
        <f>IFERROR(__xludf.DUMMYFUNCTION("""COMPUTED_VALUE"""),"SANCHEZ DIAZ, SIMON")</f>
        <v>SANCHEZ DIAZ, SIMON</v>
      </c>
      <c r="D1223" t="str">
        <f>IFERROR(__xludf.DUMMYFUNCTION("""COMPUTED_VALUE"""),"English 8")</f>
        <v>English 8</v>
      </c>
      <c r="E1223" s="31">
        <f>IFERROR(__xludf.DUMMYFUNCTION("""COMPUTED_VALUE"""),6.0)</f>
        <v>6</v>
      </c>
      <c r="F1223" s="8">
        <v>1.0</v>
      </c>
      <c r="G1223" s="8">
        <v>1.0</v>
      </c>
      <c r="H1223" s="8">
        <v>1.0</v>
      </c>
      <c r="I1223" s="8">
        <v>1.0</v>
      </c>
      <c r="J1223" s="8">
        <v>1.0</v>
      </c>
      <c r="K1223" s="8">
        <v>1.0</v>
      </c>
      <c r="L1223" s="8">
        <v>6.0</v>
      </c>
      <c r="M1223" s="8"/>
      <c r="N1223" s="8"/>
      <c r="O1223" s="8" t="s">
        <v>748</v>
      </c>
      <c r="P1223" s="8">
        <v>6.0</v>
      </c>
    </row>
    <row r="1224">
      <c r="A1224">
        <f>IFERROR(__xludf.DUMMYFUNCTION("""COMPUTED_VALUE"""),8.0)</f>
        <v>8</v>
      </c>
      <c r="B1224">
        <f>IFERROR(__xludf.DUMMYFUNCTION("""COMPUTED_VALUE"""),29107.0)</f>
        <v>29107</v>
      </c>
      <c r="C1224" t="str">
        <f>IFERROR(__xludf.DUMMYFUNCTION("""COMPUTED_VALUE"""),"SANIN JARAMILLO, PEDRO")</f>
        <v>SANIN JARAMILLO, PEDRO</v>
      </c>
      <c r="D1224" t="str">
        <f>IFERROR(__xludf.DUMMYFUNCTION("""COMPUTED_VALUE"""),"English 8")</f>
        <v>English 8</v>
      </c>
      <c r="E1224" s="31">
        <f>IFERROR(__xludf.DUMMYFUNCTION("""COMPUTED_VALUE"""),3.0)</f>
        <v>3</v>
      </c>
      <c r="F1224" s="8">
        <v>1.0</v>
      </c>
      <c r="G1224" s="8">
        <v>1.0</v>
      </c>
      <c r="H1224" s="8">
        <v>1.0</v>
      </c>
      <c r="I1224" s="8">
        <v>1.0</v>
      </c>
      <c r="J1224" s="8">
        <v>1.0</v>
      </c>
      <c r="K1224" s="8">
        <v>1.0</v>
      </c>
      <c r="L1224" s="8">
        <v>6.0</v>
      </c>
      <c r="M1224" s="8"/>
      <c r="N1224" s="8"/>
      <c r="O1224" s="8" t="s">
        <v>751</v>
      </c>
      <c r="P1224" s="8">
        <v>6.0</v>
      </c>
    </row>
    <row r="1225">
      <c r="A1225">
        <f>IFERROR(__xludf.DUMMYFUNCTION("""COMPUTED_VALUE"""),8.0)</f>
        <v>8</v>
      </c>
      <c r="B1225">
        <f>IFERROR(__xludf.DUMMYFUNCTION("""COMPUTED_VALUE"""),29108.0)</f>
        <v>29108</v>
      </c>
      <c r="C1225" t="str">
        <f>IFERROR(__xludf.DUMMYFUNCTION("""COMPUTED_VALUE"""),"SCHOBER OCAMPO, DANIEL")</f>
        <v>SCHOBER OCAMPO, DANIEL</v>
      </c>
      <c r="D1225" t="str">
        <f>IFERROR(__xludf.DUMMYFUNCTION("""COMPUTED_VALUE"""),"English 8")</f>
        <v>English 8</v>
      </c>
      <c r="E1225" s="31">
        <f>IFERROR(__xludf.DUMMYFUNCTION("""COMPUTED_VALUE"""),1.0)</f>
        <v>1</v>
      </c>
      <c r="F1225" s="8">
        <v>1.0</v>
      </c>
      <c r="G1225" s="8">
        <v>1.0</v>
      </c>
      <c r="H1225" s="8">
        <v>1.0</v>
      </c>
      <c r="I1225" s="8">
        <v>1.0</v>
      </c>
      <c r="J1225" s="8">
        <v>1.0</v>
      </c>
      <c r="K1225" s="8">
        <v>1.0</v>
      </c>
      <c r="L1225" s="8">
        <v>6.0</v>
      </c>
      <c r="M1225" s="8"/>
      <c r="N1225" s="8"/>
      <c r="O1225" s="8" t="s">
        <v>749</v>
      </c>
      <c r="P1225" s="8">
        <v>6.0</v>
      </c>
    </row>
    <row r="1226">
      <c r="A1226">
        <f>IFERROR(__xludf.DUMMYFUNCTION("""COMPUTED_VALUE"""),8.0)</f>
        <v>8</v>
      </c>
      <c r="B1226">
        <f>IFERROR(__xludf.DUMMYFUNCTION("""COMPUTED_VALUE"""),29171.0)</f>
        <v>29171</v>
      </c>
      <c r="C1226" t="str">
        <f>IFERROR(__xludf.DUMMYFUNCTION("""COMPUTED_VALUE"""),"SCHUCHASKIE, KEATON")</f>
        <v>SCHUCHASKIE, KEATON</v>
      </c>
      <c r="D1226" t="str">
        <f>IFERROR(__xludf.DUMMYFUNCTION("""COMPUTED_VALUE"""),"English 8")</f>
        <v>English 8</v>
      </c>
      <c r="E1226" s="31">
        <f>IFERROR(__xludf.DUMMYFUNCTION("""COMPUTED_VALUE"""),6.0)</f>
        <v>6</v>
      </c>
      <c r="F1226" s="8">
        <v>1.0</v>
      </c>
      <c r="G1226" s="8">
        <v>1.0</v>
      </c>
      <c r="H1226" s="8">
        <v>1.0</v>
      </c>
      <c r="I1226" s="8">
        <v>1.0</v>
      </c>
      <c r="J1226" s="8">
        <v>1.0</v>
      </c>
      <c r="K1226" s="8">
        <v>1.0</v>
      </c>
      <c r="L1226" s="8">
        <v>6.0</v>
      </c>
      <c r="M1226" s="8"/>
      <c r="N1226" s="8"/>
      <c r="O1226" s="8" t="s">
        <v>748</v>
      </c>
      <c r="P1226" s="8">
        <v>6.0</v>
      </c>
    </row>
    <row r="1227">
      <c r="A1227">
        <f>IFERROR(__xludf.DUMMYFUNCTION("""COMPUTED_VALUE"""),8.0)</f>
        <v>8</v>
      </c>
      <c r="B1227">
        <f>IFERROR(__xludf.DUMMYFUNCTION("""COMPUTED_VALUE"""),29109.0)</f>
        <v>29109</v>
      </c>
      <c r="C1227" t="str">
        <f>IFERROR(__xludf.DUMMYFUNCTION("""COMPUTED_VALUE"""),"SERANI ANGEL, LUCIANA")</f>
        <v>SERANI ANGEL, LUCIANA</v>
      </c>
      <c r="D1227" t="str">
        <f>IFERROR(__xludf.DUMMYFUNCTION("""COMPUTED_VALUE"""),"English 8")</f>
        <v>English 8</v>
      </c>
      <c r="E1227" s="31">
        <f>IFERROR(__xludf.DUMMYFUNCTION("""COMPUTED_VALUE"""),1.0)</f>
        <v>1</v>
      </c>
      <c r="F1227" s="8">
        <v>1.0</v>
      </c>
      <c r="G1227" s="8">
        <v>1.0</v>
      </c>
      <c r="H1227" s="8">
        <v>1.0</v>
      </c>
      <c r="I1227" s="8">
        <v>1.0</v>
      </c>
      <c r="J1227" s="8">
        <v>1.0</v>
      </c>
      <c r="K1227" s="8">
        <v>1.0</v>
      </c>
      <c r="L1227" s="8">
        <v>6.0</v>
      </c>
      <c r="M1227" s="8"/>
      <c r="N1227" s="8"/>
      <c r="O1227" s="8" t="s">
        <v>749</v>
      </c>
      <c r="P1227" s="8">
        <v>6.0</v>
      </c>
    </row>
    <row r="1228">
      <c r="A1228">
        <f>IFERROR(__xludf.DUMMYFUNCTION("""COMPUTED_VALUE"""),8.0)</f>
        <v>8</v>
      </c>
      <c r="B1228">
        <f>IFERROR(__xludf.DUMMYFUNCTION("""COMPUTED_VALUE"""),29110.0)</f>
        <v>29110</v>
      </c>
      <c r="C1228" t="str">
        <f>IFERROR(__xludf.DUMMYFUNCTION("""COMPUTED_VALUE"""),"SOSA ECHAVARRIA, EMILIO")</f>
        <v>SOSA ECHAVARRIA, EMILIO</v>
      </c>
      <c r="D1228" t="str">
        <f>IFERROR(__xludf.DUMMYFUNCTION("""COMPUTED_VALUE"""),"English 8")</f>
        <v>English 8</v>
      </c>
      <c r="E1228" s="31">
        <f>IFERROR(__xludf.DUMMYFUNCTION("""COMPUTED_VALUE"""),3.0)</f>
        <v>3</v>
      </c>
      <c r="F1228" s="8">
        <v>1.0</v>
      </c>
      <c r="G1228" s="8">
        <v>1.0</v>
      </c>
      <c r="H1228" s="8">
        <v>1.0</v>
      </c>
      <c r="I1228" s="8">
        <v>1.0</v>
      </c>
      <c r="J1228" s="8">
        <v>1.0</v>
      </c>
      <c r="K1228" s="8">
        <v>1.0</v>
      </c>
      <c r="L1228" s="8">
        <v>6.0</v>
      </c>
      <c r="M1228" s="8"/>
      <c r="N1228" s="8"/>
      <c r="O1228" s="8" t="s">
        <v>751</v>
      </c>
      <c r="P1228" s="8">
        <v>6.0</v>
      </c>
    </row>
    <row r="1229">
      <c r="A1229">
        <f>IFERROR(__xludf.DUMMYFUNCTION("""COMPUTED_VALUE"""),8.0)</f>
        <v>8</v>
      </c>
      <c r="B1229">
        <f>IFERROR(__xludf.DUMMYFUNCTION("""COMPUTED_VALUE"""),29111.0)</f>
        <v>29111</v>
      </c>
      <c r="C1229" t="str">
        <f>IFERROR(__xludf.DUMMYFUNCTION("""COMPUTED_VALUE"""),"SOTO ANGEL, GABRIELA")</f>
        <v>SOTO ANGEL, GABRIELA</v>
      </c>
      <c r="D1229" t="str">
        <f>IFERROR(__xludf.DUMMYFUNCTION("""COMPUTED_VALUE"""),"English 8")</f>
        <v>English 8</v>
      </c>
      <c r="E1229" s="31">
        <f>IFERROR(__xludf.DUMMYFUNCTION("""COMPUTED_VALUE"""),1.0)</f>
        <v>1</v>
      </c>
      <c r="F1229" s="8">
        <v>1.0</v>
      </c>
      <c r="G1229" s="8">
        <v>1.0</v>
      </c>
      <c r="H1229" s="8">
        <v>1.0</v>
      </c>
      <c r="I1229" s="8">
        <v>1.0</v>
      </c>
      <c r="J1229" s="8">
        <v>1.0</v>
      </c>
      <c r="K1229" s="8">
        <v>1.0</v>
      </c>
      <c r="L1229" s="8">
        <v>6.0</v>
      </c>
      <c r="M1229" s="8"/>
      <c r="N1229" s="8"/>
      <c r="O1229" s="8" t="s">
        <v>749</v>
      </c>
      <c r="P1229" s="8">
        <v>6.0</v>
      </c>
    </row>
    <row r="1230">
      <c r="A1230">
        <f>IFERROR(__xludf.DUMMYFUNCTION("""COMPUTED_VALUE"""),8.0)</f>
        <v>8</v>
      </c>
      <c r="B1230">
        <f>IFERROR(__xludf.DUMMYFUNCTION("""COMPUTED_VALUE"""),29112.0)</f>
        <v>29112</v>
      </c>
      <c r="C1230" t="str">
        <f>IFERROR(__xludf.DUMMYFUNCTION("""COMPUTED_VALUE"""),"SUAREZ MARTINEZ, ANA")</f>
        <v>SUAREZ MARTINEZ, ANA</v>
      </c>
      <c r="D1230" t="str">
        <f>IFERROR(__xludf.DUMMYFUNCTION("""COMPUTED_VALUE"""),"English 8")</f>
        <v>English 8</v>
      </c>
      <c r="E1230" s="31">
        <f>IFERROR(__xludf.DUMMYFUNCTION("""COMPUTED_VALUE"""),3.0)</f>
        <v>3</v>
      </c>
      <c r="F1230" s="8">
        <v>1.0</v>
      </c>
      <c r="G1230" s="8">
        <v>1.0</v>
      </c>
      <c r="H1230" s="8">
        <v>1.0</v>
      </c>
      <c r="I1230" s="8">
        <v>1.0</v>
      </c>
      <c r="J1230" s="8">
        <v>1.0</v>
      </c>
      <c r="K1230" s="8">
        <v>1.0</v>
      </c>
      <c r="L1230" s="8">
        <v>6.0</v>
      </c>
      <c r="M1230" s="8"/>
      <c r="N1230" s="8"/>
      <c r="O1230" s="8" t="s">
        <v>751</v>
      </c>
      <c r="P1230" s="8">
        <v>6.0</v>
      </c>
    </row>
    <row r="1231">
      <c r="A1231">
        <f>IFERROR(__xludf.DUMMYFUNCTION("""COMPUTED_VALUE"""),8.0)</f>
        <v>8</v>
      </c>
      <c r="B1231">
        <f>IFERROR(__xludf.DUMMYFUNCTION("""COMPUTED_VALUE"""),29113.0)</f>
        <v>29113</v>
      </c>
      <c r="C1231" t="str">
        <f>IFERROR(__xludf.DUMMYFUNCTION("""COMPUTED_VALUE"""),"THIRIEZ VILLA, EMMA")</f>
        <v>THIRIEZ VILLA, EMMA</v>
      </c>
      <c r="D1231" t="str">
        <f>IFERROR(__xludf.DUMMYFUNCTION("""COMPUTED_VALUE"""),"English 8")</f>
        <v>English 8</v>
      </c>
      <c r="E1231" s="31">
        <f>IFERROR(__xludf.DUMMYFUNCTION("""COMPUTED_VALUE"""),2.0)</f>
        <v>2</v>
      </c>
      <c r="F1231" s="8">
        <v>1.0</v>
      </c>
      <c r="G1231" s="8">
        <v>1.0</v>
      </c>
      <c r="H1231" s="8">
        <v>1.0</v>
      </c>
      <c r="I1231" s="8">
        <v>1.0</v>
      </c>
      <c r="J1231" s="8">
        <v>1.0</v>
      </c>
      <c r="K1231" s="8">
        <v>1.0</v>
      </c>
      <c r="L1231" s="8">
        <v>6.0</v>
      </c>
      <c r="M1231" s="8"/>
      <c r="N1231" s="8"/>
      <c r="O1231" s="8" t="s">
        <v>747</v>
      </c>
      <c r="P1231" s="8">
        <v>6.0</v>
      </c>
    </row>
    <row r="1232">
      <c r="A1232">
        <f>IFERROR(__xludf.DUMMYFUNCTION("""COMPUTED_VALUE"""),8.0)</f>
        <v>8</v>
      </c>
      <c r="B1232">
        <f>IFERROR(__xludf.DUMMYFUNCTION("""COMPUTED_VALUE"""),29114.0)</f>
        <v>29114</v>
      </c>
      <c r="C1232" t="str">
        <f>IFERROR(__xludf.DUMMYFUNCTION("""COMPUTED_VALUE"""),"THIRIEZ VILLA, MARIA")</f>
        <v>THIRIEZ VILLA, MARIA</v>
      </c>
      <c r="D1232" t="str">
        <f>IFERROR(__xludf.DUMMYFUNCTION("""COMPUTED_VALUE"""),"English 8")</f>
        <v>English 8</v>
      </c>
      <c r="E1232" s="31">
        <f>IFERROR(__xludf.DUMMYFUNCTION("""COMPUTED_VALUE"""),2.0)</f>
        <v>2</v>
      </c>
      <c r="F1232" s="8">
        <v>1.0</v>
      </c>
      <c r="G1232" s="8">
        <v>1.0</v>
      </c>
      <c r="H1232" s="8">
        <v>1.0</v>
      </c>
      <c r="I1232" s="8">
        <v>1.0</v>
      </c>
      <c r="J1232" s="8">
        <v>1.0</v>
      </c>
      <c r="K1232" s="8">
        <v>1.0</v>
      </c>
      <c r="L1232" s="8">
        <v>6.0</v>
      </c>
      <c r="M1232" s="8"/>
      <c r="N1232" s="8"/>
      <c r="O1232" s="8" t="s">
        <v>747</v>
      </c>
      <c r="P1232" s="8">
        <v>6.0</v>
      </c>
    </row>
    <row r="1233">
      <c r="A1233">
        <f>IFERROR(__xludf.DUMMYFUNCTION("""COMPUTED_VALUE"""),8.0)</f>
        <v>8</v>
      </c>
      <c r="B1233">
        <f>IFERROR(__xludf.DUMMYFUNCTION("""COMPUTED_VALUE"""),29115.0)</f>
        <v>29115</v>
      </c>
      <c r="C1233" t="str">
        <f>IFERROR(__xludf.DUMMYFUNCTION("""COMPUTED_VALUE"""),"TIRADO SANIN, ELENA")</f>
        <v>TIRADO SANIN, ELENA</v>
      </c>
      <c r="D1233" t="str">
        <f>IFERROR(__xludf.DUMMYFUNCTION("""COMPUTED_VALUE"""),"English 8")</f>
        <v>English 8</v>
      </c>
      <c r="E1233" s="31">
        <f>IFERROR(__xludf.DUMMYFUNCTION("""COMPUTED_VALUE"""),1.0)</f>
        <v>1</v>
      </c>
      <c r="F1233" s="8">
        <v>1.0</v>
      </c>
      <c r="G1233" s="8">
        <v>1.0</v>
      </c>
      <c r="H1233" s="8">
        <v>1.0</v>
      </c>
      <c r="I1233" s="8">
        <v>1.0</v>
      </c>
      <c r="J1233" s="8">
        <v>1.0</v>
      </c>
      <c r="K1233" s="8">
        <v>1.0</v>
      </c>
      <c r="L1233" s="8">
        <v>6.0</v>
      </c>
      <c r="M1233" s="8"/>
      <c r="N1233" s="8"/>
      <c r="O1233" s="8" t="s">
        <v>749</v>
      </c>
      <c r="P1233" s="8">
        <v>6.0</v>
      </c>
    </row>
    <row r="1234">
      <c r="A1234">
        <f>IFERROR(__xludf.DUMMYFUNCTION("""COMPUTED_VALUE"""),8.0)</f>
        <v>8</v>
      </c>
      <c r="B1234">
        <f>IFERROR(__xludf.DUMMYFUNCTION("""COMPUTED_VALUE"""),29116.0)</f>
        <v>29116</v>
      </c>
      <c r="C1234" t="str">
        <f>IFERROR(__xludf.DUMMYFUNCTION("""COMPUTED_VALUE"""),"TOBAR MEJIA, CAMILO")</f>
        <v>TOBAR MEJIA, CAMILO</v>
      </c>
      <c r="D1234" t="str">
        <f>IFERROR(__xludf.DUMMYFUNCTION("""COMPUTED_VALUE"""),"English 8")</f>
        <v>English 8</v>
      </c>
      <c r="E1234" s="31">
        <f>IFERROR(__xludf.DUMMYFUNCTION("""COMPUTED_VALUE"""),5.0)</f>
        <v>5</v>
      </c>
      <c r="F1234" s="8">
        <v>1.0</v>
      </c>
      <c r="G1234" s="8">
        <v>1.0</v>
      </c>
      <c r="H1234" s="8">
        <v>1.0</v>
      </c>
      <c r="I1234" s="8">
        <v>1.0</v>
      </c>
      <c r="J1234" s="8">
        <v>1.0</v>
      </c>
      <c r="K1234" s="8">
        <v>1.0</v>
      </c>
      <c r="L1234" s="8">
        <v>6.0</v>
      </c>
      <c r="M1234" s="8"/>
      <c r="N1234" s="8"/>
      <c r="O1234" s="8" t="s">
        <v>750</v>
      </c>
      <c r="P1234" s="8">
        <v>6.0</v>
      </c>
    </row>
    <row r="1235">
      <c r="A1235">
        <f>IFERROR(__xludf.DUMMYFUNCTION("""COMPUTED_VALUE"""),8.0)</f>
        <v>8</v>
      </c>
      <c r="B1235">
        <f>IFERROR(__xludf.DUMMYFUNCTION("""COMPUTED_VALUE"""),29142.0)</f>
        <v>29142</v>
      </c>
      <c r="C1235" t="str">
        <f>IFERROR(__xludf.DUMMYFUNCTION("""COMPUTED_VALUE"""),"TOBON CARMONA, JACOBO")</f>
        <v>TOBON CARMONA, JACOBO</v>
      </c>
      <c r="D1235" t="str">
        <f>IFERROR(__xludf.DUMMYFUNCTION("""COMPUTED_VALUE"""),"English 8A")</f>
        <v>English 8A</v>
      </c>
      <c r="E1235" s="31">
        <f>IFERROR(__xludf.DUMMYFUNCTION("""COMPUTED_VALUE"""),6.0)</f>
        <v>6</v>
      </c>
      <c r="F1235" s="8">
        <v>1.0</v>
      </c>
      <c r="G1235" s="8">
        <v>1.0</v>
      </c>
      <c r="H1235" s="8">
        <v>1.0</v>
      </c>
      <c r="I1235" s="8">
        <v>1.0</v>
      </c>
      <c r="J1235" s="8">
        <v>1.0</v>
      </c>
      <c r="K1235" s="8">
        <v>1.0</v>
      </c>
      <c r="L1235" s="8">
        <v>6.0</v>
      </c>
      <c r="M1235" s="8"/>
      <c r="N1235" s="8"/>
      <c r="O1235" s="8" t="s">
        <v>752</v>
      </c>
      <c r="P1235" s="8" t="e">
        <v>#N/A</v>
      </c>
    </row>
    <row r="1236">
      <c r="A1236">
        <f>IFERROR(__xludf.DUMMYFUNCTION("""COMPUTED_VALUE"""),8.0)</f>
        <v>8</v>
      </c>
      <c r="B1236">
        <f>IFERROR(__xludf.DUMMYFUNCTION("""COMPUTED_VALUE"""),29117.0)</f>
        <v>29117</v>
      </c>
      <c r="C1236" t="str">
        <f>IFERROR(__xludf.DUMMYFUNCTION("""COMPUTED_VALUE"""),"TOBON GONZALEZ, FLORENCIA")</f>
        <v>TOBON GONZALEZ, FLORENCIA</v>
      </c>
      <c r="D1236" t="str">
        <f>IFERROR(__xludf.DUMMYFUNCTION("""COMPUTED_VALUE"""),"English 8")</f>
        <v>English 8</v>
      </c>
      <c r="E1236" s="31">
        <f>IFERROR(__xludf.DUMMYFUNCTION("""COMPUTED_VALUE"""),1.0)</f>
        <v>1</v>
      </c>
      <c r="F1236" s="8">
        <v>1.0</v>
      </c>
      <c r="G1236" s="8">
        <v>1.0</v>
      </c>
      <c r="H1236" s="8">
        <v>1.0</v>
      </c>
      <c r="I1236" s="8">
        <v>1.0</v>
      </c>
      <c r="J1236" s="8">
        <v>1.0</v>
      </c>
      <c r="K1236" s="8">
        <v>1.0</v>
      </c>
      <c r="L1236" s="8">
        <v>6.0</v>
      </c>
      <c r="M1236" s="8"/>
      <c r="N1236" s="8"/>
      <c r="O1236" s="8" t="s">
        <v>749</v>
      </c>
      <c r="P1236" s="8">
        <v>6.0</v>
      </c>
    </row>
    <row r="1237">
      <c r="A1237">
        <f>IFERROR(__xludf.DUMMYFUNCTION("""COMPUTED_VALUE"""),8.0)</f>
        <v>8</v>
      </c>
      <c r="B1237">
        <f>IFERROR(__xludf.DUMMYFUNCTION("""COMPUTED_VALUE"""),29118.0)</f>
        <v>29118</v>
      </c>
      <c r="C1237" t="str">
        <f>IFERROR(__xludf.DUMMYFUNCTION("""COMPUTED_VALUE"""),"TRUJILLO RUIZ, SAMUEL")</f>
        <v>TRUJILLO RUIZ, SAMUEL</v>
      </c>
      <c r="D1237" t="str">
        <f>IFERROR(__xludf.DUMMYFUNCTION("""COMPUTED_VALUE"""),"English 8")</f>
        <v>English 8</v>
      </c>
      <c r="E1237" s="31">
        <f>IFERROR(__xludf.DUMMYFUNCTION("""COMPUTED_VALUE"""),6.0)</f>
        <v>6</v>
      </c>
      <c r="F1237" s="8">
        <v>1.0</v>
      </c>
      <c r="G1237" s="8">
        <v>1.0</v>
      </c>
      <c r="H1237" s="8">
        <v>1.0</v>
      </c>
      <c r="I1237" s="8">
        <v>1.0</v>
      </c>
      <c r="J1237" s="8">
        <v>1.0</v>
      </c>
      <c r="K1237" s="8">
        <v>1.0</v>
      </c>
      <c r="L1237" s="8">
        <v>6.0</v>
      </c>
      <c r="M1237" s="8"/>
      <c r="N1237" s="8"/>
      <c r="O1237" s="8" t="s">
        <v>748</v>
      </c>
      <c r="P1237" s="8">
        <v>6.0</v>
      </c>
    </row>
    <row r="1238">
      <c r="A1238">
        <f>IFERROR(__xludf.DUMMYFUNCTION("""COMPUTED_VALUE"""),8.0)</f>
        <v>8</v>
      </c>
      <c r="B1238">
        <f>IFERROR(__xludf.DUMMYFUNCTION("""COMPUTED_VALUE"""),29119.0)</f>
        <v>29119</v>
      </c>
      <c r="C1238" t="str">
        <f>IFERROR(__xludf.DUMMYFUNCTION("""COMPUTED_VALUE"""),"TRUJILLO RUIZ, SARA")</f>
        <v>TRUJILLO RUIZ, SARA</v>
      </c>
      <c r="D1238" t="str">
        <f>IFERROR(__xludf.DUMMYFUNCTION("""COMPUTED_VALUE"""),"English 8")</f>
        <v>English 8</v>
      </c>
      <c r="E1238" s="31">
        <f>IFERROR(__xludf.DUMMYFUNCTION("""COMPUTED_VALUE"""),3.0)</f>
        <v>3</v>
      </c>
      <c r="F1238" s="8">
        <v>1.0</v>
      </c>
      <c r="G1238" s="8">
        <v>1.0</v>
      </c>
      <c r="H1238" s="8">
        <v>1.0</v>
      </c>
      <c r="I1238" s="8">
        <v>1.0</v>
      </c>
      <c r="J1238" s="8">
        <v>1.0</v>
      </c>
      <c r="K1238" s="8">
        <v>1.0</v>
      </c>
      <c r="L1238" s="8">
        <v>6.0</v>
      </c>
      <c r="M1238" s="8"/>
      <c r="N1238" s="8"/>
      <c r="O1238" s="8" t="s">
        <v>751</v>
      </c>
      <c r="P1238" s="8">
        <v>6.0</v>
      </c>
    </row>
    <row r="1239">
      <c r="A1239">
        <f>IFERROR(__xludf.DUMMYFUNCTION("""COMPUTED_VALUE"""),8.0)</f>
        <v>8</v>
      </c>
      <c r="B1239">
        <f>IFERROR(__xludf.DUMMYFUNCTION("""COMPUTED_VALUE"""),29092.0)</f>
        <v>29092</v>
      </c>
      <c r="C1239" t="str">
        <f>IFERROR(__xludf.DUMMYFUNCTION("""COMPUTED_VALUE"""),"TURIZZO BORRERO, CAMILO ANDRES")</f>
        <v>TURIZZO BORRERO, CAMILO ANDRES</v>
      </c>
      <c r="D1239" t="str">
        <f>IFERROR(__xludf.DUMMYFUNCTION("""COMPUTED_VALUE"""),"English 8")</f>
        <v>English 8</v>
      </c>
      <c r="E1239" s="31">
        <f>IFERROR(__xludf.DUMMYFUNCTION("""COMPUTED_VALUE"""),3.0)</f>
        <v>3</v>
      </c>
      <c r="F1239" s="8">
        <v>1.0</v>
      </c>
      <c r="G1239" s="8">
        <v>1.0</v>
      </c>
      <c r="H1239" s="8">
        <v>1.0</v>
      </c>
      <c r="I1239" s="8">
        <v>1.0</v>
      </c>
      <c r="J1239" s="8">
        <v>1.0</v>
      </c>
      <c r="K1239" s="8">
        <v>1.0</v>
      </c>
      <c r="L1239" s="8">
        <v>6.0</v>
      </c>
      <c r="M1239" s="8"/>
      <c r="N1239" s="8"/>
      <c r="O1239" s="8" t="s">
        <v>751</v>
      </c>
      <c r="P1239" s="8">
        <v>6.0</v>
      </c>
    </row>
    <row r="1240">
      <c r="A1240">
        <f>IFERROR(__xludf.DUMMYFUNCTION("""COMPUTED_VALUE"""),8.0)</f>
        <v>8</v>
      </c>
      <c r="B1240">
        <f>IFERROR(__xludf.DUMMYFUNCTION("""COMPUTED_VALUE"""),29120.0)</f>
        <v>29120</v>
      </c>
      <c r="C1240" t="str">
        <f>IFERROR(__xludf.DUMMYFUNCTION("""COMPUTED_VALUE"""),"URIBE JARAMILLO, PEDRO JUAN")</f>
        <v>URIBE JARAMILLO, PEDRO JUAN</v>
      </c>
      <c r="D1240" t="str">
        <f>IFERROR(__xludf.DUMMYFUNCTION("""COMPUTED_VALUE"""),"English 8A")</f>
        <v>English 8A</v>
      </c>
      <c r="E1240" s="31">
        <f>IFERROR(__xludf.DUMMYFUNCTION("""COMPUTED_VALUE"""),6.0)</f>
        <v>6</v>
      </c>
      <c r="F1240" s="8">
        <v>1.0</v>
      </c>
      <c r="G1240" s="8">
        <v>1.0</v>
      </c>
      <c r="H1240" s="8">
        <v>1.0</v>
      </c>
      <c r="I1240" s="8">
        <v>1.0</v>
      </c>
      <c r="J1240" s="8">
        <v>1.0</v>
      </c>
      <c r="K1240" s="8">
        <v>1.0</v>
      </c>
      <c r="L1240" s="8">
        <v>6.0</v>
      </c>
      <c r="M1240" s="8"/>
      <c r="N1240" s="8"/>
      <c r="O1240" s="8" t="s">
        <v>752</v>
      </c>
      <c r="P1240" s="8" t="e">
        <v>#N/A</v>
      </c>
    </row>
    <row r="1241">
      <c r="A1241">
        <f>IFERROR(__xludf.DUMMYFUNCTION("""COMPUTED_VALUE"""),8.0)</f>
        <v>8</v>
      </c>
      <c r="B1241">
        <f>IFERROR(__xludf.DUMMYFUNCTION("""COMPUTED_VALUE"""),29122.0)</f>
        <v>29122</v>
      </c>
      <c r="C1241" t="str">
        <f>IFERROR(__xludf.DUMMYFUNCTION("""COMPUTED_VALUE"""),"URIBE RODRIGUEZ, MARIA LUISA")</f>
        <v>URIBE RODRIGUEZ, MARIA LUISA</v>
      </c>
      <c r="D1241" t="str">
        <f>IFERROR(__xludf.DUMMYFUNCTION("""COMPUTED_VALUE"""),"English 8")</f>
        <v>English 8</v>
      </c>
      <c r="E1241" s="31">
        <f>IFERROR(__xludf.DUMMYFUNCTION("""COMPUTED_VALUE"""),6.0)</f>
        <v>6</v>
      </c>
      <c r="F1241" s="8">
        <v>1.0</v>
      </c>
      <c r="G1241" s="8">
        <v>1.0</v>
      </c>
      <c r="H1241" s="8">
        <v>1.0</v>
      </c>
      <c r="I1241" s="8">
        <v>1.0</v>
      </c>
      <c r="J1241" s="8">
        <v>1.0</v>
      </c>
      <c r="K1241" s="8">
        <v>1.0</v>
      </c>
      <c r="L1241" s="8">
        <v>6.0</v>
      </c>
      <c r="M1241" s="8"/>
      <c r="N1241" s="8"/>
      <c r="O1241" s="8" t="s">
        <v>748</v>
      </c>
      <c r="P1241" s="8">
        <v>6.0</v>
      </c>
    </row>
    <row r="1242">
      <c r="A1242">
        <f>IFERROR(__xludf.DUMMYFUNCTION("""COMPUTED_VALUE"""),8.0)</f>
        <v>8</v>
      </c>
      <c r="B1242">
        <f>IFERROR(__xludf.DUMMYFUNCTION("""COMPUTED_VALUE"""),29123.0)</f>
        <v>29123</v>
      </c>
      <c r="C1242" t="str">
        <f>IFERROR(__xludf.DUMMYFUNCTION("""COMPUTED_VALUE"""),"URRETA HENAO, OLIVIA")</f>
        <v>URRETA HENAO, OLIVIA</v>
      </c>
      <c r="D1242" t="str">
        <f>IFERROR(__xludf.DUMMYFUNCTION("""COMPUTED_VALUE"""),"English 8A")</f>
        <v>English 8A</v>
      </c>
      <c r="E1242" s="31">
        <f>IFERROR(__xludf.DUMMYFUNCTION("""COMPUTED_VALUE"""),6.0)</f>
        <v>6</v>
      </c>
      <c r="F1242" s="8">
        <v>1.0</v>
      </c>
      <c r="G1242" s="8">
        <v>1.0</v>
      </c>
      <c r="H1242" s="8">
        <v>1.0</v>
      </c>
      <c r="I1242" s="8">
        <v>1.0</v>
      </c>
      <c r="J1242" s="8">
        <v>1.0</v>
      </c>
      <c r="K1242" s="8">
        <v>1.0</v>
      </c>
      <c r="L1242" s="8">
        <v>6.0</v>
      </c>
      <c r="M1242" s="8"/>
      <c r="N1242" s="8"/>
      <c r="O1242" s="8" t="s">
        <v>752</v>
      </c>
      <c r="P1242" s="8" t="e">
        <v>#N/A</v>
      </c>
    </row>
    <row r="1243">
      <c r="A1243">
        <f>IFERROR(__xludf.DUMMYFUNCTION("""COMPUTED_VALUE"""),8.0)</f>
        <v>8</v>
      </c>
      <c r="B1243">
        <f>IFERROR(__xludf.DUMMYFUNCTION("""COMPUTED_VALUE"""),29124.0)</f>
        <v>29124</v>
      </c>
      <c r="C1243" t="str">
        <f>IFERROR(__xludf.DUMMYFUNCTION("""COMPUTED_VALUE"""),"VALLEJO HOYOS, JUAN")</f>
        <v>VALLEJO HOYOS, JUAN</v>
      </c>
      <c r="D1243" t="str">
        <f>IFERROR(__xludf.DUMMYFUNCTION("""COMPUTED_VALUE"""),"English 8")</f>
        <v>English 8</v>
      </c>
      <c r="E1243" s="31">
        <f>IFERROR(__xludf.DUMMYFUNCTION("""COMPUTED_VALUE"""),2.0)</f>
        <v>2</v>
      </c>
      <c r="F1243" s="8">
        <v>1.0</v>
      </c>
      <c r="G1243" s="8">
        <v>1.0</v>
      </c>
      <c r="H1243" s="8">
        <v>1.0</v>
      </c>
      <c r="I1243" s="8">
        <v>1.0</v>
      </c>
      <c r="J1243" s="8">
        <v>1.0</v>
      </c>
      <c r="K1243" s="8">
        <v>1.0</v>
      </c>
      <c r="L1243" s="8">
        <v>6.0</v>
      </c>
      <c r="M1243" s="8"/>
      <c r="N1243" s="8"/>
      <c r="O1243" s="8" t="s">
        <v>747</v>
      </c>
      <c r="P1243" s="8">
        <v>6.0</v>
      </c>
    </row>
    <row r="1244">
      <c r="A1244">
        <f>IFERROR(__xludf.DUMMYFUNCTION("""COMPUTED_VALUE"""),8.0)</f>
        <v>8</v>
      </c>
      <c r="B1244">
        <f>IFERROR(__xludf.DUMMYFUNCTION("""COMPUTED_VALUE"""),29125.0)</f>
        <v>29125</v>
      </c>
      <c r="C1244" t="str">
        <f>IFERROR(__xludf.DUMMYFUNCTION("""COMPUTED_VALUE"""),"VALLEJO LONDOÑO, TOMAS")</f>
        <v>VALLEJO LONDOÑO, TOMAS</v>
      </c>
      <c r="D1244" t="str">
        <f>IFERROR(__xludf.DUMMYFUNCTION("""COMPUTED_VALUE"""),"English 8")</f>
        <v>English 8</v>
      </c>
      <c r="E1244" s="31">
        <f>IFERROR(__xludf.DUMMYFUNCTION("""COMPUTED_VALUE"""),3.0)</f>
        <v>3</v>
      </c>
      <c r="F1244" s="8">
        <v>1.0</v>
      </c>
      <c r="G1244" s="8">
        <v>1.0</v>
      </c>
      <c r="H1244" s="8">
        <v>1.0</v>
      </c>
      <c r="I1244" s="8">
        <v>1.0</v>
      </c>
      <c r="J1244" s="8">
        <v>1.0</v>
      </c>
      <c r="K1244" s="8">
        <v>1.0</v>
      </c>
      <c r="L1244" s="8">
        <v>6.0</v>
      </c>
      <c r="M1244" s="8"/>
      <c r="N1244" s="8"/>
      <c r="O1244" s="8" t="s">
        <v>751</v>
      </c>
      <c r="P1244" s="8">
        <v>6.0</v>
      </c>
    </row>
    <row r="1245">
      <c r="A1245">
        <f>IFERROR(__xludf.DUMMYFUNCTION("""COMPUTED_VALUE"""),8.0)</f>
        <v>8</v>
      </c>
      <c r="B1245">
        <f>IFERROR(__xludf.DUMMYFUNCTION("""COMPUTED_VALUE"""),29126.0)</f>
        <v>29126</v>
      </c>
      <c r="C1245" t="str">
        <f>IFERROR(__xludf.DUMMYFUNCTION("""COMPUTED_VALUE"""),"VASQUEZ ANGEL, JUANITA")</f>
        <v>VASQUEZ ANGEL, JUANITA</v>
      </c>
      <c r="D1245" t="str">
        <f>IFERROR(__xludf.DUMMYFUNCTION("""COMPUTED_VALUE"""),"English 8")</f>
        <v>English 8</v>
      </c>
      <c r="E1245" s="31">
        <f>IFERROR(__xludf.DUMMYFUNCTION("""COMPUTED_VALUE"""),1.0)</f>
        <v>1</v>
      </c>
      <c r="F1245" s="8">
        <v>1.0</v>
      </c>
      <c r="G1245" s="8">
        <v>1.0</v>
      </c>
      <c r="H1245" s="8">
        <v>1.0</v>
      </c>
      <c r="I1245" s="8">
        <v>1.0</v>
      </c>
      <c r="J1245" s="8">
        <v>1.0</v>
      </c>
      <c r="K1245" s="8">
        <v>1.0</v>
      </c>
      <c r="L1245" s="8">
        <v>6.0</v>
      </c>
      <c r="M1245" s="8"/>
      <c r="N1245" s="8"/>
      <c r="O1245" s="8" t="s">
        <v>749</v>
      </c>
      <c r="P1245" s="8">
        <v>6.0</v>
      </c>
    </row>
    <row r="1246">
      <c r="A1246">
        <f>IFERROR(__xludf.DUMMYFUNCTION("""COMPUTED_VALUE"""),8.0)</f>
        <v>8</v>
      </c>
      <c r="B1246">
        <f>IFERROR(__xludf.DUMMYFUNCTION("""COMPUTED_VALUE"""),29145.0)</f>
        <v>29145</v>
      </c>
      <c r="C1246" t="str">
        <f>IFERROR(__xludf.DUMMYFUNCTION("""COMPUTED_VALUE"""),"VELASQUEZ GUTIERREZ, SAMUEL")</f>
        <v>VELASQUEZ GUTIERREZ, SAMUEL</v>
      </c>
      <c r="D1246" t="str">
        <f>IFERROR(__xludf.DUMMYFUNCTION("""COMPUTED_VALUE"""),"English 8")</f>
        <v>English 8</v>
      </c>
      <c r="E1246" s="31">
        <f>IFERROR(__xludf.DUMMYFUNCTION("""COMPUTED_VALUE"""),6.0)</f>
        <v>6</v>
      </c>
      <c r="F1246" s="8">
        <v>1.0</v>
      </c>
      <c r="G1246" s="8">
        <v>1.0</v>
      </c>
      <c r="H1246" s="8">
        <v>1.0</v>
      </c>
      <c r="I1246" s="8">
        <v>1.0</v>
      </c>
      <c r="J1246" s="8">
        <v>1.0</v>
      </c>
      <c r="K1246" s="8">
        <v>1.0</v>
      </c>
      <c r="L1246" s="8">
        <v>6.0</v>
      </c>
      <c r="M1246" s="8"/>
      <c r="N1246" s="8"/>
      <c r="O1246" s="8" t="s">
        <v>748</v>
      </c>
      <c r="P1246" s="8">
        <v>6.0</v>
      </c>
    </row>
    <row r="1247">
      <c r="A1247">
        <f>IFERROR(__xludf.DUMMYFUNCTION("""COMPUTED_VALUE"""),8.0)</f>
        <v>8</v>
      </c>
      <c r="B1247">
        <f>IFERROR(__xludf.DUMMYFUNCTION("""COMPUTED_VALUE"""),29128.0)</f>
        <v>29128</v>
      </c>
      <c r="C1247" t="str">
        <f>IFERROR(__xludf.DUMMYFUNCTION("""COMPUTED_VALUE"""),"VELASQUEZ JARAMILLO, MARIA")</f>
        <v>VELASQUEZ JARAMILLO, MARIA</v>
      </c>
      <c r="D1247" t="str">
        <f>IFERROR(__xludf.DUMMYFUNCTION("""COMPUTED_VALUE"""),"English 8")</f>
        <v>English 8</v>
      </c>
      <c r="E1247" s="31">
        <f>IFERROR(__xludf.DUMMYFUNCTION("""COMPUTED_VALUE"""),1.0)</f>
        <v>1</v>
      </c>
      <c r="F1247" s="8">
        <v>1.0</v>
      </c>
      <c r="G1247" s="8">
        <v>1.0</v>
      </c>
      <c r="H1247" s="8">
        <v>1.0</v>
      </c>
      <c r="I1247" s="8">
        <v>1.0</v>
      </c>
      <c r="J1247" s="8">
        <v>1.0</v>
      </c>
      <c r="K1247" s="8">
        <v>1.0</v>
      </c>
      <c r="L1247" s="8">
        <v>6.0</v>
      </c>
      <c r="M1247" s="8"/>
      <c r="N1247" s="8"/>
      <c r="O1247" s="8" t="s">
        <v>749</v>
      </c>
      <c r="P1247" s="8">
        <v>6.0</v>
      </c>
    </row>
    <row r="1248">
      <c r="A1248">
        <f>IFERROR(__xludf.DUMMYFUNCTION("""COMPUTED_VALUE"""),8.0)</f>
        <v>8</v>
      </c>
      <c r="B1248">
        <f>IFERROR(__xludf.DUMMYFUNCTION("""COMPUTED_VALUE"""),29129.0)</f>
        <v>29129</v>
      </c>
      <c r="C1248" t="str">
        <f>IFERROR(__xludf.DUMMYFUNCTION("""COMPUTED_VALUE"""),"VELEZ RESTREPO, SIMON")</f>
        <v>VELEZ RESTREPO, SIMON</v>
      </c>
      <c r="D1248" t="str">
        <f>IFERROR(__xludf.DUMMYFUNCTION("""COMPUTED_VALUE"""),"English 8")</f>
        <v>English 8</v>
      </c>
      <c r="E1248" s="31">
        <f>IFERROR(__xludf.DUMMYFUNCTION("""COMPUTED_VALUE"""),1.0)</f>
        <v>1</v>
      </c>
      <c r="F1248" s="8">
        <v>1.0</v>
      </c>
      <c r="G1248" s="8">
        <v>1.0</v>
      </c>
      <c r="H1248" s="8">
        <v>1.0</v>
      </c>
      <c r="I1248" s="8">
        <v>1.0</v>
      </c>
      <c r="J1248" s="8">
        <v>1.0</v>
      </c>
      <c r="K1248" s="8">
        <v>1.0</v>
      </c>
      <c r="L1248" s="8">
        <v>6.0</v>
      </c>
      <c r="M1248" s="8"/>
      <c r="N1248" s="8"/>
      <c r="O1248" s="8" t="s">
        <v>749</v>
      </c>
      <c r="P1248" s="8">
        <v>6.0</v>
      </c>
    </row>
    <row r="1249">
      <c r="A1249">
        <f>IFERROR(__xludf.DUMMYFUNCTION("""COMPUTED_VALUE"""),8.0)</f>
        <v>8</v>
      </c>
      <c r="B1249">
        <f>IFERROR(__xludf.DUMMYFUNCTION("""COMPUTED_VALUE"""),29131.0)</f>
        <v>29131</v>
      </c>
      <c r="C1249" t="str">
        <f>IFERROR(__xludf.DUMMYFUNCTION("""COMPUTED_VALUE"""),"VILLEGAS HINCAPIE, CANDELARIA")</f>
        <v>VILLEGAS HINCAPIE, CANDELARIA</v>
      </c>
      <c r="D1249" t="str">
        <f>IFERROR(__xludf.DUMMYFUNCTION("""COMPUTED_VALUE"""),"English 8")</f>
        <v>English 8</v>
      </c>
      <c r="E1249" s="31">
        <f>IFERROR(__xludf.DUMMYFUNCTION("""COMPUTED_VALUE"""),2.0)</f>
        <v>2</v>
      </c>
      <c r="F1249" s="8">
        <v>1.0</v>
      </c>
      <c r="G1249" s="8">
        <v>1.0</v>
      </c>
      <c r="H1249" s="8">
        <v>1.0</v>
      </c>
      <c r="I1249" s="8">
        <v>1.0</v>
      </c>
      <c r="J1249" s="8">
        <v>1.0</v>
      </c>
      <c r="K1249" s="8">
        <v>1.0</v>
      </c>
      <c r="L1249" s="8">
        <v>6.0</v>
      </c>
      <c r="M1249" s="8"/>
      <c r="N1249" s="8"/>
      <c r="O1249" s="8" t="s">
        <v>747</v>
      </c>
      <c r="P1249" s="8">
        <v>6.0</v>
      </c>
    </row>
    <row r="1250">
      <c r="A1250">
        <f>IFERROR(__xludf.DUMMYFUNCTION("""COMPUTED_VALUE"""),8.0)</f>
        <v>8</v>
      </c>
      <c r="B1250">
        <f>IFERROR(__xludf.DUMMYFUNCTION("""COMPUTED_VALUE"""),29132.0)</f>
        <v>29132</v>
      </c>
      <c r="C1250" t="str">
        <f>IFERROR(__xludf.DUMMYFUNCTION("""COMPUTED_VALUE"""),"VILLEGAS MEJIA, SIMON")</f>
        <v>VILLEGAS MEJIA, SIMON</v>
      </c>
      <c r="D1250" t="str">
        <f>IFERROR(__xludf.DUMMYFUNCTION("""COMPUTED_VALUE"""),"English 8")</f>
        <v>English 8</v>
      </c>
      <c r="E1250" s="31">
        <f>IFERROR(__xludf.DUMMYFUNCTION("""COMPUTED_VALUE"""),6.0)</f>
        <v>6</v>
      </c>
      <c r="F1250" s="8">
        <v>1.0</v>
      </c>
      <c r="G1250" s="8">
        <v>1.0</v>
      </c>
      <c r="H1250" s="8">
        <v>1.0</v>
      </c>
      <c r="I1250" s="8">
        <v>1.0</v>
      </c>
      <c r="J1250" s="8">
        <v>1.0</v>
      </c>
      <c r="K1250" s="8">
        <v>1.0</v>
      </c>
      <c r="L1250" s="8">
        <v>6.0</v>
      </c>
      <c r="M1250" s="8"/>
      <c r="N1250" s="8"/>
      <c r="O1250" s="8" t="s">
        <v>748</v>
      </c>
      <c r="P1250" s="8">
        <v>6.0</v>
      </c>
    </row>
    <row r="1251">
      <c r="A1251">
        <f>IFERROR(__xludf.DUMMYFUNCTION("""COMPUTED_VALUE"""),8.0)</f>
        <v>8</v>
      </c>
      <c r="B1251">
        <f>IFERROR(__xludf.DUMMYFUNCTION("""COMPUTED_VALUE"""),29133.0)</f>
        <v>29133</v>
      </c>
      <c r="C1251" t="str">
        <f>IFERROR(__xludf.DUMMYFUNCTION("""COMPUTED_VALUE"""),"ZAPATA URIBE, RAFAEL")</f>
        <v>ZAPATA URIBE, RAFAEL</v>
      </c>
      <c r="D1251" t="str">
        <f>IFERROR(__xludf.DUMMYFUNCTION("""COMPUTED_VALUE"""),"English 8")</f>
        <v>English 8</v>
      </c>
      <c r="E1251" s="31">
        <f>IFERROR(__xludf.DUMMYFUNCTION("""COMPUTED_VALUE"""),5.0)</f>
        <v>5</v>
      </c>
      <c r="F1251" s="8">
        <v>1.0</v>
      </c>
      <c r="G1251" s="8">
        <v>1.0</v>
      </c>
      <c r="H1251" s="8">
        <v>1.0</v>
      </c>
      <c r="I1251" s="8">
        <v>1.0</v>
      </c>
      <c r="J1251" s="8">
        <v>1.0</v>
      </c>
      <c r="K1251" s="8">
        <v>1.0</v>
      </c>
      <c r="L1251" s="8">
        <v>6.0</v>
      </c>
      <c r="M1251" s="8"/>
      <c r="N1251" s="8"/>
      <c r="O1251" s="8" t="s">
        <v>750</v>
      </c>
      <c r="P1251" s="8">
        <v>6.0</v>
      </c>
    </row>
    <row r="1252">
      <c r="A1252">
        <f>IFERROR(__xludf.DUMMYFUNCTION("""COMPUTED_VALUE"""),8.0)</f>
        <v>8</v>
      </c>
      <c r="B1252">
        <f>IFERROR(__xludf.DUMMYFUNCTION("""COMPUTED_VALUE"""),27128.0)</f>
        <v>27128</v>
      </c>
      <c r="C1252" t="str">
        <f>IFERROR(__xludf.DUMMYFUNCTION("""COMPUTED_VALUE"""),"ZULUAGA CHAVEZ, ISAIAS")</f>
        <v>ZULUAGA CHAVEZ, ISAIAS</v>
      </c>
      <c r="D1252" t="str">
        <f>IFERROR(__xludf.DUMMYFUNCTION("""COMPUTED_VALUE"""),"English 8")</f>
        <v>English 8</v>
      </c>
      <c r="E1252" s="31">
        <f>IFERROR(__xludf.DUMMYFUNCTION("""COMPUTED_VALUE"""),6.0)</f>
        <v>6</v>
      </c>
      <c r="F1252" s="8">
        <v>1.0</v>
      </c>
      <c r="G1252" s="8">
        <v>1.0</v>
      </c>
      <c r="H1252" s="8">
        <v>1.0</v>
      </c>
      <c r="I1252" s="8">
        <v>1.0</v>
      </c>
      <c r="J1252" s="8">
        <v>1.0</v>
      </c>
      <c r="K1252" s="8">
        <v>1.0</v>
      </c>
      <c r="L1252" s="8">
        <v>6.0</v>
      </c>
      <c r="M1252" s="8"/>
      <c r="N1252" s="8"/>
      <c r="O1252" s="8" t="s">
        <v>748</v>
      </c>
      <c r="P1252" s="8">
        <v>6.0</v>
      </c>
    </row>
    <row r="1253">
      <c r="A1253">
        <f>IFERROR(__xludf.DUMMYFUNCTION("""COMPUTED_VALUE"""),6.0)</f>
        <v>6</v>
      </c>
      <c r="B1253">
        <f>IFERROR(__xludf.DUMMYFUNCTION("""COMPUTED_VALUE"""),31002.0)</f>
        <v>31002</v>
      </c>
      <c r="C1253" t="str">
        <f>IFERROR(__xludf.DUMMYFUNCTION("""COMPUTED_VALUE"""),"ACEVEDO ARANGO, VICENTE")</f>
        <v>ACEVEDO ARANGO, VICENTE</v>
      </c>
      <c r="D1253" t="str">
        <f>IFERROR(__xludf.DUMMYFUNCTION("""COMPUTED_VALUE"""),"Sociales 6")</f>
        <v>Sociales 6</v>
      </c>
      <c r="E1253" s="31">
        <f>IFERROR(__xludf.DUMMYFUNCTION("""COMPUTED_VALUE"""),5.0)</f>
        <v>5</v>
      </c>
      <c r="F1253" s="8">
        <v>1.0</v>
      </c>
      <c r="G1253" s="8">
        <v>1.0</v>
      </c>
      <c r="H1253" s="8">
        <v>1.0</v>
      </c>
      <c r="I1253" s="8">
        <v>1.0</v>
      </c>
      <c r="J1253" s="8">
        <v>1.0</v>
      </c>
      <c r="K1253" s="8">
        <v>1.0</v>
      </c>
      <c r="L1253" s="8">
        <v>6.0</v>
      </c>
      <c r="M1253" s="8"/>
      <c r="N1253" s="8"/>
      <c r="O1253" s="8" t="s">
        <v>753</v>
      </c>
      <c r="P1253" s="8">
        <v>6.0</v>
      </c>
    </row>
    <row r="1254">
      <c r="A1254">
        <f>IFERROR(__xludf.DUMMYFUNCTION("""COMPUTED_VALUE"""),6.0)</f>
        <v>6</v>
      </c>
      <c r="B1254">
        <f>IFERROR(__xludf.DUMMYFUNCTION("""COMPUTED_VALUE"""),31003.0)</f>
        <v>31003</v>
      </c>
      <c r="C1254" t="str">
        <f>IFERROR(__xludf.DUMMYFUNCTION("""COMPUTED_VALUE"""),"AGUIRRE ARANGO, MARIA")</f>
        <v>AGUIRRE ARANGO, MARIA</v>
      </c>
      <c r="D1254" t="str">
        <f>IFERROR(__xludf.DUMMYFUNCTION("""COMPUTED_VALUE"""),"Sociales 6")</f>
        <v>Sociales 6</v>
      </c>
      <c r="E1254" s="31">
        <f>IFERROR(__xludf.DUMMYFUNCTION("""COMPUTED_VALUE"""),2.0)</f>
        <v>2</v>
      </c>
      <c r="F1254" s="8">
        <v>1.0</v>
      </c>
      <c r="G1254" s="8">
        <v>1.0</v>
      </c>
      <c r="H1254" s="8">
        <v>1.0</v>
      </c>
      <c r="I1254" s="8">
        <v>1.0</v>
      </c>
      <c r="J1254" s="8">
        <v>1.0</v>
      </c>
      <c r="K1254" s="8">
        <v>1.0</v>
      </c>
      <c r="L1254" s="8">
        <v>6.0</v>
      </c>
      <c r="M1254" s="8"/>
      <c r="N1254" s="8"/>
      <c r="O1254" s="8" t="s">
        <v>754</v>
      </c>
      <c r="P1254" s="8">
        <v>6.0</v>
      </c>
    </row>
    <row r="1255">
      <c r="A1255">
        <f>IFERROR(__xludf.DUMMYFUNCTION("""COMPUTED_VALUE"""),6.0)</f>
        <v>6</v>
      </c>
      <c r="B1255">
        <f>IFERROR(__xludf.DUMMYFUNCTION("""COMPUTED_VALUE"""),31004.0)</f>
        <v>31004</v>
      </c>
      <c r="C1255" t="str">
        <f>IFERROR(__xludf.DUMMYFUNCTION("""COMPUTED_VALUE"""),"ALVAREZ RIVERA, SALVADOR")</f>
        <v>ALVAREZ RIVERA, SALVADOR</v>
      </c>
      <c r="D1255" t="str">
        <f>IFERROR(__xludf.DUMMYFUNCTION("""COMPUTED_VALUE"""),"Sociales 6")</f>
        <v>Sociales 6</v>
      </c>
      <c r="E1255" s="31">
        <f>IFERROR(__xludf.DUMMYFUNCTION("""COMPUTED_VALUE"""),3.0)</f>
        <v>3</v>
      </c>
      <c r="F1255" s="8">
        <v>1.0</v>
      </c>
      <c r="G1255" s="8">
        <v>1.0</v>
      </c>
      <c r="H1255" s="8">
        <v>1.0</v>
      </c>
      <c r="I1255" s="8">
        <v>1.0</v>
      </c>
      <c r="J1255" s="8">
        <v>1.0</v>
      </c>
      <c r="K1255" s="8">
        <v>1.0</v>
      </c>
      <c r="L1255" s="8">
        <v>6.0</v>
      </c>
      <c r="M1255" s="8"/>
      <c r="N1255" s="8"/>
      <c r="O1255" s="8" t="s">
        <v>755</v>
      </c>
      <c r="P1255" s="8">
        <v>6.0</v>
      </c>
    </row>
    <row r="1256">
      <c r="A1256">
        <f>IFERROR(__xludf.DUMMYFUNCTION("""COMPUTED_VALUE"""),6.0)</f>
        <v>6</v>
      </c>
      <c r="B1256">
        <f>IFERROR(__xludf.DUMMYFUNCTION("""COMPUTED_VALUE"""),31005.0)</f>
        <v>31005</v>
      </c>
      <c r="C1256" t="str">
        <f>IFERROR(__xludf.DUMMYFUNCTION("""COMPUTED_VALUE"""),"ARANGO VILLA, MATIAS")</f>
        <v>ARANGO VILLA, MATIAS</v>
      </c>
      <c r="D1256" t="str">
        <f>IFERROR(__xludf.DUMMYFUNCTION("""COMPUTED_VALUE"""),"Sociales 6")</f>
        <v>Sociales 6</v>
      </c>
      <c r="E1256" s="31">
        <f>IFERROR(__xludf.DUMMYFUNCTION("""COMPUTED_VALUE"""),4.0)</f>
        <v>4</v>
      </c>
      <c r="F1256" s="8">
        <v>1.0</v>
      </c>
      <c r="G1256" s="8">
        <v>1.0</v>
      </c>
      <c r="H1256" s="8">
        <v>1.0</v>
      </c>
      <c r="I1256" s="8">
        <v>1.0</v>
      </c>
      <c r="J1256" s="8">
        <v>1.0</v>
      </c>
      <c r="K1256" s="8">
        <v>1.0</v>
      </c>
      <c r="L1256" s="8">
        <v>6.0</v>
      </c>
      <c r="M1256" s="8"/>
      <c r="N1256" s="8"/>
      <c r="O1256" s="8" t="s">
        <v>756</v>
      </c>
      <c r="P1256" s="8">
        <v>6.0</v>
      </c>
    </row>
    <row r="1257">
      <c r="A1257">
        <f>IFERROR(__xludf.DUMMYFUNCTION("""COMPUTED_VALUE"""),6.0)</f>
        <v>6</v>
      </c>
      <c r="B1257">
        <f>IFERROR(__xludf.DUMMYFUNCTION("""COMPUTED_VALUE"""),31151.0)</f>
        <v>31151</v>
      </c>
      <c r="C1257" t="str">
        <f>IFERROR(__xludf.DUMMYFUNCTION("""COMPUTED_VALUE"""),"AREVALO RODRIGUEZ, MANUELA")</f>
        <v>AREVALO RODRIGUEZ, MANUELA</v>
      </c>
      <c r="D1257" t="str">
        <f>IFERROR(__xludf.DUMMYFUNCTION("""COMPUTED_VALUE"""),"Sociales 6")</f>
        <v>Sociales 6</v>
      </c>
      <c r="E1257" s="31">
        <f>IFERROR(__xludf.DUMMYFUNCTION("""COMPUTED_VALUE"""),2.0)</f>
        <v>2</v>
      </c>
      <c r="F1257" s="8">
        <v>1.0</v>
      </c>
      <c r="G1257" s="8">
        <v>1.0</v>
      </c>
      <c r="H1257" s="8">
        <v>1.0</v>
      </c>
      <c r="I1257" s="8">
        <v>1.0</v>
      </c>
      <c r="J1257" s="8">
        <v>1.0</v>
      </c>
      <c r="K1257" s="8">
        <v>1.0</v>
      </c>
      <c r="L1257" s="8">
        <v>6.0</v>
      </c>
      <c r="M1257" s="8"/>
      <c r="N1257" s="8"/>
      <c r="O1257" s="8" t="s">
        <v>754</v>
      </c>
      <c r="P1257" s="8">
        <v>6.0</v>
      </c>
    </row>
    <row r="1258">
      <c r="A1258">
        <f>IFERROR(__xludf.DUMMYFUNCTION("""COMPUTED_VALUE"""),6.0)</f>
        <v>6</v>
      </c>
      <c r="B1258">
        <f>IFERROR(__xludf.DUMMYFUNCTION("""COMPUTED_VALUE"""),31006.0)</f>
        <v>31006</v>
      </c>
      <c r="C1258" t="str">
        <f>IFERROR(__xludf.DUMMYFUNCTION("""COMPUTED_VALUE"""),"ARIAS GARCIA, SALOMON")</f>
        <v>ARIAS GARCIA, SALOMON</v>
      </c>
      <c r="D1258" t="str">
        <f>IFERROR(__xludf.DUMMYFUNCTION("""COMPUTED_VALUE"""),"Sociales 6")</f>
        <v>Sociales 6</v>
      </c>
      <c r="E1258" s="31">
        <f>IFERROR(__xludf.DUMMYFUNCTION("""COMPUTED_VALUE"""),4.0)</f>
        <v>4</v>
      </c>
      <c r="F1258" s="8">
        <v>1.0</v>
      </c>
      <c r="G1258" s="8">
        <v>1.0</v>
      </c>
      <c r="H1258" s="8">
        <v>1.0</v>
      </c>
      <c r="I1258" s="8">
        <v>1.0</v>
      </c>
      <c r="J1258" s="8">
        <v>1.0</v>
      </c>
      <c r="K1258" s="8">
        <v>1.0</v>
      </c>
      <c r="L1258" s="8">
        <v>6.0</v>
      </c>
      <c r="M1258" s="8"/>
      <c r="N1258" s="8"/>
      <c r="O1258" s="8" t="s">
        <v>756</v>
      </c>
      <c r="P1258" s="8">
        <v>6.0</v>
      </c>
    </row>
    <row r="1259">
      <c r="A1259">
        <f>IFERROR(__xludf.DUMMYFUNCTION("""COMPUTED_VALUE"""),6.0)</f>
        <v>6</v>
      </c>
      <c r="B1259">
        <f>IFERROR(__xludf.DUMMYFUNCTION("""COMPUTED_VALUE"""),31007.0)</f>
        <v>31007</v>
      </c>
      <c r="C1259" t="str">
        <f>IFERROR(__xludf.DUMMYFUNCTION("""COMPUTED_VALUE"""),"ARISTIZABAL SOTO, EMILIO")</f>
        <v>ARISTIZABAL SOTO, EMILIO</v>
      </c>
      <c r="D1259" t="str">
        <f>IFERROR(__xludf.DUMMYFUNCTION("""COMPUTED_VALUE"""),"Sociales 6")</f>
        <v>Sociales 6</v>
      </c>
      <c r="E1259" s="31">
        <f>IFERROR(__xludf.DUMMYFUNCTION("""COMPUTED_VALUE"""),3.0)</f>
        <v>3</v>
      </c>
      <c r="F1259" s="8">
        <v>1.0</v>
      </c>
      <c r="G1259" s="8">
        <v>1.0</v>
      </c>
      <c r="H1259" s="8">
        <v>1.0</v>
      </c>
      <c r="I1259" s="8">
        <v>1.0</v>
      </c>
      <c r="J1259" s="8">
        <v>1.0</v>
      </c>
      <c r="K1259" s="8">
        <v>1.0</v>
      </c>
      <c r="L1259" s="8">
        <v>6.0</v>
      </c>
      <c r="M1259" s="8"/>
      <c r="N1259" s="8"/>
      <c r="O1259" s="8" t="s">
        <v>755</v>
      </c>
      <c r="P1259" s="8">
        <v>6.0</v>
      </c>
    </row>
    <row r="1260">
      <c r="A1260">
        <f>IFERROR(__xludf.DUMMYFUNCTION("""COMPUTED_VALUE"""),6.0)</f>
        <v>6</v>
      </c>
      <c r="B1260">
        <f>IFERROR(__xludf.DUMMYFUNCTION("""COMPUTED_VALUE"""),31008.0)</f>
        <v>31008</v>
      </c>
      <c r="C1260" t="str">
        <f>IFERROR(__xludf.DUMMYFUNCTION("""COMPUTED_VALUE"""),"ARROYAVE LONDOÑO, MIGUEL")</f>
        <v>ARROYAVE LONDOÑO, MIGUEL</v>
      </c>
      <c r="D1260" t="str">
        <f>IFERROR(__xludf.DUMMYFUNCTION("""COMPUTED_VALUE"""),"Sociales 6")</f>
        <v>Sociales 6</v>
      </c>
      <c r="E1260" s="31">
        <f>IFERROR(__xludf.DUMMYFUNCTION("""COMPUTED_VALUE"""),4.0)</f>
        <v>4</v>
      </c>
      <c r="F1260" s="8">
        <v>1.0</v>
      </c>
      <c r="G1260" s="8">
        <v>1.0</v>
      </c>
      <c r="H1260" s="8">
        <v>1.0</v>
      </c>
      <c r="I1260" s="8">
        <v>1.0</v>
      </c>
      <c r="J1260" s="8">
        <v>1.0</v>
      </c>
      <c r="K1260" s="8">
        <v>1.0</v>
      </c>
      <c r="L1260" s="8">
        <v>6.0</v>
      </c>
      <c r="M1260" s="8"/>
      <c r="N1260" s="8"/>
      <c r="O1260" s="8" t="s">
        <v>756</v>
      </c>
      <c r="P1260" s="8">
        <v>6.0</v>
      </c>
    </row>
    <row r="1261">
      <c r="A1261">
        <f>IFERROR(__xludf.DUMMYFUNCTION("""COMPUTED_VALUE"""),6.0)</f>
        <v>6</v>
      </c>
      <c r="B1261">
        <f>IFERROR(__xludf.DUMMYFUNCTION("""COMPUTED_VALUE"""),31009.0)</f>
        <v>31009</v>
      </c>
      <c r="C1261" t="str">
        <f>IFERROR(__xludf.DUMMYFUNCTION("""COMPUTED_VALUE"""),"ARROYAVE SIERRA, RAFAEL")</f>
        <v>ARROYAVE SIERRA, RAFAEL</v>
      </c>
      <c r="D1261" t="str">
        <f>IFERROR(__xludf.DUMMYFUNCTION("""COMPUTED_VALUE"""),"Sociales 6")</f>
        <v>Sociales 6</v>
      </c>
      <c r="E1261" s="31">
        <f>IFERROR(__xludf.DUMMYFUNCTION("""COMPUTED_VALUE"""),1.0)</f>
        <v>1</v>
      </c>
      <c r="F1261" s="8">
        <v>1.0</v>
      </c>
      <c r="G1261" s="8">
        <v>1.0</v>
      </c>
      <c r="H1261" s="8">
        <v>1.0</v>
      </c>
      <c r="I1261" s="8">
        <v>1.0</v>
      </c>
      <c r="J1261" s="8">
        <v>1.0</v>
      </c>
      <c r="K1261" s="8">
        <v>1.0</v>
      </c>
      <c r="L1261" s="8">
        <v>6.0</v>
      </c>
      <c r="M1261" s="8"/>
      <c r="N1261" s="8"/>
      <c r="O1261" s="8" t="s">
        <v>757</v>
      </c>
      <c r="P1261" s="8">
        <v>6.0</v>
      </c>
    </row>
    <row r="1262">
      <c r="A1262">
        <f>IFERROR(__xludf.DUMMYFUNCTION("""COMPUTED_VALUE"""),6.0)</f>
        <v>6</v>
      </c>
      <c r="B1262">
        <f>IFERROR(__xludf.DUMMYFUNCTION("""COMPUTED_VALUE"""),31010.0)</f>
        <v>31010</v>
      </c>
      <c r="C1262" t="str">
        <f>IFERROR(__xludf.DUMMYFUNCTION("""COMPUTED_VALUE"""),"BARRERA CAMPIS, VALENTINA")</f>
        <v>BARRERA CAMPIS, VALENTINA</v>
      </c>
      <c r="D1262" t="str">
        <f>IFERROR(__xludf.DUMMYFUNCTION("""COMPUTED_VALUE"""),"Sociales 6A")</f>
        <v>Sociales 6A</v>
      </c>
      <c r="E1262" s="31">
        <f>IFERROR(__xludf.DUMMYFUNCTION("""COMPUTED_VALUE"""),2.0)</f>
        <v>2</v>
      </c>
      <c r="F1262" s="8">
        <v>1.0</v>
      </c>
      <c r="G1262" s="8">
        <v>1.0</v>
      </c>
      <c r="H1262" s="8">
        <v>1.0</v>
      </c>
      <c r="I1262" s="8">
        <v>1.0</v>
      </c>
      <c r="J1262" s="8">
        <v>1.0</v>
      </c>
      <c r="K1262" s="8">
        <v>1.0</v>
      </c>
      <c r="L1262" s="8">
        <v>6.0</v>
      </c>
      <c r="M1262" s="8"/>
      <c r="N1262" s="8"/>
      <c r="O1262" s="8" t="s">
        <v>758</v>
      </c>
      <c r="P1262" s="8" t="e">
        <v>#N/A</v>
      </c>
    </row>
    <row r="1263">
      <c r="A1263">
        <f>IFERROR(__xludf.DUMMYFUNCTION("""COMPUTED_VALUE"""),6.0)</f>
        <v>6</v>
      </c>
      <c r="B1263">
        <f>IFERROR(__xludf.DUMMYFUNCTION("""COMPUTED_VALUE"""),31011.0)</f>
        <v>31011</v>
      </c>
      <c r="C1263" t="str">
        <f>IFERROR(__xludf.DUMMYFUNCTION("""COMPUTED_VALUE"""),"BARRERA TORO, LORENZO")</f>
        <v>BARRERA TORO, LORENZO</v>
      </c>
      <c r="D1263" t="str">
        <f>IFERROR(__xludf.DUMMYFUNCTION("""COMPUTED_VALUE"""),"Sociales 6")</f>
        <v>Sociales 6</v>
      </c>
      <c r="E1263" s="31">
        <f>IFERROR(__xludf.DUMMYFUNCTION("""COMPUTED_VALUE"""),5.0)</f>
        <v>5</v>
      </c>
      <c r="F1263" s="8">
        <v>1.0</v>
      </c>
      <c r="G1263" s="8">
        <v>1.0</v>
      </c>
      <c r="H1263" s="8">
        <v>1.0</v>
      </c>
      <c r="I1263" s="8">
        <v>1.0</v>
      </c>
      <c r="J1263" s="8">
        <v>1.0</v>
      </c>
      <c r="K1263" s="8">
        <v>1.0</v>
      </c>
      <c r="L1263" s="8">
        <v>6.0</v>
      </c>
      <c r="M1263" s="8"/>
      <c r="N1263" s="8"/>
      <c r="O1263" s="8" t="s">
        <v>753</v>
      </c>
      <c r="P1263" s="8">
        <v>6.0</v>
      </c>
    </row>
    <row r="1264">
      <c r="A1264">
        <f>IFERROR(__xludf.DUMMYFUNCTION("""COMPUTED_VALUE"""),6.0)</f>
        <v>6</v>
      </c>
      <c r="B1264">
        <f>IFERROR(__xludf.DUMMYFUNCTION("""COMPUTED_VALUE"""),31012.0)</f>
        <v>31012</v>
      </c>
      <c r="C1264" t="str">
        <f>IFERROR(__xludf.DUMMYFUNCTION("""COMPUTED_VALUE"""),"BARTOLINI VELEZ, LORENZO")</f>
        <v>BARTOLINI VELEZ, LORENZO</v>
      </c>
      <c r="D1264" t="str">
        <f>IFERROR(__xludf.DUMMYFUNCTION("""COMPUTED_VALUE"""),"Sociales 6A")</f>
        <v>Sociales 6A</v>
      </c>
      <c r="E1264" s="31">
        <f>IFERROR(__xludf.DUMMYFUNCTION("""COMPUTED_VALUE"""),2.0)</f>
        <v>2</v>
      </c>
      <c r="F1264" s="8">
        <v>1.0</v>
      </c>
      <c r="G1264" s="8">
        <v>1.0</v>
      </c>
      <c r="H1264" s="8">
        <v>1.0</v>
      </c>
      <c r="I1264" s="8">
        <v>1.0</v>
      </c>
      <c r="J1264" s="8">
        <v>1.0</v>
      </c>
      <c r="K1264" s="8">
        <v>1.0</v>
      </c>
      <c r="L1264" s="8">
        <v>6.0</v>
      </c>
      <c r="M1264" s="8"/>
      <c r="N1264" s="8"/>
      <c r="O1264" s="8" t="s">
        <v>758</v>
      </c>
      <c r="P1264" s="8" t="e">
        <v>#N/A</v>
      </c>
    </row>
    <row r="1265">
      <c r="A1265">
        <f>IFERROR(__xludf.DUMMYFUNCTION("""COMPUTED_VALUE"""),6.0)</f>
        <v>6</v>
      </c>
      <c r="B1265">
        <f>IFERROR(__xludf.DUMMYFUNCTION("""COMPUTED_VALUE"""),31013.0)</f>
        <v>31013</v>
      </c>
      <c r="C1265" t="str">
        <f>IFERROR(__xludf.DUMMYFUNCTION("""COMPUTED_VALUE"""),"BASTIDAS MEJIA, JUAN JOSE")</f>
        <v>BASTIDAS MEJIA, JUAN JOSE</v>
      </c>
      <c r="D1265" t="str">
        <f>IFERROR(__xludf.DUMMYFUNCTION("""COMPUTED_VALUE"""),"Sociales 6")</f>
        <v>Sociales 6</v>
      </c>
      <c r="E1265" s="31">
        <f>IFERROR(__xludf.DUMMYFUNCTION("""COMPUTED_VALUE"""),4.0)</f>
        <v>4</v>
      </c>
      <c r="F1265" s="8">
        <v>1.0</v>
      </c>
      <c r="G1265" s="8">
        <v>1.0</v>
      </c>
      <c r="H1265" s="8">
        <v>1.0</v>
      </c>
      <c r="I1265" s="8">
        <v>1.0</v>
      </c>
      <c r="J1265" s="8">
        <v>1.0</v>
      </c>
      <c r="K1265" s="8">
        <v>1.0</v>
      </c>
      <c r="L1265" s="8">
        <v>6.0</v>
      </c>
      <c r="M1265" s="8"/>
      <c r="N1265" s="8"/>
      <c r="O1265" s="8" t="s">
        <v>756</v>
      </c>
      <c r="P1265" s="8">
        <v>6.0</v>
      </c>
    </row>
    <row r="1266">
      <c r="A1266">
        <f>IFERROR(__xludf.DUMMYFUNCTION("""COMPUTED_VALUE"""),6.0)</f>
        <v>6</v>
      </c>
      <c r="B1266">
        <f>IFERROR(__xludf.DUMMYFUNCTION("""COMPUTED_VALUE"""),31014.0)</f>
        <v>31014</v>
      </c>
      <c r="C1266" t="str">
        <f>IFERROR(__xludf.DUMMYFUNCTION("""COMPUTED_VALUE"""),"BETANCUR PENAGOS, AGUSTIN")</f>
        <v>BETANCUR PENAGOS, AGUSTIN</v>
      </c>
      <c r="D1266" t="str">
        <f>IFERROR(__xludf.DUMMYFUNCTION("""COMPUTED_VALUE"""),"Sociales 6")</f>
        <v>Sociales 6</v>
      </c>
      <c r="E1266" s="31">
        <f>IFERROR(__xludf.DUMMYFUNCTION("""COMPUTED_VALUE"""),3.0)</f>
        <v>3</v>
      </c>
      <c r="F1266" s="8">
        <v>1.0</v>
      </c>
      <c r="G1266" s="8">
        <v>1.0</v>
      </c>
      <c r="H1266" s="8">
        <v>1.0</v>
      </c>
      <c r="I1266" s="8">
        <v>1.0</v>
      </c>
      <c r="J1266" s="8">
        <v>1.0</v>
      </c>
      <c r="K1266" s="8">
        <v>1.0</v>
      </c>
      <c r="L1266" s="8">
        <v>6.0</v>
      </c>
      <c r="M1266" s="8"/>
      <c r="N1266" s="8"/>
      <c r="O1266" s="8" t="s">
        <v>755</v>
      </c>
      <c r="P1266" s="8">
        <v>6.0</v>
      </c>
    </row>
    <row r="1267">
      <c r="A1267">
        <f>IFERROR(__xludf.DUMMYFUNCTION("""COMPUTED_VALUE"""),6.0)</f>
        <v>6</v>
      </c>
      <c r="B1267">
        <f>IFERROR(__xludf.DUMMYFUNCTION("""COMPUTED_VALUE"""),31015.0)</f>
        <v>31015</v>
      </c>
      <c r="C1267" t="str">
        <f>IFERROR(__xludf.DUMMYFUNCTION("""COMPUTED_VALUE"""),"BETANCUR PENAGOS, LORENZO")</f>
        <v>BETANCUR PENAGOS, LORENZO</v>
      </c>
      <c r="D1267" t="str">
        <f>IFERROR(__xludf.DUMMYFUNCTION("""COMPUTED_VALUE"""),"Sociales 6")</f>
        <v>Sociales 6</v>
      </c>
      <c r="E1267" s="31">
        <f>IFERROR(__xludf.DUMMYFUNCTION("""COMPUTED_VALUE"""),4.0)</f>
        <v>4</v>
      </c>
      <c r="F1267" s="8">
        <v>1.0</v>
      </c>
      <c r="G1267" s="8">
        <v>1.0</v>
      </c>
      <c r="H1267" s="8">
        <v>1.0</v>
      </c>
      <c r="I1267" s="8">
        <v>1.0</v>
      </c>
      <c r="J1267" s="8">
        <v>1.0</v>
      </c>
      <c r="K1267" s="8">
        <v>1.0</v>
      </c>
      <c r="L1267" s="8">
        <v>6.0</v>
      </c>
      <c r="M1267" s="8"/>
      <c r="N1267" s="8"/>
      <c r="O1267" s="8" t="s">
        <v>756</v>
      </c>
      <c r="P1267" s="8">
        <v>6.0</v>
      </c>
    </row>
    <row r="1268">
      <c r="A1268">
        <f>IFERROR(__xludf.DUMMYFUNCTION("""COMPUTED_VALUE"""),6.0)</f>
        <v>6</v>
      </c>
      <c r="B1268">
        <f>IFERROR(__xludf.DUMMYFUNCTION("""COMPUTED_VALUE"""),31016.0)</f>
        <v>31016</v>
      </c>
      <c r="C1268" t="str">
        <f>IFERROR(__xludf.DUMMYFUNCTION("""COMPUTED_VALUE"""),"BETANCUR ROBLEDO, VICENTE")</f>
        <v>BETANCUR ROBLEDO, VICENTE</v>
      </c>
      <c r="D1268" t="str">
        <f>IFERROR(__xludf.DUMMYFUNCTION("""COMPUTED_VALUE"""),"Sociales 6A")</f>
        <v>Sociales 6A</v>
      </c>
      <c r="E1268" s="31">
        <f>IFERROR(__xludf.DUMMYFUNCTION("""COMPUTED_VALUE"""),2.0)</f>
        <v>2</v>
      </c>
      <c r="F1268" s="8">
        <v>1.0</v>
      </c>
      <c r="G1268" s="8">
        <v>1.0</v>
      </c>
      <c r="H1268" s="8">
        <v>1.0</v>
      </c>
      <c r="I1268" s="8">
        <v>1.0</v>
      </c>
      <c r="J1268" s="8">
        <v>1.0</v>
      </c>
      <c r="K1268" s="8">
        <v>1.0</v>
      </c>
      <c r="L1268" s="8">
        <v>6.0</v>
      </c>
      <c r="M1268" s="8"/>
      <c r="N1268" s="8"/>
      <c r="O1268" s="8" t="s">
        <v>758</v>
      </c>
      <c r="P1268" s="8" t="e">
        <v>#N/A</v>
      </c>
    </row>
    <row r="1269">
      <c r="A1269">
        <f>IFERROR(__xludf.DUMMYFUNCTION("""COMPUTED_VALUE"""),6.0)</f>
        <v>6</v>
      </c>
      <c r="B1269">
        <f>IFERROR(__xludf.DUMMYFUNCTION("""COMPUTED_VALUE"""),31166.0)</f>
        <v>31166</v>
      </c>
      <c r="C1269" t="str">
        <f>IFERROR(__xludf.DUMMYFUNCTION("""COMPUTED_VALUE"""),"BISHOP, XAVIER PATRICK")</f>
        <v>BISHOP, XAVIER PATRICK</v>
      </c>
      <c r="D1269" t="str">
        <f>IFERROR(__xludf.DUMMYFUNCTION("""COMPUTED_VALUE"""),"Sociales 6")</f>
        <v>Sociales 6</v>
      </c>
      <c r="E1269" s="31">
        <f>IFERROR(__xludf.DUMMYFUNCTION("""COMPUTED_VALUE"""),3.0)</f>
        <v>3</v>
      </c>
      <c r="F1269" s="8">
        <v>1.0</v>
      </c>
      <c r="G1269" s="8">
        <v>1.0</v>
      </c>
      <c r="H1269" s="8">
        <v>1.0</v>
      </c>
      <c r="I1269" s="8">
        <v>1.0</v>
      </c>
      <c r="J1269" s="8">
        <v>1.0</v>
      </c>
      <c r="K1269" s="8">
        <v>1.0</v>
      </c>
      <c r="L1269" s="8">
        <v>6.0</v>
      </c>
      <c r="M1269" s="8"/>
      <c r="N1269" s="8"/>
      <c r="O1269" s="8" t="s">
        <v>755</v>
      </c>
      <c r="P1269" s="8">
        <v>6.0</v>
      </c>
    </row>
    <row r="1270">
      <c r="A1270">
        <f>IFERROR(__xludf.DUMMYFUNCTION("""COMPUTED_VALUE"""),6.0)</f>
        <v>6</v>
      </c>
      <c r="B1270">
        <f>IFERROR(__xludf.DUMMYFUNCTION("""COMPUTED_VALUE"""),31152.0)</f>
        <v>31152</v>
      </c>
      <c r="C1270" t="str">
        <f>IFERROR(__xludf.DUMMYFUNCTION("""COMPUTED_VALUE"""),"BLANCO HENRIQUEZ, JUAN MARTIN")</f>
        <v>BLANCO HENRIQUEZ, JUAN MARTIN</v>
      </c>
      <c r="D1270" t="str">
        <f>IFERROR(__xludf.DUMMYFUNCTION("""COMPUTED_VALUE"""),"Sociales 6")</f>
        <v>Sociales 6</v>
      </c>
      <c r="E1270" s="31">
        <f>IFERROR(__xludf.DUMMYFUNCTION("""COMPUTED_VALUE"""),2.0)</f>
        <v>2</v>
      </c>
      <c r="F1270" s="8">
        <v>1.0</v>
      </c>
      <c r="G1270" s="8">
        <v>1.0</v>
      </c>
      <c r="H1270" s="8">
        <v>1.0</v>
      </c>
      <c r="I1270" s="8">
        <v>1.0</v>
      </c>
      <c r="J1270" s="8">
        <v>1.0</v>
      </c>
      <c r="K1270" s="8">
        <v>1.0</v>
      </c>
      <c r="L1270" s="8">
        <v>6.0</v>
      </c>
      <c r="M1270" s="8"/>
      <c r="N1270" s="8"/>
      <c r="O1270" s="8" t="s">
        <v>754</v>
      </c>
      <c r="P1270" s="8">
        <v>6.0</v>
      </c>
    </row>
    <row r="1271">
      <c r="A1271">
        <f>IFERROR(__xludf.DUMMYFUNCTION("""COMPUTED_VALUE"""),6.0)</f>
        <v>6</v>
      </c>
      <c r="B1271">
        <f>IFERROR(__xludf.DUMMYFUNCTION("""COMPUTED_VALUE"""),31017.0)</f>
        <v>31017</v>
      </c>
      <c r="C1271" t="str">
        <f>IFERROR(__xludf.DUMMYFUNCTION("""COMPUTED_VALUE"""),"BORDA AZCARATE, AGUSTIN")</f>
        <v>BORDA AZCARATE, AGUSTIN</v>
      </c>
      <c r="D1271" t="str">
        <f>IFERROR(__xludf.DUMMYFUNCTION("""COMPUTED_VALUE"""),"Sociales 6")</f>
        <v>Sociales 6</v>
      </c>
      <c r="E1271" s="31">
        <f>IFERROR(__xludf.DUMMYFUNCTION("""COMPUTED_VALUE"""),3.0)</f>
        <v>3</v>
      </c>
      <c r="F1271" s="8">
        <v>1.0</v>
      </c>
      <c r="G1271" s="8">
        <v>1.0</v>
      </c>
      <c r="H1271" s="8">
        <v>1.0</v>
      </c>
      <c r="I1271" s="8">
        <v>1.0</v>
      </c>
      <c r="J1271" s="8">
        <v>1.0</v>
      </c>
      <c r="K1271" s="8">
        <v>1.0</v>
      </c>
      <c r="L1271" s="8">
        <v>6.0</v>
      </c>
      <c r="M1271" s="8"/>
      <c r="N1271" s="8"/>
      <c r="O1271" s="8" t="s">
        <v>755</v>
      </c>
      <c r="P1271" s="8">
        <v>6.0</v>
      </c>
    </row>
    <row r="1272">
      <c r="A1272">
        <f>IFERROR(__xludf.DUMMYFUNCTION("""COMPUTED_VALUE"""),6.0)</f>
        <v>6</v>
      </c>
      <c r="B1272">
        <f>IFERROR(__xludf.DUMMYFUNCTION("""COMPUTED_VALUE"""),31019.0)</f>
        <v>31019</v>
      </c>
      <c r="C1272" t="str">
        <f>IFERROR(__xludf.DUMMYFUNCTION("""COMPUTED_VALUE"""),"BOTERO BOTERO, AMALIA")</f>
        <v>BOTERO BOTERO, AMALIA</v>
      </c>
      <c r="D1272" t="str">
        <f>IFERROR(__xludf.DUMMYFUNCTION("""COMPUTED_VALUE"""),"Sociales 6")</f>
        <v>Sociales 6</v>
      </c>
      <c r="E1272" s="31">
        <f>IFERROR(__xludf.DUMMYFUNCTION("""COMPUTED_VALUE"""),1.0)</f>
        <v>1</v>
      </c>
      <c r="F1272" s="8">
        <v>1.0</v>
      </c>
      <c r="G1272" s="8">
        <v>1.0</v>
      </c>
      <c r="H1272" s="8">
        <v>1.0</v>
      </c>
      <c r="I1272" s="8">
        <v>1.0</v>
      </c>
      <c r="J1272" s="8">
        <v>1.0</v>
      </c>
      <c r="K1272" s="8">
        <v>1.0</v>
      </c>
      <c r="L1272" s="8">
        <v>6.0</v>
      </c>
      <c r="M1272" s="8"/>
      <c r="N1272" s="8"/>
      <c r="O1272" s="8" t="s">
        <v>757</v>
      </c>
      <c r="P1272" s="8">
        <v>6.0</v>
      </c>
    </row>
    <row r="1273">
      <c r="A1273">
        <f>IFERROR(__xludf.DUMMYFUNCTION("""COMPUTED_VALUE"""),6.0)</f>
        <v>6</v>
      </c>
      <c r="B1273">
        <f>IFERROR(__xludf.DUMMYFUNCTION("""COMPUTED_VALUE"""),31020.0)</f>
        <v>31020</v>
      </c>
      <c r="C1273" t="str">
        <f>IFERROR(__xludf.DUMMYFUNCTION("""COMPUTED_VALUE"""),"BOTERO DEL CORRAL, MARTINA")</f>
        <v>BOTERO DEL CORRAL, MARTINA</v>
      </c>
      <c r="D1273" t="str">
        <f>IFERROR(__xludf.DUMMYFUNCTION("""COMPUTED_VALUE"""),"Sociales 6")</f>
        <v>Sociales 6</v>
      </c>
      <c r="E1273" s="31">
        <f>IFERROR(__xludf.DUMMYFUNCTION("""COMPUTED_VALUE"""),5.0)</f>
        <v>5</v>
      </c>
      <c r="F1273" s="8">
        <v>1.0</v>
      </c>
      <c r="G1273" s="8">
        <v>1.0</v>
      </c>
      <c r="H1273" s="8">
        <v>1.0</v>
      </c>
      <c r="I1273" s="8">
        <v>1.0</v>
      </c>
      <c r="J1273" s="8">
        <v>1.0</v>
      </c>
      <c r="K1273" s="8">
        <v>1.0</v>
      </c>
      <c r="L1273" s="8">
        <v>6.0</v>
      </c>
      <c r="M1273" s="8"/>
      <c r="N1273" s="8"/>
      <c r="O1273" s="8" t="s">
        <v>753</v>
      </c>
      <c r="P1273" s="8">
        <v>6.0</v>
      </c>
    </row>
    <row r="1274">
      <c r="A1274">
        <f>IFERROR(__xludf.DUMMYFUNCTION("""COMPUTED_VALUE"""),6.0)</f>
        <v>6</v>
      </c>
      <c r="B1274">
        <f>IFERROR(__xludf.DUMMYFUNCTION("""COMPUTED_VALUE"""),31018.0)</f>
        <v>31018</v>
      </c>
      <c r="C1274" t="str">
        <f>IFERROR(__xludf.DUMMYFUNCTION("""COMPUTED_VALUE"""),"BOTERO MONTOYA, MATIAS")</f>
        <v>BOTERO MONTOYA, MATIAS</v>
      </c>
      <c r="D1274" t="str">
        <f>IFERROR(__xludf.DUMMYFUNCTION("""COMPUTED_VALUE"""),"Sociales 6")</f>
        <v>Sociales 6</v>
      </c>
      <c r="E1274" s="31">
        <f>IFERROR(__xludf.DUMMYFUNCTION("""COMPUTED_VALUE"""),3.0)</f>
        <v>3</v>
      </c>
      <c r="F1274" s="8">
        <v>1.0</v>
      </c>
      <c r="G1274" s="8">
        <v>1.0</v>
      </c>
      <c r="H1274" s="8">
        <v>1.0</v>
      </c>
      <c r="I1274" s="8">
        <v>1.0</v>
      </c>
      <c r="J1274" s="8">
        <v>1.0</v>
      </c>
      <c r="K1274" s="8">
        <v>1.0</v>
      </c>
      <c r="L1274" s="8">
        <v>6.0</v>
      </c>
      <c r="M1274" s="8"/>
      <c r="N1274" s="8"/>
      <c r="O1274" s="8" t="s">
        <v>755</v>
      </c>
      <c r="P1274" s="8">
        <v>6.0</v>
      </c>
    </row>
    <row r="1275">
      <c r="A1275">
        <f>IFERROR(__xludf.DUMMYFUNCTION("""COMPUTED_VALUE"""),6.0)</f>
        <v>6</v>
      </c>
      <c r="B1275">
        <f>IFERROR(__xludf.DUMMYFUNCTION("""COMPUTED_VALUE"""),31022.0)</f>
        <v>31022</v>
      </c>
      <c r="C1275" t="str">
        <f>IFERROR(__xludf.DUMMYFUNCTION("""COMPUTED_VALUE"""),"CALDWELL VALLEJO, MAX")</f>
        <v>CALDWELL VALLEJO, MAX</v>
      </c>
      <c r="D1275" t="str">
        <f>IFERROR(__xludf.DUMMYFUNCTION("""COMPUTED_VALUE"""),"Sociales 6")</f>
        <v>Sociales 6</v>
      </c>
      <c r="E1275" s="31">
        <f>IFERROR(__xludf.DUMMYFUNCTION("""COMPUTED_VALUE"""),1.0)</f>
        <v>1</v>
      </c>
      <c r="F1275" s="8">
        <v>1.0</v>
      </c>
      <c r="G1275" s="8">
        <v>1.0</v>
      </c>
      <c r="H1275" s="8">
        <v>1.0</v>
      </c>
      <c r="I1275" s="8">
        <v>1.0</v>
      </c>
      <c r="J1275" s="8">
        <v>1.0</v>
      </c>
      <c r="K1275" s="8">
        <v>1.0</v>
      </c>
      <c r="L1275" s="8">
        <v>6.0</v>
      </c>
      <c r="M1275" s="8"/>
      <c r="N1275" s="8"/>
      <c r="O1275" s="8" t="s">
        <v>757</v>
      </c>
      <c r="P1275" s="8">
        <v>6.0</v>
      </c>
    </row>
    <row r="1276">
      <c r="A1276">
        <f>IFERROR(__xludf.DUMMYFUNCTION("""COMPUTED_VALUE"""),6.0)</f>
        <v>6</v>
      </c>
      <c r="B1276">
        <f>IFERROR(__xludf.DUMMYFUNCTION("""COMPUTED_VALUE"""),31023.0)</f>
        <v>31023</v>
      </c>
      <c r="C1276" t="str">
        <f>IFERROR(__xludf.DUMMYFUNCTION("""COMPUTED_VALUE"""),"CAPMARTIN GOMEZ, VALERIA")</f>
        <v>CAPMARTIN GOMEZ, VALERIA</v>
      </c>
      <c r="D1276" t="str">
        <f>IFERROR(__xludf.DUMMYFUNCTION("""COMPUTED_VALUE"""),"Sociales 6")</f>
        <v>Sociales 6</v>
      </c>
      <c r="E1276" s="31">
        <f>IFERROR(__xludf.DUMMYFUNCTION("""COMPUTED_VALUE"""),2.0)</f>
        <v>2</v>
      </c>
      <c r="F1276" s="8">
        <v>1.0</v>
      </c>
      <c r="G1276" s="8">
        <v>1.0</v>
      </c>
      <c r="H1276" s="8">
        <v>1.0</v>
      </c>
      <c r="I1276" s="8">
        <v>1.0</v>
      </c>
      <c r="J1276" s="8">
        <v>1.0</v>
      </c>
      <c r="K1276" s="8">
        <v>1.0</v>
      </c>
      <c r="L1276" s="8">
        <v>6.0</v>
      </c>
      <c r="M1276" s="8"/>
      <c r="N1276" s="8"/>
      <c r="O1276" s="8" t="s">
        <v>754</v>
      </c>
      <c r="P1276" s="8">
        <v>6.0</v>
      </c>
    </row>
    <row r="1277">
      <c r="A1277">
        <f>IFERROR(__xludf.DUMMYFUNCTION("""COMPUTED_VALUE"""),6.0)</f>
        <v>6</v>
      </c>
      <c r="B1277">
        <f>IFERROR(__xludf.DUMMYFUNCTION("""COMPUTED_VALUE"""),31024.0)</f>
        <v>31024</v>
      </c>
      <c r="C1277" t="str">
        <f>IFERROR(__xludf.DUMMYFUNCTION("""COMPUTED_VALUE"""),"CARDONA VELEZ, ALICIA")</f>
        <v>CARDONA VELEZ, ALICIA</v>
      </c>
      <c r="D1277" t="str">
        <f>IFERROR(__xludf.DUMMYFUNCTION("""COMPUTED_VALUE"""),"Sociales 6")</f>
        <v>Sociales 6</v>
      </c>
      <c r="E1277" s="31">
        <f>IFERROR(__xludf.DUMMYFUNCTION("""COMPUTED_VALUE"""),5.0)</f>
        <v>5</v>
      </c>
      <c r="F1277" s="8">
        <v>1.0</v>
      </c>
      <c r="G1277" s="8">
        <v>1.0</v>
      </c>
      <c r="H1277" s="8">
        <v>1.0</v>
      </c>
      <c r="I1277" s="8">
        <v>1.0</v>
      </c>
      <c r="J1277" s="8">
        <v>1.0</v>
      </c>
      <c r="K1277" s="8">
        <v>1.0</v>
      </c>
      <c r="L1277" s="8">
        <v>6.0</v>
      </c>
      <c r="M1277" s="8"/>
      <c r="N1277" s="8"/>
      <c r="O1277" s="8" t="s">
        <v>753</v>
      </c>
      <c r="P1277" s="8">
        <v>6.0</v>
      </c>
    </row>
    <row r="1278">
      <c r="A1278">
        <f>IFERROR(__xludf.DUMMYFUNCTION("""COMPUTED_VALUE"""),6.0)</f>
        <v>6</v>
      </c>
      <c r="B1278">
        <f>IFERROR(__xludf.DUMMYFUNCTION("""COMPUTED_VALUE"""),31025.0)</f>
        <v>31025</v>
      </c>
      <c r="C1278" t="str">
        <f>IFERROR(__xludf.DUMMYFUNCTION("""COMPUTED_VALUE"""),"CORREA ALVAREZ, EMILIO")</f>
        <v>CORREA ALVAREZ, EMILIO</v>
      </c>
      <c r="D1278" t="str">
        <f>IFERROR(__xludf.DUMMYFUNCTION("""COMPUTED_VALUE"""),"Sociales 6A")</f>
        <v>Sociales 6A</v>
      </c>
      <c r="E1278" s="31">
        <f>IFERROR(__xludf.DUMMYFUNCTION("""COMPUTED_VALUE"""),2.0)</f>
        <v>2</v>
      </c>
      <c r="F1278" s="8">
        <v>1.0</v>
      </c>
      <c r="G1278" s="8">
        <v>1.0</v>
      </c>
      <c r="H1278" s="8">
        <v>1.0</v>
      </c>
      <c r="I1278" s="8">
        <v>1.0</v>
      </c>
      <c r="J1278" s="8">
        <v>1.0</v>
      </c>
      <c r="K1278" s="8">
        <v>1.0</v>
      </c>
      <c r="L1278" s="8">
        <v>6.0</v>
      </c>
      <c r="M1278" s="8"/>
      <c r="N1278" s="8"/>
      <c r="O1278" s="8" t="s">
        <v>758</v>
      </c>
      <c r="P1278" s="8" t="e">
        <v>#N/A</v>
      </c>
    </row>
    <row r="1279">
      <c r="A1279">
        <f>IFERROR(__xludf.DUMMYFUNCTION("""COMPUTED_VALUE"""),6.0)</f>
        <v>6</v>
      </c>
      <c r="B1279">
        <f>IFERROR(__xludf.DUMMYFUNCTION("""COMPUTED_VALUE"""),31026.0)</f>
        <v>31026</v>
      </c>
      <c r="C1279" t="str">
        <f>IFERROR(__xludf.DUMMYFUNCTION("""COMPUTED_VALUE"""),"CORTES ARANGO, JUAN MARTIN")</f>
        <v>CORTES ARANGO, JUAN MARTIN</v>
      </c>
      <c r="D1279" t="str">
        <f>IFERROR(__xludf.DUMMYFUNCTION("""COMPUTED_VALUE"""),"Sociales 6")</f>
        <v>Sociales 6</v>
      </c>
      <c r="E1279" s="31">
        <f>IFERROR(__xludf.DUMMYFUNCTION("""COMPUTED_VALUE"""),1.0)</f>
        <v>1</v>
      </c>
      <c r="F1279" s="8">
        <v>1.0</v>
      </c>
      <c r="G1279" s="8">
        <v>1.0</v>
      </c>
      <c r="H1279" s="8">
        <v>1.0</v>
      </c>
      <c r="I1279" s="8">
        <v>1.0</v>
      </c>
      <c r="J1279" s="8">
        <v>1.0</v>
      </c>
      <c r="K1279" s="8">
        <v>1.0</v>
      </c>
      <c r="L1279" s="8">
        <v>6.0</v>
      </c>
      <c r="M1279" s="8"/>
      <c r="N1279" s="8"/>
      <c r="O1279" s="8" t="s">
        <v>757</v>
      </c>
      <c r="P1279" s="8">
        <v>6.0</v>
      </c>
    </row>
    <row r="1280">
      <c r="A1280">
        <f>IFERROR(__xludf.DUMMYFUNCTION("""COMPUTED_VALUE"""),6.0)</f>
        <v>6</v>
      </c>
      <c r="B1280">
        <f>IFERROR(__xludf.DUMMYFUNCTION("""COMPUTED_VALUE"""),31027.0)</f>
        <v>31027</v>
      </c>
      <c r="C1280" t="str">
        <f>IFERROR(__xludf.DUMMYFUNCTION("""COMPUTED_VALUE"""),"CUARTAS GOMEZ, SANTIAGO")</f>
        <v>CUARTAS GOMEZ, SANTIAGO</v>
      </c>
      <c r="D1280" t="str">
        <f>IFERROR(__xludf.DUMMYFUNCTION("""COMPUTED_VALUE"""),"Sociales 6")</f>
        <v>Sociales 6</v>
      </c>
      <c r="E1280" s="31">
        <f>IFERROR(__xludf.DUMMYFUNCTION("""COMPUTED_VALUE"""),4.0)</f>
        <v>4</v>
      </c>
      <c r="F1280" s="8">
        <v>1.0</v>
      </c>
      <c r="G1280" s="8">
        <v>1.0</v>
      </c>
      <c r="H1280" s="8">
        <v>1.0</v>
      </c>
      <c r="I1280" s="8">
        <v>1.0</v>
      </c>
      <c r="J1280" s="8">
        <v>1.0</v>
      </c>
      <c r="K1280" s="8">
        <v>1.0</v>
      </c>
      <c r="L1280" s="8">
        <v>6.0</v>
      </c>
      <c r="M1280" s="8"/>
      <c r="N1280" s="8"/>
      <c r="O1280" s="8" t="s">
        <v>756</v>
      </c>
      <c r="P1280" s="8">
        <v>6.0</v>
      </c>
    </row>
    <row r="1281">
      <c r="A1281">
        <f>IFERROR(__xludf.DUMMYFUNCTION("""COMPUTED_VALUE"""),6.0)</f>
        <v>6</v>
      </c>
      <c r="B1281">
        <f>IFERROR(__xludf.DUMMYFUNCTION("""COMPUTED_VALUE"""),31028.0)</f>
        <v>31028</v>
      </c>
      <c r="C1281" t="str">
        <f>IFERROR(__xludf.DUMMYFUNCTION("""COMPUTED_VALUE"""),"DE HOMMEL COCK, ARTHUR JEAN")</f>
        <v>DE HOMMEL COCK, ARTHUR JEAN</v>
      </c>
      <c r="D1281" t="str">
        <f>IFERROR(__xludf.DUMMYFUNCTION("""COMPUTED_VALUE"""),"Sociales 6")</f>
        <v>Sociales 6</v>
      </c>
      <c r="E1281" s="31">
        <f>IFERROR(__xludf.DUMMYFUNCTION("""COMPUTED_VALUE"""),5.0)</f>
        <v>5</v>
      </c>
      <c r="F1281" s="8">
        <v>1.0</v>
      </c>
      <c r="G1281" s="8">
        <v>1.0</v>
      </c>
      <c r="H1281" s="8">
        <v>1.0</v>
      </c>
      <c r="I1281" s="8">
        <v>1.0</v>
      </c>
      <c r="J1281" s="8">
        <v>1.0</v>
      </c>
      <c r="K1281" s="8">
        <v>1.0</v>
      </c>
      <c r="L1281" s="8">
        <v>6.0</v>
      </c>
      <c r="M1281" s="8"/>
      <c r="N1281" s="8"/>
      <c r="O1281" s="8" t="s">
        <v>753</v>
      </c>
      <c r="P1281" s="8">
        <v>6.0</v>
      </c>
    </row>
    <row r="1282">
      <c r="A1282">
        <f>IFERROR(__xludf.DUMMYFUNCTION("""COMPUTED_VALUE"""),6.0)</f>
        <v>6</v>
      </c>
      <c r="B1282">
        <f>IFERROR(__xludf.DUMMYFUNCTION("""COMPUTED_VALUE"""),31029.0)</f>
        <v>31029</v>
      </c>
      <c r="C1282" t="str">
        <f>IFERROR(__xludf.DUMMYFUNCTION("""COMPUTED_VALUE"""),"DE KOLLER GAVIRIA, PAOLO")</f>
        <v>DE KOLLER GAVIRIA, PAOLO</v>
      </c>
      <c r="D1282" t="str">
        <f>IFERROR(__xludf.DUMMYFUNCTION("""COMPUTED_VALUE"""),"Sociales 6")</f>
        <v>Sociales 6</v>
      </c>
      <c r="E1282" s="31">
        <f>IFERROR(__xludf.DUMMYFUNCTION("""COMPUTED_VALUE"""),2.0)</f>
        <v>2</v>
      </c>
      <c r="F1282" s="8">
        <v>1.0</v>
      </c>
      <c r="G1282" s="8">
        <v>1.0</v>
      </c>
      <c r="H1282" s="8">
        <v>1.0</v>
      </c>
      <c r="I1282" s="8">
        <v>1.0</v>
      </c>
      <c r="J1282" s="8">
        <v>1.0</v>
      </c>
      <c r="K1282" s="8">
        <v>1.0</v>
      </c>
      <c r="L1282" s="8">
        <v>6.0</v>
      </c>
      <c r="M1282" s="8"/>
      <c r="N1282" s="8"/>
      <c r="O1282" s="8" t="s">
        <v>754</v>
      </c>
      <c r="P1282" s="8">
        <v>6.0</v>
      </c>
    </row>
    <row r="1283">
      <c r="A1283">
        <f>IFERROR(__xludf.DUMMYFUNCTION("""COMPUTED_VALUE"""),6.0)</f>
        <v>6</v>
      </c>
      <c r="B1283">
        <f>IFERROR(__xludf.DUMMYFUNCTION("""COMPUTED_VALUE"""),31030.0)</f>
        <v>31030</v>
      </c>
      <c r="C1283" t="str">
        <f>IFERROR(__xludf.DUMMYFUNCTION("""COMPUTED_VALUE"""),"DE KOLLER GAVIRIA, ROMEO")</f>
        <v>DE KOLLER GAVIRIA, ROMEO</v>
      </c>
      <c r="D1283" t="str">
        <f>IFERROR(__xludf.DUMMYFUNCTION("""COMPUTED_VALUE"""),"Sociales 6A")</f>
        <v>Sociales 6A</v>
      </c>
      <c r="E1283" s="31">
        <f>IFERROR(__xludf.DUMMYFUNCTION("""COMPUTED_VALUE"""),2.0)</f>
        <v>2</v>
      </c>
      <c r="F1283" s="8">
        <v>1.0</v>
      </c>
      <c r="G1283" s="8">
        <v>1.0</v>
      </c>
      <c r="H1283" s="8">
        <v>1.0</v>
      </c>
      <c r="I1283" s="8">
        <v>1.0</v>
      </c>
      <c r="J1283" s="8">
        <v>1.0</v>
      </c>
      <c r="K1283" s="8">
        <v>1.0</v>
      </c>
      <c r="L1283" s="8">
        <v>6.0</v>
      </c>
      <c r="M1283" s="8"/>
      <c r="N1283" s="8"/>
      <c r="O1283" s="8" t="s">
        <v>758</v>
      </c>
      <c r="P1283" s="8" t="e">
        <v>#N/A</v>
      </c>
    </row>
    <row r="1284">
      <c r="A1284">
        <f>IFERROR(__xludf.DUMMYFUNCTION("""COMPUTED_VALUE"""),6.0)</f>
        <v>6</v>
      </c>
      <c r="B1284">
        <f>IFERROR(__xludf.DUMMYFUNCTION("""COMPUTED_VALUE"""),31032.0)</f>
        <v>31032</v>
      </c>
      <c r="C1284" t="str">
        <f>IFERROR(__xludf.DUMMYFUNCTION("""COMPUTED_VALUE"""),"DE LOS RIOS AGUDELO, MARTIN")</f>
        <v>DE LOS RIOS AGUDELO, MARTIN</v>
      </c>
      <c r="D1284" t="str">
        <f>IFERROR(__xludf.DUMMYFUNCTION("""COMPUTED_VALUE"""),"Sociales 6")</f>
        <v>Sociales 6</v>
      </c>
      <c r="E1284" s="31">
        <f>IFERROR(__xludf.DUMMYFUNCTION("""COMPUTED_VALUE"""),2.0)</f>
        <v>2</v>
      </c>
      <c r="F1284" s="8">
        <v>1.0</v>
      </c>
      <c r="G1284" s="8">
        <v>1.0</v>
      </c>
      <c r="H1284" s="8">
        <v>1.0</v>
      </c>
      <c r="I1284" s="8">
        <v>1.0</v>
      </c>
      <c r="J1284" s="8">
        <v>1.0</v>
      </c>
      <c r="K1284" s="8">
        <v>1.0</v>
      </c>
      <c r="L1284" s="8">
        <v>6.0</v>
      </c>
      <c r="M1284" s="8"/>
      <c r="N1284" s="8"/>
      <c r="O1284" s="8" t="s">
        <v>754</v>
      </c>
      <c r="P1284" s="8">
        <v>6.0</v>
      </c>
    </row>
    <row r="1285">
      <c r="A1285">
        <f>IFERROR(__xludf.DUMMYFUNCTION("""COMPUTED_VALUE"""),6.0)</f>
        <v>6</v>
      </c>
      <c r="B1285">
        <f>IFERROR(__xludf.DUMMYFUNCTION("""COMPUTED_VALUE"""),31031.0)</f>
        <v>31031</v>
      </c>
      <c r="C1285" t="str">
        <f>IFERROR(__xludf.DUMMYFUNCTION("""COMPUTED_VALUE"""),"DE LOS RIOS AGUDELO, MATIAS")</f>
        <v>DE LOS RIOS AGUDELO, MATIAS</v>
      </c>
      <c r="D1285" t="str">
        <f>IFERROR(__xludf.DUMMYFUNCTION("""COMPUTED_VALUE"""),"Sociales 6")</f>
        <v>Sociales 6</v>
      </c>
      <c r="E1285" s="31">
        <f>IFERROR(__xludf.DUMMYFUNCTION("""COMPUTED_VALUE"""),4.0)</f>
        <v>4</v>
      </c>
      <c r="F1285" s="8">
        <v>1.0</v>
      </c>
      <c r="G1285" s="8">
        <v>1.0</v>
      </c>
      <c r="H1285" s="8">
        <v>1.0</v>
      </c>
      <c r="I1285" s="8">
        <v>1.0</v>
      </c>
      <c r="J1285" s="8">
        <v>1.0</v>
      </c>
      <c r="K1285" s="8">
        <v>1.0</v>
      </c>
      <c r="L1285" s="8">
        <v>6.0</v>
      </c>
      <c r="M1285" s="8"/>
      <c r="N1285" s="8"/>
      <c r="O1285" s="8" t="s">
        <v>756</v>
      </c>
      <c r="P1285" s="8">
        <v>6.0</v>
      </c>
    </row>
    <row r="1286">
      <c r="A1286">
        <f>IFERROR(__xludf.DUMMYFUNCTION("""COMPUTED_VALUE"""),6.0)</f>
        <v>6</v>
      </c>
      <c r="B1286">
        <f>IFERROR(__xludf.DUMMYFUNCTION("""COMPUTED_VALUE"""),31168.0)</f>
        <v>31168</v>
      </c>
      <c r="C1286" t="str">
        <f>IFERROR(__xludf.DUMMYFUNCTION("""COMPUTED_VALUE"""),"DE MUNCK MORTIER, LUCA")</f>
        <v>DE MUNCK MORTIER, LUCA</v>
      </c>
      <c r="D1286" t="str">
        <f>IFERROR(__xludf.DUMMYFUNCTION("""COMPUTED_VALUE"""),"Sociales 6")</f>
        <v>Sociales 6</v>
      </c>
      <c r="E1286" s="31">
        <f>IFERROR(__xludf.DUMMYFUNCTION("""COMPUTED_VALUE"""),3.0)</f>
        <v>3</v>
      </c>
      <c r="F1286" s="8">
        <v>1.0</v>
      </c>
      <c r="G1286" s="8">
        <v>1.0</v>
      </c>
      <c r="H1286" s="8">
        <v>1.0</v>
      </c>
      <c r="I1286" s="8">
        <v>1.0</v>
      </c>
      <c r="J1286" s="8">
        <v>1.0</v>
      </c>
      <c r="K1286" s="8">
        <v>1.0</v>
      </c>
      <c r="L1286" s="8">
        <v>6.0</v>
      </c>
      <c r="M1286" s="8"/>
      <c r="N1286" s="8"/>
      <c r="O1286" s="8" t="s">
        <v>755</v>
      </c>
      <c r="P1286" s="8">
        <v>6.0</v>
      </c>
    </row>
    <row r="1287">
      <c r="A1287">
        <f>IFERROR(__xludf.DUMMYFUNCTION("""COMPUTED_VALUE"""),6.0)</f>
        <v>6</v>
      </c>
      <c r="B1287">
        <f>IFERROR(__xludf.DUMMYFUNCTION("""COMPUTED_VALUE"""),31163.0)</f>
        <v>31163</v>
      </c>
      <c r="C1287" t="str">
        <f>IFERROR(__xludf.DUMMYFUNCTION("""COMPUTED_VALUE"""),"DOMINGUEZ JORGENSEN, GABRIEL")</f>
        <v>DOMINGUEZ JORGENSEN, GABRIEL</v>
      </c>
      <c r="D1287" t="str">
        <f>IFERROR(__xludf.DUMMYFUNCTION("""COMPUTED_VALUE"""),"Sociales 6")</f>
        <v>Sociales 6</v>
      </c>
      <c r="E1287" s="31">
        <f>IFERROR(__xludf.DUMMYFUNCTION("""COMPUTED_VALUE"""),1.0)</f>
        <v>1</v>
      </c>
      <c r="F1287" s="8">
        <v>1.0</v>
      </c>
      <c r="G1287" s="8">
        <v>1.0</v>
      </c>
      <c r="H1287" s="8">
        <v>1.0</v>
      </c>
      <c r="I1287" s="8">
        <v>1.0</v>
      </c>
      <c r="J1287" s="8">
        <v>1.0</v>
      </c>
      <c r="K1287" s="8">
        <v>1.0</v>
      </c>
      <c r="L1287" s="8">
        <v>6.0</v>
      </c>
      <c r="M1287" s="8"/>
      <c r="N1287" s="8"/>
      <c r="O1287" s="8" t="s">
        <v>757</v>
      </c>
      <c r="P1287" s="8">
        <v>6.0</v>
      </c>
    </row>
    <row r="1288">
      <c r="A1288">
        <f>IFERROR(__xludf.DUMMYFUNCTION("""COMPUTED_VALUE"""),6.0)</f>
        <v>6</v>
      </c>
      <c r="B1288">
        <f>IFERROR(__xludf.DUMMYFUNCTION("""COMPUTED_VALUE"""),31167.0)</f>
        <v>31167</v>
      </c>
      <c r="C1288" t="str">
        <f>IFERROR(__xludf.DUMMYFUNCTION("""COMPUTED_VALUE"""),"DUQUE, JACOB")</f>
        <v>DUQUE, JACOB</v>
      </c>
      <c r="D1288" t="str">
        <f>IFERROR(__xludf.DUMMYFUNCTION("""COMPUTED_VALUE"""),"Sociales 6")</f>
        <v>Sociales 6</v>
      </c>
      <c r="E1288" s="31">
        <f>IFERROR(__xludf.DUMMYFUNCTION("""COMPUTED_VALUE"""),3.0)</f>
        <v>3</v>
      </c>
      <c r="F1288" s="8">
        <v>1.0</v>
      </c>
      <c r="G1288" s="8">
        <v>1.0</v>
      </c>
      <c r="H1288" s="8">
        <v>1.0</v>
      </c>
      <c r="I1288" s="8">
        <v>1.0</v>
      </c>
      <c r="J1288" s="8">
        <v>1.0</v>
      </c>
      <c r="K1288" s="8">
        <v>1.0</v>
      </c>
      <c r="L1288" s="8">
        <v>6.0</v>
      </c>
      <c r="M1288" s="8"/>
      <c r="N1288" s="8"/>
      <c r="O1288" s="8" t="s">
        <v>755</v>
      </c>
      <c r="P1288" s="8">
        <v>6.0</v>
      </c>
    </row>
    <row r="1289">
      <c r="A1289">
        <f>IFERROR(__xludf.DUMMYFUNCTION("""COMPUTED_VALUE"""),6.0)</f>
        <v>6</v>
      </c>
      <c r="B1289">
        <f>IFERROR(__xludf.DUMMYFUNCTION("""COMPUTED_VALUE"""),30041.0)</f>
        <v>30041</v>
      </c>
      <c r="C1289" t="str">
        <f>IFERROR(__xludf.DUMMYFUNCTION("""COMPUTED_VALUE"""),"ESPINAL MONTOYA, ARIANA")</f>
        <v>ESPINAL MONTOYA, ARIANA</v>
      </c>
      <c r="D1289" t="str">
        <f>IFERROR(__xludf.DUMMYFUNCTION("""COMPUTED_VALUE"""),"Sociales 6")</f>
        <v>Sociales 6</v>
      </c>
      <c r="E1289" s="31">
        <f>IFERROR(__xludf.DUMMYFUNCTION("""COMPUTED_VALUE"""),3.0)</f>
        <v>3</v>
      </c>
      <c r="F1289" s="8">
        <v>1.0</v>
      </c>
      <c r="G1289" s="8">
        <v>1.0</v>
      </c>
      <c r="H1289" s="8">
        <v>1.0</v>
      </c>
      <c r="I1289" s="8">
        <v>1.0</v>
      </c>
      <c r="J1289" s="8">
        <v>1.0</v>
      </c>
      <c r="K1289" s="8">
        <v>1.0</v>
      </c>
      <c r="L1289" s="8">
        <v>6.0</v>
      </c>
      <c r="M1289" s="8"/>
      <c r="N1289" s="8"/>
      <c r="O1289" s="8" t="s">
        <v>755</v>
      </c>
      <c r="P1289" s="8">
        <v>6.0</v>
      </c>
    </row>
    <row r="1290">
      <c r="A1290">
        <f>IFERROR(__xludf.DUMMYFUNCTION("""COMPUTED_VALUE"""),6.0)</f>
        <v>6</v>
      </c>
      <c r="B1290">
        <f>IFERROR(__xludf.DUMMYFUNCTION("""COMPUTED_VALUE"""),31034.0)</f>
        <v>31034</v>
      </c>
      <c r="C1290" t="str">
        <f>IFERROR(__xludf.DUMMYFUNCTION("""COMPUTED_VALUE"""),"ESPINOSA ABAD, MARTINA")</f>
        <v>ESPINOSA ABAD, MARTINA</v>
      </c>
      <c r="D1290" t="str">
        <f>IFERROR(__xludf.DUMMYFUNCTION("""COMPUTED_VALUE"""),"Sociales 6")</f>
        <v>Sociales 6</v>
      </c>
      <c r="E1290" s="31">
        <f>IFERROR(__xludf.DUMMYFUNCTION("""COMPUTED_VALUE"""),5.0)</f>
        <v>5</v>
      </c>
      <c r="F1290" s="8">
        <v>1.0</v>
      </c>
      <c r="G1290" s="8">
        <v>1.0</v>
      </c>
      <c r="H1290" s="8">
        <v>1.0</v>
      </c>
      <c r="I1290" s="8">
        <v>1.0</v>
      </c>
      <c r="J1290" s="8">
        <v>1.0</v>
      </c>
      <c r="K1290" s="8">
        <v>1.0</v>
      </c>
      <c r="L1290" s="8">
        <v>6.0</v>
      </c>
      <c r="M1290" s="8"/>
      <c r="N1290" s="8"/>
      <c r="O1290" s="8" t="s">
        <v>753</v>
      </c>
      <c r="P1290" s="8">
        <v>6.0</v>
      </c>
    </row>
    <row r="1291">
      <c r="A1291">
        <f>IFERROR(__xludf.DUMMYFUNCTION("""COMPUTED_VALUE"""),6.0)</f>
        <v>6</v>
      </c>
      <c r="B1291">
        <f>IFERROR(__xludf.DUMMYFUNCTION("""COMPUTED_VALUE"""),31037.0)</f>
        <v>31037</v>
      </c>
      <c r="C1291" t="str">
        <f>IFERROR(__xludf.DUMMYFUNCTION("""COMPUTED_VALUE"""),"FERNANDEZ GUTIERREZ, MARIA JOSE")</f>
        <v>FERNANDEZ GUTIERREZ, MARIA JOSE</v>
      </c>
      <c r="D1291" t="str">
        <f>IFERROR(__xludf.DUMMYFUNCTION("""COMPUTED_VALUE"""),"Sociales 6")</f>
        <v>Sociales 6</v>
      </c>
      <c r="E1291" s="31">
        <f>IFERROR(__xludf.DUMMYFUNCTION("""COMPUTED_VALUE"""),1.0)</f>
        <v>1</v>
      </c>
      <c r="F1291" s="8">
        <v>1.0</v>
      </c>
      <c r="G1291" s="8">
        <v>1.0</v>
      </c>
      <c r="H1291" s="8">
        <v>1.0</v>
      </c>
      <c r="I1291" s="8">
        <v>1.0</v>
      </c>
      <c r="J1291" s="8">
        <v>1.0</v>
      </c>
      <c r="K1291" s="8">
        <v>1.0</v>
      </c>
      <c r="L1291" s="8">
        <v>6.0</v>
      </c>
      <c r="M1291" s="8"/>
      <c r="N1291" s="8"/>
      <c r="O1291" s="8" t="s">
        <v>757</v>
      </c>
      <c r="P1291" s="8">
        <v>6.0</v>
      </c>
    </row>
    <row r="1292">
      <c r="A1292">
        <f>IFERROR(__xludf.DUMMYFUNCTION("""COMPUTED_VALUE"""),6.0)</f>
        <v>6</v>
      </c>
      <c r="B1292">
        <f>IFERROR(__xludf.DUMMYFUNCTION("""COMPUTED_VALUE"""),31039.0)</f>
        <v>31039</v>
      </c>
      <c r="C1292" t="str">
        <f>IFERROR(__xludf.DUMMYFUNCTION("""COMPUTED_VALUE"""),"GALLEGO OCAMPO, MARTIN")</f>
        <v>GALLEGO OCAMPO, MARTIN</v>
      </c>
      <c r="D1292" t="str">
        <f>IFERROR(__xludf.DUMMYFUNCTION("""COMPUTED_VALUE"""),"Sociales 6")</f>
        <v>Sociales 6</v>
      </c>
      <c r="E1292" s="31">
        <f>IFERROR(__xludf.DUMMYFUNCTION("""COMPUTED_VALUE"""),4.0)</f>
        <v>4</v>
      </c>
      <c r="F1292" s="8">
        <v>1.0</v>
      </c>
      <c r="G1292" s="8">
        <v>1.0</v>
      </c>
      <c r="H1292" s="8">
        <v>1.0</v>
      </c>
      <c r="I1292" s="8">
        <v>1.0</v>
      </c>
      <c r="J1292" s="8">
        <v>1.0</v>
      </c>
      <c r="K1292" s="8">
        <v>1.0</v>
      </c>
      <c r="L1292" s="8">
        <v>6.0</v>
      </c>
      <c r="M1292" s="8"/>
      <c r="N1292" s="8"/>
      <c r="O1292" s="8" t="s">
        <v>756</v>
      </c>
      <c r="P1292" s="8">
        <v>6.0</v>
      </c>
    </row>
    <row r="1293">
      <c r="A1293">
        <f>IFERROR(__xludf.DUMMYFUNCTION("""COMPUTED_VALUE"""),6.0)</f>
        <v>6</v>
      </c>
      <c r="B1293">
        <f>IFERROR(__xludf.DUMMYFUNCTION("""COMPUTED_VALUE"""),31040.0)</f>
        <v>31040</v>
      </c>
      <c r="C1293" t="str">
        <f>IFERROR(__xludf.DUMMYFUNCTION("""COMPUTED_VALUE"""),"GARCIA ISAZA, VIOLETA")</f>
        <v>GARCIA ISAZA, VIOLETA</v>
      </c>
      <c r="D1293" t="str">
        <f>IFERROR(__xludf.DUMMYFUNCTION("""COMPUTED_VALUE"""),"Sociales 6")</f>
        <v>Sociales 6</v>
      </c>
      <c r="E1293" s="31">
        <f>IFERROR(__xludf.DUMMYFUNCTION("""COMPUTED_VALUE"""),5.0)</f>
        <v>5</v>
      </c>
      <c r="F1293" s="8">
        <v>1.0</v>
      </c>
      <c r="G1293" s="8">
        <v>1.0</v>
      </c>
      <c r="H1293" s="8">
        <v>1.0</v>
      </c>
      <c r="I1293" s="8">
        <v>1.0</v>
      </c>
      <c r="J1293" s="8">
        <v>1.0</v>
      </c>
      <c r="K1293" s="8">
        <v>1.0</v>
      </c>
      <c r="L1293" s="8">
        <v>6.0</v>
      </c>
      <c r="M1293" s="8"/>
      <c r="N1293" s="8"/>
      <c r="O1293" s="8" t="s">
        <v>753</v>
      </c>
      <c r="P1293" s="8">
        <v>6.0</v>
      </c>
    </row>
    <row r="1294">
      <c r="A1294">
        <f>IFERROR(__xludf.DUMMYFUNCTION("""COMPUTED_VALUE"""),6.0)</f>
        <v>6</v>
      </c>
      <c r="B1294">
        <f>IFERROR(__xludf.DUMMYFUNCTION("""COMPUTED_VALUE"""),31042.0)</f>
        <v>31042</v>
      </c>
      <c r="C1294" t="str">
        <f>IFERROR(__xludf.DUMMYFUNCTION("""COMPUTED_VALUE"""),"GAVIRIA ARBELAEZ, AGUSTIN")</f>
        <v>GAVIRIA ARBELAEZ, AGUSTIN</v>
      </c>
      <c r="D1294" t="str">
        <f>IFERROR(__xludf.DUMMYFUNCTION("""COMPUTED_VALUE"""),"Sociales 6A")</f>
        <v>Sociales 6A</v>
      </c>
      <c r="E1294" s="31">
        <f>IFERROR(__xludf.DUMMYFUNCTION("""COMPUTED_VALUE"""),2.0)</f>
        <v>2</v>
      </c>
      <c r="F1294" s="8">
        <v>1.0</v>
      </c>
      <c r="G1294" s="8">
        <v>1.0</v>
      </c>
      <c r="H1294" s="8">
        <v>1.0</v>
      </c>
      <c r="I1294" s="8">
        <v>1.0</v>
      </c>
      <c r="J1294" s="8">
        <v>1.0</v>
      </c>
      <c r="K1294" s="8">
        <v>1.0</v>
      </c>
      <c r="L1294" s="8">
        <v>6.0</v>
      </c>
      <c r="M1294" s="8"/>
      <c r="N1294" s="8"/>
      <c r="O1294" s="8" t="s">
        <v>758</v>
      </c>
      <c r="P1294" s="8" t="e">
        <v>#N/A</v>
      </c>
    </row>
    <row r="1295">
      <c r="A1295">
        <f>IFERROR(__xludf.DUMMYFUNCTION("""COMPUTED_VALUE"""),6.0)</f>
        <v>6</v>
      </c>
      <c r="B1295">
        <f>IFERROR(__xludf.DUMMYFUNCTION("""COMPUTED_VALUE"""),31044.0)</f>
        <v>31044</v>
      </c>
      <c r="C1295" t="str">
        <f>IFERROR(__xludf.DUMMYFUNCTION("""COMPUTED_VALUE"""),"GOMEZ ROLDAN, SANTIAGO")</f>
        <v>GOMEZ ROLDAN, SANTIAGO</v>
      </c>
      <c r="D1295" t="str">
        <f>IFERROR(__xludf.DUMMYFUNCTION("""COMPUTED_VALUE"""),"Sociales 6A")</f>
        <v>Sociales 6A</v>
      </c>
      <c r="E1295" s="31">
        <f>IFERROR(__xludf.DUMMYFUNCTION("""COMPUTED_VALUE"""),2.0)</f>
        <v>2</v>
      </c>
      <c r="F1295" s="8">
        <v>1.0</v>
      </c>
      <c r="G1295" s="8">
        <v>1.0</v>
      </c>
      <c r="H1295" s="8">
        <v>1.0</v>
      </c>
      <c r="I1295" s="8">
        <v>1.0</v>
      </c>
      <c r="J1295" s="8">
        <v>1.0</v>
      </c>
      <c r="K1295" s="8">
        <v>1.0</v>
      </c>
      <c r="L1295" s="8">
        <v>6.0</v>
      </c>
      <c r="M1295" s="8"/>
      <c r="N1295" s="8"/>
      <c r="O1295" s="8" t="s">
        <v>758</v>
      </c>
      <c r="P1295" s="8" t="e">
        <v>#N/A</v>
      </c>
    </row>
    <row r="1296">
      <c r="A1296">
        <f>IFERROR(__xludf.DUMMYFUNCTION("""COMPUTED_VALUE"""),6.0)</f>
        <v>6</v>
      </c>
      <c r="B1296">
        <f>IFERROR(__xludf.DUMMYFUNCTION("""COMPUTED_VALUE"""),31045.0)</f>
        <v>31045</v>
      </c>
      <c r="C1296" t="str">
        <f>IFERROR(__xludf.DUMMYFUNCTION("""COMPUTED_VALUE"""),"GOMEZ VELASQUEZ, LORENZO")</f>
        <v>GOMEZ VELASQUEZ, LORENZO</v>
      </c>
      <c r="D1296" t="str">
        <f>IFERROR(__xludf.DUMMYFUNCTION("""COMPUTED_VALUE"""),"Sociales 6")</f>
        <v>Sociales 6</v>
      </c>
      <c r="E1296" s="31">
        <f>IFERROR(__xludf.DUMMYFUNCTION("""COMPUTED_VALUE"""),4.0)</f>
        <v>4</v>
      </c>
      <c r="F1296" s="8">
        <v>1.0</v>
      </c>
      <c r="G1296" s="8">
        <v>1.0</v>
      </c>
      <c r="H1296" s="8">
        <v>1.0</v>
      </c>
      <c r="I1296" s="8">
        <v>1.0</v>
      </c>
      <c r="J1296" s="8">
        <v>1.0</v>
      </c>
      <c r="K1296" s="8">
        <v>1.0</v>
      </c>
      <c r="L1296" s="8">
        <v>6.0</v>
      </c>
      <c r="M1296" s="8"/>
      <c r="N1296" s="8"/>
      <c r="O1296" s="8" t="s">
        <v>756</v>
      </c>
      <c r="P1296" s="8">
        <v>6.0</v>
      </c>
    </row>
    <row r="1297">
      <c r="A1297">
        <f>IFERROR(__xludf.DUMMYFUNCTION("""COMPUTED_VALUE"""),6.0)</f>
        <v>6</v>
      </c>
      <c r="B1297">
        <f>IFERROR(__xludf.DUMMYFUNCTION("""COMPUTED_VALUE"""),31046.0)</f>
        <v>31046</v>
      </c>
      <c r="C1297" t="str">
        <f>IFERROR(__xludf.DUMMYFUNCTION("""COMPUTED_VALUE"""),"GONZALEZ LONDOÑO, LAURA")</f>
        <v>GONZALEZ LONDOÑO, LAURA</v>
      </c>
      <c r="D1297" t="str">
        <f>IFERROR(__xludf.DUMMYFUNCTION("""COMPUTED_VALUE"""),"Sociales 6")</f>
        <v>Sociales 6</v>
      </c>
      <c r="E1297" s="31">
        <f>IFERROR(__xludf.DUMMYFUNCTION("""COMPUTED_VALUE"""),2.0)</f>
        <v>2</v>
      </c>
      <c r="F1297" s="8">
        <v>1.0</v>
      </c>
      <c r="G1297" s="8">
        <v>1.0</v>
      </c>
      <c r="H1297" s="8">
        <v>1.0</v>
      </c>
      <c r="I1297" s="8">
        <v>1.0</v>
      </c>
      <c r="J1297" s="8">
        <v>1.0</v>
      </c>
      <c r="K1297" s="8">
        <v>1.0</v>
      </c>
      <c r="L1297" s="8">
        <v>6.0</v>
      </c>
      <c r="M1297" s="8"/>
      <c r="N1297" s="8"/>
      <c r="O1297" s="8" t="s">
        <v>754</v>
      </c>
      <c r="P1297" s="8">
        <v>6.0</v>
      </c>
    </row>
    <row r="1298">
      <c r="A1298">
        <f>IFERROR(__xludf.DUMMYFUNCTION("""COMPUTED_VALUE"""),6.0)</f>
        <v>6</v>
      </c>
      <c r="B1298">
        <f>IFERROR(__xludf.DUMMYFUNCTION("""COMPUTED_VALUE"""),31047.0)</f>
        <v>31047</v>
      </c>
      <c r="C1298" t="str">
        <f>IFERROR(__xludf.DUMMYFUNCTION("""COMPUTED_VALUE"""),"GONZALEZ NICHOLLS, MARIA JOSE")</f>
        <v>GONZALEZ NICHOLLS, MARIA JOSE</v>
      </c>
      <c r="D1298" t="str">
        <f>IFERROR(__xludf.DUMMYFUNCTION("""COMPUTED_VALUE"""),"Sociales 6")</f>
        <v>Sociales 6</v>
      </c>
      <c r="E1298" s="31">
        <f>IFERROR(__xludf.DUMMYFUNCTION("""COMPUTED_VALUE"""),3.0)</f>
        <v>3</v>
      </c>
      <c r="F1298" s="8">
        <v>1.0</v>
      </c>
      <c r="G1298" s="8">
        <v>1.0</v>
      </c>
      <c r="H1298" s="8">
        <v>1.0</v>
      </c>
      <c r="I1298" s="8">
        <v>1.0</v>
      </c>
      <c r="J1298" s="8">
        <v>1.0</v>
      </c>
      <c r="K1298" s="8">
        <v>1.0</v>
      </c>
      <c r="L1298" s="8">
        <v>6.0</v>
      </c>
      <c r="M1298" s="8"/>
      <c r="N1298" s="8"/>
      <c r="O1298" s="8" t="s">
        <v>755</v>
      </c>
      <c r="P1298" s="8">
        <v>6.0</v>
      </c>
    </row>
    <row r="1299">
      <c r="A1299">
        <f>IFERROR(__xludf.DUMMYFUNCTION("""COMPUTED_VALUE"""),6.0)</f>
        <v>6</v>
      </c>
      <c r="B1299">
        <f>IFERROR(__xludf.DUMMYFUNCTION("""COMPUTED_VALUE"""),31170.0)</f>
        <v>31170</v>
      </c>
      <c r="C1299" t="str">
        <f>IFERROR(__xludf.DUMMYFUNCTION("""COMPUTED_VALUE"""),"GRULLON SANTOS, ISABELLA")</f>
        <v>GRULLON SANTOS, ISABELLA</v>
      </c>
      <c r="D1299" t="str">
        <f>IFERROR(__xludf.DUMMYFUNCTION("""COMPUTED_VALUE"""),"Sociales 6")</f>
        <v>Sociales 6</v>
      </c>
      <c r="E1299" s="31">
        <f>IFERROR(__xludf.DUMMYFUNCTION("""COMPUTED_VALUE"""),2.0)</f>
        <v>2</v>
      </c>
      <c r="F1299" s="8">
        <v>1.0</v>
      </c>
      <c r="G1299" s="8">
        <v>1.0</v>
      </c>
      <c r="H1299" s="8">
        <v>1.0</v>
      </c>
      <c r="I1299" s="8">
        <v>1.0</v>
      </c>
      <c r="J1299" s="8">
        <v>1.0</v>
      </c>
      <c r="K1299" s="8">
        <v>1.0</v>
      </c>
      <c r="L1299" s="8">
        <v>6.0</v>
      </c>
      <c r="M1299" s="8"/>
      <c r="N1299" s="8"/>
      <c r="O1299" s="8" t="s">
        <v>754</v>
      </c>
      <c r="P1299" s="8">
        <v>6.0</v>
      </c>
    </row>
    <row r="1300">
      <c r="A1300">
        <f>IFERROR(__xludf.DUMMYFUNCTION("""COMPUTED_VALUE"""),6.0)</f>
        <v>6</v>
      </c>
      <c r="B1300">
        <f>IFERROR(__xludf.DUMMYFUNCTION("""COMPUTED_VALUE"""),31048.0)</f>
        <v>31048</v>
      </c>
      <c r="C1300" t="str">
        <f>IFERROR(__xludf.DUMMYFUNCTION("""COMPUTED_VALUE"""),"GUERRA MARTINEZ, BENJAMIN")</f>
        <v>GUERRA MARTINEZ, BENJAMIN</v>
      </c>
      <c r="D1300" t="str">
        <f>IFERROR(__xludf.DUMMYFUNCTION("""COMPUTED_VALUE"""),"Sociales 6")</f>
        <v>Sociales 6</v>
      </c>
      <c r="E1300" s="31">
        <f>IFERROR(__xludf.DUMMYFUNCTION("""COMPUTED_VALUE"""),3.0)</f>
        <v>3</v>
      </c>
      <c r="F1300" s="8">
        <v>1.0</v>
      </c>
      <c r="G1300" s="8">
        <v>1.0</v>
      </c>
      <c r="H1300" s="8">
        <v>1.0</v>
      </c>
      <c r="I1300" s="8">
        <v>1.0</v>
      </c>
      <c r="J1300" s="8">
        <v>1.0</v>
      </c>
      <c r="K1300" s="8">
        <v>1.0</v>
      </c>
      <c r="L1300" s="8">
        <v>6.0</v>
      </c>
      <c r="M1300" s="8"/>
      <c r="N1300" s="8"/>
      <c r="O1300" s="8" t="s">
        <v>755</v>
      </c>
      <c r="P1300" s="8">
        <v>6.0</v>
      </c>
    </row>
    <row r="1301">
      <c r="A1301">
        <f>IFERROR(__xludf.DUMMYFUNCTION("""COMPUTED_VALUE"""),6.0)</f>
        <v>6</v>
      </c>
      <c r="B1301">
        <f>IFERROR(__xludf.DUMMYFUNCTION("""COMPUTED_VALUE"""),31049.0)</f>
        <v>31049</v>
      </c>
      <c r="C1301" t="str">
        <f>IFERROR(__xludf.DUMMYFUNCTION("""COMPUTED_VALUE"""),"HENAO MARTINEZ, SOFIA")</f>
        <v>HENAO MARTINEZ, SOFIA</v>
      </c>
      <c r="D1301" t="str">
        <f>IFERROR(__xludf.DUMMYFUNCTION("""COMPUTED_VALUE"""),"Sociales 6")</f>
        <v>Sociales 6</v>
      </c>
      <c r="E1301" s="31">
        <f>IFERROR(__xludf.DUMMYFUNCTION("""COMPUTED_VALUE"""),3.0)</f>
        <v>3</v>
      </c>
      <c r="F1301" s="8">
        <v>1.0</v>
      </c>
      <c r="G1301" s="8">
        <v>1.0</v>
      </c>
      <c r="H1301" s="8">
        <v>1.0</v>
      </c>
      <c r="I1301" s="8">
        <v>1.0</v>
      </c>
      <c r="J1301" s="8">
        <v>1.0</v>
      </c>
      <c r="K1301" s="8">
        <v>1.0</v>
      </c>
      <c r="L1301" s="8">
        <v>6.0</v>
      </c>
      <c r="M1301" s="8"/>
      <c r="N1301" s="8"/>
      <c r="O1301" s="8" t="s">
        <v>755</v>
      </c>
      <c r="P1301" s="8">
        <v>6.0</v>
      </c>
    </row>
    <row r="1302">
      <c r="A1302">
        <f>IFERROR(__xludf.DUMMYFUNCTION("""COMPUTED_VALUE"""),6.0)</f>
        <v>6</v>
      </c>
      <c r="B1302">
        <f>IFERROR(__xludf.DUMMYFUNCTION("""COMPUTED_VALUE"""),31052.0)</f>
        <v>31052</v>
      </c>
      <c r="C1302" t="str">
        <f>IFERROR(__xludf.DUMMYFUNCTION("""COMPUTED_VALUE"""),"IBAÑEZ MONTOYA, VALENTINA")</f>
        <v>IBAÑEZ MONTOYA, VALENTINA</v>
      </c>
      <c r="D1302" t="str">
        <f>IFERROR(__xludf.DUMMYFUNCTION("""COMPUTED_VALUE"""),"Sociales 6")</f>
        <v>Sociales 6</v>
      </c>
      <c r="E1302" s="31">
        <f>IFERROR(__xludf.DUMMYFUNCTION("""COMPUTED_VALUE"""),4.0)</f>
        <v>4</v>
      </c>
      <c r="F1302" s="8">
        <v>1.0</v>
      </c>
      <c r="G1302" s="8">
        <v>1.0</v>
      </c>
      <c r="H1302" s="8">
        <v>1.0</v>
      </c>
      <c r="I1302" s="8">
        <v>1.0</v>
      </c>
      <c r="J1302" s="8">
        <v>1.0</v>
      </c>
      <c r="K1302" s="8">
        <v>1.0</v>
      </c>
      <c r="L1302" s="8">
        <v>6.0</v>
      </c>
      <c r="M1302" s="8"/>
      <c r="N1302" s="8"/>
      <c r="O1302" s="8" t="s">
        <v>756</v>
      </c>
      <c r="P1302" s="8">
        <v>6.0</v>
      </c>
    </row>
    <row r="1303">
      <c r="A1303">
        <f>IFERROR(__xludf.DUMMYFUNCTION("""COMPUTED_VALUE"""),6.0)</f>
        <v>6</v>
      </c>
      <c r="B1303">
        <f>IFERROR(__xludf.DUMMYFUNCTION("""COMPUTED_VALUE"""),31054.0)</f>
        <v>31054</v>
      </c>
      <c r="C1303" t="str">
        <f>IFERROR(__xludf.DUMMYFUNCTION("""COMPUTED_VALUE"""),"JALLER TRUJILLO, MARIA")</f>
        <v>JALLER TRUJILLO, MARIA</v>
      </c>
      <c r="D1303" t="str">
        <f>IFERROR(__xludf.DUMMYFUNCTION("""COMPUTED_VALUE"""),"Sociales 6")</f>
        <v>Sociales 6</v>
      </c>
      <c r="E1303" s="31">
        <f>IFERROR(__xludf.DUMMYFUNCTION("""COMPUTED_VALUE"""),5.0)</f>
        <v>5</v>
      </c>
      <c r="F1303" s="8">
        <v>1.0</v>
      </c>
      <c r="G1303" s="8">
        <v>1.0</v>
      </c>
      <c r="H1303" s="8">
        <v>1.0</v>
      </c>
      <c r="I1303" s="8">
        <v>1.0</v>
      </c>
      <c r="J1303" s="8">
        <v>1.0</v>
      </c>
      <c r="K1303" s="8">
        <v>1.0</v>
      </c>
      <c r="L1303" s="8">
        <v>6.0</v>
      </c>
      <c r="M1303" s="8"/>
      <c r="N1303" s="8"/>
      <c r="O1303" s="8" t="s">
        <v>753</v>
      </c>
      <c r="P1303" s="8">
        <v>6.0</v>
      </c>
    </row>
    <row r="1304">
      <c r="A1304">
        <f>IFERROR(__xludf.DUMMYFUNCTION("""COMPUTED_VALUE"""),6.0)</f>
        <v>6</v>
      </c>
      <c r="B1304">
        <f>IFERROR(__xludf.DUMMYFUNCTION("""COMPUTED_VALUE"""),31053.0)</f>
        <v>31053</v>
      </c>
      <c r="C1304" t="str">
        <f>IFERROR(__xludf.DUMMYFUNCTION("""COMPUTED_VALUE"""),"JALLER VELEZ, MARTINA")</f>
        <v>JALLER VELEZ, MARTINA</v>
      </c>
      <c r="D1304" t="str">
        <f>IFERROR(__xludf.DUMMYFUNCTION("""COMPUTED_VALUE"""),"Sociales 6")</f>
        <v>Sociales 6</v>
      </c>
      <c r="E1304" s="31">
        <f>IFERROR(__xludf.DUMMYFUNCTION("""COMPUTED_VALUE"""),1.0)</f>
        <v>1</v>
      </c>
      <c r="F1304" s="8">
        <v>1.0</v>
      </c>
      <c r="G1304" s="8">
        <v>1.0</v>
      </c>
      <c r="H1304" s="8">
        <v>1.0</v>
      </c>
      <c r="I1304" s="8">
        <v>1.0</v>
      </c>
      <c r="J1304" s="8">
        <v>1.0</v>
      </c>
      <c r="K1304" s="8">
        <v>1.0</v>
      </c>
      <c r="L1304" s="8">
        <v>6.0</v>
      </c>
      <c r="M1304" s="8"/>
      <c r="N1304" s="8"/>
      <c r="O1304" s="8" t="s">
        <v>757</v>
      </c>
      <c r="P1304" s="8">
        <v>6.0</v>
      </c>
    </row>
    <row r="1305">
      <c r="A1305">
        <f>IFERROR(__xludf.DUMMYFUNCTION("""COMPUTED_VALUE"""),6.0)</f>
        <v>6</v>
      </c>
      <c r="B1305">
        <f>IFERROR(__xludf.DUMMYFUNCTION("""COMPUTED_VALUE"""),31057.0)</f>
        <v>31057</v>
      </c>
      <c r="C1305" t="str">
        <f>IFERROR(__xludf.DUMMYFUNCTION("""COMPUTED_VALUE"""),"JARAMILLO ARBELAEZ, AMALIA")</f>
        <v>JARAMILLO ARBELAEZ, AMALIA</v>
      </c>
      <c r="D1305" t="str">
        <f>IFERROR(__xludf.DUMMYFUNCTION("""COMPUTED_VALUE"""),"Sociales 6")</f>
        <v>Sociales 6</v>
      </c>
      <c r="E1305" s="31">
        <f>IFERROR(__xludf.DUMMYFUNCTION("""COMPUTED_VALUE"""),4.0)</f>
        <v>4</v>
      </c>
      <c r="F1305" s="8">
        <v>1.0</v>
      </c>
      <c r="G1305" s="8">
        <v>1.0</v>
      </c>
      <c r="H1305" s="8">
        <v>1.0</v>
      </c>
      <c r="I1305" s="8">
        <v>1.0</v>
      </c>
      <c r="J1305" s="8">
        <v>1.0</v>
      </c>
      <c r="K1305" s="8">
        <v>1.0</v>
      </c>
      <c r="L1305" s="8">
        <v>6.0</v>
      </c>
      <c r="M1305" s="8"/>
      <c r="N1305" s="8"/>
      <c r="O1305" s="8" t="s">
        <v>756</v>
      </c>
      <c r="P1305" s="8">
        <v>6.0</v>
      </c>
    </row>
    <row r="1306">
      <c r="A1306">
        <f>IFERROR(__xludf.DUMMYFUNCTION("""COMPUTED_VALUE"""),6.0)</f>
        <v>6</v>
      </c>
      <c r="B1306">
        <f>IFERROR(__xludf.DUMMYFUNCTION("""COMPUTED_VALUE"""),31055.0)</f>
        <v>31055</v>
      </c>
      <c r="C1306" t="str">
        <f>IFERROR(__xludf.DUMMYFUNCTION("""COMPUTED_VALUE"""),"JARAMILLO GONZALEZ, MARIA")</f>
        <v>JARAMILLO GONZALEZ, MARIA</v>
      </c>
      <c r="D1306" t="str">
        <f>IFERROR(__xludf.DUMMYFUNCTION("""COMPUTED_VALUE"""),"Sociales 6")</f>
        <v>Sociales 6</v>
      </c>
      <c r="E1306" s="31">
        <f>IFERROR(__xludf.DUMMYFUNCTION("""COMPUTED_VALUE"""),5.0)</f>
        <v>5</v>
      </c>
      <c r="F1306" s="8">
        <v>1.0</v>
      </c>
      <c r="G1306" s="8">
        <v>1.0</v>
      </c>
      <c r="H1306" s="8">
        <v>1.0</v>
      </c>
      <c r="I1306" s="8">
        <v>1.0</v>
      </c>
      <c r="J1306" s="8">
        <v>1.0</v>
      </c>
      <c r="K1306" s="8">
        <v>1.0</v>
      </c>
      <c r="L1306" s="8">
        <v>6.0</v>
      </c>
      <c r="M1306" s="8"/>
      <c r="N1306" s="8"/>
      <c r="O1306" s="8" t="s">
        <v>753</v>
      </c>
      <c r="P1306" s="8">
        <v>6.0</v>
      </c>
    </row>
    <row r="1307">
      <c r="A1307">
        <f>IFERROR(__xludf.DUMMYFUNCTION("""COMPUTED_VALUE"""),6.0)</f>
        <v>6</v>
      </c>
      <c r="B1307">
        <f>IFERROR(__xludf.DUMMYFUNCTION("""COMPUTED_VALUE"""),31058.0)</f>
        <v>31058</v>
      </c>
      <c r="C1307" t="str">
        <f>IFERROR(__xludf.DUMMYFUNCTION("""COMPUTED_VALUE"""),"JARAMILLO OCHOA, LUCAS")</f>
        <v>JARAMILLO OCHOA, LUCAS</v>
      </c>
      <c r="D1307" t="str">
        <f>IFERROR(__xludf.DUMMYFUNCTION("""COMPUTED_VALUE"""),"Sociales 6A")</f>
        <v>Sociales 6A</v>
      </c>
      <c r="E1307" s="31">
        <f>IFERROR(__xludf.DUMMYFUNCTION("""COMPUTED_VALUE"""),2.0)</f>
        <v>2</v>
      </c>
      <c r="F1307" s="8">
        <v>1.0</v>
      </c>
      <c r="G1307" s="8">
        <v>1.0</v>
      </c>
      <c r="H1307" s="8">
        <v>1.0</v>
      </c>
      <c r="I1307" s="8">
        <v>1.0</v>
      </c>
      <c r="J1307" s="8">
        <v>1.0</v>
      </c>
      <c r="K1307" s="8">
        <v>1.0</v>
      </c>
      <c r="L1307" s="8">
        <v>6.0</v>
      </c>
      <c r="M1307" s="8"/>
      <c r="N1307" s="8"/>
      <c r="O1307" s="8" t="s">
        <v>758</v>
      </c>
      <c r="P1307" s="8" t="e">
        <v>#N/A</v>
      </c>
    </row>
    <row r="1308">
      <c r="A1308">
        <f>IFERROR(__xludf.DUMMYFUNCTION("""COMPUTED_VALUE"""),6.0)</f>
        <v>6</v>
      </c>
      <c r="B1308">
        <f>IFERROR(__xludf.DUMMYFUNCTION("""COMPUTED_VALUE"""),31059.0)</f>
        <v>31059</v>
      </c>
      <c r="C1308" t="str">
        <f>IFERROR(__xludf.DUMMYFUNCTION("""COMPUTED_VALUE"""),"JIMENEZ ESCOBAR, ROSARIO")</f>
        <v>JIMENEZ ESCOBAR, ROSARIO</v>
      </c>
      <c r="D1308" t="str">
        <f>IFERROR(__xludf.DUMMYFUNCTION("""COMPUTED_VALUE"""),"Sociales 6A")</f>
        <v>Sociales 6A</v>
      </c>
      <c r="E1308" s="31">
        <f>IFERROR(__xludf.DUMMYFUNCTION("""COMPUTED_VALUE"""),2.0)</f>
        <v>2</v>
      </c>
      <c r="F1308" s="8">
        <v>1.0</v>
      </c>
      <c r="G1308" s="8">
        <v>1.0</v>
      </c>
      <c r="H1308" s="8">
        <v>1.0</v>
      </c>
      <c r="I1308" s="8">
        <v>1.0</v>
      </c>
      <c r="J1308" s="8">
        <v>1.0</v>
      </c>
      <c r="K1308" s="8">
        <v>1.0</v>
      </c>
      <c r="L1308" s="8">
        <v>6.0</v>
      </c>
      <c r="M1308" s="8"/>
      <c r="N1308" s="8"/>
      <c r="O1308" s="8" t="s">
        <v>758</v>
      </c>
      <c r="P1308" s="8" t="e">
        <v>#N/A</v>
      </c>
    </row>
    <row r="1309">
      <c r="A1309">
        <f>IFERROR(__xludf.DUMMYFUNCTION("""COMPUTED_VALUE"""),6.0)</f>
        <v>6</v>
      </c>
      <c r="B1309">
        <f>IFERROR(__xludf.DUMMYFUNCTION("""COMPUTED_VALUE"""),31172.0)</f>
        <v>31172</v>
      </c>
      <c r="C1309" t="str">
        <f>IFERROR(__xludf.DUMMYFUNCTION("""COMPUTED_VALUE"""),"JONCK CORRENTE, CLARICE")</f>
        <v>JONCK CORRENTE, CLARICE</v>
      </c>
      <c r="D1309" t="str">
        <f>IFERROR(__xludf.DUMMYFUNCTION("""COMPUTED_VALUE"""),"Sociales 6")</f>
        <v>Sociales 6</v>
      </c>
      <c r="E1309" s="31">
        <f>IFERROR(__xludf.DUMMYFUNCTION("""COMPUTED_VALUE"""),4.0)</f>
        <v>4</v>
      </c>
      <c r="F1309" s="8">
        <v>1.0</v>
      </c>
      <c r="G1309" s="8">
        <v>1.0</v>
      </c>
      <c r="H1309" s="8">
        <v>1.0</v>
      </c>
      <c r="I1309" s="8">
        <v>1.0</v>
      </c>
      <c r="J1309" s="8">
        <v>1.0</v>
      </c>
      <c r="K1309" s="8">
        <v>1.0</v>
      </c>
      <c r="L1309" s="8">
        <v>6.0</v>
      </c>
      <c r="M1309" s="8"/>
      <c r="N1309" s="8"/>
      <c r="O1309" s="8" t="s">
        <v>756</v>
      </c>
      <c r="P1309" s="8">
        <v>6.0</v>
      </c>
    </row>
    <row r="1310">
      <c r="A1310">
        <f>IFERROR(__xludf.DUMMYFUNCTION("""COMPUTED_VALUE"""),6.0)</f>
        <v>6</v>
      </c>
      <c r="B1310">
        <f>IFERROR(__xludf.DUMMYFUNCTION("""COMPUTED_VALUE"""),31061.0)</f>
        <v>31061</v>
      </c>
      <c r="C1310" t="str">
        <f>IFERROR(__xludf.DUMMYFUNCTION("""COMPUTED_VALUE"""),"LAVERDE GIRALDO, CONSTANTINO")</f>
        <v>LAVERDE GIRALDO, CONSTANTINO</v>
      </c>
      <c r="D1310" t="str">
        <f>IFERROR(__xludf.DUMMYFUNCTION("""COMPUTED_VALUE"""),"Sociales 6A")</f>
        <v>Sociales 6A</v>
      </c>
      <c r="E1310" s="31">
        <f>IFERROR(__xludf.DUMMYFUNCTION("""COMPUTED_VALUE"""),2.0)</f>
        <v>2</v>
      </c>
      <c r="F1310" s="8">
        <v>1.0</v>
      </c>
      <c r="G1310" s="8">
        <v>1.0</v>
      </c>
      <c r="H1310" s="8">
        <v>1.0</v>
      </c>
      <c r="I1310" s="8">
        <v>1.0</v>
      </c>
      <c r="J1310" s="8">
        <v>1.0</v>
      </c>
      <c r="K1310" s="8">
        <v>1.0</v>
      </c>
      <c r="L1310" s="8">
        <v>6.0</v>
      </c>
      <c r="M1310" s="8"/>
      <c r="N1310" s="8"/>
      <c r="O1310" s="8" t="s">
        <v>758</v>
      </c>
      <c r="P1310" s="8" t="e">
        <v>#N/A</v>
      </c>
    </row>
    <row r="1311">
      <c r="A1311">
        <f>IFERROR(__xludf.DUMMYFUNCTION("""COMPUTED_VALUE"""),6.0)</f>
        <v>6</v>
      </c>
      <c r="B1311">
        <f>IFERROR(__xludf.DUMMYFUNCTION("""COMPUTED_VALUE"""),31060.0)</f>
        <v>31060</v>
      </c>
      <c r="C1311" t="str">
        <f>IFERROR(__xludf.DUMMYFUNCTION("""COMPUTED_VALUE"""),"LAVERDE MOLINA, MATIAS")</f>
        <v>LAVERDE MOLINA, MATIAS</v>
      </c>
      <c r="D1311" t="str">
        <f>IFERROR(__xludf.DUMMYFUNCTION("""COMPUTED_VALUE"""),"Sociales 6")</f>
        <v>Sociales 6</v>
      </c>
      <c r="E1311" s="31">
        <f>IFERROR(__xludf.DUMMYFUNCTION("""COMPUTED_VALUE"""),4.0)</f>
        <v>4</v>
      </c>
      <c r="F1311" s="8">
        <v>1.0</v>
      </c>
      <c r="G1311" s="8">
        <v>1.0</v>
      </c>
      <c r="H1311" s="8">
        <v>1.0</v>
      </c>
      <c r="I1311" s="8">
        <v>1.0</v>
      </c>
      <c r="J1311" s="8">
        <v>1.0</v>
      </c>
      <c r="K1311" s="8">
        <v>1.0</v>
      </c>
      <c r="L1311" s="8">
        <v>6.0</v>
      </c>
      <c r="M1311" s="8"/>
      <c r="N1311" s="8"/>
      <c r="O1311" s="8" t="s">
        <v>756</v>
      </c>
      <c r="P1311" s="8">
        <v>6.0</v>
      </c>
    </row>
    <row r="1312">
      <c r="A1312">
        <f>IFERROR(__xludf.DUMMYFUNCTION("""COMPUTED_VALUE"""),6.0)</f>
        <v>6</v>
      </c>
      <c r="B1312">
        <f>IFERROR(__xludf.DUMMYFUNCTION("""COMPUTED_VALUE"""),31062.0)</f>
        <v>31062</v>
      </c>
      <c r="C1312" t="str">
        <f>IFERROR(__xludf.DUMMYFUNCTION("""COMPUTED_VALUE"""),"LEMA GARCIA, MIA")</f>
        <v>LEMA GARCIA, MIA</v>
      </c>
      <c r="D1312" t="str">
        <f>IFERROR(__xludf.DUMMYFUNCTION("""COMPUTED_VALUE"""),"Sociales 6")</f>
        <v>Sociales 6</v>
      </c>
      <c r="E1312" s="31">
        <f>IFERROR(__xludf.DUMMYFUNCTION("""COMPUTED_VALUE"""),2.0)</f>
        <v>2</v>
      </c>
      <c r="F1312" s="8">
        <v>1.0</v>
      </c>
      <c r="G1312" s="8">
        <v>1.0</v>
      </c>
      <c r="H1312" s="8">
        <v>1.0</v>
      </c>
      <c r="I1312" s="8">
        <v>1.0</v>
      </c>
      <c r="J1312" s="8">
        <v>1.0</v>
      </c>
      <c r="K1312" s="8">
        <v>1.0</v>
      </c>
      <c r="L1312" s="8">
        <v>6.0</v>
      </c>
      <c r="M1312" s="8"/>
      <c r="N1312" s="8"/>
      <c r="O1312" s="8" t="s">
        <v>754</v>
      </c>
      <c r="P1312" s="8">
        <v>6.0</v>
      </c>
    </row>
    <row r="1313">
      <c r="A1313">
        <f>IFERROR(__xludf.DUMMYFUNCTION("""COMPUTED_VALUE"""),6.0)</f>
        <v>6</v>
      </c>
      <c r="B1313">
        <f>IFERROR(__xludf.DUMMYFUNCTION("""COMPUTED_VALUE"""),31063.0)</f>
        <v>31063</v>
      </c>
      <c r="C1313" t="str">
        <f>IFERROR(__xludf.DUMMYFUNCTION("""COMPUTED_VALUE"""),"LONDOÑO ARRIOLA, LUCIA")</f>
        <v>LONDOÑO ARRIOLA, LUCIA</v>
      </c>
      <c r="D1313" t="str">
        <f>IFERROR(__xludf.DUMMYFUNCTION("""COMPUTED_VALUE"""),"Sociales 6")</f>
        <v>Sociales 6</v>
      </c>
      <c r="E1313" s="31">
        <f>IFERROR(__xludf.DUMMYFUNCTION("""COMPUTED_VALUE"""),1.0)</f>
        <v>1</v>
      </c>
      <c r="F1313" s="8">
        <v>1.0</v>
      </c>
      <c r="G1313" s="8">
        <v>1.0</v>
      </c>
      <c r="H1313" s="8">
        <v>1.0</v>
      </c>
      <c r="I1313" s="8">
        <v>1.0</v>
      </c>
      <c r="J1313" s="8">
        <v>1.0</v>
      </c>
      <c r="K1313" s="8">
        <v>1.0</v>
      </c>
      <c r="L1313" s="8">
        <v>6.0</v>
      </c>
      <c r="M1313" s="8"/>
      <c r="N1313" s="8"/>
      <c r="O1313" s="8" t="s">
        <v>757</v>
      </c>
      <c r="P1313" s="8">
        <v>6.0</v>
      </c>
    </row>
    <row r="1314">
      <c r="A1314">
        <f>IFERROR(__xludf.DUMMYFUNCTION("""COMPUTED_VALUE"""),6.0)</f>
        <v>6</v>
      </c>
      <c r="B1314">
        <f>IFERROR(__xludf.DUMMYFUNCTION("""COMPUTED_VALUE"""),32076.0)</f>
        <v>32076</v>
      </c>
      <c r="C1314" t="str">
        <f>IFERROR(__xludf.DUMMYFUNCTION("""COMPUTED_VALUE"""),"LONDOÑO BAQUERO, JUAN")</f>
        <v>LONDOÑO BAQUERO, JUAN</v>
      </c>
      <c r="D1314" t="str">
        <f>IFERROR(__xludf.DUMMYFUNCTION("""COMPUTED_VALUE"""),"Sociales 6")</f>
        <v>Sociales 6</v>
      </c>
      <c r="E1314" s="31">
        <f>IFERROR(__xludf.DUMMYFUNCTION("""COMPUTED_VALUE"""),5.0)</f>
        <v>5</v>
      </c>
      <c r="F1314" s="8">
        <v>1.0</v>
      </c>
      <c r="G1314" s="8">
        <v>1.0</v>
      </c>
      <c r="H1314" s="8">
        <v>1.0</v>
      </c>
      <c r="I1314" s="8">
        <v>1.0</v>
      </c>
      <c r="J1314" s="8">
        <v>1.0</v>
      </c>
      <c r="K1314" s="8">
        <v>1.0</v>
      </c>
      <c r="L1314" s="8">
        <v>6.0</v>
      </c>
      <c r="M1314" s="8"/>
      <c r="N1314" s="8"/>
      <c r="O1314" s="8" t="s">
        <v>753</v>
      </c>
      <c r="P1314" s="8">
        <v>6.0</v>
      </c>
    </row>
    <row r="1315">
      <c r="A1315">
        <f>IFERROR(__xludf.DUMMYFUNCTION("""COMPUTED_VALUE"""),6.0)</f>
        <v>6</v>
      </c>
      <c r="B1315">
        <f>IFERROR(__xludf.DUMMYFUNCTION("""COMPUTED_VALUE"""),31064.0)</f>
        <v>31064</v>
      </c>
      <c r="C1315" t="str">
        <f>IFERROR(__xludf.DUMMYFUNCTION("""COMPUTED_VALUE"""),"MARQUEZ BARRERA, LORENZO CAYETANO")</f>
        <v>MARQUEZ BARRERA, LORENZO CAYETANO</v>
      </c>
      <c r="D1315" t="str">
        <f>IFERROR(__xludf.DUMMYFUNCTION("""COMPUTED_VALUE"""),"Sociales 6")</f>
        <v>Sociales 6</v>
      </c>
      <c r="E1315" s="31">
        <f>IFERROR(__xludf.DUMMYFUNCTION("""COMPUTED_VALUE"""),1.0)</f>
        <v>1</v>
      </c>
      <c r="F1315" s="8">
        <v>1.0</v>
      </c>
      <c r="G1315" s="8">
        <v>1.0</v>
      </c>
      <c r="H1315" s="8">
        <v>1.0</v>
      </c>
      <c r="I1315" s="8">
        <v>1.0</v>
      </c>
      <c r="J1315" s="8">
        <v>1.0</v>
      </c>
      <c r="K1315" s="8">
        <v>1.0</v>
      </c>
      <c r="L1315" s="8">
        <v>6.0</v>
      </c>
      <c r="M1315" s="8"/>
      <c r="N1315" s="8"/>
      <c r="O1315" s="8" t="s">
        <v>757</v>
      </c>
      <c r="P1315" s="8">
        <v>6.0</v>
      </c>
    </row>
    <row r="1316">
      <c r="A1316">
        <f>IFERROR(__xludf.DUMMYFUNCTION("""COMPUTED_VALUE"""),6.0)</f>
        <v>6</v>
      </c>
      <c r="B1316">
        <f>IFERROR(__xludf.DUMMYFUNCTION("""COMPUTED_VALUE"""),31065.0)</f>
        <v>31065</v>
      </c>
      <c r="C1316" t="str">
        <f>IFERROR(__xludf.DUMMYFUNCTION("""COMPUTED_VALUE"""),"MARTINEZ UPEGUI, PEDRO")</f>
        <v>MARTINEZ UPEGUI, PEDRO</v>
      </c>
      <c r="D1316" t="str">
        <f>IFERROR(__xludf.DUMMYFUNCTION("""COMPUTED_VALUE"""),"Sociales 6")</f>
        <v>Sociales 6</v>
      </c>
      <c r="E1316" s="31">
        <f>IFERROR(__xludf.DUMMYFUNCTION("""COMPUTED_VALUE"""),5.0)</f>
        <v>5</v>
      </c>
      <c r="F1316" s="8">
        <v>1.0</v>
      </c>
      <c r="G1316" s="8">
        <v>1.0</v>
      </c>
      <c r="H1316" s="8">
        <v>1.0</v>
      </c>
      <c r="I1316" s="8">
        <v>1.0</v>
      </c>
      <c r="J1316" s="8">
        <v>1.0</v>
      </c>
      <c r="K1316" s="8">
        <v>1.0</v>
      </c>
      <c r="L1316" s="8">
        <v>6.0</v>
      </c>
      <c r="M1316" s="8"/>
      <c r="N1316" s="8"/>
      <c r="O1316" s="8" t="s">
        <v>753</v>
      </c>
      <c r="P1316" s="8">
        <v>6.0</v>
      </c>
    </row>
    <row r="1317">
      <c r="A1317">
        <f>IFERROR(__xludf.DUMMYFUNCTION("""COMPUTED_VALUE"""),6.0)</f>
        <v>6</v>
      </c>
      <c r="B1317">
        <f>IFERROR(__xludf.DUMMYFUNCTION("""COMPUTED_VALUE"""),31066.0)</f>
        <v>31066</v>
      </c>
      <c r="C1317" t="str">
        <f>IFERROR(__xludf.DUMMYFUNCTION("""COMPUTED_VALUE"""),"MATALLANA TOBON, ROSARIO")</f>
        <v>MATALLANA TOBON, ROSARIO</v>
      </c>
      <c r="D1317" t="str">
        <f>IFERROR(__xludf.DUMMYFUNCTION("""COMPUTED_VALUE"""),"Sociales 6")</f>
        <v>Sociales 6</v>
      </c>
      <c r="E1317" s="31">
        <f>IFERROR(__xludf.DUMMYFUNCTION("""COMPUTED_VALUE"""),3.0)</f>
        <v>3</v>
      </c>
      <c r="F1317" s="8">
        <v>1.0</v>
      </c>
      <c r="G1317" s="8">
        <v>1.0</v>
      </c>
      <c r="H1317" s="8">
        <v>1.0</v>
      </c>
      <c r="I1317" s="8">
        <v>1.0</v>
      </c>
      <c r="J1317" s="8">
        <v>1.0</v>
      </c>
      <c r="K1317" s="8">
        <v>1.0</v>
      </c>
      <c r="L1317" s="8">
        <v>6.0</v>
      </c>
      <c r="M1317" s="8"/>
      <c r="N1317" s="8"/>
      <c r="O1317" s="8" t="s">
        <v>755</v>
      </c>
      <c r="P1317" s="8">
        <v>6.0</v>
      </c>
    </row>
    <row r="1318">
      <c r="A1318">
        <f>IFERROR(__xludf.DUMMYFUNCTION("""COMPUTED_VALUE"""),6.0)</f>
        <v>6</v>
      </c>
      <c r="B1318">
        <f>IFERROR(__xludf.DUMMYFUNCTION("""COMPUTED_VALUE"""),31067.0)</f>
        <v>31067</v>
      </c>
      <c r="C1318" t="str">
        <f>IFERROR(__xludf.DUMMYFUNCTION("""COMPUTED_VALUE"""),"MAYA BEDOYA, EMILIA")</f>
        <v>MAYA BEDOYA, EMILIA</v>
      </c>
      <c r="D1318" t="str">
        <f>IFERROR(__xludf.DUMMYFUNCTION("""COMPUTED_VALUE"""),"Sociales 6")</f>
        <v>Sociales 6</v>
      </c>
      <c r="E1318" s="31">
        <f>IFERROR(__xludf.DUMMYFUNCTION("""COMPUTED_VALUE"""),1.0)</f>
        <v>1</v>
      </c>
      <c r="F1318" s="8">
        <v>1.0</v>
      </c>
      <c r="G1318" s="8">
        <v>1.0</v>
      </c>
      <c r="H1318" s="8">
        <v>1.0</v>
      </c>
      <c r="I1318" s="8">
        <v>1.0</v>
      </c>
      <c r="J1318" s="8">
        <v>1.0</v>
      </c>
      <c r="K1318" s="8">
        <v>1.0</v>
      </c>
      <c r="L1318" s="8">
        <v>6.0</v>
      </c>
      <c r="M1318" s="8"/>
      <c r="N1318" s="8"/>
      <c r="O1318" s="8" t="s">
        <v>757</v>
      </c>
      <c r="P1318" s="8">
        <v>6.0</v>
      </c>
    </row>
    <row r="1319">
      <c r="A1319">
        <f>IFERROR(__xludf.DUMMYFUNCTION("""COMPUTED_VALUE"""),6.0)</f>
        <v>6</v>
      </c>
      <c r="B1319">
        <f>IFERROR(__xludf.DUMMYFUNCTION("""COMPUTED_VALUE"""),31149.0)</f>
        <v>31149</v>
      </c>
      <c r="C1319" t="str">
        <f>IFERROR(__xludf.DUMMYFUNCTION("""COMPUTED_VALUE"""),"MAZO DIAZ, ANTONIO")</f>
        <v>MAZO DIAZ, ANTONIO</v>
      </c>
      <c r="D1319" t="str">
        <f>IFERROR(__xludf.DUMMYFUNCTION("""COMPUTED_VALUE"""),"Sociales 6")</f>
        <v>Sociales 6</v>
      </c>
      <c r="E1319" s="31">
        <f>IFERROR(__xludf.DUMMYFUNCTION("""COMPUTED_VALUE"""),2.0)</f>
        <v>2</v>
      </c>
      <c r="F1319" s="8">
        <v>1.0</v>
      </c>
      <c r="G1319" s="8">
        <v>1.0</v>
      </c>
      <c r="H1319" s="8">
        <v>1.0</v>
      </c>
      <c r="I1319" s="8">
        <v>1.0</v>
      </c>
      <c r="J1319" s="8">
        <v>1.0</v>
      </c>
      <c r="K1319" s="8">
        <v>1.0</v>
      </c>
      <c r="L1319" s="8">
        <v>6.0</v>
      </c>
      <c r="M1319" s="8"/>
      <c r="N1319" s="8"/>
      <c r="O1319" s="8" t="s">
        <v>754</v>
      </c>
      <c r="P1319" s="8">
        <v>6.0</v>
      </c>
    </row>
    <row r="1320">
      <c r="A1320">
        <f>IFERROR(__xludf.DUMMYFUNCTION("""COMPUTED_VALUE"""),6.0)</f>
        <v>6</v>
      </c>
      <c r="B1320">
        <f>IFERROR(__xludf.DUMMYFUNCTION("""COMPUTED_VALUE"""),31164.0)</f>
        <v>31164</v>
      </c>
      <c r="C1320" t="str">
        <f>IFERROR(__xludf.DUMMYFUNCTION("""COMPUTED_VALUE"""),"MCGARGHAN, RHYS LEIGH-ANNA")</f>
        <v>MCGARGHAN, RHYS LEIGH-ANNA</v>
      </c>
      <c r="D1320" t="str">
        <f>IFERROR(__xludf.DUMMYFUNCTION("""COMPUTED_VALUE"""),"Sociales 6")</f>
        <v>Sociales 6</v>
      </c>
      <c r="E1320" s="31">
        <f>IFERROR(__xludf.DUMMYFUNCTION("""COMPUTED_VALUE"""),3.0)</f>
        <v>3</v>
      </c>
      <c r="F1320" s="8">
        <v>1.0</v>
      </c>
      <c r="G1320" s="8">
        <v>1.0</v>
      </c>
      <c r="H1320" s="8">
        <v>1.0</v>
      </c>
      <c r="I1320" s="8">
        <v>1.0</v>
      </c>
      <c r="J1320" s="8">
        <v>1.0</v>
      </c>
      <c r="K1320" s="8">
        <v>1.0</v>
      </c>
      <c r="L1320" s="8">
        <v>6.0</v>
      </c>
      <c r="M1320" s="8"/>
      <c r="N1320" s="8"/>
      <c r="O1320" s="8" t="s">
        <v>755</v>
      </c>
      <c r="P1320" s="8">
        <v>6.0</v>
      </c>
    </row>
    <row r="1321">
      <c r="A1321">
        <f>IFERROR(__xludf.DUMMYFUNCTION("""COMPUTED_VALUE"""),6.0)</f>
        <v>6</v>
      </c>
      <c r="B1321">
        <f>IFERROR(__xludf.DUMMYFUNCTION("""COMPUTED_VALUE"""),31070.0)</f>
        <v>31070</v>
      </c>
      <c r="C1321" t="str">
        <f>IFERROR(__xludf.DUMMYFUNCTION("""COMPUTED_VALUE"""),"MEJIA GALLEGO, MARTIN")</f>
        <v>MEJIA GALLEGO, MARTIN</v>
      </c>
      <c r="D1321" t="str">
        <f>IFERROR(__xludf.DUMMYFUNCTION("""COMPUTED_VALUE"""),"Sociales 6")</f>
        <v>Sociales 6</v>
      </c>
      <c r="E1321" s="31">
        <f>IFERROR(__xludf.DUMMYFUNCTION("""COMPUTED_VALUE"""),4.0)</f>
        <v>4</v>
      </c>
      <c r="F1321" s="8">
        <v>1.0</v>
      </c>
      <c r="G1321" s="8">
        <v>1.0</v>
      </c>
      <c r="H1321" s="8">
        <v>1.0</v>
      </c>
      <c r="I1321" s="8">
        <v>1.0</v>
      </c>
      <c r="J1321" s="8">
        <v>1.0</v>
      </c>
      <c r="K1321" s="8">
        <v>1.0</v>
      </c>
      <c r="L1321" s="8">
        <v>6.0</v>
      </c>
      <c r="M1321" s="8"/>
      <c r="N1321" s="8"/>
      <c r="O1321" s="8" t="s">
        <v>756</v>
      </c>
      <c r="P1321" s="8">
        <v>6.0</v>
      </c>
    </row>
    <row r="1322">
      <c r="A1322">
        <f>IFERROR(__xludf.DUMMYFUNCTION("""COMPUTED_VALUE"""),6.0)</f>
        <v>6</v>
      </c>
      <c r="B1322">
        <f>IFERROR(__xludf.DUMMYFUNCTION("""COMPUTED_VALUE"""),31071.0)</f>
        <v>31071</v>
      </c>
      <c r="C1322" t="str">
        <f>IFERROR(__xludf.DUMMYFUNCTION("""COMPUTED_VALUE"""),"MEJIA TORO, MIGUEL")</f>
        <v>MEJIA TORO, MIGUEL</v>
      </c>
      <c r="D1322" t="str">
        <f>IFERROR(__xludf.DUMMYFUNCTION("""COMPUTED_VALUE"""),"Sociales 6")</f>
        <v>Sociales 6</v>
      </c>
      <c r="E1322" s="31">
        <f>IFERROR(__xludf.DUMMYFUNCTION("""COMPUTED_VALUE"""),1.0)</f>
        <v>1</v>
      </c>
      <c r="F1322" s="8">
        <v>1.0</v>
      </c>
      <c r="G1322" s="8">
        <v>1.0</v>
      </c>
      <c r="H1322" s="8">
        <v>1.0</v>
      </c>
      <c r="I1322" s="8">
        <v>1.0</v>
      </c>
      <c r="J1322" s="8">
        <v>1.0</v>
      </c>
      <c r="K1322" s="8">
        <v>1.0</v>
      </c>
      <c r="L1322" s="8">
        <v>6.0</v>
      </c>
      <c r="M1322" s="8"/>
      <c r="N1322" s="8"/>
      <c r="O1322" s="8" t="s">
        <v>757</v>
      </c>
      <c r="P1322" s="8">
        <v>6.0</v>
      </c>
    </row>
    <row r="1323">
      <c r="A1323">
        <f>IFERROR(__xludf.DUMMYFUNCTION("""COMPUTED_VALUE"""),6.0)</f>
        <v>6</v>
      </c>
      <c r="B1323">
        <f>IFERROR(__xludf.DUMMYFUNCTION("""COMPUTED_VALUE"""),31072.0)</f>
        <v>31072</v>
      </c>
      <c r="C1323" t="str">
        <f>IFERROR(__xludf.DUMMYFUNCTION("""COMPUTED_VALUE"""),"MEJIA VELEZ, ABRIL")</f>
        <v>MEJIA VELEZ, ABRIL</v>
      </c>
      <c r="D1323" t="str">
        <f>IFERROR(__xludf.DUMMYFUNCTION("""COMPUTED_VALUE"""),"Sociales 6")</f>
        <v>Sociales 6</v>
      </c>
      <c r="E1323" s="31">
        <f>IFERROR(__xludf.DUMMYFUNCTION("""COMPUTED_VALUE"""),5.0)</f>
        <v>5</v>
      </c>
      <c r="F1323" s="8">
        <v>1.0</v>
      </c>
      <c r="G1323" s="8">
        <v>1.0</v>
      </c>
      <c r="H1323" s="8">
        <v>1.0</v>
      </c>
      <c r="I1323" s="8">
        <v>1.0</v>
      </c>
      <c r="J1323" s="8">
        <v>1.0</v>
      </c>
      <c r="K1323" s="8">
        <v>1.0</v>
      </c>
      <c r="L1323" s="8">
        <v>6.0</v>
      </c>
      <c r="M1323" s="8"/>
      <c r="N1323" s="8"/>
      <c r="O1323" s="8" t="s">
        <v>753</v>
      </c>
      <c r="P1323" s="8">
        <v>6.0</v>
      </c>
    </row>
    <row r="1324">
      <c r="A1324">
        <f>IFERROR(__xludf.DUMMYFUNCTION("""COMPUTED_VALUE"""),6.0)</f>
        <v>6</v>
      </c>
      <c r="B1324">
        <f>IFERROR(__xludf.DUMMYFUNCTION("""COMPUTED_VALUE"""),31157.0)</f>
        <v>31157</v>
      </c>
      <c r="C1324" t="str">
        <f>IFERROR(__xludf.DUMMYFUNCTION("""COMPUTED_VALUE"""),"MILLAN HUERTAS, EMILIANO")</f>
        <v>MILLAN HUERTAS, EMILIANO</v>
      </c>
      <c r="D1324" t="str">
        <f>IFERROR(__xludf.DUMMYFUNCTION("""COMPUTED_VALUE"""),"Sociales 6")</f>
        <v>Sociales 6</v>
      </c>
      <c r="E1324" s="31">
        <f>IFERROR(__xludf.DUMMYFUNCTION("""COMPUTED_VALUE"""),4.0)</f>
        <v>4</v>
      </c>
      <c r="F1324" s="8">
        <v>1.0</v>
      </c>
      <c r="G1324" s="8">
        <v>1.0</v>
      </c>
      <c r="H1324" s="8">
        <v>1.0</v>
      </c>
      <c r="I1324" s="8">
        <v>1.0</v>
      </c>
      <c r="J1324" s="8">
        <v>1.0</v>
      </c>
      <c r="K1324" s="8">
        <v>1.0</v>
      </c>
      <c r="L1324" s="8">
        <v>6.0</v>
      </c>
      <c r="M1324" s="8"/>
      <c r="N1324" s="8"/>
      <c r="O1324" s="8" t="s">
        <v>756</v>
      </c>
      <c r="P1324" s="8">
        <v>6.0</v>
      </c>
    </row>
    <row r="1325">
      <c r="A1325">
        <f>IFERROR(__xludf.DUMMYFUNCTION("""COMPUTED_VALUE"""),6.0)</f>
        <v>6</v>
      </c>
      <c r="B1325">
        <f>IFERROR(__xludf.DUMMYFUNCTION("""COMPUTED_VALUE"""),31073.0)</f>
        <v>31073</v>
      </c>
      <c r="C1325" t="str">
        <f>IFERROR(__xludf.DUMMYFUNCTION("""COMPUTED_VALUE"""),"MISAS MESA, RAFAEL")</f>
        <v>MISAS MESA, RAFAEL</v>
      </c>
      <c r="D1325" t="str">
        <f>IFERROR(__xludf.DUMMYFUNCTION("""COMPUTED_VALUE"""),"Sociales 6")</f>
        <v>Sociales 6</v>
      </c>
      <c r="E1325" s="31">
        <f>IFERROR(__xludf.DUMMYFUNCTION("""COMPUTED_VALUE"""),3.0)</f>
        <v>3</v>
      </c>
      <c r="F1325" s="8">
        <v>1.0</v>
      </c>
      <c r="G1325" s="8">
        <v>1.0</v>
      </c>
      <c r="H1325" s="8">
        <v>1.0</v>
      </c>
      <c r="I1325" s="8">
        <v>1.0</v>
      </c>
      <c r="J1325" s="8">
        <v>1.0</v>
      </c>
      <c r="K1325" s="8">
        <v>1.0</v>
      </c>
      <c r="L1325" s="8">
        <v>6.0</v>
      </c>
      <c r="M1325" s="8"/>
      <c r="N1325" s="8"/>
      <c r="O1325" s="8" t="s">
        <v>755</v>
      </c>
      <c r="P1325" s="8">
        <v>6.0</v>
      </c>
    </row>
    <row r="1326">
      <c r="A1326">
        <f>IFERROR(__xludf.DUMMYFUNCTION("""COMPUTED_VALUE"""),6.0)</f>
        <v>6</v>
      </c>
      <c r="B1326">
        <f>IFERROR(__xludf.DUMMYFUNCTION("""COMPUTED_VALUE"""),31074.0)</f>
        <v>31074</v>
      </c>
      <c r="C1326" t="str">
        <f>IFERROR(__xludf.DUMMYFUNCTION("""COMPUTED_VALUE"""),"MONTOYA BERNAL, FELIPE")</f>
        <v>MONTOYA BERNAL, FELIPE</v>
      </c>
      <c r="D1326" t="str">
        <f>IFERROR(__xludf.DUMMYFUNCTION("""COMPUTED_VALUE"""),"Sociales 6")</f>
        <v>Sociales 6</v>
      </c>
      <c r="E1326" s="31">
        <f>IFERROR(__xludf.DUMMYFUNCTION("""COMPUTED_VALUE"""),3.0)</f>
        <v>3</v>
      </c>
      <c r="F1326" s="8">
        <v>1.0</v>
      </c>
      <c r="G1326" s="8">
        <v>1.0</v>
      </c>
      <c r="H1326" s="8">
        <v>1.0</v>
      </c>
      <c r="I1326" s="8">
        <v>1.0</v>
      </c>
      <c r="J1326" s="8">
        <v>1.0</v>
      </c>
      <c r="K1326" s="8">
        <v>1.0</v>
      </c>
      <c r="L1326" s="8">
        <v>6.0</v>
      </c>
      <c r="M1326" s="8"/>
      <c r="N1326" s="8"/>
      <c r="O1326" s="8" t="s">
        <v>755</v>
      </c>
      <c r="P1326" s="8">
        <v>6.0</v>
      </c>
    </row>
    <row r="1327">
      <c r="A1327">
        <f>IFERROR(__xludf.DUMMYFUNCTION("""COMPUTED_VALUE"""),6.0)</f>
        <v>6</v>
      </c>
      <c r="B1327">
        <f>IFERROR(__xludf.DUMMYFUNCTION("""COMPUTED_VALUE"""),31075.0)</f>
        <v>31075</v>
      </c>
      <c r="C1327" t="str">
        <f>IFERROR(__xludf.DUMMYFUNCTION("""COMPUTED_VALUE"""),"MORENO MORENO, CARLOTA")</f>
        <v>MORENO MORENO, CARLOTA</v>
      </c>
      <c r="D1327" t="str">
        <f>IFERROR(__xludf.DUMMYFUNCTION("""COMPUTED_VALUE"""),"Sociales 6")</f>
        <v>Sociales 6</v>
      </c>
      <c r="E1327" s="31">
        <f>IFERROR(__xludf.DUMMYFUNCTION("""COMPUTED_VALUE"""),1.0)</f>
        <v>1</v>
      </c>
      <c r="F1327" s="8">
        <v>1.0</v>
      </c>
      <c r="G1327" s="8">
        <v>1.0</v>
      </c>
      <c r="H1327" s="8">
        <v>1.0</v>
      </c>
      <c r="I1327" s="8">
        <v>1.0</v>
      </c>
      <c r="J1327" s="8">
        <v>1.0</v>
      </c>
      <c r="K1327" s="8">
        <v>1.0</v>
      </c>
      <c r="L1327" s="8">
        <v>6.0</v>
      </c>
      <c r="M1327" s="8"/>
      <c r="N1327" s="8"/>
      <c r="O1327" s="8" t="s">
        <v>757</v>
      </c>
      <c r="P1327" s="8">
        <v>6.0</v>
      </c>
    </row>
    <row r="1328">
      <c r="A1328">
        <f>IFERROR(__xludf.DUMMYFUNCTION("""COMPUTED_VALUE"""),6.0)</f>
        <v>6</v>
      </c>
      <c r="B1328">
        <f>IFERROR(__xludf.DUMMYFUNCTION("""COMPUTED_VALUE"""),31076.0)</f>
        <v>31076</v>
      </c>
      <c r="C1328" t="str">
        <f>IFERROR(__xludf.DUMMYFUNCTION("""COMPUTED_VALUE"""),"MORENO PALACIO, SIMON")</f>
        <v>MORENO PALACIO, SIMON</v>
      </c>
      <c r="D1328" t="str">
        <f>IFERROR(__xludf.DUMMYFUNCTION("""COMPUTED_VALUE"""),"Sociales 6")</f>
        <v>Sociales 6</v>
      </c>
      <c r="E1328" s="31">
        <f>IFERROR(__xludf.DUMMYFUNCTION("""COMPUTED_VALUE"""),4.0)</f>
        <v>4</v>
      </c>
      <c r="F1328" s="8">
        <v>1.0</v>
      </c>
      <c r="G1328" s="8">
        <v>1.0</v>
      </c>
      <c r="H1328" s="8">
        <v>1.0</v>
      </c>
      <c r="I1328" s="8">
        <v>1.0</v>
      </c>
      <c r="J1328" s="8">
        <v>1.0</v>
      </c>
      <c r="K1328" s="8">
        <v>1.0</v>
      </c>
      <c r="L1328" s="8">
        <v>6.0</v>
      </c>
      <c r="M1328" s="8"/>
      <c r="N1328" s="8"/>
      <c r="O1328" s="8" t="s">
        <v>756</v>
      </c>
      <c r="P1328" s="8">
        <v>6.0</v>
      </c>
    </row>
    <row r="1329">
      <c r="A1329">
        <f>IFERROR(__xludf.DUMMYFUNCTION("""COMPUTED_VALUE"""),6.0)</f>
        <v>6</v>
      </c>
      <c r="B1329">
        <f>IFERROR(__xludf.DUMMYFUNCTION("""COMPUTED_VALUE"""),31077.0)</f>
        <v>31077</v>
      </c>
      <c r="C1329" t="str">
        <f>IFERROR(__xludf.DUMMYFUNCTION("""COMPUTED_VALUE"""),"MUÑOZ JARAMILLO, MARIANA")</f>
        <v>MUÑOZ JARAMILLO, MARIANA</v>
      </c>
      <c r="D1329" t="str">
        <f>IFERROR(__xludf.DUMMYFUNCTION("""COMPUTED_VALUE"""),"Sociales 6")</f>
        <v>Sociales 6</v>
      </c>
      <c r="E1329" s="31">
        <f>IFERROR(__xludf.DUMMYFUNCTION("""COMPUTED_VALUE"""),5.0)</f>
        <v>5</v>
      </c>
      <c r="F1329" s="8">
        <v>1.0</v>
      </c>
      <c r="G1329" s="8">
        <v>1.0</v>
      </c>
      <c r="H1329" s="8">
        <v>1.0</v>
      </c>
      <c r="I1329" s="8">
        <v>1.0</v>
      </c>
      <c r="J1329" s="8">
        <v>1.0</v>
      </c>
      <c r="K1329" s="8">
        <v>1.0</v>
      </c>
      <c r="L1329" s="8">
        <v>6.0</v>
      </c>
      <c r="M1329" s="8"/>
      <c r="N1329" s="8"/>
      <c r="O1329" s="8" t="s">
        <v>753</v>
      </c>
      <c r="P1329" s="8">
        <v>6.0</v>
      </c>
    </row>
    <row r="1330">
      <c r="A1330">
        <f>IFERROR(__xludf.DUMMYFUNCTION("""COMPUTED_VALUE"""),6.0)</f>
        <v>6</v>
      </c>
      <c r="B1330">
        <f>IFERROR(__xludf.DUMMYFUNCTION("""COMPUTED_VALUE"""),31078.0)</f>
        <v>31078</v>
      </c>
      <c r="C1330" t="str">
        <f>IFERROR(__xludf.DUMMYFUNCTION("""COMPUTED_VALUE"""),"NAVARRO ABAD, FERNANDA")</f>
        <v>NAVARRO ABAD, FERNANDA</v>
      </c>
      <c r="D1330" t="str">
        <f>IFERROR(__xludf.DUMMYFUNCTION("""COMPUTED_VALUE"""),"Sociales 6A")</f>
        <v>Sociales 6A</v>
      </c>
      <c r="E1330" s="31">
        <f>IFERROR(__xludf.DUMMYFUNCTION("""COMPUTED_VALUE"""),2.0)</f>
        <v>2</v>
      </c>
      <c r="F1330" s="8">
        <v>1.0</v>
      </c>
      <c r="G1330" s="8">
        <v>1.0</v>
      </c>
      <c r="H1330" s="8">
        <v>1.0</v>
      </c>
      <c r="I1330" s="8">
        <v>1.0</v>
      </c>
      <c r="J1330" s="8">
        <v>1.0</v>
      </c>
      <c r="K1330" s="8">
        <v>1.0</v>
      </c>
      <c r="L1330" s="8">
        <v>6.0</v>
      </c>
      <c r="M1330" s="8"/>
      <c r="N1330" s="8"/>
      <c r="O1330" s="8" t="s">
        <v>758</v>
      </c>
      <c r="P1330" s="8" t="e">
        <v>#N/A</v>
      </c>
    </row>
    <row r="1331">
      <c r="A1331">
        <f>IFERROR(__xludf.DUMMYFUNCTION("""COMPUTED_VALUE"""),6.0)</f>
        <v>6</v>
      </c>
      <c r="B1331">
        <f>IFERROR(__xludf.DUMMYFUNCTION("""COMPUTED_VALUE"""),31079.0)</f>
        <v>31079</v>
      </c>
      <c r="C1331" t="str">
        <f>IFERROR(__xludf.DUMMYFUNCTION("""COMPUTED_VALUE"""),"OBERTI FRANCO, LINDA")</f>
        <v>OBERTI FRANCO, LINDA</v>
      </c>
      <c r="D1331" t="str">
        <f>IFERROR(__xludf.DUMMYFUNCTION("""COMPUTED_VALUE"""),"Sociales 6")</f>
        <v>Sociales 6</v>
      </c>
      <c r="E1331" s="31">
        <f>IFERROR(__xludf.DUMMYFUNCTION("""COMPUTED_VALUE"""),2.0)</f>
        <v>2</v>
      </c>
      <c r="F1331" s="8">
        <v>1.0</v>
      </c>
      <c r="G1331" s="8">
        <v>1.0</v>
      </c>
      <c r="H1331" s="8">
        <v>1.0</v>
      </c>
      <c r="I1331" s="8">
        <v>1.0</v>
      </c>
      <c r="J1331" s="8">
        <v>1.0</v>
      </c>
      <c r="K1331" s="8">
        <v>1.0</v>
      </c>
      <c r="L1331" s="8">
        <v>6.0</v>
      </c>
      <c r="M1331" s="8"/>
      <c r="N1331" s="8"/>
      <c r="O1331" s="8" t="s">
        <v>754</v>
      </c>
      <c r="P1331" s="8">
        <v>6.0</v>
      </c>
    </row>
    <row r="1332">
      <c r="A1332">
        <f>IFERROR(__xludf.DUMMYFUNCTION("""COMPUTED_VALUE"""),6.0)</f>
        <v>6</v>
      </c>
      <c r="B1332">
        <f>IFERROR(__xludf.DUMMYFUNCTION("""COMPUTED_VALUE"""),31080.0)</f>
        <v>31080</v>
      </c>
      <c r="C1332" t="str">
        <f>IFERROR(__xludf.DUMMYFUNCTION("""COMPUTED_VALUE"""),"OCAMPO CEBALLOS, RAFAEL")</f>
        <v>OCAMPO CEBALLOS, RAFAEL</v>
      </c>
      <c r="D1332" t="str">
        <f>IFERROR(__xludf.DUMMYFUNCTION("""COMPUTED_VALUE"""),"Sociales 6")</f>
        <v>Sociales 6</v>
      </c>
      <c r="E1332" s="31">
        <f>IFERROR(__xludf.DUMMYFUNCTION("""COMPUTED_VALUE"""),1.0)</f>
        <v>1</v>
      </c>
      <c r="F1332" s="8">
        <v>1.0</v>
      </c>
      <c r="G1332" s="8">
        <v>1.0</v>
      </c>
      <c r="H1332" s="8">
        <v>1.0</v>
      </c>
      <c r="I1332" s="8">
        <v>1.0</v>
      </c>
      <c r="J1332" s="8">
        <v>1.0</v>
      </c>
      <c r="K1332" s="8">
        <v>1.0</v>
      </c>
      <c r="L1332" s="8">
        <v>6.0</v>
      </c>
      <c r="M1332" s="8"/>
      <c r="N1332" s="8"/>
      <c r="O1332" s="8" t="s">
        <v>757</v>
      </c>
      <c r="P1332" s="8">
        <v>6.0</v>
      </c>
    </row>
    <row r="1333">
      <c r="A1333">
        <f>IFERROR(__xludf.DUMMYFUNCTION("""COMPUTED_VALUE"""),6.0)</f>
        <v>6</v>
      </c>
      <c r="B1333">
        <f>IFERROR(__xludf.DUMMYFUNCTION("""COMPUTED_VALUE"""),31081.0)</f>
        <v>31081</v>
      </c>
      <c r="C1333" t="str">
        <f>IFERROR(__xludf.DUMMYFUNCTION("""COMPUTED_VALUE"""),"OROZCO MONTOYA, MARTINA")</f>
        <v>OROZCO MONTOYA, MARTINA</v>
      </c>
      <c r="D1333" t="str">
        <f>IFERROR(__xludf.DUMMYFUNCTION("""COMPUTED_VALUE"""),"Sociales 6")</f>
        <v>Sociales 6</v>
      </c>
      <c r="E1333" s="31">
        <f>IFERROR(__xludf.DUMMYFUNCTION("""COMPUTED_VALUE"""),1.0)</f>
        <v>1</v>
      </c>
      <c r="F1333" s="8">
        <v>1.0</v>
      </c>
      <c r="G1333" s="8">
        <v>1.0</v>
      </c>
      <c r="H1333" s="8">
        <v>1.0</v>
      </c>
      <c r="I1333" s="8">
        <v>1.0</v>
      </c>
      <c r="J1333" s="8">
        <v>1.0</v>
      </c>
      <c r="K1333" s="8">
        <v>1.0</v>
      </c>
      <c r="L1333" s="8">
        <v>6.0</v>
      </c>
      <c r="M1333" s="8"/>
      <c r="N1333" s="8"/>
      <c r="O1333" s="8" t="s">
        <v>757</v>
      </c>
      <c r="P1333" s="8">
        <v>6.0</v>
      </c>
    </row>
    <row r="1334">
      <c r="A1334">
        <f>IFERROR(__xludf.DUMMYFUNCTION("""COMPUTED_VALUE"""),6.0)</f>
        <v>6</v>
      </c>
      <c r="B1334">
        <f>IFERROR(__xludf.DUMMYFUNCTION("""COMPUTED_VALUE"""),31082.0)</f>
        <v>31082</v>
      </c>
      <c r="C1334" t="str">
        <f>IFERROR(__xludf.DUMMYFUNCTION("""COMPUTED_VALUE"""),"ORTIZ MOLINA, MARTINA")</f>
        <v>ORTIZ MOLINA, MARTINA</v>
      </c>
      <c r="D1334" t="str">
        <f>IFERROR(__xludf.DUMMYFUNCTION("""COMPUTED_VALUE"""),"Sociales 6")</f>
        <v>Sociales 6</v>
      </c>
      <c r="E1334" s="31">
        <f>IFERROR(__xludf.DUMMYFUNCTION("""COMPUTED_VALUE"""),1.0)</f>
        <v>1</v>
      </c>
      <c r="F1334" s="8">
        <v>1.0</v>
      </c>
      <c r="G1334" s="8">
        <v>1.0</v>
      </c>
      <c r="H1334" s="8">
        <v>1.0</v>
      </c>
      <c r="I1334" s="8">
        <v>1.0</v>
      </c>
      <c r="J1334" s="8">
        <v>1.0</v>
      </c>
      <c r="K1334" s="8">
        <v>1.0</v>
      </c>
      <c r="L1334" s="8">
        <v>6.0</v>
      </c>
      <c r="M1334" s="8"/>
      <c r="N1334" s="8"/>
      <c r="O1334" s="8" t="s">
        <v>757</v>
      </c>
      <c r="P1334" s="8">
        <v>6.0</v>
      </c>
    </row>
    <row r="1335">
      <c r="A1335">
        <f>IFERROR(__xludf.DUMMYFUNCTION("""COMPUTED_VALUE"""),6.0)</f>
        <v>6</v>
      </c>
      <c r="B1335">
        <f>IFERROR(__xludf.DUMMYFUNCTION("""COMPUTED_VALUE"""),31083.0)</f>
        <v>31083</v>
      </c>
      <c r="C1335" t="str">
        <f>IFERROR(__xludf.DUMMYFUNCTION("""COMPUTED_VALUE"""),"OSORIO GARCIA, JERONIMO")</f>
        <v>OSORIO GARCIA, JERONIMO</v>
      </c>
      <c r="D1335" t="str">
        <f>IFERROR(__xludf.DUMMYFUNCTION("""COMPUTED_VALUE"""),"Sociales 6")</f>
        <v>Sociales 6</v>
      </c>
      <c r="E1335" s="31">
        <f>IFERROR(__xludf.DUMMYFUNCTION("""COMPUTED_VALUE"""),2.0)</f>
        <v>2</v>
      </c>
      <c r="F1335" s="8">
        <v>1.0</v>
      </c>
      <c r="G1335" s="8">
        <v>1.0</v>
      </c>
      <c r="H1335" s="8">
        <v>1.0</v>
      </c>
      <c r="I1335" s="8">
        <v>1.0</v>
      </c>
      <c r="J1335" s="8">
        <v>1.0</v>
      </c>
      <c r="K1335" s="8">
        <v>1.0</v>
      </c>
      <c r="L1335" s="8">
        <v>6.0</v>
      </c>
      <c r="M1335" s="8"/>
      <c r="N1335" s="8"/>
      <c r="O1335" s="8" t="s">
        <v>754</v>
      </c>
      <c r="P1335" s="8">
        <v>6.0</v>
      </c>
    </row>
    <row r="1336">
      <c r="A1336">
        <f>IFERROR(__xludf.DUMMYFUNCTION("""COMPUTED_VALUE"""),6.0)</f>
        <v>6</v>
      </c>
      <c r="B1336">
        <f>IFERROR(__xludf.DUMMYFUNCTION("""COMPUTED_VALUE"""),31084.0)</f>
        <v>31084</v>
      </c>
      <c r="C1336" t="str">
        <f>IFERROR(__xludf.DUMMYFUNCTION("""COMPUTED_VALUE"""),"OSORIO MARIN, GABRIELA")</f>
        <v>OSORIO MARIN, GABRIELA</v>
      </c>
      <c r="D1336" t="str">
        <f>IFERROR(__xludf.DUMMYFUNCTION("""COMPUTED_VALUE"""),"Sociales 6")</f>
        <v>Sociales 6</v>
      </c>
      <c r="E1336" s="31">
        <f>IFERROR(__xludf.DUMMYFUNCTION("""COMPUTED_VALUE"""),5.0)</f>
        <v>5</v>
      </c>
      <c r="F1336" s="8">
        <v>1.0</v>
      </c>
      <c r="G1336" s="8">
        <v>1.0</v>
      </c>
      <c r="H1336" s="8">
        <v>1.0</v>
      </c>
      <c r="I1336" s="8">
        <v>1.0</v>
      </c>
      <c r="J1336" s="8">
        <v>1.0</v>
      </c>
      <c r="K1336" s="8">
        <v>1.0</v>
      </c>
      <c r="L1336" s="8">
        <v>6.0</v>
      </c>
      <c r="M1336" s="8"/>
      <c r="N1336" s="8"/>
      <c r="O1336" s="8" t="s">
        <v>753</v>
      </c>
      <c r="P1336" s="8">
        <v>6.0</v>
      </c>
    </row>
    <row r="1337">
      <c r="A1337">
        <f>IFERROR(__xludf.DUMMYFUNCTION("""COMPUTED_VALUE"""),6.0)</f>
        <v>6</v>
      </c>
      <c r="B1337">
        <f>IFERROR(__xludf.DUMMYFUNCTION("""COMPUTED_VALUE"""),31085.0)</f>
        <v>31085</v>
      </c>
      <c r="C1337" t="str">
        <f>IFERROR(__xludf.DUMMYFUNCTION("""COMPUTED_VALUE"""),"OSORIO QUINTERO, SALOME")</f>
        <v>OSORIO QUINTERO, SALOME</v>
      </c>
      <c r="D1337" t="str">
        <f>IFERROR(__xludf.DUMMYFUNCTION("""COMPUTED_VALUE"""),"Sociales 6A")</f>
        <v>Sociales 6A</v>
      </c>
      <c r="E1337" s="31">
        <f>IFERROR(__xludf.DUMMYFUNCTION("""COMPUTED_VALUE"""),2.0)</f>
        <v>2</v>
      </c>
      <c r="F1337" s="8">
        <v>1.0</v>
      </c>
      <c r="G1337" s="8">
        <v>1.0</v>
      </c>
      <c r="H1337" s="8">
        <v>1.0</v>
      </c>
      <c r="I1337" s="8">
        <v>1.0</v>
      </c>
      <c r="J1337" s="8">
        <v>1.0</v>
      </c>
      <c r="K1337" s="8">
        <v>1.0</v>
      </c>
      <c r="L1337" s="8">
        <v>6.0</v>
      </c>
      <c r="M1337" s="8"/>
      <c r="N1337" s="8"/>
      <c r="O1337" s="8" t="s">
        <v>758</v>
      </c>
      <c r="P1337" s="8" t="e">
        <v>#N/A</v>
      </c>
    </row>
    <row r="1338">
      <c r="A1338">
        <f>IFERROR(__xludf.DUMMYFUNCTION("""COMPUTED_VALUE"""),6.0)</f>
        <v>6</v>
      </c>
      <c r="B1338">
        <f>IFERROR(__xludf.DUMMYFUNCTION("""COMPUTED_VALUE"""),31158.0)</f>
        <v>31158</v>
      </c>
      <c r="C1338" t="str">
        <f>IFERROR(__xludf.DUMMYFUNCTION("""COMPUTED_VALUE"""),"OSORIO RUIZ, AMELIA")</f>
        <v>OSORIO RUIZ, AMELIA</v>
      </c>
      <c r="D1338" t="str">
        <f>IFERROR(__xludf.DUMMYFUNCTION("""COMPUTED_VALUE"""),"Sociales 6A")</f>
        <v>Sociales 6A</v>
      </c>
      <c r="E1338" s="31">
        <f>IFERROR(__xludf.DUMMYFUNCTION("""COMPUTED_VALUE"""),2.0)</f>
        <v>2</v>
      </c>
      <c r="F1338" s="8">
        <v>1.0</v>
      </c>
      <c r="G1338" s="8">
        <v>1.0</v>
      </c>
      <c r="H1338" s="8">
        <v>1.0</v>
      </c>
      <c r="I1338" s="8">
        <v>1.0</v>
      </c>
      <c r="J1338" s="8">
        <v>1.0</v>
      </c>
      <c r="K1338" s="8">
        <v>1.0</v>
      </c>
      <c r="L1338" s="8">
        <v>6.0</v>
      </c>
      <c r="M1338" s="8"/>
      <c r="N1338" s="8"/>
      <c r="O1338" s="8" t="s">
        <v>758</v>
      </c>
      <c r="P1338" s="8" t="e">
        <v>#N/A</v>
      </c>
    </row>
    <row r="1339">
      <c r="A1339">
        <f>IFERROR(__xludf.DUMMYFUNCTION("""COMPUTED_VALUE"""),6.0)</f>
        <v>6</v>
      </c>
      <c r="B1339">
        <f>IFERROR(__xludf.DUMMYFUNCTION("""COMPUTED_VALUE"""),31086.0)</f>
        <v>31086</v>
      </c>
      <c r="C1339" t="str">
        <f>IFERROR(__xludf.DUMMYFUNCTION("""COMPUTED_VALUE"""),"PATERNINA SALDARRIAGA, SOFIA")</f>
        <v>PATERNINA SALDARRIAGA, SOFIA</v>
      </c>
      <c r="D1339" t="str">
        <f>IFERROR(__xludf.DUMMYFUNCTION("""COMPUTED_VALUE"""),"Sociales 6")</f>
        <v>Sociales 6</v>
      </c>
      <c r="E1339" s="31">
        <f>IFERROR(__xludf.DUMMYFUNCTION("""COMPUTED_VALUE"""),2.0)</f>
        <v>2</v>
      </c>
      <c r="F1339" s="8">
        <v>1.0</v>
      </c>
      <c r="G1339" s="8">
        <v>1.0</v>
      </c>
      <c r="H1339" s="8">
        <v>1.0</v>
      </c>
      <c r="I1339" s="8">
        <v>1.0</v>
      </c>
      <c r="J1339" s="8">
        <v>1.0</v>
      </c>
      <c r="K1339" s="8">
        <v>1.0</v>
      </c>
      <c r="L1339" s="8">
        <v>6.0</v>
      </c>
      <c r="M1339" s="8"/>
      <c r="N1339" s="8"/>
      <c r="O1339" s="8" t="s">
        <v>754</v>
      </c>
      <c r="P1339" s="8">
        <v>6.0</v>
      </c>
    </row>
    <row r="1340">
      <c r="A1340">
        <f>IFERROR(__xludf.DUMMYFUNCTION("""COMPUTED_VALUE"""),6.0)</f>
        <v>6</v>
      </c>
      <c r="B1340">
        <f>IFERROR(__xludf.DUMMYFUNCTION("""COMPUTED_VALUE"""),31087.0)</f>
        <v>31087</v>
      </c>
      <c r="C1340" t="str">
        <f>IFERROR(__xludf.DUMMYFUNCTION("""COMPUTED_VALUE"""),"PEAK DUQUE, NICOLE")</f>
        <v>PEAK DUQUE, NICOLE</v>
      </c>
      <c r="D1340" t="str">
        <f>IFERROR(__xludf.DUMMYFUNCTION("""COMPUTED_VALUE"""),"Sociales 6A")</f>
        <v>Sociales 6A</v>
      </c>
      <c r="E1340" s="31">
        <f>IFERROR(__xludf.DUMMYFUNCTION("""COMPUTED_VALUE"""),2.0)</f>
        <v>2</v>
      </c>
      <c r="F1340" s="8">
        <v>1.0</v>
      </c>
      <c r="G1340" s="8">
        <v>1.0</v>
      </c>
      <c r="H1340" s="8">
        <v>1.0</v>
      </c>
      <c r="I1340" s="8">
        <v>1.0</v>
      </c>
      <c r="J1340" s="8">
        <v>1.0</v>
      </c>
      <c r="K1340" s="8">
        <v>1.0</v>
      </c>
      <c r="L1340" s="8">
        <v>6.0</v>
      </c>
      <c r="M1340" s="8"/>
      <c r="N1340" s="8"/>
      <c r="O1340" s="8" t="s">
        <v>758</v>
      </c>
      <c r="P1340" s="8" t="e">
        <v>#N/A</v>
      </c>
    </row>
    <row r="1341">
      <c r="A1341">
        <f>IFERROR(__xludf.DUMMYFUNCTION("""COMPUTED_VALUE"""),6.0)</f>
        <v>6</v>
      </c>
      <c r="B1341">
        <f>IFERROR(__xludf.DUMMYFUNCTION("""COMPUTED_VALUE"""),31089.0)</f>
        <v>31089</v>
      </c>
      <c r="C1341" t="str">
        <f>IFERROR(__xludf.DUMMYFUNCTION("""COMPUTED_VALUE"""),"PELAEZ BORDA, DAVID")</f>
        <v>PELAEZ BORDA, DAVID</v>
      </c>
      <c r="D1341" t="str">
        <f>IFERROR(__xludf.DUMMYFUNCTION("""COMPUTED_VALUE"""),"Sociales 6")</f>
        <v>Sociales 6</v>
      </c>
      <c r="E1341" s="31">
        <f>IFERROR(__xludf.DUMMYFUNCTION("""COMPUTED_VALUE"""),5.0)</f>
        <v>5</v>
      </c>
      <c r="F1341" s="8">
        <v>1.0</v>
      </c>
      <c r="G1341" s="8">
        <v>1.0</v>
      </c>
      <c r="H1341" s="8">
        <v>1.0</v>
      </c>
      <c r="I1341" s="8">
        <v>1.0</v>
      </c>
      <c r="J1341" s="8">
        <v>1.0</v>
      </c>
      <c r="K1341" s="8">
        <v>1.0</v>
      </c>
      <c r="L1341" s="8">
        <v>6.0</v>
      </c>
      <c r="M1341" s="8"/>
      <c r="N1341" s="8"/>
      <c r="O1341" s="8" t="s">
        <v>753</v>
      </c>
      <c r="P1341" s="8">
        <v>6.0</v>
      </c>
    </row>
    <row r="1342">
      <c r="A1342">
        <f>IFERROR(__xludf.DUMMYFUNCTION("""COMPUTED_VALUE"""),6.0)</f>
        <v>6</v>
      </c>
      <c r="B1342">
        <f>IFERROR(__xludf.DUMMYFUNCTION("""COMPUTED_VALUE"""),31088.0)</f>
        <v>31088</v>
      </c>
      <c r="C1342" t="str">
        <f>IFERROR(__xludf.DUMMYFUNCTION("""COMPUTED_VALUE"""),"PELAEZ BOTERO, AMELIA")</f>
        <v>PELAEZ BOTERO, AMELIA</v>
      </c>
      <c r="D1342" t="str">
        <f>IFERROR(__xludf.DUMMYFUNCTION("""COMPUTED_VALUE"""),"Sociales 6")</f>
        <v>Sociales 6</v>
      </c>
      <c r="E1342" s="31">
        <f>IFERROR(__xludf.DUMMYFUNCTION("""COMPUTED_VALUE"""),1.0)</f>
        <v>1</v>
      </c>
      <c r="F1342" s="8">
        <v>1.0</v>
      </c>
      <c r="G1342" s="8">
        <v>1.0</v>
      </c>
      <c r="H1342" s="8">
        <v>1.0</v>
      </c>
      <c r="I1342" s="8">
        <v>1.0</v>
      </c>
      <c r="J1342" s="8">
        <v>1.0</v>
      </c>
      <c r="K1342" s="8">
        <v>1.0</v>
      </c>
      <c r="L1342" s="8">
        <v>6.0</v>
      </c>
      <c r="M1342" s="8"/>
      <c r="N1342" s="8"/>
      <c r="O1342" s="8" t="s">
        <v>757</v>
      </c>
      <c r="P1342" s="8">
        <v>6.0</v>
      </c>
    </row>
    <row r="1343">
      <c r="A1343">
        <f>IFERROR(__xludf.DUMMYFUNCTION("""COMPUTED_VALUE"""),6.0)</f>
        <v>6</v>
      </c>
      <c r="B1343">
        <f>IFERROR(__xludf.DUMMYFUNCTION("""COMPUTED_VALUE"""),31090.0)</f>
        <v>31090</v>
      </c>
      <c r="C1343" t="str">
        <f>IFERROR(__xludf.DUMMYFUNCTION("""COMPUTED_VALUE"""),"PELAEZ PIEDRAHITA, EMILIO")</f>
        <v>PELAEZ PIEDRAHITA, EMILIO</v>
      </c>
      <c r="D1343" t="str">
        <f>IFERROR(__xludf.DUMMYFUNCTION("""COMPUTED_VALUE"""),"Sociales 6A")</f>
        <v>Sociales 6A</v>
      </c>
      <c r="E1343" s="31">
        <f>IFERROR(__xludf.DUMMYFUNCTION("""COMPUTED_VALUE"""),2.0)</f>
        <v>2</v>
      </c>
      <c r="F1343" s="8">
        <v>1.0</v>
      </c>
      <c r="G1343" s="8">
        <v>1.0</v>
      </c>
      <c r="H1343" s="8">
        <v>1.0</v>
      </c>
      <c r="I1343" s="8">
        <v>1.0</v>
      </c>
      <c r="J1343" s="8">
        <v>1.0</v>
      </c>
      <c r="K1343" s="8">
        <v>1.0</v>
      </c>
      <c r="L1343" s="8">
        <v>6.0</v>
      </c>
      <c r="M1343" s="8"/>
      <c r="N1343" s="8"/>
      <c r="O1343" s="8" t="s">
        <v>758</v>
      </c>
      <c r="P1343" s="8" t="e">
        <v>#N/A</v>
      </c>
    </row>
    <row r="1344">
      <c r="A1344">
        <f>IFERROR(__xludf.DUMMYFUNCTION("""COMPUTED_VALUE"""),6.0)</f>
        <v>6</v>
      </c>
      <c r="B1344">
        <f>IFERROR(__xludf.DUMMYFUNCTION("""COMPUTED_VALUE"""),31092.0)</f>
        <v>31092</v>
      </c>
      <c r="C1344" t="str">
        <f>IFERROR(__xludf.DUMMYFUNCTION("""COMPUTED_VALUE"""),"PEREZ DUQUE, JULIA")</f>
        <v>PEREZ DUQUE, JULIA</v>
      </c>
      <c r="D1344" t="str">
        <f>IFERROR(__xludf.DUMMYFUNCTION("""COMPUTED_VALUE"""),"Sociales 6A")</f>
        <v>Sociales 6A</v>
      </c>
      <c r="E1344" s="31">
        <f>IFERROR(__xludf.DUMMYFUNCTION("""COMPUTED_VALUE"""),2.0)</f>
        <v>2</v>
      </c>
      <c r="F1344" s="8">
        <v>1.0</v>
      </c>
      <c r="G1344" s="8">
        <v>1.0</v>
      </c>
      <c r="H1344" s="8">
        <v>1.0</v>
      </c>
      <c r="I1344" s="8">
        <v>1.0</v>
      </c>
      <c r="J1344" s="8">
        <v>1.0</v>
      </c>
      <c r="K1344" s="8">
        <v>1.0</v>
      </c>
      <c r="L1344" s="8">
        <v>6.0</v>
      </c>
      <c r="M1344" s="8"/>
      <c r="N1344" s="8"/>
      <c r="O1344" s="8" t="s">
        <v>758</v>
      </c>
      <c r="P1344" s="8" t="e">
        <v>#N/A</v>
      </c>
    </row>
    <row r="1345">
      <c r="A1345">
        <f>IFERROR(__xludf.DUMMYFUNCTION("""COMPUTED_VALUE"""),6.0)</f>
        <v>6</v>
      </c>
      <c r="B1345">
        <f>IFERROR(__xludf.DUMMYFUNCTION("""COMPUTED_VALUE"""),31091.0)</f>
        <v>31091</v>
      </c>
      <c r="C1345" t="str">
        <f>IFERROR(__xludf.DUMMYFUNCTION("""COMPUTED_VALUE"""),"PEREZ OTERO, ALEJANDRO")</f>
        <v>PEREZ OTERO, ALEJANDRO</v>
      </c>
      <c r="D1345" t="str">
        <f>IFERROR(__xludf.DUMMYFUNCTION("""COMPUTED_VALUE"""),"Sociales 6")</f>
        <v>Sociales 6</v>
      </c>
      <c r="E1345" s="31">
        <f>IFERROR(__xludf.DUMMYFUNCTION("""COMPUTED_VALUE"""),5.0)</f>
        <v>5</v>
      </c>
      <c r="F1345" s="8">
        <v>1.0</v>
      </c>
      <c r="G1345" s="8">
        <v>1.0</v>
      </c>
      <c r="H1345" s="8">
        <v>1.0</v>
      </c>
      <c r="I1345" s="8">
        <v>1.0</v>
      </c>
      <c r="J1345" s="8">
        <v>1.0</v>
      </c>
      <c r="K1345" s="8">
        <v>1.0</v>
      </c>
      <c r="L1345" s="8">
        <v>6.0</v>
      </c>
      <c r="M1345" s="8"/>
      <c r="N1345" s="8"/>
      <c r="O1345" s="8" t="s">
        <v>753</v>
      </c>
      <c r="P1345" s="8">
        <v>6.0</v>
      </c>
    </row>
    <row r="1346">
      <c r="A1346">
        <f>IFERROR(__xludf.DUMMYFUNCTION("""COMPUTED_VALUE"""),6.0)</f>
        <v>6</v>
      </c>
      <c r="B1346">
        <f>IFERROR(__xludf.DUMMYFUNCTION("""COMPUTED_VALUE"""),31160.0)</f>
        <v>31160</v>
      </c>
      <c r="C1346" t="str">
        <f>IFERROR(__xludf.DUMMYFUNCTION("""COMPUTED_VALUE"""),"PFORTNER CASTRO, MORITZ")</f>
        <v>PFORTNER CASTRO, MORITZ</v>
      </c>
      <c r="D1346" t="str">
        <f>IFERROR(__xludf.DUMMYFUNCTION("""COMPUTED_VALUE"""),"Sociales 6")</f>
        <v>Sociales 6</v>
      </c>
      <c r="E1346" s="31">
        <f>IFERROR(__xludf.DUMMYFUNCTION("""COMPUTED_VALUE"""),1.0)</f>
        <v>1</v>
      </c>
      <c r="F1346" s="8">
        <v>1.0</v>
      </c>
      <c r="G1346" s="8">
        <v>1.0</v>
      </c>
      <c r="H1346" s="8">
        <v>1.0</v>
      </c>
      <c r="I1346" s="8">
        <v>1.0</v>
      </c>
      <c r="J1346" s="8">
        <v>1.0</v>
      </c>
      <c r="K1346" s="8">
        <v>1.0</v>
      </c>
      <c r="L1346" s="8">
        <v>6.0</v>
      </c>
      <c r="M1346" s="8"/>
      <c r="N1346" s="8"/>
      <c r="O1346" s="8" t="s">
        <v>757</v>
      </c>
      <c r="P1346" s="8">
        <v>6.0</v>
      </c>
    </row>
    <row r="1347">
      <c r="A1347">
        <f>IFERROR(__xludf.DUMMYFUNCTION("""COMPUTED_VALUE"""),6.0)</f>
        <v>6</v>
      </c>
      <c r="B1347">
        <f>IFERROR(__xludf.DUMMYFUNCTION("""COMPUTED_VALUE"""),31093.0)</f>
        <v>31093</v>
      </c>
      <c r="C1347" t="str">
        <f>IFERROR(__xludf.DUMMYFUNCTION("""COMPUTED_VALUE"""),"PICO RUEDA, SEBASTIAN")</f>
        <v>PICO RUEDA, SEBASTIAN</v>
      </c>
      <c r="D1347" t="str">
        <f>IFERROR(__xludf.DUMMYFUNCTION("""COMPUTED_VALUE"""),"Sociales 6")</f>
        <v>Sociales 6</v>
      </c>
      <c r="E1347" s="31">
        <f>IFERROR(__xludf.DUMMYFUNCTION("""COMPUTED_VALUE"""),4.0)</f>
        <v>4</v>
      </c>
      <c r="F1347" s="8">
        <v>1.0</v>
      </c>
      <c r="G1347" s="8">
        <v>1.0</v>
      </c>
      <c r="H1347" s="8">
        <v>1.0</v>
      </c>
      <c r="I1347" s="8">
        <v>1.0</v>
      </c>
      <c r="J1347" s="8">
        <v>1.0</v>
      </c>
      <c r="K1347" s="8">
        <v>1.0</v>
      </c>
      <c r="L1347" s="8">
        <v>6.0</v>
      </c>
      <c r="M1347" s="8"/>
      <c r="N1347" s="8"/>
      <c r="O1347" s="8" t="s">
        <v>756</v>
      </c>
      <c r="P1347" s="8">
        <v>6.0</v>
      </c>
    </row>
    <row r="1348">
      <c r="A1348">
        <f>IFERROR(__xludf.DUMMYFUNCTION("""COMPUTED_VALUE"""),6.0)</f>
        <v>6</v>
      </c>
      <c r="B1348">
        <f>IFERROR(__xludf.DUMMYFUNCTION("""COMPUTED_VALUE"""),31095.0)</f>
        <v>31095</v>
      </c>
      <c r="C1348" t="str">
        <f>IFERROR(__xludf.DUMMYFUNCTION("""COMPUTED_VALUE"""),"PINEDA ARANGO, MARTINA")</f>
        <v>PINEDA ARANGO, MARTINA</v>
      </c>
      <c r="D1348" t="str">
        <f>IFERROR(__xludf.DUMMYFUNCTION("""COMPUTED_VALUE"""),"Sociales 6")</f>
        <v>Sociales 6</v>
      </c>
      <c r="E1348" s="31">
        <f>IFERROR(__xludf.DUMMYFUNCTION("""COMPUTED_VALUE"""),3.0)</f>
        <v>3</v>
      </c>
      <c r="F1348" s="8">
        <v>1.0</v>
      </c>
      <c r="G1348" s="8">
        <v>1.0</v>
      </c>
      <c r="H1348" s="8">
        <v>1.0</v>
      </c>
      <c r="I1348" s="8">
        <v>1.0</v>
      </c>
      <c r="J1348" s="8">
        <v>1.0</v>
      </c>
      <c r="K1348" s="8">
        <v>1.0</v>
      </c>
      <c r="L1348" s="8">
        <v>6.0</v>
      </c>
      <c r="M1348" s="8"/>
      <c r="N1348" s="8"/>
      <c r="O1348" s="8" t="s">
        <v>755</v>
      </c>
      <c r="P1348" s="8">
        <v>6.0</v>
      </c>
    </row>
    <row r="1349">
      <c r="A1349">
        <f>IFERROR(__xludf.DUMMYFUNCTION("""COMPUTED_VALUE"""),6.0)</f>
        <v>6</v>
      </c>
      <c r="B1349">
        <f>IFERROR(__xludf.DUMMYFUNCTION("""COMPUTED_VALUE"""),31096.0)</f>
        <v>31096</v>
      </c>
      <c r="C1349" t="str">
        <f>IFERROR(__xludf.DUMMYFUNCTION("""COMPUTED_VALUE"""),"POSADA FERNANDEZ, ALICIA")</f>
        <v>POSADA FERNANDEZ, ALICIA</v>
      </c>
      <c r="D1349" t="str">
        <f>IFERROR(__xludf.DUMMYFUNCTION("""COMPUTED_VALUE"""),"Sociales 6")</f>
        <v>Sociales 6</v>
      </c>
      <c r="E1349" s="31">
        <f>IFERROR(__xludf.DUMMYFUNCTION("""COMPUTED_VALUE"""),2.0)</f>
        <v>2</v>
      </c>
      <c r="F1349" s="8">
        <v>1.0</v>
      </c>
      <c r="G1349" s="8">
        <v>1.0</v>
      </c>
      <c r="H1349" s="8">
        <v>1.0</v>
      </c>
      <c r="I1349" s="8">
        <v>1.0</v>
      </c>
      <c r="J1349" s="8">
        <v>1.0</v>
      </c>
      <c r="K1349" s="8">
        <v>1.0</v>
      </c>
      <c r="L1349" s="8">
        <v>6.0</v>
      </c>
      <c r="M1349" s="8"/>
      <c r="N1349" s="8"/>
      <c r="O1349" s="8" t="s">
        <v>754</v>
      </c>
      <c r="P1349" s="8">
        <v>6.0</v>
      </c>
    </row>
    <row r="1350">
      <c r="A1350">
        <f>IFERROR(__xludf.DUMMYFUNCTION("""COMPUTED_VALUE"""),6.0)</f>
        <v>6</v>
      </c>
      <c r="B1350">
        <f>IFERROR(__xludf.DUMMYFUNCTION("""COMPUTED_VALUE"""),31097.0)</f>
        <v>31097</v>
      </c>
      <c r="C1350" t="str">
        <f>IFERROR(__xludf.DUMMYFUNCTION("""COMPUTED_VALUE"""),"PUYO TORO, ELENA")</f>
        <v>PUYO TORO, ELENA</v>
      </c>
      <c r="D1350" t="str">
        <f>IFERROR(__xludf.DUMMYFUNCTION("""COMPUTED_VALUE"""),"Sociales 6")</f>
        <v>Sociales 6</v>
      </c>
      <c r="E1350" s="31">
        <f>IFERROR(__xludf.DUMMYFUNCTION("""COMPUTED_VALUE"""),1.0)</f>
        <v>1</v>
      </c>
      <c r="F1350" s="8">
        <v>1.0</v>
      </c>
      <c r="G1350" s="8">
        <v>1.0</v>
      </c>
      <c r="H1350" s="8">
        <v>1.0</v>
      </c>
      <c r="I1350" s="8">
        <v>1.0</v>
      </c>
      <c r="J1350" s="8">
        <v>1.0</v>
      </c>
      <c r="K1350" s="8">
        <v>1.0</v>
      </c>
      <c r="L1350" s="8">
        <v>6.0</v>
      </c>
      <c r="M1350" s="8"/>
      <c r="N1350" s="8"/>
      <c r="O1350" s="8" t="s">
        <v>757</v>
      </c>
      <c r="P1350" s="8">
        <v>6.0</v>
      </c>
    </row>
    <row r="1351">
      <c r="A1351">
        <f>IFERROR(__xludf.DUMMYFUNCTION("""COMPUTED_VALUE"""),6.0)</f>
        <v>6</v>
      </c>
      <c r="B1351">
        <f>IFERROR(__xludf.DUMMYFUNCTION("""COMPUTED_VALUE"""),31098.0)</f>
        <v>31098</v>
      </c>
      <c r="C1351" t="str">
        <f>IFERROR(__xludf.DUMMYFUNCTION("""COMPUTED_VALUE"""),"QUINTERO DARBY, VIOLETA")</f>
        <v>QUINTERO DARBY, VIOLETA</v>
      </c>
      <c r="D1351" t="str">
        <f>IFERROR(__xludf.DUMMYFUNCTION("""COMPUTED_VALUE"""),"Sociales 6")</f>
        <v>Sociales 6</v>
      </c>
      <c r="E1351" s="31">
        <f>IFERROR(__xludf.DUMMYFUNCTION("""COMPUTED_VALUE"""),4.0)</f>
        <v>4</v>
      </c>
      <c r="F1351" s="8">
        <v>1.0</v>
      </c>
      <c r="G1351" s="8">
        <v>1.0</v>
      </c>
      <c r="H1351" s="8">
        <v>1.0</v>
      </c>
      <c r="I1351" s="8">
        <v>1.0</v>
      </c>
      <c r="J1351" s="8">
        <v>1.0</v>
      </c>
      <c r="K1351" s="8">
        <v>1.0</v>
      </c>
      <c r="L1351" s="8">
        <v>6.0</v>
      </c>
      <c r="M1351" s="8"/>
      <c r="N1351" s="8"/>
      <c r="O1351" s="8" t="s">
        <v>756</v>
      </c>
      <c r="P1351" s="8">
        <v>6.0</v>
      </c>
    </row>
    <row r="1352">
      <c r="A1352">
        <f>IFERROR(__xludf.DUMMYFUNCTION("""COMPUTED_VALUE"""),6.0)</f>
        <v>6</v>
      </c>
      <c r="B1352">
        <f>IFERROR(__xludf.DUMMYFUNCTION("""COMPUTED_VALUE"""),31099.0)</f>
        <v>31099</v>
      </c>
      <c r="C1352" t="str">
        <f>IFERROR(__xludf.DUMMYFUNCTION("""COMPUTED_VALUE"""),"RAMIREZ LIBREROS, MARTIN")</f>
        <v>RAMIREZ LIBREROS, MARTIN</v>
      </c>
      <c r="D1352" t="str">
        <f>IFERROR(__xludf.DUMMYFUNCTION("""COMPUTED_VALUE"""),"Sociales 6")</f>
        <v>Sociales 6</v>
      </c>
      <c r="E1352" s="31">
        <f>IFERROR(__xludf.DUMMYFUNCTION("""COMPUTED_VALUE"""),2.0)</f>
        <v>2</v>
      </c>
      <c r="F1352" s="8">
        <v>1.0</v>
      </c>
      <c r="G1352" s="8">
        <v>1.0</v>
      </c>
      <c r="H1352" s="8">
        <v>1.0</v>
      </c>
      <c r="I1352" s="8">
        <v>1.0</v>
      </c>
      <c r="J1352" s="8">
        <v>1.0</v>
      </c>
      <c r="K1352" s="8">
        <v>1.0</v>
      </c>
      <c r="L1352" s="8">
        <v>6.0</v>
      </c>
      <c r="M1352" s="8"/>
      <c r="N1352" s="8"/>
      <c r="O1352" s="8" t="s">
        <v>754</v>
      </c>
      <c r="P1352" s="8">
        <v>6.0</v>
      </c>
    </row>
    <row r="1353">
      <c r="A1353">
        <f>IFERROR(__xludf.DUMMYFUNCTION("""COMPUTED_VALUE"""),6.0)</f>
        <v>6</v>
      </c>
      <c r="B1353">
        <f>IFERROR(__xludf.DUMMYFUNCTION("""COMPUTED_VALUE"""),31100.0)</f>
        <v>31100</v>
      </c>
      <c r="C1353" t="str">
        <f>IFERROR(__xludf.DUMMYFUNCTION("""COMPUTED_VALUE"""),"RAMIREZ LIBREROS, MATIAS")</f>
        <v>RAMIREZ LIBREROS, MATIAS</v>
      </c>
      <c r="D1353" t="str">
        <f>IFERROR(__xludf.DUMMYFUNCTION("""COMPUTED_VALUE"""),"Sociales 6")</f>
        <v>Sociales 6</v>
      </c>
      <c r="E1353" s="31">
        <f>IFERROR(__xludf.DUMMYFUNCTION("""COMPUTED_VALUE"""),5.0)</f>
        <v>5</v>
      </c>
      <c r="F1353" s="8">
        <v>1.0</v>
      </c>
      <c r="G1353" s="8">
        <v>1.0</v>
      </c>
      <c r="H1353" s="8">
        <v>1.0</v>
      </c>
      <c r="I1353" s="8">
        <v>1.0</v>
      </c>
      <c r="J1353" s="8">
        <v>1.0</v>
      </c>
      <c r="K1353" s="8">
        <v>1.0</v>
      </c>
      <c r="L1353" s="8">
        <v>6.0</v>
      </c>
      <c r="M1353" s="8"/>
      <c r="N1353" s="8"/>
      <c r="O1353" s="8" t="s">
        <v>753</v>
      </c>
      <c r="P1353" s="8">
        <v>6.0</v>
      </c>
    </row>
    <row r="1354">
      <c r="A1354">
        <f>IFERROR(__xludf.DUMMYFUNCTION("""COMPUTED_VALUE"""),6.0)</f>
        <v>6</v>
      </c>
      <c r="B1354">
        <f>IFERROR(__xludf.DUMMYFUNCTION("""COMPUTED_VALUE"""),31101.0)</f>
        <v>31101</v>
      </c>
      <c r="C1354" t="str">
        <f>IFERROR(__xludf.DUMMYFUNCTION("""COMPUTED_VALUE"""),"RENDON ECHEVERRI, MIGUEL")</f>
        <v>RENDON ECHEVERRI, MIGUEL</v>
      </c>
      <c r="D1354" t="str">
        <f>IFERROR(__xludf.DUMMYFUNCTION("""COMPUTED_VALUE"""),"Sociales 6")</f>
        <v>Sociales 6</v>
      </c>
      <c r="E1354" s="31">
        <f>IFERROR(__xludf.DUMMYFUNCTION("""COMPUTED_VALUE"""),5.0)</f>
        <v>5</v>
      </c>
      <c r="F1354" s="8">
        <v>1.0</v>
      </c>
      <c r="G1354" s="8">
        <v>1.0</v>
      </c>
      <c r="H1354" s="8">
        <v>1.0</v>
      </c>
      <c r="I1354" s="8">
        <v>1.0</v>
      </c>
      <c r="J1354" s="8">
        <v>1.0</v>
      </c>
      <c r="K1354" s="8">
        <v>1.0</v>
      </c>
      <c r="L1354" s="8">
        <v>6.0</v>
      </c>
      <c r="M1354" s="8"/>
      <c r="N1354" s="8"/>
      <c r="O1354" s="8" t="s">
        <v>753</v>
      </c>
      <c r="P1354" s="8">
        <v>6.0</v>
      </c>
    </row>
    <row r="1355">
      <c r="A1355">
        <f>IFERROR(__xludf.DUMMYFUNCTION("""COMPUTED_VALUE"""),6.0)</f>
        <v>6</v>
      </c>
      <c r="B1355">
        <f>IFERROR(__xludf.DUMMYFUNCTION("""COMPUTED_VALUE"""),31173.0)</f>
        <v>31173</v>
      </c>
      <c r="C1355" t="str">
        <f>IFERROR(__xludf.DUMMYFUNCTION("""COMPUTED_VALUE"""),"REPETTO LARROSA, FRANCHESCO")</f>
        <v>REPETTO LARROSA, FRANCHESCO</v>
      </c>
      <c r="D1355" t="str">
        <f>IFERROR(__xludf.DUMMYFUNCTION("""COMPUTED_VALUE"""),"Sociales 6")</f>
        <v>Sociales 6</v>
      </c>
      <c r="E1355" s="31">
        <f>IFERROR(__xludf.DUMMYFUNCTION("""COMPUTED_VALUE"""),3.0)</f>
        <v>3</v>
      </c>
      <c r="F1355" s="8">
        <v>1.0</v>
      </c>
      <c r="G1355" s="8">
        <v>1.0</v>
      </c>
      <c r="H1355" s="8">
        <v>1.0</v>
      </c>
      <c r="I1355" s="8">
        <v>1.0</v>
      </c>
      <c r="J1355" s="8">
        <v>1.0</v>
      </c>
      <c r="K1355" s="8">
        <v>1.0</v>
      </c>
      <c r="L1355" s="8">
        <v>6.0</v>
      </c>
      <c r="M1355" s="8"/>
      <c r="N1355" s="8"/>
      <c r="O1355" s="8" t="s">
        <v>755</v>
      </c>
      <c r="P1355" s="8">
        <v>6.0</v>
      </c>
    </row>
    <row r="1356">
      <c r="A1356">
        <f>IFERROR(__xludf.DUMMYFUNCTION("""COMPUTED_VALUE"""),6.0)</f>
        <v>6</v>
      </c>
      <c r="B1356">
        <f>IFERROR(__xludf.DUMMYFUNCTION("""COMPUTED_VALUE"""),31103.0)</f>
        <v>31103</v>
      </c>
      <c r="C1356" t="str">
        <f>IFERROR(__xludf.DUMMYFUNCTION("""COMPUTED_VALUE"""),"RESTREPO BETANCUR, ALICIA")</f>
        <v>RESTREPO BETANCUR, ALICIA</v>
      </c>
      <c r="D1356" t="str">
        <f>IFERROR(__xludf.DUMMYFUNCTION("""COMPUTED_VALUE"""),"Sociales 6")</f>
        <v>Sociales 6</v>
      </c>
      <c r="E1356" s="31">
        <f>IFERROR(__xludf.DUMMYFUNCTION("""COMPUTED_VALUE"""),1.0)</f>
        <v>1</v>
      </c>
      <c r="F1356" s="8">
        <v>1.0</v>
      </c>
      <c r="G1356" s="8">
        <v>1.0</v>
      </c>
      <c r="H1356" s="8">
        <v>1.0</v>
      </c>
      <c r="I1356" s="8">
        <v>1.0</v>
      </c>
      <c r="J1356" s="8">
        <v>1.0</v>
      </c>
      <c r="K1356" s="8">
        <v>1.0</v>
      </c>
      <c r="L1356" s="8">
        <v>6.0</v>
      </c>
      <c r="M1356" s="8"/>
      <c r="N1356" s="8"/>
      <c r="O1356" s="8" t="s">
        <v>757</v>
      </c>
      <c r="P1356" s="8">
        <v>6.0</v>
      </c>
    </row>
    <row r="1357">
      <c r="A1357">
        <f>IFERROR(__xludf.DUMMYFUNCTION("""COMPUTED_VALUE"""),6.0)</f>
        <v>6</v>
      </c>
      <c r="B1357">
        <f>IFERROR(__xludf.DUMMYFUNCTION("""COMPUTED_VALUE"""),31104.0)</f>
        <v>31104</v>
      </c>
      <c r="C1357" t="str">
        <f>IFERROR(__xludf.DUMMYFUNCTION("""COMPUTED_VALUE"""),"RESTREPO ECHAVARRIA, EMILIA")</f>
        <v>RESTREPO ECHAVARRIA, EMILIA</v>
      </c>
      <c r="D1357" t="str">
        <f>IFERROR(__xludf.DUMMYFUNCTION("""COMPUTED_VALUE"""),"Sociales 6A")</f>
        <v>Sociales 6A</v>
      </c>
      <c r="E1357" s="31">
        <f>IFERROR(__xludf.DUMMYFUNCTION("""COMPUTED_VALUE"""),2.0)</f>
        <v>2</v>
      </c>
      <c r="F1357" s="8">
        <v>1.0</v>
      </c>
      <c r="G1357" s="8">
        <v>1.0</v>
      </c>
      <c r="H1357" s="8">
        <v>1.0</v>
      </c>
      <c r="I1357" s="8">
        <v>1.0</v>
      </c>
      <c r="J1357" s="8">
        <v>1.0</v>
      </c>
      <c r="K1357" s="8">
        <v>1.0</v>
      </c>
      <c r="L1357" s="8">
        <v>6.0</v>
      </c>
      <c r="M1357" s="8"/>
      <c r="N1357" s="8"/>
      <c r="O1357" s="8" t="s">
        <v>758</v>
      </c>
      <c r="P1357" s="8" t="e">
        <v>#N/A</v>
      </c>
    </row>
    <row r="1358">
      <c r="A1358">
        <f>IFERROR(__xludf.DUMMYFUNCTION("""COMPUTED_VALUE"""),6.0)</f>
        <v>6</v>
      </c>
      <c r="B1358">
        <f>IFERROR(__xludf.DUMMYFUNCTION("""COMPUTED_VALUE"""),31105.0)</f>
        <v>31105</v>
      </c>
      <c r="C1358" t="str">
        <f>IFERROR(__xludf.DUMMYFUNCTION("""COMPUTED_VALUE"""),"RESTREPO PELAEZ, EMILIA")</f>
        <v>RESTREPO PELAEZ, EMILIA</v>
      </c>
      <c r="D1358" t="str">
        <f>IFERROR(__xludf.DUMMYFUNCTION("""COMPUTED_VALUE"""),"Sociales 6")</f>
        <v>Sociales 6</v>
      </c>
      <c r="E1358" s="31">
        <f>IFERROR(__xludf.DUMMYFUNCTION("""COMPUTED_VALUE"""),1.0)</f>
        <v>1</v>
      </c>
      <c r="F1358" s="8">
        <v>1.0</v>
      </c>
      <c r="G1358" s="8">
        <v>1.0</v>
      </c>
      <c r="H1358" s="8">
        <v>1.0</v>
      </c>
      <c r="I1358" s="8">
        <v>1.0</v>
      </c>
      <c r="J1358" s="8">
        <v>1.0</v>
      </c>
      <c r="K1358" s="8">
        <v>1.0</v>
      </c>
      <c r="L1358" s="8">
        <v>6.0</v>
      </c>
      <c r="M1358" s="8"/>
      <c r="N1358" s="8"/>
      <c r="O1358" s="8" t="s">
        <v>757</v>
      </c>
      <c r="P1358" s="8">
        <v>6.0</v>
      </c>
    </row>
    <row r="1359">
      <c r="A1359">
        <f>IFERROR(__xludf.DUMMYFUNCTION("""COMPUTED_VALUE"""),6.0)</f>
        <v>6</v>
      </c>
      <c r="B1359">
        <f>IFERROR(__xludf.DUMMYFUNCTION("""COMPUTED_VALUE"""),31171.0)</f>
        <v>31171</v>
      </c>
      <c r="C1359" t="str">
        <f>IFERROR(__xludf.DUMMYFUNCTION("""COMPUTED_VALUE"""),"RICHARDSON MEJIA, SOFIA")</f>
        <v>RICHARDSON MEJIA, SOFIA</v>
      </c>
      <c r="D1359" t="str">
        <f>IFERROR(__xludf.DUMMYFUNCTION("""COMPUTED_VALUE"""),"Sociales 6")</f>
        <v>Sociales 6</v>
      </c>
      <c r="E1359" s="31">
        <f>IFERROR(__xludf.DUMMYFUNCTION("""COMPUTED_VALUE"""),5.0)</f>
        <v>5</v>
      </c>
      <c r="F1359" s="8">
        <v>1.0</v>
      </c>
      <c r="G1359" s="8">
        <v>1.0</v>
      </c>
      <c r="H1359" s="8">
        <v>1.0</v>
      </c>
      <c r="I1359" s="8">
        <v>1.0</v>
      </c>
      <c r="J1359" s="8">
        <v>1.0</v>
      </c>
      <c r="K1359" s="8">
        <v>1.0</v>
      </c>
      <c r="L1359" s="8">
        <v>6.0</v>
      </c>
      <c r="M1359" s="8"/>
      <c r="N1359" s="8"/>
      <c r="O1359" s="8" t="s">
        <v>753</v>
      </c>
      <c r="P1359" s="8">
        <v>6.0</v>
      </c>
    </row>
    <row r="1360">
      <c r="A1360">
        <f>IFERROR(__xludf.DUMMYFUNCTION("""COMPUTED_VALUE"""),6.0)</f>
        <v>6</v>
      </c>
      <c r="B1360">
        <f>IFERROR(__xludf.DUMMYFUNCTION("""COMPUTED_VALUE"""),31106.0)</f>
        <v>31106</v>
      </c>
      <c r="C1360" t="str">
        <f>IFERROR(__xludf.DUMMYFUNCTION("""COMPUTED_VALUE"""),"RINCON URIBE, NICOLAS")</f>
        <v>RINCON URIBE, NICOLAS</v>
      </c>
      <c r="D1360" t="str">
        <f>IFERROR(__xludf.DUMMYFUNCTION("""COMPUTED_VALUE"""),"Sociales 6A")</f>
        <v>Sociales 6A</v>
      </c>
      <c r="E1360" s="31">
        <f>IFERROR(__xludf.DUMMYFUNCTION("""COMPUTED_VALUE"""),2.0)</f>
        <v>2</v>
      </c>
      <c r="F1360" s="8">
        <v>1.0</v>
      </c>
      <c r="G1360" s="8">
        <v>1.0</v>
      </c>
      <c r="H1360" s="8">
        <v>1.0</v>
      </c>
      <c r="I1360" s="8">
        <v>1.0</v>
      </c>
      <c r="J1360" s="8">
        <v>1.0</v>
      </c>
      <c r="K1360" s="8">
        <v>1.0</v>
      </c>
      <c r="L1360" s="8">
        <v>6.0</v>
      </c>
      <c r="M1360" s="8"/>
      <c r="N1360" s="8"/>
      <c r="O1360" s="8" t="s">
        <v>758</v>
      </c>
      <c r="P1360" s="8" t="e">
        <v>#N/A</v>
      </c>
    </row>
    <row r="1361">
      <c r="A1361">
        <f>IFERROR(__xludf.DUMMYFUNCTION("""COMPUTED_VALUE"""),6.0)</f>
        <v>6</v>
      </c>
      <c r="B1361">
        <f>IFERROR(__xludf.DUMMYFUNCTION("""COMPUTED_VALUE"""),31107.0)</f>
        <v>31107</v>
      </c>
      <c r="C1361" t="str">
        <f>IFERROR(__xludf.DUMMYFUNCTION("""COMPUTED_VALUE"""),"ROBLEDO LLANO, JERONIMO")</f>
        <v>ROBLEDO LLANO, JERONIMO</v>
      </c>
      <c r="D1361" t="str">
        <f>IFERROR(__xludf.DUMMYFUNCTION("""COMPUTED_VALUE"""),"Sociales 6A")</f>
        <v>Sociales 6A</v>
      </c>
      <c r="E1361" s="31">
        <f>IFERROR(__xludf.DUMMYFUNCTION("""COMPUTED_VALUE"""),2.0)</f>
        <v>2</v>
      </c>
      <c r="F1361" s="8">
        <v>1.0</v>
      </c>
      <c r="G1361" s="8">
        <v>1.0</v>
      </c>
      <c r="H1361" s="8">
        <v>1.0</v>
      </c>
      <c r="I1361" s="8">
        <v>1.0</v>
      </c>
      <c r="J1361" s="8">
        <v>1.0</v>
      </c>
      <c r="K1361" s="8">
        <v>1.0</v>
      </c>
      <c r="L1361" s="8">
        <v>6.0</v>
      </c>
      <c r="M1361" s="8"/>
      <c r="N1361" s="8"/>
      <c r="O1361" s="8" t="s">
        <v>758</v>
      </c>
      <c r="P1361" s="8" t="e">
        <v>#N/A</v>
      </c>
    </row>
    <row r="1362">
      <c r="A1362">
        <f>IFERROR(__xludf.DUMMYFUNCTION("""COMPUTED_VALUE"""),6.0)</f>
        <v>6</v>
      </c>
      <c r="B1362">
        <f>IFERROR(__xludf.DUMMYFUNCTION("""COMPUTED_VALUE"""),30159.0)</f>
        <v>30159</v>
      </c>
      <c r="C1362" t="str">
        <f>IFERROR(__xludf.DUMMYFUNCTION("""COMPUTED_VALUE"""),"ROJAS REYES, MATEO")</f>
        <v>ROJAS REYES, MATEO</v>
      </c>
      <c r="D1362" t="str">
        <f>IFERROR(__xludf.DUMMYFUNCTION("""COMPUTED_VALUE"""),"Sociales 6")</f>
        <v>Sociales 6</v>
      </c>
      <c r="E1362" s="31">
        <f>IFERROR(__xludf.DUMMYFUNCTION("""COMPUTED_VALUE"""),2.0)</f>
        <v>2</v>
      </c>
      <c r="F1362" s="8">
        <v>1.0</v>
      </c>
      <c r="G1362" s="8">
        <v>1.0</v>
      </c>
      <c r="H1362" s="8">
        <v>1.0</v>
      </c>
      <c r="I1362" s="8">
        <v>1.0</v>
      </c>
      <c r="J1362" s="8">
        <v>1.0</v>
      </c>
      <c r="K1362" s="8">
        <v>1.0</v>
      </c>
      <c r="L1362" s="8">
        <v>6.0</v>
      </c>
      <c r="M1362" s="8"/>
      <c r="N1362" s="8"/>
      <c r="O1362" s="8" t="s">
        <v>754</v>
      </c>
      <c r="P1362" s="8">
        <v>6.0</v>
      </c>
    </row>
    <row r="1363">
      <c r="A1363">
        <f>IFERROR(__xludf.DUMMYFUNCTION("""COMPUTED_VALUE"""),6.0)</f>
        <v>6</v>
      </c>
      <c r="B1363">
        <f>IFERROR(__xludf.DUMMYFUNCTION("""COMPUTED_VALUE"""),31110.0)</f>
        <v>31110</v>
      </c>
      <c r="C1363" t="str">
        <f>IFERROR(__xludf.DUMMYFUNCTION("""COMPUTED_VALUE"""),"RUIZ CORREA, MARIANA")</f>
        <v>RUIZ CORREA, MARIANA</v>
      </c>
      <c r="D1363" t="str">
        <f>IFERROR(__xludf.DUMMYFUNCTION("""COMPUTED_VALUE"""),"Sociales 6")</f>
        <v>Sociales 6</v>
      </c>
      <c r="E1363" s="31">
        <f>IFERROR(__xludf.DUMMYFUNCTION("""COMPUTED_VALUE"""),4.0)</f>
        <v>4</v>
      </c>
      <c r="F1363" s="8">
        <v>1.0</v>
      </c>
      <c r="G1363" s="8">
        <v>1.0</v>
      </c>
      <c r="H1363" s="8">
        <v>1.0</v>
      </c>
      <c r="I1363" s="8">
        <v>1.0</v>
      </c>
      <c r="J1363" s="8">
        <v>1.0</v>
      </c>
      <c r="K1363" s="8">
        <v>1.0</v>
      </c>
      <c r="L1363" s="8">
        <v>6.0</v>
      </c>
      <c r="M1363" s="8"/>
      <c r="N1363" s="8"/>
      <c r="O1363" s="8" t="s">
        <v>756</v>
      </c>
      <c r="P1363" s="8">
        <v>6.0</v>
      </c>
    </row>
    <row r="1364">
      <c r="A1364">
        <f>IFERROR(__xludf.DUMMYFUNCTION("""COMPUTED_VALUE"""),6.0)</f>
        <v>6</v>
      </c>
      <c r="B1364">
        <f>IFERROR(__xludf.DUMMYFUNCTION("""COMPUTED_VALUE"""),31111.0)</f>
        <v>31111</v>
      </c>
      <c r="C1364" t="str">
        <f>IFERROR(__xludf.DUMMYFUNCTION("""COMPUTED_VALUE"""),"RUIZ DUQUE, ANTONIO")</f>
        <v>RUIZ DUQUE, ANTONIO</v>
      </c>
      <c r="D1364" t="str">
        <f>IFERROR(__xludf.DUMMYFUNCTION("""COMPUTED_VALUE"""),"Sociales 6")</f>
        <v>Sociales 6</v>
      </c>
      <c r="E1364" s="31">
        <f>IFERROR(__xludf.DUMMYFUNCTION("""COMPUTED_VALUE"""),5.0)</f>
        <v>5</v>
      </c>
      <c r="F1364" s="8">
        <v>1.0</v>
      </c>
      <c r="G1364" s="8">
        <v>1.0</v>
      </c>
      <c r="H1364" s="8">
        <v>1.0</v>
      </c>
      <c r="I1364" s="8">
        <v>1.0</v>
      </c>
      <c r="J1364" s="8">
        <v>1.0</v>
      </c>
      <c r="K1364" s="8">
        <v>1.0</v>
      </c>
      <c r="L1364" s="8">
        <v>6.0</v>
      </c>
      <c r="M1364" s="8"/>
      <c r="N1364" s="8"/>
      <c r="O1364" s="8" t="s">
        <v>753</v>
      </c>
      <c r="P1364" s="8">
        <v>6.0</v>
      </c>
    </row>
    <row r="1365">
      <c r="A1365">
        <f>IFERROR(__xludf.DUMMYFUNCTION("""COMPUTED_VALUE"""),6.0)</f>
        <v>6</v>
      </c>
      <c r="B1365">
        <f>IFERROR(__xludf.DUMMYFUNCTION("""COMPUTED_VALUE"""),31109.0)</f>
        <v>31109</v>
      </c>
      <c r="C1365" t="str">
        <f>IFERROR(__xludf.DUMMYFUNCTION("""COMPUTED_VALUE"""),"RUZ GUZMAN, FEDERICO")</f>
        <v>RUZ GUZMAN, FEDERICO</v>
      </c>
      <c r="D1365" t="str">
        <f>IFERROR(__xludf.DUMMYFUNCTION("""COMPUTED_VALUE"""),"Sociales 6")</f>
        <v>Sociales 6</v>
      </c>
      <c r="E1365" s="31">
        <f>IFERROR(__xludf.DUMMYFUNCTION("""COMPUTED_VALUE"""),3.0)</f>
        <v>3</v>
      </c>
      <c r="F1365" s="8">
        <v>1.0</v>
      </c>
      <c r="G1365" s="8">
        <v>1.0</v>
      </c>
      <c r="H1365" s="8">
        <v>1.0</v>
      </c>
      <c r="I1365" s="8">
        <v>1.0</v>
      </c>
      <c r="J1365" s="8">
        <v>1.0</v>
      </c>
      <c r="K1365" s="8">
        <v>1.0</v>
      </c>
      <c r="L1365" s="8">
        <v>6.0</v>
      </c>
      <c r="M1365" s="8"/>
      <c r="N1365" s="8"/>
      <c r="O1365" s="8" t="s">
        <v>755</v>
      </c>
      <c r="P1365" s="8">
        <v>6.0</v>
      </c>
    </row>
    <row r="1366">
      <c r="A1366">
        <f>IFERROR(__xludf.DUMMYFUNCTION("""COMPUTED_VALUE"""),6.0)</f>
        <v>6</v>
      </c>
      <c r="B1366">
        <f>IFERROR(__xludf.DUMMYFUNCTION("""COMPUTED_VALUE"""),31112.0)</f>
        <v>31112</v>
      </c>
      <c r="C1366" t="str">
        <f>IFERROR(__xludf.DUMMYFUNCTION("""COMPUTED_VALUE"""),"SALAZAR BOTERO, FEDERICO")</f>
        <v>SALAZAR BOTERO, FEDERICO</v>
      </c>
      <c r="D1366" t="str">
        <f>IFERROR(__xludf.DUMMYFUNCTION("""COMPUTED_VALUE"""),"Sociales 6")</f>
        <v>Sociales 6</v>
      </c>
      <c r="E1366" s="31">
        <f>IFERROR(__xludf.DUMMYFUNCTION("""COMPUTED_VALUE"""),2.0)</f>
        <v>2</v>
      </c>
      <c r="F1366" s="8">
        <v>1.0</v>
      </c>
      <c r="G1366" s="8">
        <v>1.0</v>
      </c>
      <c r="H1366" s="8">
        <v>1.0</v>
      </c>
      <c r="I1366" s="8">
        <v>1.0</v>
      </c>
      <c r="J1366" s="8">
        <v>1.0</v>
      </c>
      <c r="K1366" s="8">
        <v>1.0</v>
      </c>
      <c r="L1366" s="8">
        <v>6.0</v>
      </c>
      <c r="M1366" s="8"/>
      <c r="N1366" s="8"/>
      <c r="O1366" s="8" t="s">
        <v>754</v>
      </c>
      <c r="P1366" s="8">
        <v>6.0</v>
      </c>
    </row>
    <row r="1367">
      <c r="A1367">
        <f>IFERROR(__xludf.DUMMYFUNCTION("""COMPUTED_VALUE"""),6.0)</f>
        <v>6</v>
      </c>
      <c r="B1367">
        <f>IFERROR(__xludf.DUMMYFUNCTION("""COMPUTED_VALUE"""),31153.0)</f>
        <v>31153</v>
      </c>
      <c r="C1367" t="str">
        <f>IFERROR(__xludf.DUMMYFUNCTION("""COMPUTED_VALUE"""),"SALCEDO PERICO, JACOBO")</f>
        <v>SALCEDO PERICO, JACOBO</v>
      </c>
      <c r="D1367" t="str">
        <f>IFERROR(__xludf.DUMMYFUNCTION("""COMPUTED_VALUE"""),"Sociales 6A")</f>
        <v>Sociales 6A</v>
      </c>
      <c r="E1367" s="31">
        <f>IFERROR(__xludf.DUMMYFUNCTION("""COMPUTED_VALUE"""),2.0)</f>
        <v>2</v>
      </c>
      <c r="F1367" s="8">
        <v>1.0</v>
      </c>
      <c r="G1367" s="8">
        <v>1.0</v>
      </c>
      <c r="H1367" s="8">
        <v>1.0</v>
      </c>
      <c r="I1367" s="8">
        <v>1.0</v>
      </c>
      <c r="J1367" s="8">
        <v>1.0</v>
      </c>
      <c r="K1367" s="8">
        <v>1.0</v>
      </c>
      <c r="L1367" s="8">
        <v>6.0</v>
      </c>
      <c r="M1367" s="8"/>
      <c r="N1367" s="8"/>
      <c r="O1367" s="8" t="s">
        <v>758</v>
      </c>
      <c r="P1367" s="8" t="e">
        <v>#N/A</v>
      </c>
    </row>
    <row r="1368">
      <c r="A1368">
        <f>IFERROR(__xludf.DUMMYFUNCTION("""COMPUTED_VALUE"""),6.0)</f>
        <v>6</v>
      </c>
      <c r="B1368">
        <f>IFERROR(__xludf.DUMMYFUNCTION("""COMPUTED_VALUE"""),31113.0)</f>
        <v>31113</v>
      </c>
      <c r="C1368" t="str">
        <f>IFERROR(__xludf.DUMMYFUNCTION("""COMPUTED_VALUE"""),"SANTAMARIA SALDARRIAGA, JUAN MARTIN")</f>
        <v>SANTAMARIA SALDARRIAGA, JUAN MARTIN</v>
      </c>
      <c r="D1368" t="str">
        <f>IFERROR(__xludf.DUMMYFUNCTION("""COMPUTED_VALUE"""),"Sociales 6A")</f>
        <v>Sociales 6A</v>
      </c>
      <c r="E1368" s="31">
        <f>IFERROR(__xludf.DUMMYFUNCTION("""COMPUTED_VALUE"""),2.0)</f>
        <v>2</v>
      </c>
      <c r="F1368" s="8">
        <v>1.0</v>
      </c>
      <c r="G1368" s="8">
        <v>1.0</v>
      </c>
      <c r="H1368" s="8">
        <v>1.0</v>
      </c>
      <c r="I1368" s="8">
        <v>1.0</v>
      </c>
      <c r="J1368" s="8">
        <v>1.0</v>
      </c>
      <c r="K1368" s="8">
        <v>1.0</v>
      </c>
      <c r="L1368" s="8">
        <v>6.0</v>
      </c>
      <c r="M1368" s="8"/>
      <c r="N1368" s="8"/>
      <c r="O1368" s="8" t="s">
        <v>758</v>
      </c>
      <c r="P1368" s="8" t="e">
        <v>#N/A</v>
      </c>
    </row>
    <row r="1369">
      <c r="A1369">
        <f>IFERROR(__xludf.DUMMYFUNCTION("""COMPUTED_VALUE"""),6.0)</f>
        <v>6</v>
      </c>
      <c r="B1369">
        <f>IFERROR(__xludf.DUMMYFUNCTION("""COMPUTED_VALUE"""),31114.0)</f>
        <v>31114</v>
      </c>
      <c r="C1369" t="str">
        <f>IFERROR(__xludf.DUMMYFUNCTION("""COMPUTED_VALUE"""),"SCHOBER OCAMPO, MIA")</f>
        <v>SCHOBER OCAMPO, MIA</v>
      </c>
      <c r="D1369" t="str">
        <f>IFERROR(__xludf.DUMMYFUNCTION("""COMPUTED_VALUE"""),"Sociales 6")</f>
        <v>Sociales 6</v>
      </c>
      <c r="E1369" s="31">
        <f>IFERROR(__xludf.DUMMYFUNCTION("""COMPUTED_VALUE"""),1.0)</f>
        <v>1</v>
      </c>
      <c r="F1369" s="8">
        <v>1.0</v>
      </c>
      <c r="G1369" s="8">
        <v>1.0</v>
      </c>
      <c r="H1369" s="8">
        <v>1.0</v>
      </c>
      <c r="I1369" s="8">
        <v>1.0</v>
      </c>
      <c r="J1369" s="8">
        <v>1.0</v>
      </c>
      <c r="K1369" s="8">
        <v>1.0</v>
      </c>
      <c r="L1369" s="8">
        <v>6.0</v>
      </c>
      <c r="M1369" s="8"/>
      <c r="N1369" s="8"/>
      <c r="O1369" s="8" t="s">
        <v>757</v>
      </c>
      <c r="P1369" s="8">
        <v>6.0</v>
      </c>
    </row>
    <row r="1370">
      <c r="A1370">
        <f>IFERROR(__xludf.DUMMYFUNCTION("""COMPUTED_VALUE"""),6.0)</f>
        <v>6</v>
      </c>
      <c r="B1370">
        <f>IFERROR(__xludf.DUMMYFUNCTION("""COMPUTED_VALUE"""),31115.0)</f>
        <v>31115</v>
      </c>
      <c r="C1370" t="str">
        <f>IFERROR(__xludf.DUMMYFUNCTION("""COMPUTED_VALUE"""),"SERANI ANGEL, TOMAS")</f>
        <v>SERANI ANGEL, TOMAS</v>
      </c>
      <c r="D1370" t="str">
        <f>IFERROR(__xludf.DUMMYFUNCTION("""COMPUTED_VALUE"""),"Sociales 6")</f>
        <v>Sociales 6</v>
      </c>
      <c r="E1370" s="31">
        <f>IFERROR(__xludf.DUMMYFUNCTION("""COMPUTED_VALUE"""),2.0)</f>
        <v>2</v>
      </c>
      <c r="F1370" s="8">
        <v>1.0</v>
      </c>
      <c r="G1370" s="8">
        <v>1.0</v>
      </c>
      <c r="H1370" s="8">
        <v>1.0</v>
      </c>
      <c r="I1370" s="8">
        <v>1.0</v>
      </c>
      <c r="J1370" s="8">
        <v>1.0</v>
      </c>
      <c r="K1370" s="8">
        <v>1.0</v>
      </c>
      <c r="L1370" s="8">
        <v>6.0</v>
      </c>
      <c r="M1370" s="8"/>
      <c r="N1370" s="8"/>
      <c r="O1370" s="8" t="s">
        <v>754</v>
      </c>
      <c r="P1370" s="8">
        <v>6.0</v>
      </c>
    </row>
    <row r="1371">
      <c r="A1371">
        <f>IFERROR(__xludf.DUMMYFUNCTION("""COMPUTED_VALUE"""),6.0)</f>
        <v>6</v>
      </c>
      <c r="B1371">
        <f>IFERROR(__xludf.DUMMYFUNCTION("""COMPUTED_VALUE"""),31116.0)</f>
        <v>31116</v>
      </c>
      <c r="C1371" t="str">
        <f>IFERROR(__xludf.DUMMYFUNCTION("""COMPUTED_VALUE"""),"SERRANO BARRENECHE, JUAN FELIPE")</f>
        <v>SERRANO BARRENECHE, JUAN FELIPE</v>
      </c>
      <c r="D1371" t="str">
        <f>IFERROR(__xludf.DUMMYFUNCTION("""COMPUTED_VALUE"""),"Sociales 6")</f>
        <v>Sociales 6</v>
      </c>
      <c r="E1371" s="31">
        <f>IFERROR(__xludf.DUMMYFUNCTION("""COMPUTED_VALUE"""),3.0)</f>
        <v>3</v>
      </c>
      <c r="F1371" s="8">
        <v>1.0</v>
      </c>
      <c r="G1371" s="8">
        <v>1.0</v>
      </c>
      <c r="H1371" s="8">
        <v>1.0</v>
      </c>
      <c r="I1371" s="8">
        <v>1.0</v>
      </c>
      <c r="J1371" s="8">
        <v>1.0</v>
      </c>
      <c r="K1371" s="8">
        <v>1.0</v>
      </c>
      <c r="L1371" s="8">
        <v>6.0</v>
      </c>
      <c r="M1371" s="8"/>
      <c r="N1371" s="8"/>
      <c r="O1371" s="8" t="s">
        <v>755</v>
      </c>
      <c r="P1371" s="8">
        <v>6.0</v>
      </c>
    </row>
    <row r="1372">
      <c r="A1372">
        <f>IFERROR(__xludf.DUMMYFUNCTION("""COMPUTED_VALUE"""),6.0)</f>
        <v>6</v>
      </c>
      <c r="B1372">
        <f>IFERROR(__xludf.DUMMYFUNCTION("""COMPUTED_VALUE"""),31117.0)</f>
        <v>31117</v>
      </c>
      <c r="C1372" t="str">
        <f>IFERROR(__xludf.DUMMYFUNCTION("""COMPUTED_VALUE"""),"SIERRA ECHAVARRIA, BENJAMIN")</f>
        <v>SIERRA ECHAVARRIA, BENJAMIN</v>
      </c>
      <c r="D1372" t="str">
        <f>IFERROR(__xludf.DUMMYFUNCTION("""COMPUTED_VALUE"""),"Sociales 6")</f>
        <v>Sociales 6</v>
      </c>
      <c r="E1372" s="31">
        <f>IFERROR(__xludf.DUMMYFUNCTION("""COMPUTED_VALUE"""),2.0)</f>
        <v>2</v>
      </c>
      <c r="F1372" s="8">
        <v>1.0</v>
      </c>
      <c r="G1372" s="8">
        <v>1.0</v>
      </c>
      <c r="H1372" s="8">
        <v>1.0</v>
      </c>
      <c r="I1372" s="8">
        <v>1.0</v>
      </c>
      <c r="J1372" s="8">
        <v>1.0</v>
      </c>
      <c r="K1372" s="8">
        <v>1.0</v>
      </c>
      <c r="L1372" s="8">
        <v>6.0</v>
      </c>
      <c r="M1372" s="8"/>
      <c r="N1372" s="8"/>
      <c r="O1372" s="8" t="s">
        <v>754</v>
      </c>
      <c r="P1372" s="8">
        <v>6.0</v>
      </c>
    </row>
    <row r="1373">
      <c r="A1373">
        <f>IFERROR(__xludf.DUMMYFUNCTION("""COMPUTED_VALUE"""),6.0)</f>
        <v>6</v>
      </c>
      <c r="B1373">
        <f>IFERROR(__xludf.DUMMYFUNCTION("""COMPUTED_VALUE"""),31118.0)</f>
        <v>31118</v>
      </c>
      <c r="C1373" t="str">
        <f>IFERROR(__xludf.DUMMYFUNCTION("""COMPUTED_VALUE"""),"TOBON PEÑALOZA, EMILIA")</f>
        <v>TOBON PEÑALOZA, EMILIA</v>
      </c>
      <c r="D1373" t="str">
        <f>IFERROR(__xludf.DUMMYFUNCTION("""COMPUTED_VALUE"""),"Sociales 6A")</f>
        <v>Sociales 6A</v>
      </c>
      <c r="E1373" s="31">
        <f>IFERROR(__xludf.DUMMYFUNCTION("""COMPUTED_VALUE"""),2.0)</f>
        <v>2</v>
      </c>
      <c r="F1373" s="8">
        <v>1.0</v>
      </c>
      <c r="G1373" s="8">
        <v>1.0</v>
      </c>
      <c r="H1373" s="8">
        <v>1.0</v>
      </c>
      <c r="I1373" s="8">
        <v>1.0</v>
      </c>
      <c r="J1373" s="8">
        <v>1.0</v>
      </c>
      <c r="K1373" s="8">
        <v>1.0</v>
      </c>
      <c r="L1373" s="8">
        <v>6.0</v>
      </c>
      <c r="M1373" s="8"/>
      <c r="N1373" s="8"/>
      <c r="O1373" s="8" t="s">
        <v>758</v>
      </c>
      <c r="P1373" s="8" t="e">
        <v>#N/A</v>
      </c>
    </row>
    <row r="1374">
      <c r="A1374">
        <f>IFERROR(__xludf.DUMMYFUNCTION("""COMPUTED_VALUE"""),6.0)</f>
        <v>6</v>
      </c>
      <c r="B1374">
        <f>IFERROR(__xludf.DUMMYFUNCTION("""COMPUTED_VALUE"""),31119.0)</f>
        <v>31119</v>
      </c>
      <c r="C1374" t="str">
        <f>IFERROR(__xludf.DUMMYFUNCTION("""COMPUTED_VALUE"""),"TOBON PEÑALOZA, JUAN")</f>
        <v>TOBON PEÑALOZA, JUAN</v>
      </c>
      <c r="D1374" t="str">
        <f>IFERROR(__xludf.DUMMYFUNCTION("""COMPUTED_VALUE"""),"Sociales 6")</f>
        <v>Sociales 6</v>
      </c>
      <c r="E1374" s="31">
        <f>IFERROR(__xludf.DUMMYFUNCTION("""COMPUTED_VALUE"""),3.0)</f>
        <v>3</v>
      </c>
      <c r="F1374" s="8">
        <v>1.0</v>
      </c>
      <c r="G1374" s="8">
        <v>1.0</v>
      </c>
      <c r="H1374" s="8">
        <v>1.0</v>
      </c>
      <c r="I1374" s="8">
        <v>1.0</v>
      </c>
      <c r="J1374" s="8">
        <v>1.0</v>
      </c>
      <c r="K1374" s="8">
        <v>1.0</v>
      </c>
      <c r="L1374" s="8">
        <v>6.0</v>
      </c>
      <c r="M1374" s="8"/>
      <c r="N1374" s="8"/>
      <c r="O1374" s="8" t="s">
        <v>755</v>
      </c>
      <c r="P1374" s="8">
        <v>6.0</v>
      </c>
    </row>
    <row r="1375">
      <c r="A1375">
        <f>IFERROR(__xludf.DUMMYFUNCTION("""COMPUTED_VALUE"""),6.0)</f>
        <v>6</v>
      </c>
      <c r="B1375">
        <f>IFERROR(__xludf.DUMMYFUNCTION("""COMPUTED_VALUE"""),31120.0)</f>
        <v>31120</v>
      </c>
      <c r="C1375" t="str">
        <f>IFERROR(__xludf.DUMMYFUNCTION("""COMPUTED_VALUE"""),"TORO PEREZ, GREGORIO")</f>
        <v>TORO PEREZ, GREGORIO</v>
      </c>
      <c r="D1375" t="str">
        <f>IFERROR(__xludf.DUMMYFUNCTION("""COMPUTED_VALUE"""),"Sociales 6")</f>
        <v>Sociales 6</v>
      </c>
      <c r="E1375" s="31">
        <f>IFERROR(__xludf.DUMMYFUNCTION("""COMPUTED_VALUE"""),3.0)</f>
        <v>3</v>
      </c>
      <c r="F1375" s="8">
        <v>1.0</v>
      </c>
      <c r="G1375" s="8">
        <v>1.0</v>
      </c>
      <c r="H1375" s="8">
        <v>1.0</v>
      </c>
      <c r="I1375" s="8">
        <v>1.0</v>
      </c>
      <c r="J1375" s="8">
        <v>1.0</v>
      </c>
      <c r="K1375" s="8">
        <v>1.0</v>
      </c>
      <c r="L1375" s="8">
        <v>6.0</v>
      </c>
      <c r="M1375" s="8"/>
      <c r="N1375" s="8"/>
      <c r="O1375" s="8" t="s">
        <v>755</v>
      </c>
      <c r="P1375" s="8">
        <v>6.0</v>
      </c>
    </row>
    <row r="1376">
      <c r="A1376">
        <f>IFERROR(__xludf.DUMMYFUNCTION("""COMPUTED_VALUE"""),6.0)</f>
        <v>6</v>
      </c>
      <c r="B1376">
        <f>IFERROR(__xludf.DUMMYFUNCTION("""COMPUTED_VALUE"""),31121.0)</f>
        <v>31121</v>
      </c>
      <c r="C1376" t="str">
        <f>IFERROR(__xludf.DUMMYFUNCTION("""COMPUTED_VALUE"""),"TRUJILLO ARANGO, MARTIN")</f>
        <v>TRUJILLO ARANGO, MARTIN</v>
      </c>
      <c r="D1376" t="str">
        <f>IFERROR(__xludf.DUMMYFUNCTION("""COMPUTED_VALUE"""),"Sociales 6")</f>
        <v>Sociales 6</v>
      </c>
      <c r="E1376" s="31">
        <f>IFERROR(__xludf.DUMMYFUNCTION("""COMPUTED_VALUE"""),5.0)</f>
        <v>5</v>
      </c>
      <c r="F1376" s="8">
        <v>1.0</v>
      </c>
      <c r="G1376" s="8">
        <v>1.0</v>
      </c>
      <c r="H1376" s="8">
        <v>1.0</v>
      </c>
      <c r="I1376" s="8">
        <v>1.0</v>
      </c>
      <c r="J1376" s="8">
        <v>1.0</v>
      </c>
      <c r="K1376" s="8">
        <v>1.0</v>
      </c>
      <c r="L1376" s="8">
        <v>6.0</v>
      </c>
      <c r="M1376" s="8"/>
      <c r="N1376" s="8"/>
      <c r="O1376" s="8" t="s">
        <v>753</v>
      </c>
      <c r="P1376" s="8">
        <v>6.0</v>
      </c>
    </row>
    <row r="1377">
      <c r="A1377">
        <f>IFERROR(__xludf.DUMMYFUNCTION("""COMPUTED_VALUE"""),6.0)</f>
        <v>6</v>
      </c>
      <c r="B1377">
        <f>IFERROR(__xludf.DUMMYFUNCTION("""COMPUTED_VALUE"""),30108.0)</f>
        <v>30108</v>
      </c>
      <c r="C1377" t="str">
        <f>IFERROR(__xludf.DUMMYFUNCTION("""COMPUTED_VALUE"""),"TRUJILLO BUITRAGO, MARTIN")</f>
        <v>TRUJILLO BUITRAGO, MARTIN</v>
      </c>
      <c r="D1377" t="str">
        <f>IFERROR(__xludf.DUMMYFUNCTION("""COMPUTED_VALUE"""),"Sociales 6")</f>
        <v>Sociales 6</v>
      </c>
      <c r="E1377" s="31">
        <f>IFERROR(__xludf.DUMMYFUNCTION("""COMPUTED_VALUE"""),4.0)</f>
        <v>4</v>
      </c>
      <c r="F1377" s="8">
        <v>1.0</v>
      </c>
      <c r="G1377" s="8">
        <v>1.0</v>
      </c>
      <c r="H1377" s="8">
        <v>1.0</v>
      </c>
      <c r="I1377" s="8">
        <v>1.0</v>
      </c>
      <c r="J1377" s="8">
        <v>1.0</v>
      </c>
      <c r="K1377" s="8">
        <v>1.0</v>
      </c>
      <c r="L1377" s="8">
        <v>6.0</v>
      </c>
      <c r="M1377" s="8"/>
      <c r="N1377" s="8"/>
      <c r="O1377" s="8" t="s">
        <v>756</v>
      </c>
      <c r="P1377" s="8">
        <v>6.0</v>
      </c>
    </row>
    <row r="1378">
      <c r="A1378">
        <f>IFERROR(__xludf.DUMMYFUNCTION("""COMPUTED_VALUE"""),6.0)</f>
        <v>6</v>
      </c>
      <c r="B1378">
        <f>IFERROR(__xludf.DUMMYFUNCTION("""COMPUTED_VALUE"""),31122.0)</f>
        <v>31122</v>
      </c>
      <c r="C1378" t="str">
        <f>IFERROR(__xludf.DUMMYFUNCTION("""COMPUTED_VALUE"""),"URDANETA MEJIA, GABRIELA")</f>
        <v>URDANETA MEJIA, GABRIELA</v>
      </c>
      <c r="D1378" t="str">
        <f>IFERROR(__xludf.DUMMYFUNCTION("""COMPUTED_VALUE"""),"Sociales 6")</f>
        <v>Sociales 6</v>
      </c>
      <c r="E1378" s="31">
        <f>IFERROR(__xludf.DUMMYFUNCTION("""COMPUTED_VALUE"""),5.0)</f>
        <v>5</v>
      </c>
      <c r="F1378" s="8">
        <v>1.0</v>
      </c>
      <c r="G1378" s="8">
        <v>1.0</v>
      </c>
      <c r="H1378" s="8">
        <v>1.0</v>
      </c>
      <c r="I1378" s="8">
        <v>1.0</v>
      </c>
      <c r="J1378" s="8">
        <v>1.0</v>
      </c>
      <c r="K1378" s="8">
        <v>1.0</v>
      </c>
      <c r="L1378" s="8">
        <v>6.0</v>
      </c>
      <c r="M1378" s="8"/>
      <c r="N1378" s="8"/>
      <c r="O1378" s="8" t="s">
        <v>753</v>
      </c>
      <c r="P1378" s="8">
        <v>6.0</v>
      </c>
    </row>
    <row r="1379">
      <c r="A1379">
        <f>IFERROR(__xludf.DUMMYFUNCTION("""COMPUTED_VALUE"""),6.0)</f>
        <v>6</v>
      </c>
      <c r="B1379">
        <f>IFERROR(__xludf.DUMMYFUNCTION("""COMPUTED_VALUE"""),31123.0)</f>
        <v>31123</v>
      </c>
      <c r="C1379" t="str">
        <f>IFERROR(__xludf.DUMMYFUNCTION("""COMPUTED_VALUE"""),"URIBE BOTERO, MANUEL")</f>
        <v>URIBE BOTERO, MANUEL</v>
      </c>
      <c r="D1379" t="str">
        <f>IFERROR(__xludf.DUMMYFUNCTION("""COMPUTED_VALUE"""),"Sociales 6")</f>
        <v>Sociales 6</v>
      </c>
      <c r="E1379" s="31">
        <f>IFERROR(__xludf.DUMMYFUNCTION("""COMPUTED_VALUE"""),2.0)</f>
        <v>2</v>
      </c>
      <c r="F1379" s="8">
        <v>1.0</v>
      </c>
      <c r="G1379" s="8">
        <v>1.0</v>
      </c>
      <c r="H1379" s="8">
        <v>1.0</v>
      </c>
      <c r="I1379" s="8">
        <v>1.0</v>
      </c>
      <c r="J1379" s="8">
        <v>1.0</v>
      </c>
      <c r="K1379" s="8">
        <v>1.0</v>
      </c>
      <c r="L1379" s="8">
        <v>6.0</v>
      </c>
      <c r="M1379" s="8"/>
      <c r="N1379" s="8"/>
      <c r="O1379" s="8" t="s">
        <v>754</v>
      </c>
      <c r="P1379" s="8">
        <v>6.0</v>
      </c>
    </row>
    <row r="1380">
      <c r="A1380">
        <f>IFERROR(__xludf.DUMMYFUNCTION("""COMPUTED_VALUE"""),6.0)</f>
        <v>6</v>
      </c>
      <c r="B1380">
        <f>IFERROR(__xludf.DUMMYFUNCTION("""COMPUTED_VALUE"""),31124.0)</f>
        <v>31124</v>
      </c>
      <c r="C1380" t="str">
        <f>IFERROR(__xludf.DUMMYFUNCTION("""COMPUTED_VALUE"""),"URIBE MEJIA, MARTINA")</f>
        <v>URIBE MEJIA, MARTINA</v>
      </c>
      <c r="D1380" t="str">
        <f>IFERROR(__xludf.DUMMYFUNCTION("""COMPUTED_VALUE"""),"Sociales 6")</f>
        <v>Sociales 6</v>
      </c>
      <c r="E1380" s="31">
        <f>IFERROR(__xludf.DUMMYFUNCTION("""COMPUTED_VALUE"""),2.0)</f>
        <v>2</v>
      </c>
      <c r="F1380" s="8">
        <v>1.0</v>
      </c>
      <c r="G1380" s="8">
        <v>1.0</v>
      </c>
      <c r="H1380" s="8">
        <v>1.0</v>
      </c>
      <c r="I1380" s="8">
        <v>1.0</v>
      </c>
      <c r="J1380" s="8">
        <v>1.0</v>
      </c>
      <c r="K1380" s="8">
        <v>1.0</v>
      </c>
      <c r="L1380" s="8">
        <v>6.0</v>
      </c>
      <c r="M1380" s="8"/>
      <c r="N1380" s="8"/>
      <c r="O1380" s="8" t="s">
        <v>754</v>
      </c>
      <c r="P1380" s="8">
        <v>6.0</v>
      </c>
    </row>
    <row r="1381">
      <c r="A1381">
        <f>IFERROR(__xludf.DUMMYFUNCTION("""COMPUTED_VALUE"""),6.0)</f>
        <v>6</v>
      </c>
      <c r="B1381">
        <f>IFERROR(__xludf.DUMMYFUNCTION("""COMPUTED_VALUE"""),31125.0)</f>
        <v>31125</v>
      </c>
      <c r="C1381" t="str">
        <f>IFERROR(__xludf.DUMMYFUNCTION("""COMPUTED_VALUE"""),"URIBE RODRIGUEZ, ANDRES")</f>
        <v>URIBE RODRIGUEZ, ANDRES</v>
      </c>
      <c r="D1381" t="str">
        <f>IFERROR(__xludf.DUMMYFUNCTION("""COMPUTED_VALUE"""),"Sociales 6")</f>
        <v>Sociales 6</v>
      </c>
      <c r="E1381" s="31">
        <f>IFERROR(__xludf.DUMMYFUNCTION("""COMPUTED_VALUE"""),2.0)</f>
        <v>2</v>
      </c>
      <c r="F1381" s="8">
        <v>1.0</v>
      </c>
      <c r="G1381" s="8">
        <v>1.0</v>
      </c>
      <c r="H1381" s="8">
        <v>1.0</v>
      </c>
      <c r="I1381" s="8">
        <v>1.0</v>
      </c>
      <c r="J1381" s="8">
        <v>1.0</v>
      </c>
      <c r="K1381" s="8">
        <v>1.0</v>
      </c>
      <c r="L1381" s="8">
        <v>6.0</v>
      </c>
      <c r="M1381" s="8"/>
      <c r="N1381" s="8"/>
      <c r="O1381" s="8" t="s">
        <v>754</v>
      </c>
      <c r="P1381" s="8">
        <v>6.0</v>
      </c>
    </row>
    <row r="1382">
      <c r="A1382">
        <f>IFERROR(__xludf.DUMMYFUNCTION("""COMPUTED_VALUE"""),6.0)</f>
        <v>6</v>
      </c>
      <c r="B1382">
        <f>IFERROR(__xludf.DUMMYFUNCTION("""COMPUTED_VALUE"""),31126.0)</f>
        <v>31126</v>
      </c>
      <c r="C1382" t="str">
        <f>IFERROR(__xludf.DUMMYFUNCTION("""COMPUTED_VALUE"""),"URIBE RUIZ, MANUEL")</f>
        <v>URIBE RUIZ, MANUEL</v>
      </c>
      <c r="D1382" t="str">
        <f>IFERROR(__xludf.DUMMYFUNCTION("""COMPUTED_VALUE"""),"Sociales 6")</f>
        <v>Sociales 6</v>
      </c>
      <c r="E1382" s="31">
        <f>IFERROR(__xludf.DUMMYFUNCTION("""COMPUTED_VALUE"""),4.0)</f>
        <v>4</v>
      </c>
      <c r="F1382" s="8">
        <v>1.0</v>
      </c>
      <c r="G1382" s="8">
        <v>1.0</v>
      </c>
      <c r="H1382" s="8">
        <v>1.0</v>
      </c>
      <c r="I1382" s="8">
        <v>1.0</v>
      </c>
      <c r="J1382" s="8">
        <v>1.0</v>
      </c>
      <c r="K1382" s="8">
        <v>1.0</v>
      </c>
      <c r="L1382" s="8">
        <v>6.0</v>
      </c>
      <c r="M1382" s="8"/>
      <c r="N1382" s="8"/>
      <c r="O1382" s="8" t="s">
        <v>756</v>
      </c>
      <c r="P1382" s="8">
        <v>6.0</v>
      </c>
    </row>
    <row r="1383">
      <c r="A1383">
        <f>IFERROR(__xludf.DUMMYFUNCTION("""COMPUTED_VALUE"""),6.0)</f>
        <v>6</v>
      </c>
      <c r="B1383">
        <f>IFERROR(__xludf.DUMMYFUNCTION("""COMPUTED_VALUE"""),31127.0)</f>
        <v>31127</v>
      </c>
      <c r="C1383" t="str">
        <f>IFERROR(__xludf.DUMMYFUNCTION("""COMPUTED_VALUE"""),"URIBE VELASQUEZ, JERONIMO")</f>
        <v>URIBE VELASQUEZ, JERONIMO</v>
      </c>
      <c r="D1383" t="str">
        <f>IFERROR(__xludf.DUMMYFUNCTION("""COMPUTED_VALUE"""),"Sociales 6")</f>
        <v>Sociales 6</v>
      </c>
      <c r="E1383" s="31">
        <f>IFERROR(__xludf.DUMMYFUNCTION("""COMPUTED_VALUE"""),1.0)</f>
        <v>1</v>
      </c>
      <c r="F1383" s="8">
        <v>1.0</v>
      </c>
      <c r="G1383" s="8">
        <v>1.0</v>
      </c>
      <c r="H1383" s="8">
        <v>1.0</v>
      </c>
      <c r="I1383" s="8">
        <v>1.0</v>
      </c>
      <c r="J1383" s="8">
        <v>1.0</v>
      </c>
      <c r="K1383" s="8">
        <v>1.0</v>
      </c>
      <c r="L1383" s="8">
        <v>6.0</v>
      </c>
      <c r="M1383" s="8"/>
      <c r="N1383" s="8"/>
      <c r="O1383" s="8" t="s">
        <v>757</v>
      </c>
      <c r="P1383" s="8">
        <v>6.0</v>
      </c>
    </row>
    <row r="1384">
      <c r="A1384">
        <f>IFERROR(__xludf.DUMMYFUNCTION("""COMPUTED_VALUE"""),6.0)</f>
        <v>6</v>
      </c>
      <c r="B1384">
        <f>IFERROR(__xludf.DUMMYFUNCTION("""COMPUTED_VALUE"""),31128.0)</f>
        <v>31128</v>
      </c>
      <c r="C1384" t="str">
        <f>IFERROR(__xludf.DUMMYFUNCTION("""COMPUTED_VALUE"""),"URRETA HENAO, PEDRO")</f>
        <v>URRETA HENAO, PEDRO</v>
      </c>
      <c r="D1384" t="str">
        <f>IFERROR(__xludf.DUMMYFUNCTION("""COMPUTED_VALUE"""),"Sociales 6")</f>
        <v>Sociales 6</v>
      </c>
      <c r="E1384" s="31">
        <f>IFERROR(__xludf.DUMMYFUNCTION("""COMPUTED_VALUE"""),3.0)</f>
        <v>3</v>
      </c>
      <c r="F1384" s="8">
        <v>1.0</v>
      </c>
      <c r="G1384" s="8">
        <v>1.0</v>
      </c>
      <c r="H1384" s="8">
        <v>1.0</v>
      </c>
      <c r="I1384" s="8">
        <v>1.0</v>
      </c>
      <c r="J1384" s="8">
        <v>1.0</v>
      </c>
      <c r="K1384" s="8">
        <v>1.0</v>
      </c>
      <c r="L1384" s="8">
        <v>6.0</v>
      </c>
      <c r="M1384" s="8"/>
      <c r="N1384" s="8"/>
      <c r="O1384" s="8" t="s">
        <v>755</v>
      </c>
      <c r="P1384" s="8">
        <v>6.0</v>
      </c>
    </row>
    <row r="1385">
      <c r="A1385">
        <f>IFERROR(__xludf.DUMMYFUNCTION("""COMPUTED_VALUE"""),6.0)</f>
        <v>6</v>
      </c>
      <c r="B1385">
        <f>IFERROR(__xludf.DUMMYFUNCTION("""COMPUTED_VALUE"""),31165.0)</f>
        <v>31165</v>
      </c>
      <c r="C1385" t="str">
        <f>IFERROR(__xludf.DUMMYFUNCTION("""COMPUTED_VALUE"""),"VALDEZ URIBE, SAMANTHA")</f>
        <v>VALDEZ URIBE, SAMANTHA</v>
      </c>
      <c r="D1385" t="str">
        <f>IFERROR(__xludf.DUMMYFUNCTION("""COMPUTED_VALUE"""),"Sociales 6A")</f>
        <v>Sociales 6A</v>
      </c>
      <c r="E1385" s="31">
        <f>IFERROR(__xludf.DUMMYFUNCTION("""COMPUTED_VALUE"""),2.0)</f>
        <v>2</v>
      </c>
      <c r="F1385" s="8">
        <v>1.0</v>
      </c>
      <c r="G1385" s="8">
        <v>1.0</v>
      </c>
      <c r="H1385" s="8">
        <v>1.0</v>
      </c>
      <c r="I1385" s="8">
        <v>1.0</v>
      </c>
      <c r="J1385" s="8">
        <v>1.0</v>
      </c>
      <c r="K1385" s="8">
        <v>1.0</v>
      </c>
      <c r="L1385" s="8">
        <v>6.0</v>
      </c>
      <c r="M1385" s="8"/>
      <c r="N1385" s="8"/>
      <c r="O1385" s="8" t="s">
        <v>758</v>
      </c>
      <c r="P1385" s="8" t="e">
        <v>#N/A</v>
      </c>
    </row>
    <row r="1386">
      <c r="A1386">
        <f>IFERROR(__xludf.DUMMYFUNCTION("""COMPUTED_VALUE"""),6.0)</f>
        <v>6</v>
      </c>
      <c r="B1386">
        <f>IFERROR(__xludf.DUMMYFUNCTION("""COMPUTED_VALUE"""),31129.0)</f>
        <v>31129</v>
      </c>
      <c r="C1386" t="str">
        <f>IFERROR(__xludf.DUMMYFUNCTION("""COMPUTED_VALUE"""),"VALENCIA VILLEGAS, ELENA")</f>
        <v>VALENCIA VILLEGAS, ELENA</v>
      </c>
      <c r="D1386" t="str">
        <f>IFERROR(__xludf.DUMMYFUNCTION("""COMPUTED_VALUE"""),"Sociales 6")</f>
        <v>Sociales 6</v>
      </c>
      <c r="E1386" s="31">
        <f>IFERROR(__xludf.DUMMYFUNCTION("""COMPUTED_VALUE"""),1.0)</f>
        <v>1</v>
      </c>
      <c r="F1386" s="8">
        <v>1.0</v>
      </c>
      <c r="G1386" s="8">
        <v>1.0</v>
      </c>
      <c r="H1386" s="8">
        <v>1.0</v>
      </c>
      <c r="I1386" s="8">
        <v>1.0</v>
      </c>
      <c r="J1386" s="8">
        <v>1.0</v>
      </c>
      <c r="K1386" s="8">
        <v>1.0</v>
      </c>
      <c r="L1386" s="8">
        <v>6.0</v>
      </c>
      <c r="M1386" s="8"/>
      <c r="N1386" s="8"/>
      <c r="O1386" s="8" t="s">
        <v>757</v>
      </c>
      <c r="P1386" s="8">
        <v>6.0</v>
      </c>
    </row>
    <row r="1387">
      <c r="A1387">
        <f>IFERROR(__xludf.DUMMYFUNCTION("""COMPUTED_VALUE"""),6.0)</f>
        <v>6</v>
      </c>
      <c r="B1387">
        <f>IFERROR(__xludf.DUMMYFUNCTION("""COMPUTED_VALUE"""),31130.0)</f>
        <v>31130</v>
      </c>
      <c r="C1387" t="str">
        <f>IFERROR(__xludf.DUMMYFUNCTION("""COMPUTED_VALUE"""),"VARGAS ACEVEDO, DANTE")</f>
        <v>VARGAS ACEVEDO, DANTE</v>
      </c>
      <c r="D1387" t="str">
        <f>IFERROR(__xludf.DUMMYFUNCTION("""COMPUTED_VALUE"""),"Sociales 6")</f>
        <v>Sociales 6</v>
      </c>
      <c r="E1387" s="31">
        <f>IFERROR(__xludf.DUMMYFUNCTION("""COMPUTED_VALUE"""),4.0)</f>
        <v>4</v>
      </c>
      <c r="F1387" s="8">
        <v>1.0</v>
      </c>
      <c r="G1387" s="8">
        <v>1.0</v>
      </c>
      <c r="H1387" s="8">
        <v>1.0</v>
      </c>
      <c r="I1387" s="8">
        <v>1.0</v>
      </c>
      <c r="J1387" s="8">
        <v>1.0</v>
      </c>
      <c r="K1387" s="8">
        <v>1.0</v>
      </c>
      <c r="L1387" s="8">
        <v>6.0</v>
      </c>
      <c r="M1387" s="8"/>
      <c r="N1387" s="8"/>
      <c r="O1387" s="8" t="s">
        <v>756</v>
      </c>
      <c r="P1387" s="8">
        <v>6.0</v>
      </c>
    </row>
    <row r="1388">
      <c r="A1388">
        <f>IFERROR(__xludf.DUMMYFUNCTION("""COMPUTED_VALUE"""),6.0)</f>
        <v>6</v>
      </c>
      <c r="B1388">
        <f>IFERROR(__xludf.DUMMYFUNCTION("""COMPUTED_VALUE"""),31132.0)</f>
        <v>31132</v>
      </c>
      <c r="C1388" t="str">
        <f>IFERROR(__xludf.DUMMYFUNCTION("""COMPUTED_VALUE"""),"VASQUEZ HENAO, MATIAS")</f>
        <v>VASQUEZ HENAO, MATIAS</v>
      </c>
      <c r="D1388" t="str">
        <f>IFERROR(__xludf.DUMMYFUNCTION("""COMPUTED_VALUE"""),"Sociales 6")</f>
        <v>Sociales 6</v>
      </c>
      <c r="E1388" s="31">
        <f>IFERROR(__xludf.DUMMYFUNCTION("""COMPUTED_VALUE"""),5.0)</f>
        <v>5</v>
      </c>
      <c r="F1388" s="8">
        <v>1.0</v>
      </c>
      <c r="G1388" s="8">
        <v>1.0</v>
      </c>
      <c r="H1388" s="8">
        <v>1.0</v>
      </c>
      <c r="I1388" s="8">
        <v>1.0</v>
      </c>
      <c r="J1388" s="8">
        <v>1.0</v>
      </c>
      <c r="K1388" s="8">
        <v>1.0</v>
      </c>
      <c r="L1388" s="8">
        <v>6.0</v>
      </c>
      <c r="M1388" s="8"/>
      <c r="N1388" s="8"/>
      <c r="O1388" s="8" t="s">
        <v>753</v>
      </c>
      <c r="P1388" s="8">
        <v>6.0</v>
      </c>
    </row>
    <row r="1389">
      <c r="A1389">
        <f>IFERROR(__xludf.DUMMYFUNCTION("""COMPUTED_VALUE"""),6.0)</f>
        <v>6</v>
      </c>
      <c r="B1389">
        <f>IFERROR(__xludf.DUMMYFUNCTION("""COMPUTED_VALUE"""),30118.0)</f>
        <v>30118</v>
      </c>
      <c r="C1389" t="str">
        <f>IFERROR(__xludf.DUMMYFUNCTION("""COMPUTED_VALUE"""),"VASQUEZ MEDINA, MATIAS")</f>
        <v>VASQUEZ MEDINA, MATIAS</v>
      </c>
      <c r="D1389" t="str">
        <f>IFERROR(__xludf.DUMMYFUNCTION("""COMPUTED_VALUE"""),"Sociales 6A")</f>
        <v>Sociales 6A</v>
      </c>
      <c r="E1389" s="31">
        <f>IFERROR(__xludf.DUMMYFUNCTION("""COMPUTED_VALUE"""),2.0)</f>
        <v>2</v>
      </c>
      <c r="F1389" s="8">
        <v>1.0</v>
      </c>
      <c r="G1389" s="8">
        <v>1.0</v>
      </c>
      <c r="H1389" s="8">
        <v>1.0</v>
      </c>
      <c r="I1389" s="8">
        <v>1.0</v>
      </c>
      <c r="J1389" s="8">
        <v>1.0</v>
      </c>
      <c r="K1389" s="8">
        <v>1.0</v>
      </c>
      <c r="L1389" s="8">
        <v>6.0</v>
      </c>
      <c r="M1389" s="8"/>
      <c r="N1389" s="8"/>
      <c r="O1389" s="8" t="s">
        <v>758</v>
      </c>
      <c r="P1389" s="8" t="e">
        <v>#N/A</v>
      </c>
    </row>
    <row r="1390">
      <c r="A1390">
        <f>IFERROR(__xludf.DUMMYFUNCTION("""COMPUTED_VALUE"""),6.0)</f>
        <v>6</v>
      </c>
      <c r="B1390">
        <f>IFERROR(__xludf.DUMMYFUNCTION("""COMPUTED_VALUE"""),31134.0)</f>
        <v>31134</v>
      </c>
      <c r="C1390" t="str">
        <f>IFERROR(__xludf.DUMMYFUNCTION("""COMPUTED_VALUE"""),"VELEZ ARANGO, LAURA")</f>
        <v>VELEZ ARANGO, LAURA</v>
      </c>
      <c r="D1390" t="str">
        <f>IFERROR(__xludf.DUMMYFUNCTION("""COMPUTED_VALUE"""),"Sociales 6")</f>
        <v>Sociales 6</v>
      </c>
      <c r="E1390" s="31">
        <f>IFERROR(__xludf.DUMMYFUNCTION("""COMPUTED_VALUE"""),4.0)</f>
        <v>4</v>
      </c>
      <c r="F1390" s="8">
        <v>1.0</v>
      </c>
      <c r="G1390" s="8">
        <v>1.0</v>
      </c>
      <c r="H1390" s="8">
        <v>1.0</v>
      </c>
      <c r="I1390" s="8">
        <v>1.0</v>
      </c>
      <c r="J1390" s="8">
        <v>1.0</v>
      </c>
      <c r="K1390" s="8">
        <v>1.0</v>
      </c>
      <c r="L1390" s="8">
        <v>6.0</v>
      </c>
      <c r="M1390" s="8"/>
      <c r="N1390" s="8"/>
      <c r="O1390" s="8" t="s">
        <v>756</v>
      </c>
      <c r="P1390" s="8">
        <v>6.0</v>
      </c>
    </row>
    <row r="1391">
      <c r="A1391">
        <f>IFERROR(__xludf.DUMMYFUNCTION("""COMPUTED_VALUE"""),6.0)</f>
        <v>6</v>
      </c>
      <c r="B1391">
        <f>IFERROR(__xludf.DUMMYFUNCTION("""COMPUTED_VALUE"""),31135.0)</f>
        <v>31135</v>
      </c>
      <c r="C1391" t="str">
        <f>IFERROR(__xludf.DUMMYFUNCTION("""COMPUTED_VALUE"""),"VELEZ ARANGO, PEDRO")</f>
        <v>VELEZ ARANGO, PEDRO</v>
      </c>
      <c r="D1391" t="str">
        <f>IFERROR(__xludf.DUMMYFUNCTION("""COMPUTED_VALUE"""),"Sociales 6")</f>
        <v>Sociales 6</v>
      </c>
      <c r="E1391" s="31">
        <f>IFERROR(__xludf.DUMMYFUNCTION("""COMPUTED_VALUE"""),5.0)</f>
        <v>5</v>
      </c>
      <c r="F1391" s="8">
        <v>1.0</v>
      </c>
      <c r="G1391" s="8">
        <v>1.0</v>
      </c>
      <c r="H1391" s="8">
        <v>1.0</v>
      </c>
      <c r="I1391" s="8">
        <v>1.0</v>
      </c>
      <c r="J1391" s="8">
        <v>1.0</v>
      </c>
      <c r="K1391" s="8">
        <v>1.0</v>
      </c>
      <c r="L1391" s="8">
        <v>6.0</v>
      </c>
      <c r="M1391" s="8"/>
      <c r="N1391" s="8"/>
      <c r="O1391" s="8" t="s">
        <v>753</v>
      </c>
      <c r="P1391" s="8">
        <v>6.0</v>
      </c>
    </row>
    <row r="1392">
      <c r="A1392">
        <f>IFERROR(__xludf.DUMMYFUNCTION("""COMPUTED_VALUE"""),6.0)</f>
        <v>6</v>
      </c>
      <c r="B1392">
        <f>IFERROR(__xludf.DUMMYFUNCTION("""COMPUTED_VALUE"""),31174.0)</f>
        <v>31174</v>
      </c>
      <c r="C1392" t="str">
        <f>IFERROR(__xludf.DUMMYFUNCTION("""COMPUTED_VALUE"""),"WILSON, HERBERT GEORGE")</f>
        <v>WILSON, HERBERT GEORGE</v>
      </c>
      <c r="D1392" t="str">
        <f>IFERROR(__xludf.DUMMYFUNCTION("""COMPUTED_VALUE"""),"Sociales 6")</f>
        <v>Sociales 6</v>
      </c>
      <c r="E1392" s="31">
        <f>IFERROR(__xludf.DUMMYFUNCTION("""COMPUTED_VALUE"""),3.0)</f>
        <v>3</v>
      </c>
      <c r="F1392" s="8">
        <v>1.0</v>
      </c>
      <c r="G1392" s="8">
        <v>1.0</v>
      </c>
      <c r="H1392" s="8">
        <v>1.0</v>
      </c>
      <c r="I1392" s="8">
        <v>1.0</v>
      </c>
      <c r="J1392" s="8">
        <v>1.0</v>
      </c>
      <c r="K1392" s="8">
        <v>1.0</v>
      </c>
      <c r="L1392" s="8">
        <v>6.0</v>
      </c>
      <c r="M1392" s="8"/>
      <c r="N1392" s="8"/>
      <c r="O1392" s="8" t="s">
        <v>755</v>
      </c>
      <c r="P1392" s="8">
        <v>6.0</v>
      </c>
    </row>
    <row r="1393">
      <c r="A1393">
        <f>IFERROR(__xludf.DUMMYFUNCTION("""COMPUTED_VALUE"""),6.0)</f>
        <v>6</v>
      </c>
      <c r="B1393">
        <f>IFERROR(__xludf.DUMMYFUNCTION("""COMPUTED_VALUE"""),31136.0)</f>
        <v>31136</v>
      </c>
      <c r="C1393" t="str">
        <f>IFERROR(__xludf.DUMMYFUNCTION("""COMPUTED_VALUE"""),"YANOVICH URIBE, MARCOS")</f>
        <v>YANOVICH URIBE, MARCOS</v>
      </c>
      <c r="D1393" t="str">
        <f>IFERROR(__xludf.DUMMYFUNCTION("""COMPUTED_VALUE"""),"Sociales 6")</f>
        <v>Sociales 6</v>
      </c>
      <c r="E1393" s="31">
        <f>IFERROR(__xludf.DUMMYFUNCTION("""COMPUTED_VALUE"""),1.0)</f>
        <v>1</v>
      </c>
      <c r="F1393" s="8">
        <v>1.0</v>
      </c>
      <c r="G1393" s="8">
        <v>1.0</v>
      </c>
      <c r="H1393" s="8">
        <v>1.0</v>
      </c>
      <c r="I1393" s="8">
        <v>1.0</v>
      </c>
      <c r="J1393" s="8">
        <v>1.0</v>
      </c>
      <c r="K1393" s="8">
        <v>1.0</v>
      </c>
      <c r="L1393" s="8">
        <v>6.0</v>
      </c>
      <c r="M1393" s="8"/>
      <c r="N1393" s="8"/>
      <c r="O1393" s="8" t="s">
        <v>757</v>
      </c>
      <c r="P1393" s="8">
        <v>6.0</v>
      </c>
    </row>
    <row r="1394">
      <c r="A1394">
        <f>IFERROR(__xludf.DUMMYFUNCTION("""COMPUTED_VALUE"""),6.0)</f>
        <v>6</v>
      </c>
      <c r="B1394">
        <f>IFERROR(__xludf.DUMMYFUNCTION("""COMPUTED_VALUE"""),30157.0)</f>
        <v>30157</v>
      </c>
      <c r="C1394" t="str">
        <f>IFERROR(__xludf.DUMMYFUNCTION("""COMPUTED_VALUE"""),"ZARRUK BELTRAN, ALEJANDRO")</f>
        <v>ZARRUK BELTRAN, ALEJANDRO</v>
      </c>
      <c r="D1394" t="str">
        <f>IFERROR(__xludf.DUMMYFUNCTION("""COMPUTED_VALUE"""),"Sociales 6")</f>
        <v>Sociales 6</v>
      </c>
      <c r="E1394" s="31">
        <f>IFERROR(__xludf.DUMMYFUNCTION("""COMPUTED_VALUE"""),2.0)</f>
        <v>2</v>
      </c>
      <c r="F1394" s="8">
        <v>1.0</v>
      </c>
      <c r="G1394" s="8">
        <v>1.0</v>
      </c>
      <c r="H1394" s="8">
        <v>1.0</v>
      </c>
      <c r="I1394" s="8">
        <v>1.0</v>
      </c>
      <c r="J1394" s="8">
        <v>1.0</v>
      </c>
      <c r="K1394" s="8">
        <v>1.0</v>
      </c>
      <c r="L1394" s="8">
        <v>6.0</v>
      </c>
      <c r="M1394" s="8"/>
      <c r="N1394" s="8"/>
      <c r="O1394" s="8" t="s">
        <v>754</v>
      </c>
      <c r="P1394" s="8">
        <v>6.0</v>
      </c>
    </row>
    <row r="1395">
      <c r="A1395">
        <f>IFERROR(__xludf.DUMMYFUNCTION("""COMPUTED_VALUE"""),6.0)</f>
        <v>6</v>
      </c>
      <c r="B1395">
        <f>IFERROR(__xludf.DUMMYFUNCTION("""COMPUTED_VALUE"""),31138.0)</f>
        <v>31138</v>
      </c>
      <c r="C1395" t="str">
        <f>IFERROR(__xludf.DUMMYFUNCTION("""COMPUTED_VALUE"""),"ZULOAGA MUÑOZ, PEDRO")</f>
        <v>ZULOAGA MUÑOZ, PEDRO</v>
      </c>
      <c r="D1395" t="str">
        <f>IFERROR(__xludf.DUMMYFUNCTION("""COMPUTED_VALUE"""),"Sociales 6")</f>
        <v>Sociales 6</v>
      </c>
      <c r="E1395" s="31">
        <f>IFERROR(__xludf.DUMMYFUNCTION("""COMPUTED_VALUE"""),2.0)</f>
        <v>2</v>
      </c>
      <c r="F1395" s="8">
        <v>1.0</v>
      </c>
      <c r="G1395" s="8">
        <v>1.0</v>
      </c>
      <c r="H1395" s="8">
        <v>1.0</v>
      </c>
      <c r="I1395" s="8">
        <v>1.0</v>
      </c>
      <c r="J1395" s="8">
        <v>1.0</v>
      </c>
      <c r="K1395" s="8">
        <v>1.0</v>
      </c>
      <c r="L1395" s="8">
        <v>6.0</v>
      </c>
      <c r="M1395" s="8"/>
      <c r="N1395" s="8"/>
      <c r="O1395" s="8" t="s">
        <v>754</v>
      </c>
      <c r="P1395" s="8">
        <v>6.0</v>
      </c>
    </row>
    <row r="1396">
      <c r="A1396">
        <f>IFERROR(__xludf.DUMMYFUNCTION("""COMPUTED_VALUE"""),6.0)</f>
        <v>6</v>
      </c>
      <c r="B1396">
        <f>IFERROR(__xludf.DUMMYFUNCTION("""COMPUTED_VALUE"""),31137.0)</f>
        <v>31137</v>
      </c>
      <c r="C1396" t="str">
        <f>IFERROR(__xludf.DUMMYFUNCTION("""COMPUTED_VALUE"""),"ZULUAGA HOYOS, ALEJANDRO")</f>
        <v>ZULUAGA HOYOS, ALEJANDRO</v>
      </c>
      <c r="D1396" t="str">
        <f>IFERROR(__xludf.DUMMYFUNCTION("""COMPUTED_VALUE"""),"Sociales 6")</f>
        <v>Sociales 6</v>
      </c>
      <c r="E1396" s="31">
        <f>IFERROR(__xludf.DUMMYFUNCTION("""COMPUTED_VALUE"""),4.0)</f>
        <v>4</v>
      </c>
      <c r="F1396" s="8">
        <v>1.0</v>
      </c>
      <c r="G1396" s="8">
        <v>1.0</v>
      </c>
      <c r="H1396" s="8">
        <v>1.0</v>
      </c>
      <c r="I1396" s="8">
        <v>1.0</v>
      </c>
      <c r="J1396" s="8">
        <v>1.0</v>
      </c>
      <c r="K1396" s="8">
        <v>1.0</v>
      </c>
      <c r="L1396" s="8">
        <v>6.0</v>
      </c>
      <c r="M1396" s="8"/>
      <c r="N1396" s="8"/>
      <c r="O1396" s="8" t="s">
        <v>756</v>
      </c>
      <c r="P1396" s="8">
        <v>6.0</v>
      </c>
    </row>
    <row r="1397">
      <c r="A1397">
        <f>IFERROR(__xludf.DUMMYFUNCTION("""COMPUTED_VALUE"""),7.0)</f>
        <v>7</v>
      </c>
      <c r="B1397">
        <f>IFERROR(__xludf.DUMMYFUNCTION("""COMPUTED_VALUE"""),30001.0)</f>
        <v>30001</v>
      </c>
      <c r="C1397" t="str">
        <f>IFERROR(__xludf.DUMMYFUNCTION("""COMPUTED_VALUE"""),"ALVAREZ GOMEZ, FEDERICO")</f>
        <v>ALVAREZ GOMEZ, FEDERICO</v>
      </c>
      <c r="D1397" t="str">
        <f>IFERROR(__xludf.DUMMYFUNCTION("""COMPUTED_VALUE"""),"Sociales 7")</f>
        <v>Sociales 7</v>
      </c>
      <c r="E1397" s="31">
        <f>IFERROR(__xludf.DUMMYFUNCTION("""COMPUTED_VALUE"""),1.0)</f>
        <v>1</v>
      </c>
      <c r="F1397" s="8">
        <v>1.0</v>
      </c>
      <c r="G1397" s="8">
        <v>1.0</v>
      </c>
      <c r="H1397" s="8">
        <v>1.0</v>
      </c>
      <c r="I1397" s="8">
        <v>1.0</v>
      </c>
      <c r="J1397" s="8">
        <v>1.0</v>
      </c>
      <c r="K1397" s="8">
        <v>1.0</v>
      </c>
      <c r="L1397" s="8">
        <v>6.0</v>
      </c>
      <c r="M1397" s="8"/>
      <c r="N1397" s="8"/>
      <c r="O1397" s="8" t="s">
        <v>759</v>
      </c>
      <c r="P1397" s="8">
        <v>9.0</v>
      </c>
    </row>
    <row r="1398">
      <c r="A1398">
        <f>IFERROR(__xludf.DUMMYFUNCTION("""COMPUTED_VALUE"""),7.0)</f>
        <v>7</v>
      </c>
      <c r="B1398">
        <f>IFERROR(__xludf.DUMMYFUNCTION("""COMPUTED_VALUE"""),30002.0)</f>
        <v>30002</v>
      </c>
      <c r="C1398" t="str">
        <f>IFERROR(__xludf.DUMMYFUNCTION("""COMPUTED_VALUE"""),"ALVAREZ VERA, ALEJANDRA")</f>
        <v>ALVAREZ VERA, ALEJANDRA</v>
      </c>
      <c r="D1398" t="str">
        <f>IFERROR(__xludf.DUMMYFUNCTION("""COMPUTED_VALUE"""),"Sociales 7")</f>
        <v>Sociales 7</v>
      </c>
      <c r="E1398" s="31">
        <f>IFERROR(__xludf.DUMMYFUNCTION("""COMPUTED_VALUE"""),3.0)</f>
        <v>3</v>
      </c>
      <c r="F1398" s="8">
        <v>1.0</v>
      </c>
      <c r="G1398" s="8">
        <v>1.0</v>
      </c>
      <c r="H1398" s="8">
        <v>1.0</v>
      </c>
      <c r="I1398" s="8">
        <v>1.0</v>
      </c>
      <c r="J1398" s="8">
        <v>1.0</v>
      </c>
      <c r="K1398" s="8">
        <v>1.0</v>
      </c>
      <c r="L1398" s="8">
        <v>6.0</v>
      </c>
      <c r="M1398" s="8"/>
      <c r="N1398" s="8"/>
      <c r="O1398" s="8" t="s">
        <v>760</v>
      </c>
      <c r="P1398" s="8">
        <v>9.0</v>
      </c>
    </row>
    <row r="1399">
      <c r="A1399">
        <f>IFERROR(__xludf.DUMMYFUNCTION("""COMPUTED_VALUE"""),7.0)</f>
        <v>7</v>
      </c>
      <c r="B1399">
        <f>IFERROR(__xludf.DUMMYFUNCTION("""COMPUTED_VALUE"""),30003.0)</f>
        <v>30003</v>
      </c>
      <c r="C1399" t="str">
        <f>IFERROR(__xludf.DUMMYFUNCTION("""COMPUTED_VALUE"""),"ALZATE ZAPATA, SIMON")</f>
        <v>ALZATE ZAPATA, SIMON</v>
      </c>
      <c r="D1399" t="str">
        <f>IFERROR(__xludf.DUMMYFUNCTION("""COMPUTED_VALUE"""),"Sociales 7A")</f>
        <v>Sociales 7A</v>
      </c>
      <c r="E1399" s="31">
        <f>IFERROR(__xludf.DUMMYFUNCTION("""COMPUTED_VALUE"""),1.0)</f>
        <v>1</v>
      </c>
      <c r="F1399" s="8">
        <v>1.0</v>
      </c>
      <c r="G1399" s="8">
        <v>1.0</v>
      </c>
      <c r="H1399" s="8">
        <v>1.0</v>
      </c>
      <c r="I1399" s="8">
        <v>1.0</v>
      </c>
      <c r="J1399" s="8">
        <v>1.0</v>
      </c>
      <c r="K1399" s="8">
        <v>1.0</v>
      </c>
      <c r="L1399" s="8">
        <v>6.0</v>
      </c>
      <c r="M1399" s="8"/>
      <c r="N1399" s="8"/>
      <c r="O1399" s="8" t="s">
        <v>761</v>
      </c>
      <c r="P1399" s="8" t="e">
        <v>#N/A</v>
      </c>
    </row>
    <row r="1400">
      <c r="A1400">
        <f>IFERROR(__xludf.DUMMYFUNCTION("""COMPUTED_VALUE"""),7.0)</f>
        <v>7</v>
      </c>
      <c r="B1400">
        <f>IFERROR(__xludf.DUMMYFUNCTION("""COMPUTED_VALUE"""),30004.0)</f>
        <v>30004</v>
      </c>
      <c r="C1400" t="str">
        <f>IFERROR(__xludf.DUMMYFUNCTION("""COMPUTED_VALUE"""),"ANGEL MEDINA, LUCIA")</f>
        <v>ANGEL MEDINA, LUCIA</v>
      </c>
      <c r="D1400" t="str">
        <f>IFERROR(__xludf.DUMMYFUNCTION("""COMPUTED_VALUE"""),"Sociales 7A")</f>
        <v>Sociales 7A</v>
      </c>
      <c r="E1400" s="31">
        <f>IFERROR(__xludf.DUMMYFUNCTION("""COMPUTED_VALUE"""),5.0)</f>
        <v>5</v>
      </c>
      <c r="F1400" s="8">
        <v>1.0</v>
      </c>
      <c r="G1400" s="8">
        <v>1.0</v>
      </c>
      <c r="H1400" s="8">
        <v>1.0</v>
      </c>
      <c r="I1400" s="8">
        <v>1.0</v>
      </c>
      <c r="J1400" s="8">
        <v>1.0</v>
      </c>
      <c r="K1400" s="8">
        <v>1.0</v>
      </c>
      <c r="L1400" s="8">
        <v>6.0</v>
      </c>
      <c r="M1400" s="8"/>
      <c r="N1400" s="8"/>
      <c r="O1400" s="8" t="s">
        <v>762</v>
      </c>
      <c r="P1400" s="8" t="e">
        <v>#N/A</v>
      </c>
    </row>
    <row r="1401">
      <c r="A1401">
        <f>IFERROR(__xludf.DUMMYFUNCTION("""COMPUTED_VALUE"""),7.0)</f>
        <v>7</v>
      </c>
      <c r="B1401">
        <f>IFERROR(__xludf.DUMMYFUNCTION("""COMPUTED_VALUE"""),30005.0)</f>
        <v>30005</v>
      </c>
      <c r="C1401" t="str">
        <f>IFERROR(__xludf.DUMMYFUNCTION("""COMPUTED_VALUE"""),"APA ECHAVARRIA, LUCIANO")</f>
        <v>APA ECHAVARRIA, LUCIANO</v>
      </c>
      <c r="D1401" t="str">
        <f>IFERROR(__xludf.DUMMYFUNCTION("""COMPUTED_VALUE"""),"Sociales 7")</f>
        <v>Sociales 7</v>
      </c>
      <c r="E1401" s="31">
        <f>IFERROR(__xludf.DUMMYFUNCTION("""COMPUTED_VALUE"""),5.0)</f>
        <v>5</v>
      </c>
      <c r="F1401" s="8">
        <v>1.0</v>
      </c>
      <c r="G1401" s="8">
        <v>1.0</v>
      </c>
      <c r="H1401" s="8">
        <v>1.0</v>
      </c>
      <c r="I1401" s="8">
        <v>1.0</v>
      </c>
      <c r="J1401" s="8">
        <v>1.0</v>
      </c>
      <c r="K1401" s="8">
        <v>1.0</v>
      </c>
      <c r="L1401" s="8">
        <v>6.0</v>
      </c>
      <c r="M1401" s="8"/>
      <c r="N1401" s="8"/>
      <c r="O1401" s="8" t="s">
        <v>763</v>
      </c>
      <c r="P1401" s="8">
        <v>9.0</v>
      </c>
    </row>
    <row r="1402">
      <c r="A1402">
        <f>IFERROR(__xludf.DUMMYFUNCTION("""COMPUTED_VALUE"""),7.0)</f>
        <v>7</v>
      </c>
      <c r="B1402">
        <f>IFERROR(__xludf.DUMMYFUNCTION("""COMPUTED_VALUE"""),30006.0)</f>
        <v>30006</v>
      </c>
      <c r="C1402" t="str">
        <f>IFERROR(__xludf.DUMMYFUNCTION("""COMPUTED_VALUE"""),"ARANGO DUQUE, MIGUEL")</f>
        <v>ARANGO DUQUE, MIGUEL</v>
      </c>
      <c r="D1402" t="str">
        <f>IFERROR(__xludf.DUMMYFUNCTION("""COMPUTED_VALUE"""),"Sociales 7")</f>
        <v>Sociales 7</v>
      </c>
      <c r="E1402" s="31">
        <f>IFERROR(__xludf.DUMMYFUNCTION("""COMPUTED_VALUE"""),1.0)</f>
        <v>1</v>
      </c>
      <c r="F1402" s="8">
        <v>1.0</v>
      </c>
      <c r="G1402" s="8">
        <v>1.0</v>
      </c>
      <c r="H1402" s="8">
        <v>1.0</v>
      </c>
      <c r="I1402" s="8">
        <v>1.0</v>
      </c>
      <c r="J1402" s="8">
        <v>1.0</v>
      </c>
      <c r="K1402" s="8">
        <v>1.0</v>
      </c>
      <c r="L1402" s="8">
        <v>6.0</v>
      </c>
      <c r="M1402" s="8"/>
      <c r="N1402" s="8"/>
      <c r="O1402" s="8" t="s">
        <v>759</v>
      </c>
      <c r="P1402" s="8">
        <v>9.0</v>
      </c>
    </row>
    <row r="1403">
      <c r="A1403">
        <f>IFERROR(__xludf.DUMMYFUNCTION("""COMPUTED_VALUE"""),7.0)</f>
        <v>7</v>
      </c>
      <c r="B1403">
        <f>IFERROR(__xludf.DUMMYFUNCTION("""COMPUTED_VALUE"""),30169.0)</f>
        <v>30169</v>
      </c>
      <c r="C1403" t="str">
        <f>IFERROR(__xludf.DUMMYFUNCTION("""COMPUTED_VALUE"""),"ARANGO LINHARES, FILIPPA")</f>
        <v>ARANGO LINHARES, FILIPPA</v>
      </c>
      <c r="D1403" t="str">
        <f>IFERROR(__xludf.DUMMYFUNCTION("""COMPUTED_VALUE"""),"Sociales 7")</f>
        <v>Sociales 7</v>
      </c>
      <c r="E1403" s="31">
        <f>IFERROR(__xludf.DUMMYFUNCTION("""COMPUTED_VALUE"""),5.0)</f>
        <v>5</v>
      </c>
      <c r="F1403" s="8">
        <v>1.0</v>
      </c>
      <c r="G1403" s="8">
        <v>1.0</v>
      </c>
      <c r="H1403" s="8">
        <v>1.0</v>
      </c>
      <c r="I1403" s="8">
        <v>1.0</v>
      </c>
      <c r="J1403" s="8">
        <v>1.0</v>
      </c>
      <c r="K1403" s="8">
        <v>1.0</v>
      </c>
      <c r="L1403" s="8">
        <v>6.0</v>
      </c>
      <c r="M1403" s="8"/>
      <c r="N1403" s="8"/>
      <c r="O1403" s="8" t="s">
        <v>763</v>
      </c>
      <c r="P1403" s="8">
        <v>9.0</v>
      </c>
    </row>
    <row r="1404">
      <c r="A1404">
        <f>IFERROR(__xludf.DUMMYFUNCTION("""COMPUTED_VALUE"""),7.0)</f>
        <v>7</v>
      </c>
      <c r="B1404">
        <f>IFERROR(__xludf.DUMMYFUNCTION("""COMPUTED_VALUE"""),30007.0)</f>
        <v>30007</v>
      </c>
      <c r="C1404" t="str">
        <f>IFERROR(__xludf.DUMMYFUNCTION("""COMPUTED_VALUE"""),"ARANGO RODRIGUEZ, RAFAEL")</f>
        <v>ARANGO RODRIGUEZ, RAFAEL</v>
      </c>
      <c r="D1404" t="str">
        <f>IFERROR(__xludf.DUMMYFUNCTION("""COMPUTED_VALUE"""),"Sociales 7")</f>
        <v>Sociales 7</v>
      </c>
      <c r="E1404" s="31">
        <f>IFERROR(__xludf.DUMMYFUNCTION("""COMPUTED_VALUE"""),3.0)</f>
        <v>3</v>
      </c>
      <c r="F1404" s="8">
        <v>1.0</v>
      </c>
      <c r="G1404" s="8">
        <v>1.0</v>
      </c>
      <c r="H1404" s="8">
        <v>1.0</v>
      </c>
      <c r="I1404" s="8">
        <v>1.0</v>
      </c>
      <c r="J1404" s="8">
        <v>1.0</v>
      </c>
      <c r="K1404" s="8">
        <v>1.0</v>
      </c>
      <c r="L1404" s="8">
        <v>6.0</v>
      </c>
      <c r="M1404" s="8"/>
      <c r="N1404" s="8"/>
      <c r="O1404" s="8" t="s">
        <v>760</v>
      </c>
      <c r="P1404" s="8">
        <v>9.0</v>
      </c>
    </row>
    <row r="1405">
      <c r="A1405">
        <f>IFERROR(__xludf.DUMMYFUNCTION("""COMPUTED_VALUE"""),7.0)</f>
        <v>7</v>
      </c>
      <c r="B1405">
        <f>IFERROR(__xludf.DUMMYFUNCTION("""COMPUTED_VALUE"""),30008.0)</f>
        <v>30008</v>
      </c>
      <c r="C1405" t="str">
        <f>IFERROR(__xludf.DUMMYFUNCTION("""COMPUTED_VALUE"""),"ARANGO VELEZ, ALICIA")</f>
        <v>ARANGO VELEZ, ALICIA</v>
      </c>
      <c r="D1405" t="str">
        <f>IFERROR(__xludf.DUMMYFUNCTION("""COMPUTED_VALUE"""),"Sociales 7")</f>
        <v>Sociales 7</v>
      </c>
      <c r="E1405" s="31">
        <f>IFERROR(__xludf.DUMMYFUNCTION("""COMPUTED_VALUE"""),2.0)</f>
        <v>2</v>
      </c>
      <c r="F1405" s="8">
        <v>1.0</v>
      </c>
      <c r="G1405" s="8">
        <v>1.0</v>
      </c>
      <c r="H1405" s="8">
        <v>1.0</v>
      </c>
      <c r="I1405" s="8">
        <v>1.0</v>
      </c>
      <c r="J1405" s="8">
        <v>1.0</v>
      </c>
      <c r="K1405" s="8">
        <v>1.0</v>
      </c>
      <c r="L1405" s="8">
        <v>6.0</v>
      </c>
      <c r="M1405" s="8"/>
      <c r="N1405" s="8"/>
      <c r="O1405" s="8" t="s">
        <v>764</v>
      </c>
      <c r="P1405" s="8">
        <v>9.0</v>
      </c>
    </row>
    <row r="1406">
      <c r="A1406">
        <f>IFERROR(__xludf.DUMMYFUNCTION("""COMPUTED_VALUE"""),7.0)</f>
        <v>7</v>
      </c>
      <c r="B1406">
        <f>IFERROR(__xludf.DUMMYFUNCTION("""COMPUTED_VALUE"""),29014.0)</f>
        <v>29014</v>
      </c>
      <c r="C1406" t="str">
        <f>IFERROR(__xludf.DUMMYFUNCTION("""COMPUTED_VALUE"""),"ARISMENDI MELO, MARIANA")</f>
        <v>ARISMENDI MELO, MARIANA</v>
      </c>
      <c r="D1406" t="str">
        <f>IFERROR(__xludf.DUMMYFUNCTION("""COMPUTED_VALUE"""),"Sociales 7A")</f>
        <v>Sociales 7A</v>
      </c>
      <c r="E1406" s="31">
        <f>IFERROR(__xludf.DUMMYFUNCTION("""COMPUTED_VALUE"""),5.0)</f>
        <v>5</v>
      </c>
      <c r="F1406" s="8">
        <v>1.0</v>
      </c>
      <c r="G1406" s="8">
        <v>1.0</v>
      </c>
      <c r="H1406" s="8">
        <v>1.0</v>
      </c>
      <c r="I1406" s="8">
        <v>1.0</v>
      </c>
      <c r="J1406" s="8">
        <v>1.0</v>
      </c>
      <c r="K1406" s="8">
        <v>1.0</v>
      </c>
      <c r="L1406" s="8">
        <v>6.0</v>
      </c>
      <c r="M1406" s="8"/>
      <c r="N1406" s="8"/>
      <c r="O1406" s="8" t="s">
        <v>762</v>
      </c>
      <c r="P1406" s="8" t="e">
        <v>#N/A</v>
      </c>
    </row>
    <row r="1407">
      <c r="A1407">
        <f>IFERROR(__xludf.DUMMYFUNCTION("""COMPUTED_VALUE"""),7.0)</f>
        <v>7</v>
      </c>
      <c r="B1407">
        <f>IFERROR(__xludf.DUMMYFUNCTION("""COMPUTED_VALUE"""),30009.0)</f>
        <v>30009</v>
      </c>
      <c r="C1407" t="str">
        <f>IFERROR(__xludf.DUMMYFUNCTION("""COMPUTED_VALUE"""),"ARISTIZABAL BOLIVAR, EMILIANA")</f>
        <v>ARISTIZABAL BOLIVAR, EMILIANA</v>
      </c>
      <c r="D1407" t="str">
        <f>IFERROR(__xludf.DUMMYFUNCTION("""COMPUTED_VALUE"""),"Sociales 7A")</f>
        <v>Sociales 7A</v>
      </c>
      <c r="E1407" s="31">
        <f>IFERROR(__xludf.DUMMYFUNCTION("""COMPUTED_VALUE"""),1.0)</f>
        <v>1</v>
      </c>
      <c r="F1407" s="8">
        <v>1.0</v>
      </c>
      <c r="G1407" s="8">
        <v>1.0</v>
      </c>
      <c r="H1407" s="8">
        <v>1.0</v>
      </c>
      <c r="I1407" s="8">
        <v>1.0</v>
      </c>
      <c r="J1407" s="8">
        <v>1.0</v>
      </c>
      <c r="K1407" s="8">
        <v>1.0</v>
      </c>
      <c r="L1407" s="8">
        <v>6.0</v>
      </c>
      <c r="M1407" s="8"/>
      <c r="N1407" s="8"/>
      <c r="O1407" s="8" t="s">
        <v>761</v>
      </c>
      <c r="P1407" s="8" t="e">
        <v>#N/A</v>
      </c>
    </row>
    <row r="1408">
      <c r="A1408">
        <f>IFERROR(__xludf.DUMMYFUNCTION("""COMPUTED_VALUE"""),7.0)</f>
        <v>7</v>
      </c>
      <c r="B1408">
        <f>IFERROR(__xludf.DUMMYFUNCTION("""COMPUTED_VALUE"""),30010.0)</f>
        <v>30010</v>
      </c>
      <c r="C1408" t="str">
        <f>IFERROR(__xludf.DUMMYFUNCTION("""COMPUTED_VALUE"""),"ARISTIZABAL BOLIVAR, MATILDE")</f>
        <v>ARISTIZABAL BOLIVAR, MATILDE</v>
      </c>
      <c r="D1408" t="str">
        <f>IFERROR(__xludf.DUMMYFUNCTION("""COMPUTED_VALUE"""),"Sociales 7")</f>
        <v>Sociales 7</v>
      </c>
      <c r="E1408" s="31">
        <f>IFERROR(__xludf.DUMMYFUNCTION("""COMPUTED_VALUE"""),5.0)</f>
        <v>5</v>
      </c>
      <c r="F1408" s="8">
        <v>1.0</v>
      </c>
      <c r="G1408" s="8">
        <v>1.0</v>
      </c>
      <c r="H1408" s="8">
        <v>1.0</v>
      </c>
      <c r="I1408" s="8">
        <v>1.0</v>
      </c>
      <c r="J1408" s="8">
        <v>1.0</v>
      </c>
      <c r="K1408" s="8">
        <v>1.0</v>
      </c>
      <c r="L1408" s="8">
        <v>6.0</v>
      </c>
      <c r="M1408" s="8"/>
      <c r="N1408" s="8"/>
      <c r="O1408" s="8" t="s">
        <v>763</v>
      </c>
      <c r="P1408" s="8">
        <v>9.0</v>
      </c>
    </row>
    <row r="1409">
      <c r="A1409">
        <f>IFERROR(__xludf.DUMMYFUNCTION("""COMPUTED_VALUE"""),7.0)</f>
        <v>7</v>
      </c>
      <c r="B1409">
        <f>IFERROR(__xludf.DUMMYFUNCTION("""COMPUTED_VALUE"""),30011.0)</f>
        <v>30011</v>
      </c>
      <c r="C1409" t="str">
        <f>IFERROR(__xludf.DUMMYFUNCTION("""COMPUTED_VALUE"""),"ARISTIZABAL ECHAVARRIA, MILAGROS")</f>
        <v>ARISTIZABAL ECHAVARRIA, MILAGROS</v>
      </c>
      <c r="D1409" t="str">
        <f>IFERROR(__xludf.DUMMYFUNCTION("""COMPUTED_VALUE"""),"Sociales 7")</f>
        <v>Sociales 7</v>
      </c>
      <c r="E1409" s="31">
        <f>IFERROR(__xludf.DUMMYFUNCTION("""COMPUTED_VALUE"""),2.0)</f>
        <v>2</v>
      </c>
      <c r="F1409" s="8">
        <v>1.0</v>
      </c>
      <c r="G1409" s="8">
        <v>1.0</v>
      </c>
      <c r="H1409" s="8">
        <v>1.0</v>
      </c>
      <c r="I1409" s="8">
        <v>1.0</v>
      </c>
      <c r="J1409" s="8">
        <v>1.0</v>
      </c>
      <c r="K1409" s="8">
        <v>1.0</v>
      </c>
      <c r="L1409" s="8">
        <v>6.0</v>
      </c>
      <c r="M1409" s="8"/>
      <c r="N1409" s="8"/>
      <c r="O1409" s="8" t="s">
        <v>764</v>
      </c>
      <c r="P1409" s="8">
        <v>9.0</v>
      </c>
    </row>
    <row r="1410">
      <c r="A1410">
        <f>IFERROR(__xludf.DUMMYFUNCTION("""COMPUTED_VALUE"""),7.0)</f>
        <v>7</v>
      </c>
      <c r="B1410">
        <f>IFERROR(__xludf.DUMMYFUNCTION("""COMPUTED_VALUE"""),30012.0)</f>
        <v>30012</v>
      </c>
      <c r="C1410" t="str">
        <f>IFERROR(__xludf.DUMMYFUNCTION("""COMPUTED_VALUE"""),"ARISTIZABAL RESTREPO, AMALIA")</f>
        <v>ARISTIZABAL RESTREPO, AMALIA</v>
      </c>
      <c r="D1410" t="str">
        <f>IFERROR(__xludf.DUMMYFUNCTION("""COMPUTED_VALUE"""),"Sociales 7")</f>
        <v>Sociales 7</v>
      </c>
      <c r="E1410" s="31">
        <f>IFERROR(__xludf.DUMMYFUNCTION("""COMPUTED_VALUE"""),1.0)</f>
        <v>1</v>
      </c>
      <c r="F1410" s="8">
        <v>1.0</v>
      </c>
      <c r="G1410" s="8">
        <v>1.0</v>
      </c>
      <c r="H1410" s="8">
        <v>1.0</v>
      </c>
      <c r="I1410" s="8">
        <v>1.0</v>
      </c>
      <c r="J1410" s="8">
        <v>1.0</v>
      </c>
      <c r="K1410" s="8">
        <v>1.0</v>
      </c>
      <c r="L1410" s="8">
        <v>6.0</v>
      </c>
      <c r="M1410" s="8"/>
      <c r="N1410" s="8"/>
      <c r="O1410" s="8" t="s">
        <v>759</v>
      </c>
      <c r="P1410" s="8">
        <v>9.0</v>
      </c>
    </row>
    <row r="1411">
      <c r="A1411">
        <f>IFERROR(__xludf.DUMMYFUNCTION("""COMPUTED_VALUE"""),7.0)</f>
        <v>7</v>
      </c>
      <c r="B1411">
        <f>IFERROR(__xludf.DUMMYFUNCTION("""COMPUTED_VALUE"""),30014.0)</f>
        <v>30014</v>
      </c>
      <c r="C1411" t="str">
        <f>IFERROR(__xludf.DUMMYFUNCTION("""COMPUTED_VALUE"""),"ARISTIZABAL VILLEGAS, ROSARIO")</f>
        <v>ARISTIZABAL VILLEGAS, ROSARIO</v>
      </c>
      <c r="D1411" t="str">
        <f>IFERROR(__xludf.DUMMYFUNCTION("""COMPUTED_VALUE"""),"Sociales 7")</f>
        <v>Sociales 7</v>
      </c>
      <c r="E1411" s="31">
        <f>IFERROR(__xludf.DUMMYFUNCTION("""COMPUTED_VALUE"""),5.0)</f>
        <v>5</v>
      </c>
      <c r="F1411" s="8">
        <v>1.0</v>
      </c>
      <c r="G1411" s="8">
        <v>1.0</v>
      </c>
      <c r="H1411" s="8">
        <v>1.0</v>
      </c>
      <c r="I1411" s="8">
        <v>1.0</v>
      </c>
      <c r="J1411" s="8">
        <v>1.0</v>
      </c>
      <c r="K1411" s="8">
        <v>1.0</v>
      </c>
      <c r="L1411" s="8">
        <v>6.0</v>
      </c>
      <c r="M1411" s="8"/>
      <c r="N1411" s="8"/>
      <c r="O1411" s="8" t="s">
        <v>763</v>
      </c>
      <c r="P1411" s="8">
        <v>9.0</v>
      </c>
    </row>
    <row r="1412">
      <c r="A1412">
        <f>IFERROR(__xludf.DUMMYFUNCTION("""COMPUTED_VALUE"""),7.0)</f>
        <v>7</v>
      </c>
      <c r="B1412">
        <f>IFERROR(__xludf.DUMMYFUNCTION("""COMPUTED_VALUE"""),30013.0)</f>
        <v>30013</v>
      </c>
      <c r="C1412" t="str">
        <f>IFERROR(__xludf.DUMMYFUNCTION("""COMPUTED_VALUE"""),"ARISTIZABAL ZULUAGA, SALVADOR")</f>
        <v>ARISTIZABAL ZULUAGA, SALVADOR</v>
      </c>
      <c r="D1412" t="str">
        <f>IFERROR(__xludf.DUMMYFUNCTION("""COMPUTED_VALUE"""),"Sociales 7")</f>
        <v>Sociales 7</v>
      </c>
      <c r="E1412" s="31">
        <f>IFERROR(__xludf.DUMMYFUNCTION("""COMPUTED_VALUE"""),3.0)</f>
        <v>3</v>
      </c>
      <c r="F1412" s="8">
        <v>1.0</v>
      </c>
      <c r="G1412" s="8">
        <v>1.0</v>
      </c>
      <c r="H1412" s="8">
        <v>1.0</v>
      </c>
      <c r="I1412" s="8">
        <v>1.0</v>
      </c>
      <c r="J1412" s="8">
        <v>1.0</v>
      </c>
      <c r="K1412" s="8">
        <v>1.0</v>
      </c>
      <c r="L1412" s="8">
        <v>6.0</v>
      </c>
      <c r="M1412" s="8"/>
      <c r="N1412" s="8"/>
      <c r="O1412" s="8" t="s">
        <v>760</v>
      </c>
      <c r="P1412" s="8">
        <v>9.0</v>
      </c>
    </row>
    <row r="1413">
      <c r="A1413">
        <f>IFERROR(__xludf.DUMMYFUNCTION("""COMPUTED_VALUE"""),7.0)</f>
        <v>7</v>
      </c>
      <c r="B1413">
        <f>IFERROR(__xludf.DUMMYFUNCTION("""COMPUTED_VALUE"""),29017.0)</f>
        <v>29017</v>
      </c>
      <c r="C1413" t="str">
        <f>IFERROR(__xludf.DUMMYFUNCTION("""COMPUTED_VALUE"""),"ARROYAVE SIERRA, MATIAS")</f>
        <v>ARROYAVE SIERRA, MATIAS</v>
      </c>
      <c r="D1413" t="str">
        <f>IFERROR(__xludf.DUMMYFUNCTION("""COMPUTED_VALUE"""),"Sociales 7A")</f>
        <v>Sociales 7A</v>
      </c>
      <c r="E1413" s="31">
        <f>IFERROR(__xludf.DUMMYFUNCTION("""COMPUTED_VALUE"""),1.0)</f>
        <v>1</v>
      </c>
      <c r="F1413" s="8">
        <v>1.0</v>
      </c>
      <c r="G1413" s="8">
        <v>1.0</v>
      </c>
      <c r="H1413" s="8">
        <v>1.0</v>
      </c>
      <c r="I1413" s="8">
        <v>1.0</v>
      </c>
      <c r="J1413" s="8">
        <v>1.0</v>
      </c>
      <c r="K1413" s="8">
        <v>1.0</v>
      </c>
      <c r="L1413" s="8">
        <v>6.0</v>
      </c>
      <c r="M1413" s="8"/>
      <c r="N1413" s="8"/>
      <c r="O1413" s="8" t="s">
        <v>761</v>
      </c>
      <c r="P1413" s="8" t="e">
        <v>#N/A</v>
      </c>
    </row>
    <row r="1414">
      <c r="A1414">
        <f>IFERROR(__xludf.DUMMYFUNCTION("""COMPUTED_VALUE"""),7.0)</f>
        <v>7</v>
      </c>
      <c r="B1414">
        <f>IFERROR(__xludf.DUMMYFUNCTION("""COMPUTED_VALUE"""),30015.0)</f>
        <v>30015</v>
      </c>
      <c r="C1414" t="str">
        <f>IFERROR(__xludf.DUMMYFUNCTION("""COMPUTED_VALUE"""),"ARROYAVE YACAMAN, EMILIO")</f>
        <v>ARROYAVE YACAMAN, EMILIO</v>
      </c>
      <c r="D1414" t="str">
        <f>IFERROR(__xludf.DUMMYFUNCTION("""COMPUTED_VALUE"""),"Sociales 7")</f>
        <v>Sociales 7</v>
      </c>
      <c r="E1414" s="31">
        <f>IFERROR(__xludf.DUMMYFUNCTION("""COMPUTED_VALUE"""),5.0)</f>
        <v>5</v>
      </c>
      <c r="F1414" s="8">
        <v>1.0</v>
      </c>
      <c r="G1414" s="8">
        <v>1.0</v>
      </c>
      <c r="H1414" s="8">
        <v>1.0</v>
      </c>
      <c r="I1414" s="8">
        <v>1.0</v>
      </c>
      <c r="J1414" s="8">
        <v>1.0</v>
      </c>
      <c r="K1414" s="8">
        <v>1.0</v>
      </c>
      <c r="L1414" s="8">
        <v>6.0</v>
      </c>
      <c r="M1414" s="8"/>
      <c r="N1414" s="8"/>
      <c r="O1414" s="8" t="s">
        <v>763</v>
      </c>
      <c r="P1414" s="8">
        <v>9.0</v>
      </c>
    </row>
    <row r="1415">
      <c r="A1415">
        <f>IFERROR(__xludf.DUMMYFUNCTION("""COMPUTED_VALUE"""),7.0)</f>
        <v>7</v>
      </c>
      <c r="B1415">
        <f>IFERROR(__xludf.DUMMYFUNCTION("""COMPUTED_VALUE"""),30018.0)</f>
        <v>30018</v>
      </c>
      <c r="C1415" t="str">
        <f>IFERROR(__xludf.DUMMYFUNCTION("""COMPUTED_VALUE"""),"BETANCUR ECHAVARRIA, JERONIMO")</f>
        <v>BETANCUR ECHAVARRIA, JERONIMO</v>
      </c>
      <c r="D1415" t="str">
        <f>IFERROR(__xludf.DUMMYFUNCTION("""COMPUTED_VALUE"""),"Sociales 7")</f>
        <v>Sociales 7</v>
      </c>
      <c r="E1415" s="31">
        <f>IFERROR(__xludf.DUMMYFUNCTION("""COMPUTED_VALUE"""),5.0)</f>
        <v>5</v>
      </c>
      <c r="F1415" s="8">
        <v>1.0</v>
      </c>
      <c r="G1415" s="8">
        <v>1.0</v>
      </c>
      <c r="H1415" s="8">
        <v>1.0</v>
      </c>
      <c r="I1415" s="8">
        <v>1.0</v>
      </c>
      <c r="J1415" s="8">
        <v>1.0</v>
      </c>
      <c r="K1415" s="8">
        <v>1.0</v>
      </c>
      <c r="L1415" s="8">
        <v>6.0</v>
      </c>
      <c r="M1415" s="8"/>
      <c r="N1415" s="8"/>
      <c r="O1415" s="8" t="s">
        <v>763</v>
      </c>
      <c r="P1415" s="8">
        <v>9.0</v>
      </c>
    </row>
    <row r="1416">
      <c r="A1416">
        <f>IFERROR(__xludf.DUMMYFUNCTION("""COMPUTED_VALUE"""),7.0)</f>
        <v>7</v>
      </c>
      <c r="B1416">
        <f>IFERROR(__xludf.DUMMYFUNCTION("""COMPUTED_VALUE"""),30170.0)</f>
        <v>30170</v>
      </c>
      <c r="C1416" t="str">
        <f>IFERROR(__xludf.DUMMYFUNCTION("""COMPUTED_VALUE"""),"BETANCUR VELASQUEZ, RENATA")</f>
        <v>BETANCUR VELASQUEZ, RENATA</v>
      </c>
      <c r="D1416" t="str">
        <f>IFERROR(__xludf.DUMMYFUNCTION("""COMPUTED_VALUE"""),"Sociales 7")</f>
        <v>Sociales 7</v>
      </c>
      <c r="E1416" s="31">
        <f>IFERROR(__xludf.DUMMYFUNCTION("""COMPUTED_VALUE"""),5.0)</f>
        <v>5</v>
      </c>
      <c r="F1416" s="8">
        <v>1.0</v>
      </c>
      <c r="G1416" s="8">
        <v>1.0</v>
      </c>
      <c r="H1416" s="8">
        <v>1.0</v>
      </c>
      <c r="I1416" s="8">
        <v>1.0</v>
      </c>
      <c r="J1416" s="8">
        <v>1.0</v>
      </c>
      <c r="K1416" s="8">
        <v>1.0</v>
      </c>
      <c r="L1416" s="8">
        <v>6.0</v>
      </c>
      <c r="M1416" s="8"/>
      <c r="N1416" s="8"/>
      <c r="O1416" s="8" t="s">
        <v>763</v>
      </c>
      <c r="P1416" s="8">
        <v>9.0</v>
      </c>
    </row>
    <row r="1417">
      <c r="A1417">
        <f>IFERROR(__xludf.DUMMYFUNCTION("""COMPUTED_VALUE"""),7.0)</f>
        <v>7</v>
      </c>
      <c r="B1417">
        <f>IFERROR(__xludf.DUMMYFUNCTION("""COMPUTED_VALUE"""),30019.0)</f>
        <v>30019</v>
      </c>
      <c r="C1417" t="str">
        <f>IFERROR(__xludf.DUMMYFUNCTION("""COMPUTED_VALUE"""),"BOTERO BETANCOURT, SEBASTIAN")</f>
        <v>BOTERO BETANCOURT, SEBASTIAN</v>
      </c>
      <c r="D1417" t="str">
        <f>IFERROR(__xludf.DUMMYFUNCTION("""COMPUTED_VALUE"""),"Sociales 7")</f>
        <v>Sociales 7</v>
      </c>
      <c r="E1417" s="31">
        <f>IFERROR(__xludf.DUMMYFUNCTION("""COMPUTED_VALUE"""),1.0)</f>
        <v>1</v>
      </c>
      <c r="F1417" s="8">
        <v>1.0</v>
      </c>
      <c r="G1417" s="8">
        <v>1.0</v>
      </c>
      <c r="H1417" s="8">
        <v>1.0</v>
      </c>
      <c r="I1417" s="8">
        <v>1.0</v>
      </c>
      <c r="J1417" s="8">
        <v>1.0</v>
      </c>
      <c r="K1417" s="8">
        <v>1.0</v>
      </c>
      <c r="L1417" s="8">
        <v>6.0</v>
      </c>
      <c r="M1417" s="8"/>
      <c r="N1417" s="8"/>
      <c r="O1417" s="8" t="s">
        <v>759</v>
      </c>
      <c r="P1417" s="8">
        <v>9.0</v>
      </c>
    </row>
    <row r="1418">
      <c r="A1418">
        <f>IFERROR(__xludf.DUMMYFUNCTION("""COMPUTED_VALUE"""),7.0)</f>
        <v>7</v>
      </c>
      <c r="B1418">
        <f>IFERROR(__xludf.DUMMYFUNCTION("""COMPUTED_VALUE"""),30021.0)</f>
        <v>30021</v>
      </c>
      <c r="C1418" t="str">
        <f>IFERROR(__xludf.DUMMYFUNCTION("""COMPUTED_VALUE"""),"BOTERO TOQUICA, MATILDE")</f>
        <v>BOTERO TOQUICA, MATILDE</v>
      </c>
      <c r="D1418" t="str">
        <f>IFERROR(__xludf.DUMMYFUNCTION("""COMPUTED_VALUE"""),"Sociales 7A")</f>
        <v>Sociales 7A</v>
      </c>
      <c r="E1418" s="31">
        <f>IFERROR(__xludf.DUMMYFUNCTION("""COMPUTED_VALUE"""),5.0)</f>
        <v>5</v>
      </c>
      <c r="F1418" s="8">
        <v>1.0</v>
      </c>
      <c r="G1418" s="8">
        <v>1.0</v>
      </c>
      <c r="H1418" s="8">
        <v>1.0</v>
      </c>
      <c r="I1418" s="8">
        <v>1.0</v>
      </c>
      <c r="J1418" s="8">
        <v>1.0</v>
      </c>
      <c r="K1418" s="8">
        <v>1.0</v>
      </c>
      <c r="L1418" s="8">
        <v>6.0</v>
      </c>
      <c r="M1418" s="8"/>
      <c r="N1418" s="8"/>
      <c r="O1418" s="8" t="s">
        <v>762</v>
      </c>
      <c r="P1418" s="8" t="e">
        <v>#N/A</v>
      </c>
    </row>
    <row r="1419">
      <c r="A1419">
        <f>IFERROR(__xludf.DUMMYFUNCTION("""COMPUTED_VALUE"""),7.0)</f>
        <v>7</v>
      </c>
      <c r="B1419">
        <f>IFERROR(__xludf.DUMMYFUNCTION("""COMPUTED_VALUE"""),30022.0)</f>
        <v>30022</v>
      </c>
      <c r="C1419" s="135" t="str">
        <f>IFERROR(__xludf.DUMMYFUNCTION("""COMPUTED_VALUE"""),"CAMELO ZULUAGA, BENJAMIN")</f>
        <v>CAMELO ZULUAGA, BENJAMIN</v>
      </c>
      <c r="D1419" t="str">
        <f>IFERROR(__xludf.DUMMYFUNCTION("""COMPUTED_VALUE"""),"Sociales 7")</f>
        <v>Sociales 7</v>
      </c>
      <c r="E1419" s="31">
        <f>IFERROR(__xludf.DUMMYFUNCTION("""COMPUTED_VALUE"""),3.0)</f>
        <v>3</v>
      </c>
      <c r="F1419" s="8">
        <v>1.0</v>
      </c>
      <c r="G1419" s="8">
        <v>1.0</v>
      </c>
      <c r="H1419" s="8">
        <v>1.0</v>
      </c>
      <c r="I1419" s="8">
        <v>1.0</v>
      </c>
      <c r="J1419" s="8">
        <v>1.0</v>
      </c>
      <c r="K1419" s="8">
        <v>1.0</v>
      </c>
      <c r="L1419" s="8">
        <v>6.0</v>
      </c>
      <c r="M1419" s="8"/>
      <c r="N1419" s="8"/>
      <c r="O1419" s="8" t="s">
        <v>760</v>
      </c>
      <c r="P1419" s="8">
        <v>9.0</v>
      </c>
    </row>
    <row r="1420">
      <c r="A1420">
        <f>IFERROR(__xludf.DUMMYFUNCTION("""COMPUTED_VALUE"""),7.0)</f>
        <v>7</v>
      </c>
      <c r="B1420">
        <f>IFERROR(__xludf.DUMMYFUNCTION("""COMPUTED_VALUE"""),30023.0)</f>
        <v>30023</v>
      </c>
      <c r="C1420" t="str">
        <f>IFERROR(__xludf.DUMMYFUNCTION("""COMPUTED_VALUE"""),"CAMPILLO VALENCIA, LUCIANA")</f>
        <v>CAMPILLO VALENCIA, LUCIANA</v>
      </c>
      <c r="D1420" t="str">
        <f>IFERROR(__xludf.DUMMYFUNCTION("""COMPUTED_VALUE"""),"Sociales 7")</f>
        <v>Sociales 7</v>
      </c>
      <c r="E1420" s="31">
        <f>IFERROR(__xludf.DUMMYFUNCTION("""COMPUTED_VALUE"""),2.0)</f>
        <v>2</v>
      </c>
      <c r="F1420" s="8">
        <v>1.0</v>
      </c>
      <c r="G1420" s="8">
        <v>1.0</v>
      </c>
      <c r="H1420" s="8">
        <v>1.0</v>
      </c>
      <c r="I1420" s="8">
        <v>1.0</v>
      </c>
      <c r="J1420" s="8">
        <v>1.0</v>
      </c>
      <c r="K1420" s="8">
        <v>1.0</v>
      </c>
      <c r="L1420" s="8">
        <v>6.0</v>
      </c>
      <c r="M1420" s="8"/>
      <c r="N1420" s="8"/>
      <c r="O1420" s="8" t="s">
        <v>764</v>
      </c>
      <c r="P1420" s="8">
        <v>9.0</v>
      </c>
    </row>
    <row r="1421">
      <c r="A1421">
        <f>IFERROR(__xludf.DUMMYFUNCTION("""COMPUTED_VALUE"""),7.0)</f>
        <v>7</v>
      </c>
      <c r="B1421">
        <f>IFERROR(__xludf.DUMMYFUNCTION("""COMPUTED_VALUE"""),30024.0)</f>
        <v>30024</v>
      </c>
      <c r="C1421" t="str">
        <f>IFERROR(__xludf.DUMMYFUNCTION("""COMPUTED_VALUE"""),"CANO MESA, AMELIA")</f>
        <v>CANO MESA, AMELIA</v>
      </c>
      <c r="D1421" t="str">
        <f>IFERROR(__xludf.DUMMYFUNCTION("""COMPUTED_VALUE"""),"Sociales 7A")</f>
        <v>Sociales 7A</v>
      </c>
      <c r="E1421" s="31">
        <f>IFERROR(__xludf.DUMMYFUNCTION("""COMPUTED_VALUE"""),5.0)</f>
        <v>5</v>
      </c>
      <c r="F1421" s="8">
        <v>1.0</v>
      </c>
      <c r="G1421" s="8">
        <v>1.0</v>
      </c>
      <c r="H1421" s="8">
        <v>1.0</v>
      </c>
      <c r="I1421" s="8">
        <v>1.0</v>
      </c>
      <c r="J1421" s="8">
        <v>1.0</v>
      </c>
      <c r="K1421" s="8">
        <v>1.0</v>
      </c>
      <c r="L1421" s="8">
        <v>6.0</v>
      </c>
      <c r="M1421" s="8"/>
      <c r="N1421" s="8"/>
      <c r="O1421" s="8" t="s">
        <v>762</v>
      </c>
      <c r="P1421" s="8" t="e">
        <v>#N/A</v>
      </c>
    </row>
    <row r="1422">
      <c r="A1422">
        <f>IFERROR(__xludf.DUMMYFUNCTION("""COMPUTED_VALUE"""),7.0)</f>
        <v>7</v>
      </c>
      <c r="B1422">
        <f>IFERROR(__xludf.DUMMYFUNCTION("""COMPUTED_VALUE"""),30025.0)</f>
        <v>30025</v>
      </c>
      <c r="C1422" t="str">
        <f>IFERROR(__xludf.DUMMYFUNCTION("""COMPUTED_VALUE"""),"CAÑON GARCIA, MARTINA")</f>
        <v>CAÑON GARCIA, MARTINA</v>
      </c>
      <c r="D1422" t="str">
        <f>IFERROR(__xludf.DUMMYFUNCTION("""COMPUTED_VALUE"""),"Sociales 7")</f>
        <v>Sociales 7</v>
      </c>
      <c r="E1422" s="31">
        <f>IFERROR(__xludf.DUMMYFUNCTION("""COMPUTED_VALUE"""),2.0)</f>
        <v>2</v>
      </c>
      <c r="F1422" s="8">
        <v>1.0</v>
      </c>
      <c r="G1422" s="8">
        <v>1.0</v>
      </c>
      <c r="H1422" s="8">
        <v>1.0</v>
      </c>
      <c r="I1422" s="8">
        <v>1.0</v>
      </c>
      <c r="J1422" s="8">
        <v>1.0</v>
      </c>
      <c r="K1422" s="8">
        <v>1.0</v>
      </c>
      <c r="L1422" s="8">
        <v>6.0</v>
      </c>
      <c r="M1422" s="8"/>
      <c r="N1422" s="8"/>
      <c r="O1422" s="8" t="s">
        <v>764</v>
      </c>
      <c r="P1422" s="8">
        <v>9.0</v>
      </c>
    </row>
    <row r="1423">
      <c r="A1423">
        <f>IFERROR(__xludf.DUMMYFUNCTION("""COMPUTED_VALUE"""),7.0)</f>
        <v>7</v>
      </c>
      <c r="B1423">
        <f>IFERROR(__xludf.DUMMYFUNCTION("""COMPUTED_VALUE"""),30026.0)</f>
        <v>30026</v>
      </c>
      <c r="C1423" t="str">
        <f>IFERROR(__xludf.DUMMYFUNCTION("""COMPUTED_VALUE"""),"CAPMARTIN GOMEZ, NICOLAS")</f>
        <v>CAPMARTIN GOMEZ, NICOLAS</v>
      </c>
      <c r="D1423" t="str">
        <f>IFERROR(__xludf.DUMMYFUNCTION("""COMPUTED_VALUE"""),"Sociales 7A")</f>
        <v>Sociales 7A</v>
      </c>
      <c r="E1423" s="31">
        <f>IFERROR(__xludf.DUMMYFUNCTION("""COMPUTED_VALUE"""),5.0)</f>
        <v>5</v>
      </c>
      <c r="F1423" s="8">
        <v>1.0</v>
      </c>
      <c r="G1423" s="8">
        <v>1.0</v>
      </c>
      <c r="H1423" s="8">
        <v>1.0</v>
      </c>
      <c r="I1423" s="8">
        <v>1.0</v>
      </c>
      <c r="J1423" s="8">
        <v>1.0</v>
      </c>
      <c r="K1423" s="8">
        <v>1.0</v>
      </c>
      <c r="L1423" s="8">
        <v>6.0</v>
      </c>
      <c r="M1423" s="8"/>
      <c r="N1423" s="8"/>
      <c r="O1423" s="8" t="s">
        <v>762</v>
      </c>
      <c r="P1423" s="8" t="e">
        <v>#N/A</v>
      </c>
    </row>
    <row r="1424">
      <c r="A1424">
        <f>IFERROR(__xludf.DUMMYFUNCTION("""COMPUTED_VALUE"""),7.0)</f>
        <v>7</v>
      </c>
      <c r="B1424">
        <f>IFERROR(__xludf.DUMMYFUNCTION("""COMPUTED_VALUE"""),30027.0)</f>
        <v>30027</v>
      </c>
      <c r="C1424" t="str">
        <f>IFERROR(__xludf.DUMMYFUNCTION("""COMPUTED_VALUE"""),"CARDONA CASTAÑEDA, JUANITA")</f>
        <v>CARDONA CASTAÑEDA, JUANITA</v>
      </c>
      <c r="D1424" t="str">
        <f>IFERROR(__xludf.DUMMYFUNCTION("""COMPUTED_VALUE"""),"Sociales 7")</f>
        <v>Sociales 7</v>
      </c>
      <c r="E1424" s="31">
        <f>IFERROR(__xludf.DUMMYFUNCTION("""COMPUTED_VALUE"""),2.0)</f>
        <v>2</v>
      </c>
      <c r="F1424" s="8">
        <v>1.0</v>
      </c>
      <c r="G1424" s="8">
        <v>1.0</v>
      </c>
      <c r="H1424" s="8">
        <v>1.0</v>
      </c>
      <c r="I1424" s="8">
        <v>1.0</v>
      </c>
      <c r="J1424" s="8">
        <v>1.0</v>
      </c>
      <c r="K1424" s="8">
        <v>1.0</v>
      </c>
      <c r="L1424" s="8">
        <v>6.0</v>
      </c>
      <c r="M1424" s="8"/>
      <c r="N1424" s="8"/>
      <c r="O1424" s="8" t="s">
        <v>764</v>
      </c>
      <c r="P1424" s="8">
        <v>9.0</v>
      </c>
    </row>
    <row r="1425">
      <c r="A1425">
        <f>IFERROR(__xludf.DUMMYFUNCTION("""COMPUTED_VALUE"""),7.0)</f>
        <v>7</v>
      </c>
      <c r="B1425">
        <f>IFERROR(__xludf.DUMMYFUNCTION("""COMPUTED_VALUE"""),30135.0)</f>
        <v>30135</v>
      </c>
      <c r="C1425" t="str">
        <f>IFERROR(__xludf.DUMMYFUNCTION("""COMPUTED_VALUE"""),"CARDONA URIBE, EMILIANA")</f>
        <v>CARDONA URIBE, EMILIANA</v>
      </c>
      <c r="D1425" t="str">
        <f>IFERROR(__xludf.DUMMYFUNCTION("""COMPUTED_VALUE"""),"Sociales 7A")</f>
        <v>Sociales 7A</v>
      </c>
      <c r="E1425" s="31">
        <f>IFERROR(__xludf.DUMMYFUNCTION("""COMPUTED_VALUE"""),5.0)</f>
        <v>5</v>
      </c>
      <c r="F1425" s="8">
        <v>1.0</v>
      </c>
      <c r="G1425" s="8">
        <v>1.0</v>
      </c>
      <c r="H1425" s="8">
        <v>1.0</v>
      </c>
      <c r="I1425" s="8">
        <v>1.0</v>
      </c>
      <c r="J1425" s="8">
        <v>1.0</v>
      </c>
      <c r="K1425" s="8">
        <v>1.0</v>
      </c>
      <c r="L1425" s="8">
        <v>6.0</v>
      </c>
      <c r="M1425" s="8"/>
      <c r="N1425" s="8"/>
      <c r="O1425" s="8" t="s">
        <v>762</v>
      </c>
      <c r="P1425" s="8" t="e">
        <v>#N/A</v>
      </c>
    </row>
    <row r="1426">
      <c r="A1426">
        <f>IFERROR(__xludf.DUMMYFUNCTION("""COMPUTED_VALUE"""),7.0)</f>
        <v>7</v>
      </c>
      <c r="B1426">
        <f>IFERROR(__xludf.DUMMYFUNCTION("""COMPUTED_VALUE"""),30028.0)</f>
        <v>30028</v>
      </c>
      <c r="C1426" t="str">
        <f>IFERROR(__xludf.DUMMYFUNCTION("""COMPUTED_VALUE"""),"CHAN MEI, JACOB")</f>
        <v>CHAN MEI, JACOB</v>
      </c>
      <c r="D1426" t="str">
        <f>IFERROR(__xludf.DUMMYFUNCTION("""COMPUTED_VALUE"""),"Sociales 7A")</f>
        <v>Sociales 7A</v>
      </c>
      <c r="E1426" s="31">
        <f>IFERROR(__xludf.DUMMYFUNCTION("""COMPUTED_VALUE"""),1.0)</f>
        <v>1</v>
      </c>
      <c r="F1426" s="8">
        <v>1.0</v>
      </c>
      <c r="G1426" s="8">
        <v>1.0</v>
      </c>
      <c r="H1426" s="8">
        <v>1.0</v>
      </c>
      <c r="I1426" s="8">
        <v>1.0</v>
      </c>
      <c r="J1426" s="8">
        <v>1.0</v>
      </c>
      <c r="K1426" s="8">
        <v>1.0</v>
      </c>
      <c r="L1426" s="8">
        <v>6.0</v>
      </c>
      <c r="M1426" s="8"/>
      <c r="N1426" s="8"/>
      <c r="O1426" s="8" t="s">
        <v>761</v>
      </c>
      <c r="P1426" s="8" t="e">
        <v>#N/A</v>
      </c>
    </row>
    <row r="1427">
      <c r="A1427">
        <f>IFERROR(__xludf.DUMMYFUNCTION("""COMPUTED_VALUE"""),7.0)</f>
        <v>7</v>
      </c>
      <c r="B1427">
        <f>IFERROR(__xludf.DUMMYFUNCTION("""COMPUTED_VALUE"""),30029.0)</f>
        <v>30029</v>
      </c>
      <c r="C1427" t="str">
        <f>IFERROR(__xludf.DUMMYFUNCTION("""COMPUTED_VALUE"""),"CORREA GARCES, PEDRO PABLO")</f>
        <v>CORREA GARCES, PEDRO PABLO</v>
      </c>
      <c r="D1427" t="str">
        <f>IFERROR(__xludf.DUMMYFUNCTION("""COMPUTED_VALUE"""),"Sociales 7")</f>
        <v>Sociales 7</v>
      </c>
      <c r="E1427" s="31">
        <f>IFERROR(__xludf.DUMMYFUNCTION("""COMPUTED_VALUE"""),1.0)</f>
        <v>1</v>
      </c>
      <c r="F1427" s="8">
        <v>1.0</v>
      </c>
      <c r="G1427" s="8">
        <v>1.0</v>
      </c>
      <c r="H1427" s="8">
        <v>1.0</v>
      </c>
      <c r="I1427" s="8">
        <v>1.0</v>
      </c>
      <c r="J1427" s="8">
        <v>1.0</v>
      </c>
      <c r="K1427" s="8">
        <v>1.0</v>
      </c>
      <c r="L1427" s="8">
        <v>6.0</v>
      </c>
      <c r="M1427" s="8"/>
      <c r="N1427" s="8"/>
      <c r="O1427" s="8" t="s">
        <v>759</v>
      </c>
      <c r="P1427" s="8">
        <v>9.0</v>
      </c>
    </row>
    <row r="1428">
      <c r="A1428">
        <f>IFERROR(__xludf.DUMMYFUNCTION("""COMPUTED_VALUE"""),7.0)</f>
        <v>7</v>
      </c>
      <c r="B1428">
        <f>IFERROR(__xludf.DUMMYFUNCTION("""COMPUTED_VALUE"""),30030.0)</f>
        <v>30030</v>
      </c>
      <c r="C1428" t="str">
        <f>IFERROR(__xludf.DUMMYFUNCTION("""COMPUTED_VALUE"""),"CORREA MERINO, VICENTE")</f>
        <v>CORREA MERINO, VICENTE</v>
      </c>
      <c r="D1428" t="str">
        <f>IFERROR(__xludf.DUMMYFUNCTION("""COMPUTED_VALUE"""),"Sociales 7")</f>
        <v>Sociales 7</v>
      </c>
      <c r="E1428" s="31">
        <f>IFERROR(__xludf.DUMMYFUNCTION("""COMPUTED_VALUE"""),5.0)</f>
        <v>5</v>
      </c>
      <c r="F1428" s="8">
        <v>1.0</v>
      </c>
      <c r="G1428" s="8">
        <v>1.0</v>
      </c>
      <c r="H1428" s="8">
        <v>1.0</v>
      </c>
      <c r="I1428" s="8">
        <v>1.0</v>
      </c>
      <c r="J1428" s="8">
        <v>1.0</v>
      </c>
      <c r="K1428" s="8">
        <v>1.0</v>
      </c>
      <c r="L1428" s="8">
        <v>6.0</v>
      </c>
      <c r="M1428" s="8"/>
      <c r="N1428" s="8"/>
      <c r="O1428" s="8" t="s">
        <v>763</v>
      </c>
      <c r="P1428" s="8">
        <v>9.0</v>
      </c>
    </row>
    <row r="1429">
      <c r="A1429">
        <f>IFERROR(__xludf.DUMMYFUNCTION("""COMPUTED_VALUE"""),7.0)</f>
        <v>7</v>
      </c>
      <c r="B1429">
        <f>IFERROR(__xludf.DUMMYFUNCTION("""COMPUTED_VALUE"""),30031.0)</f>
        <v>30031</v>
      </c>
      <c r="C1429" t="str">
        <f>IFERROR(__xludf.DUMMYFUNCTION("""COMPUTED_VALUE"""),"CORTES CASTAÑO, FELIPE")</f>
        <v>CORTES CASTAÑO, FELIPE</v>
      </c>
      <c r="D1429" t="str">
        <f>IFERROR(__xludf.DUMMYFUNCTION("""COMPUTED_VALUE"""),"Sociales 7")</f>
        <v>Sociales 7</v>
      </c>
      <c r="E1429" s="31">
        <f>IFERROR(__xludf.DUMMYFUNCTION("""COMPUTED_VALUE"""),3.0)</f>
        <v>3</v>
      </c>
      <c r="F1429" s="8">
        <v>1.0</v>
      </c>
      <c r="G1429" s="8">
        <v>1.0</v>
      </c>
      <c r="H1429" s="8">
        <v>1.0</v>
      </c>
      <c r="I1429" s="8">
        <v>1.0</v>
      </c>
      <c r="J1429" s="8">
        <v>1.0</v>
      </c>
      <c r="K1429" s="8">
        <v>1.0</v>
      </c>
      <c r="L1429" s="8">
        <v>6.0</v>
      </c>
      <c r="M1429" s="8"/>
      <c r="N1429" s="8"/>
      <c r="O1429" s="8" t="s">
        <v>760</v>
      </c>
      <c r="P1429" s="8">
        <v>9.0</v>
      </c>
    </row>
    <row r="1430">
      <c r="A1430">
        <f>IFERROR(__xludf.DUMMYFUNCTION("""COMPUTED_VALUE"""),7.0)</f>
        <v>7</v>
      </c>
      <c r="B1430">
        <f>IFERROR(__xludf.DUMMYFUNCTION("""COMPUTED_VALUE"""),30032.0)</f>
        <v>30032</v>
      </c>
      <c r="C1430" t="str">
        <f>IFERROR(__xludf.DUMMYFUNCTION("""COMPUTED_VALUE"""),"CRUZ PEREYRA, ANA VICTORIA")</f>
        <v>CRUZ PEREYRA, ANA VICTORIA</v>
      </c>
      <c r="D1430" t="str">
        <f>IFERROR(__xludf.DUMMYFUNCTION("""COMPUTED_VALUE"""),"Sociales 7A")</f>
        <v>Sociales 7A</v>
      </c>
      <c r="E1430" s="31">
        <f>IFERROR(__xludf.DUMMYFUNCTION("""COMPUTED_VALUE"""),1.0)</f>
        <v>1</v>
      </c>
      <c r="F1430" s="8">
        <v>1.0</v>
      </c>
      <c r="G1430" s="8">
        <v>1.0</v>
      </c>
      <c r="H1430" s="8">
        <v>1.0</v>
      </c>
      <c r="I1430" s="8">
        <v>1.0</v>
      </c>
      <c r="J1430" s="8">
        <v>1.0</v>
      </c>
      <c r="K1430" s="8">
        <v>1.0</v>
      </c>
      <c r="L1430" s="8">
        <v>6.0</v>
      </c>
      <c r="M1430" s="8"/>
      <c r="N1430" s="8"/>
      <c r="O1430" s="8" t="s">
        <v>761</v>
      </c>
      <c r="P1430" s="8" t="e">
        <v>#N/A</v>
      </c>
    </row>
    <row r="1431">
      <c r="A1431">
        <f>IFERROR(__xludf.DUMMYFUNCTION("""COMPUTED_VALUE"""),7.0)</f>
        <v>7</v>
      </c>
      <c r="B1431">
        <f>IFERROR(__xludf.DUMMYFUNCTION("""COMPUTED_VALUE"""),30033.0)</f>
        <v>30033</v>
      </c>
      <c r="C1431" t="str">
        <f>IFERROR(__xludf.DUMMYFUNCTION("""COMPUTED_VALUE"""),"CUARTAS VILLEGAS, ELIAS")</f>
        <v>CUARTAS VILLEGAS, ELIAS</v>
      </c>
      <c r="D1431" t="str">
        <f>IFERROR(__xludf.DUMMYFUNCTION("""COMPUTED_VALUE"""),"Sociales 7")</f>
        <v>Sociales 7</v>
      </c>
      <c r="E1431" s="31">
        <f>IFERROR(__xludf.DUMMYFUNCTION("""COMPUTED_VALUE"""),5.0)</f>
        <v>5</v>
      </c>
      <c r="F1431" s="8">
        <v>1.0</v>
      </c>
      <c r="G1431" s="8">
        <v>1.0</v>
      </c>
      <c r="H1431" s="8">
        <v>1.0</v>
      </c>
      <c r="I1431" s="8">
        <v>1.0</v>
      </c>
      <c r="J1431" s="8">
        <v>1.0</v>
      </c>
      <c r="K1431" s="8">
        <v>1.0</v>
      </c>
      <c r="L1431" s="8">
        <v>6.0</v>
      </c>
      <c r="M1431" s="8"/>
      <c r="N1431" s="8"/>
      <c r="O1431" s="8" t="s">
        <v>763</v>
      </c>
      <c r="P1431" s="8">
        <v>9.0</v>
      </c>
    </row>
    <row r="1432">
      <c r="A1432">
        <f>IFERROR(__xludf.DUMMYFUNCTION("""COMPUTED_VALUE"""),7.0)</f>
        <v>7</v>
      </c>
      <c r="B1432">
        <f>IFERROR(__xludf.DUMMYFUNCTION("""COMPUTED_VALUE"""),30034.0)</f>
        <v>30034</v>
      </c>
      <c r="C1432" t="str">
        <f>IFERROR(__xludf.DUMMYFUNCTION("""COMPUTED_VALUE"""),"CUERVO HINESTROSA, MARTIN")</f>
        <v>CUERVO HINESTROSA, MARTIN</v>
      </c>
      <c r="D1432" t="str">
        <f>IFERROR(__xludf.DUMMYFUNCTION("""COMPUTED_VALUE"""),"Sociales 7")</f>
        <v>Sociales 7</v>
      </c>
      <c r="E1432" s="31">
        <f>IFERROR(__xludf.DUMMYFUNCTION("""COMPUTED_VALUE"""),1.0)</f>
        <v>1</v>
      </c>
      <c r="F1432" s="8">
        <v>1.0</v>
      </c>
      <c r="G1432" s="8">
        <v>1.0</v>
      </c>
      <c r="H1432" s="8">
        <v>1.0</v>
      </c>
      <c r="I1432" s="8">
        <v>1.0</v>
      </c>
      <c r="J1432" s="8">
        <v>1.0</v>
      </c>
      <c r="K1432" s="8">
        <v>1.0</v>
      </c>
      <c r="L1432" s="8">
        <v>6.0</v>
      </c>
      <c r="M1432" s="8"/>
      <c r="N1432" s="8"/>
      <c r="O1432" s="8" t="s">
        <v>759</v>
      </c>
      <c r="P1432" s="8">
        <v>9.0</v>
      </c>
    </row>
    <row r="1433">
      <c r="A1433">
        <f>IFERROR(__xludf.DUMMYFUNCTION("""COMPUTED_VALUE"""),7.0)</f>
        <v>7</v>
      </c>
      <c r="B1433">
        <f>IFERROR(__xludf.DUMMYFUNCTION("""COMPUTED_VALUE"""),30137.0)</f>
        <v>30137</v>
      </c>
      <c r="C1433" t="str">
        <f>IFERROR(__xludf.DUMMYFUNCTION("""COMPUTED_VALUE"""),"DA SILVA ABATEPAULO, IAN")</f>
        <v>DA SILVA ABATEPAULO, IAN</v>
      </c>
      <c r="D1433" t="str">
        <f>IFERROR(__xludf.DUMMYFUNCTION("""COMPUTED_VALUE"""),"Sociales 7")</f>
        <v>Sociales 7</v>
      </c>
      <c r="E1433" s="31">
        <f>IFERROR(__xludf.DUMMYFUNCTION("""COMPUTED_VALUE"""),3.0)</f>
        <v>3</v>
      </c>
      <c r="F1433" s="8">
        <v>1.0</v>
      </c>
      <c r="G1433" s="8">
        <v>1.0</v>
      </c>
      <c r="H1433" s="8">
        <v>1.0</v>
      </c>
      <c r="I1433" s="8">
        <v>1.0</v>
      </c>
      <c r="J1433" s="8">
        <v>1.0</v>
      </c>
      <c r="K1433" s="8">
        <v>1.0</v>
      </c>
      <c r="L1433" s="8">
        <v>6.0</v>
      </c>
      <c r="M1433" s="8"/>
      <c r="N1433" s="8"/>
      <c r="O1433" s="8" t="s">
        <v>760</v>
      </c>
      <c r="P1433" s="8">
        <v>9.0</v>
      </c>
    </row>
    <row r="1434">
      <c r="A1434">
        <f>IFERROR(__xludf.DUMMYFUNCTION("""COMPUTED_VALUE"""),7.0)</f>
        <v>7</v>
      </c>
      <c r="B1434">
        <f>IFERROR(__xludf.DUMMYFUNCTION("""COMPUTED_VALUE"""),30036.0)</f>
        <v>30036</v>
      </c>
      <c r="C1434" t="str">
        <f>IFERROR(__xludf.DUMMYFUNCTION("""COMPUTED_VALUE"""),"DUQUE OCHOA, PABLO")</f>
        <v>DUQUE OCHOA, PABLO</v>
      </c>
      <c r="D1434" t="str">
        <f>IFERROR(__xludf.DUMMYFUNCTION("""COMPUTED_VALUE"""),"Sociales 7A")</f>
        <v>Sociales 7A</v>
      </c>
      <c r="E1434" s="31">
        <f>IFERROR(__xludf.DUMMYFUNCTION("""COMPUTED_VALUE"""),1.0)</f>
        <v>1</v>
      </c>
      <c r="F1434" s="8">
        <v>1.0</v>
      </c>
      <c r="G1434" s="8">
        <v>1.0</v>
      </c>
      <c r="H1434" s="8">
        <v>1.0</v>
      </c>
      <c r="I1434" s="8">
        <v>1.0</v>
      </c>
      <c r="J1434" s="8">
        <v>1.0</v>
      </c>
      <c r="K1434" s="8">
        <v>1.0</v>
      </c>
      <c r="L1434" s="8">
        <v>6.0</v>
      </c>
      <c r="M1434" s="8"/>
      <c r="N1434" s="8"/>
      <c r="O1434" s="8" t="s">
        <v>761</v>
      </c>
      <c r="P1434" s="8" t="e">
        <v>#N/A</v>
      </c>
    </row>
    <row r="1435">
      <c r="A1435">
        <f>IFERROR(__xludf.DUMMYFUNCTION("""COMPUTED_VALUE"""),7.0)</f>
        <v>7</v>
      </c>
      <c r="B1435">
        <f>IFERROR(__xludf.DUMMYFUNCTION("""COMPUTED_VALUE"""),30037.0)</f>
        <v>30037</v>
      </c>
      <c r="C1435" t="str">
        <f>IFERROR(__xludf.DUMMYFUNCTION("""COMPUTED_VALUE"""),"DUQUE ZAPATA, SAMUEL")</f>
        <v>DUQUE ZAPATA, SAMUEL</v>
      </c>
      <c r="D1435" t="str">
        <f>IFERROR(__xludf.DUMMYFUNCTION("""COMPUTED_VALUE"""),"Sociales 7")</f>
        <v>Sociales 7</v>
      </c>
      <c r="E1435" s="31">
        <f>IFERROR(__xludf.DUMMYFUNCTION("""COMPUTED_VALUE"""),5.0)</f>
        <v>5</v>
      </c>
      <c r="F1435" s="8">
        <v>1.0</v>
      </c>
      <c r="G1435" s="8">
        <v>1.0</v>
      </c>
      <c r="H1435" s="8">
        <v>1.0</v>
      </c>
      <c r="I1435" s="8">
        <v>1.0</v>
      </c>
      <c r="J1435" s="8">
        <v>1.0</v>
      </c>
      <c r="K1435" s="8">
        <v>1.0</v>
      </c>
      <c r="L1435" s="8">
        <v>6.0</v>
      </c>
      <c r="M1435" s="8"/>
      <c r="N1435" s="8"/>
      <c r="O1435" s="8" t="s">
        <v>763</v>
      </c>
      <c r="P1435" s="8">
        <v>9.0</v>
      </c>
    </row>
    <row r="1436">
      <c r="A1436">
        <f>IFERROR(__xludf.DUMMYFUNCTION("""COMPUTED_VALUE"""),7.0)</f>
        <v>7</v>
      </c>
      <c r="B1436">
        <f>IFERROR(__xludf.DUMMYFUNCTION("""COMPUTED_VALUE"""),30038.0)</f>
        <v>30038</v>
      </c>
      <c r="C1436" t="str">
        <f>IFERROR(__xludf.DUMMYFUNCTION("""COMPUTED_VALUE"""),"ESCANDON LIBOS, AMELIA")</f>
        <v>ESCANDON LIBOS, AMELIA</v>
      </c>
      <c r="D1436" t="str">
        <f>IFERROR(__xludf.DUMMYFUNCTION("""COMPUTED_VALUE"""),"Sociales 7")</f>
        <v>Sociales 7</v>
      </c>
      <c r="E1436" s="31">
        <f>IFERROR(__xludf.DUMMYFUNCTION("""COMPUTED_VALUE"""),2.0)</f>
        <v>2</v>
      </c>
      <c r="F1436" s="8">
        <v>1.0</v>
      </c>
      <c r="G1436" s="8">
        <v>1.0</v>
      </c>
      <c r="H1436" s="8">
        <v>1.0</v>
      </c>
      <c r="I1436" s="8">
        <v>1.0</v>
      </c>
      <c r="J1436" s="8">
        <v>1.0</v>
      </c>
      <c r="K1436" s="8">
        <v>1.0</v>
      </c>
      <c r="L1436" s="8">
        <v>6.0</v>
      </c>
      <c r="M1436" s="8"/>
      <c r="N1436" s="8"/>
      <c r="O1436" s="8" t="s">
        <v>764</v>
      </c>
      <c r="P1436" s="8">
        <v>9.0</v>
      </c>
    </row>
    <row r="1437">
      <c r="A1437">
        <f>IFERROR(__xludf.DUMMYFUNCTION("""COMPUTED_VALUE"""),7.0)</f>
        <v>7</v>
      </c>
      <c r="B1437">
        <f>IFERROR(__xludf.DUMMYFUNCTION("""COMPUTED_VALUE"""),30039.0)</f>
        <v>30039</v>
      </c>
      <c r="C1437" t="str">
        <f>IFERROR(__xludf.DUMMYFUNCTION("""COMPUTED_VALUE"""),"ESCOBAR CASTAÑO, ALICIA")</f>
        <v>ESCOBAR CASTAÑO, ALICIA</v>
      </c>
      <c r="D1437" t="str">
        <f>IFERROR(__xludf.DUMMYFUNCTION("""COMPUTED_VALUE"""),"Sociales 7A")</f>
        <v>Sociales 7A</v>
      </c>
      <c r="E1437" s="31">
        <f>IFERROR(__xludf.DUMMYFUNCTION("""COMPUTED_VALUE"""),5.0)</f>
        <v>5</v>
      </c>
      <c r="F1437" s="8">
        <v>1.0</v>
      </c>
      <c r="G1437" s="8">
        <v>1.0</v>
      </c>
      <c r="H1437" s="8">
        <v>1.0</v>
      </c>
      <c r="I1437" s="8">
        <v>1.0</v>
      </c>
      <c r="J1437" s="8">
        <v>1.0</v>
      </c>
      <c r="K1437" s="8">
        <v>1.0</v>
      </c>
      <c r="L1437" s="8">
        <v>6.0</v>
      </c>
      <c r="M1437" s="8"/>
      <c r="N1437" s="8"/>
      <c r="O1437" s="8" t="s">
        <v>762</v>
      </c>
      <c r="P1437" s="8" t="e">
        <v>#N/A</v>
      </c>
    </row>
    <row r="1438">
      <c r="A1438">
        <f>IFERROR(__xludf.DUMMYFUNCTION("""COMPUTED_VALUE"""),7.0)</f>
        <v>7</v>
      </c>
      <c r="B1438">
        <f>IFERROR(__xludf.DUMMYFUNCTION("""COMPUTED_VALUE"""),30040.0)</f>
        <v>30040</v>
      </c>
      <c r="C1438" t="str">
        <f>IFERROR(__xludf.DUMMYFUNCTION("""COMPUTED_VALUE"""),"ESCOBEDO DRAVIGNEY, ZOE")</f>
        <v>ESCOBEDO DRAVIGNEY, ZOE</v>
      </c>
      <c r="D1438" t="str">
        <f>IFERROR(__xludf.DUMMYFUNCTION("""COMPUTED_VALUE"""),"Sociales 7")</f>
        <v>Sociales 7</v>
      </c>
      <c r="E1438" s="31">
        <f>IFERROR(__xludf.DUMMYFUNCTION("""COMPUTED_VALUE"""),3.0)</f>
        <v>3</v>
      </c>
      <c r="F1438" s="8">
        <v>1.0</v>
      </c>
      <c r="G1438" s="8">
        <v>1.0</v>
      </c>
      <c r="H1438" s="8">
        <v>1.0</v>
      </c>
      <c r="I1438" s="8">
        <v>1.0</v>
      </c>
      <c r="J1438" s="8">
        <v>1.0</v>
      </c>
      <c r="K1438" s="8">
        <v>1.0</v>
      </c>
      <c r="L1438" s="8">
        <v>6.0</v>
      </c>
      <c r="M1438" s="8"/>
      <c r="N1438" s="8"/>
      <c r="O1438" s="8" t="s">
        <v>760</v>
      </c>
      <c r="P1438" s="8">
        <v>9.0</v>
      </c>
    </row>
    <row r="1439">
      <c r="A1439">
        <f>IFERROR(__xludf.DUMMYFUNCTION("""COMPUTED_VALUE"""),7.0)</f>
        <v>7</v>
      </c>
      <c r="B1439">
        <f>IFERROR(__xludf.DUMMYFUNCTION("""COMPUTED_VALUE"""),30042.0)</f>
        <v>30042</v>
      </c>
      <c r="C1439" t="str">
        <f>IFERROR(__xludf.DUMMYFUNCTION("""COMPUTED_VALUE"""),"ESTELA NARANJO, JOSE MARIA")</f>
        <v>ESTELA NARANJO, JOSE MARIA</v>
      </c>
      <c r="D1439" t="str">
        <f>IFERROR(__xludf.DUMMYFUNCTION("""COMPUTED_VALUE"""),"Sociales 7")</f>
        <v>Sociales 7</v>
      </c>
      <c r="E1439" s="31">
        <f>IFERROR(__xludf.DUMMYFUNCTION("""COMPUTED_VALUE"""),2.0)</f>
        <v>2</v>
      </c>
      <c r="F1439" s="8">
        <v>1.0</v>
      </c>
      <c r="G1439" s="8">
        <v>1.0</v>
      </c>
      <c r="H1439" s="8">
        <v>1.0</v>
      </c>
      <c r="I1439" s="8">
        <v>1.0</v>
      </c>
      <c r="J1439" s="8">
        <v>1.0</v>
      </c>
      <c r="K1439" s="8">
        <v>1.0</v>
      </c>
      <c r="L1439" s="8">
        <v>6.0</v>
      </c>
      <c r="M1439" s="8"/>
      <c r="N1439" s="8"/>
      <c r="O1439" s="8" t="s">
        <v>764</v>
      </c>
      <c r="P1439" s="8">
        <v>9.0</v>
      </c>
    </row>
    <row r="1440">
      <c r="A1440">
        <f>IFERROR(__xludf.DUMMYFUNCTION("""COMPUTED_VALUE"""),7.0)</f>
        <v>7</v>
      </c>
      <c r="B1440">
        <f>IFERROR(__xludf.DUMMYFUNCTION("""COMPUTED_VALUE"""),30043.0)</f>
        <v>30043</v>
      </c>
      <c r="C1440" t="str">
        <f>IFERROR(__xludf.DUMMYFUNCTION("""COMPUTED_VALUE"""),"FERNANDEZ RAMIREZ, SANTIAGO")</f>
        <v>FERNANDEZ RAMIREZ, SANTIAGO</v>
      </c>
      <c r="D1440" t="str">
        <f>IFERROR(__xludf.DUMMYFUNCTION("""COMPUTED_VALUE"""),"Sociales 7")</f>
        <v>Sociales 7</v>
      </c>
      <c r="E1440" s="31">
        <f>IFERROR(__xludf.DUMMYFUNCTION("""COMPUTED_VALUE"""),5.0)</f>
        <v>5</v>
      </c>
      <c r="F1440" s="8">
        <v>1.0</v>
      </c>
      <c r="G1440" s="8">
        <v>1.0</v>
      </c>
      <c r="H1440" s="8">
        <v>1.0</v>
      </c>
      <c r="I1440" s="8">
        <v>1.0</v>
      </c>
      <c r="J1440" s="8">
        <v>1.0</v>
      </c>
      <c r="K1440" s="8">
        <v>1.0</v>
      </c>
      <c r="L1440" s="8">
        <v>6.0</v>
      </c>
      <c r="M1440" s="8"/>
      <c r="N1440" s="8"/>
      <c r="O1440" s="8" t="s">
        <v>763</v>
      </c>
      <c r="P1440" s="8">
        <v>9.0</v>
      </c>
    </row>
    <row r="1441">
      <c r="A1441">
        <f>IFERROR(__xludf.DUMMYFUNCTION("""COMPUTED_VALUE"""),7.0)</f>
        <v>7</v>
      </c>
      <c r="B1441">
        <f>IFERROR(__xludf.DUMMYFUNCTION("""COMPUTED_VALUE"""),30045.0)</f>
        <v>30045</v>
      </c>
      <c r="C1441" t="str">
        <f>IFERROR(__xludf.DUMMYFUNCTION("""COMPUTED_VALUE"""),"GALVEZ ATEHORTUA, LAURA")</f>
        <v>GALVEZ ATEHORTUA, LAURA</v>
      </c>
      <c r="D1441" t="str">
        <f>IFERROR(__xludf.DUMMYFUNCTION("""COMPUTED_VALUE"""),"Sociales 7")</f>
        <v>Sociales 7</v>
      </c>
      <c r="E1441" s="31">
        <f>IFERROR(__xludf.DUMMYFUNCTION("""COMPUTED_VALUE"""),1.0)</f>
        <v>1</v>
      </c>
      <c r="F1441" s="8">
        <v>1.0</v>
      </c>
      <c r="G1441" s="8">
        <v>1.0</v>
      </c>
      <c r="H1441" s="8">
        <v>1.0</v>
      </c>
      <c r="I1441" s="8">
        <v>1.0</v>
      </c>
      <c r="J1441" s="8">
        <v>1.0</v>
      </c>
      <c r="K1441" s="8">
        <v>1.0</v>
      </c>
      <c r="L1441" s="8">
        <v>6.0</v>
      </c>
      <c r="M1441" s="8"/>
      <c r="N1441" s="8"/>
      <c r="O1441" s="8" t="s">
        <v>759</v>
      </c>
      <c r="P1441" s="8">
        <v>9.0</v>
      </c>
    </row>
    <row r="1442">
      <c r="A1442">
        <f>IFERROR(__xludf.DUMMYFUNCTION("""COMPUTED_VALUE"""),7.0)</f>
        <v>7</v>
      </c>
      <c r="B1442">
        <f>IFERROR(__xludf.DUMMYFUNCTION("""COMPUTED_VALUE"""),30139.0)</f>
        <v>30139</v>
      </c>
      <c r="C1442" t="str">
        <f>IFERROR(__xludf.DUMMYFUNCTION("""COMPUTED_VALUE"""),"GARCIA RESTREPO, MATIAS")</f>
        <v>GARCIA RESTREPO, MATIAS</v>
      </c>
      <c r="D1442" t="str">
        <f>IFERROR(__xludf.DUMMYFUNCTION("""COMPUTED_VALUE"""),"Sociales 7A")</f>
        <v>Sociales 7A</v>
      </c>
      <c r="E1442" s="31">
        <f>IFERROR(__xludf.DUMMYFUNCTION("""COMPUTED_VALUE"""),1.0)</f>
        <v>1</v>
      </c>
      <c r="F1442" s="8">
        <v>1.0</v>
      </c>
      <c r="G1442" s="8">
        <v>1.0</v>
      </c>
      <c r="H1442" s="8">
        <v>1.0</v>
      </c>
      <c r="I1442" s="8">
        <v>1.0</v>
      </c>
      <c r="J1442" s="8">
        <v>1.0</v>
      </c>
      <c r="K1442" s="8">
        <v>1.0</v>
      </c>
      <c r="L1442" s="8">
        <v>6.0</v>
      </c>
      <c r="M1442" s="8"/>
      <c r="N1442" s="8"/>
      <c r="O1442" s="8" t="s">
        <v>761</v>
      </c>
      <c r="P1442" s="8" t="e">
        <v>#N/A</v>
      </c>
    </row>
    <row r="1443">
      <c r="A1443">
        <f>IFERROR(__xludf.DUMMYFUNCTION("""COMPUTED_VALUE"""),7.0)</f>
        <v>7</v>
      </c>
      <c r="B1443">
        <f>IFERROR(__xludf.DUMMYFUNCTION("""COMPUTED_VALUE"""),30046.0)</f>
        <v>30046</v>
      </c>
      <c r="C1443" t="str">
        <f>IFERROR(__xludf.DUMMYFUNCTION("""COMPUTED_VALUE"""),"GARCIA RIVERA, MARTIN")</f>
        <v>GARCIA RIVERA, MARTIN</v>
      </c>
      <c r="D1443" t="str">
        <f>IFERROR(__xludf.DUMMYFUNCTION("""COMPUTED_VALUE"""),"Sociales 7")</f>
        <v>Sociales 7</v>
      </c>
      <c r="E1443" s="31">
        <f>IFERROR(__xludf.DUMMYFUNCTION("""COMPUTED_VALUE"""),3.0)</f>
        <v>3</v>
      </c>
      <c r="F1443" s="8">
        <v>1.0</v>
      </c>
      <c r="G1443" s="8">
        <v>1.0</v>
      </c>
      <c r="H1443" s="8">
        <v>1.0</v>
      </c>
      <c r="I1443" s="8">
        <v>1.0</v>
      </c>
      <c r="J1443" s="8">
        <v>1.0</v>
      </c>
      <c r="K1443" s="8">
        <v>1.0</v>
      </c>
      <c r="L1443" s="8">
        <v>6.0</v>
      </c>
      <c r="M1443" s="8"/>
      <c r="N1443" s="8"/>
      <c r="O1443" s="8" t="s">
        <v>760</v>
      </c>
      <c r="P1443" s="8">
        <v>9.0</v>
      </c>
    </row>
    <row r="1444">
      <c r="A1444">
        <f>IFERROR(__xludf.DUMMYFUNCTION("""COMPUTED_VALUE"""),7.0)</f>
        <v>7</v>
      </c>
      <c r="B1444">
        <f>IFERROR(__xludf.DUMMYFUNCTION("""COMPUTED_VALUE"""),30047.0)</f>
        <v>30047</v>
      </c>
      <c r="C1444" t="str">
        <f>IFERROR(__xludf.DUMMYFUNCTION("""COMPUTED_VALUE"""),"GAVIRIA ISAZA, CAMILO")</f>
        <v>GAVIRIA ISAZA, CAMILO</v>
      </c>
      <c r="D1444" t="str">
        <f>IFERROR(__xludf.DUMMYFUNCTION("""COMPUTED_VALUE"""),"Sociales 7")</f>
        <v>Sociales 7</v>
      </c>
      <c r="E1444" s="31">
        <f>IFERROR(__xludf.DUMMYFUNCTION("""COMPUTED_VALUE"""),1.0)</f>
        <v>1</v>
      </c>
      <c r="F1444" s="8">
        <v>1.0</v>
      </c>
      <c r="G1444" s="8">
        <v>1.0</v>
      </c>
      <c r="H1444" s="8">
        <v>1.0</v>
      </c>
      <c r="I1444" s="8">
        <v>1.0</v>
      </c>
      <c r="J1444" s="8">
        <v>1.0</v>
      </c>
      <c r="K1444" s="8">
        <v>1.0</v>
      </c>
      <c r="L1444" s="8">
        <v>6.0</v>
      </c>
      <c r="M1444" s="8"/>
      <c r="N1444" s="8"/>
      <c r="O1444" s="8" t="s">
        <v>759</v>
      </c>
      <c r="P1444" s="8">
        <v>9.0</v>
      </c>
    </row>
    <row r="1445">
      <c r="A1445">
        <f>IFERROR(__xludf.DUMMYFUNCTION("""COMPUTED_VALUE"""),7.0)</f>
        <v>7</v>
      </c>
      <c r="B1445">
        <f>IFERROR(__xludf.DUMMYFUNCTION("""COMPUTED_VALUE"""),30048.0)</f>
        <v>30048</v>
      </c>
      <c r="C1445" t="str">
        <f>IFERROR(__xludf.DUMMYFUNCTION("""COMPUTED_VALUE"""),"GAVIRIA OLAYA, AMALIA")</f>
        <v>GAVIRIA OLAYA, AMALIA</v>
      </c>
      <c r="D1445" t="str">
        <f>IFERROR(__xludf.DUMMYFUNCTION("""COMPUTED_VALUE"""),"Sociales 7A")</f>
        <v>Sociales 7A</v>
      </c>
      <c r="E1445" s="31">
        <f>IFERROR(__xludf.DUMMYFUNCTION("""COMPUTED_VALUE"""),1.0)</f>
        <v>1</v>
      </c>
      <c r="F1445" s="8">
        <v>1.0</v>
      </c>
      <c r="G1445" s="8">
        <v>1.0</v>
      </c>
      <c r="H1445" s="8">
        <v>1.0</v>
      </c>
      <c r="I1445" s="8">
        <v>1.0</v>
      </c>
      <c r="J1445" s="8">
        <v>1.0</v>
      </c>
      <c r="K1445" s="8">
        <v>1.0</v>
      </c>
      <c r="L1445" s="8">
        <v>6.0</v>
      </c>
      <c r="M1445" s="8"/>
      <c r="N1445" s="8"/>
      <c r="O1445" s="8" t="s">
        <v>761</v>
      </c>
      <c r="P1445" s="8" t="e">
        <v>#N/A</v>
      </c>
    </row>
    <row r="1446">
      <c r="A1446">
        <f>IFERROR(__xludf.DUMMYFUNCTION("""COMPUTED_VALUE"""),7.0)</f>
        <v>7</v>
      </c>
      <c r="B1446">
        <f>IFERROR(__xludf.DUMMYFUNCTION("""COMPUTED_VALUE"""),30146.0)</f>
        <v>30146</v>
      </c>
      <c r="C1446" t="str">
        <f>IFERROR(__xludf.DUMMYFUNCTION("""COMPUTED_VALUE"""),"GIRALDO MONTOYA, EMMA")</f>
        <v>GIRALDO MONTOYA, EMMA</v>
      </c>
      <c r="D1446" t="str">
        <f>IFERROR(__xludf.DUMMYFUNCTION("""COMPUTED_VALUE"""),"Sociales 7A")</f>
        <v>Sociales 7A</v>
      </c>
      <c r="E1446" s="31">
        <f>IFERROR(__xludf.DUMMYFUNCTION("""COMPUTED_VALUE"""),5.0)</f>
        <v>5</v>
      </c>
      <c r="F1446" s="8">
        <v>1.0</v>
      </c>
      <c r="G1446" s="8">
        <v>1.0</v>
      </c>
      <c r="H1446" s="8">
        <v>1.0</v>
      </c>
      <c r="I1446" s="8">
        <v>1.0</v>
      </c>
      <c r="J1446" s="8">
        <v>1.0</v>
      </c>
      <c r="K1446" s="8">
        <v>1.0</v>
      </c>
      <c r="L1446" s="8">
        <v>6.0</v>
      </c>
      <c r="M1446" s="8"/>
      <c r="N1446" s="8"/>
      <c r="O1446" s="8" t="s">
        <v>762</v>
      </c>
      <c r="P1446" s="8" t="e">
        <v>#N/A</v>
      </c>
    </row>
    <row r="1447">
      <c r="A1447">
        <f>IFERROR(__xludf.DUMMYFUNCTION("""COMPUTED_VALUE"""),7.0)</f>
        <v>7</v>
      </c>
      <c r="B1447">
        <f>IFERROR(__xludf.DUMMYFUNCTION("""COMPUTED_VALUE"""),30049.0)</f>
        <v>30049</v>
      </c>
      <c r="C1447" t="str">
        <f>IFERROR(__xludf.DUMMYFUNCTION("""COMPUTED_VALUE"""),"GOMEZ RAMIREZ, JOAQUIN")</f>
        <v>GOMEZ RAMIREZ, JOAQUIN</v>
      </c>
      <c r="D1447" t="str">
        <f>IFERROR(__xludf.DUMMYFUNCTION("""COMPUTED_VALUE"""),"Sociales 7")</f>
        <v>Sociales 7</v>
      </c>
      <c r="E1447" s="31">
        <f>IFERROR(__xludf.DUMMYFUNCTION("""COMPUTED_VALUE"""),5.0)</f>
        <v>5</v>
      </c>
      <c r="F1447" s="8">
        <v>1.0</v>
      </c>
      <c r="G1447" s="8">
        <v>1.0</v>
      </c>
      <c r="H1447" s="8">
        <v>1.0</v>
      </c>
      <c r="I1447" s="8">
        <v>1.0</v>
      </c>
      <c r="J1447" s="8">
        <v>1.0</v>
      </c>
      <c r="K1447" s="8">
        <v>1.0</v>
      </c>
      <c r="L1447" s="8">
        <v>6.0</v>
      </c>
      <c r="M1447" s="8"/>
      <c r="N1447" s="8"/>
      <c r="O1447" s="8" t="s">
        <v>763</v>
      </c>
      <c r="P1447" s="8">
        <v>9.0</v>
      </c>
    </row>
    <row r="1448">
      <c r="A1448">
        <f>IFERROR(__xludf.DUMMYFUNCTION("""COMPUTED_VALUE"""),7.0)</f>
        <v>7</v>
      </c>
      <c r="B1448">
        <f>IFERROR(__xludf.DUMMYFUNCTION("""COMPUTED_VALUE"""),30050.0)</f>
        <v>30050</v>
      </c>
      <c r="C1448" t="str">
        <f>IFERROR(__xludf.DUMMYFUNCTION("""COMPUTED_VALUE"""),"GOMEZ TORRES, AMALIA")</f>
        <v>GOMEZ TORRES, AMALIA</v>
      </c>
      <c r="D1448" t="str">
        <f>IFERROR(__xludf.DUMMYFUNCTION("""COMPUTED_VALUE"""),"Sociales 7")</f>
        <v>Sociales 7</v>
      </c>
      <c r="E1448" s="31">
        <f>IFERROR(__xludf.DUMMYFUNCTION("""COMPUTED_VALUE"""),2.0)</f>
        <v>2</v>
      </c>
      <c r="F1448" s="8">
        <v>1.0</v>
      </c>
      <c r="G1448" s="8">
        <v>1.0</v>
      </c>
      <c r="H1448" s="8">
        <v>1.0</v>
      </c>
      <c r="I1448" s="8">
        <v>1.0</v>
      </c>
      <c r="J1448" s="8">
        <v>1.0</v>
      </c>
      <c r="K1448" s="8">
        <v>1.0</v>
      </c>
      <c r="L1448" s="8">
        <v>6.0</v>
      </c>
      <c r="M1448" s="8"/>
      <c r="N1448" s="8"/>
      <c r="O1448" s="8" t="s">
        <v>764</v>
      </c>
      <c r="P1448" s="8">
        <v>9.0</v>
      </c>
    </row>
    <row r="1449">
      <c r="A1449">
        <f>IFERROR(__xludf.DUMMYFUNCTION("""COMPUTED_VALUE"""),7.0)</f>
        <v>7</v>
      </c>
      <c r="B1449">
        <f>IFERROR(__xludf.DUMMYFUNCTION("""COMPUTED_VALUE"""),30051.0)</f>
        <v>30051</v>
      </c>
      <c r="C1449" t="str">
        <f>IFERROR(__xludf.DUMMYFUNCTION("""COMPUTED_VALUE"""),"GONZALEZ MONSALVE, JULIETA")</f>
        <v>GONZALEZ MONSALVE, JULIETA</v>
      </c>
      <c r="D1449" t="str">
        <f>IFERROR(__xludf.DUMMYFUNCTION("""COMPUTED_VALUE"""),"Sociales 7")</f>
        <v>Sociales 7</v>
      </c>
      <c r="E1449" s="31">
        <f>IFERROR(__xludf.DUMMYFUNCTION("""COMPUTED_VALUE"""),3.0)</f>
        <v>3</v>
      </c>
      <c r="F1449" s="8">
        <v>1.0</v>
      </c>
      <c r="G1449" s="8">
        <v>1.0</v>
      </c>
      <c r="H1449" s="8">
        <v>1.0</v>
      </c>
      <c r="I1449" s="8">
        <v>1.0</v>
      </c>
      <c r="J1449" s="8">
        <v>1.0</v>
      </c>
      <c r="K1449" s="8">
        <v>1.0</v>
      </c>
      <c r="L1449" s="8">
        <v>6.0</v>
      </c>
      <c r="M1449" s="8"/>
      <c r="N1449" s="8"/>
      <c r="O1449" s="8" t="s">
        <v>760</v>
      </c>
      <c r="P1449" s="8">
        <v>9.0</v>
      </c>
    </row>
    <row r="1450">
      <c r="A1450">
        <f>IFERROR(__xludf.DUMMYFUNCTION("""COMPUTED_VALUE"""),7.0)</f>
        <v>7</v>
      </c>
      <c r="B1450">
        <f>IFERROR(__xludf.DUMMYFUNCTION("""COMPUTED_VALUE"""),30052.0)</f>
        <v>30052</v>
      </c>
      <c r="C1450" t="str">
        <f>IFERROR(__xludf.DUMMYFUNCTION("""COMPUTED_VALUE"""),"GONZALEZ TORRES, SEBASTIAN")</f>
        <v>GONZALEZ TORRES, SEBASTIAN</v>
      </c>
      <c r="D1450" t="str">
        <f>IFERROR(__xludf.DUMMYFUNCTION("""COMPUTED_VALUE"""),"Sociales 7")</f>
        <v>Sociales 7</v>
      </c>
      <c r="E1450" s="31">
        <f>IFERROR(__xludf.DUMMYFUNCTION("""COMPUTED_VALUE"""),1.0)</f>
        <v>1</v>
      </c>
      <c r="F1450" s="8">
        <v>1.0</v>
      </c>
      <c r="G1450" s="8">
        <v>1.0</v>
      </c>
      <c r="H1450" s="8">
        <v>1.0</v>
      </c>
      <c r="I1450" s="8">
        <v>1.0</v>
      </c>
      <c r="J1450" s="8">
        <v>1.0</v>
      </c>
      <c r="K1450" s="8">
        <v>1.0</v>
      </c>
      <c r="L1450" s="8">
        <v>6.0</v>
      </c>
      <c r="M1450" s="8"/>
      <c r="N1450" s="8"/>
      <c r="O1450" s="8" t="s">
        <v>759</v>
      </c>
      <c r="P1450" s="8">
        <v>9.0</v>
      </c>
    </row>
    <row r="1451">
      <c r="A1451">
        <f>IFERROR(__xludf.DUMMYFUNCTION("""COMPUTED_VALUE"""),7.0)</f>
        <v>7</v>
      </c>
      <c r="B1451">
        <f>IFERROR(__xludf.DUMMYFUNCTION("""COMPUTED_VALUE"""),30053.0)</f>
        <v>30053</v>
      </c>
      <c r="C1451" t="str">
        <f>IFERROR(__xludf.DUMMYFUNCTION("""COMPUTED_VALUE"""),"GONZALEZ TRABOULSI, MATIAS")</f>
        <v>GONZALEZ TRABOULSI, MATIAS</v>
      </c>
      <c r="D1451" t="str">
        <f>IFERROR(__xludf.DUMMYFUNCTION("""COMPUTED_VALUE"""),"Sociales 7A")</f>
        <v>Sociales 7A</v>
      </c>
      <c r="E1451" s="31">
        <f>IFERROR(__xludf.DUMMYFUNCTION("""COMPUTED_VALUE"""),5.0)</f>
        <v>5</v>
      </c>
      <c r="F1451" s="8">
        <v>1.0</v>
      </c>
      <c r="G1451" s="8">
        <v>1.0</v>
      </c>
      <c r="H1451" s="8">
        <v>1.0</v>
      </c>
      <c r="I1451" s="8">
        <v>1.0</v>
      </c>
      <c r="J1451" s="8">
        <v>1.0</v>
      </c>
      <c r="K1451" s="8">
        <v>1.0</v>
      </c>
      <c r="L1451" s="8">
        <v>6.0</v>
      </c>
      <c r="M1451" s="8"/>
      <c r="N1451" s="8"/>
      <c r="O1451" s="8" t="s">
        <v>762</v>
      </c>
      <c r="P1451" s="8" t="e">
        <v>#N/A</v>
      </c>
    </row>
    <row r="1452">
      <c r="A1452">
        <f>IFERROR(__xludf.DUMMYFUNCTION("""COMPUTED_VALUE"""),7.0)</f>
        <v>7</v>
      </c>
      <c r="B1452">
        <f>IFERROR(__xludf.DUMMYFUNCTION("""COMPUTED_VALUE"""),30054.0)</f>
        <v>30054</v>
      </c>
      <c r="C1452" t="str">
        <f>IFERROR(__xludf.DUMMYFUNCTION("""COMPUTED_VALUE"""),"GRISALES PINEDA, ELISA")</f>
        <v>GRISALES PINEDA, ELISA</v>
      </c>
      <c r="D1452" t="str">
        <f>IFERROR(__xludf.DUMMYFUNCTION("""COMPUTED_VALUE"""),"Sociales 7A")</f>
        <v>Sociales 7A</v>
      </c>
      <c r="E1452" s="31">
        <f>IFERROR(__xludf.DUMMYFUNCTION("""COMPUTED_VALUE"""),1.0)</f>
        <v>1</v>
      </c>
      <c r="F1452" s="8">
        <v>1.0</v>
      </c>
      <c r="G1452" s="8">
        <v>1.0</v>
      </c>
      <c r="H1452" s="8">
        <v>1.0</v>
      </c>
      <c r="I1452" s="8">
        <v>1.0</v>
      </c>
      <c r="J1452" s="8">
        <v>1.0</v>
      </c>
      <c r="K1452" s="8">
        <v>1.0</v>
      </c>
      <c r="L1452" s="8">
        <v>6.0</v>
      </c>
      <c r="M1452" s="8"/>
      <c r="N1452" s="8"/>
      <c r="O1452" s="8" t="s">
        <v>761</v>
      </c>
      <c r="P1452" s="8" t="e">
        <v>#N/A</v>
      </c>
    </row>
    <row r="1453">
      <c r="A1453">
        <f>IFERROR(__xludf.DUMMYFUNCTION("""COMPUTED_VALUE"""),7.0)</f>
        <v>7</v>
      </c>
      <c r="B1453">
        <f>IFERROR(__xludf.DUMMYFUNCTION("""COMPUTED_VALUE"""),30055.0)</f>
        <v>30055</v>
      </c>
      <c r="C1453" t="str">
        <f>IFERROR(__xludf.DUMMYFUNCTION("""COMPUTED_VALUE"""),"GUERRERO JARAMILLO, CAMILA")</f>
        <v>GUERRERO JARAMILLO, CAMILA</v>
      </c>
      <c r="D1453" t="str">
        <f>IFERROR(__xludf.DUMMYFUNCTION("""COMPUTED_VALUE"""),"Sociales 7")</f>
        <v>Sociales 7</v>
      </c>
      <c r="E1453" s="31">
        <f>IFERROR(__xludf.DUMMYFUNCTION("""COMPUTED_VALUE"""),2.0)</f>
        <v>2</v>
      </c>
      <c r="F1453" s="8">
        <v>1.0</v>
      </c>
      <c r="G1453" s="8">
        <v>1.0</v>
      </c>
      <c r="H1453" s="8">
        <v>1.0</v>
      </c>
      <c r="I1453" s="8">
        <v>1.0</v>
      </c>
      <c r="J1453" s="8">
        <v>1.0</v>
      </c>
      <c r="K1453" s="8">
        <v>1.0</v>
      </c>
      <c r="L1453" s="8">
        <v>6.0</v>
      </c>
      <c r="M1453" s="8"/>
      <c r="N1453" s="8"/>
      <c r="O1453" s="8" t="s">
        <v>764</v>
      </c>
      <c r="P1453" s="8">
        <v>9.0</v>
      </c>
    </row>
    <row r="1454">
      <c r="A1454">
        <f>IFERROR(__xludf.DUMMYFUNCTION("""COMPUTED_VALUE"""),7.0)</f>
        <v>7</v>
      </c>
      <c r="B1454">
        <f>IFERROR(__xludf.DUMMYFUNCTION("""COMPUTED_VALUE"""),30056.0)</f>
        <v>30056</v>
      </c>
      <c r="C1454" t="str">
        <f>IFERROR(__xludf.DUMMYFUNCTION("""COMPUTED_VALUE"""),"GUTIERREZ CARVAJAL, VIOLETA")</f>
        <v>GUTIERREZ CARVAJAL, VIOLETA</v>
      </c>
      <c r="D1454" t="str">
        <f>IFERROR(__xludf.DUMMYFUNCTION("""COMPUTED_VALUE"""),"Sociales 7")</f>
        <v>Sociales 7</v>
      </c>
      <c r="E1454" s="31">
        <f>IFERROR(__xludf.DUMMYFUNCTION("""COMPUTED_VALUE"""),3.0)</f>
        <v>3</v>
      </c>
      <c r="F1454" s="8">
        <v>1.0</v>
      </c>
      <c r="G1454" s="8">
        <v>1.0</v>
      </c>
      <c r="H1454" s="8">
        <v>1.0</v>
      </c>
      <c r="I1454" s="8">
        <v>1.0</v>
      </c>
      <c r="J1454" s="8">
        <v>1.0</v>
      </c>
      <c r="K1454" s="8">
        <v>1.0</v>
      </c>
      <c r="L1454" s="8">
        <v>6.0</v>
      </c>
      <c r="M1454" s="8"/>
      <c r="N1454" s="8"/>
      <c r="O1454" s="8" t="s">
        <v>760</v>
      </c>
      <c r="P1454" s="8">
        <v>9.0</v>
      </c>
    </row>
    <row r="1455">
      <c r="A1455">
        <f>IFERROR(__xludf.DUMMYFUNCTION("""COMPUTED_VALUE"""),7.0)</f>
        <v>7</v>
      </c>
      <c r="B1455">
        <f>IFERROR(__xludf.DUMMYFUNCTION("""COMPUTED_VALUE"""),30057.0)</f>
        <v>30057</v>
      </c>
      <c r="C1455" t="str">
        <f>IFERROR(__xludf.DUMMYFUNCTION("""COMPUTED_VALUE"""),"GUTIERREZ OCAMPO, ISABELA")</f>
        <v>GUTIERREZ OCAMPO, ISABELA</v>
      </c>
      <c r="D1455" t="str">
        <f>IFERROR(__xludf.DUMMYFUNCTION("""COMPUTED_VALUE"""),"Sociales 7A")</f>
        <v>Sociales 7A</v>
      </c>
      <c r="E1455" s="31">
        <f>IFERROR(__xludf.DUMMYFUNCTION("""COMPUTED_VALUE"""),5.0)</f>
        <v>5</v>
      </c>
      <c r="F1455" s="8">
        <v>1.0</v>
      </c>
      <c r="G1455" s="8">
        <v>1.0</v>
      </c>
      <c r="H1455" s="8">
        <v>1.0</v>
      </c>
      <c r="I1455" s="8">
        <v>1.0</v>
      </c>
      <c r="J1455" s="8">
        <v>1.0</v>
      </c>
      <c r="K1455" s="8">
        <v>1.0</v>
      </c>
      <c r="L1455" s="8">
        <v>6.0</v>
      </c>
      <c r="M1455" s="8"/>
      <c r="N1455" s="8"/>
      <c r="O1455" s="8" t="s">
        <v>762</v>
      </c>
      <c r="P1455" s="8" t="e">
        <v>#N/A</v>
      </c>
    </row>
    <row r="1456">
      <c r="A1456">
        <f>IFERROR(__xludf.DUMMYFUNCTION("""COMPUTED_VALUE"""),7.0)</f>
        <v>7</v>
      </c>
      <c r="B1456">
        <f>IFERROR(__xludf.DUMMYFUNCTION("""COMPUTED_VALUE"""),30058.0)</f>
        <v>30058</v>
      </c>
      <c r="C1456" t="str">
        <f>IFERROR(__xludf.DUMMYFUNCTION("""COMPUTED_VALUE"""),"GUZMAN FRANCO, SEBASTIAN")</f>
        <v>GUZMAN FRANCO, SEBASTIAN</v>
      </c>
      <c r="D1456" t="str">
        <f>IFERROR(__xludf.DUMMYFUNCTION("""COMPUTED_VALUE"""),"Sociales 7")</f>
        <v>Sociales 7</v>
      </c>
      <c r="E1456" s="31">
        <f>IFERROR(__xludf.DUMMYFUNCTION("""COMPUTED_VALUE"""),2.0)</f>
        <v>2</v>
      </c>
      <c r="F1456" s="8">
        <v>1.0</v>
      </c>
      <c r="G1456" s="8">
        <v>1.0</v>
      </c>
      <c r="H1456" s="8">
        <v>1.0</v>
      </c>
      <c r="I1456" s="8">
        <v>1.0</v>
      </c>
      <c r="J1456" s="8">
        <v>1.0</v>
      </c>
      <c r="K1456" s="8">
        <v>1.0</v>
      </c>
      <c r="L1456" s="8">
        <v>6.0</v>
      </c>
      <c r="M1456" s="8"/>
      <c r="N1456" s="8"/>
      <c r="O1456" s="8" t="s">
        <v>764</v>
      </c>
      <c r="P1456" s="8">
        <v>9.0</v>
      </c>
    </row>
    <row r="1457">
      <c r="A1457">
        <f>IFERROR(__xludf.DUMMYFUNCTION("""COMPUTED_VALUE"""),7.0)</f>
        <v>7</v>
      </c>
      <c r="B1457">
        <f>IFERROR(__xludf.DUMMYFUNCTION("""COMPUTED_VALUE"""),30059.0)</f>
        <v>30059</v>
      </c>
      <c r="C1457" t="str">
        <f>IFERROR(__xludf.DUMMYFUNCTION("""COMPUTED_VALUE"""),"HALABY NAVARRO, MARCO")</f>
        <v>HALABY NAVARRO, MARCO</v>
      </c>
      <c r="D1457" t="str">
        <f>IFERROR(__xludf.DUMMYFUNCTION("""COMPUTED_VALUE"""),"Sociales 7")</f>
        <v>Sociales 7</v>
      </c>
      <c r="E1457" s="31">
        <f>IFERROR(__xludf.DUMMYFUNCTION("""COMPUTED_VALUE"""),1.0)</f>
        <v>1</v>
      </c>
      <c r="F1457" s="8">
        <v>1.0</v>
      </c>
      <c r="G1457" s="8">
        <v>1.0</v>
      </c>
      <c r="H1457" s="8">
        <v>1.0</v>
      </c>
      <c r="I1457" s="8">
        <v>1.0</v>
      </c>
      <c r="J1457" s="8">
        <v>1.0</v>
      </c>
      <c r="K1457" s="8">
        <v>1.0</v>
      </c>
      <c r="L1457" s="8">
        <v>6.0</v>
      </c>
      <c r="M1457" s="8"/>
      <c r="N1457" s="8"/>
      <c r="O1457" s="8" t="s">
        <v>759</v>
      </c>
      <c r="P1457" s="8">
        <v>9.0</v>
      </c>
    </row>
    <row r="1458">
      <c r="A1458">
        <f>IFERROR(__xludf.DUMMYFUNCTION("""COMPUTED_VALUE"""),7.0)</f>
        <v>7</v>
      </c>
      <c r="B1458">
        <f>IFERROR(__xludf.DUMMYFUNCTION("""COMPUTED_VALUE"""),30166.0)</f>
        <v>30166</v>
      </c>
      <c r="C1458" t="str">
        <f>IFERROR(__xludf.DUMMYFUNCTION("""COMPUTED_VALUE"""),"HERNANDEZ GOMEZ, EMILIA")</f>
        <v>HERNANDEZ GOMEZ, EMILIA</v>
      </c>
      <c r="D1458" t="str">
        <f>IFERROR(__xludf.DUMMYFUNCTION("""COMPUTED_VALUE"""),"Sociales 7A")</f>
        <v>Sociales 7A</v>
      </c>
      <c r="E1458" s="31">
        <f>IFERROR(__xludf.DUMMYFUNCTION("""COMPUTED_VALUE"""),1.0)</f>
        <v>1</v>
      </c>
      <c r="F1458" s="8">
        <v>1.0</v>
      </c>
      <c r="G1458" s="8">
        <v>1.0</v>
      </c>
      <c r="H1458" s="8">
        <v>1.0</v>
      </c>
      <c r="I1458" s="8">
        <v>1.0</v>
      </c>
      <c r="J1458" s="8">
        <v>1.0</v>
      </c>
      <c r="K1458" s="8">
        <v>1.0</v>
      </c>
      <c r="L1458" s="8">
        <v>6.0</v>
      </c>
      <c r="M1458" s="8"/>
      <c r="N1458" s="8"/>
      <c r="O1458" s="8" t="s">
        <v>761</v>
      </c>
      <c r="P1458" s="8" t="e">
        <v>#N/A</v>
      </c>
    </row>
    <row r="1459">
      <c r="A1459">
        <f>IFERROR(__xludf.DUMMYFUNCTION("""COMPUTED_VALUE"""),7.0)</f>
        <v>7</v>
      </c>
      <c r="B1459">
        <f>IFERROR(__xludf.DUMMYFUNCTION("""COMPUTED_VALUE"""),30062.0)</f>
        <v>30062</v>
      </c>
      <c r="C1459" t="str">
        <f>IFERROR(__xludf.DUMMYFUNCTION("""COMPUTED_VALUE"""),"HURTADO FAJARDO, VALERIA")</f>
        <v>HURTADO FAJARDO, VALERIA</v>
      </c>
      <c r="D1459" t="str">
        <f>IFERROR(__xludf.DUMMYFUNCTION("""COMPUTED_VALUE"""),"Sociales 7")</f>
        <v>Sociales 7</v>
      </c>
      <c r="E1459" s="31">
        <f>IFERROR(__xludf.DUMMYFUNCTION("""COMPUTED_VALUE"""),3.0)</f>
        <v>3</v>
      </c>
      <c r="F1459" s="8">
        <v>1.0</v>
      </c>
      <c r="G1459" s="8">
        <v>1.0</v>
      </c>
      <c r="H1459" s="8">
        <v>1.0</v>
      </c>
      <c r="I1459" s="8">
        <v>1.0</v>
      </c>
      <c r="J1459" s="8">
        <v>1.0</v>
      </c>
      <c r="K1459" s="8">
        <v>1.0</v>
      </c>
      <c r="L1459" s="8">
        <v>6.0</v>
      </c>
      <c r="M1459" s="8"/>
      <c r="N1459" s="8"/>
      <c r="O1459" s="8" t="s">
        <v>760</v>
      </c>
      <c r="P1459" s="8">
        <v>9.0</v>
      </c>
    </row>
    <row r="1460">
      <c r="A1460">
        <f>IFERROR(__xludf.DUMMYFUNCTION("""COMPUTED_VALUE"""),7.0)</f>
        <v>7</v>
      </c>
      <c r="B1460">
        <f>IFERROR(__xludf.DUMMYFUNCTION("""COMPUTED_VALUE"""),30064.0)</f>
        <v>30064</v>
      </c>
      <c r="C1460" t="str">
        <f>IFERROR(__xludf.DUMMYFUNCTION("""COMPUTED_VALUE"""),"JARAMILLO ARBELAEZ, TOMAS")</f>
        <v>JARAMILLO ARBELAEZ, TOMAS</v>
      </c>
      <c r="D1460" t="str">
        <f>IFERROR(__xludf.DUMMYFUNCTION("""COMPUTED_VALUE"""),"Sociales 7")</f>
        <v>Sociales 7</v>
      </c>
      <c r="E1460" s="31">
        <f>IFERROR(__xludf.DUMMYFUNCTION("""COMPUTED_VALUE"""),5.0)</f>
        <v>5</v>
      </c>
      <c r="F1460" s="8">
        <v>1.0</v>
      </c>
      <c r="G1460" s="8">
        <v>1.0</v>
      </c>
      <c r="H1460" s="8">
        <v>1.0</v>
      </c>
      <c r="I1460" s="8">
        <v>1.0</v>
      </c>
      <c r="J1460" s="8">
        <v>1.0</v>
      </c>
      <c r="K1460" s="8">
        <v>1.0</v>
      </c>
      <c r="L1460" s="8">
        <v>6.0</v>
      </c>
      <c r="M1460" s="8"/>
      <c r="N1460" s="8"/>
      <c r="O1460" s="8" t="s">
        <v>763</v>
      </c>
      <c r="P1460" s="8">
        <v>9.0</v>
      </c>
    </row>
    <row r="1461">
      <c r="A1461">
        <f>IFERROR(__xludf.DUMMYFUNCTION("""COMPUTED_VALUE"""),7.0)</f>
        <v>7</v>
      </c>
      <c r="B1461">
        <f>IFERROR(__xludf.DUMMYFUNCTION("""COMPUTED_VALUE"""),30065.0)</f>
        <v>30065</v>
      </c>
      <c r="C1461" t="str">
        <f>IFERROR(__xludf.DUMMYFUNCTION("""COMPUTED_VALUE"""),"JARAMILLO MORA, CARMEN")</f>
        <v>JARAMILLO MORA, CARMEN</v>
      </c>
      <c r="D1461" t="str">
        <f>IFERROR(__xludf.DUMMYFUNCTION("""COMPUTED_VALUE"""),"Sociales 7")</f>
        <v>Sociales 7</v>
      </c>
      <c r="E1461" s="31">
        <f>IFERROR(__xludf.DUMMYFUNCTION("""COMPUTED_VALUE"""),1.0)</f>
        <v>1</v>
      </c>
      <c r="F1461" s="8">
        <v>1.0</v>
      </c>
      <c r="G1461" s="8">
        <v>1.0</v>
      </c>
      <c r="H1461" s="8">
        <v>1.0</v>
      </c>
      <c r="I1461" s="8">
        <v>1.0</v>
      </c>
      <c r="J1461" s="8">
        <v>1.0</v>
      </c>
      <c r="K1461" s="8">
        <v>1.0</v>
      </c>
      <c r="L1461" s="8">
        <v>6.0</v>
      </c>
      <c r="M1461" s="8"/>
      <c r="N1461" s="8"/>
      <c r="O1461" s="8" t="s">
        <v>759</v>
      </c>
      <c r="P1461" s="8">
        <v>9.0</v>
      </c>
    </row>
    <row r="1462">
      <c r="A1462">
        <f>IFERROR(__xludf.DUMMYFUNCTION("""COMPUTED_VALUE"""),7.0)</f>
        <v>7</v>
      </c>
      <c r="B1462">
        <f>IFERROR(__xludf.DUMMYFUNCTION("""COMPUTED_VALUE"""),30066.0)</f>
        <v>30066</v>
      </c>
      <c r="C1462" t="str">
        <f>IFERROR(__xludf.DUMMYFUNCTION("""COMPUTED_VALUE"""),"JARAMILLO PEÑA, MIGUEL ANTONIO")</f>
        <v>JARAMILLO PEÑA, MIGUEL ANTONIO</v>
      </c>
      <c r="D1462" t="str">
        <f>IFERROR(__xludf.DUMMYFUNCTION("""COMPUTED_VALUE"""),"Sociales 7A")</f>
        <v>Sociales 7A</v>
      </c>
      <c r="E1462" s="31">
        <f>IFERROR(__xludf.DUMMYFUNCTION("""COMPUTED_VALUE"""),1.0)</f>
        <v>1</v>
      </c>
      <c r="F1462" s="8">
        <v>1.0</v>
      </c>
      <c r="G1462" s="8">
        <v>1.0</v>
      </c>
      <c r="H1462" s="8">
        <v>1.0</v>
      </c>
      <c r="I1462" s="8">
        <v>1.0</v>
      </c>
      <c r="J1462" s="8">
        <v>1.0</v>
      </c>
      <c r="K1462" s="8">
        <v>1.0</v>
      </c>
      <c r="L1462" s="8">
        <v>6.0</v>
      </c>
      <c r="M1462" s="8"/>
      <c r="N1462" s="8"/>
      <c r="O1462" s="8" t="s">
        <v>761</v>
      </c>
      <c r="P1462" s="8" t="e">
        <v>#N/A</v>
      </c>
    </row>
    <row r="1463">
      <c r="A1463">
        <f>IFERROR(__xludf.DUMMYFUNCTION("""COMPUTED_VALUE"""),7.0)</f>
        <v>7</v>
      </c>
      <c r="B1463">
        <f>IFERROR(__xludf.DUMMYFUNCTION("""COMPUTED_VALUE"""),30148.0)</f>
        <v>30148</v>
      </c>
      <c r="C1463" t="str">
        <f>IFERROR(__xludf.DUMMYFUNCTION("""COMPUTED_VALUE"""),"JARAMILLO VELASQUEZ, FEDERICO")</f>
        <v>JARAMILLO VELASQUEZ, FEDERICO</v>
      </c>
      <c r="D1463" t="str">
        <f>IFERROR(__xludf.DUMMYFUNCTION("""COMPUTED_VALUE"""),"Sociales 7A")</f>
        <v>Sociales 7A</v>
      </c>
      <c r="E1463" s="31">
        <f>IFERROR(__xludf.DUMMYFUNCTION("""COMPUTED_VALUE"""),5.0)</f>
        <v>5</v>
      </c>
      <c r="F1463" s="8">
        <v>1.0</v>
      </c>
      <c r="G1463" s="8">
        <v>1.0</v>
      </c>
      <c r="H1463" s="8">
        <v>1.0</v>
      </c>
      <c r="I1463" s="8">
        <v>1.0</v>
      </c>
      <c r="J1463" s="8">
        <v>1.0</v>
      </c>
      <c r="K1463" s="8">
        <v>1.0</v>
      </c>
      <c r="L1463" s="8">
        <v>6.0</v>
      </c>
      <c r="M1463" s="8"/>
      <c r="N1463" s="8"/>
      <c r="O1463" s="8" t="s">
        <v>762</v>
      </c>
      <c r="P1463" s="8" t="e">
        <v>#N/A</v>
      </c>
    </row>
    <row r="1464">
      <c r="A1464">
        <f>IFERROR(__xludf.DUMMYFUNCTION("""COMPUTED_VALUE"""),7.0)</f>
        <v>7</v>
      </c>
      <c r="B1464">
        <f>IFERROR(__xludf.DUMMYFUNCTION("""COMPUTED_VALUE"""),30068.0)</f>
        <v>30068</v>
      </c>
      <c r="C1464" t="str">
        <f>IFERROR(__xludf.DUMMYFUNCTION("""COMPUTED_VALUE"""),"LIBREROS ZULUAGA, JOSHUA")</f>
        <v>LIBREROS ZULUAGA, JOSHUA</v>
      </c>
      <c r="D1464" t="str">
        <f>IFERROR(__xludf.DUMMYFUNCTION("""COMPUTED_VALUE"""),"Sociales 7")</f>
        <v>Sociales 7</v>
      </c>
      <c r="E1464" s="31">
        <f>IFERROR(__xludf.DUMMYFUNCTION("""COMPUTED_VALUE"""),3.0)</f>
        <v>3</v>
      </c>
      <c r="F1464" s="8">
        <v>1.0</v>
      </c>
      <c r="G1464" s="8">
        <v>1.0</v>
      </c>
      <c r="H1464" s="8">
        <v>1.0</v>
      </c>
      <c r="I1464" s="8">
        <v>1.0</v>
      </c>
      <c r="J1464" s="8">
        <v>1.0</v>
      </c>
      <c r="K1464" s="8">
        <v>1.0</v>
      </c>
      <c r="L1464" s="8">
        <v>6.0</v>
      </c>
      <c r="M1464" s="8"/>
      <c r="N1464" s="8"/>
      <c r="O1464" s="8" t="s">
        <v>760</v>
      </c>
      <c r="P1464" s="8">
        <v>9.0</v>
      </c>
    </row>
    <row r="1465">
      <c r="A1465">
        <f>IFERROR(__xludf.DUMMYFUNCTION("""COMPUTED_VALUE"""),7.0)</f>
        <v>7</v>
      </c>
      <c r="B1465">
        <f>IFERROR(__xludf.DUMMYFUNCTION("""COMPUTED_VALUE"""),30069.0)</f>
        <v>30069</v>
      </c>
      <c r="C1465" t="str">
        <f>IFERROR(__xludf.DUMMYFUNCTION("""COMPUTED_VALUE"""),"LLANO PIEDRAHITA, TOMAS")</f>
        <v>LLANO PIEDRAHITA, TOMAS</v>
      </c>
      <c r="D1465" t="str">
        <f>IFERROR(__xludf.DUMMYFUNCTION("""COMPUTED_VALUE"""),"Sociales 7")</f>
        <v>Sociales 7</v>
      </c>
      <c r="E1465" s="31">
        <f>IFERROR(__xludf.DUMMYFUNCTION("""COMPUTED_VALUE"""),1.0)</f>
        <v>1</v>
      </c>
      <c r="F1465" s="8">
        <v>1.0</v>
      </c>
      <c r="G1465" s="8">
        <v>1.0</v>
      </c>
      <c r="H1465" s="8">
        <v>1.0</v>
      </c>
      <c r="I1465" s="8">
        <v>1.0</v>
      </c>
      <c r="J1465" s="8">
        <v>1.0</v>
      </c>
      <c r="K1465" s="8">
        <v>1.0</v>
      </c>
      <c r="L1465" s="8">
        <v>6.0</v>
      </c>
      <c r="M1465" s="8"/>
      <c r="N1465" s="8"/>
      <c r="O1465" s="8" t="s">
        <v>759</v>
      </c>
      <c r="P1465" s="8">
        <v>9.0</v>
      </c>
    </row>
    <row r="1466">
      <c r="A1466">
        <f>IFERROR(__xludf.DUMMYFUNCTION("""COMPUTED_VALUE"""),7.0)</f>
        <v>7</v>
      </c>
      <c r="B1466">
        <f>IFERROR(__xludf.DUMMYFUNCTION("""COMPUTED_VALUE"""),30070.0)</f>
        <v>30070</v>
      </c>
      <c r="C1466" t="str">
        <f>IFERROR(__xludf.DUMMYFUNCTION("""COMPUTED_VALUE"""),"LONDOÑO CUARTAS, PABLO")</f>
        <v>LONDOÑO CUARTAS, PABLO</v>
      </c>
      <c r="D1466" t="str">
        <f>IFERROR(__xludf.DUMMYFUNCTION("""COMPUTED_VALUE"""),"Sociales 7A")</f>
        <v>Sociales 7A</v>
      </c>
      <c r="E1466" s="31">
        <f>IFERROR(__xludf.DUMMYFUNCTION("""COMPUTED_VALUE"""),1.0)</f>
        <v>1</v>
      </c>
      <c r="F1466" s="8">
        <v>1.0</v>
      </c>
      <c r="G1466" s="8">
        <v>1.0</v>
      </c>
      <c r="H1466" s="8">
        <v>1.0</v>
      </c>
      <c r="I1466" s="8">
        <v>1.0</v>
      </c>
      <c r="J1466" s="8">
        <v>1.0</v>
      </c>
      <c r="K1466" s="8">
        <v>1.0</v>
      </c>
      <c r="L1466" s="8">
        <v>6.0</v>
      </c>
      <c r="M1466" s="8"/>
      <c r="N1466" s="8"/>
      <c r="O1466" s="8" t="s">
        <v>761</v>
      </c>
      <c r="P1466" s="8" t="e">
        <v>#N/A</v>
      </c>
    </row>
    <row r="1467">
      <c r="A1467">
        <f>IFERROR(__xludf.DUMMYFUNCTION("""COMPUTED_VALUE"""),7.0)</f>
        <v>7</v>
      </c>
      <c r="B1467">
        <f>IFERROR(__xludf.DUMMYFUNCTION("""COMPUTED_VALUE"""),30155.0)</f>
        <v>30155</v>
      </c>
      <c r="C1467" t="str">
        <f>IFERROR(__xludf.DUMMYFUNCTION("""COMPUTED_VALUE"""),"LONDOÑO JARAMILLO, MARIANO")</f>
        <v>LONDOÑO JARAMILLO, MARIANO</v>
      </c>
      <c r="D1467" t="str">
        <f>IFERROR(__xludf.DUMMYFUNCTION("""COMPUTED_VALUE"""),"Sociales 7")</f>
        <v>Sociales 7</v>
      </c>
      <c r="E1467" s="31">
        <f>IFERROR(__xludf.DUMMYFUNCTION("""COMPUTED_VALUE"""),5.0)</f>
        <v>5</v>
      </c>
      <c r="F1467" s="8">
        <v>1.0</v>
      </c>
      <c r="G1467" s="8">
        <v>1.0</v>
      </c>
      <c r="H1467" s="8">
        <v>1.0</v>
      </c>
      <c r="I1467" s="8">
        <v>1.0</v>
      </c>
      <c r="J1467" s="8">
        <v>1.0</v>
      </c>
      <c r="K1467" s="8">
        <v>1.0</v>
      </c>
      <c r="L1467" s="8">
        <v>6.0</v>
      </c>
      <c r="M1467" s="8"/>
      <c r="N1467" s="8"/>
      <c r="O1467" s="8" t="s">
        <v>763</v>
      </c>
      <c r="P1467" s="8">
        <v>9.0</v>
      </c>
    </row>
    <row r="1468">
      <c r="A1468">
        <f>IFERROR(__xludf.DUMMYFUNCTION("""COMPUTED_VALUE"""),7.0)</f>
        <v>7</v>
      </c>
      <c r="B1468">
        <f>IFERROR(__xludf.DUMMYFUNCTION("""COMPUTED_VALUE"""),30072.0)</f>
        <v>30072</v>
      </c>
      <c r="C1468" t="str">
        <f>IFERROR(__xludf.DUMMYFUNCTION("""COMPUTED_VALUE"""),"LOZANO NAVARRO, GREGORIO")</f>
        <v>LOZANO NAVARRO, GREGORIO</v>
      </c>
      <c r="D1468" t="str">
        <f>IFERROR(__xludf.DUMMYFUNCTION("""COMPUTED_VALUE"""),"Sociales 7")</f>
        <v>Sociales 7</v>
      </c>
      <c r="E1468" s="31">
        <f>IFERROR(__xludf.DUMMYFUNCTION("""COMPUTED_VALUE"""),3.0)</f>
        <v>3</v>
      </c>
      <c r="F1468" s="8">
        <v>1.0</v>
      </c>
      <c r="G1468" s="8">
        <v>1.0</v>
      </c>
      <c r="H1468" s="8">
        <v>1.0</v>
      </c>
      <c r="I1468" s="8">
        <v>1.0</v>
      </c>
      <c r="J1468" s="8">
        <v>1.0</v>
      </c>
      <c r="K1468" s="8">
        <v>1.0</v>
      </c>
      <c r="L1468" s="8">
        <v>6.0</v>
      </c>
      <c r="M1468" s="8"/>
      <c r="N1468" s="8"/>
      <c r="O1468" s="8" t="s">
        <v>760</v>
      </c>
      <c r="P1468" s="8">
        <v>9.0</v>
      </c>
    </row>
    <row r="1469">
      <c r="A1469">
        <f>IFERROR(__xludf.DUMMYFUNCTION("""COMPUTED_VALUE"""),7.0)</f>
        <v>7</v>
      </c>
      <c r="B1469">
        <f>IFERROR(__xludf.DUMMYFUNCTION("""COMPUTED_VALUE"""),30074.0)</f>
        <v>30074</v>
      </c>
      <c r="C1469" t="str">
        <f>IFERROR(__xludf.DUMMYFUNCTION("""COMPUTED_VALUE"""),"MACIA TORO, ALICIA")</f>
        <v>MACIA TORO, ALICIA</v>
      </c>
      <c r="D1469" t="str">
        <f>IFERROR(__xludf.DUMMYFUNCTION("""COMPUTED_VALUE"""),"Sociales 7")</f>
        <v>Sociales 7</v>
      </c>
      <c r="E1469" s="31">
        <f>IFERROR(__xludf.DUMMYFUNCTION("""COMPUTED_VALUE"""),1.0)</f>
        <v>1</v>
      </c>
      <c r="F1469" s="8">
        <v>1.0</v>
      </c>
      <c r="G1469" s="8">
        <v>1.0</v>
      </c>
      <c r="H1469" s="8">
        <v>1.0</v>
      </c>
      <c r="I1469" s="8">
        <v>1.0</v>
      </c>
      <c r="J1469" s="8">
        <v>1.0</v>
      </c>
      <c r="K1469" s="8">
        <v>1.0</v>
      </c>
      <c r="L1469" s="8">
        <v>6.0</v>
      </c>
      <c r="M1469" s="8"/>
      <c r="N1469" s="8"/>
      <c r="O1469" s="8" t="s">
        <v>759</v>
      </c>
      <c r="P1469" s="8">
        <v>9.0</v>
      </c>
    </row>
    <row r="1470">
      <c r="A1470">
        <f>IFERROR(__xludf.DUMMYFUNCTION("""COMPUTED_VALUE"""),7.0)</f>
        <v>7</v>
      </c>
      <c r="B1470">
        <f>IFERROR(__xludf.DUMMYFUNCTION("""COMPUTED_VALUE"""),30075.0)</f>
        <v>30075</v>
      </c>
      <c r="C1470" t="str">
        <f>IFERROR(__xludf.DUMMYFUNCTION("""COMPUTED_VALUE"""),"MANRIQUE CUESTA, VALERIA")</f>
        <v>MANRIQUE CUESTA, VALERIA</v>
      </c>
      <c r="D1470" t="str">
        <f>IFERROR(__xludf.DUMMYFUNCTION("""COMPUTED_VALUE"""),"Sociales 7")</f>
        <v>Sociales 7</v>
      </c>
      <c r="E1470" s="31">
        <f>IFERROR(__xludf.DUMMYFUNCTION("""COMPUTED_VALUE"""),2.0)</f>
        <v>2</v>
      </c>
      <c r="F1470" s="8">
        <v>1.0</v>
      </c>
      <c r="G1470" s="8">
        <v>1.0</v>
      </c>
      <c r="H1470" s="8">
        <v>1.0</v>
      </c>
      <c r="I1470" s="8">
        <v>1.0</v>
      </c>
      <c r="J1470" s="8">
        <v>1.0</v>
      </c>
      <c r="K1470" s="8">
        <v>1.0</v>
      </c>
      <c r="L1470" s="8">
        <v>6.0</v>
      </c>
      <c r="M1470" s="8"/>
      <c r="N1470" s="8"/>
      <c r="O1470" s="8" t="s">
        <v>764</v>
      </c>
      <c r="P1470" s="8">
        <v>9.0</v>
      </c>
    </row>
    <row r="1471">
      <c r="A1471">
        <f>IFERROR(__xludf.DUMMYFUNCTION("""COMPUTED_VALUE"""),7.0)</f>
        <v>7</v>
      </c>
      <c r="B1471">
        <f>IFERROR(__xludf.DUMMYFUNCTION("""COMPUTED_VALUE"""),30076.0)</f>
        <v>30076</v>
      </c>
      <c r="C1471" t="str">
        <f>IFERROR(__xludf.DUMMYFUNCTION("""COMPUTED_VALUE"""),"MARTINEZ OROZCO, GABRIELA")</f>
        <v>MARTINEZ OROZCO, GABRIELA</v>
      </c>
      <c r="D1471" t="str">
        <f>IFERROR(__xludf.DUMMYFUNCTION("""COMPUTED_VALUE"""),"Sociales 7A")</f>
        <v>Sociales 7A</v>
      </c>
      <c r="E1471" s="31">
        <f>IFERROR(__xludf.DUMMYFUNCTION("""COMPUTED_VALUE"""),5.0)</f>
        <v>5</v>
      </c>
      <c r="F1471" s="8">
        <v>1.0</v>
      </c>
      <c r="G1471" s="8">
        <v>1.0</v>
      </c>
      <c r="H1471" s="8">
        <v>1.0</v>
      </c>
      <c r="I1471" s="8">
        <v>1.0</v>
      </c>
      <c r="J1471" s="8">
        <v>1.0</v>
      </c>
      <c r="K1471" s="8">
        <v>1.0</v>
      </c>
      <c r="L1471" s="8">
        <v>6.0</v>
      </c>
      <c r="M1471" s="8"/>
      <c r="N1471" s="8"/>
      <c r="O1471" s="8" t="s">
        <v>762</v>
      </c>
      <c r="P1471" s="8" t="e">
        <v>#N/A</v>
      </c>
    </row>
    <row r="1472">
      <c r="A1472">
        <f>IFERROR(__xludf.DUMMYFUNCTION("""COMPUTED_VALUE"""),7.0)</f>
        <v>7</v>
      </c>
      <c r="B1472">
        <f>IFERROR(__xludf.DUMMYFUNCTION("""COMPUTED_VALUE"""),30077.0)</f>
        <v>30077</v>
      </c>
      <c r="C1472" t="str">
        <f>IFERROR(__xludf.DUMMYFUNCTION("""COMPUTED_VALUE"""),"MC LEAN HIDRON, SIMON")</f>
        <v>MC LEAN HIDRON, SIMON</v>
      </c>
      <c r="D1472" t="str">
        <f>IFERROR(__xludf.DUMMYFUNCTION("""COMPUTED_VALUE"""),"Sociales 7A")</f>
        <v>Sociales 7A</v>
      </c>
      <c r="E1472" s="31">
        <f>IFERROR(__xludf.DUMMYFUNCTION("""COMPUTED_VALUE"""),1.0)</f>
        <v>1</v>
      </c>
      <c r="F1472" s="8">
        <v>1.0</v>
      </c>
      <c r="G1472" s="8">
        <v>1.0</v>
      </c>
      <c r="H1472" s="8">
        <v>1.0</v>
      </c>
      <c r="I1472" s="8">
        <v>1.0</v>
      </c>
      <c r="J1472" s="8">
        <v>1.0</v>
      </c>
      <c r="K1472" s="8">
        <v>1.0</v>
      </c>
      <c r="L1472" s="8">
        <v>6.0</v>
      </c>
      <c r="M1472" s="8"/>
      <c r="N1472" s="8"/>
      <c r="O1472" s="8" t="s">
        <v>761</v>
      </c>
      <c r="P1472" s="8" t="e">
        <v>#N/A</v>
      </c>
    </row>
    <row r="1473">
      <c r="A1473">
        <f>IFERROR(__xludf.DUMMYFUNCTION("""COMPUTED_VALUE"""),7.0)</f>
        <v>7</v>
      </c>
      <c r="B1473">
        <f>IFERROR(__xludf.DUMMYFUNCTION("""COMPUTED_VALUE"""),30174.0)</f>
        <v>30174</v>
      </c>
      <c r="C1473" t="str">
        <f>IFERROR(__xludf.DUMMYFUNCTION("""COMPUTED_VALUE"""),"MEJIA BOTERO, FRANCISCA")</f>
        <v>MEJIA BOTERO, FRANCISCA</v>
      </c>
      <c r="D1473" t="str">
        <f>IFERROR(__xludf.DUMMYFUNCTION("""COMPUTED_VALUE"""),"Sociales 7")</f>
        <v>Sociales 7</v>
      </c>
      <c r="E1473" s="31">
        <f>IFERROR(__xludf.DUMMYFUNCTION("""COMPUTED_VALUE"""),2.0)</f>
        <v>2</v>
      </c>
      <c r="F1473" s="8">
        <v>1.0</v>
      </c>
      <c r="G1473" s="8">
        <v>1.0</v>
      </c>
      <c r="H1473" s="8">
        <v>1.0</v>
      </c>
      <c r="I1473" s="8">
        <v>1.0</v>
      </c>
      <c r="J1473" s="8">
        <v>1.0</v>
      </c>
      <c r="K1473" s="8">
        <v>1.0</v>
      </c>
      <c r="L1473" s="8">
        <v>6.0</v>
      </c>
      <c r="M1473" s="8"/>
      <c r="N1473" s="8"/>
      <c r="O1473" s="8" t="s">
        <v>764</v>
      </c>
      <c r="P1473" s="8">
        <v>9.0</v>
      </c>
    </row>
    <row r="1474">
      <c r="A1474">
        <f>IFERROR(__xludf.DUMMYFUNCTION("""COMPUTED_VALUE"""),7.0)</f>
        <v>7</v>
      </c>
      <c r="B1474">
        <f>IFERROR(__xludf.DUMMYFUNCTION("""COMPUTED_VALUE"""),30078.0)</f>
        <v>30078</v>
      </c>
      <c r="C1474" t="str">
        <f>IFERROR(__xludf.DUMMYFUNCTION("""COMPUTED_VALUE"""),"MESA GARCIA, ISABEL")</f>
        <v>MESA GARCIA, ISABEL</v>
      </c>
      <c r="D1474" t="str">
        <f>IFERROR(__xludf.DUMMYFUNCTION("""COMPUTED_VALUE"""),"Sociales 7A")</f>
        <v>Sociales 7A</v>
      </c>
      <c r="E1474" s="31">
        <f>IFERROR(__xludf.DUMMYFUNCTION("""COMPUTED_VALUE"""),5.0)</f>
        <v>5</v>
      </c>
      <c r="F1474" s="8">
        <v>1.0</v>
      </c>
      <c r="G1474" s="8">
        <v>1.0</v>
      </c>
      <c r="H1474" s="8">
        <v>1.0</v>
      </c>
      <c r="I1474" s="8">
        <v>1.0</v>
      </c>
      <c r="J1474" s="8">
        <v>1.0</v>
      </c>
      <c r="K1474" s="8">
        <v>1.0</v>
      </c>
      <c r="L1474" s="8">
        <v>6.0</v>
      </c>
      <c r="M1474" s="8"/>
      <c r="N1474" s="8"/>
      <c r="O1474" s="8" t="s">
        <v>762</v>
      </c>
      <c r="P1474" s="8" t="e">
        <v>#N/A</v>
      </c>
    </row>
    <row r="1475">
      <c r="A1475">
        <f>IFERROR(__xludf.DUMMYFUNCTION("""COMPUTED_VALUE"""),7.0)</f>
        <v>7</v>
      </c>
      <c r="B1475">
        <f>IFERROR(__xludf.DUMMYFUNCTION("""COMPUTED_VALUE"""),30079.0)</f>
        <v>30079</v>
      </c>
      <c r="C1475" t="str">
        <f>IFERROR(__xludf.DUMMYFUNCTION("""COMPUTED_VALUE"""),"MESA RESTREPO, BRUNO")</f>
        <v>MESA RESTREPO, BRUNO</v>
      </c>
      <c r="D1475" t="str">
        <f>IFERROR(__xludf.DUMMYFUNCTION("""COMPUTED_VALUE"""),"Sociales 7")</f>
        <v>Sociales 7</v>
      </c>
      <c r="E1475" s="31">
        <f>IFERROR(__xludf.DUMMYFUNCTION("""COMPUTED_VALUE"""),5.0)</f>
        <v>5</v>
      </c>
      <c r="F1475" s="8">
        <v>1.0</v>
      </c>
      <c r="G1475" s="8">
        <v>1.0</v>
      </c>
      <c r="H1475" s="8">
        <v>1.0</v>
      </c>
      <c r="I1475" s="8">
        <v>1.0</v>
      </c>
      <c r="J1475" s="8">
        <v>1.0</v>
      </c>
      <c r="K1475" s="8">
        <v>1.0</v>
      </c>
      <c r="L1475" s="8">
        <v>6.0</v>
      </c>
      <c r="M1475" s="8"/>
      <c r="N1475" s="8"/>
      <c r="O1475" s="8" t="s">
        <v>763</v>
      </c>
      <c r="P1475" s="8">
        <v>9.0</v>
      </c>
    </row>
    <row r="1476">
      <c r="A1476">
        <f>IFERROR(__xludf.DUMMYFUNCTION("""COMPUTED_VALUE"""),7.0)</f>
        <v>7</v>
      </c>
      <c r="B1476">
        <f>IFERROR(__xludf.DUMMYFUNCTION("""COMPUTED_VALUE"""),30080.0)</f>
        <v>30080</v>
      </c>
      <c r="C1476" t="str">
        <f>IFERROR(__xludf.DUMMYFUNCTION("""COMPUTED_VALUE"""),"MEZA SUAREZ, NIKOLAI")</f>
        <v>MEZA SUAREZ, NIKOLAI</v>
      </c>
      <c r="D1476" t="str">
        <f>IFERROR(__xludf.DUMMYFUNCTION("""COMPUTED_VALUE"""),"Sociales 7")</f>
        <v>Sociales 7</v>
      </c>
      <c r="E1476" s="31">
        <f>IFERROR(__xludf.DUMMYFUNCTION("""COMPUTED_VALUE"""),2.0)</f>
        <v>2</v>
      </c>
      <c r="F1476" s="8">
        <v>1.0</v>
      </c>
      <c r="G1476" s="8">
        <v>1.0</v>
      </c>
      <c r="H1476" s="8">
        <v>1.0</v>
      </c>
      <c r="I1476" s="8">
        <v>1.0</v>
      </c>
      <c r="J1476" s="8">
        <v>1.0</v>
      </c>
      <c r="K1476" s="8">
        <v>1.0</v>
      </c>
      <c r="L1476" s="8">
        <v>6.0</v>
      </c>
      <c r="M1476" s="8"/>
      <c r="N1476" s="8"/>
      <c r="O1476" s="8" t="s">
        <v>764</v>
      </c>
      <c r="P1476" s="8">
        <v>9.0</v>
      </c>
    </row>
    <row r="1477">
      <c r="A1477">
        <f>IFERROR(__xludf.DUMMYFUNCTION("""COMPUTED_VALUE"""),7.0)</f>
        <v>7</v>
      </c>
      <c r="B1477">
        <f>IFERROR(__xludf.DUMMYFUNCTION("""COMPUTED_VALUE"""),30081.0)</f>
        <v>30081</v>
      </c>
      <c r="C1477" t="str">
        <f>IFERROR(__xludf.DUMMYFUNCTION("""COMPUTED_VALUE"""),"MOLINA HOYOS, AMALIA")</f>
        <v>MOLINA HOYOS, AMALIA</v>
      </c>
      <c r="D1477" t="str">
        <f>IFERROR(__xludf.DUMMYFUNCTION("""COMPUTED_VALUE"""),"Sociales 7")</f>
        <v>Sociales 7</v>
      </c>
      <c r="E1477" s="31">
        <f>IFERROR(__xludf.DUMMYFUNCTION("""COMPUTED_VALUE"""),3.0)</f>
        <v>3</v>
      </c>
      <c r="F1477" s="8">
        <v>1.0</v>
      </c>
      <c r="G1477" s="8">
        <v>1.0</v>
      </c>
      <c r="H1477" s="8">
        <v>1.0</v>
      </c>
      <c r="I1477" s="8">
        <v>1.0</v>
      </c>
      <c r="J1477" s="8">
        <v>1.0</v>
      </c>
      <c r="K1477" s="8">
        <v>1.0</v>
      </c>
      <c r="L1477" s="8">
        <v>6.0</v>
      </c>
      <c r="M1477" s="8"/>
      <c r="N1477" s="8"/>
      <c r="O1477" s="8" t="s">
        <v>760</v>
      </c>
      <c r="P1477" s="8">
        <v>9.0</v>
      </c>
    </row>
    <row r="1478">
      <c r="A1478">
        <f>IFERROR(__xludf.DUMMYFUNCTION("""COMPUTED_VALUE"""),7.0)</f>
        <v>7</v>
      </c>
      <c r="B1478">
        <f>IFERROR(__xludf.DUMMYFUNCTION("""COMPUTED_VALUE"""),30082.0)</f>
        <v>30082</v>
      </c>
      <c r="C1478" t="str">
        <f>IFERROR(__xludf.DUMMYFUNCTION("""COMPUTED_VALUE"""),"MONSALVE HOYOS, JUAN JOSE")</f>
        <v>MONSALVE HOYOS, JUAN JOSE</v>
      </c>
      <c r="D1478" t="str">
        <f>IFERROR(__xludf.DUMMYFUNCTION("""COMPUTED_VALUE"""),"Sociales 7")</f>
        <v>Sociales 7</v>
      </c>
      <c r="E1478" s="31">
        <f>IFERROR(__xludf.DUMMYFUNCTION("""COMPUTED_VALUE"""),1.0)</f>
        <v>1</v>
      </c>
      <c r="F1478" s="8">
        <v>1.0</v>
      </c>
      <c r="G1478" s="8">
        <v>1.0</v>
      </c>
      <c r="H1478" s="8">
        <v>1.0</v>
      </c>
      <c r="I1478" s="8">
        <v>1.0</v>
      </c>
      <c r="J1478" s="8">
        <v>1.0</v>
      </c>
      <c r="K1478" s="8">
        <v>1.0</v>
      </c>
      <c r="L1478" s="8">
        <v>6.0</v>
      </c>
      <c r="M1478" s="8"/>
      <c r="N1478" s="8"/>
      <c r="O1478" s="8" t="s">
        <v>759</v>
      </c>
      <c r="P1478" s="8">
        <v>9.0</v>
      </c>
    </row>
    <row r="1479">
      <c r="A1479">
        <f>IFERROR(__xludf.DUMMYFUNCTION("""COMPUTED_VALUE"""),7.0)</f>
        <v>7</v>
      </c>
      <c r="B1479">
        <f>IFERROR(__xludf.DUMMYFUNCTION("""COMPUTED_VALUE"""),30142.0)</f>
        <v>30142</v>
      </c>
      <c r="C1479" t="str">
        <f>IFERROR(__xludf.DUMMYFUNCTION("""COMPUTED_VALUE"""),"MONTOYA GOMEZ, RAFAELA")</f>
        <v>MONTOYA GOMEZ, RAFAELA</v>
      </c>
      <c r="D1479" t="str">
        <f>IFERROR(__xludf.DUMMYFUNCTION("""COMPUTED_VALUE"""),"Sociales 7A")</f>
        <v>Sociales 7A</v>
      </c>
      <c r="E1479" s="31">
        <f>IFERROR(__xludf.DUMMYFUNCTION("""COMPUTED_VALUE"""),5.0)</f>
        <v>5</v>
      </c>
      <c r="F1479" s="8">
        <v>1.0</v>
      </c>
      <c r="G1479" s="8">
        <v>1.0</v>
      </c>
      <c r="H1479" s="8">
        <v>1.0</v>
      </c>
      <c r="I1479" s="8">
        <v>1.0</v>
      </c>
      <c r="J1479" s="8">
        <v>1.0</v>
      </c>
      <c r="K1479" s="8">
        <v>1.0</v>
      </c>
      <c r="L1479" s="8">
        <v>6.0</v>
      </c>
      <c r="M1479" s="8"/>
      <c r="N1479" s="8"/>
      <c r="O1479" s="8" t="s">
        <v>762</v>
      </c>
      <c r="P1479" s="8" t="e">
        <v>#N/A</v>
      </c>
    </row>
    <row r="1480">
      <c r="A1480">
        <f>IFERROR(__xludf.DUMMYFUNCTION("""COMPUTED_VALUE"""),7.0)</f>
        <v>7</v>
      </c>
      <c r="B1480">
        <f>IFERROR(__xludf.DUMMYFUNCTION("""COMPUTED_VALUE"""),30084.0)</f>
        <v>30084</v>
      </c>
      <c r="C1480" t="str">
        <f>IFERROR(__xludf.DUMMYFUNCTION("""COMPUTED_VALUE"""),"MONTOYA OCHOA, SARA")</f>
        <v>MONTOYA OCHOA, SARA</v>
      </c>
      <c r="D1480" t="str">
        <f>IFERROR(__xludf.DUMMYFUNCTION("""COMPUTED_VALUE"""),"Sociales 7")</f>
        <v>Sociales 7</v>
      </c>
      <c r="E1480" s="31">
        <f>IFERROR(__xludf.DUMMYFUNCTION("""COMPUTED_VALUE"""),2.0)</f>
        <v>2</v>
      </c>
      <c r="F1480" s="8">
        <v>1.0</v>
      </c>
      <c r="G1480" s="8">
        <v>1.0</v>
      </c>
      <c r="H1480" s="8">
        <v>1.0</v>
      </c>
      <c r="I1480" s="8">
        <v>1.0</v>
      </c>
      <c r="J1480" s="8">
        <v>1.0</v>
      </c>
      <c r="K1480" s="8">
        <v>1.0</v>
      </c>
      <c r="L1480" s="8">
        <v>6.0</v>
      </c>
      <c r="M1480" s="8"/>
      <c r="N1480" s="8"/>
      <c r="O1480" s="8" t="s">
        <v>764</v>
      </c>
      <c r="P1480" s="8">
        <v>9.0</v>
      </c>
    </row>
    <row r="1481">
      <c r="A1481">
        <f>IFERROR(__xludf.DUMMYFUNCTION("""COMPUTED_VALUE"""),7.0)</f>
        <v>7</v>
      </c>
      <c r="B1481">
        <f>IFERROR(__xludf.DUMMYFUNCTION("""COMPUTED_VALUE"""),30085.0)</f>
        <v>30085</v>
      </c>
      <c r="C1481" t="str">
        <f>IFERROR(__xludf.DUMMYFUNCTION("""COMPUTED_VALUE"""),"MORA LE FLOHIC, AGUSTIN")</f>
        <v>MORA LE FLOHIC, AGUSTIN</v>
      </c>
      <c r="D1481" t="str">
        <f>IFERROR(__xludf.DUMMYFUNCTION("""COMPUTED_VALUE"""),"Sociales 7A")</f>
        <v>Sociales 7A</v>
      </c>
      <c r="E1481" s="31">
        <f>IFERROR(__xludf.DUMMYFUNCTION("""COMPUTED_VALUE"""),1.0)</f>
        <v>1</v>
      </c>
      <c r="F1481" s="8">
        <v>1.0</v>
      </c>
      <c r="G1481" s="8">
        <v>1.0</v>
      </c>
      <c r="H1481" s="8">
        <v>1.0</v>
      </c>
      <c r="I1481" s="8">
        <v>1.0</v>
      </c>
      <c r="J1481" s="8">
        <v>1.0</v>
      </c>
      <c r="K1481" s="8">
        <v>1.0</v>
      </c>
      <c r="L1481" s="8">
        <v>6.0</v>
      </c>
      <c r="M1481" s="8"/>
      <c r="N1481" s="8"/>
      <c r="O1481" s="8" t="s">
        <v>761</v>
      </c>
      <c r="P1481" s="8" t="e">
        <v>#N/A</v>
      </c>
    </row>
    <row r="1482">
      <c r="A1482">
        <f>IFERROR(__xludf.DUMMYFUNCTION("""COMPUTED_VALUE"""),7.0)</f>
        <v>7</v>
      </c>
      <c r="B1482">
        <f>IFERROR(__xludf.DUMMYFUNCTION("""COMPUTED_VALUE"""),30086.0)</f>
        <v>30086</v>
      </c>
      <c r="C1482" t="str">
        <f>IFERROR(__xludf.DUMMYFUNCTION("""COMPUTED_VALUE"""),"MORA MEJIA, EMILIA")</f>
        <v>MORA MEJIA, EMILIA</v>
      </c>
      <c r="D1482" t="str">
        <f>IFERROR(__xludf.DUMMYFUNCTION("""COMPUTED_VALUE"""),"Sociales 7A")</f>
        <v>Sociales 7A</v>
      </c>
      <c r="E1482" s="31">
        <f>IFERROR(__xludf.DUMMYFUNCTION("""COMPUTED_VALUE"""),5.0)</f>
        <v>5</v>
      </c>
      <c r="F1482" s="8">
        <v>1.0</v>
      </c>
      <c r="G1482" s="8">
        <v>1.0</v>
      </c>
      <c r="H1482" s="8">
        <v>1.0</v>
      </c>
      <c r="I1482" s="8">
        <v>1.0</v>
      </c>
      <c r="J1482" s="8">
        <v>1.0</v>
      </c>
      <c r="K1482" s="8">
        <v>1.0</v>
      </c>
      <c r="L1482" s="8">
        <v>6.0</v>
      </c>
      <c r="M1482" s="8"/>
      <c r="N1482" s="8"/>
      <c r="O1482" s="8" t="s">
        <v>762</v>
      </c>
      <c r="P1482" s="8" t="e">
        <v>#N/A</v>
      </c>
    </row>
    <row r="1483">
      <c r="A1483">
        <f>IFERROR(__xludf.DUMMYFUNCTION("""COMPUTED_VALUE"""),7.0)</f>
        <v>7</v>
      </c>
      <c r="B1483">
        <f>IFERROR(__xludf.DUMMYFUNCTION("""COMPUTED_VALUE"""),30087.0)</f>
        <v>30087</v>
      </c>
      <c r="C1483" t="str">
        <f>IFERROR(__xludf.DUMMYFUNCTION("""COMPUTED_VALUE"""),"MORENO BETANCOURT, LUCIANA")</f>
        <v>MORENO BETANCOURT, LUCIANA</v>
      </c>
      <c r="D1483" t="str">
        <f>IFERROR(__xludf.DUMMYFUNCTION("""COMPUTED_VALUE"""),"Sociales 7")</f>
        <v>Sociales 7</v>
      </c>
      <c r="E1483" s="31">
        <f>IFERROR(__xludf.DUMMYFUNCTION("""COMPUTED_VALUE"""),2.0)</f>
        <v>2</v>
      </c>
      <c r="F1483" s="8">
        <v>1.0</v>
      </c>
      <c r="G1483" s="8">
        <v>1.0</v>
      </c>
      <c r="H1483" s="8">
        <v>1.0</v>
      </c>
      <c r="I1483" s="8">
        <v>1.0</v>
      </c>
      <c r="J1483" s="8">
        <v>1.0</v>
      </c>
      <c r="K1483" s="8">
        <v>1.0</v>
      </c>
      <c r="L1483" s="8">
        <v>6.0</v>
      </c>
      <c r="M1483" s="8"/>
      <c r="N1483" s="8"/>
      <c r="O1483" s="8" t="s">
        <v>764</v>
      </c>
      <c r="P1483" s="8">
        <v>9.0</v>
      </c>
    </row>
    <row r="1484">
      <c r="A1484">
        <f>IFERROR(__xludf.DUMMYFUNCTION("""COMPUTED_VALUE"""),7.0)</f>
        <v>7</v>
      </c>
      <c r="B1484">
        <f>IFERROR(__xludf.DUMMYFUNCTION("""COMPUTED_VALUE"""),30161.0)</f>
        <v>30161</v>
      </c>
      <c r="C1484" t="str">
        <f>IFERROR(__xludf.DUMMYFUNCTION("""COMPUTED_VALUE"""),"NAVARRA GOMEZ, CHLOE")</f>
        <v>NAVARRA GOMEZ, CHLOE</v>
      </c>
      <c r="D1484" t="str">
        <f>IFERROR(__xludf.DUMMYFUNCTION("""COMPUTED_VALUE"""),"Sociales 7")</f>
        <v>Sociales 7</v>
      </c>
      <c r="E1484" s="31">
        <f>IFERROR(__xludf.DUMMYFUNCTION("""COMPUTED_VALUE"""),3.0)</f>
        <v>3</v>
      </c>
      <c r="F1484" s="8">
        <v>1.0</v>
      </c>
      <c r="G1484" s="8">
        <v>1.0</v>
      </c>
      <c r="H1484" s="8">
        <v>1.0</v>
      </c>
      <c r="I1484" s="8">
        <v>1.0</v>
      </c>
      <c r="J1484" s="8">
        <v>1.0</v>
      </c>
      <c r="K1484" s="8">
        <v>1.0</v>
      </c>
      <c r="L1484" s="8">
        <v>6.0</v>
      </c>
      <c r="M1484" s="8"/>
      <c r="N1484" s="8"/>
      <c r="O1484" s="8" t="s">
        <v>760</v>
      </c>
      <c r="P1484" s="8">
        <v>9.0</v>
      </c>
    </row>
    <row r="1485">
      <c r="A1485">
        <f>IFERROR(__xludf.DUMMYFUNCTION("""COMPUTED_VALUE"""),7.0)</f>
        <v>7</v>
      </c>
      <c r="B1485">
        <f>IFERROR(__xludf.DUMMYFUNCTION("""COMPUTED_VALUE"""),30089.0)</f>
        <v>30089</v>
      </c>
      <c r="C1485" t="str">
        <f>IFERROR(__xludf.DUMMYFUNCTION("""COMPUTED_VALUE"""),"NAVARRO RAMIREZ, LUCAS")</f>
        <v>NAVARRO RAMIREZ, LUCAS</v>
      </c>
      <c r="D1485" t="str">
        <f>IFERROR(__xludf.DUMMYFUNCTION("""COMPUTED_VALUE"""),"Sociales 7")</f>
        <v>Sociales 7</v>
      </c>
      <c r="E1485" s="31">
        <f>IFERROR(__xludf.DUMMYFUNCTION("""COMPUTED_VALUE"""),1.0)</f>
        <v>1</v>
      </c>
      <c r="F1485" s="8">
        <v>1.0</v>
      </c>
      <c r="G1485" s="8">
        <v>1.0</v>
      </c>
      <c r="H1485" s="8">
        <v>1.0</v>
      </c>
      <c r="I1485" s="8">
        <v>1.0</v>
      </c>
      <c r="J1485" s="8">
        <v>1.0</v>
      </c>
      <c r="K1485" s="8">
        <v>1.0</v>
      </c>
      <c r="L1485" s="8">
        <v>6.0</v>
      </c>
      <c r="M1485" s="8"/>
      <c r="N1485" s="8"/>
      <c r="O1485" s="8" t="s">
        <v>759</v>
      </c>
      <c r="P1485" s="8">
        <v>9.0</v>
      </c>
    </row>
    <row r="1486">
      <c r="A1486">
        <f>IFERROR(__xludf.DUMMYFUNCTION("""COMPUTED_VALUE"""),7.0)</f>
        <v>7</v>
      </c>
      <c r="B1486">
        <f>IFERROR(__xludf.DUMMYFUNCTION("""COMPUTED_VALUE"""),30090.0)</f>
        <v>30090</v>
      </c>
      <c r="C1486" t="str">
        <f>IFERROR(__xludf.DUMMYFUNCTION("""COMPUTED_VALUE"""),"NEUMANN MARQUEZ, JERONIMO")</f>
        <v>NEUMANN MARQUEZ, JERONIMO</v>
      </c>
      <c r="D1486" t="str">
        <f>IFERROR(__xludf.DUMMYFUNCTION("""COMPUTED_VALUE"""),"Sociales 7A")</f>
        <v>Sociales 7A</v>
      </c>
      <c r="E1486" s="31">
        <f>IFERROR(__xludf.DUMMYFUNCTION("""COMPUTED_VALUE"""),1.0)</f>
        <v>1</v>
      </c>
      <c r="F1486" s="8">
        <v>1.0</v>
      </c>
      <c r="G1486" s="8">
        <v>1.0</v>
      </c>
      <c r="H1486" s="8">
        <v>1.0</v>
      </c>
      <c r="I1486" s="8">
        <v>1.0</v>
      </c>
      <c r="J1486" s="8">
        <v>1.0</v>
      </c>
      <c r="K1486" s="8">
        <v>1.0</v>
      </c>
      <c r="L1486" s="8">
        <v>6.0</v>
      </c>
      <c r="M1486" s="8"/>
      <c r="N1486" s="8"/>
      <c r="O1486" s="8" t="s">
        <v>761</v>
      </c>
      <c r="P1486" s="8" t="e">
        <v>#N/A</v>
      </c>
    </row>
    <row r="1487">
      <c r="A1487">
        <f>IFERROR(__xludf.DUMMYFUNCTION("""COMPUTED_VALUE"""),7.0)</f>
        <v>7</v>
      </c>
      <c r="B1487">
        <f>IFERROR(__xludf.DUMMYFUNCTION("""COMPUTED_VALUE"""),30172.0)</f>
        <v>30172</v>
      </c>
      <c r="C1487" t="str">
        <f>IFERROR(__xludf.DUMMYFUNCTION("""COMPUTED_VALUE"""),"OLIVA, EMMA")</f>
        <v>OLIVA, EMMA</v>
      </c>
      <c r="D1487" t="str">
        <f>IFERROR(__xludf.DUMMYFUNCTION("""COMPUTED_VALUE"""),"Sociales 7")</f>
        <v>Sociales 7</v>
      </c>
      <c r="E1487" s="31">
        <f>IFERROR(__xludf.DUMMYFUNCTION("""COMPUTED_VALUE"""),5.0)</f>
        <v>5</v>
      </c>
      <c r="F1487" s="8">
        <v>1.0</v>
      </c>
      <c r="G1487" s="8">
        <v>1.0</v>
      </c>
      <c r="H1487" s="8">
        <v>1.0</v>
      </c>
      <c r="I1487" s="8">
        <v>1.0</v>
      </c>
      <c r="J1487" s="8">
        <v>1.0</v>
      </c>
      <c r="K1487" s="8">
        <v>1.0</v>
      </c>
      <c r="L1487" s="8">
        <v>6.0</v>
      </c>
      <c r="M1487" s="8"/>
      <c r="N1487" s="8"/>
      <c r="O1487" s="8" t="s">
        <v>763</v>
      </c>
      <c r="P1487" s="8">
        <v>9.0</v>
      </c>
    </row>
    <row r="1488">
      <c r="A1488">
        <f>IFERROR(__xludf.DUMMYFUNCTION("""COMPUTED_VALUE"""),7.0)</f>
        <v>7</v>
      </c>
      <c r="B1488">
        <f>IFERROR(__xludf.DUMMYFUNCTION("""COMPUTED_VALUE"""),30158.0)</f>
        <v>30158</v>
      </c>
      <c r="C1488" t="str">
        <f>IFERROR(__xludf.DUMMYFUNCTION("""COMPUTED_VALUE"""),"OROZCO RINCON, VALERIA")</f>
        <v>OROZCO RINCON, VALERIA</v>
      </c>
      <c r="D1488" t="str">
        <f>IFERROR(__xludf.DUMMYFUNCTION("""COMPUTED_VALUE"""),"Sociales 7A")</f>
        <v>Sociales 7A</v>
      </c>
      <c r="E1488" s="31">
        <f>IFERROR(__xludf.DUMMYFUNCTION("""COMPUTED_VALUE"""),5.0)</f>
        <v>5</v>
      </c>
      <c r="F1488" s="8">
        <v>1.0</v>
      </c>
      <c r="G1488" s="8">
        <v>1.0</v>
      </c>
      <c r="H1488" s="8">
        <v>1.0</v>
      </c>
      <c r="I1488" s="8">
        <v>1.0</v>
      </c>
      <c r="J1488" s="8">
        <v>1.0</v>
      </c>
      <c r="K1488" s="8">
        <v>1.0</v>
      </c>
      <c r="L1488" s="8">
        <v>6.0</v>
      </c>
      <c r="M1488" s="8"/>
      <c r="N1488" s="8"/>
      <c r="O1488" s="8" t="s">
        <v>762</v>
      </c>
      <c r="P1488" s="8" t="e">
        <v>#N/A</v>
      </c>
    </row>
    <row r="1489">
      <c r="A1489">
        <f>IFERROR(__xludf.DUMMYFUNCTION("""COMPUTED_VALUE"""),7.0)</f>
        <v>7</v>
      </c>
      <c r="B1489">
        <f>IFERROR(__xludf.DUMMYFUNCTION("""COMPUTED_VALUE"""),30153.0)</f>
        <v>30153</v>
      </c>
      <c r="C1489" t="str">
        <f>IFERROR(__xludf.DUMMYFUNCTION("""COMPUTED_VALUE"""),"ORTEGA OCHOA, LORENZO")</f>
        <v>ORTEGA OCHOA, LORENZO</v>
      </c>
      <c r="D1489" t="str">
        <f>IFERROR(__xludf.DUMMYFUNCTION("""COMPUTED_VALUE"""),"Sociales 7")</f>
        <v>Sociales 7</v>
      </c>
      <c r="E1489" s="31">
        <f>IFERROR(__xludf.DUMMYFUNCTION("""COMPUTED_VALUE"""),3.0)</f>
        <v>3</v>
      </c>
      <c r="F1489" s="8">
        <v>1.0</v>
      </c>
      <c r="G1489" s="8">
        <v>1.0</v>
      </c>
      <c r="H1489" s="8">
        <v>1.0</v>
      </c>
      <c r="I1489" s="8">
        <v>1.0</v>
      </c>
      <c r="J1489" s="8">
        <v>1.0</v>
      </c>
      <c r="K1489" s="8">
        <v>1.0</v>
      </c>
      <c r="L1489" s="8">
        <v>6.0</v>
      </c>
      <c r="M1489" s="8"/>
      <c r="N1489" s="8"/>
      <c r="O1489" s="8" t="s">
        <v>760</v>
      </c>
      <c r="P1489" s="8">
        <v>9.0</v>
      </c>
    </row>
    <row r="1490">
      <c r="A1490">
        <f>IFERROR(__xludf.DUMMYFUNCTION("""COMPUTED_VALUE"""),7.0)</f>
        <v>7</v>
      </c>
      <c r="B1490">
        <f>IFERROR(__xludf.DUMMYFUNCTION("""COMPUTED_VALUE"""),30154.0)</f>
        <v>30154</v>
      </c>
      <c r="C1490" t="str">
        <f>IFERROR(__xludf.DUMMYFUNCTION("""COMPUTED_VALUE"""),"ORTEGA OCHOA, MARIA DEL MAR")</f>
        <v>ORTEGA OCHOA, MARIA DEL MAR</v>
      </c>
      <c r="D1490" t="str">
        <f>IFERROR(__xludf.DUMMYFUNCTION("""COMPUTED_VALUE"""),"Sociales 7A")</f>
        <v>Sociales 7A</v>
      </c>
      <c r="E1490" s="31">
        <f>IFERROR(__xludf.DUMMYFUNCTION("""COMPUTED_VALUE"""),1.0)</f>
        <v>1</v>
      </c>
      <c r="F1490" s="8">
        <v>1.0</v>
      </c>
      <c r="G1490" s="8">
        <v>1.0</v>
      </c>
      <c r="H1490" s="8">
        <v>1.0</v>
      </c>
      <c r="I1490" s="8">
        <v>1.0</v>
      </c>
      <c r="J1490" s="8">
        <v>1.0</v>
      </c>
      <c r="K1490" s="8">
        <v>1.0</v>
      </c>
      <c r="L1490" s="8">
        <v>6.0</v>
      </c>
      <c r="M1490" s="8"/>
      <c r="N1490" s="8"/>
      <c r="O1490" s="8" t="s">
        <v>761</v>
      </c>
      <c r="P1490" s="8" t="e">
        <v>#N/A</v>
      </c>
    </row>
    <row r="1491">
      <c r="A1491">
        <f>IFERROR(__xludf.DUMMYFUNCTION("""COMPUTED_VALUE"""),7.0)</f>
        <v>7</v>
      </c>
      <c r="B1491">
        <f>IFERROR(__xludf.DUMMYFUNCTION("""COMPUTED_VALUE"""),30141.0)</f>
        <v>30141</v>
      </c>
      <c r="C1491" t="str">
        <f>IFERROR(__xludf.DUMMYFUNCTION("""COMPUTED_VALUE"""),"OSORIO PATIÑO, MIRANDA")</f>
        <v>OSORIO PATIÑO, MIRANDA</v>
      </c>
      <c r="D1491" t="str">
        <f>IFERROR(__xludf.DUMMYFUNCTION("""COMPUTED_VALUE"""),"Sociales 7")</f>
        <v>Sociales 7</v>
      </c>
      <c r="E1491" s="31">
        <f>IFERROR(__xludf.DUMMYFUNCTION("""COMPUTED_VALUE"""),5.0)</f>
        <v>5</v>
      </c>
      <c r="F1491" s="8">
        <v>1.0</v>
      </c>
      <c r="G1491" s="8">
        <v>1.0</v>
      </c>
      <c r="H1491" s="8">
        <v>1.0</v>
      </c>
      <c r="I1491" s="8">
        <v>1.0</v>
      </c>
      <c r="J1491" s="8">
        <v>1.0</v>
      </c>
      <c r="K1491" s="8">
        <v>1.0</v>
      </c>
      <c r="L1491" s="8">
        <v>6.0</v>
      </c>
      <c r="M1491" s="8"/>
      <c r="N1491" s="8"/>
      <c r="O1491" s="8" t="s">
        <v>763</v>
      </c>
      <c r="P1491" s="8">
        <v>9.0</v>
      </c>
    </row>
    <row r="1492">
      <c r="A1492">
        <f>IFERROR(__xludf.DUMMYFUNCTION("""COMPUTED_VALUE"""),7.0)</f>
        <v>7</v>
      </c>
      <c r="B1492">
        <f>IFERROR(__xludf.DUMMYFUNCTION("""COMPUTED_VALUE"""),30092.0)</f>
        <v>30092</v>
      </c>
      <c r="C1492" t="str">
        <f>IFERROR(__xludf.DUMMYFUNCTION("""COMPUTED_VALUE"""),"OSPINA ESCOBAR, SOFIA")</f>
        <v>OSPINA ESCOBAR, SOFIA</v>
      </c>
      <c r="D1492" t="str">
        <f>IFERROR(__xludf.DUMMYFUNCTION("""COMPUTED_VALUE"""),"Sociales 7")</f>
        <v>Sociales 7</v>
      </c>
      <c r="E1492" s="31">
        <f>IFERROR(__xludf.DUMMYFUNCTION("""COMPUTED_VALUE"""),1.0)</f>
        <v>1</v>
      </c>
      <c r="F1492" s="8">
        <v>1.0</v>
      </c>
      <c r="G1492" s="8">
        <v>1.0</v>
      </c>
      <c r="H1492" s="8">
        <v>1.0</v>
      </c>
      <c r="I1492" s="8">
        <v>1.0</v>
      </c>
      <c r="J1492" s="8">
        <v>1.0</v>
      </c>
      <c r="K1492" s="8">
        <v>1.0</v>
      </c>
      <c r="L1492" s="8">
        <v>6.0</v>
      </c>
      <c r="M1492" s="8"/>
      <c r="N1492" s="8"/>
      <c r="O1492" s="8" t="s">
        <v>759</v>
      </c>
      <c r="P1492" s="8">
        <v>9.0</v>
      </c>
    </row>
    <row r="1493">
      <c r="A1493">
        <f>IFERROR(__xludf.DUMMYFUNCTION("""COMPUTED_VALUE"""),7.0)</f>
        <v>7</v>
      </c>
      <c r="B1493">
        <f>IFERROR(__xludf.DUMMYFUNCTION("""COMPUTED_VALUE"""),30093.0)</f>
        <v>30093</v>
      </c>
      <c r="C1493" t="str">
        <f>IFERROR(__xludf.DUMMYFUNCTION("""COMPUTED_VALUE"""),"OSPINA RESTREPO, RAFAEL")</f>
        <v>OSPINA RESTREPO, RAFAEL</v>
      </c>
      <c r="D1493" t="str">
        <f>IFERROR(__xludf.DUMMYFUNCTION("""COMPUTED_VALUE"""),"Sociales 7")</f>
        <v>Sociales 7</v>
      </c>
      <c r="E1493" s="31">
        <f>IFERROR(__xludf.DUMMYFUNCTION("""COMPUTED_VALUE"""),3.0)</f>
        <v>3</v>
      </c>
      <c r="F1493" s="8">
        <v>1.0</v>
      </c>
      <c r="G1493" s="8">
        <v>1.0</v>
      </c>
      <c r="H1493" s="8">
        <v>1.0</v>
      </c>
      <c r="I1493" s="8">
        <v>1.0</v>
      </c>
      <c r="J1493" s="8">
        <v>1.0</v>
      </c>
      <c r="K1493" s="8">
        <v>1.0</v>
      </c>
      <c r="L1493" s="8">
        <v>6.0</v>
      </c>
      <c r="M1493" s="8"/>
      <c r="N1493" s="8"/>
      <c r="O1493" s="8" t="s">
        <v>760</v>
      </c>
      <c r="P1493" s="8">
        <v>9.0</v>
      </c>
    </row>
    <row r="1494">
      <c r="A1494">
        <f>IFERROR(__xludf.DUMMYFUNCTION("""COMPUTED_VALUE"""),7.0)</f>
        <v>7</v>
      </c>
      <c r="B1494">
        <f>IFERROR(__xludf.DUMMYFUNCTION("""COMPUTED_VALUE"""),30173.0)</f>
        <v>30173</v>
      </c>
      <c r="C1494" t="str">
        <f>IFERROR(__xludf.DUMMYFUNCTION("""COMPUTED_VALUE"""),"PARAMO VELASQUEZ, ISABEL")</f>
        <v>PARAMO VELASQUEZ, ISABEL</v>
      </c>
      <c r="D1494" t="str">
        <f>IFERROR(__xludf.DUMMYFUNCTION("""COMPUTED_VALUE"""),"Sociales 7")</f>
        <v>Sociales 7</v>
      </c>
      <c r="E1494" s="31">
        <f>IFERROR(__xludf.DUMMYFUNCTION("""COMPUTED_VALUE"""),2.0)</f>
        <v>2</v>
      </c>
      <c r="F1494" s="8">
        <v>1.0</v>
      </c>
      <c r="G1494" s="8">
        <v>1.0</v>
      </c>
      <c r="H1494" s="8">
        <v>1.0</v>
      </c>
      <c r="I1494" s="8">
        <v>1.0</v>
      </c>
      <c r="J1494" s="8">
        <v>1.0</v>
      </c>
      <c r="K1494" s="8">
        <v>1.0</v>
      </c>
      <c r="L1494" s="8">
        <v>6.0</v>
      </c>
      <c r="M1494" s="8"/>
      <c r="N1494" s="8"/>
      <c r="O1494" s="8" t="s">
        <v>764</v>
      </c>
      <c r="P1494" s="8">
        <v>9.0</v>
      </c>
    </row>
    <row r="1495">
      <c r="A1495">
        <f>IFERROR(__xludf.DUMMYFUNCTION("""COMPUTED_VALUE"""),7.0)</f>
        <v>7</v>
      </c>
      <c r="B1495">
        <f>IFERROR(__xludf.DUMMYFUNCTION("""COMPUTED_VALUE"""),30094.0)</f>
        <v>30094</v>
      </c>
      <c r="C1495" t="str">
        <f>IFERROR(__xludf.DUMMYFUNCTION("""COMPUTED_VALUE"""),"PELAEZ PIEDRAHITA, MARTIN")</f>
        <v>PELAEZ PIEDRAHITA, MARTIN</v>
      </c>
      <c r="D1495" t="str">
        <f>IFERROR(__xludf.DUMMYFUNCTION("""COMPUTED_VALUE"""),"Sociales 7")</f>
        <v>Sociales 7</v>
      </c>
      <c r="E1495" s="31">
        <f>IFERROR(__xludf.DUMMYFUNCTION("""COMPUTED_VALUE"""),1.0)</f>
        <v>1</v>
      </c>
      <c r="F1495" s="8">
        <v>1.0</v>
      </c>
      <c r="G1495" s="8">
        <v>1.0</v>
      </c>
      <c r="H1495" s="8">
        <v>1.0</v>
      </c>
      <c r="I1495" s="8">
        <v>1.0</v>
      </c>
      <c r="J1495" s="8">
        <v>1.0</v>
      </c>
      <c r="K1495" s="8">
        <v>1.0</v>
      </c>
      <c r="L1495" s="8">
        <v>6.0</v>
      </c>
      <c r="M1495" s="8"/>
      <c r="N1495" s="8"/>
      <c r="O1495" s="8" t="s">
        <v>759</v>
      </c>
      <c r="P1495" s="8">
        <v>9.0</v>
      </c>
    </row>
    <row r="1496">
      <c r="A1496">
        <f>IFERROR(__xludf.DUMMYFUNCTION("""COMPUTED_VALUE"""),7.0)</f>
        <v>7</v>
      </c>
      <c r="B1496">
        <f>IFERROR(__xludf.DUMMYFUNCTION("""COMPUTED_VALUE"""),30095.0)</f>
        <v>30095</v>
      </c>
      <c r="C1496" t="str">
        <f>IFERROR(__xludf.DUMMYFUNCTION("""COMPUTED_VALUE"""),"PENAGOS VELEZ, PEDRO")</f>
        <v>PENAGOS VELEZ, PEDRO</v>
      </c>
      <c r="D1496" t="str">
        <f>IFERROR(__xludf.DUMMYFUNCTION("""COMPUTED_VALUE"""),"Sociales 7A")</f>
        <v>Sociales 7A</v>
      </c>
      <c r="E1496" s="31">
        <f>IFERROR(__xludf.DUMMYFUNCTION("""COMPUTED_VALUE"""),5.0)</f>
        <v>5</v>
      </c>
      <c r="F1496" s="8">
        <v>1.0</v>
      </c>
      <c r="G1496" s="8">
        <v>1.0</v>
      </c>
      <c r="H1496" s="8">
        <v>1.0</v>
      </c>
      <c r="I1496" s="8">
        <v>1.0</v>
      </c>
      <c r="J1496" s="8">
        <v>1.0</v>
      </c>
      <c r="K1496" s="8">
        <v>1.0</v>
      </c>
      <c r="L1496" s="8">
        <v>6.0</v>
      </c>
      <c r="M1496" s="8"/>
      <c r="N1496" s="8"/>
      <c r="O1496" s="8" t="s">
        <v>762</v>
      </c>
      <c r="P1496" s="8" t="e">
        <v>#N/A</v>
      </c>
    </row>
    <row r="1497">
      <c r="A1497">
        <f>IFERROR(__xludf.DUMMYFUNCTION("""COMPUTED_VALUE"""),7.0)</f>
        <v>7</v>
      </c>
      <c r="B1497">
        <f>IFERROR(__xludf.DUMMYFUNCTION("""COMPUTED_VALUE"""),29090.0)</f>
        <v>29090</v>
      </c>
      <c r="C1497" t="str">
        <f>IFERROR(__xludf.DUMMYFUNCTION("""COMPUTED_VALUE"""),"PEREZ DUQUE, MARIA PAZ")</f>
        <v>PEREZ DUQUE, MARIA PAZ</v>
      </c>
      <c r="D1497" t="str">
        <f>IFERROR(__xludf.DUMMYFUNCTION("""COMPUTED_VALUE"""),"Sociales 7A")</f>
        <v>Sociales 7A</v>
      </c>
      <c r="E1497" s="31">
        <f>IFERROR(__xludf.DUMMYFUNCTION("""COMPUTED_VALUE"""),1.0)</f>
        <v>1</v>
      </c>
      <c r="F1497" s="8">
        <v>1.0</v>
      </c>
      <c r="G1497" s="8">
        <v>1.0</v>
      </c>
      <c r="H1497" s="8">
        <v>1.0</v>
      </c>
      <c r="I1497" s="8">
        <v>1.0</v>
      </c>
      <c r="J1497" s="8">
        <v>1.0</v>
      </c>
      <c r="K1497" s="8">
        <v>1.0</v>
      </c>
      <c r="L1497" s="8">
        <v>6.0</v>
      </c>
      <c r="M1497" s="8"/>
      <c r="N1497" s="8"/>
      <c r="O1497" s="8" t="s">
        <v>761</v>
      </c>
      <c r="P1497" s="8" t="e">
        <v>#N/A</v>
      </c>
    </row>
    <row r="1498">
      <c r="A1498">
        <f>IFERROR(__xludf.DUMMYFUNCTION("""COMPUTED_VALUE"""),7.0)</f>
        <v>7</v>
      </c>
      <c r="B1498">
        <f>IFERROR(__xludf.DUMMYFUNCTION("""COMPUTED_VALUE"""),30097.0)</f>
        <v>30097</v>
      </c>
      <c r="C1498" t="str">
        <f>IFERROR(__xludf.DUMMYFUNCTION("""COMPUTED_VALUE"""),"PUERTA TIRADO, JUAN SEBASTIAN")</f>
        <v>PUERTA TIRADO, JUAN SEBASTIAN</v>
      </c>
      <c r="D1498" t="str">
        <f>IFERROR(__xludf.DUMMYFUNCTION("""COMPUTED_VALUE"""),"Sociales 7")</f>
        <v>Sociales 7</v>
      </c>
      <c r="E1498" s="31">
        <f>IFERROR(__xludf.DUMMYFUNCTION("""COMPUTED_VALUE"""),2.0)</f>
        <v>2</v>
      </c>
      <c r="F1498" s="8">
        <v>1.0</v>
      </c>
      <c r="G1498" s="8">
        <v>1.0</v>
      </c>
      <c r="H1498" s="8">
        <v>1.0</v>
      </c>
      <c r="I1498" s="8">
        <v>1.0</v>
      </c>
      <c r="J1498" s="8">
        <v>1.0</v>
      </c>
      <c r="K1498" s="8">
        <v>1.0</v>
      </c>
      <c r="L1498" s="8">
        <v>6.0</v>
      </c>
      <c r="M1498" s="8"/>
      <c r="N1498" s="8"/>
      <c r="O1498" s="8" t="s">
        <v>764</v>
      </c>
      <c r="P1498" s="8">
        <v>9.0</v>
      </c>
    </row>
    <row r="1499">
      <c r="A1499">
        <f>IFERROR(__xludf.DUMMYFUNCTION("""COMPUTED_VALUE"""),7.0)</f>
        <v>7</v>
      </c>
      <c r="B1499">
        <f>IFERROR(__xludf.DUMMYFUNCTION("""COMPUTED_VALUE"""),30147.0)</f>
        <v>30147</v>
      </c>
      <c r="C1499" t="str">
        <f>IFERROR(__xludf.DUMMYFUNCTION("""COMPUTED_VALUE"""),"RAMIREZ ESCOBAR, ISABELLA")</f>
        <v>RAMIREZ ESCOBAR, ISABELLA</v>
      </c>
      <c r="D1499" t="str">
        <f>IFERROR(__xludf.DUMMYFUNCTION("""COMPUTED_VALUE"""),"Sociales 7A")</f>
        <v>Sociales 7A</v>
      </c>
      <c r="E1499" s="31">
        <f>IFERROR(__xludf.DUMMYFUNCTION("""COMPUTED_VALUE"""),5.0)</f>
        <v>5</v>
      </c>
      <c r="F1499" s="8">
        <v>1.0</v>
      </c>
      <c r="G1499" s="8">
        <v>1.0</v>
      </c>
      <c r="H1499" s="8">
        <v>1.0</v>
      </c>
      <c r="I1499" s="8">
        <v>1.0</v>
      </c>
      <c r="J1499" s="8">
        <v>1.0</v>
      </c>
      <c r="K1499" s="8">
        <v>1.0</v>
      </c>
      <c r="L1499" s="8">
        <v>6.0</v>
      </c>
      <c r="M1499" s="8"/>
      <c r="N1499" s="8"/>
      <c r="O1499" s="8" t="s">
        <v>762</v>
      </c>
      <c r="P1499" s="8" t="e">
        <v>#N/A</v>
      </c>
    </row>
    <row r="1500">
      <c r="A1500">
        <f>IFERROR(__xludf.DUMMYFUNCTION("""COMPUTED_VALUE"""),7.0)</f>
        <v>7</v>
      </c>
      <c r="B1500">
        <f>IFERROR(__xludf.DUMMYFUNCTION("""COMPUTED_VALUE"""),30098.0)</f>
        <v>30098</v>
      </c>
      <c r="C1500" t="str">
        <f>IFERROR(__xludf.DUMMYFUNCTION("""COMPUTED_VALUE"""),"REINOSO TRUJILLO, SANTIAGO")</f>
        <v>REINOSO TRUJILLO, SANTIAGO</v>
      </c>
      <c r="D1500" t="str">
        <f>IFERROR(__xludf.DUMMYFUNCTION("""COMPUTED_VALUE"""),"Sociales 7")</f>
        <v>Sociales 7</v>
      </c>
      <c r="E1500" s="31">
        <f>IFERROR(__xludf.DUMMYFUNCTION("""COMPUTED_VALUE"""),5.0)</f>
        <v>5</v>
      </c>
      <c r="F1500" s="8">
        <v>1.0</v>
      </c>
      <c r="G1500" s="8">
        <v>1.0</v>
      </c>
      <c r="H1500" s="8">
        <v>1.0</v>
      </c>
      <c r="I1500" s="8">
        <v>1.0</v>
      </c>
      <c r="J1500" s="8">
        <v>1.0</v>
      </c>
      <c r="K1500" s="8">
        <v>1.0</v>
      </c>
      <c r="L1500" s="8">
        <v>6.0</v>
      </c>
      <c r="M1500" s="8"/>
      <c r="N1500" s="8"/>
      <c r="O1500" s="8" t="s">
        <v>763</v>
      </c>
      <c r="P1500" s="8">
        <v>9.0</v>
      </c>
    </row>
    <row r="1501">
      <c r="A1501">
        <f>IFERROR(__xludf.DUMMYFUNCTION("""COMPUTED_VALUE"""),7.0)</f>
        <v>7</v>
      </c>
      <c r="B1501">
        <f>IFERROR(__xludf.DUMMYFUNCTION("""COMPUTED_VALUE"""),30100.0)</f>
        <v>30100</v>
      </c>
      <c r="C1501" t="str">
        <f>IFERROR(__xludf.DUMMYFUNCTION("""COMPUTED_VALUE"""),"RESTREPO QUINTERO, MARTIN")</f>
        <v>RESTREPO QUINTERO, MARTIN</v>
      </c>
      <c r="D1501" t="str">
        <f>IFERROR(__xludf.DUMMYFUNCTION("""COMPUTED_VALUE"""),"Sociales 7")</f>
        <v>Sociales 7</v>
      </c>
      <c r="E1501" s="31">
        <f>IFERROR(__xludf.DUMMYFUNCTION("""COMPUTED_VALUE"""),3.0)</f>
        <v>3</v>
      </c>
      <c r="F1501" s="8">
        <v>1.0</v>
      </c>
      <c r="G1501" s="8">
        <v>1.0</v>
      </c>
      <c r="H1501" s="8">
        <v>1.0</v>
      </c>
      <c r="I1501" s="8">
        <v>1.0</v>
      </c>
      <c r="J1501" s="8">
        <v>1.0</v>
      </c>
      <c r="K1501" s="8">
        <v>1.0</v>
      </c>
      <c r="L1501" s="8">
        <v>6.0</v>
      </c>
      <c r="M1501" s="8"/>
      <c r="N1501" s="8"/>
      <c r="O1501" s="8" t="s">
        <v>760</v>
      </c>
      <c r="P1501" s="8">
        <v>9.0</v>
      </c>
    </row>
    <row r="1502">
      <c r="A1502">
        <f>IFERROR(__xludf.DUMMYFUNCTION("""COMPUTED_VALUE"""),7.0)</f>
        <v>7</v>
      </c>
      <c r="B1502">
        <f>IFERROR(__xludf.DUMMYFUNCTION("""COMPUTED_VALUE"""),30101.0)</f>
        <v>30101</v>
      </c>
      <c r="C1502" t="str">
        <f>IFERROR(__xludf.DUMMYFUNCTION("""COMPUTED_VALUE"""),"RESTREPO RAMIREZ, MATIAS")</f>
        <v>RESTREPO RAMIREZ, MATIAS</v>
      </c>
      <c r="D1502" t="str">
        <f>IFERROR(__xludf.DUMMYFUNCTION("""COMPUTED_VALUE"""),"Sociales 7A")</f>
        <v>Sociales 7A</v>
      </c>
      <c r="E1502" s="31">
        <f>IFERROR(__xludf.DUMMYFUNCTION("""COMPUTED_VALUE"""),1.0)</f>
        <v>1</v>
      </c>
      <c r="F1502" s="8">
        <v>1.0</v>
      </c>
      <c r="G1502" s="8">
        <v>1.0</v>
      </c>
      <c r="H1502" s="8">
        <v>1.0</v>
      </c>
      <c r="I1502" s="8">
        <v>1.0</v>
      </c>
      <c r="J1502" s="8">
        <v>1.0</v>
      </c>
      <c r="K1502" s="8">
        <v>1.0</v>
      </c>
      <c r="L1502" s="8">
        <v>6.0</v>
      </c>
      <c r="M1502" s="8"/>
      <c r="N1502" s="8"/>
      <c r="O1502" s="8" t="s">
        <v>761</v>
      </c>
      <c r="P1502" s="8" t="e">
        <v>#N/A</v>
      </c>
    </row>
    <row r="1503">
      <c r="A1503">
        <f>IFERROR(__xludf.DUMMYFUNCTION("""COMPUTED_VALUE"""),7.0)</f>
        <v>7</v>
      </c>
      <c r="B1503">
        <f>IFERROR(__xludf.DUMMYFUNCTION("""COMPUTED_VALUE"""),29102.0)</f>
        <v>29102</v>
      </c>
      <c r="C1503" t="str">
        <f>IFERROR(__xludf.DUMMYFUNCTION("""COMPUTED_VALUE"""),"ROJAS SANCHEZ, SAMUEL")</f>
        <v>ROJAS SANCHEZ, SAMUEL</v>
      </c>
      <c r="D1503" t="str">
        <f>IFERROR(__xludf.DUMMYFUNCTION("""COMPUTED_VALUE"""),"Sociales 7")</f>
        <v>Sociales 7</v>
      </c>
      <c r="E1503" s="31">
        <f>IFERROR(__xludf.DUMMYFUNCTION("""COMPUTED_VALUE"""),5.0)</f>
        <v>5</v>
      </c>
      <c r="F1503" s="8">
        <v>1.0</v>
      </c>
      <c r="G1503" s="8">
        <v>1.0</v>
      </c>
      <c r="H1503" s="8">
        <v>1.0</v>
      </c>
      <c r="I1503" s="8">
        <v>1.0</v>
      </c>
      <c r="J1503" s="8">
        <v>1.0</v>
      </c>
      <c r="K1503" s="8">
        <v>1.0</v>
      </c>
      <c r="L1503" s="8">
        <v>6.0</v>
      </c>
      <c r="M1503" s="8"/>
      <c r="N1503" s="8"/>
      <c r="O1503" s="8" t="s">
        <v>763</v>
      </c>
      <c r="P1503" s="8">
        <v>9.0</v>
      </c>
    </row>
    <row r="1504">
      <c r="A1504">
        <f>IFERROR(__xludf.DUMMYFUNCTION("""COMPUTED_VALUE"""),7.0)</f>
        <v>7</v>
      </c>
      <c r="B1504">
        <f>IFERROR(__xludf.DUMMYFUNCTION("""COMPUTED_VALUE"""),30102.0)</f>
        <v>30102</v>
      </c>
      <c r="C1504" t="str">
        <f>IFERROR(__xludf.DUMMYFUNCTION("""COMPUTED_VALUE"""),"RUIZ ROLDAN, LAURA")</f>
        <v>RUIZ ROLDAN, LAURA</v>
      </c>
      <c r="D1504" t="str">
        <f>IFERROR(__xludf.DUMMYFUNCTION("""COMPUTED_VALUE"""),"Sociales 7")</f>
        <v>Sociales 7</v>
      </c>
      <c r="E1504" s="31">
        <f>IFERROR(__xludf.DUMMYFUNCTION("""COMPUTED_VALUE"""),1.0)</f>
        <v>1</v>
      </c>
      <c r="F1504" s="8">
        <v>1.0</v>
      </c>
      <c r="G1504" s="8">
        <v>1.0</v>
      </c>
      <c r="H1504" s="8">
        <v>1.0</v>
      </c>
      <c r="I1504" s="8">
        <v>1.0</v>
      </c>
      <c r="J1504" s="8">
        <v>1.0</v>
      </c>
      <c r="K1504" s="8">
        <v>1.0</v>
      </c>
      <c r="L1504" s="8">
        <v>6.0</v>
      </c>
      <c r="M1504" s="8"/>
      <c r="N1504" s="8"/>
      <c r="O1504" s="8" t="s">
        <v>759</v>
      </c>
      <c r="P1504" s="8">
        <v>9.0</v>
      </c>
    </row>
    <row r="1505">
      <c r="A1505">
        <f>IFERROR(__xludf.DUMMYFUNCTION("""COMPUTED_VALUE"""),7.0)</f>
        <v>7</v>
      </c>
      <c r="B1505">
        <f>IFERROR(__xludf.DUMMYFUNCTION("""COMPUTED_VALUE"""),30103.0)</f>
        <v>30103</v>
      </c>
      <c r="C1505" t="str">
        <f>IFERROR(__xludf.DUMMYFUNCTION("""COMPUTED_VALUE"""),"SANCHEZ GONZALEZ, EMILIANA")</f>
        <v>SANCHEZ GONZALEZ, EMILIANA</v>
      </c>
      <c r="D1505" t="str">
        <f>IFERROR(__xludf.DUMMYFUNCTION("""COMPUTED_VALUE"""),"Sociales 7")</f>
        <v>Sociales 7</v>
      </c>
      <c r="E1505" s="31">
        <f>IFERROR(__xludf.DUMMYFUNCTION("""COMPUTED_VALUE"""),3.0)</f>
        <v>3</v>
      </c>
      <c r="F1505" s="8">
        <v>1.0</v>
      </c>
      <c r="G1505" s="8">
        <v>1.0</v>
      </c>
      <c r="H1505" s="8">
        <v>1.0</v>
      </c>
      <c r="I1505" s="8">
        <v>1.0</v>
      </c>
      <c r="J1505" s="8">
        <v>1.0</v>
      </c>
      <c r="K1505" s="8">
        <v>1.0</v>
      </c>
      <c r="L1505" s="8">
        <v>6.0</v>
      </c>
      <c r="M1505" s="8"/>
      <c r="N1505" s="8"/>
      <c r="O1505" s="8" t="s">
        <v>760</v>
      </c>
      <c r="P1505" s="8">
        <v>9.0</v>
      </c>
    </row>
    <row r="1506">
      <c r="A1506">
        <f>IFERROR(__xludf.DUMMYFUNCTION("""COMPUTED_VALUE"""),7.0)</f>
        <v>7</v>
      </c>
      <c r="B1506">
        <f>IFERROR(__xludf.DUMMYFUNCTION("""COMPUTED_VALUE"""),30104.0)</f>
        <v>30104</v>
      </c>
      <c r="C1506" t="str">
        <f>IFERROR(__xludf.DUMMYFUNCTION("""COMPUTED_VALUE"""),"SIERRA VILLA, RAQUEL")</f>
        <v>SIERRA VILLA, RAQUEL</v>
      </c>
      <c r="D1506" t="str">
        <f>IFERROR(__xludf.DUMMYFUNCTION("""COMPUTED_VALUE"""),"Sociales 7A")</f>
        <v>Sociales 7A</v>
      </c>
      <c r="E1506" s="31">
        <f>IFERROR(__xludf.DUMMYFUNCTION("""COMPUTED_VALUE"""),1.0)</f>
        <v>1</v>
      </c>
      <c r="F1506" s="8">
        <v>1.0</v>
      </c>
      <c r="G1506" s="8">
        <v>1.0</v>
      </c>
      <c r="H1506" s="8">
        <v>1.0</v>
      </c>
      <c r="I1506" s="8">
        <v>1.0</v>
      </c>
      <c r="J1506" s="8">
        <v>1.0</v>
      </c>
      <c r="K1506" s="8">
        <v>1.0</v>
      </c>
      <c r="L1506" s="8">
        <v>6.0</v>
      </c>
      <c r="M1506" s="8"/>
      <c r="N1506" s="8"/>
      <c r="O1506" s="8" t="s">
        <v>761</v>
      </c>
      <c r="P1506" s="8" t="e">
        <v>#N/A</v>
      </c>
    </row>
    <row r="1507">
      <c r="A1507">
        <f>IFERROR(__xludf.DUMMYFUNCTION("""COMPUTED_VALUE"""),7.0)</f>
        <v>7</v>
      </c>
      <c r="B1507">
        <f>IFERROR(__xludf.DUMMYFUNCTION("""COMPUTED_VALUE"""),30105.0)</f>
        <v>30105</v>
      </c>
      <c r="C1507" t="str">
        <f>IFERROR(__xludf.DUMMYFUNCTION("""COMPUTED_VALUE"""),"TOBON RESTREPO, PEDRO")</f>
        <v>TOBON RESTREPO, PEDRO</v>
      </c>
      <c r="D1507" t="str">
        <f>IFERROR(__xludf.DUMMYFUNCTION("""COMPUTED_VALUE"""),"Sociales 7")</f>
        <v>Sociales 7</v>
      </c>
      <c r="E1507" s="31">
        <f>IFERROR(__xludf.DUMMYFUNCTION("""COMPUTED_VALUE"""),1.0)</f>
        <v>1</v>
      </c>
      <c r="F1507" s="8">
        <v>1.0</v>
      </c>
      <c r="G1507" s="8">
        <v>1.0</v>
      </c>
      <c r="H1507" s="8">
        <v>1.0</v>
      </c>
      <c r="I1507" s="8">
        <v>1.0</v>
      </c>
      <c r="J1507" s="8">
        <v>1.0</v>
      </c>
      <c r="K1507" s="8">
        <v>1.0</v>
      </c>
      <c r="L1507" s="8">
        <v>6.0</v>
      </c>
      <c r="M1507" s="8"/>
      <c r="N1507" s="8"/>
      <c r="O1507" s="8" t="s">
        <v>759</v>
      </c>
      <c r="P1507" s="8">
        <v>9.0</v>
      </c>
    </row>
    <row r="1508">
      <c r="A1508">
        <f>IFERROR(__xludf.DUMMYFUNCTION("""COMPUTED_VALUE"""),7.0)</f>
        <v>7</v>
      </c>
      <c r="B1508">
        <f>IFERROR(__xludf.DUMMYFUNCTION("""COMPUTED_VALUE"""),30106.0)</f>
        <v>30106</v>
      </c>
      <c r="C1508" t="str">
        <f>IFERROR(__xludf.DUMMYFUNCTION("""COMPUTED_VALUE"""),"TORO BOTERO, PEDRO")</f>
        <v>TORO BOTERO, PEDRO</v>
      </c>
      <c r="D1508" t="str">
        <f>IFERROR(__xludf.DUMMYFUNCTION("""COMPUTED_VALUE"""),"Sociales 7")</f>
        <v>Sociales 7</v>
      </c>
      <c r="E1508" s="31">
        <f>IFERROR(__xludf.DUMMYFUNCTION("""COMPUTED_VALUE"""),5.0)</f>
        <v>5</v>
      </c>
      <c r="F1508" s="8">
        <v>1.0</v>
      </c>
      <c r="G1508" s="8">
        <v>1.0</v>
      </c>
      <c r="H1508" s="8">
        <v>1.0</v>
      </c>
      <c r="I1508" s="8">
        <v>1.0</v>
      </c>
      <c r="J1508" s="8">
        <v>1.0</v>
      </c>
      <c r="K1508" s="8">
        <v>1.0</v>
      </c>
      <c r="L1508" s="8">
        <v>6.0</v>
      </c>
      <c r="M1508" s="8"/>
      <c r="N1508" s="8"/>
      <c r="O1508" s="8" t="s">
        <v>763</v>
      </c>
      <c r="P1508" s="8">
        <v>9.0</v>
      </c>
    </row>
    <row r="1509">
      <c r="A1509">
        <f>IFERROR(__xludf.DUMMYFUNCTION("""COMPUTED_VALUE"""),7.0)</f>
        <v>7</v>
      </c>
      <c r="B1509">
        <f>IFERROR(__xludf.DUMMYFUNCTION("""COMPUTED_VALUE"""),30107.0)</f>
        <v>30107</v>
      </c>
      <c r="C1509" t="str">
        <f>IFERROR(__xludf.DUMMYFUNCTION("""COMPUTED_VALUE"""),"TORRES POSADA, NICOLAS")</f>
        <v>TORRES POSADA, NICOLAS</v>
      </c>
      <c r="D1509" t="str">
        <f>IFERROR(__xludf.DUMMYFUNCTION("""COMPUTED_VALUE"""),"Sociales 7")</f>
        <v>Sociales 7</v>
      </c>
      <c r="E1509" s="31">
        <f>IFERROR(__xludf.DUMMYFUNCTION("""COMPUTED_VALUE"""),2.0)</f>
        <v>2</v>
      </c>
      <c r="F1509" s="8">
        <v>1.0</v>
      </c>
      <c r="G1509" s="8">
        <v>1.0</v>
      </c>
      <c r="H1509" s="8">
        <v>1.0</v>
      </c>
      <c r="I1509" s="8">
        <v>1.0</v>
      </c>
      <c r="J1509" s="8">
        <v>1.0</v>
      </c>
      <c r="K1509" s="8">
        <v>1.0</v>
      </c>
      <c r="L1509" s="8">
        <v>6.0</v>
      </c>
      <c r="M1509" s="8"/>
      <c r="N1509" s="8"/>
      <c r="O1509" s="8" t="s">
        <v>764</v>
      </c>
      <c r="P1509" s="8">
        <v>9.0</v>
      </c>
    </row>
    <row r="1510">
      <c r="A1510">
        <f>IFERROR(__xludf.DUMMYFUNCTION("""COMPUTED_VALUE"""),7.0)</f>
        <v>7</v>
      </c>
      <c r="B1510">
        <f>IFERROR(__xludf.DUMMYFUNCTION("""COMPUTED_VALUE"""),30109.0)</f>
        <v>30109</v>
      </c>
      <c r="C1510" t="str">
        <f>IFERROR(__xludf.DUMMYFUNCTION("""COMPUTED_VALUE"""),"TRUJILLO RENDON, CAMILA")</f>
        <v>TRUJILLO RENDON, CAMILA</v>
      </c>
      <c r="D1510" t="str">
        <f>IFERROR(__xludf.DUMMYFUNCTION("""COMPUTED_VALUE"""),"Sociales 7A")</f>
        <v>Sociales 7A</v>
      </c>
      <c r="E1510" s="31">
        <f>IFERROR(__xludf.DUMMYFUNCTION("""COMPUTED_VALUE"""),5.0)</f>
        <v>5</v>
      </c>
      <c r="F1510" s="8">
        <v>1.0</v>
      </c>
      <c r="G1510" s="8">
        <v>1.0</v>
      </c>
      <c r="H1510" s="8">
        <v>1.0</v>
      </c>
      <c r="I1510" s="8">
        <v>1.0</v>
      </c>
      <c r="J1510" s="8">
        <v>1.0</v>
      </c>
      <c r="K1510" s="8">
        <v>1.0</v>
      </c>
      <c r="L1510" s="8">
        <v>6.0</v>
      </c>
      <c r="M1510" s="8"/>
      <c r="N1510" s="8"/>
      <c r="O1510" s="8" t="s">
        <v>762</v>
      </c>
      <c r="P1510" s="8" t="e">
        <v>#N/A</v>
      </c>
    </row>
    <row r="1511">
      <c r="A1511">
        <f>IFERROR(__xludf.DUMMYFUNCTION("""COMPUTED_VALUE"""),7.0)</f>
        <v>7</v>
      </c>
      <c r="B1511">
        <f>IFERROR(__xludf.DUMMYFUNCTION("""COMPUTED_VALUE"""),30111.0)</f>
        <v>30111</v>
      </c>
      <c r="C1511" t="str">
        <f>IFERROR(__xludf.DUMMYFUNCTION("""COMPUTED_VALUE"""),"URIBE MUÑOZ, ANDREA")</f>
        <v>URIBE MUÑOZ, ANDREA</v>
      </c>
      <c r="D1511" t="str">
        <f>IFERROR(__xludf.DUMMYFUNCTION("""COMPUTED_VALUE"""),"Sociales 7")</f>
        <v>Sociales 7</v>
      </c>
      <c r="E1511" s="31">
        <f>IFERROR(__xludf.DUMMYFUNCTION("""COMPUTED_VALUE"""),3.0)</f>
        <v>3</v>
      </c>
      <c r="F1511" s="8">
        <v>1.0</v>
      </c>
      <c r="G1511" s="8">
        <v>1.0</v>
      </c>
      <c r="H1511" s="8">
        <v>1.0</v>
      </c>
      <c r="I1511" s="8">
        <v>1.0</v>
      </c>
      <c r="J1511" s="8">
        <v>1.0</v>
      </c>
      <c r="K1511" s="8">
        <v>1.0</v>
      </c>
      <c r="L1511" s="8">
        <v>6.0</v>
      </c>
      <c r="M1511" s="8"/>
      <c r="N1511" s="8"/>
      <c r="O1511" s="8" t="s">
        <v>760</v>
      </c>
      <c r="P1511" s="8">
        <v>9.0</v>
      </c>
    </row>
    <row r="1512">
      <c r="A1512">
        <f>IFERROR(__xludf.DUMMYFUNCTION("""COMPUTED_VALUE"""),7.0)</f>
        <v>7</v>
      </c>
      <c r="B1512">
        <f>IFERROR(__xludf.DUMMYFUNCTION("""COMPUTED_VALUE"""),30112.0)</f>
        <v>30112</v>
      </c>
      <c r="C1512" t="str">
        <f>IFERROR(__xludf.DUMMYFUNCTION("""COMPUTED_VALUE"""),"URIBE MUÑOZ, VALENTINA")</f>
        <v>URIBE MUÑOZ, VALENTINA</v>
      </c>
      <c r="D1512" t="str">
        <f>IFERROR(__xludf.DUMMYFUNCTION("""COMPUTED_VALUE"""),"Sociales 7")</f>
        <v>Sociales 7</v>
      </c>
      <c r="E1512" s="31">
        <f>IFERROR(__xludf.DUMMYFUNCTION("""COMPUTED_VALUE"""),2.0)</f>
        <v>2</v>
      </c>
      <c r="F1512" s="8">
        <v>1.0</v>
      </c>
      <c r="G1512" s="8">
        <v>1.0</v>
      </c>
      <c r="H1512" s="8">
        <v>1.0</v>
      </c>
      <c r="I1512" s="8">
        <v>1.0</v>
      </c>
      <c r="J1512" s="8">
        <v>1.0</v>
      </c>
      <c r="K1512" s="8">
        <v>1.0</v>
      </c>
      <c r="L1512" s="8">
        <v>6.0</v>
      </c>
      <c r="M1512" s="8"/>
      <c r="N1512" s="8"/>
      <c r="O1512" s="8" t="s">
        <v>764</v>
      </c>
      <c r="P1512" s="8">
        <v>9.0</v>
      </c>
    </row>
    <row r="1513">
      <c r="A1513">
        <f>IFERROR(__xludf.DUMMYFUNCTION("""COMPUTED_VALUE"""),7.0)</f>
        <v>7</v>
      </c>
      <c r="B1513">
        <f>IFERROR(__xludf.DUMMYFUNCTION("""COMPUTED_VALUE"""),30114.0)</f>
        <v>30114</v>
      </c>
      <c r="C1513" t="str">
        <f>IFERROR(__xludf.DUMMYFUNCTION("""COMPUTED_VALUE"""),"URIBE RUIZ, VICENTE")</f>
        <v>URIBE RUIZ, VICENTE</v>
      </c>
      <c r="D1513" t="str">
        <f>IFERROR(__xludf.DUMMYFUNCTION("""COMPUTED_VALUE"""),"Sociales 7A")</f>
        <v>Sociales 7A</v>
      </c>
      <c r="E1513" s="31">
        <f>IFERROR(__xludf.DUMMYFUNCTION("""COMPUTED_VALUE"""),1.0)</f>
        <v>1</v>
      </c>
      <c r="F1513" s="8">
        <v>1.0</v>
      </c>
      <c r="G1513" s="8">
        <v>1.0</v>
      </c>
      <c r="H1513" s="8">
        <v>1.0</v>
      </c>
      <c r="I1513" s="8">
        <v>1.0</v>
      </c>
      <c r="J1513" s="8">
        <v>1.0</v>
      </c>
      <c r="K1513" s="8">
        <v>1.0</v>
      </c>
      <c r="L1513" s="8">
        <v>6.0</v>
      </c>
      <c r="M1513" s="8"/>
      <c r="N1513" s="8"/>
      <c r="O1513" s="8" t="s">
        <v>761</v>
      </c>
      <c r="P1513" s="8" t="e">
        <v>#N/A</v>
      </c>
    </row>
    <row r="1514">
      <c r="A1514">
        <f>IFERROR(__xludf.DUMMYFUNCTION("""COMPUTED_VALUE"""),7.0)</f>
        <v>7</v>
      </c>
      <c r="B1514">
        <f>IFERROR(__xludf.DUMMYFUNCTION("""COMPUTED_VALUE"""),30115.0)</f>
        <v>30115</v>
      </c>
      <c r="C1514" t="str">
        <f>IFERROR(__xludf.DUMMYFUNCTION("""COMPUTED_VALUE"""),"URIBE VELASQUEZ, AGUSTIN")</f>
        <v>URIBE VELASQUEZ, AGUSTIN</v>
      </c>
      <c r="D1514" t="str">
        <f>IFERROR(__xludf.DUMMYFUNCTION("""COMPUTED_VALUE"""),"Sociales 7A")</f>
        <v>Sociales 7A</v>
      </c>
      <c r="E1514" s="31">
        <f>IFERROR(__xludf.DUMMYFUNCTION("""COMPUTED_VALUE"""),5.0)</f>
        <v>5</v>
      </c>
      <c r="F1514" s="8">
        <v>1.0</v>
      </c>
      <c r="G1514" s="8">
        <v>1.0</v>
      </c>
      <c r="H1514" s="8">
        <v>1.0</v>
      </c>
      <c r="I1514" s="8">
        <v>1.0</v>
      </c>
      <c r="J1514" s="8">
        <v>1.0</v>
      </c>
      <c r="K1514" s="8">
        <v>1.0</v>
      </c>
      <c r="L1514" s="8">
        <v>6.0</v>
      </c>
      <c r="M1514" s="8"/>
      <c r="N1514" s="8"/>
      <c r="O1514" s="8" t="s">
        <v>762</v>
      </c>
      <c r="P1514" s="8" t="e">
        <v>#N/A</v>
      </c>
    </row>
    <row r="1515">
      <c r="A1515">
        <f>IFERROR(__xludf.DUMMYFUNCTION("""COMPUTED_VALUE"""),7.0)</f>
        <v>7</v>
      </c>
      <c r="B1515">
        <f>IFERROR(__xludf.DUMMYFUNCTION("""COMPUTED_VALUE"""),30117.0)</f>
        <v>30117</v>
      </c>
      <c r="C1515" t="str">
        <f>IFERROR(__xludf.DUMMYFUNCTION("""COMPUTED_VALUE"""),"VASQUEZ ECHEVERRI, MARIANA")</f>
        <v>VASQUEZ ECHEVERRI, MARIANA</v>
      </c>
      <c r="D1515" t="str">
        <f>IFERROR(__xludf.DUMMYFUNCTION("""COMPUTED_VALUE"""),"Sociales 7")</f>
        <v>Sociales 7</v>
      </c>
      <c r="E1515" s="31">
        <f>IFERROR(__xludf.DUMMYFUNCTION("""COMPUTED_VALUE"""),1.0)</f>
        <v>1</v>
      </c>
      <c r="F1515" s="8">
        <v>1.0</v>
      </c>
      <c r="G1515" s="8">
        <v>1.0</v>
      </c>
      <c r="H1515" s="8">
        <v>1.0</v>
      </c>
      <c r="I1515" s="8">
        <v>1.0</v>
      </c>
      <c r="J1515" s="8">
        <v>1.0</v>
      </c>
      <c r="K1515" s="8">
        <v>1.0</v>
      </c>
      <c r="L1515" s="8">
        <v>6.0</v>
      </c>
      <c r="M1515" s="8"/>
      <c r="N1515" s="8"/>
      <c r="O1515" s="8" t="s">
        <v>759</v>
      </c>
      <c r="P1515" s="8">
        <v>9.0</v>
      </c>
    </row>
    <row r="1516">
      <c r="A1516">
        <f>IFERROR(__xludf.DUMMYFUNCTION("""COMPUTED_VALUE"""),7.0)</f>
        <v>7</v>
      </c>
      <c r="B1516">
        <f>IFERROR(__xludf.DUMMYFUNCTION("""COMPUTED_VALUE"""),30119.0)</f>
        <v>30119</v>
      </c>
      <c r="C1516" t="str">
        <f>IFERROR(__xludf.DUMMYFUNCTION("""COMPUTED_VALUE"""),"VASQUEZ MUÑOZ, LUCIA")</f>
        <v>VASQUEZ MUÑOZ, LUCIA</v>
      </c>
      <c r="D1516" t="str">
        <f>IFERROR(__xludf.DUMMYFUNCTION("""COMPUTED_VALUE"""),"Sociales 7")</f>
        <v>Sociales 7</v>
      </c>
      <c r="E1516" s="31">
        <f>IFERROR(__xludf.DUMMYFUNCTION("""COMPUTED_VALUE"""),3.0)</f>
        <v>3</v>
      </c>
      <c r="F1516" s="8">
        <v>1.0</v>
      </c>
      <c r="G1516" s="8">
        <v>1.0</v>
      </c>
      <c r="H1516" s="8">
        <v>1.0</v>
      </c>
      <c r="I1516" s="8">
        <v>1.0</v>
      </c>
      <c r="J1516" s="8">
        <v>1.0</v>
      </c>
      <c r="K1516" s="8">
        <v>1.0</v>
      </c>
      <c r="L1516" s="8">
        <v>6.0</v>
      </c>
      <c r="M1516" s="8"/>
      <c r="N1516" s="8"/>
      <c r="O1516" s="8" t="s">
        <v>760</v>
      </c>
      <c r="P1516" s="8">
        <v>9.0</v>
      </c>
    </row>
    <row r="1517">
      <c r="A1517">
        <f>IFERROR(__xludf.DUMMYFUNCTION("""COMPUTED_VALUE"""),7.0)</f>
        <v>7</v>
      </c>
      <c r="B1517">
        <f>IFERROR(__xludf.DUMMYFUNCTION("""COMPUTED_VALUE"""),30162.0)</f>
        <v>30162</v>
      </c>
      <c r="C1517" t="str">
        <f>IFERROR(__xludf.DUMMYFUNCTION("""COMPUTED_VALUE"""),"VASQUEZ TAMAYO, ISABEL")</f>
        <v>VASQUEZ TAMAYO, ISABEL</v>
      </c>
      <c r="D1517" t="str">
        <f>IFERROR(__xludf.DUMMYFUNCTION("""COMPUTED_VALUE"""),"Sociales 7")</f>
        <v>Sociales 7</v>
      </c>
      <c r="E1517" s="31">
        <f>IFERROR(__xludf.DUMMYFUNCTION("""COMPUTED_VALUE"""),2.0)</f>
        <v>2</v>
      </c>
      <c r="F1517" s="8">
        <v>1.0</v>
      </c>
      <c r="G1517" s="8">
        <v>1.0</v>
      </c>
      <c r="H1517" s="8">
        <v>1.0</v>
      </c>
      <c r="I1517" s="8">
        <v>1.0</v>
      </c>
      <c r="J1517" s="8">
        <v>1.0</v>
      </c>
      <c r="K1517" s="8">
        <v>1.0</v>
      </c>
      <c r="L1517" s="8">
        <v>6.0</v>
      </c>
      <c r="M1517" s="8"/>
      <c r="N1517" s="8"/>
      <c r="O1517" s="8" t="s">
        <v>764</v>
      </c>
      <c r="P1517" s="8">
        <v>9.0</v>
      </c>
    </row>
    <row r="1518">
      <c r="A1518">
        <f>IFERROR(__xludf.DUMMYFUNCTION("""COMPUTED_VALUE"""),7.0)</f>
        <v>7</v>
      </c>
      <c r="B1518">
        <f>IFERROR(__xludf.DUMMYFUNCTION("""COMPUTED_VALUE"""),30163.0)</f>
        <v>30163</v>
      </c>
      <c r="C1518" t="str">
        <f>IFERROR(__xludf.DUMMYFUNCTION("""COMPUTED_VALUE"""),"VASQUEZ TAMAYO, PABLO")</f>
        <v>VASQUEZ TAMAYO, PABLO</v>
      </c>
      <c r="D1518" t="str">
        <f>IFERROR(__xludf.DUMMYFUNCTION("""COMPUTED_VALUE"""),"Sociales 7")</f>
        <v>Sociales 7</v>
      </c>
      <c r="E1518" s="31">
        <f>IFERROR(__xludf.DUMMYFUNCTION("""COMPUTED_VALUE"""),5.0)</f>
        <v>5</v>
      </c>
      <c r="F1518" s="8">
        <v>1.0</v>
      </c>
      <c r="G1518" s="8">
        <v>1.0</v>
      </c>
      <c r="H1518" s="8">
        <v>1.0</v>
      </c>
      <c r="I1518" s="8">
        <v>1.0</v>
      </c>
      <c r="J1518" s="8">
        <v>1.0</v>
      </c>
      <c r="K1518" s="8">
        <v>1.0</v>
      </c>
      <c r="L1518" s="8">
        <v>6.0</v>
      </c>
      <c r="M1518" s="8"/>
      <c r="N1518" s="8"/>
      <c r="O1518" s="8" t="s">
        <v>763</v>
      </c>
      <c r="P1518" s="8">
        <v>9.0</v>
      </c>
    </row>
    <row r="1519">
      <c r="A1519">
        <f>IFERROR(__xludf.DUMMYFUNCTION("""COMPUTED_VALUE"""),7.0)</f>
        <v>7</v>
      </c>
      <c r="B1519">
        <f>IFERROR(__xludf.DUMMYFUNCTION("""COMPUTED_VALUE"""),30164.0)</f>
        <v>30164</v>
      </c>
      <c r="C1519" t="str">
        <f>IFERROR(__xludf.DUMMYFUNCTION("""COMPUTED_VALUE"""),"VASQUEZ TAMAYO, SAMUEL")</f>
        <v>VASQUEZ TAMAYO, SAMUEL</v>
      </c>
      <c r="D1519" t="str">
        <f>IFERROR(__xludf.DUMMYFUNCTION("""COMPUTED_VALUE"""),"Sociales 7A")</f>
        <v>Sociales 7A</v>
      </c>
      <c r="E1519" s="31">
        <f>IFERROR(__xludf.DUMMYFUNCTION("""COMPUTED_VALUE"""),1.0)</f>
        <v>1</v>
      </c>
      <c r="F1519" s="8">
        <v>1.0</v>
      </c>
      <c r="G1519" s="8">
        <v>1.0</v>
      </c>
      <c r="H1519" s="8">
        <v>1.0</v>
      </c>
      <c r="I1519" s="8">
        <v>1.0</v>
      </c>
      <c r="J1519" s="8">
        <v>1.0</v>
      </c>
      <c r="K1519" s="8">
        <v>1.0</v>
      </c>
      <c r="L1519" s="8">
        <v>6.0</v>
      </c>
      <c r="M1519" s="8"/>
      <c r="N1519" s="8"/>
      <c r="O1519" s="8" t="s">
        <v>761</v>
      </c>
      <c r="P1519" s="8" t="e">
        <v>#N/A</v>
      </c>
    </row>
    <row r="1520">
      <c r="A1520">
        <f>IFERROR(__xludf.DUMMYFUNCTION("""COMPUTED_VALUE"""),7.0)</f>
        <v>7</v>
      </c>
      <c r="B1520">
        <f>IFERROR(__xludf.DUMMYFUNCTION("""COMPUTED_VALUE"""),30120.0)</f>
        <v>30120</v>
      </c>
      <c r="C1520" t="str">
        <f>IFERROR(__xludf.DUMMYFUNCTION("""COMPUTED_VALUE"""),"VELASQUEZ URIBE, JUAN SEBASTIAN")</f>
        <v>VELASQUEZ URIBE, JUAN SEBASTIAN</v>
      </c>
      <c r="D1520" t="str">
        <f>IFERROR(__xludf.DUMMYFUNCTION("""COMPUTED_VALUE"""),"Sociales 7A")</f>
        <v>Sociales 7A</v>
      </c>
      <c r="E1520" s="31">
        <f>IFERROR(__xludf.DUMMYFUNCTION("""COMPUTED_VALUE"""),5.0)</f>
        <v>5</v>
      </c>
      <c r="F1520" s="8">
        <v>1.0</v>
      </c>
      <c r="G1520" s="8">
        <v>1.0</v>
      </c>
      <c r="H1520" s="8">
        <v>1.0</v>
      </c>
      <c r="I1520" s="8">
        <v>1.0</v>
      </c>
      <c r="J1520" s="8">
        <v>1.0</v>
      </c>
      <c r="K1520" s="8">
        <v>1.0</v>
      </c>
      <c r="L1520" s="8">
        <v>6.0</v>
      </c>
      <c r="M1520" s="8"/>
      <c r="N1520" s="8"/>
      <c r="O1520" s="8" t="s">
        <v>762</v>
      </c>
      <c r="P1520" s="8" t="e">
        <v>#N/A</v>
      </c>
    </row>
    <row r="1521">
      <c r="A1521">
        <f>IFERROR(__xludf.DUMMYFUNCTION("""COMPUTED_VALUE"""),7.0)</f>
        <v>7</v>
      </c>
      <c r="B1521">
        <f>IFERROR(__xludf.DUMMYFUNCTION("""COMPUTED_VALUE"""),30121.0)</f>
        <v>30121</v>
      </c>
      <c r="C1521" t="str">
        <f>IFERROR(__xludf.DUMMYFUNCTION("""COMPUTED_VALUE"""),"VELEZ ECHANDIA, DANIEL")</f>
        <v>VELEZ ECHANDIA, DANIEL</v>
      </c>
      <c r="D1521" t="str">
        <f>IFERROR(__xludf.DUMMYFUNCTION("""COMPUTED_VALUE"""),"Sociales 7")</f>
        <v>Sociales 7</v>
      </c>
      <c r="E1521" s="31">
        <f>IFERROR(__xludf.DUMMYFUNCTION("""COMPUTED_VALUE"""),1.0)</f>
        <v>1</v>
      </c>
      <c r="F1521" s="8">
        <v>1.0</v>
      </c>
      <c r="G1521" s="8">
        <v>1.0</v>
      </c>
      <c r="H1521" s="8">
        <v>1.0</v>
      </c>
      <c r="I1521" s="8">
        <v>1.0</v>
      </c>
      <c r="J1521" s="8">
        <v>1.0</v>
      </c>
      <c r="K1521" s="8">
        <v>1.0</v>
      </c>
      <c r="L1521" s="8">
        <v>6.0</v>
      </c>
      <c r="M1521" s="8"/>
      <c r="N1521" s="8"/>
      <c r="O1521" s="8" t="s">
        <v>759</v>
      </c>
      <c r="P1521" s="8">
        <v>9.0</v>
      </c>
    </row>
    <row r="1522">
      <c r="A1522">
        <f>IFERROR(__xludf.DUMMYFUNCTION("""COMPUTED_VALUE"""),7.0)</f>
        <v>7</v>
      </c>
      <c r="B1522">
        <f>IFERROR(__xludf.DUMMYFUNCTION("""COMPUTED_VALUE"""),30122.0)</f>
        <v>30122</v>
      </c>
      <c r="C1522" t="str">
        <f>IFERROR(__xludf.DUMMYFUNCTION("""COMPUTED_VALUE"""),"VILLEGAS MEJIA, MARTIN")</f>
        <v>VILLEGAS MEJIA, MARTIN</v>
      </c>
      <c r="D1522" t="str">
        <f>IFERROR(__xludf.DUMMYFUNCTION("""COMPUTED_VALUE"""),"Sociales 7")</f>
        <v>Sociales 7</v>
      </c>
      <c r="E1522" s="31">
        <f>IFERROR(__xludf.DUMMYFUNCTION("""COMPUTED_VALUE"""),5.0)</f>
        <v>5</v>
      </c>
      <c r="F1522" s="8">
        <v>1.0</v>
      </c>
      <c r="G1522" s="8">
        <v>1.0</v>
      </c>
      <c r="H1522" s="8">
        <v>1.0</v>
      </c>
      <c r="I1522" s="8">
        <v>1.0</v>
      </c>
      <c r="J1522" s="8">
        <v>1.0</v>
      </c>
      <c r="K1522" s="8">
        <v>1.0</v>
      </c>
      <c r="L1522" s="8">
        <v>6.0</v>
      </c>
      <c r="M1522" s="8"/>
      <c r="N1522" s="8"/>
      <c r="O1522" s="8" t="s">
        <v>763</v>
      </c>
      <c r="P1522" s="8">
        <v>9.0</v>
      </c>
    </row>
    <row r="1523">
      <c r="A1523">
        <f>IFERROR(__xludf.DUMMYFUNCTION("""COMPUTED_VALUE"""),7.0)</f>
        <v>7</v>
      </c>
      <c r="B1523">
        <f>IFERROR(__xludf.DUMMYFUNCTION("""COMPUTED_VALUE"""),30123.0)</f>
        <v>30123</v>
      </c>
      <c r="C1523" t="str">
        <f>IFERROR(__xludf.DUMMYFUNCTION("""COMPUTED_VALUE"""),"YACAMAN RESTREPO, TOMAS")</f>
        <v>YACAMAN RESTREPO, TOMAS</v>
      </c>
      <c r="D1523" t="str">
        <f>IFERROR(__xludf.DUMMYFUNCTION("""COMPUTED_VALUE"""),"Sociales 7")</f>
        <v>Sociales 7</v>
      </c>
      <c r="E1523" s="31">
        <f>IFERROR(__xludf.DUMMYFUNCTION("""COMPUTED_VALUE"""),2.0)</f>
        <v>2</v>
      </c>
      <c r="F1523" s="8">
        <v>1.0</v>
      </c>
      <c r="G1523" s="8">
        <v>1.0</v>
      </c>
      <c r="H1523" s="8">
        <v>1.0</v>
      </c>
      <c r="I1523" s="8">
        <v>1.0</v>
      </c>
      <c r="J1523" s="8">
        <v>1.0</v>
      </c>
      <c r="K1523" s="8">
        <v>1.0</v>
      </c>
      <c r="L1523" s="8">
        <v>6.0</v>
      </c>
      <c r="M1523" s="8"/>
      <c r="N1523" s="8"/>
      <c r="O1523" s="8" t="s">
        <v>764</v>
      </c>
      <c r="P1523" s="8">
        <v>9.0</v>
      </c>
    </row>
    <row r="1524">
      <c r="A1524">
        <f>IFERROR(__xludf.DUMMYFUNCTION("""COMPUTED_VALUE"""),7.0)</f>
        <v>7</v>
      </c>
      <c r="B1524">
        <f>IFERROR(__xludf.DUMMYFUNCTION("""COMPUTED_VALUE"""),30124.0)</f>
        <v>30124</v>
      </c>
      <c r="C1524" t="str">
        <f>IFERROR(__xludf.DUMMYFUNCTION("""COMPUTED_VALUE"""),"YEPES RAMIREZ, LUCIANA")</f>
        <v>YEPES RAMIREZ, LUCIANA</v>
      </c>
      <c r="D1524" t="str">
        <f>IFERROR(__xludf.DUMMYFUNCTION("""COMPUTED_VALUE"""),"Sociales 7")</f>
        <v>Sociales 7</v>
      </c>
      <c r="E1524" s="31">
        <f>IFERROR(__xludf.DUMMYFUNCTION("""COMPUTED_VALUE"""),3.0)</f>
        <v>3</v>
      </c>
      <c r="F1524" s="8">
        <v>1.0</v>
      </c>
      <c r="G1524" s="8">
        <v>1.0</v>
      </c>
      <c r="H1524" s="8">
        <v>1.0</v>
      </c>
      <c r="I1524" s="8">
        <v>1.0</v>
      </c>
      <c r="J1524" s="8">
        <v>1.0</v>
      </c>
      <c r="K1524" s="8">
        <v>1.0</v>
      </c>
      <c r="L1524" s="8">
        <v>6.0</v>
      </c>
      <c r="M1524" s="8"/>
      <c r="N1524" s="8"/>
      <c r="O1524" s="8" t="s">
        <v>760</v>
      </c>
      <c r="P1524" s="8">
        <v>9.0</v>
      </c>
    </row>
    <row r="1525">
      <c r="A1525">
        <f>IFERROR(__xludf.DUMMYFUNCTION("""COMPUTED_VALUE"""),7.0)</f>
        <v>7</v>
      </c>
      <c r="B1525">
        <f>IFERROR(__xludf.DUMMYFUNCTION("""COMPUTED_VALUE"""),30125.0)</f>
        <v>30125</v>
      </c>
      <c r="C1525" t="str">
        <f>IFERROR(__xludf.DUMMYFUNCTION("""COMPUTED_VALUE"""),"ZAPATA URIBE, MARTINA")</f>
        <v>ZAPATA URIBE, MARTINA</v>
      </c>
      <c r="D1525" t="str">
        <f>IFERROR(__xludf.DUMMYFUNCTION("""COMPUTED_VALUE"""),"Sociales 7A")</f>
        <v>Sociales 7A</v>
      </c>
      <c r="E1525" s="31">
        <f>IFERROR(__xludf.DUMMYFUNCTION("""COMPUTED_VALUE"""),1.0)</f>
        <v>1</v>
      </c>
      <c r="F1525" s="8">
        <v>1.0</v>
      </c>
      <c r="G1525" s="8">
        <v>1.0</v>
      </c>
      <c r="H1525" s="8">
        <v>1.0</v>
      </c>
      <c r="I1525" s="8">
        <v>1.0</v>
      </c>
      <c r="J1525" s="8">
        <v>1.0</v>
      </c>
      <c r="K1525" s="8">
        <v>1.0</v>
      </c>
      <c r="L1525" s="8">
        <v>6.0</v>
      </c>
      <c r="M1525" s="8"/>
      <c r="N1525" s="8"/>
      <c r="O1525" s="8" t="s">
        <v>761</v>
      </c>
      <c r="P1525" s="8" t="e">
        <v>#N/A</v>
      </c>
    </row>
    <row r="1526">
      <c r="A1526">
        <f>IFERROR(__xludf.DUMMYFUNCTION("""COMPUTED_VALUE"""),7.0)</f>
        <v>7</v>
      </c>
      <c r="B1526">
        <f>IFERROR(__xludf.DUMMYFUNCTION("""COMPUTED_VALUE"""),30126.0)</f>
        <v>30126</v>
      </c>
      <c r="C1526" t="str">
        <f>IFERROR(__xludf.DUMMYFUNCTION("""COMPUTED_VALUE"""),"ZULOAGA AYUB, NICOLAS")</f>
        <v>ZULOAGA AYUB, NICOLAS</v>
      </c>
      <c r="D1526" t="str">
        <f>IFERROR(__xludf.DUMMYFUNCTION("""COMPUTED_VALUE"""),"Sociales 7A")</f>
        <v>Sociales 7A</v>
      </c>
      <c r="E1526" s="31">
        <f>IFERROR(__xludf.DUMMYFUNCTION("""COMPUTED_VALUE"""),5.0)</f>
        <v>5</v>
      </c>
      <c r="F1526" s="8">
        <v>1.0</v>
      </c>
      <c r="G1526" s="8">
        <v>1.0</v>
      </c>
      <c r="H1526" s="8">
        <v>1.0</v>
      </c>
      <c r="I1526" s="8">
        <v>1.0</v>
      </c>
      <c r="J1526" s="8">
        <v>1.0</v>
      </c>
      <c r="K1526" s="8">
        <v>1.0</v>
      </c>
      <c r="L1526" s="8">
        <v>6.0</v>
      </c>
      <c r="M1526" s="8"/>
      <c r="N1526" s="8"/>
      <c r="O1526" s="8" t="s">
        <v>762</v>
      </c>
      <c r="P1526" s="8" t="e">
        <v>#N/A</v>
      </c>
    </row>
    <row r="1527">
      <c r="A1527">
        <f>IFERROR(__xludf.DUMMYFUNCTION("""COMPUTED_VALUE"""),7.0)</f>
        <v>7</v>
      </c>
      <c r="B1527">
        <f>IFERROR(__xludf.DUMMYFUNCTION("""COMPUTED_VALUE"""),30127.0)</f>
        <v>30127</v>
      </c>
      <c r="C1527" t="str">
        <f>IFERROR(__xludf.DUMMYFUNCTION("""COMPUTED_VALUE"""),"ZULUAGA SIERRA, MATIAS")</f>
        <v>ZULUAGA SIERRA, MATIAS</v>
      </c>
      <c r="D1527" t="str">
        <f>IFERROR(__xludf.DUMMYFUNCTION("""COMPUTED_VALUE"""),"Sociales 7")</f>
        <v>Sociales 7</v>
      </c>
      <c r="E1527" s="31">
        <f>IFERROR(__xludf.DUMMYFUNCTION("""COMPUTED_VALUE"""),1.0)</f>
        <v>1</v>
      </c>
      <c r="F1527" s="8">
        <v>1.0</v>
      </c>
      <c r="G1527" s="8">
        <v>1.0</v>
      </c>
      <c r="H1527" s="8">
        <v>1.0</v>
      </c>
      <c r="I1527" s="8">
        <v>1.0</v>
      </c>
      <c r="J1527" s="8">
        <v>1.0</v>
      </c>
      <c r="K1527" s="8">
        <v>1.0</v>
      </c>
      <c r="L1527" s="8">
        <v>6.0</v>
      </c>
      <c r="M1527" s="8"/>
      <c r="N1527" s="8"/>
      <c r="O1527" s="8" t="s">
        <v>759</v>
      </c>
      <c r="P1527" s="8">
        <v>9.0</v>
      </c>
    </row>
    <row r="1528">
      <c r="A1528">
        <f>IFERROR(__xludf.DUMMYFUNCTION("""COMPUTED_VALUE"""),8.0)</f>
        <v>8</v>
      </c>
      <c r="B1528">
        <f>IFERROR(__xludf.DUMMYFUNCTION("""COMPUTED_VALUE"""),29001.0)</f>
        <v>29001</v>
      </c>
      <c r="C1528" t="str">
        <f>IFERROR(__xludf.DUMMYFUNCTION("""COMPUTED_VALUE"""),"ACEVEDO ARANGO, ROSARIO")</f>
        <v>ACEVEDO ARANGO, ROSARIO</v>
      </c>
      <c r="D1528" t="str">
        <f>IFERROR(__xludf.DUMMYFUNCTION("""COMPUTED_VALUE"""),"Sociales 8")</f>
        <v>Sociales 8</v>
      </c>
      <c r="E1528" s="31">
        <f>IFERROR(__xludf.DUMMYFUNCTION("""COMPUTED_VALUE"""),1.0)</f>
        <v>1</v>
      </c>
      <c r="F1528" s="8">
        <v>1.0</v>
      </c>
      <c r="G1528" s="8">
        <v>1.0</v>
      </c>
      <c r="H1528" s="8">
        <v>1.0</v>
      </c>
      <c r="I1528" s="8">
        <v>1.0</v>
      </c>
      <c r="J1528" s="8">
        <v>1.0</v>
      </c>
      <c r="K1528" s="8">
        <v>1.0</v>
      </c>
      <c r="L1528" s="8">
        <v>6.0</v>
      </c>
      <c r="M1528" s="8"/>
      <c r="N1528" s="8"/>
      <c r="O1528" s="8" t="s">
        <v>765</v>
      </c>
      <c r="P1528" s="8" t="e">
        <v>#N/A</v>
      </c>
    </row>
    <row r="1529">
      <c r="A1529">
        <f>IFERROR(__xludf.DUMMYFUNCTION("""COMPUTED_VALUE"""),8.0)</f>
        <v>8</v>
      </c>
      <c r="B1529">
        <f>IFERROR(__xludf.DUMMYFUNCTION("""COMPUTED_VALUE"""),29002.0)</f>
        <v>29002</v>
      </c>
      <c r="C1529" t="str">
        <f>IFERROR(__xludf.DUMMYFUNCTION("""COMPUTED_VALUE"""),"ACEVEDO OCHOA, MARIA DEL MAR")</f>
        <v>ACEVEDO OCHOA, MARIA DEL MAR</v>
      </c>
      <c r="D1529" t="str">
        <f>IFERROR(__xludf.DUMMYFUNCTION("""COMPUTED_VALUE"""),"Sociales 8")</f>
        <v>Sociales 8</v>
      </c>
      <c r="E1529" s="31">
        <f>IFERROR(__xludf.DUMMYFUNCTION("""COMPUTED_VALUE"""),2.0)</f>
        <v>2</v>
      </c>
      <c r="F1529" s="8">
        <v>1.0</v>
      </c>
      <c r="G1529" s="8">
        <v>1.0</v>
      </c>
      <c r="H1529" s="8">
        <v>1.0</v>
      </c>
      <c r="I1529" s="8">
        <v>1.0</v>
      </c>
      <c r="J1529" s="8">
        <v>1.0</v>
      </c>
      <c r="K1529" s="8">
        <v>1.0</v>
      </c>
      <c r="L1529" s="8">
        <v>6.0</v>
      </c>
      <c r="M1529" s="8"/>
      <c r="N1529" s="8"/>
      <c r="O1529" s="8" t="s">
        <v>766</v>
      </c>
      <c r="P1529" s="8" t="e">
        <v>#N/A</v>
      </c>
    </row>
    <row r="1530">
      <c r="A1530">
        <f>IFERROR(__xludf.DUMMYFUNCTION("""COMPUTED_VALUE"""),8.0)</f>
        <v>8</v>
      </c>
      <c r="B1530">
        <f>IFERROR(__xludf.DUMMYFUNCTION("""COMPUTED_VALUE"""),29003.0)</f>
        <v>29003</v>
      </c>
      <c r="C1530" t="str">
        <f>IFERROR(__xludf.DUMMYFUNCTION("""COMPUTED_VALUE"""),"ACEVEDO OROZCO, MARIA CELESTE")</f>
        <v>ACEVEDO OROZCO, MARIA CELESTE</v>
      </c>
      <c r="D1530" t="str">
        <f>IFERROR(__xludf.DUMMYFUNCTION("""COMPUTED_VALUE"""),"Sociales 8")</f>
        <v>Sociales 8</v>
      </c>
      <c r="E1530" s="31">
        <f>IFERROR(__xludf.DUMMYFUNCTION("""COMPUTED_VALUE"""),3.0)</f>
        <v>3</v>
      </c>
      <c r="F1530" s="8">
        <v>1.0</v>
      </c>
      <c r="G1530" s="8">
        <v>1.0</v>
      </c>
      <c r="H1530" s="8">
        <v>1.0</v>
      </c>
      <c r="I1530" s="8">
        <v>1.0</v>
      </c>
      <c r="J1530" s="8">
        <v>1.0</v>
      </c>
      <c r="K1530" s="8">
        <v>1.0</v>
      </c>
      <c r="L1530" s="8">
        <v>6.0</v>
      </c>
      <c r="M1530" s="8"/>
      <c r="N1530" s="8"/>
      <c r="O1530" s="8" t="s">
        <v>767</v>
      </c>
      <c r="P1530" s="8" t="e">
        <v>#N/A</v>
      </c>
    </row>
    <row r="1531">
      <c r="A1531">
        <f>IFERROR(__xludf.DUMMYFUNCTION("""COMPUTED_VALUE"""),8.0)</f>
        <v>8</v>
      </c>
      <c r="B1531">
        <f>IFERROR(__xludf.DUMMYFUNCTION("""COMPUTED_VALUE"""),29004.0)</f>
        <v>29004</v>
      </c>
      <c r="C1531" t="str">
        <f>IFERROR(__xludf.DUMMYFUNCTION("""COMPUTED_VALUE"""),"AGUIRRE ARANGO, DAVID")</f>
        <v>AGUIRRE ARANGO, DAVID</v>
      </c>
      <c r="D1531" t="str">
        <f>IFERROR(__xludf.DUMMYFUNCTION("""COMPUTED_VALUE"""),"Sociales 8")</f>
        <v>Sociales 8</v>
      </c>
      <c r="E1531" s="31">
        <f>IFERROR(__xludf.DUMMYFUNCTION("""COMPUTED_VALUE"""),3.0)</f>
        <v>3</v>
      </c>
      <c r="F1531" s="8">
        <v>1.0</v>
      </c>
      <c r="G1531" s="8">
        <v>1.0</v>
      </c>
      <c r="H1531" s="8">
        <v>1.0</v>
      </c>
      <c r="I1531" s="8">
        <v>1.0</v>
      </c>
      <c r="J1531" s="8">
        <v>1.0</v>
      </c>
      <c r="K1531" s="8">
        <v>1.0</v>
      </c>
      <c r="L1531" s="8">
        <v>6.0</v>
      </c>
      <c r="M1531" s="8"/>
      <c r="N1531" s="8"/>
      <c r="O1531" s="8" t="s">
        <v>767</v>
      </c>
      <c r="P1531" s="8" t="e">
        <v>#N/A</v>
      </c>
    </row>
    <row r="1532">
      <c r="A1532">
        <f>IFERROR(__xludf.DUMMYFUNCTION("""COMPUTED_VALUE"""),8.0)</f>
        <v>8</v>
      </c>
      <c r="B1532">
        <f>IFERROR(__xludf.DUMMYFUNCTION("""COMPUTED_VALUE"""),29170.0)</f>
        <v>29170</v>
      </c>
      <c r="C1532" t="str">
        <f>IFERROR(__xludf.DUMMYFUNCTION("""COMPUTED_VALUE"""),"ALVAREZ CARDENAS, JUAN EMILIO")</f>
        <v>ALVAREZ CARDENAS, JUAN EMILIO</v>
      </c>
      <c r="D1532" t="str">
        <f>IFERROR(__xludf.DUMMYFUNCTION("""COMPUTED_VALUE"""),"Sociales 8")</f>
        <v>Sociales 8</v>
      </c>
      <c r="E1532" s="31">
        <f>IFERROR(__xludf.DUMMYFUNCTION("""COMPUTED_VALUE"""),3.0)</f>
        <v>3</v>
      </c>
      <c r="F1532" s="8">
        <v>1.0</v>
      </c>
      <c r="G1532" s="8">
        <v>1.0</v>
      </c>
      <c r="H1532" s="8">
        <v>1.0</v>
      </c>
      <c r="I1532" s="8">
        <v>1.0</v>
      </c>
      <c r="J1532" s="8">
        <v>1.0</v>
      </c>
      <c r="K1532" s="8">
        <v>1.0</v>
      </c>
      <c r="L1532" s="8">
        <v>6.0</v>
      </c>
      <c r="M1532" s="8"/>
      <c r="N1532" s="8"/>
      <c r="O1532" s="8" t="s">
        <v>767</v>
      </c>
      <c r="P1532" s="8" t="e">
        <v>#N/A</v>
      </c>
    </row>
    <row r="1533">
      <c r="A1533">
        <f>IFERROR(__xludf.DUMMYFUNCTION("""COMPUTED_VALUE"""),8.0)</f>
        <v>8</v>
      </c>
      <c r="B1533">
        <f>IFERROR(__xludf.DUMMYFUNCTION("""COMPUTED_VALUE"""),29007.0)</f>
        <v>29007</v>
      </c>
      <c r="C1533" t="str">
        <f>IFERROR(__xludf.DUMMYFUNCTION("""COMPUTED_VALUE"""),"ALZATE GARCIA, LUCIANA")</f>
        <v>ALZATE GARCIA, LUCIANA</v>
      </c>
      <c r="D1533" t="str">
        <f>IFERROR(__xludf.DUMMYFUNCTION("""COMPUTED_VALUE"""),"Sociales 8")</f>
        <v>Sociales 8</v>
      </c>
      <c r="E1533" s="31">
        <f>IFERROR(__xludf.DUMMYFUNCTION("""COMPUTED_VALUE"""),4.0)</f>
        <v>4</v>
      </c>
      <c r="F1533" s="8">
        <v>1.0</v>
      </c>
      <c r="G1533" s="8">
        <v>1.0</v>
      </c>
      <c r="H1533" s="8">
        <v>1.0</v>
      </c>
      <c r="I1533" s="8">
        <v>1.0</v>
      </c>
      <c r="J1533" s="8">
        <v>1.0</v>
      </c>
      <c r="K1533" s="8">
        <v>1.0</v>
      </c>
      <c r="L1533" s="8">
        <v>6.0</v>
      </c>
      <c r="M1533" s="8"/>
      <c r="N1533" s="8"/>
      <c r="O1533" s="8" t="s">
        <v>768</v>
      </c>
      <c r="P1533" s="8" t="e">
        <v>#N/A</v>
      </c>
    </row>
    <row r="1534">
      <c r="A1534">
        <f>IFERROR(__xludf.DUMMYFUNCTION("""COMPUTED_VALUE"""),8.0)</f>
        <v>8</v>
      </c>
      <c r="B1534">
        <f>IFERROR(__xludf.DUMMYFUNCTION("""COMPUTED_VALUE"""),29008.0)</f>
        <v>29008</v>
      </c>
      <c r="C1534" t="str">
        <f>IFERROR(__xludf.DUMMYFUNCTION("""COMPUTED_VALUE"""),"APA ECHAVARRIA, LORENZO")</f>
        <v>APA ECHAVARRIA, LORENZO</v>
      </c>
      <c r="D1534" t="str">
        <f>IFERROR(__xludf.DUMMYFUNCTION("""COMPUTED_VALUE"""),"Sociales 8")</f>
        <v>Sociales 8</v>
      </c>
      <c r="E1534" s="31">
        <f>IFERROR(__xludf.DUMMYFUNCTION("""COMPUTED_VALUE"""),1.0)</f>
        <v>1</v>
      </c>
      <c r="F1534" s="8">
        <v>1.0</v>
      </c>
      <c r="G1534" s="8">
        <v>1.0</v>
      </c>
      <c r="H1534" s="8">
        <v>1.0</v>
      </c>
      <c r="I1534" s="8">
        <v>1.0</v>
      </c>
      <c r="J1534" s="8">
        <v>1.0</v>
      </c>
      <c r="K1534" s="8">
        <v>1.0</v>
      </c>
      <c r="L1534" s="8">
        <v>6.0</v>
      </c>
      <c r="M1534" s="8"/>
      <c r="N1534" s="8"/>
      <c r="O1534" s="8" t="s">
        <v>765</v>
      </c>
      <c r="P1534" s="8" t="e">
        <v>#N/A</v>
      </c>
    </row>
    <row r="1535">
      <c r="A1535">
        <f>IFERROR(__xludf.DUMMYFUNCTION("""COMPUTED_VALUE"""),8.0)</f>
        <v>8</v>
      </c>
      <c r="B1535">
        <f>IFERROR(__xludf.DUMMYFUNCTION("""COMPUTED_VALUE"""),29009.0)</f>
        <v>29009</v>
      </c>
      <c r="C1535" t="str">
        <f>IFERROR(__xludf.DUMMYFUNCTION("""COMPUTED_VALUE"""),"ARANGO MOLINA, ALICIA")</f>
        <v>ARANGO MOLINA, ALICIA</v>
      </c>
      <c r="D1535" t="str">
        <f>IFERROR(__xludf.DUMMYFUNCTION("""COMPUTED_VALUE"""),"Sociales 8")</f>
        <v>Sociales 8</v>
      </c>
      <c r="E1535" s="31">
        <f>IFERROR(__xludf.DUMMYFUNCTION("""COMPUTED_VALUE"""),2.0)</f>
        <v>2</v>
      </c>
      <c r="F1535" s="8">
        <v>1.0</v>
      </c>
      <c r="G1535" s="8">
        <v>1.0</v>
      </c>
      <c r="H1535" s="8">
        <v>1.0</v>
      </c>
      <c r="I1535" s="8">
        <v>1.0</v>
      </c>
      <c r="J1535" s="8">
        <v>1.0</v>
      </c>
      <c r="K1535" s="8">
        <v>1.0</v>
      </c>
      <c r="L1535" s="8">
        <v>6.0</v>
      </c>
      <c r="M1535" s="8"/>
      <c r="N1535" s="8"/>
      <c r="O1535" s="8" t="s">
        <v>766</v>
      </c>
      <c r="P1535" s="8" t="e">
        <v>#N/A</v>
      </c>
    </row>
    <row r="1536">
      <c r="A1536">
        <f>IFERROR(__xludf.DUMMYFUNCTION("""COMPUTED_VALUE"""),8.0)</f>
        <v>8</v>
      </c>
      <c r="B1536">
        <f>IFERROR(__xludf.DUMMYFUNCTION("""COMPUTED_VALUE"""),29010.0)</f>
        <v>29010</v>
      </c>
      <c r="C1536" t="str">
        <f>IFERROR(__xludf.DUMMYFUNCTION("""COMPUTED_VALUE"""),"ARANGO NAVARRO, MANUELA")</f>
        <v>ARANGO NAVARRO, MANUELA</v>
      </c>
      <c r="D1536" t="str">
        <f>IFERROR(__xludf.DUMMYFUNCTION("""COMPUTED_VALUE"""),"Sociales 8")</f>
        <v>Sociales 8</v>
      </c>
      <c r="E1536" s="31">
        <f>IFERROR(__xludf.DUMMYFUNCTION("""COMPUTED_VALUE"""),1.0)</f>
        <v>1</v>
      </c>
      <c r="F1536" s="8">
        <v>1.0</v>
      </c>
      <c r="G1536" s="8">
        <v>1.0</v>
      </c>
      <c r="H1536" s="8">
        <v>1.0</v>
      </c>
      <c r="I1536" s="8">
        <v>1.0</v>
      </c>
      <c r="J1536" s="8">
        <v>1.0</v>
      </c>
      <c r="K1536" s="8">
        <v>1.0</v>
      </c>
      <c r="L1536" s="8">
        <v>6.0</v>
      </c>
      <c r="M1536" s="8"/>
      <c r="N1536" s="8"/>
      <c r="O1536" s="8" t="s">
        <v>765</v>
      </c>
      <c r="P1536" s="8" t="e">
        <v>#N/A</v>
      </c>
    </row>
    <row r="1537">
      <c r="A1537">
        <f>IFERROR(__xludf.DUMMYFUNCTION("""COMPUTED_VALUE"""),8.0)</f>
        <v>8</v>
      </c>
      <c r="B1537">
        <f>IFERROR(__xludf.DUMMYFUNCTION("""COMPUTED_VALUE"""),29011.0)</f>
        <v>29011</v>
      </c>
      <c r="C1537" t="str">
        <f>IFERROR(__xludf.DUMMYFUNCTION("""COMPUTED_VALUE"""),"ARANGO RUBIO, ROSARIO")</f>
        <v>ARANGO RUBIO, ROSARIO</v>
      </c>
      <c r="D1537" t="str">
        <f>IFERROR(__xludf.DUMMYFUNCTION("""COMPUTED_VALUE"""),"Sociales 8")</f>
        <v>Sociales 8</v>
      </c>
      <c r="E1537" s="31">
        <f>IFERROR(__xludf.DUMMYFUNCTION("""COMPUTED_VALUE"""),3.0)</f>
        <v>3</v>
      </c>
      <c r="F1537" s="8">
        <v>1.0</v>
      </c>
      <c r="G1537" s="8">
        <v>1.0</v>
      </c>
      <c r="H1537" s="8">
        <v>1.0</v>
      </c>
      <c r="I1537" s="8">
        <v>1.0</v>
      </c>
      <c r="J1537" s="8">
        <v>1.0</v>
      </c>
      <c r="K1537" s="8">
        <v>1.0</v>
      </c>
      <c r="L1537" s="8">
        <v>6.0</v>
      </c>
      <c r="M1537" s="8"/>
      <c r="N1537" s="8"/>
      <c r="O1537" s="8" t="s">
        <v>767</v>
      </c>
      <c r="P1537" s="8" t="e">
        <v>#N/A</v>
      </c>
    </row>
    <row r="1538">
      <c r="A1538">
        <f>IFERROR(__xludf.DUMMYFUNCTION("""COMPUTED_VALUE"""),8.0)</f>
        <v>8</v>
      </c>
      <c r="B1538">
        <f>IFERROR(__xludf.DUMMYFUNCTION("""COMPUTED_VALUE"""),29012.0)</f>
        <v>29012</v>
      </c>
      <c r="C1538" t="str">
        <f>IFERROR(__xludf.DUMMYFUNCTION("""COMPUTED_VALUE"""),"ARANGO VILLA, TOMAS")</f>
        <v>ARANGO VILLA, TOMAS</v>
      </c>
      <c r="D1538" t="str">
        <f>IFERROR(__xludf.DUMMYFUNCTION("""COMPUTED_VALUE"""),"Sociales 8")</f>
        <v>Sociales 8</v>
      </c>
      <c r="E1538" s="31">
        <f>IFERROR(__xludf.DUMMYFUNCTION("""COMPUTED_VALUE"""),3.0)</f>
        <v>3</v>
      </c>
      <c r="F1538" s="8">
        <v>1.0</v>
      </c>
      <c r="G1538" s="8">
        <v>1.0</v>
      </c>
      <c r="H1538" s="8">
        <v>1.0</v>
      </c>
      <c r="I1538" s="8">
        <v>1.0</v>
      </c>
      <c r="J1538" s="8">
        <v>1.0</v>
      </c>
      <c r="K1538" s="8">
        <v>1.0</v>
      </c>
      <c r="L1538" s="8">
        <v>6.0</v>
      </c>
      <c r="M1538" s="8"/>
      <c r="N1538" s="8"/>
      <c r="O1538" s="8" t="s">
        <v>767</v>
      </c>
      <c r="P1538" s="8" t="e">
        <v>#N/A</v>
      </c>
    </row>
    <row r="1539">
      <c r="A1539">
        <f>IFERROR(__xludf.DUMMYFUNCTION("""COMPUTED_VALUE"""),8.0)</f>
        <v>8</v>
      </c>
      <c r="B1539">
        <f>IFERROR(__xludf.DUMMYFUNCTION("""COMPUTED_VALUE"""),28006.0)</f>
        <v>28006</v>
      </c>
      <c r="C1539" t="str">
        <f>IFERROR(__xludf.DUMMYFUNCTION("""COMPUTED_VALUE"""),"ARISTIZABAL ECHAVARRIA, CRISTOBAL")</f>
        <v>ARISTIZABAL ECHAVARRIA, CRISTOBAL</v>
      </c>
      <c r="D1539" t="str">
        <f>IFERROR(__xludf.DUMMYFUNCTION("""COMPUTED_VALUE"""),"Sociales 8")</f>
        <v>Sociales 8</v>
      </c>
      <c r="E1539" s="31">
        <f>IFERROR(__xludf.DUMMYFUNCTION("""COMPUTED_VALUE"""),5.0)</f>
        <v>5</v>
      </c>
      <c r="F1539" s="8">
        <v>1.0</v>
      </c>
      <c r="G1539" s="8">
        <v>1.0</v>
      </c>
      <c r="H1539" s="8">
        <v>1.0</v>
      </c>
      <c r="I1539" s="8">
        <v>1.0</v>
      </c>
      <c r="J1539" s="8">
        <v>1.0</v>
      </c>
      <c r="K1539" s="8">
        <v>1.0</v>
      </c>
      <c r="L1539" s="8">
        <v>6.0</v>
      </c>
      <c r="M1539" s="8"/>
      <c r="N1539" s="8"/>
      <c r="O1539" s="8" t="s">
        <v>769</v>
      </c>
      <c r="P1539" s="8" t="e">
        <v>#N/A</v>
      </c>
    </row>
    <row r="1540">
      <c r="A1540">
        <f>IFERROR(__xludf.DUMMYFUNCTION("""COMPUTED_VALUE"""),8.0)</f>
        <v>8</v>
      </c>
      <c r="B1540">
        <f>IFERROR(__xludf.DUMMYFUNCTION("""COMPUTED_VALUE"""),29015.0)</f>
        <v>29015</v>
      </c>
      <c r="C1540" t="str">
        <f>IFERROR(__xludf.DUMMYFUNCTION("""COMPUTED_VALUE"""),"ARISTIZABAL URIBE, MATIAS")</f>
        <v>ARISTIZABAL URIBE, MATIAS</v>
      </c>
      <c r="D1540" t="str">
        <f>IFERROR(__xludf.DUMMYFUNCTION("""COMPUTED_VALUE"""),"Sociales 8")</f>
        <v>Sociales 8</v>
      </c>
      <c r="E1540" s="31">
        <f>IFERROR(__xludf.DUMMYFUNCTION("""COMPUTED_VALUE"""),3.0)</f>
        <v>3</v>
      </c>
      <c r="F1540" s="8">
        <v>1.0</v>
      </c>
      <c r="G1540" s="8">
        <v>1.0</v>
      </c>
      <c r="H1540" s="8">
        <v>1.0</v>
      </c>
      <c r="I1540" s="8">
        <v>1.0</v>
      </c>
      <c r="J1540" s="8">
        <v>1.0</v>
      </c>
      <c r="K1540" s="8">
        <v>1.0</v>
      </c>
      <c r="L1540" s="8">
        <v>6.0</v>
      </c>
      <c r="M1540" s="8"/>
      <c r="N1540" s="8"/>
      <c r="O1540" s="8" t="s">
        <v>767</v>
      </c>
      <c r="P1540" s="8" t="e">
        <v>#N/A</v>
      </c>
    </row>
    <row r="1541">
      <c r="A1541">
        <f>IFERROR(__xludf.DUMMYFUNCTION("""COMPUTED_VALUE"""),8.0)</f>
        <v>8</v>
      </c>
      <c r="B1541">
        <f>IFERROR(__xludf.DUMMYFUNCTION("""COMPUTED_VALUE"""),29016.0)</f>
        <v>29016</v>
      </c>
      <c r="C1541" t="str">
        <f>IFERROR(__xludf.DUMMYFUNCTION("""COMPUTED_VALUE"""),"ARROYAVE LONDOÑO, ELISA")</f>
        <v>ARROYAVE LONDOÑO, ELISA</v>
      </c>
      <c r="D1541" t="str">
        <f>IFERROR(__xludf.DUMMYFUNCTION("""COMPUTED_VALUE"""),"Sociales 8")</f>
        <v>Sociales 8</v>
      </c>
      <c r="E1541" s="31">
        <f>IFERROR(__xludf.DUMMYFUNCTION("""COMPUTED_VALUE"""),1.0)</f>
        <v>1</v>
      </c>
      <c r="F1541" s="8">
        <v>1.0</v>
      </c>
      <c r="G1541" s="8">
        <v>1.0</v>
      </c>
      <c r="H1541" s="8">
        <v>1.0</v>
      </c>
      <c r="I1541" s="8">
        <v>1.0</v>
      </c>
      <c r="J1541" s="8">
        <v>1.0</v>
      </c>
      <c r="K1541" s="8">
        <v>1.0</v>
      </c>
      <c r="L1541" s="8">
        <v>6.0</v>
      </c>
      <c r="M1541" s="8"/>
      <c r="N1541" s="8"/>
      <c r="O1541" s="8" t="s">
        <v>765</v>
      </c>
      <c r="P1541" s="8" t="e">
        <v>#N/A</v>
      </c>
    </row>
    <row r="1542">
      <c r="A1542">
        <f>IFERROR(__xludf.DUMMYFUNCTION("""COMPUTED_VALUE"""),8.0)</f>
        <v>8</v>
      </c>
      <c r="B1542">
        <f>IFERROR(__xludf.DUMMYFUNCTION("""COMPUTED_VALUE"""),29018.0)</f>
        <v>29018</v>
      </c>
      <c r="C1542" t="str">
        <f>IFERROR(__xludf.DUMMYFUNCTION("""COMPUTED_VALUE"""),"BAENA GIRALDO, VIOLETA")</f>
        <v>BAENA GIRALDO, VIOLETA</v>
      </c>
      <c r="D1542" t="str">
        <f>IFERROR(__xludf.DUMMYFUNCTION("""COMPUTED_VALUE"""),"Sociales 8")</f>
        <v>Sociales 8</v>
      </c>
      <c r="E1542" s="31">
        <f>IFERROR(__xludf.DUMMYFUNCTION("""COMPUTED_VALUE"""),2.0)</f>
        <v>2</v>
      </c>
      <c r="F1542" s="8">
        <v>1.0</v>
      </c>
      <c r="G1542" s="8">
        <v>1.0</v>
      </c>
      <c r="H1542" s="8">
        <v>1.0</v>
      </c>
      <c r="I1542" s="8">
        <v>1.0</v>
      </c>
      <c r="J1542" s="8">
        <v>1.0</v>
      </c>
      <c r="K1542" s="8">
        <v>1.0</v>
      </c>
      <c r="L1542" s="8">
        <v>6.0</v>
      </c>
      <c r="M1542" s="8"/>
      <c r="N1542" s="8"/>
      <c r="O1542" s="8" t="s">
        <v>766</v>
      </c>
      <c r="P1542" s="8" t="e">
        <v>#N/A</v>
      </c>
    </row>
    <row r="1543">
      <c r="A1543">
        <f>IFERROR(__xludf.DUMMYFUNCTION("""COMPUTED_VALUE"""),8.0)</f>
        <v>8</v>
      </c>
      <c r="B1543">
        <f>IFERROR(__xludf.DUMMYFUNCTION("""COMPUTED_VALUE"""),29019.0)</f>
        <v>29019</v>
      </c>
      <c r="C1543" t="str">
        <f>IFERROR(__xludf.DUMMYFUNCTION("""COMPUTED_VALUE"""),"BARRIENTOS ALVAREZ, ELISA")</f>
        <v>BARRIENTOS ALVAREZ, ELISA</v>
      </c>
      <c r="D1543" t="str">
        <f>IFERROR(__xludf.DUMMYFUNCTION("""COMPUTED_VALUE"""),"Sociales 8")</f>
        <v>Sociales 8</v>
      </c>
      <c r="E1543" s="31">
        <f>IFERROR(__xludf.DUMMYFUNCTION("""COMPUTED_VALUE"""),5.0)</f>
        <v>5</v>
      </c>
      <c r="F1543" s="8">
        <v>1.0</v>
      </c>
      <c r="G1543" s="8">
        <v>1.0</v>
      </c>
      <c r="H1543" s="8">
        <v>1.0</v>
      </c>
      <c r="I1543" s="8">
        <v>1.0</v>
      </c>
      <c r="J1543" s="8">
        <v>1.0</v>
      </c>
      <c r="K1543" s="8">
        <v>1.0</v>
      </c>
      <c r="L1543" s="8">
        <v>6.0</v>
      </c>
      <c r="M1543" s="8"/>
      <c r="N1543" s="8"/>
      <c r="O1543" s="8" t="s">
        <v>769</v>
      </c>
      <c r="P1543" s="8" t="e">
        <v>#N/A</v>
      </c>
    </row>
    <row r="1544">
      <c r="A1544">
        <f>IFERROR(__xludf.DUMMYFUNCTION("""COMPUTED_VALUE"""),8.0)</f>
        <v>8</v>
      </c>
      <c r="B1544">
        <f>IFERROR(__xludf.DUMMYFUNCTION("""COMPUTED_VALUE"""),29160.0)</f>
        <v>29160</v>
      </c>
      <c r="C1544" t="str">
        <f>IFERROR(__xludf.DUMMYFUNCTION("""COMPUTED_VALUE"""),"BARRIOS CASTILLO, NICOLAS GUILLERMO")</f>
        <v>BARRIOS CASTILLO, NICOLAS GUILLERMO</v>
      </c>
      <c r="D1544" t="str">
        <f>IFERROR(__xludf.DUMMYFUNCTION("""COMPUTED_VALUE"""),"Sociales 8A")</f>
        <v>Sociales 8A</v>
      </c>
      <c r="E1544" s="31">
        <f>IFERROR(__xludf.DUMMYFUNCTION("""COMPUTED_VALUE"""),3.0)</f>
        <v>3</v>
      </c>
      <c r="F1544" s="8">
        <v>1.0</v>
      </c>
      <c r="G1544" s="8">
        <v>1.0</v>
      </c>
      <c r="H1544" s="8">
        <v>1.0</v>
      </c>
      <c r="I1544" s="8">
        <v>1.0</v>
      </c>
      <c r="J1544" s="8">
        <v>1.0</v>
      </c>
      <c r="K1544" s="8">
        <v>1.0</v>
      </c>
      <c r="L1544" s="8">
        <v>6.0</v>
      </c>
      <c r="M1544" s="8"/>
      <c r="N1544" s="8"/>
      <c r="O1544" s="8" t="s">
        <v>770</v>
      </c>
      <c r="P1544" s="8" t="e">
        <v>#N/A</v>
      </c>
    </row>
    <row r="1545">
      <c r="A1545">
        <f>IFERROR(__xludf.DUMMYFUNCTION("""COMPUTED_VALUE"""),8.0)</f>
        <v>8</v>
      </c>
      <c r="B1545">
        <f>IFERROR(__xludf.DUMMYFUNCTION("""COMPUTED_VALUE"""),29020.0)</f>
        <v>29020</v>
      </c>
      <c r="C1545" t="str">
        <f>IFERROR(__xludf.DUMMYFUNCTION("""COMPUTED_VALUE"""),"BETANCOURT QUINTERO, LUCAS")</f>
        <v>BETANCOURT QUINTERO, LUCAS</v>
      </c>
      <c r="D1545" t="str">
        <f>IFERROR(__xludf.DUMMYFUNCTION("""COMPUTED_VALUE"""),"Sociales 8")</f>
        <v>Sociales 8</v>
      </c>
      <c r="E1545" s="31">
        <f>IFERROR(__xludf.DUMMYFUNCTION("""COMPUTED_VALUE"""),2.0)</f>
        <v>2</v>
      </c>
      <c r="F1545" s="8">
        <v>1.0</v>
      </c>
      <c r="G1545" s="8">
        <v>1.0</v>
      </c>
      <c r="H1545" s="8">
        <v>1.0</v>
      </c>
      <c r="I1545" s="8">
        <v>1.0</v>
      </c>
      <c r="J1545" s="8">
        <v>1.0</v>
      </c>
      <c r="K1545" s="8">
        <v>1.0</v>
      </c>
      <c r="L1545" s="8">
        <v>6.0</v>
      </c>
      <c r="M1545" s="8"/>
      <c r="N1545" s="8"/>
      <c r="O1545" s="8" t="s">
        <v>766</v>
      </c>
      <c r="P1545" s="8" t="e">
        <v>#N/A</v>
      </c>
    </row>
    <row r="1546">
      <c r="A1546">
        <f>IFERROR(__xludf.DUMMYFUNCTION("""COMPUTED_VALUE"""),8.0)</f>
        <v>8</v>
      </c>
      <c r="B1546">
        <f>IFERROR(__xludf.DUMMYFUNCTION("""COMPUTED_VALUE"""),29021.0)</f>
        <v>29021</v>
      </c>
      <c r="C1546" t="str">
        <f>IFERROR(__xludf.DUMMYFUNCTION("""COMPUTED_VALUE"""),"BETANCOURT QUINTERO, SIMON")</f>
        <v>BETANCOURT QUINTERO, SIMON</v>
      </c>
      <c r="D1546" t="str">
        <f>IFERROR(__xludf.DUMMYFUNCTION("""COMPUTED_VALUE"""),"Sociales 8")</f>
        <v>Sociales 8</v>
      </c>
      <c r="E1546" s="31">
        <f>IFERROR(__xludf.DUMMYFUNCTION("""COMPUTED_VALUE"""),4.0)</f>
        <v>4</v>
      </c>
      <c r="F1546" s="8">
        <v>1.0</v>
      </c>
      <c r="G1546" s="8">
        <v>1.0</v>
      </c>
      <c r="H1546" s="8">
        <v>1.0</v>
      </c>
      <c r="I1546" s="8">
        <v>1.0</v>
      </c>
      <c r="J1546" s="8">
        <v>1.0</v>
      </c>
      <c r="K1546" s="8">
        <v>1.0</v>
      </c>
      <c r="L1546" s="8">
        <v>6.0</v>
      </c>
      <c r="M1546" s="8"/>
      <c r="N1546" s="8"/>
      <c r="O1546" s="8" t="s">
        <v>768</v>
      </c>
      <c r="P1546" s="8" t="e">
        <v>#N/A</v>
      </c>
    </row>
    <row r="1547">
      <c r="A1547">
        <f>IFERROR(__xludf.DUMMYFUNCTION("""COMPUTED_VALUE"""),8.0)</f>
        <v>8</v>
      </c>
      <c r="B1547">
        <f>IFERROR(__xludf.DUMMYFUNCTION("""COMPUTED_VALUE"""),29022.0)</f>
        <v>29022</v>
      </c>
      <c r="C1547" t="str">
        <f>IFERROR(__xludf.DUMMYFUNCTION("""COMPUTED_VALUE"""),"BETANCUR ROBLEDO, PEDRO")</f>
        <v>BETANCUR ROBLEDO, PEDRO</v>
      </c>
      <c r="D1547" t="str">
        <f>IFERROR(__xludf.DUMMYFUNCTION("""COMPUTED_VALUE"""),"Sociales 8")</f>
        <v>Sociales 8</v>
      </c>
      <c r="E1547" s="31">
        <f>IFERROR(__xludf.DUMMYFUNCTION("""COMPUTED_VALUE"""),1.0)</f>
        <v>1</v>
      </c>
      <c r="F1547" s="8">
        <v>1.0</v>
      </c>
      <c r="G1547" s="8">
        <v>1.0</v>
      </c>
      <c r="H1547" s="8">
        <v>1.0</v>
      </c>
      <c r="I1547" s="8">
        <v>1.0</v>
      </c>
      <c r="J1547" s="8">
        <v>1.0</v>
      </c>
      <c r="K1547" s="8">
        <v>1.0</v>
      </c>
      <c r="L1547" s="8">
        <v>6.0</v>
      </c>
      <c r="M1547" s="8"/>
      <c r="N1547" s="8"/>
      <c r="O1547" s="8" t="s">
        <v>765</v>
      </c>
      <c r="P1547" s="8" t="e">
        <v>#N/A</v>
      </c>
    </row>
    <row r="1548">
      <c r="A1548">
        <f>IFERROR(__xludf.DUMMYFUNCTION("""COMPUTED_VALUE"""),8.0)</f>
        <v>8</v>
      </c>
      <c r="B1548">
        <f>IFERROR(__xludf.DUMMYFUNCTION("""COMPUTED_VALUE"""),29167.0)</f>
        <v>29167</v>
      </c>
      <c r="C1548" t="str">
        <f>IFERROR(__xludf.DUMMYFUNCTION("""COMPUTED_VALUE"""),"BISHOP, JULIETTE ROSE")</f>
        <v>BISHOP, JULIETTE ROSE</v>
      </c>
      <c r="D1548" t="str">
        <f>IFERROR(__xludf.DUMMYFUNCTION("""COMPUTED_VALUE"""),"Sociales 8A")</f>
        <v>Sociales 8A</v>
      </c>
      <c r="E1548" s="31">
        <f>IFERROR(__xludf.DUMMYFUNCTION("""COMPUTED_VALUE"""),3.0)</f>
        <v>3</v>
      </c>
      <c r="F1548" s="8">
        <v>1.0</v>
      </c>
      <c r="G1548" s="8">
        <v>1.0</v>
      </c>
      <c r="H1548" s="8">
        <v>1.0</v>
      </c>
      <c r="I1548" s="8">
        <v>1.0</v>
      </c>
      <c r="J1548" s="8">
        <v>1.0</v>
      </c>
      <c r="K1548" s="8">
        <v>1.0</v>
      </c>
      <c r="L1548" s="8">
        <v>6.0</v>
      </c>
      <c r="M1548" s="8"/>
      <c r="N1548" s="8"/>
      <c r="O1548" s="8" t="s">
        <v>770</v>
      </c>
      <c r="P1548" s="8" t="e">
        <v>#N/A</v>
      </c>
    </row>
    <row r="1549">
      <c r="A1549">
        <f>IFERROR(__xludf.DUMMYFUNCTION("""COMPUTED_VALUE"""),8.0)</f>
        <v>8</v>
      </c>
      <c r="B1549">
        <f>IFERROR(__xludf.DUMMYFUNCTION("""COMPUTED_VALUE"""),29023.0)</f>
        <v>29023</v>
      </c>
      <c r="C1549" t="str">
        <f>IFERROR(__xludf.DUMMYFUNCTION("""COMPUTED_VALUE"""),"BOTERO DEL CORRAL, EMILIANA")</f>
        <v>BOTERO DEL CORRAL, EMILIANA</v>
      </c>
      <c r="D1549" t="str">
        <f>IFERROR(__xludf.DUMMYFUNCTION("""COMPUTED_VALUE"""),"Sociales 8")</f>
        <v>Sociales 8</v>
      </c>
      <c r="E1549" s="31">
        <f>IFERROR(__xludf.DUMMYFUNCTION("""COMPUTED_VALUE"""),1.0)</f>
        <v>1</v>
      </c>
      <c r="F1549" s="8">
        <v>1.0</v>
      </c>
      <c r="G1549" s="8">
        <v>1.0</v>
      </c>
      <c r="H1549" s="8">
        <v>1.0</v>
      </c>
      <c r="I1549" s="8">
        <v>1.0</v>
      </c>
      <c r="J1549" s="8">
        <v>1.0</v>
      </c>
      <c r="K1549" s="8">
        <v>1.0</v>
      </c>
      <c r="L1549" s="8">
        <v>6.0</v>
      </c>
      <c r="M1549" s="8"/>
      <c r="N1549" s="8"/>
      <c r="O1549" s="8" t="s">
        <v>765</v>
      </c>
      <c r="P1549" s="8" t="e">
        <v>#N/A</v>
      </c>
    </row>
    <row r="1550">
      <c r="A1550">
        <f>IFERROR(__xludf.DUMMYFUNCTION("""COMPUTED_VALUE"""),8.0)</f>
        <v>8</v>
      </c>
      <c r="B1550">
        <f>IFERROR(__xludf.DUMMYFUNCTION("""COMPUTED_VALUE"""),29161.0)</f>
        <v>29161</v>
      </c>
      <c r="C1550" t="str">
        <f>IFERROR(__xludf.DUMMYFUNCTION("""COMPUTED_VALUE"""),"BURKHALTER, ESPERANZA JOY")</f>
        <v>BURKHALTER, ESPERANZA JOY</v>
      </c>
      <c r="D1550" t="str">
        <f>IFERROR(__xludf.DUMMYFUNCTION("""COMPUTED_VALUE"""),"Sociales 8")</f>
        <v>Sociales 8</v>
      </c>
      <c r="E1550" s="31">
        <f>IFERROR(__xludf.DUMMYFUNCTION("""COMPUTED_VALUE"""),3.0)</f>
        <v>3</v>
      </c>
      <c r="F1550" s="8">
        <v>1.0</v>
      </c>
      <c r="G1550" s="8">
        <v>1.0</v>
      </c>
      <c r="H1550" s="8">
        <v>1.0</v>
      </c>
      <c r="I1550" s="8">
        <v>1.0</v>
      </c>
      <c r="J1550" s="8">
        <v>1.0</v>
      </c>
      <c r="K1550" s="8">
        <v>1.0</v>
      </c>
      <c r="L1550" s="8">
        <v>6.0</v>
      </c>
      <c r="M1550" s="8"/>
      <c r="N1550" s="8"/>
      <c r="O1550" s="8" t="s">
        <v>767</v>
      </c>
      <c r="P1550" s="8" t="e">
        <v>#N/A</v>
      </c>
    </row>
    <row r="1551">
      <c r="A1551">
        <f>IFERROR(__xludf.DUMMYFUNCTION("""COMPUTED_VALUE"""),8.0)</f>
        <v>8</v>
      </c>
      <c r="B1551">
        <f>IFERROR(__xludf.DUMMYFUNCTION("""COMPUTED_VALUE"""),29150.0)</f>
        <v>29150</v>
      </c>
      <c r="C1551" t="str">
        <f>IFERROR(__xludf.DUMMYFUNCTION("""COMPUTED_VALUE"""),"CABAL AYALA, MARTINA")</f>
        <v>CABAL AYALA, MARTINA</v>
      </c>
      <c r="D1551" t="str">
        <f>IFERROR(__xludf.DUMMYFUNCTION("""COMPUTED_VALUE"""),"Sociales 8")</f>
        <v>Sociales 8</v>
      </c>
      <c r="E1551" s="31">
        <f>IFERROR(__xludf.DUMMYFUNCTION("""COMPUTED_VALUE"""),2.0)</f>
        <v>2</v>
      </c>
      <c r="F1551" s="8">
        <v>1.0</v>
      </c>
      <c r="G1551" s="8">
        <v>1.0</v>
      </c>
      <c r="H1551" s="8">
        <v>1.0</v>
      </c>
      <c r="I1551" s="8">
        <v>1.0</v>
      </c>
      <c r="J1551" s="8">
        <v>1.0</v>
      </c>
      <c r="K1551" s="8">
        <v>1.0</v>
      </c>
      <c r="L1551" s="8">
        <v>6.0</v>
      </c>
      <c r="M1551" s="8"/>
      <c r="N1551" s="8"/>
      <c r="O1551" s="8" t="s">
        <v>766</v>
      </c>
      <c r="P1551" s="8" t="e">
        <v>#N/A</v>
      </c>
    </row>
    <row r="1552">
      <c r="A1552">
        <f>IFERROR(__xludf.DUMMYFUNCTION("""COMPUTED_VALUE"""),8.0)</f>
        <v>8</v>
      </c>
      <c r="B1552">
        <f>IFERROR(__xludf.DUMMYFUNCTION("""COMPUTED_VALUE"""),29024.0)</f>
        <v>29024</v>
      </c>
      <c r="C1552" t="str">
        <f>IFERROR(__xludf.DUMMYFUNCTION("""COMPUTED_VALUE"""),"CADAVID RESTREPO, LUIS FERNANDO")</f>
        <v>CADAVID RESTREPO, LUIS FERNANDO</v>
      </c>
      <c r="D1552" t="str">
        <f>IFERROR(__xludf.DUMMYFUNCTION("""COMPUTED_VALUE"""),"Sociales 8")</f>
        <v>Sociales 8</v>
      </c>
      <c r="E1552" s="31">
        <f>IFERROR(__xludf.DUMMYFUNCTION("""COMPUTED_VALUE"""),3.0)</f>
        <v>3</v>
      </c>
      <c r="F1552" s="8">
        <v>1.0</v>
      </c>
      <c r="G1552" s="8">
        <v>1.0</v>
      </c>
      <c r="H1552" s="8">
        <v>1.0</v>
      </c>
      <c r="I1552" s="8">
        <v>1.0</v>
      </c>
      <c r="J1552" s="8">
        <v>1.0</v>
      </c>
      <c r="K1552" s="8">
        <v>1.0</v>
      </c>
      <c r="L1552" s="8">
        <v>6.0</v>
      </c>
      <c r="M1552" s="8"/>
      <c r="N1552" s="8"/>
      <c r="O1552" s="8" t="s">
        <v>767</v>
      </c>
      <c r="P1552" s="8" t="e">
        <v>#N/A</v>
      </c>
    </row>
    <row r="1553">
      <c r="A1553">
        <f>IFERROR(__xludf.DUMMYFUNCTION("""COMPUTED_VALUE"""),8.0)</f>
        <v>8</v>
      </c>
      <c r="B1553">
        <f>IFERROR(__xludf.DUMMYFUNCTION("""COMPUTED_VALUE"""),29025.0)</f>
        <v>29025</v>
      </c>
      <c r="C1553" t="str">
        <f>IFERROR(__xludf.DUMMYFUNCTION("""COMPUTED_VALUE"""),"CALLE BUITRAGO, ESTEBAN")</f>
        <v>CALLE BUITRAGO, ESTEBAN</v>
      </c>
      <c r="D1553" t="str">
        <f>IFERROR(__xludf.DUMMYFUNCTION("""COMPUTED_VALUE"""),"Sociales 8")</f>
        <v>Sociales 8</v>
      </c>
      <c r="E1553" s="31">
        <f>IFERROR(__xludf.DUMMYFUNCTION("""COMPUTED_VALUE"""),3.0)</f>
        <v>3</v>
      </c>
      <c r="F1553" s="8">
        <v>1.0</v>
      </c>
      <c r="G1553" s="8">
        <v>1.0</v>
      </c>
      <c r="H1553" s="8">
        <v>1.0</v>
      </c>
      <c r="I1553" s="8">
        <v>1.0</v>
      </c>
      <c r="J1553" s="8">
        <v>1.0</v>
      </c>
      <c r="K1553" s="8">
        <v>1.0</v>
      </c>
      <c r="L1553" s="8">
        <v>6.0</v>
      </c>
      <c r="M1553" s="8"/>
      <c r="N1553" s="8"/>
      <c r="O1553" s="8" t="s">
        <v>767</v>
      </c>
      <c r="P1553" s="8" t="e">
        <v>#N/A</v>
      </c>
    </row>
    <row r="1554">
      <c r="A1554">
        <f>IFERROR(__xludf.DUMMYFUNCTION("""COMPUTED_VALUE"""),8.0)</f>
        <v>8</v>
      </c>
      <c r="B1554">
        <f>IFERROR(__xludf.DUMMYFUNCTION("""COMPUTED_VALUE"""),29027.0)</f>
        <v>29027</v>
      </c>
      <c r="C1554" t="str">
        <f>IFERROR(__xludf.DUMMYFUNCTION("""COMPUTED_VALUE"""),"CARDONA VELEZ, MATIAS")</f>
        <v>CARDONA VELEZ, MATIAS</v>
      </c>
      <c r="D1554" t="str">
        <f>IFERROR(__xludf.DUMMYFUNCTION("""COMPUTED_VALUE"""),"Sociales 8A")</f>
        <v>Sociales 8A</v>
      </c>
      <c r="E1554" s="31">
        <f>IFERROR(__xludf.DUMMYFUNCTION("""COMPUTED_VALUE"""),3.0)</f>
        <v>3</v>
      </c>
      <c r="F1554" s="8">
        <v>1.0</v>
      </c>
      <c r="G1554" s="8">
        <v>1.0</v>
      </c>
      <c r="H1554" s="8">
        <v>1.0</v>
      </c>
      <c r="I1554" s="8">
        <v>1.0</v>
      </c>
      <c r="J1554" s="8">
        <v>1.0</v>
      </c>
      <c r="K1554" s="8">
        <v>1.0</v>
      </c>
      <c r="L1554" s="8">
        <v>6.0</v>
      </c>
      <c r="M1554" s="8"/>
      <c r="N1554" s="8"/>
      <c r="O1554" s="8" t="s">
        <v>770</v>
      </c>
      <c r="P1554" s="8" t="e">
        <v>#N/A</v>
      </c>
    </row>
    <row r="1555">
      <c r="A1555">
        <f>IFERROR(__xludf.DUMMYFUNCTION("""COMPUTED_VALUE"""),8.0)</f>
        <v>8</v>
      </c>
      <c r="B1555">
        <f>IFERROR(__xludf.DUMMYFUNCTION("""COMPUTED_VALUE"""),29028.0)</f>
        <v>29028</v>
      </c>
      <c r="C1555" t="str">
        <f>IFERROR(__xludf.DUMMYFUNCTION("""COMPUTED_VALUE"""),"CARVAJAL ACOSTA, MARTIN")</f>
        <v>CARVAJAL ACOSTA, MARTIN</v>
      </c>
      <c r="D1555" t="str">
        <f>IFERROR(__xludf.DUMMYFUNCTION("""COMPUTED_VALUE"""),"Sociales 8")</f>
        <v>Sociales 8</v>
      </c>
      <c r="E1555" s="31">
        <f>IFERROR(__xludf.DUMMYFUNCTION("""COMPUTED_VALUE"""),5.0)</f>
        <v>5</v>
      </c>
      <c r="F1555" s="8">
        <v>1.0</v>
      </c>
      <c r="G1555" s="8">
        <v>1.0</v>
      </c>
      <c r="H1555" s="8">
        <v>1.0</v>
      </c>
      <c r="I1555" s="8">
        <v>1.0</v>
      </c>
      <c r="J1555" s="8">
        <v>1.0</v>
      </c>
      <c r="K1555" s="8">
        <v>1.0</v>
      </c>
      <c r="L1555" s="8">
        <v>6.0</v>
      </c>
      <c r="M1555" s="8"/>
      <c r="N1555" s="8"/>
      <c r="O1555" s="8" t="s">
        <v>769</v>
      </c>
      <c r="P1555" s="8" t="e">
        <v>#N/A</v>
      </c>
    </row>
    <row r="1556">
      <c r="A1556">
        <f>IFERROR(__xludf.DUMMYFUNCTION("""COMPUTED_VALUE"""),8.0)</f>
        <v>8</v>
      </c>
      <c r="B1556">
        <f>IFERROR(__xludf.DUMMYFUNCTION("""COMPUTED_VALUE"""),29029.0)</f>
        <v>29029</v>
      </c>
      <c r="C1556" t="str">
        <f>IFERROR(__xludf.DUMMYFUNCTION("""COMPUTED_VALUE"""),"CHAVARRIAGA MESA, GREGORIO")</f>
        <v>CHAVARRIAGA MESA, GREGORIO</v>
      </c>
      <c r="D1556" t="str">
        <f>IFERROR(__xludf.DUMMYFUNCTION("""COMPUTED_VALUE"""),"Sociales 8")</f>
        <v>Sociales 8</v>
      </c>
      <c r="E1556" s="31">
        <f>IFERROR(__xludf.DUMMYFUNCTION("""COMPUTED_VALUE"""),4.0)</f>
        <v>4</v>
      </c>
      <c r="F1556" s="8">
        <v>1.0</v>
      </c>
      <c r="G1556" s="8">
        <v>1.0</v>
      </c>
      <c r="H1556" s="8">
        <v>1.0</v>
      </c>
      <c r="I1556" s="8">
        <v>1.0</v>
      </c>
      <c r="J1556" s="8">
        <v>1.0</v>
      </c>
      <c r="K1556" s="8">
        <v>1.0</v>
      </c>
      <c r="L1556" s="8">
        <v>6.0</v>
      </c>
      <c r="M1556" s="8"/>
      <c r="N1556" s="8"/>
      <c r="O1556" s="8" t="s">
        <v>768</v>
      </c>
      <c r="P1556" s="8" t="e">
        <v>#N/A</v>
      </c>
    </row>
    <row r="1557">
      <c r="A1557">
        <f>IFERROR(__xludf.DUMMYFUNCTION("""COMPUTED_VALUE"""),8.0)</f>
        <v>8</v>
      </c>
      <c r="B1557">
        <f>IFERROR(__xludf.DUMMYFUNCTION("""COMPUTED_VALUE"""),29136.0)</f>
        <v>29136</v>
      </c>
      <c r="C1557" t="str">
        <f>IFERROR(__xludf.DUMMYFUNCTION("""COMPUTED_VALUE"""),"CHOPRA, HARSHUL")</f>
        <v>CHOPRA, HARSHUL</v>
      </c>
      <c r="D1557" t="str">
        <f>IFERROR(__xludf.DUMMYFUNCTION("""COMPUTED_VALUE"""),"Sociales 8")</f>
        <v>Sociales 8</v>
      </c>
      <c r="E1557" s="31">
        <f>IFERROR(__xludf.DUMMYFUNCTION("""COMPUTED_VALUE"""),2.0)</f>
        <v>2</v>
      </c>
      <c r="F1557" s="8">
        <v>1.0</v>
      </c>
      <c r="G1557" s="8">
        <v>1.0</v>
      </c>
      <c r="H1557" s="8">
        <v>1.0</v>
      </c>
      <c r="I1557" s="8">
        <v>1.0</v>
      </c>
      <c r="J1557" s="8">
        <v>1.0</v>
      </c>
      <c r="K1557" s="8">
        <v>1.0</v>
      </c>
      <c r="L1557" s="8">
        <v>6.0</v>
      </c>
      <c r="M1557" s="8"/>
      <c r="N1557" s="8"/>
      <c r="O1557" s="8" t="s">
        <v>766</v>
      </c>
      <c r="P1557" s="8" t="e">
        <v>#N/A</v>
      </c>
    </row>
    <row r="1558">
      <c r="A1558">
        <f>IFERROR(__xludf.DUMMYFUNCTION("""COMPUTED_VALUE"""),8.0)</f>
        <v>8</v>
      </c>
      <c r="B1558">
        <f>IFERROR(__xludf.DUMMYFUNCTION("""COMPUTED_VALUE"""),28023.0)</f>
        <v>28023</v>
      </c>
      <c r="C1558" t="str">
        <f>IFERROR(__xludf.DUMMYFUNCTION("""COMPUTED_VALUE"""),"CLAVIJO GIRALDO, LORENZO")</f>
        <v>CLAVIJO GIRALDO, LORENZO</v>
      </c>
      <c r="D1558" t="str">
        <f>IFERROR(__xludf.DUMMYFUNCTION("""COMPUTED_VALUE"""),"Sociales 8A")</f>
        <v>Sociales 8A</v>
      </c>
      <c r="E1558" s="31">
        <f>IFERROR(__xludf.DUMMYFUNCTION("""COMPUTED_VALUE"""),3.0)</f>
        <v>3</v>
      </c>
      <c r="F1558" s="8">
        <v>1.0</v>
      </c>
      <c r="G1558" s="8">
        <v>1.0</v>
      </c>
      <c r="H1558" s="8">
        <v>1.0</v>
      </c>
      <c r="I1558" s="8">
        <v>1.0</v>
      </c>
      <c r="J1558" s="8">
        <v>1.0</v>
      </c>
      <c r="K1558" s="8">
        <v>1.0</v>
      </c>
      <c r="L1558" s="8">
        <v>6.0</v>
      </c>
      <c r="M1558" s="8"/>
      <c r="N1558" s="8"/>
      <c r="O1558" s="8" t="s">
        <v>770</v>
      </c>
      <c r="P1558" s="8" t="e">
        <v>#N/A</v>
      </c>
    </row>
    <row r="1559">
      <c r="A1559">
        <f>IFERROR(__xludf.DUMMYFUNCTION("""COMPUTED_VALUE"""),8.0)</f>
        <v>8</v>
      </c>
      <c r="B1559">
        <f>IFERROR(__xludf.DUMMYFUNCTION("""COMPUTED_VALUE"""),29030.0)</f>
        <v>29030</v>
      </c>
      <c r="C1559" t="str">
        <f>IFERROR(__xludf.DUMMYFUNCTION("""COMPUTED_VALUE"""),"COCK ECHEVERRI, JULIETA")</f>
        <v>COCK ECHEVERRI, JULIETA</v>
      </c>
      <c r="D1559" t="str">
        <f>IFERROR(__xludf.DUMMYFUNCTION("""COMPUTED_VALUE"""),"Sociales 8")</f>
        <v>Sociales 8</v>
      </c>
      <c r="E1559" s="31">
        <f>IFERROR(__xludf.DUMMYFUNCTION("""COMPUTED_VALUE"""),2.0)</f>
        <v>2</v>
      </c>
      <c r="F1559" s="8">
        <v>1.0</v>
      </c>
      <c r="G1559" s="8">
        <v>1.0</v>
      </c>
      <c r="H1559" s="8">
        <v>1.0</v>
      </c>
      <c r="I1559" s="8">
        <v>1.0</v>
      </c>
      <c r="J1559" s="8">
        <v>1.0</v>
      </c>
      <c r="K1559" s="8">
        <v>1.0</v>
      </c>
      <c r="L1559" s="8">
        <v>6.0</v>
      </c>
      <c r="M1559" s="8"/>
      <c r="N1559" s="8"/>
      <c r="O1559" s="8" t="s">
        <v>766</v>
      </c>
      <c r="P1559" s="8" t="e">
        <v>#N/A</v>
      </c>
    </row>
    <row r="1560">
      <c r="A1560">
        <f>IFERROR(__xludf.DUMMYFUNCTION("""COMPUTED_VALUE"""),8.0)</f>
        <v>8</v>
      </c>
      <c r="B1560">
        <f>IFERROR(__xludf.DUMMYFUNCTION("""COMPUTED_VALUE"""),29164.0)</f>
        <v>29164</v>
      </c>
      <c r="C1560" t="str">
        <f>IFERROR(__xludf.DUMMYFUNCTION("""COMPUTED_VALUE"""),"CONCHA VELASCO, LORENZO")</f>
        <v>CONCHA VELASCO, LORENZO</v>
      </c>
      <c r="D1560" t="str">
        <f>IFERROR(__xludf.DUMMYFUNCTION("""COMPUTED_VALUE"""),"Sociales 8")</f>
        <v>Sociales 8</v>
      </c>
      <c r="E1560" s="31">
        <f>IFERROR(__xludf.DUMMYFUNCTION("""COMPUTED_VALUE"""),3.0)</f>
        <v>3</v>
      </c>
      <c r="F1560" s="8">
        <v>1.0</v>
      </c>
      <c r="G1560" s="8">
        <v>1.0</v>
      </c>
      <c r="H1560" s="8">
        <v>1.0</v>
      </c>
      <c r="I1560" s="8">
        <v>1.0</v>
      </c>
      <c r="J1560" s="8">
        <v>1.0</v>
      </c>
      <c r="K1560" s="8">
        <v>1.0</v>
      </c>
      <c r="L1560" s="8">
        <v>6.0</v>
      </c>
      <c r="M1560" s="8"/>
      <c r="N1560" s="8"/>
      <c r="O1560" s="8" t="s">
        <v>767</v>
      </c>
      <c r="P1560" s="8" t="e">
        <v>#N/A</v>
      </c>
    </row>
    <row r="1561">
      <c r="A1561">
        <f>IFERROR(__xludf.DUMMYFUNCTION("""COMPUTED_VALUE"""),8.0)</f>
        <v>8</v>
      </c>
      <c r="B1561">
        <f>IFERROR(__xludf.DUMMYFUNCTION("""COMPUTED_VALUE"""),29032.0)</f>
        <v>29032</v>
      </c>
      <c r="C1561" t="str">
        <f>IFERROR(__xludf.DUMMYFUNCTION("""COMPUTED_VALUE"""),"CORTES SIERRA, TOMAS")</f>
        <v>CORTES SIERRA, TOMAS</v>
      </c>
      <c r="D1561" t="str">
        <f>IFERROR(__xludf.DUMMYFUNCTION("""COMPUTED_VALUE"""),"Sociales 8")</f>
        <v>Sociales 8</v>
      </c>
      <c r="E1561" s="31">
        <f>IFERROR(__xludf.DUMMYFUNCTION("""COMPUTED_VALUE"""),4.0)</f>
        <v>4</v>
      </c>
      <c r="F1561" s="8">
        <v>1.0</v>
      </c>
      <c r="G1561" s="8">
        <v>1.0</v>
      </c>
      <c r="H1561" s="8">
        <v>1.0</v>
      </c>
      <c r="I1561" s="8">
        <v>1.0</v>
      </c>
      <c r="J1561" s="8">
        <v>1.0</v>
      </c>
      <c r="K1561" s="8">
        <v>1.0</v>
      </c>
      <c r="L1561" s="8">
        <v>6.0</v>
      </c>
      <c r="M1561" s="8"/>
      <c r="N1561" s="8"/>
      <c r="O1561" s="8" t="s">
        <v>768</v>
      </c>
      <c r="P1561" s="8" t="e">
        <v>#N/A</v>
      </c>
    </row>
    <row r="1562">
      <c r="A1562">
        <f>IFERROR(__xludf.DUMMYFUNCTION("""COMPUTED_VALUE"""),8.0)</f>
        <v>8</v>
      </c>
      <c r="B1562">
        <f>IFERROR(__xludf.DUMMYFUNCTION("""COMPUTED_VALUE"""),29165.0)</f>
        <v>29165</v>
      </c>
      <c r="C1562" t="str">
        <f>IFERROR(__xludf.DUMMYFUNCTION("""COMPUTED_VALUE"""),"DOMINGUEZ JORGENSEN, MARCELO")</f>
        <v>DOMINGUEZ JORGENSEN, MARCELO</v>
      </c>
      <c r="D1562" t="str">
        <f>IFERROR(__xludf.DUMMYFUNCTION("""COMPUTED_VALUE"""),"Sociales 8")</f>
        <v>Sociales 8</v>
      </c>
      <c r="E1562" s="31">
        <f>IFERROR(__xludf.DUMMYFUNCTION("""COMPUTED_VALUE"""),3.0)</f>
        <v>3</v>
      </c>
      <c r="F1562" s="8">
        <v>1.0</v>
      </c>
      <c r="G1562" s="8">
        <v>1.0</v>
      </c>
      <c r="H1562" s="8">
        <v>1.0</v>
      </c>
      <c r="I1562" s="8">
        <v>1.0</v>
      </c>
      <c r="J1562" s="8">
        <v>1.0</v>
      </c>
      <c r="K1562" s="8">
        <v>1.0</v>
      </c>
      <c r="L1562" s="8">
        <v>6.0</v>
      </c>
      <c r="M1562" s="8"/>
      <c r="N1562" s="8"/>
      <c r="O1562" s="8" t="s">
        <v>767</v>
      </c>
      <c r="P1562" s="8" t="e">
        <v>#N/A</v>
      </c>
    </row>
    <row r="1563">
      <c r="A1563">
        <f>IFERROR(__xludf.DUMMYFUNCTION("""COMPUTED_VALUE"""),8.0)</f>
        <v>8</v>
      </c>
      <c r="B1563">
        <f>IFERROR(__xludf.DUMMYFUNCTION("""COMPUTED_VALUE"""),29034.0)</f>
        <v>29034</v>
      </c>
      <c r="C1563" t="str">
        <f>IFERROR(__xludf.DUMMYFUNCTION("""COMPUTED_VALUE"""),"DUQUE BONNETT, ELISA")</f>
        <v>DUQUE BONNETT, ELISA</v>
      </c>
      <c r="D1563" t="str">
        <f>IFERROR(__xludf.DUMMYFUNCTION("""COMPUTED_VALUE"""),"Sociales 8")</f>
        <v>Sociales 8</v>
      </c>
      <c r="E1563" s="31">
        <f>IFERROR(__xludf.DUMMYFUNCTION("""COMPUTED_VALUE"""),1.0)</f>
        <v>1</v>
      </c>
      <c r="F1563" s="8">
        <v>1.0</v>
      </c>
      <c r="G1563" s="8">
        <v>1.0</v>
      </c>
      <c r="H1563" s="8">
        <v>1.0</v>
      </c>
      <c r="I1563" s="8">
        <v>1.0</v>
      </c>
      <c r="J1563" s="8">
        <v>1.0</v>
      </c>
      <c r="K1563" s="8">
        <v>1.0</v>
      </c>
      <c r="L1563" s="8">
        <v>6.0</v>
      </c>
      <c r="M1563" s="8"/>
      <c r="N1563" s="8"/>
      <c r="O1563" s="8" t="s">
        <v>765</v>
      </c>
      <c r="P1563" s="8" t="e">
        <v>#N/A</v>
      </c>
    </row>
    <row r="1564">
      <c r="A1564">
        <f>IFERROR(__xludf.DUMMYFUNCTION("""COMPUTED_VALUE"""),8.0)</f>
        <v>8</v>
      </c>
      <c r="B1564">
        <f>IFERROR(__xludf.DUMMYFUNCTION("""COMPUTED_VALUE"""),29035.0)</f>
        <v>29035</v>
      </c>
      <c r="C1564" t="str">
        <f>IFERROR(__xludf.DUMMYFUNCTION("""COMPUTED_VALUE"""),"DURAN CALAD, MIGUEL")</f>
        <v>DURAN CALAD, MIGUEL</v>
      </c>
      <c r="D1564" t="str">
        <f>IFERROR(__xludf.DUMMYFUNCTION("""COMPUTED_VALUE"""),"Sociales 8A")</f>
        <v>Sociales 8A</v>
      </c>
      <c r="E1564" s="31">
        <f>IFERROR(__xludf.DUMMYFUNCTION("""COMPUTED_VALUE"""),3.0)</f>
        <v>3</v>
      </c>
      <c r="F1564" s="8">
        <v>1.0</v>
      </c>
      <c r="G1564" s="8">
        <v>1.0</v>
      </c>
      <c r="H1564" s="8">
        <v>1.0</v>
      </c>
      <c r="I1564" s="8">
        <v>1.0</v>
      </c>
      <c r="J1564" s="8">
        <v>1.0</v>
      </c>
      <c r="K1564" s="8">
        <v>1.0</v>
      </c>
      <c r="L1564" s="8">
        <v>6.0</v>
      </c>
      <c r="M1564" s="8"/>
      <c r="N1564" s="8"/>
      <c r="O1564" s="8" t="s">
        <v>770</v>
      </c>
      <c r="P1564" s="8" t="e">
        <v>#N/A</v>
      </c>
    </row>
    <row r="1565">
      <c r="A1565">
        <f>IFERROR(__xludf.DUMMYFUNCTION("""COMPUTED_VALUE"""),8.0)</f>
        <v>8</v>
      </c>
      <c r="B1565">
        <f>IFERROR(__xludf.DUMMYFUNCTION("""COMPUTED_VALUE"""),29135.0)</f>
        <v>29135</v>
      </c>
      <c r="C1565" t="str">
        <f>IFERROR(__xludf.DUMMYFUNCTION("""COMPUTED_VALUE"""),"ECHAVARRIA MUÑOZ, NICOLAS")</f>
        <v>ECHAVARRIA MUÑOZ, NICOLAS</v>
      </c>
      <c r="D1565" t="str">
        <f>IFERROR(__xludf.DUMMYFUNCTION("""COMPUTED_VALUE"""),"Sociales 8")</f>
        <v>Sociales 8</v>
      </c>
      <c r="E1565" s="31">
        <f>IFERROR(__xludf.DUMMYFUNCTION("""COMPUTED_VALUE"""),1.0)</f>
        <v>1</v>
      </c>
      <c r="F1565" s="8">
        <v>1.0</v>
      </c>
      <c r="G1565" s="8">
        <v>1.0</v>
      </c>
      <c r="H1565" s="8">
        <v>1.0</v>
      </c>
      <c r="I1565" s="8">
        <v>1.0</v>
      </c>
      <c r="J1565" s="8">
        <v>1.0</v>
      </c>
      <c r="K1565" s="8">
        <v>1.0</v>
      </c>
      <c r="L1565" s="8">
        <v>6.0</v>
      </c>
      <c r="M1565" s="8"/>
      <c r="N1565" s="8"/>
      <c r="O1565" s="8" t="s">
        <v>765</v>
      </c>
      <c r="P1565" s="8" t="e">
        <v>#N/A</v>
      </c>
    </row>
    <row r="1566">
      <c r="A1566">
        <f>IFERROR(__xludf.DUMMYFUNCTION("""COMPUTED_VALUE"""),8.0)</f>
        <v>8</v>
      </c>
      <c r="B1566">
        <f>IFERROR(__xludf.DUMMYFUNCTION("""COMPUTED_VALUE"""),29138.0)</f>
        <v>29138</v>
      </c>
      <c r="C1566" t="str">
        <f>IFERROR(__xludf.DUMMYFUNCTION("""COMPUTED_VALUE"""),"ECHAVARRIA ROLDAN, TOMAS")</f>
        <v>ECHAVARRIA ROLDAN, TOMAS</v>
      </c>
      <c r="D1566" t="str">
        <f>IFERROR(__xludf.DUMMYFUNCTION("""COMPUTED_VALUE"""),"Sociales 8")</f>
        <v>Sociales 8</v>
      </c>
      <c r="E1566" s="31">
        <f>IFERROR(__xludf.DUMMYFUNCTION("""COMPUTED_VALUE"""),3.0)</f>
        <v>3</v>
      </c>
      <c r="F1566" s="8">
        <v>1.0</v>
      </c>
      <c r="G1566" s="8">
        <v>1.0</v>
      </c>
      <c r="H1566" s="8">
        <v>1.0</v>
      </c>
      <c r="I1566" s="8">
        <v>1.0</v>
      </c>
      <c r="J1566" s="8">
        <v>1.0</v>
      </c>
      <c r="K1566" s="8">
        <v>1.0</v>
      </c>
      <c r="L1566" s="8">
        <v>6.0</v>
      </c>
      <c r="M1566" s="8"/>
      <c r="N1566" s="8"/>
      <c r="O1566" s="8" t="s">
        <v>767</v>
      </c>
      <c r="P1566" s="8" t="e">
        <v>#N/A</v>
      </c>
    </row>
    <row r="1567">
      <c r="A1567">
        <f>IFERROR(__xludf.DUMMYFUNCTION("""COMPUTED_VALUE"""),8.0)</f>
        <v>8</v>
      </c>
      <c r="B1567">
        <f>IFERROR(__xludf.DUMMYFUNCTION("""COMPUTED_VALUE"""),29036.0)</f>
        <v>29036</v>
      </c>
      <c r="C1567" t="str">
        <f>IFERROR(__xludf.DUMMYFUNCTION("""COMPUTED_VALUE"""),"ECHEVERRI ESCOBAR, RODRIGO")</f>
        <v>ECHEVERRI ESCOBAR, RODRIGO</v>
      </c>
      <c r="D1567" t="str">
        <f>IFERROR(__xludf.DUMMYFUNCTION("""COMPUTED_VALUE"""),"Sociales 8")</f>
        <v>Sociales 8</v>
      </c>
      <c r="E1567" s="31">
        <f>IFERROR(__xludf.DUMMYFUNCTION("""COMPUTED_VALUE"""),4.0)</f>
        <v>4</v>
      </c>
      <c r="F1567" s="8">
        <v>1.0</v>
      </c>
      <c r="G1567" s="8">
        <v>1.0</v>
      </c>
      <c r="H1567" s="8">
        <v>1.0</v>
      </c>
      <c r="I1567" s="8">
        <v>1.0</v>
      </c>
      <c r="J1567" s="8">
        <v>1.0</v>
      </c>
      <c r="K1567" s="8">
        <v>1.0</v>
      </c>
      <c r="L1567" s="8">
        <v>6.0</v>
      </c>
      <c r="M1567" s="8"/>
      <c r="N1567" s="8"/>
      <c r="O1567" s="8" t="s">
        <v>768</v>
      </c>
      <c r="P1567" s="8" t="e">
        <v>#N/A</v>
      </c>
    </row>
    <row r="1568">
      <c r="A1568">
        <f>IFERROR(__xludf.DUMMYFUNCTION("""COMPUTED_VALUE"""),8.0)</f>
        <v>8</v>
      </c>
      <c r="B1568">
        <f>IFERROR(__xludf.DUMMYFUNCTION("""COMPUTED_VALUE"""),29037.0)</f>
        <v>29037</v>
      </c>
      <c r="C1568" t="str">
        <f>IFERROR(__xludf.DUMMYFUNCTION("""COMPUTED_VALUE"""),"ESCOBAR INFANTINO, RAQUEL")</f>
        <v>ESCOBAR INFANTINO, RAQUEL</v>
      </c>
      <c r="D1568" t="str">
        <f>IFERROR(__xludf.DUMMYFUNCTION("""COMPUTED_VALUE"""),"Sociales 8")</f>
        <v>Sociales 8</v>
      </c>
      <c r="E1568" s="31">
        <f>IFERROR(__xludf.DUMMYFUNCTION("""COMPUTED_VALUE"""),5.0)</f>
        <v>5</v>
      </c>
      <c r="F1568" s="8">
        <v>1.0</v>
      </c>
      <c r="G1568" s="8">
        <v>1.0</v>
      </c>
      <c r="H1568" s="8">
        <v>1.0</v>
      </c>
      <c r="I1568" s="8">
        <v>1.0</v>
      </c>
      <c r="J1568" s="8">
        <v>1.0</v>
      </c>
      <c r="K1568" s="8">
        <v>1.0</v>
      </c>
      <c r="L1568" s="8">
        <v>6.0</v>
      </c>
      <c r="M1568" s="8"/>
      <c r="N1568" s="8"/>
      <c r="O1568" s="8" t="s">
        <v>769</v>
      </c>
      <c r="P1568" s="8" t="e">
        <v>#N/A</v>
      </c>
    </row>
    <row r="1569">
      <c r="A1569">
        <f>IFERROR(__xludf.DUMMYFUNCTION("""COMPUTED_VALUE"""),8.0)</f>
        <v>8</v>
      </c>
      <c r="B1569">
        <f>IFERROR(__xludf.DUMMYFUNCTION("""COMPUTED_VALUE"""),29038.0)</f>
        <v>29038</v>
      </c>
      <c r="C1569" t="str">
        <f>IFERROR(__xludf.DUMMYFUNCTION("""COMPUTED_VALUE"""),"ESCOBAR MADRID, MAXIMILIANO")</f>
        <v>ESCOBAR MADRID, MAXIMILIANO</v>
      </c>
      <c r="D1569" t="str">
        <f>IFERROR(__xludf.DUMMYFUNCTION("""COMPUTED_VALUE"""),"Sociales 8")</f>
        <v>Sociales 8</v>
      </c>
      <c r="E1569" s="31">
        <f>IFERROR(__xludf.DUMMYFUNCTION("""COMPUTED_VALUE"""),4.0)</f>
        <v>4</v>
      </c>
      <c r="F1569" s="8">
        <v>1.0</v>
      </c>
      <c r="G1569" s="8">
        <v>1.0</v>
      </c>
      <c r="H1569" s="8">
        <v>1.0</v>
      </c>
      <c r="I1569" s="8">
        <v>1.0</v>
      </c>
      <c r="J1569" s="8">
        <v>1.0</v>
      </c>
      <c r="K1569" s="8">
        <v>1.0</v>
      </c>
      <c r="L1569" s="8">
        <v>6.0</v>
      </c>
      <c r="M1569" s="8"/>
      <c r="N1569" s="8"/>
      <c r="O1569" s="8" t="s">
        <v>768</v>
      </c>
      <c r="P1569" s="8" t="e">
        <v>#N/A</v>
      </c>
    </row>
    <row r="1570">
      <c r="A1570">
        <f>IFERROR(__xludf.DUMMYFUNCTION("""COMPUTED_VALUE"""),8.0)</f>
        <v>8</v>
      </c>
      <c r="B1570">
        <f>IFERROR(__xludf.DUMMYFUNCTION("""COMPUTED_VALUE"""),29039.0)</f>
        <v>29039</v>
      </c>
      <c r="C1570" t="str">
        <f>IFERROR(__xludf.DUMMYFUNCTION("""COMPUTED_VALUE"""),"ESPINOSA ABAD, GREGORIO")</f>
        <v>ESPINOSA ABAD, GREGORIO</v>
      </c>
      <c r="D1570" t="str">
        <f>IFERROR(__xludf.DUMMYFUNCTION("""COMPUTED_VALUE"""),"Sociales 8")</f>
        <v>Sociales 8</v>
      </c>
      <c r="E1570" s="31">
        <f>IFERROR(__xludf.DUMMYFUNCTION("""COMPUTED_VALUE"""),4.0)</f>
        <v>4</v>
      </c>
      <c r="F1570" s="8">
        <v>1.0</v>
      </c>
      <c r="G1570" s="8">
        <v>1.0</v>
      </c>
      <c r="H1570" s="8">
        <v>1.0</v>
      </c>
      <c r="I1570" s="8">
        <v>1.0</v>
      </c>
      <c r="J1570" s="8">
        <v>1.0</v>
      </c>
      <c r="K1570" s="8">
        <v>1.0</v>
      </c>
      <c r="L1570" s="8">
        <v>6.0</v>
      </c>
      <c r="M1570" s="8"/>
      <c r="N1570" s="8"/>
      <c r="O1570" s="8" t="s">
        <v>768</v>
      </c>
      <c r="P1570" s="8" t="e">
        <v>#N/A</v>
      </c>
    </row>
    <row r="1571">
      <c r="A1571">
        <f>IFERROR(__xludf.DUMMYFUNCTION("""COMPUTED_VALUE"""),8.0)</f>
        <v>8</v>
      </c>
      <c r="B1571">
        <f>IFERROR(__xludf.DUMMYFUNCTION("""COMPUTED_VALUE"""),29040.0)</f>
        <v>29040</v>
      </c>
      <c r="C1571" t="str">
        <f>IFERROR(__xludf.DUMMYFUNCTION("""COMPUTED_VALUE"""),"ESTRADA ZAPATA, MARTIN")</f>
        <v>ESTRADA ZAPATA, MARTIN</v>
      </c>
      <c r="D1571" t="str">
        <f>IFERROR(__xludf.DUMMYFUNCTION("""COMPUTED_VALUE"""),"Sociales 8")</f>
        <v>Sociales 8</v>
      </c>
      <c r="E1571" s="31">
        <f>IFERROR(__xludf.DUMMYFUNCTION("""COMPUTED_VALUE"""),4.0)</f>
        <v>4</v>
      </c>
      <c r="F1571" s="8">
        <v>1.0</v>
      </c>
      <c r="G1571" s="8">
        <v>1.0</v>
      </c>
      <c r="H1571" s="8">
        <v>1.0</v>
      </c>
      <c r="I1571" s="8">
        <v>1.0</v>
      </c>
      <c r="J1571" s="8">
        <v>1.0</v>
      </c>
      <c r="K1571" s="8">
        <v>1.0</v>
      </c>
      <c r="L1571" s="8">
        <v>6.0</v>
      </c>
      <c r="M1571" s="8"/>
      <c r="N1571" s="8"/>
      <c r="O1571" s="8" t="s">
        <v>768</v>
      </c>
      <c r="P1571" s="8" t="e">
        <v>#N/A</v>
      </c>
    </row>
    <row r="1572">
      <c r="A1572">
        <f>IFERROR(__xludf.DUMMYFUNCTION("""COMPUTED_VALUE"""),8.0)</f>
        <v>8</v>
      </c>
      <c r="B1572">
        <f>IFERROR(__xludf.DUMMYFUNCTION("""COMPUTED_VALUE"""),29041.0)</f>
        <v>29041</v>
      </c>
      <c r="C1572" t="str">
        <f>IFERROR(__xludf.DUMMYFUNCTION("""COMPUTED_VALUE"""),"FAJARDO VILLA, LUCIANA")</f>
        <v>FAJARDO VILLA, LUCIANA</v>
      </c>
      <c r="D1572" t="str">
        <f>IFERROR(__xludf.DUMMYFUNCTION("""COMPUTED_VALUE"""),"Sociales 8")</f>
        <v>Sociales 8</v>
      </c>
      <c r="E1572" s="31">
        <f>IFERROR(__xludf.DUMMYFUNCTION("""COMPUTED_VALUE"""),4.0)</f>
        <v>4</v>
      </c>
      <c r="F1572" s="8">
        <v>1.0</v>
      </c>
      <c r="G1572" s="8">
        <v>1.0</v>
      </c>
      <c r="H1572" s="8">
        <v>1.0</v>
      </c>
      <c r="I1572" s="8">
        <v>1.0</v>
      </c>
      <c r="J1572" s="8">
        <v>1.0</v>
      </c>
      <c r="K1572" s="8">
        <v>1.0</v>
      </c>
      <c r="L1572" s="8">
        <v>6.0</v>
      </c>
      <c r="M1572" s="8"/>
      <c r="N1572" s="8"/>
      <c r="O1572" s="8" t="s">
        <v>768</v>
      </c>
      <c r="P1572" s="8" t="e">
        <v>#N/A</v>
      </c>
    </row>
    <row r="1573">
      <c r="A1573">
        <f>IFERROR(__xludf.DUMMYFUNCTION("""COMPUTED_VALUE"""),8.0)</f>
        <v>8</v>
      </c>
      <c r="B1573">
        <f>IFERROR(__xludf.DUMMYFUNCTION("""COMPUTED_VALUE"""),29155.0)</f>
        <v>29155</v>
      </c>
      <c r="C1573" t="str">
        <f>IFERROR(__xludf.DUMMYFUNCTION("""COMPUTED_VALUE"""),"FERNANDEZ CALDERON, HANNA")</f>
        <v>FERNANDEZ CALDERON, HANNA</v>
      </c>
      <c r="D1573" t="str">
        <f>IFERROR(__xludf.DUMMYFUNCTION("""COMPUTED_VALUE"""),"Sociales 8")</f>
        <v>Sociales 8</v>
      </c>
      <c r="E1573" s="31">
        <f>IFERROR(__xludf.DUMMYFUNCTION("""COMPUTED_VALUE"""),2.0)</f>
        <v>2</v>
      </c>
      <c r="F1573" s="8">
        <v>1.0</v>
      </c>
      <c r="G1573" s="8">
        <v>1.0</v>
      </c>
      <c r="H1573" s="8">
        <v>1.0</v>
      </c>
      <c r="I1573" s="8">
        <v>1.0</v>
      </c>
      <c r="J1573" s="8">
        <v>1.0</v>
      </c>
      <c r="K1573" s="8">
        <v>1.0</v>
      </c>
      <c r="L1573" s="8">
        <v>6.0</v>
      </c>
      <c r="M1573" s="8"/>
      <c r="N1573" s="8"/>
      <c r="O1573" s="8" t="s">
        <v>766</v>
      </c>
      <c r="P1573" s="8" t="e">
        <v>#N/A</v>
      </c>
    </row>
    <row r="1574">
      <c r="A1574">
        <f>IFERROR(__xludf.DUMMYFUNCTION("""COMPUTED_VALUE"""),8.0)</f>
        <v>8</v>
      </c>
      <c r="B1574">
        <f>IFERROR(__xludf.DUMMYFUNCTION("""COMPUTED_VALUE"""),29156.0)</f>
        <v>29156</v>
      </c>
      <c r="C1574" t="str">
        <f>IFERROR(__xludf.DUMMYFUNCTION("""COMPUTED_VALUE"""),"FERNANDEZ CALDERON, TAMARA")</f>
        <v>FERNANDEZ CALDERON, TAMARA</v>
      </c>
      <c r="D1574" t="str">
        <f>IFERROR(__xludf.DUMMYFUNCTION("""COMPUTED_VALUE"""),"Sociales 8")</f>
        <v>Sociales 8</v>
      </c>
      <c r="E1574" s="31">
        <f>IFERROR(__xludf.DUMMYFUNCTION("""COMPUTED_VALUE"""),4.0)</f>
        <v>4</v>
      </c>
      <c r="F1574" s="8">
        <v>1.0</v>
      </c>
      <c r="G1574" s="8">
        <v>1.0</v>
      </c>
      <c r="H1574" s="8">
        <v>1.0</v>
      </c>
      <c r="I1574" s="8">
        <v>1.0</v>
      </c>
      <c r="J1574" s="8">
        <v>1.0</v>
      </c>
      <c r="K1574" s="8">
        <v>1.0</v>
      </c>
      <c r="L1574" s="8">
        <v>6.0</v>
      </c>
      <c r="M1574" s="8"/>
      <c r="N1574" s="8"/>
      <c r="O1574" s="8" t="s">
        <v>768</v>
      </c>
      <c r="P1574" s="8" t="e">
        <v>#N/A</v>
      </c>
    </row>
    <row r="1575">
      <c r="A1575">
        <f>IFERROR(__xludf.DUMMYFUNCTION("""COMPUTED_VALUE"""),8.0)</f>
        <v>8</v>
      </c>
      <c r="B1575">
        <f>IFERROR(__xludf.DUMMYFUNCTION("""COMPUTED_VALUE"""),28032.0)</f>
        <v>28032</v>
      </c>
      <c r="C1575" t="str">
        <f>IFERROR(__xludf.DUMMYFUNCTION("""COMPUTED_VALUE"""),"GALLON TOBON, GERONIMO")</f>
        <v>GALLON TOBON, GERONIMO</v>
      </c>
      <c r="D1575" t="str">
        <f>IFERROR(__xludf.DUMMYFUNCTION("""COMPUTED_VALUE"""),"Sociales 8")</f>
        <v>Sociales 8</v>
      </c>
      <c r="E1575" s="31">
        <f>IFERROR(__xludf.DUMMYFUNCTION("""COMPUTED_VALUE"""),3.0)</f>
        <v>3</v>
      </c>
      <c r="F1575" s="8">
        <v>1.0</v>
      </c>
      <c r="G1575" s="8">
        <v>1.0</v>
      </c>
      <c r="H1575" s="8">
        <v>1.0</v>
      </c>
      <c r="I1575" s="8">
        <v>1.0</v>
      </c>
      <c r="J1575" s="8">
        <v>1.0</v>
      </c>
      <c r="K1575" s="8">
        <v>1.0</v>
      </c>
      <c r="L1575" s="8">
        <v>6.0</v>
      </c>
      <c r="M1575" s="8"/>
      <c r="N1575" s="8"/>
      <c r="O1575" s="8" t="s">
        <v>767</v>
      </c>
      <c r="P1575" s="8" t="e">
        <v>#N/A</v>
      </c>
    </row>
    <row r="1576">
      <c r="A1576">
        <f>IFERROR(__xludf.DUMMYFUNCTION("""COMPUTED_VALUE"""),8.0)</f>
        <v>8</v>
      </c>
      <c r="B1576">
        <f>IFERROR(__xludf.DUMMYFUNCTION("""COMPUTED_VALUE"""),29042.0)</f>
        <v>29042</v>
      </c>
      <c r="C1576" t="str">
        <f>IFERROR(__xludf.DUMMYFUNCTION("""COMPUTED_VALUE"""),"GOMEZ MIRA, GREGORIO")</f>
        <v>GOMEZ MIRA, GREGORIO</v>
      </c>
      <c r="D1576" t="str">
        <f>IFERROR(__xludf.DUMMYFUNCTION("""COMPUTED_VALUE"""),"Sociales 8")</f>
        <v>Sociales 8</v>
      </c>
      <c r="E1576" s="31">
        <f>IFERROR(__xludf.DUMMYFUNCTION("""COMPUTED_VALUE"""),3.0)</f>
        <v>3</v>
      </c>
      <c r="F1576" s="8">
        <v>1.0</v>
      </c>
      <c r="G1576" s="8">
        <v>1.0</v>
      </c>
      <c r="H1576" s="8">
        <v>1.0</v>
      </c>
      <c r="I1576" s="8">
        <v>1.0</v>
      </c>
      <c r="J1576" s="8">
        <v>1.0</v>
      </c>
      <c r="K1576" s="8">
        <v>1.0</v>
      </c>
      <c r="L1576" s="8">
        <v>6.0</v>
      </c>
      <c r="M1576" s="8"/>
      <c r="N1576" s="8"/>
      <c r="O1576" s="8" t="s">
        <v>767</v>
      </c>
      <c r="P1576" s="8" t="e">
        <v>#N/A</v>
      </c>
    </row>
    <row r="1577">
      <c r="A1577">
        <f>IFERROR(__xludf.DUMMYFUNCTION("""COMPUTED_VALUE"""),8.0)</f>
        <v>8</v>
      </c>
      <c r="B1577">
        <f>IFERROR(__xludf.DUMMYFUNCTION("""COMPUTED_VALUE"""),29043.0)</f>
        <v>29043</v>
      </c>
      <c r="C1577" t="str">
        <f>IFERROR(__xludf.DUMMYFUNCTION("""COMPUTED_VALUE"""),"GOMEZ PASCHKE, VALERIA")</f>
        <v>GOMEZ PASCHKE, VALERIA</v>
      </c>
      <c r="D1577" t="str">
        <f>IFERROR(__xludf.DUMMYFUNCTION("""COMPUTED_VALUE"""),"Sociales 8")</f>
        <v>Sociales 8</v>
      </c>
      <c r="E1577" s="31">
        <f>IFERROR(__xludf.DUMMYFUNCTION("""COMPUTED_VALUE"""),1.0)</f>
        <v>1</v>
      </c>
      <c r="F1577" s="8">
        <v>1.0</v>
      </c>
      <c r="G1577" s="8">
        <v>1.0</v>
      </c>
      <c r="H1577" s="8">
        <v>1.0</v>
      </c>
      <c r="I1577" s="8">
        <v>1.0</v>
      </c>
      <c r="J1577" s="8">
        <v>1.0</v>
      </c>
      <c r="K1577" s="8">
        <v>1.0</v>
      </c>
      <c r="L1577" s="8">
        <v>6.0</v>
      </c>
      <c r="M1577" s="8"/>
      <c r="N1577" s="8"/>
      <c r="O1577" s="8" t="s">
        <v>765</v>
      </c>
      <c r="P1577" s="8" t="e">
        <v>#N/A</v>
      </c>
    </row>
    <row r="1578">
      <c r="A1578">
        <f>IFERROR(__xludf.DUMMYFUNCTION("""COMPUTED_VALUE"""),8.0)</f>
        <v>8</v>
      </c>
      <c r="B1578">
        <f>IFERROR(__xludf.DUMMYFUNCTION("""COMPUTED_VALUE"""),29045.0)</f>
        <v>29045</v>
      </c>
      <c r="C1578" t="str">
        <f>IFERROR(__xludf.DUMMYFUNCTION("""COMPUTED_VALUE"""),"GOMEZ ZULUAGA, JUAN JOSE")</f>
        <v>GOMEZ ZULUAGA, JUAN JOSE</v>
      </c>
      <c r="D1578" t="str">
        <f>IFERROR(__xludf.DUMMYFUNCTION("""COMPUTED_VALUE"""),"Sociales 8")</f>
        <v>Sociales 8</v>
      </c>
      <c r="E1578" s="31">
        <f>IFERROR(__xludf.DUMMYFUNCTION("""COMPUTED_VALUE"""),5.0)</f>
        <v>5</v>
      </c>
      <c r="F1578" s="8">
        <v>1.0</v>
      </c>
      <c r="G1578" s="8">
        <v>1.0</v>
      </c>
      <c r="H1578" s="8">
        <v>1.0</v>
      </c>
      <c r="I1578" s="8">
        <v>1.0</v>
      </c>
      <c r="J1578" s="8">
        <v>1.0</v>
      </c>
      <c r="K1578" s="8">
        <v>1.0</v>
      </c>
      <c r="L1578" s="8">
        <v>6.0</v>
      </c>
      <c r="M1578" s="8"/>
      <c r="N1578" s="8"/>
      <c r="O1578" s="8" t="s">
        <v>769</v>
      </c>
      <c r="P1578" s="8" t="e">
        <v>#N/A</v>
      </c>
    </row>
    <row r="1579">
      <c r="A1579">
        <f>IFERROR(__xludf.DUMMYFUNCTION("""COMPUTED_VALUE"""),8.0)</f>
        <v>8</v>
      </c>
      <c r="B1579">
        <f>IFERROR(__xludf.DUMMYFUNCTION("""COMPUTED_VALUE"""),29046.0)</f>
        <v>29046</v>
      </c>
      <c r="C1579" t="str">
        <f>IFERROR(__xludf.DUMMYFUNCTION("""COMPUTED_VALUE"""),"GONZALEZ LOPEZ, SAMUEL")</f>
        <v>GONZALEZ LOPEZ, SAMUEL</v>
      </c>
      <c r="D1579" t="str">
        <f>IFERROR(__xludf.DUMMYFUNCTION("""COMPUTED_VALUE"""),"Sociales 8A")</f>
        <v>Sociales 8A</v>
      </c>
      <c r="E1579" s="31">
        <f>IFERROR(__xludf.DUMMYFUNCTION("""COMPUTED_VALUE"""),3.0)</f>
        <v>3</v>
      </c>
      <c r="F1579" s="8">
        <v>1.0</v>
      </c>
      <c r="G1579" s="8">
        <v>1.0</v>
      </c>
      <c r="H1579" s="8">
        <v>1.0</v>
      </c>
      <c r="I1579" s="8">
        <v>1.0</v>
      </c>
      <c r="J1579" s="8">
        <v>1.0</v>
      </c>
      <c r="K1579" s="8">
        <v>1.0</v>
      </c>
      <c r="L1579" s="8">
        <v>6.0</v>
      </c>
      <c r="M1579" s="8"/>
      <c r="N1579" s="8"/>
      <c r="O1579" s="8" t="s">
        <v>770</v>
      </c>
      <c r="P1579" s="8" t="e">
        <v>#N/A</v>
      </c>
    </row>
    <row r="1580">
      <c r="A1580">
        <f>IFERROR(__xludf.DUMMYFUNCTION("""COMPUTED_VALUE"""),8.0)</f>
        <v>8</v>
      </c>
      <c r="B1580">
        <f>IFERROR(__xludf.DUMMYFUNCTION("""COMPUTED_VALUE"""),29048.0)</f>
        <v>29048</v>
      </c>
      <c r="C1580" t="str">
        <f>IFERROR(__xludf.DUMMYFUNCTION("""COMPUTED_VALUE"""),"HENAO RESTREPO, ANTONIA")</f>
        <v>HENAO RESTREPO, ANTONIA</v>
      </c>
      <c r="D1580" t="str">
        <f>IFERROR(__xludf.DUMMYFUNCTION("""COMPUTED_VALUE"""),"Sociales 8")</f>
        <v>Sociales 8</v>
      </c>
      <c r="E1580" s="31">
        <f>IFERROR(__xludf.DUMMYFUNCTION("""COMPUTED_VALUE"""),5.0)</f>
        <v>5</v>
      </c>
      <c r="F1580" s="8">
        <v>1.0</v>
      </c>
      <c r="G1580" s="8">
        <v>1.0</v>
      </c>
      <c r="H1580" s="8">
        <v>1.0</v>
      </c>
      <c r="I1580" s="8">
        <v>1.0</v>
      </c>
      <c r="J1580" s="8">
        <v>1.0</v>
      </c>
      <c r="K1580" s="8">
        <v>1.0</v>
      </c>
      <c r="L1580" s="8">
        <v>6.0</v>
      </c>
      <c r="M1580" s="8"/>
      <c r="N1580" s="8"/>
      <c r="O1580" s="8" t="s">
        <v>769</v>
      </c>
      <c r="P1580" s="8" t="e">
        <v>#N/A</v>
      </c>
    </row>
    <row r="1581">
      <c r="A1581">
        <f>IFERROR(__xludf.DUMMYFUNCTION("""COMPUTED_VALUE"""),8.0)</f>
        <v>8</v>
      </c>
      <c r="B1581">
        <f>IFERROR(__xludf.DUMMYFUNCTION("""COMPUTED_VALUE"""),29049.0)</f>
        <v>29049</v>
      </c>
      <c r="C1581" t="str">
        <f>IFERROR(__xludf.DUMMYFUNCTION("""COMPUTED_VALUE"""),"HINESTROSA SIERRA, MIGUEL")</f>
        <v>HINESTROSA SIERRA, MIGUEL</v>
      </c>
      <c r="D1581" t="str">
        <f>IFERROR(__xludf.DUMMYFUNCTION("""COMPUTED_VALUE"""),"Sociales 8")</f>
        <v>Sociales 8</v>
      </c>
      <c r="E1581" s="31">
        <f>IFERROR(__xludf.DUMMYFUNCTION("""COMPUTED_VALUE"""),4.0)</f>
        <v>4</v>
      </c>
      <c r="F1581" s="8">
        <v>1.0</v>
      </c>
      <c r="G1581" s="8">
        <v>1.0</v>
      </c>
      <c r="H1581" s="8">
        <v>1.0</v>
      </c>
      <c r="I1581" s="8">
        <v>1.0</v>
      </c>
      <c r="J1581" s="8">
        <v>1.0</v>
      </c>
      <c r="K1581" s="8">
        <v>1.0</v>
      </c>
      <c r="L1581" s="8">
        <v>6.0</v>
      </c>
      <c r="M1581" s="8"/>
      <c r="N1581" s="8"/>
      <c r="O1581" s="8" t="s">
        <v>768</v>
      </c>
      <c r="P1581" s="8" t="e">
        <v>#N/A</v>
      </c>
    </row>
    <row r="1582">
      <c r="A1582">
        <f>IFERROR(__xludf.DUMMYFUNCTION("""COMPUTED_VALUE"""),8.0)</f>
        <v>8</v>
      </c>
      <c r="B1582">
        <f>IFERROR(__xludf.DUMMYFUNCTION("""COMPUTED_VALUE"""),29050.0)</f>
        <v>29050</v>
      </c>
      <c r="C1582" t="str">
        <f>IFERROR(__xludf.DUMMYFUNCTION("""COMPUTED_VALUE"""),"HINESTROSA SIERRA, PEDRO")</f>
        <v>HINESTROSA SIERRA, PEDRO</v>
      </c>
      <c r="D1582" t="str">
        <f>IFERROR(__xludf.DUMMYFUNCTION("""COMPUTED_VALUE"""),"Sociales 8")</f>
        <v>Sociales 8</v>
      </c>
      <c r="E1582" s="31">
        <f>IFERROR(__xludf.DUMMYFUNCTION("""COMPUTED_VALUE"""),2.0)</f>
        <v>2</v>
      </c>
      <c r="F1582" s="8">
        <v>1.0</v>
      </c>
      <c r="G1582" s="8">
        <v>1.0</v>
      </c>
      <c r="H1582" s="8">
        <v>1.0</v>
      </c>
      <c r="I1582" s="8">
        <v>1.0</v>
      </c>
      <c r="J1582" s="8">
        <v>1.0</v>
      </c>
      <c r="K1582" s="8">
        <v>1.0</v>
      </c>
      <c r="L1582" s="8">
        <v>6.0</v>
      </c>
      <c r="M1582" s="8"/>
      <c r="N1582" s="8"/>
      <c r="O1582" s="8" t="s">
        <v>766</v>
      </c>
      <c r="P1582" s="8" t="e">
        <v>#N/A</v>
      </c>
    </row>
    <row r="1583">
      <c r="A1583">
        <f>IFERROR(__xludf.DUMMYFUNCTION("""COMPUTED_VALUE"""),8.0)</f>
        <v>8</v>
      </c>
      <c r="B1583">
        <f>IFERROR(__xludf.DUMMYFUNCTION("""COMPUTED_VALUE"""),28046.0)</f>
        <v>28046</v>
      </c>
      <c r="C1583" t="str">
        <f>IFERROR(__xludf.DUMMYFUNCTION("""COMPUTED_VALUE"""),"HOYOS SARAVIA, TOMAS")</f>
        <v>HOYOS SARAVIA, TOMAS</v>
      </c>
      <c r="D1583" t="str">
        <f>IFERROR(__xludf.DUMMYFUNCTION("""COMPUTED_VALUE"""),"Sociales 8")</f>
        <v>Sociales 8</v>
      </c>
      <c r="E1583" s="31">
        <f>IFERROR(__xludf.DUMMYFUNCTION("""COMPUTED_VALUE"""),2.0)</f>
        <v>2</v>
      </c>
      <c r="F1583" s="8">
        <v>1.0</v>
      </c>
      <c r="G1583" s="8">
        <v>1.0</v>
      </c>
      <c r="H1583" s="8">
        <v>1.0</v>
      </c>
      <c r="I1583" s="8">
        <v>1.0</v>
      </c>
      <c r="J1583" s="8">
        <v>1.0</v>
      </c>
      <c r="K1583" s="8">
        <v>1.0</v>
      </c>
      <c r="L1583" s="8">
        <v>6.0</v>
      </c>
      <c r="M1583" s="8"/>
      <c r="N1583" s="8"/>
      <c r="O1583" s="8" t="s">
        <v>766</v>
      </c>
      <c r="P1583" s="8" t="e">
        <v>#N/A</v>
      </c>
    </row>
    <row r="1584">
      <c r="A1584">
        <f>IFERROR(__xludf.DUMMYFUNCTION("""COMPUTED_VALUE"""),8.0)</f>
        <v>8</v>
      </c>
      <c r="B1584">
        <f>IFERROR(__xludf.DUMMYFUNCTION("""COMPUTED_VALUE"""),29052.0)</f>
        <v>29052</v>
      </c>
      <c r="C1584" t="str">
        <f>IFERROR(__xludf.DUMMYFUNCTION("""COMPUTED_VALUE"""),"HURTADO ARISTIZABAL, CAMILA")</f>
        <v>HURTADO ARISTIZABAL, CAMILA</v>
      </c>
      <c r="D1584" t="str">
        <f>IFERROR(__xludf.DUMMYFUNCTION("""COMPUTED_VALUE"""),"Sociales 8")</f>
        <v>Sociales 8</v>
      </c>
      <c r="E1584" s="31">
        <f>IFERROR(__xludf.DUMMYFUNCTION("""COMPUTED_VALUE"""),3.0)</f>
        <v>3</v>
      </c>
      <c r="F1584" s="8">
        <v>1.0</v>
      </c>
      <c r="G1584" s="8">
        <v>1.0</v>
      </c>
      <c r="H1584" s="8">
        <v>1.0</v>
      </c>
      <c r="I1584" s="8">
        <v>1.0</v>
      </c>
      <c r="J1584" s="8">
        <v>1.0</v>
      </c>
      <c r="K1584" s="8">
        <v>1.0</v>
      </c>
      <c r="L1584" s="8">
        <v>6.0</v>
      </c>
      <c r="M1584" s="8"/>
      <c r="N1584" s="8"/>
      <c r="O1584" s="8" t="s">
        <v>767</v>
      </c>
      <c r="P1584" s="8" t="e">
        <v>#N/A</v>
      </c>
    </row>
    <row r="1585">
      <c r="A1585">
        <f>IFERROR(__xludf.DUMMYFUNCTION("""COMPUTED_VALUE"""),8.0)</f>
        <v>8</v>
      </c>
      <c r="B1585">
        <f>IFERROR(__xludf.DUMMYFUNCTION("""COMPUTED_VALUE"""),29053.0)</f>
        <v>29053</v>
      </c>
      <c r="C1585" t="str">
        <f>IFERROR(__xludf.DUMMYFUNCTION("""COMPUTED_VALUE"""),"HURTADO FAJARDO, JUANITA")</f>
        <v>HURTADO FAJARDO, JUANITA</v>
      </c>
      <c r="D1585" t="str">
        <f>IFERROR(__xludf.DUMMYFUNCTION("""COMPUTED_VALUE"""),"Sociales 8")</f>
        <v>Sociales 8</v>
      </c>
      <c r="E1585" s="31">
        <f>IFERROR(__xludf.DUMMYFUNCTION("""COMPUTED_VALUE"""),1.0)</f>
        <v>1</v>
      </c>
      <c r="F1585" s="8">
        <v>1.0</v>
      </c>
      <c r="G1585" s="8">
        <v>1.0</v>
      </c>
      <c r="H1585" s="8">
        <v>1.0</v>
      </c>
      <c r="I1585" s="8">
        <v>1.0</v>
      </c>
      <c r="J1585" s="8">
        <v>1.0</v>
      </c>
      <c r="K1585" s="8">
        <v>1.0</v>
      </c>
      <c r="L1585" s="8">
        <v>6.0</v>
      </c>
      <c r="M1585" s="8"/>
      <c r="N1585" s="8"/>
      <c r="O1585" s="8" t="s">
        <v>765</v>
      </c>
      <c r="P1585" s="8" t="e">
        <v>#N/A</v>
      </c>
    </row>
    <row r="1586">
      <c r="A1586">
        <f>IFERROR(__xludf.DUMMYFUNCTION("""COMPUTED_VALUE"""),8.0)</f>
        <v>8</v>
      </c>
      <c r="B1586">
        <f>IFERROR(__xludf.DUMMYFUNCTION("""COMPUTED_VALUE"""),29056.0)</f>
        <v>29056</v>
      </c>
      <c r="C1586" t="str">
        <f>IFERROR(__xludf.DUMMYFUNCTION("""COMPUTED_VALUE"""),"JAILLIER PINZON, MAXIMILIANO")</f>
        <v>JAILLIER PINZON, MAXIMILIANO</v>
      </c>
      <c r="D1586" t="str">
        <f>IFERROR(__xludf.DUMMYFUNCTION("""COMPUTED_VALUE"""),"Sociales 8")</f>
        <v>Sociales 8</v>
      </c>
      <c r="E1586" s="31">
        <f>IFERROR(__xludf.DUMMYFUNCTION("""COMPUTED_VALUE"""),3.0)</f>
        <v>3</v>
      </c>
      <c r="F1586" s="8">
        <v>1.0</v>
      </c>
      <c r="G1586" s="8">
        <v>1.0</v>
      </c>
      <c r="H1586" s="8">
        <v>1.0</v>
      </c>
      <c r="I1586" s="8">
        <v>1.0</v>
      </c>
      <c r="J1586" s="8">
        <v>1.0</v>
      </c>
      <c r="K1586" s="8">
        <v>1.0</v>
      </c>
      <c r="L1586" s="8">
        <v>6.0</v>
      </c>
      <c r="M1586" s="8"/>
      <c r="N1586" s="8"/>
      <c r="O1586" s="8" t="s">
        <v>767</v>
      </c>
      <c r="P1586" s="8" t="e">
        <v>#N/A</v>
      </c>
    </row>
    <row r="1587">
      <c r="A1587">
        <f>IFERROR(__xludf.DUMMYFUNCTION("""COMPUTED_VALUE"""),8.0)</f>
        <v>8</v>
      </c>
      <c r="B1587">
        <f>IFERROR(__xludf.DUMMYFUNCTION("""COMPUTED_VALUE"""),29057.0)</f>
        <v>29057</v>
      </c>
      <c r="C1587" t="str">
        <f>IFERROR(__xludf.DUMMYFUNCTION("""COMPUTED_VALUE"""),"JALLER TRUJILLO, KAMEL")</f>
        <v>JALLER TRUJILLO, KAMEL</v>
      </c>
      <c r="D1587" t="str">
        <f>IFERROR(__xludf.DUMMYFUNCTION("""COMPUTED_VALUE"""),"Sociales 8")</f>
        <v>Sociales 8</v>
      </c>
      <c r="E1587" s="31">
        <f>IFERROR(__xludf.DUMMYFUNCTION("""COMPUTED_VALUE"""),5.0)</f>
        <v>5</v>
      </c>
      <c r="F1587" s="8">
        <v>1.0</v>
      </c>
      <c r="G1587" s="8">
        <v>1.0</v>
      </c>
      <c r="H1587" s="8">
        <v>1.0</v>
      </c>
      <c r="I1587" s="8">
        <v>1.0</v>
      </c>
      <c r="J1587" s="8">
        <v>1.0</v>
      </c>
      <c r="K1587" s="8">
        <v>1.0</v>
      </c>
      <c r="L1587" s="8">
        <v>6.0</v>
      </c>
      <c r="M1587" s="8"/>
      <c r="N1587" s="8"/>
      <c r="O1587" s="8" t="s">
        <v>769</v>
      </c>
      <c r="P1587" s="8" t="e">
        <v>#N/A</v>
      </c>
    </row>
    <row r="1588">
      <c r="A1588">
        <f>IFERROR(__xludf.DUMMYFUNCTION("""COMPUTED_VALUE"""),8.0)</f>
        <v>8</v>
      </c>
      <c r="B1588">
        <f>IFERROR(__xludf.DUMMYFUNCTION("""COMPUTED_VALUE"""),29058.0)</f>
        <v>29058</v>
      </c>
      <c r="C1588" t="str">
        <f>IFERROR(__xludf.DUMMYFUNCTION("""COMPUTED_VALUE"""),"JARAMILLO DONADO, AMELIA")</f>
        <v>JARAMILLO DONADO, AMELIA</v>
      </c>
      <c r="D1588" t="str">
        <f>IFERROR(__xludf.DUMMYFUNCTION("""COMPUTED_VALUE"""),"Sociales 8")</f>
        <v>Sociales 8</v>
      </c>
      <c r="E1588" s="31">
        <f>IFERROR(__xludf.DUMMYFUNCTION("""COMPUTED_VALUE"""),4.0)</f>
        <v>4</v>
      </c>
      <c r="F1588" s="8">
        <v>1.0</v>
      </c>
      <c r="G1588" s="8">
        <v>1.0</v>
      </c>
      <c r="H1588" s="8">
        <v>1.0</v>
      </c>
      <c r="I1588" s="8">
        <v>1.0</v>
      </c>
      <c r="J1588" s="8">
        <v>1.0</v>
      </c>
      <c r="K1588" s="8">
        <v>1.0</v>
      </c>
      <c r="L1588" s="8">
        <v>6.0</v>
      </c>
      <c r="M1588" s="8"/>
      <c r="N1588" s="8"/>
      <c r="O1588" s="8" t="s">
        <v>768</v>
      </c>
      <c r="P1588" s="8" t="e">
        <v>#N/A</v>
      </c>
    </row>
    <row r="1589">
      <c r="A1589">
        <f>IFERROR(__xludf.DUMMYFUNCTION("""COMPUTED_VALUE"""),8.0)</f>
        <v>8</v>
      </c>
      <c r="B1589">
        <f>IFERROR(__xludf.DUMMYFUNCTION("""COMPUTED_VALUE"""),29059.0)</f>
        <v>29059</v>
      </c>
      <c r="C1589" t="str">
        <f>IFERROR(__xludf.DUMMYFUNCTION("""COMPUTED_VALUE"""),"JARAMILLO GONZALEZ, PASCUAL")</f>
        <v>JARAMILLO GONZALEZ, PASCUAL</v>
      </c>
      <c r="D1589" t="str">
        <f>IFERROR(__xludf.DUMMYFUNCTION("""COMPUTED_VALUE"""),"Sociales 8")</f>
        <v>Sociales 8</v>
      </c>
      <c r="E1589" s="31">
        <f>IFERROR(__xludf.DUMMYFUNCTION("""COMPUTED_VALUE"""),2.0)</f>
        <v>2</v>
      </c>
      <c r="F1589" s="8">
        <v>1.0</v>
      </c>
      <c r="G1589" s="8">
        <v>1.0</v>
      </c>
      <c r="H1589" s="8">
        <v>1.0</v>
      </c>
      <c r="I1589" s="8">
        <v>1.0</v>
      </c>
      <c r="J1589" s="8">
        <v>1.0</v>
      </c>
      <c r="K1589" s="8">
        <v>1.0</v>
      </c>
      <c r="L1589" s="8">
        <v>6.0</v>
      </c>
      <c r="M1589" s="8"/>
      <c r="N1589" s="8"/>
      <c r="O1589" s="8" t="s">
        <v>766</v>
      </c>
      <c r="P1589" s="8" t="e">
        <v>#N/A</v>
      </c>
    </row>
    <row r="1590">
      <c r="A1590">
        <f>IFERROR(__xludf.DUMMYFUNCTION("""COMPUTED_VALUE"""),8.0)</f>
        <v>8</v>
      </c>
      <c r="B1590">
        <f>IFERROR(__xludf.DUMMYFUNCTION("""COMPUTED_VALUE"""),29060.0)</f>
        <v>29060</v>
      </c>
      <c r="C1590" t="str">
        <f>IFERROR(__xludf.DUMMYFUNCTION("""COMPUTED_VALUE"""),"JARAMILLO NARANJO, NICOLAS")</f>
        <v>JARAMILLO NARANJO, NICOLAS</v>
      </c>
      <c r="D1590" t="str">
        <f>IFERROR(__xludf.DUMMYFUNCTION("""COMPUTED_VALUE"""),"Sociales 8")</f>
        <v>Sociales 8</v>
      </c>
      <c r="E1590" s="31">
        <f>IFERROR(__xludf.DUMMYFUNCTION("""COMPUTED_VALUE"""),4.0)</f>
        <v>4</v>
      </c>
      <c r="F1590" s="8">
        <v>1.0</v>
      </c>
      <c r="G1590" s="8">
        <v>1.0</v>
      </c>
      <c r="H1590" s="8">
        <v>1.0</v>
      </c>
      <c r="I1590" s="8">
        <v>1.0</v>
      </c>
      <c r="J1590" s="8">
        <v>1.0</v>
      </c>
      <c r="K1590" s="8">
        <v>1.0</v>
      </c>
      <c r="L1590" s="8">
        <v>6.0</v>
      </c>
      <c r="M1590" s="8"/>
      <c r="N1590" s="8"/>
      <c r="O1590" s="8" t="s">
        <v>768</v>
      </c>
      <c r="P1590" s="8" t="e">
        <v>#N/A</v>
      </c>
    </row>
    <row r="1591">
      <c r="A1591">
        <f>IFERROR(__xludf.DUMMYFUNCTION("""COMPUTED_VALUE"""),8.0)</f>
        <v>8</v>
      </c>
      <c r="B1591">
        <f>IFERROR(__xludf.DUMMYFUNCTION("""COMPUTED_VALUE"""),29061.0)</f>
        <v>29061</v>
      </c>
      <c r="C1591" t="str">
        <f>IFERROR(__xludf.DUMMYFUNCTION("""COMPUTED_VALUE"""),"JARAMILLO OSPINA, MANUEL")</f>
        <v>JARAMILLO OSPINA, MANUEL</v>
      </c>
      <c r="D1591" t="str">
        <f>IFERROR(__xludf.DUMMYFUNCTION("""COMPUTED_VALUE"""),"Sociales 8A")</f>
        <v>Sociales 8A</v>
      </c>
      <c r="E1591" s="31">
        <f>IFERROR(__xludf.DUMMYFUNCTION("""COMPUTED_VALUE"""),3.0)</f>
        <v>3</v>
      </c>
      <c r="F1591" s="8">
        <v>1.0</v>
      </c>
      <c r="G1591" s="8">
        <v>1.0</v>
      </c>
      <c r="H1591" s="8">
        <v>1.0</v>
      </c>
      <c r="I1591" s="8">
        <v>1.0</v>
      </c>
      <c r="J1591" s="8">
        <v>1.0</v>
      </c>
      <c r="K1591" s="8">
        <v>1.0</v>
      </c>
      <c r="L1591" s="8">
        <v>6.0</v>
      </c>
      <c r="M1591" s="8"/>
      <c r="N1591" s="8"/>
      <c r="O1591" s="8" t="s">
        <v>770</v>
      </c>
      <c r="P1591" s="8" t="e">
        <v>#N/A</v>
      </c>
    </row>
    <row r="1592">
      <c r="A1592">
        <f>IFERROR(__xludf.DUMMYFUNCTION("""COMPUTED_VALUE"""),8.0)</f>
        <v>8</v>
      </c>
      <c r="B1592">
        <f>IFERROR(__xludf.DUMMYFUNCTION("""COMPUTED_VALUE"""),28144.0)</f>
        <v>28144</v>
      </c>
      <c r="C1592" t="str">
        <f>IFERROR(__xludf.DUMMYFUNCTION("""COMPUTED_VALUE"""),"JIMENEZ PATIÑO, EMILIO")</f>
        <v>JIMENEZ PATIÑO, EMILIO</v>
      </c>
      <c r="D1592" t="str">
        <f>IFERROR(__xludf.DUMMYFUNCTION("""COMPUTED_VALUE"""),"Sociales 8")</f>
        <v>Sociales 8</v>
      </c>
      <c r="E1592" s="31">
        <f>IFERROR(__xludf.DUMMYFUNCTION("""COMPUTED_VALUE"""),3.0)</f>
        <v>3</v>
      </c>
      <c r="F1592" s="8">
        <v>1.0</v>
      </c>
      <c r="G1592" s="8">
        <v>1.0</v>
      </c>
      <c r="H1592" s="8">
        <v>1.0</v>
      </c>
      <c r="I1592" s="8">
        <v>1.0</v>
      </c>
      <c r="J1592" s="8">
        <v>1.0</v>
      </c>
      <c r="K1592" s="8">
        <v>1.0</v>
      </c>
      <c r="L1592" s="8">
        <v>6.0</v>
      </c>
      <c r="M1592" s="8"/>
      <c r="N1592" s="8"/>
      <c r="O1592" s="8" t="s">
        <v>767</v>
      </c>
      <c r="P1592" s="8" t="e">
        <v>#N/A</v>
      </c>
    </row>
    <row r="1593">
      <c r="A1593">
        <f>IFERROR(__xludf.DUMMYFUNCTION("""COMPUTED_VALUE"""),8.0)</f>
        <v>8</v>
      </c>
      <c r="B1593">
        <f>IFERROR(__xludf.DUMMYFUNCTION("""COMPUTED_VALUE"""),29147.0)</f>
        <v>29147</v>
      </c>
      <c r="C1593" t="str">
        <f>IFERROR(__xludf.DUMMYFUNCTION("""COMPUTED_VALUE"""),"JIMENO ARISTIZABAL, ISABELLA")</f>
        <v>JIMENO ARISTIZABAL, ISABELLA</v>
      </c>
      <c r="D1593" t="str">
        <f>IFERROR(__xludf.DUMMYFUNCTION("""COMPUTED_VALUE"""),"Sociales 8")</f>
        <v>Sociales 8</v>
      </c>
      <c r="E1593" s="31">
        <f>IFERROR(__xludf.DUMMYFUNCTION("""COMPUTED_VALUE"""),4.0)</f>
        <v>4</v>
      </c>
      <c r="F1593" s="8">
        <v>1.0</v>
      </c>
      <c r="G1593" s="8">
        <v>1.0</v>
      </c>
      <c r="H1593" s="8">
        <v>1.0</v>
      </c>
      <c r="I1593" s="8">
        <v>1.0</v>
      </c>
      <c r="J1593" s="8">
        <v>1.0</v>
      </c>
      <c r="K1593" s="8">
        <v>1.0</v>
      </c>
      <c r="L1593" s="8">
        <v>6.0</v>
      </c>
      <c r="M1593" s="8"/>
      <c r="N1593" s="8"/>
      <c r="O1593" s="8" t="s">
        <v>768</v>
      </c>
      <c r="P1593" s="8" t="e">
        <v>#N/A</v>
      </c>
    </row>
    <row r="1594">
      <c r="A1594">
        <f>IFERROR(__xludf.DUMMYFUNCTION("""COMPUTED_VALUE"""),8.0)</f>
        <v>8</v>
      </c>
      <c r="B1594">
        <f>IFERROR(__xludf.DUMMYFUNCTION("""COMPUTED_VALUE"""),29062.0)</f>
        <v>29062</v>
      </c>
      <c r="C1594" t="str">
        <f>IFERROR(__xludf.DUMMYFUNCTION("""COMPUTED_VALUE"""),"KIM LEE, SAE YOON LUCAS")</f>
        <v>KIM LEE, SAE YOON LUCAS</v>
      </c>
      <c r="D1594" t="str">
        <f>IFERROR(__xludf.DUMMYFUNCTION("""COMPUTED_VALUE"""),"Sociales 8")</f>
        <v>Sociales 8</v>
      </c>
      <c r="E1594" s="31">
        <f>IFERROR(__xludf.DUMMYFUNCTION("""COMPUTED_VALUE"""),5.0)</f>
        <v>5</v>
      </c>
      <c r="F1594" s="8">
        <v>1.0</v>
      </c>
      <c r="G1594" s="8">
        <v>1.0</v>
      </c>
      <c r="H1594" s="8">
        <v>1.0</v>
      </c>
      <c r="I1594" s="8">
        <v>1.0</v>
      </c>
      <c r="J1594" s="8">
        <v>1.0</v>
      </c>
      <c r="K1594" s="8">
        <v>1.0</v>
      </c>
      <c r="L1594" s="8">
        <v>6.0</v>
      </c>
      <c r="M1594" s="8"/>
      <c r="N1594" s="8"/>
      <c r="O1594" s="8" t="s">
        <v>769</v>
      </c>
      <c r="P1594" s="8" t="e">
        <v>#N/A</v>
      </c>
    </row>
    <row r="1595">
      <c r="A1595">
        <f>IFERROR(__xludf.DUMMYFUNCTION("""COMPUTED_VALUE"""),8.0)</f>
        <v>8</v>
      </c>
      <c r="B1595">
        <f>IFERROR(__xludf.DUMMYFUNCTION("""COMPUTED_VALUE"""),29064.0)</f>
        <v>29064</v>
      </c>
      <c r="C1595" t="str">
        <f>IFERROR(__xludf.DUMMYFUNCTION("""COMPUTED_VALUE"""),"LONDOÑO BAQUERO, EMILIA")</f>
        <v>LONDOÑO BAQUERO, EMILIA</v>
      </c>
      <c r="D1595" t="str">
        <f>IFERROR(__xludf.DUMMYFUNCTION("""COMPUTED_VALUE"""),"Sociales 8")</f>
        <v>Sociales 8</v>
      </c>
      <c r="E1595" s="31">
        <f>IFERROR(__xludf.DUMMYFUNCTION("""COMPUTED_VALUE"""),5.0)</f>
        <v>5</v>
      </c>
      <c r="F1595" s="8">
        <v>1.0</v>
      </c>
      <c r="G1595" s="8">
        <v>1.0</v>
      </c>
      <c r="H1595" s="8">
        <v>1.0</v>
      </c>
      <c r="I1595" s="8">
        <v>1.0</v>
      </c>
      <c r="J1595" s="8">
        <v>1.0</v>
      </c>
      <c r="K1595" s="8">
        <v>1.0</v>
      </c>
      <c r="L1595" s="8">
        <v>6.0</v>
      </c>
      <c r="M1595" s="8"/>
      <c r="N1595" s="8"/>
      <c r="O1595" s="8" t="s">
        <v>769</v>
      </c>
      <c r="P1595" s="8" t="e">
        <v>#N/A</v>
      </c>
    </row>
    <row r="1596">
      <c r="A1596">
        <f>IFERROR(__xludf.DUMMYFUNCTION("""COMPUTED_VALUE"""),8.0)</f>
        <v>8</v>
      </c>
      <c r="B1596">
        <f>IFERROR(__xludf.DUMMYFUNCTION("""COMPUTED_VALUE"""),29065.0)</f>
        <v>29065</v>
      </c>
      <c r="C1596" t="str">
        <f>IFERROR(__xludf.DUMMYFUNCTION("""COMPUTED_VALUE"""),"LONDOÑO CUARTAS, TOMAS")</f>
        <v>LONDOÑO CUARTAS, TOMAS</v>
      </c>
      <c r="D1596" t="str">
        <f>IFERROR(__xludf.DUMMYFUNCTION("""COMPUTED_VALUE"""),"Sociales 8")</f>
        <v>Sociales 8</v>
      </c>
      <c r="E1596" s="31">
        <f>IFERROR(__xludf.DUMMYFUNCTION("""COMPUTED_VALUE"""),1.0)</f>
        <v>1</v>
      </c>
      <c r="F1596" s="8">
        <v>1.0</v>
      </c>
      <c r="G1596" s="8">
        <v>1.0</v>
      </c>
      <c r="H1596" s="8">
        <v>1.0</v>
      </c>
      <c r="I1596" s="8">
        <v>1.0</v>
      </c>
      <c r="J1596" s="8">
        <v>1.0</v>
      </c>
      <c r="K1596" s="8">
        <v>1.0</v>
      </c>
      <c r="L1596" s="8">
        <v>6.0</v>
      </c>
      <c r="M1596" s="8"/>
      <c r="N1596" s="8"/>
      <c r="O1596" s="8" t="s">
        <v>765</v>
      </c>
      <c r="P1596" s="8" t="e">
        <v>#N/A</v>
      </c>
    </row>
    <row r="1597">
      <c r="A1597">
        <f>IFERROR(__xludf.DUMMYFUNCTION("""COMPUTED_VALUE"""),8.0)</f>
        <v>8</v>
      </c>
      <c r="B1597">
        <f>IFERROR(__xludf.DUMMYFUNCTION("""COMPUTED_VALUE"""),29066.0)</f>
        <v>29066</v>
      </c>
      <c r="C1597" t="str">
        <f>IFERROR(__xludf.DUMMYFUNCTION("""COMPUTED_VALUE"""),"LONDOÑO JARAMILLO, MARTINA")</f>
        <v>LONDOÑO JARAMILLO, MARTINA</v>
      </c>
      <c r="D1597" t="str">
        <f>IFERROR(__xludf.DUMMYFUNCTION("""COMPUTED_VALUE"""),"Sociales 8")</f>
        <v>Sociales 8</v>
      </c>
      <c r="E1597" s="31">
        <f>IFERROR(__xludf.DUMMYFUNCTION("""COMPUTED_VALUE"""),1.0)</f>
        <v>1</v>
      </c>
      <c r="F1597" s="8">
        <v>1.0</v>
      </c>
      <c r="G1597" s="8">
        <v>1.0</v>
      </c>
      <c r="H1597" s="8">
        <v>1.0</v>
      </c>
      <c r="I1597" s="8">
        <v>1.0</v>
      </c>
      <c r="J1597" s="8">
        <v>1.0</v>
      </c>
      <c r="K1597" s="8">
        <v>1.0</v>
      </c>
      <c r="L1597" s="8">
        <v>6.0</v>
      </c>
      <c r="M1597" s="8"/>
      <c r="N1597" s="8"/>
      <c r="O1597" s="8" t="s">
        <v>765</v>
      </c>
      <c r="P1597" s="8" t="e">
        <v>#N/A</v>
      </c>
    </row>
    <row r="1598">
      <c r="A1598">
        <f>IFERROR(__xludf.DUMMYFUNCTION("""COMPUTED_VALUE"""),8.0)</f>
        <v>8</v>
      </c>
      <c r="B1598">
        <f>IFERROR(__xludf.DUMMYFUNCTION("""COMPUTED_VALUE"""),29068.0)</f>
        <v>29068</v>
      </c>
      <c r="C1598" t="str">
        <f>IFERROR(__xludf.DUMMYFUNCTION("""COMPUTED_VALUE"""),"LOPEZ JAIMES, VICENTE")</f>
        <v>LOPEZ JAIMES, VICENTE</v>
      </c>
      <c r="D1598" t="str">
        <f>IFERROR(__xludf.DUMMYFUNCTION("""COMPUTED_VALUE"""),"Sociales 8")</f>
        <v>Sociales 8</v>
      </c>
      <c r="E1598" s="31">
        <f>IFERROR(__xludf.DUMMYFUNCTION("""COMPUTED_VALUE"""),2.0)</f>
        <v>2</v>
      </c>
      <c r="F1598" s="8">
        <v>1.0</v>
      </c>
      <c r="G1598" s="8">
        <v>1.0</v>
      </c>
      <c r="H1598" s="8">
        <v>1.0</v>
      </c>
      <c r="I1598" s="8">
        <v>1.0</v>
      </c>
      <c r="J1598" s="8">
        <v>1.0</v>
      </c>
      <c r="K1598" s="8">
        <v>1.0</v>
      </c>
      <c r="L1598" s="8">
        <v>6.0</v>
      </c>
      <c r="M1598" s="8"/>
      <c r="N1598" s="8"/>
      <c r="O1598" s="8" t="s">
        <v>766</v>
      </c>
      <c r="P1598" s="8" t="e">
        <v>#N/A</v>
      </c>
    </row>
    <row r="1599">
      <c r="A1599">
        <f>IFERROR(__xludf.DUMMYFUNCTION("""COMPUTED_VALUE"""),8.0)</f>
        <v>8</v>
      </c>
      <c r="B1599">
        <f>IFERROR(__xludf.DUMMYFUNCTION("""COMPUTED_VALUE"""),29069.0)</f>
        <v>29069</v>
      </c>
      <c r="C1599" t="str">
        <f>IFERROR(__xludf.DUMMYFUNCTION("""COMPUTED_VALUE"""),"LUNA ALZATE, AMALIA")</f>
        <v>LUNA ALZATE, AMALIA</v>
      </c>
      <c r="D1599" t="str">
        <f>IFERROR(__xludf.DUMMYFUNCTION("""COMPUTED_VALUE"""),"Sociales 8")</f>
        <v>Sociales 8</v>
      </c>
      <c r="E1599" s="31">
        <f>IFERROR(__xludf.DUMMYFUNCTION("""COMPUTED_VALUE"""),2.0)</f>
        <v>2</v>
      </c>
      <c r="F1599" s="8">
        <v>1.0</v>
      </c>
      <c r="G1599" s="8">
        <v>1.0</v>
      </c>
      <c r="H1599" s="8">
        <v>1.0</v>
      </c>
      <c r="I1599" s="8">
        <v>1.0</v>
      </c>
      <c r="J1599" s="8">
        <v>1.0</v>
      </c>
      <c r="K1599" s="8">
        <v>1.0</v>
      </c>
      <c r="L1599" s="8">
        <v>6.0</v>
      </c>
      <c r="M1599" s="8"/>
      <c r="N1599" s="8"/>
      <c r="O1599" s="8" t="s">
        <v>766</v>
      </c>
      <c r="P1599" s="8" t="e">
        <v>#N/A</v>
      </c>
    </row>
    <row r="1600">
      <c r="A1600">
        <f>IFERROR(__xludf.DUMMYFUNCTION("""COMPUTED_VALUE"""),8.0)</f>
        <v>8</v>
      </c>
      <c r="B1600">
        <f>IFERROR(__xludf.DUMMYFUNCTION("""COMPUTED_VALUE"""),29070.0)</f>
        <v>29070</v>
      </c>
      <c r="C1600" t="str">
        <f>IFERROR(__xludf.DUMMYFUNCTION("""COMPUTED_VALUE"""),"MANRIQUE CUESTA, ISABELLA")</f>
        <v>MANRIQUE CUESTA, ISABELLA</v>
      </c>
      <c r="D1600" t="str">
        <f>IFERROR(__xludf.DUMMYFUNCTION("""COMPUTED_VALUE"""),"Sociales 8")</f>
        <v>Sociales 8</v>
      </c>
      <c r="E1600" s="31">
        <f>IFERROR(__xludf.DUMMYFUNCTION("""COMPUTED_VALUE"""),5.0)</f>
        <v>5</v>
      </c>
      <c r="F1600" s="8">
        <v>1.0</v>
      </c>
      <c r="G1600" s="8">
        <v>1.0</v>
      </c>
      <c r="H1600" s="8">
        <v>1.0</v>
      </c>
      <c r="I1600" s="8">
        <v>1.0</v>
      </c>
      <c r="J1600" s="8">
        <v>1.0</v>
      </c>
      <c r="K1600" s="8">
        <v>1.0</v>
      </c>
      <c r="L1600" s="8">
        <v>6.0</v>
      </c>
      <c r="M1600" s="8"/>
      <c r="N1600" s="8"/>
      <c r="O1600" s="8" t="s">
        <v>769</v>
      </c>
      <c r="P1600" s="8" t="e">
        <v>#N/A</v>
      </c>
    </row>
    <row r="1601">
      <c r="A1601">
        <f>IFERROR(__xludf.DUMMYFUNCTION("""COMPUTED_VALUE"""),8.0)</f>
        <v>8</v>
      </c>
      <c r="B1601">
        <f>IFERROR(__xludf.DUMMYFUNCTION("""COMPUTED_VALUE"""),29071.0)</f>
        <v>29071</v>
      </c>
      <c r="C1601" t="str">
        <f>IFERROR(__xludf.DUMMYFUNCTION("""COMPUTED_VALUE"""),"MARQUEZ BARRERA, MIRANDA")</f>
        <v>MARQUEZ BARRERA, MIRANDA</v>
      </c>
      <c r="D1601" t="str">
        <f>IFERROR(__xludf.DUMMYFUNCTION("""COMPUTED_VALUE"""),"Sociales 8")</f>
        <v>Sociales 8</v>
      </c>
      <c r="E1601" s="31">
        <f>IFERROR(__xludf.DUMMYFUNCTION("""COMPUTED_VALUE"""),1.0)</f>
        <v>1</v>
      </c>
      <c r="F1601" s="8">
        <v>1.0</v>
      </c>
      <c r="G1601" s="8">
        <v>1.0</v>
      </c>
      <c r="H1601" s="8">
        <v>1.0</v>
      </c>
      <c r="I1601" s="8">
        <v>1.0</v>
      </c>
      <c r="J1601" s="8">
        <v>1.0</v>
      </c>
      <c r="K1601" s="8">
        <v>1.0</v>
      </c>
      <c r="L1601" s="8">
        <v>6.0</v>
      </c>
      <c r="M1601" s="8"/>
      <c r="N1601" s="8"/>
      <c r="O1601" s="8" t="s">
        <v>765</v>
      </c>
      <c r="P1601" s="8" t="e">
        <v>#N/A</v>
      </c>
    </row>
    <row r="1602">
      <c r="A1602">
        <f>IFERROR(__xludf.DUMMYFUNCTION("""COMPUTED_VALUE"""),8.0)</f>
        <v>8</v>
      </c>
      <c r="B1602">
        <f>IFERROR(__xludf.DUMMYFUNCTION("""COMPUTED_VALUE"""),29072.0)</f>
        <v>29072</v>
      </c>
      <c r="C1602" t="str">
        <f>IFERROR(__xludf.DUMMYFUNCTION("""COMPUTED_VALUE"""),"MARQUEZ RAHAL, PEDRO")</f>
        <v>MARQUEZ RAHAL, PEDRO</v>
      </c>
      <c r="D1602" t="str">
        <f>IFERROR(__xludf.DUMMYFUNCTION("""COMPUTED_VALUE"""),"Sociales 8")</f>
        <v>Sociales 8</v>
      </c>
      <c r="E1602" s="31">
        <f>IFERROR(__xludf.DUMMYFUNCTION("""COMPUTED_VALUE"""),1.0)</f>
        <v>1</v>
      </c>
      <c r="F1602" s="8">
        <v>1.0</v>
      </c>
      <c r="G1602" s="8">
        <v>1.0</v>
      </c>
      <c r="H1602" s="8">
        <v>1.0</v>
      </c>
      <c r="I1602" s="8">
        <v>1.0</v>
      </c>
      <c r="J1602" s="8">
        <v>1.0</v>
      </c>
      <c r="K1602" s="8">
        <v>1.0</v>
      </c>
      <c r="L1602" s="8">
        <v>6.0</v>
      </c>
      <c r="M1602" s="8"/>
      <c r="N1602" s="8"/>
      <c r="O1602" s="8" t="s">
        <v>765</v>
      </c>
      <c r="P1602" s="8" t="e">
        <v>#N/A</v>
      </c>
    </row>
    <row r="1603">
      <c r="A1603">
        <f>IFERROR(__xludf.DUMMYFUNCTION("""COMPUTED_VALUE"""),8.0)</f>
        <v>8</v>
      </c>
      <c r="B1603">
        <f>IFERROR(__xludf.DUMMYFUNCTION("""COMPUTED_VALUE"""),29073.0)</f>
        <v>29073</v>
      </c>
      <c r="C1603" t="str">
        <f>IFERROR(__xludf.DUMMYFUNCTION("""COMPUTED_VALUE"""),"MARRERO MARTA, ALINA")</f>
        <v>MARRERO MARTA, ALINA</v>
      </c>
      <c r="D1603" t="str">
        <f>IFERROR(__xludf.DUMMYFUNCTION("""COMPUTED_VALUE"""),"Sociales 8")</f>
        <v>Sociales 8</v>
      </c>
      <c r="E1603" s="31">
        <f>IFERROR(__xludf.DUMMYFUNCTION("""COMPUTED_VALUE"""),3.0)</f>
        <v>3</v>
      </c>
      <c r="F1603" s="8">
        <v>1.0</v>
      </c>
      <c r="G1603" s="8">
        <v>1.0</v>
      </c>
      <c r="H1603" s="8">
        <v>1.0</v>
      </c>
      <c r="I1603" s="8">
        <v>1.0</v>
      </c>
      <c r="J1603" s="8">
        <v>1.0</v>
      </c>
      <c r="K1603" s="8">
        <v>1.0</v>
      </c>
      <c r="L1603" s="8">
        <v>6.0</v>
      </c>
      <c r="M1603" s="8"/>
      <c r="N1603" s="8"/>
      <c r="O1603" s="8" t="s">
        <v>767</v>
      </c>
      <c r="P1603" s="8" t="e">
        <v>#N/A</v>
      </c>
    </row>
    <row r="1604">
      <c r="A1604">
        <f>IFERROR(__xludf.DUMMYFUNCTION("""COMPUTED_VALUE"""),8.0)</f>
        <v>8</v>
      </c>
      <c r="B1604">
        <f>IFERROR(__xludf.DUMMYFUNCTION("""COMPUTED_VALUE"""),29074.0)</f>
        <v>29074</v>
      </c>
      <c r="C1604" t="str">
        <f>IFERROR(__xludf.DUMMYFUNCTION("""COMPUTED_VALUE"""),"MEDINA JARAMILLO, ALICIA")</f>
        <v>MEDINA JARAMILLO, ALICIA</v>
      </c>
      <c r="D1604" t="str">
        <f>IFERROR(__xludf.DUMMYFUNCTION("""COMPUTED_VALUE"""),"Sociales 8")</f>
        <v>Sociales 8</v>
      </c>
      <c r="E1604" s="31">
        <f>IFERROR(__xludf.DUMMYFUNCTION("""COMPUTED_VALUE"""),1.0)</f>
        <v>1</v>
      </c>
      <c r="F1604" s="8">
        <v>1.0</v>
      </c>
      <c r="G1604" s="8">
        <v>1.0</v>
      </c>
      <c r="H1604" s="8">
        <v>1.0</v>
      </c>
      <c r="I1604" s="8">
        <v>1.0</v>
      </c>
      <c r="J1604" s="8">
        <v>1.0</v>
      </c>
      <c r="K1604" s="8">
        <v>1.0</v>
      </c>
      <c r="L1604" s="8">
        <v>6.0</v>
      </c>
      <c r="M1604" s="8"/>
      <c r="N1604" s="8"/>
      <c r="O1604" s="8" t="s">
        <v>765</v>
      </c>
      <c r="P1604" s="8" t="e">
        <v>#N/A</v>
      </c>
    </row>
    <row r="1605">
      <c r="A1605">
        <f>IFERROR(__xludf.DUMMYFUNCTION("""COMPUTED_VALUE"""),8.0)</f>
        <v>8</v>
      </c>
      <c r="B1605">
        <f>IFERROR(__xludf.DUMMYFUNCTION("""COMPUTED_VALUE"""),29075.0)</f>
        <v>29075</v>
      </c>
      <c r="C1605" t="str">
        <f>IFERROR(__xludf.DUMMYFUNCTION("""COMPUTED_VALUE"""),"MEJIA BUSTAMANTE, ANTONIA")</f>
        <v>MEJIA BUSTAMANTE, ANTONIA</v>
      </c>
      <c r="D1605" t="str">
        <f>IFERROR(__xludf.DUMMYFUNCTION("""COMPUTED_VALUE"""),"Sociales 8")</f>
        <v>Sociales 8</v>
      </c>
      <c r="E1605" s="31">
        <f>IFERROR(__xludf.DUMMYFUNCTION("""COMPUTED_VALUE"""),5.0)</f>
        <v>5</v>
      </c>
      <c r="F1605" s="8">
        <v>1.0</v>
      </c>
      <c r="G1605" s="8">
        <v>1.0</v>
      </c>
      <c r="H1605" s="8">
        <v>1.0</v>
      </c>
      <c r="I1605" s="8">
        <v>1.0</v>
      </c>
      <c r="J1605" s="8">
        <v>1.0</v>
      </c>
      <c r="K1605" s="8">
        <v>1.0</v>
      </c>
      <c r="L1605" s="8">
        <v>6.0</v>
      </c>
      <c r="M1605" s="8"/>
      <c r="N1605" s="8"/>
      <c r="O1605" s="8" t="s">
        <v>769</v>
      </c>
      <c r="P1605" s="8" t="e">
        <v>#N/A</v>
      </c>
    </row>
    <row r="1606">
      <c r="A1606">
        <f>IFERROR(__xludf.DUMMYFUNCTION("""COMPUTED_VALUE"""),8.0)</f>
        <v>8</v>
      </c>
      <c r="B1606">
        <f>IFERROR(__xludf.DUMMYFUNCTION("""COMPUTED_VALUE"""),29076.0)</f>
        <v>29076</v>
      </c>
      <c r="C1606" t="str">
        <f>IFERROR(__xludf.DUMMYFUNCTION("""COMPUTED_VALUE"""),"MEJIA MANTILLA, MATEO")</f>
        <v>MEJIA MANTILLA, MATEO</v>
      </c>
      <c r="D1606" t="str">
        <f>IFERROR(__xludf.DUMMYFUNCTION("""COMPUTED_VALUE"""),"Sociales 8")</f>
        <v>Sociales 8</v>
      </c>
      <c r="E1606" s="31">
        <f>IFERROR(__xludf.DUMMYFUNCTION("""COMPUTED_VALUE"""),4.0)</f>
        <v>4</v>
      </c>
      <c r="F1606" s="8">
        <v>1.0</v>
      </c>
      <c r="G1606" s="8">
        <v>1.0</v>
      </c>
      <c r="H1606" s="8">
        <v>1.0</v>
      </c>
      <c r="I1606" s="8">
        <v>1.0</v>
      </c>
      <c r="J1606" s="8">
        <v>1.0</v>
      </c>
      <c r="K1606" s="8">
        <v>1.0</v>
      </c>
      <c r="L1606" s="8">
        <v>6.0</v>
      </c>
      <c r="M1606" s="8"/>
      <c r="N1606" s="8"/>
      <c r="O1606" s="8" t="s">
        <v>768</v>
      </c>
      <c r="P1606" s="8" t="e">
        <v>#N/A</v>
      </c>
    </row>
    <row r="1607">
      <c r="A1607">
        <f>IFERROR(__xludf.DUMMYFUNCTION("""COMPUTED_VALUE"""),8.0)</f>
        <v>8</v>
      </c>
      <c r="B1607">
        <f>IFERROR(__xludf.DUMMYFUNCTION("""COMPUTED_VALUE"""),29077.0)</f>
        <v>29077</v>
      </c>
      <c r="C1607" t="str">
        <f>IFERROR(__xludf.DUMMYFUNCTION("""COMPUTED_VALUE"""),"MEJIA VILLEGAS, CANDELARIA")</f>
        <v>MEJIA VILLEGAS, CANDELARIA</v>
      </c>
      <c r="D1607" t="str">
        <f>IFERROR(__xludf.DUMMYFUNCTION("""COMPUTED_VALUE"""),"Sociales 8")</f>
        <v>Sociales 8</v>
      </c>
      <c r="E1607" s="31">
        <f>IFERROR(__xludf.DUMMYFUNCTION("""COMPUTED_VALUE"""),5.0)</f>
        <v>5</v>
      </c>
      <c r="F1607" s="8">
        <v>1.0</v>
      </c>
      <c r="G1607" s="8">
        <v>1.0</v>
      </c>
      <c r="H1607" s="8">
        <v>1.0</v>
      </c>
      <c r="I1607" s="8">
        <v>1.0</v>
      </c>
      <c r="J1607" s="8">
        <v>1.0</v>
      </c>
      <c r="K1607" s="8">
        <v>1.0</v>
      </c>
      <c r="L1607" s="8">
        <v>6.0</v>
      </c>
      <c r="M1607" s="8"/>
      <c r="N1607" s="8"/>
      <c r="O1607" s="8" t="s">
        <v>769</v>
      </c>
      <c r="P1607" s="8" t="e">
        <v>#N/A</v>
      </c>
    </row>
    <row r="1608">
      <c r="A1608">
        <f>IFERROR(__xludf.DUMMYFUNCTION("""COMPUTED_VALUE"""),8.0)</f>
        <v>8</v>
      </c>
      <c r="B1608">
        <f>IFERROR(__xludf.DUMMYFUNCTION("""COMPUTED_VALUE"""),29079.0)</f>
        <v>29079</v>
      </c>
      <c r="C1608" t="str">
        <f>IFERROR(__xludf.DUMMYFUNCTION("""COMPUTED_VALUE"""),"MISAS MESA, ALICIA")</f>
        <v>MISAS MESA, ALICIA</v>
      </c>
      <c r="D1608" t="str">
        <f>IFERROR(__xludf.DUMMYFUNCTION("""COMPUTED_VALUE"""),"Sociales 8")</f>
        <v>Sociales 8</v>
      </c>
      <c r="E1608" s="31">
        <f>IFERROR(__xludf.DUMMYFUNCTION("""COMPUTED_VALUE"""),5.0)</f>
        <v>5</v>
      </c>
      <c r="F1608" s="8">
        <v>1.0</v>
      </c>
      <c r="G1608" s="8">
        <v>1.0</v>
      </c>
      <c r="H1608" s="8">
        <v>1.0</v>
      </c>
      <c r="I1608" s="8">
        <v>1.0</v>
      </c>
      <c r="J1608" s="8">
        <v>1.0</v>
      </c>
      <c r="K1608" s="8">
        <v>1.0</v>
      </c>
      <c r="L1608" s="8">
        <v>6.0</v>
      </c>
      <c r="M1608" s="8"/>
      <c r="N1608" s="8"/>
      <c r="O1608" s="8" t="s">
        <v>769</v>
      </c>
      <c r="P1608" s="8" t="e">
        <v>#N/A</v>
      </c>
    </row>
    <row r="1609">
      <c r="A1609">
        <f>IFERROR(__xludf.DUMMYFUNCTION("""COMPUTED_VALUE"""),8.0)</f>
        <v>8</v>
      </c>
      <c r="B1609">
        <f>IFERROR(__xludf.DUMMYFUNCTION("""COMPUTED_VALUE"""),29153.0)</f>
        <v>29153</v>
      </c>
      <c r="C1609" t="str">
        <f>IFERROR(__xludf.DUMMYFUNCTION("""COMPUTED_VALUE"""),"MISERENDINO MUÑOZ, GABRIEL")</f>
        <v>MISERENDINO MUÑOZ, GABRIEL</v>
      </c>
      <c r="D1609" t="str">
        <f>IFERROR(__xludf.DUMMYFUNCTION("""COMPUTED_VALUE"""),"Sociales 8")</f>
        <v>Sociales 8</v>
      </c>
      <c r="E1609" s="31">
        <f>IFERROR(__xludf.DUMMYFUNCTION("""COMPUTED_VALUE"""),1.0)</f>
        <v>1</v>
      </c>
      <c r="F1609" s="8">
        <v>1.0</v>
      </c>
      <c r="G1609" s="8">
        <v>1.0</v>
      </c>
      <c r="H1609" s="8">
        <v>1.0</v>
      </c>
      <c r="I1609" s="8">
        <v>1.0</v>
      </c>
      <c r="J1609" s="8">
        <v>1.0</v>
      </c>
      <c r="K1609" s="8">
        <v>1.0</v>
      </c>
      <c r="L1609" s="8">
        <v>6.0</v>
      </c>
      <c r="M1609" s="8"/>
      <c r="N1609" s="8"/>
      <c r="O1609" s="8" t="s">
        <v>765</v>
      </c>
      <c r="P1609" s="8" t="e">
        <v>#N/A</v>
      </c>
    </row>
    <row r="1610">
      <c r="A1610">
        <f>IFERROR(__xludf.DUMMYFUNCTION("""COMPUTED_VALUE"""),8.0)</f>
        <v>8</v>
      </c>
      <c r="B1610">
        <f>IFERROR(__xludf.DUMMYFUNCTION("""COMPUTED_VALUE"""),29143.0)</f>
        <v>29143</v>
      </c>
      <c r="C1610" t="str">
        <f>IFERROR(__xludf.DUMMYFUNCTION("""COMPUTED_VALUE"""),"MOLANO MESA, CARMEN")</f>
        <v>MOLANO MESA, CARMEN</v>
      </c>
      <c r="D1610" t="str">
        <f>IFERROR(__xludf.DUMMYFUNCTION("""COMPUTED_VALUE"""),"Sociales 8A")</f>
        <v>Sociales 8A</v>
      </c>
      <c r="E1610" s="31">
        <f>IFERROR(__xludf.DUMMYFUNCTION("""COMPUTED_VALUE"""),3.0)</f>
        <v>3</v>
      </c>
      <c r="F1610" s="8">
        <v>1.0</v>
      </c>
      <c r="G1610" s="8">
        <v>1.0</v>
      </c>
      <c r="H1610" s="8">
        <v>1.0</v>
      </c>
      <c r="I1610" s="8">
        <v>1.0</v>
      </c>
      <c r="J1610" s="8">
        <v>1.0</v>
      </c>
      <c r="K1610" s="8">
        <v>1.0</v>
      </c>
      <c r="L1610" s="8">
        <v>6.0</v>
      </c>
      <c r="M1610" s="8"/>
      <c r="N1610" s="8"/>
      <c r="O1610" s="8" t="s">
        <v>770</v>
      </c>
      <c r="P1610" s="8" t="e">
        <v>#N/A</v>
      </c>
    </row>
    <row r="1611">
      <c r="A1611">
        <f>IFERROR(__xludf.DUMMYFUNCTION("""COMPUTED_VALUE"""),8.0)</f>
        <v>8</v>
      </c>
      <c r="B1611">
        <f>IFERROR(__xludf.DUMMYFUNCTION("""COMPUTED_VALUE"""),29080.0)</f>
        <v>29080</v>
      </c>
      <c r="C1611" t="str">
        <f>IFERROR(__xludf.DUMMYFUNCTION("""COMPUTED_VALUE"""),"MONTES LOPEZ, MANUELA")</f>
        <v>MONTES LOPEZ, MANUELA</v>
      </c>
      <c r="D1611" t="str">
        <f>IFERROR(__xludf.DUMMYFUNCTION("""COMPUTED_VALUE"""),"Sociales 8")</f>
        <v>Sociales 8</v>
      </c>
      <c r="E1611" s="31">
        <f>IFERROR(__xludf.DUMMYFUNCTION("""COMPUTED_VALUE"""),1.0)</f>
        <v>1</v>
      </c>
      <c r="F1611" s="8">
        <v>1.0</v>
      </c>
      <c r="G1611" s="8">
        <v>1.0</v>
      </c>
      <c r="H1611" s="8">
        <v>1.0</v>
      </c>
      <c r="I1611" s="8">
        <v>1.0</v>
      </c>
      <c r="J1611" s="8">
        <v>1.0</v>
      </c>
      <c r="K1611" s="8">
        <v>1.0</v>
      </c>
      <c r="L1611" s="8">
        <v>6.0</v>
      </c>
      <c r="M1611" s="8"/>
      <c r="N1611" s="8"/>
      <c r="O1611" s="8" t="s">
        <v>765</v>
      </c>
      <c r="P1611" s="8" t="e">
        <v>#N/A</v>
      </c>
    </row>
    <row r="1612">
      <c r="A1612">
        <f>IFERROR(__xludf.DUMMYFUNCTION("""COMPUTED_VALUE"""),8.0)</f>
        <v>8</v>
      </c>
      <c r="B1612">
        <f>IFERROR(__xludf.DUMMYFUNCTION("""COMPUTED_VALUE"""),29081.0)</f>
        <v>29081</v>
      </c>
      <c r="C1612" t="str">
        <f>IFERROR(__xludf.DUMMYFUNCTION("""COMPUTED_VALUE"""),"MORA JARAMILLO, ALICIA")</f>
        <v>MORA JARAMILLO, ALICIA</v>
      </c>
      <c r="D1612" t="str">
        <f>IFERROR(__xludf.DUMMYFUNCTION("""COMPUTED_VALUE"""),"Sociales 8")</f>
        <v>Sociales 8</v>
      </c>
      <c r="E1612" s="31">
        <f>IFERROR(__xludf.DUMMYFUNCTION("""COMPUTED_VALUE"""),4.0)</f>
        <v>4</v>
      </c>
      <c r="F1612" s="8">
        <v>1.0</v>
      </c>
      <c r="G1612" s="8">
        <v>1.0</v>
      </c>
      <c r="H1612" s="8">
        <v>1.0</v>
      </c>
      <c r="I1612" s="8">
        <v>1.0</v>
      </c>
      <c r="J1612" s="8">
        <v>1.0</v>
      </c>
      <c r="K1612" s="8">
        <v>1.0</v>
      </c>
      <c r="L1612" s="8">
        <v>6.0</v>
      </c>
      <c r="M1612" s="8"/>
      <c r="N1612" s="8"/>
      <c r="O1612" s="8" t="s">
        <v>768</v>
      </c>
      <c r="P1612" s="8" t="e">
        <v>#N/A</v>
      </c>
    </row>
    <row r="1613">
      <c r="A1613">
        <f>IFERROR(__xludf.DUMMYFUNCTION("""COMPUTED_VALUE"""),8.0)</f>
        <v>8</v>
      </c>
      <c r="B1613">
        <f>IFERROR(__xludf.DUMMYFUNCTION("""COMPUTED_VALUE"""),29083.0)</f>
        <v>29083</v>
      </c>
      <c r="C1613" t="str">
        <f>IFERROR(__xludf.DUMMYFUNCTION("""COMPUTED_VALUE"""),"NAVARRO ZULUAGA, SOFIA")</f>
        <v>NAVARRO ZULUAGA, SOFIA</v>
      </c>
      <c r="D1613" t="str">
        <f>IFERROR(__xludf.DUMMYFUNCTION("""COMPUTED_VALUE"""),"Sociales 8")</f>
        <v>Sociales 8</v>
      </c>
      <c r="E1613" s="31">
        <f>IFERROR(__xludf.DUMMYFUNCTION("""COMPUTED_VALUE"""),3.0)</f>
        <v>3</v>
      </c>
      <c r="F1613" s="8">
        <v>1.0</v>
      </c>
      <c r="G1613" s="8">
        <v>1.0</v>
      </c>
      <c r="H1613" s="8">
        <v>1.0</v>
      </c>
      <c r="I1613" s="8">
        <v>1.0</v>
      </c>
      <c r="J1613" s="8">
        <v>1.0</v>
      </c>
      <c r="K1613" s="8">
        <v>1.0</v>
      </c>
      <c r="L1613" s="8">
        <v>6.0</v>
      </c>
      <c r="M1613" s="8"/>
      <c r="N1613" s="8"/>
      <c r="O1613" s="8" t="s">
        <v>767</v>
      </c>
      <c r="P1613" s="8" t="e">
        <v>#N/A</v>
      </c>
    </row>
    <row r="1614">
      <c r="A1614">
        <f>IFERROR(__xludf.DUMMYFUNCTION("""COMPUTED_VALUE"""),8.0)</f>
        <v>8</v>
      </c>
      <c r="B1614">
        <f>IFERROR(__xludf.DUMMYFUNCTION("""COMPUTED_VALUE"""),29158.0)</f>
        <v>29158</v>
      </c>
      <c r="C1614" t="str">
        <f>IFERROR(__xludf.DUMMYFUNCTION("""COMPUTED_VALUE"""),"NIEHAUS TRUJILLO, MICHELLE")</f>
        <v>NIEHAUS TRUJILLO, MICHELLE</v>
      </c>
      <c r="D1614" t="str">
        <f>IFERROR(__xludf.DUMMYFUNCTION("""COMPUTED_VALUE"""),"Sociales 8A")</f>
        <v>Sociales 8A</v>
      </c>
      <c r="E1614" s="31">
        <f>IFERROR(__xludf.DUMMYFUNCTION("""COMPUTED_VALUE"""),3.0)</f>
        <v>3</v>
      </c>
      <c r="F1614" s="8">
        <v>1.0</v>
      </c>
      <c r="G1614" s="8">
        <v>1.0</v>
      </c>
      <c r="H1614" s="8">
        <v>1.0</v>
      </c>
      <c r="I1614" s="8">
        <v>1.0</v>
      </c>
      <c r="J1614" s="8">
        <v>1.0</v>
      </c>
      <c r="K1614" s="8">
        <v>1.0</v>
      </c>
      <c r="L1614" s="8">
        <v>6.0</v>
      </c>
      <c r="M1614" s="8"/>
      <c r="N1614" s="8"/>
      <c r="O1614" s="8" t="s">
        <v>770</v>
      </c>
      <c r="P1614" s="8" t="e">
        <v>#N/A</v>
      </c>
    </row>
    <row r="1615">
      <c r="A1615">
        <f>IFERROR(__xludf.DUMMYFUNCTION("""COMPUTED_VALUE"""),8.0)</f>
        <v>8</v>
      </c>
      <c r="B1615">
        <f>IFERROR(__xludf.DUMMYFUNCTION("""COMPUTED_VALUE"""),29137.0)</f>
        <v>29137</v>
      </c>
      <c r="C1615" t="str">
        <f>IFERROR(__xludf.DUMMYFUNCTION("""COMPUTED_VALUE"""),"OLARTE JARAMILLO, EMILIO")</f>
        <v>OLARTE JARAMILLO, EMILIO</v>
      </c>
      <c r="D1615" t="str">
        <f>IFERROR(__xludf.DUMMYFUNCTION("""COMPUTED_VALUE"""),"Sociales 8")</f>
        <v>Sociales 8</v>
      </c>
      <c r="E1615" s="31">
        <f>IFERROR(__xludf.DUMMYFUNCTION("""COMPUTED_VALUE"""),2.0)</f>
        <v>2</v>
      </c>
      <c r="F1615" s="8">
        <v>1.0</v>
      </c>
      <c r="G1615" s="8">
        <v>1.0</v>
      </c>
      <c r="H1615" s="8">
        <v>1.0</v>
      </c>
      <c r="I1615" s="8">
        <v>1.0</v>
      </c>
      <c r="J1615" s="8">
        <v>1.0</v>
      </c>
      <c r="K1615" s="8">
        <v>1.0</v>
      </c>
      <c r="L1615" s="8">
        <v>6.0</v>
      </c>
      <c r="M1615" s="8"/>
      <c r="N1615" s="8"/>
      <c r="O1615" s="8" t="s">
        <v>766</v>
      </c>
      <c r="P1615" s="8" t="e">
        <v>#N/A</v>
      </c>
    </row>
    <row r="1616">
      <c r="A1616">
        <f>IFERROR(__xludf.DUMMYFUNCTION("""COMPUTED_VALUE"""),8.0)</f>
        <v>8</v>
      </c>
      <c r="B1616">
        <f>IFERROR(__xludf.DUMMYFUNCTION("""COMPUTED_VALUE"""),28077.0)</f>
        <v>28077</v>
      </c>
      <c r="C1616" t="str">
        <f>IFERROR(__xludf.DUMMYFUNCTION("""COMPUTED_VALUE"""),"OLIVEIRA CASTAÑO, MARIANA")</f>
        <v>OLIVEIRA CASTAÑO, MARIANA</v>
      </c>
      <c r="D1616" t="str">
        <f>IFERROR(__xludf.DUMMYFUNCTION("""COMPUTED_VALUE"""),"Sociales 8")</f>
        <v>Sociales 8</v>
      </c>
      <c r="E1616" s="31">
        <f>IFERROR(__xludf.DUMMYFUNCTION("""COMPUTED_VALUE"""),4.0)</f>
        <v>4</v>
      </c>
      <c r="F1616" s="8">
        <v>1.0</v>
      </c>
      <c r="G1616" s="8">
        <v>1.0</v>
      </c>
      <c r="H1616" s="8">
        <v>1.0</v>
      </c>
      <c r="I1616" s="8">
        <v>1.0</v>
      </c>
      <c r="J1616" s="8">
        <v>1.0</v>
      </c>
      <c r="K1616" s="8">
        <v>1.0</v>
      </c>
      <c r="L1616" s="8">
        <v>6.0</v>
      </c>
      <c r="M1616" s="8"/>
      <c r="N1616" s="8"/>
      <c r="O1616" s="8" t="s">
        <v>768</v>
      </c>
      <c r="P1616" s="8" t="e">
        <v>#N/A</v>
      </c>
    </row>
    <row r="1617">
      <c r="A1617">
        <f>IFERROR(__xludf.DUMMYFUNCTION("""COMPUTED_VALUE"""),8.0)</f>
        <v>8</v>
      </c>
      <c r="B1617">
        <f>IFERROR(__xludf.DUMMYFUNCTION("""COMPUTED_VALUE"""),29084.0)</f>
        <v>29084</v>
      </c>
      <c r="C1617" t="str">
        <f>IFERROR(__xludf.DUMMYFUNCTION("""COMPUTED_VALUE"""),"OROZCO MONTOYA, ANTONIA")</f>
        <v>OROZCO MONTOYA, ANTONIA</v>
      </c>
      <c r="D1617" t="str">
        <f>IFERROR(__xludf.DUMMYFUNCTION("""COMPUTED_VALUE"""),"Sociales 8")</f>
        <v>Sociales 8</v>
      </c>
      <c r="E1617" s="31">
        <f>IFERROR(__xludf.DUMMYFUNCTION("""COMPUTED_VALUE"""),1.0)</f>
        <v>1</v>
      </c>
      <c r="F1617" s="8">
        <v>1.0</v>
      </c>
      <c r="G1617" s="8">
        <v>1.0</v>
      </c>
      <c r="H1617" s="8">
        <v>1.0</v>
      </c>
      <c r="I1617" s="8">
        <v>1.0</v>
      </c>
      <c r="J1617" s="8">
        <v>1.0</v>
      </c>
      <c r="K1617" s="8">
        <v>1.0</v>
      </c>
      <c r="L1617" s="8">
        <v>6.0</v>
      </c>
      <c r="M1617" s="8"/>
      <c r="N1617" s="8"/>
      <c r="O1617" s="8" t="s">
        <v>765</v>
      </c>
      <c r="P1617" s="8" t="e">
        <v>#N/A</v>
      </c>
    </row>
    <row r="1618">
      <c r="A1618">
        <f>IFERROR(__xludf.DUMMYFUNCTION("""COMPUTED_VALUE"""),8.0)</f>
        <v>8</v>
      </c>
      <c r="B1618">
        <f>IFERROR(__xludf.DUMMYFUNCTION("""COMPUTED_VALUE"""),29148.0)</f>
        <v>29148</v>
      </c>
      <c r="C1618" t="str">
        <f>IFERROR(__xludf.DUMMYFUNCTION("""COMPUTED_VALUE"""),"OSORIO ARISTIZABAL, MATIAS")</f>
        <v>OSORIO ARISTIZABAL, MATIAS</v>
      </c>
      <c r="D1618" t="str">
        <f>IFERROR(__xludf.DUMMYFUNCTION("""COMPUTED_VALUE"""),"Sociales 8")</f>
        <v>Sociales 8</v>
      </c>
      <c r="E1618" s="31">
        <f>IFERROR(__xludf.DUMMYFUNCTION("""COMPUTED_VALUE"""),5.0)</f>
        <v>5</v>
      </c>
      <c r="F1618" s="8">
        <v>1.0</v>
      </c>
      <c r="G1618" s="8">
        <v>1.0</v>
      </c>
      <c r="H1618" s="8">
        <v>1.0</v>
      </c>
      <c r="I1618" s="8">
        <v>1.0</v>
      </c>
      <c r="J1618" s="8">
        <v>1.0</v>
      </c>
      <c r="K1618" s="8">
        <v>1.0</v>
      </c>
      <c r="L1618" s="8">
        <v>6.0</v>
      </c>
      <c r="M1618" s="8"/>
      <c r="N1618" s="8"/>
      <c r="O1618" s="8" t="s">
        <v>769</v>
      </c>
      <c r="P1618" s="8" t="e">
        <v>#N/A</v>
      </c>
    </row>
    <row r="1619">
      <c r="A1619">
        <f>IFERROR(__xludf.DUMMYFUNCTION("""COMPUTED_VALUE"""),8.0)</f>
        <v>8</v>
      </c>
      <c r="B1619">
        <f>IFERROR(__xludf.DUMMYFUNCTION("""COMPUTED_VALUE"""),29085.0)</f>
        <v>29085</v>
      </c>
      <c r="C1619" t="str">
        <f>IFERROR(__xludf.DUMMYFUNCTION("""COMPUTED_VALUE"""),"OTALVARO ABAD, JUAN MARTIN")</f>
        <v>OTALVARO ABAD, JUAN MARTIN</v>
      </c>
      <c r="D1619" t="str">
        <f>IFERROR(__xludf.DUMMYFUNCTION("""COMPUTED_VALUE"""),"Sociales 8A")</f>
        <v>Sociales 8A</v>
      </c>
      <c r="E1619" s="31">
        <f>IFERROR(__xludf.DUMMYFUNCTION("""COMPUTED_VALUE"""),3.0)</f>
        <v>3</v>
      </c>
      <c r="F1619" s="8">
        <v>1.0</v>
      </c>
      <c r="G1619" s="8">
        <v>1.0</v>
      </c>
      <c r="H1619" s="8">
        <v>1.0</v>
      </c>
      <c r="I1619" s="8">
        <v>1.0</v>
      </c>
      <c r="J1619" s="8">
        <v>1.0</v>
      </c>
      <c r="K1619" s="8">
        <v>1.0</v>
      </c>
      <c r="L1619" s="8">
        <v>6.0</v>
      </c>
      <c r="M1619" s="8"/>
      <c r="N1619" s="8"/>
      <c r="O1619" s="8" t="s">
        <v>770</v>
      </c>
      <c r="P1619" s="8" t="e">
        <v>#N/A</v>
      </c>
    </row>
    <row r="1620">
      <c r="A1620">
        <f>IFERROR(__xludf.DUMMYFUNCTION("""COMPUTED_VALUE"""),8.0)</f>
        <v>8</v>
      </c>
      <c r="B1620">
        <f>IFERROR(__xludf.DUMMYFUNCTION("""COMPUTED_VALUE"""),29159.0)</f>
        <v>29159</v>
      </c>
      <c r="C1620" t="str">
        <f>IFERROR(__xludf.DUMMYFUNCTION("""COMPUTED_VALUE"""),"PACHECO GARCIA, MARIANA")</f>
        <v>PACHECO GARCIA, MARIANA</v>
      </c>
      <c r="D1620" t="str">
        <f>IFERROR(__xludf.DUMMYFUNCTION("""COMPUTED_VALUE"""),"Sociales 8A")</f>
        <v>Sociales 8A</v>
      </c>
      <c r="E1620" s="31">
        <f>IFERROR(__xludf.DUMMYFUNCTION("""COMPUTED_VALUE"""),3.0)</f>
        <v>3</v>
      </c>
      <c r="F1620" s="8">
        <v>1.0</v>
      </c>
      <c r="G1620" s="8">
        <v>1.0</v>
      </c>
      <c r="H1620" s="8">
        <v>1.0</v>
      </c>
      <c r="I1620" s="8">
        <v>1.0</v>
      </c>
      <c r="J1620" s="8">
        <v>1.0</v>
      </c>
      <c r="K1620" s="8">
        <v>1.0</v>
      </c>
      <c r="L1620" s="8">
        <v>6.0</v>
      </c>
      <c r="M1620" s="8"/>
      <c r="N1620" s="8"/>
      <c r="O1620" s="8" t="s">
        <v>770</v>
      </c>
      <c r="P1620" s="8" t="e">
        <v>#N/A</v>
      </c>
    </row>
    <row r="1621">
      <c r="A1621">
        <f>IFERROR(__xludf.DUMMYFUNCTION("""COMPUTED_VALUE"""),8.0)</f>
        <v>8</v>
      </c>
      <c r="B1621">
        <f>IFERROR(__xludf.DUMMYFUNCTION("""COMPUTED_VALUE"""),29087.0)</f>
        <v>29087</v>
      </c>
      <c r="C1621" t="str">
        <f>IFERROR(__xludf.DUMMYFUNCTION("""COMPUTED_VALUE"""),"PALACIO BOTERO, MATIAS")</f>
        <v>PALACIO BOTERO, MATIAS</v>
      </c>
      <c r="D1621" t="str">
        <f>IFERROR(__xludf.DUMMYFUNCTION("""COMPUTED_VALUE"""),"Sociales 8")</f>
        <v>Sociales 8</v>
      </c>
      <c r="E1621" s="31">
        <f>IFERROR(__xludf.DUMMYFUNCTION("""COMPUTED_VALUE"""),2.0)</f>
        <v>2</v>
      </c>
      <c r="F1621" s="8">
        <v>1.0</v>
      </c>
      <c r="G1621" s="8">
        <v>1.0</v>
      </c>
      <c r="H1621" s="8">
        <v>1.0</v>
      </c>
      <c r="I1621" s="8">
        <v>1.0</v>
      </c>
      <c r="J1621" s="8">
        <v>1.0</v>
      </c>
      <c r="K1621" s="8">
        <v>1.0</v>
      </c>
      <c r="L1621" s="8">
        <v>6.0</v>
      </c>
      <c r="M1621" s="8"/>
      <c r="N1621" s="8"/>
      <c r="O1621" s="8" t="s">
        <v>766</v>
      </c>
      <c r="P1621" s="8" t="e">
        <v>#N/A</v>
      </c>
    </row>
    <row r="1622">
      <c r="A1622">
        <f>IFERROR(__xludf.DUMMYFUNCTION("""COMPUTED_VALUE"""),8.0)</f>
        <v>8</v>
      </c>
      <c r="B1622">
        <f>IFERROR(__xludf.DUMMYFUNCTION("""COMPUTED_VALUE"""),29088.0)</f>
        <v>29088</v>
      </c>
      <c r="C1622" t="str">
        <f>IFERROR(__xludf.DUMMYFUNCTION("""COMPUTED_VALUE"""),"PEREZ ALVARADO, SARA")</f>
        <v>PEREZ ALVARADO, SARA</v>
      </c>
      <c r="D1622" t="str">
        <f>IFERROR(__xludf.DUMMYFUNCTION("""COMPUTED_VALUE"""),"Sociales 8")</f>
        <v>Sociales 8</v>
      </c>
      <c r="E1622" s="31">
        <f>IFERROR(__xludf.DUMMYFUNCTION("""COMPUTED_VALUE"""),5.0)</f>
        <v>5</v>
      </c>
      <c r="F1622" s="8">
        <v>1.0</v>
      </c>
      <c r="G1622" s="8">
        <v>1.0</v>
      </c>
      <c r="H1622" s="8">
        <v>1.0</v>
      </c>
      <c r="I1622" s="8">
        <v>1.0</v>
      </c>
      <c r="J1622" s="8">
        <v>1.0</v>
      </c>
      <c r="K1622" s="8">
        <v>1.0</v>
      </c>
      <c r="L1622" s="8">
        <v>6.0</v>
      </c>
      <c r="M1622" s="8"/>
      <c r="N1622" s="8"/>
      <c r="O1622" s="8" t="s">
        <v>769</v>
      </c>
      <c r="P1622" s="8" t="e">
        <v>#N/A</v>
      </c>
    </row>
    <row r="1623">
      <c r="A1623">
        <f>IFERROR(__xludf.DUMMYFUNCTION("""COMPUTED_VALUE"""),8.0)</f>
        <v>8</v>
      </c>
      <c r="B1623">
        <f>IFERROR(__xludf.DUMMYFUNCTION("""COMPUTED_VALUE"""),29089.0)</f>
        <v>29089</v>
      </c>
      <c r="C1623" t="str">
        <f>IFERROR(__xludf.DUMMYFUNCTION("""COMPUTED_VALUE"""),"PEREZ BEDOYA, ELENA")</f>
        <v>PEREZ BEDOYA, ELENA</v>
      </c>
      <c r="D1623" t="str">
        <f>IFERROR(__xludf.DUMMYFUNCTION("""COMPUTED_VALUE"""),"Sociales 8")</f>
        <v>Sociales 8</v>
      </c>
      <c r="E1623" s="31">
        <f>IFERROR(__xludf.DUMMYFUNCTION("""COMPUTED_VALUE"""),5.0)</f>
        <v>5</v>
      </c>
      <c r="F1623" s="8">
        <v>1.0</v>
      </c>
      <c r="G1623" s="8">
        <v>1.0</v>
      </c>
      <c r="H1623" s="8">
        <v>1.0</v>
      </c>
      <c r="I1623" s="8">
        <v>1.0</v>
      </c>
      <c r="J1623" s="8">
        <v>1.0</v>
      </c>
      <c r="K1623" s="8">
        <v>1.0</v>
      </c>
      <c r="L1623" s="8">
        <v>6.0</v>
      </c>
      <c r="M1623" s="8"/>
      <c r="N1623" s="8"/>
      <c r="O1623" s="8" t="s">
        <v>769</v>
      </c>
      <c r="P1623" s="8" t="e">
        <v>#N/A</v>
      </c>
    </row>
    <row r="1624">
      <c r="A1624">
        <f>IFERROR(__xludf.DUMMYFUNCTION("""COMPUTED_VALUE"""),8.0)</f>
        <v>8</v>
      </c>
      <c r="B1624">
        <f>IFERROR(__xludf.DUMMYFUNCTION("""COMPUTED_VALUE"""),29157.0)</f>
        <v>29157</v>
      </c>
      <c r="C1624" t="str">
        <f>IFERROR(__xludf.DUMMYFUNCTION("""COMPUTED_VALUE"""),"PETTERSSON VANEGAS, DOMINIQUE")</f>
        <v>PETTERSSON VANEGAS, DOMINIQUE</v>
      </c>
      <c r="D1624" t="str">
        <f>IFERROR(__xludf.DUMMYFUNCTION("""COMPUTED_VALUE"""),"Sociales 8")</f>
        <v>Sociales 8</v>
      </c>
      <c r="E1624" s="31">
        <f>IFERROR(__xludf.DUMMYFUNCTION("""COMPUTED_VALUE"""),1.0)</f>
        <v>1</v>
      </c>
      <c r="F1624" s="8">
        <v>1.0</v>
      </c>
      <c r="G1624" s="8">
        <v>1.0</v>
      </c>
      <c r="H1624" s="8">
        <v>1.0</v>
      </c>
      <c r="I1624" s="8">
        <v>1.0</v>
      </c>
      <c r="J1624" s="8">
        <v>1.0</v>
      </c>
      <c r="K1624" s="8">
        <v>1.0</v>
      </c>
      <c r="L1624" s="8">
        <v>6.0</v>
      </c>
      <c r="M1624" s="8"/>
      <c r="N1624" s="8"/>
      <c r="O1624" s="8" t="s">
        <v>765</v>
      </c>
      <c r="P1624" s="8" t="e">
        <v>#N/A</v>
      </c>
    </row>
    <row r="1625">
      <c r="A1625">
        <f>IFERROR(__xludf.DUMMYFUNCTION("""COMPUTED_VALUE"""),8.0)</f>
        <v>8</v>
      </c>
      <c r="B1625">
        <f>IFERROR(__xludf.DUMMYFUNCTION("""COMPUTED_VALUE"""),29091.0)</f>
        <v>29091</v>
      </c>
      <c r="C1625" t="str">
        <f>IFERROR(__xludf.DUMMYFUNCTION("""COMPUTED_VALUE"""),"PLATA BOLAÑOS, CAMILA")</f>
        <v>PLATA BOLAÑOS, CAMILA</v>
      </c>
      <c r="D1625" t="str">
        <f>IFERROR(__xludf.DUMMYFUNCTION("""COMPUTED_VALUE"""),"Sociales 8")</f>
        <v>Sociales 8</v>
      </c>
      <c r="E1625" s="31">
        <f>IFERROR(__xludf.DUMMYFUNCTION("""COMPUTED_VALUE"""),1.0)</f>
        <v>1</v>
      </c>
      <c r="F1625" s="8">
        <v>1.0</v>
      </c>
      <c r="G1625" s="8">
        <v>1.0</v>
      </c>
      <c r="H1625" s="8">
        <v>1.0</v>
      </c>
      <c r="I1625" s="8">
        <v>1.0</v>
      </c>
      <c r="J1625" s="8">
        <v>1.0</v>
      </c>
      <c r="K1625" s="8">
        <v>1.0</v>
      </c>
      <c r="L1625" s="8">
        <v>6.0</v>
      </c>
      <c r="M1625" s="8"/>
      <c r="N1625" s="8"/>
      <c r="O1625" s="8" t="s">
        <v>765</v>
      </c>
      <c r="P1625" s="8" t="e">
        <v>#N/A</v>
      </c>
    </row>
    <row r="1626">
      <c r="A1626">
        <f>IFERROR(__xludf.DUMMYFUNCTION("""COMPUTED_VALUE"""),8.0)</f>
        <v>8</v>
      </c>
      <c r="B1626">
        <f>IFERROR(__xludf.DUMMYFUNCTION("""COMPUTED_VALUE"""),29093.0)</f>
        <v>29093</v>
      </c>
      <c r="C1626" t="str">
        <f>IFERROR(__xludf.DUMMYFUNCTION("""COMPUTED_VALUE"""),"PUGLIESE STRICKLAND, MARCELLO ANTONIO")</f>
        <v>PUGLIESE STRICKLAND, MARCELLO ANTONIO</v>
      </c>
      <c r="D1626" t="str">
        <f>IFERROR(__xludf.DUMMYFUNCTION("""COMPUTED_VALUE"""),"Sociales 8")</f>
        <v>Sociales 8</v>
      </c>
      <c r="E1626" s="31">
        <f>IFERROR(__xludf.DUMMYFUNCTION("""COMPUTED_VALUE"""),4.0)</f>
        <v>4</v>
      </c>
      <c r="F1626" s="8">
        <v>1.0</v>
      </c>
      <c r="G1626" s="8">
        <v>1.0</v>
      </c>
      <c r="H1626" s="8">
        <v>1.0</v>
      </c>
      <c r="I1626" s="8">
        <v>1.0</v>
      </c>
      <c r="J1626" s="8">
        <v>1.0</v>
      </c>
      <c r="K1626" s="8">
        <v>1.0</v>
      </c>
      <c r="L1626" s="8">
        <v>6.0</v>
      </c>
      <c r="M1626" s="8"/>
      <c r="N1626" s="8"/>
      <c r="O1626" s="8" t="s">
        <v>768</v>
      </c>
      <c r="P1626" s="8" t="e">
        <v>#N/A</v>
      </c>
    </row>
    <row r="1627">
      <c r="A1627">
        <f>IFERROR(__xludf.DUMMYFUNCTION("""COMPUTED_VALUE"""),8.0)</f>
        <v>8</v>
      </c>
      <c r="B1627">
        <f>IFERROR(__xludf.DUMMYFUNCTION("""COMPUTED_VALUE"""),28087.0)</f>
        <v>28087</v>
      </c>
      <c r="C1627" t="str">
        <f>IFERROR(__xludf.DUMMYFUNCTION("""COMPUTED_VALUE"""),"QUINTERO HENAO, MATEO")</f>
        <v>QUINTERO HENAO, MATEO</v>
      </c>
      <c r="D1627" t="str">
        <f>IFERROR(__xludf.DUMMYFUNCTION("""COMPUTED_VALUE"""),"Sociales 8")</f>
        <v>Sociales 8</v>
      </c>
      <c r="E1627" s="31">
        <f>IFERROR(__xludf.DUMMYFUNCTION("""COMPUTED_VALUE"""),2.0)</f>
        <v>2</v>
      </c>
      <c r="F1627" s="8">
        <v>1.0</v>
      </c>
      <c r="G1627" s="8">
        <v>1.0</v>
      </c>
      <c r="H1627" s="8">
        <v>1.0</v>
      </c>
      <c r="I1627" s="8">
        <v>1.0</v>
      </c>
      <c r="J1627" s="8">
        <v>1.0</v>
      </c>
      <c r="K1627" s="8">
        <v>1.0</v>
      </c>
      <c r="L1627" s="8">
        <v>6.0</v>
      </c>
      <c r="M1627" s="8"/>
      <c r="N1627" s="8"/>
      <c r="O1627" s="8" t="s">
        <v>766</v>
      </c>
      <c r="P1627" s="8" t="e">
        <v>#N/A</v>
      </c>
    </row>
    <row r="1628">
      <c r="A1628">
        <f>IFERROR(__xludf.DUMMYFUNCTION("""COMPUTED_VALUE"""),8.0)</f>
        <v>8</v>
      </c>
      <c r="B1628">
        <f>IFERROR(__xludf.DUMMYFUNCTION("""COMPUTED_VALUE"""),29096.0)</f>
        <v>29096</v>
      </c>
      <c r="C1628" t="str">
        <f>IFERROR(__xludf.DUMMYFUNCTION("""COMPUTED_VALUE"""),"RAMIREZ PELAEZ, ANTONIA")</f>
        <v>RAMIREZ PELAEZ, ANTONIA</v>
      </c>
      <c r="D1628" t="str">
        <f>IFERROR(__xludf.DUMMYFUNCTION("""COMPUTED_VALUE"""),"Sociales 8A")</f>
        <v>Sociales 8A</v>
      </c>
      <c r="E1628" s="31">
        <f>IFERROR(__xludf.DUMMYFUNCTION("""COMPUTED_VALUE"""),3.0)</f>
        <v>3</v>
      </c>
      <c r="F1628" s="8">
        <v>1.0</v>
      </c>
      <c r="G1628" s="8">
        <v>1.0</v>
      </c>
      <c r="H1628" s="8">
        <v>1.0</v>
      </c>
      <c r="I1628" s="8">
        <v>1.0</v>
      </c>
      <c r="J1628" s="8">
        <v>1.0</v>
      </c>
      <c r="K1628" s="8">
        <v>1.0</v>
      </c>
      <c r="L1628" s="8">
        <v>6.0</v>
      </c>
      <c r="M1628" s="8"/>
      <c r="N1628" s="8"/>
      <c r="O1628" s="8" t="s">
        <v>770</v>
      </c>
      <c r="P1628" s="8" t="e">
        <v>#N/A</v>
      </c>
    </row>
    <row r="1629">
      <c r="A1629">
        <f>IFERROR(__xludf.DUMMYFUNCTION("""COMPUTED_VALUE"""),8.0)</f>
        <v>8</v>
      </c>
      <c r="B1629">
        <f>IFERROR(__xludf.DUMMYFUNCTION("""COMPUTED_VALUE"""),29097.0)</f>
        <v>29097</v>
      </c>
      <c r="C1629" t="str">
        <f>IFERROR(__xludf.DUMMYFUNCTION("""COMPUTED_VALUE"""),"RAMIREZ PELAEZ, ELENA")</f>
        <v>RAMIREZ PELAEZ, ELENA</v>
      </c>
      <c r="D1629" t="str">
        <f>IFERROR(__xludf.DUMMYFUNCTION("""COMPUTED_VALUE"""),"Sociales 8")</f>
        <v>Sociales 8</v>
      </c>
      <c r="E1629" s="31">
        <f>IFERROR(__xludf.DUMMYFUNCTION("""COMPUTED_VALUE"""),5.0)</f>
        <v>5</v>
      </c>
      <c r="F1629" s="8">
        <v>1.0</v>
      </c>
      <c r="G1629" s="8">
        <v>1.0</v>
      </c>
      <c r="H1629" s="8">
        <v>1.0</v>
      </c>
      <c r="I1629" s="8">
        <v>1.0</v>
      </c>
      <c r="J1629" s="8">
        <v>1.0</v>
      </c>
      <c r="K1629" s="8">
        <v>1.0</v>
      </c>
      <c r="L1629" s="8">
        <v>6.0</v>
      </c>
      <c r="M1629" s="8"/>
      <c r="N1629" s="8"/>
      <c r="O1629" s="8" t="s">
        <v>769</v>
      </c>
      <c r="P1629" s="8" t="e">
        <v>#N/A</v>
      </c>
    </row>
    <row r="1630">
      <c r="A1630">
        <f>IFERROR(__xludf.DUMMYFUNCTION("""COMPUTED_VALUE"""),8.0)</f>
        <v>8</v>
      </c>
      <c r="B1630">
        <f>IFERROR(__xludf.DUMMYFUNCTION("""COMPUTED_VALUE"""),29169.0)</f>
        <v>29169</v>
      </c>
      <c r="C1630" t="str">
        <f>IFERROR(__xludf.DUMMYFUNCTION("""COMPUTED_VALUE"""),"REPETTO LARROSA, FAUSTINO")</f>
        <v>REPETTO LARROSA, FAUSTINO</v>
      </c>
      <c r="D1630" t="str">
        <f>IFERROR(__xludf.DUMMYFUNCTION("""COMPUTED_VALUE"""),"Sociales 8")</f>
        <v>Sociales 8</v>
      </c>
      <c r="E1630" s="31">
        <f>IFERROR(__xludf.DUMMYFUNCTION("""COMPUTED_VALUE"""),4.0)</f>
        <v>4</v>
      </c>
      <c r="F1630" s="8">
        <v>1.0</v>
      </c>
      <c r="G1630" s="8">
        <v>1.0</v>
      </c>
      <c r="H1630" s="8">
        <v>1.0</v>
      </c>
      <c r="I1630" s="8">
        <v>1.0</v>
      </c>
      <c r="J1630" s="8">
        <v>1.0</v>
      </c>
      <c r="K1630" s="8">
        <v>1.0</v>
      </c>
      <c r="L1630" s="8">
        <v>6.0</v>
      </c>
      <c r="M1630" s="8"/>
      <c r="N1630" s="8"/>
      <c r="O1630" s="8" t="s">
        <v>768</v>
      </c>
      <c r="P1630" s="8" t="e">
        <v>#N/A</v>
      </c>
    </row>
    <row r="1631">
      <c r="A1631">
        <f>IFERROR(__xludf.DUMMYFUNCTION("""COMPUTED_VALUE"""),8.0)</f>
        <v>8</v>
      </c>
      <c r="B1631">
        <f>IFERROR(__xludf.DUMMYFUNCTION("""COMPUTED_VALUE"""),29098.0)</f>
        <v>29098</v>
      </c>
      <c r="C1631" t="str">
        <f>IFERROR(__xludf.DUMMYFUNCTION("""COMPUTED_VALUE"""),"RESTREPO ESCOBAR, ISABELA")</f>
        <v>RESTREPO ESCOBAR, ISABELA</v>
      </c>
      <c r="D1631" t="str">
        <f>IFERROR(__xludf.DUMMYFUNCTION("""COMPUTED_VALUE"""),"Sociales 8")</f>
        <v>Sociales 8</v>
      </c>
      <c r="E1631" s="31">
        <f>IFERROR(__xludf.DUMMYFUNCTION("""COMPUTED_VALUE"""),5.0)</f>
        <v>5</v>
      </c>
      <c r="F1631" s="8">
        <v>1.0</v>
      </c>
      <c r="G1631" s="8">
        <v>1.0</v>
      </c>
      <c r="H1631" s="8">
        <v>1.0</v>
      </c>
      <c r="I1631" s="8">
        <v>1.0</v>
      </c>
      <c r="J1631" s="8">
        <v>1.0</v>
      </c>
      <c r="K1631" s="8">
        <v>1.0</v>
      </c>
      <c r="L1631" s="8">
        <v>6.0</v>
      </c>
      <c r="M1631" s="8"/>
      <c r="N1631" s="8"/>
      <c r="O1631" s="8" t="s">
        <v>769</v>
      </c>
      <c r="P1631" s="8" t="e">
        <v>#N/A</v>
      </c>
    </row>
    <row r="1632">
      <c r="A1632">
        <f>IFERROR(__xludf.DUMMYFUNCTION("""COMPUTED_VALUE"""),8.0)</f>
        <v>8</v>
      </c>
      <c r="B1632">
        <f>IFERROR(__xludf.DUMMYFUNCTION("""COMPUTED_VALUE"""),29099.0)</f>
        <v>29099</v>
      </c>
      <c r="C1632" t="str">
        <f>IFERROR(__xludf.DUMMYFUNCTION("""COMPUTED_VALUE"""),"RESTREPO RESTREPO, MATIAS")</f>
        <v>RESTREPO RESTREPO, MATIAS</v>
      </c>
      <c r="D1632" t="str">
        <f>IFERROR(__xludf.DUMMYFUNCTION("""COMPUTED_VALUE"""),"Sociales 8")</f>
        <v>Sociales 8</v>
      </c>
      <c r="E1632" s="31">
        <f>IFERROR(__xludf.DUMMYFUNCTION("""COMPUTED_VALUE"""),2.0)</f>
        <v>2</v>
      </c>
      <c r="F1632" s="8">
        <v>1.0</v>
      </c>
      <c r="G1632" s="8">
        <v>1.0</v>
      </c>
      <c r="H1632" s="8">
        <v>1.0</v>
      </c>
      <c r="I1632" s="8">
        <v>1.0</v>
      </c>
      <c r="J1632" s="8">
        <v>1.0</v>
      </c>
      <c r="K1632" s="8">
        <v>1.0</v>
      </c>
      <c r="L1632" s="8">
        <v>6.0</v>
      </c>
      <c r="M1632" s="8"/>
      <c r="N1632" s="8"/>
      <c r="O1632" s="8" t="s">
        <v>766</v>
      </c>
      <c r="P1632" s="8" t="e">
        <v>#N/A</v>
      </c>
    </row>
    <row r="1633">
      <c r="A1633">
        <f>IFERROR(__xludf.DUMMYFUNCTION("""COMPUTED_VALUE"""),8.0)</f>
        <v>8</v>
      </c>
      <c r="B1633">
        <f>IFERROR(__xludf.DUMMYFUNCTION("""COMPUTED_VALUE"""),29100.0)</f>
        <v>29100</v>
      </c>
      <c r="C1633" t="str">
        <f>IFERROR(__xludf.DUMMYFUNCTION("""COMPUTED_VALUE"""),"RESTREPO VILLEGAS, PEDRO")</f>
        <v>RESTREPO VILLEGAS, PEDRO</v>
      </c>
      <c r="D1633" t="str">
        <f>IFERROR(__xludf.DUMMYFUNCTION("""COMPUTED_VALUE"""),"Sociales 8")</f>
        <v>Sociales 8</v>
      </c>
      <c r="E1633" s="31">
        <f>IFERROR(__xludf.DUMMYFUNCTION("""COMPUTED_VALUE"""),2.0)</f>
        <v>2</v>
      </c>
      <c r="F1633" s="8">
        <v>1.0</v>
      </c>
      <c r="G1633" s="8">
        <v>1.0</v>
      </c>
      <c r="H1633" s="8">
        <v>1.0</v>
      </c>
      <c r="I1633" s="8">
        <v>1.0</v>
      </c>
      <c r="J1633" s="8">
        <v>1.0</v>
      </c>
      <c r="K1633" s="8">
        <v>1.0</v>
      </c>
      <c r="L1633" s="8">
        <v>6.0</v>
      </c>
      <c r="M1633" s="8"/>
      <c r="N1633" s="8"/>
      <c r="O1633" s="8" t="s">
        <v>766</v>
      </c>
      <c r="P1633" s="8" t="e">
        <v>#N/A</v>
      </c>
    </row>
    <row r="1634">
      <c r="A1634">
        <f>IFERROR(__xludf.DUMMYFUNCTION("""COMPUTED_VALUE"""),8.0)</f>
        <v>8</v>
      </c>
      <c r="B1634">
        <f>IFERROR(__xludf.DUMMYFUNCTION("""COMPUTED_VALUE"""),29101.0)</f>
        <v>29101</v>
      </c>
      <c r="C1634" t="str">
        <f>IFERROR(__xludf.DUMMYFUNCTION("""COMPUTED_VALUE"""),"ROBLES MARTINEZ, MARIA")</f>
        <v>ROBLES MARTINEZ, MARIA</v>
      </c>
      <c r="D1634" t="str">
        <f>IFERROR(__xludf.DUMMYFUNCTION("""COMPUTED_VALUE"""),"Sociales 8")</f>
        <v>Sociales 8</v>
      </c>
      <c r="E1634" s="31">
        <f>IFERROR(__xludf.DUMMYFUNCTION("""COMPUTED_VALUE"""),5.0)</f>
        <v>5</v>
      </c>
      <c r="F1634" s="8">
        <v>1.0</v>
      </c>
      <c r="G1634" s="8">
        <v>1.0</v>
      </c>
      <c r="H1634" s="8">
        <v>1.0</v>
      </c>
      <c r="I1634" s="8">
        <v>1.0</v>
      </c>
      <c r="J1634" s="8">
        <v>1.0</v>
      </c>
      <c r="K1634" s="8">
        <v>1.0</v>
      </c>
      <c r="L1634" s="8">
        <v>6.0</v>
      </c>
      <c r="M1634" s="8"/>
      <c r="N1634" s="8"/>
      <c r="O1634" s="8" t="s">
        <v>769</v>
      </c>
      <c r="P1634" s="8" t="e">
        <v>#N/A</v>
      </c>
    </row>
    <row r="1635">
      <c r="A1635">
        <f>IFERROR(__xludf.DUMMYFUNCTION("""COMPUTED_VALUE"""),8.0)</f>
        <v>8</v>
      </c>
      <c r="B1635">
        <f>IFERROR(__xludf.DUMMYFUNCTION("""COMPUTED_VALUE"""),28160.0)</f>
        <v>28160</v>
      </c>
      <c r="C1635" t="str">
        <f>IFERROR(__xludf.DUMMYFUNCTION("""COMPUTED_VALUE"""),"ROJAS REYES, JERONIMO")</f>
        <v>ROJAS REYES, JERONIMO</v>
      </c>
      <c r="D1635" t="str">
        <f>IFERROR(__xludf.DUMMYFUNCTION("""COMPUTED_VALUE"""),"Sociales 8")</f>
        <v>Sociales 8</v>
      </c>
      <c r="E1635" s="31">
        <f>IFERROR(__xludf.DUMMYFUNCTION("""COMPUTED_VALUE"""),2.0)</f>
        <v>2</v>
      </c>
      <c r="F1635" s="8">
        <v>1.0</v>
      </c>
      <c r="G1635" s="8">
        <v>1.0</v>
      </c>
      <c r="H1635" s="8">
        <v>1.0</v>
      </c>
      <c r="I1635" s="8">
        <v>1.0</v>
      </c>
      <c r="J1635" s="8">
        <v>1.0</v>
      </c>
      <c r="K1635" s="8">
        <v>1.0</v>
      </c>
      <c r="L1635" s="8">
        <v>6.0</v>
      </c>
      <c r="M1635" s="8"/>
      <c r="N1635" s="8"/>
      <c r="O1635" s="8" t="s">
        <v>766</v>
      </c>
      <c r="P1635" s="8" t="e">
        <v>#N/A</v>
      </c>
    </row>
    <row r="1636">
      <c r="A1636">
        <f>IFERROR(__xludf.DUMMYFUNCTION("""COMPUTED_VALUE"""),8.0)</f>
        <v>8</v>
      </c>
      <c r="B1636">
        <f>IFERROR(__xludf.DUMMYFUNCTION("""COMPUTED_VALUE"""),29163.0)</f>
        <v>29163</v>
      </c>
      <c r="C1636" t="str">
        <f>IFERROR(__xludf.DUMMYFUNCTION("""COMPUTED_VALUE"""),"ROMERO OROZCO, SALVADOR")</f>
        <v>ROMERO OROZCO, SALVADOR</v>
      </c>
      <c r="D1636" t="str">
        <f>IFERROR(__xludf.DUMMYFUNCTION("""COMPUTED_VALUE"""),"Sociales 8")</f>
        <v>Sociales 8</v>
      </c>
      <c r="E1636" s="31">
        <f>IFERROR(__xludf.DUMMYFUNCTION("""COMPUTED_VALUE"""),4.0)</f>
        <v>4</v>
      </c>
      <c r="F1636" s="8">
        <v>1.0</v>
      </c>
      <c r="G1636" s="8">
        <v>1.0</v>
      </c>
      <c r="H1636" s="8">
        <v>1.0</v>
      </c>
      <c r="I1636" s="8">
        <v>1.0</v>
      </c>
      <c r="J1636" s="8">
        <v>1.0</v>
      </c>
      <c r="K1636" s="8">
        <v>1.0</v>
      </c>
      <c r="L1636" s="8">
        <v>6.0</v>
      </c>
      <c r="M1636" s="8"/>
      <c r="N1636" s="8"/>
      <c r="O1636" s="8" t="s">
        <v>768</v>
      </c>
      <c r="P1636" s="8" t="e">
        <v>#N/A</v>
      </c>
    </row>
    <row r="1637">
      <c r="A1637">
        <f>IFERROR(__xludf.DUMMYFUNCTION("""COMPUTED_VALUE"""),8.0)</f>
        <v>8</v>
      </c>
      <c r="B1637">
        <f>IFERROR(__xludf.DUMMYFUNCTION("""COMPUTED_VALUE"""),29103.0)</f>
        <v>29103</v>
      </c>
      <c r="C1637" t="str">
        <f>IFERROR(__xludf.DUMMYFUNCTION("""COMPUTED_VALUE"""),"SALAZAR ECHEVERRI, ANTONIA")</f>
        <v>SALAZAR ECHEVERRI, ANTONIA</v>
      </c>
      <c r="D1637" t="str">
        <f>IFERROR(__xludf.DUMMYFUNCTION("""COMPUTED_VALUE"""),"Sociales 8")</f>
        <v>Sociales 8</v>
      </c>
      <c r="E1637" s="31">
        <f>IFERROR(__xludf.DUMMYFUNCTION("""COMPUTED_VALUE"""),3.0)</f>
        <v>3</v>
      </c>
      <c r="F1637" s="8">
        <v>1.0</v>
      </c>
      <c r="G1637" s="8">
        <v>1.0</v>
      </c>
      <c r="H1637" s="8">
        <v>1.0</v>
      </c>
      <c r="I1637" s="8">
        <v>1.0</v>
      </c>
      <c r="J1637" s="8">
        <v>1.0</v>
      </c>
      <c r="K1637" s="8">
        <v>1.0</v>
      </c>
      <c r="L1637" s="8">
        <v>6.0</v>
      </c>
      <c r="M1637" s="8"/>
      <c r="N1637" s="8"/>
      <c r="O1637" s="8" t="s">
        <v>767</v>
      </c>
      <c r="P1637" s="8" t="e">
        <v>#N/A</v>
      </c>
    </row>
    <row r="1638">
      <c r="A1638">
        <f>IFERROR(__xludf.DUMMYFUNCTION("""COMPUTED_VALUE"""),8.0)</f>
        <v>8</v>
      </c>
      <c r="B1638">
        <f>IFERROR(__xludf.DUMMYFUNCTION("""COMPUTED_VALUE"""),29149.0)</f>
        <v>29149</v>
      </c>
      <c r="C1638" t="str">
        <f>IFERROR(__xludf.DUMMYFUNCTION("""COMPUTED_VALUE"""),"SALEMME GUTIERREZ, AMALIA")</f>
        <v>SALEMME GUTIERREZ, AMALIA</v>
      </c>
      <c r="D1638" t="str">
        <f>IFERROR(__xludf.DUMMYFUNCTION("""COMPUTED_VALUE"""),"Sociales 8")</f>
        <v>Sociales 8</v>
      </c>
      <c r="E1638" s="31">
        <f>IFERROR(__xludf.DUMMYFUNCTION("""COMPUTED_VALUE"""),5.0)</f>
        <v>5</v>
      </c>
      <c r="F1638" s="8">
        <v>1.0</v>
      </c>
      <c r="G1638" s="8">
        <v>1.0</v>
      </c>
      <c r="H1638" s="8">
        <v>1.0</v>
      </c>
      <c r="I1638" s="8">
        <v>1.0</v>
      </c>
      <c r="J1638" s="8">
        <v>1.0</v>
      </c>
      <c r="K1638" s="8">
        <v>1.0</v>
      </c>
      <c r="L1638" s="8">
        <v>6.0</v>
      </c>
      <c r="M1638" s="8"/>
      <c r="N1638" s="8"/>
      <c r="O1638" s="8" t="s">
        <v>769</v>
      </c>
      <c r="P1638" s="8" t="e">
        <v>#N/A</v>
      </c>
    </row>
    <row r="1639">
      <c r="A1639">
        <f>IFERROR(__xludf.DUMMYFUNCTION("""COMPUTED_VALUE"""),8.0)</f>
        <v>8</v>
      </c>
      <c r="B1639">
        <f>IFERROR(__xludf.DUMMYFUNCTION("""COMPUTED_VALUE"""),29105.0)</f>
        <v>29105</v>
      </c>
      <c r="C1639" t="str">
        <f>IFERROR(__xludf.DUMMYFUNCTION("""COMPUTED_VALUE"""),"SANCHEZ DIAZ, MATIAS")</f>
        <v>SANCHEZ DIAZ, MATIAS</v>
      </c>
      <c r="D1639" t="str">
        <f>IFERROR(__xludf.DUMMYFUNCTION("""COMPUTED_VALUE"""),"Sociales 8A")</f>
        <v>Sociales 8A</v>
      </c>
      <c r="E1639" s="31">
        <f>IFERROR(__xludf.DUMMYFUNCTION("""COMPUTED_VALUE"""),3.0)</f>
        <v>3</v>
      </c>
      <c r="F1639" s="8">
        <v>1.0</v>
      </c>
      <c r="G1639" s="8">
        <v>1.0</v>
      </c>
      <c r="H1639" s="8">
        <v>1.0</v>
      </c>
      <c r="I1639" s="8">
        <v>1.0</v>
      </c>
      <c r="J1639" s="8">
        <v>1.0</v>
      </c>
      <c r="K1639" s="8">
        <v>1.0</v>
      </c>
      <c r="L1639" s="8">
        <v>6.0</v>
      </c>
      <c r="M1639" s="8"/>
      <c r="N1639" s="8"/>
      <c r="O1639" s="8" t="s">
        <v>770</v>
      </c>
      <c r="P1639" s="8" t="e">
        <v>#N/A</v>
      </c>
    </row>
    <row r="1640">
      <c r="A1640">
        <f>IFERROR(__xludf.DUMMYFUNCTION("""COMPUTED_VALUE"""),8.0)</f>
        <v>8</v>
      </c>
      <c r="B1640">
        <f>IFERROR(__xludf.DUMMYFUNCTION("""COMPUTED_VALUE"""),29106.0)</f>
        <v>29106</v>
      </c>
      <c r="C1640" t="str">
        <f>IFERROR(__xludf.DUMMYFUNCTION("""COMPUTED_VALUE"""),"SANCHEZ DIAZ, SIMON")</f>
        <v>SANCHEZ DIAZ, SIMON</v>
      </c>
      <c r="D1640" t="str">
        <f>IFERROR(__xludf.DUMMYFUNCTION("""COMPUTED_VALUE"""),"Sociales 8A")</f>
        <v>Sociales 8A</v>
      </c>
      <c r="E1640" s="31">
        <f>IFERROR(__xludf.DUMMYFUNCTION("""COMPUTED_VALUE"""),3.0)</f>
        <v>3</v>
      </c>
      <c r="F1640" s="8">
        <v>1.0</v>
      </c>
      <c r="G1640" s="8">
        <v>1.0</v>
      </c>
      <c r="H1640" s="8">
        <v>1.0</v>
      </c>
      <c r="I1640" s="8">
        <v>1.0</v>
      </c>
      <c r="J1640" s="8">
        <v>1.0</v>
      </c>
      <c r="K1640" s="8">
        <v>1.0</v>
      </c>
      <c r="L1640" s="8">
        <v>6.0</v>
      </c>
      <c r="M1640" s="8"/>
      <c r="N1640" s="8"/>
      <c r="O1640" s="8" t="s">
        <v>770</v>
      </c>
      <c r="P1640" s="8" t="e">
        <v>#N/A</v>
      </c>
    </row>
    <row r="1641">
      <c r="A1641">
        <f>IFERROR(__xludf.DUMMYFUNCTION("""COMPUTED_VALUE"""),8.0)</f>
        <v>8</v>
      </c>
      <c r="B1641">
        <f>IFERROR(__xludf.DUMMYFUNCTION("""COMPUTED_VALUE"""),29107.0)</f>
        <v>29107</v>
      </c>
      <c r="C1641" t="str">
        <f>IFERROR(__xludf.DUMMYFUNCTION("""COMPUTED_VALUE"""),"SANIN JARAMILLO, PEDRO")</f>
        <v>SANIN JARAMILLO, PEDRO</v>
      </c>
      <c r="D1641" t="str">
        <f>IFERROR(__xludf.DUMMYFUNCTION("""COMPUTED_VALUE"""),"Sociales 8")</f>
        <v>Sociales 8</v>
      </c>
      <c r="E1641" s="31">
        <f>IFERROR(__xludf.DUMMYFUNCTION("""COMPUTED_VALUE"""),1.0)</f>
        <v>1</v>
      </c>
      <c r="F1641" s="8">
        <v>1.0</v>
      </c>
      <c r="G1641" s="8">
        <v>1.0</v>
      </c>
      <c r="H1641" s="8">
        <v>1.0</v>
      </c>
      <c r="I1641" s="8">
        <v>1.0</v>
      </c>
      <c r="J1641" s="8">
        <v>1.0</v>
      </c>
      <c r="K1641" s="8">
        <v>1.0</v>
      </c>
      <c r="L1641" s="8">
        <v>6.0</v>
      </c>
      <c r="M1641" s="8"/>
      <c r="N1641" s="8"/>
      <c r="O1641" s="8" t="s">
        <v>765</v>
      </c>
      <c r="P1641" s="8" t="e">
        <v>#N/A</v>
      </c>
    </row>
    <row r="1642">
      <c r="A1642">
        <f>IFERROR(__xludf.DUMMYFUNCTION("""COMPUTED_VALUE"""),8.0)</f>
        <v>8</v>
      </c>
      <c r="B1642">
        <f>IFERROR(__xludf.DUMMYFUNCTION("""COMPUTED_VALUE"""),29108.0)</f>
        <v>29108</v>
      </c>
      <c r="C1642" t="str">
        <f>IFERROR(__xludf.DUMMYFUNCTION("""COMPUTED_VALUE"""),"SCHOBER OCAMPO, DANIEL")</f>
        <v>SCHOBER OCAMPO, DANIEL</v>
      </c>
      <c r="D1642" t="str">
        <f>IFERROR(__xludf.DUMMYFUNCTION("""COMPUTED_VALUE"""),"Sociales 8A")</f>
        <v>Sociales 8A</v>
      </c>
      <c r="E1642" s="31">
        <f>IFERROR(__xludf.DUMMYFUNCTION("""COMPUTED_VALUE"""),3.0)</f>
        <v>3</v>
      </c>
      <c r="F1642" s="8">
        <v>1.0</v>
      </c>
      <c r="G1642" s="8">
        <v>1.0</v>
      </c>
      <c r="H1642" s="8">
        <v>1.0</v>
      </c>
      <c r="I1642" s="8">
        <v>1.0</v>
      </c>
      <c r="J1642" s="8">
        <v>1.0</v>
      </c>
      <c r="K1642" s="8">
        <v>1.0</v>
      </c>
      <c r="L1642" s="8">
        <v>6.0</v>
      </c>
      <c r="M1642" s="8"/>
      <c r="N1642" s="8"/>
      <c r="O1642" s="8" t="s">
        <v>770</v>
      </c>
      <c r="P1642" s="8" t="e">
        <v>#N/A</v>
      </c>
    </row>
    <row r="1643">
      <c r="A1643">
        <f>IFERROR(__xludf.DUMMYFUNCTION("""COMPUTED_VALUE"""),8.0)</f>
        <v>8</v>
      </c>
      <c r="B1643">
        <f>IFERROR(__xludf.DUMMYFUNCTION("""COMPUTED_VALUE"""),29171.0)</f>
        <v>29171</v>
      </c>
      <c r="C1643" t="str">
        <f>IFERROR(__xludf.DUMMYFUNCTION("""COMPUTED_VALUE"""),"SCHUCHASKIE, KEATON")</f>
        <v>SCHUCHASKIE, KEATON</v>
      </c>
      <c r="D1643" t="str">
        <f>IFERROR(__xludf.DUMMYFUNCTION("""COMPUTED_VALUE"""),"Sociales 8A")</f>
        <v>Sociales 8A</v>
      </c>
      <c r="E1643" s="31">
        <f>IFERROR(__xludf.DUMMYFUNCTION("""COMPUTED_VALUE"""),3.0)</f>
        <v>3</v>
      </c>
      <c r="F1643" s="8">
        <v>1.0</v>
      </c>
      <c r="G1643" s="8">
        <v>1.0</v>
      </c>
      <c r="H1643" s="8">
        <v>1.0</v>
      </c>
      <c r="I1643" s="8">
        <v>1.0</v>
      </c>
      <c r="J1643" s="8">
        <v>1.0</v>
      </c>
      <c r="K1643" s="8">
        <v>1.0</v>
      </c>
      <c r="L1643" s="8">
        <v>6.0</v>
      </c>
      <c r="M1643" s="8"/>
      <c r="N1643" s="8"/>
      <c r="O1643" s="8" t="s">
        <v>770</v>
      </c>
      <c r="P1643" s="8" t="e">
        <v>#N/A</v>
      </c>
    </row>
    <row r="1644">
      <c r="A1644">
        <f>IFERROR(__xludf.DUMMYFUNCTION("""COMPUTED_VALUE"""),8.0)</f>
        <v>8</v>
      </c>
      <c r="B1644">
        <f>IFERROR(__xludf.DUMMYFUNCTION("""COMPUTED_VALUE"""),29109.0)</f>
        <v>29109</v>
      </c>
      <c r="C1644" t="str">
        <f>IFERROR(__xludf.DUMMYFUNCTION("""COMPUTED_VALUE"""),"SERANI ANGEL, LUCIANA")</f>
        <v>SERANI ANGEL, LUCIANA</v>
      </c>
      <c r="D1644" t="str">
        <f>IFERROR(__xludf.DUMMYFUNCTION("""COMPUTED_VALUE"""),"Sociales 8A")</f>
        <v>Sociales 8A</v>
      </c>
      <c r="E1644" s="31">
        <f>IFERROR(__xludf.DUMMYFUNCTION("""COMPUTED_VALUE"""),3.0)</f>
        <v>3</v>
      </c>
      <c r="F1644" s="8">
        <v>1.0</v>
      </c>
      <c r="G1644" s="8">
        <v>1.0</v>
      </c>
      <c r="H1644" s="8">
        <v>1.0</v>
      </c>
      <c r="I1644" s="8">
        <v>1.0</v>
      </c>
      <c r="J1644" s="8">
        <v>1.0</v>
      </c>
      <c r="K1644" s="8">
        <v>1.0</v>
      </c>
      <c r="L1644" s="8">
        <v>6.0</v>
      </c>
      <c r="M1644" s="8"/>
      <c r="N1644" s="8"/>
      <c r="O1644" s="8" t="s">
        <v>770</v>
      </c>
      <c r="P1644" s="8" t="e">
        <v>#N/A</v>
      </c>
    </row>
    <row r="1645">
      <c r="A1645">
        <f>IFERROR(__xludf.DUMMYFUNCTION("""COMPUTED_VALUE"""),8.0)</f>
        <v>8</v>
      </c>
      <c r="B1645">
        <f>IFERROR(__xludf.DUMMYFUNCTION("""COMPUTED_VALUE"""),29110.0)</f>
        <v>29110</v>
      </c>
      <c r="C1645" t="str">
        <f>IFERROR(__xludf.DUMMYFUNCTION("""COMPUTED_VALUE"""),"SOSA ECHAVARRIA, EMILIO")</f>
        <v>SOSA ECHAVARRIA, EMILIO</v>
      </c>
      <c r="D1645" t="str">
        <f>IFERROR(__xludf.DUMMYFUNCTION("""COMPUTED_VALUE"""),"Sociales 8")</f>
        <v>Sociales 8</v>
      </c>
      <c r="E1645" s="31">
        <f>IFERROR(__xludf.DUMMYFUNCTION("""COMPUTED_VALUE"""),5.0)</f>
        <v>5</v>
      </c>
      <c r="F1645" s="8">
        <v>1.0</v>
      </c>
      <c r="G1645" s="8">
        <v>1.0</v>
      </c>
      <c r="H1645" s="8">
        <v>1.0</v>
      </c>
      <c r="I1645" s="8">
        <v>1.0</v>
      </c>
      <c r="J1645" s="8">
        <v>1.0</v>
      </c>
      <c r="K1645" s="8">
        <v>1.0</v>
      </c>
      <c r="L1645" s="8">
        <v>6.0</v>
      </c>
      <c r="M1645" s="8"/>
      <c r="N1645" s="8"/>
      <c r="O1645" s="8" t="s">
        <v>769</v>
      </c>
      <c r="P1645" s="8" t="e">
        <v>#N/A</v>
      </c>
    </row>
    <row r="1646">
      <c r="A1646">
        <f>IFERROR(__xludf.DUMMYFUNCTION("""COMPUTED_VALUE"""),8.0)</f>
        <v>8</v>
      </c>
      <c r="B1646">
        <f>IFERROR(__xludf.DUMMYFUNCTION("""COMPUTED_VALUE"""),29111.0)</f>
        <v>29111</v>
      </c>
      <c r="C1646" t="str">
        <f>IFERROR(__xludf.DUMMYFUNCTION("""COMPUTED_VALUE"""),"SOTO ANGEL, GABRIELA")</f>
        <v>SOTO ANGEL, GABRIELA</v>
      </c>
      <c r="D1646" t="str">
        <f>IFERROR(__xludf.DUMMYFUNCTION("""COMPUTED_VALUE"""),"Sociales 8")</f>
        <v>Sociales 8</v>
      </c>
      <c r="E1646" s="31">
        <f>IFERROR(__xludf.DUMMYFUNCTION("""COMPUTED_VALUE"""),3.0)</f>
        <v>3</v>
      </c>
      <c r="F1646" s="8">
        <v>1.0</v>
      </c>
      <c r="G1646" s="8">
        <v>1.0</v>
      </c>
      <c r="H1646" s="8">
        <v>1.0</v>
      </c>
      <c r="I1646" s="8">
        <v>1.0</v>
      </c>
      <c r="J1646" s="8">
        <v>1.0</v>
      </c>
      <c r="K1646" s="8">
        <v>1.0</v>
      </c>
      <c r="L1646" s="8">
        <v>6.0</v>
      </c>
      <c r="M1646" s="8"/>
      <c r="N1646" s="8"/>
      <c r="O1646" s="8" t="s">
        <v>767</v>
      </c>
      <c r="P1646" s="8" t="e">
        <v>#N/A</v>
      </c>
    </row>
    <row r="1647">
      <c r="A1647">
        <f>IFERROR(__xludf.DUMMYFUNCTION("""COMPUTED_VALUE"""),8.0)</f>
        <v>8</v>
      </c>
      <c r="B1647">
        <f>IFERROR(__xludf.DUMMYFUNCTION("""COMPUTED_VALUE"""),29112.0)</f>
        <v>29112</v>
      </c>
      <c r="C1647" t="str">
        <f>IFERROR(__xludf.DUMMYFUNCTION("""COMPUTED_VALUE"""),"SUAREZ MARTINEZ, ANA")</f>
        <v>SUAREZ MARTINEZ, ANA</v>
      </c>
      <c r="D1647" t="str">
        <f>IFERROR(__xludf.DUMMYFUNCTION("""COMPUTED_VALUE"""),"Sociales 8")</f>
        <v>Sociales 8</v>
      </c>
      <c r="E1647" s="31">
        <f>IFERROR(__xludf.DUMMYFUNCTION("""COMPUTED_VALUE"""),1.0)</f>
        <v>1</v>
      </c>
      <c r="F1647" s="8">
        <v>1.0</v>
      </c>
      <c r="G1647" s="8">
        <v>1.0</v>
      </c>
      <c r="H1647" s="8">
        <v>1.0</v>
      </c>
      <c r="I1647" s="8">
        <v>1.0</v>
      </c>
      <c r="J1647" s="8">
        <v>1.0</v>
      </c>
      <c r="K1647" s="8">
        <v>1.0</v>
      </c>
      <c r="L1647" s="8">
        <v>6.0</v>
      </c>
      <c r="M1647" s="8"/>
      <c r="N1647" s="8"/>
      <c r="O1647" s="8" t="s">
        <v>765</v>
      </c>
      <c r="P1647" s="8" t="e">
        <v>#N/A</v>
      </c>
    </row>
    <row r="1648">
      <c r="A1648">
        <f>IFERROR(__xludf.DUMMYFUNCTION("""COMPUTED_VALUE"""),8.0)</f>
        <v>8</v>
      </c>
      <c r="B1648">
        <f>IFERROR(__xludf.DUMMYFUNCTION("""COMPUTED_VALUE"""),29113.0)</f>
        <v>29113</v>
      </c>
      <c r="C1648" t="str">
        <f>IFERROR(__xludf.DUMMYFUNCTION("""COMPUTED_VALUE"""),"THIRIEZ VILLA, EMMA")</f>
        <v>THIRIEZ VILLA, EMMA</v>
      </c>
      <c r="D1648" t="str">
        <f>IFERROR(__xludf.DUMMYFUNCTION("""COMPUTED_VALUE"""),"Sociales 8")</f>
        <v>Sociales 8</v>
      </c>
      <c r="E1648" s="31">
        <f>IFERROR(__xludf.DUMMYFUNCTION("""COMPUTED_VALUE"""),5.0)</f>
        <v>5</v>
      </c>
      <c r="F1648" s="8">
        <v>1.0</v>
      </c>
      <c r="G1648" s="8">
        <v>1.0</v>
      </c>
      <c r="H1648" s="8">
        <v>1.0</v>
      </c>
      <c r="I1648" s="8">
        <v>1.0</v>
      </c>
      <c r="J1648" s="8">
        <v>1.0</v>
      </c>
      <c r="K1648" s="8">
        <v>1.0</v>
      </c>
      <c r="L1648" s="8">
        <v>6.0</v>
      </c>
      <c r="M1648" s="8"/>
      <c r="N1648" s="8"/>
      <c r="O1648" s="8" t="s">
        <v>769</v>
      </c>
      <c r="P1648" s="8" t="e">
        <v>#N/A</v>
      </c>
    </row>
    <row r="1649">
      <c r="A1649">
        <f>IFERROR(__xludf.DUMMYFUNCTION("""COMPUTED_VALUE"""),8.0)</f>
        <v>8</v>
      </c>
      <c r="B1649">
        <f>IFERROR(__xludf.DUMMYFUNCTION("""COMPUTED_VALUE"""),29114.0)</f>
        <v>29114</v>
      </c>
      <c r="C1649" t="str">
        <f>IFERROR(__xludf.DUMMYFUNCTION("""COMPUTED_VALUE"""),"THIRIEZ VILLA, MARIA")</f>
        <v>THIRIEZ VILLA, MARIA</v>
      </c>
      <c r="D1649" t="str">
        <f>IFERROR(__xludf.DUMMYFUNCTION("""COMPUTED_VALUE"""),"Sociales 8")</f>
        <v>Sociales 8</v>
      </c>
      <c r="E1649" s="31">
        <f>IFERROR(__xludf.DUMMYFUNCTION("""COMPUTED_VALUE"""),1.0)</f>
        <v>1</v>
      </c>
      <c r="F1649" s="8">
        <v>1.0</v>
      </c>
      <c r="G1649" s="8">
        <v>1.0</v>
      </c>
      <c r="H1649" s="8">
        <v>1.0</v>
      </c>
      <c r="I1649" s="8">
        <v>1.0</v>
      </c>
      <c r="J1649" s="8">
        <v>1.0</v>
      </c>
      <c r="K1649" s="8">
        <v>1.0</v>
      </c>
      <c r="L1649" s="8">
        <v>6.0</v>
      </c>
      <c r="M1649" s="8"/>
      <c r="N1649" s="8"/>
      <c r="O1649" s="8" t="s">
        <v>765</v>
      </c>
      <c r="P1649" s="8" t="e">
        <v>#N/A</v>
      </c>
    </row>
    <row r="1650">
      <c r="A1650">
        <f>IFERROR(__xludf.DUMMYFUNCTION("""COMPUTED_VALUE"""),8.0)</f>
        <v>8</v>
      </c>
      <c r="B1650">
        <f>IFERROR(__xludf.DUMMYFUNCTION("""COMPUTED_VALUE"""),29115.0)</f>
        <v>29115</v>
      </c>
      <c r="C1650" t="str">
        <f>IFERROR(__xludf.DUMMYFUNCTION("""COMPUTED_VALUE"""),"TIRADO SANIN, ELENA")</f>
        <v>TIRADO SANIN, ELENA</v>
      </c>
      <c r="D1650" t="str">
        <f>IFERROR(__xludf.DUMMYFUNCTION("""COMPUTED_VALUE"""),"Sociales 8")</f>
        <v>Sociales 8</v>
      </c>
      <c r="E1650" s="31">
        <f>IFERROR(__xludf.DUMMYFUNCTION("""COMPUTED_VALUE"""),4.0)</f>
        <v>4</v>
      </c>
      <c r="F1650" s="8">
        <v>1.0</v>
      </c>
      <c r="G1650" s="8">
        <v>1.0</v>
      </c>
      <c r="H1650" s="8">
        <v>1.0</v>
      </c>
      <c r="I1650" s="8">
        <v>1.0</v>
      </c>
      <c r="J1650" s="8">
        <v>1.0</v>
      </c>
      <c r="K1650" s="8">
        <v>1.0</v>
      </c>
      <c r="L1650" s="8">
        <v>6.0</v>
      </c>
      <c r="M1650" s="8"/>
      <c r="N1650" s="8"/>
      <c r="O1650" s="8" t="s">
        <v>768</v>
      </c>
      <c r="P1650" s="8" t="e">
        <v>#N/A</v>
      </c>
    </row>
    <row r="1651">
      <c r="A1651">
        <f>IFERROR(__xludf.DUMMYFUNCTION("""COMPUTED_VALUE"""),8.0)</f>
        <v>8</v>
      </c>
      <c r="B1651">
        <f>IFERROR(__xludf.DUMMYFUNCTION("""COMPUTED_VALUE"""),29116.0)</f>
        <v>29116</v>
      </c>
      <c r="C1651" t="str">
        <f>IFERROR(__xludf.DUMMYFUNCTION("""COMPUTED_VALUE"""),"TOBAR MEJIA, CAMILO")</f>
        <v>TOBAR MEJIA, CAMILO</v>
      </c>
      <c r="D1651" t="str">
        <f>IFERROR(__xludf.DUMMYFUNCTION("""COMPUTED_VALUE"""),"Sociales 8")</f>
        <v>Sociales 8</v>
      </c>
      <c r="E1651" s="31">
        <f>IFERROR(__xludf.DUMMYFUNCTION("""COMPUTED_VALUE"""),2.0)</f>
        <v>2</v>
      </c>
      <c r="F1651" s="8">
        <v>1.0</v>
      </c>
      <c r="G1651" s="8">
        <v>1.0</v>
      </c>
      <c r="H1651" s="8">
        <v>1.0</v>
      </c>
      <c r="I1651" s="8">
        <v>1.0</v>
      </c>
      <c r="J1651" s="8">
        <v>1.0</v>
      </c>
      <c r="K1651" s="8">
        <v>1.0</v>
      </c>
      <c r="L1651" s="8">
        <v>6.0</v>
      </c>
      <c r="M1651" s="8"/>
      <c r="N1651" s="8"/>
      <c r="O1651" s="8" t="s">
        <v>766</v>
      </c>
      <c r="P1651" s="8" t="e">
        <v>#N/A</v>
      </c>
    </row>
    <row r="1652">
      <c r="A1652">
        <f>IFERROR(__xludf.DUMMYFUNCTION("""COMPUTED_VALUE"""),8.0)</f>
        <v>8</v>
      </c>
      <c r="B1652">
        <f>IFERROR(__xludf.DUMMYFUNCTION("""COMPUTED_VALUE"""),29142.0)</f>
        <v>29142</v>
      </c>
      <c r="C1652" t="str">
        <f>IFERROR(__xludf.DUMMYFUNCTION("""COMPUTED_VALUE"""),"TOBON CARMONA, JACOBO")</f>
        <v>TOBON CARMONA, JACOBO</v>
      </c>
      <c r="D1652" t="str">
        <f>IFERROR(__xludf.DUMMYFUNCTION("""COMPUTED_VALUE"""),"Sociales 8A")</f>
        <v>Sociales 8A</v>
      </c>
      <c r="E1652" s="31">
        <f>IFERROR(__xludf.DUMMYFUNCTION("""COMPUTED_VALUE"""),3.0)</f>
        <v>3</v>
      </c>
      <c r="F1652" s="8">
        <v>1.0</v>
      </c>
      <c r="G1652" s="8">
        <v>1.0</v>
      </c>
      <c r="H1652" s="8">
        <v>1.0</v>
      </c>
      <c r="I1652" s="8">
        <v>1.0</v>
      </c>
      <c r="J1652" s="8">
        <v>1.0</v>
      </c>
      <c r="K1652" s="8">
        <v>1.0</v>
      </c>
      <c r="L1652" s="8">
        <v>6.0</v>
      </c>
      <c r="M1652" s="8"/>
      <c r="N1652" s="8"/>
      <c r="O1652" s="8" t="s">
        <v>770</v>
      </c>
      <c r="P1652" s="8" t="e">
        <v>#N/A</v>
      </c>
    </row>
    <row r="1653">
      <c r="A1653">
        <f>IFERROR(__xludf.DUMMYFUNCTION("""COMPUTED_VALUE"""),8.0)</f>
        <v>8</v>
      </c>
      <c r="B1653">
        <f>IFERROR(__xludf.DUMMYFUNCTION("""COMPUTED_VALUE"""),29117.0)</f>
        <v>29117</v>
      </c>
      <c r="C1653" t="str">
        <f>IFERROR(__xludf.DUMMYFUNCTION("""COMPUTED_VALUE"""),"TOBON GONZALEZ, FLORENCIA")</f>
        <v>TOBON GONZALEZ, FLORENCIA</v>
      </c>
      <c r="D1653" t="str">
        <f>IFERROR(__xludf.DUMMYFUNCTION("""COMPUTED_VALUE"""),"Sociales 8")</f>
        <v>Sociales 8</v>
      </c>
      <c r="E1653" s="31">
        <f>IFERROR(__xludf.DUMMYFUNCTION("""COMPUTED_VALUE"""),4.0)</f>
        <v>4</v>
      </c>
      <c r="F1653" s="8">
        <v>1.0</v>
      </c>
      <c r="G1653" s="8">
        <v>1.0</v>
      </c>
      <c r="H1653" s="8">
        <v>1.0</v>
      </c>
      <c r="I1653" s="8">
        <v>1.0</v>
      </c>
      <c r="J1653" s="8">
        <v>1.0</v>
      </c>
      <c r="K1653" s="8">
        <v>1.0</v>
      </c>
      <c r="L1653" s="8">
        <v>6.0</v>
      </c>
      <c r="M1653" s="8"/>
      <c r="N1653" s="8"/>
      <c r="O1653" s="8" t="s">
        <v>768</v>
      </c>
      <c r="P1653" s="8" t="e">
        <v>#N/A</v>
      </c>
    </row>
    <row r="1654">
      <c r="A1654">
        <f>IFERROR(__xludf.DUMMYFUNCTION("""COMPUTED_VALUE"""),8.0)</f>
        <v>8</v>
      </c>
      <c r="B1654">
        <f>IFERROR(__xludf.DUMMYFUNCTION("""COMPUTED_VALUE"""),29118.0)</f>
        <v>29118</v>
      </c>
      <c r="C1654" t="str">
        <f>IFERROR(__xludf.DUMMYFUNCTION("""COMPUTED_VALUE"""),"TRUJILLO RUIZ, SAMUEL")</f>
        <v>TRUJILLO RUIZ, SAMUEL</v>
      </c>
      <c r="D1654" t="str">
        <f>IFERROR(__xludf.DUMMYFUNCTION("""COMPUTED_VALUE"""),"Sociales 8")</f>
        <v>Sociales 8</v>
      </c>
      <c r="E1654" s="31">
        <f>IFERROR(__xludf.DUMMYFUNCTION("""COMPUTED_VALUE"""),2.0)</f>
        <v>2</v>
      </c>
      <c r="F1654" s="8">
        <v>1.0</v>
      </c>
      <c r="G1654" s="8">
        <v>1.0</v>
      </c>
      <c r="H1654" s="8">
        <v>1.0</v>
      </c>
      <c r="I1654" s="8">
        <v>1.0</v>
      </c>
      <c r="J1654" s="8">
        <v>1.0</v>
      </c>
      <c r="K1654" s="8">
        <v>1.0</v>
      </c>
      <c r="L1654" s="8">
        <v>6.0</v>
      </c>
      <c r="M1654" s="8"/>
      <c r="N1654" s="8"/>
      <c r="O1654" s="8" t="s">
        <v>766</v>
      </c>
      <c r="P1654" s="8" t="e">
        <v>#N/A</v>
      </c>
    </row>
    <row r="1655">
      <c r="A1655">
        <f>IFERROR(__xludf.DUMMYFUNCTION("""COMPUTED_VALUE"""),8.0)</f>
        <v>8</v>
      </c>
      <c r="B1655">
        <f>IFERROR(__xludf.DUMMYFUNCTION("""COMPUTED_VALUE"""),29119.0)</f>
        <v>29119</v>
      </c>
      <c r="C1655" t="str">
        <f>IFERROR(__xludf.DUMMYFUNCTION("""COMPUTED_VALUE"""),"TRUJILLO RUIZ, SARA")</f>
        <v>TRUJILLO RUIZ, SARA</v>
      </c>
      <c r="D1655" t="str">
        <f>IFERROR(__xludf.DUMMYFUNCTION("""COMPUTED_VALUE"""),"Sociales 8")</f>
        <v>Sociales 8</v>
      </c>
      <c r="E1655" s="31">
        <f>IFERROR(__xludf.DUMMYFUNCTION("""COMPUTED_VALUE"""),5.0)</f>
        <v>5</v>
      </c>
      <c r="F1655" s="8">
        <v>1.0</v>
      </c>
      <c r="G1655" s="8">
        <v>1.0</v>
      </c>
      <c r="H1655" s="8">
        <v>1.0</v>
      </c>
      <c r="I1655" s="8">
        <v>1.0</v>
      </c>
      <c r="J1655" s="8">
        <v>1.0</v>
      </c>
      <c r="K1655" s="8">
        <v>1.0</v>
      </c>
      <c r="L1655" s="8">
        <v>6.0</v>
      </c>
      <c r="M1655" s="8"/>
      <c r="N1655" s="8"/>
      <c r="O1655" s="8" t="s">
        <v>769</v>
      </c>
      <c r="P1655" s="8" t="e">
        <v>#N/A</v>
      </c>
    </row>
    <row r="1656">
      <c r="A1656">
        <f>IFERROR(__xludf.DUMMYFUNCTION("""COMPUTED_VALUE"""),8.0)</f>
        <v>8</v>
      </c>
      <c r="B1656">
        <f>IFERROR(__xludf.DUMMYFUNCTION("""COMPUTED_VALUE"""),29092.0)</f>
        <v>29092</v>
      </c>
      <c r="C1656" t="str">
        <f>IFERROR(__xludf.DUMMYFUNCTION("""COMPUTED_VALUE"""),"TURIZZO BORRERO, CAMILO ANDRES")</f>
        <v>TURIZZO BORRERO, CAMILO ANDRES</v>
      </c>
      <c r="D1656" t="str">
        <f>IFERROR(__xludf.DUMMYFUNCTION("""COMPUTED_VALUE"""),"Sociales 8")</f>
        <v>Sociales 8</v>
      </c>
      <c r="E1656" s="31">
        <f>IFERROR(__xludf.DUMMYFUNCTION("""COMPUTED_VALUE"""),5.0)</f>
        <v>5</v>
      </c>
      <c r="F1656" s="8">
        <v>1.0</v>
      </c>
      <c r="G1656" s="8">
        <v>1.0</v>
      </c>
      <c r="H1656" s="8">
        <v>1.0</v>
      </c>
      <c r="I1656" s="8">
        <v>1.0</v>
      </c>
      <c r="J1656" s="8">
        <v>1.0</v>
      </c>
      <c r="K1656" s="8">
        <v>1.0</v>
      </c>
      <c r="L1656" s="8">
        <v>6.0</v>
      </c>
      <c r="M1656" s="8"/>
      <c r="N1656" s="8"/>
      <c r="O1656" s="8" t="s">
        <v>769</v>
      </c>
      <c r="P1656" s="8" t="e">
        <v>#N/A</v>
      </c>
    </row>
    <row r="1657">
      <c r="A1657">
        <f>IFERROR(__xludf.DUMMYFUNCTION("""COMPUTED_VALUE"""),8.0)</f>
        <v>8</v>
      </c>
      <c r="B1657">
        <f>IFERROR(__xludf.DUMMYFUNCTION("""COMPUTED_VALUE"""),29120.0)</f>
        <v>29120</v>
      </c>
      <c r="C1657" t="str">
        <f>IFERROR(__xludf.DUMMYFUNCTION("""COMPUTED_VALUE"""),"URIBE JARAMILLO, PEDRO JUAN")</f>
        <v>URIBE JARAMILLO, PEDRO JUAN</v>
      </c>
      <c r="D1657" t="str">
        <f>IFERROR(__xludf.DUMMYFUNCTION("""COMPUTED_VALUE"""),"Sociales 8A")</f>
        <v>Sociales 8A</v>
      </c>
      <c r="E1657" s="31">
        <f>IFERROR(__xludf.DUMMYFUNCTION("""COMPUTED_VALUE"""),3.0)</f>
        <v>3</v>
      </c>
      <c r="F1657" s="8">
        <v>1.0</v>
      </c>
      <c r="G1657" s="8">
        <v>1.0</v>
      </c>
      <c r="H1657" s="8">
        <v>1.0</v>
      </c>
      <c r="I1657" s="8">
        <v>1.0</v>
      </c>
      <c r="J1657" s="8">
        <v>1.0</v>
      </c>
      <c r="K1657" s="8">
        <v>1.0</v>
      </c>
      <c r="L1657" s="8">
        <v>6.0</v>
      </c>
      <c r="M1657" s="8"/>
      <c r="N1657" s="8"/>
      <c r="O1657" s="8" t="s">
        <v>770</v>
      </c>
      <c r="P1657" s="8" t="e">
        <v>#N/A</v>
      </c>
    </row>
    <row r="1658">
      <c r="A1658">
        <f>IFERROR(__xludf.DUMMYFUNCTION("""COMPUTED_VALUE"""),8.0)</f>
        <v>8</v>
      </c>
      <c r="B1658">
        <f>IFERROR(__xludf.DUMMYFUNCTION("""COMPUTED_VALUE"""),29122.0)</f>
        <v>29122</v>
      </c>
      <c r="C1658" t="str">
        <f>IFERROR(__xludf.DUMMYFUNCTION("""COMPUTED_VALUE"""),"URIBE RODRIGUEZ, MARIA LUISA")</f>
        <v>URIBE RODRIGUEZ, MARIA LUISA</v>
      </c>
      <c r="D1658" t="str">
        <f>IFERROR(__xludf.DUMMYFUNCTION("""COMPUTED_VALUE"""),"Sociales 8")</f>
        <v>Sociales 8</v>
      </c>
      <c r="E1658" s="31">
        <f>IFERROR(__xludf.DUMMYFUNCTION("""COMPUTED_VALUE"""),3.0)</f>
        <v>3</v>
      </c>
      <c r="F1658" s="8">
        <v>1.0</v>
      </c>
      <c r="G1658" s="8">
        <v>1.0</v>
      </c>
      <c r="H1658" s="8">
        <v>1.0</v>
      </c>
      <c r="I1658" s="8">
        <v>1.0</v>
      </c>
      <c r="J1658" s="8">
        <v>1.0</v>
      </c>
      <c r="K1658" s="8">
        <v>1.0</v>
      </c>
      <c r="L1658" s="8">
        <v>6.0</v>
      </c>
      <c r="M1658" s="8"/>
      <c r="N1658" s="8"/>
      <c r="O1658" s="8" t="s">
        <v>767</v>
      </c>
      <c r="P1658" s="8" t="e">
        <v>#N/A</v>
      </c>
    </row>
    <row r="1659">
      <c r="A1659">
        <f>IFERROR(__xludf.DUMMYFUNCTION("""COMPUTED_VALUE"""),8.0)</f>
        <v>8</v>
      </c>
      <c r="B1659">
        <f>IFERROR(__xludf.DUMMYFUNCTION("""COMPUTED_VALUE"""),29123.0)</f>
        <v>29123</v>
      </c>
      <c r="C1659" t="str">
        <f>IFERROR(__xludf.DUMMYFUNCTION("""COMPUTED_VALUE"""),"URRETA HENAO, OLIVIA")</f>
        <v>URRETA HENAO, OLIVIA</v>
      </c>
      <c r="D1659" t="str">
        <f>IFERROR(__xludf.DUMMYFUNCTION("""COMPUTED_VALUE"""),"Sociales 8")</f>
        <v>Sociales 8</v>
      </c>
      <c r="E1659" s="31">
        <f>IFERROR(__xludf.DUMMYFUNCTION("""COMPUTED_VALUE"""),2.0)</f>
        <v>2</v>
      </c>
      <c r="F1659" s="8">
        <v>1.0</v>
      </c>
      <c r="G1659" s="8">
        <v>1.0</v>
      </c>
      <c r="H1659" s="8">
        <v>1.0</v>
      </c>
      <c r="I1659" s="8">
        <v>1.0</v>
      </c>
      <c r="J1659" s="8">
        <v>1.0</v>
      </c>
      <c r="K1659" s="8">
        <v>1.0</v>
      </c>
      <c r="L1659" s="8">
        <v>6.0</v>
      </c>
      <c r="M1659" s="8"/>
      <c r="N1659" s="8"/>
      <c r="O1659" s="8" t="s">
        <v>766</v>
      </c>
      <c r="P1659" s="8" t="e">
        <v>#N/A</v>
      </c>
    </row>
    <row r="1660">
      <c r="A1660">
        <f>IFERROR(__xludf.DUMMYFUNCTION("""COMPUTED_VALUE"""),8.0)</f>
        <v>8</v>
      </c>
      <c r="B1660">
        <f>IFERROR(__xludf.DUMMYFUNCTION("""COMPUTED_VALUE"""),29124.0)</f>
        <v>29124</v>
      </c>
      <c r="C1660" t="str">
        <f>IFERROR(__xludf.DUMMYFUNCTION("""COMPUTED_VALUE"""),"VALLEJO HOYOS, JUAN")</f>
        <v>VALLEJO HOYOS, JUAN</v>
      </c>
      <c r="D1660" t="str">
        <f>IFERROR(__xludf.DUMMYFUNCTION("""COMPUTED_VALUE"""),"Sociales 8")</f>
        <v>Sociales 8</v>
      </c>
      <c r="E1660" s="31">
        <f>IFERROR(__xludf.DUMMYFUNCTION("""COMPUTED_VALUE"""),1.0)</f>
        <v>1</v>
      </c>
      <c r="F1660" s="8">
        <v>1.0</v>
      </c>
      <c r="G1660" s="8">
        <v>1.0</v>
      </c>
      <c r="H1660" s="8">
        <v>1.0</v>
      </c>
      <c r="I1660" s="8">
        <v>1.0</v>
      </c>
      <c r="J1660" s="8">
        <v>1.0</v>
      </c>
      <c r="K1660" s="8">
        <v>1.0</v>
      </c>
      <c r="L1660" s="8">
        <v>6.0</v>
      </c>
      <c r="M1660" s="8"/>
      <c r="N1660" s="8"/>
      <c r="O1660" s="8" t="s">
        <v>765</v>
      </c>
      <c r="P1660" s="8" t="e">
        <v>#N/A</v>
      </c>
    </row>
    <row r="1661">
      <c r="A1661">
        <f>IFERROR(__xludf.DUMMYFUNCTION("""COMPUTED_VALUE"""),8.0)</f>
        <v>8</v>
      </c>
      <c r="B1661">
        <f>IFERROR(__xludf.DUMMYFUNCTION("""COMPUTED_VALUE"""),29125.0)</f>
        <v>29125</v>
      </c>
      <c r="C1661" t="str">
        <f>IFERROR(__xludf.DUMMYFUNCTION("""COMPUTED_VALUE"""),"VALLEJO LONDOÑO, TOMAS")</f>
        <v>VALLEJO LONDOÑO, TOMAS</v>
      </c>
      <c r="D1661" t="str">
        <f>IFERROR(__xludf.DUMMYFUNCTION("""COMPUTED_VALUE"""),"Sociales 8")</f>
        <v>Sociales 8</v>
      </c>
      <c r="E1661" s="31">
        <f>IFERROR(__xludf.DUMMYFUNCTION("""COMPUTED_VALUE"""),1.0)</f>
        <v>1</v>
      </c>
      <c r="F1661" s="8">
        <v>1.0</v>
      </c>
      <c r="G1661" s="8">
        <v>1.0</v>
      </c>
      <c r="H1661" s="8">
        <v>1.0</v>
      </c>
      <c r="I1661" s="8">
        <v>1.0</v>
      </c>
      <c r="J1661" s="8">
        <v>1.0</v>
      </c>
      <c r="K1661" s="8">
        <v>1.0</v>
      </c>
      <c r="L1661" s="8">
        <v>6.0</v>
      </c>
      <c r="M1661" s="8"/>
      <c r="N1661" s="8"/>
      <c r="O1661" s="8" t="s">
        <v>765</v>
      </c>
      <c r="P1661" s="8" t="e">
        <v>#N/A</v>
      </c>
    </row>
    <row r="1662">
      <c r="A1662">
        <f>IFERROR(__xludf.DUMMYFUNCTION("""COMPUTED_VALUE"""),8.0)</f>
        <v>8</v>
      </c>
      <c r="B1662">
        <f>IFERROR(__xludf.DUMMYFUNCTION("""COMPUTED_VALUE"""),29126.0)</f>
        <v>29126</v>
      </c>
      <c r="C1662" t="str">
        <f>IFERROR(__xludf.DUMMYFUNCTION("""COMPUTED_VALUE"""),"VASQUEZ ANGEL, JUANITA")</f>
        <v>VASQUEZ ANGEL, JUANITA</v>
      </c>
      <c r="D1662" t="str">
        <f>IFERROR(__xludf.DUMMYFUNCTION("""COMPUTED_VALUE"""),"Sociales 8")</f>
        <v>Sociales 8</v>
      </c>
      <c r="E1662" s="31">
        <f>IFERROR(__xludf.DUMMYFUNCTION("""COMPUTED_VALUE"""),2.0)</f>
        <v>2</v>
      </c>
      <c r="F1662" s="8">
        <v>1.0</v>
      </c>
      <c r="G1662" s="8">
        <v>1.0</v>
      </c>
      <c r="H1662" s="8">
        <v>1.0</v>
      </c>
      <c r="I1662" s="8">
        <v>1.0</v>
      </c>
      <c r="J1662" s="8">
        <v>1.0</v>
      </c>
      <c r="K1662" s="8">
        <v>1.0</v>
      </c>
      <c r="L1662" s="8">
        <v>6.0</v>
      </c>
      <c r="M1662" s="8"/>
      <c r="N1662" s="8"/>
      <c r="O1662" s="8" t="s">
        <v>766</v>
      </c>
      <c r="P1662" s="8" t="e">
        <v>#N/A</v>
      </c>
    </row>
    <row r="1663">
      <c r="A1663">
        <f>IFERROR(__xludf.DUMMYFUNCTION("""COMPUTED_VALUE"""),8.0)</f>
        <v>8</v>
      </c>
      <c r="B1663">
        <f>IFERROR(__xludf.DUMMYFUNCTION("""COMPUTED_VALUE"""),29145.0)</f>
        <v>29145</v>
      </c>
      <c r="C1663" t="str">
        <f>IFERROR(__xludf.DUMMYFUNCTION("""COMPUTED_VALUE"""),"VELASQUEZ GUTIERREZ, SAMUEL")</f>
        <v>VELASQUEZ GUTIERREZ, SAMUEL</v>
      </c>
      <c r="D1663" t="str">
        <f>IFERROR(__xludf.DUMMYFUNCTION("""COMPUTED_VALUE"""),"Sociales 8")</f>
        <v>Sociales 8</v>
      </c>
      <c r="E1663" s="31">
        <f>IFERROR(__xludf.DUMMYFUNCTION("""COMPUTED_VALUE"""),4.0)</f>
        <v>4</v>
      </c>
      <c r="F1663" s="8">
        <v>1.0</v>
      </c>
      <c r="G1663" s="8">
        <v>1.0</v>
      </c>
      <c r="H1663" s="8">
        <v>1.0</v>
      </c>
      <c r="I1663" s="8">
        <v>1.0</v>
      </c>
      <c r="J1663" s="8">
        <v>1.0</v>
      </c>
      <c r="K1663" s="8">
        <v>1.0</v>
      </c>
      <c r="L1663" s="8">
        <v>6.0</v>
      </c>
      <c r="M1663" s="8"/>
      <c r="N1663" s="8"/>
      <c r="O1663" s="8" t="s">
        <v>768</v>
      </c>
      <c r="P1663" s="8" t="e">
        <v>#N/A</v>
      </c>
    </row>
    <row r="1664">
      <c r="A1664">
        <f>IFERROR(__xludf.DUMMYFUNCTION("""COMPUTED_VALUE"""),8.0)</f>
        <v>8</v>
      </c>
      <c r="B1664">
        <f>IFERROR(__xludf.DUMMYFUNCTION("""COMPUTED_VALUE"""),29128.0)</f>
        <v>29128</v>
      </c>
      <c r="C1664" t="str">
        <f>IFERROR(__xludf.DUMMYFUNCTION("""COMPUTED_VALUE"""),"VELASQUEZ JARAMILLO, MARIA")</f>
        <v>VELASQUEZ JARAMILLO, MARIA</v>
      </c>
      <c r="D1664" t="str">
        <f>IFERROR(__xludf.DUMMYFUNCTION("""COMPUTED_VALUE"""),"Sociales 8")</f>
        <v>Sociales 8</v>
      </c>
      <c r="E1664" s="31">
        <f>IFERROR(__xludf.DUMMYFUNCTION("""COMPUTED_VALUE"""),3.0)</f>
        <v>3</v>
      </c>
      <c r="F1664" s="8">
        <v>1.0</v>
      </c>
      <c r="G1664" s="8">
        <v>1.0</v>
      </c>
      <c r="H1664" s="8">
        <v>1.0</v>
      </c>
      <c r="I1664" s="8">
        <v>1.0</v>
      </c>
      <c r="J1664" s="8">
        <v>1.0</v>
      </c>
      <c r="K1664" s="8">
        <v>1.0</v>
      </c>
      <c r="L1664" s="8">
        <v>6.0</v>
      </c>
      <c r="M1664" s="8"/>
      <c r="N1664" s="8"/>
      <c r="O1664" s="8" t="s">
        <v>767</v>
      </c>
      <c r="P1664" s="8" t="e">
        <v>#N/A</v>
      </c>
    </row>
    <row r="1665">
      <c r="A1665">
        <f>IFERROR(__xludf.DUMMYFUNCTION("""COMPUTED_VALUE"""),8.0)</f>
        <v>8</v>
      </c>
      <c r="B1665">
        <f>IFERROR(__xludf.DUMMYFUNCTION("""COMPUTED_VALUE"""),29129.0)</f>
        <v>29129</v>
      </c>
      <c r="C1665" t="str">
        <f>IFERROR(__xludf.DUMMYFUNCTION("""COMPUTED_VALUE"""),"VELEZ RESTREPO, SIMON")</f>
        <v>VELEZ RESTREPO, SIMON</v>
      </c>
      <c r="D1665" t="str">
        <f>IFERROR(__xludf.DUMMYFUNCTION("""COMPUTED_VALUE"""),"Sociales 8")</f>
        <v>Sociales 8</v>
      </c>
      <c r="E1665" s="31">
        <f>IFERROR(__xludf.DUMMYFUNCTION("""COMPUTED_VALUE"""),2.0)</f>
        <v>2</v>
      </c>
      <c r="F1665" s="8">
        <v>1.0</v>
      </c>
      <c r="G1665" s="8">
        <v>1.0</v>
      </c>
      <c r="H1665" s="8">
        <v>1.0</v>
      </c>
      <c r="I1665" s="8">
        <v>1.0</v>
      </c>
      <c r="J1665" s="8">
        <v>1.0</v>
      </c>
      <c r="K1665" s="8">
        <v>1.0</v>
      </c>
      <c r="L1665" s="8">
        <v>6.0</v>
      </c>
      <c r="M1665" s="8"/>
      <c r="N1665" s="8"/>
      <c r="O1665" s="8" t="s">
        <v>766</v>
      </c>
      <c r="P1665" s="8" t="e">
        <v>#N/A</v>
      </c>
    </row>
    <row r="1666">
      <c r="A1666">
        <f>IFERROR(__xludf.DUMMYFUNCTION("""COMPUTED_VALUE"""),8.0)</f>
        <v>8</v>
      </c>
      <c r="B1666">
        <f>IFERROR(__xludf.DUMMYFUNCTION("""COMPUTED_VALUE"""),29131.0)</f>
        <v>29131</v>
      </c>
      <c r="C1666" t="str">
        <f>IFERROR(__xludf.DUMMYFUNCTION("""COMPUTED_VALUE"""),"VILLEGAS HINCAPIE, CANDELARIA")</f>
        <v>VILLEGAS HINCAPIE, CANDELARIA</v>
      </c>
      <c r="D1666" t="str">
        <f>IFERROR(__xludf.DUMMYFUNCTION("""COMPUTED_VALUE"""),"Sociales 8")</f>
        <v>Sociales 8</v>
      </c>
      <c r="E1666" s="31">
        <f>IFERROR(__xludf.DUMMYFUNCTION("""COMPUTED_VALUE"""),5.0)</f>
        <v>5</v>
      </c>
      <c r="F1666" s="8">
        <v>1.0</v>
      </c>
      <c r="G1666" s="8">
        <v>1.0</v>
      </c>
      <c r="H1666" s="8">
        <v>1.0</v>
      </c>
      <c r="I1666" s="8">
        <v>1.0</v>
      </c>
      <c r="J1666" s="8">
        <v>1.0</v>
      </c>
      <c r="K1666" s="8">
        <v>1.0</v>
      </c>
      <c r="L1666" s="8">
        <v>6.0</v>
      </c>
      <c r="M1666" s="8"/>
      <c r="N1666" s="8"/>
      <c r="O1666" s="8" t="s">
        <v>769</v>
      </c>
      <c r="P1666" s="8" t="e">
        <v>#N/A</v>
      </c>
    </row>
    <row r="1667">
      <c r="A1667">
        <f>IFERROR(__xludf.DUMMYFUNCTION("""COMPUTED_VALUE"""),8.0)</f>
        <v>8</v>
      </c>
      <c r="B1667">
        <f>IFERROR(__xludf.DUMMYFUNCTION("""COMPUTED_VALUE"""),29132.0)</f>
        <v>29132</v>
      </c>
      <c r="C1667" t="str">
        <f>IFERROR(__xludf.DUMMYFUNCTION("""COMPUTED_VALUE"""),"VILLEGAS MEJIA, SIMON")</f>
        <v>VILLEGAS MEJIA, SIMON</v>
      </c>
      <c r="D1667" t="str">
        <f>IFERROR(__xludf.DUMMYFUNCTION("""COMPUTED_VALUE"""),"Sociales 8A")</f>
        <v>Sociales 8A</v>
      </c>
      <c r="E1667" s="31">
        <f>IFERROR(__xludf.DUMMYFUNCTION("""COMPUTED_VALUE"""),3.0)</f>
        <v>3</v>
      </c>
      <c r="F1667" s="8">
        <v>1.0</v>
      </c>
      <c r="G1667" s="8">
        <v>1.0</v>
      </c>
      <c r="H1667" s="8">
        <v>1.0</v>
      </c>
      <c r="I1667" s="8">
        <v>1.0</v>
      </c>
      <c r="J1667" s="8">
        <v>1.0</v>
      </c>
      <c r="K1667" s="8">
        <v>1.0</v>
      </c>
      <c r="L1667" s="8">
        <v>6.0</v>
      </c>
      <c r="M1667" s="8"/>
      <c r="N1667" s="8"/>
      <c r="O1667" s="8" t="s">
        <v>770</v>
      </c>
      <c r="P1667" s="8" t="e">
        <v>#N/A</v>
      </c>
    </row>
    <row r="1668">
      <c r="A1668">
        <f>IFERROR(__xludf.DUMMYFUNCTION("""COMPUTED_VALUE"""),8.0)</f>
        <v>8</v>
      </c>
      <c r="B1668">
        <f>IFERROR(__xludf.DUMMYFUNCTION("""COMPUTED_VALUE"""),29133.0)</f>
        <v>29133</v>
      </c>
      <c r="C1668" t="str">
        <f>IFERROR(__xludf.DUMMYFUNCTION("""COMPUTED_VALUE"""),"ZAPATA URIBE, RAFAEL")</f>
        <v>ZAPATA URIBE, RAFAEL</v>
      </c>
      <c r="D1668" t="str">
        <f>IFERROR(__xludf.DUMMYFUNCTION("""COMPUTED_VALUE"""),"Sociales 8")</f>
        <v>Sociales 8</v>
      </c>
      <c r="E1668" s="31">
        <f>IFERROR(__xludf.DUMMYFUNCTION("""COMPUTED_VALUE"""),2.0)</f>
        <v>2</v>
      </c>
      <c r="F1668" s="8">
        <v>1.0</v>
      </c>
      <c r="G1668" s="8">
        <v>1.0</v>
      </c>
      <c r="H1668" s="8">
        <v>1.0</v>
      </c>
      <c r="I1668" s="8">
        <v>1.0</v>
      </c>
      <c r="J1668" s="8">
        <v>1.0</v>
      </c>
      <c r="K1668" s="8">
        <v>1.0</v>
      </c>
      <c r="L1668" s="8">
        <v>6.0</v>
      </c>
      <c r="M1668" s="8"/>
      <c r="N1668" s="8"/>
      <c r="O1668" s="8" t="s">
        <v>766</v>
      </c>
      <c r="P1668" s="8" t="e">
        <v>#N/A</v>
      </c>
    </row>
    <row r="1669">
      <c r="A1669">
        <f>IFERROR(__xludf.DUMMYFUNCTION("""COMPUTED_VALUE"""),8.0)</f>
        <v>8</v>
      </c>
      <c r="B1669">
        <f>IFERROR(__xludf.DUMMYFUNCTION("""COMPUTED_VALUE"""),27128.0)</f>
        <v>27128</v>
      </c>
      <c r="C1669" t="str">
        <f>IFERROR(__xludf.DUMMYFUNCTION("""COMPUTED_VALUE"""),"ZULUAGA CHAVEZ, ISAIAS")</f>
        <v>ZULUAGA CHAVEZ, ISAIAS</v>
      </c>
      <c r="D1669" t="str">
        <f>IFERROR(__xludf.DUMMYFUNCTION("""COMPUTED_VALUE"""),"Sociales 8A")</f>
        <v>Sociales 8A</v>
      </c>
      <c r="E1669" s="31">
        <f>IFERROR(__xludf.DUMMYFUNCTION("""COMPUTED_VALUE"""),3.0)</f>
        <v>3</v>
      </c>
      <c r="F1669" s="8">
        <v>1.0</v>
      </c>
      <c r="G1669" s="8">
        <v>1.0</v>
      </c>
      <c r="H1669" s="8">
        <v>1.0</v>
      </c>
      <c r="I1669" s="8">
        <v>1.0</v>
      </c>
      <c r="J1669" s="8">
        <v>1.0</v>
      </c>
      <c r="K1669" s="8">
        <v>1.0</v>
      </c>
      <c r="L1669" s="8">
        <v>6.0</v>
      </c>
      <c r="M1669" s="8"/>
      <c r="N1669" s="8"/>
      <c r="O1669" s="8" t="s">
        <v>770</v>
      </c>
      <c r="P1669" s="8" t="e">
        <v>#N/A</v>
      </c>
    </row>
    <row r="1670">
      <c r="A1670">
        <f>IFERROR(__xludf.DUMMYFUNCTION("""COMPUTED_VALUE"""),6.0)</f>
        <v>6</v>
      </c>
      <c r="B1670">
        <f>IFERROR(__xludf.DUMMYFUNCTION("""COMPUTED_VALUE"""),31002.0)</f>
        <v>31002</v>
      </c>
      <c r="C1670" t="str">
        <f>IFERROR(__xludf.DUMMYFUNCTION("""COMPUTED_VALUE"""),"ACEVEDO ARANGO, VICENTE")</f>
        <v>ACEVEDO ARANGO, VICENTE</v>
      </c>
      <c r="D1670" t="str">
        <f>IFERROR(__xludf.DUMMYFUNCTION("""COMPUTED_VALUE"""),"Spanish 6")</f>
        <v>Spanish 6</v>
      </c>
      <c r="E1670" s="31">
        <f>IFERROR(__xludf.DUMMYFUNCTION("""COMPUTED_VALUE"""),1.0)</f>
        <v>1</v>
      </c>
      <c r="F1670" s="8">
        <v>1.0</v>
      </c>
      <c r="G1670" s="8">
        <v>1.0</v>
      </c>
      <c r="H1670" s="8">
        <v>1.0</v>
      </c>
      <c r="I1670" s="8">
        <v>1.0</v>
      </c>
      <c r="J1670" s="8">
        <v>1.0</v>
      </c>
      <c r="K1670" s="8">
        <v>1.0</v>
      </c>
      <c r="L1670" s="8">
        <v>6.0</v>
      </c>
      <c r="M1670" s="8"/>
      <c r="N1670" s="8"/>
      <c r="O1670" s="8" t="s">
        <v>771</v>
      </c>
      <c r="P1670" s="8">
        <v>6.0</v>
      </c>
    </row>
    <row r="1671">
      <c r="A1671">
        <f>IFERROR(__xludf.DUMMYFUNCTION("""COMPUTED_VALUE"""),6.0)</f>
        <v>6</v>
      </c>
      <c r="B1671">
        <f>IFERROR(__xludf.DUMMYFUNCTION("""COMPUTED_VALUE"""),31003.0)</f>
        <v>31003</v>
      </c>
      <c r="C1671" t="str">
        <f>IFERROR(__xludf.DUMMYFUNCTION("""COMPUTED_VALUE"""),"AGUIRRE ARANGO, MARIA")</f>
        <v>AGUIRRE ARANGO, MARIA</v>
      </c>
      <c r="D1671" t="str">
        <f>IFERROR(__xludf.DUMMYFUNCTION("""COMPUTED_VALUE"""),"Spanish 6")</f>
        <v>Spanish 6</v>
      </c>
      <c r="E1671" s="31">
        <f>IFERROR(__xludf.DUMMYFUNCTION("""COMPUTED_VALUE"""),4.0)</f>
        <v>4</v>
      </c>
      <c r="F1671" s="8">
        <v>1.0</v>
      </c>
      <c r="G1671" s="8">
        <v>1.0</v>
      </c>
      <c r="H1671" s="8">
        <v>1.0</v>
      </c>
      <c r="I1671" s="8">
        <v>1.0</v>
      </c>
      <c r="J1671" s="8">
        <v>1.0</v>
      </c>
      <c r="K1671" s="8">
        <v>1.0</v>
      </c>
      <c r="L1671" s="8">
        <v>6.0</v>
      </c>
      <c r="M1671" s="8"/>
      <c r="N1671" s="8"/>
      <c r="O1671" s="8" t="s">
        <v>772</v>
      </c>
      <c r="P1671" s="8">
        <v>6.0</v>
      </c>
    </row>
    <row r="1672">
      <c r="A1672">
        <f>IFERROR(__xludf.DUMMYFUNCTION("""COMPUTED_VALUE"""),6.0)</f>
        <v>6</v>
      </c>
      <c r="B1672">
        <f>IFERROR(__xludf.DUMMYFUNCTION("""COMPUTED_VALUE"""),31004.0)</f>
        <v>31004</v>
      </c>
      <c r="C1672" t="str">
        <f>IFERROR(__xludf.DUMMYFUNCTION("""COMPUTED_VALUE"""),"ALVAREZ RIVERA, SALVADOR")</f>
        <v>ALVAREZ RIVERA, SALVADOR</v>
      </c>
      <c r="D1672" t="str">
        <f>IFERROR(__xludf.DUMMYFUNCTION("""COMPUTED_VALUE"""),"Spanish 6")</f>
        <v>Spanish 6</v>
      </c>
      <c r="E1672" s="31">
        <f>IFERROR(__xludf.DUMMYFUNCTION("""COMPUTED_VALUE"""),2.0)</f>
        <v>2</v>
      </c>
      <c r="F1672" s="8">
        <v>1.0</v>
      </c>
      <c r="G1672" s="8">
        <v>1.0</v>
      </c>
      <c r="H1672" s="8">
        <v>1.0</v>
      </c>
      <c r="I1672" s="8">
        <v>1.0</v>
      </c>
      <c r="J1672" s="8">
        <v>1.0</v>
      </c>
      <c r="K1672" s="8">
        <v>1.0</v>
      </c>
      <c r="L1672" s="8">
        <v>6.0</v>
      </c>
      <c r="M1672" s="8"/>
      <c r="N1672" s="8"/>
      <c r="O1672" s="8" t="s">
        <v>773</v>
      </c>
      <c r="P1672" s="8">
        <v>6.0</v>
      </c>
    </row>
    <row r="1673">
      <c r="A1673">
        <f>IFERROR(__xludf.DUMMYFUNCTION("""COMPUTED_VALUE"""),6.0)</f>
        <v>6</v>
      </c>
      <c r="B1673">
        <f>IFERROR(__xludf.DUMMYFUNCTION("""COMPUTED_VALUE"""),31005.0)</f>
        <v>31005</v>
      </c>
      <c r="C1673" t="str">
        <f>IFERROR(__xludf.DUMMYFUNCTION("""COMPUTED_VALUE"""),"ARANGO VILLA, MATIAS")</f>
        <v>ARANGO VILLA, MATIAS</v>
      </c>
      <c r="D1673" t="str">
        <f>IFERROR(__xludf.DUMMYFUNCTION("""COMPUTED_VALUE"""),"Spanish 6")</f>
        <v>Spanish 6</v>
      </c>
      <c r="E1673" s="31">
        <f>IFERROR(__xludf.DUMMYFUNCTION("""COMPUTED_VALUE"""),3.0)</f>
        <v>3</v>
      </c>
      <c r="F1673" s="8">
        <v>1.0</v>
      </c>
      <c r="G1673" s="8">
        <v>1.0</v>
      </c>
      <c r="H1673" s="8">
        <v>1.0</v>
      </c>
      <c r="I1673" s="8">
        <v>1.0</v>
      </c>
      <c r="J1673" s="8">
        <v>1.0</v>
      </c>
      <c r="K1673" s="8">
        <v>1.0</v>
      </c>
      <c r="L1673" s="8">
        <v>6.0</v>
      </c>
      <c r="M1673" s="8"/>
      <c r="N1673" s="8"/>
      <c r="O1673" s="8" t="s">
        <v>774</v>
      </c>
      <c r="P1673" s="8">
        <v>6.0</v>
      </c>
    </row>
    <row r="1674">
      <c r="A1674">
        <f>IFERROR(__xludf.DUMMYFUNCTION("""COMPUTED_VALUE"""),6.0)</f>
        <v>6</v>
      </c>
      <c r="B1674">
        <f>IFERROR(__xludf.DUMMYFUNCTION("""COMPUTED_VALUE"""),31151.0)</f>
        <v>31151</v>
      </c>
      <c r="C1674" t="str">
        <f>IFERROR(__xludf.DUMMYFUNCTION("""COMPUTED_VALUE"""),"AREVALO RODRIGUEZ, MANUELA")</f>
        <v>AREVALO RODRIGUEZ, MANUELA</v>
      </c>
      <c r="D1674" t="str">
        <f>IFERROR(__xludf.DUMMYFUNCTION("""COMPUTED_VALUE"""),"Spanish 6")</f>
        <v>Spanish 6</v>
      </c>
      <c r="E1674" s="31">
        <f>IFERROR(__xludf.DUMMYFUNCTION("""COMPUTED_VALUE"""),4.0)</f>
        <v>4</v>
      </c>
      <c r="F1674" s="8">
        <v>1.0</v>
      </c>
      <c r="G1674" s="8">
        <v>1.0</v>
      </c>
      <c r="H1674" s="8">
        <v>1.0</v>
      </c>
      <c r="I1674" s="8">
        <v>1.0</v>
      </c>
      <c r="J1674" s="8">
        <v>1.0</v>
      </c>
      <c r="K1674" s="8">
        <v>1.0</v>
      </c>
      <c r="L1674" s="8">
        <v>6.0</v>
      </c>
      <c r="M1674" s="8"/>
      <c r="N1674" s="8"/>
      <c r="O1674" s="8" t="s">
        <v>772</v>
      </c>
      <c r="P1674" s="8">
        <v>6.0</v>
      </c>
    </row>
    <row r="1675">
      <c r="A1675">
        <f>IFERROR(__xludf.DUMMYFUNCTION("""COMPUTED_VALUE"""),6.0)</f>
        <v>6</v>
      </c>
      <c r="B1675">
        <f>IFERROR(__xludf.DUMMYFUNCTION("""COMPUTED_VALUE"""),31006.0)</f>
        <v>31006</v>
      </c>
      <c r="C1675" t="str">
        <f>IFERROR(__xludf.DUMMYFUNCTION("""COMPUTED_VALUE"""),"ARIAS GARCIA, SALOMON")</f>
        <v>ARIAS GARCIA, SALOMON</v>
      </c>
      <c r="D1675" t="str">
        <f>IFERROR(__xludf.DUMMYFUNCTION("""COMPUTED_VALUE"""),"Spanish 6")</f>
        <v>Spanish 6</v>
      </c>
      <c r="E1675" s="31">
        <f>IFERROR(__xludf.DUMMYFUNCTION("""COMPUTED_VALUE"""),3.0)</f>
        <v>3</v>
      </c>
      <c r="F1675" s="8">
        <v>1.0</v>
      </c>
      <c r="G1675" s="8">
        <v>1.0</v>
      </c>
      <c r="H1675" s="8">
        <v>1.0</v>
      </c>
      <c r="I1675" s="8">
        <v>1.0</v>
      </c>
      <c r="J1675" s="8">
        <v>1.0</v>
      </c>
      <c r="K1675" s="8">
        <v>1.0</v>
      </c>
      <c r="L1675" s="8">
        <v>6.0</v>
      </c>
      <c r="M1675" s="8"/>
      <c r="N1675" s="8"/>
      <c r="O1675" s="8" t="s">
        <v>774</v>
      </c>
      <c r="P1675" s="8">
        <v>6.0</v>
      </c>
    </row>
    <row r="1676">
      <c r="A1676">
        <f>IFERROR(__xludf.DUMMYFUNCTION("""COMPUTED_VALUE"""),6.0)</f>
        <v>6</v>
      </c>
      <c r="B1676">
        <f>IFERROR(__xludf.DUMMYFUNCTION("""COMPUTED_VALUE"""),31007.0)</f>
        <v>31007</v>
      </c>
      <c r="C1676" t="str">
        <f>IFERROR(__xludf.DUMMYFUNCTION("""COMPUTED_VALUE"""),"ARISTIZABAL SOTO, EMILIO")</f>
        <v>ARISTIZABAL SOTO, EMILIO</v>
      </c>
      <c r="D1676" t="str">
        <f>IFERROR(__xludf.DUMMYFUNCTION("""COMPUTED_VALUE"""),"Spanish 6")</f>
        <v>Spanish 6</v>
      </c>
      <c r="E1676" s="31">
        <f>IFERROR(__xludf.DUMMYFUNCTION("""COMPUTED_VALUE"""),2.0)</f>
        <v>2</v>
      </c>
      <c r="F1676" s="8">
        <v>1.0</v>
      </c>
      <c r="G1676" s="8">
        <v>1.0</v>
      </c>
      <c r="H1676" s="8">
        <v>1.0</v>
      </c>
      <c r="I1676" s="8">
        <v>1.0</v>
      </c>
      <c r="J1676" s="8">
        <v>1.0</v>
      </c>
      <c r="K1676" s="8">
        <v>1.0</v>
      </c>
      <c r="L1676" s="8">
        <v>6.0</v>
      </c>
      <c r="M1676" s="8"/>
      <c r="N1676" s="8"/>
      <c r="O1676" s="8" t="s">
        <v>773</v>
      </c>
      <c r="P1676" s="8">
        <v>6.0</v>
      </c>
    </row>
    <row r="1677">
      <c r="A1677">
        <f>IFERROR(__xludf.DUMMYFUNCTION("""COMPUTED_VALUE"""),6.0)</f>
        <v>6</v>
      </c>
      <c r="B1677">
        <f>IFERROR(__xludf.DUMMYFUNCTION("""COMPUTED_VALUE"""),31008.0)</f>
        <v>31008</v>
      </c>
      <c r="C1677" t="str">
        <f>IFERROR(__xludf.DUMMYFUNCTION("""COMPUTED_VALUE"""),"ARROYAVE LONDOÑO, MIGUEL")</f>
        <v>ARROYAVE LONDOÑO, MIGUEL</v>
      </c>
      <c r="D1677" t="str">
        <f>IFERROR(__xludf.DUMMYFUNCTION("""COMPUTED_VALUE"""),"Spanish 6")</f>
        <v>Spanish 6</v>
      </c>
      <c r="E1677" s="31">
        <f>IFERROR(__xludf.DUMMYFUNCTION("""COMPUTED_VALUE"""),3.0)</f>
        <v>3</v>
      </c>
      <c r="F1677" s="8">
        <v>1.0</v>
      </c>
      <c r="G1677" s="8">
        <v>1.0</v>
      </c>
      <c r="H1677" s="8">
        <v>1.0</v>
      </c>
      <c r="I1677" s="8">
        <v>1.0</v>
      </c>
      <c r="J1677" s="8">
        <v>1.0</v>
      </c>
      <c r="K1677" s="8">
        <v>1.0</v>
      </c>
      <c r="L1677" s="8">
        <v>6.0</v>
      </c>
      <c r="M1677" s="8"/>
      <c r="N1677" s="8"/>
      <c r="O1677" s="8" t="s">
        <v>774</v>
      </c>
      <c r="P1677" s="8">
        <v>6.0</v>
      </c>
    </row>
    <row r="1678">
      <c r="A1678">
        <f>IFERROR(__xludf.DUMMYFUNCTION("""COMPUTED_VALUE"""),6.0)</f>
        <v>6</v>
      </c>
      <c r="B1678">
        <f>IFERROR(__xludf.DUMMYFUNCTION("""COMPUTED_VALUE"""),31009.0)</f>
        <v>31009</v>
      </c>
      <c r="C1678" t="str">
        <f>IFERROR(__xludf.DUMMYFUNCTION("""COMPUTED_VALUE"""),"ARROYAVE SIERRA, RAFAEL")</f>
        <v>ARROYAVE SIERRA, RAFAEL</v>
      </c>
      <c r="D1678" t="str">
        <f>IFERROR(__xludf.DUMMYFUNCTION("""COMPUTED_VALUE"""),"Spanish 6")</f>
        <v>Spanish 6</v>
      </c>
      <c r="E1678" s="31">
        <f>IFERROR(__xludf.DUMMYFUNCTION("""COMPUTED_VALUE"""),6.0)</f>
        <v>6</v>
      </c>
      <c r="F1678" s="8">
        <v>1.0</v>
      </c>
      <c r="G1678" s="8">
        <v>1.0</v>
      </c>
      <c r="H1678" s="8">
        <v>1.0</v>
      </c>
      <c r="I1678" s="8">
        <v>1.0</v>
      </c>
      <c r="J1678" s="8">
        <v>1.0</v>
      </c>
      <c r="K1678" s="8">
        <v>1.0</v>
      </c>
      <c r="L1678" s="8">
        <v>6.0</v>
      </c>
      <c r="M1678" s="8"/>
      <c r="N1678" s="8"/>
      <c r="O1678" s="8" t="s">
        <v>775</v>
      </c>
      <c r="P1678" s="8">
        <v>6.0</v>
      </c>
    </row>
    <row r="1679">
      <c r="A1679">
        <f>IFERROR(__xludf.DUMMYFUNCTION("""COMPUTED_VALUE"""),6.0)</f>
        <v>6</v>
      </c>
      <c r="B1679">
        <f>IFERROR(__xludf.DUMMYFUNCTION("""COMPUTED_VALUE"""),31010.0)</f>
        <v>31010</v>
      </c>
      <c r="C1679" t="str">
        <f>IFERROR(__xludf.DUMMYFUNCTION("""COMPUTED_VALUE"""),"BARRERA CAMPIS, VALENTINA")</f>
        <v>BARRERA CAMPIS, VALENTINA</v>
      </c>
      <c r="D1679" t="str">
        <f>IFERROR(__xludf.DUMMYFUNCTION("""COMPUTED_VALUE"""),"Spanish 6A")</f>
        <v>Spanish 6A</v>
      </c>
      <c r="E1679" s="31">
        <f>IFERROR(__xludf.DUMMYFUNCTION("""COMPUTED_VALUE"""),4.0)</f>
        <v>4</v>
      </c>
      <c r="F1679" s="8">
        <v>1.0</v>
      </c>
      <c r="G1679" s="8">
        <v>1.0</v>
      </c>
      <c r="H1679" s="8">
        <v>1.0</v>
      </c>
      <c r="I1679" s="8">
        <v>1.0</v>
      </c>
      <c r="J1679" s="8">
        <v>1.0</v>
      </c>
      <c r="K1679" s="8">
        <v>1.0</v>
      </c>
      <c r="L1679" s="8">
        <v>6.0</v>
      </c>
      <c r="M1679" s="8"/>
      <c r="N1679" s="8"/>
      <c r="O1679" s="8" t="s">
        <v>776</v>
      </c>
      <c r="P1679" s="8" t="e">
        <v>#N/A</v>
      </c>
    </row>
    <row r="1680">
      <c r="A1680">
        <f>IFERROR(__xludf.DUMMYFUNCTION("""COMPUTED_VALUE"""),6.0)</f>
        <v>6</v>
      </c>
      <c r="B1680">
        <f>IFERROR(__xludf.DUMMYFUNCTION("""COMPUTED_VALUE"""),31011.0)</f>
        <v>31011</v>
      </c>
      <c r="C1680" t="str">
        <f>IFERROR(__xludf.DUMMYFUNCTION("""COMPUTED_VALUE"""),"BARRERA TORO, LORENZO")</f>
        <v>BARRERA TORO, LORENZO</v>
      </c>
      <c r="D1680" t="str">
        <f>IFERROR(__xludf.DUMMYFUNCTION("""COMPUTED_VALUE"""),"Spanish 6")</f>
        <v>Spanish 6</v>
      </c>
      <c r="E1680" s="31">
        <f>IFERROR(__xludf.DUMMYFUNCTION("""COMPUTED_VALUE"""),1.0)</f>
        <v>1</v>
      </c>
      <c r="F1680" s="8">
        <v>1.0</v>
      </c>
      <c r="G1680" s="8">
        <v>1.0</v>
      </c>
      <c r="H1680" s="8">
        <v>1.0</v>
      </c>
      <c r="I1680" s="8">
        <v>1.0</v>
      </c>
      <c r="J1680" s="8">
        <v>1.0</v>
      </c>
      <c r="K1680" s="8">
        <v>1.0</v>
      </c>
      <c r="L1680" s="8">
        <v>6.0</v>
      </c>
      <c r="M1680" s="8"/>
      <c r="N1680" s="8"/>
      <c r="O1680" s="8" t="s">
        <v>771</v>
      </c>
      <c r="P1680" s="8">
        <v>6.0</v>
      </c>
    </row>
    <row r="1681">
      <c r="A1681">
        <f>IFERROR(__xludf.DUMMYFUNCTION("""COMPUTED_VALUE"""),6.0)</f>
        <v>6</v>
      </c>
      <c r="B1681">
        <f>IFERROR(__xludf.DUMMYFUNCTION("""COMPUTED_VALUE"""),31012.0)</f>
        <v>31012</v>
      </c>
      <c r="C1681" t="str">
        <f>IFERROR(__xludf.DUMMYFUNCTION("""COMPUTED_VALUE"""),"BARTOLINI VELEZ, LORENZO")</f>
        <v>BARTOLINI VELEZ, LORENZO</v>
      </c>
      <c r="D1681" t="str">
        <f>IFERROR(__xludf.DUMMYFUNCTION("""COMPUTED_VALUE"""),"Spanish 6A")</f>
        <v>Spanish 6A</v>
      </c>
      <c r="E1681" s="31">
        <f>IFERROR(__xludf.DUMMYFUNCTION("""COMPUTED_VALUE"""),4.0)</f>
        <v>4</v>
      </c>
      <c r="F1681" s="8">
        <v>1.0</v>
      </c>
      <c r="G1681" s="8">
        <v>1.0</v>
      </c>
      <c r="H1681" s="8">
        <v>1.0</v>
      </c>
      <c r="I1681" s="8">
        <v>1.0</v>
      </c>
      <c r="J1681" s="8">
        <v>1.0</v>
      </c>
      <c r="K1681" s="8">
        <v>1.0</v>
      </c>
      <c r="L1681" s="8">
        <v>6.0</v>
      </c>
      <c r="M1681" s="8"/>
      <c r="N1681" s="8"/>
      <c r="O1681" s="8" t="s">
        <v>776</v>
      </c>
      <c r="P1681" s="8" t="e">
        <v>#N/A</v>
      </c>
    </row>
    <row r="1682">
      <c r="A1682">
        <f>IFERROR(__xludf.DUMMYFUNCTION("""COMPUTED_VALUE"""),6.0)</f>
        <v>6</v>
      </c>
      <c r="B1682">
        <f>IFERROR(__xludf.DUMMYFUNCTION("""COMPUTED_VALUE"""),31013.0)</f>
        <v>31013</v>
      </c>
      <c r="C1682" t="str">
        <f>IFERROR(__xludf.DUMMYFUNCTION("""COMPUTED_VALUE"""),"BASTIDAS MEJIA, JUAN JOSE")</f>
        <v>BASTIDAS MEJIA, JUAN JOSE</v>
      </c>
      <c r="D1682" t="str">
        <f>IFERROR(__xludf.DUMMYFUNCTION("""COMPUTED_VALUE"""),"Spanish 6")</f>
        <v>Spanish 6</v>
      </c>
      <c r="E1682" s="31">
        <f>IFERROR(__xludf.DUMMYFUNCTION("""COMPUTED_VALUE"""),3.0)</f>
        <v>3</v>
      </c>
      <c r="F1682" s="8">
        <v>1.0</v>
      </c>
      <c r="G1682" s="8">
        <v>1.0</v>
      </c>
      <c r="H1682" s="8">
        <v>1.0</v>
      </c>
      <c r="I1682" s="8">
        <v>1.0</v>
      </c>
      <c r="J1682" s="8">
        <v>1.0</v>
      </c>
      <c r="K1682" s="8">
        <v>1.0</v>
      </c>
      <c r="L1682" s="8">
        <v>6.0</v>
      </c>
      <c r="M1682" s="8"/>
      <c r="N1682" s="8"/>
      <c r="O1682" s="8" t="s">
        <v>774</v>
      </c>
      <c r="P1682" s="8">
        <v>6.0</v>
      </c>
    </row>
    <row r="1683">
      <c r="A1683">
        <f>IFERROR(__xludf.DUMMYFUNCTION("""COMPUTED_VALUE"""),6.0)</f>
        <v>6</v>
      </c>
      <c r="B1683">
        <f>IFERROR(__xludf.DUMMYFUNCTION("""COMPUTED_VALUE"""),31014.0)</f>
        <v>31014</v>
      </c>
      <c r="C1683" t="str">
        <f>IFERROR(__xludf.DUMMYFUNCTION("""COMPUTED_VALUE"""),"BETANCUR PENAGOS, AGUSTIN")</f>
        <v>BETANCUR PENAGOS, AGUSTIN</v>
      </c>
      <c r="D1683" t="str">
        <f>IFERROR(__xludf.DUMMYFUNCTION("""COMPUTED_VALUE"""),"Spanish 6")</f>
        <v>Spanish 6</v>
      </c>
      <c r="E1683" s="31">
        <f>IFERROR(__xludf.DUMMYFUNCTION("""COMPUTED_VALUE"""),2.0)</f>
        <v>2</v>
      </c>
      <c r="F1683" s="8">
        <v>1.0</v>
      </c>
      <c r="G1683" s="8">
        <v>1.0</v>
      </c>
      <c r="H1683" s="8">
        <v>1.0</v>
      </c>
      <c r="I1683" s="8">
        <v>1.0</v>
      </c>
      <c r="J1683" s="8">
        <v>1.0</v>
      </c>
      <c r="K1683" s="8">
        <v>1.0</v>
      </c>
      <c r="L1683" s="8">
        <v>6.0</v>
      </c>
      <c r="M1683" s="8"/>
      <c r="N1683" s="8"/>
      <c r="O1683" s="8" t="s">
        <v>773</v>
      </c>
      <c r="P1683" s="8">
        <v>6.0</v>
      </c>
    </row>
    <row r="1684">
      <c r="A1684">
        <f>IFERROR(__xludf.DUMMYFUNCTION("""COMPUTED_VALUE"""),6.0)</f>
        <v>6</v>
      </c>
      <c r="B1684">
        <f>IFERROR(__xludf.DUMMYFUNCTION("""COMPUTED_VALUE"""),31015.0)</f>
        <v>31015</v>
      </c>
      <c r="C1684" t="str">
        <f>IFERROR(__xludf.DUMMYFUNCTION("""COMPUTED_VALUE"""),"BETANCUR PENAGOS, LORENZO")</f>
        <v>BETANCUR PENAGOS, LORENZO</v>
      </c>
      <c r="D1684" t="str">
        <f>IFERROR(__xludf.DUMMYFUNCTION("""COMPUTED_VALUE"""),"Spanish 6")</f>
        <v>Spanish 6</v>
      </c>
      <c r="E1684" s="31">
        <f>IFERROR(__xludf.DUMMYFUNCTION("""COMPUTED_VALUE"""),3.0)</f>
        <v>3</v>
      </c>
      <c r="F1684" s="8">
        <v>1.0</v>
      </c>
      <c r="G1684" s="8">
        <v>1.0</v>
      </c>
      <c r="H1684" s="8">
        <v>1.0</v>
      </c>
      <c r="I1684" s="8">
        <v>1.0</v>
      </c>
      <c r="J1684" s="8">
        <v>1.0</v>
      </c>
      <c r="K1684" s="8">
        <v>1.0</v>
      </c>
      <c r="L1684" s="8">
        <v>6.0</v>
      </c>
      <c r="M1684" s="8"/>
      <c r="N1684" s="8"/>
      <c r="O1684" s="8" t="s">
        <v>774</v>
      </c>
      <c r="P1684" s="8">
        <v>6.0</v>
      </c>
    </row>
    <row r="1685">
      <c r="A1685">
        <f>IFERROR(__xludf.DUMMYFUNCTION("""COMPUTED_VALUE"""),6.0)</f>
        <v>6</v>
      </c>
      <c r="B1685">
        <f>IFERROR(__xludf.DUMMYFUNCTION("""COMPUTED_VALUE"""),31016.0)</f>
        <v>31016</v>
      </c>
      <c r="C1685" t="str">
        <f>IFERROR(__xludf.DUMMYFUNCTION("""COMPUTED_VALUE"""),"BETANCUR ROBLEDO, VICENTE")</f>
        <v>BETANCUR ROBLEDO, VICENTE</v>
      </c>
      <c r="D1685" t="str">
        <f>IFERROR(__xludf.DUMMYFUNCTION("""COMPUTED_VALUE"""),"Spanish 6A")</f>
        <v>Spanish 6A</v>
      </c>
      <c r="E1685" s="31">
        <f>IFERROR(__xludf.DUMMYFUNCTION("""COMPUTED_VALUE"""),4.0)</f>
        <v>4</v>
      </c>
      <c r="F1685" s="8">
        <v>1.0</v>
      </c>
      <c r="G1685" s="8">
        <v>1.0</v>
      </c>
      <c r="H1685" s="8">
        <v>1.0</v>
      </c>
      <c r="I1685" s="8">
        <v>1.0</v>
      </c>
      <c r="J1685" s="8">
        <v>1.0</v>
      </c>
      <c r="K1685" s="8">
        <v>1.0</v>
      </c>
      <c r="L1685" s="8">
        <v>6.0</v>
      </c>
      <c r="M1685" s="8"/>
      <c r="N1685" s="8"/>
      <c r="O1685" s="8" t="s">
        <v>776</v>
      </c>
      <c r="P1685" s="8" t="e">
        <v>#N/A</v>
      </c>
    </row>
    <row r="1686">
      <c r="A1686">
        <f>IFERROR(__xludf.DUMMYFUNCTION("""COMPUTED_VALUE"""),6.0)</f>
        <v>6</v>
      </c>
      <c r="B1686">
        <f>IFERROR(__xludf.DUMMYFUNCTION("""COMPUTED_VALUE"""),31166.0)</f>
        <v>31166</v>
      </c>
      <c r="C1686" t="str">
        <f>IFERROR(__xludf.DUMMYFUNCTION("""COMPUTED_VALUE"""),"BISHOP, XAVIER PATRICK")</f>
        <v>BISHOP, XAVIER PATRICK</v>
      </c>
      <c r="D1686" t="str">
        <f>IFERROR(__xludf.DUMMYFUNCTION("""COMPUTED_VALUE"""),"SAL")</f>
        <v>SAL</v>
      </c>
      <c r="E1686" s="31">
        <f>IFERROR(__xludf.DUMMYFUNCTION("""COMPUTED_VALUE"""),2.0)</f>
        <v>2</v>
      </c>
      <c r="F1686" s="8">
        <v>1.0</v>
      </c>
      <c r="G1686" s="8">
        <v>1.0</v>
      </c>
      <c r="H1686" s="8">
        <v>1.0</v>
      </c>
      <c r="I1686" s="8">
        <v>1.0</v>
      </c>
      <c r="J1686" s="8">
        <v>1.0</v>
      </c>
      <c r="K1686" s="8">
        <v>1.0</v>
      </c>
      <c r="L1686" s="8">
        <v>6.0</v>
      </c>
      <c r="M1686" s="8"/>
      <c r="N1686" s="8"/>
      <c r="O1686" s="8" t="s">
        <v>777</v>
      </c>
      <c r="P1686" s="8" t="e">
        <v>#N/A</v>
      </c>
    </row>
    <row r="1687">
      <c r="A1687">
        <f>IFERROR(__xludf.DUMMYFUNCTION("""COMPUTED_VALUE"""),6.0)</f>
        <v>6</v>
      </c>
      <c r="B1687">
        <f>IFERROR(__xludf.DUMMYFUNCTION("""COMPUTED_VALUE"""),31152.0)</f>
        <v>31152</v>
      </c>
      <c r="C1687" t="str">
        <f>IFERROR(__xludf.DUMMYFUNCTION("""COMPUTED_VALUE"""),"BLANCO HENRIQUEZ, JUAN MARTIN")</f>
        <v>BLANCO HENRIQUEZ, JUAN MARTIN</v>
      </c>
      <c r="D1687" t="str">
        <f>IFERROR(__xludf.DUMMYFUNCTION("""COMPUTED_VALUE"""),"Spanish 6")</f>
        <v>Spanish 6</v>
      </c>
      <c r="E1687" s="31">
        <f>IFERROR(__xludf.DUMMYFUNCTION("""COMPUTED_VALUE"""),4.0)</f>
        <v>4</v>
      </c>
      <c r="F1687" s="8">
        <v>1.0</v>
      </c>
      <c r="G1687" s="8">
        <v>1.0</v>
      </c>
      <c r="H1687" s="8">
        <v>1.0</v>
      </c>
      <c r="I1687" s="8">
        <v>1.0</v>
      </c>
      <c r="J1687" s="8">
        <v>1.0</v>
      </c>
      <c r="K1687" s="8">
        <v>1.0</v>
      </c>
      <c r="L1687" s="8">
        <v>6.0</v>
      </c>
      <c r="M1687" s="8"/>
      <c r="N1687" s="8"/>
      <c r="O1687" s="8" t="s">
        <v>772</v>
      </c>
      <c r="P1687" s="8">
        <v>6.0</v>
      </c>
    </row>
    <row r="1688">
      <c r="A1688">
        <f>IFERROR(__xludf.DUMMYFUNCTION("""COMPUTED_VALUE"""),6.0)</f>
        <v>6</v>
      </c>
      <c r="B1688">
        <f>IFERROR(__xludf.DUMMYFUNCTION("""COMPUTED_VALUE"""),31017.0)</f>
        <v>31017</v>
      </c>
      <c r="C1688" t="str">
        <f>IFERROR(__xludf.DUMMYFUNCTION("""COMPUTED_VALUE"""),"BORDA AZCARATE, AGUSTIN")</f>
        <v>BORDA AZCARATE, AGUSTIN</v>
      </c>
      <c r="D1688" t="str">
        <f>IFERROR(__xludf.DUMMYFUNCTION("""COMPUTED_VALUE"""),"Spanish 6")</f>
        <v>Spanish 6</v>
      </c>
      <c r="E1688" s="31">
        <f>IFERROR(__xludf.DUMMYFUNCTION("""COMPUTED_VALUE"""),2.0)</f>
        <v>2</v>
      </c>
      <c r="F1688" s="8">
        <v>1.0</v>
      </c>
      <c r="G1688" s="8">
        <v>1.0</v>
      </c>
      <c r="H1688" s="8">
        <v>1.0</v>
      </c>
      <c r="I1688" s="8">
        <v>1.0</v>
      </c>
      <c r="J1688" s="8">
        <v>1.0</v>
      </c>
      <c r="K1688" s="8">
        <v>1.0</v>
      </c>
      <c r="L1688" s="8">
        <v>6.0</v>
      </c>
      <c r="M1688" s="8"/>
      <c r="N1688" s="8"/>
      <c r="O1688" s="8" t="s">
        <v>773</v>
      </c>
      <c r="P1688" s="8">
        <v>6.0</v>
      </c>
    </row>
    <row r="1689">
      <c r="A1689">
        <f>IFERROR(__xludf.DUMMYFUNCTION("""COMPUTED_VALUE"""),6.0)</f>
        <v>6</v>
      </c>
      <c r="B1689">
        <f>IFERROR(__xludf.DUMMYFUNCTION("""COMPUTED_VALUE"""),31019.0)</f>
        <v>31019</v>
      </c>
      <c r="C1689" t="str">
        <f>IFERROR(__xludf.DUMMYFUNCTION("""COMPUTED_VALUE"""),"BOTERO BOTERO, AMALIA")</f>
        <v>BOTERO BOTERO, AMALIA</v>
      </c>
      <c r="D1689" t="str">
        <f>IFERROR(__xludf.DUMMYFUNCTION("""COMPUTED_VALUE"""),"Spanish 6")</f>
        <v>Spanish 6</v>
      </c>
      <c r="E1689" s="31">
        <f>IFERROR(__xludf.DUMMYFUNCTION("""COMPUTED_VALUE"""),6.0)</f>
        <v>6</v>
      </c>
      <c r="F1689" s="8">
        <v>1.0</v>
      </c>
      <c r="G1689" s="8">
        <v>1.0</v>
      </c>
      <c r="H1689" s="8">
        <v>1.0</v>
      </c>
      <c r="I1689" s="8">
        <v>1.0</v>
      </c>
      <c r="J1689" s="8">
        <v>1.0</v>
      </c>
      <c r="K1689" s="8">
        <v>1.0</v>
      </c>
      <c r="L1689" s="8">
        <v>6.0</v>
      </c>
      <c r="M1689" s="8"/>
      <c r="N1689" s="8"/>
      <c r="O1689" s="8" t="s">
        <v>775</v>
      </c>
      <c r="P1689" s="8">
        <v>6.0</v>
      </c>
    </row>
    <row r="1690">
      <c r="A1690">
        <f>IFERROR(__xludf.DUMMYFUNCTION("""COMPUTED_VALUE"""),6.0)</f>
        <v>6</v>
      </c>
      <c r="B1690">
        <f>IFERROR(__xludf.DUMMYFUNCTION("""COMPUTED_VALUE"""),31020.0)</f>
        <v>31020</v>
      </c>
      <c r="C1690" t="str">
        <f>IFERROR(__xludf.DUMMYFUNCTION("""COMPUTED_VALUE"""),"BOTERO DEL CORRAL, MARTINA")</f>
        <v>BOTERO DEL CORRAL, MARTINA</v>
      </c>
      <c r="D1690" t="str">
        <f>IFERROR(__xludf.DUMMYFUNCTION("""COMPUTED_VALUE"""),"Spanish 6")</f>
        <v>Spanish 6</v>
      </c>
      <c r="E1690" s="31">
        <f>IFERROR(__xludf.DUMMYFUNCTION("""COMPUTED_VALUE"""),1.0)</f>
        <v>1</v>
      </c>
      <c r="F1690" s="8">
        <v>1.0</v>
      </c>
      <c r="G1690" s="8">
        <v>1.0</v>
      </c>
      <c r="H1690" s="8">
        <v>1.0</v>
      </c>
      <c r="I1690" s="8">
        <v>1.0</v>
      </c>
      <c r="J1690" s="8">
        <v>1.0</v>
      </c>
      <c r="K1690" s="8">
        <v>1.0</v>
      </c>
      <c r="L1690" s="8">
        <v>6.0</v>
      </c>
      <c r="M1690" s="8"/>
      <c r="N1690" s="8"/>
      <c r="O1690" s="8" t="s">
        <v>771</v>
      </c>
      <c r="P1690" s="8">
        <v>6.0</v>
      </c>
    </row>
    <row r="1691">
      <c r="A1691">
        <f>IFERROR(__xludf.DUMMYFUNCTION("""COMPUTED_VALUE"""),6.0)</f>
        <v>6</v>
      </c>
      <c r="B1691">
        <f>IFERROR(__xludf.DUMMYFUNCTION("""COMPUTED_VALUE"""),31018.0)</f>
        <v>31018</v>
      </c>
      <c r="C1691" t="str">
        <f>IFERROR(__xludf.DUMMYFUNCTION("""COMPUTED_VALUE"""),"BOTERO MONTOYA, MATIAS")</f>
        <v>BOTERO MONTOYA, MATIAS</v>
      </c>
      <c r="D1691" t="str">
        <f>IFERROR(__xludf.DUMMYFUNCTION("""COMPUTED_VALUE"""),"Spanish 6")</f>
        <v>Spanish 6</v>
      </c>
      <c r="E1691" s="31">
        <f>IFERROR(__xludf.DUMMYFUNCTION("""COMPUTED_VALUE"""),2.0)</f>
        <v>2</v>
      </c>
      <c r="F1691" s="8">
        <v>1.0</v>
      </c>
      <c r="G1691" s="8">
        <v>1.0</v>
      </c>
      <c r="H1691" s="8">
        <v>1.0</v>
      </c>
      <c r="I1691" s="8">
        <v>1.0</v>
      </c>
      <c r="J1691" s="8">
        <v>1.0</v>
      </c>
      <c r="K1691" s="8">
        <v>1.0</v>
      </c>
      <c r="L1691" s="8">
        <v>6.0</v>
      </c>
      <c r="M1691" s="8"/>
      <c r="N1691" s="8"/>
      <c r="O1691" s="8" t="s">
        <v>773</v>
      </c>
      <c r="P1691" s="8">
        <v>6.0</v>
      </c>
    </row>
    <row r="1692">
      <c r="A1692">
        <f>IFERROR(__xludf.DUMMYFUNCTION("""COMPUTED_VALUE"""),6.0)</f>
        <v>6</v>
      </c>
      <c r="B1692">
        <f>IFERROR(__xludf.DUMMYFUNCTION("""COMPUTED_VALUE"""),31022.0)</f>
        <v>31022</v>
      </c>
      <c r="C1692" t="str">
        <f>IFERROR(__xludf.DUMMYFUNCTION("""COMPUTED_VALUE"""),"CALDWELL VALLEJO, MAX")</f>
        <v>CALDWELL VALLEJO, MAX</v>
      </c>
      <c r="D1692" t="str">
        <f>IFERROR(__xludf.DUMMYFUNCTION("""COMPUTED_VALUE"""),"Spanish 6")</f>
        <v>Spanish 6</v>
      </c>
      <c r="E1692" s="31">
        <f>IFERROR(__xludf.DUMMYFUNCTION("""COMPUTED_VALUE"""),6.0)</f>
        <v>6</v>
      </c>
      <c r="F1692" s="8">
        <v>1.0</v>
      </c>
      <c r="G1692" s="8">
        <v>1.0</v>
      </c>
      <c r="H1692" s="8">
        <v>1.0</v>
      </c>
      <c r="I1692" s="8">
        <v>1.0</v>
      </c>
      <c r="J1692" s="8">
        <v>1.0</v>
      </c>
      <c r="K1692" s="8">
        <v>1.0</v>
      </c>
      <c r="L1692" s="8">
        <v>6.0</v>
      </c>
      <c r="M1692" s="8"/>
      <c r="N1692" s="8"/>
      <c r="O1692" s="8" t="s">
        <v>775</v>
      </c>
      <c r="P1692" s="8">
        <v>6.0</v>
      </c>
    </row>
    <row r="1693">
      <c r="A1693">
        <f>IFERROR(__xludf.DUMMYFUNCTION("""COMPUTED_VALUE"""),6.0)</f>
        <v>6</v>
      </c>
      <c r="B1693">
        <f>IFERROR(__xludf.DUMMYFUNCTION("""COMPUTED_VALUE"""),31023.0)</f>
        <v>31023</v>
      </c>
      <c r="C1693" t="str">
        <f>IFERROR(__xludf.DUMMYFUNCTION("""COMPUTED_VALUE"""),"CAPMARTIN GOMEZ, VALERIA")</f>
        <v>CAPMARTIN GOMEZ, VALERIA</v>
      </c>
      <c r="D1693" t="str">
        <f>IFERROR(__xludf.DUMMYFUNCTION("""COMPUTED_VALUE"""),"Spanish 6")</f>
        <v>Spanish 6</v>
      </c>
      <c r="E1693" s="31">
        <f>IFERROR(__xludf.DUMMYFUNCTION("""COMPUTED_VALUE"""),4.0)</f>
        <v>4</v>
      </c>
      <c r="F1693" s="8">
        <v>1.0</v>
      </c>
      <c r="G1693" s="8">
        <v>1.0</v>
      </c>
      <c r="H1693" s="8">
        <v>1.0</v>
      </c>
      <c r="I1693" s="8">
        <v>1.0</v>
      </c>
      <c r="J1693" s="8">
        <v>1.0</v>
      </c>
      <c r="K1693" s="8">
        <v>1.0</v>
      </c>
      <c r="L1693" s="8">
        <v>6.0</v>
      </c>
      <c r="M1693" s="8"/>
      <c r="N1693" s="8"/>
      <c r="O1693" s="8" t="s">
        <v>772</v>
      </c>
      <c r="P1693" s="8">
        <v>6.0</v>
      </c>
    </row>
    <row r="1694">
      <c r="A1694">
        <f>IFERROR(__xludf.DUMMYFUNCTION("""COMPUTED_VALUE"""),6.0)</f>
        <v>6</v>
      </c>
      <c r="B1694">
        <f>IFERROR(__xludf.DUMMYFUNCTION("""COMPUTED_VALUE"""),31024.0)</f>
        <v>31024</v>
      </c>
      <c r="C1694" t="str">
        <f>IFERROR(__xludf.DUMMYFUNCTION("""COMPUTED_VALUE"""),"CARDONA VELEZ, ALICIA")</f>
        <v>CARDONA VELEZ, ALICIA</v>
      </c>
      <c r="D1694" t="str">
        <f>IFERROR(__xludf.DUMMYFUNCTION("""COMPUTED_VALUE"""),"Spanish 6")</f>
        <v>Spanish 6</v>
      </c>
      <c r="E1694" s="31">
        <f>IFERROR(__xludf.DUMMYFUNCTION("""COMPUTED_VALUE"""),1.0)</f>
        <v>1</v>
      </c>
      <c r="F1694" s="8">
        <v>1.0</v>
      </c>
      <c r="G1694" s="8">
        <v>1.0</v>
      </c>
      <c r="H1694" s="8">
        <v>1.0</v>
      </c>
      <c r="I1694" s="8">
        <v>1.0</v>
      </c>
      <c r="J1694" s="8">
        <v>1.0</v>
      </c>
      <c r="K1694" s="8">
        <v>1.0</v>
      </c>
      <c r="L1694" s="8">
        <v>6.0</v>
      </c>
      <c r="M1694" s="8"/>
      <c r="N1694" s="8"/>
      <c r="O1694" s="8" t="s">
        <v>771</v>
      </c>
      <c r="P1694" s="8">
        <v>6.0</v>
      </c>
    </row>
    <row r="1695">
      <c r="A1695">
        <f>IFERROR(__xludf.DUMMYFUNCTION("""COMPUTED_VALUE"""),6.0)</f>
        <v>6</v>
      </c>
      <c r="B1695">
        <f>IFERROR(__xludf.DUMMYFUNCTION("""COMPUTED_VALUE"""),31025.0)</f>
        <v>31025</v>
      </c>
      <c r="C1695" t="str">
        <f>IFERROR(__xludf.DUMMYFUNCTION("""COMPUTED_VALUE"""),"CORREA ALVAREZ, EMILIO")</f>
        <v>CORREA ALVAREZ, EMILIO</v>
      </c>
      <c r="D1695" t="str">
        <f>IFERROR(__xludf.DUMMYFUNCTION("""COMPUTED_VALUE"""),"Spanish 6A")</f>
        <v>Spanish 6A</v>
      </c>
      <c r="E1695" s="31">
        <f>IFERROR(__xludf.DUMMYFUNCTION("""COMPUTED_VALUE"""),4.0)</f>
        <v>4</v>
      </c>
      <c r="F1695" s="8">
        <v>1.0</v>
      </c>
      <c r="G1695" s="8">
        <v>1.0</v>
      </c>
      <c r="H1695" s="8">
        <v>1.0</v>
      </c>
      <c r="I1695" s="8">
        <v>1.0</v>
      </c>
      <c r="J1695" s="8">
        <v>1.0</v>
      </c>
      <c r="K1695" s="8">
        <v>1.0</v>
      </c>
      <c r="L1695" s="8">
        <v>6.0</v>
      </c>
      <c r="M1695" s="8"/>
      <c r="N1695" s="8"/>
      <c r="O1695" s="8" t="s">
        <v>776</v>
      </c>
      <c r="P1695" s="8" t="e">
        <v>#N/A</v>
      </c>
    </row>
    <row r="1696">
      <c r="A1696">
        <f>IFERROR(__xludf.DUMMYFUNCTION("""COMPUTED_VALUE"""),6.0)</f>
        <v>6</v>
      </c>
      <c r="B1696">
        <f>IFERROR(__xludf.DUMMYFUNCTION("""COMPUTED_VALUE"""),31026.0)</f>
        <v>31026</v>
      </c>
      <c r="C1696" t="str">
        <f>IFERROR(__xludf.DUMMYFUNCTION("""COMPUTED_VALUE"""),"CORTES ARANGO, JUAN MARTIN")</f>
        <v>CORTES ARANGO, JUAN MARTIN</v>
      </c>
      <c r="D1696" t="str">
        <f>IFERROR(__xludf.DUMMYFUNCTION("""COMPUTED_VALUE"""),"Spanish 6")</f>
        <v>Spanish 6</v>
      </c>
      <c r="E1696" s="31">
        <f>IFERROR(__xludf.DUMMYFUNCTION("""COMPUTED_VALUE"""),6.0)</f>
        <v>6</v>
      </c>
      <c r="F1696" s="8">
        <v>1.0</v>
      </c>
      <c r="G1696" s="8">
        <v>1.0</v>
      </c>
      <c r="H1696" s="8">
        <v>1.0</v>
      </c>
      <c r="I1696" s="8">
        <v>1.0</v>
      </c>
      <c r="J1696" s="8">
        <v>1.0</v>
      </c>
      <c r="K1696" s="8">
        <v>1.0</v>
      </c>
      <c r="L1696" s="8">
        <v>6.0</v>
      </c>
      <c r="M1696" s="8"/>
      <c r="N1696" s="8"/>
      <c r="O1696" s="8" t="s">
        <v>775</v>
      </c>
      <c r="P1696" s="8">
        <v>6.0</v>
      </c>
    </row>
    <row r="1697">
      <c r="A1697">
        <f>IFERROR(__xludf.DUMMYFUNCTION("""COMPUTED_VALUE"""),6.0)</f>
        <v>6</v>
      </c>
      <c r="B1697">
        <f>IFERROR(__xludf.DUMMYFUNCTION("""COMPUTED_VALUE"""),31027.0)</f>
        <v>31027</v>
      </c>
      <c r="C1697" t="str">
        <f>IFERROR(__xludf.DUMMYFUNCTION("""COMPUTED_VALUE"""),"CUARTAS GOMEZ, SANTIAGO")</f>
        <v>CUARTAS GOMEZ, SANTIAGO</v>
      </c>
      <c r="D1697" t="str">
        <f>IFERROR(__xludf.DUMMYFUNCTION("""COMPUTED_VALUE"""),"Spanish 6")</f>
        <v>Spanish 6</v>
      </c>
      <c r="E1697" s="31">
        <f>IFERROR(__xludf.DUMMYFUNCTION("""COMPUTED_VALUE"""),3.0)</f>
        <v>3</v>
      </c>
      <c r="F1697" s="8">
        <v>1.0</v>
      </c>
      <c r="G1697" s="8">
        <v>1.0</v>
      </c>
      <c r="H1697" s="8">
        <v>1.0</v>
      </c>
      <c r="I1697" s="8">
        <v>1.0</v>
      </c>
      <c r="J1697" s="8">
        <v>1.0</v>
      </c>
      <c r="K1697" s="8">
        <v>1.0</v>
      </c>
      <c r="L1697" s="8">
        <v>6.0</v>
      </c>
      <c r="M1697" s="8"/>
      <c r="N1697" s="8"/>
      <c r="O1697" s="8" t="s">
        <v>774</v>
      </c>
      <c r="P1697" s="8">
        <v>6.0</v>
      </c>
    </row>
    <row r="1698">
      <c r="A1698">
        <f>IFERROR(__xludf.DUMMYFUNCTION("""COMPUTED_VALUE"""),6.0)</f>
        <v>6</v>
      </c>
      <c r="B1698">
        <f>IFERROR(__xludf.DUMMYFUNCTION("""COMPUTED_VALUE"""),31028.0)</f>
        <v>31028</v>
      </c>
      <c r="C1698" t="str">
        <f>IFERROR(__xludf.DUMMYFUNCTION("""COMPUTED_VALUE"""),"DE HOMMEL COCK, ARTHUR JEAN")</f>
        <v>DE HOMMEL COCK, ARTHUR JEAN</v>
      </c>
      <c r="D1698" t="str">
        <f>IFERROR(__xludf.DUMMYFUNCTION("""COMPUTED_VALUE"""),"Spanish 6")</f>
        <v>Spanish 6</v>
      </c>
      <c r="E1698" s="31">
        <f>IFERROR(__xludf.DUMMYFUNCTION("""COMPUTED_VALUE"""),1.0)</f>
        <v>1</v>
      </c>
      <c r="F1698" s="8">
        <v>1.0</v>
      </c>
      <c r="G1698" s="8">
        <v>1.0</v>
      </c>
      <c r="H1698" s="8">
        <v>1.0</v>
      </c>
      <c r="I1698" s="8">
        <v>1.0</v>
      </c>
      <c r="J1698" s="8">
        <v>1.0</v>
      </c>
      <c r="K1698" s="8">
        <v>1.0</v>
      </c>
      <c r="L1698" s="8">
        <v>6.0</v>
      </c>
      <c r="M1698" s="8"/>
      <c r="N1698" s="8"/>
      <c r="O1698" s="8" t="s">
        <v>771</v>
      </c>
      <c r="P1698" s="8">
        <v>6.0</v>
      </c>
    </row>
    <row r="1699">
      <c r="A1699">
        <f>IFERROR(__xludf.DUMMYFUNCTION("""COMPUTED_VALUE"""),6.0)</f>
        <v>6</v>
      </c>
      <c r="B1699">
        <f>IFERROR(__xludf.DUMMYFUNCTION("""COMPUTED_VALUE"""),31029.0)</f>
        <v>31029</v>
      </c>
      <c r="C1699" t="str">
        <f>IFERROR(__xludf.DUMMYFUNCTION("""COMPUTED_VALUE"""),"DE KOLLER GAVIRIA, PAOLO")</f>
        <v>DE KOLLER GAVIRIA, PAOLO</v>
      </c>
      <c r="D1699" t="str">
        <f>IFERROR(__xludf.DUMMYFUNCTION("""COMPUTED_VALUE"""),"Spanish 6")</f>
        <v>Spanish 6</v>
      </c>
      <c r="E1699" s="31">
        <f>IFERROR(__xludf.DUMMYFUNCTION("""COMPUTED_VALUE"""),4.0)</f>
        <v>4</v>
      </c>
      <c r="F1699" s="8">
        <v>1.0</v>
      </c>
      <c r="G1699" s="8">
        <v>1.0</v>
      </c>
      <c r="H1699" s="8">
        <v>1.0</v>
      </c>
      <c r="I1699" s="8">
        <v>1.0</v>
      </c>
      <c r="J1699" s="8">
        <v>1.0</v>
      </c>
      <c r="K1699" s="8">
        <v>1.0</v>
      </c>
      <c r="L1699" s="8">
        <v>6.0</v>
      </c>
      <c r="M1699" s="8"/>
      <c r="N1699" s="8"/>
      <c r="O1699" s="8" t="s">
        <v>772</v>
      </c>
      <c r="P1699" s="8">
        <v>6.0</v>
      </c>
    </row>
    <row r="1700">
      <c r="A1700">
        <f>IFERROR(__xludf.DUMMYFUNCTION("""COMPUTED_VALUE"""),6.0)</f>
        <v>6</v>
      </c>
      <c r="B1700">
        <f>IFERROR(__xludf.DUMMYFUNCTION("""COMPUTED_VALUE"""),31030.0)</f>
        <v>31030</v>
      </c>
      <c r="C1700" t="str">
        <f>IFERROR(__xludf.DUMMYFUNCTION("""COMPUTED_VALUE"""),"DE KOLLER GAVIRIA, ROMEO")</f>
        <v>DE KOLLER GAVIRIA, ROMEO</v>
      </c>
      <c r="D1700" t="str">
        <f>IFERROR(__xludf.DUMMYFUNCTION("""COMPUTED_VALUE"""),"Spanish 6A")</f>
        <v>Spanish 6A</v>
      </c>
      <c r="E1700" s="31">
        <f>IFERROR(__xludf.DUMMYFUNCTION("""COMPUTED_VALUE"""),4.0)</f>
        <v>4</v>
      </c>
      <c r="F1700" s="8">
        <v>1.0</v>
      </c>
      <c r="G1700" s="8">
        <v>1.0</v>
      </c>
      <c r="H1700" s="8">
        <v>1.0</v>
      </c>
      <c r="I1700" s="8">
        <v>1.0</v>
      </c>
      <c r="J1700" s="8">
        <v>1.0</v>
      </c>
      <c r="K1700" s="8">
        <v>1.0</v>
      </c>
      <c r="L1700" s="8">
        <v>6.0</v>
      </c>
      <c r="M1700" s="8"/>
      <c r="N1700" s="8"/>
      <c r="O1700" s="8" t="s">
        <v>776</v>
      </c>
      <c r="P1700" s="8" t="e">
        <v>#N/A</v>
      </c>
    </row>
    <row r="1701">
      <c r="A1701">
        <f>IFERROR(__xludf.DUMMYFUNCTION("""COMPUTED_VALUE"""),6.0)</f>
        <v>6</v>
      </c>
      <c r="B1701">
        <f>IFERROR(__xludf.DUMMYFUNCTION("""COMPUTED_VALUE"""),31032.0)</f>
        <v>31032</v>
      </c>
      <c r="C1701" t="str">
        <f>IFERROR(__xludf.DUMMYFUNCTION("""COMPUTED_VALUE"""),"DE LOS RIOS AGUDELO, MARTIN")</f>
        <v>DE LOS RIOS AGUDELO, MARTIN</v>
      </c>
      <c r="D1701" t="str">
        <f>IFERROR(__xludf.DUMMYFUNCTION("""COMPUTED_VALUE"""),"Spanish 6")</f>
        <v>Spanish 6</v>
      </c>
      <c r="E1701" s="31">
        <f>IFERROR(__xludf.DUMMYFUNCTION("""COMPUTED_VALUE"""),4.0)</f>
        <v>4</v>
      </c>
      <c r="F1701" s="8">
        <v>1.0</v>
      </c>
      <c r="G1701" s="8">
        <v>1.0</v>
      </c>
      <c r="H1701" s="8">
        <v>1.0</v>
      </c>
      <c r="I1701" s="8">
        <v>1.0</v>
      </c>
      <c r="J1701" s="8">
        <v>1.0</v>
      </c>
      <c r="K1701" s="8">
        <v>1.0</v>
      </c>
      <c r="L1701" s="8">
        <v>6.0</v>
      </c>
      <c r="M1701" s="8"/>
      <c r="N1701" s="8"/>
      <c r="O1701" s="8" t="s">
        <v>772</v>
      </c>
      <c r="P1701" s="8">
        <v>6.0</v>
      </c>
    </row>
    <row r="1702">
      <c r="A1702">
        <f>IFERROR(__xludf.DUMMYFUNCTION("""COMPUTED_VALUE"""),6.0)</f>
        <v>6</v>
      </c>
      <c r="B1702">
        <f>IFERROR(__xludf.DUMMYFUNCTION("""COMPUTED_VALUE"""),31031.0)</f>
        <v>31031</v>
      </c>
      <c r="C1702" t="str">
        <f>IFERROR(__xludf.DUMMYFUNCTION("""COMPUTED_VALUE"""),"DE LOS RIOS AGUDELO, MATIAS")</f>
        <v>DE LOS RIOS AGUDELO, MATIAS</v>
      </c>
      <c r="D1702" t="str">
        <f>IFERROR(__xludf.DUMMYFUNCTION("""COMPUTED_VALUE"""),"Spanish 6")</f>
        <v>Spanish 6</v>
      </c>
      <c r="E1702" s="31">
        <f>IFERROR(__xludf.DUMMYFUNCTION("""COMPUTED_VALUE"""),3.0)</f>
        <v>3</v>
      </c>
      <c r="F1702" s="8">
        <v>1.0</v>
      </c>
      <c r="G1702" s="8">
        <v>1.0</v>
      </c>
      <c r="H1702" s="8">
        <v>1.0</v>
      </c>
      <c r="I1702" s="8">
        <v>1.0</v>
      </c>
      <c r="J1702" s="8">
        <v>1.0</v>
      </c>
      <c r="K1702" s="8">
        <v>1.0</v>
      </c>
      <c r="L1702" s="8">
        <v>6.0</v>
      </c>
      <c r="M1702" s="8"/>
      <c r="N1702" s="8"/>
      <c r="O1702" s="8" t="s">
        <v>774</v>
      </c>
      <c r="P1702" s="8">
        <v>6.0</v>
      </c>
    </row>
    <row r="1703">
      <c r="A1703">
        <f>IFERROR(__xludf.DUMMYFUNCTION("""COMPUTED_VALUE"""),6.0)</f>
        <v>6</v>
      </c>
      <c r="B1703">
        <f>IFERROR(__xludf.DUMMYFUNCTION("""COMPUTED_VALUE"""),31168.0)</f>
        <v>31168</v>
      </c>
      <c r="C1703" t="str">
        <f>IFERROR(__xludf.DUMMYFUNCTION("""COMPUTED_VALUE"""),"DE MUNCK MORTIER, LUCA")</f>
        <v>DE MUNCK MORTIER, LUCA</v>
      </c>
      <c r="D1703" t="str">
        <f>IFERROR(__xludf.DUMMYFUNCTION("""COMPUTED_VALUE"""),"SAL")</f>
        <v>SAL</v>
      </c>
      <c r="E1703" s="31">
        <f>IFERROR(__xludf.DUMMYFUNCTION("""COMPUTED_VALUE"""),2.0)</f>
        <v>2</v>
      </c>
      <c r="F1703" s="8">
        <v>1.0</v>
      </c>
      <c r="G1703" s="8">
        <v>1.0</v>
      </c>
      <c r="H1703" s="8">
        <v>1.0</v>
      </c>
      <c r="I1703" s="8">
        <v>1.0</v>
      </c>
      <c r="J1703" s="8">
        <v>1.0</v>
      </c>
      <c r="K1703" s="8">
        <v>1.0</v>
      </c>
      <c r="L1703" s="8">
        <v>6.0</v>
      </c>
      <c r="M1703" s="8"/>
      <c r="N1703" s="8"/>
      <c r="O1703" s="8" t="s">
        <v>777</v>
      </c>
      <c r="P1703" s="8" t="e">
        <v>#N/A</v>
      </c>
    </row>
    <row r="1704">
      <c r="A1704">
        <f>IFERROR(__xludf.DUMMYFUNCTION("""COMPUTED_VALUE"""),6.0)</f>
        <v>6</v>
      </c>
      <c r="B1704">
        <f>IFERROR(__xludf.DUMMYFUNCTION("""COMPUTED_VALUE"""),31163.0)</f>
        <v>31163</v>
      </c>
      <c r="C1704" t="str">
        <f>IFERROR(__xludf.DUMMYFUNCTION("""COMPUTED_VALUE"""),"DOMINGUEZ JORGENSEN, GABRIEL")</f>
        <v>DOMINGUEZ JORGENSEN, GABRIEL</v>
      </c>
      <c r="D1704" t="str">
        <f>IFERROR(__xludf.DUMMYFUNCTION("""COMPUTED_VALUE"""),"Spanish 6")</f>
        <v>Spanish 6</v>
      </c>
      <c r="E1704" s="31">
        <f>IFERROR(__xludf.DUMMYFUNCTION("""COMPUTED_VALUE"""),6.0)</f>
        <v>6</v>
      </c>
      <c r="F1704" s="8">
        <v>1.0</v>
      </c>
      <c r="G1704" s="8">
        <v>1.0</v>
      </c>
      <c r="H1704" s="8">
        <v>1.0</v>
      </c>
      <c r="I1704" s="8">
        <v>1.0</v>
      </c>
      <c r="J1704" s="8">
        <v>1.0</v>
      </c>
      <c r="K1704" s="8">
        <v>1.0</v>
      </c>
      <c r="L1704" s="8">
        <v>6.0</v>
      </c>
      <c r="M1704" s="8"/>
      <c r="N1704" s="8"/>
      <c r="O1704" s="8" t="s">
        <v>775</v>
      </c>
      <c r="P1704" s="8">
        <v>6.0</v>
      </c>
    </row>
    <row r="1705">
      <c r="A1705">
        <f>IFERROR(__xludf.DUMMYFUNCTION("""COMPUTED_VALUE"""),6.0)</f>
        <v>6</v>
      </c>
      <c r="B1705">
        <f>IFERROR(__xludf.DUMMYFUNCTION("""COMPUTED_VALUE"""),31167.0)</f>
        <v>31167</v>
      </c>
      <c r="C1705" t="str">
        <f>IFERROR(__xludf.DUMMYFUNCTION("""COMPUTED_VALUE"""),"DUQUE, JACOB")</f>
        <v>DUQUE, JACOB</v>
      </c>
      <c r="D1705" t="str">
        <f>IFERROR(__xludf.DUMMYFUNCTION("""COMPUTED_VALUE"""),"SAL")</f>
        <v>SAL</v>
      </c>
      <c r="E1705" s="31">
        <f>IFERROR(__xludf.DUMMYFUNCTION("""COMPUTED_VALUE"""),2.0)</f>
        <v>2</v>
      </c>
      <c r="F1705" s="8">
        <v>1.0</v>
      </c>
      <c r="G1705" s="8">
        <v>1.0</v>
      </c>
      <c r="H1705" s="8">
        <v>1.0</v>
      </c>
      <c r="I1705" s="8">
        <v>1.0</v>
      </c>
      <c r="J1705" s="8">
        <v>1.0</v>
      </c>
      <c r="K1705" s="8">
        <v>1.0</v>
      </c>
      <c r="L1705" s="8">
        <v>6.0</v>
      </c>
      <c r="M1705" s="8"/>
      <c r="N1705" s="8"/>
      <c r="O1705" s="8" t="s">
        <v>777</v>
      </c>
      <c r="P1705" s="8" t="e">
        <v>#N/A</v>
      </c>
    </row>
    <row r="1706">
      <c r="A1706">
        <f>IFERROR(__xludf.DUMMYFUNCTION("""COMPUTED_VALUE"""),6.0)</f>
        <v>6</v>
      </c>
      <c r="B1706">
        <f>IFERROR(__xludf.DUMMYFUNCTION("""COMPUTED_VALUE"""),30041.0)</f>
        <v>30041</v>
      </c>
      <c r="C1706" t="str">
        <f>IFERROR(__xludf.DUMMYFUNCTION("""COMPUTED_VALUE"""),"ESPINAL MONTOYA, ARIANA")</f>
        <v>ESPINAL MONTOYA, ARIANA</v>
      </c>
      <c r="D1706" t="str">
        <f>IFERROR(__xludf.DUMMYFUNCTION("""COMPUTED_VALUE"""),"Spanish 6")</f>
        <v>Spanish 6</v>
      </c>
      <c r="E1706" s="31">
        <f>IFERROR(__xludf.DUMMYFUNCTION("""COMPUTED_VALUE"""),2.0)</f>
        <v>2</v>
      </c>
      <c r="F1706" s="8">
        <v>1.0</v>
      </c>
      <c r="G1706" s="8">
        <v>1.0</v>
      </c>
      <c r="H1706" s="8">
        <v>1.0</v>
      </c>
      <c r="I1706" s="8">
        <v>1.0</v>
      </c>
      <c r="J1706" s="8">
        <v>1.0</v>
      </c>
      <c r="K1706" s="8">
        <v>1.0</v>
      </c>
      <c r="L1706" s="8">
        <v>6.0</v>
      </c>
      <c r="M1706" s="8"/>
      <c r="N1706" s="8"/>
      <c r="O1706" s="8" t="s">
        <v>773</v>
      </c>
      <c r="P1706" s="8">
        <v>6.0</v>
      </c>
    </row>
    <row r="1707">
      <c r="A1707">
        <f>IFERROR(__xludf.DUMMYFUNCTION("""COMPUTED_VALUE"""),6.0)</f>
        <v>6</v>
      </c>
      <c r="B1707">
        <f>IFERROR(__xludf.DUMMYFUNCTION("""COMPUTED_VALUE"""),31034.0)</f>
        <v>31034</v>
      </c>
      <c r="C1707" t="str">
        <f>IFERROR(__xludf.DUMMYFUNCTION("""COMPUTED_VALUE"""),"ESPINOSA ABAD, MARTINA")</f>
        <v>ESPINOSA ABAD, MARTINA</v>
      </c>
      <c r="D1707" t="str">
        <f>IFERROR(__xludf.DUMMYFUNCTION("""COMPUTED_VALUE"""),"Spanish 6")</f>
        <v>Spanish 6</v>
      </c>
      <c r="E1707" s="31">
        <f>IFERROR(__xludf.DUMMYFUNCTION("""COMPUTED_VALUE"""),1.0)</f>
        <v>1</v>
      </c>
      <c r="F1707" s="8">
        <v>1.0</v>
      </c>
      <c r="G1707" s="8">
        <v>1.0</v>
      </c>
      <c r="H1707" s="8">
        <v>1.0</v>
      </c>
      <c r="I1707" s="8">
        <v>1.0</v>
      </c>
      <c r="J1707" s="8">
        <v>1.0</v>
      </c>
      <c r="K1707" s="8">
        <v>1.0</v>
      </c>
      <c r="L1707" s="8">
        <v>6.0</v>
      </c>
      <c r="M1707" s="8"/>
      <c r="N1707" s="8"/>
      <c r="O1707" s="8" t="s">
        <v>771</v>
      </c>
      <c r="P1707" s="8">
        <v>6.0</v>
      </c>
    </row>
    <row r="1708">
      <c r="A1708">
        <f>IFERROR(__xludf.DUMMYFUNCTION("""COMPUTED_VALUE"""),6.0)</f>
        <v>6</v>
      </c>
      <c r="B1708">
        <f>IFERROR(__xludf.DUMMYFUNCTION("""COMPUTED_VALUE"""),31037.0)</f>
        <v>31037</v>
      </c>
      <c r="C1708" t="str">
        <f>IFERROR(__xludf.DUMMYFUNCTION("""COMPUTED_VALUE"""),"FERNANDEZ GUTIERREZ, MARIA JOSE")</f>
        <v>FERNANDEZ GUTIERREZ, MARIA JOSE</v>
      </c>
      <c r="D1708" t="str">
        <f>IFERROR(__xludf.DUMMYFUNCTION("""COMPUTED_VALUE"""),"Spanish 6")</f>
        <v>Spanish 6</v>
      </c>
      <c r="E1708" s="31">
        <f>IFERROR(__xludf.DUMMYFUNCTION("""COMPUTED_VALUE"""),6.0)</f>
        <v>6</v>
      </c>
      <c r="F1708" s="8">
        <v>1.0</v>
      </c>
      <c r="G1708" s="8">
        <v>1.0</v>
      </c>
      <c r="H1708" s="8">
        <v>1.0</v>
      </c>
      <c r="I1708" s="8">
        <v>1.0</v>
      </c>
      <c r="J1708" s="8">
        <v>1.0</v>
      </c>
      <c r="K1708" s="8">
        <v>1.0</v>
      </c>
      <c r="L1708" s="8">
        <v>6.0</v>
      </c>
      <c r="M1708" s="8"/>
      <c r="N1708" s="8"/>
      <c r="O1708" s="8" t="s">
        <v>775</v>
      </c>
      <c r="P1708" s="8">
        <v>6.0</v>
      </c>
    </row>
    <row r="1709">
      <c r="A1709">
        <f>IFERROR(__xludf.DUMMYFUNCTION("""COMPUTED_VALUE"""),6.0)</f>
        <v>6</v>
      </c>
      <c r="B1709">
        <f>IFERROR(__xludf.DUMMYFUNCTION("""COMPUTED_VALUE"""),31039.0)</f>
        <v>31039</v>
      </c>
      <c r="C1709" t="str">
        <f>IFERROR(__xludf.DUMMYFUNCTION("""COMPUTED_VALUE"""),"GALLEGO OCAMPO, MARTIN")</f>
        <v>GALLEGO OCAMPO, MARTIN</v>
      </c>
      <c r="D1709" t="str">
        <f>IFERROR(__xludf.DUMMYFUNCTION("""COMPUTED_VALUE"""),"Spanish 6")</f>
        <v>Spanish 6</v>
      </c>
      <c r="E1709" s="31">
        <f>IFERROR(__xludf.DUMMYFUNCTION("""COMPUTED_VALUE"""),3.0)</f>
        <v>3</v>
      </c>
      <c r="F1709" s="8">
        <v>1.0</v>
      </c>
      <c r="G1709" s="8">
        <v>1.0</v>
      </c>
      <c r="H1709" s="8">
        <v>1.0</v>
      </c>
      <c r="I1709" s="8">
        <v>1.0</v>
      </c>
      <c r="J1709" s="8">
        <v>1.0</v>
      </c>
      <c r="K1709" s="8">
        <v>1.0</v>
      </c>
      <c r="L1709" s="8">
        <v>6.0</v>
      </c>
      <c r="M1709" s="8"/>
      <c r="N1709" s="8"/>
      <c r="O1709" s="8" t="s">
        <v>774</v>
      </c>
      <c r="P1709" s="8">
        <v>6.0</v>
      </c>
    </row>
    <row r="1710">
      <c r="A1710">
        <f>IFERROR(__xludf.DUMMYFUNCTION("""COMPUTED_VALUE"""),6.0)</f>
        <v>6</v>
      </c>
      <c r="B1710">
        <f>IFERROR(__xludf.DUMMYFUNCTION("""COMPUTED_VALUE"""),31040.0)</f>
        <v>31040</v>
      </c>
      <c r="C1710" t="str">
        <f>IFERROR(__xludf.DUMMYFUNCTION("""COMPUTED_VALUE"""),"GARCIA ISAZA, VIOLETA")</f>
        <v>GARCIA ISAZA, VIOLETA</v>
      </c>
      <c r="D1710" t="str">
        <f>IFERROR(__xludf.DUMMYFUNCTION("""COMPUTED_VALUE"""),"Spanish 6")</f>
        <v>Spanish 6</v>
      </c>
      <c r="E1710" s="31">
        <f>IFERROR(__xludf.DUMMYFUNCTION("""COMPUTED_VALUE"""),1.0)</f>
        <v>1</v>
      </c>
      <c r="F1710" s="8">
        <v>1.0</v>
      </c>
      <c r="G1710" s="8">
        <v>1.0</v>
      </c>
      <c r="H1710" s="8">
        <v>1.0</v>
      </c>
      <c r="I1710" s="8">
        <v>1.0</v>
      </c>
      <c r="J1710" s="8">
        <v>1.0</v>
      </c>
      <c r="K1710" s="8">
        <v>1.0</v>
      </c>
      <c r="L1710" s="8">
        <v>6.0</v>
      </c>
      <c r="M1710" s="8"/>
      <c r="N1710" s="8"/>
      <c r="O1710" s="8" t="s">
        <v>771</v>
      </c>
      <c r="P1710" s="8">
        <v>6.0</v>
      </c>
    </row>
    <row r="1711">
      <c r="A1711">
        <f>IFERROR(__xludf.DUMMYFUNCTION("""COMPUTED_VALUE"""),6.0)</f>
        <v>6</v>
      </c>
      <c r="B1711">
        <f>IFERROR(__xludf.DUMMYFUNCTION("""COMPUTED_VALUE"""),31042.0)</f>
        <v>31042</v>
      </c>
      <c r="C1711" t="str">
        <f>IFERROR(__xludf.DUMMYFUNCTION("""COMPUTED_VALUE"""),"GAVIRIA ARBELAEZ, AGUSTIN")</f>
        <v>GAVIRIA ARBELAEZ, AGUSTIN</v>
      </c>
      <c r="D1711" t="str">
        <f>IFERROR(__xludf.DUMMYFUNCTION("""COMPUTED_VALUE"""),"Spanish 6A")</f>
        <v>Spanish 6A</v>
      </c>
      <c r="E1711" s="31">
        <f>IFERROR(__xludf.DUMMYFUNCTION("""COMPUTED_VALUE"""),4.0)</f>
        <v>4</v>
      </c>
      <c r="F1711" s="8">
        <v>1.0</v>
      </c>
      <c r="G1711" s="8">
        <v>1.0</v>
      </c>
      <c r="H1711" s="8">
        <v>1.0</v>
      </c>
      <c r="I1711" s="8">
        <v>1.0</v>
      </c>
      <c r="J1711" s="8">
        <v>1.0</v>
      </c>
      <c r="K1711" s="8">
        <v>1.0</v>
      </c>
      <c r="L1711" s="8">
        <v>6.0</v>
      </c>
      <c r="M1711" s="8"/>
      <c r="N1711" s="8"/>
      <c r="O1711" s="8" t="s">
        <v>776</v>
      </c>
      <c r="P1711" s="8" t="e">
        <v>#N/A</v>
      </c>
    </row>
    <row r="1712">
      <c r="A1712">
        <f>IFERROR(__xludf.DUMMYFUNCTION("""COMPUTED_VALUE"""),6.0)</f>
        <v>6</v>
      </c>
      <c r="B1712">
        <f>IFERROR(__xludf.DUMMYFUNCTION("""COMPUTED_VALUE"""),31044.0)</f>
        <v>31044</v>
      </c>
      <c r="C1712" t="str">
        <f>IFERROR(__xludf.DUMMYFUNCTION("""COMPUTED_VALUE"""),"GOMEZ ROLDAN, SANTIAGO")</f>
        <v>GOMEZ ROLDAN, SANTIAGO</v>
      </c>
      <c r="D1712" t="str">
        <f>IFERROR(__xludf.DUMMYFUNCTION("""COMPUTED_VALUE"""),"Spanish 6A")</f>
        <v>Spanish 6A</v>
      </c>
      <c r="E1712" s="31">
        <f>IFERROR(__xludf.DUMMYFUNCTION("""COMPUTED_VALUE"""),4.0)</f>
        <v>4</v>
      </c>
      <c r="F1712" s="8">
        <v>1.0</v>
      </c>
      <c r="G1712" s="8">
        <v>1.0</v>
      </c>
      <c r="H1712" s="8">
        <v>1.0</v>
      </c>
      <c r="I1712" s="8">
        <v>1.0</v>
      </c>
      <c r="J1712" s="8">
        <v>1.0</v>
      </c>
      <c r="K1712" s="8">
        <v>1.0</v>
      </c>
      <c r="L1712" s="8">
        <v>6.0</v>
      </c>
      <c r="M1712" s="8"/>
      <c r="N1712" s="8"/>
      <c r="O1712" s="8" t="s">
        <v>776</v>
      </c>
      <c r="P1712" s="8" t="e">
        <v>#N/A</v>
      </c>
    </row>
    <row r="1713">
      <c r="A1713">
        <f>IFERROR(__xludf.DUMMYFUNCTION("""COMPUTED_VALUE"""),6.0)</f>
        <v>6</v>
      </c>
      <c r="B1713">
        <f>IFERROR(__xludf.DUMMYFUNCTION("""COMPUTED_VALUE"""),31045.0)</f>
        <v>31045</v>
      </c>
      <c r="C1713" t="str">
        <f>IFERROR(__xludf.DUMMYFUNCTION("""COMPUTED_VALUE"""),"GOMEZ VELASQUEZ, LORENZO")</f>
        <v>GOMEZ VELASQUEZ, LORENZO</v>
      </c>
      <c r="D1713" t="str">
        <f>IFERROR(__xludf.DUMMYFUNCTION("""COMPUTED_VALUE"""),"Spanish 6")</f>
        <v>Spanish 6</v>
      </c>
      <c r="E1713" s="31">
        <f>IFERROR(__xludf.DUMMYFUNCTION("""COMPUTED_VALUE"""),3.0)</f>
        <v>3</v>
      </c>
      <c r="F1713" s="8">
        <v>1.0</v>
      </c>
      <c r="G1713" s="8">
        <v>1.0</v>
      </c>
      <c r="H1713" s="8">
        <v>1.0</v>
      </c>
      <c r="I1713" s="8">
        <v>1.0</v>
      </c>
      <c r="J1713" s="8">
        <v>1.0</v>
      </c>
      <c r="K1713" s="8">
        <v>1.0</v>
      </c>
      <c r="L1713" s="8">
        <v>6.0</v>
      </c>
      <c r="M1713" s="8"/>
      <c r="N1713" s="8"/>
      <c r="O1713" s="8" t="s">
        <v>774</v>
      </c>
      <c r="P1713" s="8">
        <v>6.0</v>
      </c>
    </row>
    <row r="1714">
      <c r="A1714">
        <f>IFERROR(__xludf.DUMMYFUNCTION("""COMPUTED_VALUE"""),6.0)</f>
        <v>6</v>
      </c>
      <c r="B1714">
        <f>IFERROR(__xludf.DUMMYFUNCTION("""COMPUTED_VALUE"""),31046.0)</f>
        <v>31046</v>
      </c>
      <c r="C1714" t="str">
        <f>IFERROR(__xludf.DUMMYFUNCTION("""COMPUTED_VALUE"""),"GONZALEZ LONDOÑO, LAURA")</f>
        <v>GONZALEZ LONDOÑO, LAURA</v>
      </c>
      <c r="D1714" t="str">
        <f>IFERROR(__xludf.DUMMYFUNCTION("""COMPUTED_VALUE"""),"Spanish 6")</f>
        <v>Spanish 6</v>
      </c>
      <c r="E1714" s="31">
        <f>IFERROR(__xludf.DUMMYFUNCTION("""COMPUTED_VALUE"""),4.0)</f>
        <v>4</v>
      </c>
      <c r="F1714" s="8">
        <v>1.0</v>
      </c>
      <c r="G1714" s="8">
        <v>1.0</v>
      </c>
      <c r="H1714" s="8">
        <v>1.0</v>
      </c>
      <c r="I1714" s="8">
        <v>1.0</v>
      </c>
      <c r="J1714" s="8">
        <v>1.0</v>
      </c>
      <c r="K1714" s="8">
        <v>1.0</v>
      </c>
      <c r="L1714" s="8">
        <v>6.0</v>
      </c>
      <c r="M1714" s="8"/>
      <c r="N1714" s="8"/>
      <c r="O1714" s="8" t="s">
        <v>772</v>
      </c>
      <c r="P1714" s="8">
        <v>6.0</v>
      </c>
    </row>
    <row r="1715">
      <c r="A1715">
        <f>IFERROR(__xludf.DUMMYFUNCTION("""COMPUTED_VALUE"""),6.0)</f>
        <v>6</v>
      </c>
      <c r="B1715">
        <f>IFERROR(__xludf.DUMMYFUNCTION("""COMPUTED_VALUE"""),31047.0)</f>
        <v>31047</v>
      </c>
      <c r="C1715" t="str">
        <f>IFERROR(__xludf.DUMMYFUNCTION("""COMPUTED_VALUE"""),"GONZALEZ NICHOLLS, MARIA JOSE")</f>
        <v>GONZALEZ NICHOLLS, MARIA JOSE</v>
      </c>
      <c r="D1715" t="str">
        <f>IFERROR(__xludf.DUMMYFUNCTION("""COMPUTED_VALUE"""),"Spanish 6")</f>
        <v>Spanish 6</v>
      </c>
      <c r="E1715" s="31">
        <f>IFERROR(__xludf.DUMMYFUNCTION("""COMPUTED_VALUE"""),2.0)</f>
        <v>2</v>
      </c>
      <c r="F1715" s="8">
        <v>1.0</v>
      </c>
      <c r="G1715" s="8">
        <v>1.0</v>
      </c>
      <c r="H1715" s="8">
        <v>1.0</v>
      </c>
      <c r="I1715" s="8">
        <v>1.0</v>
      </c>
      <c r="J1715" s="8">
        <v>1.0</v>
      </c>
      <c r="K1715" s="8">
        <v>1.0</v>
      </c>
      <c r="L1715" s="8">
        <v>6.0</v>
      </c>
      <c r="M1715" s="8"/>
      <c r="N1715" s="8"/>
      <c r="O1715" s="8" t="s">
        <v>773</v>
      </c>
      <c r="P1715" s="8">
        <v>6.0</v>
      </c>
    </row>
    <row r="1716">
      <c r="A1716">
        <f>IFERROR(__xludf.DUMMYFUNCTION("""COMPUTED_VALUE"""),6.0)</f>
        <v>6</v>
      </c>
      <c r="B1716">
        <f>IFERROR(__xludf.DUMMYFUNCTION("""COMPUTED_VALUE"""),31170.0)</f>
        <v>31170</v>
      </c>
      <c r="C1716" t="str">
        <f>IFERROR(__xludf.DUMMYFUNCTION("""COMPUTED_VALUE"""),"GRULLON SANTOS, ISABELLA")</f>
        <v>GRULLON SANTOS, ISABELLA</v>
      </c>
      <c r="D1716" t="str">
        <f>IFERROR(__xludf.DUMMYFUNCTION("""COMPUTED_VALUE"""),"Spanish 6")</f>
        <v>Spanish 6</v>
      </c>
      <c r="E1716" s="31">
        <f>IFERROR(__xludf.DUMMYFUNCTION("""COMPUTED_VALUE"""),4.0)</f>
        <v>4</v>
      </c>
      <c r="F1716" s="8">
        <v>1.0</v>
      </c>
      <c r="G1716" s="8">
        <v>1.0</v>
      </c>
      <c r="H1716" s="8">
        <v>1.0</v>
      </c>
      <c r="I1716" s="8">
        <v>1.0</v>
      </c>
      <c r="J1716" s="8">
        <v>1.0</v>
      </c>
      <c r="K1716" s="8">
        <v>1.0</v>
      </c>
      <c r="L1716" s="8">
        <v>6.0</v>
      </c>
      <c r="M1716" s="8"/>
      <c r="N1716" s="8"/>
      <c r="O1716" s="8" t="s">
        <v>772</v>
      </c>
      <c r="P1716" s="8">
        <v>6.0</v>
      </c>
    </row>
    <row r="1717">
      <c r="A1717">
        <f>IFERROR(__xludf.DUMMYFUNCTION("""COMPUTED_VALUE"""),6.0)</f>
        <v>6</v>
      </c>
      <c r="B1717">
        <f>IFERROR(__xludf.DUMMYFUNCTION("""COMPUTED_VALUE"""),31048.0)</f>
        <v>31048</v>
      </c>
      <c r="C1717" t="str">
        <f>IFERROR(__xludf.DUMMYFUNCTION("""COMPUTED_VALUE"""),"GUERRA MARTINEZ, BENJAMIN")</f>
        <v>GUERRA MARTINEZ, BENJAMIN</v>
      </c>
      <c r="D1717" t="str">
        <f>IFERROR(__xludf.DUMMYFUNCTION("""COMPUTED_VALUE"""),"Spanish 6")</f>
        <v>Spanish 6</v>
      </c>
      <c r="E1717" s="31">
        <f>IFERROR(__xludf.DUMMYFUNCTION("""COMPUTED_VALUE"""),2.0)</f>
        <v>2</v>
      </c>
      <c r="F1717" s="8">
        <v>1.0</v>
      </c>
      <c r="G1717" s="8">
        <v>1.0</v>
      </c>
      <c r="H1717" s="8">
        <v>1.0</v>
      </c>
      <c r="I1717" s="8">
        <v>1.0</v>
      </c>
      <c r="J1717" s="8">
        <v>1.0</v>
      </c>
      <c r="K1717" s="8">
        <v>1.0</v>
      </c>
      <c r="L1717" s="8">
        <v>6.0</v>
      </c>
      <c r="M1717" s="8"/>
      <c r="N1717" s="8"/>
      <c r="O1717" s="8" t="s">
        <v>773</v>
      </c>
      <c r="P1717" s="8">
        <v>6.0</v>
      </c>
    </row>
    <row r="1718">
      <c r="A1718">
        <f>IFERROR(__xludf.DUMMYFUNCTION("""COMPUTED_VALUE"""),6.0)</f>
        <v>6</v>
      </c>
      <c r="B1718">
        <f>IFERROR(__xludf.DUMMYFUNCTION("""COMPUTED_VALUE"""),31049.0)</f>
        <v>31049</v>
      </c>
      <c r="C1718" t="str">
        <f>IFERROR(__xludf.DUMMYFUNCTION("""COMPUTED_VALUE"""),"HENAO MARTINEZ, SOFIA")</f>
        <v>HENAO MARTINEZ, SOFIA</v>
      </c>
      <c r="D1718" t="str">
        <f>IFERROR(__xludf.DUMMYFUNCTION("""COMPUTED_VALUE"""),"Spanish 6")</f>
        <v>Spanish 6</v>
      </c>
      <c r="E1718" s="31">
        <f>IFERROR(__xludf.DUMMYFUNCTION("""COMPUTED_VALUE"""),2.0)</f>
        <v>2</v>
      </c>
      <c r="F1718" s="8">
        <v>1.0</v>
      </c>
      <c r="G1718" s="8">
        <v>1.0</v>
      </c>
      <c r="H1718" s="8">
        <v>1.0</v>
      </c>
      <c r="I1718" s="8">
        <v>1.0</v>
      </c>
      <c r="J1718" s="8">
        <v>1.0</v>
      </c>
      <c r="K1718" s="8">
        <v>1.0</v>
      </c>
      <c r="L1718" s="8">
        <v>6.0</v>
      </c>
      <c r="M1718" s="8"/>
      <c r="N1718" s="8"/>
      <c r="O1718" s="8" t="s">
        <v>773</v>
      </c>
      <c r="P1718" s="8">
        <v>6.0</v>
      </c>
    </row>
    <row r="1719">
      <c r="A1719">
        <f>IFERROR(__xludf.DUMMYFUNCTION("""COMPUTED_VALUE"""),6.0)</f>
        <v>6</v>
      </c>
      <c r="B1719">
        <f>IFERROR(__xludf.DUMMYFUNCTION("""COMPUTED_VALUE"""),31052.0)</f>
        <v>31052</v>
      </c>
      <c r="C1719" t="str">
        <f>IFERROR(__xludf.DUMMYFUNCTION("""COMPUTED_VALUE"""),"IBAÑEZ MONTOYA, VALENTINA")</f>
        <v>IBAÑEZ MONTOYA, VALENTINA</v>
      </c>
      <c r="D1719" t="str">
        <f>IFERROR(__xludf.DUMMYFUNCTION("""COMPUTED_VALUE"""),"Spanish 6")</f>
        <v>Spanish 6</v>
      </c>
      <c r="E1719" s="31">
        <f>IFERROR(__xludf.DUMMYFUNCTION("""COMPUTED_VALUE"""),3.0)</f>
        <v>3</v>
      </c>
      <c r="F1719" s="8">
        <v>1.0</v>
      </c>
      <c r="G1719" s="8">
        <v>1.0</v>
      </c>
      <c r="H1719" s="8">
        <v>1.0</v>
      </c>
      <c r="I1719" s="8">
        <v>1.0</v>
      </c>
      <c r="J1719" s="8">
        <v>1.0</v>
      </c>
      <c r="K1719" s="8">
        <v>1.0</v>
      </c>
      <c r="L1719" s="8">
        <v>6.0</v>
      </c>
      <c r="M1719" s="8"/>
      <c r="N1719" s="8"/>
      <c r="O1719" s="8" t="s">
        <v>774</v>
      </c>
      <c r="P1719" s="8">
        <v>6.0</v>
      </c>
    </row>
    <row r="1720">
      <c r="A1720">
        <f>IFERROR(__xludf.DUMMYFUNCTION("""COMPUTED_VALUE"""),6.0)</f>
        <v>6</v>
      </c>
      <c r="B1720">
        <f>IFERROR(__xludf.DUMMYFUNCTION("""COMPUTED_VALUE"""),31054.0)</f>
        <v>31054</v>
      </c>
      <c r="C1720" t="str">
        <f>IFERROR(__xludf.DUMMYFUNCTION("""COMPUTED_VALUE"""),"JALLER TRUJILLO, MARIA")</f>
        <v>JALLER TRUJILLO, MARIA</v>
      </c>
      <c r="D1720" t="str">
        <f>IFERROR(__xludf.DUMMYFUNCTION("""COMPUTED_VALUE"""),"Spanish 6")</f>
        <v>Spanish 6</v>
      </c>
      <c r="E1720" s="31">
        <f>IFERROR(__xludf.DUMMYFUNCTION("""COMPUTED_VALUE"""),1.0)</f>
        <v>1</v>
      </c>
      <c r="F1720" s="8">
        <v>1.0</v>
      </c>
      <c r="G1720" s="8">
        <v>1.0</v>
      </c>
      <c r="H1720" s="8">
        <v>1.0</v>
      </c>
      <c r="I1720" s="8">
        <v>1.0</v>
      </c>
      <c r="J1720" s="8">
        <v>1.0</v>
      </c>
      <c r="K1720" s="8">
        <v>1.0</v>
      </c>
      <c r="L1720" s="8">
        <v>6.0</v>
      </c>
      <c r="M1720" s="8"/>
      <c r="N1720" s="8"/>
      <c r="O1720" s="8" t="s">
        <v>771</v>
      </c>
      <c r="P1720" s="8">
        <v>6.0</v>
      </c>
    </row>
    <row r="1721">
      <c r="A1721">
        <f>IFERROR(__xludf.DUMMYFUNCTION("""COMPUTED_VALUE"""),6.0)</f>
        <v>6</v>
      </c>
      <c r="B1721">
        <f>IFERROR(__xludf.DUMMYFUNCTION("""COMPUTED_VALUE"""),31053.0)</f>
        <v>31053</v>
      </c>
      <c r="C1721" t="str">
        <f>IFERROR(__xludf.DUMMYFUNCTION("""COMPUTED_VALUE"""),"JALLER VELEZ, MARTINA")</f>
        <v>JALLER VELEZ, MARTINA</v>
      </c>
      <c r="D1721" t="str">
        <f>IFERROR(__xludf.DUMMYFUNCTION("""COMPUTED_VALUE"""),"Spanish 6")</f>
        <v>Spanish 6</v>
      </c>
      <c r="E1721" s="31">
        <f>IFERROR(__xludf.DUMMYFUNCTION("""COMPUTED_VALUE"""),6.0)</f>
        <v>6</v>
      </c>
      <c r="F1721" s="8">
        <v>1.0</v>
      </c>
      <c r="G1721" s="8">
        <v>1.0</v>
      </c>
      <c r="H1721" s="8">
        <v>1.0</v>
      </c>
      <c r="I1721" s="8">
        <v>1.0</v>
      </c>
      <c r="J1721" s="8">
        <v>1.0</v>
      </c>
      <c r="K1721" s="8">
        <v>1.0</v>
      </c>
      <c r="L1721" s="8">
        <v>6.0</v>
      </c>
      <c r="M1721" s="8"/>
      <c r="N1721" s="8"/>
      <c r="O1721" s="8" t="s">
        <v>775</v>
      </c>
      <c r="P1721" s="8">
        <v>6.0</v>
      </c>
    </row>
    <row r="1722">
      <c r="A1722">
        <f>IFERROR(__xludf.DUMMYFUNCTION("""COMPUTED_VALUE"""),6.0)</f>
        <v>6</v>
      </c>
      <c r="B1722">
        <f>IFERROR(__xludf.DUMMYFUNCTION("""COMPUTED_VALUE"""),31057.0)</f>
        <v>31057</v>
      </c>
      <c r="C1722" t="str">
        <f>IFERROR(__xludf.DUMMYFUNCTION("""COMPUTED_VALUE"""),"JARAMILLO ARBELAEZ, AMALIA")</f>
        <v>JARAMILLO ARBELAEZ, AMALIA</v>
      </c>
      <c r="D1722" t="str">
        <f>IFERROR(__xludf.DUMMYFUNCTION("""COMPUTED_VALUE"""),"Spanish 6")</f>
        <v>Spanish 6</v>
      </c>
      <c r="E1722" s="31">
        <f>IFERROR(__xludf.DUMMYFUNCTION("""COMPUTED_VALUE"""),3.0)</f>
        <v>3</v>
      </c>
      <c r="F1722" s="8">
        <v>1.0</v>
      </c>
      <c r="G1722" s="8">
        <v>1.0</v>
      </c>
      <c r="H1722" s="8">
        <v>1.0</v>
      </c>
      <c r="I1722" s="8">
        <v>1.0</v>
      </c>
      <c r="J1722" s="8">
        <v>1.0</v>
      </c>
      <c r="K1722" s="8">
        <v>1.0</v>
      </c>
      <c r="L1722" s="8">
        <v>6.0</v>
      </c>
      <c r="M1722" s="8"/>
      <c r="N1722" s="8"/>
      <c r="O1722" s="8" t="s">
        <v>774</v>
      </c>
      <c r="P1722" s="8">
        <v>6.0</v>
      </c>
    </row>
    <row r="1723">
      <c r="A1723">
        <f>IFERROR(__xludf.DUMMYFUNCTION("""COMPUTED_VALUE"""),6.0)</f>
        <v>6</v>
      </c>
      <c r="B1723">
        <f>IFERROR(__xludf.DUMMYFUNCTION("""COMPUTED_VALUE"""),31055.0)</f>
        <v>31055</v>
      </c>
      <c r="C1723" t="str">
        <f>IFERROR(__xludf.DUMMYFUNCTION("""COMPUTED_VALUE"""),"JARAMILLO GONZALEZ, MARIA")</f>
        <v>JARAMILLO GONZALEZ, MARIA</v>
      </c>
      <c r="D1723" t="str">
        <f>IFERROR(__xludf.DUMMYFUNCTION("""COMPUTED_VALUE"""),"Spanish 6")</f>
        <v>Spanish 6</v>
      </c>
      <c r="E1723" s="31">
        <f>IFERROR(__xludf.DUMMYFUNCTION("""COMPUTED_VALUE"""),1.0)</f>
        <v>1</v>
      </c>
      <c r="F1723" s="8">
        <v>1.0</v>
      </c>
      <c r="G1723" s="8">
        <v>1.0</v>
      </c>
      <c r="H1723" s="8">
        <v>1.0</v>
      </c>
      <c r="I1723" s="8">
        <v>1.0</v>
      </c>
      <c r="J1723" s="8">
        <v>1.0</v>
      </c>
      <c r="K1723" s="8">
        <v>1.0</v>
      </c>
      <c r="L1723" s="8">
        <v>6.0</v>
      </c>
      <c r="M1723" s="8"/>
      <c r="N1723" s="8"/>
      <c r="O1723" s="8" t="s">
        <v>771</v>
      </c>
      <c r="P1723" s="8">
        <v>6.0</v>
      </c>
    </row>
    <row r="1724">
      <c r="A1724">
        <f>IFERROR(__xludf.DUMMYFUNCTION("""COMPUTED_VALUE"""),6.0)</f>
        <v>6</v>
      </c>
      <c r="B1724">
        <f>IFERROR(__xludf.DUMMYFUNCTION("""COMPUTED_VALUE"""),31058.0)</f>
        <v>31058</v>
      </c>
      <c r="C1724" t="str">
        <f>IFERROR(__xludf.DUMMYFUNCTION("""COMPUTED_VALUE"""),"JARAMILLO OCHOA, LUCAS")</f>
        <v>JARAMILLO OCHOA, LUCAS</v>
      </c>
      <c r="D1724" t="str">
        <f>IFERROR(__xludf.DUMMYFUNCTION("""COMPUTED_VALUE"""),"Spanish 6A")</f>
        <v>Spanish 6A</v>
      </c>
      <c r="E1724" s="31">
        <f>IFERROR(__xludf.DUMMYFUNCTION("""COMPUTED_VALUE"""),4.0)</f>
        <v>4</v>
      </c>
      <c r="F1724" s="8">
        <v>1.0</v>
      </c>
      <c r="G1724" s="8">
        <v>1.0</v>
      </c>
      <c r="H1724" s="8">
        <v>1.0</v>
      </c>
      <c r="I1724" s="8">
        <v>1.0</v>
      </c>
      <c r="J1724" s="8">
        <v>1.0</v>
      </c>
      <c r="K1724" s="8">
        <v>1.0</v>
      </c>
      <c r="L1724" s="8">
        <v>6.0</v>
      </c>
      <c r="M1724" s="8"/>
      <c r="N1724" s="8"/>
      <c r="O1724" s="8" t="s">
        <v>776</v>
      </c>
      <c r="P1724" s="8" t="e">
        <v>#N/A</v>
      </c>
    </row>
    <row r="1725">
      <c r="A1725">
        <f>IFERROR(__xludf.DUMMYFUNCTION("""COMPUTED_VALUE"""),6.0)</f>
        <v>6</v>
      </c>
      <c r="B1725">
        <f>IFERROR(__xludf.DUMMYFUNCTION("""COMPUTED_VALUE"""),31059.0)</f>
        <v>31059</v>
      </c>
      <c r="C1725" t="str">
        <f>IFERROR(__xludf.DUMMYFUNCTION("""COMPUTED_VALUE"""),"JIMENEZ ESCOBAR, ROSARIO")</f>
        <v>JIMENEZ ESCOBAR, ROSARIO</v>
      </c>
      <c r="D1725" t="str">
        <f>IFERROR(__xludf.DUMMYFUNCTION("""COMPUTED_VALUE"""),"Spanish 6A")</f>
        <v>Spanish 6A</v>
      </c>
      <c r="E1725" s="31">
        <f>IFERROR(__xludf.DUMMYFUNCTION("""COMPUTED_VALUE"""),4.0)</f>
        <v>4</v>
      </c>
      <c r="F1725" s="8">
        <v>1.0</v>
      </c>
      <c r="G1725" s="8">
        <v>1.0</v>
      </c>
      <c r="H1725" s="8">
        <v>1.0</v>
      </c>
      <c r="I1725" s="8">
        <v>1.0</v>
      </c>
      <c r="J1725" s="8">
        <v>1.0</v>
      </c>
      <c r="K1725" s="8">
        <v>1.0</v>
      </c>
      <c r="L1725" s="8">
        <v>6.0</v>
      </c>
      <c r="M1725" s="8"/>
      <c r="N1725" s="8"/>
      <c r="O1725" s="8" t="s">
        <v>776</v>
      </c>
      <c r="P1725" s="8" t="e">
        <v>#N/A</v>
      </c>
    </row>
    <row r="1726">
      <c r="A1726">
        <f>IFERROR(__xludf.DUMMYFUNCTION("""COMPUTED_VALUE"""),6.0)</f>
        <v>6</v>
      </c>
      <c r="B1726">
        <f>IFERROR(__xludf.DUMMYFUNCTION("""COMPUTED_VALUE"""),31172.0)</f>
        <v>31172</v>
      </c>
      <c r="C1726" t="str">
        <f>IFERROR(__xludf.DUMMYFUNCTION("""COMPUTED_VALUE"""),"JONCK CORRENTE, CLARICE")</f>
        <v>JONCK CORRENTE, CLARICE</v>
      </c>
      <c r="D1726" t="str">
        <f>IFERROR(__xludf.DUMMYFUNCTION("""COMPUTED_VALUE"""),"Spanish 6")</f>
        <v>Spanish 6</v>
      </c>
      <c r="E1726" s="31">
        <f>IFERROR(__xludf.DUMMYFUNCTION("""COMPUTED_VALUE"""),3.0)</f>
        <v>3</v>
      </c>
      <c r="F1726" s="8">
        <v>1.0</v>
      </c>
      <c r="G1726" s="8">
        <v>1.0</v>
      </c>
      <c r="H1726" s="8">
        <v>1.0</v>
      </c>
      <c r="I1726" s="8">
        <v>1.0</v>
      </c>
      <c r="J1726" s="8">
        <v>1.0</v>
      </c>
      <c r="K1726" s="8">
        <v>1.0</v>
      </c>
      <c r="L1726" s="8">
        <v>6.0</v>
      </c>
      <c r="M1726" s="8"/>
      <c r="N1726" s="8"/>
      <c r="O1726" s="8" t="s">
        <v>774</v>
      </c>
      <c r="P1726" s="8">
        <v>6.0</v>
      </c>
    </row>
    <row r="1727">
      <c r="A1727">
        <f>IFERROR(__xludf.DUMMYFUNCTION("""COMPUTED_VALUE"""),6.0)</f>
        <v>6</v>
      </c>
      <c r="B1727">
        <f>IFERROR(__xludf.DUMMYFUNCTION("""COMPUTED_VALUE"""),31061.0)</f>
        <v>31061</v>
      </c>
      <c r="C1727" t="str">
        <f>IFERROR(__xludf.DUMMYFUNCTION("""COMPUTED_VALUE"""),"LAVERDE GIRALDO, CONSTANTINO")</f>
        <v>LAVERDE GIRALDO, CONSTANTINO</v>
      </c>
      <c r="D1727" t="str">
        <f>IFERROR(__xludf.DUMMYFUNCTION("""COMPUTED_VALUE"""),"Spanish 6A")</f>
        <v>Spanish 6A</v>
      </c>
      <c r="E1727" s="31">
        <f>IFERROR(__xludf.DUMMYFUNCTION("""COMPUTED_VALUE"""),4.0)</f>
        <v>4</v>
      </c>
      <c r="F1727" s="8">
        <v>1.0</v>
      </c>
      <c r="G1727" s="8">
        <v>1.0</v>
      </c>
      <c r="H1727" s="8">
        <v>1.0</v>
      </c>
      <c r="I1727" s="8">
        <v>1.0</v>
      </c>
      <c r="J1727" s="8">
        <v>1.0</v>
      </c>
      <c r="K1727" s="8">
        <v>1.0</v>
      </c>
      <c r="L1727" s="8">
        <v>6.0</v>
      </c>
      <c r="M1727" s="8"/>
      <c r="N1727" s="8"/>
      <c r="O1727" s="8" t="s">
        <v>776</v>
      </c>
      <c r="P1727" s="8" t="e">
        <v>#N/A</v>
      </c>
    </row>
    <row r="1728">
      <c r="A1728">
        <f>IFERROR(__xludf.DUMMYFUNCTION("""COMPUTED_VALUE"""),6.0)</f>
        <v>6</v>
      </c>
      <c r="B1728">
        <f>IFERROR(__xludf.DUMMYFUNCTION("""COMPUTED_VALUE"""),31060.0)</f>
        <v>31060</v>
      </c>
      <c r="C1728" t="str">
        <f>IFERROR(__xludf.DUMMYFUNCTION("""COMPUTED_VALUE"""),"LAVERDE MOLINA, MATIAS")</f>
        <v>LAVERDE MOLINA, MATIAS</v>
      </c>
      <c r="D1728" t="str">
        <f>IFERROR(__xludf.DUMMYFUNCTION("""COMPUTED_VALUE"""),"Spanish 6")</f>
        <v>Spanish 6</v>
      </c>
      <c r="E1728" s="31">
        <f>IFERROR(__xludf.DUMMYFUNCTION("""COMPUTED_VALUE"""),3.0)</f>
        <v>3</v>
      </c>
      <c r="F1728" s="8">
        <v>1.0</v>
      </c>
      <c r="G1728" s="8">
        <v>1.0</v>
      </c>
      <c r="H1728" s="8">
        <v>1.0</v>
      </c>
      <c r="I1728" s="8">
        <v>1.0</v>
      </c>
      <c r="J1728" s="8">
        <v>1.0</v>
      </c>
      <c r="K1728" s="8">
        <v>1.0</v>
      </c>
      <c r="L1728" s="8">
        <v>6.0</v>
      </c>
      <c r="M1728" s="8"/>
      <c r="N1728" s="8"/>
      <c r="O1728" s="8" t="s">
        <v>774</v>
      </c>
      <c r="P1728" s="8">
        <v>6.0</v>
      </c>
    </row>
    <row r="1729">
      <c r="A1729">
        <f>IFERROR(__xludf.DUMMYFUNCTION("""COMPUTED_VALUE"""),6.0)</f>
        <v>6</v>
      </c>
      <c r="B1729">
        <f>IFERROR(__xludf.DUMMYFUNCTION("""COMPUTED_VALUE"""),31062.0)</f>
        <v>31062</v>
      </c>
      <c r="C1729" t="str">
        <f>IFERROR(__xludf.DUMMYFUNCTION("""COMPUTED_VALUE"""),"LEMA GARCIA, MIA")</f>
        <v>LEMA GARCIA, MIA</v>
      </c>
      <c r="D1729" t="str">
        <f>IFERROR(__xludf.DUMMYFUNCTION("""COMPUTED_VALUE"""),"Spanish 6")</f>
        <v>Spanish 6</v>
      </c>
      <c r="E1729" s="31">
        <f>IFERROR(__xludf.DUMMYFUNCTION("""COMPUTED_VALUE"""),4.0)</f>
        <v>4</v>
      </c>
      <c r="F1729" s="8">
        <v>1.0</v>
      </c>
      <c r="G1729" s="8">
        <v>1.0</v>
      </c>
      <c r="H1729" s="8">
        <v>1.0</v>
      </c>
      <c r="I1729" s="8">
        <v>1.0</v>
      </c>
      <c r="J1729" s="8">
        <v>1.0</v>
      </c>
      <c r="K1729" s="8">
        <v>1.0</v>
      </c>
      <c r="L1729" s="8">
        <v>6.0</v>
      </c>
      <c r="M1729" s="8"/>
      <c r="N1729" s="8"/>
      <c r="O1729" s="8" t="s">
        <v>772</v>
      </c>
      <c r="P1729" s="8">
        <v>6.0</v>
      </c>
    </row>
    <row r="1730">
      <c r="A1730">
        <f>IFERROR(__xludf.DUMMYFUNCTION("""COMPUTED_VALUE"""),6.0)</f>
        <v>6</v>
      </c>
      <c r="B1730">
        <f>IFERROR(__xludf.DUMMYFUNCTION("""COMPUTED_VALUE"""),31063.0)</f>
        <v>31063</v>
      </c>
      <c r="C1730" t="str">
        <f>IFERROR(__xludf.DUMMYFUNCTION("""COMPUTED_VALUE"""),"LONDOÑO ARRIOLA, LUCIA")</f>
        <v>LONDOÑO ARRIOLA, LUCIA</v>
      </c>
      <c r="D1730" t="str">
        <f>IFERROR(__xludf.DUMMYFUNCTION("""COMPUTED_VALUE"""),"Spanish 6")</f>
        <v>Spanish 6</v>
      </c>
      <c r="E1730" s="31">
        <f>IFERROR(__xludf.DUMMYFUNCTION("""COMPUTED_VALUE"""),6.0)</f>
        <v>6</v>
      </c>
      <c r="F1730" s="8">
        <v>1.0</v>
      </c>
      <c r="G1730" s="8">
        <v>1.0</v>
      </c>
      <c r="H1730" s="8">
        <v>1.0</v>
      </c>
      <c r="I1730" s="8">
        <v>1.0</v>
      </c>
      <c r="J1730" s="8">
        <v>1.0</v>
      </c>
      <c r="K1730" s="8">
        <v>1.0</v>
      </c>
      <c r="L1730" s="8">
        <v>6.0</v>
      </c>
      <c r="M1730" s="8"/>
      <c r="N1730" s="8"/>
      <c r="O1730" s="8" t="s">
        <v>775</v>
      </c>
      <c r="P1730" s="8">
        <v>6.0</v>
      </c>
    </row>
    <row r="1731">
      <c r="A1731">
        <f>IFERROR(__xludf.DUMMYFUNCTION("""COMPUTED_VALUE"""),6.0)</f>
        <v>6</v>
      </c>
      <c r="B1731">
        <f>IFERROR(__xludf.DUMMYFUNCTION("""COMPUTED_VALUE"""),32076.0)</f>
        <v>32076</v>
      </c>
      <c r="C1731" t="str">
        <f>IFERROR(__xludf.DUMMYFUNCTION("""COMPUTED_VALUE"""),"LONDOÑO BAQUERO, JUAN")</f>
        <v>LONDOÑO BAQUERO, JUAN</v>
      </c>
      <c r="D1731" t="str">
        <f>IFERROR(__xludf.DUMMYFUNCTION("""COMPUTED_VALUE"""),"Spanish 6")</f>
        <v>Spanish 6</v>
      </c>
      <c r="E1731" s="31">
        <f>IFERROR(__xludf.DUMMYFUNCTION("""COMPUTED_VALUE"""),1.0)</f>
        <v>1</v>
      </c>
      <c r="F1731" s="8">
        <v>1.0</v>
      </c>
      <c r="G1731" s="8">
        <v>1.0</v>
      </c>
      <c r="H1731" s="8">
        <v>1.0</v>
      </c>
      <c r="I1731" s="8">
        <v>1.0</v>
      </c>
      <c r="J1731" s="8">
        <v>1.0</v>
      </c>
      <c r="K1731" s="8">
        <v>1.0</v>
      </c>
      <c r="L1731" s="8">
        <v>6.0</v>
      </c>
      <c r="M1731" s="8"/>
      <c r="N1731" s="8"/>
      <c r="O1731" s="8" t="s">
        <v>771</v>
      </c>
      <c r="P1731" s="8">
        <v>6.0</v>
      </c>
    </row>
    <row r="1732">
      <c r="A1732">
        <f>IFERROR(__xludf.DUMMYFUNCTION("""COMPUTED_VALUE"""),6.0)</f>
        <v>6</v>
      </c>
      <c r="B1732">
        <f>IFERROR(__xludf.DUMMYFUNCTION("""COMPUTED_VALUE"""),31064.0)</f>
        <v>31064</v>
      </c>
      <c r="C1732" t="str">
        <f>IFERROR(__xludf.DUMMYFUNCTION("""COMPUTED_VALUE"""),"MARQUEZ BARRERA, LORENZO CAYETANO")</f>
        <v>MARQUEZ BARRERA, LORENZO CAYETANO</v>
      </c>
      <c r="D1732" t="str">
        <f>IFERROR(__xludf.DUMMYFUNCTION("""COMPUTED_VALUE"""),"Spanish 6")</f>
        <v>Spanish 6</v>
      </c>
      <c r="E1732" s="31">
        <f>IFERROR(__xludf.DUMMYFUNCTION("""COMPUTED_VALUE"""),6.0)</f>
        <v>6</v>
      </c>
      <c r="F1732" s="8">
        <v>1.0</v>
      </c>
      <c r="G1732" s="8">
        <v>1.0</v>
      </c>
      <c r="H1732" s="8">
        <v>1.0</v>
      </c>
      <c r="I1732" s="8">
        <v>1.0</v>
      </c>
      <c r="J1732" s="8">
        <v>1.0</v>
      </c>
      <c r="K1732" s="8">
        <v>1.0</v>
      </c>
      <c r="L1732" s="8">
        <v>6.0</v>
      </c>
      <c r="M1732" s="8"/>
      <c r="N1732" s="8"/>
      <c r="O1732" s="8" t="s">
        <v>775</v>
      </c>
      <c r="P1732" s="8">
        <v>6.0</v>
      </c>
    </row>
    <row r="1733">
      <c r="A1733">
        <f>IFERROR(__xludf.DUMMYFUNCTION("""COMPUTED_VALUE"""),6.0)</f>
        <v>6</v>
      </c>
      <c r="B1733">
        <f>IFERROR(__xludf.DUMMYFUNCTION("""COMPUTED_VALUE"""),31065.0)</f>
        <v>31065</v>
      </c>
      <c r="C1733" t="str">
        <f>IFERROR(__xludf.DUMMYFUNCTION("""COMPUTED_VALUE"""),"MARTINEZ UPEGUI, PEDRO")</f>
        <v>MARTINEZ UPEGUI, PEDRO</v>
      </c>
      <c r="D1733" t="str">
        <f>IFERROR(__xludf.DUMMYFUNCTION("""COMPUTED_VALUE"""),"Spanish 6")</f>
        <v>Spanish 6</v>
      </c>
      <c r="E1733" s="31">
        <f>IFERROR(__xludf.DUMMYFUNCTION("""COMPUTED_VALUE"""),1.0)</f>
        <v>1</v>
      </c>
      <c r="F1733" s="8">
        <v>1.0</v>
      </c>
      <c r="G1733" s="8">
        <v>1.0</v>
      </c>
      <c r="H1733" s="8">
        <v>1.0</v>
      </c>
      <c r="I1733" s="8">
        <v>1.0</v>
      </c>
      <c r="J1733" s="8">
        <v>1.0</v>
      </c>
      <c r="K1733" s="8">
        <v>1.0</v>
      </c>
      <c r="L1733" s="8">
        <v>6.0</v>
      </c>
      <c r="M1733" s="8"/>
      <c r="N1733" s="8"/>
      <c r="O1733" s="8" t="s">
        <v>771</v>
      </c>
      <c r="P1733" s="8">
        <v>6.0</v>
      </c>
    </row>
    <row r="1734">
      <c r="A1734">
        <f>IFERROR(__xludf.DUMMYFUNCTION("""COMPUTED_VALUE"""),6.0)</f>
        <v>6</v>
      </c>
      <c r="B1734">
        <f>IFERROR(__xludf.DUMMYFUNCTION("""COMPUTED_VALUE"""),31066.0)</f>
        <v>31066</v>
      </c>
      <c r="C1734" t="str">
        <f>IFERROR(__xludf.DUMMYFUNCTION("""COMPUTED_VALUE"""),"MATALLANA TOBON, ROSARIO")</f>
        <v>MATALLANA TOBON, ROSARIO</v>
      </c>
      <c r="D1734" t="str">
        <f>IFERROR(__xludf.DUMMYFUNCTION("""COMPUTED_VALUE"""),"Spanish 6")</f>
        <v>Spanish 6</v>
      </c>
      <c r="E1734" s="31">
        <f>IFERROR(__xludf.DUMMYFUNCTION("""COMPUTED_VALUE"""),2.0)</f>
        <v>2</v>
      </c>
      <c r="F1734" s="8">
        <v>1.0</v>
      </c>
      <c r="G1734" s="8">
        <v>1.0</v>
      </c>
      <c r="H1734" s="8">
        <v>1.0</v>
      </c>
      <c r="I1734" s="8">
        <v>1.0</v>
      </c>
      <c r="J1734" s="8">
        <v>1.0</v>
      </c>
      <c r="K1734" s="8">
        <v>1.0</v>
      </c>
      <c r="L1734" s="8">
        <v>6.0</v>
      </c>
      <c r="M1734" s="8"/>
      <c r="N1734" s="8"/>
      <c r="O1734" s="8" t="s">
        <v>773</v>
      </c>
      <c r="P1734" s="8">
        <v>6.0</v>
      </c>
    </row>
    <row r="1735">
      <c r="A1735">
        <f>IFERROR(__xludf.DUMMYFUNCTION("""COMPUTED_VALUE"""),6.0)</f>
        <v>6</v>
      </c>
      <c r="B1735">
        <f>IFERROR(__xludf.DUMMYFUNCTION("""COMPUTED_VALUE"""),31067.0)</f>
        <v>31067</v>
      </c>
      <c r="C1735" t="str">
        <f>IFERROR(__xludf.DUMMYFUNCTION("""COMPUTED_VALUE"""),"MAYA BEDOYA, EMILIA")</f>
        <v>MAYA BEDOYA, EMILIA</v>
      </c>
      <c r="D1735" t="str">
        <f>IFERROR(__xludf.DUMMYFUNCTION("""COMPUTED_VALUE"""),"Spanish 6")</f>
        <v>Spanish 6</v>
      </c>
      <c r="E1735" s="31">
        <f>IFERROR(__xludf.DUMMYFUNCTION("""COMPUTED_VALUE"""),6.0)</f>
        <v>6</v>
      </c>
      <c r="F1735" s="8">
        <v>1.0</v>
      </c>
      <c r="G1735" s="8">
        <v>1.0</v>
      </c>
      <c r="H1735" s="8">
        <v>1.0</v>
      </c>
      <c r="I1735" s="8">
        <v>1.0</v>
      </c>
      <c r="J1735" s="8">
        <v>1.0</v>
      </c>
      <c r="K1735" s="8">
        <v>1.0</v>
      </c>
      <c r="L1735" s="8">
        <v>6.0</v>
      </c>
      <c r="M1735" s="8"/>
      <c r="N1735" s="8"/>
      <c r="O1735" s="8" t="s">
        <v>775</v>
      </c>
      <c r="P1735" s="8">
        <v>6.0</v>
      </c>
    </row>
    <row r="1736">
      <c r="A1736">
        <f>IFERROR(__xludf.DUMMYFUNCTION("""COMPUTED_VALUE"""),6.0)</f>
        <v>6</v>
      </c>
      <c r="B1736">
        <f>IFERROR(__xludf.DUMMYFUNCTION("""COMPUTED_VALUE"""),31149.0)</f>
        <v>31149</v>
      </c>
      <c r="C1736" t="str">
        <f>IFERROR(__xludf.DUMMYFUNCTION("""COMPUTED_VALUE"""),"MAZO DIAZ, ANTONIO")</f>
        <v>MAZO DIAZ, ANTONIO</v>
      </c>
      <c r="D1736" t="str">
        <f>IFERROR(__xludf.DUMMYFUNCTION("""COMPUTED_VALUE"""),"Spanish 6")</f>
        <v>Spanish 6</v>
      </c>
      <c r="E1736" s="31">
        <f>IFERROR(__xludf.DUMMYFUNCTION("""COMPUTED_VALUE"""),4.0)</f>
        <v>4</v>
      </c>
      <c r="F1736" s="8">
        <v>1.0</v>
      </c>
      <c r="G1736" s="8">
        <v>1.0</v>
      </c>
      <c r="H1736" s="8">
        <v>1.0</v>
      </c>
      <c r="I1736" s="8">
        <v>1.0</v>
      </c>
      <c r="J1736" s="8">
        <v>1.0</v>
      </c>
      <c r="K1736" s="8">
        <v>1.0</v>
      </c>
      <c r="L1736" s="8">
        <v>6.0</v>
      </c>
      <c r="M1736" s="8"/>
      <c r="N1736" s="8"/>
      <c r="O1736" s="8" t="s">
        <v>772</v>
      </c>
      <c r="P1736" s="8">
        <v>6.0</v>
      </c>
    </row>
    <row r="1737">
      <c r="A1737">
        <f>IFERROR(__xludf.DUMMYFUNCTION("""COMPUTED_VALUE"""),6.0)</f>
        <v>6</v>
      </c>
      <c r="B1737">
        <f>IFERROR(__xludf.DUMMYFUNCTION("""COMPUTED_VALUE"""),31164.0)</f>
        <v>31164</v>
      </c>
      <c r="C1737" t="str">
        <f>IFERROR(__xludf.DUMMYFUNCTION("""COMPUTED_VALUE"""),"MCGARGHAN, RHYS LEIGH-ANNA")</f>
        <v>MCGARGHAN, RHYS LEIGH-ANNA</v>
      </c>
      <c r="D1737" t="str">
        <f>IFERROR(__xludf.DUMMYFUNCTION("""COMPUTED_VALUE"""),"SAL")</f>
        <v>SAL</v>
      </c>
      <c r="E1737" s="31">
        <f>IFERROR(__xludf.DUMMYFUNCTION("""COMPUTED_VALUE"""),2.0)</f>
        <v>2</v>
      </c>
      <c r="F1737" s="8">
        <v>1.0</v>
      </c>
      <c r="G1737" s="8">
        <v>1.0</v>
      </c>
      <c r="H1737" s="8">
        <v>1.0</v>
      </c>
      <c r="I1737" s="8">
        <v>1.0</v>
      </c>
      <c r="J1737" s="8">
        <v>1.0</v>
      </c>
      <c r="K1737" s="8">
        <v>1.0</v>
      </c>
      <c r="L1737" s="8">
        <v>6.0</v>
      </c>
      <c r="M1737" s="8"/>
      <c r="N1737" s="8"/>
      <c r="O1737" s="8" t="s">
        <v>777</v>
      </c>
      <c r="P1737" s="8" t="e">
        <v>#N/A</v>
      </c>
    </row>
    <row r="1738">
      <c r="A1738">
        <f>IFERROR(__xludf.DUMMYFUNCTION("""COMPUTED_VALUE"""),6.0)</f>
        <v>6</v>
      </c>
      <c r="B1738">
        <f>IFERROR(__xludf.DUMMYFUNCTION("""COMPUTED_VALUE"""),31070.0)</f>
        <v>31070</v>
      </c>
      <c r="C1738" t="str">
        <f>IFERROR(__xludf.DUMMYFUNCTION("""COMPUTED_VALUE"""),"MEJIA GALLEGO, MARTIN")</f>
        <v>MEJIA GALLEGO, MARTIN</v>
      </c>
      <c r="D1738" t="str">
        <f>IFERROR(__xludf.DUMMYFUNCTION("""COMPUTED_VALUE"""),"Spanish 6")</f>
        <v>Spanish 6</v>
      </c>
      <c r="E1738" s="31">
        <f>IFERROR(__xludf.DUMMYFUNCTION("""COMPUTED_VALUE"""),3.0)</f>
        <v>3</v>
      </c>
      <c r="F1738" s="8">
        <v>1.0</v>
      </c>
      <c r="G1738" s="8">
        <v>1.0</v>
      </c>
      <c r="H1738" s="8">
        <v>1.0</v>
      </c>
      <c r="I1738" s="8">
        <v>1.0</v>
      </c>
      <c r="J1738" s="8">
        <v>1.0</v>
      </c>
      <c r="K1738" s="8">
        <v>1.0</v>
      </c>
      <c r="L1738" s="8">
        <v>6.0</v>
      </c>
      <c r="M1738" s="8"/>
      <c r="N1738" s="8"/>
      <c r="O1738" s="8" t="s">
        <v>774</v>
      </c>
      <c r="P1738" s="8">
        <v>6.0</v>
      </c>
    </row>
    <row r="1739">
      <c r="A1739">
        <f>IFERROR(__xludf.DUMMYFUNCTION("""COMPUTED_VALUE"""),6.0)</f>
        <v>6</v>
      </c>
      <c r="B1739">
        <f>IFERROR(__xludf.DUMMYFUNCTION("""COMPUTED_VALUE"""),31071.0)</f>
        <v>31071</v>
      </c>
      <c r="C1739" t="str">
        <f>IFERROR(__xludf.DUMMYFUNCTION("""COMPUTED_VALUE"""),"MEJIA TORO, MIGUEL")</f>
        <v>MEJIA TORO, MIGUEL</v>
      </c>
      <c r="D1739" t="str">
        <f>IFERROR(__xludf.DUMMYFUNCTION("""COMPUTED_VALUE"""),"Spanish 6")</f>
        <v>Spanish 6</v>
      </c>
      <c r="E1739" s="31">
        <f>IFERROR(__xludf.DUMMYFUNCTION("""COMPUTED_VALUE"""),6.0)</f>
        <v>6</v>
      </c>
      <c r="F1739" s="8">
        <v>1.0</v>
      </c>
      <c r="G1739" s="8">
        <v>1.0</v>
      </c>
      <c r="H1739" s="8">
        <v>1.0</v>
      </c>
      <c r="I1739" s="8">
        <v>1.0</v>
      </c>
      <c r="J1739" s="8">
        <v>1.0</v>
      </c>
      <c r="K1739" s="8">
        <v>1.0</v>
      </c>
      <c r="L1739" s="8">
        <v>6.0</v>
      </c>
      <c r="M1739" s="8"/>
      <c r="N1739" s="8"/>
      <c r="O1739" s="8" t="s">
        <v>775</v>
      </c>
      <c r="P1739" s="8">
        <v>6.0</v>
      </c>
    </row>
    <row r="1740">
      <c r="A1740">
        <f>IFERROR(__xludf.DUMMYFUNCTION("""COMPUTED_VALUE"""),6.0)</f>
        <v>6</v>
      </c>
      <c r="B1740">
        <f>IFERROR(__xludf.DUMMYFUNCTION("""COMPUTED_VALUE"""),31072.0)</f>
        <v>31072</v>
      </c>
      <c r="C1740" t="str">
        <f>IFERROR(__xludf.DUMMYFUNCTION("""COMPUTED_VALUE"""),"MEJIA VELEZ, ABRIL")</f>
        <v>MEJIA VELEZ, ABRIL</v>
      </c>
      <c r="D1740" t="str">
        <f>IFERROR(__xludf.DUMMYFUNCTION("""COMPUTED_VALUE"""),"Spanish 6")</f>
        <v>Spanish 6</v>
      </c>
      <c r="E1740" s="31">
        <f>IFERROR(__xludf.DUMMYFUNCTION("""COMPUTED_VALUE"""),1.0)</f>
        <v>1</v>
      </c>
      <c r="F1740" s="8">
        <v>1.0</v>
      </c>
      <c r="G1740" s="8">
        <v>1.0</v>
      </c>
      <c r="H1740" s="8">
        <v>1.0</v>
      </c>
      <c r="I1740" s="8">
        <v>1.0</v>
      </c>
      <c r="J1740" s="8">
        <v>1.0</v>
      </c>
      <c r="K1740" s="8">
        <v>1.0</v>
      </c>
      <c r="L1740" s="8">
        <v>6.0</v>
      </c>
      <c r="M1740" s="8"/>
      <c r="N1740" s="8"/>
      <c r="O1740" s="8" t="s">
        <v>771</v>
      </c>
      <c r="P1740" s="8">
        <v>6.0</v>
      </c>
    </row>
    <row r="1741">
      <c r="A1741">
        <f>IFERROR(__xludf.DUMMYFUNCTION("""COMPUTED_VALUE"""),6.0)</f>
        <v>6</v>
      </c>
      <c r="B1741">
        <f>IFERROR(__xludf.DUMMYFUNCTION("""COMPUTED_VALUE"""),31157.0)</f>
        <v>31157</v>
      </c>
      <c r="C1741" t="str">
        <f>IFERROR(__xludf.DUMMYFUNCTION("""COMPUTED_VALUE"""),"MILLAN HUERTAS, EMILIANO")</f>
        <v>MILLAN HUERTAS, EMILIANO</v>
      </c>
      <c r="D1741" t="str">
        <f>IFERROR(__xludf.DUMMYFUNCTION("""COMPUTED_VALUE"""),"Spanish 6")</f>
        <v>Spanish 6</v>
      </c>
      <c r="E1741" s="31">
        <f>IFERROR(__xludf.DUMMYFUNCTION("""COMPUTED_VALUE"""),3.0)</f>
        <v>3</v>
      </c>
      <c r="F1741" s="8">
        <v>1.0</v>
      </c>
      <c r="G1741" s="8">
        <v>1.0</v>
      </c>
      <c r="H1741" s="8">
        <v>1.0</v>
      </c>
      <c r="I1741" s="8">
        <v>1.0</v>
      </c>
      <c r="J1741" s="8">
        <v>1.0</v>
      </c>
      <c r="K1741" s="8">
        <v>1.0</v>
      </c>
      <c r="L1741" s="8">
        <v>6.0</v>
      </c>
      <c r="M1741" s="8"/>
      <c r="N1741" s="8"/>
      <c r="O1741" s="8" t="s">
        <v>774</v>
      </c>
      <c r="P1741" s="8">
        <v>6.0</v>
      </c>
    </row>
    <row r="1742">
      <c r="A1742">
        <f>IFERROR(__xludf.DUMMYFUNCTION("""COMPUTED_VALUE"""),6.0)</f>
        <v>6</v>
      </c>
      <c r="B1742">
        <f>IFERROR(__xludf.DUMMYFUNCTION("""COMPUTED_VALUE"""),31073.0)</f>
        <v>31073</v>
      </c>
      <c r="C1742" t="str">
        <f>IFERROR(__xludf.DUMMYFUNCTION("""COMPUTED_VALUE"""),"MISAS MESA, RAFAEL")</f>
        <v>MISAS MESA, RAFAEL</v>
      </c>
      <c r="D1742" t="str">
        <f>IFERROR(__xludf.DUMMYFUNCTION("""COMPUTED_VALUE"""),"Spanish 6")</f>
        <v>Spanish 6</v>
      </c>
      <c r="E1742" s="31">
        <f>IFERROR(__xludf.DUMMYFUNCTION("""COMPUTED_VALUE"""),2.0)</f>
        <v>2</v>
      </c>
      <c r="F1742" s="8">
        <v>1.0</v>
      </c>
      <c r="G1742" s="8">
        <v>1.0</v>
      </c>
      <c r="H1742" s="8">
        <v>1.0</v>
      </c>
      <c r="I1742" s="8">
        <v>1.0</v>
      </c>
      <c r="J1742" s="8">
        <v>1.0</v>
      </c>
      <c r="K1742" s="8">
        <v>1.0</v>
      </c>
      <c r="L1742" s="8">
        <v>6.0</v>
      </c>
      <c r="M1742" s="8"/>
      <c r="N1742" s="8"/>
      <c r="O1742" s="8" t="s">
        <v>773</v>
      </c>
      <c r="P1742" s="8">
        <v>6.0</v>
      </c>
    </row>
    <row r="1743">
      <c r="A1743">
        <f>IFERROR(__xludf.DUMMYFUNCTION("""COMPUTED_VALUE"""),6.0)</f>
        <v>6</v>
      </c>
      <c r="B1743">
        <f>IFERROR(__xludf.DUMMYFUNCTION("""COMPUTED_VALUE"""),31074.0)</f>
        <v>31074</v>
      </c>
      <c r="C1743" t="str">
        <f>IFERROR(__xludf.DUMMYFUNCTION("""COMPUTED_VALUE"""),"MONTOYA BERNAL, FELIPE")</f>
        <v>MONTOYA BERNAL, FELIPE</v>
      </c>
      <c r="D1743" t="str">
        <f>IFERROR(__xludf.DUMMYFUNCTION("""COMPUTED_VALUE"""),"Spanish 6")</f>
        <v>Spanish 6</v>
      </c>
      <c r="E1743" s="31">
        <f>IFERROR(__xludf.DUMMYFUNCTION("""COMPUTED_VALUE"""),2.0)</f>
        <v>2</v>
      </c>
      <c r="F1743" s="8">
        <v>1.0</v>
      </c>
      <c r="G1743" s="8">
        <v>1.0</v>
      </c>
      <c r="H1743" s="8">
        <v>1.0</v>
      </c>
      <c r="I1743" s="8">
        <v>1.0</v>
      </c>
      <c r="J1743" s="8">
        <v>1.0</v>
      </c>
      <c r="K1743" s="8">
        <v>1.0</v>
      </c>
      <c r="L1743" s="8">
        <v>6.0</v>
      </c>
      <c r="M1743" s="8"/>
      <c r="N1743" s="8"/>
      <c r="O1743" s="8" t="s">
        <v>773</v>
      </c>
      <c r="P1743" s="8">
        <v>6.0</v>
      </c>
    </row>
    <row r="1744">
      <c r="A1744">
        <f>IFERROR(__xludf.DUMMYFUNCTION("""COMPUTED_VALUE"""),6.0)</f>
        <v>6</v>
      </c>
      <c r="B1744">
        <f>IFERROR(__xludf.DUMMYFUNCTION("""COMPUTED_VALUE"""),31075.0)</f>
        <v>31075</v>
      </c>
      <c r="C1744" t="str">
        <f>IFERROR(__xludf.DUMMYFUNCTION("""COMPUTED_VALUE"""),"MORENO MORENO, CARLOTA")</f>
        <v>MORENO MORENO, CARLOTA</v>
      </c>
      <c r="D1744" t="str">
        <f>IFERROR(__xludf.DUMMYFUNCTION("""COMPUTED_VALUE"""),"Spanish 6")</f>
        <v>Spanish 6</v>
      </c>
      <c r="E1744" s="31">
        <f>IFERROR(__xludf.DUMMYFUNCTION("""COMPUTED_VALUE"""),6.0)</f>
        <v>6</v>
      </c>
      <c r="F1744" s="8">
        <v>1.0</v>
      </c>
      <c r="G1744" s="8">
        <v>1.0</v>
      </c>
      <c r="H1744" s="8">
        <v>1.0</v>
      </c>
      <c r="I1744" s="8">
        <v>1.0</v>
      </c>
      <c r="J1744" s="8">
        <v>1.0</v>
      </c>
      <c r="K1744" s="8">
        <v>1.0</v>
      </c>
      <c r="L1744" s="8">
        <v>6.0</v>
      </c>
      <c r="M1744" s="8"/>
      <c r="N1744" s="8"/>
      <c r="O1744" s="8" t="s">
        <v>775</v>
      </c>
      <c r="P1744" s="8">
        <v>6.0</v>
      </c>
    </row>
    <row r="1745">
      <c r="A1745">
        <f>IFERROR(__xludf.DUMMYFUNCTION("""COMPUTED_VALUE"""),6.0)</f>
        <v>6</v>
      </c>
      <c r="B1745">
        <f>IFERROR(__xludf.DUMMYFUNCTION("""COMPUTED_VALUE"""),31076.0)</f>
        <v>31076</v>
      </c>
      <c r="C1745" t="str">
        <f>IFERROR(__xludf.DUMMYFUNCTION("""COMPUTED_VALUE"""),"MORENO PALACIO, SIMON")</f>
        <v>MORENO PALACIO, SIMON</v>
      </c>
      <c r="D1745" t="str">
        <f>IFERROR(__xludf.DUMMYFUNCTION("""COMPUTED_VALUE"""),"Spanish 6")</f>
        <v>Spanish 6</v>
      </c>
      <c r="E1745" s="31">
        <f>IFERROR(__xludf.DUMMYFUNCTION("""COMPUTED_VALUE"""),3.0)</f>
        <v>3</v>
      </c>
      <c r="F1745" s="8">
        <v>1.0</v>
      </c>
      <c r="G1745" s="8">
        <v>1.0</v>
      </c>
      <c r="H1745" s="8">
        <v>1.0</v>
      </c>
      <c r="I1745" s="8">
        <v>1.0</v>
      </c>
      <c r="J1745" s="8">
        <v>1.0</v>
      </c>
      <c r="K1745" s="8">
        <v>1.0</v>
      </c>
      <c r="L1745" s="8">
        <v>6.0</v>
      </c>
      <c r="M1745" s="8"/>
      <c r="N1745" s="8"/>
      <c r="O1745" s="8" t="s">
        <v>774</v>
      </c>
      <c r="P1745" s="8">
        <v>6.0</v>
      </c>
    </row>
    <row r="1746">
      <c r="A1746">
        <f>IFERROR(__xludf.DUMMYFUNCTION("""COMPUTED_VALUE"""),6.0)</f>
        <v>6</v>
      </c>
      <c r="B1746">
        <f>IFERROR(__xludf.DUMMYFUNCTION("""COMPUTED_VALUE"""),31077.0)</f>
        <v>31077</v>
      </c>
      <c r="C1746" t="str">
        <f>IFERROR(__xludf.DUMMYFUNCTION("""COMPUTED_VALUE"""),"MUÑOZ JARAMILLO, MARIANA")</f>
        <v>MUÑOZ JARAMILLO, MARIANA</v>
      </c>
      <c r="D1746" t="str">
        <f>IFERROR(__xludf.DUMMYFUNCTION("""COMPUTED_VALUE"""),"Spanish 6")</f>
        <v>Spanish 6</v>
      </c>
      <c r="E1746" s="31">
        <f>IFERROR(__xludf.DUMMYFUNCTION("""COMPUTED_VALUE"""),1.0)</f>
        <v>1</v>
      </c>
      <c r="F1746" s="8">
        <v>1.0</v>
      </c>
      <c r="G1746" s="8">
        <v>1.0</v>
      </c>
      <c r="H1746" s="8">
        <v>1.0</v>
      </c>
      <c r="I1746" s="8">
        <v>1.0</v>
      </c>
      <c r="J1746" s="8">
        <v>1.0</v>
      </c>
      <c r="K1746" s="8">
        <v>1.0</v>
      </c>
      <c r="L1746" s="8">
        <v>6.0</v>
      </c>
      <c r="M1746" s="8"/>
      <c r="N1746" s="8"/>
      <c r="O1746" s="8" t="s">
        <v>771</v>
      </c>
      <c r="P1746" s="8">
        <v>6.0</v>
      </c>
    </row>
    <row r="1747">
      <c r="A1747">
        <f>IFERROR(__xludf.DUMMYFUNCTION("""COMPUTED_VALUE"""),6.0)</f>
        <v>6</v>
      </c>
      <c r="B1747">
        <f>IFERROR(__xludf.DUMMYFUNCTION("""COMPUTED_VALUE"""),31078.0)</f>
        <v>31078</v>
      </c>
      <c r="C1747" t="str">
        <f>IFERROR(__xludf.DUMMYFUNCTION("""COMPUTED_VALUE"""),"NAVARRO ABAD, FERNANDA")</f>
        <v>NAVARRO ABAD, FERNANDA</v>
      </c>
      <c r="D1747" t="str">
        <f>IFERROR(__xludf.DUMMYFUNCTION("""COMPUTED_VALUE"""),"Spanish 6A")</f>
        <v>Spanish 6A</v>
      </c>
      <c r="E1747" s="31">
        <f>IFERROR(__xludf.DUMMYFUNCTION("""COMPUTED_VALUE"""),4.0)</f>
        <v>4</v>
      </c>
      <c r="F1747" s="8">
        <v>1.0</v>
      </c>
      <c r="G1747" s="8">
        <v>1.0</v>
      </c>
      <c r="H1747" s="8">
        <v>1.0</v>
      </c>
      <c r="I1747" s="8">
        <v>1.0</v>
      </c>
      <c r="J1747" s="8">
        <v>1.0</v>
      </c>
      <c r="K1747" s="8">
        <v>1.0</v>
      </c>
      <c r="L1747" s="8">
        <v>6.0</v>
      </c>
      <c r="M1747" s="8"/>
      <c r="N1747" s="8"/>
      <c r="O1747" s="8" t="s">
        <v>776</v>
      </c>
      <c r="P1747" s="8" t="e">
        <v>#N/A</v>
      </c>
    </row>
    <row r="1748">
      <c r="A1748">
        <f>IFERROR(__xludf.DUMMYFUNCTION("""COMPUTED_VALUE"""),6.0)</f>
        <v>6</v>
      </c>
      <c r="B1748">
        <f>IFERROR(__xludf.DUMMYFUNCTION("""COMPUTED_VALUE"""),31079.0)</f>
        <v>31079</v>
      </c>
      <c r="C1748" t="str">
        <f>IFERROR(__xludf.DUMMYFUNCTION("""COMPUTED_VALUE"""),"OBERTI FRANCO, LINDA")</f>
        <v>OBERTI FRANCO, LINDA</v>
      </c>
      <c r="D1748" t="str">
        <f>IFERROR(__xludf.DUMMYFUNCTION("""COMPUTED_VALUE"""),"Spanish 6")</f>
        <v>Spanish 6</v>
      </c>
      <c r="E1748" s="31">
        <f>IFERROR(__xludf.DUMMYFUNCTION("""COMPUTED_VALUE"""),4.0)</f>
        <v>4</v>
      </c>
      <c r="F1748" s="8">
        <v>1.0</v>
      </c>
      <c r="G1748" s="8">
        <v>1.0</v>
      </c>
      <c r="H1748" s="8">
        <v>1.0</v>
      </c>
      <c r="I1748" s="8">
        <v>1.0</v>
      </c>
      <c r="J1748" s="8">
        <v>1.0</v>
      </c>
      <c r="K1748" s="8">
        <v>1.0</v>
      </c>
      <c r="L1748" s="8">
        <v>6.0</v>
      </c>
      <c r="M1748" s="8"/>
      <c r="N1748" s="8"/>
      <c r="O1748" s="8" t="s">
        <v>772</v>
      </c>
      <c r="P1748" s="8">
        <v>6.0</v>
      </c>
    </row>
    <row r="1749">
      <c r="A1749">
        <f>IFERROR(__xludf.DUMMYFUNCTION("""COMPUTED_VALUE"""),6.0)</f>
        <v>6</v>
      </c>
      <c r="B1749">
        <f>IFERROR(__xludf.DUMMYFUNCTION("""COMPUTED_VALUE"""),31080.0)</f>
        <v>31080</v>
      </c>
      <c r="C1749" t="str">
        <f>IFERROR(__xludf.DUMMYFUNCTION("""COMPUTED_VALUE"""),"OCAMPO CEBALLOS, RAFAEL")</f>
        <v>OCAMPO CEBALLOS, RAFAEL</v>
      </c>
      <c r="D1749" t="str">
        <f>IFERROR(__xludf.DUMMYFUNCTION("""COMPUTED_VALUE"""),"Spanish 6")</f>
        <v>Spanish 6</v>
      </c>
      <c r="E1749" s="31">
        <f>IFERROR(__xludf.DUMMYFUNCTION("""COMPUTED_VALUE"""),6.0)</f>
        <v>6</v>
      </c>
      <c r="F1749" s="8">
        <v>1.0</v>
      </c>
      <c r="G1749" s="8">
        <v>1.0</v>
      </c>
      <c r="H1749" s="8">
        <v>1.0</v>
      </c>
      <c r="I1749" s="8">
        <v>1.0</v>
      </c>
      <c r="J1749" s="8">
        <v>1.0</v>
      </c>
      <c r="K1749" s="8">
        <v>1.0</v>
      </c>
      <c r="L1749" s="8">
        <v>6.0</v>
      </c>
      <c r="M1749" s="8"/>
      <c r="N1749" s="8"/>
      <c r="O1749" s="8" t="s">
        <v>775</v>
      </c>
      <c r="P1749" s="8">
        <v>6.0</v>
      </c>
    </row>
    <row r="1750">
      <c r="A1750">
        <f>IFERROR(__xludf.DUMMYFUNCTION("""COMPUTED_VALUE"""),6.0)</f>
        <v>6</v>
      </c>
      <c r="B1750">
        <f>IFERROR(__xludf.DUMMYFUNCTION("""COMPUTED_VALUE"""),31081.0)</f>
        <v>31081</v>
      </c>
      <c r="C1750" t="str">
        <f>IFERROR(__xludf.DUMMYFUNCTION("""COMPUTED_VALUE"""),"OROZCO MONTOYA, MARTINA")</f>
        <v>OROZCO MONTOYA, MARTINA</v>
      </c>
      <c r="D1750" t="str">
        <f>IFERROR(__xludf.DUMMYFUNCTION("""COMPUTED_VALUE"""),"Spanish 6")</f>
        <v>Spanish 6</v>
      </c>
      <c r="E1750" s="31">
        <f>IFERROR(__xludf.DUMMYFUNCTION("""COMPUTED_VALUE"""),6.0)</f>
        <v>6</v>
      </c>
      <c r="F1750" s="8">
        <v>1.0</v>
      </c>
      <c r="G1750" s="8">
        <v>1.0</v>
      </c>
      <c r="H1750" s="8">
        <v>1.0</v>
      </c>
      <c r="I1750" s="8">
        <v>1.0</v>
      </c>
      <c r="J1750" s="8">
        <v>1.0</v>
      </c>
      <c r="K1750" s="8">
        <v>1.0</v>
      </c>
      <c r="L1750" s="8">
        <v>6.0</v>
      </c>
      <c r="M1750" s="8"/>
      <c r="N1750" s="8"/>
      <c r="O1750" s="8" t="s">
        <v>775</v>
      </c>
      <c r="P1750" s="8">
        <v>6.0</v>
      </c>
    </row>
    <row r="1751">
      <c r="A1751">
        <f>IFERROR(__xludf.DUMMYFUNCTION("""COMPUTED_VALUE"""),6.0)</f>
        <v>6</v>
      </c>
      <c r="B1751">
        <f>IFERROR(__xludf.DUMMYFUNCTION("""COMPUTED_VALUE"""),31082.0)</f>
        <v>31082</v>
      </c>
      <c r="C1751" t="str">
        <f>IFERROR(__xludf.DUMMYFUNCTION("""COMPUTED_VALUE"""),"ORTIZ MOLINA, MARTINA")</f>
        <v>ORTIZ MOLINA, MARTINA</v>
      </c>
      <c r="D1751" t="str">
        <f>IFERROR(__xludf.DUMMYFUNCTION("""COMPUTED_VALUE"""),"Spanish 6")</f>
        <v>Spanish 6</v>
      </c>
      <c r="E1751" s="31">
        <f>IFERROR(__xludf.DUMMYFUNCTION("""COMPUTED_VALUE"""),6.0)</f>
        <v>6</v>
      </c>
      <c r="F1751" s="8">
        <v>1.0</v>
      </c>
      <c r="G1751" s="8">
        <v>1.0</v>
      </c>
      <c r="H1751" s="8">
        <v>1.0</v>
      </c>
      <c r="I1751" s="8">
        <v>1.0</v>
      </c>
      <c r="J1751" s="8">
        <v>1.0</v>
      </c>
      <c r="K1751" s="8">
        <v>1.0</v>
      </c>
      <c r="L1751" s="8">
        <v>6.0</v>
      </c>
      <c r="M1751" s="8"/>
      <c r="N1751" s="8"/>
      <c r="O1751" s="8" t="s">
        <v>775</v>
      </c>
      <c r="P1751" s="8">
        <v>6.0</v>
      </c>
    </row>
    <row r="1752">
      <c r="A1752">
        <f>IFERROR(__xludf.DUMMYFUNCTION("""COMPUTED_VALUE"""),6.0)</f>
        <v>6</v>
      </c>
      <c r="B1752">
        <f>IFERROR(__xludf.DUMMYFUNCTION("""COMPUTED_VALUE"""),31083.0)</f>
        <v>31083</v>
      </c>
      <c r="C1752" t="str">
        <f>IFERROR(__xludf.DUMMYFUNCTION("""COMPUTED_VALUE"""),"OSORIO GARCIA, JERONIMO")</f>
        <v>OSORIO GARCIA, JERONIMO</v>
      </c>
      <c r="D1752" t="str">
        <f>IFERROR(__xludf.DUMMYFUNCTION("""COMPUTED_VALUE"""),"Spanish 6")</f>
        <v>Spanish 6</v>
      </c>
      <c r="E1752" s="31">
        <f>IFERROR(__xludf.DUMMYFUNCTION("""COMPUTED_VALUE"""),4.0)</f>
        <v>4</v>
      </c>
      <c r="F1752" s="8">
        <v>1.0</v>
      </c>
      <c r="G1752" s="8">
        <v>1.0</v>
      </c>
      <c r="H1752" s="8">
        <v>1.0</v>
      </c>
      <c r="I1752" s="8">
        <v>1.0</v>
      </c>
      <c r="J1752" s="8">
        <v>1.0</v>
      </c>
      <c r="K1752" s="8">
        <v>1.0</v>
      </c>
      <c r="L1752" s="8">
        <v>6.0</v>
      </c>
      <c r="M1752" s="8"/>
      <c r="N1752" s="8"/>
      <c r="O1752" s="8" t="s">
        <v>772</v>
      </c>
      <c r="P1752" s="8">
        <v>6.0</v>
      </c>
    </row>
    <row r="1753">
      <c r="A1753">
        <f>IFERROR(__xludf.DUMMYFUNCTION("""COMPUTED_VALUE"""),6.0)</f>
        <v>6</v>
      </c>
      <c r="B1753">
        <f>IFERROR(__xludf.DUMMYFUNCTION("""COMPUTED_VALUE"""),31084.0)</f>
        <v>31084</v>
      </c>
      <c r="C1753" t="str">
        <f>IFERROR(__xludf.DUMMYFUNCTION("""COMPUTED_VALUE"""),"OSORIO MARIN, GABRIELA")</f>
        <v>OSORIO MARIN, GABRIELA</v>
      </c>
      <c r="D1753" t="str">
        <f>IFERROR(__xludf.DUMMYFUNCTION("""COMPUTED_VALUE"""),"Spanish 6")</f>
        <v>Spanish 6</v>
      </c>
      <c r="E1753" s="31">
        <f>IFERROR(__xludf.DUMMYFUNCTION("""COMPUTED_VALUE"""),1.0)</f>
        <v>1</v>
      </c>
      <c r="F1753" s="8">
        <v>1.0</v>
      </c>
      <c r="G1753" s="8">
        <v>1.0</v>
      </c>
      <c r="H1753" s="8">
        <v>1.0</v>
      </c>
      <c r="I1753" s="8">
        <v>1.0</v>
      </c>
      <c r="J1753" s="8">
        <v>1.0</v>
      </c>
      <c r="K1753" s="8">
        <v>1.0</v>
      </c>
      <c r="L1753" s="8">
        <v>6.0</v>
      </c>
      <c r="M1753" s="8"/>
      <c r="N1753" s="8"/>
      <c r="O1753" s="8" t="s">
        <v>771</v>
      </c>
      <c r="P1753" s="8">
        <v>6.0</v>
      </c>
    </row>
    <row r="1754">
      <c r="A1754">
        <f>IFERROR(__xludf.DUMMYFUNCTION("""COMPUTED_VALUE"""),6.0)</f>
        <v>6</v>
      </c>
      <c r="B1754">
        <f>IFERROR(__xludf.DUMMYFUNCTION("""COMPUTED_VALUE"""),31085.0)</f>
        <v>31085</v>
      </c>
      <c r="C1754" t="str">
        <f>IFERROR(__xludf.DUMMYFUNCTION("""COMPUTED_VALUE"""),"OSORIO QUINTERO, SALOME")</f>
        <v>OSORIO QUINTERO, SALOME</v>
      </c>
      <c r="D1754" t="str">
        <f>IFERROR(__xludf.DUMMYFUNCTION("""COMPUTED_VALUE"""),"Spanish 6A")</f>
        <v>Spanish 6A</v>
      </c>
      <c r="E1754" s="31">
        <f>IFERROR(__xludf.DUMMYFUNCTION("""COMPUTED_VALUE"""),4.0)</f>
        <v>4</v>
      </c>
      <c r="F1754" s="8">
        <v>1.0</v>
      </c>
      <c r="G1754" s="8">
        <v>1.0</v>
      </c>
      <c r="H1754" s="8">
        <v>1.0</v>
      </c>
      <c r="I1754" s="8">
        <v>1.0</v>
      </c>
      <c r="J1754" s="8">
        <v>1.0</v>
      </c>
      <c r="K1754" s="8">
        <v>1.0</v>
      </c>
      <c r="L1754" s="8">
        <v>6.0</v>
      </c>
      <c r="M1754" s="8"/>
      <c r="N1754" s="8"/>
      <c r="O1754" s="8" t="s">
        <v>776</v>
      </c>
      <c r="P1754" s="8" t="e">
        <v>#N/A</v>
      </c>
    </row>
    <row r="1755">
      <c r="A1755">
        <f>IFERROR(__xludf.DUMMYFUNCTION("""COMPUTED_VALUE"""),6.0)</f>
        <v>6</v>
      </c>
      <c r="B1755">
        <f>IFERROR(__xludf.DUMMYFUNCTION("""COMPUTED_VALUE"""),31158.0)</f>
        <v>31158</v>
      </c>
      <c r="C1755" t="str">
        <f>IFERROR(__xludf.DUMMYFUNCTION("""COMPUTED_VALUE"""),"OSORIO RUIZ, AMELIA")</f>
        <v>OSORIO RUIZ, AMELIA</v>
      </c>
      <c r="D1755" t="str">
        <f>IFERROR(__xludf.DUMMYFUNCTION("""COMPUTED_VALUE"""),"Spanish 6A")</f>
        <v>Spanish 6A</v>
      </c>
      <c r="E1755" s="31">
        <f>IFERROR(__xludf.DUMMYFUNCTION("""COMPUTED_VALUE"""),4.0)</f>
        <v>4</v>
      </c>
      <c r="F1755" s="8">
        <v>1.0</v>
      </c>
      <c r="G1755" s="8">
        <v>1.0</v>
      </c>
      <c r="H1755" s="8">
        <v>1.0</v>
      </c>
      <c r="I1755" s="8">
        <v>1.0</v>
      </c>
      <c r="J1755" s="8">
        <v>1.0</v>
      </c>
      <c r="K1755" s="8">
        <v>1.0</v>
      </c>
      <c r="L1755" s="8">
        <v>6.0</v>
      </c>
      <c r="M1755" s="8"/>
      <c r="N1755" s="8"/>
      <c r="O1755" s="8" t="s">
        <v>776</v>
      </c>
      <c r="P1755" s="8" t="e">
        <v>#N/A</v>
      </c>
    </row>
    <row r="1756">
      <c r="A1756">
        <f>IFERROR(__xludf.DUMMYFUNCTION("""COMPUTED_VALUE"""),6.0)</f>
        <v>6</v>
      </c>
      <c r="B1756">
        <f>IFERROR(__xludf.DUMMYFUNCTION("""COMPUTED_VALUE"""),31086.0)</f>
        <v>31086</v>
      </c>
      <c r="C1756" t="str">
        <f>IFERROR(__xludf.DUMMYFUNCTION("""COMPUTED_VALUE"""),"PATERNINA SALDARRIAGA, SOFIA")</f>
        <v>PATERNINA SALDARRIAGA, SOFIA</v>
      </c>
      <c r="D1756" t="str">
        <f>IFERROR(__xludf.DUMMYFUNCTION("""COMPUTED_VALUE"""),"Spanish 6")</f>
        <v>Spanish 6</v>
      </c>
      <c r="E1756" s="31">
        <f>IFERROR(__xludf.DUMMYFUNCTION("""COMPUTED_VALUE"""),4.0)</f>
        <v>4</v>
      </c>
      <c r="F1756" s="8">
        <v>1.0</v>
      </c>
      <c r="G1756" s="8">
        <v>1.0</v>
      </c>
      <c r="H1756" s="8">
        <v>1.0</v>
      </c>
      <c r="I1756" s="8">
        <v>1.0</v>
      </c>
      <c r="J1756" s="8">
        <v>1.0</v>
      </c>
      <c r="K1756" s="8">
        <v>1.0</v>
      </c>
      <c r="L1756" s="8">
        <v>6.0</v>
      </c>
      <c r="M1756" s="8"/>
      <c r="N1756" s="8"/>
      <c r="O1756" s="8" t="s">
        <v>772</v>
      </c>
      <c r="P1756" s="8">
        <v>6.0</v>
      </c>
    </row>
    <row r="1757">
      <c r="A1757">
        <f>IFERROR(__xludf.DUMMYFUNCTION("""COMPUTED_VALUE"""),6.0)</f>
        <v>6</v>
      </c>
      <c r="B1757">
        <f>IFERROR(__xludf.DUMMYFUNCTION("""COMPUTED_VALUE"""),31087.0)</f>
        <v>31087</v>
      </c>
      <c r="C1757" t="str">
        <f>IFERROR(__xludf.DUMMYFUNCTION("""COMPUTED_VALUE"""),"PEAK DUQUE, NICOLE")</f>
        <v>PEAK DUQUE, NICOLE</v>
      </c>
      <c r="D1757" t="str">
        <f>IFERROR(__xludf.DUMMYFUNCTION("""COMPUTED_VALUE"""),"Spanish 6A")</f>
        <v>Spanish 6A</v>
      </c>
      <c r="E1757" s="31">
        <f>IFERROR(__xludf.DUMMYFUNCTION("""COMPUTED_VALUE"""),4.0)</f>
        <v>4</v>
      </c>
      <c r="F1757" s="8">
        <v>1.0</v>
      </c>
      <c r="G1757" s="8">
        <v>1.0</v>
      </c>
      <c r="H1757" s="8">
        <v>1.0</v>
      </c>
      <c r="I1757" s="8">
        <v>1.0</v>
      </c>
      <c r="J1757" s="8">
        <v>1.0</v>
      </c>
      <c r="K1757" s="8">
        <v>1.0</v>
      </c>
      <c r="L1757" s="8">
        <v>6.0</v>
      </c>
      <c r="M1757" s="8"/>
      <c r="N1757" s="8"/>
      <c r="O1757" s="8" t="s">
        <v>776</v>
      </c>
      <c r="P1757" s="8" t="e">
        <v>#N/A</v>
      </c>
    </row>
    <row r="1758">
      <c r="A1758">
        <f>IFERROR(__xludf.DUMMYFUNCTION("""COMPUTED_VALUE"""),6.0)</f>
        <v>6</v>
      </c>
      <c r="B1758">
        <f>IFERROR(__xludf.DUMMYFUNCTION("""COMPUTED_VALUE"""),31089.0)</f>
        <v>31089</v>
      </c>
      <c r="C1758" t="str">
        <f>IFERROR(__xludf.DUMMYFUNCTION("""COMPUTED_VALUE"""),"PELAEZ BORDA, DAVID")</f>
        <v>PELAEZ BORDA, DAVID</v>
      </c>
      <c r="D1758" t="str">
        <f>IFERROR(__xludf.DUMMYFUNCTION("""COMPUTED_VALUE"""),"Spanish 6")</f>
        <v>Spanish 6</v>
      </c>
      <c r="E1758" s="31">
        <f>IFERROR(__xludf.DUMMYFUNCTION("""COMPUTED_VALUE"""),1.0)</f>
        <v>1</v>
      </c>
      <c r="F1758" s="8">
        <v>1.0</v>
      </c>
      <c r="G1758" s="8">
        <v>1.0</v>
      </c>
      <c r="H1758" s="8">
        <v>1.0</v>
      </c>
      <c r="I1758" s="8">
        <v>1.0</v>
      </c>
      <c r="J1758" s="8">
        <v>1.0</v>
      </c>
      <c r="K1758" s="8">
        <v>1.0</v>
      </c>
      <c r="L1758" s="8">
        <v>6.0</v>
      </c>
      <c r="M1758" s="8"/>
      <c r="N1758" s="8"/>
      <c r="O1758" s="8" t="s">
        <v>771</v>
      </c>
      <c r="P1758" s="8">
        <v>6.0</v>
      </c>
    </row>
    <row r="1759">
      <c r="A1759">
        <f>IFERROR(__xludf.DUMMYFUNCTION("""COMPUTED_VALUE"""),6.0)</f>
        <v>6</v>
      </c>
      <c r="B1759">
        <f>IFERROR(__xludf.DUMMYFUNCTION("""COMPUTED_VALUE"""),31088.0)</f>
        <v>31088</v>
      </c>
      <c r="C1759" t="str">
        <f>IFERROR(__xludf.DUMMYFUNCTION("""COMPUTED_VALUE"""),"PELAEZ BOTERO, AMELIA")</f>
        <v>PELAEZ BOTERO, AMELIA</v>
      </c>
      <c r="D1759" t="str">
        <f>IFERROR(__xludf.DUMMYFUNCTION("""COMPUTED_VALUE"""),"Spanish 6")</f>
        <v>Spanish 6</v>
      </c>
      <c r="E1759" s="31">
        <f>IFERROR(__xludf.DUMMYFUNCTION("""COMPUTED_VALUE"""),6.0)</f>
        <v>6</v>
      </c>
      <c r="F1759" s="8">
        <v>1.0</v>
      </c>
      <c r="G1759" s="8">
        <v>1.0</v>
      </c>
      <c r="H1759" s="8">
        <v>1.0</v>
      </c>
      <c r="I1759" s="8">
        <v>1.0</v>
      </c>
      <c r="J1759" s="8">
        <v>1.0</v>
      </c>
      <c r="K1759" s="8">
        <v>1.0</v>
      </c>
      <c r="L1759" s="8">
        <v>6.0</v>
      </c>
      <c r="M1759" s="8"/>
      <c r="N1759" s="8"/>
      <c r="O1759" s="8" t="s">
        <v>775</v>
      </c>
      <c r="P1759" s="8">
        <v>6.0</v>
      </c>
    </row>
    <row r="1760">
      <c r="A1760">
        <f>IFERROR(__xludf.DUMMYFUNCTION("""COMPUTED_VALUE"""),6.0)</f>
        <v>6</v>
      </c>
      <c r="B1760">
        <f>IFERROR(__xludf.DUMMYFUNCTION("""COMPUTED_VALUE"""),31090.0)</f>
        <v>31090</v>
      </c>
      <c r="C1760" t="str">
        <f>IFERROR(__xludf.DUMMYFUNCTION("""COMPUTED_VALUE"""),"PELAEZ PIEDRAHITA, EMILIO")</f>
        <v>PELAEZ PIEDRAHITA, EMILIO</v>
      </c>
      <c r="D1760" t="str">
        <f>IFERROR(__xludf.DUMMYFUNCTION("""COMPUTED_VALUE"""),"Spanish 6A")</f>
        <v>Spanish 6A</v>
      </c>
      <c r="E1760" s="31">
        <f>IFERROR(__xludf.DUMMYFUNCTION("""COMPUTED_VALUE"""),4.0)</f>
        <v>4</v>
      </c>
      <c r="F1760" s="8">
        <v>1.0</v>
      </c>
      <c r="G1760" s="8">
        <v>1.0</v>
      </c>
      <c r="H1760" s="8">
        <v>1.0</v>
      </c>
      <c r="I1760" s="8">
        <v>1.0</v>
      </c>
      <c r="J1760" s="8">
        <v>1.0</v>
      </c>
      <c r="K1760" s="8">
        <v>1.0</v>
      </c>
      <c r="L1760" s="8">
        <v>6.0</v>
      </c>
      <c r="M1760" s="8"/>
      <c r="N1760" s="8"/>
      <c r="O1760" s="8" t="s">
        <v>776</v>
      </c>
      <c r="P1760" s="8" t="e">
        <v>#N/A</v>
      </c>
    </row>
    <row r="1761">
      <c r="A1761">
        <f>IFERROR(__xludf.DUMMYFUNCTION("""COMPUTED_VALUE"""),6.0)</f>
        <v>6</v>
      </c>
      <c r="B1761">
        <f>IFERROR(__xludf.DUMMYFUNCTION("""COMPUTED_VALUE"""),31092.0)</f>
        <v>31092</v>
      </c>
      <c r="C1761" t="str">
        <f>IFERROR(__xludf.DUMMYFUNCTION("""COMPUTED_VALUE"""),"PEREZ DUQUE, JULIA")</f>
        <v>PEREZ DUQUE, JULIA</v>
      </c>
      <c r="D1761" t="str">
        <f>IFERROR(__xludf.DUMMYFUNCTION("""COMPUTED_VALUE"""),"Spanish 6A")</f>
        <v>Spanish 6A</v>
      </c>
      <c r="E1761" s="31">
        <f>IFERROR(__xludf.DUMMYFUNCTION("""COMPUTED_VALUE"""),4.0)</f>
        <v>4</v>
      </c>
      <c r="F1761" s="8">
        <v>1.0</v>
      </c>
      <c r="G1761" s="8">
        <v>1.0</v>
      </c>
      <c r="H1761" s="8">
        <v>1.0</v>
      </c>
      <c r="I1761" s="8">
        <v>1.0</v>
      </c>
      <c r="J1761" s="8">
        <v>1.0</v>
      </c>
      <c r="K1761" s="8">
        <v>1.0</v>
      </c>
      <c r="L1761" s="8">
        <v>6.0</v>
      </c>
      <c r="M1761" s="8"/>
      <c r="N1761" s="8"/>
      <c r="O1761" s="8" t="s">
        <v>776</v>
      </c>
      <c r="P1761" s="8" t="e">
        <v>#N/A</v>
      </c>
    </row>
    <row r="1762">
      <c r="A1762">
        <f>IFERROR(__xludf.DUMMYFUNCTION("""COMPUTED_VALUE"""),6.0)</f>
        <v>6</v>
      </c>
      <c r="B1762">
        <f>IFERROR(__xludf.DUMMYFUNCTION("""COMPUTED_VALUE"""),31091.0)</f>
        <v>31091</v>
      </c>
      <c r="C1762" t="str">
        <f>IFERROR(__xludf.DUMMYFUNCTION("""COMPUTED_VALUE"""),"PEREZ OTERO, ALEJANDRO")</f>
        <v>PEREZ OTERO, ALEJANDRO</v>
      </c>
      <c r="D1762" t="str">
        <f>IFERROR(__xludf.DUMMYFUNCTION("""COMPUTED_VALUE"""),"Spanish 6")</f>
        <v>Spanish 6</v>
      </c>
      <c r="E1762" s="31">
        <f>IFERROR(__xludf.DUMMYFUNCTION("""COMPUTED_VALUE"""),1.0)</f>
        <v>1</v>
      </c>
      <c r="F1762" s="8">
        <v>1.0</v>
      </c>
      <c r="G1762" s="8">
        <v>1.0</v>
      </c>
      <c r="H1762" s="8">
        <v>1.0</v>
      </c>
      <c r="I1762" s="8">
        <v>1.0</v>
      </c>
      <c r="J1762" s="8">
        <v>1.0</v>
      </c>
      <c r="K1762" s="8">
        <v>1.0</v>
      </c>
      <c r="L1762" s="8">
        <v>6.0</v>
      </c>
      <c r="M1762" s="8"/>
      <c r="N1762" s="8"/>
      <c r="O1762" s="8" t="s">
        <v>771</v>
      </c>
      <c r="P1762" s="8">
        <v>6.0</v>
      </c>
    </row>
    <row r="1763">
      <c r="A1763">
        <f>IFERROR(__xludf.DUMMYFUNCTION("""COMPUTED_VALUE"""),6.0)</f>
        <v>6</v>
      </c>
      <c r="B1763">
        <f>IFERROR(__xludf.DUMMYFUNCTION("""COMPUTED_VALUE"""),31160.0)</f>
        <v>31160</v>
      </c>
      <c r="C1763" t="str">
        <f>IFERROR(__xludf.DUMMYFUNCTION("""COMPUTED_VALUE"""),"PFORTNER CASTRO, MORITZ")</f>
        <v>PFORTNER CASTRO, MORITZ</v>
      </c>
      <c r="D1763" t="str">
        <f>IFERROR(__xludf.DUMMYFUNCTION("""COMPUTED_VALUE"""),"Spanish 6")</f>
        <v>Spanish 6</v>
      </c>
      <c r="E1763" s="31">
        <f>IFERROR(__xludf.DUMMYFUNCTION("""COMPUTED_VALUE"""),6.0)</f>
        <v>6</v>
      </c>
      <c r="F1763" s="8">
        <v>1.0</v>
      </c>
      <c r="G1763" s="8">
        <v>1.0</v>
      </c>
      <c r="H1763" s="8">
        <v>1.0</v>
      </c>
      <c r="I1763" s="8">
        <v>1.0</v>
      </c>
      <c r="J1763" s="8">
        <v>1.0</v>
      </c>
      <c r="K1763" s="8">
        <v>1.0</v>
      </c>
      <c r="L1763" s="8">
        <v>6.0</v>
      </c>
      <c r="M1763" s="8"/>
      <c r="N1763" s="8"/>
      <c r="O1763" s="8" t="s">
        <v>775</v>
      </c>
      <c r="P1763" s="8">
        <v>6.0</v>
      </c>
    </row>
    <row r="1764">
      <c r="A1764">
        <f>IFERROR(__xludf.DUMMYFUNCTION("""COMPUTED_VALUE"""),6.0)</f>
        <v>6</v>
      </c>
      <c r="B1764">
        <f>IFERROR(__xludf.DUMMYFUNCTION("""COMPUTED_VALUE"""),31093.0)</f>
        <v>31093</v>
      </c>
      <c r="C1764" t="str">
        <f>IFERROR(__xludf.DUMMYFUNCTION("""COMPUTED_VALUE"""),"PICO RUEDA, SEBASTIAN")</f>
        <v>PICO RUEDA, SEBASTIAN</v>
      </c>
      <c r="D1764" t="str">
        <f>IFERROR(__xludf.DUMMYFUNCTION("""COMPUTED_VALUE"""),"Spanish 6")</f>
        <v>Spanish 6</v>
      </c>
      <c r="E1764" s="31">
        <f>IFERROR(__xludf.DUMMYFUNCTION("""COMPUTED_VALUE"""),3.0)</f>
        <v>3</v>
      </c>
      <c r="F1764" s="8">
        <v>1.0</v>
      </c>
      <c r="G1764" s="8">
        <v>1.0</v>
      </c>
      <c r="H1764" s="8">
        <v>1.0</v>
      </c>
      <c r="I1764" s="8">
        <v>1.0</v>
      </c>
      <c r="J1764" s="8">
        <v>1.0</v>
      </c>
      <c r="K1764" s="8">
        <v>1.0</v>
      </c>
      <c r="L1764" s="8">
        <v>6.0</v>
      </c>
      <c r="M1764" s="8"/>
      <c r="N1764" s="8"/>
      <c r="O1764" s="8" t="s">
        <v>774</v>
      </c>
      <c r="P1764" s="8">
        <v>6.0</v>
      </c>
    </row>
    <row r="1765">
      <c r="A1765">
        <f>IFERROR(__xludf.DUMMYFUNCTION("""COMPUTED_VALUE"""),6.0)</f>
        <v>6</v>
      </c>
      <c r="B1765">
        <f>IFERROR(__xludf.DUMMYFUNCTION("""COMPUTED_VALUE"""),31095.0)</f>
        <v>31095</v>
      </c>
      <c r="C1765" t="str">
        <f>IFERROR(__xludf.DUMMYFUNCTION("""COMPUTED_VALUE"""),"PINEDA ARANGO, MARTINA")</f>
        <v>PINEDA ARANGO, MARTINA</v>
      </c>
      <c r="D1765" t="str">
        <f>IFERROR(__xludf.DUMMYFUNCTION("""COMPUTED_VALUE"""),"Spanish 6")</f>
        <v>Spanish 6</v>
      </c>
      <c r="E1765" s="31">
        <f>IFERROR(__xludf.DUMMYFUNCTION("""COMPUTED_VALUE"""),2.0)</f>
        <v>2</v>
      </c>
      <c r="F1765" s="8">
        <v>1.0</v>
      </c>
      <c r="G1765" s="8">
        <v>1.0</v>
      </c>
      <c r="H1765" s="8">
        <v>1.0</v>
      </c>
      <c r="I1765" s="8">
        <v>1.0</v>
      </c>
      <c r="J1765" s="8">
        <v>1.0</v>
      </c>
      <c r="K1765" s="8">
        <v>1.0</v>
      </c>
      <c r="L1765" s="8">
        <v>6.0</v>
      </c>
      <c r="M1765" s="8"/>
      <c r="N1765" s="8"/>
      <c r="O1765" s="8" t="s">
        <v>773</v>
      </c>
      <c r="P1765" s="8">
        <v>6.0</v>
      </c>
    </row>
    <row r="1766">
      <c r="A1766">
        <f>IFERROR(__xludf.DUMMYFUNCTION("""COMPUTED_VALUE"""),6.0)</f>
        <v>6</v>
      </c>
      <c r="B1766">
        <f>IFERROR(__xludf.DUMMYFUNCTION("""COMPUTED_VALUE"""),31096.0)</f>
        <v>31096</v>
      </c>
      <c r="C1766" t="str">
        <f>IFERROR(__xludf.DUMMYFUNCTION("""COMPUTED_VALUE"""),"POSADA FERNANDEZ, ALICIA")</f>
        <v>POSADA FERNANDEZ, ALICIA</v>
      </c>
      <c r="D1766" t="str">
        <f>IFERROR(__xludf.DUMMYFUNCTION("""COMPUTED_VALUE"""),"Spanish 6")</f>
        <v>Spanish 6</v>
      </c>
      <c r="E1766" s="31">
        <f>IFERROR(__xludf.DUMMYFUNCTION("""COMPUTED_VALUE"""),4.0)</f>
        <v>4</v>
      </c>
      <c r="F1766" s="8">
        <v>1.0</v>
      </c>
      <c r="G1766" s="8">
        <v>1.0</v>
      </c>
      <c r="H1766" s="8">
        <v>1.0</v>
      </c>
      <c r="I1766" s="8">
        <v>1.0</v>
      </c>
      <c r="J1766" s="8">
        <v>1.0</v>
      </c>
      <c r="K1766" s="8">
        <v>1.0</v>
      </c>
      <c r="L1766" s="8">
        <v>6.0</v>
      </c>
      <c r="M1766" s="8"/>
      <c r="N1766" s="8"/>
      <c r="O1766" s="8" t="s">
        <v>772</v>
      </c>
      <c r="P1766" s="8">
        <v>6.0</v>
      </c>
    </row>
    <row r="1767">
      <c r="A1767">
        <f>IFERROR(__xludf.DUMMYFUNCTION("""COMPUTED_VALUE"""),6.0)</f>
        <v>6</v>
      </c>
      <c r="B1767">
        <f>IFERROR(__xludf.DUMMYFUNCTION("""COMPUTED_VALUE"""),31097.0)</f>
        <v>31097</v>
      </c>
      <c r="C1767" t="str">
        <f>IFERROR(__xludf.DUMMYFUNCTION("""COMPUTED_VALUE"""),"PUYO TORO, ELENA")</f>
        <v>PUYO TORO, ELENA</v>
      </c>
      <c r="D1767" t="str">
        <f>IFERROR(__xludf.DUMMYFUNCTION("""COMPUTED_VALUE"""),"Spanish 6")</f>
        <v>Spanish 6</v>
      </c>
      <c r="E1767" s="31">
        <f>IFERROR(__xludf.DUMMYFUNCTION("""COMPUTED_VALUE"""),6.0)</f>
        <v>6</v>
      </c>
      <c r="F1767" s="8">
        <v>1.0</v>
      </c>
      <c r="G1767" s="8">
        <v>1.0</v>
      </c>
      <c r="H1767" s="8">
        <v>1.0</v>
      </c>
      <c r="I1767" s="8">
        <v>1.0</v>
      </c>
      <c r="J1767" s="8">
        <v>1.0</v>
      </c>
      <c r="K1767" s="8">
        <v>1.0</v>
      </c>
      <c r="L1767" s="8">
        <v>6.0</v>
      </c>
      <c r="M1767" s="8"/>
      <c r="N1767" s="8"/>
      <c r="O1767" s="8" t="s">
        <v>775</v>
      </c>
      <c r="P1767" s="8">
        <v>6.0</v>
      </c>
    </row>
    <row r="1768">
      <c r="A1768">
        <f>IFERROR(__xludf.DUMMYFUNCTION("""COMPUTED_VALUE"""),6.0)</f>
        <v>6</v>
      </c>
      <c r="B1768">
        <f>IFERROR(__xludf.DUMMYFUNCTION("""COMPUTED_VALUE"""),31098.0)</f>
        <v>31098</v>
      </c>
      <c r="C1768" t="str">
        <f>IFERROR(__xludf.DUMMYFUNCTION("""COMPUTED_VALUE"""),"QUINTERO DARBY, VIOLETA")</f>
        <v>QUINTERO DARBY, VIOLETA</v>
      </c>
      <c r="D1768" t="str">
        <f>IFERROR(__xludf.DUMMYFUNCTION("""COMPUTED_VALUE"""),"Spanish 6")</f>
        <v>Spanish 6</v>
      </c>
      <c r="E1768" s="31">
        <f>IFERROR(__xludf.DUMMYFUNCTION("""COMPUTED_VALUE"""),3.0)</f>
        <v>3</v>
      </c>
      <c r="F1768" s="8">
        <v>1.0</v>
      </c>
      <c r="G1768" s="8">
        <v>1.0</v>
      </c>
      <c r="H1768" s="8">
        <v>1.0</v>
      </c>
      <c r="I1768" s="8">
        <v>1.0</v>
      </c>
      <c r="J1768" s="8">
        <v>1.0</v>
      </c>
      <c r="K1768" s="8">
        <v>1.0</v>
      </c>
      <c r="L1768" s="8">
        <v>6.0</v>
      </c>
      <c r="M1768" s="8"/>
      <c r="N1768" s="8"/>
      <c r="O1768" s="8" t="s">
        <v>774</v>
      </c>
      <c r="P1768" s="8">
        <v>6.0</v>
      </c>
    </row>
    <row r="1769">
      <c r="A1769">
        <f>IFERROR(__xludf.DUMMYFUNCTION("""COMPUTED_VALUE"""),6.0)</f>
        <v>6</v>
      </c>
      <c r="B1769">
        <f>IFERROR(__xludf.DUMMYFUNCTION("""COMPUTED_VALUE"""),31099.0)</f>
        <v>31099</v>
      </c>
      <c r="C1769" t="str">
        <f>IFERROR(__xludf.DUMMYFUNCTION("""COMPUTED_VALUE"""),"RAMIREZ LIBREROS, MARTIN")</f>
        <v>RAMIREZ LIBREROS, MARTIN</v>
      </c>
      <c r="D1769" t="str">
        <f>IFERROR(__xludf.DUMMYFUNCTION("""COMPUTED_VALUE"""),"Spanish 6")</f>
        <v>Spanish 6</v>
      </c>
      <c r="E1769" s="31">
        <f>IFERROR(__xludf.DUMMYFUNCTION("""COMPUTED_VALUE"""),4.0)</f>
        <v>4</v>
      </c>
      <c r="F1769" s="8">
        <v>1.0</v>
      </c>
      <c r="G1769" s="8">
        <v>1.0</v>
      </c>
      <c r="H1769" s="8">
        <v>1.0</v>
      </c>
      <c r="I1769" s="8">
        <v>1.0</v>
      </c>
      <c r="J1769" s="8">
        <v>1.0</v>
      </c>
      <c r="K1769" s="8">
        <v>1.0</v>
      </c>
      <c r="L1769" s="8">
        <v>6.0</v>
      </c>
      <c r="M1769" s="8"/>
      <c r="N1769" s="8"/>
      <c r="O1769" s="8" t="s">
        <v>772</v>
      </c>
      <c r="P1769" s="8">
        <v>6.0</v>
      </c>
    </row>
    <row r="1770">
      <c r="A1770">
        <f>IFERROR(__xludf.DUMMYFUNCTION("""COMPUTED_VALUE"""),6.0)</f>
        <v>6</v>
      </c>
      <c r="B1770">
        <f>IFERROR(__xludf.DUMMYFUNCTION("""COMPUTED_VALUE"""),31100.0)</f>
        <v>31100</v>
      </c>
      <c r="C1770" t="str">
        <f>IFERROR(__xludf.DUMMYFUNCTION("""COMPUTED_VALUE"""),"RAMIREZ LIBREROS, MATIAS")</f>
        <v>RAMIREZ LIBREROS, MATIAS</v>
      </c>
      <c r="D1770" t="str">
        <f>IFERROR(__xludf.DUMMYFUNCTION("""COMPUTED_VALUE"""),"Spanish 6")</f>
        <v>Spanish 6</v>
      </c>
      <c r="E1770" s="31">
        <f>IFERROR(__xludf.DUMMYFUNCTION("""COMPUTED_VALUE"""),1.0)</f>
        <v>1</v>
      </c>
      <c r="F1770" s="8">
        <v>1.0</v>
      </c>
      <c r="G1770" s="8">
        <v>1.0</v>
      </c>
      <c r="H1770" s="8">
        <v>1.0</v>
      </c>
      <c r="I1770" s="8">
        <v>1.0</v>
      </c>
      <c r="J1770" s="8">
        <v>1.0</v>
      </c>
      <c r="K1770" s="8">
        <v>1.0</v>
      </c>
      <c r="L1770" s="8">
        <v>6.0</v>
      </c>
      <c r="M1770" s="8"/>
      <c r="N1770" s="8"/>
      <c r="O1770" s="8" t="s">
        <v>771</v>
      </c>
      <c r="P1770" s="8">
        <v>6.0</v>
      </c>
    </row>
    <row r="1771">
      <c r="A1771">
        <f>IFERROR(__xludf.DUMMYFUNCTION("""COMPUTED_VALUE"""),6.0)</f>
        <v>6</v>
      </c>
      <c r="B1771">
        <f>IFERROR(__xludf.DUMMYFUNCTION("""COMPUTED_VALUE"""),31101.0)</f>
        <v>31101</v>
      </c>
      <c r="C1771" t="str">
        <f>IFERROR(__xludf.DUMMYFUNCTION("""COMPUTED_VALUE"""),"RENDON ECHEVERRI, MIGUEL")</f>
        <v>RENDON ECHEVERRI, MIGUEL</v>
      </c>
      <c r="D1771" t="str">
        <f>IFERROR(__xludf.DUMMYFUNCTION("""COMPUTED_VALUE"""),"Spanish 6")</f>
        <v>Spanish 6</v>
      </c>
      <c r="E1771" s="31">
        <f>IFERROR(__xludf.DUMMYFUNCTION("""COMPUTED_VALUE"""),1.0)</f>
        <v>1</v>
      </c>
      <c r="F1771" s="8">
        <v>1.0</v>
      </c>
      <c r="G1771" s="8">
        <v>1.0</v>
      </c>
      <c r="H1771" s="8">
        <v>1.0</v>
      </c>
      <c r="I1771" s="8">
        <v>1.0</v>
      </c>
      <c r="J1771" s="8">
        <v>1.0</v>
      </c>
      <c r="K1771" s="8">
        <v>1.0</v>
      </c>
      <c r="L1771" s="8">
        <v>6.0</v>
      </c>
      <c r="M1771" s="8"/>
      <c r="N1771" s="8"/>
      <c r="O1771" s="8" t="s">
        <v>771</v>
      </c>
      <c r="P1771" s="8">
        <v>6.0</v>
      </c>
    </row>
    <row r="1772">
      <c r="A1772">
        <f>IFERROR(__xludf.DUMMYFUNCTION("""COMPUTED_VALUE"""),6.0)</f>
        <v>6</v>
      </c>
      <c r="B1772">
        <f>IFERROR(__xludf.DUMMYFUNCTION("""COMPUTED_VALUE"""),31173.0)</f>
        <v>31173</v>
      </c>
      <c r="C1772" t="str">
        <f>IFERROR(__xludf.DUMMYFUNCTION("""COMPUTED_VALUE"""),"REPETTO LARROSA, FRANCHESCO")</f>
        <v>REPETTO LARROSA, FRANCHESCO</v>
      </c>
      <c r="D1772" t="str">
        <f>IFERROR(__xludf.DUMMYFUNCTION("""COMPUTED_VALUE"""),"Spanish 6")</f>
        <v>Spanish 6</v>
      </c>
      <c r="E1772" s="31">
        <f>IFERROR(__xludf.DUMMYFUNCTION("""COMPUTED_VALUE"""),2.0)</f>
        <v>2</v>
      </c>
      <c r="F1772" s="8">
        <v>1.0</v>
      </c>
      <c r="G1772" s="8">
        <v>1.0</v>
      </c>
      <c r="H1772" s="8">
        <v>1.0</v>
      </c>
      <c r="I1772" s="8">
        <v>1.0</v>
      </c>
      <c r="J1772" s="8">
        <v>1.0</v>
      </c>
      <c r="K1772" s="8">
        <v>1.0</v>
      </c>
      <c r="L1772" s="8">
        <v>6.0</v>
      </c>
      <c r="M1772" s="8"/>
      <c r="N1772" s="8"/>
      <c r="O1772" s="8" t="s">
        <v>773</v>
      </c>
      <c r="P1772" s="8">
        <v>6.0</v>
      </c>
    </row>
    <row r="1773">
      <c r="A1773">
        <f>IFERROR(__xludf.DUMMYFUNCTION("""COMPUTED_VALUE"""),6.0)</f>
        <v>6</v>
      </c>
      <c r="B1773">
        <f>IFERROR(__xludf.DUMMYFUNCTION("""COMPUTED_VALUE"""),31103.0)</f>
        <v>31103</v>
      </c>
      <c r="C1773" t="str">
        <f>IFERROR(__xludf.DUMMYFUNCTION("""COMPUTED_VALUE"""),"RESTREPO BETANCUR, ALICIA")</f>
        <v>RESTREPO BETANCUR, ALICIA</v>
      </c>
      <c r="D1773" t="str">
        <f>IFERROR(__xludf.DUMMYFUNCTION("""COMPUTED_VALUE"""),"Spanish 6")</f>
        <v>Spanish 6</v>
      </c>
      <c r="E1773" s="31">
        <f>IFERROR(__xludf.DUMMYFUNCTION("""COMPUTED_VALUE"""),6.0)</f>
        <v>6</v>
      </c>
      <c r="F1773" s="8">
        <v>1.0</v>
      </c>
      <c r="G1773" s="8">
        <v>1.0</v>
      </c>
      <c r="H1773" s="8">
        <v>1.0</v>
      </c>
      <c r="I1773" s="8">
        <v>1.0</v>
      </c>
      <c r="J1773" s="8">
        <v>1.0</v>
      </c>
      <c r="K1773" s="8">
        <v>1.0</v>
      </c>
      <c r="L1773" s="8">
        <v>6.0</v>
      </c>
      <c r="M1773" s="8"/>
      <c r="N1773" s="8"/>
      <c r="O1773" s="8" t="s">
        <v>775</v>
      </c>
      <c r="P1773" s="8">
        <v>6.0</v>
      </c>
    </row>
    <row r="1774">
      <c r="A1774">
        <f>IFERROR(__xludf.DUMMYFUNCTION("""COMPUTED_VALUE"""),6.0)</f>
        <v>6</v>
      </c>
      <c r="B1774">
        <f>IFERROR(__xludf.DUMMYFUNCTION("""COMPUTED_VALUE"""),31104.0)</f>
        <v>31104</v>
      </c>
      <c r="C1774" t="str">
        <f>IFERROR(__xludf.DUMMYFUNCTION("""COMPUTED_VALUE"""),"RESTREPO ECHAVARRIA, EMILIA")</f>
        <v>RESTREPO ECHAVARRIA, EMILIA</v>
      </c>
      <c r="D1774" t="str">
        <f>IFERROR(__xludf.DUMMYFUNCTION("""COMPUTED_VALUE"""),"Spanish 6A")</f>
        <v>Spanish 6A</v>
      </c>
      <c r="E1774" s="31">
        <f>IFERROR(__xludf.DUMMYFUNCTION("""COMPUTED_VALUE"""),4.0)</f>
        <v>4</v>
      </c>
      <c r="F1774" s="8">
        <v>1.0</v>
      </c>
      <c r="G1774" s="8">
        <v>1.0</v>
      </c>
      <c r="H1774" s="8">
        <v>1.0</v>
      </c>
      <c r="I1774" s="8">
        <v>1.0</v>
      </c>
      <c r="J1774" s="8">
        <v>1.0</v>
      </c>
      <c r="K1774" s="8">
        <v>1.0</v>
      </c>
      <c r="L1774" s="8">
        <v>6.0</v>
      </c>
      <c r="M1774" s="8"/>
      <c r="N1774" s="8"/>
      <c r="O1774" s="8" t="s">
        <v>776</v>
      </c>
      <c r="P1774" s="8" t="e">
        <v>#N/A</v>
      </c>
    </row>
    <row r="1775">
      <c r="A1775">
        <f>IFERROR(__xludf.DUMMYFUNCTION("""COMPUTED_VALUE"""),6.0)</f>
        <v>6</v>
      </c>
      <c r="B1775">
        <f>IFERROR(__xludf.DUMMYFUNCTION("""COMPUTED_VALUE"""),31105.0)</f>
        <v>31105</v>
      </c>
      <c r="C1775" t="str">
        <f>IFERROR(__xludf.DUMMYFUNCTION("""COMPUTED_VALUE"""),"RESTREPO PELAEZ, EMILIA")</f>
        <v>RESTREPO PELAEZ, EMILIA</v>
      </c>
      <c r="D1775" t="str">
        <f>IFERROR(__xludf.DUMMYFUNCTION("""COMPUTED_VALUE"""),"Spanish 6")</f>
        <v>Spanish 6</v>
      </c>
      <c r="E1775" s="31">
        <f>IFERROR(__xludf.DUMMYFUNCTION("""COMPUTED_VALUE"""),6.0)</f>
        <v>6</v>
      </c>
      <c r="F1775" s="8">
        <v>1.0</v>
      </c>
      <c r="G1775" s="8">
        <v>1.0</v>
      </c>
      <c r="H1775" s="8">
        <v>1.0</v>
      </c>
      <c r="I1775" s="8">
        <v>1.0</v>
      </c>
      <c r="J1775" s="8">
        <v>1.0</v>
      </c>
      <c r="K1775" s="8">
        <v>1.0</v>
      </c>
      <c r="L1775" s="8">
        <v>6.0</v>
      </c>
      <c r="M1775" s="8"/>
      <c r="N1775" s="8"/>
      <c r="O1775" s="8" t="s">
        <v>775</v>
      </c>
      <c r="P1775" s="8">
        <v>6.0</v>
      </c>
    </row>
    <row r="1776">
      <c r="A1776">
        <f>IFERROR(__xludf.DUMMYFUNCTION("""COMPUTED_VALUE"""),6.0)</f>
        <v>6</v>
      </c>
      <c r="B1776">
        <f>IFERROR(__xludf.DUMMYFUNCTION("""COMPUTED_VALUE"""),31171.0)</f>
        <v>31171</v>
      </c>
      <c r="C1776" t="str">
        <f>IFERROR(__xludf.DUMMYFUNCTION("""COMPUTED_VALUE"""),"RICHARDSON MEJIA, SOFIA")</f>
        <v>RICHARDSON MEJIA, SOFIA</v>
      </c>
      <c r="D1776" t="str">
        <f>IFERROR(__xludf.DUMMYFUNCTION("""COMPUTED_VALUE"""),"Spanish 6")</f>
        <v>Spanish 6</v>
      </c>
      <c r="E1776" s="31">
        <f>IFERROR(__xludf.DUMMYFUNCTION("""COMPUTED_VALUE"""),1.0)</f>
        <v>1</v>
      </c>
      <c r="F1776" s="8">
        <v>1.0</v>
      </c>
      <c r="G1776" s="8">
        <v>1.0</v>
      </c>
      <c r="H1776" s="8">
        <v>1.0</v>
      </c>
      <c r="I1776" s="8">
        <v>1.0</v>
      </c>
      <c r="J1776" s="8">
        <v>1.0</v>
      </c>
      <c r="K1776" s="8">
        <v>1.0</v>
      </c>
      <c r="L1776" s="8">
        <v>6.0</v>
      </c>
      <c r="M1776" s="8"/>
      <c r="N1776" s="8"/>
      <c r="O1776" s="8" t="s">
        <v>771</v>
      </c>
      <c r="P1776" s="8">
        <v>6.0</v>
      </c>
    </row>
    <row r="1777">
      <c r="A1777">
        <f>IFERROR(__xludf.DUMMYFUNCTION("""COMPUTED_VALUE"""),6.0)</f>
        <v>6</v>
      </c>
      <c r="B1777">
        <f>IFERROR(__xludf.DUMMYFUNCTION("""COMPUTED_VALUE"""),31106.0)</f>
        <v>31106</v>
      </c>
      <c r="C1777" t="str">
        <f>IFERROR(__xludf.DUMMYFUNCTION("""COMPUTED_VALUE"""),"RINCON URIBE, NICOLAS")</f>
        <v>RINCON URIBE, NICOLAS</v>
      </c>
      <c r="D1777" t="str">
        <f>IFERROR(__xludf.DUMMYFUNCTION("""COMPUTED_VALUE"""),"Spanish 6A")</f>
        <v>Spanish 6A</v>
      </c>
      <c r="E1777" s="31">
        <f>IFERROR(__xludf.DUMMYFUNCTION("""COMPUTED_VALUE"""),4.0)</f>
        <v>4</v>
      </c>
      <c r="F1777" s="8">
        <v>1.0</v>
      </c>
      <c r="G1777" s="8">
        <v>1.0</v>
      </c>
      <c r="H1777" s="8">
        <v>1.0</v>
      </c>
      <c r="I1777" s="8">
        <v>1.0</v>
      </c>
      <c r="J1777" s="8">
        <v>1.0</v>
      </c>
      <c r="K1777" s="8">
        <v>1.0</v>
      </c>
      <c r="L1777" s="8">
        <v>6.0</v>
      </c>
      <c r="M1777" s="8"/>
      <c r="N1777" s="8"/>
      <c r="O1777" s="8" t="s">
        <v>776</v>
      </c>
      <c r="P1777" s="8" t="e">
        <v>#N/A</v>
      </c>
    </row>
    <row r="1778">
      <c r="A1778">
        <f>IFERROR(__xludf.DUMMYFUNCTION("""COMPUTED_VALUE"""),6.0)</f>
        <v>6</v>
      </c>
      <c r="B1778">
        <f>IFERROR(__xludf.DUMMYFUNCTION("""COMPUTED_VALUE"""),31107.0)</f>
        <v>31107</v>
      </c>
      <c r="C1778" t="str">
        <f>IFERROR(__xludf.DUMMYFUNCTION("""COMPUTED_VALUE"""),"ROBLEDO LLANO, JERONIMO")</f>
        <v>ROBLEDO LLANO, JERONIMO</v>
      </c>
      <c r="D1778" t="str">
        <f>IFERROR(__xludf.DUMMYFUNCTION("""COMPUTED_VALUE"""),"Spanish 6A")</f>
        <v>Spanish 6A</v>
      </c>
      <c r="E1778" s="31">
        <f>IFERROR(__xludf.DUMMYFUNCTION("""COMPUTED_VALUE"""),4.0)</f>
        <v>4</v>
      </c>
      <c r="F1778" s="8">
        <v>1.0</v>
      </c>
      <c r="G1778" s="8">
        <v>1.0</v>
      </c>
      <c r="H1778" s="8">
        <v>1.0</v>
      </c>
      <c r="I1778" s="8">
        <v>1.0</v>
      </c>
      <c r="J1778" s="8">
        <v>1.0</v>
      </c>
      <c r="K1778" s="8">
        <v>1.0</v>
      </c>
      <c r="L1778" s="8">
        <v>6.0</v>
      </c>
      <c r="M1778" s="8"/>
      <c r="N1778" s="8"/>
      <c r="O1778" s="8" t="s">
        <v>776</v>
      </c>
      <c r="P1778" s="8" t="e">
        <v>#N/A</v>
      </c>
    </row>
    <row r="1779">
      <c r="A1779">
        <f>IFERROR(__xludf.DUMMYFUNCTION("""COMPUTED_VALUE"""),6.0)</f>
        <v>6</v>
      </c>
      <c r="B1779">
        <f>IFERROR(__xludf.DUMMYFUNCTION("""COMPUTED_VALUE"""),30159.0)</f>
        <v>30159</v>
      </c>
      <c r="C1779" t="str">
        <f>IFERROR(__xludf.DUMMYFUNCTION("""COMPUTED_VALUE"""),"ROJAS REYES, MATEO")</f>
        <v>ROJAS REYES, MATEO</v>
      </c>
      <c r="D1779" t="str">
        <f>IFERROR(__xludf.DUMMYFUNCTION("""COMPUTED_VALUE"""),"Spanish 6")</f>
        <v>Spanish 6</v>
      </c>
      <c r="E1779" s="31">
        <f>IFERROR(__xludf.DUMMYFUNCTION("""COMPUTED_VALUE"""),4.0)</f>
        <v>4</v>
      </c>
      <c r="F1779" s="8">
        <v>1.0</v>
      </c>
      <c r="G1779" s="8">
        <v>1.0</v>
      </c>
      <c r="H1779" s="8">
        <v>1.0</v>
      </c>
      <c r="I1779" s="8">
        <v>1.0</v>
      </c>
      <c r="J1779" s="8">
        <v>1.0</v>
      </c>
      <c r="K1779" s="8">
        <v>1.0</v>
      </c>
      <c r="L1779" s="8">
        <v>6.0</v>
      </c>
      <c r="M1779" s="8"/>
      <c r="N1779" s="8"/>
      <c r="O1779" s="8" t="s">
        <v>772</v>
      </c>
      <c r="P1779" s="8">
        <v>6.0</v>
      </c>
    </row>
    <row r="1780">
      <c r="A1780">
        <f>IFERROR(__xludf.DUMMYFUNCTION("""COMPUTED_VALUE"""),6.0)</f>
        <v>6</v>
      </c>
      <c r="B1780">
        <f>IFERROR(__xludf.DUMMYFUNCTION("""COMPUTED_VALUE"""),31110.0)</f>
        <v>31110</v>
      </c>
      <c r="C1780" t="str">
        <f>IFERROR(__xludf.DUMMYFUNCTION("""COMPUTED_VALUE"""),"RUIZ CORREA, MARIANA")</f>
        <v>RUIZ CORREA, MARIANA</v>
      </c>
      <c r="D1780" t="str">
        <f>IFERROR(__xludf.DUMMYFUNCTION("""COMPUTED_VALUE"""),"Spanish 6")</f>
        <v>Spanish 6</v>
      </c>
      <c r="E1780" s="31">
        <f>IFERROR(__xludf.DUMMYFUNCTION("""COMPUTED_VALUE"""),3.0)</f>
        <v>3</v>
      </c>
      <c r="F1780" s="8">
        <v>1.0</v>
      </c>
      <c r="G1780" s="8">
        <v>1.0</v>
      </c>
      <c r="H1780" s="8">
        <v>1.0</v>
      </c>
      <c r="I1780" s="8">
        <v>1.0</v>
      </c>
      <c r="J1780" s="8">
        <v>1.0</v>
      </c>
      <c r="K1780" s="8">
        <v>1.0</v>
      </c>
      <c r="L1780" s="8">
        <v>6.0</v>
      </c>
      <c r="M1780" s="8"/>
      <c r="N1780" s="8"/>
      <c r="O1780" s="8" t="s">
        <v>774</v>
      </c>
      <c r="P1780" s="8">
        <v>6.0</v>
      </c>
    </row>
    <row r="1781">
      <c r="A1781">
        <f>IFERROR(__xludf.DUMMYFUNCTION("""COMPUTED_VALUE"""),6.0)</f>
        <v>6</v>
      </c>
      <c r="B1781">
        <f>IFERROR(__xludf.DUMMYFUNCTION("""COMPUTED_VALUE"""),31111.0)</f>
        <v>31111</v>
      </c>
      <c r="C1781" t="str">
        <f>IFERROR(__xludf.DUMMYFUNCTION("""COMPUTED_VALUE"""),"RUIZ DUQUE, ANTONIO")</f>
        <v>RUIZ DUQUE, ANTONIO</v>
      </c>
      <c r="D1781" t="str">
        <f>IFERROR(__xludf.DUMMYFUNCTION("""COMPUTED_VALUE"""),"Spanish 6")</f>
        <v>Spanish 6</v>
      </c>
      <c r="E1781" s="31">
        <f>IFERROR(__xludf.DUMMYFUNCTION("""COMPUTED_VALUE"""),1.0)</f>
        <v>1</v>
      </c>
      <c r="F1781" s="8">
        <v>1.0</v>
      </c>
      <c r="G1781" s="8">
        <v>1.0</v>
      </c>
      <c r="H1781" s="8">
        <v>1.0</v>
      </c>
      <c r="I1781" s="8">
        <v>1.0</v>
      </c>
      <c r="J1781" s="8">
        <v>1.0</v>
      </c>
      <c r="K1781" s="8">
        <v>1.0</v>
      </c>
      <c r="L1781" s="8">
        <v>6.0</v>
      </c>
      <c r="M1781" s="8"/>
      <c r="N1781" s="8"/>
      <c r="O1781" s="8" t="s">
        <v>771</v>
      </c>
      <c r="P1781" s="8">
        <v>6.0</v>
      </c>
    </row>
    <row r="1782">
      <c r="A1782">
        <f>IFERROR(__xludf.DUMMYFUNCTION("""COMPUTED_VALUE"""),6.0)</f>
        <v>6</v>
      </c>
      <c r="B1782">
        <f>IFERROR(__xludf.DUMMYFUNCTION("""COMPUTED_VALUE"""),31109.0)</f>
        <v>31109</v>
      </c>
      <c r="C1782" t="str">
        <f>IFERROR(__xludf.DUMMYFUNCTION("""COMPUTED_VALUE"""),"RUZ GUZMAN, FEDERICO")</f>
        <v>RUZ GUZMAN, FEDERICO</v>
      </c>
      <c r="D1782" t="str">
        <f>IFERROR(__xludf.DUMMYFUNCTION("""COMPUTED_VALUE"""),"Spanish 6")</f>
        <v>Spanish 6</v>
      </c>
      <c r="E1782" s="31">
        <f>IFERROR(__xludf.DUMMYFUNCTION("""COMPUTED_VALUE"""),2.0)</f>
        <v>2</v>
      </c>
      <c r="F1782" s="8">
        <v>1.0</v>
      </c>
      <c r="G1782" s="8">
        <v>1.0</v>
      </c>
      <c r="H1782" s="8">
        <v>1.0</v>
      </c>
      <c r="I1782" s="8">
        <v>1.0</v>
      </c>
      <c r="J1782" s="8">
        <v>1.0</v>
      </c>
      <c r="K1782" s="8">
        <v>1.0</v>
      </c>
      <c r="L1782" s="8">
        <v>6.0</v>
      </c>
      <c r="M1782" s="8"/>
      <c r="N1782" s="8"/>
      <c r="O1782" s="8" t="s">
        <v>773</v>
      </c>
      <c r="P1782" s="8">
        <v>6.0</v>
      </c>
    </row>
    <row r="1783">
      <c r="A1783">
        <f>IFERROR(__xludf.DUMMYFUNCTION("""COMPUTED_VALUE"""),6.0)</f>
        <v>6</v>
      </c>
      <c r="B1783">
        <f>IFERROR(__xludf.DUMMYFUNCTION("""COMPUTED_VALUE"""),31112.0)</f>
        <v>31112</v>
      </c>
      <c r="C1783" t="str">
        <f>IFERROR(__xludf.DUMMYFUNCTION("""COMPUTED_VALUE"""),"SALAZAR BOTERO, FEDERICO")</f>
        <v>SALAZAR BOTERO, FEDERICO</v>
      </c>
      <c r="D1783" t="str">
        <f>IFERROR(__xludf.DUMMYFUNCTION("""COMPUTED_VALUE"""),"Spanish 6")</f>
        <v>Spanish 6</v>
      </c>
      <c r="E1783" s="31">
        <f>IFERROR(__xludf.DUMMYFUNCTION("""COMPUTED_VALUE"""),4.0)</f>
        <v>4</v>
      </c>
      <c r="F1783" s="8">
        <v>1.0</v>
      </c>
      <c r="G1783" s="8">
        <v>1.0</v>
      </c>
      <c r="H1783" s="8">
        <v>1.0</v>
      </c>
      <c r="I1783" s="8">
        <v>1.0</v>
      </c>
      <c r="J1783" s="8">
        <v>1.0</v>
      </c>
      <c r="K1783" s="8">
        <v>1.0</v>
      </c>
      <c r="L1783" s="8">
        <v>6.0</v>
      </c>
      <c r="M1783" s="8"/>
      <c r="N1783" s="8"/>
      <c r="O1783" s="8" t="s">
        <v>772</v>
      </c>
      <c r="P1783" s="8">
        <v>6.0</v>
      </c>
    </row>
    <row r="1784">
      <c r="A1784">
        <f>IFERROR(__xludf.DUMMYFUNCTION("""COMPUTED_VALUE"""),6.0)</f>
        <v>6</v>
      </c>
      <c r="B1784">
        <f>IFERROR(__xludf.DUMMYFUNCTION("""COMPUTED_VALUE"""),31153.0)</f>
        <v>31153</v>
      </c>
      <c r="C1784" t="str">
        <f>IFERROR(__xludf.DUMMYFUNCTION("""COMPUTED_VALUE"""),"SALCEDO PERICO, JACOBO")</f>
        <v>SALCEDO PERICO, JACOBO</v>
      </c>
      <c r="D1784" t="str">
        <f>IFERROR(__xludf.DUMMYFUNCTION("""COMPUTED_VALUE"""),"Spanish 6A")</f>
        <v>Spanish 6A</v>
      </c>
      <c r="E1784" s="31">
        <f>IFERROR(__xludf.DUMMYFUNCTION("""COMPUTED_VALUE"""),4.0)</f>
        <v>4</v>
      </c>
      <c r="F1784" s="8">
        <v>1.0</v>
      </c>
      <c r="G1784" s="8">
        <v>1.0</v>
      </c>
      <c r="H1784" s="8">
        <v>1.0</v>
      </c>
      <c r="I1784" s="8">
        <v>1.0</v>
      </c>
      <c r="J1784" s="8">
        <v>1.0</v>
      </c>
      <c r="K1784" s="8">
        <v>1.0</v>
      </c>
      <c r="L1784" s="8">
        <v>6.0</v>
      </c>
      <c r="M1784" s="8"/>
      <c r="N1784" s="8"/>
      <c r="O1784" s="8" t="s">
        <v>776</v>
      </c>
      <c r="P1784" s="8" t="e">
        <v>#N/A</v>
      </c>
    </row>
    <row r="1785">
      <c r="A1785">
        <f>IFERROR(__xludf.DUMMYFUNCTION("""COMPUTED_VALUE"""),6.0)</f>
        <v>6</v>
      </c>
      <c r="B1785">
        <f>IFERROR(__xludf.DUMMYFUNCTION("""COMPUTED_VALUE"""),31113.0)</f>
        <v>31113</v>
      </c>
      <c r="C1785" t="str">
        <f>IFERROR(__xludf.DUMMYFUNCTION("""COMPUTED_VALUE"""),"SANTAMARIA SALDARRIAGA, JUAN MARTIN")</f>
        <v>SANTAMARIA SALDARRIAGA, JUAN MARTIN</v>
      </c>
      <c r="D1785" t="str">
        <f>IFERROR(__xludf.DUMMYFUNCTION("""COMPUTED_VALUE"""),"Spanish 6A")</f>
        <v>Spanish 6A</v>
      </c>
      <c r="E1785" s="31">
        <f>IFERROR(__xludf.DUMMYFUNCTION("""COMPUTED_VALUE"""),4.0)</f>
        <v>4</v>
      </c>
      <c r="F1785" s="8">
        <v>1.0</v>
      </c>
      <c r="G1785" s="8">
        <v>1.0</v>
      </c>
      <c r="H1785" s="8">
        <v>1.0</v>
      </c>
      <c r="I1785" s="8">
        <v>1.0</v>
      </c>
      <c r="J1785" s="8">
        <v>1.0</v>
      </c>
      <c r="K1785" s="8">
        <v>1.0</v>
      </c>
      <c r="L1785" s="8">
        <v>6.0</v>
      </c>
      <c r="M1785" s="8"/>
      <c r="N1785" s="8"/>
      <c r="O1785" s="8" t="s">
        <v>776</v>
      </c>
      <c r="P1785" s="8" t="e">
        <v>#N/A</v>
      </c>
    </row>
    <row r="1786">
      <c r="A1786">
        <f>IFERROR(__xludf.DUMMYFUNCTION("""COMPUTED_VALUE"""),6.0)</f>
        <v>6</v>
      </c>
      <c r="B1786">
        <f>IFERROR(__xludf.DUMMYFUNCTION("""COMPUTED_VALUE"""),31114.0)</f>
        <v>31114</v>
      </c>
      <c r="C1786" t="str">
        <f>IFERROR(__xludf.DUMMYFUNCTION("""COMPUTED_VALUE"""),"SCHOBER OCAMPO, MIA")</f>
        <v>SCHOBER OCAMPO, MIA</v>
      </c>
      <c r="D1786" t="str">
        <f>IFERROR(__xludf.DUMMYFUNCTION("""COMPUTED_VALUE"""),"Spanish 6")</f>
        <v>Spanish 6</v>
      </c>
      <c r="E1786" s="31">
        <f>IFERROR(__xludf.DUMMYFUNCTION("""COMPUTED_VALUE"""),6.0)</f>
        <v>6</v>
      </c>
      <c r="F1786" s="8">
        <v>1.0</v>
      </c>
      <c r="G1786" s="8">
        <v>1.0</v>
      </c>
      <c r="H1786" s="8">
        <v>1.0</v>
      </c>
      <c r="I1786" s="8">
        <v>1.0</v>
      </c>
      <c r="J1786" s="8">
        <v>1.0</v>
      </c>
      <c r="K1786" s="8">
        <v>1.0</v>
      </c>
      <c r="L1786" s="8">
        <v>6.0</v>
      </c>
      <c r="M1786" s="8"/>
      <c r="N1786" s="8"/>
      <c r="O1786" s="8" t="s">
        <v>775</v>
      </c>
      <c r="P1786" s="8">
        <v>6.0</v>
      </c>
    </row>
    <row r="1787">
      <c r="A1787">
        <f>IFERROR(__xludf.DUMMYFUNCTION("""COMPUTED_VALUE"""),6.0)</f>
        <v>6</v>
      </c>
      <c r="B1787">
        <f>IFERROR(__xludf.DUMMYFUNCTION("""COMPUTED_VALUE"""),31115.0)</f>
        <v>31115</v>
      </c>
      <c r="C1787" t="str">
        <f>IFERROR(__xludf.DUMMYFUNCTION("""COMPUTED_VALUE"""),"SERANI ANGEL, TOMAS")</f>
        <v>SERANI ANGEL, TOMAS</v>
      </c>
      <c r="D1787" t="str">
        <f>IFERROR(__xludf.DUMMYFUNCTION("""COMPUTED_VALUE"""),"Spanish 6")</f>
        <v>Spanish 6</v>
      </c>
      <c r="E1787" s="31">
        <f>IFERROR(__xludf.DUMMYFUNCTION("""COMPUTED_VALUE"""),4.0)</f>
        <v>4</v>
      </c>
      <c r="F1787" s="8">
        <v>1.0</v>
      </c>
      <c r="G1787" s="8">
        <v>1.0</v>
      </c>
      <c r="H1787" s="8">
        <v>1.0</v>
      </c>
      <c r="I1787" s="8">
        <v>1.0</v>
      </c>
      <c r="J1787" s="8">
        <v>1.0</v>
      </c>
      <c r="K1787" s="8">
        <v>1.0</v>
      </c>
      <c r="L1787" s="8">
        <v>6.0</v>
      </c>
      <c r="M1787" s="8"/>
      <c r="N1787" s="8"/>
      <c r="O1787" s="8" t="s">
        <v>772</v>
      </c>
      <c r="P1787" s="8">
        <v>6.0</v>
      </c>
    </row>
    <row r="1788">
      <c r="A1788">
        <f>IFERROR(__xludf.DUMMYFUNCTION("""COMPUTED_VALUE"""),6.0)</f>
        <v>6</v>
      </c>
      <c r="B1788">
        <f>IFERROR(__xludf.DUMMYFUNCTION("""COMPUTED_VALUE"""),31116.0)</f>
        <v>31116</v>
      </c>
      <c r="C1788" t="str">
        <f>IFERROR(__xludf.DUMMYFUNCTION("""COMPUTED_VALUE"""),"SERRANO BARRENECHE, JUAN FELIPE")</f>
        <v>SERRANO BARRENECHE, JUAN FELIPE</v>
      </c>
      <c r="D1788" t="str">
        <f>IFERROR(__xludf.DUMMYFUNCTION("""COMPUTED_VALUE"""),"Spanish 6")</f>
        <v>Spanish 6</v>
      </c>
      <c r="E1788" s="31">
        <f>IFERROR(__xludf.DUMMYFUNCTION("""COMPUTED_VALUE"""),2.0)</f>
        <v>2</v>
      </c>
      <c r="F1788" s="8">
        <v>1.0</v>
      </c>
      <c r="G1788" s="8">
        <v>1.0</v>
      </c>
      <c r="H1788" s="8">
        <v>1.0</v>
      </c>
      <c r="I1788" s="8">
        <v>1.0</v>
      </c>
      <c r="J1788" s="8">
        <v>1.0</v>
      </c>
      <c r="K1788" s="8">
        <v>1.0</v>
      </c>
      <c r="L1788" s="8">
        <v>6.0</v>
      </c>
      <c r="M1788" s="8"/>
      <c r="N1788" s="8"/>
      <c r="O1788" s="8" t="s">
        <v>773</v>
      </c>
      <c r="P1788" s="8">
        <v>6.0</v>
      </c>
    </row>
    <row r="1789">
      <c r="A1789">
        <f>IFERROR(__xludf.DUMMYFUNCTION("""COMPUTED_VALUE"""),6.0)</f>
        <v>6</v>
      </c>
      <c r="B1789">
        <f>IFERROR(__xludf.DUMMYFUNCTION("""COMPUTED_VALUE"""),31117.0)</f>
        <v>31117</v>
      </c>
      <c r="C1789" t="str">
        <f>IFERROR(__xludf.DUMMYFUNCTION("""COMPUTED_VALUE"""),"SIERRA ECHAVARRIA, BENJAMIN")</f>
        <v>SIERRA ECHAVARRIA, BENJAMIN</v>
      </c>
      <c r="D1789" t="str">
        <f>IFERROR(__xludf.DUMMYFUNCTION("""COMPUTED_VALUE"""),"Spanish 6")</f>
        <v>Spanish 6</v>
      </c>
      <c r="E1789" s="31">
        <f>IFERROR(__xludf.DUMMYFUNCTION("""COMPUTED_VALUE"""),4.0)</f>
        <v>4</v>
      </c>
      <c r="F1789" s="8">
        <v>1.0</v>
      </c>
      <c r="G1789" s="8">
        <v>1.0</v>
      </c>
      <c r="H1789" s="8">
        <v>1.0</v>
      </c>
      <c r="I1789" s="8">
        <v>1.0</v>
      </c>
      <c r="J1789" s="8">
        <v>1.0</v>
      </c>
      <c r="K1789" s="8">
        <v>1.0</v>
      </c>
      <c r="L1789" s="8">
        <v>6.0</v>
      </c>
      <c r="M1789" s="8"/>
      <c r="N1789" s="8"/>
      <c r="O1789" s="8" t="s">
        <v>772</v>
      </c>
      <c r="P1789" s="8">
        <v>6.0</v>
      </c>
    </row>
    <row r="1790">
      <c r="A1790">
        <f>IFERROR(__xludf.DUMMYFUNCTION("""COMPUTED_VALUE"""),6.0)</f>
        <v>6</v>
      </c>
      <c r="B1790">
        <f>IFERROR(__xludf.DUMMYFUNCTION("""COMPUTED_VALUE"""),31118.0)</f>
        <v>31118</v>
      </c>
      <c r="C1790" t="str">
        <f>IFERROR(__xludf.DUMMYFUNCTION("""COMPUTED_VALUE"""),"TOBON PEÑALOZA, EMILIA")</f>
        <v>TOBON PEÑALOZA, EMILIA</v>
      </c>
      <c r="D1790" t="str">
        <f>IFERROR(__xludf.DUMMYFUNCTION("""COMPUTED_VALUE"""),"Spanish 6A")</f>
        <v>Spanish 6A</v>
      </c>
      <c r="E1790" s="31">
        <f>IFERROR(__xludf.DUMMYFUNCTION("""COMPUTED_VALUE"""),4.0)</f>
        <v>4</v>
      </c>
      <c r="F1790" s="8">
        <v>1.0</v>
      </c>
      <c r="G1790" s="8">
        <v>1.0</v>
      </c>
      <c r="H1790" s="8">
        <v>1.0</v>
      </c>
      <c r="I1790" s="8">
        <v>1.0</v>
      </c>
      <c r="J1790" s="8">
        <v>1.0</v>
      </c>
      <c r="K1790" s="8">
        <v>1.0</v>
      </c>
      <c r="L1790" s="8">
        <v>6.0</v>
      </c>
      <c r="M1790" s="8"/>
      <c r="N1790" s="8"/>
      <c r="O1790" s="8" t="s">
        <v>776</v>
      </c>
      <c r="P1790" s="8" t="e">
        <v>#N/A</v>
      </c>
    </row>
    <row r="1791">
      <c r="A1791">
        <f>IFERROR(__xludf.DUMMYFUNCTION("""COMPUTED_VALUE"""),6.0)</f>
        <v>6</v>
      </c>
      <c r="B1791">
        <f>IFERROR(__xludf.DUMMYFUNCTION("""COMPUTED_VALUE"""),31119.0)</f>
        <v>31119</v>
      </c>
      <c r="C1791" t="str">
        <f>IFERROR(__xludf.DUMMYFUNCTION("""COMPUTED_VALUE"""),"TOBON PEÑALOZA, JUAN")</f>
        <v>TOBON PEÑALOZA, JUAN</v>
      </c>
      <c r="D1791" t="str">
        <f>IFERROR(__xludf.DUMMYFUNCTION("""COMPUTED_VALUE"""),"Spanish 6")</f>
        <v>Spanish 6</v>
      </c>
      <c r="E1791" s="31">
        <f>IFERROR(__xludf.DUMMYFUNCTION("""COMPUTED_VALUE"""),2.0)</f>
        <v>2</v>
      </c>
      <c r="F1791" s="8">
        <v>1.0</v>
      </c>
      <c r="G1791" s="8">
        <v>1.0</v>
      </c>
      <c r="H1791" s="8">
        <v>1.0</v>
      </c>
      <c r="I1791" s="8">
        <v>1.0</v>
      </c>
      <c r="J1791" s="8">
        <v>1.0</v>
      </c>
      <c r="K1791" s="8">
        <v>1.0</v>
      </c>
      <c r="L1791" s="8">
        <v>6.0</v>
      </c>
      <c r="M1791" s="8"/>
      <c r="N1791" s="8"/>
      <c r="O1791" s="8" t="s">
        <v>773</v>
      </c>
      <c r="P1791" s="8">
        <v>6.0</v>
      </c>
    </row>
    <row r="1792">
      <c r="A1792">
        <f>IFERROR(__xludf.DUMMYFUNCTION("""COMPUTED_VALUE"""),6.0)</f>
        <v>6</v>
      </c>
      <c r="B1792">
        <f>IFERROR(__xludf.DUMMYFUNCTION("""COMPUTED_VALUE"""),31120.0)</f>
        <v>31120</v>
      </c>
      <c r="C1792" t="str">
        <f>IFERROR(__xludf.DUMMYFUNCTION("""COMPUTED_VALUE"""),"TORO PEREZ, GREGORIO")</f>
        <v>TORO PEREZ, GREGORIO</v>
      </c>
      <c r="D1792" t="str">
        <f>IFERROR(__xludf.DUMMYFUNCTION("""COMPUTED_VALUE"""),"Spanish 6")</f>
        <v>Spanish 6</v>
      </c>
      <c r="E1792" s="31">
        <f>IFERROR(__xludf.DUMMYFUNCTION("""COMPUTED_VALUE"""),2.0)</f>
        <v>2</v>
      </c>
      <c r="F1792" s="8">
        <v>1.0</v>
      </c>
      <c r="G1792" s="8">
        <v>1.0</v>
      </c>
      <c r="H1792" s="8">
        <v>1.0</v>
      </c>
      <c r="I1792" s="8">
        <v>1.0</v>
      </c>
      <c r="J1792" s="8">
        <v>1.0</v>
      </c>
      <c r="K1792" s="8">
        <v>1.0</v>
      </c>
      <c r="L1792" s="8">
        <v>6.0</v>
      </c>
      <c r="M1792" s="8"/>
      <c r="N1792" s="8"/>
      <c r="O1792" s="8" t="s">
        <v>773</v>
      </c>
      <c r="P1792" s="8">
        <v>6.0</v>
      </c>
    </row>
    <row r="1793">
      <c r="A1793">
        <f>IFERROR(__xludf.DUMMYFUNCTION("""COMPUTED_VALUE"""),6.0)</f>
        <v>6</v>
      </c>
      <c r="B1793">
        <f>IFERROR(__xludf.DUMMYFUNCTION("""COMPUTED_VALUE"""),31121.0)</f>
        <v>31121</v>
      </c>
      <c r="C1793" t="str">
        <f>IFERROR(__xludf.DUMMYFUNCTION("""COMPUTED_VALUE"""),"TRUJILLO ARANGO, MARTIN")</f>
        <v>TRUJILLO ARANGO, MARTIN</v>
      </c>
      <c r="D1793" t="str">
        <f>IFERROR(__xludf.DUMMYFUNCTION("""COMPUTED_VALUE"""),"Spanish 6")</f>
        <v>Spanish 6</v>
      </c>
      <c r="E1793" s="31">
        <f>IFERROR(__xludf.DUMMYFUNCTION("""COMPUTED_VALUE"""),1.0)</f>
        <v>1</v>
      </c>
      <c r="F1793" s="8">
        <v>1.0</v>
      </c>
      <c r="G1793" s="8">
        <v>1.0</v>
      </c>
      <c r="H1793" s="8">
        <v>1.0</v>
      </c>
      <c r="I1793" s="8">
        <v>1.0</v>
      </c>
      <c r="J1793" s="8">
        <v>1.0</v>
      </c>
      <c r="K1793" s="8">
        <v>1.0</v>
      </c>
      <c r="L1793" s="8">
        <v>6.0</v>
      </c>
      <c r="M1793" s="8"/>
      <c r="N1793" s="8"/>
      <c r="O1793" s="8" t="s">
        <v>771</v>
      </c>
      <c r="P1793" s="8">
        <v>6.0</v>
      </c>
    </row>
    <row r="1794">
      <c r="A1794">
        <f>IFERROR(__xludf.DUMMYFUNCTION("""COMPUTED_VALUE"""),6.0)</f>
        <v>6</v>
      </c>
      <c r="B1794">
        <f>IFERROR(__xludf.DUMMYFUNCTION("""COMPUTED_VALUE"""),30108.0)</f>
        <v>30108</v>
      </c>
      <c r="C1794" t="str">
        <f>IFERROR(__xludf.DUMMYFUNCTION("""COMPUTED_VALUE"""),"TRUJILLO BUITRAGO, MARTIN")</f>
        <v>TRUJILLO BUITRAGO, MARTIN</v>
      </c>
      <c r="D1794" t="str">
        <f>IFERROR(__xludf.DUMMYFUNCTION("""COMPUTED_VALUE"""),"Spanish 6")</f>
        <v>Spanish 6</v>
      </c>
      <c r="E1794" s="31">
        <f>IFERROR(__xludf.DUMMYFUNCTION("""COMPUTED_VALUE"""),3.0)</f>
        <v>3</v>
      </c>
      <c r="F1794" s="8">
        <v>1.0</v>
      </c>
      <c r="G1794" s="8">
        <v>1.0</v>
      </c>
      <c r="H1794" s="8">
        <v>1.0</v>
      </c>
      <c r="I1794" s="8">
        <v>1.0</v>
      </c>
      <c r="J1794" s="8">
        <v>1.0</v>
      </c>
      <c r="K1794" s="8">
        <v>1.0</v>
      </c>
      <c r="L1794" s="8">
        <v>6.0</v>
      </c>
      <c r="M1794" s="8"/>
      <c r="N1794" s="8"/>
      <c r="O1794" s="8" t="s">
        <v>774</v>
      </c>
      <c r="P1794" s="8">
        <v>6.0</v>
      </c>
    </row>
    <row r="1795">
      <c r="A1795">
        <f>IFERROR(__xludf.DUMMYFUNCTION("""COMPUTED_VALUE"""),6.0)</f>
        <v>6</v>
      </c>
      <c r="B1795">
        <f>IFERROR(__xludf.DUMMYFUNCTION("""COMPUTED_VALUE"""),31122.0)</f>
        <v>31122</v>
      </c>
      <c r="C1795" t="str">
        <f>IFERROR(__xludf.DUMMYFUNCTION("""COMPUTED_VALUE"""),"URDANETA MEJIA, GABRIELA")</f>
        <v>URDANETA MEJIA, GABRIELA</v>
      </c>
      <c r="D1795" t="str">
        <f>IFERROR(__xludf.DUMMYFUNCTION("""COMPUTED_VALUE"""),"Spanish 6")</f>
        <v>Spanish 6</v>
      </c>
      <c r="E1795" s="31">
        <f>IFERROR(__xludf.DUMMYFUNCTION("""COMPUTED_VALUE"""),1.0)</f>
        <v>1</v>
      </c>
      <c r="F1795" s="8">
        <v>1.0</v>
      </c>
      <c r="G1795" s="8">
        <v>1.0</v>
      </c>
      <c r="H1795" s="8">
        <v>1.0</v>
      </c>
      <c r="I1795" s="8">
        <v>1.0</v>
      </c>
      <c r="J1795" s="8">
        <v>1.0</v>
      </c>
      <c r="K1795" s="8">
        <v>1.0</v>
      </c>
      <c r="L1795" s="8">
        <v>6.0</v>
      </c>
      <c r="M1795" s="8"/>
      <c r="N1795" s="8"/>
      <c r="O1795" s="8" t="s">
        <v>771</v>
      </c>
      <c r="P1795" s="8">
        <v>6.0</v>
      </c>
    </row>
    <row r="1796">
      <c r="A1796">
        <f>IFERROR(__xludf.DUMMYFUNCTION("""COMPUTED_VALUE"""),6.0)</f>
        <v>6</v>
      </c>
      <c r="B1796">
        <f>IFERROR(__xludf.DUMMYFUNCTION("""COMPUTED_VALUE"""),31123.0)</f>
        <v>31123</v>
      </c>
      <c r="C1796" t="str">
        <f>IFERROR(__xludf.DUMMYFUNCTION("""COMPUTED_VALUE"""),"URIBE BOTERO, MANUEL")</f>
        <v>URIBE BOTERO, MANUEL</v>
      </c>
      <c r="D1796" t="str">
        <f>IFERROR(__xludf.DUMMYFUNCTION("""COMPUTED_VALUE"""),"Spanish 6")</f>
        <v>Spanish 6</v>
      </c>
      <c r="E1796" s="31">
        <f>IFERROR(__xludf.DUMMYFUNCTION("""COMPUTED_VALUE"""),4.0)</f>
        <v>4</v>
      </c>
      <c r="F1796" s="8">
        <v>1.0</v>
      </c>
      <c r="G1796" s="8">
        <v>1.0</v>
      </c>
      <c r="H1796" s="8">
        <v>1.0</v>
      </c>
      <c r="I1796" s="8">
        <v>1.0</v>
      </c>
      <c r="J1796" s="8">
        <v>1.0</v>
      </c>
      <c r="K1796" s="8">
        <v>1.0</v>
      </c>
      <c r="L1796" s="8">
        <v>6.0</v>
      </c>
      <c r="M1796" s="8"/>
      <c r="N1796" s="8"/>
      <c r="O1796" s="8" t="s">
        <v>772</v>
      </c>
      <c r="P1796" s="8">
        <v>6.0</v>
      </c>
    </row>
    <row r="1797">
      <c r="A1797">
        <f>IFERROR(__xludf.DUMMYFUNCTION("""COMPUTED_VALUE"""),6.0)</f>
        <v>6</v>
      </c>
      <c r="B1797">
        <f>IFERROR(__xludf.DUMMYFUNCTION("""COMPUTED_VALUE"""),31124.0)</f>
        <v>31124</v>
      </c>
      <c r="C1797" t="str">
        <f>IFERROR(__xludf.DUMMYFUNCTION("""COMPUTED_VALUE"""),"URIBE MEJIA, MARTINA")</f>
        <v>URIBE MEJIA, MARTINA</v>
      </c>
      <c r="D1797" t="str">
        <f>IFERROR(__xludf.DUMMYFUNCTION("""COMPUTED_VALUE"""),"Spanish 6")</f>
        <v>Spanish 6</v>
      </c>
      <c r="E1797" s="31">
        <f>IFERROR(__xludf.DUMMYFUNCTION("""COMPUTED_VALUE"""),4.0)</f>
        <v>4</v>
      </c>
      <c r="F1797" s="8">
        <v>1.0</v>
      </c>
      <c r="G1797" s="8">
        <v>1.0</v>
      </c>
      <c r="H1797" s="8">
        <v>1.0</v>
      </c>
      <c r="I1797" s="8">
        <v>1.0</v>
      </c>
      <c r="J1797" s="8">
        <v>1.0</v>
      </c>
      <c r="K1797" s="8">
        <v>1.0</v>
      </c>
      <c r="L1797" s="8">
        <v>6.0</v>
      </c>
      <c r="M1797" s="8"/>
      <c r="N1797" s="8"/>
      <c r="O1797" s="8" t="s">
        <v>772</v>
      </c>
      <c r="P1797" s="8">
        <v>6.0</v>
      </c>
    </row>
    <row r="1798">
      <c r="A1798">
        <f>IFERROR(__xludf.DUMMYFUNCTION("""COMPUTED_VALUE"""),6.0)</f>
        <v>6</v>
      </c>
      <c r="B1798">
        <f>IFERROR(__xludf.DUMMYFUNCTION("""COMPUTED_VALUE"""),31125.0)</f>
        <v>31125</v>
      </c>
      <c r="C1798" t="str">
        <f>IFERROR(__xludf.DUMMYFUNCTION("""COMPUTED_VALUE"""),"URIBE RODRIGUEZ, ANDRES")</f>
        <v>URIBE RODRIGUEZ, ANDRES</v>
      </c>
      <c r="D1798" t="str">
        <f>IFERROR(__xludf.DUMMYFUNCTION("""COMPUTED_VALUE"""),"Spanish 6")</f>
        <v>Spanish 6</v>
      </c>
      <c r="E1798" s="31">
        <f>IFERROR(__xludf.DUMMYFUNCTION("""COMPUTED_VALUE"""),4.0)</f>
        <v>4</v>
      </c>
      <c r="F1798" s="8">
        <v>1.0</v>
      </c>
      <c r="G1798" s="8">
        <v>1.0</v>
      </c>
      <c r="H1798" s="8">
        <v>1.0</v>
      </c>
      <c r="I1798" s="8">
        <v>1.0</v>
      </c>
      <c r="J1798" s="8">
        <v>1.0</v>
      </c>
      <c r="K1798" s="8">
        <v>1.0</v>
      </c>
      <c r="L1798" s="8">
        <v>6.0</v>
      </c>
      <c r="M1798" s="8"/>
      <c r="N1798" s="8"/>
      <c r="O1798" s="8" t="s">
        <v>772</v>
      </c>
      <c r="P1798" s="8">
        <v>6.0</v>
      </c>
    </row>
    <row r="1799">
      <c r="A1799">
        <f>IFERROR(__xludf.DUMMYFUNCTION("""COMPUTED_VALUE"""),6.0)</f>
        <v>6</v>
      </c>
      <c r="B1799">
        <f>IFERROR(__xludf.DUMMYFUNCTION("""COMPUTED_VALUE"""),31126.0)</f>
        <v>31126</v>
      </c>
      <c r="C1799" t="str">
        <f>IFERROR(__xludf.DUMMYFUNCTION("""COMPUTED_VALUE"""),"URIBE RUIZ, MANUEL")</f>
        <v>URIBE RUIZ, MANUEL</v>
      </c>
      <c r="D1799" t="str">
        <f>IFERROR(__xludf.DUMMYFUNCTION("""COMPUTED_VALUE"""),"Spanish 6")</f>
        <v>Spanish 6</v>
      </c>
      <c r="E1799" s="31">
        <f>IFERROR(__xludf.DUMMYFUNCTION("""COMPUTED_VALUE"""),3.0)</f>
        <v>3</v>
      </c>
      <c r="F1799" s="8">
        <v>1.0</v>
      </c>
      <c r="G1799" s="8">
        <v>1.0</v>
      </c>
      <c r="H1799" s="8">
        <v>1.0</v>
      </c>
      <c r="I1799" s="8">
        <v>1.0</v>
      </c>
      <c r="J1799" s="8">
        <v>1.0</v>
      </c>
      <c r="K1799" s="8">
        <v>1.0</v>
      </c>
      <c r="L1799" s="8">
        <v>6.0</v>
      </c>
      <c r="M1799" s="8"/>
      <c r="N1799" s="8"/>
      <c r="O1799" s="8" t="s">
        <v>774</v>
      </c>
      <c r="P1799" s="8">
        <v>6.0</v>
      </c>
    </row>
    <row r="1800">
      <c r="A1800">
        <f>IFERROR(__xludf.DUMMYFUNCTION("""COMPUTED_VALUE"""),6.0)</f>
        <v>6</v>
      </c>
      <c r="B1800">
        <f>IFERROR(__xludf.DUMMYFUNCTION("""COMPUTED_VALUE"""),31127.0)</f>
        <v>31127</v>
      </c>
      <c r="C1800" t="str">
        <f>IFERROR(__xludf.DUMMYFUNCTION("""COMPUTED_VALUE"""),"URIBE VELASQUEZ, JERONIMO")</f>
        <v>URIBE VELASQUEZ, JERONIMO</v>
      </c>
      <c r="D1800" t="str">
        <f>IFERROR(__xludf.DUMMYFUNCTION("""COMPUTED_VALUE"""),"Spanish 6")</f>
        <v>Spanish 6</v>
      </c>
      <c r="E1800" s="31">
        <f>IFERROR(__xludf.DUMMYFUNCTION("""COMPUTED_VALUE"""),6.0)</f>
        <v>6</v>
      </c>
      <c r="F1800" s="8">
        <v>1.0</v>
      </c>
      <c r="G1800" s="8">
        <v>1.0</v>
      </c>
      <c r="H1800" s="8">
        <v>1.0</v>
      </c>
      <c r="I1800" s="8">
        <v>1.0</v>
      </c>
      <c r="J1800" s="8">
        <v>1.0</v>
      </c>
      <c r="K1800" s="8">
        <v>1.0</v>
      </c>
      <c r="L1800" s="8">
        <v>6.0</v>
      </c>
      <c r="M1800" s="8"/>
      <c r="N1800" s="8"/>
      <c r="O1800" s="8" t="s">
        <v>775</v>
      </c>
      <c r="P1800" s="8">
        <v>6.0</v>
      </c>
    </row>
    <row r="1801">
      <c r="A1801">
        <f>IFERROR(__xludf.DUMMYFUNCTION("""COMPUTED_VALUE"""),6.0)</f>
        <v>6</v>
      </c>
      <c r="B1801">
        <f>IFERROR(__xludf.DUMMYFUNCTION("""COMPUTED_VALUE"""),31128.0)</f>
        <v>31128</v>
      </c>
      <c r="C1801" t="str">
        <f>IFERROR(__xludf.DUMMYFUNCTION("""COMPUTED_VALUE"""),"URRETA HENAO, PEDRO")</f>
        <v>URRETA HENAO, PEDRO</v>
      </c>
      <c r="D1801" t="str">
        <f>IFERROR(__xludf.DUMMYFUNCTION("""COMPUTED_VALUE"""),"Spanish 6")</f>
        <v>Spanish 6</v>
      </c>
      <c r="E1801" s="31">
        <f>IFERROR(__xludf.DUMMYFUNCTION("""COMPUTED_VALUE"""),2.0)</f>
        <v>2</v>
      </c>
      <c r="F1801" s="8">
        <v>1.0</v>
      </c>
      <c r="G1801" s="8">
        <v>1.0</v>
      </c>
      <c r="H1801" s="8">
        <v>1.0</v>
      </c>
      <c r="I1801" s="8">
        <v>1.0</v>
      </c>
      <c r="J1801" s="8">
        <v>1.0</v>
      </c>
      <c r="K1801" s="8">
        <v>1.0</v>
      </c>
      <c r="L1801" s="8">
        <v>6.0</v>
      </c>
      <c r="M1801" s="8"/>
      <c r="N1801" s="8"/>
      <c r="O1801" s="8" t="s">
        <v>773</v>
      </c>
      <c r="P1801" s="8">
        <v>6.0</v>
      </c>
    </row>
    <row r="1802">
      <c r="A1802">
        <f>IFERROR(__xludf.DUMMYFUNCTION("""COMPUTED_VALUE"""),6.0)</f>
        <v>6</v>
      </c>
      <c r="B1802">
        <f>IFERROR(__xludf.DUMMYFUNCTION("""COMPUTED_VALUE"""),31165.0)</f>
        <v>31165</v>
      </c>
      <c r="C1802" t="str">
        <f>IFERROR(__xludf.DUMMYFUNCTION("""COMPUTED_VALUE"""),"VALDEZ URIBE, SAMANTHA")</f>
        <v>VALDEZ URIBE, SAMANTHA</v>
      </c>
      <c r="D1802" t="str">
        <f>IFERROR(__xludf.DUMMYFUNCTION("""COMPUTED_VALUE"""),"Spanish 6A")</f>
        <v>Spanish 6A</v>
      </c>
      <c r="E1802" s="31">
        <f>IFERROR(__xludf.DUMMYFUNCTION("""COMPUTED_VALUE"""),4.0)</f>
        <v>4</v>
      </c>
      <c r="F1802" s="8">
        <v>1.0</v>
      </c>
      <c r="G1802" s="8">
        <v>1.0</v>
      </c>
      <c r="H1802" s="8">
        <v>1.0</v>
      </c>
      <c r="I1802" s="8">
        <v>1.0</v>
      </c>
      <c r="J1802" s="8">
        <v>1.0</v>
      </c>
      <c r="K1802" s="8">
        <v>1.0</v>
      </c>
      <c r="L1802" s="8">
        <v>6.0</v>
      </c>
      <c r="M1802" s="8"/>
      <c r="N1802" s="8"/>
      <c r="O1802" s="8" t="s">
        <v>776</v>
      </c>
      <c r="P1802" s="8" t="e">
        <v>#N/A</v>
      </c>
    </row>
    <row r="1803">
      <c r="A1803">
        <f>IFERROR(__xludf.DUMMYFUNCTION("""COMPUTED_VALUE"""),6.0)</f>
        <v>6</v>
      </c>
      <c r="B1803">
        <f>IFERROR(__xludf.DUMMYFUNCTION("""COMPUTED_VALUE"""),31129.0)</f>
        <v>31129</v>
      </c>
      <c r="C1803" t="str">
        <f>IFERROR(__xludf.DUMMYFUNCTION("""COMPUTED_VALUE"""),"VALENCIA VILLEGAS, ELENA")</f>
        <v>VALENCIA VILLEGAS, ELENA</v>
      </c>
      <c r="D1803" t="str">
        <f>IFERROR(__xludf.DUMMYFUNCTION("""COMPUTED_VALUE"""),"Spanish 6")</f>
        <v>Spanish 6</v>
      </c>
      <c r="E1803" s="31">
        <f>IFERROR(__xludf.DUMMYFUNCTION("""COMPUTED_VALUE"""),6.0)</f>
        <v>6</v>
      </c>
      <c r="F1803" s="8">
        <v>1.0</v>
      </c>
      <c r="G1803" s="8">
        <v>1.0</v>
      </c>
      <c r="H1803" s="8">
        <v>1.0</v>
      </c>
      <c r="I1803" s="8">
        <v>1.0</v>
      </c>
      <c r="J1803" s="8">
        <v>1.0</v>
      </c>
      <c r="K1803" s="8">
        <v>1.0</v>
      </c>
      <c r="L1803" s="8">
        <v>6.0</v>
      </c>
      <c r="M1803" s="8"/>
      <c r="N1803" s="8"/>
      <c r="O1803" s="8" t="s">
        <v>775</v>
      </c>
      <c r="P1803" s="8">
        <v>6.0</v>
      </c>
    </row>
    <row r="1804">
      <c r="A1804">
        <f>IFERROR(__xludf.DUMMYFUNCTION("""COMPUTED_VALUE"""),6.0)</f>
        <v>6</v>
      </c>
      <c r="B1804">
        <f>IFERROR(__xludf.DUMMYFUNCTION("""COMPUTED_VALUE"""),31130.0)</f>
        <v>31130</v>
      </c>
      <c r="C1804" t="str">
        <f>IFERROR(__xludf.DUMMYFUNCTION("""COMPUTED_VALUE"""),"VARGAS ACEVEDO, DANTE")</f>
        <v>VARGAS ACEVEDO, DANTE</v>
      </c>
      <c r="D1804" t="str">
        <f>IFERROR(__xludf.DUMMYFUNCTION("""COMPUTED_VALUE"""),"Spanish 6")</f>
        <v>Spanish 6</v>
      </c>
      <c r="E1804" s="31">
        <f>IFERROR(__xludf.DUMMYFUNCTION("""COMPUTED_VALUE"""),3.0)</f>
        <v>3</v>
      </c>
      <c r="F1804" s="8">
        <v>1.0</v>
      </c>
      <c r="G1804" s="8">
        <v>1.0</v>
      </c>
      <c r="H1804" s="8">
        <v>1.0</v>
      </c>
      <c r="I1804" s="8">
        <v>1.0</v>
      </c>
      <c r="J1804" s="8">
        <v>1.0</v>
      </c>
      <c r="K1804" s="8">
        <v>1.0</v>
      </c>
      <c r="L1804" s="8">
        <v>6.0</v>
      </c>
      <c r="M1804" s="8"/>
      <c r="N1804" s="8"/>
      <c r="O1804" s="8" t="s">
        <v>774</v>
      </c>
      <c r="P1804" s="8">
        <v>6.0</v>
      </c>
    </row>
    <row r="1805">
      <c r="A1805">
        <f>IFERROR(__xludf.DUMMYFUNCTION("""COMPUTED_VALUE"""),6.0)</f>
        <v>6</v>
      </c>
      <c r="B1805">
        <f>IFERROR(__xludf.DUMMYFUNCTION("""COMPUTED_VALUE"""),31132.0)</f>
        <v>31132</v>
      </c>
      <c r="C1805" t="str">
        <f>IFERROR(__xludf.DUMMYFUNCTION("""COMPUTED_VALUE"""),"VASQUEZ HENAO, MATIAS")</f>
        <v>VASQUEZ HENAO, MATIAS</v>
      </c>
      <c r="D1805" t="str">
        <f>IFERROR(__xludf.DUMMYFUNCTION("""COMPUTED_VALUE"""),"Spanish 6")</f>
        <v>Spanish 6</v>
      </c>
      <c r="E1805" s="31">
        <f>IFERROR(__xludf.DUMMYFUNCTION("""COMPUTED_VALUE"""),1.0)</f>
        <v>1</v>
      </c>
      <c r="F1805" s="8">
        <v>1.0</v>
      </c>
      <c r="G1805" s="8">
        <v>1.0</v>
      </c>
      <c r="H1805" s="8">
        <v>1.0</v>
      </c>
      <c r="I1805" s="8">
        <v>1.0</v>
      </c>
      <c r="J1805" s="8">
        <v>1.0</v>
      </c>
      <c r="K1805" s="8">
        <v>1.0</v>
      </c>
      <c r="L1805" s="8">
        <v>6.0</v>
      </c>
      <c r="M1805" s="8"/>
      <c r="N1805" s="8"/>
      <c r="O1805" s="8" t="s">
        <v>771</v>
      </c>
      <c r="P1805" s="8">
        <v>6.0</v>
      </c>
    </row>
    <row r="1806">
      <c r="A1806">
        <f>IFERROR(__xludf.DUMMYFUNCTION("""COMPUTED_VALUE"""),6.0)</f>
        <v>6</v>
      </c>
      <c r="B1806">
        <f>IFERROR(__xludf.DUMMYFUNCTION("""COMPUTED_VALUE"""),30118.0)</f>
        <v>30118</v>
      </c>
      <c r="C1806" t="str">
        <f>IFERROR(__xludf.DUMMYFUNCTION("""COMPUTED_VALUE"""),"VASQUEZ MEDINA, MATIAS")</f>
        <v>VASQUEZ MEDINA, MATIAS</v>
      </c>
      <c r="D1806" t="str">
        <f>IFERROR(__xludf.DUMMYFUNCTION("""COMPUTED_VALUE"""),"Spanish 6A")</f>
        <v>Spanish 6A</v>
      </c>
      <c r="E1806" s="31">
        <f>IFERROR(__xludf.DUMMYFUNCTION("""COMPUTED_VALUE"""),4.0)</f>
        <v>4</v>
      </c>
      <c r="F1806" s="8">
        <v>1.0</v>
      </c>
      <c r="G1806" s="8">
        <v>1.0</v>
      </c>
      <c r="H1806" s="8">
        <v>1.0</v>
      </c>
      <c r="I1806" s="8">
        <v>1.0</v>
      </c>
      <c r="J1806" s="8">
        <v>1.0</v>
      </c>
      <c r="K1806" s="8">
        <v>1.0</v>
      </c>
      <c r="L1806" s="8">
        <v>6.0</v>
      </c>
      <c r="M1806" s="8"/>
      <c r="N1806" s="8"/>
      <c r="O1806" s="8" t="s">
        <v>776</v>
      </c>
      <c r="P1806" s="8" t="e">
        <v>#N/A</v>
      </c>
    </row>
    <row r="1807">
      <c r="A1807">
        <f>IFERROR(__xludf.DUMMYFUNCTION("""COMPUTED_VALUE"""),6.0)</f>
        <v>6</v>
      </c>
      <c r="B1807">
        <f>IFERROR(__xludf.DUMMYFUNCTION("""COMPUTED_VALUE"""),31134.0)</f>
        <v>31134</v>
      </c>
      <c r="C1807" t="str">
        <f>IFERROR(__xludf.DUMMYFUNCTION("""COMPUTED_VALUE"""),"VELEZ ARANGO, LAURA")</f>
        <v>VELEZ ARANGO, LAURA</v>
      </c>
      <c r="D1807" t="str">
        <f>IFERROR(__xludf.DUMMYFUNCTION("""COMPUTED_VALUE"""),"Spanish 6")</f>
        <v>Spanish 6</v>
      </c>
      <c r="E1807" s="31">
        <f>IFERROR(__xludf.DUMMYFUNCTION("""COMPUTED_VALUE"""),3.0)</f>
        <v>3</v>
      </c>
      <c r="F1807" s="8">
        <v>1.0</v>
      </c>
      <c r="G1807" s="8">
        <v>1.0</v>
      </c>
      <c r="H1807" s="8">
        <v>1.0</v>
      </c>
      <c r="I1807" s="8">
        <v>1.0</v>
      </c>
      <c r="J1807" s="8">
        <v>1.0</v>
      </c>
      <c r="K1807" s="8">
        <v>1.0</v>
      </c>
      <c r="L1807" s="8">
        <v>6.0</v>
      </c>
      <c r="M1807" s="8"/>
      <c r="N1807" s="8"/>
      <c r="O1807" s="8" t="s">
        <v>774</v>
      </c>
      <c r="P1807" s="8">
        <v>6.0</v>
      </c>
    </row>
    <row r="1808">
      <c r="A1808">
        <f>IFERROR(__xludf.DUMMYFUNCTION("""COMPUTED_VALUE"""),6.0)</f>
        <v>6</v>
      </c>
      <c r="B1808">
        <f>IFERROR(__xludf.DUMMYFUNCTION("""COMPUTED_VALUE"""),31135.0)</f>
        <v>31135</v>
      </c>
      <c r="C1808" t="str">
        <f>IFERROR(__xludf.DUMMYFUNCTION("""COMPUTED_VALUE"""),"VELEZ ARANGO, PEDRO")</f>
        <v>VELEZ ARANGO, PEDRO</v>
      </c>
      <c r="D1808" t="str">
        <f>IFERROR(__xludf.DUMMYFUNCTION("""COMPUTED_VALUE"""),"Spanish 6")</f>
        <v>Spanish 6</v>
      </c>
      <c r="E1808" s="31">
        <f>IFERROR(__xludf.DUMMYFUNCTION("""COMPUTED_VALUE"""),1.0)</f>
        <v>1</v>
      </c>
      <c r="F1808" s="8">
        <v>1.0</v>
      </c>
      <c r="G1808" s="8">
        <v>1.0</v>
      </c>
      <c r="H1808" s="8">
        <v>1.0</v>
      </c>
      <c r="I1808" s="8">
        <v>1.0</v>
      </c>
      <c r="J1808" s="8">
        <v>1.0</v>
      </c>
      <c r="K1808" s="8">
        <v>1.0</v>
      </c>
      <c r="L1808" s="8">
        <v>6.0</v>
      </c>
      <c r="M1808" s="8"/>
      <c r="N1808" s="8"/>
      <c r="O1808" s="8" t="s">
        <v>771</v>
      </c>
      <c r="P1808" s="8">
        <v>6.0</v>
      </c>
    </row>
    <row r="1809">
      <c r="A1809">
        <f>IFERROR(__xludf.DUMMYFUNCTION("""COMPUTED_VALUE"""),6.0)</f>
        <v>6</v>
      </c>
      <c r="B1809">
        <f>IFERROR(__xludf.DUMMYFUNCTION("""COMPUTED_VALUE"""),31174.0)</f>
        <v>31174</v>
      </c>
      <c r="C1809" t="str">
        <f>IFERROR(__xludf.DUMMYFUNCTION("""COMPUTED_VALUE"""),"WILSON, HERBERT GEORGE")</f>
        <v>WILSON, HERBERT GEORGE</v>
      </c>
      <c r="D1809" t="str">
        <f>IFERROR(__xludf.DUMMYFUNCTION("""COMPUTED_VALUE"""),"SAL")</f>
        <v>SAL</v>
      </c>
      <c r="E1809" s="31">
        <f>IFERROR(__xludf.DUMMYFUNCTION("""COMPUTED_VALUE"""),2.0)</f>
        <v>2</v>
      </c>
      <c r="F1809" s="8">
        <v>1.0</v>
      </c>
      <c r="G1809" s="8">
        <v>1.0</v>
      </c>
      <c r="H1809" s="8">
        <v>1.0</v>
      </c>
      <c r="I1809" s="8">
        <v>1.0</v>
      </c>
      <c r="J1809" s="8">
        <v>1.0</v>
      </c>
      <c r="K1809" s="8">
        <v>1.0</v>
      </c>
      <c r="L1809" s="8">
        <v>6.0</v>
      </c>
      <c r="M1809" s="8"/>
      <c r="N1809" s="8"/>
      <c r="O1809" s="8" t="s">
        <v>777</v>
      </c>
      <c r="P1809" s="8" t="e">
        <v>#N/A</v>
      </c>
    </row>
    <row r="1810">
      <c r="A1810">
        <f>IFERROR(__xludf.DUMMYFUNCTION("""COMPUTED_VALUE"""),6.0)</f>
        <v>6</v>
      </c>
      <c r="B1810">
        <f>IFERROR(__xludf.DUMMYFUNCTION("""COMPUTED_VALUE"""),31136.0)</f>
        <v>31136</v>
      </c>
      <c r="C1810" t="str">
        <f>IFERROR(__xludf.DUMMYFUNCTION("""COMPUTED_VALUE"""),"YANOVICH URIBE, MARCOS")</f>
        <v>YANOVICH URIBE, MARCOS</v>
      </c>
      <c r="D1810" t="str">
        <f>IFERROR(__xludf.DUMMYFUNCTION("""COMPUTED_VALUE"""),"Spanish 6")</f>
        <v>Spanish 6</v>
      </c>
      <c r="E1810" s="31">
        <f>IFERROR(__xludf.DUMMYFUNCTION("""COMPUTED_VALUE"""),6.0)</f>
        <v>6</v>
      </c>
      <c r="F1810" s="8">
        <v>1.0</v>
      </c>
      <c r="G1810" s="8">
        <v>1.0</v>
      </c>
      <c r="H1810" s="8">
        <v>1.0</v>
      </c>
      <c r="I1810" s="8">
        <v>1.0</v>
      </c>
      <c r="J1810" s="8">
        <v>1.0</v>
      </c>
      <c r="K1810" s="8">
        <v>1.0</v>
      </c>
      <c r="L1810" s="8">
        <v>6.0</v>
      </c>
      <c r="M1810" s="8"/>
      <c r="N1810" s="8"/>
      <c r="O1810" s="8" t="s">
        <v>775</v>
      </c>
      <c r="P1810" s="8">
        <v>6.0</v>
      </c>
    </row>
    <row r="1811">
      <c r="A1811">
        <f>IFERROR(__xludf.DUMMYFUNCTION("""COMPUTED_VALUE"""),6.0)</f>
        <v>6</v>
      </c>
      <c r="B1811">
        <f>IFERROR(__xludf.DUMMYFUNCTION("""COMPUTED_VALUE"""),30157.0)</f>
        <v>30157</v>
      </c>
      <c r="C1811" t="str">
        <f>IFERROR(__xludf.DUMMYFUNCTION("""COMPUTED_VALUE"""),"ZARRUK BELTRAN, ALEJANDRO")</f>
        <v>ZARRUK BELTRAN, ALEJANDRO</v>
      </c>
      <c r="D1811" t="str">
        <f>IFERROR(__xludf.DUMMYFUNCTION("""COMPUTED_VALUE"""),"Spanish 6")</f>
        <v>Spanish 6</v>
      </c>
      <c r="E1811" s="31">
        <f>IFERROR(__xludf.DUMMYFUNCTION("""COMPUTED_VALUE"""),4.0)</f>
        <v>4</v>
      </c>
      <c r="F1811" s="8">
        <v>1.0</v>
      </c>
      <c r="G1811" s="8">
        <v>1.0</v>
      </c>
      <c r="H1811" s="8">
        <v>1.0</v>
      </c>
      <c r="I1811" s="8">
        <v>1.0</v>
      </c>
      <c r="J1811" s="8">
        <v>1.0</v>
      </c>
      <c r="K1811" s="8">
        <v>1.0</v>
      </c>
      <c r="L1811" s="8">
        <v>6.0</v>
      </c>
      <c r="M1811" s="8"/>
      <c r="N1811" s="8"/>
      <c r="O1811" s="8" t="s">
        <v>772</v>
      </c>
      <c r="P1811" s="8">
        <v>6.0</v>
      </c>
    </row>
    <row r="1812">
      <c r="A1812">
        <f>IFERROR(__xludf.DUMMYFUNCTION("""COMPUTED_VALUE"""),6.0)</f>
        <v>6</v>
      </c>
      <c r="B1812">
        <f>IFERROR(__xludf.DUMMYFUNCTION("""COMPUTED_VALUE"""),31138.0)</f>
        <v>31138</v>
      </c>
      <c r="C1812" t="str">
        <f>IFERROR(__xludf.DUMMYFUNCTION("""COMPUTED_VALUE"""),"ZULOAGA MUÑOZ, PEDRO")</f>
        <v>ZULOAGA MUÑOZ, PEDRO</v>
      </c>
      <c r="D1812" t="str">
        <f>IFERROR(__xludf.DUMMYFUNCTION("""COMPUTED_VALUE"""),"Spanish 6")</f>
        <v>Spanish 6</v>
      </c>
      <c r="E1812" s="31">
        <f>IFERROR(__xludf.DUMMYFUNCTION("""COMPUTED_VALUE"""),4.0)</f>
        <v>4</v>
      </c>
      <c r="F1812" s="8">
        <v>1.0</v>
      </c>
      <c r="G1812" s="8">
        <v>1.0</v>
      </c>
      <c r="H1812" s="8">
        <v>1.0</v>
      </c>
      <c r="I1812" s="8">
        <v>1.0</v>
      </c>
      <c r="J1812" s="8">
        <v>1.0</v>
      </c>
      <c r="K1812" s="8">
        <v>1.0</v>
      </c>
      <c r="L1812" s="8">
        <v>6.0</v>
      </c>
      <c r="M1812" s="8"/>
      <c r="N1812" s="8"/>
      <c r="O1812" s="8" t="s">
        <v>772</v>
      </c>
      <c r="P1812" s="8">
        <v>6.0</v>
      </c>
    </row>
    <row r="1813">
      <c r="A1813">
        <f>IFERROR(__xludf.DUMMYFUNCTION("""COMPUTED_VALUE"""),6.0)</f>
        <v>6</v>
      </c>
      <c r="B1813">
        <f>IFERROR(__xludf.DUMMYFUNCTION("""COMPUTED_VALUE"""),31137.0)</f>
        <v>31137</v>
      </c>
      <c r="C1813" t="str">
        <f>IFERROR(__xludf.DUMMYFUNCTION("""COMPUTED_VALUE"""),"ZULUAGA HOYOS, ALEJANDRO")</f>
        <v>ZULUAGA HOYOS, ALEJANDRO</v>
      </c>
      <c r="D1813" t="str">
        <f>IFERROR(__xludf.DUMMYFUNCTION("""COMPUTED_VALUE"""),"Spanish 6")</f>
        <v>Spanish 6</v>
      </c>
      <c r="E1813" s="31">
        <f>IFERROR(__xludf.DUMMYFUNCTION("""COMPUTED_VALUE"""),3.0)</f>
        <v>3</v>
      </c>
      <c r="F1813" s="8">
        <v>1.0</v>
      </c>
      <c r="G1813" s="8">
        <v>1.0</v>
      </c>
      <c r="H1813" s="8">
        <v>1.0</v>
      </c>
      <c r="I1813" s="8">
        <v>1.0</v>
      </c>
      <c r="J1813" s="8">
        <v>1.0</v>
      </c>
      <c r="K1813" s="8">
        <v>1.0</v>
      </c>
      <c r="L1813" s="8">
        <v>6.0</v>
      </c>
      <c r="M1813" s="8"/>
      <c r="N1813" s="8"/>
      <c r="O1813" s="8" t="s">
        <v>774</v>
      </c>
      <c r="P1813" s="8">
        <v>6.0</v>
      </c>
    </row>
    <row r="1814">
      <c r="A1814">
        <f>IFERROR(__xludf.DUMMYFUNCTION("""COMPUTED_VALUE"""),7.0)</f>
        <v>7</v>
      </c>
      <c r="B1814">
        <f>IFERROR(__xludf.DUMMYFUNCTION("""COMPUTED_VALUE"""),30001.0)</f>
        <v>30001</v>
      </c>
      <c r="C1814" t="str">
        <f>IFERROR(__xludf.DUMMYFUNCTION("""COMPUTED_VALUE"""),"ALVAREZ GOMEZ, FEDERICO")</f>
        <v>ALVAREZ GOMEZ, FEDERICO</v>
      </c>
      <c r="D1814" t="str">
        <f>IFERROR(__xludf.DUMMYFUNCTION("""COMPUTED_VALUE"""),"Spanish 7")</f>
        <v>Spanish 7</v>
      </c>
      <c r="E1814" s="31">
        <f>IFERROR(__xludf.DUMMYFUNCTION("""COMPUTED_VALUE"""),3.0)</f>
        <v>3</v>
      </c>
      <c r="F1814" s="8">
        <v>1.0</v>
      </c>
      <c r="G1814" s="8">
        <v>1.0</v>
      </c>
      <c r="H1814" s="8">
        <v>1.0</v>
      </c>
      <c r="I1814" s="8">
        <v>1.0</v>
      </c>
      <c r="J1814" s="8">
        <v>1.0</v>
      </c>
      <c r="K1814" s="8">
        <v>1.0</v>
      </c>
      <c r="L1814" s="8">
        <v>6.0</v>
      </c>
      <c r="M1814" s="8"/>
      <c r="N1814" s="8"/>
      <c r="O1814" s="8" t="s">
        <v>778</v>
      </c>
      <c r="P1814" s="8">
        <v>6.0</v>
      </c>
    </row>
    <row r="1815">
      <c r="A1815">
        <f>IFERROR(__xludf.DUMMYFUNCTION("""COMPUTED_VALUE"""),7.0)</f>
        <v>7</v>
      </c>
      <c r="B1815">
        <f>IFERROR(__xludf.DUMMYFUNCTION("""COMPUTED_VALUE"""),30002.0)</f>
        <v>30002</v>
      </c>
      <c r="C1815" t="str">
        <f>IFERROR(__xludf.DUMMYFUNCTION("""COMPUTED_VALUE"""),"ALVAREZ VERA, ALEJANDRA")</f>
        <v>ALVAREZ VERA, ALEJANDRA</v>
      </c>
      <c r="D1815" t="str">
        <f>IFERROR(__xludf.DUMMYFUNCTION("""COMPUTED_VALUE"""),"Spanish 7")</f>
        <v>Spanish 7</v>
      </c>
      <c r="E1815" s="31">
        <f>IFERROR(__xludf.DUMMYFUNCTION("""COMPUTED_VALUE"""),1.0)</f>
        <v>1</v>
      </c>
      <c r="F1815" s="8">
        <v>1.0</v>
      </c>
      <c r="G1815" s="8">
        <v>1.0</v>
      </c>
      <c r="H1815" s="8">
        <v>1.0</v>
      </c>
      <c r="I1815" s="8">
        <v>1.0</v>
      </c>
      <c r="J1815" s="8">
        <v>1.0</v>
      </c>
      <c r="K1815" s="8">
        <v>1.0</v>
      </c>
      <c r="L1815" s="8">
        <v>6.0</v>
      </c>
      <c r="M1815" s="8"/>
      <c r="N1815" s="8"/>
      <c r="O1815" s="8" t="s">
        <v>779</v>
      </c>
      <c r="P1815" s="8">
        <v>6.0</v>
      </c>
    </row>
    <row r="1816">
      <c r="A1816">
        <f>IFERROR(__xludf.DUMMYFUNCTION("""COMPUTED_VALUE"""),7.0)</f>
        <v>7</v>
      </c>
      <c r="B1816">
        <f>IFERROR(__xludf.DUMMYFUNCTION("""COMPUTED_VALUE"""),30003.0)</f>
        <v>30003</v>
      </c>
      <c r="C1816" t="str">
        <f>IFERROR(__xludf.DUMMYFUNCTION("""COMPUTED_VALUE"""),"ALZATE ZAPATA, SIMON")</f>
        <v>ALZATE ZAPATA, SIMON</v>
      </c>
      <c r="D1816" t="str">
        <f>IFERROR(__xludf.DUMMYFUNCTION("""COMPUTED_VALUE"""),"Spanish 7")</f>
        <v>Spanish 7</v>
      </c>
      <c r="E1816" s="31">
        <f>IFERROR(__xludf.DUMMYFUNCTION("""COMPUTED_VALUE"""),6.0)</f>
        <v>6</v>
      </c>
      <c r="F1816" s="8">
        <v>1.0</v>
      </c>
      <c r="G1816" s="8">
        <v>1.0</v>
      </c>
      <c r="H1816" s="8">
        <v>1.0</v>
      </c>
      <c r="I1816" s="8">
        <v>1.0</v>
      </c>
      <c r="J1816" s="8">
        <v>1.0</v>
      </c>
      <c r="K1816" s="8">
        <v>1.0</v>
      </c>
      <c r="L1816" s="8">
        <v>6.0</v>
      </c>
      <c r="M1816" s="8"/>
      <c r="N1816" s="8"/>
      <c r="O1816" s="8" t="s">
        <v>780</v>
      </c>
      <c r="P1816" s="8">
        <v>6.0</v>
      </c>
    </row>
    <row r="1817">
      <c r="A1817">
        <f>IFERROR(__xludf.DUMMYFUNCTION("""COMPUTED_VALUE"""),7.0)</f>
        <v>7</v>
      </c>
      <c r="B1817">
        <f>IFERROR(__xludf.DUMMYFUNCTION("""COMPUTED_VALUE"""),30004.0)</f>
        <v>30004</v>
      </c>
      <c r="C1817" t="str">
        <f>IFERROR(__xludf.DUMMYFUNCTION("""COMPUTED_VALUE"""),"ANGEL MEDINA, LUCIA")</f>
        <v>ANGEL MEDINA, LUCIA</v>
      </c>
      <c r="D1817" t="str">
        <f>IFERROR(__xludf.DUMMYFUNCTION("""COMPUTED_VALUE"""),"Spanish 7")</f>
        <v>Spanish 7</v>
      </c>
      <c r="E1817" s="31">
        <f>IFERROR(__xludf.DUMMYFUNCTION("""COMPUTED_VALUE"""),2.0)</f>
        <v>2</v>
      </c>
      <c r="F1817" s="8">
        <v>1.0</v>
      </c>
      <c r="G1817" s="8">
        <v>1.0</v>
      </c>
      <c r="H1817" s="8">
        <v>1.0</v>
      </c>
      <c r="I1817" s="8">
        <v>1.0</v>
      </c>
      <c r="J1817" s="8">
        <v>1.0</v>
      </c>
      <c r="K1817" s="8">
        <v>1.0</v>
      </c>
      <c r="L1817" s="8">
        <v>6.0</v>
      </c>
      <c r="M1817" s="8"/>
      <c r="N1817" s="8"/>
      <c r="O1817" s="8" t="s">
        <v>781</v>
      </c>
      <c r="P1817" s="8">
        <v>6.0</v>
      </c>
    </row>
    <row r="1818">
      <c r="A1818">
        <f>IFERROR(__xludf.DUMMYFUNCTION("""COMPUTED_VALUE"""),7.0)</f>
        <v>7</v>
      </c>
      <c r="B1818">
        <f>IFERROR(__xludf.DUMMYFUNCTION("""COMPUTED_VALUE"""),30005.0)</f>
        <v>30005</v>
      </c>
      <c r="C1818" t="str">
        <f>IFERROR(__xludf.DUMMYFUNCTION("""COMPUTED_VALUE"""),"APA ECHAVARRIA, LUCIANO")</f>
        <v>APA ECHAVARRIA, LUCIANO</v>
      </c>
      <c r="D1818" t="str">
        <f>IFERROR(__xludf.DUMMYFUNCTION("""COMPUTED_VALUE"""),"Spanish 7")</f>
        <v>Spanish 7</v>
      </c>
      <c r="E1818" s="31">
        <f>IFERROR(__xludf.DUMMYFUNCTION("""COMPUTED_VALUE"""),4.0)</f>
        <v>4</v>
      </c>
      <c r="F1818" s="8">
        <v>1.0</v>
      </c>
      <c r="G1818" s="8">
        <v>1.0</v>
      </c>
      <c r="H1818" s="8">
        <v>1.0</v>
      </c>
      <c r="I1818" s="8">
        <v>1.0</v>
      </c>
      <c r="J1818" s="8">
        <v>1.0</v>
      </c>
      <c r="K1818" s="8">
        <v>1.0</v>
      </c>
      <c r="L1818" s="8">
        <v>6.0</v>
      </c>
      <c r="M1818" s="8"/>
      <c r="N1818" s="8"/>
      <c r="O1818" s="8" t="s">
        <v>782</v>
      </c>
      <c r="P1818" s="8">
        <v>6.0</v>
      </c>
    </row>
    <row r="1819">
      <c r="A1819">
        <f>IFERROR(__xludf.DUMMYFUNCTION("""COMPUTED_VALUE"""),7.0)</f>
        <v>7</v>
      </c>
      <c r="B1819">
        <f>IFERROR(__xludf.DUMMYFUNCTION("""COMPUTED_VALUE"""),30006.0)</f>
        <v>30006</v>
      </c>
      <c r="C1819" t="str">
        <f>IFERROR(__xludf.DUMMYFUNCTION("""COMPUTED_VALUE"""),"ARANGO DUQUE, MIGUEL")</f>
        <v>ARANGO DUQUE, MIGUEL</v>
      </c>
      <c r="D1819" t="str">
        <f>IFERROR(__xludf.DUMMYFUNCTION("""COMPUTED_VALUE"""),"Spanish 7")</f>
        <v>Spanish 7</v>
      </c>
      <c r="E1819" s="31">
        <f>IFERROR(__xludf.DUMMYFUNCTION("""COMPUTED_VALUE"""),3.0)</f>
        <v>3</v>
      </c>
      <c r="F1819" s="8">
        <v>1.0</v>
      </c>
      <c r="G1819" s="8">
        <v>1.0</v>
      </c>
      <c r="H1819" s="8">
        <v>1.0</v>
      </c>
      <c r="I1819" s="8">
        <v>1.0</v>
      </c>
      <c r="J1819" s="8">
        <v>1.0</v>
      </c>
      <c r="K1819" s="8">
        <v>1.0</v>
      </c>
      <c r="L1819" s="8">
        <v>6.0</v>
      </c>
      <c r="M1819" s="8"/>
      <c r="N1819" s="8"/>
      <c r="O1819" s="8" t="s">
        <v>778</v>
      </c>
      <c r="P1819" s="8">
        <v>6.0</v>
      </c>
    </row>
    <row r="1820">
      <c r="A1820">
        <f>IFERROR(__xludf.DUMMYFUNCTION("""COMPUTED_VALUE"""),7.0)</f>
        <v>7</v>
      </c>
      <c r="B1820">
        <f>IFERROR(__xludf.DUMMYFUNCTION("""COMPUTED_VALUE"""),30169.0)</f>
        <v>30169</v>
      </c>
      <c r="C1820" t="str">
        <f>IFERROR(__xludf.DUMMYFUNCTION("""COMPUTED_VALUE"""),"ARANGO LINHARES, FILIPPA")</f>
        <v>ARANGO LINHARES, FILIPPA</v>
      </c>
      <c r="D1820" t="str">
        <f>IFERROR(__xludf.DUMMYFUNCTION("""COMPUTED_VALUE"""),"Spanish 7")</f>
        <v>Spanish 7</v>
      </c>
      <c r="E1820" s="31">
        <f>IFERROR(__xludf.DUMMYFUNCTION("""COMPUTED_VALUE"""),2.0)</f>
        <v>2</v>
      </c>
      <c r="F1820" s="8">
        <v>1.0</v>
      </c>
      <c r="G1820" s="8">
        <v>1.0</v>
      </c>
      <c r="H1820" s="8">
        <v>1.0</v>
      </c>
      <c r="I1820" s="8">
        <v>1.0</v>
      </c>
      <c r="J1820" s="8">
        <v>1.0</v>
      </c>
      <c r="K1820" s="8">
        <v>1.0</v>
      </c>
      <c r="L1820" s="8">
        <v>6.0</v>
      </c>
      <c r="M1820" s="8"/>
      <c r="N1820" s="8"/>
      <c r="O1820" s="8" t="s">
        <v>781</v>
      </c>
      <c r="P1820" s="8">
        <v>6.0</v>
      </c>
    </row>
    <row r="1821">
      <c r="A1821">
        <f>IFERROR(__xludf.DUMMYFUNCTION("""COMPUTED_VALUE"""),7.0)</f>
        <v>7</v>
      </c>
      <c r="B1821">
        <f>IFERROR(__xludf.DUMMYFUNCTION("""COMPUTED_VALUE"""),30007.0)</f>
        <v>30007</v>
      </c>
      <c r="C1821" t="str">
        <f>IFERROR(__xludf.DUMMYFUNCTION("""COMPUTED_VALUE"""),"ARANGO RODRIGUEZ, RAFAEL")</f>
        <v>ARANGO RODRIGUEZ, RAFAEL</v>
      </c>
      <c r="D1821" t="str">
        <f>IFERROR(__xludf.DUMMYFUNCTION("""COMPUTED_VALUE"""),"Spanish 7")</f>
        <v>Spanish 7</v>
      </c>
      <c r="E1821" s="31">
        <f>IFERROR(__xludf.DUMMYFUNCTION("""COMPUTED_VALUE"""),1.0)</f>
        <v>1</v>
      </c>
      <c r="F1821" s="8">
        <v>1.0</v>
      </c>
      <c r="G1821" s="8">
        <v>1.0</v>
      </c>
      <c r="H1821" s="8">
        <v>1.0</v>
      </c>
      <c r="I1821" s="8">
        <v>1.0</v>
      </c>
      <c r="J1821" s="8">
        <v>1.0</v>
      </c>
      <c r="K1821" s="8">
        <v>1.0</v>
      </c>
      <c r="L1821" s="8">
        <v>6.0</v>
      </c>
      <c r="M1821" s="8"/>
      <c r="N1821" s="8"/>
      <c r="O1821" s="8" t="s">
        <v>779</v>
      </c>
      <c r="P1821" s="8">
        <v>6.0</v>
      </c>
    </row>
    <row r="1822">
      <c r="A1822">
        <f>IFERROR(__xludf.DUMMYFUNCTION("""COMPUTED_VALUE"""),7.0)</f>
        <v>7</v>
      </c>
      <c r="B1822">
        <f>IFERROR(__xludf.DUMMYFUNCTION("""COMPUTED_VALUE"""),30008.0)</f>
        <v>30008</v>
      </c>
      <c r="C1822" t="str">
        <f>IFERROR(__xludf.DUMMYFUNCTION("""COMPUTED_VALUE"""),"ARANGO VELEZ, ALICIA")</f>
        <v>ARANGO VELEZ, ALICIA</v>
      </c>
      <c r="D1822" t="str">
        <f>IFERROR(__xludf.DUMMYFUNCTION("""COMPUTED_VALUE"""),"Spanish 7A")</f>
        <v>Spanish 7A</v>
      </c>
      <c r="E1822" s="31">
        <f>IFERROR(__xludf.DUMMYFUNCTION("""COMPUTED_VALUE"""),4.0)</f>
        <v>4</v>
      </c>
      <c r="F1822" s="8">
        <v>1.0</v>
      </c>
      <c r="G1822" s="8">
        <v>1.0</v>
      </c>
      <c r="H1822" s="8">
        <v>1.0</v>
      </c>
      <c r="I1822" s="8">
        <v>1.0</v>
      </c>
      <c r="J1822" s="8">
        <v>1.0</v>
      </c>
      <c r="K1822" s="8">
        <v>1.0</v>
      </c>
      <c r="L1822" s="8">
        <v>6.0</v>
      </c>
      <c r="M1822" s="8"/>
      <c r="N1822" s="8"/>
      <c r="O1822" s="8" t="s">
        <v>783</v>
      </c>
      <c r="P1822" s="8" t="e">
        <v>#N/A</v>
      </c>
    </row>
    <row r="1823">
      <c r="A1823">
        <f>IFERROR(__xludf.DUMMYFUNCTION("""COMPUTED_VALUE"""),7.0)</f>
        <v>7</v>
      </c>
      <c r="B1823">
        <f>IFERROR(__xludf.DUMMYFUNCTION("""COMPUTED_VALUE"""),29014.0)</f>
        <v>29014</v>
      </c>
      <c r="C1823" t="str">
        <f>IFERROR(__xludf.DUMMYFUNCTION("""COMPUTED_VALUE"""),"ARISMENDI MELO, MARIANA")</f>
        <v>ARISMENDI MELO, MARIANA</v>
      </c>
      <c r="D1823" t="str">
        <f>IFERROR(__xludf.DUMMYFUNCTION("""COMPUTED_VALUE"""),"Spanish 7")</f>
        <v>Spanish 7</v>
      </c>
      <c r="E1823" s="31">
        <f>IFERROR(__xludf.DUMMYFUNCTION("""COMPUTED_VALUE"""),2.0)</f>
        <v>2</v>
      </c>
      <c r="F1823" s="8">
        <v>1.0</v>
      </c>
      <c r="G1823" s="8">
        <v>1.0</v>
      </c>
      <c r="H1823" s="8">
        <v>1.0</v>
      </c>
      <c r="I1823" s="8">
        <v>1.0</v>
      </c>
      <c r="J1823" s="8">
        <v>1.0</v>
      </c>
      <c r="K1823" s="8">
        <v>1.0</v>
      </c>
      <c r="L1823" s="8">
        <v>6.0</v>
      </c>
      <c r="M1823" s="8"/>
      <c r="N1823" s="8"/>
      <c r="O1823" s="8" t="s">
        <v>781</v>
      </c>
      <c r="P1823" s="8">
        <v>6.0</v>
      </c>
    </row>
    <row r="1824">
      <c r="A1824">
        <f>IFERROR(__xludf.DUMMYFUNCTION("""COMPUTED_VALUE"""),7.0)</f>
        <v>7</v>
      </c>
      <c r="B1824">
        <f>IFERROR(__xludf.DUMMYFUNCTION("""COMPUTED_VALUE"""),30009.0)</f>
        <v>30009</v>
      </c>
      <c r="C1824" t="str">
        <f>IFERROR(__xludf.DUMMYFUNCTION("""COMPUTED_VALUE"""),"ARISTIZABAL BOLIVAR, EMILIANA")</f>
        <v>ARISTIZABAL BOLIVAR, EMILIANA</v>
      </c>
      <c r="D1824" t="str">
        <f>IFERROR(__xludf.DUMMYFUNCTION("""COMPUTED_VALUE"""),"Spanish 7")</f>
        <v>Spanish 7</v>
      </c>
      <c r="E1824" s="31">
        <f>IFERROR(__xludf.DUMMYFUNCTION("""COMPUTED_VALUE"""),6.0)</f>
        <v>6</v>
      </c>
      <c r="F1824" s="8">
        <v>1.0</v>
      </c>
      <c r="G1824" s="8">
        <v>1.0</v>
      </c>
      <c r="H1824" s="8">
        <v>1.0</v>
      </c>
      <c r="I1824" s="8">
        <v>1.0</v>
      </c>
      <c r="J1824" s="8">
        <v>1.0</v>
      </c>
      <c r="K1824" s="8">
        <v>1.0</v>
      </c>
      <c r="L1824" s="8">
        <v>6.0</v>
      </c>
      <c r="M1824" s="8"/>
      <c r="N1824" s="8"/>
      <c r="O1824" s="8" t="s">
        <v>780</v>
      </c>
      <c r="P1824" s="8">
        <v>6.0</v>
      </c>
    </row>
    <row r="1825">
      <c r="A1825">
        <f>IFERROR(__xludf.DUMMYFUNCTION("""COMPUTED_VALUE"""),7.0)</f>
        <v>7</v>
      </c>
      <c r="B1825">
        <f>IFERROR(__xludf.DUMMYFUNCTION("""COMPUTED_VALUE"""),30010.0)</f>
        <v>30010</v>
      </c>
      <c r="C1825" t="str">
        <f>IFERROR(__xludf.DUMMYFUNCTION("""COMPUTED_VALUE"""),"ARISTIZABAL BOLIVAR, MATILDE")</f>
        <v>ARISTIZABAL BOLIVAR, MATILDE</v>
      </c>
      <c r="D1825" t="str">
        <f>IFERROR(__xludf.DUMMYFUNCTION("""COMPUTED_VALUE"""),"Spanish 7")</f>
        <v>Spanish 7</v>
      </c>
      <c r="E1825" s="31">
        <f>IFERROR(__xludf.DUMMYFUNCTION("""COMPUTED_VALUE"""),4.0)</f>
        <v>4</v>
      </c>
      <c r="F1825" s="8">
        <v>1.0</v>
      </c>
      <c r="G1825" s="8">
        <v>1.0</v>
      </c>
      <c r="H1825" s="8">
        <v>1.0</v>
      </c>
      <c r="I1825" s="8">
        <v>1.0</v>
      </c>
      <c r="J1825" s="8">
        <v>1.0</v>
      </c>
      <c r="K1825" s="8">
        <v>1.0</v>
      </c>
      <c r="L1825" s="8">
        <v>6.0</v>
      </c>
      <c r="M1825" s="8"/>
      <c r="N1825" s="8"/>
      <c r="O1825" s="8" t="s">
        <v>782</v>
      </c>
      <c r="P1825" s="8">
        <v>6.0</v>
      </c>
    </row>
    <row r="1826">
      <c r="A1826">
        <f>IFERROR(__xludf.DUMMYFUNCTION("""COMPUTED_VALUE"""),7.0)</f>
        <v>7</v>
      </c>
      <c r="B1826">
        <f>IFERROR(__xludf.DUMMYFUNCTION("""COMPUTED_VALUE"""),30011.0)</f>
        <v>30011</v>
      </c>
      <c r="C1826" t="str">
        <f>IFERROR(__xludf.DUMMYFUNCTION("""COMPUTED_VALUE"""),"ARISTIZABAL ECHAVARRIA, MILAGROS")</f>
        <v>ARISTIZABAL ECHAVARRIA, MILAGROS</v>
      </c>
      <c r="D1826" t="str">
        <f>IFERROR(__xludf.DUMMYFUNCTION("""COMPUTED_VALUE"""),"Spanish 7A")</f>
        <v>Spanish 7A</v>
      </c>
      <c r="E1826" s="31">
        <f>IFERROR(__xludf.DUMMYFUNCTION("""COMPUTED_VALUE"""),4.0)</f>
        <v>4</v>
      </c>
      <c r="F1826" s="8">
        <v>1.0</v>
      </c>
      <c r="G1826" s="8">
        <v>1.0</v>
      </c>
      <c r="H1826" s="8">
        <v>1.0</v>
      </c>
      <c r="I1826" s="8">
        <v>1.0</v>
      </c>
      <c r="J1826" s="8">
        <v>1.0</v>
      </c>
      <c r="K1826" s="8">
        <v>1.0</v>
      </c>
      <c r="L1826" s="8">
        <v>6.0</v>
      </c>
      <c r="M1826" s="8"/>
      <c r="N1826" s="8"/>
      <c r="O1826" s="8" t="s">
        <v>783</v>
      </c>
      <c r="P1826" s="8" t="e">
        <v>#N/A</v>
      </c>
    </row>
    <row r="1827">
      <c r="A1827">
        <f>IFERROR(__xludf.DUMMYFUNCTION("""COMPUTED_VALUE"""),7.0)</f>
        <v>7</v>
      </c>
      <c r="B1827">
        <f>IFERROR(__xludf.DUMMYFUNCTION("""COMPUTED_VALUE"""),30012.0)</f>
        <v>30012</v>
      </c>
      <c r="C1827" t="str">
        <f>IFERROR(__xludf.DUMMYFUNCTION("""COMPUTED_VALUE"""),"ARISTIZABAL RESTREPO, AMALIA")</f>
        <v>ARISTIZABAL RESTREPO, AMALIA</v>
      </c>
      <c r="D1827" t="str">
        <f>IFERROR(__xludf.DUMMYFUNCTION("""COMPUTED_VALUE"""),"Spanish 7")</f>
        <v>Spanish 7</v>
      </c>
      <c r="E1827" s="31">
        <f>IFERROR(__xludf.DUMMYFUNCTION("""COMPUTED_VALUE"""),3.0)</f>
        <v>3</v>
      </c>
      <c r="F1827" s="8">
        <v>1.0</v>
      </c>
      <c r="G1827" s="8">
        <v>1.0</v>
      </c>
      <c r="H1827" s="8">
        <v>1.0</v>
      </c>
      <c r="I1827" s="8">
        <v>1.0</v>
      </c>
      <c r="J1827" s="8">
        <v>1.0</v>
      </c>
      <c r="K1827" s="8">
        <v>1.0</v>
      </c>
      <c r="L1827" s="8">
        <v>6.0</v>
      </c>
      <c r="M1827" s="8"/>
      <c r="N1827" s="8"/>
      <c r="O1827" s="8" t="s">
        <v>778</v>
      </c>
      <c r="P1827" s="8">
        <v>6.0</v>
      </c>
    </row>
    <row r="1828">
      <c r="A1828">
        <f>IFERROR(__xludf.DUMMYFUNCTION("""COMPUTED_VALUE"""),7.0)</f>
        <v>7</v>
      </c>
      <c r="B1828">
        <f>IFERROR(__xludf.DUMMYFUNCTION("""COMPUTED_VALUE"""),30014.0)</f>
        <v>30014</v>
      </c>
      <c r="C1828" t="str">
        <f>IFERROR(__xludf.DUMMYFUNCTION("""COMPUTED_VALUE"""),"ARISTIZABAL VILLEGAS, ROSARIO")</f>
        <v>ARISTIZABAL VILLEGAS, ROSARIO</v>
      </c>
      <c r="D1828" t="str">
        <f>IFERROR(__xludf.DUMMYFUNCTION("""COMPUTED_VALUE"""),"Spanish 7")</f>
        <v>Spanish 7</v>
      </c>
      <c r="E1828" s="31">
        <f>IFERROR(__xludf.DUMMYFUNCTION("""COMPUTED_VALUE"""),4.0)</f>
        <v>4</v>
      </c>
      <c r="F1828" s="8">
        <v>1.0</v>
      </c>
      <c r="G1828" s="8">
        <v>1.0</v>
      </c>
      <c r="H1828" s="8">
        <v>1.0</v>
      </c>
      <c r="I1828" s="8">
        <v>1.0</v>
      </c>
      <c r="J1828" s="8">
        <v>1.0</v>
      </c>
      <c r="K1828" s="8">
        <v>1.0</v>
      </c>
      <c r="L1828" s="8">
        <v>6.0</v>
      </c>
      <c r="M1828" s="8"/>
      <c r="N1828" s="8"/>
      <c r="O1828" s="8" t="s">
        <v>782</v>
      </c>
      <c r="P1828" s="8">
        <v>6.0</v>
      </c>
    </row>
    <row r="1829">
      <c r="A1829">
        <f>IFERROR(__xludf.DUMMYFUNCTION("""COMPUTED_VALUE"""),7.0)</f>
        <v>7</v>
      </c>
      <c r="B1829">
        <f>IFERROR(__xludf.DUMMYFUNCTION("""COMPUTED_VALUE"""),30013.0)</f>
        <v>30013</v>
      </c>
      <c r="C1829" t="str">
        <f>IFERROR(__xludf.DUMMYFUNCTION("""COMPUTED_VALUE"""),"ARISTIZABAL ZULUAGA, SALVADOR")</f>
        <v>ARISTIZABAL ZULUAGA, SALVADOR</v>
      </c>
      <c r="D1829" t="str">
        <f>IFERROR(__xludf.DUMMYFUNCTION("""COMPUTED_VALUE"""),"Spanish 7")</f>
        <v>Spanish 7</v>
      </c>
      <c r="E1829" s="31">
        <f>IFERROR(__xludf.DUMMYFUNCTION("""COMPUTED_VALUE"""),1.0)</f>
        <v>1</v>
      </c>
      <c r="F1829" s="8">
        <v>1.0</v>
      </c>
      <c r="G1829" s="8">
        <v>1.0</v>
      </c>
      <c r="H1829" s="8">
        <v>1.0</v>
      </c>
      <c r="I1829" s="8">
        <v>1.0</v>
      </c>
      <c r="J1829" s="8">
        <v>1.0</v>
      </c>
      <c r="K1829" s="8">
        <v>1.0</v>
      </c>
      <c r="L1829" s="8">
        <v>6.0</v>
      </c>
      <c r="M1829" s="8"/>
      <c r="N1829" s="8"/>
      <c r="O1829" s="8" t="s">
        <v>779</v>
      </c>
      <c r="P1829" s="8">
        <v>6.0</v>
      </c>
    </row>
    <row r="1830">
      <c r="A1830">
        <f>IFERROR(__xludf.DUMMYFUNCTION("""COMPUTED_VALUE"""),7.0)</f>
        <v>7</v>
      </c>
      <c r="B1830">
        <f>IFERROR(__xludf.DUMMYFUNCTION("""COMPUTED_VALUE"""),29017.0)</f>
        <v>29017</v>
      </c>
      <c r="C1830" t="str">
        <f>IFERROR(__xludf.DUMMYFUNCTION("""COMPUTED_VALUE"""),"ARROYAVE SIERRA, MATIAS")</f>
        <v>ARROYAVE SIERRA, MATIAS</v>
      </c>
      <c r="D1830" t="str">
        <f>IFERROR(__xludf.DUMMYFUNCTION("""COMPUTED_VALUE"""),"Spanish 7")</f>
        <v>Spanish 7</v>
      </c>
      <c r="E1830" s="31">
        <f>IFERROR(__xludf.DUMMYFUNCTION("""COMPUTED_VALUE"""),6.0)</f>
        <v>6</v>
      </c>
      <c r="F1830" s="8">
        <v>1.0</v>
      </c>
      <c r="G1830" s="8">
        <v>1.0</v>
      </c>
      <c r="H1830" s="8">
        <v>1.0</v>
      </c>
      <c r="I1830" s="8">
        <v>1.0</v>
      </c>
      <c r="J1830" s="8">
        <v>1.0</v>
      </c>
      <c r="K1830" s="8">
        <v>1.0</v>
      </c>
      <c r="L1830" s="8">
        <v>6.0</v>
      </c>
      <c r="M1830" s="8"/>
      <c r="N1830" s="8"/>
      <c r="O1830" s="8" t="s">
        <v>780</v>
      </c>
      <c r="P1830" s="8">
        <v>6.0</v>
      </c>
    </row>
    <row r="1831">
      <c r="A1831">
        <f>IFERROR(__xludf.DUMMYFUNCTION("""COMPUTED_VALUE"""),7.0)</f>
        <v>7</v>
      </c>
      <c r="B1831">
        <f>IFERROR(__xludf.DUMMYFUNCTION("""COMPUTED_VALUE"""),30015.0)</f>
        <v>30015</v>
      </c>
      <c r="C1831" t="str">
        <f>IFERROR(__xludf.DUMMYFUNCTION("""COMPUTED_VALUE"""),"ARROYAVE YACAMAN, EMILIO")</f>
        <v>ARROYAVE YACAMAN, EMILIO</v>
      </c>
      <c r="D1831" t="str">
        <f>IFERROR(__xludf.DUMMYFUNCTION("""COMPUTED_VALUE"""),"Spanish 7")</f>
        <v>Spanish 7</v>
      </c>
      <c r="E1831" s="31">
        <f>IFERROR(__xludf.DUMMYFUNCTION("""COMPUTED_VALUE"""),4.0)</f>
        <v>4</v>
      </c>
      <c r="F1831" s="8">
        <v>1.0</v>
      </c>
      <c r="G1831" s="8">
        <v>1.0</v>
      </c>
      <c r="H1831" s="8">
        <v>1.0</v>
      </c>
      <c r="I1831" s="8">
        <v>1.0</v>
      </c>
      <c r="J1831" s="8">
        <v>1.0</v>
      </c>
      <c r="K1831" s="8">
        <v>1.0</v>
      </c>
      <c r="L1831" s="8">
        <v>6.0</v>
      </c>
      <c r="M1831" s="8"/>
      <c r="N1831" s="8"/>
      <c r="O1831" s="8" t="s">
        <v>782</v>
      </c>
      <c r="P1831" s="8">
        <v>6.0</v>
      </c>
    </row>
    <row r="1832">
      <c r="A1832">
        <f>IFERROR(__xludf.DUMMYFUNCTION("""COMPUTED_VALUE"""),7.0)</f>
        <v>7</v>
      </c>
      <c r="B1832">
        <f>IFERROR(__xludf.DUMMYFUNCTION("""COMPUTED_VALUE"""),30018.0)</f>
        <v>30018</v>
      </c>
      <c r="C1832" t="str">
        <f>IFERROR(__xludf.DUMMYFUNCTION("""COMPUTED_VALUE"""),"BETANCUR ECHAVARRIA, JERONIMO")</f>
        <v>BETANCUR ECHAVARRIA, JERONIMO</v>
      </c>
      <c r="D1832" t="str">
        <f>IFERROR(__xludf.DUMMYFUNCTION("""COMPUTED_VALUE"""),"Spanish 7")</f>
        <v>Spanish 7</v>
      </c>
      <c r="E1832" s="31">
        <f>IFERROR(__xludf.DUMMYFUNCTION("""COMPUTED_VALUE"""),4.0)</f>
        <v>4</v>
      </c>
      <c r="F1832" s="8">
        <v>1.0</v>
      </c>
      <c r="G1832" s="8">
        <v>1.0</v>
      </c>
      <c r="H1832" s="8">
        <v>1.0</v>
      </c>
      <c r="I1832" s="8">
        <v>1.0</v>
      </c>
      <c r="J1832" s="8">
        <v>1.0</v>
      </c>
      <c r="K1832" s="8">
        <v>1.0</v>
      </c>
      <c r="L1832" s="8">
        <v>6.0</v>
      </c>
      <c r="M1832" s="8"/>
      <c r="N1832" s="8"/>
      <c r="O1832" s="8" t="s">
        <v>782</v>
      </c>
      <c r="P1832" s="8">
        <v>6.0</v>
      </c>
    </row>
    <row r="1833">
      <c r="A1833">
        <f>IFERROR(__xludf.DUMMYFUNCTION("""COMPUTED_VALUE"""),7.0)</f>
        <v>7</v>
      </c>
      <c r="B1833">
        <f>IFERROR(__xludf.DUMMYFUNCTION("""COMPUTED_VALUE"""),30170.0)</f>
        <v>30170</v>
      </c>
      <c r="C1833" t="str">
        <f>IFERROR(__xludf.DUMMYFUNCTION("""COMPUTED_VALUE"""),"BETANCUR VELASQUEZ, RENATA")</f>
        <v>BETANCUR VELASQUEZ, RENATA</v>
      </c>
      <c r="D1833" t="str">
        <f>IFERROR(__xludf.DUMMYFUNCTION("""COMPUTED_VALUE"""),"Spanish 7")</f>
        <v>Spanish 7</v>
      </c>
      <c r="E1833" s="31">
        <f>IFERROR(__xludf.DUMMYFUNCTION("""COMPUTED_VALUE"""),4.0)</f>
        <v>4</v>
      </c>
      <c r="F1833" s="8">
        <v>1.0</v>
      </c>
      <c r="G1833" s="8">
        <v>1.0</v>
      </c>
      <c r="H1833" s="8">
        <v>1.0</v>
      </c>
      <c r="I1833" s="8">
        <v>1.0</v>
      </c>
      <c r="J1833" s="8">
        <v>1.0</v>
      </c>
      <c r="K1833" s="8">
        <v>1.0</v>
      </c>
      <c r="L1833" s="8">
        <v>6.0</v>
      </c>
      <c r="M1833" s="8"/>
      <c r="N1833" s="8"/>
      <c r="O1833" s="8" t="s">
        <v>782</v>
      </c>
      <c r="P1833" s="8">
        <v>6.0</v>
      </c>
    </row>
    <row r="1834">
      <c r="A1834">
        <f>IFERROR(__xludf.DUMMYFUNCTION("""COMPUTED_VALUE"""),7.0)</f>
        <v>7</v>
      </c>
      <c r="B1834">
        <f>IFERROR(__xludf.DUMMYFUNCTION("""COMPUTED_VALUE"""),30019.0)</f>
        <v>30019</v>
      </c>
      <c r="C1834" t="str">
        <f>IFERROR(__xludf.DUMMYFUNCTION("""COMPUTED_VALUE"""),"BOTERO BETANCOURT, SEBASTIAN")</f>
        <v>BOTERO BETANCOURT, SEBASTIAN</v>
      </c>
      <c r="D1834" t="str">
        <f>IFERROR(__xludf.DUMMYFUNCTION("""COMPUTED_VALUE"""),"Spanish 7")</f>
        <v>Spanish 7</v>
      </c>
      <c r="E1834" s="31">
        <f>IFERROR(__xludf.DUMMYFUNCTION("""COMPUTED_VALUE"""),3.0)</f>
        <v>3</v>
      </c>
      <c r="F1834" s="8">
        <v>1.0</v>
      </c>
      <c r="G1834" s="8">
        <v>1.0</v>
      </c>
      <c r="H1834" s="8">
        <v>1.0</v>
      </c>
      <c r="I1834" s="8">
        <v>1.0</v>
      </c>
      <c r="J1834" s="8">
        <v>1.0</v>
      </c>
      <c r="K1834" s="8">
        <v>1.0</v>
      </c>
      <c r="L1834" s="8">
        <v>6.0</v>
      </c>
      <c r="M1834" s="8"/>
      <c r="N1834" s="8"/>
      <c r="O1834" s="8" t="s">
        <v>778</v>
      </c>
      <c r="P1834" s="8">
        <v>6.0</v>
      </c>
    </row>
    <row r="1835">
      <c r="A1835">
        <f>IFERROR(__xludf.DUMMYFUNCTION("""COMPUTED_VALUE"""),7.0)</f>
        <v>7</v>
      </c>
      <c r="B1835">
        <f>IFERROR(__xludf.DUMMYFUNCTION("""COMPUTED_VALUE"""),30021.0)</f>
        <v>30021</v>
      </c>
      <c r="C1835" t="str">
        <f>IFERROR(__xludf.DUMMYFUNCTION("""COMPUTED_VALUE"""),"BOTERO TOQUICA, MATILDE")</f>
        <v>BOTERO TOQUICA, MATILDE</v>
      </c>
      <c r="D1835" t="str">
        <f>IFERROR(__xludf.DUMMYFUNCTION("""COMPUTED_VALUE"""),"Spanish 7")</f>
        <v>Spanish 7</v>
      </c>
      <c r="E1835" s="31">
        <f>IFERROR(__xludf.DUMMYFUNCTION("""COMPUTED_VALUE"""),2.0)</f>
        <v>2</v>
      </c>
      <c r="F1835" s="8">
        <v>1.0</v>
      </c>
      <c r="G1835" s="8">
        <v>1.0</v>
      </c>
      <c r="H1835" s="8">
        <v>1.0</v>
      </c>
      <c r="I1835" s="8">
        <v>1.0</v>
      </c>
      <c r="J1835" s="8">
        <v>1.0</v>
      </c>
      <c r="K1835" s="8">
        <v>1.0</v>
      </c>
      <c r="L1835" s="8">
        <v>6.0</v>
      </c>
      <c r="M1835" s="8"/>
      <c r="N1835" s="8"/>
      <c r="O1835" s="8" t="s">
        <v>781</v>
      </c>
      <c r="P1835" s="8">
        <v>6.0</v>
      </c>
    </row>
    <row r="1836">
      <c r="A1836">
        <f>IFERROR(__xludf.DUMMYFUNCTION("""COMPUTED_VALUE"""),7.0)</f>
        <v>7</v>
      </c>
      <c r="B1836">
        <f>IFERROR(__xludf.DUMMYFUNCTION("""COMPUTED_VALUE"""),30022.0)</f>
        <v>30022</v>
      </c>
      <c r="C1836" s="135" t="str">
        <f>IFERROR(__xludf.DUMMYFUNCTION("""COMPUTED_VALUE"""),"CAMELO ZULUAGA, BENJAMIN")</f>
        <v>CAMELO ZULUAGA, BENJAMIN</v>
      </c>
      <c r="D1836" t="str">
        <f>IFERROR(__xludf.DUMMYFUNCTION("""COMPUTED_VALUE"""),"Spanish 7")</f>
        <v>Spanish 7</v>
      </c>
      <c r="E1836" s="31">
        <f>IFERROR(__xludf.DUMMYFUNCTION("""COMPUTED_VALUE"""),1.0)</f>
        <v>1</v>
      </c>
      <c r="F1836" s="8">
        <v>1.0</v>
      </c>
      <c r="G1836" s="8">
        <v>1.0</v>
      </c>
      <c r="H1836" s="8">
        <v>1.0</v>
      </c>
      <c r="I1836" s="8">
        <v>1.0</v>
      </c>
      <c r="J1836" s="8">
        <v>1.0</v>
      </c>
      <c r="K1836" s="8">
        <v>1.0</v>
      </c>
      <c r="L1836" s="8">
        <v>6.0</v>
      </c>
      <c r="M1836" s="8"/>
      <c r="N1836" s="8"/>
      <c r="O1836" s="8" t="s">
        <v>779</v>
      </c>
      <c r="P1836" s="8">
        <v>6.0</v>
      </c>
    </row>
    <row r="1837">
      <c r="A1837">
        <f>IFERROR(__xludf.DUMMYFUNCTION("""COMPUTED_VALUE"""),7.0)</f>
        <v>7</v>
      </c>
      <c r="B1837">
        <f>IFERROR(__xludf.DUMMYFUNCTION("""COMPUTED_VALUE"""),30023.0)</f>
        <v>30023</v>
      </c>
      <c r="C1837" t="str">
        <f>IFERROR(__xludf.DUMMYFUNCTION("""COMPUTED_VALUE"""),"CAMPILLO VALENCIA, LUCIANA")</f>
        <v>CAMPILLO VALENCIA, LUCIANA</v>
      </c>
      <c r="D1837" t="str">
        <f>IFERROR(__xludf.DUMMYFUNCTION("""COMPUTED_VALUE"""),"Spanish 7A")</f>
        <v>Spanish 7A</v>
      </c>
      <c r="E1837" s="31">
        <f>IFERROR(__xludf.DUMMYFUNCTION("""COMPUTED_VALUE"""),4.0)</f>
        <v>4</v>
      </c>
      <c r="F1837" s="8">
        <v>1.0</v>
      </c>
      <c r="G1837" s="8">
        <v>1.0</v>
      </c>
      <c r="H1837" s="8">
        <v>1.0</v>
      </c>
      <c r="I1837" s="8">
        <v>1.0</v>
      </c>
      <c r="J1837" s="8">
        <v>1.0</v>
      </c>
      <c r="K1837" s="8">
        <v>1.0</v>
      </c>
      <c r="L1837" s="8">
        <v>6.0</v>
      </c>
      <c r="M1837" s="8"/>
      <c r="N1837" s="8"/>
      <c r="O1837" s="8" t="s">
        <v>783</v>
      </c>
      <c r="P1837" s="8" t="e">
        <v>#N/A</v>
      </c>
    </row>
    <row r="1838">
      <c r="A1838">
        <f>IFERROR(__xludf.DUMMYFUNCTION("""COMPUTED_VALUE"""),7.0)</f>
        <v>7</v>
      </c>
      <c r="B1838">
        <f>IFERROR(__xludf.DUMMYFUNCTION("""COMPUTED_VALUE"""),30024.0)</f>
        <v>30024</v>
      </c>
      <c r="C1838" t="str">
        <f>IFERROR(__xludf.DUMMYFUNCTION("""COMPUTED_VALUE"""),"CANO MESA, AMELIA")</f>
        <v>CANO MESA, AMELIA</v>
      </c>
      <c r="D1838" t="str">
        <f>IFERROR(__xludf.DUMMYFUNCTION("""COMPUTED_VALUE"""),"Spanish 7")</f>
        <v>Spanish 7</v>
      </c>
      <c r="E1838" s="31">
        <f>IFERROR(__xludf.DUMMYFUNCTION("""COMPUTED_VALUE"""),2.0)</f>
        <v>2</v>
      </c>
      <c r="F1838" s="8">
        <v>1.0</v>
      </c>
      <c r="G1838" s="8">
        <v>1.0</v>
      </c>
      <c r="H1838" s="8">
        <v>1.0</v>
      </c>
      <c r="I1838" s="8">
        <v>1.0</v>
      </c>
      <c r="J1838" s="8">
        <v>1.0</v>
      </c>
      <c r="K1838" s="8">
        <v>1.0</v>
      </c>
      <c r="L1838" s="8">
        <v>6.0</v>
      </c>
      <c r="M1838" s="8"/>
      <c r="N1838" s="8"/>
      <c r="O1838" s="8" t="s">
        <v>781</v>
      </c>
      <c r="P1838" s="8">
        <v>6.0</v>
      </c>
    </row>
    <row r="1839">
      <c r="A1839">
        <f>IFERROR(__xludf.DUMMYFUNCTION("""COMPUTED_VALUE"""),7.0)</f>
        <v>7</v>
      </c>
      <c r="B1839">
        <f>IFERROR(__xludf.DUMMYFUNCTION("""COMPUTED_VALUE"""),30025.0)</f>
        <v>30025</v>
      </c>
      <c r="C1839" t="str">
        <f>IFERROR(__xludf.DUMMYFUNCTION("""COMPUTED_VALUE"""),"CAÑON GARCIA, MARTINA")</f>
        <v>CAÑON GARCIA, MARTINA</v>
      </c>
      <c r="D1839" t="str">
        <f>IFERROR(__xludf.DUMMYFUNCTION("""COMPUTED_VALUE"""),"Spanish 7A")</f>
        <v>Spanish 7A</v>
      </c>
      <c r="E1839" s="31">
        <f>IFERROR(__xludf.DUMMYFUNCTION("""COMPUTED_VALUE"""),4.0)</f>
        <v>4</v>
      </c>
      <c r="F1839" s="8">
        <v>1.0</v>
      </c>
      <c r="G1839" s="8">
        <v>1.0</v>
      </c>
      <c r="H1839" s="8">
        <v>1.0</v>
      </c>
      <c r="I1839" s="8">
        <v>1.0</v>
      </c>
      <c r="J1839" s="8">
        <v>1.0</v>
      </c>
      <c r="K1839" s="8">
        <v>1.0</v>
      </c>
      <c r="L1839" s="8">
        <v>6.0</v>
      </c>
      <c r="M1839" s="8"/>
      <c r="N1839" s="8"/>
      <c r="O1839" s="8" t="s">
        <v>783</v>
      </c>
      <c r="P1839" s="8" t="e">
        <v>#N/A</v>
      </c>
    </row>
    <row r="1840">
      <c r="A1840">
        <f>IFERROR(__xludf.DUMMYFUNCTION("""COMPUTED_VALUE"""),7.0)</f>
        <v>7</v>
      </c>
      <c r="B1840">
        <f>IFERROR(__xludf.DUMMYFUNCTION("""COMPUTED_VALUE"""),30026.0)</f>
        <v>30026</v>
      </c>
      <c r="C1840" t="str">
        <f>IFERROR(__xludf.DUMMYFUNCTION("""COMPUTED_VALUE"""),"CAPMARTIN GOMEZ, NICOLAS")</f>
        <v>CAPMARTIN GOMEZ, NICOLAS</v>
      </c>
      <c r="D1840" t="str">
        <f>IFERROR(__xludf.DUMMYFUNCTION("""COMPUTED_VALUE"""),"Spanish 7")</f>
        <v>Spanish 7</v>
      </c>
      <c r="E1840" s="31">
        <f>IFERROR(__xludf.DUMMYFUNCTION("""COMPUTED_VALUE"""),2.0)</f>
        <v>2</v>
      </c>
      <c r="F1840" s="8">
        <v>1.0</v>
      </c>
      <c r="G1840" s="8">
        <v>1.0</v>
      </c>
      <c r="H1840" s="8">
        <v>1.0</v>
      </c>
      <c r="I1840" s="8">
        <v>1.0</v>
      </c>
      <c r="J1840" s="8">
        <v>1.0</v>
      </c>
      <c r="K1840" s="8">
        <v>1.0</v>
      </c>
      <c r="L1840" s="8">
        <v>6.0</v>
      </c>
      <c r="M1840" s="8"/>
      <c r="N1840" s="8"/>
      <c r="O1840" s="8" t="s">
        <v>781</v>
      </c>
      <c r="P1840" s="8">
        <v>6.0</v>
      </c>
    </row>
    <row r="1841">
      <c r="A1841">
        <f>IFERROR(__xludf.DUMMYFUNCTION("""COMPUTED_VALUE"""),7.0)</f>
        <v>7</v>
      </c>
      <c r="B1841">
        <f>IFERROR(__xludf.DUMMYFUNCTION("""COMPUTED_VALUE"""),30027.0)</f>
        <v>30027</v>
      </c>
      <c r="C1841" t="str">
        <f>IFERROR(__xludf.DUMMYFUNCTION("""COMPUTED_VALUE"""),"CARDONA CASTAÑEDA, JUANITA")</f>
        <v>CARDONA CASTAÑEDA, JUANITA</v>
      </c>
      <c r="D1841" t="str">
        <f>IFERROR(__xludf.DUMMYFUNCTION("""COMPUTED_VALUE"""),"Spanish 7A")</f>
        <v>Spanish 7A</v>
      </c>
      <c r="E1841" s="31">
        <f>IFERROR(__xludf.DUMMYFUNCTION("""COMPUTED_VALUE"""),4.0)</f>
        <v>4</v>
      </c>
      <c r="F1841" s="8">
        <v>1.0</v>
      </c>
      <c r="G1841" s="8">
        <v>1.0</v>
      </c>
      <c r="H1841" s="8">
        <v>1.0</v>
      </c>
      <c r="I1841" s="8">
        <v>1.0</v>
      </c>
      <c r="J1841" s="8">
        <v>1.0</v>
      </c>
      <c r="K1841" s="8">
        <v>1.0</v>
      </c>
      <c r="L1841" s="8">
        <v>6.0</v>
      </c>
      <c r="M1841" s="8"/>
      <c r="N1841" s="8"/>
      <c r="O1841" s="8" t="s">
        <v>783</v>
      </c>
      <c r="P1841" s="8" t="e">
        <v>#N/A</v>
      </c>
    </row>
    <row r="1842">
      <c r="A1842">
        <f>IFERROR(__xludf.DUMMYFUNCTION("""COMPUTED_VALUE"""),7.0)</f>
        <v>7</v>
      </c>
      <c r="B1842">
        <f>IFERROR(__xludf.DUMMYFUNCTION("""COMPUTED_VALUE"""),30135.0)</f>
        <v>30135</v>
      </c>
      <c r="C1842" t="str">
        <f>IFERROR(__xludf.DUMMYFUNCTION("""COMPUTED_VALUE"""),"CARDONA URIBE, EMILIANA")</f>
        <v>CARDONA URIBE, EMILIANA</v>
      </c>
      <c r="D1842" t="str">
        <f>IFERROR(__xludf.DUMMYFUNCTION("""COMPUTED_VALUE"""),"Spanish 7")</f>
        <v>Spanish 7</v>
      </c>
      <c r="E1842" s="31">
        <f>IFERROR(__xludf.DUMMYFUNCTION("""COMPUTED_VALUE"""),2.0)</f>
        <v>2</v>
      </c>
      <c r="F1842" s="8">
        <v>1.0</v>
      </c>
      <c r="G1842" s="8">
        <v>1.0</v>
      </c>
      <c r="H1842" s="8">
        <v>1.0</v>
      </c>
      <c r="I1842" s="8">
        <v>1.0</v>
      </c>
      <c r="J1842" s="8">
        <v>1.0</v>
      </c>
      <c r="K1842" s="8">
        <v>1.0</v>
      </c>
      <c r="L1842" s="8">
        <v>6.0</v>
      </c>
      <c r="M1842" s="8"/>
      <c r="N1842" s="8"/>
      <c r="O1842" s="8" t="s">
        <v>781</v>
      </c>
      <c r="P1842" s="8">
        <v>6.0</v>
      </c>
    </row>
    <row r="1843">
      <c r="A1843">
        <f>IFERROR(__xludf.DUMMYFUNCTION("""COMPUTED_VALUE"""),7.0)</f>
        <v>7</v>
      </c>
      <c r="B1843">
        <f>IFERROR(__xludf.DUMMYFUNCTION("""COMPUTED_VALUE"""),30028.0)</f>
        <v>30028</v>
      </c>
      <c r="C1843" t="str">
        <f>IFERROR(__xludf.DUMMYFUNCTION("""COMPUTED_VALUE"""),"CHAN MEI, JACOB")</f>
        <v>CHAN MEI, JACOB</v>
      </c>
      <c r="D1843" t="str">
        <f>IFERROR(__xludf.DUMMYFUNCTION("""COMPUTED_VALUE"""),"Spanish 7")</f>
        <v>Spanish 7</v>
      </c>
      <c r="E1843" s="31">
        <f>IFERROR(__xludf.DUMMYFUNCTION("""COMPUTED_VALUE"""),6.0)</f>
        <v>6</v>
      </c>
      <c r="F1843" s="8">
        <v>1.0</v>
      </c>
      <c r="G1843" s="8">
        <v>1.0</v>
      </c>
      <c r="H1843" s="8">
        <v>1.0</v>
      </c>
      <c r="I1843" s="8">
        <v>1.0</v>
      </c>
      <c r="J1843" s="8">
        <v>1.0</v>
      </c>
      <c r="K1843" s="8">
        <v>1.0</v>
      </c>
      <c r="L1843" s="8">
        <v>6.0</v>
      </c>
      <c r="M1843" s="8"/>
      <c r="N1843" s="8"/>
      <c r="O1843" s="8" t="s">
        <v>780</v>
      </c>
      <c r="P1843" s="8">
        <v>6.0</v>
      </c>
    </row>
    <row r="1844">
      <c r="A1844">
        <f>IFERROR(__xludf.DUMMYFUNCTION("""COMPUTED_VALUE"""),7.0)</f>
        <v>7</v>
      </c>
      <c r="B1844">
        <f>IFERROR(__xludf.DUMMYFUNCTION("""COMPUTED_VALUE"""),30029.0)</f>
        <v>30029</v>
      </c>
      <c r="C1844" t="str">
        <f>IFERROR(__xludf.DUMMYFUNCTION("""COMPUTED_VALUE"""),"CORREA GARCES, PEDRO PABLO")</f>
        <v>CORREA GARCES, PEDRO PABLO</v>
      </c>
      <c r="D1844" t="str">
        <f>IFERROR(__xludf.DUMMYFUNCTION("""COMPUTED_VALUE"""),"Spanish 7")</f>
        <v>Spanish 7</v>
      </c>
      <c r="E1844" s="31">
        <f>IFERROR(__xludf.DUMMYFUNCTION("""COMPUTED_VALUE"""),3.0)</f>
        <v>3</v>
      </c>
      <c r="F1844" s="8">
        <v>1.0</v>
      </c>
      <c r="G1844" s="8">
        <v>1.0</v>
      </c>
      <c r="H1844" s="8">
        <v>1.0</v>
      </c>
      <c r="I1844" s="8">
        <v>1.0</v>
      </c>
      <c r="J1844" s="8">
        <v>1.0</v>
      </c>
      <c r="K1844" s="8">
        <v>1.0</v>
      </c>
      <c r="L1844" s="8">
        <v>6.0</v>
      </c>
      <c r="M1844" s="8"/>
      <c r="N1844" s="8"/>
      <c r="O1844" s="8" t="s">
        <v>778</v>
      </c>
      <c r="P1844" s="8">
        <v>6.0</v>
      </c>
    </row>
    <row r="1845">
      <c r="A1845">
        <f>IFERROR(__xludf.DUMMYFUNCTION("""COMPUTED_VALUE"""),7.0)</f>
        <v>7</v>
      </c>
      <c r="B1845">
        <f>IFERROR(__xludf.DUMMYFUNCTION("""COMPUTED_VALUE"""),30030.0)</f>
        <v>30030</v>
      </c>
      <c r="C1845" t="str">
        <f>IFERROR(__xludf.DUMMYFUNCTION("""COMPUTED_VALUE"""),"CORREA MERINO, VICENTE")</f>
        <v>CORREA MERINO, VICENTE</v>
      </c>
      <c r="D1845" t="str">
        <f>IFERROR(__xludf.DUMMYFUNCTION("""COMPUTED_VALUE"""),"Spanish 7")</f>
        <v>Spanish 7</v>
      </c>
      <c r="E1845" s="31">
        <f>IFERROR(__xludf.DUMMYFUNCTION("""COMPUTED_VALUE"""),4.0)</f>
        <v>4</v>
      </c>
      <c r="F1845" s="8">
        <v>1.0</v>
      </c>
      <c r="G1845" s="8">
        <v>1.0</v>
      </c>
      <c r="H1845" s="8">
        <v>1.0</v>
      </c>
      <c r="I1845" s="8">
        <v>1.0</v>
      </c>
      <c r="J1845" s="8">
        <v>1.0</v>
      </c>
      <c r="K1845" s="8">
        <v>1.0</v>
      </c>
      <c r="L1845" s="8">
        <v>6.0</v>
      </c>
      <c r="M1845" s="8"/>
      <c r="N1845" s="8"/>
      <c r="O1845" s="8" t="s">
        <v>782</v>
      </c>
      <c r="P1845" s="8">
        <v>6.0</v>
      </c>
    </row>
    <row r="1846">
      <c r="A1846">
        <f>IFERROR(__xludf.DUMMYFUNCTION("""COMPUTED_VALUE"""),7.0)</f>
        <v>7</v>
      </c>
      <c r="B1846">
        <f>IFERROR(__xludf.DUMMYFUNCTION("""COMPUTED_VALUE"""),30031.0)</f>
        <v>30031</v>
      </c>
      <c r="C1846" t="str">
        <f>IFERROR(__xludf.DUMMYFUNCTION("""COMPUTED_VALUE"""),"CORTES CASTAÑO, FELIPE")</f>
        <v>CORTES CASTAÑO, FELIPE</v>
      </c>
      <c r="D1846" t="str">
        <f>IFERROR(__xludf.DUMMYFUNCTION("""COMPUTED_VALUE"""),"Spanish 7")</f>
        <v>Spanish 7</v>
      </c>
      <c r="E1846" s="31">
        <f>IFERROR(__xludf.DUMMYFUNCTION("""COMPUTED_VALUE"""),1.0)</f>
        <v>1</v>
      </c>
      <c r="F1846" s="8">
        <v>1.0</v>
      </c>
      <c r="G1846" s="8">
        <v>1.0</v>
      </c>
      <c r="H1846" s="8">
        <v>1.0</v>
      </c>
      <c r="I1846" s="8">
        <v>1.0</v>
      </c>
      <c r="J1846" s="8">
        <v>1.0</v>
      </c>
      <c r="K1846" s="8">
        <v>1.0</v>
      </c>
      <c r="L1846" s="8">
        <v>6.0</v>
      </c>
      <c r="M1846" s="8"/>
      <c r="N1846" s="8"/>
      <c r="O1846" s="8" t="s">
        <v>779</v>
      </c>
      <c r="P1846" s="8">
        <v>6.0</v>
      </c>
    </row>
    <row r="1847">
      <c r="A1847">
        <f>IFERROR(__xludf.DUMMYFUNCTION("""COMPUTED_VALUE"""),7.0)</f>
        <v>7</v>
      </c>
      <c r="B1847">
        <f>IFERROR(__xludf.DUMMYFUNCTION("""COMPUTED_VALUE"""),30032.0)</f>
        <v>30032</v>
      </c>
      <c r="C1847" t="str">
        <f>IFERROR(__xludf.DUMMYFUNCTION("""COMPUTED_VALUE"""),"CRUZ PEREYRA, ANA VICTORIA")</f>
        <v>CRUZ PEREYRA, ANA VICTORIA</v>
      </c>
      <c r="D1847" t="str">
        <f>IFERROR(__xludf.DUMMYFUNCTION("""COMPUTED_VALUE"""),"Spanish 7")</f>
        <v>Spanish 7</v>
      </c>
      <c r="E1847" s="31">
        <f>IFERROR(__xludf.DUMMYFUNCTION("""COMPUTED_VALUE"""),6.0)</f>
        <v>6</v>
      </c>
      <c r="F1847" s="8">
        <v>1.0</v>
      </c>
      <c r="G1847" s="8">
        <v>1.0</v>
      </c>
      <c r="H1847" s="8">
        <v>1.0</v>
      </c>
      <c r="I1847" s="8">
        <v>1.0</v>
      </c>
      <c r="J1847" s="8">
        <v>1.0</v>
      </c>
      <c r="K1847" s="8">
        <v>1.0</v>
      </c>
      <c r="L1847" s="8">
        <v>6.0</v>
      </c>
      <c r="M1847" s="8"/>
      <c r="N1847" s="8"/>
      <c r="O1847" s="8" t="s">
        <v>780</v>
      </c>
      <c r="P1847" s="8">
        <v>6.0</v>
      </c>
    </row>
    <row r="1848">
      <c r="A1848">
        <f>IFERROR(__xludf.DUMMYFUNCTION("""COMPUTED_VALUE"""),7.0)</f>
        <v>7</v>
      </c>
      <c r="B1848">
        <f>IFERROR(__xludf.DUMMYFUNCTION("""COMPUTED_VALUE"""),30033.0)</f>
        <v>30033</v>
      </c>
      <c r="C1848" t="str">
        <f>IFERROR(__xludf.DUMMYFUNCTION("""COMPUTED_VALUE"""),"CUARTAS VILLEGAS, ELIAS")</f>
        <v>CUARTAS VILLEGAS, ELIAS</v>
      </c>
      <c r="D1848" t="str">
        <f>IFERROR(__xludf.DUMMYFUNCTION("""COMPUTED_VALUE"""),"Spanish 7")</f>
        <v>Spanish 7</v>
      </c>
      <c r="E1848" s="31">
        <f>IFERROR(__xludf.DUMMYFUNCTION("""COMPUTED_VALUE"""),4.0)</f>
        <v>4</v>
      </c>
      <c r="F1848" s="8">
        <v>1.0</v>
      </c>
      <c r="G1848" s="8">
        <v>1.0</v>
      </c>
      <c r="H1848" s="8">
        <v>1.0</v>
      </c>
      <c r="I1848" s="8">
        <v>1.0</v>
      </c>
      <c r="J1848" s="8">
        <v>1.0</v>
      </c>
      <c r="K1848" s="8">
        <v>1.0</v>
      </c>
      <c r="L1848" s="8">
        <v>6.0</v>
      </c>
      <c r="M1848" s="8"/>
      <c r="N1848" s="8"/>
      <c r="O1848" s="8" t="s">
        <v>782</v>
      </c>
      <c r="P1848" s="8">
        <v>6.0</v>
      </c>
    </row>
    <row r="1849">
      <c r="A1849">
        <f>IFERROR(__xludf.DUMMYFUNCTION("""COMPUTED_VALUE"""),7.0)</f>
        <v>7</v>
      </c>
      <c r="B1849">
        <f>IFERROR(__xludf.DUMMYFUNCTION("""COMPUTED_VALUE"""),30034.0)</f>
        <v>30034</v>
      </c>
      <c r="C1849" t="str">
        <f>IFERROR(__xludf.DUMMYFUNCTION("""COMPUTED_VALUE"""),"CUERVO HINESTROSA, MARTIN")</f>
        <v>CUERVO HINESTROSA, MARTIN</v>
      </c>
      <c r="D1849" t="str">
        <f>IFERROR(__xludf.DUMMYFUNCTION("""COMPUTED_VALUE"""),"Spanish 7")</f>
        <v>Spanish 7</v>
      </c>
      <c r="E1849" s="31">
        <f>IFERROR(__xludf.DUMMYFUNCTION("""COMPUTED_VALUE"""),3.0)</f>
        <v>3</v>
      </c>
      <c r="F1849" s="8">
        <v>1.0</v>
      </c>
      <c r="G1849" s="8">
        <v>1.0</v>
      </c>
      <c r="H1849" s="8">
        <v>1.0</v>
      </c>
      <c r="I1849" s="8">
        <v>1.0</v>
      </c>
      <c r="J1849" s="8">
        <v>1.0</v>
      </c>
      <c r="K1849" s="8">
        <v>1.0</v>
      </c>
      <c r="L1849" s="8">
        <v>6.0</v>
      </c>
      <c r="M1849" s="8"/>
      <c r="N1849" s="8"/>
      <c r="O1849" s="8" t="s">
        <v>778</v>
      </c>
      <c r="P1849" s="8">
        <v>6.0</v>
      </c>
    </row>
    <row r="1850">
      <c r="A1850">
        <f>IFERROR(__xludf.DUMMYFUNCTION("""COMPUTED_VALUE"""),7.0)</f>
        <v>7</v>
      </c>
      <c r="B1850">
        <f>IFERROR(__xludf.DUMMYFUNCTION("""COMPUTED_VALUE"""),30137.0)</f>
        <v>30137</v>
      </c>
      <c r="C1850" t="str">
        <f>IFERROR(__xludf.DUMMYFUNCTION("""COMPUTED_VALUE"""),"DA SILVA ABATEPAULO, IAN")</f>
        <v>DA SILVA ABATEPAULO, IAN</v>
      </c>
      <c r="D1850" t="str">
        <f>IFERROR(__xludf.DUMMYFUNCTION("""COMPUTED_VALUE"""),"Spanish 7")</f>
        <v>Spanish 7</v>
      </c>
      <c r="E1850" s="31">
        <f>IFERROR(__xludf.DUMMYFUNCTION("""COMPUTED_VALUE"""),1.0)</f>
        <v>1</v>
      </c>
      <c r="F1850" s="8">
        <v>1.0</v>
      </c>
      <c r="G1850" s="8">
        <v>1.0</v>
      </c>
      <c r="H1850" s="8">
        <v>1.0</v>
      </c>
      <c r="I1850" s="8">
        <v>1.0</v>
      </c>
      <c r="J1850" s="8">
        <v>1.0</v>
      </c>
      <c r="K1850" s="8">
        <v>1.0</v>
      </c>
      <c r="L1850" s="8">
        <v>6.0</v>
      </c>
      <c r="M1850" s="8"/>
      <c r="N1850" s="8"/>
      <c r="O1850" s="8" t="s">
        <v>779</v>
      </c>
      <c r="P1850" s="8">
        <v>6.0</v>
      </c>
    </row>
    <row r="1851">
      <c r="A1851">
        <f>IFERROR(__xludf.DUMMYFUNCTION("""COMPUTED_VALUE"""),7.0)</f>
        <v>7</v>
      </c>
      <c r="B1851">
        <f>IFERROR(__xludf.DUMMYFUNCTION("""COMPUTED_VALUE"""),30036.0)</f>
        <v>30036</v>
      </c>
      <c r="C1851" t="str">
        <f>IFERROR(__xludf.DUMMYFUNCTION("""COMPUTED_VALUE"""),"DUQUE OCHOA, PABLO")</f>
        <v>DUQUE OCHOA, PABLO</v>
      </c>
      <c r="D1851" t="str">
        <f>IFERROR(__xludf.DUMMYFUNCTION("""COMPUTED_VALUE"""),"Spanish 7")</f>
        <v>Spanish 7</v>
      </c>
      <c r="E1851" s="31">
        <f>IFERROR(__xludf.DUMMYFUNCTION("""COMPUTED_VALUE"""),6.0)</f>
        <v>6</v>
      </c>
      <c r="F1851" s="8">
        <v>1.0</v>
      </c>
      <c r="G1851" s="8">
        <v>1.0</v>
      </c>
      <c r="H1851" s="8">
        <v>1.0</v>
      </c>
      <c r="I1851" s="8">
        <v>1.0</v>
      </c>
      <c r="J1851" s="8">
        <v>1.0</v>
      </c>
      <c r="K1851" s="8">
        <v>1.0</v>
      </c>
      <c r="L1851" s="8">
        <v>6.0</v>
      </c>
      <c r="M1851" s="8"/>
      <c r="N1851" s="8"/>
      <c r="O1851" s="8" t="s">
        <v>780</v>
      </c>
      <c r="P1851" s="8">
        <v>6.0</v>
      </c>
    </row>
    <row r="1852">
      <c r="A1852">
        <f>IFERROR(__xludf.DUMMYFUNCTION("""COMPUTED_VALUE"""),7.0)</f>
        <v>7</v>
      </c>
      <c r="B1852">
        <f>IFERROR(__xludf.DUMMYFUNCTION("""COMPUTED_VALUE"""),30037.0)</f>
        <v>30037</v>
      </c>
      <c r="C1852" t="str">
        <f>IFERROR(__xludf.DUMMYFUNCTION("""COMPUTED_VALUE"""),"DUQUE ZAPATA, SAMUEL")</f>
        <v>DUQUE ZAPATA, SAMUEL</v>
      </c>
      <c r="D1852" t="str">
        <f>IFERROR(__xludf.DUMMYFUNCTION("""COMPUTED_VALUE"""),"Spanish 7")</f>
        <v>Spanish 7</v>
      </c>
      <c r="E1852" s="31">
        <f>IFERROR(__xludf.DUMMYFUNCTION("""COMPUTED_VALUE"""),4.0)</f>
        <v>4</v>
      </c>
      <c r="F1852" s="8">
        <v>1.0</v>
      </c>
      <c r="G1852" s="8">
        <v>1.0</v>
      </c>
      <c r="H1852" s="8">
        <v>1.0</v>
      </c>
      <c r="I1852" s="8">
        <v>1.0</v>
      </c>
      <c r="J1852" s="8">
        <v>1.0</v>
      </c>
      <c r="K1852" s="8">
        <v>1.0</v>
      </c>
      <c r="L1852" s="8">
        <v>6.0</v>
      </c>
      <c r="M1852" s="8"/>
      <c r="N1852" s="8"/>
      <c r="O1852" s="8" t="s">
        <v>782</v>
      </c>
      <c r="P1852" s="8">
        <v>6.0</v>
      </c>
    </row>
    <row r="1853">
      <c r="A1853">
        <f>IFERROR(__xludf.DUMMYFUNCTION("""COMPUTED_VALUE"""),7.0)</f>
        <v>7</v>
      </c>
      <c r="B1853">
        <f>IFERROR(__xludf.DUMMYFUNCTION("""COMPUTED_VALUE"""),30038.0)</f>
        <v>30038</v>
      </c>
      <c r="C1853" t="str">
        <f>IFERROR(__xludf.DUMMYFUNCTION("""COMPUTED_VALUE"""),"ESCANDON LIBOS, AMELIA")</f>
        <v>ESCANDON LIBOS, AMELIA</v>
      </c>
      <c r="D1853" t="str">
        <f>IFERROR(__xludf.DUMMYFUNCTION("""COMPUTED_VALUE"""),"Spanish 7A")</f>
        <v>Spanish 7A</v>
      </c>
      <c r="E1853" s="31">
        <f>IFERROR(__xludf.DUMMYFUNCTION("""COMPUTED_VALUE"""),4.0)</f>
        <v>4</v>
      </c>
      <c r="F1853" s="8">
        <v>1.0</v>
      </c>
      <c r="G1853" s="8">
        <v>1.0</v>
      </c>
      <c r="H1853" s="8">
        <v>1.0</v>
      </c>
      <c r="I1853" s="8">
        <v>1.0</v>
      </c>
      <c r="J1853" s="8">
        <v>1.0</v>
      </c>
      <c r="K1853" s="8">
        <v>1.0</v>
      </c>
      <c r="L1853" s="8">
        <v>6.0</v>
      </c>
      <c r="M1853" s="8"/>
      <c r="N1853" s="8"/>
      <c r="O1853" s="8" t="s">
        <v>783</v>
      </c>
      <c r="P1853" s="8" t="e">
        <v>#N/A</v>
      </c>
    </row>
    <row r="1854">
      <c r="A1854">
        <f>IFERROR(__xludf.DUMMYFUNCTION("""COMPUTED_VALUE"""),7.0)</f>
        <v>7</v>
      </c>
      <c r="B1854">
        <f>IFERROR(__xludf.DUMMYFUNCTION("""COMPUTED_VALUE"""),30039.0)</f>
        <v>30039</v>
      </c>
      <c r="C1854" t="str">
        <f>IFERROR(__xludf.DUMMYFUNCTION("""COMPUTED_VALUE"""),"ESCOBAR CASTAÑO, ALICIA")</f>
        <v>ESCOBAR CASTAÑO, ALICIA</v>
      </c>
      <c r="D1854" t="str">
        <f>IFERROR(__xludf.DUMMYFUNCTION("""COMPUTED_VALUE"""),"Spanish 7")</f>
        <v>Spanish 7</v>
      </c>
      <c r="E1854" s="31">
        <f>IFERROR(__xludf.DUMMYFUNCTION("""COMPUTED_VALUE"""),2.0)</f>
        <v>2</v>
      </c>
      <c r="F1854" s="8">
        <v>1.0</v>
      </c>
      <c r="G1854" s="8">
        <v>1.0</v>
      </c>
      <c r="H1854" s="8">
        <v>1.0</v>
      </c>
      <c r="I1854" s="8">
        <v>1.0</v>
      </c>
      <c r="J1854" s="8">
        <v>1.0</v>
      </c>
      <c r="K1854" s="8">
        <v>1.0</v>
      </c>
      <c r="L1854" s="8">
        <v>6.0</v>
      </c>
      <c r="M1854" s="8"/>
      <c r="N1854" s="8"/>
      <c r="O1854" s="8" t="s">
        <v>781</v>
      </c>
      <c r="P1854" s="8">
        <v>6.0</v>
      </c>
    </row>
    <row r="1855">
      <c r="A1855">
        <f>IFERROR(__xludf.DUMMYFUNCTION("""COMPUTED_VALUE"""),7.0)</f>
        <v>7</v>
      </c>
      <c r="B1855">
        <f>IFERROR(__xludf.DUMMYFUNCTION("""COMPUTED_VALUE"""),30040.0)</f>
        <v>30040</v>
      </c>
      <c r="C1855" t="str">
        <f>IFERROR(__xludf.DUMMYFUNCTION("""COMPUTED_VALUE"""),"ESCOBEDO DRAVIGNEY, ZOE")</f>
        <v>ESCOBEDO DRAVIGNEY, ZOE</v>
      </c>
      <c r="D1855" t="str">
        <f>IFERROR(__xludf.DUMMYFUNCTION("""COMPUTED_VALUE"""),"Spanish 7")</f>
        <v>Spanish 7</v>
      </c>
      <c r="E1855" s="31">
        <f>IFERROR(__xludf.DUMMYFUNCTION("""COMPUTED_VALUE"""),1.0)</f>
        <v>1</v>
      </c>
      <c r="F1855" s="8">
        <v>1.0</v>
      </c>
      <c r="G1855" s="8">
        <v>1.0</v>
      </c>
      <c r="H1855" s="8">
        <v>1.0</v>
      </c>
      <c r="I1855" s="8">
        <v>1.0</v>
      </c>
      <c r="J1855" s="8">
        <v>1.0</v>
      </c>
      <c r="K1855" s="8">
        <v>1.0</v>
      </c>
      <c r="L1855" s="8">
        <v>6.0</v>
      </c>
      <c r="M1855" s="8"/>
      <c r="N1855" s="8"/>
      <c r="O1855" s="8" t="s">
        <v>779</v>
      </c>
      <c r="P1855" s="8">
        <v>6.0</v>
      </c>
    </row>
    <row r="1856">
      <c r="A1856">
        <f>IFERROR(__xludf.DUMMYFUNCTION("""COMPUTED_VALUE"""),7.0)</f>
        <v>7</v>
      </c>
      <c r="B1856">
        <f>IFERROR(__xludf.DUMMYFUNCTION("""COMPUTED_VALUE"""),30042.0)</f>
        <v>30042</v>
      </c>
      <c r="C1856" t="str">
        <f>IFERROR(__xludf.DUMMYFUNCTION("""COMPUTED_VALUE"""),"ESTELA NARANJO, JOSE MARIA")</f>
        <v>ESTELA NARANJO, JOSE MARIA</v>
      </c>
      <c r="D1856" t="str">
        <f>IFERROR(__xludf.DUMMYFUNCTION("""COMPUTED_VALUE"""),"Spanish 7A")</f>
        <v>Spanish 7A</v>
      </c>
      <c r="E1856" s="31">
        <f>IFERROR(__xludf.DUMMYFUNCTION("""COMPUTED_VALUE"""),4.0)</f>
        <v>4</v>
      </c>
      <c r="F1856" s="8">
        <v>1.0</v>
      </c>
      <c r="G1856" s="8">
        <v>1.0</v>
      </c>
      <c r="H1856" s="8">
        <v>1.0</v>
      </c>
      <c r="I1856" s="8">
        <v>1.0</v>
      </c>
      <c r="J1856" s="8">
        <v>1.0</v>
      </c>
      <c r="K1856" s="8">
        <v>1.0</v>
      </c>
      <c r="L1856" s="8">
        <v>6.0</v>
      </c>
      <c r="M1856" s="8"/>
      <c r="N1856" s="8"/>
      <c r="O1856" s="8" t="s">
        <v>783</v>
      </c>
      <c r="P1856" s="8" t="e">
        <v>#N/A</v>
      </c>
    </row>
    <row r="1857">
      <c r="A1857">
        <f>IFERROR(__xludf.DUMMYFUNCTION("""COMPUTED_VALUE"""),7.0)</f>
        <v>7</v>
      </c>
      <c r="B1857">
        <f>IFERROR(__xludf.DUMMYFUNCTION("""COMPUTED_VALUE"""),30043.0)</f>
        <v>30043</v>
      </c>
      <c r="C1857" t="str">
        <f>IFERROR(__xludf.DUMMYFUNCTION("""COMPUTED_VALUE"""),"FERNANDEZ RAMIREZ, SANTIAGO")</f>
        <v>FERNANDEZ RAMIREZ, SANTIAGO</v>
      </c>
      <c r="D1857" t="str">
        <f>IFERROR(__xludf.DUMMYFUNCTION("""COMPUTED_VALUE"""),"Spanish 7")</f>
        <v>Spanish 7</v>
      </c>
      <c r="E1857" s="31">
        <f>IFERROR(__xludf.DUMMYFUNCTION("""COMPUTED_VALUE"""),4.0)</f>
        <v>4</v>
      </c>
      <c r="F1857" s="8">
        <v>1.0</v>
      </c>
      <c r="G1857" s="8">
        <v>1.0</v>
      </c>
      <c r="H1857" s="8">
        <v>1.0</v>
      </c>
      <c r="I1857" s="8">
        <v>1.0</v>
      </c>
      <c r="J1857" s="8">
        <v>1.0</v>
      </c>
      <c r="K1857" s="8">
        <v>1.0</v>
      </c>
      <c r="L1857" s="8">
        <v>6.0</v>
      </c>
      <c r="M1857" s="8"/>
      <c r="N1857" s="8"/>
      <c r="O1857" s="8" t="s">
        <v>782</v>
      </c>
      <c r="P1857" s="8">
        <v>6.0</v>
      </c>
    </row>
    <row r="1858">
      <c r="A1858">
        <f>IFERROR(__xludf.DUMMYFUNCTION("""COMPUTED_VALUE"""),7.0)</f>
        <v>7</v>
      </c>
      <c r="B1858">
        <f>IFERROR(__xludf.DUMMYFUNCTION("""COMPUTED_VALUE"""),30045.0)</f>
        <v>30045</v>
      </c>
      <c r="C1858" t="str">
        <f>IFERROR(__xludf.DUMMYFUNCTION("""COMPUTED_VALUE"""),"GALVEZ ATEHORTUA, LAURA")</f>
        <v>GALVEZ ATEHORTUA, LAURA</v>
      </c>
      <c r="D1858" t="str">
        <f>IFERROR(__xludf.DUMMYFUNCTION("""COMPUTED_VALUE"""),"Spanish 7")</f>
        <v>Spanish 7</v>
      </c>
      <c r="E1858" s="31">
        <f>IFERROR(__xludf.DUMMYFUNCTION("""COMPUTED_VALUE"""),3.0)</f>
        <v>3</v>
      </c>
      <c r="F1858" s="8">
        <v>1.0</v>
      </c>
      <c r="G1858" s="8">
        <v>1.0</v>
      </c>
      <c r="H1858" s="8">
        <v>1.0</v>
      </c>
      <c r="I1858" s="8">
        <v>1.0</v>
      </c>
      <c r="J1858" s="8">
        <v>1.0</v>
      </c>
      <c r="K1858" s="8">
        <v>1.0</v>
      </c>
      <c r="L1858" s="8">
        <v>6.0</v>
      </c>
      <c r="M1858" s="8"/>
      <c r="N1858" s="8"/>
      <c r="O1858" s="8" t="s">
        <v>778</v>
      </c>
      <c r="P1858" s="8">
        <v>6.0</v>
      </c>
    </row>
    <row r="1859">
      <c r="A1859">
        <f>IFERROR(__xludf.DUMMYFUNCTION("""COMPUTED_VALUE"""),7.0)</f>
        <v>7</v>
      </c>
      <c r="B1859">
        <f>IFERROR(__xludf.DUMMYFUNCTION("""COMPUTED_VALUE"""),30139.0)</f>
        <v>30139</v>
      </c>
      <c r="C1859" t="str">
        <f>IFERROR(__xludf.DUMMYFUNCTION("""COMPUTED_VALUE"""),"GARCIA RESTREPO, MATIAS")</f>
        <v>GARCIA RESTREPO, MATIAS</v>
      </c>
      <c r="D1859" t="str">
        <f>IFERROR(__xludf.DUMMYFUNCTION("""COMPUTED_VALUE"""),"Spanish 7")</f>
        <v>Spanish 7</v>
      </c>
      <c r="E1859" s="31">
        <f>IFERROR(__xludf.DUMMYFUNCTION("""COMPUTED_VALUE"""),6.0)</f>
        <v>6</v>
      </c>
      <c r="F1859" s="8">
        <v>1.0</v>
      </c>
      <c r="G1859" s="8">
        <v>1.0</v>
      </c>
      <c r="H1859" s="8">
        <v>1.0</v>
      </c>
      <c r="I1859" s="8">
        <v>1.0</v>
      </c>
      <c r="J1859" s="8">
        <v>1.0</v>
      </c>
      <c r="K1859" s="8">
        <v>1.0</v>
      </c>
      <c r="L1859" s="8">
        <v>6.0</v>
      </c>
      <c r="M1859" s="8"/>
      <c r="N1859" s="8"/>
      <c r="O1859" s="8" t="s">
        <v>780</v>
      </c>
      <c r="P1859" s="8">
        <v>6.0</v>
      </c>
    </row>
    <row r="1860">
      <c r="A1860">
        <f>IFERROR(__xludf.DUMMYFUNCTION("""COMPUTED_VALUE"""),7.0)</f>
        <v>7</v>
      </c>
      <c r="B1860">
        <f>IFERROR(__xludf.DUMMYFUNCTION("""COMPUTED_VALUE"""),30046.0)</f>
        <v>30046</v>
      </c>
      <c r="C1860" t="str">
        <f>IFERROR(__xludf.DUMMYFUNCTION("""COMPUTED_VALUE"""),"GARCIA RIVERA, MARTIN")</f>
        <v>GARCIA RIVERA, MARTIN</v>
      </c>
      <c r="D1860" t="str">
        <f>IFERROR(__xludf.DUMMYFUNCTION("""COMPUTED_VALUE"""),"Spanish 7")</f>
        <v>Spanish 7</v>
      </c>
      <c r="E1860" s="31">
        <f>IFERROR(__xludf.DUMMYFUNCTION("""COMPUTED_VALUE"""),1.0)</f>
        <v>1</v>
      </c>
      <c r="F1860" s="8">
        <v>1.0</v>
      </c>
      <c r="G1860" s="8">
        <v>1.0</v>
      </c>
      <c r="H1860" s="8">
        <v>1.0</v>
      </c>
      <c r="I1860" s="8">
        <v>1.0</v>
      </c>
      <c r="J1860" s="8">
        <v>1.0</v>
      </c>
      <c r="K1860" s="8">
        <v>1.0</v>
      </c>
      <c r="L1860" s="8">
        <v>6.0</v>
      </c>
      <c r="M1860" s="8"/>
      <c r="N1860" s="8"/>
      <c r="O1860" s="8" t="s">
        <v>779</v>
      </c>
      <c r="P1860" s="8">
        <v>6.0</v>
      </c>
    </row>
    <row r="1861">
      <c r="A1861">
        <f>IFERROR(__xludf.DUMMYFUNCTION("""COMPUTED_VALUE"""),7.0)</f>
        <v>7</v>
      </c>
      <c r="B1861">
        <f>IFERROR(__xludf.DUMMYFUNCTION("""COMPUTED_VALUE"""),30047.0)</f>
        <v>30047</v>
      </c>
      <c r="C1861" t="str">
        <f>IFERROR(__xludf.DUMMYFUNCTION("""COMPUTED_VALUE"""),"GAVIRIA ISAZA, CAMILO")</f>
        <v>GAVIRIA ISAZA, CAMILO</v>
      </c>
      <c r="D1861" t="str">
        <f>IFERROR(__xludf.DUMMYFUNCTION("""COMPUTED_VALUE"""),"Spanish 7")</f>
        <v>Spanish 7</v>
      </c>
      <c r="E1861" s="31">
        <f>IFERROR(__xludf.DUMMYFUNCTION("""COMPUTED_VALUE"""),3.0)</f>
        <v>3</v>
      </c>
      <c r="F1861" s="8">
        <v>1.0</v>
      </c>
      <c r="G1861" s="8">
        <v>1.0</v>
      </c>
      <c r="H1861" s="8">
        <v>1.0</v>
      </c>
      <c r="I1861" s="8">
        <v>1.0</v>
      </c>
      <c r="J1861" s="8">
        <v>1.0</v>
      </c>
      <c r="K1861" s="8">
        <v>1.0</v>
      </c>
      <c r="L1861" s="8">
        <v>6.0</v>
      </c>
      <c r="M1861" s="8"/>
      <c r="N1861" s="8"/>
      <c r="O1861" s="8" t="s">
        <v>778</v>
      </c>
      <c r="P1861" s="8">
        <v>6.0</v>
      </c>
    </row>
    <row r="1862">
      <c r="A1862">
        <f>IFERROR(__xludf.DUMMYFUNCTION("""COMPUTED_VALUE"""),7.0)</f>
        <v>7</v>
      </c>
      <c r="B1862">
        <f>IFERROR(__xludf.DUMMYFUNCTION("""COMPUTED_VALUE"""),30048.0)</f>
        <v>30048</v>
      </c>
      <c r="C1862" t="str">
        <f>IFERROR(__xludf.DUMMYFUNCTION("""COMPUTED_VALUE"""),"GAVIRIA OLAYA, AMALIA")</f>
        <v>GAVIRIA OLAYA, AMALIA</v>
      </c>
      <c r="D1862" t="str">
        <f>IFERROR(__xludf.DUMMYFUNCTION("""COMPUTED_VALUE"""),"Spanish 7")</f>
        <v>Spanish 7</v>
      </c>
      <c r="E1862" s="31">
        <f>IFERROR(__xludf.DUMMYFUNCTION("""COMPUTED_VALUE"""),6.0)</f>
        <v>6</v>
      </c>
      <c r="F1862" s="8">
        <v>1.0</v>
      </c>
      <c r="G1862" s="8">
        <v>1.0</v>
      </c>
      <c r="H1862" s="8">
        <v>1.0</v>
      </c>
      <c r="I1862" s="8">
        <v>1.0</v>
      </c>
      <c r="J1862" s="8">
        <v>1.0</v>
      </c>
      <c r="K1862" s="8">
        <v>1.0</v>
      </c>
      <c r="L1862" s="8">
        <v>6.0</v>
      </c>
      <c r="M1862" s="8"/>
      <c r="N1862" s="8"/>
      <c r="O1862" s="8" t="s">
        <v>780</v>
      </c>
      <c r="P1862" s="8">
        <v>6.0</v>
      </c>
    </row>
    <row r="1863">
      <c r="A1863">
        <f>IFERROR(__xludf.DUMMYFUNCTION("""COMPUTED_VALUE"""),7.0)</f>
        <v>7</v>
      </c>
      <c r="B1863">
        <f>IFERROR(__xludf.DUMMYFUNCTION("""COMPUTED_VALUE"""),30146.0)</f>
        <v>30146</v>
      </c>
      <c r="C1863" t="str">
        <f>IFERROR(__xludf.DUMMYFUNCTION("""COMPUTED_VALUE"""),"GIRALDO MONTOYA, EMMA")</f>
        <v>GIRALDO MONTOYA, EMMA</v>
      </c>
      <c r="D1863" t="str">
        <f>IFERROR(__xludf.DUMMYFUNCTION("""COMPUTED_VALUE"""),"Spanish 7")</f>
        <v>Spanish 7</v>
      </c>
      <c r="E1863" s="31">
        <f>IFERROR(__xludf.DUMMYFUNCTION("""COMPUTED_VALUE"""),2.0)</f>
        <v>2</v>
      </c>
      <c r="F1863" s="8">
        <v>1.0</v>
      </c>
      <c r="G1863" s="8">
        <v>1.0</v>
      </c>
      <c r="H1863" s="8">
        <v>1.0</v>
      </c>
      <c r="I1863" s="8">
        <v>1.0</v>
      </c>
      <c r="J1863" s="8">
        <v>1.0</v>
      </c>
      <c r="K1863" s="8">
        <v>1.0</v>
      </c>
      <c r="L1863" s="8">
        <v>6.0</v>
      </c>
      <c r="M1863" s="8"/>
      <c r="N1863" s="8"/>
      <c r="O1863" s="8" t="s">
        <v>781</v>
      </c>
      <c r="P1863" s="8">
        <v>6.0</v>
      </c>
    </row>
    <row r="1864">
      <c r="A1864">
        <f>IFERROR(__xludf.DUMMYFUNCTION("""COMPUTED_VALUE"""),7.0)</f>
        <v>7</v>
      </c>
      <c r="B1864">
        <f>IFERROR(__xludf.DUMMYFUNCTION("""COMPUTED_VALUE"""),30049.0)</f>
        <v>30049</v>
      </c>
      <c r="C1864" t="str">
        <f>IFERROR(__xludf.DUMMYFUNCTION("""COMPUTED_VALUE"""),"GOMEZ RAMIREZ, JOAQUIN")</f>
        <v>GOMEZ RAMIREZ, JOAQUIN</v>
      </c>
      <c r="D1864" t="str">
        <f>IFERROR(__xludf.DUMMYFUNCTION("""COMPUTED_VALUE"""),"Spanish 7")</f>
        <v>Spanish 7</v>
      </c>
      <c r="E1864" s="31">
        <f>IFERROR(__xludf.DUMMYFUNCTION("""COMPUTED_VALUE"""),4.0)</f>
        <v>4</v>
      </c>
      <c r="F1864" s="8">
        <v>1.0</v>
      </c>
      <c r="G1864" s="8">
        <v>1.0</v>
      </c>
      <c r="H1864" s="8">
        <v>1.0</v>
      </c>
      <c r="I1864" s="8">
        <v>1.0</v>
      </c>
      <c r="J1864" s="8">
        <v>1.0</v>
      </c>
      <c r="K1864" s="8">
        <v>1.0</v>
      </c>
      <c r="L1864" s="8">
        <v>6.0</v>
      </c>
      <c r="M1864" s="8"/>
      <c r="N1864" s="8"/>
      <c r="O1864" s="8" t="s">
        <v>782</v>
      </c>
      <c r="P1864" s="8">
        <v>6.0</v>
      </c>
    </row>
    <row r="1865">
      <c r="A1865">
        <f>IFERROR(__xludf.DUMMYFUNCTION("""COMPUTED_VALUE"""),7.0)</f>
        <v>7</v>
      </c>
      <c r="B1865">
        <f>IFERROR(__xludf.DUMMYFUNCTION("""COMPUTED_VALUE"""),30050.0)</f>
        <v>30050</v>
      </c>
      <c r="C1865" t="str">
        <f>IFERROR(__xludf.DUMMYFUNCTION("""COMPUTED_VALUE"""),"GOMEZ TORRES, AMALIA")</f>
        <v>GOMEZ TORRES, AMALIA</v>
      </c>
      <c r="D1865" t="str">
        <f>IFERROR(__xludf.DUMMYFUNCTION("""COMPUTED_VALUE"""),"Spanish 7A")</f>
        <v>Spanish 7A</v>
      </c>
      <c r="E1865" s="31">
        <f>IFERROR(__xludf.DUMMYFUNCTION("""COMPUTED_VALUE"""),4.0)</f>
        <v>4</v>
      </c>
      <c r="F1865" s="8">
        <v>1.0</v>
      </c>
      <c r="G1865" s="8">
        <v>1.0</v>
      </c>
      <c r="H1865" s="8">
        <v>1.0</v>
      </c>
      <c r="I1865" s="8">
        <v>1.0</v>
      </c>
      <c r="J1865" s="8">
        <v>1.0</v>
      </c>
      <c r="K1865" s="8">
        <v>1.0</v>
      </c>
      <c r="L1865" s="8">
        <v>6.0</v>
      </c>
      <c r="M1865" s="8"/>
      <c r="N1865" s="8"/>
      <c r="O1865" s="8" t="s">
        <v>783</v>
      </c>
      <c r="P1865" s="8" t="e">
        <v>#N/A</v>
      </c>
    </row>
    <row r="1866">
      <c r="A1866">
        <f>IFERROR(__xludf.DUMMYFUNCTION("""COMPUTED_VALUE"""),7.0)</f>
        <v>7</v>
      </c>
      <c r="B1866">
        <f>IFERROR(__xludf.DUMMYFUNCTION("""COMPUTED_VALUE"""),30051.0)</f>
        <v>30051</v>
      </c>
      <c r="C1866" t="str">
        <f>IFERROR(__xludf.DUMMYFUNCTION("""COMPUTED_VALUE"""),"GONZALEZ MONSALVE, JULIETA")</f>
        <v>GONZALEZ MONSALVE, JULIETA</v>
      </c>
      <c r="D1866" t="str">
        <f>IFERROR(__xludf.DUMMYFUNCTION("""COMPUTED_VALUE"""),"Spanish 7")</f>
        <v>Spanish 7</v>
      </c>
      <c r="E1866" s="31">
        <f>IFERROR(__xludf.DUMMYFUNCTION("""COMPUTED_VALUE"""),1.0)</f>
        <v>1</v>
      </c>
      <c r="F1866" s="8">
        <v>1.0</v>
      </c>
      <c r="G1866" s="8">
        <v>1.0</v>
      </c>
      <c r="H1866" s="8">
        <v>1.0</v>
      </c>
      <c r="I1866" s="8">
        <v>1.0</v>
      </c>
      <c r="J1866" s="8">
        <v>1.0</v>
      </c>
      <c r="K1866" s="8">
        <v>1.0</v>
      </c>
      <c r="L1866" s="8">
        <v>6.0</v>
      </c>
      <c r="M1866" s="8"/>
      <c r="N1866" s="8"/>
      <c r="O1866" s="8" t="s">
        <v>779</v>
      </c>
      <c r="P1866" s="8">
        <v>6.0</v>
      </c>
    </row>
    <row r="1867">
      <c r="A1867">
        <f>IFERROR(__xludf.DUMMYFUNCTION("""COMPUTED_VALUE"""),7.0)</f>
        <v>7</v>
      </c>
      <c r="B1867">
        <f>IFERROR(__xludf.DUMMYFUNCTION("""COMPUTED_VALUE"""),30052.0)</f>
        <v>30052</v>
      </c>
      <c r="C1867" t="str">
        <f>IFERROR(__xludf.DUMMYFUNCTION("""COMPUTED_VALUE"""),"GONZALEZ TORRES, SEBASTIAN")</f>
        <v>GONZALEZ TORRES, SEBASTIAN</v>
      </c>
      <c r="D1867" t="str">
        <f>IFERROR(__xludf.DUMMYFUNCTION("""COMPUTED_VALUE"""),"Spanish 7")</f>
        <v>Spanish 7</v>
      </c>
      <c r="E1867" s="31">
        <f>IFERROR(__xludf.DUMMYFUNCTION("""COMPUTED_VALUE"""),3.0)</f>
        <v>3</v>
      </c>
      <c r="F1867" s="8">
        <v>1.0</v>
      </c>
      <c r="G1867" s="8">
        <v>1.0</v>
      </c>
      <c r="H1867" s="8">
        <v>1.0</v>
      </c>
      <c r="I1867" s="8">
        <v>1.0</v>
      </c>
      <c r="J1867" s="8">
        <v>1.0</v>
      </c>
      <c r="K1867" s="8">
        <v>1.0</v>
      </c>
      <c r="L1867" s="8">
        <v>6.0</v>
      </c>
      <c r="M1867" s="8"/>
      <c r="N1867" s="8"/>
      <c r="O1867" s="8" t="s">
        <v>778</v>
      </c>
      <c r="P1867" s="8">
        <v>6.0</v>
      </c>
    </row>
    <row r="1868">
      <c r="A1868">
        <f>IFERROR(__xludf.DUMMYFUNCTION("""COMPUTED_VALUE"""),7.0)</f>
        <v>7</v>
      </c>
      <c r="B1868">
        <f>IFERROR(__xludf.DUMMYFUNCTION("""COMPUTED_VALUE"""),30053.0)</f>
        <v>30053</v>
      </c>
      <c r="C1868" t="str">
        <f>IFERROR(__xludf.DUMMYFUNCTION("""COMPUTED_VALUE"""),"GONZALEZ TRABOULSI, MATIAS")</f>
        <v>GONZALEZ TRABOULSI, MATIAS</v>
      </c>
      <c r="D1868" t="str">
        <f>IFERROR(__xludf.DUMMYFUNCTION("""COMPUTED_VALUE"""),"Spanish 7")</f>
        <v>Spanish 7</v>
      </c>
      <c r="E1868" s="31">
        <f>IFERROR(__xludf.DUMMYFUNCTION("""COMPUTED_VALUE"""),2.0)</f>
        <v>2</v>
      </c>
      <c r="F1868" s="8">
        <v>1.0</v>
      </c>
      <c r="G1868" s="8">
        <v>1.0</v>
      </c>
      <c r="H1868" s="8">
        <v>1.0</v>
      </c>
      <c r="I1868" s="8">
        <v>1.0</v>
      </c>
      <c r="J1868" s="8">
        <v>1.0</v>
      </c>
      <c r="K1868" s="8">
        <v>1.0</v>
      </c>
      <c r="L1868" s="8">
        <v>6.0</v>
      </c>
      <c r="M1868" s="8"/>
      <c r="N1868" s="8"/>
      <c r="O1868" s="8" t="s">
        <v>781</v>
      </c>
      <c r="P1868" s="8">
        <v>6.0</v>
      </c>
    </row>
    <row r="1869">
      <c r="A1869">
        <f>IFERROR(__xludf.DUMMYFUNCTION("""COMPUTED_VALUE"""),7.0)</f>
        <v>7</v>
      </c>
      <c r="B1869">
        <f>IFERROR(__xludf.DUMMYFUNCTION("""COMPUTED_VALUE"""),30054.0)</f>
        <v>30054</v>
      </c>
      <c r="C1869" t="str">
        <f>IFERROR(__xludf.DUMMYFUNCTION("""COMPUTED_VALUE"""),"GRISALES PINEDA, ELISA")</f>
        <v>GRISALES PINEDA, ELISA</v>
      </c>
      <c r="D1869" t="str">
        <f>IFERROR(__xludf.DUMMYFUNCTION("""COMPUTED_VALUE"""),"Spanish 7")</f>
        <v>Spanish 7</v>
      </c>
      <c r="E1869" s="31">
        <f>IFERROR(__xludf.DUMMYFUNCTION("""COMPUTED_VALUE"""),6.0)</f>
        <v>6</v>
      </c>
      <c r="F1869" s="8">
        <v>1.0</v>
      </c>
      <c r="G1869" s="8">
        <v>1.0</v>
      </c>
      <c r="H1869" s="8">
        <v>1.0</v>
      </c>
      <c r="I1869" s="8">
        <v>1.0</v>
      </c>
      <c r="J1869" s="8">
        <v>1.0</v>
      </c>
      <c r="K1869" s="8">
        <v>1.0</v>
      </c>
      <c r="L1869" s="8">
        <v>6.0</v>
      </c>
      <c r="M1869" s="8"/>
      <c r="N1869" s="8"/>
      <c r="O1869" s="8" t="s">
        <v>780</v>
      </c>
      <c r="P1869" s="8">
        <v>6.0</v>
      </c>
    </row>
    <row r="1870">
      <c r="A1870">
        <f>IFERROR(__xludf.DUMMYFUNCTION("""COMPUTED_VALUE"""),7.0)</f>
        <v>7</v>
      </c>
      <c r="B1870">
        <f>IFERROR(__xludf.DUMMYFUNCTION("""COMPUTED_VALUE"""),30055.0)</f>
        <v>30055</v>
      </c>
      <c r="C1870" t="str">
        <f>IFERROR(__xludf.DUMMYFUNCTION("""COMPUTED_VALUE"""),"GUERRERO JARAMILLO, CAMILA")</f>
        <v>GUERRERO JARAMILLO, CAMILA</v>
      </c>
      <c r="D1870" t="str">
        <f>IFERROR(__xludf.DUMMYFUNCTION("""COMPUTED_VALUE"""),"Spanish 7A")</f>
        <v>Spanish 7A</v>
      </c>
      <c r="E1870" s="31">
        <f>IFERROR(__xludf.DUMMYFUNCTION("""COMPUTED_VALUE"""),4.0)</f>
        <v>4</v>
      </c>
      <c r="F1870" s="8">
        <v>1.0</v>
      </c>
      <c r="G1870" s="8">
        <v>1.0</v>
      </c>
      <c r="H1870" s="8">
        <v>1.0</v>
      </c>
      <c r="I1870" s="8">
        <v>1.0</v>
      </c>
      <c r="J1870" s="8">
        <v>1.0</v>
      </c>
      <c r="K1870" s="8">
        <v>1.0</v>
      </c>
      <c r="L1870" s="8">
        <v>6.0</v>
      </c>
      <c r="M1870" s="8"/>
      <c r="N1870" s="8"/>
      <c r="O1870" s="8" t="s">
        <v>783</v>
      </c>
      <c r="P1870" s="8" t="e">
        <v>#N/A</v>
      </c>
    </row>
    <row r="1871">
      <c r="A1871">
        <f>IFERROR(__xludf.DUMMYFUNCTION("""COMPUTED_VALUE"""),7.0)</f>
        <v>7</v>
      </c>
      <c r="B1871">
        <f>IFERROR(__xludf.DUMMYFUNCTION("""COMPUTED_VALUE"""),30056.0)</f>
        <v>30056</v>
      </c>
      <c r="C1871" t="str">
        <f>IFERROR(__xludf.DUMMYFUNCTION("""COMPUTED_VALUE"""),"GUTIERREZ CARVAJAL, VIOLETA")</f>
        <v>GUTIERREZ CARVAJAL, VIOLETA</v>
      </c>
      <c r="D1871" t="str">
        <f>IFERROR(__xludf.DUMMYFUNCTION("""COMPUTED_VALUE"""),"Spanish 7")</f>
        <v>Spanish 7</v>
      </c>
      <c r="E1871" s="31">
        <f>IFERROR(__xludf.DUMMYFUNCTION("""COMPUTED_VALUE"""),1.0)</f>
        <v>1</v>
      </c>
      <c r="F1871" s="8">
        <v>1.0</v>
      </c>
      <c r="G1871" s="8">
        <v>1.0</v>
      </c>
      <c r="H1871" s="8">
        <v>1.0</v>
      </c>
      <c r="I1871" s="8">
        <v>1.0</v>
      </c>
      <c r="J1871" s="8">
        <v>1.0</v>
      </c>
      <c r="K1871" s="8">
        <v>1.0</v>
      </c>
      <c r="L1871" s="8">
        <v>6.0</v>
      </c>
      <c r="M1871" s="8"/>
      <c r="N1871" s="8"/>
      <c r="O1871" s="8" t="s">
        <v>779</v>
      </c>
      <c r="P1871" s="8">
        <v>6.0</v>
      </c>
    </row>
    <row r="1872">
      <c r="A1872">
        <f>IFERROR(__xludf.DUMMYFUNCTION("""COMPUTED_VALUE"""),7.0)</f>
        <v>7</v>
      </c>
      <c r="B1872">
        <f>IFERROR(__xludf.DUMMYFUNCTION("""COMPUTED_VALUE"""),30057.0)</f>
        <v>30057</v>
      </c>
      <c r="C1872" t="str">
        <f>IFERROR(__xludf.DUMMYFUNCTION("""COMPUTED_VALUE"""),"GUTIERREZ OCAMPO, ISABELA")</f>
        <v>GUTIERREZ OCAMPO, ISABELA</v>
      </c>
      <c r="D1872" t="str">
        <f>IFERROR(__xludf.DUMMYFUNCTION("""COMPUTED_VALUE"""),"Spanish 7")</f>
        <v>Spanish 7</v>
      </c>
      <c r="E1872" s="31">
        <f>IFERROR(__xludf.DUMMYFUNCTION("""COMPUTED_VALUE"""),2.0)</f>
        <v>2</v>
      </c>
      <c r="F1872" s="8">
        <v>1.0</v>
      </c>
      <c r="G1872" s="8">
        <v>1.0</v>
      </c>
      <c r="H1872" s="8">
        <v>1.0</v>
      </c>
      <c r="I1872" s="8">
        <v>1.0</v>
      </c>
      <c r="J1872" s="8">
        <v>1.0</v>
      </c>
      <c r="K1872" s="8">
        <v>1.0</v>
      </c>
      <c r="L1872" s="8">
        <v>6.0</v>
      </c>
      <c r="M1872" s="8"/>
      <c r="N1872" s="8"/>
      <c r="O1872" s="8" t="s">
        <v>781</v>
      </c>
      <c r="P1872" s="8">
        <v>6.0</v>
      </c>
    </row>
    <row r="1873">
      <c r="A1873">
        <f>IFERROR(__xludf.DUMMYFUNCTION("""COMPUTED_VALUE"""),7.0)</f>
        <v>7</v>
      </c>
      <c r="B1873">
        <f>IFERROR(__xludf.DUMMYFUNCTION("""COMPUTED_VALUE"""),30058.0)</f>
        <v>30058</v>
      </c>
      <c r="C1873" t="str">
        <f>IFERROR(__xludf.DUMMYFUNCTION("""COMPUTED_VALUE"""),"GUZMAN FRANCO, SEBASTIAN")</f>
        <v>GUZMAN FRANCO, SEBASTIAN</v>
      </c>
      <c r="D1873" t="str">
        <f>IFERROR(__xludf.DUMMYFUNCTION("""COMPUTED_VALUE"""),"Spanish 7A")</f>
        <v>Spanish 7A</v>
      </c>
      <c r="E1873" s="31">
        <f>IFERROR(__xludf.DUMMYFUNCTION("""COMPUTED_VALUE"""),4.0)</f>
        <v>4</v>
      </c>
      <c r="F1873" s="8">
        <v>1.0</v>
      </c>
      <c r="G1873" s="8">
        <v>1.0</v>
      </c>
      <c r="H1873" s="8">
        <v>1.0</v>
      </c>
      <c r="I1873" s="8">
        <v>1.0</v>
      </c>
      <c r="J1873" s="8">
        <v>1.0</v>
      </c>
      <c r="K1873" s="8">
        <v>1.0</v>
      </c>
      <c r="L1873" s="8">
        <v>6.0</v>
      </c>
      <c r="M1873" s="8"/>
      <c r="N1873" s="8"/>
      <c r="O1873" s="8" t="s">
        <v>783</v>
      </c>
      <c r="P1873" s="8" t="e">
        <v>#N/A</v>
      </c>
    </row>
    <row r="1874">
      <c r="A1874">
        <f>IFERROR(__xludf.DUMMYFUNCTION("""COMPUTED_VALUE"""),7.0)</f>
        <v>7</v>
      </c>
      <c r="B1874">
        <f>IFERROR(__xludf.DUMMYFUNCTION("""COMPUTED_VALUE"""),30059.0)</f>
        <v>30059</v>
      </c>
      <c r="C1874" t="str">
        <f>IFERROR(__xludf.DUMMYFUNCTION("""COMPUTED_VALUE"""),"HALABY NAVARRO, MARCO")</f>
        <v>HALABY NAVARRO, MARCO</v>
      </c>
      <c r="D1874" t="str">
        <f>IFERROR(__xludf.DUMMYFUNCTION("""COMPUTED_VALUE"""),"Spanish 7")</f>
        <v>Spanish 7</v>
      </c>
      <c r="E1874" s="31">
        <f>IFERROR(__xludf.DUMMYFUNCTION("""COMPUTED_VALUE"""),3.0)</f>
        <v>3</v>
      </c>
      <c r="F1874" s="8">
        <v>1.0</v>
      </c>
      <c r="G1874" s="8">
        <v>1.0</v>
      </c>
      <c r="H1874" s="8">
        <v>1.0</v>
      </c>
      <c r="I1874" s="8">
        <v>1.0</v>
      </c>
      <c r="J1874" s="8">
        <v>1.0</v>
      </c>
      <c r="K1874" s="8">
        <v>1.0</v>
      </c>
      <c r="L1874" s="8">
        <v>6.0</v>
      </c>
      <c r="M1874" s="8"/>
      <c r="N1874" s="8"/>
      <c r="O1874" s="8" t="s">
        <v>778</v>
      </c>
      <c r="P1874" s="8">
        <v>6.0</v>
      </c>
    </row>
    <row r="1875">
      <c r="A1875">
        <f>IFERROR(__xludf.DUMMYFUNCTION("""COMPUTED_VALUE"""),7.0)</f>
        <v>7</v>
      </c>
      <c r="B1875">
        <f>IFERROR(__xludf.DUMMYFUNCTION("""COMPUTED_VALUE"""),30166.0)</f>
        <v>30166</v>
      </c>
      <c r="C1875" t="str">
        <f>IFERROR(__xludf.DUMMYFUNCTION("""COMPUTED_VALUE"""),"HERNANDEZ GOMEZ, EMILIA")</f>
        <v>HERNANDEZ GOMEZ, EMILIA</v>
      </c>
      <c r="D1875" t="str">
        <f>IFERROR(__xludf.DUMMYFUNCTION("""COMPUTED_VALUE"""),"Spanish 7")</f>
        <v>Spanish 7</v>
      </c>
      <c r="E1875" s="31">
        <f>IFERROR(__xludf.DUMMYFUNCTION("""COMPUTED_VALUE"""),6.0)</f>
        <v>6</v>
      </c>
      <c r="F1875" s="8">
        <v>1.0</v>
      </c>
      <c r="G1875" s="8">
        <v>1.0</v>
      </c>
      <c r="H1875" s="8">
        <v>1.0</v>
      </c>
      <c r="I1875" s="8">
        <v>1.0</v>
      </c>
      <c r="J1875" s="8">
        <v>1.0</v>
      </c>
      <c r="K1875" s="8">
        <v>1.0</v>
      </c>
      <c r="L1875" s="8">
        <v>6.0</v>
      </c>
      <c r="M1875" s="8"/>
      <c r="N1875" s="8"/>
      <c r="O1875" s="8" t="s">
        <v>780</v>
      </c>
      <c r="P1875" s="8">
        <v>6.0</v>
      </c>
    </row>
    <row r="1876">
      <c r="A1876">
        <f>IFERROR(__xludf.DUMMYFUNCTION("""COMPUTED_VALUE"""),7.0)</f>
        <v>7</v>
      </c>
      <c r="B1876">
        <f>IFERROR(__xludf.DUMMYFUNCTION("""COMPUTED_VALUE"""),30062.0)</f>
        <v>30062</v>
      </c>
      <c r="C1876" t="str">
        <f>IFERROR(__xludf.DUMMYFUNCTION("""COMPUTED_VALUE"""),"HURTADO FAJARDO, VALERIA")</f>
        <v>HURTADO FAJARDO, VALERIA</v>
      </c>
      <c r="D1876" t="str">
        <f>IFERROR(__xludf.DUMMYFUNCTION("""COMPUTED_VALUE"""),"Spanish 7")</f>
        <v>Spanish 7</v>
      </c>
      <c r="E1876" s="31">
        <f>IFERROR(__xludf.DUMMYFUNCTION("""COMPUTED_VALUE"""),1.0)</f>
        <v>1</v>
      </c>
      <c r="F1876" s="8">
        <v>1.0</v>
      </c>
      <c r="G1876" s="8">
        <v>1.0</v>
      </c>
      <c r="H1876" s="8">
        <v>1.0</v>
      </c>
      <c r="I1876" s="8">
        <v>1.0</v>
      </c>
      <c r="J1876" s="8">
        <v>1.0</v>
      </c>
      <c r="K1876" s="8">
        <v>1.0</v>
      </c>
      <c r="L1876" s="8">
        <v>6.0</v>
      </c>
      <c r="M1876" s="8"/>
      <c r="N1876" s="8"/>
      <c r="O1876" s="8" t="s">
        <v>779</v>
      </c>
      <c r="P1876" s="8">
        <v>6.0</v>
      </c>
    </row>
    <row r="1877">
      <c r="A1877">
        <f>IFERROR(__xludf.DUMMYFUNCTION("""COMPUTED_VALUE"""),7.0)</f>
        <v>7</v>
      </c>
      <c r="B1877">
        <f>IFERROR(__xludf.DUMMYFUNCTION("""COMPUTED_VALUE"""),30064.0)</f>
        <v>30064</v>
      </c>
      <c r="C1877" t="str">
        <f>IFERROR(__xludf.DUMMYFUNCTION("""COMPUTED_VALUE"""),"JARAMILLO ARBELAEZ, TOMAS")</f>
        <v>JARAMILLO ARBELAEZ, TOMAS</v>
      </c>
      <c r="D1877" t="str">
        <f>IFERROR(__xludf.DUMMYFUNCTION("""COMPUTED_VALUE"""),"Spanish 7")</f>
        <v>Spanish 7</v>
      </c>
      <c r="E1877" s="31">
        <f>IFERROR(__xludf.DUMMYFUNCTION("""COMPUTED_VALUE"""),4.0)</f>
        <v>4</v>
      </c>
      <c r="F1877" s="8">
        <v>1.0</v>
      </c>
      <c r="G1877" s="8">
        <v>1.0</v>
      </c>
      <c r="H1877" s="8">
        <v>1.0</v>
      </c>
      <c r="I1877" s="8">
        <v>1.0</v>
      </c>
      <c r="J1877" s="8">
        <v>1.0</v>
      </c>
      <c r="K1877" s="8">
        <v>1.0</v>
      </c>
      <c r="L1877" s="8">
        <v>6.0</v>
      </c>
      <c r="M1877" s="8"/>
      <c r="N1877" s="8"/>
      <c r="O1877" s="8" t="s">
        <v>782</v>
      </c>
      <c r="P1877" s="8">
        <v>6.0</v>
      </c>
    </row>
    <row r="1878">
      <c r="A1878">
        <f>IFERROR(__xludf.DUMMYFUNCTION("""COMPUTED_VALUE"""),7.0)</f>
        <v>7</v>
      </c>
      <c r="B1878">
        <f>IFERROR(__xludf.DUMMYFUNCTION("""COMPUTED_VALUE"""),30065.0)</f>
        <v>30065</v>
      </c>
      <c r="C1878" t="str">
        <f>IFERROR(__xludf.DUMMYFUNCTION("""COMPUTED_VALUE"""),"JARAMILLO MORA, CARMEN")</f>
        <v>JARAMILLO MORA, CARMEN</v>
      </c>
      <c r="D1878" t="str">
        <f>IFERROR(__xludf.DUMMYFUNCTION("""COMPUTED_VALUE"""),"Spanish 7")</f>
        <v>Spanish 7</v>
      </c>
      <c r="E1878" s="31">
        <f>IFERROR(__xludf.DUMMYFUNCTION("""COMPUTED_VALUE"""),3.0)</f>
        <v>3</v>
      </c>
      <c r="F1878" s="8">
        <v>1.0</v>
      </c>
      <c r="G1878" s="8">
        <v>1.0</v>
      </c>
      <c r="H1878" s="8">
        <v>1.0</v>
      </c>
      <c r="I1878" s="8">
        <v>1.0</v>
      </c>
      <c r="J1878" s="8">
        <v>1.0</v>
      </c>
      <c r="K1878" s="8">
        <v>1.0</v>
      </c>
      <c r="L1878" s="8">
        <v>6.0</v>
      </c>
      <c r="M1878" s="8"/>
      <c r="N1878" s="8"/>
      <c r="O1878" s="8" t="s">
        <v>778</v>
      </c>
      <c r="P1878" s="8">
        <v>6.0</v>
      </c>
    </row>
    <row r="1879">
      <c r="A1879">
        <f>IFERROR(__xludf.DUMMYFUNCTION("""COMPUTED_VALUE"""),7.0)</f>
        <v>7</v>
      </c>
      <c r="B1879">
        <f>IFERROR(__xludf.DUMMYFUNCTION("""COMPUTED_VALUE"""),30066.0)</f>
        <v>30066</v>
      </c>
      <c r="C1879" t="str">
        <f>IFERROR(__xludf.DUMMYFUNCTION("""COMPUTED_VALUE"""),"JARAMILLO PEÑA, MIGUEL ANTONIO")</f>
        <v>JARAMILLO PEÑA, MIGUEL ANTONIO</v>
      </c>
      <c r="D1879" t="str">
        <f>IFERROR(__xludf.DUMMYFUNCTION("""COMPUTED_VALUE"""),"Spanish 7")</f>
        <v>Spanish 7</v>
      </c>
      <c r="E1879" s="31">
        <f>IFERROR(__xludf.DUMMYFUNCTION("""COMPUTED_VALUE"""),6.0)</f>
        <v>6</v>
      </c>
      <c r="F1879" s="8">
        <v>1.0</v>
      </c>
      <c r="G1879" s="8">
        <v>1.0</v>
      </c>
      <c r="H1879" s="8">
        <v>1.0</v>
      </c>
      <c r="I1879" s="8">
        <v>1.0</v>
      </c>
      <c r="J1879" s="8">
        <v>1.0</v>
      </c>
      <c r="K1879" s="8">
        <v>1.0</v>
      </c>
      <c r="L1879" s="8">
        <v>6.0</v>
      </c>
      <c r="M1879" s="8"/>
      <c r="N1879" s="8"/>
      <c r="O1879" s="8" t="s">
        <v>780</v>
      </c>
      <c r="P1879" s="8">
        <v>6.0</v>
      </c>
    </row>
    <row r="1880">
      <c r="A1880">
        <f>IFERROR(__xludf.DUMMYFUNCTION("""COMPUTED_VALUE"""),7.0)</f>
        <v>7</v>
      </c>
      <c r="B1880">
        <f>IFERROR(__xludf.DUMMYFUNCTION("""COMPUTED_VALUE"""),30148.0)</f>
        <v>30148</v>
      </c>
      <c r="C1880" t="str">
        <f>IFERROR(__xludf.DUMMYFUNCTION("""COMPUTED_VALUE"""),"JARAMILLO VELASQUEZ, FEDERICO")</f>
        <v>JARAMILLO VELASQUEZ, FEDERICO</v>
      </c>
      <c r="D1880" t="str">
        <f>IFERROR(__xludf.DUMMYFUNCTION("""COMPUTED_VALUE"""),"Spanish 7")</f>
        <v>Spanish 7</v>
      </c>
      <c r="E1880" s="31">
        <f>IFERROR(__xludf.DUMMYFUNCTION("""COMPUTED_VALUE"""),2.0)</f>
        <v>2</v>
      </c>
      <c r="F1880" s="8">
        <v>1.0</v>
      </c>
      <c r="G1880" s="8">
        <v>1.0</v>
      </c>
      <c r="H1880" s="8">
        <v>1.0</v>
      </c>
      <c r="I1880" s="8">
        <v>1.0</v>
      </c>
      <c r="J1880" s="8">
        <v>1.0</v>
      </c>
      <c r="K1880" s="8">
        <v>1.0</v>
      </c>
      <c r="L1880" s="8">
        <v>6.0</v>
      </c>
      <c r="M1880" s="8"/>
      <c r="N1880" s="8"/>
      <c r="O1880" s="8" t="s">
        <v>781</v>
      </c>
      <c r="P1880" s="8">
        <v>6.0</v>
      </c>
    </row>
    <row r="1881">
      <c r="A1881">
        <f>IFERROR(__xludf.DUMMYFUNCTION("""COMPUTED_VALUE"""),7.0)</f>
        <v>7</v>
      </c>
      <c r="B1881">
        <f>IFERROR(__xludf.DUMMYFUNCTION("""COMPUTED_VALUE"""),30068.0)</f>
        <v>30068</v>
      </c>
      <c r="C1881" t="str">
        <f>IFERROR(__xludf.DUMMYFUNCTION("""COMPUTED_VALUE"""),"LIBREROS ZULUAGA, JOSHUA")</f>
        <v>LIBREROS ZULUAGA, JOSHUA</v>
      </c>
      <c r="D1881" t="str">
        <f>IFERROR(__xludf.DUMMYFUNCTION("""COMPUTED_VALUE"""),"Spanish 7")</f>
        <v>Spanish 7</v>
      </c>
      <c r="E1881" s="31">
        <f>IFERROR(__xludf.DUMMYFUNCTION("""COMPUTED_VALUE"""),1.0)</f>
        <v>1</v>
      </c>
      <c r="F1881" s="8">
        <v>1.0</v>
      </c>
      <c r="G1881" s="8">
        <v>1.0</v>
      </c>
      <c r="H1881" s="8">
        <v>1.0</v>
      </c>
      <c r="I1881" s="8">
        <v>1.0</v>
      </c>
      <c r="J1881" s="8">
        <v>1.0</v>
      </c>
      <c r="K1881" s="8">
        <v>1.0</v>
      </c>
      <c r="L1881" s="8">
        <v>6.0</v>
      </c>
      <c r="M1881" s="8"/>
      <c r="N1881" s="8"/>
      <c r="O1881" s="8" t="s">
        <v>779</v>
      </c>
      <c r="P1881" s="8">
        <v>6.0</v>
      </c>
    </row>
    <row r="1882">
      <c r="A1882">
        <f>IFERROR(__xludf.DUMMYFUNCTION("""COMPUTED_VALUE"""),7.0)</f>
        <v>7</v>
      </c>
      <c r="B1882">
        <f>IFERROR(__xludf.DUMMYFUNCTION("""COMPUTED_VALUE"""),30069.0)</f>
        <v>30069</v>
      </c>
      <c r="C1882" t="str">
        <f>IFERROR(__xludf.DUMMYFUNCTION("""COMPUTED_VALUE"""),"LLANO PIEDRAHITA, TOMAS")</f>
        <v>LLANO PIEDRAHITA, TOMAS</v>
      </c>
      <c r="D1882" t="str">
        <f>IFERROR(__xludf.DUMMYFUNCTION("""COMPUTED_VALUE"""),"Spanish 7")</f>
        <v>Spanish 7</v>
      </c>
      <c r="E1882" s="31">
        <f>IFERROR(__xludf.DUMMYFUNCTION("""COMPUTED_VALUE"""),3.0)</f>
        <v>3</v>
      </c>
      <c r="F1882" s="8">
        <v>1.0</v>
      </c>
      <c r="G1882" s="8">
        <v>1.0</v>
      </c>
      <c r="H1882" s="8">
        <v>1.0</v>
      </c>
      <c r="I1882" s="8">
        <v>1.0</v>
      </c>
      <c r="J1882" s="8">
        <v>1.0</v>
      </c>
      <c r="K1882" s="8">
        <v>1.0</v>
      </c>
      <c r="L1882" s="8">
        <v>6.0</v>
      </c>
      <c r="M1882" s="8"/>
      <c r="N1882" s="8"/>
      <c r="O1882" s="8" t="s">
        <v>778</v>
      </c>
      <c r="P1882" s="8">
        <v>6.0</v>
      </c>
    </row>
    <row r="1883">
      <c r="A1883">
        <f>IFERROR(__xludf.DUMMYFUNCTION("""COMPUTED_VALUE"""),7.0)</f>
        <v>7</v>
      </c>
      <c r="B1883">
        <f>IFERROR(__xludf.DUMMYFUNCTION("""COMPUTED_VALUE"""),30070.0)</f>
        <v>30070</v>
      </c>
      <c r="C1883" t="str">
        <f>IFERROR(__xludf.DUMMYFUNCTION("""COMPUTED_VALUE"""),"LONDOÑO CUARTAS, PABLO")</f>
        <v>LONDOÑO CUARTAS, PABLO</v>
      </c>
      <c r="D1883" t="str">
        <f>IFERROR(__xludf.DUMMYFUNCTION("""COMPUTED_VALUE"""),"Spanish 7")</f>
        <v>Spanish 7</v>
      </c>
      <c r="E1883" s="31">
        <f>IFERROR(__xludf.DUMMYFUNCTION("""COMPUTED_VALUE"""),6.0)</f>
        <v>6</v>
      </c>
      <c r="F1883" s="8">
        <v>1.0</v>
      </c>
      <c r="G1883" s="8">
        <v>1.0</v>
      </c>
      <c r="H1883" s="8">
        <v>1.0</v>
      </c>
      <c r="I1883" s="8">
        <v>1.0</v>
      </c>
      <c r="J1883" s="8">
        <v>1.0</v>
      </c>
      <c r="K1883" s="8">
        <v>1.0</v>
      </c>
      <c r="L1883" s="8">
        <v>6.0</v>
      </c>
      <c r="M1883" s="8"/>
      <c r="N1883" s="8"/>
      <c r="O1883" s="8" t="s">
        <v>780</v>
      </c>
      <c r="P1883" s="8">
        <v>6.0</v>
      </c>
    </row>
    <row r="1884">
      <c r="A1884">
        <f>IFERROR(__xludf.DUMMYFUNCTION("""COMPUTED_VALUE"""),7.0)</f>
        <v>7</v>
      </c>
      <c r="B1884">
        <f>IFERROR(__xludf.DUMMYFUNCTION("""COMPUTED_VALUE"""),30155.0)</f>
        <v>30155</v>
      </c>
      <c r="C1884" t="str">
        <f>IFERROR(__xludf.DUMMYFUNCTION("""COMPUTED_VALUE"""),"LONDOÑO JARAMILLO, MARIANO")</f>
        <v>LONDOÑO JARAMILLO, MARIANO</v>
      </c>
      <c r="D1884" t="str">
        <f>IFERROR(__xludf.DUMMYFUNCTION("""COMPUTED_VALUE"""),"Spanish 7")</f>
        <v>Spanish 7</v>
      </c>
      <c r="E1884" s="31">
        <f>IFERROR(__xludf.DUMMYFUNCTION("""COMPUTED_VALUE"""),4.0)</f>
        <v>4</v>
      </c>
      <c r="F1884" s="8">
        <v>1.0</v>
      </c>
      <c r="G1884" s="8">
        <v>1.0</v>
      </c>
      <c r="H1884" s="8">
        <v>1.0</v>
      </c>
      <c r="I1884" s="8">
        <v>1.0</v>
      </c>
      <c r="J1884" s="8">
        <v>1.0</v>
      </c>
      <c r="K1884" s="8">
        <v>1.0</v>
      </c>
      <c r="L1884" s="8">
        <v>6.0</v>
      </c>
      <c r="M1884" s="8"/>
      <c r="N1884" s="8"/>
      <c r="O1884" s="8" t="s">
        <v>782</v>
      </c>
      <c r="P1884" s="8">
        <v>6.0</v>
      </c>
    </row>
    <row r="1885">
      <c r="A1885">
        <f>IFERROR(__xludf.DUMMYFUNCTION("""COMPUTED_VALUE"""),7.0)</f>
        <v>7</v>
      </c>
      <c r="B1885">
        <f>IFERROR(__xludf.DUMMYFUNCTION("""COMPUTED_VALUE"""),30072.0)</f>
        <v>30072</v>
      </c>
      <c r="C1885" t="str">
        <f>IFERROR(__xludf.DUMMYFUNCTION("""COMPUTED_VALUE"""),"LOZANO NAVARRO, GREGORIO")</f>
        <v>LOZANO NAVARRO, GREGORIO</v>
      </c>
      <c r="D1885" t="str">
        <f>IFERROR(__xludf.DUMMYFUNCTION("""COMPUTED_VALUE"""),"Spanish 7")</f>
        <v>Spanish 7</v>
      </c>
      <c r="E1885" s="31">
        <f>IFERROR(__xludf.DUMMYFUNCTION("""COMPUTED_VALUE"""),1.0)</f>
        <v>1</v>
      </c>
      <c r="F1885" s="8">
        <v>1.0</v>
      </c>
      <c r="G1885" s="8">
        <v>1.0</v>
      </c>
      <c r="H1885" s="8">
        <v>1.0</v>
      </c>
      <c r="I1885" s="8">
        <v>1.0</v>
      </c>
      <c r="J1885" s="8">
        <v>1.0</v>
      </c>
      <c r="K1885" s="8">
        <v>1.0</v>
      </c>
      <c r="L1885" s="8">
        <v>6.0</v>
      </c>
      <c r="M1885" s="8"/>
      <c r="N1885" s="8"/>
      <c r="O1885" s="8" t="s">
        <v>779</v>
      </c>
      <c r="P1885" s="8">
        <v>6.0</v>
      </c>
    </row>
    <row r="1886">
      <c r="A1886">
        <f>IFERROR(__xludf.DUMMYFUNCTION("""COMPUTED_VALUE"""),7.0)</f>
        <v>7</v>
      </c>
      <c r="B1886">
        <f>IFERROR(__xludf.DUMMYFUNCTION("""COMPUTED_VALUE"""),30074.0)</f>
        <v>30074</v>
      </c>
      <c r="C1886" t="str">
        <f>IFERROR(__xludf.DUMMYFUNCTION("""COMPUTED_VALUE"""),"MACIA TORO, ALICIA")</f>
        <v>MACIA TORO, ALICIA</v>
      </c>
      <c r="D1886" t="str">
        <f>IFERROR(__xludf.DUMMYFUNCTION("""COMPUTED_VALUE"""),"Spanish 7")</f>
        <v>Spanish 7</v>
      </c>
      <c r="E1886" s="31">
        <f>IFERROR(__xludf.DUMMYFUNCTION("""COMPUTED_VALUE"""),3.0)</f>
        <v>3</v>
      </c>
      <c r="F1886" s="8">
        <v>1.0</v>
      </c>
      <c r="G1886" s="8">
        <v>1.0</v>
      </c>
      <c r="H1886" s="8">
        <v>1.0</v>
      </c>
      <c r="I1886" s="8">
        <v>1.0</v>
      </c>
      <c r="J1886" s="8">
        <v>1.0</v>
      </c>
      <c r="K1886" s="8">
        <v>1.0</v>
      </c>
      <c r="L1886" s="8">
        <v>6.0</v>
      </c>
      <c r="M1886" s="8"/>
      <c r="N1886" s="8"/>
      <c r="O1886" s="8" t="s">
        <v>778</v>
      </c>
      <c r="P1886" s="8">
        <v>6.0</v>
      </c>
    </row>
    <row r="1887">
      <c r="A1887">
        <f>IFERROR(__xludf.DUMMYFUNCTION("""COMPUTED_VALUE"""),7.0)</f>
        <v>7</v>
      </c>
      <c r="B1887">
        <f>IFERROR(__xludf.DUMMYFUNCTION("""COMPUTED_VALUE"""),30075.0)</f>
        <v>30075</v>
      </c>
      <c r="C1887" t="str">
        <f>IFERROR(__xludf.DUMMYFUNCTION("""COMPUTED_VALUE"""),"MANRIQUE CUESTA, VALERIA")</f>
        <v>MANRIQUE CUESTA, VALERIA</v>
      </c>
      <c r="D1887" t="str">
        <f>IFERROR(__xludf.DUMMYFUNCTION("""COMPUTED_VALUE"""),"Spanish 7A")</f>
        <v>Spanish 7A</v>
      </c>
      <c r="E1887" s="31">
        <f>IFERROR(__xludf.DUMMYFUNCTION("""COMPUTED_VALUE"""),4.0)</f>
        <v>4</v>
      </c>
      <c r="F1887" s="8">
        <v>1.0</v>
      </c>
      <c r="G1887" s="8">
        <v>1.0</v>
      </c>
      <c r="H1887" s="8">
        <v>1.0</v>
      </c>
      <c r="I1887" s="8">
        <v>1.0</v>
      </c>
      <c r="J1887" s="8">
        <v>1.0</v>
      </c>
      <c r="K1887" s="8">
        <v>1.0</v>
      </c>
      <c r="L1887" s="8">
        <v>6.0</v>
      </c>
      <c r="M1887" s="8"/>
      <c r="N1887" s="8"/>
      <c r="O1887" s="8" t="s">
        <v>783</v>
      </c>
      <c r="P1887" s="8" t="e">
        <v>#N/A</v>
      </c>
    </row>
    <row r="1888">
      <c r="A1888">
        <f>IFERROR(__xludf.DUMMYFUNCTION("""COMPUTED_VALUE"""),7.0)</f>
        <v>7</v>
      </c>
      <c r="B1888">
        <f>IFERROR(__xludf.DUMMYFUNCTION("""COMPUTED_VALUE"""),30076.0)</f>
        <v>30076</v>
      </c>
      <c r="C1888" t="str">
        <f>IFERROR(__xludf.DUMMYFUNCTION("""COMPUTED_VALUE"""),"MARTINEZ OROZCO, GABRIELA")</f>
        <v>MARTINEZ OROZCO, GABRIELA</v>
      </c>
      <c r="D1888" t="str">
        <f>IFERROR(__xludf.DUMMYFUNCTION("""COMPUTED_VALUE"""),"Spanish 7")</f>
        <v>Spanish 7</v>
      </c>
      <c r="E1888" s="31">
        <f>IFERROR(__xludf.DUMMYFUNCTION("""COMPUTED_VALUE"""),2.0)</f>
        <v>2</v>
      </c>
      <c r="F1888" s="8">
        <v>1.0</v>
      </c>
      <c r="G1888" s="8">
        <v>1.0</v>
      </c>
      <c r="H1888" s="8">
        <v>1.0</v>
      </c>
      <c r="I1888" s="8">
        <v>1.0</v>
      </c>
      <c r="J1888" s="8">
        <v>1.0</v>
      </c>
      <c r="K1888" s="8">
        <v>1.0</v>
      </c>
      <c r="L1888" s="8">
        <v>6.0</v>
      </c>
      <c r="M1888" s="8"/>
      <c r="N1888" s="8"/>
      <c r="O1888" s="8" t="s">
        <v>781</v>
      </c>
      <c r="P1888" s="8">
        <v>6.0</v>
      </c>
    </row>
    <row r="1889">
      <c r="A1889">
        <f>IFERROR(__xludf.DUMMYFUNCTION("""COMPUTED_VALUE"""),7.0)</f>
        <v>7</v>
      </c>
      <c r="B1889">
        <f>IFERROR(__xludf.DUMMYFUNCTION("""COMPUTED_VALUE"""),30077.0)</f>
        <v>30077</v>
      </c>
      <c r="C1889" t="str">
        <f>IFERROR(__xludf.DUMMYFUNCTION("""COMPUTED_VALUE"""),"MC LEAN HIDRON, SIMON")</f>
        <v>MC LEAN HIDRON, SIMON</v>
      </c>
      <c r="D1889" t="str">
        <f>IFERROR(__xludf.DUMMYFUNCTION("""COMPUTED_VALUE"""),"Spanish 7")</f>
        <v>Spanish 7</v>
      </c>
      <c r="E1889" s="31">
        <f>IFERROR(__xludf.DUMMYFUNCTION("""COMPUTED_VALUE"""),6.0)</f>
        <v>6</v>
      </c>
      <c r="F1889" s="8">
        <v>1.0</v>
      </c>
      <c r="G1889" s="8">
        <v>1.0</v>
      </c>
      <c r="H1889" s="8">
        <v>1.0</v>
      </c>
      <c r="I1889" s="8">
        <v>1.0</v>
      </c>
      <c r="J1889" s="8">
        <v>1.0</v>
      </c>
      <c r="K1889" s="8">
        <v>1.0</v>
      </c>
      <c r="L1889" s="8">
        <v>6.0</v>
      </c>
      <c r="M1889" s="8"/>
      <c r="N1889" s="8"/>
      <c r="O1889" s="8" t="s">
        <v>780</v>
      </c>
      <c r="P1889" s="8">
        <v>6.0</v>
      </c>
    </row>
    <row r="1890">
      <c r="A1890">
        <f>IFERROR(__xludf.DUMMYFUNCTION("""COMPUTED_VALUE"""),7.0)</f>
        <v>7</v>
      </c>
      <c r="B1890">
        <f>IFERROR(__xludf.DUMMYFUNCTION("""COMPUTED_VALUE"""),30174.0)</f>
        <v>30174</v>
      </c>
      <c r="C1890" t="str">
        <f>IFERROR(__xludf.DUMMYFUNCTION("""COMPUTED_VALUE"""),"MEJIA BOTERO, FRANCISCA")</f>
        <v>MEJIA BOTERO, FRANCISCA</v>
      </c>
      <c r="D1890" t="str">
        <f>IFERROR(__xludf.DUMMYFUNCTION("""COMPUTED_VALUE"""),"Spanish 7A")</f>
        <v>Spanish 7A</v>
      </c>
      <c r="E1890" s="31">
        <f>IFERROR(__xludf.DUMMYFUNCTION("""COMPUTED_VALUE"""),4.0)</f>
        <v>4</v>
      </c>
      <c r="F1890" s="8">
        <v>1.0</v>
      </c>
      <c r="G1890" s="8">
        <v>1.0</v>
      </c>
      <c r="H1890" s="8">
        <v>1.0</v>
      </c>
      <c r="I1890" s="8">
        <v>1.0</v>
      </c>
      <c r="J1890" s="8">
        <v>1.0</v>
      </c>
      <c r="K1890" s="8">
        <v>1.0</v>
      </c>
      <c r="L1890" s="8">
        <v>6.0</v>
      </c>
      <c r="M1890" s="8"/>
      <c r="N1890" s="8"/>
      <c r="O1890" s="8" t="s">
        <v>783</v>
      </c>
      <c r="P1890" s="8" t="e">
        <v>#N/A</v>
      </c>
    </row>
    <row r="1891">
      <c r="A1891">
        <f>IFERROR(__xludf.DUMMYFUNCTION("""COMPUTED_VALUE"""),7.0)</f>
        <v>7</v>
      </c>
      <c r="B1891">
        <f>IFERROR(__xludf.DUMMYFUNCTION("""COMPUTED_VALUE"""),30078.0)</f>
        <v>30078</v>
      </c>
      <c r="C1891" t="str">
        <f>IFERROR(__xludf.DUMMYFUNCTION("""COMPUTED_VALUE"""),"MESA GARCIA, ISABEL")</f>
        <v>MESA GARCIA, ISABEL</v>
      </c>
      <c r="D1891" t="str">
        <f>IFERROR(__xludf.DUMMYFUNCTION("""COMPUTED_VALUE"""),"Spanish 7")</f>
        <v>Spanish 7</v>
      </c>
      <c r="E1891" s="31">
        <f>IFERROR(__xludf.DUMMYFUNCTION("""COMPUTED_VALUE"""),2.0)</f>
        <v>2</v>
      </c>
      <c r="F1891" s="8">
        <v>1.0</v>
      </c>
      <c r="G1891" s="8">
        <v>1.0</v>
      </c>
      <c r="H1891" s="8">
        <v>1.0</v>
      </c>
      <c r="I1891" s="8">
        <v>1.0</v>
      </c>
      <c r="J1891" s="8">
        <v>1.0</v>
      </c>
      <c r="K1891" s="8">
        <v>1.0</v>
      </c>
      <c r="L1891" s="8">
        <v>6.0</v>
      </c>
      <c r="M1891" s="8"/>
      <c r="N1891" s="8"/>
      <c r="O1891" s="8" t="s">
        <v>781</v>
      </c>
      <c r="P1891" s="8">
        <v>6.0</v>
      </c>
    </row>
    <row r="1892">
      <c r="A1892">
        <f>IFERROR(__xludf.DUMMYFUNCTION("""COMPUTED_VALUE"""),7.0)</f>
        <v>7</v>
      </c>
      <c r="B1892">
        <f>IFERROR(__xludf.DUMMYFUNCTION("""COMPUTED_VALUE"""),30079.0)</f>
        <v>30079</v>
      </c>
      <c r="C1892" t="str">
        <f>IFERROR(__xludf.DUMMYFUNCTION("""COMPUTED_VALUE"""),"MESA RESTREPO, BRUNO")</f>
        <v>MESA RESTREPO, BRUNO</v>
      </c>
      <c r="D1892" t="str">
        <f>IFERROR(__xludf.DUMMYFUNCTION("""COMPUTED_VALUE"""),"Spanish 7")</f>
        <v>Spanish 7</v>
      </c>
      <c r="E1892" s="31">
        <f>IFERROR(__xludf.DUMMYFUNCTION("""COMPUTED_VALUE"""),4.0)</f>
        <v>4</v>
      </c>
      <c r="F1892" s="8">
        <v>1.0</v>
      </c>
      <c r="G1892" s="8">
        <v>1.0</v>
      </c>
      <c r="H1892" s="8">
        <v>1.0</v>
      </c>
      <c r="I1892" s="8">
        <v>1.0</v>
      </c>
      <c r="J1892" s="8">
        <v>1.0</v>
      </c>
      <c r="K1892" s="8">
        <v>1.0</v>
      </c>
      <c r="L1892" s="8">
        <v>6.0</v>
      </c>
      <c r="M1892" s="8"/>
      <c r="N1892" s="8"/>
      <c r="O1892" s="8" t="s">
        <v>782</v>
      </c>
      <c r="P1892" s="8">
        <v>6.0</v>
      </c>
    </row>
    <row r="1893">
      <c r="A1893">
        <f>IFERROR(__xludf.DUMMYFUNCTION("""COMPUTED_VALUE"""),7.0)</f>
        <v>7</v>
      </c>
      <c r="B1893">
        <f>IFERROR(__xludf.DUMMYFUNCTION("""COMPUTED_VALUE"""),30080.0)</f>
        <v>30080</v>
      </c>
      <c r="C1893" t="str">
        <f>IFERROR(__xludf.DUMMYFUNCTION("""COMPUTED_VALUE"""),"MEZA SUAREZ, NIKOLAI")</f>
        <v>MEZA SUAREZ, NIKOLAI</v>
      </c>
      <c r="D1893" t="str">
        <f>IFERROR(__xludf.DUMMYFUNCTION("""COMPUTED_VALUE"""),"Spanish 7A")</f>
        <v>Spanish 7A</v>
      </c>
      <c r="E1893" s="31">
        <f>IFERROR(__xludf.DUMMYFUNCTION("""COMPUTED_VALUE"""),4.0)</f>
        <v>4</v>
      </c>
      <c r="F1893" s="8">
        <v>1.0</v>
      </c>
      <c r="G1893" s="8">
        <v>1.0</v>
      </c>
      <c r="H1893" s="8">
        <v>1.0</v>
      </c>
      <c r="I1893" s="8">
        <v>1.0</v>
      </c>
      <c r="J1893" s="8">
        <v>1.0</v>
      </c>
      <c r="K1893" s="8">
        <v>1.0</v>
      </c>
      <c r="L1893" s="8">
        <v>6.0</v>
      </c>
      <c r="M1893" s="8"/>
      <c r="N1893" s="8"/>
      <c r="O1893" s="8" t="s">
        <v>783</v>
      </c>
      <c r="P1893" s="8" t="e">
        <v>#N/A</v>
      </c>
    </row>
    <row r="1894">
      <c r="A1894">
        <f>IFERROR(__xludf.DUMMYFUNCTION("""COMPUTED_VALUE"""),7.0)</f>
        <v>7</v>
      </c>
      <c r="B1894">
        <f>IFERROR(__xludf.DUMMYFUNCTION("""COMPUTED_VALUE"""),30081.0)</f>
        <v>30081</v>
      </c>
      <c r="C1894" t="str">
        <f>IFERROR(__xludf.DUMMYFUNCTION("""COMPUTED_VALUE"""),"MOLINA HOYOS, AMALIA")</f>
        <v>MOLINA HOYOS, AMALIA</v>
      </c>
      <c r="D1894" t="str">
        <f>IFERROR(__xludf.DUMMYFUNCTION("""COMPUTED_VALUE"""),"Spanish 7")</f>
        <v>Spanish 7</v>
      </c>
      <c r="E1894" s="31">
        <f>IFERROR(__xludf.DUMMYFUNCTION("""COMPUTED_VALUE"""),1.0)</f>
        <v>1</v>
      </c>
      <c r="F1894" s="8">
        <v>1.0</v>
      </c>
      <c r="G1894" s="8">
        <v>1.0</v>
      </c>
      <c r="H1894" s="8">
        <v>1.0</v>
      </c>
      <c r="I1894" s="8">
        <v>1.0</v>
      </c>
      <c r="J1894" s="8">
        <v>1.0</v>
      </c>
      <c r="K1894" s="8">
        <v>1.0</v>
      </c>
      <c r="L1894" s="8">
        <v>6.0</v>
      </c>
      <c r="M1894" s="8"/>
      <c r="N1894" s="8"/>
      <c r="O1894" s="8" t="s">
        <v>779</v>
      </c>
      <c r="P1894" s="8">
        <v>6.0</v>
      </c>
    </row>
    <row r="1895">
      <c r="A1895">
        <f>IFERROR(__xludf.DUMMYFUNCTION("""COMPUTED_VALUE"""),7.0)</f>
        <v>7</v>
      </c>
      <c r="B1895">
        <f>IFERROR(__xludf.DUMMYFUNCTION("""COMPUTED_VALUE"""),30082.0)</f>
        <v>30082</v>
      </c>
      <c r="C1895" t="str">
        <f>IFERROR(__xludf.DUMMYFUNCTION("""COMPUTED_VALUE"""),"MONSALVE HOYOS, JUAN JOSE")</f>
        <v>MONSALVE HOYOS, JUAN JOSE</v>
      </c>
      <c r="D1895" t="str">
        <f>IFERROR(__xludf.DUMMYFUNCTION("""COMPUTED_VALUE"""),"Spanish 7")</f>
        <v>Spanish 7</v>
      </c>
      <c r="E1895" s="31">
        <f>IFERROR(__xludf.DUMMYFUNCTION("""COMPUTED_VALUE"""),3.0)</f>
        <v>3</v>
      </c>
      <c r="F1895" s="8">
        <v>1.0</v>
      </c>
      <c r="G1895" s="8">
        <v>1.0</v>
      </c>
      <c r="H1895" s="8">
        <v>1.0</v>
      </c>
      <c r="I1895" s="8">
        <v>1.0</v>
      </c>
      <c r="J1895" s="8">
        <v>1.0</v>
      </c>
      <c r="K1895" s="8">
        <v>1.0</v>
      </c>
      <c r="L1895" s="8">
        <v>6.0</v>
      </c>
      <c r="M1895" s="8"/>
      <c r="N1895" s="8"/>
      <c r="O1895" s="8" t="s">
        <v>778</v>
      </c>
      <c r="P1895" s="8">
        <v>6.0</v>
      </c>
    </row>
    <row r="1896">
      <c r="A1896">
        <f>IFERROR(__xludf.DUMMYFUNCTION("""COMPUTED_VALUE"""),7.0)</f>
        <v>7</v>
      </c>
      <c r="B1896">
        <f>IFERROR(__xludf.DUMMYFUNCTION("""COMPUTED_VALUE"""),30142.0)</f>
        <v>30142</v>
      </c>
      <c r="C1896" t="str">
        <f>IFERROR(__xludf.DUMMYFUNCTION("""COMPUTED_VALUE"""),"MONTOYA GOMEZ, RAFAELA")</f>
        <v>MONTOYA GOMEZ, RAFAELA</v>
      </c>
      <c r="D1896" t="str">
        <f>IFERROR(__xludf.DUMMYFUNCTION("""COMPUTED_VALUE"""),"Spanish 7")</f>
        <v>Spanish 7</v>
      </c>
      <c r="E1896" s="31">
        <f>IFERROR(__xludf.DUMMYFUNCTION("""COMPUTED_VALUE"""),2.0)</f>
        <v>2</v>
      </c>
      <c r="F1896" s="8">
        <v>1.0</v>
      </c>
      <c r="G1896" s="8">
        <v>1.0</v>
      </c>
      <c r="H1896" s="8">
        <v>1.0</v>
      </c>
      <c r="I1896" s="8">
        <v>1.0</v>
      </c>
      <c r="J1896" s="8">
        <v>1.0</v>
      </c>
      <c r="K1896" s="8">
        <v>1.0</v>
      </c>
      <c r="L1896" s="8">
        <v>6.0</v>
      </c>
      <c r="M1896" s="8"/>
      <c r="N1896" s="8"/>
      <c r="O1896" s="8" t="s">
        <v>781</v>
      </c>
      <c r="P1896" s="8">
        <v>6.0</v>
      </c>
    </row>
    <row r="1897">
      <c r="A1897">
        <f>IFERROR(__xludf.DUMMYFUNCTION("""COMPUTED_VALUE"""),7.0)</f>
        <v>7</v>
      </c>
      <c r="B1897">
        <f>IFERROR(__xludf.DUMMYFUNCTION("""COMPUTED_VALUE"""),30084.0)</f>
        <v>30084</v>
      </c>
      <c r="C1897" t="str">
        <f>IFERROR(__xludf.DUMMYFUNCTION("""COMPUTED_VALUE"""),"MONTOYA OCHOA, SARA")</f>
        <v>MONTOYA OCHOA, SARA</v>
      </c>
      <c r="D1897" t="str">
        <f>IFERROR(__xludf.DUMMYFUNCTION("""COMPUTED_VALUE"""),"Spanish 7A")</f>
        <v>Spanish 7A</v>
      </c>
      <c r="E1897" s="31">
        <f>IFERROR(__xludf.DUMMYFUNCTION("""COMPUTED_VALUE"""),4.0)</f>
        <v>4</v>
      </c>
      <c r="F1897" s="8">
        <v>1.0</v>
      </c>
      <c r="G1897" s="8">
        <v>1.0</v>
      </c>
      <c r="H1897" s="8">
        <v>1.0</v>
      </c>
      <c r="I1897" s="8">
        <v>1.0</v>
      </c>
      <c r="J1897" s="8">
        <v>1.0</v>
      </c>
      <c r="K1897" s="8">
        <v>1.0</v>
      </c>
      <c r="L1897" s="8">
        <v>6.0</v>
      </c>
      <c r="M1897" s="8"/>
      <c r="N1897" s="8"/>
      <c r="O1897" s="8" t="s">
        <v>783</v>
      </c>
      <c r="P1897" s="8" t="e">
        <v>#N/A</v>
      </c>
    </row>
    <row r="1898">
      <c r="A1898">
        <f>IFERROR(__xludf.DUMMYFUNCTION("""COMPUTED_VALUE"""),7.0)</f>
        <v>7</v>
      </c>
      <c r="B1898">
        <f>IFERROR(__xludf.DUMMYFUNCTION("""COMPUTED_VALUE"""),30085.0)</f>
        <v>30085</v>
      </c>
      <c r="C1898" t="str">
        <f>IFERROR(__xludf.DUMMYFUNCTION("""COMPUTED_VALUE"""),"MORA LE FLOHIC, AGUSTIN")</f>
        <v>MORA LE FLOHIC, AGUSTIN</v>
      </c>
      <c r="D1898" t="str">
        <f>IFERROR(__xludf.DUMMYFUNCTION("""COMPUTED_VALUE"""),"Spanish 7")</f>
        <v>Spanish 7</v>
      </c>
      <c r="E1898" s="31">
        <f>IFERROR(__xludf.DUMMYFUNCTION("""COMPUTED_VALUE"""),6.0)</f>
        <v>6</v>
      </c>
      <c r="F1898" s="8">
        <v>1.0</v>
      </c>
      <c r="G1898" s="8">
        <v>1.0</v>
      </c>
      <c r="H1898" s="8">
        <v>1.0</v>
      </c>
      <c r="I1898" s="8">
        <v>1.0</v>
      </c>
      <c r="J1898" s="8">
        <v>1.0</v>
      </c>
      <c r="K1898" s="8">
        <v>1.0</v>
      </c>
      <c r="L1898" s="8">
        <v>6.0</v>
      </c>
      <c r="M1898" s="8"/>
      <c r="N1898" s="8"/>
      <c r="O1898" s="8" t="s">
        <v>780</v>
      </c>
      <c r="P1898" s="8">
        <v>6.0</v>
      </c>
    </row>
    <row r="1899">
      <c r="A1899">
        <f>IFERROR(__xludf.DUMMYFUNCTION("""COMPUTED_VALUE"""),7.0)</f>
        <v>7</v>
      </c>
      <c r="B1899">
        <f>IFERROR(__xludf.DUMMYFUNCTION("""COMPUTED_VALUE"""),30086.0)</f>
        <v>30086</v>
      </c>
      <c r="C1899" t="str">
        <f>IFERROR(__xludf.DUMMYFUNCTION("""COMPUTED_VALUE"""),"MORA MEJIA, EMILIA")</f>
        <v>MORA MEJIA, EMILIA</v>
      </c>
      <c r="D1899" t="str">
        <f>IFERROR(__xludf.DUMMYFUNCTION("""COMPUTED_VALUE"""),"Spanish 7")</f>
        <v>Spanish 7</v>
      </c>
      <c r="E1899" s="31">
        <f>IFERROR(__xludf.DUMMYFUNCTION("""COMPUTED_VALUE"""),2.0)</f>
        <v>2</v>
      </c>
      <c r="F1899" s="8">
        <v>1.0</v>
      </c>
      <c r="G1899" s="8">
        <v>1.0</v>
      </c>
      <c r="H1899" s="8">
        <v>1.0</v>
      </c>
      <c r="I1899" s="8">
        <v>1.0</v>
      </c>
      <c r="J1899" s="8">
        <v>1.0</v>
      </c>
      <c r="K1899" s="8">
        <v>1.0</v>
      </c>
      <c r="L1899" s="8">
        <v>6.0</v>
      </c>
      <c r="M1899" s="8"/>
      <c r="N1899" s="8"/>
      <c r="O1899" s="8" t="s">
        <v>781</v>
      </c>
      <c r="P1899" s="8">
        <v>6.0</v>
      </c>
    </row>
    <row r="1900">
      <c r="A1900">
        <f>IFERROR(__xludf.DUMMYFUNCTION("""COMPUTED_VALUE"""),7.0)</f>
        <v>7</v>
      </c>
      <c r="B1900">
        <f>IFERROR(__xludf.DUMMYFUNCTION("""COMPUTED_VALUE"""),30087.0)</f>
        <v>30087</v>
      </c>
      <c r="C1900" t="str">
        <f>IFERROR(__xludf.DUMMYFUNCTION("""COMPUTED_VALUE"""),"MORENO BETANCOURT, LUCIANA")</f>
        <v>MORENO BETANCOURT, LUCIANA</v>
      </c>
      <c r="D1900" t="str">
        <f>IFERROR(__xludf.DUMMYFUNCTION("""COMPUTED_VALUE"""),"Spanish 7A")</f>
        <v>Spanish 7A</v>
      </c>
      <c r="E1900" s="31">
        <f>IFERROR(__xludf.DUMMYFUNCTION("""COMPUTED_VALUE"""),4.0)</f>
        <v>4</v>
      </c>
      <c r="F1900" s="8">
        <v>1.0</v>
      </c>
      <c r="G1900" s="8">
        <v>1.0</v>
      </c>
      <c r="H1900" s="8">
        <v>1.0</v>
      </c>
      <c r="I1900" s="8">
        <v>1.0</v>
      </c>
      <c r="J1900" s="8">
        <v>1.0</v>
      </c>
      <c r="K1900" s="8">
        <v>1.0</v>
      </c>
      <c r="L1900" s="8">
        <v>6.0</v>
      </c>
      <c r="M1900" s="8"/>
      <c r="N1900" s="8"/>
      <c r="O1900" s="8" t="s">
        <v>783</v>
      </c>
      <c r="P1900" s="8" t="e">
        <v>#N/A</v>
      </c>
    </row>
    <row r="1901">
      <c r="A1901">
        <f>IFERROR(__xludf.DUMMYFUNCTION("""COMPUTED_VALUE"""),7.0)</f>
        <v>7</v>
      </c>
      <c r="B1901">
        <f>IFERROR(__xludf.DUMMYFUNCTION("""COMPUTED_VALUE"""),30161.0)</f>
        <v>30161</v>
      </c>
      <c r="C1901" t="str">
        <f>IFERROR(__xludf.DUMMYFUNCTION("""COMPUTED_VALUE"""),"NAVARRA GOMEZ, CHLOE")</f>
        <v>NAVARRA GOMEZ, CHLOE</v>
      </c>
      <c r="D1901" t="str">
        <f>IFERROR(__xludf.DUMMYFUNCTION("""COMPUTED_VALUE"""),"Spanish 7")</f>
        <v>Spanish 7</v>
      </c>
      <c r="E1901" s="31">
        <f>IFERROR(__xludf.DUMMYFUNCTION("""COMPUTED_VALUE"""),1.0)</f>
        <v>1</v>
      </c>
      <c r="F1901" s="8">
        <v>1.0</v>
      </c>
      <c r="G1901" s="8">
        <v>1.0</v>
      </c>
      <c r="H1901" s="8">
        <v>1.0</v>
      </c>
      <c r="I1901" s="8">
        <v>1.0</v>
      </c>
      <c r="J1901" s="8">
        <v>1.0</v>
      </c>
      <c r="K1901" s="8">
        <v>1.0</v>
      </c>
      <c r="L1901" s="8">
        <v>6.0</v>
      </c>
      <c r="M1901" s="8"/>
      <c r="N1901" s="8"/>
      <c r="O1901" s="8" t="s">
        <v>779</v>
      </c>
      <c r="P1901" s="8">
        <v>6.0</v>
      </c>
    </row>
    <row r="1902">
      <c r="A1902">
        <f>IFERROR(__xludf.DUMMYFUNCTION("""COMPUTED_VALUE"""),7.0)</f>
        <v>7</v>
      </c>
      <c r="B1902">
        <f>IFERROR(__xludf.DUMMYFUNCTION("""COMPUTED_VALUE"""),30089.0)</f>
        <v>30089</v>
      </c>
      <c r="C1902" t="str">
        <f>IFERROR(__xludf.DUMMYFUNCTION("""COMPUTED_VALUE"""),"NAVARRO RAMIREZ, LUCAS")</f>
        <v>NAVARRO RAMIREZ, LUCAS</v>
      </c>
      <c r="D1902" t="str">
        <f>IFERROR(__xludf.DUMMYFUNCTION("""COMPUTED_VALUE"""),"Spanish 7")</f>
        <v>Spanish 7</v>
      </c>
      <c r="E1902" s="31">
        <f>IFERROR(__xludf.DUMMYFUNCTION("""COMPUTED_VALUE"""),3.0)</f>
        <v>3</v>
      </c>
      <c r="F1902" s="8">
        <v>1.0</v>
      </c>
      <c r="G1902" s="8">
        <v>1.0</v>
      </c>
      <c r="H1902" s="8">
        <v>1.0</v>
      </c>
      <c r="I1902" s="8">
        <v>1.0</v>
      </c>
      <c r="J1902" s="8">
        <v>1.0</v>
      </c>
      <c r="K1902" s="8">
        <v>1.0</v>
      </c>
      <c r="L1902" s="8">
        <v>6.0</v>
      </c>
      <c r="M1902" s="8"/>
      <c r="N1902" s="8"/>
      <c r="O1902" s="8" t="s">
        <v>778</v>
      </c>
      <c r="P1902" s="8">
        <v>6.0</v>
      </c>
    </row>
    <row r="1903">
      <c r="A1903">
        <f>IFERROR(__xludf.DUMMYFUNCTION("""COMPUTED_VALUE"""),7.0)</f>
        <v>7</v>
      </c>
      <c r="B1903">
        <f>IFERROR(__xludf.DUMMYFUNCTION("""COMPUTED_VALUE"""),30090.0)</f>
        <v>30090</v>
      </c>
      <c r="C1903" t="str">
        <f>IFERROR(__xludf.DUMMYFUNCTION("""COMPUTED_VALUE"""),"NEUMANN MARQUEZ, JERONIMO")</f>
        <v>NEUMANN MARQUEZ, JERONIMO</v>
      </c>
      <c r="D1903" t="str">
        <f>IFERROR(__xludf.DUMMYFUNCTION("""COMPUTED_VALUE"""),"Spanish 7")</f>
        <v>Spanish 7</v>
      </c>
      <c r="E1903" s="31">
        <f>IFERROR(__xludf.DUMMYFUNCTION("""COMPUTED_VALUE"""),6.0)</f>
        <v>6</v>
      </c>
      <c r="F1903" s="8">
        <v>1.0</v>
      </c>
      <c r="G1903" s="8">
        <v>1.0</v>
      </c>
      <c r="H1903" s="8">
        <v>1.0</v>
      </c>
      <c r="I1903" s="8">
        <v>1.0</v>
      </c>
      <c r="J1903" s="8">
        <v>1.0</v>
      </c>
      <c r="K1903" s="8">
        <v>1.0</v>
      </c>
      <c r="L1903" s="8">
        <v>6.0</v>
      </c>
      <c r="M1903" s="8"/>
      <c r="N1903" s="8"/>
      <c r="O1903" s="8" t="s">
        <v>780</v>
      </c>
      <c r="P1903" s="8">
        <v>6.0</v>
      </c>
    </row>
    <row r="1904">
      <c r="A1904">
        <f>IFERROR(__xludf.DUMMYFUNCTION("""COMPUTED_VALUE"""),7.0)</f>
        <v>7</v>
      </c>
      <c r="B1904">
        <f>IFERROR(__xludf.DUMMYFUNCTION("""COMPUTED_VALUE"""),30172.0)</f>
        <v>30172</v>
      </c>
      <c r="C1904" t="str">
        <f>IFERROR(__xludf.DUMMYFUNCTION("""COMPUTED_VALUE"""),"OLIVA, EMMA")</f>
        <v>OLIVA, EMMA</v>
      </c>
      <c r="D1904" t="str">
        <f>IFERROR(__xludf.DUMMYFUNCTION("""COMPUTED_VALUE"""),"Spanish 7")</f>
        <v>Spanish 7</v>
      </c>
      <c r="E1904" s="31">
        <f>IFERROR(__xludf.DUMMYFUNCTION("""COMPUTED_VALUE"""),4.0)</f>
        <v>4</v>
      </c>
      <c r="F1904" s="8">
        <v>1.0</v>
      </c>
      <c r="G1904" s="8">
        <v>1.0</v>
      </c>
      <c r="H1904" s="8">
        <v>1.0</v>
      </c>
      <c r="I1904" s="8">
        <v>1.0</v>
      </c>
      <c r="J1904" s="8">
        <v>1.0</v>
      </c>
      <c r="K1904" s="8">
        <v>1.0</v>
      </c>
      <c r="L1904" s="8">
        <v>6.0</v>
      </c>
      <c r="M1904" s="8"/>
      <c r="N1904" s="8"/>
      <c r="O1904" s="8" t="s">
        <v>782</v>
      </c>
      <c r="P1904" s="8">
        <v>6.0</v>
      </c>
    </row>
    <row r="1905">
      <c r="A1905">
        <f>IFERROR(__xludf.DUMMYFUNCTION("""COMPUTED_VALUE"""),7.0)</f>
        <v>7</v>
      </c>
      <c r="B1905">
        <f>IFERROR(__xludf.DUMMYFUNCTION("""COMPUTED_VALUE"""),30158.0)</f>
        <v>30158</v>
      </c>
      <c r="C1905" t="str">
        <f>IFERROR(__xludf.DUMMYFUNCTION("""COMPUTED_VALUE"""),"OROZCO RINCON, VALERIA")</f>
        <v>OROZCO RINCON, VALERIA</v>
      </c>
      <c r="D1905" t="str">
        <f>IFERROR(__xludf.DUMMYFUNCTION("""COMPUTED_VALUE"""),"Spanish 7")</f>
        <v>Spanish 7</v>
      </c>
      <c r="E1905" s="31">
        <f>IFERROR(__xludf.DUMMYFUNCTION("""COMPUTED_VALUE"""),2.0)</f>
        <v>2</v>
      </c>
      <c r="F1905" s="8">
        <v>1.0</v>
      </c>
      <c r="G1905" s="8">
        <v>1.0</v>
      </c>
      <c r="H1905" s="8">
        <v>1.0</v>
      </c>
      <c r="I1905" s="8">
        <v>1.0</v>
      </c>
      <c r="J1905" s="8">
        <v>1.0</v>
      </c>
      <c r="K1905" s="8">
        <v>1.0</v>
      </c>
      <c r="L1905" s="8">
        <v>6.0</v>
      </c>
      <c r="M1905" s="8"/>
      <c r="N1905" s="8"/>
      <c r="O1905" s="8" t="s">
        <v>781</v>
      </c>
      <c r="P1905" s="8">
        <v>6.0</v>
      </c>
    </row>
    <row r="1906">
      <c r="A1906">
        <f>IFERROR(__xludf.DUMMYFUNCTION("""COMPUTED_VALUE"""),7.0)</f>
        <v>7</v>
      </c>
      <c r="B1906">
        <f>IFERROR(__xludf.DUMMYFUNCTION("""COMPUTED_VALUE"""),30153.0)</f>
        <v>30153</v>
      </c>
      <c r="C1906" t="str">
        <f>IFERROR(__xludf.DUMMYFUNCTION("""COMPUTED_VALUE"""),"ORTEGA OCHOA, LORENZO")</f>
        <v>ORTEGA OCHOA, LORENZO</v>
      </c>
      <c r="D1906" t="str">
        <f>IFERROR(__xludf.DUMMYFUNCTION("""COMPUTED_VALUE"""),"Spanish 7")</f>
        <v>Spanish 7</v>
      </c>
      <c r="E1906" s="31">
        <f>IFERROR(__xludf.DUMMYFUNCTION("""COMPUTED_VALUE"""),1.0)</f>
        <v>1</v>
      </c>
      <c r="F1906" s="8">
        <v>1.0</v>
      </c>
      <c r="G1906" s="8">
        <v>1.0</v>
      </c>
      <c r="H1906" s="8">
        <v>1.0</v>
      </c>
      <c r="I1906" s="8">
        <v>1.0</v>
      </c>
      <c r="J1906" s="8">
        <v>1.0</v>
      </c>
      <c r="K1906" s="8">
        <v>1.0</v>
      </c>
      <c r="L1906" s="8">
        <v>6.0</v>
      </c>
      <c r="M1906" s="8"/>
      <c r="N1906" s="8"/>
      <c r="O1906" s="8" t="s">
        <v>779</v>
      </c>
      <c r="P1906" s="8">
        <v>6.0</v>
      </c>
    </row>
    <row r="1907">
      <c r="A1907">
        <f>IFERROR(__xludf.DUMMYFUNCTION("""COMPUTED_VALUE"""),7.0)</f>
        <v>7</v>
      </c>
      <c r="B1907">
        <f>IFERROR(__xludf.DUMMYFUNCTION("""COMPUTED_VALUE"""),30154.0)</f>
        <v>30154</v>
      </c>
      <c r="C1907" t="str">
        <f>IFERROR(__xludf.DUMMYFUNCTION("""COMPUTED_VALUE"""),"ORTEGA OCHOA, MARIA DEL MAR")</f>
        <v>ORTEGA OCHOA, MARIA DEL MAR</v>
      </c>
      <c r="D1907" t="str">
        <f>IFERROR(__xludf.DUMMYFUNCTION("""COMPUTED_VALUE"""),"Spanish 7")</f>
        <v>Spanish 7</v>
      </c>
      <c r="E1907" s="31">
        <f>IFERROR(__xludf.DUMMYFUNCTION("""COMPUTED_VALUE"""),6.0)</f>
        <v>6</v>
      </c>
      <c r="F1907" s="8">
        <v>1.0</v>
      </c>
      <c r="G1907" s="8">
        <v>1.0</v>
      </c>
      <c r="H1907" s="8">
        <v>1.0</v>
      </c>
      <c r="I1907" s="8">
        <v>1.0</v>
      </c>
      <c r="J1907" s="8">
        <v>1.0</v>
      </c>
      <c r="K1907" s="8">
        <v>1.0</v>
      </c>
      <c r="L1907" s="8">
        <v>6.0</v>
      </c>
      <c r="M1907" s="8"/>
      <c r="N1907" s="8"/>
      <c r="O1907" s="8" t="s">
        <v>780</v>
      </c>
      <c r="P1907" s="8">
        <v>6.0</v>
      </c>
    </row>
    <row r="1908">
      <c r="A1908">
        <f>IFERROR(__xludf.DUMMYFUNCTION("""COMPUTED_VALUE"""),7.0)</f>
        <v>7</v>
      </c>
      <c r="B1908">
        <f>IFERROR(__xludf.DUMMYFUNCTION("""COMPUTED_VALUE"""),30141.0)</f>
        <v>30141</v>
      </c>
      <c r="C1908" t="str">
        <f>IFERROR(__xludf.DUMMYFUNCTION("""COMPUTED_VALUE"""),"OSORIO PATIÑO, MIRANDA")</f>
        <v>OSORIO PATIÑO, MIRANDA</v>
      </c>
      <c r="D1908" t="str">
        <f>IFERROR(__xludf.DUMMYFUNCTION("""COMPUTED_VALUE"""),"Spanish 7")</f>
        <v>Spanish 7</v>
      </c>
      <c r="E1908" s="31">
        <f>IFERROR(__xludf.DUMMYFUNCTION("""COMPUTED_VALUE"""),4.0)</f>
        <v>4</v>
      </c>
      <c r="F1908" s="8">
        <v>1.0</v>
      </c>
      <c r="G1908" s="8">
        <v>1.0</v>
      </c>
      <c r="H1908" s="8">
        <v>1.0</v>
      </c>
      <c r="I1908" s="8">
        <v>1.0</v>
      </c>
      <c r="J1908" s="8">
        <v>1.0</v>
      </c>
      <c r="K1908" s="8">
        <v>1.0</v>
      </c>
      <c r="L1908" s="8">
        <v>6.0</v>
      </c>
      <c r="M1908" s="8"/>
      <c r="N1908" s="8"/>
      <c r="O1908" s="8" t="s">
        <v>782</v>
      </c>
      <c r="P1908" s="8">
        <v>6.0</v>
      </c>
    </row>
    <row r="1909">
      <c r="A1909">
        <f>IFERROR(__xludf.DUMMYFUNCTION("""COMPUTED_VALUE"""),7.0)</f>
        <v>7</v>
      </c>
      <c r="B1909">
        <f>IFERROR(__xludf.DUMMYFUNCTION("""COMPUTED_VALUE"""),30092.0)</f>
        <v>30092</v>
      </c>
      <c r="C1909" t="str">
        <f>IFERROR(__xludf.DUMMYFUNCTION("""COMPUTED_VALUE"""),"OSPINA ESCOBAR, SOFIA")</f>
        <v>OSPINA ESCOBAR, SOFIA</v>
      </c>
      <c r="D1909" t="str">
        <f>IFERROR(__xludf.DUMMYFUNCTION("""COMPUTED_VALUE"""),"Spanish 7")</f>
        <v>Spanish 7</v>
      </c>
      <c r="E1909" s="31">
        <f>IFERROR(__xludf.DUMMYFUNCTION("""COMPUTED_VALUE"""),3.0)</f>
        <v>3</v>
      </c>
      <c r="F1909" s="8">
        <v>1.0</v>
      </c>
      <c r="G1909" s="8">
        <v>1.0</v>
      </c>
      <c r="H1909" s="8">
        <v>1.0</v>
      </c>
      <c r="I1909" s="8">
        <v>1.0</v>
      </c>
      <c r="J1909" s="8">
        <v>1.0</v>
      </c>
      <c r="K1909" s="8">
        <v>1.0</v>
      </c>
      <c r="L1909" s="8">
        <v>6.0</v>
      </c>
      <c r="M1909" s="8"/>
      <c r="N1909" s="8"/>
      <c r="O1909" s="8" t="s">
        <v>778</v>
      </c>
      <c r="P1909" s="8">
        <v>6.0</v>
      </c>
    </row>
    <row r="1910">
      <c r="A1910">
        <f>IFERROR(__xludf.DUMMYFUNCTION("""COMPUTED_VALUE"""),7.0)</f>
        <v>7</v>
      </c>
      <c r="B1910">
        <f>IFERROR(__xludf.DUMMYFUNCTION("""COMPUTED_VALUE"""),30093.0)</f>
        <v>30093</v>
      </c>
      <c r="C1910" t="str">
        <f>IFERROR(__xludf.DUMMYFUNCTION("""COMPUTED_VALUE"""),"OSPINA RESTREPO, RAFAEL")</f>
        <v>OSPINA RESTREPO, RAFAEL</v>
      </c>
      <c r="D1910" t="str">
        <f>IFERROR(__xludf.DUMMYFUNCTION("""COMPUTED_VALUE"""),"Spanish 7")</f>
        <v>Spanish 7</v>
      </c>
      <c r="E1910" s="31">
        <f>IFERROR(__xludf.DUMMYFUNCTION("""COMPUTED_VALUE"""),1.0)</f>
        <v>1</v>
      </c>
      <c r="F1910" s="8">
        <v>1.0</v>
      </c>
      <c r="G1910" s="8">
        <v>1.0</v>
      </c>
      <c r="H1910" s="8">
        <v>1.0</v>
      </c>
      <c r="I1910" s="8">
        <v>1.0</v>
      </c>
      <c r="J1910" s="8">
        <v>1.0</v>
      </c>
      <c r="K1910" s="8">
        <v>1.0</v>
      </c>
      <c r="L1910" s="8">
        <v>6.0</v>
      </c>
      <c r="M1910" s="8"/>
      <c r="N1910" s="8"/>
      <c r="O1910" s="8" t="s">
        <v>779</v>
      </c>
      <c r="P1910" s="8">
        <v>6.0</v>
      </c>
    </row>
    <row r="1911">
      <c r="A1911">
        <f>IFERROR(__xludf.DUMMYFUNCTION("""COMPUTED_VALUE"""),7.0)</f>
        <v>7</v>
      </c>
      <c r="B1911">
        <f>IFERROR(__xludf.DUMMYFUNCTION("""COMPUTED_VALUE"""),30173.0)</f>
        <v>30173</v>
      </c>
      <c r="C1911" t="str">
        <f>IFERROR(__xludf.DUMMYFUNCTION("""COMPUTED_VALUE"""),"PARAMO VELASQUEZ, ISABEL")</f>
        <v>PARAMO VELASQUEZ, ISABEL</v>
      </c>
      <c r="D1911" t="str">
        <f>IFERROR(__xludf.DUMMYFUNCTION("""COMPUTED_VALUE"""),"Spanish 7A")</f>
        <v>Spanish 7A</v>
      </c>
      <c r="E1911" s="31">
        <f>IFERROR(__xludf.DUMMYFUNCTION("""COMPUTED_VALUE"""),4.0)</f>
        <v>4</v>
      </c>
      <c r="F1911" s="8">
        <v>1.0</v>
      </c>
      <c r="G1911" s="8">
        <v>1.0</v>
      </c>
      <c r="H1911" s="8">
        <v>1.0</v>
      </c>
      <c r="I1911" s="8">
        <v>1.0</v>
      </c>
      <c r="J1911" s="8">
        <v>1.0</v>
      </c>
      <c r="K1911" s="8">
        <v>1.0</v>
      </c>
      <c r="L1911" s="8">
        <v>6.0</v>
      </c>
      <c r="M1911" s="8"/>
      <c r="N1911" s="8"/>
      <c r="O1911" s="8" t="s">
        <v>783</v>
      </c>
      <c r="P1911" s="8" t="e">
        <v>#N/A</v>
      </c>
    </row>
    <row r="1912">
      <c r="A1912">
        <f>IFERROR(__xludf.DUMMYFUNCTION("""COMPUTED_VALUE"""),7.0)</f>
        <v>7</v>
      </c>
      <c r="B1912">
        <f>IFERROR(__xludf.DUMMYFUNCTION("""COMPUTED_VALUE"""),30094.0)</f>
        <v>30094</v>
      </c>
      <c r="C1912" t="str">
        <f>IFERROR(__xludf.DUMMYFUNCTION("""COMPUTED_VALUE"""),"PELAEZ PIEDRAHITA, MARTIN")</f>
        <v>PELAEZ PIEDRAHITA, MARTIN</v>
      </c>
      <c r="D1912" t="str">
        <f>IFERROR(__xludf.DUMMYFUNCTION("""COMPUTED_VALUE"""),"Spanish 7")</f>
        <v>Spanish 7</v>
      </c>
      <c r="E1912" s="31">
        <f>IFERROR(__xludf.DUMMYFUNCTION("""COMPUTED_VALUE"""),3.0)</f>
        <v>3</v>
      </c>
      <c r="F1912" s="8">
        <v>1.0</v>
      </c>
      <c r="G1912" s="8">
        <v>1.0</v>
      </c>
      <c r="H1912" s="8">
        <v>1.0</v>
      </c>
      <c r="I1912" s="8">
        <v>1.0</v>
      </c>
      <c r="J1912" s="8">
        <v>1.0</v>
      </c>
      <c r="K1912" s="8">
        <v>1.0</v>
      </c>
      <c r="L1912" s="8">
        <v>6.0</v>
      </c>
      <c r="M1912" s="8"/>
      <c r="N1912" s="8"/>
      <c r="O1912" s="8" t="s">
        <v>778</v>
      </c>
      <c r="P1912" s="8">
        <v>6.0</v>
      </c>
    </row>
    <row r="1913">
      <c r="A1913">
        <f>IFERROR(__xludf.DUMMYFUNCTION("""COMPUTED_VALUE"""),7.0)</f>
        <v>7</v>
      </c>
      <c r="B1913">
        <f>IFERROR(__xludf.DUMMYFUNCTION("""COMPUTED_VALUE"""),30095.0)</f>
        <v>30095</v>
      </c>
      <c r="C1913" t="str">
        <f>IFERROR(__xludf.DUMMYFUNCTION("""COMPUTED_VALUE"""),"PENAGOS VELEZ, PEDRO")</f>
        <v>PENAGOS VELEZ, PEDRO</v>
      </c>
      <c r="D1913" t="str">
        <f>IFERROR(__xludf.DUMMYFUNCTION("""COMPUTED_VALUE"""),"Spanish 7")</f>
        <v>Spanish 7</v>
      </c>
      <c r="E1913" s="31">
        <f>IFERROR(__xludf.DUMMYFUNCTION("""COMPUTED_VALUE"""),2.0)</f>
        <v>2</v>
      </c>
      <c r="F1913" s="8">
        <v>1.0</v>
      </c>
      <c r="G1913" s="8">
        <v>1.0</v>
      </c>
      <c r="H1913" s="8">
        <v>1.0</v>
      </c>
      <c r="I1913" s="8">
        <v>1.0</v>
      </c>
      <c r="J1913" s="8">
        <v>1.0</v>
      </c>
      <c r="K1913" s="8">
        <v>1.0</v>
      </c>
      <c r="L1913" s="8">
        <v>6.0</v>
      </c>
      <c r="M1913" s="8"/>
      <c r="N1913" s="8"/>
      <c r="O1913" s="8" t="s">
        <v>781</v>
      </c>
      <c r="P1913" s="8">
        <v>6.0</v>
      </c>
    </row>
    <row r="1914">
      <c r="A1914">
        <f>IFERROR(__xludf.DUMMYFUNCTION("""COMPUTED_VALUE"""),7.0)</f>
        <v>7</v>
      </c>
      <c r="B1914">
        <f>IFERROR(__xludf.DUMMYFUNCTION("""COMPUTED_VALUE"""),29090.0)</f>
        <v>29090</v>
      </c>
      <c r="C1914" t="str">
        <f>IFERROR(__xludf.DUMMYFUNCTION("""COMPUTED_VALUE"""),"PEREZ DUQUE, MARIA PAZ")</f>
        <v>PEREZ DUQUE, MARIA PAZ</v>
      </c>
      <c r="D1914" t="str">
        <f>IFERROR(__xludf.DUMMYFUNCTION("""COMPUTED_VALUE"""),"Spanish 7")</f>
        <v>Spanish 7</v>
      </c>
      <c r="E1914" s="31">
        <f>IFERROR(__xludf.DUMMYFUNCTION("""COMPUTED_VALUE"""),6.0)</f>
        <v>6</v>
      </c>
      <c r="F1914" s="8">
        <v>1.0</v>
      </c>
      <c r="G1914" s="8">
        <v>1.0</v>
      </c>
      <c r="H1914" s="8">
        <v>1.0</v>
      </c>
      <c r="I1914" s="8">
        <v>1.0</v>
      </c>
      <c r="J1914" s="8">
        <v>1.0</v>
      </c>
      <c r="K1914" s="8">
        <v>1.0</v>
      </c>
      <c r="L1914" s="8">
        <v>6.0</v>
      </c>
      <c r="M1914" s="8"/>
      <c r="N1914" s="8"/>
      <c r="O1914" s="8" t="s">
        <v>780</v>
      </c>
      <c r="P1914" s="8">
        <v>6.0</v>
      </c>
    </row>
    <row r="1915">
      <c r="A1915">
        <f>IFERROR(__xludf.DUMMYFUNCTION("""COMPUTED_VALUE"""),7.0)</f>
        <v>7</v>
      </c>
      <c r="B1915">
        <f>IFERROR(__xludf.DUMMYFUNCTION("""COMPUTED_VALUE"""),30097.0)</f>
        <v>30097</v>
      </c>
      <c r="C1915" t="str">
        <f>IFERROR(__xludf.DUMMYFUNCTION("""COMPUTED_VALUE"""),"PUERTA TIRADO, JUAN SEBASTIAN")</f>
        <v>PUERTA TIRADO, JUAN SEBASTIAN</v>
      </c>
      <c r="D1915" t="str">
        <f>IFERROR(__xludf.DUMMYFUNCTION("""COMPUTED_VALUE"""),"Spanish 7A")</f>
        <v>Spanish 7A</v>
      </c>
      <c r="E1915" s="31">
        <f>IFERROR(__xludf.DUMMYFUNCTION("""COMPUTED_VALUE"""),4.0)</f>
        <v>4</v>
      </c>
      <c r="F1915" s="8">
        <v>1.0</v>
      </c>
      <c r="G1915" s="8">
        <v>1.0</v>
      </c>
      <c r="H1915" s="8">
        <v>1.0</v>
      </c>
      <c r="I1915" s="8">
        <v>1.0</v>
      </c>
      <c r="J1915" s="8">
        <v>1.0</v>
      </c>
      <c r="K1915" s="8">
        <v>1.0</v>
      </c>
      <c r="L1915" s="8">
        <v>6.0</v>
      </c>
      <c r="M1915" s="8"/>
      <c r="N1915" s="8"/>
      <c r="O1915" s="8" t="s">
        <v>783</v>
      </c>
      <c r="P1915" s="8" t="e">
        <v>#N/A</v>
      </c>
    </row>
    <row r="1916">
      <c r="A1916">
        <f>IFERROR(__xludf.DUMMYFUNCTION("""COMPUTED_VALUE"""),7.0)</f>
        <v>7</v>
      </c>
      <c r="B1916">
        <f>IFERROR(__xludf.DUMMYFUNCTION("""COMPUTED_VALUE"""),30147.0)</f>
        <v>30147</v>
      </c>
      <c r="C1916" t="str">
        <f>IFERROR(__xludf.DUMMYFUNCTION("""COMPUTED_VALUE"""),"RAMIREZ ESCOBAR, ISABELLA")</f>
        <v>RAMIREZ ESCOBAR, ISABELLA</v>
      </c>
      <c r="D1916" t="str">
        <f>IFERROR(__xludf.DUMMYFUNCTION("""COMPUTED_VALUE"""),"Spanish 7")</f>
        <v>Spanish 7</v>
      </c>
      <c r="E1916" s="31">
        <f>IFERROR(__xludf.DUMMYFUNCTION("""COMPUTED_VALUE"""),2.0)</f>
        <v>2</v>
      </c>
      <c r="F1916" s="8">
        <v>1.0</v>
      </c>
      <c r="G1916" s="8">
        <v>1.0</v>
      </c>
      <c r="H1916" s="8">
        <v>1.0</v>
      </c>
      <c r="I1916" s="8">
        <v>1.0</v>
      </c>
      <c r="J1916" s="8">
        <v>1.0</v>
      </c>
      <c r="K1916" s="8">
        <v>1.0</v>
      </c>
      <c r="L1916" s="8">
        <v>6.0</v>
      </c>
      <c r="M1916" s="8"/>
      <c r="N1916" s="8"/>
      <c r="O1916" s="8" t="s">
        <v>781</v>
      </c>
      <c r="P1916" s="8">
        <v>6.0</v>
      </c>
    </row>
    <row r="1917">
      <c r="A1917">
        <f>IFERROR(__xludf.DUMMYFUNCTION("""COMPUTED_VALUE"""),7.0)</f>
        <v>7</v>
      </c>
      <c r="B1917">
        <f>IFERROR(__xludf.DUMMYFUNCTION("""COMPUTED_VALUE"""),30098.0)</f>
        <v>30098</v>
      </c>
      <c r="C1917" t="str">
        <f>IFERROR(__xludf.DUMMYFUNCTION("""COMPUTED_VALUE"""),"REINOSO TRUJILLO, SANTIAGO")</f>
        <v>REINOSO TRUJILLO, SANTIAGO</v>
      </c>
      <c r="D1917" t="str">
        <f>IFERROR(__xludf.DUMMYFUNCTION("""COMPUTED_VALUE"""),"Spanish 7")</f>
        <v>Spanish 7</v>
      </c>
      <c r="E1917" s="31">
        <f>IFERROR(__xludf.DUMMYFUNCTION("""COMPUTED_VALUE"""),4.0)</f>
        <v>4</v>
      </c>
      <c r="F1917" s="8">
        <v>1.0</v>
      </c>
      <c r="G1917" s="8">
        <v>1.0</v>
      </c>
      <c r="H1917" s="8">
        <v>1.0</v>
      </c>
      <c r="I1917" s="8">
        <v>1.0</v>
      </c>
      <c r="J1917" s="8">
        <v>1.0</v>
      </c>
      <c r="K1917" s="8">
        <v>1.0</v>
      </c>
      <c r="L1917" s="8">
        <v>6.0</v>
      </c>
      <c r="M1917" s="8"/>
      <c r="N1917" s="8"/>
      <c r="O1917" s="8" t="s">
        <v>782</v>
      </c>
      <c r="P1917" s="8">
        <v>6.0</v>
      </c>
    </row>
    <row r="1918">
      <c r="A1918">
        <f>IFERROR(__xludf.DUMMYFUNCTION("""COMPUTED_VALUE"""),7.0)</f>
        <v>7</v>
      </c>
      <c r="B1918">
        <f>IFERROR(__xludf.DUMMYFUNCTION("""COMPUTED_VALUE"""),30100.0)</f>
        <v>30100</v>
      </c>
      <c r="C1918" t="str">
        <f>IFERROR(__xludf.DUMMYFUNCTION("""COMPUTED_VALUE"""),"RESTREPO QUINTERO, MARTIN")</f>
        <v>RESTREPO QUINTERO, MARTIN</v>
      </c>
      <c r="D1918" t="str">
        <f>IFERROR(__xludf.DUMMYFUNCTION("""COMPUTED_VALUE"""),"Spanish 7")</f>
        <v>Spanish 7</v>
      </c>
      <c r="E1918" s="31">
        <f>IFERROR(__xludf.DUMMYFUNCTION("""COMPUTED_VALUE"""),1.0)</f>
        <v>1</v>
      </c>
      <c r="F1918" s="8">
        <v>1.0</v>
      </c>
      <c r="G1918" s="8">
        <v>1.0</v>
      </c>
      <c r="H1918" s="8">
        <v>1.0</v>
      </c>
      <c r="I1918" s="8">
        <v>1.0</v>
      </c>
      <c r="J1918" s="8">
        <v>1.0</v>
      </c>
      <c r="K1918" s="8">
        <v>1.0</v>
      </c>
      <c r="L1918" s="8">
        <v>6.0</v>
      </c>
      <c r="M1918" s="8"/>
      <c r="N1918" s="8"/>
      <c r="O1918" s="8" t="s">
        <v>779</v>
      </c>
      <c r="P1918" s="8">
        <v>6.0</v>
      </c>
    </row>
    <row r="1919">
      <c r="A1919">
        <f>IFERROR(__xludf.DUMMYFUNCTION("""COMPUTED_VALUE"""),7.0)</f>
        <v>7</v>
      </c>
      <c r="B1919">
        <f>IFERROR(__xludf.DUMMYFUNCTION("""COMPUTED_VALUE"""),30101.0)</f>
        <v>30101</v>
      </c>
      <c r="C1919" t="str">
        <f>IFERROR(__xludf.DUMMYFUNCTION("""COMPUTED_VALUE"""),"RESTREPO RAMIREZ, MATIAS")</f>
        <v>RESTREPO RAMIREZ, MATIAS</v>
      </c>
      <c r="D1919" t="str">
        <f>IFERROR(__xludf.DUMMYFUNCTION("""COMPUTED_VALUE"""),"Spanish 7")</f>
        <v>Spanish 7</v>
      </c>
      <c r="E1919" s="31">
        <f>IFERROR(__xludf.DUMMYFUNCTION("""COMPUTED_VALUE"""),6.0)</f>
        <v>6</v>
      </c>
      <c r="F1919" s="8">
        <v>1.0</v>
      </c>
      <c r="G1919" s="8">
        <v>1.0</v>
      </c>
      <c r="H1919" s="8">
        <v>1.0</v>
      </c>
      <c r="I1919" s="8">
        <v>1.0</v>
      </c>
      <c r="J1919" s="8">
        <v>1.0</v>
      </c>
      <c r="K1919" s="8">
        <v>1.0</v>
      </c>
      <c r="L1919" s="8">
        <v>6.0</v>
      </c>
      <c r="M1919" s="8"/>
      <c r="N1919" s="8"/>
      <c r="O1919" s="8" t="s">
        <v>780</v>
      </c>
      <c r="P1919" s="8">
        <v>6.0</v>
      </c>
    </row>
    <row r="1920">
      <c r="A1920">
        <f>IFERROR(__xludf.DUMMYFUNCTION("""COMPUTED_VALUE"""),7.0)</f>
        <v>7</v>
      </c>
      <c r="B1920">
        <f>IFERROR(__xludf.DUMMYFUNCTION("""COMPUTED_VALUE"""),29102.0)</f>
        <v>29102</v>
      </c>
      <c r="C1920" t="str">
        <f>IFERROR(__xludf.DUMMYFUNCTION("""COMPUTED_VALUE"""),"ROJAS SANCHEZ, SAMUEL")</f>
        <v>ROJAS SANCHEZ, SAMUEL</v>
      </c>
      <c r="D1920" t="str">
        <f>IFERROR(__xludf.DUMMYFUNCTION("""COMPUTED_VALUE"""),"Spanish 7")</f>
        <v>Spanish 7</v>
      </c>
      <c r="E1920" s="31">
        <f>IFERROR(__xludf.DUMMYFUNCTION("""COMPUTED_VALUE"""),4.0)</f>
        <v>4</v>
      </c>
      <c r="F1920" s="8">
        <v>1.0</v>
      </c>
      <c r="G1920" s="8">
        <v>1.0</v>
      </c>
      <c r="H1920" s="8">
        <v>1.0</v>
      </c>
      <c r="I1920" s="8">
        <v>1.0</v>
      </c>
      <c r="J1920" s="8">
        <v>1.0</v>
      </c>
      <c r="K1920" s="8">
        <v>1.0</v>
      </c>
      <c r="L1920" s="8">
        <v>6.0</v>
      </c>
      <c r="M1920" s="8"/>
      <c r="N1920" s="8"/>
      <c r="O1920" s="8" t="s">
        <v>782</v>
      </c>
      <c r="P1920" s="8">
        <v>6.0</v>
      </c>
    </row>
    <row r="1921">
      <c r="A1921">
        <f>IFERROR(__xludf.DUMMYFUNCTION("""COMPUTED_VALUE"""),7.0)</f>
        <v>7</v>
      </c>
      <c r="B1921">
        <f>IFERROR(__xludf.DUMMYFUNCTION("""COMPUTED_VALUE"""),30102.0)</f>
        <v>30102</v>
      </c>
      <c r="C1921" t="str">
        <f>IFERROR(__xludf.DUMMYFUNCTION("""COMPUTED_VALUE"""),"RUIZ ROLDAN, LAURA")</f>
        <v>RUIZ ROLDAN, LAURA</v>
      </c>
      <c r="D1921" t="str">
        <f>IFERROR(__xludf.DUMMYFUNCTION("""COMPUTED_VALUE"""),"Spanish 7")</f>
        <v>Spanish 7</v>
      </c>
      <c r="E1921" s="31">
        <f>IFERROR(__xludf.DUMMYFUNCTION("""COMPUTED_VALUE"""),3.0)</f>
        <v>3</v>
      </c>
      <c r="F1921" s="8">
        <v>1.0</v>
      </c>
      <c r="G1921" s="8">
        <v>1.0</v>
      </c>
      <c r="H1921" s="8">
        <v>1.0</v>
      </c>
      <c r="I1921" s="8">
        <v>1.0</v>
      </c>
      <c r="J1921" s="8">
        <v>1.0</v>
      </c>
      <c r="K1921" s="8">
        <v>1.0</v>
      </c>
      <c r="L1921" s="8">
        <v>6.0</v>
      </c>
      <c r="M1921" s="8"/>
      <c r="N1921" s="8"/>
      <c r="O1921" s="8" t="s">
        <v>778</v>
      </c>
      <c r="P1921" s="8">
        <v>6.0</v>
      </c>
    </row>
    <row r="1922">
      <c r="A1922">
        <f>IFERROR(__xludf.DUMMYFUNCTION("""COMPUTED_VALUE"""),7.0)</f>
        <v>7</v>
      </c>
      <c r="B1922">
        <f>IFERROR(__xludf.DUMMYFUNCTION("""COMPUTED_VALUE"""),30103.0)</f>
        <v>30103</v>
      </c>
      <c r="C1922" t="str">
        <f>IFERROR(__xludf.DUMMYFUNCTION("""COMPUTED_VALUE"""),"SANCHEZ GONZALEZ, EMILIANA")</f>
        <v>SANCHEZ GONZALEZ, EMILIANA</v>
      </c>
      <c r="D1922" t="str">
        <f>IFERROR(__xludf.DUMMYFUNCTION("""COMPUTED_VALUE"""),"Spanish 7")</f>
        <v>Spanish 7</v>
      </c>
      <c r="E1922" s="31">
        <f>IFERROR(__xludf.DUMMYFUNCTION("""COMPUTED_VALUE"""),1.0)</f>
        <v>1</v>
      </c>
      <c r="F1922" s="8">
        <v>1.0</v>
      </c>
      <c r="G1922" s="8">
        <v>1.0</v>
      </c>
      <c r="H1922" s="8">
        <v>1.0</v>
      </c>
      <c r="I1922" s="8">
        <v>1.0</v>
      </c>
      <c r="J1922" s="8">
        <v>1.0</v>
      </c>
      <c r="K1922" s="8">
        <v>1.0</v>
      </c>
      <c r="L1922" s="8">
        <v>6.0</v>
      </c>
      <c r="M1922" s="8"/>
      <c r="N1922" s="8"/>
      <c r="O1922" s="8" t="s">
        <v>779</v>
      </c>
      <c r="P1922" s="8">
        <v>6.0</v>
      </c>
    </row>
    <row r="1923">
      <c r="A1923">
        <f>IFERROR(__xludf.DUMMYFUNCTION("""COMPUTED_VALUE"""),7.0)</f>
        <v>7</v>
      </c>
      <c r="B1923">
        <f>IFERROR(__xludf.DUMMYFUNCTION("""COMPUTED_VALUE"""),30104.0)</f>
        <v>30104</v>
      </c>
      <c r="C1923" t="str">
        <f>IFERROR(__xludf.DUMMYFUNCTION("""COMPUTED_VALUE"""),"SIERRA VILLA, RAQUEL")</f>
        <v>SIERRA VILLA, RAQUEL</v>
      </c>
      <c r="D1923" t="str">
        <f>IFERROR(__xludf.DUMMYFUNCTION("""COMPUTED_VALUE"""),"Spanish 7")</f>
        <v>Spanish 7</v>
      </c>
      <c r="E1923" s="31">
        <f>IFERROR(__xludf.DUMMYFUNCTION("""COMPUTED_VALUE"""),6.0)</f>
        <v>6</v>
      </c>
      <c r="F1923" s="8">
        <v>1.0</v>
      </c>
      <c r="G1923" s="8">
        <v>1.0</v>
      </c>
      <c r="H1923" s="8">
        <v>1.0</v>
      </c>
      <c r="I1923" s="8">
        <v>1.0</v>
      </c>
      <c r="J1923" s="8">
        <v>1.0</v>
      </c>
      <c r="K1923" s="8">
        <v>1.0</v>
      </c>
      <c r="L1923" s="8">
        <v>6.0</v>
      </c>
      <c r="M1923" s="8"/>
      <c r="N1923" s="8"/>
      <c r="O1923" s="8" t="s">
        <v>780</v>
      </c>
      <c r="P1923" s="8">
        <v>6.0</v>
      </c>
    </row>
    <row r="1924">
      <c r="A1924">
        <f>IFERROR(__xludf.DUMMYFUNCTION("""COMPUTED_VALUE"""),7.0)</f>
        <v>7</v>
      </c>
      <c r="B1924">
        <f>IFERROR(__xludf.DUMMYFUNCTION("""COMPUTED_VALUE"""),30105.0)</f>
        <v>30105</v>
      </c>
      <c r="C1924" t="str">
        <f>IFERROR(__xludf.DUMMYFUNCTION("""COMPUTED_VALUE"""),"TOBON RESTREPO, PEDRO")</f>
        <v>TOBON RESTREPO, PEDRO</v>
      </c>
      <c r="D1924" t="str">
        <f>IFERROR(__xludf.DUMMYFUNCTION("""COMPUTED_VALUE"""),"Spanish 7")</f>
        <v>Spanish 7</v>
      </c>
      <c r="E1924" s="31">
        <f>IFERROR(__xludf.DUMMYFUNCTION("""COMPUTED_VALUE"""),3.0)</f>
        <v>3</v>
      </c>
      <c r="F1924" s="8">
        <v>1.0</v>
      </c>
      <c r="G1924" s="8">
        <v>1.0</v>
      </c>
      <c r="H1924" s="8">
        <v>1.0</v>
      </c>
      <c r="I1924" s="8">
        <v>1.0</v>
      </c>
      <c r="J1924" s="8">
        <v>1.0</v>
      </c>
      <c r="K1924" s="8">
        <v>1.0</v>
      </c>
      <c r="L1924" s="8">
        <v>6.0</v>
      </c>
      <c r="M1924" s="8"/>
      <c r="N1924" s="8"/>
      <c r="O1924" s="8" t="s">
        <v>778</v>
      </c>
      <c r="P1924" s="8">
        <v>6.0</v>
      </c>
    </row>
    <row r="1925">
      <c r="A1925">
        <f>IFERROR(__xludf.DUMMYFUNCTION("""COMPUTED_VALUE"""),7.0)</f>
        <v>7</v>
      </c>
      <c r="B1925">
        <f>IFERROR(__xludf.DUMMYFUNCTION("""COMPUTED_VALUE"""),30106.0)</f>
        <v>30106</v>
      </c>
      <c r="C1925" t="str">
        <f>IFERROR(__xludf.DUMMYFUNCTION("""COMPUTED_VALUE"""),"TORO BOTERO, PEDRO")</f>
        <v>TORO BOTERO, PEDRO</v>
      </c>
      <c r="D1925" t="str">
        <f>IFERROR(__xludf.DUMMYFUNCTION("""COMPUTED_VALUE"""),"Spanish 7")</f>
        <v>Spanish 7</v>
      </c>
      <c r="E1925" s="31">
        <f>IFERROR(__xludf.DUMMYFUNCTION("""COMPUTED_VALUE"""),4.0)</f>
        <v>4</v>
      </c>
      <c r="F1925" s="8">
        <v>1.0</v>
      </c>
      <c r="G1925" s="8">
        <v>1.0</v>
      </c>
      <c r="H1925" s="8">
        <v>1.0</v>
      </c>
      <c r="I1925" s="8">
        <v>1.0</v>
      </c>
      <c r="J1925" s="8">
        <v>1.0</v>
      </c>
      <c r="K1925" s="8">
        <v>1.0</v>
      </c>
      <c r="L1925" s="8">
        <v>6.0</v>
      </c>
      <c r="M1925" s="8"/>
      <c r="N1925" s="8"/>
      <c r="O1925" s="8" t="s">
        <v>782</v>
      </c>
      <c r="P1925" s="8">
        <v>6.0</v>
      </c>
    </row>
    <row r="1926">
      <c r="A1926">
        <f>IFERROR(__xludf.DUMMYFUNCTION("""COMPUTED_VALUE"""),7.0)</f>
        <v>7</v>
      </c>
      <c r="B1926">
        <f>IFERROR(__xludf.DUMMYFUNCTION("""COMPUTED_VALUE"""),30107.0)</f>
        <v>30107</v>
      </c>
      <c r="C1926" t="str">
        <f>IFERROR(__xludf.DUMMYFUNCTION("""COMPUTED_VALUE"""),"TORRES POSADA, NICOLAS")</f>
        <v>TORRES POSADA, NICOLAS</v>
      </c>
      <c r="D1926" t="str">
        <f>IFERROR(__xludf.DUMMYFUNCTION("""COMPUTED_VALUE"""),"Spanish 7A")</f>
        <v>Spanish 7A</v>
      </c>
      <c r="E1926" s="31">
        <f>IFERROR(__xludf.DUMMYFUNCTION("""COMPUTED_VALUE"""),4.0)</f>
        <v>4</v>
      </c>
      <c r="F1926" s="8">
        <v>1.0</v>
      </c>
      <c r="G1926" s="8">
        <v>1.0</v>
      </c>
      <c r="H1926" s="8">
        <v>1.0</v>
      </c>
      <c r="I1926" s="8">
        <v>1.0</v>
      </c>
      <c r="J1926" s="8">
        <v>1.0</v>
      </c>
      <c r="K1926" s="8">
        <v>1.0</v>
      </c>
      <c r="L1926" s="8">
        <v>6.0</v>
      </c>
      <c r="M1926" s="8"/>
      <c r="N1926" s="8"/>
      <c r="O1926" s="8" t="s">
        <v>783</v>
      </c>
      <c r="P1926" s="8" t="e">
        <v>#N/A</v>
      </c>
    </row>
    <row r="1927">
      <c r="A1927">
        <f>IFERROR(__xludf.DUMMYFUNCTION("""COMPUTED_VALUE"""),7.0)</f>
        <v>7</v>
      </c>
      <c r="B1927">
        <f>IFERROR(__xludf.DUMMYFUNCTION("""COMPUTED_VALUE"""),30109.0)</f>
        <v>30109</v>
      </c>
      <c r="C1927" t="str">
        <f>IFERROR(__xludf.DUMMYFUNCTION("""COMPUTED_VALUE"""),"TRUJILLO RENDON, CAMILA")</f>
        <v>TRUJILLO RENDON, CAMILA</v>
      </c>
      <c r="D1927" t="str">
        <f>IFERROR(__xludf.DUMMYFUNCTION("""COMPUTED_VALUE"""),"Spanish 7")</f>
        <v>Spanish 7</v>
      </c>
      <c r="E1927" s="31">
        <f>IFERROR(__xludf.DUMMYFUNCTION("""COMPUTED_VALUE"""),2.0)</f>
        <v>2</v>
      </c>
      <c r="F1927" s="8">
        <v>1.0</v>
      </c>
      <c r="G1927" s="8">
        <v>1.0</v>
      </c>
      <c r="H1927" s="8">
        <v>1.0</v>
      </c>
      <c r="I1927" s="8">
        <v>1.0</v>
      </c>
      <c r="J1927" s="8">
        <v>1.0</v>
      </c>
      <c r="K1927" s="8">
        <v>1.0</v>
      </c>
      <c r="L1927" s="8">
        <v>6.0</v>
      </c>
      <c r="M1927" s="8"/>
      <c r="N1927" s="8"/>
      <c r="O1927" s="8" t="s">
        <v>781</v>
      </c>
      <c r="P1927" s="8">
        <v>6.0</v>
      </c>
    </row>
    <row r="1928">
      <c r="A1928">
        <f>IFERROR(__xludf.DUMMYFUNCTION("""COMPUTED_VALUE"""),7.0)</f>
        <v>7</v>
      </c>
      <c r="B1928">
        <f>IFERROR(__xludf.DUMMYFUNCTION("""COMPUTED_VALUE"""),30111.0)</f>
        <v>30111</v>
      </c>
      <c r="C1928" t="str">
        <f>IFERROR(__xludf.DUMMYFUNCTION("""COMPUTED_VALUE"""),"URIBE MUÑOZ, ANDREA")</f>
        <v>URIBE MUÑOZ, ANDREA</v>
      </c>
      <c r="D1928" t="str">
        <f>IFERROR(__xludf.DUMMYFUNCTION("""COMPUTED_VALUE"""),"Spanish 7")</f>
        <v>Spanish 7</v>
      </c>
      <c r="E1928" s="31">
        <f>IFERROR(__xludf.DUMMYFUNCTION("""COMPUTED_VALUE"""),1.0)</f>
        <v>1</v>
      </c>
      <c r="F1928" s="8">
        <v>1.0</v>
      </c>
      <c r="G1928" s="8">
        <v>1.0</v>
      </c>
      <c r="H1928" s="8">
        <v>1.0</v>
      </c>
      <c r="I1928" s="8">
        <v>1.0</v>
      </c>
      <c r="J1928" s="8">
        <v>1.0</v>
      </c>
      <c r="K1928" s="8">
        <v>1.0</v>
      </c>
      <c r="L1928" s="8">
        <v>6.0</v>
      </c>
      <c r="M1928" s="8"/>
      <c r="N1928" s="8"/>
      <c r="O1928" s="8" t="s">
        <v>779</v>
      </c>
      <c r="P1928" s="8">
        <v>6.0</v>
      </c>
    </row>
    <row r="1929">
      <c r="A1929">
        <f>IFERROR(__xludf.DUMMYFUNCTION("""COMPUTED_VALUE"""),7.0)</f>
        <v>7</v>
      </c>
      <c r="B1929">
        <f>IFERROR(__xludf.DUMMYFUNCTION("""COMPUTED_VALUE"""),30112.0)</f>
        <v>30112</v>
      </c>
      <c r="C1929" t="str">
        <f>IFERROR(__xludf.DUMMYFUNCTION("""COMPUTED_VALUE"""),"URIBE MUÑOZ, VALENTINA")</f>
        <v>URIBE MUÑOZ, VALENTINA</v>
      </c>
      <c r="D1929" t="str">
        <f>IFERROR(__xludf.DUMMYFUNCTION("""COMPUTED_VALUE"""),"Spanish 7A")</f>
        <v>Spanish 7A</v>
      </c>
      <c r="E1929" s="31">
        <f>IFERROR(__xludf.DUMMYFUNCTION("""COMPUTED_VALUE"""),4.0)</f>
        <v>4</v>
      </c>
      <c r="F1929" s="8">
        <v>1.0</v>
      </c>
      <c r="G1929" s="8">
        <v>1.0</v>
      </c>
      <c r="H1929" s="8">
        <v>1.0</v>
      </c>
      <c r="I1929" s="8">
        <v>1.0</v>
      </c>
      <c r="J1929" s="8">
        <v>1.0</v>
      </c>
      <c r="K1929" s="8">
        <v>1.0</v>
      </c>
      <c r="L1929" s="8">
        <v>6.0</v>
      </c>
      <c r="M1929" s="8"/>
      <c r="N1929" s="8"/>
      <c r="O1929" s="8" t="s">
        <v>783</v>
      </c>
      <c r="P1929" s="8" t="e">
        <v>#N/A</v>
      </c>
    </row>
    <row r="1930">
      <c r="A1930">
        <f>IFERROR(__xludf.DUMMYFUNCTION("""COMPUTED_VALUE"""),7.0)</f>
        <v>7</v>
      </c>
      <c r="B1930">
        <f>IFERROR(__xludf.DUMMYFUNCTION("""COMPUTED_VALUE"""),30114.0)</f>
        <v>30114</v>
      </c>
      <c r="C1930" t="str">
        <f>IFERROR(__xludf.DUMMYFUNCTION("""COMPUTED_VALUE"""),"URIBE RUIZ, VICENTE")</f>
        <v>URIBE RUIZ, VICENTE</v>
      </c>
      <c r="D1930" t="str">
        <f>IFERROR(__xludf.DUMMYFUNCTION("""COMPUTED_VALUE"""),"Spanish 7")</f>
        <v>Spanish 7</v>
      </c>
      <c r="E1930" s="31">
        <f>IFERROR(__xludf.DUMMYFUNCTION("""COMPUTED_VALUE"""),6.0)</f>
        <v>6</v>
      </c>
      <c r="F1930" s="8">
        <v>1.0</v>
      </c>
      <c r="G1930" s="8">
        <v>1.0</v>
      </c>
      <c r="H1930" s="8">
        <v>1.0</v>
      </c>
      <c r="I1930" s="8">
        <v>1.0</v>
      </c>
      <c r="J1930" s="8">
        <v>1.0</v>
      </c>
      <c r="K1930" s="8">
        <v>1.0</v>
      </c>
      <c r="L1930" s="8">
        <v>6.0</v>
      </c>
      <c r="M1930" s="8"/>
      <c r="N1930" s="8"/>
      <c r="O1930" s="8" t="s">
        <v>780</v>
      </c>
      <c r="P1930" s="8">
        <v>6.0</v>
      </c>
    </row>
    <row r="1931">
      <c r="A1931">
        <f>IFERROR(__xludf.DUMMYFUNCTION("""COMPUTED_VALUE"""),7.0)</f>
        <v>7</v>
      </c>
      <c r="B1931">
        <f>IFERROR(__xludf.DUMMYFUNCTION("""COMPUTED_VALUE"""),30115.0)</f>
        <v>30115</v>
      </c>
      <c r="C1931" t="str">
        <f>IFERROR(__xludf.DUMMYFUNCTION("""COMPUTED_VALUE"""),"URIBE VELASQUEZ, AGUSTIN")</f>
        <v>URIBE VELASQUEZ, AGUSTIN</v>
      </c>
      <c r="D1931" t="str">
        <f>IFERROR(__xludf.DUMMYFUNCTION("""COMPUTED_VALUE"""),"Spanish 7")</f>
        <v>Spanish 7</v>
      </c>
      <c r="E1931" s="31">
        <f>IFERROR(__xludf.DUMMYFUNCTION("""COMPUTED_VALUE"""),2.0)</f>
        <v>2</v>
      </c>
      <c r="F1931" s="8">
        <v>1.0</v>
      </c>
      <c r="G1931" s="8">
        <v>1.0</v>
      </c>
      <c r="H1931" s="8">
        <v>1.0</v>
      </c>
      <c r="I1931" s="8">
        <v>1.0</v>
      </c>
      <c r="J1931" s="8">
        <v>1.0</v>
      </c>
      <c r="K1931" s="8">
        <v>1.0</v>
      </c>
      <c r="L1931" s="8">
        <v>6.0</v>
      </c>
      <c r="M1931" s="8"/>
      <c r="N1931" s="8"/>
      <c r="O1931" s="8" t="s">
        <v>781</v>
      </c>
      <c r="P1931" s="8">
        <v>6.0</v>
      </c>
    </row>
    <row r="1932">
      <c r="A1932">
        <f>IFERROR(__xludf.DUMMYFUNCTION("""COMPUTED_VALUE"""),7.0)</f>
        <v>7</v>
      </c>
      <c r="B1932">
        <f>IFERROR(__xludf.DUMMYFUNCTION("""COMPUTED_VALUE"""),30117.0)</f>
        <v>30117</v>
      </c>
      <c r="C1932" t="str">
        <f>IFERROR(__xludf.DUMMYFUNCTION("""COMPUTED_VALUE"""),"VASQUEZ ECHEVERRI, MARIANA")</f>
        <v>VASQUEZ ECHEVERRI, MARIANA</v>
      </c>
      <c r="D1932" t="str">
        <f>IFERROR(__xludf.DUMMYFUNCTION("""COMPUTED_VALUE"""),"Spanish 7")</f>
        <v>Spanish 7</v>
      </c>
      <c r="E1932" s="31">
        <f>IFERROR(__xludf.DUMMYFUNCTION("""COMPUTED_VALUE"""),3.0)</f>
        <v>3</v>
      </c>
      <c r="F1932" s="8">
        <v>1.0</v>
      </c>
      <c r="G1932" s="8">
        <v>1.0</v>
      </c>
      <c r="H1932" s="8">
        <v>1.0</v>
      </c>
      <c r="I1932" s="8">
        <v>1.0</v>
      </c>
      <c r="J1932" s="8">
        <v>1.0</v>
      </c>
      <c r="K1932" s="8">
        <v>1.0</v>
      </c>
      <c r="L1932" s="8">
        <v>6.0</v>
      </c>
      <c r="M1932" s="8"/>
      <c r="N1932" s="8"/>
      <c r="O1932" s="8" t="s">
        <v>778</v>
      </c>
      <c r="P1932" s="8">
        <v>6.0</v>
      </c>
    </row>
    <row r="1933">
      <c r="A1933">
        <f>IFERROR(__xludf.DUMMYFUNCTION("""COMPUTED_VALUE"""),7.0)</f>
        <v>7</v>
      </c>
      <c r="B1933">
        <f>IFERROR(__xludf.DUMMYFUNCTION("""COMPUTED_VALUE"""),30119.0)</f>
        <v>30119</v>
      </c>
      <c r="C1933" t="str">
        <f>IFERROR(__xludf.DUMMYFUNCTION("""COMPUTED_VALUE"""),"VASQUEZ MUÑOZ, LUCIA")</f>
        <v>VASQUEZ MUÑOZ, LUCIA</v>
      </c>
      <c r="D1933" t="str">
        <f>IFERROR(__xludf.DUMMYFUNCTION("""COMPUTED_VALUE"""),"Spanish 7")</f>
        <v>Spanish 7</v>
      </c>
      <c r="E1933" s="31">
        <f>IFERROR(__xludf.DUMMYFUNCTION("""COMPUTED_VALUE"""),1.0)</f>
        <v>1</v>
      </c>
      <c r="F1933" s="8">
        <v>1.0</v>
      </c>
      <c r="G1933" s="8">
        <v>1.0</v>
      </c>
      <c r="H1933" s="8">
        <v>1.0</v>
      </c>
      <c r="I1933" s="8">
        <v>1.0</v>
      </c>
      <c r="J1933" s="8">
        <v>1.0</v>
      </c>
      <c r="K1933" s="8">
        <v>1.0</v>
      </c>
      <c r="L1933" s="8">
        <v>6.0</v>
      </c>
      <c r="M1933" s="8"/>
      <c r="N1933" s="8"/>
      <c r="O1933" s="8" t="s">
        <v>779</v>
      </c>
      <c r="P1933" s="8">
        <v>6.0</v>
      </c>
    </row>
    <row r="1934">
      <c r="A1934">
        <f>IFERROR(__xludf.DUMMYFUNCTION("""COMPUTED_VALUE"""),7.0)</f>
        <v>7</v>
      </c>
      <c r="B1934">
        <f>IFERROR(__xludf.DUMMYFUNCTION("""COMPUTED_VALUE"""),30162.0)</f>
        <v>30162</v>
      </c>
      <c r="C1934" t="str">
        <f>IFERROR(__xludf.DUMMYFUNCTION("""COMPUTED_VALUE"""),"VASQUEZ TAMAYO, ISABEL")</f>
        <v>VASQUEZ TAMAYO, ISABEL</v>
      </c>
      <c r="D1934" t="str">
        <f>IFERROR(__xludf.DUMMYFUNCTION("""COMPUTED_VALUE"""),"Spanish 7A")</f>
        <v>Spanish 7A</v>
      </c>
      <c r="E1934" s="31">
        <f>IFERROR(__xludf.DUMMYFUNCTION("""COMPUTED_VALUE"""),4.0)</f>
        <v>4</v>
      </c>
      <c r="F1934" s="8">
        <v>1.0</v>
      </c>
      <c r="G1934" s="8">
        <v>1.0</v>
      </c>
      <c r="H1934" s="8">
        <v>1.0</v>
      </c>
      <c r="I1934" s="8">
        <v>1.0</v>
      </c>
      <c r="J1934" s="8">
        <v>1.0</v>
      </c>
      <c r="K1934" s="8">
        <v>1.0</v>
      </c>
      <c r="L1934" s="8">
        <v>6.0</v>
      </c>
      <c r="M1934" s="8"/>
      <c r="N1934" s="8"/>
      <c r="O1934" s="8" t="s">
        <v>783</v>
      </c>
      <c r="P1934" s="8" t="e">
        <v>#N/A</v>
      </c>
    </row>
    <row r="1935">
      <c r="A1935">
        <f>IFERROR(__xludf.DUMMYFUNCTION("""COMPUTED_VALUE"""),7.0)</f>
        <v>7</v>
      </c>
      <c r="B1935">
        <f>IFERROR(__xludf.DUMMYFUNCTION("""COMPUTED_VALUE"""),30163.0)</f>
        <v>30163</v>
      </c>
      <c r="C1935" t="str">
        <f>IFERROR(__xludf.DUMMYFUNCTION("""COMPUTED_VALUE"""),"VASQUEZ TAMAYO, PABLO")</f>
        <v>VASQUEZ TAMAYO, PABLO</v>
      </c>
      <c r="D1935" t="str">
        <f>IFERROR(__xludf.DUMMYFUNCTION("""COMPUTED_VALUE"""),"Spanish 7")</f>
        <v>Spanish 7</v>
      </c>
      <c r="E1935" s="31">
        <f>IFERROR(__xludf.DUMMYFUNCTION("""COMPUTED_VALUE"""),4.0)</f>
        <v>4</v>
      </c>
      <c r="F1935" s="8">
        <v>1.0</v>
      </c>
      <c r="G1935" s="8">
        <v>1.0</v>
      </c>
      <c r="H1935" s="8">
        <v>1.0</v>
      </c>
      <c r="I1935" s="8">
        <v>1.0</v>
      </c>
      <c r="J1935" s="8">
        <v>1.0</v>
      </c>
      <c r="K1935" s="8">
        <v>1.0</v>
      </c>
      <c r="L1935" s="8">
        <v>6.0</v>
      </c>
      <c r="M1935" s="8"/>
      <c r="N1935" s="8"/>
      <c r="O1935" s="8" t="s">
        <v>782</v>
      </c>
      <c r="P1935" s="8">
        <v>6.0</v>
      </c>
    </row>
    <row r="1936">
      <c r="A1936">
        <f>IFERROR(__xludf.DUMMYFUNCTION("""COMPUTED_VALUE"""),7.0)</f>
        <v>7</v>
      </c>
      <c r="B1936">
        <f>IFERROR(__xludf.DUMMYFUNCTION("""COMPUTED_VALUE"""),30164.0)</f>
        <v>30164</v>
      </c>
      <c r="C1936" t="str">
        <f>IFERROR(__xludf.DUMMYFUNCTION("""COMPUTED_VALUE"""),"VASQUEZ TAMAYO, SAMUEL")</f>
        <v>VASQUEZ TAMAYO, SAMUEL</v>
      </c>
      <c r="D1936" t="str">
        <f>IFERROR(__xludf.DUMMYFUNCTION("""COMPUTED_VALUE"""),"Spanish 7")</f>
        <v>Spanish 7</v>
      </c>
      <c r="E1936" s="31">
        <f>IFERROR(__xludf.DUMMYFUNCTION("""COMPUTED_VALUE"""),6.0)</f>
        <v>6</v>
      </c>
      <c r="F1936" s="8">
        <v>1.0</v>
      </c>
      <c r="G1936" s="8">
        <v>1.0</v>
      </c>
      <c r="H1936" s="8">
        <v>1.0</v>
      </c>
      <c r="I1936" s="8">
        <v>1.0</v>
      </c>
      <c r="J1936" s="8">
        <v>1.0</v>
      </c>
      <c r="K1936" s="8">
        <v>1.0</v>
      </c>
      <c r="L1936" s="8">
        <v>6.0</v>
      </c>
      <c r="M1936" s="8"/>
      <c r="N1936" s="8"/>
      <c r="O1936" s="8" t="s">
        <v>780</v>
      </c>
      <c r="P1936" s="8">
        <v>6.0</v>
      </c>
    </row>
    <row r="1937">
      <c r="A1937">
        <f>IFERROR(__xludf.DUMMYFUNCTION("""COMPUTED_VALUE"""),7.0)</f>
        <v>7</v>
      </c>
      <c r="B1937">
        <f>IFERROR(__xludf.DUMMYFUNCTION("""COMPUTED_VALUE"""),30120.0)</f>
        <v>30120</v>
      </c>
      <c r="C1937" t="str">
        <f>IFERROR(__xludf.DUMMYFUNCTION("""COMPUTED_VALUE"""),"VELASQUEZ URIBE, JUAN SEBASTIAN")</f>
        <v>VELASQUEZ URIBE, JUAN SEBASTIAN</v>
      </c>
      <c r="D1937" t="str">
        <f>IFERROR(__xludf.DUMMYFUNCTION("""COMPUTED_VALUE"""),"Spanish 7")</f>
        <v>Spanish 7</v>
      </c>
      <c r="E1937" s="31">
        <f>IFERROR(__xludf.DUMMYFUNCTION("""COMPUTED_VALUE"""),2.0)</f>
        <v>2</v>
      </c>
      <c r="F1937" s="8">
        <v>1.0</v>
      </c>
      <c r="G1937" s="8">
        <v>1.0</v>
      </c>
      <c r="H1937" s="8">
        <v>1.0</v>
      </c>
      <c r="I1937" s="8">
        <v>1.0</v>
      </c>
      <c r="J1937" s="8">
        <v>1.0</v>
      </c>
      <c r="K1937" s="8">
        <v>1.0</v>
      </c>
      <c r="L1937" s="8">
        <v>6.0</v>
      </c>
      <c r="M1937" s="8"/>
      <c r="N1937" s="8"/>
      <c r="O1937" s="8" t="s">
        <v>781</v>
      </c>
      <c r="P1937" s="8">
        <v>6.0</v>
      </c>
    </row>
    <row r="1938">
      <c r="A1938">
        <f>IFERROR(__xludf.DUMMYFUNCTION("""COMPUTED_VALUE"""),7.0)</f>
        <v>7</v>
      </c>
      <c r="B1938">
        <f>IFERROR(__xludf.DUMMYFUNCTION("""COMPUTED_VALUE"""),30121.0)</f>
        <v>30121</v>
      </c>
      <c r="C1938" t="str">
        <f>IFERROR(__xludf.DUMMYFUNCTION("""COMPUTED_VALUE"""),"VELEZ ECHANDIA, DANIEL")</f>
        <v>VELEZ ECHANDIA, DANIEL</v>
      </c>
      <c r="D1938" t="str">
        <f>IFERROR(__xludf.DUMMYFUNCTION("""COMPUTED_VALUE"""),"Spanish 7")</f>
        <v>Spanish 7</v>
      </c>
      <c r="E1938" s="31">
        <f>IFERROR(__xludf.DUMMYFUNCTION("""COMPUTED_VALUE"""),3.0)</f>
        <v>3</v>
      </c>
      <c r="F1938" s="8">
        <v>1.0</v>
      </c>
      <c r="G1938" s="8">
        <v>1.0</v>
      </c>
      <c r="H1938" s="8">
        <v>1.0</v>
      </c>
      <c r="I1938" s="8">
        <v>1.0</v>
      </c>
      <c r="J1938" s="8">
        <v>1.0</v>
      </c>
      <c r="K1938" s="8">
        <v>1.0</v>
      </c>
      <c r="L1938" s="8">
        <v>6.0</v>
      </c>
      <c r="M1938" s="8"/>
      <c r="N1938" s="8"/>
      <c r="O1938" s="8" t="s">
        <v>778</v>
      </c>
      <c r="P1938" s="8">
        <v>6.0</v>
      </c>
    </row>
    <row r="1939">
      <c r="A1939">
        <f>IFERROR(__xludf.DUMMYFUNCTION("""COMPUTED_VALUE"""),7.0)</f>
        <v>7</v>
      </c>
      <c r="B1939">
        <f>IFERROR(__xludf.DUMMYFUNCTION("""COMPUTED_VALUE"""),30122.0)</f>
        <v>30122</v>
      </c>
      <c r="C1939" t="str">
        <f>IFERROR(__xludf.DUMMYFUNCTION("""COMPUTED_VALUE"""),"VILLEGAS MEJIA, MARTIN")</f>
        <v>VILLEGAS MEJIA, MARTIN</v>
      </c>
      <c r="D1939" t="str">
        <f>IFERROR(__xludf.DUMMYFUNCTION("""COMPUTED_VALUE"""),"Spanish 7")</f>
        <v>Spanish 7</v>
      </c>
      <c r="E1939" s="31">
        <f>IFERROR(__xludf.DUMMYFUNCTION("""COMPUTED_VALUE"""),4.0)</f>
        <v>4</v>
      </c>
      <c r="F1939" s="8">
        <v>1.0</v>
      </c>
      <c r="G1939" s="8">
        <v>1.0</v>
      </c>
      <c r="H1939" s="8">
        <v>1.0</v>
      </c>
      <c r="I1939" s="8">
        <v>1.0</v>
      </c>
      <c r="J1939" s="8">
        <v>1.0</v>
      </c>
      <c r="K1939" s="8">
        <v>1.0</v>
      </c>
      <c r="L1939" s="8">
        <v>6.0</v>
      </c>
      <c r="M1939" s="8"/>
      <c r="N1939" s="8"/>
      <c r="O1939" s="8" t="s">
        <v>782</v>
      </c>
      <c r="P1939" s="8">
        <v>6.0</v>
      </c>
    </row>
    <row r="1940">
      <c r="A1940">
        <f>IFERROR(__xludf.DUMMYFUNCTION("""COMPUTED_VALUE"""),7.0)</f>
        <v>7</v>
      </c>
      <c r="B1940">
        <f>IFERROR(__xludf.DUMMYFUNCTION("""COMPUTED_VALUE"""),30123.0)</f>
        <v>30123</v>
      </c>
      <c r="C1940" t="str">
        <f>IFERROR(__xludf.DUMMYFUNCTION("""COMPUTED_VALUE"""),"YACAMAN RESTREPO, TOMAS")</f>
        <v>YACAMAN RESTREPO, TOMAS</v>
      </c>
      <c r="D1940" t="str">
        <f>IFERROR(__xludf.DUMMYFUNCTION("""COMPUTED_VALUE"""),"Spanish 7A")</f>
        <v>Spanish 7A</v>
      </c>
      <c r="E1940" s="31">
        <f>IFERROR(__xludf.DUMMYFUNCTION("""COMPUTED_VALUE"""),4.0)</f>
        <v>4</v>
      </c>
      <c r="F1940" s="8">
        <v>1.0</v>
      </c>
      <c r="G1940" s="8">
        <v>1.0</v>
      </c>
      <c r="H1940" s="8">
        <v>1.0</v>
      </c>
      <c r="I1940" s="8">
        <v>1.0</v>
      </c>
      <c r="J1940" s="8">
        <v>1.0</v>
      </c>
      <c r="K1940" s="8">
        <v>1.0</v>
      </c>
      <c r="L1940" s="8">
        <v>6.0</v>
      </c>
      <c r="M1940" s="8"/>
      <c r="N1940" s="8"/>
      <c r="O1940" s="8" t="s">
        <v>783</v>
      </c>
      <c r="P1940" s="8" t="e">
        <v>#N/A</v>
      </c>
    </row>
    <row r="1941">
      <c r="A1941">
        <f>IFERROR(__xludf.DUMMYFUNCTION("""COMPUTED_VALUE"""),7.0)</f>
        <v>7</v>
      </c>
      <c r="B1941">
        <f>IFERROR(__xludf.DUMMYFUNCTION("""COMPUTED_VALUE"""),30124.0)</f>
        <v>30124</v>
      </c>
      <c r="C1941" t="str">
        <f>IFERROR(__xludf.DUMMYFUNCTION("""COMPUTED_VALUE"""),"YEPES RAMIREZ, LUCIANA")</f>
        <v>YEPES RAMIREZ, LUCIANA</v>
      </c>
      <c r="D1941" t="str">
        <f>IFERROR(__xludf.DUMMYFUNCTION("""COMPUTED_VALUE"""),"Spanish 7")</f>
        <v>Spanish 7</v>
      </c>
      <c r="E1941" s="31">
        <f>IFERROR(__xludf.DUMMYFUNCTION("""COMPUTED_VALUE"""),1.0)</f>
        <v>1</v>
      </c>
      <c r="F1941" s="8">
        <v>1.0</v>
      </c>
      <c r="G1941" s="8">
        <v>1.0</v>
      </c>
      <c r="H1941" s="8">
        <v>1.0</v>
      </c>
      <c r="I1941" s="8">
        <v>1.0</v>
      </c>
      <c r="J1941" s="8">
        <v>1.0</v>
      </c>
      <c r="K1941" s="8">
        <v>1.0</v>
      </c>
      <c r="L1941" s="8">
        <v>6.0</v>
      </c>
      <c r="M1941" s="8"/>
      <c r="N1941" s="8"/>
      <c r="O1941" s="8" t="s">
        <v>779</v>
      </c>
      <c r="P1941" s="8">
        <v>6.0</v>
      </c>
    </row>
    <row r="1942">
      <c r="A1942">
        <f>IFERROR(__xludf.DUMMYFUNCTION("""COMPUTED_VALUE"""),7.0)</f>
        <v>7</v>
      </c>
      <c r="B1942">
        <f>IFERROR(__xludf.DUMMYFUNCTION("""COMPUTED_VALUE"""),30125.0)</f>
        <v>30125</v>
      </c>
      <c r="C1942" t="str">
        <f>IFERROR(__xludf.DUMMYFUNCTION("""COMPUTED_VALUE"""),"ZAPATA URIBE, MARTINA")</f>
        <v>ZAPATA URIBE, MARTINA</v>
      </c>
      <c r="D1942" t="str">
        <f>IFERROR(__xludf.DUMMYFUNCTION("""COMPUTED_VALUE"""),"Spanish 7")</f>
        <v>Spanish 7</v>
      </c>
      <c r="E1942" s="31">
        <f>IFERROR(__xludf.DUMMYFUNCTION("""COMPUTED_VALUE"""),6.0)</f>
        <v>6</v>
      </c>
      <c r="F1942" s="8">
        <v>1.0</v>
      </c>
      <c r="G1942" s="8">
        <v>1.0</v>
      </c>
      <c r="H1942" s="8">
        <v>1.0</v>
      </c>
      <c r="I1942" s="8">
        <v>1.0</v>
      </c>
      <c r="J1942" s="8">
        <v>1.0</v>
      </c>
      <c r="K1942" s="8">
        <v>1.0</v>
      </c>
      <c r="L1942" s="8">
        <v>6.0</v>
      </c>
      <c r="M1942" s="8"/>
      <c r="N1942" s="8"/>
      <c r="O1942" s="8" t="s">
        <v>780</v>
      </c>
      <c r="P1942" s="8">
        <v>6.0</v>
      </c>
    </row>
    <row r="1943">
      <c r="A1943">
        <f>IFERROR(__xludf.DUMMYFUNCTION("""COMPUTED_VALUE"""),7.0)</f>
        <v>7</v>
      </c>
      <c r="B1943">
        <f>IFERROR(__xludf.DUMMYFUNCTION("""COMPUTED_VALUE"""),30126.0)</f>
        <v>30126</v>
      </c>
      <c r="C1943" t="str">
        <f>IFERROR(__xludf.DUMMYFUNCTION("""COMPUTED_VALUE"""),"ZULOAGA AYUB, NICOLAS")</f>
        <v>ZULOAGA AYUB, NICOLAS</v>
      </c>
      <c r="D1943" t="str">
        <f>IFERROR(__xludf.DUMMYFUNCTION("""COMPUTED_VALUE"""),"Spanish 7")</f>
        <v>Spanish 7</v>
      </c>
      <c r="E1943" s="31">
        <f>IFERROR(__xludf.DUMMYFUNCTION("""COMPUTED_VALUE"""),2.0)</f>
        <v>2</v>
      </c>
      <c r="F1943" s="8">
        <v>1.0</v>
      </c>
      <c r="G1943" s="8">
        <v>1.0</v>
      </c>
      <c r="H1943" s="8">
        <v>1.0</v>
      </c>
      <c r="I1943" s="8">
        <v>1.0</v>
      </c>
      <c r="J1943" s="8">
        <v>1.0</v>
      </c>
      <c r="K1943" s="8">
        <v>1.0</v>
      </c>
      <c r="L1943" s="8">
        <v>6.0</v>
      </c>
      <c r="M1943" s="8"/>
      <c r="N1943" s="8"/>
      <c r="O1943" s="8" t="s">
        <v>781</v>
      </c>
      <c r="P1943" s="8">
        <v>6.0</v>
      </c>
    </row>
    <row r="1944">
      <c r="A1944">
        <f>IFERROR(__xludf.DUMMYFUNCTION("""COMPUTED_VALUE"""),7.0)</f>
        <v>7</v>
      </c>
      <c r="B1944">
        <f>IFERROR(__xludf.DUMMYFUNCTION("""COMPUTED_VALUE"""),30127.0)</f>
        <v>30127</v>
      </c>
      <c r="C1944" t="str">
        <f>IFERROR(__xludf.DUMMYFUNCTION("""COMPUTED_VALUE"""),"ZULUAGA SIERRA, MATIAS")</f>
        <v>ZULUAGA SIERRA, MATIAS</v>
      </c>
      <c r="D1944" t="str">
        <f>IFERROR(__xludf.DUMMYFUNCTION("""COMPUTED_VALUE"""),"Spanish 7")</f>
        <v>Spanish 7</v>
      </c>
      <c r="E1944" s="31">
        <f>IFERROR(__xludf.DUMMYFUNCTION("""COMPUTED_VALUE"""),3.0)</f>
        <v>3</v>
      </c>
      <c r="F1944" s="8">
        <v>1.0</v>
      </c>
      <c r="G1944" s="8">
        <v>1.0</v>
      </c>
      <c r="H1944" s="8">
        <v>1.0</v>
      </c>
      <c r="I1944" s="8">
        <v>1.0</v>
      </c>
      <c r="J1944" s="8">
        <v>1.0</v>
      </c>
      <c r="K1944" s="8">
        <v>1.0</v>
      </c>
      <c r="L1944" s="8">
        <v>6.0</v>
      </c>
      <c r="M1944" s="8"/>
      <c r="N1944" s="8"/>
      <c r="O1944" s="8" t="s">
        <v>778</v>
      </c>
      <c r="P1944" s="8">
        <v>6.0</v>
      </c>
    </row>
    <row r="1945">
      <c r="A1945">
        <f>IFERROR(__xludf.DUMMYFUNCTION("""COMPUTED_VALUE"""),8.0)</f>
        <v>8</v>
      </c>
      <c r="B1945">
        <f>IFERROR(__xludf.DUMMYFUNCTION("""COMPUTED_VALUE"""),29001.0)</f>
        <v>29001</v>
      </c>
      <c r="C1945" t="str">
        <f>IFERROR(__xludf.DUMMYFUNCTION("""COMPUTED_VALUE"""),"ACEVEDO ARANGO, ROSARIO")</f>
        <v>ACEVEDO ARANGO, ROSARIO</v>
      </c>
      <c r="D1945" t="str">
        <f>IFERROR(__xludf.DUMMYFUNCTION("""COMPUTED_VALUE"""),"Spanish 8")</f>
        <v>Spanish 8</v>
      </c>
      <c r="E1945" s="31">
        <f>IFERROR(__xludf.DUMMYFUNCTION("""COMPUTED_VALUE"""),6.0)</f>
        <v>6</v>
      </c>
      <c r="F1945" s="8">
        <v>1.0</v>
      </c>
      <c r="G1945" s="8">
        <v>1.0</v>
      </c>
      <c r="H1945" s="8">
        <v>1.0</v>
      </c>
      <c r="I1945" s="8">
        <v>1.0</v>
      </c>
      <c r="J1945" s="8">
        <v>1.0</v>
      </c>
      <c r="K1945" s="8">
        <v>1.0</v>
      </c>
      <c r="L1945" s="8">
        <v>6.0</v>
      </c>
      <c r="M1945" s="8"/>
      <c r="N1945" s="8"/>
      <c r="O1945" s="8" t="s">
        <v>784</v>
      </c>
      <c r="P1945" s="8">
        <v>2.0</v>
      </c>
    </row>
    <row r="1946">
      <c r="A1946">
        <f>IFERROR(__xludf.DUMMYFUNCTION("""COMPUTED_VALUE"""),8.0)</f>
        <v>8</v>
      </c>
      <c r="B1946">
        <f>IFERROR(__xludf.DUMMYFUNCTION("""COMPUTED_VALUE"""),29002.0)</f>
        <v>29002</v>
      </c>
      <c r="C1946" t="str">
        <f>IFERROR(__xludf.DUMMYFUNCTION("""COMPUTED_VALUE"""),"ACEVEDO OCHOA, MARIA DEL MAR")</f>
        <v>ACEVEDO OCHOA, MARIA DEL MAR</v>
      </c>
      <c r="D1946" t="str">
        <f>IFERROR(__xludf.DUMMYFUNCTION("""COMPUTED_VALUE"""),"Spanish 8")</f>
        <v>Spanish 8</v>
      </c>
      <c r="E1946" s="31">
        <f>IFERROR(__xludf.DUMMYFUNCTION("""COMPUTED_VALUE"""),4.0)</f>
        <v>4</v>
      </c>
      <c r="F1946" s="8">
        <v>1.0</v>
      </c>
      <c r="G1946" s="8">
        <v>1.0</v>
      </c>
      <c r="H1946" s="8">
        <v>1.0</v>
      </c>
      <c r="I1946" s="8">
        <v>1.0</v>
      </c>
      <c r="J1946" s="8">
        <v>1.0</v>
      </c>
      <c r="K1946" s="8">
        <v>1.0</v>
      </c>
      <c r="L1946" s="8">
        <v>6.0</v>
      </c>
      <c r="M1946" s="8"/>
      <c r="N1946" s="8"/>
      <c r="O1946" s="8" t="s">
        <v>785</v>
      </c>
      <c r="P1946" s="8">
        <v>2.0</v>
      </c>
    </row>
    <row r="1947">
      <c r="A1947">
        <f>IFERROR(__xludf.DUMMYFUNCTION("""COMPUTED_VALUE"""),8.0)</f>
        <v>8</v>
      </c>
      <c r="B1947">
        <f>IFERROR(__xludf.DUMMYFUNCTION("""COMPUTED_VALUE"""),29003.0)</f>
        <v>29003</v>
      </c>
      <c r="C1947" t="str">
        <f>IFERROR(__xludf.DUMMYFUNCTION("""COMPUTED_VALUE"""),"ACEVEDO OROZCO, MARIA CELESTE")</f>
        <v>ACEVEDO OROZCO, MARIA CELESTE</v>
      </c>
      <c r="D1947" t="str">
        <f>IFERROR(__xludf.DUMMYFUNCTION("""COMPUTED_VALUE"""),"Spanish 8")</f>
        <v>Spanish 8</v>
      </c>
      <c r="E1947" s="31">
        <f>IFERROR(__xludf.DUMMYFUNCTION("""COMPUTED_VALUE"""),2.0)</f>
        <v>2</v>
      </c>
      <c r="F1947" s="8">
        <v>1.0</v>
      </c>
      <c r="G1947" s="8">
        <v>1.0</v>
      </c>
      <c r="H1947" s="8">
        <v>1.0</v>
      </c>
      <c r="I1947" s="8">
        <v>1.0</v>
      </c>
      <c r="J1947" s="8">
        <v>1.0</v>
      </c>
      <c r="K1947" s="8">
        <v>1.0</v>
      </c>
      <c r="L1947" s="8">
        <v>6.0</v>
      </c>
      <c r="M1947" s="8"/>
      <c r="N1947" s="8"/>
      <c r="O1947" s="8" t="s">
        <v>786</v>
      </c>
      <c r="P1947" s="8">
        <v>2.0</v>
      </c>
    </row>
    <row r="1948">
      <c r="A1948">
        <f>IFERROR(__xludf.DUMMYFUNCTION("""COMPUTED_VALUE"""),8.0)</f>
        <v>8</v>
      </c>
      <c r="B1948">
        <f>IFERROR(__xludf.DUMMYFUNCTION("""COMPUTED_VALUE"""),29004.0)</f>
        <v>29004</v>
      </c>
      <c r="C1948" t="str">
        <f>IFERROR(__xludf.DUMMYFUNCTION("""COMPUTED_VALUE"""),"AGUIRRE ARANGO, DAVID")</f>
        <v>AGUIRRE ARANGO, DAVID</v>
      </c>
      <c r="D1948" t="str">
        <f>IFERROR(__xludf.DUMMYFUNCTION("""COMPUTED_VALUE"""),"Spanish 8")</f>
        <v>Spanish 8</v>
      </c>
      <c r="E1948" s="31">
        <f>IFERROR(__xludf.DUMMYFUNCTION("""COMPUTED_VALUE"""),2.0)</f>
        <v>2</v>
      </c>
      <c r="F1948" s="8">
        <v>1.0</v>
      </c>
      <c r="G1948" s="8">
        <v>1.0</v>
      </c>
      <c r="H1948" s="8">
        <v>1.0</v>
      </c>
      <c r="I1948" s="8">
        <v>1.0</v>
      </c>
      <c r="J1948" s="8">
        <v>1.0</v>
      </c>
      <c r="K1948" s="8">
        <v>1.0</v>
      </c>
      <c r="L1948" s="8">
        <v>6.0</v>
      </c>
      <c r="M1948" s="8"/>
      <c r="N1948" s="8"/>
      <c r="O1948" s="8" t="s">
        <v>786</v>
      </c>
      <c r="P1948" s="8">
        <v>2.0</v>
      </c>
    </row>
    <row r="1949">
      <c r="A1949">
        <f>IFERROR(__xludf.DUMMYFUNCTION("""COMPUTED_VALUE"""),8.0)</f>
        <v>8</v>
      </c>
      <c r="B1949">
        <f>IFERROR(__xludf.DUMMYFUNCTION("""COMPUTED_VALUE"""),29170.0)</f>
        <v>29170</v>
      </c>
      <c r="C1949" t="str">
        <f>IFERROR(__xludf.DUMMYFUNCTION("""COMPUTED_VALUE"""),"ALVAREZ CARDENAS, JUAN EMILIO")</f>
        <v>ALVAREZ CARDENAS, JUAN EMILIO</v>
      </c>
      <c r="D1949" t="str">
        <f>IFERROR(__xludf.DUMMYFUNCTION("""COMPUTED_VALUE"""),"Spanish 8")</f>
        <v>Spanish 8</v>
      </c>
      <c r="E1949" s="31">
        <f>IFERROR(__xludf.DUMMYFUNCTION("""COMPUTED_VALUE"""),2.0)</f>
        <v>2</v>
      </c>
      <c r="F1949" s="8">
        <v>1.0</v>
      </c>
      <c r="G1949" s="8">
        <v>1.0</v>
      </c>
      <c r="H1949" s="8">
        <v>1.0</v>
      </c>
      <c r="I1949" s="8">
        <v>1.0</v>
      </c>
      <c r="J1949" s="8">
        <v>1.0</v>
      </c>
      <c r="K1949" s="8">
        <v>1.0</v>
      </c>
      <c r="L1949" s="8">
        <v>6.0</v>
      </c>
      <c r="M1949" s="8"/>
      <c r="N1949" s="8"/>
      <c r="O1949" s="8" t="s">
        <v>786</v>
      </c>
      <c r="P1949" s="8">
        <v>2.0</v>
      </c>
    </row>
    <row r="1950">
      <c r="A1950">
        <f>IFERROR(__xludf.DUMMYFUNCTION("""COMPUTED_VALUE"""),8.0)</f>
        <v>8</v>
      </c>
      <c r="B1950">
        <f>IFERROR(__xludf.DUMMYFUNCTION("""COMPUTED_VALUE"""),29007.0)</f>
        <v>29007</v>
      </c>
      <c r="C1950" t="str">
        <f>IFERROR(__xludf.DUMMYFUNCTION("""COMPUTED_VALUE"""),"ALZATE GARCIA, LUCIANA")</f>
        <v>ALZATE GARCIA, LUCIANA</v>
      </c>
      <c r="D1950" t="str">
        <f>IFERROR(__xludf.DUMMYFUNCTION("""COMPUTED_VALUE"""),"Spanish 8")</f>
        <v>Spanish 8</v>
      </c>
      <c r="E1950" s="31">
        <f>IFERROR(__xludf.DUMMYFUNCTION("""COMPUTED_VALUE"""),3.0)</f>
        <v>3</v>
      </c>
      <c r="F1950" s="8">
        <v>1.0</v>
      </c>
      <c r="G1950" s="8">
        <v>1.0</v>
      </c>
      <c r="H1950" s="8">
        <v>1.0</v>
      </c>
      <c r="I1950" s="8">
        <v>1.0</v>
      </c>
      <c r="J1950" s="8">
        <v>1.0</v>
      </c>
      <c r="K1950" s="8">
        <v>1.0</v>
      </c>
      <c r="L1950" s="8">
        <v>6.0</v>
      </c>
      <c r="M1950" s="8"/>
      <c r="N1950" s="8"/>
      <c r="O1950" s="8" t="s">
        <v>787</v>
      </c>
      <c r="P1950" s="8">
        <v>2.0</v>
      </c>
    </row>
    <row r="1951">
      <c r="A1951">
        <f>IFERROR(__xludf.DUMMYFUNCTION("""COMPUTED_VALUE"""),8.0)</f>
        <v>8</v>
      </c>
      <c r="B1951">
        <f>IFERROR(__xludf.DUMMYFUNCTION("""COMPUTED_VALUE"""),29008.0)</f>
        <v>29008</v>
      </c>
      <c r="C1951" t="str">
        <f>IFERROR(__xludf.DUMMYFUNCTION("""COMPUTED_VALUE"""),"APA ECHAVARRIA, LORENZO")</f>
        <v>APA ECHAVARRIA, LORENZO</v>
      </c>
      <c r="D1951" t="str">
        <f>IFERROR(__xludf.DUMMYFUNCTION("""COMPUTED_VALUE"""),"Spanish 8")</f>
        <v>Spanish 8</v>
      </c>
      <c r="E1951" s="31">
        <f>IFERROR(__xludf.DUMMYFUNCTION("""COMPUTED_VALUE"""),6.0)</f>
        <v>6</v>
      </c>
      <c r="F1951" s="8">
        <v>1.0</v>
      </c>
      <c r="G1951" s="8">
        <v>1.0</v>
      </c>
      <c r="H1951" s="8">
        <v>1.0</v>
      </c>
      <c r="I1951" s="8">
        <v>1.0</v>
      </c>
      <c r="J1951" s="8">
        <v>1.0</v>
      </c>
      <c r="K1951" s="8">
        <v>1.0</v>
      </c>
      <c r="L1951" s="8">
        <v>6.0</v>
      </c>
      <c r="M1951" s="8"/>
      <c r="N1951" s="8"/>
      <c r="O1951" s="8" t="s">
        <v>784</v>
      </c>
      <c r="P1951" s="8">
        <v>2.0</v>
      </c>
    </row>
    <row r="1952">
      <c r="A1952">
        <f>IFERROR(__xludf.DUMMYFUNCTION("""COMPUTED_VALUE"""),8.0)</f>
        <v>8</v>
      </c>
      <c r="B1952">
        <f>IFERROR(__xludf.DUMMYFUNCTION("""COMPUTED_VALUE"""),29009.0)</f>
        <v>29009</v>
      </c>
      <c r="C1952" t="str">
        <f>IFERROR(__xludf.DUMMYFUNCTION("""COMPUTED_VALUE"""),"ARANGO MOLINA, ALICIA")</f>
        <v>ARANGO MOLINA, ALICIA</v>
      </c>
      <c r="D1952" t="str">
        <f>IFERROR(__xludf.DUMMYFUNCTION("""COMPUTED_VALUE"""),"Spanish 8")</f>
        <v>Spanish 8</v>
      </c>
      <c r="E1952" s="31">
        <f>IFERROR(__xludf.DUMMYFUNCTION("""COMPUTED_VALUE"""),4.0)</f>
        <v>4</v>
      </c>
      <c r="F1952" s="8">
        <v>1.0</v>
      </c>
      <c r="G1952" s="8">
        <v>1.0</v>
      </c>
      <c r="H1952" s="8">
        <v>1.0</v>
      </c>
      <c r="I1952" s="8">
        <v>1.0</v>
      </c>
      <c r="J1952" s="8">
        <v>1.0</v>
      </c>
      <c r="K1952" s="8">
        <v>1.0</v>
      </c>
      <c r="L1952" s="8">
        <v>6.0</v>
      </c>
      <c r="M1952" s="8"/>
      <c r="N1952" s="8"/>
      <c r="O1952" s="8" t="s">
        <v>785</v>
      </c>
      <c r="P1952" s="8">
        <v>2.0</v>
      </c>
    </row>
    <row r="1953">
      <c r="A1953">
        <f>IFERROR(__xludf.DUMMYFUNCTION("""COMPUTED_VALUE"""),8.0)</f>
        <v>8</v>
      </c>
      <c r="B1953">
        <f>IFERROR(__xludf.DUMMYFUNCTION("""COMPUTED_VALUE"""),29010.0)</f>
        <v>29010</v>
      </c>
      <c r="C1953" t="str">
        <f>IFERROR(__xludf.DUMMYFUNCTION("""COMPUTED_VALUE"""),"ARANGO NAVARRO, MANUELA")</f>
        <v>ARANGO NAVARRO, MANUELA</v>
      </c>
      <c r="D1953" t="str">
        <f>IFERROR(__xludf.DUMMYFUNCTION("""COMPUTED_VALUE"""),"Spanish 8")</f>
        <v>Spanish 8</v>
      </c>
      <c r="E1953" s="31">
        <f>IFERROR(__xludf.DUMMYFUNCTION("""COMPUTED_VALUE"""),6.0)</f>
        <v>6</v>
      </c>
      <c r="F1953" s="8">
        <v>1.0</v>
      </c>
      <c r="G1953" s="8">
        <v>1.0</v>
      </c>
      <c r="H1953" s="8">
        <v>1.0</v>
      </c>
      <c r="I1953" s="8">
        <v>1.0</v>
      </c>
      <c r="J1953" s="8">
        <v>1.0</v>
      </c>
      <c r="K1953" s="8">
        <v>1.0</v>
      </c>
      <c r="L1953" s="8">
        <v>6.0</v>
      </c>
      <c r="M1953" s="8"/>
      <c r="N1953" s="8"/>
      <c r="O1953" s="8" t="s">
        <v>784</v>
      </c>
      <c r="P1953" s="8">
        <v>2.0</v>
      </c>
    </row>
    <row r="1954">
      <c r="A1954">
        <f>IFERROR(__xludf.DUMMYFUNCTION("""COMPUTED_VALUE"""),8.0)</f>
        <v>8</v>
      </c>
      <c r="B1954">
        <f>IFERROR(__xludf.DUMMYFUNCTION("""COMPUTED_VALUE"""),29011.0)</f>
        <v>29011</v>
      </c>
      <c r="C1954" t="str">
        <f>IFERROR(__xludf.DUMMYFUNCTION("""COMPUTED_VALUE"""),"ARANGO RUBIO, ROSARIO")</f>
        <v>ARANGO RUBIO, ROSARIO</v>
      </c>
      <c r="D1954" t="str">
        <f>IFERROR(__xludf.DUMMYFUNCTION("""COMPUTED_VALUE"""),"Spanish 8")</f>
        <v>Spanish 8</v>
      </c>
      <c r="E1954" s="31">
        <f>IFERROR(__xludf.DUMMYFUNCTION("""COMPUTED_VALUE"""),2.0)</f>
        <v>2</v>
      </c>
      <c r="F1954" s="8">
        <v>1.0</v>
      </c>
      <c r="G1954" s="8">
        <v>1.0</v>
      </c>
      <c r="H1954" s="8">
        <v>1.0</v>
      </c>
      <c r="I1954" s="8">
        <v>1.0</v>
      </c>
      <c r="J1954" s="8">
        <v>1.0</v>
      </c>
      <c r="K1954" s="8">
        <v>1.0</v>
      </c>
      <c r="L1954" s="8">
        <v>6.0</v>
      </c>
      <c r="M1954" s="8"/>
      <c r="N1954" s="8"/>
      <c r="O1954" s="8" t="s">
        <v>786</v>
      </c>
      <c r="P1954" s="8">
        <v>2.0</v>
      </c>
    </row>
    <row r="1955">
      <c r="A1955">
        <f>IFERROR(__xludf.DUMMYFUNCTION("""COMPUTED_VALUE"""),8.0)</f>
        <v>8</v>
      </c>
      <c r="B1955">
        <f>IFERROR(__xludf.DUMMYFUNCTION("""COMPUTED_VALUE"""),29012.0)</f>
        <v>29012</v>
      </c>
      <c r="C1955" t="str">
        <f>IFERROR(__xludf.DUMMYFUNCTION("""COMPUTED_VALUE"""),"ARANGO VILLA, TOMAS")</f>
        <v>ARANGO VILLA, TOMAS</v>
      </c>
      <c r="D1955" t="str">
        <f>IFERROR(__xludf.DUMMYFUNCTION("""COMPUTED_VALUE"""),"Spanish 8")</f>
        <v>Spanish 8</v>
      </c>
      <c r="E1955" s="31">
        <f>IFERROR(__xludf.DUMMYFUNCTION("""COMPUTED_VALUE"""),2.0)</f>
        <v>2</v>
      </c>
      <c r="F1955" s="8">
        <v>1.0</v>
      </c>
      <c r="G1955" s="8">
        <v>1.0</v>
      </c>
      <c r="H1955" s="8">
        <v>1.0</v>
      </c>
      <c r="I1955" s="8">
        <v>1.0</v>
      </c>
      <c r="J1955" s="8">
        <v>1.0</v>
      </c>
      <c r="K1955" s="8">
        <v>1.0</v>
      </c>
      <c r="L1955" s="8">
        <v>6.0</v>
      </c>
      <c r="M1955" s="8"/>
      <c r="N1955" s="8"/>
      <c r="O1955" s="8" t="s">
        <v>786</v>
      </c>
      <c r="P1955" s="8">
        <v>2.0</v>
      </c>
    </row>
    <row r="1956">
      <c r="A1956">
        <f>IFERROR(__xludf.DUMMYFUNCTION("""COMPUTED_VALUE"""),8.0)</f>
        <v>8</v>
      </c>
      <c r="B1956">
        <f>IFERROR(__xludf.DUMMYFUNCTION("""COMPUTED_VALUE"""),28006.0)</f>
        <v>28006</v>
      </c>
      <c r="C1956" t="str">
        <f>IFERROR(__xludf.DUMMYFUNCTION("""COMPUTED_VALUE"""),"ARISTIZABAL ECHAVARRIA, CRISTOBAL")</f>
        <v>ARISTIZABAL ECHAVARRIA, CRISTOBAL</v>
      </c>
      <c r="D1956" t="str">
        <f>IFERROR(__xludf.DUMMYFUNCTION("""COMPUTED_VALUE"""),"Spanish 8")</f>
        <v>Spanish 8</v>
      </c>
      <c r="E1956" s="31">
        <f>IFERROR(__xludf.DUMMYFUNCTION("""COMPUTED_VALUE"""),1.0)</f>
        <v>1</v>
      </c>
      <c r="F1956" s="8">
        <v>1.0</v>
      </c>
      <c r="G1956" s="8">
        <v>1.0</v>
      </c>
      <c r="H1956" s="8">
        <v>1.0</v>
      </c>
      <c r="I1956" s="8">
        <v>1.0</v>
      </c>
      <c r="J1956" s="8">
        <v>1.0</v>
      </c>
      <c r="K1956" s="8">
        <v>1.0</v>
      </c>
      <c r="L1956" s="8">
        <v>6.0</v>
      </c>
      <c r="M1956" s="8"/>
      <c r="N1956" s="8"/>
      <c r="O1956" s="8" t="s">
        <v>788</v>
      </c>
      <c r="P1956" s="8">
        <v>2.0</v>
      </c>
    </row>
    <row r="1957">
      <c r="A1957">
        <f>IFERROR(__xludf.DUMMYFUNCTION("""COMPUTED_VALUE"""),8.0)</f>
        <v>8</v>
      </c>
      <c r="B1957">
        <f>IFERROR(__xludf.DUMMYFUNCTION("""COMPUTED_VALUE"""),29015.0)</f>
        <v>29015</v>
      </c>
      <c r="C1957" t="str">
        <f>IFERROR(__xludf.DUMMYFUNCTION("""COMPUTED_VALUE"""),"ARISTIZABAL URIBE, MATIAS")</f>
        <v>ARISTIZABAL URIBE, MATIAS</v>
      </c>
      <c r="D1957" t="str">
        <f>IFERROR(__xludf.DUMMYFUNCTION("""COMPUTED_VALUE"""),"Spanish 8")</f>
        <v>Spanish 8</v>
      </c>
      <c r="E1957" s="31">
        <f>IFERROR(__xludf.DUMMYFUNCTION("""COMPUTED_VALUE"""),2.0)</f>
        <v>2</v>
      </c>
      <c r="F1957" s="8">
        <v>1.0</v>
      </c>
      <c r="G1957" s="8">
        <v>1.0</v>
      </c>
      <c r="H1957" s="8">
        <v>1.0</v>
      </c>
      <c r="I1957" s="8">
        <v>1.0</v>
      </c>
      <c r="J1957" s="8">
        <v>1.0</v>
      </c>
      <c r="K1957" s="8">
        <v>1.0</v>
      </c>
      <c r="L1957" s="8">
        <v>6.0</v>
      </c>
      <c r="M1957" s="8"/>
      <c r="N1957" s="8"/>
      <c r="O1957" s="8" t="s">
        <v>786</v>
      </c>
      <c r="P1957" s="8">
        <v>2.0</v>
      </c>
    </row>
    <row r="1958">
      <c r="A1958">
        <f>IFERROR(__xludf.DUMMYFUNCTION("""COMPUTED_VALUE"""),8.0)</f>
        <v>8</v>
      </c>
      <c r="B1958">
        <f>IFERROR(__xludf.DUMMYFUNCTION("""COMPUTED_VALUE"""),29016.0)</f>
        <v>29016</v>
      </c>
      <c r="C1958" t="str">
        <f>IFERROR(__xludf.DUMMYFUNCTION("""COMPUTED_VALUE"""),"ARROYAVE LONDOÑO, ELISA")</f>
        <v>ARROYAVE LONDOÑO, ELISA</v>
      </c>
      <c r="D1958" t="str">
        <f>IFERROR(__xludf.DUMMYFUNCTION("""COMPUTED_VALUE"""),"Spanish 8")</f>
        <v>Spanish 8</v>
      </c>
      <c r="E1958" s="31">
        <f>IFERROR(__xludf.DUMMYFUNCTION("""COMPUTED_VALUE"""),6.0)</f>
        <v>6</v>
      </c>
      <c r="F1958" s="8">
        <v>1.0</v>
      </c>
      <c r="G1958" s="8">
        <v>1.0</v>
      </c>
      <c r="H1958" s="8">
        <v>1.0</v>
      </c>
      <c r="I1958" s="8">
        <v>1.0</v>
      </c>
      <c r="J1958" s="8">
        <v>1.0</v>
      </c>
      <c r="K1958" s="8">
        <v>1.0</v>
      </c>
      <c r="L1958" s="8">
        <v>6.0</v>
      </c>
      <c r="M1958" s="8"/>
      <c r="N1958" s="8"/>
      <c r="O1958" s="8" t="s">
        <v>784</v>
      </c>
      <c r="P1958" s="8">
        <v>2.0</v>
      </c>
    </row>
    <row r="1959">
      <c r="A1959">
        <f>IFERROR(__xludf.DUMMYFUNCTION("""COMPUTED_VALUE"""),8.0)</f>
        <v>8</v>
      </c>
      <c r="B1959">
        <f>IFERROR(__xludf.DUMMYFUNCTION("""COMPUTED_VALUE"""),29018.0)</f>
        <v>29018</v>
      </c>
      <c r="C1959" t="str">
        <f>IFERROR(__xludf.DUMMYFUNCTION("""COMPUTED_VALUE"""),"BAENA GIRALDO, VIOLETA")</f>
        <v>BAENA GIRALDO, VIOLETA</v>
      </c>
      <c r="D1959" t="str">
        <f>IFERROR(__xludf.DUMMYFUNCTION("""COMPUTED_VALUE"""),"Spanish 8")</f>
        <v>Spanish 8</v>
      </c>
      <c r="E1959" s="31">
        <f>IFERROR(__xludf.DUMMYFUNCTION("""COMPUTED_VALUE"""),4.0)</f>
        <v>4</v>
      </c>
      <c r="F1959" s="8">
        <v>1.0</v>
      </c>
      <c r="G1959" s="8">
        <v>1.0</v>
      </c>
      <c r="H1959" s="8">
        <v>1.0</v>
      </c>
      <c r="I1959" s="8">
        <v>1.0</v>
      </c>
      <c r="J1959" s="8">
        <v>1.0</v>
      </c>
      <c r="K1959" s="8">
        <v>1.0</v>
      </c>
      <c r="L1959" s="8">
        <v>6.0</v>
      </c>
      <c r="M1959" s="8"/>
      <c r="N1959" s="8"/>
      <c r="O1959" s="8" t="s">
        <v>785</v>
      </c>
      <c r="P1959" s="8">
        <v>2.0</v>
      </c>
    </row>
    <row r="1960">
      <c r="A1960">
        <f>IFERROR(__xludf.DUMMYFUNCTION("""COMPUTED_VALUE"""),8.0)</f>
        <v>8</v>
      </c>
      <c r="B1960">
        <f>IFERROR(__xludf.DUMMYFUNCTION("""COMPUTED_VALUE"""),29019.0)</f>
        <v>29019</v>
      </c>
      <c r="C1960" t="str">
        <f>IFERROR(__xludf.DUMMYFUNCTION("""COMPUTED_VALUE"""),"BARRIENTOS ALVAREZ, ELISA")</f>
        <v>BARRIENTOS ALVAREZ, ELISA</v>
      </c>
      <c r="D1960" t="str">
        <f>IFERROR(__xludf.DUMMYFUNCTION("""COMPUTED_VALUE"""),"Spanish 8")</f>
        <v>Spanish 8</v>
      </c>
      <c r="E1960" s="31">
        <f>IFERROR(__xludf.DUMMYFUNCTION("""COMPUTED_VALUE"""),1.0)</f>
        <v>1</v>
      </c>
      <c r="F1960" s="8">
        <v>1.0</v>
      </c>
      <c r="G1960" s="8">
        <v>1.0</v>
      </c>
      <c r="H1960" s="8">
        <v>1.0</v>
      </c>
      <c r="I1960" s="8">
        <v>1.0</v>
      </c>
      <c r="J1960" s="8">
        <v>1.0</v>
      </c>
      <c r="K1960" s="8">
        <v>1.0</v>
      </c>
      <c r="L1960" s="8">
        <v>6.0</v>
      </c>
      <c r="M1960" s="8"/>
      <c r="N1960" s="8"/>
      <c r="O1960" s="8" t="s">
        <v>788</v>
      </c>
      <c r="P1960" s="8">
        <v>2.0</v>
      </c>
    </row>
    <row r="1961">
      <c r="A1961">
        <f>IFERROR(__xludf.DUMMYFUNCTION("""COMPUTED_VALUE"""),8.0)</f>
        <v>8</v>
      </c>
      <c r="B1961">
        <f>IFERROR(__xludf.DUMMYFUNCTION("""COMPUTED_VALUE"""),29160.0)</f>
        <v>29160</v>
      </c>
      <c r="C1961" t="str">
        <f>IFERROR(__xludf.DUMMYFUNCTION("""COMPUTED_VALUE"""),"BARRIOS CASTILLO, NICOLAS GUILLERMO")</f>
        <v>BARRIOS CASTILLO, NICOLAS GUILLERMO</v>
      </c>
      <c r="D1961" t="str">
        <f>IFERROR(__xludf.DUMMYFUNCTION("""COMPUTED_VALUE"""),"Spanish 8A")</f>
        <v>Spanish 8A</v>
      </c>
      <c r="E1961" s="31">
        <f>IFERROR(__xludf.DUMMYFUNCTION("""COMPUTED_VALUE"""),2.0)</f>
        <v>2</v>
      </c>
      <c r="F1961" s="8">
        <v>1.0</v>
      </c>
      <c r="G1961" s="8">
        <v>1.0</v>
      </c>
      <c r="H1961" s="8">
        <v>1.0</v>
      </c>
      <c r="I1961" s="8">
        <v>1.0</v>
      </c>
      <c r="J1961" s="8">
        <v>1.0</v>
      </c>
      <c r="K1961" s="8">
        <v>1.0</v>
      </c>
      <c r="L1961" s="8">
        <v>6.0</v>
      </c>
      <c r="M1961" s="8"/>
      <c r="N1961" s="8"/>
      <c r="O1961" s="8" t="s">
        <v>789</v>
      </c>
      <c r="P1961" s="8" t="e">
        <v>#N/A</v>
      </c>
    </row>
    <row r="1962">
      <c r="A1962">
        <f>IFERROR(__xludf.DUMMYFUNCTION("""COMPUTED_VALUE"""),8.0)</f>
        <v>8</v>
      </c>
      <c r="B1962">
        <f>IFERROR(__xludf.DUMMYFUNCTION("""COMPUTED_VALUE"""),29020.0)</f>
        <v>29020</v>
      </c>
      <c r="C1962" t="str">
        <f>IFERROR(__xludf.DUMMYFUNCTION("""COMPUTED_VALUE"""),"BETANCOURT QUINTERO, LUCAS")</f>
        <v>BETANCOURT QUINTERO, LUCAS</v>
      </c>
      <c r="D1962" t="str">
        <f>IFERROR(__xludf.DUMMYFUNCTION("""COMPUTED_VALUE"""),"Spanish 8")</f>
        <v>Spanish 8</v>
      </c>
      <c r="E1962" s="31">
        <f>IFERROR(__xludf.DUMMYFUNCTION("""COMPUTED_VALUE"""),4.0)</f>
        <v>4</v>
      </c>
      <c r="F1962" s="8">
        <v>1.0</v>
      </c>
      <c r="G1962" s="8">
        <v>1.0</v>
      </c>
      <c r="H1962" s="8">
        <v>1.0</v>
      </c>
      <c r="I1962" s="8">
        <v>1.0</v>
      </c>
      <c r="J1962" s="8">
        <v>1.0</v>
      </c>
      <c r="K1962" s="8">
        <v>1.0</v>
      </c>
      <c r="L1962" s="8">
        <v>6.0</v>
      </c>
      <c r="M1962" s="8"/>
      <c r="N1962" s="8"/>
      <c r="O1962" s="8" t="s">
        <v>785</v>
      </c>
      <c r="P1962" s="8">
        <v>2.0</v>
      </c>
    </row>
    <row r="1963">
      <c r="A1963">
        <f>IFERROR(__xludf.DUMMYFUNCTION("""COMPUTED_VALUE"""),8.0)</f>
        <v>8</v>
      </c>
      <c r="B1963">
        <f>IFERROR(__xludf.DUMMYFUNCTION("""COMPUTED_VALUE"""),29021.0)</f>
        <v>29021</v>
      </c>
      <c r="C1963" t="str">
        <f>IFERROR(__xludf.DUMMYFUNCTION("""COMPUTED_VALUE"""),"BETANCOURT QUINTERO, SIMON")</f>
        <v>BETANCOURT QUINTERO, SIMON</v>
      </c>
      <c r="D1963" t="str">
        <f>IFERROR(__xludf.DUMMYFUNCTION("""COMPUTED_VALUE"""),"Spanish 8")</f>
        <v>Spanish 8</v>
      </c>
      <c r="E1963" s="31">
        <f>IFERROR(__xludf.DUMMYFUNCTION("""COMPUTED_VALUE"""),3.0)</f>
        <v>3</v>
      </c>
      <c r="F1963" s="8">
        <v>1.0</v>
      </c>
      <c r="G1963" s="8">
        <v>1.0</v>
      </c>
      <c r="H1963" s="8">
        <v>1.0</v>
      </c>
      <c r="I1963" s="8">
        <v>1.0</v>
      </c>
      <c r="J1963" s="8">
        <v>1.0</v>
      </c>
      <c r="K1963" s="8">
        <v>1.0</v>
      </c>
      <c r="L1963" s="8">
        <v>6.0</v>
      </c>
      <c r="M1963" s="8"/>
      <c r="N1963" s="8"/>
      <c r="O1963" s="8" t="s">
        <v>787</v>
      </c>
      <c r="P1963" s="8">
        <v>2.0</v>
      </c>
    </row>
    <row r="1964">
      <c r="A1964">
        <f>IFERROR(__xludf.DUMMYFUNCTION("""COMPUTED_VALUE"""),8.0)</f>
        <v>8</v>
      </c>
      <c r="B1964">
        <f>IFERROR(__xludf.DUMMYFUNCTION("""COMPUTED_VALUE"""),29022.0)</f>
        <v>29022</v>
      </c>
      <c r="C1964" t="str">
        <f>IFERROR(__xludf.DUMMYFUNCTION("""COMPUTED_VALUE"""),"BETANCUR ROBLEDO, PEDRO")</f>
        <v>BETANCUR ROBLEDO, PEDRO</v>
      </c>
      <c r="D1964" t="str">
        <f>IFERROR(__xludf.DUMMYFUNCTION("""COMPUTED_VALUE"""),"Spanish 8")</f>
        <v>Spanish 8</v>
      </c>
      <c r="E1964" s="31">
        <f>IFERROR(__xludf.DUMMYFUNCTION("""COMPUTED_VALUE"""),6.0)</f>
        <v>6</v>
      </c>
      <c r="F1964" s="8">
        <v>1.0</v>
      </c>
      <c r="G1964" s="8">
        <v>1.0</v>
      </c>
      <c r="H1964" s="8">
        <v>1.0</v>
      </c>
      <c r="I1964" s="8">
        <v>1.0</v>
      </c>
      <c r="J1964" s="8">
        <v>1.0</v>
      </c>
      <c r="K1964" s="8">
        <v>1.0</v>
      </c>
      <c r="L1964" s="8">
        <v>6.0</v>
      </c>
      <c r="M1964" s="8"/>
      <c r="N1964" s="8"/>
      <c r="O1964" s="8" t="s">
        <v>784</v>
      </c>
      <c r="P1964" s="8">
        <v>2.0</v>
      </c>
    </row>
    <row r="1965">
      <c r="A1965">
        <f>IFERROR(__xludf.DUMMYFUNCTION("""COMPUTED_VALUE"""),8.0)</f>
        <v>8</v>
      </c>
      <c r="B1965">
        <f>IFERROR(__xludf.DUMMYFUNCTION("""COMPUTED_VALUE"""),29167.0)</f>
        <v>29167</v>
      </c>
      <c r="C1965" t="str">
        <f>IFERROR(__xludf.DUMMYFUNCTION("""COMPUTED_VALUE"""),"BISHOP, JULIETTE ROSE")</f>
        <v>BISHOP, JULIETTE ROSE</v>
      </c>
      <c r="D1965" t="str">
        <f>IFERROR(__xludf.DUMMYFUNCTION("""COMPUTED_VALUE"""),"SAL")</f>
        <v>SAL</v>
      </c>
      <c r="E1965" s="31">
        <f>IFERROR(__xludf.DUMMYFUNCTION("""COMPUTED_VALUE"""),2.0)</f>
        <v>2</v>
      </c>
      <c r="F1965" s="8">
        <v>1.0</v>
      </c>
      <c r="G1965" s="8">
        <v>1.0</v>
      </c>
      <c r="H1965" s="8">
        <v>1.0</v>
      </c>
      <c r="I1965" s="8">
        <v>1.0</v>
      </c>
      <c r="J1965" s="8">
        <v>1.0</v>
      </c>
      <c r="K1965" s="8">
        <v>1.0</v>
      </c>
      <c r="L1965" s="8">
        <v>6.0</v>
      </c>
      <c r="M1965" s="8"/>
      <c r="N1965" s="8"/>
      <c r="O1965" s="8" t="s">
        <v>777</v>
      </c>
      <c r="P1965" s="8" t="e">
        <v>#N/A</v>
      </c>
    </row>
    <row r="1966">
      <c r="A1966">
        <f>IFERROR(__xludf.DUMMYFUNCTION("""COMPUTED_VALUE"""),8.0)</f>
        <v>8</v>
      </c>
      <c r="B1966">
        <f>IFERROR(__xludf.DUMMYFUNCTION("""COMPUTED_VALUE"""),29023.0)</f>
        <v>29023</v>
      </c>
      <c r="C1966" t="str">
        <f>IFERROR(__xludf.DUMMYFUNCTION("""COMPUTED_VALUE"""),"BOTERO DEL CORRAL, EMILIANA")</f>
        <v>BOTERO DEL CORRAL, EMILIANA</v>
      </c>
      <c r="D1966" t="str">
        <f>IFERROR(__xludf.DUMMYFUNCTION("""COMPUTED_VALUE"""),"Spanish 8")</f>
        <v>Spanish 8</v>
      </c>
      <c r="E1966" s="31">
        <f>IFERROR(__xludf.DUMMYFUNCTION("""COMPUTED_VALUE"""),6.0)</f>
        <v>6</v>
      </c>
      <c r="F1966" s="8">
        <v>1.0</v>
      </c>
      <c r="G1966" s="8">
        <v>1.0</v>
      </c>
      <c r="H1966" s="8">
        <v>1.0</v>
      </c>
      <c r="I1966" s="8">
        <v>1.0</v>
      </c>
      <c r="J1966" s="8">
        <v>1.0</v>
      </c>
      <c r="K1966" s="8">
        <v>1.0</v>
      </c>
      <c r="L1966" s="8">
        <v>6.0</v>
      </c>
      <c r="M1966" s="8"/>
      <c r="N1966" s="8"/>
      <c r="O1966" s="8" t="s">
        <v>784</v>
      </c>
      <c r="P1966" s="8">
        <v>2.0</v>
      </c>
    </row>
    <row r="1967">
      <c r="A1967">
        <f>IFERROR(__xludf.DUMMYFUNCTION("""COMPUTED_VALUE"""),8.0)</f>
        <v>8</v>
      </c>
      <c r="B1967">
        <f>IFERROR(__xludf.DUMMYFUNCTION("""COMPUTED_VALUE"""),29161.0)</f>
        <v>29161</v>
      </c>
      <c r="C1967" t="str">
        <f>IFERROR(__xludf.DUMMYFUNCTION("""COMPUTED_VALUE"""),"BURKHALTER, ESPERANZA JOY")</f>
        <v>BURKHALTER, ESPERANZA JOY</v>
      </c>
      <c r="D1967" t="str">
        <f>IFERROR(__xludf.DUMMYFUNCTION("""COMPUTED_VALUE"""),"Spanish 8")</f>
        <v>Spanish 8</v>
      </c>
      <c r="E1967" s="31">
        <f>IFERROR(__xludf.DUMMYFUNCTION("""COMPUTED_VALUE"""),2.0)</f>
        <v>2</v>
      </c>
      <c r="F1967" s="8">
        <v>1.0</v>
      </c>
      <c r="G1967" s="8">
        <v>1.0</v>
      </c>
      <c r="H1967" s="8">
        <v>1.0</v>
      </c>
      <c r="I1967" s="8">
        <v>1.0</v>
      </c>
      <c r="J1967" s="8">
        <v>1.0</v>
      </c>
      <c r="K1967" s="8">
        <v>1.0</v>
      </c>
      <c r="L1967" s="8">
        <v>6.0</v>
      </c>
      <c r="M1967" s="8"/>
      <c r="N1967" s="8"/>
      <c r="O1967" s="8" t="s">
        <v>786</v>
      </c>
      <c r="P1967" s="8">
        <v>2.0</v>
      </c>
    </row>
    <row r="1968">
      <c r="A1968">
        <f>IFERROR(__xludf.DUMMYFUNCTION("""COMPUTED_VALUE"""),8.0)</f>
        <v>8</v>
      </c>
      <c r="B1968">
        <f>IFERROR(__xludf.DUMMYFUNCTION("""COMPUTED_VALUE"""),29150.0)</f>
        <v>29150</v>
      </c>
      <c r="C1968" t="str">
        <f>IFERROR(__xludf.DUMMYFUNCTION("""COMPUTED_VALUE"""),"CABAL AYALA, MARTINA")</f>
        <v>CABAL AYALA, MARTINA</v>
      </c>
      <c r="D1968" t="str">
        <f>IFERROR(__xludf.DUMMYFUNCTION("""COMPUTED_VALUE"""),"Spanish 8")</f>
        <v>Spanish 8</v>
      </c>
      <c r="E1968" s="31">
        <f>IFERROR(__xludf.DUMMYFUNCTION("""COMPUTED_VALUE"""),4.0)</f>
        <v>4</v>
      </c>
      <c r="F1968" s="8">
        <v>1.0</v>
      </c>
      <c r="G1968" s="8">
        <v>1.0</v>
      </c>
      <c r="H1968" s="8">
        <v>1.0</v>
      </c>
      <c r="I1968" s="8">
        <v>1.0</v>
      </c>
      <c r="J1968" s="8">
        <v>1.0</v>
      </c>
      <c r="K1968" s="8">
        <v>1.0</v>
      </c>
      <c r="L1968" s="8">
        <v>6.0</v>
      </c>
      <c r="M1968" s="8"/>
      <c r="N1968" s="8"/>
      <c r="O1968" s="8" t="s">
        <v>785</v>
      </c>
      <c r="P1968" s="8">
        <v>2.0</v>
      </c>
    </row>
    <row r="1969">
      <c r="A1969">
        <f>IFERROR(__xludf.DUMMYFUNCTION("""COMPUTED_VALUE"""),8.0)</f>
        <v>8</v>
      </c>
      <c r="B1969">
        <f>IFERROR(__xludf.DUMMYFUNCTION("""COMPUTED_VALUE"""),29024.0)</f>
        <v>29024</v>
      </c>
      <c r="C1969" t="str">
        <f>IFERROR(__xludf.DUMMYFUNCTION("""COMPUTED_VALUE"""),"CADAVID RESTREPO, LUIS FERNANDO")</f>
        <v>CADAVID RESTREPO, LUIS FERNANDO</v>
      </c>
      <c r="D1969" t="str">
        <f>IFERROR(__xludf.DUMMYFUNCTION("""COMPUTED_VALUE"""),"Spanish 8")</f>
        <v>Spanish 8</v>
      </c>
      <c r="E1969" s="31">
        <f>IFERROR(__xludf.DUMMYFUNCTION("""COMPUTED_VALUE"""),2.0)</f>
        <v>2</v>
      </c>
      <c r="F1969" s="8">
        <v>1.0</v>
      </c>
      <c r="G1969" s="8">
        <v>1.0</v>
      </c>
      <c r="H1969" s="8">
        <v>1.0</v>
      </c>
      <c r="I1969" s="8">
        <v>1.0</v>
      </c>
      <c r="J1969" s="8">
        <v>1.0</v>
      </c>
      <c r="K1969" s="8">
        <v>1.0</v>
      </c>
      <c r="L1969" s="8">
        <v>6.0</v>
      </c>
      <c r="M1969" s="8"/>
      <c r="N1969" s="8"/>
      <c r="O1969" s="8" t="s">
        <v>786</v>
      </c>
      <c r="P1969" s="8">
        <v>2.0</v>
      </c>
    </row>
    <row r="1970">
      <c r="A1970">
        <f>IFERROR(__xludf.DUMMYFUNCTION("""COMPUTED_VALUE"""),8.0)</f>
        <v>8</v>
      </c>
      <c r="B1970">
        <f>IFERROR(__xludf.DUMMYFUNCTION("""COMPUTED_VALUE"""),29025.0)</f>
        <v>29025</v>
      </c>
      <c r="C1970" t="str">
        <f>IFERROR(__xludf.DUMMYFUNCTION("""COMPUTED_VALUE"""),"CALLE BUITRAGO, ESTEBAN")</f>
        <v>CALLE BUITRAGO, ESTEBAN</v>
      </c>
      <c r="D1970" t="str">
        <f>IFERROR(__xludf.DUMMYFUNCTION("""COMPUTED_VALUE"""),"Spanish 8")</f>
        <v>Spanish 8</v>
      </c>
      <c r="E1970" s="31">
        <f>IFERROR(__xludf.DUMMYFUNCTION("""COMPUTED_VALUE"""),2.0)</f>
        <v>2</v>
      </c>
      <c r="F1970" s="8">
        <v>1.0</v>
      </c>
      <c r="G1970" s="8">
        <v>1.0</v>
      </c>
      <c r="H1970" s="8">
        <v>1.0</v>
      </c>
      <c r="I1970" s="8">
        <v>1.0</v>
      </c>
      <c r="J1970" s="8">
        <v>1.0</v>
      </c>
      <c r="K1970" s="8">
        <v>1.0</v>
      </c>
      <c r="L1970" s="8">
        <v>6.0</v>
      </c>
      <c r="M1970" s="8"/>
      <c r="N1970" s="8"/>
      <c r="O1970" s="8" t="s">
        <v>786</v>
      </c>
      <c r="P1970" s="8">
        <v>2.0</v>
      </c>
    </row>
    <row r="1971">
      <c r="A1971">
        <f>IFERROR(__xludf.DUMMYFUNCTION("""COMPUTED_VALUE"""),8.0)</f>
        <v>8</v>
      </c>
      <c r="B1971">
        <f>IFERROR(__xludf.DUMMYFUNCTION("""COMPUTED_VALUE"""),29027.0)</f>
        <v>29027</v>
      </c>
      <c r="C1971" t="str">
        <f>IFERROR(__xludf.DUMMYFUNCTION("""COMPUTED_VALUE"""),"CARDONA VELEZ, MATIAS")</f>
        <v>CARDONA VELEZ, MATIAS</v>
      </c>
      <c r="D1971" t="str">
        <f>IFERROR(__xludf.DUMMYFUNCTION("""COMPUTED_VALUE"""),"Spanish 8A")</f>
        <v>Spanish 8A</v>
      </c>
      <c r="E1971" s="31">
        <f>IFERROR(__xludf.DUMMYFUNCTION("""COMPUTED_VALUE"""),2.0)</f>
        <v>2</v>
      </c>
      <c r="F1971" s="8">
        <v>1.0</v>
      </c>
      <c r="G1971" s="8">
        <v>1.0</v>
      </c>
      <c r="H1971" s="8">
        <v>1.0</v>
      </c>
      <c r="I1971" s="8">
        <v>1.0</v>
      </c>
      <c r="J1971" s="8">
        <v>1.0</v>
      </c>
      <c r="K1971" s="8">
        <v>1.0</v>
      </c>
      <c r="L1971" s="8">
        <v>6.0</v>
      </c>
      <c r="M1971" s="8"/>
      <c r="N1971" s="8"/>
      <c r="O1971" s="8" t="s">
        <v>789</v>
      </c>
      <c r="P1971" s="8" t="e">
        <v>#N/A</v>
      </c>
    </row>
    <row r="1972">
      <c r="A1972">
        <f>IFERROR(__xludf.DUMMYFUNCTION("""COMPUTED_VALUE"""),8.0)</f>
        <v>8</v>
      </c>
      <c r="B1972">
        <f>IFERROR(__xludf.DUMMYFUNCTION("""COMPUTED_VALUE"""),29028.0)</f>
        <v>29028</v>
      </c>
      <c r="C1972" t="str">
        <f>IFERROR(__xludf.DUMMYFUNCTION("""COMPUTED_VALUE"""),"CARVAJAL ACOSTA, MARTIN")</f>
        <v>CARVAJAL ACOSTA, MARTIN</v>
      </c>
      <c r="D1972" s="136" t="str">
        <f>IFERROR(__xludf.DUMMYFUNCTION("""COMPUTED_VALUE"""),"Spanish 8")</f>
        <v>Spanish 8</v>
      </c>
      <c r="E1972" s="31">
        <f>IFERROR(__xludf.DUMMYFUNCTION("""COMPUTED_VALUE"""),1.0)</f>
        <v>1</v>
      </c>
      <c r="F1972" s="8">
        <v>1.0</v>
      </c>
      <c r="G1972" s="8">
        <v>1.0</v>
      </c>
      <c r="H1972" s="8">
        <v>1.0</v>
      </c>
      <c r="I1972" s="8">
        <v>1.0</v>
      </c>
      <c r="J1972" s="8">
        <v>1.0</v>
      </c>
      <c r="K1972" s="8">
        <v>1.0</v>
      </c>
      <c r="L1972" s="8">
        <v>6.0</v>
      </c>
      <c r="M1972" s="8"/>
      <c r="N1972" s="8"/>
      <c r="O1972" s="8" t="s">
        <v>788</v>
      </c>
      <c r="P1972" s="8">
        <v>2.0</v>
      </c>
    </row>
    <row r="1973">
      <c r="A1973">
        <f>IFERROR(__xludf.DUMMYFUNCTION("""COMPUTED_VALUE"""),8.0)</f>
        <v>8</v>
      </c>
      <c r="B1973">
        <f>IFERROR(__xludf.DUMMYFUNCTION("""COMPUTED_VALUE"""),29029.0)</f>
        <v>29029</v>
      </c>
      <c r="C1973" t="str">
        <f>IFERROR(__xludf.DUMMYFUNCTION("""COMPUTED_VALUE"""),"CHAVARRIAGA MESA, GREGORIO")</f>
        <v>CHAVARRIAGA MESA, GREGORIO</v>
      </c>
      <c r="D1973" t="str">
        <f>IFERROR(__xludf.DUMMYFUNCTION("""COMPUTED_VALUE"""),"Spanish 8")</f>
        <v>Spanish 8</v>
      </c>
      <c r="E1973" s="31">
        <f>IFERROR(__xludf.DUMMYFUNCTION("""COMPUTED_VALUE"""),3.0)</f>
        <v>3</v>
      </c>
      <c r="F1973" s="8">
        <v>1.0</v>
      </c>
      <c r="G1973" s="8">
        <v>1.0</v>
      </c>
      <c r="H1973" s="8">
        <v>1.0</v>
      </c>
      <c r="I1973" s="8">
        <v>1.0</v>
      </c>
      <c r="J1973" s="8">
        <v>1.0</v>
      </c>
      <c r="K1973" s="8">
        <v>1.0</v>
      </c>
      <c r="L1973" s="8">
        <v>6.0</v>
      </c>
      <c r="M1973" s="8"/>
      <c r="N1973" s="8"/>
      <c r="O1973" s="8" t="s">
        <v>787</v>
      </c>
      <c r="P1973" s="8">
        <v>2.0</v>
      </c>
    </row>
    <row r="1974">
      <c r="A1974">
        <f>IFERROR(__xludf.DUMMYFUNCTION("""COMPUTED_VALUE"""),8.0)</f>
        <v>8</v>
      </c>
      <c r="B1974">
        <f>IFERROR(__xludf.DUMMYFUNCTION("""COMPUTED_VALUE"""),29136.0)</f>
        <v>29136</v>
      </c>
      <c r="C1974" t="str">
        <f>IFERROR(__xludf.DUMMYFUNCTION("""COMPUTED_VALUE"""),"CHOPRA, HARSHUL")</f>
        <v>CHOPRA, HARSHUL</v>
      </c>
      <c r="D1974" t="str">
        <f>IFERROR(__xludf.DUMMYFUNCTION("""COMPUTED_VALUE"""),"Spanish 8")</f>
        <v>Spanish 8</v>
      </c>
      <c r="E1974" s="31">
        <f>IFERROR(__xludf.DUMMYFUNCTION("""COMPUTED_VALUE"""),4.0)</f>
        <v>4</v>
      </c>
      <c r="F1974" s="8">
        <v>1.0</v>
      </c>
      <c r="G1974" s="8">
        <v>1.0</v>
      </c>
      <c r="H1974" s="8">
        <v>1.0</v>
      </c>
      <c r="I1974" s="8">
        <v>1.0</v>
      </c>
      <c r="J1974" s="8">
        <v>1.0</v>
      </c>
      <c r="K1974" s="8">
        <v>1.0</v>
      </c>
      <c r="L1974" s="8">
        <v>6.0</v>
      </c>
      <c r="M1974" s="8"/>
      <c r="N1974" s="8"/>
      <c r="O1974" s="8" t="s">
        <v>785</v>
      </c>
      <c r="P1974" s="8">
        <v>2.0</v>
      </c>
    </row>
    <row r="1975">
      <c r="A1975">
        <f>IFERROR(__xludf.DUMMYFUNCTION("""COMPUTED_VALUE"""),8.0)</f>
        <v>8</v>
      </c>
      <c r="B1975">
        <f>IFERROR(__xludf.DUMMYFUNCTION("""COMPUTED_VALUE"""),28023.0)</f>
        <v>28023</v>
      </c>
      <c r="C1975" t="str">
        <f>IFERROR(__xludf.DUMMYFUNCTION("""COMPUTED_VALUE"""),"CLAVIJO GIRALDO, LORENZO")</f>
        <v>CLAVIJO GIRALDO, LORENZO</v>
      </c>
      <c r="D1975" t="str">
        <f>IFERROR(__xludf.DUMMYFUNCTION("""COMPUTED_VALUE"""),"Spanish 8A")</f>
        <v>Spanish 8A</v>
      </c>
      <c r="E1975" s="31">
        <f>IFERROR(__xludf.DUMMYFUNCTION("""COMPUTED_VALUE"""),2.0)</f>
        <v>2</v>
      </c>
      <c r="F1975" s="8">
        <v>1.0</v>
      </c>
      <c r="G1975" s="8">
        <v>1.0</v>
      </c>
      <c r="H1975" s="8">
        <v>1.0</v>
      </c>
      <c r="I1975" s="8">
        <v>1.0</v>
      </c>
      <c r="J1975" s="8">
        <v>1.0</v>
      </c>
      <c r="K1975" s="8">
        <v>1.0</v>
      </c>
      <c r="L1975" s="8">
        <v>6.0</v>
      </c>
      <c r="M1975" s="8"/>
      <c r="N1975" s="8"/>
      <c r="O1975" s="8" t="s">
        <v>789</v>
      </c>
      <c r="P1975" s="8" t="e">
        <v>#N/A</v>
      </c>
    </row>
    <row r="1976">
      <c r="A1976">
        <f>IFERROR(__xludf.DUMMYFUNCTION("""COMPUTED_VALUE"""),8.0)</f>
        <v>8</v>
      </c>
      <c r="B1976">
        <f>IFERROR(__xludf.DUMMYFUNCTION("""COMPUTED_VALUE"""),29030.0)</f>
        <v>29030</v>
      </c>
      <c r="C1976" t="str">
        <f>IFERROR(__xludf.DUMMYFUNCTION("""COMPUTED_VALUE"""),"COCK ECHEVERRI, JULIETA")</f>
        <v>COCK ECHEVERRI, JULIETA</v>
      </c>
      <c r="D1976" t="str">
        <f>IFERROR(__xludf.DUMMYFUNCTION("""COMPUTED_VALUE"""),"Spanish 8")</f>
        <v>Spanish 8</v>
      </c>
      <c r="E1976" s="31">
        <f>IFERROR(__xludf.DUMMYFUNCTION("""COMPUTED_VALUE"""),4.0)</f>
        <v>4</v>
      </c>
      <c r="F1976" s="8">
        <v>1.0</v>
      </c>
      <c r="G1976" s="8">
        <v>1.0</v>
      </c>
      <c r="H1976" s="8">
        <v>1.0</v>
      </c>
      <c r="I1976" s="8">
        <v>1.0</v>
      </c>
      <c r="J1976" s="8">
        <v>1.0</v>
      </c>
      <c r="K1976" s="8">
        <v>1.0</v>
      </c>
      <c r="L1976" s="8">
        <v>6.0</v>
      </c>
      <c r="M1976" s="8"/>
      <c r="N1976" s="8"/>
      <c r="O1976" s="8" t="s">
        <v>785</v>
      </c>
      <c r="P1976" s="8">
        <v>2.0</v>
      </c>
    </row>
    <row r="1977">
      <c r="A1977">
        <f>IFERROR(__xludf.DUMMYFUNCTION("""COMPUTED_VALUE"""),8.0)</f>
        <v>8</v>
      </c>
      <c r="B1977">
        <f>IFERROR(__xludf.DUMMYFUNCTION("""COMPUTED_VALUE"""),29164.0)</f>
        <v>29164</v>
      </c>
      <c r="C1977" t="str">
        <f>IFERROR(__xludf.DUMMYFUNCTION("""COMPUTED_VALUE"""),"CONCHA VELASCO, LORENZO")</f>
        <v>CONCHA VELASCO, LORENZO</v>
      </c>
      <c r="D1977" t="str">
        <f>IFERROR(__xludf.DUMMYFUNCTION("""COMPUTED_VALUE"""),"Spanish 8")</f>
        <v>Spanish 8</v>
      </c>
      <c r="E1977" s="31">
        <f>IFERROR(__xludf.DUMMYFUNCTION("""COMPUTED_VALUE"""),2.0)</f>
        <v>2</v>
      </c>
      <c r="F1977" s="8">
        <v>1.0</v>
      </c>
      <c r="G1977" s="8">
        <v>1.0</v>
      </c>
      <c r="H1977" s="8">
        <v>1.0</v>
      </c>
      <c r="I1977" s="8">
        <v>1.0</v>
      </c>
      <c r="J1977" s="8">
        <v>1.0</v>
      </c>
      <c r="K1977" s="8">
        <v>1.0</v>
      </c>
      <c r="L1977" s="8">
        <v>6.0</v>
      </c>
      <c r="M1977" s="8"/>
      <c r="N1977" s="8"/>
      <c r="O1977" s="8" t="s">
        <v>786</v>
      </c>
      <c r="P1977" s="8">
        <v>2.0</v>
      </c>
    </row>
    <row r="1978">
      <c r="A1978">
        <f>IFERROR(__xludf.DUMMYFUNCTION("""COMPUTED_VALUE"""),8.0)</f>
        <v>8</v>
      </c>
      <c r="B1978">
        <f>IFERROR(__xludf.DUMMYFUNCTION("""COMPUTED_VALUE"""),29032.0)</f>
        <v>29032</v>
      </c>
      <c r="C1978" t="str">
        <f>IFERROR(__xludf.DUMMYFUNCTION("""COMPUTED_VALUE"""),"CORTES SIERRA, TOMAS")</f>
        <v>CORTES SIERRA, TOMAS</v>
      </c>
      <c r="D1978" t="str">
        <f>IFERROR(__xludf.DUMMYFUNCTION("""COMPUTED_VALUE"""),"Spanish 8")</f>
        <v>Spanish 8</v>
      </c>
      <c r="E1978" s="31">
        <f>IFERROR(__xludf.DUMMYFUNCTION("""COMPUTED_VALUE"""),3.0)</f>
        <v>3</v>
      </c>
      <c r="F1978" s="8">
        <v>1.0</v>
      </c>
      <c r="G1978" s="8">
        <v>1.0</v>
      </c>
      <c r="H1978" s="8">
        <v>1.0</v>
      </c>
      <c r="I1978" s="8">
        <v>1.0</v>
      </c>
      <c r="J1978" s="8">
        <v>1.0</v>
      </c>
      <c r="K1978" s="8">
        <v>1.0</v>
      </c>
      <c r="L1978" s="8">
        <v>6.0</v>
      </c>
      <c r="M1978" s="8"/>
      <c r="N1978" s="8"/>
      <c r="O1978" s="8" t="s">
        <v>787</v>
      </c>
      <c r="P1978" s="8">
        <v>2.0</v>
      </c>
    </row>
    <row r="1979">
      <c r="A1979">
        <f>IFERROR(__xludf.DUMMYFUNCTION("""COMPUTED_VALUE"""),8.0)</f>
        <v>8</v>
      </c>
      <c r="B1979">
        <f>IFERROR(__xludf.DUMMYFUNCTION("""COMPUTED_VALUE"""),29165.0)</f>
        <v>29165</v>
      </c>
      <c r="C1979" t="str">
        <f>IFERROR(__xludf.DUMMYFUNCTION("""COMPUTED_VALUE"""),"DOMINGUEZ JORGENSEN, MARCELO")</f>
        <v>DOMINGUEZ JORGENSEN, MARCELO</v>
      </c>
      <c r="D1979" t="str">
        <f>IFERROR(__xludf.DUMMYFUNCTION("""COMPUTED_VALUE"""),"Spanish 8")</f>
        <v>Spanish 8</v>
      </c>
      <c r="E1979" s="31">
        <f>IFERROR(__xludf.DUMMYFUNCTION("""COMPUTED_VALUE"""),2.0)</f>
        <v>2</v>
      </c>
      <c r="F1979" s="8">
        <v>1.0</v>
      </c>
      <c r="G1979" s="8">
        <v>1.0</v>
      </c>
      <c r="H1979" s="8">
        <v>1.0</v>
      </c>
      <c r="I1979" s="8">
        <v>1.0</v>
      </c>
      <c r="J1979" s="8">
        <v>1.0</v>
      </c>
      <c r="K1979" s="8">
        <v>1.0</v>
      </c>
      <c r="L1979" s="8">
        <v>6.0</v>
      </c>
      <c r="M1979" s="8"/>
      <c r="N1979" s="8"/>
      <c r="O1979" s="8" t="s">
        <v>786</v>
      </c>
      <c r="P1979" s="8">
        <v>2.0</v>
      </c>
    </row>
    <row r="1980">
      <c r="A1980">
        <f>IFERROR(__xludf.DUMMYFUNCTION("""COMPUTED_VALUE"""),8.0)</f>
        <v>8</v>
      </c>
      <c r="B1980">
        <f>IFERROR(__xludf.DUMMYFUNCTION("""COMPUTED_VALUE"""),29034.0)</f>
        <v>29034</v>
      </c>
      <c r="C1980" t="str">
        <f>IFERROR(__xludf.DUMMYFUNCTION("""COMPUTED_VALUE"""),"DUQUE BONNETT, ELISA")</f>
        <v>DUQUE BONNETT, ELISA</v>
      </c>
      <c r="D1980" t="str">
        <f>IFERROR(__xludf.DUMMYFUNCTION("""COMPUTED_VALUE"""),"Spanish 8")</f>
        <v>Spanish 8</v>
      </c>
      <c r="E1980" s="31">
        <f>IFERROR(__xludf.DUMMYFUNCTION("""COMPUTED_VALUE"""),6.0)</f>
        <v>6</v>
      </c>
      <c r="F1980" s="8">
        <v>1.0</v>
      </c>
      <c r="G1980" s="8">
        <v>1.0</v>
      </c>
      <c r="H1980" s="8">
        <v>1.0</v>
      </c>
      <c r="I1980" s="8">
        <v>1.0</v>
      </c>
      <c r="J1980" s="8">
        <v>1.0</v>
      </c>
      <c r="K1980" s="8">
        <v>1.0</v>
      </c>
      <c r="L1980" s="8">
        <v>6.0</v>
      </c>
      <c r="M1980" s="8"/>
      <c r="N1980" s="8"/>
      <c r="O1980" s="8" t="s">
        <v>784</v>
      </c>
      <c r="P1980" s="8">
        <v>2.0</v>
      </c>
    </row>
    <row r="1981">
      <c r="A1981">
        <f>IFERROR(__xludf.DUMMYFUNCTION("""COMPUTED_VALUE"""),8.0)</f>
        <v>8</v>
      </c>
      <c r="B1981">
        <f>IFERROR(__xludf.DUMMYFUNCTION("""COMPUTED_VALUE"""),29035.0)</f>
        <v>29035</v>
      </c>
      <c r="C1981" t="str">
        <f>IFERROR(__xludf.DUMMYFUNCTION("""COMPUTED_VALUE"""),"DURAN CALAD, MIGUEL")</f>
        <v>DURAN CALAD, MIGUEL</v>
      </c>
      <c r="D1981" t="str">
        <f>IFERROR(__xludf.DUMMYFUNCTION("""COMPUTED_VALUE"""),"Spanish 8A")</f>
        <v>Spanish 8A</v>
      </c>
      <c r="E1981" s="31">
        <f>IFERROR(__xludf.DUMMYFUNCTION("""COMPUTED_VALUE"""),2.0)</f>
        <v>2</v>
      </c>
      <c r="F1981" s="8">
        <v>1.0</v>
      </c>
      <c r="G1981" s="8">
        <v>1.0</v>
      </c>
      <c r="H1981" s="8">
        <v>1.0</v>
      </c>
      <c r="I1981" s="8">
        <v>1.0</v>
      </c>
      <c r="J1981" s="8">
        <v>1.0</v>
      </c>
      <c r="K1981" s="8">
        <v>1.0</v>
      </c>
      <c r="L1981" s="8">
        <v>6.0</v>
      </c>
      <c r="M1981" s="8"/>
      <c r="N1981" s="8"/>
      <c r="O1981" s="8" t="s">
        <v>789</v>
      </c>
      <c r="P1981" s="8" t="e">
        <v>#N/A</v>
      </c>
    </row>
    <row r="1982">
      <c r="A1982">
        <f>IFERROR(__xludf.DUMMYFUNCTION("""COMPUTED_VALUE"""),8.0)</f>
        <v>8</v>
      </c>
      <c r="B1982">
        <f>IFERROR(__xludf.DUMMYFUNCTION("""COMPUTED_VALUE"""),29135.0)</f>
        <v>29135</v>
      </c>
      <c r="C1982" t="str">
        <f>IFERROR(__xludf.DUMMYFUNCTION("""COMPUTED_VALUE"""),"ECHAVARRIA MUÑOZ, NICOLAS")</f>
        <v>ECHAVARRIA MUÑOZ, NICOLAS</v>
      </c>
      <c r="D1982" t="str">
        <f>IFERROR(__xludf.DUMMYFUNCTION("""COMPUTED_VALUE"""),"Spanish 8")</f>
        <v>Spanish 8</v>
      </c>
      <c r="E1982" s="31">
        <f>IFERROR(__xludf.DUMMYFUNCTION("""COMPUTED_VALUE"""),6.0)</f>
        <v>6</v>
      </c>
      <c r="F1982" s="8">
        <v>1.0</v>
      </c>
      <c r="G1982" s="8">
        <v>1.0</v>
      </c>
      <c r="H1982" s="8">
        <v>1.0</v>
      </c>
      <c r="I1982" s="8">
        <v>1.0</v>
      </c>
      <c r="J1982" s="8">
        <v>1.0</v>
      </c>
      <c r="K1982" s="8">
        <v>1.0</v>
      </c>
      <c r="L1982" s="8">
        <v>6.0</v>
      </c>
      <c r="M1982" s="8"/>
      <c r="N1982" s="8"/>
      <c r="O1982" s="8" t="s">
        <v>784</v>
      </c>
      <c r="P1982" s="8">
        <v>2.0</v>
      </c>
    </row>
    <row r="1983">
      <c r="A1983">
        <f>IFERROR(__xludf.DUMMYFUNCTION("""COMPUTED_VALUE"""),8.0)</f>
        <v>8</v>
      </c>
      <c r="B1983">
        <f>IFERROR(__xludf.DUMMYFUNCTION("""COMPUTED_VALUE"""),29138.0)</f>
        <v>29138</v>
      </c>
      <c r="C1983" t="str">
        <f>IFERROR(__xludf.DUMMYFUNCTION("""COMPUTED_VALUE"""),"ECHAVARRIA ROLDAN, TOMAS")</f>
        <v>ECHAVARRIA ROLDAN, TOMAS</v>
      </c>
      <c r="D1983" t="str">
        <f>IFERROR(__xludf.DUMMYFUNCTION("""COMPUTED_VALUE"""),"Spanish 8")</f>
        <v>Spanish 8</v>
      </c>
      <c r="E1983" s="31">
        <f>IFERROR(__xludf.DUMMYFUNCTION("""COMPUTED_VALUE"""),2.0)</f>
        <v>2</v>
      </c>
      <c r="F1983" s="8">
        <v>1.0</v>
      </c>
      <c r="G1983" s="8">
        <v>1.0</v>
      </c>
      <c r="H1983" s="8">
        <v>1.0</v>
      </c>
      <c r="I1983" s="8">
        <v>1.0</v>
      </c>
      <c r="J1983" s="8">
        <v>1.0</v>
      </c>
      <c r="K1983" s="8">
        <v>1.0</v>
      </c>
      <c r="L1983" s="8">
        <v>6.0</v>
      </c>
      <c r="M1983" s="8"/>
      <c r="N1983" s="8"/>
      <c r="O1983" s="8" t="s">
        <v>786</v>
      </c>
      <c r="P1983" s="8">
        <v>2.0</v>
      </c>
    </row>
    <row r="1984">
      <c r="A1984">
        <f>IFERROR(__xludf.DUMMYFUNCTION("""COMPUTED_VALUE"""),8.0)</f>
        <v>8</v>
      </c>
      <c r="B1984">
        <f>IFERROR(__xludf.DUMMYFUNCTION("""COMPUTED_VALUE"""),29036.0)</f>
        <v>29036</v>
      </c>
      <c r="C1984" t="str">
        <f>IFERROR(__xludf.DUMMYFUNCTION("""COMPUTED_VALUE"""),"ECHEVERRI ESCOBAR, RODRIGO")</f>
        <v>ECHEVERRI ESCOBAR, RODRIGO</v>
      </c>
      <c r="D1984" t="str">
        <f>IFERROR(__xludf.DUMMYFUNCTION("""COMPUTED_VALUE"""),"Spanish 8")</f>
        <v>Spanish 8</v>
      </c>
      <c r="E1984" s="31">
        <f>IFERROR(__xludf.DUMMYFUNCTION("""COMPUTED_VALUE"""),3.0)</f>
        <v>3</v>
      </c>
      <c r="F1984" s="8">
        <v>1.0</v>
      </c>
      <c r="G1984" s="8">
        <v>1.0</v>
      </c>
      <c r="H1984" s="8">
        <v>1.0</v>
      </c>
      <c r="I1984" s="8">
        <v>1.0</v>
      </c>
      <c r="J1984" s="8">
        <v>1.0</v>
      </c>
      <c r="K1984" s="8">
        <v>1.0</v>
      </c>
      <c r="L1984" s="8">
        <v>6.0</v>
      </c>
      <c r="M1984" s="8"/>
      <c r="N1984" s="8"/>
      <c r="O1984" s="8" t="s">
        <v>787</v>
      </c>
      <c r="P1984" s="8">
        <v>2.0</v>
      </c>
    </row>
    <row r="1985">
      <c r="A1985">
        <f>IFERROR(__xludf.DUMMYFUNCTION("""COMPUTED_VALUE"""),8.0)</f>
        <v>8</v>
      </c>
      <c r="B1985">
        <f>IFERROR(__xludf.DUMMYFUNCTION("""COMPUTED_VALUE"""),29037.0)</f>
        <v>29037</v>
      </c>
      <c r="C1985" t="str">
        <f>IFERROR(__xludf.DUMMYFUNCTION("""COMPUTED_VALUE"""),"ESCOBAR INFANTINO, RAQUEL")</f>
        <v>ESCOBAR INFANTINO, RAQUEL</v>
      </c>
      <c r="D1985" t="str">
        <f>IFERROR(__xludf.DUMMYFUNCTION("""COMPUTED_VALUE"""),"Spanish 8")</f>
        <v>Spanish 8</v>
      </c>
      <c r="E1985" s="31">
        <f>IFERROR(__xludf.DUMMYFUNCTION("""COMPUTED_VALUE"""),1.0)</f>
        <v>1</v>
      </c>
      <c r="F1985" s="8">
        <v>1.0</v>
      </c>
      <c r="G1985" s="8">
        <v>1.0</v>
      </c>
      <c r="H1985" s="8">
        <v>1.0</v>
      </c>
      <c r="I1985" s="8">
        <v>1.0</v>
      </c>
      <c r="J1985" s="8">
        <v>1.0</v>
      </c>
      <c r="K1985" s="8">
        <v>1.0</v>
      </c>
      <c r="L1985" s="8">
        <v>6.0</v>
      </c>
      <c r="M1985" s="8"/>
      <c r="N1985" s="8"/>
      <c r="O1985" s="8" t="s">
        <v>788</v>
      </c>
      <c r="P1985" s="8">
        <v>2.0</v>
      </c>
    </row>
    <row r="1986">
      <c r="A1986">
        <f>IFERROR(__xludf.DUMMYFUNCTION("""COMPUTED_VALUE"""),8.0)</f>
        <v>8</v>
      </c>
      <c r="B1986">
        <f>IFERROR(__xludf.DUMMYFUNCTION("""COMPUTED_VALUE"""),29038.0)</f>
        <v>29038</v>
      </c>
      <c r="C1986" t="str">
        <f>IFERROR(__xludf.DUMMYFUNCTION("""COMPUTED_VALUE"""),"ESCOBAR MADRID, MAXIMILIANO")</f>
        <v>ESCOBAR MADRID, MAXIMILIANO</v>
      </c>
      <c r="D1986" t="str">
        <f>IFERROR(__xludf.DUMMYFUNCTION("""COMPUTED_VALUE"""),"Spanish 8")</f>
        <v>Spanish 8</v>
      </c>
      <c r="E1986" s="31">
        <f>IFERROR(__xludf.DUMMYFUNCTION("""COMPUTED_VALUE"""),3.0)</f>
        <v>3</v>
      </c>
      <c r="F1986" s="8">
        <v>1.0</v>
      </c>
      <c r="G1986" s="8">
        <v>1.0</v>
      </c>
      <c r="H1986" s="8">
        <v>1.0</v>
      </c>
      <c r="I1986" s="8">
        <v>1.0</v>
      </c>
      <c r="J1986" s="8">
        <v>1.0</v>
      </c>
      <c r="K1986" s="8">
        <v>1.0</v>
      </c>
      <c r="L1986" s="8">
        <v>6.0</v>
      </c>
      <c r="M1986" s="8"/>
      <c r="N1986" s="8"/>
      <c r="O1986" s="8" t="s">
        <v>787</v>
      </c>
      <c r="P1986" s="8">
        <v>2.0</v>
      </c>
    </row>
    <row r="1987">
      <c r="A1987">
        <f>IFERROR(__xludf.DUMMYFUNCTION("""COMPUTED_VALUE"""),8.0)</f>
        <v>8</v>
      </c>
      <c r="B1987">
        <f>IFERROR(__xludf.DUMMYFUNCTION("""COMPUTED_VALUE"""),29039.0)</f>
        <v>29039</v>
      </c>
      <c r="C1987" t="str">
        <f>IFERROR(__xludf.DUMMYFUNCTION("""COMPUTED_VALUE"""),"ESPINOSA ABAD, GREGORIO")</f>
        <v>ESPINOSA ABAD, GREGORIO</v>
      </c>
      <c r="D1987" t="str">
        <f>IFERROR(__xludf.DUMMYFUNCTION("""COMPUTED_VALUE"""),"Spanish 8")</f>
        <v>Spanish 8</v>
      </c>
      <c r="E1987" s="31">
        <f>IFERROR(__xludf.DUMMYFUNCTION("""COMPUTED_VALUE"""),3.0)</f>
        <v>3</v>
      </c>
      <c r="F1987" s="8">
        <v>1.0</v>
      </c>
      <c r="G1987" s="8">
        <v>1.0</v>
      </c>
      <c r="H1987" s="8">
        <v>1.0</v>
      </c>
      <c r="I1987" s="8">
        <v>1.0</v>
      </c>
      <c r="J1987" s="8">
        <v>1.0</v>
      </c>
      <c r="K1987" s="8">
        <v>1.0</v>
      </c>
      <c r="L1987" s="8">
        <v>6.0</v>
      </c>
      <c r="M1987" s="8"/>
      <c r="N1987" s="8"/>
      <c r="O1987" s="8" t="s">
        <v>787</v>
      </c>
      <c r="P1987" s="8">
        <v>2.0</v>
      </c>
    </row>
    <row r="1988">
      <c r="A1988">
        <f>IFERROR(__xludf.DUMMYFUNCTION("""COMPUTED_VALUE"""),8.0)</f>
        <v>8</v>
      </c>
      <c r="B1988">
        <f>IFERROR(__xludf.DUMMYFUNCTION("""COMPUTED_VALUE"""),29040.0)</f>
        <v>29040</v>
      </c>
      <c r="C1988" t="str">
        <f>IFERROR(__xludf.DUMMYFUNCTION("""COMPUTED_VALUE"""),"ESTRADA ZAPATA, MARTIN")</f>
        <v>ESTRADA ZAPATA, MARTIN</v>
      </c>
      <c r="D1988" t="str">
        <f>IFERROR(__xludf.DUMMYFUNCTION("""COMPUTED_VALUE"""),"Spanish 8")</f>
        <v>Spanish 8</v>
      </c>
      <c r="E1988" s="31">
        <f>IFERROR(__xludf.DUMMYFUNCTION("""COMPUTED_VALUE"""),3.0)</f>
        <v>3</v>
      </c>
      <c r="F1988" s="8">
        <v>1.0</v>
      </c>
      <c r="G1988" s="8">
        <v>1.0</v>
      </c>
      <c r="H1988" s="8">
        <v>1.0</v>
      </c>
      <c r="I1988" s="8">
        <v>1.0</v>
      </c>
      <c r="J1988" s="8">
        <v>1.0</v>
      </c>
      <c r="K1988" s="8">
        <v>1.0</v>
      </c>
      <c r="L1988" s="8">
        <v>6.0</v>
      </c>
      <c r="M1988" s="8"/>
      <c r="N1988" s="8"/>
      <c r="O1988" s="8" t="s">
        <v>787</v>
      </c>
      <c r="P1988" s="8">
        <v>2.0</v>
      </c>
    </row>
    <row r="1989">
      <c r="A1989">
        <f>IFERROR(__xludf.DUMMYFUNCTION("""COMPUTED_VALUE"""),8.0)</f>
        <v>8</v>
      </c>
      <c r="B1989">
        <f>IFERROR(__xludf.DUMMYFUNCTION("""COMPUTED_VALUE"""),29041.0)</f>
        <v>29041</v>
      </c>
      <c r="C1989" t="str">
        <f>IFERROR(__xludf.DUMMYFUNCTION("""COMPUTED_VALUE"""),"FAJARDO VILLA, LUCIANA")</f>
        <v>FAJARDO VILLA, LUCIANA</v>
      </c>
      <c r="D1989" t="str">
        <f>IFERROR(__xludf.DUMMYFUNCTION("""COMPUTED_VALUE"""),"Spanish 8")</f>
        <v>Spanish 8</v>
      </c>
      <c r="E1989" s="31">
        <f>IFERROR(__xludf.DUMMYFUNCTION("""COMPUTED_VALUE"""),3.0)</f>
        <v>3</v>
      </c>
      <c r="F1989" s="8">
        <v>1.0</v>
      </c>
      <c r="G1989" s="8">
        <v>1.0</v>
      </c>
      <c r="H1989" s="8">
        <v>1.0</v>
      </c>
      <c r="I1989" s="8">
        <v>1.0</v>
      </c>
      <c r="J1989" s="8">
        <v>1.0</v>
      </c>
      <c r="K1989" s="8">
        <v>1.0</v>
      </c>
      <c r="L1989" s="8">
        <v>6.0</v>
      </c>
      <c r="M1989" s="8"/>
      <c r="N1989" s="8"/>
      <c r="O1989" s="8" t="s">
        <v>787</v>
      </c>
      <c r="P1989" s="8">
        <v>2.0</v>
      </c>
    </row>
    <row r="1990">
      <c r="A1990">
        <f>IFERROR(__xludf.DUMMYFUNCTION("""COMPUTED_VALUE"""),8.0)</f>
        <v>8</v>
      </c>
      <c r="B1990">
        <f>IFERROR(__xludf.DUMMYFUNCTION("""COMPUTED_VALUE"""),29155.0)</f>
        <v>29155</v>
      </c>
      <c r="C1990" t="str">
        <f>IFERROR(__xludf.DUMMYFUNCTION("""COMPUTED_VALUE"""),"FERNANDEZ CALDERON, HANNA")</f>
        <v>FERNANDEZ CALDERON, HANNA</v>
      </c>
      <c r="D1990" t="str">
        <f>IFERROR(__xludf.DUMMYFUNCTION("""COMPUTED_VALUE"""),"Spanish 8")</f>
        <v>Spanish 8</v>
      </c>
      <c r="E1990" s="31">
        <f>IFERROR(__xludf.DUMMYFUNCTION("""COMPUTED_VALUE"""),4.0)</f>
        <v>4</v>
      </c>
      <c r="F1990" s="8">
        <v>1.0</v>
      </c>
      <c r="G1990" s="8">
        <v>1.0</v>
      </c>
      <c r="H1990" s="8">
        <v>1.0</v>
      </c>
      <c r="I1990" s="8">
        <v>1.0</v>
      </c>
      <c r="J1990" s="8">
        <v>1.0</v>
      </c>
      <c r="K1990" s="8">
        <v>1.0</v>
      </c>
      <c r="L1990" s="8">
        <v>6.0</v>
      </c>
      <c r="M1990" s="8"/>
      <c r="N1990" s="8"/>
      <c r="O1990" s="8" t="s">
        <v>785</v>
      </c>
      <c r="P1990" s="8">
        <v>2.0</v>
      </c>
    </row>
    <row r="1991">
      <c r="A1991">
        <f>IFERROR(__xludf.DUMMYFUNCTION("""COMPUTED_VALUE"""),8.0)</f>
        <v>8</v>
      </c>
      <c r="B1991">
        <f>IFERROR(__xludf.DUMMYFUNCTION("""COMPUTED_VALUE"""),29156.0)</f>
        <v>29156</v>
      </c>
      <c r="C1991" t="str">
        <f>IFERROR(__xludf.DUMMYFUNCTION("""COMPUTED_VALUE"""),"FERNANDEZ CALDERON, TAMARA")</f>
        <v>FERNANDEZ CALDERON, TAMARA</v>
      </c>
      <c r="D1991" t="str">
        <f>IFERROR(__xludf.DUMMYFUNCTION("""COMPUTED_VALUE"""),"Spanish 8")</f>
        <v>Spanish 8</v>
      </c>
      <c r="E1991" s="31">
        <f>IFERROR(__xludf.DUMMYFUNCTION("""COMPUTED_VALUE"""),3.0)</f>
        <v>3</v>
      </c>
      <c r="F1991" s="8">
        <v>1.0</v>
      </c>
      <c r="G1991" s="8">
        <v>1.0</v>
      </c>
      <c r="H1991" s="8">
        <v>1.0</v>
      </c>
      <c r="I1991" s="8">
        <v>1.0</v>
      </c>
      <c r="J1991" s="8">
        <v>1.0</v>
      </c>
      <c r="K1991" s="8">
        <v>1.0</v>
      </c>
      <c r="L1991" s="8">
        <v>6.0</v>
      </c>
      <c r="M1991" s="8"/>
      <c r="N1991" s="8"/>
      <c r="O1991" s="8" t="s">
        <v>787</v>
      </c>
      <c r="P1991" s="8">
        <v>2.0</v>
      </c>
    </row>
    <row r="1992">
      <c r="A1992">
        <f>IFERROR(__xludf.DUMMYFUNCTION("""COMPUTED_VALUE"""),8.0)</f>
        <v>8</v>
      </c>
      <c r="B1992">
        <f>IFERROR(__xludf.DUMMYFUNCTION("""COMPUTED_VALUE"""),28032.0)</f>
        <v>28032</v>
      </c>
      <c r="C1992" t="str">
        <f>IFERROR(__xludf.DUMMYFUNCTION("""COMPUTED_VALUE"""),"GALLON TOBON, GERONIMO")</f>
        <v>GALLON TOBON, GERONIMO</v>
      </c>
      <c r="D1992" t="str">
        <f>IFERROR(__xludf.DUMMYFUNCTION("""COMPUTED_VALUE"""),"Spanish 8")</f>
        <v>Spanish 8</v>
      </c>
      <c r="E1992" s="31">
        <f>IFERROR(__xludf.DUMMYFUNCTION("""COMPUTED_VALUE"""),2.0)</f>
        <v>2</v>
      </c>
      <c r="F1992" s="8">
        <v>1.0</v>
      </c>
      <c r="G1992" s="8">
        <v>1.0</v>
      </c>
      <c r="H1992" s="8">
        <v>1.0</v>
      </c>
      <c r="I1992" s="8">
        <v>1.0</v>
      </c>
      <c r="J1992" s="8">
        <v>1.0</v>
      </c>
      <c r="K1992" s="8">
        <v>1.0</v>
      </c>
      <c r="L1992" s="8">
        <v>6.0</v>
      </c>
      <c r="M1992" s="8"/>
      <c r="N1992" s="8"/>
      <c r="O1992" s="8" t="s">
        <v>786</v>
      </c>
      <c r="P1992" s="8">
        <v>2.0</v>
      </c>
    </row>
    <row r="1993">
      <c r="A1993">
        <f>IFERROR(__xludf.DUMMYFUNCTION("""COMPUTED_VALUE"""),8.0)</f>
        <v>8</v>
      </c>
      <c r="B1993">
        <f>IFERROR(__xludf.DUMMYFUNCTION("""COMPUTED_VALUE"""),29042.0)</f>
        <v>29042</v>
      </c>
      <c r="C1993" t="str">
        <f>IFERROR(__xludf.DUMMYFUNCTION("""COMPUTED_VALUE"""),"GOMEZ MIRA, GREGORIO")</f>
        <v>GOMEZ MIRA, GREGORIO</v>
      </c>
      <c r="D1993" t="str">
        <f>IFERROR(__xludf.DUMMYFUNCTION("""COMPUTED_VALUE"""),"Spanish 8")</f>
        <v>Spanish 8</v>
      </c>
      <c r="E1993" s="31">
        <f>IFERROR(__xludf.DUMMYFUNCTION("""COMPUTED_VALUE"""),2.0)</f>
        <v>2</v>
      </c>
      <c r="F1993" s="8">
        <v>1.0</v>
      </c>
      <c r="G1993" s="8">
        <v>1.0</v>
      </c>
      <c r="H1993" s="8">
        <v>1.0</v>
      </c>
      <c r="I1993" s="8">
        <v>1.0</v>
      </c>
      <c r="J1993" s="8">
        <v>1.0</v>
      </c>
      <c r="K1993" s="8">
        <v>1.0</v>
      </c>
      <c r="L1993" s="8">
        <v>6.0</v>
      </c>
      <c r="M1993" s="8"/>
      <c r="N1993" s="8"/>
      <c r="O1993" s="8" t="s">
        <v>786</v>
      </c>
      <c r="P1993" s="8">
        <v>2.0</v>
      </c>
    </row>
    <row r="1994">
      <c r="A1994">
        <f>IFERROR(__xludf.DUMMYFUNCTION("""COMPUTED_VALUE"""),8.0)</f>
        <v>8</v>
      </c>
      <c r="B1994">
        <f>IFERROR(__xludf.DUMMYFUNCTION("""COMPUTED_VALUE"""),29043.0)</f>
        <v>29043</v>
      </c>
      <c r="C1994" t="str">
        <f>IFERROR(__xludf.DUMMYFUNCTION("""COMPUTED_VALUE"""),"GOMEZ PASCHKE, VALERIA")</f>
        <v>GOMEZ PASCHKE, VALERIA</v>
      </c>
      <c r="D1994" t="str">
        <f>IFERROR(__xludf.DUMMYFUNCTION("""COMPUTED_VALUE"""),"Spanish 8")</f>
        <v>Spanish 8</v>
      </c>
      <c r="E1994" s="31">
        <f>IFERROR(__xludf.DUMMYFUNCTION("""COMPUTED_VALUE"""),6.0)</f>
        <v>6</v>
      </c>
      <c r="F1994" s="8">
        <v>1.0</v>
      </c>
      <c r="G1994" s="8">
        <v>1.0</v>
      </c>
      <c r="H1994" s="8">
        <v>1.0</v>
      </c>
      <c r="I1994" s="8">
        <v>1.0</v>
      </c>
      <c r="J1994" s="8">
        <v>1.0</v>
      </c>
      <c r="K1994" s="8">
        <v>1.0</v>
      </c>
      <c r="L1994" s="8">
        <v>6.0</v>
      </c>
      <c r="M1994" s="8"/>
      <c r="N1994" s="8"/>
      <c r="O1994" s="8" t="s">
        <v>784</v>
      </c>
      <c r="P1994" s="8">
        <v>2.0</v>
      </c>
    </row>
    <row r="1995">
      <c r="A1995">
        <f>IFERROR(__xludf.DUMMYFUNCTION("""COMPUTED_VALUE"""),8.0)</f>
        <v>8</v>
      </c>
      <c r="B1995">
        <f>IFERROR(__xludf.DUMMYFUNCTION("""COMPUTED_VALUE"""),29045.0)</f>
        <v>29045</v>
      </c>
      <c r="C1995" t="str">
        <f>IFERROR(__xludf.DUMMYFUNCTION("""COMPUTED_VALUE"""),"GOMEZ ZULUAGA, JUAN JOSE")</f>
        <v>GOMEZ ZULUAGA, JUAN JOSE</v>
      </c>
      <c r="D1995" t="str">
        <f>IFERROR(__xludf.DUMMYFUNCTION("""COMPUTED_VALUE"""),"Spanish 8")</f>
        <v>Spanish 8</v>
      </c>
      <c r="E1995" s="31">
        <f>IFERROR(__xludf.DUMMYFUNCTION("""COMPUTED_VALUE"""),1.0)</f>
        <v>1</v>
      </c>
      <c r="F1995" s="8">
        <v>1.0</v>
      </c>
      <c r="G1995" s="8">
        <v>1.0</v>
      </c>
      <c r="H1995" s="8">
        <v>1.0</v>
      </c>
      <c r="I1995" s="8">
        <v>1.0</v>
      </c>
      <c r="J1995" s="8">
        <v>1.0</v>
      </c>
      <c r="K1995" s="8">
        <v>1.0</v>
      </c>
      <c r="L1995" s="8">
        <v>6.0</v>
      </c>
      <c r="M1995" s="8"/>
      <c r="N1995" s="8"/>
      <c r="O1995" s="8" t="s">
        <v>788</v>
      </c>
      <c r="P1995" s="8">
        <v>2.0</v>
      </c>
    </row>
    <row r="1996">
      <c r="A1996">
        <f>IFERROR(__xludf.DUMMYFUNCTION("""COMPUTED_VALUE"""),8.0)</f>
        <v>8</v>
      </c>
      <c r="B1996">
        <f>IFERROR(__xludf.DUMMYFUNCTION("""COMPUTED_VALUE"""),29046.0)</f>
        <v>29046</v>
      </c>
      <c r="C1996" t="str">
        <f>IFERROR(__xludf.DUMMYFUNCTION("""COMPUTED_VALUE"""),"GONZALEZ LOPEZ, SAMUEL")</f>
        <v>GONZALEZ LOPEZ, SAMUEL</v>
      </c>
      <c r="D1996" t="str">
        <f>IFERROR(__xludf.DUMMYFUNCTION("""COMPUTED_VALUE"""),"Spanish 8A")</f>
        <v>Spanish 8A</v>
      </c>
      <c r="E1996" s="31">
        <f>IFERROR(__xludf.DUMMYFUNCTION("""COMPUTED_VALUE"""),2.0)</f>
        <v>2</v>
      </c>
      <c r="F1996" s="8">
        <v>1.0</v>
      </c>
      <c r="G1996" s="8">
        <v>1.0</v>
      </c>
      <c r="H1996" s="8">
        <v>1.0</v>
      </c>
      <c r="I1996" s="8">
        <v>1.0</v>
      </c>
      <c r="J1996" s="8">
        <v>1.0</v>
      </c>
      <c r="K1996" s="8">
        <v>1.0</v>
      </c>
      <c r="L1996" s="8">
        <v>6.0</v>
      </c>
      <c r="M1996" s="8"/>
      <c r="N1996" s="8"/>
      <c r="O1996" s="8" t="s">
        <v>789</v>
      </c>
      <c r="P1996" s="8" t="e">
        <v>#N/A</v>
      </c>
    </row>
    <row r="1997">
      <c r="A1997">
        <f>IFERROR(__xludf.DUMMYFUNCTION("""COMPUTED_VALUE"""),8.0)</f>
        <v>8</v>
      </c>
      <c r="B1997">
        <f>IFERROR(__xludf.DUMMYFUNCTION("""COMPUTED_VALUE"""),29048.0)</f>
        <v>29048</v>
      </c>
      <c r="C1997" t="str">
        <f>IFERROR(__xludf.DUMMYFUNCTION("""COMPUTED_VALUE"""),"HENAO RESTREPO, ANTONIA")</f>
        <v>HENAO RESTREPO, ANTONIA</v>
      </c>
      <c r="D1997" t="str">
        <f>IFERROR(__xludf.DUMMYFUNCTION("""COMPUTED_VALUE"""),"Spanish 8")</f>
        <v>Spanish 8</v>
      </c>
      <c r="E1997" s="31">
        <f>IFERROR(__xludf.DUMMYFUNCTION("""COMPUTED_VALUE"""),1.0)</f>
        <v>1</v>
      </c>
      <c r="F1997" s="8">
        <v>1.0</v>
      </c>
      <c r="G1997" s="8">
        <v>1.0</v>
      </c>
      <c r="H1997" s="8">
        <v>1.0</v>
      </c>
      <c r="I1997" s="8">
        <v>1.0</v>
      </c>
      <c r="J1997" s="8">
        <v>1.0</v>
      </c>
      <c r="K1997" s="8">
        <v>1.0</v>
      </c>
      <c r="L1997" s="8">
        <v>6.0</v>
      </c>
      <c r="M1997" s="8"/>
      <c r="N1997" s="8"/>
      <c r="O1997" s="8" t="s">
        <v>788</v>
      </c>
      <c r="P1997" s="8">
        <v>2.0</v>
      </c>
    </row>
    <row r="1998">
      <c r="A1998">
        <f>IFERROR(__xludf.DUMMYFUNCTION("""COMPUTED_VALUE"""),8.0)</f>
        <v>8</v>
      </c>
      <c r="B1998">
        <f>IFERROR(__xludf.DUMMYFUNCTION("""COMPUTED_VALUE"""),29049.0)</f>
        <v>29049</v>
      </c>
      <c r="C1998" t="str">
        <f>IFERROR(__xludf.DUMMYFUNCTION("""COMPUTED_VALUE"""),"HINESTROSA SIERRA, MIGUEL")</f>
        <v>HINESTROSA SIERRA, MIGUEL</v>
      </c>
      <c r="D1998" t="str">
        <f>IFERROR(__xludf.DUMMYFUNCTION("""COMPUTED_VALUE"""),"Spanish 8")</f>
        <v>Spanish 8</v>
      </c>
      <c r="E1998" s="31">
        <f>IFERROR(__xludf.DUMMYFUNCTION("""COMPUTED_VALUE"""),3.0)</f>
        <v>3</v>
      </c>
      <c r="F1998" s="8">
        <v>1.0</v>
      </c>
      <c r="G1998" s="8">
        <v>1.0</v>
      </c>
      <c r="H1998" s="8">
        <v>1.0</v>
      </c>
      <c r="I1998" s="8">
        <v>1.0</v>
      </c>
      <c r="J1998" s="8">
        <v>1.0</v>
      </c>
      <c r="K1998" s="8">
        <v>1.0</v>
      </c>
      <c r="L1998" s="8">
        <v>6.0</v>
      </c>
      <c r="M1998" s="8"/>
      <c r="N1998" s="8"/>
      <c r="O1998" s="8" t="s">
        <v>787</v>
      </c>
      <c r="P1998" s="8">
        <v>2.0</v>
      </c>
    </row>
    <row r="1999">
      <c r="A1999">
        <f>IFERROR(__xludf.DUMMYFUNCTION("""COMPUTED_VALUE"""),8.0)</f>
        <v>8</v>
      </c>
      <c r="B1999">
        <f>IFERROR(__xludf.DUMMYFUNCTION("""COMPUTED_VALUE"""),29050.0)</f>
        <v>29050</v>
      </c>
      <c r="C1999" t="str">
        <f>IFERROR(__xludf.DUMMYFUNCTION("""COMPUTED_VALUE"""),"HINESTROSA SIERRA, PEDRO")</f>
        <v>HINESTROSA SIERRA, PEDRO</v>
      </c>
      <c r="D1999" t="str">
        <f>IFERROR(__xludf.DUMMYFUNCTION("""COMPUTED_VALUE"""),"Spanish 8")</f>
        <v>Spanish 8</v>
      </c>
      <c r="E1999" s="31">
        <f>IFERROR(__xludf.DUMMYFUNCTION("""COMPUTED_VALUE"""),4.0)</f>
        <v>4</v>
      </c>
      <c r="F1999" s="8">
        <v>1.0</v>
      </c>
      <c r="G1999" s="8">
        <v>1.0</v>
      </c>
      <c r="H1999" s="8">
        <v>1.0</v>
      </c>
      <c r="I1999" s="8">
        <v>1.0</v>
      </c>
      <c r="J1999" s="8">
        <v>1.0</v>
      </c>
      <c r="K1999" s="8">
        <v>1.0</v>
      </c>
      <c r="L1999" s="8">
        <v>6.0</v>
      </c>
      <c r="M1999" s="8"/>
      <c r="N1999" s="8"/>
      <c r="O1999" s="8" t="s">
        <v>785</v>
      </c>
      <c r="P1999" s="8">
        <v>2.0</v>
      </c>
    </row>
    <row r="2000">
      <c r="A2000">
        <f>IFERROR(__xludf.DUMMYFUNCTION("""COMPUTED_VALUE"""),8.0)</f>
        <v>8</v>
      </c>
      <c r="B2000">
        <f>IFERROR(__xludf.DUMMYFUNCTION("""COMPUTED_VALUE"""),28046.0)</f>
        <v>28046</v>
      </c>
      <c r="C2000" t="str">
        <f>IFERROR(__xludf.DUMMYFUNCTION("""COMPUTED_VALUE"""),"HOYOS SARAVIA, TOMAS")</f>
        <v>HOYOS SARAVIA, TOMAS</v>
      </c>
      <c r="D2000" t="str">
        <f>IFERROR(__xludf.DUMMYFUNCTION("""COMPUTED_VALUE"""),"Spanish 8")</f>
        <v>Spanish 8</v>
      </c>
      <c r="E2000" s="31">
        <f>IFERROR(__xludf.DUMMYFUNCTION("""COMPUTED_VALUE"""),4.0)</f>
        <v>4</v>
      </c>
      <c r="F2000" s="8">
        <v>1.0</v>
      </c>
      <c r="G2000" s="8">
        <v>1.0</v>
      </c>
      <c r="H2000" s="8">
        <v>1.0</v>
      </c>
      <c r="I2000" s="8">
        <v>1.0</v>
      </c>
      <c r="J2000" s="8">
        <v>1.0</v>
      </c>
      <c r="K2000" s="8">
        <v>1.0</v>
      </c>
      <c r="L2000" s="8">
        <v>6.0</v>
      </c>
      <c r="M2000" s="8"/>
      <c r="N2000" s="8"/>
      <c r="O2000" s="8" t="s">
        <v>785</v>
      </c>
      <c r="P2000" s="8">
        <v>2.0</v>
      </c>
    </row>
    <row r="2001">
      <c r="A2001">
        <f>IFERROR(__xludf.DUMMYFUNCTION("""COMPUTED_VALUE"""),8.0)</f>
        <v>8</v>
      </c>
      <c r="B2001">
        <f>IFERROR(__xludf.DUMMYFUNCTION("""COMPUTED_VALUE"""),29052.0)</f>
        <v>29052</v>
      </c>
      <c r="C2001" t="str">
        <f>IFERROR(__xludf.DUMMYFUNCTION("""COMPUTED_VALUE"""),"HURTADO ARISTIZABAL, CAMILA")</f>
        <v>HURTADO ARISTIZABAL, CAMILA</v>
      </c>
      <c r="D2001" t="str">
        <f>IFERROR(__xludf.DUMMYFUNCTION("""COMPUTED_VALUE"""),"Spanish 8")</f>
        <v>Spanish 8</v>
      </c>
      <c r="E2001" s="31">
        <f>IFERROR(__xludf.DUMMYFUNCTION("""COMPUTED_VALUE"""),2.0)</f>
        <v>2</v>
      </c>
      <c r="F2001" s="8">
        <v>1.0</v>
      </c>
      <c r="G2001" s="8">
        <v>1.0</v>
      </c>
      <c r="H2001" s="8">
        <v>1.0</v>
      </c>
      <c r="I2001" s="8">
        <v>1.0</v>
      </c>
      <c r="J2001" s="8">
        <v>1.0</v>
      </c>
      <c r="K2001" s="8">
        <v>1.0</v>
      </c>
      <c r="L2001" s="8">
        <v>6.0</v>
      </c>
      <c r="M2001" s="8"/>
      <c r="N2001" s="8"/>
      <c r="O2001" s="8" t="s">
        <v>786</v>
      </c>
      <c r="P2001" s="8">
        <v>2.0</v>
      </c>
    </row>
    <row r="2002">
      <c r="A2002">
        <f>IFERROR(__xludf.DUMMYFUNCTION("""COMPUTED_VALUE"""),8.0)</f>
        <v>8</v>
      </c>
      <c r="B2002">
        <f>IFERROR(__xludf.DUMMYFUNCTION("""COMPUTED_VALUE"""),29053.0)</f>
        <v>29053</v>
      </c>
      <c r="C2002" t="str">
        <f>IFERROR(__xludf.DUMMYFUNCTION("""COMPUTED_VALUE"""),"HURTADO FAJARDO, JUANITA")</f>
        <v>HURTADO FAJARDO, JUANITA</v>
      </c>
      <c r="D2002" t="str">
        <f>IFERROR(__xludf.DUMMYFUNCTION("""COMPUTED_VALUE"""),"Spanish 8")</f>
        <v>Spanish 8</v>
      </c>
      <c r="E2002" s="31">
        <f>IFERROR(__xludf.DUMMYFUNCTION("""COMPUTED_VALUE"""),6.0)</f>
        <v>6</v>
      </c>
      <c r="F2002" s="8">
        <v>1.0</v>
      </c>
      <c r="G2002" s="8">
        <v>1.0</v>
      </c>
      <c r="H2002" s="8">
        <v>1.0</v>
      </c>
      <c r="I2002" s="8">
        <v>1.0</v>
      </c>
      <c r="J2002" s="8">
        <v>1.0</v>
      </c>
      <c r="K2002" s="8">
        <v>1.0</v>
      </c>
      <c r="L2002" s="8">
        <v>6.0</v>
      </c>
      <c r="M2002" s="8"/>
      <c r="N2002" s="8"/>
      <c r="O2002" s="8" t="s">
        <v>784</v>
      </c>
      <c r="P2002" s="8">
        <v>2.0</v>
      </c>
    </row>
    <row r="2003">
      <c r="A2003">
        <f>IFERROR(__xludf.DUMMYFUNCTION("""COMPUTED_VALUE"""),8.0)</f>
        <v>8</v>
      </c>
      <c r="B2003">
        <f>IFERROR(__xludf.DUMMYFUNCTION("""COMPUTED_VALUE"""),29056.0)</f>
        <v>29056</v>
      </c>
      <c r="C2003" t="str">
        <f>IFERROR(__xludf.DUMMYFUNCTION("""COMPUTED_VALUE"""),"JAILLIER PINZON, MAXIMILIANO")</f>
        <v>JAILLIER PINZON, MAXIMILIANO</v>
      </c>
      <c r="D2003" t="str">
        <f>IFERROR(__xludf.DUMMYFUNCTION("""COMPUTED_VALUE"""),"Spanish 8")</f>
        <v>Spanish 8</v>
      </c>
      <c r="E2003" s="31">
        <f>IFERROR(__xludf.DUMMYFUNCTION("""COMPUTED_VALUE"""),2.0)</f>
        <v>2</v>
      </c>
      <c r="F2003" s="8">
        <v>1.0</v>
      </c>
      <c r="G2003" s="8">
        <v>1.0</v>
      </c>
      <c r="H2003" s="8">
        <v>1.0</v>
      </c>
      <c r="I2003" s="8">
        <v>1.0</v>
      </c>
      <c r="J2003" s="8">
        <v>1.0</v>
      </c>
      <c r="K2003" s="8">
        <v>1.0</v>
      </c>
      <c r="L2003" s="8">
        <v>6.0</v>
      </c>
      <c r="M2003" s="8"/>
      <c r="N2003" s="8"/>
      <c r="O2003" s="8" t="s">
        <v>786</v>
      </c>
      <c r="P2003" s="8">
        <v>2.0</v>
      </c>
    </row>
    <row r="2004">
      <c r="A2004">
        <f>IFERROR(__xludf.DUMMYFUNCTION("""COMPUTED_VALUE"""),8.0)</f>
        <v>8</v>
      </c>
      <c r="B2004">
        <f>IFERROR(__xludf.DUMMYFUNCTION("""COMPUTED_VALUE"""),29057.0)</f>
        <v>29057</v>
      </c>
      <c r="C2004" t="str">
        <f>IFERROR(__xludf.DUMMYFUNCTION("""COMPUTED_VALUE"""),"JALLER TRUJILLO, KAMEL")</f>
        <v>JALLER TRUJILLO, KAMEL</v>
      </c>
      <c r="D2004" t="str">
        <f>IFERROR(__xludf.DUMMYFUNCTION("""COMPUTED_VALUE"""),"Spanish 8")</f>
        <v>Spanish 8</v>
      </c>
      <c r="E2004" s="31">
        <f>IFERROR(__xludf.DUMMYFUNCTION("""COMPUTED_VALUE"""),1.0)</f>
        <v>1</v>
      </c>
      <c r="F2004" s="8">
        <v>1.0</v>
      </c>
      <c r="G2004" s="8">
        <v>1.0</v>
      </c>
      <c r="H2004" s="8">
        <v>1.0</v>
      </c>
      <c r="I2004" s="8">
        <v>1.0</v>
      </c>
      <c r="J2004" s="8">
        <v>1.0</v>
      </c>
      <c r="K2004" s="8">
        <v>1.0</v>
      </c>
      <c r="L2004" s="8">
        <v>6.0</v>
      </c>
      <c r="M2004" s="8"/>
      <c r="N2004" s="8"/>
      <c r="O2004" s="8" t="s">
        <v>788</v>
      </c>
      <c r="P2004" s="8">
        <v>2.0</v>
      </c>
    </row>
    <row r="2005">
      <c r="A2005">
        <f>IFERROR(__xludf.DUMMYFUNCTION("""COMPUTED_VALUE"""),8.0)</f>
        <v>8</v>
      </c>
      <c r="B2005">
        <f>IFERROR(__xludf.DUMMYFUNCTION("""COMPUTED_VALUE"""),29058.0)</f>
        <v>29058</v>
      </c>
      <c r="C2005" t="str">
        <f>IFERROR(__xludf.DUMMYFUNCTION("""COMPUTED_VALUE"""),"JARAMILLO DONADO, AMELIA")</f>
        <v>JARAMILLO DONADO, AMELIA</v>
      </c>
      <c r="D2005" t="str">
        <f>IFERROR(__xludf.DUMMYFUNCTION("""COMPUTED_VALUE"""),"Spanish 8")</f>
        <v>Spanish 8</v>
      </c>
      <c r="E2005" s="31">
        <f>IFERROR(__xludf.DUMMYFUNCTION("""COMPUTED_VALUE"""),3.0)</f>
        <v>3</v>
      </c>
      <c r="F2005" s="8">
        <v>1.0</v>
      </c>
      <c r="G2005" s="8">
        <v>1.0</v>
      </c>
      <c r="H2005" s="8">
        <v>1.0</v>
      </c>
      <c r="I2005" s="8">
        <v>1.0</v>
      </c>
      <c r="J2005" s="8">
        <v>1.0</v>
      </c>
      <c r="K2005" s="8">
        <v>1.0</v>
      </c>
      <c r="L2005" s="8">
        <v>6.0</v>
      </c>
      <c r="M2005" s="8"/>
      <c r="N2005" s="8"/>
      <c r="O2005" s="8" t="s">
        <v>787</v>
      </c>
      <c r="P2005" s="8">
        <v>2.0</v>
      </c>
    </row>
    <row r="2006">
      <c r="A2006">
        <f>IFERROR(__xludf.DUMMYFUNCTION("""COMPUTED_VALUE"""),8.0)</f>
        <v>8</v>
      </c>
      <c r="B2006">
        <f>IFERROR(__xludf.DUMMYFUNCTION("""COMPUTED_VALUE"""),29059.0)</f>
        <v>29059</v>
      </c>
      <c r="C2006" t="str">
        <f>IFERROR(__xludf.DUMMYFUNCTION("""COMPUTED_VALUE"""),"JARAMILLO GONZALEZ, PASCUAL")</f>
        <v>JARAMILLO GONZALEZ, PASCUAL</v>
      </c>
      <c r="D2006" t="str">
        <f>IFERROR(__xludf.DUMMYFUNCTION("""COMPUTED_VALUE"""),"Spanish 8")</f>
        <v>Spanish 8</v>
      </c>
      <c r="E2006" s="31">
        <f>IFERROR(__xludf.DUMMYFUNCTION("""COMPUTED_VALUE"""),4.0)</f>
        <v>4</v>
      </c>
      <c r="F2006" s="8">
        <v>1.0</v>
      </c>
      <c r="G2006" s="8">
        <v>1.0</v>
      </c>
      <c r="H2006" s="8">
        <v>1.0</v>
      </c>
      <c r="I2006" s="8">
        <v>1.0</v>
      </c>
      <c r="J2006" s="8">
        <v>1.0</v>
      </c>
      <c r="K2006" s="8">
        <v>1.0</v>
      </c>
      <c r="L2006" s="8">
        <v>6.0</v>
      </c>
      <c r="M2006" s="8"/>
      <c r="N2006" s="8"/>
      <c r="O2006" s="8" t="s">
        <v>785</v>
      </c>
      <c r="P2006" s="8">
        <v>2.0</v>
      </c>
    </row>
    <row r="2007">
      <c r="A2007">
        <f>IFERROR(__xludf.DUMMYFUNCTION("""COMPUTED_VALUE"""),8.0)</f>
        <v>8</v>
      </c>
      <c r="B2007">
        <f>IFERROR(__xludf.DUMMYFUNCTION("""COMPUTED_VALUE"""),29060.0)</f>
        <v>29060</v>
      </c>
      <c r="C2007" t="str">
        <f>IFERROR(__xludf.DUMMYFUNCTION("""COMPUTED_VALUE"""),"JARAMILLO NARANJO, NICOLAS")</f>
        <v>JARAMILLO NARANJO, NICOLAS</v>
      </c>
      <c r="D2007" t="str">
        <f>IFERROR(__xludf.DUMMYFUNCTION("""COMPUTED_VALUE"""),"Spanish 8")</f>
        <v>Spanish 8</v>
      </c>
      <c r="E2007" s="31">
        <f>IFERROR(__xludf.DUMMYFUNCTION("""COMPUTED_VALUE"""),3.0)</f>
        <v>3</v>
      </c>
      <c r="F2007" s="8">
        <v>1.0</v>
      </c>
      <c r="G2007" s="8">
        <v>1.0</v>
      </c>
      <c r="H2007" s="8">
        <v>1.0</v>
      </c>
      <c r="I2007" s="8">
        <v>1.0</v>
      </c>
      <c r="J2007" s="8">
        <v>1.0</v>
      </c>
      <c r="K2007" s="8">
        <v>1.0</v>
      </c>
      <c r="L2007" s="8">
        <v>6.0</v>
      </c>
      <c r="M2007" s="8"/>
      <c r="N2007" s="8"/>
      <c r="O2007" s="8" t="s">
        <v>787</v>
      </c>
      <c r="P2007" s="8">
        <v>2.0</v>
      </c>
    </row>
    <row r="2008">
      <c r="A2008">
        <f>IFERROR(__xludf.DUMMYFUNCTION("""COMPUTED_VALUE"""),8.0)</f>
        <v>8</v>
      </c>
      <c r="B2008">
        <f>IFERROR(__xludf.DUMMYFUNCTION("""COMPUTED_VALUE"""),29061.0)</f>
        <v>29061</v>
      </c>
      <c r="C2008" t="str">
        <f>IFERROR(__xludf.DUMMYFUNCTION("""COMPUTED_VALUE"""),"JARAMILLO OSPINA, MANUEL")</f>
        <v>JARAMILLO OSPINA, MANUEL</v>
      </c>
      <c r="D2008" t="str">
        <f>IFERROR(__xludf.DUMMYFUNCTION("""COMPUTED_VALUE"""),"Spanish 8A")</f>
        <v>Spanish 8A</v>
      </c>
      <c r="E2008" s="31">
        <f>IFERROR(__xludf.DUMMYFUNCTION("""COMPUTED_VALUE"""),2.0)</f>
        <v>2</v>
      </c>
      <c r="F2008" s="8">
        <v>1.0</v>
      </c>
      <c r="G2008" s="8">
        <v>1.0</v>
      </c>
      <c r="H2008" s="8">
        <v>1.0</v>
      </c>
      <c r="I2008" s="8">
        <v>1.0</v>
      </c>
      <c r="J2008" s="8">
        <v>1.0</v>
      </c>
      <c r="K2008" s="8">
        <v>1.0</v>
      </c>
      <c r="L2008" s="8">
        <v>6.0</v>
      </c>
      <c r="M2008" s="8"/>
      <c r="N2008" s="8"/>
      <c r="O2008" s="8" t="s">
        <v>789</v>
      </c>
      <c r="P2008" s="8" t="e">
        <v>#N/A</v>
      </c>
    </row>
    <row r="2009">
      <c r="A2009">
        <f>IFERROR(__xludf.DUMMYFUNCTION("""COMPUTED_VALUE"""),8.0)</f>
        <v>8</v>
      </c>
      <c r="B2009">
        <f>IFERROR(__xludf.DUMMYFUNCTION("""COMPUTED_VALUE"""),28144.0)</f>
        <v>28144</v>
      </c>
      <c r="C2009" t="str">
        <f>IFERROR(__xludf.DUMMYFUNCTION("""COMPUTED_VALUE"""),"JIMENEZ PATIÑO, EMILIO")</f>
        <v>JIMENEZ PATIÑO, EMILIO</v>
      </c>
      <c r="D2009" t="str">
        <f>IFERROR(__xludf.DUMMYFUNCTION("""COMPUTED_VALUE"""),"Spanish 8")</f>
        <v>Spanish 8</v>
      </c>
      <c r="E2009" s="31">
        <f>IFERROR(__xludf.DUMMYFUNCTION("""COMPUTED_VALUE"""),2.0)</f>
        <v>2</v>
      </c>
      <c r="F2009" s="8">
        <v>1.0</v>
      </c>
      <c r="G2009" s="8">
        <v>1.0</v>
      </c>
      <c r="H2009" s="8">
        <v>1.0</v>
      </c>
      <c r="I2009" s="8">
        <v>1.0</v>
      </c>
      <c r="J2009" s="8">
        <v>1.0</v>
      </c>
      <c r="K2009" s="8">
        <v>1.0</v>
      </c>
      <c r="L2009" s="8">
        <v>6.0</v>
      </c>
      <c r="M2009" s="8"/>
      <c r="N2009" s="8"/>
      <c r="O2009" s="8" t="s">
        <v>786</v>
      </c>
      <c r="P2009" s="8">
        <v>2.0</v>
      </c>
    </row>
    <row r="2010">
      <c r="A2010">
        <f>IFERROR(__xludf.DUMMYFUNCTION("""COMPUTED_VALUE"""),8.0)</f>
        <v>8</v>
      </c>
      <c r="B2010">
        <f>IFERROR(__xludf.DUMMYFUNCTION("""COMPUTED_VALUE"""),29147.0)</f>
        <v>29147</v>
      </c>
      <c r="C2010" t="str">
        <f>IFERROR(__xludf.DUMMYFUNCTION("""COMPUTED_VALUE"""),"JIMENO ARISTIZABAL, ISABELLA")</f>
        <v>JIMENO ARISTIZABAL, ISABELLA</v>
      </c>
      <c r="D2010" t="str">
        <f>IFERROR(__xludf.DUMMYFUNCTION("""COMPUTED_VALUE"""),"Spanish 8")</f>
        <v>Spanish 8</v>
      </c>
      <c r="E2010" s="31">
        <f>IFERROR(__xludf.DUMMYFUNCTION("""COMPUTED_VALUE"""),3.0)</f>
        <v>3</v>
      </c>
      <c r="F2010" s="8">
        <v>1.0</v>
      </c>
      <c r="G2010" s="8">
        <v>1.0</v>
      </c>
      <c r="H2010" s="8">
        <v>1.0</v>
      </c>
      <c r="I2010" s="8">
        <v>1.0</v>
      </c>
      <c r="J2010" s="8">
        <v>1.0</v>
      </c>
      <c r="K2010" s="8">
        <v>1.0</v>
      </c>
      <c r="L2010" s="8">
        <v>6.0</v>
      </c>
      <c r="M2010" s="8"/>
      <c r="N2010" s="8"/>
      <c r="O2010" s="8" t="s">
        <v>787</v>
      </c>
      <c r="P2010" s="8">
        <v>2.0</v>
      </c>
    </row>
    <row r="2011">
      <c r="A2011">
        <f>IFERROR(__xludf.DUMMYFUNCTION("""COMPUTED_VALUE"""),8.0)</f>
        <v>8</v>
      </c>
      <c r="B2011">
        <f>IFERROR(__xludf.DUMMYFUNCTION("""COMPUTED_VALUE"""),29062.0)</f>
        <v>29062</v>
      </c>
      <c r="C2011" t="str">
        <f>IFERROR(__xludf.DUMMYFUNCTION("""COMPUTED_VALUE"""),"KIM LEE, SAE YOON LUCAS")</f>
        <v>KIM LEE, SAE YOON LUCAS</v>
      </c>
      <c r="D2011" t="str">
        <f>IFERROR(__xludf.DUMMYFUNCTION("""COMPUTED_VALUE"""),"Spanish 8")</f>
        <v>Spanish 8</v>
      </c>
      <c r="E2011" s="31">
        <f>IFERROR(__xludf.DUMMYFUNCTION("""COMPUTED_VALUE"""),1.0)</f>
        <v>1</v>
      </c>
      <c r="F2011" s="8">
        <v>1.0</v>
      </c>
      <c r="G2011" s="8">
        <v>1.0</v>
      </c>
      <c r="H2011" s="8">
        <v>1.0</v>
      </c>
      <c r="I2011" s="8">
        <v>1.0</v>
      </c>
      <c r="J2011" s="8">
        <v>1.0</v>
      </c>
      <c r="K2011" s="8">
        <v>1.0</v>
      </c>
      <c r="L2011" s="8">
        <v>6.0</v>
      </c>
      <c r="M2011" s="8"/>
      <c r="N2011" s="8"/>
      <c r="O2011" s="8" t="s">
        <v>788</v>
      </c>
      <c r="P2011" s="8">
        <v>2.0</v>
      </c>
    </row>
    <row r="2012">
      <c r="A2012">
        <f>IFERROR(__xludf.DUMMYFUNCTION("""COMPUTED_VALUE"""),8.0)</f>
        <v>8</v>
      </c>
      <c r="B2012">
        <f>IFERROR(__xludf.DUMMYFUNCTION("""COMPUTED_VALUE"""),29064.0)</f>
        <v>29064</v>
      </c>
      <c r="C2012" t="str">
        <f>IFERROR(__xludf.DUMMYFUNCTION("""COMPUTED_VALUE"""),"LONDOÑO BAQUERO, EMILIA")</f>
        <v>LONDOÑO BAQUERO, EMILIA</v>
      </c>
      <c r="D2012" t="str">
        <f>IFERROR(__xludf.DUMMYFUNCTION("""COMPUTED_VALUE"""),"Spanish 8")</f>
        <v>Spanish 8</v>
      </c>
      <c r="E2012" s="31">
        <f>IFERROR(__xludf.DUMMYFUNCTION("""COMPUTED_VALUE"""),1.0)</f>
        <v>1</v>
      </c>
      <c r="F2012" s="8">
        <v>1.0</v>
      </c>
      <c r="G2012" s="8">
        <v>1.0</v>
      </c>
      <c r="H2012" s="8">
        <v>1.0</v>
      </c>
      <c r="I2012" s="8">
        <v>1.0</v>
      </c>
      <c r="J2012" s="8">
        <v>1.0</v>
      </c>
      <c r="K2012" s="8">
        <v>1.0</v>
      </c>
      <c r="L2012" s="8">
        <v>6.0</v>
      </c>
      <c r="M2012" s="8"/>
      <c r="N2012" s="8"/>
      <c r="O2012" s="8" t="s">
        <v>788</v>
      </c>
      <c r="P2012" s="8">
        <v>2.0</v>
      </c>
    </row>
    <row r="2013">
      <c r="A2013">
        <f>IFERROR(__xludf.DUMMYFUNCTION("""COMPUTED_VALUE"""),8.0)</f>
        <v>8</v>
      </c>
      <c r="B2013">
        <f>IFERROR(__xludf.DUMMYFUNCTION("""COMPUTED_VALUE"""),29065.0)</f>
        <v>29065</v>
      </c>
      <c r="C2013" t="str">
        <f>IFERROR(__xludf.DUMMYFUNCTION("""COMPUTED_VALUE"""),"LONDOÑO CUARTAS, TOMAS")</f>
        <v>LONDOÑO CUARTAS, TOMAS</v>
      </c>
      <c r="D2013" t="str">
        <f>IFERROR(__xludf.DUMMYFUNCTION("""COMPUTED_VALUE"""),"Spanish 8")</f>
        <v>Spanish 8</v>
      </c>
      <c r="E2013" s="31">
        <f>IFERROR(__xludf.DUMMYFUNCTION("""COMPUTED_VALUE"""),6.0)</f>
        <v>6</v>
      </c>
      <c r="F2013" s="8">
        <v>1.0</v>
      </c>
      <c r="G2013" s="8">
        <v>1.0</v>
      </c>
      <c r="H2013" s="8">
        <v>1.0</v>
      </c>
      <c r="I2013" s="8">
        <v>1.0</v>
      </c>
      <c r="J2013" s="8">
        <v>1.0</v>
      </c>
      <c r="K2013" s="8">
        <v>1.0</v>
      </c>
      <c r="L2013" s="8">
        <v>6.0</v>
      </c>
      <c r="M2013" s="8"/>
      <c r="N2013" s="8"/>
      <c r="O2013" s="8" t="s">
        <v>784</v>
      </c>
      <c r="P2013" s="8">
        <v>2.0</v>
      </c>
    </row>
    <row r="2014">
      <c r="A2014">
        <f>IFERROR(__xludf.DUMMYFUNCTION("""COMPUTED_VALUE"""),8.0)</f>
        <v>8</v>
      </c>
      <c r="B2014">
        <f>IFERROR(__xludf.DUMMYFUNCTION("""COMPUTED_VALUE"""),29066.0)</f>
        <v>29066</v>
      </c>
      <c r="C2014" t="str">
        <f>IFERROR(__xludf.DUMMYFUNCTION("""COMPUTED_VALUE"""),"LONDOÑO JARAMILLO, MARTINA")</f>
        <v>LONDOÑO JARAMILLO, MARTINA</v>
      </c>
      <c r="D2014" t="str">
        <f>IFERROR(__xludf.DUMMYFUNCTION("""COMPUTED_VALUE"""),"Spanish 8")</f>
        <v>Spanish 8</v>
      </c>
      <c r="E2014" s="31">
        <f>IFERROR(__xludf.DUMMYFUNCTION("""COMPUTED_VALUE"""),6.0)</f>
        <v>6</v>
      </c>
      <c r="F2014" s="8">
        <v>1.0</v>
      </c>
      <c r="G2014" s="8">
        <v>1.0</v>
      </c>
      <c r="H2014" s="8">
        <v>1.0</v>
      </c>
      <c r="I2014" s="8">
        <v>1.0</v>
      </c>
      <c r="J2014" s="8">
        <v>1.0</v>
      </c>
      <c r="K2014" s="8">
        <v>1.0</v>
      </c>
      <c r="L2014" s="8">
        <v>6.0</v>
      </c>
      <c r="M2014" s="8"/>
      <c r="N2014" s="8"/>
      <c r="O2014" s="8" t="s">
        <v>784</v>
      </c>
      <c r="P2014" s="8">
        <v>2.0</v>
      </c>
    </row>
    <row r="2015">
      <c r="A2015">
        <f>IFERROR(__xludf.DUMMYFUNCTION("""COMPUTED_VALUE"""),8.0)</f>
        <v>8</v>
      </c>
      <c r="B2015">
        <f>IFERROR(__xludf.DUMMYFUNCTION("""COMPUTED_VALUE"""),29068.0)</f>
        <v>29068</v>
      </c>
      <c r="C2015" t="str">
        <f>IFERROR(__xludf.DUMMYFUNCTION("""COMPUTED_VALUE"""),"LOPEZ JAIMES, VICENTE")</f>
        <v>LOPEZ JAIMES, VICENTE</v>
      </c>
      <c r="D2015" t="str">
        <f>IFERROR(__xludf.DUMMYFUNCTION("""COMPUTED_VALUE"""),"Spanish 8")</f>
        <v>Spanish 8</v>
      </c>
      <c r="E2015" s="31">
        <f>IFERROR(__xludf.DUMMYFUNCTION("""COMPUTED_VALUE"""),4.0)</f>
        <v>4</v>
      </c>
      <c r="F2015" s="8">
        <v>1.0</v>
      </c>
      <c r="G2015" s="8">
        <v>1.0</v>
      </c>
      <c r="H2015" s="8">
        <v>1.0</v>
      </c>
      <c r="I2015" s="8">
        <v>1.0</v>
      </c>
      <c r="J2015" s="8">
        <v>1.0</v>
      </c>
      <c r="K2015" s="8">
        <v>1.0</v>
      </c>
      <c r="L2015" s="8">
        <v>6.0</v>
      </c>
      <c r="M2015" s="8"/>
      <c r="N2015" s="8"/>
      <c r="O2015" s="8" t="s">
        <v>785</v>
      </c>
      <c r="P2015" s="8">
        <v>2.0</v>
      </c>
    </row>
    <row r="2016">
      <c r="A2016">
        <f>IFERROR(__xludf.DUMMYFUNCTION("""COMPUTED_VALUE"""),8.0)</f>
        <v>8</v>
      </c>
      <c r="B2016">
        <f>IFERROR(__xludf.DUMMYFUNCTION("""COMPUTED_VALUE"""),29069.0)</f>
        <v>29069</v>
      </c>
      <c r="C2016" t="str">
        <f>IFERROR(__xludf.DUMMYFUNCTION("""COMPUTED_VALUE"""),"LUNA ALZATE, AMALIA")</f>
        <v>LUNA ALZATE, AMALIA</v>
      </c>
      <c r="D2016" t="str">
        <f>IFERROR(__xludf.DUMMYFUNCTION("""COMPUTED_VALUE"""),"Spanish 8")</f>
        <v>Spanish 8</v>
      </c>
      <c r="E2016" s="31">
        <f>IFERROR(__xludf.DUMMYFUNCTION("""COMPUTED_VALUE"""),4.0)</f>
        <v>4</v>
      </c>
      <c r="F2016" s="8">
        <v>1.0</v>
      </c>
      <c r="G2016" s="8">
        <v>1.0</v>
      </c>
      <c r="H2016" s="8">
        <v>1.0</v>
      </c>
      <c r="I2016" s="8">
        <v>1.0</v>
      </c>
      <c r="J2016" s="8">
        <v>1.0</v>
      </c>
      <c r="K2016" s="8">
        <v>1.0</v>
      </c>
      <c r="L2016" s="8">
        <v>6.0</v>
      </c>
      <c r="M2016" s="8"/>
      <c r="N2016" s="8"/>
      <c r="O2016" s="8" t="s">
        <v>785</v>
      </c>
      <c r="P2016" s="8">
        <v>2.0</v>
      </c>
    </row>
    <row r="2017">
      <c r="A2017">
        <f>IFERROR(__xludf.DUMMYFUNCTION("""COMPUTED_VALUE"""),8.0)</f>
        <v>8</v>
      </c>
      <c r="B2017">
        <f>IFERROR(__xludf.DUMMYFUNCTION("""COMPUTED_VALUE"""),29070.0)</f>
        <v>29070</v>
      </c>
      <c r="C2017" t="str">
        <f>IFERROR(__xludf.DUMMYFUNCTION("""COMPUTED_VALUE"""),"MANRIQUE CUESTA, ISABELLA")</f>
        <v>MANRIQUE CUESTA, ISABELLA</v>
      </c>
      <c r="D2017" t="str">
        <f>IFERROR(__xludf.DUMMYFUNCTION("""COMPUTED_VALUE"""),"Spanish 8")</f>
        <v>Spanish 8</v>
      </c>
      <c r="E2017" s="31">
        <f>IFERROR(__xludf.DUMMYFUNCTION("""COMPUTED_VALUE"""),1.0)</f>
        <v>1</v>
      </c>
      <c r="F2017" s="8">
        <v>1.0</v>
      </c>
      <c r="G2017" s="8">
        <v>1.0</v>
      </c>
      <c r="H2017" s="8">
        <v>1.0</v>
      </c>
      <c r="I2017" s="8">
        <v>1.0</v>
      </c>
      <c r="J2017" s="8">
        <v>1.0</v>
      </c>
      <c r="K2017" s="8">
        <v>1.0</v>
      </c>
      <c r="L2017" s="8">
        <v>6.0</v>
      </c>
      <c r="M2017" s="8"/>
      <c r="N2017" s="8"/>
      <c r="O2017" s="8" t="s">
        <v>788</v>
      </c>
      <c r="P2017" s="8">
        <v>2.0</v>
      </c>
    </row>
    <row r="2018">
      <c r="A2018">
        <f>IFERROR(__xludf.DUMMYFUNCTION("""COMPUTED_VALUE"""),8.0)</f>
        <v>8</v>
      </c>
      <c r="B2018">
        <f>IFERROR(__xludf.DUMMYFUNCTION("""COMPUTED_VALUE"""),29071.0)</f>
        <v>29071</v>
      </c>
      <c r="C2018" t="str">
        <f>IFERROR(__xludf.DUMMYFUNCTION("""COMPUTED_VALUE"""),"MARQUEZ BARRERA, MIRANDA")</f>
        <v>MARQUEZ BARRERA, MIRANDA</v>
      </c>
      <c r="D2018" t="str">
        <f>IFERROR(__xludf.DUMMYFUNCTION("""COMPUTED_VALUE"""),"Spanish 8")</f>
        <v>Spanish 8</v>
      </c>
      <c r="E2018" s="31">
        <f>IFERROR(__xludf.DUMMYFUNCTION("""COMPUTED_VALUE"""),6.0)</f>
        <v>6</v>
      </c>
      <c r="F2018" s="8">
        <v>1.0</v>
      </c>
      <c r="G2018" s="8">
        <v>1.0</v>
      </c>
      <c r="H2018" s="8">
        <v>1.0</v>
      </c>
      <c r="I2018" s="8">
        <v>1.0</v>
      </c>
      <c r="J2018" s="8">
        <v>1.0</v>
      </c>
      <c r="K2018" s="8">
        <v>1.0</v>
      </c>
      <c r="L2018" s="8">
        <v>6.0</v>
      </c>
      <c r="M2018" s="8"/>
      <c r="N2018" s="8"/>
      <c r="O2018" s="8" t="s">
        <v>784</v>
      </c>
      <c r="P2018" s="8">
        <v>2.0</v>
      </c>
    </row>
    <row r="2019">
      <c r="A2019">
        <f>IFERROR(__xludf.DUMMYFUNCTION("""COMPUTED_VALUE"""),8.0)</f>
        <v>8</v>
      </c>
      <c r="B2019">
        <f>IFERROR(__xludf.DUMMYFUNCTION("""COMPUTED_VALUE"""),29072.0)</f>
        <v>29072</v>
      </c>
      <c r="C2019" t="str">
        <f>IFERROR(__xludf.DUMMYFUNCTION("""COMPUTED_VALUE"""),"MARQUEZ RAHAL, PEDRO")</f>
        <v>MARQUEZ RAHAL, PEDRO</v>
      </c>
      <c r="D2019" t="str">
        <f>IFERROR(__xludf.DUMMYFUNCTION("""COMPUTED_VALUE"""),"Spanish 8")</f>
        <v>Spanish 8</v>
      </c>
      <c r="E2019" s="31">
        <f>IFERROR(__xludf.DUMMYFUNCTION("""COMPUTED_VALUE"""),6.0)</f>
        <v>6</v>
      </c>
      <c r="F2019" s="8">
        <v>1.0</v>
      </c>
      <c r="G2019" s="8">
        <v>1.0</v>
      </c>
      <c r="H2019" s="8">
        <v>1.0</v>
      </c>
      <c r="I2019" s="8">
        <v>1.0</v>
      </c>
      <c r="J2019" s="8">
        <v>1.0</v>
      </c>
      <c r="K2019" s="8">
        <v>1.0</v>
      </c>
      <c r="L2019" s="8">
        <v>6.0</v>
      </c>
      <c r="M2019" s="8"/>
      <c r="N2019" s="8"/>
      <c r="O2019" s="8" t="s">
        <v>784</v>
      </c>
      <c r="P2019" s="8">
        <v>2.0</v>
      </c>
    </row>
    <row r="2020">
      <c r="A2020">
        <f>IFERROR(__xludf.DUMMYFUNCTION("""COMPUTED_VALUE"""),8.0)</f>
        <v>8</v>
      </c>
      <c r="B2020">
        <f>IFERROR(__xludf.DUMMYFUNCTION("""COMPUTED_VALUE"""),29073.0)</f>
        <v>29073</v>
      </c>
      <c r="C2020" t="str">
        <f>IFERROR(__xludf.DUMMYFUNCTION("""COMPUTED_VALUE"""),"MARRERO MARTA, ALINA")</f>
        <v>MARRERO MARTA, ALINA</v>
      </c>
      <c r="D2020" t="str">
        <f>IFERROR(__xludf.DUMMYFUNCTION("""COMPUTED_VALUE"""),"Spanish 8")</f>
        <v>Spanish 8</v>
      </c>
      <c r="E2020" s="31">
        <f>IFERROR(__xludf.DUMMYFUNCTION("""COMPUTED_VALUE"""),2.0)</f>
        <v>2</v>
      </c>
      <c r="F2020" s="8">
        <v>1.0</v>
      </c>
      <c r="G2020" s="8">
        <v>1.0</v>
      </c>
      <c r="H2020" s="8">
        <v>1.0</v>
      </c>
      <c r="I2020" s="8">
        <v>1.0</v>
      </c>
      <c r="J2020" s="8">
        <v>1.0</v>
      </c>
      <c r="K2020" s="8">
        <v>1.0</v>
      </c>
      <c r="L2020" s="8">
        <v>6.0</v>
      </c>
      <c r="M2020" s="8"/>
      <c r="N2020" s="8"/>
      <c r="O2020" s="8" t="s">
        <v>786</v>
      </c>
      <c r="P2020" s="8">
        <v>2.0</v>
      </c>
    </row>
    <row r="2021">
      <c r="A2021">
        <f>IFERROR(__xludf.DUMMYFUNCTION("""COMPUTED_VALUE"""),8.0)</f>
        <v>8</v>
      </c>
      <c r="B2021">
        <f>IFERROR(__xludf.DUMMYFUNCTION("""COMPUTED_VALUE"""),29074.0)</f>
        <v>29074</v>
      </c>
      <c r="C2021" t="str">
        <f>IFERROR(__xludf.DUMMYFUNCTION("""COMPUTED_VALUE"""),"MEDINA JARAMILLO, ALICIA")</f>
        <v>MEDINA JARAMILLO, ALICIA</v>
      </c>
      <c r="D2021" t="str">
        <f>IFERROR(__xludf.DUMMYFUNCTION("""COMPUTED_VALUE"""),"Spanish 8")</f>
        <v>Spanish 8</v>
      </c>
      <c r="E2021" s="31">
        <f>IFERROR(__xludf.DUMMYFUNCTION("""COMPUTED_VALUE"""),6.0)</f>
        <v>6</v>
      </c>
      <c r="F2021" s="8">
        <v>1.0</v>
      </c>
      <c r="G2021" s="8">
        <v>1.0</v>
      </c>
      <c r="H2021" s="8">
        <v>1.0</v>
      </c>
      <c r="I2021" s="8">
        <v>1.0</v>
      </c>
      <c r="J2021" s="8">
        <v>1.0</v>
      </c>
      <c r="K2021" s="8">
        <v>1.0</v>
      </c>
      <c r="L2021" s="8">
        <v>6.0</v>
      </c>
      <c r="M2021" s="8"/>
      <c r="N2021" s="8"/>
      <c r="O2021" s="8" t="s">
        <v>784</v>
      </c>
      <c r="P2021" s="8">
        <v>2.0</v>
      </c>
    </row>
    <row r="2022">
      <c r="A2022">
        <f>IFERROR(__xludf.DUMMYFUNCTION("""COMPUTED_VALUE"""),8.0)</f>
        <v>8</v>
      </c>
      <c r="B2022">
        <f>IFERROR(__xludf.DUMMYFUNCTION("""COMPUTED_VALUE"""),29075.0)</f>
        <v>29075</v>
      </c>
      <c r="C2022" t="str">
        <f>IFERROR(__xludf.DUMMYFUNCTION("""COMPUTED_VALUE"""),"MEJIA BUSTAMANTE, ANTONIA")</f>
        <v>MEJIA BUSTAMANTE, ANTONIA</v>
      </c>
      <c r="D2022" t="str">
        <f>IFERROR(__xludf.DUMMYFUNCTION("""COMPUTED_VALUE"""),"Spanish 8")</f>
        <v>Spanish 8</v>
      </c>
      <c r="E2022" s="31">
        <f>IFERROR(__xludf.DUMMYFUNCTION("""COMPUTED_VALUE"""),1.0)</f>
        <v>1</v>
      </c>
      <c r="F2022" s="8">
        <v>1.0</v>
      </c>
      <c r="G2022" s="8">
        <v>1.0</v>
      </c>
      <c r="H2022" s="8">
        <v>1.0</v>
      </c>
      <c r="I2022" s="8">
        <v>1.0</v>
      </c>
      <c r="J2022" s="8">
        <v>1.0</v>
      </c>
      <c r="K2022" s="8">
        <v>1.0</v>
      </c>
      <c r="L2022" s="8">
        <v>6.0</v>
      </c>
      <c r="M2022" s="8"/>
      <c r="N2022" s="8"/>
      <c r="O2022" s="8" t="s">
        <v>788</v>
      </c>
      <c r="P2022" s="8">
        <v>2.0</v>
      </c>
    </row>
    <row r="2023">
      <c r="A2023">
        <f>IFERROR(__xludf.DUMMYFUNCTION("""COMPUTED_VALUE"""),8.0)</f>
        <v>8</v>
      </c>
      <c r="B2023">
        <f>IFERROR(__xludf.DUMMYFUNCTION("""COMPUTED_VALUE"""),29076.0)</f>
        <v>29076</v>
      </c>
      <c r="C2023" t="str">
        <f>IFERROR(__xludf.DUMMYFUNCTION("""COMPUTED_VALUE"""),"MEJIA MANTILLA, MATEO")</f>
        <v>MEJIA MANTILLA, MATEO</v>
      </c>
      <c r="D2023" t="str">
        <f>IFERROR(__xludf.DUMMYFUNCTION("""COMPUTED_VALUE"""),"Spanish 8")</f>
        <v>Spanish 8</v>
      </c>
      <c r="E2023" s="31">
        <f>IFERROR(__xludf.DUMMYFUNCTION("""COMPUTED_VALUE"""),3.0)</f>
        <v>3</v>
      </c>
      <c r="F2023" s="8">
        <v>1.0</v>
      </c>
      <c r="G2023" s="8">
        <v>1.0</v>
      </c>
      <c r="H2023" s="8">
        <v>1.0</v>
      </c>
      <c r="I2023" s="8">
        <v>1.0</v>
      </c>
      <c r="J2023" s="8">
        <v>1.0</v>
      </c>
      <c r="K2023" s="8">
        <v>1.0</v>
      </c>
      <c r="L2023" s="8">
        <v>6.0</v>
      </c>
      <c r="M2023" s="8"/>
      <c r="N2023" s="8"/>
      <c r="O2023" s="8" t="s">
        <v>787</v>
      </c>
      <c r="P2023" s="8">
        <v>2.0</v>
      </c>
    </row>
    <row r="2024">
      <c r="A2024">
        <f>IFERROR(__xludf.DUMMYFUNCTION("""COMPUTED_VALUE"""),8.0)</f>
        <v>8</v>
      </c>
      <c r="B2024">
        <f>IFERROR(__xludf.DUMMYFUNCTION("""COMPUTED_VALUE"""),29077.0)</f>
        <v>29077</v>
      </c>
      <c r="C2024" t="str">
        <f>IFERROR(__xludf.DUMMYFUNCTION("""COMPUTED_VALUE"""),"MEJIA VILLEGAS, CANDELARIA")</f>
        <v>MEJIA VILLEGAS, CANDELARIA</v>
      </c>
      <c r="D2024" t="str">
        <f>IFERROR(__xludf.DUMMYFUNCTION("""COMPUTED_VALUE"""),"Spanish 8")</f>
        <v>Spanish 8</v>
      </c>
      <c r="E2024" s="31">
        <f>IFERROR(__xludf.DUMMYFUNCTION("""COMPUTED_VALUE"""),1.0)</f>
        <v>1</v>
      </c>
      <c r="F2024" s="8">
        <v>1.0</v>
      </c>
      <c r="G2024" s="8">
        <v>1.0</v>
      </c>
      <c r="H2024" s="8">
        <v>1.0</v>
      </c>
      <c r="I2024" s="8">
        <v>1.0</v>
      </c>
      <c r="J2024" s="8">
        <v>1.0</v>
      </c>
      <c r="K2024" s="8">
        <v>1.0</v>
      </c>
      <c r="L2024" s="8">
        <v>6.0</v>
      </c>
      <c r="M2024" s="8"/>
      <c r="N2024" s="8"/>
      <c r="O2024" s="8" t="s">
        <v>788</v>
      </c>
      <c r="P2024" s="8">
        <v>2.0</v>
      </c>
    </row>
    <row r="2025">
      <c r="A2025">
        <f>IFERROR(__xludf.DUMMYFUNCTION("""COMPUTED_VALUE"""),8.0)</f>
        <v>8</v>
      </c>
      <c r="B2025">
        <f>IFERROR(__xludf.DUMMYFUNCTION("""COMPUTED_VALUE"""),29079.0)</f>
        <v>29079</v>
      </c>
      <c r="C2025" t="str">
        <f>IFERROR(__xludf.DUMMYFUNCTION("""COMPUTED_VALUE"""),"MISAS MESA, ALICIA")</f>
        <v>MISAS MESA, ALICIA</v>
      </c>
      <c r="D2025" t="str">
        <f>IFERROR(__xludf.DUMMYFUNCTION("""COMPUTED_VALUE"""),"Spanish 8")</f>
        <v>Spanish 8</v>
      </c>
      <c r="E2025" s="31">
        <f>IFERROR(__xludf.DUMMYFUNCTION("""COMPUTED_VALUE"""),1.0)</f>
        <v>1</v>
      </c>
      <c r="F2025" s="8">
        <v>1.0</v>
      </c>
      <c r="G2025" s="8">
        <v>1.0</v>
      </c>
      <c r="H2025" s="8">
        <v>1.0</v>
      </c>
      <c r="I2025" s="8">
        <v>1.0</v>
      </c>
      <c r="J2025" s="8">
        <v>1.0</v>
      </c>
      <c r="K2025" s="8">
        <v>1.0</v>
      </c>
      <c r="L2025" s="8">
        <v>6.0</v>
      </c>
      <c r="M2025" s="8"/>
      <c r="N2025" s="8"/>
      <c r="O2025" s="8" t="s">
        <v>788</v>
      </c>
      <c r="P2025" s="8">
        <v>2.0</v>
      </c>
    </row>
    <row r="2026">
      <c r="A2026">
        <f>IFERROR(__xludf.DUMMYFUNCTION("""COMPUTED_VALUE"""),8.0)</f>
        <v>8</v>
      </c>
      <c r="B2026">
        <f>IFERROR(__xludf.DUMMYFUNCTION("""COMPUTED_VALUE"""),29153.0)</f>
        <v>29153</v>
      </c>
      <c r="C2026" t="str">
        <f>IFERROR(__xludf.DUMMYFUNCTION("""COMPUTED_VALUE"""),"MISERENDINO MUÑOZ, GABRIEL")</f>
        <v>MISERENDINO MUÑOZ, GABRIEL</v>
      </c>
      <c r="D2026" t="str">
        <f>IFERROR(__xludf.DUMMYFUNCTION("""COMPUTED_VALUE"""),"Spanish 8")</f>
        <v>Spanish 8</v>
      </c>
      <c r="E2026" s="31">
        <f>IFERROR(__xludf.DUMMYFUNCTION("""COMPUTED_VALUE"""),6.0)</f>
        <v>6</v>
      </c>
      <c r="F2026" s="8">
        <v>1.0</v>
      </c>
      <c r="G2026" s="8">
        <v>1.0</v>
      </c>
      <c r="H2026" s="8">
        <v>1.0</v>
      </c>
      <c r="I2026" s="8">
        <v>1.0</v>
      </c>
      <c r="J2026" s="8">
        <v>1.0</v>
      </c>
      <c r="K2026" s="8">
        <v>1.0</v>
      </c>
      <c r="L2026" s="8">
        <v>6.0</v>
      </c>
      <c r="M2026" s="8"/>
      <c r="N2026" s="8"/>
      <c r="O2026" s="8" t="s">
        <v>784</v>
      </c>
      <c r="P2026" s="8">
        <v>2.0</v>
      </c>
    </row>
    <row r="2027">
      <c r="A2027">
        <f>IFERROR(__xludf.DUMMYFUNCTION("""COMPUTED_VALUE"""),8.0)</f>
        <v>8</v>
      </c>
      <c r="B2027">
        <f>IFERROR(__xludf.DUMMYFUNCTION("""COMPUTED_VALUE"""),29143.0)</f>
        <v>29143</v>
      </c>
      <c r="C2027" t="str">
        <f>IFERROR(__xludf.DUMMYFUNCTION("""COMPUTED_VALUE"""),"MOLANO MESA, CARMEN")</f>
        <v>MOLANO MESA, CARMEN</v>
      </c>
      <c r="D2027" t="str">
        <f>IFERROR(__xludf.DUMMYFUNCTION("""COMPUTED_VALUE"""),"Spanish 8A")</f>
        <v>Spanish 8A</v>
      </c>
      <c r="E2027" s="31">
        <f>IFERROR(__xludf.DUMMYFUNCTION("""COMPUTED_VALUE"""),2.0)</f>
        <v>2</v>
      </c>
      <c r="F2027" s="8">
        <v>1.0</v>
      </c>
      <c r="G2027" s="8">
        <v>1.0</v>
      </c>
      <c r="H2027" s="8">
        <v>1.0</v>
      </c>
      <c r="I2027" s="8">
        <v>1.0</v>
      </c>
      <c r="J2027" s="8">
        <v>1.0</v>
      </c>
      <c r="K2027" s="8">
        <v>1.0</v>
      </c>
      <c r="L2027" s="8">
        <v>6.0</v>
      </c>
      <c r="M2027" s="8"/>
      <c r="N2027" s="8"/>
      <c r="O2027" s="8" t="s">
        <v>789</v>
      </c>
      <c r="P2027" s="8" t="e">
        <v>#N/A</v>
      </c>
    </row>
    <row r="2028">
      <c r="A2028">
        <f>IFERROR(__xludf.DUMMYFUNCTION("""COMPUTED_VALUE"""),8.0)</f>
        <v>8</v>
      </c>
      <c r="B2028">
        <f>IFERROR(__xludf.DUMMYFUNCTION("""COMPUTED_VALUE"""),29080.0)</f>
        <v>29080</v>
      </c>
      <c r="C2028" t="str">
        <f>IFERROR(__xludf.DUMMYFUNCTION("""COMPUTED_VALUE"""),"MONTES LOPEZ, MANUELA")</f>
        <v>MONTES LOPEZ, MANUELA</v>
      </c>
      <c r="D2028" t="str">
        <f>IFERROR(__xludf.DUMMYFUNCTION("""COMPUTED_VALUE"""),"Spanish 8")</f>
        <v>Spanish 8</v>
      </c>
      <c r="E2028" s="31">
        <f>IFERROR(__xludf.DUMMYFUNCTION("""COMPUTED_VALUE"""),6.0)</f>
        <v>6</v>
      </c>
      <c r="F2028" s="8">
        <v>1.0</v>
      </c>
      <c r="G2028" s="8">
        <v>1.0</v>
      </c>
      <c r="H2028" s="8">
        <v>1.0</v>
      </c>
      <c r="I2028" s="8">
        <v>1.0</v>
      </c>
      <c r="J2028" s="8">
        <v>1.0</v>
      </c>
      <c r="K2028" s="8">
        <v>1.0</v>
      </c>
      <c r="L2028" s="8">
        <v>6.0</v>
      </c>
      <c r="M2028" s="8"/>
      <c r="N2028" s="8"/>
      <c r="O2028" s="8" t="s">
        <v>784</v>
      </c>
      <c r="P2028" s="8">
        <v>2.0</v>
      </c>
    </row>
    <row r="2029">
      <c r="A2029">
        <f>IFERROR(__xludf.DUMMYFUNCTION("""COMPUTED_VALUE"""),8.0)</f>
        <v>8</v>
      </c>
      <c r="B2029">
        <f>IFERROR(__xludf.DUMMYFUNCTION("""COMPUTED_VALUE"""),29081.0)</f>
        <v>29081</v>
      </c>
      <c r="C2029" t="str">
        <f>IFERROR(__xludf.DUMMYFUNCTION("""COMPUTED_VALUE"""),"MORA JARAMILLO, ALICIA")</f>
        <v>MORA JARAMILLO, ALICIA</v>
      </c>
      <c r="D2029" t="str">
        <f>IFERROR(__xludf.DUMMYFUNCTION("""COMPUTED_VALUE"""),"Spanish 8")</f>
        <v>Spanish 8</v>
      </c>
      <c r="E2029" s="31">
        <f>IFERROR(__xludf.DUMMYFUNCTION("""COMPUTED_VALUE"""),3.0)</f>
        <v>3</v>
      </c>
      <c r="F2029" s="8">
        <v>1.0</v>
      </c>
      <c r="G2029" s="8">
        <v>1.0</v>
      </c>
      <c r="H2029" s="8">
        <v>1.0</v>
      </c>
      <c r="I2029" s="8">
        <v>1.0</v>
      </c>
      <c r="J2029" s="8">
        <v>1.0</v>
      </c>
      <c r="K2029" s="8">
        <v>1.0</v>
      </c>
      <c r="L2029" s="8">
        <v>6.0</v>
      </c>
      <c r="M2029" s="8"/>
      <c r="N2029" s="8"/>
      <c r="O2029" s="8" t="s">
        <v>787</v>
      </c>
      <c r="P2029" s="8">
        <v>2.0</v>
      </c>
    </row>
    <row r="2030">
      <c r="A2030">
        <f>IFERROR(__xludf.DUMMYFUNCTION("""COMPUTED_VALUE"""),8.0)</f>
        <v>8</v>
      </c>
      <c r="B2030">
        <f>IFERROR(__xludf.DUMMYFUNCTION("""COMPUTED_VALUE"""),29083.0)</f>
        <v>29083</v>
      </c>
      <c r="C2030" t="str">
        <f>IFERROR(__xludf.DUMMYFUNCTION("""COMPUTED_VALUE"""),"NAVARRO ZULUAGA, SOFIA")</f>
        <v>NAVARRO ZULUAGA, SOFIA</v>
      </c>
      <c r="D2030" t="str">
        <f>IFERROR(__xludf.DUMMYFUNCTION("""COMPUTED_VALUE"""),"Spanish 8")</f>
        <v>Spanish 8</v>
      </c>
      <c r="E2030" s="31">
        <f>IFERROR(__xludf.DUMMYFUNCTION("""COMPUTED_VALUE"""),2.0)</f>
        <v>2</v>
      </c>
      <c r="F2030" s="8">
        <v>1.0</v>
      </c>
      <c r="G2030" s="8">
        <v>1.0</v>
      </c>
      <c r="H2030" s="8">
        <v>1.0</v>
      </c>
      <c r="I2030" s="8">
        <v>1.0</v>
      </c>
      <c r="J2030" s="8">
        <v>1.0</v>
      </c>
      <c r="K2030" s="8">
        <v>1.0</v>
      </c>
      <c r="L2030" s="8">
        <v>6.0</v>
      </c>
      <c r="M2030" s="8"/>
      <c r="N2030" s="8"/>
      <c r="O2030" s="8" t="s">
        <v>786</v>
      </c>
      <c r="P2030" s="8">
        <v>2.0</v>
      </c>
    </row>
    <row r="2031">
      <c r="A2031">
        <f>IFERROR(__xludf.DUMMYFUNCTION("""COMPUTED_VALUE"""),8.0)</f>
        <v>8</v>
      </c>
      <c r="B2031">
        <f>IFERROR(__xludf.DUMMYFUNCTION("""COMPUTED_VALUE"""),29158.0)</f>
        <v>29158</v>
      </c>
      <c r="C2031" t="str">
        <f>IFERROR(__xludf.DUMMYFUNCTION("""COMPUTED_VALUE"""),"NIEHAUS TRUJILLO, MICHELLE")</f>
        <v>NIEHAUS TRUJILLO, MICHELLE</v>
      </c>
      <c r="D2031" t="str">
        <f>IFERROR(__xludf.DUMMYFUNCTION("""COMPUTED_VALUE"""),"Spanish 8A")</f>
        <v>Spanish 8A</v>
      </c>
      <c r="E2031" s="31">
        <f>IFERROR(__xludf.DUMMYFUNCTION("""COMPUTED_VALUE"""),2.0)</f>
        <v>2</v>
      </c>
      <c r="F2031" s="8">
        <v>1.0</v>
      </c>
      <c r="G2031" s="8">
        <v>1.0</v>
      </c>
      <c r="H2031" s="8">
        <v>1.0</v>
      </c>
      <c r="I2031" s="8">
        <v>1.0</v>
      </c>
      <c r="J2031" s="8">
        <v>1.0</v>
      </c>
      <c r="K2031" s="8">
        <v>1.0</v>
      </c>
      <c r="L2031" s="8">
        <v>6.0</v>
      </c>
      <c r="M2031" s="8"/>
      <c r="N2031" s="8"/>
      <c r="O2031" s="8" t="s">
        <v>789</v>
      </c>
      <c r="P2031" s="8" t="e">
        <v>#N/A</v>
      </c>
    </row>
    <row r="2032">
      <c r="A2032">
        <f>IFERROR(__xludf.DUMMYFUNCTION("""COMPUTED_VALUE"""),8.0)</f>
        <v>8</v>
      </c>
      <c r="B2032">
        <f>IFERROR(__xludf.DUMMYFUNCTION("""COMPUTED_VALUE"""),29137.0)</f>
        <v>29137</v>
      </c>
      <c r="C2032" t="str">
        <f>IFERROR(__xludf.DUMMYFUNCTION("""COMPUTED_VALUE"""),"OLARTE JARAMILLO, EMILIO")</f>
        <v>OLARTE JARAMILLO, EMILIO</v>
      </c>
      <c r="D2032" t="str">
        <f>IFERROR(__xludf.DUMMYFUNCTION("""COMPUTED_VALUE"""),"Spanish 8")</f>
        <v>Spanish 8</v>
      </c>
      <c r="E2032" s="31">
        <f>IFERROR(__xludf.DUMMYFUNCTION("""COMPUTED_VALUE"""),4.0)</f>
        <v>4</v>
      </c>
      <c r="F2032" s="8">
        <v>1.0</v>
      </c>
      <c r="G2032" s="8">
        <v>1.0</v>
      </c>
      <c r="H2032" s="8">
        <v>1.0</v>
      </c>
      <c r="I2032" s="8">
        <v>1.0</v>
      </c>
      <c r="J2032" s="8">
        <v>1.0</v>
      </c>
      <c r="K2032" s="8">
        <v>1.0</v>
      </c>
      <c r="L2032" s="8">
        <v>6.0</v>
      </c>
      <c r="M2032" s="8"/>
      <c r="N2032" s="8"/>
      <c r="O2032" s="8" t="s">
        <v>785</v>
      </c>
      <c r="P2032" s="8">
        <v>2.0</v>
      </c>
    </row>
    <row r="2033">
      <c r="A2033">
        <f>IFERROR(__xludf.DUMMYFUNCTION("""COMPUTED_VALUE"""),8.0)</f>
        <v>8</v>
      </c>
      <c r="B2033">
        <f>IFERROR(__xludf.DUMMYFUNCTION("""COMPUTED_VALUE"""),28077.0)</f>
        <v>28077</v>
      </c>
      <c r="C2033" t="str">
        <f>IFERROR(__xludf.DUMMYFUNCTION("""COMPUTED_VALUE"""),"OLIVEIRA CASTAÑO, MARIANA")</f>
        <v>OLIVEIRA CASTAÑO, MARIANA</v>
      </c>
      <c r="D2033" t="str">
        <f>IFERROR(__xludf.DUMMYFUNCTION("""COMPUTED_VALUE"""),"Spanish 8")</f>
        <v>Spanish 8</v>
      </c>
      <c r="E2033" s="31">
        <f>IFERROR(__xludf.DUMMYFUNCTION("""COMPUTED_VALUE"""),3.0)</f>
        <v>3</v>
      </c>
      <c r="F2033" s="8">
        <v>1.0</v>
      </c>
      <c r="G2033" s="8">
        <v>1.0</v>
      </c>
      <c r="H2033" s="8">
        <v>1.0</v>
      </c>
      <c r="I2033" s="8">
        <v>1.0</v>
      </c>
      <c r="J2033" s="8">
        <v>1.0</v>
      </c>
      <c r="K2033" s="8">
        <v>1.0</v>
      </c>
      <c r="L2033" s="8">
        <v>6.0</v>
      </c>
      <c r="M2033" s="8"/>
      <c r="N2033" s="8"/>
      <c r="O2033" s="8" t="s">
        <v>787</v>
      </c>
      <c r="P2033" s="8">
        <v>2.0</v>
      </c>
    </row>
    <row r="2034">
      <c r="A2034">
        <f>IFERROR(__xludf.DUMMYFUNCTION("""COMPUTED_VALUE"""),8.0)</f>
        <v>8</v>
      </c>
      <c r="B2034">
        <f>IFERROR(__xludf.DUMMYFUNCTION("""COMPUTED_VALUE"""),29084.0)</f>
        <v>29084</v>
      </c>
      <c r="C2034" t="str">
        <f>IFERROR(__xludf.DUMMYFUNCTION("""COMPUTED_VALUE"""),"OROZCO MONTOYA, ANTONIA")</f>
        <v>OROZCO MONTOYA, ANTONIA</v>
      </c>
      <c r="D2034" t="str">
        <f>IFERROR(__xludf.DUMMYFUNCTION("""COMPUTED_VALUE"""),"Spanish 8")</f>
        <v>Spanish 8</v>
      </c>
      <c r="E2034" s="31">
        <f>IFERROR(__xludf.DUMMYFUNCTION("""COMPUTED_VALUE"""),6.0)</f>
        <v>6</v>
      </c>
      <c r="F2034" s="8">
        <v>1.0</v>
      </c>
      <c r="G2034" s="8">
        <v>1.0</v>
      </c>
      <c r="H2034" s="8">
        <v>1.0</v>
      </c>
      <c r="I2034" s="8">
        <v>1.0</v>
      </c>
      <c r="J2034" s="8">
        <v>1.0</v>
      </c>
      <c r="K2034" s="8">
        <v>1.0</v>
      </c>
      <c r="L2034" s="8">
        <v>6.0</v>
      </c>
      <c r="M2034" s="8"/>
      <c r="N2034" s="8"/>
      <c r="O2034" s="8" t="s">
        <v>784</v>
      </c>
      <c r="P2034" s="8">
        <v>2.0</v>
      </c>
    </row>
    <row r="2035">
      <c r="A2035">
        <f>IFERROR(__xludf.DUMMYFUNCTION("""COMPUTED_VALUE"""),8.0)</f>
        <v>8</v>
      </c>
      <c r="B2035">
        <f>IFERROR(__xludf.DUMMYFUNCTION("""COMPUTED_VALUE"""),29148.0)</f>
        <v>29148</v>
      </c>
      <c r="C2035" t="str">
        <f>IFERROR(__xludf.DUMMYFUNCTION("""COMPUTED_VALUE"""),"OSORIO ARISTIZABAL, MATIAS")</f>
        <v>OSORIO ARISTIZABAL, MATIAS</v>
      </c>
      <c r="D2035" t="str">
        <f>IFERROR(__xludf.DUMMYFUNCTION("""COMPUTED_VALUE"""),"Spanish 8")</f>
        <v>Spanish 8</v>
      </c>
      <c r="E2035" s="31">
        <f>IFERROR(__xludf.DUMMYFUNCTION("""COMPUTED_VALUE"""),1.0)</f>
        <v>1</v>
      </c>
      <c r="F2035" s="8">
        <v>1.0</v>
      </c>
      <c r="G2035" s="8">
        <v>1.0</v>
      </c>
      <c r="H2035" s="8">
        <v>1.0</v>
      </c>
      <c r="I2035" s="8">
        <v>1.0</v>
      </c>
      <c r="J2035" s="8">
        <v>1.0</v>
      </c>
      <c r="K2035" s="8">
        <v>1.0</v>
      </c>
      <c r="L2035" s="8">
        <v>6.0</v>
      </c>
      <c r="M2035" s="8"/>
      <c r="N2035" s="8"/>
      <c r="O2035" s="8" t="s">
        <v>788</v>
      </c>
      <c r="P2035" s="8">
        <v>2.0</v>
      </c>
    </row>
    <row r="2036">
      <c r="A2036">
        <f>IFERROR(__xludf.DUMMYFUNCTION("""COMPUTED_VALUE"""),8.0)</f>
        <v>8</v>
      </c>
      <c r="B2036">
        <f>IFERROR(__xludf.DUMMYFUNCTION("""COMPUTED_VALUE"""),29085.0)</f>
        <v>29085</v>
      </c>
      <c r="C2036" t="str">
        <f>IFERROR(__xludf.DUMMYFUNCTION("""COMPUTED_VALUE"""),"OTALVARO ABAD, JUAN MARTIN")</f>
        <v>OTALVARO ABAD, JUAN MARTIN</v>
      </c>
      <c r="D2036" t="str">
        <f>IFERROR(__xludf.DUMMYFUNCTION("""COMPUTED_VALUE"""),"Spanish 8A")</f>
        <v>Spanish 8A</v>
      </c>
      <c r="E2036" s="31">
        <f>IFERROR(__xludf.DUMMYFUNCTION("""COMPUTED_VALUE"""),2.0)</f>
        <v>2</v>
      </c>
      <c r="F2036" s="8">
        <v>1.0</v>
      </c>
      <c r="G2036" s="8">
        <v>1.0</v>
      </c>
      <c r="H2036" s="8">
        <v>1.0</v>
      </c>
      <c r="I2036" s="8">
        <v>1.0</v>
      </c>
      <c r="J2036" s="8">
        <v>1.0</v>
      </c>
      <c r="K2036" s="8">
        <v>1.0</v>
      </c>
      <c r="L2036" s="8">
        <v>6.0</v>
      </c>
      <c r="M2036" s="8"/>
      <c r="N2036" s="8"/>
      <c r="O2036" s="8" t="s">
        <v>789</v>
      </c>
      <c r="P2036" s="8" t="e">
        <v>#N/A</v>
      </c>
    </row>
    <row r="2037">
      <c r="A2037">
        <f>IFERROR(__xludf.DUMMYFUNCTION("""COMPUTED_VALUE"""),8.0)</f>
        <v>8</v>
      </c>
      <c r="B2037">
        <f>IFERROR(__xludf.DUMMYFUNCTION("""COMPUTED_VALUE"""),29159.0)</f>
        <v>29159</v>
      </c>
      <c r="C2037" t="str">
        <f>IFERROR(__xludf.DUMMYFUNCTION("""COMPUTED_VALUE"""),"PACHECO GARCIA, MARIANA")</f>
        <v>PACHECO GARCIA, MARIANA</v>
      </c>
      <c r="D2037" t="str">
        <f>IFERROR(__xludf.DUMMYFUNCTION("""COMPUTED_VALUE"""),"Spanish 8A")</f>
        <v>Spanish 8A</v>
      </c>
      <c r="E2037" s="31">
        <f>IFERROR(__xludf.DUMMYFUNCTION("""COMPUTED_VALUE"""),2.0)</f>
        <v>2</v>
      </c>
      <c r="F2037" s="8">
        <v>1.0</v>
      </c>
      <c r="G2037" s="8">
        <v>1.0</v>
      </c>
      <c r="H2037" s="8">
        <v>1.0</v>
      </c>
      <c r="I2037" s="8">
        <v>1.0</v>
      </c>
      <c r="J2037" s="8">
        <v>1.0</v>
      </c>
      <c r="K2037" s="8">
        <v>1.0</v>
      </c>
      <c r="L2037" s="8">
        <v>6.0</v>
      </c>
      <c r="M2037" s="8"/>
      <c r="N2037" s="8"/>
      <c r="O2037" s="8" t="s">
        <v>789</v>
      </c>
      <c r="P2037" s="8" t="e">
        <v>#N/A</v>
      </c>
    </row>
    <row r="2038">
      <c r="A2038">
        <f>IFERROR(__xludf.DUMMYFUNCTION("""COMPUTED_VALUE"""),8.0)</f>
        <v>8</v>
      </c>
      <c r="B2038">
        <f>IFERROR(__xludf.DUMMYFUNCTION("""COMPUTED_VALUE"""),29087.0)</f>
        <v>29087</v>
      </c>
      <c r="C2038" t="str">
        <f>IFERROR(__xludf.DUMMYFUNCTION("""COMPUTED_VALUE"""),"PALACIO BOTERO, MATIAS")</f>
        <v>PALACIO BOTERO, MATIAS</v>
      </c>
      <c r="D2038" t="str">
        <f>IFERROR(__xludf.DUMMYFUNCTION("""COMPUTED_VALUE"""),"Spanish 8")</f>
        <v>Spanish 8</v>
      </c>
      <c r="E2038" s="31">
        <f>IFERROR(__xludf.DUMMYFUNCTION("""COMPUTED_VALUE"""),4.0)</f>
        <v>4</v>
      </c>
      <c r="F2038" s="8">
        <v>1.0</v>
      </c>
      <c r="G2038" s="8">
        <v>1.0</v>
      </c>
      <c r="H2038" s="8">
        <v>1.0</v>
      </c>
      <c r="I2038" s="8">
        <v>1.0</v>
      </c>
      <c r="J2038" s="8">
        <v>1.0</v>
      </c>
      <c r="K2038" s="8">
        <v>1.0</v>
      </c>
      <c r="L2038" s="8">
        <v>6.0</v>
      </c>
      <c r="M2038" s="8"/>
      <c r="N2038" s="8"/>
      <c r="O2038" s="8" t="s">
        <v>785</v>
      </c>
      <c r="P2038" s="8">
        <v>2.0</v>
      </c>
    </row>
    <row r="2039">
      <c r="A2039">
        <f>IFERROR(__xludf.DUMMYFUNCTION("""COMPUTED_VALUE"""),8.0)</f>
        <v>8</v>
      </c>
      <c r="B2039">
        <f>IFERROR(__xludf.DUMMYFUNCTION("""COMPUTED_VALUE"""),29088.0)</f>
        <v>29088</v>
      </c>
      <c r="C2039" t="str">
        <f>IFERROR(__xludf.DUMMYFUNCTION("""COMPUTED_VALUE"""),"PEREZ ALVARADO, SARA")</f>
        <v>PEREZ ALVARADO, SARA</v>
      </c>
      <c r="D2039" t="str">
        <f>IFERROR(__xludf.DUMMYFUNCTION("""COMPUTED_VALUE"""),"Spanish 8")</f>
        <v>Spanish 8</v>
      </c>
      <c r="E2039" s="31">
        <f>IFERROR(__xludf.DUMMYFUNCTION("""COMPUTED_VALUE"""),1.0)</f>
        <v>1</v>
      </c>
      <c r="F2039" s="8">
        <v>1.0</v>
      </c>
      <c r="G2039" s="8">
        <v>1.0</v>
      </c>
      <c r="H2039" s="8">
        <v>1.0</v>
      </c>
      <c r="I2039" s="8">
        <v>1.0</v>
      </c>
      <c r="J2039" s="8">
        <v>1.0</v>
      </c>
      <c r="K2039" s="8">
        <v>1.0</v>
      </c>
      <c r="L2039" s="8">
        <v>6.0</v>
      </c>
      <c r="M2039" s="8"/>
      <c r="N2039" s="8"/>
      <c r="O2039" s="8" t="s">
        <v>788</v>
      </c>
      <c r="P2039" s="8">
        <v>2.0</v>
      </c>
    </row>
    <row r="2040">
      <c r="A2040">
        <f>IFERROR(__xludf.DUMMYFUNCTION("""COMPUTED_VALUE"""),8.0)</f>
        <v>8</v>
      </c>
      <c r="B2040">
        <f>IFERROR(__xludf.DUMMYFUNCTION("""COMPUTED_VALUE"""),29089.0)</f>
        <v>29089</v>
      </c>
      <c r="C2040" t="str">
        <f>IFERROR(__xludf.DUMMYFUNCTION("""COMPUTED_VALUE"""),"PEREZ BEDOYA, ELENA")</f>
        <v>PEREZ BEDOYA, ELENA</v>
      </c>
      <c r="D2040" t="str">
        <f>IFERROR(__xludf.DUMMYFUNCTION("""COMPUTED_VALUE"""),"Spanish 8")</f>
        <v>Spanish 8</v>
      </c>
      <c r="E2040" s="31">
        <f>IFERROR(__xludf.DUMMYFUNCTION("""COMPUTED_VALUE"""),1.0)</f>
        <v>1</v>
      </c>
      <c r="F2040" s="8">
        <v>1.0</v>
      </c>
      <c r="G2040" s="8">
        <v>1.0</v>
      </c>
      <c r="H2040" s="8">
        <v>1.0</v>
      </c>
      <c r="I2040" s="8">
        <v>1.0</v>
      </c>
      <c r="J2040" s="8">
        <v>1.0</v>
      </c>
      <c r="K2040" s="8">
        <v>1.0</v>
      </c>
      <c r="L2040" s="8">
        <v>6.0</v>
      </c>
      <c r="M2040" s="8"/>
      <c r="N2040" s="8"/>
      <c r="O2040" s="8" t="s">
        <v>788</v>
      </c>
      <c r="P2040" s="8">
        <v>2.0</v>
      </c>
    </row>
    <row r="2041">
      <c r="A2041">
        <f>IFERROR(__xludf.DUMMYFUNCTION("""COMPUTED_VALUE"""),8.0)</f>
        <v>8</v>
      </c>
      <c r="B2041">
        <f>IFERROR(__xludf.DUMMYFUNCTION("""COMPUTED_VALUE"""),29157.0)</f>
        <v>29157</v>
      </c>
      <c r="C2041" t="str">
        <f>IFERROR(__xludf.DUMMYFUNCTION("""COMPUTED_VALUE"""),"PETTERSSON VANEGAS, DOMINIQUE")</f>
        <v>PETTERSSON VANEGAS, DOMINIQUE</v>
      </c>
      <c r="D2041" t="str">
        <f>IFERROR(__xludf.DUMMYFUNCTION("""COMPUTED_VALUE"""),"Spanish 8")</f>
        <v>Spanish 8</v>
      </c>
      <c r="E2041" s="31">
        <f>IFERROR(__xludf.DUMMYFUNCTION("""COMPUTED_VALUE"""),6.0)</f>
        <v>6</v>
      </c>
      <c r="F2041" s="8">
        <v>1.0</v>
      </c>
      <c r="G2041" s="8">
        <v>1.0</v>
      </c>
      <c r="H2041" s="8">
        <v>1.0</v>
      </c>
      <c r="I2041" s="8">
        <v>1.0</v>
      </c>
      <c r="J2041" s="8">
        <v>1.0</v>
      </c>
      <c r="K2041" s="8">
        <v>1.0</v>
      </c>
      <c r="L2041" s="8">
        <v>6.0</v>
      </c>
      <c r="M2041" s="8"/>
      <c r="N2041" s="8"/>
      <c r="O2041" s="8" t="s">
        <v>784</v>
      </c>
      <c r="P2041" s="8">
        <v>2.0</v>
      </c>
    </row>
    <row r="2042">
      <c r="A2042">
        <f>IFERROR(__xludf.DUMMYFUNCTION("""COMPUTED_VALUE"""),8.0)</f>
        <v>8</v>
      </c>
      <c r="B2042">
        <f>IFERROR(__xludf.DUMMYFUNCTION("""COMPUTED_VALUE"""),29091.0)</f>
        <v>29091</v>
      </c>
      <c r="C2042" t="str">
        <f>IFERROR(__xludf.DUMMYFUNCTION("""COMPUTED_VALUE"""),"PLATA BOLAÑOS, CAMILA")</f>
        <v>PLATA BOLAÑOS, CAMILA</v>
      </c>
      <c r="D2042" t="str">
        <f>IFERROR(__xludf.DUMMYFUNCTION("""COMPUTED_VALUE"""),"Spanish 8")</f>
        <v>Spanish 8</v>
      </c>
      <c r="E2042" s="31">
        <f>IFERROR(__xludf.DUMMYFUNCTION("""COMPUTED_VALUE"""),6.0)</f>
        <v>6</v>
      </c>
      <c r="F2042" s="8">
        <v>1.0</v>
      </c>
      <c r="G2042" s="8">
        <v>1.0</v>
      </c>
      <c r="H2042" s="8">
        <v>1.0</v>
      </c>
      <c r="I2042" s="8">
        <v>1.0</v>
      </c>
      <c r="J2042" s="8">
        <v>1.0</v>
      </c>
      <c r="K2042" s="8">
        <v>1.0</v>
      </c>
      <c r="L2042" s="8">
        <v>6.0</v>
      </c>
      <c r="M2042" s="8"/>
      <c r="N2042" s="8"/>
      <c r="O2042" s="8" t="s">
        <v>784</v>
      </c>
      <c r="P2042" s="8">
        <v>2.0</v>
      </c>
    </row>
    <row r="2043">
      <c r="A2043">
        <f>IFERROR(__xludf.DUMMYFUNCTION("""COMPUTED_VALUE"""),8.0)</f>
        <v>8</v>
      </c>
      <c r="B2043">
        <f>IFERROR(__xludf.DUMMYFUNCTION("""COMPUTED_VALUE"""),29093.0)</f>
        <v>29093</v>
      </c>
      <c r="C2043" t="str">
        <f>IFERROR(__xludf.DUMMYFUNCTION("""COMPUTED_VALUE"""),"PUGLIESE STRICKLAND, MARCELLO ANTONIO")</f>
        <v>PUGLIESE STRICKLAND, MARCELLO ANTONIO</v>
      </c>
      <c r="D2043" t="str">
        <f>IFERROR(__xludf.DUMMYFUNCTION("""COMPUTED_VALUE"""),"Spanish 8")</f>
        <v>Spanish 8</v>
      </c>
      <c r="E2043" s="31">
        <f>IFERROR(__xludf.DUMMYFUNCTION("""COMPUTED_VALUE"""),3.0)</f>
        <v>3</v>
      </c>
      <c r="F2043" s="8">
        <v>1.0</v>
      </c>
      <c r="G2043" s="8">
        <v>1.0</v>
      </c>
      <c r="H2043" s="8">
        <v>1.0</v>
      </c>
      <c r="I2043" s="8">
        <v>1.0</v>
      </c>
      <c r="J2043" s="8">
        <v>1.0</v>
      </c>
      <c r="K2043" s="8">
        <v>1.0</v>
      </c>
      <c r="L2043" s="8">
        <v>6.0</v>
      </c>
      <c r="M2043" s="8"/>
      <c r="N2043" s="8"/>
      <c r="O2043" s="8" t="s">
        <v>787</v>
      </c>
      <c r="P2043" s="8">
        <v>2.0</v>
      </c>
    </row>
    <row r="2044">
      <c r="A2044">
        <f>IFERROR(__xludf.DUMMYFUNCTION("""COMPUTED_VALUE"""),8.0)</f>
        <v>8</v>
      </c>
      <c r="B2044">
        <f>IFERROR(__xludf.DUMMYFUNCTION("""COMPUTED_VALUE"""),28087.0)</f>
        <v>28087</v>
      </c>
      <c r="C2044" t="str">
        <f>IFERROR(__xludf.DUMMYFUNCTION("""COMPUTED_VALUE"""),"QUINTERO HENAO, MATEO")</f>
        <v>QUINTERO HENAO, MATEO</v>
      </c>
      <c r="D2044" t="str">
        <f>IFERROR(__xludf.DUMMYFUNCTION("""COMPUTED_VALUE"""),"Spanish 8")</f>
        <v>Spanish 8</v>
      </c>
      <c r="E2044" s="31">
        <f>IFERROR(__xludf.DUMMYFUNCTION("""COMPUTED_VALUE"""),4.0)</f>
        <v>4</v>
      </c>
      <c r="F2044" s="8">
        <v>1.0</v>
      </c>
      <c r="G2044" s="8">
        <v>1.0</v>
      </c>
      <c r="H2044" s="8">
        <v>1.0</v>
      </c>
      <c r="I2044" s="8">
        <v>1.0</v>
      </c>
      <c r="J2044" s="8">
        <v>1.0</v>
      </c>
      <c r="K2044" s="8">
        <v>1.0</v>
      </c>
      <c r="L2044" s="8">
        <v>6.0</v>
      </c>
      <c r="M2044" s="8"/>
      <c r="N2044" s="8"/>
      <c r="O2044" s="8" t="s">
        <v>785</v>
      </c>
      <c r="P2044" s="8">
        <v>2.0</v>
      </c>
    </row>
    <row r="2045">
      <c r="A2045">
        <f>IFERROR(__xludf.DUMMYFUNCTION("""COMPUTED_VALUE"""),8.0)</f>
        <v>8</v>
      </c>
      <c r="B2045">
        <f>IFERROR(__xludf.DUMMYFUNCTION("""COMPUTED_VALUE"""),29096.0)</f>
        <v>29096</v>
      </c>
      <c r="C2045" t="str">
        <f>IFERROR(__xludf.DUMMYFUNCTION("""COMPUTED_VALUE"""),"RAMIREZ PELAEZ, ANTONIA")</f>
        <v>RAMIREZ PELAEZ, ANTONIA</v>
      </c>
      <c r="D2045" t="str">
        <f>IFERROR(__xludf.DUMMYFUNCTION("""COMPUTED_VALUE"""),"Spanish 8A")</f>
        <v>Spanish 8A</v>
      </c>
      <c r="E2045" s="31">
        <f>IFERROR(__xludf.DUMMYFUNCTION("""COMPUTED_VALUE"""),2.0)</f>
        <v>2</v>
      </c>
      <c r="F2045" s="8">
        <v>1.0</v>
      </c>
      <c r="G2045" s="8">
        <v>1.0</v>
      </c>
      <c r="H2045" s="8">
        <v>1.0</v>
      </c>
      <c r="I2045" s="8">
        <v>1.0</v>
      </c>
      <c r="J2045" s="8">
        <v>1.0</v>
      </c>
      <c r="K2045" s="8">
        <v>1.0</v>
      </c>
      <c r="L2045" s="8">
        <v>6.0</v>
      </c>
      <c r="M2045" s="8"/>
      <c r="N2045" s="8"/>
      <c r="O2045" s="8" t="s">
        <v>789</v>
      </c>
      <c r="P2045" s="8" t="e">
        <v>#N/A</v>
      </c>
    </row>
    <row r="2046">
      <c r="A2046">
        <f>IFERROR(__xludf.DUMMYFUNCTION("""COMPUTED_VALUE"""),8.0)</f>
        <v>8</v>
      </c>
      <c r="B2046">
        <f>IFERROR(__xludf.DUMMYFUNCTION("""COMPUTED_VALUE"""),29097.0)</f>
        <v>29097</v>
      </c>
      <c r="C2046" t="str">
        <f>IFERROR(__xludf.DUMMYFUNCTION("""COMPUTED_VALUE"""),"RAMIREZ PELAEZ, ELENA")</f>
        <v>RAMIREZ PELAEZ, ELENA</v>
      </c>
      <c r="D2046" t="str">
        <f>IFERROR(__xludf.DUMMYFUNCTION("""COMPUTED_VALUE"""),"Spanish 8")</f>
        <v>Spanish 8</v>
      </c>
      <c r="E2046" s="31">
        <f>IFERROR(__xludf.DUMMYFUNCTION("""COMPUTED_VALUE"""),1.0)</f>
        <v>1</v>
      </c>
      <c r="F2046" s="8">
        <v>1.0</v>
      </c>
      <c r="G2046" s="8">
        <v>1.0</v>
      </c>
      <c r="H2046" s="8">
        <v>1.0</v>
      </c>
      <c r="I2046" s="8">
        <v>1.0</v>
      </c>
      <c r="J2046" s="8">
        <v>1.0</v>
      </c>
      <c r="K2046" s="8">
        <v>1.0</v>
      </c>
      <c r="L2046" s="8">
        <v>6.0</v>
      </c>
      <c r="M2046" s="8"/>
      <c r="N2046" s="8"/>
      <c r="O2046" s="8" t="s">
        <v>788</v>
      </c>
      <c r="P2046" s="8">
        <v>2.0</v>
      </c>
    </row>
    <row r="2047">
      <c r="A2047">
        <f>IFERROR(__xludf.DUMMYFUNCTION("""COMPUTED_VALUE"""),8.0)</f>
        <v>8</v>
      </c>
      <c r="B2047">
        <f>IFERROR(__xludf.DUMMYFUNCTION("""COMPUTED_VALUE"""),29169.0)</f>
        <v>29169</v>
      </c>
      <c r="C2047" t="str">
        <f>IFERROR(__xludf.DUMMYFUNCTION("""COMPUTED_VALUE"""),"REPETTO LARROSA, FAUSTINO")</f>
        <v>REPETTO LARROSA, FAUSTINO</v>
      </c>
      <c r="D2047" t="str">
        <f>IFERROR(__xludf.DUMMYFUNCTION("""COMPUTED_VALUE"""),"Spanish 8")</f>
        <v>Spanish 8</v>
      </c>
      <c r="E2047" s="31">
        <f>IFERROR(__xludf.DUMMYFUNCTION("""COMPUTED_VALUE"""),3.0)</f>
        <v>3</v>
      </c>
      <c r="F2047" s="8">
        <v>1.0</v>
      </c>
      <c r="G2047" s="8">
        <v>1.0</v>
      </c>
      <c r="H2047" s="8">
        <v>1.0</v>
      </c>
      <c r="I2047" s="8">
        <v>1.0</v>
      </c>
      <c r="J2047" s="8">
        <v>1.0</v>
      </c>
      <c r="K2047" s="8">
        <v>1.0</v>
      </c>
      <c r="L2047" s="8">
        <v>6.0</v>
      </c>
      <c r="M2047" s="8"/>
      <c r="N2047" s="8"/>
      <c r="O2047" s="8" t="s">
        <v>787</v>
      </c>
      <c r="P2047" s="8">
        <v>2.0</v>
      </c>
    </row>
    <row r="2048">
      <c r="A2048">
        <f>IFERROR(__xludf.DUMMYFUNCTION("""COMPUTED_VALUE"""),8.0)</f>
        <v>8</v>
      </c>
      <c r="B2048">
        <f>IFERROR(__xludf.DUMMYFUNCTION("""COMPUTED_VALUE"""),29098.0)</f>
        <v>29098</v>
      </c>
      <c r="C2048" t="str">
        <f>IFERROR(__xludf.DUMMYFUNCTION("""COMPUTED_VALUE"""),"RESTREPO ESCOBAR, ISABELA")</f>
        <v>RESTREPO ESCOBAR, ISABELA</v>
      </c>
      <c r="D2048" t="str">
        <f>IFERROR(__xludf.DUMMYFUNCTION("""COMPUTED_VALUE"""),"Spanish 8")</f>
        <v>Spanish 8</v>
      </c>
      <c r="E2048" s="31">
        <f>IFERROR(__xludf.DUMMYFUNCTION("""COMPUTED_VALUE"""),1.0)</f>
        <v>1</v>
      </c>
      <c r="F2048" s="8">
        <v>1.0</v>
      </c>
      <c r="G2048" s="8">
        <v>1.0</v>
      </c>
      <c r="H2048" s="8">
        <v>1.0</v>
      </c>
      <c r="I2048" s="8">
        <v>1.0</v>
      </c>
      <c r="J2048" s="8">
        <v>1.0</v>
      </c>
      <c r="K2048" s="8">
        <v>1.0</v>
      </c>
      <c r="L2048" s="8">
        <v>6.0</v>
      </c>
      <c r="M2048" s="8"/>
      <c r="N2048" s="8"/>
      <c r="O2048" s="8" t="s">
        <v>788</v>
      </c>
      <c r="P2048" s="8">
        <v>2.0</v>
      </c>
    </row>
    <row r="2049">
      <c r="A2049">
        <f>IFERROR(__xludf.DUMMYFUNCTION("""COMPUTED_VALUE"""),8.0)</f>
        <v>8</v>
      </c>
      <c r="B2049">
        <f>IFERROR(__xludf.DUMMYFUNCTION("""COMPUTED_VALUE"""),29099.0)</f>
        <v>29099</v>
      </c>
      <c r="C2049" t="str">
        <f>IFERROR(__xludf.DUMMYFUNCTION("""COMPUTED_VALUE"""),"RESTREPO RESTREPO, MATIAS")</f>
        <v>RESTREPO RESTREPO, MATIAS</v>
      </c>
      <c r="D2049" t="str">
        <f>IFERROR(__xludf.DUMMYFUNCTION("""COMPUTED_VALUE"""),"Spanish 8")</f>
        <v>Spanish 8</v>
      </c>
      <c r="E2049" s="31">
        <f>IFERROR(__xludf.DUMMYFUNCTION("""COMPUTED_VALUE"""),4.0)</f>
        <v>4</v>
      </c>
      <c r="F2049" s="8">
        <v>1.0</v>
      </c>
      <c r="G2049" s="8">
        <v>1.0</v>
      </c>
      <c r="H2049" s="8">
        <v>1.0</v>
      </c>
      <c r="I2049" s="8">
        <v>1.0</v>
      </c>
      <c r="J2049" s="8">
        <v>1.0</v>
      </c>
      <c r="K2049" s="8">
        <v>1.0</v>
      </c>
      <c r="L2049" s="8">
        <v>6.0</v>
      </c>
      <c r="M2049" s="8"/>
      <c r="N2049" s="8"/>
      <c r="O2049" s="8" t="s">
        <v>785</v>
      </c>
      <c r="P2049" s="8">
        <v>2.0</v>
      </c>
    </row>
    <row r="2050">
      <c r="A2050">
        <f>IFERROR(__xludf.DUMMYFUNCTION("""COMPUTED_VALUE"""),8.0)</f>
        <v>8</v>
      </c>
      <c r="B2050">
        <f>IFERROR(__xludf.DUMMYFUNCTION("""COMPUTED_VALUE"""),29100.0)</f>
        <v>29100</v>
      </c>
      <c r="C2050" t="str">
        <f>IFERROR(__xludf.DUMMYFUNCTION("""COMPUTED_VALUE"""),"RESTREPO VILLEGAS, PEDRO")</f>
        <v>RESTREPO VILLEGAS, PEDRO</v>
      </c>
      <c r="D2050" t="str">
        <f>IFERROR(__xludf.DUMMYFUNCTION("""COMPUTED_VALUE"""),"Spanish 8")</f>
        <v>Spanish 8</v>
      </c>
      <c r="E2050" s="31">
        <f>IFERROR(__xludf.DUMMYFUNCTION("""COMPUTED_VALUE"""),4.0)</f>
        <v>4</v>
      </c>
      <c r="F2050" s="8">
        <v>1.0</v>
      </c>
      <c r="G2050" s="8">
        <v>1.0</v>
      </c>
      <c r="H2050" s="8">
        <v>1.0</v>
      </c>
      <c r="I2050" s="8">
        <v>1.0</v>
      </c>
      <c r="J2050" s="8">
        <v>1.0</v>
      </c>
      <c r="K2050" s="8">
        <v>1.0</v>
      </c>
      <c r="L2050" s="8">
        <v>6.0</v>
      </c>
      <c r="M2050" s="8"/>
      <c r="N2050" s="8"/>
      <c r="O2050" s="8" t="s">
        <v>785</v>
      </c>
      <c r="P2050" s="8">
        <v>2.0</v>
      </c>
    </row>
    <row r="2051">
      <c r="A2051">
        <f>IFERROR(__xludf.DUMMYFUNCTION("""COMPUTED_VALUE"""),8.0)</f>
        <v>8</v>
      </c>
      <c r="B2051">
        <f>IFERROR(__xludf.DUMMYFUNCTION("""COMPUTED_VALUE"""),29101.0)</f>
        <v>29101</v>
      </c>
      <c r="C2051" t="str">
        <f>IFERROR(__xludf.DUMMYFUNCTION("""COMPUTED_VALUE"""),"ROBLES MARTINEZ, MARIA")</f>
        <v>ROBLES MARTINEZ, MARIA</v>
      </c>
      <c r="D2051" t="str">
        <f>IFERROR(__xludf.DUMMYFUNCTION("""COMPUTED_VALUE"""),"Spanish 8")</f>
        <v>Spanish 8</v>
      </c>
      <c r="E2051" s="31">
        <f>IFERROR(__xludf.DUMMYFUNCTION("""COMPUTED_VALUE"""),1.0)</f>
        <v>1</v>
      </c>
      <c r="F2051" s="8">
        <v>1.0</v>
      </c>
      <c r="G2051" s="8">
        <v>1.0</v>
      </c>
      <c r="H2051" s="8">
        <v>1.0</v>
      </c>
      <c r="I2051" s="8">
        <v>1.0</v>
      </c>
      <c r="J2051" s="8">
        <v>1.0</v>
      </c>
      <c r="K2051" s="8">
        <v>1.0</v>
      </c>
      <c r="L2051" s="8">
        <v>6.0</v>
      </c>
      <c r="M2051" s="8"/>
      <c r="N2051" s="8"/>
      <c r="O2051" s="8" t="s">
        <v>788</v>
      </c>
      <c r="P2051" s="8">
        <v>2.0</v>
      </c>
    </row>
    <row r="2052">
      <c r="A2052">
        <f>IFERROR(__xludf.DUMMYFUNCTION("""COMPUTED_VALUE"""),8.0)</f>
        <v>8</v>
      </c>
      <c r="B2052">
        <f>IFERROR(__xludf.DUMMYFUNCTION("""COMPUTED_VALUE"""),28160.0)</f>
        <v>28160</v>
      </c>
      <c r="C2052" t="str">
        <f>IFERROR(__xludf.DUMMYFUNCTION("""COMPUTED_VALUE"""),"ROJAS REYES, JERONIMO")</f>
        <v>ROJAS REYES, JERONIMO</v>
      </c>
      <c r="D2052" t="str">
        <f>IFERROR(__xludf.DUMMYFUNCTION("""COMPUTED_VALUE"""),"Spanish 8")</f>
        <v>Spanish 8</v>
      </c>
      <c r="E2052" s="31">
        <f>IFERROR(__xludf.DUMMYFUNCTION("""COMPUTED_VALUE"""),4.0)</f>
        <v>4</v>
      </c>
      <c r="F2052" s="8">
        <v>1.0</v>
      </c>
      <c r="G2052" s="8">
        <v>1.0</v>
      </c>
      <c r="H2052" s="8">
        <v>1.0</v>
      </c>
      <c r="I2052" s="8">
        <v>1.0</v>
      </c>
      <c r="J2052" s="8">
        <v>1.0</v>
      </c>
      <c r="K2052" s="8">
        <v>1.0</v>
      </c>
      <c r="L2052" s="8">
        <v>6.0</v>
      </c>
      <c r="M2052" s="8"/>
      <c r="N2052" s="8"/>
      <c r="O2052" s="8" t="s">
        <v>785</v>
      </c>
      <c r="P2052" s="8">
        <v>2.0</v>
      </c>
    </row>
    <row r="2053">
      <c r="A2053">
        <f>IFERROR(__xludf.DUMMYFUNCTION("""COMPUTED_VALUE"""),8.0)</f>
        <v>8</v>
      </c>
      <c r="B2053">
        <f>IFERROR(__xludf.DUMMYFUNCTION("""COMPUTED_VALUE"""),29163.0)</f>
        <v>29163</v>
      </c>
      <c r="C2053" t="str">
        <f>IFERROR(__xludf.DUMMYFUNCTION("""COMPUTED_VALUE"""),"ROMERO OROZCO, SALVADOR")</f>
        <v>ROMERO OROZCO, SALVADOR</v>
      </c>
      <c r="D2053" t="str">
        <f>IFERROR(__xludf.DUMMYFUNCTION("""COMPUTED_VALUE"""),"Spanish 8")</f>
        <v>Spanish 8</v>
      </c>
      <c r="E2053" s="31">
        <f>IFERROR(__xludf.DUMMYFUNCTION("""COMPUTED_VALUE"""),3.0)</f>
        <v>3</v>
      </c>
      <c r="F2053" s="8">
        <v>1.0</v>
      </c>
      <c r="G2053" s="8">
        <v>1.0</v>
      </c>
      <c r="H2053" s="8">
        <v>1.0</v>
      </c>
      <c r="I2053" s="8">
        <v>1.0</v>
      </c>
      <c r="J2053" s="8">
        <v>1.0</v>
      </c>
      <c r="K2053" s="8">
        <v>1.0</v>
      </c>
      <c r="L2053" s="8">
        <v>6.0</v>
      </c>
      <c r="M2053" s="8"/>
      <c r="N2053" s="8"/>
      <c r="O2053" s="8" t="s">
        <v>787</v>
      </c>
      <c r="P2053" s="8">
        <v>2.0</v>
      </c>
    </row>
    <row r="2054">
      <c r="A2054">
        <f>IFERROR(__xludf.DUMMYFUNCTION("""COMPUTED_VALUE"""),8.0)</f>
        <v>8</v>
      </c>
      <c r="B2054">
        <f>IFERROR(__xludf.DUMMYFUNCTION("""COMPUTED_VALUE"""),29103.0)</f>
        <v>29103</v>
      </c>
      <c r="C2054" t="str">
        <f>IFERROR(__xludf.DUMMYFUNCTION("""COMPUTED_VALUE"""),"SALAZAR ECHEVERRI, ANTONIA")</f>
        <v>SALAZAR ECHEVERRI, ANTONIA</v>
      </c>
      <c r="D2054" t="str">
        <f>IFERROR(__xludf.DUMMYFUNCTION("""COMPUTED_VALUE"""),"Spanish 8")</f>
        <v>Spanish 8</v>
      </c>
      <c r="E2054" s="31">
        <f>IFERROR(__xludf.DUMMYFUNCTION("""COMPUTED_VALUE"""),2.0)</f>
        <v>2</v>
      </c>
      <c r="F2054" s="8">
        <v>1.0</v>
      </c>
      <c r="G2054" s="8">
        <v>1.0</v>
      </c>
      <c r="H2054" s="8">
        <v>1.0</v>
      </c>
      <c r="I2054" s="8">
        <v>1.0</v>
      </c>
      <c r="J2054" s="8">
        <v>1.0</v>
      </c>
      <c r="K2054" s="8">
        <v>1.0</v>
      </c>
      <c r="L2054" s="8">
        <v>6.0</v>
      </c>
      <c r="M2054" s="8"/>
      <c r="N2054" s="8"/>
      <c r="O2054" s="8" t="s">
        <v>786</v>
      </c>
      <c r="P2054" s="8">
        <v>2.0</v>
      </c>
    </row>
    <row r="2055">
      <c r="A2055">
        <f>IFERROR(__xludf.DUMMYFUNCTION("""COMPUTED_VALUE"""),8.0)</f>
        <v>8</v>
      </c>
      <c r="B2055">
        <f>IFERROR(__xludf.DUMMYFUNCTION("""COMPUTED_VALUE"""),29149.0)</f>
        <v>29149</v>
      </c>
      <c r="C2055" t="str">
        <f>IFERROR(__xludf.DUMMYFUNCTION("""COMPUTED_VALUE"""),"SALEMME GUTIERREZ, AMALIA")</f>
        <v>SALEMME GUTIERREZ, AMALIA</v>
      </c>
      <c r="D2055" t="str">
        <f>IFERROR(__xludf.DUMMYFUNCTION("""COMPUTED_VALUE"""),"Spanish 8")</f>
        <v>Spanish 8</v>
      </c>
      <c r="E2055" s="31">
        <f>IFERROR(__xludf.DUMMYFUNCTION("""COMPUTED_VALUE"""),1.0)</f>
        <v>1</v>
      </c>
      <c r="F2055" s="8">
        <v>1.0</v>
      </c>
      <c r="G2055" s="8">
        <v>1.0</v>
      </c>
      <c r="H2055" s="8">
        <v>1.0</v>
      </c>
      <c r="I2055" s="8">
        <v>1.0</v>
      </c>
      <c r="J2055" s="8">
        <v>1.0</v>
      </c>
      <c r="K2055" s="8">
        <v>1.0</v>
      </c>
      <c r="L2055" s="8">
        <v>6.0</v>
      </c>
      <c r="M2055" s="8"/>
      <c r="N2055" s="8"/>
      <c r="O2055" s="8" t="s">
        <v>788</v>
      </c>
      <c r="P2055" s="8">
        <v>2.0</v>
      </c>
    </row>
    <row r="2056">
      <c r="A2056">
        <f>IFERROR(__xludf.DUMMYFUNCTION("""COMPUTED_VALUE"""),8.0)</f>
        <v>8</v>
      </c>
      <c r="B2056">
        <f>IFERROR(__xludf.DUMMYFUNCTION("""COMPUTED_VALUE"""),29105.0)</f>
        <v>29105</v>
      </c>
      <c r="C2056" t="str">
        <f>IFERROR(__xludf.DUMMYFUNCTION("""COMPUTED_VALUE"""),"SANCHEZ DIAZ, MATIAS")</f>
        <v>SANCHEZ DIAZ, MATIAS</v>
      </c>
      <c r="D2056" t="str">
        <f>IFERROR(__xludf.DUMMYFUNCTION("""COMPUTED_VALUE"""),"Spanish 8A")</f>
        <v>Spanish 8A</v>
      </c>
      <c r="E2056" s="31">
        <f>IFERROR(__xludf.DUMMYFUNCTION("""COMPUTED_VALUE"""),2.0)</f>
        <v>2</v>
      </c>
      <c r="F2056" s="8">
        <v>1.0</v>
      </c>
      <c r="G2056" s="8">
        <v>1.0</v>
      </c>
      <c r="H2056" s="8">
        <v>1.0</v>
      </c>
      <c r="I2056" s="8">
        <v>1.0</v>
      </c>
      <c r="J2056" s="8">
        <v>1.0</v>
      </c>
      <c r="K2056" s="8">
        <v>1.0</v>
      </c>
      <c r="L2056" s="8">
        <v>6.0</v>
      </c>
      <c r="M2056" s="8"/>
      <c r="N2056" s="8"/>
      <c r="O2056" s="8" t="s">
        <v>789</v>
      </c>
      <c r="P2056" s="8" t="e">
        <v>#N/A</v>
      </c>
    </row>
    <row r="2057">
      <c r="A2057">
        <f>IFERROR(__xludf.DUMMYFUNCTION("""COMPUTED_VALUE"""),8.0)</f>
        <v>8</v>
      </c>
      <c r="B2057">
        <f>IFERROR(__xludf.DUMMYFUNCTION("""COMPUTED_VALUE"""),29106.0)</f>
        <v>29106</v>
      </c>
      <c r="C2057" t="str">
        <f>IFERROR(__xludf.DUMMYFUNCTION("""COMPUTED_VALUE"""),"SANCHEZ DIAZ, SIMON")</f>
        <v>SANCHEZ DIAZ, SIMON</v>
      </c>
      <c r="D2057" t="str">
        <f>IFERROR(__xludf.DUMMYFUNCTION("""COMPUTED_VALUE"""),"Spanish 8A")</f>
        <v>Spanish 8A</v>
      </c>
      <c r="E2057" s="31">
        <f>IFERROR(__xludf.DUMMYFUNCTION("""COMPUTED_VALUE"""),2.0)</f>
        <v>2</v>
      </c>
      <c r="F2057" s="8">
        <v>1.0</v>
      </c>
      <c r="G2057" s="8">
        <v>1.0</v>
      </c>
      <c r="H2057" s="8">
        <v>1.0</v>
      </c>
      <c r="I2057" s="8">
        <v>1.0</v>
      </c>
      <c r="J2057" s="8">
        <v>1.0</v>
      </c>
      <c r="K2057" s="8">
        <v>1.0</v>
      </c>
      <c r="L2057" s="8">
        <v>6.0</v>
      </c>
      <c r="M2057" s="8"/>
      <c r="N2057" s="8"/>
      <c r="O2057" s="8" t="s">
        <v>789</v>
      </c>
      <c r="P2057" s="8" t="e">
        <v>#N/A</v>
      </c>
    </row>
    <row r="2058">
      <c r="A2058">
        <f>IFERROR(__xludf.DUMMYFUNCTION("""COMPUTED_VALUE"""),8.0)</f>
        <v>8</v>
      </c>
      <c r="B2058">
        <f>IFERROR(__xludf.DUMMYFUNCTION("""COMPUTED_VALUE"""),29107.0)</f>
        <v>29107</v>
      </c>
      <c r="C2058" t="str">
        <f>IFERROR(__xludf.DUMMYFUNCTION("""COMPUTED_VALUE"""),"SANIN JARAMILLO, PEDRO")</f>
        <v>SANIN JARAMILLO, PEDRO</v>
      </c>
      <c r="D2058" t="str">
        <f>IFERROR(__xludf.DUMMYFUNCTION("""COMPUTED_VALUE"""),"Spanish 8")</f>
        <v>Spanish 8</v>
      </c>
      <c r="E2058" s="31">
        <f>IFERROR(__xludf.DUMMYFUNCTION("""COMPUTED_VALUE"""),6.0)</f>
        <v>6</v>
      </c>
      <c r="F2058" s="8">
        <v>1.0</v>
      </c>
      <c r="G2058" s="8">
        <v>1.0</v>
      </c>
      <c r="H2058" s="8">
        <v>1.0</v>
      </c>
      <c r="I2058" s="8">
        <v>1.0</v>
      </c>
      <c r="J2058" s="8">
        <v>1.0</v>
      </c>
      <c r="K2058" s="8">
        <v>1.0</v>
      </c>
      <c r="L2058" s="8">
        <v>6.0</v>
      </c>
      <c r="M2058" s="8"/>
      <c r="N2058" s="8"/>
      <c r="O2058" s="8" t="s">
        <v>784</v>
      </c>
      <c r="P2058" s="8">
        <v>2.0</v>
      </c>
    </row>
    <row r="2059">
      <c r="A2059">
        <f>IFERROR(__xludf.DUMMYFUNCTION("""COMPUTED_VALUE"""),8.0)</f>
        <v>8</v>
      </c>
      <c r="B2059">
        <f>IFERROR(__xludf.DUMMYFUNCTION("""COMPUTED_VALUE"""),29108.0)</f>
        <v>29108</v>
      </c>
      <c r="C2059" t="str">
        <f>IFERROR(__xludf.DUMMYFUNCTION("""COMPUTED_VALUE"""),"SCHOBER OCAMPO, DANIEL")</f>
        <v>SCHOBER OCAMPO, DANIEL</v>
      </c>
      <c r="D2059" t="str">
        <f>IFERROR(__xludf.DUMMYFUNCTION("""COMPUTED_VALUE"""),"Spanish 8A")</f>
        <v>Spanish 8A</v>
      </c>
      <c r="E2059" s="31">
        <f>IFERROR(__xludf.DUMMYFUNCTION("""COMPUTED_VALUE"""),2.0)</f>
        <v>2</v>
      </c>
      <c r="F2059" s="8">
        <v>1.0</v>
      </c>
      <c r="G2059" s="8">
        <v>1.0</v>
      </c>
      <c r="H2059" s="8">
        <v>1.0</v>
      </c>
      <c r="I2059" s="8">
        <v>1.0</v>
      </c>
      <c r="J2059" s="8">
        <v>1.0</v>
      </c>
      <c r="K2059" s="8">
        <v>1.0</v>
      </c>
      <c r="L2059" s="8">
        <v>6.0</v>
      </c>
      <c r="M2059" s="8"/>
      <c r="N2059" s="8"/>
      <c r="O2059" s="8" t="s">
        <v>789</v>
      </c>
      <c r="P2059" s="8" t="e">
        <v>#N/A</v>
      </c>
    </row>
    <row r="2060">
      <c r="A2060">
        <f>IFERROR(__xludf.DUMMYFUNCTION("""COMPUTED_VALUE"""),8.0)</f>
        <v>8</v>
      </c>
      <c r="B2060">
        <f>IFERROR(__xludf.DUMMYFUNCTION("""COMPUTED_VALUE"""),29171.0)</f>
        <v>29171</v>
      </c>
      <c r="C2060" t="str">
        <f>IFERROR(__xludf.DUMMYFUNCTION("""COMPUTED_VALUE"""),"SCHUCHASKIE, KEATON")</f>
        <v>SCHUCHASKIE, KEATON</v>
      </c>
      <c r="D2060" t="str">
        <f>IFERROR(__xludf.DUMMYFUNCTION("""COMPUTED_VALUE"""),"SAL")</f>
        <v>SAL</v>
      </c>
      <c r="E2060" s="31">
        <f>IFERROR(__xludf.DUMMYFUNCTION("""COMPUTED_VALUE"""),2.0)</f>
        <v>2</v>
      </c>
      <c r="F2060" s="8">
        <v>1.0</v>
      </c>
      <c r="G2060" s="8">
        <v>1.0</v>
      </c>
      <c r="H2060" s="8">
        <v>1.0</v>
      </c>
      <c r="I2060" s="8">
        <v>1.0</v>
      </c>
      <c r="J2060" s="8">
        <v>1.0</v>
      </c>
      <c r="K2060" s="8">
        <v>1.0</v>
      </c>
      <c r="L2060" s="8">
        <v>6.0</v>
      </c>
      <c r="M2060" s="8"/>
      <c r="N2060" s="8"/>
      <c r="O2060" s="8" t="s">
        <v>777</v>
      </c>
      <c r="P2060" s="8" t="e">
        <v>#N/A</v>
      </c>
    </row>
    <row r="2061">
      <c r="A2061">
        <f>IFERROR(__xludf.DUMMYFUNCTION("""COMPUTED_VALUE"""),8.0)</f>
        <v>8</v>
      </c>
      <c r="B2061">
        <f>IFERROR(__xludf.DUMMYFUNCTION("""COMPUTED_VALUE"""),29109.0)</f>
        <v>29109</v>
      </c>
      <c r="C2061" t="str">
        <f>IFERROR(__xludf.DUMMYFUNCTION("""COMPUTED_VALUE"""),"SERANI ANGEL, LUCIANA")</f>
        <v>SERANI ANGEL, LUCIANA</v>
      </c>
      <c r="D2061" t="str">
        <f>IFERROR(__xludf.DUMMYFUNCTION("""COMPUTED_VALUE"""),"Spanish 8A")</f>
        <v>Spanish 8A</v>
      </c>
      <c r="E2061" s="31">
        <f>IFERROR(__xludf.DUMMYFUNCTION("""COMPUTED_VALUE"""),2.0)</f>
        <v>2</v>
      </c>
      <c r="F2061" s="8">
        <v>1.0</v>
      </c>
      <c r="G2061" s="8">
        <v>1.0</v>
      </c>
      <c r="H2061" s="8">
        <v>1.0</v>
      </c>
      <c r="I2061" s="8">
        <v>1.0</v>
      </c>
      <c r="J2061" s="8">
        <v>1.0</v>
      </c>
      <c r="K2061" s="8">
        <v>1.0</v>
      </c>
      <c r="L2061" s="8">
        <v>6.0</v>
      </c>
      <c r="M2061" s="8"/>
      <c r="N2061" s="8"/>
      <c r="O2061" s="8" t="s">
        <v>789</v>
      </c>
      <c r="P2061" s="8" t="e">
        <v>#N/A</v>
      </c>
    </row>
    <row r="2062">
      <c r="A2062">
        <f>IFERROR(__xludf.DUMMYFUNCTION("""COMPUTED_VALUE"""),8.0)</f>
        <v>8</v>
      </c>
      <c r="B2062">
        <f>IFERROR(__xludf.DUMMYFUNCTION("""COMPUTED_VALUE"""),29110.0)</f>
        <v>29110</v>
      </c>
      <c r="C2062" t="str">
        <f>IFERROR(__xludf.DUMMYFUNCTION("""COMPUTED_VALUE"""),"SOSA ECHAVARRIA, EMILIO")</f>
        <v>SOSA ECHAVARRIA, EMILIO</v>
      </c>
      <c r="D2062" t="str">
        <f>IFERROR(__xludf.DUMMYFUNCTION("""COMPUTED_VALUE"""),"Spanish 8")</f>
        <v>Spanish 8</v>
      </c>
      <c r="E2062" s="31">
        <f>IFERROR(__xludf.DUMMYFUNCTION("""COMPUTED_VALUE"""),1.0)</f>
        <v>1</v>
      </c>
      <c r="F2062" s="8">
        <v>1.0</v>
      </c>
      <c r="G2062" s="8">
        <v>1.0</v>
      </c>
      <c r="H2062" s="8">
        <v>1.0</v>
      </c>
      <c r="I2062" s="8">
        <v>1.0</v>
      </c>
      <c r="J2062" s="8">
        <v>1.0</v>
      </c>
      <c r="K2062" s="8">
        <v>1.0</v>
      </c>
      <c r="L2062" s="8">
        <v>6.0</v>
      </c>
      <c r="M2062" s="8"/>
      <c r="N2062" s="8"/>
      <c r="O2062" s="8" t="s">
        <v>788</v>
      </c>
      <c r="P2062" s="8">
        <v>2.0</v>
      </c>
    </row>
    <row r="2063">
      <c r="A2063">
        <f>IFERROR(__xludf.DUMMYFUNCTION("""COMPUTED_VALUE"""),8.0)</f>
        <v>8</v>
      </c>
      <c r="B2063">
        <f>IFERROR(__xludf.DUMMYFUNCTION("""COMPUTED_VALUE"""),29111.0)</f>
        <v>29111</v>
      </c>
      <c r="C2063" t="str">
        <f>IFERROR(__xludf.DUMMYFUNCTION("""COMPUTED_VALUE"""),"SOTO ANGEL, GABRIELA")</f>
        <v>SOTO ANGEL, GABRIELA</v>
      </c>
      <c r="D2063" t="str">
        <f>IFERROR(__xludf.DUMMYFUNCTION("""COMPUTED_VALUE"""),"Spanish 8")</f>
        <v>Spanish 8</v>
      </c>
      <c r="E2063" s="31">
        <f>IFERROR(__xludf.DUMMYFUNCTION("""COMPUTED_VALUE"""),2.0)</f>
        <v>2</v>
      </c>
      <c r="F2063" s="8">
        <v>1.0</v>
      </c>
      <c r="G2063" s="8">
        <v>1.0</v>
      </c>
      <c r="H2063" s="8">
        <v>1.0</v>
      </c>
      <c r="I2063" s="8">
        <v>1.0</v>
      </c>
      <c r="J2063" s="8">
        <v>1.0</v>
      </c>
      <c r="K2063" s="8">
        <v>1.0</v>
      </c>
      <c r="L2063" s="8">
        <v>6.0</v>
      </c>
      <c r="M2063" s="8"/>
      <c r="N2063" s="8"/>
      <c r="O2063" s="8" t="s">
        <v>786</v>
      </c>
      <c r="P2063" s="8">
        <v>2.0</v>
      </c>
    </row>
    <row r="2064">
      <c r="A2064">
        <f>IFERROR(__xludf.DUMMYFUNCTION("""COMPUTED_VALUE"""),8.0)</f>
        <v>8</v>
      </c>
      <c r="B2064">
        <f>IFERROR(__xludf.DUMMYFUNCTION("""COMPUTED_VALUE"""),29112.0)</f>
        <v>29112</v>
      </c>
      <c r="C2064" t="str">
        <f>IFERROR(__xludf.DUMMYFUNCTION("""COMPUTED_VALUE"""),"SUAREZ MARTINEZ, ANA")</f>
        <v>SUAREZ MARTINEZ, ANA</v>
      </c>
      <c r="D2064" t="str">
        <f>IFERROR(__xludf.DUMMYFUNCTION("""COMPUTED_VALUE"""),"Spanish 8")</f>
        <v>Spanish 8</v>
      </c>
      <c r="E2064" s="31">
        <f>IFERROR(__xludf.DUMMYFUNCTION("""COMPUTED_VALUE"""),6.0)</f>
        <v>6</v>
      </c>
      <c r="F2064" s="8">
        <v>1.0</v>
      </c>
      <c r="G2064" s="8">
        <v>1.0</v>
      </c>
      <c r="H2064" s="8">
        <v>1.0</v>
      </c>
      <c r="I2064" s="8">
        <v>1.0</v>
      </c>
      <c r="J2064" s="8">
        <v>1.0</v>
      </c>
      <c r="K2064" s="8">
        <v>1.0</v>
      </c>
      <c r="L2064" s="8">
        <v>6.0</v>
      </c>
      <c r="M2064" s="8"/>
      <c r="N2064" s="8"/>
      <c r="O2064" s="8" t="s">
        <v>784</v>
      </c>
      <c r="P2064" s="8">
        <v>2.0</v>
      </c>
    </row>
    <row r="2065">
      <c r="A2065">
        <f>IFERROR(__xludf.DUMMYFUNCTION("""COMPUTED_VALUE"""),8.0)</f>
        <v>8</v>
      </c>
      <c r="B2065">
        <f>IFERROR(__xludf.DUMMYFUNCTION("""COMPUTED_VALUE"""),29113.0)</f>
        <v>29113</v>
      </c>
      <c r="C2065" t="str">
        <f>IFERROR(__xludf.DUMMYFUNCTION("""COMPUTED_VALUE"""),"THIRIEZ VILLA, EMMA")</f>
        <v>THIRIEZ VILLA, EMMA</v>
      </c>
      <c r="D2065" t="str">
        <f>IFERROR(__xludf.DUMMYFUNCTION("""COMPUTED_VALUE"""),"Spanish 8")</f>
        <v>Spanish 8</v>
      </c>
      <c r="E2065" s="31">
        <f>IFERROR(__xludf.DUMMYFUNCTION("""COMPUTED_VALUE"""),1.0)</f>
        <v>1</v>
      </c>
      <c r="F2065" s="8">
        <v>1.0</v>
      </c>
      <c r="G2065" s="8">
        <v>1.0</v>
      </c>
      <c r="H2065" s="8">
        <v>1.0</v>
      </c>
      <c r="I2065" s="8">
        <v>1.0</v>
      </c>
      <c r="J2065" s="8">
        <v>1.0</v>
      </c>
      <c r="K2065" s="8">
        <v>1.0</v>
      </c>
      <c r="L2065" s="8">
        <v>6.0</v>
      </c>
      <c r="M2065" s="8"/>
      <c r="N2065" s="8"/>
      <c r="O2065" s="8" t="s">
        <v>788</v>
      </c>
      <c r="P2065" s="8">
        <v>2.0</v>
      </c>
    </row>
    <row r="2066">
      <c r="A2066">
        <f>IFERROR(__xludf.DUMMYFUNCTION("""COMPUTED_VALUE"""),8.0)</f>
        <v>8</v>
      </c>
      <c r="B2066">
        <f>IFERROR(__xludf.DUMMYFUNCTION("""COMPUTED_VALUE"""),29114.0)</f>
        <v>29114</v>
      </c>
      <c r="C2066" t="str">
        <f>IFERROR(__xludf.DUMMYFUNCTION("""COMPUTED_VALUE"""),"THIRIEZ VILLA, MARIA")</f>
        <v>THIRIEZ VILLA, MARIA</v>
      </c>
      <c r="D2066" t="str">
        <f>IFERROR(__xludf.DUMMYFUNCTION("""COMPUTED_VALUE"""),"Spanish 8")</f>
        <v>Spanish 8</v>
      </c>
      <c r="E2066" s="31">
        <f>IFERROR(__xludf.DUMMYFUNCTION("""COMPUTED_VALUE"""),6.0)</f>
        <v>6</v>
      </c>
      <c r="F2066" s="8">
        <v>1.0</v>
      </c>
      <c r="G2066" s="8">
        <v>1.0</v>
      </c>
      <c r="H2066" s="8">
        <v>1.0</v>
      </c>
      <c r="I2066" s="8">
        <v>1.0</v>
      </c>
      <c r="J2066" s="8">
        <v>1.0</v>
      </c>
      <c r="K2066" s="8">
        <v>1.0</v>
      </c>
      <c r="L2066" s="8">
        <v>6.0</v>
      </c>
      <c r="M2066" s="8"/>
      <c r="N2066" s="8"/>
      <c r="O2066" s="8" t="s">
        <v>784</v>
      </c>
      <c r="P2066" s="8">
        <v>2.0</v>
      </c>
    </row>
    <row r="2067">
      <c r="A2067">
        <f>IFERROR(__xludf.DUMMYFUNCTION("""COMPUTED_VALUE"""),8.0)</f>
        <v>8</v>
      </c>
      <c r="B2067">
        <f>IFERROR(__xludf.DUMMYFUNCTION("""COMPUTED_VALUE"""),29115.0)</f>
        <v>29115</v>
      </c>
      <c r="C2067" t="str">
        <f>IFERROR(__xludf.DUMMYFUNCTION("""COMPUTED_VALUE"""),"TIRADO SANIN, ELENA")</f>
        <v>TIRADO SANIN, ELENA</v>
      </c>
      <c r="D2067" t="str">
        <f>IFERROR(__xludf.DUMMYFUNCTION("""COMPUTED_VALUE"""),"Spanish 8")</f>
        <v>Spanish 8</v>
      </c>
      <c r="E2067" s="31">
        <f>IFERROR(__xludf.DUMMYFUNCTION("""COMPUTED_VALUE"""),3.0)</f>
        <v>3</v>
      </c>
      <c r="F2067" s="8">
        <v>1.0</v>
      </c>
      <c r="G2067" s="8">
        <v>1.0</v>
      </c>
      <c r="H2067" s="8">
        <v>1.0</v>
      </c>
      <c r="I2067" s="8">
        <v>1.0</v>
      </c>
      <c r="J2067" s="8">
        <v>1.0</v>
      </c>
      <c r="K2067" s="8">
        <v>1.0</v>
      </c>
      <c r="L2067" s="8">
        <v>6.0</v>
      </c>
      <c r="M2067" s="8"/>
      <c r="N2067" s="8"/>
      <c r="O2067" s="8" t="s">
        <v>787</v>
      </c>
      <c r="P2067" s="8">
        <v>2.0</v>
      </c>
    </row>
    <row r="2068">
      <c r="A2068">
        <f>IFERROR(__xludf.DUMMYFUNCTION("""COMPUTED_VALUE"""),8.0)</f>
        <v>8</v>
      </c>
      <c r="B2068">
        <f>IFERROR(__xludf.DUMMYFUNCTION("""COMPUTED_VALUE"""),29116.0)</f>
        <v>29116</v>
      </c>
      <c r="C2068" t="str">
        <f>IFERROR(__xludf.DUMMYFUNCTION("""COMPUTED_VALUE"""),"TOBAR MEJIA, CAMILO")</f>
        <v>TOBAR MEJIA, CAMILO</v>
      </c>
      <c r="D2068" t="str">
        <f>IFERROR(__xludf.DUMMYFUNCTION("""COMPUTED_VALUE"""),"Spanish 8")</f>
        <v>Spanish 8</v>
      </c>
      <c r="E2068" s="31">
        <f>IFERROR(__xludf.DUMMYFUNCTION("""COMPUTED_VALUE"""),4.0)</f>
        <v>4</v>
      </c>
      <c r="F2068" s="8">
        <v>1.0</v>
      </c>
      <c r="G2068" s="8">
        <v>1.0</v>
      </c>
      <c r="H2068" s="8">
        <v>1.0</v>
      </c>
      <c r="I2068" s="8">
        <v>1.0</v>
      </c>
      <c r="J2068" s="8">
        <v>1.0</v>
      </c>
      <c r="K2068" s="8">
        <v>1.0</v>
      </c>
      <c r="L2068" s="8">
        <v>6.0</v>
      </c>
      <c r="M2068" s="8"/>
      <c r="N2068" s="8"/>
      <c r="O2068" s="8" t="s">
        <v>785</v>
      </c>
      <c r="P2068" s="8">
        <v>2.0</v>
      </c>
    </row>
    <row r="2069">
      <c r="A2069">
        <f>IFERROR(__xludf.DUMMYFUNCTION("""COMPUTED_VALUE"""),8.0)</f>
        <v>8</v>
      </c>
      <c r="B2069">
        <f>IFERROR(__xludf.DUMMYFUNCTION("""COMPUTED_VALUE"""),29142.0)</f>
        <v>29142</v>
      </c>
      <c r="C2069" t="str">
        <f>IFERROR(__xludf.DUMMYFUNCTION("""COMPUTED_VALUE"""),"TOBON CARMONA, JACOBO")</f>
        <v>TOBON CARMONA, JACOBO</v>
      </c>
      <c r="D2069" t="str">
        <f>IFERROR(__xludf.DUMMYFUNCTION("""COMPUTED_VALUE"""),"Spanish 8A")</f>
        <v>Spanish 8A</v>
      </c>
      <c r="E2069" s="31">
        <f>IFERROR(__xludf.DUMMYFUNCTION("""COMPUTED_VALUE"""),2.0)</f>
        <v>2</v>
      </c>
      <c r="F2069" s="8">
        <v>1.0</v>
      </c>
      <c r="G2069" s="8">
        <v>1.0</v>
      </c>
      <c r="H2069" s="8">
        <v>1.0</v>
      </c>
      <c r="I2069" s="8">
        <v>1.0</v>
      </c>
      <c r="J2069" s="8">
        <v>1.0</v>
      </c>
      <c r="K2069" s="8">
        <v>1.0</v>
      </c>
      <c r="L2069" s="8">
        <v>6.0</v>
      </c>
      <c r="M2069" s="8"/>
      <c r="N2069" s="8"/>
      <c r="O2069" s="8" t="s">
        <v>789</v>
      </c>
      <c r="P2069" s="8" t="e">
        <v>#N/A</v>
      </c>
    </row>
    <row r="2070">
      <c r="A2070">
        <f>IFERROR(__xludf.DUMMYFUNCTION("""COMPUTED_VALUE"""),8.0)</f>
        <v>8</v>
      </c>
      <c r="B2070">
        <f>IFERROR(__xludf.DUMMYFUNCTION("""COMPUTED_VALUE"""),29117.0)</f>
        <v>29117</v>
      </c>
      <c r="C2070" t="str">
        <f>IFERROR(__xludf.DUMMYFUNCTION("""COMPUTED_VALUE"""),"TOBON GONZALEZ, FLORENCIA")</f>
        <v>TOBON GONZALEZ, FLORENCIA</v>
      </c>
      <c r="D2070" t="str">
        <f>IFERROR(__xludf.DUMMYFUNCTION("""COMPUTED_VALUE"""),"Spanish 8")</f>
        <v>Spanish 8</v>
      </c>
      <c r="E2070" s="31">
        <f>IFERROR(__xludf.DUMMYFUNCTION("""COMPUTED_VALUE"""),3.0)</f>
        <v>3</v>
      </c>
      <c r="F2070" s="8">
        <v>1.0</v>
      </c>
      <c r="G2070" s="8">
        <v>1.0</v>
      </c>
      <c r="H2070" s="8">
        <v>1.0</v>
      </c>
      <c r="I2070" s="8">
        <v>1.0</v>
      </c>
      <c r="J2070" s="8">
        <v>1.0</v>
      </c>
      <c r="K2070" s="8">
        <v>1.0</v>
      </c>
      <c r="L2070" s="8">
        <v>6.0</v>
      </c>
      <c r="M2070" s="8"/>
      <c r="N2070" s="8"/>
      <c r="O2070" s="8" t="s">
        <v>787</v>
      </c>
      <c r="P2070" s="8">
        <v>2.0</v>
      </c>
    </row>
    <row r="2071">
      <c r="A2071">
        <f>IFERROR(__xludf.DUMMYFUNCTION("""COMPUTED_VALUE"""),8.0)</f>
        <v>8</v>
      </c>
      <c r="B2071">
        <f>IFERROR(__xludf.DUMMYFUNCTION("""COMPUTED_VALUE"""),29118.0)</f>
        <v>29118</v>
      </c>
      <c r="C2071" t="str">
        <f>IFERROR(__xludf.DUMMYFUNCTION("""COMPUTED_VALUE"""),"TRUJILLO RUIZ, SAMUEL")</f>
        <v>TRUJILLO RUIZ, SAMUEL</v>
      </c>
      <c r="D2071" t="str">
        <f>IFERROR(__xludf.DUMMYFUNCTION("""COMPUTED_VALUE"""),"Spanish 8")</f>
        <v>Spanish 8</v>
      </c>
      <c r="E2071" s="31">
        <f>IFERROR(__xludf.DUMMYFUNCTION("""COMPUTED_VALUE"""),4.0)</f>
        <v>4</v>
      </c>
      <c r="F2071" s="8">
        <v>1.0</v>
      </c>
      <c r="G2071" s="8">
        <v>1.0</v>
      </c>
      <c r="H2071" s="8">
        <v>1.0</v>
      </c>
      <c r="I2071" s="8">
        <v>1.0</v>
      </c>
      <c r="J2071" s="8">
        <v>1.0</v>
      </c>
      <c r="K2071" s="8">
        <v>1.0</v>
      </c>
      <c r="L2071" s="8">
        <v>6.0</v>
      </c>
      <c r="M2071" s="8"/>
      <c r="N2071" s="8"/>
      <c r="O2071" s="8" t="s">
        <v>785</v>
      </c>
      <c r="P2071" s="8">
        <v>2.0</v>
      </c>
    </row>
    <row r="2072">
      <c r="A2072">
        <f>IFERROR(__xludf.DUMMYFUNCTION("""COMPUTED_VALUE"""),8.0)</f>
        <v>8</v>
      </c>
      <c r="B2072">
        <f>IFERROR(__xludf.DUMMYFUNCTION("""COMPUTED_VALUE"""),29119.0)</f>
        <v>29119</v>
      </c>
      <c r="C2072" t="str">
        <f>IFERROR(__xludf.DUMMYFUNCTION("""COMPUTED_VALUE"""),"TRUJILLO RUIZ, SARA")</f>
        <v>TRUJILLO RUIZ, SARA</v>
      </c>
      <c r="D2072" t="str">
        <f>IFERROR(__xludf.DUMMYFUNCTION("""COMPUTED_VALUE"""),"Spanish 8")</f>
        <v>Spanish 8</v>
      </c>
      <c r="E2072" s="31">
        <f>IFERROR(__xludf.DUMMYFUNCTION("""COMPUTED_VALUE"""),1.0)</f>
        <v>1</v>
      </c>
      <c r="F2072" s="8">
        <v>1.0</v>
      </c>
      <c r="G2072" s="8">
        <v>1.0</v>
      </c>
      <c r="H2072" s="8">
        <v>1.0</v>
      </c>
      <c r="I2072" s="8">
        <v>1.0</v>
      </c>
      <c r="J2072" s="8">
        <v>1.0</v>
      </c>
      <c r="K2072" s="8">
        <v>1.0</v>
      </c>
      <c r="L2072" s="8">
        <v>6.0</v>
      </c>
      <c r="M2072" s="8"/>
      <c r="N2072" s="8"/>
      <c r="O2072" s="8" t="s">
        <v>788</v>
      </c>
      <c r="P2072" s="8">
        <v>2.0</v>
      </c>
    </row>
    <row r="2073">
      <c r="A2073">
        <f>IFERROR(__xludf.DUMMYFUNCTION("""COMPUTED_VALUE"""),8.0)</f>
        <v>8</v>
      </c>
      <c r="B2073">
        <f>IFERROR(__xludf.DUMMYFUNCTION("""COMPUTED_VALUE"""),29092.0)</f>
        <v>29092</v>
      </c>
      <c r="C2073" t="str">
        <f>IFERROR(__xludf.DUMMYFUNCTION("""COMPUTED_VALUE"""),"TURIZZO BORRERO, CAMILO ANDRES")</f>
        <v>TURIZZO BORRERO, CAMILO ANDRES</v>
      </c>
      <c r="D2073" t="str">
        <f>IFERROR(__xludf.DUMMYFUNCTION("""COMPUTED_VALUE"""),"Spanish 8")</f>
        <v>Spanish 8</v>
      </c>
      <c r="E2073" s="31">
        <f>IFERROR(__xludf.DUMMYFUNCTION("""COMPUTED_VALUE"""),1.0)</f>
        <v>1</v>
      </c>
      <c r="F2073" s="8">
        <v>1.0</v>
      </c>
      <c r="G2073" s="8">
        <v>1.0</v>
      </c>
      <c r="H2073" s="8">
        <v>1.0</v>
      </c>
      <c r="I2073" s="8">
        <v>1.0</v>
      </c>
      <c r="J2073" s="8">
        <v>1.0</v>
      </c>
      <c r="K2073" s="8">
        <v>1.0</v>
      </c>
      <c r="L2073" s="8">
        <v>6.0</v>
      </c>
      <c r="M2073" s="8"/>
      <c r="N2073" s="8"/>
      <c r="O2073" s="8" t="s">
        <v>788</v>
      </c>
      <c r="P2073" s="8">
        <v>2.0</v>
      </c>
    </row>
    <row r="2074">
      <c r="A2074">
        <f>IFERROR(__xludf.DUMMYFUNCTION("""COMPUTED_VALUE"""),8.0)</f>
        <v>8</v>
      </c>
      <c r="B2074">
        <f>IFERROR(__xludf.DUMMYFUNCTION("""COMPUTED_VALUE"""),29120.0)</f>
        <v>29120</v>
      </c>
      <c r="C2074" t="str">
        <f>IFERROR(__xludf.DUMMYFUNCTION("""COMPUTED_VALUE"""),"URIBE JARAMILLO, PEDRO JUAN")</f>
        <v>URIBE JARAMILLO, PEDRO JUAN</v>
      </c>
      <c r="D2074" t="str">
        <f>IFERROR(__xludf.DUMMYFUNCTION("""COMPUTED_VALUE"""),"Spanish 8A")</f>
        <v>Spanish 8A</v>
      </c>
      <c r="E2074" s="31">
        <f>IFERROR(__xludf.DUMMYFUNCTION("""COMPUTED_VALUE"""),2.0)</f>
        <v>2</v>
      </c>
      <c r="F2074" s="8">
        <v>1.0</v>
      </c>
      <c r="G2074" s="8">
        <v>1.0</v>
      </c>
      <c r="H2074" s="8">
        <v>1.0</v>
      </c>
      <c r="I2074" s="8">
        <v>1.0</v>
      </c>
      <c r="J2074" s="8">
        <v>1.0</v>
      </c>
      <c r="K2074" s="8">
        <v>1.0</v>
      </c>
      <c r="L2074" s="8">
        <v>6.0</v>
      </c>
      <c r="M2074" s="8"/>
      <c r="N2074" s="8"/>
      <c r="O2074" s="8" t="s">
        <v>789</v>
      </c>
      <c r="P2074" s="8" t="e">
        <v>#N/A</v>
      </c>
    </row>
    <row r="2075">
      <c r="A2075">
        <f>IFERROR(__xludf.DUMMYFUNCTION("""COMPUTED_VALUE"""),8.0)</f>
        <v>8</v>
      </c>
      <c r="B2075">
        <f>IFERROR(__xludf.DUMMYFUNCTION("""COMPUTED_VALUE"""),29122.0)</f>
        <v>29122</v>
      </c>
      <c r="C2075" t="str">
        <f>IFERROR(__xludf.DUMMYFUNCTION("""COMPUTED_VALUE"""),"URIBE RODRIGUEZ, MARIA LUISA")</f>
        <v>URIBE RODRIGUEZ, MARIA LUISA</v>
      </c>
      <c r="D2075" t="str">
        <f>IFERROR(__xludf.DUMMYFUNCTION("""COMPUTED_VALUE"""),"Spanish 8")</f>
        <v>Spanish 8</v>
      </c>
      <c r="E2075" s="31">
        <f>IFERROR(__xludf.DUMMYFUNCTION("""COMPUTED_VALUE"""),2.0)</f>
        <v>2</v>
      </c>
      <c r="F2075" s="8">
        <v>1.0</v>
      </c>
      <c r="G2075" s="8">
        <v>1.0</v>
      </c>
      <c r="H2075" s="8">
        <v>1.0</v>
      </c>
      <c r="I2075" s="8">
        <v>1.0</v>
      </c>
      <c r="J2075" s="8">
        <v>1.0</v>
      </c>
      <c r="K2075" s="8">
        <v>1.0</v>
      </c>
      <c r="L2075" s="8">
        <v>6.0</v>
      </c>
      <c r="M2075" s="8"/>
      <c r="N2075" s="8"/>
      <c r="O2075" s="8" t="s">
        <v>786</v>
      </c>
      <c r="P2075" s="8">
        <v>2.0</v>
      </c>
    </row>
    <row r="2076">
      <c r="A2076">
        <f>IFERROR(__xludf.DUMMYFUNCTION("""COMPUTED_VALUE"""),8.0)</f>
        <v>8</v>
      </c>
      <c r="B2076">
        <f>IFERROR(__xludf.DUMMYFUNCTION("""COMPUTED_VALUE"""),29123.0)</f>
        <v>29123</v>
      </c>
      <c r="C2076" t="str">
        <f>IFERROR(__xludf.DUMMYFUNCTION("""COMPUTED_VALUE"""),"URRETA HENAO, OLIVIA")</f>
        <v>URRETA HENAO, OLIVIA</v>
      </c>
      <c r="D2076" t="str">
        <f>IFERROR(__xludf.DUMMYFUNCTION("""COMPUTED_VALUE"""),"Spanish 8")</f>
        <v>Spanish 8</v>
      </c>
      <c r="E2076" s="31">
        <f>IFERROR(__xludf.DUMMYFUNCTION("""COMPUTED_VALUE"""),4.0)</f>
        <v>4</v>
      </c>
      <c r="F2076" s="8">
        <v>1.0</v>
      </c>
      <c r="G2076" s="8">
        <v>1.0</v>
      </c>
      <c r="H2076" s="8">
        <v>1.0</v>
      </c>
      <c r="I2076" s="8">
        <v>1.0</v>
      </c>
      <c r="J2076" s="8">
        <v>1.0</v>
      </c>
      <c r="K2076" s="8">
        <v>1.0</v>
      </c>
      <c r="L2076" s="8">
        <v>6.0</v>
      </c>
      <c r="M2076" s="8"/>
      <c r="N2076" s="8"/>
      <c r="O2076" s="8" t="s">
        <v>785</v>
      </c>
      <c r="P2076" s="8">
        <v>2.0</v>
      </c>
    </row>
    <row r="2077">
      <c r="A2077">
        <f>IFERROR(__xludf.DUMMYFUNCTION("""COMPUTED_VALUE"""),8.0)</f>
        <v>8</v>
      </c>
      <c r="B2077">
        <f>IFERROR(__xludf.DUMMYFUNCTION("""COMPUTED_VALUE"""),29124.0)</f>
        <v>29124</v>
      </c>
      <c r="C2077" t="str">
        <f>IFERROR(__xludf.DUMMYFUNCTION("""COMPUTED_VALUE"""),"VALLEJO HOYOS, JUAN")</f>
        <v>VALLEJO HOYOS, JUAN</v>
      </c>
      <c r="D2077" t="str">
        <f>IFERROR(__xludf.DUMMYFUNCTION("""COMPUTED_VALUE"""),"Spanish 8")</f>
        <v>Spanish 8</v>
      </c>
      <c r="E2077" s="31">
        <f>IFERROR(__xludf.DUMMYFUNCTION("""COMPUTED_VALUE"""),6.0)</f>
        <v>6</v>
      </c>
      <c r="F2077" s="8">
        <v>1.0</v>
      </c>
      <c r="G2077" s="8">
        <v>1.0</v>
      </c>
      <c r="H2077" s="8">
        <v>1.0</v>
      </c>
      <c r="I2077" s="8">
        <v>1.0</v>
      </c>
      <c r="J2077" s="8">
        <v>1.0</v>
      </c>
      <c r="K2077" s="8">
        <v>1.0</v>
      </c>
      <c r="L2077" s="8">
        <v>6.0</v>
      </c>
      <c r="M2077" s="8"/>
      <c r="N2077" s="8"/>
      <c r="O2077" s="8" t="s">
        <v>784</v>
      </c>
      <c r="P2077" s="8">
        <v>2.0</v>
      </c>
    </row>
    <row r="2078">
      <c r="A2078">
        <f>IFERROR(__xludf.DUMMYFUNCTION("""COMPUTED_VALUE"""),8.0)</f>
        <v>8</v>
      </c>
      <c r="B2078">
        <f>IFERROR(__xludf.DUMMYFUNCTION("""COMPUTED_VALUE"""),29125.0)</f>
        <v>29125</v>
      </c>
      <c r="C2078" t="str">
        <f>IFERROR(__xludf.DUMMYFUNCTION("""COMPUTED_VALUE"""),"VALLEJO LONDOÑO, TOMAS")</f>
        <v>VALLEJO LONDOÑO, TOMAS</v>
      </c>
      <c r="D2078" t="str">
        <f>IFERROR(__xludf.DUMMYFUNCTION("""COMPUTED_VALUE"""),"Spanish 8")</f>
        <v>Spanish 8</v>
      </c>
      <c r="E2078" s="31">
        <f>IFERROR(__xludf.DUMMYFUNCTION("""COMPUTED_VALUE"""),6.0)</f>
        <v>6</v>
      </c>
      <c r="F2078" s="8">
        <v>1.0</v>
      </c>
      <c r="G2078" s="8">
        <v>1.0</v>
      </c>
      <c r="H2078" s="8">
        <v>1.0</v>
      </c>
      <c r="I2078" s="8">
        <v>1.0</v>
      </c>
      <c r="J2078" s="8">
        <v>1.0</v>
      </c>
      <c r="K2078" s="8">
        <v>1.0</v>
      </c>
      <c r="L2078" s="8">
        <v>6.0</v>
      </c>
      <c r="M2078" s="8"/>
      <c r="N2078" s="8"/>
      <c r="O2078" s="8" t="s">
        <v>784</v>
      </c>
      <c r="P2078" s="8">
        <v>2.0</v>
      </c>
    </row>
    <row r="2079">
      <c r="A2079">
        <f>IFERROR(__xludf.DUMMYFUNCTION("""COMPUTED_VALUE"""),8.0)</f>
        <v>8</v>
      </c>
      <c r="B2079">
        <f>IFERROR(__xludf.DUMMYFUNCTION("""COMPUTED_VALUE"""),29126.0)</f>
        <v>29126</v>
      </c>
      <c r="C2079" t="str">
        <f>IFERROR(__xludf.DUMMYFUNCTION("""COMPUTED_VALUE"""),"VASQUEZ ANGEL, JUANITA")</f>
        <v>VASQUEZ ANGEL, JUANITA</v>
      </c>
      <c r="D2079" t="str">
        <f>IFERROR(__xludf.DUMMYFUNCTION("""COMPUTED_VALUE"""),"Spanish 8")</f>
        <v>Spanish 8</v>
      </c>
      <c r="E2079" s="31">
        <f>IFERROR(__xludf.DUMMYFUNCTION("""COMPUTED_VALUE"""),4.0)</f>
        <v>4</v>
      </c>
      <c r="F2079" s="8">
        <v>1.0</v>
      </c>
      <c r="G2079" s="8">
        <v>1.0</v>
      </c>
      <c r="H2079" s="8">
        <v>1.0</v>
      </c>
      <c r="I2079" s="8">
        <v>1.0</v>
      </c>
      <c r="J2079" s="8">
        <v>1.0</v>
      </c>
      <c r="K2079" s="8">
        <v>1.0</v>
      </c>
      <c r="L2079" s="8">
        <v>6.0</v>
      </c>
      <c r="M2079" s="8"/>
      <c r="N2079" s="8"/>
      <c r="O2079" s="8" t="s">
        <v>785</v>
      </c>
      <c r="P2079" s="8">
        <v>2.0</v>
      </c>
    </row>
    <row r="2080">
      <c r="A2080">
        <f>IFERROR(__xludf.DUMMYFUNCTION("""COMPUTED_VALUE"""),8.0)</f>
        <v>8</v>
      </c>
      <c r="B2080">
        <f>IFERROR(__xludf.DUMMYFUNCTION("""COMPUTED_VALUE"""),29145.0)</f>
        <v>29145</v>
      </c>
      <c r="C2080" t="str">
        <f>IFERROR(__xludf.DUMMYFUNCTION("""COMPUTED_VALUE"""),"VELASQUEZ GUTIERREZ, SAMUEL")</f>
        <v>VELASQUEZ GUTIERREZ, SAMUEL</v>
      </c>
      <c r="D2080" t="str">
        <f>IFERROR(__xludf.DUMMYFUNCTION("""COMPUTED_VALUE"""),"Spanish 8")</f>
        <v>Spanish 8</v>
      </c>
      <c r="E2080" s="31">
        <f>IFERROR(__xludf.DUMMYFUNCTION("""COMPUTED_VALUE"""),3.0)</f>
        <v>3</v>
      </c>
      <c r="F2080" s="8">
        <v>1.0</v>
      </c>
      <c r="G2080" s="8">
        <v>1.0</v>
      </c>
      <c r="H2080" s="8">
        <v>1.0</v>
      </c>
      <c r="I2080" s="8">
        <v>1.0</v>
      </c>
      <c r="J2080" s="8">
        <v>1.0</v>
      </c>
      <c r="K2080" s="8">
        <v>1.0</v>
      </c>
      <c r="L2080" s="8">
        <v>6.0</v>
      </c>
      <c r="M2080" s="8"/>
      <c r="N2080" s="8"/>
      <c r="O2080" s="8" t="s">
        <v>787</v>
      </c>
      <c r="P2080" s="8">
        <v>2.0</v>
      </c>
    </row>
    <row r="2081">
      <c r="A2081">
        <f>IFERROR(__xludf.DUMMYFUNCTION("""COMPUTED_VALUE"""),8.0)</f>
        <v>8</v>
      </c>
      <c r="B2081">
        <f>IFERROR(__xludf.DUMMYFUNCTION("""COMPUTED_VALUE"""),29128.0)</f>
        <v>29128</v>
      </c>
      <c r="C2081" t="str">
        <f>IFERROR(__xludf.DUMMYFUNCTION("""COMPUTED_VALUE"""),"VELASQUEZ JARAMILLO, MARIA")</f>
        <v>VELASQUEZ JARAMILLO, MARIA</v>
      </c>
      <c r="D2081" t="str">
        <f>IFERROR(__xludf.DUMMYFUNCTION("""COMPUTED_VALUE"""),"Spanish 8")</f>
        <v>Spanish 8</v>
      </c>
      <c r="E2081" s="31">
        <f>IFERROR(__xludf.DUMMYFUNCTION("""COMPUTED_VALUE"""),2.0)</f>
        <v>2</v>
      </c>
      <c r="F2081" s="8">
        <v>1.0</v>
      </c>
      <c r="G2081" s="8">
        <v>1.0</v>
      </c>
      <c r="H2081" s="8">
        <v>1.0</v>
      </c>
      <c r="I2081" s="8">
        <v>1.0</v>
      </c>
      <c r="J2081" s="8">
        <v>1.0</v>
      </c>
      <c r="K2081" s="8">
        <v>1.0</v>
      </c>
      <c r="L2081" s="8">
        <v>6.0</v>
      </c>
      <c r="M2081" s="8"/>
      <c r="N2081" s="8"/>
      <c r="O2081" s="8" t="s">
        <v>786</v>
      </c>
      <c r="P2081" s="8">
        <v>2.0</v>
      </c>
    </row>
    <row r="2082">
      <c r="A2082">
        <f>IFERROR(__xludf.DUMMYFUNCTION("""COMPUTED_VALUE"""),8.0)</f>
        <v>8</v>
      </c>
      <c r="B2082">
        <f>IFERROR(__xludf.DUMMYFUNCTION("""COMPUTED_VALUE"""),29129.0)</f>
        <v>29129</v>
      </c>
      <c r="C2082" t="str">
        <f>IFERROR(__xludf.DUMMYFUNCTION("""COMPUTED_VALUE"""),"VELEZ RESTREPO, SIMON")</f>
        <v>VELEZ RESTREPO, SIMON</v>
      </c>
      <c r="D2082" t="str">
        <f>IFERROR(__xludf.DUMMYFUNCTION("""COMPUTED_VALUE"""),"Spanish 8")</f>
        <v>Spanish 8</v>
      </c>
      <c r="E2082" s="31">
        <f>IFERROR(__xludf.DUMMYFUNCTION("""COMPUTED_VALUE"""),4.0)</f>
        <v>4</v>
      </c>
      <c r="F2082" s="8">
        <v>1.0</v>
      </c>
      <c r="G2082" s="8">
        <v>1.0</v>
      </c>
      <c r="H2082" s="8">
        <v>1.0</v>
      </c>
      <c r="I2082" s="8">
        <v>1.0</v>
      </c>
      <c r="J2082" s="8">
        <v>1.0</v>
      </c>
      <c r="K2082" s="8">
        <v>1.0</v>
      </c>
      <c r="L2082" s="8">
        <v>6.0</v>
      </c>
      <c r="M2082" s="8"/>
      <c r="N2082" s="8"/>
      <c r="O2082" s="8" t="s">
        <v>785</v>
      </c>
      <c r="P2082" s="8">
        <v>2.0</v>
      </c>
    </row>
    <row r="2083">
      <c r="A2083">
        <f>IFERROR(__xludf.DUMMYFUNCTION("""COMPUTED_VALUE"""),8.0)</f>
        <v>8</v>
      </c>
      <c r="B2083">
        <f>IFERROR(__xludf.DUMMYFUNCTION("""COMPUTED_VALUE"""),29131.0)</f>
        <v>29131</v>
      </c>
      <c r="C2083" t="str">
        <f>IFERROR(__xludf.DUMMYFUNCTION("""COMPUTED_VALUE"""),"VILLEGAS HINCAPIE, CANDELARIA")</f>
        <v>VILLEGAS HINCAPIE, CANDELARIA</v>
      </c>
      <c r="D2083" t="str">
        <f>IFERROR(__xludf.DUMMYFUNCTION("""COMPUTED_VALUE"""),"Spanish 8")</f>
        <v>Spanish 8</v>
      </c>
      <c r="E2083" s="31">
        <f>IFERROR(__xludf.DUMMYFUNCTION("""COMPUTED_VALUE"""),1.0)</f>
        <v>1</v>
      </c>
      <c r="F2083" s="8">
        <v>1.0</v>
      </c>
      <c r="G2083" s="8">
        <v>1.0</v>
      </c>
      <c r="H2083" s="8">
        <v>1.0</v>
      </c>
      <c r="I2083" s="8">
        <v>1.0</v>
      </c>
      <c r="J2083" s="8">
        <v>1.0</v>
      </c>
      <c r="K2083" s="8">
        <v>1.0</v>
      </c>
      <c r="L2083" s="8">
        <v>6.0</v>
      </c>
      <c r="M2083" s="8"/>
      <c r="N2083" s="8"/>
      <c r="O2083" s="8" t="s">
        <v>788</v>
      </c>
      <c r="P2083" s="8">
        <v>2.0</v>
      </c>
    </row>
    <row r="2084">
      <c r="A2084">
        <f>IFERROR(__xludf.DUMMYFUNCTION("""COMPUTED_VALUE"""),8.0)</f>
        <v>8</v>
      </c>
      <c r="B2084">
        <f>IFERROR(__xludf.DUMMYFUNCTION("""COMPUTED_VALUE"""),29132.0)</f>
        <v>29132</v>
      </c>
      <c r="C2084" t="str">
        <f>IFERROR(__xludf.DUMMYFUNCTION("""COMPUTED_VALUE"""),"VILLEGAS MEJIA, SIMON")</f>
        <v>VILLEGAS MEJIA, SIMON</v>
      </c>
      <c r="D2084" t="str">
        <f>IFERROR(__xludf.DUMMYFUNCTION("""COMPUTED_VALUE"""),"Spanish 8A")</f>
        <v>Spanish 8A</v>
      </c>
      <c r="E2084" s="31">
        <f>IFERROR(__xludf.DUMMYFUNCTION("""COMPUTED_VALUE"""),2.0)</f>
        <v>2</v>
      </c>
      <c r="F2084" s="8">
        <v>1.0</v>
      </c>
      <c r="G2084" s="8">
        <v>1.0</v>
      </c>
      <c r="H2084" s="8">
        <v>1.0</v>
      </c>
      <c r="I2084" s="8">
        <v>1.0</v>
      </c>
      <c r="J2084" s="8">
        <v>1.0</v>
      </c>
      <c r="K2084" s="8">
        <v>1.0</v>
      </c>
      <c r="L2084" s="8">
        <v>6.0</v>
      </c>
      <c r="M2084" s="8"/>
      <c r="N2084" s="8"/>
      <c r="O2084" s="8" t="s">
        <v>789</v>
      </c>
      <c r="P2084" s="8" t="e">
        <v>#N/A</v>
      </c>
    </row>
    <row r="2085">
      <c r="A2085">
        <f>IFERROR(__xludf.DUMMYFUNCTION("""COMPUTED_VALUE"""),8.0)</f>
        <v>8</v>
      </c>
      <c r="B2085">
        <f>IFERROR(__xludf.DUMMYFUNCTION("""COMPUTED_VALUE"""),29133.0)</f>
        <v>29133</v>
      </c>
      <c r="C2085" t="str">
        <f>IFERROR(__xludf.DUMMYFUNCTION("""COMPUTED_VALUE"""),"ZAPATA URIBE, RAFAEL")</f>
        <v>ZAPATA URIBE, RAFAEL</v>
      </c>
      <c r="D2085" t="str">
        <f>IFERROR(__xludf.DUMMYFUNCTION("""COMPUTED_VALUE"""),"Spanish 8")</f>
        <v>Spanish 8</v>
      </c>
      <c r="E2085" s="31">
        <f>IFERROR(__xludf.DUMMYFUNCTION("""COMPUTED_VALUE"""),4.0)</f>
        <v>4</v>
      </c>
      <c r="F2085" s="8">
        <v>1.0</v>
      </c>
      <c r="G2085" s="8">
        <v>1.0</v>
      </c>
      <c r="H2085" s="8">
        <v>1.0</v>
      </c>
      <c r="I2085" s="8">
        <v>1.0</v>
      </c>
      <c r="J2085" s="8">
        <v>1.0</v>
      </c>
      <c r="K2085" s="8">
        <v>1.0</v>
      </c>
      <c r="L2085" s="8">
        <v>6.0</v>
      </c>
      <c r="M2085" s="8"/>
      <c r="N2085" s="8"/>
      <c r="O2085" s="8" t="s">
        <v>785</v>
      </c>
      <c r="P2085" s="8">
        <v>2.0</v>
      </c>
    </row>
    <row r="2086">
      <c r="A2086">
        <f>IFERROR(__xludf.DUMMYFUNCTION("""COMPUTED_VALUE"""),8.0)</f>
        <v>8</v>
      </c>
      <c r="B2086">
        <f>IFERROR(__xludf.DUMMYFUNCTION("""COMPUTED_VALUE"""),27128.0)</f>
        <v>27128</v>
      </c>
      <c r="C2086" t="str">
        <f>IFERROR(__xludf.DUMMYFUNCTION("""COMPUTED_VALUE"""),"ZULUAGA CHAVEZ, ISAIAS")</f>
        <v>ZULUAGA CHAVEZ, ISAIAS</v>
      </c>
      <c r="D2086" t="str">
        <f>IFERROR(__xludf.DUMMYFUNCTION("""COMPUTED_VALUE"""),"Spanish 8A")</f>
        <v>Spanish 8A</v>
      </c>
      <c r="E2086" s="31">
        <f>IFERROR(__xludf.DUMMYFUNCTION("""COMPUTED_VALUE"""),2.0)</f>
        <v>2</v>
      </c>
      <c r="F2086" s="8">
        <v>1.0</v>
      </c>
      <c r="G2086" s="8">
        <v>1.0</v>
      </c>
      <c r="H2086" s="8">
        <v>1.0</v>
      </c>
      <c r="I2086" s="8">
        <v>1.0</v>
      </c>
      <c r="J2086" s="8">
        <v>1.0</v>
      </c>
      <c r="K2086" s="8">
        <v>1.0</v>
      </c>
      <c r="L2086" s="8">
        <v>6.0</v>
      </c>
      <c r="M2086" s="8"/>
      <c r="N2086" s="8"/>
      <c r="O2086" s="8" t="s">
        <v>789</v>
      </c>
      <c r="P2086" s="8" t="e">
        <v>#N/A</v>
      </c>
    </row>
    <row r="2087">
      <c r="A2087">
        <f>IFERROR(__xludf.DUMMYFUNCTION("""COMPUTED_VALUE"""),6.0)</f>
        <v>6</v>
      </c>
      <c r="B2087">
        <f>IFERROR(__xludf.DUMMYFUNCTION("""COMPUTED_VALUE"""),31002.0)</f>
        <v>31002</v>
      </c>
      <c r="C2087" t="str">
        <f>IFERROR(__xludf.DUMMYFUNCTION("""COMPUTED_VALUE"""),"ACEVEDO ARANGO, VICENTE")</f>
        <v>ACEVEDO ARANGO, VICENTE</v>
      </c>
      <c r="D2087" t="str">
        <f>IFERROR(__xludf.DUMMYFUNCTION("""COMPUTED_VALUE"""),"PE 6")</f>
        <v>PE 6</v>
      </c>
      <c r="E2087" s="31" t="str">
        <f>IFERROR(__xludf.DUMMYFUNCTION("""COMPUTED_VALUE"""),"4b")</f>
        <v>4b</v>
      </c>
      <c r="F2087" s="8">
        <v>1.0</v>
      </c>
      <c r="G2087" s="8">
        <v>1.0</v>
      </c>
      <c r="H2087" s="8">
        <v>1.0</v>
      </c>
      <c r="I2087" s="8">
        <v>1.0</v>
      </c>
      <c r="J2087" s="8">
        <v>1.0</v>
      </c>
      <c r="K2087" s="8">
        <v>1.0</v>
      </c>
      <c r="L2087" s="8">
        <v>6.0</v>
      </c>
      <c r="M2087" s="8"/>
      <c r="N2087" s="8"/>
      <c r="O2087" s="8" t="s">
        <v>790</v>
      </c>
      <c r="P2087" s="8">
        <v>6.0</v>
      </c>
    </row>
    <row r="2088">
      <c r="A2088">
        <f>IFERROR(__xludf.DUMMYFUNCTION("""COMPUTED_VALUE"""),6.0)</f>
        <v>6</v>
      </c>
      <c r="B2088">
        <f>IFERROR(__xludf.DUMMYFUNCTION("""COMPUTED_VALUE"""),31003.0)</f>
        <v>31003</v>
      </c>
      <c r="C2088" t="str">
        <f>IFERROR(__xludf.DUMMYFUNCTION("""COMPUTED_VALUE"""),"AGUIRRE ARANGO, MARIA")</f>
        <v>AGUIRRE ARANGO, MARIA</v>
      </c>
      <c r="D2088" t="str">
        <f>IFERROR(__xludf.DUMMYFUNCTION("""COMPUTED_VALUE"""),"PE 6")</f>
        <v>PE 6</v>
      </c>
      <c r="E2088" s="31" t="str">
        <f>IFERROR(__xludf.DUMMYFUNCTION("""COMPUTED_VALUE"""),"5b")</f>
        <v>5b</v>
      </c>
      <c r="F2088" s="8">
        <v>1.0</v>
      </c>
      <c r="G2088" s="8">
        <v>1.0</v>
      </c>
      <c r="H2088" s="8">
        <v>1.0</v>
      </c>
      <c r="I2088" s="8">
        <v>1.0</v>
      </c>
      <c r="J2088" s="8">
        <v>1.0</v>
      </c>
      <c r="K2088" s="8">
        <v>1.0</v>
      </c>
      <c r="L2088" s="8">
        <v>6.0</v>
      </c>
      <c r="M2088" s="8"/>
      <c r="N2088" s="8"/>
      <c r="O2088" s="8" t="s">
        <v>791</v>
      </c>
      <c r="P2088" s="8">
        <v>6.0</v>
      </c>
    </row>
    <row r="2089">
      <c r="A2089">
        <f>IFERROR(__xludf.DUMMYFUNCTION("""COMPUTED_VALUE"""),6.0)</f>
        <v>6</v>
      </c>
      <c r="B2089">
        <f>IFERROR(__xludf.DUMMYFUNCTION("""COMPUTED_VALUE"""),31004.0)</f>
        <v>31004</v>
      </c>
      <c r="C2089" t="str">
        <f>IFERROR(__xludf.DUMMYFUNCTION("""COMPUTED_VALUE"""),"ALVAREZ RIVERA, SALVADOR")</f>
        <v>ALVAREZ RIVERA, SALVADOR</v>
      </c>
      <c r="D2089" t="str">
        <f>IFERROR(__xludf.DUMMYFUNCTION("""COMPUTED_VALUE"""),"PE 6")</f>
        <v>PE 6</v>
      </c>
      <c r="E2089" s="31" t="str">
        <f>IFERROR(__xludf.DUMMYFUNCTION("""COMPUTED_VALUE"""),"6b")</f>
        <v>6b</v>
      </c>
      <c r="F2089" s="8">
        <v>1.0</v>
      </c>
      <c r="G2089" s="8">
        <v>1.0</v>
      </c>
      <c r="H2089" s="8">
        <v>1.0</v>
      </c>
      <c r="I2089" s="8">
        <v>1.0</v>
      </c>
      <c r="J2089" s="8">
        <v>1.0</v>
      </c>
      <c r="K2089" s="8">
        <v>1.0</v>
      </c>
      <c r="L2089" s="8">
        <v>6.0</v>
      </c>
      <c r="M2089" s="8"/>
      <c r="N2089" s="8"/>
      <c r="O2089" s="8" t="s">
        <v>792</v>
      </c>
      <c r="P2089" s="8">
        <v>6.0</v>
      </c>
    </row>
    <row r="2090">
      <c r="A2090">
        <f>IFERROR(__xludf.DUMMYFUNCTION("""COMPUTED_VALUE"""),6.0)</f>
        <v>6</v>
      </c>
      <c r="B2090">
        <f>IFERROR(__xludf.DUMMYFUNCTION("""COMPUTED_VALUE"""),31005.0)</f>
        <v>31005</v>
      </c>
      <c r="C2090" t="str">
        <f>IFERROR(__xludf.DUMMYFUNCTION("""COMPUTED_VALUE"""),"ARANGO VILLA, MATIAS")</f>
        <v>ARANGO VILLA, MATIAS</v>
      </c>
      <c r="D2090" t="str">
        <f>IFERROR(__xludf.DUMMYFUNCTION("""COMPUTED_VALUE"""),"PE 6")</f>
        <v>PE 6</v>
      </c>
      <c r="E2090" s="31" t="str">
        <f>IFERROR(__xludf.DUMMYFUNCTION("""COMPUTED_VALUE"""),"1a")</f>
        <v>1a</v>
      </c>
      <c r="F2090" s="8">
        <v>1.0</v>
      </c>
      <c r="G2090" s="8">
        <v>1.0</v>
      </c>
      <c r="H2090" s="8">
        <v>1.0</v>
      </c>
      <c r="I2090" s="8">
        <v>1.0</v>
      </c>
      <c r="J2090" s="8">
        <v>1.0</v>
      </c>
      <c r="K2090" s="8">
        <v>1.0</v>
      </c>
      <c r="L2090" s="8">
        <v>6.0</v>
      </c>
      <c r="M2090" s="8"/>
      <c r="N2090" s="8"/>
      <c r="O2090" s="8" t="s">
        <v>793</v>
      </c>
      <c r="P2090" s="8">
        <v>6.0</v>
      </c>
    </row>
    <row r="2091">
      <c r="A2091">
        <f>IFERROR(__xludf.DUMMYFUNCTION("""COMPUTED_VALUE"""),6.0)</f>
        <v>6</v>
      </c>
      <c r="B2091">
        <f>IFERROR(__xludf.DUMMYFUNCTION("""COMPUTED_VALUE"""),31151.0)</f>
        <v>31151</v>
      </c>
      <c r="C2091" t="str">
        <f>IFERROR(__xludf.DUMMYFUNCTION("""COMPUTED_VALUE"""),"AREVALO RODRIGUEZ, MANUELA")</f>
        <v>AREVALO RODRIGUEZ, MANUELA</v>
      </c>
      <c r="D2091" t="str">
        <f>IFERROR(__xludf.DUMMYFUNCTION("""COMPUTED_VALUE"""),"PE 6")</f>
        <v>PE 6</v>
      </c>
      <c r="E2091" s="31" t="str">
        <f>IFERROR(__xludf.DUMMYFUNCTION("""COMPUTED_VALUE"""),"5b")</f>
        <v>5b</v>
      </c>
      <c r="F2091" s="8">
        <v>1.0</v>
      </c>
      <c r="G2091" s="8">
        <v>1.0</v>
      </c>
      <c r="H2091" s="8">
        <v>1.0</v>
      </c>
      <c r="I2091" s="8">
        <v>1.0</v>
      </c>
      <c r="J2091" s="8">
        <v>1.0</v>
      </c>
      <c r="K2091" s="8">
        <v>1.0</v>
      </c>
      <c r="L2091" s="8">
        <v>6.0</v>
      </c>
      <c r="M2091" s="8"/>
      <c r="N2091" s="8"/>
      <c r="O2091" s="8" t="s">
        <v>791</v>
      </c>
      <c r="P2091" s="8">
        <v>6.0</v>
      </c>
    </row>
    <row r="2092">
      <c r="A2092">
        <f>IFERROR(__xludf.DUMMYFUNCTION("""COMPUTED_VALUE"""),6.0)</f>
        <v>6</v>
      </c>
      <c r="B2092">
        <f>IFERROR(__xludf.DUMMYFUNCTION("""COMPUTED_VALUE"""),31006.0)</f>
        <v>31006</v>
      </c>
      <c r="C2092" t="str">
        <f>IFERROR(__xludf.DUMMYFUNCTION("""COMPUTED_VALUE"""),"ARIAS GARCIA, SALOMON")</f>
        <v>ARIAS GARCIA, SALOMON</v>
      </c>
      <c r="D2092" t="str">
        <f>IFERROR(__xludf.DUMMYFUNCTION("""COMPUTED_VALUE"""),"PE 6")</f>
        <v>PE 6</v>
      </c>
      <c r="E2092" s="31" t="str">
        <f>IFERROR(__xludf.DUMMYFUNCTION("""COMPUTED_VALUE"""),"6b")</f>
        <v>6b</v>
      </c>
      <c r="F2092" s="8">
        <v>1.0</v>
      </c>
      <c r="G2092" s="8">
        <v>1.0</v>
      </c>
      <c r="H2092" s="8">
        <v>1.0</v>
      </c>
      <c r="I2092" s="8">
        <v>1.0</v>
      </c>
      <c r="J2092" s="8">
        <v>1.0</v>
      </c>
      <c r="K2092" s="8">
        <v>1.0</v>
      </c>
      <c r="L2092" s="8">
        <v>6.0</v>
      </c>
      <c r="M2092" s="8"/>
      <c r="N2092" s="8"/>
      <c r="O2092" s="8" t="s">
        <v>792</v>
      </c>
      <c r="P2092" s="8">
        <v>6.0</v>
      </c>
    </row>
    <row r="2093">
      <c r="A2093">
        <f>IFERROR(__xludf.DUMMYFUNCTION("""COMPUTED_VALUE"""),6.0)</f>
        <v>6</v>
      </c>
      <c r="B2093">
        <f>IFERROR(__xludf.DUMMYFUNCTION("""COMPUTED_VALUE"""),31007.0)</f>
        <v>31007</v>
      </c>
      <c r="C2093" t="str">
        <f>IFERROR(__xludf.DUMMYFUNCTION("""COMPUTED_VALUE"""),"ARISTIZABAL SOTO, EMILIO")</f>
        <v>ARISTIZABAL SOTO, EMILIO</v>
      </c>
      <c r="D2093" t="str">
        <f>IFERROR(__xludf.DUMMYFUNCTION("""COMPUTED_VALUE"""),"PE 6")</f>
        <v>PE 6</v>
      </c>
      <c r="E2093" s="31" t="str">
        <f>IFERROR(__xludf.DUMMYFUNCTION("""COMPUTED_VALUE"""),"6b")</f>
        <v>6b</v>
      </c>
      <c r="F2093" s="8">
        <v>1.0</v>
      </c>
      <c r="G2093" s="8">
        <v>1.0</v>
      </c>
      <c r="H2093" s="8">
        <v>1.0</v>
      </c>
      <c r="I2093" s="8">
        <v>1.0</v>
      </c>
      <c r="J2093" s="8">
        <v>1.0</v>
      </c>
      <c r="K2093" s="8">
        <v>1.0</v>
      </c>
      <c r="L2093" s="8">
        <v>6.0</v>
      </c>
      <c r="M2093" s="8"/>
      <c r="N2093" s="8"/>
      <c r="O2093" s="8" t="s">
        <v>792</v>
      </c>
      <c r="P2093" s="8">
        <v>6.0</v>
      </c>
    </row>
    <row r="2094">
      <c r="A2094">
        <f>IFERROR(__xludf.DUMMYFUNCTION("""COMPUTED_VALUE"""),6.0)</f>
        <v>6</v>
      </c>
      <c r="B2094">
        <f>IFERROR(__xludf.DUMMYFUNCTION("""COMPUTED_VALUE"""),31008.0)</f>
        <v>31008</v>
      </c>
      <c r="C2094" t="str">
        <f>IFERROR(__xludf.DUMMYFUNCTION("""COMPUTED_VALUE"""),"ARROYAVE LONDOÑO, MIGUEL")</f>
        <v>ARROYAVE LONDOÑO, MIGUEL</v>
      </c>
      <c r="D2094" t="str">
        <f>IFERROR(__xludf.DUMMYFUNCTION("""COMPUTED_VALUE"""),"PE 6")</f>
        <v>PE 6</v>
      </c>
      <c r="E2094" s="31" t="str">
        <f>IFERROR(__xludf.DUMMYFUNCTION("""COMPUTED_VALUE"""),"5b")</f>
        <v>5b</v>
      </c>
      <c r="F2094" s="8">
        <v>1.0</v>
      </c>
      <c r="G2094" s="8">
        <v>1.0</v>
      </c>
      <c r="H2094" s="8">
        <v>1.0</v>
      </c>
      <c r="I2094" s="8">
        <v>1.0</v>
      </c>
      <c r="J2094" s="8">
        <v>1.0</v>
      </c>
      <c r="K2094" s="8">
        <v>1.0</v>
      </c>
      <c r="L2094" s="8">
        <v>6.0</v>
      </c>
      <c r="M2094" s="8"/>
      <c r="N2094" s="8"/>
      <c r="O2094" s="8" t="s">
        <v>791</v>
      </c>
      <c r="P2094" s="8">
        <v>6.0</v>
      </c>
    </row>
    <row r="2095">
      <c r="A2095">
        <f>IFERROR(__xludf.DUMMYFUNCTION("""COMPUTED_VALUE"""),6.0)</f>
        <v>6</v>
      </c>
      <c r="B2095">
        <f>IFERROR(__xludf.DUMMYFUNCTION("""COMPUTED_VALUE"""),31009.0)</f>
        <v>31009</v>
      </c>
      <c r="C2095" t="str">
        <f>IFERROR(__xludf.DUMMYFUNCTION("""COMPUTED_VALUE"""),"ARROYAVE SIERRA, RAFAEL")</f>
        <v>ARROYAVE SIERRA, RAFAEL</v>
      </c>
      <c r="D2095" t="str">
        <f>IFERROR(__xludf.DUMMYFUNCTION("""COMPUTED_VALUE"""),"PE 6")</f>
        <v>PE 6</v>
      </c>
      <c r="E2095" s="31" t="str">
        <f>IFERROR(__xludf.DUMMYFUNCTION("""COMPUTED_VALUE"""),"4b")</f>
        <v>4b</v>
      </c>
      <c r="F2095" s="8">
        <v>1.0</v>
      </c>
      <c r="G2095" s="8">
        <v>1.0</v>
      </c>
      <c r="H2095" s="8">
        <v>1.0</v>
      </c>
      <c r="I2095" s="8">
        <v>1.0</v>
      </c>
      <c r="J2095" s="8">
        <v>1.0</v>
      </c>
      <c r="K2095" s="8">
        <v>1.0</v>
      </c>
      <c r="L2095" s="8">
        <v>6.0</v>
      </c>
      <c r="M2095" s="8"/>
      <c r="N2095" s="8"/>
      <c r="O2095" s="8" t="s">
        <v>790</v>
      </c>
      <c r="P2095" s="8">
        <v>6.0</v>
      </c>
    </row>
    <row r="2096">
      <c r="A2096">
        <f>IFERROR(__xludf.DUMMYFUNCTION("""COMPUTED_VALUE"""),6.0)</f>
        <v>6</v>
      </c>
      <c r="B2096">
        <f>IFERROR(__xludf.DUMMYFUNCTION("""COMPUTED_VALUE"""),31010.0)</f>
        <v>31010</v>
      </c>
      <c r="C2096" t="str">
        <f>IFERROR(__xludf.DUMMYFUNCTION("""COMPUTED_VALUE"""),"BARRERA CAMPIS, VALENTINA")</f>
        <v>BARRERA CAMPIS, VALENTINA</v>
      </c>
      <c r="D2096" t="str">
        <f>IFERROR(__xludf.DUMMYFUNCTION("""COMPUTED_VALUE"""),"PE 6")</f>
        <v>PE 6</v>
      </c>
      <c r="E2096" s="31" t="str">
        <f>IFERROR(__xludf.DUMMYFUNCTION("""COMPUTED_VALUE"""),"1a")</f>
        <v>1a</v>
      </c>
      <c r="F2096" s="8">
        <v>1.0</v>
      </c>
      <c r="G2096" s="8">
        <v>1.0</v>
      </c>
      <c r="H2096" s="8">
        <v>1.0</v>
      </c>
      <c r="I2096" s="8">
        <v>1.0</v>
      </c>
      <c r="J2096" s="8">
        <v>1.0</v>
      </c>
      <c r="K2096" s="8">
        <v>1.0</v>
      </c>
      <c r="L2096" s="8">
        <v>6.0</v>
      </c>
      <c r="M2096" s="8"/>
      <c r="N2096" s="8"/>
      <c r="O2096" s="8" t="s">
        <v>793</v>
      </c>
      <c r="P2096" s="8">
        <v>6.0</v>
      </c>
    </row>
    <row r="2097">
      <c r="A2097">
        <f>IFERROR(__xludf.DUMMYFUNCTION("""COMPUTED_VALUE"""),6.0)</f>
        <v>6</v>
      </c>
      <c r="B2097">
        <f>IFERROR(__xludf.DUMMYFUNCTION("""COMPUTED_VALUE"""),31011.0)</f>
        <v>31011</v>
      </c>
      <c r="C2097" t="str">
        <f>IFERROR(__xludf.DUMMYFUNCTION("""COMPUTED_VALUE"""),"BARRERA TORO, LORENZO")</f>
        <v>BARRERA TORO, LORENZO</v>
      </c>
      <c r="D2097" t="str">
        <f>IFERROR(__xludf.DUMMYFUNCTION("""COMPUTED_VALUE"""),"PE 6")</f>
        <v>PE 6</v>
      </c>
      <c r="E2097" s="31" t="str">
        <f>IFERROR(__xludf.DUMMYFUNCTION("""COMPUTED_VALUE"""),"4b")</f>
        <v>4b</v>
      </c>
      <c r="F2097" s="8">
        <v>1.0</v>
      </c>
      <c r="G2097" s="8">
        <v>1.0</v>
      </c>
      <c r="H2097" s="8">
        <v>1.0</v>
      </c>
      <c r="I2097" s="8">
        <v>1.0</v>
      </c>
      <c r="J2097" s="8">
        <v>1.0</v>
      </c>
      <c r="K2097" s="8">
        <v>1.0</v>
      </c>
      <c r="L2097" s="8">
        <v>6.0</v>
      </c>
      <c r="M2097" s="8"/>
      <c r="N2097" s="8"/>
      <c r="O2097" s="8" t="s">
        <v>790</v>
      </c>
      <c r="P2097" s="8">
        <v>6.0</v>
      </c>
    </row>
    <row r="2098">
      <c r="A2098">
        <f>IFERROR(__xludf.DUMMYFUNCTION("""COMPUTED_VALUE"""),6.0)</f>
        <v>6</v>
      </c>
      <c r="B2098">
        <f>IFERROR(__xludf.DUMMYFUNCTION("""COMPUTED_VALUE"""),31012.0)</f>
        <v>31012</v>
      </c>
      <c r="C2098" t="str">
        <f>IFERROR(__xludf.DUMMYFUNCTION("""COMPUTED_VALUE"""),"BARTOLINI VELEZ, LORENZO")</f>
        <v>BARTOLINI VELEZ, LORENZO</v>
      </c>
      <c r="D2098" t="str">
        <f>IFERROR(__xludf.DUMMYFUNCTION("""COMPUTED_VALUE"""),"PE 6")</f>
        <v>PE 6</v>
      </c>
      <c r="E2098" s="31" t="str">
        <f>IFERROR(__xludf.DUMMYFUNCTION("""COMPUTED_VALUE"""),"1a")</f>
        <v>1a</v>
      </c>
      <c r="F2098" s="8">
        <v>1.0</v>
      </c>
      <c r="G2098" s="8">
        <v>1.0</v>
      </c>
      <c r="H2098" s="8">
        <v>1.0</v>
      </c>
      <c r="I2098" s="8">
        <v>1.0</v>
      </c>
      <c r="J2098" s="8">
        <v>1.0</v>
      </c>
      <c r="K2098" s="8">
        <v>1.0</v>
      </c>
      <c r="L2098" s="8">
        <v>6.0</v>
      </c>
      <c r="M2098" s="8"/>
      <c r="N2098" s="8"/>
      <c r="O2098" s="8" t="s">
        <v>793</v>
      </c>
      <c r="P2098" s="8">
        <v>6.0</v>
      </c>
    </row>
    <row r="2099">
      <c r="A2099">
        <f>IFERROR(__xludf.DUMMYFUNCTION("""COMPUTED_VALUE"""),6.0)</f>
        <v>6</v>
      </c>
      <c r="B2099">
        <f>IFERROR(__xludf.DUMMYFUNCTION("""COMPUTED_VALUE"""),31013.0)</f>
        <v>31013</v>
      </c>
      <c r="C2099" t="str">
        <f>IFERROR(__xludf.DUMMYFUNCTION("""COMPUTED_VALUE"""),"BASTIDAS MEJIA, JUAN JOSE")</f>
        <v>BASTIDAS MEJIA, JUAN JOSE</v>
      </c>
      <c r="D2099" t="str">
        <f>IFERROR(__xludf.DUMMYFUNCTION("""COMPUTED_VALUE"""),"PE 6")</f>
        <v>PE 6</v>
      </c>
      <c r="E2099" s="31" t="str">
        <f>IFERROR(__xludf.DUMMYFUNCTION("""COMPUTED_VALUE"""),"5b")</f>
        <v>5b</v>
      </c>
      <c r="F2099" s="8">
        <v>1.0</v>
      </c>
      <c r="G2099" s="8">
        <v>1.0</v>
      </c>
      <c r="H2099" s="8">
        <v>1.0</v>
      </c>
      <c r="I2099" s="8">
        <v>1.0</v>
      </c>
      <c r="J2099" s="8">
        <v>1.0</v>
      </c>
      <c r="K2099" s="8">
        <v>1.0</v>
      </c>
      <c r="L2099" s="8">
        <v>6.0</v>
      </c>
      <c r="M2099" s="8"/>
      <c r="N2099" s="8"/>
      <c r="O2099" s="8" t="s">
        <v>791</v>
      </c>
      <c r="P2099" s="8">
        <v>6.0</v>
      </c>
    </row>
    <row r="2100">
      <c r="A2100">
        <f>IFERROR(__xludf.DUMMYFUNCTION("""COMPUTED_VALUE"""),6.0)</f>
        <v>6</v>
      </c>
      <c r="B2100">
        <f>IFERROR(__xludf.DUMMYFUNCTION("""COMPUTED_VALUE"""),31014.0)</f>
        <v>31014</v>
      </c>
      <c r="C2100" t="str">
        <f>IFERROR(__xludf.DUMMYFUNCTION("""COMPUTED_VALUE"""),"BETANCUR PENAGOS, AGUSTIN")</f>
        <v>BETANCUR PENAGOS, AGUSTIN</v>
      </c>
      <c r="D2100" t="str">
        <f>IFERROR(__xludf.DUMMYFUNCTION("""COMPUTED_VALUE"""),"PE 6")</f>
        <v>PE 6</v>
      </c>
      <c r="E2100" s="31" t="str">
        <f>IFERROR(__xludf.DUMMYFUNCTION("""COMPUTED_VALUE"""),"6a")</f>
        <v>6a</v>
      </c>
      <c r="F2100" s="8">
        <v>1.0</v>
      </c>
      <c r="G2100" s="8">
        <v>1.0</v>
      </c>
      <c r="H2100" s="8">
        <v>1.0</v>
      </c>
      <c r="I2100" s="8">
        <v>1.0</v>
      </c>
      <c r="J2100" s="8">
        <v>1.0</v>
      </c>
      <c r="K2100" s="8">
        <v>1.0</v>
      </c>
      <c r="L2100" s="8">
        <v>6.0</v>
      </c>
      <c r="M2100" s="8"/>
      <c r="N2100" s="8"/>
      <c r="O2100" s="8" t="s">
        <v>794</v>
      </c>
      <c r="P2100" s="8">
        <v>6.0</v>
      </c>
    </row>
    <row r="2101">
      <c r="A2101">
        <f>IFERROR(__xludf.DUMMYFUNCTION("""COMPUTED_VALUE"""),6.0)</f>
        <v>6</v>
      </c>
      <c r="B2101">
        <f>IFERROR(__xludf.DUMMYFUNCTION("""COMPUTED_VALUE"""),31015.0)</f>
        <v>31015</v>
      </c>
      <c r="C2101" t="str">
        <f>IFERROR(__xludf.DUMMYFUNCTION("""COMPUTED_VALUE"""),"BETANCUR PENAGOS, LORENZO")</f>
        <v>BETANCUR PENAGOS, LORENZO</v>
      </c>
      <c r="D2101" t="str">
        <f>IFERROR(__xludf.DUMMYFUNCTION("""COMPUTED_VALUE"""),"PE 6")</f>
        <v>PE 6</v>
      </c>
      <c r="E2101" s="31" t="str">
        <f>IFERROR(__xludf.DUMMYFUNCTION("""COMPUTED_VALUE"""),"5b")</f>
        <v>5b</v>
      </c>
      <c r="F2101" s="8">
        <v>1.0</v>
      </c>
      <c r="G2101" s="8">
        <v>1.0</v>
      </c>
      <c r="H2101" s="8">
        <v>1.0</v>
      </c>
      <c r="I2101" s="8">
        <v>1.0</v>
      </c>
      <c r="J2101" s="8">
        <v>1.0</v>
      </c>
      <c r="K2101" s="8">
        <v>1.0</v>
      </c>
      <c r="L2101" s="8">
        <v>6.0</v>
      </c>
      <c r="M2101" s="8"/>
      <c r="N2101" s="8"/>
      <c r="O2101" s="8" t="s">
        <v>791</v>
      </c>
      <c r="P2101" s="8">
        <v>6.0</v>
      </c>
    </row>
    <row r="2102">
      <c r="A2102">
        <f>IFERROR(__xludf.DUMMYFUNCTION("""COMPUTED_VALUE"""),6.0)</f>
        <v>6</v>
      </c>
      <c r="B2102">
        <f>IFERROR(__xludf.DUMMYFUNCTION("""COMPUTED_VALUE"""),31016.0)</f>
        <v>31016</v>
      </c>
      <c r="C2102" t="str">
        <f>IFERROR(__xludf.DUMMYFUNCTION("""COMPUTED_VALUE"""),"BETANCUR ROBLEDO, VICENTE")</f>
        <v>BETANCUR ROBLEDO, VICENTE</v>
      </c>
      <c r="D2102" t="str">
        <f>IFERROR(__xludf.DUMMYFUNCTION("""COMPUTED_VALUE"""),"PE 6")</f>
        <v>PE 6</v>
      </c>
      <c r="E2102" s="31" t="str">
        <f>IFERROR(__xludf.DUMMYFUNCTION("""COMPUTED_VALUE"""),"6a")</f>
        <v>6a</v>
      </c>
      <c r="F2102" s="8">
        <v>1.0</v>
      </c>
      <c r="G2102" s="8">
        <v>1.0</v>
      </c>
      <c r="H2102" s="8">
        <v>1.0</v>
      </c>
      <c r="I2102" s="8">
        <v>1.0</v>
      </c>
      <c r="J2102" s="8">
        <v>1.0</v>
      </c>
      <c r="K2102" s="8">
        <v>1.0</v>
      </c>
      <c r="L2102" s="8">
        <v>6.0</v>
      </c>
      <c r="M2102" s="8"/>
      <c r="N2102" s="8"/>
      <c r="O2102" s="8" t="s">
        <v>794</v>
      </c>
      <c r="P2102" s="8">
        <v>6.0</v>
      </c>
    </row>
    <row r="2103">
      <c r="A2103">
        <f>IFERROR(__xludf.DUMMYFUNCTION("""COMPUTED_VALUE"""),6.0)</f>
        <v>6</v>
      </c>
      <c r="B2103">
        <f>IFERROR(__xludf.DUMMYFUNCTION("""COMPUTED_VALUE"""),31166.0)</f>
        <v>31166</v>
      </c>
      <c r="C2103" t="str">
        <f>IFERROR(__xludf.DUMMYFUNCTION("""COMPUTED_VALUE"""),"BISHOP, XAVIER PATRICK")</f>
        <v>BISHOP, XAVIER PATRICK</v>
      </c>
      <c r="D2103" t="str">
        <f>IFERROR(__xludf.DUMMYFUNCTION("""COMPUTED_VALUE"""),"PE 6")</f>
        <v>PE 6</v>
      </c>
      <c r="E2103" s="31" t="str">
        <f>IFERROR(__xludf.DUMMYFUNCTION("""COMPUTED_VALUE"""),"6a")</f>
        <v>6a</v>
      </c>
      <c r="F2103" s="8">
        <v>1.0</v>
      </c>
      <c r="G2103" s="8">
        <v>1.0</v>
      </c>
      <c r="H2103" s="8">
        <v>1.0</v>
      </c>
      <c r="I2103" s="8">
        <v>1.0</v>
      </c>
      <c r="J2103" s="8">
        <v>1.0</v>
      </c>
      <c r="K2103" s="8">
        <v>1.0</v>
      </c>
      <c r="L2103" s="8">
        <v>6.0</v>
      </c>
      <c r="M2103" s="8"/>
      <c r="N2103" s="8"/>
      <c r="O2103" s="8" t="s">
        <v>794</v>
      </c>
      <c r="P2103" s="8">
        <v>6.0</v>
      </c>
    </row>
    <row r="2104">
      <c r="A2104">
        <f>IFERROR(__xludf.DUMMYFUNCTION("""COMPUTED_VALUE"""),6.0)</f>
        <v>6</v>
      </c>
      <c r="B2104">
        <f>IFERROR(__xludf.DUMMYFUNCTION("""COMPUTED_VALUE"""),31152.0)</f>
        <v>31152</v>
      </c>
      <c r="C2104" t="str">
        <f>IFERROR(__xludf.DUMMYFUNCTION("""COMPUTED_VALUE"""),"BLANCO HENRIQUEZ, JUAN MARTIN")</f>
        <v>BLANCO HENRIQUEZ, JUAN MARTIN</v>
      </c>
      <c r="D2104" t="str">
        <f>IFERROR(__xludf.DUMMYFUNCTION("""COMPUTED_VALUE"""),"PE 6")</f>
        <v>PE 6</v>
      </c>
      <c r="E2104" s="31" t="str">
        <f>IFERROR(__xludf.DUMMYFUNCTION("""COMPUTED_VALUE"""),"5b")</f>
        <v>5b</v>
      </c>
      <c r="F2104" s="8">
        <v>1.0</v>
      </c>
      <c r="G2104" s="8">
        <v>1.0</v>
      </c>
      <c r="H2104" s="8">
        <v>1.0</v>
      </c>
      <c r="I2104" s="8">
        <v>1.0</v>
      </c>
      <c r="J2104" s="8">
        <v>1.0</v>
      </c>
      <c r="K2104" s="8">
        <v>1.0</v>
      </c>
      <c r="L2104" s="8">
        <v>6.0</v>
      </c>
      <c r="M2104" s="8"/>
      <c r="N2104" s="8"/>
      <c r="O2104" s="8" t="s">
        <v>791</v>
      </c>
      <c r="P2104" s="8">
        <v>6.0</v>
      </c>
    </row>
    <row r="2105">
      <c r="A2105">
        <f>IFERROR(__xludf.DUMMYFUNCTION("""COMPUTED_VALUE"""),6.0)</f>
        <v>6</v>
      </c>
      <c r="B2105">
        <f>IFERROR(__xludf.DUMMYFUNCTION("""COMPUTED_VALUE"""),31017.0)</f>
        <v>31017</v>
      </c>
      <c r="C2105" t="str">
        <f>IFERROR(__xludf.DUMMYFUNCTION("""COMPUTED_VALUE"""),"BORDA AZCARATE, AGUSTIN")</f>
        <v>BORDA AZCARATE, AGUSTIN</v>
      </c>
      <c r="D2105" t="str">
        <f>IFERROR(__xludf.DUMMYFUNCTION("""COMPUTED_VALUE"""),"PE 6")</f>
        <v>PE 6</v>
      </c>
      <c r="E2105" s="31" t="str">
        <f>IFERROR(__xludf.DUMMYFUNCTION("""COMPUTED_VALUE"""),"5b")</f>
        <v>5b</v>
      </c>
      <c r="F2105" s="8">
        <v>1.0</v>
      </c>
      <c r="G2105" s="8">
        <v>1.0</v>
      </c>
      <c r="H2105" s="8">
        <v>1.0</v>
      </c>
      <c r="I2105" s="8">
        <v>1.0</v>
      </c>
      <c r="J2105" s="8">
        <v>1.0</v>
      </c>
      <c r="K2105" s="8">
        <v>1.0</v>
      </c>
      <c r="L2105" s="8">
        <v>6.0</v>
      </c>
      <c r="M2105" s="8"/>
      <c r="N2105" s="8"/>
      <c r="O2105" s="8" t="s">
        <v>791</v>
      </c>
      <c r="P2105" s="8">
        <v>6.0</v>
      </c>
    </row>
    <row r="2106">
      <c r="A2106">
        <f>IFERROR(__xludf.DUMMYFUNCTION("""COMPUTED_VALUE"""),6.0)</f>
        <v>6</v>
      </c>
      <c r="B2106">
        <f>IFERROR(__xludf.DUMMYFUNCTION("""COMPUTED_VALUE"""),31019.0)</f>
        <v>31019</v>
      </c>
      <c r="C2106" t="str">
        <f>IFERROR(__xludf.DUMMYFUNCTION("""COMPUTED_VALUE"""),"BOTERO BOTERO, AMALIA")</f>
        <v>BOTERO BOTERO, AMALIA</v>
      </c>
      <c r="D2106" t="str">
        <f>IFERROR(__xludf.DUMMYFUNCTION("""COMPUTED_VALUE"""),"PE 6")</f>
        <v>PE 6</v>
      </c>
      <c r="E2106" s="31" t="str">
        <f>IFERROR(__xludf.DUMMYFUNCTION("""COMPUTED_VALUE"""),"4b")</f>
        <v>4b</v>
      </c>
      <c r="F2106" s="8">
        <v>1.0</v>
      </c>
      <c r="G2106" s="8">
        <v>1.0</v>
      </c>
      <c r="H2106" s="8">
        <v>1.0</v>
      </c>
      <c r="I2106" s="8">
        <v>1.0</v>
      </c>
      <c r="J2106" s="8">
        <v>1.0</v>
      </c>
      <c r="K2106" s="8">
        <v>1.0</v>
      </c>
      <c r="L2106" s="8">
        <v>6.0</v>
      </c>
      <c r="M2106" s="8"/>
      <c r="N2106" s="8"/>
      <c r="O2106" s="8" t="s">
        <v>790</v>
      </c>
      <c r="P2106" s="8">
        <v>6.0</v>
      </c>
    </row>
    <row r="2107">
      <c r="A2107">
        <f>IFERROR(__xludf.DUMMYFUNCTION("""COMPUTED_VALUE"""),6.0)</f>
        <v>6</v>
      </c>
      <c r="B2107">
        <f>IFERROR(__xludf.DUMMYFUNCTION("""COMPUTED_VALUE"""),31020.0)</f>
        <v>31020</v>
      </c>
      <c r="C2107" t="str">
        <f>IFERROR(__xludf.DUMMYFUNCTION("""COMPUTED_VALUE"""),"BOTERO DEL CORRAL, MARTINA")</f>
        <v>BOTERO DEL CORRAL, MARTINA</v>
      </c>
      <c r="D2107" t="str">
        <f>IFERROR(__xludf.DUMMYFUNCTION("""COMPUTED_VALUE"""),"PE 6")</f>
        <v>PE 6</v>
      </c>
      <c r="E2107" s="31" t="str">
        <f>IFERROR(__xludf.DUMMYFUNCTION("""COMPUTED_VALUE"""),"2b")</f>
        <v>2b</v>
      </c>
      <c r="F2107" s="8">
        <v>1.0</v>
      </c>
      <c r="G2107" s="8">
        <v>1.0</v>
      </c>
      <c r="H2107" s="8">
        <v>1.0</v>
      </c>
      <c r="I2107" s="8">
        <v>1.0</v>
      </c>
      <c r="J2107" s="8">
        <v>1.0</v>
      </c>
      <c r="K2107" s="8">
        <v>1.0</v>
      </c>
      <c r="L2107" s="8">
        <v>6.0</v>
      </c>
      <c r="M2107" s="8"/>
      <c r="N2107" s="8"/>
      <c r="O2107" s="8" t="s">
        <v>795</v>
      </c>
      <c r="P2107" s="8">
        <v>6.0</v>
      </c>
    </row>
    <row r="2108">
      <c r="A2108">
        <f>IFERROR(__xludf.DUMMYFUNCTION("""COMPUTED_VALUE"""),6.0)</f>
        <v>6</v>
      </c>
      <c r="B2108">
        <f>IFERROR(__xludf.DUMMYFUNCTION("""COMPUTED_VALUE"""),31018.0)</f>
        <v>31018</v>
      </c>
      <c r="C2108" t="str">
        <f>IFERROR(__xludf.DUMMYFUNCTION("""COMPUTED_VALUE"""),"BOTERO MONTOYA, MATIAS")</f>
        <v>BOTERO MONTOYA, MATIAS</v>
      </c>
      <c r="D2108" t="str">
        <f>IFERROR(__xludf.DUMMYFUNCTION("""COMPUTED_VALUE"""),"PE 6")</f>
        <v>PE 6</v>
      </c>
      <c r="E2108" s="31" t="str">
        <f>IFERROR(__xludf.DUMMYFUNCTION("""COMPUTED_VALUE"""),"5b")</f>
        <v>5b</v>
      </c>
      <c r="F2108" s="8">
        <v>1.0</v>
      </c>
      <c r="G2108" s="8">
        <v>1.0</v>
      </c>
      <c r="H2108" s="8">
        <v>1.0</v>
      </c>
      <c r="I2108" s="8">
        <v>1.0</v>
      </c>
      <c r="J2108" s="8">
        <v>1.0</v>
      </c>
      <c r="K2108" s="8">
        <v>1.0</v>
      </c>
      <c r="L2108" s="8">
        <v>6.0</v>
      </c>
      <c r="M2108" s="8"/>
      <c r="N2108" s="8"/>
      <c r="O2108" s="8" t="s">
        <v>791</v>
      </c>
      <c r="P2108" s="8">
        <v>6.0</v>
      </c>
    </row>
    <row r="2109">
      <c r="A2109">
        <f>IFERROR(__xludf.DUMMYFUNCTION("""COMPUTED_VALUE"""),6.0)</f>
        <v>6</v>
      </c>
      <c r="B2109">
        <f>IFERROR(__xludf.DUMMYFUNCTION("""COMPUTED_VALUE"""),31022.0)</f>
        <v>31022</v>
      </c>
      <c r="C2109" t="str">
        <f>IFERROR(__xludf.DUMMYFUNCTION("""COMPUTED_VALUE"""),"CALDWELL VALLEJO, MAX")</f>
        <v>CALDWELL VALLEJO, MAX</v>
      </c>
      <c r="D2109" t="str">
        <f>IFERROR(__xludf.DUMMYFUNCTION("""COMPUTED_VALUE"""),"PE 6")</f>
        <v>PE 6</v>
      </c>
      <c r="E2109" s="31" t="str">
        <f>IFERROR(__xludf.DUMMYFUNCTION("""COMPUTED_VALUE"""),"4b")</f>
        <v>4b</v>
      </c>
      <c r="F2109" s="8">
        <v>1.0</v>
      </c>
      <c r="G2109" s="8">
        <v>1.0</v>
      </c>
      <c r="H2109" s="8">
        <v>1.0</v>
      </c>
      <c r="I2109" s="8">
        <v>1.0</v>
      </c>
      <c r="J2109" s="8">
        <v>1.0</v>
      </c>
      <c r="K2109" s="8">
        <v>1.0</v>
      </c>
      <c r="L2109" s="8">
        <v>6.0</v>
      </c>
      <c r="M2109" s="8"/>
      <c r="N2109" s="8"/>
      <c r="O2109" s="8" t="s">
        <v>790</v>
      </c>
      <c r="P2109" s="8">
        <v>6.0</v>
      </c>
    </row>
    <row r="2110">
      <c r="A2110">
        <f>IFERROR(__xludf.DUMMYFUNCTION("""COMPUTED_VALUE"""),6.0)</f>
        <v>6</v>
      </c>
      <c r="B2110">
        <f>IFERROR(__xludf.DUMMYFUNCTION("""COMPUTED_VALUE"""),31023.0)</f>
        <v>31023</v>
      </c>
      <c r="C2110" t="str">
        <f>IFERROR(__xludf.DUMMYFUNCTION("""COMPUTED_VALUE"""),"CAPMARTIN GOMEZ, VALERIA")</f>
        <v>CAPMARTIN GOMEZ, VALERIA</v>
      </c>
      <c r="D2110" t="str">
        <f>IFERROR(__xludf.DUMMYFUNCTION("""COMPUTED_VALUE"""),"PE 6")</f>
        <v>PE 6</v>
      </c>
      <c r="E2110" s="31" t="str">
        <f>IFERROR(__xludf.DUMMYFUNCTION("""COMPUTED_VALUE"""),"6b")</f>
        <v>6b</v>
      </c>
      <c r="F2110" s="8">
        <v>1.0</v>
      </c>
      <c r="G2110" s="8">
        <v>1.0</v>
      </c>
      <c r="H2110" s="8">
        <v>1.0</v>
      </c>
      <c r="I2110" s="8">
        <v>1.0</v>
      </c>
      <c r="J2110" s="8">
        <v>1.0</v>
      </c>
      <c r="K2110" s="8">
        <v>1.0</v>
      </c>
      <c r="L2110" s="8">
        <v>6.0</v>
      </c>
      <c r="M2110" s="8"/>
      <c r="N2110" s="8"/>
      <c r="O2110" s="8" t="s">
        <v>792</v>
      </c>
      <c r="P2110" s="8">
        <v>6.0</v>
      </c>
    </row>
    <row r="2111">
      <c r="A2111">
        <f>IFERROR(__xludf.DUMMYFUNCTION("""COMPUTED_VALUE"""),6.0)</f>
        <v>6</v>
      </c>
      <c r="B2111">
        <f>IFERROR(__xludf.DUMMYFUNCTION("""COMPUTED_VALUE"""),31024.0)</f>
        <v>31024</v>
      </c>
      <c r="C2111" t="str">
        <f>IFERROR(__xludf.DUMMYFUNCTION("""COMPUTED_VALUE"""),"CARDONA VELEZ, ALICIA")</f>
        <v>CARDONA VELEZ, ALICIA</v>
      </c>
      <c r="D2111" t="str">
        <f>IFERROR(__xludf.DUMMYFUNCTION("""COMPUTED_VALUE"""),"PE 6")</f>
        <v>PE 6</v>
      </c>
      <c r="E2111" s="31" t="str">
        <f>IFERROR(__xludf.DUMMYFUNCTION("""COMPUTED_VALUE"""),"2b")</f>
        <v>2b</v>
      </c>
      <c r="F2111" s="8">
        <v>1.0</v>
      </c>
      <c r="G2111" s="8">
        <v>1.0</v>
      </c>
      <c r="H2111" s="8">
        <v>1.0</v>
      </c>
      <c r="I2111" s="8">
        <v>1.0</v>
      </c>
      <c r="J2111" s="8">
        <v>1.0</v>
      </c>
      <c r="K2111" s="8">
        <v>1.0</v>
      </c>
      <c r="L2111" s="8">
        <v>6.0</v>
      </c>
      <c r="M2111" s="8"/>
      <c r="N2111" s="8"/>
      <c r="O2111" s="8" t="s">
        <v>795</v>
      </c>
      <c r="P2111" s="8">
        <v>6.0</v>
      </c>
    </row>
    <row r="2112">
      <c r="A2112">
        <f>IFERROR(__xludf.DUMMYFUNCTION("""COMPUTED_VALUE"""),6.0)</f>
        <v>6</v>
      </c>
      <c r="B2112">
        <f>IFERROR(__xludf.DUMMYFUNCTION("""COMPUTED_VALUE"""),31025.0)</f>
        <v>31025</v>
      </c>
      <c r="C2112" t="str">
        <f>IFERROR(__xludf.DUMMYFUNCTION("""COMPUTED_VALUE"""),"CORREA ALVAREZ, EMILIO")</f>
        <v>CORREA ALVAREZ, EMILIO</v>
      </c>
      <c r="D2112" t="str">
        <f>IFERROR(__xludf.DUMMYFUNCTION("""COMPUTED_VALUE"""),"PE 6")</f>
        <v>PE 6</v>
      </c>
      <c r="E2112" s="31" t="str">
        <f>IFERROR(__xludf.DUMMYFUNCTION("""COMPUTED_VALUE"""),"5b")</f>
        <v>5b</v>
      </c>
      <c r="F2112" s="8">
        <v>1.0</v>
      </c>
      <c r="G2112" s="8">
        <v>1.0</v>
      </c>
      <c r="H2112" s="8">
        <v>1.0</v>
      </c>
      <c r="I2112" s="8">
        <v>1.0</v>
      </c>
      <c r="J2112" s="8">
        <v>1.0</v>
      </c>
      <c r="K2112" s="8">
        <v>1.0</v>
      </c>
      <c r="L2112" s="8">
        <v>6.0</v>
      </c>
      <c r="M2112" s="8"/>
      <c r="N2112" s="8"/>
      <c r="O2112" s="8" t="s">
        <v>791</v>
      </c>
      <c r="P2112" s="8">
        <v>6.0</v>
      </c>
    </row>
    <row r="2113">
      <c r="A2113">
        <f>IFERROR(__xludf.DUMMYFUNCTION("""COMPUTED_VALUE"""),6.0)</f>
        <v>6</v>
      </c>
      <c r="B2113">
        <f>IFERROR(__xludf.DUMMYFUNCTION("""COMPUTED_VALUE"""),31026.0)</f>
        <v>31026</v>
      </c>
      <c r="C2113" t="str">
        <f>IFERROR(__xludf.DUMMYFUNCTION("""COMPUTED_VALUE"""),"CORTES ARANGO, JUAN MARTIN")</f>
        <v>CORTES ARANGO, JUAN MARTIN</v>
      </c>
      <c r="D2113" t="str">
        <f>IFERROR(__xludf.DUMMYFUNCTION("""COMPUTED_VALUE"""),"PE 6")</f>
        <v>PE 6</v>
      </c>
      <c r="E2113" s="31" t="str">
        <f>IFERROR(__xludf.DUMMYFUNCTION("""COMPUTED_VALUE"""),"4b")</f>
        <v>4b</v>
      </c>
      <c r="F2113" s="8">
        <v>1.0</v>
      </c>
      <c r="G2113" s="8">
        <v>1.0</v>
      </c>
      <c r="H2113" s="8">
        <v>1.0</v>
      </c>
      <c r="I2113" s="8">
        <v>1.0</v>
      </c>
      <c r="J2113" s="8">
        <v>1.0</v>
      </c>
      <c r="K2113" s="8">
        <v>1.0</v>
      </c>
      <c r="L2113" s="8">
        <v>6.0</v>
      </c>
      <c r="M2113" s="8"/>
      <c r="N2113" s="8"/>
      <c r="O2113" s="8" t="s">
        <v>790</v>
      </c>
      <c r="P2113" s="8">
        <v>6.0</v>
      </c>
    </row>
    <row r="2114">
      <c r="A2114">
        <f>IFERROR(__xludf.DUMMYFUNCTION("""COMPUTED_VALUE"""),6.0)</f>
        <v>6</v>
      </c>
      <c r="B2114">
        <f>IFERROR(__xludf.DUMMYFUNCTION("""COMPUTED_VALUE"""),31027.0)</f>
        <v>31027</v>
      </c>
      <c r="C2114" t="str">
        <f>IFERROR(__xludf.DUMMYFUNCTION("""COMPUTED_VALUE"""),"CUARTAS GOMEZ, SANTIAGO")</f>
        <v>CUARTAS GOMEZ, SANTIAGO</v>
      </c>
      <c r="D2114" t="str">
        <f>IFERROR(__xludf.DUMMYFUNCTION("""COMPUTED_VALUE"""),"PE 6")</f>
        <v>PE 6</v>
      </c>
      <c r="E2114" s="31" t="str">
        <f>IFERROR(__xludf.DUMMYFUNCTION("""COMPUTED_VALUE"""),"6a")</f>
        <v>6a</v>
      </c>
      <c r="F2114" s="8">
        <v>1.0</v>
      </c>
      <c r="G2114" s="8">
        <v>1.0</v>
      </c>
      <c r="H2114" s="8">
        <v>1.0</v>
      </c>
      <c r="I2114" s="8">
        <v>1.0</v>
      </c>
      <c r="J2114" s="8">
        <v>1.0</v>
      </c>
      <c r="K2114" s="8">
        <v>1.0</v>
      </c>
      <c r="L2114" s="8">
        <v>6.0</v>
      </c>
      <c r="M2114" s="8"/>
      <c r="N2114" s="8"/>
      <c r="O2114" s="8" t="s">
        <v>794</v>
      </c>
      <c r="P2114" s="8">
        <v>6.0</v>
      </c>
    </row>
    <row r="2115">
      <c r="A2115">
        <f>IFERROR(__xludf.DUMMYFUNCTION("""COMPUTED_VALUE"""),6.0)</f>
        <v>6</v>
      </c>
      <c r="B2115">
        <f>IFERROR(__xludf.DUMMYFUNCTION("""COMPUTED_VALUE"""),31028.0)</f>
        <v>31028</v>
      </c>
      <c r="C2115" t="str">
        <f>IFERROR(__xludf.DUMMYFUNCTION("""COMPUTED_VALUE"""),"DE HOMMEL COCK, ARTHUR JEAN")</f>
        <v>DE HOMMEL COCK, ARTHUR JEAN</v>
      </c>
      <c r="D2115" t="str">
        <f>IFERROR(__xludf.DUMMYFUNCTION("""COMPUTED_VALUE"""),"PE 6")</f>
        <v>PE 6</v>
      </c>
      <c r="E2115" s="31" t="str">
        <f>IFERROR(__xludf.DUMMYFUNCTION("""COMPUTED_VALUE"""),"2b")</f>
        <v>2b</v>
      </c>
      <c r="F2115" s="8">
        <v>1.0</v>
      </c>
      <c r="G2115" s="8">
        <v>1.0</v>
      </c>
      <c r="H2115" s="8">
        <v>1.0</v>
      </c>
      <c r="I2115" s="8">
        <v>1.0</v>
      </c>
      <c r="J2115" s="8">
        <v>1.0</v>
      </c>
      <c r="K2115" s="8">
        <v>1.0</v>
      </c>
      <c r="L2115" s="8">
        <v>6.0</v>
      </c>
      <c r="M2115" s="8"/>
      <c r="N2115" s="8"/>
      <c r="O2115" s="8" t="s">
        <v>795</v>
      </c>
      <c r="P2115" s="8">
        <v>6.0</v>
      </c>
    </row>
    <row r="2116">
      <c r="A2116">
        <f>IFERROR(__xludf.DUMMYFUNCTION("""COMPUTED_VALUE"""),6.0)</f>
        <v>6</v>
      </c>
      <c r="B2116">
        <f>IFERROR(__xludf.DUMMYFUNCTION("""COMPUTED_VALUE"""),31029.0)</f>
        <v>31029</v>
      </c>
      <c r="C2116" t="str">
        <f>IFERROR(__xludf.DUMMYFUNCTION("""COMPUTED_VALUE"""),"DE KOLLER GAVIRIA, PAOLO")</f>
        <v>DE KOLLER GAVIRIA, PAOLO</v>
      </c>
      <c r="D2116" t="str">
        <f>IFERROR(__xludf.DUMMYFUNCTION("""COMPUTED_VALUE"""),"PE 6")</f>
        <v>PE 6</v>
      </c>
      <c r="E2116" s="31" t="str">
        <f>IFERROR(__xludf.DUMMYFUNCTION("""COMPUTED_VALUE"""),"6b")</f>
        <v>6b</v>
      </c>
      <c r="F2116" s="8">
        <v>1.0</v>
      </c>
      <c r="G2116" s="8">
        <v>1.0</v>
      </c>
      <c r="H2116" s="8">
        <v>1.0</v>
      </c>
      <c r="I2116" s="8">
        <v>1.0</v>
      </c>
      <c r="J2116" s="8">
        <v>1.0</v>
      </c>
      <c r="K2116" s="8">
        <v>1.0</v>
      </c>
      <c r="L2116" s="8">
        <v>6.0</v>
      </c>
      <c r="M2116" s="8"/>
      <c r="N2116" s="8"/>
      <c r="O2116" s="8" t="s">
        <v>792</v>
      </c>
      <c r="P2116" s="8">
        <v>6.0</v>
      </c>
    </row>
    <row r="2117">
      <c r="A2117">
        <f>IFERROR(__xludf.DUMMYFUNCTION("""COMPUTED_VALUE"""),6.0)</f>
        <v>6</v>
      </c>
      <c r="B2117">
        <f>IFERROR(__xludf.DUMMYFUNCTION("""COMPUTED_VALUE"""),31030.0)</f>
        <v>31030</v>
      </c>
      <c r="C2117" t="str">
        <f>IFERROR(__xludf.DUMMYFUNCTION("""COMPUTED_VALUE"""),"DE KOLLER GAVIRIA, ROMEO")</f>
        <v>DE KOLLER GAVIRIA, ROMEO</v>
      </c>
      <c r="D2117" t="str">
        <f>IFERROR(__xludf.DUMMYFUNCTION("""COMPUTED_VALUE"""),"PE 6")</f>
        <v>PE 6</v>
      </c>
      <c r="E2117" s="31" t="str">
        <f>IFERROR(__xludf.DUMMYFUNCTION("""COMPUTED_VALUE"""),"5b")</f>
        <v>5b</v>
      </c>
      <c r="F2117" s="8">
        <v>1.0</v>
      </c>
      <c r="G2117" s="8">
        <v>1.0</v>
      </c>
      <c r="H2117" s="8">
        <v>1.0</v>
      </c>
      <c r="I2117" s="8">
        <v>1.0</v>
      </c>
      <c r="J2117" s="8">
        <v>1.0</v>
      </c>
      <c r="K2117" s="8">
        <v>1.0</v>
      </c>
      <c r="L2117" s="8">
        <v>6.0</v>
      </c>
      <c r="M2117" s="8"/>
      <c r="N2117" s="8"/>
      <c r="O2117" s="8" t="s">
        <v>791</v>
      </c>
      <c r="P2117" s="8">
        <v>6.0</v>
      </c>
    </row>
    <row r="2118">
      <c r="A2118">
        <f>IFERROR(__xludf.DUMMYFUNCTION("""COMPUTED_VALUE"""),6.0)</f>
        <v>6</v>
      </c>
      <c r="B2118">
        <f>IFERROR(__xludf.DUMMYFUNCTION("""COMPUTED_VALUE"""),31032.0)</f>
        <v>31032</v>
      </c>
      <c r="C2118" t="str">
        <f>IFERROR(__xludf.DUMMYFUNCTION("""COMPUTED_VALUE"""),"DE LOS RIOS AGUDELO, MARTIN")</f>
        <v>DE LOS RIOS AGUDELO, MARTIN</v>
      </c>
      <c r="D2118" t="str">
        <f>IFERROR(__xludf.DUMMYFUNCTION("""COMPUTED_VALUE"""),"PE 6")</f>
        <v>PE 6</v>
      </c>
      <c r="E2118" s="31" t="str">
        <f>IFERROR(__xludf.DUMMYFUNCTION("""COMPUTED_VALUE"""),"5b")</f>
        <v>5b</v>
      </c>
      <c r="F2118" s="8">
        <v>1.0</v>
      </c>
      <c r="G2118" s="8">
        <v>1.0</v>
      </c>
      <c r="H2118" s="8">
        <v>1.0</v>
      </c>
      <c r="I2118" s="8">
        <v>1.0</v>
      </c>
      <c r="J2118" s="8">
        <v>1.0</v>
      </c>
      <c r="K2118" s="8">
        <v>1.0</v>
      </c>
      <c r="L2118" s="8">
        <v>6.0</v>
      </c>
      <c r="M2118" s="8"/>
      <c r="N2118" s="8"/>
      <c r="O2118" s="8" t="s">
        <v>791</v>
      </c>
      <c r="P2118" s="8">
        <v>6.0</v>
      </c>
    </row>
    <row r="2119">
      <c r="A2119">
        <f>IFERROR(__xludf.DUMMYFUNCTION("""COMPUTED_VALUE"""),6.0)</f>
        <v>6</v>
      </c>
      <c r="B2119">
        <f>IFERROR(__xludf.DUMMYFUNCTION("""COMPUTED_VALUE"""),31031.0)</f>
        <v>31031</v>
      </c>
      <c r="C2119" t="str">
        <f>IFERROR(__xludf.DUMMYFUNCTION("""COMPUTED_VALUE"""),"DE LOS RIOS AGUDELO, MATIAS")</f>
        <v>DE LOS RIOS AGUDELO, MATIAS</v>
      </c>
      <c r="D2119" t="str">
        <f>IFERROR(__xludf.DUMMYFUNCTION("""COMPUTED_VALUE"""),"PE 6")</f>
        <v>PE 6</v>
      </c>
      <c r="E2119" s="31" t="str">
        <f>IFERROR(__xludf.DUMMYFUNCTION("""COMPUTED_VALUE"""),"5b")</f>
        <v>5b</v>
      </c>
      <c r="F2119" s="8">
        <v>1.0</v>
      </c>
      <c r="G2119" s="8">
        <v>1.0</v>
      </c>
      <c r="H2119" s="8">
        <v>1.0</v>
      </c>
      <c r="I2119" s="8">
        <v>1.0</v>
      </c>
      <c r="J2119" s="8">
        <v>1.0</v>
      </c>
      <c r="K2119" s="8">
        <v>1.0</v>
      </c>
      <c r="L2119" s="8">
        <v>6.0</v>
      </c>
      <c r="M2119" s="8"/>
      <c r="N2119" s="8"/>
      <c r="O2119" s="8" t="s">
        <v>791</v>
      </c>
      <c r="P2119" s="8">
        <v>6.0</v>
      </c>
    </row>
    <row r="2120">
      <c r="A2120">
        <f>IFERROR(__xludf.DUMMYFUNCTION("""COMPUTED_VALUE"""),6.0)</f>
        <v>6</v>
      </c>
      <c r="B2120">
        <f>IFERROR(__xludf.DUMMYFUNCTION("""COMPUTED_VALUE"""),31168.0)</f>
        <v>31168</v>
      </c>
      <c r="C2120" t="str">
        <f>IFERROR(__xludf.DUMMYFUNCTION("""COMPUTED_VALUE"""),"DE MUNCK MORTIER, LUCA")</f>
        <v>DE MUNCK MORTIER, LUCA</v>
      </c>
      <c r="D2120" t="str">
        <f>IFERROR(__xludf.DUMMYFUNCTION("""COMPUTED_VALUE"""),"PE 6")</f>
        <v>PE 6</v>
      </c>
      <c r="E2120" s="31" t="str">
        <f>IFERROR(__xludf.DUMMYFUNCTION("""COMPUTED_VALUE"""),"1a")</f>
        <v>1a</v>
      </c>
      <c r="F2120" s="8">
        <v>1.0</v>
      </c>
      <c r="G2120" s="8">
        <v>1.0</v>
      </c>
      <c r="H2120" s="8">
        <v>1.0</v>
      </c>
      <c r="I2120" s="8">
        <v>1.0</v>
      </c>
      <c r="J2120" s="8">
        <v>1.0</v>
      </c>
      <c r="K2120" s="8">
        <v>1.0</v>
      </c>
      <c r="L2120" s="8">
        <v>6.0</v>
      </c>
      <c r="M2120" s="8"/>
      <c r="N2120" s="8"/>
      <c r="O2120" s="8" t="s">
        <v>793</v>
      </c>
      <c r="P2120" s="8">
        <v>6.0</v>
      </c>
    </row>
    <row r="2121">
      <c r="A2121">
        <f>IFERROR(__xludf.DUMMYFUNCTION("""COMPUTED_VALUE"""),6.0)</f>
        <v>6</v>
      </c>
      <c r="B2121">
        <f>IFERROR(__xludf.DUMMYFUNCTION("""COMPUTED_VALUE"""),31163.0)</f>
        <v>31163</v>
      </c>
      <c r="C2121" t="str">
        <f>IFERROR(__xludf.DUMMYFUNCTION("""COMPUTED_VALUE"""),"DOMINGUEZ JORGENSEN, GABRIEL")</f>
        <v>DOMINGUEZ JORGENSEN, GABRIEL</v>
      </c>
      <c r="D2121" t="str">
        <f>IFERROR(__xludf.DUMMYFUNCTION("""COMPUTED_VALUE"""),"PE 6")</f>
        <v>PE 6</v>
      </c>
      <c r="E2121" s="31" t="str">
        <f>IFERROR(__xludf.DUMMYFUNCTION("""COMPUTED_VALUE"""),"2b")</f>
        <v>2b</v>
      </c>
      <c r="F2121" s="8">
        <v>1.0</v>
      </c>
      <c r="G2121" s="8">
        <v>1.0</v>
      </c>
      <c r="H2121" s="8">
        <v>1.0</v>
      </c>
      <c r="I2121" s="8">
        <v>1.0</v>
      </c>
      <c r="J2121" s="8">
        <v>1.0</v>
      </c>
      <c r="K2121" s="8">
        <v>1.0</v>
      </c>
      <c r="L2121" s="8">
        <v>6.0</v>
      </c>
      <c r="M2121" s="8"/>
      <c r="N2121" s="8"/>
      <c r="O2121" s="8" t="s">
        <v>795</v>
      </c>
      <c r="P2121" s="8">
        <v>6.0</v>
      </c>
    </row>
    <row r="2122">
      <c r="A2122">
        <f>IFERROR(__xludf.DUMMYFUNCTION("""COMPUTED_VALUE"""),6.0)</f>
        <v>6</v>
      </c>
      <c r="B2122">
        <f>IFERROR(__xludf.DUMMYFUNCTION("""COMPUTED_VALUE"""),31167.0)</f>
        <v>31167</v>
      </c>
      <c r="C2122" t="str">
        <f>IFERROR(__xludf.DUMMYFUNCTION("""COMPUTED_VALUE"""),"DUQUE, JACOB")</f>
        <v>DUQUE, JACOB</v>
      </c>
      <c r="D2122" t="str">
        <f>IFERROR(__xludf.DUMMYFUNCTION("""COMPUTED_VALUE"""),"PE 6")</f>
        <v>PE 6</v>
      </c>
      <c r="E2122" s="31" t="str">
        <f>IFERROR(__xludf.DUMMYFUNCTION("""COMPUTED_VALUE"""),"6a")</f>
        <v>6a</v>
      </c>
      <c r="F2122" s="8">
        <v>1.0</v>
      </c>
      <c r="G2122" s="8">
        <v>1.0</v>
      </c>
      <c r="H2122" s="8">
        <v>1.0</v>
      </c>
      <c r="I2122" s="8">
        <v>1.0</v>
      </c>
      <c r="J2122" s="8">
        <v>1.0</v>
      </c>
      <c r="K2122" s="8">
        <v>1.0</v>
      </c>
      <c r="L2122" s="8">
        <v>6.0</v>
      </c>
      <c r="M2122" s="8"/>
      <c r="N2122" s="8"/>
      <c r="O2122" s="8" t="s">
        <v>794</v>
      </c>
      <c r="P2122" s="8">
        <v>6.0</v>
      </c>
    </row>
    <row r="2123">
      <c r="A2123">
        <f>IFERROR(__xludf.DUMMYFUNCTION("""COMPUTED_VALUE"""),6.0)</f>
        <v>6</v>
      </c>
      <c r="B2123">
        <f>IFERROR(__xludf.DUMMYFUNCTION("""COMPUTED_VALUE"""),30041.0)</f>
        <v>30041</v>
      </c>
      <c r="C2123" t="str">
        <f>IFERROR(__xludf.DUMMYFUNCTION("""COMPUTED_VALUE"""),"ESPINAL MONTOYA, ARIANA")</f>
        <v>ESPINAL MONTOYA, ARIANA</v>
      </c>
      <c r="D2123" t="str">
        <f>IFERROR(__xludf.DUMMYFUNCTION("""COMPUTED_VALUE"""),"PE 6")</f>
        <v>PE 6</v>
      </c>
      <c r="E2123" s="31" t="str">
        <f>IFERROR(__xludf.DUMMYFUNCTION("""COMPUTED_VALUE"""),"6a")</f>
        <v>6a</v>
      </c>
      <c r="F2123" s="8">
        <v>1.0</v>
      </c>
      <c r="G2123" s="8">
        <v>1.0</v>
      </c>
      <c r="H2123" s="8">
        <v>1.0</v>
      </c>
      <c r="I2123" s="8">
        <v>1.0</v>
      </c>
      <c r="J2123" s="8">
        <v>1.0</v>
      </c>
      <c r="K2123" s="8">
        <v>1.0</v>
      </c>
      <c r="L2123" s="8">
        <v>6.0</v>
      </c>
      <c r="M2123" s="8"/>
      <c r="N2123" s="8"/>
      <c r="O2123" s="8" t="s">
        <v>794</v>
      </c>
      <c r="P2123" s="8">
        <v>6.0</v>
      </c>
    </row>
    <row r="2124">
      <c r="A2124">
        <f>IFERROR(__xludf.DUMMYFUNCTION("""COMPUTED_VALUE"""),6.0)</f>
        <v>6</v>
      </c>
      <c r="B2124">
        <f>IFERROR(__xludf.DUMMYFUNCTION("""COMPUTED_VALUE"""),31034.0)</f>
        <v>31034</v>
      </c>
      <c r="C2124" t="str">
        <f>IFERROR(__xludf.DUMMYFUNCTION("""COMPUTED_VALUE"""),"ESPINOSA ABAD, MARTINA")</f>
        <v>ESPINOSA ABAD, MARTINA</v>
      </c>
      <c r="D2124" t="str">
        <f>IFERROR(__xludf.DUMMYFUNCTION("""COMPUTED_VALUE"""),"PE 6")</f>
        <v>PE 6</v>
      </c>
      <c r="E2124" s="31" t="str">
        <f>IFERROR(__xludf.DUMMYFUNCTION("""COMPUTED_VALUE"""),"2b")</f>
        <v>2b</v>
      </c>
      <c r="F2124" s="8">
        <v>1.0</v>
      </c>
      <c r="G2124" s="8">
        <v>1.0</v>
      </c>
      <c r="H2124" s="8">
        <v>1.0</v>
      </c>
      <c r="I2124" s="8">
        <v>1.0</v>
      </c>
      <c r="J2124" s="8">
        <v>1.0</v>
      </c>
      <c r="K2124" s="8">
        <v>1.0</v>
      </c>
      <c r="L2124" s="8">
        <v>6.0</v>
      </c>
      <c r="M2124" s="8"/>
      <c r="N2124" s="8"/>
      <c r="O2124" s="8" t="s">
        <v>795</v>
      </c>
      <c r="P2124" s="8">
        <v>6.0</v>
      </c>
    </row>
    <row r="2125">
      <c r="A2125">
        <f>IFERROR(__xludf.DUMMYFUNCTION("""COMPUTED_VALUE"""),6.0)</f>
        <v>6</v>
      </c>
      <c r="B2125">
        <f>IFERROR(__xludf.DUMMYFUNCTION("""COMPUTED_VALUE"""),31037.0)</f>
        <v>31037</v>
      </c>
      <c r="C2125" t="str">
        <f>IFERROR(__xludf.DUMMYFUNCTION("""COMPUTED_VALUE"""),"FERNANDEZ GUTIERREZ, MARIA JOSE")</f>
        <v>FERNANDEZ GUTIERREZ, MARIA JOSE</v>
      </c>
      <c r="D2125" t="str">
        <f>IFERROR(__xludf.DUMMYFUNCTION("""COMPUTED_VALUE"""),"PE 6")</f>
        <v>PE 6</v>
      </c>
      <c r="E2125" s="31" t="str">
        <f>IFERROR(__xludf.DUMMYFUNCTION("""COMPUTED_VALUE"""),"4b")</f>
        <v>4b</v>
      </c>
      <c r="F2125" s="8">
        <v>1.0</v>
      </c>
      <c r="G2125" s="8">
        <v>1.0</v>
      </c>
      <c r="H2125" s="8">
        <v>1.0</v>
      </c>
      <c r="I2125" s="8">
        <v>1.0</v>
      </c>
      <c r="J2125" s="8">
        <v>1.0</v>
      </c>
      <c r="K2125" s="8">
        <v>1.0</v>
      </c>
      <c r="L2125" s="8">
        <v>6.0</v>
      </c>
      <c r="M2125" s="8"/>
      <c r="N2125" s="8"/>
      <c r="O2125" s="8" t="s">
        <v>790</v>
      </c>
      <c r="P2125" s="8">
        <v>6.0</v>
      </c>
    </row>
    <row r="2126">
      <c r="A2126">
        <f>IFERROR(__xludf.DUMMYFUNCTION("""COMPUTED_VALUE"""),6.0)</f>
        <v>6</v>
      </c>
      <c r="B2126">
        <f>IFERROR(__xludf.DUMMYFUNCTION("""COMPUTED_VALUE"""),31039.0)</f>
        <v>31039</v>
      </c>
      <c r="C2126" t="str">
        <f>IFERROR(__xludf.DUMMYFUNCTION("""COMPUTED_VALUE"""),"GALLEGO OCAMPO, MARTIN")</f>
        <v>GALLEGO OCAMPO, MARTIN</v>
      </c>
      <c r="D2126" t="str">
        <f>IFERROR(__xludf.DUMMYFUNCTION("""COMPUTED_VALUE"""),"PE 6")</f>
        <v>PE 6</v>
      </c>
      <c r="E2126" s="31" t="str">
        <f>IFERROR(__xludf.DUMMYFUNCTION("""COMPUTED_VALUE"""),"6b")</f>
        <v>6b</v>
      </c>
      <c r="F2126" s="8">
        <v>1.0</v>
      </c>
      <c r="G2126" s="8">
        <v>1.0</v>
      </c>
      <c r="H2126" s="8">
        <v>1.0</v>
      </c>
      <c r="I2126" s="8">
        <v>1.0</v>
      </c>
      <c r="J2126" s="8">
        <v>1.0</v>
      </c>
      <c r="K2126" s="8">
        <v>1.0</v>
      </c>
      <c r="L2126" s="8">
        <v>6.0</v>
      </c>
      <c r="M2126" s="8"/>
      <c r="N2126" s="8"/>
      <c r="O2126" s="8" t="s">
        <v>792</v>
      </c>
      <c r="P2126" s="8">
        <v>6.0</v>
      </c>
    </row>
    <row r="2127">
      <c r="A2127">
        <f>IFERROR(__xludf.DUMMYFUNCTION("""COMPUTED_VALUE"""),6.0)</f>
        <v>6</v>
      </c>
      <c r="B2127">
        <f>IFERROR(__xludf.DUMMYFUNCTION("""COMPUTED_VALUE"""),31040.0)</f>
        <v>31040</v>
      </c>
      <c r="C2127" t="str">
        <f>IFERROR(__xludf.DUMMYFUNCTION("""COMPUTED_VALUE"""),"GARCIA ISAZA, VIOLETA")</f>
        <v>GARCIA ISAZA, VIOLETA</v>
      </c>
      <c r="D2127" t="str">
        <f>IFERROR(__xludf.DUMMYFUNCTION("""COMPUTED_VALUE"""),"PE 6")</f>
        <v>PE 6</v>
      </c>
      <c r="E2127" s="31" t="str">
        <f>IFERROR(__xludf.DUMMYFUNCTION("""COMPUTED_VALUE"""),"2b")</f>
        <v>2b</v>
      </c>
      <c r="F2127" s="8">
        <v>1.0</v>
      </c>
      <c r="G2127" s="8">
        <v>1.0</v>
      </c>
      <c r="H2127" s="8">
        <v>1.0</v>
      </c>
      <c r="I2127" s="8">
        <v>1.0</v>
      </c>
      <c r="J2127" s="8">
        <v>1.0</v>
      </c>
      <c r="K2127" s="8">
        <v>1.0</v>
      </c>
      <c r="L2127" s="8">
        <v>6.0</v>
      </c>
      <c r="M2127" s="8"/>
      <c r="N2127" s="8"/>
      <c r="O2127" s="8" t="s">
        <v>795</v>
      </c>
      <c r="P2127" s="8">
        <v>6.0</v>
      </c>
    </row>
    <row r="2128">
      <c r="A2128">
        <f>IFERROR(__xludf.DUMMYFUNCTION("""COMPUTED_VALUE"""),6.0)</f>
        <v>6</v>
      </c>
      <c r="B2128">
        <f>IFERROR(__xludf.DUMMYFUNCTION("""COMPUTED_VALUE"""),31042.0)</f>
        <v>31042</v>
      </c>
      <c r="C2128" t="str">
        <f>IFERROR(__xludf.DUMMYFUNCTION("""COMPUTED_VALUE"""),"GAVIRIA ARBELAEZ, AGUSTIN")</f>
        <v>GAVIRIA ARBELAEZ, AGUSTIN</v>
      </c>
      <c r="D2128" t="str">
        <f>IFERROR(__xludf.DUMMYFUNCTION("""COMPUTED_VALUE"""),"PE 6")</f>
        <v>PE 6</v>
      </c>
      <c r="E2128" s="31" t="str">
        <f>IFERROR(__xludf.DUMMYFUNCTION("""COMPUTED_VALUE"""),"6a")</f>
        <v>6a</v>
      </c>
      <c r="F2128" s="8">
        <v>1.0</v>
      </c>
      <c r="G2128" s="8">
        <v>1.0</v>
      </c>
      <c r="H2128" s="8">
        <v>1.0</v>
      </c>
      <c r="I2128" s="8">
        <v>1.0</v>
      </c>
      <c r="J2128" s="8">
        <v>1.0</v>
      </c>
      <c r="K2128" s="8">
        <v>1.0</v>
      </c>
      <c r="L2128" s="8">
        <v>6.0</v>
      </c>
      <c r="M2128" s="8"/>
      <c r="N2128" s="8"/>
      <c r="O2128" s="8" t="s">
        <v>794</v>
      </c>
      <c r="P2128" s="8">
        <v>6.0</v>
      </c>
    </row>
    <row r="2129">
      <c r="A2129">
        <f>IFERROR(__xludf.DUMMYFUNCTION("""COMPUTED_VALUE"""),6.0)</f>
        <v>6</v>
      </c>
      <c r="B2129">
        <f>IFERROR(__xludf.DUMMYFUNCTION("""COMPUTED_VALUE"""),31044.0)</f>
        <v>31044</v>
      </c>
      <c r="C2129" t="str">
        <f>IFERROR(__xludf.DUMMYFUNCTION("""COMPUTED_VALUE"""),"GOMEZ ROLDAN, SANTIAGO")</f>
        <v>GOMEZ ROLDAN, SANTIAGO</v>
      </c>
      <c r="D2129" t="str">
        <f>IFERROR(__xludf.DUMMYFUNCTION("""COMPUTED_VALUE"""),"PE 6")</f>
        <v>PE 6</v>
      </c>
      <c r="E2129" s="31" t="str">
        <f>IFERROR(__xludf.DUMMYFUNCTION("""COMPUTED_VALUE"""),"1a")</f>
        <v>1a</v>
      </c>
      <c r="F2129" s="8">
        <v>1.0</v>
      </c>
      <c r="G2129" s="8">
        <v>1.0</v>
      </c>
      <c r="H2129" s="8">
        <v>1.0</v>
      </c>
      <c r="I2129" s="8">
        <v>1.0</v>
      </c>
      <c r="J2129" s="8">
        <v>1.0</v>
      </c>
      <c r="K2129" s="8">
        <v>1.0</v>
      </c>
      <c r="L2129" s="8">
        <v>6.0</v>
      </c>
      <c r="M2129" s="8"/>
      <c r="N2129" s="8"/>
      <c r="O2129" s="8" t="s">
        <v>793</v>
      </c>
      <c r="P2129" s="8">
        <v>6.0</v>
      </c>
    </row>
    <row r="2130">
      <c r="A2130">
        <f>IFERROR(__xludf.DUMMYFUNCTION("""COMPUTED_VALUE"""),6.0)</f>
        <v>6</v>
      </c>
      <c r="B2130">
        <f>IFERROR(__xludf.DUMMYFUNCTION("""COMPUTED_VALUE"""),31045.0)</f>
        <v>31045</v>
      </c>
      <c r="C2130" t="str">
        <f>IFERROR(__xludf.DUMMYFUNCTION("""COMPUTED_VALUE"""),"GOMEZ VELASQUEZ, LORENZO")</f>
        <v>GOMEZ VELASQUEZ, LORENZO</v>
      </c>
      <c r="D2130" t="str">
        <f>IFERROR(__xludf.DUMMYFUNCTION("""COMPUTED_VALUE"""),"PE 6")</f>
        <v>PE 6</v>
      </c>
      <c r="E2130" s="31" t="str">
        <f>IFERROR(__xludf.DUMMYFUNCTION("""COMPUTED_VALUE"""),"6b")</f>
        <v>6b</v>
      </c>
      <c r="F2130" s="8">
        <v>1.0</v>
      </c>
      <c r="G2130" s="8">
        <v>1.0</v>
      </c>
      <c r="H2130" s="8">
        <v>1.0</v>
      </c>
      <c r="I2130" s="8">
        <v>1.0</v>
      </c>
      <c r="J2130" s="8">
        <v>1.0</v>
      </c>
      <c r="K2130" s="8">
        <v>1.0</v>
      </c>
      <c r="L2130" s="8">
        <v>6.0</v>
      </c>
      <c r="M2130" s="8"/>
      <c r="N2130" s="8"/>
      <c r="O2130" s="8" t="s">
        <v>792</v>
      </c>
      <c r="P2130" s="8">
        <v>6.0</v>
      </c>
    </row>
    <row r="2131">
      <c r="A2131">
        <f>IFERROR(__xludf.DUMMYFUNCTION("""COMPUTED_VALUE"""),6.0)</f>
        <v>6</v>
      </c>
      <c r="B2131">
        <f>IFERROR(__xludf.DUMMYFUNCTION("""COMPUTED_VALUE"""),31046.0)</f>
        <v>31046</v>
      </c>
      <c r="C2131" t="str">
        <f>IFERROR(__xludf.DUMMYFUNCTION("""COMPUTED_VALUE"""),"GONZALEZ LONDOÑO, LAURA")</f>
        <v>GONZALEZ LONDOÑO, LAURA</v>
      </c>
      <c r="D2131" t="str">
        <f>IFERROR(__xludf.DUMMYFUNCTION("""COMPUTED_VALUE"""),"PE 6")</f>
        <v>PE 6</v>
      </c>
      <c r="E2131" s="31" t="str">
        <f>IFERROR(__xludf.DUMMYFUNCTION("""COMPUTED_VALUE"""),"6b")</f>
        <v>6b</v>
      </c>
      <c r="F2131" s="8">
        <v>1.0</v>
      </c>
      <c r="G2131" s="8">
        <v>1.0</v>
      </c>
      <c r="H2131" s="8">
        <v>1.0</v>
      </c>
      <c r="I2131" s="8">
        <v>1.0</v>
      </c>
      <c r="J2131" s="8">
        <v>1.0</v>
      </c>
      <c r="K2131" s="8">
        <v>1.0</v>
      </c>
      <c r="L2131" s="8">
        <v>6.0</v>
      </c>
      <c r="M2131" s="8"/>
      <c r="N2131" s="8"/>
      <c r="O2131" s="8" t="s">
        <v>792</v>
      </c>
      <c r="P2131" s="8">
        <v>6.0</v>
      </c>
    </row>
    <row r="2132">
      <c r="A2132">
        <f>IFERROR(__xludf.DUMMYFUNCTION("""COMPUTED_VALUE"""),6.0)</f>
        <v>6</v>
      </c>
      <c r="B2132">
        <f>IFERROR(__xludf.DUMMYFUNCTION("""COMPUTED_VALUE"""),31047.0)</f>
        <v>31047</v>
      </c>
      <c r="C2132" t="str">
        <f>IFERROR(__xludf.DUMMYFUNCTION("""COMPUTED_VALUE"""),"GONZALEZ NICHOLLS, MARIA JOSE")</f>
        <v>GONZALEZ NICHOLLS, MARIA JOSE</v>
      </c>
      <c r="D2132" t="str">
        <f>IFERROR(__xludf.DUMMYFUNCTION("""COMPUTED_VALUE"""),"PE 6")</f>
        <v>PE 6</v>
      </c>
      <c r="E2132" s="31" t="str">
        <f>IFERROR(__xludf.DUMMYFUNCTION("""COMPUTED_VALUE"""),"6b")</f>
        <v>6b</v>
      </c>
      <c r="F2132" s="8">
        <v>1.0</v>
      </c>
      <c r="G2132" s="8">
        <v>1.0</v>
      </c>
      <c r="H2132" s="8">
        <v>1.0</v>
      </c>
      <c r="I2132" s="8">
        <v>1.0</v>
      </c>
      <c r="J2132" s="8">
        <v>1.0</v>
      </c>
      <c r="K2132" s="8">
        <v>1.0</v>
      </c>
      <c r="L2132" s="8">
        <v>6.0</v>
      </c>
      <c r="M2132" s="8"/>
      <c r="N2132" s="8"/>
      <c r="O2132" s="8" t="s">
        <v>792</v>
      </c>
      <c r="P2132" s="8">
        <v>6.0</v>
      </c>
    </row>
    <row r="2133">
      <c r="A2133">
        <f>IFERROR(__xludf.DUMMYFUNCTION("""COMPUTED_VALUE"""),6.0)</f>
        <v>6</v>
      </c>
      <c r="B2133">
        <f>IFERROR(__xludf.DUMMYFUNCTION("""COMPUTED_VALUE"""),31170.0)</f>
        <v>31170</v>
      </c>
      <c r="C2133" t="str">
        <f>IFERROR(__xludf.DUMMYFUNCTION("""COMPUTED_VALUE"""),"GRULLON SANTOS, ISABELLA")</f>
        <v>GRULLON SANTOS, ISABELLA</v>
      </c>
      <c r="D2133" t="str">
        <f>IFERROR(__xludf.DUMMYFUNCTION("""COMPUTED_VALUE"""),"PE 6")</f>
        <v>PE 6</v>
      </c>
      <c r="E2133" s="31" t="str">
        <f>IFERROR(__xludf.DUMMYFUNCTION("""COMPUTED_VALUE"""),"1a")</f>
        <v>1a</v>
      </c>
      <c r="F2133" s="8">
        <v>1.0</v>
      </c>
      <c r="G2133" s="8">
        <v>1.0</v>
      </c>
      <c r="H2133" s="8">
        <v>1.0</v>
      </c>
      <c r="I2133" s="8">
        <v>1.0</v>
      </c>
      <c r="J2133" s="8">
        <v>1.0</v>
      </c>
      <c r="K2133" s="8">
        <v>1.0</v>
      </c>
      <c r="L2133" s="8">
        <v>6.0</v>
      </c>
      <c r="M2133" s="8"/>
      <c r="N2133" s="8"/>
      <c r="O2133" s="8" t="s">
        <v>793</v>
      </c>
      <c r="P2133" s="8">
        <v>6.0</v>
      </c>
    </row>
    <row r="2134">
      <c r="A2134">
        <f>IFERROR(__xludf.DUMMYFUNCTION("""COMPUTED_VALUE"""),6.0)</f>
        <v>6</v>
      </c>
      <c r="B2134">
        <f>IFERROR(__xludf.DUMMYFUNCTION("""COMPUTED_VALUE"""),31048.0)</f>
        <v>31048</v>
      </c>
      <c r="C2134" t="str">
        <f>IFERROR(__xludf.DUMMYFUNCTION("""COMPUTED_VALUE"""),"GUERRA MARTINEZ, BENJAMIN")</f>
        <v>GUERRA MARTINEZ, BENJAMIN</v>
      </c>
      <c r="D2134" t="str">
        <f>IFERROR(__xludf.DUMMYFUNCTION("""COMPUTED_VALUE"""),"PE 6")</f>
        <v>PE 6</v>
      </c>
      <c r="E2134" s="31" t="str">
        <f>IFERROR(__xludf.DUMMYFUNCTION("""COMPUTED_VALUE"""),"5b")</f>
        <v>5b</v>
      </c>
      <c r="F2134" s="8">
        <v>1.0</v>
      </c>
      <c r="G2134" s="8">
        <v>1.0</v>
      </c>
      <c r="H2134" s="8">
        <v>1.0</v>
      </c>
      <c r="I2134" s="8">
        <v>1.0</v>
      </c>
      <c r="J2134" s="8">
        <v>1.0</v>
      </c>
      <c r="K2134" s="8">
        <v>1.0</v>
      </c>
      <c r="L2134" s="8">
        <v>6.0</v>
      </c>
      <c r="M2134" s="8"/>
      <c r="N2134" s="8"/>
      <c r="O2134" s="8" t="s">
        <v>791</v>
      </c>
      <c r="P2134" s="8">
        <v>6.0</v>
      </c>
    </row>
    <row r="2135">
      <c r="A2135">
        <f>IFERROR(__xludf.DUMMYFUNCTION("""COMPUTED_VALUE"""),6.0)</f>
        <v>6</v>
      </c>
      <c r="B2135">
        <f>IFERROR(__xludf.DUMMYFUNCTION("""COMPUTED_VALUE"""),31049.0)</f>
        <v>31049</v>
      </c>
      <c r="C2135" t="str">
        <f>IFERROR(__xludf.DUMMYFUNCTION("""COMPUTED_VALUE"""),"HENAO MARTINEZ, SOFIA")</f>
        <v>HENAO MARTINEZ, SOFIA</v>
      </c>
      <c r="D2135" t="str">
        <f>IFERROR(__xludf.DUMMYFUNCTION("""COMPUTED_VALUE"""),"PE 6")</f>
        <v>PE 6</v>
      </c>
      <c r="E2135" s="31" t="str">
        <f>IFERROR(__xludf.DUMMYFUNCTION("""COMPUTED_VALUE"""),"6b")</f>
        <v>6b</v>
      </c>
      <c r="F2135" s="8">
        <v>1.0</v>
      </c>
      <c r="G2135" s="8">
        <v>1.0</v>
      </c>
      <c r="H2135" s="8">
        <v>1.0</v>
      </c>
      <c r="I2135" s="8">
        <v>1.0</v>
      </c>
      <c r="J2135" s="8">
        <v>1.0</v>
      </c>
      <c r="K2135" s="8">
        <v>1.0</v>
      </c>
      <c r="L2135" s="8">
        <v>6.0</v>
      </c>
      <c r="M2135" s="8"/>
      <c r="N2135" s="8"/>
      <c r="O2135" s="8" t="s">
        <v>792</v>
      </c>
      <c r="P2135" s="8">
        <v>6.0</v>
      </c>
    </row>
    <row r="2136">
      <c r="A2136">
        <f>IFERROR(__xludf.DUMMYFUNCTION("""COMPUTED_VALUE"""),6.0)</f>
        <v>6</v>
      </c>
      <c r="B2136">
        <f>IFERROR(__xludf.DUMMYFUNCTION("""COMPUTED_VALUE"""),31052.0)</f>
        <v>31052</v>
      </c>
      <c r="C2136" t="str">
        <f>IFERROR(__xludf.DUMMYFUNCTION("""COMPUTED_VALUE"""),"IBAÑEZ MONTOYA, VALENTINA")</f>
        <v>IBAÑEZ MONTOYA, VALENTINA</v>
      </c>
      <c r="D2136" t="str">
        <f>IFERROR(__xludf.DUMMYFUNCTION("""COMPUTED_VALUE"""),"PE 6")</f>
        <v>PE 6</v>
      </c>
      <c r="E2136" s="31" t="str">
        <f>IFERROR(__xludf.DUMMYFUNCTION("""COMPUTED_VALUE"""),"5b")</f>
        <v>5b</v>
      </c>
      <c r="F2136" s="8">
        <v>1.0</v>
      </c>
      <c r="G2136" s="8">
        <v>1.0</v>
      </c>
      <c r="H2136" s="8">
        <v>1.0</v>
      </c>
      <c r="I2136" s="8">
        <v>1.0</v>
      </c>
      <c r="J2136" s="8">
        <v>1.0</v>
      </c>
      <c r="K2136" s="8">
        <v>1.0</v>
      </c>
      <c r="L2136" s="8">
        <v>6.0</v>
      </c>
      <c r="M2136" s="8"/>
      <c r="N2136" s="8"/>
      <c r="O2136" s="8" t="s">
        <v>791</v>
      </c>
      <c r="P2136" s="8">
        <v>6.0</v>
      </c>
    </row>
    <row r="2137">
      <c r="A2137">
        <f>IFERROR(__xludf.DUMMYFUNCTION("""COMPUTED_VALUE"""),6.0)</f>
        <v>6</v>
      </c>
      <c r="B2137">
        <f>IFERROR(__xludf.DUMMYFUNCTION("""COMPUTED_VALUE"""),31054.0)</f>
        <v>31054</v>
      </c>
      <c r="C2137" t="str">
        <f>IFERROR(__xludf.DUMMYFUNCTION("""COMPUTED_VALUE"""),"JALLER TRUJILLO, MARIA")</f>
        <v>JALLER TRUJILLO, MARIA</v>
      </c>
      <c r="D2137" t="str">
        <f>IFERROR(__xludf.DUMMYFUNCTION("""COMPUTED_VALUE"""),"PE 6")</f>
        <v>PE 6</v>
      </c>
      <c r="E2137" s="31" t="str">
        <f>IFERROR(__xludf.DUMMYFUNCTION("""COMPUTED_VALUE"""),"4b")</f>
        <v>4b</v>
      </c>
      <c r="F2137" s="8">
        <v>1.0</v>
      </c>
      <c r="G2137" s="8">
        <v>1.0</v>
      </c>
      <c r="H2137" s="8">
        <v>1.0</v>
      </c>
      <c r="I2137" s="8">
        <v>1.0</v>
      </c>
      <c r="J2137" s="8">
        <v>1.0</v>
      </c>
      <c r="K2137" s="8">
        <v>1.0</v>
      </c>
      <c r="L2137" s="8">
        <v>6.0</v>
      </c>
      <c r="M2137" s="8"/>
      <c r="N2137" s="8"/>
      <c r="O2137" s="8" t="s">
        <v>790</v>
      </c>
      <c r="P2137" s="8">
        <v>6.0</v>
      </c>
    </row>
    <row r="2138">
      <c r="A2138">
        <f>IFERROR(__xludf.DUMMYFUNCTION("""COMPUTED_VALUE"""),6.0)</f>
        <v>6</v>
      </c>
      <c r="B2138">
        <f>IFERROR(__xludf.DUMMYFUNCTION("""COMPUTED_VALUE"""),31053.0)</f>
        <v>31053</v>
      </c>
      <c r="C2138" t="str">
        <f>IFERROR(__xludf.DUMMYFUNCTION("""COMPUTED_VALUE"""),"JALLER VELEZ, MARTINA")</f>
        <v>JALLER VELEZ, MARTINA</v>
      </c>
      <c r="D2138" t="str">
        <f>IFERROR(__xludf.DUMMYFUNCTION("""COMPUTED_VALUE"""),"PE 6")</f>
        <v>PE 6</v>
      </c>
      <c r="E2138" s="31" t="str">
        <f>IFERROR(__xludf.DUMMYFUNCTION("""COMPUTED_VALUE"""),"2b")</f>
        <v>2b</v>
      </c>
      <c r="F2138" s="8">
        <v>1.0</v>
      </c>
      <c r="G2138" s="8">
        <v>1.0</v>
      </c>
      <c r="H2138" s="8">
        <v>1.0</v>
      </c>
      <c r="I2138" s="8">
        <v>1.0</v>
      </c>
      <c r="J2138" s="8">
        <v>1.0</v>
      </c>
      <c r="K2138" s="8">
        <v>1.0</v>
      </c>
      <c r="L2138" s="8">
        <v>6.0</v>
      </c>
      <c r="M2138" s="8"/>
      <c r="N2138" s="8"/>
      <c r="O2138" s="8" t="s">
        <v>795</v>
      </c>
      <c r="P2138" s="8">
        <v>6.0</v>
      </c>
    </row>
    <row r="2139">
      <c r="A2139">
        <f>IFERROR(__xludf.DUMMYFUNCTION("""COMPUTED_VALUE"""),6.0)</f>
        <v>6</v>
      </c>
      <c r="B2139">
        <f>IFERROR(__xludf.DUMMYFUNCTION("""COMPUTED_VALUE"""),31057.0)</f>
        <v>31057</v>
      </c>
      <c r="C2139" t="str">
        <f>IFERROR(__xludf.DUMMYFUNCTION("""COMPUTED_VALUE"""),"JARAMILLO ARBELAEZ, AMALIA")</f>
        <v>JARAMILLO ARBELAEZ, AMALIA</v>
      </c>
      <c r="D2139" t="str">
        <f>IFERROR(__xludf.DUMMYFUNCTION("""COMPUTED_VALUE"""),"PE 6")</f>
        <v>PE 6</v>
      </c>
      <c r="E2139" s="31" t="str">
        <f>IFERROR(__xludf.DUMMYFUNCTION("""COMPUTED_VALUE"""),"1a")</f>
        <v>1a</v>
      </c>
      <c r="F2139" s="8">
        <v>1.0</v>
      </c>
      <c r="G2139" s="8">
        <v>1.0</v>
      </c>
      <c r="H2139" s="8">
        <v>1.0</v>
      </c>
      <c r="I2139" s="8">
        <v>1.0</v>
      </c>
      <c r="J2139" s="8">
        <v>1.0</v>
      </c>
      <c r="K2139" s="8">
        <v>1.0</v>
      </c>
      <c r="L2139" s="8">
        <v>6.0</v>
      </c>
      <c r="M2139" s="8"/>
      <c r="N2139" s="8"/>
      <c r="O2139" s="8" t="s">
        <v>793</v>
      </c>
      <c r="P2139" s="8">
        <v>6.0</v>
      </c>
    </row>
    <row r="2140">
      <c r="A2140">
        <f>IFERROR(__xludf.DUMMYFUNCTION("""COMPUTED_VALUE"""),6.0)</f>
        <v>6</v>
      </c>
      <c r="B2140">
        <f>IFERROR(__xludf.DUMMYFUNCTION("""COMPUTED_VALUE"""),31055.0)</f>
        <v>31055</v>
      </c>
      <c r="C2140" t="str">
        <f>IFERROR(__xludf.DUMMYFUNCTION("""COMPUTED_VALUE"""),"JARAMILLO GONZALEZ, MARIA")</f>
        <v>JARAMILLO GONZALEZ, MARIA</v>
      </c>
      <c r="D2140" t="str">
        <f>IFERROR(__xludf.DUMMYFUNCTION("""COMPUTED_VALUE"""),"PE 6")</f>
        <v>PE 6</v>
      </c>
      <c r="E2140" s="31" t="str">
        <f>IFERROR(__xludf.DUMMYFUNCTION("""COMPUTED_VALUE"""),"2b")</f>
        <v>2b</v>
      </c>
      <c r="F2140" s="8">
        <v>1.0</v>
      </c>
      <c r="G2140" s="8">
        <v>1.0</v>
      </c>
      <c r="H2140" s="8">
        <v>1.0</v>
      </c>
      <c r="I2140" s="8">
        <v>1.0</v>
      </c>
      <c r="J2140" s="8">
        <v>1.0</v>
      </c>
      <c r="K2140" s="8">
        <v>1.0</v>
      </c>
      <c r="L2140" s="8">
        <v>6.0</v>
      </c>
      <c r="M2140" s="8"/>
      <c r="N2140" s="8"/>
      <c r="O2140" s="8" t="s">
        <v>795</v>
      </c>
      <c r="P2140" s="8">
        <v>6.0</v>
      </c>
    </row>
    <row r="2141">
      <c r="A2141">
        <f>IFERROR(__xludf.DUMMYFUNCTION("""COMPUTED_VALUE"""),6.0)</f>
        <v>6</v>
      </c>
      <c r="B2141">
        <f>IFERROR(__xludf.DUMMYFUNCTION("""COMPUTED_VALUE"""),31058.0)</f>
        <v>31058</v>
      </c>
      <c r="C2141" t="str">
        <f>IFERROR(__xludf.DUMMYFUNCTION("""COMPUTED_VALUE"""),"JARAMILLO OCHOA, LUCAS")</f>
        <v>JARAMILLO OCHOA, LUCAS</v>
      </c>
      <c r="D2141" t="str">
        <f>IFERROR(__xludf.DUMMYFUNCTION("""COMPUTED_VALUE"""),"PE 6")</f>
        <v>PE 6</v>
      </c>
      <c r="E2141" s="31" t="str">
        <f>IFERROR(__xludf.DUMMYFUNCTION("""COMPUTED_VALUE"""),"6a")</f>
        <v>6a</v>
      </c>
      <c r="F2141" s="8">
        <v>1.0</v>
      </c>
      <c r="G2141" s="8">
        <v>1.0</v>
      </c>
      <c r="H2141" s="8">
        <v>1.0</v>
      </c>
      <c r="I2141" s="8">
        <v>1.0</v>
      </c>
      <c r="J2141" s="8">
        <v>1.0</v>
      </c>
      <c r="K2141" s="8">
        <v>1.0</v>
      </c>
      <c r="L2141" s="8">
        <v>6.0</v>
      </c>
      <c r="M2141" s="8"/>
      <c r="N2141" s="8"/>
      <c r="O2141" s="8" t="s">
        <v>794</v>
      </c>
      <c r="P2141" s="8">
        <v>6.0</v>
      </c>
    </row>
    <row r="2142">
      <c r="A2142">
        <f>IFERROR(__xludf.DUMMYFUNCTION("""COMPUTED_VALUE"""),6.0)</f>
        <v>6</v>
      </c>
      <c r="B2142">
        <f>IFERROR(__xludf.DUMMYFUNCTION("""COMPUTED_VALUE"""),31059.0)</f>
        <v>31059</v>
      </c>
      <c r="C2142" t="str">
        <f>IFERROR(__xludf.DUMMYFUNCTION("""COMPUTED_VALUE"""),"JIMENEZ ESCOBAR, ROSARIO")</f>
        <v>JIMENEZ ESCOBAR, ROSARIO</v>
      </c>
      <c r="D2142" t="str">
        <f>IFERROR(__xludf.DUMMYFUNCTION("""COMPUTED_VALUE"""),"PE 6")</f>
        <v>PE 6</v>
      </c>
      <c r="E2142" s="31" t="str">
        <f>IFERROR(__xludf.DUMMYFUNCTION("""COMPUTED_VALUE"""),"5b")</f>
        <v>5b</v>
      </c>
      <c r="F2142" s="8">
        <v>1.0</v>
      </c>
      <c r="G2142" s="8">
        <v>1.0</v>
      </c>
      <c r="H2142" s="8">
        <v>1.0</v>
      </c>
      <c r="I2142" s="8">
        <v>1.0</v>
      </c>
      <c r="J2142" s="8">
        <v>1.0</v>
      </c>
      <c r="K2142" s="8">
        <v>1.0</v>
      </c>
      <c r="L2142" s="8">
        <v>6.0</v>
      </c>
      <c r="M2142" s="8"/>
      <c r="N2142" s="8"/>
      <c r="O2142" s="8" t="s">
        <v>791</v>
      </c>
      <c r="P2142" s="8">
        <v>6.0</v>
      </c>
    </row>
    <row r="2143">
      <c r="A2143">
        <f>IFERROR(__xludf.DUMMYFUNCTION("""COMPUTED_VALUE"""),6.0)</f>
        <v>6</v>
      </c>
      <c r="B2143">
        <f>IFERROR(__xludf.DUMMYFUNCTION("""COMPUTED_VALUE"""),31172.0)</f>
        <v>31172</v>
      </c>
      <c r="C2143" t="str">
        <f>IFERROR(__xludf.DUMMYFUNCTION("""COMPUTED_VALUE"""),"JONCK CORRENTE, CLARICE")</f>
        <v>JONCK CORRENTE, CLARICE</v>
      </c>
      <c r="D2143" t="str">
        <f>IFERROR(__xludf.DUMMYFUNCTION("""COMPUTED_VALUE"""),"PE 6")</f>
        <v>PE 6</v>
      </c>
      <c r="E2143" s="31" t="str">
        <f>IFERROR(__xludf.DUMMYFUNCTION("""COMPUTED_VALUE"""),"1a")</f>
        <v>1a</v>
      </c>
      <c r="F2143" s="8">
        <v>1.0</v>
      </c>
      <c r="G2143" s="8">
        <v>1.0</v>
      </c>
      <c r="H2143" s="8">
        <v>1.0</v>
      </c>
      <c r="I2143" s="8">
        <v>1.0</v>
      </c>
      <c r="J2143" s="8">
        <v>1.0</v>
      </c>
      <c r="K2143" s="8">
        <v>1.0</v>
      </c>
      <c r="L2143" s="8">
        <v>6.0</v>
      </c>
      <c r="M2143" s="8"/>
      <c r="N2143" s="8"/>
      <c r="O2143" s="8" t="s">
        <v>793</v>
      </c>
      <c r="P2143" s="8">
        <v>6.0</v>
      </c>
    </row>
    <row r="2144">
      <c r="A2144">
        <f>IFERROR(__xludf.DUMMYFUNCTION("""COMPUTED_VALUE"""),6.0)</f>
        <v>6</v>
      </c>
      <c r="B2144">
        <f>IFERROR(__xludf.DUMMYFUNCTION("""COMPUTED_VALUE"""),31061.0)</f>
        <v>31061</v>
      </c>
      <c r="C2144" t="str">
        <f>IFERROR(__xludf.DUMMYFUNCTION("""COMPUTED_VALUE"""),"LAVERDE GIRALDO, CONSTANTINO")</f>
        <v>LAVERDE GIRALDO, CONSTANTINO</v>
      </c>
      <c r="D2144" t="str">
        <f>IFERROR(__xludf.DUMMYFUNCTION("""COMPUTED_VALUE"""),"PE 6")</f>
        <v>PE 6</v>
      </c>
      <c r="E2144" s="31" t="str">
        <f>IFERROR(__xludf.DUMMYFUNCTION("""COMPUTED_VALUE"""),"6b")</f>
        <v>6b</v>
      </c>
      <c r="F2144" s="8">
        <v>1.0</v>
      </c>
      <c r="G2144" s="8">
        <v>1.0</v>
      </c>
      <c r="H2144" s="8">
        <v>1.0</v>
      </c>
      <c r="I2144" s="8">
        <v>1.0</v>
      </c>
      <c r="J2144" s="8">
        <v>1.0</v>
      </c>
      <c r="K2144" s="8">
        <v>1.0</v>
      </c>
      <c r="L2144" s="8">
        <v>6.0</v>
      </c>
      <c r="M2144" s="8"/>
      <c r="N2144" s="8"/>
      <c r="O2144" s="8" t="s">
        <v>792</v>
      </c>
      <c r="P2144" s="8">
        <v>6.0</v>
      </c>
    </row>
    <row r="2145">
      <c r="A2145">
        <f>IFERROR(__xludf.DUMMYFUNCTION("""COMPUTED_VALUE"""),6.0)</f>
        <v>6</v>
      </c>
      <c r="B2145">
        <f>IFERROR(__xludf.DUMMYFUNCTION("""COMPUTED_VALUE"""),31060.0)</f>
        <v>31060</v>
      </c>
      <c r="C2145" t="str">
        <f>IFERROR(__xludf.DUMMYFUNCTION("""COMPUTED_VALUE"""),"LAVERDE MOLINA, MATIAS")</f>
        <v>LAVERDE MOLINA, MATIAS</v>
      </c>
      <c r="D2145" t="str">
        <f>IFERROR(__xludf.DUMMYFUNCTION("""COMPUTED_VALUE"""),"PE 6")</f>
        <v>PE 6</v>
      </c>
      <c r="E2145" s="31" t="str">
        <f>IFERROR(__xludf.DUMMYFUNCTION("""COMPUTED_VALUE"""),"5b")</f>
        <v>5b</v>
      </c>
      <c r="F2145" s="8">
        <v>1.0</v>
      </c>
      <c r="G2145" s="8">
        <v>1.0</v>
      </c>
      <c r="H2145" s="8">
        <v>1.0</v>
      </c>
      <c r="I2145" s="8">
        <v>1.0</v>
      </c>
      <c r="J2145" s="8">
        <v>1.0</v>
      </c>
      <c r="K2145" s="8">
        <v>1.0</v>
      </c>
      <c r="L2145" s="8">
        <v>6.0</v>
      </c>
      <c r="M2145" s="8"/>
      <c r="N2145" s="8"/>
      <c r="O2145" s="8" t="s">
        <v>791</v>
      </c>
      <c r="P2145" s="8">
        <v>6.0</v>
      </c>
    </row>
    <row r="2146">
      <c r="A2146">
        <f>IFERROR(__xludf.DUMMYFUNCTION("""COMPUTED_VALUE"""),6.0)</f>
        <v>6</v>
      </c>
      <c r="B2146">
        <f>IFERROR(__xludf.DUMMYFUNCTION("""COMPUTED_VALUE"""),31062.0)</f>
        <v>31062</v>
      </c>
      <c r="C2146" t="str">
        <f>IFERROR(__xludf.DUMMYFUNCTION("""COMPUTED_VALUE"""),"LEMA GARCIA, MIA")</f>
        <v>LEMA GARCIA, MIA</v>
      </c>
      <c r="D2146" t="str">
        <f>IFERROR(__xludf.DUMMYFUNCTION("""COMPUTED_VALUE"""),"PE 6")</f>
        <v>PE 6</v>
      </c>
      <c r="E2146" s="31" t="str">
        <f>IFERROR(__xludf.DUMMYFUNCTION("""COMPUTED_VALUE"""),"6a")</f>
        <v>6a</v>
      </c>
      <c r="F2146" s="8">
        <v>1.0</v>
      </c>
      <c r="G2146" s="8">
        <v>1.0</v>
      </c>
      <c r="H2146" s="8">
        <v>1.0</v>
      </c>
      <c r="I2146" s="8">
        <v>1.0</v>
      </c>
      <c r="J2146" s="8">
        <v>1.0</v>
      </c>
      <c r="K2146" s="8">
        <v>1.0</v>
      </c>
      <c r="L2146" s="8">
        <v>6.0</v>
      </c>
      <c r="M2146" s="8"/>
      <c r="N2146" s="8"/>
      <c r="O2146" s="8" t="s">
        <v>794</v>
      </c>
      <c r="P2146" s="8">
        <v>6.0</v>
      </c>
    </row>
    <row r="2147">
      <c r="A2147">
        <f>IFERROR(__xludf.DUMMYFUNCTION("""COMPUTED_VALUE"""),6.0)</f>
        <v>6</v>
      </c>
      <c r="B2147">
        <f>IFERROR(__xludf.DUMMYFUNCTION("""COMPUTED_VALUE"""),31063.0)</f>
        <v>31063</v>
      </c>
      <c r="C2147" t="str">
        <f>IFERROR(__xludf.DUMMYFUNCTION("""COMPUTED_VALUE"""),"LONDOÑO ARRIOLA, LUCIA")</f>
        <v>LONDOÑO ARRIOLA, LUCIA</v>
      </c>
      <c r="D2147" t="str">
        <f>IFERROR(__xludf.DUMMYFUNCTION("""COMPUTED_VALUE"""),"PE 6")</f>
        <v>PE 6</v>
      </c>
      <c r="E2147" s="31" t="str">
        <f>IFERROR(__xludf.DUMMYFUNCTION("""COMPUTED_VALUE"""),"4b")</f>
        <v>4b</v>
      </c>
      <c r="F2147" s="8">
        <v>1.0</v>
      </c>
      <c r="G2147" s="8">
        <v>1.0</v>
      </c>
      <c r="H2147" s="8">
        <v>1.0</v>
      </c>
      <c r="I2147" s="8">
        <v>1.0</v>
      </c>
      <c r="J2147" s="8">
        <v>1.0</v>
      </c>
      <c r="K2147" s="8">
        <v>1.0</v>
      </c>
      <c r="L2147" s="8">
        <v>6.0</v>
      </c>
      <c r="M2147" s="8"/>
      <c r="N2147" s="8"/>
      <c r="O2147" s="8" t="s">
        <v>790</v>
      </c>
      <c r="P2147" s="8">
        <v>6.0</v>
      </c>
    </row>
    <row r="2148">
      <c r="A2148">
        <f>IFERROR(__xludf.DUMMYFUNCTION("""COMPUTED_VALUE"""),6.0)</f>
        <v>6</v>
      </c>
      <c r="B2148">
        <f>IFERROR(__xludf.DUMMYFUNCTION("""COMPUTED_VALUE"""),32076.0)</f>
        <v>32076</v>
      </c>
      <c r="C2148" t="str">
        <f>IFERROR(__xludf.DUMMYFUNCTION("""COMPUTED_VALUE"""),"LONDOÑO BAQUERO, JUAN")</f>
        <v>LONDOÑO BAQUERO, JUAN</v>
      </c>
      <c r="D2148" t="str">
        <f>IFERROR(__xludf.DUMMYFUNCTION("""COMPUTED_VALUE"""),"PE 6")</f>
        <v>PE 6</v>
      </c>
      <c r="E2148" s="31" t="str">
        <f>IFERROR(__xludf.DUMMYFUNCTION("""COMPUTED_VALUE"""),"2b")</f>
        <v>2b</v>
      </c>
      <c r="F2148" s="8">
        <v>1.0</v>
      </c>
      <c r="G2148" s="8">
        <v>1.0</v>
      </c>
      <c r="H2148" s="8">
        <v>1.0</v>
      </c>
      <c r="I2148" s="8">
        <v>1.0</v>
      </c>
      <c r="J2148" s="8">
        <v>1.0</v>
      </c>
      <c r="K2148" s="8">
        <v>1.0</v>
      </c>
      <c r="L2148" s="8">
        <v>6.0</v>
      </c>
      <c r="M2148" s="8"/>
      <c r="N2148" s="8"/>
      <c r="O2148" s="8" t="s">
        <v>795</v>
      </c>
      <c r="P2148" s="8">
        <v>6.0</v>
      </c>
    </row>
    <row r="2149">
      <c r="A2149">
        <f>IFERROR(__xludf.DUMMYFUNCTION("""COMPUTED_VALUE"""),6.0)</f>
        <v>6</v>
      </c>
      <c r="B2149">
        <f>IFERROR(__xludf.DUMMYFUNCTION("""COMPUTED_VALUE"""),31064.0)</f>
        <v>31064</v>
      </c>
      <c r="C2149" t="str">
        <f>IFERROR(__xludf.DUMMYFUNCTION("""COMPUTED_VALUE"""),"MARQUEZ BARRERA, LORENZO CAYETANO")</f>
        <v>MARQUEZ BARRERA, LORENZO CAYETANO</v>
      </c>
      <c r="D2149" t="str">
        <f>IFERROR(__xludf.DUMMYFUNCTION("""COMPUTED_VALUE"""),"PE 6")</f>
        <v>PE 6</v>
      </c>
      <c r="E2149" s="31" t="str">
        <f>IFERROR(__xludf.DUMMYFUNCTION("""COMPUTED_VALUE"""),"4b")</f>
        <v>4b</v>
      </c>
      <c r="F2149" s="8">
        <v>1.0</v>
      </c>
      <c r="G2149" s="8">
        <v>1.0</v>
      </c>
      <c r="H2149" s="8">
        <v>1.0</v>
      </c>
      <c r="I2149" s="8">
        <v>1.0</v>
      </c>
      <c r="J2149" s="8">
        <v>1.0</v>
      </c>
      <c r="K2149" s="8">
        <v>1.0</v>
      </c>
      <c r="L2149" s="8">
        <v>6.0</v>
      </c>
      <c r="M2149" s="8"/>
      <c r="N2149" s="8"/>
      <c r="O2149" s="8" t="s">
        <v>790</v>
      </c>
      <c r="P2149" s="8">
        <v>6.0</v>
      </c>
    </row>
    <row r="2150">
      <c r="A2150">
        <f>IFERROR(__xludf.DUMMYFUNCTION("""COMPUTED_VALUE"""),6.0)</f>
        <v>6</v>
      </c>
      <c r="B2150">
        <f>IFERROR(__xludf.DUMMYFUNCTION("""COMPUTED_VALUE"""),31065.0)</f>
        <v>31065</v>
      </c>
      <c r="C2150" t="str">
        <f>IFERROR(__xludf.DUMMYFUNCTION("""COMPUTED_VALUE"""),"MARTINEZ UPEGUI, PEDRO")</f>
        <v>MARTINEZ UPEGUI, PEDRO</v>
      </c>
      <c r="D2150" t="str">
        <f>IFERROR(__xludf.DUMMYFUNCTION("""COMPUTED_VALUE"""),"PE 6")</f>
        <v>PE 6</v>
      </c>
      <c r="E2150" s="31" t="str">
        <f>IFERROR(__xludf.DUMMYFUNCTION("""COMPUTED_VALUE"""),"2b")</f>
        <v>2b</v>
      </c>
      <c r="F2150" s="8">
        <v>1.0</v>
      </c>
      <c r="G2150" s="8">
        <v>1.0</v>
      </c>
      <c r="H2150" s="8">
        <v>1.0</v>
      </c>
      <c r="I2150" s="8">
        <v>1.0</v>
      </c>
      <c r="J2150" s="8">
        <v>1.0</v>
      </c>
      <c r="K2150" s="8">
        <v>1.0</v>
      </c>
      <c r="L2150" s="8">
        <v>6.0</v>
      </c>
      <c r="M2150" s="8"/>
      <c r="N2150" s="8"/>
      <c r="O2150" s="8" t="s">
        <v>795</v>
      </c>
      <c r="P2150" s="8">
        <v>6.0</v>
      </c>
    </row>
    <row r="2151">
      <c r="A2151">
        <f>IFERROR(__xludf.DUMMYFUNCTION("""COMPUTED_VALUE"""),6.0)</f>
        <v>6</v>
      </c>
      <c r="B2151">
        <f>IFERROR(__xludf.DUMMYFUNCTION("""COMPUTED_VALUE"""),31066.0)</f>
        <v>31066</v>
      </c>
      <c r="C2151" t="str">
        <f>IFERROR(__xludf.DUMMYFUNCTION("""COMPUTED_VALUE"""),"MATALLANA TOBON, ROSARIO")</f>
        <v>MATALLANA TOBON, ROSARIO</v>
      </c>
      <c r="D2151" t="str">
        <f>IFERROR(__xludf.DUMMYFUNCTION("""COMPUTED_VALUE"""),"PE 6")</f>
        <v>PE 6</v>
      </c>
      <c r="E2151" s="31" t="str">
        <f>IFERROR(__xludf.DUMMYFUNCTION("""COMPUTED_VALUE"""),"1a")</f>
        <v>1a</v>
      </c>
      <c r="F2151" s="8">
        <v>1.0</v>
      </c>
      <c r="G2151" s="8">
        <v>1.0</v>
      </c>
      <c r="H2151" s="8">
        <v>1.0</v>
      </c>
      <c r="I2151" s="8">
        <v>1.0</v>
      </c>
      <c r="J2151" s="8">
        <v>1.0</v>
      </c>
      <c r="K2151" s="8">
        <v>1.0</v>
      </c>
      <c r="L2151" s="8">
        <v>6.0</v>
      </c>
      <c r="M2151" s="8"/>
      <c r="N2151" s="8"/>
      <c r="O2151" s="8" t="s">
        <v>793</v>
      </c>
      <c r="P2151" s="8">
        <v>6.0</v>
      </c>
    </row>
    <row r="2152">
      <c r="A2152">
        <f>IFERROR(__xludf.DUMMYFUNCTION("""COMPUTED_VALUE"""),6.0)</f>
        <v>6</v>
      </c>
      <c r="B2152">
        <f>IFERROR(__xludf.DUMMYFUNCTION("""COMPUTED_VALUE"""),31067.0)</f>
        <v>31067</v>
      </c>
      <c r="C2152" t="str">
        <f>IFERROR(__xludf.DUMMYFUNCTION("""COMPUTED_VALUE"""),"MAYA BEDOYA, EMILIA")</f>
        <v>MAYA BEDOYA, EMILIA</v>
      </c>
      <c r="D2152" t="str">
        <f>IFERROR(__xludf.DUMMYFUNCTION("""COMPUTED_VALUE"""),"PE 6")</f>
        <v>PE 6</v>
      </c>
      <c r="E2152" s="31" t="str">
        <f>IFERROR(__xludf.DUMMYFUNCTION("""COMPUTED_VALUE"""),"4b")</f>
        <v>4b</v>
      </c>
      <c r="F2152" s="8">
        <v>1.0</v>
      </c>
      <c r="G2152" s="8">
        <v>1.0</v>
      </c>
      <c r="H2152" s="8">
        <v>1.0</v>
      </c>
      <c r="I2152" s="8">
        <v>1.0</v>
      </c>
      <c r="J2152" s="8">
        <v>1.0</v>
      </c>
      <c r="K2152" s="8">
        <v>1.0</v>
      </c>
      <c r="L2152" s="8">
        <v>6.0</v>
      </c>
      <c r="M2152" s="8"/>
      <c r="N2152" s="8"/>
      <c r="O2152" s="8" t="s">
        <v>790</v>
      </c>
      <c r="P2152" s="8">
        <v>6.0</v>
      </c>
    </row>
    <row r="2153">
      <c r="A2153">
        <f>IFERROR(__xludf.DUMMYFUNCTION("""COMPUTED_VALUE"""),6.0)</f>
        <v>6</v>
      </c>
      <c r="B2153">
        <f>IFERROR(__xludf.DUMMYFUNCTION("""COMPUTED_VALUE"""),31149.0)</f>
        <v>31149</v>
      </c>
      <c r="C2153" t="str">
        <f>IFERROR(__xludf.DUMMYFUNCTION("""COMPUTED_VALUE"""),"MAZO DIAZ, ANTONIO")</f>
        <v>MAZO DIAZ, ANTONIO</v>
      </c>
      <c r="D2153" t="str">
        <f>IFERROR(__xludf.DUMMYFUNCTION("""COMPUTED_VALUE"""),"PE 6")</f>
        <v>PE 6</v>
      </c>
      <c r="E2153" s="31" t="str">
        <f>IFERROR(__xludf.DUMMYFUNCTION("""COMPUTED_VALUE"""),"5b")</f>
        <v>5b</v>
      </c>
      <c r="F2153" s="8">
        <v>1.0</v>
      </c>
      <c r="G2153" s="8">
        <v>1.0</v>
      </c>
      <c r="H2153" s="8">
        <v>1.0</v>
      </c>
      <c r="I2153" s="8">
        <v>1.0</v>
      </c>
      <c r="J2153" s="8">
        <v>1.0</v>
      </c>
      <c r="K2153" s="8">
        <v>1.0</v>
      </c>
      <c r="L2153" s="8">
        <v>6.0</v>
      </c>
      <c r="M2153" s="8"/>
      <c r="N2153" s="8"/>
      <c r="O2153" s="8" t="s">
        <v>791</v>
      </c>
      <c r="P2153" s="8">
        <v>6.0</v>
      </c>
    </row>
    <row r="2154">
      <c r="A2154">
        <f>IFERROR(__xludf.DUMMYFUNCTION("""COMPUTED_VALUE"""),6.0)</f>
        <v>6</v>
      </c>
      <c r="B2154">
        <f>IFERROR(__xludf.DUMMYFUNCTION("""COMPUTED_VALUE"""),31164.0)</f>
        <v>31164</v>
      </c>
      <c r="C2154" t="str">
        <f>IFERROR(__xludf.DUMMYFUNCTION("""COMPUTED_VALUE"""),"MCGARGHAN, RHYS LEIGH-ANNA")</f>
        <v>MCGARGHAN, RHYS LEIGH-ANNA</v>
      </c>
      <c r="D2154" t="str">
        <f>IFERROR(__xludf.DUMMYFUNCTION("""COMPUTED_VALUE"""),"PE 6")</f>
        <v>PE 6</v>
      </c>
      <c r="E2154" s="31" t="str">
        <f>IFERROR(__xludf.DUMMYFUNCTION("""COMPUTED_VALUE"""),"1a")</f>
        <v>1a</v>
      </c>
      <c r="F2154" s="8">
        <v>1.0</v>
      </c>
      <c r="G2154" s="8">
        <v>1.0</v>
      </c>
      <c r="H2154" s="8">
        <v>1.0</v>
      </c>
      <c r="I2154" s="8">
        <v>1.0</v>
      </c>
      <c r="J2154" s="8">
        <v>1.0</v>
      </c>
      <c r="K2154" s="8">
        <v>1.0</v>
      </c>
      <c r="L2154" s="8">
        <v>6.0</v>
      </c>
      <c r="M2154" s="8"/>
      <c r="N2154" s="8"/>
      <c r="O2154" s="8" t="s">
        <v>793</v>
      </c>
      <c r="P2154" s="8">
        <v>6.0</v>
      </c>
    </row>
    <row r="2155">
      <c r="A2155">
        <f>IFERROR(__xludf.DUMMYFUNCTION("""COMPUTED_VALUE"""),6.0)</f>
        <v>6</v>
      </c>
      <c r="B2155">
        <f>IFERROR(__xludf.DUMMYFUNCTION("""COMPUTED_VALUE"""),31070.0)</f>
        <v>31070</v>
      </c>
      <c r="C2155" t="str">
        <f>IFERROR(__xludf.DUMMYFUNCTION("""COMPUTED_VALUE"""),"MEJIA GALLEGO, MARTIN")</f>
        <v>MEJIA GALLEGO, MARTIN</v>
      </c>
      <c r="D2155" t="str">
        <f>IFERROR(__xludf.DUMMYFUNCTION("""COMPUTED_VALUE"""),"PE 6")</f>
        <v>PE 6</v>
      </c>
      <c r="E2155" s="31" t="str">
        <f>IFERROR(__xludf.DUMMYFUNCTION("""COMPUTED_VALUE"""),"5b")</f>
        <v>5b</v>
      </c>
      <c r="F2155" s="8">
        <v>1.0</v>
      </c>
      <c r="G2155" s="8">
        <v>1.0</v>
      </c>
      <c r="H2155" s="8">
        <v>1.0</v>
      </c>
      <c r="I2155" s="8">
        <v>1.0</v>
      </c>
      <c r="J2155" s="8">
        <v>1.0</v>
      </c>
      <c r="K2155" s="8">
        <v>1.0</v>
      </c>
      <c r="L2155" s="8">
        <v>6.0</v>
      </c>
      <c r="M2155" s="8"/>
      <c r="N2155" s="8"/>
      <c r="O2155" s="8" t="s">
        <v>791</v>
      </c>
      <c r="P2155" s="8">
        <v>6.0</v>
      </c>
    </row>
    <row r="2156">
      <c r="A2156">
        <f>IFERROR(__xludf.DUMMYFUNCTION("""COMPUTED_VALUE"""),6.0)</f>
        <v>6</v>
      </c>
      <c r="B2156">
        <f>IFERROR(__xludf.DUMMYFUNCTION("""COMPUTED_VALUE"""),31071.0)</f>
        <v>31071</v>
      </c>
      <c r="C2156" t="str">
        <f>IFERROR(__xludf.DUMMYFUNCTION("""COMPUTED_VALUE"""),"MEJIA TORO, MIGUEL")</f>
        <v>MEJIA TORO, MIGUEL</v>
      </c>
      <c r="D2156" t="str">
        <f>IFERROR(__xludf.DUMMYFUNCTION("""COMPUTED_VALUE"""),"PE 6")</f>
        <v>PE 6</v>
      </c>
      <c r="E2156" s="31" t="str">
        <f>IFERROR(__xludf.DUMMYFUNCTION("""COMPUTED_VALUE"""),"2b")</f>
        <v>2b</v>
      </c>
      <c r="F2156" s="8">
        <v>1.0</v>
      </c>
      <c r="G2156" s="8">
        <v>1.0</v>
      </c>
      <c r="H2156" s="8">
        <v>1.0</v>
      </c>
      <c r="I2156" s="8">
        <v>1.0</v>
      </c>
      <c r="J2156" s="8">
        <v>1.0</v>
      </c>
      <c r="K2156" s="8">
        <v>1.0</v>
      </c>
      <c r="L2156" s="8">
        <v>6.0</v>
      </c>
      <c r="M2156" s="8"/>
      <c r="N2156" s="8"/>
      <c r="O2156" s="8" t="s">
        <v>795</v>
      </c>
      <c r="P2156" s="8">
        <v>6.0</v>
      </c>
    </row>
    <row r="2157">
      <c r="A2157">
        <f>IFERROR(__xludf.DUMMYFUNCTION("""COMPUTED_VALUE"""),6.0)</f>
        <v>6</v>
      </c>
      <c r="B2157">
        <f>IFERROR(__xludf.DUMMYFUNCTION("""COMPUTED_VALUE"""),31072.0)</f>
        <v>31072</v>
      </c>
      <c r="C2157" t="str">
        <f>IFERROR(__xludf.DUMMYFUNCTION("""COMPUTED_VALUE"""),"MEJIA VELEZ, ABRIL")</f>
        <v>MEJIA VELEZ, ABRIL</v>
      </c>
      <c r="D2157" t="str">
        <f>IFERROR(__xludf.DUMMYFUNCTION("""COMPUTED_VALUE"""),"PE 6")</f>
        <v>PE 6</v>
      </c>
      <c r="E2157" s="31" t="str">
        <f>IFERROR(__xludf.DUMMYFUNCTION("""COMPUTED_VALUE"""),"4b")</f>
        <v>4b</v>
      </c>
      <c r="F2157" s="8">
        <v>1.0</v>
      </c>
      <c r="G2157" s="8">
        <v>1.0</v>
      </c>
      <c r="H2157" s="8">
        <v>1.0</v>
      </c>
      <c r="I2157" s="8">
        <v>1.0</v>
      </c>
      <c r="J2157" s="8">
        <v>1.0</v>
      </c>
      <c r="K2157" s="8">
        <v>1.0</v>
      </c>
      <c r="L2157" s="8">
        <v>6.0</v>
      </c>
      <c r="M2157" s="8"/>
      <c r="N2157" s="8"/>
      <c r="O2157" s="8" t="s">
        <v>790</v>
      </c>
      <c r="P2157" s="8">
        <v>6.0</v>
      </c>
    </row>
    <row r="2158">
      <c r="A2158">
        <f>IFERROR(__xludf.DUMMYFUNCTION("""COMPUTED_VALUE"""),6.0)</f>
        <v>6</v>
      </c>
      <c r="B2158">
        <f>IFERROR(__xludf.DUMMYFUNCTION("""COMPUTED_VALUE"""),31157.0)</f>
        <v>31157</v>
      </c>
      <c r="C2158" t="str">
        <f>IFERROR(__xludf.DUMMYFUNCTION("""COMPUTED_VALUE"""),"MILLAN HUERTAS, EMILIANO")</f>
        <v>MILLAN HUERTAS, EMILIANO</v>
      </c>
      <c r="D2158" t="str">
        <f>IFERROR(__xludf.DUMMYFUNCTION("""COMPUTED_VALUE"""),"PE 6")</f>
        <v>PE 6</v>
      </c>
      <c r="E2158" s="31" t="str">
        <f>IFERROR(__xludf.DUMMYFUNCTION("""COMPUTED_VALUE"""),"6a")</f>
        <v>6a</v>
      </c>
      <c r="F2158" s="8">
        <v>1.0</v>
      </c>
      <c r="G2158" s="8">
        <v>1.0</v>
      </c>
      <c r="H2158" s="8">
        <v>1.0</v>
      </c>
      <c r="I2158" s="8">
        <v>1.0</v>
      </c>
      <c r="J2158" s="8">
        <v>1.0</v>
      </c>
      <c r="K2158" s="8">
        <v>1.0</v>
      </c>
      <c r="L2158" s="8">
        <v>6.0</v>
      </c>
      <c r="M2158" s="8"/>
      <c r="N2158" s="8"/>
      <c r="O2158" s="8" t="s">
        <v>794</v>
      </c>
      <c r="P2158" s="8">
        <v>6.0</v>
      </c>
    </row>
    <row r="2159">
      <c r="A2159">
        <f>IFERROR(__xludf.DUMMYFUNCTION("""COMPUTED_VALUE"""),6.0)</f>
        <v>6</v>
      </c>
      <c r="B2159">
        <f>IFERROR(__xludf.DUMMYFUNCTION("""COMPUTED_VALUE"""),31073.0)</f>
        <v>31073</v>
      </c>
      <c r="C2159" t="str">
        <f>IFERROR(__xludf.DUMMYFUNCTION("""COMPUTED_VALUE"""),"MISAS MESA, RAFAEL")</f>
        <v>MISAS MESA, RAFAEL</v>
      </c>
      <c r="D2159" t="str">
        <f>IFERROR(__xludf.DUMMYFUNCTION("""COMPUTED_VALUE"""),"PE 6")</f>
        <v>PE 6</v>
      </c>
      <c r="E2159" s="31" t="str">
        <f>IFERROR(__xludf.DUMMYFUNCTION("""COMPUTED_VALUE"""),"6a")</f>
        <v>6a</v>
      </c>
      <c r="F2159" s="8">
        <v>1.0</v>
      </c>
      <c r="G2159" s="8">
        <v>1.0</v>
      </c>
      <c r="H2159" s="8">
        <v>1.0</v>
      </c>
      <c r="I2159" s="8">
        <v>1.0</v>
      </c>
      <c r="J2159" s="8">
        <v>1.0</v>
      </c>
      <c r="K2159" s="8">
        <v>1.0</v>
      </c>
      <c r="L2159" s="8">
        <v>6.0</v>
      </c>
      <c r="M2159" s="8"/>
      <c r="N2159" s="8"/>
      <c r="O2159" s="8" t="s">
        <v>794</v>
      </c>
      <c r="P2159" s="8">
        <v>6.0</v>
      </c>
    </row>
    <row r="2160">
      <c r="A2160">
        <f>IFERROR(__xludf.DUMMYFUNCTION("""COMPUTED_VALUE"""),6.0)</f>
        <v>6</v>
      </c>
      <c r="B2160">
        <f>IFERROR(__xludf.DUMMYFUNCTION("""COMPUTED_VALUE"""),31074.0)</f>
        <v>31074</v>
      </c>
      <c r="C2160" t="str">
        <f>IFERROR(__xludf.DUMMYFUNCTION("""COMPUTED_VALUE"""),"MONTOYA BERNAL, FELIPE")</f>
        <v>MONTOYA BERNAL, FELIPE</v>
      </c>
      <c r="D2160" t="str">
        <f>IFERROR(__xludf.DUMMYFUNCTION("""COMPUTED_VALUE"""),"PE 6")</f>
        <v>PE 6</v>
      </c>
      <c r="E2160" s="31" t="str">
        <f>IFERROR(__xludf.DUMMYFUNCTION("""COMPUTED_VALUE"""),"6b")</f>
        <v>6b</v>
      </c>
      <c r="F2160" s="8">
        <v>1.0</v>
      </c>
      <c r="G2160" s="8">
        <v>1.0</v>
      </c>
      <c r="H2160" s="8">
        <v>1.0</v>
      </c>
      <c r="I2160" s="8">
        <v>1.0</v>
      </c>
      <c r="J2160" s="8">
        <v>1.0</v>
      </c>
      <c r="K2160" s="8">
        <v>1.0</v>
      </c>
      <c r="L2160" s="8">
        <v>6.0</v>
      </c>
      <c r="M2160" s="8"/>
      <c r="N2160" s="8"/>
      <c r="O2160" s="8" t="s">
        <v>792</v>
      </c>
      <c r="P2160" s="8">
        <v>6.0</v>
      </c>
    </row>
    <row r="2161">
      <c r="A2161">
        <f>IFERROR(__xludf.DUMMYFUNCTION("""COMPUTED_VALUE"""),6.0)</f>
        <v>6</v>
      </c>
      <c r="B2161">
        <f>IFERROR(__xludf.DUMMYFUNCTION("""COMPUTED_VALUE"""),31075.0)</f>
        <v>31075</v>
      </c>
      <c r="C2161" t="str">
        <f>IFERROR(__xludf.DUMMYFUNCTION("""COMPUTED_VALUE"""),"MORENO MORENO, CARLOTA")</f>
        <v>MORENO MORENO, CARLOTA</v>
      </c>
      <c r="D2161" t="str">
        <f>IFERROR(__xludf.DUMMYFUNCTION("""COMPUTED_VALUE"""),"PE 6")</f>
        <v>PE 6</v>
      </c>
      <c r="E2161" s="31" t="str">
        <f>IFERROR(__xludf.DUMMYFUNCTION("""COMPUTED_VALUE"""),"2b")</f>
        <v>2b</v>
      </c>
      <c r="F2161" s="8">
        <v>1.0</v>
      </c>
      <c r="G2161" s="8">
        <v>1.0</v>
      </c>
      <c r="H2161" s="8">
        <v>1.0</v>
      </c>
      <c r="I2161" s="8">
        <v>1.0</v>
      </c>
      <c r="J2161" s="8">
        <v>1.0</v>
      </c>
      <c r="K2161" s="8">
        <v>1.0</v>
      </c>
      <c r="L2161" s="8">
        <v>6.0</v>
      </c>
      <c r="M2161" s="8"/>
      <c r="N2161" s="8"/>
      <c r="O2161" s="8" t="s">
        <v>795</v>
      </c>
      <c r="P2161" s="8">
        <v>6.0</v>
      </c>
    </row>
    <row r="2162">
      <c r="A2162">
        <f>IFERROR(__xludf.DUMMYFUNCTION("""COMPUTED_VALUE"""),6.0)</f>
        <v>6</v>
      </c>
      <c r="B2162">
        <f>IFERROR(__xludf.DUMMYFUNCTION("""COMPUTED_VALUE"""),31076.0)</f>
        <v>31076</v>
      </c>
      <c r="C2162" t="str">
        <f>IFERROR(__xludf.DUMMYFUNCTION("""COMPUTED_VALUE"""),"MORENO PALACIO, SIMON")</f>
        <v>MORENO PALACIO, SIMON</v>
      </c>
      <c r="D2162" t="str">
        <f>IFERROR(__xludf.DUMMYFUNCTION("""COMPUTED_VALUE"""),"PE 6")</f>
        <v>PE 6</v>
      </c>
      <c r="E2162" s="31" t="str">
        <f>IFERROR(__xludf.DUMMYFUNCTION("""COMPUTED_VALUE"""),"6b")</f>
        <v>6b</v>
      </c>
      <c r="F2162" s="8">
        <v>1.0</v>
      </c>
      <c r="G2162" s="8">
        <v>1.0</v>
      </c>
      <c r="H2162" s="8">
        <v>1.0</v>
      </c>
      <c r="I2162" s="8">
        <v>1.0</v>
      </c>
      <c r="J2162" s="8">
        <v>1.0</v>
      </c>
      <c r="K2162" s="8">
        <v>1.0</v>
      </c>
      <c r="L2162" s="8">
        <v>6.0</v>
      </c>
      <c r="M2162" s="8"/>
      <c r="N2162" s="8"/>
      <c r="O2162" s="8" t="s">
        <v>792</v>
      </c>
      <c r="P2162" s="8">
        <v>6.0</v>
      </c>
    </row>
    <row r="2163">
      <c r="A2163">
        <f>IFERROR(__xludf.DUMMYFUNCTION("""COMPUTED_VALUE"""),6.0)</f>
        <v>6</v>
      </c>
      <c r="B2163">
        <f>IFERROR(__xludf.DUMMYFUNCTION("""COMPUTED_VALUE"""),31077.0)</f>
        <v>31077</v>
      </c>
      <c r="C2163" t="str">
        <f>IFERROR(__xludf.DUMMYFUNCTION("""COMPUTED_VALUE"""),"MUÑOZ JARAMILLO, MARIANA")</f>
        <v>MUÑOZ JARAMILLO, MARIANA</v>
      </c>
      <c r="D2163" t="str">
        <f>IFERROR(__xludf.DUMMYFUNCTION("""COMPUTED_VALUE"""),"PE 6")</f>
        <v>PE 6</v>
      </c>
      <c r="E2163" s="31" t="str">
        <f>IFERROR(__xludf.DUMMYFUNCTION("""COMPUTED_VALUE"""),"4b")</f>
        <v>4b</v>
      </c>
      <c r="F2163" s="8">
        <v>1.0</v>
      </c>
      <c r="G2163" s="8">
        <v>1.0</v>
      </c>
      <c r="H2163" s="8">
        <v>1.0</v>
      </c>
      <c r="I2163" s="8">
        <v>1.0</v>
      </c>
      <c r="J2163" s="8">
        <v>1.0</v>
      </c>
      <c r="K2163" s="8">
        <v>1.0</v>
      </c>
      <c r="L2163" s="8">
        <v>6.0</v>
      </c>
      <c r="M2163" s="8"/>
      <c r="N2163" s="8"/>
      <c r="O2163" s="8" t="s">
        <v>790</v>
      </c>
      <c r="P2163" s="8">
        <v>6.0</v>
      </c>
    </row>
    <row r="2164">
      <c r="A2164">
        <f>IFERROR(__xludf.DUMMYFUNCTION("""COMPUTED_VALUE"""),6.0)</f>
        <v>6</v>
      </c>
      <c r="B2164">
        <f>IFERROR(__xludf.DUMMYFUNCTION("""COMPUTED_VALUE"""),31078.0)</f>
        <v>31078</v>
      </c>
      <c r="C2164" t="str">
        <f>IFERROR(__xludf.DUMMYFUNCTION("""COMPUTED_VALUE"""),"NAVARRO ABAD, FERNANDA")</f>
        <v>NAVARRO ABAD, FERNANDA</v>
      </c>
      <c r="D2164" t="str">
        <f>IFERROR(__xludf.DUMMYFUNCTION("""COMPUTED_VALUE"""),"PE 6")</f>
        <v>PE 6</v>
      </c>
      <c r="E2164" s="31" t="str">
        <f>IFERROR(__xludf.DUMMYFUNCTION("""COMPUTED_VALUE"""),"6b")</f>
        <v>6b</v>
      </c>
      <c r="F2164" s="8">
        <v>1.0</v>
      </c>
      <c r="G2164" s="8">
        <v>1.0</v>
      </c>
      <c r="H2164" s="8">
        <v>1.0</v>
      </c>
      <c r="I2164" s="8">
        <v>1.0</v>
      </c>
      <c r="J2164" s="8">
        <v>1.0</v>
      </c>
      <c r="K2164" s="8">
        <v>1.0</v>
      </c>
      <c r="L2164" s="8">
        <v>6.0</v>
      </c>
      <c r="M2164" s="8"/>
      <c r="N2164" s="8"/>
      <c r="O2164" s="8" t="s">
        <v>792</v>
      </c>
      <c r="P2164" s="8">
        <v>6.0</v>
      </c>
    </row>
    <row r="2165">
      <c r="A2165">
        <f>IFERROR(__xludf.DUMMYFUNCTION("""COMPUTED_VALUE"""),6.0)</f>
        <v>6</v>
      </c>
      <c r="B2165">
        <f>IFERROR(__xludf.DUMMYFUNCTION("""COMPUTED_VALUE"""),31079.0)</f>
        <v>31079</v>
      </c>
      <c r="C2165" t="str">
        <f>IFERROR(__xludf.DUMMYFUNCTION("""COMPUTED_VALUE"""),"OBERTI FRANCO, LINDA")</f>
        <v>OBERTI FRANCO, LINDA</v>
      </c>
      <c r="D2165" t="str">
        <f>IFERROR(__xludf.DUMMYFUNCTION("""COMPUTED_VALUE"""),"PE 6")</f>
        <v>PE 6</v>
      </c>
      <c r="E2165" s="31" t="str">
        <f>IFERROR(__xludf.DUMMYFUNCTION("""COMPUTED_VALUE"""),"5b")</f>
        <v>5b</v>
      </c>
      <c r="F2165" s="8">
        <v>1.0</v>
      </c>
      <c r="G2165" s="8">
        <v>1.0</v>
      </c>
      <c r="H2165" s="8">
        <v>1.0</v>
      </c>
      <c r="I2165" s="8">
        <v>1.0</v>
      </c>
      <c r="J2165" s="8">
        <v>1.0</v>
      </c>
      <c r="K2165" s="8">
        <v>1.0</v>
      </c>
      <c r="L2165" s="8">
        <v>6.0</v>
      </c>
      <c r="M2165" s="8"/>
      <c r="N2165" s="8"/>
      <c r="O2165" s="8" t="s">
        <v>791</v>
      </c>
      <c r="P2165" s="8">
        <v>6.0</v>
      </c>
    </row>
    <row r="2166">
      <c r="A2166">
        <f>IFERROR(__xludf.DUMMYFUNCTION("""COMPUTED_VALUE"""),6.0)</f>
        <v>6</v>
      </c>
      <c r="B2166">
        <f>IFERROR(__xludf.DUMMYFUNCTION("""COMPUTED_VALUE"""),31080.0)</f>
        <v>31080</v>
      </c>
      <c r="C2166" t="str">
        <f>IFERROR(__xludf.DUMMYFUNCTION("""COMPUTED_VALUE"""),"OCAMPO CEBALLOS, RAFAEL")</f>
        <v>OCAMPO CEBALLOS, RAFAEL</v>
      </c>
      <c r="D2166" t="str">
        <f>IFERROR(__xludf.DUMMYFUNCTION("""COMPUTED_VALUE"""),"PE 6")</f>
        <v>PE 6</v>
      </c>
      <c r="E2166" s="31" t="str">
        <f>IFERROR(__xludf.DUMMYFUNCTION("""COMPUTED_VALUE"""),"2b")</f>
        <v>2b</v>
      </c>
      <c r="F2166" s="8">
        <v>1.0</v>
      </c>
      <c r="G2166" s="8">
        <v>1.0</v>
      </c>
      <c r="H2166" s="8">
        <v>1.0</v>
      </c>
      <c r="I2166" s="8">
        <v>1.0</v>
      </c>
      <c r="J2166" s="8">
        <v>1.0</v>
      </c>
      <c r="K2166" s="8">
        <v>1.0</v>
      </c>
      <c r="L2166" s="8">
        <v>6.0</v>
      </c>
      <c r="M2166" s="8"/>
      <c r="N2166" s="8"/>
      <c r="O2166" s="8" t="s">
        <v>795</v>
      </c>
      <c r="P2166" s="8">
        <v>6.0</v>
      </c>
    </row>
    <row r="2167">
      <c r="A2167">
        <f>IFERROR(__xludf.DUMMYFUNCTION("""COMPUTED_VALUE"""),6.0)</f>
        <v>6</v>
      </c>
      <c r="B2167">
        <f>IFERROR(__xludf.DUMMYFUNCTION("""COMPUTED_VALUE"""),31081.0)</f>
        <v>31081</v>
      </c>
      <c r="C2167" t="str">
        <f>IFERROR(__xludf.DUMMYFUNCTION("""COMPUTED_VALUE"""),"OROZCO MONTOYA, MARTINA")</f>
        <v>OROZCO MONTOYA, MARTINA</v>
      </c>
      <c r="D2167" t="str">
        <f>IFERROR(__xludf.DUMMYFUNCTION("""COMPUTED_VALUE"""),"PE 6")</f>
        <v>PE 6</v>
      </c>
      <c r="E2167" s="31" t="str">
        <f>IFERROR(__xludf.DUMMYFUNCTION("""COMPUTED_VALUE"""),"2b")</f>
        <v>2b</v>
      </c>
      <c r="F2167" s="8">
        <v>1.0</v>
      </c>
      <c r="G2167" s="8">
        <v>1.0</v>
      </c>
      <c r="H2167" s="8">
        <v>1.0</v>
      </c>
      <c r="I2167" s="8">
        <v>1.0</v>
      </c>
      <c r="J2167" s="8">
        <v>1.0</v>
      </c>
      <c r="K2167" s="8">
        <v>1.0</v>
      </c>
      <c r="L2167" s="8">
        <v>6.0</v>
      </c>
      <c r="M2167" s="8"/>
      <c r="N2167" s="8"/>
      <c r="O2167" s="8" t="s">
        <v>795</v>
      </c>
      <c r="P2167" s="8">
        <v>6.0</v>
      </c>
    </row>
    <row r="2168">
      <c r="A2168">
        <f>IFERROR(__xludf.DUMMYFUNCTION("""COMPUTED_VALUE"""),6.0)</f>
        <v>6</v>
      </c>
      <c r="B2168">
        <f>IFERROR(__xludf.DUMMYFUNCTION("""COMPUTED_VALUE"""),31082.0)</f>
        <v>31082</v>
      </c>
      <c r="C2168" t="str">
        <f>IFERROR(__xludf.DUMMYFUNCTION("""COMPUTED_VALUE"""),"ORTIZ MOLINA, MARTINA")</f>
        <v>ORTIZ MOLINA, MARTINA</v>
      </c>
      <c r="D2168" t="str">
        <f>IFERROR(__xludf.DUMMYFUNCTION("""COMPUTED_VALUE"""),"PE 6")</f>
        <v>PE 6</v>
      </c>
      <c r="E2168" s="31" t="str">
        <f>IFERROR(__xludf.DUMMYFUNCTION("""COMPUTED_VALUE"""),"4b")</f>
        <v>4b</v>
      </c>
      <c r="F2168" s="8">
        <v>1.0</v>
      </c>
      <c r="G2168" s="8">
        <v>1.0</v>
      </c>
      <c r="H2168" s="8">
        <v>1.0</v>
      </c>
      <c r="I2168" s="8">
        <v>1.0</v>
      </c>
      <c r="J2168" s="8">
        <v>1.0</v>
      </c>
      <c r="K2168" s="8">
        <v>1.0</v>
      </c>
      <c r="L2168" s="8">
        <v>6.0</v>
      </c>
      <c r="M2168" s="8"/>
      <c r="N2168" s="8"/>
      <c r="O2168" s="8" t="s">
        <v>790</v>
      </c>
      <c r="P2168" s="8">
        <v>6.0</v>
      </c>
    </row>
    <row r="2169">
      <c r="A2169">
        <f>IFERROR(__xludf.DUMMYFUNCTION("""COMPUTED_VALUE"""),6.0)</f>
        <v>6</v>
      </c>
      <c r="B2169">
        <f>IFERROR(__xludf.DUMMYFUNCTION("""COMPUTED_VALUE"""),31083.0)</f>
        <v>31083</v>
      </c>
      <c r="C2169" t="str">
        <f>IFERROR(__xludf.DUMMYFUNCTION("""COMPUTED_VALUE"""),"OSORIO GARCIA, JERONIMO")</f>
        <v>OSORIO GARCIA, JERONIMO</v>
      </c>
      <c r="D2169" t="str">
        <f>IFERROR(__xludf.DUMMYFUNCTION("""COMPUTED_VALUE"""),"PE 6")</f>
        <v>PE 6</v>
      </c>
      <c r="E2169" s="31" t="str">
        <f>IFERROR(__xludf.DUMMYFUNCTION("""COMPUTED_VALUE"""),"1a")</f>
        <v>1a</v>
      </c>
      <c r="F2169" s="8">
        <v>1.0</v>
      </c>
      <c r="G2169" s="8">
        <v>1.0</v>
      </c>
      <c r="H2169" s="8">
        <v>1.0</v>
      </c>
      <c r="I2169" s="8">
        <v>1.0</v>
      </c>
      <c r="J2169" s="8">
        <v>1.0</v>
      </c>
      <c r="K2169" s="8">
        <v>1.0</v>
      </c>
      <c r="L2169" s="8">
        <v>6.0</v>
      </c>
      <c r="M2169" s="8"/>
      <c r="N2169" s="8"/>
      <c r="O2169" s="8" t="s">
        <v>793</v>
      </c>
      <c r="P2169" s="8">
        <v>6.0</v>
      </c>
    </row>
    <row r="2170">
      <c r="A2170">
        <f>IFERROR(__xludf.DUMMYFUNCTION("""COMPUTED_VALUE"""),6.0)</f>
        <v>6</v>
      </c>
      <c r="B2170">
        <f>IFERROR(__xludf.DUMMYFUNCTION("""COMPUTED_VALUE"""),31084.0)</f>
        <v>31084</v>
      </c>
      <c r="C2170" t="str">
        <f>IFERROR(__xludf.DUMMYFUNCTION("""COMPUTED_VALUE"""),"OSORIO MARIN, GABRIELA")</f>
        <v>OSORIO MARIN, GABRIELA</v>
      </c>
      <c r="D2170" t="str">
        <f>IFERROR(__xludf.DUMMYFUNCTION("""COMPUTED_VALUE"""),"PE 6")</f>
        <v>PE 6</v>
      </c>
      <c r="E2170" s="31" t="str">
        <f>IFERROR(__xludf.DUMMYFUNCTION("""COMPUTED_VALUE"""),"4b")</f>
        <v>4b</v>
      </c>
      <c r="F2170" s="8">
        <v>1.0</v>
      </c>
      <c r="G2170" s="8">
        <v>1.0</v>
      </c>
      <c r="H2170" s="8">
        <v>1.0</v>
      </c>
      <c r="I2170" s="8">
        <v>1.0</v>
      </c>
      <c r="J2170" s="8">
        <v>1.0</v>
      </c>
      <c r="K2170" s="8">
        <v>1.0</v>
      </c>
      <c r="L2170" s="8">
        <v>6.0</v>
      </c>
      <c r="M2170" s="8"/>
      <c r="N2170" s="8"/>
      <c r="O2170" s="8" t="s">
        <v>790</v>
      </c>
      <c r="P2170" s="8">
        <v>6.0</v>
      </c>
    </row>
    <row r="2171">
      <c r="A2171">
        <f>IFERROR(__xludf.DUMMYFUNCTION("""COMPUTED_VALUE"""),6.0)</f>
        <v>6</v>
      </c>
      <c r="B2171">
        <f>IFERROR(__xludf.DUMMYFUNCTION("""COMPUTED_VALUE"""),31085.0)</f>
        <v>31085</v>
      </c>
      <c r="C2171" t="str">
        <f>IFERROR(__xludf.DUMMYFUNCTION("""COMPUTED_VALUE"""),"OSORIO QUINTERO, SALOME")</f>
        <v>OSORIO QUINTERO, SALOME</v>
      </c>
      <c r="D2171" t="str">
        <f>IFERROR(__xludf.DUMMYFUNCTION("""COMPUTED_VALUE"""),"PE 6")</f>
        <v>PE 6</v>
      </c>
      <c r="E2171" s="31" t="str">
        <f>IFERROR(__xludf.DUMMYFUNCTION("""COMPUTED_VALUE"""),"6a")</f>
        <v>6a</v>
      </c>
      <c r="F2171" s="8">
        <v>1.0</v>
      </c>
      <c r="G2171" s="8">
        <v>1.0</v>
      </c>
      <c r="H2171" s="8">
        <v>1.0</v>
      </c>
      <c r="I2171" s="8">
        <v>1.0</v>
      </c>
      <c r="J2171" s="8">
        <v>1.0</v>
      </c>
      <c r="K2171" s="8">
        <v>1.0</v>
      </c>
      <c r="L2171" s="8">
        <v>6.0</v>
      </c>
      <c r="M2171" s="8"/>
      <c r="N2171" s="8"/>
      <c r="O2171" s="8" t="s">
        <v>794</v>
      </c>
      <c r="P2171" s="8">
        <v>6.0</v>
      </c>
    </row>
    <row r="2172">
      <c r="A2172">
        <f>IFERROR(__xludf.DUMMYFUNCTION("""COMPUTED_VALUE"""),6.0)</f>
        <v>6</v>
      </c>
      <c r="B2172">
        <f>IFERROR(__xludf.DUMMYFUNCTION("""COMPUTED_VALUE"""),31158.0)</f>
        <v>31158</v>
      </c>
      <c r="C2172" t="str">
        <f>IFERROR(__xludf.DUMMYFUNCTION("""COMPUTED_VALUE"""),"OSORIO RUIZ, AMELIA")</f>
        <v>OSORIO RUIZ, AMELIA</v>
      </c>
      <c r="D2172" t="str">
        <f>IFERROR(__xludf.DUMMYFUNCTION("""COMPUTED_VALUE"""),"PE 6")</f>
        <v>PE 6</v>
      </c>
      <c r="E2172" s="31" t="str">
        <f>IFERROR(__xludf.DUMMYFUNCTION("""COMPUTED_VALUE"""),"6a")</f>
        <v>6a</v>
      </c>
      <c r="F2172" s="8">
        <v>1.0</v>
      </c>
      <c r="G2172" s="8">
        <v>1.0</v>
      </c>
      <c r="H2172" s="8">
        <v>1.0</v>
      </c>
      <c r="I2172" s="8">
        <v>1.0</v>
      </c>
      <c r="J2172" s="8">
        <v>1.0</v>
      </c>
      <c r="K2172" s="8">
        <v>1.0</v>
      </c>
      <c r="L2172" s="8">
        <v>6.0</v>
      </c>
      <c r="M2172" s="8"/>
      <c r="N2172" s="8"/>
      <c r="O2172" s="8" t="s">
        <v>794</v>
      </c>
      <c r="P2172" s="8">
        <v>6.0</v>
      </c>
    </row>
    <row r="2173">
      <c r="A2173">
        <f>IFERROR(__xludf.DUMMYFUNCTION("""COMPUTED_VALUE"""),6.0)</f>
        <v>6</v>
      </c>
      <c r="B2173">
        <f>IFERROR(__xludf.DUMMYFUNCTION("""COMPUTED_VALUE"""),31086.0)</f>
        <v>31086</v>
      </c>
      <c r="C2173" t="str">
        <f>IFERROR(__xludf.DUMMYFUNCTION("""COMPUTED_VALUE"""),"PATERNINA SALDARRIAGA, SOFIA")</f>
        <v>PATERNINA SALDARRIAGA, SOFIA</v>
      </c>
      <c r="D2173" t="str">
        <f>IFERROR(__xludf.DUMMYFUNCTION("""COMPUTED_VALUE"""),"PE 6")</f>
        <v>PE 6</v>
      </c>
      <c r="E2173" s="31" t="str">
        <f>IFERROR(__xludf.DUMMYFUNCTION("""COMPUTED_VALUE"""),"1a")</f>
        <v>1a</v>
      </c>
      <c r="F2173" s="8">
        <v>1.0</v>
      </c>
      <c r="G2173" s="8">
        <v>1.0</v>
      </c>
      <c r="H2173" s="8">
        <v>1.0</v>
      </c>
      <c r="I2173" s="8">
        <v>1.0</v>
      </c>
      <c r="J2173" s="8">
        <v>1.0</v>
      </c>
      <c r="K2173" s="8">
        <v>1.0</v>
      </c>
      <c r="L2173" s="8">
        <v>6.0</v>
      </c>
      <c r="M2173" s="8"/>
      <c r="N2173" s="8"/>
      <c r="O2173" s="8" t="s">
        <v>793</v>
      </c>
      <c r="P2173" s="8">
        <v>6.0</v>
      </c>
    </row>
    <row r="2174">
      <c r="A2174">
        <f>IFERROR(__xludf.DUMMYFUNCTION("""COMPUTED_VALUE"""),6.0)</f>
        <v>6</v>
      </c>
      <c r="B2174">
        <f>IFERROR(__xludf.DUMMYFUNCTION("""COMPUTED_VALUE"""),31087.0)</f>
        <v>31087</v>
      </c>
      <c r="C2174" t="str">
        <f>IFERROR(__xludf.DUMMYFUNCTION("""COMPUTED_VALUE"""),"PEAK DUQUE, NICOLE")</f>
        <v>PEAK DUQUE, NICOLE</v>
      </c>
      <c r="D2174" t="str">
        <f>IFERROR(__xludf.DUMMYFUNCTION("""COMPUTED_VALUE"""),"PE 6")</f>
        <v>PE 6</v>
      </c>
      <c r="E2174" s="31" t="str">
        <f>IFERROR(__xludf.DUMMYFUNCTION("""COMPUTED_VALUE"""),"1a")</f>
        <v>1a</v>
      </c>
      <c r="F2174" s="8">
        <v>1.0</v>
      </c>
      <c r="G2174" s="8">
        <v>1.0</v>
      </c>
      <c r="H2174" s="8">
        <v>1.0</v>
      </c>
      <c r="I2174" s="8">
        <v>1.0</v>
      </c>
      <c r="J2174" s="8">
        <v>1.0</v>
      </c>
      <c r="K2174" s="8">
        <v>1.0</v>
      </c>
      <c r="L2174" s="8">
        <v>6.0</v>
      </c>
      <c r="M2174" s="8"/>
      <c r="N2174" s="8"/>
      <c r="O2174" s="8" t="s">
        <v>793</v>
      </c>
      <c r="P2174" s="8">
        <v>6.0</v>
      </c>
    </row>
    <row r="2175">
      <c r="A2175">
        <f>IFERROR(__xludf.DUMMYFUNCTION("""COMPUTED_VALUE"""),6.0)</f>
        <v>6</v>
      </c>
      <c r="B2175">
        <f>IFERROR(__xludf.DUMMYFUNCTION("""COMPUTED_VALUE"""),31089.0)</f>
        <v>31089</v>
      </c>
      <c r="C2175" t="str">
        <f>IFERROR(__xludf.DUMMYFUNCTION("""COMPUTED_VALUE"""),"PELAEZ BORDA, DAVID")</f>
        <v>PELAEZ BORDA, DAVID</v>
      </c>
      <c r="D2175" t="str">
        <f>IFERROR(__xludf.DUMMYFUNCTION("""COMPUTED_VALUE"""),"PE 6")</f>
        <v>PE 6</v>
      </c>
      <c r="E2175" s="31" t="str">
        <f>IFERROR(__xludf.DUMMYFUNCTION("""COMPUTED_VALUE"""),"2b")</f>
        <v>2b</v>
      </c>
      <c r="F2175" s="8">
        <v>1.0</v>
      </c>
      <c r="G2175" s="8">
        <v>1.0</v>
      </c>
      <c r="H2175" s="8">
        <v>1.0</v>
      </c>
      <c r="I2175" s="8">
        <v>1.0</v>
      </c>
      <c r="J2175" s="8">
        <v>1.0</v>
      </c>
      <c r="K2175" s="8">
        <v>1.0</v>
      </c>
      <c r="L2175" s="8">
        <v>6.0</v>
      </c>
      <c r="M2175" s="8"/>
      <c r="N2175" s="8"/>
      <c r="O2175" s="8" t="s">
        <v>795</v>
      </c>
      <c r="P2175" s="8">
        <v>6.0</v>
      </c>
    </row>
    <row r="2176">
      <c r="A2176">
        <f>IFERROR(__xludf.DUMMYFUNCTION("""COMPUTED_VALUE"""),6.0)</f>
        <v>6</v>
      </c>
      <c r="B2176">
        <f>IFERROR(__xludf.DUMMYFUNCTION("""COMPUTED_VALUE"""),31088.0)</f>
        <v>31088</v>
      </c>
      <c r="C2176" t="str">
        <f>IFERROR(__xludf.DUMMYFUNCTION("""COMPUTED_VALUE"""),"PELAEZ BOTERO, AMELIA")</f>
        <v>PELAEZ BOTERO, AMELIA</v>
      </c>
      <c r="D2176" t="str">
        <f>IFERROR(__xludf.DUMMYFUNCTION("""COMPUTED_VALUE"""),"PE 6")</f>
        <v>PE 6</v>
      </c>
      <c r="E2176" s="31" t="str">
        <f>IFERROR(__xludf.DUMMYFUNCTION("""COMPUTED_VALUE"""),"4b")</f>
        <v>4b</v>
      </c>
      <c r="F2176" s="8">
        <v>1.0</v>
      </c>
      <c r="G2176" s="8">
        <v>1.0</v>
      </c>
      <c r="H2176" s="8">
        <v>1.0</v>
      </c>
      <c r="I2176" s="8">
        <v>1.0</v>
      </c>
      <c r="J2176" s="8">
        <v>1.0</v>
      </c>
      <c r="K2176" s="8">
        <v>1.0</v>
      </c>
      <c r="L2176" s="8">
        <v>6.0</v>
      </c>
      <c r="M2176" s="8"/>
      <c r="N2176" s="8"/>
      <c r="O2176" s="8" t="s">
        <v>790</v>
      </c>
      <c r="P2176" s="8">
        <v>6.0</v>
      </c>
    </row>
    <row r="2177">
      <c r="A2177">
        <f>IFERROR(__xludf.DUMMYFUNCTION("""COMPUTED_VALUE"""),6.0)</f>
        <v>6</v>
      </c>
      <c r="B2177">
        <f>IFERROR(__xludf.DUMMYFUNCTION("""COMPUTED_VALUE"""),31090.0)</f>
        <v>31090</v>
      </c>
      <c r="C2177" t="str">
        <f>IFERROR(__xludf.DUMMYFUNCTION("""COMPUTED_VALUE"""),"PELAEZ PIEDRAHITA, EMILIO")</f>
        <v>PELAEZ PIEDRAHITA, EMILIO</v>
      </c>
      <c r="D2177" t="str">
        <f>IFERROR(__xludf.DUMMYFUNCTION("""COMPUTED_VALUE"""),"PE 6")</f>
        <v>PE 6</v>
      </c>
      <c r="E2177" s="31" t="str">
        <f>IFERROR(__xludf.DUMMYFUNCTION("""COMPUTED_VALUE"""),"6b")</f>
        <v>6b</v>
      </c>
      <c r="F2177" s="8">
        <v>1.0</v>
      </c>
      <c r="G2177" s="8">
        <v>1.0</v>
      </c>
      <c r="H2177" s="8">
        <v>1.0</v>
      </c>
      <c r="I2177" s="8">
        <v>1.0</v>
      </c>
      <c r="J2177" s="8">
        <v>1.0</v>
      </c>
      <c r="K2177" s="8">
        <v>1.0</v>
      </c>
      <c r="L2177" s="8">
        <v>6.0</v>
      </c>
      <c r="M2177" s="8"/>
      <c r="N2177" s="8"/>
      <c r="O2177" s="8" t="s">
        <v>792</v>
      </c>
      <c r="P2177" s="8">
        <v>6.0</v>
      </c>
    </row>
    <row r="2178">
      <c r="A2178">
        <f>IFERROR(__xludf.DUMMYFUNCTION("""COMPUTED_VALUE"""),6.0)</f>
        <v>6</v>
      </c>
      <c r="B2178">
        <f>IFERROR(__xludf.DUMMYFUNCTION("""COMPUTED_VALUE"""),31092.0)</f>
        <v>31092</v>
      </c>
      <c r="C2178" t="str">
        <f>IFERROR(__xludf.DUMMYFUNCTION("""COMPUTED_VALUE"""),"PEREZ DUQUE, JULIA")</f>
        <v>PEREZ DUQUE, JULIA</v>
      </c>
      <c r="D2178" t="str">
        <f>IFERROR(__xludf.DUMMYFUNCTION("""COMPUTED_VALUE"""),"PE 6")</f>
        <v>PE 6</v>
      </c>
      <c r="E2178" s="31" t="str">
        <f>IFERROR(__xludf.DUMMYFUNCTION("""COMPUTED_VALUE"""),"6b")</f>
        <v>6b</v>
      </c>
      <c r="F2178" s="8">
        <v>1.0</v>
      </c>
      <c r="G2178" s="8">
        <v>1.0</v>
      </c>
      <c r="H2178" s="8">
        <v>1.0</v>
      </c>
      <c r="I2178" s="8">
        <v>1.0</v>
      </c>
      <c r="J2178" s="8">
        <v>1.0</v>
      </c>
      <c r="K2178" s="8">
        <v>1.0</v>
      </c>
      <c r="L2178" s="8">
        <v>6.0</v>
      </c>
      <c r="M2178" s="8"/>
      <c r="N2178" s="8"/>
      <c r="O2178" s="8" t="s">
        <v>792</v>
      </c>
      <c r="P2178" s="8">
        <v>6.0</v>
      </c>
    </row>
    <row r="2179">
      <c r="A2179">
        <f>IFERROR(__xludf.DUMMYFUNCTION("""COMPUTED_VALUE"""),6.0)</f>
        <v>6</v>
      </c>
      <c r="B2179">
        <f>IFERROR(__xludf.DUMMYFUNCTION("""COMPUTED_VALUE"""),31091.0)</f>
        <v>31091</v>
      </c>
      <c r="C2179" t="str">
        <f>IFERROR(__xludf.DUMMYFUNCTION("""COMPUTED_VALUE"""),"PEREZ OTERO, ALEJANDRO")</f>
        <v>PEREZ OTERO, ALEJANDRO</v>
      </c>
      <c r="D2179" t="str">
        <f>IFERROR(__xludf.DUMMYFUNCTION("""COMPUTED_VALUE"""),"PE 6")</f>
        <v>PE 6</v>
      </c>
      <c r="E2179" s="31" t="str">
        <f>IFERROR(__xludf.DUMMYFUNCTION("""COMPUTED_VALUE"""),"2b")</f>
        <v>2b</v>
      </c>
      <c r="F2179" s="8">
        <v>1.0</v>
      </c>
      <c r="G2179" s="8">
        <v>1.0</v>
      </c>
      <c r="H2179" s="8">
        <v>1.0</v>
      </c>
      <c r="I2179" s="8">
        <v>1.0</v>
      </c>
      <c r="J2179" s="8">
        <v>1.0</v>
      </c>
      <c r="K2179" s="8">
        <v>1.0</v>
      </c>
      <c r="L2179" s="8">
        <v>6.0</v>
      </c>
      <c r="M2179" s="8"/>
      <c r="N2179" s="8"/>
      <c r="O2179" s="8" t="s">
        <v>795</v>
      </c>
      <c r="P2179" s="8">
        <v>6.0</v>
      </c>
    </row>
    <row r="2180">
      <c r="A2180">
        <f>IFERROR(__xludf.DUMMYFUNCTION("""COMPUTED_VALUE"""),6.0)</f>
        <v>6</v>
      </c>
      <c r="B2180">
        <f>IFERROR(__xludf.DUMMYFUNCTION("""COMPUTED_VALUE"""),31160.0)</f>
        <v>31160</v>
      </c>
      <c r="C2180" t="str">
        <f>IFERROR(__xludf.DUMMYFUNCTION("""COMPUTED_VALUE"""),"PFORTNER CASTRO, MORITZ")</f>
        <v>PFORTNER CASTRO, MORITZ</v>
      </c>
      <c r="D2180" t="str">
        <f>IFERROR(__xludf.DUMMYFUNCTION("""COMPUTED_VALUE"""),"PE 6")</f>
        <v>PE 6</v>
      </c>
      <c r="E2180" s="31" t="str">
        <f>IFERROR(__xludf.DUMMYFUNCTION("""COMPUTED_VALUE"""),"2b")</f>
        <v>2b</v>
      </c>
      <c r="F2180" s="8">
        <v>1.0</v>
      </c>
      <c r="G2180" s="8">
        <v>1.0</v>
      </c>
      <c r="H2180" s="8">
        <v>1.0</v>
      </c>
      <c r="I2180" s="8">
        <v>1.0</v>
      </c>
      <c r="J2180" s="8">
        <v>1.0</v>
      </c>
      <c r="K2180" s="8">
        <v>1.0</v>
      </c>
      <c r="L2180" s="8">
        <v>6.0</v>
      </c>
      <c r="M2180" s="8"/>
      <c r="N2180" s="8"/>
      <c r="O2180" s="8" t="s">
        <v>795</v>
      </c>
      <c r="P2180" s="8">
        <v>6.0</v>
      </c>
    </row>
    <row r="2181">
      <c r="A2181">
        <f>IFERROR(__xludf.DUMMYFUNCTION("""COMPUTED_VALUE"""),6.0)</f>
        <v>6</v>
      </c>
      <c r="B2181">
        <f>IFERROR(__xludf.DUMMYFUNCTION("""COMPUTED_VALUE"""),31093.0)</f>
        <v>31093</v>
      </c>
      <c r="C2181" t="str">
        <f>IFERROR(__xludf.DUMMYFUNCTION("""COMPUTED_VALUE"""),"PICO RUEDA, SEBASTIAN")</f>
        <v>PICO RUEDA, SEBASTIAN</v>
      </c>
      <c r="D2181" t="str">
        <f>IFERROR(__xludf.DUMMYFUNCTION("""COMPUTED_VALUE"""),"PE 6")</f>
        <v>PE 6</v>
      </c>
      <c r="E2181" s="31" t="str">
        <f>IFERROR(__xludf.DUMMYFUNCTION("""COMPUTED_VALUE"""),"1a")</f>
        <v>1a</v>
      </c>
      <c r="F2181" s="8">
        <v>1.0</v>
      </c>
      <c r="G2181" s="8">
        <v>1.0</v>
      </c>
      <c r="H2181" s="8">
        <v>1.0</v>
      </c>
      <c r="I2181" s="8">
        <v>1.0</v>
      </c>
      <c r="J2181" s="8">
        <v>1.0</v>
      </c>
      <c r="K2181" s="8">
        <v>1.0</v>
      </c>
      <c r="L2181" s="8">
        <v>6.0</v>
      </c>
      <c r="M2181" s="8"/>
      <c r="N2181" s="8"/>
      <c r="O2181" s="8" t="s">
        <v>793</v>
      </c>
      <c r="P2181" s="8">
        <v>6.0</v>
      </c>
    </row>
    <row r="2182">
      <c r="A2182">
        <f>IFERROR(__xludf.DUMMYFUNCTION("""COMPUTED_VALUE"""),6.0)</f>
        <v>6</v>
      </c>
      <c r="B2182">
        <f>IFERROR(__xludf.DUMMYFUNCTION("""COMPUTED_VALUE"""),31095.0)</f>
        <v>31095</v>
      </c>
      <c r="C2182" t="str">
        <f>IFERROR(__xludf.DUMMYFUNCTION("""COMPUTED_VALUE"""),"PINEDA ARANGO, MARTINA")</f>
        <v>PINEDA ARANGO, MARTINA</v>
      </c>
      <c r="D2182" t="str">
        <f>IFERROR(__xludf.DUMMYFUNCTION("""COMPUTED_VALUE"""),"PE 6")</f>
        <v>PE 6</v>
      </c>
      <c r="E2182" s="31" t="str">
        <f>IFERROR(__xludf.DUMMYFUNCTION("""COMPUTED_VALUE"""),"6a")</f>
        <v>6a</v>
      </c>
      <c r="F2182" s="8">
        <v>1.0</v>
      </c>
      <c r="G2182" s="8">
        <v>1.0</v>
      </c>
      <c r="H2182" s="8">
        <v>1.0</v>
      </c>
      <c r="I2182" s="8">
        <v>1.0</v>
      </c>
      <c r="J2182" s="8">
        <v>1.0</v>
      </c>
      <c r="K2182" s="8">
        <v>1.0</v>
      </c>
      <c r="L2182" s="8">
        <v>6.0</v>
      </c>
      <c r="M2182" s="8"/>
      <c r="N2182" s="8"/>
      <c r="O2182" s="8" t="s">
        <v>794</v>
      </c>
      <c r="P2182" s="8">
        <v>6.0</v>
      </c>
    </row>
    <row r="2183">
      <c r="A2183">
        <f>IFERROR(__xludf.DUMMYFUNCTION("""COMPUTED_VALUE"""),6.0)</f>
        <v>6</v>
      </c>
      <c r="B2183">
        <f>IFERROR(__xludf.DUMMYFUNCTION("""COMPUTED_VALUE"""),31096.0)</f>
        <v>31096</v>
      </c>
      <c r="C2183" t="str">
        <f>IFERROR(__xludf.DUMMYFUNCTION("""COMPUTED_VALUE"""),"POSADA FERNANDEZ, ALICIA")</f>
        <v>POSADA FERNANDEZ, ALICIA</v>
      </c>
      <c r="D2183" t="str">
        <f>IFERROR(__xludf.DUMMYFUNCTION("""COMPUTED_VALUE"""),"PE 6")</f>
        <v>PE 6</v>
      </c>
      <c r="E2183" s="31" t="str">
        <f>IFERROR(__xludf.DUMMYFUNCTION("""COMPUTED_VALUE"""),"6a")</f>
        <v>6a</v>
      </c>
      <c r="F2183" s="8">
        <v>1.0</v>
      </c>
      <c r="G2183" s="8">
        <v>1.0</v>
      </c>
      <c r="H2183" s="8">
        <v>1.0</v>
      </c>
      <c r="I2183" s="8">
        <v>1.0</v>
      </c>
      <c r="J2183" s="8">
        <v>1.0</v>
      </c>
      <c r="K2183" s="8">
        <v>1.0</v>
      </c>
      <c r="L2183" s="8">
        <v>6.0</v>
      </c>
      <c r="M2183" s="8"/>
      <c r="N2183" s="8"/>
      <c r="O2183" s="8" t="s">
        <v>794</v>
      </c>
      <c r="P2183" s="8">
        <v>6.0</v>
      </c>
    </row>
    <row r="2184">
      <c r="A2184">
        <f>IFERROR(__xludf.DUMMYFUNCTION("""COMPUTED_VALUE"""),6.0)</f>
        <v>6</v>
      </c>
      <c r="B2184">
        <f>IFERROR(__xludf.DUMMYFUNCTION("""COMPUTED_VALUE"""),31097.0)</f>
        <v>31097</v>
      </c>
      <c r="C2184" t="str">
        <f>IFERROR(__xludf.DUMMYFUNCTION("""COMPUTED_VALUE"""),"PUYO TORO, ELENA")</f>
        <v>PUYO TORO, ELENA</v>
      </c>
      <c r="D2184" t="str">
        <f>IFERROR(__xludf.DUMMYFUNCTION("""COMPUTED_VALUE"""),"PE 6")</f>
        <v>PE 6</v>
      </c>
      <c r="E2184" s="31" t="str">
        <f>IFERROR(__xludf.DUMMYFUNCTION("""COMPUTED_VALUE"""),"4b")</f>
        <v>4b</v>
      </c>
      <c r="F2184" s="8">
        <v>1.0</v>
      </c>
      <c r="G2184" s="8">
        <v>1.0</v>
      </c>
      <c r="H2184" s="8">
        <v>1.0</v>
      </c>
      <c r="I2184" s="8">
        <v>1.0</v>
      </c>
      <c r="J2184" s="8">
        <v>1.0</v>
      </c>
      <c r="K2184" s="8">
        <v>1.0</v>
      </c>
      <c r="L2184" s="8">
        <v>6.0</v>
      </c>
      <c r="M2184" s="8"/>
      <c r="N2184" s="8"/>
      <c r="O2184" s="8" t="s">
        <v>790</v>
      </c>
      <c r="P2184" s="8">
        <v>6.0</v>
      </c>
    </row>
    <row r="2185">
      <c r="A2185">
        <f>IFERROR(__xludf.DUMMYFUNCTION("""COMPUTED_VALUE"""),6.0)</f>
        <v>6</v>
      </c>
      <c r="B2185">
        <f>IFERROR(__xludf.DUMMYFUNCTION("""COMPUTED_VALUE"""),31098.0)</f>
        <v>31098</v>
      </c>
      <c r="C2185" t="str">
        <f>IFERROR(__xludf.DUMMYFUNCTION("""COMPUTED_VALUE"""),"QUINTERO DARBY, VIOLETA")</f>
        <v>QUINTERO DARBY, VIOLETA</v>
      </c>
      <c r="D2185" t="str">
        <f>IFERROR(__xludf.DUMMYFUNCTION("""COMPUTED_VALUE"""),"PE 6")</f>
        <v>PE 6</v>
      </c>
      <c r="E2185" s="31" t="str">
        <f>IFERROR(__xludf.DUMMYFUNCTION("""COMPUTED_VALUE"""),"1a")</f>
        <v>1a</v>
      </c>
      <c r="F2185" s="8">
        <v>1.0</v>
      </c>
      <c r="G2185" s="8">
        <v>1.0</v>
      </c>
      <c r="H2185" s="8">
        <v>1.0</v>
      </c>
      <c r="I2185" s="8">
        <v>1.0</v>
      </c>
      <c r="J2185" s="8">
        <v>1.0</v>
      </c>
      <c r="K2185" s="8">
        <v>1.0</v>
      </c>
      <c r="L2185" s="8">
        <v>6.0</v>
      </c>
      <c r="M2185" s="8"/>
      <c r="N2185" s="8"/>
      <c r="O2185" s="8" t="s">
        <v>793</v>
      </c>
      <c r="P2185" s="8">
        <v>6.0</v>
      </c>
    </row>
    <row r="2186">
      <c r="A2186">
        <f>IFERROR(__xludf.DUMMYFUNCTION("""COMPUTED_VALUE"""),6.0)</f>
        <v>6</v>
      </c>
      <c r="B2186">
        <f>IFERROR(__xludf.DUMMYFUNCTION("""COMPUTED_VALUE"""),31099.0)</f>
        <v>31099</v>
      </c>
      <c r="C2186" t="str">
        <f>IFERROR(__xludf.DUMMYFUNCTION("""COMPUTED_VALUE"""),"RAMIREZ LIBREROS, MARTIN")</f>
        <v>RAMIREZ LIBREROS, MARTIN</v>
      </c>
      <c r="D2186" t="str">
        <f>IFERROR(__xludf.DUMMYFUNCTION("""COMPUTED_VALUE"""),"PE 6")</f>
        <v>PE 6</v>
      </c>
      <c r="E2186" s="31" t="str">
        <f>IFERROR(__xludf.DUMMYFUNCTION("""COMPUTED_VALUE"""),"1a")</f>
        <v>1a</v>
      </c>
      <c r="F2186" s="8">
        <v>1.0</v>
      </c>
      <c r="G2186" s="8">
        <v>1.0</v>
      </c>
      <c r="H2186" s="8">
        <v>1.0</v>
      </c>
      <c r="I2186" s="8">
        <v>1.0</v>
      </c>
      <c r="J2186" s="8">
        <v>1.0</v>
      </c>
      <c r="K2186" s="8">
        <v>1.0</v>
      </c>
      <c r="L2186" s="8">
        <v>6.0</v>
      </c>
      <c r="M2186" s="8"/>
      <c r="N2186" s="8"/>
      <c r="O2186" s="8" t="s">
        <v>793</v>
      </c>
      <c r="P2186" s="8">
        <v>6.0</v>
      </c>
    </row>
    <row r="2187">
      <c r="A2187">
        <f>IFERROR(__xludf.DUMMYFUNCTION("""COMPUTED_VALUE"""),6.0)</f>
        <v>6</v>
      </c>
      <c r="B2187">
        <f>IFERROR(__xludf.DUMMYFUNCTION("""COMPUTED_VALUE"""),31100.0)</f>
        <v>31100</v>
      </c>
      <c r="C2187" t="str">
        <f>IFERROR(__xludf.DUMMYFUNCTION("""COMPUTED_VALUE"""),"RAMIREZ LIBREROS, MATIAS")</f>
        <v>RAMIREZ LIBREROS, MATIAS</v>
      </c>
      <c r="D2187" t="str">
        <f>IFERROR(__xludf.DUMMYFUNCTION("""COMPUTED_VALUE"""),"PE 6")</f>
        <v>PE 6</v>
      </c>
      <c r="E2187" s="31" t="str">
        <f>IFERROR(__xludf.DUMMYFUNCTION("""COMPUTED_VALUE"""),"4b")</f>
        <v>4b</v>
      </c>
      <c r="F2187" s="8">
        <v>1.0</v>
      </c>
      <c r="G2187" s="8">
        <v>1.0</v>
      </c>
      <c r="H2187" s="8">
        <v>1.0</v>
      </c>
      <c r="I2187" s="8">
        <v>1.0</v>
      </c>
      <c r="J2187" s="8">
        <v>1.0</v>
      </c>
      <c r="K2187" s="8">
        <v>1.0</v>
      </c>
      <c r="L2187" s="8">
        <v>6.0</v>
      </c>
      <c r="M2187" s="8"/>
      <c r="N2187" s="8"/>
      <c r="O2187" s="8" t="s">
        <v>790</v>
      </c>
      <c r="P2187" s="8">
        <v>6.0</v>
      </c>
    </row>
    <row r="2188">
      <c r="A2188">
        <f>IFERROR(__xludf.DUMMYFUNCTION("""COMPUTED_VALUE"""),6.0)</f>
        <v>6</v>
      </c>
      <c r="B2188">
        <f>IFERROR(__xludf.DUMMYFUNCTION("""COMPUTED_VALUE"""),31101.0)</f>
        <v>31101</v>
      </c>
      <c r="C2188" t="str">
        <f>IFERROR(__xludf.DUMMYFUNCTION("""COMPUTED_VALUE"""),"RENDON ECHEVERRI, MIGUEL")</f>
        <v>RENDON ECHEVERRI, MIGUEL</v>
      </c>
      <c r="D2188" t="str">
        <f>IFERROR(__xludf.DUMMYFUNCTION("""COMPUTED_VALUE"""),"PE 6")</f>
        <v>PE 6</v>
      </c>
      <c r="E2188" s="31" t="str">
        <f>IFERROR(__xludf.DUMMYFUNCTION("""COMPUTED_VALUE"""),"2b")</f>
        <v>2b</v>
      </c>
      <c r="F2188" s="8">
        <v>1.0</v>
      </c>
      <c r="G2188" s="8">
        <v>1.0</v>
      </c>
      <c r="H2188" s="8">
        <v>1.0</v>
      </c>
      <c r="I2188" s="8">
        <v>1.0</v>
      </c>
      <c r="J2188" s="8">
        <v>1.0</v>
      </c>
      <c r="K2188" s="8">
        <v>1.0</v>
      </c>
      <c r="L2188" s="8">
        <v>6.0</v>
      </c>
      <c r="M2188" s="8"/>
      <c r="N2188" s="8"/>
      <c r="O2188" s="8" t="s">
        <v>795</v>
      </c>
      <c r="P2188" s="8">
        <v>6.0</v>
      </c>
    </row>
    <row r="2189">
      <c r="A2189">
        <f>IFERROR(__xludf.DUMMYFUNCTION("""COMPUTED_VALUE"""),6.0)</f>
        <v>6</v>
      </c>
      <c r="B2189">
        <f>IFERROR(__xludf.DUMMYFUNCTION("""COMPUTED_VALUE"""),31173.0)</f>
        <v>31173</v>
      </c>
      <c r="C2189" t="str">
        <f>IFERROR(__xludf.DUMMYFUNCTION("""COMPUTED_VALUE"""),"REPETTO LARROSA, FRANCHESCO")</f>
        <v>REPETTO LARROSA, FRANCHESCO</v>
      </c>
      <c r="D2189" t="str">
        <f>IFERROR(__xludf.DUMMYFUNCTION("""COMPUTED_VALUE"""),"PE 6")</f>
        <v>PE 6</v>
      </c>
      <c r="E2189" s="31" t="str">
        <f>IFERROR(__xludf.DUMMYFUNCTION("""COMPUTED_VALUE"""),"6a")</f>
        <v>6a</v>
      </c>
      <c r="F2189" s="8">
        <v>1.0</v>
      </c>
      <c r="G2189" s="8">
        <v>1.0</v>
      </c>
      <c r="H2189" s="8">
        <v>1.0</v>
      </c>
      <c r="I2189" s="8">
        <v>1.0</v>
      </c>
      <c r="J2189" s="8">
        <v>1.0</v>
      </c>
      <c r="K2189" s="8">
        <v>1.0</v>
      </c>
      <c r="L2189" s="8">
        <v>6.0</v>
      </c>
      <c r="M2189" s="8"/>
      <c r="N2189" s="8"/>
      <c r="O2189" s="8" t="s">
        <v>794</v>
      </c>
      <c r="P2189" s="8">
        <v>6.0</v>
      </c>
    </row>
    <row r="2190">
      <c r="A2190">
        <f>IFERROR(__xludf.DUMMYFUNCTION("""COMPUTED_VALUE"""),6.0)</f>
        <v>6</v>
      </c>
      <c r="B2190">
        <f>IFERROR(__xludf.DUMMYFUNCTION("""COMPUTED_VALUE"""),31103.0)</f>
        <v>31103</v>
      </c>
      <c r="C2190" t="str">
        <f>IFERROR(__xludf.DUMMYFUNCTION("""COMPUTED_VALUE"""),"RESTREPO BETANCUR, ALICIA")</f>
        <v>RESTREPO BETANCUR, ALICIA</v>
      </c>
      <c r="D2190" t="str">
        <f>IFERROR(__xludf.DUMMYFUNCTION("""COMPUTED_VALUE"""),"PE 6")</f>
        <v>PE 6</v>
      </c>
      <c r="E2190" s="31" t="str">
        <f>IFERROR(__xludf.DUMMYFUNCTION("""COMPUTED_VALUE"""),"2b")</f>
        <v>2b</v>
      </c>
      <c r="F2190" s="8">
        <v>1.0</v>
      </c>
      <c r="G2190" s="8">
        <v>1.0</v>
      </c>
      <c r="H2190" s="8">
        <v>1.0</v>
      </c>
      <c r="I2190" s="8">
        <v>1.0</v>
      </c>
      <c r="J2190" s="8">
        <v>1.0</v>
      </c>
      <c r="K2190" s="8">
        <v>1.0</v>
      </c>
      <c r="L2190" s="8">
        <v>6.0</v>
      </c>
      <c r="M2190" s="8"/>
      <c r="N2190" s="8"/>
      <c r="O2190" s="8" t="s">
        <v>795</v>
      </c>
      <c r="P2190" s="8">
        <v>6.0</v>
      </c>
    </row>
    <row r="2191">
      <c r="A2191">
        <f>IFERROR(__xludf.DUMMYFUNCTION("""COMPUTED_VALUE"""),6.0)</f>
        <v>6</v>
      </c>
      <c r="B2191">
        <f>IFERROR(__xludf.DUMMYFUNCTION("""COMPUTED_VALUE"""),31104.0)</f>
        <v>31104</v>
      </c>
      <c r="C2191" t="str">
        <f>IFERROR(__xludf.DUMMYFUNCTION("""COMPUTED_VALUE"""),"RESTREPO ECHAVARRIA, EMILIA")</f>
        <v>RESTREPO ECHAVARRIA, EMILIA</v>
      </c>
      <c r="D2191" t="str">
        <f>IFERROR(__xludf.DUMMYFUNCTION("""COMPUTED_VALUE"""),"PE 6")</f>
        <v>PE 6</v>
      </c>
      <c r="E2191" s="31" t="str">
        <f>IFERROR(__xludf.DUMMYFUNCTION("""COMPUTED_VALUE"""),"6a")</f>
        <v>6a</v>
      </c>
      <c r="F2191" s="8">
        <v>1.0</v>
      </c>
      <c r="G2191" s="8">
        <v>1.0</v>
      </c>
      <c r="H2191" s="8">
        <v>1.0</v>
      </c>
      <c r="I2191" s="8">
        <v>1.0</v>
      </c>
      <c r="J2191" s="8">
        <v>1.0</v>
      </c>
      <c r="K2191" s="8">
        <v>1.0</v>
      </c>
      <c r="L2191" s="8">
        <v>6.0</v>
      </c>
      <c r="M2191" s="8"/>
      <c r="N2191" s="8"/>
      <c r="O2191" s="8" t="s">
        <v>794</v>
      </c>
      <c r="P2191" s="8">
        <v>6.0</v>
      </c>
    </row>
    <row r="2192">
      <c r="A2192">
        <f>IFERROR(__xludf.DUMMYFUNCTION("""COMPUTED_VALUE"""),6.0)</f>
        <v>6</v>
      </c>
      <c r="B2192">
        <f>IFERROR(__xludf.DUMMYFUNCTION("""COMPUTED_VALUE"""),31105.0)</f>
        <v>31105</v>
      </c>
      <c r="C2192" t="str">
        <f>IFERROR(__xludf.DUMMYFUNCTION("""COMPUTED_VALUE"""),"RESTREPO PELAEZ, EMILIA")</f>
        <v>RESTREPO PELAEZ, EMILIA</v>
      </c>
      <c r="D2192" t="str">
        <f>IFERROR(__xludf.DUMMYFUNCTION("""COMPUTED_VALUE"""),"PE 6")</f>
        <v>PE 6</v>
      </c>
      <c r="E2192" s="31" t="str">
        <f>IFERROR(__xludf.DUMMYFUNCTION("""COMPUTED_VALUE"""),"4b")</f>
        <v>4b</v>
      </c>
      <c r="F2192" s="8">
        <v>1.0</v>
      </c>
      <c r="G2192" s="8">
        <v>1.0</v>
      </c>
      <c r="H2192" s="8">
        <v>1.0</v>
      </c>
      <c r="I2192" s="8">
        <v>1.0</v>
      </c>
      <c r="J2192" s="8">
        <v>1.0</v>
      </c>
      <c r="K2192" s="8">
        <v>1.0</v>
      </c>
      <c r="L2192" s="8">
        <v>6.0</v>
      </c>
      <c r="M2192" s="8"/>
      <c r="N2192" s="8"/>
      <c r="O2192" s="8" t="s">
        <v>790</v>
      </c>
      <c r="P2192" s="8">
        <v>6.0</v>
      </c>
    </row>
    <row r="2193">
      <c r="A2193">
        <f>IFERROR(__xludf.DUMMYFUNCTION("""COMPUTED_VALUE"""),6.0)</f>
        <v>6</v>
      </c>
      <c r="B2193">
        <f>IFERROR(__xludf.DUMMYFUNCTION("""COMPUTED_VALUE"""),31171.0)</f>
        <v>31171</v>
      </c>
      <c r="C2193" t="str">
        <f>IFERROR(__xludf.DUMMYFUNCTION("""COMPUTED_VALUE"""),"RICHARDSON MEJIA, SOFIA")</f>
        <v>RICHARDSON MEJIA, SOFIA</v>
      </c>
      <c r="D2193" t="str">
        <f>IFERROR(__xludf.DUMMYFUNCTION("""COMPUTED_VALUE"""),"PE 6")</f>
        <v>PE 6</v>
      </c>
      <c r="E2193" s="31" t="str">
        <f>IFERROR(__xludf.DUMMYFUNCTION("""COMPUTED_VALUE"""),"2b")</f>
        <v>2b</v>
      </c>
      <c r="F2193" s="8">
        <v>1.0</v>
      </c>
      <c r="G2193" s="8">
        <v>1.0</v>
      </c>
      <c r="H2193" s="8">
        <v>1.0</v>
      </c>
      <c r="I2193" s="8">
        <v>1.0</v>
      </c>
      <c r="J2193" s="8">
        <v>1.0</v>
      </c>
      <c r="K2193" s="8">
        <v>1.0</v>
      </c>
      <c r="L2193" s="8">
        <v>6.0</v>
      </c>
      <c r="M2193" s="8"/>
      <c r="N2193" s="8"/>
      <c r="O2193" s="8" t="s">
        <v>795</v>
      </c>
      <c r="P2193" s="8">
        <v>6.0</v>
      </c>
    </row>
    <row r="2194">
      <c r="A2194">
        <f>IFERROR(__xludf.DUMMYFUNCTION("""COMPUTED_VALUE"""),6.0)</f>
        <v>6</v>
      </c>
      <c r="B2194">
        <f>IFERROR(__xludf.DUMMYFUNCTION("""COMPUTED_VALUE"""),31106.0)</f>
        <v>31106</v>
      </c>
      <c r="C2194" t="str">
        <f>IFERROR(__xludf.DUMMYFUNCTION("""COMPUTED_VALUE"""),"RINCON URIBE, NICOLAS")</f>
        <v>RINCON URIBE, NICOLAS</v>
      </c>
      <c r="D2194" t="str">
        <f>IFERROR(__xludf.DUMMYFUNCTION("""COMPUTED_VALUE"""),"PE 6")</f>
        <v>PE 6</v>
      </c>
      <c r="E2194" s="31" t="str">
        <f>IFERROR(__xludf.DUMMYFUNCTION("""COMPUTED_VALUE"""),"5b")</f>
        <v>5b</v>
      </c>
      <c r="F2194" s="8">
        <v>1.0</v>
      </c>
      <c r="G2194" s="8">
        <v>1.0</v>
      </c>
      <c r="H2194" s="8">
        <v>1.0</v>
      </c>
      <c r="I2194" s="8">
        <v>1.0</v>
      </c>
      <c r="J2194" s="8">
        <v>1.0</v>
      </c>
      <c r="K2194" s="8">
        <v>1.0</v>
      </c>
      <c r="L2194" s="8">
        <v>6.0</v>
      </c>
      <c r="M2194" s="8"/>
      <c r="N2194" s="8"/>
      <c r="O2194" s="8" t="s">
        <v>791</v>
      </c>
      <c r="P2194" s="8">
        <v>6.0</v>
      </c>
    </row>
    <row r="2195">
      <c r="A2195">
        <f>IFERROR(__xludf.DUMMYFUNCTION("""COMPUTED_VALUE"""),6.0)</f>
        <v>6</v>
      </c>
      <c r="B2195">
        <f>IFERROR(__xludf.DUMMYFUNCTION("""COMPUTED_VALUE"""),31107.0)</f>
        <v>31107</v>
      </c>
      <c r="C2195" t="str">
        <f>IFERROR(__xludf.DUMMYFUNCTION("""COMPUTED_VALUE"""),"ROBLEDO LLANO, JERONIMO")</f>
        <v>ROBLEDO LLANO, JERONIMO</v>
      </c>
      <c r="D2195" t="str">
        <f>IFERROR(__xludf.DUMMYFUNCTION("""COMPUTED_VALUE"""),"PE 6")</f>
        <v>PE 6</v>
      </c>
      <c r="E2195" s="31" t="str">
        <f>IFERROR(__xludf.DUMMYFUNCTION("""COMPUTED_VALUE"""),"6b")</f>
        <v>6b</v>
      </c>
      <c r="F2195" s="8">
        <v>1.0</v>
      </c>
      <c r="G2195" s="8">
        <v>1.0</v>
      </c>
      <c r="H2195" s="8">
        <v>1.0</v>
      </c>
      <c r="I2195" s="8">
        <v>1.0</v>
      </c>
      <c r="J2195" s="8">
        <v>1.0</v>
      </c>
      <c r="K2195" s="8">
        <v>1.0</v>
      </c>
      <c r="L2195" s="8">
        <v>6.0</v>
      </c>
      <c r="M2195" s="8"/>
      <c r="N2195" s="8"/>
      <c r="O2195" s="8" t="s">
        <v>792</v>
      </c>
      <c r="P2195" s="8">
        <v>6.0</v>
      </c>
    </row>
    <row r="2196">
      <c r="A2196">
        <f>IFERROR(__xludf.DUMMYFUNCTION("""COMPUTED_VALUE"""),6.0)</f>
        <v>6</v>
      </c>
      <c r="B2196">
        <f>IFERROR(__xludf.DUMMYFUNCTION("""COMPUTED_VALUE"""),30159.0)</f>
        <v>30159</v>
      </c>
      <c r="C2196" t="str">
        <f>IFERROR(__xludf.DUMMYFUNCTION("""COMPUTED_VALUE"""),"ROJAS REYES, MATEO")</f>
        <v>ROJAS REYES, MATEO</v>
      </c>
      <c r="D2196" t="str">
        <f>IFERROR(__xludf.DUMMYFUNCTION("""COMPUTED_VALUE"""),"PE 6")</f>
        <v>PE 6</v>
      </c>
      <c r="E2196" s="31" t="str">
        <f>IFERROR(__xludf.DUMMYFUNCTION("""COMPUTED_VALUE"""),"6b")</f>
        <v>6b</v>
      </c>
      <c r="F2196" s="8">
        <v>1.0</v>
      </c>
      <c r="G2196" s="8">
        <v>1.0</v>
      </c>
      <c r="H2196" s="8">
        <v>1.0</v>
      </c>
      <c r="I2196" s="8">
        <v>1.0</v>
      </c>
      <c r="J2196" s="8">
        <v>1.0</v>
      </c>
      <c r="K2196" s="8">
        <v>1.0</v>
      </c>
      <c r="L2196" s="8">
        <v>6.0</v>
      </c>
      <c r="M2196" s="8"/>
      <c r="N2196" s="8"/>
      <c r="O2196" s="8" t="s">
        <v>792</v>
      </c>
      <c r="P2196" s="8">
        <v>6.0</v>
      </c>
    </row>
    <row r="2197">
      <c r="A2197">
        <f>IFERROR(__xludf.DUMMYFUNCTION("""COMPUTED_VALUE"""),6.0)</f>
        <v>6</v>
      </c>
      <c r="B2197">
        <f>IFERROR(__xludf.DUMMYFUNCTION("""COMPUTED_VALUE"""),31110.0)</f>
        <v>31110</v>
      </c>
      <c r="C2197" t="str">
        <f>IFERROR(__xludf.DUMMYFUNCTION("""COMPUTED_VALUE"""),"RUIZ CORREA, MARIANA")</f>
        <v>RUIZ CORREA, MARIANA</v>
      </c>
      <c r="D2197" t="str">
        <f>IFERROR(__xludf.DUMMYFUNCTION("""COMPUTED_VALUE"""),"PE 6")</f>
        <v>PE 6</v>
      </c>
      <c r="E2197" s="31" t="str">
        <f>IFERROR(__xludf.DUMMYFUNCTION("""COMPUTED_VALUE"""),"1a")</f>
        <v>1a</v>
      </c>
      <c r="F2197" s="8">
        <v>1.0</v>
      </c>
      <c r="G2197" s="8">
        <v>1.0</v>
      </c>
      <c r="H2197" s="8">
        <v>1.0</v>
      </c>
      <c r="I2197" s="8">
        <v>1.0</v>
      </c>
      <c r="J2197" s="8">
        <v>1.0</v>
      </c>
      <c r="K2197" s="8">
        <v>1.0</v>
      </c>
      <c r="L2197" s="8">
        <v>6.0</v>
      </c>
      <c r="M2197" s="8"/>
      <c r="N2197" s="8"/>
      <c r="O2197" s="8" t="s">
        <v>793</v>
      </c>
      <c r="P2197" s="8">
        <v>6.0</v>
      </c>
    </row>
    <row r="2198">
      <c r="A2198">
        <f>IFERROR(__xludf.DUMMYFUNCTION("""COMPUTED_VALUE"""),6.0)</f>
        <v>6</v>
      </c>
      <c r="B2198">
        <f>IFERROR(__xludf.DUMMYFUNCTION("""COMPUTED_VALUE"""),31111.0)</f>
        <v>31111</v>
      </c>
      <c r="C2198" t="str">
        <f>IFERROR(__xludf.DUMMYFUNCTION("""COMPUTED_VALUE"""),"RUIZ DUQUE, ANTONIO")</f>
        <v>RUIZ DUQUE, ANTONIO</v>
      </c>
      <c r="D2198" t="str">
        <f>IFERROR(__xludf.DUMMYFUNCTION("""COMPUTED_VALUE"""),"PE 6")</f>
        <v>PE 6</v>
      </c>
      <c r="E2198" s="31" t="str">
        <f>IFERROR(__xludf.DUMMYFUNCTION("""COMPUTED_VALUE"""),"4b")</f>
        <v>4b</v>
      </c>
      <c r="F2198" s="8">
        <v>1.0</v>
      </c>
      <c r="G2198" s="8">
        <v>1.0</v>
      </c>
      <c r="H2198" s="8">
        <v>1.0</v>
      </c>
      <c r="I2198" s="8">
        <v>1.0</v>
      </c>
      <c r="J2198" s="8">
        <v>1.0</v>
      </c>
      <c r="K2198" s="8">
        <v>1.0</v>
      </c>
      <c r="L2198" s="8">
        <v>6.0</v>
      </c>
      <c r="M2198" s="8"/>
      <c r="N2198" s="8"/>
      <c r="O2198" s="8" t="s">
        <v>790</v>
      </c>
      <c r="P2198" s="8">
        <v>6.0</v>
      </c>
    </row>
    <row r="2199">
      <c r="A2199">
        <f>IFERROR(__xludf.DUMMYFUNCTION("""COMPUTED_VALUE"""),6.0)</f>
        <v>6</v>
      </c>
      <c r="B2199">
        <f>IFERROR(__xludf.DUMMYFUNCTION("""COMPUTED_VALUE"""),31109.0)</f>
        <v>31109</v>
      </c>
      <c r="C2199" t="str">
        <f>IFERROR(__xludf.DUMMYFUNCTION("""COMPUTED_VALUE"""),"RUZ GUZMAN, FEDERICO")</f>
        <v>RUZ GUZMAN, FEDERICO</v>
      </c>
      <c r="D2199" t="str">
        <f>IFERROR(__xludf.DUMMYFUNCTION("""COMPUTED_VALUE"""),"PE 6")</f>
        <v>PE 6</v>
      </c>
      <c r="E2199" s="31" t="str">
        <f>IFERROR(__xludf.DUMMYFUNCTION("""COMPUTED_VALUE"""),"5b")</f>
        <v>5b</v>
      </c>
      <c r="F2199" s="8">
        <v>1.0</v>
      </c>
      <c r="G2199" s="8">
        <v>1.0</v>
      </c>
      <c r="H2199" s="8">
        <v>1.0</v>
      </c>
      <c r="I2199" s="8">
        <v>1.0</v>
      </c>
      <c r="J2199" s="8">
        <v>1.0</v>
      </c>
      <c r="K2199" s="8">
        <v>1.0</v>
      </c>
      <c r="L2199" s="8">
        <v>6.0</v>
      </c>
      <c r="M2199" s="8"/>
      <c r="N2199" s="8"/>
      <c r="O2199" s="8" t="s">
        <v>791</v>
      </c>
      <c r="P2199" s="8">
        <v>6.0</v>
      </c>
    </row>
    <row r="2200">
      <c r="A2200">
        <f>IFERROR(__xludf.DUMMYFUNCTION("""COMPUTED_VALUE"""),6.0)</f>
        <v>6</v>
      </c>
      <c r="B2200">
        <f>IFERROR(__xludf.DUMMYFUNCTION("""COMPUTED_VALUE"""),31112.0)</f>
        <v>31112</v>
      </c>
      <c r="C2200" t="str">
        <f>IFERROR(__xludf.DUMMYFUNCTION("""COMPUTED_VALUE"""),"SALAZAR BOTERO, FEDERICO")</f>
        <v>SALAZAR BOTERO, FEDERICO</v>
      </c>
      <c r="D2200" t="str">
        <f>IFERROR(__xludf.DUMMYFUNCTION("""COMPUTED_VALUE"""),"PE 6")</f>
        <v>PE 6</v>
      </c>
      <c r="E2200" s="31" t="str">
        <f>IFERROR(__xludf.DUMMYFUNCTION("""COMPUTED_VALUE"""),"5b")</f>
        <v>5b</v>
      </c>
      <c r="F2200" s="8">
        <v>1.0</v>
      </c>
      <c r="G2200" s="8">
        <v>1.0</v>
      </c>
      <c r="H2200" s="8">
        <v>1.0</v>
      </c>
      <c r="I2200" s="8">
        <v>1.0</v>
      </c>
      <c r="J2200" s="8">
        <v>1.0</v>
      </c>
      <c r="K2200" s="8">
        <v>1.0</v>
      </c>
      <c r="L2200" s="8">
        <v>6.0</v>
      </c>
      <c r="M2200" s="8"/>
      <c r="N2200" s="8"/>
      <c r="O2200" s="8" t="s">
        <v>791</v>
      </c>
      <c r="P2200" s="8">
        <v>6.0</v>
      </c>
    </row>
    <row r="2201">
      <c r="A2201">
        <f>IFERROR(__xludf.DUMMYFUNCTION("""COMPUTED_VALUE"""),6.0)</f>
        <v>6</v>
      </c>
      <c r="B2201">
        <f>IFERROR(__xludf.DUMMYFUNCTION("""COMPUTED_VALUE"""),31153.0)</f>
        <v>31153</v>
      </c>
      <c r="C2201" t="str">
        <f>IFERROR(__xludf.DUMMYFUNCTION("""COMPUTED_VALUE"""),"SALCEDO PERICO, JACOBO")</f>
        <v>SALCEDO PERICO, JACOBO</v>
      </c>
      <c r="D2201" t="str">
        <f>IFERROR(__xludf.DUMMYFUNCTION("""COMPUTED_VALUE"""),"PE 6")</f>
        <v>PE 6</v>
      </c>
      <c r="E2201" s="31" t="str">
        <f>IFERROR(__xludf.DUMMYFUNCTION("""COMPUTED_VALUE"""),"6a")</f>
        <v>6a</v>
      </c>
      <c r="F2201" s="8">
        <v>1.0</v>
      </c>
      <c r="G2201" s="8">
        <v>1.0</v>
      </c>
      <c r="H2201" s="8">
        <v>1.0</v>
      </c>
      <c r="I2201" s="8">
        <v>1.0</v>
      </c>
      <c r="J2201" s="8">
        <v>1.0</v>
      </c>
      <c r="K2201" s="8">
        <v>1.0</v>
      </c>
      <c r="L2201" s="8">
        <v>6.0</v>
      </c>
      <c r="M2201" s="8"/>
      <c r="N2201" s="8"/>
      <c r="O2201" s="8" t="s">
        <v>794</v>
      </c>
      <c r="P2201" s="8">
        <v>6.0</v>
      </c>
    </row>
    <row r="2202">
      <c r="A2202">
        <f>IFERROR(__xludf.DUMMYFUNCTION("""COMPUTED_VALUE"""),6.0)</f>
        <v>6</v>
      </c>
      <c r="B2202">
        <f>IFERROR(__xludf.DUMMYFUNCTION("""COMPUTED_VALUE"""),31113.0)</f>
        <v>31113</v>
      </c>
      <c r="C2202" t="str">
        <f>IFERROR(__xludf.DUMMYFUNCTION("""COMPUTED_VALUE"""),"SANTAMARIA SALDARRIAGA, JUAN MARTIN")</f>
        <v>SANTAMARIA SALDARRIAGA, JUAN MARTIN</v>
      </c>
      <c r="D2202" t="str">
        <f>IFERROR(__xludf.DUMMYFUNCTION("""COMPUTED_VALUE"""),"PE 6")</f>
        <v>PE 6</v>
      </c>
      <c r="E2202" s="31" t="str">
        <f>IFERROR(__xludf.DUMMYFUNCTION("""COMPUTED_VALUE"""),"6a")</f>
        <v>6a</v>
      </c>
      <c r="F2202" s="8">
        <v>1.0</v>
      </c>
      <c r="G2202" s="8">
        <v>1.0</v>
      </c>
      <c r="H2202" s="8">
        <v>1.0</v>
      </c>
      <c r="I2202" s="8">
        <v>1.0</v>
      </c>
      <c r="J2202" s="8">
        <v>1.0</v>
      </c>
      <c r="K2202" s="8">
        <v>1.0</v>
      </c>
      <c r="L2202" s="8">
        <v>6.0</v>
      </c>
      <c r="M2202" s="8"/>
      <c r="N2202" s="8"/>
      <c r="O2202" s="8" t="s">
        <v>794</v>
      </c>
      <c r="P2202" s="8">
        <v>6.0</v>
      </c>
    </row>
    <row r="2203">
      <c r="A2203">
        <f>IFERROR(__xludf.DUMMYFUNCTION("""COMPUTED_VALUE"""),6.0)</f>
        <v>6</v>
      </c>
      <c r="B2203">
        <f>IFERROR(__xludf.DUMMYFUNCTION("""COMPUTED_VALUE"""),31114.0)</f>
        <v>31114</v>
      </c>
      <c r="C2203" t="str">
        <f>IFERROR(__xludf.DUMMYFUNCTION("""COMPUTED_VALUE"""),"SCHOBER OCAMPO, MIA")</f>
        <v>SCHOBER OCAMPO, MIA</v>
      </c>
      <c r="D2203" t="str">
        <f>IFERROR(__xludf.DUMMYFUNCTION("""COMPUTED_VALUE"""),"PE 6")</f>
        <v>PE 6</v>
      </c>
      <c r="E2203" s="31" t="str">
        <f>IFERROR(__xludf.DUMMYFUNCTION("""COMPUTED_VALUE"""),"4b")</f>
        <v>4b</v>
      </c>
      <c r="F2203" s="8">
        <v>1.0</v>
      </c>
      <c r="G2203" s="8">
        <v>1.0</v>
      </c>
      <c r="H2203" s="8">
        <v>1.0</v>
      </c>
      <c r="I2203" s="8">
        <v>1.0</v>
      </c>
      <c r="J2203" s="8">
        <v>1.0</v>
      </c>
      <c r="K2203" s="8">
        <v>1.0</v>
      </c>
      <c r="L2203" s="8">
        <v>6.0</v>
      </c>
      <c r="M2203" s="8"/>
      <c r="N2203" s="8"/>
      <c r="O2203" s="8" t="s">
        <v>790</v>
      </c>
      <c r="P2203" s="8">
        <v>6.0</v>
      </c>
    </row>
    <row r="2204">
      <c r="A2204">
        <f>IFERROR(__xludf.DUMMYFUNCTION("""COMPUTED_VALUE"""),6.0)</f>
        <v>6</v>
      </c>
      <c r="B2204">
        <f>IFERROR(__xludf.DUMMYFUNCTION("""COMPUTED_VALUE"""),31115.0)</f>
        <v>31115</v>
      </c>
      <c r="C2204" t="str">
        <f>IFERROR(__xludf.DUMMYFUNCTION("""COMPUTED_VALUE"""),"SERANI ANGEL, TOMAS")</f>
        <v>SERANI ANGEL, TOMAS</v>
      </c>
      <c r="D2204" t="str">
        <f>IFERROR(__xludf.DUMMYFUNCTION("""COMPUTED_VALUE"""),"PE 6")</f>
        <v>PE 6</v>
      </c>
      <c r="E2204" s="31" t="str">
        <f>IFERROR(__xludf.DUMMYFUNCTION("""COMPUTED_VALUE"""),"5b")</f>
        <v>5b</v>
      </c>
      <c r="F2204" s="8">
        <v>1.0</v>
      </c>
      <c r="G2204" s="8">
        <v>1.0</v>
      </c>
      <c r="H2204" s="8">
        <v>1.0</v>
      </c>
      <c r="I2204" s="8">
        <v>1.0</v>
      </c>
      <c r="J2204" s="8">
        <v>1.0</v>
      </c>
      <c r="K2204" s="8">
        <v>1.0</v>
      </c>
      <c r="L2204" s="8">
        <v>6.0</v>
      </c>
      <c r="M2204" s="8"/>
      <c r="N2204" s="8"/>
      <c r="O2204" s="8" t="s">
        <v>791</v>
      </c>
      <c r="P2204" s="8">
        <v>6.0</v>
      </c>
    </row>
    <row r="2205">
      <c r="A2205">
        <f>IFERROR(__xludf.DUMMYFUNCTION("""COMPUTED_VALUE"""),6.0)</f>
        <v>6</v>
      </c>
      <c r="B2205">
        <f>IFERROR(__xludf.DUMMYFUNCTION("""COMPUTED_VALUE"""),31116.0)</f>
        <v>31116</v>
      </c>
      <c r="C2205" t="str">
        <f>IFERROR(__xludf.DUMMYFUNCTION("""COMPUTED_VALUE"""),"SERRANO BARRENECHE, JUAN FELIPE")</f>
        <v>SERRANO BARRENECHE, JUAN FELIPE</v>
      </c>
      <c r="D2205" t="str">
        <f>IFERROR(__xludf.DUMMYFUNCTION("""COMPUTED_VALUE"""),"PE 6")</f>
        <v>PE 6</v>
      </c>
      <c r="E2205" s="31" t="str">
        <f>IFERROR(__xludf.DUMMYFUNCTION("""COMPUTED_VALUE"""),"5b")</f>
        <v>5b</v>
      </c>
      <c r="F2205" s="8">
        <v>1.0</v>
      </c>
      <c r="G2205" s="8">
        <v>1.0</v>
      </c>
      <c r="H2205" s="8">
        <v>1.0</v>
      </c>
      <c r="I2205" s="8">
        <v>1.0</v>
      </c>
      <c r="J2205" s="8">
        <v>1.0</v>
      </c>
      <c r="K2205" s="8">
        <v>1.0</v>
      </c>
      <c r="L2205" s="8">
        <v>6.0</v>
      </c>
      <c r="M2205" s="8"/>
      <c r="N2205" s="8"/>
      <c r="O2205" s="8" t="s">
        <v>791</v>
      </c>
      <c r="P2205" s="8">
        <v>6.0</v>
      </c>
    </row>
    <row r="2206">
      <c r="A2206">
        <f>IFERROR(__xludf.DUMMYFUNCTION("""COMPUTED_VALUE"""),6.0)</f>
        <v>6</v>
      </c>
      <c r="B2206">
        <f>IFERROR(__xludf.DUMMYFUNCTION("""COMPUTED_VALUE"""),31117.0)</f>
        <v>31117</v>
      </c>
      <c r="C2206" t="str">
        <f>IFERROR(__xludf.DUMMYFUNCTION("""COMPUTED_VALUE"""),"SIERRA ECHAVARRIA, BENJAMIN")</f>
        <v>SIERRA ECHAVARRIA, BENJAMIN</v>
      </c>
      <c r="D2206" t="str">
        <f>IFERROR(__xludf.DUMMYFUNCTION("""COMPUTED_VALUE"""),"PE 6")</f>
        <v>PE 6</v>
      </c>
      <c r="E2206" s="31" t="str">
        <f>IFERROR(__xludf.DUMMYFUNCTION("""COMPUTED_VALUE"""),"6b")</f>
        <v>6b</v>
      </c>
      <c r="F2206" s="8">
        <v>1.0</v>
      </c>
      <c r="G2206" s="8">
        <v>1.0</v>
      </c>
      <c r="H2206" s="8">
        <v>1.0</v>
      </c>
      <c r="I2206" s="8">
        <v>1.0</v>
      </c>
      <c r="J2206" s="8">
        <v>1.0</v>
      </c>
      <c r="K2206" s="8">
        <v>1.0</v>
      </c>
      <c r="L2206" s="8">
        <v>6.0</v>
      </c>
      <c r="M2206" s="8"/>
      <c r="N2206" s="8"/>
      <c r="O2206" s="8" t="s">
        <v>792</v>
      </c>
      <c r="P2206" s="8">
        <v>6.0</v>
      </c>
    </row>
    <row r="2207">
      <c r="A2207">
        <f>IFERROR(__xludf.DUMMYFUNCTION("""COMPUTED_VALUE"""),6.0)</f>
        <v>6</v>
      </c>
      <c r="B2207">
        <f>IFERROR(__xludf.DUMMYFUNCTION("""COMPUTED_VALUE"""),31118.0)</f>
        <v>31118</v>
      </c>
      <c r="C2207" t="str">
        <f>IFERROR(__xludf.DUMMYFUNCTION("""COMPUTED_VALUE"""),"TOBON PEÑALOZA, EMILIA")</f>
        <v>TOBON PEÑALOZA, EMILIA</v>
      </c>
      <c r="D2207" t="str">
        <f>IFERROR(__xludf.DUMMYFUNCTION("""COMPUTED_VALUE"""),"PE 6")</f>
        <v>PE 6</v>
      </c>
      <c r="E2207" s="31" t="str">
        <f>IFERROR(__xludf.DUMMYFUNCTION("""COMPUTED_VALUE"""),"1a")</f>
        <v>1a</v>
      </c>
      <c r="F2207" s="8">
        <v>1.0</v>
      </c>
      <c r="G2207" s="8">
        <v>1.0</v>
      </c>
      <c r="H2207" s="8">
        <v>1.0</v>
      </c>
      <c r="I2207" s="8">
        <v>1.0</v>
      </c>
      <c r="J2207" s="8">
        <v>1.0</v>
      </c>
      <c r="K2207" s="8">
        <v>1.0</v>
      </c>
      <c r="L2207" s="8">
        <v>6.0</v>
      </c>
      <c r="M2207" s="8"/>
      <c r="N2207" s="8"/>
      <c r="O2207" s="8" t="s">
        <v>793</v>
      </c>
      <c r="P2207" s="8">
        <v>6.0</v>
      </c>
    </row>
    <row r="2208">
      <c r="A2208">
        <f>IFERROR(__xludf.DUMMYFUNCTION("""COMPUTED_VALUE"""),6.0)</f>
        <v>6</v>
      </c>
      <c r="B2208">
        <f>IFERROR(__xludf.DUMMYFUNCTION("""COMPUTED_VALUE"""),31119.0)</f>
        <v>31119</v>
      </c>
      <c r="C2208" t="str">
        <f>IFERROR(__xludf.DUMMYFUNCTION("""COMPUTED_VALUE"""),"TOBON PEÑALOZA, JUAN")</f>
        <v>TOBON PEÑALOZA, JUAN</v>
      </c>
      <c r="D2208" t="str">
        <f>IFERROR(__xludf.DUMMYFUNCTION("""COMPUTED_VALUE"""),"PE 6")</f>
        <v>PE 6</v>
      </c>
      <c r="E2208" s="31" t="str">
        <f>IFERROR(__xludf.DUMMYFUNCTION("""COMPUTED_VALUE"""),"5b")</f>
        <v>5b</v>
      </c>
      <c r="F2208" s="8">
        <v>1.0</v>
      </c>
      <c r="G2208" s="8">
        <v>1.0</v>
      </c>
      <c r="H2208" s="8">
        <v>1.0</v>
      </c>
      <c r="I2208" s="8">
        <v>1.0</v>
      </c>
      <c r="J2208" s="8">
        <v>1.0</v>
      </c>
      <c r="K2208" s="8">
        <v>1.0</v>
      </c>
      <c r="L2208" s="8">
        <v>6.0</v>
      </c>
      <c r="M2208" s="8"/>
      <c r="N2208" s="8"/>
      <c r="O2208" s="8" t="s">
        <v>791</v>
      </c>
      <c r="P2208" s="8">
        <v>6.0</v>
      </c>
    </row>
    <row r="2209">
      <c r="A2209">
        <f>IFERROR(__xludf.DUMMYFUNCTION("""COMPUTED_VALUE"""),6.0)</f>
        <v>6</v>
      </c>
      <c r="B2209">
        <f>IFERROR(__xludf.DUMMYFUNCTION("""COMPUTED_VALUE"""),31120.0)</f>
        <v>31120</v>
      </c>
      <c r="C2209" t="str">
        <f>IFERROR(__xludf.DUMMYFUNCTION("""COMPUTED_VALUE"""),"TORO PEREZ, GREGORIO")</f>
        <v>TORO PEREZ, GREGORIO</v>
      </c>
      <c r="D2209" t="str">
        <f>IFERROR(__xludf.DUMMYFUNCTION("""COMPUTED_VALUE"""),"PE 6")</f>
        <v>PE 6</v>
      </c>
      <c r="E2209" s="31" t="str">
        <f>IFERROR(__xludf.DUMMYFUNCTION("""COMPUTED_VALUE"""),"1a")</f>
        <v>1a</v>
      </c>
      <c r="F2209" s="8">
        <v>1.0</v>
      </c>
      <c r="G2209" s="8">
        <v>1.0</v>
      </c>
      <c r="H2209" s="8">
        <v>1.0</v>
      </c>
      <c r="I2209" s="8">
        <v>1.0</v>
      </c>
      <c r="J2209" s="8">
        <v>1.0</v>
      </c>
      <c r="K2209" s="8">
        <v>1.0</v>
      </c>
      <c r="L2209" s="8">
        <v>6.0</v>
      </c>
      <c r="M2209" s="8"/>
      <c r="N2209" s="8"/>
      <c r="O2209" s="8" t="s">
        <v>793</v>
      </c>
      <c r="P2209" s="8">
        <v>6.0</v>
      </c>
    </row>
    <row r="2210">
      <c r="A2210">
        <f>IFERROR(__xludf.DUMMYFUNCTION("""COMPUTED_VALUE"""),6.0)</f>
        <v>6</v>
      </c>
      <c r="B2210">
        <f>IFERROR(__xludf.DUMMYFUNCTION("""COMPUTED_VALUE"""),31121.0)</f>
        <v>31121</v>
      </c>
      <c r="C2210" t="str">
        <f>IFERROR(__xludf.DUMMYFUNCTION("""COMPUTED_VALUE"""),"TRUJILLO ARANGO, MARTIN")</f>
        <v>TRUJILLO ARANGO, MARTIN</v>
      </c>
      <c r="D2210" t="str">
        <f>IFERROR(__xludf.DUMMYFUNCTION("""COMPUTED_VALUE"""),"PE 6")</f>
        <v>PE 6</v>
      </c>
      <c r="E2210" s="31" t="str">
        <f>IFERROR(__xludf.DUMMYFUNCTION("""COMPUTED_VALUE"""),"2b")</f>
        <v>2b</v>
      </c>
      <c r="F2210" s="8">
        <v>1.0</v>
      </c>
      <c r="G2210" s="8">
        <v>1.0</v>
      </c>
      <c r="H2210" s="8">
        <v>1.0</v>
      </c>
      <c r="I2210" s="8">
        <v>1.0</v>
      </c>
      <c r="J2210" s="8">
        <v>1.0</v>
      </c>
      <c r="K2210" s="8">
        <v>1.0</v>
      </c>
      <c r="L2210" s="8">
        <v>6.0</v>
      </c>
      <c r="M2210" s="8"/>
      <c r="N2210" s="8"/>
      <c r="O2210" s="8" t="s">
        <v>795</v>
      </c>
      <c r="P2210" s="8">
        <v>6.0</v>
      </c>
    </row>
    <row r="2211">
      <c r="A2211">
        <f>IFERROR(__xludf.DUMMYFUNCTION("""COMPUTED_VALUE"""),6.0)</f>
        <v>6</v>
      </c>
      <c r="B2211">
        <f>IFERROR(__xludf.DUMMYFUNCTION("""COMPUTED_VALUE"""),30108.0)</f>
        <v>30108</v>
      </c>
      <c r="C2211" t="str">
        <f>IFERROR(__xludf.DUMMYFUNCTION("""COMPUTED_VALUE"""),"TRUJILLO BUITRAGO, MARTIN")</f>
        <v>TRUJILLO BUITRAGO, MARTIN</v>
      </c>
      <c r="D2211" t="str">
        <f>IFERROR(__xludf.DUMMYFUNCTION("""COMPUTED_VALUE"""),"PE 6")</f>
        <v>PE 6</v>
      </c>
      <c r="E2211" s="31" t="str">
        <f>IFERROR(__xludf.DUMMYFUNCTION("""COMPUTED_VALUE"""),"6a")</f>
        <v>6a</v>
      </c>
      <c r="F2211" s="8">
        <v>1.0</v>
      </c>
      <c r="G2211" s="8">
        <v>1.0</v>
      </c>
      <c r="H2211" s="8">
        <v>1.0</v>
      </c>
      <c r="I2211" s="8">
        <v>1.0</v>
      </c>
      <c r="J2211" s="8">
        <v>1.0</v>
      </c>
      <c r="K2211" s="8">
        <v>1.0</v>
      </c>
      <c r="L2211" s="8">
        <v>6.0</v>
      </c>
      <c r="M2211" s="8"/>
      <c r="N2211" s="8"/>
      <c r="O2211" s="8" t="s">
        <v>794</v>
      </c>
      <c r="P2211" s="8">
        <v>6.0</v>
      </c>
    </row>
    <row r="2212">
      <c r="A2212">
        <f>IFERROR(__xludf.DUMMYFUNCTION("""COMPUTED_VALUE"""),6.0)</f>
        <v>6</v>
      </c>
      <c r="B2212">
        <f>IFERROR(__xludf.DUMMYFUNCTION("""COMPUTED_VALUE"""),31122.0)</f>
        <v>31122</v>
      </c>
      <c r="C2212" t="str">
        <f>IFERROR(__xludf.DUMMYFUNCTION("""COMPUTED_VALUE"""),"URDANETA MEJIA, GABRIELA")</f>
        <v>URDANETA MEJIA, GABRIELA</v>
      </c>
      <c r="D2212" t="str">
        <f>IFERROR(__xludf.DUMMYFUNCTION("""COMPUTED_VALUE"""),"PE 6")</f>
        <v>PE 6</v>
      </c>
      <c r="E2212" s="31" t="str">
        <f>IFERROR(__xludf.DUMMYFUNCTION("""COMPUTED_VALUE"""),"2b")</f>
        <v>2b</v>
      </c>
      <c r="F2212" s="8">
        <v>1.0</v>
      </c>
      <c r="G2212" s="8">
        <v>1.0</v>
      </c>
      <c r="H2212" s="8">
        <v>1.0</v>
      </c>
      <c r="I2212" s="8">
        <v>1.0</v>
      </c>
      <c r="J2212" s="8">
        <v>1.0</v>
      </c>
      <c r="K2212" s="8">
        <v>1.0</v>
      </c>
      <c r="L2212" s="8">
        <v>6.0</v>
      </c>
      <c r="M2212" s="8"/>
      <c r="N2212" s="8"/>
      <c r="O2212" s="8" t="s">
        <v>795</v>
      </c>
      <c r="P2212" s="8">
        <v>6.0</v>
      </c>
    </row>
    <row r="2213">
      <c r="A2213">
        <f>IFERROR(__xludf.DUMMYFUNCTION("""COMPUTED_VALUE"""),6.0)</f>
        <v>6</v>
      </c>
      <c r="B2213">
        <f>IFERROR(__xludf.DUMMYFUNCTION("""COMPUTED_VALUE"""),31123.0)</f>
        <v>31123</v>
      </c>
      <c r="C2213" t="str">
        <f>IFERROR(__xludf.DUMMYFUNCTION("""COMPUTED_VALUE"""),"URIBE BOTERO, MANUEL")</f>
        <v>URIBE BOTERO, MANUEL</v>
      </c>
      <c r="D2213" t="str">
        <f>IFERROR(__xludf.DUMMYFUNCTION("""COMPUTED_VALUE"""),"PE 6")</f>
        <v>PE 6</v>
      </c>
      <c r="E2213" s="31" t="str">
        <f>IFERROR(__xludf.DUMMYFUNCTION("""COMPUTED_VALUE"""),"1a")</f>
        <v>1a</v>
      </c>
      <c r="F2213" s="8">
        <v>1.0</v>
      </c>
      <c r="G2213" s="8">
        <v>1.0</v>
      </c>
      <c r="H2213" s="8">
        <v>1.0</v>
      </c>
      <c r="I2213" s="8">
        <v>1.0</v>
      </c>
      <c r="J2213" s="8">
        <v>1.0</v>
      </c>
      <c r="K2213" s="8">
        <v>1.0</v>
      </c>
      <c r="L2213" s="8">
        <v>6.0</v>
      </c>
      <c r="M2213" s="8"/>
      <c r="N2213" s="8"/>
      <c r="O2213" s="8" t="s">
        <v>793</v>
      </c>
      <c r="P2213" s="8">
        <v>6.0</v>
      </c>
    </row>
    <row r="2214">
      <c r="A2214">
        <f>IFERROR(__xludf.DUMMYFUNCTION("""COMPUTED_VALUE"""),6.0)</f>
        <v>6</v>
      </c>
      <c r="B2214">
        <f>IFERROR(__xludf.DUMMYFUNCTION("""COMPUTED_VALUE"""),31124.0)</f>
        <v>31124</v>
      </c>
      <c r="C2214" t="str">
        <f>IFERROR(__xludf.DUMMYFUNCTION("""COMPUTED_VALUE"""),"URIBE MEJIA, MARTINA")</f>
        <v>URIBE MEJIA, MARTINA</v>
      </c>
      <c r="D2214" t="str">
        <f>IFERROR(__xludf.DUMMYFUNCTION("""COMPUTED_VALUE"""),"PE 6")</f>
        <v>PE 6</v>
      </c>
      <c r="E2214" s="31" t="str">
        <f>IFERROR(__xludf.DUMMYFUNCTION("""COMPUTED_VALUE"""),"5b")</f>
        <v>5b</v>
      </c>
      <c r="F2214" s="8">
        <v>1.0</v>
      </c>
      <c r="G2214" s="8">
        <v>1.0</v>
      </c>
      <c r="H2214" s="8">
        <v>1.0</v>
      </c>
      <c r="I2214" s="8">
        <v>1.0</v>
      </c>
      <c r="J2214" s="8">
        <v>1.0</v>
      </c>
      <c r="K2214" s="8">
        <v>1.0</v>
      </c>
      <c r="L2214" s="8">
        <v>6.0</v>
      </c>
      <c r="M2214" s="8"/>
      <c r="N2214" s="8"/>
      <c r="O2214" s="8" t="s">
        <v>791</v>
      </c>
      <c r="P2214" s="8">
        <v>6.0</v>
      </c>
    </row>
    <row r="2215">
      <c r="A2215">
        <f>IFERROR(__xludf.DUMMYFUNCTION("""COMPUTED_VALUE"""),6.0)</f>
        <v>6</v>
      </c>
      <c r="B2215">
        <f>IFERROR(__xludf.DUMMYFUNCTION("""COMPUTED_VALUE"""),31125.0)</f>
        <v>31125</v>
      </c>
      <c r="C2215" t="str">
        <f>IFERROR(__xludf.DUMMYFUNCTION("""COMPUTED_VALUE"""),"URIBE RODRIGUEZ, ANDRES")</f>
        <v>URIBE RODRIGUEZ, ANDRES</v>
      </c>
      <c r="D2215" t="str">
        <f>IFERROR(__xludf.DUMMYFUNCTION("""COMPUTED_VALUE"""),"PE 6")</f>
        <v>PE 6</v>
      </c>
      <c r="E2215" s="31" t="str">
        <f>IFERROR(__xludf.DUMMYFUNCTION("""COMPUTED_VALUE"""),"6b")</f>
        <v>6b</v>
      </c>
      <c r="F2215" s="8">
        <v>1.0</v>
      </c>
      <c r="G2215" s="8">
        <v>1.0</v>
      </c>
      <c r="H2215" s="8">
        <v>1.0</v>
      </c>
      <c r="I2215" s="8">
        <v>1.0</v>
      </c>
      <c r="J2215" s="8">
        <v>1.0</v>
      </c>
      <c r="K2215" s="8">
        <v>1.0</v>
      </c>
      <c r="L2215" s="8">
        <v>6.0</v>
      </c>
      <c r="M2215" s="8"/>
      <c r="N2215" s="8"/>
      <c r="O2215" s="8" t="s">
        <v>792</v>
      </c>
      <c r="P2215" s="8">
        <v>6.0</v>
      </c>
    </row>
    <row r="2216">
      <c r="A2216">
        <f>IFERROR(__xludf.DUMMYFUNCTION("""COMPUTED_VALUE"""),6.0)</f>
        <v>6</v>
      </c>
      <c r="B2216">
        <f>IFERROR(__xludf.DUMMYFUNCTION("""COMPUTED_VALUE"""),31126.0)</f>
        <v>31126</v>
      </c>
      <c r="C2216" t="str">
        <f>IFERROR(__xludf.DUMMYFUNCTION("""COMPUTED_VALUE"""),"URIBE RUIZ, MANUEL")</f>
        <v>URIBE RUIZ, MANUEL</v>
      </c>
      <c r="D2216" t="str">
        <f>IFERROR(__xludf.DUMMYFUNCTION("""COMPUTED_VALUE"""),"PE 6")</f>
        <v>PE 6</v>
      </c>
      <c r="E2216" s="31" t="str">
        <f>IFERROR(__xludf.DUMMYFUNCTION("""COMPUTED_VALUE"""),"1a")</f>
        <v>1a</v>
      </c>
      <c r="F2216" s="8">
        <v>1.0</v>
      </c>
      <c r="G2216" s="8">
        <v>1.0</v>
      </c>
      <c r="H2216" s="8">
        <v>1.0</v>
      </c>
      <c r="I2216" s="8">
        <v>1.0</v>
      </c>
      <c r="J2216" s="8">
        <v>1.0</v>
      </c>
      <c r="K2216" s="8">
        <v>1.0</v>
      </c>
      <c r="L2216" s="8">
        <v>6.0</v>
      </c>
      <c r="M2216" s="8"/>
      <c r="N2216" s="8"/>
      <c r="O2216" s="8" t="s">
        <v>793</v>
      </c>
      <c r="P2216" s="8">
        <v>6.0</v>
      </c>
    </row>
    <row r="2217">
      <c r="A2217">
        <f>IFERROR(__xludf.DUMMYFUNCTION("""COMPUTED_VALUE"""),6.0)</f>
        <v>6</v>
      </c>
      <c r="B2217">
        <f>IFERROR(__xludf.DUMMYFUNCTION("""COMPUTED_VALUE"""),31127.0)</f>
        <v>31127</v>
      </c>
      <c r="C2217" t="str">
        <f>IFERROR(__xludf.DUMMYFUNCTION("""COMPUTED_VALUE"""),"URIBE VELASQUEZ, JERONIMO")</f>
        <v>URIBE VELASQUEZ, JERONIMO</v>
      </c>
      <c r="D2217" t="str">
        <f>IFERROR(__xludf.DUMMYFUNCTION("""COMPUTED_VALUE"""),"PE 6")</f>
        <v>PE 6</v>
      </c>
      <c r="E2217" s="31" t="str">
        <f>IFERROR(__xludf.DUMMYFUNCTION("""COMPUTED_VALUE"""),"4b")</f>
        <v>4b</v>
      </c>
      <c r="F2217" s="8">
        <v>1.0</v>
      </c>
      <c r="G2217" s="8">
        <v>1.0</v>
      </c>
      <c r="H2217" s="8">
        <v>1.0</v>
      </c>
      <c r="I2217" s="8">
        <v>1.0</v>
      </c>
      <c r="J2217" s="8">
        <v>1.0</v>
      </c>
      <c r="K2217" s="8">
        <v>1.0</v>
      </c>
      <c r="L2217" s="8">
        <v>6.0</v>
      </c>
      <c r="M2217" s="8"/>
      <c r="N2217" s="8"/>
      <c r="O2217" s="8" t="s">
        <v>790</v>
      </c>
      <c r="P2217" s="8">
        <v>6.0</v>
      </c>
    </row>
    <row r="2218">
      <c r="A2218">
        <f>IFERROR(__xludf.DUMMYFUNCTION("""COMPUTED_VALUE"""),6.0)</f>
        <v>6</v>
      </c>
      <c r="B2218">
        <f>IFERROR(__xludf.DUMMYFUNCTION("""COMPUTED_VALUE"""),31128.0)</f>
        <v>31128</v>
      </c>
      <c r="C2218" t="str">
        <f>IFERROR(__xludf.DUMMYFUNCTION("""COMPUTED_VALUE"""),"URRETA HENAO, PEDRO")</f>
        <v>URRETA HENAO, PEDRO</v>
      </c>
      <c r="D2218" t="str">
        <f>IFERROR(__xludf.DUMMYFUNCTION("""COMPUTED_VALUE"""),"PE 6")</f>
        <v>PE 6</v>
      </c>
      <c r="E2218" s="31" t="str">
        <f>IFERROR(__xludf.DUMMYFUNCTION("""COMPUTED_VALUE"""),"6b")</f>
        <v>6b</v>
      </c>
      <c r="F2218" s="8">
        <v>1.0</v>
      </c>
      <c r="G2218" s="8">
        <v>1.0</v>
      </c>
      <c r="H2218" s="8">
        <v>1.0</v>
      </c>
      <c r="I2218" s="8">
        <v>1.0</v>
      </c>
      <c r="J2218" s="8">
        <v>1.0</v>
      </c>
      <c r="K2218" s="8">
        <v>1.0</v>
      </c>
      <c r="L2218" s="8">
        <v>6.0</v>
      </c>
      <c r="M2218" s="8"/>
      <c r="N2218" s="8"/>
      <c r="O2218" s="8" t="s">
        <v>792</v>
      </c>
      <c r="P2218" s="8">
        <v>6.0</v>
      </c>
    </row>
    <row r="2219">
      <c r="A2219">
        <f>IFERROR(__xludf.DUMMYFUNCTION("""COMPUTED_VALUE"""),6.0)</f>
        <v>6</v>
      </c>
      <c r="B2219">
        <f>IFERROR(__xludf.DUMMYFUNCTION("""COMPUTED_VALUE"""),31165.0)</f>
        <v>31165</v>
      </c>
      <c r="C2219" t="str">
        <f>IFERROR(__xludf.DUMMYFUNCTION("""COMPUTED_VALUE"""),"VALDEZ URIBE, SAMANTHA")</f>
        <v>VALDEZ URIBE, SAMANTHA</v>
      </c>
      <c r="D2219" t="str">
        <f>IFERROR(__xludf.DUMMYFUNCTION("""COMPUTED_VALUE"""),"PE 6")</f>
        <v>PE 6</v>
      </c>
      <c r="E2219" s="31" t="str">
        <f>IFERROR(__xludf.DUMMYFUNCTION("""COMPUTED_VALUE"""),"6a")</f>
        <v>6a</v>
      </c>
      <c r="F2219" s="8">
        <v>1.0</v>
      </c>
      <c r="G2219" s="8">
        <v>1.0</v>
      </c>
      <c r="H2219" s="8">
        <v>1.0</v>
      </c>
      <c r="I2219" s="8">
        <v>1.0</v>
      </c>
      <c r="J2219" s="8">
        <v>1.0</v>
      </c>
      <c r="K2219" s="8">
        <v>1.0</v>
      </c>
      <c r="L2219" s="8">
        <v>6.0</v>
      </c>
      <c r="M2219" s="8"/>
      <c r="N2219" s="8"/>
      <c r="O2219" s="8" t="s">
        <v>794</v>
      </c>
      <c r="P2219" s="8">
        <v>6.0</v>
      </c>
    </row>
    <row r="2220">
      <c r="A2220">
        <f>IFERROR(__xludf.DUMMYFUNCTION("""COMPUTED_VALUE"""),6.0)</f>
        <v>6</v>
      </c>
      <c r="B2220">
        <f>IFERROR(__xludf.DUMMYFUNCTION("""COMPUTED_VALUE"""),31129.0)</f>
        <v>31129</v>
      </c>
      <c r="C2220" t="str">
        <f>IFERROR(__xludf.DUMMYFUNCTION("""COMPUTED_VALUE"""),"VALENCIA VILLEGAS, ELENA")</f>
        <v>VALENCIA VILLEGAS, ELENA</v>
      </c>
      <c r="D2220" t="str">
        <f>IFERROR(__xludf.DUMMYFUNCTION("""COMPUTED_VALUE"""),"PE 6")</f>
        <v>PE 6</v>
      </c>
      <c r="E2220" s="31" t="str">
        <f>IFERROR(__xludf.DUMMYFUNCTION("""COMPUTED_VALUE"""),"4b")</f>
        <v>4b</v>
      </c>
      <c r="F2220" s="8">
        <v>1.0</v>
      </c>
      <c r="G2220" s="8">
        <v>1.0</v>
      </c>
      <c r="H2220" s="8">
        <v>1.0</v>
      </c>
      <c r="I2220" s="8">
        <v>1.0</v>
      </c>
      <c r="J2220" s="8">
        <v>1.0</v>
      </c>
      <c r="K2220" s="8">
        <v>1.0</v>
      </c>
      <c r="L2220" s="8">
        <v>6.0</v>
      </c>
      <c r="M2220" s="8"/>
      <c r="N2220" s="8"/>
      <c r="O2220" s="8" t="s">
        <v>790</v>
      </c>
      <c r="P2220" s="8">
        <v>6.0</v>
      </c>
    </row>
    <row r="2221">
      <c r="A2221">
        <f>IFERROR(__xludf.DUMMYFUNCTION("""COMPUTED_VALUE"""),6.0)</f>
        <v>6</v>
      </c>
      <c r="B2221">
        <f>IFERROR(__xludf.DUMMYFUNCTION("""COMPUTED_VALUE"""),31130.0)</f>
        <v>31130</v>
      </c>
      <c r="C2221" t="str">
        <f>IFERROR(__xludf.DUMMYFUNCTION("""COMPUTED_VALUE"""),"VARGAS ACEVEDO, DANTE")</f>
        <v>VARGAS ACEVEDO, DANTE</v>
      </c>
      <c r="D2221" t="str">
        <f>IFERROR(__xludf.DUMMYFUNCTION("""COMPUTED_VALUE"""),"PE 6")</f>
        <v>PE 6</v>
      </c>
      <c r="E2221" s="31" t="str">
        <f>IFERROR(__xludf.DUMMYFUNCTION("""COMPUTED_VALUE"""),"6a")</f>
        <v>6a</v>
      </c>
      <c r="F2221" s="8">
        <v>1.0</v>
      </c>
      <c r="G2221" s="8">
        <v>1.0</v>
      </c>
      <c r="H2221" s="8">
        <v>1.0</v>
      </c>
      <c r="I2221" s="8">
        <v>1.0</v>
      </c>
      <c r="J2221" s="8">
        <v>1.0</v>
      </c>
      <c r="K2221" s="8">
        <v>1.0</v>
      </c>
      <c r="L2221" s="8">
        <v>6.0</v>
      </c>
      <c r="M2221" s="8"/>
      <c r="N2221" s="8"/>
      <c r="O2221" s="8" t="s">
        <v>794</v>
      </c>
      <c r="P2221" s="8">
        <v>6.0</v>
      </c>
    </row>
    <row r="2222">
      <c r="A2222">
        <f>IFERROR(__xludf.DUMMYFUNCTION("""COMPUTED_VALUE"""),6.0)</f>
        <v>6</v>
      </c>
      <c r="B2222">
        <f>IFERROR(__xludf.DUMMYFUNCTION("""COMPUTED_VALUE"""),31132.0)</f>
        <v>31132</v>
      </c>
      <c r="C2222" t="str">
        <f>IFERROR(__xludf.DUMMYFUNCTION("""COMPUTED_VALUE"""),"VASQUEZ HENAO, MATIAS")</f>
        <v>VASQUEZ HENAO, MATIAS</v>
      </c>
      <c r="D2222" t="str">
        <f>IFERROR(__xludf.DUMMYFUNCTION("""COMPUTED_VALUE"""),"PE 6")</f>
        <v>PE 6</v>
      </c>
      <c r="E2222" s="31" t="str">
        <f>IFERROR(__xludf.DUMMYFUNCTION("""COMPUTED_VALUE"""),"2b")</f>
        <v>2b</v>
      </c>
      <c r="F2222" s="8">
        <v>1.0</v>
      </c>
      <c r="G2222" s="8">
        <v>1.0</v>
      </c>
      <c r="H2222" s="8">
        <v>1.0</v>
      </c>
      <c r="I2222" s="8">
        <v>1.0</v>
      </c>
      <c r="J2222" s="8">
        <v>1.0</v>
      </c>
      <c r="K2222" s="8">
        <v>1.0</v>
      </c>
      <c r="L2222" s="8">
        <v>6.0</v>
      </c>
      <c r="M2222" s="8"/>
      <c r="N2222" s="8"/>
      <c r="O2222" s="8" t="s">
        <v>795</v>
      </c>
      <c r="P2222" s="8">
        <v>6.0</v>
      </c>
    </row>
    <row r="2223">
      <c r="A2223">
        <f>IFERROR(__xludf.DUMMYFUNCTION("""COMPUTED_VALUE"""),6.0)</f>
        <v>6</v>
      </c>
      <c r="B2223">
        <f>IFERROR(__xludf.DUMMYFUNCTION("""COMPUTED_VALUE"""),30118.0)</f>
        <v>30118</v>
      </c>
      <c r="C2223" t="str">
        <f>IFERROR(__xludf.DUMMYFUNCTION("""COMPUTED_VALUE"""),"VASQUEZ MEDINA, MATIAS")</f>
        <v>VASQUEZ MEDINA, MATIAS</v>
      </c>
      <c r="D2223" t="str">
        <f>IFERROR(__xludf.DUMMYFUNCTION("""COMPUTED_VALUE"""),"PE 6")</f>
        <v>PE 6</v>
      </c>
      <c r="E2223" s="31" t="str">
        <f>IFERROR(__xludf.DUMMYFUNCTION("""COMPUTED_VALUE"""),"1a")</f>
        <v>1a</v>
      </c>
      <c r="F2223" s="8">
        <v>1.0</v>
      </c>
      <c r="G2223" s="8">
        <v>1.0</v>
      </c>
      <c r="H2223" s="8">
        <v>1.0</v>
      </c>
      <c r="I2223" s="8">
        <v>1.0</v>
      </c>
      <c r="J2223" s="8">
        <v>1.0</v>
      </c>
      <c r="K2223" s="8">
        <v>1.0</v>
      </c>
      <c r="L2223" s="8">
        <v>6.0</v>
      </c>
      <c r="M2223" s="8"/>
      <c r="N2223" s="8"/>
      <c r="O2223" s="8" t="s">
        <v>793</v>
      </c>
      <c r="P2223" s="8">
        <v>6.0</v>
      </c>
    </row>
    <row r="2224">
      <c r="A2224">
        <f>IFERROR(__xludf.DUMMYFUNCTION("""COMPUTED_VALUE"""),6.0)</f>
        <v>6</v>
      </c>
      <c r="B2224">
        <f>IFERROR(__xludf.DUMMYFUNCTION("""COMPUTED_VALUE"""),31134.0)</f>
        <v>31134</v>
      </c>
      <c r="C2224" t="str">
        <f>IFERROR(__xludf.DUMMYFUNCTION("""COMPUTED_VALUE"""),"VELEZ ARANGO, LAURA")</f>
        <v>VELEZ ARANGO, LAURA</v>
      </c>
      <c r="D2224" t="str">
        <f>IFERROR(__xludf.DUMMYFUNCTION("""COMPUTED_VALUE"""),"PE 6")</f>
        <v>PE 6</v>
      </c>
      <c r="E2224" s="31" t="str">
        <f>IFERROR(__xludf.DUMMYFUNCTION("""COMPUTED_VALUE"""),"1a")</f>
        <v>1a</v>
      </c>
      <c r="F2224" s="8">
        <v>1.0</v>
      </c>
      <c r="G2224" s="8">
        <v>1.0</v>
      </c>
      <c r="H2224" s="8">
        <v>1.0</v>
      </c>
      <c r="I2224" s="8">
        <v>1.0</v>
      </c>
      <c r="J2224" s="8">
        <v>1.0</v>
      </c>
      <c r="K2224" s="8">
        <v>1.0</v>
      </c>
      <c r="L2224" s="8">
        <v>6.0</v>
      </c>
      <c r="M2224" s="8"/>
      <c r="N2224" s="8"/>
      <c r="O2224" s="8" t="s">
        <v>793</v>
      </c>
      <c r="P2224" s="8">
        <v>6.0</v>
      </c>
    </row>
    <row r="2225">
      <c r="A2225">
        <f>IFERROR(__xludf.DUMMYFUNCTION("""COMPUTED_VALUE"""),6.0)</f>
        <v>6</v>
      </c>
      <c r="B2225">
        <f>IFERROR(__xludf.DUMMYFUNCTION("""COMPUTED_VALUE"""),31135.0)</f>
        <v>31135</v>
      </c>
      <c r="C2225" t="str">
        <f>IFERROR(__xludf.DUMMYFUNCTION("""COMPUTED_VALUE"""),"VELEZ ARANGO, PEDRO")</f>
        <v>VELEZ ARANGO, PEDRO</v>
      </c>
      <c r="D2225" t="str">
        <f>IFERROR(__xludf.DUMMYFUNCTION("""COMPUTED_VALUE"""),"PE 6")</f>
        <v>PE 6</v>
      </c>
      <c r="E2225" s="31" t="str">
        <f>IFERROR(__xludf.DUMMYFUNCTION("""COMPUTED_VALUE"""),"2b")</f>
        <v>2b</v>
      </c>
      <c r="F2225" s="8">
        <v>1.0</v>
      </c>
      <c r="G2225" s="8">
        <v>1.0</v>
      </c>
      <c r="H2225" s="8">
        <v>1.0</v>
      </c>
      <c r="I2225" s="8">
        <v>1.0</v>
      </c>
      <c r="J2225" s="8">
        <v>1.0</v>
      </c>
      <c r="K2225" s="8">
        <v>1.0</v>
      </c>
      <c r="L2225" s="8">
        <v>6.0</v>
      </c>
      <c r="M2225" s="8"/>
      <c r="N2225" s="8"/>
      <c r="O2225" s="8" t="s">
        <v>795</v>
      </c>
      <c r="P2225" s="8">
        <v>6.0</v>
      </c>
    </row>
    <row r="2226">
      <c r="A2226">
        <f>IFERROR(__xludf.DUMMYFUNCTION("""COMPUTED_VALUE"""),6.0)</f>
        <v>6</v>
      </c>
      <c r="B2226">
        <f>IFERROR(__xludf.DUMMYFUNCTION("""COMPUTED_VALUE"""),31174.0)</f>
        <v>31174</v>
      </c>
      <c r="C2226" t="str">
        <f>IFERROR(__xludf.DUMMYFUNCTION("""COMPUTED_VALUE"""),"WILSON, HERBERT GEORGE")</f>
        <v>WILSON, HERBERT GEORGE</v>
      </c>
      <c r="D2226" t="str">
        <f>IFERROR(__xludf.DUMMYFUNCTION("""COMPUTED_VALUE"""),"PE 6")</f>
        <v>PE 6</v>
      </c>
      <c r="E2226" s="31" t="str">
        <f>IFERROR(__xludf.DUMMYFUNCTION("""COMPUTED_VALUE"""),"6a")</f>
        <v>6a</v>
      </c>
      <c r="F2226" s="8">
        <v>1.0</v>
      </c>
      <c r="G2226" s="8">
        <v>1.0</v>
      </c>
      <c r="H2226" s="8">
        <v>1.0</v>
      </c>
      <c r="I2226" s="8">
        <v>1.0</v>
      </c>
      <c r="J2226" s="8">
        <v>1.0</v>
      </c>
      <c r="K2226" s="8">
        <v>1.0</v>
      </c>
      <c r="L2226" s="8">
        <v>6.0</v>
      </c>
      <c r="M2226" s="8"/>
      <c r="N2226" s="8"/>
      <c r="O2226" s="8" t="s">
        <v>794</v>
      </c>
      <c r="P2226" s="8">
        <v>6.0</v>
      </c>
    </row>
    <row r="2227">
      <c r="A2227">
        <f>IFERROR(__xludf.DUMMYFUNCTION("""COMPUTED_VALUE"""),6.0)</f>
        <v>6</v>
      </c>
      <c r="B2227">
        <f>IFERROR(__xludf.DUMMYFUNCTION("""COMPUTED_VALUE"""),31136.0)</f>
        <v>31136</v>
      </c>
      <c r="C2227" t="str">
        <f>IFERROR(__xludf.DUMMYFUNCTION("""COMPUTED_VALUE"""),"YANOVICH URIBE, MARCOS")</f>
        <v>YANOVICH URIBE, MARCOS</v>
      </c>
      <c r="D2227" t="str">
        <f>IFERROR(__xludf.DUMMYFUNCTION("""COMPUTED_VALUE"""),"PE 6")</f>
        <v>PE 6</v>
      </c>
      <c r="E2227" s="31" t="str">
        <f>IFERROR(__xludf.DUMMYFUNCTION("""COMPUTED_VALUE"""),"4b")</f>
        <v>4b</v>
      </c>
      <c r="F2227" s="8">
        <v>1.0</v>
      </c>
      <c r="G2227" s="8">
        <v>1.0</v>
      </c>
      <c r="H2227" s="8">
        <v>1.0</v>
      </c>
      <c r="I2227" s="8">
        <v>1.0</v>
      </c>
      <c r="J2227" s="8">
        <v>1.0</v>
      </c>
      <c r="K2227" s="8">
        <v>1.0</v>
      </c>
      <c r="L2227" s="8">
        <v>6.0</v>
      </c>
      <c r="M2227" s="8"/>
      <c r="N2227" s="8"/>
      <c r="O2227" s="8" t="s">
        <v>790</v>
      </c>
      <c r="P2227" s="8">
        <v>6.0</v>
      </c>
    </row>
    <row r="2228">
      <c r="A2228">
        <f>IFERROR(__xludf.DUMMYFUNCTION("""COMPUTED_VALUE"""),6.0)</f>
        <v>6</v>
      </c>
      <c r="B2228">
        <f>IFERROR(__xludf.DUMMYFUNCTION("""COMPUTED_VALUE"""),30157.0)</f>
        <v>30157</v>
      </c>
      <c r="C2228" t="str">
        <f>IFERROR(__xludf.DUMMYFUNCTION("""COMPUTED_VALUE"""),"ZARRUK BELTRAN, ALEJANDRO")</f>
        <v>ZARRUK BELTRAN, ALEJANDRO</v>
      </c>
      <c r="D2228" t="str">
        <f>IFERROR(__xludf.DUMMYFUNCTION("""COMPUTED_VALUE"""),"PE 6")</f>
        <v>PE 6</v>
      </c>
      <c r="E2228" s="31" t="str">
        <f>IFERROR(__xludf.DUMMYFUNCTION("""COMPUTED_VALUE"""),"6b")</f>
        <v>6b</v>
      </c>
      <c r="F2228" s="8">
        <v>1.0</v>
      </c>
      <c r="G2228" s="8">
        <v>1.0</v>
      </c>
      <c r="H2228" s="8">
        <v>1.0</v>
      </c>
      <c r="I2228" s="8">
        <v>1.0</v>
      </c>
      <c r="J2228" s="8">
        <v>1.0</v>
      </c>
      <c r="K2228" s="8">
        <v>1.0</v>
      </c>
      <c r="L2228" s="8">
        <v>6.0</v>
      </c>
      <c r="M2228" s="8"/>
      <c r="N2228" s="8"/>
      <c r="O2228" s="8" t="s">
        <v>792</v>
      </c>
      <c r="P2228" s="8">
        <v>6.0</v>
      </c>
    </row>
    <row r="2229">
      <c r="A2229">
        <f>IFERROR(__xludf.DUMMYFUNCTION("""COMPUTED_VALUE"""),6.0)</f>
        <v>6</v>
      </c>
      <c r="B2229">
        <f>IFERROR(__xludf.DUMMYFUNCTION("""COMPUTED_VALUE"""),31138.0)</f>
        <v>31138</v>
      </c>
      <c r="C2229" t="str">
        <f>IFERROR(__xludf.DUMMYFUNCTION("""COMPUTED_VALUE"""),"ZULOAGA MUÑOZ, PEDRO")</f>
        <v>ZULOAGA MUÑOZ, PEDRO</v>
      </c>
      <c r="D2229" t="str">
        <f>IFERROR(__xludf.DUMMYFUNCTION("""COMPUTED_VALUE"""),"PE 6")</f>
        <v>PE 6</v>
      </c>
      <c r="E2229" s="31" t="str">
        <f>IFERROR(__xludf.DUMMYFUNCTION("""COMPUTED_VALUE"""),"6a")</f>
        <v>6a</v>
      </c>
      <c r="F2229" s="8">
        <v>1.0</v>
      </c>
      <c r="G2229" s="8">
        <v>1.0</v>
      </c>
      <c r="H2229" s="8">
        <v>1.0</v>
      </c>
      <c r="I2229" s="8">
        <v>1.0</v>
      </c>
      <c r="J2229" s="8">
        <v>1.0</v>
      </c>
      <c r="K2229" s="8">
        <v>1.0</v>
      </c>
      <c r="L2229" s="8">
        <v>6.0</v>
      </c>
      <c r="M2229" s="8"/>
      <c r="N2229" s="8"/>
      <c r="O2229" s="8" t="s">
        <v>794</v>
      </c>
      <c r="P2229" s="8">
        <v>6.0</v>
      </c>
    </row>
    <row r="2230">
      <c r="A2230">
        <f>IFERROR(__xludf.DUMMYFUNCTION("""COMPUTED_VALUE"""),6.0)</f>
        <v>6</v>
      </c>
      <c r="B2230">
        <f>IFERROR(__xludf.DUMMYFUNCTION("""COMPUTED_VALUE"""),31137.0)</f>
        <v>31137</v>
      </c>
      <c r="C2230" t="str">
        <f>IFERROR(__xludf.DUMMYFUNCTION("""COMPUTED_VALUE"""),"ZULUAGA HOYOS, ALEJANDRO")</f>
        <v>ZULUAGA HOYOS, ALEJANDRO</v>
      </c>
      <c r="D2230" t="str">
        <f>IFERROR(__xludf.DUMMYFUNCTION("""COMPUTED_VALUE"""),"PE 6")</f>
        <v>PE 6</v>
      </c>
      <c r="E2230" s="31" t="str">
        <f>IFERROR(__xludf.DUMMYFUNCTION("""COMPUTED_VALUE"""),"6b")</f>
        <v>6b</v>
      </c>
      <c r="F2230" s="8">
        <v>1.0</v>
      </c>
      <c r="G2230" s="8">
        <v>1.0</v>
      </c>
      <c r="H2230" s="8">
        <v>1.0</v>
      </c>
      <c r="I2230" s="8">
        <v>1.0</v>
      </c>
      <c r="J2230" s="8">
        <v>1.0</v>
      </c>
      <c r="K2230" s="8">
        <v>1.0</v>
      </c>
      <c r="L2230" s="8">
        <v>6.0</v>
      </c>
      <c r="M2230" s="8"/>
      <c r="N2230" s="8"/>
      <c r="O2230" s="8" t="s">
        <v>792</v>
      </c>
      <c r="P2230" s="8">
        <v>6.0</v>
      </c>
    </row>
    <row r="2231">
      <c r="A2231">
        <f>IFERROR(__xludf.DUMMYFUNCTION("""COMPUTED_VALUE"""),7.0)</f>
        <v>7</v>
      </c>
      <c r="B2231">
        <f>IFERROR(__xludf.DUMMYFUNCTION("""COMPUTED_VALUE"""),30001.0)</f>
        <v>30001</v>
      </c>
      <c r="C2231" t="str">
        <f>IFERROR(__xludf.DUMMYFUNCTION("""COMPUTED_VALUE"""),"ALVAREZ GOMEZ, FEDERICO")</f>
        <v>ALVAREZ GOMEZ, FEDERICO</v>
      </c>
      <c r="D2231" t="str">
        <f>IFERROR(__xludf.DUMMYFUNCTION("""COMPUTED_VALUE"""),"PE 7")</f>
        <v>PE 7</v>
      </c>
      <c r="E2231" s="31" t="str">
        <f>IFERROR(__xludf.DUMMYFUNCTION("""COMPUTED_VALUE"""),"4a")</f>
        <v>4a</v>
      </c>
      <c r="F2231" s="8">
        <v>1.0</v>
      </c>
      <c r="G2231" s="8">
        <v>1.0</v>
      </c>
      <c r="H2231" s="8">
        <v>1.0</v>
      </c>
      <c r="I2231" s="8">
        <v>1.0</v>
      </c>
      <c r="J2231" s="8">
        <v>1.0</v>
      </c>
      <c r="K2231" s="8">
        <v>1.0</v>
      </c>
      <c r="L2231" s="8">
        <v>6.0</v>
      </c>
      <c r="M2231" s="8"/>
      <c r="N2231" s="8"/>
      <c r="O2231" s="8" t="s">
        <v>796</v>
      </c>
      <c r="P2231" s="8">
        <v>6.0</v>
      </c>
    </row>
    <row r="2232">
      <c r="A2232">
        <f>IFERROR(__xludf.DUMMYFUNCTION("""COMPUTED_VALUE"""),7.0)</f>
        <v>7</v>
      </c>
      <c r="B2232">
        <f>IFERROR(__xludf.DUMMYFUNCTION("""COMPUTED_VALUE"""),30002.0)</f>
        <v>30002</v>
      </c>
      <c r="C2232" t="str">
        <f>IFERROR(__xludf.DUMMYFUNCTION("""COMPUTED_VALUE"""),"ALVAREZ VERA, ALEJANDRA")</f>
        <v>ALVAREZ VERA, ALEJANDRA</v>
      </c>
      <c r="D2232" t="str">
        <f>IFERROR(__xludf.DUMMYFUNCTION("""COMPUTED_VALUE"""),"PE 7")</f>
        <v>PE 7</v>
      </c>
      <c r="E2232" s="31" t="str">
        <f>IFERROR(__xludf.DUMMYFUNCTION("""COMPUTED_VALUE"""),"2a")</f>
        <v>2a</v>
      </c>
      <c r="F2232" s="8">
        <v>1.0</v>
      </c>
      <c r="G2232" s="8">
        <v>1.0</v>
      </c>
      <c r="H2232" s="8">
        <v>1.0</v>
      </c>
      <c r="I2232" s="8">
        <v>1.0</v>
      </c>
      <c r="J2232" s="8">
        <v>1.0</v>
      </c>
      <c r="K2232" s="8">
        <v>1.0</v>
      </c>
      <c r="L2232" s="8">
        <v>6.0</v>
      </c>
      <c r="M2232" s="8"/>
      <c r="N2232" s="8"/>
      <c r="O2232" s="8" t="s">
        <v>797</v>
      </c>
      <c r="P2232" s="8">
        <v>6.0</v>
      </c>
    </row>
    <row r="2233">
      <c r="A2233">
        <f>IFERROR(__xludf.DUMMYFUNCTION("""COMPUTED_VALUE"""),7.0)</f>
        <v>7</v>
      </c>
      <c r="B2233">
        <f>IFERROR(__xludf.DUMMYFUNCTION("""COMPUTED_VALUE"""),30003.0)</f>
        <v>30003</v>
      </c>
      <c r="C2233" t="str">
        <f>IFERROR(__xludf.DUMMYFUNCTION("""COMPUTED_VALUE"""),"ALZATE ZAPATA, SIMON")</f>
        <v>ALZATE ZAPATA, SIMON</v>
      </c>
      <c r="D2233" t="str">
        <f>IFERROR(__xludf.DUMMYFUNCTION("""COMPUTED_VALUE"""),"PE 7A")</f>
        <v>PE 7A</v>
      </c>
      <c r="E2233" s="31" t="str">
        <f>IFERROR(__xludf.DUMMYFUNCTION("""COMPUTED_VALUE"""),"2a")</f>
        <v>2a</v>
      </c>
      <c r="F2233" s="8">
        <v>1.0</v>
      </c>
      <c r="G2233" s="8">
        <v>1.0</v>
      </c>
      <c r="H2233" s="8">
        <v>1.0</v>
      </c>
      <c r="I2233" s="8">
        <v>1.0</v>
      </c>
      <c r="J2233" s="8">
        <v>1.0</v>
      </c>
      <c r="K2233" s="8">
        <v>1.0</v>
      </c>
      <c r="L2233" s="8">
        <v>6.0</v>
      </c>
      <c r="M2233" s="8"/>
      <c r="N2233" s="8"/>
      <c r="O2233" s="8" t="s">
        <v>798</v>
      </c>
      <c r="P2233" s="8" t="e">
        <v>#N/A</v>
      </c>
    </row>
    <row r="2234">
      <c r="A2234">
        <f>IFERROR(__xludf.DUMMYFUNCTION("""COMPUTED_VALUE"""),7.0)</f>
        <v>7</v>
      </c>
      <c r="B2234">
        <f>IFERROR(__xludf.DUMMYFUNCTION("""COMPUTED_VALUE"""),30004.0)</f>
        <v>30004</v>
      </c>
      <c r="C2234" t="str">
        <f>IFERROR(__xludf.DUMMYFUNCTION("""COMPUTED_VALUE"""),"ANGEL MEDINA, LUCIA")</f>
        <v>ANGEL MEDINA, LUCIA</v>
      </c>
      <c r="D2234" t="str">
        <f>IFERROR(__xludf.DUMMYFUNCTION("""COMPUTED_VALUE"""),"PE 7")</f>
        <v>PE 7</v>
      </c>
      <c r="E2234" s="31" t="str">
        <f>IFERROR(__xludf.DUMMYFUNCTION("""COMPUTED_VALUE"""),"6b")</f>
        <v>6b</v>
      </c>
      <c r="F2234" s="8">
        <v>1.0</v>
      </c>
      <c r="G2234" s="8">
        <v>1.0</v>
      </c>
      <c r="H2234" s="8">
        <v>1.0</v>
      </c>
      <c r="I2234" s="8">
        <v>1.0</v>
      </c>
      <c r="J2234" s="8">
        <v>1.0</v>
      </c>
      <c r="K2234" s="8">
        <v>1.0</v>
      </c>
      <c r="L2234" s="8">
        <v>6.0</v>
      </c>
      <c r="M2234" s="8"/>
      <c r="N2234" s="8"/>
      <c r="O2234" s="8" t="s">
        <v>799</v>
      </c>
      <c r="P2234" s="8">
        <v>6.0</v>
      </c>
    </row>
    <row r="2235">
      <c r="A2235">
        <f>IFERROR(__xludf.DUMMYFUNCTION("""COMPUTED_VALUE"""),7.0)</f>
        <v>7</v>
      </c>
      <c r="B2235">
        <f>IFERROR(__xludf.DUMMYFUNCTION("""COMPUTED_VALUE"""),30005.0)</f>
        <v>30005</v>
      </c>
      <c r="C2235" t="str">
        <f>IFERROR(__xludf.DUMMYFUNCTION("""COMPUTED_VALUE"""),"APA ECHAVARRIA, LUCIANO")</f>
        <v>APA ECHAVARRIA, LUCIANO</v>
      </c>
      <c r="D2235" t="str">
        <f>IFERROR(__xludf.DUMMYFUNCTION("""COMPUTED_VALUE"""),"PE 7A")</f>
        <v>PE 7A</v>
      </c>
      <c r="E2235" s="31" t="str">
        <f>IFERROR(__xludf.DUMMYFUNCTION("""COMPUTED_VALUE"""),"1b")</f>
        <v>1b</v>
      </c>
      <c r="F2235" s="8">
        <v>1.0</v>
      </c>
      <c r="G2235" s="8">
        <v>1.0</v>
      </c>
      <c r="H2235" s="8">
        <v>1.0</v>
      </c>
      <c r="I2235" s="8">
        <v>1.0</v>
      </c>
      <c r="J2235" s="8">
        <v>1.0</v>
      </c>
      <c r="K2235" s="8">
        <v>1.0</v>
      </c>
      <c r="L2235" s="8">
        <v>6.0</v>
      </c>
      <c r="M2235" s="8"/>
      <c r="N2235" s="8"/>
      <c r="O2235" s="8" t="s">
        <v>800</v>
      </c>
      <c r="P2235" s="8" t="e">
        <v>#N/A</v>
      </c>
    </row>
    <row r="2236">
      <c r="A2236">
        <f>IFERROR(__xludf.DUMMYFUNCTION("""COMPUTED_VALUE"""),7.0)</f>
        <v>7</v>
      </c>
      <c r="B2236">
        <f>IFERROR(__xludf.DUMMYFUNCTION("""COMPUTED_VALUE"""),30006.0)</f>
        <v>30006</v>
      </c>
      <c r="C2236" t="str">
        <f>IFERROR(__xludf.DUMMYFUNCTION("""COMPUTED_VALUE"""),"ARANGO DUQUE, MIGUEL")</f>
        <v>ARANGO DUQUE, MIGUEL</v>
      </c>
      <c r="D2236" t="str">
        <f>IFERROR(__xludf.DUMMYFUNCTION("""COMPUTED_VALUE"""),"PE 7A")</f>
        <v>PE 7A</v>
      </c>
      <c r="E2236" s="31" t="str">
        <f>IFERROR(__xludf.DUMMYFUNCTION("""COMPUTED_VALUE"""),"2a")</f>
        <v>2a</v>
      </c>
      <c r="F2236" s="8">
        <v>1.0</v>
      </c>
      <c r="G2236" s="8">
        <v>1.0</v>
      </c>
      <c r="H2236" s="8">
        <v>1.0</v>
      </c>
      <c r="I2236" s="8">
        <v>1.0</v>
      </c>
      <c r="J2236" s="8">
        <v>1.0</v>
      </c>
      <c r="K2236" s="8">
        <v>1.0</v>
      </c>
      <c r="L2236" s="8">
        <v>6.0</v>
      </c>
      <c r="M2236" s="8"/>
      <c r="N2236" s="8"/>
      <c r="O2236" s="8" t="s">
        <v>798</v>
      </c>
      <c r="P2236" s="8" t="e">
        <v>#N/A</v>
      </c>
    </row>
    <row r="2237">
      <c r="A2237">
        <f>IFERROR(__xludf.DUMMYFUNCTION("""COMPUTED_VALUE"""),7.0)</f>
        <v>7</v>
      </c>
      <c r="B2237">
        <f>IFERROR(__xludf.DUMMYFUNCTION("""COMPUTED_VALUE"""),30169.0)</f>
        <v>30169</v>
      </c>
      <c r="C2237" t="str">
        <f>IFERROR(__xludf.DUMMYFUNCTION("""COMPUTED_VALUE"""),"ARANGO LINHARES, FILIPPA")</f>
        <v>ARANGO LINHARES, FILIPPA</v>
      </c>
      <c r="D2237" t="str">
        <f>IFERROR(__xludf.DUMMYFUNCTION("""COMPUTED_VALUE"""),"PE 7")</f>
        <v>PE 7</v>
      </c>
      <c r="E2237" s="31" t="str">
        <f>IFERROR(__xludf.DUMMYFUNCTION("""COMPUTED_VALUE"""),"6b")</f>
        <v>6b</v>
      </c>
      <c r="F2237" s="8">
        <v>1.0</v>
      </c>
      <c r="G2237" s="8">
        <v>1.0</v>
      </c>
      <c r="H2237" s="8">
        <v>1.0</v>
      </c>
      <c r="I2237" s="8">
        <v>1.0</v>
      </c>
      <c r="J2237" s="8">
        <v>1.0</v>
      </c>
      <c r="K2237" s="8">
        <v>1.0</v>
      </c>
      <c r="L2237" s="8">
        <v>6.0</v>
      </c>
      <c r="M2237" s="8"/>
      <c r="N2237" s="8"/>
      <c r="O2237" s="8" t="s">
        <v>799</v>
      </c>
      <c r="P2237" s="8">
        <v>6.0</v>
      </c>
    </row>
    <row r="2238">
      <c r="A2238">
        <f>IFERROR(__xludf.DUMMYFUNCTION("""COMPUTED_VALUE"""),7.0)</f>
        <v>7</v>
      </c>
      <c r="B2238">
        <f>IFERROR(__xludf.DUMMYFUNCTION("""COMPUTED_VALUE"""),30007.0)</f>
        <v>30007</v>
      </c>
      <c r="C2238" t="str">
        <f>IFERROR(__xludf.DUMMYFUNCTION("""COMPUTED_VALUE"""),"ARANGO RODRIGUEZ, RAFAEL")</f>
        <v>ARANGO RODRIGUEZ, RAFAEL</v>
      </c>
      <c r="D2238" t="str">
        <f>IFERROR(__xludf.DUMMYFUNCTION("""COMPUTED_VALUE"""),"PE 7")</f>
        <v>PE 7</v>
      </c>
      <c r="E2238" s="31" t="str">
        <f>IFERROR(__xludf.DUMMYFUNCTION("""COMPUTED_VALUE"""),"4a")</f>
        <v>4a</v>
      </c>
      <c r="F2238" s="8">
        <v>1.0</v>
      </c>
      <c r="G2238" s="8">
        <v>1.0</v>
      </c>
      <c r="H2238" s="8">
        <v>1.0</v>
      </c>
      <c r="I2238" s="8">
        <v>1.0</v>
      </c>
      <c r="J2238" s="8">
        <v>1.0</v>
      </c>
      <c r="K2238" s="8">
        <v>1.0</v>
      </c>
      <c r="L2238" s="8">
        <v>6.0</v>
      </c>
      <c r="M2238" s="8"/>
      <c r="N2238" s="8"/>
      <c r="O2238" s="8" t="s">
        <v>796</v>
      </c>
      <c r="P2238" s="8">
        <v>6.0</v>
      </c>
    </row>
    <row r="2239">
      <c r="A2239">
        <f>IFERROR(__xludf.DUMMYFUNCTION("""COMPUTED_VALUE"""),7.0)</f>
        <v>7</v>
      </c>
      <c r="B2239">
        <f>IFERROR(__xludf.DUMMYFUNCTION("""COMPUTED_VALUE"""),30008.0)</f>
        <v>30008</v>
      </c>
      <c r="C2239" t="str">
        <f>IFERROR(__xludf.DUMMYFUNCTION("""COMPUTED_VALUE"""),"ARANGO VELEZ, ALICIA")</f>
        <v>ARANGO VELEZ, ALICIA</v>
      </c>
      <c r="D2239" t="str">
        <f>IFERROR(__xludf.DUMMYFUNCTION("""COMPUTED_VALUE"""),"PE 7")</f>
        <v>PE 7</v>
      </c>
      <c r="E2239" s="31" t="str">
        <f>IFERROR(__xludf.DUMMYFUNCTION("""COMPUTED_VALUE"""),"1b")</f>
        <v>1b</v>
      </c>
      <c r="F2239" s="8">
        <v>1.0</v>
      </c>
      <c r="G2239" s="8">
        <v>1.0</v>
      </c>
      <c r="H2239" s="8">
        <v>1.0</v>
      </c>
      <c r="I2239" s="8">
        <v>1.0</v>
      </c>
      <c r="J2239" s="8">
        <v>1.0</v>
      </c>
      <c r="K2239" s="8">
        <v>1.0</v>
      </c>
      <c r="L2239" s="8">
        <v>6.0</v>
      </c>
      <c r="M2239" s="8"/>
      <c r="N2239" s="8"/>
      <c r="O2239" s="8" t="s">
        <v>801</v>
      </c>
      <c r="P2239" s="8">
        <v>6.0</v>
      </c>
    </row>
    <row r="2240">
      <c r="A2240">
        <f>IFERROR(__xludf.DUMMYFUNCTION("""COMPUTED_VALUE"""),7.0)</f>
        <v>7</v>
      </c>
      <c r="B2240">
        <f>IFERROR(__xludf.DUMMYFUNCTION("""COMPUTED_VALUE"""),29014.0)</f>
        <v>29014</v>
      </c>
      <c r="C2240" t="str">
        <f>IFERROR(__xludf.DUMMYFUNCTION("""COMPUTED_VALUE"""),"ARISMENDI MELO, MARIANA")</f>
        <v>ARISMENDI MELO, MARIANA</v>
      </c>
      <c r="D2240" t="str">
        <f>IFERROR(__xludf.DUMMYFUNCTION("""COMPUTED_VALUE"""),"PE 7")</f>
        <v>PE 7</v>
      </c>
      <c r="E2240" s="31" t="str">
        <f>IFERROR(__xludf.DUMMYFUNCTION("""COMPUTED_VALUE"""),"6b")</f>
        <v>6b</v>
      </c>
      <c r="F2240" s="8">
        <v>1.0</v>
      </c>
      <c r="G2240" s="8">
        <v>1.0</v>
      </c>
      <c r="H2240" s="8">
        <v>1.0</v>
      </c>
      <c r="I2240" s="8">
        <v>1.0</v>
      </c>
      <c r="J2240" s="8">
        <v>1.0</v>
      </c>
      <c r="K2240" s="8">
        <v>1.0</v>
      </c>
      <c r="L2240" s="8">
        <v>6.0</v>
      </c>
      <c r="M2240" s="8"/>
      <c r="N2240" s="8"/>
      <c r="O2240" s="8" t="s">
        <v>799</v>
      </c>
      <c r="P2240" s="8">
        <v>6.0</v>
      </c>
    </row>
    <row r="2241">
      <c r="A2241">
        <f>IFERROR(__xludf.DUMMYFUNCTION("""COMPUTED_VALUE"""),7.0)</f>
        <v>7</v>
      </c>
      <c r="B2241">
        <f>IFERROR(__xludf.DUMMYFUNCTION("""COMPUTED_VALUE"""),30009.0)</f>
        <v>30009</v>
      </c>
      <c r="C2241" t="str">
        <f>IFERROR(__xludf.DUMMYFUNCTION("""COMPUTED_VALUE"""),"ARISTIZABAL BOLIVAR, EMILIANA")</f>
        <v>ARISTIZABAL BOLIVAR, EMILIANA</v>
      </c>
      <c r="D2241" t="str">
        <f>IFERROR(__xludf.DUMMYFUNCTION("""COMPUTED_VALUE"""),"PE 7A")</f>
        <v>PE 7A</v>
      </c>
      <c r="E2241" s="31" t="str">
        <f>IFERROR(__xludf.DUMMYFUNCTION("""COMPUTED_VALUE"""),"2a")</f>
        <v>2a</v>
      </c>
      <c r="F2241" s="8">
        <v>1.0</v>
      </c>
      <c r="G2241" s="8">
        <v>1.0</v>
      </c>
      <c r="H2241" s="8">
        <v>1.0</v>
      </c>
      <c r="I2241" s="8">
        <v>1.0</v>
      </c>
      <c r="J2241" s="8">
        <v>1.0</v>
      </c>
      <c r="K2241" s="8">
        <v>1.0</v>
      </c>
      <c r="L2241" s="8">
        <v>6.0</v>
      </c>
      <c r="M2241" s="8"/>
      <c r="N2241" s="8"/>
      <c r="O2241" s="8" t="s">
        <v>798</v>
      </c>
      <c r="P2241" s="8" t="e">
        <v>#N/A</v>
      </c>
    </row>
    <row r="2242">
      <c r="A2242">
        <f>IFERROR(__xludf.DUMMYFUNCTION("""COMPUTED_VALUE"""),7.0)</f>
        <v>7</v>
      </c>
      <c r="B2242">
        <f>IFERROR(__xludf.DUMMYFUNCTION("""COMPUTED_VALUE"""),30010.0)</f>
        <v>30010</v>
      </c>
      <c r="C2242" t="str">
        <f>IFERROR(__xludf.DUMMYFUNCTION("""COMPUTED_VALUE"""),"ARISTIZABAL BOLIVAR, MATILDE")</f>
        <v>ARISTIZABAL BOLIVAR, MATILDE</v>
      </c>
      <c r="D2242" t="str">
        <f>IFERROR(__xludf.DUMMYFUNCTION("""COMPUTED_VALUE"""),"PE 7A")</f>
        <v>PE 7A</v>
      </c>
      <c r="E2242" s="31" t="str">
        <f>IFERROR(__xludf.DUMMYFUNCTION("""COMPUTED_VALUE"""),"1b")</f>
        <v>1b</v>
      </c>
      <c r="F2242" s="8">
        <v>1.0</v>
      </c>
      <c r="G2242" s="8">
        <v>1.0</v>
      </c>
      <c r="H2242" s="8">
        <v>1.0</v>
      </c>
      <c r="I2242" s="8">
        <v>1.0</v>
      </c>
      <c r="J2242" s="8">
        <v>1.0</v>
      </c>
      <c r="K2242" s="8">
        <v>1.0</v>
      </c>
      <c r="L2242" s="8">
        <v>6.0</v>
      </c>
      <c r="M2242" s="8"/>
      <c r="N2242" s="8"/>
      <c r="O2242" s="8" t="s">
        <v>800</v>
      </c>
      <c r="P2242" s="8" t="e">
        <v>#N/A</v>
      </c>
    </row>
    <row r="2243">
      <c r="A2243">
        <f>IFERROR(__xludf.DUMMYFUNCTION("""COMPUTED_VALUE"""),7.0)</f>
        <v>7</v>
      </c>
      <c r="B2243">
        <f>IFERROR(__xludf.DUMMYFUNCTION("""COMPUTED_VALUE"""),30011.0)</f>
        <v>30011</v>
      </c>
      <c r="C2243" t="str">
        <f>IFERROR(__xludf.DUMMYFUNCTION("""COMPUTED_VALUE"""),"ARISTIZABAL ECHAVARRIA, MILAGROS")</f>
        <v>ARISTIZABAL ECHAVARRIA, MILAGROS</v>
      </c>
      <c r="D2243" t="str">
        <f>IFERROR(__xludf.DUMMYFUNCTION("""COMPUTED_VALUE"""),"PE 7")</f>
        <v>PE 7</v>
      </c>
      <c r="E2243" s="31" t="str">
        <f>IFERROR(__xludf.DUMMYFUNCTION("""COMPUTED_VALUE"""),"1b")</f>
        <v>1b</v>
      </c>
      <c r="F2243" s="8">
        <v>1.0</v>
      </c>
      <c r="G2243" s="8">
        <v>1.0</v>
      </c>
      <c r="H2243" s="8">
        <v>1.0</v>
      </c>
      <c r="I2243" s="8">
        <v>1.0</v>
      </c>
      <c r="J2243" s="8">
        <v>1.0</v>
      </c>
      <c r="K2243" s="8">
        <v>1.0</v>
      </c>
      <c r="L2243" s="8">
        <v>6.0</v>
      </c>
      <c r="M2243" s="8"/>
      <c r="N2243" s="8"/>
      <c r="O2243" s="8" t="s">
        <v>801</v>
      </c>
      <c r="P2243" s="8">
        <v>6.0</v>
      </c>
    </row>
    <row r="2244">
      <c r="A2244">
        <f>IFERROR(__xludf.DUMMYFUNCTION("""COMPUTED_VALUE"""),7.0)</f>
        <v>7</v>
      </c>
      <c r="B2244">
        <f>IFERROR(__xludf.DUMMYFUNCTION("""COMPUTED_VALUE"""),30012.0)</f>
        <v>30012</v>
      </c>
      <c r="C2244" t="str">
        <f>IFERROR(__xludf.DUMMYFUNCTION("""COMPUTED_VALUE"""),"ARISTIZABAL RESTREPO, AMALIA")</f>
        <v>ARISTIZABAL RESTREPO, AMALIA</v>
      </c>
      <c r="D2244" t="str">
        <f>IFERROR(__xludf.DUMMYFUNCTION("""COMPUTED_VALUE"""),"PE 7")</f>
        <v>PE 7</v>
      </c>
      <c r="E2244" s="31" t="str">
        <f>IFERROR(__xludf.DUMMYFUNCTION("""COMPUTED_VALUE"""),"2a")</f>
        <v>2a</v>
      </c>
      <c r="F2244" s="8">
        <v>1.0</v>
      </c>
      <c r="G2244" s="8">
        <v>1.0</v>
      </c>
      <c r="H2244" s="8">
        <v>1.0</v>
      </c>
      <c r="I2244" s="8">
        <v>1.0</v>
      </c>
      <c r="J2244" s="8">
        <v>1.0</v>
      </c>
      <c r="K2244" s="8">
        <v>1.0</v>
      </c>
      <c r="L2244" s="8">
        <v>6.0</v>
      </c>
      <c r="M2244" s="8"/>
      <c r="N2244" s="8"/>
      <c r="O2244" s="8" t="s">
        <v>797</v>
      </c>
      <c r="P2244" s="8">
        <v>6.0</v>
      </c>
    </row>
    <row r="2245">
      <c r="A2245">
        <f>IFERROR(__xludf.DUMMYFUNCTION("""COMPUTED_VALUE"""),7.0)</f>
        <v>7</v>
      </c>
      <c r="B2245">
        <f>IFERROR(__xludf.DUMMYFUNCTION("""COMPUTED_VALUE"""),30014.0)</f>
        <v>30014</v>
      </c>
      <c r="C2245" t="str">
        <f>IFERROR(__xludf.DUMMYFUNCTION("""COMPUTED_VALUE"""),"ARISTIZABAL VILLEGAS, ROSARIO")</f>
        <v>ARISTIZABAL VILLEGAS, ROSARIO</v>
      </c>
      <c r="D2245" t="str">
        <f>IFERROR(__xludf.DUMMYFUNCTION("""COMPUTED_VALUE"""),"PE 7A")</f>
        <v>PE 7A</v>
      </c>
      <c r="E2245" s="31" t="str">
        <f>IFERROR(__xludf.DUMMYFUNCTION("""COMPUTED_VALUE"""),"1b")</f>
        <v>1b</v>
      </c>
      <c r="F2245" s="8">
        <v>1.0</v>
      </c>
      <c r="G2245" s="8">
        <v>1.0</v>
      </c>
      <c r="H2245" s="8">
        <v>1.0</v>
      </c>
      <c r="I2245" s="8">
        <v>1.0</v>
      </c>
      <c r="J2245" s="8">
        <v>1.0</v>
      </c>
      <c r="K2245" s="8">
        <v>1.0</v>
      </c>
      <c r="L2245" s="8">
        <v>6.0</v>
      </c>
      <c r="M2245" s="8"/>
      <c r="N2245" s="8"/>
      <c r="O2245" s="8" t="s">
        <v>800</v>
      </c>
      <c r="P2245" s="8" t="e">
        <v>#N/A</v>
      </c>
    </row>
    <row r="2246">
      <c r="A2246">
        <f>IFERROR(__xludf.DUMMYFUNCTION("""COMPUTED_VALUE"""),7.0)</f>
        <v>7</v>
      </c>
      <c r="B2246">
        <f>IFERROR(__xludf.DUMMYFUNCTION("""COMPUTED_VALUE"""),30013.0)</f>
        <v>30013</v>
      </c>
      <c r="C2246" t="str">
        <f>IFERROR(__xludf.DUMMYFUNCTION("""COMPUTED_VALUE"""),"ARISTIZABAL ZULUAGA, SALVADOR")</f>
        <v>ARISTIZABAL ZULUAGA, SALVADOR</v>
      </c>
      <c r="D2246" t="str">
        <f>IFERROR(__xludf.DUMMYFUNCTION("""COMPUTED_VALUE"""),"PE 7")</f>
        <v>PE 7</v>
      </c>
      <c r="E2246" s="31" t="str">
        <f>IFERROR(__xludf.DUMMYFUNCTION("""COMPUTED_VALUE"""),"4a")</f>
        <v>4a</v>
      </c>
      <c r="F2246" s="8">
        <v>1.0</v>
      </c>
      <c r="G2246" s="8">
        <v>1.0</v>
      </c>
      <c r="H2246" s="8">
        <v>1.0</v>
      </c>
      <c r="I2246" s="8">
        <v>1.0</v>
      </c>
      <c r="J2246" s="8">
        <v>1.0</v>
      </c>
      <c r="K2246" s="8">
        <v>1.0</v>
      </c>
      <c r="L2246" s="8">
        <v>6.0</v>
      </c>
      <c r="M2246" s="8"/>
      <c r="N2246" s="8"/>
      <c r="O2246" s="8" t="s">
        <v>796</v>
      </c>
      <c r="P2246" s="8">
        <v>6.0</v>
      </c>
    </row>
    <row r="2247">
      <c r="A2247">
        <f>IFERROR(__xludf.DUMMYFUNCTION("""COMPUTED_VALUE"""),7.0)</f>
        <v>7</v>
      </c>
      <c r="B2247">
        <f>IFERROR(__xludf.DUMMYFUNCTION("""COMPUTED_VALUE"""),29017.0)</f>
        <v>29017</v>
      </c>
      <c r="C2247" t="str">
        <f>IFERROR(__xludf.DUMMYFUNCTION("""COMPUTED_VALUE"""),"ARROYAVE SIERRA, MATIAS")</f>
        <v>ARROYAVE SIERRA, MATIAS</v>
      </c>
      <c r="D2247" t="str">
        <f>IFERROR(__xludf.DUMMYFUNCTION("""COMPUTED_VALUE"""),"PE 7A")</f>
        <v>PE 7A</v>
      </c>
      <c r="E2247" s="31" t="str">
        <f>IFERROR(__xludf.DUMMYFUNCTION("""COMPUTED_VALUE"""),"2a")</f>
        <v>2a</v>
      </c>
      <c r="F2247" s="8">
        <v>1.0</v>
      </c>
      <c r="G2247" s="8">
        <v>1.0</v>
      </c>
      <c r="H2247" s="8">
        <v>1.0</v>
      </c>
      <c r="I2247" s="8">
        <v>1.0</v>
      </c>
      <c r="J2247" s="8">
        <v>1.0</v>
      </c>
      <c r="K2247" s="8">
        <v>1.0</v>
      </c>
      <c r="L2247" s="8">
        <v>6.0</v>
      </c>
      <c r="M2247" s="8"/>
      <c r="N2247" s="8"/>
      <c r="O2247" s="8" t="s">
        <v>798</v>
      </c>
      <c r="P2247" s="8" t="e">
        <v>#N/A</v>
      </c>
    </row>
    <row r="2248">
      <c r="A2248">
        <f>IFERROR(__xludf.DUMMYFUNCTION("""COMPUTED_VALUE"""),7.0)</f>
        <v>7</v>
      </c>
      <c r="B2248">
        <f>IFERROR(__xludf.DUMMYFUNCTION("""COMPUTED_VALUE"""),30015.0)</f>
        <v>30015</v>
      </c>
      <c r="C2248" t="str">
        <f>IFERROR(__xludf.DUMMYFUNCTION("""COMPUTED_VALUE"""),"ARROYAVE YACAMAN, EMILIO")</f>
        <v>ARROYAVE YACAMAN, EMILIO</v>
      </c>
      <c r="D2248" t="str">
        <f>IFERROR(__xludf.DUMMYFUNCTION("""COMPUTED_VALUE"""),"PE 7A")</f>
        <v>PE 7A</v>
      </c>
      <c r="E2248" s="31" t="str">
        <f>IFERROR(__xludf.DUMMYFUNCTION("""COMPUTED_VALUE"""),"1b")</f>
        <v>1b</v>
      </c>
      <c r="F2248" s="8">
        <v>1.0</v>
      </c>
      <c r="G2248" s="8">
        <v>1.0</v>
      </c>
      <c r="H2248" s="8">
        <v>1.0</v>
      </c>
      <c r="I2248" s="8">
        <v>1.0</v>
      </c>
      <c r="J2248" s="8">
        <v>1.0</v>
      </c>
      <c r="K2248" s="8">
        <v>1.0</v>
      </c>
      <c r="L2248" s="8">
        <v>6.0</v>
      </c>
      <c r="M2248" s="8"/>
      <c r="N2248" s="8"/>
      <c r="O2248" s="8" t="s">
        <v>800</v>
      </c>
      <c r="P2248" s="8" t="e">
        <v>#N/A</v>
      </c>
    </row>
    <row r="2249">
      <c r="A2249">
        <f>IFERROR(__xludf.DUMMYFUNCTION("""COMPUTED_VALUE"""),7.0)</f>
        <v>7</v>
      </c>
      <c r="B2249">
        <f>IFERROR(__xludf.DUMMYFUNCTION("""COMPUTED_VALUE"""),30018.0)</f>
        <v>30018</v>
      </c>
      <c r="C2249" t="str">
        <f>IFERROR(__xludf.DUMMYFUNCTION("""COMPUTED_VALUE"""),"BETANCUR ECHAVARRIA, JERONIMO")</f>
        <v>BETANCUR ECHAVARRIA, JERONIMO</v>
      </c>
      <c r="D2249" t="str">
        <f>IFERROR(__xludf.DUMMYFUNCTION("""COMPUTED_VALUE"""),"PE 7A")</f>
        <v>PE 7A</v>
      </c>
      <c r="E2249" s="31" t="str">
        <f>IFERROR(__xludf.DUMMYFUNCTION("""COMPUTED_VALUE"""),"1b")</f>
        <v>1b</v>
      </c>
      <c r="F2249" s="8">
        <v>1.0</v>
      </c>
      <c r="G2249" s="8">
        <v>1.0</v>
      </c>
      <c r="H2249" s="8">
        <v>1.0</v>
      </c>
      <c r="I2249" s="8">
        <v>1.0</v>
      </c>
      <c r="J2249" s="8">
        <v>1.0</v>
      </c>
      <c r="K2249" s="8">
        <v>1.0</v>
      </c>
      <c r="L2249" s="8">
        <v>6.0</v>
      </c>
      <c r="M2249" s="8"/>
      <c r="N2249" s="8"/>
      <c r="O2249" s="8" t="s">
        <v>800</v>
      </c>
      <c r="P2249" s="8" t="e">
        <v>#N/A</v>
      </c>
    </row>
    <row r="2250">
      <c r="A2250">
        <f>IFERROR(__xludf.DUMMYFUNCTION("""COMPUTED_VALUE"""),7.0)</f>
        <v>7</v>
      </c>
      <c r="B2250">
        <f>IFERROR(__xludf.DUMMYFUNCTION("""COMPUTED_VALUE"""),30170.0)</f>
        <v>30170</v>
      </c>
      <c r="C2250" t="str">
        <f>IFERROR(__xludf.DUMMYFUNCTION("""COMPUTED_VALUE"""),"BETANCUR VELASQUEZ, RENATA")</f>
        <v>BETANCUR VELASQUEZ, RENATA</v>
      </c>
      <c r="D2250" t="str">
        <f>IFERROR(__xludf.DUMMYFUNCTION("""COMPUTED_VALUE"""),"PE 7A")</f>
        <v>PE 7A</v>
      </c>
      <c r="E2250" s="31" t="str">
        <f>IFERROR(__xludf.DUMMYFUNCTION("""COMPUTED_VALUE"""),"1b")</f>
        <v>1b</v>
      </c>
      <c r="F2250" s="8">
        <v>1.0</v>
      </c>
      <c r="G2250" s="8">
        <v>1.0</v>
      </c>
      <c r="H2250" s="8">
        <v>1.0</v>
      </c>
      <c r="I2250" s="8">
        <v>1.0</v>
      </c>
      <c r="J2250" s="8">
        <v>1.0</v>
      </c>
      <c r="K2250" s="8">
        <v>1.0</v>
      </c>
      <c r="L2250" s="8">
        <v>6.0</v>
      </c>
      <c r="M2250" s="8"/>
      <c r="N2250" s="8"/>
      <c r="O2250" s="8" t="s">
        <v>800</v>
      </c>
      <c r="P2250" s="8" t="e">
        <v>#N/A</v>
      </c>
    </row>
    <row r="2251">
      <c r="A2251">
        <f>IFERROR(__xludf.DUMMYFUNCTION("""COMPUTED_VALUE"""),7.0)</f>
        <v>7</v>
      </c>
      <c r="B2251">
        <f>IFERROR(__xludf.DUMMYFUNCTION("""COMPUTED_VALUE"""),30019.0)</f>
        <v>30019</v>
      </c>
      <c r="C2251" t="str">
        <f>IFERROR(__xludf.DUMMYFUNCTION("""COMPUTED_VALUE"""),"BOTERO BETANCOURT, SEBASTIAN")</f>
        <v>BOTERO BETANCOURT, SEBASTIAN</v>
      </c>
      <c r="D2251" t="str">
        <f>IFERROR(__xludf.DUMMYFUNCTION("""COMPUTED_VALUE"""),"PE 7")</f>
        <v>PE 7</v>
      </c>
      <c r="E2251" s="31" t="str">
        <f>IFERROR(__xludf.DUMMYFUNCTION("""COMPUTED_VALUE"""),"4a")</f>
        <v>4a</v>
      </c>
      <c r="F2251" s="8">
        <v>1.0</v>
      </c>
      <c r="G2251" s="8">
        <v>1.0</v>
      </c>
      <c r="H2251" s="8">
        <v>1.0</v>
      </c>
      <c r="I2251" s="8">
        <v>1.0</v>
      </c>
      <c r="J2251" s="8">
        <v>1.0</v>
      </c>
      <c r="K2251" s="8">
        <v>1.0</v>
      </c>
      <c r="L2251" s="8">
        <v>6.0</v>
      </c>
      <c r="M2251" s="8"/>
      <c r="N2251" s="8"/>
      <c r="O2251" s="8" t="s">
        <v>796</v>
      </c>
      <c r="P2251" s="8">
        <v>6.0</v>
      </c>
    </row>
    <row r="2252">
      <c r="A2252">
        <f>IFERROR(__xludf.DUMMYFUNCTION("""COMPUTED_VALUE"""),7.0)</f>
        <v>7</v>
      </c>
      <c r="B2252">
        <f>IFERROR(__xludf.DUMMYFUNCTION("""COMPUTED_VALUE"""),30021.0)</f>
        <v>30021</v>
      </c>
      <c r="C2252" t="str">
        <f>IFERROR(__xludf.DUMMYFUNCTION("""COMPUTED_VALUE"""),"BOTERO TOQUICA, MATILDE")</f>
        <v>BOTERO TOQUICA, MATILDE</v>
      </c>
      <c r="D2252" t="str">
        <f>IFERROR(__xludf.DUMMYFUNCTION("""COMPUTED_VALUE"""),"PE 7")</f>
        <v>PE 7</v>
      </c>
      <c r="E2252" s="31" t="str">
        <f>IFERROR(__xludf.DUMMYFUNCTION("""COMPUTED_VALUE"""),"6b")</f>
        <v>6b</v>
      </c>
      <c r="F2252" s="8">
        <v>1.0</v>
      </c>
      <c r="G2252" s="8">
        <v>1.0</v>
      </c>
      <c r="H2252" s="8">
        <v>1.0</v>
      </c>
      <c r="I2252" s="8">
        <v>1.0</v>
      </c>
      <c r="J2252" s="8">
        <v>1.0</v>
      </c>
      <c r="K2252" s="8">
        <v>1.0</v>
      </c>
      <c r="L2252" s="8">
        <v>6.0</v>
      </c>
      <c r="M2252" s="8"/>
      <c r="N2252" s="8"/>
      <c r="O2252" s="8" t="s">
        <v>799</v>
      </c>
      <c r="P2252" s="8">
        <v>6.0</v>
      </c>
    </row>
    <row r="2253">
      <c r="A2253">
        <f>IFERROR(__xludf.DUMMYFUNCTION("""COMPUTED_VALUE"""),7.0)</f>
        <v>7</v>
      </c>
      <c r="B2253">
        <f>IFERROR(__xludf.DUMMYFUNCTION("""COMPUTED_VALUE"""),30022.0)</f>
        <v>30022</v>
      </c>
      <c r="C2253" s="135" t="str">
        <f>IFERROR(__xludf.DUMMYFUNCTION("""COMPUTED_VALUE"""),"CAMELO ZULUAGA, BENJAMIN")</f>
        <v>CAMELO ZULUAGA, BENJAMIN</v>
      </c>
      <c r="D2253" t="str">
        <f>IFERROR(__xludf.DUMMYFUNCTION("""COMPUTED_VALUE"""),"PE 7A")</f>
        <v>PE 7A</v>
      </c>
      <c r="E2253" s="31" t="str">
        <f>IFERROR(__xludf.DUMMYFUNCTION("""COMPUTED_VALUE"""),"2a")</f>
        <v>2a</v>
      </c>
      <c r="F2253" s="8">
        <v>1.0</v>
      </c>
      <c r="G2253" s="8">
        <v>1.0</v>
      </c>
      <c r="H2253" s="8">
        <v>1.0</v>
      </c>
      <c r="I2253" s="8">
        <v>1.0</v>
      </c>
      <c r="J2253" s="8">
        <v>1.0</v>
      </c>
      <c r="K2253" s="8">
        <v>1.0</v>
      </c>
      <c r="L2253" s="8">
        <v>6.0</v>
      </c>
      <c r="M2253" s="8"/>
      <c r="N2253" s="8"/>
      <c r="O2253" s="8" t="s">
        <v>798</v>
      </c>
      <c r="P2253" s="8" t="e">
        <v>#N/A</v>
      </c>
    </row>
    <row r="2254">
      <c r="A2254">
        <f>IFERROR(__xludf.DUMMYFUNCTION("""COMPUTED_VALUE"""),7.0)</f>
        <v>7</v>
      </c>
      <c r="B2254">
        <f>IFERROR(__xludf.DUMMYFUNCTION("""COMPUTED_VALUE"""),30023.0)</f>
        <v>30023</v>
      </c>
      <c r="C2254" t="str">
        <f>IFERROR(__xludf.DUMMYFUNCTION("""COMPUTED_VALUE"""),"CAMPILLO VALENCIA, LUCIANA")</f>
        <v>CAMPILLO VALENCIA, LUCIANA</v>
      </c>
      <c r="D2254" t="str">
        <f>IFERROR(__xludf.DUMMYFUNCTION("""COMPUTED_VALUE"""),"PE 7")</f>
        <v>PE 7</v>
      </c>
      <c r="E2254" s="31" t="str">
        <f>IFERROR(__xludf.DUMMYFUNCTION("""COMPUTED_VALUE"""),"1b")</f>
        <v>1b</v>
      </c>
      <c r="F2254" s="8">
        <v>1.0</v>
      </c>
      <c r="G2254" s="8">
        <v>1.0</v>
      </c>
      <c r="H2254" s="8">
        <v>1.0</v>
      </c>
      <c r="I2254" s="8">
        <v>1.0</v>
      </c>
      <c r="J2254" s="8">
        <v>1.0</v>
      </c>
      <c r="K2254" s="8">
        <v>1.0</v>
      </c>
      <c r="L2254" s="8">
        <v>6.0</v>
      </c>
      <c r="M2254" s="8"/>
      <c r="N2254" s="8"/>
      <c r="O2254" s="8" t="s">
        <v>801</v>
      </c>
      <c r="P2254" s="8">
        <v>6.0</v>
      </c>
    </row>
    <row r="2255">
      <c r="A2255">
        <f>IFERROR(__xludf.DUMMYFUNCTION("""COMPUTED_VALUE"""),7.0)</f>
        <v>7</v>
      </c>
      <c r="B2255">
        <f>IFERROR(__xludf.DUMMYFUNCTION("""COMPUTED_VALUE"""),30024.0)</f>
        <v>30024</v>
      </c>
      <c r="C2255" t="str">
        <f>IFERROR(__xludf.DUMMYFUNCTION("""COMPUTED_VALUE"""),"CANO MESA, AMELIA")</f>
        <v>CANO MESA, AMELIA</v>
      </c>
      <c r="D2255" t="str">
        <f>IFERROR(__xludf.DUMMYFUNCTION("""COMPUTED_VALUE"""),"PE 7")</f>
        <v>PE 7</v>
      </c>
      <c r="E2255" s="31" t="str">
        <f>IFERROR(__xludf.DUMMYFUNCTION("""COMPUTED_VALUE"""),"6b")</f>
        <v>6b</v>
      </c>
      <c r="F2255" s="8">
        <v>1.0</v>
      </c>
      <c r="G2255" s="8">
        <v>1.0</v>
      </c>
      <c r="H2255" s="8">
        <v>1.0</v>
      </c>
      <c r="I2255" s="8">
        <v>1.0</v>
      </c>
      <c r="J2255" s="8">
        <v>1.0</v>
      </c>
      <c r="K2255" s="8">
        <v>1.0</v>
      </c>
      <c r="L2255" s="8">
        <v>6.0</v>
      </c>
      <c r="M2255" s="8"/>
      <c r="N2255" s="8"/>
      <c r="O2255" s="8" t="s">
        <v>799</v>
      </c>
      <c r="P2255" s="8">
        <v>6.0</v>
      </c>
    </row>
    <row r="2256">
      <c r="A2256">
        <f>IFERROR(__xludf.DUMMYFUNCTION("""COMPUTED_VALUE"""),7.0)</f>
        <v>7</v>
      </c>
      <c r="B2256">
        <f>IFERROR(__xludf.DUMMYFUNCTION("""COMPUTED_VALUE"""),30025.0)</f>
        <v>30025</v>
      </c>
      <c r="C2256" t="str">
        <f>IFERROR(__xludf.DUMMYFUNCTION("""COMPUTED_VALUE"""),"CAÑON GARCIA, MARTINA")</f>
        <v>CAÑON GARCIA, MARTINA</v>
      </c>
      <c r="D2256" t="str">
        <f>IFERROR(__xludf.DUMMYFUNCTION("""COMPUTED_VALUE"""),"PE 7")</f>
        <v>PE 7</v>
      </c>
      <c r="E2256" s="31" t="str">
        <f>IFERROR(__xludf.DUMMYFUNCTION("""COMPUTED_VALUE"""),"1b")</f>
        <v>1b</v>
      </c>
      <c r="F2256" s="8">
        <v>1.0</v>
      </c>
      <c r="G2256" s="8">
        <v>1.0</v>
      </c>
      <c r="H2256" s="8">
        <v>1.0</v>
      </c>
      <c r="I2256" s="8">
        <v>1.0</v>
      </c>
      <c r="J2256" s="8">
        <v>1.0</v>
      </c>
      <c r="K2256" s="8">
        <v>1.0</v>
      </c>
      <c r="L2256" s="8">
        <v>6.0</v>
      </c>
      <c r="M2256" s="8"/>
      <c r="N2256" s="8"/>
      <c r="O2256" s="8" t="s">
        <v>801</v>
      </c>
      <c r="P2256" s="8">
        <v>6.0</v>
      </c>
    </row>
    <row r="2257">
      <c r="A2257">
        <f>IFERROR(__xludf.DUMMYFUNCTION("""COMPUTED_VALUE"""),7.0)</f>
        <v>7</v>
      </c>
      <c r="B2257">
        <f>IFERROR(__xludf.DUMMYFUNCTION("""COMPUTED_VALUE"""),30026.0)</f>
        <v>30026</v>
      </c>
      <c r="C2257" t="str">
        <f>IFERROR(__xludf.DUMMYFUNCTION("""COMPUTED_VALUE"""),"CAPMARTIN GOMEZ, NICOLAS")</f>
        <v>CAPMARTIN GOMEZ, NICOLAS</v>
      </c>
      <c r="D2257" t="str">
        <f>IFERROR(__xludf.DUMMYFUNCTION("""COMPUTED_VALUE"""),"PE 7")</f>
        <v>PE 7</v>
      </c>
      <c r="E2257" s="31" t="str">
        <f>IFERROR(__xludf.DUMMYFUNCTION("""COMPUTED_VALUE"""),"6b")</f>
        <v>6b</v>
      </c>
      <c r="F2257" s="8">
        <v>1.0</v>
      </c>
      <c r="G2257" s="8">
        <v>1.0</v>
      </c>
      <c r="H2257" s="8">
        <v>1.0</v>
      </c>
      <c r="I2257" s="8">
        <v>1.0</v>
      </c>
      <c r="J2257" s="8">
        <v>1.0</v>
      </c>
      <c r="K2257" s="8">
        <v>1.0</v>
      </c>
      <c r="L2257" s="8">
        <v>6.0</v>
      </c>
      <c r="M2257" s="8"/>
      <c r="N2257" s="8"/>
      <c r="O2257" s="8" t="s">
        <v>799</v>
      </c>
      <c r="P2257" s="8">
        <v>6.0</v>
      </c>
    </row>
    <row r="2258">
      <c r="A2258">
        <f>IFERROR(__xludf.DUMMYFUNCTION("""COMPUTED_VALUE"""),7.0)</f>
        <v>7</v>
      </c>
      <c r="B2258">
        <f>IFERROR(__xludf.DUMMYFUNCTION("""COMPUTED_VALUE"""),30027.0)</f>
        <v>30027</v>
      </c>
      <c r="C2258" t="str">
        <f>IFERROR(__xludf.DUMMYFUNCTION("""COMPUTED_VALUE"""),"CARDONA CASTAÑEDA, JUANITA")</f>
        <v>CARDONA CASTAÑEDA, JUANITA</v>
      </c>
      <c r="D2258" t="str">
        <f>IFERROR(__xludf.DUMMYFUNCTION("""COMPUTED_VALUE"""),"PE 7")</f>
        <v>PE 7</v>
      </c>
      <c r="E2258" s="31" t="str">
        <f>IFERROR(__xludf.DUMMYFUNCTION("""COMPUTED_VALUE"""),"1b")</f>
        <v>1b</v>
      </c>
      <c r="F2258" s="8">
        <v>1.0</v>
      </c>
      <c r="G2258" s="8">
        <v>1.0</v>
      </c>
      <c r="H2258" s="8">
        <v>1.0</v>
      </c>
      <c r="I2258" s="8">
        <v>1.0</v>
      </c>
      <c r="J2258" s="8">
        <v>1.0</v>
      </c>
      <c r="K2258" s="8">
        <v>1.0</v>
      </c>
      <c r="L2258" s="8">
        <v>6.0</v>
      </c>
      <c r="M2258" s="8"/>
      <c r="N2258" s="8"/>
      <c r="O2258" s="8" t="s">
        <v>801</v>
      </c>
      <c r="P2258" s="8">
        <v>6.0</v>
      </c>
    </row>
    <row r="2259">
      <c r="A2259">
        <f>IFERROR(__xludf.DUMMYFUNCTION("""COMPUTED_VALUE"""),7.0)</f>
        <v>7</v>
      </c>
      <c r="B2259">
        <f>IFERROR(__xludf.DUMMYFUNCTION("""COMPUTED_VALUE"""),30135.0)</f>
        <v>30135</v>
      </c>
      <c r="C2259" t="str">
        <f>IFERROR(__xludf.DUMMYFUNCTION("""COMPUTED_VALUE"""),"CARDONA URIBE, EMILIANA")</f>
        <v>CARDONA URIBE, EMILIANA</v>
      </c>
      <c r="D2259" t="str">
        <f>IFERROR(__xludf.DUMMYFUNCTION("""COMPUTED_VALUE"""),"PE 7")</f>
        <v>PE 7</v>
      </c>
      <c r="E2259" s="31" t="str">
        <f>IFERROR(__xludf.DUMMYFUNCTION("""COMPUTED_VALUE"""),"6b")</f>
        <v>6b</v>
      </c>
      <c r="F2259" s="8">
        <v>1.0</v>
      </c>
      <c r="G2259" s="8">
        <v>1.0</v>
      </c>
      <c r="H2259" s="8">
        <v>1.0</v>
      </c>
      <c r="I2259" s="8">
        <v>1.0</v>
      </c>
      <c r="J2259" s="8">
        <v>1.0</v>
      </c>
      <c r="K2259" s="8">
        <v>1.0</v>
      </c>
      <c r="L2259" s="8">
        <v>6.0</v>
      </c>
      <c r="M2259" s="8"/>
      <c r="N2259" s="8"/>
      <c r="O2259" s="8" t="s">
        <v>799</v>
      </c>
      <c r="P2259" s="8">
        <v>6.0</v>
      </c>
    </row>
    <row r="2260">
      <c r="A2260">
        <f>IFERROR(__xludf.DUMMYFUNCTION("""COMPUTED_VALUE"""),7.0)</f>
        <v>7</v>
      </c>
      <c r="B2260">
        <f>IFERROR(__xludf.DUMMYFUNCTION("""COMPUTED_VALUE"""),30028.0)</f>
        <v>30028</v>
      </c>
      <c r="C2260" t="str">
        <f>IFERROR(__xludf.DUMMYFUNCTION("""COMPUTED_VALUE"""),"CHAN MEI, JACOB")</f>
        <v>CHAN MEI, JACOB</v>
      </c>
      <c r="D2260" t="str">
        <f>IFERROR(__xludf.DUMMYFUNCTION("""COMPUTED_VALUE"""),"PE 7")</f>
        <v>PE 7</v>
      </c>
      <c r="E2260" s="31" t="str">
        <f>IFERROR(__xludf.DUMMYFUNCTION("""COMPUTED_VALUE"""),"2a")</f>
        <v>2a</v>
      </c>
      <c r="F2260" s="8">
        <v>1.0</v>
      </c>
      <c r="G2260" s="8">
        <v>1.0</v>
      </c>
      <c r="H2260" s="8">
        <v>1.0</v>
      </c>
      <c r="I2260" s="8">
        <v>1.0</v>
      </c>
      <c r="J2260" s="8">
        <v>1.0</v>
      </c>
      <c r="K2260" s="8">
        <v>1.0</v>
      </c>
      <c r="L2260" s="8">
        <v>6.0</v>
      </c>
      <c r="M2260" s="8"/>
      <c r="N2260" s="8"/>
      <c r="O2260" s="8" t="s">
        <v>797</v>
      </c>
      <c r="P2260" s="8">
        <v>6.0</v>
      </c>
    </row>
    <row r="2261">
      <c r="A2261">
        <f>IFERROR(__xludf.DUMMYFUNCTION("""COMPUTED_VALUE"""),7.0)</f>
        <v>7</v>
      </c>
      <c r="B2261">
        <f>IFERROR(__xludf.DUMMYFUNCTION("""COMPUTED_VALUE"""),30029.0)</f>
        <v>30029</v>
      </c>
      <c r="C2261" t="str">
        <f>IFERROR(__xludf.DUMMYFUNCTION("""COMPUTED_VALUE"""),"CORREA GARCES, PEDRO PABLO")</f>
        <v>CORREA GARCES, PEDRO PABLO</v>
      </c>
      <c r="D2261" t="str">
        <f>IFERROR(__xludf.DUMMYFUNCTION("""COMPUTED_VALUE"""),"PE 7A")</f>
        <v>PE 7A</v>
      </c>
      <c r="E2261" s="31" t="str">
        <f>IFERROR(__xludf.DUMMYFUNCTION("""COMPUTED_VALUE"""),"2a")</f>
        <v>2a</v>
      </c>
      <c r="F2261" s="8">
        <v>1.0</v>
      </c>
      <c r="G2261" s="8">
        <v>1.0</v>
      </c>
      <c r="H2261" s="8">
        <v>1.0</v>
      </c>
      <c r="I2261" s="8">
        <v>1.0</v>
      </c>
      <c r="J2261" s="8">
        <v>1.0</v>
      </c>
      <c r="K2261" s="8">
        <v>1.0</v>
      </c>
      <c r="L2261" s="8">
        <v>6.0</v>
      </c>
      <c r="M2261" s="8"/>
      <c r="N2261" s="8"/>
      <c r="O2261" s="8" t="s">
        <v>798</v>
      </c>
      <c r="P2261" s="8" t="e">
        <v>#N/A</v>
      </c>
    </row>
    <row r="2262">
      <c r="A2262">
        <f>IFERROR(__xludf.DUMMYFUNCTION("""COMPUTED_VALUE"""),7.0)</f>
        <v>7</v>
      </c>
      <c r="B2262">
        <f>IFERROR(__xludf.DUMMYFUNCTION("""COMPUTED_VALUE"""),30030.0)</f>
        <v>30030</v>
      </c>
      <c r="C2262" t="str">
        <f>IFERROR(__xludf.DUMMYFUNCTION("""COMPUTED_VALUE"""),"CORREA MERINO, VICENTE")</f>
        <v>CORREA MERINO, VICENTE</v>
      </c>
      <c r="D2262" t="str">
        <f>IFERROR(__xludf.DUMMYFUNCTION("""COMPUTED_VALUE"""),"PE 7A")</f>
        <v>PE 7A</v>
      </c>
      <c r="E2262" s="31" t="str">
        <f>IFERROR(__xludf.DUMMYFUNCTION("""COMPUTED_VALUE"""),"1b")</f>
        <v>1b</v>
      </c>
      <c r="F2262" s="8">
        <v>1.0</v>
      </c>
      <c r="G2262" s="8">
        <v>1.0</v>
      </c>
      <c r="H2262" s="8">
        <v>1.0</v>
      </c>
      <c r="I2262" s="8">
        <v>1.0</v>
      </c>
      <c r="J2262" s="8">
        <v>1.0</v>
      </c>
      <c r="K2262" s="8">
        <v>1.0</v>
      </c>
      <c r="L2262" s="8">
        <v>6.0</v>
      </c>
      <c r="M2262" s="8"/>
      <c r="N2262" s="8"/>
      <c r="O2262" s="8" t="s">
        <v>800</v>
      </c>
      <c r="P2262" s="8" t="e">
        <v>#N/A</v>
      </c>
    </row>
    <row r="2263">
      <c r="A2263">
        <f>IFERROR(__xludf.DUMMYFUNCTION("""COMPUTED_VALUE"""),7.0)</f>
        <v>7</v>
      </c>
      <c r="B2263">
        <f>IFERROR(__xludf.DUMMYFUNCTION("""COMPUTED_VALUE"""),30031.0)</f>
        <v>30031</v>
      </c>
      <c r="C2263" t="str">
        <f>IFERROR(__xludf.DUMMYFUNCTION("""COMPUTED_VALUE"""),"CORTES CASTAÑO, FELIPE")</f>
        <v>CORTES CASTAÑO, FELIPE</v>
      </c>
      <c r="D2263" t="str">
        <f>IFERROR(__xludf.DUMMYFUNCTION("""COMPUTED_VALUE"""),"PE 7")</f>
        <v>PE 7</v>
      </c>
      <c r="E2263" s="31" t="str">
        <f>IFERROR(__xludf.DUMMYFUNCTION("""COMPUTED_VALUE"""),"4a")</f>
        <v>4a</v>
      </c>
      <c r="F2263" s="8">
        <v>1.0</v>
      </c>
      <c r="G2263" s="8">
        <v>1.0</v>
      </c>
      <c r="H2263" s="8">
        <v>1.0</v>
      </c>
      <c r="I2263" s="8">
        <v>1.0</v>
      </c>
      <c r="J2263" s="8">
        <v>1.0</v>
      </c>
      <c r="K2263" s="8">
        <v>1.0</v>
      </c>
      <c r="L2263" s="8">
        <v>6.0</v>
      </c>
      <c r="M2263" s="8"/>
      <c r="N2263" s="8"/>
      <c r="O2263" s="8" t="s">
        <v>796</v>
      </c>
      <c r="P2263" s="8">
        <v>6.0</v>
      </c>
    </row>
    <row r="2264">
      <c r="A2264">
        <f>IFERROR(__xludf.DUMMYFUNCTION("""COMPUTED_VALUE"""),7.0)</f>
        <v>7</v>
      </c>
      <c r="B2264">
        <f>IFERROR(__xludf.DUMMYFUNCTION("""COMPUTED_VALUE"""),30032.0)</f>
        <v>30032</v>
      </c>
      <c r="C2264" t="str">
        <f>IFERROR(__xludf.DUMMYFUNCTION("""COMPUTED_VALUE"""),"CRUZ PEREYRA, ANA VICTORIA")</f>
        <v>CRUZ PEREYRA, ANA VICTORIA</v>
      </c>
      <c r="D2264" t="str">
        <f>IFERROR(__xludf.DUMMYFUNCTION("""COMPUTED_VALUE"""),"PE 7")</f>
        <v>PE 7</v>
      </c>
      <c r="E2264" s="31" t="str">
        <f>IFERROR(__xludf.DUMMYFUNCTION("""COMPUTED_VALUE"""),"2a")</f>
        <v>2a</v>
      </c>
      <c r="F2264" s="8">
        <v>1.0</v>
      </c>
      <c r="G2264" s="8">
        <v>1.0</v>
      </c>
      <c r="H2264" s="8">
        <v>1.0</v>
      </c>
      <c r="I2264" s="8">
        <v>1.0</v>
      </c>
      <c r="J2264" s="8">
        <v>1.0</v>
      </c>
      <c r="K2264" s="8">
        <v>1.0</v>
      </c>
      <c r="L2264" s="8">
        <v>6.0</v>
      </c>
      <c r="M2264" s="8"/>
      <c r="N2264" s="8"/>
      <c r="O2264" s="8" t="s">
        <v>797</v>
      </c>
      <c r="P2264" s="8">
        <v>6.0</v>
      </c>
    </row>
    <row r="2265">
      <c r="A2265">
        <f>IFERROR(__xludf.DUMMYFUNCTION("""COMPUTED_VALUE"""),7.0)</f>
        <v>7</v>
      </c>
      <c r="B2265">
        <f>IFERROR(__xludf.DUMMYFUNCTION("""COMPUTED_VALUE"""),30033.0)</f>
        <v>30033</v>
      </c>
      <c r="C2265" t="str">
        <f>IFERROR(__xludf.DUMMYFUNCTION("""COMPUTED_VALUE"""),"CUARTAS VILLEGAS, ELIAS")</f>
        <v>CUARTAS VILLEGAS, ELIAS</v>
      </c>
      <c r="D2265" t="str">
        <f>IFERROR(__xludf.DUMMYFUNCTION("""COMPUTED_VALUE"""),"PE 7A")</f>
        <v>PE 7A</v>
      </c>
      <c r="E2265" s="31" t="str">
        <f>IFERROR(__xludf.DUMMYFUNCTION("""COMPUTED_VALUE"""),"1b")</f>
        <v>1b</v>
      </c>
      <c r="F2265" s="8">
        <v>1.0</v>
      </c>
      <c r="G2265" s="8">
        <v>1.0</v>
      </c>
      <c r="H2265" s="8">
        <v>1.0</v>
      </c>
      <c r="I2265" s="8">
        <v>1.0</v>
      </c>
      <c r="J2265" s="8">
        <v>1.0</v>
      </c>
      <c r="K2265" s="8">
        <v>1.0</v>
      </c>
      <c r="L2265" s="8">
        <v>6.0</v>
      </c>
      <c r="M2265" s="8"/>
      <c r="N2265" s="8"/>
      <c r="O2265" s="8" t="s">
        <v>800</v>
      </c>
      <c r="P2265" s="8" t="e">
        <v>#N/A</v>
      </c>
    </row>
    <row r="2266">
      <c r="A2266">
        <f>IFERROR(__xludf.DUMMYFUNCTION("""COMPUTED_VALUE"""),7.0)</f>
        <v>7</v>
      </c>
      <c r="B2266">
        <f>IFERROR(__xludf.DUMMYFUNCTION("""COMPUTED_VALUE"""),30034.0)</f>
        <v>30034</v>
      </c>
      <c r="C2266" t="str">
        <f>IFERROR(__xludf.DUMMYFUNCTION("""COMPUTED_VALUE"""),"CUERVO HINESTROSA, MARTIN")</f>
        <v>CUERVO HINESTROSA, MARTIN</v>
      </c>
      <c r="D2266" t="str">
        <f>IFERROR(__xludf.DUMMYFUNCTION("""COMPUTED_VALUE"""),"PE 7")</f>
        <v>PE 7</v>
      </c>
      <c r="E2266" s="31" t="str">
        <f>IFERROR(__xludf.DUMMYFUNCTION("""COMPUTED_VALUE"""),"2a")</f>
        <v>2a</v>
      </c>
      <c r="F2266" s="8">
        <v>1.0</v>
      </c>
      <c r="G2266" s="8">
        <v>1.0</v>
      </c>
      <c r="H2266" s="8">
        <v>1.0</v>
      </c>
      <c r="I2266" s="8">
        <v>1.0</v>
      </c>
      <c r="J2266" s="8">
        <v>1.0</v>
      </c>
      <c r="K2266" s="8">
        <v>1.0</v>
      </c>
      <c r="L2266" s="8">
        <v>6.0</v>
      </c>
      <c r="M2266" s="8"/>
      <c r="N2266" s="8"/>
      <c r="O2266" s="8" t="s">
        <v>797</v>
      </c>
      <c r="P2266" s="8">
        <v>6.0</v>
      </c>
    </row>
    <row r="2267">
      <c r="A2267">
        <f>IFERROR(__xludf.DUMMYFUNCTION("""COMPUTED_VALUE"""),7.0)</f>
        <v>7</v>
      </c>
      <c r="B2267">
        <f>IFERROR(__xludf.DUMMYFUNCTION("""COMPUTED_VALUE"""),30137.0)</f>
        <v>30137</v>
      </c>
      <c r="C2267" t="str">
        <f>IFERROR(__xludf.DUMMYFUNCTION("""COMPUTED_VALUE"""),"DA SILVA ABATEPAULO, IAN")</f>
        <v>DA SILVA ABATEPAULO, IAN</v>
      </c>
      <c r="D2267" t="str">
        <f>IFERROR(__xludf.DUMMYFUNCTION("""COMPUTED_VALUE"""),"PE 7A")</f>
        <v>PE 7A</v>
      </c>
      <c r="E2267" s="31" t="str">
        <f>IFERROR(__xludf.DUMMYFUNCTION("""COMPUTED_VALUE"""),"2a")</f>
        <v>2a</v>
      </c>
      <c r="F2267" s="8">
        <v>1.0</v>
      </c>
      <c r="G2267" s="8">
        <v>1.0</v>
      </c>
      <c r="H2267" s="8">
        <v>1.0</v>
      </c>
      <c r="I2267" s="8">
        <v>1.0</v>
      </c>
      <c r="J2267" s="8">
        <v>1.0</v>
      </c>
      <c r="K2267" s="8">
        <v>1.0</v>
      </c>
      <c r="L2267" s="8">
        <v>6.0</v>
      </c>
      <c r="M2267" s="8"/>
      <c r="N2267" s="8"/>
      <c r="O2267" s="8" t="s">
        <v>798</v>
      </c>
      <c r="P2267" s="8" t="e">
        <v>#N/A</v>
      </c>
    </row>
    <row r="2268">
      <c r="A2268">
        <f>IFERROR(__xludf.DUMMYFUNCTION("""COMPUTED_VALUE"""),7.0)</f>
        <v>7</v>
      </c>
      <c r="B2268">
        <f>IFERROR(__xludf.DUMMYFUNCTION("""COMPUTED_VALUE"""),30036.0)</f>
        <v>30036</v>
      </c>
      <c r="C2268" t="str">
        <f>IFERROR(__xludf.DUMMYFUNCTION("""COMPUTED_VALUE"""),"DUQUE OCHOA, PABLO")</f>
        <v>DUQUE OCHOA, PABLO</v>
      </c>
      <c r="D2268" t="str">
        <f>IFERROR(__xludf.DUMMYFUNCTION("""COMPUTED_VALUE"""),"PE 7")</f>
        <v>PE 7</v>
      </c>
      <c r="E2268" s="31" t="str">
        <f>IFERROR(__xludf.DUMMYFUNCTION("""COMPUTED_VALUE"""),"4a")</f>
        <v>4a</v>
      </c>
      <c r="F2268" s="8">
        <v>1.0</v>
      </c>
      <c r="G2268" s="8">
        <v>1.0</v>
      </c>
      <c r="H2268" s="8">
        <v>1.0</v>
      </c>
      <c r="I2268" s="8">
        <v>1.0</v>
      </c>
      <c r="J2268" s="8">
        <v>1.0</v>
      </c>
      <c r="K2268" s="8">
        <v>1.0</v>
      </c>
      <c r="L2268" s="8">
        <v>6.0</v>
      </c>
      <c r="M2268" s="8"/>
      <c r="N2268" s="8"/>
      <c r="O2268" s="8" t="s">
        <v>796</v>
      </c>
      <c r="P2268" s="8">
        <v>6.0</v>
      </c>
    </row>
    <row r="2269">
      <c r="A2269">
        <f>IFERROR(__xludf.DUMMYFUNCTION("""COMPUTED_VALUE"""),7.0)</f>
        <v>7</v>
      </c>
      <c r="B2269">
        <f>IFERROR(__xludf.DUMMYFUNCTION("""COMPUTED_VALUE"""),30037.0)</f>
        <v>30037</v>
      </c>
      <c r="C2269" t="str">
        <f>IFERROR(__xludf.DUMMYFUNCTION("""COMPUTED_VALUE"""),"DUQUE ZAPATA, SAMUEL")</f>
        <v>DUQUE ZAPATA, SAMUEL</v>
      </c>
      <c r="D2269" t="str">
        <f>IFERROR(__xludf.DUMMYFUNCTION("""COMPUTED_VALUE"""),"PE 7A")</f>
        <v>PE 7A</v>
      </c>
      <c r="E2269" s="31" t="str">
        <f>IFERROR(__xludf.DUMMYFUNCTION("""COMPUTED_VALUE"""),"1b")</f>
        <v>1b</v>
      </c>
      <c r="F2269" s="8">
        <v>1.0</v>
      </c>
      <c r="G2269" s="8">
        <v>1.0</v>
      </c>
      <c r="H2269" s="8">
        <v>1.0</v>
      </c>
      <c r="I2269" s="8">
        <v>1.0</v>
      </c>
      <c r="J2269" s="8">
        <v>1.0</v>
      </c>
      <c r="K2269" s="8">
        <v>1.0</v>
      </c>
      <c r="L2269" s="8">
        <v>6.0</v>
      </c>
      <c r="M2269" s="8"/>
      <c r="N2269" s="8"/>
      <c r="O2269" s="8" t="s">
        <v>800</v>
      </c>
      <c r="P2269" s="8" t="e">
        <v>#N/A</v>
      </c>
    </row>
    <row r="2270">
      <c r="A2270">
        <f>IFERROR(__xludf.DUMMYFUNCTION("""COMPUTED_VALUE"""),7.0)</f>
        <v>7</v>
      </c>
      <c r="B2270">
        <f>IFERROR(__xludf.DUMMYFUNCTION("""COMPUTED_VALUE"""),30038.0)</f>
        <v>30038</v>
      </c>
      <c r="C2270" t="str">
        <f>IFERROR(__xludf.DUMMYFUNCTION("""COMPUTED_VALUE"""),"ESCANDON LIBOS, AMELIA")</f>
        <v>ESCANDON LIBOS, AMELIA</v>
      </c>
      <c r="D2270" t="str">
        <f>IFERROR(__xludf.DUMMYFUNCTION("""COMPUTED_VALUE"""),"PE 7")</f>
        <v>PE 7</v>
      </c>
      <c r="E2270" s="31" t="str">
        <f>IFERROR(__xludf.DUMMYFUNCTION("""COMPUTED_VALUE"""),"1b")</f>
        <v>1b</v>
      </c>
      <c r="F2270" s="8">
        <v>1.0</v>
      </c>
      <c r="G2270" s="8">
        <v>1.0</v>
      </c>
      <c r="H2270" s="8">
        <v>1.0</v>
      </c>
      <c r="I2270" s="8">
        <v>1.0</v>
      </c>
      <c r="J2270" s="8">
        <v>1.0</v>
      </c>
      <c r="K2270" s="8">
        <v>1.0</v>
      </c>
      <c r="L2270" s="8">
        <v>6.0</v>
      </c>
      <c r="M2270" s="8"/>
      <c r="N2270" s="8"/>
      <c r="O2270" s="8" t="s">
        <v>801</v>
      </c>
      <c r="P2270" s="8">
        <v>6.0</v>
      </c>
    </row>
    <row r="2271">
      <c r="A2271">
        <f>IFERROR(__xludf.DUMMYFUNCTION("""COMPUTED_VALUE"""),7.0)</f>
        <v>7</v>
      </c>
      <c r="B2271">
        <f>IFERROR(__xludf.DUMMYFUNCTION("""COMPUTED_VALUE"""),30039.0)</f>
        <v>30039</v>
      </c>
      <c r="C2271" t="str">
        <f>IFERROR(__xludf.DUMMYFUNCTION("""COMPUTED_VALUE"""),"ESCOBAR CASTAÑO, ALICIA")</f>
        <v>ESCOBAR CASTAÑO, ALICIA</v>
      </c>
      <c r="D2271" t="str">
        <f>IFERROR(__xludf.DUMMYFUNCTION("""COMPUTED_VALUE"""),"PE 7")</f>
        <v>PE 7</v>
      </c>
      <c r="E2271" s="31" t="str">
        <f>IFERROR(__xludf.DUMMYFUNCTION("""COMPUTED_VALUE"""),"6b")</f>
        <v>6b</v>
      </c>
      <c r="F2271" s="8">
        <v>1.0</v>
      </c>
      <c r="G2271" s="8">
        <v>1.0</v>
      </c>
      <c r="H2271" s="8">
        <v>1.0</v>
      </c>
      <c r="I2271" s="8">
        <v>1.0</v>
      </c>
      <c r="J2271" s="8">
        <v>1.0</v>
      </c>
      <c r="K2271" s="8">
        <v>1.0</v>
      </c>
      <c r="L2271" s="8">
        <v>6.0</v>
      </c>
      <c r="M2271" s="8"/>
      <c r="N2271" s="8"/>
      <c r="O2271" s="8" t="s">
        <v>799</v>
      </c>
      <c r="P2271" s="8">
        <v>6.0</v>
      </c>
    </row>
    <row r="2272">
      <c r="A2272">
        <f>IFERROR(__xludf.DUMMYFUNCTION("""COMPUTED_VALUE"""),7.0)</f>
        <v>7</v>
      </c>
      <c r="B2272">
        <f>IFERROR(__xludf.DUMMYFUNCTION("""COMPUTED_VALUE"""),30040.0)</f>
        <v>30040</v>
      </c>
      <c r="C2272" t="str">
        <f>IFERROR(__xludf.DUMMYFUNCTION("""COMPUTED_VALUE"""),"ESCOBEDO DRAVIGNEY, ZOE")</f>
        <v>ESCOBEDO DRAVIGNEY, ZOE</v>
      </c>
      <c r="D2272" t="str">
        <f>IFERROR(__xludf.DUMMYFUNCTION("""COMPUTED_VALUE"""),"PE 7")</f>
        <v>PE 7</v>
      </c>
      <c r="E2272" s="31" t="str">
        <f>IFERROR(__xludf.DUMMYFUNCTION("""COMPUTED_VALUE"""),"2a")</f>
        <v>2a</v>
      </c>
      <c r="F2272" s="8">
        <v>1.0</v>
      </c>
      <c r="G2272" s="8">
        <v>1.0</v>
      </c>
      <c r="H2272" s="8">
        <v>1.0</v>
      </c>
      <c r="I2272" s="8">
        <v>1.0</v>
      </c>
      <c r="J2272" s="8">
        <v>1.0</v>
      </c>
      <c r="K2272" s="8">
        <v>1.0</v>
      </c>
      <c r="L2272" s="8">
        <v>6.0</v>
      </c>
      <c r="M2272" s="8"/>
      <c r="N2272" s="8"/>
      <c r="O2272" s="8" t="s">
        <v>797</v>
      </c>
      <c r="P2272" s="8">
        <v>6.0</v>
      </c>
    </row>
    <row r="2273">
      <c r="A2273">
        <f>IFERROR(__xludf.DUMMYFUNCTION("""COMPUTED_VALUE"""),7.0)</f>
        <v>7</v>
      </c>
      <c r="B2273">
        <f>IFERROR(__xludf.DUMMYFUNCTION("""COMPUTED_VALUE"""),30042.0)</f>
        <v>30042</v>
      </c>
      <c r="C2273" t="str">
        <f>IFERROR(__xludf.DUMMYFUNCTION("""COMPUTED_VALUE"""),"ESTELA NARANJO, JOSE MARIA")</f>
        <v>ESTELA NARANJO, JOSE MARIA</v>
      </c>
      <c r="D2273" t="str">
        <f>IFERROR(__xludf.DUMMYFUNCTION("""COMPUTED_VALUE"""),"PE 7")</f>
        <v>PE 7</v>
      </c>
      <c r="E2273" s="31" t="str">
        <f>IFERROR(__xludf.DUMMYFUNCTION("""COMPUTED_VALUE"""),"1b")</f>
        <v>1b</v>
      </c>
      <c r="F2273" s="8">
        <v>1.0</v>
      </c>
      <c r="G2273" s="8">
        <v>1.0</v>
      </c>
      <c r="H2273" s="8">
        <v>1.0</v>
      </c>
      <c r="I2273" s="8">
        <v>1.0</v>
      </c>
      <c r="J2273" s="8">
        <v>1.0</v>
      </c>
      <c r="K2273" s="8">
        <v>1.0</v>
      </c>
      <c r="L2273" s="8">
        <v>6.0</v>
      </c>
      <c r="M2273" s="8"/>
      <c r="N2273" s="8"/>
      <c r="O2273" s="8" t="s">
        <v>801</v>
      </c>
      <c r="P2273" s="8">
        <v>6.0</v>
      </c>
    </row>
    <row r="2274">
      <c r="A2274">
        <f>IFERROR(__xludf.DUMMYFUNCTION("""COMPUTED_VALUE"""),7.0)</f>
        <v>7</v>
      </c>
      <c r="B2274">
        <f>IFERROR(__xludf.DUMMYFUNCTION("""COMPUTED_VALUE"""),30043.0)</f>
        <v>30043</v>
      </c>
      <c r="C2274" t="str">
        <f>IFERROR(__xludf.DUMMYFUNCTION("""COMPUTED_VALUE"""),"FERNANDEZ RAMIREZ, SANTIAGO")</f>
        <v>FERNANDEZ RAMIREZ, SANTIAGO</v>
      </c>
      <c r="D2274" t="str">
        <f>IFERROR(__xludf.DUMMYFUNCTION("""COMPUTED_VALUE"""),"PE 7A")</f>
        <v>PE 7A</v>
      </c>
      <c r="E2274" s="31" t="str">
        <f>IFERROR(__xludf.DUMMYFUNCTION("""COMPUTED_VALUE"""),"1b")</f>
        <v>1b</v>
      </c>
      <c r="F2274" s="8">
        <v>1.0</v>
      </c>
      <c r="G2274" s="8">
        <v>1.0</v>
      </c>
      <c r="H2274" s="8">
        <v>1.0</v>
      </c>
      <c r="I2274" s="8">
        <v>1.0</v>
      </c>
      <c r="J2274" s="8">
        <v>1.0</v>
      </c>
      <c r="K2274" s="8">
        <v>1.0</v>
      </c>
      <c r="L2274" s="8">
        <v>6.0</v>
      </c>
      <c r="M2274" s="8"/>
      <c r="N2274" s="8"/>
      <c r="O2274" s="8" t="s">
        <v>800</v>
      </c>
      <c r="P2274" s="8" t="e">
        <v>#N/A</v>
      </c>
    </row>
    <row r="2275">
      <c r="A2275">
        <f>IFERROR(__xludf.DUMMYFUNCTION("""COMPUTED_VALUE"""),7.0)</f>
        <v>7</v>
      </c>
      <c r="B2275">
        <f>IFERROR(__xludf.DUMMYFUNCTION("""COMPUTED_VALUE"""),30045.0)</f>
        <v>30045</v>
      </c>
      <c r="C2275" t="str">
        <f>IFERROR(__xludf.DUMMYFUNCTION("""COMPUTED_VALUE"""),"GALVEZ ATEHORTUA, LAURA")</f>
        <v>GALVEZ ATEHORTUA, LAURA</v>
      </c>
      <c r="D2275" t="str">
        <f>IFERROR(__xludf.DUMMYFUNCTION("""COMPUTED_VALUE"""),"PE 7A")</f>
        <v>PE 7A</v>
      </c>
      <c r="E2275" s="31" t="str">
        <f>IFERROR(__xludf.DUMMYFUNCTION("""COMPUTED_VALUE"""),"2a")</f>
        <v>2a</v>
      </c>
      <c r="F2275" s="8">
        <v>1.0</v>
      </c>
      <c r="G2275" s="8">
        <v>1.0</v>
      </c>
      <c r="H2275" s="8">
        <v>1.0</v>
      </c>
      <c r="I2275" s="8">
        <v>1.0</v>
      </c>
      <c r="J2275" s="8">
        <v>1.0</v>
      </c>
      <c r="K2275" s="8">
        <v>1.0</v>
      </c>
      <c r="L2275" s="8">
        <v>6.0</v>
      </c>
      <c r="M2275" s="8"/>
      <c r="N2275" s="8"/>
      <c r="O2275" s="8" t="s">
        <v>798</v>
      </c>
      <c r="P2275" s="8" t="e">
        <v>#N/A</v>
      </c>
    </row>
    <row r="2276">
      <c r="A2276">
        <f>IFERROR(__xludf.DUMMYFUNCTION("""COMPUTED_VALUE"""),7.0)</f>
        <v>7</v>
      </c>
      <c r="B2276">
        <f>IFERROR(__xludf.DUMMYFUNCTION("""COMPUTED_VALUE"""),30139.0)</f>
        <v>30139</v>
      </c>
      <c r="C2276" t="str">
        <f>IFERROR(__xludf.DUMMYFUNCTION("""COMPUTED_VALUE"""),"GARCIA RESTREPO, MATIAS")</f>
        <v>GARCIA RESTREPO, MATIAS</v>
      </c>
      <c r="D2276" t="str">
        <f>IFERROR(__xludf.DUMMYFUNCTION("""COMPUTED_VALUE"""),"PE 7")</f>
        <v>PE 7</v>
      </c>
      <c r="E2276" s="31" t="str">
        <f>IFERROR(__xludf.DUMMYFUNCTION("""COMPUTED_VALUE"""),"4a")</f>
        <v>4a</v>
      </c>
      <c r="F2276" s="8">
        <v>1.0</v>
      </c>
      <c r="G2276" s="8">
        <v>1.0</v>
      </c>
      <c r="H2276" s="8">
        <v>1.0</v>
      </c>
      <c r="I2276" s="8">
        <v>1.0</v>
      </c>
      <c r="J2276" s="8">
        <v>1.0</v>
      </c>
      <c r="K2276" s="8">
        <v>1.0</v>
      </c>
      <c r="L2276" s="8">
        <v>6.0</v>
      </c>
      <c r="M2276" s="8"/>
      <c r="N2276" s="8"/>
      <c r="O2276" s="8" t="s">
        <v>796</v>
      </c>
      <c r="P2276" s="8">
        <v>6.0</v>
      </c>
    </row>
    <row r="2277">
      <c r="A2277">
        <f>IFERROR(__xludf.DUMMYFUNCTION("""COMPUTED_VALUE"""),7.0)</f>
        <v>7</v>
      </c>
      <c r="B2277">
        <f>IFERROR(__xludf.DUMMYFUNCTION("""COMPUTED_VALUE"""),30046.0)</f>
        <v>30046</v>
      </c>
      <c r="C2277" t="str">
        <f>IFERROR(__xludf.DUMMYFUNCTION("""COMPUTED_VALUE"""),"GARCIA RIVERA, MARTIN")</f>
        <v>GARCIA RIVERA, MARTIN</v>
      </c>
      <c r="D2277" t="str">
        <f>IFERROR(__xludf.DUMMYFUNCTION("""COMPUTED_VALUE"""),"PE 7A")</f>
        <v>PE 7A</v>
      </c>
      <c r="E2277" s="31" t="str">
        <f>IFERROR(__xludf.DUMMYFUNCTION("""COMPUTED_VALUE"""),"2a")</f>
        <v>2a</v>
      </c>
      <c r="F2277" s="8">
        <v>1.0</v>
      </c>
      <c r="G2277" s="8">
        <v>1.0</v>
      </c>
      <c r="H2277" s="8">
        <v>1.0</v>
      </c>
      <c r="I2277" s="8">
        <v>1.0</v>
      </c>
      <c r="J2277" s="8">
        <v>1.0</v>
      </c>
      <c r="K2277" s="8">
        <v>1.0</v>
      </c>
      <c r="L2277" s="8">
        <v>6.0</v>
      </c>
      <c r="M2277" s="8"/>
      <c r="N2277" s="8"/>
      <c r="O2277" s="8" t="s">
        <v>798</v>
      </c>
      <c r="P2277" s="8" t="e">
        <v>#N/A</v>
      </c>
    </row>
    <row r="2278">
      <c r="A2278">
        <f>IFERROR(__xludf.DUMMYFUNCTION("""COMPUTED_VALUE"""),7.0)</f>
        <v>7</v>
      </c>
      <c r="B2278">
        <f>IFERROR(__xludf.DUMMYFUNCTION("""COMPUTED_VALUE"""),30047.0)</f>
        <v>30047</v>
      </c>
      <c r="C2278" t="str">
        <f>IFERROR(__xludf.DUMMYFUNCTION("""COMPUTED_VALUE"""),"GAVIRIA ISAZA, CAMILO")</f>
        <v>GAVIRIA ISAZA, CAMILO</v>
      </c>
      <c r="D2278" t="str">
        <f>IFERROR(__xludf.DUMMYFUNCTION("""COMPUTED_VALUE"""),"PE 7")</f>
        <v>PE 7</v>
      </c>
      <c r="E2278" s="31" t="str">
        <f>IFERROR(__xludf.DUMMYFUNCTION("""COMPUTED_VALUE"""),"2a")</f>
        <v>2a</v>
      </c>
      <c r="F2278" s="8">
        <v>1.0</v>
      </c>
      <c r="G2278" s="8">
        <v>1.0</v>
      </c>
      <c r="H2278" s="8">
        <v>1.0</v>
      </c>
      <c r="I2278" s="8">
        <v>1.0</v>
      </c>
      <c r="J2278" s="8">
        <v>1.0</v>
      </c>
      <c r="K2278" s="8">
        <v>1.0</v>
      </c>
      <c r="L2278" s="8">
        <v>6.0</v>
      </c>
      <c r="M2278" s="8"/>
      <c r="N2278" s="8"/>
      <c r="O2278" s="8" t="s">
        <v>797</v>
      </c>
      <c r="P2278" s="8">
        <v>6.0</v>
      </c>
    </row>
    <row r="2279">
      <c r="A2279">
        <f>IFERROR(__xludf.DUMMYFUNCTION("""COMPUTED_VALUE"""),7.0)</f>
        <v>7</v>
      </c>
      <c r="B2279">
        <f>IFERROR(__xludf.DUMMYFUNCTION("""COMPUTED_VALUE"""),30048.0)</f>
        <v>30048</v>
      </c>
      <c r="C2279" t="str">
        <f>IFERROR(__xludf.DUMMYFUNCTION("""COMPUTED_VALUE"""),"GAVIRIA OLAYA, AMALIA")</f>
        <v>GAVIRIA OLAYA, AMALIA</v>
      </c>
      <c r="D2279" t="str">
        <f>IFERROR(__xludf.DUMMYFUNCTION("""COMPUTED_VALUE"""),"PE 7")</f>
        <v>PE 7</v>
      </c>
      <c r="E2279" s="31" t="str">
        <f>IFERROR(__xludf.DUMMYFUNCTION("""COMPUTED_VALUE"""),"2a")</f>
        <v>2a</v>
      </c>
      <c r="F2279" s="8">
        <v>1.0</v>
      </c>
      <c r="G2279" s="8">
        <v>1.0</v>
      </c>
      <c r="H2279" s="8">
        <v>1.0</v>
      </c>
      <c r="I2279" s="8">
        <v>1.0</v>
      </c>
      <c r="J2279" s="8">
        <v>1.0</v>
      </c>
      <c r="K2279" s="8">
        <v>1.0</v>
      </c>
      <c r="L2279" s="8">
        <v>6.0</v>
      </c>
      <c r="M2279" s="8"/>
      <c r="N2279" s="8"/>
      <c r="O2279" s="8" t="s">
        <v>797</v>
      </c>
      <c r="P2279" s="8">
        <v>6.0</v>
      </c>
    </row>
    <row r="2280">
      <c r="A2280">
        <f>IFERROR(__xludf.DUMMYFUNCTION("""COMPUTED_VALUE"""),7.0)</f>
        <v>7</v>
      </c>
      <c r="B2280">
        <f>IFERROR(__xludf.DUMMYFUNCTION("""COMPUTED_VALUE"""),30146.0)</f>
        <v>30146</v>
      </c>
      <c r="C2280" t="str">
        <f>IFERROR(__xludf.DUMMYFUNCTION("""COMPUTED_VALUE"""),"GIRALDO MONTOYA, EMMA")</f>
        <v>GIRALDO MONTOYA, EMMA</v>
      </c>
      <c r="D2280" t="str">
        <f>IFERROR(__xludf.DUMMYFUNCTION("""COMPUTED_VALUE"""),"PE 7")</f>
        <v>PE 7</v>
      </c>
      <c r="E2280" s="31" t="str">
        <f>IFERROR(__xludf.DUMMYFUNCTION("""COMPUTED_VALUE"""),"6b")</f>
        <v>6b</v>
      </c>
      <c r="F2280" s="8">
        <v>1.0</v>
      </c>
      <c r="G2280" s="8">
        <v>1.0</v>
      </c>
      <c r="H2280" s="8">
        <v>1.0</v>
      </c>
      <c r="I2280" s="8">
        <v>1.0</v>
      </c>
      <c r="J2280" s="8">
        <v>1.0</v>
      </c>
      <c r="K2280" s="8">
        <v>1.0</v>
      </c>
      <c r="L2280" s="8">
        <v>6.0</v>
      </c>
      <c r="M2280" s="8"/>
      <c r="N2280" s="8"/>
      <c r="O2280" s="8" t="s">
        <v>799</v>
      </c>
      <c r="P2280" s="8">
        <v>6.0</v>
      </c>
    </row>
    <row r="2281">
      <c r="A2281">
        <f>IFERROR(__xludf.DUMMYFUNCTION("""COMPUTED_VALUE"""),7.0)</f>
        <v>7</v>
      </c>
      <c r="B2281">
        <f>IFERROR(__xludf.DUMMYFUNCTION("""COMPUTED_VALUE"""),30049.0)</f>
        <v>30049</v>
      </c>
      <c r="C2281" t="str">
        <f>IFERROR(__xludf.DUMMYFUNCTION("""COMPUTED_VALUE"""),"GOMEZ RAMIREZ, JOAQUIN")</f>
        <v>GOMEZ RAMIREZ, JOAQUIN</v>
      </c>
      <c r="D2281" t="str">
        <f>IFERROR(__xludf.DUMMYFUNCTION("""COMPUTED_VALUE"""),"PE 7A")</f>
        <v>PE 7A</v>
      </c>
      <c r="E2281" s="31" t="str">
        <f>IFERROR(__xludf.DUMMYFUNCTION("""COMPUTED_VALUE"""),"1b")</f>
        <v>1b</v>
      </c>
      <c r="F2281" s="8">
        <v>1.0</v>
      </c>
      <c r="G2281" s="8">
        <v>1.0</v>
      </c>
      <c r="H2281" s="8">
        <v>1.0</v>
      </c>
      <c r="I2281" s="8">
        <v>1.0</v>
      </c>
      <c r="J2281" s="8">
        <v>1.0</v>
      </c>
      <c r="K2281" s="8">
        <v>1.0</v>
      </c>
      <c r="L2281" s="8">
        <v>6.0</v>
      </c>
      <c r="M2281" s="8"/>
      <c r="N2281" s="8"/>
      <c r="O2281" s="8" t="s">
        <v>800</v>
      </c>
      <c r="P2281" s="8" t="e">
        <v>#N/A</v>
      </c>
    </row>
    <row r="2282">
      <c r="A2282">
        <f>IFERROR(__xludf.DUMMYFUNCTION("""COMPUTED_VALUE"""),7.0)</f>
        <v>7</v>
      </c>
      <c r="B2282">
        <f>IFERROR(__xludf.DUMMYFUNCTION("""COMPUTED_VALUE"""),30050.0)</f>
        <v>30050</v>
      </c>
      <c r="C2282" t="str">
        <f>IFERROR(__xludf.DUMMYFUNCTION("""COMPUTED_VALUE"""),"GOMEZ TORRES, AMALIA")</f>
        <v>GOMEZ TORRES, AMALIA</v>
      </c>
      <c r="D2282" t="str">
        <f>IFERROR(__xludf.DUMMYFUNCTION("""COMPUTED_VALUE"""),"PE 7")</f>
        <v>PE 7</v>
      </c>
      <c r="E2282" s="31" t="str">
        <f>IFERROR(__xludf.DUMMYFUNCTION("""COMPUTED_VALUE"""),"1b")</f>
        <v>1b</v>
      </c>
      <c r="F2282" s="8">
        <v>1.0</v>
      </c>
      <c r="G2282" s="8">
        <v>1.0</v>
      </c>
      <c r="H2282" s="8">
        <v>1.0</v>
      </c>
      <c r="I2282" s="8">
        <v>1.0</v>
      </c>
      <c r="J2282" s="8">
        <v>1.0</v>
      </c>
      <c r="K2282" s="8">
        <v>1.0</v>
      </c>
      <c r="L2282" s="8">
        <v>6.0</v>
      </c>
      <c r="M2282" s="8"/>
      <c r="N2282" s="8"/>
      <c r="O2282" s="8" t="s">
        <v>801</v>
      </c>
      <c r="P2282" s="8">
        <v>6.0</v>
      </c>
    </row>
    <row r="2283">
      <c r="A2283">
        <f>IFERROR(__xludf.DUMMYFUNCTION("""COMPUTED_VALUE"""),7.0)</f>
        <v>7</v>
      </c>
      <c r="B2283">
        <f>IFERROR(__xludf.DUMMYFUNCTION("""COMPUTED_VALUE"""),30051.0)</f>
        <v>30051</v>
      </c>
      <c r="C2283" t="str">
        <f>IFERROR(__xludf.DUMMYFUNCTION("""COMPUTED_VALUE"""),"GONZALEZ MONSALVE, JULIETA")</f>
        <v>GONZALEZ MONSALVE, JULIETA</v>
      </c>
      <c r="D2283" t="str">
        <f>IFERROR(__xludf.DUMMYFUNCTION("""COMPUTED_VALUE"""),"PE 7")</f>
        <v>PE 7</v>
      </c>
      <c r="E2283" s="31" t="str">
        <f>IFERROR(__xludf.DUMMYFUNCTION("""COMPUTED_VALUE"""),"2a")</f>
        <v>2a</v>
      </c>
      <c r="F2283" s="8">
        <v>1.0</v>
      </c>
      <c r="G2283" s="8">
        <v>1.0</v>
      </c>
      <c r="H2283" s="8">
        <v>1.0</v>
      </c>
      <c r="I2283" s="8">
        <v>1.0</v>
      </c>
      <c r="J2283" s="8">
        <v>1.0</v>
      </c>
      <c r="K2283" s="8">
        <v>1.0</v>
      </c>
      <c r="L2283" s="8">
        <v>6.0</v>
      </c>
      <c r="M2283" s="8"/>
      <c r="N2283" s="8"/>
      <c r="O2283" s="8" t="s">
        <v>797</v>
      </c>
      <c r="P2283" s="8">
        <v>6.0</v>
      </c>
    </row>
    <row r="2284">
      <c r="A2284">
        <f>IFERROR(__xludf.DUMMYFUNCTION("""COMPUTED_VALUE"""),7.0)</f>
        <v>7</v>
      </c>
      <c r="B2284">
        <f>IFERROR(__xludf.DUMMYFUNCTION("""COMPUTED_VALUE"""),30052.0)</f>
        <v>30052</v>
      </c>
      <c r="C2284" t="str">
        <f>IFERROR(__xludf.DUMMYFUNCTION("""COMPUTED_VALUE"""),"GONZALEZ TORRES, SEBASTIAN")</f>
        <v>GONZALEZ TORRES, SEBASTIAN</v>
      </c>
      <c r="D2284" t="str">
        <f>IFERROR(__xludf.DUMMYFUNCTION("""COMPUTED_VALUE"""),"PE 7")</f>
        <v>PE 7</v>
      </c>
      <c r="E2284" s="31" t="str">
        <f>IFERROR(__xludf.DUMMYFUNCTION("""COMPUTED_VALUE"""),"2a")</f>
        <v>2a</v>
      </c>
      <c r="F2284" s="8">
        <v>1.0</v>
      </c>
      <c r="G2284" s="8">
        <v>1.0</v>
      </c>
      <c r="H2284" s="8">
        <v>1.0</v>
      </c>
      <c r="I2284" s="8">
        <v>1.0</v>
      </c>
      <c r="J2284" s="8">
        <v>1.0</v>
      </c>
      <c r="K2284" s="8">
        <v>1.0</v>
      </c>
      <c r="L2284" s="8">
        <v>6.0</v>
      </c>
      <c r="M2284" s="8"/>
      <c r="N2284" s="8"/>
      <c r="O2284" s="8" t="s">
        <v>797</v>
      </c>
      <c r="P2284" s="8">
        <v>6.0</v>
      </c>
    </row>
    <row r="2285">
      <c r="A2285">
        <f>IFERROR(__xludf.DUMMYFUNCTION("""COMPUTED_VALUE"""),7.0)</f>
        <v>7</v>
      </c>
      <c r="B2285">
        <f>IFERROR(__xludf.DUMMYFUNCTION("""COMPUTED_VALUE"""),30053.0)</f>
        <v>30053</v>
      </c>
      <c r="C2285" t="str">
        <f>IFERROR(__xludf.DUMMYFUNCTION("""COMPUTED_VALUE"""),"GONZALEZ TRABOULSI, MATIAS")</f>
        <v>GONZALEZ TRABOULSI, MATIAS</v>
      </c>
      <c r="D2285" t="str">
        <f>IFERROR(__xludf.DUMMYFUNCTION("""COMPUTED_VALUE"""),"PE 7")</f>
        <v>PE 7</v>
      </c>
      <c r="E2285" s="31" t="str">
        <f>IFERROR(__xludf.DUMMYFUNCTION("""COMPUTED_VALUE"""),"6b")</f>
        <v>6b</v>
      </c>
      <c r="F2285" s="8">
        <v>1.0</v>
      </c>
      <c r="G2285" s="8">
        <v>1.0</v>
      </c>
      <c r="H2285" s="8">
        <v>1.0</v>
      </c>
      <c r="I2285" s="8">
        <v>1.0</v>
      </c>
      <c r="J2285" s="8">
        <v>1.0</v>
      </c>
      <c r="K2285" s="8">
        <v>1.0</v>
      </c>
      <c r="L2285" s="8">
        <v>6.0</v>
      </c>
      <c r="M2285" s="8"/>
      <c r="N2285" s="8"/>
      <c r="O2285" s="8" t="s">
        <v>799</v>
      </c>
      <c r="P2285" s="8">
        <v>6.0</v>
      </c>
    </row>
    <row r="2286">
      <c r="A2286">
        <f>IFERROR(__xludf.DUMMYFUNCTION("""COMPUTED_VALUE"""),7.0)</f>
        <v>7</v>
      </c>
      <c r="B2286">
        <f>IFERROR(__xludf.DUMMYFUNCTION("""COMPUTED_VALUE"""),30054.0)</f>
        <v>30054</v>
      </c>
      <c r="C2286" t="str">
        <f>IFERROR(__xludf.DUMMYFUNCTION("""COMPUTED_VALUE"""),"GRISALES PINEDA, ELISA")</f>
        <v>GRISALES PINEDA, ELISA</v>
      </c>
      <c r="D2286" t="str">
        <f>IFERROR(__xludf.DUMMYFUNCTION("""COMPUTED_VALUE"""),"PE 7")</f>
        <v>PE 7</v>
      </c>
      <c r="E2286" s="31" t="str">
        <f>IFERROR(__xludf.DUMMYFUNCTION("""COMPUTED_VALUE"""),"2a")</f>
        <v>2a</v>
      </c>
      <c r="F2286" s="8">
        <v>1.0</v>
      </c>
      <c r="G2286" s="8">
        <v>1.0</v>
      </c>
      <c r="H2286" s="8">
        <v>1.0</v>
      </c>
      <c r="I2286" s="8">
        <v>1.0</v>
      </c>
      <c r="J2286" s="8">
        <v>1.0</v>
      </c>
      <c r="K2286" s="8">
        <v>1.0</v>
      </c>
      <c r="L2286" s="8">
        <v>6.0</v>
      </c>
      <c r="M2286" s="8"/>
      <c r="N2286" s="8"/>
      <c r="O2286" s="8" t="s">
        <v>797</v>
      </c>
      <c r="P2286" s="8">
        <v>6.0</v>
      </c>
    </row>
    <row r="2287">
      <c r="A2287">
        <f>IFERROR(__xludf.DUMMYFUNCTION("""COMPUTED_VALUE"""),7.0)</f>
        <v>7</v>
      </c>
      <c r="B2287">
        <f>IFERROR(__xludf.DUMMYFUNCTION("""COMPUTED_VALUE"""),30055.0)</f>
        <v>30055</v>
      </c>
      <c r="C2287" t="str">
        <f>IFERROR(__xludf.DUMMYFUNCTION("""COMPUTED_VALUE"""),"GUERRERO JARAMILLO, CAMILA")</f>
        <v>GUERRERO JARAMILLO, CAMILA</v>
      </c>
      <c r="D2287" t="str">
        <f>IFERROR(__xludf.DUMMYFUNCTION("""COMPUTED_VALUE"""),"PE 7")</f>
        <v>PE 7</v>
      </c>
      <c r="E2287" s="31" t="str">
        <f>IFERROR(__xludf.DUMMYFUNCTION("""COMPUTED_VALUE"""),"1b")</f>
        <v>1b</v>
      </c>
      <c r="F2287" s="8">
        <v>1.0</v>
      </c>
      <c r="G2287" s="8">
        <v>1.0</v>
      </c>
      <c r="H2287" s="8">
        <v>1.0</v>
      </c>
      <c r="I2287" s="8">
        <v>1.0</v>
      </c>
      <c r="J2287" s="8">
        <v>1.0</v>
      </c>
      <c r="K2287" s="8">
        <v>1.0</v>
      </c>
      <c r="L2287" s="8">
        <v>6.0</v>
      </c>
      <c r="M2287" s="8"/>
      <c r="N2287" s="8"/>
      <c r="O2287" s="8" t="s">
        <v>801</v>
      </c>
      <c r="P2287" s="8">
        <v>6.0</v>
      </c>
    </row>
    <row r="2288">
      <c r="A2288">
        <f>IFERROR(__xludf.DUMMYFUNCTION("""COMPUTED_VALUE"""),7.0)</f>
        <v>7</v>
      </c>
      <c r="B2288">
        <f>IFERROR(__xludf.DUMMYFUNCTION("""COMPUTED_VALUE"""),30056.0)</f>
        <v>30056</v>
      </c>
      <c r="C2288" t="str">
        <f>IFERROR(__xludf.DUMMYFUNCTION("""COMPUTED_VALUE"""),"GUTIERREZ CARVAJAL, VIOLETA")</f>
        <v>GUTIERREZ CARVAJAL, VIOLETA</v>
      </c>
      <c r="D2288" t="str">
        <f>IFERROR(__xludf.DUMMYFUNCTION("""COMPUTED_VALUE"""),"PE 7")</f>
        <v>PE 7</v>
      </c>
      <c r="E2288" s="31" t="str">
        <f>IFERROR(__xludf.DUMMYFUNCTION("""COMPUTED_VALUE"""),"2a")</f>
        <v>2a</v>
      </c>
      <c r="F2288" s="8">
        <v>1.0</v>
      </c>
      <c r="G2288" s="8">
        <v>1.0</v>
      </c>
      <c r="H2288" s="8">
        <v>1.0</v>
      </c>
      <c r="I2288" s="8">
        <v>1.0</v>
      </c>
      <c r="J2288" s="8">
        <v>1.0</v>
      </c>
      <c r="K2288" s="8">
        <v>1.0</v>
      </c>
      <c r="L2288" s="8">
        <v>6.0</v>
      </c>
      <c r="M2288" s="8"/>
      <c r="N2288" s="8"/>
      <c r="O2288" s="8" t="s">
        <v>797</v>
      </c>
      <c r="P2288" s="8">
        <v>6.0</v>
      </c>
    </row>
    <row r="2289">
      <c r="A2289">
        <f>IFERROR(__xludf.DUMMYFUNCTION("""COMPUTED_VALUE"""),7.0)</f>
        <v>7</v>
      </c>
      <c r="B2289">
        <f>IFERROR(__xludf.DUMMYFUNCTION("""COMPUTED_VALUE"""),30057.0)</f>
        <v>30057</v>
      </c>
      <c r="C2289" t="str">
        <f>IFERROR(__xludf.DUMMYFUNCTION("""COMPUTED_VALUE"""),"GUTIERREZ OCAMPO, ISABELA")</f>
        <v>GUTIERREZ OCAMPO, ISABELA</v>
      </c>
      <c r="D2289" t="str">
        <f>IFERROR(__xludf.DUMMYFUNCTION("""COMPUTED_VALUE"""),"PE 7")</f>
        <v>PE 7</v>
      </c>
      <c r="E2289" s="31" t="str">
        <f>IFERROR(__xludf.DUMMYFUNCTION("""COMPUTED_VALUE"""),"6b")</f>
        <v>6b</v>
      </c>
      <c r="F2289" s="8">
        <v>1.0</v>
      </c>
      <c r="G2289" s="8">
        <v>1.0</v>
      </c>
      <c r="H2289" s="8">
        <v>1.0</v>
      </c>
      <c r="I2289" s="8">
        <v>1.0</v>
      </c>
      <c r="J2289" s="8">
        <v>1.0</v>
      </c>
      <c r="K2289" s="8">
        <v>1.0</v>
      </c>
      <c r="L2289" s="8">
        <v>6.0</v>
      </c>
      <c r="M2289" s="8"/>
      <c r="N2289" s="8"/>
      <c r="O2289" s="8" t="s">
        <v>799</v>
      </c>
      <c r="P2289" s="8">
        <v>6.0</v>
      </c>
    </row>
    <row r="2290">
      <c r="A2290">
        <f>IFERROR(__xludf.DUMMYFUNCTION("""COMPUTED_VALUE"""),7.0)</f>
        <v>7</v>
      </c>
      <c r="B2290">
        <f>IFERROR(__xludf.DUMMYFUNCTION("""COMPUTED_VALUE"""),30058.0)</f>
        <v>30058</v>
      </c>
      <c r="C2290" t="str">
        <f>IFERROR(__xludf.DUMMYFUNCTION("""COMPUTED_VALUE"""),"GUZMAN FRANCO, SEBASTIAN")</f>
        <v>GUZMAN FRANCO, SEBASTIAN</v>
      </c>
      <c r="D2290" t="str">
        <f>IFERROR(__xludf.DUMMYFUNCTION("""COMPUTED_VALUE"""),"PE 7")</f>
        <v>PE 7</v>
      </c>
      <c r="E2290" s="31" t="str">
        <f>IFERROR(__xludf.DUMMYFUNCTION("""COMPUTED_VALUE"""),"1b")</f>
        <v>1b</v>
      </c>
      <c r="F2290" s="8">
        <v>1.0</v>
      </c>
      <c r="G2290" s="8">
        <v>1.0</v>
      </c>
      <c r="H2290" s="8">
        <v>1.0</v>
      </c>
      <c r="I2290" s="8">
        <v>1.0</v>
      </c>
      <c r="J2290" s="8">
        <v>1.0</v>
      </c>
      <c r="K2290" s="8">
        <v>1.0</v>
      </c>
      <c r="L2290" s="8">
        <v>6.0</v>
      </c>
      <c r="M2290" s="8"/>
      <c r="N2290" s="8"/>
      <c r="O2290" s="8" t="s">
        <v>801</v>
      </c>
      <c r="P2290" s="8">
        <v>6.0</v>
      </c>
    </row>
    <row r="2291">
      <c r="A2291">
        <f>IFERROR(__xludf.DUMMYFUNCTION("""COMPUTED_VALUE"""),7.0)</f>
        <v>7</v>
      </c>
      <c r="B2291">
        <f>IFERROR(__xludf.DUMMYFUNCTION("""COMPUTED_VALUE"""),30059.0)</f>
        <v>30059</v>
      </c>
      <c r="C2291" t="str">
        <f>IFERROR(__xludf.DUMMYFUNCTION("""COMPUTED_VALUE"""),"HALABY NAVARRO, MARCO")</f>
        <v>HALABY NAVARRO, MARCO</v>
      </c>
      <c r="D2291" t="str">
        <f>IFERROR(__xludf.DUMMYFUNCTION("""COMPUTED_VALUE"""),"PE 7")</f>
        <v>PE 7</v>
      </c>
      <c r="E2291" s="31" t="str">
        <f>IFERROR(__xludf.DUMMYFUNCTION("""COMPUTED_VALUE"""),"2a")</f>
        <v>2a</v>
      </c>
      <c r="F2291" s="8">
        <v>1.0</v>
      </c>
      <c r="G2291" s="8">
        <v>1.0</v>
      </c>
      <c r="H2291" s="8">
        <v>1.0</v>
      </c>
      <c r="I2291" s="8">
        <v>1.0</v>
      </c>
      <c r="J2291" s="8">
        <v>1.0</v>
      </c>
      <c r="K2291" s="8">
        <v>1.0</v>
      </c>
      <c r="L2291" s="8">
        <v>6.0</v>
      </c>
      <c r="M2291" s="8"/>
      <c r="N2291" s="8"/>
      <c r="O2291" s="8" t="s">
        <v>797</v>
      </c>
      <c r="P2291" s="8">
        <v>6.0</v>
      </c>
    </row>
    <row r="2292">
      <c r="A2292">
        <f>IFERROR(__xludf.DUMMYFUNCTION("""COMPUTED_VALUE"""),7.0)</f>
        <v>7</v>
      </c>
      <c r="B2292">
        <f>IFERROR(__xludf.DUMMYFUNCTION("""COMPUTED_VALUE"""),30166.0)</f>
        <v>30166</v>
      </c>
      <c r="C2292" t="str">
        <f>IFERROR(__xludf.DUMMYFUNCTION("""COMPUTED_VALUE"""),"HERNANDEZ GOMEZ, EMILIA")</f>
        <v>HERNANDEZ GOMEZ, EMILIA</v>
      </c>
      <c r="D2292" t="str">
        <f>IFERROR(__xludf.DUMMYFUNCTION("""COMPUTED_VALUE"""),"PE 7")</f>
        <v>PE 7</v>
      </c>
      <c r="E2292" s="31" t="str">
        <f>IFERROR(__xludf.DUMMYFUNCTION("""COMPUTED_VALUE"""),"2a")</f>
        <v>2a</v>
      </c>
      <c r="F2292" s="8">
        <v>1.0</v>
      </c>
      <c r="G2292" s="8">
        <v>1.0</v>
      </c>
      <c r="H2292" s="8">
        <v>1.0</v>
      </c>
      <c r="I2292" s="8">
        <v>1.0</v>
      </c>
      <c r="J2292" s="8">
        <v>1.0</v>
      </c>
      <c r="K2292" s="8">
        <v>1.0</v>
      </c>
      <c r="L2292" s="8">
        <v>6.0</v>
      </c>
      <c r="M2292" s="8"/>
      <c r="N2292" s="8"/>
      <c r="O2292" s="8" t="s">
        <v>797</v>
      </c>
      <c r="P2292" s="8">
        <v>6.0</v>
      </c>
    </row>
    <row r="2293">
      <c r="A2293">
        <f>IFERROR(__xludf.DUMMYFUNCTION("""COMPUTED_VALUE"""),7.0)</f>
        <v>7</v>
      </c>
      <c r="B2293">
        <f>IFERROR(__xludf.DUMMYFUNCTION("""COMPUTED_VALUE"""),30062.0)</f>
        <v>30062</v>
      </c>
      <c r="C2293" t="str">
        <f>IFERROR(__xludf.DUMMYFUNCTION("""COMPUTED_VALUE"""),"HURTADO FAJARDO, VALERIA")</f>
        <v>HURTADO FAJARDO, VALERIA</v>
      </c>
      <c r="D2293" t="str">
        <f>IFERROR(__xludf.DUMMYFUNCTION("""COMPUTED_VALUE"""),"PE 7")</f>
        <v>PE 7</v>
      </c>
      <c r="E2293" s="31" t="str">
        <f>IFERROR(__xludf.DUMMYFUNCTION("""COMPUTED_VALUE"""),"2a")</f>
        <v>2a</v>
      </c>
      <c r="F2293" s="8">
        <v>1.0</v>
      </c>
      <c r="G2293" s="8">
        <v>1.0</v>
      </c>
      <c r="H2293" s="8">
        <v>1.0</v>
      </c>
      <c r="I2293" s="8">
        <v>1.0</v>
      </c>
      <c r="J2293" s="8">
        <v>1.0</v>
      </c>
      <c r="K2293" s="8">
        <v>1.0</v>
      </c>
      <c r="L2293" s="8">
        <v>6.0</v>
      </c>
      <c r="M2293" s="8"/>
      <c r="N2293" s="8"/>
      <c r="O2293" s="8" t="s">
        <v>797</v>
      </c>
      <c r="P2293" s="8">
        <v>6.0</v>
      </c>
    </row>
    <row r="2294">
      <c r="A2294">
        <f>IFERROR(__xludf.DUMMYFUNCTION("""COMPUTED_VALUE"""),7.0)</f>
        <v>7</v>
      </c>
      <c r="B2294">
        <f>IFERROR(__xludf.DUMMYFUNCTION("""COMPUTED_VALUE"""),30064.0)</f>
        <v>30064</v>
      </c>
      <c r="C2294" t="str">
        <f>IFERROR(__xludf.DUMMYFUNCTION("""COMPUTED_VALUE"""),"JARAMILLO ARBELAEZ, TOMAS")</f>
        <v>JARAMILLO ARBELAEZ, TOMAS</v>
      </c>
      <c r="D2294" t="str">
        <f>IFERROR(__xludf.DUMMYFUNCTION("""COMPUTED_VALUE"""),"PE 7A")</f>
        <v>PE 7A</v>
      </c>
      <c r="E2294" s="31" t="str">
        <f>IFERROR(__xludf.DUMMYFUNCTION("""COMPUTED_VALUE"""),"1b")</f>
        <v>1b</v>
      </c>
      <c r="F2294" s="8">
        <v>1.0</v>
      </c>
      <c r="G2294" s="8">
        <v>1.0</v>
      </c>
      <c r="H2294" s="8">
        <v>1.0</v>
      </c>
      <c r="I2294" s="8">
        <v>1.0</v>
      </c>
      <c r="J2294" s="8">
        <v>1.0</v>
      </c>
      <c r="K2294" s="8">
        <v>1.0</v>
      </c>
      <c r="L2294" s="8">
        <v>6.0</v>
      </c>
      <c r="M2294" s="8"/>
      <c r="N2294" s="8"/>
      <c r="O2294" s="8" t="s">
        <v>800</v>
      </c>
      <c r="P2294" s="8" t="e">
        <v>#N/A</v>
      </c>
    </row>
    <row r="2295">
      <c r="A2295">
        <f>IFERROR(__xludf.DUMMYFUNCTION("""COMPUTED_VALUE"""),7.0)</f>
        <v>7</v>
      </c>
      <c r="B2295">
        <f>IFERROR(__xludf.DUMMYFUNCTION("""COMPUTED_VALUE"""),30065.0)</f>
        <v>30065</v>
      </c>
      <c r="C2295" t="str">
        <f>IFERROR(__xludf.DUMMYFUNCTION("""COMPUTED_VALUE"""),"JARAMILLO MORA, CARMEN")</f>
        <v>JARAMILLO MORA, CARMEN</v>
      </c>
      <c r="D2295" t="str">
        <f>IFERROR(__xludf.DUMMYFUNCTION("""COMPUTED_VALUE"""),"PE 7A")</f>
        <v>PE 7A</v>
      </c>
      <c r="E2295" s="31" t="str">
        <f>IFERROR(__xludf.DUMMYFUNCTION("""COMPUTED_VALUE"""),"2a")</f>
        <v>2a</v>
      </c>
      <c r="F2295" s="8">
        <v>1.0</v>
      </c>
      <c r="G2295" s="8">
        <v>1.0</v>
      </c>
      <c r="H2295" s="8">
        <v>1.0</v>
      </c>
      <c r="I2295" s="8">
        <v>1.0</v>
      </c>
      <c r="J2295" s="8">
        <v>1.0</v>
      </c>
      <c r="K2295" s="8">
        <v>1.0</v>
      </c>
      <c r="L2295" s="8">
        <v>6.0</v>
      </c>
      <c r="M2295" s="8"/>
      <c r="N2295" s="8"/>
      <c r="O2295" s="8" t="s">
        <v>798</v>
      </c>
      <c r="P2295" s="8" t="e">
        <v>#N/A</v>
      </c>
    </row>
    <row r="2296">
      <c r="A2296">
        <f>IFERROR(__xludf.DUMMYFUNCTION("""COMPUTED_VALUE"""),7.0)</f>
        <v>7</v>
      </c>
      <c r="B2296">
        <f>IFERROR(__xludf.DUMMYFUNCTION("""COMPUTED_VALUE"""),30066.0)</f>
        <v>30066</v>
      </c>
      <c r="C2296" t="str">
        <f>IFERROR(__xludf.DUMMYFUNCTION("""COMPUTED_VALUE"""),"JARAMILLO PEÑA, MIGUEL ANTONIO")</f>
        <v>JARAMILLO PEÑA, MIGUEL ANTONIO</v>
      </c>
      <c r="D2296" t="str">
        <f>IFERROR(__xludf.DUMMYFUNCTION("""COMPUTED_VALUE"""),"PE 7")</f>
        <v>PE 7</v>
      </c>
      <c r="E2296" s="31" t="str">
        <f>IFERROR(__xludf.DUMMYFUNCTION("""COMPUTED_VALUE"""),"4a")</f>
        <v>4a</v>
      </c>
      <c r="F2296" s="8">
        <v>1.0</v>
      </c>
      <c r="G2296" s="8">
        <v>1.0</v>
      </c>
      <c r="H2296" s="8">
        <v>1.0</v>
      </c>
      <c r="I2296" s="8">
        <v>1.0</v>
      </c>
      <c r="J2296" s="8">
        <v>1.0</v>
      </c>
      <c r="K2296" s="8">
        <v>1.0</v>
      </c>
      <c r="L2296" s="8">
        <v>6.0</v>
      </c>
      <c r="M2296" s="8"/>
      <c r="N2296" s="8"/>
      <c r="O2296" s="8" t="s">
        <v>796</v>
      </c>
      <c r="P2296" s="8">
        <v>6.0</v>
      </c>
    </row>
    <row r="2297">
      <c r="A2297">
        <f>IFERROR(__xludf.DUMMYFUNCTION("""COMPUTED_VALUE"""),7.0)</f>
        <v>7</v>
      </c>
      <c r="B2297">
        <f>IFERROR(__xludf.DUMMYFUNCTION("""COMPUTED_VALUE"""),30148.0)</f>
        <v>30148</v>
      </c>
      <c r="C2297" t="str">
        <f>IFERROR(__xludf.DUMMYFUNCTION("""COMPUTED_VALUE"""),"JARAMILLO VELASQUEZ, FEDERICO")</f>
        <v>JARAMILLO VELASQUEZ, FEDERICO</v>
      </c>
      <c r="D2297" t="str">
        <f>IFERROR(__xludf.DUMMYFUNCTION("""COMPUTED_VALUE"""),"PE 7")</f>
        <v>PE 7</v>
      </c>
      <c r="E2297" s="31" t="str">
        <f>IFERROR(__xludf.DUMMYFUNCTION("""COMPUTED_VALUE"""),"6b")</f>
        <v>6b</v>
      </c>
      <c r="F2297" s="8">
        <v>1.0</v>
      </c>
      <c r="G2297" s="8">
        <v>1.0</v>
      </c>
      <c r="H2297" s="8">
        <v>1.0</v>
      </c>
      <c r="I2297" s="8">
        <v>1.0</v>
      </c>
      <c r="J2297" s="8">
        <v>1.0</v>
      </c>
      <c r="K2297" s="8">
        <v>1.0</v>
      </c>
      <c r="L2297" s="8">
        <v>6.0</v>
      </c>
      <c r="M2297" s="8"/>
      <c r="N2297" s="8"/>
      <c r="O2297" s="8" t="s">
        <v>799</v>
      </c>
      <c r="P2297" s="8">
        <v>6.0</v>
      </c>
    </row>
    <row r="2298">
      <c r="A2298">
        <f>IFERROR(__xludf.DUMMYFUNCTION("""COMPUTED_VALUE"""),7.0)</f>
        <v>7</v>
      </c>
      <c r="B2298">
        <f>IFERROR(__xludf.DUMMYFUNCTION("""COMPUTED_VALUE"""),30068.0)</f>
        <v>30068</v>
      </c>
      <c r="C2298" t="str">
        <f>IFERROR(__xludf.DUMMYFUNCTION("""COMPUTED_VALUE"""),"LIBREROS ZULUAGA, JOSHUA")</f>
        <v>LIBREROS ZULUAGA, JOSHUA</v>
      </c>
      <c r="D2298" t="str">
        <f>IFERROR(__xludf.DUMMYFUNCTION("""COMPUTED_VALUE"""),"PE 7")</f>
        <v>PE 7</v>
      </c>
      <c r="E2298" s="31" t="str">
        <f>IFERROR(__xludf.DUMMYFUNCTION("""COMPUTED_VALUE"""),"2a")</f>
        <v>2a</v>
      </c>
      <c r="F2298" s="8">
        <v>1.0</v>
      </c>
      <c r="G2298" s="8">
        <v>1.0</v>
      </c>
      <c r="H2298" s="8">
        <v>1.0</v>
      </c>
      <c r="I2298" s="8">
        <v>1.0</v>
      </c>
      <c r="J2298" s="8">
        <v>1.0</v>
      </c>
      <c r="K2298" s="8">
        <v>1.0</v>
      </c>
      <c r="L2298" s="8">
        <v>6.0</v>
      </c>
      <c r="M2298" s="8"/>
      <c r="N2298" s="8"/>
      <c r="O2298" s="8" t="s">
        <v>797</v>
      </c>
      <c r="P2298" s="8">
        <v>6.0</v>
      </c>
    </row>
    <row r="2299">
      <c r="A2299">
        <f>IFERROR(__xludf.DUMMYFUNCTION("""COMPUTED_VALUE"""),7.0)</f>
        <v>7</v>
      </c>
      <c r="B2299">
        <f>IFERROR(__xludf.DUMMYFUNCTION("""COMPUTED_VALUE"""),30069.0)</f>
        <v>30069</v>
      </c>
      <c r="C2299" t="str">
        <f>IFERROR(__xludf.DUMMYFUNCTION("""COMPUTED_VALUE"""),"LLANO PIEDRAHITA, TOMAS")</f>
        <v>LLANO PIEDRAHITA, TOMAS</v>
      </c>
      <c r="D2299" t="str">
        <f>IFERROR(__xludf.DUMMYFUNCTION("""COMPUTED_VALUE"""),"PE 7A")</f>
        <v>PE 7A</v>
      </c>
      <c r="E2299" s="31" t="str">
        <f>IFERROR(__xludf.DUMMYFUNCTION("""COMPUTED_VALUE"""),"2a")</f>
        <v>2a</v>
      </c>
      <c r="F2299" s="8">
        <v>1.0</v>
      </c>
      <c r="G2299" s="8">
        <v>1.0</v>
      </c>
      <c r="H2299" s="8">
        <v>1.0</v>
      </c>
      <c r="I2299" s="8">
        <v>1.0</v>
      </c>
      <c r="J2299" s="8">
        <v>1.0</v>
      </c>
      <c r="K2299" s="8">
        <v>1.0</v>
      </c>
      <c r="L2299" s="8">
        <v>6.0</v>
      </c>
      <c r="M2299" s="8"/>
      <c r="N2299" s="8"/>
      <c r="O2299" s="8" t="s">
        <v>798</v>
      </c>
      <c r="P2299" s="8" t="e">
        <v>#N/A</v>
      </c>
    </row>
    <row r="2300">
      <c r="A2300">
        <f>IFERROR(__xludf.DUMMYFUNCTION("""COMPUTED_VALUE"""),7.0)</f>
        <v>7</v>
      </c>
      <c r="B2300">
        <f>IFERROR(__xludf.DUMMYFUNCTION("""COMPUTED_VALUE"""),30070.0)</f>
        <v>30070</v>
      </c>
      <c r="C2300" t="str">
        <f>IFERROR(__xludf.DUMMYFUNCTION("""COMPUTED_VALUE"""),"LONDOÑO CUARTAS, PABLO")</f>
        <v>LONDOÑO CUARTAS, PABLO</v>
      </c>
      <c r="D2300" t="str">
        <f>IFERROR(__xludf.DUMMYFUNCTION("""COMPUTED_VALUE"""),"PE 7")</f>
        <v>PE 7</v>
      </c>
      <c r="E2300" s="31" t="str">
        <f>IFERROR(__xludf.DUMMYFUNCTION("""COMPUTED_VALUE"""),"4a")</f>
        <v>4a</v>
      </c>
      <c r="F2300" s="8">
        <v>1.0</v>
      </c>
      <c r="G2300" s="8">
        <v>1.0</v>
      </c>
      <c r="H2300" s="8">
        <v>1.0</v>
      </c>
      <c r="I2300" s="8">
        <v>1.0</v>
      </c>
      <c r="J2300" s="8">
        <v>1.0</v>
      </c>
      <c r="K2300" s="8">
        <v>1.0</v>
      </c>
      <c r="L2300" s="8">
        <v>6.0</v>
      </c>
      <c r="M2300" s="8"/>
      <c r="N2300" s="8"/>
      <c r="O2300" s="8" t="s">
        <v>796</v>
      </c>
      <c r="P2300" s="8">
        <v>6.0</v>
      </c>
    </row>
    <row r="2301">
      <c r="A2301">
        <f>IFERROR(__xludf.DUMMYFUNCTION("""COMPUTED_VALUE"""),7.0)</f>
        <v>7</v>
      </c>
      <c r="B2301">
        <f>IFERROR(__xludf.DUMMYFUNCTION("""COMPUTED_VALUE"""),30155.0)</f>
        <v>30155</v>
      </c>
      <c r="C2301" t="str">
        <f>IFERROR(__xludf.DUMMYFUNCTION("""COMPUTED_VALUE"""),"LONDOÑO JARAMILLO, MARIANO")</f>
        <v>LONDOÑO JARAMILLO, MARIANO</v>
      </c>
      <c r="D2301" t="str">
        <f>IFERROR(__xludf.DUMMYFUNCTION("""COMPUTED_VALUE"""),"PE 7A")</f>
        <v>PE 7A</v>
      </c>
      <c r="E2301" s="31" t="str">
        <f>IFERROR(__xludf.DUMMYFUNCTION("""COMPUTED_VALUE"""),"1b")</f>
        <v>1b</v>
      </c>
      <c r="F2301" s="8">
        <v>1.0</v>
      </c>
      <c r="G2301" s="8">
        <v>1.0</v>
      </c>
      <c r="H2301" s="8">
        <v>1.0</v>
      </c>
      <c r="I2301" s="8">
        <v>1.0</v>
      </c>
      <c r="J2301" s="8">
        <v>1.0</v>
      </c>
      <c r="K2301" s="8">
        <v>1.0</v>
      </c>
      <c r="L2301" s="8">
        <v>6.0</v>
      </c>
      <c r="M2301" s="8"/>
      <c r="N2301" s="8"/>
      <c r="O2301" s="8" t="s">
        <v>800</v>
      </c>
      <c r="P2301" s="8" t="e">
        <v>#N/A</v>
      </c>
    </row>
    <row r="2302">
      <c r="A2302">
        <f>IFERROR(__xludf.DUMMYFUNCTION("""COMPUTED_VALUE"""),7.0)</f>
        <v>7</v>
      </c>
      <c r="B2302">
        <f>IFERROR(__xludf.DUMMYFUNCTION("""COMPUTED_VALUE"""),30072.0)</f>
        <v>30072</v>
      </c>
      <c r="C2302" t="str">
        <f>IFERROR(__xludf.DUMMYFUNCTION("""COMPUTED_VALUE"""),"LOZANO NAVARRO, GREGORIO")</f>
        <v>LOZANO NAVARRO, GREGORIO</v>
      </c>
      <c r="D2302" t="str">
        <f>IFERROR(__xludf.DUMMYFUNCTION("""COMPUTED_VALUE"""),"PE 7")</f>
        <v>PE 7</v>
      </c>
      <c r="E2302" s="31" t="str">
        <f>IFERROR(__xludf.DUMMYFUNCTION("""COMPUTED_VALUE"""),"4a")</f>
        <v>4a</v>
      </c>
      <c r="F2302" s="8">
        <v>1.0</v>
      </c>
      <c r="G2302" s="8">
        <v>1.0</v>
      </c>
      <c r="H2302" s="8">
        <v>1.0</v>
      </c>
      <c r="I2302" s="8">
        <v>1.0</v>
      </c>
      <c r="J2302" s="8">
        <v>1.0</v>
      </c>
      <c r="K2302" s="8">
        <v>1.0</v>
      </c>
      <c r="L2302" s="8">
        <v>6.0</v>
      </c>
      <c r="M2302" s="8"/>
      <c r="N2302" s="8"/>
      <c r="O2302" s="8" t="s">
        <v>796</v>
      </c>
      <c r="P2302" s="8">
        <v>6.0</v>
      </c>
    </row>
    <row r="2303">
      <c r="A2303">
        <f>IFERROR(__xludf.DUMMYFUNCTION("""COMPUTED_VALUE"""),7.0)</f>
        <v>7</v>
      </c>
      <c r="B2303">
        <f>IFERROR(__xludf.DUMMYFUNCTION("""COMPUTED_VALUE"""),30074.0)</f>
        <v>30074</v>
      </c>
      <c r="C2303" t="str">
        <f>IFERROR(__xludf.DUMMYFUNCTION("""COMPUTED_VALUE"""),"MACIA TORO, ALICIA")</f>
        <v>MACIA TORO, ALICIA</v>
      </c>
      <c r="D2303" t="str">
        <f>IFERROR(__xludf.DUMMYFUNCTION("""COMPUTED_VALUE"""),"PE 7A")</f>
        <v>PE 7A</v>
      </c>
      <c r="E2303" s="31" t="str">
        <f>IFERROR(__xludf.DUMMYFUNCTION("""COMPUTED_VALUE"""),"2a")</f>
        <v>2a</v>
      </c>
      <c r="F2303" s="8">
        <v>1.0</v>
      </c>
      <c r="G2303" s="8">
        <v>1.0</v>
      </c>
      <c r="H2303" s="8">
        <v>1.0</v>
      </c>
      <c r="I2303" s="8">
        <v>1.0</v>
      </c>
      <c r="J2303" s="8">
        <v>1.0</v>
      </c>
      <c r="K2303" s="8">
        <v>1.0</v>
      </c>
      <c r="L2303" s="8">
        <v>6.0</v>
      </c>
      <c r="M2303" s="8"/>
      <c r="N2303" s="8"/>
      <c r="O2303" s="8" t="s">
        <v>798</v>
      </c>
      <c r="P2303" s="8" t="e">
        <v>#N/A</v>
      </c>
    </row>
    <row r="2304">
      <c r="A2304">
        <f>IFERROR(__xludf.DUMMYFUNCTION("""COMPUTED_VALUE"""),7.0)</f>
        <v>7</v>
      </c>
      <c r="B2304">
        <f>IFERROR(__xludf.DUMMYFUNCTION("""COMPUTED_VALUE"""),30075.0)</f>
        <v>30075</v>
      </c>
      <c r="C2304" t="str">
        <f>IFERROR(__xludf.DUMMYFUNCTION("""COMPUTED_VALUE"""),"MANRIQUE CUESTA, VALERIA")</f>
        <v>MANRIQUE CUESTA, VALERIA</v>
      </c>
      <c r="D2304" t="str">
        <f>IFERROR(__xludf.DUMMYFUNCTION("""COMPUTED_VALUE"""),"PE 7")</f>
        <v>PE 7</v>
      </c>
      <c r="E2304" s="31" t="str">
        <f>IFERROR(__xludf.DUMMYFUNCTION("""COMPUTED_VALUE"""),"1b")</f>
        <v>1b</v>
      </c>
      <c r="F2304" s="8">
        <v>1.0</v>
      </c>
      <c r="G2304" s="8">
        <v>1.0</v>
      </c>
      <c r="H2304" s="8">
        <v>1.0</v>
      </c>
      <c r="I2304" s="8">
        <v>1.0</v>
      </c>
      <c r="J2304" s="8">
        <v>1.0</v>
      </c>
      <c r="K2304" s="8">
        <v>1.0</v>
      </c>
      <c r="L2304" s="8">
        <v>6.0</v>
      </c>
      <c r="M2304" s="8"/>
      <c r="N2304" s="8"/>
      <c r="O2304" s="8" t="s">
        <v>801</v>
      </c>
      <c r="P2304" s="8">
        <v>6.0</v>
      </c>
    </row>
    <row r="2305">
      <c r="A2305">
        <f>IFERROR(__xludf.DUMMYFUNCTION("""COMPUTED_VALUE"""),7.0)</f>
        <v>7</v>
      </c>
      <c r="B2305">
        <f>IFERROR(__xludf.DUMMYFUNCTION("""COMPUTED_VALUE"""),30076.0)</f>
        <v>30076</v>
      </c>
      <c r="C2305" t="str">
        <f>IFERROR(__xludf.DUMMYFUNCTION("""COMPUTED_VALUE"""),"MARTINEZ OROZCO, GABRIELA")</f>
        <v>MARTINEZ OROZCO, GABRIELA</v>
      </c>
      <c r="D2305" t="str">
        <f>IFERROR(__xludf.DUMMYFUNCTION("""COMPUTED_VALUE"""),"PE 7")</f>
        <v>PE 7</v>
      </c>
      <c r="E2305" s="31" t="str">
        <f>IFERROR(__xludf.DUMMYFUNCTION("""COMPUTED_VALUE"""),"6b")</f>
        <v>6b</v>
      </c>
      <c r="F2305" s="8">
        <v>1.0</v>
      </c>
      <c r="G2305" s="8">
        <v>1.0</v>
      </c>
      <c r="H2305" s="8">
        <v>1.0</v>
      </c>
      <c r="I2305" s="8">
        <v>1.0</v>
      </c>
      <c r="J2305" s="8">
        <v>1.0</v>
      </c>
      <c r="K2305" s="8">
        <v>1.0</v>
      </c>
      <c r="L2305" s="8">
        <v>6.0</v>
      </c>
      <c r="M2305" s="8"/>
      <c r="N2305" s="8"/>
      <c r="O2305" s="8" t="s">
        <v>799</v>
      </c>
      <c r="P2305" s="8">
        <v>6.0</v>
      </c>
    </row>
    <row r="2306">
      <c r="A2306">
        <f>IFERROR(__xludf.DUMMYFUNCTION("""COMPUTED_VALUE"""),7.0)</f>
        <v>7</v>
      </c>
      <c r="B2306">
        <f>IFERROR(__xludf.DUMMYFUNCTION("""COMPUTED_VALUE"""),30077.0)</f>
        <v>30077</v>
      </c>
      <c r="C2306" t="str">
        <f>IFERROR(__xludf.DUMMYFUNCTION("""COMPUTED_VALUE"""),"MC LEAN HIDRON, SIMON")</f>
        <v>MC LEAN HIDRON, SIMON</v>
      </c>
      <c r="D2306" t="str">
        <f>IFERROR(__xludf.DUMMYFUNCTION("""COMPUTED_VALUE"""),"PE 7")</f>
        <v>PE 7</v>
      </c>
      <c r="E2306" s="31" t="str">
        <f>IFERROR(__xludf.DUMMYFUNCTION("""COMPUTED_VALUE"""),"4a")</f>
        <v>4a</v>
      </c>
      <c r="F2306" s="8">
        <v>1.0</v>
      </c>
      <c r="G2306" s="8">
        <v>1.0</v>
      </c>
      <c r="H2306" s="8">
        <v>1.0</v>
      </c>
      <c r="I2306" s="8">
        <v>1.0</v>
      </c>
      <c r="J2306" s="8">
        <v>1.0</v>
      </c>
      <c r="K2306" s="8">
        <v>1.0</v>
      </c>
      <c r="L2306" s="8">
        <v>6.0</v>
      </c>
      <c r="M2306" s="8"/>
      <c r="N2306" s="8"/>
      <c r="O2306" s="8" t="s">
        <v>796</v>
      </c>
      <c r="P2306" s="8">
        <v>6.0</v>
      </c>
    </row>
    <row r="2307">
      <c r="A2307">
        <f>IFERROR(__xludf.DUMMYFUNCTION("""COMPUTED_VALUE"""),7.0)</f>
        <v>7</v>
      </c>
      <c r="B2307">
        <f>IFERROR(__xludf.DUMMYFUNCTION("""COMPUTED_VALUE"""),30174.0)</f>
        <v>30174</v>
      </c>
      <c r="C2307" t="str">
        <f>IFERROR(__xludf.DUMMYFUNCTION("""COMPUTED_VALUE"""),"MEJIA BOTERO, FRANCISCA")</f>
        <v>MEJIA BOTERO, FRANCISCA</v>
      </c>
      <c r="D2307" t="str">
        <f>IFERROR(__xludf.DUMMYFUNCTION("""COMPUTED_VALUE"""),"PE 7")</f>
        <v>PE 7</v>
      </c>
      <c r="E2307" s="31" t="str">
        <f>IFERROR(__xludf.DUMMYFUNCTION("""COMPUTED_VALUE"""),"1b")</f>
        <v>1b</v>
      </c>
      <c r="F2307" s="8">
        <v>1.0</v>
      </c>
      <c r="G2307" s="8">
        <v>1.0</v>
      </c>
      <c r="H2307" s="8">
        <v>1.0</v>
      </c>
      <c r="I2307" s="8">
        <v>1.0</v>
      </c>
      <c r="J2307" s="8">
        <v>1.0</v>
      </c>
      <c r="K2307" s="8">
        <v>1.0</v>
      </c>
      <c r="L2307" s="8">
        <v>6.0</v>
      </c>
      <c r="M2307" s="8"/>
      <c r="N2307" s="8"/>
      <c r="O2307" s="8" t="s">
        <v>801</v>
      </c>
      <c r="P2307" s="8">
        <v>6.0</v>
      </c>
    </row>
    <row r="2308">
      <c r="A2308">
        <f>IFERROR(__xludf.DUMMYFUNCTION("""COMPUTED_VALUE"""),7.0)</f>
        <v>7</v>
      </c>
      <c r="B2308">
        <f>IFERROR(__xludf.DUMMYFUNCTION("""COMPUTED_VALUE"""),30078.0)</f>
        <v>30078</v>
      </c>
      <c r="C2308" t="str">
        <f>IFERROR(__xludf.DUMMYFUNCTION("""COMPUTED_VALUE"""),"MESA GARCIA, ISABEL")</f>
        <v>MESA GARCIA, ISABEL</v>
      </c>
      <c r="D2308" t="str">
        <f>IFERROR(__xludf.DUMMYFUNCTION("""COMPUTED_VALUE"""),"PE 7")</f>
        <v>PE 7</v>
      </c>
      <c r="E2308" s="31" t="str">
        <f>IFERROR(__xludf.DUMMYFUNCTION("""COMPUTED_VALUE"""),"6b")</f>
        <v>6b</v>
      </c>
      <c r="F2308" s="8">
        <v>1.0</v>
      </c>
      <c r="G2308" s="8">
        <v>1.0</v>
      </c>
      <c r="H2308" s="8">
        <v>1.0</v>
      </c>
      <c r="I2308" s="8">
        <v>1.0</v>
      </c>
      <c r="J2308" s="8">
        <v>1.0</v>
      </c>
      <c r="K2308" s="8">
        <v>1.0</v>
      </c>
      <c r="L2308" s="8">
        <v>6.0</v>
      </c>
      <c r="M2308" s="8"/>
      <c r="N2308" s="8"/>
      <c r="O2308" s="8" t="s">
        <v>799</v>
      </c>
      <c r="P2308" s="8">
        <v>6.0</v>
      </c>
    </row>
    <row r="2309">
      <c r="A2309">
        <f>IFERROR(__xludf.DUMMYFUNCTION("""COMPUTED_VALUE"""),7.0)</f>
        <v>7</v>
      </c>
      <c r="B2309">
        <f>IFERROR(__xludf.DUMMYFUNCTION("""COMPUTED_VALUE"""),30079.0)</f>
        <v>30079</v>
      </c>
      <c r="C2309" t="str">
        <f>IFERROR(__xludf.DUMMYFUNCTION("""COMPUTED_VALUE"""),"MESA RESTREPO, BRUNO")</f>
        <v>MESA RESTREPO, BRUNO</v>
      </c>
      <c r="D2309" t="str">
        <f>IFERROR(__xludf.DUMMYFUNCTION("""COMPUTED_VALUE"""),"PE 7A")</f>
        <v>PE 7A</v>
      </c>
      <c r="E2309" s="31" t="str">
        <f>IFERROR(__xludf.DUMMYFUNCTION("""COMPUTED_VALUE"""),"1b")</f>
        <v>1b</v>
      </c>
      <c r="F2309" s="8">
        <v>1.0</v>
      </c>
      <c r="G2309" s="8">
        <v>1.0</v>
      </c>
      <c r="H2309" s="8">
        <v>1.0</v>
      </c>
      <c r="I2309" s="8">
        <v>1.0</v>
      </c>
      <c r="J2309" s="8">
        <v>1.0</v>
      </c>
      <c r="K2309" s="8">
        <v>1.0</v>
      </c>
      <c r="L2309" s="8">
        <v>6.0</v>
      </c>
      <c r="M2309" s="8"/>
      <c r="N2309" s="8"/>
      <c r="O2309" s="8" t="s">
        <v>800</v>
      </c>
      <c r="P2309" s="8" t="e">
        <v>#N/A</v>
      </c>
    </row>
    <row r="2310">
      <c r="A2310">
        <f>IFERROR(__xludf.DUMMYFUNCTION("""COMPUTED_VALUE"""),7.0)</f>
        <v>7</v>
      </c>
      <c r="B2310">
        <f>IFERROR(__xludf.DUMMYFUNCTION("""COMPUTED_VALUE"""),30080.0)</f>
        <v>30080</v>
      </c>
      <c r="C2310" t="str">
        <f>IFERROR(__xludf.DUMMYFUNCTION("""COMPUTED_VALUE"""),"MEZA SUAREZ, NIKOLAI")</f>
        <v>MEZA SUAREZ, NIKOLAI</v>
      </c>
      <c r="D2310" t="str">
        <f>IFERROR(__xludf.DUMMYFUNCTION("""COMPUTED_VALUE"""),"PE 7")</f>
        <v>PE 7</v>
      </c>
      <c r="E2310" s="31" t="str">
        <f>IFERROR(__xludf.DUMMYFUNCTION("""COMPUTED_VALUE"""),"1b")</f>
        <v>1b</v>
      </c>
      <c r="F2310" s="8">
        <v>1.0</v>
      </c>
      <c r="G2310" s="8">
        <v>1.0</v>
      </c>
      <c r="H2310" s="8">
        <v>1.0</v>
      </c>
      <c r="I2310" s="8">
        <v>1.0</v>
      </c>
      <c r="J2310" s="8">
        <v>1.0</v>
      </c>
      <c r="K2310" s="8">
        <v>1.0</v>
      </c>
      <c r="L2310" s="8">
        <v>6.0</v>
      </c>
      <c r="M2310" s="8"/>
      <c r="N2310" s="8"/>
      <c r="O2310" s="8" t="s">
        <v>801</v>
      </c>
      <c r="P2310" s="8">
        <v>6.0</v>
      </c>
    </row>
    <row r="2311">
      <c r="A2311">
        <f>IFERROR(__xludf.DUMMYFUNCTION("""COMPUTED_VALUE"""),7.0)</f>
        <v>7</v>
      </c>
      <c r="B2311">
        <f>IFERROR(__xludf.DUMMYFUNCTION("""COMPUTED_VALUE"""),30081.0)</f>
        <v>30081</v>
      </c>
      <c r="C2311" t="str">
        <f>IFERROR(__xludf.DUMMYFUNCTION("""COMPUTED_VALUE"""),"MOLINA HOYOS, AMALIA")</f>
        <v>MOLINA HOYOS, AMALIA</v>
      </c>
      <c r="D2311" t="str">
        <f>IFERROR(__xludf.DUMMYFUNCTION("""COMPUTED_VALUE"""),"PE 7A")</f>
        <v>PE 7A</v>
      </c>
      <c r="E2311" s="31" t="str">
        <f>IFERROR(__xludf.DUMMYFUNCTION("""COMPUTED_VALUE"""),"2a")</f>
        <v>2a</v>
      </c>
      <c r="F2311" s="8">
        <v>1.0</v>
      </c>
      <c r="G2311" s="8">
        <v>1.0</v>
      </c>
      <c r="H2311" s="8">
        <v>1.0</v>
      </c>
      <c r="I2311" s="8">
        <v>1.0</v>
      </c>
      <c r="J2311" s="8">
        <v>1.0</v>
      </c>
      <c r="K2311" s="8">
        <v>1.0</v>
      </c>
      <c r="L2311" s="8">
        <v>6.0</v>
      </c>
      <c r="M2311" s="8"/>
      <c r="N2311" s="8"/>
      <c r="O2311" s="8" t="s">
        <v>798</v>
      </c>
      <c r="P2311" s="8" t="e">
        <v>#N/A</v>
      </c>
    </row>
    <row r="2312">
      <c r="A2312">
        <f>IFERROR(__xludf.DUMMYFUNCTION("""COMPUTED_VALUE"""),7.0)</f>
        <v>7</v>
      </c>
      <c r="B2312">
        <f>IFERROR(__xludf.DUMMYFUNCTION("""COMPUTED_VALUE"""),30082.0)</f>
        <v>30082</v>
      </c>
      <c r="C2312" t="str">
        <f>IFERROR(__xludf.DUMMYFUNCTION("""COMPUTED_VALUE"""),"MONSALVE HOYOS, JUAN JOSE")</f>
        <v>MONSALVE HOYOS, JUAN JOSE</v>
      </c>
      <c r="D2312" t="str">
        <f>IFERROR(__xludf.DUMMYFUNCTION("""COMPUTED_VALUE"""),"PE 7")</f>
        <v>PE 7</v>
      </c>
      <c r="E2312" s="31" t="str">
        <f>IFERROR(__xludf.DUMMYFUNCTION("""COMPUTED_VALUE"""),"2a")</f>
        <v>2a</v>
      </c>
      <c r="F2312" s="8">
        <v>1.0</v>
      </c>
      <c r="G2312" s="8">
        <v>1.0</v>
      </c>
      <c r="H2312" s="8">
        <v>1.0</v>
      </c>
      <c r="I2312" s="8">
        <v>1.0</v>
      </c>
      <c r="J2312" s="8">
        <v>1.0</v>
      </c>
      <c r="K2312" s="8">
        <v>1.0</v>
      </c>
      <c r="L2312" s="8">
        <v>6.0</v>
      </c>
      <c r="M2312" s="8"/>
      <c r="N2312" s="8"/>
      <c r="O2312" s="8" t="s">
        <v>797</v>
      </c>
      <c r="P2312" s="8">
        <v>6.0</v>
      </c>
    </row>
    <row r="2313">
      <c r="A2313">
        <f>IFERROR(__xludf.DUMMYFUNCTION("""COMPUTED_VALUE"""),7.0)</f>
        <v>7</v>
      </c>
      <c r="B2313">
        <f>IFERROR(__xludf.DUMMYFUNCTION("""COMPUTED_VALUE"""),30142.0)</f>
        <v>30142</v>
      </c>
      <c r="C2313" t="str">
        <f>IFERROR(__xludf.DUMMYFUNCTION("""COMPUTED_VALUE"""),"MONTOYA GOMEZ, RAFAELA")</f>
        <v>MONTOYA GOMEZ, RAFAELA</v>
      </c>
      <c r="D2313" t="str">
        <f>IFERROR(__xludf.DUMMYFUNCTION("""COMPUTED_VALUE"""),"PE 7")</f>
        <v>PE 7</v>
      </c>
      <c r="E2313" s="31" t="str">
        <f>IFERROR(__xludf.DUMMYFUNCTION("""COMPUTED_VALUE"""),"6b")</f>
        <v>6b</v>
      </c>
      <c r="F2313" s="8">
        <v>1.0</v>
      </c>
      <c r="G2313" s="8">
        <v>1.0</v>
      </c>
      <c r="H2313" s="8">
        <v>1.0</v>
      </c>
      <c r="I2313" s="8">
        <v>1.0</v>
      </c>
      <c r="J2313" s="8">
        <v>1.0</v>
      </c>
      <c r="K2313" s="8">
        <v>1.0</v>
      </c>
      <c r="L2313" s="8">
        <v>6.0</v>
      </c>
      <c r="M2313" s="8"/>
      <c r="N2313" s="8"/>
      <c r="O2313" s="8" t="s">
        <v>799</v>
      </c>
      <c r="P2313" s="8">
        <v>6.0</v>
      </c>
    </row>
    <row r="2314">
      <c r="A2314">
        <f>IFERROR(__xludf.DUMMYFUNCTION("""COMPUTED_VALUE"""),7.0)</f>
        <v>7</v>
      </c>
      <c r="B2314">
        <f>IFERROR(__xludf.DUMMYFUNCTION("""COMPUTED_VALUE"""),30084.0)</f>
        <v>30084</v>
      </c>
      <c r="C2314" t="str">
        <f>IFERROR(__xludf.DUMMYFUNCTION("""COMPUTED_VALUE"""),"MONTOYA OCHOA, SARA")</f>
        <v>MONTOYA OCHOA, SARA</v>
      </c>
      <c r="D2314" t="str">
        <f>IFERROR(__xludf.DUMMYFUNCTION("""COMPUTED_VALUE"""),"PE 7")</f>
        <v>PE 7</v>
      </c>
      <c r="E2314" s="31" t="str">
        <f>IFERROR(__xludf.DUMMYFUNCTION("""COMPUTED_VALUE"""),"1b")</f>
        <v>1b</v>
      </c>
      <c r="F2314" s="8">
        <v>1.0</v>
      </c>
      <c r="G2314" s="8">
        <v>1.0</v>
      </c>
      <c r="H2314" s="8">
        <v>1.0</v>
      </c>
      <c r="I2314" s="8">
        <v>1.0</v>
      </c>
      <c r="J2314" s="8">
        <v>1.0</v>
      </c>
      <c r="K2314" s="8">
        <v>1.0</v>
      </c>
      <c r="L2314" s="8">
        <v>6.0</v>
      </c>
      <c r="M2314" s="8"/>
      <c r="N2314" s="8"/>
      <c r="O2314" s="8" t="s">
        <v>801</v>
      </c>
      <c r="P2314" s="8">
        <v>6.0</v>
      </c>
    </row>
    <row r="2315">
      <c r="A2315">
        <f>IFERROR(__xludf.DUMMYFUNCTION("""COMPUTED_VALUE"""),7.0)</f>
        <v>7</v>
      </c>
      <c r="B2315">
        <f>IFERROR(__xludf.DUMMYFUNCTION("""COMPUTED_VALUE"""),30085.0)</f>
        <v>30085</v>
      </c>
      <c r="C2315" t="str">
        <f>IFERROR(__xludf.DUMMYFUNCTION("""COMPUTED_VALUE"""),"MORA LE FLOHIC, AGUSTIN")</f>
        <v>MORA LE FLOHIC, AGUSTIN</v>
      </c>
      <c r="D2315" t="str">
        <f>IFERROR(__xludf.DUMMYFUNCTION("""COMPUTED_VALUE"""),"PE 7")</f>
        <v>PE 7</v>
      </c>
      <c r="E2315" s="31" t="str">
        <f>IFERROR(__xludf.DUMMYFUNCTION("""COMPUTED_VALUE"""),"2a")</f>
        <v>2a</v>
      </c>
      <c r="F2315" s="8">
        <v>1.0</v>
      </c>
      <c r="G2315" s="8">
        <v>1.0</v>
      </c>
      <c r="H2315" s="8">
        <v>1.0</v>
      </c>
      <c r="I2315" s="8">
        <v>1.0</v>
      </c>
      <c r="J2315" s="8">
        <v>1.0</v>
      </c>
      <c r="K2315" s="8">
        <v>1.0</v>
      </c>
      <c r="L2315" s="8">
        <v>6.0</v>
      </c>
      <c r="M2315" s="8"/>
      <c r="N2315" s="8"/>
      <c r="O2315" s="8" t="s">
        <v>797</v>
      </c>
      <c r="P2315" s="8">
        <v>6.0</v>
      </c>
    </row>
    <row r="2316">
      <c r="A2316">
        <f>IFERROR(__xludf.DUMMYFUNCTION("""COMPUTED_VALUE"""),7.0)</f>
        <v>7</v>
      </c>
      <c r="B2316">
        <f>IFERROR(__xludf.DUMMYFUNCTION("""COMPUTED_VALUE"""),30086.0)</f>
        <v>30086</v>
      </c>
      <c r="C2316" t="str">
        <f>IFERROR(__xludf.DUMMYFUNCTION("""COMPUTED_VALUE"""),"MORA MEJIA, EMILIA")</f>
        <v>MORA MEJIA, EMILIA</v>
      </c>
      <c r="D2316" t="str">
        <f>IFERROR(__xludf.DUMMYFUNCTION("""COMPUTED_VALUE"""),"PE 7")</f>
        <v>PE 7</v>
      </c>
      <c r="E2316" s="31" t="str">
        <f>IFERROR(__xludf.DUMMYFUNCTION("""COMPUTED_VALUE"""),"6b")</f>
        <v>6b</v>
      </c>
      <c r="F2316" s="8">
        <v>1.0</v>
      </c>
      <c r="G2316" s="8">
        <v>1.0</v>
      </c>
      <c r="H2316" s="8">
        <v>1.0</v>
      </c>
      <c r="I2316" s="8">
        <v>1.0</v>
      </c>
      <c r="J2316" s="8">
        <v>1.0</v>
      </c>
      <c r="K2316" s="8">
        <v>1.0</v>
      </c>
      <c r="L2316" s="8">
        <v>6.0</v>
      </c>
      <c r="M2316" s="8"/>
      <c r="N2316" s="8"/>
      <c r="O2316" s="8" t="s">
        <v>799</v>
      </c>
      <c r="P2316" s="8">
        <v>6.0</v>
      </c>
    </row>
    <row r="2317">
      <c r="A2317">
        <f>IFERROR(__xludf.DUMMYFUNCTION("""COMPUTED_VALUE"""),7.0)</f>
        <v>7</v>
      </c>
      <c r="B2317">
        <f>IFERROR(__xludf.DUMMYFUNCTION("""COMPUTED_VALUE"""),30087.0)</f>
        <v>30087</v>
      </c>
      <c r="C2317" t="str">
        <f>IFERROR(__xludf.DUMMYFUNCTION("""COMPUTED_VALUE"""),"MORENO BETANCOURT, LUCIANA")</f>
        <v>MORENO BETANCOURT, LUCIANA</v>
      </c>
      <c r="D2317" t="str">
        <f>IFERROR(__xludf.DUMMYFUNCTION("""COMPUTED_VALUE"""),"PE 7")</f>
        <v>PE 7</v>
      </c>
      <c r="E2317" s="31" t="str">
        <f>IFERROR(__xludf.DUMMYFUNCTION("""COMPUTED_VALUE"""),"1b")</f>
        <v>1b</v>
      </c>
      <c r="F2317" s="8">
        <v>1.0</v>
      </c>
      <c r="G2317" s="8">
        <v>1.0</v>
      </c>
      <c r="H2317" s="8">
        <v>1.0</v>
      </c>
      <c r="I2317" s="8">
        <v>1.0</v>
      </c>
      <c r="J2317" s="8">
        <v>1.0</v>
      </c>
      <c r="K2317" s="8">
        <v>1.0</v>
      </c>
      <c r="L2317" s="8">
        <v>6.0</v>
      </c>
      <c r="M2317" s="8"/>
      <c r="N2317" s="8"/>
      <c r="O2317" s="8" t="s">
        <v>801</v>
      </c>
      <c r="P2317" s="8">
        <v>6.0</v>
      </c>
    </row>
    <row r="2318">
      <c r="A2318">
        <f>IFERROR(__xludf.DUMMYFUNCTION("""COMPUTED_VALUE"""),7.0)</f>
        <v>7</v>
      </c>
      <c r="B2318">
        <f>IFERROR(__xludf.DUMMYFUNCTION("""COMPUTED_VALUE"""),30161.0)</f>
        <v>30161</v>
      </c>
      <c r="C2318" t="str">
        <f>IFERROR(__xludf.DUMMYFUNCTION("""COMPUTED_VALUE"""),"NAVARRA GOMEZ, CHLOE")</f>
        <v>NAVARRA GOMEZ, CHLOE</v>
      </c>
      <c r="D2318" t="str">
        <f>IFERROR(__xludf.DUMMYFUNCTION("""COMPUTED_VALUE"""),"PE 7")</f>
        <v>PE 7</v>
      </c>
      <c r="E2318" s="31" t="str">
        <f>IFERROR(__xludf.DUMMYFUNCTION("""COMPUTED_VALUE"""),"4a")</f>
        <v>4a</v>
      </c>
      <c r="F2318" s="8">
        <v>1.0</v>
      </c>
      <c r="G2318" s="8">
        <v>1.0</v>
      </c>
      <c r="H2318" s="8">
        <v>1.0</v>
      </c>
      <c r="I2318" s="8">
        <v>1.0</v>
      </c>
      <c r="J2318" s="8">
        <v>1.0</v>
      </c>
      <c r="K2318" s="8">
        <v>1.0</v>
      </c>
      <c r="L2318" s="8">
        <v>6.0</v>
      </c>
      <c r="M2318" s="8"/>
      <c r="N2318" s="8"/>
      <c r="O2318" s="8" t="s">
        <v>796</v>
      </c>
      <c r="P2318" s="8">
        <v>6.0</v>
      </c>
    </row>
    <row r="2319">
      <c r="A2319">
        <f>IFERROR(__xludf.DUMMYFUNCTION("""COMPUTED_VALUE"""),7.0)</f>
        <v>7</v>
      </c>
      <c r="B2319">
        <f>IFERROR(__xludf.DUMMYFUNCTION("""COMPUTED_VALUE"""),30089.0)</f>
        <v>30089</v>
      </c>
      <c r="C2319" t="str">
        <f>IFERROR(__xludf.DUMMYFUNCTION("""COMPUTED_VALUE"""),"NAVARRO RAMIREZ, LUCAS")</f>
        <v>NAVARRO RAMIREZ, LUCAS</v>
      </c>
      <c r="D2319" t="str">
        <f>IFERROR(__xludf.DUMMYFUNCTION("""COMPUTED_VALUE"""),"PE 7A")</f>
        <v>PE 7A</v>
      </c>
      <c r="E2319" s="31" t="str">
        <f>IFERROR(__xludf.DUMMYFUNCTION("""COMPUTED_VALUE"""),"2a")</f>
        <v>2a</v>
      </c>
      <c r="F2319" s="8">
        <v>1.0</v>
      </c>
      <c r="G2319" s="8">
        <v>1.0</v>
      </c>
      <c r="H2319" s="8">
        <v>1.0</v>
      </c>
      <c r="I2319" s="8">
        <v>1.0</v>
      </c>
      <c r="J2319" s="8">
        <v>1.0</v>
      </c>
      <c r="K2319" s="8">
        <v>1.0</v>
      </c>
      <c r="L2319" s="8">
        <v>6.0</v>
      </c>
      <c r="M2319" s="8"/>
      <c r="N2319" s="8"/>
      <c r="O2319" s="8" t="s">
        <v>798</v>
      </c>
      <c r="P2319" s="8" t="e">
        <v>#N/A</v>
      </c>
    </row>
    <row r="2320">
      <c r="A2320">
        <f>IFERROR(__xludf.DUMMYFUNCTION("""COMPUTED_VALUE"""),7.0)</f>
        <v>7</v>
      </c>
      <c r="B2320">
        <f>IFERROR(__xludf.DUMMYFUNCTION("""COMPUTED_VALUE"""),30090.0)</f>
        <v>30090</v>
      </c>
      <c r="C2320" t="str">
        <f>IFERROR(__xludf.DUMMYFUNCTION("""COMPUTED_VALUE"""),"NEUMANN MARQUEZ, JERONIMO")</f>
        <v>NEUMANN MARQUEZ, JERONIMO</v>
      </c>
      <c r="D2320" t="str">
        <f>IFERROR(__xludf.DUMMYFUNCTION("""COMPUTED_VALUE"""),"PE 7")</f>
        <v>PE 7</v>
      </c>
      <c r="E2320" s="31" t="str">
        <f>IFERROR(__xludf.DUMMYFUNCTION("""COMPUTED_VALUE"""),"2a")</f>
        <v>2a</v>
      </c>
      <c r="F2320" s="8">
        <v>1.0</v>
      </c>
      <c r="G2320" s="8">
        <v>1.0</v>
      </c>
      <c r="H2320" s="8">
        <v>1.0</v>
      </c>
      <c r="I2320" s="8">
        <v>1.0</v>
      </c>
      <c r="J2320" s="8">
        <v>1.0</v>
      </c>
      <c r="K2320" s="8">
        <v>1.0</v>
      </c>
      <c r="L2320" s="8">
        <v>6.0</v>
      </c>
      <c r="M2320" s="8"/>
      <c r="N2320" s="8"/>
      <c r="O2320" s="8" t="s">
        <v>797</v>
      </c>
      <c r="P2320" s="8">
        <v>6.0</v>
      </c>
    </row>
    <row r="2321">
      <c r="A2321">
        <f>IFERROR(__xludf.DUMMYFUNCTION("""COMPUTED_VALUE"""),7.0)</f>
        <v>7</v>
      </c>
      <c r="B2321">
        <f>IFERROR(__xludf.DUMMYFUNCTION("""COMPUTED_VALUE"""),30172.0)</f>
        <v>30172</v>
      </c>
      <c r="C2321" t="str">
        <f>IFERROR(__xludf.DUMMYFUNCTION("""COMPUTED_VALUE"""),"OLIVA, EMMA")</f>
        <v>OLIVA, EMMA</v>
      </c>
      <c r="D2321" t="str">
        <f>IFERROR(__xludf.DUMMYFUNCTION("""COMPUTED_VALUE"""),"PE 7A")</f>
        <v>PE 7A</v>
      </c>
      <c r="E2321" s="31" t="str">
        <f>IFERROR(__xludf.DUMMYFUNCTION("""COMPUTED_VALUE"""),"1b")</f>
        <v>1b</v>
      </c>
      <c r="F2321" s="8">
        <v>1.0</v>
      </c>
      <c r="G2321" s="8">
        <v>1.0</v>
      </c>
      <c r="H2321" s="8">
        <v>1.0</v>
      </c>
      <c r="I2321" s="8">
        <v>1.0</v>
      </c>
      <c r="J2321" s="8">
        <v>1.0</v>
      </c>
      <c r="K2321" s="8">
        <v>1.0</v>
      </c>
      <c r="L2321" s="8">
        <v>6.0</v>
      </c>
      <c r="M2321" s="8"/>
      <c r="N2321" s="8"/>
      <c r="O2321" s="8" t="s">
        <v>800</v>
      </c>
      <c r="P2321" s="8" t="e">
        <v>#N/A</v>
      </c>
    </row>
    <row r="2322">
      <c r="A2322">
        <f>IFERROR(__xludf.DUMMYFUNCTION("""COMPUTED_VALUE"""),7.0)</f>
        <v>7</v>
      </c>
      <c r="B2322">
        <f>IFERROR(__xludf.DUMMYFUNCTION("""COMPUTED_VALUE"""),30158.0)</f>
        <v>30158</v>
      </c>
      <c r="C2322" t="str">
        <f>IFERROR(__xludf.DUMMYFUNCTION("""COMPUTED_VALUE"""),"OROZCO RINCON, VALERIA")</f>
        <v>OROZCO RINCON, VALERIA</v>
      </c>
      <c r="D2322" t="str">
        <f>IFERROR(__xludf.DUMMYFUNCTION("""COMPUTED_VALUE"""),"PE 7")</f>
        <v>PE 7</v>
      </c>
      <c r="E2322" s="31" t="str">
        <f>IFERROR(__xludf.DUMMYFUNCTION("""COMPUTED_VALUE"""),"6b")</f>
        <v>6b</v>
      </c>
      <c r="F2322" s="8">
        <v>1.0</v>
      </c>
      <c r="G2322" s="8">
        <v>1.0</v>
      </c>
      <c r="H2322" s="8">
        <v>1.0</v>
      </c>
      <c r="I2322" s="8">
        <v>1.0</v>
      </c>
      <c r="J2322" s="8">
        <v>1.0</v>
      </c>
      <c r="K2322" s="8">
        <v>1.0</v>
      </c>
      <c r="L2322" s="8">
        <v>6.0</v>
      </c>
      <c r="M2322" s="8"/>
      <c r="N2322" s="8"/>
      <c r="O2322" s="8" t="s">
        <v>799</v>
      </c>
      <c r="P2322" s="8">
        <v>6.0</v>
      </c>
    </row>
    <row r="2323">
      <c r="A2323">
        <f>IFERROR(__xludf.DUMMYFUNCTION("""COMPUTED_VALUE"""),7.0)</f>
        <v>7</v>
      </c>
      <c r="B2323">
        <f>IFERROR(__xludf.DUMMYFUNCTION("""COMPUTED_VALUE"""),30153.0)</f>
        <v>30153</v>
      </c>
      <c r="C2323" t="str">
        <f>IFERROR(__xludf.DUMMYFUNCTION("""COMPUTED_VALUE"""),"ORTEGA OCHOA, LORENZO")</f>
        <v>ORTEGA OCHOA, LORENZO</v>
      </c>
      <c r="D2323" t="str">
        <f>IFERROR(__xludf.DUMMYFUNCTION("""COMPUTED_VALUE"""),"PE 7A")</f>
        <v>PE 7A</v>
      </c>
      <c r="E2323" s="31" t="str">
        <f>IFERROR(__xludf.DUMMYFUNCTION("""COMPUTED_VALUE"""),"2a")</f>
        <v>2a</v>
      </c>
      <c r="F2323" s="8">
        <v>1.0</v>
      </c>
      <c r="G2323" s="8">
        <v>1.0</v>
      </c>
      <c r="H2323" s="8">
        <v>1.0</v>
      </c>
      <c r="I2323" s="8">
        <v>1.0</v>
      </c>
      <c r="J2323" s="8">
        <v>1.0</v>
      </c>
      <c r="K2323" s="8">
        <v>1.0</v>
      </c>
      <c r="L2323" s="8">
        <v>6.0</v>
      </c>
      <c r="M2323" s="8"/>
      <c r="N2323" s="8"/>
      <c r="O2323" s="8" t="s">
        <v>798</v>
      </c>
      <c r="P2323" s="8" t="e">
        <v>#N/A</v>
      </c>
    </row>
    <row r="2324">
      <c r="A2324">
        <f>IFERROR(__xludf.DUMMYFUNCTION("""COMPUTED_VALUE"""),7.0)</f>
        <v>7</v>
      </c>
      <c r="B2324">
        <f>IFERROR(__xludf.DUMMYFUNCTION("""COMPUTED_VALUE"""),30154.0)</f>
        <v>30154</v>
      </c>
      <c r="C2324" t="str">
        <f>IFERROR(__xludf.DUMMYFUNCTION("""COMPUTED_VALUE"""),"ORTEGA OCHOA, MARIA DEL MAR")</f>
        <v>ORTEGA OCHOA, MARIA DEL MAR</v>
      </c>
      <c r="D2324" t="str">
        <f>IFERROR(__xludf.DUMMYFUNCTION("""COMPUTED_VALUE"""),"PE 7")</f>
        <v>PE 7</v>
      </c>
      <c r="E2324" s="31" t="str">
        <f>IFERROR(__xludf.DUMMYFUNCTION("""COMPUTED_VALUE"""),"4a")</f>
        <v>4a</v>
      </c>
      <c r="F2324" s="8">
        <v>1.0</v>
      </c>
      <c r="G2324" s="8">
        <v>1.0</v>
      </c>
      <c r="H2324" s="8">
        <v>1.0</v>
      </c>
      <c r="I2324" s="8">
        <v>1.0</v>
      </c>
      <c r="J2324" s="8">
        <v>1.0</v>
      </c>
      <c r="K2324" s="8">
        <v>1.0</v>
      </c>
      <c r="L2324" s="8">
        <v>6.0</v>
      </c>
      <c r="M2324" s="8"/>
      <c r="N2324" s="8"/>
      <c r="O2324" s="8" t="s">
        <v>796</v>
      </c>
      <c r="P2324" s="8">
        <v>6.0</v>
      </c>
    </row>
    <row r="2325">
      <c r="A2325">
        <f>IFERROR(__xludf.DUMMYFUNCTION("""COMPUTED_VALUE"""),7.0)</f>
        <v>7</v>
      </c>
      <c r="B2325">
        <f>IFERROR(__xludf.DUMMYFUNCTION("""COMPUTED_VALUE"""),30141.0)</f>
        <v>30141</v>
      </c>
      <c r="C2325" t="str">
        <f>IFERROR(__xludf.DUMMYFUNCTION("""COMPUTED_VALUE"""),"OSORIO PATIÑO, MIRANDA")</f>
        <v>OSORIO PATIÑO, MIRANDA</v>
      </c>
      <c r="D2325" t="str">
        <f>IFERROR(__xludf.DUMMYFUNCTION("""COMPUTED_VALUE"""),"PE 7A")</f>
        <v>PE 7A</v>
      </c>
      <c r="E2325" s="31" t="str">
        <f>IFERROR(__xludf.DUMMYFUNCTION("""COMPUTED_VALUE"""),"1b")</f>
        <v>1b</v>
      </c>
      <c r="F2325" s="8">
        <v>1.0</v>
      </c>
      <c r="G2325" s="8">
        <v>1.0</v>
      </c>
      <c r="H2325" s="8">
        <v>1.0</v>
      </c>
      <c r="I2325" s="8">
        <v>1.0</v>
      </c>
      <c r="J2325" s="8">
        <v>1.0</v>
      </c>
      <c r="K2325" s="8">
        <v>1.0</v>
      </c>
      <c r="L2325" s="8">
        <v>6.0</v>
      </c>
      <c r="M2325" s="8"/>
      <c r="N2325" s="8"/>
      <c r="O2325" s="8" t="s">
        <v>800</v>
      </c>
      <c r="P2325" s="8" t="e">
        <v>#N/A</v>
      </c>
    </row>
    <row r="2326">
      <c r="A2326">
        <f>IFERROR(__xludf.DUMMYFUNCTION("""COMPUTED_VALUE"""),7.0)</f>
        <v>7</v>
      </c>
      <c r="B2326">
        <f>IFERROR(__xludf.DUMMYFUNCTION("""COMPUTED_VALUE"""),30092.0)</f>
        <v>30092</v>
      </c>
      <c r="C2326" t="str">
        <f>IFERROR(__xludf.DUMMYFUNCTION("""COMPUTED_VALUE"""),"OSPINA ESCOBAR, SOFIA")</f>
        <v>OSPINA ESCOBAR, SOFIA</v>
      </c>
      <c r="D2326" t="str">
        <f>IFERROR(__xludf.DUMMYFUNCTION("""COMPUTED_VALUE"""),"PE 7")</f>
        <v>PE 7</v>
      </c>
      <c r="E2326" s="31" t="str">
        <f>IFERROR(__xludf.DUMMYFUNCTION("""COMPUTED_VALUE"""),"4a")</f>
        <v>4a</v>
      </c>
      <c r="F2326" s="8">
        <v>1.0</v>
      </c>
      <c r="G2326" s="8">
        <v>1.0</v>
      </c>
      <c r="H2326" s="8">
        <v>1.0</v>
      </c>
      <c r="I2326" s="8">
        <v>1.0</v>
      </c>
      <c r="J2326" s="8">
        <v>1.0</v>
      </c>
      <c r="K2326" s="8">
        <v>1.0</v>
      </c>
      <c r="L2326" s="8">
        <v>6.0</v>
      </c>
      <c r="M2326" s="8"/>
      <c r="N2326" s="8"/>
      <c r="O2326" s="8" t="s">
        <v>796</v>
      </c>
      <c r="P2326" s="8">
        <v>6.0</v>
      </c>
    </row>
    <row r="2327">
      <c r="A2327">
        <f>IFERROR(__xludf.DUMMYFUNCTION("""COMPUTED_VALUE"""),7.0)</f>
        <v>7</v>
      </c>
      <c r="B2327">
        <f>IFERROR(__xludf.DUMMYFUNCTION("""COMPUTED_VALUE"""),30093.0)</f>
        <v>30093</v>
      </c>
      <c r="C2327" t="str">
        <f>IFERROR(__xludf.DUMMYFUNCTION("""COMPUTED_VALUE"""),"OSPINA RESTREPO, RAFAEL")</f>
        <v>OSPINA RESTREPO, RAFAEL</v>
      </c>
      <c r="D2327" t="str">
        <f>IFERROR(__xludf.DUMMYFUNCTION("""COMPUTED_VALUE"""),"PE 7A")</f>
        <v>PE 7A</v>
      </c>
      <c r="E2327" s="31" t="str">
        <f>IFERROR(__xludf.DUMMYFUNCTION("""COMPUTED_VALUE"""),"2a")</f>
        <v>2a</v>
      </c>
      <c r="F2327" s="8">
        <v>1.0</v>
      </c>
      <c r="G2327" s="8">
        <v>1.0</v>
      </c>
      <c r="H2327" s="8">
        <v>1.0</v>
      </c>
      <c r="I2327" s="8">
        <v>1.0</v>
      </c>
      <c r="J2327" s="8">
        <v>1.0</v>
      </c>
      <c r="K2327" s="8">
        <v>1.0</v>
      </c>
      <c r="L2327" s="8">
        <v>6.0</v>
      </c>
      <c r="M2327" s="8"/>
      <c r="N2327" s="8"/>
      <c r="O2327" s="8" t="s">
        <v>798</v>
      </c>
      <c r="P2327" s="8" t="e">
        <v>#N/A</v>
      </c>
    </row>
    <row r="2328">
      <c r="A2328">
        <f>IFERROR(__xludf.DUMMYFUNCTION("""COMPUTED_VALUE"""),7.0)</f>
        <v>7</v>
      </c>
      <c r="B2328">
        <f>IFERROR(__xludf.DUMMYFUNCTION("""COMPUTED_VALUE"""),30173.0)</f>
        <v>30173</v>
      </c>
      <c r="C2328" t="str">
        <f>IFERROR(__xludf.DUMMYFUNCTION("""COMPUTED_VALUE"""),"PARAMO VELASQUEZ, ISABEL")</f>
        <v>PARAMO VELASQUEZ, ISABEL</v>
      </c>
      <c r="D2328" t="str">
        <f>IFERROR(__xludf.DUMMYFUNCTION("""COMPUTED_VALUE"""),"PE 7")</f>
        <v>PE 7</v>
      </c>
      <c r="E2328" s="31" t="str">
        <f>IFERROR(__xludf.DUMMYFUNCTION("""COMPUTED_VALUE"""),"1b")</f>
        <v>1b</v>
      </c>
      <c r="F2328" s="8">
        <v>1.0</v>
      </c>
      <c r="G2328" s="8">
        <v>1.0</v>
      </c>
      <c r="H2328" s="8">
        <v>1.0</v>
      </c>
      <c r="I2328" s="8">
        <v>1.0</v>
      </c>
      <c r="J2328" s="8">
        <v>1.0</v>
      </c>
      <c r="K2328" s="8">
        <v>1.0</v>
      </c>
      <c r="L2328" s="8">
        <v>6.0</v>
      </c>
      <c r="M2328" s="8"/>
      <c r="N2328" s="8"/>
      <c r="O2328" s="8" t="s">
        <v>801</v>
      </c>
      <c r="P2328" s="8">
        <v>6.0</v>
      </c>
    </row>
    <row r="2329">
      <c r="A2329">
        <f>IFERROR(__xludf.DUMMYFUNCTION("""COMPUTED_VALUE"""),7.0)</f>
        <v>7</v>
      </c>
      <c r="B2329">
        <f>IFERROR(__xludf.DUMMYFUNCTION("""COMPUTED_VALUE"""),30094.0)</f>
        <v>30094</v>
      </c>
      <c r="C2329" t="str">
        <f>IFERROR(__xludf.DUMMYFUNCTION("""COMPUTED_VALUE"""),"PELAEZ PIEDRAHITA, MARTIN")</f>
        <v>PELAEZ PIEDRAHITA, MARTIN</v>
      </c>
      <c r="D2329" t="str">
        <f>IFERROR(__xludf.DUMMYFUNCTION("""COMPUTED_VALUE"""),"PE 7")</f>
        <v>PE 7</v>
      </c>
      <c r="E2329" s="31" t="str">
        <f>IFERROR(__xludf.DUMMYFUNCTION("""COMPUTED_VALUE"""),"4a")</f>
        <v>4a</v>
      </c>
      <c r="F2329" s="8">
        <v>1.0</v>
      </c>
      <c r="G2329" s="8">
        <v>1.0</v>
      </c>
      <c r="H2329" s="8">
        <v>1.0</v>
      </c>
      <c r="I2329" s="8">
        <v>1.0</v>
      </c>
      <c r="J2329" s="8">
        <v>1.0</v>
      </c>
      <c r="K2329" s="8">
        <v>1.0</v>
      </c>
      <c r="L2329" s="8">
        <v>6.0</v>
      </c>
      <c r="M2329" s="8"/>
      <c r="N2329" s="8"/>
      <c r="O2329" s="8" t="s">
        <v>796</v>
      </c>
      <c r="P2329" s="8">
        <v>6.0</v>
      </c>
    </row>
    <row r="2330">
      <c r="A2330">
        <f>IFERROR(__xludf.DUMMYFUNCTION("""COMPUTED_VALUE"""),7.0)</f>
        <v>7</v>
      </c>
      <c r="B2330">
        <f>IFERROR(__xludf.DUMMYFUNCTION("""COMPUTED_VALUE"""),30095.0)</f>
        <v>30095</v>
      </c>
      <c r="C2330" t="str">
        <f>IFERROR(__xludf.DUMMYFUNCTION("""COMPUTED_VALUE"""),"PENAGOS VELEZ, PEDRO")</f>
        <v>PENAGOS VELEZ, PEDRO</v>
      </c>
      <c r="D2330" t="str">
        <f>IFERROR(__xludf.DUMMYFUNCTION("""COMPUTED_VALUE"""),"PE 7")</f>
        <v>PE 7</v>
      </c>
      <c r="E2330" s="31" t="str">
        <f>IFERROR(__xludf.DUMMYFUNCTION("""COMPUTED_VALUE"""),"6b")</f>
        <v>6b</v>
      </c>
      <c r="F2330" s="8">
        <v>1.0</v>
      </c>
      <c r="G2330" s="8">
        <v>1.0</v>
      </c>
      <c r="H2330" s="8">
        <v>1.0</v>
      </c>
      <c r="I2330" s="8">
        <v>1.0</v>
      </c>
      <c r="J2330" s="8">
        <v>1.0</v>
      </c>
      <c r="K2330" s="8">
        <v>1.0</v>
      </c>
      <c r="L2330" s="8">
        <v>6.0</v>
      </c>
      <c r="M2330" s="8"/>
      <c r="N2330" s="8"/>
      <c r="O2330" s="8" t="s">
        <v>799</v>
      </c>
      <c r="P2330" s="8">
        <v>6.0</v>
      </c>
    </row>
    <row r="2331">
      <c r="A2331">
        <f>IFERROR(__xludf.DUMMYFUNCTION("""COMPUTED_VALUE"""),7.0)</f>
        <v>7</v>
      </c>
      <c r="B2331">
        <f>IFERROR(__xludf.DUMMYFUNCTION("""COMPUTED_VALUE"""),29090.0)</f>
        <v>29090</v>
      </c>
      <c r="C2331" t="str">
        <f>IFERROR(__xludf.DUMMYFUNCTION("""COMPUTED_VALUE"""),"PEREZ DUQUE, MARIA PAZ")</f>
        <v>PEREZ DUQUE, MARIA PAZ</v>
      </c>
      <c r="D2331" t="str">
        <f>IFERROR(__xludf.DUMMYFUNCTION("""COMPUTED_VALUE"""),"PE 7")</f>
        <v>PE 7</v>
      </c>
      <c r="E2331" s="31" t="str">
        <f>IFERROR(__xludf.DUMMYFUNCTION("""COMPUTED_VALUE"""),"2a")</f>
        <v>2a</v>
      </c>
      <c r="F2331" s="8">
        <v>1.0</v>
      </c>
      <c r="G2331" s="8">
        <v>1.0</v>
      </c>
      <c r="H2331" s="8">
        <v>1.0</v>
      </c>
      <c r="I2331" s="8">
        <v>1.0</v>
      </c>
      <c r="J2331" s="8">
        <v>1.0</v>
      </c>
      <c r="K2331" s="8">
        <v>1.0</v>
      </c>
      <c r="L2331" s="8">
        <v>6.0</v>
      </c>
      <c r="M2331" s="8"/>
      <c r="N2331" s="8"/>
      <c r="O2331" s="8" t="s">
        <v>797</v>
      </c>
      <c r="P2331" s="8">
        <v>6.0</v>
      </c>
    </row>
    <row r="2332">
      <c r="A2332">
        <f>IFERROR(__xludf.DUMMYFUNCTION("""COMPUTED_VALUE"""),7.0)</f>
        <v>7</v>
      </c>
      <c r="B2332">
        <f>IFERROR(__xludf.DUMMYFUNCTION("""COMPUTED_VALUE"""),30097.0)</f>
        <v>30097</v>
      </c>
      <c r="C2332" t="str">
        <f>IFERROR(__xludf.DUMMYFUNCTION("""COMPUTED_VALUE"""),"PUERTA TIRADO, JUAN SEBASTIAN")</f>
        <v>PUERTA TIRADO, JUAN SEBASTIAN</v>
      </c>
      <c r="D2332" t="str">
        <f>IFERROR(__xludf.DUMMYFUNCTION("""COMPUTED_VALUE"""),"PE 7")</f>
        <v>PE 7</v>
      </c>
      <c r="E2332" s="31" t="str">
        <f>IFERROR(__xludf.DUMMYFUNCTION("""COMPUTED_VALUE"""),"1b")</f>
        <v>1b</v>
      </c>
      <c r="F2332" s="8">
        <v>1.0</v>
      </c>
      <c r="G2332" s="8">
        <v>1.0</v>
      </c>
      <c r="H2332" s="8">
        <v>1.0</v>
      </c>
      <c r="I2332" s="8">
        <v>1.0</v>
      </c>
      <c r="J2332" s="8">
        <v>1.0</v>
      </c>
      <c r="K2332" s="8">
        <v>1.0</v>
      </c>
      <c r="L2332" s="8">
        <v>6.0</v>
      </c>
      <c r="M2332" s="8"/>
      <c r="N2332" s="8"/>
      <c r="O2332" s="8" t="s">
        <v>801</v>
      </c>
      <c r="P2332" s="8">
        <v>6.0</v>
      </c>
    </row>
    <row r="2333">
      <c r="A2333">
        <f>IFERROR(__xludf.DUMMYFUNCTION("""COMPUTED_VALUE"""),7.0)</f>
        <v>7</v>
      </c>
      <c r="B2333">
        <f>IFERROR(__xludf.DUMMYFUNCTION("""COMPUTED_VALUE"""),30147.0)</f>
        <v>30147</v>
      </c>
      <c r="C2333" t="str">
        <f>IFERROR(__xludf.DUMMYFUNCTION("""COMPUTED_VALUE"""),"RAMIREZ ESCOBAR, ISABELLA")</f>
        <v>RAMIREZ ESCOBAR, ISABELLA</v>
      </c>
      <c r="D2333" t="str">
        <f>IFERROR(__xludf.DUMMYFUNCTION("""COMPUTED_VALUE"""),"PE 7")</f>
        <v>PE 7</v>
      </c>
      <c r="E2333" s="31" t="str">
        <f>IFERROR(__xludf.DUMMYFUNCTION("""COMPUTED_VALUE"""),"6b")</f>
        <v>6b</v>
      </c>
      <c r="F2333" s="8">
        <v>1.0</v>
      </c>
      <c r="G2333" s="8">
        <v>1.0</v>
      </c>
      <c r="H2333" s="8">
        <v>1.0</v>
      </c>
      <c r="I2333" s="8">
        <v>1.0</v>
      </c>
      <c r="J2333" s="8">
        <v>1.0</v>
      </c>
      <c r="K2333" s="8">
        <v>1.0</v>
      </c>
      <c r="L2333" s="8">
        <v>6.0</v>
      </c>
      <c r="M2333" s="8"/>
      <c r="N2333" s="8"/>
      <c r="O2333" s="8" t="s">
        <v>799</v>
      </c>
      <c r="P2333" s="8">
        <v>6.0</v>
      </c>
    </row>
    <row r="2334">
      <c r="A2334">
        <f>IFERROR(__xludf.DUMMYFUNCTION("""COMPUTED_VALUE"""),7.0)</f>
        <v>7</v>
      </c>
      <c r="B2334">
        <f>IFERROR(__xludf.DUMMYFUNCTION("""COMPUTED_VALUE"""),30098.0)</f>
        <v>30098</v>
      </c>
      <c r="C2334" t="str">
        <f>IFERROR(__xludf.DUMMYFUNCTION("""COMPUTED_VALUE"""),"REINOSO TRUJILLO, SANTIAGO")</f>
        <v>REINOSO TRUJILLO, SANTIAGO</v>
      </c>
      <c r="D2334" t="str">
        <f>IFERROR(__xludf.DUMMYFUNCTION("""COMPUTED_VALUE"""),"PE 7A")</f>
        <v>PE 7A</v>
      </c>
      <c r="E2334" s="31" t="str">
        <f>IFERROR(__xludf.DUMMYFUNCTION("""COMPUTED_VALUE"""),"1b")</f>
        <v>1b</v>
      </c>
      <c r="F2334" s="8">
        <v>1.0</v>
      </c>
      <c r="G2334" s="8">
        <v>1.0</v>
      </c>
      <c r="H2334" s="8">
        <v>1.0</v>
      </c>
      <c r="I2334" s="8">
        <v>1.0</v>
      </c>
      <c r="J2334" s="8">
        <v>1.0</v>
      </c>
      <c r="K2334" s="8">
        <v>1.0</v>
      </c>
      <c r="L2334" s="8">
        <v>6.0</v>
      </c>
      <c r="M2334" s="8"/>
      <c r="N2334" s="8"/>
      <c r="O2334" s="8" t="s">
        <v>800</v>
      </c>
      <c r="P2334" s="8" t="e">
        <v>#N/A</v>
      </c>
    </row>
    <row r="2335">
      <c r="A2335">
        <f>IFERROR(__xludf.DUMMYFUNCTION("""COMPUTED_VALUE"""),7.0)</f>
        <v>7</v>
      </c>
      <c r="B2335">
        <f>IFERROR(__xludf.DUMMYFUNCTION("""COMPUTED_VALUE"""),30100.0)</f>
        <v>30100</v>
      </c>
      <c r="C2335" t="str">
        <f>IFERROR(__xludf.DUMMYFUNCTION("""COMPUTED_VALUE"""),"RESTREPO QUINTERO, MARTIN")</f>
        <v>RESTREPO QUINTERO, MARTIN</v>
      </c>
      <c r="D2335" t="str">
        <f>IFERROR(__xludf.DUMMYFUNCTION("""COMPUTED_VALUE"""),"PE 7A")</f>
        <v>PE 7A</v>
      </c>
      <c r="E2335" s="31" t="str">
        <f>IFERROR(__xludf.DUMMYFUNCTION("""COMPUTED_VALUE"""),"2a")</f>
        <v>2a</v>
      </c>
      <c r="F2335" s="8">
        <v>1.0</v>
      </c>
      <c r="G2335" s="8">
        <v>1.0</v>
      </c>
      <c r="H2335" s="8">
        <v>1.0</v>
      </c>
      <c r="I2335" s="8">
        <v>1.0</v>
      </c>
      <c r="J2335" s="8">
        <v>1.0</v>
      </c>
      <c r="K2335" s="8">
        <v>1.0</v>
      </c>
      <c r="L2335" s="8">
        <v>6.0</v>
      </c>
      <c r="M2335" s="8"/>
      <c r="N2335" s="8"/>
      <c r="O2335" s="8" t="s">
        <v>798</v>
      </c>
      <c r="P2335" s="8" t="e">
        <v>#N/A</v>
      </c>
    </row>
    <row r="2336">
      <c r="A2336">
        <f>IFERROR(__xludf.DUMMYFUNCTION("""COMPUTED_VALUE"""),7.0)</f>
        <v>7</v>
      </c>
      <c r="B2336">
        <f>IFERROR(__xludf.DUMMYFUNCTION("""COMPUTED_VALUE"""),30101.0)</f>
        <v>30101</v>
      </c>
      <c r="C2336" t="str">
        <f>IFERROR(__xludf.DUMMYFUNCTION("""COMPUTED_VALUE"""),"RESTREPO RAMIREZ, MATIAS")</f>
        <v>RESTREPO RAMIREZ, MATIAS</v>
      </c>
      <c r="D2336" t="str">
        <f>IFERROR(__xludf.DUMMYFUNCTION("""COMPUTED_VALUE"""),"PE 7")</f>
        <v>PE 7</v>
      </c>
      <c r="E2336" s="31" t="str">
        <f>IFERROR(__xludf.DUMMYFUNCTION("""COMPUTED_VALUE"""),"4a")</f>
        <v>4a</v>
      </c>
      <c r="F2336" s="8">
        <v>1.0</v>
      </c>
      <c r="G2336" s="8">
        <v>1.0</v>
      </c>
      <c r="H2336" s="8">
        <v>1.0</v>
      </c>
      <c r="I2336" s="8">
        <v>1.0</v>
      </c>
      <c r="J2336" s="8">
        <v>1.0</v>
      </c>
      <c r="K2336" s="8">
        <v>1.0</v>
      </c>
      <c r="L2336" s="8">
        <v>6.0</v>
      </c>
      <c r="M2336" s="8"/>
      <c r="N2336" s="8"/>
      <c r="O2336" s="8" t="s">
        <v>796</v>
      </c>
      <c r="P2336" s="8">
        <v>6.0</v>
      </c>
    </row>
    <row r="2337">
      <c r="A2337">
        <f>IFERROR(__xludf.DUMMYFUNCTION("""COMPUTED_VALUE"""),7.0)</f>
        <v>7</v>
      </c>
      <c r="B2337">
        <f>IFERROR(__xludf.DUMMYFUNCTION("""COMPUTED_VALUE"""),29102.0)</f>
        <v>29102</v>
      </c>
      <c r="C2337" t="str">
        <f>IFERROR(__xludf.DUMMYFUNCTION("""COMPUTED_VALUE"""),"ROJAS SANCHEZ, SAMUEL")</f>
        <v>ROJAS SANCHEZ, SAMUEL</v>
      </c>
      <c r="D2337" t="str">
        <f>IFERROR(__xludf.DUMMYFUNCTION("""COMPUTED_VALUE"""),"PE 7A")</f>
        <v>PE 7A</v>
      </c>
      <c r="E2337" s="31" t="str">
        <f>IFERROR(__xludf.DUMMYFUNCTION("""COMPUTED_VALUE"""),"1b")</f>
        <v>1b</v>
      </c>
      <c r="F2337" s="8">
        <v>1.0</v>
      </c>
      <c r="G2337" s="8">
        <v>1.0</v>
      </c>
      <c r="H2337" s="8">
        <v>1.0</v>
      </c>
      <c r="I2337" s="8">
        <v>1.0</v>
      </c>
      <c r="J2337" s="8">
        <v>1.0</v>
      </c>
      <c r="K2337" s="8">
        <v>1.0</v>
      </c>
      <c r="L2337" s="8">
        <v>6.0</v>
      </c>
      <c r="M2337" s="8"/>
      <c r="N2337" s="8"/>
      <c r="O2337" s="8" t="s">
        <v>800</v>
      </c>
      <c r="P2337" s="8" t="e">
        <v>#N/A</v>
      </c>
    </row>
    <row r="2338">
      <c r="A2338">
        <f>IFERROR(__xludf.DUMMYFUNCTION("""COMPUTED_VALUE"""),7.0)</f>
        <v>7</v>
      </c>
      <c r="B2338">
        <f>IFERROR(__xludf.DUMMYFUNCTION("""COMPUTED_VALUE"""),30102.0)</f>
        <v>30102</v>
      </c>
      <c r="C2338" t="str">
        <f>IFERROR(__xludf.DUMMYFUNCTION("""COMPUTED_VALUE"""),"RUIZ ROLDAN, LAURA")</f>
        <v>RUIZ ROLDAN, LAURA</v>
      </c>
      <c r="D2338" t="str">
        <f>IFERROR(__xludf.DUMMYFUNCTION("""COMPUTED_VALUE"""),"PE 7")</f>
        <v>PE 7</v>
      </c>
      <c r="E2338" s="31" t="str">
        <f>IFERROR(__xludf.DUMMYFUNCTION("""COMPUTED_VALUE"""),"4a")</f>
        <v>4a</v>
      </c>
      <c r="F2338" s="8">
        <v>1.0</v>
      </c>
      <c r="G2338" s="8">
        <v>1.0</v>
      </c>
      <c r="H2338" s="8">
        <v>1.0</v>
      </c>
      <c r="I2338" s="8">
        <v>1.0</v>
      </c>
      <c r="J2338" s="8">
        <v>1.0</v>
      </c>
      <c r="K2338" s="8">
        <v>1.0</v>
      </c>
      <c r="L2338" s="8">
        <v>6.0</v>
      </c>
      <c r="M2338" s="8"/>
      <c r="N2338" s="8"/>
      <c r="O2338" s="8" t="s">
        <v>796</v>
      </c>
      <c r="P2338" s="8">
        <v>6.0</v>
      </c>
    </row>
    <row r="2339">
      <c r="A2339">
        <f>IFERROR(__xludf.DUMMYFUNCTION("""COMPUTED_VALUE"""),7.0)</f>
        <v>7</v>
      </c>
      <c r="B2339">
        <f>IFERROR(__xludf.DUMMYFUNCTION("""COMPUTED_VALUE"""),30103.0)</f>
        <v>30103</v>
      </c>
      <c r="C2339" t="str">
        <f>IFERROR(__xludf.DUMMYFUNCTION("""COMPUTED_VALUE"""),"SANCHEZ GONZALEZ, EMILIANA")</f>
        <v>SANCHEZ GONZALEZ, EMILIANA</v>
      </c>
      <c r="D2339" t="str">
        <f>IFERROR(__xludf.DUMMYFUNCTION("""COMPUTED_VALUE"""),"PE 7A")</f>
        <v>PE 7A</v>
      </c>
      <c r="E2339" s="31" t="str">
        <f>IFERROR(__xludf.DUMMYFUNCTION("""COMPUTED_VALUE"""),"2a")</f>
        <v>2a</v>
      </c>
      <c r="F2339" s="8">
        <v>1.0</v>
      </c>
      <c r="G2339" s="8">
        <v>1.0</v>
      </c>
      <c r="H2339" s="8">
        <v>1.0</v>
      </c>
      <c r="I2339" s="8">
        <v>1.0</v>
      </c>
      <c r="J2339" s="8">
        <v>1.0</v>
      </c>
      <c r="K2339" s="8">
        <v>1.0</v>
      </c>
      <c r="L2339" s="8">
        <v>6.0</v>
      </c>
      <c r="M2339" s="8"/>
      <c r="N2339" s="8"/>
      <c r="O2339" s="8" t="s">
        <v>798</v>
      </c>
      <c r="P2339" s="8" t="e">
        <v>#N/A</v>
      </c>
    </row>
    <row r="2340">
      <c r="A2340">
        <f>IFERROR(__xludf.DUMMYFUNCTION("""COMPUTED_VALUE"""),7.0)</f>
        <v>7</v>
      </c>
      <c r="B2340">
        <f>IFERROR(__xludf.DUMMYFUNCTION("""COMPUTED_VALUE"""),30104.0)</f>
        <v>30104</v>
      </c>
      <c r="C2340" t="str">
        <f>IFERROR(__xludf.DUMMYFUNCTION("""COMPUTED_VALUE"""),"SIERRA VILLA, RAQUEL")</f>
        <v>SIERRA VILLA, RAQUEL</v>
      </c>
      <c r="D2340" t="str">
        <f>IFERROR(__xludf.DUMMYFUNCTION("""COMPUTED_VALUE"""),"PE 7")</f>
        <v>PE 7</v>
      </c>
      <c r="E2340" s="31" t="str">
        <f>IFERROR(__xludf.DUMMYFUNCTION("""COMPUTED_VALUE"""),"4a")</f>
        <v>4a</v>
      </c>
      <c r="F2340" s="8">
        <v>1.0</v>
      </c>
      <c r="G2340" s="8">
        <v>1.0</v>
      </c>
      <c r="H2340" s="8">
        <v>1.0</v>
      </c>
      <c r="I2340" s="8">
        <v>1.0</v>
      </c>
      <c r="J2340" s="8">
        <v>1.0</v>
      </c>
      <c r="K2340" s="8">
        <v>1.0</v>
      </c>
      <c r="L2340" s="8">
        <v>6.0</v>
      </c>
      <c r="M2340" s="8"/>
      <c r="N2340" s="8"/>
      <c r="O2340" s="8" t="s">
        <v>796</v>
      </c>
      <c r="P2340" s="8">
        <v>6.0</v>
      </c>
    </row>
    <row r="2341">
      <c r="A2341">
        <f>IFERROR(__xludf.DUMMYFUNCTION("""COMPUTED_VALUE"""),7.0)</f>
        <v>7</v>
      </c>
      <c r="B2341">
        <f>IFERROR(__xludf.DUMMYFUNCTION("""COMPUTED_VALUE"""),30105.0)</f>
        <v>30105</v>
      </c>
      <c r="C2341" t="str">
        <f>IFERROR(__xludf.DUMMYFUNCTION("""COMPUTED_VALUE"""),"TOBON RESTREPO, PEDRO")</f>
        <v>TOBON RESTREPO, PEDRO</v>
      </c>
      <c r="D2341" t="str">
        <f>IFERROR(__xludf.DUMMYFUNCTION("""COMPUTED_VALUE"""),"PE 7")</f>
        <v>PE 7</v>
      </c>
      <c r="E2341" s="31" t="str">
        <f>IFERROR(__xludf.DUMMYFUNCTION("""COMPUTED_VALUE"""),"4a")</f>
        <v>4a</v>
      </c>
      <c r="F2341" s="8">
        <v>1.0</v>
      </c>
      <c r="G2341" s="8">
        <v>1.0</v>
      </c>
      <c r="H2341" s="8">
        <v>1.0</v>
      </c>
      <c r="I2341" s="8">
        <v>1.0</v>
      </c>
      <c r="J2341" s="8">
        <v>1.0</v>
      </c>
      <c r="K2341" s="8">
        <v>1.0</v>
      </c>
      <c r="L2341" s="8">
        <v>6.0</v>
      </c>
      <c r="M2341" s="8"/>
      <c r="N2341" s="8"/>
      <c r="O2341" s="8" t="s">
        <v>796</v>
      </c>
      <c r="P2341" s="8">
        <v>6.0</v>
      </c>
    </row>
    <row r="2342">
      <c r="A2342">
        <f>IFERROR(__xludf.DUMMYFUNCTION("""COMPUTED_VALUE"""),7.0)</f>
        <v>7</v>
      </c>
      <c r="B2342">
        <f>IFERROR(__xludf.DUMMYFUNCTION("""COMPUTED_VALUE"""),30106.0)</f>
        <v>30106</v>
      </c>
      <c r="C2342" t="str">
        <f>IFERROR(__xludf.DUMMYFUNCTION("""COMPUTED_VALUE"""),"TORO BOTERO, PEDRO")</f>
        <v>TORO BOTERO, PEDRO</v>
      </c>
      <c r="D2342" t="str">
        <f>IFERROR(__xludf.DUMMYFUNCTION("""COMPUTED_VALUE"""),"PE 7A")</f>
        <v>PE 7A</v>
      </c>
      <c r="E2342" s="31" t="str">
        <f>IFERROR(__xludf.DUMMYFUNCTION("""COMPUTED_VALUE"""),"1b")</f>
        <v>1b</v>
      </c>
      <c r="F2342" s="8">
        <v>1.0</v>
      </c>
      <c r="G2342" s="8">
        <v>1.0</v>
      </c>
      <c r="H2342" s="8">
        <v>1.0</v>
      </c>
      <c r="I2342" s="8">
        <v>1.0</v>
      </c>
      <c r="J2342" s="8">
        <v>1.0</v>
      </c>
      <c r="K2342" s="8">
        <v>1.0</v>
      </c>
      <c r="L2342" s="8">
        <v>6.0</v>
      </c>
      <c r="M2342" s="8"/>
      <c r="N2342" s="8"/>
      <c r="O2342" s="8" t="s">
        <v>800</v>
      </c>
      <c r="P2342" s="8" t="e">
        <v>#N/A</v>
      </c>
    </row>
    <row r="2343">
      <c r="A2343">
        <f>IFERROR(__xludf.DUMMYFUNCTION("""COMPUTED_VALUE"""),7.0)</f>
        <v>7</v>
      </c>
      <c r="B2343">
        <f>IFERROR(__xludf.DUMMYFUNCTION("""COMPUTED_VALUE"""),30107.0)</f>
        <v>30107</v>
      </c>
      <c r="C2343" t="str">
        <f>IFERROR(__xludf.DUMMYFUNCTION("""COMPUTED_VALUE"""),"TORRES POSADA, NICOLAS")</f>
        <v>TORRES POSADA, NICOLAS</v>
      </c>
      <c r="D2343" t="str">
        <f>IFERROR(__xludf.DUMMYFUNCTION("""COMPUTED_VALUE"""),"PE 7")</f>
        <v>PE 7</v>
      </c>
      <c r="E2343" s="31" t="str">
        <f>IFERROR(__xludf.DUMMYFUNCTION("""COMPUTED_VALUE"""),"1b")</f>
        <v>1b</v>
      </c>
      <c r="F2343" s="8">
        <v>1.0</v>
      </c>
      <c r="G2343" s="8">
        <v>1.0</v>
      </c>
      <c r="H2343" s="8">
        <v>1.0</v>
      </c>
      <c r="I2343" s="8">
        <v>1.0</v>
      </c>
      <c r="J2343" s="8">
        <v>1.0</v>
      </c>
      <c r="K2343" s="8">
        <v>1.0</v>
      </c>
      <c r="L2343" s="8">
        <v>6.0</v>
      </c>
      <c r="M2343" s="8"/>
      <c r="N2343" s="8"/>
      <c r="O2343" s="8" t="s">
        <v>801</v>
      </c>
      <c r="P2343" s="8">
        <v>6.0</v>
      </c>
    </row>
    <row r="2344">
      <c r="A2344">
        <f>IFERROR(__xludf.DUMMYFUNCTION("""COMPUTED_VALUE"""),7.0)</f>
        <v>7</v>
      </c>
      <c r="B2344">
        <f>IFERROR(__xludf.DUMMYFUNCTION("""COMPUTED_VALUE"""),30109.0)</f>
        <v>30109</v>
      </c>
      <c r="C2344" t="str">
        <f>IFERROR(__xludf.DUMMYFUNCTION("""COMPUTED_VALUE"""),"TRUJILLO RENDON, CAMILA")</f>
        <v>TRUJILLO RENDON, CAMILA</v>
      </c>
      <c r="D2344" t="str">
        <f>IFERROR(__xludf.DUMMYFUNCTION("""COMPUTED_VALUE"""),"PE 7")</f>
        <v>PE 7</v>
      </c>
      <c r="E2344" s="31" t="str">
        <f>IFERROR(__xludf.DUMMYFUNCTION("""COMPUTED_VALUE"""),"6b")</f>
        <v>6b</v>
      </c>
      <c r="F2344" s="8">
        <v>1.0</v>
      </c>
      <c r="G2344" s="8">
        <v>1.0</v>
      </c>
      <c r="H2344" s="8">
        <v>1.0</v>
      </c>
      <c r="I2344" s="8">
        <v>1.0</v>
      </c>
      <c r="J2344" s="8">
        <v>1.0</v>
      </c>
      <c r="K2344" s="8">
        <v>1.0</v>
      </c>
      <c r="L2344" s="8">
        <v>6.0</v>
      </c>
      <c r="M2344" s="8"/>
      <c r="N2344" s="8"/>
      <c r="O2344" s="8" t="s">
        <v>799</v>
      </c>
      <c r="P2344" s="8">
        <v>6.0</v>
      </c>
    </row>
    <row r="2345">
      <c r="A2345">
        <f>IFERROR(__xludf.DUMMYFUNCTION("""COMPUTED_VALUE"""),7.0)</f>
        <v>7</v>
      </c>
      <c r="B2345">
        <f>IFERROR(__xludf.DUMMYFUNCTION("""COMPUTED_VALUE"""),30111.0)</f>
        <v>30111</v>
      </c>
      <c r="C2345" t="str">
        <f>IFERROR(__xludf.DUMMYFUNCTION("""COMPUTED_VALUE"""),"URIBE MUÑOZ, ANDREA")</f>
        <v>URIBE MUÑOZ, ANDREA</v>
      </c>
      <c r="D2345" t="str">
        <f>IFERROR(__xludf.DUMMYFUNCTION("""COMPUTED_VALUE"""),"PE 7")</f>
        <v>PE 7</v>
      </c>
      <c r="E2345" s="31" t="str">
        <f>IFERROR(__xludf.DUMMYFUNCTION("""COMPUTED_VALUE"""),"4a")</f>
        <v>4a</v>
      </c>
      <c r="F2345" s="8">
        <v>1.0</v>
      </c>
      <c r="G2345" s="8">
        <v>1.0</v>
      </c>
      <c r="H2345" s="8">
        <v>1.0</v>
      </c>
      <c r="I2345" s="8">
        <v>1.0</v>
      </c>
      <c r="J2345" s="8">
        <v>1.0</v>
      </c>
      <c r="K2345" s="8">
        <v>1.0</v>
      </c>
      <c r="L2345" s="8">
        <v>6.0</v>
      </c>
      <c r="M2345" s="8"/>
      <c r="N2345" s="8"/>
      <c r="O2345" s="8" t="s">
        <v>796</v>
      </c>
      <c r="P2345" s="8">
        <v>6.0</v>
      </c>
    </row>
    <row r="2346">
      <c r="A2346">
        <f>IFERROR(__xludf.DUMMYFUNCTION("""COMPUTED_VALUE"""),7.0)</f>
        <v>7</v>
      </c>
      <c r="B2346">
        <f>IFERROR(__xludf.DUMMYFUNCTION("""COMPUTED_VALUE"""),30112.0)</f>
        <v>30112</v>
      </c>
      <c r="C2346" t="str">
        <f>IFERROR(__xludf.DUMMYFUNCTION("""COMPUTED_VALUE"""),"URIBE MUÑOZ, VALENTINA")</f>
        <v>URIBE MUÑOZ, VALENTINA</v>
      </c>
      <c r="D2346" t="str">
        <f>IFERROR(__xludf.DUMMYFUNCTION("""COMPUTED_VALUE"""),"PE 7")</f>
        <v>PE 7</v>
      </c>
      <c r="E2346" s="31" t="str">
        <f>IFERROR(__xludf.DUMMYFUNCTION("""COMPUTED_VALUE"""),"1b")</f>
        <v>1b</v>
      </c>
      <c r="F2346" s="8">
        <v>1.0</v>
      </c>
      <c r="G2346" s="8">
        <v>1.0</v>
      </c>
      <c r="H2346" s="8">
        <v>1.0</v>
      </c>
      <c r="I2346" s="8">
        <v>1.0</v>
      </c>
      <c r="J2346" s="8">
        <v>1.0</v>
      </c>
      <c r="K2346" s="8">
        <v>1.0</v>
      </c>
      <c r="L2346" s="8">
        <v>6.0</v>
      </c>
      <c r="M2346" s="8"/>
      <c r="N2346" s="8"/>
      <c r="O2346" s="8" t="s">
        <v>801</v>
      </c>
      <c r="P2346" s="8">
        <v>6.0</v>
      </c>
    </row>
    <row r="2347">
      <c r="A2347">
        <f>IFERROR(__xludf.DUMMYFUNCTION("""COMPUTED_VALUE"""),7.0)</f>
        <v>7</v>
      </c>
      <c r="B2347">
        <f>IFERROR(__xludf.DUMMYFUNCTION("""COMPUTED_VALUE"""),30114.0)</f>
        <v>30114</v>
      </c>
      <c r="C2347" t="str">
        <f>IFERROR(__xludf.DUMMYFUNCTION("""COMPUTED_VALUE"""),"URIBE RUIZ, VICENTE")</f>
        <v>URIBE RUIZ, VICENTE</v>
      </c>
      <c r="D2347" t="str">
        <f>IFERROR(__xludf.DUMMYFUNCTION("""COMPUTED_VALUE"""),"PE 7A")</f>
        <v>PE 7A</v>
      </c>
      <c r="E2347" s="31" t="str">
        <f>IFERROR(__xludf.DUMMYFUNCTION("""COMPUTED_VALUE"""),"2a")</f>
        <v>2a</v>
      </c>
      <c r="F2347" s="8">
        <v>1.0</v>
      </c>
      <c r="G2347" s="8">
        <v>1.0</v>
      </c>
      <c r="H2347" s="8">
        <v>1.0</v>
      </c>
      <c r="I2347" s="8">
        <v>1.0</v>
      </c>
      <c r="J2347" s="8">
        <v>1.0</v>
      </c>
      <c r="K2347" s="8">
        <v>1.0</v>
      </c>
      <c r="L2347" s="8">
        <v>6.0</v>
      </c>
      <c r="M2347" s="8"/>
      <c r="N2347" s="8"/>
      <c r="O2347" s="8" t="s">
        <v>798</v>
      </c>
      <c r="P2347" s="8" t="e">
        <v>#N/A</v>
      </c>
    </row>
    <row r="2348">
      <c r="A2348">
        <f>IFERROR(__xludf.DUMMYFUNCTION("""COMPUTED_VALUE"""),7.0)</f>
        <v>7</v>
      </c>
      <c r="B2348">
        <f>IFERROR(__xludf.DUMMYFUNCTION("""COMPUTED_VALUE"""),30115.0)</f>
        <v>30115</v>
      </c>
      <c r="C2348" t="str">
        <f>IFERROR(__xludf.DUMMYFUNCTION("""COMPUTED_VALUE"""),"URIBE VELASQUEZ, AGUSTIN")</f>
        <v>URIBE VELASQUEZ, AGUSTIN</v>
      </c>
      <c r="D2348" t="str">
        <f>IFERROR(__xludf.DUMMYFUNCTION("""COMPUTED_VALUE"""),"PE 7")</f>
        <v>PE 7</v>
      </c>
      <c r="E2348" s="31" t="str">
        <f>IFERROR(__xludf.DUMMYFUNCTION("""COMPUTED_VALUE"""),"6b")</f>
        <v>6b</v>
      </c>
      <c r="F2348" s="8">
        <v>1.0</v>
      </c>
      <c r="G2348" s="8">
        <v>1.0</v>
      </c>
      <c r="H2348" s="8">
        <v>1.0</v>
      </c>
      <c r="I2348" s="8">
        <v>1.0</v>
      </c>
      <c r="J2348" s="8">
        <v>1.0</v>
      </c>
      <c r="K2348" s="8">
        <v>1.0</v>
      </c>
      <c r="L2348" s="8">
        <v>6.0</v>
      </c>
      <c r="M2348" s="8"/>
      <c r="N2348" s="8"/>
      <c r="O2348" s="8" t="s">
        <v>799</v>
      </c>
      <c r="P2348" s="8">
        <v>6.0</v>
      </c>
    </row>
    <row r="2349">
      <c r="A2349">
        <f>IFERROR(__xludf.DUMMYFUNCTION("""COMPUTED_VALUE"""),7.0)</f>
        <v>7</v>
      </c>
      <c r="B2349">
        <f>IFERROR(__xludf.DUMMYFUNCTION("""COMPUTED_VALUE"""),30117.0)</f>
        <v>30117</v>
      </c>
      <c r="C2349" t="str">
        <f>IFERROR(__xludf.DUMMYFUNCTION("""COMPUTED_VALUE"""),"VASQUEZ ECHEVERRI, MARIANA")</f>
        <v>VASQUEZ ECHEVERRI, MARIANA</v>
      </c>
      <c r="D2349" t="str">
        <f>IFERROR(__xludf.DUMMYFUNCTION("""COMPUTED_VALUE"""),"PE 7")</f>
        <v>PE 7</v>
      </c>
      <c r="E2349" s="31" t="str">
        <f>IFERROR(__xludf.DUMMYFUNCTION("""COMPUTED_VALUE"""),"2a")</f>
        <v>2a</v>
      </c>
      <c r="F2349" s="8">
        <v>1.0</v>
      </c>
      <c r="G2349" s="8">
        <v>1.0</v>
      </c>
      <c r="H2349" s="8">
        <v>1.0</v>
      </c>
      <c r="I2349" s="8">
        <v>1.0</v>
      </c>
      <c r="J2349" s="8">
        <v>1.0</v>
      </c>
      <c r="K2349" s="8">
        <v>1.0</v>
      </c>
      <c r="L2349" s="8">
        <v>6.0</v>
      </c>
      <c r="M2349" s="8"/>
      <c r="N2349" s="8"/>
      <c r="O2349" s="8" t="s">
        <v>797</v>
      </c>
      <c r="P2349" s="8">
        <v>6.0</v>
      </c>
    </row>
    <row r="2350">
      <c r="A2350">
        <f>IFERROR(__xludf.DUMMYFUNCTION("""COMPUTED_VALUE"""),7.0)</f>
        <v>7</v>
      </c>
      <c r="B2350">
        <f>IFERROR(__xludf.DUMMYFUNCTION("""COMPUTED_VALUE"""),30119.0)</f>
        <v>30119</v>
      </c>
      <c r="C2350" t="str">
        <f>IFERROR(__xludf.DUMMYFUNCTION("""COMPUTED_VALUE"""),"VASQUEZ MUÑOZ, LUCIA")</f>
        <v>VASQUEZ MUÑOZ, LUCIA</v>
      </c>
      <c r="D2350" t="str">
        <f>IFERROR(__xludf.DUMMYFUNCTION("""COMPUTED_VALUE"""),"PE 7")</f>
        <v>PE 7</v>
      </c>
      <c r="E2350" s="31" t="str">
        <f>IFERROR(__xludf.DUMMYFUNCTION("""COMPUTED_VALUE"""),"2a")</f>
        <v>2a</v>
      </c>
      <c r="F2350" s="8">
        <v>1.0</v>
      </c>
      <c r="G2350" s="8">
        <v>1.0</v>
      </c>
      <c r="H2350" s="8">
        <v>1.0</v>
      </c>
      <c r="I2350" s="8">
        <v>1.0</v>
      </c>
      <c r="J2350" s="8">
        <v>1.0</v>
      </c>
      <c r="K2350" s="8">
        <v>1.0</v>
      </c>
      <c r="L2350" s="8">
        <v>6.0</v>
      </c>
      <c r="M2350" s="8"/>
      <c r="N2350" s="8"/>
      <c r="O2350" s="8" t="s">
        <v>797</v>
      </c>
      <c r="P2350" s="8">
        <v>6.0</v>
      </c>
    </row>
    <row r="2351">
      <c r="A2351">
        <f>IFERROR(__xludf.DUMMYFUNCTION("""COMPUTED_VALUE"""),7.0)</f>
        <v>7</v>
      </c>
      <c r="B2351">
        <f>IFERROR(__xludf.DUMMYFUNCTION("""COMPUTED_VALUE"""),30162.0)</f>
        <v>30162</v>
      </c>
      <c r="C2351" t="str">
        <f>IFERROR(__xludf.DUMMYFUNCTION("""COMPUTED_VALUE"""),"VASQUEZ TAMAYO, ISABEL")</f>
        <v>VASQUEZ TAMAYO, ISABEL</v>
      </c>
      <c r="D2351" t="str">
        <f>IFERROR(__xludf.DUMMYFUNCTION("""COMPUTED_VALUE"""),"PE 7")</f>
        <v>PE 7</v>
      </c>
      <c r="E2351" s="31" t="str">
        <f>IFERROR(__xludf.DUMMYFUNCTION("""COMPUTED_VALUE"""),"1b")</f>
        <v>1b</v>
      </c>
      <c r="F2351" s="8">
        <v>1.0</v>
      </c>
      <c r="G2351" s="8">
        <v>1.0</v>
      </c>
      <c r="H2351" s="8">
        <v>1.0</v>
      </c>
      <c r="I2351" s="8">
        <v>1.0</v>
      </c>
      <c r="J2351" s="8">
        <v>1.0</v>
      </c>
      <c r="K2351" s="8">
        <v>1.0</v>
      </c>
      <c r="L2351" s="8">
        <v>6.0</v>
      </c>
      <c r="M2351" s="8"/>
      <c r="N2351" s="8"/>
      <c r="O2351" s="8" t="s">
        <v>801</v>
      </c>
      <c r="P2351" s="8">
        <v>6.0</v>
      </c>
    </row>
    <row r="2352">
      <c r="A2352">
        <f>IFERROR(__xludf.DUMMYFUNCTION("""COMPUTED_VALUE"""),7.0)</f>
        <v>7</v>
      </c>
      <c r="B2352">
        <f>IFERROR(__xludf.DUMMYFUNCTION("""COMPUTED_VALUE"""),30163.0)</f>
        <v>30163</v>
      </c>
      <c r="C2352" t="str">
        <f>IFERROR(__xludf.DUMMYFUNCTION("""COMPUTED_VALUE"""),"VASQUEZ TAMAYO, PABLO")</f>
        <v>VASQUEZ TAMAYO, PABLO</v>
      </c>
      <c r="D2352" t="str">
        <f>IFERROR(__xludf.DUMMYFUNCTION("""COMPUTED_VALUE"""),"PE 7A")</f>
        <v>PE 7A</v>
      </c>
      <c r="E2352" s="31" t="str">
        <f>IFERROR(__xludf.DUMMYFUNCTION("""COMPUTED_VALUE"""),"1b")</f>
        <v>1b</v>
      </c>
      <c r="F2352" s="8">
        <v>1.0</v>
      </c>
      <c r="G2352" s="8">
        <v>1.0</v>
      </c>
      <c r="H2352" s="8">
        <v>1.0</v>
      </c>
      <c r="I2352" s="8">
        <v>1.0</v>
      </c>
      <c r="J2352" s="8">
        <v>1.0</v>
      </c>
      <c r="K2352" s="8">
        <v>1.0</v>
      </c>
      <c r="L2352" s="8">
        <v>6.0</v>
      </c>
      <c r="M2352" s="8"/>
      <c r="N2352" s="8"/>
      <c r="O2352" s="8" t="s">
        <v>800</v>
      </c>
      <c r="P2352" s="8" t="e">
        <v>#N/A</v>
      </c>
    </row>
    <row r="2353">
      <c r="A2353">
        <f>IFERROR(__xludf.DUMMYFUNCTION("""COMPUTED_VALUE"""),7.0)</f>
        <v>7</v>
      </c>
      <c r="B2353">
        <f>IFERROR(__xludf.DUMMYFUNCTION("""COMPUTED_VALUE"""),30164.0)</f>
        <v>30164</v>
      </c>
      <c r="C2353" t="str">
        <f>IFERROR(__xludf.DUMMYFUNCTION("""COMPUTED_VALUE"""),"VASQUEZ TAMAYO, SAMUEL")</f>
        <v>VASQUEZ TAMAYO, SAMUEL</v>
      </c>
      <c r="D2353" t="str">
        <f>IFERROR(__xludf.DUMMYFUNCTION("""COMPUTED_VALUE"""),"PE 7")</f>
        <v>PE 7</v>
      </c>
      <c r="E2353" s="31" t="str">
        <f>IFERROR(__xludf.DUMMYFUNCTION("""COMPUTED_VALUE"""),"4a")</f>
        <v>4a</v>
      </c>
      <c r="F2353" s="8">
        <v>1.0</v>
      </c>
      <c r="G2353" s="8">
        <v>1.0</v>
      </c>
      <c r="H2353" s="8">
        <v>1.0</v>
      </c>
      <c r="I2353" s="8">
        <v>1.0</v>
      </c>
      <c r="J2353" s="8">
        <v>1.0</v>
      </c>
      <c r="K2353" s="8">
        <v>1.0</v>
      </c>
      <c r="L2353" s="8">
        <v>6.0</v>
      </c>
      <c r="M2353" s="8"/>
      <c r="N2353" s="8"/>
      <c r="O2353" s="8" t="s">
        <v>796</v>
      </c>
      <c r="P2353" s="8">
        <v>6.0</v>
      </c>
    </row>
    <row r="2354">
      <c r="A2354">
        <f>IFERROR(__xludf.DUMMYFUNCTION("""COMPUTED_VALUE"""),7.0)</f>
        <v>7</v>
      </c>
      <c r="B2354">
        <f>IFERROR(__xludf.DUMMYFUNCTION("""COMPUTED_VALUE"""),30120.0)</f>
        <v>30120</v>
      </c>
      <c r="C2354" t="str">
        <f>IFERROR(__xludf.DUMMYFUNCTION("""COMPUTED_VALUE"""),"VELASQUEZ URIBE, JUAN SEBASTIAN")</f>
        <v>VELASQUEZ URIBE, JUAN SEBASTIAN</v>
      </c>
      <c r="D2354" t="str">
        <f>IFERROR(__xludf.DUMMYFUNCTION("""COMPUTED_VALUE"""),"PE 7")</f>
        <v>PE 7</v>
      </c>
      <c r="E2354" s="31" t="str">
        <f>IFERROR(__xludf.DUMMYFUNCTION("""COMPUTED_VALUE"""),"6b")</f>
        <v>6b</v>
      </c>
      <c r="F2354" s="8">
        <v>1.0</v>
      </c>
      <c r="G2354" s="8">
        <v>1.0</v>
      </c>
      <c r="H2354" s="8">
        <v>1.0</v>
      </c>
      <c r="I2354" s="8">
        <v>1.0</v>
      </c>
      <c r="J2354" s="8">
        <v>1.0</v>
      </c>
      <c r="K2354" s="8">
        <v>1.0</v>
      </c>
      <c r="L2354" s="8">
        <v>6.0</v>
      </c>
      <c r="M2354" s="8"/>
      <c r="N2354" s="8"/>
      <c r="O2354" s="8" t="s">
        <v>799</v>
      </c>
      <c r="P2354" s="8">
        <v>6.0</v>
      </c>
    </row>
    <row r="2355">
      <c r="A2355">
        <f>IFERROR(__xludf.DUMMYFUNCTION("""COMPUTED_VALUE"""),7.0)</f>
        <v>7</v>
      </c>
      <c r="B2355">
        <f>IFERROR(__xludf.DUMMYFUNCTION("""COMPUTED_VALUE"""),30121.0)</f>
        <v>30121</v>
      </c>
      <c r="C2355" t="str">
        <f>IFERROR(__xludf.DUMMYFUNCTION("""COMPUTED_VALUE"""),"VELEZ ECHANDIA, DANIEL")</f>
        <v>VELEZ ECHANDIA, DANIEL</v>
      </c>
      <c r="D2355" t="str">
        <f>IFERROR(__xludf.DUMMYFUNCTION("""COMPUTED_VALUE"""),"PE 7A")</f>
        <v>PE 7A</v>
      </c>
      <c r="E2355" s="31" t="str">
        <f>IFERROR(__xludf.DUMMYFUNCTION("""COMPUTED_VALUE"""),"2a")</f>
        <v>2a</v>
      </c>
      <c r="F2355" s="8">
        <v>1.0</v>
      </c>
      <c r="G2355" s="8">
        <v>1.0</v>
      </c>
      <c r="H2355" s="8">
        <v>1.0</v>
      </c>
      <c r="I2355" s="8">
        <v>1.0</v>
      </c>
      <c r="J2355" s="8">
        <v>1.0</v>
      </c>
      <c r="K2355" s="8">
        <v>1.0</v>
      </c>
      <c r="L2355" s="8">
        <v>6.0</v>
      </c>
      <c r="M2355" s="8"/>
      <c r="N2355" s="8"/>
      <c r="O2355" s="8" t="s">
        <v>798</v>
      </c>
      <c r="P2355" s="8" t="e">
        <v>#N/A</v>
      </c>
    </row>
    <row r="2356">
      <c r="A2356">
        <f>IFERROR(__xludf.DUMMYFUNCTION("""COMPUTED_VALUE"""),7.0)</f>
        <v>7</v>
      </c>
      <c r="B2356">
        <f>IFERROR(__xludf.DUMMYFUNCTION("""COMPUTED_VALUE"""),30122.0)</f>
        <v>30122</v>
      </c>
      <c r="C2356" t="str">
        <f>IFERROR(__xludf.DUMMYFUNCTION("""COMPUTED_VALUE"""),"VILLEGAS MEJIA, MARTIN")</f>
        <v>VILLEGAS MEJIA, MARTIN</v>
      </c>
      <c r="D2356" t="str">
        <f>IFERROR(__xludf.DUMMYFUNCTION("""COMPUTED_VALUE"""),"PE 7A")</f>
        <v>PE 7A</v>
      </c>
      <c r="E2356" s="31" t="str">
        <f>IFERROR(__xludf.DUMMYFUNCTION("""COMPUTED_VALUE"""),"1b")</f>
        <v>1b</v>
      </c>
      <c r="F2356" s="8">
        <v>1.0</v>
      </c>
      <c r="G2356" s="8">
        <v>1.0</v>
      </c>
      <c r="H2356" s="8">
        <v>1.0</v>
      </c>
      <c r="I2356" s="8">
        <v>1.0</v>
      </c>
      <c r="J2356" s="8">
        <v>1.0</v>
      </c>
      <c r="K2356" s="8">
        <v>1.0</v>
      </c>
      <c r="L2356" s="8">
        <v>6.0</v>
      </c>
      <c r="M2356" s="8"/>
      <c r="N2356" s="8"/>
      <c r="O2356" s="8" t="s">
        <v>800</v>
      </c>
      <c r="P2356" s="8" t="e">
        <v>#N/A</v>
      </c>
    </row>
    <row r="2357">
      <c r="A2357">
        <f>IFERROR(__xludf.DUMMYFUNCTION("""COMPUTED_VALUE"""),7.0)</f>
        <v>7</v>
      </c>
      <c r="B2357">
        <f>IFERROR(__xludf.DUMMYFUNCTION("""COMPUTED_VALUE"""),30123.0)</f>
        <v>30123</v>
      </c>
      <c r="C2357" t="str">
        <f>IFERROR(__xludf.DUMMYFUNCTION("""COMPUTED_VALUE"""),"YACAMAN RESTREPO, TOMAS")</f>
        <v>YACAMAN RESTREPO, TOMAS</v>
      </c>
      <c r="D2357" t="str">
        <f>IFERROR(__xludf.DUMMYFUNCTION("""COMPUTED_VALUE"""),"PE 7")</f>
        <v>PE 7</v>
      </c>
      <c r="E2357" s="31" t="str">
        <f>IFERROR(__xludf.DUMMYFUNCTION("""COMPUTED_VALUE"""),"1b")</f>
        <v>1b</v>
      </c>
      <c r="F2357" s="8">
        <v>1.0</v>
      </c>
      <c r="G2357" s="8">
        <v>1.0</v>
      </c>
      <c r="H2357" s="8">
        <v>1.0</v>
      </c>
      <c r="I2357" s="8">
        <v>1.0</v>
      </c>
      <c r="J2357" s="8">
        <v>1.0</v>
      </c>
      <c r="K2357" s="8">
        <v>1.0</v>
      </c>
      <c r="L2357" s="8">
        <v>6.0</v>
      </c>
      <c r="M2357" s="8"/>
      <c r="N2357" s="8"/>
      <c r="O2357" s="8" t="s">
        <v>801</v>
      </c>
      <c r="P2357" s="8">
        <v>6.0</v>
      </c>
    </row>
    <row r="2358">
      <c r="A2358">
        <f>IFERROR(__xludf.DUMMYFUNCTION("""COMPUTED_VALUE"""),7.0)</f>
        <v>7</v>
      </c>
      <c r="B2358">
        <f>IFERROR(__xludf.DUMMYFUNCTION("""COMPUTED_VALUE"""),30124.0)</f>
        <v>30124</v>
      </c>
      <c r="C2358" t="str">
        <f>IFERROR(__xludf.DUMMYFUNCTION("""COMPUTED_VALUE"""),"YEPES RAMIREZ, LUCIANA")</f>
        <v>YEPES RAMIREZ, LUCIANA</v>
      </c>
      <c r="D2358" t="str">
        <f>IFERROR(__xludf.DUMMYFUNCTION("""COMPUTED_VALUE"""),"PE 7A")</f>
        <v>PE 7A</v>
      </c>
      <c r="E2358" s="31" t="str">
        <f>IFERROR(__xludf.DUMMYFUNCTION("""COMPUTED_VALUE"""),"2a")</f>
        <v>2a</v>
      </c>
      <c r="F2358" s="8">
        <v>1.0</v>
      </c>
      <c r="G2358" s="8">
        <v>1.0</v>
      </c>
      <c r="H2358" s="8">
        <v>1.0</v>
      </c>
      <c r="I2358" s="8">
        <v>1.0</v>
      </c>
      <c r="J2358" s="8">
        <v>1.0</v>
      </c>
      <c r="K2358" s="8">
        <v>1.0</v>
      </c>
      <c r="L2358" s="8">
        <v>6.0</v>
      </c>
      <c r="M2358" s="8"/>
      <c r="N2358" s="8"/>
      <c r="O2358" s="8" t="s">
        <v>798</v>
      </c>
      <c r="P2358" s="8" t="e">
        <v>#N/A</v>
      </c>
    </row>
    <row r="2359">
      <c r="A2359">
        <f>IFERROR(__xludf.DUMMYFUNCTION("""COMPUTED_VALUE"""),7.0)</f>
        <v>7</v>
      </c>
      <c r="B2359">
        <f>IFERROR(__xludf.DUMMYFUNCTION("""COMPUTED_VALUE"""),30125.0)</f>
        <v>30125</v>
      </c>
      <c r="C2359" t="str">
        <f>IFERROR(__xludf.DUMMYFUNCTION("""COMPUTED_VALUE"""),"ZAPATA URIBE, MARTINA")</f>
        <v>ZAPATA URIBE, MARTINA</v>
      </c>
      <c r="D2359" t="str">
        <f>IFERROR(__xludf.DUMMYFUNCTION("""COMPUTED_VALUE"""),"PE 7")</f>
        <v>PE 7</v>
      </c>
      <c r="E2359" s="31" t="str">
        <f>IFERROR(__xludf.DUMMYFUNCTION("""COMPUTED_VALUE"""),"4a")</f>
        <v>4a</v>
      </c>
      <c r="F2359" s="8">
        <v>1.0</v>
      </c>
      <c r="G2359" s="8">
        <v>1.0</v>
      </c>
      <c r="H2359" s="8">
        <v>1.0</v>
      </c>
      <c r="I2359" s="8">
        <v>1.0</v>
      </c>
      <c r="J2359" s="8">
        <v>1.0</v>
      </c>
      <c r="K2359" s="8">
        <v>1.0</v>
      </c>
      <c r="L2359" s="8">
        <v>6.0</v>
      </c>
      <c r="M2359" s="8"/>
      <c r="N2359" s="8"/>
      <c r="O2359" s="8" t="s">
        <v>796</v>
      </c>
      <c r="P2359" s="8">
        <v>6.0</v>
      </c>
    </row>
    <row r="2360">
      <c r="A2360">
        <f>IFERROR(__xludf.DUMMYFUNCTION("""COMPUTED_VALUE"""),7.0)</f>
        <v>7</v>
      </c>
      <c r="B2360">
        <f>IFERROR(__xludf.DUMMYFUNCTION("""COMPUTED_VALUE"""),30126.0)</f>
        <v>30126</v>
      </c>
      <c r="C2360" t="str">
        <f>IFERROR(__xludf.DUMMYFUNCTION("""COMPUTED_VALUE"""),"ZULOAGA AYUB, NICOLAS")</f>
        <v>ZULOAGA AYUB, NICOLAS</v>
      </c>
      <c r="D2360" t="str">
        <f>IFERROR(__xludf.DUMMYFUNCTION("""COMPUTED_VALUE"""),"PE 7")</f>
        <v>PE 7</v>
      </c>
      <c r="E2360" s="31" t="str">
        <f>IFERROR(__xludf.DUMMYFUNCTION("""COMPUTED_VALUE"""),"6b")</f>
        <v>6b</v>
      </c>
      <c r="F2360" s="8">
        <v>1.0</v>
      </c>
      <c r="G2360" s="8">
        <v>1.0</v>
      </c>
      <c r="H2360" s="8">
        <v>1.0</v>
      </c>
      <c r="I2360" s="8">
        <v>1.0</v>
      </c>
      <c r="J2360" s="8">
        <v>1.0</v>
      </c>
      <c r="K2360" s="8">
        <v>1.0</v>
      </c>
      <c r="L2360" s="8">
        <v>6.0</v>
      </c>
      <c r="M2360" s="8"/>
      <c r="N2360" s="8"/>
      <c r="O2360" s="8" t="s">
        <v>799</v>
      </c>
      <c r="P2360" s="8">
        <v>6.0</v>
      </c>
    </row>
    <row r="2361">
      <c r="A2361">
        <f>IFERROR(__xludf.DUMMYFUNCTION("""COMPUTED_VALUE"""),7.0)</f>
        <v>7</v>
      </c>
      <c r="B2361">
        <f>IFERROR(__xludf.DUMMYFUNCTION("""COMPUTED_VALUE"""),30127.0)</f>
        <v>30127</v>
      </c>
      <c r="C2361" t="str">
        <f>IFERROR(__xludf.DUMMYFUNCTION("""COMPUTED_VALUE"""),"ZULUAGA SIERRA, MATIAS")</f>
        <v>ZULUAGA SIERRA, MATIAS</v>
      </c>
      <c r="D2361" t="str">
        <f>IFERROR(__xludf.DUMMYFUNCTION("""COMPUTED_VALUE"""),"PE 7A")</f>
        <v>PE 7A</v>
      </c>
      <c r="E2361" s="31" t="str">
        <f>IFERROR(__xludf.DUMMYFUNCTION("""COMPUTED_VALUE"""),"2a")</f>
        <v>2a</v>
      </c>
      <c r="F2361" s="8">
        <v>1.0</v>
      </c>
      <c r="G2361" s="8">
        <v>1.0</v>
      </c>
      <c r="H2361" s="8">
        <v>1.0</v>
      </c>
      <c r="I2361" s="8">
        <v>1.0</v>
      </c>
      <c r="J2361" s="8">
        <v>1.0</v>
      </c>
      <c r="K2361" s="8">
        <v>1.0</v>
      </c>
      <c r="L2361" s="8">
        <v>6.0</v>
      </c>
      <c r="M2361" s="8"/>
      <c r="N2361" s="8"/>
      <c r="O2361" s="8" t="s">
        <v>798</v>
      </c>
      <c r="P2361" s="8" t="e">
        <v>#N/A</v>
      </c>
    </row>
    <row r="2362">
      <c r="A2362">
        <f>IFERROR(__xludf.DUMMYFUNCTION("""COMPUTED_VALUE"""),8.0)</f>
        <v>8</v>
      </c>
      <c r="B2362">
        <f>IFERROR(__xludf.DUMMYFUNCTION("""COMPUTED_VALUE"""),29001.0)</f>
        <v>29001</v>
      </c>
      <c r="C2362" t="str">
        <f>IFERROR(__xludf.DUMMYFUNCTION("""COMPUTED_VALUE"""),"ACEVEDO ARANGO, ROSARIO")</f>
        <v>ACEVEDO ARANGO, ROSARIO</v>
      </c>
      <c r="D2362" t="str">
        <f>IFERROR(__xludf.DUMMYFUNCTION("""COMPUTED_VALUE"""),"PE 8")</f>
        <v>PE 8</v>
      </c>
      <c r="E2362" s="31" t="str">
        <f>IFERROR(__xludf.DUMMYFUNCTION("""COMPUTED_VALUE"""),"4a")</f>
        <v>4a</v>
      </c>
      <c r="F2362" s="8">
        <v>1.0</v>
      </c>
      <c r="G2362" s="8">
        <v>1.0</v>
      </c>
      <c r="H2362" s="8">
        <v>1.0</v>
      </c>
      <c r="I2362" s="8">
        <v>1.0</v>
      </c>
      <c r="J2362" s="8">
        <v>1.0</v>
      </c>
      <c r="K2362" s="8">
        <v>1.0</v>
      </c>
      <c r="L2362" s="8">
        <v>6.0</v>
      </c>
      <c r="M2362" s="8"/>
      <c r="N2362" s="8"/>
      <c r="O2362" s="8" t="s">
        <v>802</v>
      </c>
      <c r="P2362" s="8">
        <v>6.0</v>
      </c>
    </row>
    <row r="2363">
      <c r="A2363">
        <f>IFERROR(__xludf.DUMMYFUNCTION("""COMPUTED_VALUE"""),8.0)</f>
        <v>8</v>
      </c>
      <c r="B2363">
        <f>IFERROR(__xludf.DUMMYFUNCTION("""COMPUTED_VALUE"""),29002.0)</f>
        <v>29002</v>
      </c>
      <c r="C2363" t="str">
        <f>IFERROR(__xludf.DUMMYFUNCTION("""COMPUTED_VALUE"""),"ACEVEDO OCHOA, MARIA DEL MAR")</f>
        <v>ACEVEDO OCHOA, MARIA DEL MAR</v>
      </c>
      <c r="D2363" t="str">
        <f>IFERROR(__xludf.DUMMYFUNCTION("""COMPUTED_VALUE"""),"PE 8")</f>
        <v>PE 8</v>
      </c>
      <c r="E2363" s="31" t="str">
        <f>IFERROR(__xludf.DUMMYFUNCTION("""COMPUTED_VALUE"""),"1a")</f>
        <v>1a</v>
      </c>
      <c r="F2363" s="8">
        <v>1.0</v>
      </c>
      <c r="G2363" s="8">
        <v>1.0</v>
      </c>
      <c r="H2363" s="8">
        <v>1.0</v>
      </c>
      <c r="I2363" s="8">
        <v>1.0</v>
      </c>
      <c r="J2363" s="8">
        <v>1.0</v>
      </c>
      <c r="K2363" s="8">
        <v>1.0</v>
      </c>
      <c r="L2363" s="8">
        <v>6.0</v>
      </c>
      <c r="M2363" s="8"/>
      <c r="N2363" s="8"/>
      <c r="O2363" s="8" t="s">
        <v>803</v>
      </c>
      <c r="P2363" s="8">
        <v>6.0</v>
      </c>
    </row>
    <row r="2364">
      <c r="A2364">
        <f>IFERROR(__xludf.DUMMYFUNCTION("""COMPUTED_VALUE"""),8.0)</f>
        <v>8</v>
      </c>
      <c r="B2364">
        <f>IFERROR(__xludf.DUMMYFUNCTION("""COMPUTED_VALUE"""),29003.0)</f>
        <v>29003</v>
      </c>
      <c r="C2364" t="str">
        <f>IFERROR(__xludf.DUMMYFUNCTION("""COMPUTED_VALUE"""),"ACEVEDO OROZCO, MARIA CELESTE")</f>
        <v>ACEVEDO OROZCO, MARIA CELESTE</v>
      </c>
      <c r="D2364" t="str">
        <f>IFERROR(__xludf.DUMMYFUNCTION("""COMPUTED_VALUE"""),"PE 8")</f>
        <v>PE 8</v>
      </c>
      <c r="E2364" s="31" t="str">
        <f>IFERROR(__xludf.DUMMYFUNCTION("""COMPUTED_VALUE"""),"5b")</f>
        <v>5b</v>
      </c>
      <c r="F2364" s="8">
        <v>1.0</v>
      </c>
      <c r="G2364" s="8">
        <v>1.0</v>
      </c>
      <c r="H2364" s="8">
        <v>1.0</v>
      </c>
      <c r="I2364" s="8">
        <v>1.0</v>
      </c>
      <c r="J2364" s="8">
        <v>1.0</v>
      </c>
      <c r="K2364" s="8">
        <v>1.0</v>
      </c>
      <c r="L2364" s="8">
        <v>6.0</v>
      </c>
      <c r="M2364" s="8"/>
      <c r="N2364" s="8"/>
      <c r="O2364" s="8" t="s">
        <v>804</v>
      </c>
      <c r="P2364" s="8">
        <v>6.0</v>
      </c>
    </row>
    <row r="2365">
      <c r="A2365">
        <f>IFERROR(__xludf.DUMMYFUNCTION("""COMPUTED_VALUE"""),8.0)</f>
        <v>8</v>
      </c>
      <c r="B2365">
        <f>IFERROR(__xludf.DUMMYFUNCTION("""COMPUTED_VALUE"""),29004.0)</f>
        <v>29004</v>
      </c>
      <c r="C2365" t="str">
        <f>IFERROR(__xludf.DUMMYFUNCTION("""COMPUTED_VALUE"""),"AGUIRRE ARANGO, DAVID")</f>
        <v>AGUIRRE ARANGO, DAVID</v>
      </c>
      <c r="D2365" t="str">
        <f>IFERROR(__xludf.DUMMYFUNCTION("""COMPUTED_VALUE"""),"PE 8")</f>
        <v>PE 8</v>
      </c>
      <c r="E2365" s="31" t="str">
        <f>IFERROR(__xludf.DUMMYFUNCTION("""COMPUTED_VALUE"""),"6a")</f>
        <v>6a</v>
      </c>
      <c r="F2365" s="8">
        <v>1.0</v>
      </c>
      <c r="G2365" s="8">
        <v>1.0</v>
      </c>
      <c r="H2365" s="8">
        <v>1.0</v>
      </c>
      <c r="I2365" s="8">
        <v>1.0</v>
      </c>
      <c r="J2365" s="8">
        <v>1.0</v>
      </c>
      <c r="K2365" s="8">
        <v>1.0</v>
      </c>
      <c r="L2365" s="8">
        <v>6.0</v>
      </c>
      <c r="M2365" s="8"/>
      <c r="N2365" s="8"/>
      <c r="O2365" s="8" t="s">
        <v>805</v>
      </c>
      <c r="P2365" s="8">
        <v>6.0</v>
      </c>
    </row>
    <row r="2366">
      <c r="A2366">
        <f>IFERROR(__xludf.DUMMYFUNCTION("""COMPUTED_VALUE"""),8.0)</f>
        <v>8</v>
      </c>
      <c r="B2366">
        <f>IFERROR(__xludf.DUMMYFUNCTION("""COMPUTED_VALUE"""),29170.0)</f>
        <v>29170</v>
      </c>
      <c r="C2366" t="str">
        <f>IFERROR(__xludf.DUMMYFUNCTION("""COMPUTED_VALUE"""),"ALVAREZ CARDENAS, JUAN EMILIO")</f>
        <v>ALVAREZ CARDENAS, JUAN EMILIO</v>
      </c>
      <c r="D2366" t="str">
        <f>IFERROR(__xludf.DUMMYFUNCTION("""COMPUTED_VALUE"""),"PE 8")</f>
        <v>PE 8</v>
      </c>
      <c r="E2366" s="31" t="str">
        <f>IFERROR(__xludf.DUMMYFUNCTION("""COMPUTED_VALUE"""),"1a")</f>
        <v>1a</v>
      </c>
      <c r="F2366" s="8">
        <v>1.0</v>
      </c>
      <c r="G2366" s="8">
        <v>1.0</v>
      </c>
      <c r="H2366" s="8">
        <v>1.0</v>
      </c>
      <c r="I2366" s="8">
        <v>1.0</v>
      </c>
      <c r="J2366" s="8">
        <v>1.0</v>
      </c>
      <c r="K2366" s="8">
        <v>1.0</v>
      </c>
      <c r="L2366" s="8">
        <v>6.0</v>
      </c>
      <c r="M2366" s="8"/>
      <c r="N2366" s="8"/>
      <c r="O2366" s="8" t="s">
        <v>803</v>
      </c>
      <c r="P2366" s="8">
        <v>6.0</v>
      </c>
    </row>
    <row r="2367">
      <c r="A2367">
        <f>IFERROR(__xludf.DUMMYFUNCTION("""COMPUTED_VALUE"""),8.0)</f>
        <v>8</v>
      </c>
      <c r="B2367">
        <f>IFERROR(__xludf.DUMMYFUNCTION("""COMPUTED_VALUE"""),29007.0)</f>
        <v>29007</v>
      </c>
      <c r="C2367" t="str">
        <f>IFERROR(__xludf.DUMMYFUNCTION("""COMPUTED_VALUE"""),"ALZATE GARCIA, LUCIANA")</f>
        <v>ALZATE GARCIA, LUCIANA</v>
      </c>
      <c r="D2367" t="str">
        <f>IFERROR(__xludf.DUMMYFUNCTION("""COMPUTED_VALUE"""),"PE 8")</f>
        <v>PE 8</v>
      </c>
      <c r="E2367" s="31" t="str">
        <f>IFERROR(__xludf.DUMMYFUNCTION("""COMPUTED_VALUE"""),"1a")</f>
        <v>1a</v>
      </c>
      <c r="F2367" s="8">
        <v>1.0</v>
      </c>
      <c r="G2367" s="8">
        <v>1.0</v>
      </c>
      <c r="H2367" s="8">
        <v>1.0</v>
      </c>
      <c r="I2367" s="8">
        <v>1.0</v>
      </c>
      <c r="J2367" s="8">
        <v>1.0</v>
      </c>
      <c r="K2367" s="8">
        <v>1.0</v>
      </c>
      <c r="L2367" s="8">
        <v>6.0</v>
      </c>
      <c r="M2367" s="8"/>
      <c r="N2367" s="8"/>
      <c r="O2367" s="8" t="s">
        <v>803</v>
      </c>
      <c r="P2367" s="8">
        <v>6.0</v>
      </c>
    </row>
    <row r="2368">
      <c r="A2368">
        <f>IFERROR(__xludf.DUMMYFUNCTION("""COMPUTED_VALUE"""),8.0)</f>
        <v>8</v>
      </c>
      <c r="B2368">
        <f>IFERROR(__xludf.DUMMYFUNCTION("""COMPUTED_VALUE"""),29008.0)</f>
        <v>29008</v>
      </c>
      <c r="C2368" t="str">
        <f>IFERROR(__xludf.DUMMYFUNCTION("""COMPUTED_VALUE"""),"APA ECHAVARRIA, LORENZO")</f>
        <v>APA ECHAVARRIA, LORENZO</v>
      </c>
      <c r="D2368" t="str">
        <f>IFERROR(__xludf.DUMMYFUNCTION("""COMPUTED_VALUE"""),"PE 8")</f>
        <v>PE 8</v>
      </c>
      <c r="E2368" s="31" t="str">
        <f>IFERROR(__xludf.DUMMYFUNCTION("""COMPUTED_VALUE"""),"2b")</f>
        <v>2b</v>
      </c>
      <c r="F2368" s="8">
        <v>1.0</v>
      </c>
      <c r="G2368" s="8">
        <v>1.0</v>
      </c>
      <c r="H2368" s="8">
        <v>1.0</v>
      </c>
      <c r="I2368" s="8">
        <v>1.0</v>
      </c>
      <c r="J2368" s="8">
        <v>1.0</v>
      </c>
      <c r="K2368" s="8">
        <v>1.0</v>
      </c>
      <c r="L2368" s="8">
        <v>6.0</v>
      </c>
      <c r="M2368" s="8"/>
      <c r="N2368" s="8"/>
      <c r="O2368" s="8" t="s">
        <v>806</v>
      </c>
      <c r="P2368" s="8">
        <v>6.0</v>
      </c>
    </row>
    <row r="2369">
      <c r="A2369">
        <f>IFERROR(__xludf.DUMMYFUNCTION("""COMPUTED_VALUE"""),8.0)</f>
        <v>8</v>
      </c>
      <c r="B2369">
        <f>IFERROR(__xludf.DUMMYFUNCTION("""COMPUTED_VALUE"""),29009.0)</f>
        <v>29009</v>
      </c>
      <c r="C2369" t="str">
        <f>IFERROR(__xludf.DUMMYFUNCTION("""COMPUTED_VALUE"""),"ARANGO MOLINA, ALICIA")</f>
        <v>ARANGO MOLINA, ALICIA</v>
      </c>
      <c r="D2369" t="str">
        <f>IFERROR(__xludf.DUMMYFUNCTION("""COMPUTED_VALUE"""),"PE 8")</f>
        <v>PE 8</v>
      </c>
      <c r="E2369" s="31" t="str">
        <f>IFERROR(__xludf.DUMMYFUNCTION("""COMPUTED_VALUE"""),"1a")</f>
        <v>1a</v>
      </c>
      <c r="F2369" s="8">
        <v>1.0</v>
      </c>
      <c r="G2369" s="8">
        <v>1.0</v>
      </c>
      <c r="H2369" s="8">
        <v>1.0</v>
      </c>
      <c r="I2369" s="8">
        <v>1.0</v>
      </c>
      <c r="J2369" s="8">
        <v>1.0</v>
      </c>
      <c r="K2369" s="8">
        <v>1.0</v>
      </c>
      <c r="L2369" s="8">
        <v>6.0</v>
      </c>
      <c r="M2369" s="8"/>
      <c r="N2369" s="8"/>
      <c r="O2369" s="8" t="s">
        <v>803</v>
      </c>
      <c r="P2369" s="8">
        <v>6.0</v>
      </c>
    </row>
    <row r="2370">
      <c r="A2370">
        <f>IFERROR(__xludf.DUMMYFUNCTION("""COMPUTED_VALUE"""),8.0)</f>
        <v>8</v>
      </c>
      <c r="B2370">
        <f>IFERROR(__xludf.DUMMYFUNCTION("""COMPUTED_VALUE"""),29010.0)</f>
        <v>29010</v>
      </c>
      <c r="C2370" t="str">
        <f>IFERROR(__xludf.DUMMYFUNCTION("""COMPUTED_VALUE"""),"ARANGO NAVARRO, MANUELA")</f>
        <v>ARANGO NAVARRO, MANUELA</v>
      </c>
      <c r="D2370" t="str">
        <f>IFERROR(__xludf.DUMMYFUNCTION("""COMPUTED_VALUE"""),"PE 8")</f>
        <v>PE 8</v>
      </c>
      <c r="E2370" s="31" t="str">
        <f>IFERROR(__xludf.DUMMYFUNCTION("""COMPUTED_VALUE"""),"4a")</f>
        <v>4a</v>
      </c>
      <c r="F2370" s="8">
        <v>1.0</v>
      </c>
      <c r="G2370" s="8">
        <v>1.0</v>
      </c>
      <c r="H2370" s="8">
        <v>1.0</v>
      </c>
      <c r="I2370" s="8">
        <v>1.0</v>
      </c>
      <c r="J2370" s="8">
        <v>1.0</v>
      </c>
      <c r="K2370" s="8">
        <v>1.0</v>
      </c>
      <c r="L2370" s="8">
        <v>6.0</v>
      </c>
      <c r="M2370" s="8"/>
      <c r="N2370" s="8"/>
      <c r="O2370" s="8" t="s">
        <v>802</v>
      </c>
      <c r="P2370" s="8">
        <v>6.0</v>
      </c>
    </row>
    <row r="2371">
      <c r="A2371">
        <f>IFERROR(__xludf.DUMMYFUNCTION("""COMPUTED_VALUE"""),8.0)</f>
        <v>8</v>
      </c>
      <c r="B2371">
        <f>IFERROR(__xludf.DUMMYFUNCTION("""COMPUTED_VALUE"""),29011.0)</f>
        <v>29011</v>
      </c>
      <c r="C2371" t="str">
        <f>IFERROR(__xludf.DUMMYFUNCTION("""COMPUTED_VALUE"""),"ARANGO RUBIO, ROSARIO")</f>
        <v>ARANGO RUBIO, ROSARIO</v>
      </c>
      <c r="D2371" t="str">
        <f>IFERROR(__xludf.DUMMYFUNCTION("""COMPUTED_VALUE"""),"PE 8")</f>
        <v>PE 8</v>
      </c>
      <c r="E2371" s="31" t="str">
        <f>IFERROR(__xludf.DUMMYFUNCTION("""COMPUTED_VALUE"""),"6a")</f>
        <v>6a</v>
      </c>
      <c r="F2371" s="8">
        <v>1.0</v>
      </c>
      <c r="G2371" s="8">
        <v>1.0</v>
      </c>
      <c r="H2371" s="8">
        <v>1.0</v>
      </c>
      <c r="I2371" s="8">
        <v>1.0</v>
      </c>
      <c r="J2371" s="8">
        <v>1.0</v>
      </c>
      <c r="K2371" s="8">
        <v>1.0</v>
      </c>
      <c r="L2371" s="8">
        <v>6.0</v>
      </c>
      <c r="M2371" s="8"/>
      <c r="N2371" s="8"/>
      <c r="O2371" s="8" t="s">
        <v>805</v>
      </c>
      <c r="P2371" s="8">
        <v>6.0</v>
      </c>
    </row>
    <row r="2372">
      <c r="A2372">
        <f>IFERROR(__xludf.DUMMYFUNCTION("""COMPUTED_VALUE"""),8.0)</f>
        <v>8</v>
      </c>
      <c r="B2372">
        <f>IFERROR(__xludf.DUMMYFUNCTION("""COMPUTED_VALUE"""),29012.0)</f>
        <v>29012</v>
      </c>
      <c r="C2372" t="str">
        <f>IFERROR(__xludf.DUMMYFUNCTION("""COMPUTED_VALUE"""),"ARANGO VILLA, TOMAS")</f>
        <v>ARANGO VILLA, TOMAS</v>
      </c>
      <c r="D2372" t="str">
        <f>IFERROR(__xludf.DUMMYFUNCTION("""COMPUTED_VALUE"""),"PE 8")</f>
        <v>PE 8</v>
      </c>
      <c r="E2372" s="31" t="str">
        <f>IFERROR(__xludf.DUMMYFUNCTION("""COMPUTED_VALUE"""),"1a")</f>
        <v>1a</v>
      </c>
      <c r="F2372" s="8">
        <v>1.0</v>
      </c>
      <c r="G2372" s="8">
        <v>1.0</v>
      </c>
      <c r="H2372" s="8">
        <v>1.0</v>
      </c>
      <c r="I2372" s="8">
        <v>1.0</v>
      </c>
      <c r="J2372" s="8">
        <v>1.0</v>
      </c>
      <c r="K2372" s="8">
        <v>1.0</v>
      </c>
      <c r="L2372" s="8">
        <v>6.0</v>
      </c>
      <c r="M2372" s="8"/>
      <c r="N2372" s="8"/>
      <c r="O2372" s="8" t="s">
        <v>803</v>
      </c>
      <c r="P2372" s="8">
        <v>6.0</v>
      </c>
    </row>
    <row r="2373">
      <c r="A2373">
        <f>IFERROR(__xludf.DUMMYFUNCTION("""COMPUTED_VALUE"""),8.0)</f>
        <v>8</v>
      </c>
      <c r="B2373">
        <f>IFERROR(__xludf.DUMMYFUNCTION("""COMPUTED_VALUE"""),28006.0)</f>
        <v>28006</v>
      </c>
      <c r="C2373" t="str">
        <f>IFERROR(__xludf.DUMMYFUNCTION("""COMPUTED_VALUE"""),"ARISTIZABAL ECHAVARRIA, CRISTOBAL")</f>
        <v>ARISTIZABAL ECHAVARRIA, CRISTOBAL</v>
      </c>
      <c r="D2373" t="str">
        <f>IFERROR(__xludf.DUMMYFUNCTION("""COMPUTED_VALUE"""),"PE 8")</f>
        <v>PE 8</v>
      </c>
      <c r="E2373" s="31" t="str">
        <f>IFERROR(__xludf.DUMMYFUNCTION("""COMPUTED_VALUE"""),"2b")</f>
        <v>2b</v>
      </c>
      <c r="F2373" s="8">
        <v>1.0</v>
      </c>
      <c r="G2373" s="8">
        <v>1.0</v>
      </c>
      <c r="H2373" s="8">
        <v>1.0</v>
      </c>
      <c r="I2373" s="8">
        <v>1.0</v>
      </c>
      <c r="J2373" s="8">
        <v>1.0</v>
      </c>
      <c r="K2373" s="8">
        <v>1.0</v>
      </c>
      <c r="L2373" s="8">
        <v>6.0</v>
      </c>
      <c r="M2373" s="8"/>
      <c r="N2373" s="8"/>
      <c r="O2373" s="8" t="s">
        <v>806</v>
      </c>
      <c r="P2373" s="8">
        <v>6.0</v>
      </c>
    </row>
    <row r="2374">
      <c r="A2374">
        <f>IFERROR(__xludf.DUMMYFUNCTION("""COMPUTED_VALUE"""),8.0)</f>
        <v>8</v>
      </c>
      <c r="B2374">
        <f>IFERROR(__xludf.DUMMYFUNCTION("""COMPUTED_VALUE"""),29015.0)</f>
        <v>29015</v>
      </c>
      <c r="C2374" t="str">
        <f>IFERROR(__xludf.DUMMYFUNCTION("""COMPUTED_VALUE"""),"ARISTIZABAL URIBE, MATIAS")</f>
        <v>ARISTIZABAL URIBE, MATIAS</v>
      </c>
      <c r="D2374" t="str">
        <f>IFERROR(__xludf.DUMMYFUNCTION("""COMPUTED_VALUE"""),"PE 8")</f>
        <v>PE 8</v>
      </c>
      <c r="E2374" s="31" t="str">
        <f>IFERROR(__xludf.DUMMYFUNCTION("""COMPUTED_VALUE"""),"5a")</f>
        <v>5a</v>
      </c>
      <c r="F2374" s="8">
        <v>1.0</v>
      </c>
      <c r="G2374" s="8">
        <v>1.0</v>
      </c>
      <c r="H2374" s="8">
        <v>1.0</v>
      </c>
      <c r="I2374" s="8">
        <v>1.0</v>
      </c>
      <c r="J2374" s="8">
        <v>1.0</v>
      </c>
      <c r="K2374" s="8">
        <v>1.0</v>
      </c>
      <c r="L2374" s="8">
        <v>6.0</v>
      </c>
      <c r="M2374" s="8"/>
      <c r="N2374" s="8"/>
      <c r="O2374" s="8" t="s">
        <v>807</v>
      </c>
      <c r="P2374" s="8">
        <v>6.0</v>
      </c>
    </row>
    <row r="2375">
      <c r="A2375">
        <f>IFERROR(__xludf.DUMMYFUNCTION("""COMPUTED_VALUE"""),8.0)</f>
        <v>8</v>
      </c>
      <c r="B2375">
        <f>IFERROR(__xludf.DUMMYFUNCTION("""COMPUTED_VALUE"""),29016.0)</f>
        <v>29016</v>
      </c>
      <c r="C2375" t="str">
        <f>IFERROR(__xludf.DUMMYFUNCTION("""COMPUTED_VALUE"""),"ARROYAVE LONDOÑO, ELISA")</f>
        <v>ARROYAVE LONDOÑO, ELISA</v>
      </c>
      <c r="D2375" t="str">
        <f>IFERROR(__xludf.DUMMYFUNCTION("""COMPUTED_VALUE"""),"PE 8")</f>
        <v>PE 8</v>
      </c>
      <c r="E2375" s="31" t="str">
        <f>IFERROR(__xludf.DUMMYFUNCTION("""COMPUTED_VALUE"""),"4a")</f>
        <v>4a</v>
      </c>
      <c r="F2375" s="8">
        <v>1.0</v>
      </c>
      <c r="G2375" s="8">
        <v>1.0</v>
      </c>
      <c r="H2375" s="8">
        <v>1.0</v>
      </c>
      <c r="I2375" s="8">
        <v>1.0</v>
      </c>
      <c r="J2375" s="8">
        <v>1.0</v>
      </c>
      <c r="K2375" s="8">
        <v>1.0</v>
      </c>
      <c r="L2375" s="8">
        <v>6.0</v>
      </c>
      <c r="M2375" s="8"/>
      <c r="N2375" s="8"/>
      <c r="O2375" s="8" t="s">
        <v>802</v>
      </c>
      <c r="P2375" s="8">
        <v>6.0</v>
      </c>
    </row>
    <row r="2376">
      <c r="A2376">
        <f>IFERROR(__xludf.DUMMYFUNCTION("""COMPUTED_VALUE"""),8.0)</f>
        <v>8</v>
      </c>
      <c r="B2376">
        <f>IFERROR(__xludf.DUMMYFUNCTION("""COMPUTED_VALUE"""),29018.0)</f>
        <v>29018</v>
      </c>
      <c r="C2376" t="str">
        <f>IFERROR(__xludf.DUMMYFUNCTION("""COMPUTED_VALUE"""),"BAENA GIRALDO, VIOLETA")</f>
        <v>BAENA GIRALDO, VIOLETA</v>
      </c>
      <c r="D2376" t="str">
        <f>IFERROR(__xludf.DUMMYFUNCTION("""COMPUTED_VALUE"""),"PE 8")</f>
        <v>PE 8</v>
      </c>
      <c r="E2376" s="31" t="str">
        <f>IFERROR(__xludf.DUMMYFUNCTION("""COMPUTED_VALUE"""),"5a")</f>
        <v>5a</v>
      </c>
      <c r="F2376" s="8">
        <v>1.0</v>
      </c>
      <c r="G2376" s="8">
        <v>1.0</v>
      </c>
      <c r="H2376" s="8">
        <v>1.0</v>
      </c>
      <c r="I2376" s="8">
        <v>1.0</v>
      </c>
      <c r="J2376" s="8">
        <v>1.0</v>
      </c>
      <c r="K2376" s="8">
        <v>1.0</v>
      </c>
      <c r="L2376" s="8">
        <v>6.0</v>
      </c>
      <c r="M2376" s="8"/>
      <c r="N2376" s="8"/>
      <c r="O2376" s="8" t="s">
        <v>807</v>
      </c>
      <c r="P2376" s="8">
        <v>6.0</v>
      </c>
    </row>
    <row r="2377">
      <c r="A2377">
        <f>IFERROR(__xludf.DUMMYFUNCTION("""COMPUTED_VALUE"""),8.0)</f>
        <v>8</v>
      </c>
      <c r="B2377">
        <f>IFERROR(__xludf.DUMMYFUNCTION("""COMPUTED_VALUE"""),29019.0)</f>
        <v>29019</v>
      </c>
      <c r="C2377" t="str">
        <f>IFERROR(__xludf.DUMMYFUNCTION("""COMPUTED_VALUE"""),"BARRIENTOS ALVAREZ, ELISA")</f>
        <v>BARRIENTOS ALVAREZ, ELISA</v>
      </c>
      <c r="D2377" t="str">
        <f>IFERROR(__xludf.DUMMYFUNCTION("""COMPUTED_VALUE"""),"PE 8")</f>
        <v>PE 8</v>
      </c>
      <c r="E2377" s="31" t="str">
        <f>IFERROR(__xludf.DUMMYFUNCTION("""COMPUTED_VALUE"""),"4a")</f>
        <v>4a</v>
      </c>
      <c r="F2377" s="8">
        <v>1.0</v>
      </c>
      <c r="G2377" s="8">
        <v>1.0</v>
      </c>
      <c r="H2377" s="8">
        <v>1.0</v>
      </c>
      <c r="I2377" s="8">
        <v>1.0</v>
      </c>
      <c r="J2377" s="8">
        <v>1.0</v>
      </c>
      <c r="K2377" s="8">
        <v>1.0</v>
      </c>
      <c r="L2377" s="8">
        <v>6.0</v>
      </c>
      <c r="M2377" s="8"/>
      <c r="N2377" s="8"/>
      <c r="O2377" s="8" t="s">
        <v>802</v>
      </c>
      <c r="P2377" s="8">
        <v>6.0</v>
      </c>
    </row>
    <row r="2378">
      <c r="A2378">
        <f>IFERROR(__xludf.DUMMYFUNCTION("""COMPUTED_VALUE"""),8.0)</f>
        <v>8</v>
      </c>
      <c r="B2378">
        <f>IFERROR(__xludf.DUMMYFUNCTION("""COMPUTED_VALUE"""),29160.0)</f>
        <v>29160</v>
      </c>
      <c r="C2378" t="str">
        <f>IFERROR(__xludf.DUMMYFUNCTION("""COMPUTED_VALUE"""),"BARRIOS CASTILLO, NICOLAS GUILLERMO")</f>
        <v>BARRIOS CASTILLO, NICOLAS GUILLERMO</v>
      </c>
      <c r="D2378" t="str">
        <f>IFERROR(__xludf.DUMMYFUNCTION("""COMPUTED_VALUE"""),"PE 8")</f>
        <v>PE 8</v>
      </c>
      <c r="E2378" s="31" t="str">
        <f>IFERROR(__xludf.DUMMYFUNCTION("""COMPUTED_VALUE"""),"5b")</f>
        <v>5b</v>
      </c>
      <c r="F2378" s="8">
        <v>1.0</v>
      </c>
      <c r="G2378" s="8">
        <v>1.0</v>
      </c>
      <c r="H2378" s="8">
        <v>1.0</v>
      </c>
      <c r="I2378" s="8">
        <v>1.0</v>
      </c>
      <c r="J2378" s="8">
        <v>1.0</v>
      </c>
      <c r="K2378" s="8">
        <v>1.0</v>
      </c>
      <c r="L2378" s="8">
        <v>6.0</v>
      </c>
      <c r="M2378" s="8"/>
      <c r="N2378" s="8"/>
      <c r="O2378" s="8" t="s">
        <v>804</v>
      </c>
      <c r="P2378" s="8">
        <v>6.0</v>
      </c>
    </row>
    <row r="2379">
      <c r="A2379">
        <f>IFERROR(__xludf.DUMMYFUNCTION("""COMPUTED_VALUE"""),8.0)</f>
        <v>8</v>
      </c>
      <c r="B2379">
        <f>IFERROR(__xludf.DUMMYFUNCTION("""COMPUTED_VALUE"""),29020.0)</f>
        <v>29020</v>
      </c>
      <c r="C2379" t="str">
        <f>IFERROR(__xludf.DUMMYFUNCTION("""COMPUTED_VALUE"""),"BETANCOURT QUINTERO, LUCAS")</f>
        <v>BETANCOURT QUINTERO, LUCAS</v>
      </c>
      <c r="D2379" t="str">
        <f>IFERROR(__xludf.DUMMYFUNCTION("""COMPUTED_VALUE"""),"PE 8")</f>
        <v>PE 8</v>
      </c>
      <c r="E2379" s="31" t="str">
        <f>IFERROR(__xludf.DUMMYFUNCTION("""COMPUTED_VALUE"""),"6a")</f>
        <v>6a</v>
      </c>
      <c r="F2379" s="8">
        <v>1.0</v>
      </c>
      <c r="G2379" s="8">
        <v>1.0</v>
      </c>
      <c r="H2379" s="8">
        <v>1.0</v>
      </c>
      <c r="I2379" s="8">
        <v>1.0</v>
      </c>
      <c r="J2379" s="8">
        <v>1.0</v>
      </c>
      <c r="K2379" s="8">
        <v>1.0</v>
      </c>
      <c r="L2379" s="8">
        <v>6.0</v>
      </c>
      <c r="M2379" s="8"/>
      <c r="N2379" s="8"/>
      <c r="O2379" s="8" t="s">
        <v>805</v>
      </c>
      <c r="P2379" s="8">
        <v>6.0</v>
      </c>
    </row>
    <row r="2380">
      <c r="A2380">
        <f>IFERROR(__xludf.DUMMYFUNCTION("""COMPUTED_VALUE"""),8.0)</f>
        <v>8</v>
      </c>
      <c r="B2380">
        <f>IFERROR(__xludf.DUMMYFUNCTION("""COMPUTED_VALUE"""),29021.0)</f>
        <v>29021</v>
      </c>
      <c r="C2380" t="str">
        <f>IFERROR(__xludf.DUMMYFUNCTION("""COMPUTED_VALUE"""),"BETANCOURT QUINTERO, SIMON")</f>
        <v>BETANCOURT QUINTERO, SIMON</v>
      </c>
      <c r="D2380" t="str">
        <f>IFERROR(__xludf.DUMMYFUNCTION("""COMPUTED_VALUE"""),"PE 8")</f>
        <v>PE 8</v>
      </c>
      <c r="E2380" s="31" t="str">
        <f>IFERROR(__xludf.DUMMYFUNCTION("""COMPUTED_VALUE"""),"6a")</f>
        <v>6a</v>
      </c>
      <c r="F2380" s="8">
        <v>1.0</v>
      </c>
      <c r="G2380" s="8">
        <v>1.0</v>
      </c>
      <c r="H2380" s="8">
        <v>1.0</v>
      </c>
      <c r="I2380" s="8">
        <v>1.0</v>
      </c>
      <c r="J2380" s="8">
        <v>1.0</v>
      </c>
      <c r="K2380" s="8">
        <v>1.0</v>
      </c>
      <c r="L2380" s="8">
        <v>6.0</v>
      </c>
      <c r="M2380" s="8"/>
      <c r="N2380" s="8"/>
      <c r="O2380" s="8" t="s">
        <v>805</v>
      </c>
      <c r="P2380" s="8">
        <v>6.0</v>
      </c>
    </row>
    <row r="2381">
      <c r="A2381">
        <f>IFERROR(__xludf.DUMMYFUNCTION("""COMPUTED_VALUE"""),8.0)</f>
        <v>8</v>
      </c>
      <c r="B2381">
        <f>IFERROR(__xludf.DUMMYFUNCTION("""COMPUTED_VALUE"""),29022.0)</f>
        <v>29022</v>
      </c>
      <c r="C2381" t="str">
        <f>IFERROR(__xludf.DUMMYFUNCTION("""COMPUTED_VALUE"""),"BETANCUR ROBLEDO, PEDRO")</f>
        <v>BETANCUR ROBLEDO, PEDRO</v>
      </c>
      <c r="D2381" t="str">
        <f>IFERROR(__xludf.DUMMYFUNCTION("""COMPUTED_VALUE"""),"PE 8")</f>
        <v>PE 8</v>
      </c>
      <c r="E2381" s="31" t="str">
        <f>IFERROR(__xludf.DUMMYFUNCTION("""COMPUTED_VALUE"""),"2b")</f>
        <v>2b</v>
      </c>
      <c r="F2381" s="8">
        <v>1.0</v>
      </c>
      <c r="G2381" s="8">
        <v>1.0</v>
      </c>
      <c r="H2381" s="8">
        <v>1.0</v>
      </c>
      <c r="I2381" s="8">
        <v>1.0</v>
      </c>
      <c r="J2381" s="8">
        <v>1.0</v>
      </c>
      <c r="K2381" s="8">
        <v>1.0</v>
      </c>
      <c r="L2381" s="8">
        <v>6.0</v>
      </c>
      <c r="M2381" s="8"/>
      <c r="N2381" s="8"/>
      <c r="O2381" s="8" t="s">
        <v>806</v>
      </c>
      <c r="P2381" s="8">
        <v>6.0</v>
      </c>
    </row>
    <row r="2382">
      <c r="A2382">
        <f>IFERROR(__xludf.DUMMYFUNCTION("""COMPUTED_VALUE"""),8.0)</f>
        <v>8</v>
      </c>
      <c r="B2382">
        <f>IFERROR(__xludf.DUMMYFUNCTION("""COMPUTED_VALUE"""),29167.0)</f>
        <v>29167</v>
      </c>
      <c r="C2382" t="str">
        <f>IFERROR(__xludf.DUMMYFUNCTION("""COMPUTED_VALUE"""),"BISHOP, JULIETTE ROSE")</f>
        <v>BISHOP, JULIETTE ROSE</v>
      </c>
      <c r="D2382" t="str">
        <f>IFERROR(__xludf.DUMMYFUNCTION("""COMPUTED_VALUE"""),"PE 8")</f>
        <v>PE 8</v>
      </c>
      <c r="E2382" s="31" t="str">
        <f>IFERROR(__xludf.DUMMYFUNCTION("""COMPUTED_VALUE"""),"5a")</f>
        <v>5a</v>
      </c>
      <c r="F2382" s="8">
        <v>1.0</v>
      </c>
      <c r="G2382" s="8">
        <v>1.0</v>
      </c>
      <c r="H2382" s="8">
        <v>1.0</v>
      </c>
      <c r="I2382" s="8">
        <v>1.0</v>
      </c>
      <c r="J2382" s="8">
        <v>1.0</v>
      </c>
      <c r="K2382" s="8">
        <v>1.0</v>
      </c>
      <c r="L2382" s="8">
        <v>6.0</v>
      </c>
      <c r="M2382" s="8"/>
      <c r="N2382" s="8"/>
      <c r="O2382" s="8" t="s">
        <v>807</v>
      </c>
      <c r="P2382" s="8">
        <v>6.0</v>
      </c>
    </row>
    <row r="2383">
      <c r="A2383">
        <f>IFERROR(__xludf.DUMMYFUNCTION("""COMPUTED_VALUE"""),8.0)</f>
        <v>8</v>
      </c>
      <c r="B2383">
        <f>IFERROR(__xludf.DUMMYFUNCTION("""COMPUTED_VALUE"""),29023.0)</f>
        <v>29023</v>
      </c>
      <c r="C2383" t="str">
        <f>IFERROR(__xludf.DUMMYFUNCTION("""COMPUTED_VALUE"""),"BOTERO DEL CORRAL, EMILIANA")</f>
        <v>BOTERO DEL CORRAL, EMILIANA</v>
      </c>
      <c r="D2383" t="str">
        <f>IFERROR(__xludf.DUMMYFUNCTION("""COMPUTED_VALUE"""),"PE 8")</f>
        <v>PE 8</v>
      </c>
      <c r="E2383" s="31" t="str">
        <f>IFERROR(__xludf.DUMMYFUNCTION("""COMPUTED_VALUE"""),"4a")</f>
        <v>4a</v>
      </c>
      <c r="F2383" s="8">
        <v>1.0</v>
      </c>
      <c r="G2383" s="8">
        <v>1.0</v>
      </c>
      <c r="H2383" s="8">
        <v>1.0</v>
      </c>
      <c r="I2383" s="8">
        <v>1.0</v>
      </c>
      <c r="J2383" s="8">
        <v>1.0</v>
      </c>
      <c r="K2383" s="8">
        <v>1.0</v>
      </c>
      <c r="L2383" s="8">
        <v>6.0</v>
      </c>
      <c r="M2383" s="8"/>
      <c r="N2383" s="8"/>
      <c r="O2383" s="8" t="s">
        <v>802</v>
      </c>
      <c r="P2383" s="8">
        <v>6.0</v>
      </c>
    </row>
    <row r="2384">
      <c r="A2384">
        <f>IFERROR(__xludf.DUMMYFUNCTION("""COMPUTED_VALUE"""),8.0)</f>
        <v>8</v>
      </c>
      <c r="B2384">
        <f>IFERROR(__xludf.DUMMYFUNCTION("""COMPUTED_VALUE"""),29161.0)</f>
        <v>29161</v>
      </c>
      <c r="C2384" t="str">
        <f>IFERROR(__xludf.DUMMYFUNCTION("""COMPUTED_VALUE"""),"BURKHALTER, ESPERANZA JOY")</f>
        <v>BURKHALTER, ESPERANZA JOY</v>
      </c>
      <c r="D2384" t="str">
        <f>IFERROR(__xludf.DUMMYFUNCTION("""COMPUTED_VALUE"""),"PE 8")</f>
        <v>PE 8</v>
      </c>
      <c r="E2384" s="31" t="str">
        <f>IFERROR(__xludf.DUMMYFUNCTION("""COMPUTED_VALUE"""),"6a")</f>
        <v>6a</v>
      </c>
      <c r="F2384" s="8">
        <v>1.0</v>
      </c>
      <c r="G2384" s="8">
        <v>1.0</v>
      </c>
      <c r="H2384" s="8">
        <v>1.0</v>
      </c>
      <c r="I2384" s="8">
        <v>1.0</v>
      </c>
      <c r="J2384" s="8">
        <v>1.0</v>
      </c>
      <c r="K2384" s="8">
        <v>1.0</v>
      </c>
      <c r="L2384" s="8">
        <v>6.0</v>
      </c>
      <c r="M2384" s="8"/>
      <c r="N2384" s="8"/>
      <c r="O2384" s="8" t="s">
        <v>805</v>
      </c>
      <c r="P2384" s="8">
        <v>6.0</v>
      </c>
    </row>
    <row r="2385">
      <c r="A2385">
        <f>IFERROR(__xludf.DUMMYFUNCTION("""COMPUTED_VALUE"""),8.0)</f>
        <v>8</v>
      </c>
      <c r="B2385">
        <f>IFERROR(__xludf.DUMMYFUNCTION("""COMPUTED_VALUE"""),29150.0)</f>
        <v>29150</v>
      </c>
      <c r="C2385" t="str">
        <f>IFERROR(__xludf.DUMMYFUNCTION("""COMPUTED_VALUE"""),"CABAL AYALA, MARTINA")</f>
        <v>CABAL AYALA, MARTINA</v>
      </c>
      <c r="D2385" t="str">
        <f>IFERROR(__xludf.DUMMYFUNCTION("""COMPUTED_VALUE"""),"PE 8")</f>
        <v>PE 8</v>
      </c>
      <c r="E2385" s="31" t="str">
        <f>IFERROR(__xludf.DUMMYFUNCTION("""COMPUTED_VALUE"""),"5b")</f>
        <v>5b</v>
      </c>
      <c r="F2385" s="8">
        <v>1.0</v>
      </c>
      <c r="G2385" s="8">
        <v>1.0</v>
      </c>
      <c r="H2385" s="8">
        <v>1.0</v>
      </c>
      <c r="I2385" s="8">
        <v>1.0</v>
      </c>
      <c r="J2385" s="8">
        <v>1.0</v>
      </c>
      <c r="K2385" s="8">
        <v>1.0</v>
      </c>
      <c r="L2385" s="8">
        <v>6.0</v>
      </c>
      <c r="M2385" s="8"/>
      <c r="N2385" s="8"/>
      <c r="O2385" s="8" t="s">
        <v>804</v>
      </c>
      <c r="P2385" s="8">
        <v>6.0</v>
      </c>
    </row>
    <row r="2386">
      <c r="A2386">
        <f>IFERROR(__xludf.DUMMYFUNCTION("""COMPUTED_VALUE"""),8.0)</f>
        <v>8</v>
      </c>
      <c r="B2386">
        <f>IFERROR(__xludf.DUMMYFUNCTION("""COMPUTED_VALUE"""),29024.0)</f>
        <v>29024</v>
      </c>
      <c r="C2386" t="str">
        <f>IFERROR(__xludf.DUMMYFUNCTION("""COMPUTED_VALUE"""),"CADAVID RESTREPO, LUIS FERNANDO")</f>
        <v>CADAVID RESTREPO, LUIS FERNANDO</v>
      </c>
      <c r="D2386" t="str">
        <f>IFERROR(__xludf.DUMMYFUNCTION("""COMPUTED_VALUE"""),"PE 8")</f>
        <v>PE 8</v>
      </c>
      <c r="E2386" s="31" t="str">
        <f>IFERROR(__xludf.DUMMYFUNCTION("""COMPUTED_VALUE"""),"1a")</f>
        <v>1a</v>
      </c>
      <c r="F2386" s="8">
        <v>1.0</v>
      </c>
      <c r="G2386" s="8">
        <v>1.0</v>
      </c>
      <c r="H2386" s="8">
        <v>1.0</v>
      </c>
      <c r="I2386" s="8">
        <v>1.0</v>
      </c>
      <c r="J2386" s="8">
        <v>1.0</v>
      </c>
      <c r="K2386" s="8">
        <v>1.0</v>
      </c>
      <c r="L2386" s="8">
        <v>6.0</v>
      </c>
      <c r="M2386" s="8"/>
      <c r="N2386" s="8"/>
      <c r="O2386" s="8" t="s">
        <v>803</v>
      </c>
      <c r="P2386" s="8">
        <v>6.0</v>
      </c>
    </row>
    <row r="2387">
      <c r="A2387">
        <f>IFERROR(__xludf.DUMMYFUNCTION("""COMPUTED_VALUE"""),8.0)</f>
        <v>8</v>
      </c>
      <c r="B2387">
        <f>IFERROR(__xludf.DUMMYFUNCTION("""COMPUTED_VALUE"""),29025.0)</f>
        <v>29025</v>
      </c>
      <c r="C2387" t="str">
        <f>IFERROR(__xludf.DUMMYFUNCTION("""COMPUTED_VALUE"""),"CALLE BUITRAGO, ESTEBAN")</f>
        <v>CALLE BUITRAGO, ESTEBAN</v>
      </c>
      <c r="D2387" t="str">
        <f>IFERROR(__xludf.DUMMYFUNCTION("""COMPUTED_VALUE"""),"PE 8")</f>
        <v>PE 8</v>
      </c>
      <c r="E2387" s="31" t="str">
        <f>IFERROR(__xludf.DUMMYFUNCTION("""COMPUTED_VALUE"""),"5a")</f>
        <v>5a</v>
      </c>
      <c r="F2387" s="8">
        <v>1.0</v>
      </c>
      <c r="G2387" s="8">
        <v>1.0</v>
      </c>
      <c r="H2387" s="8">
        <v>1.0</v>
      </c>
      <c r="I2387" s="8">
        <v>1.0</v>
      </c>
      <c r="J2387" s="8">
        <v>1.0</v>
      </c>
      <c r="K2387" s="8">
        <v>1.0</v>
      </c>
      <c r="L2387" s="8">
        <v>6.0</v>
      </c>
      <c r="M2387" s="8"/>
      <c r="N2387" s="8"/>
      <c r="O2387" s="8" t="s">
        <v>807</v>
      </c>
      <c r="P2387" s="8">
        <v>6.0</v>
      </c>
    </row>
    <row r="2388">
      <c r="A2388">
        <f>IFERROR(__xludf.DUMMYFUNCTION("""COMPUTED_VALUE"""),8.0)</f>
        <v>8</v>
      </c>
      <c r="B2388">
        <f>IFERROR(__xludf.DUMMYFUNCTION("""COMPUTED_VALUE"""),29027.0)</f>
        <v>29027</v>
      </c>
      <c r="C2388" t="str">
        <f>IFERROR(__xludf.DUMMYFUNCTION("""COMPUTED_VALUE"""),"CARDONA VELEZ, MATIAS")</f>
        <v>CARDONA VELEZ, MATIAS</v>
      </c>
      <c r="D2388" t="str">
        <f>IFERROR(__xludf.DUMMYFUNCTION("""COMPUTED_VALUE"""),"PE 8")</f>
        <v>PE 8</v>
      </c>
      <c r="E2388" s="31" t="str">
        <f>IFERROR(__xludf.DUMMYFUNCTION("""COMPUTED_VALUE"""),"1a")</f>
        <v>1a</v>
      </c>
      <c r="F2388" s="8">
        <v>1.0</v>
      </c>
      <c r="G2388" s="8">
        <v>1.0</v>
      </c>
      <c r="H2388" s="8">
        <v>1.0</v>
      </c>
      <c r="I2388" s="8">
        <v>1.0</v>
      </c>
      <c r="J2388" s="8">
        <v>1.0</v>
      </c>
      <c r="K2388" s="8">
        <v>1.0</v>
      </c>
      <c r="L2388" s="8">
        <v>6.0</v>
      </c>
      <c r="M2388" s="8"/>
      <c r="N2388" s="8"/>
      <c r="O2388" s="8" t="s">
        <v>803</v>
      </c>
      <c r="P2388" s="8">
        <v>6.0</v>
      </c>
    </row>
    <row r="2389">
      <c r="A2389">
        <f>IFERROR(__xludf.DUMMYFUNCTION("""COMPUTED_VALUE"""),8.0)</f>
        <v>8</v>
      </c>
      <c r="B2389">
        <f>IFERROR(__xludf.DUMMYFUNCTION("""COMPUTED_VALUE"""),29028.0)</f>
        <v>29028</v>
      </c>
      <c r="C2389" t="str">
        <f>IFERROR(__xludf.DUMMYFUNCTION("""COMPUTED_VALUE"""),"CARVAJAL ACOSTA, MARTIN")</f>
        <v>CARVAJAL ACOSTA, MARTIN</v>
      </c>
      <c r="D2389" t="str">
        <f>IFERROR(__xludf.DUMMYFUNCTION("""COMPUTED_VALUE"""),"PE 8")</f>
        <v>PE 8</v>
      </c>
      <c r="E2389" s="31" t="str">
        <f>IFERROR(__xludf.DUMMYFUNCTION("""COMPUTED_VALUE"""),"2b")</f>
        <v>2b</v>
      </c>
      <c r="F2389" s="8">
        <v>1.0</v>
      </c>
      <c r="G2389" s="8">
        <v>1.0</v>
      </c>
      <c r="H2389" s="8">
        <v>1.0</v>
      </c>
      <c r="I2389" s="8">
        <v>1.0</v>
      </c>
      <c r="J2389" s="8">
        <v>1.0</v>
      </c>
      <c r="K2389" s="8">
        <v>1.0</v>
      </c>
      <c r="L2389" s="8">
        <v>6.0</v>
      </c>
      <c r="M2389" s="8"/>
      <c r="N2389" s="8"/>
      <c r="O2389" s="8" t="s">
        <v>806</v>
      </c>
      <c r="P2389" s="8">
        <v>6.0</v>
      </c>
    </row>
    <row r="2390">
      <c r="A2390">
        <f>IFERROR(__xludf.DUMMYFUNCTION("""COMPUTED_VALUE"""),8.0)</f>
        <v>8</v>
      </c>
      <c r="B2390">
        <f>IFERROR(__xludf.DUMMYFUNCTION("""COMPUTED_VALUE"""),29029.0)</f>
        <v>29029</v>
      </c>
      <c r="C2390" t="str">
        <f>IFERROR(__xludf.DUMMYFUNCTION("""COMPUTED_VALUE"""),"CHAVARRIAGA MESA, GREGORIO")</f>
        <v>CHAVARRIAGA MESA, GREGORIO</v>
      </c>
      <c r="D2390" t="str">
        <f>IFERROR(__xludf.DUMMYFUNCTION("""COMPUTED_VALUE"""),"PE 8")</f>
        <v>PE 8</v>
      </c>
      <c r="E2390" s="31" t="str">
        <f>IFERROR(__xludf.DUMMYFUNCTION("""COMPUTED_VALUE"""),"5a")</f>
        <v>5a</v>
      </c>
      <c r="F2390" s="8">
        <v>1.0</v>
      </c>
      <c r="G2390" s="8">
        <v>1.0</v>
      </c>
      <c r="H2390" s="8">
        <v>1.0</v>
      </c>
      <c r="I2390" s="8">
        <v>1.0</v>
      </c>
      <c r="J2390" s="8">
        <v>1.0</v>
      </c>
      <c r="K2390" s="8">
        <v>1.0</v>
      </c>
      <c r="L2390" s="8">
        <v>6.0</v>
      </c>
      <c r="M2390" s="8"/>
      <c r="N2390" s="8"/>
      <c r="O2390" s="8" t="s">
        <v>807</v>
      </c>
      <c r="P2390" s="8">
        <v>6.0</v>
      </c>
    </row>
    <row r="2391">
      <c r="A2391">
        <f>IFERROR(__xludf.DUMMYFUNCTION("""COMPUTED_VALUE"""),8.0)</f>
        <v>8</v>
      </c>
      <c r="B2391">
        <f>IFERROR(__xludf.DUMMYFUNCTION("""COMPUTED_VALUE"""),29136.0)</f>
        <v>29136</v>
      </c>
      <c r="C2391" t="str">
        <f>IFERROR(__xludf.DUMMYFUNCTION("""COMPUTED_VALUE"""),"CHOPRA, HARSHUL")</f>
        <v>CHOPRA, HARSHUL</v>
      </c>
      <c r="D2391" t="str">
        <f>IFERROR(__xludf.DUMMYFUNCTION("""COMPUTED_VALUE"""),"PE 8")</f>
        <v>PE 8</v>
      </c>
      <c r="E2391" s="31" t="str">
        <f>IFERROR(__xludf.DUMMYFUNCTION("""COMPUTED_VALUE"""),"1a")</f>
        <v>1a</v>
      </c>
      <c r="F2391" s="8">
        <v>1.0</v>
      </c>
      <c r="G2391" s="8">
        <v>1.0</v>
      </c>
      <c r="H2391" s="8">
        <v>1.0</v>
      </c>
      <c r="I2391" s="8">
        <v>1.0</v>
      </c>
      <c r="J2391" s="8">
        <v>1.0</v>
      </c>
      <c r="K2391" s="8">
        <v>1.0</v>
      </c>
      <c r="L2391" s="8">
        <v>6.0</v>
      </c>
      <c r="M2391" s="8"/>
      <c r="N2391" s="8"/>
      <c r="O2391" s="8" t="s">
        <v>803</v>
      </c>
      <c r="P2391" s="8">
        <v>6.0</v>
      </c>
    </row>
    <row r="2392">
      <c r="A2392">
        <f>IFERROR(__xludf.DUMMYFUNCTION("""COMPUTED_VALUE"""),8.0)</f>
        <v>8</v>
      </c>
      <c r="B2392">
        <f>IFERROR(__xludf.DUMMYFUNCTION("""COMPUTED_VALUE"""),28023.0)</f>
        <v>28023</v>
      </c>
      <c r="C2392" t="str">
        <f>IFERROR(__xludf.DUMMYFUNCTION("""COMPUTED_VALUE"""),"CLAVIJO GIRALDO, LORENZO")</f>
        <v>CLAVIJO GIRALDO, LORENZO</v>
      </c>
      <c r="D2392" t="str">
        <f>IFERROR(__xludf.DUMMYFUNCTION("""COMPUTED_VALUE"""),"PE 8")</f>
        <v>PE 8</v>
      </c>
      <c r="E2392" s="31" t="str">
        <f>IFERROR(__xludf.DUMMYFUNCTION("""COMPUTED_VALUE"""),"6a")</f>
        <v>6a</v>
      </c>
      <c r="F2392" s="8">
        <v>1.0</v>
      </c>
      <c r="G2392" s="8">
        <v>1.0</v>
      </c>
      <c r="H2392" s="8">
        <v>1.0</v>
      </c>
      <c r="I2392" s="8">
        <v>1.0</v>
      </c>
      <c r="J2392" s="8">
        <v>1.0</v>
      </c>
      <c r="K2392" s="8">
        <v>1.0</v>
      </c>
      <c r="L2392" s="8">
        <v>6.0</v>
      </c>
      <c r="M2392" s="8"/>
      <c r="N2392" s="8"/>
      <c r="O2392" s="8" t="s">
        <v>805</v>
      </c>
      <c r="P2392" s="8">
        <v>6.0</v>
      </c>
    </row>
    <row r="2393">
      <c r="A2393">
        <f>IFERROR(__xludf.DUMMYFUNCTION("""COMPUTED_VALUE"""),8.0)</f>
        <v>8</v>
      </c>
      <c r="B2393">
        <f>IFERROR(__xludf.DUMMYFUNCTION("""COMPUTED_VALUE"""),29030.0)</f>
        <v>29030</v>
      </c>
      <c r="C2393" t="str">
        <f>IFERROR(__xludf.DUMMYFUNCTION("""COMPUTED_VALUE"""),"COCK ECHEVERRI, JULIETA")</f>
        <v>COCK ECHEVERRI, JULIETA</v>
      </c>
      <c r="D2393" t="str">
        <f>IFERROR(__xludf.DUMMYFUNCTION("""COMPUTED_VALUE"""),"PE 8")</f>
        <v>PE 8</v>
      </c>
      <c r="E2393" s="31" t="str">
        <f>IFERROR(__xludf.DUMMYFUNCTION("""COMPUTED_VALUE"""),"1a")</f>
        <v>1a</v>
      </c>
      <c r="F2393" s="8">
        <v>1.0</v>
      </c>
      <c r="G2393" s="8">
        <v>1.0</v>
      </c>
      <c r="H2393" s="8">
        <v>1.0</v>
      </c>
      <c r="I2393" s="8">
        <v>1.0</v>
      </c>
      <c r="J2393" s="8">
        <v>1.0</v>
      </c>
      <c r="K2393" s="8">
        <v>1.0</v>
      </c>
      <c r="L2393" s="8">
        <v>6.0</v>
      </c>
      <c r="M2393" s="8"/>
      <c r="N2393" s="8"/>
      <c r="O2393" s="8" t="s">
        <v>803</v>
      </c>
      <c r="P2393" s="8">
        <v>6.0</v>
      </c>
    </row>
    <row r="2394">
      <c r="A2394">
        <f>IFERROR(__xludf.DUMMYFUNCTION("""COMPUTED_VALUE"""),8.0)</f>
        <v>8</v>
      </c>
      <c r="B2394">
        <f>IFERROR(__xludf.DUMMYFUNCTION("""COMPUTED_VALUE"""),29164.0)</f>
        <v>29164</v>
      </c>
      <c r="C2394" t="str">
        <f>IFERROR(__xludf.DUMMYFUNCTION("""COMPUTED_VALUE"""),"CONCHA VELASCO, LORENZO")</f>
        <v>CONCHA VELASCO, LORENZO</v>
      </c>
      <c r="D2394" t="str">
        <f>IFERROR(__xludf.DUMMYFUNCTION("""COMPUTED_VALUE"""),"PE 8")</f>
        <v>PE 8</v>
      </c>
      <c r="E2394" s="31" t="str">
        <f>IFERROR(__xludf.DUMMYFUNCTION("""COMPUTED_VALUE"""),"1a")</f>
        <v>1a</v>
      </c>
      <c r="F2394" s="8">
        <v>1.0</v>
      </c>
      <c r="G2394" s="8">
        <v>1.0</v>
      </c>
      <c r="H2394" s="8">
        <v>1.0</v>
      </c>
      <c r="I2394" s="8">
        <v>1.0</v>
      </c>
      <c r="J2394" s="8">
        <v>1.0</v>
      </c>
      <c r="K2394" s="8">
        <v>1.0</v>
      </c>
      <c r="L2394" s="8">
        <v>6.0</v>
      </c>
      <c r="M2394" s="8"/>
      <c r="N2394" s="8"/>
      <c r="O2394" s="8" t="s">
        <v>803</v>
      </c>
      <c r="P2394" s="8">
        <v>6.0</v>
      </c>
    </row>
    <row r="2395">
      <c r="A2395">
        <f>IFERROR(__xludf.DUMMYFUNCTION("""COMPUTED_VALUE"""),8.0)</f>
        <v>8</v>
      </c>
      <c r="B2395">
        <f>IFERROR(__xludf.DUMMYFUNCTION("""COMPUTED_VALUE"""),29032.0)</f>
        <v>29032</v>
      </c>
      <c r="C2395" t="str">
        <f>IFERROR(__xludf.DUMMYFUNCTION("""COMPUTED_VALUE"""),"CORTES SIERRA, TOMAS")</f>
        <v>CORTES SIERRA, TOMAS</v>
      </c>
      <c r="D2395" t="str">
        <f>IFERROR(__xludf.DUMMYFUNCTION("""COMPUTED_VALUE"""),"PE 8")</f>
        <v>PE 8</v>
      </c>
      <c r="E2395" s="31" t="str">
        <f>IFERROR(__xludf.DUMMYFUNCTION("""COMPUTED_VALUE"""),"6a")</f>
        <v>6a</v>
      </c>
      <c r="F2395" s="8">
        <v>1.0</v>
      </c>
      <c r="G2395" s="8">
        <v>1.0</v>
      </c>
      <c r="H2395" s="8">
        <v>1.0</v>
      </c>
      <c r="I2395" s="8">
        <v>1.0</v>
      </c>
      <c r="J2395" s="8">
        <v>1.0</v>
      </c>
      <c r="K2395" s="8">
        <v>1.0</v>
      </c>
      <c r="L2395" s="8">
        <v>6.0</v>
      </c>
      <c r="M2395" s="8"/>
      <c r="N2395" s="8"/>
      <c r="O2395" s="8" t="s">
        <v>805</v>
      </c>
      <c r="P2395" s="8">
        <v>6.0</v>
      </c>
    </row>
    <row r="2396">
      <c r="A2396">
        <f>IFERROR(__xludf.DUMMYFUNCTION("""COMPUTED_VALUE"""),8.0)</f>
        <v>8</v>
      </c>
      <c r="B2396">
        <f>IFERROR(__xludf.DUMMYFUNCTION("""COMPUTED_VALUE"""),29165.0)</f>
        <v>29165</v>
      </c>
      <c r="C2396" t="str">
        <f>IFERROR(__xludf.DUMMYFUNCTION("""COMPUTED_VALUE"""),"DOMINGUEZ JORGENSEN, MARCELO")</f>
        <v>DOMINGUEZ JORGENSEN, MARCELO</v>
      </c>
      <c r="D2396" t="str">
        <f>IFERROR(__xludf.DUMMYFUNCTION("""COMPUTED_VALUE"""),"PE 8")</f>
        <v>PE 8</v>
      </c>
      <c r="E2396" s="31" t="str">
        <f>IFERROR(__xludf.DUMMYFUNCTION("""COMPUTED_VALUE"""),"6a")</f>
        <v>6a</v>
      </c>
      <c r="F2396" s="8">
        <v>1.0</v>
      </c>
      <c r="G2396" s="8">
        <v>1.0</v>
      </c>
      <c r="H2396" s="8">
        <v>1.0</v>
      </c>
      <c r="I2396" s="8">
        <v>1.0</v>
      </c>
      <c r="J2396" s="8">
        <v>1.0</v>
      </c>
      <c r="K2396" s="8">
        <v>1.0</v>
      </c>
      <c r="L2396" s="8">
        <v>6.0</v>
      </c>
      <c r="M2396" s="8"/>
      <c r="N2396" s="8"/>
      <c r="O2396" s="8" t="s">
        <v>805</v>
      </c>
      <c r="P2396" s="8">
        <v>6.0</v>
      </c>
    </row>
    <row r="2397">
      <c r="A2397">
        <f>IFERROR(__xludf.DUMMYFUNCTION("""COMPUTED_VALUE"""),8.0)</f>
        <v>8</v>
      </c>
      <c r="B2397">
        <f>IFERROR(__xludf.DUMMYFUNCTION("""COMPUTED_VALUE"""),29034.0)</f>
        <v>29034</v>
      </c>
      <c r="C2397" t="str">
        <f>IFERROR(__xludf.DUMMYFUNCTION("""COMPUTED_VALUE"""),"DUQUE BONNETT, ELISA")</f>
        <v>DUQUE BONNETT, ELISA</v>
      </c>
      <c r="D2397" t="str">
        <f>IFERROR(__xludf.DUMMYFUNCTION("""COMPUTED_VALUE"""),"PE 8")</f>
        <v>PE 8</v>
      </c>
      <c r="E2397" s="31" t="str">
        <f>IFERROR(__xludf.DUMMYFUNCTION("""COMPUTED_VALUE"""),"2b")</f>
        <v>2b</v>
      </c>
      <c r="F2397" s="8">
        <v>1.0</v>
      </c>
      <c r="G2397" s="8">
        <v>1.0</v>
      </c>
      <c r="H2397" s="8">
        <v>1.0</v>
      </c>
      <c r="I2397" s="8">
        <v>1.0</v>
      </c>
      <c r="J2397" s="8">
        <v>1.0</v>
      </c>
      <c r="K2397" s="8">
        <v>1.0</v>
      </c>
      <c r="L2397" s="8">
        <v>6.0</v>
      </c>
      <c r="M2397" s="8"/>
      <c r="N2397" s="8"/>
      <c r="O2397" s="8" t="s">
        <v>806</v>
      </c>
      <c r="P2397" s="8">
        <v>6.0</v>
      </c>
    </row>
    <row r="2398">
      <c r="A2398">
        <f>IFERROR(__xludf.DUMMYFUNCTION("""COMPUTED_VALUE"""),8.0)</f>
        <v>8</v>
      </c>
      <c r="B2398">
        <f>IFERROR(__xludf.DUMMYFUNCTION("""COMPUTED_VALUE"""),29035.0)</f>
        <v>29035</v>
      </c>
      <c r="C2398" t="str">
        <f>IFERROR(__xludf.DUMMYFUNCTION("""COMPUTED_VALUE"""),"DURAN CALAD, MIGUEL")</f>
        <v>DURAN CALAD, MIGUEL</v>
      </c>
      <c r="D2398" t="str">
        <f>IFERROR(__xludf.DUMMYFUNCTION("""COMPUTED_VALUE"""),"PE 8")</f>
        <v>PE 8</v>
      </c>
      <c r="E2398" s="31" t="str">
        <f>IFERROR(__xludf.DUMMYFUNCTION("""COMPUTED_VALUE"""),"5b")</f>
        <v>5b</v>
      </c>
      <c r="F2398" s="8">
        <v>1.0</v>
      </c>
      <c r="G2398" s="8">
        <v>1.0</v>
      </c>
      <c r="H2398" s="8">
        <v>1.0</v>
      </c>
      <c r="I2398" s="8">
        <v>1.0</v>
      </c>
      <c r="J2398" s="8">
        <v>1.0</v>
      </c>
      <c r="K2398" s="8">
        <v>1.0</v>
      </c>
      <c r="L2398" s="8">
        <v>6.0</v>
      </c>
      <c r="M2398" s="8"/>
      <c r="N2398" s="8"/>
      <c r="O2398" s="8" t="s">
        <v>804</v>
      </c>
      <c r="P2398" s="8">
        <v>6.0</v>
      </c>
    </row>
    <row r="2399">
      <c r="A2399">
        <f>IFERROR(__xludf.DUMMYFUNCTION("""COMPUTED_VALUE"""),8.0)</f>
        <v>8</v>
      </c>
      <c r="B2399">
        <f>IFERROR(__xludf.DUMMYFUNCTION("""COMPUTED_VALUE"""),29135.0)</f>
        <v>29135</v>
      </c>
      <c r="C2399" t="str">
        <f>IFERROR(__xludf.DUMMYFUNCTION("""COMPUTED_VALUE"""),"ECHAVARRIA MUÑOZ, NICOLAS")</f>
        <v>ECHAVARRIA MUÑOZ, NICOLAS</v>
      </c>
      <c r="D2399" t="str">
        <f>IFERROR(__xludf.DUMMYFUNCTION("""COMPUTED_VALUE"""),"PE 8")</f>
        <v>PE 8</v>
      </c>
      <c r="E2399" s="31" t="str">
        <f>IFERROR(__xludf.DUMMYFUNCTION("""COMPUTED_VALUE"""),"4a")</f>
        <v>4a</v>
      </c>
      <c r="F2399" s="8">
        <v>1.0</v>
      </c>
      <c r="G2399" s="8">
        <v>1.0</v>
      </c>
      <c r="H2399" s="8">
        <v>1.0</v>
      </c>
      <c r="I2399" s="8">
        <v>1.0</v>
      </c>
      <c r="J2399" s="8">
        <v>1.0</v>
      </c>
      <c r="K2399" s="8">
        <v>1.0</v>
      </c>
      <c r="L2399" s="8">
        <v>6.0</v>
      </c>
      <c r="M2399" s="8"/>
      <c r="N2399" s="8"/>
      <c r="O2399" s="8" t="s">
        <v>802</v>
      </c>
      <c r="P2399" s="8">
        <v>6.0</v>
      </c>
    </row>
    <row r="2400">
      <c r="A2400">
        <f>IFERROR(__xludf.DUMMYFUNCTION("""COMPUTED_VALUE"""),8.0)</f>
        <v>8</v>
      </c>
      <c r="B2400">
        <f>IFERROR(__xludf.DUMMYFUNCTION("""COMPUTED_VALUE"""),29138.0)</f>
        <v>29138</v>
      </c>
      <c r="C2400" t="str">
        <f>IFERROR(__xludf.DUMMYFUNCTION("""COMPUTED_VALUE"""),"ECHAVARRIA ROLDAN, TOMAS")</f>
        <v>ECHAVARRIA ROLDAN, TOMAS</v>
      </c>
      <c r="D2400" t="str">
        <f>IFERROR(__xludf.DUMMYFUNCTION("""COMPUTED_VALUE"""),"PE 8")</f>
        <v>PE 8</v>
      </c>
      <c r="E2400" s="31" t="str">
        <f>IFERROR(__xludf.DUMMYFUNCTION("""COMPUTED_VALUE"""),"6a")</f>
        <v>6a</v>
      </c>
      <c r="F2400" s="8">
        <v>1.0</v>
      </c>
      <c r="G2400" s="8">
        <v>1.0</v>
      </c>
      <c r="H2400" s="8">
        <v>1.0</v>
      </c>
      <c r="I2400" s="8">
        <v>1.0</v>
      </c>
      <c r="J2400" s="8">
        <v>1.0</v>
      </c>
      <c r="K2400" s="8">
        <v>1.0</v>
      </c>
      <c r="L2400" s="8">
        <v>6.0</v>
      </c>
      <c r="M2400" s="8"/>
      <c r="N2400" s="8"/>
      <c r="O2400" s="8" t="s">
        <v>805</v>
      </c>
      <c r="P2400" s="8">
        <v>6.0</v>
      </c>
    </row>
    <row r="2401">
      <c r="A2401">
        <f>IFERROR(__xludf.DUMMYFUNCTION("""COMPUTED_VALUE"""),8.0)</f>
        <v>8</v>
      </c>
      <c r="B2401">
        <f>IFERROR(__xludf.DUMMYFUNCTION("""COMPUTED_VALUE"""),29036.0)</f>
        <v>29036</v>
      </c>
      <c r="C2401" t="str">
        <f>IFERROR(__xludf.DUMMYFUNCTION("""COMPUTED_VALUE"""),"ECHEVERRI ESCOBAR, RODRIGO")</f>
        <v>ECHEVERRI ESCOBAR, RODRIGO</v>
      </c>
      <c r="D2401" t="str">
        <f>IFERROR(__xludf.DUMMYFUNCTION("""COMPUTED_VALUE"""),"PE 8")</f>
        <v>PE 8</v>
      </c>
      <c r="E2401" s="31" t="str">
        <f>IFERROR(__xludf.DUMMYFUNCTION("""COMPUTED_VALUE"""),"1a")</f>
        <v>1a</v>
      </c>
      <c r="F2401" s="8">
        <v>1.0</v>
      </c>
      <c r="G2401" s="8">
        <v>1.0</v>
      </c>
      <c r="H2401" s="8">
        <v>1.0</v>
      </c>
      <c r="I2401" s="8">
        <v>1.0</v>
      </c>
      <c r="J2401" s="8">
        <v>1.0</v>
      </c>
      <c r="K2401" s="8">
        <v>1.0</v>
      </c>
      <c r="L2401" s="8">
        <v>6.0</v>
      </c>
      <c r="M2401" s="8"/>
      <c r="N2401" s="8"/>
      <c r="O2401" s="8" t="s">
        <v>803</v>
      </c>
      <c r="P2401" s="8">
        <v>6.0</v>
      </c>
    </row>
    <row r="2402">
      <c r="A2402">
        <f>IFERROR(__xludf.DUMMYFUNCTION("""COMPUTED_VALUE"""),8.0)</f>
        <v>8</v>
      </c>
      <c r="B2402">
        <f>IFERROR(__xludf.DUMMYFUNCTION("""COMPUTED_VALUE"""),29037.0)</f>
        <v>29037</v>
      </c>
      <c r="C2402" t="str">
        <f>IFERROR(__xludf.DUMMYFUNCTION("""COMPUTED_VALUE"""),"ESCOBAR INFANTINO, RAQUEL")</f>
        <v>ESCOBAR INFANTINO, RAQUEL</v>
      </c>
      <c r="D2402" t="str">
        <f>IFERROR(__xludf.DUMMYFUNCTION("""COMPUTED_VALUE"""),"PE 8")</f>
        <v>PE 8</v>
      </c>
      <c r="E2402" s="31" t="str">
        <f>IFERROR(__xludf.DUMMYFUNCTION("""COMPUTED_VALUE"""),"4a")</f>
        <v>4a</v>
      </c>
      <c r="F2402" s="8">
        <v>1.0</v>
      </c>
      <c r="G2402" s="8">
        <v>1.0</v>
      </c>
      <c r="H2402" s="8">
        <v>1.0</v>
      </c>
      <c r="I2402" s="8">
        <v>1.0</v>
      </c>
      <c r="J2402" s="8">
        <v>1.0</v>
      </c>
      <c r="K2402" s="8">
        <v>1.0</v>
      </c>
      <c r="L2402" s="8">
        <v>6.0</v>
      </c>
      <c r="M2402" s="8"/>
      <c r="N2402" s="8"/>
      <c r="O2402" s="8" t="s">
        <v>802</v>
      </c>
      <c r="P2402" s="8">
        <v>6.0</v>
      </c>
    </row>
    <row r="2403">
      <c r="A2403">
        <f>IFERROR(__xludf.DUMMYFUNCTION("""COMPUTED_VALUE"""),8.0)</f>
        <v>8</v>
      </c>
      <c r="B2403">
        <f>IFERROR(__xludf.DUMMYFUNCTION("""COMPUTED_VALUE"""),29038.0)</f>
        <v>29038</v>
      </c>
      <c r="C2403" t="str">
        <f>IFERROR(__xludf.DUMMYFUNCTION("""COMPUTED_VALUE"""),"ESCOBAR MADRID, MAXIMILIANO")</f>
        <v>ESCOBAR MADRID, MAXIMILIANO</v>
      </c>
      <c r="D2403" t="str">
        <f>IFERROR(__xludf.DUMMYFUNCTION("""COMPUTED_VALUE"""),"PE 8")</f>
        <v>PE 8</v>
      </c>
      <c r="E2403" s="31" t="str">
        <f>IFERROR(__xludf.DUMMYFUNCTION("""COMPUTED_VALUE"""),"5b")</f>
        <v>5b</v>
      </c>
      <c r="F2403" s="8">
        <v>1.0</v>
      </c>
      <c r="G2403" s="8">
        <v>1.0</v>
      </c>
      <c r="H2403" s="8">
        <v>1.0</v>
      </c>
      <c r="I2403" s="8">
        <v>1.0</v>
      </c>
      <c r="J2403" s="8">
        <v>1.0</v>
      </c>
      <c r="K2403" s="8">
        <v>1.0</v>
      </c>
      <c r="L2403" s="8">
        <v>6.0</v>
      </c>
      <c r="M2403" s="8"/>
      <c r="N2403" s="8"/>
      <c r="O2403" s="8" t="s">
        <v>804</v>
      </c>
      <c r="P2403" s="8">
        <v>6.0</v>
      </c>
    </row>
    <row r="2404">
      <c r="A2404">
        <f>IFERROR(__xludf.DUMMYFUNCTION("""COMPUTED_VALUE"""),8.0)</f>
        <v>8</v>
      </c>
      <c r="B2404">
        <f>IFERROR(__xludf.DUMMYFUNCTION("""COMPUTED_VALUE"""),29039.0)</f>
        <v>29039</v>
      </c>
      <c r="C2404" t="str">
        <f>IFERROR(__xludf.DUMMYFUNCTION("""COMPUTED_VALUE"""),"ESPINOSA ABAD, GREGORIO")</f>
        <v>ESPINOSA ABAD, GREGORIO</v>
      </c>
      <c r="D2404" t="str">
        <f>IFERROR(__xludf.DUMMYFUNCTION("""COMPUTED_VALUE"""),"PE 8")</f>
        <v>PE 8</v>
      </c>
      <c r="E2404" s="31" t="str">
        <f>IFERROR(__xludf.DUMMYFUNCTION("""COMPUTED_VALUE"""),"5b")</f>
        <v>5b</v>
      </c>
      <c r="F2404" s="8">
        <v>1.0</v>
      </c>
      <c r="G2404" s="8">
        <v>1.0</v>
      </c>
      <c r="H2404" s="8">
        <v>1.0</v>
      </c>
      <c r="I2404" s="8">
        <v>1.0</v>
      </c>
      <c r="J2404" s="8">
        <v>1.0</v>
      </c>
      <c r="K2404" s="8">
        <v>1.0</v>
      </c>
      <c r="L2404" s="8">
        <v>6.0</v>
      </c>
      <c r="M2404" s="8"/>
      <c r="N2404" s="8"/>
      <c r="O2404" s="8" t="s">
        <v>804</v>
      </c>
      <c r="P2404" s="8">
        <v>6.0</v>
      </c>
    </row>
    <row r="2405">
      <c r="A2405">
        <f>IFERROR(__xludf.DUMMYFUNCTION("""COMPUTED_VALUE"""),8.0)</f>
        <v>8</v>
      </c>
      <c r="B2405">
        <f>IFERROR(__xludf.DUMMYFUNCTION("""COMPUTED_VALUE"""),29040.0)</f>
        <v>29040</v>
      </c>
      <c r="C2405" t="str">
        <f>IFERROR(__xludf.DUMMYFUNCTION("""COMPUTED_VALUE"""),"ESTRADA ZAPATA, MARTIN")</f>
        <v>ESTRADA ZAPATA, MARTIN</v>
      </c>
      <c r="D2405" t="str">
        <f>IFERROR(__xludf.DUMMYFUNCTION("""COMPUTED_VALUE"""),"PE 8")</f>
        <v>PE 8</v>
      </c>
      <c r="E2405" s="31" t="str">
        <f>IFERROR(__xludf.DUMMYFUNCTION("""COMPUTED_VALUE"""),"6a")</f>
        <v>6a</v>
      </c>
      <c r="F2405" s="8">
        <v>1.0</v>
      </c>
      <c r="G2405" s="8">
        <v>1.0</v>
      </c>
      <c r="H2405" s="8">
        <v>1.0</v>
      </c>
      <c r="I2405" s="8">
        <v>1.0</v>
      </c>
      <c r="J2405" s="8">
        <v>1.0</v>
      </c>
      <c r="K2405" s="8">
        <v>1.0</v>
      </c>
      <c r="L2405" s="8">
        <v>6.0</v>
      </c>
      <c r="M2405" s="8"/>
      <c r="N2405" s="8"/>
      <c r="O2405" s="8" t="s">
        <v>805</v>
      </c>
      <c r="P2405" s="8">
        <v>6.0</v>
      </c>
    </row>
    <row r="2406">
      <c r="A2406">
        <f>IFERROR(__xludf.DUMMYFUNCTION("""COMPUTED_VALUE"""),8.0)</f>
        <v>8</v>
      </c>
      <c r="B2406">
        <f>IFERROR(__xludf.DUMMYFUNCTION("""COMPUTED_VALUE"""),29041.0)</f>
        <v>29041</v>
      </c>
      <c r="C2406" t="str">
        <f>IFERROR(__xludf.DUMMYFUNCTION("""COMPUTED_VALUE"""),"FAJARDO VILLA, LUCIANA")</f>
        <v>FAJARDO VILLA, LUCIANA</v>
      </c>
      <c r="D2406" t="str">
        <f>IFERROR(__xludf.DUMMYFUNCTION("""COMPUTED_VALUE"""),"PE 8")</f>
        <v>PE 8</v>
      </c>
      <c r="E2406" s="31" t="str">
        <f>IFERROR(__xludf.DUMMYFUNCTION("""COMPUTED_VALUE"""),"5b")</f>
        <v>5b</v>
      </c>
      <c r="F2406" s="8">
        <v>1.0</v>
      </c>
      <c r="G2406" s="8">
        <v>1.0</v>
      </c>
      <c r="H2406" s="8">
        <v>1.0</v>
      </c>
      <c r="I2406" s="8">
        <v>1.0</v>
      </c>
      <c r="J2406" s="8">
        <v>1.0</v>
      </c>
      <c r="K2406" s="8">
        <v>1.0</v>
      </c>
      <c r="L2406" s="8">
        <v>6.0</v>
      </c>
      <c r="M2406" s="8"/>
      <c r="N2406" s="8"/>
      <c r="O2406" s="8" t="s">
        <v>804</v>
      </c>
      <c r="P2406" s="8">
        <v>6.0</v>
      </c>
    </row>
    <row r="2407">
      <c r="A2407">
        <f>IFERROR(__xludf.DUMMYFUNCTION("""COMPUTED_VALUE"""),8.0)</f>
        <v>8</v>
      </c>
      <c r="B2407">
        <f>IFERROR(__xludf.DUMMYFUNCTION("""COMPUTED_VALUE"""),29155.0)</f>
        <v>29155</v>
      </c>
      <c r="C2407" t="str">
        <f>IFERROR(__xludf.DUMMYFUNCTION("""COMPUTED_VALUE"""),"FERNANDEZ CALDERON, HANNA")</f>
        <v>FERNANDEZ CALDERON, HANNA</v>
      </c>
      <c r="D2407" t="str">
        <f>IFERROR(__xludf.DUMMYFUNCTION("""COMPUTED_VALUE"""),"PE 8")</f>
        <v>PE 8</v>
      </c>
      <c r="E2407" s="31" t="str">
        <f>IFERROR(__xludf.DUMMYFUNCTION("""COMPUTED_VALUE"""),"5b")</f>
        <v>5b</v>
      </c>
      <c r="F2407" s="8">
        <v>1.0</v>
      </c>
      <c r="G2407" s="8">
        <v>1.0</v>
      </c>
      <c r="H2407" s="8">
        <v>1.0</v>
      </c>
      <c r="I2407" s="8">
        <v>1.0</v>
      </c>
      <c r="J2407" s="8">
        <v>1.0</v>
      </c>
      <c r="K2407" s="8">
        <v>1.0</v>
      </c>
      <c r="L2407" s="8">
        <v>6.0</v>
      </c>
      <c r="M2407" s="8"/>
      <c r="N2407" s="8"/>
      <c r="O2407" s="8" t="s">
        <v>804</v>
      </c>
      <c r="P2407" s="8">
        <v>6.0</v>
      </c>
    </row>
    <row r="2408">
      <c r="A2408">
        <f>IFERROR(__xludf.DUMMYFUNCTION("""COMPUTED_VALUE"""),8.0)</f>
        <v>8</v>
      </c>
      <c r="B2408">
        <f>IFERROR(__xludf.DUMMYFUNCTION("""COMPUTED_VALUE"""),29156.0)</f>
        <v>29156</v>
      </c>
      <c r="C2408" t="str">
        <f>IFERROR(__xludf.DUMMYFUNCTION("""COMPUTED_VALUE"""),"FERNANDEZ CALDERON, TAMARA")</f>
        <v>FERNANDEZ CALDERON, TAMARA</v>
      </c>
      <c r="D2408" t="str">
        <f>IFERROR(__xludf.DUMMYFUNCTION("""COMPUTED_VALUE"""),"PE 8")</f>
        <v>PE 8</v>
      </c>
      <c r="E2408" s="31" t="str">
        <f>IFERROR(__xludf.DUMMYFUNCTION("""COMPUTED_VALUE"""),"1a")</f>
        <v>1a</v>
      </c>
      <c r="F2408" s="8">
        <v>1.0</v>
      </c>
      <c r="G2408" s="8">
        <v>1.0</v>
      </c>
      <c r="H2408" s="8">
        <v>1.0</v>
      </c>
      <c r="I2408" s="8">
        <v>1.0</v>
      </c>
      <c r="J2408" s="8">
        <v>1.0</v>
      </c>
      <c r="K2408" s="8">
        <v>1.0</v>
      </c>
      <c r="L2408" s="8">
        <v>6.0</v>
      </c>
      <c r="M2408" s="8"/>
      <c r="N2408" s="8"/>
      <c r="O2408" s="8" t="s">
        <v>803</v>
      </c>
      <c r="P2408" s="8">
        <v>6.0</v>
      </c>
    </row>
    <row r="2409">
      <c r="A2409">
        <f>IFERROR(__xludf.DUMMYFUNCTION("""COMPUTED_VALUE"""),8.0)</f>
        <v>8</v>
      </c>
      <c r="B2409">
        <f>IFERROR(__xludf.DUMMYFUNCTION("""COMPUTED_VALUE"""),28032.0)</f>
        <v>28032</v>
      </c>
      <c r="C2409" t="str">
        <f>IFERROR(__xludf.DUMMYFUNCTION("""COMPUTED_VALUE"""),"GALLON TOBON, GERONIMO")</f>
        <v>GALLON TOBON, GERONIMO</v>
      </c>
      <c r="D2409" t="str">
        <f>IFERROR(__xludf.DUMMYFUNCTION("""COMPUTED_VALUE"""),"PE 8")</f>
        <v>PE 8</v>
      </c>
      <c r="E2409" s="31" t="str">
        <f>IFERROR(__xludf.DUMMYFUNCTION("""COMPUTED_VALUE"""),"1a")</f>
        <v>1a</v>
      </c>
      <c r="F2409" s="8">
        <v>1.0</v>
      </c>
      <c r="G2409" s="8">
        <v>1.0</v>
      </c>
      <c r="H2409" s="8">
        <v>1.0</v>
      </c>
      <c r="I2409" s="8">
        <v>1.0</v>
      </c>
      <c r="J2409" s="8">
        <v>1.0</v>
      </c>
      <c r="K2409" s="8">
        <v>1.0</v>
      </c>
      <c r="L2409" s="8">
        <v>6.0</v>
      </c>
      <c r="M2409" s="8"/>
      <c r="N2409" s="8"/>
      <c r="O2409" s="8" t="s">
        <v>803</v>
      </c>
      <c r="P2409" s="8">
        <v>6.0</v>
      </c>
    </row>
    <row r="2410">
      <c r="A2410">
        <f>IFERROR(__xludf.DUMMYFUNCTION("""COMPUTED_VALUE"""),8.0)</f>
        <v>8</v>
      </c>
      <c r="B2410">
        <f>IFERROR(__xludf.DUMMYFUNCTION("""COMPUTED_VALUE"""),29042.0)</f>
        <v>29042</v>
      </c>
      <c r="C2410" t="str">
        <f>IFERROR(__xludf.DUMMYFUNCTION("""COMPUTED_VALUE"""),"GOMEZ MIRA, GREGORIO")</f>
        <v>GOMEZ MIRA, GREGORIO</v>
      </c>
      <c r="D2410" t="str">
        <f>IFERROR(__xludf.DUMMYFUNCTION("""COMPUTED_VALUE"""),"PE 8")</f>
        <v>PE 8</v>
      </c>
      <c r="E2410" s="31" t="str">
        <f>IFERROR(__xludf.DUMMYFUNCTION("""COMPUTED_VALUE"""),"5a")</f>
        <v>5a</v>
      </c>
      <c r="F2410" s="8">
        <v>1.0</v>
      </c>
      <c r="G2410" s="8">
        <v>1.0</v>
      </c>
      <c r="H2410" s="8">
        <v>1.0</v>
      </c>
      <c r="I2410" s="8">
        <v>1.0</v>
      </c>
      <c r="J2410" s="8">
        <v>1.0</v>
      </c>
      <c r="K2410" s="8">
        <v>1.0</v>
      </c>
      <c r="L2410" s="8">
        <v>6.0</v>
      </c>
      <c r="M2410" s="8"/>
      <c r="N2410" s="8"/>
      <c r="O2410" s="8" t="s">
        <v>807</v>
      </c>
      <c r="P2410" s="8">
        <v>6.0</v>
      </c>
    </row>
    <row r="2411">
      <c r="A2411">
        <f>IFERROR(__xludf.DUMMYFUNCTION("""COMPUTED_VALUE"""),8.0)</f>
        <v>8</v>
      </c>
      <c r="B2411">
        <f>IFERROR(__xludf.DUMMYFUNCTION("""COMPUTED_VALUE"""),29043.0)</f>
        <v>29043</v>
      </c>
      <c r="C2411" t="str">
        <f>IFERROR(__xludf.DUMMYFUNCTION("""COMPUTED_VALUE"""),"GOMEZ PASCHKE, VALERIA")</f>
        <v>GOMEZ PASCHKE, VALERIA</v>
      </c>
      <c r="D2411" t="str">
        <f>IFERROR(__xludf.DUMMYFUNCTION("""COMPUTED_VALUE"""),"PE 8")</f>
        <v>PE 8</v>
      </c>
      <c r="E2411" s="31" t="str">
        <f>IFERROR(__xludf.DUMMYFUNCTION("""COMPUTED_VALUE"""),"4a")</f>
        <v>4a</v>
      </c>
      <c r="F2411" s="8">
        <v>1.0</v>
      </c>
      <c r="G2411" s="8">
        <v>1.0</v>
      </c>
      <c r="H2411" s="8">
        <v>1.0</v>
      </c>
      <c r="I2411" s="8">
        <v>1.0</v>
      </c>
      <c r="J2411" s="8">
        <v>1.0</v>
      </c>
      <c r="K2411" s="8">
        <v>1.0</v>
      </c>
      <c r="L2411" s="8">
        <v>6.0</v>
      </c>
      <c r="M2411" s="8"/>
      <c r="N2411" s="8"/>
      <c r="O2411" s="8" t="s">
        <v>802</v>
      </c>
      <c r="P2411" s="8">
        <v>6.0</v>
      </c>
    </row>
    <row r="2412">
      <c r="A2412">
        <f>IFERROR(__xludf.DUMMYFUNCTION("""COMPUTED_VALUE"""),8.0)</f>
        <v>8</v>
      </c>
      <c r="B2412">
        <f>IFERROR(__xludf.DUMMYFUNCTION("""COMPUTED_VALUE"""),29045.0)</f>
        <v>29045</v>
      </c>
      <c r="C2412" t="str">
        <f>IFERROR(__xludf.DUMMYFUNCTION("""COMPUTED_VALUE"""),"GOMEZ ZULUAGA, JUAN JOSE")</f>
        <v>GOMEZ ZULUAGA, JUAN JOSE</v>
      </c>
      <c r="D2412" t="str">
        <f>IFERROR(__xludf.DUMMYFUNCTION("""COMPUTED_VALUE"""),"PE 8")</f>
        <v>PE 8</v>
      </c>
      <c r="E2412" s="31" t="str">
        <f>IFERROR(__xludf.DUMMYFUNCTION("""COMPUTED_VALUE"""),"2b")</f>
        <v>2b</v>
      </c>
      <c r="F2412" s="8">
        <v>1.0</v>
      </c>
      <c r="G2412" s="8">
        <v>1.0</v>
      </c>
      <c r="H2412" s="8">
        <v>1.0</v>
      </c>
      <c r="I2412" s="8">
        <v>1.0</v>
      </c>
      <c r="J2412" s="8">
        <v>1.0</v>
      </c>
      <c r="K2412" s="8">
        <v>1.0</v>
      </c>
      <c r="L2412" s="8">
        <v>6.0</v>
      </c>
      <c r="M2412" s="8"/>
      <c r="N2412" s="8"/>
      <c r="O2412" s="8" t="s">
        <v>806</v>
      </c>
      <c r="P2412" s="8">
        <v>6.0</v>
      </c>
    </row>
    <row r="2413">
      <c r="A2413">
        <f>IFERROR(__xludf.DUMMYFUNCTION("""COMPUTED_VALUE"""),8.0)</f>
        <v>8</v>
      </c>
      <c r="B2413">
        <f>IFERROR(__xludf.DUMMYFUNCTION("""COMPUTED_VALUE"""),29046.0)</f>
        <v>29046</v>
      </c>
      <c r="C2413" t="str">
        <f>IFERROR(__xludf.DUMMYFUNCTION("""COMPUTED_VALUE"""),"GONZALEZ LOPEZ, SAMUEL")</f>
        <v>GONZALEZ LOPEZ, SAMUEL</v>
      </c>
      <c r="D2413" t="str">
        <f>IFERROR(__xludf.DUMMYFUNCTION("""COMPUTED_VALUE"""),"PE 8")</f>
        <v>PE 8</v>
      </c>
      <c r="E2413" s="31" t="str">
        <f>IFERROR(__xludf.DUMMYFUNCTION("""COMPUTED_VALUE"""),"6a")</f>
        <v>6a</v>
      </c>
      <c r="F2413" s="8">
        <v>1.0</v>
      </c>
      <c r="G2413" s="8">
        <v>1.0</v>
      </c>
      <c r="H2413" s="8">
        <v>1.0</v>
      </c>
      <c r="I2413" s="8">
        <v>1.0</v>
      </c>
      <c r="J2413" s="8">
        <v>1.0</v>
      </c>
      <c r="K2413" s="8">
        <v>1.0</v>
      </c>
      <c r="L2413" s="8">
        <v>6.0</v>
      </c>
      <c r="M2413" s="8"/>
      <c r="N2413" s="8"/>
      <c r="O2413" s="8" t="s">
        <v>805</v>
      </c>
      <c r="P2413" s="8">
        <v>6.0</v>
      </c>
    </row>
    <row r="2414">
      <c r="A2414">
        <f>IFERROR(__xludf.DUMMYFUNCTION("""COMPUTED_VALUE"""),8.0)</f>
        <v>8</v>
      </c>
      <c r="B2414">
        <f>IFERROR(__xludf.DUMMYFUNCTION("""COMPUTED_VALUE"""),29048.0)</f>
        <v>29048</v>
      </c>
      <c r="C2414" t="str">
        <f>IFERROR(__xludf.DUMMYFUNCTION("""COMPUTED_VALUE"""),"HENAO RESTREPO, ANTONIA")</f>
        <v>HENAO RESTREPO, ANTONIA</v>
      </c>
      <c r="D2414" t="str">
        <f>IFERROR(__xludf.DUMMYFUNCTION("""COMPUTED_VALUE"""),"PE 8")</f>
        <v>PE 8</v>
      </c>
      <c r="E2414" s="31" t="str">
        <f>IFERROR(__xludf.DUMMYFUNCTION("""COMPUTED_VALUE"""),"4a")</f>
        <v>4a</v>
      </c>
      <c r="F2414" s="8">
        <v>1.0</v>
      </c>
      <c r="G2414" s="8">
        <v>1.0</v>
      </c>
      <c r="H2414" s="8">
        <v>1.0</v>
      </c>
      <c r="I2414" s="8">
        <v>1.0</v>
      </c>
      <c r="J2414" s="8">
        <v>1.0</v>
      </c>
      <c r="K2414" s="8">
        <v>1.0</v>
      </c>
      <c r="L2414" s="8">
        <v>6.0</v>
      </c>
      <c r="M2414" s="8"/>
      <c r="N2414" s="8"/>
      <c r="O2414" s="8" t="s">
        <v>802</v>
      </c>
      <c r="P2414" s="8">
        <v>6.0</v>
      </c>
    </row>
    <row r="2415">
      <c r="A2415">
        <f>IFERROR(__xludf.DUMMYFUNCTION("""COMPUTED_VALUE"""),8.0)</f>
        <v>8</v>
      </c>
      <c r="B2415">
        <f>IFERROR(__xludf.DUMMYFUNCTION("""COMPUTED_VALUE"""),29049.0)</f>
        <v>29049</v>
      </c>
      <c r="C2415" t="str">
        <f>IFERROR(__xludf.DUMMYFUNCTION("""COMPUTED_VALUE"""),"HINESTROSA SIERRA, MIGUEL")</f>
        <v>HINESTROSA SIERRA, MIGUEL</v>
      </c>
      <c r="D2415" t="str">
        <f>IFERROR(__xludf.DUMMYFUNCTION("""COMPUTED_VALUE"""),"PE 8")</f>
        <v>PE 8</v>
      </c>
      <c r="E2415" s="31" t="str">
        <f>IFERROR(__xludf.DUMMYFUNCTION("""COMPUTED_VALUE"""),"6a")</f>
        <v>6a</v>
      </c>
      <c r="F2415" s="8">
        <v>1.0</v>
      </c>
      <c r="G2415" s="8">
        <v>1.0</v>
      </c>
      <c r="H2415" s="8">
        <v>1.0</v>
      </c>
      <c r="I2415" s="8">
        <v>1.0</v>
      </c>
      <c r="J2415" s="8">
        <v>1.0</v>
      </c>
      <c r="K2415" s="8">
        <v>1.0</v>
      </c>
      <c r="L2415" s="8">
        <v>6.0</v>
      </c>
      <c r="M2415" s="8"/>
      <c r="N2415" s="8"/>
      <c r="O2415" s="8" t="s">
        <v>805</v>
      </c>
      <c r="P2415" s="8">
        <v>6.0</v>
      </c>
    </row>
    <row r="2416">
      <c r="A2416">
        <f>IFERROR(__xludf.DUMMYFUNCTION("""COMPUTED_VALUE"""),8.0)</f>
        <v>8</v>
      </c>
      <c r="B2416">
        <f>IFERROR(__xludf.DUMMYFUNCTION("""COMPUTED_VALUE"""),29050.0)</f>
        <v>29050</v>
      </c>
      <c r="C2416" t="str">
        <f>IFERROR(__xludf.DUMMYFUNCTION("""COMPUTED_VALUE"""),"HINESTROSA SIERRA, PEDRO")</f>
        <v>HINESTROSA SIERRA, PEDRO</v>
      </c>
      <c r="D2416" t="str">
        <f>IFERROR(__xludf.DUMMYFUNCTION("""COMPUTED_VALUE"""),"PE 8")</f>
        <v>PE 8</v>
      </c>
      <c r="E2416" s="31" t="str">
        <f>IFERROR(__xludf.DUMMYFUNCTION("""COMPUTED_VALUE"""),"5a")</f>
        <v>5a</v>
      </c>
      <c r="F2416" s="8">
        <v>1.0</v>
      </c>
      <c r="G2416" s="8">
        <v>1.0</v>
      </c>
      <c r="H2416" s="8">
        <v>1.0</v>
      </c>
      <c r="I2416" s="8">
        <v>1.0</v>
      </c>
      <c r="J2416" s="8">
        <v>1.0</v>
      </c>
      <c r="K2416" s="8">
        <v>1.0</v>
      </c>
      <c r="L2416" s="8">
        <v>6.0</v>
      </c>
      <c r="M2416" s="8"/>
      <c r="N2416" s="8"/>
      <c r="O2416" s="8" t="s">
        <v>807</v>
      </c>
      <c r="P2416" s="8">
        <v>6.0</v>
      </c>
    </row>
    <row r="2417">
      <c r="A2417">
        <f>IFERROR(__xludf.DUMMYFUNCTION("""COMPUTED_VALUE"""),8.0)</f>
        <v>8</v>
      </c>
      <c r="B2417">
        <f>IFERROR(__xludf.DUMMYFUNCTION("""COMPUTED_VALUE"""),28046.0)</f>
        <v>28046</v>
      </c>
      <c r="C2417" t="str">
        <f>IFERROR(__xludf.DUMMYFUNCTION("""COMPUTED_VALUE"""),"HOYOS SARAVIA, TOMAS")</f>
        <v>HOYOS SARAVIA, TOMAS</v>
      </c>
      <c r="D2417" t="str">
        <f>IFERROR(__xludf.DUMMYFUNCTION("""COMPUTED_VALUE"""),"PE 8")</f>
        <v>PE 8</v>
      </c>
      <c r="E2417" s="31" t="str">
        <f>IFERROR(__xludf.DUMMYFUNCTION("""COMPUTED_VALUE"""),"5a")</f>
        <v>5a</v>
      </c>
      <c r="F2417" s="8">
        <v>1.0</v>
      </c>
      <c r="G2417" s="8">
        <v>1.0</v>
      </c>
      <c r="H2417" s="8">
        <v>1.0</v>
      </c>
      <c r="I2417" s="8">
        <v>1.0</v>
      </c>
      <c r="J2417" s="8">
        <v>1.0</v>
      </c>
      <c r="K2417" s="8">
        <v>1.0</v>
      </c>
      <c r="L2417" s="8">
        <v>6.0</v>
      </c>
      <c r="M2417" s="8"/>
      <c r="N2417" s="8"/>
      <c r="O2417" s="8" t="s">
        <v>807</v>
      </c>
      <c r="P2417" s="8">
        <v>6.0</v>
      </c>
    </row>
    <row r="2418">
      <c r="A2418">
        <f>IFERROR(__xludf.DUMMYFUNCTION("""COMPUTED_VALUE"""),8.0)</f>
        <v>8</v>
      </c>
      <c r="B2418">
        <f>IFERROR(__xludf.DUMMYFUNCTION("""COMPUTED_VALUE"""),29052.0)</f>
        <v>29052</v>
      </c>
      <c r="C2418" t="str">
        <f>IFERROR(__xludf.DUMMYFUNCTION("""COMPUTED_VALUE"""),"HURTADO ARISTIZABAL, CAMILA")</f>
        <v>HURTADO ARISTIZABAL, CAMILA</v>
      </c>
      <c r="D2418" t="str">
        <f>IFERROR(__xludf.DUMMYFUNCTION("""COMPUTED_VALUE"""),"PE 8")</f>
        <v>PE 8</v>
      </c>
      <c r="E2418" s="31" t="str">
        <f>IFERROR(__xludf.DUMMYFUNCTION("""COMPUTED_VALUE"""),"5b")</f>
        <v>5b</v>
      </c>
      <c r="F2418" s="8">
        <v>1.0</v>
      </c>
      <c r="G2418" s="8">
        <v>1.0</v>
      </c>
      <c r="H2418" s="8">
        <v>1.0</v>
      </c>
      <c r="I2418" s="8">
        <v>1.0</v>
      </c>
      <c r="J2418" s="8">
        <v>1.0</v>
      </c>
      <c r="K2418" s="8">
        <v>1.0</v>
      </c>
      <c r="L2418" s="8">
        <v>6.0</v>
      </c>
      <c r="M2418" s="8"/>
      <c r="N2418" s="8"/>
      <c r="O2418" s="8" t="s">
        <v>804</v>
      </c>
      <c r="P2418" s="8">
        <v>6.0</v>
      </c>
    </row>
    <row r="2419">
      <c r="A2419">
        <f>IFERROR(__xludf.DUMMYFUNCTION("""COMPUTED_VALUE"""),8.0)</f>
        <v>8</v>
      </c>
      <c r="B2419">
        <f>IFERROR(__xludf.DUMMYFUNCTION("""COMPUTED_VALUE"""),29053.0)</f>
        <v>29053</v>
      </c>
      <c r="C2419" t="str">
        <f>IFERROR(__xludf.DUMMYFUNCTION("""COMPUTED_VALUE"""),"HURTADO FAJARDO, JUANITA")</f>
        <v>HURTADO FAJARDO, JUANITA</v>
      </c>
      <c r="D2419" t="str">
        <f>IFERROR(__xludf.DUMMYFUNCTION("""COMPUTED_VALUE"""),"PE 8")</f>
        <v>PE 8</v>
      </c>
      <c r="E2419" s="31" t="str">
        <f>IFERROR(__xludf.DUMMYFUNCTION("""COMPUTED_VALUE"""),"4a")</f>
        <v>4a</v>
      </c>
      <c r="F2419" s="8">
        <v>1.0</v>
      </c>
      <c r="G2419" s="8">
        <v>1.0</v>
      </c>
      <c r="H2419" s="8">
        <v>1.0</v>
      </c>
      <c r="I2419" s="8">
        <v>1.0</v>
      </c>
      <c r="J2419" s="8">
        <v>1.0</v>
      </c>
      <c r="K2419" s="8">
        <v>1.0</v>
      </c>
      <c r="L2419" s="8">
        <v>6.0</v>
      </c>
      <c r="M2419" s="8"/>
      <c r="N2419" s="8"/>
      <c r="O2419" s="8" t="s">
        <v>802</v>
      </c>
      <c r="P2419" s="8">
        <v>6.0</v>
      </c>
    </row>
    <row r="2420">
      <c r="A2420">
        <f>IFERROR(__xludf.DUMMYFUNCTION("""COMPUTED_VALUE"""),8.0)</f>
        <v>8</v>
      </c>
      <c r="B2420">
        <f>IFERROR(__xludf.DUMMYFUNCTION("""COMPUTED_VALUE"""),29056.0)</f>
        <v>29056</v>
      </c>
      <c r="C2420" t="str">
        <f>IFERROR(__xludf.DUMMYFUNCTION("""COMPUTED_VALUE"""),"JAILLIER PINZON, MAXIMILIANO")</f>
        <v>JAILLIER PINZON, MAXIMILIANO</v>
      </c>
      <c r="D2420" t="str">
        <f>IFERROR(__xludf.DUMMYFUNCTION("""COMPUTED_VALUE"""),"PE 8")</f>
        <v>PE 8</v>
      </c>
      <c r="E2420" s="31" t="str">
        <f>IFERROR(__xludf.DUMMYFUNCTION("""COMPUTED_VALUE"""),"5a")</f>
        <v>5a</v>
      </c>
      <c r="F2420" s="8">
        <v>1.0</v>
      </c>
      <c r="G2420" s="8">
        <v>1.0</v>
      </c>
      <c r="H2420" s="8">
        <v>1.0</v>
      </c>
      <c r="I2420" s="8">
        <v>1.0</v>
      </c>
      <c r="J2420" s="8">
        <v>1.0</v>
      </c>
      <c r="K2420" s="8">
        <v>1.0</v>
      </c>
      <c r="L2420" s="8">
        <v>6.0</v>
      </c>
      <c r="M2420" s="8"/>
      <c r="N2420" s="8"/>
      <c r="O2420" s="8" t="s">
        <v>807</v>
      </c>
      <c r="P2420" s="8">
        <v>6.0</v>
      </c>
    </row>
    <row r="2421">
      <c r="A2421">
        <f>IFERROR(__xludf.DUMMYFUNCTION("""COMPUTED_VALUE"""),8.0)</f>
        <v>8</v>
      </c>
      <c r="B2421">
        <f>IFERROR(__xludf.DUMMYFUNCTION("""COMPUTED_VALUE"""),29057.0)</f>
        <v>29057</v>
      </c>
      <c r="C2421" t="str">
        <f>IFERROR(__xludf.DUMMYFUNCTION("""COMPUTED_VALUE"""),"JALLER TRUJILLO, KAMEL")</f>
        <v>JALLER TRUJILLO, KAMEL</v>
      </c>
      <c r="D2421" t="str">
        <f>IFERROR(__xludf.DUMMYFUNCTION("""COMPUTED_VALUE"""),"PE 8")</f>
        <v>PE 8</v>
      </c>
      <c r="E2421" s="31" t="str">
        <f>IFERROR(__xludf.DUMMYFUNCTION("""COMPUTED_VALUE"""),"2b")</f>
        <v>2b</v>
      </c>
      <c r="F2421" s="8">
        <v>1.0</v>
      </c>
      <c r="G2421" s="8">
        <v>1.0</v>
      </c>
      <c r="H2421" s="8">
        <v>1.0</v>
      </c>
      <c r="I2421" s="8">
        <v>1.0</v>
      </c>
      <c r="J2421" s="8">
        <v>1.0</v>
      </c>
      <c r="K2421" s="8">
        <v>1.0</v>
      </c>
      <c r="L2421" s="8">
        <v>6.0</v>
      </c>
      <c r="M2421" s="8"/>
      <c r="N2421" s="8"/>
      <c r="O2421" s="8" t="s">
        <v>806</v>
      </c>
      <c r="P2421" s="8">
        <v>6.0</v>
      </c>
    </row>
    <row r="2422">
      <c r="A2422">
        <f>IFERROR(__xludf.DUMMYFUNCTION("""COMPUTED_VALUE"""),8.0)</f>
        <v>8</v>
      </c>
      <c r="B2422">
        <f>IFERROR(__xludf.DUMMYFUNCTION("""COMPUTED_VALUE"""),29058.0)</f>
        <v>29058</v>
      </c>
      <c r="C2422" t="str">
        <f>IFERROR(__xludf.DUMMYFUNCTION("""COMPUTED_VALUE"""),"JARAMILLO DONADO, AMELIA")</f>
        <v>JARAMILLO DONADO, AMELIA</v>
      </c>
      <c r="D2422" t="str">
        <f>IFERROR(__xludf.DUMMYFUNCTION("""COMPUTED_VALUE"""),"PE 8")</f>
        <v>PE 8</v>
      </c>
      <c r="E2422" s="31" t="str">
        <f>IFERROR(__xludf.DUMMYFUNCTION("""COMPUTED_VALUE"""),"1a")</f>
        <v>1a</v>
      </c>
      <c r="F2422" s="8">
        <v>1.0</v>
      </c>
      <c r="G2422" s="8">
        <v>1.0</v>
      </c>
      <c r="H2422" s="8">
        <v>1.0</v>
      </c>
      <c r="I2422" s="8">
        <v>1.0</v>
      </c>
      <c r="J2422" s="8">
        <v>1.0</v>
      </c>
      <c r="K2422" s="8">
        <v>1.0</v>
      </c>
      <c r="L2422" s="8">
        <v>6.0</v>
      </c>
      <c r="M2422" s="8"/>
      <c r="N2422" s="8"/>
      <c r="O2422" s="8" t="s">
        <v>803</v>
      </c>
      <c r="P2422" s="8">
        <v>6.0</v>
      </c>
    </row>
    <row r="2423">
      <c r="A2423">
        <f>IFERROR(__xludf.DUMMYFUNCTION("""COMPUTED_VALUE"""),8.0)</f>
        <v>8</v>
      </c>
      <c r="B2423">
        <f>IFERROR(__xludf.DUMMYFUNCTION("""COMPUTED_VALUE"""),29059.0)</f>
        <v>29059</v>
      </c>
      <c r="C2423" t="str">
        <f>IFERROR(__xludf.DUMMYFUNCTION("""COMPUTED_VALUE"""),"JARAMILLO GONZALEZ, PASCUAL")</f>
        <v>JARAMILLO GONZALEZ, PASCUAL</v>
      </c>
      <c r="D2423" t="str">
        <f>IFERROR(__xludf.DUMMYFUNCTION("""COMPUTED_VALUE"""),"PE 8")</f>
        <v>PE 8</v>
      </c>
      <c r="E2423" s="31" t="str">
        <f>IFERROR(__xludf.DUMMYFUNCTION("""COMPUTED_VALUE"""),"5a")</f>
        <v>5a</v>
      </c>
      <c r="F2423" s="8">
        <v>1.0</v>
      </c>
      <c r="G2423" s="8">
        <v>1.0</v>
      </c>
      <c r="H2423" s="8">
        <v>1.0</v>
      </c>
      <c r="I2423" s="8">
        <v>1.0</v>
      </c>
      <c r="J2423" s="8">
        <v>1.0</v>
      </c>
      <c r="K2423" s="8">
        <v>1.0</v>
      </c>
      <c r="L2423" s="8">
        <v>6.0</v>
      </c>
      <c r="M2423" s="8"/>
      <c r="N2423" s="8"/>
      <c r="O2423" s="8" t="s">
        <v>807</v>
      </c>
      <c r="P2423" s="8">
        <v>6.0</v>
      </c>
    </row>
    <row r="2424">
      <c r="A2424">
        <f>IFERROR(__xludf.DUMMYFUNCTION("""COMPUTED_VALUE"""),8.0)</f>
        <v>8</v>
      </c>
      <c r="B2424">
        <f>IFERROR(__xludf.DUMMYFUNCTION("""COMPUTED_VALUE"""),29060.0)</f>
        <v>29060</v>
      </c>
      <c r="C2424" t="str">
        <f>IFERROR(__xludf.DUMMYFUNCTION("""COMPUTED_VALUE"""),"JARAMILLO NARANJO, NICOLAS")</f>
        <v>JARAMILLO NARANJO, NICOLAS</v>
      </c>
      <c r="D2424" t="str">
        <f>IFERROR(__xludf.DUMMYFUNCTION("""COMPUTED_VALUE"""),"PE 8")</f>
        <v>PE 8</v>
      </c>
      <c r="E2424" s="31" t="str">
        <f>IFERROR(__xludf.DUMMYFUNCTION("""COMPUTED_VALUE"""),"5a")</f>
        <v>5a</v>
      </c>
      <c r="F2424" s="8">
        <v>1.0</v>
      </c>
      <c r="G2424" s="8">
        <v>1.0</v>
      </c>
      <c r="H2424" s="8">
        <v>1.0</v>
      </c>
      <c r="I2424" s="8">
        <v>1.0</v>
      </c>
      <c r="J2424" s="8">
        <v>1.0</v>
      </c>
      <c r="K2424" s="8">
        <v>1.0</v>
      </c>
      <c r="L2424" s="8">
        <v>6.0</v>
      </c>
      <c r="M2424" s="8"/>
      <c r="N2424" s="8"/>
      <c r="O2424" s="8" t="s">
        <v>807</v>
      </c>
      <c r="P2424" s="8">
        <v>6.0</v>
      </c>
    </row>
    <row r="2425">
      <c r="A2425">
        <f>IFERROR(__xludf.DUMMYFUNCTION("""COMPUTED_VALUE"""),8.0)</f>
        <v>8</v>
      </c>
      <c r="B2425">
        <f>IFERROR(__xludf.DUMMYFUNCTION("""COMPUTED_VALUE"""),29061.0)</f>
        <v>29061</v>
      </c>
      <c r="C2425" t="str">
        <f>IFERROR(__xludf.DUMMYFUNCTION("""COMPUTED_VALUE"""),"JARAMILLO OSPINA, MANUEL")</f>
        <v>JARAMILLO OSPINA, MANUEL</v>
      </c>
      <c r="D2425" t="str">
        <f>IFERROR(__xludf.DUMMYFUNCTION("""COMPUTED_VALUE"""),"PE 8")</f>
        <v>PE 8</v>
      </c>
      <c r="E2425" s="31" t="str">
        <f>IFERROR(__xludf.DUMMYFUNCTION("""COMPUTED_VALUE"""),"1a")</f>
        <v>1a</v>
      </c>
      <c r="F2425" s="8">
        <v>1.0</v>
      </c>
      <c r="G2425" s="8">
        <v>1.0</v>
      </c>
      <c r="H2425" s="8">
        <v>1.0</v>
      </c>
      <c r="I2425" s="8">
        <v>1.0</v>
      </c>
      <c r="J2425" s="8">
        <v>1.0</v>
      </c>
      <c r="K2425" s="8">
        <v>1.0</v>
      </c>
      <c r="L2425" s="8">
        <v>6.0</v>
      </c>
      <c r="M2425" s="8"/>
      <c r="N2425" s="8"/>
      <c r="O2425" s="8" t="s">
        <v>803</v>
      </c>
      <c r="P2425" s="8">
        <v>6.0</v>
      </c>
    </row>
    <row r="2426">
      <c r="A2426">
        <f>IFERROR(__xludf.DUMMYFUNCTION("""COMPUTED_VALUE"""),8.0)</f>
        <v>8</v>
      </c>
      <c r="B2426">
        <f>IFERROR(__xludf.DUMMYFUNCTION("""COMPUTED_VALUE"""),28144.0)</f>
        <v>28144</v>
      </c>
      <c r="C2426" t="str">
        <f>IFERROR(__xludf.DUMMYFUNCTION("""COMPUTED_VALUE"""),"JIMENEZ PATIÑO, EMILIO")</f>
        <v>JIMENEZ PATIÑO, EMILIO</v>
      </c>
      <c r="D2426" t="str">
        <f>IFERROR(__xludf.DUMMYFUNCTION("""COMPUTED_VALUE"""),"PE 8")</f>
        <v>PE 8</v>
      </c>
      <c r="E2426" s="31" t="str">
        <f>IFERROR(__xludf.DUMMYFUNCTION("""COMPUTED_VALUE"""),"6a")</f>
        <v>6a</v>
      </c>
      <c r="F2426" s="8">
        <v>1.0</v>
      </c>
      <c r="G2426" s="8">
        <v>1.0</v>
      </c>
      <c r="H2426" s="8">
        <v>1.0</v>
      </c>
      <c r="I2426" s="8">
        <v>1.0</v>
      </c>
      <c r="J2426" s="8">
        <v>1.0</v>
      </c>
      <c r="K2426" s="8">
        <v>1.0</v>
      </c>
      <c r="L2426" s="8">
        <v>6.0</v>
      </c>
      <c r="M2426" s="8"/>
      <c r="N2426" s="8"/>
      <c r="O2426" s="8" t="s">
        <v>805</v>
      </c>
      <c r="P2426" s="8">
        <v>6.0</v>
      </c>
    </row>
    <row r="2427">
      <c r="A2427">
        <f>IFERROR(__xludf.DUMMYFUNCTION("""COMPUTED_VALUE"""),8.0)</f>
        <v>8</v>
      </c>
      <c r="B2427">
        <f>IFERROR(__xludf.DUMMYFUNCTION("""COMPUTED_VALUE"""),29147.0)</f>
        <v>29147</v>
      </c>
      <c r="C2427" t="str">
        <f>IFERROR(__xludf.DUMMYFUNCTION("""COMPUTED_VALUE"""),"JIMENO ARISTIZABAL, ISABELLA")</f>
        <v>JIMENO ARISTIZABAL, ISABELLA</v>
      </c>
      <c r="D2427" t="str">
        <f>IFERROR(__xludf.DUMMYFUNCTION("""COMPUTED_VALUE"""),"PE 8")</f>
        <v>PE 8</v>
      </c>
      <c r="E2427" s="31" t="str">
        <f>IFERROR(__xludf.DUMMYFUNCTION("""COMPUTED_VALUE"""),"1a")</f>
        <v>1a</v>
      </c>
      <c r="F2427" s="8">
        <v>1.0</v>
      </c>
      <c r="G2427" s="8">
        <v>1.0</v>
      </c>
      <c r="H2427" s="8">
        <v>1.0</v>
      </c>
      <c r="I2427" s="8">
        <v>1.0</v>
      </c>
      <c r="J2427" s="8">
        <v>1.0</v>
      </c>
      <c r="K2427" s="8">
        <v>1.0</v>
      </c>
      <c r="L2427" s="8">
        <v>6.0</v>
      </c>
      <c r="M2427" s="8"/>
      <c r="N2427" s="8"/>
      <c r="O2427" s="8" t="s">
        <v>803</v>
      </c>
      <c r="P2427" s="8">
        <v>6.0</v>
      </c>
    </row>
    <row r="2428">
      <c r="A2428">
        <f>IFERROR(__xludf.DUMMYFUNCTION("""COMPUTED_VALUE"""),8.0)</f>
        <v>8</v>
      </c>
      <c r="B2428">
        <f>IFERROR(__xludf.DUMMYFUNCTION("""COMPUTED_VALUE"""),29062.0)</f>
        <v>29062</v>
      </c>
      <c r="C2428" t="str">
        <f>IFERROR(__xludf.DUMMYFUNCTION("""COMPUTED_VALUE"""),"KIM LEE, SAE YOON LUCAS")</f>
        <v>KIM LEE, SAE YOON LUCAS</v>
      </c>
      <c r="D2428" t="str">
        <f>IFERROR(__xludf.DUMMYFUNCTION("""COMPUTED_VALUE"""),"PE 8")</f>
        <v>PE 8</v>
      </c>
      <c r="E2428" s="31" t="str">
        <f>IFERROR(__xludf.DUMMYFUNCTION("""COMPUTED_VALUE"""),"2b")</f>
        <v>2b</v>
      </c>
      <c r="F2428" s="8">
        <v>1.0</v>
      </c>
      <c r="G2428" s="8">
        <v>1.0</v>
      </c>
      <c r="H2428" s="8">
        <v>1.0</v>
      </c>
      <c r="I2428" s="8">
        <v>1.0</v>
      </c>
      <c r="J2428" s="8">
        <v>1.0</v>
      </c>
      <c r="K2428" s="8">
        <v>1.0</v>
      </c>
      <c r="L2428" s="8">
        <v>6.0</v>
      </c>
      <c r="M2428" s="8"/>
      <c r="N2428" s="8"/>
      <c r="O2428" s="8" t="s">
        <v>806</v>
      </c>
      <c r="P2428" s="8">
        <v>6.0</v>
      </c>
    </row>
    <row r="2429">
      <c r="A2429">
        <f>IFERROR(__xludf.DUMMYFUNCTION("""COMPUTED_VALUE"""),8.0)</f>
        <v>8</v>
      </c>
      <c r="B2429">
        <f>IFERROR(__xludf.DUMMYFUNCTION("""COMPUTED_VALUE"""),29064.0)</f>
        <v>29064</v>
      </c>
      <c r="C2429" t="str">
        <f>IFERROR(__xludf.DUMMYFUNCTION("""COMPUTED_VALUE"""),"LONDOÑO BAQUERO, EMILIA")</f>
        <v>LONDOÑO BAQUERO, EMILIA</v>
      </c>
      <c r="D2429" t="str">
        <f>IFERROR(__xludf.DUMMYFUNCTION("""COMPUTED_VALUE"""),"PE 8")</f>
        <v>PE 8</v>
      </c>
      <c r="E2429" s="31" t="str">
        <f>IFERROR(__xludf.DUMMYFUNCTION("""COMPUTED_VALUE"""),"4a")</f>
        <v>4a</v>
      </c>
      <c r="F2429" s="8">
        <v>1.0</v>
      </c>
      <c r="G2429" s="8">
        <v>1.0</v>
      </c>
      <c r="H2429" s="8">
        <v>1.0</v>
      </c>
      <c r="I2429" s="8">
        <v>1.0</v>
      </c>
      <c r="J2429" s="8">
        <v>1.0</v>
      </c>
      <c r="K2429" s="8">
        <v>1.0</v>
      </c>
      <c r="L2429" s="8">
        <v>6.0</v>
      </c>
      <c r="M2429" s="8"/>
      <c r="N2429" s="8"/>
      <c r="O2429" s="8" t="s">
        <v>802</v>
      </c>
      <c r="P2429" s="8">
        <v>6.0</v>
      </c>
    </row>
    <row r="2430">
      <c r="A2430">
        <f>IFERROR(__xludf.DUMMYFUNCTION("""COMPUTED_VALUE"""),8.0)</f>
        <v>8</v>
      </c>
      <c r="B2430">
        <f>IFERROR(__xludf.DUMMYFUNCTION("""COMPUTED_VALUE"""),29065.0)</f>
        <v>29065</v>
      </c>
      <c r="C2430" t="str">
        <f>IFERROR(__xludf.DUMMYFUNCTION("""COMPUTED_VALUE"""),"LONDOÑO CUARTAS, TOMAS")</f>
        <v>LONDOÑO CUARTAS, TOMAS</v>
      </c>
      <c r="D2430" t="str">
        <f>IFERROR(__xludf.DUMMYFUNCTION("""COMPUTED_VALUE"""),"PE 8")</f>
        <v>PE 8</v>
      </c>
      <c r="E2430" s="31" t="str">
        <f>IFERROR(__xludf.DUMMYFUNCTION("""COMPUTED_VALUE"""),"2b")</f>
        <v>2b</v>
      </c>
      <c r="F2430" s="8">
        <v>1.0</v>
      </c>
      <c r="G2430" s="8">
        <v>1.0</v>
      </c>
      <c r="H2430" s="8">
        <v>1.0</v>
      </c>
      <c r="I2430" s="8">
        <v>1.0</v>
      </c>
      <c r="J2430" s="8">
        <v>1.0</v>
      </c>
      <c r="K2430" s="8">
        <v>1.0</v>
      </c>
      <c r="L2430" s="8">
        <v>6.0</v>
      </c>
      <c r="M2430" s="8"/>
      <c r="N2430" s="8"/>
      <c r="O2430" s="8" t="s">
        <v>806</v>
      </c>
      <c r="P2430" s="8">
        <v>6.0</v>
      </c>
    </row>
    <row r="2431">
      <c r="A2431">
        <f>IFERROR(__xludf.DUMMYFUNCTION("""COMPUTED_VALUE"""),8.0)</f>
        <v>8</v>
      </c>
      <c r="B2431">
        <f>IFERROR(__xludf.DUMMYFUNCTION("""COMPUTED_VALUE"""),29066.0)</f>
        <v>29066</v>
      </c>
      <c r="C2431" t="str">
        <f>IFERROR(__xludf.DUMMYFUNCTION("""COMPUTED_VALUE"""),"LONDOÑO JARAMILLO, MARTINA")</f>
        <v>LONDOÑO JARAMILLO, MARTINA</v>
      </c>
      <c r="D2431" t="str">
        <f>IFERROR(__xludf.DUMMYFUNCTION("""COMPUTED_VALUE"""),"PE 8")</f>
        <v>PE 8</v>
      </c>
      <c r="E2431" s="31" t="str">
        <f>IFERROR(__xludf.DUMMYFUNCTION("""COMPUTED_VALUE"""),"2b")</f>
        <v>2b</v>
      </c>
      <c r="F2431" s="8">
        <v>1.0</v>
      </c>
      <c r="G2431" s="8">
        <v>1.0</v>
      </c>
      <c r="H2431" s="8">
        <v>1.0</v>
      </c>
      <c r="I2431" s="8">
        <v>1.0</v>
      </c>
      <c r="J2431" s="8">
        <v>1.0</v>
      </c>
      <c r="K2431" s="8">
        <v>1.0</v>
      </c>
      <c r="L2431" s="8">
        <v>6.0</v>
      </c>
      <c r="M2431" s="8"/>
      <c r="N2431" s="8"/>
      <c r="O2431" s="8" t="s">
        <v>806</v>
      </c>
      <c r="P2431" s="8">
        <v>6.0</v>
      </c>
    </row>
    <row r="2432">
      <c r="A2432">
        <f>IFERROR(__xludf.DUMMYFUNCTION("""COMPUTED_VALUE"""),8.0)</f>
        <v>8</v>
      </c>
      <c r="B2432">
        <f>IFERROR(__xludf.DUMMYFUNCTION("""COMPUTED_VALUE"""),29068.0)</f>
        <v>29068</v>
      </c>
      <c r="C2432" t="str">
        <f>IFERROR(__xludf.DUMMYFUNCTION("""COMPUTED_VALUE"""),"LOPEZ JAIMES, VICENTE")</f>
        <v>LOPEZ JAIMES, VICENTE</v>
      </c>
      <c r="D2432" t="str">
        <f>IFERROR(__xludf.DUMMYFUNCTION("""COMPUTED_VALUE"""),"PE 8")</f>
        <v>PE 8</v>
      </c>
      <c r="E2432" s="31" t="str">
        <f>IFERROR(__xludf.DUMMYFUNCTION("""COMPUTED_VALUE"""),"5a")</f>
        <v>5a</v>
      </c>
      <c r="F2432" s="8">
        <v>1.0</v>
      </c>
      <c r="G2432" s="8">
        <v>1.0</v>
      </c>
      <c r="H2432" s="8">
        <v>1.0</v>
      </c>
      <c r="I2432" s="8">
        <v>1.0</v>
      </c>
      <c r="J2432" s="8">
        <v>1.0</v>
      </c>
      <c r="K2432" s="8">
        <v>1.0</v>
      </c>
      <c r="L2432" s="8">
        <v>6.0</v>
      </c>
      <c r="M2432" s="8"/>
      <c r="N2432" s="8"/>
      <c r="O2432" s="8" t="s">
        <v>807</v>
      </c>
      <c r="P2432" s="8">
        <v>6.0</v>
      </c>
    </row>
    <row r="2433">
      <c r="A2433">
        <f>IFERROR(__xludf.DUMMYFUNCTION("""COMPUTED_VALUE"""),8.0)</f>
        <v>8</v>
      </c>
      <c r="B2433">
        <f>IFERROR(__xludf.DUMMYFUNCTION("""COMPUTED_VALUE"""),29069.0)</f>
        <v>29069</v>
      </c>
      <c r="C2433" t="str">
        <f>IFERROR(__xludf.DUMMYFUNCTION("""COMPUTED_VALUE"""),"LUNA ALZATE, AMALIA")</f>
        <v>LUNA ALZATE, AMALIA</v>
      </c>
      <c r="D2433" t="str">
        <f>IFERROR(__xludf.DUMMYFUNCTION("""COMPUTED_VALUE"""),"PE 8")</f>
        <v>PE 8</v>
      </c>
      <c r="E2433" s="31" t="str">
        <f>IFERROR(__xludf.DUMMYFUNCTION("""COMPUTED_VALUE"""),"1a")</f>
        <v>1a</v>
      </c>
      <c r="F2433" s="8">
        <v>1.0</v>
      </c>
      <c r="G2433" s="8">
        <v>1.0</v>
      </c>
      <c r="H2433" s="8">
        <v>1.0</v>
      </c>
      <c r="I2433" s="8">
        <v>1.0</v>
      </c>
      <c r="J2433" s="8">
        <v>1.0</v>
      </c>
      <c r="K2433" s="8">
        <v>1.0</v>
      </c>
      <c r="L2433" s="8">
        <v>6.0</v>
      </c>
      <c r="M2433" s="8"/>
      <c r="N2433" s="8"/>
      <c r="O2433" s="8" t="s">
        <v>803</v>
      </c>
      <c r="P2433" s="8">
        <v>6.0</v>
      </c>
    </row>
    <row r="2434">
      <c r="A2434">
        <f>IFERROR(__xludf.DUMMYFUNCTION("""COMPUTED_VALUE"""),8.0)</f>
        <v>8</v>
      </c>
      <c r="B2434">
        <f>IFERROR(__xludf.DUMMYFUNCTION("""COMPUTED_VALUE"""),29070.0)</f>
        <v>29070</v>
      </c>
      <c r="C2434" t="str">
        <f>IFERROR(__xludf.DUMMYFUNCTION("""COMPUTED_VALUE"""),"MANRIQUE CUESTA, ISABELLA")</f>
        <v>MANRIQUE CUESTA, ISABELLA</v>
      </c>
      <c r="D2434" t="str">
        <f>IFERROR(__xludf.DUMMYFUNCTION("""COMPUTED_VALUE"""),"PE 8")</f>
        <v>PE 8</v>
      </c>
      <c r="E2434" s="31" t="str">
        <f>IFERROR(__xludf.DUMMYFUNCTION("""COMPUTED_VALUE"""),"4a")</f>
        <v>4a</v>
      </c>
      <c r="F2434" s="8">
        <v>1.0</v>
      </c>
      <c r="G2434" s="8">
        <v>1.0</v>
      </c>
      <c r="H2434" s="8">
        <v>1.0</v>
      </c>
      <c r="I2434" s="8">
        <v>1.0</v>
      </c>
      <c r="J2434" s="8">
        <v>1.0</v>
      </c>
      <c r="K2434" s="8">
        <v>1.0</v>
      </c>
      <c r="L2434" s="8">
        <v>6.0</v>
      </c>
      <c r="M2434" s="8"/>
      <c r="N2434" s="8"/>
      <c r="O2434" s="8" t="s">
        <v>802</v>
      </c>
      <c r="P2434" s="8">
        <v>6.0</v>
      </c>
    </row>
    <row r="2435">
      <c r="A2435">
        <f>IFERROR(__xludf.DUMMYFUNCTION("""COMPUTED_VALUE"""),8.0)</f>
        <v>8</v>
      </c>
      <c r="B2435">
        <f>IFERROR(__xludf.DUMMYFUNCTION("""COMPUTED_VALUE"""),29071.0)</f>
        <v>29071</v>
      </c>
      <c r="C2435" t="str">
        <f>IFERROR(__xludf.DUMMYFUNCTION("""COMPUTED_VALUE"""),"MARQUEZ BARRERA, MIRANDA")</f>
        <v>MARQUEZ BARRERA, MIRANDA</v>
      </c>
      <c r="D2435" t="str">
        <f>IFERROR(__xludf.DUMMYFUNCTION("""COMPUTED_VALUE"""),"PE 8")</f>
        <v>PE 8</v>
      </c>
      <c r="E2435" s="31" t="str">
        <f>IFERROR(__xludf.DUMMYFUNCTION("""COMPUTED_VALUE"""),"4a")</f>
        <v>4a</v>
      </c>
      <c r="F2435" s="8">
        <v>1.0</v>
      </c>
      <c r="G2435" s="8">
        <v>1.0</v>
      </c>
      <c r="H2435" s="8">
        <v>1.0</v>
      </c>
      <c r="I2435" s="8">
        <v>1.0</v>
      </c>
      <c r="J2435" s="8">
        <v>1.0</v>
      </c>
      <c r="K2435" s="8">
        <v>1.0</v>
      </c>
      <c r="L2435" s="8">
        <v>6.0</v>
      </c>
      <c r="M2435" s="8"/>
      <c r="N2435" s="8"/>
      <c r="O2435" s="8" t="s">
        <v>802</v>
      </c>
      <c r="P2435" s="8">
        <v>6.0</v>
      </c>
    </row>
    <row r="2436">
      <c r="A2436">
        <f>IFERROR(__xludf.DUMMYFUNCTION("""COMPUTED_VALUE"""),8.0)</f>
        <v>8</v>
      </c>
      <c r="B2436">
        <f>IFERROR(__xludf.DUMMYFUNCTION("""COMPUTED_VALUE"""),29072.0)</f>
        <v>29072</v>
      </c>
      <c r="C2436" t="str">
        <f>IFERROR(__xludf.DUMMYFUNCTION("""COMPUTED_VALUE"""),"MARQUEZ RAHAL, PEDRO")</f>
        <v>MARQUEZ RAHAL, PEDRO</v>
      </c>
      <c r="D2436" t="str">
        <f>IFERROR(__xludf.DUMMYFUNCTION("""COMPUTED_VALUE"""),"PE 8")</f>
        <v>PE 8</v>
      </c>
      <c r="E2436" s="31" t="str">
        <f>IFERROR(__xludf.DUMMYFUNCTION("""COMPUTED_VALUE"""),"2b")</f>
        <v>2b</v>
      </c>
      <c r="F2436" s="8">
        <v>1.0</v>
      </c>
      <c r="G2436" s="8">
        <v>1.0</v>
      </c>
      <c r="H2436" s="8">
        <v>1.0</v>
      </c>
      <c r="I2436" s="8">
        <v>1.0</v>
      </c>
      <c r="J2436" s="8">
        <v>1.0</v>
      </c>
      <c r="K2436" s="8">
        <v>1.0</v>
      </c>
      <c r="L2436" s="8">
        <v>6.0</v>
      </c>
      <c r="M2436" s="8"/>
      <c r="N2436" s="8"/>
      <c r="O2436" s="8" t="s">
        <v>806</v>
      </c>
      <c r="P2436" s="8">
        <v>6.0</v>
      </c>
    </row>
    <row r="2437">
      <c r="A2437">
        <f>IFERROR(__xludf.DUMMYFUNCTION("""COMPUTED_VALUE"""),8.0)</f>
        <v>8</v>
      </c>
      <c r="B2437">
        <f>IFERROR(__xludf.DUMMYFUNCTION("""COMPUTED_VALUE"""),29073.0)</f>
        <v>29073</v>
      </c>
      <c r="C2437" t="str">
        <f>IFERROR(__xludf.DUMMYFUNCTION("""COMPUTED_VALUE"""),"MARRERO MARTA, ALINA")</f>
        <v>MARRERO MARTA, ALINA</v>
      </c>
      <c r="D2437" t="str">
        <f>IFERROR(__xludf.DUMMYFUNCTION("""COMPUTED_VALUE"""),"PE 8")</f>
        <v>PE 8</v>
      </c>
      <c r="E2437" s="31" t="str">
        <f>IFERROR(__xludf.DUMMYFUNCTION("""COMPUTED_VALUE"""),"6a")</f>
        <v>6a</v>
      </c>
      <c r="F2437" s="8">
        <v>1.0</v>
      </c>
      <c r="G2437" s="8">
        <v>1.0</v>
      </c>
      <c r="H2437" s="8">
        <v>1.0</v>
      </c>
      <c r="I2437" s="8">
        <v>1.0</v>
      </c>
      <c r="J2437" s="8">
        <v>1.0</v>
      </c>
      <c r="K2437" s="8">
        <v>1.0</v>
      </c>
      <c r="L2437" s="8">
        <v>6.0</v>
      </c>
      <c r="M2437" s="8"/>
      <c r="N2437" s="8"/>
      <c r="O2437" s="8" t="s">
        <v>805</v>
      </c>
      <c r="P2437" s="8">
        <v>6.0</v>
      </c>
    </row>
    <row r="2438">
      <c r="A2438">
        <f>IFERROR(__xludf.DUMMYFUNCTION("""COMPUTED_VALUE"""),8.0)</f>
        <v>8</v>
      </c>
      <c r="B2438">
        <f>IFERROR(__xludf.DUMMYFUNCTION("""COMPUTED_VALUE"""),29074.0)</f>
        <v>29074</v>
      </c>
      <c r="C2438" t="str">
        <f>IFERROR(__xludf.DUMMYFUNCTION("""COMPUTED_VALUE"""),"MEDINA JARAMILLO, ALICIA")</f>
        <v>MEDINA JARAMILLO, ALICIA</v>
      </c>
      <c r="D2438" t="str">
        <f>IFERROR(__xludf.DUMMYFUNCTION("""COMPUTED_VALUE"""),"PE 8")</f>
        <v>PE 8</v>
      </c>
      <c r="E2438" s="31" t="str">
        <f>IFERROR(__xludf.DUMMYFUNCTION("""COMPUTED_VALUE"""),"2b")</f>
        <v>2b</v>
      </c>
      <c r="F2438" s="8">
        <v>1.0</v>
      </c>
      <c r="G2438" s="8">
        <v>1.0</v>
      </c>
      <c r="H2438" s="8">
        <v>1.0</v>
      </c>
      <c r="I2438" s="8">
        <v>1.0</v>
      </c>
      <c r="J2438" s="8">
        <v>1.0</v>
      </c>
      <c r="K2438" s="8">
        <v>1.0</v>
      </c>
      <c r="L2438" s="8">
        <v>6.0</v>
      </c>
      <c r="M2438" s="8"/>
      <c r="N2438" s="8"/>
      <c r="O2438" s="8" t="s">
        <v>806</v>
      </c>
      <c r="P2438" s="8">
        <v>6.0</v>
      </c>
    </row>
    <row r="2439">
      <c r="A2439">
        <f>IFERROR(__xludf.DUMMYFUNCTION("""COMPUTED_VALUE"""),8.0)</f>
        <v>8</v>
      </c>
      <c r="B2439">
        <f>IFERROR(__xludf.DUMMYFUNCTION("""COMPUTED_VALUE"""),29075.0)</f>
        <v>29075</v>
      </c>
      <c r="C2439" t="str">
        <f>IFERROR(__xludf.DUMMYFUNCTION("""COMPUTED_VALUE"""),"MEJIA BUSTAMANTE, ANTONIA")</f>
        <v>MEJIA BUSTAMANTE, ANTONIA</v>
      </c>
      <c r="D2439" t="str">
        <f>IFERROR(__xludf.DUMMYFUNCTION("""COMPUTED_VALUE"""),"PE 8")</f>
        <v>PE 8</v>
      </c>
      <c r="E2439" s="31" t="str">
        <f>IFERROR(__xludf.DUMMYFUNCTION("""COMPUTED_VALUE"""),"4a")</f>
        <v>4a</v>
      </c>
      <c r="F2439" s="8">
        <v>1.0</v>
      </c>
      <c r="G2439" s="8">
        <v>1.0</v>
      </c>
      <c r="H2439" s="8">
        <v>1.0</v>
      </c>
      <c r="I2439" s="8">
        <v>1.0</v>
      </c>
      <c r="J2439" s="8">
        <v>1.0</v>
      </c>
      <c r="K2439" s="8">
        <v>1.0</v>
      </c>
      <c r="L2439" s="8">
        <v>6.0</v>
      </c>
      <c r="M2439" s="8"/>
      <c r="N2439" s="8"/>
      <c r="O2439" s="8" t="s">
        <v>802</v>
      </c>
      <c r="P2439" s="8">
        <v>6.0</v>
      </c>
    </row>
    <row r="2440">
      <c r="A2440">
        <f>IFERROR(__xludf.DUMMYFUNCTION("""COMPUTED_VALUE"""),8.0)</f>
        <v>8</v>
      </c>
      <c r="B2440">
        <f>IFERROR(__xludf.DUMMYFUNCTION("""COMPUTED_VALUE"""),29076.0)</f>
        <v>29076</v>
      </c>
      <c r="C2440" t="str">
        <f>IFERROR(__xludf.DUMMYFUNCTION("""COMPUTED_VALUE"""),"MEJIA MANTILLA, MATEO")</f>
        <v>MEJIA MANTILLA, MATEO</v>
      </c>
      <c r="D2440" t="str">
        <f>IFERROR(__xludf.DUMMYFUNCTION("""COMPUTED_VALUE"""),"PE 8")</f>
        <v>PE 8</v>
      </c>
      <c r="E2440" s="31" t="str">
        <f>IFERROR(__xludf.DUMMYFUNCTION("""COMPUTED_VALUE"""),"5b")</f>
        <v>5b</v>
      </c>
      <c r="F2440" s="8">
        <v>1.0</v>
      </c>
      <c r="G2440" s="8">
        <v>1.0</v>
      </c>
      <c r="H2440" s="8">
        <v>1.0</v>
      </c>
      <c r="I2440" s="8">
        <v>1.0</v>
      </c>
      <c r="J2440" s="8">
        <v>1.0</v>
      </c>
      <c r="K2440" s="8">
        <v>1.0</v>
      </c>
      <c r="L2440" s="8">
        <v>6.0</v>
      </c>
      <c r="M2440" s="8"/>
      <c r="N2440" s="8"/>
      <c r="O2440" s="8" t="s">
        <v>804</v>
      </c>
      <c r="P2440" s="8">
        <v>6.0</v>
      </c>
    </row>
    <row r="2441">
      <c r="A2441">
        <f>IFERROR(__xludf.DUMMYFUNCTION("""COMPUTED_VALUE"""),8.0)</f>
        <v>8</v>
      </c>
      <c r="B2441">
        <f>IFERROR(__xludf.DUMMYFUNCTION("""COMPUTED_VALUE"""),29077.0)</f>
        <v>29077</v>
      </c>
      <c r="C2441" t="str">
        <f>IFERROR(__xludf.DUMMYFUNCTION("""COMPUTED_VALUE"""),"MEJIA VILLEGAS, CANDELARIA")</f>
        <v>MEJIA VILLEGAS, CANDELARIA</v>
      </c>
      <c r="D2441" t="str">
        <f>IFERROR(__xludf.DUMMYFUNCTION("""COMPUTED_VALUE"""),"PE 8")</f>
        <v>PE 8</v>
      </c>
      <c r="E2441" s="31" t="str">
        <f>IFERROR(__xludf.DUMMYFUNCTION("""COMPUTED_VALUE"""),"4a")</f>
        <v>4a</v>
      </c>
      <c r="F2441" s="8">
        <v>1.0</v>
      </c>
      <c r="G2441" s="8">
        <v>1.0</v>
      </c>
      <c r="H2441" s="8">
        <v>1.0</v>
      </c>
      <c r="I2441" s="8">
        <v>1.0</v>
      </c>
      <c r="J2441" s="8">
        <v>1.0</v>
      </c>
      <c r="K2441" s="8">
        <v>1.0</v>
      </c>
      <c r="L2441" s="8">
        <v>6.0</v>
      </c>
      <c r="M2441" s="8"/>
      <c r="N2441" s="8"/>
      <c r="O2441" s="8" t="s">
        <v>802</v>
      </c>
      <c r="P2441" s="8">
        <v>6.0</v>
      </c>
    </row>
    <row r="2442">
      <c r="A2442">
        <f>IFERROR(__xludf.DUMMYFUNCTION("""COMPUTED_VALUE"""),8.0)</f>
        <v>8</v>
      </c>
      <c r="B2442">
        <f>IFERROR(__xludf.DUMMYFUNCTION("""COMPUTED_VALUE"""),29079.0)</f>
        <v>29079</v>
      </c>
      <c r="C2442" t="str">
        <f>IFERROR(__xludf.DUMMYFUNCTION("""COMPUTED_VALUE"""),"MISAS MESA, ALICIA")</f>
        <v>MISAS MESA, ALICIA</v>
      </c>
      <c r="D2442" t="str">
        <f>IFERROR(__xludf.DUMMYFUNCTION("""COMPUTED_VALUE"""),"PE 8")</f>
        <v>PE 8</v>
      </c>
      <c r="E2442" s="31" t="str">
        <f>IFERROR(__xludf.DUMMYFUNCTION("""COMPUTED_VALUE"""),"4a")</f>
        <v>4a</v>
      </c>
      <c r="F2442" s="8">
        <v>1.0</v>
      </c>
      <c r="G2442" s="8">
        <v>1.0</v>
      </c>
      <c r="H2442" s="8">
        <v>1.0</v>
      </c>
      <c r="I2442" s="8">
        <v>1.0</v>
      </c>
      <c r="J2442" s="8">
        <v>1.0</v>
      </c>
      <c r="K2442" s="8">
        <v>1.0</v>
      </c>
      <c r="L2442" s="8">
        <v>6.0</v>
      </c>
      <c r="M2442" s="8"/>
      <c r="N2442" s="8"/>
      <c r="O2442" s="8" t="s">
        <v>802</v>
      </c>
      <c r="P2442" s="8">
        <v>6.0</v>
      </c>
    </row>
    <row r="2443">
      <c r="A2443">
        <f>IFERROR(__xludf.DUMMYFUNCTION("""COMPUTED_VALUE"""),8.0)</f>
        <v>8</v>
      </c>
      <c r="B2443">
        <f>IFERROR(__xludf.DUMMYFUNCTION("""COMPUTED_VALUE"""),29153.0)</f>
        <v>29153</v>
      </c>
      <c r="C2443" t="str">
        <f>IFERROR(__xludf.DUMMYFUNCTION("""COMPUTED_VALUE"""),"MISERENDINO MUÑOZ, GABRIEL")</f>
        <v>MISERENDINO MUÑOZ, GABRIEL</v>
      </c>
      <c r="D2443" t="str">
        <f>IFERROR(__xludf.DUMMYFUNCTION("""COMPUTED_VALUE"""),"PE 8")</f>
        <v>PE 8</v>
      </c>
      <c r="E2443" s="31" t="str">
        <f>IFERROR(__xludf.DUMMYFUNCTION("""COMPUTED_VALUE"""),"4a")</f>
        <v>4a</v>
      </c>
      <c r="F2443" s="8">
        <v>1.0</v>
      </c>
      <c r="G2443" s="8">
        <v>1.0</v>
      </c>
      <c r="H2443" s="8">
        <v>1.0</v>
      </c>
      <c r="I2443" s="8">
        <v>1.0</v>
      </c>
      <c r="J2443" s="8">
        <v>1.0</v>
      </c>
      <c r="K2443" s="8">
        <v>1.0</v>
      </c>
      <c r="L2443" s="8">
        <v>6.0</v>
      </c>
      <c r="M2443" s="8"/>
      <c r="N2443" s="8"/>
      <c r="O2443" s="8" t="s">
        <v>802</v>
      </c>
      <c r="P2443" s="8">
        <v>6.0</v>
      </c>
    </row>
    <row r="2444">
      <c r="A2444">
        <f>IFERROR(__xludf.DUMMYFUNCTION("""COMPUTED_VALUE"""),8.0)</f>
        <v>8</v>
      </c>
      <c r="B2444">
        <f>IFERROR(__xludf.DUMMYFUNCTION("""COMPUTED_VALUE"""),29143.0)</f>
        <v>29143</v>
      </c>
      <c r="C2444" t="str">
        <f>IFERROR(__xludf.DUMMYFUNCTION("""COMPUTED_VALUE"""),"MOLANO MESA, CARMEN")</f>
        <v>MOLANO MESA, CARMEN</v>
      </c>
      <c r="D2444" t="str">
        <f>IFERROR(__xludf.DUMMYFUNCTION("""COMPUTED_VALUE"""),"PE 8")</f>
        <v>PE 8</v>
      </c>
      <c r="E2444" s="31" t="str">
        <f>IFERROR(__xludf.DUMMYFUNCTION("""COMPUTED_VALUE"""),"5b")</f>
        <v>5b</v>
      </c>
      <c r="F2444" s="8">
        <v>1.0</v>
      </c>
      <c r="G2444" s="8">
        <v>1.0</v>
      </c>
      <c r="H2444" s="8">
        <v>1.0</v>
      </c>
      <c r="I2444" s="8">
        <v>1.0</v>
      </c>
      <c r="J2444" s="8">
        <v>1.0</v>
      </c>
      <c r="K2444" s="8">
        <v>1.0</v>
      </c>
      <c r="L2444" s="8">
        <v>6.0</v>
      </c>
      <c r="M2444" s="8"/>
      <c r="N2444" s="8"/>
      <c r="O2444" s="8" t="s">
        <v>804</v>
      </c>
      <c r="P2444" s="8">
        <v>6.0</v>
      </c>
    </row>
    <row r="2445">
      <c r="A2445">
        <f>IFERROR(__xludf.DUMMYFUNCTION("""COMPUTED_VALUE"""),8.0)</f>
        <v>8</v>
      </c>
      <c r="B2445">
        <f>IFERROR(__xludf.DUMMYFUNCTION("""COMPUTED_VALUE"""),29080.0)</f>
        <v>29080</v>
      </c>
      <c r="C2445" t="str">
        <f>IFERROR(__xludf.DUMMYFUNCTION("""COMPUTED_VALUE"""),"MONTES LOPEZ, MANUELA")</f>
        <v>MONTES LOPEZ, MANUELA</v>
      </c>
      <c r="D2445" t="str">
        <f>IFERROR(__xludf.DUMMYFUNCTION("""COMPUTED_VALUE"""),"PE 8")</f>
        <v>PE 8</v>
      </c>
      <c r="E2445" s="31" t="str">
        <f>IFERROR(__xludf.DUMMYFUNCTION("""COMPUTED_VALUE"""),"2b")</f>
        <v>2b</v>
      </c>
      <c r="F2445" s="8">
        <v>1.0</v>
      </c>
      <c r="G2445" s="8">
        <v>1.0</v>
      </c>
      <c r="H2445" s="8">
        <v>1.0</v>
      </c>
      <c r="I2445" s="8">
        <v>1.0</v>
      </c>
      <c r="J2445" s="8">
        <v>1.0</v>
      </c>
      <c r="K2445" s="8">
        <v>1.0</v>
      </c>
      <c r="L2445" s="8">
        <v>6.0</v>
      </c>
      <c r="M2445" s="8"/>
      <c r="N2445" s="8"/>
      <c r="O2445" s="8" t="s">
        <v>806</v>
      </c>
      <c r="P2445" s="8">
        <v>6.0</v>
      </c>
    </row>
    <row r="2446">
      <c r="A2446">
        <f>IFERROR(__xludf.DUMMYFUNCTION("""COMPUTED_VALUE"""),8.0)</f>
        <v>8</v>
      </c>
      <c r="B2446">
        <f>IFERROR(__xludf.DUMMYFUNCTION("""COMPUTED_VALUE"""),29081.0)</f>
        <v>29081</v>
      </c>
      <c r="C2446" t="str">
        <f>IFERROR(__xludf.DUMMYFUNCTION("""COMPUTED_VALUE"""),"MORA JARAMILLO, ALICIA")</f>
        <v>MORA JARAMILLO, ALICIA</v>
      </c>
      <c r="D2446" t="str">
        <f>IFERROR(__xludf.DUMMYFUNCTION("""COMPUTED_VALUE"""),"PE 8")</f>
        <v>PE 8</v>
      </c>
      <c r="E2446" s="31" t="str">
        <f>IFERROR(__xludf.DUMMYFUNCTION("""COMPUTED_VALUE"""),"5b")</f>
        <v>5b</v>
      </c>
      <c r="F2446" s="8">
        <v>1.0</v>
      </c>
      <c r="G2446" s="8">
        <v>1.0</v>
      </c>
      <c r="H2446" s="8">
        <v>1.0</v>
      </c>
      <c r="I2446" s="8">
        <v>1.0</v>
      </c>
      <c r="J2446" s="8">
        <v>1.0</v>
      </c>
      <c r="K2446" s="8">
        <v>1.0</v>
      </c>
      <c r="L2446" s="8">
        <v>6.0</v>
      </c>
      <c r="M2446" s="8"/>
      <c r="N2446" s="8"/>
      <c r="O2446" s="8" t="s">
        <v>804</v>
      </c>
      <c r="P2446" s="8">
        <v>6.0</v>
      </c>
    </row>
    <row r="2447">
      <c r="A2447">
        <f>IFERROR(__xludf.DUMMYFUNCTION("""COMPUTED_VALUE"""),8.0)</f>
        <v>8</v>
      </c>
      <c r="B2447">
        <f>IFERROR(__xludf.DUMMYFUNCTION("""COMPUTED_VALUE"""),29083.0)</f>
        <v>29083</v>
      </c>
      <c r="C2447" t="str">
        <f>IFERROR(__xludf.DUMMYFUNCTION("""COMPUTED_VALUE"""),"NAVARRO ZULUAGA, SOFIA")</f>
        <v>NAVARRO ZULUAGA, SOFIA</v>
      </c>
      <c r="D2447" t="str">
        <f>IFERROR(__xludf.DUMMYFUNCTION("""COMPUTED_VALUE"""),"PE 8")</f>
        <v>PE 8</v>
      </c>
      <c r="E2447" s="31" t="str">
        <f>IFERROR(__xludf.DUMMYFUNCTION("""COMPUTED_VALUE"""),"1a")</f>
        <v>1a</v>
      </c>
      <c r="F2447" s="8">
        <v>1.0</v>
      </c>
      <c r="G2447" s="8">
        <v>1.0</v>
      </c>
      <c r="H2447" s="8">
        <v>1.0</v>
      </c>
      <c r="I2447" s="8">
        <v>1.0</v>
      </c>
      <c r="J2447" s="8">
        <v>1.0</v>
      </c>
      <c r="K2447" s="8">
        <v>1.0</v>
      </c>
      <c r="L2447" s="8">
        <v>6.0</v>
      </c>
      <c r="M2447" s="8"/>
      <c r="N2447" s="8"/>
      <c r="O2447" s="8" t="s">
        <v>803</v>
      </c>
      <c r="P2447" s="8">
        <v>6.0</v>
      </c>
    </row>
    <row r="2448">
      <c r="A2448">
        <f>IFERROR(__xludf.DUMMYFUNCTION("""COMPUTED_VALUE"""),8.0)</f>
        <v>8</v>
      </c>
      <c r="B2448">
        <f>IFERROR(__xludf.DUMMYFUNCTION("""COMPUTED_VALUE"""),29158.0)</f>
        <v>29158</v>
      </c>
      <c r="C2448" t="str">
        <f>IFERROR(__xludf.DUMMYFUNCTION("""COMPUTED_VALUE"""),"NIEHAUS TRUJILLO, MICHELLE")</f>
        <v>NIEHAUS TRUJILLO, MICHELLE</v>
      </c>
      <c r="D2448" t="str">
        <f>IFERROR(__xludf.DUMMYFUNCTION("""COMPUTED_VALUE"""),"PE 8")</f>
        <v>PE 8</v>
      </c>
      <c r="E2448" s="31" t="str">
        <f>IFERROR(__xludf.DUMMYFUNCTION("""COMPUTED_VALUE"""),"5a")</f>
        <v>5a</v>
      </c>
      <c r="F2448" s="8">
        <v>1.0</v>
      </c>
      <c r="G2448" s="8">
        <v>1.0</v>
      </c>
      <c r="H2448" s="8">
        <v>1.0</v>
      </c>
      <c r="I2448" s="8">
        <v>1.0</v>
      </c>
      <c r="J2448" s="8">
        <v>1.0</v>
      </c>
      <c r="K2448" s="8">
        <v>1.0</v>
      </c>
      <c r="L2448" s="8">
        <v>6.0</v>
      </c>
      <c r="M2448" s="8"/>
      <c r="N2448" s="8"/>
      <c r="O2448" s="8" t="s">
        <v>807</v>
      </c>
      <c r="P2448" s="8">
        <v>6.0</v>
      </c>
    </row>
    <row r="2449">
      <c r="A2449">
        <f>IFERROR(__xludf.DUMMYFUNCTION("""COMPUTED_VALUE"""),8.0)</f>
        <v>8</v>
      </c>
      <c r="B2449">
        <f>IFERROR(__xludf.DUMMYFUNCTION("""COMPUTED_VALUE"""),29137.0)</f>
        <v>29137</v>
      </c>
      <c r="C2449" t="str">
        <f>IFERROR(__xludf.DUMMYFUNCTION("""COMPUTED_VALUE"""),"OLARTE JARAMILLO, EMILIO")</f>
        <v>OLARTE JARAMILLO, EMILIO</v>
      </c>
      <c r="D2449" t="str">
        <f>IFERROR(__xludf.DUMMYFUNCTION("""COMPUTED_VALUE"""),"PE 8")</f>
        <v>PE 8</v>
      </c>
      <c r="E2449" s="31" t="str">
        <f>IFERROR(__xludf.DUMMYFUNCTION("""COMPUTED_VALUE"""),"6a")</f>
        <v>6a</v>
      </c>
      <c r="F2449" s="8">
        <v>1.0</v>
      </c>
      <c r="G2449" s="8">
        <v>1.0</v>
      </c>
      <c r="H2449" s="8">
        <v>1.0</v>
      </c>
      <c r="I2449" s="8">
        <v>1.0</v>
      </c>
      <c r="J2449" s="8">
        <v>1.0</v>
      </c>
      <c r="K2449" s="8">
        <v>1.0</v>
      </c>
      <c r="L2449" s="8">
        <v>6.0</v>
      </c>
      <c r="M2449" s="8"/>
      <c r="N2449" s="8"/>
      <c r="O2449" s="8" t="s">
        <v>805</v>
      </c>
      <c r="P2449" s="8">
        <v>6.0</v>
      </c>
    </row>
    <row r="2450">
      <c r="A2450">
        <f>IFERROR(__xludf.DUMMYFUNCTION("""COMPUTED_VALUE"""),8.0)</f>
        <v>8</v>
      </c>
      <c r="B2450">
        <f>IFERROR(__xludf.DUMMYFUNCTION("""COMPUTED_VALUE"""),28077.0)</f>
        <v>28077</v>
      </c>
      <c r="C2450" t="str">
        <f>IFERROR(__xludf.DUMMYFUNCTION("""COMPUTED_VALUE"""),"OLIVEIRA CASTAÑO, MARIANA")</f>
        <v>OLIVEIRA CASTAÑO, MARIANA</v>
      </c>
      <c r="D2450" t="str">
        <f>IFERROR(__xludf.DUMMYFUNCTION("""COMPUTED_VALUE"""),"PE 8")</f>
        <v>PE 8</v>
      </c>
      <c r="E2450" s="31" t="str">
        <f>IFERROR(__xludf.DUMMYFUNCTION("""COMPUTED_VALUE"""),"5b")</f>
        <v>5b</v>
      </c>
      <c r="F2450" s="8">
        <v>1.0</v>
      </c>
      <c r="G2450" s="8">
        <v>1.0</v>
      </c>
      <c r="H2450" s="8">
        <v>1.0</v>
      </c>
      <c r="I2450" s="8">
        <v>1.0</v>
      </c>
      <c r="J2450" s="8">
        <v>1.0</v>
      </c>
      <c r="K2450" s="8">
        <v>1.0</v>
      </c>
      <c r="L2450" s="8">
        <v>6.0</v>
      </c>
      <c r="M2450" s="8"/>
      <c r="N2450" s="8"/>
      <c r="O2450" s="8" t="s">
        <v>804</v>
      </c>
      <c r="P2450" s="8">
        <v>6.0</v>
      </c>
    </row>
    <row r="2451">
      <c r="A2451">
        <f>IFERROR(__xludf.DUMMYFUNCTION("""COMPUTED_VALUE"""),8.0)</f>
        <v>8</v>
      </c>
      <c r="B2451">
        <f>IFERROR(__xludf.DUMMYFUNCTION("""COMPUTED_VALUE"""),29084.0)</f>
        <v>29084</v>
      </c>
      <c r="C2451" t="str">
        <f>IFERROR(__xludf.DUMMYFUNCTION("""COMPUTED_VALUE"""),"OROZCO MONTOYA, ANTONIA")</f>
        <v>OROZCO MONTOYA, ANTONIA</v>
      </c>
      <c r="D2451" t="str">
        <f>IFERROR(__xludf.DUMMYFUNCTION("""COMPUTED_VALUE"""),"PE 8")</f>
        <v>PE 8</v>
      </c>
      <c r="E2451" s="31" t="str">
        <f>IFERROR(__xludf.DUMMYFUNCTION("""COMPUTED_VALUE"""),"2b")</f>
        <v>2b</v>
      </c>
      <c r="F2451" s="8">
        <v>1.0</v>
      </c>
      <c r="G2451" s="8">
        <v>1.0</v>
      </c>
      <c r="H2451" s="8">
        <v>1.0</v>
      </c>
      <c r="I2451" s="8">
        <v>1.0</v>
      </c>
      <c r="J2451" s="8">
        <v>1.0</v>
      </c>
      <c r="K2451" s="8">
        <v>1.0</v>
      </c>
      <c r="L2451" s="8">
        <v>6.0</v>
      </c>
      <c r="M2451" s="8"/>
      <c r="N2451" s="8"/>
      <c r="O2451" s="8" t="s">
        <v>806</v>
      </c>
      <c r="P2451" s="8">
        <v>6.0</v>
      </c>
    </row>
    <row r="2452">
      <c r="A2452">
        <f>IFERROR(__xludf.DUMMYFUNCTION("""COMPUTED_VALUE"""),8.0)</f>
        <v>8</v>
      </c>
      <c r="B2452">
        <f>IFERROR(__xludf.DUMMYFUNCTION("""COMPUTED_VALUE"""),29148.0)</f>
        <v>29148</v>
      </c>
      <c r="C2452" t="str">
        <f>IFERROR(__xludf.DUMMYFUNCTION("""COMPUTED_VALUE"""),"OSORIO ARISTIZABAL, MATIAS")</f>
        <v>OSORIO ARISTIZABAL, MATIAS</v>
      </c>
      <c r="D2452" t="str">
        <f>IFERROR(__xludf.DUMMYFUNCTION("""COMPUTED_VALUE"""),"PE 8")</f>
        <v>PE 8</v>
      </c>
      <c r="E2452" s="31" t="str">
        <f>IFERROR(__xludf.DUMMYFUNCTION("""COMPUTED_VALUE"""),"2b")</f>
        <v>2b</v>
      </c>
      <c r="F2452" s="8">
        <v>1.0</v>
      </c>
      <c r="G2452" s="8">
        <v>1.0</v>
      </c>
      <c r="H2452" s="8">
        <v>1.0</v>
      </c>
      <c r="I2452" s="8">
        <v>1.0</v>
      </c>
      <c r="J2452" s="8">
        <v>1.0</v>
      </c>
      <c r="K2452" s="8">
        <v>1.0</v>
      </c>
      <c r="L2452" s="8">
        <v>6.0</v>
      </c>
      <c r="M2452" s="8"/>
      <c r="N2452" s="8"/>
      <c r="O2452" s="8" t="s">
        <v>806</v>
      </c>
      <c r="P2452" s="8">
        <v>6.0</v>
      </c>
    </row>
    <row r="2453">
      <c r="A2453">
        <f>IFERROR(__xludf.DUMMYFUNCTION("""COMPUTED_VALUE"""),8.0)</f>
        <v>8</v>
      </c>
      <c r="B2453">
        <f>IFERROR(__xludf.DUMMYFUNCTION("""COMPUTED_VALUE"""),29085.0)</f>
        <v>29085</v>
      </c>
      <c r="C2453" t="str">
        <f>IFERROR(__xludf.DUMMYFUNCTION("""COMPUTED_VALUE"""),"OTALVARO ABAD, JUAN MARTIN")</f>
        <v>OTALVARO ABAD, JUAN MARTIN</v>
      </c>
      <c r="D2453" t="str">
        <f>IFERROR(__xludf.DUMMYFUNCTION("""COMPUTED_VALUE"""),"PE 8")</f>
        <v>PE 8</v>
      </c>
      <c r="E2453" s="31" t="str">
        <f>IFERROR(__xludf.DUMMYFUNCTION("""COMPUTED_VALUE"""),"5a")</f>
        <v>5a</v>
      </c>
      <c r="F2453" s="8">
        <v>1.0</v>
      </c>
      <c r="G2453" s="8">
        <v>1.0</v>
      </c>
      <c r="H2453" s="8">
        <v>1.0</v>
      </c>
      <c r="I2453" s="8">
        <v>1.0</v>
      </c>
      <c r="J2453" s="8">
        <v>1.0</v>
      </c>
      <c r="K2453" s="8">
        <v>1.0</v>
      </c>
      <c r="L2453" s="8">
        <v>6.0</v>
      </c>
      <c r="M2453" s="8"/>
      <c r="N2453" s="8"/>
      <c r="O2453" s="8" t="s">
        <v>807</v>
      </c>
      <c r="P2453" s="8">
        <v>6.0</v>
      </c>
    </row>
    <row r="2454">
      <c r="A2454">
        <f>IFERROR(__xludf.DUMMYFUNCTION("""COMPUTED_VALUE"""),8.0)</f>
        <v>8</v>
      </c>
      <c r="B2454">
        <f>IFERROR(__xludf.DUMMYFUNCTION("""COMPUTED_VALUE"""),29159.0)</f>
        <v>29159</v>
      </c>
      <c r="C2454" t="str">
        <f>IFERROR(__xludf.DUMMYFUNCTION("""COMPUTED_VALUE"""),"PACHECO GARCIA, MARIANA")</f>
        <v>PACHECO GARCIA, MARIANA</v>
      </c>
      <c r="D2454" t="str">
        <f>IFERROR(__xludf.DUMMYFUNCTION("""COMPUTED_VALUE"""),"PE 8")</f>
        <v>PE 8</v>
      </c>
      <c r="E2454" s="31" t="str">
        <f>IFERROR(__xludf.DUMMYFUNCTION("""COMPUTED_VALUE"""),"1a")</f>
        <v>1a</v>
      </c>
      <c r="F2454" s="8">
        <v>1.0</v>
      </c>
      <c r="G2454" s="8">
        <v>1.0</v>
      </c>
      <c r="H2454" s="8">
        <v>1.0</v>
      </c>
      <c r="I2454" s="8">
        <v>1.0</v>
      </c>
      <c r="J2454" s="8">
        <v>1.0</v>
      </c>
      <c r="K2454" s="8">
        <v>1.0</v>
      </c>
      <c r="L2454" s="8">
        <v>6.0</v>
      </c>
      <c r="M2454" s="8"/>
      <c r="N2454" s="8"/>
      <c r="O2454" s="8" t="s">
        <v>803</v>
      </c>
      <c r="P2454" s="8">
        <v>6.0</v>
      </c>
    </row>
    <row r="2455">
      <c r="A2455">
        <f>IFERROR(__xludf.DUMMYFUNCTION("""COMPUTED_VALUE"""),8.0)</f>
        <v>8</v>
      </c>
      <c r="B2455">
        <f>IFERROR(__xludf.DUMMYFUNCTION("""COMPUTED_VALUE"""),29087.0)</f>
        <v>29087</v>
      </c>
      <c r="C2455" t="str">
        <f>IFERROR(__xludf.DUMMYFUNCTION("""COMPUTED_VALUE"""),"PALACIO BOTERO, MATIAS")</f>
        <v>PALACIO BOTERO, MATIAS</v>
      </c>
      <c r="D2455" t="str">
        <f>IFERROR(__xludf.DUMMYFUNCTION("""COMPUTED_VALUE"""),"PE 8")</f>
        <v>PE 8</v>
      </c>
      <c r="E2455" s="31" t="str">
        <f>IFERROR(__xludf.DUMMYFUNCTION("""COMPUTED_VALUE"""),"5a")</f>
        <v>5a</v>
      </c>
      <c r="F2455" s="8">
        <v>1.0</v>
      </c>
      <c r="G2455" s="8">
        <v>1.0</v>
      </c>
      <c r="H2455" s="8">
        <v>1.0</v>
      </c>
      <c r="I2455" s="8">
        <v>1.0</v>
      </c>
      <c r="J2455" s="8">
        <v>1.0</v>
      </c>
      <c r="K2455" s="8">
        <v>1.0</v>
      </c>
      <c r="L2455" s="8">
        <v>6.0</v>
      </c>
      <c r="M2455" s="8"/>
      <c r="N2455" s="8"/>
      <c r="O2455" s="8" t="s">
        <v>807</v>
      </c>
      <c r="P2455" s="8">
        <v>6.0</v>
      </c>
    </row>
    <row r="2456">
      <c r="A2456">
        <f>IFERROR(__xludf.DUMMYFUNCTION("""COMPUTED_VALUE"""),8.0)</f>
        <v>8</v>
      </c>
      <c r="B2456">
        <f>IFERROR(__xludf.DUMMYFUNCTION("""COMPUTED_VALUE"""),29088.0)</f>
        <v>29088</v>
      </c>
      <c r="C2456" t="str">
        <f>IFERROR(__xludf.DUMMYFUNCTION("""COMPUTED_VALUE"""),"PEREZ ALVARADO, SARA")</f>
        <v>PEREZ ALVARADO, SARA</v>
      </c>
      <c r="D2456" t="str">
        <f>IFERROR(__xludf.DUMMYFUNCTION("""COMPUTED_VALUE"""),"PE 8")</f>
        <v>PE 8</v>
      </c>
      <c r="E2456" s="31" t="str">
        <f>IFERROR(__xludf.DUMMYFUNCTION("""COMPUTED_VALUE"""),"2b")</f>
        <v>2b</v>
      </c>
      <c r="F2456" s="8">
        <v>1.0</v>
      </c>
      <c r="G2456" s="8">
        <v>1.0</v>
      </c>
      <c r="H2456" s="8">
        <v>1.0</v>
      </c>
      <c r="I2456" s="8">
        <v>1.0</v>
      </c>
      <c r="J2456" s="8">
        <v>1.0</v>
      </c>
      <c r="K2456" s="8">
        <v>1.0</v>
      </c>
      <c r="L2456" s="8">
        <v>6.0</v>
      </c>
      <c r="M2456" s="8"/>
      <c r="N2456" s="8"/>
      <c r="O2456" s="8" t="s">
        <v>806</v>
      </c>
      <c r="P2456" s="8">
        <v>6.0</v>
      </c>
    </row>
    <row r="2457">
      <c r="A2457">
        <f>IFERROR(__xludf.DUMMYFUNCTION("""COMPUTED_VALUE"""),8.0)</f>
        <v>8</v>
      </c>
      <c r="B2457">
        <f>IFERROR(__xludf.DUMMYFUNCTION("""COMPUTED_VALUE"""),29089.0)</f>
        <v>29089</v>
      </c>
      <c r="C2457" t="str">
        <f>IFERROR(__xludf.DUMMYFUNCTION("""COMPUTED_VALUE"""),"PEREZ BEDOYA, ELENA")</f>
        <v>PEREZ BEDOYA, ELENA</v>
      </c>
      <c r="D2457" t="str">
        <f>IFERROR(__xludf.DUMMYFUNCTION("""COMPUTED_VALUE"""),"PE 8")</f>
        <v>PE 8</v>
      </c>
      <c r="E2457" s="31" t="str">
        <f>IFERROR(__xludf.DUMMYFUNCTION("""COMPUTED_VALUE"""),"4a")</f>
        <v>4a</v>
      </c>
      <c r="F2457" s="8">
        <v>1.0</v>
      </c>
      <c r="G2457" s="8">
        <v>1.0</v>
      </c>
      <c r="H2457" s="8">
        <v>1.0</v>
      </c>
      <c r="I2457" s="8">
        <v>1.0</v>
      </c>
      <c r="J2457" s="8">
        <v>1.0</v>
      </c>
      <c r="K2457" s="8">
        <v>1.0</v>
      </c>
      <c r="L2457" s="8">
        <v>6.0</v>
      </c>
      <c r="M2457" s="8"/>
      <c r="N2457" s="8"/>
      <c r="O2457" s="8" t="s">
        <v>802</v>
      </c>
      <c r="P2457" s="8">
        <v>6.0</v>
      </c>
    </row>
    <row r="2458">
      <c r="A2458">
        <f>IFERROR(__xludf.DUMMYFUNCTION("""COMPUTED_VALUE"""),8.0)</f>
        <v>8</v>
      </c>
      <c r="B2458">
        <f>IFERROR(__xludf.DUMMYFUNCTION("""COMPUTED_VALUE"""),29157.0)</f>
        <v>29157</v>
      </c>
      <c r="C2458" t="str">
        <f>IFERROR(__xludf.DUMMYFUNCTION("""COMPUTED_VALUE"""),"PETTERSSON VANEGAS, DOMINIQUE")</f>
        <v>PETTERSSON VANEGAS, DOMINIQUE</v>
      </c>
      <c r="D2458" t="str">
        <f>IFERROR(__xludf.DUMMYFUNCTION("""COMPUTED_VALUE"""),"PE 8")</f>
        <v>PE 8</v>
      </c>
      <c r="E2458" s="31" t="str">
        <f>IFERROR(__xludf.DUMMYFUNCTION("""COMPUTED_VALUE"""),"4a")</f>
        <v>4a</v>
      </c>
      <c r="F2458" s="8">
        <v>1.0</v>
      </c>
      <c r="G2458" s="8">
        <v>1.0</v>
      </c>
      <c r="H2458" s="8">
        <v>1.0</v>
      </c>
      <c r="I2458" s="8">
        <v>1.0</v>
      </c>
      <c r="J2458" s="8">
        <v>1.0</v>
      </c>
      <c r="K2458" s="8">
        <v>1.0</v>
      </c>
      <c r="L2458" s="8">
        <v>6.0</v>
      </c>
      <c r="M2458" s="8"/>
      <c r="N2458" s="8"/>
      <c r="O2458" s="8" t="s">
        <v>802</v>
      </c>
      <c r="P2458" s="8">
        <v>6.0</v>
      </c>
    </row>
    <row r="2459">
      <c r="A2459">
        <f>IFERROR(__xludf.DUMMYFUNCTION("""COMPUTED_VALUE"""),8.0)</f>
        <v>8</v>
      </c>
      <c r="B2459">
        <f>IFERROR(__xludf.DUMMYFUNCTION("""COMPUTED_VALUE"""),29091.0)</f>
        <v>29091</v>
      </c>
      <c r="C2459" t="str">
        <f>IFERROR(__xludf.DUMMYFUNCTION("""COMPUTED_VALUE"""),"PLATA BOLAÑOS, CAMILA")</f>
        <v>PLATA BOLAÑOS, CAMILA</v>
      </c>
      <c r="D2459" t="str">
        <f>IFERROR(__xludf.DUMMYFUNCTION("""COMPUTED_VALUE"""),"PE 8")</f>
        <v>PE 8</v>
      </c>
      <c r="E2459" s="31" t="str">
        <f>IFERROR(__xludf.DUMMYFUNCTION("""COMPUTED_VALUE"""),"4a")</f>
        <v>4a</v>
      </c>
      <c r="F2459" s="8">
        <v>1.0</v>
      </c>
      <c r="G2459" s="8">
        <v>1.0</v>
      </c>
      <c r="H2459" s="8">
        <v>1.0</v>
      </c>
      <c r="I2459" s="8">
        <v>1.0</v>
      </c>
      <c r="J2459" s="8">
        <v>1.0</v>
      </c>
      <c r="K2459" s="8">
        <v>1.0</v>
      </c>
      <c r="L2459" s="8">
        <v>6.0</v>
      </c>
      <c r="M2459" s="8"/>
      <c r="N2459" s="8"/>
      <c r="O2459" s="8" t="s">
        <v>802</v>
      </c>
      <c r="P2459" s="8">
        <v>6.0</v>
      </c>
    </row>
    <row r="2460">
      <c r="A2460">
        <f>IFERROR(__xludf.DUMMYFUNCTION("""COMPUTED_VALUE"""),8.0)</f>
        <v>8</v>
      </c>
      <c r="B2460">
        <f>IFERROR(__xludf.DUMMYFUNCTION("""COMPUTED_VALUE"""),29093.0)</f>
        <v>29093</v>
      </c>
      <c r="C2460" t="str">
        <f>IFERROR(__xludf.DUMMYFUNCTION("""COMPUTED_VALUE"""),"PUGLIESE STRICKLAND, MARCELLO ANTONIO")</f>
        <v>PUGLIESE STRICKLAND, MARCELLO ANTONIO</v>
      </c>
      <c r="D2460" t="str">
        <f>IFERROR(__xludf.DUMMYFUNCTION("""COMPUTED_VALUE"""),"PE 8")</f>
        <v>PE 8</v>
      </c>
      <c r="E2460" s="31" t="str">
        <f>IFERROR(__xludf.DUMMYFUNCTION("""COMPUTED_VALUE"""),"1a")</f>
        <v>1a</v>
      </c>
      <c r="F2460" s="8">
        <v>1.0</v>
      </c>
      <c r="G2460" s="8">
        <v>1.0</v>
      </c>
      <c r="H2460" s="8">
        <v>1.0</v>
      </c>
      <c r="I2460" s="8">
        <v>1.0</v>
      </c>
      <c r="J2460" s="8">
        <v>1.0</v>
      </c>
      <c r="K2460" s="8">
        <v>1.0</v>
      </c>
      <c r="L2460" s="8">
        <v>6.0</v>
      </c>
      <c r="M2460" s="8"/>
      <c r="N2460" s="8"/>
      <c r="O2460" s="8" t="s">
        <v>803</v>
      </c>
      <c r="P2460" s="8">
        <v>6.0</v>
      </c>
    </row>
    <row r="2461">
      <c r="A2461">
        <f>IFERROR(__xludf.DUMMYFUNCTION("""COMPUTED_VALUE"""),8.0)</f>
        <v>8</v>
      </c>
      <c r="B2461">
        <f>IFERROR(__xludf.DUMMYFUNCTION("""COMPUTED_VALUE"""),28087.0)</f>
        <v>28087</v>
      </c>
      <c r="C2461" t="str">
        <f>IFERROR(__xludf.DUMMYFUNCTION("""COMPUTED_VALUE"""),"QUINTERO HENAO, MATEO")</f>
        <v>QUINTERO HENAO, MATEO</v>
      </c>
      <c r="D2461" t="str">
        <f>IFERROR(__xludf.DUMMYFUNCTION("""COMPUTED_VALUE"""),"PE 8")</f>
        <v>PE 8</v>
      </c>
      <c r="E2461" s="31" t="str">
        <f>IFERROR(__xludf.DUMMYFUNCTION("""COMPUTED_VALUE"""),"5a")</f>
        <v>5a</v>
      </c>
      <c r="F2461" s="8">
        <v>1.0</v>
      </c>
      <c r="G2461" s="8">
        <v>1.0</v>
      </c>
      <c r="H2461" s="8">
        <v>1.0</v>
      </c>
      <c r="I2461" s="8">
        <v>1.0</v>
      </c>
      <c r="J2461" s="8">
        <v>1.0</v>
      </c>
      <c r="K2461" s="8">
        <v>1.0</v>
      </c>
      <c r="L2461" s="8">
        <v>6.0</v>
      </c>
      <c r="M2461" s="8"/>
      <c r="N2461" s="8"/>
      <c r="O2461" s="8" t="s">
        <v>807</v>
      </c>
      <c r="P2461" s="8">
        <v>6.0</v>
      </c>
    </row>
    <row r="2462">
      <c r="A2462">
        <f>IFERROR(__xludf.DUMMYFUNCTION("""COMPUTED_VALUE"""),8.0)</f>
        <v>8</v>
      </c>
      <c r="B2462">
        <f>IFERROR(__xludf.DUMMYFUNCTION("""COMPUTED_VALUE"""),29096.0)</f>
        <v>29096</v>
      </c>
      <c r="C2462" t="str">
        <f>IFERROR(__xludf.DUMMYFUNCTION("""COMPUTED_VALUE"""),"RAMIREZ PELAEZ, ANTONIA")</f>
        <v>RAMIREZ PELAEZ, ANTONIA</v>
      </c>
      <c r="D2462" t="str">
        <f>IFERROR(__xludf.DUMMYFUNCTION("""COMPUTED_VALUE"""),"PE 8")</f>
        <v>PE 8</v>
      </c>
      <c r="E2462" s="31" t="str">
        <f>IFERROR(__xludf.DUMMYFUNCTION("""COMPUTED_VALUE"""),"6a")</f>
        <v>6a</v>
      </c>
      <c r="F2462" s="8">
        <v>1.0</v>
      </c>
      <c r="G2462" s="8">
        <v>1.0</v>
      </c>
      <c r="H2462" s="8">
        <v>1.0</v>
      </c>
      <c r="I2462" s="8">
        <v>1.0</v>
      </c>
      <c r="J2462" s="8">
        <v>1.0</v>
      </c>
      <c r="K2462" s="8">
        <v>1.0</v>
      </c>
      <c r="L2462" s="8">
        <v>6.0</v>
      </c>
      <c r="M2462" s="8"/>
      <c r="N2462" s="8"/>
      <c r="O2462" s="8" t="s">
        <v>805</v>
      </c>
      <c r="P2462" s="8">
        <v>6.0</v>
      </c>
    </row>
    <row r="2463">
      <c r="A2463">
        <f>IFERROR(__xludf.DUMMYFUNCTION("""COMPUTED_VALUE"""),8.0)</f>
        <v>8</v>
      </c>
      <c r="B2463">
        <f>IFERROR(__xludf.DUMMYFUNCTION("""COMPUTED_VALUE"""),29097.0)</f>
        <v>29097</v>
      </c>
      <c r="C2463" t="str">
        <f>IFERROR(__xludf.DUMMYFUNCTION("""COMPUTED_VALUE"""),"RAMIREZ PELAEZ, ELENA")</f>
        <v>RAMIREZ PELAEZ, ELENA</v>
      </c>
      <c r="D2463" t="str">
        <f>IFERROR(__xludf.DUMMYFUNCTION("""COMPUTED_VALUE"""),"PE 8")</f>
        <v>PE 8</v>
      </c>
      <c r="E2463" s="31" t="str">
        <f>IFERROR(__xludf.DUMMYFUNCTION("""COMPUTED_VALUE"""),"2b")</f>
        <v>2b</v>
      </c>
      <c r="F2463" s="8">
        <v>1.0</v>
      </c>
      <c r="G2463" s="8">
        <v>1.0</v>
      </c>
      <c r="H2463" s="8">
        <v>1.0</v>
      </c>
      <c r="I2463" s="8">
        <v>1.0</v>
      </c>
      <c r="J2463" s="8">
        <v>1.0</v>
      </c>
      <c r="K2463" s="8">
        <v>1.0</v>
      </c>
      <c r="L2463" s="8">
        <v>6.0</v>
      </c>
      <c r="M2463" s="8"/>
      <c r="N2463" s="8"/>
      <c r="O2463" s="8" t="s">
        <v>806</v>
      </c>
      <c r="P2463" s="8">
        <v>6.0</v>
      </c>
    </row>
    <row r="2464">
      <c r="A2464">
        <f>IFERROR(__xludf.DUMMYFUNCTION("""COMPUTED_VALUE"""),8.0)</f>
        <v>8</v>
      </c>
      <c r="B2464">
        <f>IFERROR(__xludf.DUMMYFUNCTION("""COMPUTED_VALUE"""),29169.0)</f>
        <v>29169</v>
      </c>
      <c r="C2464" t="str">
        <f>IFERROR(__xludf.DUMMYFUNCTION("""COMPUTED_VALUE"""),"REPETTO LARROSA, FAUSTINO")</f>
        <v>REPETTO LARROSA, FAUSTINO</v>
      </c>
      <c r="D2464" t="str">
        <f>IFERROR(__xludf.DUMMYFUNCTION("""COMPUTED_VALUE"""),"PE 8")</f>
        <v>PE 8</v>
      </c>
      <c r="E2464" s="31" t="str">
        <f>IFERROR(__xludf.DUMMYFUNCTION("""COMPUTED_VALUE"""),"6a")</f>
        <v>6a</v>
      </c>
      <c r="F2464" s="8">
        <v>1.0</v>
      </c>
      <c r="G2464" s="8">
        <v>1.0</v>
      </c>
      <c r="H2464" s="8">
        <v>1.0</v>
      </c>
      <c r="I2464" s="8">
        <v>1.0</v>
      </c>
      <c r="J2464" s="8">
        <v>1.0</v>
      </c>
      <c r="K2464" s="8">
        <v>1.0</v>
      </c>
      <c r="L2464" s="8">
        <v>6.0</v>
      </c>
      <c r="M2464" s="8"/>
      <c r="N2464" s="8"/>
      <c r="O2464" s="8" t="s">
        <v>805</v>
      </c>
      <c r="P2464" s="8">
        <v>6.0</v>
      </c>
    </row>
    <row r="2465">
      <c r="A2465">
        <f>IFERROR(__xludf.DUMMYFUNCTION("""COMPUTED_VALUE"""),8.0)</f>
        <v>8</v>
      </c>
      <c r="B2465">
        <f>IFERROR(__xludf.DUMMYFUNCTION("""COMPUTED_VALUE"""),29098.0)</f>
        <v>29098</v>
      </c>
      <c r="C2465" t="str">
        <f>IFERROR(__xludf.DUMMYFUNCTION("""COMPUTED_VALUE"""),"RESTREPO ESCOBAR, ISABELA")</f>
        <v>RESTREPO ESCOBAR, ISABELA</v>
      </c>
      <c r="D2465" t="str">
        <f>IFERROR(__xludf.DUMMYFUNCTION("""COMPUTED_VALUE"""),"PE 8")</f>
        <v>PE 8</v>
      </c>
      <c r="E2465" s="31" t="str">
        <f>IFERROR(__xludf.DUMMYFUNCTION("""COMPUTED_VALUE"""),"2b")</f>
        <v>2b</v>
      </c>
      <c r="F2465" s="8">
        <v>1.0</v>
      </c>
      <c r="G2465" s="8">
        <v>1.0</v>
      </c>
      <c r="H2465" s="8">
        <v>1.0</v>
      </c>
      <c r="I2465" s="8">
        <v>1.0</v>
      </c>
      <c r="J2465" s="8">
        <v>1.0</v>
      </c>
      <c r="K2465" s="8">
        <v>1.0</v>
      </c>
      <c r="L2465" s="8">
        <v>6.0</v>
      </c>
      <c r="M2465" s="8"/>
      <c r="N2465" s="8"/>
      <c r="O2465" s="8" t="s">
        <v>806</v>
      </c>
      <c r="P2465" s="8">
        <v>6.0</v>
      </c>
    </row>
    <row r="2466">
      <c r="A2466">
        <f>IFERROR(__xludf.DUMMYFUNCTION("""COMPUTED_VALUE"""),8.0)</f>
        <v>8</v>
      </c>
      <c r="B2466">
        <f>IFERROR(__xludf.DUMMYFUNCTION("""COMPUTED_VALUE"""),29099.0)</f>
        <v>29099</v>
      </c>
      <c r="C2466" t="str">
        <f>IFERROR(__xludf.DUMMYFUNCTION("""COMPUTED_VALUE"""),"RESTREPO RESTREPO, MATIAS")</f>
        <v>RESTREPO RESTREPO, MATIAS</v>
      </c>
      <c r="D2466" t="str">
        <f>IFERROR(__xludf.DUMMYFUNCTION("""COMPUTED_VALUE"""),"PE 8")</f>
        <v>PE 8</v>
      </c>
      <c r="E2466" s="31" t="str">
        <f>IFERROR(__xludf.DUMMYFUNCTION("""COMPUTED_VALUE"""),"6a")</f>
        <v>6a</v>
      </c>
      <c r="F2466" s="8">
        <v>1.0</v>
      </c>
      <c r="G2466" s="8">
        <v>1.0</v>
      </c>
      <c r="H2466" s="8">
        <v>1.0</v>
      </c>
      <c r="I2466" s="8">
        <v>1.0</v>
      </c>
      <c r="J2466" s="8">
        <v>1.0</v>
      </c>
      <c r="K2466" s="8">
        <v>1.0</v>
      </c>
      <c r="L2466" s="8">
        <v>6.0</v>
      </c>
      <c r="M2466" s="8"/>
      <c r="N2466" s="8"/>
      <c r="O2466" s="8" t="s">
        <v>805</v>
      </c>
      <c r="P2466" s="8">
        <v>6.0</v>
      </c>
    </row>
    <row r="2467">
      <c r="A2467">
        <f>IFERROR(__xludf.DUMMYFUNCTION("""COMPUTED_VALUE"""),8.0)</f>
        <v>8</v>
      </c>
      <c r="B2467">
        <f>IFERROR(__xludf.DUMMYFUNCTION("""COMPUTED_VALUE"""),29100.0)</f>
        <v>29100</v>
      </c>
      <c r="C2467" t="str">
        <f>IFERROR(__xludf.DUMMYFUNCTION("""COMPUTED_VALUE"""),"RESTREPO VILLEGAS, PEDRO")</f>
        <v>RESTREPO VILLEGAS, PEDRO</v>
      </c>
      <c r="D2467" t="str">
        <f>IFERROR(__xludf.DUMMYFUNCTION("""COMPUTED_VALUE"""),"PE 8")</f>
        <v>PE 8</v>
      </c>
      <c r="E2467" s="31" t="str">
        <f>IFERROR(__xludf.DUMMYFUNCTION("""COMPUTED_VALUE"""),"6a")</f>
        <v>6a</v>
      </c>
      <c r="F2467" s="8">
        <v>1.0</v>
      </c>
      <c r="G2467" s="8">
        <v>1.0</v>
      </c>
      <c r="H2467" s="8">
        <v>1.0</v>
      </c>
      <c r="I2467" s="8">
        <v>1.0</v>
      </c>
      <c r="J2467" s="8">
        <v>1.0</v>
      </c>
      <c r="K2467" s="8">
        <v>1.0</v>
      </c>
      <c r="L2467" s="8">
        <v>6.0</v>
      </c>
      <c r="M2467" s="8"/>
      <c r="N2467" s="8"/>
      <c r="O2467" s="8" t="s">
        <v>805</v>
      </c>
      <c r="P2467" s="8">
        <v>6.0</v>
      </c>
    </row>
    <row r="2468">
      <c r="A2468">
        <f>IFERROR(__xludf.DUMMYFUNCTION("""COMPUTED_VALUE"""),8.0)</f>
        <v>8</v>
      </c>
      <c r="B2468">
        <f>IFERROR(__xludf.DUMMYFUNCTION("""COMPUTED_VALUE"""),29101.0)</f>
        <v>29101</v>
      </c>
      <c r="C2468" t="str">
        <f>IFERROR(__xludf.DUMMYFUNCTION("""COMPUTED_VALUE"""),"ROBLES MARTINEZ, MARIA")</f>
        <v>ROBLES MARTINEZ, MARIA</v>
      </c>
      <c r="D2468" t="str">
        <f>IFERROR(__xludf.DUMMYFUNCTION("""COMPUTED_VALUE"""),"PE 8")</f>
        <v>PE 8</v>
      </c>
      <c r="E2468" s="31" t="str">
        <f>IFERROR(__xludf.DUMMYFUNCTION("""COMPUTED_VALUE"""),"2b")</f>
        <v>2b</v>
      </c>
      <c r="F2468" s="8">
        <v>1.0</v>
      </c>
      <c r="G2468" s="8">
        <v>1.0</v>
      </c>
      <c r="H2468" s="8">
        <v>1.0</v>
      </c>
      <c r="I2468" s="8">
        <v>1.0</v>
      </c>
      <c r="J2468" s="8">
        <v>1.0</v>
      </c>
      <c r="K2468" s="8">
        <v>1.0</v>
      </c>
      <c r="L2468" s="8">
        <v>6.0</v>
      </c>
      <c r="M2468" s="8"/>
      <c r="N2468" s="8"/>
      <c r="O2468" s="8" t="s">
        <v>806</v>
      </c>
      <c r="P2468" s="8">
        <v>6.0</v>
      </c>
    </row>
    <row r="2469">
      <c r="A2469">
        <f>IFERROR(__xludf.DUMMYFUNCTION("""COMPUTED_VALUE"""),8.0)</f>
        <v>8</v>
      </c>
      <c r="B2469">
        <f>IFERROR(__xludf.DUMMYFUNCTION("""COMPUTED_VALUE"""),28160.0)</f>
        <v>28160</v>
      </c>
      <c r="C2469" t="str">
        <f>IFERROR(__xludf.DUMMYFUNCTION("""COMPUTED_VALUE"""),"ROJAS REYES, JERONIMO")</f>
        <v>ROJAS REYES, JERONIMO</v>
      </c>
      <c r="D2469" t="str">
        <f>IFERROR(__xludf.DUMMYFUNCTION("""COMPUTED_VALUE"""),"PE 8")</f>
        <v>PE 8</v>
      </c>
      <c r="E2469" s="31" t="str">
        <f>IFERROR(__xludf.DUMMYFUNCTION("""COMPUTED_VALUE"""),"6a")</f>
        <v>6a</v>
      </c>
      <c r="F2469" s="8">
        <v>1.0</v>
      </c>
      <c r="G2469" s="8">
        <v>1.0</v>
      </c>
      <c r="H2469" s="8">
        <v>1.0</v>
      </c>
      <c r="I2469" s="8">
        <v>1.0</v>
      </c>
      <c r="J2469" s="8">
        <v>1.0</v>
      </c>
      <c r="K2469" s="8">
        <v>1.0</v>
      </c>
      <c r="L2469" s="8">
        <v>6.0</v>
      </c>
      <c r="M2469" s="8"/>
      <c r="N2469" s="8"/>
      <c r="O2469" s="8" t="s">
        <v>805</v>
      </c>
      <c r="P2469" s="8">
        <v>6.0</v>
      </c>
    </row>
    <row r="2470">
      <c r="A2470">
        <f>IFERROR(__xludf.DUMMYFUNCTION("""COMPUTED_VALUE"""),8.0)</f>
        <v>8</v>
      </c>
      <c r="B2470">
        <f>IFERROR(__xludf.DUMMYFUNCTION("""COMPUTED_VALUE"""),29163.0)</f>
        <v>29163</v>
      </c>
      <c r="C2470" t="str">
        <f>IFERROR(__xludf.DUMMYFUNCTION("""COMPUTED_VALUE"""),"ROMERO OROZCO, SALVADOR")</f>
        <v>ROMERO OROZCO, SALVADOR</v>
      </c>
      <c r="D2470" t="str">
        <f>IFERROR(__xludf.DUMMYFUNCTION("""COMPUTED_VALUE"""),"PE 8")</f>
        <v>PE 8</v>
      </c>
      <c r="E2470" s="31" t="str">
        <f>IFERROR(__xludf.DUMMYFUNCTION("""COMPUTED_VALUE"""),"5a")</f>
        <v>5a</v>
      </c>
      <c r="F2470" s="8">
        <v>1.0</v>
      </c>
      <c r="G2470" s="8">
        <v>1.0</v>
      </c>
      <c r="H2470" s="8">
        <v>1.0</v>
      </c>
      <c r="I2470" s="8">
        <v>1.0</v>
      </c>
      <c r="J2470" s="8">
        <v>1.0</v>
      </c>
      <c r="K2470" s="8">
        <v>1.0</v>
      </c>
      <c r="L2470" s="8">
        <v>6.0</v>
      </c>
      <c r="M2470" s="8"/>
      <c r="N2470" s="8"/>
      <c r="O2470" s="8" t="s">
        <v>807</v>
      </c>
      <c r="P2470" s="8">
        <v>6.0</v>
      </c>
    </row>
    <row r="2471">
      <c r="A2471">
        <f>IFERROR(__xludf.DUMMYFUNCTION("""COMPUTED_VALUE"""),8.0)</f>
        <v>8</v>
      </c>
      <c r="B2471">
        <f>IFERROR(__xludf.DUMMYFUNCTION("""COMPUTED_VALUE"""),29103.0)</f>
        <v>29103</v>
      </c>
      <c r="C2471" t="str">
        <f>IFERROR(__xludf.DUMMYFUNCTION("""COMPUTED_VALUE"""),"SALAZAR ECHEVERRI, ANTONIA")</f>
        <v>SALAZAR ECHEVERRI, ANTONIA</v>
      </c>
      <c r="D2471" t="str">
        <f>IFERROR(__xludf.DUMMYFUNCTION("""COMPUTED_VALUE"""),"PE 8")</f>
        <v>PE 8</v>
      </c>
      <c r="E2471" s="31" t="str">
        <f>IFERROR(__xludf.DUMMYFUNCTION("""COMPUTED_VALUE"""),"1a")</f>
        <v>1a</v>
      </c>
      <c r="F2471" s="8">
        <v>1.0</v>
      </c>
      <c r="G2471" s="8">
        <v>1.0</v>
      </c>
      <c r="H2471" s="8">
        <v>1.0</v>
      </c>
      <c r="I2471" s="8">
        <v>1.0</v>
      </c>
      <c r="J2471" s="8">
        <v>1.0</v>
      </c>
      <c r="K2471" s="8">
        <v>1.0</v>
      </c>
      <c r="L2471" s="8">
        <v>6.0</v>
      </c>
      <c r="M2471" s="8"/>
      <c r="N2471" s="8"/>
      <c r="O2471" s="8" t="s">
        <v>803</v>
      </c>
      <c r="P2471" s="8">
        <v>6.0</v>
      </c>
    </row>
    <row r="2472">
      <c r="A2472">
        <f>IFERROR(__xludf.DUMMYFUNCTION("""COMPUTED_VALUE"""),8.0)</f>
        <v>8</v>
      </c>
      <c r="B2472">
        <f>IFERROR(__xludf.DUMMYFUNCTION("""COMPUTED_VALUE"""),29149.0)</f>
        <v>29149</v>
      </c>
      <c r="C2472" t="str">
        <f>IFERROR(__xludf.DUMMYFUNCTION("""COMPUTED_VALUE"""),"SALEMME GUTIERREZ, AMALIA")</f>
        <v>SALEMME GUTIERREZ, AMALIA</v>
      </c>
      <c r="D2472" t="str">
        <f>IFERROR(__xludf.DUMMYFUNCTION("""COMPUTED_VALUE"""),"PE 8")</f>
        <v>PE 8</v>
      </c>
      <c r="E2472" s="31" t="str">
        <f>IFERROR(__xludf.DUMMYFUNCTION("""COMPUTED_VALUE"""),"4a")</f>
        <v>4a</v>
      </c>
      <c r="F2472" s="8">
        <v>1.0</v>
      </c>
      <c r="G2472" s="8">
        <v>1.0</v>
      </c>
      <c r="H2472" s="8">
        <v>1.0</v>
      </c>
      <c r="I2472" s="8">
        <v>1.0</v>
      </c>
      <c r="J2472" s="8">
        <v>1.0</v>
      </c>
      <c r="K2472" s="8">
        <v>1.0</v>
      </c>
      <c r="L2472" s="8">
        <v>6.0</v>
      </c>
      <c r="M2472" s="8"/>
      <c r="N2472" s="8"/>
      <c r="O2472" s="8" t="s">
        <v>802</v>
      </c>
      <c r="P2472" s="8">
        <v>6.0</v>
      </c>
    </row>
    <row r="2473">
      <c r="A2473">
        <f>IFERROR(__xludf.DUMMYFUNCTION("""COMPUTED_VALUE"""),8.0)</f>
        <v>8</v>
      </c>
      <c r="B2473">
        <f>IFERROR(__xludf.DUMMYFUNCTION("""COMPUTED_VALUE"""),29105.0)</f>
        <v>29105</v>
      </c>
      <c r="C2473" t="str">
        <f>IFERROR(__xludf.DUMMYFUNCTION("""COMPUTED_VALUE"""),"SANCHEZ DIAZ, MATIAS")</f>
        <v>SANCHEZ DIAZ, MATIAS</v>
      </c>
      <c r="D2473" t="str">
        <f>IFERROR(__xludf.DUMMYFUNCTION("""COMPUTED_VALUE"""),"PE 8")</f>
        <v>PE 8</v>
      </c>
      <c r="E2473" s="31" t="str">
        <f>IFERROR(__xludf.DUMMYFUNCTION("""COMPUTED_VALUE"""),"5a")</f>
        <v>5a</v>
      </c>
      <c r="F2473" s="8">
        <v>1.0</v>
      </c>
      <c r="G2473" s="8">
        <v>1.0</v>
      </c>
      <c r="H2473" s="8">
        <v>1.0</v>
      </c>
      <c r="I2473" s="8">
        <v>1.0</v>
      </c>
      <c r="J2473" s="8">
        <v>1.0</v>
      </c>
      <c r="K2473" s="8">
        <v>1.0</v>
      </c>
      <c r="L2473" s="8">
        <v>6.0</v>
      </c>
      <c r="M2473" s="8"/>
      <c r="N2473" s="8"/>
      <c r="O2473" s="8" t="s">
        <v>807</v>
      </c>
      <c r="P2473" s="8">
        <v>6.0</v>
      </c>
    </row>
    <row r="2474">
      <c r="A2474">
        <f>IFERROR(__xludf.DUMMYFUNCTION("""COMPUTED_VALUE"""),8.0)</f>
        <v>8</v>
      </c>
      <c r="B2474">
        <f>IFERROR(__xludf.DUMMYFUNCTION("""COMPUTED_VALUE"""),29106.0)</f>
        <v>29106</v>
      </c>
      <c r="C2474" t="str">
        <f>IFERROR(__xludf.DUMMYFUNCTION("""COMPUTED_VALUE"""),"SANCHEZ DIAZ, SIMON")</f>
        <v>SANCHEZ DIAZ, SIMON</v>
      </c>
      <c r="D2474" t="str">
        <f>IFERROR(__xludf.DUMMYFUNCTION("""COMPUTED_VALUE"""),"PE 8")</f>
        <v>PE 8</v>
      </c>
      <c r="E2474" s="31" t="str">
        <f>IFERROR(__xludf.DUMMYFUNCTION("""COMPUTED_VALUE"""),"1a")</f>
        <v>1a</v>
      </c>
      <c r="F2474" s="8">
        <v>1.0</v>
      </c>
      <c r="G2474" s="8">
        <v>1.0</v>
      </c>
      <c r="H2474" s="8">
        <v>1.0</v>
      </c>
      <c r="I2474" s="8">
        <v>1.0</v>
      </c>
      <c r="J2474" s="8">
        <v>1.0</v>
      </c>
      <c r="K2474" s="8">
        <v>1.0</v>
      </c>
      <c r="L2474" s="8">
        <v>6.0</v>
      </c>
      <c r="M2474" s="8"/>
      <c r="N2474" s="8"/>
      <c r="O2474" s="8" t="s">
        <v>803</v>
      </c>
      <c r="P2474" s="8">
        <v>6.0</v>
      </c>
    </row>
    <row r="2475">
      <c r="A2475">
        <f>IFERROR(__xludf.DUMMYFUNCTION("""COMPUTED_VALUE"""),8.0)</f>
        <v>8</v>
      </c>
      <c r="B2475">
        <f>IFERROR(__xludf.DUMMYFUNCTION("""COMPUTED_VALUE"""),29107.0)</f>
        <v>29107</v>
      </c>
      <c r="C2475" t="str">
        <f>IFERROR(__xludf.DUMMYFUNCTION("""COMPUTED_VALUE"""),"SANIN JARAMILLO, PEDRO")</f>
        <v>SANIN JARAMILLO, PEDRO</v>
      </c>
      <c r="D2475" t="str">
        <f>IFERROR(__xludf.DUMMYFUNCTION("""COMPUTED_VALUE"""),"PE 8")</f>
        <v>PE 8</v>
      </c>
      <c r="E2475" s="31" t="str">
        <f>IFERROR(__xludf.DUMMYFUNCTION("""COMPUTED_VALUE"""),"2b")</f>
        <v>2b</v>
      </c>
      <c r="F2475" s="8">
        <v>1.0</v>
      </c>
      <c r="G2475" s="8">
        <v>1.0</v>
      </c>
      <c r="H2475" s="8">
        <v>1.0</v>
      </c>
      <c r="I2475" s="8">
        <v>1.0</v>
      </c>
      <c r="J2475" s="8">
        <v>1.0</v>
      </c>
      <c r="K2475" s="8">
        <v>1.0</v>
      </c>
      <c r="L2475" s="8">
        <v>6.0</v>
      </c>
      <c r="M2475" s="8"/>
      <c r="N2475" s="8"/>
      <c r="O2475" s="8" t="s">
        <v>806</v>
      </c>
      <c r="P2475" s="8">
        <v>6.0</v>
      </c>
    </row>
    <row r="2476">
      <c r="A2476">
        <f>IFERROR(__xludf.DUMMYFUNCTION("""COMPUTED_VALUE"""),8.0)</f>
        <v>8</v>
      </c>
      <c r="B2476">
        <f>IFERROR(__xludf.DUMMYFUNCTION("""COMPUTED_VALUE"""),29108.0)</f>
        <v>29108</v>
      </c>
      <c r="C2476" t="str">
        <f>IFERROR(__xludf.DUMMYFUNCTION("""COMPUTED_VALUE"""),"SCHOBER OCAMPO, DANIEL")</f>
        <v>SCHOBER OCAMPO, DANIEL</v>
      </c>
      <c r="D2476" t="str">
        <f>IFERROR(__xludf.DUMMYFUNCTION("""COMPUTED_VALUE"""),"PE 8")</f>
        <v>PE 8</v>
      </c>
      <c r="E2476" s="31" t="str">
        <f>IFERROR(__xludf.DUMMYFUNCTION("""COMPUTED_VALUE"""),"5b")</f>
        <v>5b</v>
      </c>
      <c r="F2476" s="8">
        <v>1.0</v>
      </c>
      <c r="G2476" s="8">
        <v>1.0</v>
      </c>
      <c r="H2476" s="8">
        <v>1.0</v>
      </c>
      <c r="I2476" s="8">
        <v>1.0</v>
      </c>
      <c r="J2476" s="8">
        <v>1.0</v>
      </c>
      <c r="K2476" s="8">
        <v>1.0</v>
      </c>
      <c r="L2476" s="8">
        <v>6.0</v>
      </c>
      <c r="M2476" s="8"/>
      <c r="N2476" s="8"/>
      <c r="O2476" s="8" t="s">
        <v>804</v>
      </c>
      <c r="P2476" s="8">
        <v>6.0</v>
      </c>
    </row>
    <row r="2477">
      <c r="A2477">
        <f>IFERROR(__xludf.DUMMYFUNCTION("""COMPUTED_VALUE"""),8.0)</f>
        <v>8</v>
      </c>
      <c r="B2477">
        <f>IFERROR(__xludf.DUMMYFUNCTION("""COMPUTED_VALUE"""),29171.0)</f>
        <v>29171</v>
      </c>
      <c r="C2477" t="str">
        <f>IFERROR(__xludf.DUMMYFUNCTION("""COMPUTED_VALUE"""),"SCHUCHASKIE, KEATON")</f>
        <v>SCHUCHASKIE, KEATON</v>
      </c>
      <c r="D2477" t="str">
        <f>IFERROR(__xludf.DUMMYFUNCTION("""COMPUTED_VALUE"""),"PE 8")</f>
        <v>PE 8</v>
      </c>
      <c r="E2477" s="31" t="str">
        <f>IFERROR(__xludf.DUMMYFUNCTION("""COMPUTED_VALUE"""),"5a")</f>
        <v>5a</v>
      </c>
      <c r="F2477" s="8">
        <v>1.0</v>
      </c>
      <c r="G2477" s="8">
        <v>1.0</v>
      </c>
      <c r="H2477" s="8">
        <v>1.0</v>
      </c>
      <c r="I2477" s="8">
        <v>1.0</v>
      </c>
      <c r="J2477" s="8">
        <v>1.0</v>
      </c>
      <c r="K2477" s="8">
        <v>1.0</v>
      </c>
      <c r="L2477" s="8">
        <v>6.0</v>
      </c>
      <c r="M2477" s="8"/>
      <c r="N2477" s="8"/>
      <c r="O2477" s="8" t="s">
        <v>807</v>
      </c>
      <c r="P2477" s="8">
        <v>6.0</v>
      </c>
    </row>
    <row r="2478">
      <c r="A2478">
        <f>IFERROR(__xludf.DUMMYFUNCTION("""COMPUTED_VALUE"""),8.0)</f>
        <v>8</v>
      </c>
      <c r="B2478">
        <f>IFERROR(__xludf.DUMMYFUNCTION("""COMPUTED_VALUE"""),29109.0)</f>
        <v>29109</v>
      </c>
      <c r="C2478" t="str">
        <f>IFERROR(__xludf.DUMMYFUNCTION("""COMPUTED_VALUE"""),"SERANI ANGEL, LUCIANA")</f>
        <v>SERANI ANGEL, LUCIANA</v>
      </c>
      <c r="D2478" t="str">
        <f>IFERROR(__xludf.DUMMYFUNCTION("""COMPUTED_VALUE"""),"PE 8")</f>
        <v>PE 8</v>
      </c>
      <c r="E2478" s="31" t="str">
        <f>IFERROR(__xludf.DUMMYFUNCTION("""COMPUTED_VALUE"""),"5b")</f>
        <v>5b</v>
      </c>
      <c r="F2478" s="8">
        <v>1.0</v>
      </c>
      <c r="G2478" s="8">
        <v>1.0</v>
      </c>
      <c r="H2478" s="8">
        <v>1.0</v>
      </c>
      <c r="I2478" s="8">
        <v>1.0</v>
      </c>
      <c r="J2478" s="8">
        <v>1.0</v>
      </c>
      <c r="K2478" s="8">
        <v>1.0</v>
      </c>
      <c r="L2478" s="8">
        <v>6.0</v>
      </c>
      <c r="M2478" s="8"/>
      <c r="N2478" s="8"/>
      <c r="O2478" s="8" t="s">
        <v>804</v>
      </c>
      <c r="P2478" s="8">
        <v>6.0</v>
      </c>
    </row>
    <row r="2479">
      <c r="A2479">
        <f>IFERROR(__xludf.DUMMYFUNCTION("""COMPUTED_VALUE"""),8.0)</f>
        <v>8</v>
      </c>
      <c r="B2479">
        <f>IFERROR(__xludf.DUMMYFUNCTION("""COMPUTED_VALUE"""),29110.0)</f>
        <v>29110</v>
      </c>
      <c r="C2479" t="str">
        <f>IFERROR(__xludf.DUMMYFUNCTION("""COMPUTED_VALUE"""),"SOSA ECHAVARRIA, EMILIO")</f>
        <v>SOSA ECHAVARRIA, EMILIO</v>
      </c>
      <c r="D2479" t="str">
        <f>IFERROR(__xludf.DUMMYFUNCTION("""COMPUTED_VALUE"""),"PE 8")</f>
        <v>PE 8</v>
      </c>
      <c r="E2479" s="31" t="str">
        <f>IFERROR(__xludf.DUMMYFUNCTION("""COMPUTED_VALUE"""),"2b")</f>
        <v>2b</v>
      </c>
      <c r="F2479" s="8">
        <v>1.0</v>
      </c>
      <c r="G2479" s="8">
        <v>1.0</v>
      </c>
      <c r="H2479" s="8">
        <v>1.0</v>
      </c>
      <c r="I2479" s="8">
        <v>1.0</v>
      </c>
      <c r="J2479" s="8">
        <v>1.0</v>
      </c>
      <c r="K2479" s="8">
        <v>1.0</v>
      </c>
      <c r="L2479" s="8">
        <v>6.0</v>
      </c>
      <c r="M2479" s="8"/>
      <c r="N2479" s="8"/>
      <c r="O2479" s="8" t="s">
        <v>806</v>
      </c>
      <c r="P2479" s="8">
        <v>6.0</v>
      </c>
    </row>
    <row r="2480">
      <c r="A2480">
        <f>IFERROR(__xludf.DUMMYFUNCTION("""COMPUTED_VALUE"""),8.0)</f>
        <v>8</v>
      </c>
      <c r="B2480">
        <f>IFERROR(__xludf.DUMMYFUNCTION("""COMPUTED_VALUE"""),29111.0)</f>
        <v>29111</v>
      </c>
      <c r="C2480" t="str">
        <f>IFERROR(__xludf.DUMMYFUNCTION("""COMPUTED_VALUE"""),"SOTO ANGEL, GABRIELA")</f>
        <v>SOTO ANGEL, GABRIELA</v>
      </c>
      <c r="D2480" t="str">
        <f>IFERROR(__xludf.DUMMYFUNCTION("""COMPUTED_VALUE"""),"PE 8")</f>
        <v>PE 8</v>
      </c>
      <c r="E2480" s="31" t="str">
        <f>IFERROR(__xludf.DUMMYFUNCTION("""COMPUTED_VALUE"""),"5b")</f>
        <v>5b</v>
      </c>
      <c r="F2480" s="8">
        <v>1.0</v>
      </c>
      <c r="G2480" s="8">
        <v>1.0</v>
      </c>
      <c r="H2480" s="8">
        <v>1.0</v>
      </c>
      <c r="I2480" s="8">
        <v>1.0</v>
      </c>
      <c r="J2480" s="8">
        <v>1.0</v>
      </c>
      <c r="K2480" s="8">
        <v>1.0</v>
      </c>
      <c r="L2480" s="8">
        <v>6.0</v>
      </c>
      <c r="M2480" s="8"/>
      <c r="N2480" s="8"/>
      <c r="O2480" s="8" t="s">
        <v>804</v>
      </c>
      <c r="P2480" s="8">
        <v>6.0</v>
      </c>
    </row>
    <row r="2481">
      <c r="A2481">
        <f>IFERROR(__xludf.DUMMYFUNCTION("""COMPUTED_VALUE"""),8.0)</f>
        <v>8</v>
      </c>
      <c r="B2481">
        <f>IFERROR(__xludf.DUMMYFUNCTION("""COMPUTED_VALUE"""),29112.0)</f>
        <v>29112</v>
      </c>
      <c r="C2481" t="str">
        <f>IFERROR(__xludf.DUMMYFUNCTION("""COMPUTED_VALUE"""),"SUAREZ MARTINEZ, ANA")</f>
        <v>SUAREZ MARTINEZ, ANA</v>
      </c>
      <c r="D2481" t="str">
        <f>IFERROR(__xludf.DUMMYFUNCTION("""COMPUTED_VALUE"""),"PE 8")</f>
        <v>PE 8</v>
      </c>
      <c r="E2481" s="31" t="str">
        <f>IFERROR(__xludf.DUMMYFUNCTION("""COMPUTED_VALUE"""),"2b")</f>
        <v>2b</v>
      </c>
      <c r="F2481" s="8">
        <v>1.0</v>
      </c>
      <c r="G2481" s="8">
        <v>1.0</v>
      </c>
      <c r="H2481" s="8">
        <v>1.0</v>
      </c>
      <c r="I2481" s="8">
        <v>1.0</v>
      </c>
      <c r="J2481" s="8">
        <v>1.0</v>
      </c>
      <c r="K2481" s="8">
        <v>1.0</v>
      </c>
      <c r="L2481" s="8">
        <v>6.0</v>
      </c>
      <c r="M2481" s="8"/>
      <c r="N2481" s="8"/>
      <c r="O2481" s="8" t="s">
        <v>806</v>
      </c>
      <c r="P2481" s="8">
        <v>6.0</v>
      </c>
    </row>
    <row r="2482">
      <c r="A2482">
        <f>IFERROR(__xludf.DUMMYFUNCTION("""COMPUTED_VALUE"""),8.0)</f>
        <v>8</v>
      </c>
      <c r="B2482">
        <f>IFERROR(__xludf.DUMMYFUNCTION("""COMPUTED_VALUE"""),29113.0)</f>
        <v>29113</v>
      </c>
      <c r="C2482" t="str">
        <f>IFERROR(__xludf.DUMMYFUNCTION("""COMPUTED_VALUE"""),"THIRIEZ VILLA, EMMA")</f>
        <v>THIRIEZ VILLA, EMMA</v>
      </c>
      <c r="D2482" t="str">
        <f>IFERROR(__xludf.DUMMYFUNCTION("""COMPUTED_VALUE"""),"PE 8")</f>
        <v>PE 8</v>
      </c>
      <c r="E2482" s="31" t="str">
        <f>IFERROR(__xludf.DUMMYFUNCTION("""COMPUTED_VALUE"""),"4a")</f>
        <v>4a</v>
      </c>
      <c r="F2482" s="8">
        <v>1.0</v>
      </c>
      <c r="G2482" s="8">
        <v>1.0</v>
      </c>
      <c r="H2482" s="8">
        <v>1.0</v>
      </c>
      <c r="I2482" s="8">
        <v>1.0</v>
      </c>
      <c r="J2482" s="8">
        <v>1.0</v>
      </c>
      <c r="K2482" s="8">
        <v>1.0</v>
      </c>
      <c r="L2482" s="8">
        <v>6.0</v>
      </c>
      <c r="M2482" s="8"/>
      <c r="N2482" s="8"/>
      <c r="O2482" s="8" t="s">
        <v>802</v>
      </c>
      <c r="P2482" s="8">
        <v>6.0</v>
      </c>
    </row>
    <row r="2483">
      <c r="A2483">
        <f>IFERROR(__xludf.DUMMYFUNCTION("""COMPUTED_VALUE"""),8.0)</f>
        <v>8</v>
      </c>
      <c r="B2483">
        <f>IFERROR(__xludf.DUMMYFUNCTION("""COMPUTED_VALUE"""),29114.0)</f>
        <v>29114</v>
      </c>
      <c r="C2483" t="str">
        <f>IFERROR(__xludf.DUMMYFUNCTION("""COMPUTED_VALUE"""),"THIRIEZ VILLA, MARIA")</f>
        <v>THIRIEZ VILLA, MARIA</v>
      </c>
      <c r="D2483" t="str">
        <f>IFERROR(__xludf.DUMMYFUNCTION("""COMPUTED_VALUE"""),"PE 8")</f>
        <v>PE 8</v>
      </c>
      <c r="E2483" s="31" t="str">
        <f>IFERROR(__xludf.DUMMYFUNCTION("""COMPUTED_VALUE"""),"4a")</f>
        <v>4a</v>
      </c>
      <c r="F2483" s="8">
        <v>1.0</v>
      </c>
      <c r="G2483" s="8">
        <v>1.0</v>
      </c>
      <c r="H2483" s="8">
        <v>1.0</v>
      </c>
      <c r="I2483" s="8">
        <v>1.0</v>
      </c>
      <c r="J2483" s="8">
        <v>1.0</v>
      </c>
      <c r="K2483" s="8">
        <v>1.0</v>
      </c>
      <c r="L2483" s="8">
        <v>6.0</v>
      </c>
      <c r="M2483" s="8"/>
      <c r="N2483" s="8"/>
      <c r="O2483" s="8" t="s">
        <v>802</v>
      </c>
      <c r="P2483" s="8">
        <v>6.0</v>
      </c>
    </row>
    <row r="2484">
      <c r="A2484">
        <f>IFERROR(__xludf.DUMMYFUNCTION("""COMPUTED_VALUE"""),8.0)</f>
        <v>8</v>
      </c>
      <c r="B2484">
        <f>IFERROR(__xludf.DUMMYFUNCTION("""COMPUTED_VALUE"""),29115.0)</f>
        <v>29115</v>
      </c>
      <c r="C2484" t="str">
        <f>IFERROR(__xludf.DUMMYFUNCTION("""COMPUTED_VALUE"""),"TIRADO SANIN, ELENA")</f>
        <v>TIRADO SANIN, ELENA</v>
      </c>
      <c r="D2484" t="str">
        <f>IFERROR(__xludf.DUMMYFUNCTION("""COMPUTED_VALUE"""),"PE 8")</f>
        <v>PE 8</v>
      </c>
      <c r="E2484" s="31" t="str">
        <f>IFERROR(__xludf.DUMMYFUNCTION("""COMPUTED_VALUE"""),"5b")</f>
        <v>5b</v>
      </c>
      <c r="F2484" s="8">
        <v>1.0</v>
      </c>
      <c r="G2484" s="8">
        <v>1.0</v>
      </c>
      <c r="H2484" s="8">
        <v>1.0</v>
      </c>
      <c r="I2484" s="8">
        <v>1.0</v>
      </c>
      <c r="J2484" s="8">
        <v>1.0</v>
      </c>
      <c r="K2484" s="8">
        <v>1.0</v>
      </c>
      <c r="L2484" s="8">
        <v>6.0</v>
      </c>
      <c r="M2484" s="8"/>
      <c r="N2484" s="8"/>
      <c r="O2484" s="8" t="s">
        <v>804</v>
      </c>
      <c r="P2484" s="8">
        <v>6.0</v>
      </c>
    </row>
    <row r="2485">
      <c r="A2485">
        <f>IFERROR(__xludf.DUMMYFUNCTION("""COMPUTED_VALUE"""),8.0)</f>
        <v>8</v>
      </c>
      <c r="B2485">
        <f>IFERROR(__xludf.DUMMYFUNCTION("""COMPUTED_VALUE"""),29116.0)</f>
        <v>29116</v>
      </c>
      <c r="C2485" t="str">
        <f>IFERROR(__xludf.DUMMYFUNCTION("""COMPUTED_VALUE"""),"TOBAR MEJIA, CAMILO")</f>
        <v>TOBAR MEJIA, CAMILO</v>
      </c>
      <c r="D2485" t="str">
        <f>IFERROR(__xludf.DUMMYFUNCTION("""COMPUTED_VALUE"""),"PE 8")</f>
        <v>PE 8</v>
      </c>
      <c r="E2485" s="31" t="str">
        <f>IFERROR(__xludf.DUMMYFUNCTION("""COMPUTED_VALUE"""),"6a")</f>
        <v>6a</v>
      </c>
      <c r="F2485" s="8">
        <v>1.0</v>
      </c>
      <c r="G2485" s="8">
        <v>1.0</v>
      </c>
      <c r="H2485" s="8">
        <v>1.0</v>
      </c>
      <c r="I2485" s="8">
        <v>1.0</v>
      </c>
      <c r="J2485" s="8">
        <v>1.0</v>
      </c>
      <c r="K2485" s="8">
        <v>1.0</v>
      </c>
      <c r="L2485" s="8">
        <v>6.0</v>
      </c>
      <c r="M2485" s="8"/>
      <c r="N2485" s="8"/>
      <c r="O2485" s="8" t="s">
        <v>805</v>
      </c>
      <c r="P2485" s="8">
        <v>6.0</v>
      </c>
    </row>
    <row r="2486">
      <c r="A2486">
        <f>IFERROR(__xludf.DUMMYFUNCTION("""COMPUTED_VALUE"""),8.0)</f>
        <v>8</v>
      </c>
      <c r="B2486">
        <f>IFERROR(__xludf.DUMMYFUNCTION("""COMPUTED_VALUE"""),29142.0)</f>
        <v>29142</v>
      </c>
      <c r="C2486" t="str">
        <f>IFERROR(__xludf.DUMMYFUNCTION("""COMPUTED_VALUE"""),"TOBON CARMONA, JACOBO")</f>
        <v>TOBON CARMONA, JACOBO</v>
      </c>
      <c r="D2486" t="str">
        <f>IFERROR(__xludf.DUMMYFUNCTION("""COMPUTED_VALUE"""),"PE 8")</f>
        <v>PE 8</v>
      </c>
      <c r="E2486" s="31" t="str">
        <f>IFERROR(__xludf.DUMMYFUNCTION("""COMPUTED_VALUE"""),"5a")</f>
        <v>5a</v>
      </c>
      <c r="F2486" s="8">
        <v>1.0</v>
      </c>
      <c r="G2486" s="8">
        <v>1.0</v>
      </c>
      <c r="H2486" s="8">
        <v>1.0</v>
      </c>
      <c r="I2486" s="8">
        <v>1.0</v>
      </c>
      <c r="J2486" s="8">
        <v>1.0</v>
      </c>
      <c r="K2486" s="8">
        <v>1.0</v>
      </c>
      <c r="L2486" s="8">
        <v>6.0</v>
      </c>
      <c r="M2486" s="8"/>
      <c r="N2486" s="8"/>
      <c r="O2486" s="8" t="s">
        <v>807</v>
      </c>
      <c r="P2486" s="8">
        <v>6.0</v>
      </c>
    </row>
    <row r="2487">
      <c r="A2487">
        <f>IFERROR(__xludf.DUMMYFUNCTION("""COMPUTED_VALUE"""),8.0)</f>
        <v>8</v>
      </c>
      <c r="B2487">
        <f>IFERROR(__xludf.DUMMYFUNCTION("""COMPUTED_VALUE"""),29117.0)</f>
        <v>29117</v>
      </c>
      <c r="C2487" t="str">
        <f>IFERROR(__xludf.DUMMYFUNCTION("""COMPUTED_VALUE"""),"TOBON GONZALEZ, FLORENCIA")</f>
        <v>TOBON GONZALEZ, FLORENCIA</v>
      </c>
      <c r="D2487" t="str">
        <f>IFERROR(__xludf.DUMMYFUNCTION("""COMPUTED_VALUE"""),"PE 8")</f>
        <v>PE 8</v>
      </c>
      <c r="E2487" s="31" t="str">
        <f>IFERROR(__xludf.DUMMYFUNCTION("""COMPUTED_VALUE"""),"6a")</f>
        <v>6a</v>
      </c>
      <c r="F2487" s="8">
        <v>1.0</v>
      </c>
      <c r="G2487" s="8">
        <v>1.0</v>
      </c>
      <c r="H2487" s="8">
        <v>1.0</v>
      </c>
      <c r="I2487" s="8">
        <v>1.0</v>
      </c>
      <c r="J2487" s="8">
        <v>1.0</v>
      </c>
      <c r="K2487" s="8">
        <v>1.0</v>
      </c>
      <c r="L2487" s="8">
        <v>6.0</v>
      </c>
      <c r="M2487" s="8"/>
      <c r="N2487" s="8"/>
      <c r="O2487" s="8" t="s">
        <v>805</v>
      </c>
      <c r="P2487" s="8">
        <v>6.0</v>
      </c>
    </row>
    <row r="2488">
      <c r="A2488">
        <f>IFERROR(__xludf.DUMMYFUNCTION("""COMPUTED_VALUE"""),8.0)</f>
        <v>8</v>
      </c>
      <c r="B2488">
        <f>IFERROR(__xludf.DUMMYFUNCTION("""COMPUTED_VALUE"""),29118.0)</f>
        <v>29118</v>
      </c>
      <c r="C2488" t="str">
        <f>IFERROR(__xludf.DUMMYFUNCTION("""COMPUTED_VALUE"""),"TRUJILLO RUIZ, SAMUEL")</f>
        <v>TRUJILLO RUIZ, SAMUEL</v>
      </c>
      <c r="D2488" t="str">
        <f>IFERROR(__xludf.DUMMYFUNCTION("""COMPUTED_VALUE"""),"PE 8")</f>
        <v>PE 8</v>
      </c>
      <c r="E2488" s="31" t="str">
        <f>IFERROR(__xludf.DUMMYFUNCTION("""COMPUTED_VALUE"""),"1a")</f>
        <v>1a</v>
      </c>
      <c r="F2488" s="8">
        <v>1.0</v>
      </c>
      <c r="G2488" s="8">
        <v>1.0</v>
      </c>
      <c r="H2488" s="8">
        <v>1.0</v>
      </c>
      <c r="I2488" s="8">
        <v>1.0</v>
      </c>
      <c r="J2488" s="8">
        <v>1.0</v>
      </c>
      <c r="K2488" s="8">
        <v>1.0</v>
      </c>
      <c r="L2488" s="8">
        <v>6.0</v>
      </c>
      <c r="M2488" s="8"/>
      <c r="N2488" s="8"/>
      <c r="O2488" s="8" t="s">
        <v>803</v>
      </c>
      <c r="P2488" s="8">
        <v>6.0</v>
      </c>
    </row>
    <row r="2489">
      <c r="A2489">
        <f>IFERROR(__xludf.DUMMYFUNCTION("""COMPUTED_VALUE"""),8.0)</f>
        <v>8</v>
      </c>
      <c r="B2489">
        <f>IFERROR(__xludf.DUMMYFUNCTION("""COMPUTED_VALUE"""),29119.0)</f>
        <v>29119</v>
      </c>
      <c r="C2489" t="str">
        <f>IFERROR(__xludf.DUMMYFUNCTION("""COMPUTED_VALUE"""),"TRUJILLO RUIZ, SARA")</f>
        <v>TRUJILLO RUIZ, SARA</v>
      </c>
      <c r="D2489" t="str">
        <f>IFERROR(__xludf.DUMMYFUNCTION("""COMPUTED_VALUE"""),"PE 8")</f>
        <v>PE 8</v>
      </c>
      <c r="E2489" s="31" t="str">
        <f>IFERROR(__xludf.DUMMYFUNCTION("""COMPUTED_VALUE"""),"2b")</f>
        <v>2b</v>
      </c>
      <c r="F2489" s="8">
        <v>1.0</v>
      </c>
      <c r="G2489" s="8">
        <v>1.0</v>
      </c>
      <c r="H2489" s="8">
        <v>1.0</v>
      </c>
      <c r="I2489" s="8">
        <v>1.0</v>
      </c>
      <c r="J2489" s="8">
        <v>1.0</v>
      </c>
      <c r="K2489" s="8">
        <v>1.0</v>
      </c>
      <c r="L2489" s="8">
        <v>6.0</v>
      </c>
      <c r="M2489" s="8"/>
      <c r="N2489" s="8"/>
      <c r="O2489" s="8" t="s">
        <v>806</v>
      </c>
      <c r="P2489" s="8">
        <v>6.0</v>
      </c>
    </row>
    <row r="2490">
      <c r="A2490">
        <f>IFERROR(__xludf.DUMMYFUNCTION("""COMPUTED_VALUE"""),8.0)</f>
        <v>8</v>
      </c>
      <c r="B2490">
        <f>IFERROR(__xludf.DUMMYFUNCTION("""COMPUTED_VALUE"""),29092.0)</f>
        <v>29092</v>
      </c>
      <c r="C2490" t="str">
        <f>IFERROR(__xludf.DUMMYFUNCTION("""COMPUTED_VALUE"""),"TURIZZO BORRERO, CAMILO ANDRES")</f>
        <v>TURIZZO BORRERO, CAMILO ANDRES</v>
      </c>
      <c r="D2490" t="str">
        <f>IFERROR(__xludf.DUMMYFUNCTION("""COMPUTED_VALUE"""),"PE 8")</f>
        <v>PE 8</v>
      </c>
      <c r="E2490" s="31" t="str">
        <f>IFERROR(__xludf.DUMMYFUNCTION("""COMPUTED_VALUE"""),"2b")</f>
        <v>2b</v>
      </c>
      <c r="F2490" s="8">
        <v>1.0</v>
      </c>
      <c r="G2490" s="8">
        <v>1.0</v>
      </c>
      <c r="H2490" s="8">
        <v>1.0</v>
      </c>
      <c r="I2490" s="8">
        <v>1.0</v>
      </c>
      <c r="J2490" s="8">
        <v>1.0</v>
      </c>
      <c r="K2490" s="8">
        <v>1.0</v>
      </c>
      <c r="L2490" s="8">
        <v>6.0</v>
      </c>
      <c r="M2490" s="8"/>
      <c r="N2490" s="8"/>
      <c r="O2490" s="8" t="s">
        <v>806</v>
      </c>
      <c r="P2490" s="8">
        <v>6.0</v>
      </c>
    </row>
    <row r="2491">
      <c r="A2491">
        <f>IFERROR(__xludf.DUMMYFUNCTION("""COMPUTED_VALUE"""),8.0)</f>
        <v>8</v>
      </c>
      <c r="B2491">
        <f>IFERROR(__xludf.DUMMYFUNCTION("""COMPUTED_VALUE"""),29120.0)</f>
        <v>29120</v>
      </c>
      <c r="C2491" t="str">
        <f>IFERROR(__xludf.DUMMYFUNCTION("""COMPUTED_VALUE"""),"URIBE JARAMILLO, PEDRO JUAN")</f>
        <v>URIBE JARAMILLO, PEDRO JUAN</v>
      </c>
      <c r="D2491" t="str">
        <f>IFERROR(__xludf.DUMMYFUNCTION("""COMPUTED_VALUE"""),"PE 8")</f>
        <v>PE 8</v>
      </c>
      <c r="E2491" s="31" t="str">
        <f>IFERROR(__xludf.DUMMYFUNCTION("""COMPUTED_VALUE"""),"5a")</f>
        <v>5a</v>
      </c>
      <c r="F2491" s="8">
        <v>1.0</v>
      </c>
      <c r="G2491" s="8">
        <v>1.0</v>
      </c>
      <c r="H2491" s="8">
        <v>1.0</v>
      </c>
      <c r="I2491" s="8">
        <v>1.0</v>
      </c>
      <c r="J2491" s="8">
        <v>1.0</v>
      </c>
      <c r="K2491" s="8">
        <v>1.0</v>
      </c>
      <c r="L2491" s="8">
        <v>6.0</v>
      </c>
      <c r="M2491" s="8"/>
      <c r="N2491" s="8"/>
      <c r="O2491" s="8" t="s">
        <v>807</v>
      </c>
      <c r="P2491" s="8">
        <v>6.0</v>
      </c>
    </row>
    <row r="2492">
      <c r="A2492">
        <f>IFERROR(__xludf.DUMMYFUNCTION("""COMPUTED_VALUE"""),8.0)</f>
        <v>8</v>
      </c>
      <c r="B2492">
        <f>IFERROR(__xludf.DUMMYFUNCTION("""COMPUTED_VALUE"""),29122.0)</f>
        <v>29122</v>
      </c>
      <c r="C2492" t="str">
        <f>IFERROR(__xludf.DUMMYFUNCTION("""COMPUTED_VALUE"""),"URIBE RODRIGUEZ, MARIA LUISA")</f>
        <v>URIBE RODRIGUEZ, MARIA LUISA</v>
      </c>
      <c r="D2492" t="str">
        <f>IFERROR(__xludf.DUMMYFUNCTION("""COMPUTED_VALUE"""),"PE 8")</f>
        <v>PE 8</v>
      </c>
      <c r="E2492" s="31" t="str">
        <f>IFERROR(__xludf.DUMMYFUNCTION("""COMPUTED_VALUE"""),"5b")</f>
        <v>5b</v>
      </c>
      <c r="F2492" s="8">
        <v>1.0</v>
      </c>
      <c r="G2492" s="8">
        <v>1.0</v>
      </c>
      <c r="H2492" s="8">
        <v>1.0</v>
      </c>
      <c r="I2492" s="8">
        <v>1.0</v>
      </c>
      <c r="J2492" s="8">
        <v>1.0</v>
      </c>
      <c r="K2492" s="8">
        <v>1.0</v>
      </c>
      <c r="L2492" s="8">
        <v>6.0</v>
      </c>
      <c r="M2492" s="8"/>
      <c r="N2492" s="8"/>
      <c r="O2492" s="8" t="s">
        <v>804</v>
      </c>
      <c r="P2492" s="8">
        <v>6.0</v>
      </c>
    </row>
    <row r="2493">
      <c r="A2493">
        <f>IFERROR(__xludf.DUMMYFUNCTION("""COMPUTED_VALUE"""),8.0)</f>
        <v>8</v>
      </c>
      <c r="B2493">
        <f>IFERROR(__xludf.DUMMYFUNCTION("""COMPUTED_VALUE"""),29123.0)</f>
        <v>29123</v>
      </c>
      <c r="C2493" t="str">
        <f>IFERROR(__xludf.DUMMYFUNCTION("""COMPUTED_VALUE"""),"URRETA HENAO, OLIVIA")</f>
        <v>URRETA HENAO, OLIVIA</v>
      </c>
      <c r="D2493" t="str">
        <f>IFERROR(__xludf.DUMMYFUNCTION("""COMPUTED_VALUE"""),"PE 8")</f>
        <v>PE 8</v>
      </c>
      <c r="E2493" s="31" t="str">
        <f>IFERROR(__xludf.DUMMYFUNCTION("""COMPUTED_VALUE"""),"1a")</f>
        <v>1a</v>
      </c>
      <c r="F2493" s="8">
        <v>1.0</v>
      </c>
      <c r="G2493" s="8">
        <v>1.0</v>
      </c>
      <c r="H2493" s="8">
        <v>1.0</v>
      </c>
      <c r="I2493" s="8">
        <v>1.0</v>
      </c>
      <c r="J2493" s="8">
        <v>1.0</v>
      </c>
      <c r="K2493" s="8">
        <v>1.0</v>
      </c>
      <c r="L2493" s="8">
        <v>6.0</v>
      </c>
      <c r="M2493" s="8"/>
      <c r="N2493" s="8"/>
      <c r="O2493" s="8" t="s">
        <v>803</v>
      </c>
      <c r="P2493" s="8">
        <v>6.0</v>
      </c>
    </row>
    <row r="2494">
      <c r="A2494">
        <f>IFERROR(__xludf.DUMMYFUNCTION("""COMPUTED_VALUE"""),8.0)</f>
        <v>8</v>
      </c>
      <c r="B2494">
        <f>IFERROR(__xludf.DUMMYFUNCTION("""COMPUTED_VALUE"""),29124.0)</f>
        <v>29124</v>
      </c>
      <c r="C2494" t="str">
        <f>IFERROR(__xludf.DUMMYFUNCTION("""COMPUTED_VALUE"""),"VALLEJO HOYOS, JUAN")</f>
        <v>VALLEJO HOYOS, JUAN</v>
      </c>
      <c r="D2494" t="str">
        <f>IFERROR(__xludf.DUMMYFUNCTION("""COMPUTED_VALUE"""),"PE 8")</f>
        <v>PE 8</v>
      </c>
      <c r="E2494" s="31" t="str">
        <f>IFERROR(__xludf.DUMMYFUNCTION("""COMPUTED_VALUE"""),"4a")</f>
        <v>4a</v>
      </c>
      <c r="F2494" s="8">
        <v>1.0</v>
      </c>
      <c r="G2494" s="8">
        <v>1.0</v>
      </c>
      <c r="H2494" s="8">
        <v>1.0</v>
      </c>
      <c r="I2494" s="8">
        <v>1.0</v>
      </c>
      <c r="J2494" s="8">
        <v>1.0</v>
      </c>
      <c r="K2494" s="8">
        <v>1.0</v>
      </c>
      <c r="L2494" s="8">
        <v>6.0</v>
      </c>
      <c r="M2494" s="8"/>
      <c r="N2494" s="8"/>
      <c r="O2494" s="8" t="s">
        <v>802</v>
      </c>
      <c r="P2494" s="8">
        <v>6.0</v>
      </c>
    </row>
    <row r="2495">
      <c r="A2495">
        <f>IFERROR(__xludf.DUMMYFUNCTION("""COMPUTED_VALUE"""),8.0)</f>
        <v>8</v>
      </c>
      <c r="B2495">
        <f>IFERROR(__xludf.DUMMYFUNCTION("""COMPUTED_VALUE"""),29125.0)</f>
        <v>29125</v>
      </c>
      <c r="C2495" t="str">
        <f>IFERROR(__xludf.DUMMYFUNCTION("""COMPUTED_VALUE"""),"VALLEJO LONDOÑO, TOMAS")</f>
        <v>VALLEJO LONDOÑO, TOMAS</v>
      </c>
      <c r="D2495" t="str">
        <f>IFERROR(__xludf.DUMMYFUNCTION("""COMPUTED_VALUE"""),"PE 8")</f>
        <v>PE 8</v>
      </c>
      <c r="E2495" s="31" t="str">
        <f>IFERROR(__xludf.DUMMYFUNCTION("""COMPUTED_VALUE"""),"2b")</f>
        <v>2b</v>
      </c>
      <c r="F2495" s="8">
        <v>1.0</v>
      </c>
      <c r="G2495" s="8">
        <v>1.0</v>
      </c>
      <c r="H2495" s="8">
        <v>1.0</v>
      </c>
      <c r="I2495" s="8">
        <v>1.0</v>
      </c>
      <c r="J2495" s="8">
        <v>1.0</v>
      </c>
      <c r="K2495" s="8">
        <v>1.0</v>
      </c>
      <c r="L2495" s="8">
        <v>6.0</v>
      </c>
      <c r="M2495" s="8"/>
      <c r="N2495" s="8"/>
      <c r="O2495" s="8" t="s">
        <v>806</v>
      </c>
      <c r="P2495" s="8">
        <v>6.0</v>
      </c>
    </row>
    <row r="2496">
      <c r="A2496">
        <f>IFERROR(__xludf.DUMMYFUNCTION("""COMPUTED_VALUE"""),8.0)</f>
        <v>8</v>
      </c>
      <c r="B2496">
        <f>IFERROR(__xludf.DUMMYFUNCTION("""COMPUTED_VALUE"""),29126.0)</f>
        <v>29126</v>
      </c>
      <c r="C2496" t="str">
        <f>IFERROR(__xludf.DUMMYFUNCTION("""COMPUTED_VALUE"""),"VASQUEZ ANGEL, JUANITA")</f>
        <v>VASQUEZ ANGEL, JUANITA</v>
      </c>
      <c r="D2496" t="str">
        <f>IFERROR(__xludf.DUMMYFUNCTION("""COMPUTED_VALUE"""),"PE 8")</f>
        <v>PE 8</v>
      </c>
      <c r="E2496" s="31" t="str">
        <f>IFERROR(__xludf.DUMMYFUNCTION("""COMPUTED_VALUE"""),"5b")</f>
        <v>5b</v>
      </c>
      <c r="F2496" s="8">
        <v>1.0</v>
      </c>
      <c r="G2496" s="8">
        <v>1.0</v>
      </c>
      <c r="H2496" s="8">
        <v>1.0</v>
      </c>
      <c r="I2496" s="8">
        <v>1.0</v>
      </c>
      <c r="J2496" s="8">
        <v>1.0</v>
      </c>
      <c r="K2496" s="8">
        <v>1.0</v>
      </c>
      <c r="L2496" s="8">
        <v>6.0</v>
      </c>
      <c r="M2496" s="8"/>
      <c r="N2496" s="8"/>
      <c r="O2496" s="8" t="s">
        <v>804</v>
      </c>
      <c r="P2496" s="8">
        <v>6.0</v>
      </c>
    </row>
    <row r="2497">
      <c r="A2497">
        <f>IFERROR(__xludf.DUMMYFUNCTION("""COMPUTED_VALUE"""),8.0)</f>
        <v>8</v>
      </c>
      <c r="B2497">
        <f>IFERROR(__xludf.DUMMYFUNCTION("""COMPUTED_VALUE"""),29145.0)</f>
        <v>29145</v>
      </c>
      <c r="C2497" t="str">
        <f>IFERROR(__xludf.DUMMYFUNCTION("""COMPUTED_VALUE"""),"VELASQUEZ GUTIERREZ, SAMUEL")</f>
        <v>VELASQUEZ GUTIERREZ, SAMUEL</v>
      </c>
      <c r="D2497" t="str">
        <f>IFERROR(__xludf.DUMMYFUNCTION("""COMPUTED_VALUE"""),"PE 8")</f>
        <v>PE 8</v>
      </c>
      <c r="E2497" s="31" t="str">
        <f>IFERROR(__xludf.DUMMYFUNCTION("""COMPUTED_VALUE"""),"5a")</f>
        <v>5a</v>
      </c>
      <c r="F2497" s="8">
        <v>1.0</v>
      </c>
      <c r="G2497" s="8">
        <v>1.0</v>
      </c>
      <c r="H2497" s="8">
        <v>1.0</v>
      </c>
      <c r="I2497" s="8">
        <v>1.0</v>
      </c>
      <c r="J2497" s="8">
        <v>1.0</v>
      </c>
      <c r="K2497" s="8">
        <v>1.0</v>
      </c>
      <c r="L2497" s="8">
        <v>6.0</v>
      </c>
      <c r="M2497" s="8"/>
      <c r="N2497" s="8"/>
      <c r="O2497" s="8" t="s">
        <v>807</v>
      </c>
      <c r="P2497" s="8">
        <v>6.0</v>
      </c>
    </row>
    <row r="2498">
      <c r="A2498">
        <f>IFERROR(__xludf.DUMMYFUNCTION("""COMPUTED_VALUE"""),8.0)</f>
        <v>8</v>
      </c>
      <c r="B2498">
        <f>IFERROR(__xludf.DUMMYFUNCTION("""COMPUTED_VALUE"""),29128.0)</f>
        <v>29128</v>
      </c>
      <c r="C2498" t="str">
        <f>IFERROR(__xludf.DUMMYFUNCTION("""COMPUTED_VALUE"""),"VELASQUEZ JARAMILLO, MARIA")</f>
        <v>VELASQUEZ JARAMILLO, MARIA</v>
      </c>
      <c r="D2498" t="str">
        <f>IFERROR(__xludf.DUMMYFUNCTION("""COMPUTED_VALUE"""),"PE 8")</f>
        <v>PE 8</v>
      </c>
      <c r="E2498" s="31" t="str">
        <f>IFERROR(__xludf.DUMMYFUNCTION("""COMPUTED_VALUE"""),"5a")</f>
        <v>5a</v>
      </c>
      <c r="F2498" s="8">
        <v>1.0</v>
      </c>
      <c r="G2498" s="8">
        <v>1.0</v>
      </c>
      <c r="H2498" s="8">
        <v>1.0</v>
      </c>
      <c r="I2498" s="8">
        <v>1.0</v>
      </c>
      <c r="J2498" s="8">
        <v>1.0</v>
      </c>
      <c r="K2498" s="8">
        <v>1.0</v>
      </c>
      <c r="L2498" s="8">
        <v>6.0</v>
      </c>
      <c r="M2498" s="8"/>
      <c r="N2498" s="8"/>
      <c r="O2498" s="8" t="s">
        <v>807</v>
      </c>
      <c r="P2498" s="8">
        <v>6.0</v>
      </c>
    </row>
    <row r="2499">
      <c r="A2499">
        <f>IFERROR(__xludf.DUMMYFUNCTION("""COMPUTED_VALUE"""),8.0)</f>
        <v>8</v>
      </c>
      <c r="B2499">
        <f>IFERROR(__xludf.DUMMYFUNCTION("""COMPUTED_VALUE"""),29129.0)</f>
        <v>29129</v>
      </c>
      <c r="C2499" t="str">
        <f>IFERROR(__xludf.DUMMYFUNCTION("""COMPUTED_VALUE"""),"VELEZ RESTREPO, SIMON")</f>
        <v>VELEZ RESTREPO, SIMON</v>
      </c>
      <c r="D2499" t="str">
        <f>IFERROR(__xludf.DUMMYFUNCTION("""COMPUTED_VALUE"""),"PE 8")</f>
        <v>PE 8</v>
      </c>
      <c r="E2499" s="31" t="str">
        <f>IFERROR(__xludf.DUMMYFUNCTION("""COMPUTED_VALUE"""),"5b")</f>
        <v>5b</v>
      </c>
      <c r="F2499" s="8">
        <v>1.0</v>
      </c>
      <c r="G2499" s="8">
        <v>1.0</v>
      </c>
      <c r="H2499" s="8">
        <v>1.0</v>
      </c>
      <c r="I2499" s="8">
        <v>1.0</v>
      </c>
      <c r="J2499" s="8">
        <v>1.0</v>
      </c>
      <c r="K2499" s="8">
        <v>1.0</v>
      </c>
      <c r="L2499" s="8">
        <v>6.0</v>
      </c>
      <c r="M2499" s="8"/>
      <c r="N2499" s="8"/>
      <c r="O2499" s="8" t="s">
        <v>804</v>
      </c>
      <c r="P2499" s="8">
        <v>6.0</v>
      </c>
    </row>
    <row r="2500">
      <c r="A2500">
        <f>IFERROR(__xludf.DUMMYFUNCTION("""COMPUTED_VALUE"""),8.0)</f>
        <v>8</v>
      </c>
      <c r="B2500">
        <f>IFERROR(__xludf.DUMMYFUNCTION("""COMPUTED_VALUE"""),29131.0)</f>
        <v>29131</v>
      </c>
      <c r="C2500" t="str">
        <f>IFERROR(__xludf.DUMMYFUNCTION("""COMPUTED_VALUE"""),"VILLEGAS HINCAPIE, CANDELARIA")</f>
        <v>VILLEGAS HINCAPIE, CANDELARIA</v>
      </c>
      <c r="D2500" t="str">
        <f>IFERROR(__xludf.DUMMYFUNCTION("""COMPUTED_VALUE"""),"PE 8")</f>
        <v>PE 8</v>
      </c>
      <c r="E2500" s="31" t="str">
        <f>IFERROR(__xludf.DUMMYFUNCTION("""COMPUTED_VALUE"""),"4a")</f>
        <v>4a</v>
      </c>
      <c r="F2500" s="8">
        <v>1.0</v>
      </c>
      <c r="G2500" s="8">
        <v>1.0</v>
      </c>
      <c r="H2500" s="8">
        <v>1.0</v>
      </c>
      <c r="I2500" s="8">
        <v>1.0</v>
      </c>
      <c r="J2500" s="8">
        <v>1.0</v>
      </c>
      <c r="K2500" s="8">
        <v>1.0</v>
      </c>
      <c r="L2500" s="8">
        <v>6.0</v>
      </c>
      <c r="M2500" s="8"/>
      <c r="N2500" s="8"/>
      <c r="O2500" s="8" t="s">
        <v>802</v>
      </c>
      <c r="P2500" s="8">
        <v>6.0</v>
      </c>
    </row>
    <row r="2501">
      <c r="A2501">
        <f>IFERROR(__xludf.DUMMYFUNCTION("""COMPUTED_VALUE"""),8.0)</f>
        <v>8</v>
      </c>
      <c r="B2501">
        <f>IFERROR(__xludf.DUMMYFUNCTION("""COMPUTED_VALUE"""),29132.0)</f>
        <v>29132</v>
      </c>
      <c r="C2501" t="str">
        <f>IFERROR(__xludf.DUMMYFUNCTION("""COMPUTED_VALUE"""),"VILLEGAS MEJIA, SIMON")</f>
        <v>VILLEGAS MEJIA, SIMON</v>
      </c>
      <c r="D2501" t="str">
        <f>IFERROR(__xludf.DUMMYFUNCTION("""COMPUTED_VALUE"""),"PE 8")</f>
        <v>PE 8</v>
      </c>
      <c r="E2501" s="31" t="str">
        <f>IFERROR(__xludf.DUMMYFUNCTION("""COMPUTED_VALUE"""),"1a")</f>
        <v>1a</v>
      </c>
      <c r="F2501" s="8">
        <v>1.0</v>
      </c>
      <c r="G2501" s="8">
        <v>1.0</v>
      </c>
      <c r="H2501" s="8">
        <v>1.0</v>
      </c>
      <c r="I2501" s="8">
        <v>1.0</v>
      </c>
      <c r="J2501" s="8">
        <v>1.0</v>
      </c>
      <c r="K2501" s="8">
        <v>1.0</v>
      </c>
      <c r="L2501" s="8">
        <v>6.0</v>
      </c>
      <c r="M2501" s="8"/>
      <c r="N2501" s="8"/>
      <c r="O2501" s="8" t="s">
        <v>803</v>
      </c>
      <c r="P2501" s="8">
        <v>6.0</v>
      </c>
    </row>
    <row r="2502">
      <c r="A2502">
        <f>IFERROR(__xludf.DUMMYFUNCTION("""COMPUTED_VALUE"""),8.0)</f>
        <v>8</v>
      </c>
      <c r="B2502">
        <f>IFERROR(__xludf.DUMMYFUNCTION("""COMPUTED_VALUE"""),29133.0)</f>
        <v>29133</v>
      </c>
      <c r="C2502" t="str">
        <f>IFERROR(__xludf.DUMMYFUNCTION("""COMPUTED_VALUE"""),"ZAPATA URIBE, RAFAEL")</f>
        <v>ZAPATA URIBE, RAFAEL</v>
      </c>
      <c r="D2502" t="str">
        <f>IFERROR(__xludf.DUMMYFUNCTION("""COMPUTED_VALUE"""),"PE 8")</f>
        <v>PE 8</v>
      </c>
      <c r="E2502" s="31" t="str">
        <f>IFERROR(__xludf.DUMMYFUNCTION("""COMPUTED_VALUE"""),"6a")</f>
        <v>6a</v>
      </c>
      <c r="F2502" s="8">
        <v>1.0</v>
      </c>
      <c r="G2502" s="8">
        <v>1.0</v>
      </c>
      <c r="H2502" s="8">
        <v>1.0</v>
      </c>
      <c r="I2502" s="8">
        <v>1.0</v>
      </c>
      <c r="J2502" s="8">
        <v>1.0</v>
      </c>
      <c r="K2502" s="8">
        <v>1.0</v>
      </c>
      <c r="L2502" s="8">
        <v>6.0</v>
      </c>
      <c r="M2502" s="8"/>
      <c r="N2502" s="8"/>
      <c r="O2502" s="8" t="s">
        <v>805</v>
      </c>
      <c r="P2502" s="8">
        <v>6.0</v>
      </c>
    </row>
    <row r="2503">
      <c r="A2503">
        <f>IFERROR(__xludf.DUMMYFUNCTION("""COMPUTED_VALUE"""),8.0)</f>
        <v>8</v>
      </c>
      <c r="B2503">
        <f>IFERROR(__xludf.DUMMYFUNCTION("""COMPUTED_VALUE"""),27128.0)</f>
        <v>27128</v>
      </c>
      <c r="C2503" t="str">
        <f>IFERROR(__xludf.DUMMYFUNCTION("""COMPUTED_VALUE"""),"ZULUAGA CHAVEZ, ISAIAS")</f>
        <v>ZULUAGA CHAVEZ, ISAIAS</v>
      </c>
      <c r="D2503" t="str">
        <f>IFERROR(__xludf.DUMMYFUNCTION("""COMPUTED_VALUE"""),"PE 8")</f>
        <v>PE 8</v>
      </c>
      <c r="E2503" s="31" t="str">
        <f>IFERROR(__xludf.DUMMYFUNCTION("""COMPUTED_VALUE"""),"5a")</f>
        <v>5a</v>
      </c>
      <c r="F2503" s="8">
        <v>1.0</v>
      </c>
      <c r="G2503" s="8">
        <v>1.0</v>
      </c>
      <c r="H2503" s="8">
        <v>1.0</v>
      </c>
      <c r="I2503" s="8">
        <v>1.0</v>
      </c>
      <c r="J2503" s="8">
        <v>1.0</v>
      </c>
      <c r="K2503" s="8">
        <v>1.0</v>
      </c>
      <c r="L2503" s="8">
        <v>6.0</v>
      </c>
      <c r="M2503" s="8"/>
      <c r="N2503" s="8"/>
      <c r="O2503" s="8" t="s">
        <v>807</v>
      </c>
      <c r="P2503" s="8">
        <v>6.0</v>
      </c>
    </row>
    <row r="2504">
      <c r="A2504">
        <f>IFERROR(__xludf.DUMMYFUNCTION("""COMPUTED_VALUE"""),6.0)</f>
        <v>6</v>
      </c>
      <c r="B2504">
        <f>IFERROR(__xludf.DUMMYFUNCTION("""COMPUTED_VALUE"""),31002.0)</f>
        <v>31002</v>
      </c>
      <c r="C2504" t="str">
        <f>IFERROR(__xludf.DUMMYFUNCTION("""COMPUTED_VALUE"""),"ACEVEDO ARANGO, VICENTE")</f>
        <v>ACEVEDO ARANGO, VICENTE</v>
      </c>
      <c r="D2504" t="str">
        <f>IFERROR(__xludf.DUMMYFUNCTION("""COMPUTED_VALUE"""),"Art 6S1")</f>
        <v>Art 6S1</v>
      </c>
      <c r="E2504" s="31" t="str">
        <f>IFERROR(__xludf.DUMMYFUNCTION("""COMPUTED_VALUE"""),"4a")</f>
        <v>4a</v>
      </c>
      <c r="F2504" s="8">
        <v>1.0</v>
      </c>
      <c r="G2504" s="8">
        <v>1.0</v>
      </c>
      <c r="H2504" s="8">
        <v>1.0</v>
      </c>
      <c r="I2504" s="8">
        <v>1.0</v>
      </c>
      <c r="J2504" s="8">
        <v>1.0</v>
      </c>
      <c r="K2504" s="8">
        <v>1.0</v>
      </c>
      <c r="L2504" s="8">
        <v>6.0</v>
      </c>
      <c r="M2504" s="8"/>
      <c r="N2504" s="8"/>
      <c r="O2504" s="8" t="s">
        <v>808</v>
      </c>
      <c r="P2504" s="8" t="e">
        <v>#N/A</v>
      </c>
    </row>
    <row r="2505">
      <c r="A2505">
        <f>IFERROR(__xludf.DUMMYFUNCTION("""COMPUTED_VALUE"""),6.0)</f>
        <v>6</v>
      </c>
      <c r="B2505">
        <f>IFERROR(__xludf.DUMMYFUNCTION("""COMPUTED_VALUE"""),31003.0)</f>
        <v>31003</v>
      </c>
      <c r="C2505" t="str">
        <f>IFERROR(__xludf.DUMMYFUNCTION("""COMPUTED_VALUE"""),"AGUIRRE ARANGO, MARIA")</f>
        <v>AGUIRRE ARANGO, MARIA</v>
      </c>
      <c r="D2505" t="str">
        <f>IFERROR(__xludf.DUMMYFUNCTION("""COMPUTED_VALUE"""),"Symphony BandS1")</f>
        <v>Symphony BandS1</v>
      </c>
      <c r="E2505" s="31" t="str">
        <f>IFERROR(__xludf.DUMMYFUNCTION("""COMPUTED_VALUE"""),"5a")</f>
        <v>5a</v>
      </c>
      <c r="F2505" s="8">
        <v>1.0</v>
      </c>
      <c r="G2505" s="8">
        <v>1.0</v>
      </c>
      <c r="H2505" s="8">
        <v>1.0</v>
      </c>
      <c r="I2505" s="8">
        <v>1.0</v>
      </c>
      <c r="J2505" s="8">
        <v>1.0</v>
      </c>
      <c r="K2505" s="8">
        <v>1.0</v>
      </c>
      <c r="L2505" s="8">
        <v>6.0</v>
      </c>
      <c r="M2505" s="8"/>
      <c r="N2505" s="8"/>
      <c r="O2505" s="8" t="s">
        <v>809</v>
      </c>
      <c r="P2505" s="8" t="e">
        <v>#N/A</v>
      </c>
    </row>
    <row r="2506">
      <c r="A2506">
        <f>IFERROR(__xludf.DUMMYFUNCTION("""COMPUTED_VALUE"""),6.0)</f>
        <v>6</v>
      </c>
      <c r="B2506">
        <f>IFERROR(__xludf.DUMMYFUNCTION("""COMPUTED_VALUE"""),31004.0)</f>
        <v>31004</v>
      </c>
      <c r="C2506" t="str">
        <f>IFERROR(__xludf.DUMMYFUNCTION("""COMPUTED_VALUE"""),"ALVAREZ RIVERA, SALVADOR")</f>
        <v>ALVAREZ RIVERA, SALVADOR</v>
      </c>
      <c r="D2506" t="str">
        <f>IFERROR(__xludf.DUMMYFUNCTION("""COMPUTED_VALUE"""),"Regular BandS1")</f>
        <v>Regular BandS1</v>
      </c>
      <c r="E2506" s="31" t="str">
        <f>IFERROR(__xludf.DUMMYFUNCTION("""COMPUTED_VALUE"""),"6a")</f>
        <v>6a</v>
      </c>
      <c r="F2506" s="8">
        <v>1.0</v>
      </c>
      <c r="G2506" s="8">
        <v>1.0</v>
      </c>
      <c r="H2506" s="8">
        <v>1.0</v>
      </c>
      <c r="I2506" s="8">
        <v>1.0</v>
      </c>
      <c r="J2506" s="8">
        <v>1.0</v>
      </c>
      <c r="K2506" s="8">
        <v>1.0</v>
      </c>
      <c r="L2506" s="8">
        <v>6.0</v>
      </c>
      <c r="M2506" s="8"/>
      <c r="N2506" s="8"/>
      <c r="O2506" s="8" t="s">
        <v>810</v>
      </c>
      <c r="P2506" s="8" t="e">
        <v>#N/A</v>
      </c>
    </row>
    <row r="2507">
      <c r="A2507">
        <f>IFERROR(__xludf.DUMMYFUNCTION("""COMPUTED_VALUE"""),6.0)</f>
        <v>6</v>
      </c>
      <c r="B2507">
        <f>IFERROR(__xludf.DUMMYFUNCTION("""COMPUTED_VALUE"""),31005.0)</f>
        <v>31005</v>
      </c>
      <c r="C2507" t="str">
        <f>IFERROR(__xludf.DUMMYFUNCTION("""COMPUTED_VALUE"""),"ARANGO VILLA, MATIAS")</f>
        <v>ARANGO VILLA, MATIAS</v>
      </c>
      <c r="D2507" t="str">
        <f>IFERROR(__xludf.DUMMYFUNCTION("""COMPUTED_VALUE"""),"Tech 6S1")</f>
        <v>Tech 6S1</v>
      </c>
      <c r="E2507" s="31" t="str">
        <f>IFERROR(__xludf.DUMMYFUNCTION("""COMPUTED_VALUE"""),"1b")</f>
        <v>1b</v>
      </c>
      <c r="F2507" s="8">
        <v>1.0</v>
      </c>
      <c r="G2507" s="8">
        <v>1.0</v>
      </c>
      <c r="H2507" s="8">
        <v>1.0</v>
      </c>
      <c r="I2507" s="8">
        <v>1.0</v>
      </c>
      <c r="J2507" s="8">
        <v>1.0</v>
      </c>
      <c r="K2507" s="8">
        <v>1.0</v>
      </c>
      <c r="L2507" s="8">
        <v>6.0</v>
      </c>
      <c r="M2507" s="8"/>
      <c r="N2507" s="8"/>
      <c r="O2507" s="8" t="s">
        <v>811</v>
      </c>
      <c r="P2507" s="8" t="e">
        <v>#N/A</v>
      </c>
    </row>
    <row r="2508">
      <c r="A2508">
        <f>IFERROR(__xludf.DUMMYFUNCTION("""COMPUTED_VALUE"""),6.0)</f>
        <v>6</v>
      </c>
      <c r="B2508">
        <f>IFERROR(__xludf.DUMMYFUNCTION("""COMPUTED_VALUE"""),31151.0)</f>
        <v>31151</v>
      </c>
      <c r="C2508" t="str">
        <f>IFERROR(__xludf.DUMMYFUNCTION("""COMPUTED_VALUE"""),"AREVALO RODRIGUEZ, MANUELA")</f>
        <v>AREVALO RODRIGUEZ, MANUELA</v>
      </c>
      <c r="D2508" t="str">
        <f>IFERROR(__xludf.DUMMYFUNCTION("""COMPUTED_VALUE"""),"Symphony BandS1")</f>
        <v>Symphony BandS1</v>
      </c>
      <c r="E2508" s="31" t="str">
        <f>IFERROR(__xludf.DUMMYFUNCTION("""COMPUTED_VALUE"""),"5a")</f>
        <v>5a</v>
      </c>
      <c r="F2508" s="8">
        <v>1.0</v>
      </c>
      <c r="G2508" s="8">
        <v>1.0</v>
      </c>
      <c r="H2508" s="8">
        <v>1.0</v>
      </c>
      <c r="I2508" s="8">
        <v>1.0</v>
      </c>
      <c r="J2508" s="8">
        <v>1.0</v>
      </c>
      <c r="K2508" s="8">
        <v>1.0</v>
      </c>
      <c r="L2508" s="8">
        <v>6.0</v>
      </c>
      <c r="M2508" s="8"/>
      <c r="N2508" s="8"/>
      <c r="O2508" s="8" t="s">
        <v>809</v>
      </c>
      <c r="P2508" s="8" t="e">
        <v>#N/A</v>
      </c>
    </row>
    <row r="2509">
      <c r="A2509">
        <f>IFERROR(__xludf.DUMMYFUNCTION("""COMPUTED_VALUE"""),6.0)</f>
        <v>6</v>
      </c>
      <c r="B2509">
        <f>IFERROR(__xludf.DUMMYFUNCTION("""COMPUTED_VALUE"""),31006.0)</f>
        <v>31006</v>
      </c>
      <c r="C2509" t="str">
        <f>IFERROR(__xludf.DUMMYFUNCTION("""COMPUTED_VALUE"""),"ARIAS GARCIA, SALOMON")</f>
        <v>ARIAS GARCIA, SALOMON</v>
      </c>
      <c r="D2509" t="str">
        <f>IFERROR(__xludf.DUMMYFUNCTION("""COMPUTED_VALUE"""),"Regular BandS1")</f>
        <v>Regular BandS1</v>
      </c>
      <c r="E2509" s="31" t="str">
        <f>IFERROR(__xludf.DUMMYFUNCTION("""COMPUTED_VALUE"""),"6a")</f>
        <v>6a</v>
      </c>
      <c r="F2509" s="8">
        <v>1.0</v>
      </c>
      <c r="G2509" s="8">
        <v>1.0</v>
      </c>
      <c r="H2509" s="8">
        <v>1.0</v>
      </c>
      <c r="I2509" s="8">
        <v>1.0</v>
      </c>
      <c r="J2509" s="8">
        <v>1.0</v>
      </c>
      <c r="K2509" s="8">
        <v>1.0</v>
      </c>
      <c r="L2509" s="8">
        <v>6.0</v>
      </c>
      <c r="M2509" s="8"/>
      <c r="N2509" s="8"/>
      <c r="O2509" s="8" t="s">
        <v>810</v>
      </c>
      <c r="P2509" s="8" t="e">
        <v>#N/A</v>
      </c>
    </row>
    <row r="2510">
      <c r="A2510">
        <f>IFERROR(__xludf.DUMMYFUNCTION("""COMPUTED_VALUE"""),6.0)</f>
        <v>6</v>
      </c>
      <c r="B2510">
        <f>IFERROR(__xludf.DUMMYFUNCTION("""COMPUTED_VALUE"""),31007.0)</f>
        <v>31007</v>
      </c>
      <c r="C2510" t="str">
        <f>IFERROR(__xludf.DUMMYFUNCTION("""COMPUTED_VALUE"""),"ARISTIZABAL SOTO, EMILIO")</f>
        <v>ARISTIZABAL SOTO, EMILIO</v>
      </c>
      <c r="D2510" t="str">
        <f>IFERROR(__xludf.DUMMYFUNCTION("""COMPUTED_VALUE"""),"Regular BandS1")</f>
        <v>Regular BandS1</v>
      </c>
      <c r="E2510" s="31" t="str">
        <f>IFERROR(__xludf.DUMMYFUNCTION("""COMPUTED_VALUE"""),"6a")</f>
        <v>6a</v>
      </c>
      <c r="F2510" s="8">
        <v>1.0</v>
      </c>
      <c r="G2510" s="8">
        <v>1.0</v>
      </c>
      <c r="H2510" s="8">
        <v>1.0</v>
      </c>
      <c r="I2510" s="8">
        <v>1.0</v>
      </c>
      <c r="J2510" s="8">
        <v>1.0</v>
      </c>
      <c r="K2510" s="8">
        <v>1.0</v>
      </c>
      <c r="L2510" s="8">
        <v>6.0</v>
      </c>
      <c r="M2510" s="8"/>
      <c r="N2510" s="8"/>
      <c r="O2510" s="8" t="s">
        <v>810</v>
      </c>
      <c r="P2510" s="8" t="e">
        <v>#N/A</v>
      </c>
    </row>
    <row r="2511">
      <c r="A2511">
        <f>IFERROR(__xludf.DUMMYFUNCTION("""COMPUTED_VALUE"""),6.0)</f>
        <v>6</v>
      </c>
      <c r="B2511">
        <f>IFERROR(__xludf.DUMMYFUNCTION("""COMPUTED_VALUE"""),31008.0)</f>
        <v>31008</v>
      </c>
      <c r="C2511" t="str">
        <f>IFERROR(__xludf.DUMMYFUNCTION("""COMPUTED_VALUE"""),"ARROYAVE LONDOÑO, MIGUEL")</f>
        <v>ARROYAVE LONDOÑO, MIGUEL</v>
      </c>
      <c r="D2511" t="str">
        <f>IFERROR(__xludf.DUMMYFUNCTION("""COMPUTED_VALUE"""),"Symphony BandS1")</f>
        <v>Symphony BandS1</v>
      </c>
      <c r="E2511" s="31" t="str">
        <f>IFERROR(__xludf.DUMMYFUNCTION("""COMPUTED_VALUE"""),"5a")</f>
        <v>5a</v>
      </c>
      <c r="F2511" s="8">
        <v>1.0</v>
      </c>
      <c r="G2511" s="8">
        <v>1.0</v>
      </c>
      <c r="H2511" s="8">
        <v>1.0</v>
      </c>
      <c r="I2511" s="8">
        <v>1.0</v>
      </c>
      <c r="J2511" s="8">
        <v>1.0</v>
      </c>
      <c r="K2511" s="8">
        <v>1.0</v>
      </c>
      <c r="L2511" s="8">
        <v>6.0</v>
      </c>
      <c r="M2511" s="8"/>
      <c r="N2511" s="8"/>
      <c r="O2511" s="8" t="s">
        <v>809</v>
      </c>
      <c r="P2511" s="8" t="e">
        <v>#N/A</v>
      </c>
    </row>
    <row r="2512">
      <c r="A2512">
        <f>IFERROR(__xludf.DUMMYFUNCTION("""COMPUTED_VALUE"""),6.0)</f>
        <v>6</v>
      </c>
      <c r="B2512">
        <f>IFERROR(__xludf.DUMMYFUNCTION("""COMPUTED_VALUE"""),31009.0)</f>
        <v>31009</v>
      </c>
      <c r="C2512" t="str">
        <f>IFERROR(__xludf.DUMMYFUNCTION("""COMPUTED_VALUE"""),"ARROYAVE SIERRA, RAFAEL")</f>
        <v>ARROYAVE SIERRA, RAFAEL</v>
      </c>
      <c r="D2512" t="str">
        <f>IFERROR(__xludf.DUMMYFUNCTION("""COMPUTED_VALUE"""),"Tech 6S1")</f>
        <v>Tech 6S1</v>
      </c>
      <c r="E2512" s="31" t="str">
        <f>IFERROR(__xludf.DUMMYFUNCTION("""COMPUTED_VALUE"""),"4a")</f>
        <v>4a</v>
      </c>
      <c r="F2512" s="8">
        <v>1.0</v>
      </c>
      <c r="G2512" s="8">
        <v>1.0</v>
      </c>
      <c r="H2512" s="8">
        <v>1.0</v>
      </c>
      <c r="I2512" s="8">
        <v>1.0</v>
      </c>
      <c r="J2512" s="8">
        <v>1.0</v>
      </c>
      <c r="K2512" s="8">
        <v>1.0</v>
      </c>
      <c r="L2512" s="8">
        <v>6.0</v>
      </c>
      <c r="M2512" s="8"/>
      <c r="N2512" s="8"/>
      <c r="O2512" s="8" t="s">
        <v>812</v>
      </c>
      <c r="P2512" s="8" t="e">
        <v>#N/A</v>
      </c>
    </row>
    <row r="2513">
      <c r="A2513">
        <f>IFERROR(__xludf.DUMMYFUNCTION("""COMPUTED_VALUE"""),6.0)</f>
        <v>6</v>
      </c>
      <c r="B2513">
        <f>IFERROR(__xludf.DUMMYFUNCTION("""COMPUTED_VALUE"""),31010.0)</f>
        <v>31010</v>
      </c>
      <c r="C2513" t="str">
        <f>IFERROR(__xludf.DUMMYFUNCTION("""COMPUTED_VALUE"""),"BARRERA CAMPIS, VALENTINA")</f>
        <v>BARRERA CAMPIS, VALENTINA</v>
      </c>
      <c r="D2513" t="str">
        <f>IFERROR(__xludf.DUMMYFUNCTION("""COMPUTED_VALUE"""),"Art 6S1")</f>
        <v>Art 6S1</v>
      </c>
      <c r="E2513" s="31" t="str">
        <f>IFERROR(__xludf.DUMMYFUNCTION("""COMPUTED_VALUE"""),"1b")</f>
        <v>1b</v>
      </c>
      <c r="F2513" s="8">
        <v>1.0</v>
      </c>
      <c r="G2513" s="8">
        <v>1.0</v>
      </c>
      <c r="H2513" s="8">
        <v>1.0</v>
      </c>
      <c r="I2513" s="8">
        <v>1.0</v>
      </c>
      <c r="J2513" s="8">
        <v>1.0</v>
      </c>
      <c r="K2513" s="8">
        <v>1.0</v>
      </c>
      <c r="L2513" s="8">
        <v>6.0</v>
      </c>
      <c r="M2513" s="8"/>
      <c r="N2513" s="8"/>
      <c r="O2513" s="8" t="s">
        <v>813</v>
      </c>
      <c r="P2513" s="8" t="e">
        <v>#N/A</v>
      </c>
    </row>
    <row r="2514">
      <c r="A2514">
        <f>IFERROR(__xludf.DUMMYFUNCTION("""COMPUTED_VALUE"""),6.0)</f>
        <v>6</v>
      </c>
      <c r="B2514">
        <f>IFERROR(__xludf.DUMMYFUNCTION("""COMPUTED_VALUE"""),31011.0)</f>
        <v>31011</v>
      </c>
      <c r="C2514" t="str">
        <f>IFERROR(__xludf.DUMMYFUNCTION("""COMPUTED_VALUE"""),"BARRERA TORO, LORENZO")</f>
        <v>BARRERA TORO, LORENZO</v>
      </c>
      <c r="D2514" t="str">
        <f>IFERROR(__xludf.DUMMYFUNCTION("""COMPUTED_VALUE"""),"Tech 6S1")</f>
        <v>Tech 6S1</v>
      </c>
      <c r="E2514" s="31" t="str">
        <f>IFERROR(__xludf.DUMMYFUNCTION("""COMPUTED_VALUE"""),"4a")</f>
        <v>4a</v>
      </c>
      <c r="F2514" s="8">
        <v>1.0</v>
      </c>
      <c r="G2514" s="8">
        <v>1.0</v>
      </c>
      <c r="H2514" s="8">
        <v>1.0</v>
      </c>
      <c r="I2514" s="8">
        <v>1.0</v>
      </c>
      <c r="J2514" s="8">
        <v>1.0</v>
      </c>
      <c r="K2514" s="8">
        <v>1.0</v>
      </c>
      <c r="L2514" s="8">
        <v>6.0</v>
      </c>
      <c r="M2514" s="8"/>
      <c r="N2514" s="8"/>
      <c r="O2514" s="8" t="s">
        <v>812</v>
      </c>
      <c r="P2514" s="8" t="e">
        <v>#N/A</v>
      </c>
    </row>
    <row r="2515">
      <c r="A2515">
        <f>IFERROR(__xludf.DUMMYFUNCTION("""COMPUTED_VALUE"""),6.0)</f>
        <v>6</v>
      </c>
      <c r="B2515">
        <f>IFERROR(__xludf.DUMMYFUNCTION("""COMPUTED_VALUE"""),31012.0)</f>
        <v>31012</v>
      </c>
      <c r="C2515" t="str">
        <f>IFERROR(__xludf.DUMMYFUNCTION("""COMPUTED_VALUE"""),"BARTOLINI VELEZ, LORENZO")</f>
        <v>BARTOLINI VELEZ, LORENZO</v>
      </c>
      <c r="D2515" t="str">
        <f>IFERROR(__xludf.DUMMYFUNCTION("""COMPUTED_VALUE"""),"Art 6S1")</f>
        <v>Art 6S1</v>
      </c>
      <c r="E2515" s="31" t="str">
        <f>IFERROR(__xludf.DUMMYFUNCTION("""COMPUTED_VALUE"""),"1b")</f>
        <v>1b</v>
      </c>
      <c r="F2515" s="8">
        <v>1.0</v>
      </c>
      <c r="G2515" s="8">
        <v>1.0</v>
      </c>
      <c r="H2515" s="8">
        <v>1.0</v>
      </c>
      <c r="I2515" s="8">
        <v>1.0</v>
      </c>
      <c r="J2515" s="8">
        <v>1.0</v>
      </c>
      <c r="K2515" s="8">
        <v>1.0</v>
      </c>
      <c r="L2515" s="8">
        <v>6.0</v>
      </c>
      <c r="M2515" s="8"/>
      <c r="N2515" s="8"/>
      <c r="O2515" s="8" t="s">
        <v>813</v>
      </c>
      <c r="P2515" s="8" t="e">
        <v>#N/A</v>
      </c>
    </row>
    <row r="2516">
      <c r="A2516">
        <f>IFERROR(__xludf.DUMMYFUNCTION("""COMPUTED_VALUE"""),6.0)</f>
        <v>6</v>
      </c>
      <c r="B2516">
        <f>IFERROR(__xludf.DUMMYFUNCTION("""COMPUTED_VALUE"""),31013.0)</f>
        <v>31013</v>
      </c>
      <c r="C2516" t="str">
        <f>IFERROR(__xludf.DUMMYFUNCTION("""COMPUTED_VALUE"""),"BASTIDAS MEJIA, JUAN JOSE")</f>
        <v>BASTIDAS MEJIA, JUAN JOSE</v>
      </c>
      <c r="D2516" t="str">
        <f>IFERROR(__xludf.DUMMYFUNCTION("""COMPUTED_VALUE"""),"Symphony BandS1")</f>
        <v>Symphony BandS1</v>
      </c>
      <c r="E2516" s="31" t="str">
        <f>IFERROR(__xludf.DUMMYFUNCTION("""COMPUTED_VALUE"""),"5a")</f>
        <v>5a</v>
      </c>
      <c r="F2516" s="8">
        <v>1.0</v>
      </c>
      <c r="G2516" s="8">
        <v>1.0</v>
      </c>
      <c r="H2516" s="8">
        <v>1.0</v>
      </c>
      <c r="I2516" s="8">
        <v>1.0</v>
      </c>
      <c r="J2516" s="8">
        <v>1.0</v>
      </c>
      <c r="K2516" s="8">
        <v>1.0</v>
      </c>
      <c r="L2516" s="8">
        <v>6.0</v>
      </c>
      <c r="M2516" s="8"/>
      <c r="N2516" s="8"/>
      <c r="O2516" s="8" t="s">
        <v>809</v>
      </c>
      <c r="P2516" s="8" t="e">
        <v>#N/A</v>
      </c>
    </row>
    <row r="2517">
      <c r="A2517">
        <f>IFERROR(__xludf.DUMMYFUNCTION("""COMPUTED_VALUE"""),6.0)</f>
        <v>6</v>
      </c>
      <c r="B2517">
        <f>IFERROR(__xludf.DUMMYFUNCTION("""COMPUTED_VALUE"""),31014.0)</f>
        <v>31014</v>
      </c>
      <c r="C2517" t="str">
        <f>IFERROR(__xludf.DUMMYFUNCTION("""COMPUTED_VALUE"""),"BETANCUR PENAGOS, AGUSTIN")</f>
        <v>BETANCUR PENAGOS, AGUSTIN</v>
      </c>
      <c r="D2517" t="str">
        <f>IFERROR(__xludf.DUMMYFUNCTION("""COMPUTED_VALUE"""),"Art 6S1")</f>
        <v>Art 6S1</v>
      </c>
      <c r="E2517" s="31" t="str">
        <f>IFERROR(__xludf.DUMMYFUNCTION("""COMPUTED_VALUE"""),"6b")</f>
        <v>6b</v>
      </c>
      <c r="F2517" s="8">
        <v>1.0</v>
      </c>
      <c r="G2517" s="8">
        <v>1.0</v>
      </c>
      <c r="H2517" s="8">
        <v>1.0</v>
      </c>
      <c r="I2517" s="8">
        <v>1.0</v>
      </c>
      <c r="J2517" s="8">
        <v>1.0</v>
      </c>
      <c r="K2517" s="8">
        <v>1.0</v>
      </c>
      <c r="L2517" s="8">
        <v>6.0</v>
      </c>
      <c r="M2517" s="8"/>
      <c r="N2517" s="8"/>
      <c r="O2517" s="8" t="s">
        <v>814</v>
      </c>
      <c r="P2517" s="8" t="e">
        <v>#N/A</v>
      </c>
    </row>
    <row r="2518">
      <c r="A2518">
        <f>IFERROR(__xludf.DUMMYFUNCTION("""COMPUTED_VALUE"""),6.0)</f>
        <v>6</v>
      </c>
      <c r="B2518">
        <f>IFERROR(__xludf.DUMMYFUNCTION("""COMPUTED_VALUE"""),31015.0)</f>
        <v>31015</v>
      </c>
      <c r="C2518" t="str">
        <f>IFERROR(__xludf.DUMMYFUNCTION("""COMPUTED_VALUE"""),"BETANCUR PENAGOS, LORENZO")</f>
        <v>BETANCUR PENAGOS, LORENZO</v>
      </c>
      <c r="D2518" t="str">
        <f>IFERROR(__xludf.DUMMYFUNCTION("""COMPUTED_VALUE"""),"Symphony BandS1")</f>
        <v>Symphony BandS1</v>
      </c>
      <c r="E2518" s="31" t="str">
        <f>IFERROR(__xludf.DUMMYFUNCTION("""COMPUTED_VALUE"""),"5a")</f>
        <v>5a</v>
      </c>
      <c r="F2518" s="8">
        <v>1.0</v>
      </c>
      <c r="G2518" s="8">
        <v>1.0</v>
      </c>
      <c r="H2518" s="8">
        <v>1.0</v>
      </c>
      <c r="I2518" s="8">
        <v>1.0</v>
      </c>
      <c r="J2518" s="8">
        <v>1.0</v>
      </c>
      <c r="K2518" s="8">
        <v>1.0</v>
      </c>
      <c r="L2518" s="8">
        <v>6.0</v>
      </c>
      <c r="M2518" s="8"/>
      <c r="N2518" s="8"/>
      <c r="O2518" s="8" t="s">
        <v>809</v>
      </c>
      <c r="P2518" s="8" t="e">
        <v>#N/A</v>
      </c>
    </row>
    <row r="2519">
      <c r="A2519">
        <f>IFERROR(__xludf.DUMMYFUNCTION("""COMPUTED_VALUE"""),6.0)</f>
        <v>6</v>
      </c>
      <c r="B2519">
        <f>IFERROR(__xludf.DUMMYFUNCTION("""COMPUTED_VALUE"""),31016.0)</f>
        <v>31016</v>
      </c>
      <c r="C2519" t="str">
        <f>IFERROR(__xludf.DUMMYFUNCTION("""COMPUTED_VALUE"""),"BETANCUR ROBLEDO, VICENTE")</f>
        <v>BETANCUR ROBLEDO, VICENTE</v>
      </c>
      <c r="D2519" t="str">
        <f>IFERROR(__xludf.DUMMYFUNCTION("""COMPUTED_VALUE"""),"Tech 6S1")</f>
        <v>Tech 6S1</v>
      </c>
      <c r="E2519" s="31" t="str">
        <f>IFERROR(__xludf.DUMMYFUNCTION("""COMPUTED_VALUE"""),"6b")</f>
        <v>6b</v>
      </c>
      <c r="F2519" s="8">
        <v>1.0</v>
      </c>
      <c r="G2519" s="8">
        <v>1.0</v>
      </c>
      <c r="H2519" s="8">
        <v>1.0</v>
      </c>
      <c r="I2519" s="8">
        <v>1.0</v>
      </c>
      <c r="J2519" s="8">
        <v>1.0</v>
      </c>
      <c r="K2519" s="8">
        <v>1.0</v>
      </c>
      <c r="L2519" s="8">
        <v>6.0</v>
      </c>
      <c r="M2519" s="8"/>
      <c r="N2519" s="8"/>
      <c r="O2519" s="8" t="s">
        <v>815</v>
      </c>
      <c r="P2519" s="8" t="e">
        <v>#N/A</v>
      </c>
    </row>
    <row r="2520">
      <c r="A2520">
        <f>IFERROR(__xludf.DUMMYFUNCTION("""COMPUTED_VALUE"""),6.0)</f>
        <v>6</v>
      </c>
      <c r="B2520">
        <f>IFERROR(__xludf.DUMMYFUNCTION("""COMPUTED_VALUE"""),31166.0)</f>
        <v>31166</v>
      </c>
      <c r="C2520" t="str">
        <f>IFERROR(__xludf.DUMMYFUNCTION("""COMPUTED_VALUE"""),"BISHOP, XAVIER PATRICK")</f>
        <v>BISHOP, XAVIER PATRICK</v>
      </c>
      <c r="D2520" t="str">
        <f>IFERROR(__xludf.DUMMYFUNCTION("""COMPUTED_VALUE"""),"Art 6S1")</f>
        <v>Art 6S1</v>
      </c>
      <c r="E2520" s="31" t="str">
        <f>IFERROR(__xludf.DUMMYFUNCTION("""COMPUTED_VALUE"""),"6b")</f>
        <v>6b</v>
      </c>
      <c r="F2520" s="8">
        <v>1.0</v>
      </c>
      <c r="G2520" s="8">
        <v>1.0</v>
      </c>
      <c r="H2520" s="8">
        <v>1.0</v>
      </c>
      <c r="I2520" s="8">
        <v>1.0</v>
      </c>
      <c r="J2520" s="8">
        <v>1.0</v>
      </c>
      <c r="K2520" s="8">
        <v>1.0</v>
      </c>
      <c r="L2520" s="8">
        <v>6.0</v>
      </c>
      <c r="M2520" s="8"/>
      <c r="N2520" s="8"/>
      <c r="O2520" s="8" t="s">
        <v>814</v>
      </c>
      <c r="P2520" s="8" t="e">
        <v>#N/A</v>
      </c>
    </row>
    <row r="2521">
      <c r="A2521">
        <f>IFERROR(__xludf.DUMMYFUNCTION("""COMPUTED_VALUE"""),6.0)</f>
        <v>6</v>
      </c>
      <c r="B2521">
        <f>IFERROR(__xludf.DUMMYFUNCTION("""COMPUTED_VALUE"""),31152.0)</f>
        <v>31152</v>
      </c>
      <c r="C2521" t="str">
        <f>IFERROR(__xludf.DUMMYFUNCTION("""COMPUTED_VALUE"""),"BLANCO HENRIQUEZ, JUAN MARTIN")</f>
        <v>BLANCO HENRIQUEZ, JUAN MARTIN</v>
      </c>
      <c r="D2521" t="str">
        <f>IFERROR(__xludf.DUMMYFUNCTION("""COMPUTED_VALUE"""),"Symphony BandS1")</f>
        <v>Symphony BandS1</v>
      </c>
      <c r="E2521" s="31" t="str">
        <f>IFERROR(__xludf.DUMMYFUNCTION("""COMPUTED_VALUE"""),"5a")</f>
        <v>5a</v>
      </c>
      <c r="F2521" s="8">
        <v>1.0</v>
      </c>
      <c r="G2521" s="8">
        <v>1.0</v>
      </c>
      <c r="H2521" s="8">
        <v>1.0</v>
      </c>
      <c r="I2521" s="8">
        <v>1.0</v>
      </c>
      <c r="J2521" s="8">
        <v>1.0</v>
      </c>
      <c r="K2521" s="8">
        <v>1.0</v>
      </c>
      <c r="L2521" s="8">
        <v>6.0</v>
      </c>
      <c r="M2521" s="8"/>
      <c r="N2521" s="8"/>
      <c r="O2521" s="8" t="s">
        <v>809</v>
      </c>
      <c r="P2521" s="8" t="e">
        <v>#N/A</v>
      </c>
    </row>
    <row r="2522">
      <c r="A2522">
        <f>IFERROR(__xludf.DUMMYFUNCTION("""COMPUTED_VALUE"""),6.0)</f>
        <v>6</v>
      </c>
      <c r="B2522">
        <f>IFERROR(__xludf.DUMMYFUNCTION("""COMPUTED_VALUE"""),31017.0)</f>
        <v>31017</v>
      </c>
      <c r="C2522" t="str">
        <f>IFERROR(__xludf.DUMMYFUNCTION("""COMPUTED_VALUE"""),"BORDA AZCARATE, AGUSTIN")</f>
        <v>BORDA AZCARATE, AGUSTIN</v>
      </c>
      <c r="D2522" t="str">
        <f>IFERROR(__xludf.DUMMYFUNCTION("""COMPUTED_VALUE"""),"Symphony BandS1")</f>
        <v>Symphony BandS1</v>
      </c>
      <c r="E2522" s="31" t="str">
        <f>IFERROR(__xludf.DUMMYFUNCTION("""COMPUTED_VALUE"""),"5a")</f>
        <v>5a</v>
      </c>
      <c r="F2522" s="8">
        <v>1.0</v>
      </c>
      <c r="G2522" s="8">
        <v>1.0</v>
      </c>
      <c r="H2522" s="8">
        <v>1.0</v>
      </c>
      <c r="I2522" s="8">
        <v>1.0</v>
      </c>
      <c r="J2522" s="8">
        <v>1.0</v>
      </c>
      <c r="K2522" s="8">
        <v>1.0</v>
      </c>
      <c r="L2522" s="8">
        <v>6.0</v>
      </c>
      <c r="M2522" s="8"/>
      <c r="N2522" s="8"/>
      <c r="O2522" s="8" t="s">
        <v>809</v>
      </c>
      <c r="P2522" s="8" t="e">
        <v>#N/A</v>
      </c>
    </row>
    <row r="2523">
      <c r="A2523">
        <f>IFERROR(__xludf.DUMMYFUNCTION("""COMPUTED_VALUE"""),6.0)</f>
        <v>6</v>
      </c>
      <c r="B2523">
        <f>IFERROR(__xludf.DUMMYFUNCTION("""COMPUTED_VALUE"""),31019.0)</f>
        <v>31019</v>
      </c>
      <c r="C2523" t="str">
        <f>IFERROR(__xludf.DUMMYFUNCTION("""COMPUTED_VALUE"""),"BOTERO BOTERO, AMALIA")</f>
        <v>BOTERO BOTERO, AMALIA</v>
      </c>
      <c r="D2523" t="str">
        <f>IFERROR(__xludf.DUMMYFUNCTION("""COMPUTED_VALUE"""),"Art 6S1")</f>
        <v>Art 6S1</v>
      </c>
      <c r="E2523" s="31" t="str">
        <f>IFERROR(__xludf.DUMMYFUNCTION("""COMPUTED_VALUE"""),"4a")</f>
        <v>4a</v>
      </c>
      <c r="F2523" s="8">
        <v>1.0</v>
      </c>
      <c r="G2523" s="8">
        <v>1.0</v>
      </c>
      <c r="H2523" s="8">
        <v>1.0</v>
      </c>
      <c r="I2523" s="8">
        <v>1.0</v>
      </c>
      <c r="J2523" s="8">
        <v>1.0</v>
      </c>
      <c r="K2523" s="8">
        <v>1.0</v>
      </c>
      <c r="L2523" s="8">
        <v>6.0</v>
      </c>
      <c r="M2523" s="8"/>
      <c r="N2523" s="8"/>
      <c r="O2523" s="8" t="s">
        <v>808</v>
      </c>
      <c r="P2523" s="8" t="e">
        <v>#N/A</v>
      </c>
    </row>
    <row r="2524">
      <c r="A2524">
        <f>IFERROR(__xludf.DUMMYFUNCTION("""COMPUTED_VALUE"""),6.0)</f>
        <v>6</v>
      </c>
      <c r="B2524">
        <f>IFERROR(__xludf.DUMMYFUNCTION("""COMPUTED_VALUE"""),31020.0)</f>
        <v>31020</v>
      </c>
      <c r="C2524" t="str">
        <f>IFERROR(__xludf.DUMMYFUNCTION("""COMPUTED_VALUE"""),"BOTERO DEL CORRAL, MARTINA")</f>
        <v>BOTERO DEL CORRAL, MARTINA</v>
      </c>
      <c r="D2524" t="str">
        <f>IFERROR(__xludf.DUMMYFUNCTION("""COMPUTED_VALUE"""),"Art 6S1")</f>
        <v>Art 6S1</v>
      </c>
      <c r="E2524" s="31" t="str">
        <f>IFERROR(__xludf.DUMMYFUNCTION("""COMPUTED_VALUE"""),"2a")</f>
        <v>2a</v>
      </c>
      <c r="F2524" s="8">
        <v>1.0</v>
      </c>
      <c r="G2524" s="8">
        <v>1.0</v>
      </c>
      <c r="H2524" s="8">
        <v>1.0</v>
      </c>
      <c r="I2524" s="8">
        <v>1.0</v>
      </c>
      <c r="J2524" s="8">
        <v>1.0</v>
      </c>
      <c r="K2524" s="8">
        <v>1.0</v>
      </c>
      <c r="L2524" s="8">
        <v>6.0</v>
      </c>
      <c r="M2524" s="8"/>
      <c r="N2524" s="8"/>
      <c r="O2524" s="8" t="s">
        <v>816</v>
      </c>
      <c r="P2524" s="8" t="e">
        <v>#N/A</v>
      </c>
    </row>
    <row r="2525">
      <c r="A2525">
        <f>IFERROR(__xludf.DUMMYFUNCTION("""COMPUTED_VALUE"""),6.0)</f>
        <v>6</v>
      </c>
      <c r="B2525">
        <f>IFERROR(__xludf.DUMMYFUNCTION("""COMPUTED_VALUE"""),31018.0)</f>
        <v>31018</v>
      </c>
      <c r="C2525" t="str">
        <f>IFERROR(__xludf.DUMMYFUNCTION("""COMPUTED_VALUE"""),"BOTERO MONTOYA, MATIAS")</f>
        <v>BOTERO MONTOYA, MATIAS</v>
      </c>
      <c r="D2525" t="str">
        <f>IFERROR(__xludf.DUMMYFUNCTION("""COMPUTED_VALUE"""),"Symphony BandS1")</f>
        <v>Symphony BandS1</v>
      </c>
      <c r="E2525" s="31" t="str">
        <f>IFERROR(__xludf.DUMMYFUNCTION("""COMPUTED_VALUE"""),"5a")</f>
        <v>5a</v>
      </c>
      <c r="F2525" s="8">
        <v>1.0</v>
      </c>
      <c r="G2525" s="8">
        <v>1.0</v>
      </c>
      <c r="H2525" s="8">
        <v>1.0</v>
      </c>
      <c r="I2525" s="8">
        <v>1.0</v>
      </c>
      <c r="J2525" s="8">
        <v>1.0</v>
      </c>
      <c r="K2525" s="8">
        <v>1.0</v>
      </c>
      <c r="L2525" s="8">
        <v>6.0</v>
      </c>
      <c r="M2525" s="8"/>
      <c r="N2525" s="8"/>
      <c r="O2525" s="8" t="s">
        <v>809</v>
      </c>
      <c r="P2525" s="8" t="e">
        <v>#N/A</v>
      </c>
    </row>
    <row r="2526">
      <c r="A2526">
        <f>IFERROR(__xludf.DUMMYFUNCTION("""COMPUTED_VALUE"""),6.0)</f>
        <v>6</v>
      </c>
      <c r="B2526">
        <f>IFERROR(__xludf.DUMMYFUNCTION("""COMPUTED_VALUE"""),31022.0)</f>
        <v>31022</v>
      </c>
      <c r="C2526" t="str">
        <f>IFERROR(__xludf.DUMMYFUNCTION("""COMPUTED_VALUE"""),"CALDWELL VALLEJO, MAX")</f>
        <v>CALDWELL VALLEJO, MAX</v>
      </c>
      <c r="D2526" t="str">
        <f>IFERROR(__xludf.DUMMYFUNCTION("""COMPUTED_VALUE"""),"Tech 6S1")</f>
        <v>Tech 6S1</v>
      </c>
      <c r="E2526" s="31" t="str">
        <f>IFERROR(__xludf.DUMMYFUNCTION("""COMPUTED_VALUE"""),"4a")</f>
        <v>4a</v>
      </c>
      <c r="F2526" s="8">
        <v>1.0</v>
      </c>
      <c r="G2526" s="8">
        <v>1.0</v>
      </c>
      <c r="H2526" s="8">
        <v>1.0</v>
      </c>
      <c r="I2526" s="8">
        <v>1.0</v>
      </c>
      <c r="J2526" s="8">
        <v>1.0</v>
      </c>
      <c r="K2526" s="8">
        <v>1.0</v>
      </c>
      <c r="L2526" s="8">
        <v>6.0</v>
      </c>
      <c r="M2526" s="8"/>
      <c r="N2526" s="8"/>
      <c r="O2526" s="8" t="s">
        <v>812</v>
      </c>
      <c r="P2526" s="8" t="e">
        <v>#N/A</v>
      </c>
    </row>
    <row r="2527">
      <c r="A2527">
        <f>IFERROR(__xludf.DUMMYFUNCTION("""COMPUTED_VALUE"""),6.0)</f>
        <v>6</v>
      </c>
      <c r="B2527">
        <f>IFERROR(__xludf.DUMMYFUNCTION("""COMPUTED_VALUE"""),31023.0)</f>
        <v>31023</v>
      </c>
      <c r="C2527" t="str">
        <f>IFERROR(__xludf.DUMMYFUNCTION("""COMPUTED_VALUE"""),"CAPMARTIN GOMEZ, VALERIA")</f>
        <v>CAPMARTIN GOMEZ, VALERIA</v>
      </c>
      <c r="D2527" t="str">
        <f>IFERROR(__xludf.DUMMYFUNCTION("""COMPUTED_VALUE"""),"Regular BandS1")</f>
        <v>Regular BandS1</v>
      </c>
      <c r="E2527" s="31" t="str">
        <f>IFERROR(__xludf.DUMMYFUNCTION("""COMPUTED_VALUE"""),"6a")</f>
        <v>6a</v>
      </c>
      <c r="F2527" s="8">
        <v>1.0</v>
      </c>
      <c r="G2527" s="8">
        <v>1.0</v>
      </c>
      <c r="H2527" s="8">
        <v>1.0</v>
      </c>
      <c r="I2527" s="8">
        <v>1.0</v>
      </c>
      <c r="J2527" s="8">
        <v>1.0</v>
      </c>
      <c r="K2527" s="8">
        <v>1.0</v>
      </c>
      <c r="L2527" s="8">
        <v>6.0</v>
      </c>
      <c r="M2527" s="8"/>
      <c r="N2527" s="8"/>
      <c r="O2527" s="8" t="s">
        <v>810</v>
      </c>
      <c r="P2527" s="8" t="e">
        <v>#N/A</v>
      </c>
    </row>
    <row r="2528">
      <c r="A2528">
        <f>IFERROR(__xludf.DUMMYFUNCTION("""COMPUTED_VALUE"""),6.0)</f>
        <v>6</v>
      </c>
      <c r="B2528">
        <f>IFERROR(__xludf.DUMMYFUNCTION("""COMPUTED_VALUE"""),31024.0)</f>
        <v>31024</v>
      </c>
      <c r="C2528" t="str">
        <f>IFERROR(__xludf.DUMMYFUNCTION("""COMPUTED_VALUE"""),"CARDONA VELEZ, ALICIA")</f>
        <v>CARDONA VELEZ, ALICIA</v>
      </c>
      <c r="D2528" t="str">
        <f>IFERROR(__xludf.DUMMYFUNCTION("""COMPUTED_VALUE"""),"Tech 6S1")</f>
        <v>Tech 6S1</v>
      </c>
      <c r="E2528" s="31" t="str">
        <f>IFERROR(__xludf.DUMMYFUNCTION("""COMPUTED_VALUE"""),"2a")</f>
        <v>2a</v>
      </c>
      <c r="F2528" s="8">
        <v>1.0</v>
      </c>
      <c r="G2528" s="8">
        <v>1.0</v>
      </c>
      <c r="H2528" s="8">
        <v>1.0</v>
      </c>
      <c r="I2528" s="8">
        <v>1.0</v>
      </c>
      <c r="J2528" s="8">
        <v>1.0</v>
      </c>
      <c r="K2528" s="8">
        <v>1.0</v>
      </c>
      <c r="L2528" s="8">
        <v>6.0</v>
      </c>
      <c r="M2528" s="8"/>
      <c r="N2528" s="8"/>
      <c r="O2528" s="8" t="s">
        <v>817</v>
      </c>
      <c r="P2528" s="8" t="e">
        <v>#N/A</v>
      </c>
    </row>
    <row r="2529">
      <c r="A2529">
        <f>IFERROR(__xludf.DUMMYFUNCTION("""COMPUTED_VALUE"""),6.0)</f>
        <v>6</v>
      </c>
      <c r="B2529">
        <f>IFERROR(__xludf.DUMMYFUNCTION("""COMPUTED_VALUE"""),31025.0)</f>
        <v>31025</v>
      </c>
      <c r="C2529" t="str">
        <f>IFERROR(__xludf.DUMMYFUNCTION("""COMPUTED_VALUE"""),"CORREA ALVAREZ, EMILIO")</f>
        <v>CORREA ALVAREZ, EMILIO</v>
      </c>
      <c r="D2529" t="str">
        <f>IFERROR(__xludf.DUMMYFUNCTION("""COMPUTED_VALUE"""),"Symphony BandS1")</f>
        <v>Symphony BandS1</v>
      </c>
      <c r="E2529" s="31" t="str">
        <f>IFERROR(__xludf.DUMMYFUNCTION("""COMPUTED_VALUE"""),"5a")</f>
        <v>5a</v>
      </c>
      <c r="F2529" s="8">
        <v>1.0</v>
      </c>
      <c r="G2529" s="8">
        <v>1.0</v>
      </c>
      <c r="H2529" s="8">
        <v>1.0</v>
      </c>
      <c r="I2529" s="8">
        <v>1.0</v>
      </c>
      <c r="J2529" s="8">
        <v>1.0</v>
      </c>
      <c r="K2529" s="8">
        <v>1.0</v>
      </c>
      <c r="L2529" s="8">
        <v>6.0</v>
      </c>
      <c r="M2529" s="8"/>
      <c r="N2529" s="8"/>
      <c r="O2529" s="8" t="s">
        <v>809</v>
      </c>
      <c r="P2529" s="8" t="e">
        <v>#N/A</v>
      </c>
    </row>
    <row r="2530">
      <c r="A2530">
        <f>IFERROR(__xludf.DUMMYFUNCTION("""COMPUTED_VALUE"""),6.0)</f>
        <v>6</v>
      </c>
      <c r="B2530">
        <f>IFERROR(__xludf.DUMMYFUNCTION("""COMPUTED_VALUE"""),31026.0)</f>
        <v>31026</v>
      </c>
      <c r="C2530" t="str">
        <f>IFERROR(__xludf.DUMMYFUNCTION("""COMPUTED_VALUE"""),"CORTES ARANGO, JUAN MARTIN")</f>
        <v>CORTES ARANGO, JUAN MARTIN</v>
      </c>
      <c r="D2530" t="str">
        <f>IFERROR(__xludf.DUMMYFUNCTION("""COMPUTED_VALUE"""),"Art 6S1")</f>
        <v>Art 6S1</v>
      </c>
      <c r="E2530" s="31" t="str">
        <f>IFERROR(__xludf.DUMMYFUNCTION("""COMPUTED_VALUE"""),"4a")</f>
        <v>4a</v>
      </c>
      <c r="F2530" s="8">
        <v>1.0</v>
      </c>
      <c r="G2530" s="8">
        <v>1.0</v>
      </c>
      <c r="H2530" s="8">
        <v>1.0</v>
      </c>
      <c r="I2530" s="8">
        <v>1.0</v>
      </c>
      <c r="J2530" s="8">
        <v>1.0</v>
      </c>
      <c r="K2530" s="8">
        <v>1.0</v>
      </c>
      <c r="L2530" s="8">
        <v>6.0</v>
      </c>
      <c r="M2530" s="8"/>
      <c r="N2530" s="8"/>
      <c r="O2530" s="8" t="s">
        <v>808</v>
      </c>
      <c r="P2530" s="8" t="e">
        <v>#N/A</v>
      </c>
    </row>
    <row r="2531">
      <c r="A2531">
        <f>IFERROR(__xludf.DUMMYFUNCTION("""COMPUTED_VALUE"""),6.0)</f>
        <v>6</v>
      </c>
      <c r="B2531">
        <f>IFERROR(__xludf.DUMMYFUNCTION("""COMPUTED_VALUE"""),31027.0)</f>
        <v>31027</v>
      </c>
      <c r="C2531" t="str">
        <f>IFERROR(__xludf.DUMMYFUNCTION("""COMPUTED_VALUE"""),"CUARTAS GOMEZ, SANTIAGO")</f>
        <v>CUARTAS GOMEZ, SANTIAGO</v>
      </c>
      <c r="D2531" t="str">
        <f>IFERROR(__xludf.DUMMYFUNCTION("""COMPUTED_VALUE"""),"Tech 6S1")</f>
        <v>Tech 6S1</v>
      </c>
      <c r="E2531" s="31" t="str">
        <f>IFERROR(__xludf.DUMMYFUNCTION("""COMPUTED_VALUE"""),"6b")</f>
        <v>6b</v>
      </c>
      <c r="F2531" s="8">
        <v>1.0</v>
      </c>
      <c r="G2531" s="8">
        <v>1.0</v>
      </c>
      <c r="H2531" s="8">
        <v>1.0</v>
      </c>
      <c r="I2531" s="8">
        <v>1.0</v>
      </c>
      <c r="J2531" s="8">
        <v>1.0</v>
      </c>
      <c r="K2531" s="8">
        <v>1.0</v>
      </c>
      <c r="L2531" s="8">
        <v>6.0</v>
      </c>
      <c r="M2531" s="8"/>
      <c r="N2531" s="8"/>
      <c r="O2531" s="8" t="s">
        <v>815</v>
      </c>
      <c r="P2531" s="8" t="e">
        <v>#N/A</v>
      </c>
    </row>
    <row r="2532">
      <c r="A2532">
        <f>IFERROR(__xludf.DUMMYFUNCTION("""COMPUTED_VALUE"""),6.0)</f>
        <v>6</v>
      </c>
      <c r="B2532">
        <f>IFERROR(__xludf.DUMMYFUNCTION("""COMPUTED_VALUE"""),31028.0)</f>
        <v>31028</v>
      </c>
      <c r="C2532" t="str">
        <f>IFERROR(__xludf.DUMMYFUNCTION("""COMPUTED_VALUE"""),"DE HOMMEL COCK, ARTHUR JEAN")</f>
        <v>DE HOMMEL COCK, ARTHUR JEAN</v>
      </c>
      <c r="D2532" t="str">
        <f>IFERROR(__xludf.DUMMYFUNCTION("""COMPUTED_VALUE"""),"Art 6S1")</f>
        <v>Art 6S1</v>
      </c>
      <c r="E2532" s="31" t="str">
        <f>IFERROR(__xludf.DUMMYFUNCTION("""COMPUTED_VALUE"""),"2a")</f>
        <v>2a</v>
      </c>
      <c r="F2532" s="8">
        <v>1.0</v>
      </c>
      <c r="G2532" s="8">
        <v>1.0</v>
      </c>
      <c r="H2532" s="8">
        <v>1.0</v>
      </c>
      <c r="I2532" s="8">
        <v>1.0</v>
      </c>
      <c r="J2532" s="8">
        <v>1.0</v>
      </c>
      <c r="K2532" s="8">
        <v>1.0</v>
      </c>
      <c r="L2532" s="8">
        <v>6.0</v>
      </c>
      <c r="M2532" s="8"/>
      <c r="N2532" s="8"/>
      <c r="O2532" s="8" t="s">
        <v>816</v>
      </c>
      <c r="P2532" s="8" t="e">
        <v>#N/A</v>
      </c>
    </row>
    <row r="2533">
      <c r="A2533">
        <f>IFERROR(__xludf.DUMMYFUNCTION("""COMPUTED_VALUE"""),6.0)</f>
        <v>6</v>
      </c>
      <c r="B2533">
        <f>IFERROR(__xludf.DUMMYFUNCTION("""COMPUTED_VALUE"""),31029.0)</f>
        <v>31029</v>
      </c>
      <c r="C2533" t="str">
        <f>IFERROR(__xludf.DUMMYFUNCTION("""COMPUTED_VALUE"""),"DE KOLLER GAVIRIA, PAOLO")</f>
        <v>DE KOLLER GAVIRIA, PAOLO</v>
      </c>
      <c r="D2533" t="str">
        <f>IFERROR(__xludf.DUMMYFUNCTION("""COMPUTED_VALUE"""),"Regular BandS1")</f>
        <v>Regular BandS1</v>
      </c>
      <c r="E2533" s="31" t="str">
        <f>IFERROR(__xludf.DUMMYFUNCTION("""COMPUTED_VALUE"""),"6a")</f>
        <v>6a</v>
      </c>
      <c r="F2533" s="8">
        <v>1.0</v>
      </c>
      <c r="G2533" s="8">
        <v>1.0</v>
      </c>
      <c r="H2533" s="8">
        <v>1.0</v>
      </c>
      <c r="I2533" s="8">
        <v>1.0</v>
      </c>
      <c r="J2533" s="8">
        <v>1.0</v>
      </c>
      <c r="K2533" s="8">
        <v>1.0</v>
      </c>
      <c r="L2533" s="8">
        <v>6.0</v>
      </c>
      <c r="M2533" s="8"/>
      <c r="N2533" s="8"/>
      <c r="O2533" s="8" t="s">
        <v>810</v>
      </c>
      <c r="P2533" s="8" t="e">
        <v>#N/A</v>
      </c>
    </row>
    <row r="2534">
      <c r="A2534">
        <f>IFERROR(__xludf.DUMMYFUNCTION("""COMPUTED_VALUE"""),6.0)</f>
        <v>6</v>
      </c>
      <c r="B2534">
        <f>IFERROR(__xludf.DUMMYFUNCTION("""COMPUTED_VALUE"""),31030.0)</f>
        <v>31030</v>
      </c>
      <c r="C2534" t="str">
        <f>IFERROR(__xludf.DUMMYFUNCTION("""COMPUTED_VALUE"""),"DE KOLLER GAVIRIA, ROMEO")</f>
        <v>DE KOLLER GAVIRIA, ROMEO</v>
      </c>
      <c r="D2534" t="str">
        <f>IFERROR(__xludf.DUMMYFUNCTION("""COMPUTED_VALUE"""),"Symphony BandS1")</f>
        <v>Symphony BandS1</v>
      </c>
      <c r="E2534" s="31" t="str">
        <f>IFERROR(__xludf.DUMMYFUNCTION("""COMPUTED_VALUE"""),"5a")</f>
        <v>5a</v>
      </c>
      <c r="F2534" s="8">
        <v>1.0</v>
      </c>
      <c r="G2534" s="8">
        <v>1.0</v>
      </c>
      <c r="H2534" s="8">
        <v>1.0</v>
      </c>
      <c r="I2534" s="8">
        <v>1.0</v>
      </c>
      <c r="J2534" s="8">
        <v>1.0</v>
      </c>
      <c r="K2534" s="8">
        <v>1.0</v>
      </c>
      <c r="L2534" s="8">
        <v>6.0</v>
      </c>
      <c r="M2534" s="8"/>
      <c r="N2534" s="8"/>
      <c r="O2534" s="8" t="s">
        <v>809</v>
      </c>
      <c r="P2534" s="8" t="e">
        <v>#N/A</v>
      </c>
    </row>
    <row r="2535">
      <c r="A2535">
        <f>IFERROR(__xludf.DUMMYFUNCTION("""COMPUTED_VALUE"""),6.0)</f>
        <v>6</v>
      </c>
      <c r="B2535">
        <f>IFERROR(__xludf.DUMMYFUNCTION("""COMPUTED_VALUE"""),31032.0)</f>
        <v>31032</v>
      </c>
      <c r="C2535" t="str">
        <f>IFERROR(__xludf.DUMMYFUNCTION("""COMPUTED_VALUE"""),"DE LOS RIOS AGUDELO, MARTIN")</f>
        <v>DE LOS RIOS AGUDELO, MARTIN</v>
      </c>
      <c r="D2535" t="str">
        <f>IFERROR(__xludf.DUMMYFUNCTION("""COMPUTED_VALUE"""),"Symphony BandS1")</f>
        <v>Symphony BandS1</v>
      </c>
      <c r="E2535" s="31" t="str">
        <f>IFERROR(__xludf.DUMMYFUNCTION("""COMPUTED_VALUE"""),"5a")</f>
        <v>5a</v>
      </c>
      <c r="F2535" s="8">
        <v>1.0</v>
      </c>
      <c r="G2535" s="8">
        <v>1.0</v>
      </c>
      <c r="H2535" s="8">
        <v>1.0</v>
      </c>
      <c r="I2535" s="8">
        <v>1.0</v>
      </c>
      <c r="J2535" s="8">
        <v>1.0</v>
      </c>
      <c r="K2535" s="8">
        <v>1.0</v>
      </c>
      <c r="L2535" s="8">
        <v>6.0</v>
      </c>
      <c r="M2535" s="8"/>
      <c r="N2535" s="8"/>
      <c r="O2535" s="8" t="s">
        <v>809</v>
      </c>
      <c r="P2535" s="8" t="e">
        <v>#N/A</v>
      </c>
    </row>
    <row r="2536">
      <c r="A2536">
        <f>IFERROR(__xludf.DUMMYFUNCTION("""COMPUTED_VALUE"""),6.0)</f>
        <v>6</v>
      </c>
      <c r="B2536">
        <f>IFERROR(__xludf.DUMMYFUNCTION("""COMPUTED_VALUE"""),31031.0)</f>
        <v>31031</v>
      </c>
      <c r="C2536" t="str">
        <f>IFERROR(__xludf.DUMMYFUNCTION("""COMPUTED_VALUE"""),"DE LOS RIOS AGUDELO, MATIAS")</f>
        <v>DE LOS RIOS AGUDELO, MATIAS</v>
      </c>
      <c r="D2536" t="str">
        <f>IFERROR(__xludf.DUMMYFUNCTION("""COMPUTED_VALUE"""),"Symphony BandS1")</f>
        <v>Symphony BandS1</v>
      </c>
      <c r="E2536" s="31" t="str">
        <f>IFERROR(__xludf.DUMMYFUNCTION("""COMPUTED_VALUE"""),"5a")</f>
        <v>5a</v>
      </c>
      <c r="F2536" s="8">
        <v>1.0</v>
      </c>
      <c r="G2536" s="8">
        <v>1.0</v>
      </c>
      <c r="H2536" s="8">
        <v>1.0</v>
      </c>
      <c r="I2536" s="8">
        <v>1.0</v>
      </c>
      <c r="J2536" s="8">
        <v>1.0</v>
      </c>
      <c r="K2536" s="8">
        <v>1.0</v>
      </c>
      <c r="L2536" s="8">
        <v>6.0</v>
      </c>
      <c r="M2536" s="8"/>
      <c r="N2536" s="8"/>
      <c r="O2536" s="8" t="s">
        <v>809</v>
      </c>
      <c r="P2536" s="8" t="e">
        <v>#N/A</v>
      </c>
    </row>
    <row r="2537">
      <c r="A2537">
        <f>IFERROR(__xludf.DUMMYFUNCTION("""COMPUTED_VALUE"""),6.0)</f>
        <v>6</v>
      </c>
      <c r="B2537">
        <f>IFERROR(__xludf.DUMMYFUNCTION("""COMPUTED_VALUE"""),31168.0)</f>
        <v>31168</v>
      </c>
      <c r="C2537" t="str">
        <f>IFERROR(__xludf.DUMMYFUNCTION("""COMPUTED_VALUE"""),"DE MUNCK MORTIER, LUCA")</f>
        <v>DE MUNCK MORTIER, LUCA</v>
      </c>
      <c r="D2537" t="str">
        <f>IFERROR(__xludf.DUMMYFUNCTION("""COMPUTED_VALUE"""),"Tech 6S1")</f>
        <v>Tech 6S1</v>
      </c>
      <c r="E2537" s="31" t="str">
        <f>IFERROR(__xludf.DUMMYFUNCTION("""COMPUTED_VALUE"""),"1b")</f>
        <v>1b</v>
      </c>
      <c r="F2537" s="8">
        <v>1.0</v>
      </c>
      <c r="G2537" s="8">
        <v>1.0</v>
      </c>
      <c r="H2537" s="8">
        <v>1.0</v>
      </c>
      <c r="I2537" s="8">
        <v>1.0</v>
      </c>
      <c r="J2537" s="8">
        <v>1.0</v>
      </c>
      <c r="K2537" s="8">
        <v>1.0</v>
      </c>
      <c r="L2537" s="8">
        <v>6.0</v>
      </c>
      <c r="M2537" s="8"/>
      <c r="N2537" s="8"/>
      <c r="O2537" s="8" t="s">
        <v>811</v>
      </c>
      <c r="P2537" s="8" t="e">
        <v>#N/A</v>
      </c>
    </row>
    <row r="2538">
      <c r="A2538">
        <f>IFERROR(__xludf.DUMMYFUNCTION("""COMPUTED_VALUE"""),6.0)</f>
        <v>6</v>
      </c>
      <c r="B2538">
        <f>IFERROR(__xludf.DUMMYFUNCTION("""COMPUTED_VALUE"""),31163.0)</f>
        <v>31163</v>
      </c>
      <c r="C2538" t="str">
        <f>IFERROR(__xludf.DUMMYFUNCTION("""COMPUTED_VALUE"""),"DOMINGUEZ JORGENSEN, GABRIEL")</f>
        <v>DOMINGUEZ JORGENSEN, GABRIEL</v>
      </c>
      <c r="D2538" t="str">
        <f>IFERROR(__xludf.DUMMYFUNCTION("""COMPUTED_VALUE"""),"Tech 6S1")</f>
        <v>Tech 6S1</v>
      </c>
      <c r="E2538" s="31" t="str">
        <f>IFERROR(__xludf.DUMMYFUNCTION("""COMPUTED_VALUE"""),"2a")</f>
        <v>2a</v>
      </c>
      <c r="F2538" s="8">
        <v>1.0</v>
      </c>
      <c r="G2538" s="8">
        <v>1.0</v>
      </c>
      <c r="H2538" s="8">
        <v>1.0</v>
      </c>
      <c r="I2538" s="8">
        <v>1.0</v>
      </c>
      <c r="J2538" s="8">
        <v>1.0</v>
      </c>
      <c r="K2538" s="8">
        <v>1.0</v>
      </c>
      <c r="L2538" s="8">
        <v>6.0</v>
      </c>
      <c r="M2538" s="8"/>
      <c r="N2538" s="8"/>
      <c r="O2538" s="8" t="s">
        <v>817</v>
      </c>
      <c r="P2538" s="8" t="e">
        <v>#N/A</v>
      </c>
    </row>
    <row r="2539">
      <c r="A2539">
        <f>IFERROR(__xludf.DUMMYFUNCTION("""COMPUTED_VALUE"""),6.0)</f>
        <v>6</v>
      </c>
      <c r="B2539">
        <f>IFERROR(__xludf.DUMMYFUNCTION("""COMPUTED_VALUE"""),31167.0)</f>
        <v>31167</v>
      </c>
      <c r="C2539" t="str">
        <f>IFERROR(__xludf.DUMMYFUNCTION("""COMPUTED_VALUE"""),"DUQUE, JACOB")</f>
        <v>DUQUE, JACOB</v>
      </c>
      <c r="D2539" t="str">
        <f>IFERROR(__xludf.DUMMYFUNCTION("""COMPUTED_VALUE"""),"Art 6S1")</f>
        <v>Art 6S1</v>
      </c>
      <c r="E2539" s="31" t="str">
        <f>IFERROR(__xludf.DUMMYFUNCTION("""COMPUTED_VALUE"""),"6b")</f>
        <v>6b</v>
      </c>
      <c r="F2539" s="8">
        <v>1.0</v>
      </c>
      <c r="G2539" s="8">
        <v>1.0</v>
      </c>
      <c r="H2539" s="8">
        <v>1.0</v>
      </c>
      <c r="I2539" s="8">
        <v>1.0</v>
      </c>
      <c r="J2539" s="8">
        <v>1.0</v>
      </c>
      <c r="K2539" s="8">
        <v>1.0</v>
      </c>
      <c r="L2539" s="8">
        <v>6.0</v>
      </c>
      <c r="M2539" s="8"/>
      <c r="N2539" s="8"/>
      <c r="O2539" s="8" t="s">
        <v>814</v>
      </c>
      <c r="P2539" s="8" t="e">
        <v>#N/A</v>
      </c>
    </row>
    <row r="2540">
      <c r="A2540">
        <f>IFERROR(__xludf.DUMMYFUNCTION("""COMPUTED_VALUE"""),6.0)</f>
        <v>6</v>
      </c>
      <c r="B2540">
        <f>IFERROR(__xludf.DUMMYFUNCTION("""COMPUTED_VALUE"""),30041.0)</f>
        <v>30041</v>
      </c>
      <c r="C2540" t="str">
        <f>IFERROR(__xludf.DUMMYFUNCTION("""COMPUTED_VALUE"""),"ESPINAL MONTOYA, ARIANA")</f>
        <v>ESPINAL MONTOYA, ARIANA</v>
      </c>
      <c r="D2540" t="str">
        <f>IFERROR(__xludf.DUMMYFUNCTION("""COMPUTED_VALUE"""),"Tech 6S1")</f>
        <v>Tech 6S1</v>
      </c>
      <c r="E2540" s="31" t="str">
        <f>IFERROR(__xludf.DUMMYFUNCTION("""COMPUTED_VALUE"""),"6b")</f>
        <v>6b</v>
      </c>
      <c r="F2540" s="8">
        <v>1.0</v>
      </c>
      <c r="G2540" s="8">
        <v>1.0</v>
      </c>
      <c r="H2540" s="8">
        <v>1.0</v>
      </c>
      <c r="I2540" s="8">
        <v>1.0</v>
      </c>
      <c r="J2540" s="8">
        <v>1.0</v>
      </c>
      <c r="K2540" s="8">
        <v>1.0</v>
      </c>
      <c r="L2540" s="8">
        <v>6.0</v>
      </c>
      <c r="M2540" s="8"/>
      <c r="N2540" s="8"/>
      <c r="O2540" s="8" t="s">
        <v>815</v>
      </c>
      <c r="P2540" s="8" t="e">
        <v>#N/A</v>
      </c>
    </row>
    <row r="2541">
      <c r="A2541">
        <f>IFERROR(__xludf.DUMMYFUNCTION("""COMPUTED_VALUE"""),6.0)</f>
        <v>6</v>
      </c>
      <c r="B2541">
        <f>IFERROR(__xludf.DUMMYFUNCTION("""COMPUTED_VALUE"""),31034.0)</f>
        <v>31034</v>
      </c>
      <c r="C2541" t="str">
        <f>IFERROR(__xludf.DUMMYFUNCTION("""COMPUTED_VALUE"""),"ESPINOSA ABAD, MARTINA")</f>
        <v>ESPINOSA ABAD, MARTINA</v>
      </c>
      <c r="D2541" t="str">
        <f>IFERROR(__xludf.DUMMYFUNCTION("""COMPUTED_VALUE"""),"Art 6S1")</f>
        <v>Art 6S1</v>
      </c>
      <c r="E2541" s="31" t="str">
        <f>IFERROR(__xludf.DUMMYFUNCTION("""COMPUTED_VALUE"""),"2a")</f>
        <v>2a</v>
      </c>
      <c r="F2541" s="8">
        <v>1.0</v>
      </c>
      <c r="G2541" s="8">
        <v>1.0</v>
      </c>
      <c r="H2541" s="8">
        <v>1.0</v>
      </c>
      <c r="I2541" s="8">
        <v>1.0</v>
      </c>
      <c r="J2541" s="8">
        <v>1.0</v>
      </c>
      <c r="K2541" s="8">
        <v>1.0</v>
      </c>
      <c r="L2541" s="8">
        <v>6.0</v>
      </c>
      <c r="M2541" s="8"/>
      <c r="N2541" s="8"/>
      <c r="O2541" s="8" t="s">
        <v>816</v>
      </c>
      <c r="P2541" s="8" t="e">
        <v>#N/A</v>
      </c>
    </row>
    <row r="2542">
      <c r="A2542">
        <f>IFERROR(__xludf.DUMMYFUNCTION("""COMPUTED_VALUE"""),6.0)</f>
        <v>6</v>
      </c>
      <c r="B2542">
        <f>IFERROR(__xludf.DUMMYFUNCTION("""COMPUTED_VALUE"""),31037.0)</f>
        <v>31037</v>
      </c>
      <c r="C2542" t="str">
        <f>IFERROR(__xludf.DUMMYFUNCTION("""COMPUTED_VALUE"""),"FERNANDEZ GUTIERREZ, MARIA JOSE")</f>
        <v>FERNANDEZ GUTIERREZ, MARIA JOSE</v>
      </c>
      <c r="D2542" t="str">
        <f>IFERROR(__xludf.DUMMYFUNCTION("""COMPUTED_VALUE"""),"Tech 6S1")</f>
        <v>Tech 6S1</v>
      </c>
      <c r="E2542" s="31" t="str">
        <f>IFERROR(__xludf.DUMMYFUNCTION("""COMPUTED_VALUE"""),"4a")</f>
        <v>4a</v>
      </c>
      <c r="F2542" s="8">
        <v>1.0</v>
      </c>
      <c r="G2542" s="8">
        <v>1.0</v>
      </c>
      <c r="H2542" s="8">
        <v>1.0</v>
      </c>
      <c r="I2542" s="8">
        <v>1.0</v>
      </c>
      <c r="J2542" s="8">
        <v>1.0</v>
      </c>
      <c r="K2542" s="8">
        <v>1.0</v>
      </c>
      <c r="L2542" s="8">
        <v>6.0</v>
      </c>
      <c r="M2542" s="8"/>
      <c r="N2542" s="8"/>
      <c r="O2542" s="8" t="s">
        <v>812</v>
      </c>
      <c r="P2542" s="8" t="e">
        <v>#N/A</v>
      </c>
    </row>
    <row r="2543">
      <c r="A2543">
        <f>IFERROR(__xludf.DUMMYFUNCTION("""COMPUTED_VALUE"""),6.0)</f>
        <v>6</v>
      </c>
      <c r="B2543">
        <f>IFERROR(__xludf.DUMMYFUNCTION("""COMPUTED_VALUE"""),31039.0)</f>
        <v>31039</v>
      </c>
      <c r="C2543" t="str">
        <f>IFERROR(__xludf.DUMMYFUNCTION("""COMPUTED_VALUE"""),"GALLEGO OCAMPO, MARTIN")</f>
        <v>GALLEGO OCAMPO, MARTIN</v>
      </c>
      <c r="D2543" t="str">
        <f>IFERROR(__xludf.DUMMYFUNCTION("""COMPUTED_VALUE"""),"Regular BandS1")</f>
        <v>Regular BandS1</v>
      </c>
      <c r="E2543" s="31" t="str">
        <f>IFERROR(__xludf.DUMMYFUNCTION("""COMPUTED_VALUE"""),"6a")</f>
        <v>6a</v>
      </c>
      <c r="F2543" s="8">
        <v>1.0</v>
      </c>
      <c r="G2543" s="8">
        <v>1.0</v>
      </c>
      <c r="H2543" s="8">
        <v>1.0</v>
      </c>
      <c r="I2543" s="8">
        <v>1.0</v>
      </c>
      <c r="J2543" s="8">
        <v>1.0</v>
      </c>
      <c r="K2543" s="8">
        <v>1.0</v>
      </c>
      <c r="L2543" s="8">
        <v>6.0</v>
      </c>
      <c r="M2543" s="8"/>
      <c r="N2543" s="8"/>
      <c r="O2543" s="8" t="s">
        <v>810</v>
      </c>
      <c r="P2543" s="8" t="e">
        <v>#N/A</v>
      </c>
    </row>
    <row r="2544">
      <c r="A2544">
        <f>IFERROR(__xludf.DUMMYFUNCTION("""COMPUTED_VALUE"""),6.0)</f>
        <v>6</v>
      </c>
      <c r="B2544">
        <f>IFERROR(__xludf.DUMMYFUNCTION("""COMPUTED_VALUE"""),31040.0)</f>
        <v>31040</v>
      </c>
      <c r="C2544" t="str">
        <f>IFERROR(__xludf.DUMMYFUNCTION("""COMPUTED_VALUE"""),"GARCIA ISAZA, VIOLETA")</f>
        <v>GARCIA ISAZA, VIOLETA</v>
      </c>
      <c r="D2544" t="str">
        <f>IFERROR(__xludf.DUMMYFUNCTION("""COMPUTED_VALUE"""),"Tech 6S1")</f>
        <v>Tech 6S1</v>
      </c>
      <c r="E2544" s="31" t="str">
        <f>IFERROR(__xludf.DUMMYFUNCTION("""COMPUTED_VALUE"""),"2a")</f>
        <v>2a</v>
      </c>
      <c r="F2544" s="8">
        <v>1.0</v>
      </c>
      <c r="G2544" s="8">
        <v>1.0</v>
      </c>
      <c r="H2544" s="8">
        <v>1.0</v>
      </c>
      <c r="I2544" s="8">
        <v>1.0</v>
      </c>
      <c r="J2544" s="8">
        <v>1.0</v>
      </c>
      <c r="K2544" s="8">
        <v>1.0</v>
      </c>
      <c r="L2544" s="8">
        <v>6.0</v>
      </c>
      <c r="M2544" s="8"/>
      <c r="N2544" s="8"/>
      <c r="O2544" s="8" t="s">
        <v>817</v>
      </c>
      <c r="P2544" s="8" t="e">
        <v>#N/A</v>
      </c>
    </row>
    <row r="2545">
      <c r="A2545">
        <f>IFERROR(__xludf.DUMMYFUNCTION("""COMPUTED_VALUE"""),6.0)</f>
        <v>6</v>
      </c>
      <c r="B2545">
        <f>IFERROR(__xludf.DUMMYFUNCTION("""COMPUTED_VALUE"""),31042.0)</f>
        <v>31042</v>
      </c>
      <c r="C2545" t="str">
        <f>IFERROR(__xludf.DUMMYFUNCTION("""COMPUTED_VALUE"""),"GAVIRIA ARBELAEZ, AGUSTIN")</f>
        <v>GAVIRIA ARBELAEZ, AGUSTIN</v>
      </c>
      <c r="D2545" t="str">
        <f>IFERROR(__xludf.DUMMYFUNCTION("""COMPUTED_VALUE"""),"Tech 6S1")</f>
        <v>Tech 6S1</v>
      </c>
      <c r="E2545" s="31" t="str">
        <f>IFERROR(__xludf.DUMMYFUNCTION("""COMPUTED_VALUE"""),"6b")</f>
        <v>6b</v>
      </c>
      <c r="F2545" s="8">
        <v>1.0</v>
      </c>
      <c r="G2545" s="8">
        <v>1.0</v>
      </c>
      <c r="H2545" s="8">
        <v>1.0</v>
      </c>
      <c r="I2545" s="8">
        <v>1.0</v>
      </c>
      <c r="J2545" s="8">
        <v>1.0</v>
      </c>
      <c r="K2545" s="8">
        <v>1.0</v>
      </c>
      <c r="L2545" s="8">
        <v>6.0</v>
      </c>
      <c r="M2545" s="8"/>
      <c r="N2545" s="8"/>
      <c r="O2545" s="8" t="s">
        <v>815</v>
      </c>
      <c r="P2545" s="8" t="e">
        <v>#N/A</v>
      </c>
    </row>
    <row r="2546">
      <c r="A2546">
        <f>IFERROR(__xludf.DUMMYFUNCTION("""COMPUTED_VALUE"""),6.0)</f>
        <v>6</v>
      </c>
      <c r="B2546">
        <f>IFERROR(__xludf.DUMMYFUNCTION("""COMPUTED_VALUE"""),31044.0)</f>
        <v>31044</v>
      </c>
      <c r="C2546" t="str">
        <f>IFERROR(__xludf.DUMMYFUNCTION("""COMPUTED_VALUE"""),"GOMEZ ROLDAN, SANTIAGO")</f>
        <v>GOMEZ ROLDAN, SANTIAGO</v>
      </c>
      <c r="D2546" t="str">
        <f>IFERROR(__xludf.DUMMYFUNCTION("""COMPUTED_VALUE"""),"Tech 6S1")</f>
        <v>Tech 6S1</v>
      </c>
      <c r="E2546" s="31" t="str">
        <f>IFERROR(__xludf.DUMMYFUNCTION("""COMPUTED_VALUE"""),"1b")</f>
        <v>1b</v>
      </c>
      <c r="F2546" s="8">
        <v>1.0</v>
      </c>
      <c r="G2546" s="8">
        <v>1.0</v>
      </c>
      <c r="H2546" s="8">
        <v>1.0</v>
      </c>
      <c r="I2546" s="8">
        <v>1.0</v>
      </c>
      <c r="J2546" s="8">
        <v>1.0</v>
      </c>
      <c r="K2546" s="8">
        <v>1.0</v>
      </c>
      <c r="L2546" s="8">
        <v>6.0</v>
      </c>
      <c r="M2546" s="8"/>
      <c r="N2546" s="8"/>
      <c r="O2546" s="8" t="s">
        <v>811</v>
      </c>
      <c r="P2546" s="8" t="e">
        <v>#N/A</v>
      </c>
    </row>
    <row r="2547">
      <c r="A2547">
        <f>IFERROR(__xludf.DUMMYFUNCTION("""COMPUTED_VALUE"""),6.0)</f>
        <v>6</v>
      </c>
      <c r="B2547">
        <f>IFERROR(__xludf.DUMMYFUNCTION("""COMPUTED_VALUE"""),31045.0)</f>
        <v>31045</v>
      </c>
      <c r="C2547" t="str">
        <f>IFERROR(__xludf.DUMMYFUNCTION("""COMPUTED_VALUE"""),"GOMEZ VELASQUEZ, LORENZO")</f>
        <v>GOMEZ VELASQUEZ, LORENZO</v>
      </c>
      <c r="D2547" t="str">
        <f>IFERROR(__xludf.DUMMYFUNCTION("""COMPUTED_VALUE"""),"Regular BandS1")</f>
        <v>Regular BandS1</v>
      </c>
      <c r="E2547" s="31" t="str">
        <f>IFERROR(__xludf.DUMMYFUNCTION("""COMPUTED_VALUE"""),"6a")</f>
        <v>6a</v>
      </c>
      <c r="F2547" s="8">
        <v>1.0</v>
      </c>
      <c r="G2547" s="8">
        <v>1.0</v>
      </c>
      <c r="H2547" s="8">
        <v>1.0</v>
      </c>
      <c r="I2547" s="8">
        <v>1.0</v>
      </c>
      <c r="J2547" s="8">
        <v>1.0</v>
      </c>
      <c r="K2547" s="8">
        <v>1.0</v>
      </c>
      <c r="L2547" s="8">
        <v>6.0</v>
      </c>
      <c r="M2547" s="8"/>
      <c r="N2547" s="8"/>
      <c r="O2547" s="8" t="s">
        <v>810</v>
      </c>
      <c r="P2547" s="8" t="e">
        <v>#N/A</v>
      </c>
    </row>
    <row r="2548">
      <c r="A2548">
        <f>IFERROR(__xludf.DUMMYFUNCTION("""COMPUTED_VALUE"""),6.0)</f>
        <v>6</v>
      </c>
      <c r="B2548">
        <f>IFERROR(__xludf.DUMMYFUNCTION("""COMPUTED_VALUE"""),31046.0)</f>
        <v>31046</v>
      </c>
      <c r="C2548" t="str">
        <f>IFERROR(__xludf.DUMMYFUNCTION("""COMPUTED_VALUE"""),"GONZALEZ LONDOÑO, LAURA")</f>
        <v>GONZALEZ LONDOÑO, LAURA</v>
      </c>
      <c r="D2548" t="str">
        <f>IFERROR(__xludf.DUMMYFUNCTION("""COMPUTED_VALUE"""),"Regular BandS1")</f>
        <v>Regular BandS1</v>
      </c>
      <c r="E2548" s="31" t="str">
        <f>IFERROR(__xludf.DUMMYFUNCTION("""COMPUTED_VALUE"""),"6a")</f>
        <v>6a</v>
      </c>
      <c r="F2548" s="8">
        <v>1.0</v>
      </c>
      <c r="G2548" s="8">
        <v>1.0</v>
      </c>
      <c r="H2548" s="8">
        <v>1.0</v>
      </c>
      <c r="I2548" s="8">
        <v>1.0</v>
      </c>
      <c r="J2548" s="8">
        <v>1.0</v>
      </c>
      <c r="K2548" s="8">
        <v>1.0</v>
      </c>
      <c r="L2548" s="8">
        <v>6.0</v>
      </c>
      <c r="M2548" s="8"/>
      <c r="N2548" s="8"/>
      <c r="O2548" s="8" t="s">
        <v>810</v>
      </c>
      <c r="P2548" s="8" t="e">
        <v>#N/A</v>
      </c>
    </row>
    <row r="2549">
      <c r="A2549">
        <f>IFERROR(__xludf.DUMMYFUNCTION("""COMPUTED_VALUE"""),6.0)</f>
        <v>6</v>
      </c>
      <c r="B2549">
        <f>IFERROR(__xludf.DUMMYFUNCTION("""COMPUTED_VALUE"""),31047.0)</f>
        <v>31047</v>
      </c>
      <c r="C2549" t="str">
        <f>IFERROR(__xludf.DUMMYFUNCTION("""COMPUTED_VALUE"""),"GONZALEZ NICHOLLS, MARIA JOSE")</f>
        <v>GONZALEZ NICHOLLS, MARIA JOSE</v>
      </c>
      <c r="D2549" t="str">
        <f>IFERROR(__xludf.DUMMYFUNCTION("""COMPUTED_VALUE"""),"Regular BandS1")</f>
        <v>Regular BandS1</v>
      </c>
      <c r="E2549" s="31" t="str">
        <f>IFERROR(__xludf.DUMMYFUNCTION("""COMPUTED_VALUE"""),"6a")</f>
        <v>6a</v>
      </c>
      <c r="F2549" s="8">
        <v>1.0</v>
      </c>
      <c r="G2549" s="8">
        <v>1.0</v>
      </c>
      <c r="H2549" s="8">
        <v>1.0</v>
      </c>
      <c r="I2549" s="8">
        <v>1.0</v>
      </c>
      <c r="J2549" s="8">
        <v>1.0</v>
      </c>
      <c r="K2549" s="8">
        <v>1.0</v>
      </c>
      <c r="L2549" s="8">
        <v>6.0</v>
      </c>
      <c r="M2549" s="8"/>
      <c r="N2549" s="8"/>
      <c r="O2549" s="8" t="s">
        <v>810</v>
      </c>
      <c r="P2549" s="8" t="e">
        <v>#N/A</v>
      </c>
    </row>
    <row r="2550">
      <c r="A2550">
        <f>IFERROR(__xludf.DUMMYFUNCTION("""COMPUTED_VALUE"""),6.0)</f>
        <v>6</v>
      </c>
      <c r="B2550">
        <f>IFERROR(__xludf.DUMMYFUNCTION("""COMPUTED_VALUE"""),31170.0)</f>
        <v>31170</v>
      </c>
      <c r="C2550" t="str">
        <f>IFERROR(__xludf.DUMMYFUNCTION("""COMPUTED_VALUE"""),"GRULLON SANTOS, ISABELLA")</f>
        <v>GRULLON SANTOS, ISABELLA</v>
      </c>
      <c r="D2550" t="str">
        <f>IFERROR(__xludf.DUMMYFUNCTION("""COMPUTED_VALUE"""),"Tech 6S1")</f>
        <v>Tech 6S1</v>
      </c>
      <c r="E2550" s="31" t="str">
        <f>IFERROR(__xludf.DUMMYFUNCTION("""COMPUTED_VALUE"""),"1b")</f>
        <v>1b</v>
      </c>
      <c r="F2550" s="8">
        <v>1.0</v>
      </c>
      <c r="G2550" s="8">
        <v>1.0</v>
      </c>
      <c r="H2550" s="8">
        <v>1.0</v>
      </c>
      <c r="I2550" s="8">
        <v>1.0</v>
      </c>
      <c r="J2550" s="8">
        <v>1.0</v>
      </c>
      <c r="K2550" s="8">
        <v>1.0</v>
      </c>
      <c r="L2550" s="8">
        <v>6.0</v>
      </c>
      <c r="M2550" s="8"/>
      <c r="N2550" s="8"/>
      <c r="O2550" s="8" t="s">
        <v>811</v>
      </c>
      <c r="P2550" s="8" t="e">
        <v>#N/A</v>
      </c>
    </row>
    <row r="2551">
      <c r="A2551">
        <f>IFERROR(__xludf.DUMMYFUNCTION("""COMPUTED_VALUE"""),6.0)</f>
        <v>6</v>
      </c>
      <c r="B2551">
        <f>IFERROR(__xludf.DUMMYFUNCTION("""COMPUTED_VALUE"""),31048.0)</f>
        <v>31048</v>
      </c>
      <c r="C2551" t="str">
        <f>IFERROR(__xludf.DUMMYFUNCTION("""COMPUTED_VALUE"""),"GUERRA MARTINEZ, BENJAMIN")</f>
        <v>GUERRA MARTINEZ, BENJAMIN</v>
      </c>
      <c r="D2551" t="str">
        <f>IFERROR(__xludf.DUMMYFUNCTION("""COMPUTED_VALUE"""),"Symphony BandS1")</f>
        <v>Symphony BandS1</v>
      </c>
      <c r="E2551" s="31" t="str">
        <f>IFERROR(__xludf.DUMMYFUNCTION("""COMPUTED_VALUE"""),"5a")</f>
        <v>5a</v>
      </c>
      <c r="F2551" s="8">
        <v>1.0</v>
      </c>
      <c r="G2551" s="8">
        <v>1.0</v>
      </c>
      <c r="H2551" s="8">
        <v>1.0</v>
      </c>
      <c r="I2551" s="8">
        <v>1.0</v>
      </c>
      <c r="J2551" s="8">
        <v>1.0</v>
      </c>
      <c r="K2551" s="8">
        <v>1.0</v>
      </c>
      <c r="L2551" s="8">
        <v>6.0</v>
      </c>
      <c r="M2551" s="8"/>
      <c r="N2551" s="8"/>
      <c r="O2551" s="8" t="s">
        <v>809</v>
      </c>
      <c r="P2551" s="8" t="e">
        <v>#N/A</v>
      </c>
    </row>
    <row r="2552">
      <c r="A2552">
        <f>IFERROR(__xludf.DUMMYFUNCTION("""COMPUTED_VALUE"""),6.0)</f>
        <v>6</v>
      </c>
      <c r="B2552">
        <f>IFERROR(__xludf.DUMMYFUNCTION("""COMPUTED_VALUE"""),31049.0)</f>
        <v>31049</v>
      </c>
      <c r="C2552" t="str">
        <f>IFERROR(__xludf.DUMMYFUNCTION("""COMPUTED_VALUE"""),"HENAO MARTINEZ, SOFIA")</f>
        <v>HENAO MARTINEZ, SOFIA</v>
      </c>
      <c r="D2552" t="str">
        <f>IFERROR(__xludf.DUMMYFUNCTION("""COMPUTED_VALUE"""),"Regular BandS1")</f>
        <v>Regular BandS1</v>
      </c>
      <c r="E2552" s="31" t="str">
        <f>IFERROR(__xludf.DUMMYFUNCTION("""COMPUTED_VALUE"""),"6a")</f>
        <v>6a</v>
      </c>
      <c r="F2552" s="8">
        <v>1.0</v>
      </c>
      <c r="G2552" s="8">
        <v>1.0</v>
      </c>
      <c r="H2552" s="8">
        <v>1.0</v>
      </c>
      <c r="I2552" s="8">
        <v>1.0</v>
      </c>
      <c r="J2552" s="8">
        <v>1.0</v>
      </c>
      <c r="K2552" s="8">
        <v>1.0</v>
      </c>
      <c r="L2552" s="8">
        <v>6.0</v>
      </c>
      <c r="M2552" s="8"/>
      <c r="N2552" s="8"/>
      <c r="O2552" s="8" t="s">
        <v>810</v>
      </c>
      <c r="P2552" s="8" t="e">
        <v>#N/A</v>
      </c>
    </row>
    <row r="2553">
      <c r="A2553">
        <f>IFERROR(__xludf.DUMMYFUNCTION("""COMPUTED_VALUE"""),6.0)</f>
        <v>6</v>
      </c>
      <c r="B2553">
        <f>IFERROR(__xludf.DUMMYFUNCTION("""COMPUTED_VALUE"""),31052.0)</f>
        <v>31052</v>
      </c>
      <c r="C2553" t="str">
        <f>IFERROR(__xludf.DUMMYFUNCTION("""COMPUTED_VALUE"""),"IBAÑEZ MONTOYA, VALENTINA")</f>
        <v>IBAÑEZ MONTOYA, VALENTINA</v>
      </c>
      <c r="D2553" t="str">
        <f>IFERROR(__xludf.DUMMYFUNCTION("""COMPUTED_VALUE"""),"Symphony BandS1")</f>
        <v>Symphony BandS1</v>
      </c>
      <c r="E2553" s="31" t="str">
        <f>IFERROR(__xludf.DUMMYFUNCTION("""COMPUTED_VALUE"""),"5a")</f>
        <v>5a</v>
      </c>
      <c r="F2553" s="8">
        <v>1.0</v>
      </c>
      <c r="G2553" s="8">
        <v>1.0</v>
      </c>
      <c r="H2553" s="8">
        <v>1.0</v>
      </c>
      <c r="I2553" s="8">
        <v>1.0</v>
      </c>
      <c r="J2553" s="8">
        <v>1.0</v>
      </c>
      <c r="K2553" s="8">
        <v>1.0</v>
      </c>
      <c r="L2553" s="8">
        <v>6.0</v>
      </c>
      <c r="M2553" s="8"/>
      <c r="N2553" s="8"/>
      <c r="O2553" s="8" t="s">
        <v>809</v>
      </c>
      <c r="P2553" s="8" t="e">
        <v>#N/A</v>
      </c>
    </row>
    <row r="2554">
      <c r="A2554">
        <f>IFERROR(__xludf.DUMMYFUNCTION("""COMPUTED_VALUE"""),6.0)</f>
        <v>6</v>
      </c>
      <c r="B2554">
        <f>IFERROR(__xludf.DUMMYFUNCTION("""COMPUTED_VALUE"""),31054.0)</f>
        <v>31054</v>
      </c>
      <c r="C2554" t="str">
        <f>IFERROR(__xludf.DUMMYFUNCTION("""COMPUTED_VALUE"""),"JALLER TRUJILLO, MARIA")</f>
        <v>JALLER TRUJILLO, MARIA</v>
      </c>
      <c r="D2554" t="str">
        <f>IFERROR(__xludf.DUMMYFUNCTION("""COMPUTED_VALUE"""),"Art 6S1")</f>
        <v>Art 6S1</v>
      </c>
      <c r="E2554" s="31" t="str">
        <f>IFERROR(__xludf.DUMMYFUNCTION("""COMPUTED_VALUE"""),"4a")</f>
        <v>4a</v>
      </c>
      <c r="F2554" s="8">
        <v>1.0</v>
      </c>
      <c r="G2554" s="8">
        <v>1.0</v>
      </c>
      <c r="H2554" s="8">
        <v>1.0</v>
      </c>
      <c r="I2554" s="8">
        <v>1.0</v>
      </c>
      <c r="J2554" s="8">
        <v>1.0</v>
      </c>
      <c r="K2554" s="8">
        <v>1.0</v>
      </c>
      <c r="L2554" s="8">
        <v>6.0</v>
      </c>
      <c r="M2554" s="8"/>
      <c r="N2554" s="8"/>
      <c r="O2554" s="8" t="s">
        <v>808</v>
      </c>
      <c r="P2554" s="8" t="e">
        <v>#N/A</v>
      </c>
    </row>
    <row r="2555">
      <c r="A2555">
        <f>IFERROR(__xludf.DUMMYFUNCTION("""COMPUTED_VALUE"""),6.0)</f>
        <v>6</v>
      </c>
      <c r="B2555">
        <f>IFERROR(__xludf.DUMMYFUNCTION("""COMPUTED_VALUE"""),31053.0)</f>
        <v>31053</v>
      </c>
      <c r="C2555" t="str">
        <f>IFERROR(__xludf.DUMMYFUNCTION("""COMPUTED_VALUE"""),"JALLER VELEZ, MARTINA")</f>
        <v>JALLER VELEZ, MARTINA</v>
      </c>
      <c r="D2555" t="str">
        <f>IFERROR(__xludf.DUMMYFUNCTION("""COMPUTED_VALUE"""),"Art 6S1")</f>
        <v>Art 6S1</v>
      </c>
      <c r="E2555" s="31" t="str">
        <f>IFERROR(__xludf.DUMMYFUNCTION("""COMPUTED_VALUE"""),"2a")</f>
        <v>2a</v>
      </c>
      <c r="F2555" s="8">
        <v>1.0</v>
      </c>
      <c r="G2555" s="8">
        <v>1.0</v>
      </c>
      <c r="H2555" s="8">
        <v>1.0</v>
      </c>
      <c r="I2555" s="8">
        <v>1.0</v>
      </c>
      <c r="J2555" s="8">
        <v>1.0</v>
      </c>
      <c r="K2555" s="8">
        <v>1.0</v>
      </c>
      <c r="L2555" s="8">
        <v>6.0</v>
      </c>
      <c r="M2555" s="8"/>
      <c r="N2555" s="8"/>
      <c r="O2555" s="8" t="s">
        <v>816</v>
      </c>
      <c r="P2555" s="8" t="e">
        <v>#N/A</v>
      </c>
    </row>
    <row r="2556">
      <c r="A2556">
        <f>IFERROR(__xludf.DUMMYFUNCTION("""COMPUTED_VALUE"""),6.0)</f>
        <v>6</v>
      </c>
      <c r="B2556">
        <f>IFERROR(__xludf.DUMMYFUNCTION("""COMPUTED_VALUE"""),31057.0)</f>
        <v>31057</v>
      </c>
      <c r="C2556" t="str">
        <f>IFERROR(__xludf.DUMMYFUNCTION("""COMPUTED_VALUE"""),"JARAMILLO ARBELAEZ, AMALIA")</f>
        <v>JARAMILLO ARBELAEZ, AMALIA</v>
      </c>
      <c r="D2556" t="str">
        <f>IFERROR(__xludf.DUMMYFUNCTION("""COMPUTED_VALUE"""),"Tech 6S1")</f>
        <v>Tech 6S1</v>
      </c>
      <c r="E2556" s="31" t="str">
        <f>IFERROR(__xludf.DUMMYFUNCTION("""COMPUTED_VALUE"""),"1b")</f>
        <v>1b</v>
      </c>
      <c r="F2556" s="8">
        <v>1.0</v>
      </c>
      <c r="G2556" s="8">
        <v>1.0</v>
      </c>
      <c r="H2556" s="8">
        <v>1.0</v>
      </c>
      <c r="I2556" s="8">
        <v>1.0</v>
      </c>
      <c r="J2556" s="8">
        <v>1.0</v>
      </c>
      <c r="K2556" s="8">
        <v>1.0</v>
      </c>
      <c r="L2556" s="8">
        <v>6.0</v>
      </c>
      <c r="M2556" s="8"/>
      <c r="N2556" s="8"/>
      <c r="O2556" s="8" t="s">
        <v>811</v>
      </c>
      <c r="P2556" s="8" t="e">
        <v>#N/A</v>
      </c>
    </row>
    <row r="2557">
      <c r="A2557">
        <f>IFERROR(__xludf.DUMMYFUNCTION("""COMPUTED_VALUE"""),6.0)</f>
        <v>6</v>
      </c>
      <c r="B2557">
        <f>IFERROR(__xludf.DUMMYFUNCTION("""COMPUTED_VALUE"""),31055.0)</f>
        <v>31055</v>
      </c>
      <c r="C2557" t="str">
        <f>IFERROR(__xludf.DUMMYFUNCTION("""COMPUTED_VALUE"""),"JARAMILLO GONZALEZ, MARIA")</f>
        <v>JARAMILLO GONZALEZ, MARIA</v>
      </c>
      <c r="D2557" t="str">
        <f>IFERROR(__xludf.DUMMYFUNCTION("""COMPUTED_VALUE"""),"Tech 6S1")</f>
        <v>Tech 6S1</v>
      </c>
      <c r="E2557" s="31" t="str">
        <f>IFERROR(__xludf.DUMMYFUNCTION("""COMPUTED_VALUE"""),"2a")</f>
        <v>2a</v>
      </c>
      <c r="F2557" s="8">
        <v>1.0</v>
      </c>
      <c r="G2557" s="8">
        <v>1.0</v>
      </c>
      <c r="H2557" s="8">
        <v>1.0</v>
      </c>
      <c r="I2557" s="8">
        <v>1.0</v>
      </c>
      <c r="J2557" s="8">
        <v>1.0</v>
      </c>
      <c r="K2557" s="8">
        <v>1.0</v>
      </c>
      <c r="L2557" s="8">
        <v>6.0</v>
      </c>
      <c r="M2557" s="8"/>
      <c r="N2557" s="8"/>
      <c r="O2557" s="8" t="s">
        <v>817</v>
      </c>
      <c r="P2557" s="8" t="e">
        <v>#N/A</v>
      </c>
    </row>
    <row r="2558">
      <c r="A2558">
        <f>IFERROR(__xludf.DUMMYFUNCTION("""COMPUTED_VALUE"""),6.0)</f>
        <v>6</v>
      </c>
      <c r="B2558">
        <f>IFERROR(__xludf.DUMMYFUNCTION("""COMPUTED_VALUE"""),31058.0)</f>
        <v>31058</v>
      </c>
      <c r="C2558" t="str">
        <f>IFERROR(__xludf.DUMMYFUNCTION("""COMPUTED_VALUE"""),"JARAMILLO OCHOA, LUCAS")</f>
        <v>JARAMILLO OCHOA, LUCAS</v>
      </c>
      <c r="D2558" t="str">
        <f>IFERROR(__xludf.DUMMYFUNCTION("""COMPUTED_VALUE"""),"Tech 6S1")</f>
        <v>Tech 6S1</v>
      </c>
      <c r="E2558" s="31" t="str">
        <f>IFERROR(__xludf.DUMMYFUNCTION("""COMPUTED_VALUE"""),"6b")</f>
        <v>6b</v>
      </c>
      <c r="F2558" s="8">
        <v>1.0</v>
      </c>
      <c r="G2558" s="8">
        <v>1.0</v>
      </c>
      <c r="H2558" s="8">
        <v>1.0</v>
      </c>
      <c r="I2558" s="8">
        <v>1.0</v>
      </c>
      <c r="J2558" s="8">
        <v>1.0</v>
      </c>
      <c r="K2558" s="8">
        <v>1.0</v>
      </c>
      <c r="L2558" s="8">
        <v>6.0</v>
      </c>
      <c r="M2558" s="8"/>
      <c r="N2558" s="8"/>
      <c r="O2558" s="8" t="s">
        <v>815</v>
      </c>
      <c r="P2558" s="8" t="e">
        <v>#N/A</v>
      </c>
    </row>
    <row r="2559">
      <c r="A2559">
        <f>IFERROR(__xludf.DUMMYFUNCTION("""COMPUTED_VALUE"""),6.0)</f>
        <v>6</v>
      </c>
      <c r="B2559">
        <f>IFERROR(__xludf.DUMMYFUNCTION("""COMPUTED_VALUE"""),31059.0)</f>
        <v>31059</v>
      </c>
      <c r="C2559" t="str">
        <f>IFERROR(__xludf.DUMMYFUNCTION("""COMPUTED_VALUE"""),"JIMENEZ ESCOBAR, ROSARIO")</f>
        <v>JIMENEZ ESCOBAR, ROSARIO</v>
      </c>
      <c r="D2559" t="str">
        <f>IFERROR(__xludf.DUMMYFUNCTION("""COMPUTED_VALUE"""),"Symphony BandS1")</f>
        <v>Symphony BandS1</v>
      </c>
      <c r="E2559" s="31" t="str">
        <f>IFERROR(__xludf.DUMMYFUNCTION("""COMPUTED_VALUE"""),"5a")</f>
        <v>5a</v>
      </c>
      <c r="F2559" s="8">
        <v>1.0</v>
      </c>
      <c r="G2559" s="8">
        <v>1.0</v>
      </c>
      <c r="H2559" s="8">
        <v>1.0</v>
      </c>
      <c r="I2559" s="8">
        <v>1.0</v>
      </c>
      <c r="J2559" s="8">
        <v>1.0</v>
      </c>
      <c r="K2559" s="8">
        <v>1.0</v>
      </c>
      <c r="L2559" s="8">
        <v>6.0</v>
      </c>
      <c r="M2559" s="8"/>
      <c r="N2559" s="8"/>
      <c r="O2559" s="8" t="s">
        <v>809</v>
      </c>
      <c r="P2559" s="8" t="e">
        <v>#N/A</v>
      </c>
    </row>
    <row r="2560">
      <c r="A2560">
        <f>IFERROR(__xludf.DUMMYFUNCTION("""COMPUTED_VALUE"""),6.0)</f>
        <v>6</v>
      </c>
      <c r="B2560">
        <f>IFERROR(__xludf.DUMMYFUNCTION("""COMPUTED_VALUE"""),31172.0)</f>
        <v>31172</v>
      </c>
      <c r="C2560" t="str">
        <f>IFERROR(__xludf.DUMMYFUNCTION("""COMPUTED_VALUE"""),"JONCK CORRENTE, CLARICE")</f>
        <v>JONCK CORRENTE, CLARICE</v>
      </c>
      <c r="D2560" t="str">
        <f>IFERROR(__xludf.DUMMYFUNCTION("""COMPUTED_VALUE"""),"Art 6S1")</f>
        <v>Art 6S1</v>
      </c>
      <c r="E2560" s="31" t="str">
        <f>IFERROR(__xludf.DUMMYFUNCTION("""COMPUTED_VALUE"""),"1b")</f>
        <v>1b</v>
      </c>
      <c r="F2560" s="8">
        <v>1.0</v>
      </c>
      <c r="G2560" s="8">
        <v>1.0</v>
      </c>
      <c r="H2560" s="8">
        <v>1.0</v>
      </c>
      <c r="I2560" s="8">
        <v>1.0</v>
      </c>
      <c r="J2560" s="8">
        <v>1.0</v>
      </c>
      <c r="K2560" s="8">
        <v>1.0</v>
      </c>
      <c r="L2560" s="8">
        <v>6.0</v>
      </c>
      <c r="M2560" s="8"/>
      <c r="N2560" s="8"/>
      <c r="O2560" s="8" t="s">
        <v>813</v>
      </c>
      <c r="P2560" s="8" t="e">
        <v>#N/A</v>
      </c>
    </row>
    <row r="2561">
      <c r="A2561">
        <f>IFERROR(__xludf.DUMMYFUNCTION("""COMPUTED_VALUE"""),6.0)</f>
        <v>6</v>
      </c>
      <c r="B2561">
        <f>IFERROR(__xludf.DUMMYFUNCTION("""COMPUTED_VALUE"""),31061.0)</f>
        <v>31061</v>
      </c>
      <c r="C2561" t="str">
        <f>IFERROR(__xludf.DUMMYFUNCTION("""COMPUTED_VALUE"""),"LAVERDE GIRALDO, CONSTANTINO")</f>
        <v>LAVERDE GIRALDO, CONSTANTINO</v>
      </c>
      <c r="D2561" t="str">
        <f>IFERROR(__xludf.DUMMYFUNCTION("""COMPUTED_VALUE"""),"Regular BandS1")</f>
        <v>Regular BandS1</v>
      </c>
      <c r="E2561" s="31" t="str">
        <f>IFERROR(__xludf.DUMMYFUNCTION("""COMPUTED_VALUE"""),"6a")</f>
        <v>6a</v>
      </c>
      <c r="F2561" s="8">
        <v>1.0</v>
      </c>
      <c r="G2561" s="8">
        <v>1.0</v>
      </c>
      <c r="H2561" s="8">
        <v>1.0</v>
      </c>
      <c r="I2561" s="8">
        <v>1.0</v>
      </c>
      <c r="J2561" s="8">
        <v>1.0</v>
      </c>
      <c r="K2561" s="8">
        <v>1.0</v>
      </c>
      <c r="L2561" s="8">
        <v>6.0</v>
      </c>
      <c r="M2561" s="8"/>
      <c r="N2561" s="8"/>
      <c r="O2561" s="8" t="s">
        <v>810</v>
      </c>
      <c r="P2561" s="8" t="e">
        <v>#N/A</v>
      </c>
    </row>
    <row r="2562">
      <c r="A2562">
        <f>IFERROR(__xludf.DUMMYFUNCTION("""COMPUTED_VALUE"""),6.0)</f>
        <v>6</v>
      </c>
      <c r="B2562">
        <f>IFERROR(__xludf.DUMMYFUNCTION("""COMPUTED_VALUE"""),31060.0)</f>
        <v>31060</v>
      </c>
      <c r="C2562" t="str">
        <f>IFERROR(__xludf.DUMMYFUNCTION("""COMPUTED_VALUE"""),"LAVERDE MOLINA, MATIAS")</f>
        <v>LAVERDE MOLINA, MATIAS</v>
      </c>
      <c r="D2562" t="str">
        <f>IFERROR(__xludf.DUMMYFUNCTION("""COMPUTED_VALUE"""),"Symphony BandS1")</f>
        <v>Symphony BandS1</v>
      </c>
      <c r="E2562" s="31" t="str">
        <f>IFERROR(__xludf.DUMMYFUNCTION("""COMPUTED_VALUE"""),"5a")</f>
        <v>5a</v>
      </c>
      <c r="F2562" s="8">
        <v>1.0</v>
      </c>
      <c r="G2562" s="8">
        <v>1.0</v>
      </c>
      <c r="H2562" s="8">
        <v>1.0</v>
      </c>
      <c r="I2562" s="8">
        <v>1.0</v>
      </c>
      <c r="J2562" s="8">
        <v>1.0</v>
      </c>
      <c r="K2562" s="8">
        <v>1.0</v>
      </c>
      <c r="L2562" s="8">
        <v>6.0</v>
      </c>
      <c r="M2562" s="8"/>
      <c r="N2562" s="8"/>
      <c r="O2562" s="8" t="s">
        <v>809</v>
      </c>
      <c r="P2562" s="8" t="e">
        <v>#N/A</v>
      </c>
    </row>
    <row r="2563">
      <c r="A2563">
        <f>IFERROR(__xludf.DUMMYFUNCTION("""COMPUTED_VALUE"""),6.0)</f>
        <v>6</v>
      </c>
      <c r="B2563">
        <f>IFERROR(__xludf.DUMMYFUNCTION("""COMPUTED_VALUE"""),31062.0)</f>
        <v>31062</v>
      </c>
      <c r="C2563" t="str">
        <f>IFERROR(__xludf.DUMMYFUNCTION("""COMPUTED_VALUE"""),"LEMA GARCIA, MIA")</f>
        <v>LEMA GARCIA, MIA</v>
      </c>
      <c r="D2563" t="str">
        <f>IFERROR(__xludf.DUMMYFUNCTION("""COMPUTED_VALUE"""),"Tech 6S1")</f>
        <v>Tech 6S1</v>
      </c>
      <c r="E2563" s="31" t="str">
        <f>IFERROR(__xludf.DUMMYFUNCTION("""COMPUTED_VALUE"""),"6b")</f>
        <v>6b</v>
      </c>
      <c r="F2563" s="8">
        <v>1.0</v>
      </c>
      <c r="G2563" s="8">
        <v>1.0</v>
      </c>
      <c r="H2563" s="8">
        <v>1.0</v>
      </c>
      <c r="I2563" s="8">
        <v>1.0</v>
      </c>
      <c r="J2563" s="8">
        <v>1.0</v>
      </c>
      <c r="K2563" s="8">
        <v>1.0</v>
      </c>
      <c r="L2563" s="8">
        <v>6.0</v>
      </c>
      <c r="M2563" s="8"/>
      <c r="N2563" s="8"/>
      <c r="O2563" s="8" t="s">
        <v>815</v>
      </c>
      <c r="P2563" s="8" t="e">
        <v>#N/A</v>
      </c>
    </row>
    <row r="2564">
      <c r="A2564">
        <f>IFERROR(__xludf.DUMMYFUNCTION("""COMPUTED_VALUE"""),6.0)</f>
        <v>6</v>
      </c>
      <c r="B2564">
        <f>IFERROR(__xludf.DUMMYFUNCTION("""COMPUTED_VALUE"""),31063.0)</f>
        <v>31063</v>
      </c>
      <c r="C2564" t="str">
        <f>IFERROR(__xludf.DUMMYFUNCTION("""COMPUTED_VALUE"""),"LONDOÑO ARRIOLA, LUCIA")</f>
        <v>LONDOÑO ARRIOLA, LUCIA</v>
      </c>
      <c r="D2564" t="str">
        <f>IFERROR(__xludf.DUMMYFUNCTION("""COMPUTED_VALUE"""),"Tech 6S1")</f>
        <v>Tech 6S1</v>
      </c>
      <c r="E2564" s="31" t="str">
        <f>IFERROR(__xludf.DUMMYFUNCTION("""COMPUTED_VALUE"""),"4a")</f>
        <v>4a</v>
      </c>
      <c r="F2564" s="8">
        <v>1.0</v>
      </c>
      <c r="G2564" s="8">
        <v>1.0</v>
      </c>
      <c r="H2564" s="8">
        <v>1.0</v>
      </c>
      <c r="I2564" s="8">
        <v>1.0</v>
      </c>
      <c r="J2564" s="8">
        <v>1.0</v>
      </c>
      <c r="K2564" s="8">
        <v>1.0</v>
      </c>
      <c r="L2564" s="8">
        <v>6.0</v>
      </c>
      <c r="M2564" s="8"/>
      <c r="N2564" s="8"/>
      <c r="O2564" s="8" t="s">
        <v>812</v>
      </c>
      <c r="P2564" s="8" t="e">
        <v>#N/A</v>
      </c>
    </row>
    <row r="2565">
      <c r="A2565">
        <f>IFERROR(__xludf.DUMMYFUNCTION("""COMPUTED_VALUE"""),6.0)</f>
        <v>6</v>
      </c>
      <c r="B2565">
        <f>IFERROR(__xludf.DUMMYFUNCTION("""COMPUTED_VALUE"""),32076.0)</f>
        <v>32076</v>
      </c>
      <c r="C2565" t="str">
        <f>IFERROR(__xludf.DUMMYFUNCTION("""COMPUTED_VALUE"""),"LONDOÑO BAQUERO, JUAN")</f>
        <v>LONDOÑO BAQUERO, JUAN</v>
      </c>
      <c r="D2565" t="str">
        <f>IFERROR(__xludf.DUMMYFUNCTION("""COMPUTED_VALUE"""),"Art 6S1")</f>
        <v>Art 6S1</v>
      </c>
      <c r="E2565" s="31" t="str">
        <f>IFERROR(__xludf.DUMMYFUNCTION("""COMPUTED_VALUE"""),"2a")</f>
        <v>2a</v>
      </c>
      <c r="F2565" s="8">
        <v>1.0</v>
      </c>
      <c r="G2565" s="8">
        <v>1.0</v>
      </c>
      <c r="H2565" s="8">
        <v>1.0</v>
      </c>
      <c r="I2565" s="8">
        <v>1.0</v>
      </c>
      <c r="J2565" s="8">
        <v>1.0</v>
      </c>
      <c r="K2565" s="8">
        <v>1.0</v>
      </c>
      <c r="L2565" s="8">
        <v>6.0</v>
      </c>
      <c r="M2565" s="8"/>
      <c r="N2565" s="8"/>
      <c r="O2565" s="8" t="s">
        <v>816</v>
      </c>
      <c r="P2565" s="8" t="e">
        <v>#N/A</v>
      </c>
    </row>
    <row r="2566">
      <c r="A2566">
        <f>IFERROR(__xludf.DUMMYFUNCTION("""COMPUTED_VALUE"""),6.0)</f>
        <v>6</v>
      </c>
      <c r="B2566">
        <f>IFERROR(__xludf.DUMMYFUNCTION("""COMPUTED_VALUE"""),31064.0)</f>
        <v>31064</v>
      </c>
      <c r="C2566" t="str">
        <f>IFERROR(__xludf.DUMMYFUNCTION("""COMPUTED_VALUE"""),"MARQUEZ BARRERA, LORENZO CAYETANO")</f>
        <v>MARQUEZ BARRERA, LORENZO CAYETANO</v>
      </c>
      <c r="D2566" t="str">
        <f>IFERROR(__xludf.DUMMYFUNCTION("""COMPUTED_VALUE"""),"Art 6S1")</f>
        <v>Art 6S1</v>
      </c>
      <c r="E2566" s="31" t="str">
        <f>IFERROR(__xludf.DUMMYFUNCTION("""COMPUTED_VALUE"""),"4a")</f>
        <v>4a</v>
      </c>
      <c r="F2566" s="8">
        <v>1.0</v>
      </c>
      <c r="G2566" s="8">
        <v>1.0</v>
      </c>
      <c r="H2566" s="8">
        <v>1.0</v>
      </c>
      <c r="I2566" s="8">
        <v>1.0</v>
      </c>
      <c r="J2566" s="8">
        <v>1.0</v>
      </c>
      <c r="K2566" s="8">
        <v>1.0</v>
      </c>
      <c r="L2566" s="8">
        <v>6.0</v>
      </c>
      <c r="M2566" s="8"/>
      <c r="N2566" s="8"/>
      <c r="O2566" s="8" t="s">
        <v>808</v>
      </c>
      <c r="P2566" s="8" t="e">
        <v>#N/A</v>
      </c>
    </row>
    <row r="2567">
      <c r="A2567">
        <f>IFERROR(__xludf.DUMMYFUNCTION("""COMPUTED_VALUE"""),6.0)</f>
        <v>6</v>
      </c>
      <c r="B2567">
        <f>IFERROR(__xludf.DUMMYFUNCTION("""COMPUTED_VALUE"""),31065.0)</f>
        <v>31065</v>
      </c>
      <c r="C2567" t="str">
        <f>IFERROR(__xludf.DUMMYFUNCTION("""COMPUTED_VALUE"""),"MARTINEZ UPEGUI, PEDRO")</f>
        <v>MARTINEZ UPEGUI, PEDRO</v>
      </c>
      <c r="D2567" t="str">
        <f>IFERROR(__xludf.DUMMYFUNCTION("""COMPUTED_VALUE"""),"Tech 6S1")</f>
        <v>Tech 6S1</v>
      </c>
      <c r="E2567" s="31" t="str">
        <f>IFERROR(__xludf.DUMMYFUNCTION("""COMPUTED_VALUE"""),"2a")</f>
        <v>2a</v>
      </c>
      <c r="F2567" s="8">
        <v>1.0</v>
      </c>
      <c r="G2567" s="8">
        <v>1.0</v>
      </c>
      <c r="H2567" s="8">
        <v>1.0</v>
      </c>
      <c r="I2567" s="8">
        <v>1.0</v>
      </c>
      <c r="J2567" s="8">
        <v>1.0</v>
      </c>
      <c r="K2567" s="8">
        <v>1.0</v>
      </c>
      <c r="L2567" s="8">
        <v>6.0</v>
      </c>
      <c r="M2567" s="8"/>
      <c r="N2567" s="8"/>
      <c r="O2567" s="8" t="s">
        <v>817</v>
      </c>
      <c r="P2567" s="8" t="e">
        <v>#N/A</v>
      </c>
    </row>
    <row r="2568">
      <c r="A2568">
        <f>IFERROR(__xludf.DUMMYFUNCTION("""COMPUTED_VALUE"""),6.0)</f>
        <v>6</v>
      </c>
      <c r="B2568">
        <f>IFERROR(__xludf.DUMMYFUNCTION("""COMPUTED_VALUE"""),31066.0)</f>
        <v>31066</v>
      </c>
      <c r="C2568" t="str">
        <f>IFERROR(__xludf.DUMMYFUNCTION("""COMPUTED_VALUE"""),"MATALLANA TOBON, ROSARIO")</f>
        <v>MATALLANA TOBON, ROSARIO</v>
      </c>
      <c r="D2568" t="str">
        <f>IFERROR(__xludf.DUMMYFUNCTION("""COMPUTED_VALUE"""),"Tech 6S1")</f>
        <v>Tech 6S1</v>
      </c>
      <c r="E2568" s="31" t="str">
        <f>IFERROR(__xludf.DUMMYFUNCTION("""COMPUTED_VALUE"""),"1b")</f>
        <v>1b</v>
      </c>
      <c r="F2568" s="8">
        <v>1.0</v>
      </c>
      <c r="G2568" s="8">
        <v>1.0</v>
      </c>
      <c r="H2568" s="8">
        <v>1.0</v>
      </c>
      <c r="I2568" s="8">
        <v>1.0</v>
      </c>
      <c r="J2568" s="8">
        <v>1.0</v>
      </c>
      <c r="K2568" s="8">
        <v>1.0</v>
      </c>
      <c r="L2568" s="8">
        <v>6.0</v>
      </c>
      <c r="M2568" s="8"/>
      <c r="N2568" s="8"/>
      <c r="O2568" s="8" t="s">
        <v>811</v>
      </c>
      <c r="P2568" s="8" t="e">
        <v>#N/A</v>
      </c>
    </row>
    <row r="2569">
      <c r="A2569">
        <f>IFERROR(__xludf.DUMMYFUNCTION("""COMPUTED_VALUE"""),6.0)</f>
        <v>6</v>
      </c>
      <c r="B2569">
        <f>IFERROR(__xludf.DUMMYFUNCTION("""COMPUTED_VALUE"""),31067.0)</f>
        <v>31067</v>
      </c>
      <c r="C2569" t="str">
        <f>IFERROR(__xludf.DUMMYFUNCTION("""COMPUTED_VALUE"""),"MAYA BEDOYA, EMILIA")</f>
        <v>MAYA BEDOYA, EMILIA</v>
      </c>
      <c r="D2569" t="str">
        <f>IFERROR(__xludf.DUMMYFUNCTION("""COMPUTED_VALUE"""),"Art 6S1")</f>
        <v>Art 6S1</v>
      </c>
      <c r="E2569" s="31" t="str">
        <f>IFERROR(__xludf.DUMMYFUNCTION("""COMPUTED_VALUE"""),"4a")</f>
        <v>4a</v>
      </c>
      <c r="F2569" s="8">
        <v>1.0</v>
      </c>
      <c r="G2569" s="8">
        <v>1.0</v>
      </c>
      <c r="H2569" s="8">
        <v>1.0</v>
      </c>
      <c r="I2569" s="8">
        <v>1.0</v>
      </c>
      <c r="J2569" s="8">
        <v>1.0</v>
      </c>
      <c r="K2569" s="8">
        <v>1.0</v>
      </c>
      <c r="L2569" s="8">
        <v>6.0</v>
      </c>
      <c r="M2569" s="8"/>
      <c r="N2569" s="8"/>
      <c r="O2569" s="8" t="s">
        <v>808</v>
      </c>
      <c r="P2569" s="8" t="e">
        <v>#N/A</v>
      </c>
    </row>
    <row r="2570">
      <c r="A2570">
        <f>IFERROR(__xludf.DUMMYFUNCTION("""COMPUTED_VALUE"""),6.0)</f>
        <v>6</v>
      </c>
      <c r="B2570">
        <f>IFERROR(__xludf.DUMMYFUNCTION("""COMPUTED_VALUE"""),31149.0)</f>
        <v>31149</v>
      </c>
      <c r="C2570" t="str">
        <f>IFERROR(__xludf.DUMMYFUNCTION("""COMPUTED_VALUE"""),"MAZO DIAZ, ANTONIO")</f>
        <v>MAZO DIAZ, ANTONIO</v>
      </c>
      <c r="D2570" t="str">
        <f>IFERROR(__xludf.DUMMYFUNCTION("""COMPUTED_VALUE"""),"Symphony BandS1")</f>
        <v>Symphony BandS1</v>
      </c>
      <c r="E2570" s="31" t="str">
        <f>IFERROR(__xludf.DUMMYFUNCTION("""COMPUTED_VALUE"""),"5a")</f>
        <v>5a</v>
      </c>
      <c r="F2570" s="8">
        <v>1.0</v>
      </c>
      <c r="G2570" s="8">
        <v>1.0</v>
      </c>
      <c r="H2570" s="8">
        <v>1.0</v>
      </c>
      <c r="I2570" s="8">
        <v>1.0</v>
      </c>
      <c r="J2570" s="8">
        <v>1.0</v>
      </c>
      <c r="K2570" s="8">
        <v>1.0</v>
      </c>
      <c r="L2570" s="8">
        <v>6.0</v>
      </c>
      <c r="M2570" s="8"/>
      <c r="N2570" s="8"/>
      <c r="O2570" s="8" t="s">
        <v>809</v>
      </c>
      <c r="P2570" s="8" t="e">
        <v>#N/A</v>
      </c>
    </row>
    <row r="2571">
      <c r="A2571">
        <f>IFERROR(__xludf.DUMMYFUNCTION("""COMPUTED_VALUE"""),6.0)</f>
        <v>6</v>
      </c>
      <c r="B2571">
        <f>IFERROR(__xludf.DUMMYFUNCTION("""COMPUTED_VALUE"""),31164.0)</f>
        <v>31164</v>
      </c>
      <c r="C2571" t="str">
        <f>IFERROR(__xludf.DUMMYFUNCTION("""COMPUTED_VALUE"""),"MCGARGHAN, RHYS LEIGH-ANNA")</f>
        <v>MCGARGHAN, RHYS LEIGH-ANNA</v>
      </c>
      <c r="D2571" t="str">
        <f>IFERROR(__xludf.DUMMYFUNCTION("""COMPUTED_VALUE"""),"Art 6S1")</f>
        <v>Art 6S1</v>
      </c>
      <c r="E2571" s="31" t="str">
        <f>IFERROR(__xludf.DUMMYFUNCTION("""COMPUTED_VALUE"""),"1b")</f>
        <v>1b</v>
      </c>
      <c r="F2571" s="8">
        <v>1.0</v>
      </c>
      <c r="G2571" s="8">
        <v>1.0</v>
      </c>
      <c r="H2571" s="8">
        <v>1.0</v>
      </c>
      <c r="I2571" s="8">
        <v>1.0</v>
      </c>
      <c r="J2571" s="8">
        <v>1.0</v>
      </c>
      <c r="K2571" s="8">
        <v>1.0</v>
      </c>
      <c r="L2571" s="8">
        <v>6.0</v>
      </c>
      <c r="M2571" s="8"/>
      <c r="N2571" s="8"/>
      <c r="O2571" s="8" t="s">
        <v>813</v>
      </c>
      <c r="P2571" s="8" t="e">
        <v>#N/A</v>
      </c>
    </row>
    <row r="2572">
      <c r="A2572">
        <f>IFERROR(__xludf.DUMMYFUNCTION("""COMPUTED_VALUE"""),6.0)</f>
        <v>6</v>
      </c>
      <c r="B2572">
        <f>IFERROR(__xludf.DUMMYFUNCTION("""COMPUTED_VALUE"""),31070.0)</f>
        <v>31070</v>
      </c>
      <c r="C2572" t="str">
        <f>IFERROR(__xludf.DUMMYFUNCTION("""COMPUTED_VALUE"""),"MEJIA GALLEGO, MARTIN")</f>
        <v>MEJIA GALLEGO, MARTIN</v>
      </c>
      <c r="D2572" t="str">
        <f>IFERROR(__xludf.DUMMYFUNCTION("""COMPUTED_VALUE"""),"Symphony BandS1")</f>
        <v>Symphony BandS1</v>
      </c>
      <c r="E2572" s="31" t="str">
        <f>IFERROR(__xludf.DUMMYFUNCTION("""COMPUTED_VALUE"""),"5a")</f>
        <v>5a</v>
      </c>
      <c r="F2572" s="8">
        <v>1.0</v>
      </c>
      <c r="G2572" s="8">
        <v>1.0</v>
      </c>
      <c r="H2572" s="8">
        <v>1.0</v>
      </c>
      <c r="I2572" s="8">
        <v>1.0</v>
      </c>
      <c r="J2572" s="8">
        <v>1.0</v>
      </c>
      <c r="K2572" s="8">
        <v>1.0</v>
      </c>
      <c r="L2572" s="8">
        <v>6.0</v>
      </c>
      <c r="M2572" s="8"/>
      <c r="N2572" s="8"/>
      <c r="O2572" s="8" t="s">
        <v>809</v>
      </c>
      <c r="P2572" s="8" t="e">
        <v>#N/A</v>
      </c>
    </row>
    <row r="2573">
      <c r="A2573">
        <f>IFERROR(__xludf.DUMMYFUNCTION("""COMPUTED_VALUE"""),6.0)</f>
        <v>6</v>
      </c>
      <c r="B2573">
        <f>IFERROR(__xludf.DUMMYFUNCTION("""COMPUTED_VALUE"""),31071.0)</f>
        <v>31071</v>
      </c>
      <c r="C2573" t="str">
        <f>IFERROR(__xludf.DUMMYFUNCTION("""COMPUTED_VALUE"""),"MEJIA TORO, MIGUEL")</f>
        <v>MEJIA TORO, MIGUEL</v>
      </c>
      <c r="D2573" t="str">
        <f>IFERROR(__xludf.DUMMYFUNCTION("""COMPUTED_VALUE"""),"Art 6S1")</f>
        <v>Art 6S1</v>
      </c>
      <c r="E2573" s="31" t="str">
        <f>IFERROR(__xludf.DUMMYFUNCTION("""COMPUTED_VALUE"""),"2a")</f>
        <v>2a</v>
      </c>
      <c r="F2573" s="8">
        <v>1.0</v>
      </c>
      <c r="G2573" s="8">
        <v>1.0</v>
      </c>
      <c r="H2573" s="8">
        <v>1.0</v>
      </c>
      <c r="I2573" s="8">
        <v>1.0</v>
      </c>
      <c r="J2573" s="8">
        <v>1.0</v>
      </c>
      <c r="K2573" s="8">
        <v>1.0</v>
      </c>
      <c r="L2573" s="8">
        <v>6.0</v>
      </c>
      <c r="M2573" s="8"/>
      <c r="N2573" s="8"/>
      <c r="O2573" s="8" t="s">
        <v>816</v>
      </c>
      <c r="P2573" s="8" t="e">
        <v>#N/A</v>
      </c>
    </row>
    <row r="2574">
      <c r="A2574">
        <f>IFERROR(__xludf.DUMMYFUNCTION("""COMPUTED_VALUE"""),6.0)</f>
        <v>6</v>
      </c>
      <c r="B2574">
        <f>IFERROR(__xludf.DUMMYFUNCTION("""COMPUTED_VALUE"""),31072.0)</f>
        <v>31072</v>
      </c>
      <c r="C2574" t="str">
        <f>IFERROR(__xludf.DUMMYFUNCTION("""COMPUTED_VALUE"""),"MEJIA VELEZ, ABRIL")</f>
        <v>MEJIA VELEZ, ABRIL</v>
      </c>
      <c r="D2574" t="str">
        <f>IFERROR(__xludf.DUMMYFUNCTION("""COMPUTED_VALUE"""),"Tech 6S1")</f>
        <v>Tech 6S1</v>
      </c>
      <c r="E2574" s="31" t="str">
        <f>IFERROR(__xludf.DUMMYFUNCTION("""COMPUTED_VALUE"""),"4a")</f>
        <v>4a</v>
      </c>
      <c r="F2574" s="8">
        <v>1.0</v>
      </c>
      <c r="G2574" s="8">
        <v>1.0</v>
      </c>
      <c r="H2574" s="8">
        <v>1.0</v>
      </c>
      <c r="I2574" s="8">
        <v>1.0</v>
      </c>
      <c r="J2574" s="8">
        <v>1.0</v>
      </c>
      <c r="K2574" s="8">
        <v>1.0</v>
      </c>
      <c r="L2574" s="8">
        <v>6.0</v>
      </c>
      <c r="M2574" s="8"/>
      <c r="N2574" s="8"/>
      <c r="O2574" s="8" t="s">
        <v>812</v>
      </c>
      <c r="P2574" s="8" t="e">
        <v>#N/A</v>
      </c>
    </row>
    <row r="2575">
      <c r="A2575">
        <f>IFERROR(__xludf.DUMMYFUNCTION("""COMPUTED_VALUE"""),6.0)</f>
        <v>6</v>
      </c>
      <c r="B2575">
        <f>IFERROR(__xludf.DUMMYFUNCTION("""COMPUTED_VALUE"""),31157.0)</f>
        <v>31157</v>
      </c>
      <c r="C2575" t="str">
        <f>IFERROR(__xludf.DUMMYFUNCTION("""COMPUTED_VALUE"""),"MILLAN HUERTAS, EMILIANO")</f>
        <v>MILLAN HUERTAS, EMILIANO</v>
      </c>
      <c r="D2575" t="str">
        <f>IFERROR(__xludf.DUMMYFUNCTION("""COMPUTED_VALUE"""),"Art 6S1")</f>
        <v>Art 6S1</v>
      </c>
      <c r="E2575" s="31" t="str">
        <f>IFERROR(__xludf.DUMMYFUNCTION("""COMPUTED_VALUE"""),"6b")</f>
        <v>6b</v>
      </c>
      <c r="F2575" s="8">
        <v>1.0</v>
      </c>
      <c r="G2575" s="8">
        <v>1.0</v>
      </c>
      <c r="H2575" s="8">
        <v>1.0</v>
      </c>
      <c r="I2575" s="8">
        <v>1.0</v>
      </c>
      <c r="J2575" s="8">
        <v>1.0</v>
      </c>
      <c r="K2575" s="8">
        <v>1.0</v>
      </c>
      <c r="L2575" s="8">
        <v>6.0</v>
      </c>
      <c r="M2575" s="8"/>
      <c r="N2575" s="8"/>
      <c r="O2575" s="8" t="s">
        <v>814</v>
      </c>
      <c r="P2575" s="8" t="e">
        <v>#N/A</v>
      </c>
    </row>
    <row r="2576">
      <c r="A2576">
        <f>IFERROR(__xludf.DUMMYFUNCTION("""COMPUTED_VALUE"""),6.0)</f>
        <v>6</v>
      </c>
      <c r="B2576">
        <f>IFERROR(__xludf.DUMMYFUNCTION("""COMPUTED_VALUE"""),31073.0)</f>
        <v>31073</v>
      </c>
      <c r="C2576" t="str">
        <f>IFERROR(__xludf.DUMMYFUNCTION("""COMPUTED_VALUE"""),"MISAS MESA, RAFAEL")</f>
        <v>MISAS MESA, RAFAEL</v>
      </c>
      <c r="D2576" t="str">
        <f>IFERROR(__xludf.DUMMYFUNCTION("""COMPUTED_VALUE"""),"Art 6S1")</f>
        <v>Art 6S1</v>
      </c>
      <c r="E2576" s="31" t="str">
        <f>IFERROR(__xludf.DUMMYFUNCTION("""COMPUTED_VALUE"""),"6b")</f>
        <v>6b</v>
      </c>
      <c r="F2576" s="8">
        <v>1.0</v>
      </c>
      <c r="G2576" s="8">
        <v>1.0</v>
      </c>
      <c r="H2576" s="8">
        <v>1.0</v>
      </c>
      <c r="I2576" s="8">
        <v>1.0</v>
      </c>
      <c r="J2576" s="8">
        <v>1.0</v>
      </c>
      <c r="K2576" s="8">
        <v>1.0</v>
      </c>
      <c r="L2576" s="8">
        <v>6.0</v>
      </c>
      <c r="M2576" s="8"/>
      <c r="N2576" s="8"/>
      <c r="O2576" s="8" t="s">
        <v>814</v>
      </c>
      <c r="P2576" s="8" t="e">
        <v>#N/A</v>
      </c>
    </row>
    <row r="2577">
      <c r="A2577">
        <f>IFERROR(__xludf.DUMMYFUNCTION("""COMPUTED_VALUE"""),6.0)</f>
        <v>6</v>
      </c>
      <c r="B2577">
        <f>IFERROR(__xludf.DUMMYFUNCTION("""COMPUTED_VALUE"""),31074.0)</f>
        <v>31074</v>
      </c>
      <c r="C2577" t="str">
        <f>IFERROR(__xludf.DUMMYFUNCTION("""COMPUTED_VALUE"""),"MONTOYA BERNAL, FELIPE")</f>
        <v>MONTOYA BERNAL, FELIPE</v>
      </c>
      <c r="D2577" t="str">
        <f>IFERROR(__xludf.DUMMYFUNCTION("""COMPUTED_VALUE"""),"Regular BandS1")</f>
        <v>Regular BandS1</v>
      </c>
      <c r="E2577" s="31" t="str">
        <f>IFERROR(__xludf.DUMMYFUNCTION("""COMPUTED_VALUE"""),"6a")</f>
        <v>6a</v>
      </c>
      <c r="F2577" s="8">
        <v>1.0</v>
      </c>
      <c r="G2577" s="8">
        <v>1.0</v>
      </c>
      <c r="H2577" s="8">
        <v>1.0</v>
      </c>
      <c r="I2577" s="8">
        <v>1.0</v>
      </c>
      <c r="J2577" s="8">
        <v>1.0</v>
      </c>
      <c r="K2577" s="8">
        <v>1.0</v>
      </c>
      <c r="L2577" s="8">
        <v>6.0</v>
      </c>
      <c r="M2577" s="8"/>
      <c r="N2577" s="8"/>
      <c r="O2577" s="8" t="s">
        <v>810</v>
      </c>
      <c r="P2577" s="8" t="e">
        <v>#N/A</v>
      </c>
    </row>
    <row r="2578">
      <c r="A2578">
        <f>IFERROR(__xludf.DUMMYFUNCTION("""COMPUTED_VALUE"""),6.0)</f>
        <v>6</v>
      </c>
      <c r="B2578">
        <f>IFERROR(__xludf.DUMMYFUNCTION("""COMPUTED_VALUE"""),31075.0)</f>
        <v>31075</v>
      </c>
      <c r="C2578" t="str">
        <f>IFERROR(__xludf.DUMMYFUNCTION("""COMPUTED_VALUE"""),"MORENO MORENO, CARLOTA")</f>
        <v>MORENO MORENO, CARLOTA</v>
      </c>
      <c r="D2578" t="str">
        <f>IFERROR(__xludf.DUMMYFUNCTION("""COMPUTED_VALUE"""),"Tech 6S1")</f>
        <v>Tech 6S1</v>
      </c>
      <c r="E2578" s="31" t="str">
        <f>IFERROR(__xludf.DUMMYFUNCTION("""COMPUTED_VALUE"""),"2a")</f>
        <v>2a</v>
      </c>
      <c r="F2578" s="8">
        <v>1.0</v>
      </c>
      <c r="G2578" s="8">
        <v>1.0</v>
      </c>
      <c r="H2578" s="8">
        <v>1.0</v>
      </c>
      <c r="I2578" s="8">
        <v>1.0</v>
      </c>
      <c r="J2578" s="8">
        <v>1.0</v>
      </c>
      <c r="K2578" s="8">
        <v>1.0</v>
      </c>
      <c r="L2578" s="8">
        <v>6.0</v>
      </c>
      <c r="M2578" s="8"/>
      <c r="N2578" s="8"/>
      <c r="O2578" s="8" t="s">
        <v>817</v>
      </c>
      <c r="P2578" s="8" t="e">
        <v>#N/A</v>
      </c>
    </row>
    <row r="2579">
      <c r="A2579">
        <f>IFERROR(__xludf.DUMMYFUNCTION("""COMPUTED_VALUE"""),6.0)</f>
        <v>6</v>
      </c>
      <c r="B2579">
        <f>IFERROR(__xludf.DUMMYFUNCTION("""COMPUTED_VALUE"""),31076.0)</f>
        <v>31076</v>
      </c>
      <c r="C2579" t="str">
        <f>IFERROR(__xludf.DUMMYFUNCTION("""COMPUTED_VALUE"""),"MORENO PALACIO, SIMON")</f>
        <v>MORENO PALACIO, SIMON</v>
      </c>
      <c r="D2579" t="str">
        <f>IFERROR(__xludf.DUMMYFUNCTION("""COMPUTED_VALUE"""),"Regular BandS1")</f>
        <v>Regular BandS1</v>
      </c>
      <c r="E2579" s="31" t="str">
        <f>IFERROR(__xludf.DUMMYFUNCTION("""COMPUTED_VALUE"""),"6a")</f>
        <v>6a</v>
      </c>
      <c r="F2579" s="8">
        <v>1.0</v>
      </c>
      <c r="G2579" s="8">
        <v>1.0</v>
      </c>
      <c r="H2579" s="8">
        <v>1.0</v>
      </c>
      <c r="I2579" s="8">
        <v>1.0</v>
      </c>
      <c r="J2579" s="8">
        <v>1.0</v>
      </c>
      <c r="K2579" s="8">
        <v>1.0</v>
      </c>
      <c r="L2579" s="8">
        <v>6.0</v>
      </c>
      <c r="M2579" s="8"/>
      <c r="N2579" s="8"/>
      <c r="O2579" s="8" t="s">
        <v>810</v>
      </c>
      <c r="P2579" s="8" t="e">
        <v>#N/A</v>
      </c>
    </row>
    <row r="2580">
      <c r="A2580">
        <f>IFERROR(__xludf.DUMMYFUNCTION("""COMPUTED_VALUE"""),6.0)</f>
        <v>6</v>
      </c>
      <c r="B2580">
        <f>IFERROR(__xludf.DUMMYFUNCTION("""COMPUTED_VALUE"""),31077.0)</f>
        <v>31077</v>
      </c>
      <c r="C2580" t="str">
        <f>IFERROR(__xludf.DUMMYFUNCTION("""COMPUTED_VALUE"""),"MUÑOZ JARAMILLO, MARIANA")</f>
        <v>MUÑOZ JARAMILLO, MARIANA</v>
      </c>
      <c r="D2580" t="str">
        <f>IFERROR(__xludf.DUMMYFUNCTION("""COMPUTED_VALUE"""),"Tech 6S1")</f>
        <v>Tech 6S1</v>
      </c>
      <c r="E2580" s="31" t="str">
        <f>IFERROR(__xludf.DUMMYFUNCTION("""COMPUTED_VALUE"""),"4a")</f>
        <v>4a</v>
      </c>
      <c r="F2580" s="8">
        <v>1.0</v>
      </c>
      <c r="G2580" s="8">
        <v>1.0</v>
      </c>
      <c r="H2580" s="8">
        <v>1.0</v>
      </c>
      <c r="I2580" s="8">
        <v>1.0</v>
      </c>
      <c r="J2580" s="8">
        <v>1.0</v>
      </c>
      <c r="K2580" s="8">
        <v>1.0</v>
      </c>
      <c r="L2580" s="8">
        <v>6.0</v>
      </c>
      <c r="M2580" s="8"/>
      <c r="N2580" s="8"/>
      <c r="O2580" s="8" t="s">
        <v>812</v>
      </c>
      <c r="P2580" s="8" t="e">
        <v>#N/A</v>
      </c>
    </row>
    <row r="2581">
      <c r="A2581">
        <f>IFERROR(__xludf.DUMMYFUNCTION("""COMPUTED_VALUE"""),6.0)</f>
        <v>6</v>
      </c>
      <c r="B2581">
        <f>IFERROR(__xludf.DUMMYFUNCTION("""COMPUTED_VALUE"""),31078.0)</f>
        <v>31078</v>
      </c>
      <c r="C2581" t="str">
        <f>IFERROR(__xludf.DUMMYFUNCTION("""COMPUTED_VALUE"""),"NAVARRO ABAD, FERNANDA")</f>
        <v>NAVARRO ABAD, FERNANDA</v>
      </c>
      <c r="D2581" t="str">
        <f>IFERROR(__xludf.DUMMYFUNCTION("""COMPUTED_VALUE"""),"Regular BandS1")</f>
        <v>Regular BandS1</v>
      </c>
      <c r="E2581" s="31" t="str">
        <f>IFERROR(__xludf.DUMMYFUNCTION("""COMPUTED_VALUE"""),"6a")</f>
        <v>6a</v>
      </c>
      <c r="F2581" s="8">
        <v>1.0</v>
      </c>
      <c r="G2581" s="8">
        <v>1.0</v>
      </c>
      <c r="H2581" s="8">
        <v>1.0</v>
      </c>
      <c r="I2581" s="8">
        <v>1.0</v>
      </c>
      <c r="J2581" s="8">
        <v>1.0</v>
      </c>
      <c r="K2581" s="8">
        <v>1.0</v>
      </c>
      <c r="L2581" s="8">
        <v>6.0</v>
      </c>
      <c r="M2581" s="8"/>
      <c r="N2581" s="8"/>
      <c r="O2581" s="8" t="s">
        <v>810</v>
      </c>
      <c r="P2581" s="8" t="e">
        <v>#N/A</v>
      </c>
    </row>
    <row r="2582">
      <c r="A2582">
        <f>IFERROR(__xludf.DUMMYFUNCTION("""COMPUTED_VALUE"""),6.0)</f>
        <v>6</v>
      </c>
      <c r="B2582">
        <f>IFERROR(__xludf.DUMMYFUNCTION("""COMPUTED_VALUE"""),31079.0)</f>
        <v>31079</v>
      </c>
      <c r="C2582" t="str">
        <f>IFERROR(__xludf.DUMMYFUNCTION("""COMPUTED_VALUE"""),"OBERTI FRANCO, LINDA")</f>
        <v>OBERTI FRANCO, LINDA</v>
      </c>
      <c r="D2582" t="str">
        <f>IFERROR(__xludf.DUMMYFUNCTION("""COMPUTED_VALUE"""),"Symphony BandS1")</f>
        <v>Symphony BandS1</v>
      </c>
      <c r="E2582" s="31" t="str">
        <f>IFERROR(__xludf.DUMMYFUNCTION("""COMPUTED_VALUE"""),"5a")</f>
        <v>5a</v>
      </c>
      <c r="F2582" s="8">
        <v>1.0</v>
      </c>
      <c r="G2582" s="8">
        <v>1.0</v>
      </c>
      <c r="H2582" s="8">
        <v>1.0</v>
      </c>
      <c r="I2582" s="8">
        <v>1.0</v>
      </c>
      <c r="J2582" s="8">
        <v>1.0</v>
      </c>
      <c r="K2582" s="8">
        <v>1.0</v>
      </c>
      <c r="L2582" s="8">
        <v>6.0</v>
      </c>
      <c r="M2582" s="8"/>
      <c r="N2582" s="8"/>
      <c r="O2582" s="8" t="s">
        <v>809</v>
      </c>
      <c r="P2582" s="8" t="e">
        <v>#N/A</v>
      </c>
    </row>
    <row r="2583">
      <c r="A2583">
        <f>IFERROR(__xludf.DUMMYFUNCTION("""COMPUTED_VALUE"""),6.0)</f>
        <v>6</v>
      </c>
      <c r="B2583">
        <f>IFERROR(__xludf.DUMMYFUNCTION("""COMPUTED_VALUE"""),31080.0)</f>
        <v>31080</v>
      </c>
      <c r="C2583" t="str">
        <f>IFERROR(__xludf.DUMMYFUNCTION("""COMPUTED_VALUE"""),"OCAMPO CEBALLOS, RAFAEL")</f>
        <v>OCAMPO CEBALLOS, RAFAEL</v>
      </c>
      <c r="D2583" t="str">
        <f>IFERROR(__xludf.DUMMYFUNCTION("""COMPUTED_VALUE"""),"Art 6S1")</f>
        <v>Art 6S1</v>
      </c>
      <c r="E2583" s="31" t="str">
        <f>IFERROR(__xludf.DUMMYFUNCTION("""COMPUTED_VALUE"""),"2a")</f>
        <v>2a</v>
      </c>
      <c r="F2583" s="8">
        <v>1.0</v>
      </c>
      <c r="G2583" s="8">
        <v>1.0</v>
      </c>
      <c r="H2583" s="8">
        <v>1.0</v>
      </c>
      <c r="I2583" s="8">
        <v>1.0</v>
      </c>
      <c r="J2583" s="8">
        <v>1.0</v>
      </c>
      <c r="K2583" s="8">
        <v>1.0</v>
      </c>
      <c r="L2583" s="8">
        <v>6.0</v>
      </c>
      <c r="M2583" s="8"/>
      <c r="N2583" s="8"/>
      <c r="O2583" s="8" t="s">
        <v>816</v>
      </c>
      <c r="P2583" s="8" t="e">
        <v>#N/A</v>
      </c>
    </row>
    <row r="2584">
      <c r="A2584">
        <f>IFERROR(__xludf.DUMMYFUNCTION("""COMPUTED_VALUE"""),6.0)</f>
        <v>6</v>
      </c>
      <c r="B2584">
        <f>IFERROR(__xludf.DUMMYFUNCTION("""COMPUTED_VALUE"""),31081.0)</f>
        <v>31081</v>
      </c>
      <c r="C2584" t="str">
        <f>IFERROR(__xludf.DUMMYFUNCTION("""COMPUTED_VALUE"""),"OROZCO MONTOYA, MARTINA")</f>
        <v>OROZCO MONTOYA, MARTINA</v>
      </c>
      <c r="D2584" t="str">
        <f>IFERROR(__xludf.DUMMYFUNCTION("""COMPUTED_VALUE"""),"Tech 6S1")</f>
        <v>Tech 6S1</v>
      </c>
      <c r="E2584" s="31" t="str">
        <f>IFERROR(__xludf.DUMMYFUNCTION("""COMPUTED_VALUE"""),"2a")</f>
        <v>2a</v>
      </c>
      <c r="F2584" s="8">
        <v>1.0</v>
      </c>
      <c r="G2584" s="8">
        <v>1.0</v>
      </c>
      <c r="H2584" s="8">
        <v>1.0</v>
      </c>
      <c r="I2584" s="8">
        <v>1.0</v>
      </c>
      <c r="J2584" s="8">
        <v>1.0</v>
      </c>
      <c r="K2584" s="8">
        <v>1.0</v>
      </c>
      <c r="L2584" s="8">
        <v>6.0</v>
      </c>
      <c r="M2584" s="8"/>
      <c r="N2584" s="8"/>
      <c r="O2584" s="8" t="s">
        <v>817</v>
      </c>
      <c r="P2584" s="8" t="e">
        <v>#N/A</v>
      </c>
    </row>
    <row r="2585">
      <c r="A2585">
        <f>IFERROR(__xludf.DUMMYFUNCTION("""COMPUTED_VALUE"""),6.0)</f>
        <v>6</v>
      </c>
      <c r="B2585">
        <f>IFERROR(__xludf.DUMMYFUNCTION("""COMPUTED_VALUE"""),31082.0)</f>
        <v>31082</v>
      </c>
      <c r="C2585" t="str">
        <f>IFERROR(__xludf.DUMMYFUNCTION("""COMPUTED_VALUE"""),"ORTIZ MOLINA, MARTINA")</f>
        <v>ORTIZ MOLINA, MARTINA</v>
      </c>
      <c r="D2585" t="str">
        <f>IFERROR(__xludf.DUMMYFUNCTION("""COMPUTED_VALUE"""),"Art 6S1")</f>
        <v>Art 6S1</v>
      </c>
      <c r="E2585" s="31" t="str">
        <f>IFERROR(__xludf.DUMMYFUNCTION("""COMPUTED_VALUE"""),"4a")</f>
        <v>4a</v>
      </c>
      <c r="F2585" s="8">
        <v>1.0</v>
      </c>
      <c r="G2585" s="8">
        <v>1.0</v>
      </c>
      <c r="H2585" s="8">
        <v>1.0</v>
      </c>
      <c r="I2585" s="8">
        <v>1.0</v>
      </c>
      <c r="J2585" s="8">
        <v>1.0</v>
      </c>
      <c r="K2585" s="8">
        <v>1.0</v>
      </c>
      <c r="L2585" s="8">
        <v>6.0</v>
      </c>
      <c r="M2585" s="8"/>
      <c r="N2585" s="8"/>
      <c r="O2585" s="8" t="s">
        <v>808</v>
      </c>
      <c r="P2585" s="8" t="e">
        <v>#N/A</v>
      </c>
    </row>
    <row r="2586">
      <c r="A2586">
        <f>IFERROR(__xludf.DUMMYFUNCTION("""COMPUTED_VALUE"""),6.0)</f>
        <v>6</v>
      </c>
      <c r="B2586">
        <f>IFERROR(__xludf.DUMMYFUNCTION("""COMPUTED_VALUE"""),31083.0)</f>
        <v>31083</v>
      </c>
      <c r="C2586" t="str">
        <f>IFERROR(__xludf.DUMMYFUNCTION("""COMPUTED_VALUE"""),"OSORIO GARCIA, JERONIMO")</f>
        <v>OSORIO GARCIA, JERONIMO</v>
      </c>
      <c r="D2586" t="str">
        <f>IFERROR(__xludf.DUMMYFUNCTION("""COMPUTED_VALUE"""),"Tech 6S1")</f>
        <v>Tech 6S1</v>
      </c>
      <c r="E2586" s="31" t="str">
        <f>IFERROR(__xludf.DUMMYFUNCTION("""COMPUTED_VALUE"""),"1b")</f>
        <v>1b</v>
      </c>
      <c r="F2586" s="8">
        <v>1.0</v>
      </c>
      <c r="G2586" s="8">
        <v>1.0</v>
      </c>
      <c r="H2586" s="8">
        <v>1.0</v>
      </c>
      <c r="I2586" s="8">
        <v>1.0</v>
      </c>
      <c r="J2586" s="8">
        <v>1.0</v>
      </c>
      <c r="K2586" s="8">
        <v>1.0</v>
      </c>
      <c r="L2586" s="8">
        <v>6.0</v>
      </c>
      <c r="M2586" s="8"/>
      <c r="N2586" s="8"/>
      <c r="O2586" s="8" t="s">
        <v>811</v>
      </c>
      <c r="P2586" s="8" t="e">
        <v>#N/A</v>
      </c>
    </row>
    <row r="2587">
      <c r="A2587">
        <f>IFERROR(__xludf.DUMMYFUNCTION("""COMPUTED_VALUE"""),6.0)</f>
        <v>6</v>
      </c>
      <c r="B2587">
        <f>IFERROR(__xludf.DUMMYFUNCTION("""COMPUTED_VALUE"""),31084.0)</f>
        <v>31084</v>
      </c>
      <c r="C2587" t="str">
        <f>IFERROR(__xludf.DUMMYFUNCTION("""COMPUTED_VALUE"""),"OSORIO MARIN, GABRIELA")</f>
        <v>OSORIO MARIN, GABRIELA</v>
      </c>
      <c r="D2587" t="str">
        <f>IFERROR(__xludf.DUMMYFUNCTION("""COMPUTED_VALUE"""),"Tech 6S1")</f>
        <v>Tech 6S1</v>
      </c>
      <c r="E2587" s="31" t="str">
        <f>IFERROR(__xludf.DUMMYFUNCTION("""COMPUTED_VALUE"""),"4a")</f>
        <v>4a</v>
      </c>
      <c r="F2587" s="8">
        <v>1.0</v>
      </c>
      <c r="G2587" s="8">
        <v>1.0</v>
      </c>
      <c r="H2587" s="8">
        <v>1.0</v>
      </c>
      <c r="I2587" s="8">
        <v>1.0</v>
      </c>
      <c r="J2587" s="8">
        <v>1.0</v>
      </c>
      <c r="K2587" s="8">
        <v>1.0</v>
      </c>
      <c r="L2587" s="8">
        <v>6.0</v>
      </c>
      <c r="M2587" s="8"/>
      <c r="N2587" s="8"/>
      <c r="O2587" s="8" t="s">
        <v>812</v>
      </c>
      <c r="P2587" s="8" t="e">
        <v>#N/A</v>
      </c>
    </row>
    <row r="2588">
      <c r="A2588">
        <f>IFERROR(__xludf.DUMMYFUNCTION("""COMPUTED_VALUE"""),6.0)</f>
        <v>6</v>
      </c>
      <c r="B2588">
        <f>IFERROR(__xludf.DUMMYFUNCTION("""COMPUTED_VALUE"""),31085.0)</f>
        <v>31085</v>
      </c>
      <c r="C2588" t="str">
        <f>IFERROR(__xludf.DUMMYFUNCTION("""COMPUTED_VALUE"""),"OSORIO QUINTERO, SALOME")</f>
        <v>OSORIO QUINTERO, SALOME</v>
      </c>
      <c r="D2588" t="str">
        <f>IFERROR(__xludf.DUMMYFUNCTION("""COMPUTED_VALUE"""),"Tech 6S1")</f>
        <v>Tech 6S1</v>
      </c>
      <c r="E2588" s="31" t="str">
        <f>IFERROR(__xludf.DUMMYFUNCTION("""COMPUTED_VALUE"""),"6b")</f>
        <v>6b</v>
      </c>
      <c r="F2588" s="8">
        <v>1.0</v>
      </c>
      <c r="G2588" s="8">
        <v>1.0</v>
      </c>
      <c r="H2588" s="8">
        <v>1.0</v>
      </c>
      <c r="I2588" s="8">
        <v>1.0</v>
      </c>
      <c r="J2588" s="8">
        <v>1.0</v>
      </c>
      <c r="K2588" s="8">
        <v>1.0</v>
      </c>
      <c r="L2588" s="8">
        <v>6.0</v>
      </c>
      <c r="M2588" s="8"/>
      <c r="N2588" s="8"/>
      <c r="O2588" s="8" t="s">
        <v>815</v>
      </c>
      <c r="P2588" s="8" t="e">
        <v>#N/A</v>
      </c>
    </row>
    <row r="2589">
      <c r="A2589">
        <f>IFERROR(__xludf.DUMMYFUNCTION("""COMPUTED_VALUE"""),6.0)</f>
        <v>6</v>
      </c>
      <c r="B2589">
        <f>IFERROR(__xludf.DUMMYFUNCTION("""COMPUTED_VALUE"""),31158.0)</f>
        <v>31158</v>
      </c>
      <c r="C2589" t="str">
        <f>IFERROR(__xludf.DUMMYFUNCTION("""COMPUTED_VALUE"""),"OSORIO RUIZ, AMELIA")</f>
        <v>OSORIO RUIZ, AMELIA</v>
      </c>
      <c r="D2589" t="str">
        <f>IFERROR(__xludf.DUMMYFUNCTION("""COMPUTED_VALUE"""),"Tech 6S1")</f>
        <v>Tech 6S1</v>
      </c>
      <c r="E2589" s="31" t="str">
        <f>IFERROR(__xludf.DUMMYFUNCTION("""COMPUTED_VALUE"""),"6b")</f>
        <v>6b</v>
      </c>
      <c r="F2589" s="8">
        <v>1.0</v>
      </c>
      <c r="G2589" s="8">
        <v>1.0</v>
      </c>
      <c r="H2589" s="8">
        <v>1.0</v>
      </c>
      <c r="I2589" s="8">
        <v>1.0</v>
      </c>
      <c r="J2589" s="8">
        <v>1.0</v>
      </c>
      <c r="K2589" s="8">
        <v>1.0</v>
      </c>
      <c r="L2589" s="8">
        <v>6.0</v>
      </c>
      <c r="M2589" s="8"/>
      <c r="N2589" s="8"/>
      <c r="O2589" s="8" t="s">
        <v>815</v>
      </c>
      <c r="P2589" s="8" t="e">
        <v>#N/A</v>
      </c>
    </row>
    <row r="2590">
      <c r="A2590">
        <f>IFERROR(__xludf.DUMMYFUNCTION("""COMPUTED_VALUE"""),6.0)</f>
        <v>6</v>
      </c>
      <c r="B2590">
        <f>IFERROR(__xludf.DUMMYFUNCTION("""COMPUTED_VALUE"""),31086.0)</f>
        <v>31086</v>
      </c>
      <c r="C2590" t="str">
        <f>IFERROR(__xludf.DUMMYFUNCTION("""COMPUTED_VALUE"""),"PATERNINA SALDARRIAGA, SOFIA")</f>
        <v>PATERNINA SALDARRIAGA, SOFIA</v>
      </c>
      <c r="D2590" t="str">
        <f>IFERROR(__xludf.DUMMYFUNCTION("""COMPUTED_VALUE"""),"Art 6S1")</f>
        <v>Art 6S1</v>
      </c>
      <c r="E2590" s="31" t="str">
        <f>IFERROR(__xludf.DUMMYFUNCTION("""COMPUTED_VALUE"""),"1b")</f>
        <v>1b</v>
      </c>
      <c r="F2590" s="8">
        <v>1.0</v>
      </c>
      <c r="G2590" s="8">
        <v>1.0</v>
      </c>
      <c r="H2590" s="8">
        <v>1.0</v>
      </c>
      <c r="I2590" s="8">
        <v>1.0</v>
      </c>
      <c r="J2590" s="8">
        <v>1.0</v>
      </c>
      <c r="K2590" s="8">
        <v>1.0</v>
      </c>
      <c r="L2590" s="8">
        <v>6.0</v>
      </c>
      <c r="M2590" s="8"/>
      <c r="N2590" s="8"/>
      <c r="O2590" s="8" t="s">
        <v>813</v>
      </c>
      <c r="P2590" s="8" t="e">
        <v>#N/A</v>
      </c>
    </row>
    <row r="2591">
      <c r="A2591">
        <f>IFERROR(__xludf.DUMMYFUNCTION("""COMPUTED_VALUE"""),6.0)</f>
        <v>6</v>
      </c>
      <c r="B2591">
        <f>IFERROR(__xludf.DUMMYFUNCTION("""COMPUTED_VALUE"""),31087.0)</f>
        <v>31087</v>
      </c>
      <c r="C2591" t="str">
        <f>IFERROR(__xludf.DUMMYFUNCTION("""COMPUTED_VALUE"""),"PEAK DUQUE, NICOLE")</f>
        <v>PEAK DUQUE, NICOLE</v>
      </c>
      <c r="D2591" t="str">
        <f>IFERROR(__xludf.DUMMYFUNCTION("""COMPUTED_VALUE"""),"Art 6S1")</f>
        <v>Art 6S1</v>
      </c>
      <c r="E2591" s="31" t="str">
        <f>IFERROR(__xludf.DUMMYFUNCTION("""COMPUTED_VALUE"""),"1b")</f>
        <v>1b</v>
      </c>
      <c r="F2591" s="8">
        <v>1.0</v>
      </c>
      <c r="G2591" s="8">
        <v>1.0</v>
      </c>
      <c r="H2591" s="8">
        <v>1.0</v>
      </c>
      <c r="I2591" s="8">
        <v>1.0</v>
      </c>
      <c r="J2591" s="8">
        <v>1.0</v>
      </c>
      <c r="K2591" s="8">
        <v>1.0</v>
      </c>
      <c r="L2591" s="8">
        <v>6.0</v>
      </c>
      <c r="M2591" s="8"/>
      <c r="N2591" s="8"/>
      <c r="O2591" s="8" t="s">
        <v>813</v>
      </c>
      <c r="P2591" s="8" t="e">
        <v>#N/A</v>
      </c>
    </row>
    <row r="2592">
      <c r="A2592">
        <f>IFERROR(__xludf.DUMMYFUNCTION("""COMPUTED_VALUE"""),6.0)</f>
        <v>6</v>
      </c>
      <c r="B2592">
        <f>IFERROR(__xludf.DUMMYFUNCTION("""COMPUTED_VALUE"""),31089.0)</f>
        <v>31089</v>
      </c>
      <c r="C2592" t="str">
        <f>IFERROR(__xludf.DUMMYFUNCTION("""COMPUTED_VALUE"""),"PELAEZ BORDA, DAVID")</f>
        <v>PELAEZ BORDA, DAVID</v>
      </c>
      <c r="D2592" t="str">
        <f>IFERROR(__xludf.DUMMYFUNCTION("""COMPUTED_VALUE"""),"Art 6S1")</f>
        <v>Art 6S1</v>
      </c>
      <c r="E2592" s="31" t="str">
        <f>IFERROR(__xludf.DUMMYFUNCTION("""COMPUTED_VALUE"""),"2a")</f>
        <v>2a</v>
      </c>
      <c r="F2592" s="8">
        <v>1.0</v>
      </c>
      <c r="G2592" s="8">
        <v>1.0</v>
      </c>
      <c r="H2592" s="8">
        <v>1.0</v>
      </c>
      <c r="I2592" s="8">
        <v>1.0</v>
      </c>
      <c r="J2592" s="8">
        <v>1.0</v>
      </c>
      <c r="K2592" s="8">
        <v>1.0</v>
      </c>
      <c r="L2592" s="8">
        <v>6.0</v>
      </c>
      <c r="M2592" s="8"/>
      <c r="N2592" s="8"/>
      <c r="O2592" s="8" t="s">
        <v>816</v>
      </c>
      <c r="P2592" s="8" t="e">
        <v>#N/A</v>
      </c>
    </row>
    <row r="2593">
      <c r="A2593">
        <f>IFERROR(__xludf.DUMMYFUNCTION("""COMPUTED_VALUE"""),6.0)</f>
        <v>6</v>
      </c>
      <c r="B2593">
        <f>IFERROR(__xludf.DUMMYFUNCTION("""COMPUTED_VALUE"""),31088.0)</f>
        <v>31088</v>
      </c>
      <c r="C2593" t="str">
        <f>IFERROR(__xludf.DUMMYFUNCTION("""COMPUTED_VALUE"""),"PELAEZ BOTERO, AMELIA")</f>
        <v>PELAEZ BOTERO, AMELIA</v>
      </c>
      <c r="D2593" t="str">
        <f>IFERROR(__xludf.DUMMYFUNCTION("""COMPUTED_VALUE"""),"Art 6S1")</f>
        <v>Art 6S1</v>
      </c>
      <c r="E2593" s="31" t="str">
        <f>IFERROR(__xludf.DUMMYFUNCTION("""COMPUTED_VALUE"""),"4a")</f>
        <v>4a</v>
      </c>
      <c r="F2593" s="8">
        <v>1.0</v>
      </c>
      <c r="G2593" s="8">
        <v>1.0</v>
      </c>
      <c r="H2593" s="8">
        <v>1.0</v>
      </c>
      <c r="I2593" s="8">
        <v>1.0</v>
      </c>
      <c r="J2593" s="8">
        <v>1.0</v>
      </c>
      <c r="K2593" s="8">
        <v>1.0</v>
      </c>
      <c r="L2593" s="8">
        <v>6.0</v>
      </c>
      <c r="M2593" s="8"/>
      <c r="N2593" s="8"/>
      <c r="O2593" s="8" t="s">
        <v>808</v>
      </c>
      <c r="P2593" s="8" t="e">
        <v>#N/A</v>
      </c>
    </row>
    <row r="2594">
      <c r="A2594">
        <f>IFERROR(__xludf.DUMMYFUNCTION("""COMPUTED_VALUE"""),6.0)</f>
        <v>6</v>
      </c>
      <c r="B2594">
        <f>IFERROR(__xludf.DUMMYFUNCTION("""COMPUTED_VALUE"""),31090.0)</f>
        <v>31090</v>
      </c>
      <c r="C2594" t="str">
        <f>IFERROR(__xludf.DUMMYFUNCTION("""COMPUTED_VALUE"""),"PELAEZ PIEDRAHITA, EMILIO")</f>
        <v>PELAEZ PIEDRAHITA, EMILIO</v>
      </c>
      <c r="D2594" t="str">
        <f>IFERROR(__xludf.DUMMYFUNCTION("""COMPUTED_VALUE"""),"Regular BandS1")</f>
        <v>Regular BandS1</v>
      </c>
      <c r="E2594" s="31" t="str">
        <f>IFERROR(__xludf.DUMMYFUNCTION("""COMPUTED_VALUE"""),"6a")</f>
        <v>6a</v>
      </c>
      <c r="F2594" s="8">
        <v>1.0</v>
      </c>
      <c r="G2594" s="8">
        <v>1.0</v>
      </c>
      <c r="H2594" s="8">
        <v>1.0</v>
      </c>
      <c r="I2594" s="8">
        <v>1.0</v>
      </c>
      <c r="J2594" s="8">
        <v>1.0</v>
      </c>
      <c r="K2594" s="8">
        <v>1.0</v>
      </c>
      <c r="L2594" s="8">
        <v>6.0</v>
      </c>
      <c r="M2594" s="8"/>
      <c r="N2594" s="8"/>
      <c r="O2594" s="8" t="s">
        <v>810</v>
      </c>
      <c r="P2594" s="8" t="e">
        <v>#N/A</v>
      </c>
    </row>
    <row r="2595">
      <c r="A2595">
        <f>IFERROR(__xludf.DUMMYFUNCTION("""COMPUTED_VALUE"""),6.0)</f>
        <v>6</v>
      </c>
      <c r="B2595">
        <f>IFERROR(__xludf.DUMMYFUNCTION("""COMPUTED_VALUE"""),31092.0)</f>
        <v>31092</v>
      </c>
      <c r="C2595" t="str">
        <f>IFERROR(__xludf.DUMMYFUNCTION("""COMPUTED_VALUE"""),"PEREZ DUQUE, JULIA")</f>
        <v>PEREZ DUQUE, JULIA</v>
      </c>
      <c r="D2595" t="str">
        <f>IFERROR(__xludf.DUMMYFUNCTION("""COMPUTED_VALUE"""),"Regular BandS1")</f>
        <v>Regular BandS1</v>
      </c>
      <c r="E2595" s="31" t="str">
        <f>IFERROR(__xludf.DUMMYFUNCTION("""COMPUTED_VALUE"""),"6a")</f>
        <v>6a</v>
      </c>
      <c r="F2595" s="8">
        <v>1.0</v>
      </c>
      <c r="G2595" s="8">
        <v>1.0</v>
      </c>
      <c r="H2595" s="8">
        <v>1.0</v>
      </c>
      <c r="I2595" s="8">
        <v>1.0</v>
      </c>
      <c r="J2595" s="8">
        <v>1.0</v>
      </c>
      <c r="K2595" s="8">
        <v>1.0</v>
      </c>
      <c r="L2595" s="8">
        <v>6.0</v>
      </c>
      <c r="M2595" s="8"/>
      <c r="N2595" s="8"/>
      <c r="O2595" s="8" t="s">
        <v>810</v>
      </c>
      <c r="P2595" s="8" t="e">
        <v>#N/A</v>
      </c>
    </row>
    <row r="2596">
      <c r="A2596">
        <f>IFERROR(__xludf.DUMMYFUNCTION("""COMPUTED_VALUE"""),6.0)</f>
        <v>6</v>
      </c>
      <c r="B2596">
        <f>IFERROR(__xludf.DUMMYFUNCTION("""COMPUTED_VALUE"""),31091.0)</f>
        <v>31091</v>
      </c>
      <c r="C2596" t="str">
        <f>IFERROR(__xludf.DUMMYFUNCTION("""COMPUTED_VALUE"""),"PEREZ OTERO, ALEJANDRO")</f>
        <v>PEREZ OTERO, ALEJANDRO</v>
      </c>
      <c r="D2596" t="str">
        <f>IFERROR(__xludf.DUMMYFUNCTION("""COMPUTED_VALUE"""),"Tech 6S1")</f>
        <v>Tech 6S1</v>
      </c>
      <c r="E2596" s="31" t="str">
        <f>IFERROR(__xludf.DUMMYFUNCTION("""COMPUTED_VALUE"""),"2a")</f>
        <v>2a</v>
      </c>
      <c r="F2596" s="8">
        <v>1.0</v>
      </c>
      <c r="G2596" s="8">
        <v>1.0</v>
      </c>
      <c r="H2596" s="8">
        <v>1.0</v>
      </c>
      <c r="I2596" s="8">
        <v>1.0</v>
      </c>
      <c r="J2596" s="8">
        <v>1.0</v>
      </c>
      <c r="K2596" s="8">
        <v>1.0</v>
      </c>
      <c r="L2596" s="8">
        <v>6.0</v>
      </c>
      <c r="M2596" s="8"/>
      <c r="N2596" s="8"/>
      <c r="O2596" s="8" t="s">
        <v>817</v>
      </c>
      <c r="P2596" s="8" t="e">
        <v>#N/A</v>
      </c>
    </row>
    <row r="2597">
      <c r="A2597">
        <f>IFERROR(__xludf.DUMMYFUNCTION("""COMPUTED_VALUE"""),6.0)</f>
        <v>6</v>
      </c>
      <c r="B2597">
        <f>IFERROR(__xludf.DUMMYFUNCTION("""COMPUTED_VALUE"""),31160.0)</f>
        <v>31160</v>
      </c>
      <c r="C2597" t="str">
        <f>IFERROR(__xludf.DUMMYFUNCTION("""COMPUTED_VALUE"""),"PFORTNER CASTRO, MORITZ")</f>
        <v>PFORTNER CASTRO, MORITZ</v>
      </c>
      <c r="D2597" t="str">
        <f>IFERROR(__xludf.DUMMYFUNCTION("""COMPUTED_VALUE"""),"Art 6S1")</f>
        <v>Art 6S1</v>
      </c>
      <c r="E2597" s="31" t="str">
        <f>IFERROR(__xludf.DUMMYFUNCTION("""COMPUTED_VALUE"""),"2a")</f>
        <v>2a</v>
      </c>
      <c r="F2597" s="8">
        <v>1.0</v>
      </c>
      <c r="G2597" s="8">
        <v>1.0</v>
      </c>
      <c r="H2597" s="8">
        <v>1.0</v>
      </c>
      <c r="I2597" s="8">
        <v>1.0</v>
      </c>
      <c r="J2597" s="8">
        <v>1.0</v>
      </c>
      <c r="K2597" s="8">
        <v>1.0</v>
      </c>
      <c r="L2597" s="8">
        <v>6.0</v>
      </c>
      <c r="M2597" s="8"/>
      <c r="N2597" s="8"/>
      <c r="O2597" s="8" t="s">
        <v>816</v>
      </c>
      <c r="P2597" s="8" t="e">
        <v>#N/A</v>
      </c>
    </row>
    <row r="2598">
      <c r="A2598">
        <f>IFERROR(__xludf.DUMMYFUNCTION("""COMPUTED_VALUE"""),6.0)</f>
        <v>6</v>
      </c>
      <c r="B2598">
        <f>IFERROR(__xludf.DUMMYFUNCTION("""COMPUTED_VALUE"""),31093.0)</f>
        <v>31093</v>
      </c>
      <c r="C2598" t="str">
        <f>IFERROR(__xludf.DUMMYFUNCTION("""COMPUTED_VALUE"""),"PICO RUEDA, SEBASTIAN")</f>
        <v>PICO RUEDA, SEBASTIAN</v>
      </c>
      <c r="D2598" t="str">
        <f>IFERROR(__xludf.DUMMYFUNCTION("""COMPUTED_VALUE"""),"Art 6S1")</f>
        <v>Art 6S1</v>
      </c>
      <c r="E2598" s="31" t="str">
        <f>IFERROR(__xludf.DUMMYFUNCTION("""COMPUTED_VALUE"""),"1b")</f>
        <v>1b</v>
      </c>
      <c r="F2598" s="8">
        <v>1.0</v>
      </c>
      <c r="G2598" s="8">
        <v>1.0</v>
      </c>
      <c r="H2598" s="8">
        <v>1.0</v>
      </c>
      <c r="I2598" s="8">
        <v>1.0</v>
      </c>
      <c r="J2598" s="8">
        <v>1.0</v>
      </c>
      <c r="K2598" s="8">
        <v>1.0</v>
      </c>
      <c r="L2598" s="8">
        <v>6.0</v>
      </c>
      <c r="M2598" s="8"/>
      <c r="N2598" s="8"/>
      <c r="O2598" s="8" t="s">
        <v>813</v>
      </c>
      <c r="P2598" s="8" t="e">
        <v>#N/A</v>
      </c>
    </row>
    <row r="2599">
      <c r="A2599">
        <f>IFERROR(__xludf.DUMMYFUNCTION("""COMPUTED_VALUE"""),6.0)</f>
        <v>6</v>
      </c>
      <c r="B2599">
        <f>IFERROR(__xludf.DUMMYFUNCTION("""COMPUTED_VALUE"""),31095.0)</f>
        <v>31095</v>
      </c>
      <c r="C2599" t="str">
        <f>IFERROR(__xludf.DUMMYFUNCTION("""COMPUTED_VALUE"""),"PINEDA ARANGO, MARTINA")</f>
        <v>PINEDA ARANGO, MARTINA</v>
      </c>
      <c r="D2599" t="str">
        <f>IFERROR(__xludf.DUMMYFUNCTION("""COMPUTED_VALUE"""),"Tech 6S1")</f>
        <v>Tech 6S1</v>
      </c>
      <c r="E2599" s="31" t="str">
        <f>IFERROR(__xludf.DUMMYFUNCTION("""COMPUTED_VALUE"""),"6b")</f>
        <v>6b</v>
      </c>
      <c r="F2599" s="8">
        <v>1.0</v>
      </c>
      <c r="G2599" s="8">
        <v>1.0</v>
      </c>
      <c r="H2599" s="8">
        <v>1.0</v>
      </c>
      <c r="I2599" s="8">
        <v>1.0</v>
      </c>
      <c r="J2599" s="8">
        <v>1.0</v>
      </c>
      <c r="K2599" s="8">
        <v>1.0</v>
      </c>
      <c r="L2599" s="8">
        <v>6.0</v>
      </c>
      <c r="M2599" s="8"/>
      <c r="N2599" s="8"/>
      <c r="O2599" s="8" t="s">
        <v>815</v>
      </c>
      <c r="P2599" s="8" t="e">
        <v>#N/A</v>
      </c>
    </row>
    <row r="2600">
      <c r="A2600">
        <f>IFERROR(__xludf.DUMMYFUNCTION("""COMPUTED_VALUE"""),6.0)</f>
        <v>6</v>
      </c>
      <c r="B2600">
        <f>IFERROR(__xludf.DUMMYFUNCTION("""COMPUTED_VALUE"""),31096.0)</f>
        <v>31096</v>
      </c>
      <c r="C2600" t="str">
        <f>IFERROR(__xludf.DUMMYFUNCTION("""COMPUTED_VALUE"""),"POSADA FERNANDEZ, ALICIA")</f>
        <v>POSADA FERNANDEZ, ALICIA</v>
      </c>
      <c r="D2600" t="str">
        <f>IFERROR(__xludf.DUMMYFUNCTION("""COMPUTED_VALUE"""),"Art 6S1")</f>
        <v>Art 6S1</v>
      </c>
      <c r="E2600" s="31" t="str">
        <f>IFERROR(__xludf.DUMMYFUNCTION("""COMPUTED_VALUE"""),"6b")</f>
        <v>6b</v>
      </c>
      <c r="F2600" s="8">
        <v>1.0</v>
      </c>
      <c r="G2600" s="8">
        <v>1.0</v>
      </c>
      <c r="H2600" s="8">
        <v>1.0</v>
      </c>
      <c r="I2600" s="8">
        <v>1.0</v>
      </c>
      <c r="J2600" s="8">
        <v>1.0</v>
      </c>
      <c r="K2600" s="8">
        <v>1.0</v>
      </c>
      <c r="L2600" s="8">
        <v>6.0</v>
      </c>
      <c r="M2600" s="8"/>
      <c r="N2600" s="8"/>
      <c r="O2600" s="8" t="s">
        <v>814</v>
      </c>
      <c r="P2600" s="8" t="e">
        <v>#N/A</v>
      </c>
    </row>
    <row r="2601">
      <c r="A2601">
        <f>IFERROR(__xludf.DUMMYFUNCTION("""COMPUTED_VALUE"""),6.0)</f>
        <v>6</v>
      </c>
      <c r="B2601">
        <f>IFERROR(__xludf.DUMMYFUNCTION("""COMPUTED_VALUE"""),31097.0)</f>
        <v>31097</v>
      </c>
      <c r="C2601" t="str">
        <f>IFERROR(__xludf.DUMMYFUNCTION("""COMPUTED_VALUE"""),"PUYO TORO, ELENA")</f>
        <v>PUYO TORO, ELENA</v>
      </c>
      <c r="D2601" t="str">
        <f>IFERROR(__xludf.DUMMYFUNCTION("""COMPUTED_VALUE"""),"Art 6S1")</f>
        <v>Art 6S1</v>
      </c>
      <c r="E2601" s="31" t="str">
        <f>IFERROR(__xludf.DUMMYFUNCTION("""COMPUTED_VALUE"""),"4a")</f>
        <v>4a</v>
      </c>
      <c r="F2601" s="8">
        <v>1.0</v>
      </c>
      <c r="G2601" s="8">
        <v>1.0</v>
      </c>
      <c r="H2601" s="8">
        <v>1.0</v>
      </c>
      <c r="I2601" s="8">
        <v>1.0</v>
      </c>
      <c r="J2601" s="8">
        <v>1.0</v>
      </c>
      <c r="K2601" s="8">
        <v>1.0</v>
      </c>
      <c r="L2601" s="8">
        <v>6.0</v>
      </c>
      <c r="M2601" s="8"/>
      <c r="N2601" s="8"/>
      <c r="O2601" s="8" t="s">
        <v>808</v>
      </c>
      <c r="P2601" s="8" t="e">
        <v>#N/A</v>
      </c>
    </row>
    <row r="2602">
      <c r="A2602">
        <f>IFERROR(__xludf.DUMMYFUNCTION("""COMPUTED_VALUE"""),6.0)</f>
        <v>6</v>
      </c>
      <c r="B2602">
        <f>IFERROR(__xludf.DUMMYFUNCTION("""COMPUTED_VALUE"""),31098.0)</f>
        <v>31098</v>
      </c>
      <c r="C2602" t="str">
        <f>IFERROR(__xludf.DUMMYFUNCTION("""COMPUTED_VALUE"""),"QUINTERO DARBY, VIOLETA")</f>
        <v>QUINTERO DARBY, VIOLETA</v>
      </c>
      <c r="D2602" t="str">
        <f>IFERROR(__xludf.DUMMYFUNCTION("""COMPUTED_VALUE"""),"Art 6S1")</f>
        <v>Art 6S1</v>
      </c>
      <c r="E2602" s="31" t="str">
        <f>IFERROR(__xludf.DUMMYFUNCTION("""COMPUTED_VALUE"""),"1b")</f>
        <v>1b</v>
      </c>
      <c r="F2602" s="8">
        <v>1.0</v>
      </c>
      <c r="G2602" s="8">
        <v>1.0</v>
      </c>
      <c r="H2602" s="8">
        <v>1.0</v>
      </c>
      <c r="I2602" s="8">
        <v>1.0</v>
      </c>
      <c r="J2602" s="8">
        <v>1.0</v>
      </c>
      <c r="K2602" s="8">
        <v>1.0</v>
      </c>
      <c r="L2602" s="8">
        <v>6.0</v>
      </c>
      <c r="M2602" s="8"/>
      <c r="N2602" s="8"/>
      <c r="O2602" s="8" t="s">
        <v>813</v>
      </c>
      <c r="P2602" s="8" t="e">
        <v>#N/A</v>
      </c>
    </row>
    <row r="2603">
      <c r="A2603">
        <f>IFERROR(__xludf.DUMMYFUNCTION("""COMPUTED_VALUE"""),6.0)</f>
        <v>6</v>
      </c>
      <c r="B2603">
        <f>IFERROR(__xludf.DUMMYFUNCTION("""COMPUTED_VALUE"""),31099.0)</f>
        <v>31099</v>
      </c>
      <c r="C2603" t="str">
        <f>IFERROR(__xludf.DUMMYFUNCTION("""COMPUTED_VALUE"""),"RAMIREZ LIBREROS, MARTIN")</f>
        <v>RAMIREZ LIBREROS, MARTIN</v>
      </c>
      <c r="D2603" t="str">
        <f>IFERROR(__xludf.DUMMYFUNCTION("""COMPUTED_VALUE"""),"Tech 6S1")</f>
        <v>Tech 6S1</v>
      </c>
      <c r="E2603" s="31" t="str">
        <f>IFERROR(__xludf.DUMMYFUNCTION("""COMPUTED_VALUE"""),"1b")</f>
        <v>1b</v>
      </c>
      <c r="F2603" s="8">
        <v>1.0</v>
      </c>
      <c r="G2603" s="8">
        <v>1.0</v>
      </c>
      <c r="H2603" s="8">
        <v>1.0</v>
      </c>
      <c r="I2603" s="8">
        <v>1.0</v>
      </c>
      <c r="J2603" s="8">
        <v>1.0</v>
      </c>
      <c r="K2603" s="8">
        <v>1.0</v>
      </c>
      <c r="L2603" s="8">
        <v>6.0</v>
      </c>
      <c r="M2603" s="8"/>
      <c r="N2603" s="8"/>
      <c r="O2603" s="8" t="s">
        <v>811</v>
      </c>
      <c r="P2603" s="8" t="e">
        <v>#N/A</v>
      </c>
    </row>
    <row r="2604">
      <c r="A2604">
        <f>IFERROR(__xludf.DUMMYFUNCTION("""COMPUTED_VALUE"""),6.0)</f>
        <v>6</v>
      </c>
      <c r="B2604">
        <f>IFERROR(__xludf.DUMMYFUNCTION("""COMPUTED_VALUE"""),31100.0)</f>
        <v>31100</v>
      </c>
      <c r="C2604" t="str">
        <f>IFERROR(__xludf.DUMMYFUNCTION("""COMPUTED_VALUE"""),"RAMIREZ LIBREROS, MATIAS")</f>
        <v>RAMIREZ LIBREROS, MATIAS</v>
      </c>
      <c r="D2604" t="str">
        <f>IFERROR(__xludf.DUMMYFUNCTION("""COMPUTED_VALUE"""),"Tech 6S1")</f>
        <v>Tech 6S1</v>
      </c>
      <c r="E2604" s="31" t="str">
        <f>IFERROR(__xludf.DUMMYFUNCTION("""COMPUTED_VALUE"""),"4a")</f>
        <v>4a</v>
      </c>
      <c r="F2604" s="8">
        <v>1.0</v>
      </c>
      <c r="G2604" s="8">
        <v>1.0</v>
      </c>
      <c r="H2604" s="8">
        <v>1.0</v>
      </c>
      <c r="I2604" s="8">
        <v>1.0</v>
      </c>
      <c r="J2604" s="8">
        <v>1.0</v>
      </c>
      <c r="K2604" s="8">
        <v>1.0</v>
      </c>
      <c r="L2604" s="8">
        <v>6.0</v>
      </c>
      <c r="M2604" s="8"/>
      <c r="N2604" s="8"/>
      <c r="O2604" s="8" t="s">
        <v>812</v>
      </c>
      <c r="P2604" s="8" t="e">
        <v>#N/A</v>
      </c>
    </row>
    <row r="2605">
      <c r="A2605">
        <f>IFERROR(__xludf.DUMMYFUNCTION("""COMPUTED_VALUE"""),6.0)</f>
        <v>6</v>
      </c>
      <c r="B2605">
        <f>IFERROR(__xludf.DUMMYFUNCTION("""COMPUTED_VALUE"""),31101.0)</f>
        <v>31101</v>
      </c>
      <c r="C2605" t="str">
        <f>IFERROR(__xludf.DUMMYFUNCTION("""COMPUTED_VALUE"""),"RENDON ECHEVERRI, MIGUEL")</f>
        <v>RENDON ECHEVERRI, MIGUEL</v>
      </c>
      <c r="D2605" t="str">
        <f>IFERROR(__xludf.DUMMYFUNCTION("""COMPUTED_VALUE"""),"Tech 6S1")</f>
        <v>Tech 6S1</v>
      </c>
      <c r="E2605" s="31" t="str">
        <f>IFERROR(__xludf.DUMMYFUNCTION("""COMPUTED_VALUE"""),"2a")</f>
        <v>2a</v>
      </c>
      <c r="F2605" s="8">
        <v>1.0</v>
      </c>
      <c r="G2605" s="8">
        <v>1.0</v>
      </c>
      <c r="H2605" s="8">
        <v>1.0</v>
      </c>
      <c r="I2605" s="8">
        <v>1.0</v>
      </c>
      <c r="J2605" s="8">
        <v>1.0</v>
      </c>
      <c r="K2605" s="8">
        <v>1.0</v>
      </c>
      <c r="L2605" s="8">
        <v>6.0</v>
      </c>
      <c r="M2605" s="8"/>
      <c r="N2605" s="8"/>
      <c r="O2605" s="8" t="s">
        <v>817</v>
      </c>
      <c r="P2605" s="8" t="e">
        <v>#N/A</v>
      </c>
    </row>
    <row r="2606">
      <c r="A2606">
        <f>IFERROR(__xludf.DUMMYFUNCTION("""COMPUTED_VALUE"""),6.0)</f>
        <v>6</v>
      </c>
      <c r="B2606">
        <f>IFERROR(__xludf.DUMMYFUNCTION("""COMPUTED_VALUE"""),31173.0)</f>
        <v>31173</v>
      </c>
      <c r="C2606" t="str">
        <f>IFERROR(__xludf.DUMMYFUNCTION("""COMPUTED_VALUE"""),"REPETTO LARROSA, FRANCHESCO")</f>
        <v>REPETTO LARROSA, FRANCHESCO</v>
      </c>
      <c r="D2606" t="str">
        <f>IFERROR(__xludf.DUMMYFUNCTION("""COMPUTED_VALUE"""),"Art 6S1")</f>
        <v>Art 6S1</v>
      </c>
      <c r="E2606" s="31" t="str">
        <f>IFERROR(__xludf.DUMMYFUNCTION("""COMPUTED_VALUE"""),"6b")</f>
        <v>6b</v>
      </c>
      <c r="F2606" s="8">
        <v>1.0</v>
      </c>
      <c r="G2606" s="8">
        <v>1.0</v>
      </c>
      <c r="H2606" s="8">
        <v>1.0</v>
      </c>
      <c r="I2606" s="8">
        <v>1.0</v>
      </c>
      <c r="J2606" s="8">
        <v>1.0</v>
      </c>
      <c r="K2606" s="8">
        <v>1.0</v>
      </c>
      <c r="L2606" s="8">
        <v>6.0</v>
      </c>
      <c r="M2606" s="8"/>
      <c r="N2606" s="8"/>
      <c r="O2606" s="8" t="s">
        <v>814</v>
      </c>
      <c r="P2606" s="8" t="e">
        <v>#N/A</v>
      </c>
    </row>
    <row r="2607">
      <c r="A2607">
        <f>IFERROR(__xludf.DUMMYFUNCTION("""COMPUTED_VALUE"""),6.0)</f>
        <v>6</v>
      </c>
      <c r="B2607">
        <f>IFERROR(__xludf.DUMMYFUNCTION("""COMPUTED_VALUE"""),31103.0)</f>
        <v>31103</v>
      </c>
      <c r="C2607" t="str">
        <f>IFERROR(__xludf.DUMMYFUNCTION("""COMPUTED_VALUE"""),"RESTREPO BETANCUR, ALICIA")</f>
        <v>RESTREPO BETANCUR, ALICIA</v>
      </c>
      <c r="D2607" t="str">
        <f>IFERROR(__xludf.DUMMYFUNCTION("""COMPUTED_VALUE"""),"Art 6S1")</f>
        <v>Art 6S1</v>
      </c>
      <c r="E2607" s="31" t="str">
        <f>IFERROR(__xludf.DUMMYFUNCTION("""COMPUTED_VALUE"""),"2a")</f>
        <v>2a</v>
      </c>
      <c r="F2607" s="8">
        <v>1.0</v>
      </c>
      <c r="G2607" s="8">
        <v>1.0</v>
      </c>
      <c r="H2607" s="8">
        <v>1.0</v>
      </c>
      <c r="I2607" s="8">
        <v>1.0</v>
      </c>
      <c r="J2607" s="8">
        <v>1.0</v>
      </c>
      <c r="K2607" s="8">
        <v>1.0</v>
      </c>
      <c r="L2607" s="8">
        <v>6.0</v>
      </c>
      <c r="M2607" s="8"/>
      <c r="N2607" s="8"/>
      <c r="O2607" s="8" t="s">
        <v>816</v>
      </c>
      <c r="P2607" s="8" t="e">
        <v>#N/A</v>
      </c>
    </row>
    <row r="2608">
      <c r="A2608">
        <f>IFERROR(__xludf.DUMMYFUNCTION("""COMPUTED_VALUE"""),6.0)</f>
        <v>6</v>
      </c>
      <c r="B2608">
        <f>IFERROR(__xludf.DUMMYFUNCTION("""COMPUTED_VALUE"""),31104.0)</f>
        <v>31104</v>
      </c>
      <c r="C2608" t="str">
        <f>IFERROR(__xludf.DUMMYFUNCTION("""COMPUTED_VALUE"""),"RESTREPO ECHAVARRIA, EMILIA")</f>
        <v>RESTREPO ECHAVARRIA, EMILIA</v>
      </c>
      <c r="D2608" t="str">
        <f>IFERROR(__xludf.DUMMYFUNCTION("""COMPUTED_VALUE"""),"Art 6S1")</f>
        <v>Art 6S1</v>
      </c>
      <c r="E2608" s="31" t="str">
        <f>IFERROR(__xludf.DUMMYFUNCTION("""COMPUTED_VALUE"""),"6b")</f>
        <v>6b</v>
      </c>
      <c r="F2608" s="8">
        <v>1.0</v>
      </c>
      <c r="G2608" s="8">
        <v>1.0</v>
      </c>
      <c r="H2608" s="8">
        <v>1.0</v>
      </c>
      <c r="I2608" s="8">
        <v>1.0</v>
      </c>
      <c r="J2608" s="8">
        <v>1.0</v>
      </c>
      <c r="K2608" s="8">
        <v>1.0</v>
      </c>
      <c r="L2608" s="8">
        <v>6.0</v>
      </c>
      <c r="M2608" s="8"/>
      <c r="N2608" s="8"/>
      <c r="O2608" s="8" t="s">
        <v>814</v>
      </c>
      <c r="P2608" s="8" t="e">
        <v>#N/A</v>
      </c>
    </row>
    <row r="2609">
      <c r="A2609">
        <f>IFERROR(__xludf.DUMMYFUNCTION("""COMPUTED_VALUE"""),6.0)</f>
        <v>6</v>
      </c>
      <c r="B2609">
        <f>IFERROR(__xludf.DUMMYFUNCTION("""COMPUTED_VALUE"""),31105.0)</f>
        <v>31105</v>
      </c>
      <c r="C2609" t="str">
        <f>IFERROR(__xludf.DUMMYFUNCTION("""COMPUTED_VALUE"""),"RESTREPO PELAEZ, EMILIA")</f>
        <v>RESTREPO PELAEZ, EMILIA</v>
      </c>
      <c r="D2609" t="str">
        <f>IFERROR(__xludf.DUMMYFUNCTION("""COMPUTED_VALUE"""),"Art 6S1")</f>
        <v>Art 6S1</v>
      </c>
      <c r="E2609" s="31" t="str">
        <f>IFERROR(__xludf.DUMMYFUNCTION("""COMPUTED_VALUE"""),"4a")</f>
        <v>4a</v>
      </c>
      <c r="F2609" s="8">
        <v>1.0</v>
      </c>
      <c r="G2609" s="8">
        <v>1.0</v>
      </c>
      <c r="H2609" s="8">
        <v>1.0</v>
      </c>
      <c r="I2609" s="8">
        <v>1.0</v>
      </c>
      <c r="J2609" s="8">
        <v>1.0</v>
      </c>
      <c r="K2609" s="8">
        <v>1.0</v>
      </c>
      <c r="L2609" s="8">
        <v>6.0</v>
      </c>
      <c r="M2609" s="8"/>
      <c r="N2609" s="8"/>
      <c r="O2609" s="8" t="s">
        <v>808</v>
      </c>
      <c r="P2609" s="8" t="e">
        <v>#N/A</v>
      </c>
    </row>
    <row r="2610">
      <c r="A2610">
        <f>IFERROR(__xludf.DUMMYFUNCTION("""COMPUTED_VALUE"""),6.0)</f>
        <v>6</v>
      </c>
      <c r="B2610">
        <f>IFERROR(__xludf.DUMMYFUNCTION("""COMPUTED_VALUE"""),31171.0)</f>
        <v>31171</v>
      </c>
      <c r="C2610" t="str">
        <f>IFERROR(__xludf.DUMMYFUNCTION("""COMPUTED_VALUE"""),"RICHARDSON MEJIA, SOFIA")</f>
        <v>RICHARDSON MEJIA, SOFIA</v>
      </c>
      <c r="D2610" t="str">
        <f>IFERROR(__xludf.DUMMYFUNCTION("""COMPUTED_VALUE"""),"Tech 6S1")</f>
        <v>Tech 6S1</v>
      </c>
      <c r="E2610" s="31" t="str">
        <f>IFERROR(__xludf.DUMMYFUNCTION("""COMPUTED_VALUE"""),"2a")</f>
        <v>2a</v>
      </c>
      <c r="F2610" s="8">
        <v>1.0</v>
      </c>
      <c r="G2610" s="8">
        <v>1.0</v>
      </c>
      <c r="H2610" s="8">
        <v>1.0</v>
      </c>
      <c r="I2610" s="8">
        <v>1.0</v>
      </c>
      <c r="J2610" s="8">
        <v>1.0</v>
      </c>
      <c r="K2610" s="8">
        <v>1.0</v>
      </c>
      <c r="L2610" s="8">
        <v>6.0</v>
      </c>
      <c r="M2610" s="8"/>
      <c r="N2610" s="8"/>
      <c r="O2610" s="8" t="s">
        <v>817</v>
      </c>
      <c r="P2610" s="8" t="e">
        <v>#N/A</v>
      </c>
    </row>
    <row r="2611">
      <c r="A2611">
        <f>IFERROR(__xludf.DUMMYFUNCTION("""COMPUTED_VALUE"""),6.0)</f>
        <v>6</v>
      </c>
      <c r="B2611">
        <f>IFERROR(__xludf.DUMMYFUNCTION("""COMPUTED_VALUE"""),31106.0)</f>
        <v>31106</v>
      </c>
      <c r="C2611" t="str">
        <f>IFERROR(__xludf.DUMMYFUNCTION("""COMPUTED_VALUE"""),"RINCON URIBE, NICOLAS")</f>
        <v>RINCON URIBE, NICOLAS</v>
      </c>
      <c r="D2611" t="str">
        <f>IFERROR(__xludf.DUMMYFUNCTION("""COMPUTED_VALUE"""),"Symphony BandS1")</f>
        <v>Symphony BandS1</v>
      </c>
      <c r="E2611" s="31" t="str">
        <f>IFERROR(__xludf.DUMMYFUNCTION("""COMPUTED_VALUE"""),"5a")</f>
        <v>5a</v>
      </c>
      <c r="F2611" s="8">
        <v>1.0</v>
      </c>
      <c r="G2611" s="8">
        <v>1.0</v>
      </c>
      <c r="H2611" s="8">
        <v>1.0</v>
      </c>
      <c r="I2611" s="8">
        <v>1.0</v>
      </c>
      <c r="J2611" s="8">
        <v>1.0</v>
      </c>
      <c r="K2611" s="8">
        <v>1.0</v>
      </c>
      <c r="L2611" s="8">
        <v>6.0</v>
      </c>
      <c r="M2611" s="8"/>
      <c r="N2611" s="8"/>
      <c r="O2611" s="8" t="s">
        <v>809</v>
      </c>
      <c r="P2611" s="8" t="e">
        <v>#N/A</v>
      </c>
    </row>
    <row r="2612">
      <c r="A2612">
        <f>IFERROR(__xludf.DUMMYFUNCTION("""COMPUTED_VALUE"""),6.0)</f>
        <v>6</v>
      </c>
      <c r="B2612">
        <f>IFERROR(__xludf.DUMMYFUNCTION("""COMPUTED_VALUE"""),31107.0)</f>
        <v>31107</v>
      </c>
      <c r="C2612" t="str">
        <f>IFERROR(__xludf.DUMMYFUNCTION("""COMPUTED_VALUE"""),"ROBLEDO LLANO, JERONIMO")</f>
        <v>ROBLEDO LLANO, JERONIMO</v>
      </c>
      <c r="D2612" t="str">
        <f>IFERROR(__xludf.DUMMYFUNCTION("""COMPUTED_VALUE"""),"Regular BandS1")</f>
        <v>Regular BandS1</v>
      </c>
      <c r="E2612" s="31" t="str">
        <f>IFERROR(__xludf.DUMMYFUNCTION("""COMPUTED_VALUE"""),"6a")</f>
        <v>6a</v>
      </c>
      <c r="F2612" s="8">
        <v>1.0</v>
      </c>
      <c r="G2612" s="8">
        <v>1.0</v>
      </c>
      <c r="H2612" s="8">
        <v>1.0</v>
      </c>
      <c r="I2612" s="8">
        <v>1.0</v>
      </c>
      <c r="J2612" s="8">
        <v>1.0</v>
      </c>
      <c r="K2612" s="8">
        <v>1.0</v>
      </c>
      <c r="L2612" s="8">
        <v>6.0</v>
      </c>
      <c r="M2612" s="8"/>
      <c r="N2612" s="8"/>
      <c r="O2612" s="8" t="s">
        <v>810</v>
      </c>
      <c r="P2612" s="8" t="e">
        <v>#N/A</v>
      </c>
    </row>
    <row r="2613">
      <c r="A2613">
        <f>IFERROR(__xludf.DUMMYFUNCTION("""COMPUTED_VALUE"""),6.0)</f>
        <v>6</v>
      </c>
      <c r="B2613">
        <f>IFERROR(__xludf.DUMMYFUNCTION("""COMPUTED_VALUE"""),30159.0)</f>
        <v>30159</v>
      </c>
      <c r="C2613" t="str">
        <f>IFERROR(__xludf.DUMMYFUNCTION("""COMPUTED_VALUE"""),"ROJAS REYES, MATEO")</f>
        <v>ROJAS REYES, MATEO</v>
      </c>
      <c r="D2613" t="str">
        <f>IFERROR(__xludf.DUMMYFUNCTION("""COMPUTED_VALUE"""),"Regular BandS1")</f>
        <v>Regular BandS1</v>
      </c>
      <c r="E2613" s="31" t="str">
        <f>IFERROR(__xludf.DUMMYFUNCTION("""COMPUTED_VALUE"""),"6a")</f>
        <v>6a</v>
      </c>
      <c r="F2613" s="8">
        <v>1.0</v>
      </c>
      <c r="G2613" s="8">
        <v>1.0</v>
      </c>
      <c r="H2613" s="8">
        <v>1.0</v>
      </c>
      <c r="I2613" s="8">
        <v>1.0</v>
      </c>
      <c r="J2613" s="8">
        <v>1.0</v>
      </c>
      <c r="K2613" s="8">
        <v>1.0</v>
      </c>
      <c r="L2613" s="8">
        <v>6.0</v>
      </c>
      <c r="M2613" s="8"/>
      <c r="N2613" s="8"/>
      <c r="O2613" s="8" t="s">
        <v>810</v>
      </c>
      <c r="P2613" s="8" t="e">
        <v>#N/A</v>
      </c>
    </row>
    <row r="2614">
      <c r="A2614">
        <f>IFERROR(__xludf.DUMMYFUNCTION("""COMPUTED_VALUE"""),6.0)</f>
        <v>6</v>
      </c>
      <c r="B2614">
        <f>IFERROR(__xludf.DUMMYFUNCTION("""COMPUTED_VALUE"""),31110.0)</f>
        <v>31110</v>
      </c>
      <c r="C2614" t="str">
        <f>IFERROR(__xludf.DUMMYFUNCTION("""COMPUTED_VALUE"""),"RUIZ CORREA, MARIANA")</f>
        <v>RUIZ CORREA, MARIANA</v>
      </c>
      <c r="D2614" t="str">
        <f>IFERROR(__xludf.DUMMYFUNCTION("""COMPUTED_VALUE"""),"Tech 6S1")</f>
        <v>Tech 6S1</v>
      </c>
      <c r="E2614" s="31" t="str">
        <f>IFERROR(__xludf.DUMMYFUNCTION("""COMPUTED_VALUE"""),"1b")</f>
        <v>1b</v>
      </c>
      <c r="F2614" s="8">
        <v>1.0</v>
      </c>
      <c r="G2614" s="8">
        <v>1.0</v>
      </c>
      <c r="H2614" s="8">
        <v>1.0</v>
      </c>
      <c r="I2614" s="8">
        <v>1.0</v>
      </c>
      <c r="J2614" s="8">
        <v>1.0</v>
      </c>
      <c r="K2614" s="8">
        <v>1.0</v>
      </c>
      <c r="L2614" s="8">
        <v>6.0</v>
      </c>
      <c r="M2614" s="8"/>
      <c r="N2614" s="8"/>
      <c r="O2614" s="8" t="s">
        <v>811</v>
      </c>
      <c r="P2614" s="8" t="e">
        <v>#N/A</v>
      </c>
    </row>
    <row r="2615">
      <c r="A2615">
        <f>IFERROR(__xludf.DUMMYFUNCTION("""COMPUTED_VALUE"""),6.0)</f>
        <v>6</v>
      </c>
      <c r="B2615">
        <f>IFERROR(__xludf.DUMMYFUNCTION("""COMPUTED_VALUE"""),31111.0)</f>
        <v>31111</v>
      </c>
      <c r="C2615" t="str">
        <f>IFERROR(__xludf.DUMMYFUNCTION("""COMPUTED_VALUE"""),"RUIZ DUQUE, ANTONIO")</f>
        <v>RUIZ DUQUE, ANTONIO</v>
      </c>
      <c r="D2615" t="str">
        <f>IFERROR(__xludf.DUMMYFUNCTION("""COMPUTED_VALUE"""),"Tech 6S1")</f>
        <v>Tech 6S1</v>
      </c>
      <c r="E2615" s="31" t="str">
        <f>IFERROR(__xludf.DUMMYFUNCTION("""COMPUTED_VALUE"""),"4a")</f>
        <v>4a</v>
      </c>
      <c r="F2615" s="8">
        <v>1.0</v>
      </c>
      <c r="G2615" s="8">
        <v>1.0</v>
      </c>
      <c r="H2615" s="8">
        <v>1.0</v>
      </c>
      <c r="I2615" s="8">
        <v>1.0</v>
      </c>
      <c r="J2615" s="8">
        <v>1.0</v>
      </c>
      <c r="K2615" s="8">
        <v>1.0</v>
      </c>
      <c r="L2615" s="8">
        <v>6.0</v>
      </c>
      <c r="M2615" s="8"/>
      <c r="N2615" s="8"/>
      <c r="O2615" s="8" t="s">
        <v>812</v>
      </c>
      <c r="P2615" s="8" t="e">
        <v>#N/A</v>
      </c>
    </row>
    <row r="2616">
      <c r="A2616">
        <f>IFERROR(__xludf.DUMMYFUNCTION("""COMPUTED_VALUE"""),6.0)</f>
        <v>6</v>
      </c>
      <c r="B2616">
        <f>IFERROR(__xludf.DUMMYFUNCTION("""COMPUTED_VALUE"""),31109.0)</f>
        <v>31109</v>
      </c>
      <c r="C2616" t="str">
        <f>IFERROR(__xludf.DUMMYFUNCTION("""COMPUTED_VALUE"""),"RUZ GUZMAN, FEDERICO")</f>
        <v>RUZ GUZMAN, FEDERICO</v>
      </c>
      <c r="D2616" t="str">
        <f>IFERROR(__xludf.DUMMYFUNCTION("""COMPUTED_VALUE"""),"Symphony BandS1")</f>
        <v>Symphony BandS1</v>
      </c>
      <c r="E2616" s="31" t="str">
        <f>IFERROR(__xludf.DUMMYFUNCTION("""COMPUTED_VALUE"""),"5a")</f>
        <v>5a</v>
      </c>
      <c r="F2616" s="8">
        <v>1.0</v>
      </c>
      <c r="G2616" s="8">
        <v>1.0</v>
      </c>
      <c r="H2616" s="8">
        <v>1.0</v>
      </c>
      <c r="I2616" s="8">
        <v>1.0</v>
      </c>
      <c r="J2616" s="8">
        <v>1.0</v>
      </c>
      <c r="K2616" s="8">
        <v>1.0</v>
      </c>
      <c r="L2616" s="8">
        <v>6.0</v>
      </c>
      <c r="M2616" s="8"/>
      <c r="N2616" s="8"/>
      <c r="O2616" s="8" t="s">
        <v>809</v>
      </c>
      <c r="P2616" s="8" t="e">
        <v>#N/A</v>
      </c>
    </row>
    <row r="2617">
      <c r="A2617">
        <f>IFERROR(__xludf.DUMMYFUNCTION("""COMPUTED_VALUE"""),6.0)</f>
        <v>6</v>
      </c>
      <c r="B2617">
        <f>IFERROR(__xludf.DUMMYFUNCTION("""COMPUTED_VALUE"""),31112.0)</f>
        <v>31112</v>
      </c>
      <c r="C2617" t="str">
        <f>IFERROR(__xludf.DUMMYFUNCTION("""COMPUTED_VALUE"""),"SALAZAR BOTERO, FEDERICO")</f>
        <v>SALAZAR BOTERO, FEDERICO</v>
      </c>
      <c r="D2617" t="str">
        <f>IFERROR(__xludf.DUMMYFUNCTION("""COMPUTED_VALUE"""),"Symphony BandS1")</f>
        <v>Symphony BandS1</v>
      </c>
      <c r="E2617" s="31" t="str">
        <f>IFERROR(__xludf.DUMMYFUNCTION("""COMPUTED_VALUE"""),"5a")</f>
        <v>5a</v>
      </c>
      <c r="F2617" s="8">
        <v>1.0</v>
      </c>
      <c r="G2617" s="8">
        <v>1.0</v>
      </c>
      <c r="H2617" s="8">
        <v>1.0</v>
      </c>
      <c r="I2617" s="8">
        <v>1.0</v>
      </c>
      <c r="J2617" s="8">
        <v>1.0</v>
      </c>
      <c r="K2617" s="8">
        <v>1.0</v>
      </c>
      <c r="L2617" s="8">
        <v>6.0</v>
      </c>
      <c r="M2617" s="8"/>
      <c r="N2617" s="8"/>
      <c r="O2617" s="8" t="s">
        <v>809</v>
      </c>
      <c r="P2617" s="8" t="e">
        <v>#N/A</v>
      </c>
    </row>
    <row r="2618">
      <c r="A2618">
        <f>IFERROR(__xludf.DUMMYFUNCTION("""COMPUTED_VALUE"""),6.0)</f>
        <v>6</v>
      </c>
      <c r="B2618">
        <f>IFERROR(__xludf.DUMMYFUNCTION("""COMPUTED_VALUE"""),31153.0)</f>
        <v>31153</v>
      </c>
      <c r="C2618" t="str">
        <f>IFERROR(__xludf.DUMMYFUNCTION("""COMPUTED_VALUE"""),"SALCEDO PERICO, JACOBO")</f>
        <v>SALCEDO PERICO, JACOBO</v>
      </c>
      <c r="D2618" t="str">
        <f>IFERROR(__xludf.DUMMYFUNCTION("""COMPUTED_VALUE"""),"Art 6S1")</f>
        <v>Art 6S1</v>
      </c>
      <c r="E2618" s="31" t="str">
        <f>IFERROR(__xludf.DUMMYFUNCTION("""COMPUTED_VALUE"""),"6b")</f>
        <v>6b</v>
      </c>
      <c r="F2618" s="8">
        <v>1.0</v>
      </c>
      <c r="G2618" s="8">
        <v>1.0</v>
      </c>
      <c r="H2618" s="8">
        <v>1.0</v>
      </c>
      <c r="I2618" s="8">
        <v>1.0</v>
      </c>
      <c r="J2618" s="8">
        <v>1.0</v>
      </c>
      <c r="K2618" s="8">
        <v>1.0</v>
      </c>
      <c r="L2618" s="8">
        <v>6.0</v>
      </c>
      <c r="M2618" s="8"/>
      <c r="N2618" s="8"/>
      <c r="O2618" s="8" t="s">
        <v>814</v>
      </c>
      <c r="P2618" s="8" t="e">
        <v>#N/A</v>
      </c>
    </row>
    <row r="2619">
      <c r="A2619">
        <f>IFERROR(__xludf.DUMMYFUNCTION("""COMPUTED_VALUE"""),6.0)</f>
        <v>6</v>
      </c>
      <c r="B2619">
        <f>IFERROR(__xludf.DUMMYFUNCTION("""COMPUTED_VALUE"""),31113.0)</f>
        <v>31113</v>
      </c>
      <c r="C2619" t="str">
        <f>IFERROR(__xludf.DUMMYFUNCTION("""COMPUTED_VALUE"""),"SANTAMARIA SALDARRIAGA, JUAN MARTIN")</f>
        <v>SANTAMARIA SALDARRIAGA, JUAN MARTIN</v>
      </c>
      <c r="D2619" t="str">
        <f>IFERROR(__xludf.DUMMYFUNCTION("""COMPUTED_VALUE"""),"Tech 6S1")</f>
        <v>Tech 6S1</v>
      </c>
      <c r="E2619" s="31" t="str">
        <f>IFERROR(__xludf.DUMMYFUNCTION("""COMPUTED_VALUE"""),"6b")</f>
        <v>6b</v>
      </c>
      <c r="F2619" s="8">
        <v>1.0</v>
      </c>
      <c r="G2619" s="8">
        <v>1.0</v>
      </c>
      <c r="H2619" s="8">
        <v>1.0</v>
      </c>
      <c r="I2619" s="8">
        <v>1.0</v>
      </c>
      <c r="J2619" s="8">
        <v>1.0</v>
      </c>
      <c r="K2619" s="8">
        <v>1.0</v>
      </c>
      <c r="L2619" s="8">
        <v>6.0</v>
      </c>
      <c r="M2619" s="8"/>
      <c r="N2619" s="8"/>
      <c r="O2619" s="8" t="s">
        <v>815</v>
      </c>
      <c r="P2619" s="8" t="e">
        <v>#N/A</v>
      </c>
    </row>
    <row r="2620">
      <c r="A2620">
        <f>IFERROR(__xludf.DUMMYFUNCTION("""COMPUTED_VALUE"""),6.0)</f>
        <v>6</v>
      </c>
      <c r="B2620">
        <f>IFERROR(__xludf.DUMMYFUNCTION("""COMPUTED_VALUE"""),31114.0)</f>
        <v>31114</v>
      </c>
      <c r="C2620" t="str">
        <f>IFERROR(__xludf.DUMMYFUNCTION("""COMPUTED_VALUE"""),"SCHOBER OCAMPO, MIA")</f>
        <v>SCHOBER OCAMPO, MIA</v>
      </c>
      <c r="D2620" t="str">
        <f>IFERROR(__xludf.DUMMYFUNCTION("""COMPUTED_VALUE"""),"Art 6S1")</f>
        <v>Art 6S1</v>
      </c>
      <c r="E2620" s="31" t="str">
        <f>IFERROR(__xludf.DUMMYFUNCTION("""COMPUTED_VALUE"""),"4a")</f>
        <v>4a</v>
      </c>
      <c r="F2620" s="8">
        <v>1.0</v>
      </c>
      <c r="G2620" s="8">
        <v>1.0</v>
      </c>
      <c r="H2620" s="8">
        <v>1.0</v>
      </c>
      <c r="I2620" s="8">
        <v>1.0</v>
      </c>
      <c r="J2620" s="8">
        <v>1.0</v>
      </c>
      <c r="K2620" s="8">
        <v>1.0</v>
      </c>
      <c r="L2620" s="8">
        <v>6.0</v>
      </c>
      <c r="M2620" s="8"/>
      <c r="N2620" s="8"/>
      <c r="O2620" s="8" t="s">
        <v>808</v>
      </c>
      <c r="P2620" s="8" t="e">
        <v>#N/A</v>
      </c>
    </row>
    <row r="2621">
      <c r="A2621">
        <f>IFERROR(__xludf.DUMMYFUNCTION("""COMPUTED_VALUE"""),6.0)</f>
        <v>6</v>
      </c>
      <c r="B2621">
        <f>IFERROR(__xludf.DUMMYFUNCTION("""COMPUTED_VALUE"""),31115.0)</f>
        <v>31115</v>
      </c>
      <c r="C2621" t="str">
        <f>IFERROR(__xludf.DUMMYFUNCTION("""COMPUTED_VALUE"""),"SERANI ANGEL, TOMAS")</f>
        <v>SERANI ANGEL, TOMAS</v>
      </c>
      <c r="D2621" t="str">
        <f>IFERROR(__xludf.DUMMYFUNCTION("""COMPUTED_VALUE"""),"Symphony BandS1")</f>
        <v>Symphony BandS1</v>
      </c>
      <c r="E2621" s="31" t="str">
        <f>IFERROR(__xludf.DUMMYFUNCTION("""COMPUTED_VALUE"""),"5a")</f>
        <v>5a</v>
      </c>
      <c r="F2621" s="8">
        <v>1.0</v>
      </c>
      <c r="G2621" s="8">
        <v>1.0</v>
      </c>
      <c r="H2621" s="8">
        <v>1.0</v>
      </c>
      <c r="I2621" s="8">
        <v>1.0</v>
      </c>
      <c r="J2621" s="8">
        <v>1.0</v>
      </c>
      <c r="K2621" s="8">
        <v>1.0</v>
      </c>
      <c r="L2621" s="8">
        <v>6.0</v>
      </c>
      <c r="M2621" s="8"/>
      <c r="N2621" s="8"/>
      <c r="O2621" s="8" t="s">
        <v>809</v>
      </c>
      <c r="P2621" s="8" t="e">
        <v>#N/A</v>
      </c>
    </row>
    <row r="2622">
      <c r="A2622">
        <f>IFERROR(__xludf.DUMMYFUNCTION("""COMPUTED_VALUE"""),6.0)</f>
        <v>6</v>
      </c>
      <c r="B2622">
        <f>IFERROR(__xludf.DUMMYFUNCTION("""COMPUTED_VALUE"""),31116.0)</f>
        <v>31116</v>
      </c>
      <c r="C2622" t="str">
        <f>IFERROR(__xludf.DUMMYFUNCTION("""COMPUTED_VALUE"""),"SERRANO BARRENECHE, JUAN FELIPE")</f>
        <v>SERRANO BARRENECHE, JUAN FELIPE</v>
      </c>
      <c r="D2622" t="str">
        <f>IFERROR(__xludf.DUMMYFUNCTION("""COMPUTED_VALUE"""),"Symphony BandS1")</f>
        <v>Symphony BandS1</v>
      </c>
      <c r="E2622" s="31" t="str">
        <f>IFERROR(__xludf.DUMMYFUNCTION("""COMPUTED_VALUE"""),"5a")</f>
        <v>5a</v>
      </c>
      <c r="F2622" s="8">
        <v>1.0</v>
      </c>
      <c r="G2622" s="8">
        <v>1.0</v>
      </c>
      <c r="H2622" s="8">
        <v>1.0</v>
      </c>
      <c r="I2622" s="8">
        <v>1.0</v>
      </c>
      <c r="J2622" s="8">
        <v>1.0</v>
      </c>
      <c r="K2622" s="8">
        <v>1.0</v>
      </c>
      <c r="L2622" s="8">
        <v>6.0</v>
      </c>
      <c r="M2622" s="8"/>
      <c r="N2622" s="8"/>
      <c r="O2622" s="8" t="s">
        <v>809</v>
      </c>
      <c r="P2622" s="8" t="e">
        <v>#N/A</v>
      </c>
    </row>
    <row r="2623">
      <c r="A2623">
        <f>IFERROR(__xludf.DUMMYFUNCTION("""COMPUTED_VALUE"""),6.0)</f>
        <v>6</v>
      </c>
      <c r="B2623">
        <f>IFERROR(__xludf.DUMMYFUNCTION("""COMPUTED_VALUE"""),31117.0)</f>
        <v>31117</v>
      </c>
      <c r="C2623" t="str">
        <f>IFERROR(__xludf.DUMMYFUNCTION("""COMPUTED_VALUE"""),"SIERRA ECHAVARRIA, BENJAMIN")</f>
        <v>SIERRA ECHAVARRIA, BENJAMIN</v>
      </c>
      <c r="D2623" t="str">
        <f>IFERROR(__xludf.DUMMYFUNCTION("""COMPUTED_VALUE"""),"Regular BandS1")</f>
        <v>Regular BandS1</v>
      </c>
      <c r="E2623" s="31" t="str">
        <f>IFERROR(__xludf.DUMMYFUNCTION("""COMPUTED_VALUE"""),"6a")</f>
        <v>6a</v>
      </c>
      <c r="F2623" s="8">
        <v>1.0</v>
      </c>
      <c r="G2623" s="8">
        <v>1.0</v>
      </c>
      <c r="H2623" s="8">
        <v>1.0</v>
      </c>
      <c r="I2623" s="8">
        <v>1.0</v>
      </c>
      <c r="J2623" s="8">
        <v>1.0</v>
      </c>
      <c r="K2623" s="8">
        <v>1.0</v>
      </c>
      <c r="L2623" s="8">
        <v>6.0</v>
      </c>
      <c r="M2623" s="8"/>
      <c r="N2623" s="8"/>
      <c r="O2623" s="8" t="s">
        <v>810</v>
      </c>
      <c r="P2623" s="8" t="e">
        <v>#N/A</v>
      </c>
    </row>
    <row r="2624">
      <c r="A2624">
        <f>IFERROR(__xludf.DUMMYFUNCTION("""COMPUTED_VALUE"""),6.0)</f>
        <v>6</v>
      </c>
      <c r="B2624">
        <f>IFERROR(__xludf.DUMMYFUNCTION("""COMPUTED_VALUE"""),31118.0)</f>
        <v>31118</v>
      </c>
      <c r="C2624" t="str">
        <f>IFERROR(__xludf.DUMMYFUNCTION("""COMPUTED_VALUE"""),"TOBON PEÑALOZA, EMILIA")</f>
        <v>TOBON PEÑALOZA, EMILIA</v>
      </c>
      <c r="D2624" t="str">
        <f>IFERROR(__xludf.DUMMYFUNCTION("""COMPUTED_VALUE"""),"Tech 6S1")</f>
        <v>Tech 6S1</v>
      </c>
      <c r="E2624" s="31" t="str">
        <f>IFERROR(__xludf.DUMMYFUNCTION("""COMPUTED_VALUE"""),"1b")</f>
        <v>1b</v>
      </c>
      <c r="F2624" s="8">
        <v>1.0</v>
      </c>
      <c r="G2624" s="8">
        <v>1.0</v>
      </c>
      <c r="H2624" s="8">
        <v>1.0</v>
      </c>
      <c r="I2624" s="8">
        <v>1.0</v>
      </c>
      <c r="J2624" s="8">
        <v>1.0</v>
      </c>
      <c r="K2624" s="8">
        <v>1.0</v>
      </c>
      <c r="L2624" s="8">
        <v>6.0</v>
      </c>
      <c r="M2624" s="8"/>
      <c r="N2624" s="8"/>
      <c r="O2624" s="8" t="s">
        <v>811</v>
      </c>
      <c r="P2624" s="8" t="e">
        <v>#N/A</v>
      </c>
    </row>
    <row r="2625">
      <c r="A2625">
        <f>IFERROR(__xludf.DUMMYFUNCTION("""COMPUTED_VALUE"""),6.0)</f>
        <v>6</v>
      </c>
      <c r="B2625">
        <f>IFERROR(__xludf.DUMMYFUNCTION("""COMPUTED_VALUE"""),31119.0)</f>
        <v>31119</v>
      </c>
      <c r="C2625" t="str">
        <f>IFERROR(__xludf.DUMMYFUNCTION("""COMPUTED_VALUE"""),"TOBON PEÑALOZA, JUAN")</f>
        <v>TOBON PEÑALOZA, JUAN</v>
      </c>
      <c r="D2625" t="str">
        <f>IFERROR(__xludf.DUMMYFUNCTION("""COMPUTED_VALUE"""),"Symphony BandS1")</f>
        <v>Symphony BandS1</v>
      </c>
      <c r="E2625" s="31" t="str">
        <f>IFERROR(__xludf.DUMMYFUNCTION("""COMPUTED_VALUE"""),"5a")</f>
        <v>5a</v>
      </c>
      <c r="F2625" s="8">
        <v>1.0</v>
      </c>
      <c r="G2625" s="8">
        <v>1.0</v>
      </c>
      <c r="H2625" s="8">
        <v>1.0</v>
      </c>
      <c r="I2625" s="8">
        <v>1.0</v>
      </c>
      <c r="J2625" s="8">
        <v>1.0</v>
      </c>
      <c r="K2625" s="8">
        <v>1.0</v>
      </c>
      <c r="L2625" s="8">
        <v>6.0</v>
      </c>
      <c r="M2625" s="8"/>
      <c r="N2625" s="8"/>
      <c r="O2625" s="8" t="s">
        <v>809</v>
      </c>
      <c r="P2625" s="8" t="e">
        <v>#N/A</v>
      </c>
    </row>
    <row r="2626">
      <c r="A2626">
        <f>IFERROR(__xludf.DUMMYFUNCTION("""COMPUTED_VALUE"""),6.0)</f>
        <v>6</v>
      </c>
      <c r="B2626">
        <f>IFERROR(__xludf.DUMMYFUNCTION("""COMPUTED_VALUE"""),31120.0)</f>
        <v>31120</v>
      </c>
      <c r="C2626" t="str">
        <f>IFERROR(__xludf.DUMMYFUNCTION("""COMPUTED_VALUE"""),"TORO PEREZ, GREGORIO")</f>
        <v>TORO PEREZ, GREGORIO</v>
      </c>
      <c r="D2626" t="str">
        <f>IFERROR(__xludf.DUMMYFUNCTION("""COMPUTED_VALUE"""),"Art 6S1")</f>
        <v>Art 6S1</v>
      </c>
      <c r="E2626" s="31" t="str">
        <f>IFERROR(__xludf.DUMMYFUNCTION("""COMPUTED_VALUE"""),"1b")</f>
        <v>1b</v>
      </c>
      <c r="F2626" s="8">
        <v>1.0</v>
      </c>
      <c r="G2626" s="8">
        <v>1.0</v>
      </c>
      <c r="H2626" s="8">
        <v>1.0</v>
      </c>
      <c r="I2626" s="8">
        <v>1.0</v>
      </c>
      <c r="J2626" s="8">
        <v>1.0</v>
      </c>
      <c r="K2626" s="8">
        <v>1.0</v>
      </c>
      <c r="L2626" s="8">
        <v>6.0</v>
      </c>
      <c r="M2626" s="8"/>
      <c r="N2626" s="8"/>
      <c r="O2626" s="8" t="s">
        <v>813</v>
      </c>
      <c r="P2626" s="8" t="e">
        <v>#N/A</v>
      </c>
    </row>
    <row r="2627">
      <c r="A2627">
        <f>IFERROR(__xludf.DUMMYFUNCTION("""COMPUTED_VALUE"""),6.0)</f>
        <v>6</v>
      </c>
      <c r="B2627">
        <f>IFERROR(__xludf.DUMMYFUNCTION("""COMPUTED_VALUE"""),31121.0)</f>
        <v>31121</v>
      </c>
      <c r="C2627" t="str">
        <f>IFERROR(__xludf.DUMMYFUNCTION("""COMPUTED_VALUE"""),"TRUJILLO ARANGO, MARTIN")</f>
        <v>TRUJILLO ARANGO, MARTIN</v>
      </c>
      <c r="D2627" t="str">
        <f>IFERROR(__xludf.DUMMYFUNCTION("""COMPUTED_VALUE"""),"Art 6S1")</f>
        <v>Art 6S1</v>
      </c>
      <c r="E2627" s="31" t="str">
        <f>IFERROR(__xludf.DUMMYFUNCTION("""COMPUTED_VALUE"""),"2a")</f>
        <v>2a</v>
      </c>
      <c r="F2627" s="8">
        <v>1.0</v>
      </c>
      <c r="G2627" s="8">
        <v>1.0</v>
      </c>
      <c r="H2627" s="8">
        <v>1.0</v>
      </c>
      <c r="I2627" s="8">
        <v>1.0</v>
      </c>
      <c r="J2627" s="8">
        <v>1.0</v>
      </c>
      <c r="K2627" s="8">
        <v>1.0</v>
      </c>
      <c r="L2627" s="8">
        <v>6.0</v>
      </c>
      <c r="M2627" s="8"/>
      <c r="N2627" s="8"/>
      <c r="O2627" s="8" t="s">
        <v>816</v>
      </c>
      <c r="P2627" s="8" t="e">
        <v>#N/A</v>
      </c>
    </row>
    <row r="2628">
      <c r="A2628">
        <f>IFERROR(__xludf.DUMMYFUNCTION("""COMPUTED_VALUE"""),6.0)</f>
        <v>6</v>
      </c>
      <c r="B2628">
        <f>IFERROR(__xludf.DUMMYFUNCTION("""COMPUTED_VALUE"""),30108.0)</f>
        <v>30108</v>
      </c>
      <c r="C2628" t="str">
        <f>IFERROR(__xludf.DUMMYFUNCTION("""COMPUTED_VALUE"""),"TRUJILLO BUITRAGO, MARTIN")</f>
        <v>TRUJILLO BUITRAGO, MARTIN</v>
      </c>
      <c r="D2628" t="str">
        <f>IFERROR(__xludf.DUMMYFUNCTION("""COMPUTED_VALUE"""),"Art 6S1")</f>
        <v>Art 6S1</v>
      </c>
      <c r="E2628" s="31" t="str">
        <f>IFERROR(__xludf.DUMMYFUNCTION("""COMPUTED_VALUE"""),"6b")</f>
        <v>6b</v>
      </c>
      <c r="F2628" s="8">
        <v>1.0</v>
      </c>
      <c r="G2628" s="8">
        <v>1.0</v>
      </c>
      <c r="H2628" s="8">
        <v>1.0</v>
      </c>
      <c r="I2628" s="8">
        <v>1.0</v>
      </c>
      <c r="J2628" s="8">
        <v>1.0</v>
      </c>
      <c r="K2628" s="8">
        <v>1.0</v>
      </c>
      <c r="L2628" s="8">
        <v>6.0</v>
      </c>
      <c r="M2628" s="8"/>
      <c r="N2628" s="8"/>
      <c r="O2628" s="8" t="s">
        <v>814</v>
      </c>
      <c r="P2628" s="8" t="e">
        <v>#N/A</v>
      </c>
    </row>
    <row r="2629">
      <c r="A2629">
        <f>IFERROR(__xludf.DUMMYFUNCTION("""COMPUTED_VALUE"""),6.0)</f>
        <v>6</v>
      </c>
      <c r="B2629">
        <f>IFERROR(__xludf.DUMMYFUNCTION("""COMPUTED_VALUE"""),31122.0)</f>
        <v>31122</v>
      </c>
      <c r="C2629" t="str">
        <f>IFERROR(__xludf.DUMMYFUNCTION("""COMPUTED_VALUE"""),"URDANETA MEJIA, GABRIELA")</f>
        <v>URDANETA MEJIA, GABRIELA</v>
      </c>
      <c r="D2629" t="str">
        <f>IFERROR(__xludf.DUMMYFUNCTION("""COMPUTED_VALUE"""),"Tech 6S1")</f>
        <v>Tech 6S1</v>
      </c>
      <c r="E2629" s="31" t="str">
        <f>IFERROR(__xludf.DUMMYFUNCTION("""COMPUTED_VALUE"""),"2a")</f>
        <v>2a</v>
      </c>
      <c r="F2629" s="8">
        <v>1.0</v>
      </c>
      <c r="G2629" s="8">
        <v>1.0</v>
      </c>
      <c r="H2629" s="8">
        <v>1.0</v>
      </c>
      <c r="I2629" s="8">
        <v>1.0</v>
      </c>
      <c r="J2629" s="8">
        <v>1.0</v>
      </c>
      <c r="K2629" s="8">
        <v>1.0</v>
      </c>
      <c r="L2629" s="8">
        <v>6.0</v>
      </c>
      <c r="M2629" s="8"/>
      <c r="N2629" s="8"/>
      <c r="O2629" s="8" t="s">
        <v>817</v>
      </c>
      <c r="P2629" s="8" t="e">
        <v>#N/A</v>
      </c>
    </row>
    <row r="2630">
      <c r="A2630">
        <f>IFERROR(__xludf.DUMMYFUNCTION("""COMPUTED_VALUE"""),6.0)</f>
        <v>6</v>
      </c>
      <c r="B2630">
        <f>IFERROR(__xludf.DUMMYFUNCTION("""COMPUTED_VALUE"""),31123.0)</f>
        <v>31123</v>
      </c>
      <c r="C2630" t="str">
        <f>IFERROR(__xludf.DUMMYFUNCTION("""COMPUTED_VALUE"""),"URIBE BOTERO, MANUEL")</f>
        <v>URIBE BOTERO, MANUEL</v>
      </c>
      <c r="D2630" t="str">
        <f>IFERROR(__xludf.DUMMYFUNCTION("""COMPUTED_VALUE"""),"Art 6S1")</f>
        <v>Art 6S1</v>
      </c>
      <c r="E2630" s="31" t="str">
        <f>IFERROR(__xludf.DUMMYFUNCTION("""COMPUTED_VALUE"""),"1b")</f>
        <v>1b</v>
      </c>
      <c r="F2630" s="8">
        <v>1.0</v>
      </c>
      <c r="G2630" s="8">
        <v>1.0</v>
      </c>
      <c r="H2630" s="8">
        <v>1.0</v>
      </c>
      <c r="I2630" s="8">
        <v>1.0</v>
      </c>
      <c r="J2630" s="8">
        <v>1.0</v>
      </c>
      <c r="K2630" s="8">
        <v>1.0</v>
      </c>
      <c r="L2630" s="8">
        <v>6.0</v>
      </c>
      <c r="M2630" s="8"/>
      <c r="N2630" s="8"/>
      <c r="O2630" s="8" t="s">
        <v>813</v>
      </c>
      <c r="P2630" s="8" t="e">
        <v>#N/A</v>
      </c>
    </row>
    <row r="2631">
      <c r="A2631">
        <f>IFERROR(__xludf.DUMMYFUNCTION("""COMPUTED_VALUE"""),6.0)</f>
        <v>6</v>
      </c>
      <c r="B2631">
        <f>IFERROR(__xludf.DUMMYFUNCTION("""COMPUTED_VALUE"""),31124.0)</f>
        <v>31124</v>
      </c>
      <c r="C2631" t="str">
        <f>IFERROR(__xludf.DUMMYFUNCTION("""COMPUTED_VALUE"""),"URIBE MEJIA, MARTINA")</f>
        <v>URIBE MEJIA, MARTINA</v>
      </c>
      <c r="D2631" t="str">
        <f>IFERROR(__xludf.DUMMYFUNCTION("""COMPUTED_VALUE"""),"Symphony BandS1")</f>
        <v>Symphony BandS1</v>
      </c>
      <c r="E2631" s="31" t="str">
        <f>IFERROR(__xludf.DUMMYFUNCTION("""COMPUTED_VALUE"""),"5a")</f>
        <v>5a</v>
      </c>
      <c r="F2631" s="8">
        <v>1.0</v>
      </c>
      <c r="G2631" s="8">
        <v>1.0</v>
      </c>
      <c r="H2631" s="8">
        <v>1.0</v>
      </c>
      <c r="I2631" s="8">
        <v>1.0</v>
      </c>
      <c r="J2631" s="8">
        <v>1.0</v>
      </c>
      <c r="K2631" s="8">
        <v>1.0</v>
      </c>
      <c r="L2631" s="8">
        <v>6.0</v>
      </c>
      <c r="M2631" s="8"/>
      <c r="N2631" s="8"/>
      <c r="O2631" s="8" t="s">
        <v>809</v>
      </c>
      <c r="P2631" s="8" t="e">
        <v>#N/A</v>
      </c>
    </row>
    <row r="2632">
      <c r="A2632">
        <f>IFERROR(__xludf.DUMMYFUNCTION("""COMPUTED_VALUE"""),6.0)</f>
        <v>6</v>
      </c>
      <c r="B2632">
        <f>IFERROR(__xludf.DUMMYFUNCTION("""COMPUTED_VALUE"""),31125.0)</f>
        <v>31125</v>
      </c>
      <c r="C2632" t="str">
        <f>IFERROR(__xludf.DUMMYFUNCTION("""COMPUTED_VALUE"""),"URIBE RODRIGUEZ, ANDRES")</f>
        <v>URIBE RODRIGUEZ, ANDRES</v>
      </c>
      <c r="D2632" t="str">
        <f>IFERROR(__xludf.DUMMYFUNCTION("""COMPUTED_VALUE"""),"Regular BandS1")</f>
        <v>Regular BandS1</v>
      </c>
      <c r="E2632" s="31" t="str">
        <f>IFERROR(__xludf.DUMMYFUNCTION("""COMPUTED_VALUE"""),"6a")</f>
        <v>6a</v>
      </c>
      <c r="F2632" s="8">
        <v>1.0</v>
      </c>
      <c r="G2632" s="8">
        <v>1.0</v>
      </c>
      <c r="H2632" s="8">
        <v>1.0</v>
      </c>
      <c r="I2632" s="8">
        <v>1.0</v>
      </c>
      <c r="J2632" s="8">
        <v>1.0</v>
      </c>
      <c r="K2632" s="8">
        <v>1.0</v>
      </c>
      <c r="L2632" s="8">
        <v>6.0</v>
      </c>
      <c r="M2632" s="8"/>
      <c r="N2632" s="8"/>
      <c r="O2632" s="8" t="s">
        <v>810</v>
      </c>
      <c r="P2632" s="8" t="e">
        <v>#N/A</v>
      </c>
    </row>
    <row r="2633">
      <c r="A2633">
        <f>IFERROR(__xludf.DUMMYFUNCTION("""COMPUTED_VALUE"""),6.0)</f>
        <v>6</v>
      </c>
      <c r="B2633">
        <f>IFERROR(__xludf.DUMMYFUNCTION("""COMPUTED_VALUE"""),31126.0)</f>
        <v>31126</v>
      </c>
      <c r="C2633" t="str">
        <f>IFERROR(__xludf.DUMMYFUNCTION("""COMPUTED_VALUE"""),"URIBE RUIZ, MANUEL")</f>
        <v>URIBE RUIZ, MANUEL</v>
      </c>
      <c r="D2633" t="str">
        <f>IFERROR(__xludf.DUMMYFUNCTION("""COMPUTED_VALUE"""),"Art 6S1")</f>
        <v>Art 6S1</v>
      </c>
      <c r="E2633" s="31" t="str">
        <f>IFERROR(__xludf.DUMMYFUNCTION("""COMPUTED_VALUE"""),"1b")</f>
        <v>1b</v>
      </c>
      <c r="F2633" s="8">
        <v>1.0</v>
      </c>
      <c r="G2633" s="8">
        <v>1.0</v>
      </c>
      <c r="H2633" s="8">
        <v>1.0</v>
      </c>
      <c r="I2633" s="8">
        <v>1.0</v>
      </c>
      <c r="J2633" s="8">
        <v>1.0</v>
      </c>
      <c r="K2633" s="8">
        <v>1.0</v>
      </c>
      <c r="L2633" s="8">
        <v>6.0</v>
      </c>
      <c r="M2633" s="8"/>
      <c r="N2633" s="8"/>
      <c r="O2633" s="8" t="s">
        <v>813</v>
      </c>
      <c r="P2633" s="8" t="e">
        <v>#N/A</v>
      </c>
    </row>
    <row r="2634">
      <c r="A2634">
        <f>IFERROR(__xludf.DUMMYFUNCTION("""COMPUTED_VALUE"""),6.0)</f>
        <v>6</v>
      </c>
      <c r="B2634">
        <f>IFERROR(__xludf.DUMMYFUNCTION("""COMPUTED_VALUE"""),31127.0)</f>
        <v>31127</v>
      </c>
      <c r="C2634" t="str">
        <f>IFERROR(__xludf.DUMMYFUNCTION("""COMPUTED_VALUE"""),"URIBE VELASQUEZ, JERONIMO")</f>
        <v>URIBE VELASQUEZ, JERONIMO</v>
      </c>
      <c r="D2634" t="str">
        <f>IFERROR(__xludf.DUMMYFUNCTION("""COMPUTED_VALUE"""),"Art 6S1")</f>
        <v>Art 6S1</v>
      </c>
      <c r="E2634" s="31" t="str">
        <f>IFERROR(__xludf.DUMMYFUNCTION("""COMPUTED_VALUE"""),"4a")</f>
        <v>4a</v>
      </c>
      <c r="F2634" s="8">
        <v>1.0</v>
      </c>
      <c r="G2634" s="8">
        <v>1.0</v>
      </c>
      <c r="H2634" s="8">
        <v>1.0</v>
      </c>
      <c r="I2634" s="8">
        <v>1.0</v>
      </c>
      <c r="J2634" s="8">
        <v>1.0</v>
      </c>
      <c r="K2634" s="8">
        <v>1.0</v>
      </c>
      <c r="L2634" s="8">
        <v>6.0</v>
      </c>
      <c r="M2634" s="8"/>
      <c r="N2634" s="8"/>
      <c r="O2634" s="8" t="s">
        <v>808</v>
      </c>
      <c r="P2634" s="8" t="e">
        <v>#N/A</v>
      </c>
    </row>
    <row r="2635">
      <c r="A2635">
        <f>IFERROR(__xludf.DUMMYFUNCTION("""COMPUTED_VALUE"""),6.0)</f>
        <v>6</v>
      </c>
      <c r="B2635">
        <f>IFERROR(__xludf.DUMMYFUNCTION("""COMPUTED_VALUE"""),31128.0)</f>
        <v>31128</v>
      </c>
      <c r="C2635" t="str">
        <f>IFERROR(__xludf.DUMMYFUNCTION("""COMPUTED_VALUE"""),"URRETA HENAO, PEDRO")</f>
        <v>URRETA HENAO, PEDRO</v>
      </c>
      <c r="D2635" t="str">
        <f>IFERROR(__xludf.DUMMYFUNCTION("""COMPUTED_VALUE"""),"Regular BandS1")</f>
        <v>Regular BandS1</v>
      </c>
      <c r="E2635" s="31" t="str">
        <f>IFERROR(__xludf.DUMMYFUNCTION("""COMPUTED_VALUE"""),"6a")</f>
        <v>6a</v>
      </c>
      <c r="F2635" s="8">
        <v>1.0</v>
      </c>
      <c r="G2635" s="8">
        <v>1.0</v>
      </c>
      <c r="H2635" s="8">
        <v>1.0</v>
      </c>
      <c r="I2635" s="8">
        <v>1.0</v>
      </c>
      <c r="J2635" s="8">
        <v>1.0</v>
      </c>
      <c r="K2635" s="8">
        <v>1.0</v>
      </c>
      <c r="L2635" s="8">
        <v>6.0</v>
      </c>
      <c r="M2635" s="8"/>
      <c r="N2635" s="8"/>
      <c r="O2635" s="8" t="s">
        <v>810</v>
      </c>
      <c r="P2635" s="8" t="e">
        <v>#N/A</v>
      </c>
    </row>
    <row r="2636">
      <c r="A2636">
        <f>IFERROR(__xludf.DUMMYFUNCTION("""COMPUTED_VALUE"""),6.0)</f>
        <v>6</v>
      </c>
      <c r="B2636">
        <f>IFERROR(__xludf.DUMMYFUNCTION("""COMPUTED_VALUE"""),31165.0)</f>
        <v>31165</v>
      </c>
      <c r="C2636" t="str">
        <f>IFERROR(__xludf.DUMMYFUNCTION("""COMPUTED_VALUE"""),"VALDEZ URIBE, SAMANTHA")</f>
        <v>VALDEZ URIBE, SAMANTHA</v>
      </c>
      <c r="D2636" t="str">
        <f>IFERROR(__xludf.DUMMYFUNCTION("""COMPUTED_VALUE"""),"Tech 6S1")</f>
        <v>Tech 6S1</v>
      </c>
      <c r="E2636" s="31" t="str">
        <f>IFERROR(__xludf.DUMMYFUNCTION("""COMPUTED_VALUE"""),"6b")</f>
        <v>6b</v>
      </c>
      <c r="F2636" s="8">
        <v>1.0</v>
      </c>
      <c r="G2636" s="8">
        <v>1.0</v>
      </c>
      <c r="H2636" s="8">
        <v>1.0</v>
      </c>
      <c r="I2636" s="8">
        <v>1.0</v>
      </c>
      <c r="J2636" s="8">
        <v>1.0</v>
      </c>
      <c r="K2636" s="8">
        <v>1.0</v>
      </c>
      <c r="L2636" s="8">
        <v>6.0</v>
      </c>
      <c r="M2636" s="8"/>
      <c r="N2636" s="8"/>
      <c r="O2636" s="8" t="s">
        <v>815</v>
      </c>
      <c r="P2636" s="8" t="e">
        <v>#N/A</v>
      </c>
    </row>
    <row r="2637">
      <c r="A2637">
        <f>IFERROR(__xludf.DUMMYFUNCTION("""COMPUTED_VALUE"""),6.0)</f>
        <v>6</v>
      </c>
      <c r="B2637">
        <f>IFERROR(__xludf.DUMMYFUNCTION("""COMPUTED_VALUE"""),31129.0)</f>
        <v>31129</v>
      </c>
      <c r="C2637" t="str">
        <f>IFERROR(__xludf.DUMMYFUNCTION("""COMPUTED_VALUE"""),"VALENCIA VILLEGAS, ELENA")</f>
        <v>VALENCIA VILLEGAS, ELENA</v>
      </c>
      <c r="D2637" t="str">
        <f>IFERROR(__xludf.DUMMYFUNCTION("""COMPUTED_VALUE"""),"Tech 6S1")</f>
        <v>Tech 6S1</v>
      </c>
      <c r="E2637" s="31" t="str">
        <f>IFERROR(__xludf.DUMMYFUNCTION("""COMPUTED_VALUE"""),"4a")</f>
        <v>4a</v>
      </c>
      <c r="F2637" s="8">
        <v>1.0</v>
      </c>
      <c r="G2637" s="8">
        <v>1.0</v>
      </c>
      <c r="H2637" s="8">
        <v>1.0</v>
      </c>
      <c r="I2637" s="8">
        <v>1.0</v>
      </c>
      <c r="J2637" s="8">
        <v>1.0</v>
      </c>
      <c r="K2637" s="8">
        <v>1.0</v>
      </c>
      <c r="L2637" s="8">
        <v>6.0</v>
      </c>
      <c r="M2637" s="8"/>
      <c r="N2637" s="8"/>
      <c r="O2637" s="8" t="s">
        <v>812</v>
      </c>
      <c r="P2637" s="8" t="e">
        <v>#N/A</v>
      </c>
    </row>
    <row r="2638">
      <c r="A2638">
        <f>IFERROR(__xludf.DUMMYFUNCTION("""COMPUTED_VALUE"""),6.0)</f>
        <v>6</v>
      </c>
      <c r="B2638">
        <f>IFERROR(__xludf.DUMMYFUNCTION("""COMPUTED_VALUE"""),31130.0)</f>
        <v>31130</v>
      </c>
      <c r="C2638" t="str">
        <f>IFERROR(__xludf.DUMMYFUNCTION("""COMPUTED_VALUE"""),"VARGAS ACEVEDO, DANTE")</f>
        <v>VARGAS ACEVEDO, DANTE</v>
      </c>
      <c r="D2638" t="str">
        <f>IFERROR(__xludf.DUMMYFUNCTION("""COMPUTED_VALUE"""),"Art 6S1")</f>
        <v>Art 6S1</v>
      </c>
      <c r="E2638" s="31" t="str">
        <f>IFERROR(__xludf.DUMMYFUNCTION("""COMPUTED_VALUE"""),"6b")</f>
        <v>6b</v>
      </c>
      <c r="F2638" s="8">
        <v>1.0</v>
      </c>
      <c r="G2638" s="8">
        <v>1.0</v>
      </c>
      <c r="H2638" s="8">
        <v>1.0</v>
      </c>
      <c r="I2638" s="8">
        <v>1.0</v>
      </c>
      <c r="J2638" s="8">
        <v>1.0</v>
      </c>
      <c r="K2638" s="8">
        <v>1.0</v>
      </c>
      <c r="L2638" s="8">
        <v>6.0</v>
      </c>
      <c r="M2638" s="8"/>
      <c r="N2638" s="8"/>
      <c r="O2638" s="8" t="s">
        <v>814</v>
      </c>
      <c r="P2638" s="8" t="e">
        <v>#N/A</v>
      </c>
    </row>
    <row r="2639">
      <c r="A2639">
        <f>IFERROR(__xludf.DUMMYFUNCTION("""COMPUTED_VALUE"""),6.0)</f>
        <v>6</v>
      </c>
      <c r="B2639">
        <f>IFERROR(__xludf.DUMMYFUNCTION("""COMPUTED_VALUE"""),31132.0)</f>
        <v>31132</v>
      </c>
      <c r="C2639" t="str">
        <f>IFERROR(__xludf.DUMMYFUNCTION("""COMPUTED_VALUE"""),"VASQUEZ HENAO, MATIAS")</f>
        <v>VASQUEZ HENAO, MATIAS</v>
      </c>
      <c r="D2639" t="str">
        <f>IFERROR(__xludf.DUMMYFUNCTION("""COMPUTED_VALUE"""),"Art 6S1")</f>
        <v>Art 6S1</v>
      </c>
      <c r="E2639" s="31" t="str">
        <f>IFERROR(__xludf.DUMMYFUNCTION("""COMPUTED_VALUE"""),"2a")</f>
        <v>2a</v>
      </c>
      <c r="F2639" s="8">
        <v>1.0</v>
      </c>
      <c r="G2639" s="8">
        <v>1.0</v>
      </c>
      <c r="H2639" s="8">
        <v>1.0</v>
      </c>
      <c r="I2639" s="8">
        <v>1.0</v>
      </c>
      <c r="J2639" s="8">
        <v>1.0</v>
      </c>
      <c r="K2639" s="8">
        <v>1.0</v>
      </c>
      <c r="L2639" s="8">
        <v>6.0</v>
      </c>
      <c r="M2639" s="8"/>
      <c r="N2639" s="8"/>
      <c r="O2639" s="8" t="s">
        <v>816</v>
      </c>
      <c r="P2639" s="8" t="e">
        <v>#N/A</v>
      </c>
    </row>
    <row r="2640">
      <c r="A2640">
        <f>IFERROR(__xludf.DUMMYFUNCTION("""COMPUTED_VALUE"""),6.0)</f>
        <v>6</v>
      </c>
      <c r="B2640">
        <f>IFERROR(__xludf.DUMMYFUNCTION("""COMPUTED_VALUE"""),30118.0)</f>
        <v>30118</v>
      </c>
      <c r="C2640" t="str">
        <f>IFERROR(__xludf.DUMMYFUNCTION("""COMPUTED_VALUE"""),"VASQUEZ MEDINA, MATIAS")</f>
        <v>VASQUEZ MEDINA, MATIAS</v>
      </c>
      <c r="D2640" t="str">
        <f>IFERROR(__xludf.DUMMYFUNCTION("""COMPUTED_VALUE"""),"Tech 6S1")</f>
        <v>Tech 6S1</v>
      </c>
      <c r="E2640" s="31" t="str">
        <f>IFERROR(__xludf.DUMMYFUNCTION("""COMPUTED_VALUE"""),"1b")</f>
        <v>1b</v>
      </c>
      <c r="F2640" s="8">
        <v>1.0</v>
      </c>
      <c r="G2640" s="8">
        <v>1.0</v>
      </c>
      <c r="H2640" s="8">
        <v>1.0</v>
      </c>
      <c r="I2640" s="8">
        <v>1.0</v>
      </c>
      <c r="J2640" s="8">
        <v>1.0</v>
      </c>
      <c r="K2640" s="8">
        <v>1.0</v>
      </c>
      <c r="L2640" s="8">
        <v>6.0</v>
      </c>
      <c r="M2640" s="8"/>
      <c r="N2640" s="8"/>
      <c r="O2640" s="8" t="s">
        <v>811</v>
      </c>
      <c r="P2640" s="8" t="e">
        <v>#N/A</v>
      </c>
    </row>
    <row r="2641">
      <c r="A2641">
        <f>IFERROR(__xludf.DUMMYFUNCTION("""COMPUTED_VALUE"""),6.0)</f>
        <v>6</v>
      </c>
      <c r="B2641">
        <f>IFERROR(__xludf.DUMMYFUNCTION("""COMPUTED_VALUE"""),31134.0)</f>
        <v>31134</v>
      </c>
      <c r="C2641" t="str">
        <f>IFERROR(__xludf.DUMMYFUNCTION("""COMPUTED_VALUE"""),"VELEZ ARANGO, LAURA")</f>
        <v>VELEZ ARANGO, LAURA</v>
      </c>
      <c r="D2641" t="str">
        <f>IFERROR(__xludf.DUMMYFUNCTION("""COMPUTED_VALUE"""),"Art 6S1")</f>
        <v>Art 6S1</v>
      </c>
      <c r="E2641" s="31" t="str">
        <f>IFERROR(__xludf.DUMMYFUNCTION("""COMPUTED_VALUE"""),"1b")</f>
        <v>1b</v>
      </c>
      <c r="F2641" s="8">
        <v>1.0</v>
      </c>
      <c r="G2641" s="8">
        <v>1.0</v>
      </c>
      <c r="H2641" s="8">
        <v>1.0</v>
      </c>
      <c r="I2641" s="8">
        <v>1.0</v>
      </c>
      <c r="J2641" s="8">
        <v>1.0</v>
      </c>
      <c r="K2641" s="8">
        <v>1.0</v>
      </c>
      <c r="L2641" s="8">
        <v>6.0</v>
      </c>
      <c r="M2641" s="8"/>
      <c r="N2641" s="8"/>
      <c r="O2641" s="8" t="s">
        <v>813</v>
      </c>
      <c r="P2641" s="8" t="e">
        <v>#N/A</v>
      </c>
    </row>
    <row r="2642">
      <c r="A2642">
        <f>IFERROR(__xludf.DUMMYFUNCTION("""COMPUTED_VALUE"""),6.0)</f>
        <v>6</v>
      </c>
      <c r="B2642">
        <f>IFERROR(__xludf.DUMMYFUNCTION("""COMPUTED_VALUE"""),31135.0)</f>
        <v>31135</v>
      </c>
      <c r="C2642" t="str">
        <f>IFERROR(__xludf.DUMMYFUNCTION("""COMPUTED_VALUE"""),"VELEZ ARANGO, PEDRO")</f>
        <v>VELEZ ARANGO, PEDRO</v>
      </c>
      <c r="D2642" t="str">
        <f>IFERROR(__xludf.DUMMYFUNCTION("""COMPUTED_VALUE"""),"Tech 6S1")</f>
        <v>Tech 6S1</v>
      </c>
      <c r="E2642" s="31" t="str">
        <f>IFERROR(__xludf.DUMMYFUNCTION("""COMPUTED_VALUE"""),"2a")</f>
        <v>2a</v>
      </c>
      <c r="F2642" s="8">
        <v>1.0</v>
      </c>
      <c r="G2642" s="8">
        <v>1.0</v>
      </c>
      <c r="H2642" s="8">
        <v>1.0</v>
      </c>
      <c r="I2642" s="8">
        <v>1.0</v>
      </c>
      <c r="J2642" s="8">
        <v>1.0</v>
      </c>
      <c r="K2642" s="8">
        <v>1.0</v>
      </c>
      <c r="L2642" s="8">
        <v>6.0</v>
      </c>
      <c r="M2642" s="8"/>
      <c r="N2642" s="8"/>
      <c r="O2642" s="8" t="s">
        <v>817</v>
      </c>
      <c r="P2642" s="8" t="e">
        <v>#N/A</v>
      </c>
    </row>
    <row r="2643">
      <c r="A2643">
        <f>IFERROR(__xludf.DUMMYFUNCTION("""COMPUTED_VALUE"""),6.0)</f>
        <v>6</v>
      </c>
      <c r="B2643">
        <f>IFERROR(__xludf.DUMMYFUNCTION("""COMPUTED_VALUE"""),31174.0)</f>
        <v>31174</v>
      </c>
      <c r="C2643" t="str">
        <f>IFERROR(__xludf.DUMMYFUNCTION("""COMPUTED_VALUE"""),"WILSON, HERBERT GEORGE")</f>
        <v>WILSON, HERBERT GEORGE</v>
      </c>
      <c r="D2643" t="str">
        <f>IFERROR(__xludf.DUMMYFUNCTION("""COMPUTED_VALUE"""),"Art 6S1")</f>
        <v>Art 6S1</v>
      </c>
      <c r="E2643" s="31" t="str">
        <f>IFERROR(__xludf.DUMMYFUNCTION("""COMPUTED_VALUE"""),"6b")</f>
        <v>6b</v>
      </c>
      <c r="F2643" s="8">
        <v>1.0</v>
      </c>
      <c r="G2643" s="8">
        <v>1.0</v>
      </c>
      <c r="H2643" s="8">
        <v>1.0</v>
      </c>
      <c r="I2643" s="8">
        <v>1.0</v>
      </c>
      <c r="J2643" s="8">
        <v>1.0</v>
      </c>
      <c r="K2643" s="8">
        <v>1.0</v>
      </c>
      <c r="L2643" s="8">
        <v>6.0</v>
      </c>
      <c r="M2643" s="8"/>
      <c r="N2643" s="8"/>
      <c r="O2643" s="8" t="s">
        <v>814</v>
      </c>
      <c r="P2643" s="8" t="e">
        <v>#N/A</v>
      </c>
    </row>
    <row r="2644">
      <c r="A2644">
        <f>IFERROR(__xludf.DUMMYFUNCTION("""COMPUTED_VALUE"""),6.0)</f>
        <v>6</v>
      </c>
      <c r="B2644">
        <f>IFERROR(__xludf.DUMMYFUNCTION("""COMPUTED_VALUE"""),31136.0)</f>
        <v>31136</v>
      </c>
      <c r="C2644" t="str">
        <f>IFERROR(__xludf.DUMMYFUNCTION("""COMPUTED_VALUE"""),"YANOVICH URIBE, MARCOS")</f>
        <v>YANOVICH URIBE, MARCOS</v>
      </c>
      <c r="D2644" t="str">
        <f>IFERROR(__xludf.DUMMYFUNCTION("""COMPUTED_VALUE"""),"Tech 6S1")</f>
        <v>Tech 6S1</v>
      </c>
      <c r="E2644" s="31" t="str">
        <f>IFERROR(__xludf.DUMMYFUNCTION("""COMPUTED_VALUE"""),"4a")</f>
        <v>4a</v>
      </c>
      <c r="F2644" s="8">
        <v>1.0</v>
      </c>
      <c r="G2644" s="8">
        <v>1.0</v>
      </c>
      <c r="H2644" s="8">
        <v>1.0</v>
      </c>
      <c r="I2644" s="8">
        <v>1.0</v>
      </c>
      <c r="J2644" s="8">
        <v>1.0</v>
      </c>
      <c r="K2644" s="8">
        <v>1.0</v>
      </c>
      <c r="L2644" s="8">
        <v>6.0</v>
      </c>
      <c r="M2644" s="8"/>
      <c r="N2644" s="8"/>
      <c r="O2644" s="8" t="s">
        <v>812</v>
      </c>
      <c r="P2644" s="8" t="e">
        <v>#N/A</v>
      </c>
    </row>
    <row r="2645">
      <c r="A2645">
        <f>IFERROR(__xludf.DUMMYFUNCTION("""COMPUTED_VALUE"""),6.0)</f>
        <v>6</v>
      </c>
      <c r="B2645">
        <f>IFERROR(__xludf.DUMMYFUNCTION("""COMPUTED_VALUE"""),30157.0)</f>
        <v>30157</v>
      </c>
      <c r="C2645" t="str">
        <f>IFERROR(__xludf.DUMMYFUNCTION("""COMPUTED_VALUE"""),"ZARRUK BELTRAN, ALEJANDRO")</f>
        <v>ZARRUK BELTRAN, ALEJANDRO</v>
      </c>
      <c r="D2645" t="str">
        <f>IFERROR(__xludf.DUMMYFUNCTION("""COMPUTED_VALUE"""),"Regular BandS1")</f>
        <v>Regular BandS1</v>
      </c>
      <c r="E2645" s="31" t="str">
        <f>IFERROR(__xludf.DUMMYFUNCTION("""COMPUTED_VALUE"""),"6a")</f>
        <v>6a</v>
      </c>
      <c r="F2645" s="8">
        <v>1.0</v>
      </c>
      <c r="G2645" s="8">
        <v>1.0</v>
      </c>
      <c r="H2645" s="8">
        <v>1.0</v>
      </c>
      <c r="I2645" s="8">
        <v>1.0</v>
      </c>
      <c r="J2645" s="8">
        <v>1.0</v>
      </c>
      <c r="K2645" s="8">
        <v>1.0</v>
      </c>
      <c r="L2645" s="8">
        <v>6.0</v>
      </c>
      <c r="M2645" s="8"/>
      <c r="N2645" s="8"/>
      <c r="O2645" s="8" t="s">
        <v>810</v>
      </c>
      <c r="P2645" s="8" t="e">
        <v>#N/A</v>
      </c>
    </row>
    <row r="2646">
      <c r="A2646">
        <f>IFERROR(__xludf.DUMMYFUNCTION("""COMPUTED_VALUE"""),6.0)</f>
        <v>6</v>
      </c>
      <c r="B2646">
        <f>IFERROR(__xludf.DUMMYFUNCTION("""COMPUTED_VALUE"""),31138.0)</f>
        <v>31138</v>
      </c>
      <c r="C2646" t="str">
        <f>IFERROR(__xludf.DUMMYFUNCTION("""COMPUTED_VALUE"""),"ZULOAGA MUÑOZ, PEDRO")</f>
        <v>ZULOAGA MUÑOZ, PEDRO</v>
      </c>
      <c r="D2646" t="str">
        <f>IFERROR(__xludf.DUMMYFUNCTION("""COMPUTED_VALUE"""),"Tech 6S1")</f>
        <v>Tech 6S1</v>
      </c>
      <c r="E2646" s="31" t="str">
        <f>IFERROR(__xludf.DUMMYFUNCTION("""COMPUTED_VALUE"""),"6b")</f>
        <v>6b</v>
      </c>
      <c r="F2646" s="8">
        <v>1.0</v>
      </c>
      <c r="G2646" s="8">
        <v>1.0</v>
      </c>
      <c r="H2646" s="8">
        <v>1.0</v>
      </c>
      <c r="I2646" s="8">
        <v>1.0</v>
      </c>
      <c r="J2646" s="8">
        <v>1.0</v>
      </c>
      <c r="K2646" s="8">
        <v>1.0</v>
      </c>
      <c r="L2646" s="8">
        <v>6.0</v>
      </c>
      <c r="M2646" s="8"/>
      <c r="N2646" s="8"/>
      <c r="O2646" s="8" t="s">
        <v>815</v>
      </c>
      <c r="P2646" s="8" t="e">
        <v>#N/A</v>
      </c>
    </row>
    <row r="2647">
      <c r="A2647">
        <f>IFERROR(__xludf.DUMMYFUNCTION("""COMPUTED_VALUE"""),6.0)</f>
        <v>6</v>
      </c>
      <c r="B2647">
        <f>IFERROR(__xludf.DUMMYFUNCTION("""COMPUTED_VALUE"""),31137.0)</f>
        <v>31137</v>
      </c>
      <c r="C2647" t="str">
        <f>IFERROR(__xludf.DUMMYFUNCTION("""COMPUTED_VALUE"""),"ZULUAGA HOYOS, ALEJANDRO")</f>
        <v>ZULUAGA HOYOS, ALEJANDRO</v>
      </c>
      <c r="D2647" t="str">
        <f>IFERROR(__xludf.DUMMYFUNCTION("""COMPUTED_VALUE"""),"Regular BandS1")</f>
        <v>Regular BandS1</v>
      </c>
      <c r="E2647" s="31" t="str">
        <f>IFERROR(__xludf.DUMMYFUNCTION("""COMPUTED_VALUE"""),"6a")</f>
        <v>6a</v>
      </c>
      <c r="F2647" s="8">
        <v>1.0</v>
      </c>
      <c r="G2647" s="8">
        <v>1.0</v>
      </c>
      <c r="H2647" s="8">
        <v>1.0</v>
      </c>
      <c r="I2647" s="8">
        <v>1.0</v>
      </c>
      <c r="J2647" s="8">
        <v>1.0</v>
      </c>
      <c r="K2647" s="8">
        <v>1.0</v>
      </c>
      <c r="L2647" s="8">
        <v>6.0</v>
      </c>
      <c r="M2647" s="8"/>
      <c r="N2647" s="8"/>
      <c r="O2647" s="8" t="s">
        <v>810</v>
      </c>
      <c r="P2647" s="8" t="e">
        <v>#N/A</v>
      </c>
    </row>
    <row r="2648">
      <c r="A2648">
        <f>IFERROR(__xludf.DUMMYFUNCTION("""COMPUTED_VALUE"""),7.0)</f>
        <v>7</v>
      </c>
      <c r="B2648">
        <f>IFERROR(__xludf.DUMMYFUNCTION("""COMPUTED_VALUE"""),30001.0)</f>
        <v>30001</v>
      </c>
      <c r="C2648" t="str">
        <f>IFERROR(__xludf.DUMMYFUNCTION("""COMPUTED_VALUE"""),"ALVAREZ GOMEZ, FEDERICO")</f>
        <v>ALVAREZ GOMEZ, FEDERICO</v>
      </c>
      <c r="D2648" t="str">
        <f>IFERROR(__xludf.DUMMYFUNCTION("""COMPUTED_VALUE"""),"Band 7S1")</f>
        <v>Band 7S1</v>
      </c>
      <c r="E2648" s="31" t="str">
        <f>IFERROR(__xludf.DUMMYFUNCTION("""COMPUTED_VALUE"""),"4b")</f>
        <v>4b</v>
      </c>
      <c r="F2648" s="8">
        <v>1.0</v>
      </c>
      <c r="G2648" s="8">
        <v>1.0</v>
      </c>
      <c r="H2648" s="8">
        <v>1.0</v>
      </c>
      <c r="I2648" s="8">
        <v>1.0</v>
      </c>
      <c r="J2648" s="8">
        <v>1.0</v>
      </c>
      <c r="K2648" s="8">
        <v>1.0</v>
      </c>
      <c r="L2648" s="8">
        <v>6.0</v>
      </c>
      <c r="M2648" s="8"/>
      <c r="N2648" s="8"/>
      <c r="O2648" s="8" t="s">
        <v>818</v>
      </c>
      <c r="P2648" s="8" t="e">
        <v>#N/A</v>
      </c>
    </row>
    <row r="2649">
      <c r="A2649">
        <f>IFERROR(__xludf.DUMMYFUNCTION("""COMPUTED_VALUE"""),7.0)</f>
        <v>7</v>
      </c>
      <c r="B2649">
        <f>IFERROR(__xludf.DUMMYFUNCTION("""COMPUTED_VALUE"""),30002.0)</f>
        <v>30002</v>
      </c>
      <c r="C2649" t="str">
        <f>IFERROR(__xludf.DUMMYFUNCTION("""COMPUTED_VALUE"""),"ALVAREZ VERA, ALEJANDRA")</f>
        <v>ALVAREZ VERA, ALEJANDRA</v>
      </c>
      <c r="D2649" t="str">
        <f>IFERROR(__xludf.DUMMYFUNCTION("""COMPUTED_VALUE"""),"Tech 7S1")</f>
        <v>Tech 7S1</v>
      </c>
      <c r="E2649" s="31" t="str">
        <f>IFERROR(__xludf.DUMMYFUNCTION("""COMPUTED_VALUE"""),"2b")</f>
        <v>2b</v>
      </c>
      <c r="F2649" s="8">
        <v>1.0</v>
      </c>
      <c r="G2649" s="8">
        <v>1.0</v>
      </c>
      <c r="H2649" s="8">
        <v>1.0</v>
      </c>
      <c r="I2649" s="8">
        <v>1.0</v>
      </c>
      <c r="J2649" s="8">
        <v>1.0</v>
      </c>
      <c r="K2649" s="8">
        <v>1.0</v>
      </c>
      <c r="L2649" s="8">
        <v>6.0</v>
      </c>
      <c r="M2649" s="8"/>
      <c r="N2649" s="8"/>
      <c r="O2649" s="8" t="s">
        <v>819</v>
      </c>
      <c r="P2649" s="8" t="e">
        <v>#N/A</v>
      </c>
    </row>
    <row r="2650">
      <c r="A2650">
        <f>IFERROR(__xludf.DUMMYFUNCTION("""COMPUTED_VALUE"""),7.0)</f>
        <v>7</v>
      </c>
      <c r="B2650">
        <f>IFERROR(__xludf.DUMMYFUNCTION("""COMPUTED_VALUE"""),30003.0)</f>
        <v>30003</v>
      </c>
      <c r="C2650" t="str">
        <f>IFERROR(__xludf.DUMMYFUNCTION("""COMPUTED_VALUE"""),"ALZATE ZAPATA, SIMON")</f>
        <v>ALZATE ZAPATA, SIMON</v>
      </c>
      <c r="D2650" t="str">
        <f>IFERROR(__xludf.DUMMYFUNCTION("""COMPUTED_VALUE"""),"Band 7S1")</f>
        <v>Band 7S1</v>
      </c>
      <c r="E2650" s="31" t="str">
        <f>IFERROR(__xludf.DUMMYFUNCTION("""COMPUTED_VALUE"""),"2b")</f>
        <v>2b</v>
      </c>
      <c r="F2650" s="8">
        <v>1.0</v>
      </c>
      <c r="G2650" s="8">
        <v>1.0</v>
      </c>
      <c r="H2650" s="8">
        <v>1.0</v>
      </c>
      <c r="I2650" s="8">
        <v>1.0</v>
      </c>
      <c r="J2650" s="8">
        <v>1.0</v>
      </c>
      <c r="K2650" s="8">
        <v>1.0</v>
      </c>
      <c r="L2650" s="8">
        <v>6.0</v>
      </c>
      <c r="M2650" s="8"/>
      <c r="N2650" s="8"/>
      <c r="O2650" s="8" t="s">
        <v>820</v>
      </c>
      <c r="P2650" s="8" t="e">
        <v>#N/A</v>
      </c>
    </row>
    <row r="2651">
      <c r="A2651">
        <f>IFERROR(__xludf.DUMMYFUNCTION("""COMPUTED_VALUE"""),7.0)</f>
        <v>7</v>
      </c>
      <c r="B2651">
        <f>IFERROR(__xludf.DUMMYFUNCTION("""COMPUTED_VALUE"""),30004.0)</f>
        <v>30004</v>
      </c>
      <c r="C2651" t="str">
        <f>IFERROR(__xludf.DUMMYFUNCTION("""COMPUTED_VALUE"""),"ANGEL MEDINA, LUCIA")</f>
        <v>ANGEL MEDINA, LUCIA</v>
      </c>
      <c r="D2651" t="str">
        <f>IFERROR(__xludf.DUMMYFUNCTION("""COMPUTED_VALUE"""),"Art 7S1")</f>
        <v>Art 7S1</v>
      </c>
      <c r="E2651" s="31" t="str">
        <f>IFERROR(__xludf.DUMMYFUNCTION("""COMPUTED_VALUE"""),"6a")</f>
        <v>6a</v>
      </c>
      <c r="F2651" s="8">
        <v>1.0</v>
      </c>
      <c r="G2651" s="8">
        <v>1.0</v>
      </c>
      <c r="H2651" s="8">
        <v>1.0</v>
      </c>
      <c r="I2651" s="8">
        <v>1.0</v>
      </c>
      <c r="J2651" s="8">
        <v>1.0</v>
      </c>
      <c r="K2651" s="8">
        <v>1.0</v>
      </c>
      <c r="L2651" s="8">
        <v>6.0</v>
      </c>
      <c r="M2651" s="8"/>
      <c r="N2651" s="8"/>
      <c r="O2651" s="8" t="s">
        <v>821</v>
      </c>
      <c r="P2651" s="8" t="e">
        <v>#N/A</v>
      </c>
    </row>
    <row r="2652">
      <c r="A2652">
        <f>IFERROR(__xludf.DUMMYFUNCTION("""COMPUTED_VALUE"""),7.0)</f>
        <v>7</v>
      </c>
      <c r="B2652">
        <f>IFERROR(__xludf.DUMMYFUNCTION("""COMPUTED_VALUE"""),30005.0)</f>
        <v>30005</v>
      </c>
      <c r="C2652" t="str">
        <f>IFERROR(__xludf.DUMMYFUNCTION("""COMPUTED_VALUE"""),"APA ECHAVARRIA, LUCIANO")</f>
        <v>APA ECHAVARRIA, LUCIANO</v>
      </c>
      <c r="D2652" t="str">
        <f>IFERROR(__xludf.DUMMYFUNCTION("""COMPUTED_VALUE"""),"Band 7S1")</f>
        <v>Band 7S1</v>
      </c>
      <c r="E2652" s="31" t="str">
        <f>IFERROR(__xludf.DUMMYFUNCTION("""COMPUTED_VALUE"""),"1a")</f>
        <v>1a</v>
      </c>
      <c r="F2652" s="8">
        <v>1.0</v>
      </c>
      <c r="G2652" s="8">
        <v>1.0</v>
      </c>
      <c r="H2652" s="8">
        <v>1.0</v>
      </c>
      <c r="I2652" s="8">
        <v>1.0</v>
      </c>
      <c r="J2652" s="8">
        <v>1.0</v>
      </c>
      <c r="K2652" s="8">
        <v>1.0</v>
      </c>
      <c r="L2652" s="8">
        <v>6.0</v>
      </c>
      <c r="M2652" s="8"/>
      <c r="N2652" s="8"/>
      <c r="O2652" s="8" t="s">
        <v>822</v>
      </c>
      <c r="P2652" s="8" t="e">
        <v>#N/A</v>
      </c>
    </row>
    <row r="2653">
      <c r="A2653">
        <f>IFERROR(__xludf.DUMMYFUNCTION("""COMPUTED_VALUE"""),7.0)</f>
        <v>7</v>
      </c>
      <c r="B2653">
        <f>IFERROR(__xludf.DUMMYFUNCTION("""COMPUTED_VALUE"""),30006.0)</f>
        <v>30006</v>
      </c>
      <c r="C2653" t="str">
        <f>IFERROR(__xludf.DUMMYFUNCTION("""COMPUTED_VALUE"""),"ARANGO DUQUE, MIGUEL")</f>
        <v>ARANGO DUQUE, MIGUEL</v>
      </c>
      <c r="D2653" t="str">
        <f>IFERROR(__xludf.DUMMYFUNCTION("""COMPUTED_VALUE"""),"Band 7S1")</f>
        <v>Band 7S1</v>
      </c>
      <c r="E2653" s="31" t="str">
        <f>IFERROR(__xludf.DUMMYFUNCTION("""COMPUTED_VALUE"""),"2b")</f>
        <v>2b</v>
      </c>
      <c r="F2653" s="8">
        <v>1.0</v>
      </c>
      <c r="G2653" s="8">
        <v>1.0</v>
      </c>
      <c r="H2653" s="8">
        <v>1.0</v>
      </c>
      <c r="I2653" s="8">
        <v>1.0</v>
      </c>
      <c r="J2653" s="8">
        <v>1.0</v>
      </c>
      <c r="K2653" s="8">
        <v>1.0</v>
      </c>
      <c r="L2653" s="8">
        <v>6.0</v>
      </c>
      <c r="M2653" s="8"/>
      <c r="N2653" s="8"/>
      <c r="O2653" s="8" t="s">
        <v>820</v>
      </c>
      <c r="P2653" s="8" t="e">
        <v>#N/A</v>
      </c>
    </row>
    <row r="2654">
      <c r="A2654">
        <f>IFERROR(__xludf.DUMMYFUNCTION("""COMPUTED_VALUE"""),7.0)</f>
        <v>7</v>
      </c>
      <c r="B2654">
        <f>IFERROR(__xludf.DUMMYFUNCTION("""COMPUTED_VALUE"""),30169.0)</f>
        <v>30169</v>
      </c>
      <c r="C2654" t="str">
        <f>IFERROR(__xludf.DUMMYFUNCTION("""COMPUTED_VALUE"""),"ARANGO LINHARES, FILIPPA")</f>
        <v>ARANGO LINHARES, FILIPPA</v>
      </c>
      <c r="D2654" t="str">
        <f>IFERROR(__xludf.DUMMYFUNCTION("""COMPUTED_VALUE"""),"Art 7S1")</f>
        <v>Art 7S1</v>
      </c>
      <c r="E2654" s="31" t="str">
        <f>IFERROR(__xludf.DUMMYFUNCTION("""COMPUTED_VALUE"""),"6a")</f>
        <v>6a</v>
      </c>
      <c r="F2654" s="8">
        <v>1.0</v>
      </c>
      <c r="G2654" s="8">
        <v>1.0</v>
      </c>
      <c r="H2654" s="8">
        <v>1.0</v>
      </c>
      <c r="I2654" s="8">
        <v>1.0</v>
      </c>
      <c r="J2654" s="8">
        <v>1.0</v>
      </c>
      <c r="K2654" s="8">
        <v>1.0</v>
      </c>
      <c r="L2654" s="8">
        <v>6.0</v>
      </c>
      <c r="M2654" s="8"/>
      <c r="N2654" s="8"/>
      <c r="O2654" s="8" t="s">
        <v>821</v>
      </c>
      <c r="P2654" s="8" t="e">
        <v>#N/A</v>
      </c>
    </row>
    <row r="2655">
      <c r="A2655">
        <f>IFERROR(__xludf.DUMMYFUNCTION("""COMPUTED_VALUE"""),7.0)</f>
        <v>7</v>
      </c>
      <c r="B2655">
        <f>IFERROR(__xludf.DUMMYFUNCTION("""COMPUTED_VALUE"""),30007.0)</f>
        <v>30007</v>
      </c>
      <c r="C2655" t="str">
        <f>IFERROR(__xludf.DUMMYFUNCTION("""COMPUTED_VALUE"""),"ARANGO RODRIGUEZ, RAFAEL")</f>
        <v>ARANGO RODRIGUEZ, RAFAEL</v>
      </c>
      <c r="D2655" t="str">
        <f>IFERROR(__xludf.DUMMYFUNCTION("""COMPUTED_VALUE"""),"Band 7S1")</f>
        <v>Band 7S1</v>
      </c>
      <c r="E2655" s="31" t="str">
        <f>IFERROR(__xludf.DUMMYFUNCTION("""COMPUTED_VALUE"""),"4b")</f>
        <v>4b</v>
      </c>
      <c r="F2655" s="8">
        <v>1.0</v>
      </c>
      <c r="G2655" s="8">
        <v>1.0</v>
      </c>
      <c r="H2655" s="8">
        <v>1.0</v>
      </c>
      <c r="I2655" s="8">
        <v>1.0</v>
      </c>
      <c r="J2655" s="8">
        <v>1.0</v>
      </c>
      <c r="K2655" s="8">
        <v>1.0</v>
      </c>
      <c r="L2655" s="8">
        <v>6.0</v>
      </c>
      <c r="M2655" s="8"/>
      <c r="N2655" s="8"/>
      <c r="O2655" s="8" t="s">
        <v>818</v>
      </c>
      <c r="P2655" s="8" t="e">
        <v>#N/A</v>
      </c>
    </row>
    <row r="2656">
      <c r="A2656">
        <f>IFERROR(__xludf.DUMMYFUNCTION("""COMPUTED_VALUE"""),7.0)</f>
        <v>7</v>
      </c>
      <c r="B2656">
        <f>IFERROR(__xludf.DUMMYFUNCTION("""COMPUTED_VALUE"""),30008.0)</f>
        <v>30008</v>
      </c>
      <c r="C2656" t="str">
        <f>IFERROR(__xludf.DUMMYFUNCTION("""COMPUTED_VALUE"""),"ARANGO VELEZ, ALICIA")</f>
        <v>ARANGO VELEZ, ALICIA</v>
      </c>
      <c r="D2656" t="str">
        <f>IFERROR(__xludf.DUMMYFUNCTION("""COMPUTED_VALUE"""),"Art 7S1")</f>
        <v>Art 7S1</v>
      </c>
      <c r="E2656" s="31" t="str">
        <f>IFERROR(__xludf.DUMMYFUNCTION("""COMPUTED_VALUE"""),"1a")</f>
        <v>1a</v>
      </c>
      <c r="F2656" s="8">
        <v>1.0</v>
      </c>
      <c r="G2656" s="8">
        <v>1.0</v>
      </c>
      <c r="H2656" s="8">
        <v>1.0</v>
      </c>
      <c r="I2656" s="8">
        <v>1.0</v>
      </c>
      <c r="J2656" s="8">
        <v>1.0</v>
      </c>
      <c r="K2656" s="8">
        <v>1.0</v>
      </c>
      <c r="L2656" s="8">
        <v>6.0</v>
      </c>
      <c r="M2656" s="8"/>
      <c r="N2656" s="8"/>
      <c r="O2656" s="8" t="s">
        <v>823</v>
      </c>
      <c r="P2656" s="8" t="e">
        <v>#N/A</v>
      </c>
    </row>
    <row r="2657">
      <c r="A2657">
        <f>IFERROR(__xludf.DUMMYFUNCTION("""COMPUTED_VALUE"""),7.0)</f>
        <v>7</v>
      </c>
      <c r="B2657">
        <f>IFERROR(__xludf.DUMMYFUNCTION("""COMPUTED_VALUE"""),29014.0)</f>
        <v>29014</v>
      </c>
      <c r="C2657" t="str">
        <f>IFERROR(__xludf.DUMMYFUNCTION("""COMPUTED_VALUE"""),"ARISMENDI MELO, MARIANA")</f>
        <v>ARISMENDI MELO, MARIANA</v>
      </c>
      <c r="D2657" t="str">
        <f>IFERROR(__xludf.DUMMYFUNCTION("""COMPUTED_VALUE"""),"Art 7S1")</f>
        <v>Art 7S1</v>
      </c>
      <c r="E2657" s="31" t="str">
        <f>IFERROR(__xludf.DUMMYFUNCTION("""COMPUTED_VALUE"""),"6a")</f>
        <v>6a</v>
      </c>
      <c r="F2657" s="8">
        <v>1.0</v>
      </c>
      <c r="G2657" s="8">
        <v>1.0</v>
      </c>
      <c r="H2657" s="8">
        <v>1.0</v>
      </c>
      <c r="I2657" s="8">
        <v>1.0</v>
      </c>
      <c r="J2657" s="8">
        <v>1.0</v>
      </c>
      <c r="K2657" s="8">
        <v>1.0</v>
      </c>
      <c r="L2657" s="8">
        <v>6.0</v>
      </c>
      <c r="M2657" s="8"/>
      <c r="N2657" s="8"/>
      <c r="O2657" s="8" t="s">
        <v>821</v>
      </c>
      <c r="P2657" s="8" t="e">
        <v>#N/A</v>
      </c>
    </row>
    <row r="2658">
      <c r="A2658">
        <f>IFERROR(__xludf.DUMMYFUNCTION("""COMPUTED_VALUE"""),7.0)</f>
        <v>7</v>
      </c>
      <c r="B2658">
        <f>IFERROR(__xludf.DUMMYFUNCTION("""COMPUTED_VALUE"""),30009.0)</f>
        <v>30009</v>
      </c>
      <c r="C2658" t="str">
        <f>IFERROR(__xludf.DUMMYFUNCTION("""COMPUTED_VALUE"""),"ARISTIZABAL BOLIVAR, EMILIANA")</f>
        <v>ARISTIZABAL BOLIVAR, EMILIANA</v>
      </c>
      <c r="D2658" t="str">
        <f>IFERROR(__xludf.DUMMYFUNCTION("""COMPUTED_VALUE"""),"Band 7S1")</f>
        <v>Band 7S1</v>
      </c>
      <c r="E2658" s="31" t="str">
        <f>IFERROR(__xludf.DUMMYFUNCTION("""COMPUTED_VALUE"""),"2b")</f>
        <v>2b</v>
      </c>
      <c r="F2658" s="8">
        <v>1.0</v>
      </c>
      <c r="G2658" s="8">
        <v>1.0</v>
      </c>
      <c r="H2658" s="8">
        <v>1.0</v>
      </c>
      <c r="I2658" s="8">
        <v>1.0</v>
      </c>
      <c r="J2658" s="8">
        <v>1.0</v>
      </c>
      <c r="K2658" s="8">
        <v>1.0</v>
      </c>
      <c r="L2658" s="8">
        <v>6.0</v>
      </c>
      <c r="M2658" s="8"/>
      <c r="N2658" s="8"/>
      <c r="O2658" s="8" t="s">
        <v>820</v>
      </c>
      <c r="P2658" s="8" t="e">
        <v>#N/A</v>
      </c>
    </row>
    <row r="2659">
      <c r="A2659">
        <f>IFERROR(__xludf.DUMMYFUNCTION("""COMPUTED_VALUE"""),7.0)</f>
        <v>7</v>
      </c>
      <c r="B2659">
        <f>IFERROR(__xludf.DUMMYFUNCTION("""COMPUTED_VALUE"""),30010.0)</f>
        <v>30010</v>
      </c>
      <c r="C2659" t="str">
        <f>IFERROR(__xludf.DUMMYFUNCTION("""COMPUTED_VALUE"""),"ARISTIZABAL BOLIVAR, MATILDE")</f>
        <v>ARISTIZABAL BOLIVAR, MATILDE</v>
      </c>
      <c r="D2659" t="str">
        <f>IFERROR(__xludf.DUMMYFUNCTION("""COMPUTED_VALUE"""),"Band 7S1")</f>
        <v>Band 7S1</v>
      </c>
      <c r="E2659" s="31" t="str">
        <f>IFERROR(__xludf.DUMMYFUNCTION("""COMPUTED_VALUE"""),"1a")</f>
        <v>1a</v>
      </c>
      <c r="F2659" s="8">
        <v>1.0</v>
      </c>
      <c r="G2659" s="8">
        <v>1.0</v>
      </c>
      <c r="H2659" s="8">
        <v>1.0</v>
      </c>
      <c r="I2659" s="8">
        <v>1.0</v>
      </c>
      <c r="J2659" s="8">
        <v>1.0</v>
      </c>
      <c r="K2659" s="8">
        <v>1.0</v>
      </c>
      <c r="L2659" s="8">
        <v>6.0</v>
      </c>
      <c r="M2659" s="8"/>
      <c r="N2659" s="8"/>
      <c r="O2659" s="8" t="s">
        <v>822</v>
      </c>
      <c r="P2659" s="8" t="e">
        <v>#N/A</v>
      </c>
    </row>
    <row r="2660">
      <c r="A2660">
        <f>IFERROR(__xludf.DUMMYFUNCTION("""COMPUTED_VALUE"""),7.0)</f>
        <v>7</v>
      </c>
      <c r="B2660">
        <f>IFERROR(__xludf.DUMMYFUNCTION("""COMPUTED_VALUE"""),30011.0)</f>
        <v>30011</v>
      </c>
      <c r="C2660" t="str">
        <f>IFERROR(__xludf.DUMMYFUNCTION("""COMPUTED_VALUE"""),"ARISTIZABAL ECHAVARRIA, MILAGROS")</f>
        <v>ARISTIZABAL ECHAVARRIA, MILAGROS</v>
      </c>
      <c r="D2660" t="str">
        <f>IFERROR(__xludf.DUMMYFUNCTION("""COMPUTED_VALUE"""),"Tech 7S1")</f>
        <v>Tech 7S1</v>
      </c>
      <c r="E2660" s="31" t="str">
        <f>IFERROR(__xludf.DUMMYFUNCTION("""COMPUTED_VALUE"""),"1a")</f>
        <v>1a</v>
      </c>
      <c r="F2660" s="8">
        <v>1.0</v>
      </c>
      <c r="G2660" s="8">
        <v>1.0</v>
      </c>
      <c r="H2660" s="8">
        <v>1.0</v>
      </c>
      <c r="I2660" s="8">
        <v>1.0</v>
      </c>
      <c r="J2660" s="8">
        <v>1.0</v>
      </c>
      <c r="K2660" s="8">
        <v>1.0</v>
      </c>
      <c r="L2660" s="8">
        <v>6.0</v>
      </c>
      <c r="M2660" s="8"/>
      <c r="N2660" s="8"/>
      <c r="O2660" s="8" t="s">
        <v>824</v>
      </c>
      <c r="P2660" s="8" t="e">
        <v>#N/A</v>
      </c>
    </row>
    <row r="2661">
      <c r="A2661">
        <f>IFERROR(__xludf.DUMMYFUNCTION("""COMPUTED_VALUE"""),7.0)</f>
        <v>7</v>
      </c>
      <c r="B2661">
        <f>IFERROR(__xludf.DUMMYFUNCTION("""COMPUTED_VALUE"""),30012.0)</f>
        <v>30012</v>
      </c>
      <c r="C2661" t="str">
        <f>IFERROR(__xludf.DUMMYFUNCTION("""COMPUTED_VALUE"""),"ARISTIZABAL RESTREPO, AMALIA")</f>
        <v>ARISTIZABAL RESTREPO, AMALIA</v>
      </c>
      <c r="D2661" t="str">
        <f>IFERROR(__xludf.DUMMYFUNCTION("""COMPUTED_VALUE"""),"Tech 7S1")</f>
        <v>Tech 7S1</v>
      </c>
      <c r="E2661" s="31" t="str">
        <f>IFERROR(__xludf.DUMMYFUNCTION("""COMPUTED_VALUE"""),"2b")</f>
        <v>2b</v>
      </c>
      <c r="F2661" s="8">
        <v>1.0</v>
      </c>
      <c r="G2661" s="8">
        <v>1.0</v>
      </c>
      <c r="H2661" s="8">
        <v>1.0</v>
      </c>
      <c r="I2661" s="8">
        <v>1.0</v>
      </c>
      <c r="J2661" s="8">
        <v>1.0</v>
      </c>
      <c r="K2661" s="8">
        <v>1.0</v>
      </c>
      <c r="L2661" s="8">
        <v>6.0</v>
      </c>
      <c r="M2661" s="8"/>
      <c r="N2661" s="8"/>
      <c r="O2661" s="8" t="s">
        <v>819</v>
      </c>
      <c r="P2661" s="8" t="e">
        <v>#N/A</v>
      </c>
    </row>
    <row r="2662">
      <c r="A2662">
        <f>IFERROR(__xludf.DUMMYFUNCTION("""COMPUTED_VALUE"""),7.0)</f>
        <v>7</v>
      </c>
      <c r="B2662">
        <f>IFERROR(__xludf.DUMMYFUNCTION("""COMPUTED_VALUE"""),30014.0)</f>
        <v>30014</v>
      </c>
      <c r="C2662" t="str">
        <f>IFERROR(__xludf.DUMMYFUNCTION("""COMPUTED_VALUE"""),"ARISTIZABAL VILLEGAS, ROSARIO")</f>
        <v>ARISTIZABAL VILLEGAS, ROSARIO</v>
      </c>
      <c r="D2662" t="str">
        <f>IFERROR(__xludf.DUMMYFUNCTION("""COMPUTED_VALUE"""),"Band 7S1")</f>
        <v>Band 7S1</v>
      </c>
      <c r="E2662" s="31" t="str">
        <f>IFERROR(__xludf.DUMMYFUNCTION("""COMPUTED_VALUE"""),"1a")</f>
        <v>1a</v>
      </c>
      <c r="F2662" s="8">
        <v>1.0</v>
      </c>
      <c r="G2662" s="8">
        <v>1.0</v>
      </c>
      <c r="H2662" s="8">
        <v>1.0</v>
      </c>
      <c r="I2662" s="8">
        <v>1.0</v>
      </c>
      <c r="J2662" s="8">
        <v>1.0</v>
      </c>
      <c r="K2662" s="8">
        <v>1.0</v>
      </c>
      <c r="L2662" s="8">
        <v>6.0</v>
      </c>
      <c r="M2662" s="8"/>
      <c r="N2662" s="8"/>
      <c r="O2662" s="8" t="s">
        <v>822</v>
      </c>
      <c r="P2662" s="8" t="e">
        <v>#N/A</v>
      </c>
    </row>
    <row r="2663">
      <c r="A2663">
        <f>IFERROR(__xludf.DUMMYFUNCTION("""COMPUTED_VALUE"""),7.0)</f>
        <v>7</v>
      </c>
      <c r="B2663">
        <f>IFERROR(__xludf.DUMMYFUNCTION("""COMPUTED_VALUE"""),30013.0)</f>
        <v>30013</v>
      </c>
      <c r="C2663" t="str">
        <f>IFERROR(__xludf.DUMMYFUNCTION("""COMPUTED_VALUE"""),"ARISTIZABAL ZULUAGA, SALVADOR")</f>
        <v>ARISTIZABAL ZULUAGA, SALVADOR</v>
      </c>
      <c r="D2663" t="str">
        <f>IFERROR(__xludf.DUMMYFUNCTION("""COMPUTED_VALUE"""),"Band 7S1")</f>
        <v>Band 7S1</v>
      </c>
      <c r="E2663" s="31" t="str">
        <f>IFERROR(__xludf.DUMMYFUNCTION("""COMPUTED_VALUE"""),"4b")</f>
        <v>4b</v>
      </c>
      <c r="F2663" s="8">
        <v>1.0</v>
      </c>
      <c r="G2663" s="8">
        <v>1.0</v>
      </c>
      <c r="H2663" s="8">
        <v>1.0</v>
      </c>
      <c r="I2663" s="8">
        <v>1.0</v>
      </c>
      <c r="J2663" s="8">
        <v>1.0</v>
      </c>
      <c r="K2663" s="8">
        <v>1.0</v>
      </c>
      <c r="L2663" s="8">
        <v>6.0</v>
      </c>
      <c r="M2663" s="8"/>
      <c r="N2663" s="8"/>
      <c r="O2663" s="8" t="s">
        <v>818</v>
      </c>
      <c r="P2663" s="8" t="e">
        <v>#N/A</v>
      </c>
    </row>
    <row r="2664">
      <c r="A2664">
        <f>IFERROR(__xludf.DUMMYFUNCTION("""COMPUTED_VALUE"""),7.0)</f>
        <v>7</v>
      </c>
      <c r="B2664">
        <f>IFERROR(__xludf.DUMMYFUNCTION("""COMPUTED_VALUE"""),29017.0)</f>
        <v>29017</v>
      </c>
      <c r="C2664" t="str">
        <f>IFERROR(__xludf.DUMMYFUNCTION("""COMPUTED_VALUE"""),"ARROYAVE SIERRA, MATIAS")</f>
        <v>ARROYAVE SIERRA, MATIAS</v>
      </c>
      <c r="D2664" t="str">
        <f>IFERROR(__xludf.DUMMYFUNCTION("""COMPUTED_VALUE"""),"Band 7S1")</f>
        <v>Band 7S1</v>
      </c>
      <c r="E2664" s="31" t="str">
        <f>IFERROR(__xludf.DUMMYFUNCTION("""COMPUTED_VALUE"""),"2b")</f>
        <v>2b</v>
      </c>
      <c r="F2664" s="8">
        <v>1.0</v>
      </c>
      <c r="G2664" s="8">
        <v>1.0</v>
      </c>
      <c r="H2664" s="8">
        <v>1.0</v>
      </c>
      <c r="I2664" s="8">
        <v>1.0</v>
      </c>
      <c r="J2664" s="8">
        <v>1.0</v>
      </c>
      <c r="K2664" s="8">
        <v>1.0</v>
      </c>
      <c r="L2664" s="8">
        <v>6.0</v>
      </c>
      <c r="M2664" s="8"/>
      <c r="N2664" s="8"/>
      <c r="O2664" s="8" t="s">
        <v>820</v>
      </c>
      <c r="P2664" s="8" t="e">
        <v>#N/A</v>
      </c>
    </row>
    <row r="2665">
      <c r="A2665">
        <f>IFERROR(__xludf.DUMMYFUNCTION("""COMPUTED_VALUE"""),7.0)</f>
        <v>7</v>
      </c>
      <c r="B2665">
        <f>IFERROR(__xludf.DUMMYFUNCTION("""COMPUTED_VALUE"""),30015.0)</f>
        <v>30015</v>
      </c>
      <c r="C2665" t="str">
        <f>IFERROR(__xludf.DUMMYFUNCTION("""COMPUTED_VALUE"""),"ARROYAVE YACAMAN, EMILIO")</f>
        <v>ARROYAVE YACAMAN, EMILIO</v>
      </c>
      <c r="D2665" t="str">
        <f>IFERROR(__xludf.DUMMYFUNCTION("""COMPUTED_VALUE"""),"Band 7S1")</f>
        <v>Band 7S1</v>
      </c>
      <c r="E2665" s="31" t="str">
        <f>IFERROR(__xludf.DUMMYFUNCTION("""COMPUTED_VALUE"""),"1a")</f>
        <v>1a</v>
      </c>
      <c r="F2665" s="8">
        <v>1.0</v>
      </c>
      <c r="G2665" s="8">
        <v>1.0</v>
      </c>
      <c r="H2665" s="8">
        <v>1.0</v>
      </c>
      <c r="I2665" s="8">
        <v>1.0</v>
      </c>
      <c r="J2665" s="8">
        <v>1.0</v>
      </c>
      <c r="K2665" s="8">
        <v>1.0</v>
      </c>
      <c r="L2665" s="8">
        <v>6.0</v>
      </c>
      <c r="M2665" s="8"/>
      <c r="N2665" s="8"/>
      <c r="O2665" s="8" t="s">
        <v>822</v>
      </c>
      <c r="P2665" s="8" t="e">
        <v>#N/A</v>
      </c>
    </row>
    <row r="2666">
      <c r="A2666">
        <f>IFERROR(__xludf.DUMMYFUNCTION("""COMPUTED_VALUE"""),7.0)</f>
        <v>7</v>
      </c>
      <c r="B2666">
        <f>IFERROR(__xludf.DUMMYFUNCTION("""COMPUTED_VALUE"""),30018.0)</f>
        <v>30018</v>
      </c>
      <c r="C2666" t="str">
        <f>IFERROR(__xludf.DUMMYFUNCTION("""COMPUTED_VALUE"""),"BETANCUR ECHAVARRIA, JERONIMO")</f>
        <v>BETANCUR ECHAVARRIA, JERONIMO</v>
      </c>
      <c r="D2666" t="str">
        <f>IFERROR(__xludf.DUMMYFUNCTION("""COMPUTED_VALUE"""),"Band 7S1")</f>
        <v>Band 7S1</v>
      </c>
      <c r="E2666" s="31" t="str">
        <f>IFERROR(__xludf.DUMMYFUNCTION("""COMPUTED_VALUE"""),"1a")</f>
        <v>1a</v>
      </c>
      <c r="F2666" s="8">
        <v>1.0</v>
      </c>
      <c r="G2666" s="8">
        <v>1.0</v>
      </c>
      <c r="H2666" s="8">
        <v>1.0</v>
      </c>
      <c r="I2666" s="8">
        <v>1.0</v>
      </c>
      <c r="J2666" s="8">
        <v>1.0</v>
      </c>
      <c r="K2666" s="8">
        <v>1.0</v>
      </c>
      <c r="L2666" s="8">
        <v>6.0</v>
      </c>
      <c r="M2666" s="8"/>
      <c r="N2666" s="8"/>
      <c r="O2666" s="8" t="s">
        <v>822</v>
      </c>
      <c r="P2666" s="8" t="e">
        <v>#N/A</v>
      </c>
    </row>
    <row r="2667">
      <c r="A2667">
        <f>IFERROR(__xludf.DUMMYFUNCTION("""COMPUTED_VALUE"""),7.0)</f>
        <v>7</v>
      </c>
      <c r="B2667">
        <f>IFERROR(__xludf.DUMMYFUNCTION("""COMPUTED_VALUE"""),30170.0)</f>
        <v>30170</v>
      </c>
      <c r="C2667" t="str">
        <f>IFERROR(__xludf.DUMMYFUNCTION("""COMPUTED_VALUE"""),"BETANCUR VELASQUEZ, RENATA")</f>
        <v>BETANCUR VELASQUEZ, RENATA</v>
      </c>
      <c r="D2667" t="str">
        <f>IFERROR(__xludf.DUMMYFUNCTION("""COMPUTED_VALUE"""),"Band 7S1")</f>
        <v>Band 7S1</v>
      </c>
      <c r="E2667" s="31" t="str">
        <f>IFERROR(__xludf.DUMMYFUNCTION("""COMPUTED_VALUE"""),"1a")</f>
        <v>1a</v>
      </c>
      <c r="F2667" s="8">
        <v>1.0</v>
      </c>
      <c r="G2667" s="8">
        <v>1.0</v>
      </c>
      <c r="H2667" s="8">
        <v>1.0</v>
      </c>
      <c r="I2667" s="8">
        <v>1.0</v>
      </c>
      <c r="J2667" s="8">
        <v>1.0</v>
      </c>
      <c r="K2667" s="8">
        <v>1.0</v>
      </c>
      <c r="L2667" s="8">
        <v>6.0</v>
      </c>
      <c r="M2667" s="8"/>
      <c r="N2667" s="8"/>
      <c r="O2667" s="8" t="s">
        <v>822</v>
      </c>
      <c r="P2667" s="8" t="e">
        <v>#N/A</v>
      </c>
    </row>
    <row r="2668">
      <c r="A2668">
        <f>IFERROR(__xludf.DUMMYFUNCTION("""COMPUTED_VALUE"""),7.0)</f>
        <v>7</v>
      </c>
      <c r="B2668">
        <f>IFERROR(__xludf.DUMMYFUNCTION("""COMPUTED_VALUE"""),30019.0)</f>
        <v>30019</v>
      </c>
      <c r="C2668" t="str">
        <f>IFERROR(__xludf.DUMMYFUNCTION("""COMPUTED_VALUE"""),"BOTERO BETANCOURT, SEBASTIAN")</f>
        <v>BOTERO BETANCOURT, SEBASTIAN</v>
      </c>
      <c r="D2668" t="str">
        <f>IFERROR(__xludf.DUMMYFUNCTION("""COMPUTED_VALUE"""),"Band 7S1")</f>
        <v>Band 7S1</v>
      </c>
      <c r="E2668" s="31" t="str">
        <f>IFERROR(__xludf.DUMMYFUNCTION("""COMPUTED_VALUE"""),"4b")</f>
        <v>4b</v>
      </c>
      <c r="F2668" s="8">
        <v>1.0</v>
      </c>
      <c r="G2668" s="8">
        <v>1.0</v>
      </c>
      <c r="H2668" s="8">
        <v>1.0</v>
      </c>
      <c r="I2668" s="8">
        <v>1.0</v>
      </c>
      <c r="J2668" s="8">
        <v>1.0</v>
      </c>
      <c r="K2668" s="8">
        <v>1.0</v>
      </c>
      <c r="L2668" s="8">
        <v>6.0</v>
      </c>
      <c r="M2668" s="8"/>
      <c r="N2668" s="8"/>
      <c r="O2668" s="8" t="s">
        <v>818</v>
      </c>
      <c r="P2668" s="8" t="e">
        <v>#N/A</v>
      </c>
    </row>
    <row r="2669">
      <c r="A2669">
        <f>IFERROR(__xludf.DUMMYFUNCTION("""COMPUTED_VALUE"""),7.0)</f>
        <v>7</v>
      </c>
      <c r="B2669">
        <f>IFERROR(__xludf.DUMMYFUNCTION("""COMPUTED_VALUE"""),30021.0)</f>
        <v>30021</v>
      </c>
      <c r="C2669" t="str">
        <f>IFERROR(__xludf.DUMMYFUNCTION("""COMPUTED_VALUE"""),"BOTERO TOQUICA, MATILDE")</f>
        <v>BOTERO TOQUICA, MATILDE</v>
      </c>
      <c r="D2669" t="str">
        <f>IFERROR(__xludf.DUMMYFUNCTION("""COMPUTED_VALUE"""),"Art 7S1")</f>
        <v>Art 7S1</v>
      </c>
      <c r="E2669" s="31" t="str">
        <f>IFERROR(__xludf.DUMMYFUNCTION("""COMPUTED_VALUE"""),"6a")</f>
        <v>6a</v>
      </c>
      <c r="F2669" s="8">
        <v>1.0</v>
      </c>
      <c r="G2669" s="8">
        <v>1.0</v>
      </c>
      <c r="H2669" s="8">
        <v>1.0</v>
      </c>
      <c r="I2669" s="8">
        <v>1.0</v>
      </c>
      <c r="J2669" s="8">
        <v>1.0</v>
      </c>
      <c r="K2669" s="8">
        <v>1.0</v>
      </c>
      <c r="L2669" s="8">
        <v>6.0</v>
      </c>
      <c r="M2669" s="8"/>
      <c r="N2669" s="8"/>
      <c r="O2669" s="8" t="s">
        <v>821</v>
      </c>
      <c r="P2669" s="8" t="e">
        <v>#N/A</v>
      </c>
    </row>
    <row r="2670">
      <c r="A2670">
        <f>IFERROR(__xludf.DUMMYFUNCTION("""COMPUTED_VALUE"""),7.0)</f>
        <v>7</v>
      </c>
      <c r="B2670">
        <f>IFERROR(__xludf.DUMMYFUNCTION("""COMPUTED_VALUE"""),30022.0)</f>
        <v>30022</v>
      </c>
      <c r="C2670" t="str">
        <f>IFERROR(__xludf.DUMMYFUNCTION("""COMPUTED_VALUE"""),"CAMELO ZULUAGA, BENJAMIN")</f>
        <v>CAMELO ZULUAGA, BENJAMIN</v>
      </c>
      <c r="D2670" t="str">
        <f>IFERROR(__xludf.DUMMYFUNCTION("""COMPUTED_VALUE"""),"Band 7S1")</f>
        <v>Band 7S1</v>
      </c>
      <c r="E2670" s="31" t="str">
        <f>IFERROR(__xludf.DUMMYFUNCTION("""COMPUTED_VALUE"""),"2b")</f>
        <v>2b</v>
      </c>
      <c r="F2670" s="8">
        <v>1.0</v>
      </c>
      <c r="G2670" s="8">
        <v>1.0</v>
      </c>
      <c r="H2670" s="8">
        <v>1.0</v>
      </c>
      <c r="I2670" s="8">
        <v>1.0</v>
      </c>
      <c r="J2670" s="8">
        <v>1.0</v>
      </c>
      <c r="K2670" s="8">
        <v>1.0</v>
      </c>
      <c r="L2670" s="8">
        <v>6.0</v>
      </c>
      <c r="M2670" s="8"/>
      <c r="N2670" s="8"/>
      <c r="O2670" s="8" t="s">
        <v>820</v>
      </c>
      <c r="P2670" s="8" t="e">
        <v>#N/A</v>
      </c>
    </row>
    <row r="2671">
      <c r="A2671">
        <f>IFERROR(__xludf.DUMMYFUNCTION("""COMPUTED_VALUE"""),7.0)</f>
        <v>7</v>
      </c>
      <c r="B2671">
        <f>IFERROR(__xludf.DUMMYFUNCTION("""COMPUTED_VALUE"""),30023.0)</f>
        <v>30023</v>
      </c>
      <c r="C2671" t="str">
        <f>IFERROR(__xludf.DUMMYFUNCTION("""COMPUTED_VALUE"""),"CAMPILLO VALENCIA, LUCIANA")</f>
        <v>CAMPILLO VALENCIA, LUCIANA</v>
      </c>
      <c r="D2671" t="str">
        <f>IFERROR(__xludf.DUMMYFUNCTION("""COMPUTED_VALUE"""),"Art 7S1")</f>
        <v>Art 7S1</v>
      </c>
      <c r="E2671" s="31" t="str">
        <f>IFERROR(__xludf.DUMMYFUNCTION("""COMPUTED_VALUE"""),"1a")</f>
        <v>1a</v>
      </c>
      <c r="F2671" s="8">
        <v>1.0</v>
      </c>
      <c r="G2671" s="8">
        <v>1.0</v>
      </c>
      <c r="H2671" s="8">
        <v>1.0</v>
      </c>
      <c r="I2671" s="8">
        <v>1.0</v>
      </c>
      <c r="J2671" s="8">
        <v>1.0</v>
      </c>
      <c r="K2671" s="8">
        <v>1.0</v>
      </c>
      <c r="L2671" s="8">
        <v>6.0</v>
      </c>
      <c r="M2671" s="8"/>
      <c r="N2671" s="8"/>
      <c r="O2671" s="8" t="s">
        <v>823</v>
      </c>
      <c r="P2671" s="8" t="e">
        <v>#N/A</v>
      </c>
    </row>
    <row r="2672">
      <c r="A2672">
        <f>IFERROR(__xludf.DUMMYFUNCTION("""COMPUTED_VALUE"""),7.0)</f>
        <v>7</v>
      </c>
      <c r="B2672">
        <f>IFERROR(__xludf.DUMMYFUNCTION("""COMPUTED_VALUE"""),30024.0)</f>
        <v>30024</v>
      </c>
      <c r="C2672" t="str">
        <f>IFERROR(__xludf.DUMMYFUNCTION("""COMPUTED_VALUE"""),"CANO MESA, AMELIA")</f>
        <v>CANO MESA, AMELIA</v>
      </c>
      <c r="D2672" t="str">
        <f>IFERROR(__xludf.DUMMYFUNCTION("""COMPUTED_VALUE"""),"Art 7S1")</f>
        <v>Art 7S1</v>
      </c>
      <c r="E2672" s="31" t="str">
        <f>IFERROR(__xludf.DUMMYFUNCTION("""COMPUTED_VALUE"""),"6a")</f>
        <v>6a</v>
      </c>
      <c r="F2672" s="8">
        <v>1.0</v>
      </c>
      <c r="G2672" s="8">
        <v>1.0</v>
      </c>
      <c r="H2672" s="8">
        <v>1.0</v>
      </c>
      <c r="I2672" s="8">
        <v>1.0</v>
      </c>
      <c r="J2672" s="8">
        <v>1.0</v>
      </c>
      <c r="K2672" s="8">
        <v>1.0</v>
      </c>
      <c r="L2672" s="8">
        <v>6.0</v>
      </c>
      <c r="M2672" s="8"/>
      <c r="N2672" s="8"/>
      <c r="O2672" s="8" t="s">
        <v>821</v>
      </c>
      <c r="P2672" s="8" t="e">
        <v>#N/A</v>
      </c>
    </row>
    <row r="2673">
      <c r="A2673">
        <f>IFERROR(__xludf.DUMMYFUNCTION("""COMPUTED_VALUE"""),7.0)</f>
        <v>7</v>
      </c>
      <c r="B2673">
        <f>IFERROR(__xludf.DUMMYFUNCTION("""COMPUTED_VALUE"""),30025.0)</f>
        <v>30025</v>
      </c>
      <c r="C2673" t="str">
        <f>IFERROR(__xludf.DUMMYFUNCTION("""COMPUTED_VALUE"""),"CAÑON GARCIA, MARTINA")</f>
        <v>CAÑON GARCIA, MARTINA</v>
      </c>
      <c r="D2673" t="str">
        <f>IFERROR(__xludf.DUMMYFUNCTION("""COMPUTED_VALUE"""),"Tech 7S1")</f>
        <v>Tech 7S1</v>
      </c>
      <c r="E2673" s="31" t="str">
        <f>IFERROR(__xludf.DUMMYFUNCTION("""COMPUTED_VALUE"""),"1a")</f>
        <v>1a</v>
      </c>
      <c r="F2673" s="8">
        <v>1.0</v>
      </c>
      <c r="G2673" s="8">
        <v>1.0</v>
      </c>
      <c r="H2673" s="8">
        <v>1.0</v>
      </c>
      <c r="I2673" s="8">
        <v>1.0</v>
      </c>
      <c r="J2673" s="8">
        <v>1.0</v>
      </c>
      <c r="K2673" s="8">
        <v>1.0</v>
      </c>
      <c r="L2673" s="8">
        <v>6.0</v>
      </c>
      <c r="M2673" s="8"/>
      <c r="N2673" s="8"/>
      <c r="O2673" s="8" t="s">
        <v>824</v>
      </c>
      <c r="P2673" s="8" t="e">
        <v>#N/A</v>
      </c>
    </row>
    <row r="2674">
      <c r="A2674">
        <f>IFERROR(__xludf.DUMMYFUNCTION("""COMPUTED_VALUE"""),7.0)</f>
        <v>7</v>
      </c>
      <c r="B2674">
        <f>IFERROR(__xludf.DUMMYFUNCTION("""COMPUTED_VALUE"""),30026.0)</f>
        <v>30026</v>
      </c>
      <c r="C2674" t="str">
        <f>IFERROR(__xludf.DUMMYFUNCTION("""COMPUTED_VALUE"""),"CAPMARTIN GOMEZ, NICOLAS")</f>
        <v>CAPMARTIN GOMEZ, NICOLAS</v>
      </c>
      <c r="D2674" t="str">
        <f>IFERROR(__xludf.DUMMYFUNCTION("""COMPUTED_VALUE"""),"Art 7S1")</f>
        <v>Art 7S1</v>
      </c>
      <c r="E2674" s="31" t="str">
        <f>IFERROR(__xludf.DUMMYFUNCTION("""COMPUTED_VALUE"""),"6a")</f>
        <v>6a</v>
      </c>
      <c r="F2674" s="8">
        <v>1.0</v>
      </c>
      <c r="G2674" s="8">
        <v>1.0</v>
      </c>
      <c r="H2674" s="8">
        <v>1.0</v>
      </c>
      <c r="I2674" s="8">
        <v>1.0</v>
      </c>
      <c r="J2674" s="8">
        <v>1.0</v>
      </c>
      <c r="K2674" s="8">
        <v>1.0</v>
      </c>
      <c r="L2674" s="8">
        <v>6.0</v>
      </c>
      <c r="M2674" s="8"/>
      <c r="N2674" s="8"/>
      <c r="O2674" s="8" t="s">
        <v>821</v>
      </c>
      <c r="P2674" s="8" t="e">
        <v>#N/A</v>
      </c>
    </row>
    <row r="2675">
      <c r="A2675">
        <f>IFERROR(__xludf.DUMMYFUNCTION("""COMPUTED_VALUE"""),7.0)</f>
        <v>7</v>
      </c>
      <c r="B2675">
        <f>IFERROR(__xludf.DUMMYFUNCTION("""COMPUTED_VALUE"""),30027.0)</f>
        <v>30027</v>
      </c>
      <c r="C2675" t="str">
        <f>IFERROR(__xludf.DUMMYFUNCTION("""COMPUTED_VALUE"""),"CARDONA CASTAÑEDA, JUANITA")</f>
        <v>CARDONA CASTAÑEDA, JUANITA</v>
      </c>
      <c r="D2675" t="str">
        <f>IFERROR(__xludf.DUMMYFUNCTION("""COMPUTED_VALUE"""),"Art 7S1")</f>
        <v>Art 7S1</v>
      </c>
      <c r="E2675" s="31" t="str">
        <f>IFERROR(__xludf.DUMMYFUNCTION("""COMPUTED_VALUE"""),"1a")</f>
        <v>1a</v>
      </c>
      <c r="F2675" s="8">
        <v>1.0</v>
      </c>
      <c r="G2675" s="8">
        <v>1.0</v>
      </c>
      <c r="H2675" s="8">
        <v>1.0</v>
      </c>
      <c r="I2675" s="8">
        <v>1.0</v>
      </c>
      <c r="J2675" s="8">
        <v>1.0</v>
      </c>
      <c r="K2675" s="8">
        <v>1.0</v>
      </c>
      <c r="L2675" s="8">
        <v>6.0</v>
      </c>
      <c r="M2675" s="8"/>
      <c r="N2675" s="8"/>
      <c r="O2675" s="8" t="s">
        <v>823</v>
      </c>
      <c r="P2675" s="8" t="e">
        <v>#N/A</v>
      </c>
    </row>
    <row r="2676">
      <c r="A2676">
        <f>IFERROR(__xludf.DUMMYFUNCTION("""COMPUTED_VALUE"""),7.0)</f>
        <v>7</v>
      </c>
      <c r="B2676">
        <f>IFERROR(__xludf.DUMMYFUNCTION("""COMPUTED_VALUE"""),30135.0)</f>
        <v>30135</v>
      </c>
      <c r="C2676" t="str">
        <f>IFERROR(__xludf.DUMMYFUNCTION("""COMPUTED_VALUE"""),"CARDONA URIBE, EMILIANA")</f>
        <v>CARDONA URIBE, EMILIANA</v>
      </c>
      <c r="D2676" t="str">
        <f>IFERROR(__xludf.DUMMYFUNCTION("""COMPUTED_VALUE"""),"Art 7S1")</f>
        <v>Art 7S1</v>
      </c>
      <c r="E2676" s="31" t="str">
        <f>IFERROR(__xludf.DUMMYFUNCTION("""COMPUTED_VALUE"""),"6a")</f>
        <v>6a</v>
      </c>
      <c r="F2676" s="8">
        <v>1.0</v>
      </c>
      <c r="G2676" s="8">
        <v>1.0</v>
      </c>
      <c r="H2676" s="8">
        <v>1.0</v>
      </c>
      <c r="I2676" s="8">
        <v>1.0</v>
      </c>
      <c r="J2676" s="8">
        <v>1.0</v>
      </c>
      <c r="K2676" s="8">
        <v>1.0</v>
      </c>
      <c r="L2676" s="8">
        <v>6.0</v>
      </c>
      <c r="M2676" s="8"/>
      <c r="N2676" s="8"/>
      <c r="O2676" s="8" t="s">
        <v>821</v>
      </c>
      <c r="P2676" s="8" t="e">
        <v>#N/A</v>
      </c>
    </row>
    <row r="2677">
      <c r="A2677">
        <f>IFERROR(__xludf.DUMMYFUNCTION("""COMPUTED_VALUE"""),7.0)</f>
        <v>7</v>
      </c>
      <c r="B2677">
        <f>IFERROR(__xludf.DUMMYFUNCTION("""COMPUTED_VALUE"""),30028.0)</f>
        <v>30028</v>
      </c>
      <c r="C2677" t="str">
        <f>IFERROR(__xludf.DUMMYFUNCTION("""COMPUTED_VALUE"""),"CHAN MEI, JACOB")</f>
        <v>CHAN MEI, JACOB</v>
      </c>
      <c r="D2677" t="str">
        <f>IFERROR(__xludf.DUMMYFUNCTION("""COMPUTED_VALUE"""),"Tech 7S1")</f>
        <v>Tech 7S1</v>
      </c>
      <c r="E2677" s="31" t="str">
        <f>IFERROR(__xludf.DUMMYFUNCTION("""COMPUTED_VALUE"""),"2b")</f>
        <v>2b</v>
      </c>
      <c r="F2677" s="8">
        <v>1.0</v>
      </c>
      <c r="G2677" s="8">
        <v>1.0</v>
      </c>
      <c r="H2677" s="8">
        <v>1.0</v>
      </c>
      <c r="I2677" s="8">
        <v>1.0</v>
      </c>
      <c r="J2677" s="8">
        <v>1.0</v>
      </c>
      <c r="K2677" s="8">
        <v>1.0</v>
      </c>
      <c r="L2677" s="8">
        <v>6.0</v>
      </c>
      <c r="M2677" s="8"/>
      <c r="N2677" s="8"/>
      <c r="O2677" s="8" t="s">
        <v>819</v>
      </c>
      <c r="P2677" s="8" t="e">
        <v>#N/A</v>
      </c>
    </row>
    <row r="2678">
      <c r="A2678">
        <f>IFERROR(__xludf.DUMMYFUNCTION("""COMPUTED_VALUE"""),7.0)</f>
        <v>7</v>
      </c>
      <c r="B2678">
        <f>IFERROR(__xludf.DUMMYFUNCTION("""COMPUTED_VALUE"""),30029.0)</f>
        <v>30029</v>
      </c>
      <c r="C2678" t="str">
        <f>IFERROR(__xludf.DUMMYFUNCTION("""COMPUTED_VALUE"""),"CORREA GARCES, PEDRO PABLO")</f>
        <v>CORREA GARCES, PEDRO PABLO</v>
      </c>
      <c r="D2678" t="str">
        <f>IFERROR(__xludf.DUMMYFUNCTION("""COMPUTED_VALUE"""),"Band 7S1")</f>
        <v>Band 7S1</v>
      </c>
      <c r="E2678" s="31" t="str">
        <f>IFERROR(__xludf.DUMMYFUNCTION("""COMPUTED_VALUE"""),"2b")</f>
        <v>2b</v>
      </c>
      <c r="F2678" s="8">
        <v>1.0</v>
      </c>
      <c r="G2678" s="8">
        <v>1.0</v>
      </c>
      <c r="H2678" s="8">
        <v>1.0</v>
      </c>
      <c r="I2678" s="8">
        <v>1.0</v>
      </c>
      <c r="J2678" s="8">
        <v>1.0</v>
      </c>
      <c r="K2678" s="8">
        <v>1.0</v>
      </c>
      <c r="L2678" s="8">
        <v>6.0</v>
      </c>
      <c r="M2678" s="8"/>
      <c r="N2678" s="8"/>
      <c r="O2678" s="8" t="s">
        <v>820</v>
      </c>
      <c r="P2678" s="8" t="e">
        <v>#N/A</v>
      </c>
    </row>
    <row r="2679">
      <c r="A2679">
        <f>IFERROR(__xludf.DUMMYFUNCTION("""COMPUTED_VALUE"""),7.0)</f>
        <v>7</v>
      </c>
      <c r="B2679">
        <f>IFERROR(__xludf.DUMMYFUNCTION("""COMPUTED_VALUE"""),30030.0)</f>
        <v>30030</v>
      </c>
      <c r="C2679" t="str">
        <f>IFERROR(__xludf.DUMMYFUNCTION("""COMPUTED_VALUE"""),"CORREA MERINO, VICENTE")</f>
        <v>CORREA MERINO, VICENTE</v>
      </c>
      <c r="D2679" t="str">
        <f>IFERROR(__xludf.DUMMYFUNCTION("""COMPUTED_VALUE"""),"Band 7S1")</f>
        <v>Band 7S1</v>
      </c>
      <c r="E2679" s="31" t="str">
        <f>IFERROR(__xludf.DUMMYFUNCTION("""COMPUTED_VALUE"""),"1a")</f>
        <v>1a</v>
      </c>
      <c r="F2679" s="8">
        <v>1.0</v>
      </c>
      <c r="G2679" s="8">
        <v>1.0</v>
      </c>
      <c r="H2679" s="8">
        <v>1.0</v>
      </c>
      <c r="I2679" s="8">
        <v>1.0</v>
      </c>
      <c r="J2679" s="8">
        <v>1.0</v>
      </c>
      <c r="K2679" s="8">
        <v>1.0</v>
      </c>
      <c r="L2679" s="8">
        <v>6.0</v>
      </c>
      <c r="M2679" s="8"/>
      <c r="N2679" s="8"/>
      <c r="O2679" s="8" t="s">
        <v>822</v>
      </c>
      <c r="P2679" s="8" t="e">
        <v>#N/A</v>
      </c>
    </row>
    <row r="2680">
      <c r="A2680">
        <f>IFERROR(__xludf.DUMMYFUNCTION("""COMPUTED_VALUE"""),7.0)</f>
        <v>7</v>
      </c>
      <c r="B2680">
        <f>IFERROR(__xludf.DUMMYFUNCTION("""COMPUTED_VALUE"""),30031.0)</f>
        <v>30031</v>
      </c>
      <c r="C2680" t="str">
        <f>IFERROR(__xludf.DUMMYFUNCTION("""COMPUTED_VALUE"""),"CORTES CASTAÑO, FELIPE")</f>
        <v>CORTES CASTAÑO, FELIPE</v>
      </c>
      <c r="D2680" t="str">
        <f>IFERROR(__xludf.DUMMYFUNCTION("""COMPUTED_VALUE"""),"Band 7S1")</f>
        <v>Band 7S1</v>
      </c>
      <c r="E2680" s="31" t="str">
        <f>IFERROR(__xludf.DUMMYFUNCTION("""COMPUTED_VALUE"""),"4b")</f>
        <v>4b</v>
      </c>
      <c r="F2680" s="8">
        <v>1.0</v>
      </c>
      <c r="G2680" s="8">
        <v>1.0</v>
      </c>
      <c r="H2680" s="8">
        <v>1.0</v>
      </c>
      <c r="I2680" s="8">
        <v>1.0</v>
      </c>
      <c r="J2680" s="8">
        <v>1.0</v>
      </c>
      <c r="K2680" s="8">
        <v>1.0</v>
      </c>
      <c r="L2680" s="8">
        <v>6.0</v>
      </c>
      <c r="M2680" s="8"/>
      <c r="N2680" s="8"/>
      <c r="O2680" s="8" t="s">
        <v>818</v>
      </c>
      <c r="P2680" s="8" t="e">
        <v>#N/A</v>
      </c>
    </row>
    <row r="2681">
      <c r="A2681">
        <f>IFERROR(__xludf.DUMMYFUNCTION("""COMPUTED_VALUE"""),7.0)</f>
        <v>7</v>
      </c>
      <c r="B2681">
        <f>IFERROR(__xludf.DUMMYFUNCTION("""COMPUTED_VALUE"""),30032.0)</f>
        <v>30032</v>
      </c>
      <c r="C2681" t="str">
        <f>IFERROR(__xludf.DUMMYFUNCTION("""COMPUTED_VALUE"""),"CRUZ PEREYRA, ANA VICTORIA")</f>
        <v>CRUZ PEREYRA, ANA VICTORIA</v>
      </c>
      <c r="D2681" t="str">
        <f>IFERROR(__xludf.DUMMYFUNCTION("""COMPUTED_VALUE"""),"Tech 7S1")</f>
        <v>Tech 7S1</v>
      </c>
      <c r="E2681" s="31" t="str">
        <f>IFERROR(__xludf.DUMMYFUNCTION("""COMPUTED_VALUE"""),"2b")</f>
        <v>2b</v>
      </c>
      <c r="F2681" s="8">
        <v>1.0</v>
      </c>
      <c r="G2681" s="8">
        <v>1.0</v>
      </c>
      <c r="H2681" s="8">
        <v>1.0</v>
      </c>
      <c r="I2681" s="8">
        <v>1.0</v>
      </c>
      <c r="J2681" s="8">
        <v>1.0</v>
      </c>
      <c r="K2681" s="8">
        <v>1.0</v>
      </c>
      <c r="L2681" s="8">
        <v>6.0</v>
      </c>
      <c r="M2681" s="8"/>
      <c r="N2681" s="8"/>
      <c r="O2681" s="8" t="s">
        <v>819</v>
      </c>
      <c r="P2681" s="8" t="e">
        <v>#N/A</v>
      </c>
    </row>
    <row r="2682">
      <c r="A2682">
        <f>IFERROR(__xludf.DUMMYFUNCTION("""COMPUTED_VALUE"""),7.0)</f>
        <v>7</v>
      </c>
      <c r="B2682">
        <f>IFERROR(__xludf.DUMMYFUNCTION("""COMPUTED_VALUE"""),30033.0)</f>
        <v>30033</v>
      </c>
      <c r="C2682" t="str">
        <f>IFERROR(__xludf.DUMMYFUNCTION("""COMPUTED_VALUE"""),"CUARTAS VILLEGAS, ELIAS")</f>
        <v>CUARTAS VILLEGAS, ELIAS</v>
      </c>
      <c r="D2682" t="str">
        <f>IFERROR(__xludf.DUMMYFUNCTION("""COMPUTED_VALUE"""),"Band 7S1")</f>
        <v>Band 7S1</v>
      </c>
      <c r="E2682" s="31" t="str">
        <f>IFERROR(__xludf.DUMMYFUNCTION("""COMPUTED_VALUE"""),"1a")</f>
        <v>1a</v>
      </c>
      <c r="F2682" s="8">
        <v>1.0</v>
      </c>
      <c r="G2682" s="8">
        <v>1.0</v>
      </c>
      <c r="H2682" s="8">
        <v>1.0</v>
      </c>
      <c r="I2682" s="8">
        <v>1.0</v>
      </c>
      <c r="J2682" s="8">
        <v>1.0</v>
      </c>
      <c r="K2682" s="8">
        <v>1.0</v>
      </c>
      <c r="L2682" s="8">
        <v>6.0</v>
      </c>
      <c r="M2682" s="8"/>
      <c r="N2682" s="8"/>
      <c r="O2682" s="8" t="s">
        <v>822</v>
      </c>
      <c r="P2682" s="8" t="e">
        <v>#N/A</v>
      </c>
    </row>
    <row r="2683">
      <c r="A2683">
        <f>IFERROR(__xludf.DUMMYFUNCTION("""COMPUTED_VALUE"""),7.0)</f>
        <v>7</v>
      </c>
      <c r="B2683">
        <f>IFERROR(__xludf.DUMMYFUNCTION("""COMPUTED_VALUE"""),30034.0)</f>
        <v>30034</v>
      </c>
      <c r="C2683" t="str">
        <f>IFERROR(__xludf.DUMMYFUNCTION("""COMPUTED_VALUE"""),"CUERVO HINESTROSA, MARTIN")</f>
        <v>CUERVO HINESTROSA, MARTIN</v>
      </c>
      <c r="D2683" t="str">
        <f>IFERROR(__xludf.DUMMYFUNCTION("""COMPUTED_VALUE"""),"Art 7S1")</f>
        <v>Art 7S1</v>
      </c>
      <c r="E2683" s="31" t="str">
        <f>IFERROR(__xludf.DUMMYFUNCTION("""COMPUTED_VALUE"""),"2b")</f>
        <v>2b</v>
      </c>
      <c r="F2683" s="8">
        <v>1.0</v>
      </c>
      <c r="G2683" s="8">
        <v>1.0</v>
      </c>
      <c r="H2683" s="8">
        <v>1.0</v>
      </c>
      <c r="I2683" s="8">
        <v>1.0</v>
      </c>
      <c r="J2683" s="8">
        <v>1.0</v>
      </c>
      <c r="K2683" s="8">
        <v>1.0</v>
      </c>
      <c r="L2683" s="8">
        <v>6.0</v>
      </c>
      <c r="M2683" s="8"/>
      <c r="N2683" s="8"/>
      <c r="O2683" s="8" t="s">
        <v>825</v>
      </c>
      <c r="P2683" s="8" t="e">
        <v>#N/A</v>
      </c>
    </row>
    <row r="2684">
      <c r="A2684">
        <f>IFERROR(__xludf.DUMMYFUNCTION("""COMPUTED_VALUE"""),7.0)</f>
        <v>7</v>
      </c>
      <c r="B2684">
        <f>IFERROR(__xludf.DUMMYFUNCTION("""COMPUTED_VALUE"""),30137.0)</f>
        <v>30137</v>
      </c>
      <c r="C2684" t="str">
        <f>IFERROR(__xludf.DUMMYFUNCTION("""COMPUTED_VALUE"""),"DA SILVA ABATEPAULO, IAN")</f>
        <v>DA SILVA ABATEPAULO, IAN</v>
      </c>
      <c r="D2684" t="str">
        <f>IFERROR(__xludf.DUMMYFUNCTION("""COMPUTED_VALUE"""),"Band 7S1")</f>
        <v>Band 7S1</v>
      </c>
      <c r="E2684" s="31" t="str">
        <f>IFERROR(__xludf.DUMMYFUNCTION("""COMPUTED_VALUE"""),"2b")</f>
        <v>2b</v>
      </c>
      <c r="F2684" s="8">
        <v>1.0</v>
      </c>
      <c r="G2684" s="8">
        <v>1.0</v>
      </c>
      <c r="H2684" s="8">
        <v>1.0</v>
      </c>
      <c r="I2684" s="8">
        <v>1.0</v>
      </c>
      <c r="J2684" s="8">
        <v>1.0</v>
      </c>
      <c r="K2684" s="8">
        <v>1.0</v>
      </c>
      <c r="L2684" s="8">
        <v>6.0</v>
      </c>
      <c r="M2684" s="8"/>
      <c r="N2684" s="8"/>
      <c r="O2684" s="8" t="s">
        <v>820</v>
      </c>
      <c r="P2684" s="8" t="e">
        <v>#N/A</v>
      </c>
    </row>
    <row r="2685">
      <c r="A2685">
        <f>IFERROR(__xludf.DUMMYFUNCTION("""COMPUTED_VALUE"""),7.0)</f>
        <v>7</v>
      </c>
      <c r="B2685">
        <f>IFERROR(__xludf.DUMMYFUNCTION("""COMPUTED_VALUE"""),30036.0)</f>
        <v>30036</v>
      </c>
      <c r="C2685" t="str">
        <f>IFERROR(__xludf.DUMMYFUNCTION("""COMPUTED_VALUE"""),"DUQUE OCHOA, PABLO")</f>
        <v>DUQUE OCHOA, PABLO</v>
      </c>
      <c r="D2685" t="str">
        <f>IFERROR(__xludf.DUMMYFUNCTION("""COMPUTED_VALUE"""),"Band 7S1")</f>
        <v>Band 7S1</v>
      </c>
      <c r="E2685" s="31" t="str">
        <f>IFERROR(__xludf.DUMMYFUNCTION("""COMPUTED_VALUE"""),"4b")</f>
        <v>4b</v>
      </c>
      <c r="F2685" s="8">
        <v>1.0</v>
      </c>
      <c r="G2685" s="8">
        <v>1.0</v>
      </c>
      <c r="H2685" s="8">
        <v>1.0</v>
      </c>
      <c r="I2685" s="8">
        <v>1.0</v>
      </c>
      <c r="J2685" s="8">
        <v>1.0</v>
      </c>
      <c r="K2685" s="8">
        <v>1.0</v>
      </c>
      <c r="L2685" s="8">
        <v>6.0</v>
      </c>
      <c r="M2685" s="8"/>
      <c r="N2685" s="8"/>
      <c r="O2685" s="8" t="s">
        <v>818</v>
      </c>
      <c r="P2685" s="8" t="e">
        <v>#N/A</v>
      </c>
    </row>
    <row r="2686">
      <c r="A2686">
        <f>IFERROR(__xludf.DUMMYFUNCTION("""COMPUTED_VALUE"""),7.0)</f>
        <v>7</v>
      </c>
      <c r="B2686">
        <f>IFERROR(__xludf.DUMMYFUNCTION("""COMPUTED_VALUE"""),30037.0)</f>
        <v>30037</v>
      </c>
      <c r="C2686" t="str">
        <f>IFERROR(__xludf.DUMMYFUNCTION("""COMPUTED_VALUE"""),"DUQUE ZAPATA, SAMUEL")</f>
        <v>DUQUE ZAPATA, SAMUEL</v>
      </c>
      <c r="D2686" t="str">
        <f>IFERROR(__xludf.DUMMYFUNCTION("""COMPUTED_VALUE"""),"Band 7S1")</f>
        <v>Band 7S1</v>
      </c>
      <c r="E2686" s="31" t="str">
        <f>IFERROR(__xludf.DUMMYFUNCTION("""COMPUTED_VALUE"""),"1a")</f>
        <v>1a</v>
      </c>
      <c r="F2686" s="8">
        <v>1.0</v>
      </c>
      <c r="G2686" s="8">
        <v>1.0</v>
      </c>
      <c r="H2686" s="8">
        <v>1.0</v>
      </c>
      <c r="I2686" s="8">
        <v>1.0</v>
      </c>
      <c r="J2686" s="8">
        <v>1.0</v>
      </c>
      <c r="K2686" s="8">
        <v>1.0</v>
      </c>
      <c r="L2686" s="8">
        <v>6.0</v>
      </c>
      <c r="M2686" s="8"/>
      <c r="N2686" s="8"/>
      <c r="O2686" s="8" t="s">
        <v>822</v>
      </c>
      <c r="P2686" s="8" t="e">
        <v>#N/A</v>
      </c>
    </row>
    <row r="2687">
      <c r="A2687">
        <f>IFERROR(__xludf.DUMMYFUNCTION("""COMPUTED_VALUE"""),7.0)</f>
        <v>7</v>
      </c>
      <c r="B2687">
        <f>IFERROR(__xludf.DUMMYFUNCTION("""COMPUTED_VALUE"""),30038.0)</f>
        <v>30038</v>
      </c>
      <c r="C2687" t="str">
        <f>IFERROR(__xludf.DUMMYFUNCTION("""COMPUTED_VALUE"""),"ESCANDON LIBOS, AMELIA")</f>
        <v>ESCANDON LIBOS, AMELIA</v>
      </c>
      <c r="D2687" t="str">
        <f>IFERROR(__xludf.DUMMYFUNCTION("""COMPUTED_VALUE"""),"Tech 7S1")</f>
        <v>Tech 7S1</v>
      </c>
      <c r="E2687" s="31" t="str">
        <f>IFERROR(__xludf.DUMMYFUNCTION("""COMPUTED_VALUE"""),"1a")</f>
        <v>1a</v>
      </c>
      <c r="F2687" s="8">
        <v>1.0</v>
      </c>
      <c r="G2687" s="8">
        <v>1.0</v>
      </c>
      <c r="H2687" s="8">
        <v>1.0</v>
      </c>
      <c r="I2687" s="8">
        <v>1.0</v>
      </c>
      <c r="J2687" s="8">
        <v>1.0</v>
      </c>
      <c r="K2687" s="8">
        <v>1.0</v>
      </c>
      <c r="L2687" s="8">
        <v>6.0</v>
      </c>
      <c r="M2687" s="8"/>
      <c r="N2687" s="8"/>
      <c r="O2687" s="8" t="s">
        <v>824</v>
      </c>
      <c r="P2687" s="8" t="e">
        <v>#N/A</v>
      </c>
    </row>
    <row r="2688">
      <c r="A2688">
        <f>IFERROR(__xludf.DUMMYFUNCTION("""COMPUTED_VALUE"""),7.0)</f>
        <v>7</v>
      </c>
      <c r="B2688">
        <f>IFERROR(__xludf.DUMMYFUNCTION("""COMPUTED_VALUE"""),30039.0)</f>
        <v>30039</v>
      </c>
      <c r="C2688" t="str">
        <f>IFERROR(__xludf.DUMMYFUNCTION("""COMPUTED_VALUE"""),"ESCOBAR CASTAÑO, ALICIA")</f>
        <v>ESCOBAR CASTAÑO, ALICIA</v>
      </c>
      <c r="D2688" t="str">
        <f>IFERROR(__xludf.DUMMYFUNCTION("""COMPUTED_VALUE"""),"Art 7S1")</f>
        <v>Art 7S1</v>
      </c>
      <c r="E2688" s="31" t="str">
        <f>IFERROR(__xludf.DUMMYFUNCTION("""COMPUTED_VALUE"""),"6a")</f>
        <v>6a</v>
      </c>
      <c r="F2688" s="8">
        <v>1.0</v>
      </c>
      <c r="G2688" s="8">
        <v>1.0</v>
      </c>
      <c r="H2688" s="8">
        <v>1.0</v>
      </c>
      <c r="I2688" s="8">
        <v>1.0</v>
      </c>
      <c r="J2688" s="8">
        <v>1.0</v>
      </c>
      <c r="K2688" s="8">
        <v>1.0</v>
      </c>
      <c r="L2688" s="8">
        <v>6.0</v>
      </c>
      <c r="M2688" s="8"/>
      <c r="N2688" s="8"/>
      <c r="O2688" s="8" t="s">
        <v>821</v>
      </c>
      <c r="P2688" s="8" t="e">
        <v>#N/A</v>
      </c>
    </row>
    <row r="2689">
      <c r="A2689">
        <f>IFERROR(__xludf.DUMMYFUNCTION("""COMPUTED_VALUE"""),7.0)</f>
        <v>7</v>
      </c>
      <c r="B2689">
        <f>IFERROR(__xludf.DUMMYFUNCTION("""COMPUTED_VALUE"""),30040.0)</f>
        <v>30040</v>
      </c>
      <c r="C2689" t="str">
        <f>IFERROR(__xludf.DUMMYFUNCTION("""COMPUTED_VALUE"""),"ESCOBEDO DRAVIGNEY, ZOE")</f>
        <v>ESCOBEDO DRAVIGNEY, ZOE</v>
      </c>
      <c r="D2689" t="str">
        <f>IFERROR(__xludf.DUMMYFUNCTION("""COMPUTED_VALUE"""),"Tech 7S1")</f>
        <v>Tech 7S1</v>
      </c>
      <c r="E2689" s="31" t="str">
        <f>IFERROR(__xludf.DUMMYFUNCTION("""COMPUTED_VALUE"""),"2b")</f>
        <v>2b</v>
      </c>
      <c r="F2689" s="8">
        <v>1.0</v>
      </c>
      <c r="G2689" s="8">
        <v>1.0</v>
      </c>
      <c r="H2689" s="8">
        <v>1.0</v>
      </c>
      <c r="I2689" s="8">
        <v>1.0</v>
      </c>
      <c r="J2689" s="8">
        <v>1.0</v>
      </c>
      <c r="K2689" s="8">
        <v>1.0</v>
      </c>
      <c r="L2689" s="8">
        <v>6.0</v>
      </c>
      <c r="M2689" s="8"/>
      <c r="N2689" s="8"/>
      <c r="O2689" s="8" t="s">
        <v>819</v>
      </c>
      <c r="P2689" s="8" t="e">
        <v>#N/A</v>
      </c>
    </row>
    <row r="2690">
      <c r="A2690">
        <f>IFERROR(__xludf.DUMMYFUNCTION("""COMPUTED_VALUE"""),7.0)</f>
        <v>7</v>
      </c>
      <c r="B2690">
        <f>IFERROR(__xludf.DUMMYFUNCTION("""COMPUTED_VALUE"""),30042.0)</f>
        <v>30042</v>
      </c>
      <c r="C2690" t="str">
        <f>IFERROR(__xludf.DUMMYFUNCTION("""COMPUTED_VALUE"""),"ESTELA NARANJO, JOSE MARIA")</f>
        <v>ESTELA NARANJO, JOSE MARIA</v>
      </c>
      <c r="D2690" t="str">
        <f>IFERROR(__xludf.DUMMYFUNCTION("""COMPUTED_VALUE"""),"Art 7S1")</f>
        <v>Art 7S1</v>
      </c>
      <c r="E2690" s="31" t="str">
        <f>IFERROR(__xludf.DUMMYFUNCTION("""COMPUTED_VALUE"""),"1a")</f>
        <v>1a</v>
      </c>
      <c r="F2690" s="8">
        <v>1.0</v>
      </c>
      <c r="G2690" s="8">
        <v>1.0</v>
      </c>
      <c r="H2690" s="8">
        <v>1.0</v>
      </c>
      <c r="I2690" s="8">
        <v>1.0</v>
      </c>
      <c r="J2690" s="8">
        <v>1.0</v>
      </c>
      <c r="K2690" s="8">
        <v>1.0</v>
      </c>
      <c r="L2690" s="8">
        <v>6.0</v>
      </c>
      <c r="M2690" s="8"/>
      <c r="N2690" s="8"/>
      <c r="O2690" s="8" t="s">
        <v>823</v>
      </c>
      <c r="P2690" s="8" t="e">
        <v>#N/A</v>
      </c>
    </row>
    <row r="2691">
      <c r="A2691">
        <f>IFERROR(__xludf.DUMMYFUNCTION("""COMPUTED_VALUE"""),7.0)</f>
        <v>7</v>
      </c>
      <c r="B2691">
        <f>IFERROR(__xludf.DUMMYFUNCTION("""COMPUTED_VALUE"""),30043.0)</f>
        <v>30043</v>
      </c>
      <c r="C2691" t="str">
        <f>IFERROR(__xludf.DUMMYFUNCTION("""COMPUTED_VALUE"""),"FERNANDEZ RAMIREZ, SANTIAGO")</f>
        <v>FERNANDEZ RAMIREZ, SANTIAGO</v>
      </c>
      <c r="D2691" t="str">
        <f>IFERROR(__xludf.DUMMYFUNCTION("""COMPUTED_VALUE"""),"Band 7S1")</f>
        <v>Band 7S1</v>
      </c>
      <c r="E2691" s="31" t="str">
        <f>IFERROR(__xludf.DUMMYFUNCTION("""COMPUTED_VALUE"""),"1a")</f>
        <v>1a</v>
      </c>
      <c r="F2691" s="8">
        <v>1.0</v>
      </c>
      <c r="G2691" s="8">
        <v>1.0</v>
      </c>
      <c r="H2691" s="8">
        <v>1.0</v>
      </c>
      <c r="I2691" s="8">
        <v>1.0</v>
      </c>
      <c r="J2691" s="8">
        <v>1.0</v>
      </c>
      <c r="K2691" s="8">
        <v>1.0</v>
      </c>
      <c r="L2691" s="8">
        <v>6.0</v>
      </c>
      <c r="M2691" s="8"/>
      <c r="N2691" s="8"/>
      <c r="O2691" s="8" t="s">
        <v>822</v>
      </c>
      <c r="P2691" s="8" t="e">
        <v>#N/A</v>
      </c>
    </row>
    <row r="2692">
      <c r="A2692">
        <f>IFERROR(__xludf.DUMMYFUNCTION("""COMPUTED_VALUE"""),7.0)</f>
        <v>7</v>
      </c>
      <c r="B2692">
        <f>IFERROR(__xludf.DUMMYFUNCTION("""COMPUTED_VALUE"""),30045.0)</f>
        <v>30045</v>
      </c>
      <c r="C2692" t="str">
        <f>IFERROR(__xludf.DUMMYFUNCTION("""COMPUTED_VALUE"""),"GALVEZ ATEHORTUA, LAURA")</f>
        <v>GALVEZ ATEHORTUA, LAURA</v>
      </c>
      <c r="D2692" t="str">
        <f>IFERROR(__xludf.DUMMYFUNCTION("""COMPUTED_VALUE"""),"Band 7S1")</f>
        <v>Band 7S1</v>
      </c>
      <c r="E2692" s="31" t="str">
        <f>IFERROR(__xludf.DUMMYFUNCTION("""COMPUTED_VALUE"""),"2b")</f>
        <v>2b</v>
      </c>
      <c r="F2692" s="8">
        <v>1.0</v>
      </c>
      <c r="G2692" s="8">
        <v>1.0</v>
      </c>
      <c r="H2692" s="8">
        <v>1.0</v>
      </c>
      <c r="I2692" s="8">
        <v>1.0</v>
      </c>
      <c r="J2692" s="8">
        <v>1.0</v>
      </c>
      <c r="K2692" s="8">
        <v>1.0</v>
      </c>
      <c r="L2692" s="8">
        <v>6.0</v>
      </c>
      <c r="M2692" s="8"/>
      <c r="N2692" s="8"/>
      <c r="O2692" s="8" t="s">
        <v>820</v>
      </c>
      <c r="P2692" s="8" t="e">
        <v>#N/A</v>
      </c>
    </row>
    <row r="2693">
      <c r="A2693">
        <f>IFERROR(__xludf.DUMMYFUNCTION("""COMPUTED_VALUE"""),7.0)</f>
        <v>7</v>
      </c>
      <c r="B2693">
        <f>IFERROR(__xludf.DUMMYFUNCTION("""COMPUTED_VALUE"""),30139.0)</f>
        <v>30139</v>
      </c>
      <c r="C2693" t="str">
        <f>IFERROR(__xludf.DUMMYFUNCTION("""COMPUTED_VALUE"""),"GARCIA RESTREPO, MATIAS")</f>
        <v>GARCIA RESTREPO, MATIAS</v>
      </c>
      <c r="D2693" t="str">
        <f>IFERROR(__xludf.DUMMYFUNCTION("""COMPUTED_VALUE"""),"Band 7S1")</f>
        <v>Band 7S1</v>
      </c>
      <c r="E2693" s="31" t="str">
        <f>IFERROR(__xludf.DUMMYFUNCTION("""COMPUTED_VALUE"""),"4b")</f>
        <v>4b</v>
      </c>
      <c r="F2693" s="8">
        <v>1.0</v>
      </c>
      <c r="G2693" s="8">
        <v>1.0</v>
      </c>
      <c r="H2693" s="8">
        <v>1.0</v>
      </c>
      <c r="I2693" s="8">
        <v>1.0</v>
      </c>
      <c r="J2693" s="8">
        <v>1.0</v>
      </c>
      <c r="K2693" s="8">
        <v>1.0</v>
      </c>
      <c r="L2693" s="8">
        <v>6.0</v>
      </c>
      <c r="M2693" s="8"/>
      <c r="N2693" s="8"/>
      <c r="O2693" s="8" t="s">
        <v>818</v>
      </c>
      <c r="P2693" s="8" t="e">
        <v>#N/A</v>
      </c>
    </row>
    <row r="2694">
      <c r="A2694">
        <f>IFERROR(__xludf.DUMMYFUNCTION("""COMPUTED_VALUE"""),7.0)</f>
        <v>7</v>
      </c>
      <c r="B2694">
        <f>IFERROR(__xludf.DUMMYFUNCTION("""COMPUTED_VALUE"""),30046.0)</f>
        <v>30046</v>
      </c>
      <c r="C2694" t="str">
        <f>IFERROR(__xludf.DUMMYFUNCTION("""COMPUTED_VALUE"""),"GARCIA RIVERA, MARTIN")</f>
        <v>GARCIA RIVERA, MARTIN</v>
      </c>
      <c r="D2694" t="str">
        <f>IFERROR(__xludf.DUMMYFUNCTION("""COMPUTED_VALUE"""),"Band 7S1")</f>
        <v>Band 7S1</v>
      </c>
      <c r="E2694" s="31" t="str">
        <f>IFERROR(__xludf.DUMMYFUNCTION("""COMPUTED_VALUE"""),"2b")</f>
        <v>2b</v>
      </c>
      <c r="F2694" s="8">
        <v>1.0</v>
      </c>
      <c r="G2694" s="8">
        <v>1.0</v>
      </c>
      <c r="H2694" s="8">
        <v>1.0</v>
      </c>
      <c r="I2694" s="8">
        <v>1.0</v>
      </c>
      <c r="J2694" s="8">
        <v>1.0</v>
      </c>
      <c r="K2694" s="8">
        <v>1.0</v>
      </c>
      <c r="L2694" s="8">
        <v>6.0</v>
      </c>
      <c r="M2694" s="8"/>
      <c r="N2694" s="8"/>
      <c r="O2694" s="8" t="s">
        <v>820</v>
      </c>
      <c r="P2694" s="8" t="e">
        <v>#N/A</v>
      </c>
    </row>
    <row r="2695">
      <c r="A2695">
        <f>IFERROR(__xludf.DUMMYFUNCTION("""COMPUTED_VALUE"""),7.0)</f>
        <v>7</v>
      </c>
      <c r="B2695">
        <f>IFERROR(__xludf.DUMMYFUNCTION("""COMPUTED_VALUE"""),30047.0)</f>
        <v>30047</v>
      </c>
      <c r="C2695" t="str">
        <f>IFERROR(__xludf.DUMMYFUNCTION("""COMPUTED_VALUE"""),"GAVIRIA ISAZA, CAMILO")</f>
        <v>GAVIRIA ISAZA, CAMILO</v>
      </c>
      <c r="D2695" t="str">
        <f>IFERROR(__xludf.DUMMYFUNCTION("""COMPUTED_VALUE"""),"Tech 7S1")</f>
        <v>Tech 7S1</v>
      </c>
      <c r="E2695" s="31" t="str">
        <f>IFERROR(__xludf.DUMMYFUNCTION("""COMPUTED_VALUE"""),"2b")</f>
        <v>2b</v>
      </c>
      <c r="F2695" s="8">
        <v>1.0</v>
      </c>
      <c r="G2695" s="8">
        <v>1.0</v>
      </c>
      <c r="H2695" s="8">
        <v>1.0</v>
      </c>
      <c r="I2695" s="8">
        <v>1.0</v>
      </c>
      <c r="J2695" s="8">
        <v>1.0</v>
      </c>
      <c r="K2695" s="8">
        <v>1.0</v>
      </c>
      <c r="L2695" s="8">
        <v>6.0</v>
      </c>
      <c r="M2695" s="8"/>
      <c r="N2695" s="8"/>
      <c r="O2695" s="8" t="s">
        <v>819</v>
      </c>
      <c r="P2695" s="8" t="e">
        <v>#N/A</v>
      </c>
    </row>
    <row r="2696">
      <c r="A2696">
        <f>IFERROR(__xludf.DUMMYFUNCTION("""COMPUTED_VALUE"""),7.0)</f>
        <v>7</v>
      </c>
      <c r="B2696">
        <f>IFERROR(__xludf.DUMMYFUNCTION("""COMPUTED_VALUE"""),30048.0)</f>
        <v>30048</v>
      </c>
      <c r="C2696" t="str">
        <f>IFERROR(__xludf.DUMMYFUNCTION("""COMPUTED_VALUE"""),"GAVIRIA OLAYA, AMALIA")</f>
        <v>GAVIRIA OLAYA, AMALIA</v>
      </c>
      <c r="D2696" t="str">
        <f>IFERROR(__xludf.DUMMYFUNCTION("""COMPUTED_VALUE"""),"Art 7S1")</f>
        <v>Art 7S1</v>
      </c>
      <c r="E2696" s="31" t="str">
        <f>IFERROR(__xludf.DUMMYFUNCTION("""COMPUTED_VALUE"""),"2b")</f>
        <v>2b</v>
      </c>
      <c r="F2696" s="8">
        <v>1.0</v>
      </c>
      <c r="G2696" s="8">
        <v>1.0</v>
      </c>
      <c r="H2696" s="8">
        <v>1.0</v>
      </c>
      <c r="I2696" s="8">
        <v>1.0</v>
      </c>
      <c r="J2696" s="8">
        <v>1.0</v>
      </c>
      <c r="K2696" s="8">
        <v>1.0</v>
      </c>
      <c r="L2696" s="8">
        <v>6.0</v>
      </c>
      <c r="M2696" s="8"/>
      <c r="N2696" s="8"/>
      <c r="O2696" s="8" t="s">
        <v>825</v>
      </c>
      <c r="P2696" s="8" t="e">
        <v>#N/A</v>
      </c>
    </row>
    <row r="2697">
      <c r="A2697">
        <f>IFERROR(__xludf.DUMMYFUNCTION("""COMPUTED_VALUE"""),7.0)</f>
        <v>7</v>
      </c>
      <c r="B2697">
        <f>IFERROR(__xludf.DUMMYFUNCTION("""COMPUTED_VALUE"""),30146.0)</f>
        <v>30146</v>
      </c>
      <c r="C2697" t="str">
        <f>IFERROR(__xludf.DUMMYFUNCTION("""COMPUTED_VALUE"""),"GIRALDO MONTOYA, EMMA")</f>
        <v>GIRALDO MONTOYA, EMMA</v>
      </c>
      <c r="D2697" t="str">
        <f>IFERROR(__xludf.DUMMYFUNCTION("""COMPUTED_VALUE"""),"Art 7S1")</f>
        <v>Art 7S1</v>
      </c>
      <c r="E2697" s="31" t="str">
        <f>IFERROR(__xludf.DUMMYFUNCTION("""COMPUTED_VALUE"""),"6a")</f>
        <v>6a</v>
      </c>
      <c r="F2697" s="8">
        <v>1.0</v>
      </c>
      <c r="G2697" s="8">
        <v>1.0</v>
      </c>
      <c r="H2697" s="8">
        <v>1.0</v>
      </c>
      <c r="I2697" s="8">
        <v>1.0</v>
      </c>
      <c r="J2697" s="8">
        <v>1.0</v>
      </c>
      <c r="K2697" s="8">
        <v>1.0</v>
      </c>
      <c r="L2697" s="8">
        <v>6.0</v>
      </c>
      <c r="M2697" s="8"/>
      <c r="N2697" s="8"/>
      <c r="O2697" s="8" t="s">
        <v>821</v>
      </c>
      <c r="P2697" s="8" t="e">
        <v>#N/A</v>
      </c>
    </row>
    <row r="2698">
      <c r="A2698">
        <f>IFERROR(__xludf.DUMMYFUNCTION("""COMPUTED_VALUE"""),7.0)</f>
        <v>7</v>
      </c>
      <c r="B2698">
        <f>IFERROR(__xludf.DUMMYFUNCTION("""COMPUTED_VALUE"""),30049.0)</f>
        <v>30049</v>
      </c>
      <c r="C2698" t="str">
        <f>IFERROR(__xludf.DUMMYFUNCTION("""COMPUTED_VALUE"""),"GOMEZ RAMIREZ, JOAQUIN")</f>
        <v>GOMEZ RAMIREZ, JOAQUIN</v>
      </c>
      <c r="D2698" t="str">
        <f>IFERROR(__xludf.DUMMYFUNCTION("""COMPUTED_VALUE"""),"Band 7S1")</f>
        <v>Band 7S1</v>
      </c>
      <c r="E2698" s="31" t="str">
        <f>IFERROR(__xludf.DUMMYFUNCTION("""COMPUTED_VALUE"""),"1a")</f>
        <v>1a</v>
      </c>
      <c r="F2698" s="8">
        <v>1.0</v>
      </c>
      <c r="G2698" s="8">
        <v>1.0</v>
      </c>
      <c r="H2698" s="8">
        <v>1.0</v>
      </c>
      <c r="I2698" s="8">
        <v>1.0</v>
      </c>
      <c r="J2698" s="8">
        <v>1.0</v>
      </c>
      <c r="K2698" s="8">
        <v>1.0</v>
      </c>
      <c r="L2698" s="8">
        <v>6.0</v>
      </c>
      <c r="M2698" s="8"/>
      <c r="N2698" s="8"/>
      <c r="O2698" s="8" t="s">
        <v>822</v>
      </c>
      <c r="P2698" s="8" t="e">
        <v>#N/A</v>
      </c>
    </row>
    <row r="2699">
      <c r="A2699">
        <f>IFERROR(__xludf.DUMMYFUNCTION("""COMPUTED_VALUE"""),7.0)</f>
        <v>7</v>
      </c>
      <c r="B2699">
        <f>IFERROR(__xludf.DUMMYFUNCTION("""COMPUTED_VALUE"""),30050.0)</f>
        <v>30050</v>
      </c>
      <c r="C2699" t="str">
        <f>IFERROR(__xludf.DUMMYFUNCTION("""COMPUTED_VALUE"""),"GOMEZ TORRES, AMALIA")</f>
        <v>GOMEZ TORRES, AMALIA</v>
      </c>
      <c r="D2699" t="str">
        <f>IFERROR(__xludf.DUMMYFUNCTION("""COMPUTED_VALUE"""),"Tech 7S1")</f>
        <v>Tech 7S1</v>
      </c>
      <c r="E2699" s="31" t="str">
        <f>IFERROR(__xludf.DUMMYFUNCTION("""COMPUTED_VALUE"""),"1a")</f>
        <v>1a</v>
      </c>
      <c r="F2699" s="8">
        <v>1.0</v>
      </c>
      <c r="G2699" s="8">
        <v>1.0</v>
      </c>
      <c r="H2699" s="8">
        <v>1.0</v>
      </c>
      <c r="I2699" s="8">
        <v>1.0</v>
      </c>
      <c r="J2699" s="8">
        <v>1.0</v>
      </c>
      <c r="K2699" s="8">
        <v>1.0</v>
      </c>
      <c r="L2699" s="8">
        <v>6.0</v>
      </c>
      <c r="M2699" s="8"/>
      <c r="N2699" s="8"/>
      <c r="O2699" s="8" t="s">
        <v>824</v>
      </c>
      <c r="P2699" s="8" t="e">
        <v>#N/A</v>
      </c>
    </row>
    <row r="2700">
      <c r="A2700">
        <f>IFERROR(__xludf.DUMMYFUNCTION("""COMPUTED_VALUE"""),7.0)</f>
        <v>7</v>
      </c>
      <c r="B2700">
        <f>IFERROR(__xludf.DUMMYFUNCTION("""COMPUTED_VALUE"""),30051.0)</f>
        <v>30051</v>
      </c>
      <c r="C2700" t="str">
        <f>IFERROR(__xludf.DUMMYFUNCTION("""COMPUTED_VALUE"""),"GONZALEZ MONSALVE, JULIETA")</f>
        <v>GONZALEZ MONSALVE, JULIETA</v>
      </c>
      <c r="D2700" t="str">
        <f>IFERROR(__xludf.DUMMYFUNCTION("""COMPUTED_VALUE"""),"Tech 7S1")</f>
        <v>Tech 7S1</v>
      </c>
      <c r="E2700" s="31" t="str">
        <f>IFERROR(__xludf.DUMMYFUNCTION("""COMPUTED_VALUE"""),"2b")</f>
        <v>2b</v>
      </c>
      <c r="F2700" s="8">
        <v>1.0</v>
      </c>
      <c r="G2700" s="8">
        <v>1.0</v>
      </c>
      <c r="H2700" s="8">
        <v>1.0</v>
      </c>
      <c r="I2700" s="8">
        <v>1.0</v>
      </c>
      <c r="J2700" s="8">
        <v>1.0</v>
      </c>
      <c r="K2700" s="8">
        <v>1.0</v>
      </c>
      <c r="L2700" s="8">
        <v>6.0</v>
      </c>
      <c r="M2700" s="8"/>
      <c r="N2700" s="8"/>
      <c r="O2700" s="8" t="s">
        <v>819</v>
      </c>
      <c r="P2700" s="8" t="e">
        <v>#N/A</v>
      </c>
    </row>
    <row r="2701">
      <c r="A2701">
        <f>IFERROR(__xludf.DUMMYFUNCTION("""COMPUTED_VALUE"""),7.0)</f>
        <v>7</v>
      </c>
      <c r="B2701">
        <f>IFERROR(__xludf.DUMMYFUNCTION("""COMPUTED_VALUE"""),30052.0)</f>
        <v>30052</v>
      </c>
      <c r="C2701" t="str">
        <f>IFERROR(__xludf.DUMMYFUNCTION("""COMPUTED_VALUE"""),"GONZALEZ TORRES, SEBASTIAN")</f>
        <v>GONZALEZ TORRES, SEBASTIAN</v>
      </c>
      <c r="D2701" t="str">
        <f>IFERROR(__xludf.DUMMYFUNCTION("""COMPUTED_VALUE"""),"Tech 7S1")</f>
        <v>Tech 7S1</v>
      </c>
      <c r="E2701" s="31" t="str">
        <f>IFERROR(__xludf.DUMMYFUNCTION("""COMPUTED_VALUE"""),"2b")</f>
        <v>2b</v>
      </c>
      <c r="F2701" s="8">
        <v>1.0</v>
      </c>
      <c r="G2701" s="8">
        <v>1.0</v>
      </c>
      <c r="H2701" s="8">
        <v>1.0</v>
      </c>
      <c r="I2701" s="8">
        <v>1.0</v>
      </c>
      <c r="J2701" s="8">
        <v>1.0</v>
      </c>
      <c r="K2701" s="8">
        <v>1.0</v>
      </c>
      <c r="L2701" s="8">
        <v>6.0</v>
      </c>
      <c r="M2701" s="8"/>
      <c r="N2701" s="8"/>
      <c r="O2701" s="8" t="s">
        <v>819</v>
      </c>
      <c r="P2701" s="8" t="e">
        <v>#N/A</v>
      </c>
    </row>
    <row r="2702">
      <c r="A2702">
        <f>IFERROR(__xludf.DUMMYFUNCTION("""COMPUTED_VALUE"""),7.0)</f>
        <v>7</v>
      </c>
      <c r="B2702">
        <f>IFERROR(__xludf.DUMMYFUNCTION("""COMPUTED_VALUE"""),30053.0)</f>
        <v>30053</v>
      </c>
      <c r="C2702" t="str">
        <f>IFERROR(__xludf.DUMMYFUNCTION("""COMPUTED_VALUE"""),"GONZALEZ TRABOULSI, MATIAS")</f>
        <v>GONZALEZ TRABOULSI, MATIAS</v>
      </c>
      <c r="D2702" t="str">
        <f>IFERROR(__xludf.DUMMYFUNCTION("""COMPUTED_VALUE"""),"Art 7S1")</f>
        <v>Art 7S1</v>
      </c>
      <c r="E2702" s="31" t="str">
        <f>IFERROR(__xludf.DUMMYFUNCTION("""COMPUTED_VALUE"""),"6a")</f>
        <v>6a</v>
      </c>
      <c r="F2702" s="8">
        <v>1.0</v>
      </c>
      <c r="G2702" s="8">
        <v>1.0</v>
      </c>
      <c r="H2702" s="8">
        <v>1.0</v>
      </c>
      <c r="I2702" s="8">
        <v>1.0</v>
      </c>
      <c r="J2702" s="8">
        <v>1.0</v>
      </c>
      <c r="K2702" s="8">
        <v>1.0</v>
      </c>
      <c r="L2702" s="8">
        <v>6.0</v>
      </c>
      <c r="M2702" s="8"/>
      <c r="N2702" s="8"/>
      <c r="O2702" s="8" t="s">
        <v>821</v>
      </c>
      <c r="P2702" s="8" t="e">
        <v>#N/A</v>
      </c>
    </row>
    <row r="2703">
      <c r="A2703">
        <f>IFERROR(__xludf.DUMMYFUNCTION("""COMPUTED_VALUE"""),7.0)</f>
        <v>7</v>
      </c>
      <c r="B2703">
        <f>IFERROR(__xludf.DUMMYFUNCTION("""COMPUTED_VALUE"""),30054.0)</f>
        <v>30054</v>
      </c>
      <c r="C2703" t="str">
        <f>IFERROR(__xludf.DUMMYFUNCTION("""COMPUTED_VALUE"""),"GRISALES PINEDA, ELISA")</f>
        <v>GRISALES PINEDA, ELISA</v>
      </c>
      <c r="D2703" t="str">
        <f>IFERROR(__xludf.DUMMYFUNCTION("""COMPUTED_VALUE"""),"Tech 7S1")</f>
        <v>Tech 7S1</v>
      </c>
      <c r="E2703" s="31" t="str">
        <f>IFERROR(__xludf.DUMMYFUNCTION("""COMPUTED_VALUE"""),"2b")</f>
        <v>2b</v>
      </c>
      <c r="F2703" s="8">
        <v>1.0</v>
      </c>
      <c r="G2703" s="8">
        <v>1.0</v>
      </c>
      <c r="H2703" s="8">
        <v>1.0</v>
      </c>
      <c r="I2703" s="8">
        <v>1.0</v>
      </c>
      <c r="J2703" s="8">
        <v>1.0</v>
      </c>
      <c r="K2703" s="8">
        <v>1.0</v>
      </c>
      <c r="L2703" s="8">
        <v>6.0</v>
      </c>
      <c r="M2703" s="8"/>
      <c r="N2703" s="8"/>
      <c r="O2703" s="8" t="s">
        <v>819</v>
      </c>
      <c r="P2703" s="8" t="e">
        <v>#N/A</v>
      </c>
    </row>
    <row r="2704">
      <c r="A2704">
        <f>IFERROR(__xludf.DUMMYFUNCTION("""COMPUTED_VALUE"""),7.0)</f>
        <v>7</v>
      </c>
      <c r="B2704">
        <f>IFERROR(__xludf.DUMMYFUNCTION("""COMPUTED_VALUE"""),30055.0)</f>
        <v>30055</v>
      </c>
      <c r="C2704" t="str">
        <f>IFERROR(__xludf.DUMMYFUNCTION("""COMPUTED_VALUE"""),"GUERRERO JARAMILLO, CAMILA")</f>
        <v>GUERRERO JARAMILLO, CAMILA</v>
      </c>
      <c r="D2704" t="str">
        <f>IFERROR(__xludf.DUMMYFUNCTION("""COMPUTED_VALUE"""),"Art 7S1")</f>
        <v>Art 7S1</v>
      </c>
      <c r="E2704" s="31" t="str">
        <f>IFERROR(__xludf.DUMMYFUNCTION("""COMPUTED_VALUE"""),"1a")</f>
        <v>1a</v>
      </c>
      <c r="F2704" s="8">
        <v>1.0</v>
      </c>
      <c r="G2704" s="8">
        <v>1.0</v>
      </c>
      <c r="H2704" s="8">
        <v>1.0</v>
      </c>
      <c r="I2704" s="8">
        <v>1.0</v>
      </c>
      <c r="J2704" s="8">
        <v>1.0</v>
      </c>
      <c r="K2704" s="8">
        <v>1.0</v>
      </c>
      <c r="L2704" s="8">
        <v>6.0</v>
      </c>
      <c r="M2704" s="8"/>
      <c r="N2704" s="8"/>
      <c r="O2704" s="8" t="s">
        <v>823</v>
      </c>
      <c r="P2704" s="8" t="e">
        <v>#N/A</v>
      </c>
    </row>
    <row r="2705">
      <c r="A2705">
        <f>IFERROR(__xludf.DUMMYFUNCTION("""COMPUTED_VALUE"""),7.0)</f>
        <v>7</v>
      </c>
      <c r="B2705">
        <f>IFERROR(__xludf.DUMMYFUNCTION("""COMPUTED_VALUE"""),30056.0)</f>
        <v>30056</v>
      </c>
      <c r="C2705" t="str">
        <f>IFERROR(__xludf.DUMMYFUNCTION("""COMPUTED_VALUE"""),"GUTIERREZ CARVAJAL, VIOLETA")</f>
        <v>GUTIERREZ CARVAJAL, VIOLETA</v>
      </c>
      <c r="D2705" t="str">
        <f>IFERROR(__xludf.DUMMYFUNCTION("""COMPUTED_VALUE"""),"Art 7S1")</f>
        <v>Art 7S1</v>
      </c>
      <c r="E2705" s="31" t="str">
        <f>IFERROR(__xludf.DUMMYFUNCTION("""COMPUTED_VALUE"""),"2b")</f>
        <v>2b</v>
      </c>
      <c r="F2705" s="8">
        <v>1.0</v>
      </c>
      <c r="G2705" s="8">
        <v>1.0</v>
      </c>
      <c r="H2705" s="8">
        <v>1.0</v>
      </c>
      <c r="I2705" s="8">
        <v>1.0</v>
      </c>
      <c r="J2705" s="8">
        <v>1.0</v>
      </c>
      <c r="K2705" s="8">
        <v>1.0</v>
      </c>
      <c r="L2705" s="8">
        <v>6.0</v>
      </c>
      <c r="M2705" s="8"/>
      <c r="N2705" s="8"/>
      <c r="O2705" s="8" t="s">
        <v>825</v>
      </c>
      <c r="P2705" s="8" t="e">
        <v>#N/A</v>
      </c>
    </row>
    <row r="2706">
      <c r="A2706">
        <f>IFERROR(__xludf.DUMMYFUNCTION("""COMPUTED_VALUE"""),7.0)</f>
        <v>7</v>
      </c>
      <c r="B2706">
        <f>IFERROR(__xludf.DUMMYFUNCTION("""COMPUTED_VALUE"""),30057.0)</f>
        <v>30057</v>
      </c>
      <c r="C2706" t="str">
        <f>IFERROR(__xludf.DUMMYFUNCTION("""COMPUTED_VALUE"""),"GUTIERREZ OCAMPO, ISABELA")</f>
        <v>GUTIERREZ OCAMPO, ISABELA</v>
      </c>
      <c r="D2706" t="str">
        <f>IFERROR(__xludf.DUMMYFUNCTION("""COMPUTED_VALUE"""),"Art 7S1")</f>
        <v>Art 7S1</v>
      </c>
      <c r="E2706" s="31" t="str">
        <f>IFERROR(__xludf.DUMMYFUNCTION("""COMPUTED_VALUE"""),"6a")</f>
        <v>6a</v>
      </c>
      <c r="F2706" s="8">
        <v>1.0</v>
      </c>
      <c r="G2706" s="8">
        <v>1.0</v>
      </c>
      <c r="H2706" s="8">
        <v>1.0</v>
      </c>
      <c r="I2706" s="8">
        <v>1.0</v>
      </c>
      <c r="J2706" s="8">
        <v>1.0</v>
      </c>
      <c r="K2706" s="8">
        <v>1.0</v>
      </c>
      <c r="L2706" s="8">
        <v>6.0</v>
      </c>
      <c r="M2706" s="8"/>
      <c r="N2706" s="8"/>
      <c r="O2706" s="8" t="s">
        <v>821</v>
      </c>
      <c r="P2706" s="8" t="e">
        <v>#N/A</v>
      </c>
    </row>
    <row r="2707">
      <c r="A2707">
        <f>IFERROR(__xludf.DUMMYFUNCTION("""COMPUTED_VALUE"""),7.0)</f>
        <v>7</v>
      </c>
      <c r="B2707">
        <f>IFERROR(__xludf.DUMMYFUNCTION("""COMPUTED_VALUE"""),30058.0)</f>
        <v>30058</v>
      </c>
      <c r="C2707" t="str">
        <f>IFERROR(__xludf.DUMMYFUNCTION("""COMPUTED_VALUE"""),"GUZMAN FRANCO, SEBASTIAN")</f>
        <v>GUZMAN FRANCO, SEBASTIAN</v>
      </c>
      <c r="D2707" t="str">
        <f>IFERROR(__xludf.DUMMYFUNCTION("""COMPUTED_VALUE"""),"Tech 7S1")</f>
        <v>Tech 7S1</v>
      </c>
      <c r="E2707" s="31" t="str">
        <f>IFERROR(__xludf.DUMMYFUNCTION("""COMPUTED_VALUE"""),"1a")</f>
        <v>1a</v>
      </c>
      <c r="F2707" s="8">
        <v>1.0</v>
      </c>
      <c r="G2707" s="8">
        <v>1.0</v>
      </c>
      <c r="H2707" s="8">
        <v>1.0</v>
      </c>
      <c r="I2707" s="8">
        <v>1.0</v>
      </c>
      <c r="J2707" s="8">
        <v>1.0</v>
      </c>
      <c r="K2707" s="8">
        <v>1.0</v>
      </c>
      <c r="L2707" s="8">
        <v>6.0</v>
      </c>
      <c r="M2707" s="8"/>
      <c r="N2707" s="8"/>
      <c r="O2707" s="8" t="s">
        <v>824</v>
      </c>
      <c r="P2707" s="8" t="e">
        <v>#N/A</v>
      </c>
    </row>
    <row r="2708">
      <c r="A2708">
        <f>IFERROR(__xludf.DUMMYFUNCTION("""COMPUTED_VALUE"""),7.0)</f>
        <v>7</v>
      </c>
      <c r="B2708">
        <f>IFERROR(__xludf.DUMMYFUNCTION("""COMPUTED_VALUE"""),30059.0)</f>
        <v>30059</v>
      </c>
      <c r="C2708" t="str">
        <f>IFERROR(__xludf.DUMMYFUNCTION("""COMPUTED_VALUE"""),"HALABY NAVARRO, MARCO")</f>
        <v>HALABY NAVARRO, MARCO</v>
      </c>
      <c r="D2708" t="str">
        <f>IFERROR(__xludf.DUMMYFUNCTION("""COMPUTED_VALUE"""),"Art 7S1")</f>
        <v>Art 7S1</v>
      </c>
      <c r="E2708" s="31" t="str">
        <f>IFERROR(__xludf.DUMMYFUNCTION("""COMPUTED_VALUE"""),"2b")</f>
        <v>2b</v>
      </c>
      <c r="F2708" s="8">
        <v>1.0</v>
      </c>
      <c r="G2708" s="8">
        <v>1.0</v>
      </c>
      <c r="H2708" s="8">
        <v>1.0</v>
      </c>
      <c r="I2708" s="8">
        <v>1.0</v>
      </c>
      <c r="J2708" s="8">
        <v>1.0</v>
      </c>
      <c r="K2708" s="8">
        <v>1.0</v>
      </c>
      <c r="L2708" s="8">
        <v>6.0</v>
      </c>
      <c r="M2708" s="8"/>
      <c r="N2708" s="8"/>
      <c r="O2708" s="8" t="s">
        <v>825</v>
      </c>
      <c r="P2708" s="8" t="e">
        <v>#N/A</v>
      </c>
    </row>
    <row r="2709">
      <c r="A2709">
        <f>IFERROR(__xludf.DUMMYFUNCTION("""COMPUTED_VALUE"""),7.0)</f>
        <v>7</v>
      </c>
      <c r="B2709">
        <f>IFERROR(__xludf.DUMMYFUNCTION("""COMPUTED_VALUE"""),30166.0)</f>
        <v>30166</v>
      </c>
      <c r="C2709" t="str">
        <f>IFERROR(__xludf.DUMMYFUNCTION("""COMPUTED_VALUE"""),"HERNANDEZ GOMEZ, EMILIA")</f>
        <v>HERNANDEZ GOMEZ, EMILIA</v>
      </c>
      <c r="D2709" t="str">
        <f>IFERROR(__xludf.DUMMYFUNCTION("""COMPUTED_VALUE"""),"Tech 7S1")</f>
        <v>Tech 7S1</v>
      </c>
      <c r="E2709" s="31" t="str">
        <f>IFERROR(__xludf.DUMMYFUNCTION("""COMPUTED_VALUE"""),"2b")</f>
        <v>2b</v>
      </c>
      <c r="F2709" s="8">
        <v>1.0</v>
      </c>
      <c r="G2709" s="8">
        <v>1.0</v>
      </c>
      <c r="H2709" s="8">
        <v>1.0</v>
      </c>
      <c r="I2709" s="8">
        <v>1.0</v>
      </c>
      <c r="J2709" s="8">
        <v>1.0</v>
      </c>
      <c r="K2709" s="8">
        <v>1.0</v>
      </c>
      <c r="L2709" s="8">
        <v>6.0</v>
      </c>
      <c r="M2709" s="8"/>
      <c r="N2709" s="8"/>
      <c r="O2709" s="8" t="s">
        <v>819</v>
      </c>
      <c r="P2709" s="8" t="e">
        <v>#N/A</v>
      </c>
    </row>
    <row r="2710">
      <c r="A2710">
        <f>IFERROR(__xludf.DUMMYFUNCTION("""COMPUTED_VALUE"""),7.0)</f>
        <v>7</v>
      </c>
      <c r="B2710">
        <f>IFERROR(__xludf.DUMMYFUNCTION("""COMPUTED_VALUE"""),30062.0)</f>
        <v>30062</v>
      </c>
      <c r="C2710" t="str">
        <f>IFERROR(__xludf.DUMMYFUNCTION("""COMPUTED_VALUE"""),"HURTADO FAJARDO, VALERIA")</f>
        <v>HURTADO FAJARDO, VALERIA</v>
      </c>
      <c r="D2710" t="str">
        <f>IFERROR(__xludf.DUMMYFUNCTION("""COMPUTED_VALUE"""),"Art 7S1")</f>
        <v>Art 7S1</v>
      </c>
      <c r="E2710" s="31" t="str">
        <f>IFERROR(__xludf.DUMMYFUNCTION("""COMPUTED_VALUE"""),"2b")</f>
        <v>2b</v>
      </c>
      <c r="F2710" s="8">
        <v>1.0</v>
      </c>
      <c r="G2710" s="8">
        <v>1.0</v>
      </c>
      <c r="H2710" s="8">
        <v>1.0</v>
      </c>
      <c r="I2710" s="8">
        <v>1.0</v>
      </c>
      <c r="J2710" s="8">
        <v>1.0</v>
      </c>
      <c r="K2710" s="8">
        <v>1.0</v>
      </c>
      <c r="L2710" s="8">
        <v>6.0</v>
      </c>
      <c r="M2710" s="8"/>
      <c r="N2710" s="8"/>
      <c r="O2710" s="8" t="s">
        <v>825</v>
      </c>
      <c r="P2710" s="8" t="e">
        <v>#N/A</v>
      </c>
    </row>
    <row r="2711">
      <c r="A2711">
        <f>IFERROR(__xludf.DUMMYFUNCTION("""COMPUTED_VALUE"""),7.0)</f>
        <v>7</v>
      </c>
      <c r="B2711">
        <f>IFERROR(__xludf.DUMMYFUNCTION("""COMPUTED_VALUE"""),30064.0)</f>
        <v>30064</v>
      </c>
      <c r="C2711" t="str">
        <f>IFERROR(__xludf.DUMMYFUNCTION("""COMPUTED_VALUE"""),"JARAMILLO ARBELAEZ, TOMAS")</f>
        <v>JARAMILLO ARBELAEZ, TOMAS</v>
      </c>
      <c r="D2711" t="str">
        <f>IFERROR(__xludf.DUMMYFUNCTION("""COMPUTED_VALUE"""),"Band 7S1")</f>
        <v>Band 7S1</v>
      </c>
      <c r="E2711" s="31" t="str">
        <f>IFERROR(__xludf.DUMMYFUNCTION("""COMPUTED_VALUE"""),"1a")</f>
        <v>1a</v>
      </c>
      <c r="F2711" s="8">
        <v>1.0</v>
      </c>
      <c r="G2711" s="8">
        <v>1.0</v>
      </c>
      <c r="H2711" s="8">
        <v>1.0</v>
      </c>
      <c r="I2711" s="8">
        <v>1.0</v>
      </c>
      <c r="J2711" s="8">
        <v>1.0</v>
      </c>
      <c r="K2711" s="8">
        <v>1.0</v>
      </c>
      <c r="L2711" s="8">
        <v>6.0</v>
      </c>
      <c r="M2711" s="8"/>
      <c r="N2711" s="8"/>
      <c r="O2711" s="8" t="s">
        <v>822</v>
      </c>
      <c r="P2711" s="8" t="e">
        <v>#N/A</v>
      </c>
    </row>
    <row r="2712">
      <c r="A2712">
        <f>IFERROR(__xludf.DUMMYFUNCTION("""COMPUTED_VALUE"""),7.0)</f>
        <v>7</v>
      </c>
      <c r="B2712">
        <f>IFERROR(__xludf.DUMMYFUNCTION("""COMPUTED_VALUE"""),30065.0)</f>
        <v>30065</v>
      </c>
      <c r="C2712" t="str">
        <f>IFERROR(__xludf.DUMMYFUNCTION("""COMPUTED_VALUE"""),"JARAMILLO MORA, CARMEN")</f>
        <v>JARAMILLO MORA, CARMEN</v>
      </c>
      <c r="D2712" t="str">
        <f>IFERROR(__xludf.DUMMYFUNCTION("""COMPUTED_VALUE"""),"Band 7S1")</f>
        <v>Band 7S1</v>
      </c>
      <c r="E2712" s="31" t="str">
        <f>IFERROR(__xludf.DUMMYFUNCTION("""COMPUTED_VALUE"""),"2b")</f>
        <v>2b</v>
      </c>
      <c r="F2712" s="8">
        <v>1.0</v>
      </c>
      <c r="G2712" s="8">
        <v>1.0</v>
      </c>
      <c r="H2712" s="8">
        <v>1.0</v>
      </c>
      <c r="I2712" s="8">
        <v>1.0</v>
      </c>
      <c r="J2712" s="8">
        <v>1.0</v>
      </c>
      <c r="K2712" s="8">
        <v>1.0</v>
      </c>
      <c r="L2712" s="8">
        <v>6.0</v>
      </c>
      <c r="M2712" s="8"/>
      <c r="N2712" s="8"/>
      <c r="O2712" s="8" t="s">
        <v>820</v>
      </c>
      <c r="P2712" s="8" t="e">
        <v>#N/A</v>
      </c>
    </row>
    <row r="2713">
      <c r="A2713">
        <f>IFERROR(__xludf.DUMMYFUNCTION("""COMPUTED_VALUE"""),7.0)</f>
        <v>7</v>
      </c>
      <c r="B2713">
        <f>IFERROR(__xludf.DUMMYFUNCTION("""COMPUTED_VALUE"""),30066.0)</f>
        <v>30066</v>
      </c>
      <c r="C2713" t="str">
        <f>IFERROR(__xludf.DUMMYFUNCTION("""COMPUTED_VALUE"""),"JARAMILLO PEÑA, MIGUEL ANTONIO")</f>
        <v>JARAMILLO PEÑA, MIGUEL ANTONIO</v>
      </c>
      <c r="D2713" t="str">
        <f>IFERROR(__xludf.DUMMYFUNCTION("""COMPUTED_VALUE"""),"Band 7S1")</f>
        <v>Band 7S1</v>
      </c>
      <c r="E2713" s="31" t="str">
        <f>IFERROR(__xludf.DUMMYFUNCTION("""COMPUTED_VALUE"""),"4b")</f>
        <v>4b</v>
      </c>
      <c r="F2713" s="8">
        <v>1.0</v>
      </c>
      <c r="G2713" s="8">
        <v>1.0</v>
      </c>
      <c r="H2713" s="8">
        <v>1.0</v>
      </c>
      <c r="I2713" s="8">
        <v>1.0</v>
      </c>
      <c r="J2713" s="8">
        <v>1.0</v>
      </c>
      <c r="K2713" s="8">
        <v>1.0</v>
      </c>
      <c r="L2713" s="8">
        <v>6.0</v>
      </c>
      <c r="M2713" s="8"/>
      <c r="N2713" s="8"/>
      <c r="O2713" s="8" t="s">
        <v>818</v>
      </c>
      <c r="P2713" s="8" t="e">
        <v>#N/A</v>
      </c>
    </row>
    <row r="2714">
      <c r="A2714">
        <f>IFERROR(__xludf.DUMMYFUNCTION("""COMPUTED_VALUE"""),7.0)</f>
        <v>7</v>
      </c>
      <c r="B2714">
        <f>IFERROR(__xludf.DUMMYFUNCTION("""COMPUTED_VALUE"""),30148.0)</f>
        <v>30148</v>
      </c>
      <c r="C2714" t="str">
        <f>IFERROR(__xludf.DUMMYFUNCTION("""COMPUTED_VALUE"""),"JARAMILLO VELASQUEZ, FEDERICO")</f>
        <v>JARAMILLO VELASQUEZ, FEDERICO</v>
      </c>
      <c r="D2714" t="str">
        <f>IFERROR(__xludf.DUMMYFUNCTION("""COMPUTED_VALUE"""),"Art 7S1")</f>
        <v>Art 7S1</v>
      </c>
      <c r="E2714" s="31" t="str">
        <f>IFERROR(__xludf.DUMMYFUNCTION("""COMPUTED_VALUE"""),"6a")</f>
        <v>6a</v>
      </c>
      <c r="F2714" s="8">
        <v>1.0</v>
      </c>
      <c r="G2714" s="8">
        <v>1.0</v>
      </c>
      <c r="H2714" s="8">
        <v>1.0</v>
      </c>
      <c r="I2714" s="8">
        <v>1.0</v>
      </c>
      <c r="J2714" s="8">
        <v>1.0</v>
      </c>
      <c r="K2714" s="8">
        <v>1.0</v>
      </c>
      <c r="L2714" s="8">
        <v>6.0</v>
      </c>
      <c r="M2714" s="8"/>
      <c r="N2714" s="8"/>
      <c r="O2714" s="8" t="s">
        <v>821</v>
      </c>
      <c r="P2714" s="8" t="e">
        <v>#N/A</v>
      </c>
    </row>
    <row r="2715">
      <c r="A2715">
        <f>IFERROR(__xludf.DUMMYFUNCTION("""COMPUTED_VALUE"""),7.0)</f>
        <v>7</v>
      </c>
      <c r="B2715">
        <f>IFERROR(__xludf.DUMMYFUNCTION("""COMPUTED_VALUE"""),30068.0)</f>
        <v>30068</v>
      </c>
      <c r="C2715" t="str">
        <f>IFERROR(__xludf.DUMMYFUNCTION("""COMPUTED_VALUE"""),"LIBREROS ZULUAGA, JOSHUA")</f>
        <v>LIBREROS ZULUAGA, JOSHUA</v>
      </c>
      <c r="D2715" t="str">
        <f>IFERROR(__xludf.DUMMYFUNCTION("""COMPUTED_VALUE"""),"Art 7S1")</f>
        <v>Art 7S1</v>
      </c>
      <c r="E2715" s="31" t="str">
        <f>IFERROR(__xludf.DUMMYFUNCTION("""COMPUTED_VALUE"""),"2b")</f>
        <v>2b</v>
      </c>
      <c r="F2715" s="8">
        <v>1.0</v>
      </c>
      <c r="G2715" s="8">
        <v>1.0</v>
      </c>
      <c r="H2715" s="8">
        <v>1.0</v>
      </c>
      <c r="I2715" s="8">
        <v>1.0</v>
      </c>
      <c r="J2715" s="8">
        <v>1.0</v>
      </c>
      <c r="K2715" s="8">
        <v>1.0</v>
      </c>
      <c r="L2715" s="8">
        <v>6.0</v>
      </c>
      <c r="M2715" s="8"/>
      <c r="N2715" s="8"/>
      <c r="O2715" s="8" t="s">
        <v>825</v>
      </c>
      <c r="P2715" s="8" t="e">
        <v>#N/A</v>
      </c>
    </row>
    <row r="2716">
      <c r="A2716">
        <f>IFERROR(__xludf.DUMMYFUNCTION("""COMPUTED_VALUE"""),7.0)</f>
        <v>7</v>
      </c>
      <c r="B2716">
        <f>IFERROR(__xludf.DUMMYFUNCTION("""COMPUTED_VALUE"""),30069.0)</f>
        <v>30069</v>
      </c>
      <c r="C2716" t="str">
        <f>IFERROR(__xludf.DUMMYFUNCTION("""COMPUTED_VALUE"""),"LLANO PIEDRAHITA, TOMAS")</f>
        <v>LLANO PIEDRAHITA, TOMAS</v>
      </c>
      <c r="D2716" t="str">
        <f>IFERROR(__xludf.DUMMYFUNCTION("""COMPUTED_VALUE"""),"Band 7S1")</f>
        <v>Band 7S1</v>
      </c>
      <c r="E2716" s="31" t="str">
        <f>IFERROR(__xludf.DUMMYFUNCTION("""COMPUTED_VALUE"""),"2b")</f>
        <v>2b</v>
      </c>
      <c r="F2716" s="8">
        <v>1.0</v>
      </c>
      <c r="G2716" s="8">
        <v>1.0</v>
      </c>
      <c r="H2716" s="8">
        <v>1.0</v>
      </c>
      <c r="I2716" s="8">
        <v>1.0</v>
      </c>
      <c r="J2716" s="8">
        <v>1.0</v>
      </c>
      <c r="K2716" s="8">
        <v>1.0</v>
      </c>
      <c r="L2716" s="8">
        <v>6.0</v>
      </c>
      <c r="M2716" s="8"/>
      <c r="N2716" s="8"/>
      <c r="O2716" s="8" t="s">
        <v>820</v>
      </c>
      <c r="P2716" s="8" t="e">
        <v>#N/A</v>
      </c>
    </row>
    <row r="2717">
      <c r="A2717">
        <f>IFERROR(__xludf.DUMMYFUNCTION("""COMPUTED_VALUE"""),7.0)</f>
        <v>7</v>
      </c>
      <c r="B2717">
        <f>IFERROR(__xludf.DUMMYFUNCTION("""COMPUTED_VALUE"""),30070.0)</f>
        <v>30070</v>
      </c>
      <c r="C2717" t="str">
        <f>IFERROR(__xludf.DUMMYFUNCTION("""COMPUTED_VALUE"""),"LONDOÑO CUARTAS, PABLO")</f>
        <v>LONDOÑO CUARTAS, PABLO</v>
      </c>
      <c r="D2717" t="str">
        <f>IFERROR(__xludf.DUMMYFUNCTION("""COMPUTED_VALUE"""),"Band 7S1")</f>
        <v>Band 7S1</v>
      </c>
      <c r="E2717" s="31" t="str">
        <f>IFERROR(__xludf.DUMMYFUNCTION("""COMPUTED_VALUE"""),"4b")</f>
        <v>4b</v>
      </c>
      <c r="F2717" s="8">
        <v>1.0</v>
      </c>
      <c r="G2717" s="8">
        <v>1.0</v>
      </c>
      <c r="H2717" s="8">
        <v>1.0</v>
      </c>
      <c r="I2717" s="8">
        <v>1.0</v>
      </c>
      <c r="J2717" s="8">
        <v>1.0</v>
      </c>
      <c r="K2717" s="8">
        <v>1.0</v>
      </c>
      <c r="L2717" s="8">
        <v>6.0</v>
      </c>
      <c r="M2717" s="8"/>
      <c r="N2717" s="8"/>
      <c r="O2717" s="8" t="s">
        <v>818</v>
      </c>
      <c r="P2717" s="8" t="e">
        <v>#N/A</v>
      </c>
    </row>
    <row r="2718">
      <c r="A2718">
        <f>IFERROR(__xludf.DUMMYFUNCTION("""COMPUTED_VALUE"""),7.0)</f>
        <v>7</v>
      </c>
      <c r="B2718">
        <f>IFERROR(__xludf.DUMMYFUNCTION("""COMPUTED_VALUE"""),30155.0)</f>
        <v>30155</v>
      </c>
      <c r="C2718" t="str">
        <f>IFERROR(__xludf.DUMMYFUNCTION("""COMPUTED_VALUE"""),"LONDOÑO JARAMILLO, MARIANO")</f>
        <v>LONDOÑO JARAMILLO, MARIANO</v>
      </c>
      <c r="D2718" t="str">
        <f>IFERROR(__xludf.DUMMYFUNCTION("""COMPUTED_VALUE"""),"Band 7S1")</f>
        <v>Band 7S1</v>
      </c>
      <c r="E2718" s="31" t="str">
        <f>IFERROR(__xludf.DUMMYFUNCTION("""COMPUTED_VALUE"""),"1a")</f>
        <v>1a</v>
      </c>
      <c r="F2718" s="8">
        <v>1.0</v>
      </c>
      <c r="G2718" s="8">
        <v>1.0</v>
      </c>
      <c r="H2718" s="8">
        <v>1.0</v>
      </c>
      <c r="I2718" s="8">
        <v>1.0</v>
      </c>
      <c r="J2718" s="8">
        <v>1.0</v>
      </c>
      <c r="K2718" s="8">
        <v>1.0</v>
      </c>
      <c r="L2718" s="8">
        <v>6.0</v>
      </c>
      <c r="M2718" s="8"/>
      <c r="N2718" s="8"/>
      <c r="O2718" s="8" t="s">
        <v>822</v>
      </c>
      <c r="P2718" s="8" t="e">
        <v>#N/A</v>
      </c>
    </row>
    <row r="2719">
      <c r="A2719">
        <f>IFERROR(__xludf.DUMMYFUNCTION("""COMPUTED_VALUE"""),7.0)</f>
        <v>7</v>
      </c>
      <c r="B2719">
        <f>IFERROR(__xludf.DUMMYFUNCTION("""COMPUTED_VALUE"""),30072.0)</f>
        <v>30072</v>
      </c>
      <c r="C2719" t="str">
        <f>IFERROR(__xludf.DUMMYFUNCTION("""COMPUTED_VALUE"""),"LOZANO NAVARRO, GREGORIO")</f>
        <v>LOZANO NAVARRO, GREGORIO</v>
      </c>
      <c r="D2719" t="str">
        <f>IFERROR(__xludf.DUMMYFUNCTION("""COMPUTED_VALUE"""),"Band 7S1")</f>
        <v>Band 7S1</v>
      </c>
      <c r="E2719" s="31" t="str">
        <f>IFERROR(__xludf.DUMMYFUNCTION("""COMPUTED_VALUE"""),"4b")</f>
        <v>4b</v>
      </c>
      <c r="F2719" s="8">
        <v>1.0</v>
      </c>
      <c r="G2719" s="8">
        <v>1.0</v>
      </c>
      <c r="H2719" s="8">
        <v>1.0</v>
      </c>
      <c r="I2719" s="8">
        <v>1.0</v>
      </c>
      <c r="J2719" s="8">
        <v>1.0</v>
      </c>
      <c r="K2719" s="8">
        <v>1.0</v>
      </c>
      <c r="L2719" s="8">
        <v>6.0</v>
      </c>
      <c r="M2719" s="8"/>
      <c r="N2719" s="8"/>
      <c r="O2719" s="8" t="s">
        <v>818</v>
      </c>
      <c r="P2719" s="8" t="e">
        <v>#N/A</v>
      </c>
    </row>
    <row r="2720">
      <c r="A2720">
        <f>IFERROR(__xludf.DUMMYFUNCTION("""COMPUTED_VALUE"""),7.0)</f>
        <v>7</v>
      </c>
      <c r="B2720">
        <f>IFERROR(__xludf.DUMMYFUNCTION("""COMPUTED_VALUE"""),30074.0)</f>
        <v>30074</v>
      </c>
      <c r="C2720" t="str">
        <f>IFERROR(__xludf.DUMMYFUNCTION("""COMPUTED_VALUE"""),"MACIA TORO, ALICIA")</f>
        <v>MACIA TORO, ALICIA</v>
      </c>
      <c r="D2720" t="str">
        <f>IFERROR(__xludf.DUMMYFUNCTION("""COMPUTED_VALUE"""),"Band 7S1")</f>
        <v>Band 7S1</v>
      </c>
      <c r="E2720" s="31" t="str">
        <f>IFERROR(__xludf.DUMMYFUNCTION("""COMPUTED_VALUE"""),"2b")</f>
        <v>2b</v>
      </c>
      <c r="F2720" s="8">
        <v>1.0</v>
      </c>
      <c r="G2720" s="8">
        <v>1.0</v>
      </c>
      <c r="H2720" s="8">
        <v>1.0</v>
      </c>
      <c r="I2720" s="8">
        <v>1.0</v>
      </c>
      <c r="J2720" s="8">
        <v>1.0</v>
      </c>
      <c r="K2720" s="8">
        <v>1.0</v>
      </c>
      <c r="L2720" s="8">
        <v>6.0</v>
      </c>
      <c r="M2720" s="8"/>
      <c r="N2720" s="8"/>
      <c r="O2720" s="8" t="s">
        <v>820</v>
      </c>
      <c r="P2720" s="8" t="e">
        <v>#N/A</v>
      </c>
    </row>
    <row r="2721">
      <c r="A2721">
        <f>IFERROR(__xludf.DUMMYFUNCTION("""COMPUTED_VALUE"""),7.0)</f>
        <v>7</v>
      </c>
      <c r="B2721">
        <f>IFERROR(__xludf.DUMMYFUNCTION("""COMPUTED_VALUE"""),30075.0)</f>
        <v>30075</v>
      </c>
      <c r="C2721" t="str">
        <f>IFERROR(__xludf.DUMMYFUNCTION("""COMPUTED_VALUE"""),"MANRIQUE CUESTA, VALERIA")</f>
        <v>MANRIQUE CUESTA, VALERIA</v>
      </c>
      <c r="D2721" t="str">
        <f>IFERROR(__xludf.DUMMYFUNCTION("""COMPUTED_VALUE"""),"Art 7S1")</f>
        <v>Art 7S1</v>
      </c>
      <c r="E2721" s="31" t="str">
        <f>IFERROR(__xludf.DUMMYFUNCTION("""COMPUTED_VALUE"""),"1a")</f>
        <v>1a</v>
      </c>
      <c r="F2721" s="8">
        <v>1.0</v>
      </c>
      <c r="G2721" s="8">
        <v>1.0</v>
      </c>
      <c r="H2721" s="8">
        <v>1.0</v>
      </c>
      <c r="I2721" s="8">
        <v>1.0</v>
      </c>
      <c r="J2721" s="8">
        <v>1.0</v>
      </c>
      <c r="K2721" s="8">
        <v>1.0</v>
      </c>
      <c r="L2721" s="8">
        <v>6.0</v>
      </c>
      <c r="M2721" s="8"/>
      <c r="N2721" s="8"/>
      <c r="O2721" s="8" t="s">
        <v>823</v>
      </c>
      <c r="P2721" s="8" t="e">
        <v>#N/A</v>
      </c>
    </row>
    <row r="2722">
      <c r="A2722">
        <f>IFERROR(__xludf.DUMMYFUNCTION("""COMPUTED_VALUE"""),7.0)</f>
        <v>7</v>
      </c>
      <c r="B2722">
        <f>IFERROR(__xludf.DUMMYFUNCTION("""COMPUTED_VALUE"""),30076.0)</f>
        <v>30076</v>
      </c>
      <c r="C2722" t="str">
        <f>IFERROR(__xludf.DUMMYFUNCTION("""COMPUTED_VALUE"""),"MARTINEZ OROZCO, GABRIELA")</f>
        <v>MARTINEZ OROZCO, GABRIELA</v>
      </c>
      <c r="D2722" t="str">
        <f>IFERROR(__xludf.DUMMYFUNCTION("""COMPUTED_VALUE"""),"Art 7S1")</f>
        <v>Art 7S1</v>
      </c>
      <c r="E2722" s="31" t="str">
        <f>IFERROR(__xludf.DUMMYFUNCTION("""COMPUTED_VALUE"""),"6a")</f>
        <v>6a</v>
      </c>
      <c r="F2722" s="8">
        <v>1.0</v>
      </c>
      <c r="G2722" s="8">
        <v>1.0</v>
      </c>
      <c r="H2722" s="8">
        <v>1.0</v>
      </c>
      <c r="I2722" s="8">
        <v>1.0</v>
      </c>
      <c r="J2722" s="8">
        <v>1.0</v>
      </c>
      <c r="K2722" s="8">
        <v>1.0</v>
      </c>
      <c r="L2722" s="8">
        <v>6.0</v>
      </c>
      <c r="M2722" s="8"/>
      <c r="N2722" s="8"/>
      <c r="O2722" s="8" t="s">
        <v>821</v>
      </c>
      <c r="P2722" s="8" t="e">
        <v>#N/A</v>
      </c>
    </row>
    <row r="2723">
      <c r="A2723">
        <f>IFERROR(__xludf.DUMMYFUNCTION("""COMPUTED_VALUE"""),7.0)</f>
        <v>7</v>
      </c>
      <c r="B2723">
        <f>IFERROR(__xludf.DUMMYFUNCTION("""COMPUTED_VALUE"""),30077.0)</f>
        <v>30077</v>
      </c>
      <c r="C2723" t="str">
        <f>IFERROR(__xludf.DUMMYFUNCTION("""COMPUTED_VALUE"""),"MC LEAN HIDRON, SIMON")</f>
        <v>MC LEAN HIDRON, SIMON</v>
      </c>
      <c r="D2723" t="str">
        <f>IFERROR(__xludf.DUMMYFUNCTION("""COMPUTED_VALUE"""),"Band 7S1")</f>
        <v>Band 7S1</v>
      </c>
      <c r="E2723" s="31" t="str">
        <f>IFERROR(__xludf.DUMMYFUNCTION("""COMPUTED_VALUE"""),"4b")</f>
        <v>4b</v>
      </c>
      <c r="F2723" s="8">
        <v>1.0</v>
      </c>
      <c r="G2723" s="8">
        <v>1.0</v>
      </c>
      <c r="H2723" s="8">
        <v>1.0</v>
      </c>
      <c r="I2723" s="8">
        <v>1.0</v>
      </c>
      <c r="J2723" s="8">
        <v>1.0</v>
      </c>
      <c r="K2723" s="8">
        <v>1.0</v>
      </c>
      <c r="L2723" s="8">
        <v>6.0</v>
      </c>
      <c r="M2723" s="8"/>
      <c r="N2723" s="8"/>
      <c r="O2723" s="8" t="s">
        <v>818</v>
      </c>
      <c r="P2723" s="8" t="e">
        <v>#N/A</v>
      </c>
    </row>
    <row r="2724">
      <c r="A2724">
        <f>IFERROR(__xludf.DUMMYFUNCTION("""COMPUTED_VALUE"""),7.0)</f>
        <v>7</v>
      </c>
      <c r="B2724">
        <f>IFERROR(__xludf.DUMMYFUNCTION("""COMPUTED_VALUE"""),30174.0)</f>
        <v>30174</v>
      </c>
      <c r="C2724" t="str">
        <f>IFERROR(__xludf.DUMMYFUNCTION("""COMPUTED_VALUE"""),"MEJIA BOTERO, FRANCISCA")</f>
        <v>MEJIA BOTERO, FRANCISCA</v>
      </c>
      <c r="D2724" t="str">
        <f>IFERROR(__xludf.DUMMYFUNCTION("""COMPUTED_VALUE"""),"Tech 7S1")</f>
        <v>Tech 7S1</v>
      </c>
      <c r="E2724" s="31" t="str">
        <f>IFERROR(__xludf.DUMMYFUNCTION("""COMPUTED_VALUE"""),"1a")</f>
        <v>1a</v>
      </c>
      <c r="F2724" s="8">
        <v>1.0</v>
      </c>
      <c r="G2724" s="8">
        <v>1.0</v>
      </c>
      <c r="H2724" s="8">
        <v>1.0</v>
      </c>
      <c r="I2724" s="8">
        <v>1.0</v>
      </c>
      <c r="J2724" s="8">
        <v>1.0</v>
      </c>
      <c r="K2724" s="8">
        <v>1.0</v>
      </c>
      <c r="L2724" s="8">
        <v>6.0</v>
      </c>
      <c r="M2724" s="8"/>
      <c r="N2724" s="8"/>
      <c r="O2724" s="8" t="s">
        <v>824</v>
      </c>
      <c r="P2724" s="8" t="e">
        <v>#N/A</v>
      </c>
    </row>
    <row r="2725">
      <c r="A2725">
        <f>IFERROR(__xludf.DUMMYFUNCTION("""COMPUTED_VALUE"""),7.0)</f>
        <v>7</v>
      </c>
      <c r="B2725">
        <f>IFERROR(__xludf.DUMMYFUNCTION("""COMPUTED_VALUE"""),30078.0)</f>
        <v>30078</v>
      </c>
      <c r="C2725" t="str">
        <f>IFERROR(__xludf.DUMMYFUNCTION("""COMPUTED_VALUE"""),"MESA GARCIA, ISABEL")</f>
        <v>MESA GARCIA, ISABEL</v>
      </c>
      <c r="D2725" t="str">
        <f>IFERROR(__xludf.DUMMYFUNCTION("""COMPUTED_VALUE"""),"Art 7S1")</f>
        <v>Art 7S1</v>
      </c>
      <c r="E2725" s="31" t="str">
        <f>IFERROR(__xludf.DUMMYFUNCTION("""COMPUTED_VALUE"""),"6a")</f>
        <v>6a</v>
      </c>
      <c r="F2725" s="8">
        <v>1.0</v>
      </c>
      <c r="G2725" s="8">
        <v>1.0</v>
      </c>
      <c r="H2725" s="8">
        <v>1.0</v>
      </c>
      <c r="I2725" s="8">
        <v>1.0</v>
      </c>
      <c r="J2725" s="8">
        <v>1.0</v>
      </c>
      <c r="K2725" s="8">
        <v>1.0</v>
      </c>
      <c r="L2725" s="8">
        <v>6.0</v>
      </c>
      <c r="M2725" s="8"/>
      <c r="N2725" s="8"/>
      <c r="O2725" s="8" t="s">
        <v>821</v>
      </c>
      <c r="P2725" s="8" t="e">
        <v>#N/A</v>
      </c>
    </row>
    <row r="2726">
      <c r="A2726">
        <f>IFERROR(__xludf.DUMMYFUNCTION("""COMPUTED_VALUE"""),7.0)</f>
        <v>7</v>
      </c>
      <c r="B2726">
        <f>IFERROR(__xludf.DUMMYFUNCTION("""COMPUTED_VALUE"""),30079.0)</f>
        <v>30079</v>
      </c>
      <c r="C2726" t="str">
        <f>IFERROR(__xludf.DUMMYFUNCTION("""COMPUTED_VALUE"""),"MESA RESTREPO, BRUNO")</f>
        <v>MESA RESTREPO, BRUNO</v>
      </c>
      <c r="D2726" t="str">
        <f>IFERROR(__xludf.DUMMYFUNCTION("""COMPUTED_VALUE"""),"Band 7S1")</f>
        <v>Band 7S1</v>
      </c>
      <c r="E2726" s="31" t="str">
        <f>IFERROR(__xludf.DUMMYFUNCTION("""COMPUTED_VALUE"""),"1a")</f>
        <v>1a</v>
      </c>
      <c r="F2726" s="8">
        <v>1.0</v>
      </c>
      <c r="G2726" s="8">
        <v>1.0</v>
      </c>
      <c r="H2726" s="8">
        <v>1.0</v>
      </c>
      <c r="I2726" s="8">
        <v>1.0</v>
      </c>
      <c r="J2726" s="8">
        <v>1.0</v>
      </c>
      <c r="K2726" s="8">
        <v>1.0</v>
      </c>
      <c r="L2726" s="8">
        <v>6.0</v>
      </c>
      <c r="M2726" s="8"/>
      <c r="N2726" s="8"/>
      <c r="O2726" s="8" t="s">
        <v>822</v>
      </c>
      <c r="P2726" s="8" t="e">
        <v>#N/A</v>
      </c>
    </row>
    <row r="2727">
      <c r="A2727">
        <f>IFERROR(__xludf.DUMMYFUNCTION("""COMPUTED_VALUE"""),7.0)</f>
        <v>7</v>
      </c>
      <c r="B2727">
        <f>IFERROR(__xludf.DUMMYFUNCTION("""COMPUTED_VALUE"""),30080.0)</f>
        <v>30080</v>
      </c>
      <c r="C2727" t="str">
        <f>IFERROR(__xludf.DUMMYFUNCTION("""COMPUTED_VALUE"""),"MEZA SUAREZ, NIKOLAI")</f>
        <v>MEZA SUAREZ, NIKOLAI</v>
      </c>
      <c r="D2727" t="str">
        <f>IFERROR(__xludf.DUMMYFUNCTION("""COMPUTED_VALUE"""),"Art 7S1")</f>
        <v>Art 7S1</v>
      </c>
      <c r="E2727" s="31" t="str">
        <f>IFERROR(__xludf.DUMMYFUNCTION("""COMPUTED_VALUE"""),"1a")</f>
        <v>1a</v>
      </c>
      <c r="F2727" s="8">
        <v>1.0</v>
      </c>
      <c r="G2727" s="8">
        <v>1.0</v>
      </c>
      <c r="H2727" s="8">
        <v>1.0</v>
      </c>
      <c r="I2727" s="8">
        <v>1.0</v>
      </c>
      <c r="J2727" s="8">
        <v>1.0</v>
      </c>
      <c r="K2727" s="8">
        <v>1.0</v>
      </c>
      <c r="L2727" s="8">
        <v>6.0</v>
      </c>
      <c r="M2727" s="8"/>
      <c r="N2727" s="8"/>
      <c r="O2727" s="8" t="s">
        <v>823</v>
      </c>
      <c r="P2727" s="8" t="e">
        <v>#N/A</v>
      </c>
    </row>
    <row r="2728">
      <c r="A2728">
        <f>IFERROR(__xludf.DUMMYFUNCTION("""COMPUTED_VALUE"""),7.0)</f>
        <v>7</v>
      </c>
      <c r="B2728">
        <f>IFERROR(__xludf.DUMMYFUNCTION("""COMPUTED_VALUE"""),30081.0)</f>
        <v>30081</v>
      </c>
      <c r="C2728" t="str">
        <f>IFERROR(__xludf.DUMMYFUNCTION("""COMPUTED_VALUE"""),"MOLINA HOYOS, AMALIA")</f>
        <v>MOLINA HOYOS, AMALIA</v>
      </c>
      <c r="D2728" t="str">
        <f>IFERROR(__xludf.DUMMYFUNCTION("""COMPUTED_VALUE"""),"Band 7S1")</f>
        <v>Band 7S1</v>
      </c>
      <c r="E2728" s="31" t="str">
        <f>IFERROR(__xludf.DUMMYFUNCTION("""COMPUTED_VALUE"""),"2b")</f>
        <v>2b</v>
      </c>
      <c r="F2728" s="8">
        <v>1.0</v>
      </c>
      <c r="G2728" s="8">
        <v>1.0</v>
      </c>
      <c r="H2728" s="8">
        <v>1.0</v>
      </c>
      <c r="I2728" s="8">
        <v>1.0</v>
      </c>
      <c r="J2728" s="8">
        <v>1.0</v>
      </c>
      <c r="K2728" s="8">
        <v>1.0</v>
      </c>
      <c r="L2728" s="8">
        <v>6.0</v>
      </c>
      <c r="M2728" s="8"/>
      <c r="N2728" s="8"/>
      <c r="O2728" s="8" t="s">
        <v>820</v>
      </c>
      <c r="P2728" s="8" t="e">
        <v>#N/A</v>
      </c>
    </row>
    <row r="2729">
      <c r="A2729">
        <f>IFERROR(__xludf.DUMMYFUNCTION("""COMPUTED_VALUE"""),7.0)</f>
        <v>7</v>
      </c>
      <c r="B2729">
        <f>IFERROR(__xludf.DUMMYFUNCTION("""COMPUTED_VALUE"""),30082.0)</f>
        <v>30082</v>
      </c>
      <c r="C2729" t="str">
        <f>IFERROR(__xludf.DUMMYFUNCTION("""COMPUTED_VALUE"""),"MONSALVE HOYOS, JUAN JOSE")</f>
        <v>MONSALVE HOYOS, JUAN JOSE</v>
      </c>
      <c r="D2729" t="str">
        <f>IFERROR(__xludf.DUMMYFUNCTION("""COMPUTED_VALUE"""),"Art 7S1")</f>
        <v>Art 7S1</v>
      </c>
      <c r="E2729" s="31" t="str">
        <f>IFERROR(__xludf.DUMMYFUNCTION("""COMPUTED_VALUE"""),"2b")</f>
        <v>2b</v>
      </c>
      <c r="F2729" s="8">
        <v>1.0</v>
      </c>
      <c r="G2729" s="8">
        <v>1.0</v>
      </c>
      <c r="H2729" s="8">
        <v>1.0</v>
      </c>
      <c r="I2729" s="8">
        <v>1.0</v>
      </c>
      <c r="J2729" s="8">
        <v>1.0</v>
      </c>
      <c r="K2729" s="8">
        <v>1.0</v>
      </c>
      <c r="L2729" s="8">
        <v>6.0</v>
      </c>
      <c r="M2729" s="8"/>
      <c r="N2729" s="8"/>
      <c r="O2729" s="8" t="s">
        <v>825</v>
      </c>
      <c r="P2729" s="8" t="e">
        <v>#N/A</v>
      </c>
    </row>
    <row r="2730">
      <c r="A2730">
        <f>IFERROR(__xludf.DUMMYFUNCTION("""COMPUTED_VALUE"""),7.0)</f>
        <v>7</v>
      </c>
      <c r="B2730">
        <f>IFERROR(__xludf.DUMMYFUNCTION("""COMPUTED_VALUE"""),30142.0)</f>
        <v>30142</v>
      </c>
      <c r="C2730" t="str">
        <f>IFERROR(__xludf.DUMMYFUNCTION("""COMPUTED_VALUE"""),"MONTOYA GOMEZ, RAFAELA")</f>
        <v>MONTOYA GOMEZ, RAFAELA</v>
      </c>
      <c r="D2730" t="str">
        <f>IFERROR(__xludf.DUMMYFUNCTION("""COMPUTED_VALUE"""),"Art 7S1")</f>
        <v>Art 7S1</v>
      </c>
      <c r="E2730" s="31" t="str">
        <f>IFERROR(__xludf.DUMMYFUNCTION("""COMPUTED_VALUE"""),"6a")</f>
        <v>6a</v>
      </c>
      <c r="F2730" s="8">
        <v>1.0</v>
      </c>
      <c r="G2730" s="8">
        <v>1.0</v>
      </c>
      <c r="H2730" s="8">
        <v>1.0</v>
      </c>
      <c r="I2730" s="8">
        <v>1.0</v>
      </c>
      <c r="J2730" s="8">
        <v>1.0</v>
      </c>
      <c r="K2730" s="8">
        <v>1.0</v>
      </c>
      <c r="L2730" s="8">
        <v>6.0</v>
      </c>
      <c r="M2730" s="8"/>
      <c r="N2730" s="8"/>
      <c r="O2730" s="8" t="s">
        <v>821</v>
      </c>
      <c r="P2730" s="8" t="e">
        <v>#N/A</v>
      </c>
    </row>
    <row r="2731">
      <c r="A2731">
        <f>IFERROR(__xludf.DUMMYFUNCTION("""COMPUTED_VALUE"""),7.0)</f>
        <v>7</v>
      </c>
      <c r="B2731">
        <f>IFERROR(__xludf.DUMMYFUNCTION("""COMPUTED_VALUE"""),30084.0)</f>
        <v>30084</v>
      </c>
      <c r="C2731" t="str">
        <f>IFERROR(__xludf.DUMMYFUNCTION("""COMPUTED_VALUE"""),"MONTOYA OCHOA, SARA")</f>
        <v>MONTOYA OCHOA, SARA</v>
      </c>
      <c r="D2731" t="str">
        <f>IFERROR(__xludf.DUMMYFUNCTION("""COMPUTED_VALUE"""),"Tech 7S1")</f>
        <v>Tech 7S1</v>
      </c>
      <c r="E2731" s="31" t="str">
        <f>IFERROR(__xludf.DUMMYFUNCTION("""COMPUTED_VALUE"""),"1a")</f>
        <v>1a</v>
      </c>
      <c r="F2731" s="8">
        <v>1.0</v>
      </c>
      <c r="G2731" s="8">
        <v>1.0</v>
      </c>
      <c r="H2731" s="8">
        <v>1.0</v>
      </c>
      <c r="I2731" s="8">
        <v>1.0</v>
      </c>
      <c r="J2731" s="8">
        <v>1.0</v>
      </c>
      <c r="K2731" s="8">
        <v>1.0</v>
      </c>
      <c r="L2731" s="8">
        <v>6.0</v>
      </c>
      <c r="M2731" s="8"/>
      <c r="N2731" s="8"/>
      <c r="O2731" s="8" t="s">
        <v>824</v>
      </c>
      <c r="P2731" s="8" t="e">
        <v>#N/A</v>
      </c>
    </row>
    <row r="2732">
      <c r="A2732">
        <f>IFERROR(__xludf.DUMMYFUNCTION("""COMPUTED_VALUE"""),7.0)</f>
        <v>7</v>
      </c>
      <c r="B2732">
        <f>IFERROR(__xludf.DUMMYFUNCTION("""COMPUTED_VALUE"""),30085.0)</f>
        <v>30085</v>
      </c>
      <c r="C2732" t="str">
        <f>IFERROR(__xludf.DUMMYFUNCTION("""COMPUTED_VALUE"""),"MORA LE FLOHIC, AGUSTIN")</f>
        <v>MORA LE FLOHIC, AGUSTIN</v>
      </c>
      <c r="D2732" t="str">
        <f>IFERROR(__xludf.DUMMYFUNCTION("""COMPUTED_VALUE"""),"Art 7S1")</f>
        <v>Art 7S1</v>
      </c>
      <c r="E2732" s="31" t="str">
        <f>IFERROR(__xludf.DUMMYFUNCTION("""COMPUTED_VALUE"""),"2b")</f>
        <v>2b</v>
      </c>
      <c r="F2732" s="8">
        <v>1.0</v>
      </c>
      <c r="G2732" s="8">
        <v>1.0</v>
      </c>
      <c r="H2732" s="8">
        <v>1.0</v>
      </c>
      <c r="I2732" s="8">
        <v>1.0</v>
      </c>
      <c r="J2732" s="8">
        <v>1.0</v>
      </c>
      <c r="K2732" s="8">
        <v>1.0</v>
      </c>
      <c r="L2732" s="8">
        <v>6.0</v>
      </c>
      <c r="M2732" s="8"/>
      <c r="N2732" s="8"/>
      <c r="O2732" s="8" t="s">
        <v>825</v>
      </c>
      <c r="P2732" s="8" t="e">
        <v>#N/A</v>
      </c>
    </row>
    <row r="2733">
      <c r="A2733">
        <f>IFERROR(__xludf.DUMMYFUNCTION("""COMPUTED_VALUE"""),7.0)</f>
        <v>7</v>
      </c>
      <c r="B2733">
        <f>IFERROR(__xludf.DUMMYFUNCTION("""COMPUTED_VALUE"""),30086.0)</f>
        <v>30086</v>
      </c>
      <c r="C2733" t="str">
        <f>IFERROR(__xludf.DUMMYFUNCTION("""COMPUTED_VALUE"""),"MORA MEJIA, EMILIA")</f>
        <v>MORA MEJIA, EMILIA</v>
      </c>
      <c r="D2733" t="str">
        <f>IFERROR(__xludf.DUMMYFUNCTION("""COMPUTED_VALUE"""),"Art 7S1")</f>
        <v>Art 7S1</v>
      </c>
      <c r="E2733" s="31" t="str">
        <f>IFERROR(__xludf.DUMMYFUNCTION("""COMPUTED_VALUE"""),"6a")</f>
        <v>6a</v>
      </c>
      <c r="F2733" s="8">
        <v>1.0</v>
      </c>
      <c r="G2733" s="8">
        <v>1.0</v>
      </c>
      <c r="H2733" s="8">
        <v>1.0</v>
      </c>
      <c r="I2733" s="8">
        <v>1.0</v>
      </c>
      <c r="J2733" s="8">
        <v>1.0</v>
      </c>
      <c r="K2733" s="8">
        <v>1.0</v>
      </c>
      <c r="L2733" s="8">
        <v>6.0</v>
      </c>
      <c r="M2733" s="8"/>
      <c r="N2733" s="8"/>
      <c r="O2733" s="8" t="s">
        <v>821</v>
      </c>
      <c r="P2733" s="8" t="e">
        <v>#N/A</v>
      </c>
    </row>
    <row r="2734">
      <c r="A2734">
        <f>IFERROR(__xludf.DUMMYFUNCTION("""COMPUTED_VALUE"""),7.0)</f>
        <v>7</v>
      </c>
      <c r="B2734">
        <f>IFERROR(__xludf.DUMMYFUNCTION("""COMPUTED_VALUE"""),30087.0)</f>
        <v>30087</v>
      </c>
      <c r="C2734" t="str">
        <f>IFERROR(__xludf.DUMMYFUNCTION("""COMPUTED_VALUE"""),"MORENO BETANCOURT, LUCIANA")</f>
        <v>MORENO BETANCOURT, LUCIANA</v>
      </c>
      <c r="D2734" t="str">
        <f>IFERROR(__xludf.DUMMYFUNCTION("""COMPUTED_VALUE"""),"Art 7S1")</f>
        <v>Art 7S1</v>
      </c>
      <c r="E2734" s="31" t="str">
        <f>IFERROR(__xludf.DUMMYFUNCTION("""COMPUTED_VALUE"""),"1a")</f>
        <v>1a</v>
      </c>
      <c r="F2734" s="8">
        <v>1.0</v>
      </c>
      <c r="G2734" s="8">
        <v>1.0</v>
      </c>
      <c r="H2734" s="8">
        <v>1.0</v>
      </c>
      <c r="I2734" s="8">
        <v>1.0</v>
      </c>
      <c r="J2734" s="8">
        <v>1.0</v>
      </c>
      <c r="K2734" s="8">
        <v>1.0</v>
      </c>
      <c r="L2734" s="8">
        <v>6.0</v>
      </c>
      <c r="M2734" s="8"/>
      <c r="N2734" s="8"/>
      <c r="O2734" s="8" t="s">
        <v>823</v>
      </c>
      <c r="P2734" s="8" t="e">
        <v>#N/A</v>
      </c>
    </row>
    <row r="2735">
      <c r="A2735">
        <f>IFERROR(__xludf.DUMMYFUNCTION("""COMPUTED_VALUE"""),7.0)</f>
        <v>7</v>
      </c>
      <c r="B2735">
        <f>IFERROR(__xludf.DUMMYFUNCTION("""COMPUTED_VALUE"""),30161.0)</f>
        <v>30161</v>
      </c>
      <c r="C2735" t="str">
        <f>IFERROR(__xludf.DUMMYFUNCTION("""COMPUTED_VALUE"""),"NAVARRA GOMEZ, CHLOE")</f>
        <v>NAVARRA GOMEZ, CHLOE</v>
      </c>
      <c r="D2735" t="str">
        <f>IFERROR(__xludf.DUMMYFUNCTION("""COMPUTED_VALUE"""),"Band 7S1")</f>
        <v>Band 7S1</v>
      </c>
      <c r="E2735" s="31" t="str">
        <f>IFERROR(__xludf.DUMMYFUNCTION("""COMPUTED_VALUE"""),"4b")</f>
        <v>4b</v>
      </c>
      <c r="F2735" s="8">
        <v>1.0</v>
      </c>
      <c r="G2735" s="8">
        <v>1.0</v>
      </c>
      <c r="H2735" s="8">
        <v>1.0</v>
      </c>
      <c r="I2735" s="8">
        <v>1.0</v>
      </c>
      <c r="J2735" s="8">
        <v>1.0</v>
      </c>
      <c r="K2735" s="8">
        <v>1.0</v>
      </c>
      <c r="L2735" s="8">
        <v>6.0</v>
      </c>
      <c r="M2735" s="8"/>
      <c r="N2735" s="8"/>
      <c r="O2735" s="8" t="s">
        <v>818</v>
      </c>
      <c r="P2735" s="8" t="e">
        <v>#N/A</v>
      </c>
    </row>
    <row r="2736">
      <c r="A2736">
        <f>IFERROR(__xludf.DUMMYFUNCTION("""COMPUTED_VALUE"""),7.0)</f>
        <v>7</v>
      </c>
      <c r="B2736">
        <f>IFERROR(__xludf.DUMMYFUNCTION("""COMPUTED_VALUE"""),30089.0)</f>
        <v>30089</v>
      </c>
      <c r="C2736" t="str">
        <f>IFERROR(__xludf.DUMMYFUNCTION("""COMPUTED_VALUE"""),"NAVARRO RAMIREZ, LUCAS")</f>
        <v>NAVARRO RAMIREZ, LUCAS</v>
      </c>
      <c r="D2736" t="str">
        <f>IFERROR(__xludf.DUMMYFUNCTION("""COMPUTED_VALUE"""),"Band 7S1")</f>
        <v>Band 7S1</v>
      </c>
      <c r="E2736" s="31" t="str">
        <f>IFERROR(__xludf.DUMMYFUNCTION("""COMPUTED_VALUE"""),"2b")</f>
        <v>2b</v>
      </c>
      <c r="F2736" s="8">
        <v>1.0</v>
      </c>
      <c r="G2736" s="8">
        <v>1.0</v>
      </c>
      <c r="H2736" s="8">
        <v>1.0</v>
      </c>
      <c r="I2736" s="8">
        <v>1.0</v>
      </c>
      <c r="J2736" s="8">
        <v>1.0</v>
      </c>
      <c r="K2736" s="8">
        <v>1.0</v>
      </c>
      <c r="L2736" s="8">
        <v>6.0</v>
      </c>
      <c r="M2736" s="8"/>
      <c r="N2736" s="8"/>
      <c r="O2736" s="8" t="s">
        <v>820</v>
      </c>
      <c r="P2736" s="8" t="e">
        <v>#N/A</v>
      </c>
    </row>
    <row r="2737">
      <c r="A2737">
        <f>IFERROR(__xludf.DUMMYFUNCTION("""COMPUTED_VALUE"""),7.0)</f>
        <v>7</v>
      </c>
      <c r="B2737">
        <f>IFERROR(__xludf.DUMMYFUNCTION("""COMPUTED_VALUE"""),30090.0)</f>
        <v>30090</v>
      </c>
      <c r="C2737" t="str">
        <f>IFERROR(__xludf.DUMMYFUNCTION("""COMPUTED_VALUE"""),"NEUMANN MARQUEZ, JERONIMO")</f>
        <v>NEUMANN MARQUEZ, JERONIMO</v>
      </c>
      <c r="D2737" t="str">
        <f>IFERROR(__xludf.DUMMYFUNCTION("""COMPUTED_VALUE"""),"Art 7S1")</f>
        <v>Art 7S1</v>
      </c>
      <c r="E2737" s="31" t="str">
        <f>IFERROR(__xludf.DUMMYFUNCTION("""COMPUTED_VALUE"""),"2b")</f>
        <v>2b</v>
      </c>
      <c r="F2737" s="8">
        <v>1.0</v>
      </c>
      <c r="G2737" s="8">
        <v>1.0</v>
      </c>
      <c r="H2737" s="8">
        <v>1.0</v>
      </c>
      <c r="I2737" s="8">
        <v>1.0</v>
      </c>
      <c r="J2737" s="8">
        <v>1.0</v>
      </c>
      <c r="K2737" s="8">
        <v>1.0</v>
      </c>
      <c r="L2737" s="8">
        <v>6.0</v>
      </c>
      <c r="M2737" s="8"/>
      <c r="N2737" s="8"/>
      <c r="O2737" s="8" t="s">
        <v>825</v>
      </c>
      <c r="P2737" s="8" t="e">
        <v>#N/A</v>
      </c>
    </row>
    <row r="2738">
      <c r="A2738">
        <f>IFERROR(__xludf.DUMMYFUNCTION("""COMPUTED_VALUE"""),7.0)</f>
        <v>7</v>
      </c>
      <c r="B2738">
        <f>IFERROR(__xludf.DUMMYFUNCTION("""COMPUTED_VALUE"""),30172.0)</f>
        <v>30172</v>
      </c>
      <c r="C2738" t="str">
        <f>IFERROR(__xludf.DUMMYFUNCTION("""COMPUTED_VALUE"""),"OLIVA, EMMA")</f>
        <v>OLIVA, EMMA</v>
      </c>
      <c r="D2738" t="str">
        <f>IFERROR(__xludf.DUMMYFUNCTION("""COMPUTED_VALUE"""),"Band 7S1")</f>
        <v>Band 7S1</v>
      </c>
      <c r="E2738" s="31" t="str">
        <f>IFERROR(__xludf.DUMMYFUNCTION("""COMPUTED_VALUE"""),"1a")</f>
        <v>1a</v>
      </c>
      <c r="F2738" s="8">
        <v>1.0</v>
      </c>
      <c r="G2738" s="8">
        <v>1.0</v>
      </c>
      <c r="H2738" s="8">
        <v>1.0</v>
      </c>
      <c r="I2738" s="8">
        <v>1.0</v>
      </c>
      <c r="J2738" s="8">
        <v>1.0</v>
      </c>
      <c r="K2738" s="8">
        <v>1.0</v>
      </c>
      <c r="L2738" s="8">
        <v>6.0</v>
      </c>
      <c r="M2738" s="8"/>
      <c r="N2738" s="8"/>
      <c r="O2738" s="8" t="s">
        <v>822</v>
      </c>
      <c r="P2738" s="8" t="e">
        <v>#N/A</v>
      </c>
    </row>
    <row r="2739">
      <c r="A2739">
        <f>IFERROR(__xludf.DUMMYFUNCTION("""COMPUTED_VALUE"""),7.0)</f>
        <v>7</v>
      </c>
      <c r="B2739">
        <f>IFERROR(__xludf.DUMMYFUNCTION("""COMPUTED_VALUE"""),30158.0)</f>
        <v>30158</v>
      </c>
      <c r="C2739" t="str">
        <f>IFERROR(__xludf.DUMMYFUNCTION("""COMPUTED_VALUE"""),"OROZCO RINCON, VALERIA")</f>
        <v>OROZCO RINCON, VALERIA</v>
      </c>
      <c r="D2739" t="str">
        <f>IFERROR(__xludf.DUMMYFUNCTION("""COMPUTED_VALUE"""),"Art 7S1")</f>
        <v>Art 7S1</v>
      </c>
      <c r="E2739" s="31" t="str">
        <f>IFERROR(__xludf.DUMMYFUNCTION("""COMPUTED_VALUE"""),"6a")</f>
        <v>6a</v>
      </c>
      <c r="F2739" s="8">
        <v>1.0</v>
      </c>
      <c r="G2739" s="8">
        <v>1.0</v>
      </c>
      <c r="H2739" s="8">
        <v>1.0</v>
      </c>
      <c r="I2739" s="8">
        <v>1.0</v>
      </c>
      <c r="J2739" s="8">
        <v>1.0</v>
      </c>
      <c r="K2739" s="8">
        <v>1.0</v>
      </c>
      <c r="L2739" s="8">
        <v>6.0</v>
      </c>
      <c r="M2739" s="8"/>
      <c r="N2739" s="8"/>
      <c r="O2739" s="8" t="s">
        <v>821</v>
      </c>
      <c r="P2739" s="8" t="e">
        <v>#N/A</v>
      </c>
    </row>
    <row r="2740">
      <c r="A2740">
        <f>IFERROR(__xludf.DUMMYFUNCTION("""COMPUTED_VALUE"""),7.0)</f>
        <v>7</v>
      </c>
      <c r="B2740">
        <f>IFERROR(__xludf.DUMMYFUNCTION("""COMPUTED_VALUE"""),30153.0)</f>
        <v>30153</v>
      </c>
      <c r="C2740" t="str">
        <f>IFERROR(__xludf.DUMMYFUNCTION("""COMPUTED_VALUE"""),"ORTEGA OCHOA, LORENZO")</f>
        <v>ORTEGA OCHOA, LORENZO</v>
      </c>
      <c r="D2740" t="str">
        <f>IFERROR(__xludf.DUMMYFUNCTION("""COMPUTED_VALUE"""),"Band 7S1")</f>
        <v>Band 7S1</v>
      </c>
      <c r="E2740" s="31" t="str">
        <f>IFERROR(__xludf.DUMMYFUNCTION("""COMPUTED_VALUE"""),"2b")</f>
        <v>2b</v>
      </c>
      <c r="F2740" s="8">
        <v>1.0</v>
      </c>
      <c r="G2740" s="8">
        <v>1.0</v>
      </c>
      <c r="H2740" s="8">
        <v>1.0</v>
      </c>
      <c r="I2740" s="8">
        <v>1.0</v>
      </c>
      <c r="J2740" s="8">
        <v>1.0</v>
      </c>
      <c r="K2740" s="8">
        <v>1.0</v>
      </c>
      <c r="L2740" s="8">
        <v>6.0</v>
      </c>
      <c r="M2740" s="8"/>
      <c r="N2740" s="8"/>
      <c r="O2740" s="8" t="s">
        <v>820</v>
      </c>
      <c r="P2740" s="8" t="e">
        <v>#N/A</v>
      </c>
    </row>
    <row r="2741">
      <c r="A2741">
        <f>IFERROR(__xludf.DUMMYFUNCTION("""COMPUTED_VALUE"""),7.0)</f>
        <v>7</v>
      </c>
      <c r="B2741">
        <f>IFERROR(__xludf.DUMMYFUNCTION("""COMPUTED_VALUE"""),30154.0)</f>
        <v>30154</v>
      </c>
      <c r="C2741" t="str">
        <f>IFERROR(__xludf.DUMMYFUNCTION("""COMPUTED_VALUE"""),"ORTEGA OCHOA, MARIA DEL MAR")</f>
        <v>ORTEGA OCHOA, MARIA DEL MAR</v>
      </c>
      <c r="D2741" t="str">
        <f>IFERROR(__xludf.DUMMYFUNCTION("""COMPUTED_VALUE"""),"Band 7S1")</f>
        <v>Band 7S1</v>
      </c>
      <c r="E2741" s="31" t="str">
        <f>IFERROR(__xludf.DUMMYFUNCTION("""COMPUTED_VALUE"""),"4b")</f>
        <v>4b</v>
      </c>
      <c r="F2741" s="8">
        <v>1.0</v>
      </c>
      <c r="G2741" s="8">
        <v>1.0</v>
      </c>
      <c r="H2741" s="8">
        <v>1.0</v>
      </c>
      <c r="I2741" s="8">
        <v>1.0</v>
      </c>
      <c r="J2741" s="8">
        <v>1.0</v>
      </c>
      <c r="K2741" s="8">
        <v>1.0</v>
      </c>
      <c r="L2741" s="8">
        <v>6.0</v>
      </c>
      <c r="M2741" s="8"/>
      <c r="N2741" s="8"/>
      <c r="O2741" s="8" t="s">
        <v>818</v>
      </c>
      <c r="P2741" s="8" t="e">
        <v>#N/A</v>
      </c>
    </row>
    <row r="2742">
      <c r="A2742">
        <f>IFERROR(__xludf.DUMMYFUNCTION("""COMPUTED_VALUE"""),7.0)</f>
        <v>7</v>
      </c>
      <c r="B2742">
        <f>IFERROR(__xludf.DUMMYFUNCTION("""COMPUTED_VALUE"""),30141.0)</f>
        <v>30141</v>
      </c>
      <c r="C2742" t="str">
        <f>IFERROR(__xludf.DUMMYFUNCTION("""COMPUTED_VALUE"""),"OSORIO PATIÑO, MIRANDA")</f>
        <v>OSORIO PATIÑO, MIRANDA</v>
      </c>
      <c r="D2742" t="str">
        <f>IFERROR(__xludf.DUMMYFUNCTION("""COMPUTED_VALUE"""),"Band 7S1")</f>
        <v>Band 7S1</v>
      </c>
      <c r="E2742" s="31" t="str">
        <f>IFERROR(__xludf.DUMMYFUNCTION("""COMPUTED_VALUE"""),"1a")</f>
        <v>1a</v>
      </c>
      <c r="F2742" s="8">
        <v>1.0</v>
      </c>
      <c r="G2742" s="8">
        <v>1.0</v>
      </c>
      <c r="H2742" s="8">
        <v>1.0</v>
      </c>
      <c r="I2742" s="8">
        <v>1.0</v>
      </c>
      <c r="J2742" s="8">
        <v>1.0</v>
      </c>
      <c r="K2742" s="8">
        <v>1.0</v>
      </c>
      <c r="L2742" s="8">
        <v>6.0</v>
      </c>
      <c r="M2742" s="8"/>
      <c r="N2742" s="8"/>
      <c r="O2742" s="8" t="s">
        <v>822</v>
      </c>
      <c r="P2742" s="8" t="e">
        <v>#N/A</v>
      </c>
    </row>
    <row r="2743">
      <c r="A2743">
        <f>IFERROR(__xludf.DUMMYFUNCTION("""COMPUTED_VALUE"""),7.0)</f>
        <v>7</v>
      </c>
      <c r="B2743">
        <f>IFERROR(__xludf.DUMMYFUNCTION("""COMPUTED_VALUE"""),30092.0)</f>
        <v>30092</v>
      </c>
      <c r="C2743" t="str">
        <f>IFERROR(__xludf.DUMMYFUNCTION("""COMPUTED_VALUE"""),"OSPINA ESCOBAR, SOFIA")</f>
        <v>OSPINA ESCOBAR, SOFIA</v>
      </c>
      <c r="D2743" t="str">
        <f>IFERROR(__xludf.DUMMYFUNCTION("""COMPUTED_VALUE"""),"Band 7S1")</f>
        <v>Band 7S1</v>
      </c>
      <c r="E2743" s="31" t="str">
        <f>IFERROR(__xludf.DUMMYFUNCTION("""COMPUTED_VALUE"""),"4b")</f>
        <v>4b</v>
      </c>
      <c r="F2743" s="8">
        <v>1.0</v>
      </c>
      <c r="G2743" s="8">
        <v>1.0</v>
      </c>
      <c r="H2743" s="8">
        <v>1.0</v>
      </c>
      <c r="I2743" s="8">
        <v>1.0</v>
      </c>
      <c r="J2743" s="8">
        <v>1.0</v>
      </c>
      <c r="K2743" s="8">
        <v>1.0</v>
      </c>
      <c r="L2743" s="8">
        <v>6.0</v>
      </c>
      <c r="M2743" s="8"/>
      <c r="N2743" s="8"/>
      <c r="O2743" s="8" t="s">
        <v>818</v>
      </c>
      <c r="P2743" s="8" t="e">
        <v>#N/A</v>
      </c>
    </row>
    <row r="2744">
      <c r="A2744">
        <f>IFERROR(__xludf.DUMMYFUNCTION("""COMPUTED_VALUE"""),7.0)</f>
        <v>7</v>
      </c>
      <c r="B2744">
        <f>IFERROR(__xludf.DUMMYFUNCTION("""COMPUTED_VALUE"""),30093.0)</f>
        <v>30093</v>
      </c>
      <c r="C2744" t="str">
        <f>IFERROR(__xludf.DUMMYFUNCTION("""COMPUTED_VALUE"""),"OSPINA RESTREPO, RAFAEL")</f>
        <v>OSPINA RESTREPO, RAFAEL</v>
      </c>
      <c r="D2744" t="str">
        <f>IFERROR(__xludf.DUMMYFUNCTION("""COMPUTED_VALUE"""),"Band 7S1")</f>
        <v>Band 7S1</v>
      </c>
      <c r="E2744" s="31" t="str">
        <f>IFERROR(__xludf.DUMMYFUNCTION("""COMPUTED_VALUE"""),"2b")</f>
        <v>2b</v>
      </c>
      <c r="F2744" s="8">
        <v>1.0</v>
      </c>
      <c r="G2744" s="8">
        <v>1.0</v>
      </c>
      <c r="H2744" s="8">
        <v>1.0</v>
      </c>
      <c r="I2744" s="8">
        <v>1.0</v>
      </c>
      <c r="J2744" s="8">
        <v>1.0</v>
      </c>
      <c r="K2744" s="8">
        <v>1.0</v>
      </c>
      <c r="L2744" s="8">
        <v>6.0</v>
      </c>
      <c r="M2744" s="8"/>
      <c r="N2744" s="8"/>
      <c r="O2744" s="8" t="s">
        <v>820</v>
      </c>
      <c r="P2744" s="8" t="e">
        <v>#N/A</v>
      </c>
    </row>
    <row r="2745">
      <c r="A2745">
        <f>IFERROR(__xludf.DUMMYFUNCTION("""COMPUTED_VALUE"""),7.0)</f>
        <v>7</v>
      </c>
      <c r="B2745">
        <f>IFERROR(__xludf.DUMMYFUNCTION("""COMPUTED_VALUE"""),30173.0)</f>
        <v>30173</v>
      </c>
      <c r="C2745" t="str">
        <f>IFERROR(__xludf.DUMMYFUNCTION("""COMPUTED_VALUE"""),"PARAMO VELASQUEZ, ISABEL")</f>
        <v>PARAMO VELASQUEZ, ISABEL</v>
      </c>
      <c r="D2745" t="str">
        <f>IFERROR(__xludf.DUMMYFUNCTION("""COMPUTED_VALUE"""),"Tech 7S1")</f>
        <v>Tech 7S1</v>
      </c>
      <c r="E2745" s="31" t="str">
        <f>IFERROR(__xludf.DUMMYFUNCTION("""COMPUTED_VALUE"""),"1a")</f>
        <v>1a</v>
      </c>
      <c r="F2745" s="8">
        <v>1.0</v>
      </c>
      <c r="G2745" s="8">
        <v>1.0</v>
      </c>
      <c r="H2745" s="8">
        <v>1.0</v>
      </c>
      <c r="I2745" s="8">
        <v>1.0</v>
      </c>
      <c r="J2745" s="8">
        <v>1.0</v>
      </c>
      <c r="K2745" s="8">
        <v>1.0</v>
      </c>
      <c r="L2745" s="8">
        <v>6.0</v>
      </c>
      <c r="M2745" s="8"/>
      <c r="N2745" s="8"/>
      <c r="O2745" s="8" t="s">
        <v>824</v>
      </c>
      <c r="P2745" s="8" t="e">
        <v>#N/A</v>
      </c>
    </row>
    <row r="2746">
      <c r="A2746">
        <f>IFERROR(__xludf.DUMMYFUNCTION("""COMPUTED_VALUE"""),7.0)</f>
        <v>7</v>
      </c>
      <c r="B2746">
        <f>IFERROR(__xludf.DUMMYFUNCTION("""COMPUTED_VALUE"""),30094.0)</f>
        <v>30094</v>
      </c>
      <c r="C2746" t="str">
        <f>IFERROR(__xludf.DUMMYFUNCTION("""COMPUTED_VALUE"""),"PELAEZ PIEDRAHITA, MARTIN")</f>
        <v>PELAEZ PIEDRAHITA, MARTIN</v>
      </c>
      <c r="D2746" t="str">
        <f>IFERROR(__xludf.DUMMYFUNCTION("""COMPUTED_VALUE"""),"Band 7S1")</f>
        <v>Band 7S1</v>
      </c>
      <c r="E2746" s="31" t="str">
        <f>IFERROR(__xludf.DUMMYFUNCTION("""COMPUTED_VALUE"""),"4b")</f>
        <v>4b</v>
      </c>
      <c r="F2746" s="8">
        <v>1.0</v>
      </c>
      <c r="G2746" s="8">
        <v>1.0</v>
      </c>
      <c r="H2746" s="8">
        <v>1.0</v>
      </c>
      <c r="I2746" s="8">
        <v>1.0</v>
      </c>
      <c r="J2746" s="8">
        <v>1.0</v>
      </c>
      <c r="K2746" s="8">
        <v>1.0</v>
      </c>
      <c r="L2746" s="8">
        <v>6.0</v>
      </c>
      <c r="M2746" s="8"/>
      <c r="N2746" s="8"/>
      <c r="O2746" s="8" t="s">
        <v>818</v>
      </c>
      <c r="P2746" s="8" t="e">
        <v>#N/A</v>
      </c>
    </row>
    <row r="2747">
      <c r="A2747">
        <f>IFERROR(__xludf.DUMMYFUNCTION("""COMPUTED_VALUE"""),7.0)</f>
        <v>7</v>
      </c>
      <c r="B2747">
        <f>IFERROR(__xludf.DUMMYFUNCTION("""COMPUTED_VALUE"""),30095.0)</f>
        <v>30095</v>
      </c>
      <c r="C2747" t="str">
        <f>IFERROR(__xludf.DUMMYFUNCTION("""COMPUTED_VALUE"""),"PENAGOS VELEZ, PEDRO")</f>
        <v>PENAGOS VELEZ, PEDRO</v>
      </c>
      <c r="D2747" t="str">
        <f>IFERROR(__xludf.DUMMYFUNCTION("""COMPUTED_VALUE"""),"Art 7S1")</f>
        <v>Art 7S1</v>
      </c>
      <c r="E2747" s="31" t="str">
        <f>IFERROR(__xludf.DUMMYFUNCTION("""COMPUTED_VALUE"""),"6a")</f>
        <v>6a</v>
      </c>
      <c r="F2747" s="8">
        <v>1.0</v>
      </c>
      <c r="G2747" s="8">
        <v>1.0</v>
      </c>
      <c r="H2747" s="8">
        <v>1.0</v>
      </c>
      <c r="I2747" s="8">
        <v>1.0</v>
      </c>
      <c r="J2747" s="8">
        <v>1.0</v>
      </c>
      <c r="K2747" s="8">
        <v>1.0</v>
      </c>
      <c r="L2747" s="8">
        <v>6.0</v>
      </c>
      <c r="M2747" s="8"/>
      <c r="N2747" s="8"/>
      <c r="O2747" s="8" t="s">
        <v>821</v>
      </c>
      <c r="P2747" s="8" t="e">
        <v>#N/A</v>
      </c>
    </row>
    <row r="2748">
      <c r="A2748">
        <f>IFERROR(__xludf.DUMMYFUNCTION("""COMPUTED_VALUE"""),7.0)</f>
        <v>7</v>
      </c>
      <c r="B2748">
        <f>IFERROR(__xludf.DUMMYFUNCTION("""COMPUTED_VALUE"""),29090.0)</f>
        <v>29090</v>
      </c>
      <c r="C2748" t="str">
        <f>IFERROR(__xludf.DUMMYFUNCTION("""COMPUTED_VALUE"""),"PEREZ DUQUE, MARIA PAZ")</f>
        <v>PEREZ DUQUE, MARIA PAZ</v>
      </c>
      <c r="D2748" t="str">
        <f>IFERROR(__xludf.DUMMYFUNCTION("""COMPUTED_VALUE"""),"Art 7S1")</f>
        <v>Art 7S1</v>
      </c>
      <c r="E2748" s="31" t="str">
        <f>IFERROR(__xludf.DUMMYFUNCTION("""COMPUTED_VALUE"""),"2b")</f>
        <v>2b</v>
      </c>
      <c r="F2748" s="8">
        <v>1.0</v>
      </c>
      <c r="G2748" s="8">
        <v>1.0</v>
      </c>
      <c r="H2748" s="8">
        <v>1.0</v>
      </c>
      <c r="I2748" s="8">
        <v>1.0</v>
      </c>
      <c r="J2748" s="8">
        <v>1.0</v>
      </c>
      <c r="K2748" s="8">
        <v>1.0</v>
      </c>
      <c r="L2748" s="8">
        <v>6.0</v>
      </c>
      <c r="M2748" s="8"/>
      <c r="N2748" s="8"/>
      <c r="O2748" s="8" t="s">
        <v>825</v>
      </c>
      <c r="P2748" s="8" t="e">
        <v>#N/A</v>
      </c>
    </row>
    <row r="2749">
      <c r="A2749">
        <f>IFERROR(__xludf.DUMMYFUNCTION("""COMPUTED_VALUE"""),7.0)</f>
        <v>7</v>
      </c>
      <c r="B2749">
        <f>IFERROR(__xludf.DUMMYFUNCTION("""COMPUTED_VALUE"""),30097.0)</f>
        <v>30097</v>
      </c>
      <c r="C2749" t="str">
        <f>IFERROR(__xludf.DUMMYFUNCTION("""COMPUTED_VALUE"""),"PUERTA TIRADO, JUAN SEBASTIAN")</f>
        <v>PUERTA TIRADO, JUAN SEBASTIAN</v>
      </c>
      <c r="D2749" t="str">
        <f>IFERROR(__xludf.DUMMYFUNCTION("""COMPUTED_VALUE"""),"Art 7S1")</f>
        <v>Art 7S1</v>
      </c>
      <c r="E2749" s="31" t="str">
        <f>IFERROR(__xludf.DUMMYFUNCTION("""COMPUTED_VALUE"""),"1a")</f>
        <v>1a</v>
      </c>
      <c r="F2749" s="8">
        <v>1.0</v>
      </c>
      <c r="G2749" s="8">
        <v>1.0</v>
      </c>
      <c r="H2749" s="8">
        <v>1.0</v>
      </c>
      <c r="I2749" s="8">
        <v>1.0</v>
      </c>
      <c r="J2749" s="8">
        <v>1.0</v>
      </c>
      <c r="K2749" s="8">
        <v>1.0</v>
      </c>
      <c r="L2749" s="8">
        <v>6.0</v>
      </c>
      <c r="M2749" s="8"/>
      <c r="N2749" s="8"/>
      <c r="O2749" s="8" t="s">
        <v>823</v>
      </c>
      <c r="P2749" s="8" t="e">
        <v>#N/A</v>
      </c>
    </row>
    <row r="2750">
      <c r="A2750">
        <f>IFERROR(__xludf.DUMMYFUNCTION("""COMPUTED_VALUE"""),7.0)</f>
        <v>7</v>
      </c>
      <c r="B2750">
        <f>IFERROR(__xludf.DUMMYFUNCTION("""COMPUTED_VALUE"""),30147.0)</f>
        <v>30147</v>
      </c>
      <c r="C2750" t="str">
        <f>IFERROR(__xludf.DUMMYFUNCTION("""COMPUTED_VALUE"""),"RAMIREZ ESCOBAR, ISABELLA")</f>
        <v>RAMIREZ ESCOBAR, ISABELLA</v>
      </c>
      <c r="D2750" t="str">
        <f>IFERROR(__xludf.DUMMYFUNCTION("""COMPUTED_VALUE"""),"Art 7S1")</f>
        <v>Art 7S1</v>
      </c>
      <c r="E2750" s="31" t="str">
        <f>IFERROR(__xludf.DUMMYFUNCTION("""COMPUTED_VALUE"""),"6a")</f>
        <v>6a</v>
      </c>
      <c r="F2750" s="8">
        <v>1.0</v>
      </c>
      <c r="G2750" s="8">
        <v>1.0</v>
      </c>
      <c r="H2750" s="8">
        <v>1.0</v>
      </c>
      <c r="I2750" s="8">
        <v>1.0</v>
      </c>
      <c r="J2750" s="8">
        <v>1.0</v>
      </c>
      <c r="K2750" s="8">
        <v>1.0</v>
      </c>
      <c r="L2750" s="8">
        <v>6.0</v>
      </c>
      <c r="M2750" s="8"/>
      <c r="N2750" s="8"/>
      <c r="O2750" s="8" t="s">
        <v>821</v>
      </c>
      <c r="P2750" s="8" t="e">
        <v>#N/A</v>
      </c>
    </row>
    <row r="2751">
      <c r="A2751">
        <f>IFERROR(__xludf.DUMMYFUNCTION("""COMPUTED_VALUE"""),7.0)</f>
        <v>7</v>
      </c>
      <c r="B2751">
        <f>IFERROR(__xludf.DUMMYFUNCTION("""COMPUTED_VALUE"""),30098.0)</f>
        <v>30098</v>
      </c>
      <c r="C2751" t="str">
        <f>IFERROR(__xludf.DUMMYFUNCTION("""COMPUTED_VALUE"""),"REINOSO TRUJILLO, SANTIAGO")</f>
        <v>REINOSO TRUJILLO, SANTIAGO</v>
      </c>
      <c r="D2751" t="str">
        <f>IFERROR(__xludf.DUMMYFUNCTION("""COMPUTED_VALUE"""),"Band 7S1")</f>
        <v>Band 7S1</v>
      </c>
      <c r="E2751" s="31" t="str">
        <f>IFERROR(__xludf.DUMMYFUNCTION("""COMPUTED_VALUE"""),"1a")</f>
        <v>1a</v>
      </c>
      <c r="F2751" s="8">
        <v>1.0</v>
      </c>
      <c r="G2751" s="8">
        <v>1.0</v>
      </c>
      <c r="H2751" s="8">
        <v>1.0</v>
      </c>
      <c r="I2751" s="8">
        <v>1.0</v>
      </c>
      <c r="J2751" s="8">
        <v>1.0</v>
      </c>
      <c r="K2751" s="8">
        <v>1.0</v>
      </c>
      <c r="L2751" s="8">
        <v>6.0</v>
      </c>
      <c r="M2751" s="8"/>
      <c r="N2751" s="8"/>
      <c r="O2751" s="8" t="s">
        <v>822</v>
      </c>
      <c r="P2751" s="8" t="e">
        <v>#N/A</v>
      </c>
    </row>
    <row r="2752">
      <c r="A2752">
        <f>IFERROR(__xludf.DUMMYFUNCTION("""COMPUTED_VALUE"""),7.0)</f>
        <v>7</v>
      </c>
      <c r="B2752">
        <f>IFERROR(__xludf.DUMMYFUNCTION("""COMPUTED_VALUE"""),30100.0)</f>
        <v>30100</v>
      </c>
      <c r="C2752" t="str">
        <f>IFERROR(__xludf.DUMMYFUNCTION("""COMPUTED_VALUE"""),"RESTREPO QUINTERO, MARTIN")</f>
        <v>RESTREPO QUINTERO, MARTIN</v>
      </c>
      <c r="D2752" t="str">
        <f>IFERROR(__xludf.DUMMYFUNCTION("""COMPUTED_VALUE"""),"Band 7S1")</f>
        <v>Band 7S1</v>
      </c>
      <c r="E2752" s="31" t="str">
        <f>IFERROR(__xludf.DUMMYFUNCTION("""COMPUTED_VALUE"""),"2b")</f>
        <v>2b</v>
      </c>
      <c r="F2752" s="8">
        <v>1.0</v>
      </c>
      <c r="G2752" s="8">
        <v>1.0</v>
      </c>
      <c r="H2752" s="8">
        <v>1.0</v>
      </c>
      <c r="I2752" s="8">
        <v>1.0</v>
      </c>
      <c r="J2752" s="8">
        <v>1.0</v>
      </c>
      <c r="K2752" s="8">
        <v>1.0</v>
      </c>
      <c r="L2752" s="8">
        <v>6.0</v>
      </c>
      <c r="M2752" s="8"/>
      <c r="N2752" s="8"/>
      <c r="O2752" s="8" t="s">
        <v>820</v>
      </c>
      <c r="P2752" s="8" t="e">
        <v>#N/A</v>
      </c>
    </row>
    <row r="2753">
      <c r="A2753">
        <f>IFERROR(__xludf.DUMMYFUNCTION("""COMPUTED_VALUE"""),7.0)</f>
        <v>7</v>
      </c>
      <c r="B2753">
        <f>IFERROR(__xludf.DUMMYFUNCTION("""COMPUTED_VALUE"""),30101.0)</f>
        <v>30101</v>
      </c>
      <c r="C2753" t="str">
        <f>IFERROR(__xludf.DUMMYFUNCTION("""COMPUTED_VALUE"""),"RESTREPO RAMIREZ, MATIAS")</f>
        <v>RESTREPO RAMIREZ, MATIAS</v>
      </c>
      <c r="D2753" t="str">
        <f>IFERROR(__xludf.DUMMYFUNCTION("""COMPUTED_VALUE"""),"Band 7S1")</f>
        <v>Band 7S1</v>
      </c>
      <c r="E2753" s="31" t="str">
        <f>IFERROR(__xludf.DUMMYFUNCTION("""COMPUTED_VALUE"""),"4b")</f>
        <v>4b</v>
      </c>
      <c r="F2753" s="8">
        <v>1.0</v>
      </c>
      <c r="G2753" s="8">
        <v>1.0</v>
      </c>
      <c r="H2753" s="8">
        <v>1.0</v>
      </c>
      <c r="I2753" s="8">
        <v>1.0</v>
      </c>
      <c r="J2753" s="8">
        <v>1.0</v>
      </c>
      <c r="K2753" s="8">
        <v>1.0</v>
      </c>
      <c r="L2753" s="8">
        <v>6.0</v>
      </c>
      <c r="M2753" s="8"/>
      <c r="N2753" s="8"/>
      <c r="O2753" s="8" t="s">
        <v>818</v>
      </c>
      <c r="P2753" s="8" t="e">
        <v>#N/A</v>
      </c>
    </row>
    <row r="2754">
      <c r="A2754">
        <f>IFERROR(__xludf.DUMMYFUNCTION("""COMPUTED_VALUE"""),7.0)</f>
        <v>7</v>
      </c>
      <c r="B2754">
        <f>IFERROR(__xludf.DUMMYFUNCTION("""COMPUTED_VALUE"""),29102.0)</f>
        <v>29102</v>
      </c>
      <c r="C2754" t="str">
        <f>IFERROR(__xludf.DUMMYFUNCTION("""COMPUTED_VALUE"""),"ROJAS SANCHEZ, SAMUEL")</f>
        <v>ROJAS SANCHEZ, SAMUEL</v>
      </c>
      <c r="D2754" t="str">
        <f>IFERROR(__xludf.DUMMYFUNCTION("""COMPUTED_VALUE"""),"Band 7S1")</f>
        <v>Band 7S1</v>
      </c>
      <c r="E2754" s="31" t="str">
        <f>IFERROR(__xludf.DUMMYFUNCTION("""COMPUTED_VALUE"""),"1a")</f>
        <v>1a</v>
      </c>
      <c r="F2754" s="8">
        <v>1.0</v>
      </c>
      <c r="G2754" s="8">
        <v>1.0</v>
      </c>
      <c r="H2754" s="8">
        <v>1.0</v>
      </c>
      <c r="I2754" s="8">
        <v>1.0</v>
      </c>
      <c r="J2754" s="8">
        <v>1.0</v>
      </c>
      <c r="K2754" s="8">
        <v>1.0</v>
      </c>
      <c r="L2754" s="8">
        <v>6.0</v>
      </c>
      <c r="M2754" s="8"/>
      <c r="N2754" s="8"/>
      <c r="O2754" s="8" t="s">
        <v>822</v>
      </c>
      <c r="P2754" s="8" t="e">
        <v>#N/A</v>
      </c>
    </row>
    <row r="2755">
      <c r="A2755">
        <f>IFERROR(__xludf.DUMMYFUNCTION("""COMPUTED_VALUE"""),7.0)</f>
        <v>7</v>
      </c>
      <c r="B2755">
        <f>IFERROR(__xludf.DUMMYFUNCTION("""COMPUTED_VALUE"""),30102.0)</f>
        <v>30102</v>
      </c>
      <c r="C2755" t="str">
        <f>IFERROR(__xludf.DUMMYFUNCTION("""COMPUTED_VALUE"""),"RUIZ ROLDAN, LAURA")</f>
        <v>RUIZ ROLDAN, LAURA</v>
      </c>
      <c r="D2755" t="str">
        <f>IFERROR(__xludf.DUMMYFUNCTION("""COMPUTED_VALUE"""),"Band 7S1")</f>
        <v>Band 7S1</v>
      </c>
      <c r="E2755" s="31" t="str">
        <f>IFERROR(__xludf.DUMMYFUNCTION("""COMPUTED_VALUE"""),"4b")</f>
        <v>4b</v>
      </c>
      <c r="F2755" s="8">
        <v>1.0</v>
      </c>
      <c r="G2755" s="8">
        <v>1.0</v>
      </c>
      <c r="H2755" s="8">
        <v>1.0</v>
      </c>
      <c r="I2755" s="8">
        <v>1.0</v>
      </c>
      <c r="J2755" s="8">
        <v>1.0</v>
      </c>
      <c r="K2755" s="8">
        <v>1.0</v>
      </c>
      <c r="L2755" s="8">
        <v>6.0</v>
      </c>
      <c r="M2755" s="8"/>
      <c r="N2755" s="8"/>
      <c r="O2755" s="8" t="s">
        <v>818</v>
      </c>
      <c r="P2755" s="8" t="e">
        <v>#N/A</v>
      </c>
    </row>
    <row r="2756">
      <c r="A2756">
        <f>IFERROR(__xludf.DUMMYFUNCTION("""COMPUTED_VALUE"""),7.0)</f>
        <v>7</v>
      </c>
      <c r="B2756">
        <f>IFERROR(__xludf.DUMMYFUNCTION("""COMPUTED_VALUE"""),30103.0)</f>
        <v>30103</v>
      </c>
      <c r="C2756" t="str">
        <f>IFERROR(__xludf.DUMMYFUNCTION("""COMPUTED_VALUE"""),"SANCHEZ GONZALEZ, EMILIANA")</f>
        <v>SANCHEZ GONZALEZ, EMILIANA</v>
      </c>
      <c r="D2756" t="str">
        <f>IFERROR(__xludf.DUMMYFUNCTION("""COMPUTED_VALUE"""),"Band 7S1")</f>
        <v>Band 7S1</v>
      </c>
      <c r="E2756" s="31" t="str">
        <f>IFERROR(__xludf.DUMMYFUNCTION("""COMPUTED_VALUE"""),"2b")</f>
        <v>2b</v>
      </c>
      <c r="F2756" s="8">
        <v>1.0</v>
      </c>
      <c r="G2756" s="8">
        <v>1.0</v>
      </c>
      <c r="H2756" s="8">
        <v>1.0</v>
      </c>
      <c r="I2756" s="8">
        <v>1.0</v>
      </c>
      <c r="J2756" s="8">
        <v>1.0</v>
      </c>
      <c r="K2756" s="8">
        <v>1.0</v>
      </c>
      <c r="L2756" s="8">
        <v>6.0</v>
      </c>
      <c r="M2756" s="8"/>
      <c r="N2756" s="8"/>
      <c r="O2756" s="8" t="s">
        <v>820</v>
      </c>
      <c r="P2756" s="8" t="e">
        <v>#N/A</v>
      </c>
    </row>
    <row r="2757">
      <c r="A2757">
        <f>IFERROR(__xludf.DUMMYFUNCTION("""COMPUTED_VALUE"""),7.0)</f>
        <v>7</v>
      </c>
      <c r="B2757">
        <f>IFERROR(__xludf.DUMMYFUNCTION("""COMPUTED_VALUE"""),30104.0)</f>
        <v>30104</v>
      </c>
      <c r="C2757" t="str">
        <f>IFERROR(__xludf.DUMMYFUNCTION("""COMPUTED_VALUE"""),"SIERRA VILLA, RAQUEL")</f>
        <v>SIERRA VILLA, RAQUEL</v>
      </c>
      <c r="D2757" t="str">
        <f>IFERROR(__xludf.DUMMYFUNCTION("""COMPUTED_VALUE"""),"Band 7S1")</f>
        <v>Band 7S1</v>
      </c>
      <c r="E2757" s="31" t="str">
        <f>IFERROR(__xludf.DUMMYFUNCTION("""COMPUTED_VALUE"""),"4b")</f>
        <v>4b</v>
      </c>
      <c r="F2757" s="8">
        <v>1.0</v>
      </c>
      <c r="G2757" s="8">
        <v>1.0</v>
      </c>
      <c r="H2757" s="8">
        <v>1.0</v>
      </c>
      <c r="I2757" s="8">
        <v>1.0</v>
      </c>
      <c r="J2757" s="8">
        <v>1.0</v>
      </c>
      <c r="K2757" s="8">
        <v>1.0</v>
      </c>
      <c r="L2757" s="8">
        <v>6.0</v>
      </c>
      <c r="M2757" s="8"/>
      <c r="N2757" s="8"/>
      <c r="O2757" s="8" t="s">
        <v>818</v>
      </c>
      <c r="P2757" s="8" t="e">
        <v>#N/A</v>
      </c>
    </row>
    <row r="2758">
      <c r="A2758">
        <f>IFERROR(__xludf.DUMMYFUNCTION("""COMPUTED_VALUE"""),7.0)</f>
        <v>7</v>
      </c>
      <c r="B2758">
        <f>IFERROR(__xludf.DUMMYFUNCTION("""COMPUTED_VALUE"""),30105.0)</f>
        <v>30105</v>
      </c>
      <c r="C2758" t="str">
        <f>IFERROR(__xludf.DUMMYFUNCTION("""COMPUTED_VALUE"""),"TOBON RESTREPO, PEDRO")</f>
        <v>TOBON RESTREPO, PEDRO</v>
      </c>
      <c r="D2758" t="str">
        <f>IFERROR(__xludf.DUMMYFUNCTION("""COMPUTED_VALUE"""),"Band 7S1")</f>
        <v>Band 7S1</v>
      </c>
      <c r="E2758" s="31" t="str">
        <f>IFERROR(__xludf.DUMMYFUNCTION("""COMPUTED_VALUE"""),"4b")</f>
        <v>4b</v>
      </c>
      <c r="F2758" s="8">
        <v>1.0</v>
      </c>
      <c r="G2758" s="8">
        <v>1.0</v>
      </c>
      <c r="H2758" s="8">
        <v>1.0</v>
      </c>
      <c r="I2758" s="8">
        <v>1.0</v>
      </c>
      <c r="J2758" s="8">
        <v>1.0</v>
      </c>
      <c r="K2758" s="8">
        <v>1.0</v>
      </c>
      <c r="L2758" s="8">
        <v>6.0</v>
      </c>
      <c r="M2758" s="8"/>
      <c r="N2758" s="8"/>
      <c r="O2758" s="8" t="s">
        <v>818</v>
      </c>
      <c r="P2758" s="8" t="e">
        <v>#N/A</v>
      </c>
    </row>
    <row r="2759">
      <c r="A2759">
        <f>IFERROR(__xludf.DUMMYFUNCTION("""COMPUTED_VALUE"""),7.0)</f>
        <v>7</v>
      </c>
      <c r="B2759">
        <f>IFERROR(__xludf.DUMMYFUNCTION("""COMPUTED_VALUE"""),30106.0)</f>
        <v>30106</v>
      </c>
      <c r="C2759" t="str">
        <f>IFERROR(__xludf.DUMMYFUNCTION("""COMPUTED_VALUE"""),"TORO BOTERO, PEDRO")</f>
        <v>TORO BOTERO, PEDRO</v>
      </c>
      <c r="D2759" t="str">
        <f>IFERROR(__xludf.DUMMYFUNCTION("""COMPUTED_VALUE"""),"Band 7S1")</f>
        <v>Band 7S1</v>
      </c>
      <c r="E2759" s="31" t="str">
        <f>IFERROR(__xludf.DUMMYFUNCTION("""COMPUTED_VALUE"""),"1a")</f>
        <v>1a</v>
      </c>
      <c r="F2759" s="8">
        <v>1.0</v>
      </c>
      <c r="G2759" s="8">
        <v>1.0</v>
      </c>
      <c r="H2759" s="8">
        <v>1.0</v>
      </c>
      <c r="I2759" s="8">
        <v>1.0</v>
      </c>
      <c r="J2759" s="8">
        <v>1.0</v>
      </c>
      <c r="K2759" s="8">
        <v>1.0</v>
      </c>
      <c r="L2759" s="8">
        <v>6.0</v>
      </c>
      <c r="M2759" s="8"/>
      <c r="N2759" s="8"/>
      <c r="O2759" s="8" t="s">
        <v>822</v>
      </c>
      <c r="P2759" s="8" t="e">
        <v>#N/A</v>
      </c>
    </row>
    <row r="2760">
      <c r="A2760">
        <f>IFERROR(__xludf.DUMMYFUNCTION("""COMPUTED_VALUE"""),7.0)</f>
        <v>7</v>
      </c>
      <c r="B2760">
        <f>IFERROR(__xludf.DUMMYFUNCTION("""COMPUTED_VALUE"""),30107.0)</f>
        <v>30107</v>
      </c>
      <c r="C2760" t="str">
        <f>IFERROR(__xludf.DUMMYFUNCTION("""COMPUTED_VALUE"""),"TORRES POSADA, NICOLAS")</f>
        <v>TORRES POSADA, NICOLAS</v>
      </c>
      <c r="D2760" t="str">
        <f>IFERROR(__xludf.DUMMYFUNCTION("""COMPUTED_VALUE"""),"Tech 7S1")</f>
        <v>Tech 7S1</v>
      </c>
      <c r="E2760" s="31" t="str">
        <f>IFERROR(__xludf.DUMMYFUNCTION("""COMPUTED_VALUE"""),"1a")</f>
        <v>1a</v>
      </c>
      <c r="F2760" s="8">
        <v>1.0</v>
      </c>
      <c r="G2760" s="8">
        <v>1.0</v>
      </c>
      <c r="H2760" s="8">
        <v>1.0</v>
      </c>
      <c r="I2760" s="8">
        <v>1.0</v>
      </c>
      <c r="J2760" s="8">
        <v>1.0</v>
      </c>
      <c r="K2760" s="8">
        <v>1.0</v>
      </c>
      <c r="L2760" s="8">
        <v>6.0</v>
      </c>
      <c r="M2760" s="8"/>
      <c r="N2760" s="8"/>
      <c r="O2760" s="8" t="s">
        <v>824</v>
      </c>
      <c r="P2760" s="8" t="e">
        <v>#N/A</v>
      </c>
    </row>
    <row r="2761">
      <c r="A2761">
        <f>IFERROR(__xludf.DUMMYFUNCTION("""COMPUTED_VALUE"""),7.0)</f>
        <v>7</v>
      </c>
      <c r="B2761">
        <f>IFERROR(__xludf.DUMMYFUNCTION("""COMPUTED_VALUE"""),30109.0)</f>
        <v>30109</v>
      </c>
      <c r="C2761" t="str">
        <f>IFERROR(__xludf.DUMMYFUNCTION("""COMPUTED_VALUE"""),"TRUJILLO RENDON, CAMILA")</f>
        <v>TRUJILLO RENDON, CAMILA</v>
      </c>
      <c r="D2761" t="str">
        <f>IFERROR(__xludf.DUMMYFUNCTION("""COMPUTED_VALUE"""),"Art 7S1")</f>
        <v>Art 7S1</v>
      </c>
      <c r="E2761" s="31" t="str">
        <f>IFERROR(__xludf.DUMMYFUNCTION("""COMPUTED_VALUE"""),"6a")</f>
        <v>6a</v>
      </c>
      <c r="F2761" s="8">
        <v>1.0</v>
      </c>
      <c r="G2761" s="8">
        <v>1.0</v>
      </c>
      <c r="H2761" s="8">
        <v>1.0</v>
      </c>
      <c r="I2761" s="8">
        <v>1.0</v>
      </c>
      <c r="J2761" s="8">
        <v>1.0</v>
      </c>
      <c r="K2761" s="8">
        <v>1.0</v>
      </c>
      <c r="L2761" s="8">
        <v>6.0</v>
      </c>
      <c r="M2761" s="8"/>
      <c r="N2761" s="8"/>
      <c r="O2761" s="8" t="s">
        <v>821</v>
      </c>
      <c r="P2761" s="8" t="e">
        <v>#N/A</v>
      </c>
    </row>
    <row r="2762">
      <c r="A2762">
        <f>IFERROR(__xludf.DUMMYFUNCTION("""COMPUTED_VALUE"""),7.0)</f>
        <v>7</v>
      </c>
      <c r="B2762">
        <f>IFERROR(__xludf.DUMMYFUNCTION("""COMPUTED_VALUE"""),30111.0)</f>
        <v>30111</v>
      </c>
      <c r="C2762" t="str">
        <f>IFERROR(__xludf.DUMMYFUNCTION("""COMPUTED_VALUE"""),"URIBE MUÑOZ, ANDREA")</f>
        <v>URIBE MUÑOZ, ANDREA</v>
      </c>
      <c r="D2762" t="str">
        <f>IFERROR(__xludf.DUMMYFUNCTION("""COMPUTED_VALUE"""),"Band 7S1")</f>
        <v>Band 7S1</v>
      </c>
      <c r="E2762" s="31" t="str">
        <f>IFERROR(__xludf.DUMMYFUNCTION("""COMPUTED_VALUE"""),"4b")</f>
        <v>4b</v>
      </c>
      <c r="F2762" s="8">
        <v>1.0</v>
      </c>
      <c r="G2762" s="8">
        <v>1.0</v>
      </c>
      <c r="H2762" s="8">
        <v>1.0</v>
      </c>
      <c r="I2762" s="8">
        <v>1.0</v>
      </c>
      <c r="J2762" s="8">
        <v>1.0</v>
      </c>
      <c r="K2762" s="8">
        <v>1.0</v>
      </c>
      <c r="L2762" s="8">
        <v>6.0</v>
      </c>
      <c r="M2762" s="8"/>
      <c r="N2762" s="8"/>
      <c r="O2762" s="8" t="s">
        <v>818</v>
      </c>
      <c r="P2762" s="8" t="e">
        <v>#N/A</v>
      </c>
    </row>
    <row r="2763">
      <c r="A2763">
        <f>IFERROR(__xludf.DUMMYFUNCTION("""COMPUTED_VALUE"""),7.0)</f>
        <v>7</v>
      </c>
      <c r="B2763">
        <f>IFERROR(__xludf.DUMMYFUNCTION("""COMPUTED_VALUE"""),30112.0)</f>
        <v>30112</v>
      </c>
      <c r="C2763" t="str">
        <f>IFERROR(__xludf.DUMMYFUNCTION("""COMPUTED_VALUE"""),"URIBE MUÑOZ, VALENTINA")</f>
        <v>URIBE MUÑOZ, VALENTINA</v>
      </c>
      <c r="D2763" t="str">
        <f>IFERROR(__xludf.DUMMYFUNCTION("""COMPUTED_VALUE"""),"Art 7S1")</f>
        <v>Art 7S1</v>
      </c>
      <c r="E2763" s="31" t="str">
        <f>IFERROR(__xludf.DUMMYFUNCTION("""COMPUTED_VALUE"""),"1a")</f>
        <v>1a</v>
      </c>
      <c r="F2763" s="8">
        <v>1.0</v>
      </c>
      <c r="G2763" s="8">
        <v>1.0</v>
      </c>
      <c r="H2763" s="8">
        <v>1.0</v>
      </c>
      <c r="I2763" s="8">
        <v>1.0</v>
      </c>
      <c r="J2763" s="8">
        <v>1.0</v>
      </c>
      <c r="K2763" s="8">
        <v>1.0</v>
      </c>
      <c r="L2763" s="8">
        <v>6.0</v>
      </c>
      <c r="M2763" s="8"/>
      <c r="N2763" s="8"/>
      <c r="O2763" s="8" t="s">
        <v>823</v>
      </c>
      <c r="P2763" s="8" t="e">
        <v>#N/A</v>
      </c>
    </row>
    <row r="2764">
      <c r="A2764">
        <f>IFERROR(__xludf.DUMMYFUNCTION("""COMPUTED_VALUE"""),7.0)</f>
        <v>7</v>
      </c>
      <c r="B2764">
        <f>IFERROR(__xludf.DUMMYFUNCTION("""COMPUTED_VALUE"""),30114.0)</f>
        <v>30114</v>
      </c>
      <c r="C2764" t="str">
        <f>IFERROR(__xludf.DUMMYFUNCTION("""COMPUTED_VALUE"""),"URIBE RUIZ, VICENTE")</f>
        <v>URIBE RUIZ, VICENTE</v>
      </c>
      <c r="D2764" t="str">
        <f>IFERROR(__xludf.DUMMYFUNCTION("""COMPUTED_VALUE"""),"Band 7S1")</f>
        <v>Band 7S1</v>
      </c>
      <c r="E2764" s="31" t="str">
        <f>IFERROR(__xludf.DUMMYFUNCTION("""COMPUTED_VALUE"""),"2b")</f>
        <v>2b</v>
      </c>
      <c r="F2764" s="8">
        <v>1.0</v>
      </c>
      <c r="G2764" s="8">
        <v>1.0</v>
      </c>
      <c r="H2764" s="8">
        <v>1.0</v>
      </c>
      <c r="I2764" s="8">
        <v>1.0</v>
      </c>
      <c r="J2764" s="8">
        <v>1.0</v>
      </c>
      <c r="K2764" s="8">
        <v>1.0</v>
      </c>
      <c r="L2764" s="8">
        <v>6.0</v>
      </c>
      <c r="M2764" s="8"/>
      <c r="N2764" s="8"/>
      <c r="O2764" s="8" t="s">
        <v>820</v>
      </c>
      <c r="P2764" s="8" t="e">
        <v>#N/A</v>
      </c>
    </row>
    <row r="2765">
      <c r="A2765">
        <f>IFERROR(__xludf.DUMMYFUNCTION("""COMPUTED_VALUE"""),7.0)</f>
        <v>7</v>
      </c>
      <c r="B2765">
        <f>IFERROR(__xludf.DUMMYFUNCTION("""COMPUTED_VALUE"""),30115.0)</f>
        <v>30115</v>
      </c>
      <c r="C2765" t="str">
        <f>IFERROR(__xludf.DUMMYFUNCTION("""COMPUTED_VALUE"""),"URIBE VELASQUEZ, AGUSTIN")</f>
        <v>URIBE VELASQUEZ, AGUSTIN</v>
      </c>
      <c r="D2765" t="str">
        <f>IFERROR(__xludf.DUMMYFUNCTION("""COMPUTED_VALUE"""),"Art 7S1")</f>
        <v>Art 7S1</v>
      </c>
      <c r="E2765" s="31" t="str">
        <f>IFERROR(__xludf.DUMMYFUNCTION("""COMPUTED_VALUE"""),"6a")</f>
        <v>6a</v>
      </c>
      <c r="F2765" s="8">
        <v>1.0</v>
      </c>
      <c r="G2765" s="8">
        <v>1.0</v>
      </c>
      <c r="H2765" s="8">
        <v>1.0</v>
      </c>
      <c r="I2765" s="8">
        <v>1.0</v>
      </c>
      <c r="J2765" s="8">
        <v>1.0</v>
      </c>
      <c r="K2765" s="8">
        <v>1.0</v>
      </c>
      <c r="L2765" s="8">
        <v>6.0</v>
      </c>
      <c r="M2765" s="8"/>
      <c r="N2765" s="8"/>
      <c r="O2765" s="8" t="s">
        <v>821</v>
      </c>
      <c r="P2765" s="8" t="e">
        <v>#N/A</v>
      </c>
    </row>
    <row r="2766">
      <c r="A2766">
        <f>IFERROR(__xludf.DUMMYFUNCTION("""COMPUTED_VALUE"""),7.0)</f>
        <v>7</v>
      </c>
      <c r="B2766">
        <f>IFERROR(__xludf.DUMMYFUNCTION("""COMPUTED_VALUE"""),30117.0)</f>
        <v>30117</v>
      </c>
      <c r="C2766" t="str">
        <f>IFERROR(__xludf.DUMMYFUNCTION("""COMPUTED_VALUE"""),"VASQUEZ ECHEVERRI, MARIANA")</f>
        <v>VASQUEZ ECHEVERRI, MARIANA</v>
      </c>
      <c r="D2766" t="str">
        <f>IFERROR(__xludf.DUMMYFUNCTION("""COMPUTED_VALUE"""),"Tech 7S1")</f>
        <v>Tech 7S1</v>
      </c>
      <c r="E2766" s="31" t="str">
        <f>IFERROR(__xludf.DUMMYFUNCTION("""COMPUTED_VALUE"""),"2b")</f>
        <v>2b</v>
      </c>
      <c r="F2766" s="8">
        <v>1.0</v>
      </c>
      <c r="G2766" s="8">
        <v>1.0</v>
      </c>
      <c r="H2766" s="8">
        <v>1.0</v>
      </c>
      <c r="I2766" s="8">
        <v>1.0</v>
      </c>
      <c r="J2766" s="8">
        <v>1.0</v>
      </c>
      <c r="K2766" s="8">
        <v>1.0</v>
      </c>
      <c r="L2766" s="8">
        <v>6.0</v>
      </c>
      <c r="M2766" s="8"/>
      <c r="N2766" s="8"/>
      <c r="O2766" s="8" t="s">
        <v>819</v>
      </c>
      <c r="P2766" s="8" t="e">
        <v>#N/A</v>
      </c>
    </row>
    <row r="2767">
      <c r="A2767">
        <f>IFERROR(__xludf.DUMMYFUNCTION("""COMPUTED_VALUE"""),7.0)</f>
        <v>7</v>
      </c>
      <c r="B2767">
        <f>IFERROR(__xludf.DUMMYFUNCTION("""COMPUTED_VALUE"""),30119.0)</f>
        <v>30119</v>
      </c>
      <c r="C2767" t="str">
        <f>IFERROR(__xludf.DUMMYFUNCTION("""COMPUTED_VALUE"""),"VASQUEZ MUÑOZ, LUCIA")</f>
        <v>VASQUEZ MUÑOZ, LUCIA</v>
      </c>
      <c r="D2767" t="str">
        <f>IFERROR(__xludf.DUMMYFUNCTION("""COMPUTED_VALUE"""),"Art 7S1")</f>
        <v>Art 7S1</v>
      </c>
      <c r="E2767" s="31" t="str">
        <f>IFERROR(__xludf.DUMMYFUNCTION("""COMPUTED_VALUE"""),"2b")</f>
        <v>2b</v>
      </c>
      <c r="F2767" s="8">
        <v>1.0</v>
      </c>
      <c r="G2767" s="8">
        <v>1.0</v>
      </c>
      <c r="H2767" s="8">
        <v>1.0</v>
      </c>
      <c r="I2767" s="8">
        <v>1.0</v>
      </c>
      <c r="J2767" s="8">
        <v>1.0</v>
      </c>
      <c r="K2767" s="8">
        <v>1.0</v>
      </c>
      <c r="L2767" s="8">
        <v>6.0</v>
      </c>
      <c r="M2767" s="8"/>
      <c r="N2767" s="8"/>
      <c r="O2767" s="8" t="s">
        <v>825</v>
      </c>
      <c r="P2767" s="8" t="e">
        <v>#N/A</v>
      </c>
    </row>
    <row r="2768">
      <c r="A2768">
        <f>IFERROR(__xludf.DUMMYFUNCTION("""COMPUTED_VALUE"""),7.0)</f>
        <v>7</v>
      </c>
      <c r="B2768">
        <f>IFERROR(__xludf.DUMMYFUNCTION("""COMPUTED_VALUE"""),30162.0)</f>
        <v>30162</v>
      </c>
      <c r="C2768" t="str">
        <f>IFERROR(__xludf.DUMMYFUNCTION("""COMPUTED_VALUE"""),"VASQUEZ TAMAYO, ISABEL")</f>
        <v>VASQUEZ TAMAYO, ISABEL</v>
      </c>
      <c r="D2768" t="str">
        <f>IFERROR(__xludf.DUMMYFUNCTION("""COMPUTED_VALUE"""),"Tech 7S1")</f>
        <v>Tech 7S1</v>
      </c>
      <c r="E2768" s="31" t="str">
        <f>IFERROR(__xludf.DUMMYFUNCTION("""COMPUTED_VALUE"""),"1a")</f>
        <v>1a</v>
      </c>
      <c r="F2768" s="8">
        <v>1.0</v>
      </c>
      <c r="G2768" s="8">
        <v>1.0</v>
      </c>
      <c r="H2768" s="8">
        <v>1.0</v>
      </c>
      <c r="I2768" s="8">
        <v>1.0</v>
      </c>
      <c r="J2768" s="8">
        <v>1.0</v>
      </c>
      <c r="K2768" s="8">
        <v>1.0</v>
      </c>
      <c r="L2768" s="8">
        <v>6.0</v>
      </c>
      <c r="M2768" s="8"/>
      <c r="N2768" s="8"/>
      <c r="O2768" s="8" t="s">
        <v>824</v>
      </c>
      <c r="P2768" s="8" t="e">
        <v>#N/A</v>
      </c>
    </row>
    <row r="2769">
      <c r="A2769">
        <f>IFERROR(__xludf.DUMMYFUNCTION("""COMPUTED_VALUE"""),7.0)</f>
        <v>7</v>
      </c>
      <c r="B2769">
        <f>IFERROR(__xludf.DUMMYFUNCTION("""COMPUTED_VALUE"""),30163.0)</f>
        <v>30163</v>
      </c>
      <c r="C2769" t="str">
        <f>IFERROR(__xludf.DUMMYFUNCTION("""COMPUTED_VALUE"""),"VASQUEZ TAMAYO, PABLO")</f>
        <v>VASQUEZ TAMAYO, PABLO</v>
      </c>
      <c r="D2769" t="str">
        <f>IFERROR(__xludf.DUMMYFUNCTION("""COMPUTED_VALUE"""),"Band 7S1")</f>
        <v>Band 7S1</v>
      </c>
      <c r="E2769" s="31" t="str">
        <f>IFERROR(__xludf.DUMMYFUNCTION("""COMPUTED_VALUE"""),"1a")</f>
        <v>1a</v>
      </c>
      <c r="F2769" s="8">
        <v>1.0</v>
      </c>
      <c r="G2769" s="8">
        <v>1.0</v>
      </c>
      <c r="H2769" s="8">
        <v>1.0</v>
      </c>
      <c r="I2769" s="8">
        <v>1.0</v>
      </c>
      <c r="J2769" s="8">
        <v>1.0</v>
      </c>
      <c r="K2769" s="8">
        <v>1.0</v>
      </c>
      <c r="L2769" s="8">
        <v>6.0</v>
      </c>
      <c r="M2769" s="8"/>
      <c r="N2769" s="8"/>
      <c r="O2769" s="8" t="s">
        <v>822</v>
      </c>
      <c r="P2769" s="8" t="e">
        <v>#N/A</v>
      </c>
    </row>
    <row r="2770">
      <c r="A2770">
        <f>IFERROR(__xludf.DUMMYFUNCTION("""COMPUTED_VALUE"""),7.0)</f>
        <v>7</v>
      </c>
      <c r="B2770">
        <f>IFERROR(__xludf.DUMMYFUNCTION("""COMPUTED_VALUE"""),30164.0)</f>
        <v>30164</v>
      </c>
      <c r="C2770" t="str">
        <f>IFERROR(__xludf.DUMMYFUNCTION("""COMPUTED_VALUE"""),"VASQUEZ TAMAYO, SAMUEL")</f>
        <v>VASQUEZ TAMAYO, SAMUEL</v>
      </c>
      <c r="D2770" t="str">
        <f>IFERROR(__xludf.DUMMYFUNCTION("""COMPUTED_VALUE"""),"Band 7S1")</f>
        <v>Band 7S1</v>
      </c>
      <c r="E2770" s="31" t="str">
        <f>IFERROR(__xludf.DUMMYFUNCTION("""COMPUTED_VALUE"""),"4b")</f>
        <v>4b</v>
      </c>
      <c r="F2770" s="8">
        <v>1.0</v>
      </c>
      <c r="G2770" s="8">
        <v>1.0</v>
      </c>
      <c r="H2770" s="8">
        <v>1.0</v>
      </c>
      <c r="I2770" s="8">
        <v>1.0</v>
      </c>
      <c r="J2770" s="8">
        <v>1.0</v>
      </c>
      <c r="K2770" s="8">
        <v>1.0</v>
      </c>
      <c r="L2770" s="8">
        <v>6.0</v>
      </c>
      <c r="M2770" s="8"/>
      <c r="N2770" s="8"/>
      <c r="O2770" s="8" t="s">
        <v>818</v>
      </c>
      <c r="P2770" s="8" t="e">
        <v>#N/A</v>
      </c>
    </row>
    <row r="2771">
      <c r="A2771">
        <f>IFERROR(__xludf.DUMMYFUNCTION("""COMPUTED_VALUE"""),7.0)</f>
        <v>7</v>
      </c>
      <c r="B2771">
        <f>IFERROR(__xludf.DUMMYFUNCTION("""COMPUTED_VALUE"""),30120.0)</f>
        <v>30120</v>
      </c>
      <c r="C2771" t="str">
        <f>IFERROR(__xludf.DUMMYFUNCTION("""COMPUTED_VALUE"""),"VELASQUEZ URIBE, JUAN SEBASTIAN")</f>
        <v>VELASQUEZ URIBE, JUAN SEBASTIAN</v>
      </c>
      <c r="D2771" t="str">
        <f>IFERROR(__xludf.DUMMYFUNCTION("""COMPUTED_VALUE"""),"Art 7S1")</f>
        <v>Art 7S1</v>
      </c>
      <c r="E2771" s="31" t="str">
        <f>IFERROR(__xludf.DUMMYFUNCTION("""COMPUTED_VALUE"""),"6a")</f>
        <v>6a</v>
      </c>
      <c r="F2771" s="8">
        <v>1.0</v>
      </c>
      <c r="G2771" s="8">
        <v>1.0</v>
      </c>
      <c r="H2771" s="8">
        <v>1.0</v>
      </c>
      <c r="I2771" s="8">
        <v>1.0</v>
      </c>
      <c r="J2771" s="8">
        <v>1.0</v>
      </c>
      <c r="K2771" s="8">
        <v>1.0</v>
      </c>
      <c r="L2771" s="8">
        <v>6.0</v>
      </c>
      <c r="M2771" s="8"/>
      <c r="N2771" s="8"/>
      <c r="O2771" s="8" t="s">
        <v>821</v>
      </c>
      <c r="P2771" s="8" t="e">
        <v>#N/A</v>
      </c>
    </row>
    <row r="2772">
      <c r="A2772">
        <f>IFERROR(__xludf.DUMMYFUNCTION("""COMPUTED_VALUE"""),7.0)</f>
        <v>7</v>
      </c>
      <c r="B2772">
        <f>IFERROR(__xludf.DUMMYFUNCTION("""COMPUTED_VALUE"""),30121.0)</f>
        <v>30121</v>
      </c>
      <c r="C2772" t="str">
        <f>IFERROR(__xludf.DUMMYFUNCTION("""COMPUTED_VALUE"""),"VELEZ ECHANDIA, DANIEL")</f>
        <v>VELEZ ECHANDIA, DANIEL</v>
      </c>
      <c r="D2772" t="str">
        <f>IFERROR(__xludf.DUMMYFUNCTION("""COMPUTED_VALUE"""),"Band 7S1")</f>
        <v>Band 7S1</v>
      </c>
      <c r="E2772" s="31" t="str">
        <f>IFERROR(__xludf.DUMMYFUNCTION("""COMPUTED_VALUE"""),"2b")</f>
        <v>2b</v>
      </c>
      <c r="F2772" s="8">
        <v>1.0</v>
      </c>
      <c r="G2772" s="8">
        <v>1.0</v>
      </c>
      <c r="H2772" s="8">
        <v>1.0</v>
      </c>
      <c r="I2772" s="8">
        <v>1.0</v>
      </c>
      <c r="J2772" s="8">
        <v>1.0</v>
      </c>
      <c r="K2772" s="8">
        <v>1.0</v>
      </c>
      <c r="L2772" s="8">
        <v>6.0</v>
      </c>
      <c r="M2772" s="8"/>
      <c r="N2772" s="8"/>
      <c r="O2772" s="8" t="s">
        <v>820</v>
      </c>
      <c r="P2772" s="8" t="e">
        <v>#N/A</v>
      </c>
    </row>
    <row r="2773">
      <c r="A2773">
        <f>IFERROR(__xludf.DUMMYFUNCTION("""COMPUTED_VALUE"""),7.0)</f>
        <v>7</v>
      </c>
      <c r="B2773">
        <f>IFERROR(__xludf.DUMMYFUNCTION("""COMPUTED_VALUE"""),30122.0)</f>
        <v>30122</v>
      </c>
      <c r="C2773" t="str">
        <f>IFERROR(__xludf.DUMMYFUNCTION("""COMPUTED_VALUE"""),"VILLEGAS MEJIA, MARTIN")</f>
        <v>VILLEGAS MEJIA, MARTIN</v>
      </c>
      <c r="D2773" t="str">
        <f>IFERROR(__xludf.DUMMYFUNCTION("""COMPUTED_VALUE"""),"Band 7S1")</f>
        <v>Band 7S1</v>
      </c>
      <c r="E2773" s="31" t="str">
        <f>IFERROR(__xludf.DUMMYFUNCTION("""COMPUTED_VALUE"""),"1a")</f>
        <v>1a</v>
      </c>
      <c r="F2773" s="8">
        <v>1.0</v>
      </c>
      <c r="G2773" s="8">
        <v>1.0</v>
      </c>
      <c r="H2773" s="8">
        <v>1.0</v>
      </c>
      <c r="I2773" s="8">
        <v>1.0</v>
      </c>
      <c r="J2773" s="8">
        <v>1.0</v>
      </c>
      <c r="K2773" s="8">
        <v>1.0</v>
      </c>
      <c r="L2773" s="8">
        <v>6.0</v>
      </c>
      <c r="M2773" s="8"/>
      <c r="N2773" s="8"/>
      <c r="O2773" s="8" t="s">
        <v>822</v>
      </c>
      <c r="P2773" s="8" t="e">
        <v>#N/A</v>
      </c>
    </row>
    <row r="2774">
      <c r="A2774">
        <f>IFERROR(__xludf.DUMMYFUNCTION("""COMPUTED_VALUE"""),7.0)</f>
        <v>7</v>
      </c>
      <c r="B2774">
        <f>IFERROR(__xludf.DUMMYFUNCTION("""COMPUTED_VALUE"""),30123.0)</f>
        <v>30123</v>
      </c>
      <c r="C2774" t="str">
        <f>IFERROR(__xludf.DUMMYFUNCTION("""COMPUTED_VALUE"""),"YACAMAN RESTREPO, TOMAS")</f>
        <v>YACAMAN RESTREPO, TOMAS</v>
      </c>
      <c r="D2774" t="str">
        <f>IFERROR(__xludf.DUMMYFUNCTION("""COMPUTED_VALUE"""),"Art 7S1")</f>
        <v>Art 7S1</v>
      </c>
      <c r="E2774" s="31" t="str">
        <f>IFERROR(__xludf.DUMMYFUNCTION("""COMPUTED_VALUE"""),"1a")</f>
        <v>1a</v>
      </c>
      <c r="F2774" s="8">
        <v>1.0</v>
      </c>
      <c r="G2774" s="8">
        <v>1.0</v>
      </c>
      <c r="H2774" s="8">
        <v>1.0</v>
      </c>
      <c r="I2774" s="8">
        <v>1.0</v>
      </c>
      <c r="J2774" s="8">
        <v>1.0</v>
      </c>
      <c r="K2774" s="8">
        <v>1.0</v>
      </c>
      <c r="L2774" s="8">
        <v>6.0</v>
      </c>
      <c r="M2774" s="8"/>
      <c r="N2774" s="8"/>
      <c r="O2774" s="8" t="s">
        <v>823</v>
      </c>
      <c r="P2774" s="8" t="e">
        <v>#N/A</v>
      </c>
    </row>
    <row r="2775">
      <c r="A2775">
        <f>IFERROR(__xludf.DUMMYFUNCTION("""COMPUTED_VALUE"""),7.0)</f>
        <v>7</v>
      </c>
      <c r="B2775">
        <f>IFERROR(__xludf.DUMMYFUNCTION("""COMPUTED_VALUE"""),30124.0)</f>
        <v>30124</v>
      </c>
      <c r="C2775" t="str">
        <f>IFERROR(__xludf.DUMMYFUNCTION("""COMPUTED_VALUE"""),"YEPES RAMIREZ, LUCIANA")</f>
        <v>YEPES RAMIREZ, LUCIANA</v>
      </c>
      <c r="D2775" t="str">
        <f>IFERROR(__xludf.DUMMYFUNCTION("""COMPUTED_VALUE"""),"Band 7S1")</f>
        <v>Band 7S1</v>
      </c>
      <c r="E2775" s="31" t="str">
        <f>IFERROR(__xludf.DUMMYFUNCTION("""COMPUTED_VALUE"""),"2b")</f>
        <v>2b</v>
      </c>
      <c r="F2775" s="8">
        <v>1.0</v>
      </c>
      <c r="G2775" s="8">
        <v>1.0</v>
      </c>
      <c r="H2775" s="8">
        <v>1.0</v>
      </c>
      <c r="I2775" s="8">
        <v>1.0</v>
      </c>
      <c r="J2775" s="8">
        <v>1.0</v>
      </c>
      <c r="K2775" s="8">
        <v>1.0</v>
      </c>
      <c r="L2775" s="8">
        <v>6.0</v>
      </c>
      <c r="M2775" s="8"/>
      <c r="N2775" s="8"/>
      <c r="O2775" s="8" t="s">
        <v>820</v>
      </c>
      <c r="P2775" s="8" t="e">
        <v>#N/A</v>
      </c>
    </row>
    <row r="2776">
      <c r="A2776">
        <f>IFERROR(__xludf.DUMMYFUNCTION("""COMPUTED_VALUE"""),7.0)</f>
        <v>7</v>
      </c>
      <c r="B2776">
        <f>IFERROR(__xludf.DUMMYFUNCTION("""COMPUTED_VALUE"""),30125.0)</f>
        <v>30125</v>
      </c>
      <c r="C2776" t="str">
        <f>IFERROR(__xludf.DUMMYFUNCTION("""COMPUTED_VALUE"""),"ZAPATA URIBE, MARTINA")</f>
        <v>ZAPATA URIBE, MARTINA</v>
      </c>
      <c r="D2776" t="str">
        <f>IFERROR(__xludf.DUMMYFUNCTION("""COMPUTED_VALUE"""),"Band 7S1")</f>
        <v>Band 7S1</v>
      </c>
      <c r="E2776" s="31" t="str">
        <f>IFERROR(__xludf.DUMMYFUNCTION("""COMPUTED_VALUE"""),"4b")</f>
        <v>4b</v>
      </c>
      <c r="F2776" s="8">
        <v>1.0</v>
      </c>
      <c r="G2776" s="8">
        <v>1.0</v>
      </c>
      <c r="H2776" s="8">
        <v>1.0</v>
      </c>
      <c r="I2776" s="8">
        <v>1.0</v>
      </c>
      <c r="J2776" s="8">
        <v>1.0</v>
      </c>
      <c r="K2776" s="8">
        <v>1.0</v>
      </c>
      <c r="L2776" s="8">
        <v>6.0</v>
      </c>
      <c r="M2776" s="8"/>
      <c r="N2776" s="8"/>
      <c r="O2776" s="8" t="s">
        <v>818</v>
      </c>
      <c r="P2776" s="8" t="e">
        <v>#N/A</v>
      </c>
    </row>
    <row r="2777">
      <c r="A2777">
        <f>IFERROR(__xludf.DUMMYFUNCTION("""COMPUTED_VALUE"""),7.0)</f>
        <v>7</v>
      </c>
      <c r="B2777">
        <f>IFERROR(__xludf.DUMMYFUNCTION("""COMPUTED_VALUE"""),30126.0)</f>
        <v>30126</v>
      </c>
      <c r="C2777" t="str">
        <f>IFERROR(__xludf.DUMMYFUNCTION("""COMPUTED_VALUE"""),"ZULOAGA AYUB, NICOLAS")</f>
        <v>ZULOAGA AYUB, NICOLAS</v>
      </c>
      <c r="D2777" t="str">
        <f>IFERROR(__xludf.DUMMYFUNCTION("""COMPUTED_VALUE"""),"Art 7S1")</f>
        <v>Art 7S1</v>
      </c>
      <c r="E2777" s="31" t="str">
        <f>IFERROR(__xludf.DUMMYFUNCTION("""COMPUTED_VALUE"""),"6a")</f>
        <v>6a</v>
      </c>
      <c r="F2777" s="8">
        <v>1.0</v>
      </c>
      <c r="G2777" s="8">
        <v>1.0</v>
      </c>
      <c r="H2777" s="8">
        <v>1.0</v>
      </c>
      <c r="I2777" s="8">
        <v>1.0</v>
      </c>
      <c r="J2777" s="8">
        <v>1.0</v>
      </c>
      <c r="K2777" s="8">
        <v>1.0</v>
      </c>
      <c r="L2777" s="8">
        <v>6.0</v>
      </c>
      <c r="M2777" s="8"/>
      <c r="N2777" s="8"/>
      <c r="O2777" s="8" t="s">
        <v>821</v>
      </c>
      <c r="P2777" s="8" t="e">
        <v>#N/A</v>
      </c>
    </row>
    <row r="2778">
      <c r="A2778">
        <f>IFERROR(__xludf.DUMMYFUNCTION("""COMPUTED_VALUE"""),7.0)</f>
        <v>7</v>
      </c>
      <c r="B2778">
        <f>IFERROR(__xludf.DUMMYFUNCTION("""COMPUTED_VALUE"""),30127.0)</f>
        <v>30127</v>
      </c>
      <c r="C2778" t="str">
        <f>IFERROR(__xludf.DUMMYFUNCTION("""COMPUTED_VALUE"""),"ZULUAGA SIERRA, MATIAS")</f>
        <v>ZULUAGA SIERRA, MATIAS</v>
      </c>
      <c r="D2778" t="str">
        <f>IFERROR(__xludf.DUMMYFUNCTION("""COMPUTED_VALUE"""),"Band 7S1")</f>
        <v>Band 7S1</v>
      </c>
      <c r="E2778" s="31" t="str">
        <f>IFERROR(__xludf.DUMMYFUNCTION("""COMPUTED_VALUE"""),"2b")</f>
        <v>2b</v>
      </c>
      <c r="F2778" s="8">
        <v>1.0</v>
      </c>
      <c r="G2778" s="8">
        <v>1.0</v>
      </c>
      <c r="H2778" s="8">
        <v>1.0</v>
      </c>
      <c r="I2778" s="8">
        <v>1.0</v>
      </c>
      <c r="J2778" s="8">
        <v>1.0</v>
      </c>
      <c r="K2778" s="8">
        <v>1.0</v>
      </c>
      <c r="L2778" s="8">
        <v>6.0</v>
      </c>
      <c r="M2778" s="8"/>
      <c r="N2778" s="8"/>
      <c r="O2778" s="8" t="s">
        <v>820</v>
      </c>
      <c r="P2778" s="8" t="e">
        <v>#N/A</v>
      </c>
    </row>
    <row r="2779">
      <c r="A2779">
        <f>IFERROR(__xludf.DUMMYFUNCTION("""COMPUTED_VALUE"""),8.0)</f>
        <v>8</v>
      </c>
      <c r="B2779">
        <f>IFERROR(__xludf.DUMMYFUNCTION("""COMPUTED_VALUE"""),29001.0)</f>
        <v>29001</v>
      </c>
      <c r="C2779" t="str">
        <f>IFERROR(__xludf.DUMMYFUNCTION("""COMPUTED_VALUE"""),"ACEVEDO ARANGO, ROSARIO")</f>
        <v>ACEVEDO ARANGO, ROSARIO</v>
      </c>
      <c r="D2779" t="str">
        <f>IFERROR(__xludf.DUMMYFUNCTION("""COMPUTED_VALUE"""),"Tech 8S1")</f>
        <v>Tech 8S1</v>
      </c>
      <c r="E2779" s="31" t="str">
        <f>IFERROR(__xludf.DUMMYFUNCTION("""COMPUTED_VALUE"""),"4b")</f>
        <v>4b</v>
      </c>
      <c r="F2779" s="8">
        <v>1.0</v>
      </c>
      <c r="G2779" s="8">
        <v>1.0</v>
      </c>
      <c r="H2779" s="8">
        <v>1.0</v>
      </c>
      <c r="I2779" s="8">
        <v>1.0</v>
      </c>
      <c r="J2779" s="8">
        <v>1.0</v>
      </c>
      <c r="K2779" s="8">
        <v>1.0</v>
      </c>
      <c r="L2779" s="8">
        <v>6.0</v>
      </c>
      <c r="M2779" s="8"/>
      <c r="N2779" s="8"/>
      <c r="O2779" s="8" t="s">
        <v>826</v>
      </c>
      <c r="P2779" s="8" t="e">
        <v>#N/A</v>
      </c>
    </row>
    <row r="2780">
      <c r="A2780">
        <f>IFERROR(__xludf.DUMMYFUNCTION("""COMPUTED_VALUE"""),8.0)</f>
        <v>8</v>
      </c>
      <c r="B2780">
        <f>IFERROR(__xludf.DUMMYFUNCTION("""COMPUTED_VALUE"""),29002.0)</f>
        <v>29002</v>
      </c>
      <c r="C2780" t="str">
        <f>IFERROR(__xludf.DUMMYFUNCTION("""COMPUTED_VALUE"""),"ACEVEDO OCHOA, MARIA DEL MAR")</f>
        <v>ACEVEDO OCHOA, MARIA DEL MAR</v>
      </c>
      <c r="D2780" t="str">
        <f>IFERROR(__xludf.DUMMYFUNCTION("""COMPUTED_VALUE"""),"Band 8S1")</f>
        <v>Band 8S1</v>
      </c>
      <c r="E2780" s="31" t="str">
        <f>IFERROR(__xludf.DUMMYFUNCTION("""COMPUTED_VALUE"""),"1b")</f>
        <v>1b</v>
      </c>
      <c r="F2780" s="8">
        <v>1.0</v>
      </c>
      <c r="G2780" s="8">
        <v>1.0</v>
      </c>
      <c r="H2780" s="8">
        <v>1.0</v>
      </c>
      <c r="I2780" s="8">
        <v>1.0</v>
      </c>
      <c r="J2780" s="8">
        <v>1.0</v>
      </c>
      <c r="K2780" s="8">
        <v>1.0</v>
      </c>
      <c r="L2780" s="8">
        <v>6.0</v>
      </c>
      <c r="M2780" s="8"/>
      <c r="N2780" s="8"/>
      <c r="O2780" s="8" t="s">
        <v>827</v>
      </c>
      <c r="P2780" s="8" t="e">
        <v>#N/A</v>
      </c>
    </row>
    <row r="2781">
      <c r="A2781">
        <f>IFERROR(__xludf.DUMMYFUNCTION("""COMPUTED_VALUE"""),8.0)</f>
        <v>8</v>
      </c>
      <c r="B2781">
        <f>IFERROR(__xludf.DUMMYFUNCTION("""COMPUTED_VALUE"""),29003.0)</f>
        <v>29003</v>
      </c>
      <c r="C2781" t="str">
        <f>IFERROR(__xludf.DUMMYFUNCTION("""COMPUTED_VALUE"""),"ACEVEDO OROZCO, MARIA CELESTE")</f>
        <v>ACEVEDO OROZCO, MARIA CELESTE</v>
      </c>
      <c r="D2781" t="str">
        <f>IFERROR(__xludf.DUMMYFUNCTION("""COMPUTED_VALUE"""),"Tech 8S1")</f>
        <v>Tech 8S1</v>
      </c>
      <c r="E2781" s="31" t="str">
        <f>IFERROR(__xludf.DUMMYFUNCTION("""COMPUTED_VALUE"""),"5a")</f>
        <v>5a</v>
      </c>
      <c r="F2781" s="8">
        <v>1.0</v>
      </c>
      <c r="G2781" s="8">
        <v>1.0</v>
      </c>
      <c r="H2781" s="8">
        <v>1.0</v>
      </c>
      <c r="I2781" s="8">
        <v>1.0</v>
      </c>
      <c r="J2781" s="8">
        <v>1.0</v>
      </c>
      <c r="K2781" s="8">
        <v>1.0</v>
      </c>
      <c r="L2781" s="8">
        <v>6.0</v>
      </c>
      <c r="M2781" s="8"/>
      <c r="N2781" s="8"/>
      <c r="O2781" s="8" t="s">
        <v>828</v>
      </c>
      <c r="P2781" s="8" t="e">
        <v>#N/A</v>
      </c>
    </row>
    <row r="2782">
      <c r="A2782">
        <f>IFERROR(__xludf.DUMMYFUNCTION("""COMPUTED_VALUE"""),8.0)</f>
        <v>8</v>
      </c>
      <c r="B2782">
        <f>IFERROR(__xludf.DUMMYFUNCTION("""COMPUTED_VALUE"""),29004.0)</f>
        <v>29004</v>
      </c>
      <c r="C2782" t="str">
        <f>IFERROR(__xludf.DUMMYFUNCTION("""COMPUTED_VALUE"""),"AGUIRRE ARANGO, DAVID")</f>
        <v>AGUIRRE ARANGO, DAVID</v>
      </c>
      <c r="D2782" t="str">
        <f>IFERROR(__xludf.DUMMYFUNCTION("""COMPUTED_VALUE"""),"Band 8S1")</f>
        <v>Band 8S1</v>
      </c>
      <c r="E2782" s="31" t="str">
        <f>IFERROR(__xludf.DUMMYFUNCTION("""COMPUTED_VALUE"""),"6b")</f>
        <v>6b</v>
      </c>
      <c r="F2782" s="8">
        <v>1.0</v>
      </c>
      <c r="G2782" s="8">
        <v>1.0</v>
      </c>
      <c r="H2782" s="8">
        <v>1.0</v>
      </c>
      <c r="I2782" s="8">
        <v>1.0</v>
      </c>
      <c r="J2782" s="8">
        <v>1.0</v>
      </c>
      <c r="K2782" s="8">
        <v>1.0</v>
      </c>
      <c r="L2782" s="8">
        <v>6.0</v>
      </c>
      <c r="M2782" s="8"/>
      <c r="N2782" s="8"/>
      <c r="O2782" s="8" t="s">
        <v>829</v>
      </c>
      <c r="P2782" s="8" t="e">
        <v>#N/A</v>
      </c>
    </row>
    <row r="2783">
      <c r="A2783">
        <f>IFERROR(__xludf.DUMMYFUNCTION("""COMPUTED_VALUE"""),8.0)</f>
        <v>8</v>
      </c>
      <c r="B2783">
        <f>IFERROR(__xludf.DUMMYFUNCTION("""COMPUTED_VALUE"""),29170.0)</f>
        <v>29170</v>
      </c>
      <c r="C2783" t="str">
        <f>IFERROR(__xludf.DUMMYFUNCTION("""COMPUTED_VALUE"""),"ALVAREZ CARDENAS, JUAN EMILIO")</f>
        <v>ALVAREZ CARDENAS, JUAN EMILIO</v>
      </c>
      <c r="D2783" t="str">
        <f>IFERROR(__xludf.DUMMYFUNCTION("""COMPUTED_VALUE"""),"Band 8S1")</f>
        <v>Band 8S1</v>
      </c>
      <c r="E2783" s="31" t="str">
        <f>IFERROR(__xludf.DUMMYFUNCTION("""COMPUTED_VALUE"""),"1b")</f>
        <v>1b</v>
      </c>
      <c r="F2783" s="8">
        <v>1.0</v>
      </c>
      <c r="G2783" s="8">
        <v>1.0</v>
      </c>
      <c r="H2783" s="8">
        <v>1.0</v>
      </c>
      <c r="I2783" s="8">
        <v>1.0</v>
      </c>
      <c r="J2783" s="8">
        <v>1.0</v>
      </c>
      <c r="K2783" s="8">
        <v>1.0</v>
      </c>
      <c r="L2783" s="8">
        <v>6.0</v>
      </c>
      <c r="M2783" s="8"/>
      <c r="N2783" s="8"/>
      <c r="O2783" s="8" t="s">
        <v>827</v>
      </c>
      <c r="P2783" s="8" t="e">
        <v>#N/A</v>
      </c>
    </row>
    <row r="2784">
      <c r="A2784">
        <f>IFERROR(__xludf.DUMMYFUNCTION("""COMPUTED_VALUE"""),8.0)</f>
        <v>8</v>
      </c>
      <c r="B2784">
        <f>IFERROR(__xludf.DUMMYFUNCTION("""COMPUTED_VALUE"""),29007.0)</f>
        <v>29007</v>
      </c>
      <c r="C2784" t="str">
        <f>IFERROR(__xludf.DUMMYFUNCTION("""COMPUTED_VALUE"""),"ALZATE GARCIA, LUCIANA")</f>
        <v>ALZATE GARCIA, LUCIANA</v>
      </c>
      <c r="D2784" t="str">
        <f>IFERROR(__xludf.DUMMYFUNCTION("""COMPUTED_VALUE"""),"Band 8S1")</f>
        <v>Band 8S1</v>
      </c>
      <c r="E2784" s="31" t="str">
        <f>IFERROR(__xludf.DUMMYFUNCTION("""COMPUTED_VALUE"""),"1b")</f>
        <v>1b</v>
      </c>
      <c r="F2784" s="8">
        <v>1.0</v>
      </c>
      <c r="G2784" s="8">
        <v>1.0</v>
      </c>
      <c r="H2784" s="8">
        <v>1.0</v>
      </c>
      <c r="I2784" s="8">
        <v>1.0</v>
      </c>
      <c r="J2784" s="8">
        <v>1.0</v>
      </c>
      <c r="K2784" s="8">
        <v>1.0</v>
      </c>
      <c r="L2784" s="8">
        <v>6.0</v>
      </c>
      <c r="M2784" s="8"/>
      <c r="N2784" s="8"/>
      <c r="O2784" s="8" t="s">
        <v>827</v>
      </c>
      <c r="P2784" s="8" t="e">
        <v>#N/A</v>
      </c>
    </row>
    <row r="2785">
      <c r="A2785">
        <f>IFERROR(__xludf.DUMMYFUNCTION("""COMPUTED_VALUE"""),8.0)</f>
        <v>8</v>
      </c>
      <c r="B2785">
        <f>IFERROR(__xludf.DUMMYFUNCTION("""COMPUTED_VALUE"""),29008.0)</f>
        <v>29008</v>
      </c>
      <c r="C2785" t="str">
        <f>IFERROR(__xludf.DUMMYFUNCTION("""COMPUTED_VALUE"""),"APA ECHAVARRIA, LORENZO")</f>
        <v>APA ECHAVARRIA, LORENZO</v>
      </c>
      <c r="D2785" t="str">
        <f>IFERROR(__xludf.DUMMYFUNCTION("""COMPUTED_VALUE"""),"Band 8S1")</f>
        <v>Band 8S1</v>
      </c>
      <c r="E2785" s="31" t="str">
        <f>IFERROR(__xludf.DUMMYFUNCTION("""COMPUTED_VALUE"""),"2a")</f>
        <v>2a</v>
      </c>
      <c r="F2785" s="8">
        <v>1.0</v>
      </c>
      <c r="G2785" s="8">
        <v>1.0</v>
      </c>
      <c r="H2785" s="8">
        <v>1.0</v>
      </c>
      <c r="I2785" s="8">
        <v>1.0</v>
      </c>
      <c r="J2785" s="8">
        <v>1.0</v>
      </c>
      <c r="K2785" s="8">
        <v>1.0</v>
      </c>
      <c r="L2785" s="8">
        <v>6.0</v>
      </c>
      <c r="M2785" s="8"/>
      <c r="N2785" s="8"/>
      <c r="O2785" s="8" t="s">
        <v>830</v>
      </c>
      <c r="P2785" s="8" t="e">
        <v>#N/A</v>
      </c>
    </row>
    <row r="2786">
      <c r="A2786">
        <f>IFERROR(__xludf.DUMMYFUNCTION("""COMPUTED_VALUE"""),8.0)</f>
        <v>8</v>
      </c>
      <c r="B2786">
        <f>IFERROR(__xludf.DUMMYFUNCTION("""COMPUTED_VALUE"""),29009.0)</f>
        <v>29009</v>
      </c>
      <c r="C2786" t="str">
        <f>IFERROR(__xludf.DUMMYFUNCTION("""COMPUTED_VALUE"""),"ARANGO MOLINA, ALICIA")</f>
        <v>ARANGO MOLINA, ALICIA</v>
      </c>
      <c r="D2786" t="str">
        <f>IFERROR(__xludf.DUMMYFUNCTION("""COMPUTED_VALUE"""),"Band 8S1")</f>
        <v>Band 8S1</v>
      </c>
      <c r="E2786" s="31" t="str">
        <f>IFERROR(__xludf.DUMMYFUNCTION("""COMPUTED_VALUE"""),"1b")</f>
        <v>1b</v>
      </c>
      <c r="F2786" s="8">
        <v>1.0</v>
      </c>
      <c r="G2786" s="8">
        <v>1.0</v>
      </c>
      <c r="H2786" s="8">
        <v>1.0</v>
      </c>
      <c r="I2786" s="8">
        <v>1.0</v>
      </c>
      <c r="J2786" s="8">
        <v>1.0</v>
      </c>
      <c r="K2786" s="8">
        <v>1.0</v>
      </c>
      <c r="L2786" s="8">
        <v>6.0</v>
      </c>
      <c r="M2786" s="8"/>
      <c r="N2786" s="8"/>
      <c r="O2786" s="8" t="s">
        <v>827</v>
      </c>
      <c r="P2786" s="8" t="e">
        <v>#N/A</v>
      </c>
    </row>
    <row r="2787">
      <c r="A2787">
        <f>IFERROR(__xludf.DUMMYFUNCTION("""COMPUTED_VALUE"""),8.0)</f>
        <v>8</v>
      </c>
      <c r="B2787">
        <f>IFERROR(__xludf.DUMMYFUNCTION("""COMPUTED_VALUE"""),29010.0)</f>
        <v>29010</v>
      </c>
      <c r="C2787" t="str">
        <f>IFERROR(__xludf.DUMMYFUNCTION("""COMPUTED_VALUE"""),"ARANGO NAVARRO, MANUELA")</f>
        <v>ARANGO NAVARRO, MANUELA</v>
      </c>
      <c r="D2787" t="str">
        <f>IFERROR(__xludf.DUMMYFUNCTION("""COMPUTED_VALUE"""),"Tech 8S1")</f>
        <v>Tech 8S1</v>
      </c>
      <c r="E2787" s="31" t="str">
        <f>IFERROR(__xludf.DUMMYFUNCTION("""COMPUTED_VALUE"""),"4b")</f>
        <v>4b</v>
      </c>
      <c r="F2787" s="8">
        <v>1.0</v>
      </c>
      <c r="G2787" s="8">
        <v>1.0</v>
      </c>
      <c r="H2787" s="8">
        <v>1.0</v>
      </c>
      <c r="I2787" s="8">
        <v>1.0</v>
      </c>
      <c r="J2787" s="8">
        <v>1.0</v>
      </c>
      <c r="K2787" s="8">
        <v>1.0</v>
      </c>
      <c r="L2787" s="8">
        <v>6.0</v>
      </c>
      <c r="M2787" s="8"/>
      <c r="N2787" s="8"/>
      <c r="O2787" s="8" t="s">
        <v>826</v>
      </c>
      <c r="P2787" s="8" t="e">
        <v>#N/A</v>
      </c>
    </row>
    <row r="2788">
      <c r="A2788">
        <f>IFERROR(__xludf.DUMMYFUNCTION("""COMPUTED_VALUE"""),8.0)</f>
        <v>8</v>
      </c>
      <c r="B2788">
        <f>IFERROR(__xludf.DUMMYFUNCTION("""COMPUTED_VALUE"""),29011.0)</f>
        <v>29011</v>
      </c>
      <c r="C2788" t="str">
        <f>IFERROR(__xludf.DUMMYFUNCTION("""COMPUTED_VALUE"""),"ARANGO RUBIO, ROSARIO")</f>
        <v>ARANGO RUBIO, ROSARIO</v>
      </c>
      <c r="D2788" t="str">
        <f>IFERROR(__xludf.DUMMYFUNCTION("""COMPUTED_VALUE"""),"Band 8S1")</f>
        <v>Band 8S1</v>
      </c>
      <c r="E2788" s="31" t="str">
        <f>IFERROR(__xludf.DUMMYFUNCTION("""COMPUTED_VALUE"""),"6b")</f>
        <v>6b</v>
      </c>
      <c r="F2788" s="8">
        <v>1.0</v>
      </c>
      <c r="G2788" s="8">
        <v>1.0</v>
      </c>
      <c r="H2788" s="8">
        <v>1.0</v>
      </c>
      <c r="I2788" s="8">
        <v>1.0</v>
      </c>
      <c r="J2788" s="8">
        <v>1.0</v>
      </c>
      <c r="K2788" s="8">
        <v>1.0</v>
      </c>
      <c r="L2788" s="8">
        <v>6.0</v>
      </c>
      <c r="M2788" s="8"/>
      <c r="N2788" s="8"/>
      <c r="O2788" s="8" t="s">
        <v>829</v>
      </c>
      <c r="P2788" s="8" t="e">
        <v>#N/A</v>
      </c>
    </row>
    <row r="2789">
      <c r="A2789">
        <f>IFERROR(__xludf.DUMMYFUNCTION("""COMPUTED_VALUE"""),8.0)</f>
        <v>8</v>
      </c>
      <c r="B2789">
        <f>IFERROR(__xludf.DUMMYFUNCTION("""COMPUTED_VALUE"""),29012.0)</f>
        <v>29012</v>
      </c>
      <c r="C2789" t="str">
        <f>IFERROR(__xludf.DUMMYFUNCTION("""COMPUTED_VALUE"""),"ARANGO VILLA, TOMAS")</f>
        <v>ARANGO VILLA, TOMAS</v>
      </c>
      <c r="D2789" t="str">
        <f>IFERROR(__xludf.DUMMYFUNCTION("""COMPUTED_VALUE"""),"Band 8S1")</f>
        <v>Band 8S1</v>
      </c>
      <c r="E2789" s="31" t="str">
        <f>IFERROR(__xludf.DUMMYFUNCTION("""COMPUTED_VALUE"""),"1b")</f>
        <v>1b</v>
      </c>
      <c r="F2789" s="8">
        <v>1.0</v>
      </c>
      <c r="G2789" s="8">
        <v>1.0</v>
      </c>
      <c r="H2789" s="8">
        <v>1.0</v>
      </c>
      <c r="I2789" s="8">
        <v>1.0</v>
      </c>
      <c r="J2789" s="8">
        <v>1.0</v>
      </c>
      <c r="K2789" s="8">
        <v>1.0</v>
      </c>
      <c r="L2789" s="8">
        <v>6.0</v>
      </c>
      <c r="M2789" s="8"/>
      <c r="N2789" s="8"/>
      <c r="O2789" s="8" t="s">
        <v>827</v>
      </c>
      <c r="P2789" s="8" t="e">
        <v>#N/A</v>
      </c>
    </row>
    <row r="2790">
      <c r="A2790">
        <f>IFERROR(__xludf.DUMMYFUNCTION("""COMPUTED_VALUE"""),8.0)</f>
        <v>8</v>
      </c>
      <c r="B2790">
        <f>IFERROR(__xludf.DUMMYFUNCTION("""COMPUTED_VALUE"""),28006.0)</f>
        <v>28006</v>
      </c>
      <c r="C2790" t="str">
        <f>IFERROR(__xludf.DUMMYFUNCTION("""COMPUTED_VALUE"""),"ARISTIZABAL ECHAVARRIA, CRISTOBAL")</f>
        <v>ARISTIZABAL ECHAVARRIA, CRISTOBAL</v>
      </c>
      <c r="D2790" t="str">
        <f>IFERROR(__xludf.DUMMYFUNCTION("""COMPUTED_VALUE"""),"Band 8S1")</f>
        <v>Band 8S1</v>
      </c>
      <c r="E2790" s="31" t="str">
        <f>IFERROR(__xludf.DUMMYFUNCTION("""COMPUTED_VALUE"""),"2a")</f>
        <v>2a</v>
      </c>
      <c r="F2790" s="8">
        <v>1.0</v>
      </c>
      <c r="G2790" s="8">
        <v>1.0</v>
      </c>
      <c r="H2790" s="8">
        <v>1.0</v>
      </c>
      <c r="I2790" s="8">
        <v>1.0</v>
      </c>
      <c r="J2790" s="8">
        <v>1.0</v>
      </c>
      <c r="K2790" s="8">
        <v>1.0</v>
      </c>
      <c r="L2790" s="8">
        <v>6.0</v>
      </c>
      <c r="M2790" s="8"/>
      <c r="N2790" s="8"/>
      <c r="O2790" s="8" t="s">
        <v>830</v>
      </c>
      <c r="P2790" s="8" t="e">
        <v>#N/A</v>
      </c>
    </row>
    <row r="2791">
      <c r="A2791">
        <f>IFERROR(__xludf.DUMMYFUNCTION("""COMPUTED_VALUE"""),8.0)</f>
        <v>8</v>
      </c>
      <c r="B2791">
        <f>IFERROR(__xludf.DUMMYFUNCTION("""COMPUTED_VALUE"""),29015.0)</f>
        <v>29015</v>
      </c>
      <c r="C2791" t="str">
        <f>IFERROR(__xludf.DUMMYFUNCTION("""COMPUTED_VALUE"""),"ARISTIZABAL URIBE, MATIAS")</f>
        <v>ARISTIZABAL URIBE, MATIAS</v>
      </c>
      <c r="D2791" t="str">
        <f>IFERROR(__xludf.DUMMYFUNCTION("""COMPUTED_VALUE"""),"Band 8S1")</f>
        <v>Band 8S1</v>
      </c>
      <c r="E2791" s="31" t="str">
        <f>IFERROR(__xludf.DUMMYFUNCTION("""COMPUTED_VALUE"""),"5b")</f>
        <v>5b</v>
      </c>
      <c r="F2791" s="8">
        <v>1.0</v>
      </c>
      <c r="G2791" s="8">
        <v>1.0</v>
      </c>
      <c r="H2791" s="8">
        <v>1.0</v>
      </c>
      <c r="I2791" s="8">
        <v>1.0</v>
      </c>
      <c r="J2791" s="8">
        <v>1.0</v>
      </c>
      <c r="K2791" s="8">
        <v>1.0</v>
      </c>
      <c r="L2791" s="8">
        <v>6.0</v>
      </c>
      <c r="M2791" s="8"/>
      <c r="N2791" s="8"/>
      <c r="O2791" s="8" t="s">
        <v>831</v>
      </c>
      <c r="P2791" s="8" t="e">
        <v>#N/A</v>
      </c>
    </row>
    <row r="2792">
      <c r="A2792">
        <f>IFERROR(__xludf.DUMMYFUNCTION("""COMPUTED_VALUE"""),8.0)</f>
        <v>8</v>
      </c>
      <c r="B2792">
        <f>IFERROR(__xludf.DUMMYFUNCTION("""COMPUTED_VALUE"""),29016.0)</f>
        <v>29016</v>
      </c>
      <c r="C2792" t="str">
        <f>IFERROR(__xludf.DUMMYFUNCTION("""COMPUTED_VALUE"""),"ARROYAVE LONDOÑO, ELISA")</f>
        <v>ARROYAVE LONDOÑO, ELISA</v>
      </c>
      <c r="D2792" t="str">
        <f>IFERROR(__xludf.DUMMYFUNCTION("""COMPUTED_VALUE"""),"Tech 8S1")</f>
        <v>Tech 8S1</v>
      </c>
      <c r="E2792" s="31" t="str">
        <f>IFERROR(__xludf.DUMMYFUNCTION("""COMPUTED_VALUE"""),"4b")</f>
        <v>4b</v>
      </c>
      <c r="F2792" s="8">
        <v>1.0</v>
      </c>
      <c r="G2792" s="8">
        <v>1.0</v>
      </c>
      <c r="H2792" s="8">
        <v>1.0</v>
      </c>
      <c r="I2792" s="8">
        <v>1.0</v>
      </c>
      <c r="J2792" s="8">
        <v>1.0</v>
      </c>
      <c r="K2792" s="8">
        <v>1.0</v>
      </c>
      <c r="L2792" s="8">
        <v>6.0</v>
      </c>
      <c r="M2792" s="8"/>
      <c r="N2792" s="8"/>
      <c r="O2792" s="8" t="s">
        <v>826</v>
      </c>
      <c r="P2792" s="8" t="e">
        <v>#N/A</v>
      </c>
    </row>
    <row r="2793">
      <c r="A2793">
        <f>IFERROR(__xludf.DUMMYFUNCTION("""COMPUTED_VALUE"""),8.0)</f>
        <v>8</v>
      </c>
      <c r="B2793">
        <f>IFERROR(__xludf.DUMMYFUNCTION("""COMPUTED_VALUE"""),29018.0)</f>
        <v>29018</v>
      </c>
      <c r="C2793" t="str">
        <f>IFERROR(__xludf.DUMMYFUNCTION("""COMPUTED_VALUE"""),"BAENA GIRALDO, VIOLETA")</f>
        <v>BAENA GIRALDO, VIOLETA</v>
      </c>
      <c r="D2793" t="str">
        <f>IFERROR(__xludf.DUMMYFUNCTION("""COMPUTED_VALUE"""),"Band 8S1")</f>
        <v>Band 8S1</v>
      </c>
      <c r="E2793" s="31" t="str">
        <f>IFERROR(__xludf.DUMMYFUNCTION("""COMPUTED_VALUE"""),"5b")</f>
        <v>5b</v>
      </c>
      <c r="F2793" s="8">
        <v>1.0</v>
      </c>
      <c r="G2793" s="8">
        <v>1.0</v>
      </c>
      <c r="H2793" s="8">
        <v>1.0</v>
      </c>
      <c r="I2793" s="8">
        <v>1.0</v>
      </c>
      <c r="J2793" s="8">
        <v>1.0</v>
      </c>
      <c r="K2793" s="8">
        <v>1.0</v>
      </c>
      <c r="L2793" s="8">
        <v>6.0</v>
      </c>
      <c r="M2793" s="8"/>
      <c r="N2793" s="8"/>
      <c r="O2793" s="8" t="s">
        <v>831</v>
      </c>
      <c r="P2793" s="8" t="e">
        <v>#N/A</v>
      </c>
    </row>
    <row r="2794">
      <c r="A2794">
        <f>IFERROR(__xludf.DUMMYFUNCTION("""COMPUTED_VALUE"""),8.0)</f>
        <v>8</v>
      </c>
      <c r="B2794">
        <f>IFERROR(__xludf.DUMMYFUNCTION("""COMPUTED_VALUE"""),29019.0)</f>
        <v>29019</v>
      </c>
      <c r="C2794" t="str">
        <f>IFERROR(__xludf.DUMMYFUNCTION("""COMPUTED_VALUE"""),"BARRIENTOS ALVAREZ, ELISA")</f>
        <v>BARRIENTOS ALVAREZ, ELISA</v>
      </c>
      <c r="D2794" t="str">
        <f>IFERROR(__xludf.DUMMYFUNCTION("""COMPUTED_VALUE"""),"Tech 8S1")</f>
        <v>Tech 8S1</v>
      </c>
      <c r="E2794" s="31" t="str">
        <f>IFERROR(__xludf.DUMMYFUNCTION("""COMPUTED_VALUE"""),"4b")</f>
        <v>4b</v>
      </c>
      <c r="F2794" s="8">
        <v>1.0</v>
      </c>
      <c r="G2794" s="8">
        <v>1.0</v>
      </c>
      <c r="H2794" s="8">
        <v>1.0</v>
      </c>
      <c r="I2794" s="8">
        <v>1.0</v>
      </c>
      <c r="J2794" s="8">
        <v>1.0</v>
      </c>
      <c r="K2794" s="8">
        <v>1.0</v>
      </c>
      <c r="L2794" s="8">
        <v>6.0</v>
      </c>
      <c r="M2794" s="8"/>
      <c r="N2794" s="8"/>
      <c r="O2794" s="8" t="s">
        <v>826</v>
      </c>
      <c r="P2794" s="8" t="e">
        <v>#N/A</v>
      </c>
    </row>
    <row r="2795">
      <c r="A2795">
        <f>IFERROR(__xludf.DUMMYFUNCTION("""COMPUTED_VALUE"""),8.0)</f>
        <v>8</v>
      </c>
      <c r="B2795">
        <f>IFERROR(__xludf.DUMMYFUNCTION("""COMPUTED_VALUE"""),29160.0)</f>
        <v>29160</v>
      </c>
      <c r="C2795" t="str">
        <f>IFERROR(__xludf.DUMMYFUNCTION("""COMPUTED_VALUE"""),"BARRIOS CASTILLO, NICOLAS GUILLERMO")</f>
        <v>BARRIOS CASTILLO, NICOLAS GUILLERMO</v>
      </c>
      <c r="D2795" t="str">
        <f>IFERROR(__xludf.DUMMYFUNCTION("""COMPUTED_VALUE"""),"Art 8S1")</f>
        <v>Art 8S1</v>
      </c>
      <c r="E2795" s="31" t="str">
        <f>IFERROR(__xludf.DUMMYFUNCTION("""COMPUTED_VALUE"""),"5a")</f>
        <v>5a</v>
      </c>
      <c r="F2795" s="8">
        <v>1.0</v>
      </c>
      <c r="G2795" s="8">
        <v>1.0</v>
      </c>
      <c r="H2795" s="8">
        <v>1.0</v>
      </c>
      <c r="I2795" s="8">
        <v>1.0</v>
      </c>
      <c r="J2795" s="8">
        <v>1.0</v>
      </c>
      <c r="K2795" s="8">
        <v>1.0</v>
      </c>
      <c r="L2795" s="8">
        <v>6.0</v>
      </c>
      <c r="M2795" s="8"/>
      <c r="N2795" s="8"/>
      <c r="O2795" s="8" t="s">
        <v>832</v>
      </c>
      <c r="P2795" s="8" t="e">
        <v>#N/A</v>
      </c>
    </row>
    <row r="2796">
      <c r="A2796">
        <f>IFERROR(__xludf.DUMMYFUNCTION("""COMPUTED_VALUE"""),8.0)</f>
        <v>8</v>
      </c>
      <c r="B2796">
        <f>IFERROR(__xludf.DUMMYFUNCTION("""COMPUTED_VALUE"""),29020.0)</f>
        <v>29020</v>
      </c>
      <c r="C2796" t="str">
        <f>IFERROR(__xludf.DUMMYFUNCTION("""COMPUTED_VALUE"""),"BETANCOURT QUINTERO, LUCAS")</f>
        <v>BETANCOURT QUINTERO, LUCAS</v>
      </c>
      <c r="D2796" t="str">
        <f>IFERROR(__xludf.DUMMYFUNCTION("""COMPUTED_VALUE"""),"Band 8S1")</f>
        <v>Band 8S1</v>
      </c>
      <c r="E2796" s="31" t="str">
        <f>IFERROR(__xludf.DUMMYFUNCTION("""COMPUTED_VALUE"""),"6b")</f>
        <v>6b</v>
      </c>
      <c r="F2796" s="8">
        <v>1.0</v>
      </c>
      <c r="G2796" s="8">
        <v>1.0</v>
      </c>
      <c r="H2796" s="8">
        <v>1.0</v>
      </c>
      <c r="I2796" s="8">
        <v>1.0</v>
      </c>
      <c r="J2796" s="8">
        <v>1.0</v>
      </c>
      <c r="K2796" s="8">
        <v>1.0</v>
      </c>
      <c r="L2796" s="8">
        <v>6.0</v>
      </c>
      <c r="M2796" s="8"/>
      <c r="N2796" s="8"/>
      <c r="O2796" s="8" t="s">
        <v>829</v>
      </c>
      <c r="P2796" s="8" t="e">
        <v>#N/A</v>
      </c>
    </row>
    <row r="2797">
      <c r="A2797">
        <f>IFERROR(__xludf.DUMMYFUNCTION("""COMPUTED_VALUE"""),8.0)</f>
        <v>8</v>
      </c>
      <c r="B2797">
        <f>IFERROR(__xludf.DUMMYFUNCTION("""COMPUTED_VALUE"""),29021.0)</f>
        <v>29021</v>
      </c>
      <c r="C2797" t="str">
        <f>IFERROR(__xludf.DUMMYFUNCTION("""COMPUTED_VALUE"""),"BETANCOURT QUINTERO, SIMON")</f>
        <v>BETANCOURT QUINTERO, SIMON</v>
      </c>
      <c r="D2797" t="str">
        <f>IFERROR(__xludf.DUMMYFUNCTION("""COMPUTED_VALUE"""),"Band 8S1")</f>
        <v>Band 8S1</v>
      </c>
      <c r="E2797" s="31" t="str">
        <f>IFERROR(__xludf.DUMMYFUNCTION("""COMPUTED_VALUE"""),"6b")</f>
        <v>6b</v>
      </c>
      <c r="F2797" s="8">
        <v>1.0</v>
      </c>
      <c r="G2797" s="8">
        <v>1.0</v>
      </c>
      <c r="H2797" s="8">
        <v>1.0</v>
      </c>
      <c r="I2797" s="8">
        <v>1.0</v>
      </c>
      <c r="J2797" s="8">
        <v>1.0</v>
      </c>
      <c r="K2797" s="8">
        <v>1.0</v>
      </c>
      <c r="L2797" s="8">
        <v>6.0</v>
      </c>
      <c r="M2797" s="8"/>
      <c r="N2797" s="8"/>
      <c r="O2797" s="8" t="s">
        <v>829</v>
      </c>
      <c r="P2797" s="8" t="e">
        <v>#N/A</v>
      </c>
    </row>
    <row r="2798">
      <c r="A2798">
        <f>IFERROR(__xludf.DUMMYFUNCTION("""COMPUTED_VALUE"""),8.0)</f>
        <v>8</v>
      </c>
      <c r="B2798">
        <f>IFERROR(__xludf.DUMMYFUNCTION("""COMPUTED_VALUE"""),29022.0)</f>
        <v>29022</v>
      </c>
      <c r="C2798" t="str">
        <f>IFERROR(__xludf.DUMMYFUNCTION("""COMPUTED_VALUE"""),"BETANCUR ROBLEDO, PEDRO")</f>
        <v>BETANCUR ROBLEDO, PEDRO</v>
      </c>
      <c r="D2798" t="str">
        <f>IFERROR(__xludf.DUMMYFUNCTION("""COMPUTED_VALUE"""),"Band 8S1")</f>
        <v>Band 8S1</v>
      </c>
      <c r="E2798" s="31" t="str">
        <f>IFERROR(__xludf.DUMMYFUNCTION("""COMPUTED_VALUE"""),"2a")</f>
        <v>2a</v>
      </c>
      <c r="F2798" s="8">
        <v>1.0</v>
      </c>
      <c r="G2798" s="8">
        <v>1.0</v>
      </c>
      <c r="H2798" s="8">
        <v>1.0</v>
      </c>
      <c r="I2798" s="8">
        <v>1.0</v>
      </c>
      <c r="J2798" s="8">
        <v>1.0</v>
      </c>
      <c r="K2798" s="8">
        <v>1.0</v>
      </c>
      <c r="L2798" s="8">
        <v>6.0</v>
      </c>
      <c r="M2798" s="8"/>
      <c r="N2798" s="8"/>
      <c r="O2798" s="8" t="s">
        <v>830</v>
      </c>
      <c r="P2798" s="8" t="e">
        <v>#N/A</v>
      </c>
    </row>
    <row r="2799">
      <c r="A2799">
        <f>IFERROR(__xludf.DUMMYFUNCTION("""COMPUTED_VALUE"""),8.0)</f>
        <v>8</v>
      </c>
      <c r="B2799">
        <f>IFERROR(__xludf.DUMMYFUNCTION("""COMPUTED_VALUE"""),29167.0)</f>
        <v>29167</v>
      </c>
      <c r="C2799" t="str">
        <f>IFERROR(__xludf.DUMMYFUNCTION("""COMPUTED_VALUE"""),"BISHOP, JULIETTE ROSE")</f>
        <v>BISHOP, JULIETTE ROSE</v>
      </c>
      <c r="D2799" t="str">
        <f>IFERROR(__xludf.DUMMYFUNCTION("""COMPUTED_VALUE"""),"Band 8S1")</f>
        <v>Band 8S1</v>
      </c>
      <c r="E2799" s="31" t="str">
        <f>IFERROR(__xludf.DUMMYFUNCTION("""COMPUTED_VALUE"""),"5b")</f>
        <v>5b</v>
      </c>
      <c r="F2799" s="8">
        <v>1.0</v>
      </c>
      <c r="G2799" s="8">
        <v>1.0</v>
      </c>
      <c r="H2799" s="8">
        <v>1.0</v>
      </c>
      <c r="I2799" s="8">
        <v>1.0</v>
      </c>
      <c r="J2799" s="8">
        <v>1.0</v>
      </c>
      <c r="K2799" s="8">
        <v>1.0</v>
      </c>
      <c r="L2799" s="8">
        <v>6.0</v>
      </c>
      <c r="M2799" s="8"/>
      <c r="N2799" s="8"/>
      <c r="O2799" s="8" t="s">
        <v>831</v>
      </c>
      <c r="P2799" s="8" t="e">
        <v>#N/A</v>
      </c>
    </row>
    <row r="2800">
      <c r="A2800">
        <f>IFERROR(__xludf.DUMMYFUNCTION("""COMPUTED_VALUE"""),8.0)</f>
        <v>8</v>
      </c>
      <c r="B2800">
        <f>IFERROR(__xludf.DUMMYFUNCTION("""COMPUTED_VALUE"""),29023.0)</f>
        <v>29023</v>
      </c>
      <c r="C2800" t="str">
        <f>IFERROR(__xludf.DUMMYFUNCTION("""COMPUTED_VALUE"""),"BOTERO DEL CORRAL, EMILIANA")</f>
        <v>BOTERO DEL CORRAL, EMILIANA</v>
      </c>
      <c r="D2800" t="str">
        <f>IFERROR(__xludf.DUMMYFUNCTION("""COMPUTED_VALUE"""),"Tech 8S1")</f>
        <v>Tech 8S1</v>
      </c>
      <c r="E2800" s="31" t="str">
        <f>IFERROR(__xludf.DUMMYFUNCTION("""COMPUTED_VALUE"""),"4b")</f>
        <v>4b</v>
      </c>
      <c r="F2800" s="8">
        <v>1.0</v>
      </c>
      <c r="G2800" s="8">
        <v>1.0</v>
      </c>
      <c r="H2800" s="8">
        <v>1.0</v>
      </c>
      <c r="I2800" s="8">
        <v>1.0</v>
      </c>
      <c r="J2800" s="8">
        <v>1.0</v>
      </c>
      <c r="K2800" s="8">
        <v>1.0</v>
      </c>
      <c r="L2800" s="8">
        <v>6.0</v>
      </c>
      <c r="M2800" s="8"/>
      <c r="N2800" s="8"/>
      <c r="O2800" s="8" t="s">
        <v>826</v>
      </c>
      <c r="P2800" s="8" t="e">
        <v>#N/A</v>
      </c>
    </row>
    <row r="2801">
      <c r="A2801">
        <f>IFERROR(__xludf.DUMMYFUNCTION("""COMPUTED_VALUE"""),8.0)</f>
        <v>8</v>
      </c>
      <c r="B2801">
        <f>IFERROR(__xludf.DUMMYFUNCTION("""COMPUTED_VALUE"""),29161.0)</f>
        <v>29161</v>
      </c>
      <c r="C2801" t="str">
        <f>IFERROR(__xludf.DUMMYFUNCTION("""COMPUTED_VALUE"""),"BURKHALTER, ESPERANZA JOY")</f>
        <v>BURKHALTER, ESPERANZA JOY</v>
      </c>
      <c r="D2801" t="str">
        <f>IFERROR(__xludf.DUMMYFUNCTION("""COMPUTED_VALUE"""),"Band 8S1")</f>
        <v>Band 8S1</v>
      </c>
      <c r="E2801" s="31" t="str">
        <f>IFERROR(__xludf.DUMMYFUNCTION("""COMPUTED_VALUE"""),"6b")</f>
        <v>6b</v>
      </c>
      <c r="F2801" s="8">
        <v>1.0</v>
      </c>
      <c r="G2801" s="8">
        <v>1.0</v>
      </c>
      <c r="H2801" s="8">
        <v>1.0</v>
      </c>
      <c r="I2801" s="8">
        <v>1.0</v>
      </c>
      <c r="J2801" s="8">
        <v>1.0</v>
      </c>
      <c r="K2801" s="8">
        <v>1.0</v>
      </c>
      <c r="L2801" s="8">
        <v>6.0</v>
      </c>
      <c r="M2801" s="8"/>
      <c r="N2801" s="8"/>
      <c r="O2801" s="8" t="s">
        <v>829</v>
      </c>
      <c r="P2801" s="8" t="e">
        <v>#N/A</v>
      </c>
    </row>
    <row r="2802">
      <c r="A2802">
        <f>IFERROR(__xludf.DUMMYFUNCTION("""COMPUTED_VALUE"""),8.0)</f>
        <v>8</v>
      </c>
      <c r="B2802">
        <f>IFERROR(__xludf.DUMMYFUNCTION("""COMPUTED_VALUE"""),29150.0)</f>
        <v>29150</v>
      </c>
      <c r="C2802" t="str">
        <f>IFERROR(__xludf.DUMMYFUNCTION("""COMPUTED_VALUE"""),"CABAL AYALA, MARTINA")</f>
        <v>CABAL AYALA, MARTINA</v>
      </c>
      <c r="D2802" t="str">
        <f>IFERROR(__xludf.DUMMYFUNCTION("""COMPUTED_VALUE"""),"Tech 8S1")</f>
        <v>Tech 8S1</v>
      </c>
      <c r="E2802" s="31" t="str">
        <f>IFERROR(__xludf.DUMMYFUNCTION("""COMPUTED_VALUE"""),"5a")</f>
        <v>5a</v>
      </c>
      <c r="F2802" s="8">
        <v>1.0</v>
      </c>
      <c r="G2802" s="8">
        <v>1.0</v>
      </c>
      <c r="H2802" s="8">
        <v>1.0</v>
      </c>
      <c r="I2802" s="8">
        <v>1.0</v>
      </c>
      <c r="J2802" s="8">
        <v>1.0</v>
      </c>
      <c r="K2802" s="8">
        <v>1.0</v>
      </c>
      <c r="L2802" s="8">
        <v>6.0</v>
      </c>
      <c r="M2802" s="8"/>
      <c r="N2802" s="8"/>
      <c r="O2802" s="8" t="s">
        <v>828</v>
      </c>
      <c r="P2802" s="8" t="e">
        <v>#N/A</v>
      </c>
    </row>
    <row r="2803">
      <c r="A2803">
        <f>IFERROR(__xludf.DUMMYFUNCTION("""COMPUTED_VALUE"""),8.0)</f>
        <v>8</v>
      </c>
      <c r="B2803">
        <f>IFERROR(__xludf.DUMMYFUNCTION("""COMPUTED_VALUE"""),29024.0)</f>
        <v>29024</v>
      </c>
      <c r="C2803" t="str">
        <f>IFERROR(__xludf.DUMMYFUNCTION("""COMPUTED_VALUE"""),"CADAVID RESTREPO, LUIS FERNANDO")</f>
        <v>CADAVID RESTREPO, LUIS FERNANDO</v>
      </c>
      <c r="D2803" t="str">
        <f>IFERROR(__xludf.DUMMYFUNCTION("""COMPUTED_VALUE"""),"Band 8S1")</f>
        <v>Band 8S1</v>
      </c>
      <c r="E2803" s="31" t="str">
        <f>IFERROR(__xludf.DUMMYFUNCTION("""COMPUTED_VALUE"""),"1b")</f>
        <v>1b</v>
      </c>
      <c r="F2803" s="8">
        <v>1.0</v>
      </c>
      <c r="G2803" s="8">
        <v>1.0</v>
      </c>
      <c r="H2803" s="8">
        <v>1.0</v>
      </c>
      <c r="I2803" s="8">
        <v>1.0</v>
      </c>
      <c r="J2803" s="8">
        <v>1.0</v>
      </c>
      <c r="K2803" s="8">
        <v>1.0</v>
      </c>
      <c r="L2803" s="8">
        <v>6.0</v>
      </c>
      <c r="M2803" s="8"/>
      <c r="N2803" s="8"/>
      <c r="O2803" s="8" t="s">
        <v>827</v>
      </c>
      <c r="P2803" s="8" t="e">
        <v>#N/A</v>
      </c>
    </row>
    <row r="2804">
      <c r="A2804">
        <f>IFERROR(__xludf.DUMMYFUNCTION("""COMPUTED_VALUE"""),8.0)</f>
        <v>8</v>
      </c>
      <c r="B2804">
        <f>IFERROR(__xludf.DUMMYFUNCTION("""COMPUTED_VALUE"""),29025.0)</f>
        <v>29025</v>
      </c>
      <c r="C2804" t="str">
        <f>IFERROR(__xludf.DUMMYFUNCTION("""COMPUTED_VALUE"""),"CALLE BUITRAGO, ESTEBAN")</f>
        <v>CALLE BUITRAGO, ESTEBAN</v>
      </c>
      <c r="D2804" t="str">
        <f>IFERROR(__xludf.DUMMYFUNCTION("""COMPUTED_VALUE"""),"Band 8S1")</f>
        <v>Band 8S1</v>
      </c>
      <c r="E2804" s="31" t="str">
        <f>IFERROR(__xludf.DUMMYFUNCTION("""COMPUTED_VALUE"""),"5b")</f>
        <v>5b</v>
      </c>
      <c r="F2804" s="8">
        <v>1.0</v>
      </c>
      <c r="G2804" s="8">
        <v>1.0</v>
      </c>
      <c r="H2804" s="8">
        <v>1.0</v>
      </c>
      <c r="I2804" s="8">
        <v>1.0</v>
      </c>
      <c r="J2804" s="8">
        <v>1.0</v>
      </c>
      <c r="K2804" s="8">
        <v>1.0</v>
      </c>
      <c r="L2804" s="8">
        <v>6.0</v>
      </c>
      <c r="M2804" s="8"/>
      <c r="N2804" s="8"/>
      <c r="O2804" s="8" t="s">
        <v>831</v>
      </c>
      <c r="P2804" s="8" t="e">
        <v>#N/A</v>
      </c>
    </row>
    <row r="2805">
      <c r="A2805">
        <f>IFERROR(__xludf.DUMMYFUNCTION("""COMPUTED_VALUE"""),8.0)</f>
        <v>8</v>
      </c>
      <c r="B2805">
        <f>IFERROR(__xludf.DUMMYFUNCTION("""COMPUTED_VALUE"""),29027.0)</f>
        <v>29027</v>
      </c>
      <c r="C2805" t="str">
        <f>IFERROR(__xludf.DUMMYFUNCTION("""COMPUTED_VALUE"""),"CARDONA VELEZ, MATIAS")</f>
        <v>CARDONA VELEZ, MATIAS</v>
      </c>
      <c r="D2805" t="str">
        <f>IFERROR(__xludf.DUMMYFUNCTION("""COMPUTED_VALUE"""),"Band 8S1")</f>
        <v>Band 8S1</v>
      </c>
      <c r="E2805" s="31" t="str">
        <f>IFERROR(__xludf.DUMMYFUNCTION("""COMPUTED_VALUE"""),"1b")</f>
        <v>1b</v>
      </c>
      <c r="F2805" s="8">
        <v>1.0</v>
      </c>
      <c r="G2805" s="8">
        <v>1.0</v>
      </c>
      <c r="H2805" s="8">
        <v>1.0</v>
      </c>
      <c r="I2805" s="8">
        <v>1.0</v>
      </c>
      <c r="J2805" s="8">
        <v>1.0</v>
      </c>
      <c r="K2805" s="8">
        <v>1.0</v>
      </c>
      <c r="L2805" s="8">
        <v>6.0</v>
      </c>
      <c r="M2805" s="8"/>
      <c r="N2805" s="8"/>
      <c r="O2805" s="8" t="s">
        <v>827</v>
      </c>
      <c r="P2805" s="8" t="e">
        <v>#N/A</v>
      </c>
    </row>
    <row r="2806">
      <c r="A2806">
        <f>IFERROR(__xludf.DUMMYFUNCTION("""COMPUTED_VALUE"""),8.0)</f>
        <v>8</v>
      </c>
      <c r="B2806">
        <f>IFERROR(__xludf.DUMMYFUNCTION("""COMPUTED_VALUE"""),29028.0)</f>
        <v>29028</v>
      </c>
      <c r="C2806" t="str">
        <f>IFERROR(__xludf.DUMMYFUNCTION("""COMPUTED_VALUE"""),"CARVAJAL ACOSTA, MARTIN")</f>
        <v>CARVAJAL ACOSTA, MARTIN</v>
      </c>
      <c r="D2806" t="str">
        <f>IFERROR(__xludf.DUMMYFUNCTION("""COMPUTED_VALUE"""),"Band 8S1")</f>
        <v>Band 8S1</v>
      </c>
      <c r="E2806" s="31" t="str">
        <f>IFERROR(__xludf.DUMMYFUNCTION("""COMPUTED_VALUE"""),"2a")</f>
        <v>2a</v>
      </c>
      <c r="F2806" s="8">
        <v>1.0</v>
      </c>
      <c r="G2806" s="8">
        <v>1.0</v>
      </c>
      <c r="H2806" s="8">
        <v>1.0</v>
      </c>
      <c r="I2806" s="8">
        <v>1.0</v>
      </c>
      <c r="J2806" s="8">
        <v>1.0</v>
      </c>
      <c r="K2806" s="8">
        <v>1.0</v>
      </c>
      <c r="L2806" s="8">
        <v>6.0</v>
      </c>
      <c r="M2806" s="8"/>
      <c r="N2806" s="8"/>
      <c r="O2806" s="8" t="s">
        <v>830</v>
      </c>
      <c r="P2806" s="8" t="e">
        <v>#N/A</v>
      </c>
    </row>
    <row r="2807">
      <c r="A2807">
        <f>IFERROR(__xludf.DUMMYFUNCTION("""COMPUTED_VALUE"""),8.0)</f>
        <v>8</v>
      </c>
      <c r="B2807">
        <f>IFERROR(__xludf.DUMMYFUNCTION("""COMPUTED_VALUE"""),29029.0)</f>
        <v>29029</v>
      </c>
      <c r="C2807" t="str">
        <f>IFERROR(__xludf.DUMMYFUNCTION("""COMPUTED_VALUE"""),"CHAVARRIAGA MESA, GREGORIO")</f>
        <v>CHAVARRIAGA MESA, GREGORIO</v>
      </c>
      <c r="D2807" t="str">
        <f>IFERROR(__xludf.DUMMYFUNCTION("""COMPUTED_VALUE"""),"Band 8S1")</f>
        <v>Band 8S1</v>
      </c>
      <c r="E2807" s="31" t="str">
        <f>IFERROR(__xludf.DUMMYFUNCTION("""COMPUTED_VALUE"""),"5b")</f>
        <v>5b</v>
      </c>
      <c r="F2807" s="8">
        <v>1.0</v>
      </c>
      <c r="G2807" s="8">
        <v>1.0</v>
      </c>
      <c r="H2807" s="8">
        <v>1.0</v>
      </c>
      <c r="I2807" s="8">
        <v>1.0</v>
      </c>
      <c r="J2807" s="8">
        <v>1.0</v>
      </c>
      <c r="K2807" s="8">
        <v>1.0</v>
      </c>
      <c r="L2807" s="8">
        <v>6.0</v>
      </c>
      <c r="M2807" s="8"/>
      <c r="N2807" s="8"/>
      <c r="O2807" s="8" t="s">
        <v>831</v>
      </c>
      <c r="P2807" s="8" t="e">
        <v>#N/A</v>
      </c>
    </row>
    <row r="2808">
      <c r="A2808">
        <f>IFERROR(__xludf.DUMMYFUNCTION("""COMPUTED_VALUE"""),8.0)</f>
        <v>8</v>
      </c>
      <c r="B2808">
        <f>IFERROR(__xludf.DUMMYFUNCTION("""COMPUTED_VALUE"""),29136.0)</f>
        <v>29136</v>
      </c>
      <c r="C2808" t="str">
        <f>IFERROR(__xludf.DUMMYFUNCTION("""COMPUTED_VALUE"""),"CHOPRA, HARSHUL")</f>
        <v>CHOPRA, HARSHUL</v>
      </c>
      <c r="D2808" t="str">
        <f>IFERROR(__xludf.DUMMYFUNCTION("""COMPUTED_VALUE"""),"Band 8S1")</f>
        <v>Band 8S1</v>
      </c>
      <c r="E2808" s="31" t="str">
        <f>IFERROR(__xludf.DUMMYFUNCTION("""COMPUTED_VALUE"""),"1b")</f>
        <v>1b</v>
      </c>
      <c r="F2808" s="8">
        <v>1.0</v>
      </c>
      <c r="G2808" s="8">
        <v>1.0</v>
      </c>
      <c r="H2808" s="8">
        <v>1.0</v>
      </c>
      <c r="I2808" s="8">
        <v>1.0</v>
      </c>
      <c r="J2808" s="8">
        <v>1.0</v>
      </c>
      <c r="K2808" s="8">
        <v>1.0</v>
      </c>
      <c r="L2808" s="8">
        <v>6.0</v>
      </c>
      <c r="M2808" s="8"/>
      <c r="N2808" s="8"/>
      <c r="O2808" s="8" t="s">
        <v>827</v>
      </c>
      <c r="P2808" s="8" t="e">
        <v>#N/A</v>
      </c>
    </row>
    <row r="2809">
      <c r="A2809">
        <f>IFERROR(__xludf.DUMMYFUNCTION("""COMPUTED_VALUE"""),8.0)</f>
        <v>8</v>
      </c>
      <c r="B2809">
        <f>IFERROR(__xludf.DUMMYFUNCTION("""COMPUTED_VALUE"""),28023.0)</f>
        <v>28023</v>
      </c>
      <c r="C2809" t="str">
        <f>IFERROR(__xludf.DUMMYFUNCTION("""COMPUTED_VALUE"""),"CLAVIJO GIRALDO, LORENZO")</f>
        <v>CLAVIJO GIRALDO, LORENZO</v>
      </c>
      <c r="D2809" t="str">
        <f>IFERROR(__xludf.DUMMYFUNCTION("""COMPUTED_VALUE"""),"Band 8S1")</f>
        <v>Band 8S1</v>
      </c>
      <c r="E2809" s="31" t="str">
        <f>IFERROR(__xludf.DUMMYFUNCTION("""COMPUTED_VALUE"""),"6b")</f>
        <v>6b</v>
      </c>
      <c r="F2809" s="8">
        <v>1.0</v>
      </c>
      <c r="G2809" s="8">
        <v>1.0</v>
      </c>
      <c r="H2809" s="8">
        <v>1.0</v>
      </c>
      <c r="I2809" s="8">
        <v>1.0</v>
      </c>
      <c r="J2809" s="8">
        <v>1.0</v>
      </c>
      <c r="K2809" s="8">
        <v>1.0</v>
      </c>
      <c r="L2809" s="8">
        <v>6.0</v>
      </c>
      <c r="M2809" s="8"/>
      <c r="N2809" s="8"/>
      <c r="O2809" s="8" t="s">
        <v>829</v>
      </c>
      <c r="P2809" s="8" t="e">
        <v>#N/A</v>
      </c>
    </row>
    <row r="2810">
      <c r="A2810">
        <f>IFERROR(__xludf.DUMMYFUNCTION("""COMPUTED_VALUE"""),8.0)</f>
        <v>8</v>
      </c>
      <c r="B2810">
        <f>IFERROR(__xludf.DUMMYFUNCTION("""COMPUTED_VALUE"""),29030.0)</f>
        <v>29030</v>
      </c>
      <c r="C2810" t="str">
        <f>IFERROR(__xludf.DUMMYFUNCTION("""COMPUTED_VALUE"""),"COCK ECHEVERRI, JULIETA")</f>
        <v>COCK ECHEVERRI, JULIETA</v>
      </c>
      <c r="D2810" t="str">
        <f>IFERROR(__xludf.DUMMYFUNCTION("""COMPUTED_VALUE"""),"Band 8S1")</f>
        <v>Band 8S1</v>
      </c>
      <c r="E2810" s="31" t="str">
        <f>IFERROR(__xludf.DUMMYFUNCTION("""COMPUTED_VALUE"""),"1b")</f>
        <v>1b</v>
      </c>
      <c r="F2810" s="8">
        <v>1.0</v>
      </c>
      <c r="G2810" s="8">
        <v>1.0</v>
      </c>
      <c r="H2810" s="8">
        <v>1.0</v>
      </c>
      <c r="I2810" s="8">
        <v>1.0</v>
      </c>
      <c r="J2810" s="8">
        <v>1.0</v>
      </c>
      <c r="K2810" s="8">
        <v>1.0</v>
      </c>
      <c r="L2810" s="8">
        <v>6.0</v>
      </c>
      <c r="M2810" s="8"/>
      <c r="N2810" s="8"/>
      <c r="O2810" s="8" t="s">
        <v>827</v>
      </c>
      <c r="P2810" s="8" t="e">
        <v>#N/A</v>
      </c>
    </row>
    <row r="2811">
      <c r="A2811">
        <f>IFERROR(__xludf.DUMMYFUNCTION("""COMPUTED_VALUE"""),8.0)</f>
        <v>8</v>
      </c>
      <c r="B2811">
        <f>IFERROR(__xludf.DUMMYFUNCTION("""COMPUTED_VALUE"""),29164.0)</f>
        <v>29164</v>
      </c>
      <c r="C2811" t="str">
        <f>IFERROR(__xludf.DUMMYFUNCTION("""COMPUTED_VALUE"""),"CONCHA VELASCO, LORENZO")</f>
        <v>CONCHA VELASCO, LORENZO</v>
      </c>
      <c r="D2811" t="str">
        <f>IFERROR(__xludf.DUMMYFUNCTION("""COMPUTED_VALUE"""),"Band 8S1")</f>
        <v>Band 8S1</v>
      </c>
      <c r="E2811" s="31" t="str">
        <f>IFERROR(__xludf.DUMMYFUNCTION("""COMPUTED_VALUE"""),"1b")</f>
        <v>1b</v>
      </c>
      <c r="F2811" s="8">
        <v>1.0</v>
      </c>
      <c r="G2811" s="8">
        <v>1.0</v>
      </c>
      <c r="H2811" s="8">
        <v>1.0</v>
      </c>
      <c r="I2811" s="8">
        <v>1.0</v>
      </c>
      <c r="J2811" s="8">
        <v>1.0</v>
      </c>
      <c r="K2811" s="8">
        <v>1.0</v>
      </c>
      <c r="L2811" s="8">
        <v>6.0</v>
      </c>
      <c r="M2811" s="8"/>
      <c r="N2811" s="8"/>
      <c r="O2811" s="8" t="s">
        <v>827</v>
      </c>
      <c r="P2811" s="8" t="e">
        <v>#N/A</v>
      </c>
    </row>
    <row r="2812">
      <c r="A2812">
        <f>IFERROR(__xludf.DUMMYFUNCTION("""COMPUTED_VALUE"""),8.0)</f>
        <v>8</v>
      </c>
      <c r="B2812">
        <f>IFERROR(__xludf.DUMMYFUNCTION("""COMPUTED_VALUE"""),29032.0)</f>
        <v>29032</v>
      </c>
      <c r="C2812" t="str">
        <f>IFERROR(__xludf.DUMMYFUNCTION("""COMPUTED_VALUE"""),"CORTES SIERRA, TOMAS")</f>
        <v>CORTES SIERRA, TOMAS</v>
      </c>
      <c r="D2812" t="str">
        <f>IFERROR(__xludf.DUMMYFUNCTION("""COMPUTED_VALUE"""),"Band 8S1")</f>
        <v>Band 8S1</v>
      </c>
      <c r="E2812" s="31" t="str">
        <f>IFERROR(__xludf.DUMMYFUNCTION("""COMPUTED_VALUE"""),"6b")</f>
        <v>6b</v>
      </c>
      <c r="F2812" s="8">
        <v>1.0</v>
      </c>
      <c r="G2812" s="8">
        <v>1.0</v>
      </c>
      <c r="H2812" s="8">
        <v>1.0</v>
      </c>
      <c r="I2812" s="8">
        <v>1.0</v>
      </c>
      <c r="J2812" s="8">
        <v>1.0</v>
      </c>
      <c r="K2812" s="8">
        <v>1.0</v>
      </c>
      <c r="L2812" s="8">
        <v>6.0</v>
      </c>
      <c r="M2812" s="8"/>
      <c r="N2812" s="8"/>
      <c r="O2812" s="8" t="s">
        <v>829</v>
      </c>
      <c r="P2812" s="8" t="e">
        <v>#N/A</v>
      </c>
    </row>
    <row r="2813">
      <c r="A2813">
        <f>IFERROR(__xludf.DUMMYFUNCTION("""COMPUTED_VALUE"""),8.0)</f>
        <v>8</v>
      </c>
      <c r="B2813">
        <f>IFERROR(__xludf.DUMMYFUNCTION("""COMPUTED_VALUE"""),29165.0)</f>
        <v>29165</v>
      </c>
      <c r="C2813" t="str">
        <f>IFERROR(__xludf.DUMMYFUNCTION("""COMPUTED_VALUE"""),"DOMINGUEZ JORGENSEN, MARCELO")</f>
        <v>DOMINGUEZ JORGENSEN, MARCELO</v>
      </c>
      <c r="D2813" t="str">
        <f>IFERROR(__xludf.DUMMYFUNCTION("""COMPUTED_VALUE"""),"Band 8S1")</f>
        <v>Band 8S1</v>
      </c>
      <c r="E2813" s="31" t="str">
        <f>IFERROR(__xludf.DUMMYFUNCTION("""COMPUTED_VALUE"""),"6b")</f>
        <v>6b</v>
      </c>
      <c r="F2813" s="8">
        <v>1.0</v>
      </c>
      <c r="G2813" s="8">
        <v>1.0</v>
      </c>
      <c r="H2813" s="8">
        <v>1.0</v>
      </c>
      <c r="I2813" s="8">
        <v>1.0</v>
      </c>
      <c r="J2813" s="8">
        <v>1.0</v>
      </c>
      <c r="K2813" s="8">
        <v>1.0</v>
      </c>
      <c r="L2813" s="8">
        <v>6.0</v>
      </c>
      <c r="M2813" s="8"/>
      <c r="N2813" s="8"/>
      <c r="O2813" s="8" t="s">
        <v>829</v>
      </c>
      <c r="P2813" s="8" t="e">
        <v>#N/A</v>
      </c>
    </row>
    <row r="2814">
      <c r="A2814">
        <f>IFERROR(__xludf.DUMMYFUNCTION("""COMPUTED_VALUE"""),8.0)</f>
        <v>8</v>
      </c>
      <c r="B2814">
        <f>IFERROR(__xludf.DUMMYFUNCTION("""COMPUTED_VALUE"""),29034.0)</f>
        <v>29034</v>
      </c>
      <c r="C2814" t="str">
        <f>IFERROR(__xludf.DUMMYFUNCTION("""COMPUTED_VALUE"""),"DUQUE BONNETT, ELISA")</f>
        <v>DUQUE BONNETT, ELISA</v>
      </c>
      <c r="D2814" t="str">
        <f>IFERROR(__xludf.DUMMYFUNCTION("""COMPUTED_VALUE"""),"Band 8S1")</f>
        <v>Band 8S1</v>
      </c>
      <c r="E2814" s="31" t="str">
        <f>IFERROR(__xludf.DUMMYFUNCTION("""COMPUTED_VALUE"""),"2a")</f>
        <v>2a</v>
      </c>
      <c r="F2814" s="8">
        <v>1.0</v>
      </c>
      <c r="G2814" s="8">
        <v>1.0</v>
      </c>
      <c r="H2814" s="8">
        <v>1.0</v>
      </c>
      <c r="I2814" s="8">
        <v>1.0</v>
      </c>
      <c r="J2814" s="8">
        <v>1.0</v>
      </c>
      <c r="K2814" s="8">
        <v>1.0</v>
      </c>
      <c r="L2814" s="8">
        <v>6.0</v>
      </c>
      <c r="M2814" s="8"/>
      <c r="N2814" s="8"/>
      <c r="O2814" s="8" t="s">
        <v>830</v>
      </c>
      <c r="P2814" s="8" t="e">
        <v>#N/A</v>
      </c>
    </row>
    <row r="2815">
      <c r="A2815">
        <f>IFERROR(__xludf.DUMMYFUNCTION("""COMPUTED_VALUE"""),8.0)</f>
        <v>8</v>
      </c>
      <c r="B2815">
        <f>IFERROR(__xludf.DUMMYFUNCTION("""COMPUTED_VALUE"""),29035.0)</f>
        <v>29035</v>
      </c>
      <c r="C2815" t="str">
        <f>IFERROR(__xludf.DUMMYFUNCTION("""COMPUTED_VALUE"""),"DURAN CALAD, MIGUEL")</f>
        <v>DURAN CALAD, MIGUEL</v>
      </c>
      <c r="D2815" t="str">
        <f>IFERROR(__xludf.DUMMYFUNCTION("""COMPUTED_VALUE"""),"Tech 8S1")</f>
        <v>Tech 8S1</v>
      </c>
      <c r="E2815" s="31" t="str">
        <f>IFERROR(__xludf.DUMMYFUNCTION("""COMPUTED_VALUE"""),"5a")</f>
        <v>5a</v>
      </c>
      <c r="F2815" s="8">
        <v>1.0</v>
      </c>
      <c r="G2815" s="8">
        <v>1.0</v>
      </c>
      <c r="H2815" s="8">
        <v>1.0</v>
      </c>
      <c r="I2815" s="8">
        <v>1.0</v>
      </c>
      <c r="J2815" s="8">
        <v>1.0</v>
      </c>
      <c r="K2815" s="8">
        <v>1.0</v>
      </c>
      <c r="L2815" s="8">
        <v>6.0</v>
      </c>
      <c r="M2815" s="8"/>
      <c r="N2815" s="8"/>
      <c r="O2815" s="8" t="s">
        <v>828</v>
      </c>
      <c r="P2815" s="8" t="e">
        <v>#N/A</v>
      </c>
    </row>
    <row r="2816">
      <c r="A2816">
        <f>IFERROR(__xludf.DUMMYFUNCTION("""COMPUTED_VALUE"""),8.0)</f>
        <v>8</v>
      </c>
      <c r="B2816">
        <f>IFERROR(__xludf.DUMMYFUNCTION("""COMPUTED_VALUE"""),29135.0)</f>
        <v>29135</v>
      </c>
      <c r="C2816" t="str">
        <f>IFERROR(__xludf.DUMMYFUNCTION("""COMPUTED_VALUE"""),"ECHAVARRIA MUÑOZ, NICOLAS")</f>
        <v>ECHAVARRIA MUÑOZ, NICOLAS</v>
      </c>
      <c r="D2816" t="str">
        <f>IFERROR(__xludf.DUMMYFUNCTION("""COMPUTED_VALUE"""),"Tech 8S1")</f>
        <v>Tech 8S1</v>
      </c>
      <c r="E2816" s="31" t="str">
        <f>IFERROR(__xludf.DUMMYFUNCTION("""COMPUTED_VALUE"""),"4b")</f>
        <v>4b</v>
      </c>
      <c r="F2816" s="8">
        <v>1.0</v>
      </c>
      <c r="G2816" s="8">
        <v>1.0</v>
      </c>
      <c r="H2816" s="8">
        <v>1.0</v>
      </c>
      <c r="I2816" s="8">
        <v>1.0</v>
      </c>
      <c r="J2816" s="8">
        <v>1.0</v>
      </c>
      <c r="K2816" s="8">
        <v>1.0</v>
      </c>
      <c r="L2816" s="8">
        <v>6.0</v>
      </c>
      <c r="M2816" s="8"/>
      <c r="N2816" s="8"/>
      <c r="O2816" s="8" t="s">
        <v>826</v>
      </c>
      <c r="P2816" s="8" t="e">
        <v>#N/A</v>
      </c>
    </row>
    <row r="2817">
      <c r="A2817">
        <f>IFERROR(__xludf.DUMMYFUNCTION("""COMPUTED_VALUE"""),8.0)</f>
        <v>8</v>
      </c>
      <c r="B2817">
        <f>IFERROR(__xludf.DUMMYFUNCTION("""COMPUTED_VALUE"""),29138.0)</f>
        <v>29138</v>
      </c>
      <c r="C2817" t="str">
        <f>IFERROR(__xludf.DUMMYFUNCTION("""COMPUTED_VALUE"""),"ECHAVARRIA ROLDAN, TOMAS")</f>
        <v>ECHAVARRIA ROLDAN, TOMAS</v>
      </c>
      <c r="D2817" t="str">
        <f>IFERROR(__xludf.DUMMYFUNCTION("""COMPUTED_VALUE"""),"Band 8S1")</f>
        <v>Band 8S1</v>
      </c>
      <c r="E2817" s="31" t="str">
        <f>IFERROR(__xludf.DUMMYFUNCTION("""COMPUTED_VALUE"""),"6b")</f>
        <v>6b</v>
      </c>
      <c r="F2817" s="8">
        <v>1.0</v>
      </c>
      <c r="G2817" s="8">
        <v>1.0</v>
      </c>
      <c r="H2817" s="8">
        <v>1.0</v>
      </c>
      <c r="I2817" s="8">
        <v>1.0</v>
      </c>
      <c r="J2817" s="8">
        <v>1.0</v>
      </c>
      <c r="K2817" s="8">
        <v>1.0</v>
      </c>
      <c r="L2817" s="8">
        <v>6.0</v>
      </c>
      <c r="M2817" s="8"/>
      <c r="N2817" s="8"/>
      <c r="O2817" s="8" t="s">
        <v>829</v>
      </c>
      <c r="P2817" s="8" t="e">
        <v>#N/A</v>
      </c>
    </row>
    <row r="2818">
      <c r="A2818">
        <f>IFERROR(__xludf.DUMMYFUNCTION("""COMPUTED_VALUE"""),8.0)</f>
        <v>8</v>
      </c>
      <c r="B2818">
        <f>IFERROR(__xludf.DUMMYFUNCTION("""COMPUTED_VALUE"""),29036.0)</f>
        <v>29036</v>
      </c>
      <c r="C2818" t="str">
        <f>IFERROR(__xludf.DUMMYFUNCTION("""COMPUTED_VALUE"""),"ECHEVERRI ESCOBAR, RODRIGO")</f>
        <v>ECHEVERRI ESCOBAR, RODRIGO</v>
      </c>
      <c r="D2818" t="str">
        <f>IFERROR(__xludf.DUMMYFUNCTION("""COMPUTED_VALUE"""),"Band 8S1")</f>
        <v>Band 8S1</v>
      </c>
      <c r="E2818" s="31" t="str">
        <f>IFERROR(__xludf.DUMMYFUNCTION("""COMPUTED_VALUE"""),"1b")</f>
        <v>1b</v>
      </c>
      <c r="F2818" s="8">
        <v>1.0</v>
      </c>
      <c r="G2818" s="8">
        <v>1.0</v>
      </c>
      <c r="H2818" s="8">
        <v>1.0</v>
      </c>
      <c r="I2818" s="8">
        <v>1.0</v>
      </c>
      <c r="J2818" s="8">
        <v>1.0</v>
      </c>
      <c r="K2818" s="8">
        <v>1.0</v>
      </c>
      <c r="L2818" s="8">
        <v>6.0</v>
      </c>
      <c r="M2818" s="8"/>
      <c r="N2818" s="8"/>
      <c r="O2818" s="8" t="s">
        <v>827</v>
      </c>
      <c r="P2818" s="8" t="e">
        <v>#N/A</v>
      </c>
    </row>
    <row r="2819">
      <c r="A2819">
        <f>IFERROR(__xludf.DUMMYFUNCTION("""COMPUTED_VALUE"""),8.0)</f>
        <v>8</v>
      </c>
      <c r="B2819">
        <f>IFERROR(__xludf.DUMMYFUNCTION("""COMPUTED_VALUE"""),29037.0)</f>
        <v>29037</v>
      </c>
      <c r="C2819" t="str">
        <f>IFERROR(__xludf.DUMMYFUNCTION("""COMPUTED_VALUE"""),"ESCOBAR INFANTINO, RAQUEL")</f>
        <v>ESCOBAR INFANTINO, RAQUEL</v>
      </c>
      <c r="D2819" t="str">
        <f>IFERROR(__xludf.DUMMYFUNCTION("""COMPUTED_VALUE"""),"Tech 8S1")</f>
        <v>Tech 8S1</v>
      </c>
      <c r="E2819" s="31" t="str">
        <f>IFERROR(__xludf.DUMMYFUNCTION("""COMPUTED_VALUE"""),"4b")</f>
        <v>4b</v>
      </c>
      <c r="F2819" s="8">
        <v>1.0</v>
      </c>
      <c r="G2819" s="8">
        <v>1.0</v>
      </c>
      <c r="H2819" s="8">
        <v>1.0</v>
      </c>
      <c r="I2819" s="8">
        <v>1.0</v>
      </c>
      <c r="J2819" s="8">
        <v>1.0</v>
      </c>
      <c r="K2819" s="8">
        <v>1.0</v>
      </c>
      <c r="L2819" s="8">
        <v>6.0</v>
      </c>
      <c r="M2819" s="8"/>
      <c r="N2819" s="8"/>
      <c r="O2819" s="8" t="s">
        <v>826</v>
      </c>
      <c r="P2819" s="8" t="e">
        <v>#N/A</v>
      </c>
    </row>
    <row r="2820">
      <c r="A2820">
        <f>IFERROR(__xludf.DUMMYFUNCTION("""COMPUTED_VALUE"""),8.0)</f>
        <v>8</v>
      </c>
      <c r="B2820">
        <f>IFERROR(__xludf.DUMMYFUNCTION("""COMPUTED_VALUE"""),29038.0)</f>
        <v>29038</v>
      </c>
      <c r="C2820" t="str">
        <f>IFERROR(__xludf.DUMMYFUNCTION("""COMPUTED_VALUE"""),"ESCOBAR MADRID, MAXIMILIANO")</f>
        <v>ESCOBAR MADRID, MAXIMILIANO</v>
      </c>
      <c r="D2820" t="str">
        <f>IFERROR(__xludf.DUMMYFUNCTION("""COMPUTED_VALUE"""),"Art 8S1")</f>
        <v>Art 8S1</v>
      </c>
      <c r="E2820" s="31" t="str">
        <f>IFERROR(__xludf.DUMMYFUNCTION("""COMPUTED_VALUE"""),"5a")</f>
        <v>5a</v>
      </c>
      <c r="F2820" s="8">
        <v>1.0</v>
      </c>
      <c r="G2820" s="8">
        <v>1.0</v>
      </c>
      <c r="H2820" s="8">
        <v>1.0</v>
      </c>
      <c r="I2820" s="8">
        <v>1.0</v>
      </c>
      <c r="J2820" s="8">
        <v>1.0</v>
      </c>
      <c r="K2820" s="8">
        <v>1.0</v>
      </c>
      <c r="L2820" s="8">
        <v>6.0</v>
      </c>
      <c r="M2820" s="8"/>
      <c r="N2820" s="8"/>
      <c r="O2820" s="8" t="s">
        <v>832</v>
      </c>
      <c r="P2820" s="8" t="e">
        <v>#N/A</v>
      </c>
    </row>
    <row r="2821">
      <c r="A2821">
        <f>IFERROR(__xludf.DUMMYFUNCTION("""COMPUTED_VALUE"""),8.0)</f>
        <v>8</v>
      </c>
      <c r="B2821">
        <f>IFERROR(__xludf.DUMMYFUNCTION("""COMPUTED_VALUE"""),29039.0)</f>
        <v>29039</v>
      </c>
      <c r="C2821" t="str">
        <f>IFERROR(__xludf.DUMMYFUNCTION("""COMPUTED_VALUE"""),"ESPINOSA ABAD, GREGORIO")</f>
        <v>ESPINOSA ABAD, GREGORIO</v>
      </c>
      <c r="D2821" t="str">
        <f>IFERROR(__xludf.DUMMYFUNCTION("""COMPUTED_VALUE"""),"Tech 8S1")</f>
        <v>Tech 8S1</v>
      </c>
      <c r="E2821" s="31" t="str">
        <f>IFERROR(__xludf.DUMMYFUNCTION("""COMPUTED_VALUE"""),"5a")</f>
        <v>5a</v>
      </c>
      <c r="F2821" s="8">
        <v>1.0</v>
      </c>
      <c r="G2821" s="8">
        <v>1.0</v>
      </c>
      <c r="H2821" s="8">
        <v>1.0</v>
      </c>
      <c r="I2821" s="8">
        <v>1.0</v>
      </c>
      <c r="J2821" s="8">
        <v>1.0</v>
      </c>
      <c r="K2821" s="8">
        <v>1.0</v>
      </c>
      <c r="L2821" s="8">
        <v>6.0</v>
      </c>
      <c r="M2821" s="8"/>
      <c r="N2821" s="8"/>
      <c r="O2821" s="8" t="s">
        <v>828</v>
      </c>
      <c r="P2821" s="8" t="e">
        <v>#N/A</v>
      </c>
    </row>
    <row r="2822">
      <c r="A2822">
        <f>IFERROR(__xludf.DUMMYFUNCTION("""COMPUTED_VALUE"""),8.0)</f>
        <v>8</v>
      </c>
      <c r="B2822">
        <f>IFERROR(__xludf.DUMMYFUNCTION("""COMPUTED_VALUE"""),29040.0)</f>
        <v>29040</v>
      </c>
      <c r="C2822" t="str">
        <f>IFERROR(__xludf.DUMMYFUNCTION("""COMPUTED_VALUE"""),"ESTRADA ZAPATA, MARTIN")</f>
        <v>ESTRADA ZAPATA, MARTIN</v>
      </c>
      <c r="D2822" t="str">
        <f>IFERROR(__xludf.DUMMYFUNCTION("""COMPUTED_VALUE"""),"Band 8S1")</f>
        <v>Band 8S1</v>
      </c>
      <c r="E2822" s="31" t="str">
        <f>IFERROR(__xludf.DUMMYFUNCTION("""COMPUTED_VALUE"""),"6b")</f>
        <v>6b</v>
      </c>
      <c r="F2822" s="8">
        <v>1.0</v>
      </c>
      <c r="G2822" s="8">
        <v>1.0</v>
      </c>
      <c r="H2822" s="8">
        <v>1.0</v>
      </c>
      <c r="I2822" s="8">
        <v>1.0</v>
      </c>
      <c r="J2822" s="8">
        <v>1.0</v>
      </c>
      <c r="K2822" s="8">
        <v>1.0</v>
      </c>
      <c r="L2822" s="8">
        <v>6.0</v>
      </c>
      <c r="M2822" s="8"/>
      <c r="N2822" s="8"/>
      <c r="O2822" s="8" t="s">
        <v>829</v>
      </c>
      <c r="P2822" s="8" t="e">
        <v>#N/A</v>
      </c>
    </row>
    <row r="2823">
      <c r="A2823">
        <f>IFERROR(__xludf.DUMMYFUNCTION("""COMPUTED_VALUE"""),8.0)</f>
        <v>8</v>
      </c>
      <c r="B2823">
        <f>IFERROR(__xludf.DUMMYFUNCTION("""COMPUTED_VALUE"""),29041.0)</f>
        <v>29041</v>
      </c>
      <c r="C2823" t="str">
        <f>IFERROR(__xludf.DUMMYFUNCTION("""COMPUTED_VALUE"""),"FAJARDO VILLA, LUCIANA")</f>
        <v>FAJARDO VILLA, LUCIANA</v>
      </c>
      <c r="D2823" t="str">
        <f>IFERROR(__xludf.DUMMYFUNCTION("""COMPUTED_VALUE"""),"Art 8S1")</f>
        <v>Art 8S1</v>
      </c>
      <c r="E2823" s="31" t="str">
        <f>IFERROR(__xludf.DUMMYFUNCTION("""COMPUTED_VALUE"""),"5a")</f>
        <v>5a</v>
      </c>
      <c r="F2823" s="8">
        <v>1.0</v>
      </c>
      <c r="G2823" s="8">
        <v>1.0</v>
      </c>
      <c r="H2823" s="8">
        <v>1.0</v>
      </c>
      <c r="I2823" s="8">
        <v>1.0</v>
      </c>
      <c r="J2823" s="8">
        <v>1.0</v>
      </c>
      <c r="K2823" s="8">
        <v>1.0</v>
      </c>
      <c r="L2823" s="8">
        <v>6.0</v>
      </c>
      <c r="M2823" s="8"/>
      <c r="N2823" s="8"/>
      <c r="O2823" s="8" t="s">
        <v>832</v>
      </c>
      <c r="P2823" s="8" t="e">
        <v>#N/A</v>
      </c>
    </row>
    <row r="2824">
      <c r="A2824">
        <f>IFERROR(__xludf.DUMMYFUNCTION("""COMPUTED_VALUE"""),8.0)</f>
        <v>8</v>
      </c>
      <c r="B2824">
        <f>IFERROR(__xludf.DUMMYFUNCTION("""COMPUTED_VALUE"""),29155.0)</f>
        <v>29155</v>
      </c>
      <c r="C2824" t="str">
        <f>IFERROR(__xludf.DUMMYFUNCTION("""COMPUTED_VALUE"""),"FERNANDEZ CALDERON, HANNA")</f>
        <v>FERNANDEZ CALDERON, HANNA</v>
      </c>
      <c r="D2824" t="str">
        <f>IFERROR(__xludf.DUMMYFUNCTION("""COMPUTED_VALUE"""),"Tech 8S1")</f>
        <v>Tech 8S1</v>
      </c>
      <c r="E2824" s="31" t="str">
        <f>IFERROR(__xludf.DUMMYFUNCTION("""COMPUTED_VALUE"""),"5a")</f>
        <v>5a</v>
      </c>
      <c r="F2824" s="8">
        <v>1.0</v>
      </c>
      <c r="G2824" s="8">
        <v>1.0</v>
      </c>
      <c r="H2824" s="8">
        <v>1.0</v>
      </c>
      <c r="I2824" s="8">
        <v>1.0</v>
      </c>
      <c r="J2824" s="8">
        <v>1.0</v>
      </c>
      <c r="K2824" s="8">
        <v>1.0</v>
      </c>
      <c r="L2824" s="8">
        <v>6.0</v>
      </c>
      <c r="M2824" s="8"/>
      <c r="N2824" s="8"/>
      <c r="O2824" s="8" t="s">
        <v>828</v>
      </c>
      <c r="P2824" s="8" t="e">
        <v>#N/A</v>
      </c>
    </row>
    <row r="2825">
      <c r="A2825">
        <f>IFERROR(__xludf.DUMMYFUNCTION("""COMPUTED_VALUE"""),8.0)</f>
        <v>8</v>
      </c>
      <c r="B2825">
        <f>IFERROR(__xludf.DUMMYFUNCTION("""COMPUTED_VALUE"""),29156.0)</f>
        <v>29156</v>
      </c>
      <c r="C2825" t="str">
        <f>IFERROR(__xludf.DUMMYFUNCTION("""COMPUTED_VALUE"""),"FERNANDEZ CALDERON, TAMARA")</f>
        <v>FERNANDEZ CALDERON, TAMARA</v>
      </c>
      <c r="D2825" t="str">
        <f>IFERROR(__xludf.DUMMYFUNCTION("""COMPUTED_VALUE"""),"Band 8S1")</f>
        <v>Band 8S1</v>
      </c>
      <c r="E2825" s="31" t="str">
        <f>IFERROR(__xludf.DUMMYFUNCTION("""COMPUTED_VALUE"""),"1b")</f>
        <v>1b</v>
      </c>
      <c r="F2825" s="8">
        <v>1.0</v>
      </c>
      <c r="G2825" s="8">
        <v>1.0</v>
      </c>
      <c r="H2825" s="8">
        <v>1.0</v>
      </c>
      <c r="I2825" s="8">
        <v>1.0</v>
      </c>
      <c r="J2825" s="8">
        <v>1.0</v>
      </c>
      <c r="K2825" s="8">
        <v>1.0</v>
      </c>
      <c r="L2825" s="8">
        <v>6.0</v>
      </c>
      <c r="M2825" s="8"/>
      <c r="N2825" s="8"/>
      <c r="O2825" s="8" t="s">
        <v>827</v>
      </c>
      <c r="P2825" s="8" t="e">
        <v>#N/A</v>
      </c>
    </row>
    <row r="2826">
      <c r="A2826">
        <f>IFERROR(__xludf.DUMMYFUNCTION("""COMPUTED_VALUE"""),8.0)</f>
        <v>8</v>
      </c>
      <c r="B2826">
        <f>IFERROR(__xludf.DUMMYFUNCTION("""COMPUTED_VALUE"""),28032.0)</f>
        <v>28032</v>
      </c>
      <c r="C2826" t="str">
        <f>IFERROR(__xludf.DUMMYFUNCTION("""COMPUTED_VALUE"""),"GALLON TOBON, GERONIMO")</f>
        <v>GALLON TOBON, GERONIMO</v>
      </c>
      <c r="D2826" t="str">
        <f>IFERROR(__xludf.DUMMYFUNCTION("""COMPUTED_VALUE"""),"Band 8S1")</f>
        <v>Band 8S1</v>
      </c>
      <c r="E2826" s="31" t="str">
        <f>IFERROR(__xludf.DUMMYFUNCTION("""COMPUTED_VALUE"""),"1b")</f>
        <v>1b</v>
      </c>
      <c r="F2826" s="8">
        <v>1.0</v>
      </c>
      <c r="G2826" s="8">
        <v>1.0</v>
      </c>
      <c r="H2826" s="8">
        <v>1.0</v>
      </c>
      <c r="I2826" s="8">
        <v>1.0</v>
      </c>
      <c r="J2826" s="8">
        <v>1.0</v>
      </c>
      <c r="K2826" s="8">
        <v>1.0</v>
      </c>
      <c r="L2826" s="8">
        <v>6.0</v>
      </c>
      <c r="M2826" s="8"/>
      <c r="N2826" s="8"/>
      <c r="O2826" s="8" t="s">
        <v>827</v>
      </c>
      <c r="P2826" s="8" t="e">
        <v>#N/A</v>
      </c>
    </row>
    <row r="2827">
      <c r="A2827">
        <f>IFERROR(__xludf.DUMMYFUNCTION("""COMPUTED_VALUE"""),8.0)</f>
        <v>8</v>
      </c>
      <c r="B2827">
        <f>IFERROR(__xludf.DUMMYFUNCTION("""COMPUTED_VALUE"""),29042.0)</f>
        <v>29042</v>
      </c>
      <c r="C2827" t="str">
        <f>IFERROR(__xludf.DUMMYFUNCTION("""COMPUTED_VALUE"""),"GOMEZ MIRA, GREGORIO")</f>
        <v>GOMEZ MIRA, GREGORIO</v>
      </c>
      <c r="D2827" t="str">
        <f>IFERROR(__xludf.DUMMYFUNCTION("""COMPUTED_VALUE"""),"Band 8S1")</f>
        <v>Band 8S1</v>
      </c>
      <c r="E2827" s="31" t="str">
        <f>IFERROR(__xludf.DUMMYFUNCTION("""COMPUTED_VALUE"""),"5b")</f>
        <v>5b</v>
      </c>
      <c r="F2827" s="8">
        <v>1.0</v>
      </c>
      <c r="G2827" s="8">
        <v>1.0</v>
      </c>
      <c r="H2827" s="8">
        <v>1.0</v>
      </c>
      <c r="I2827" s="8">
        <v>1.0</v>
      </c>
      <c r="J2827" s="8">
        <v>1.0</v>
      </c>
      <c r="K2827" s="8">
        <v>1.0</v>
      </c>
      <c r="L2827" s="8">
        <v>6.0</v>
      </c>
      <c r="M2827" s="8"/>
      <c r="N2827" s="8"/>
      <c r="O2827" s="8" t="s">
        <v>831</v>
      </c>
      <c r="P2827" s="8" t="e">
        <v>#N/A</v>
      </c>
    </row>
    <row r="2828">
      <c r="A2828">
        <f>IFERROR(__xludf.DUMMYFUNCTION("""COMPUTED_VALUE"""),8.0)</f>
        <v>8</v>
      </c>
      <c r="B2828">
        <f>IFERROR(__xludf.DUMMYFUNCTION("""COMPUTED_VALUE"""),29043.0)</f>
        <v>29043</v>
      </c>
      <c r="C2828" t="str">
        <f>IFERROR(__xludf.DUMMYFUNCTION("""COMPUTED_VALUE"""),"GOMEZ PASCHKE, VALERIA")</f>
        <v>GOMEZ PASCHKE, VALERIA</v>
      </c>
      <c r="D2828" t="str">
        <f>IFERROR(__xludf.DUMMYFUNCTION("""COMPUTED_VALUE"""),"Tech 8S1")</f>
        <v>Tech 8S1</v>
      </c>
      <c r="E2828" s="31" t="str">
        <f>IFERROR(__xludf.DUMMYFUNCTION("""COMPUTED_VALUE"""),"4b")</f>
        <v>4b</v>
      </c>
      <c r="F2828" s="8">
        <v>1.0</v>
      </c>
      <c r="G2828" s="8">
        <v>1.0</v>
      </c>
      <c r="H2828" s="8">
        <v>1.0</v>
      </c>
      <c r="I2828" s="8">
        <v>1.0</v>
      </c>
      <c r="J2828" s="8">
        <v>1.0</v>
      </c>
      <c r="K2828" s="8">
        <v>1.0</v>
      </c>
      <c r="L2828" s="8">
        <v>6.0</v>
      </c>
      <c r="M2828" s="8"/>
      <c r="N2828" s="8"/>
      <c r="O2828" s="8" t="s">
        <v>826</v>
      </c>
      <c r="P2828" s="8" t="e">
        <v>#N/A</v>
      </c>
    </row>
    <row r="2829">
      <c r="A2829">
        <f>IFERROR(__xludf.DUMMYFUNCTION("""COMPUTED_VALUE"""),8.0)</f>
        <v>8</v>
      </c>
      <c r="B2829">
        <f>IFERROR(__xludf.DUMMYFUNCTION("""COMPUTED_VALUE"""),29045.0)</f>
        <v>29045</v>
      </c>
      <c r="C2829" t="str">
        <f>IFERROR(__xludf.DUMMYFUNCTION("""COMPUTED_VALUE"""),"GOMEZ ZULUAGA, JUAN JOSE")</f>
        <v>GOMEZ ZULUAGA, JUAN JOSE</v>
      </c>
      <c r="D2829" t="str">
        <f>IFERROR(__xludf.DUMMYFUNCTION("""COMPUTED_VALUE"""),"Band 8S1")</f>
        <v>Band 8S1</v>
      </c>
      <c r="E2829" s="31" t="str">
        <f>IFERROR(__xludf.DUMMYFUNCTION("""COMPUTED_VALUE"""),"2a")</f>
        <v>2a</v>
      </c>
      <c r="F2829" s="8">
        <v>1.0</v>
      </c>
      <c r="G2829" s="8">
        <v>1.0</v>
      </c>
      <c r="H2829" s="8">
        <v>1.0</v>
      </c>
      <c r="I2829" s="8">
        <v>1.0</v>
      </c>
      <c r="J2829" s="8">
        <v>1.0</v>
      </c>
      <c r="K2829" s="8">
        <v>1.0</v>
      </c>
      <c r="L2829" s="8">
        <v>6.0</v>
      </c>
      <c r="M2829" s="8"/>
      <c r="N2829" s="8"/>
      <c r="O2829" s="8" t="s">
        <v>830</v>
      </c>
      <c r="P2829" s="8" t="e">
        <v>#N/A</v>
      </c>
    </row>
    <row r="2830">
      <c r="A2830">
        <f>IFERROR(__xludf.DUMMYFUNCTION("""COMPUTED_VALUE"""),8.0)</f>
        <v>8</v>
      </c>
      <c r="B2830">
        <f>IFERROR(__xludf.DUMMYFUNCTION("""COMPUTED_VALUE"""),29046.0)</f>
        <v>29046</v>
      </c>
      <c r="C2830" t="str">
        <f>IFERROR(__xludf.DUMMYFUNCTION("""COMPUTED_VALUE"""),"GONZALEZ LOPEZ, SAMUEL")</f>
        <v>GONZALEZ LOPEZ, SAMUEL</v>
      </c>
      <c r="D2830" t="str">
        <f>IFERROR(__xludf.DUMMYFUNCTION("""COMPUTED_VALUE"""),"Band 8S1")</f>
        <v>Band 8S1</v>
      </c>
      <c r="E2830" s="31" t="str">
        <f>IFERROR(__xludf.DUMMYFUNCTION("""COMPUTED_VALUE"""),"6b")</f>
        <v>6b</v>
      </c>
      <c r="F2830" s="8">
        <v>1.0</v>
      </c>
      <c r="G2830" s="8">
        <v>1.0</v>
      </c>
      <c r="H2830" s="8">
        <v>1.0</v>
      </c>
      <c r="I2830" s="8">
        <v>1.0</v>
      </c>
      <c r="J2830" s="8">
        <v>1.0</v>
      </c>
      <c r="K2830" s="8">
        <v>1.0</v>
      </c>
      <c r="L2830" s="8">
        <v>6.0</v>
      </c>
      <c r="M2830" s="8"/>
      <c r="N2830" s="8"/>
      <c r="O2830" s="8" t="s">
        <v>829</v>
      </c>
      <c r="P2830" s="8" t="e">
        <v>#N/A</v>
      </c>
    </row>
    <row r="2831">
      <c r="A2831">
        <f>IFERROR(__xludf.DUMMYFUNCTION("""COMPUTED_VALUE"""),8.0)</f>
        <v>8</v>
      </c>
      <c r="B2831">
        <f>IFERROR(__xludf.DUMMYFUNCTION("""COMPUTED_VALUE"""),29048.0)</f>
        <v>29048</v>
      </c>
      <c r="C2831" t="str">
        <f>IFERROR(__xludf.DUMMYFUNCTION("""COMPUTED_VALUE"""),"HENAO RESTREPO, ANTONIA")</f>
        <v>HENAO RESTREPO, ANTONIA</v>
      </c>
      <c r="D2831" t="str">
        <f>IFERROR(__xludf.DUMMYFUNCTION("""COMPUTED_VALUE"""),"Tech 8S1")</f>
        <v>Tech 8S1</v>
      </c>
      <c r="E2831" s="31" t="str">
        <f>IFERROR(__xludf.DUMMYFUNCTION("""COMPUTED_VALUE"""),"4b")</f>
        <v>4b</v>
      </c>
      <c r="F2831" s="8">
        <v>1.0</v>
      </c>
      <c r="G2831" s="8">
        <v>1.0</v>
      </c>
      <c r="H2831" s="8">
        <v>1.0</v>
      </c>
      <c r="I2831" s="8">
        <v>1.0</v>
      </c>
      <c r="J2831" s="8">
        <v>1.0</v>
      </c>
      <c r="K2831" s="8">
        <v>1.0</v>
      </c>
      <c r="L2831" s="8">
        <v>6.0</v>
      </c>
      <c r="M2831" s="8"/>
      <c r="N2831" s="8"/>
      <c r="O2831" s="8" t="s">
        <v>826</v>
      </c>
      <c r="P2831" s="8" t="e">
        <v>#N/A</v>
      </c>
    </row>
    <row r="2832">
      <c r="A2832">
        <f>IFERROR(__xludf.DUMMYFUNCTION("""COMPUTED_VALUE"""),8.0)</f>
        <v>8</v>
      </c>
      <c r="B2832">
        <f>IFERROR(__xludf.DUMMYFUNCTION("""COMPUTED_VALUE"""),29049.0)</f>
        <v>29049</v>
      </c>
      <c r="C2832" t="str">
        <f>IFERROR(__xludf.DUMMYFUNCTION("""COMPUTED_VALUE"""),"HINESTROSA SIERRA, MIGUEL")</f>
        <v>HINESTROSA SIERRA, MIGUEL</v>
      </c>
      <c r="D2832" t="str">
        <f>IFERROR(__xludf.DUMMYFUNCTION("""COMPUTED_VALUE"""),"Band 8S1")</f>
        <v>Band 8S1</v>
      </c>
      <c r="E2832" s="31" t="str">
        <f>IFERROR(__xludf.DUMMYFUNCTION("""COMPUTED_VALUE"""),"6b")</f>
        <v>6b</v>
      </c>
      <c r="F2832" s="8">
        <v>1.0</v>
      </c>
      <c r="G2832" s="8">
        <v>1.0</v>
      </c>
      <c r="H2832" s="8">
        <v>1.0</v>
      </c>
      <c r="I2832" s="8">
        <v>1.0</v>
      </c>
      <c r="J2832" s="8">
        <v>1.0</v>
      </c>
      <c r="K2832" s="8">
        <v>1.0</v>
      </c>
      <c r="L2832" s="8">
        <v>6.0</v>
      </c>
      <c r="M2832" s="8"/>
      <c r="N2832" s="8"/>
      <c r="O2832" s="8" t="s">
        <v>829</v>
      </c>
      <c r="P2832" s="8" t="e">
        <v>#N/A</v>
      </c>
    </row>
    <row r="2833">
      <c r="A2833">
        <f>IFERROR(__xludf.DUMMYFUNCTION("""COMPUTED_VALUE"""),8.0)</f>
        <v>8</v>
      </c>
      <c r="B2833">
        <f>IFERROR(__xludf.DUMMYFUNCTION("""COMPUTED_VALUE"""),29050.0)</f>
        <v>29050</v>
      </c>
      <c r="C2833" t="str">
        <f>IFERROR(__xludf.DUMMYFUNCTION("""COMPUTED_VALUE"""),"HINESTROSA SIERRA, PEDRO")</f>
        <v>HINESTROSA SIERRA, PEDRO</v>
      </c>
      <c r="D2833" t="str">
        <f>IFERROR(__xludf.DUMMYFUNCTION("""COMPUTED_VALUE"""),"Band 8S1")</f>
        <v>Band 8S1</v>
      </c>
      <c r="E2833" s="31" t="str">
        <f>IFERROR(__xludf.DUMMYFUNCTION("""COMPUTED_VALUE"""),"5b")</f>
        <v>5b</v>
      </c>
      <c r="F2833" s="8">
        <v>1.0</v>
      </c>
      <c r="G2833" s="8">
        <v>1.0</v>
      </c>
      <c r="H2833" s="8">
        <v>1.0</v>
      </c>
      <c r="I2833" s="8">
        <v>1.0</v>
      </c>
      <c r="J2833" s="8">
        <v>1.0</v>
      </c>
      <c r="K2833" s="8">
        <v>1.0</v>
      </c>
      <c r="L2833" s="8">
        <v>6.0</v>
      </c>
      <c r="M2833" s="8"/>
      <c r="N2833" s="8"/>
      <c r="O2833" s="8" t="s">
        <v>831</v>
      </c>
      <c r="P2833" s="8" t="e">
        <v>#N/A</v>
      </c>
    </row>
    <row r="2834">
      <c r="A2834">
        <f>IFERROR(__xludf.DUMMYFUNCTION("""COMPUTED_VALUE"""),8.0)</f>
        <v>8</v>
      </c>
      <c r="B2834">
        <f>IFERROR(__xludf.DUMMYFUNCTION("""COMPUTED_VALUE"""),28046.0)</f>
        <v>28046</v>
      </c>
      <c r="C2834" t="str">
        <f>IFERROR(__xludf.DUMMYFUNCTION("""COMPUTED_VALUE"""),"HOYOS SARAVIA, TOMAS")</f>
        <v>HOYOS SARAVIA, TOMAS</v>
      </c>
      <c r="D2834" t="str">
        <f>IFERROR(__xludf.DUMMYFUNCTION("""COMPUTED_VALUE"""),"Band 8S1")</f>
        <v>Band 8S1</v>
      </c>
      <c r="E2834" s="31" t="str">
        <f>IFERROR(__xludf.DUMMYFUNCTION("""COMPUTED_VALUE"""),"5b")</f>
        <v>5b</v>
      </c>
      <c r="F2834" s="8">
        <v>1.0</v>
      </c>
      <c r="G2834" s="8">
        <v>1.0</v>
      </c>
      <c r="H2834" s="8">
        <v>1.0</v>
      </c>
      <c r="I2834" s="8">
        <v>1.0</v>
      </c>
      <c r="J2834" s="8">
        <v>1.0</v>
      </c>
      <c r="K2834" s="8">
        <v>1.0</v>
      </c>
      <c r="L2834" s="8">
        <v>6.0</v>
      </c>
      <c r="M2834" s="8"/>
      <c r="N2834" s="8"/>
      <c r="O2834" s="8" t="s">
        <v>831</v>
      </c>
      <c r="P2834" s="8" t="e">
        <v>#N/A</v>
      </c>
    </row>
    <row r="2835">
      <c r="A2835">
        <f>IFERROR(__xludf.DUMMYFUNCTION("""COMPUTED_VALUE"""),8.0)</f>
        <v>8</v>
      </c>
      <c r="B2835">
        <f>IFERROR(__xludf.DUMMYFUNCTION("""COMPUTED_VALUE"""),29052.0)</f>
        <v>29052</v>
      </c>
      <c r="C2835" t="str">
        <f>IFERROR(__xludf.DUMMYFUNCTION("""COMPUTED_VALUE"""),"HURTADO ARISTIZABAL, CAMILA")</f>
        <v>HURTADO ARISTIZABAL, CAMILA</v>
      </c>
      <c r="D2835" t="str">
        <f>IFERROR(__xludf.DUMMYFUNCTION("""COMPUTED_VALUE"""),"Art 8S1")</f>
        <v>Art 8S1</v>
      </c>
      <c r="E2835" s="31" t="str">
        <f>IFERROR(__xludf.DUMMYFUNCTION("""COMPUTED_VALUE"""),"5a")</f>
        <v>5a</v>
      </c>
      <c r="F2835" s="8">
        <v>1.0</v>
      </c>
      <c r="G2835" s="8">
        <v>1.0</v>
      </c>
      <c r="H2835" s="8">
        <v>1.0</v>
      </c>
      <c r="I2835" s="8">
        <v>1.0</v>
      </c>
      <c r="J2835" s="8">
        <v>1.0</v>
      </c>
      <c r="K2835" s="8">
        <v>1.0</v>
      </c>
      <c r="L2835" s="8">
        <v>6.0</v>
      </c>
      <c r="M2835" s="8"/>
      <c r="N2835" s="8"/>
      <c r="O2835" s="8" t="s">
        <v>832</v>
      </c>
      <c r="P2835" s="8" t="e">
        <v>#N/A</v>
      </c>
    </row>
    <row r="2836">
      <c r="A2836">
        <f>IFERROR(__xludf.DUMMYFUNCTION("""COMPUTED_VALUE"""),8.0)</f>
        <v>8</v>
      </c>
      <c r="B2836">
        <f>IFERROR(__xludf.DUMMYFUNCTION("""COMPUTED_VALUE"""),29053.0)</f>
        <v>29053</v>
      </c>
      <c r="C2836" t="str">
        <f>IFERROR(__xludf.DUMMYFUNCTION("""COMPUTED_VALUE"""),"HURTADO FAJARDO, JUANITA")</f>
        <v>HURTADO FAJARDO, JUANITA</v>
      </c>
      <c r="D2836" t="str">
        <f>IFERROR(__xludf.DUMMYFUNCTION("""COMPUTED_VALUE"""),"Tech 8S1")</f>
        <v>Tech 8S1</v>
      </c>
      <c r="E2836" s="31" t="str">
        <f>IFERROR(__xludf.DUMMYFUNCTION("""COMPUTED_VALUE"""),"4b")</f>
        <v>4b</v>
      </c>
      <c r="F2836" s="8">
        <v>1.0</v>
      </c>
      <c r="G2836" s="8">
        <v>1.0</v>
      </c>
      <c r="H2836" s="8">
        <v>1.0</v>
      </c>
      <c r="I2836" s="8">
        <v>1.0</v>
      </c>
      <c r="J2836" s="8">
        <v>1.0</v>
      </c>
      <c r="K2836" s="8">
        <v>1.0</v>
      </c>
      <c r="L2836" s="8">
        <v>6.0</v>
      </c>
      <c r="M2836" s="8"/>
      <c r="N2836" s="8"/>
      <c r="O2836" s="8" t="s">
        <v>826</v>
      </c>
      <c r="P2836" s="8" t="e">
        <v>#N/A</v>
      </c>
    </row>
    <row r="2837">
      <c r="A2837">
        <f>IFERROR(__xludf.DUMMYFUNCTION("""COMPUTED_VALUE"""),8.0)</f>
        <v>8</v>
      </c>
      <c r="B2837">
        <f>IFERROR(__xludf.DUMMYFUNCTION("""COMPUTED_VALUE"""),29056.0)</f>
        <v>29056</v>
      </c>
      <c r="C2837" t="str">
        <f>IFERROR(__xludf.DUMMYFUNCTION("""COMPUTED_VALUE"""),"JAILLIER PINZON, MAXIMILIANO")</f>
        <v>JAILLIER PINZON, MAXIMILIANO</v>
      </c>
      <c r="D2837" t="str">
        <f>IFERROR(__xludf.DUMMYFUNCTION("""COMPUTED_VALUE"""),"Band 8S1")</f>
        <v>Band 8S1</v>
      </c>
      <c r="E2837" s="31" t="str">
        <f>IFERROR(__xludf.DUMMYFUNCTION("""COMPUTED_VALUE"""),"5b")</f>
        <v>5b</v>
      </c>
      <c r="F2837" s="8">
        <v>1.0</v>
      </c>
      <c r="G2837" s="8">
        <v>1.0</v>
      </c>
      <c r="H2837" s="8">
        <v>1.0</v>
      </c>
      <c r="I2837" s="8">
        <v>1.0</v>
      </c>
      <c r="J2837" s="8">
        <v>1.0</v>
      </c>
      <c r="K2837" s="8">
        <v>1.0</v>
      </c>
      <c r="L2837" s="8">
        <v>6.0</v>
      </c>
      <c r="M2837" s="8"/>
      <c r="N2837" s="8"/>
      <c r="O2837" s="8" t="s">
        <v>831</v>
      </c>
      <c r="P2837" s="8" t="e">
        <v>#N/A</v>
      </c>
    </row>
    <row r="2838">
      <c r="A2838">
        <f>IFERROR(__xludf.DUMMYFUNCTION("""COMPUTED_VALUE"""),8.0)</f>
        <v>8</v>
      </c>
      <c r="B2838">
        <f>IFERROR(__xludf.DUMMYFUNCTION("""COMPUTED_VALUE"""),29057.0)</f>
        <v>29057</v>
      </c>
      <c r="C2838" t="str">
        <f>IFERROR(__xludf.DUMMYFUNCTION("""COMPUTED_VALUE"""),"JALLER TRUJILLO, KAMEL")</f>
        <v>JALLER TRUJILLO, KAMEL</v>
      </c>
      <c r="D2838" t="str">
        <f>IFERROR(__xludf.DUMMYFUNCTION("""COMPUTED_VALUE"""),"Band 8S1")</f>
        <v>Band 8S1</v>
      </c>
      <c r="E2838" s="31" t="str">
        <f>IFERROR(__xludf.DUMMYFUNCTION("""COMPUTED_VALUE"""),"2a")</f>
        <v>2a</v>
      </c>
      <c r="F2838" s="8">
        <v>1.0</v>
      </c>
      <c r="G2838" s="8">
        <v>1.0</v>
      </c>
      <c r="H2838" s="8">
        <v>1.0</v>
      </c>
      <c r="I2838" s="8">
        <v>1.0</v>
      </c>
      <c r="J2838" s="8">
        <v>1.0</v>
      </c>
      <c r="K2838" s="8">
        <v>1.0</v>
      </c>
      <c r="L2838" s="8">
        <v>6.0</v>
      </c>
      <c r="M2838" s="8"/>
      <c r="N2838" s="8"/>
      <c r="O2838" s="8" t="s">
        <v>830</v>
      </c>
      <c r="P2838" s="8" t="e">
        <v>#N/A</v>
      </c>
    </row>
    <row r="2839">
      <c r="A2839">
        <f>IFERROR(__xludf.DUMMYFUNCTION("""COMPUTED_VALUE"""),8.0)</f>
        <v>8</v>
      </c>
      <c r="B2839">
        <f>IFERROR(__xludf.DUMMYFUNCTION("""COMPUTED_VALUE"""),29058.0)</f>
        <v>29058</v>
      </c>
      <c r="C2839" t="str">
        <f>IFERROR(__xludf.DUMMYFUNCTION("""COMPUTED_VALUE"""),"JARAMILLO DONADO, AMELIA")</f>
        <v>JARAMILLO DONADO, AMELIA</v>
      </c>
      <c r="D2839" t="str">
        <f>IFERROR(__xludf.DUMMYFUNCTION("""COMPUTED_VALUE"""),"Band 8S1")</f>
        <v>Band 8S1</v>
      </c>
      <c r="E2839" s="31" t="str">
        <f>IFERROR(__xludf.DUMMYFUNCTION("""COMPUTED_VALUE"""),"1b")</f>
        <v>1b</v>
      </c>
      <c r="F2839" s="8">
        <v>1.0</v>
      </c>
      <c r="G2839" s="8">
        <v>1.0</v>
      </c>
      <c r="H2839" s="8">
        <v>1.0</v>
      </c>
      <c r="I2839" s="8">
        <v>1.0</v>
      </c>
      <c r="J2839" s="8">
        <v>1.0</v>
      </c>
      <c r="K2839" s="8">
        <v>1.0</v>
      </c>
      <c r="L2839" s="8">
        <v>6.0</v>
      </c>
      <c r="M2839" s="8"/>
      <c r="N2839" s="8"/>
      <c r="O2839" s="8" t="s">
        <v>827</v>
      </c>
      <c r="P2839" s="8" t="e">
        <v>#N/A</v>
      </c>
    </row>
    <row r="2840">
      <c r="A2840">
        <f>IFERROR(__xludf.DUMMYFUNCTION("""COMPUTED_VALUE"""),8.0)</f>
        <v>8</v>
      </c>
      <c r="B2840">
        <f>IFERROR(__xludf.DUMMYFUNCTION("""COMPUTED_VALUE"""),29059.0)</f>
        <v>29059</v>
      </c>
      <c r="C2840" t="str">
        <f>IFERROR(__xludf.DUMMYFUNCTION("""COMPUTED_VALUE"""),"JARAMILLO GONZALEZ, PASCUAL")</f>
        <v>JARAMILLO GONZALEZ, PASCUAL</v>
      </c>
      <c r="D2840" t="str">
        <f>IFERROR(__xludf.DUMMYFUNCTION("""COMPUTED_VALUE"""),"Band 8S1")</f>
        <v>Band 8S1</v>
      </c>
      <c r="E2840" s="31" t="str">
        <f>IFERROR(__xludf.DUMMYFUNCTION("""COMPUTED_VALUE"""),"5b")</f>
        <v>5b</v>
      </c>
      <c r="F2840" s="8">
        <v>1.0</v>
      </c>
      <c r="G2840" s="8">
        <v>1.0</v>
      </c>
      <c r="H2840" s="8">
        <v>1.0</v>
      </c>
      <c r="I2840" s="8">
        <v>1.0</v>
      </c>
      <c r="J2840" s="8">
        <v>1.0</v>
      </c>
      <c r="K2840" s="8">
        <v>1.0</v>
      </c>
      <c r="L2840" s="8">
        <v>6.0</v>
      </c>
      <c r="M2840" s="8"/>
      <c r="N2840" s="8"/>
      <c r="O2840" s="8" t="s">
        <v>831</v>
      </c>
      <c r="P2840" s="8" t="e">
        <v>#N/A</v>
      </c>
    </row>
    <row r="2841">
      <c r="A2841">
        <f>IFERROR(__xludf.DUMMYFUNCTION("""COMPUTED_VALUE"""),8.0)</f>
        <v>8</v>
      </c>
      <c r="B2841">
        <f>IFERROR(__xludf.DUMMYFUNCTION("""COMPUTED_VALUE"""),29060.0)</f>
        <v>29060</v>
      </c>
      <c r="C2841" t="str">
        <f>IFERROR(__xludf.DUMMYFUNCTION("""COMPUTED_VALUE"""),"JARAMILLO NARANJO, NICOLAS")</f>
        <v>JARAMILLO NARANJO, NICOLAS</v>
      </c>
      <c r="D2841" t="str">
        <f>IFERROR(__xludf.DUMMYFUNCTION("""COMPUTED_VALUE"""),"Band 8S1")</f>
        <v>Band 8S1</v>
      </c>
      <c r="E2841" s="31" t="str">
        <f>IFERROR(__xludf.DUMMYFUNCTION("""COMPUTED_VALUE"""),"5b")</f>
        <v>5b</v>
      </c>
      <c r="F2841" s="8">
        <v>1.0</v>
      </c>
      <c r="G2841" s="8">
        <v>1.0</v>
      </c>
      <c r="H2841" s="8">
        <v>1.0</v>
      </c>
      <c r="I2841" s="8">
        <v>1.0</v>
      </c>
      <c r="J2841" s="8">
        <v>1.0</v>
      </c>
      <c r="K2841" s="8">
        <v>1.0</v>
      </c>
      <c r="L2841" s="8">
        <v>6.0</v>
      </c>
      <c r="M2841" s="8"/>
      <c r="N2841" s="8"/>
      <c r="O2841" s="8" t="s">
        <v>831</v>
      </c>
      <c r="P2841" s="8" t="e">
        <v>#N/A</v>
      </c>
    </row>
    <row r="2842">
      <c r="A2842">
        <f>IFERROR(__xludf.DUMMYFUNCTION("""COMPUTED_VALUE"""),8.0)</f>
        <v>8</v>
      </c>
      <c r="B2842">
        <f>IFERROR(__xludf.DUMMYFUNCTION("""COMPUTED_VALUE"""),29061.0)</f>
        <v>29061</v>
      </c>
      <c r="C2842" t="str">
        <f>IFERROR(__xludf.DUMMYFUNCTION("""COMPUTED_VALUE"""),"JARAMILLO OSPINA, MANUEL")</f>
        <v>JARAMILLO OSPINA, MANUEL</v>
      </c>
      <c r="D2842" t="str">
        <f>IFERROR(__xludf.DUMMYFUNCTION("""COMPUTED_VALUE"""),"Band 8S1")</f>
        <v>Band 8S1</v>
      </c>
      <c r="E2842" s="31" t="str">
        <f>IFERROR(__xludf.DUMMYFUNCTION("""COMPUTED_VALUE"""),"1b")</f>
        <v>1b</v>
      </c>
      <c r="F2842" s="8">
        <v>1.0</v>
      </c>
      <c r="G2842" s="8">
        <v>1.0</v>
      </c>
      <c r="H2842" s="8">
        <v>1.0</v>
      </c>
      <c r="I2842" s="8">
        <v>1.0</v>
      </c>
      <c r="J2842" s="8">
        <v>1.0</v>
      </c>
      <c r="K2842" s="8">
        <v>1.0</v>
      </c>
      <c r="L2842" s="8">
        <v>6.0</v>
      </c>
      <c r="M2842" s="8"/>
      <c r="N2842" s="8"/>
      <c r="O2842" s="8" t="s">
        <v>827</v>
      </c>
      <c r="P2842" s="8" t="e">
        <v>#N/A</v>
      </c>
    </row>
    <row r="2843">
      <c r="A2843">
        <f>IFERROR(__xludf.DUMMYFUNCTION("""COMPUTED_VALUE"""),8.0)</f>
        <v>8</v>
      </c>
      <c r="B2843">
        <f>IFERROR(__xludf.DUMMYFUNCTION("""COMPUTED_VALUE"""),28144.0)</f>
        <v>28144</v>
      </c>
      <c r="C2843" t="str">
        <f>IFERROR(__xludf.DUMMYFUNCTION("""COMPUTED_VALUE"""),"JIMENEZ PATIÑO, EMILIO")</f>
        <v>JIMENEZ PATIÑO, EMILIO</v>
      </c>
      <c r="D2843" t="str">
        <f>IFERROR(__xludf.DUMMYFUNCTION("""COMPUTED_VALUE"""),"Band 8S1")</f>
        <v>Band 8S1</v>
      </c>
      <c r="E2843" s="31" t="str">
        <f>IFERROR(__xludf.DUMMYFUNCTION("""COMPUTED_VALUE"""),"6b")</f>
        <v>6b</v>
      </c>
      <c r="F2843" s="8">
        <v>1.0</v>
      </c>
      <c r="G2843" s="8">
        <v>1.0</v>
      </c>
      <c r="H2843" s="8">
        <v>1.0</v>
      </c>
      <c r="I2843" s="8">
        <v>1.0</v>
      </c>
      <c r="J2843" s="8">
        <v>1.0</v>
      </c>
      <c r="K2843" s="8">
        <v>1.0</v>
      </c>
      <c r="L2843" s="8">
        <v>6.0</v>
      </c>
      <c r="M2843" s="8"/>
      <c r="N2843" s="8"/>
      <c r="O2843" s="8" t="s">
        <v>829</v>
      </c>
      <c r="P2843" s="8" t="e">
        <v>#N/A</v>
      </c>
    </row>
    <row r="2844">
      <c r="A2844">
        <f>IFERROR(__xludf.DUMMYFUNCTION("""COMPUTED_VALUE"""),8.0)</f>
        <v>8</v>
      </c>
      <c r="B2844">
        <f>IFERROR(__xludf.DUMMYFUNCTION("""COMPUTED_VALUE"""),29147.0)</f>
        <v>29147</v>
      </c>
      <c r="C2844" t="str">
        <f>IFERROR(__xludf.DUMMYFUNCTION("""COMPUTED_VALUE"""),"JIMENO ARISTIZABAL, ISABELLA")</f>
        <v>JIMENO ARISTIZABAL, ISABELLA</v>
      </c>
      <c r="D2844" t="str">
        <f>IFERROR(__xludf.DUMMYFUNCTION("""COMPUTED_VALUE"""),"Band 8S1")</f>
        <v>Band 8S1</v>
      </c>
      <c r="E2844" s="31" t="str">
        <f>IFERROR(__xludf.DUMMYFUNCTION("""COMPUTED_VALUE"""),"1b")</f>
        <v>1b</v>
      </c>
      <c r="F2844" s="8">
        <v>1.0</v>
      </c>
      <c r="G2844" s="8">
        <v>1.0</v>
      </c>
      <c r="H2844" s="8">
        <v>1.0</v>
      </c>
      <c r="I2844" s="8">
        <v>1.0</v>
      </c>
      <c r="J2844" s="8">
        <v>1.0</v>
      </c>
      <c r="K2844" s="8">
        <v>1.0</v>
      </c>
      <c r="L2844" s="8">
        <v>6.0</v>
      </c>
      <c r="M2844" s="8"/>
      <c r="N2844" s="8"/>
      <c r="O2844" s="8" t="s">
        <v>827</v>
      </c>
      <c r="P2844" s="8" t="e">
        <v>#N/A</v>
      </c>
    </row>
    <row r="2845">
      <c r="A2845">
        <f>IFERROR(__xludf.DUMMYFUNCTION("""COMPUTED_VALUE"""),8.0)</f>
        <v>8</v>
      </c>
      <c r="B2845">
        <f>IFERROR(__xludf.DUMMYFUNCTION("""COMPUTED_VALUE"""),29062.0)</f>
        <v>29062</v>
      </c>
      <c r="C2845" t="str">
        <f>IFERROR(__xludf.DUMMYFUNCTION("""COMPUTED_VALUE"""),"KIM LEE, SAE YOON LUCAS")</f>
        <v>KIM LEE, SAE YOON LUCAS</v>
      </c>
      <c r="D2845" t="str">
        <f>IFERROR(__xludf.DUMMYFUNCTION("""COMPUTED_VALUE"""),"Band 8S1")</f>
        <v>Band 8S1</v>
      </c>
      <c r="E2845" s="31" t="str">
        <f>IFERROR(__xludf.DUMMYFUNCTION("""COMPUTED_VALUE"""),"2a")</f>
        <v>2a</v>
      </c>
      <c r="F2845" s="8">
        <v>1.0</v>
      </c>
      <c r="G2845" s="8">
        <v>1.0</v>
      </c>
      <c r="H2845" s="8">
        <v>1.0</v>
      </c>
      <c r="I2845" s="8">
        <v>1.0</v>
      </c>
      <c r="J2845" s="8">
        <v>1.0</v>
      </c>
      <c r="K2845" s="8">
        <v>1.0</v>
      </c>
      <c r="L2845" s="8">
        <v>6.0</v>
      </c>
      <c r="M2845" s="8"/>
      <c r="N2845" s="8"/>
      <c r="O2845" s="8" t="s">
        <v>830</v>
      </c>
      <c r="P2845" s="8" t="e">
        <v>#N/A</v>
      </c>
    </row>
    <row r="2846">
      <c r="A2846">
        <f>IFERROR(__xludf.DUMMYFUNCTION("""COMPUTED_VALUE"""),8.0)</f>
        <v>8</v>
      </c>
      <c r="B2846">
        <f>IFERROR(__xludf.DUMMYFUNCTION("""COMPUTED_VALUE"""),29064.0)</f>
        <v>29064</v>
      </c>
      <c r="C2846" t="str">
        <f>IFERROR(__xludf.DUMMYFUNCTION("""COMPUTED_VALUE"""),"LONDOÑO BAQUERO, EMILIA")</f>
        <v>LONDOÑO BAQUERO, EMILIA</v>
      </c>
      <c r="D2846" t="str">
        <f>IFERROR(__xludf.DUMMYFUNCTION("""COMPUTED_VALUE"""),"Tech 8S1")</f>
        <v>Tech 8S1</v>
      </c>
      <c r="E2846" s="31" t="str">
        <f>IFERROR(__xludf.DUMMYFUNCTION("""COMPUTED_VALUE"""),"4b")</f>
        <v>4b</v>
      </c>
      <c r="F2846" s="8">
        <v>1.0</v>
      </c>
      <c r="G2846" s="8">
        <v>1.0</v>
      </c>
      <c r="H2846" s="8">
        <v>1.0</v>
      </c>
      <c r="I2846" s="8">
        <v>1.0</v>
      </c>
      <c r="J2846" s="8">
        <v>1.0</v>
      </c>
      <c r="K2846" s="8">
        <v>1.0</v>
      </c>
      <c r="L2846" s="8">
        <v>6.0</v>
      </c>
      <c r="M2846" s="8"/>
      <c r="N2846" s="8"/>
      <c r="O2846" s="8" t="s">
        <v>826</v>
      </c>
      <c r="P2846" s="8" t="e">
        <v>#N/A</v>
      </c>
    </row>
    <row r="2847">
      <c r="A2847">
        <f>IFERROR(__xludf.DUMMYFUNCTION("""COMPUTED_VALUE"""),8.0)</f>
        <v>8</v>
      </c>
      <c r="B2847">
        <f>IFERROR(__xludf.DUMMYFUNCTION("""COMPUTED_VALUE"""),29065.0)</f>
        <v>29065</v>
      </c>
      <c r="C2847" t="str">
        <f>IFERROR(__xludf.DUMMYFUNCTION("""COMPUTED_VALUE"""),"LONDOÑO CUARTAS, TOMAS")</f>
        <v>LONDOÑO CUARTAS, TOMAS</v>
      </c>
      <c r="D2847" t="str">
        <f>IFERROR(__xludf.DUMMYFUNCTION("""COMPUTED_VALUE"""),"Band 8S1")</f>
        <v>Band 8S1</v>
      </c>
      <c r="E2847" s="31" t="str">
        <f>IFERROR(__xludf.DUMMYFUNCTION("""COMPUTED_VALUE"""),"2a")</f>
        <v>2a</v>
      </c>
      <c r="F2847" s="8">
        <v>1.0</v>
      </c>
      <c r="G2847" s="8">
        <v>1.0</v>
      </c>
      <c r="H2847" s="8">
        <v>1.0</v>
      </c>
      <c r="I2847" s="8">
        <v>1.0</v>
      </c>
      <c r="J2847" s="8">
        <v>1.0</v>
      </c>
      <c r="K2847" s="8">
        <v>1.0</v>
      </c>
      <c r="L2847" s="8">
        <v>6.0</v>
      </c>
      <c r="M2847" s="8"/>
      <c r="N2847" s="8"/>
      <c r="O2847" s="8" t="s">
        <v>830</v>
      </c>
      <c r="P2847" s="8" t="e">
        <v>#N/A</v>
      </c>
    </row>
    <row r="2848">
      <c r="A2848">
        <f>IFERROR(__xludf.DUMMYFUNCTION("""COMPUTED_VALUE"""),8.0)</f>
        <v>8</v>
      </c>
      <c r="B2848">
        <f>IFERROR(__xludf.DUMMYFUNCTION("""COMPUTED_VALUE"""),29066.0)</f>
        <v>29066</v>
      </c>
      <c r="C2848" t="str">
        <f>IFERROR(__xludf.DUMMYFUNCTION("""COMPUTED_VALUE"""),"LONDOÑO JARAMILLO, MARTINA")</f>
        <v>LONDOÑO JARAMILLO, MARTINA</v>
      </c>
      <c r="D2848" t="str">
        <f>IFERROR(__xludf.DUMMYFUNCTION("""COMPUTED_VALUE"""),"Band 8S1")</f>
        <v>Band 8S1</v>
      </c>
      <c r="E2848" s="31" t="str">
        <f>IFERROR(__xludf.DUMMYFUNCTION("""COMPUTED_VALUE"""),"2a")</f>
        <v>2a</v>
      </c>
      <c r="F2848" s="8">
        <v>1.0</v>
      </c>
      <c r="G2848" s="8">
        <v>1.0</v>
      </c>
      <c r="H2848" s="8">
        <v>1.0</v>
      </c>
      <c r="I2848" s="8">
        <v>1.0</v>
      </c>
      <c r="J2848" s="8">
        <v>1.0</v>
      </c>
      <c r="K2848" s="8">
        <v>1.0</v>
      </c>
      <c r="L2848" s="8">
        <v>6.0</v>
      </c>
      <c r="M2848" s="8"/>
      <c r="N2848" s="8"/>
      <c r="O2848" s="8" t="s">
        <v>830</v>
      </c>
      <c r="P2848" s="8" t="e">
        <v>#N/A</v>
      </c>
    </row>
    <row r="2849">
      <c r="A2849">
        <f>IFERROR(__xludf.DUMMYFUNCTION("""COMPUTED_VALUE"""),8.0)</f>
        <v>8</v>
      </c>
      <c r="B2849">
        <f>IFERROR(__xludf.DUMMYFUNCTION("""COMPUTED_VALUE"""),29068.0)</f>
        <v>29068</v>
      </c>
      <c r="C2849" t="str">
        <f>IFERROR(__xludf.DUMMYFUNCTION("""COMPUTED_VALUE"""),"LOPEZ JAIMES, VICENTE")</f>
        <v>LOPEZ JAIMES, VICENTE</v>
      </c>
      <c r="D2849" t="str">
        <f>IFERROR(__xludf.DUMMYFUNCTION("""COMPUTED_VALUE"""),"Band 8S1")</f>
        <v>Band 8S1</v>
      </c>
      <c r="E2849" s="31" t="str">
        <f>IFERROR(__xludf.DUMMYFUNCTION("""COMPUTED_VALUE"""),"5b")</f>
        <v>5b</v>
      </c>
      <c r="F2849" s="8">
        <v>1.0</v>
      </c>
      <c r="G2849" s="8">
        <v>1.0</v>
      </c>
      <c r="H2849" s="8">
        <v>1.0</v>
      </c>
      <c r="I2849" s="8">
        <v>1.0</v>
      </c>
      <c r="J2849" s="8">
        <v>1.0</v>
      </c>
      <c r="K2849" s="8">
        <v>1.0</v>
      </c>
      <c r="L2849" s="8">
        <v>6.0</v>
      </c>
      <c r="M2849" s="8"/>
      <c r="N2849" s="8"/>
      <c r="O2849" s="8" t="s">
        <v>831</v>
      </c>
      <c r="P2849" s="8" t="e">
        <v>#N/A</v>
      </c>
    </row>
    <row r="2850">
      <c r="A2850">
        <f>IFERROR(__xludf.DUMMYFUNCTION("""COMPUTED_VALUE"""),8.0)</f>
        <v>8</v>
      </c>
      <c r="B2850">
        <f>IFERROR(__xludf.DUMMYFUNCTION("""COMPUTED_VALUE"""),29069.0)</f>
        <v>29069</v>
      </c>
      <c r="C2850" t="str">
        <f>IFERROR(__xludf.DUMMYFUNCTION("""COMPUTED_VALUE"""),"LUNA ALZATE, AMALIA")</f>
        <v>LUNA ALZATE, AMALIA</v>
      </c>
      <c r="D2850" t="str">
        <f>IFERROR(__xludf.DUMMYFUNCTION("""COMPUTED_VALUE"""),"Band 8S1")</f>
        <v>Band 8S1</v>
      </c>
      <c r="E2850" s="31" t="str">
        <f>IFERROR(__xludf.DUMMYFUNCTION("""COMPUTED_VALUE"""),"1b")</f>
        <v>1b</v>
      </c>
      <c r="F2850" s="8">
        <v>1.0</v>
      </c>
      <c r="G2850" s="8">
        <v>1.0</v>
      </c>
      <c r="H2850" s="8">
        <v>1.0</v>
      </c>
      <c r="I2850" s="8">
        <v>1.0</v>
      </c>
      <c r="J2850" s="8">
        <v>1.0</v>
      </c>
      <c r="K2850" s="8">
        <v>1.0</v>
      </c>
      <c r="L2850" s="8">
        <v>6.0</v>
      </c>
      <c r="M2850" s="8"/>
      <c r="N2850" s="8"/>
      <c r="O2850" s="8" t="s">
        <v>827</v>
      </c>
      <c r="P2850" s="8" t="e">
        <v>#N/A</v>
      </c>
    </row>
    <row r="2851">
      <c r="A2851">
        <f>IFERROR(__xludf.DUMMYFUNCTION("""COMPUTED_VALUE"""),8.0)</f>
        <v>8</v>
      </c>
      <c r="B2851">
        <f>IFERROR(__xludf.DUMMYFUNCTION("""COMPUTED_VALUE"""),29070.0)</f>
        <v>29070</v>
      </c>
      <c r="C2851" t="str">
        <f>IFERROR(__xludf.DUMMYFUNCTION("""COMPUTED_VALUE"""),"MANRIQUE CUESTA, ISABELLA")</f>
        <v>MANRIQUE CUESTA, ISABELLA</v>
      </c>
      <c r="D2851" t="str">
        <f>IFERROR(__xludf.DUMMYFUNCTION("""COMPUTED_VALUE"""),"Tech 8S1")</f>
        <v>Tech 8S1</v>
      </c>
      <c r="E2851" s="31" t="str">
        <f>IFERROR(__xludf.DUMMYFUNCTION("""COMPUTED_VALUE"""),"4b")</f>
        <v>4b</v>
      </c>
      <c r="F2851" s="8">
        <v>1.0</v>
      </c>
      <c r="G2851" s="8">
        <v>1.0</v>
      </c>
      <c r="H2851" s="8">
        <v>1.0</v>
      </c>
      <c r="I2851" s="8">
        <v>1.0</v>
      </c>
      <c r="J2851" s="8">
        <v>1.0</v>
      </c>
      <c r="K2851" s="8">
        <v>1.0</v>
      </c>
      <c r="L2851" s="8">
        <v>6.0</v>
      </c>
      <c r="M2851" s="8"/>
      <c r="N2851" s="8"/>
      <c r="O2851" s="8" t="s">
        <v>826</v>
      </c>
      <c r="P2851" s="8" t="e">
        <v>#N/A</v>
      </c>
    </row>
    <row r="2852">
      <c r="A2852">
        <f>IFERROR(__xludf.DUMMYFUNCTION("""COMPUTED_VALUE"""),8.0)</f>
        <v>8</v>
      </c>
      <c r="B2852">
        <f>IFERROR(__xludf.DUMMYFUNCTION("""COMPUTED_VALUE"""),29071.0)</f>
        <v>29071</v>
      </c>
      <c r="C2852" t="str">
        <f>IFERROR(__xludf.DUMMYFUNCTION("""COMPUTED_VALUE"""),"MARQUEZ BARRERA, MIRANDA")</f>
        <v>MARQUEZ BARRERA, MIRANDA</v>
      </c>
      <c r="D2852" t="str">
        <f>IFERROR(__xludf.DUMMYFUNCTION("""COMPUTED_VALUE"""),"Tech 8S1")</f>
        <v>Tech 8S1</v>
      </c>
      <c r="E2852" s="31" t="str">
        <f>IFERROR(__xludf.DUMMYFUNCTION("""COMPUTED_VALUE"""),"4b")</f>
        <v>4b</v>
      </c>
      <c r="F2852" s="8">
        <v>1.0</v>
      </c>
      <c r="G2852" s="8">
        <v>1.0</v>
      </c>
      <c r="H2852" s="8">
        <v>1.0</v>
      </c>
      <c r="I2852" s="8">
        <v>1.0</v>
      </c>
      <c r="J2852" s="8">
        <v>1.0</v>
      </c>
      <c r="K2852" s="8">
        <v>1.0</v>
      </c>
      <c r="L2852" s="8">
        <v>6.0</v>
      </c>
      <c r="M2852" s="8"/>
      <c r="N2852" s="8"/>
      <c r="O2852" s="8" t="s">
        <v>826</v>
      </c>
      <c r="P2852" s="8" t="e">
        <v>#N/A</v>
      </c>
    </row>
    <row r="2853">
      <c r="A2853">
        <f>IFERROR(__xludf.DUMMYFUNCTION("""COMPUTED_VALUE"""),8.0)</f>
        <v>8</v>
      </c>
      <c r="B2853">
        <f>IFERROR(__xludf.DUMMYFUNCTION("""COMPUTED_VALUE"""),29072.0)</f>
        <v>29072</v>
      </c>
      <c r="C2853" t="str">
        <f>IFERROR(__xludf.DUMMYFUNCTION("""COMPUTED_VALUE"""),"MARQUEZ RAHAL, PEDRO")</f>
        <v>MARQUEZ RAHAL, PEDRO</v>
      </c>
      <c r="D2853" t="str">
        <f>IFERROR(__xludf.DUMMYFUNCTION("""COMPUTED_VALUE"""),"Band 8S1")</f>
        <v>Band 8S1</v>
      </c>
      <c r="E2853" s="31" t="str">
        <f>IFERROR(__xludf.DUMMYFUNCTION("""COMPUTED_VALUE"""),"2a")</f>
        <v>2a</v>
      </c>
      <c r="F2853" s="8">
        <v>1.0</v>
      </c>
      <c r="G2853" s="8">
        <v>1.0</v>
      </c>
      <c r="H2853" s="8">
        <v>1.0</v>
      </c>
      <c r="I2853" s="8">
        <v>1.0</v>
      </c>
      <c r="J2853" s="8">
        <v>1.0</v>
      </c>
      <c r="K2853" s="8">
        <v>1.0</v>
      </c>
      <c r="L2853" s="8">
        <v>6.0</v>
      </c>
      <c r="M2853" s="8"/>
      <c r="N2853" s="8"/>
      <c r="O2853" s="8" t="s">
        <v>830</v>
      </c>
      <c r="P2853" s="8" t="e">
        <v>#N/A</v>
      </c>
    </row>
    <row r="2854">
      <c r="A2854">
        <f>IFERROR(__xludf.DUMMYFUNCTION("""COMPUTED_VALUE"""),8.0)</f>
        <v>8</v>
      </c>
      <c r="B2854">
        <f>IFERROR(__xludf.DUMMYFUNCTION("""COMPUTED_VALUE"""),29073.0)</f>
        <v>29073</v>
      </c>
      <c r="C2854" t="str">
        <f>IFERROR(__xludf.DUMMYFUNCTION("""COMPUTED_VALUE"""),"MARRERO MARTA, ALINA")</f>
        <v>MARRERO MARTA, ALINA</v>
      </c>
      <c r="D2854" t="str">
        <f>IFERROR(__xludf.DUMMYFUNCTION("""COMPUTED_VALUE"""),"Band 8S1")</f>
        <v>Band 8S1</v>
      </c>
      <c r="E2854" s="31" t="str">
        <f>IFERROR(__xludf.DUMMYFUNCTION("""COMPUTED_VALUE"""),"6b")</f>
        <v>6b</v>
      </c>
      <c r="F2854" s="8">
        <v>1.0</v>
      </c>
      <c r="G2854" s="8">
        <v>1.0</v>
      </c>
      <c r="H2854" s="8">
        <v>1.0</v>
      </c>
      <c r="I2854" s="8">
        <v>1.0</v>
      </c>
      <c r="J2854" s="8">
        <v>1.0</v>
      </c>
      <c r="K2854" s="8">
        <v>1.0</v>
      </c>
      <c r="L2854" s="8">
        <v>6.0</v>
      </c>
      <c r="M2854" s="8"/>
      <c r="N2854" s="8"/>
      <c r="O2854" s="8" t="s">
        <v>829</v>
      </c>
      <c r="P2854" s="8" t="e">
        <v>#N/A</v>
      </c>
    </row>
    <row r="2855">
      <c r="A2855">
        <f>IFERROR(__xludf.DUMMYFUNCTION("""COMPUTED_VALUE"""),8.0)</f>
        <v>8</v>
      </c>
      <c r="B2855">
        <f>IFERROR(__xludf.DUMMYFUNCTION("""COMPUTED_VALUE"""),29074.0)</f>
        <v>29074</v>
      </c>
      <c r="C2855" t="str">
        <f>IFERROR(__xludf.DUMMYFUNCTION("""COMPUTED_VALUE"""),"MEDINA JARAMILLO, ALICIA")</f>
        <v>MEDINA JARAMILLO, ALICIA</v>
      </c>
      <c r="D2855" t="str">
        <f>IFERROR(__xludf.DUMMYFUNCTION("""COMPUTED_VALUE"""),"Band 8S1")</f>
        <v>Band 8S1</v>
      </c>
      <c r="E2855" s="31" t="str">
        <f>IFERROR(__xludf.DUMMYFUNCTION("""COMPUTED_VALUE"""),"2a")</f>
        <v>2a</v>
      </c>
      <c r="F2855" s="8">
        <v>1.0</v>
      </c>
      <c r="G2855" s="8">
        <v>1.0</v>
      </c>
      <c r="H2855" s="8">
        <v>1.0</v>
      </c>
      <c r="I2855" s="8">
        <v>1.0</v>
      </c>
      <c r="J2855" s="8">
        <v>1.0</v>
      </c>
      <c r="K2855" s="8">
        <v>1.0</v>
      </c>
      <c r="L2855" s="8">
        <v>6.0</v>
      </c>
      <c r="M2855" s="8"/>
      <c r="N2855" s="8"/>
      <c r="O2855" s="8" t="s">
        <v>830</v>
      </c>
      <c r="P2855" s="8" t="e">
        <v>#N/A</v>
      </c>
    </row>
    <row r="2856">
      <c r="A2856">
        <f>IFERROR(__xludf.DUMMYFUNCTION("""COMPUTED_VALUE"""),8.0)</f>
        <v>8</v>
      </c>
      <c r="B2856">
        <f>IFERROR(__xludf.DUMMYFUNCTION("""COMPUTED_VALUE"""),29075.0)</f>
        <v>29075</v>
      </c>
      <c r="C2856" t="str">
        <f>IFERROR(__xludf.DUMMYFUNCTION("""COMPUTED_VALUE"""),"MEJIA BUSTAMANTE, ANTONIA")</f>
        <v>MEJIA BUSTAMANTE, ANTONIA</v>
      </c>
      <c r="D2856" t="str">
        <f>IFERROR(__xludf.DUMMYFUNCTION("""COMPUTED_VALUE"""),"Tech 8S1")</f>
        <v>Tech 8S1</v>
      </c>
      <c r="E2856" s="31" t="str">
        <f>IFERROR(__xludf.DUMMYFUNCTION("""COMPUTED_VALUE"""),"4b")</f>
        <v>4b</v>
      </c>
      <c r="F2856" s="8">
        <v>1.0</v>
      </c>
      <c r="G2856" s="8">
        <v>1.0</v>
      </c>
      <c r="H2856" s="8">
        <v>1.0</v>
      </c>
      <c r="I2856" s="8">
        <v>1.0</v>
      </c>
      <c r="J2856" s="8">
        <v>1.0</v>
      </c>
      <c r="K2856" s="8">
        <v>1.0</v>
      </c>
      <c r="L2856" s="8">
        <v>6.0</v>
      </c>
      <c r="M2856" s="8"/>
      <c r="N2856" s="8"/>
      <c r="O2856" s="8" t="s">
        <v>826</v>
      </c>
      <c r="P2856" s="8" t="e">
        <v>#N/A</v>
      </c>
    </row>
    <row r="2857">
      <c r="A2857">
        <f>IFERROR(__xludf.DUMMYFUNCTION("""COMPUTED_VALUE"""),8.0)</f>
        <v>8</v>
      </c>
      <c r="B2857">
        <f>IFERROR(__xludf.DUMMYFUNCTION("""COMPUTED_VALUE"""),29076.0)</f>
        <v>29076</v>
      </c>
      <c r="C2857" t="str">
        <f>IFERROR(__xludf.DUMMYFUNCTION("""COMPUTED_VALUE"""),"MEJIA MANTILLA, MATEO")</f>
        <v>MEJIA MANTILLA, MATEO</v>
      </c>
      <c r="D2857" t="str">
        <f>IFERROR(__xludf.DUMMYFUNCTION("""COMPUTED_VALUE"""),"Tech 8S1")</f>
        <v>Tech 8S1</v>
      </c>
      <c r="E2857" s="31" t="str">
        <f>IFERROR(__xludf.DUMMYFUNCTION("""COMPUTED_VALUE"""),"5a")</f>
        <v>5a</v>
      </c>
      <c r="F2857" s="8">
        <v>1.0</v>
      </c>
      <c r="G2857" s="8">
        <v>1.0</v>
      </c>
      <c r="H2857" s="8">
        <v>1.0</v>
      </c>
      <c r="I2857" s="8">
        <v>1.0</v>
      </c>
      <c r="J2857" s="8">
        <v>1.0</v>
      </c>
      <c r="K2857" s="8">
        <v>1.0</v>
      </c>
      <c r="L2857" s="8">
        <v>6.0</v>
      </c>
      <c r="M2857" s="8"/>
      <c r="N2857" s="8"/>
      <c r="O2857" s="8" t="s">
        <v>828</v>
      </c>
      <c r="P2857" s="8" t="e">
        <v>#N/A</v>
      </c>
    </row>
    <row r="2858">
      <c r="A2858">
        <f>IFERROR(__xludf.DUMMYFUNCTION("""COMPUTED_VALUE"""),8.0)</f>
        <v>8</v>
      </c>
      <c r="B2858">
        <f>IFERROR(__xludf.DUMMYFUNCTION("""COMPUTED_VALUE"""),29077.0)</f>
        <v>29077</v>
      </c>
      <c r="C2858" t="str">
        <f>IFERROR(__xludf.DUMMYFUNCTION("""COMPUTED_VALUE"""),"MEJIA VILLEGAS, CANDELARIA")</f>
        <v>MEJIA VILLEGAS, CANDELARIA</v>
      </c>
      <c r="D2858" t="str">
        <f>IFERROR(__xludf.DUMMYFUNCTION("""COMPUTED_VALUE"""),"Tech 8S1")</f>
        <v>Tech 8S1</v>
      </c>
      <c r="E2858" s="31" t="str">
        <f>IFERROR(__xludf.DUMMYFUNCTION("""COMPUTED_VALUE"""),"4b")</f>
        <v>4b</v>
      </c>
      <c r="F2858" s="8">
        <v>1.0</v>
      </c>
      <c r="G2858" s="8">
        <v>1.0</v>
      </c>
      <c r="H2858" s="8">
        <v>1.0</v>
      </c>
      <c r="I2858" s="8">
        <v>1.0</v>
      </c>
      <c r="J2858" s="8">
        <v>1.0</v>
      </c>
      <c r="K2858" s="8">
        <v>1.0</v>
      </c>
      <c r="L2858" s="8">
        <v>6.0</v>
      </c>
      <c r="M2858" s="8"/>
      <c r="N2858" s="8"/>
      <c r="O2858" s="8" t="s">
        <v>826</v>
      </c>
      <c r="P2858" s="8" t="e">
        <v>#N/A</v>
      </c>
    </row>
    <row r="2859">
      <c r="A2859">
        <f>IFERROR(__xludf.DUMMYFUNCTION("""COMPUTED_VALUE"""),8.0)</f>
        <v>8</v>
      </c>
      <c r="B2859">
        <f>IFERROR(__xludf.DUMMYFUNCTION("""COMPUTED_VALUE"""),29079.0)</f>
        <v>29079</v>
      </c>
      <c r="C2859" t="str">
        <f>IFERROR(__xludf.DUMMYFUNCTION("""COMPUTED_VALUE"""),"MISAS MESA, ALICIA")</f>
        <v>MISAS MESA, ALICIA</v>
      </c>
      <c r="D2859" t="str">
        <f>IFERROR(__xludf.DUMMYFUNCTION("""COMPUTED_VALUE"""),"Tech 8S1")</f>
        <v>Tech 8S1</v>
      </c>
      <c r="E2859" s="31" t="str">
        <f>IFERROR(__xludf.DUMMYFUNCTION("""COMPUTED_VALUE"""),"4b")</f>
        <v>4b</v>
      </c>
      <c r="F2859" s="8">
        <v>1.0</v>
      </c>
      <c r="G2859" s="8">
        <v>1.0</v>
      </c>
      <c r="H2859" s="8">
        <v>1.0</v>
      </c>
      <c r="I2859" s="8">
        <v>1.0</v>
      </c>
      <c r="J2859" s="8">
        <v>1.0</v>
      </c>
      <c r="K2859" s="8">
        <v>1.0</v>
      </c>
      <c r="L2859" s="8">
        <v>6.0</v>
      </c>
      <c r="M2859" s="8"/>
      <c r="N2859" s="8"/>
      <c r="O2859" s="8" t="s">
        <v>826</v>
      </c>
      <c r="P2859" s="8" t="e">
        <v>#N/A</v>
      </c>
    </row>
    <row r="2860">
      <c r="A2860">
        <f>IFERROR(__xludf.DUMMYFUNCTION("""COMPUTED_VALUE"""),8.0)</f>
        <v>8</v>
      </c>
      <c r="B2860">
        <f>IFERROR(__xludf.DUMMYFUNCTION("""COMPUTED_VALUE"""),29153.0)</f>
        <v>29153</v>
      </c>
      <c r="C2860" t="str">
        <f>IFERROR(__xludf.DUMMYFUNCTION("""COMPUTED_VALUE"""),"MISERENDINO MUÑOZ, GABRIEL")</f>
        <v>MISERENDINO MUÑOZ, GABRIEL</v>
      </c>
      <c r="D2860" t="str">
        <f>IFERROR(__xludf.DUMMYFUNCTION("""COMPUTED_VALUE"""),"Tech 8S1")</f>
        <v>Tech 8S1</v>
      </c>
      <c r="E2860" s="31" t="str">
        <f>IFERROR(__xludf.DUMMYFUNCTION("""COMPUTED_VALUE"""),"4b")</f>
        <v>4b</v>
      </c>
      <c r="F2860" s="8">
        <v>1.0</v>
      </c>
      <c r="G2860" s="8">
        <v>1.0</v>
      </c>
      <c r="H2860" s="8">
        <v>1.0</v>
      </c>
      <c r="I2860" s="8">
        <v>1.0</v>
      </c>
      <c r="J2860" s="8">
        <v>1.0</v>
      </c>
      <c r="K2860" s="8">
        <v>1.0</v>
      </c>
      <c r="L2860" s="8">
        <v>6.0</v>
      </c>
      <c r="M2860" s="8"/>
      <c r="N2860" s="8"/>
      <c r="O2860" s="8" t="s">
        <v>826</v>
      </c>
      <c r="P2860" s="8" t="e">
        <v>#N/A</v>
      </c>
    </row>
    <row r="2861">
      <c r="A2861">
        <f>IFERROR(__xludf.DUMMYFUNCTION("""COMPUTED_VALUE"""),8.0)</f>
        <v>8</v>
      </c>
      <c r="B2861">
        <f>IFERROR(__xludf.DUMMYFUNCTION("""COMPUTED_VALUE"""),29143.0)</f>
        <v>29143</v>
      </c>
      <c r="C2861" t="str">
        <f>IFERROR(__xludf.DUMMYFUNCTION("""COMPUTED_VALUE"""),"MOLANO MESA, CARMEN")</f>
        <v>MOLANO MESA, CARMEN</v>
      </c>
      <c r="D2861" t="str">
        <f>IFERROR(__xludf.DUMMYFUNCTION("""COMPUTED_VALUE"""),"Art 8S1")</f>
        <v>Art 8S1</v>
      </c>
      <c r="E2861" s="31" t="str">
        <f>IFERROR(__xludf.DUMMYFUNCTION("""COMPUTED_VALUE"""),"5a")</f>
        <v>5a</v>
      </c>
      <c r="F2861" s="8">
        <v>1.0</v>
      </c>
      <c r="G2861" s="8">
        <v>1.0</v>
      </c>
      <c r="H2861" s="8">
        <v>1.0</v>
      </c>
      <c r="I2861" s="8">
        <v>1.0</v>
      </c>
      <c r="J2861" s="8">
        <v>1.0</v>
      </c>
      <c r="K2861" s="8">
        <v>1.0</v>
      </c>
      <c r="L2861" s="8">
        <v>6.0</v>
      </c>
      <c r="M2861" s="8"/>
      <c r="N2861" s="8"/>
      <c r="O2861" s="8" t="s">
        <v>832</v>
      </c>
      <c r="P2861" s="8" t="e">
        <v>#N/A</v>
      </c>
    </row>
    <row r="2862">
      <c r="A2862">
        <f>IFERROR(__xludf.DUMMYFUNCTION("""COMPUTED_VALUE"""),8.0)</f>
        <v>8</v>
      </c>
      <c r="B2862">
        <f>IFERROR(__xludf.DUMMYFUNCTION("""COMPUTED_VALUE"""),29080.0)</f>
        <v>29080</v>
      </c>
      <c r="C2862" t="str">
        <f>IFERROR(__xludf.DUMMYFUNCTION("""COMPUTED_VALUE"""),"MONTES LOPEZ, MANUELA")</f>
        <v>MONTES LOPEZ, MANUELA</v>
      </c>
      <c r="D2862" t="str">
        <f>IFERROR(__xludf.DUMMYFUNCTION("""COMPUTED_VALUE"""),"Band 8S1")</f>
        <v>Band 8S1</v>
      </c>
      <c r="E2862" s="31" t="str">
        <f>IFERROR(__xludf.DUMMYFUNCTION("""COMPUTED_VALUE"""),"2a")</f>
        <v>2a</v>
      </c>
      <c r="F2862" s="8">
        <v>1.0</v>
      </c>
      <c r="G2862" s="8">
        <v>1.0</v>
      </c>
      <c r="H2862" s="8">
        <v>1.0</v>
      </c>
      <c r="I2862" s="8">
        <v>1.0</v>
      </c>
      <c r="J2862" s="8">
        <v>1.0</v>
      </c>
      <c r="K2862" s="8">
        <v>1.0</v>
      </c>
      <c r="L2862" s="8">
        <v>6.0</v>
      </c>
      <c r="M2862" s="8"/>
      <c r="N2862" s="8"/>
      <c r="O2862" s="8" t="s">
        <v>830</v>
      </c>
      <c r="P2862" s="8" t="e">
        <v>#N/A</v>
      </c>
    </row>
    <row r="2863">
      <c r="A2863">
        <f>IFERROR(__xludf.DUMMYFUNCTION("""COMPUTED_VALUE"""),8.0)</f>
        <v>8</v>
      </c>
      <c r="B2863">
        <f>IFERROR(__xludf.DUMMYFUNCTION("""COMPUTED_VALUE"""),29081.0)</f>
        <v>29081</v>
      </c>
      <c r="C2863" t="str">
        <f>IFERROR(__xludf.DUMMYFUNCTION("""COMPUTED_VALUE"""),"MORA JARAMILLO, ALICIA")</f>
        <v>MORA JARAMILLO, ALICIA</v>
      </c>
      <c r="D2863" t="str">
        <f>IFERROR(__xludf.DUMMYFUNCTION("""COMPUTED_VALUE"""),"Tech 8S1")</f>
        <v>Tech 8S1</v>
      </c>
      <c r="E2863" s="31" t="str">
        <f>IFERROR(__xludf.DUMMYFUNCTION("""COMPUTED_VALUE"""),"5a")</f>
        <v>5a</v>
      </c>
      <c r="F2863" s="8">
        <v>1.0</v>
      </c>
      <c r="G2863" s="8">
        <v>1.0</v>
      </c>
      <c r="H2863" s="8">
        <v>1.0</v>
      </c>
      <c r="I2863" s="8">
        <v>1.0</v>
      </c>
      <c r="J2863" s="8">
        <v>1.0</v>
      </c>
      <c r="K2863" s="8">
        <v>1.0</v>
      </c>
      <c r="L2863" s="8">
        <v>6.0</v>
      </c>
      <c r="M2863" s="8"/>
      <c r="N2863" s="8"/>
      <c r="O2863" s="8" t="s">
        <v>828</v>
      </c>
      <c r="P2863" s="8" t="e">
        <v>#N/A</v>
      </c>
    </row>
    <row r="2864">
      <c r="A2864">
        <f>IFERROR(__xludf.DUMMYFUNCTION("""COMPUTED_VALUE"""),8.0)</f>
        <v>8</v>
      </c>
      <c r="B2864">
        <f>IFERROR(__xludf.DUMMYFUNCTION("""COMPUTED_VALUE"""),29083.0)</f>
        <v>29083</v>
      </c>
      <c r="C2864" t="str">
        <f>IFERROR(__xludf.DUMMYFUNCTION("""COMPUTED_VALUE"""),"NAVARRO ZULUAGA, SOFIA")</f>
        <v>NAVARRO ZULUAGA, SOFIA</v>
      </c>
      <c r="D2864" t="str">
        <f>IFERROR(__xludf.DUMMYFUNCTION("""COMPUTED_VALUE"""),"Band 8S1")</f>
        <v>Band 8S1</v>
      </c>
      <c r="E2864" s="31" t="str">
        <f>IFERROR(__xludf.DUMMYFUNCTION("""COMPUTED_VALUE"""),"1b")</f>
        <v>1b</v>
      </c>
      <c r="F2864" s="8">
        <v>1.0</v>
      </c>
      <c r="G2864" s="8">
        <v>1.0</v>
      </c>
      <c r="H2864" s="8">
        <v>1.0</v>
      </c>
      <c r="I2864" s="8">
        <v>1.0</v>
      </c>
      <c r="J2864" s="8">
        <v>1.0</v>
      </c>
      <c r="K2864" s="8">
        <v>1.0</v>
      </c>
      <c r="L2864" s="8">
        <v>6.0</v>
      </c>
      <c r="M2864" s="8"/>
      <c r="N2864" s="8"/>
      <c r="O2864" s="8" t="s">
        <v>827</v>
      </c>
      <c r="P2864" s="8" t="e">
        <v>#N/A</v>
      </c>
    </row>
    <row r="2865">
      <c r="A2865">
        <f>IFERROR(__xludf.DUMMYFUNCTION("""COMPUTED_VALUE"""),8.0)</f>
        <v>8</v>
      </c>
      <c r="B2865">
        <f>IFERROR(__xludf.DUMMYFUNCTION("""COMPUTED_VALUE"""),29158.0)</f>
        <v>29158</v>
      </c>
      <c r="C2865" t="str">
        <f>IFERROR(__xludf.DUMMYFUNCTION("""COMPUTED_VALUE"""),"NIEHAUS TRUJILLO, MICHELLE")</f>
        <v>NIEHAUS TRUJILLO, MICHELLE</v>
      </c>
      <c r="D2865" t="str">
        <f>IFERROR(__xludf.DUMMYFUNCTION("""COMPUTED_VALUE"""),"Band 8S1")</f>
        <v>Band 8S1</v>
      </c>
      <c r="E2865" s="31" t="str">
        <f>IFERROR(__xludf.DUMMYFUNCTION("""COMPUTED_VALUE"""),"5b")</f>
        <v>5b</v>
      </c>
      <c r="F2865" s="8">
        <v>1.0</v>
      </c>
      <c r="G2865" s="8">
        <v>1.0</v>
      </c>
      <c r="H2865" s="8">
        <v>1.0</v>
      </c>
      <c r="I2865" s="8">
        <v>1.0</v>
      </c>
      <c r="J2865" s="8">
        <v>1.0</v>
      </c>
      <c r="K2865" s="8">
        <v>1.0</v>
      </c>
      <c r="L2865" s="8">
        <v>6.0</v>
      </c>
      <c r="M2865" s="8"/>
      <c r="N2865" s="8"/>
      <c r="O2865" s="8" t="s">
        <v>831</v>
      </c>
      <c r="P2865" s="8" t="e">
        <v>#N/A</v>
      </c>
    </row>
    <row r="2866">
      <c r="A2866">
        <f>IFERROR(__xludf.DUMMYFUNCTION("""COMPUTED_VALUE"""),8.0)</f>
        <v>8</v>
      </c>
      <c r="B2866">
        <f>IFERROR(__xludf.DUMMYFUNCTION("""COMPUTED_VALUE"""),29137.0)</f>
        <v>29137</v>
      </c>
      <c r="C2866" t="str">
        <f>IFERROR(__xludf.DUMMYFUNCTION("""COMPUTED_VALUE"""),"OLARTE JARAMILLO, EMILIO")</f>
        <v>OLARTE JARAMILLO, EMILIO</v>
      </c>
      <c r="D2866" t="str">
        <f>IFERROR(__xludf.DUMMYFUNCTION("""COMPUTED_VALUE"""),"Band 8S1")</f>
        <v>Band 8S1</v>
      </c>
      <c r="E2866" s="31" t="str">
        <f>IFERROR(__xludf.DUMMYFUNCTION("""COMPUTED_VALUE"""),"6b")</f>
        <v>6b</v>
      </c>
      <c r="F2866" s="8">
        <v>1.0</v>
      </c>
      <c r="G2866" s="8">
        <v>1.0</v>
      </c>
      <c r="H2866" s="8">
        <v>1.0</v>
      </c>
      <c r="I2866" s="8">
        <v>1.0</v>
      </c>
      <c r="J2866" s="8">
        <v>1.0</v>
      </c>
      <c r="K2866" s="8">
        <v>1.0</v>
      </c>
      <c r="L2866" s="8">
        <v>6.0</v>
      </c>
      <c r="M2866" s="8"/>
      <c r="N2866" s="8"/>
      <c r="O2866" s="8" t="s">
        <v>829</v>
      </c>
      <c r="P2866" s="8" t="e">
        <v>#N/A</v>
      </c>
    </row>
    <row r="2867">
      <c r="A2867">
        <f>IFERROR(__xludf.DUMMYFUNCTION("""COMPUTED_VALUE"""),8.0)</f>
        <v>8</v>
      </c>
      <c r="B2867">
        <f>IFERROR(__xludf.DUMMYFUNCTION("""COMPUTED_VALUE"""),28077.0)</f>
        <v>28077</v>
      </c>
      <c r="C2867" t="str">
        <f>IFERROR(__xludf.DUMMYFUNCTION("""COMPUTED_VALUE"""),"OLIVEIRA CASTAÑO, MARIANA")</f>
        <v>OLIVEIRA CASTAÑO, MARIANA</v>
      </c>
      <c r="D2867" t="str">
        <f>IFERROR(__xludf.DUMMYFUNCTION("""COMPUTED_VALUE"""),"Art 8S1")</f>
        <v>Art 8S1</v>
      </c>
      <c r="E2867" s="31" t="str">
        <f>IFERROR(__xludf.DUMMYFUNCTION("""COMPUTED_VALUE"""),"5a")</f>
        <v>5a</v>
      </c>
      <c r="F2867" s="8">
        <v>1.0</v>
      </c>
      <c r="G2867" s="8">
        <v>1.0</v>
      </c>
      <c r="H2867" s="8">
        <v>1.0</v>
      </c>
      <c r="I2867" s="8">
        <v>1.0</v>
      </c>
      <c r="J2867" s="8">
        <v>1.0</v>
      </c>
      <c r="K2867" s="8">
        <v>1.0</v>
      </c>
      <c r="L2867" s="8">
        <v>6.0</v>
      </c>
      <c r="M2867" s="8"/>
      <c r="N2867" s="8"/>
      <c r="O2867" s="8" t="s">
        <v>832</v>
      </c>
      <c r="P2867" s="8" t="e">
        <v>#N/A</v>
      </c>
    </row>
    <row r="2868">
      <c r="A2868">
        <f>IFERROR(__xludf.DUMMYFUNCTION("""COMPUTED_VALUE"""),8.0)</f>
        <v>8</v>
      </c>
      <c r="B2868">
        <f>IFERROR(__xludf.DUMMYFUNCTION("""COMPUTED_VALUE"""),29084.0)</f>
        <v>29084</v>
      </c>
      <c r="C2868" t="str">
        <f>IFERROR(__xludf.DUMMYFUNCTION("""COMPUTED_VALUE"""),"OROZCO MONTOYA, ANTONIA")</f>
        <v>OROZCO MONTOYA, ANTONIA</v>
      </c>
      <c r="D2868" t="str">
        <f>IFERROR(__xludf.DUMMYFUNCTION("""COMPUTED_VALUE"""),"Band 8S1")</f>
        <v>Band 8S1</v>
      </c>
      <c r="E2868" s="31" t="str">
        <f>IFERROR(__xludf.DUMMYFUNCTION("""COMPUTED_VALUE"""),"2a")</f>
        <v>2a</v>
      </c>
      <c r="F2868" s="8">
        <v>1.0</v>
      </c>
      <c r="G2868" s="8">
        <v>1.0</v>
      </c>
      <c r="H2868" s="8">
        <v>1.0</v>
      </c>
      <c r="I2868" s="8">
        <v>1.0</v>
      </c>
      <c r="J2868" s="8">
        <v>1.0</v>
      </c>
      <c r="K2868" s="8">
        <v>1.0</v>
      </c>
      <c r="L2868" s="8">
        <v>6.0</v>
      </c>
      <c r="M2868" s="8"/>
      <c r="N2868" s="8"/>
      <c r="O2868" s="8" t="s">
        <v>830</v>
      </c>
      <c r="P2868" s="8" t="e">
        <v>#N/A</v>
      </c>
    </row>
    <row r="2869">
      <c r="A2869">
        <f>IFERROR(__xludf.DUMMYFUNCTION("""COMPUTED_VALUE"""),8.0)</f>
        <v>8</v>
      </c>
      <c r="B2869">
        <f>IFERROR(__xludf.DUMMYFUNCTION("""COMPUTED_VALUE"""),29148.0)</f>
        <v>29148</v>
      </c>
      <c r="C2869" t="str">
        <f>IFERROR(__xludf.DUMMYFUNCTION("""COMPUTED_VALUE"""),"OSORIO ARISTIZABAL, MATIAS")</f>
        <v>OSORIO ARISTIZABAL, MATIAS</v>
      </c>
      <c r="D2869" t="str">
        <f>IFERROR(__xludf.DUMMYFUNCTION("""COMPUTED_VALUE"""),"Band 8S1")</f>
        <v>Band 8S1</v>
      </c>
      <c r="E2869" s="31" t="str">
        <f>IFERROR(__xludf.DUMMYFUNCTION("""COMPUTED_VALUE"""),"2a")</f>
        <v>2a</v>
      </c>
      <c r="F2869" s="8">
        <v>1.0</v>
      </c>
      <c r="G2869" s="8">
        <v>1.0</v>
      </c>
      <c r="H2869" s="8">
        <v>1.0</v>
      </c>
      <c r="I2869" s="8">
        <v>1.0</v>
      </c>
      <c r="J2869" s="8">
        <v>1.0</v>
      </c>
      <c r="K2869" s="8">
        <v>1.0</v>
      </c>
      <c r="L2869" s="8">
        <v>6.0</v>
      </c>
      <c r="M2869" s="8"/>
      <c r="N2869" s="8"/>
      <c r="O2869" s="8" t="s">
        <v>830</v>
      </c>
      <c r="P2869" s="8" t="e">
        <v>#N/A</v>
      </c>
    </row>
    <row r="2870">
      <c r="A2870">
        <f>IFERROR(__xludf.DUMMYFUNCTION("""COMPUTED_VALUE"""),8.0)</f>
        <v>8</v>
      </c>
      <c r="B2870">
        <f>IFERROR(__xludf.DUMMYFUNCTION("""COMPUTED_VALUE"""),29085.0)</f>
        <v>29085</v>
      </c>
      <c r="C2870" t="str">
        <f>IFERROR(__xludf.DUMMYFUNCTION("""COMPUTED_VALUE"""),"OTALVARO ABAD, JUAN MARTIN")</f>
        <v>OTALVARO ABAD, JUAN MARTIN</v>
      </c>
      <c r="D2870" t="str">
        <f>IFERROR(__xludf.DUMMYFUNCTION("""COMPUTED_VALUE"""),"Band 8S1")</f>
        <v>Band 8S1</v>
      </c>
      <c r="E2870" s="31" t="str">
        <f>IFERROR(__xludf.DUMMYFUNCTION("""COMPUTED_VALUE"""),"5b")</f>
        <v>5b</v>
      </c>
      <c r="F2870" s="8">
        <v>1.0</v>
      </c>
      <c r="G2870" s="8">
        <v>1.0</v>
      </c>
      <c r="H2870" s="8">
        <v>1.0</v>
      </c>
      <c r="I2870" s="8">
        <v>1.0</v>
      </c>
      <c r="J2870" s="8">
        <v>1.0</v>
      </c>
      <c r="K2870" s="8">
        <v>1.0</v>
      </c>
      <c r="L2870" s="8">
        <v>6.0</v>
      </c>
      <c r="M2870" s="8"/>
      <c r="N2870" s="8"/>
      <c r="O2870" s="8" t="s">
        <v>831</v>
      </c>
      <c r="P2870" s="8" t="e">
        <v>#N/A</v>
      </c>
    </row>
    <row r="2871">
      <c r="A2871">
        <f>IFERROR(__xludf.DUMMYFUNCTION("""COMPUTED_VALUE"""),8.0)</f>
        <v>8</v>
      </c>
      <c r="B2871">
        <f>IFERROR(__xludf.DUMMYFUNCTION("""COMPUTED_VALUE"""),29159.0)</f>
        <v>29159</v>
      </c>
      <c r="C2871" t="str">
        <f>IFERROR(__xludf.DUMMYFUNCTION("""COMPUTED_VALUE"""),"PACHECO GARCIA, MARIANA")</f>
        <v>PACHECO GARCIA, MARIANA</v>
      </c>
      <c r="D2871" t="str">
        <f>IFERROR(__xludf.DUMMYFUNCTION("""COMPUTED_VALUE"""),"Band 8S1")</f>
        <v>Band 8S1</v>
      </c>
      <c r="E2871" s="31" t="str">
        <f>IFERROR(__xludf.DUMMYFUNCTION("""COMPUTED_VALUE"""),"1b")</f>
        <v>1b</v>
      </c>
      <c r="F2871" s="8">
        <v>1.0</v>
      </c>
      <c r="G2871" s="8">
        <v>1.0</v>
      </c>
      <c r="H2871" s="8">
        <v>1.0</v>
      </c>
      <c r="I2871" s="8">
        <v>1.0</v>
      </c>
      <c r="J2871" s="8">
        <v>1.0</v>
      </c>
      <c r="K2871" s="8">
        <v>1.0</v>
      </c>
      <c r="L2871" s="8">
        <v>6.0</v>
      </c>
      <c r="M2871" s="8"/>
      <c r="N2871" s="8"/>
      <c r="O2871" s="8" t="s">
        <v>827</v>
      </c>
      <c r="P2871" s="8" t="e">
        <v>#N/A</v>
      </c>
    </row>
    <row r="2872">
      <c r="A2872">
        <f>IFERROR(__xludf.DUMMYFUNCTION("""COMPUTED_VALUE"""),8.0)</f>
        <v>8</v>
      </c>
      <c r="B2872">
        <f>IFERROR(__xludf.DUMMYFUNCTION("""COMPUTED_VALUE"""),29087.0)</f>
        <v>29087</v>
      </c>
      <c r="C2872" t="str">
        <f>IFERROR(__xludf.DUMMYFUNCTION("""COMPUTED_VALUE"""),"PALACIO BOTERO, MATIAS")</f>
        <v>PALACIO BOTERO, MATIAS</v>
      </c>
      <c r="D2872" t="str">
        <f>IFERROR(__xludf.DUMMYFUNCTION("""COMPUTED_VALUE"""),"Band 8S1")</f>
        <v>Band 8S1</v>
      </c>
      <c r="E2872" s="31" t="str">
        <f>IFERROR(__xludf.DUMMYFUNCTION("""COMPUTED_VALUE"""),"5b")</f>
        <v>5b</v>
      </c>
      <c r="F2872" s="8">
        <v>1.0</v>
      </c>
      <c r="G2872" s="8">
        <v>1.0</v>
      </c>
      <c r="H2872" s="8">
        <v>1.0</v>
      </c>
      <c r="I2872" s="8">
        <v>1.0</v>
      </c>
      <c r="J2872" s="8">
        <v>1.0</v>
      </c>
      <c r="K2872" s="8">
        <v>1.0</v>
      </c>
      <c r="L2872" s="8">
        <v>6.0</v>
      </c>
      <c r="M2872" s="8"/>
      <c r="N2872" s="8"/>
      <c r="O2872" s="8" t="s">
        <v>831</v>
      </c>
      <c r="P2872" s="8" t="e">
        <v>#N/A</v>
      </c>
    </row>
    <row r="2873">
      <c r="A2873">
        <f>IFERROR(__xludf.DUMMYFUNCTION("""COMPUTED_VALUE"""),8.0)</f>
        <v>8</v>
      </c>
      <c r="B2873">
        <f>IFERROR(__xludf.DUMMYFUNCTION("""COMPUTED_VALUE"""),29088.0)</f>
        <v>29088</v>
      </c>
      <c r="C2873" t="str">
        <f>IFERROR(__xludf.DUMMYFUNCTION("""COMPUTED_VALUE"""),"PEREZ ALVARADO, SARA")</f>
        <v>PEREZ ALVARADO, SARA</v>
      </c>
      <c r="D2873" t="str">
        <f>IFERROR(__xludf.DUMMYFUNCTION("""COMPUTED_VALUE"""),"Band 8S1")</f>
        <v>Band 8S1</v>
      </c>
      <c r="E2873" s="31" t="str">
        <f>IFERROR(__xludf.DUMMYFUNCTION("""COMPUTED_VALUE"""),"2a")</f>
        <v>2a</v>
      </c>
      <c r="F2873" s="8">
        <v>1.0</v>
      </c>
      <c r="G2873" s="8">
        <v>1.0</v>
      </c>
      <c r="H2873" s="8">
        <v>1.0</v>
      </c>
      <c r="I2873" s="8">
        <v>1.0</v>
      </c>
      <c r="J2873" s="8">
        <v>1.0</v>
      </c>
      <c r="K2873" s="8">
        <v>1.0</v>
      </c>
      <c r="L2873" s="8">
        <v>6.0</v>
      </c>
      <c r="M2873" s="8"/>
      <c r="N2873" s="8"/>
      <c r="O2873" s="8" t="s">
        <v>830</v>
      </c>
      <c r="P2873" s="8" t="e">
        <v>#N/A</v>
      </c>
    </row>
    <row r="2874">
      <c r="A2874">
        <f>IFERROR(__xludf.DUMMYFUNCTION("""COMPUTED_VALUE"""),8.0)</f>
        <v>8</v>
      </c>
      <c r="B2874">
        <f>IFERROR(__xludf.DUMMYFUNCTION("""COMPUTED_VALUE"""),29089.0)</f>
        <v>29089</v>
      </c>
      <c r="C2874" t="str">
        <f>IFERROR(__xludf.DUMMYFUNCTION("""COMPUTED_VALUE"""),"PEREZ BEDOYA, ELENA")</f>
        <v>PEREZ BEDOYA, ELENA</v>
      </c>
      <c r="D2874" t="str">
        <f>IFERROR(__xludf.DUMMYFUNCTION("""COMPUTED_VALUE"""),"Tech 8S1")</f>
        <v>Tech 8S1</v>
      </c>
      <c r="E2874" s="31" t="str">
        <f>IFERROR(__xludf.DUMMYFUNCTION("""COMPUTED_VALUE"""),"4b")</f>
        <v>4b</v>
      </c>
      <c r="F2874" s="8">
        <v>1.0</v>
      </c>
      <c r="G2874" s="8">
        <v>1.0</v>
      </c>
      <c r="H2874" s="8">
        <v>1.0</v>
      </c>
      <c r="I2874" s="8">
        <v>1.0</v>
      </c>
      <c r="J2874" s="8">
        <v>1.0</v>
      </c>
      <c r="K2874" s="8">
        <v>1.0</v>
      </c>
      <c r="L2874" s="8">
        <v>6.0</v>
      </c>
      <c r="M2874" s="8"/>
      <c r="N2874" s="8"/>
      <c r="O2874" s="8" t="s">
        <v>826</v>
      </c>
      <c r="P2874" s="8" t="e">
        <v>#N/A</v>
      </c>
    </row>
    <row r="2875">
      <c r="A2875">
        <f>IFERROR(__xludf.DUMMYFUNCTION("""COMPUTED_VALUE"""),8.0)</f>
        <v>8</v>
      </c>
      <c r="B2875">
        <f>IFERROR(__xludf.DUMMYFUNCTION("""COMPUTED_VALUE"""),29157.0)</f>
        <v>29157</v>
      </c>
      <c r="C2875" t="str">
        <f>IFERROR(__xludf.DUMMYFUNCTION("""COMPUTED_VALUE"""),"PETTERSSON VANEGAS, DOMINIQUE")</f>
        <v>PETTERSSON VANEGAS, DOMINIQUE</v>
      </c>
      <c r="D2875" t="str">
        <f>IFERROR(__xludf.DUMMYFUNCTION("""COMPUTED_VALUE"""),"Tech 8S1")</f>
        <v>Tech 8S1</v>
      </c>
      <c r="E2875" s="31" t="str">
        <f>IFERROR(__xludf.DUMMYFUNCTION("""COMPUTED_VALUE"""),"4b")</f>
        <v>4b</v>
      </c>
      <c r="F2875" s="8">
        <v>1.0</v>
      </c>
      <c r="G2875" s="8">
        <v>1.0</v>
      </c>
      <c r="H2875" s="8">
        <v>1.0</v>
      </c>
      <c r="I2875" s="8">
        <v>1.0</v>
      </c>
      <c r="J2875" s="8">
        <v>1.0</v>
      </c>
      <c r="K2875" s="8">
        <v>1.0</v>
      </c>
      <c r="L2875" s="8">
        <v>6.0</v>
      </c>
      <c r="M2875" s="8"/>
      <c r="N2875" s="8"/>
      <c r="O2875" s="8" t="s">
        <v>826</v>
      </c>
      <c r="P2875" s="8" t="e">
        <v>#N/A</v>
      </c>
    </row>
    <row r="2876">
      <c r="A2876">
        <f>IFERROR(__xludf.DUMMYFUNCTION("""COMPUTED_VALUE"""),8.0)</f>
        <v>8</v>
      </c>
      <c r="B2876">
        <f>IFERROR(__xludf.DUMMYFUNCTION("""COMPUTED_VALUE"""),29091.0)</f>
        <v>29091</v>
      </c>
      <c r="C2876" t="str">
        <f>IFERROR(__xludf.DUMMYFUNCTION("""COMPUTED_VALUE"""),"PLATA BOLAÑOS, CAMILA")</f>
        <v>PLATA BOLAÑOS, CAMILA</v>
      </c>
      <c r="D2876" t="str">
        <f>IFERROR(__xludf.DUMMYFUNCTION("""COMPUTED_VALUE"""),"Tech 8S1")</f>
        <v>Tech 8S1</v>
      </c>
      <c r="E2876" s="31" t="str">
        <f>IFERROR(__xludf.DUMMYFUNCTION("""COMPUTED_VALUE"""),"4b")</f>
        <v>4b</v>
      </c>
      <c r="F2876" s="8">
        <v>1.0</v>
      </c>
      <c r="G2876" s="8">
        <v>1.0</v>
      </c>
      <c r="H2876" s="8">
        <v>1.0</v>
      </c>
      <c r="I2876" s="8">
        <v>1.0</v>
      </c>
      <c r="J2876" s="8">
        <v>1.0</v>
      </c>
      <c r="K2876" s="8">
        <v>1.0</v>
      </c>
      <c r="L2876" s="8">
        <v>6.0</v>
      </c>
      <c r="M2876" s="8"/>
      <c r="N2876" s="8"/>
      <c r="O2876" s="8" t="s">
        <v>826</v>
      </c>
      <c r="P2876" s="8" t="e">
        <v>#N/A</v>
      </c>
    </row>
    <row r="2877">
      <c r="A2877">
        <f>IFERROR(__xludf.DUMMYFUNCTION("""COMPUTED_VALUE"""),8.0)</f>
        <v>8</v>
      </c>
      <c r="B2877">
        <f>IFERROR(__xludf.DUMMYFUNCTION("""COMPUTED_VALUE"""),29093.0)</f>
        <v>29093</v>
      </c>
      <c r="C2877" t="str">
        <f>IFERROR(__xludf.DUMMYFUNCTION("""COMPUTED_VALUE"""),"PUGLIESE STRICKLAND, MARCELLO ANTONIO")</f>
        <v>PUGLIESE STRICKLAND, MARCELLO ANTONIO</v>
      </c>
      <c r="D2877" t="str">
        <f>IFERROR(__xludf.DUMMYFUNCTION("""COMPUTED_VALUE"""),"Band 8S1")</f>
        <v>Band 8S1</v>
      </c>
      <c r="E2877" s="31" t="str">
        <f>IFERROR(__xludf.DUMMYFUNCTION("""COMPUTED_VALUE"""),"1b")</f>
        <v>1b</v>
      </c>
      <c r="F2877" s="8">
        <v>1.0</v>
      </c>
      <c r="G2877" s="8">
        <v>1.0</v>
      </c>
      <c r="H2877" s="8">
        <v>1.0</v>
      </c>
      <c r="I2877" s="8">
        <v>1.0</v>
      </c>
      <c r="J2877" s="8">
        <v>1.0</v>
      </c>
      <c r="K2877" s="8">
        <v>1.0</v>
      </c>
      <c r="L2877" s="8">
        <v>6.0</v>
      </c>
      <c r="M2877" s="8"/>
      <c r="N2877" s="8"/>
      <c r="O2877" s="8" t="s">
        <v>827</v>
      </c>
      <c r="P2877" s="8" t="e">
        <v>#N/A</v>
      </c>
    </row>
    <row r="2878">
      <c r="A2878">
        <f>IFERROR(__xludf.DUMMYFUNCTION("""COMPUTED_VALUE"""),8.0)</f>
        <v>8</v>
      </c>
      <c r="B2878">
        <f>IFERROR(__xludf.DUMMYFUNCTION("""COMPUTED_VALUE"""),28087.0)</f>
        <v>28087</v>
      </c>
      <c r="C2878" t="str">
        <f>IFERROR(__xludf.DUMMYFUNCTION("""COMPUTED_VALUE"""),"QUINTERO HENAO, MATEO")</f>
        <v>QUINTERO HENAO, MATEO</v>
      </c>
      <c r="D2878" t="str">
        <f>IFERROR(__xludf.DUMMYFUNCTION("""COMPUTED_VALUE"""),"Band 8S1")</f>
        <v>Band 8S1</v>
      </c>
      <c r="E2878" s="31" t="str">
        <f>IFERROR(__xludf.DUMMYFUNCTION("""COMPUTED_VALUE"""),"5b")</f>
        <v>5b</v>
      </c>
      <c r="F2878" s="8">
        <v>1.0</v>
      </c>
      <c r="G2878" s="8">
        <v>1.0</v>
      </c>
      <c r="H2878" s="8">
        <v>1.0</v>
      </c>
      <c r="I2878" s="8">
        <v>1.0</v>
      </c>
      <c r="J2878" s="8">
        <v>1.0</v>
      </c>
      <c r="K2878" s="8">
        <v>1.0</v>
      </c>
      <c r="L2878" s="8">
        <v>6.0</v>
      </c>
      <c r="M2878" s="8"/>
      <c r="N2878" s="8"/>
      <c r="O2878" s="8" t="s">
        <v>831</v>
      </c>
      <c r="P2878" s="8" t="e">
        <v>#N/A</v>
      </c>
    </row>
    <row r="2879">
      <c r="A2879">
        <f>IFERROR(__xludf.DUMMYFUNCTION("""COMPUTED_VALUE"""),8.0)</f>
        <v>8</v>
      </c>
      <c r="B2879">
        <f>IFERROR(__xludf.DUMMYFUNCTION("""COMPUTED_VALUE"""),29096.0)</f>
        <v>29096</v>
      </c>
      <c r="C2879" t="str">
        <f>IFERROR(__xludf.DUMMYFUNCTION("""COMPUTED_VALUE"""),"RAMIREZ PELAEZ, ANTONIA")</f>
        <v>RAMIREZ PELAEZ, ANTONIA</v>
      </c>
      <c r="D2879" t="str">
        <f>IFERROR(__xludf.DUMMYFUNCTION("""COMPUTED_VALUE"""),"Band 8S1")</f>
        <v>Band 8S1</v>
      </c>
      <c r="E2879" s="31" t="str">
        <f>IFERROR(__xludf.DUMMYFUNCTION("""COMPUTED_VALUE"""),"6b")</f>
        <v>6b</v>
      </c>
      <c r="F2879" s="8">
        <v>1.0</v>
      </c>
      <c r="G2879" s="8">
        <v>1.0</v>
      </c>
      <c r="H2879" s="8">
        <v>1.0</v>
      </c>
      <c r="I2879" s="8">
        <v>1.0</v>
      </c>
      <c r="J2879" s="8">
        <v>1.0</v>
      </c>
      <c r="K2879" s="8">
        <v>1.0</v>
      </c>
      <c r="L2879" s="8">
        <v>6.0</v>
      </c>
      <c r="M2879" s="8"/>
      <c r="N2879" s="8"/>
      <c r="O2879" s="8" t="s">
        <v>829</v>
      </c>
      <c r="P2879" s="8" t="e">
        <v>#N/A</v>
      </c>
    </row>
    <row r="2880">
      <c r="A2880">
        <f>IFERROR(__xludf.DUMMYFUNCTION("""COMPUTED_VALUE"""),8.0)</f>
        <v>8</v>
      </c>
      <c r="B2880">
        <f>IFERROR(__xludf.DUMMYFUNCTION("""COMPUTED_VALUE"""),29097.0)</f>
        <v>29097</v>
      </c>
      <c r="C2880" t="str">
        <f>IFERROR(__xludf.DUMMYFUNCTION("""COMPUTED_VALUE"""),"RAMIREZ PELAEZ, ELENA")</f>
        <v>RAMIREZ PELAEZ, ELENA</v>
      </c>
      <c r="D2880" t="str">
        <f>IFERROR(__xludf.DUMMYFUNCTION("""COMPUTED_VALUE"""),"Band 8S1")</f>
        <v>Band 8S1</v>
      </c>
      <c r="E2880" s="31" t="str">
        <f>IFERROR(__xludf.DUMMYFUNCTION("""COMPUTED_VALUE"""),"2a")</f>
        <v>2a</v>
      </c>
      <c r="F2880" s="8">
        <v>1.0</v>
      </c>
      <c r="G2880" s="8">
        <v>1.0</v>
      </c>
      <c r="H2880" s="8">
        <v>1.0</v>
      </c>
      <c r="I2880" s="8">
        <v>1.0</v>
      </c>
      <c r="J2880" s="8">
        <v>1.0</v>
      </c>
      <c r="K2880" s="8">
        <v>1.0</v>
      </c>
      <c r="L2880" s="8">
        <v>6.0</v>
      </c>
      <c r="M2880" s="8"/>
      <c r="N2880" s="8"/>
      <c r="O2880" s="8" t="s">
        <v>830</v>
      </c>
      <c r="P2880" s="8" t="e">
        <v>#N/A</v>
      </c>
    </row>
    <row r="2881">
      <c r="A2881">
        <f>IFERROR(__xludf.DUMMYFUNCTION("""COMPUTED_VALUE"""),8.0)</f>
        <v>8</v>
      </c>
      <c r="B2881">
        <f>IFERROR(__xludf.DUMMYFUNCTION("""COMPUTED_VALUE"""),29169.0)</f>
        <v>29169</v>
      </c>
      <c r="C2881" t="str">
        <f>IFERROR(__xludf.DUMMYFUNCTION("""COMPUTED_VALUE"""),"REPETTO LARROSA, FAUSTINO")</f>
        <v>REPETTO LARROSA, FAUSTINO</v>
      </c>
      <c r="D2881" t="str">
        <f>IFERROR(__xludf.DUMMYFUNCTION("""COMPUTED_VALUE"""),"Band 8S1")</f>
        <v>Band 8S1</v>
      </c>
      <c r="E2881" s="31" t="str">
        <f>IFERROR(__xludf.DUMMYFUNCTION("""COMPUTED_VALUE"""),"6b")</f>
        <v>6b</v>
      </c>
      <c r="F2881" s="8">
        <v>1.0</v>
      </c>
      <c r="G2881" s="8">
        <v>1.0</v>
      </c>
      <c r="H2881" s="8">
        <v>1.0</v>
      </c>
      <c r="I2881" s="8">
        <v>1.0</v>
      </c>
      <c r="J2881" s="8">
        <v>1.0</v>
      </c>
      <c r="K2881" s="8">
        <v>1.0</v>
      </c>
      <c r="L2881" s="8">
        <v>6.0</v>
      </c>
      <c r="M2881" s="8"/>
      <c r="N2881" s="8"/>
      <c r="O2881" s="8" t="s">
        <v>829</v>
      </c>
      <c r="P2881" s="8" t="e">
        <v>#N/A</v>
      </c>
    </row>
    <row r="2882">
      <c r="A2882">
        <f>IFERROR(__xludf.DUMMYFUNCTION("""COMPUTED_VALUE"""),8.0)</f>
        <v>8</v>
      </c>
      <c r="B2882">
        <f>IFERROR(__xludf.DUMMYFUNCTION("""COMPUTED_VALUE"""),29098.0)</f>
        <v>29098</v>
      </c>
      <c r="C2882" t="str">
        <f>IFERROR(__xludf.DUMMYFUNCTION("""COMPUTED_VALUE"""),"RESTREPO ESCOBAR, ISABELA")</f>
        <v>RESTREPO ESCOBAR, ISABELA</v>
      </c>
      <c r="D2882" t="str">
        <f>IFERROR(__xludf.DUMMYFUNCTION("""COMPUTED_VALUE"""),"Band 8S1")</f>
        <v>Band 8S1</v>
      </c>
      <c r="E2882" s="31" t="str">
        <f>IFERROR(__xludf.DUMMYFUNCTION("""COMPUTED_VALUE"""),"2a")</f>
        <v>2a</v>
      </c>
      <c r="F2882" s="8">
        <v>1.0</v>
      </c>
      <c r="G2882" s="8">
        <v>1.0</v>
      </c>
      <c r="H2882" s="8">
        <v>1.0</v>
      </c>
      <c r="I2882" s="8">
        <v>1.0</v>
      </c>
      <c r="J2882" s="8">
        <v>1.0</v>
      </c>
      <c r="K2882" s="8">
        <v>1.0</v>
      </c>
      <c r="L2882" s="8">
        <v>6.0</v>
      </c>
      <c r="M2882" s="8"/>
      <c r="N2882" s="8"/>
      <c r="O2882" s="8" t="s">
        <v>830</v>
      </c>
      <c r="P2882" s="8" t="e">
        <v>#N/A</v>
      </c>
    </row>
    <row r="2883">
      <c r="A2883">
        <f>IFERROR(__xludf.DUMMYFUNCTION("""COMPUTED_VALUE"""),8.0)</f>
        <v>8</v>
      </c>
      <c r="B2883">
        <f>IFERROR(__xludf.DUMMYFUNCTION("""COMPUTED_VALUE"""),29099.0)</f>
        <v>29099</v>
      </c>
      <c r="C2883" t="str">
        <f>IFERROR(__xludf.DUMMYFUNCTION("""COMPUTED_VALUE"""),"RESTREPO RESTREPO, MATIAS")</f>
        <v>RESTREPO RESTREPO, MATIAS</v>
      </c>
      <c r="D2883" t="str">
        <f>IFERROR(__xludf.DUMMYFUNCTION("""COMPUTED_VALUE"""),"Band 8S1")</f>
        <v>Band 8S1</v>
      </c>
      <c r="E2883" s="31" t="str">
        <f>IFERROR(__xludf.DUMMYFUNCTION("""COMPUTED_VALUE"""),"6b")</f>
        <v>6b</v>
      </c>
      <c r="F2883" s="8">
        <v>1.0</v>
      </c>
      <c r="G2883" s="8">
        <v>1.0</v>
      </c>
      <c r="H2883" s="8">
        <v>1.0</v>
      </c>
      <c r="I2883" s="8">
        <v>1.0</v>
      </c>
      <c r="J2883" s="8">
        <v>1.0</v>
      </c>
      <c r="K2883" s="8">
        <v>1.0</v>
      </c>
      <c r="L2883" s="8">
        <v>6.0</v>
      </c>
      <c r="M2883" s="8"/>
      <c r="N2883" s="8"/>
      <c r="O2883" s="8" t="s">
        <v>829</v>
      </c>
      <c r="P2883" s="8" t="e">
        <v>#N/A</v>
      </c>
    </row>
    <row r="2884">
      <c r="A2884">
        <f>IFERROR(__xludf.DUMMYFUNCTION("""COMPUTED_VALUE"""),8.0)</f>
        <v>8</v>
      </c>
      <c r="B2884">
        <f>IFERROR(__xludf.DUMMYFUNCTION("""COMPUTED_VALUE"""),29100.0)</f>
        <v>29100</v>
      </c>
      <c r="C2884" t="str">
        <f>IFERROR(__xludf.DUMMYFUNCTION("""COMPUTED_VALUE"""),"RESTREPO VILLEGAS, PEDRO")</f>
        <v>RESTREPO VILLEGAS, PEDRO</v>
      </c>
      <c r="D2884" t="str">
        <f>IFERROR(__xludf.DUMMYFUNCTION("""COMPUTED_VALUE"""),"Band 8S1")</f>
        <v>Band 8S1</v>
      </c>
      <c r="E2884" s="31" t="str">
        <f>IFERROR(__xludf.DUMMYFUNCTION("""COMPUTED_VALUE"""),"6b")</f>
        <v>6b</v>
      </c>
      <c r="F2884" s="8">
        <v>1.0</v>
      </c>
      <c r="G2884" s="8">
        <v>1.0</v>
      </c>
      <c r="H2884" s="8">
        <v>1.0</v>
      </c>
      <c r="I2884" s="8">
        <v>1.0</v>
      </c>
      <c r="J2884" s="8">
        <v>1.0</v>
      </c>
      <c r="K2884" s="8">
        <v>1.0</v>
      </c>
      <c r="L2884" s="8">
        <v>6.0</v>
      </c>
      <c r="M2884" s="8"/>
      <c r="N2884" s="8"/>
      <c r="O2884" s="8" t="s">
        <v>829</v>
      </c>
      <c r="P2884" s="8" t="e">
        <v>#N/A</v>
      </c>
    </row>
    <row r="2885">
      <c r="A2885">
        <f>IFERROR(__xludf.DUMMYFUNCTION("""COMPUTED_VALUE"""),8.0)</f>
        <v>8</v>
      </c>
      <c r="B2885">
        <f>IFERROR(__xludf.DUMMYFUNCTION("""COMPUTED_VALUE"""),29101.0)</f>
        <v>29101</v>
      </c>
      <c r="C2885" t="str">
        <f>IFERROR(__xludf.DUMMYFUNCTION("""COMPUTED_VALUE"""),"ROBLES MARTINEZ, MARIA")</f>
        <v>ROBLES MARTINEZ, MARIA</v>
      </c>
      <c r="D2885" t="str">
        <f>IFERROR(__xludf.DUMMYFUNCTION("""COMPUTED_VALUE"""),"Band 8S1")</f>
        <v>Band 8S1</v>
      </c>
      <c r="E2885" s="31" t="str">
        <f>IFERROR(__xludf.DUMMYFUNCTION("""COMPUTED_VALUE"""),"2a")</f>
        <v>2a</v>
      </c>
      <c r="F2885" s="8">
        <v>1.0</v>
      </c>
      <c r="G2885" s="8">
        <v>1.0</v>
      </c>
      <c r="H2885" s="8">
        <v>1.0</v>
      </c>
      <c r="I2885" s="8">
        <v>1.0</v>
      </c>
      <c r="J2885" s="8">
        <v>1.0</v>
      </c>
      <c r="K2885" s="8">
        <v>1.0</v>
      </c>
      <c r="L2885" s="8">
        <v>6.0</v>
      </c>
      <c r="M2885" s="8"/>
      <c r="N2885" s="8"/>
      <c r="O2885" s="8" t="s">
        <v>830</v>
      </c>
      <c r="P2885" s="8" t="e">
        <v>#N/A</v>
      </c>
    </row>
    <row r="2886">
      <c r="A2886">
        <f>IFERROR(__xludf.DUMMYFUNCTION("""COMPUTED_VALUE"""),8.0)</f>
        <v>8</v>
      </c>
      <c r="B2886">
        <f>IFERROR(__xludf.DUMMYFUNCTION("""COMPUTED_VALUE"""),28160.0)</f>
        <v>28160</v>
      </c>
      <c r="C2886" t="str">
        <f>IFERROR(__xludf.DUMMYFUNCTION("""COMPUTED_VALUE"""),"ROJAS REYES, JERONIMO")</f>
        <v>ROJAS REYES, JERONIMO</v>
      </c>
      <c r="D2886" t="str">
        <f>IFERROR(__xludf.DUMMYFUNCTION("""COMPUTED_VALUE"""),"Band 8S1")</f>
        <v>Band 8S1</v>
      </c>
      <c r="E2886" s="31" t="str">
        <f>IFERROR(__xludf.DUMMYFUNCTION("""COMPUTED_VALUE"""),"6b")</f>
        <v>6b</v>
      </c>
      <c r="F2886" s="8">
        <v>1.0</v>
      </c>
      <c r="G2886" s="8">
        <v>1.0</v>
      </c>
      <c r="H2886" s="8">
        <v>1.0</v>
      </c>
      <c r="I2886" s="8">
        <v>1.0</v>
      </c>
      <c r="J2886" s="8">
        <v>1.0</v>
      </c>
      <c r="K2886" s="8">
        <v>1.0</v>
      </c>
      <c r="L2886" s="8">
        <v>6.0</v>
      </c>
      <c r="M2886" s="8"/>
      <c r="N2886" s="8"/>
      <c r="O2886" s="8" t="s">
        <v>829</v>
      </c>
      <c r="P2886" s="8" t="e">
        <v>#N/A</v>
      </c>
    </row>
    <row r="2887">
      <c r="A2887">
        <f>IFERROR(__xludf.DUMMYFUNCTION("""COMPUTED_VALUE"""),8.0)</f>
        <v>8</v>
      </c>
      <c r="B2887">
        <f>IFERROR(__xludf.DUMMYFUNCTION("""COMPUTED_VALUE"""),29163.0)</f>
        <v>29163</v>
      </c>
      <c r="C2887" t="str">
        <f>IFERROR(__xludf.DUMMYFUNCTION("""COMPUTED_VALUE"""),"ROMERO OROZCO, SALVADOR")</f>
        <v>ROMERO OROZCO, SALVADOR</v>
      </c>
      <c r="D2887" t="str">
        <f>IFERROR(__xludf.DUMMYFUNCTION("""COMPUTED_VALUE"""),"Band 8S1")</f>
        <v>Band 8S1</v>
      </c>
      <c r="E2887" s="31" t="str">
        <f>IFERROR(__xludf.DUMMYFUNCTION("""COMPUTED_VALUE"""),"5b")</f>
        <v>5b</v>
      </c>
      <c r="F2887" s="8">
        <v>1.0</v>
      </c>
      <c r="G2887" s="8">
        <v>1.0</v>
      </c>
      <c r="H2887" s="8">
        <v>1.0</v>
      </c>
      <c r="I2887" s="8">
        <v>1.0</v>
      </c>
      <c r="J2887" s="8">
        <v>1.0</v>
      </c>
      <c r="K2887" s="8">
        <v>1.0</v>
      </c>
      <c r="L2887" s="8">
        <v>6.0</v>
      </c>
      <c r="M2887" s="8"/>
      <c r="N2887" s="8"/>
      <c r="O2887" s="8" t="s">
        <v>831</v>
      </c>
      <c r="P2887" s="8" t="e">
        <v>#N/A</v>
      </c>
    </row>
    <row r="2888">
      <c r="A2888">
        <f>IFERROR(__xludf.DUMMYFUNCTION("""COMPUTED_VALUE"""),8.0)</f>
        <v>8</v>
      </c>
      <c r="B2888">
        <f>IFERROR(__xludf.DUMMYFUNCTION("""COMPUTED_VALUE"""),29103.0)</f>
        <v>29103</v>
      </c>
      <c r="C2888" t="str">
        <f>IFERROR(__xludf.DUMMYFUNCTION("""COMPUTED_VALUE"""),"SALAZAR ECHEVERRI, ANTONIA")</f>
        <v>SALAZAR ECHEVERRI, ANTONIA</v>
      </c>
      <c r="D2888" t="str">
        <f>IFERROR(__xludf.DUMMYFUNCTION("""COMPUTED_VALUE"""),"Band 8S1")</f>
        <v>Band 8S1</v>
      </c>
      <c r="E2888" s="31" t="str">
        <f>IFERROR(__xludf.DUMMYFUNCTION("""COMPUTED_VALUE"""),"1b")</f>
        <v>1b</v>
      </c>
      <c r="F2888" s="8">
        <v>1.0</v>
      </c>
      <c r="G2888" s="8">
        <v>1.0</v>
      </c>
      <c r="H2888" s="8">
        <v>1.0</v>
      </c>
      <c r="I2888" s="8">
        <v>1.0</v>
      </c>
      <c r="J2888" s="8">
        <v>1.0</v>
      </c>
      <c r="K2888" s="8">
        <v>1.0</v>
      </c>
      <c r="L2888" s="8">
        <v>6.0</v>
      </c>
      <c r="M2888" s="8"/>
      <c r="N2888" s="8"/>
      <c r="O2888" s="8" t="s">
        <v>827</v>
      </c>
      <c r="P2888" s="8" t="e">
        <v>#N/A</v>
      </c>
    </row>
    <row r="2889">
      <c r="A2889">
        <f>IFERROR(__xludf.DUMMYFUNCTION("""COMPUTED_VALUE"""),8.0)</f>
        <v>8</v>
      </c>
      <c r="B2889">
        <f>IFERROR(__xludf.DUMMYFUNCTION("""COMPUTED_VALUE"""),29149.0)</f>
        <v>29149</v>
      </c>
      <c r="C2889" t="str">
        <f>IFERROR(__xludf.DUMMYFUNCTION("""COMPUTED_VALUE"""),"SALEMME GUTIERREZ, AMALIA")</f>
        <v>SALEMME GUTIERREZ, AMALIA</v>
      </c>
      <c r="D2889" t="str">
        <f>IFERROR(__xludf.DUMMYFUNCTION("""COMPUTED_VALUE"""),"Tech 8S1")</f>
        <v>Tech 8S1</v>
      </c>
      <c r="E2889" s="31" t="str">
        <f>IFERROR(__xludf.DUMMYFUNCTION("""COMPUTED_VALUE"""),"4b")</f>
        <v>4b</v>
      </c>
      <c r="F2889" s="8">
        <v>1.0</v>
      </c>
      <c r="G2889" s="8">
        <v>1.0</v>
      </c>
      <c r="H2889" s="8">
        <v>1.0</v>
      </c>
      <c r="I2889" s="8">
        <v>1.0</v>
      </c>
      <c r="J2889" s="8">
        <v>1.0</v>
      </c>
      <c r="K2889" s="8">
        <v>1.0</v>
      </c>
      <c r="L2889" s="8">
        <v>6.0</v>
      </c>
      <c r="M2889" s="8"/>
      <c r="N2889" s="8"/>
      <c r="O2889" s="8" t="s">
        <v>826</v>
      </c>
      <c r="P2889" s="8" t="e">
        <v>#N/A</v>
      </c>
    </row>
    <row r="2890">
      <c r="A2890">
        <f>IFERROR(__xludf.DUMMYFUNCTION("""COMPUTED_VALUE"""),8.0)</f>
        <v>8</v>
      </c>
      <c r="B2890">
        <f>IFERROR(__xludf.DUMMYFUNCTION("""COMPUTED_VALUE"""),29105.0)</f>
        <v>29105</v>
      </c>
      <c r="C2890" t="str">
        <f>IFERROR(__xludf.DUMMYFUNCTION("""COMPUTED_VALUE"""),"SANCHEZ DIAZ, MATIAS")</f>
        <v>SANCHEZ DIAZ, MATIAS</v>
      </c>
      <c r="D2890" t="str">
        <f>IFERROR(__xludf.DUMMYFUNCTION("""COMPUTED_VALUE"""),"Band 8S1")</f>
        <v>Band 8S1</v>
      </c>
      <c r="E2890" s="31" t="str">
        <f>IFERROR(__xludf.DUMMYFUNCTION("""COMPUTED_VALUE"""),"5b")</f>
        <v>5b</v>
      </c>
      <c r="F2890" s="8">
        <v>1.0</v>
      </c>
      <c r="G2890" s="8">
        <v>1.0</v>
      </c>
      <c r="H2890" s="8">
        <v>1.0</v>
      </c>
      <c r="I2890" s="8">
        <v>1.0</v>
      </c>
      <c r="J2890" s="8">
        <v>1.0</v>
      </c>
      <c r="K2890" s="8">
        <v>1.0</v>
      </c>
      <c r="L2890" s="8">
        <v>6.0</v>
      </c>
      <c r="M2890" s="8"/>
      <c r="N2890" s="8"/>
      <c r="O2890" s="8" t="s">
        <v>831</v>
      </c>
      <c r="P2890" s="8" t="e">
        <v>#N/A</v>
      </c>
    </row>
    <row r="2891">
      <c r="A2891">
        <f>IFERROR(__xludf.DUMMYFUNCTION("""COMPUTED_VALUE"""),8.0)</f>
        <v>8</v>
      </c>
      <c r="B2891">
        <f>IFERROR(__xludf.DUMMYFUNCTION("""COMPUTED_VALUE"""),29106.0)</f>
        <v>29106</v>
      </c>
      <c r="C2891" t="str">
        <f>IFERROR(__xludf.DUMMYFUNCTION("""COMPUTED_VALUE"""),"SANCHEZ DIAZ, SIMON")</f>
        <v>SANCHEZ DIAZ, SIMON</v>
      </c>
      <c r="D2891" t="str">
        <f>IFERROR(__xludf.DUMMYFUNCTION("""COMPUTED_VALUE"""),"Band 8S1")</f>
        <v>Band 8S1</v>
      </c>
      <c r="E2891" s="31" t="str">
        <f>IFERROR(__xludf.DUMMYFUNCTION("""COMPUTED_VALUE"""),"1b")</f>
        <v>1b</v>
      </c>
      <c r="F2891" s="8">
        <v>1.0</v>
      </c>
      <c r="G2891" s="8">
        <v>1.0</v>
      </c>
      <c r="H2891" s="8">
        <v>1.0</v>
      </c>
      <c r="I2891" s="8">
        <v>1.0</v>
      </c>
      <c r="J2891" s="8">
        <v>1.0</v>
      </c>
      <c r="K2891" s="8">
        <v>1.0</v>
      </c>
      <c r="L2891" s="8">
        <v>6.0</v>
      </c>
      <c r="M2891" s="8"/>
      <c r="N2891" s="8"/>
      <c r="O2891" s="8" t="s">
        <v>827</v>
      </c>
      <c r="P2891" s="8" t="e">
        <v>#N/A</v>
      </c>
    </row>
    <row r="2892">
      <c r="A2892">
        <f>IFERROR(__xludf.DUMMYFUNCTION("""COMPUTED_VALUE"""),8.0)</f>
        <v>8</v>
      </c>
      <c r="B2892">
        <f>IFERROR(__xludf.DUMMYFUNCTION("""COMPUTED_VALUE"""),29107.0)</f>
        <v>29107</v>
      </c>
      <c r="C2892" t="str">
        <f>IFERROR(__xludf.DUMMYFUNCTION("""COMPUTED_VALUE"""),"SANIN JARAMILLO, PEDRO")</f>
        <v>SANIN JARAMILLO, PEDRO</v>
      </c>
      <c r="D2892" t="str">
        <f>IFERROR(__xludf.DUMMYFUNCTION("""COMPUTED_VALUE"""),"Band 8S1")</f>
        <v>Band 8S1</v>
      </c>
      <c r="E2892" s="31" t="str">
        <f>IFERROR(__xludf.DUMMYFUNCTION("""COMPUTED_VALUE"""),"2a")</f>
        <v>2a</v>
      </c>
      <c r="F2892" s="8">
        <v>1.0</v>
      </c>
      <c r="G2892" s="8">
        <v>1.0</v>
      </c>
      <c r="H2892" s="8">
        <v>1.0</v>
      </c>
      <c r="I2892" s="8">
        <v>1.0</v>
      </c>
      <c r="J2892" s="8">
        <v>1.0</v>
      </c>
      <c r="K2892" s="8">
        <v>1.0</v>
      </c>
      <c r="L2892" s="8">
        <v>6.0</v>
      </c>
      <c r="M2892" s="8"/>
      <c r="N2892" s="8"/>
      <c r="O2892" s="8" t="s">
        <v>830</v>
      </c>
      <c r="P2892" s="8" t="e">
        <v>#N/A</v>
      </c>
    </row>
    <row r="2893">
      <c r="A2893">
        <f>IFERROR(__xludf.DUMMYFUNCTION("""COMPUTED_VALUE"""),8.0)</f>
        <v>8</v>
      </c>
      <c r="B2893">
        <f>IFERROR(__xludf.DUMMYFUNCTION("""COMPUTED_VALUE"""),29108.0)</f>
        <v>29108</v>
      </c>
      <c r="C2893" t="str">
        <f>IFERROR(__xludf.DUMMYFUNCTION("""COMPUTED_VALUE"""),"SCHOBER OCAMPO, DANIEL")</f>
        <v>SCHOBER OCAMPO, DANIEL</v>
      </c>
      <c r="D2893" t="str">
        <f>IFERROR(__xludf.DUMMYFUNCTION("""COMPUTED_VALUE"""),"Tech 8S1")</f>
        <v>Tech 8S1</v>
      </c>
      <c r="E2893" s="31" t="str">
        <f>IFERROR(__xludf.DUMMYFUNCTION("""COMPUTED_VALUE"""),"5a")</f>
        <v>5a</v>
      </c>
      <c r="F2893" s="8">
        <v>1.0</v>
      </c>
      <c r="G2893" s="8">
        <v>1.0</v>
      </c>
      <c r="H2893" s="8">
        <v>1.0</v>
      </c>
      <c r="I2893" s="8">
        <v>1.0</v>
      </c>
      <c r="J2893" s="8">
        <v>1.0</v>
      </c>
      <c r="K2893" s="8">
        <v>1.0</v>
      </c>
      <c r="L2893" s="8">
        <v>6.0</v>
      </c>
      <c r="M2893" s="8"/>
      <c r="N2893" s="8"/>
      <c r="O2893" s="8" t="s">
        <v>828</v>
      </c>
      <c r="P2893" s="8" t="e">
        <v>#N/A</v>
      </c>
    </row>
    <row r="2894">
      <c r="A2894">
        <f>IFERROR(__xludf.DUMMYFUNCTION("""COMPUTED_VALUE"""),8.0)</f>
        <v>8</v>
      </c>
      <c r="B2894">
        <f>IFERROR(__xludf.DUMMYFUNCTION("""COMPUTED_VALUE"""),29171.0)</f>
        <v>29171</v>
      </c>
      <c r="C2894" t="str">
        <f>IFERROR(__xludf.DUMMYFUNCTION("""COMPUTED_VALUE"""),"SCHUCHASKIE, KEATON")</f>
        <v>SCHUCHASKIE, KEATON</v>
      </c>
      <c r="D2894" t="str">
        <f>IFERROR(__xludf.DUMMYFUNCTION("""COMPUTED_VALUE"""),"Band 8S1")</f>
        <v>Band 8S1</v>
      </c>
      <c r="E2894" s="31" t="str">
        <f>IFERROR(__xludf.DUMMYFUNCTION("""COMPUTED_VALUE"""),"5b")</f>
        <v>5b</v>
      </c>
      <c r="F2894" s="8">
        <v>1.0</v>
      </c>
      <c r="G2894" s="8">
        <v>1.0</v>
      </c>
      <c r="H2894" s="8">
        <v>1.0</v>
      </c>
      <c r="I2894" s="8">
        <v>1.0</v>
      </c>
      <c r="J2894" s="8">
        <v>1.0</v>
      </c>
      <c r="K2894" s="8">
        <v>1.0</v>
      </c>
      <c r="L2894" s="8">
        <v>6.0</v>
      </c>
      <c r="M2894" s="8"/>
      <c r="N2894" s="8"/>
      <c r="O2894" s="8" t="s">
        <v>831</v>
      </c>
      <c r="P2894" s="8" t="e">
        <v>#N/A</v>
      </c>
    </row>
    <row r="2895">
      <c r="A2895">
        <f>IFERROR(__xludf.DUMMYFUNCTION("""COMPUTED_VALUE"""),8.0)</f>
        <v>8</v>
      </c>
      <c r="B2895">
        <f>IFERROR(__xludf.DUMMYFUNCTION("""COMPUTED_VALUE"""),29109.0)</f>
        <v>29109</v>
      </c>
      <c r="C2895" t="str">
        <f>IFERROR(__xludf.DUMMYFUNCTION("""COMPUTED_VALUE"""),"SERANI ANGEL, LUCIANA")</f>
        <v>SERANI ANGEL, LUCIANA</v>
      </c>
      <c r="D2895" t="str">
        <f>IFERROR(__xludf.DUMMYFUNCTION("""COMPUTED_VALUE"""),"Tech 8S1")</f>
        <v>Tech 8S1</v>
      </c>
      <c r="E2895" s="31" t="str">
        <f>IFERROR(__xludf.DUMMYFUNCTION("""COMPUTED_VALUE"""),"5a")</f>
        <v>5a</v>
      </c>
      <c r="F2895" s="8">
        <v>1.0</v>
      </c>
      <c r="G2895" s="8">
        <v>1.0</v>
      </c>
      <c r="H2895" s="8">
        <v>1.0</v>
      </c>
      <c r="I2895" s="8">
        <v>1.0</v>
      </c>
      <c r="J2895" s="8">
        <v>1.0</v>
      </c>
      <c r="K2895" s="8">
        <v>1.0</v>
      </c>
      <c r="L2895" s="8">
        <v>6.0</v>
      </c>
      <c r="M2895" s="8"/>
      <c r="N2895" s="8"/>
      <c r="O2895" s="8" t="s">
        <v>828</v>
      </c>
      <c r="P2895" s="8" t="e">
        <v>#N/A</v>
      </c>
    </row>
    <row r="2896">
      <c r="A2896">
        <f>IFERROR(__xludf.DUMMYFUNCTION("""COMPUTED_VALUE"""),8.0)</f>
        <v>8</v>
      </c>
      <c r="B2896">
        <f>IFERROR(__xludf.DUMMYFUNCTION("""COMPUTED_VALUE"""),29110.0)</f>
        <v>29110</v>
      </c>
      <c r="C2896" t="str">
        <f>IFERROR(__xludf.DUMMYFUNCTION("""COMPUTED_VALUE"""),"SOSA ECHAVARRIA, EMILIO")</f>
        <v>SOSA ECHAVARRIA, EMILIO</v>
      </c>
      <c r="D2896" t="str">
        <f>IFERROR(__xludf.DUMMYFUNCTION("""COMPUTED_VALUE"""),"Band 8S1")</f>
        <v>Band 8S1</v>
      </c>
      <c r="E2896" s="31" t="str">
        <f>IFERROR(__xludf.DUMMYFUNCTION("""COMPUTED_VALUE"""),"2a")</f>
        <v>2a</v>
      </c>
      <c r="F2896" s="8">
        <v>1.0</v>
      </c>
      <c r="G2896" s="8">
        <v>1.0</v>
      </c>
      <c r="H2896" s="8">
        <v>1.0</v>
      </c>
      <c r="I2896" s="8">
        <v>1.0</v>
      </c>
      <c r="J2896" s="8">
        <v>1.0</v>
      </c>
      <c r="K2896" s="8">
        <v>1.0</v>
      </c>
      <c r="L2896" s="8">
        <v>6.0</v>
      </c>
      <c r="M2896" s="8"/>
      <c r="N2896" s="8"/>
      <c r="O2896" s="8" t="s">
        <v>830</v>
      </c>
      <c r="P2896" s="8" t="e">
        <v>#N/A</v>
      </c>
    </row>
    <row r="2897">
      <c r="A2897">
        <f>IFERROR(__xludf.DUMMYFUNCTION("""COMPUTED_VALUE"""),8.0)</f>
        <v>8</v>
      </c>
      <c r="B2897">
        <f>IFERROR(__xludf.DUMMYFUNCTION("""COMPUTED_VALUE"""),29111.0)</f>
        <v>29111</v>
      </c>
      <c r="C2897" t="str">
        <f>IFERROR(__xludf.DUMMYFUNCTION("""COMPUTED_VALUE"""),"SOTO ANGEL, GABRIELA")</f>
        <v>SOTO ANGEL, GABRIELA</v>
      </c>
      <c r="D2897" t="str">
        <f>IFERROR(__xludf.DUMMYFUNCTION("""COMPUTED_VALUE"""),"Art 8S1")</f>
        <v>Art 8S1</v>
      </c>
      <c r="E2897" s="31" t="str">
        <f>IFERROR(__xludf.DUMMYFUNCTION("""COMPUTED_VALUE"""),"5a")</f>
        <v>5a</v>
      </c>
      <c r="F2897" s="8">
        <v>1.0</v>
      </c>
      <c r="G2897" s="8">
        <v>1.0</v>
      </c>
      <c r="H2897" s="8">
        <v>1.0</v>
      </c>
      <c r="I2897" s="8">
        <v>1.0</v>
      </c>
      <c r="J2897" s="8">
        <v>1.0</v>
      </c>
      <c r="K2897" s="8">
        <v>1.0</v>
      </c>
      <c r="L2897" s="8">
        <v>6.0</v>
      </c>
      <c r="M2897" s="8"/>
      <c r="N2897" s="8"/>
      <c r="O2897" s="8" t="s">
        <v>832</v>
      </c>
      <c r="P2897" s="8" t="e">
        <v>#N/A</v>
      </c>
    </row>
    <row r="2898">
      <c r="A2898">
        <f>IFERROR(__xludf.DUMMYFUNCTION("""COMPUTED_VALUE"""),8.0)</f>
        <v>8</v>
      </c>
      <c r="B2898">
        <f>IFERROR(__xludf.DUMMYFUNCTION("""COMPUTED_VALUE"""),29112.0)</f>
        <v>29112</v>
      </c>
      <c r="C2898" t="str">
        <f>IFERROR(__xludf.DUMMYFUNCTION("""COMPUTED_VALUE"""),"SUAREZ MARTINEZ, ANA")</f>
        <v>SUAREZ MARTINEZ, ANA</v>
      </c>
      <c r="D2898" t="str">
        <f>IFERROR(__xludf.DUMMYFUNCTION("""COMPUTED_VALUE"""),"Band 8S1")</f>
        <v>Band 8S1</v>
      </c>
      <c r="E2898" s="31" t="str">
        <f>IFERROR(__xludf.DUMMYFUNCTION("""COMPUTED_VALUE"""),"2a")</f>
        <v>2a</v>
      </c>
      <c r="F2898" s="8">
        <v>1.0</v>
      </c>
      <c r="G2898" s="8">
        <v>1.0</v>
      </c>
      <c r="H2898" s="8">
        <v>1.0</v>
      </c>
      <c r="I2898" s="8">
        <v>1.0</v>
      </c>
      <c r="J2898" s="8">
        <v>1.0</v>
      </c>
      <c r="K2898" s="8">
        <v>1.0</v>
      </c>
      <c r="L2898" s="8">
        <v>6.0</v>
      </c>
      <c r="M2898" s="8"/>
      <c r="N2898" s="8"/>
      <c r="O2898" s="8" t="s">
        <v>830</v>
      </c>
      <c r="P2898" s="8" t="e">
        <v>#N/A</v>
      </c>
    </row>
    <row r="2899">
      <c r="A2899">
        <f>IFERROR(__xludf.DUMMYFUNCTION("""COMPUTED_VALUE"""),8.0)</f>
        <v>8</v>
      </c>
      <c r="B2899">
        <f>IFERROR(__xludf.DUMMYFUNCTION("""COMPUTED_VALUE"""),29113.0)</f>
        <v>29113</v>
      </c>
      <c r="C2899" t="str">
        <f>IFERROR(__xludf.DUMMYFUNCTION("""COMPUTED_VALUE"""),"THIRIEZ VILLA, EMMA")</f>
        <v>THIRIEZ VILLA, EMMA</v>
      </c>
      <c r="D2899" t="str">
        <f>IFERROR(__xludf.DUMMYFUNCTION("""COMPUTED_VALUE"""),"Tech 8S1")</f>
        <v>Tech 8S1</v>
      </c>
      <c r="E2899" s="31" t="str">
        <f>IFERROR(__xludf.DUMMYFUNCTION("""COMPUTED_VALUE"""),"4b")</f>
        <v>4b</v>
      </c>
      <c r="F2899" s="8">
        <v>1.0</v>
      </c>
      <c r="G2899" s="8">
        <v>1.0</v>
      </c>
      <c r="H2899" s="8">
        <v>1.0</v>
      </c>
      <c r="I2899" s="8">
        <v>1.0</v>
      </c>
      <c r="J2899" s="8">
        <v>1.0</v>
      </c>
      <c r="K2899" s="8">
        <v>1.0</v>
      </c>
      <c r="L2899" s="8">
        <v>6.0</v>
      </c>
      <c r="M2899" s="8"/>
      <c r="N2899" s="8"/>
      <c r="O2899" s="8" t="s">
        <v>826</v>
      </c>
      <c r="P2899" s="8" t="e">
        <v>#N/A</v>
      </c>
    </row>
    <row r="2900">
      <c r="A2900">
        <f>IFERROR(__xludf.DUMMYFUNCTION("""COMPUTED_VALUE"""),8.0)</f>
        <v>8</v>
      </c>
      <c r="B2900">
        <f>IFERROR(__xludf.DUMMYFUNCTION("""COMPUTED_VALUE"""),29114.0)</f>
        <v>29114</v>
      </c>
      <c r="C2900" t="str">
        <f>IFERROR(__xludf.DUMMYFUNCTION("""COMPUTED_VALUE"""),"THIRIEZ VILLA, MARIA")</f>
        <v>THIRIEZ VILLA, MARIA</v>
      </c>
      <c r="D2900" t="str">
        <f>IFERROR(__xludf.DUMMYFUNCTION("""COMPUTED_VALUE"""),"Tech 8S1")</f>
        <v>Tech 8S1</v>
      </c>
      <c r="E2900" s="31" t="str">
        <f>IFERROR(__xludf.DUMMYFUNCTION("""COMPUTED_VALUE"""),"4b")</f>
        <v>4b</v>
      </c>
      <c r="F2900" s="8">
        <v>1.0</v>
      </c>
      <c r="G2900" s="8">
        <v>1.0</v>
      </c>
      <c r="H2900" s="8">
        <v>1.0</v>
      </c>
      <c r="I2900" s="8">
        <v>1.0</v>
      </c>
      <c r="J2900" s="8">
        <v>1.0</v>
      </c>
      <c r="K2900" s="8">
        <v>1.0</v>
      </c>
      <c r="L2900" s="8">
        <v>6.0</v>
      </c>
      <c r="M2900" s="8"/>
      <c r="N2900" s="8"/>
      <c r="O2900" s="8" t="s">
        <v>826</v>
      </c>
      <c r="P2900" s="8" t="e">
        <v>#N/A</v>
      </c>
    </row>
    <row r="2901">
      <c r="A2901">
        <f>IFERROR(__xludf.DUMMYFUNCTION("""COMPUTED_VALUE"""),8.0)</f>
        <v>8</v>
      </c>
      <c r="B2901">
        <f>IFERROR(__xludf.DUMMYFUNCTION("""COMPUTED_VALUE"""),29115.0)</f>
        <v>29115</v>
      </c>
      <c r="C2901" t="str">
        <f>IFERROR(__xludf.DUMMYFUNCTION("""COMPUTED_VALUE"""),"TIRADO SANIN, ELENA")</f>
        <v>TIRADO SANIN, ELENA</v>
      </c>
      <c r="D2901" t="str">
        <f>IFERROR(__xludf.DUMMYFUNCTION("""COMPUTED_VALUE"""),"Art 8S1")</f>
        <v>Art 8S1</v>
      </c>
      <c r="E2901" s="31" t="str">
        <f>IFERROR(__xludf.DUMMYFUNCTION("""COMPUTED_VALUE"""),"5a")</f>
        <v>5a</v>
      </c>
      <c r="F2901" s="8">
        <v>1.0</v>
      </c>
      <c r="G2901" s="8">
        <v>1.0</v>
      </c>
      <c r="H2901" s="8">
        <v>1.0</v>
      </c>
      <c r="I2901" s="8">
        <v>1.0</v>
      </c>
      <c r="J2901" s="8">
        <v>1.0</v>
      </c>
      <c r="K2901" s="8">
        <v>1.0</v>
      </c>
      <c r="L2901" s="8">
        <v>6.0</v>
      </c>
      <c r="M2901" s="8"/>
      <c r="N2901" s="8"/>
      <c r="O2901" s="8" t="s">
        <v>832</v>
      </c>
      <c r="P2901" s="8" t="e">
        <v>#N/A</v>
      </c>
    </row>
    <row r="2902">
      <c r="A2902">
        <f>IFERROR(__xludf.DUMMYFUNCTION("""COMPUTED_VALUE"""),8.0)</f>
        <v>8</v>
      </c>
      <c r="B2902">
        <f>IFERROR(__xludf.DUMMYFUNCTION("""COMPUTED_VALUE"""),29116.0)</f>
        <v>29116</v>
      </c>
      <c r="C2902" t="str">
        <f>IFERROR(__xludf.DUMMYFUNCTION("""COMPUTED_VALUE"""),"TOBAR MEJIA, CAMILO")</f>
        <v>TOBAR MEJIA, CAMILO</v>
      </c>
      <c r="D2902" t="str">
        <f>IFERROR(__xludf.DUMMYFUNCTION("""COMPUTED_VALUE"""),"Band 8S1")</f>
        <v>Band 8S1</v>
      </c>
      <c r="E2902" s="31" t="str">
        <f>IFERROR(__xludf.DUMMYFUNCTION("""COMPUTED_VALUE"""),"6b")</f>
        <v>6b</v>
      </c>
      <c r="F2902" s="8">
        <v>1.0</v>
      </c>
      <c r="G2902" s="8">
        <v>1.0</v>
      </c>
      <c r="H2902" s="8">
        <v>1.0</v>
      </c>
      <c r="I2902" s="8">
        <v>1.0</v>
      </c>
      <c r="J2902" s="8">
        <v>1.0</v>
      </c>
      <c r="K2902" s="8">
        <v>1.0</v>
      </c>
      <c r="L2902" s="8">
        <v>6.0</v>
      </c>
      <c r="M2902" s="8"/>
      <c r="N2902" s="8"/>
      <c r="O2902" s="8" t="s">
        <v>829</v>
      </c>
      <c r="P2902" s="8" t="e">
        <v>#N/A</v>
      </c>
    </row>
    <row r="2903">
      <c r="A2903">
        <f>IFERROR(__xludf.DUMMYFUNCTION("""COMPUTED_VALUE"""),8.0)</f>
        <v>8</v>
      </c>
      <c r="B2903">
        <f>IFERROR(__xludf.DUMMYFUNCTION("""COMPUTED_VALUE"""),29142.0)</f>
        <v>29142</v>
      </c>
      <c r="C2903" t="str">
        <f>IFERROR(__xludf.DUMMYFUNCTION("""COMPUTED_VALUE"""),"TOBON CARMONA, JACOBO")</f>
        <v>TOBON CARMONA, JACOBO</v>
      </c>
      <c r="D2903" t="str">
        <f>IFERROR(__xludf.DUMMYFUNCTION("""COMPUTED_VALUE"""),"Band 8S1")</f>
        <v>Band 8S1</v>
      </c>
      <c r="E2903" s="31" t="str">
        <f>IFERROR(__xludf.DUMMYFUNCTION("""COMPUTED_VALUE"""),"5b")</f>
        <v>5b</v>
      </c>
      <c r="F2903" s="8">
        <v>1.0</v>
      </c>
      <c r="G2903" s="8">
        <v>1.0</v>
      </c>
      <c r="H2903" s="8">
        <v>1.0</v>
      </c>
      <c r="I2903" s="8">
        <v>1.0</v>
      </c>
      <c r="J2903" s="8">
        <v>1.0</v>
      </c>
      <c r="K2903" s="8">
        <v>1.0</v>
      </c>
      <c r="L2903" s="8">
        <v>6.0</v>
      </c>
      <c r="M2903" s="8"/>
      <c r="N2903" s="8"/>
      <c r="O2903" s="8" t="s">
        <v>831</v>
      </c>
      <c r="P2903" s="8" t="e">
        <v>#N/A</v>
      </c>
    </row>
    <row r="2904">
      <c r="A2904">
        <f>IFERROR(__xludf.DUMMYFUNCTION("""COMPUTED_VALUE"""),8.0)</f>
        <v>8</v>
      </c>
      <c r="B2904">
        <f>IFERROR(__xludf.DUMMYFUNCTION("""COMPUTED_VALUE"""),29117.0)</f>
        <v>29117</v>
      </c>
      <c r="C2904" t="str">
        <f>IFERROR(__xludf.DUMMYFUNCTION("""COMPUTED_VALUE"""),"TOBON GONZALEZ, FLORENCIA")</f>
        <v>TOBON GONZALEZ, FLORENCIA</v>
      </c>
      <c r="D2904" t="str">
        <f>IFERROR(__xludf.DUMMYFUNCTION("""COMPUTED_VALUE"""),"Band 8S1")</f>
        <v>Band 8S1</v>
      </c>
      <c r="E2904" s="31" t="str">
        <f>IFERROR(__xludf.DUMMYFUNCTION("""COMPUTED_VALUE"""),"6b")</f>
        <v>6b</v>
      </c>
      <c r="F2904" s="8">
        <v>1.0</v>
      </c>
      <c r="G2904" s="8">
        <v>1.0</v>
      </c>
      <c r="H2904" s="8">
        <v>1.0</v>
      </c>
      <c r="I2904" s="8">
        <v>1.0</v>
      </c>
      <c r="J2904" s="8">
        <v>1.0</v>
      </c>
      <c r="K2904" s="8">
        <v>1.0</v>
      </c>
      <c r="L2904" s="8">
        <v>6.0</v>
      </c>
      <c r="M2904" s="8"/>
      <c r="N2904" s="8"/>
      <c r="O2904" s="8" t="s">
        <v>829</v>
      </c>
      <c r="P2904" s="8" t="e">
        <v>#N/A</v>
      </c>
    </row>
    <row r="2905">
      <c r="A2905">
        <f>IFERROR(__xludf.DUMMYFUNCTION("""COMPUTED_VALUE"""),8.0)</f>
        <v>8</v>
      </c>
      <c r="B2905">
        <f>IFERROR(__xludf.DUMMYFUNCTION("""COMPUTED_VALUE"""),29118.0)</f>
        <v>29118</v>
      </c>
      <c r="C2905" t="str">
        <f>IFERROR(__xludf.DUMMYFUNCTION("""COMPUTED_VALUE"""),"TRUJILLO RUIZ, SAMUEL")</f>
        <v>TRUJILLO RUIZ, SAMUEL</v>
      </c>
      <c r="D2905" t="str">
        <f>IFERROR(__xludf.DUMMYFUNCTION("""COMPUTED_VALUE"""),"Band 8S1")</f>
        <v>Band 8S1</v>
      </c>
      <c r="E2905" s="31" t="str">
        <f>IFERROR(__xludf.DUMMYFUNCTION("""COMPUTED_VALUE"""),"1b")</f>
        <v>1b</v>
      </c>
      <c r="F2905" s="8">
        <v>1.0</v>
      </c>
      <c r="G2905" s="8">
        <v>1.0</v>
      </c>
      <c r="H2905" s="8">
        <v>1.0</v>
      </c>
      <c r="I2905" s="8">
        <v>1.0</v>
      </c>
      <c r="J2905" s="8">
        <v>1.0</v>
      </c>
      <c r="K2905" s="8">
        <v>1.0</v>
      </c>
      <c r="L2905" s="8">
        <v>6.0</v>
      </c>
      <c r="M2905" s="8"/>
      <c r="N2905" s="8"/>
      <c r="O2905" s="8" t="s">
        <v>827</v>
      </c>
      <c r="P2905" s="8" t="e">
        <v>#N/A</v>
      </c>
    </row>
    <row r="2906">
      <c r="A2906">
        <f>IFERROR(__xludf.DUMMYFUNCTION("""COMPUTED_VALUE"""),8.0)</f>
        <v>8</v>
      </c>
      <c r="B2906">
        <f>IFERROR(__xludf.DUMMYFUNCTION("""COMPUTED_VALUE"""),29119.0)</f>
        <v>29119</v>
      </c>
      <c r="C2906" t="str">
        <f>IFERROR(__xludf.DUMMYFUNCTION("""COMPUTED_VALUE"""),"TRUJILLO RUIZ, SARA")</f>
        <v>TRUJILLO RUIZ, SARA</v>
      </c>
      <c r="D2906" t="str">
        <f>IFERROR(__xludf.DUMMYFUNCTION("""COMPUTED_VALUE"""),"Band 8S1")</f>
        <v>Band 8S1</v>
      </c>
      <c r="E2906" s="31" t="str">
        <f>IFERROR(__xludf.DUMMYFUNCTION("""COMPUTED_VALUE"""),"2a")</f>
        <v>2a</v>
      </c>
      <c r="F2906" s="8">
        <v>1.0</v>
      </c>
      <c r="G2906" s="8">
        <v>1.0</v>
      </c>
      <c r="H2906" s="8">
        <v>1.0</v>
      </c>
      <c r="I2906" s="8">
        <v>1.0</v>
      </c>
      <c r="J2906" s="8">
        <v>1.0</v>
      </c>
      <c r="K2906" s="8">
        <v>1.0</v>
      </c>
      <c r="L2906" s="8">
        <v>6.0</v>
      </c>
      <c r="M2906" s="8"/>
      <c r="N2906" s="8"/>
      <c r="O2906" s="8" t="s">
        <v>830</v>
      </c>
      <c r="P2906" s="8" t="e">
        <v>#N/A</v>
      </c>
    </row>
    <row r="2907">
      <c r="A2907">
        <f>IFERROR(__xludf.DUMMYFUNCTION("""COMPUTED_VALUE"""),8.0)</f>
        <v>8</v>
      </c>
      <c r="B2907">
        <f>IFERROR(__xludf.DUMMYFUNCTION("""COMPUTED_VALUE"""),29092.0)</f>
        <v>29092</v>
      </c>
      <c r="C2907" t="str">
        <f>IFERROR(__xludf.DUMMYFUNCTION("""COMPUTED_VALUE"""),"TURIZZO BORRERO, CAMILO ANDRES")</f>
        <v>TURIZZO BORRERO, CAMILO ANDRES</v>
      </c>
      <c r="D2907" t="str">
        <f>IFERROR(__xludf.DUMMYFUNCTION("""COMPUTED_VALUE"""),"Band 8S1")</f>
        <v>Band 8S1</v>
      </c>
      <c r="E2907" s="31" t="str">
        <f>IFERROR(__xludf.DUMMYFUNCTION("""COMPUTED_VALUE"""),"2a")</f>
        <v>2a</v>
      </c>
      <c r="F2907" s="8">
        <v>1.0</v>
      </c>
      <c r="G2907" s="8">
        <v>1.0</v>
      </c>
      <c r="H2907" s="8">
        <v>1.0</v>
      </c>
      <c r="I2907" s="8">
        <v>1.0</v>
      </c>
      <c r="J2907" s="8">
        <v>1.0</v>
      </c>
      <c r="K2907" s="8">
        <v>1.0</v>
      </c>
      <c r="L2907" s="8">
        <v>6.0</v>
      </c>
      <c r="M2907" s="8"/>
      <c r="N2907" s="8"/>
      <c r="O2907" s="8" t="s">
        <v>830</v>
      </c>
      <c r="P2907" s="8" t="e">
        <v>#N/A</v>
      </c>
    </row>
    <row r="2908">
      <c r="A2908">
        <f>IFERROR(__xludf.DUMMYFUNCTION("""COMPUTED_VALUE"""),8.0)</f>
        <v>8</v>
      </c>
      <c r="B2908">
        <f>IFERROR(__xludf.DUMMYFUNCTION("""COMPUTED_VALUE"""),29120.0)</f>
        <v>29120</v>
      </c>
      <c r="C2908" t="str">
        <f>IFERROR(__xludf.DUMMYFUNCTION("""COMPUTED_VALUE"""),"URIBE JARAMILLO, PEDRO JUAN")</f>
        <v>URIBE JARAMILLO, PEDRO JUAN</v>
      </c>
      <c r="D2908" t="str">
        <f>IFERROR(__xludf.DUMMYFUNCTION("""COMPUTED_VALUE"""),"Band 8S1")</f>
        <v>Band 8S1</v>
      </c>
      <c r="E2908" s="31" t="str">
        <f>IFERROR(__xludf.DUMMYFUNCTION("""COMPUTED_VALUE"""),"5b")</f>
        <v>5b</v>
      </c>
      <c r="F2908" s="8">
        <v>1.0</v>
      </c>
      <c r="G2908" s="8">
        <v>1.0</v>
      </c>
      <c r="H2908" s="8">
        <v>1.0</v>
      </c>
      <c r="I2908" s="8">
        <v>1.0</v>
      </c>
      <c r="J2908" s="8">
        <v>1.0</v>
      </c>
      <c r="K2908" s="8">
        <v>1.0</v>
      </c>
      <c r="L2908" s="8">
        <v>6.0</v>
      </c>
      <c r="M2908" s="8"/>
      <c r="N2908" s="8"/>
      <c r="O2908" s="8" t="s">
        <v>831</v>
      </c>
      <c r="P2908" s="8" t="e">
        <v>#N/A</v>
      </c>
    </row>
    <row r="2909">
      <c r="A2909">
        <f>IFERROR(__xludf.DUMMYFUNCTION("""COMPUTED_VALUE"""),8.0)</f>
        <v>8</v>
      </c>
      <c r="B2909">
        <f>IFERROR(__xludf.DUMMYFUNCTION("""COMPUTED_VALUE"""),29122.0)</f>
        <v>29122</v>
      </c>
      <c r="C2909" t="str">
        <f>IFERROR(__xludf.DUMMYFUNCTION("""COMPUTED_VALUE"""),"URIBE RODRIGUEZ, MARIA LUISA")</f>
        <v>URIBE RODRIGUEZ, MARIA LUISA</v>
      </c>
      <c r="D2909" t="str">
        <f>IFERROR(__xludf.DUMMYFUNCTION("""COMPUTED_VALUE"""),"Tech 8S1")</f>
        <v>Tech 8S1</v>
      </c>
      <c r="E2909" s="31" t="str">
        <f>IFERROR(__xludf.DUMMYFUNCTION("""COMPUTED_VALUE"""),"5a")</f>
        <v>5a</v>
      </c>
      <c r="F2909" s="8">
        <v>1.0</v>
      </c>
      <c r="G2909" s="8">
        <v>1.0</v>
      </c>
      <c r="H2909" s="8">
        <v>1.0</v>
      </c>
      <c r="I2909" s="8">
        <v>1.0</v>
      </c>
      <c r="J2909" s="8">
        <v>1.0</v>
      </c>
      <c r="K2909" s="8">
        <v>1.0</v>
      </c>
      <c r="L2909" s="8">
        <v>6.0</v>
      </c>
      <c r="M2909" s="8"/>
      <c r="N2909" s="8"/>
      <c r="O2909" s="8" t="s">
        <v>828</v>
      </c>
      <c r="P2909" s="8" t="e">
        <v>#N/A</v>
      </c>
    </row>
    <row r="2910">
      <c r="A2910">
        <f>IFERROR(__xludf.DUMMYFUNCTION("""COMPUTED_VALUE"""),8.0)</f>
        <v>8</v>
      </c>
      <c r="B2910">
        <f>IFERROR(__xludf.DUMMYFUNCTION("""COMPUTED_VALUE"""),29123.0)</f>
        <v>29123</v>
      </c>
      <c r="C2910" t="str">
        <f>IFERROR(__xludf.DUMMYFUNCTION("""COMPUTED_VALUE"""),"URRETA HENAO, OLIVIA")</f>
        <v>URRETA HENAO, OLIVIA</v>
      </c>
      <c r="D2910" t="str">
        <f>IFERROR(__xludf.DUMMYFUNCTION("""COMPUTED_VALUE"""),"Band 8S1")</f>
        <v>Band 8S1</v>
      </c>
      <c r="E2910" s="31" t="str">
        <f>IFERROR(__xludf.DUMMYFUNCTION("""COMPUTED_VALUE"""),"1b")</f>
        <v>1b</v>
      </c>
      <c r="F2910" s="8">
        <v>1.0</v>
      </c>
      <c r="G2910" s="8">
        <v>1.0</v>
      </c>
      <c r="H2910" s="8">
        <v>1.0</v>
      </c>
      <c r="I2910" s="8">
        <v>1.0</v>
      </c>
      <c r="J2910" s="8">
        <v>1.0</v>
      </c>
      <c r="K2910" s="8">
        <v>1.0</v>
      </c>
      <c r="L2910" s="8">
        <v>6.0</v>
      </c>
      <c r="M2910" s="8"/>
      <c r="N2910" s="8"/>
      <c r="O2910" s="8" t="s">
        <v>827</v>
      </c>
      <c r="P2910" s="8" t="e">
        <v>#N/A</v>
      </c>
    </row>
    <row r="2911">
      <c r="A2911">
        <f>IFERROR(__xludf.DUMMYFUNCTION("""COMPUTED_VALUE"""),8.0)</f>
        <v>8</v>
      </c>
      <c r="B2911">
        <f>IFERROR(__xludf.DUMMYFUNCTION("""COMPUTED_VALUE"""),29124.0)</f>
        <v>29124</v>
      </c>
      <c r="C2911" t="str">
        <f>IFERROR(__xludf.DUMMYFUNCTION("""COMPUTED_VALUE"""),"VALLEJO HOYOS, JUAN")</f>
        <v>VALLEJO HOYOS, JUAN</v>
      </c>
      <c r="D2911" t="str">
        <f>IFERROR(__xludf.DUMMYFUNCTION("""COMPUTED_VALUE"""),"Tech 8S1")</f>
        <v>Tech 8S1</v>
      </c>
      <c r="E2911" s="31" t="str">
        <f>IFERROR(__xludf.DUMMYFUNCTION("""COMPUTED_VALUE"""),"4b")</f>
        <v>4b</v>
      </c>
      <c r="F2911" s="8">
        <v>1.0</v>
      </c>
      <c r="G2911" s="8">
        <v>1.0</v>
      </c>
      <c r="H2911" s="8">
        <v>1.0</v>
      </c>
      <c r="I2911" s="8">
        <v>1.0</v>
      </c>
      <c r="J2911" s="8">
        <v>1.0</v>
      </c>
      <c r="K2911" s="8">
        <v>1.0</v>
      </c>
      <c r="L2911" s="8">
        <v>6.0</v>
      </c>
      <c r="M2911" s="8"/>
      <c r="N2911" s="8"/>
      <c r="O2911" s="8" t="s">
        <v>826</v>
      </c>
      <c r="P2911" s="8" t="e">
        <v>#N/A</v>
      </c>
    </row>
    <row r="2912">
      <c r="A2912">
        <f>IFERROR(__xludf.DUMMYFUNCTION("""COMPUTED_VALUE"""),8.0)</f>
        <v>8</v>
      </c>
      <c r="B2912">
        <f>IFERROR(__xludf.DUMMYFUNCTION("""COMPUTED_VALUE"""),29125.0)</f>
        <v>29125</v>
      </c>
      <c r="C2912" t="str">
        <f>IFERROR(__xludf.DUMMYFUNCTION("""COMPUTED_VALUE"""),"VALLEJO LONDOÑO, TOMAS")</f>
        <v>VALLEJO LONDOÑO, TOMAS</v>
      </c>
      <c r="D2912" t="str">
        <f>IFERROR(__xludf.DUMMYFUNCTION("""COMPUTED_VALUE"""),"Band 8S1")</f>
        <v>Band 8S1</v>
      </c>
      <c r="E2912" s="31" t="str">
        <f>IFERROR(__xludf.DUMMYFUNCTION("""COMPUTED_VALUE"""),"2a")</f>
        <v>2a</v>
      </c>
      <c r="F2912" s="8">
        <v>1.0</v>
      </c>
      <c r="G2912" s="8">
        <v>1.0</v>
      </c>
      <c r="H2912" s="8">
        <v>1.0</v>
      </c>
      <c r="I2912" s="8">
        <v>1.0</v>
      </c>
      <c r="J2912" s="8">
        <v>1.0</v>
      </c>
      <c r="K2912" s="8">
        <v>1.0</v>
      </c>
      <c r="L2912" s="8">
        <v>6.0</v>
      </c>
      <c r="M2912" s="8"/>
      <c r="N2912" s="8"/>
      <c r="O2912" s="8" t="s">
        <v>830</v>
      </c>
      <c r="P2912" s="8" t="e">
        <v>#N/A</v>
      </c>
    </row>
    <row r="2913">
      <c r="A2913">
        <f>IFERROR(__xludf.DUMMYFUNCTION("""COMPUTED_VALUE"""),8.0)</f>
        <v>8</v>
      </c>
      <c r="B2913">
        <f>IFERROR(__xludf.DUMMYFUNCTION("""COMPUTED_VALUE"""),29126.0)</f>
        <v>29126</v>
      </c>
      <c r="C2913" t="str">
        <f>IFERROR(__xludf.DUMMYFUNCTION("""COMPUTED_VALUE"""),"VASQUEZ ANGEL, JUANITA")</f>
        <v>VASQUEZ ANGEL, JUANITA</v>
      </c>
      <c r="D2913" t="str">
        <f>IFERROR(__xludf.DUMMYFUNCTION("""COMPUTED_VALUE"""),"Art 8S1")</f>
        <v>Art 8S1</v>
      </c>
      <c r="E2913" s="31" t="str">
        <f>IFERROR(__xludf.DUMMYFUNCTION("""COMPUTED_VALUE"""),"5a")</f>
        <v>5a</v>
      </c>
      <c r="F2913" s="8">
        <v>1.0</v>
      </c>
      <c r="G2913" s="8">
        <v>1.0</v>
      </c>
      <c r="H2913" s="8">
        <v>1.0</v>
      </c>
      <c r="I2913" s="8">
        <v>1.0</v>
      </c>
      <c r="J2913" s="8">
        <v>1.0</v>
      </c>
      <c r="K2913" s="8">
        <v>1.0</v>
      </c>
      <c r="L2913" s="8">
        <v>6.0</v>
      </c>
      <c r="M2913" s="8"/>
      <c r="N2913" s="8"/>
      <c r="O2913" s="8" t="s">
        <v>832</v>
      </c>
      <c r="P2913" s="8" t="e">
        <v>#N/A</v>
      </c>
    </row>
    <row r="2914">
      <c r="A2914">
        <f>IFERROR(__xludf.DUMMYFUNCTION("""COMPUTED_VALUE"""),8.0)</f>
        <v>8</v>
      </c>
      <c r="B2914">
        <f>IFERROR(__xludf.DUMMYFUNCTION("""COMPUTED_VALUE"""),29145.0)</f>
        <v>29145</v>
      </c>
      <c r="C2914" t="str">
        <f>IFERROR(__xludf.DUMMYFUNCTION("""COMPUTED_VALUE"""),"VELASQUEZ GUTIERREZ, SAMUEL")</f>
        <v>VELASQUEZ GUTIERREZ, SAMUEL</v>
      </c>
      <c r="D2914" t="str">
        <f>IFERROR(__xludf.DUMMYFUNCTION("""COMPUTED_VALUE"""),"Band 8S1")</f>
        <v>Band 8S1</v>
      </c>
      <c r="E2914" s="31" t="str">
        <f>IFERROR(__xludf.DUMMYFUNCTION("""COMPUTED_VALUE"""),"5b")</f>
        <v>5b</v>
      </c>
      <c r="F2914" s="8">
        <v>1.0</v>
      </c>
      <c r="G2914" s="8">
        <v>1.0</v>
      </c>
      <c r="H2914" s="8">
        <v>1.0</v>
      </c>
      <c r="I2914" s="8">
        <v>1.0</v>
      </c>
      <c r="J2914" s="8">
        <v>1.0</v>
      </c>
      <c r="K2914" s="8">
        <v>1.0</v>
      </c>
      <c r="L2914" s="8">
        <v>6.0</v>
      </c>
      <c r="M2914" s="8"/>
      <c r="N2914" s="8"/>
      <c r="O2914" s="8" t="s">
        <v>831</v>
      </c>
      <c r="P2914" s="8" t="e">
        <v>#N/A</v>
      </c>
    </row>
    <row r="2915">
      <c r="A2915">
        <f>IFERROR(__xludf.DUMMYFUNCTION("""COMPUTED_VALUE"""),8.0)</f>
        <v>8</v>
      </c>
      <c r="B2915">
        <f>IFERROR(__xludf.DUMMYFUNCTION("""COMPUTED_VALUE"""),29128.0)</f>
        <v>29128</v>
      </c>
      <c r="C2915" t="str">
        <f>IFERROR(__xludf.DUMMYFUNCTION("""COMPUTED_VALUE"""),"VELASQUEZ JARAMILLO, MARIA")</f>
        <v>VELASQUEZ JARAMILLO, MARIA</v>
      </c>
      <c r="D2915" t="str">
        <f>IFERROR(__xludf.DUMMYFUNCTION("""COMPUTED_VALUE"""),"Band 8S1")</f>
        <v>Band 8S1</v>
      </c>
      <c r="E2915" s="31" t="str">
        <f>IFERROR(__xludf.DUMMYFUNCTION("""COMPUTED_VALUE"""),"5b")</f>
        <v>5b</v>
      </c>
      <c r="F2915" s="8">
        <v>1.0</v>
      </c>
      <c r="G2915" s="8">
        <v>1.0</v>
      </c>
      <c r="H2915" s="8">
        <v>1.0</v>
      </c>
      <c r="I2915" s="8">
        <v>1.0</v>
      </c>
      <c r="J2915" s="8">
        <v>1.0</v>
      </c>
      <c r="K2915" s="8">
        <v>1.0</v>
      </c>
      <c r="L2915" s="8">
        <v>6.0</v>
      </c>
      <c r="M2915" s="8"/>
      <c r="N2915" s="8"/>
      <c r="O2915" s="8" t="s">
        <v>831</v>
      </c>
      <c r="P2915" s="8" t="e">
        <v>#N/A</v>
      </c>
    </row>
    <row r="2916">
      <c r="A2916">
        <f>IFERROR(__xludf.DUMMYFUNCTION("""COMPUTED_VALUE"""),8.0)</f>
        <v>8</v>
      </c>
      <c r="B2916">
        <f>IFERROR(__xludf.DUMMYFUNCTION("""COMPUTED_VALUE"""),29129.0)</f>
        <v>29129</v>
      </c>
      <c r="C2916" t="str">
        <f>IFERROR(__xludf.DUMMYFUNCTION("""COMPUTED_VALUE"""),"VELEZ RESTREPO, SIMON")</f>
        <v>VELEZ RESTREPO, SIMON</v>
      </c>
      <c r="D2916" t="str">
        <f>IFERROR(__xludf.DUMMYFUNCTION("""COMPUTED_VALUE"""),"Art 8S1")</f>
        <v>Art 8S1</v>
      </c>
      <c r="E2916" s="31" t="str">
        <f>IFERROR(__xludf.DUMMYFUNCTION("""COMPUTED_VALUE"""),"5a")</f>
        <v>5a</v>
      </c>
      <c r="F2916" s="8">
        <v>1.0</v>
      </c>
      <c r="G2916" s="8">
        <v>1.0</v>
      </c>
      <c r="H2916" s="8">
        <v>1.0</v>
      </c>
      <c r="I2916" s="8">
        <v>1.0</v>
      </c>
      <c r="J2916" s="8">
        <v>1.0</v>
      </c>
      <c r="K2916" s="8">
        <v>1.0</v>
      </c>
      <c r="L2916" s="8">
        <v>6.0</v>
      </c>
      <c r="M2916" s="8"/>
      <c r="N2916" s="8"/>
      <c r="O2916" s="8" t="s">
        <v>832</v>
      </c>
      <c r="P2916" s="8" t="e">
        <v>#N/A</v>
      </c>
    </row>
    <row r="2917">
      <c r="A2917">
        <f>IFERROR(__xludf.DUMMYFUNCTION("""COMPUTED_VALUE"""),8.0)</f>
        <v>8</v>
      </c>
      <c r="B2917">
        <f>IFERROR(__xludf.DUMMYFUNCTION("""COMPUTED_VALUE"""),29131.0)</f>
        <v>29131</v>
      </c>
      <c r="C2917" t="str">
        <f>IFERROR(__xludf.DUMMYFUNCTION("""COMPUTED_VALUE"""),"VILLEGAS HINCAPIE, CANDELARIA")</f>
        <v>VILLEGAS HINCAPIE, CANDELARIA</v>
      </c>
      <c r="D2917" t="str">
        <f>IFERROR(__xludf.DUMMYFUNCTION("""COMPUTED_VALUE"""),"Tech 8S1")</f>
        <v>Tech 8S1</v>
      </c>
      <c r="E2917" s="31" t="str">
        <f>IFERROR(__xludf.DUMMYFUNCTION("""COMPUTED_VALUE"""),"4b")</f>
        <v>4b</v>
      </c>
      <c r="F2917" s="8">
        <v>1.0</v>
      </c>
      <c r="G2917" s="8">
        <v>1.0</v>
      </c>
      <c r="H2917" s="8">
        <v>1.0</v>
      </c>
      <c r="I2917" s="8">
        <v>1.0</v>
      </c>
      <c r="J2917" s="8">
        <v>1.0</v>
      </c>
      <c r="K2917" s="8">
        <v>1.0</v>
      </c>
      <c r="L2917" s="8">
        <v>6.0</v>
      </c>
      <c r="M2917" s="8"/>
      <c r="N2917" s="8"/>
      <c r="O2917" s="8" t="s">
        <v>826</v>
      </c>
      <c r="P2917" s="8" t="e">
        <v>#N/A</v>
      </c>
    </row>
    <row r="2918">
      <c r="A2918">
        <f>IFERROR(__xludf.DUMMYFUNCTION("""COMPUTED_VALUE"""),8.0)</f>
        <v>8</v>
      </c>
      <c r="B2918">
        <f>IFERROR(__xludf.DUMMYFUNCTION("""COMPUTED_VALUE"""),29132.0)</f>
        <v>29132</v>
      </c>
      <c r="C2918" t="str">
        <f>IFERROR(__xludf.DUMMYFUNCTION("""COMPUTED_VALUE"""),"VILLEGAS MEJIA, SIMON")</f>
        <v>VILLEGAS MEJIA, SIMON</v>
      </c>
      <c r="D2918" t="str">
        <f>IFERROR(__xludf.DUMMYFUNCTION("""COMPUTED_VALUE"""),"Band 8S1")</f>
        <v>Band 8S1</v>
      </c>
      <c r="E2918" s="31" t="str">
        <f>IFERROR(__xludf.DUMMYFUNCTION("""COMPUTED_VALUE"""),"1b")</f>
        <v>1b</v>
      </c>
      <c r="F2918" s="8">
        <v>1.0</v>
      </c>
      <c r="G2918" s="8">
        <v>1.0</v>
      </c>
      <c r="H2918" s="8">
        <v>1.0</v>
      </c>
      <c r="I2918" s="8">
        <v>1.0</v>
      </c>
      <c r="J2918" s="8">
        <v>1.0</v>
      </c>
      <c r="K2918" s="8">
        <v>1.0</v>
      </c>
      <c r="L2918" s="8">
        <v>6.0</v>
      </c>
      <c r="M2918" s="8"/>
      <c r="N2918" s="8"/>
      <c r="O2918" s="8" t="s">
        <v>827</v>
      </c>
      <c r="P2918" s="8" t="e">
        <v>#N/A</v>
      </c>
    </row>
    <row r="2919">
      <c r="A2919">
        <f>IFERROR(__xludf.DUMMYFUNCTION("""COMPUTED_VALUE"""),8.0)</f>
        <v>8</v>
      </c>
      <c r="B2919">
        <f>IFERROR(__xludf.DUMMYFUNCTION("""COMPUTED_VALUE"""),29133.0)</f>
        <v>29133</v>
      </c>
      <c r="C2919" t="str">
        <f>IFERROR(__xludf.DUMMYFUNCTION("""COMPUTED_VALUE"""),"ZAPATA URIBE, RAFAEL")</f>
        <v>ZAPATA URIBE, RAFAEL</v>
      </c>
      <c r="D2919" t="str">
        <f>IFERROR(__xludf.DUMMYFUNCTION("""COMPUTED_VALUE"""),"Band 8S1")</f>
        <v>Band 8S1</v>
      </c>
      <c r="E2919" s="31" t="str">
        <f>IFERROR(__xludf.DUMMYFUNCTION("""COMPUTED_VALUE"""),"6b")</f>
        <v>6b</v>
      </c>
      <c r="F2919" s="8">
        <v>1.0</v>
      </c>
      <c r="G2919" s="8">
        <v>1.0</v>
      </c>
      <c r="H2919" s="8">
        <v>1.0</v>
      </c>
      <c r="I2919" s="8">
        <v>1.0</v>
      </c>
      <c r="J2919" s="8">
        <v>1.0</v>
      </c>
      <c r="K2919" s="8">
        <v>1.0</v>
      </c>
      <c r="L2919" s="8">
        <v>6.0</v>
      </c>
      <c r="M2919" s="8"/>
      <c r="N2919" s="8"/>
      <c r="O2919" s="8" t="s">
        <v>829</v>
      </c>
      <c r="P2919" s="8" t="e">
        <v>#N/A</v>
      </c>
    </row>
    <row r="2920">
      <c r="A2920">
        <f>IFERROR(__xludf.DUMMYFUNCTION("""COMPUTED_VALUE"""),8.0)</f>
        <v>8</v>
      </c>
      <c r="B2920">
        <f>IFERROR(__xludf.DUMMYFUNCTION("""COMPUTED_VALUE"""),27128.0)</f>
        <v>27128</v>
      </c>
      <c r="C2920" t="str">
        <f>IFERROR(__xludf.DUMMYFUNCTION("""COMPUTED_VALUE"""),"ZULUAGA CHAVEZ, ISAIAS")</f>
        <v>ZULUAGA CHAVEZ, ISAIAS</v>
      </c>
      <c r="D2920" t="str">
        <f>IFERROR(__xludf.DUMMYFUNCTION("""COMPUTED_VALUE"""),"Band 8S1")</f>
        <v>Band 8S1</v>
      </c>
      <c r="E2920" s="31" t="str">
        <f>IFERROR(__xludf.DUMMYFUNCTION("""COMPUTED_VALUE"""),"5b")</f>
        <v>5b</v>
      </c>
      <c r="F2920" s="8">
        <v>1.0</v>
      </c>
      <c r="G2920" s="8">
        <v>1.0</v>
      </c>
      <c r="H2920" s="8">
        <v>1.0</v>
      </c>
      <c r="I2920" s="8">
        <v>1.0</v>
      </c>
      <c r="J2920" s="8">
        <v>1.0</v>
      </c>
      <c r="K2920" s="8">
        <v>1.0</v>
      </c>
      <c r="L2920" s="8">
        <v>6.0</v>
      </c>
      <c r="M2920" s="8"/>
      <c r="N2920" s="8"/>
      <c r="O2920" s="8" t="s">
        <v>831</v>
      </c>
      <c r="P2920" s="8" t="e">
        <v>#N/A</v>
      </c>
    </row>
    <row r="2921">
      <c r="A2921">
        <f>IFERROR(__xludf.DUMMYFUNCTION("""COMPUTED_VALUE"""),6.0)</f>
        <v>6</v>
      </c>
      <c r="B2921">
        <f>IFERROR(__xludf.DUMMYFUNCTION("""COMPUTED_VALUE"""),31002.0)</f>
        <v>31002</v>
      </c>
      <c r="C2921" t="str">
        <f>IFERROR(__xludf.DUMMYFUNCTION("""COMPUTED_VALUE"""),"ACEVEDO ARANGO, VICENTE")</f>
        <v>ACEVEDO ARANGO, VICENTE</v>
      </c>
      <c r="D2921" t="str">
        <f>IFERROR(__xludf.DUMMYFUNCTION("""COMPUTED_VALUE"""),"Tech 6S2")</f>
        <v>Tech 6S2</v>
      </c>
      <c r="E2921" s="31" t="str">
        <f>IFERROR(__xludf.DUMMYFUNCTION("""COMPUTED_VALUE"""),"4a")</f>
        <v>4a</v>
      </c>
      <c r="F2921" s="8">
        <v>1.0</v>
      </c>
      <c r="G2921" s="8">
        <v>1.0</v>
      </c>
      <c r="H2921" s="8">
        <v>1.0</v>
      </c>
      <c r="I2921" s="8">
        <v>1.0</v>
      </c>
      <c r="J2921" s="8">
        <v>1.0</v>
      </c>
      <c r="K2921" s="8">
        <v>1.0</v>
      </c>
      <c r="L2921" s="8">
        <v>6.0</v>
      </c>
      <c r="M2921" s="8"/>
      <c r="N2921" s="8"/>
      <c r="O2921" s="8" t="s">
        <v>833</v>
      </c>
      <c r="P2921" s="8" t="e">
        <v>#N/A</v>
      </c>
    </row>
    <row r="2922">
      <c r="A2922">
        <f>IFERROR(__xludf.DUMMYFUNCTION("""COMPUTED_VALUE"""),6.0)</f>
        <v>6</v>
      </c>
      <c r="B2922">
        <f>IFERROR(__xludf.DUMMYFUNCTION("""COMPUTED_VALUE"""),31003.0)</f>
        <v>31003</v>
      </c>
      <c r="C2922" t="str">
        <f>IFERROR(__xludf.DUMMYFUNCTION("""COMPUTED_VALUE"""),"AGUIRRE ARANGO, MARIA")</f>
        <v>AGUIRRE ARANGO, MARIA</v>
      </c>
      <c r="D2922" t="str">
        <f>IFERROR(__xludf.DUMMYFUNCTION("""COMPUTED_VALUE"""),"Symphony BandS2")</f>
        <v>Symphony BandS2</v>
      </c>
      <c r="E2922" s="31" t="str">
        <f>IFERROR(__xludf.DUMMYFUNCTION("""COMPUTED_VALUE"""),"5a")</f>
        <v>5a</v>
      </c>
      <c r="F2922" s="8">
        <v>1.0</v>
      </c>
      <c r="G2922" s="8">
        <v>1.0</v>
      </c>
      <c r="H2922" s="8">
        <v>1.0</v>
      </c>
      <c r="I2922" s="8">
        <v>1.0</v>
      </c>
      <c r="J2922" s="8">
        <v>1.0</v>
      </c>
      <c r="K2922" s="8">
        <v>1.0</v>
      </c>
      <c r="L2922" s="8">
        <v>6.0</v>
      </c>
      <c r="M2922" s="8"/>
      <c r="N2922" s="8"/>
      <c r="O2922" s="8" t="s">
        <v>834</v>
      </c>
      <c r="P2922" s="8" t="e">
        <v>#N/A</v>
      </c>
    </row>
    <row r="2923">
      <c r="A2923">
        <f>IFERROR(__xludf.DUMMYFUNCTION("""COMPUTED_VALUE"""),6.0)</f>
        <v>6</v>
      </c>
      <c r="B2923">
        <f>IFERROR(__xludf.DUMMYFUNCTION("""COMPUTED_VALUE"""),31004.0)</f>
        <v>31004</v>
      </c>
      <c r="C2923" t="str">
        <f>IFERROR(__xludf.DUMMYFUNCTION("""COMPUTED_VALUE"""),"ALVAREZ RIVERA, SALVADOR")</f>
        <v>ALVAREZ RIVERA, SALVADOR</v>
      </c>
      <c r="D2923" t="str">
        <f>IFERROR(__xludf.DUMMYFUNCTION("""COMPUTED_VALUE"""),"Regular BandS2")</f>
        <v>Regular BandS2</v>
      </c>
      <c r="E2923" s="31" t="str">
        <f>IFERROR(__xludf.DUMMYFUNCTION("""COMPUTED_VALUE"""),"6a")</f>
        <v>6a</v>
      </c>
      <c r="F2923" s="8">
        <v>1.0</v>
      </c>
      <c r="G2923" s="8">
        <v>1.0</v>
      </c>
      <c r="H2923" s="8">
        <v>1.0</v>
      </c>
      <c r="I2923" s="8">
        <v>1.0</v>
      </c>
      <c r="J2923" s="8">
        <v>1.0</v>
      </c>
      <c r="K2923" s="8">
        <v>1.0</v>
      </c>
      <c r="L2923" s="8">
        <v>6.0</v>
      </c>
      <c r="M2923" s="8"/>
      <c r="N2923" s="8"/>
      <c r="O2923" s="8" t="s">
        <v>835</v>
      </c>
      <c r="P2923" s="8" t="e">
        <v>#N/A</v>
      </c>
    </row>
    <row r="2924">
      <c r="A2924">
        <f>IFERROR(__xludf.DUMMYFUNCTION("""COMPUTED_VALUE"""),6.0)</f>
        <v>6</v>
      </c>
      <c r="B2924">
        <f>IFERROR(__xludf.DUMMYFUNCTION("""COMPUTED_VALUE"""),31005.0)</f>
        <v>31005</v>
      </c>
      <c r="C2924" t="str">
        <f>IFERROR(__xludf.DUMMYFUNCTION("""COMPUTED_VALUE"""),"ARANGO VILLA, MATIAS")</f>
        <v>ARANGO VILLA, MATIAS</v>
      </c>
      <c r="D2924" t="str">
        <f>IFERROR(__xludf.DUMMYFUNCTION("""COMPUTED_VALUE"""),"Art 6S2")</f>
        <v>Art 6S2</v>
      </c>
      <c r="E2924" s="31" t="str">
        <f>IFERROR(__xludf.DUMMYFUNCTION("""COMPUTED_VALUE"""),"1b")</f>
        <v>1b</v>
      </c>
      <c r="F2924" s="8">
        <v>1.0</v>
      </c>
      <c r="G2924" s="8">
        <v>1.0</v>
      </c>
      <c r="H2924" s="8">
        <v>1.0</v>
      </c>
      <c r="I2924" s="8">
        <v>1.0</v>
      </c>
      <c r="J2924" s="8">
        <v>1.0</v>
      </c>
      <c r="K2924" s="8">
        <v>1.0</v>
      </c>
      <c r="L2924" s="8">
        <v>6.0</v>
      </c>
      <c r="M2924" s="8"/>
      <c r="N2924" s="8"/>
      <c r="O2924" s="8" t="s">
        <v>836</v>
      </c>
      <c r="P2924" s="8" t="e">
        <v>#N/A</v>
      </c>
    </row>
    <row r="2925">
      <c r="A2925">
        <f>IFERROR(__xludf.DUMMYFUNCTION("""COMPUTED_VALUE"""),6.0)</f>
        <v>6</v>
      </c>
      <c r="B2925">
        <f>IFERROR(__xludf.DUMMYFUNCTION("""COMPUTED_VALUE"""),31151.0)</f>
        <v>31151</v>
      </c>
      <c r="C2925" t="str">
        <f>IFERROR(__xludf.DUMMYFUNCTION("""COMPUTED_VALUE"""),"AREVALO RODRIGUEZ, MANUELA")</f>
        <v>AREVALO RODRIGUEZ, MANUELA</v>
      </c>
      <c r="D2925" t="str">
        <f>IFERROR(__xludf.DUMMYFUNCTION("""COMPUTED_VALUE"""),"Symphony BandS2")</f>
        <v>Symphony BandS2</v>
      </c>
      <c r="E2925" s="31" t="str">
        <f>IFERROR(__xludf.DUMMYFUNCTION("""COMPUTED_VALUE"""),"5a")</f>
        <v>5a</v>
      </c>
      <c r="F2925" s="8">
        <v>1.0</v>
      </c>
      <c r="G2925" s="8">
        <v>1.0</v>
      </c>
      <c r="H2925" s="8">
        <v>1.0</v>
      </c>
      <c r="I2925" s="8">
        <v>1.0</v>
      </c>
      <c r="J2925" s="8">
        <v>1.0</v>
      </c>
      <c r="K2925" s="8">
        <v>1.0</v>
      </c>
      <c r="L2925" s="8">
        <v>6.0</v>
      </c>
      <c r="M2925" s="8"/>
      <c r="N2925" s="8"/>
      <c r="O2925" s="8" t="s">
        <v>834</v>
      </c>
      <c r="P2925" s="8" t="e">
        <v>#N/A</v>
      </c>
    </row>
    <row r="2926">
      <c r="A2926">
        <f>IFERROR(__xludf.DUMMYFUNCTION("""COMPUTED_VALUE"""),6.0)</f>
        <v>6</v>
      </c>
      <c r="B2926">
        <f>IFERROR(__xludf.DUMMYFUNCTION("""COMPUTED_VALUE"""),31006.0)</f>
        <v>31006</v>
      </c>
      <c r="C2926" t="str">
        <f>IFERROR(__xludf.DUMMYFUNCTION("""COMPUTED_VALUE"""),"ARIAS GARCIA, SALOMON")</f>
        <v>ARIAS GARCIA, SALOMON</v>
      </c>
      <c r="D2926" t="str">
        <f>IFERROR(__xludf.DUMMYFUNCTION("""COMPUTED_VALUE"""),"Regular BandS2")</f>
        <v>Regular BandS2</v>
      </c>
      <c r="E2926" s="31" t="str">
        <f>IFERROR(__xludf.DUMMYFUNCTION("""COMPUTED_VALUE"""),"6a")</f>
        <v>6a</v>
      </c>
      <c r="F2926" s="8">
        <v>1.0</v>
      </c>
      <c r="G2926" s="8">
        <v>1.0</v>
      </c>
      <c r="H2926" s="8">
        <v>1.0</v>
      </c>
      <c r="I2926" s="8">
        <v>1.0</v>
      </c>
      <c r="J2926" s="8">
        <v>1.0</v>
      </c>
      <c r="K2926" s="8">
        <v>1.0</v>
      </c>
      <c r="L2926" s="8">
        <v>6.0</v>
      </c>
      <c r="M2926" s="8"/>
      <c r="N2926" s="8"/>
      <c r="O2926" s="8" t="s">
        <v>835</v>
      </c>
      <c r="P2926" s="8" t="e">
        <v>#N/A</v>
      </c>
    </row>
    <row r="2927">
      <c r="A2927">
        <f>IFERROR(__xludf.DUMMYFUNCTION("""COMPUTED_VALUE"""),6.0)</f>
        <v>6</v>
      </c>
      <c r="B2927">
        <f>IFERROR(__xludf.DUMMYFUNCTION("""COMPUTED_VALUE"""),31007.0)</f>
        <v>31007</v>
      </c>
      <c r="C2927" t="str">
        <f>IFERROR(__xludf.DUMMYFUNCTION("""COMPUTED_VALUE"""),"ARISTIZABAL SOTO, EMILIO")</f>
        <v>ARISTIZABAL SOTO, EMILIO</v>
      </c>
      <c r="D2927" t="str">
        <f>IFERROR(__xludf.DUMMYFUNCTION("""COMPUTED_VALUE"""),"Regular BandS2")</f>
        <v>Regular BandS2</v>
      </c>
      <c r="E2927" s="31" t="str">
        <f>IFERROR(__xludf.DUMMYFUNCTION("""COMPUTED_VALUE"""),"6a")</f>
        <v>6a</v>
      </c>
      <c r="F2927" s="8">
        <v>1.0</v>
      </c>
      <c r="G2927" s="8">
        <v>1.0</v>
      </c>
      <c r="H2927" s="8">
        <v>1.0</v>
      </c>
      <c r="I2927" s="8">
        <v>1.0</v>
      </c>
      <c r="J2927" s="8">
        <v>1.0</v>
      </c>
      <c r="K2927" s="8">
        <v>1.0</v>
      </c>
      <c r="L2927" s="8">
        <v>6.0</v>
      </c>
      <c r="M2927" s="8"/>
      <c r="N2927" s="8"/>
      <c r="O2927" s="8" t="s">
        <v>835</v>
      </c>
      <c r="P2927" s="8" t="e">
        <v>#N/A</v>
      </c>
    </row>
    <row r="2928">
      <c r="A2928">
        <f>IFERROR(__xludf.DUMMYFUNCTION("""COMPUTED_VALUE"""),6.0)</f>
        <v>6</v>
      </c>
      <c r="B2928">
        <f>IFERROR(__xludf.DUMMYFUNCTION("""COMPUTED_VALUE"""),31008.0)</f>
        <v>31008</v>
      </c>
      <c r="C2928" t="str">
        <f>IFERROR(__xludf.DUMMYFUNCTION("""COMPUTED_VALUE"""),"ARROYAVE LONDOÑO, MIGUEL")</f>
        <v>ARROYAVE LONDOÑO, MIGUEL</v>
      </c>
      <c r="D2928" t="str">
        <f>IFERROR(__xludf.DUMMYFUNCTION("""COMPUTED_VALUE"""),"Symphony BandS2")</f>
        <v>Symphony BandS2</v>
      </c>
      <c r="E2928" s="31" t="str">
        <f>IFERROR(__xludf.DUMMYFUNCTION("""COMPUTED_VALUE"""),"5a")</f>
        <v>5a</v>
      </c>
      <c r="F2928" s="8">
        <v>1.0</v>
      </c>
      <c r="G2928" s="8">
        <v>1.0</v>
      </c>
      <c r="H2928" s="8">
        <v>1.0</v>
      </c>
      <c r="I2928" s="8">
        <v>1.0</v>
      </c>
      <c r="J2928" s="8">
        <v>1.0</v>
      </c>
      <c r="K2928" s="8">
        <v>1.0</v>
      </c>
      <c r="L2928" s="8">
        <v>6.0</v>
      </c>
      <c r="M2928" s="8"/>
      <c r="N2928" s="8"/>
      <c r="O2928" s="8" t="s">
        <v>834</v>
      </c>
      <c r="P2928" s="8" t="e">
        <v>#N/A</v>
      </c>
    </row>
    <row r="2929">
      <c r="A2929">
        <f>IFERROR(__xludf.DUMMYFUNCTION("""COMPUTED_VALUE"""),6.0)</f>
        <v>6</v>
      </c>
      <c r="B2929">
        <f>IFERROR(__xludf.DUMMYFUNCTION("""COMPUTED_VALUE"""),31009.0)</f>
        <v>31009</v>
      </c>
      <c r="C2929" t="str">
        <f>IFERROR(__xludf.DUMMYFUNCTION("""COMPUTED_VALUE"""),"ARROYAVE SIERRA, RAFAEL")</f>
        <v>ARROYAVE SIERRA, RAFAEL</v>
      </c>
      <c r="D2929" t="str">
        <f>IFERROR(__xludf.DUMMYFUNCTION("""COMPUTED_VALUE"""),"Art 6S2")</f>
        <v>Art 6S2</v>
      </c>
      <c r="E2929" s="31" t="str">
        <f>IFERROR(__xludf.DUMMYFUNCTION("""COMPUTED_VALUE"""),"4a")</f>
        <v>4a</v>
      </c>
      <c r="F2929" s="8">
        <v>1.0</v>
      </c>
      <c r="G2929" s="8">
        <v>1.0</v>
      </c>
      <c r="H2929" s="8">
        <v>1.0</v>
      </c>
      <c r="I2929" s="8">
        <v>1.0</v>
      </c>
      <c r="J2929" s="8">
        <v>1.0</v>
      </c>
      <c r="K2929" s="8">
        <v>1.0</v>
      </c>
      <c r="L2929" s="8">
        <v>6.0</v>
      </c>
      <c r="M2929" s="8"/>
      <c r="N2929" s="8"/>
      <c r="O2929" s="8" t="s">
        <v>837</v>
      </c>
      <c r="P2929" s="8" t="e">
        <v>#N/A</v>
      </c>
    </row>
    <row r="2930">
      <c r="A2930">
        <f>IFERROR(__xludf.DUMMYFUNCTION("""COMPUTED_VALUE"""),6.0)</f>
        <v>6</v>
      </c>
      <c r="B2930">
        <f>IFERROR(__xludf.DUMMYFUNCTION("""COMPUTED_VALUE"""),31010.0)</f>
        <v>31010</v>
      </c>
      <c r="C2930" t="str">
        <f>IFERROR(__xludf.DUMMYFUNCTION("""COMPUTED_VALUE"""),"BARRERA CAMPIS, VALENTINA")</f>
        <v>BARRERA CAMPIS, VALENTINA</v>
      </c>
      <c r="D2930" t="str">
        <f>IFERROR(__xludf.DUMMYFUNCTION("""COMPUTED_VALUE"""),"Tech 6S2")</f>
        <v>Tech 6S2</v>
      </c>
      <c r="E2930" s="31" t="str">
        <f>IFERROR(__xludf.DUMMYFUNCTION("""COMPUTED_VALUE"""),"1b")</f>
        <v>1b</v>
      </c>
      <c r="F2930" s="8">
        <v>1.0</v>
      </c>
      <c r="G2930" s="8">
        <v>1.0</v>
      </c>
      <c r="H2930" s="8">
        <v>1.0</v>
      </c>
      <c r="I2930" s="8">
        <v>1.0</v>
      </c>
      <c r="J2930" s="8">
        <v>1.0</v>
      </c>
      <c r="K2930" s="8">
        <v>1.0</v>
      </c>
      <c r="L2930" s="8">
        <v>6.0</v>
      </c>
      <c r="M2930" s="8"/>
      <c r="N2930" s="8"/>
      <c r="O2930" s="8" t="s">
        <v>838</v>
      </c>
      <c r="P2930" s="8" t="e">
        <v>#N/A</v>
      </c>
    </row>
    <row r="2931">
      <c r="A2931">
        <f>IFERROR(__xludf.DUMMYFUNCTION("""COMPUTED_VALUE"""),6.0)</f>
        <v>6</v>
      </c>
      <c r="B2931">
        <f>IFERROR(__xludf.DUMMYFUNCTION("""COMPUTED_VALUE"""),31011.0)</f>
        <v>31011</v>
      </c>
      <c r="C2931" t="str">
        <f>IFERROR(__xludf.DUMMYFUNCTION("""COMPUTED_VALUE"""),"BARRERA TORO, LORENZO")</f>
        <v>BARRERA TORO, LORENZO</v>
      </c>
      <c r="D2931" t="str">
        <f>IFERROR(__xludf.DUMMYFUNCTION("""COMPUTED_VALUE"""),"Art 6S2")</f>
        <v>Art 6S2</v>
      </c>
      <c r="E2931" s="31" t="str">
        <f>IFERROR(__xludf.DUMMYFUNCTION("""COMPUTED_VALUE"""),"4a")</f>
        <v>4a</v>
      </c>
      <c r="F2931" s="8">
        <v>1.0</v>
      </c>
      <c r="G2931" s="8">
        <v>1.0</v>
      </c>
      <c r="H2931" s="8">
        <v>1.0</v>
      </c>
      <c r="I2931" s="8">
        <v>1.0</v>
      </c>
      <c r="J2931" s="8">
        <v>1.0</v>
      </c>
      <c r="K2931" s="8">
        <v>1.0</v>
      </c>
      <c r="L2931" s="8">
        <v>6.0</v>
      </c>
      <c r="M2931" s="8"/>
      <c r="N2931" s="8"/>
      <c r="O2931" s="8" t="s">
        <v>837</v>
      </c>
      <c r="P2931" s="8" t="e">
        <v>#N/A</v>
      </c>
    </row>
    <row r="2932">
      <c r="A2932">
        <f>IFERROR(__xludf.DUMMYFUNCTION("""COMPUTED_VALUE"""),6.0)</f>
        <v>6</v>
      </c>
      <c r="B2932">
        <f>IFERROR(__xludf.DUMMYFUNCTION("""COMPUTED_VALUE"""),31012.0)</f>
        <v>31012</v>
      </c>
      <c r="C2932" t="str">
        <f>IFERROR(__xludf.DUMMYFUNCTION("""COMPUTED_VALUE"""),"BARTOLINI VELEZ, LORENZO")</f>
        <v>BARTOLINI VELEZ, LORENZO</v>
      </c>
      <c r="D2932" t="str">
        <f>IFERROR(__xludf.DUMMYFUNCTION("""COMPUTED_VALUE"""),"Tech 6S2")</f>
        <v>Tech 6S2</v>
      </c>
      <c r="E2932" s="31" t="str">
        <f>IFERROR(__xludf.DUMMYFUNCTION("""COMPUTED_VALUE"""),"1b")</f>
        <v>1b</v>
      </c>
      <c r="F2932" s="8">
        <v>1.0</v>
      </c>
      <c r="G2932" s="8">
        <v>1.0</v>
      </c>
      <c r="H2932" s="8">
        <v>1.0</v>
      </c>
      <c r="I2932" s="8">
        <v>1.0</v>
      </c>
      <c r="J2932" s="8">
        <v>1.0</v>
      </c>
      <c r="K2932" s="8">
        <v>1.0</v>
      </c>
      <c r="L2932" s="8">
        <v>6.0</v>
      </c>
      <c r="M2932" s="8"/>
      <c r="N2932" s="8"/>
      <c r="O2932" s="8" t="s">
        <v>838</v>
      </c>
      <c r="P2932" s="8" t="e">
        <v>#N/A</v>
      </c>
    </row>
    <row r="2933">
      <c r="A2933">
        <f>IFERROR(__xludf.DUMMYFUNCTION("""COMPUTED_VALUE"""),6.0)</f>
        <v>6</v>
      </c>
      <c r="B2933">
        <f>IFERROR(__xludf.DUMMYFUNCTION("""COMPUTED_VALUE"""),31013.0)</f>
        <v>31013</v>
      </c>
      <c r="C2933" t="str">
        <f>IFERROR(__xludf.DUMMYFUNCTION("""COMPUTED_VALUE"""),"BASTIDAS MEJIA, JUAN JOSE")</f>
        <v>BASTIDAS MEJIA, JUAN JOSE</v>
      </c>
      <c r="D2933" t="str">
        <f>IFERROR(__xludf.DUMMYFUNCTION("""COMPUTED_VALUE"""),"Symphony BandS2")</f>
        <v>Symphony BandS2</v>
      </c>
      <c r="E2933" s="31" t="str">
        <f>IFERROR(__xludf.DUMMYFUNCTION("""COMPUTED_VALUE"""),"5a")</f>
        <v>5a</v>
      </c>
      <c r="F2933" s="8">
        <v>1.0</v>
      </c>
      <c r="G2933" s="8">
        <v>1.0</v>
      </c>
      <c r="H2933" s="8">
        <v>1.0</v>
      </c>
      <c r="I2933" s="8">
        <v>1.0</v>
      </c>
      <c r="J2933" s="8">
        <v>1.0</v>
      </c>
      <c r="K2933" s="8">
        <v>1.0</v>
      </c>
      <c r="L2933" s="8">
        <v>6.0</v>
      </c>
      <c r="M2933" s="8"/>
      <c r="N2933" s="8"/>
      <c r="O2933" s="8" t="s">
        <v>834</v>
      </c>
      <c r="P2933" s="8" t="e">
        <v>#N/A</v>
      </c>
    </row>
    <row r="2934">
      <c r="A2934">
        <f>IFERROR(__xludf.DUMMYFUNCTION("""COMPUTED_VALUE"""),6.0)</f>
        <v>6</v>
      </c>
      <c r="B2934">
        <f>IFERROR(__xludf.DUMMYFUNCTION("""COMPUTED_VALUE"""),31014.0)</f>
        <v>31014</v>
      </c>
      <c r="C2934" t="str">
        <f>IFERROR(__xludf.DUMMYFUNCTION("""COMPUTED_VALUE"""),"BETANCUR PENAGOS, AGUSTIN")</f>
        <v>BETANCUR PENAGOS, AGUSTIN</v>
      </c>
      <c r="D2934" t="str">
        <f>IFERROR(__xludf.DUMMYFUNCTION("""COMPUTED_VALUE"""),"Tech 6S2")</f>
        <v>Tech 6S2</v>
      </c>
      <c r="E2934" s="31" t="str">
        <f>IFERROR(__xludf.DUMMYFUNCTION("""COMPUTED_VALUE"""),"6b")</f>
        <v>6b</v>
      </c>
      <c r="F2934" s="8">
        <v>1.0</v>
      </c>
      <c r="G2934" s="8">
        <v>1.0</v>
      </c>
      <c r="H2934" s="8">
        <v>1.0</v>
      </c>
      <c r="I2934" s="8">
        <v>1.0</v>
      </c>
      <c r="J2934" s="8">
        <v>1.0</v>
      </c>
      <c r="K2934" s="8">
        <v>1.0</v>
      </c>
      <c r="L2934" s="8">
        <v>6.0</v>
      </c>
      <c r="M2934" s="8"/>
      <c r="N2934" s="8"/>
      <c r="O2934" s="8" t="s">
        <v>839</v>
      </c>
      <c r="P2934" s="8" t="e">
        <v>#N/A</v>
      </c>
    </row>
    <row r="2935">
      <c r="A2935">
        <f>IFERROR(__xludf.DUMMYFUNCTION("""COMPUTED_VALUE"""),6.0)</f>
        <v>6</v>
      </c>
      <c r="B2935">
        <f>IFERROR(__xludf.DUMMYFUNCTION("""COMPUTED_VALUE"""),31015.0)</f>
        <v>31015</v>
      </c>
      <c r="C2935" t="str">
        <f>IFERROR(__xludf.DUMMYFUNCTION("""COMPUTED_VALUE"""),"BETANCUR PENAGOS, LORENZO")</f>
        <v>BETANCUR PENAGOS, LORENZO</v>
      </c>
      <c r="D2935" t="str">
        <f>IFERROR(__xludf.DUMMYFUNCTION("""COMPUTED_VALUE"""),"Symphony BandS2")</f>
        <v>Symphony BandS2</v>
      </c>
      <c r="E2935" s="31" t="str">
        <f>IFERROR(__xludf.DUMMYFUNCTION("""COMPUTED_VALUE"""),"5a")</f>
        <v>5a</v>
      </c>
      <c r="F2935" s="8">
        <v>1.0</v>
      </c>
      <c r="G2935" s="8">
        <v>1.0</v>
      </c>
      <c r="H2935" s="8">
        <v>1.0</v>
      </c>
      <c r="I2935" s="8">
        <v>1.0</v>
      </c>
      <c r="J2935" s="8">
        <v>1.0</v>
      </c>
      <c r="K2935" s="8">
        <v>1.0</v>
      </c>
      <c r="L2935" s="8">
        <v>6.0</v>
      </c>
      <c r="M2935" s="8"/>
      <c r="N2935" s="8"/>
      <c r="O2935" s="8" t="s">
        <v>834</v>
      </c>
      <c r="P2935" s="8" t="e">
        <v>#N/A</v>
      </c>
    </row>
    <row r="2936">
      <c r="A2936">
        <f>IFERROR(__xludf.DUMMYFUNCTION("""COMPUTED_VALUE"""),6.0)</f>
        <v>6</v>
      </c>
      <c r="B2936">
        <f>IFERROR(__xludf.DUMMYFUNCTION("""COMPUTED_VALUE"""),31016.0)</f>
        <v>31016</v>
      </c>
      <c r="C2936" t="str">
        <f>IFERROR(__xludf.DUMMYFUNCTION("""COMPUTED_VALUE"""),"BETANCUR ROBLEDO, VICENTE")</f>
        <v>BETANCUR ROBLEDO, VICENTE</v>
      </c>
      <c r="D2936" t="str">
        <f>IFERROR(__xludf.DUMMYFUNCTION("""COMPUTED_VALUE"""),"Art 6S2")</f>
        <v>Art 6S2</v>
      </c>
      <c r="E2936" s="31" t="str">
        <f>IFERROR(__xludf.DUMMYFUNCTION("""COMPUTED_VALUE"""),"6b")</f>
        <v>6b</v>
      </c>
      <c r="F2936" s="8">
        <v>1.0</v>
      </c>
      <c r="G2936" s="8">
        <v>1.0</v>
      </c>
      <c r="H2936" s="8">
        <v>1.0</v>
      </c>
      <c r="I2936" s="8">
        <v>1.0</v>
      </c>
      <c r="J2936" s="8">
        <v>1.0</v>
      </c>
      <c r="K2936" s="8">
        <v>1.0</v>
      </c>
      <c r="L2936" s="8">
        <v>6.0</v>
      </c>
      <c r="M2936" s="8"/>
      <c r="N2936" s="8"/>
      <c r="O2936" s="8" t="s">
        <v>840</v>
      </c>
      <c r="P2936" s="8" t="e">
        <v>#N/A</v>
      </c>
    </row>
    <row r="2937">
      <c r="A2937">
        <f>IFERROR(__xludf.DUMMYFUNCTION("""COMPUTED_VALUE"""),6.0)</f>
        <v>6</v>
      </c>
      <c r="B2937">
        <f>IFERROR(__xludf.DUMMYFUNCTION("""COMPUTED_VALUE"""),31166.0)</f>
        <v>31166</v>
      </c>
      <c r="C2937" t="str">
        <f>IFERROR(__xludf.DUMMYFUNCTION("""COMPUTED_VALUE"""),"BISHOP, XAVIER PATRICK")</f>
        <v>BISHOP, XAVIER PATRICK</v>
      </c>
      <c r="D2937" t="str">
        <f>IFERROR(__xludf.DUMMYFUNCTION("""COMPUTED_VALUE"""),"Tech 6S2")</f>
        <v>Tech 6S2</v>
      </c>
      <c r="E2937" s="31" t="str">
        <f>IFERROR(__xludf.DUMMYFUNCTION("""COMPUTED_VALUE"""),"6b")</f>
        <v>6b</v>
      </c>
      <c r="F2937" s="8">
        <v>1.0</v>
      </c>
      <c r="G2937" s="8">
        <v>1.0</v>
      </c>
      <c r="H2937" s="8">
        <v>1.0</v>
      </c>
      <c r="I2937" s="8">
        <v>1.0</v>
      </c>
      <c r="J2937" s="8">
        <v>1.0</v>
      </c>
      <c r="K2937" s="8">
        <v>1.0</v>
      </c>
      <c r="L2937" s="8">
        <v>6.0</v>
      </c>
      <c r="M2937" s="8"/>
      <c r="N2937" s="8"/>
      <c r="O2937" s="8" t="s">
        <v>839</v>
      </c>
      <c r="P2937" s="8" t="e">
        <v>#N/A</v>
      </c>
    </row>
    <row r="2938">
      <c r="A2938">
        <f>IFERROR(__xludf.DUMMYFUNCTION("""COMPUTED_VALUE"""),6.0)</f>
        <v>6</v>
      </c>
      <c r="B2938">
        <f>IFERROR(__xludf.DUMMYFUNCTION("""COMPUTED_VALUE"""),31152.0)</f>
        <v>31152</v>
      </c>
      <c r="C2938" t="str">
        <f>IFERROR(__xludf.DUMMYFUNCTION("""COMPUTED_VALUE"""),"BLANCO HENRIQUEZ, JUAN MARTIN")</f>
        <v>BLANCO HENRIQUEZ, JUAN MARTIN</v>
      </c>
      <c r="D2938" t="str">
        <f>IFERROR(__xludf.DUMMYFUNCTION("""COMPUTED_VALUE"""),"Symphony BandS2")</f>
        <v>Symphony BandS2</v>
      </c>
      <c r="E2938" s="31" t="str">
        <f>IFERROR(__xludf.DUMMYFUNCTION("""COMPUTED_VALUE"""),"5a")</f>
        <v>5a</v>
      </c>
      <c r="F2938" s="8">
        <v>1.0</v>
      </c>
      <c r="G2938" s="8">
        <v>1.0</v>
      </c>
      <c r="H2938" s="8">
        <v>1.0</v>
      </c>
      <c r="I2938" s="8">
        <v>1.0</v>
      </c>
      <c r="J2938" s="8">
        <v>1.0</v>
      </c>
      <c r="K2938" s="8">
        <v>1.0</v>
      </c>
      <c r="L2938" s="8">
        <v>6.0</v>
      </c>
      <c r="M2938" s="8"/>
      <c r="N2938" s="8"/>
      <c r="O2938" s="8" t="s">
        <v>834</v>
      </c>
      <c r="P2938" s="8" t="e">
        <v>#N/A</v>
      </c>
    </row>
    <row r="2939">
      <c r="A2939">
        <f>IFERROR(__xludf.DUMMYFUNCTION("""COMPUTED_VALUE"""),6.0)</f>
        <v>6</v>
      </c>
      <c r="B2939">
        <f>IFERROR(__xludf.DUMMYFUNCTION("""COMPUTED_VALUE"""),31017.0)</f>
        <v>31017</v>
      </c>
      <c r="C2939" t="str">
        <f>IFERROR(__xludf.DUMMYFUNCTION("""COMPUTED_VALUE"""),"BORDA AZCARATE, AGUSTIN")</f>
        <v>BORDA AZCARATE, AGUSTIN</v>
      </c>
      <c r="D2939" t="str">
        <f>IFERROR(__xludf.DUMMYFUNCTION("""COMPUTED_VALUE"""),"Symphony BandS2")</f>
        <v>Symphony BandS2</v>
      </c>
      <c r="E2939" s="31" t="str">
        <f>IFERROR(__xludf.DUMMYFUNCTION("""COMPUTED_VALUE"""),"5a")</f>
        <v>5a</v>
      </c>
      <c r="F2939" s="8">
        <v>1.0</v>
      </c>
      <c r="G2939" s="8">
        <v>1.0</v>
      </c>
      <c r="H2939" s="8">
        <v>1.0</v>
      </c>
      <c r="I2939" s="8">
        <v>1.0</v>
      </c>
      <c r="J2939" s="8">
        <v>1.0</v>
      </c>
      <c r="K2939" s="8">
        <v>1.0</v>
      </c>
      <c r="L2939" s="8">
        <v>6.0</v>
      </c>
      <c r="M2939" s="8"/>
      <c r="N2939" s="8"/>
      <c r="O2939" s="8" t="s">
        <v>834</v>
      </c>
      <c r="P2939" s="8" t="e">
        <v>#N/A</v>
      </c>
    </row>
    <row r="2940">
      <c r="A2940">
        <f>IFERROR(__xludf.DUMMYFUNCTION("""COMPUTED_VALUE"""),6.0)</f>
        <v>6</v>
      </c>
      <c r="B2940">
        <f>IFERROR(__xludf.DUMMYFUNCTION("""COMPUTED_VALUE"""),31019.0)</f>
        <v>31019</v>
      </c>
      <c r="C2940" t="str">
        <f>IFERROR(__xludf.DUMMYFUNCTION("""COMPUTED_VALUE"""),"BOTERO BOTERO, AMALIA")</f>
        <v>BOTERO BOTERO, AMALIA</v>
      </c>
      <c r="D2940" t="str">
        <f>IFERROR(__xludf.DUMMYFUNCTION("""COMPUTED_VALUE"""),"Tech 6S2")</f>
        <v>Tech 6S2</v>
      </c>
      <c r="E2940" s="31" t="str">
        <f>IFERROR(__xludf.DUMMYFUNCTION("""COMPUTED_VALUE"""),"4a")</f>
        <v>4a</v>
      </c>
      <c r="F2940" s="8">
        <v>1.0</v>
      </c>
      <c r="G2940" s="8">
        <v>1.0</v>
      </c>
      <c r="H2940" s="8">
        <v>1.0</v>
      </c>
      <c r="I2940" s="8">
        <v>1.0</v>
      </c>
      <c r="J2940" s="8">
        <v>1.0</v>
      </c>
      <c r="K2940" s="8">
        <v>1.0</v>
      </c>
      <c r="L2940" s="8">
        <v>6.0</v>
      </c>
      <c r="M2940" s="8"/>
      <c r="N2940" s="8"/>
      <c r="O2940" s="8" t="s">
        <v>833</v>
      </c>
      <c r="P2940" s="8" t="e">
        <v>#N/A</v>
      </c>
    </row>
    <row r="2941">
      <c r="A2941">
        <f>IFERROR(__xludf.DUMMYFUNCTION("""COMPUTED_VALUE"""),6.0)</f>
        <v>6</v>
      </c>
      <c r="B2941">
        <f>IFERROR(__xludf.DUMMYFUNCTION("""COMPUTED_VALUE"""),31020.0)</f>
        <v>31020</v>
      </c>
      <c r="C2941" t="str">
        <f>IFERROR(__xludf.DUMMYFUNCTION("""COMPUTED_VALUE"""),"BOTERO DEL CORRAL, MARTINA")</f>
        <v>BOTERO DEL CORRAL, MARTINA</v>
      </c>
      <c r="D2941" t="str">
        <f>IFERROR(__xludf.DUMMYFUNCTION("""COMPUTED_VALUE"""),"Tech 6S2")</f>
        <v>Tech 6S2</v>
      </c>
      <c r="E2941" s="31" t="str">
        <f>IFERROR(__xludf.DUMMYFUNCTION("""COMPUTED_VALUE"""),"2a")</f>
        <v>2a</v>
      </c>
      <c r="F2941" s="8">
        <v>1.0</v>
      </c>
      <c r="G2941" s="8">
        <v>1.0</v>
      </c>
      <c r="H2941" s="8">
        <v>1.0</v>
      </c>
      <c r="I2941" s="8">
        <v>1.0</v>
      </c>
      <c r="J2941" s="8">
        <v>1.0</v>
      </c>
      <c r="K2941" s="8">
        <v>1.0</v>
      </c>
      <c r="L2941" s="8">
        <v>6.0</v>
      </c>
      <c r="M2941" s="8"/>
      <c r="N2941" s="8"/>
      <c r="O2941" s="8" t="s">
        <v>841</v>
      </c>
      <c r="P2941" s="8" t="e">
        <v>#N/A</v>
      </c>
    </row>
    <row r="2942">
      <c r="A2942">
        <f>IFERROR(__xludf.DUMMYFUNCTION("""COMPUTED_VALUE"""),6.0)</f>
        <v>6</v>
      </c>
      <c r="B2942">
        <f>IFERROR(__xludf.DUMMYFUNCTION("""COMPUTED_VALUE"""),31018.0)</f>
        <v>31018</v>
      </c>
      <c r="C2942" t="str">
        <f>IFERROR(__xludf.DUMMYFUNCTION("""COMPUTED_VALUE"""),"BOTERO MONTOYA, MATIAS")</f>
        <v>BOTERO MONTOYA, MATIAS</v>
      </c>
      <c r="D2942" t="str">
        <f>IFERROR(__xludf.DUMMYFUNCTION("""COMPUTED_VALUE"""),"Symphony BandS2")</f>
        <v>Symphony BandS2</v>
      </c>
      <c r="E2942" s="31" t="str">
        <f>IFERROR(__xludf.DUMMYFUNCTION("""COMPUTED_VALUE"""),"5a")</f>
        <v>5a</v>
      </c>
      <c r="F2942" s="8">
        <v>1.0</v>
      </c>
      <c r="G2942" s="8">
        <v>1.0</v>
      </c>
      <c r="H2942" s="8">
        <v>1.0</v>
      </c>
      <c r="I2942" s="8">
        <v>1.0</v>
      </c>
      <c r="J2942" s="8">
        <v>1.0</v>
      </c>
      <c r="K2942" s="8">
        <v>1.0</v>
      </c>
      <c r="L2942" s="8">
        <v>6.0</v>
      </c>
      <c r="M2942" s="8"/>
      <c r="N2942" s="8"/>
      <c r="O2942" s="8" t="s">
        <v>834</v>
      </c>
      <c r="P2942" s="8" t="e">
        <v>#N/A</v>
      </c>
    </row>
    <row r="2943">
      <c r="A2943">
        <f>IFERROR(__xludf.DUMMYFUNCTION("""COMPUTED_VALUE"""),6.0)</f>
        <v>6</v>
      </c>
      <c r="B2943">
        <f>IFERROR(__xludf.DUMMYFUNCTION("""COMPUTED_VALUE"""),31022.0)</f>
        <v>31022</v>
      </c>
      <c r="C2943" t="str">
        <f>IFERROR(__xludf.DUMMYFUNCTION("""COMPUTED_VALUE"""),"CALDWELL VALLEJO, MAX")</f>
        <v>CALDWELL VALLEJO, MAX</v>
      </c>
      <c r="D2943" t="str">
        <f>IFERROR(__xludf.DUMMYFUNCTION("""COMPUTED_VALUE"""),"Art 6S2")</f>
        <v>Art 6S2</v>
      </c>
      <c r="E2943" s="31" t="str">
        <f>IFERROR(__xludf.DUMMYFUNCTION("""COMPUTED_VALUE"""),"4a")</f>
        <v>4a</v>
      </c>
      <c r="F2943" s="8">
        <v>1.0</v>
      </c>
      <c r="G2943" s="8">
        <v>1.0</v>
      </c>
      <c r="H2943" s="8">
        <v>1.0</v>
      </c>
      <c r="I2943" s="8">
        <v>1.0</v>
      </c>
      <c r="J2943" s="8">
        <v>1.0</v>
      </c>
      <c r="K2943" s="8">
        <v>1.0</v>
      </c>
      <c r="L2943" s="8">
        <v>6.0</v>
      </c>
      <c r="M2943" s="8"/>
      <c r="N2943" s="8"/>
      <c r="O2943" s="8" t="s">
        <v>837</v>
      </c>
      <c r="P2943" s="8" t="e">
        <v>#N/A</v>
      </c>
    </row>
    <row r="2944">
      <c r="A2944">
        <f>IFERROR(__xludf.DUMMYFUNCTION("""COMPUTED_VALUE"""),6.0)</f>
        <v>6</v>
      </c>
      <c r="B2944">
        <f>IFERROR(__xludf.DUMMYFUNCTION("""COMPUTED_VALUE"""),31023.0)</f>
        <v>31023</v>
      </c>
      <c r="C2944" t="str">
        <f>IFERROR(__xludf.DUMMYFUNCTION("""COMPUTED_VALUE"""),"CAPMARTIN GOMEZ, VALERIA")</f>
        <v>CAPMARTIN GOMEZ, VALERIA</v>
      </c>
      <c r="D2944" t="str">
        <f>IFERROR(__xludf.DUMMYFUNCTION("""COMPUTED_VALUE"""),"Regular BandS2")</f>
        <v>Regular BandS2</v>
      </c>
      <c r="E2944" s="31" t="str">
        <f>IFERROR(__xludf.DUMMYFUNCTION("""COMPUTED_VALUE"""),"6a")</f>
        <v>6a</v>
      </c>
      <c r="F2944" s="8">
        <v>1.0</v>
      </c>
      <c r="G2944" s="8">
        <v>1.0</v>
      </c>
      <c r="H2944" s="8">
        <v>1.0</v>
      </c>
      <c r="I2944" s="8">
        <v>1.0</v>
      </c>
      <c r="J2944" s="8">
        <v>1.0</v>
      </c>
      <c r="K2944" s="8">
        <v>1.0</v>
      </c>
      <c r="L2944" s="8">
        <v>6.0</v>
      </c>
      <c r="M2944" s="8"/>
      <c r="N2944" s="8"/>
      <c r="O2944" s="8" t="s">
        <v>835</v>
      </c>
      <c r="P2944" s="8" t="e">
        <v>#N/A</v>
      </c>
    </row>
    <row r="2945">
      <c r="A2945">
        <f>IFERROR(__xludf.DUMMYFUNCTION("""COMPUTED_VALUE"""),6.0)</f>
        <v>6</v>
      </c>
      <c r="B2945">
        <f>IFERROR(__xludf.DUMMYFUNCTION("""COMPUTED_VALUE"""),31024.0)</f>
        <v>31024</v>
      </c>
      <c r="C2945" t="str">
        <f>IFERROR(__xludf.DUMMYFUNCTION("""COMPUTED_VALUE"""),"CARDONA VELEZ, ALICIA")</f>
        <v>CARDONA VELEZ, ALICIA</v>
      </c>
      <c r="D2945" t="str">
        <f>IFERROR(__xludf.DUMMYFUNCTION("""COMPUTED_VALUE"""),"Art 6S2")</f>
        <v>Art 6S2</v>
      </c>
      <c r="E2945" s="31" t="str">
        <f>IFERROR(__xludf.DUMMYFUNCTION("""COMPUTED_VALUE"""),"2a")</f>
        <v>2a</v>
      </c>
      <c r="F2945" s="8">
        <v>1.0</v>
      </c>
      <c r="G2945" s="8">
        <v>1.0</v>
      </c>
      <c r="H2945" s="8">
        <v>1.0</v>
      </c>
      <c r="I2945" s="8">
        <v>1.0</v>
      </c>
      <c r="J2945" s="8">
        <v>1.0</v>
      </c>
      <c r="K2945" s="8">
        <v>1.0</v>
      </c>
      <c r="L2945" s="8">
        <v>6.0</v>
      </c>
      <c r="M2945" s="8"/>
      <c r="N2945" s="8"/>
      <c r="O2945" s="8" t="s">
        <v>842</v>
      </c>
      <c r="P2945" s="8" t="e">
        <v>#N/A</v>
      </c>
    </row>
    <row r="2946">
      <c r="A2946">
        <f>IFERROR(__xludf.DUMMYFUNCTION("""COMPUTED_VALUE"""),6.0)</f>
        <v>6</v>
      </c>
      <c r="B2946">
        <f>IFERROR(__xludf.DUMMYFUNCTION("""COMPUTED_VALUE"""),31025.0)</f>
        <v>31025</v>
      </c>
      <c r="C2946" t="str">
        <f>IFERROR(__xludf.DUMMYFUNCTION("""COMPUTED_VALUE"""),"CORREA ALVAREZ, EMILIO")</f>
        <v>CORREA ALVAREZ, EMILIO</v>
      </c>
      <c r="D2946" t="str">
        <f>IFERROR(__xludf.DUMMYFUNCTION("""COMPUTED_VALUE"""),"Symphony BandS2")</f>
        <v>Symphony BandS2</v>
      </c>
      <c r="E2946" s="31" t="str">
        <f>IFERROR(__xludf.DUMMYFUNCTION("""COMPUTED_VALUE"""),"5a")</f>
        <v>5a</v>
      </c>
      <c r="F2946" s="8">
        <v>1.0</v>
      </c>
      <c r="G2946" s="8">
        <v>1.0</v>
      </c>
      <c r="H2946" s="8">
        <v>1.0</v>
      </c>
      <c r="I2946" s="8">
        <v>1.0</v>
      </c>
      <c r="J2946" s="8">
        <v>1.0</v>
      </c>
      <c r="K2946" s="8">
        <v>1.0</v>
      </c>
      <c r="L2946" s="8">
        <v>6.0</v>
      </c>
      <c r="M2946" s="8"/>
      <c r="N2946" s="8"/>
      <c r="O2946" s="8" t="s">
        <v>834</v>
      </c>
      <c r="P2946" s="8" t="e">
        <v>#N/A</v>
      </c>
    </row>
    <row r="2947">
      <c r="A2947">
        <f>IFERROR(__xludf.DUMMYFUNCTION("""COMPUTED_VALUE"""),6.0)</f>
        <v>6</v>
      </c>
      <c r="B2947">
        <f>IFERROR(__xludf.DUMMYFUNCTION("""COMPUTED_VALUE"""),31026.0)</f>
        <v>31026</v>
      </c>
      <c r="C2947" t="str">
        <f>IFERROR(__xludf.DUMMYFUNCTION("""COMPUTED_VALUE"""),"CORTES ARANGO, JUAN MARTIN")</f>
        <v>CORTES ARANGO, JUAN MARTIN</v>
      </c>
      <c r="D2947" t="str">
        <f>IFERROR(__xludf.DUMMYFUNCTION("""COMPUTED_VALUE"""),"Tech 6S2")</f>
        <v>Tech 6S2</v>
      </c>
      <c r="E2947" s="31" t="str">
        <f>IFERROR(__xludf.DUMMYFUNCTION("""COMPUTED_VALUE"""),"4a")</f>
        <v>4a</v>
      </c>
      <c r="F2947" s="8">
        <v>1.0</v>
      </c>
      <c r="G2947" s="8">
        <v>1.0</v>
      </c>
      <c r="H2947" s="8">
        <v>1.0</v>
      </c>
      <c r="I2947" s="8">
        <v>1.0</v>
      </c>
      <c r="J2947" s="8">
        <v>1.0</v>
      </c>
      <c r="K2947" s="8">
        <v>1.0</v>
      </c>
      <c r="L2947" s="8">
        <v>6.0</v>
      </c>
      <c r="M2947" s="8"/>
      <c r="N2947" s="8"/>
      <c r="O2947" s="8" t="s">
        <v>833</v>
      </c>
      <c r="P2947" s="8" t="e">
        <v>#N/A</v>
      </c>
    </row>
    <row r="2948">
      <c r="A2948">
        <f>IFERROR(__xludf.DUMMYFUNCTION("""COMPUTED_VALUE"""),6.0)</f>
        <v>6</v>
      </c>
      <c r="B2948">
        <f>IFERROR(__xludf.DUMMYFUNCTION("""COMPUTED_VALUE"""),31027.0)</f>
        <v>31027</v>
      </c>
      <c r="C2948" t="str">
        <f>IFERROR(__xludf.DUMMYFUNCTION("""COMPUTED_VALUE"""),"CUARTAS GOMEZ, SANTIAGO")</f>
        <v>CUARTAS GOMEZ, SANTIAGO</v>
      </c>
      <c r="D2948" t="str">
        <f>IFERROR(__xludf.DUMMYFUNCTION("""COMPUTED_VALUE"""),"Art 6S2")</f>
        <v>Art 6S2</v>
      </c>
      <c r="E2948" s="31" t="str">
        <f>IFERROR(__xludf.DUMMYFUNCTION("""COMPUTED_VALUE"""),"6b")</f>
        <v>6b</v>
      </c>
      <c r="F2948" s="8">
        <v>1.0</v>
      </c>
      <c r="G2948" s="8">
        <v>1.0</v>
      </c>
      <c r="H2948" s="8">
        <v>1.0</v>
      </c>
      <c r="I2948" s="8">
        <v>1.0</v>
      </c>
      <c r="J2948" s="8">
        <v>1.0</v>
      </c>
      <c r="K2948" s="8">
        <v>1.0</v>
      </c>
      <c r="L2948" s="8">
        <v>6.0</v>
      </c>
      <c r="M2948" s="8"/>
      <c r="N2948" s="8"/>
      <c r="O2948" s="8" t="s">
        <v>840</v>
      </c>
      <c r="P2948" s="8" t="e">
        <v>#N/A</v>
      </c>
    </row>
    <row r="2949">
      <c r="A2949">
        <f>IFERROR(__xludf.DUMMYFUNCTION("""COMPUTED_VALUE"""),6.0)</f>
        <v>6</v>
      </c>
      <c r="B2949">
        <f>IFERROR(__xludf.DUMMYFUNCTION("""COMPUTED_VALUE"""),31028.0)</f>
        <v>31028</v>
      </c>
      <c r="C2949" t="str">
        <f>IFERROR(__xludf.DUMMYFUNCTION("""COMPUTED_VALUE"""),"DE HOMMEL COCK, ARTHUR JEAN")</f>
        <v>DE HOMMEL COCK, ARTHUR JEAN</v>
      </c>
      <c r="D2949" t="str">
        <f>IFERROR(__xludf.DUMMYFUNCTION("""COMPUTED_VALUE"""),"Tech 6S2")</f>
        <v>Tech 6S2</v>
      </c>
      <c r="E2949" s="31" t="str">
        <f>IFERROR(__xludf.DUMMYFUNCTION("""COMPUTED_VALUE"""),"2a")</f>
        <v>2a</v>
      </c>
      <c r="F2949" s="8">
        <v>1.0</v>
      </c>
      <c r="G2949" s="8">
        <v>1.0</v>
      </c>
      <c r="H2949" s="8">
        <v>1.0</v>
      </c>
      <c r="I2949" s="8">
        <v>1.0</v>
      </c>
      <c r="J2949" s="8">
        <v>1.0</v>
      </c>
      <c r="K2949" s="8">
        <v>1.0</v>
      </c>
      <c r="L2949" s="8">
        <v>6.0</v>
      </c>
      <c r="M2949" s="8"/>
      <c r="N2949" s="8"/>
      <c r="O2949" s="8" t="s">
        <v>841</v>
      </c>
      <c r="P2949" s="8" t="e">
        <v>#N/A</v>
      </c>
    </row>
    <row r="2950">
      <c r="A2950">
        <f>IFERROR(__xludf.DUMMYFUNCTION("""COMPUTED_VALUE"""),6.0)</f>
        <v>6</v>
      </c>
      <c r="B2950">
        <f>IFERROR(__xludf.DUMMYFUNCTION("""COMPUTED_VALUE"""),31029.0)</f>
        <v>31029</v>
      </c>
      <c r="C2950" t="str">
        <f>IFERROR(__xludf.DUMMYFUNCTION("""COMPUTED_VALUE"""),"DE KOLLER GAVIRIA, PAOLO")</f>
        <v>DE KOLLER GAVIRIA, PAOLO</v>
      </c>
      <c r="D2950" t="str">
        <f>IFERROR(__xludf.DUMMYFUNCTION("""COMPUTED_VALUE"""),"Regular BandS2")</f>
        <v>Regular BandS2</v>
      </c>
      <c r="E2950" s="31" t="str">
        <f>IFERROR(__xludf.DUMMYFUNCTION("""COMPUTED_VALUE"""),"6a")</f>
        <v>6a</v>
      </c>
      <c r="F2950" s="8">
        <v>1.0</v>
      </c>
      <c r="G2950" s="8">
        <v>1.0</v>
      </c>
      <c r="H2950" s="8">
        <v>1.0</v>
      </c>
      <c r="I2950" s="8">
        <v>1.0</v>
      </c>
      <c r="J2950" s="8">
        <v>1.0</v>
      </c>
      <c r="K2950" s="8">
        <v>1.0</v>
      </c>
      <c r="L2950" s="8">
        <v>6.0</v>
      </c>
      <c r="M2950" s="8"/>
      <c r="N2950" s="8"/>
      <c r="O2950" s="8" t="s">
        <v>835</v>
      </c>
      <c r="P2950" s="8" t="e">
        <v>#N/A</v>
      </c>
    </row>
    <row r="2951">
      <c r="A2951">
        <f>IFERROR(__xludf.DUMMYFUNCTION("""COMPUTED_VALUE"""),6.0)</f>
        <v>6</v>
      </c>
      <c r="B2951">
        <f>IFERROR(__xludf.DUMMYFUNCTION("""COMPUTED_VALUE"""),31030.0)</f>
        <v>31030</v>
      </c>
      <c r="C2951" t="str">
        <f>IFERROR(__xludf.DUMMYFUNCTION("""COMPUTED_VALUE"""),"DE KOLLER GAVIRIA, ROMEO")</f>
        <v>DE KOLLER GAVIRIA, ROMEO</v>
      </c>
      <c r="D2951" t="str">
        <f>IFERROR(__xludf.DUMMYFUNCTION("""COMPUTED_VALUE"""),"Symphony BandS2")</f>
        <v>Symphony BandS2</v>
      </c>
      <c r="E2951" s="31" t="str">
        <f>IFERROR(__xludf.DUMMYFUNCTION("""COMPUTED_VALUE"""),"5a")</f>
        <v>5a</v>
      </c>
      <c r="F2951" s="8">
        <v>1.0</v>
      </c>
      <c r="G2951" s="8">
        <v>1.0</v>
      </c>
      <c r="H2951" s="8">
        <v>1.0</v>
      </c>
      <c r="I2951" s="8">
        <v>1.0</v>
      </c>
      <c r="J2951" s="8">
        <v>1.0</v>
      </c>
      <c r="K2951" s="8">
        <v>1.0</v>
      </c>
      <c r="L2951" s="8">
        <v>6.0</v>
      </c>
      <c r="M2951" s="8"/>
      <c r="N2951" s="8"/>
      <c r="O2951" s="8" t="s">
        <v>834</v>
      </c>
      <c r="P2951" s="8" t="e">
        <v>#N/A</v>
      </c>
    </row>
    <row r="2952">
      <c r="A2952">
        <f>IFERROR(__xludf.DUMMYFUNCTION("""COMPUTED_VALUE"""),6.0)</f>
        <v>6</v>
      </c>
      <c r="B2952">
        <f>IFERROR(__xludf.DUMMYFUNCTION("""COMPUTED_VALUE"""),31032.0)</f>
        <v>31032</v>
      </c>
      <c r="C2952" t="str">
        <f>IFERROR(__xludf.DUMMYFUNCTION("""COMPUTED_VALUE"""),"DE LOS RIOS AGUDELO, MARTIN")</f>
        <v>DE LOS RIOS AGUDELO, MARTIN</v>
      </c>
      <c r="D2952" t="str">
        <f>IFERROR(__xludf.DUMMYFUNCTION("""COMPUTED_VALUE"""),"Symphony BandS2")</f>
        <v>Symphony BandS2</v>
      </c>
      <c r="E2952" s="31" t="str">
        <f>IFERROR(__xludf.DUMMYFUNCTION("""COMPUTED_VALUE"""),"5a")</f>
        <v>5a</v>
      </c>
      <c r="F2952" s="8">
        <v>1.0</v>
      </c>
      <c r="G2952" s="8">
        <v>1.0</v>
      </c>
      <c r="H2952" s="8">
        <v>1.0</v>
      </c>
      <c r="I2952" s="8">
        <v>1.0</v>
      </c>
      <c r="J2952" s="8">
        <v>1.0</v>
      </c>
      <c r="K2952" s="8">
        <v>1.0</v>
      </c>
      <c r="L2952" s="8">
        <v>6.0</v>
      </c>
      <c r="M2952" s="8"/>
      <c r="N2952" s="8"/>
      <c r="O2952" s="8" t="s">
        <v>834</v>
      </c>
      <c r="P2952" s="8" t="e">
        <v>#N/A</v>
      </c>
    </row>
    <row r="2953">
      <c r="A2953">
        <f>IFERROR(__xludf.DUMMYFUNCTION("""COMPUTED_VALUE"""),6.0)</f>
        <v>6</v>
      </c>
      <c r="B2953">
        <f>IFERROR(__xludf.DUMMYFUNCTION("""COMPUTED_VALUE"""),31031.0)</f>
        <v>31031</v>
      </c>
      <c r="C2953" t="str">
        <f>IFERROR(__xludf.DUMMYFUNCTION("""COMPUTED_VALUE"""),"DE LOS RIOS AGUDELO, MATIAS")</f>
        <v>DE LOS RIOS AGUDELO, MATIAS</v>
      </c>
      <c r="D2953" t="str">
        <f>IFERROR(__xludf.DUMMYFUNCTION("""COMPUTED_VALUE"""),"Symphony BandS2")</f>
        <v>Symphony BandS2</v>
      </c>
      <c r="E2953" s="31" t="str">
        <f>IFERROR(__xludf.DUMMYFUNCTION("""COMPUTED_VALUE"""),"5a")</f>
        <v>5a</v>
      </c>
      <c r="F2953" s="8">
        <v>1.0</v>
      </c>
      <c r="G2953" s="8">
        <v>1.0</v>
      </c>
      <c r="H2953" s="8">
        <v>1.0</v>
      </c>
      <c r="I2953" s="8">
        <v>1.0</v>
      </c>
      <c r="J2953" s="8">
        <v>1.0</v>
      </c>
      <c r="K2953" s="8">
        <v>1.0</v>
      </c>
      <c r="L2953" s="8">
        <v>6.0</v>
      </c>
      <c r="M2953" s="8"/>
      <c r="N2953" s="8"/>
      <c r="O2953" s="8" t="s">
        <v>834</v>
      </c>
      <c r="P2953" s="8" t="e">
        <v>#N/A</v>
      </c>
    </row>
    <row r="2954">
      <c r="A2954">
        <f>IFERROR(__xludf.DUMMYFUNCTION("""COMPUTED_VALUE"""),6.0)</f>
        <v>6</v>
      </c>
      <c r="B2954">
        <f>IFERROR(__xludf.DUMMYFUNCTION("""COMPUTED_VALUE"""),31168.0)</f>
        <v>31168</v>
      </c>
      <c r="C2954" t="str">
        <f>IFERROR(__xludf.DUMMYFUNCTION("""COMPUTED_VALUE"""),"DE MUNCK MORTIER, LUCA")</f>
        <v>DE MUNCK MORTIER, LUCA</v>
      </c>
      <c r="D2954" t="str">
        <f>IFERROR(__xludf.DUMMYFUNCTION("""COMPUTED_VALUE"""),"Art 6S2")</f>
        <v>Art 6S2</v>
      </c>
      <c r="E2954" s="31" t="str">
        <f>IFERROR(__xludf.DUMMYFUNCTION("""COMPUTED_VALUE"""),"1b")</f>
        <v>1b</v>
      </c>
      <c r="F2954" s="8">
        <v>1.0</v>
      </c>
      <c r="G2954" s="8">
        <v>1.0</v>
      </c>
      <c r="H2954" s="8">
        <v>1.0</v>
      </c>
      <c r="I2954" s="8">
        <v>1.0</v>
      </c>
      <c r="J2954" s="8">
        <v>1.0</v>
      </c>
      <c r="K2954" s="8">
        <v>1.0</v>
      </c>
      <c r="L2954" s="8">
        <v>6.0</v>
      </c>
      <c r="M2954" s="8"/>
      <c r="N2954" s="8"/>
      <c r="O2954" s="8" t="s">
        <v>836</v>
      </c>
      <c r="P2954" s="8" t="e">
        <v>#N/A</v>
      </c>
    </row>
    <row r="2955">
      <c r="A2955">
        <f>IFERROR(__xludf.DUMMYFUNCTION("""COMPUTED_VALUE"""),6.0)</f>
        <v>6</v>
      </c>
      <c r="B2955">
        <f>IFERROR(__xludf.DUMMYFUNCTION("""COMPUTED_VALUE"""),31163.0)</f>
        <v>31163</v>
      </c>
      <c r="C2955" t="str">
        <f>IFERROR(__xludf.DUMMYFUNCTION("""COMPUTED_VALUE"""),"DOMINGUEZ JORGENSEN, GABRIEL")</f>
        <v>DOMINGUEZ JORGENSEN, GABRIEL</v>
      </c>
      <c r="D2955" t="str">
        <f>IFERROR(__xludf.DUMMYFUNCTION("""COMPUTED_VALUE"""),"Art 6S2")</f>
        <v>Art 6S2</v>
      </c>
      <c r="E2955" s="31" t="str">
        <f>IFERROR(__xludf.DUMMYFUNCTION("""COMPUTED_VALUE"""),"2a")</f>
        <v>2a</v>
      </c>
      <c r="F2955" s="8">
        <v>1.0</v>
      </c>
      <c r="G2955" s="8">
        <v>1.0</v>
      </c>
      <c r="H2955" s="8">
        <v>1.0</v>
      </c>
      <c r="I2955" s="8">
        <v>1.0</v>
      </c>
      <c r="J2955" s="8">
        <v>1.0</v>
      </c>
      <c r="K2955" s="8">
        <v>1.0</v>
      </c>
      <c r="L2955" s="8">
        <v>6.0</v>
      </c>
      <c r="M2955" s="8"/>
      <c r="N2955" s="8"/>
      <c r="O2955" s="8" t="s">
        <v>842</v>
      </c>
      <c r="P2955" s="8" t="e">
        <v>#N/A</v>
      </c>
    </row>
    <row r="2956">
      <c r="A2956">
        <f>IFERROR(__xludf.DUMMYFUNCTION("""COMPUTED_VALUE"""),6.0)</f>
        <v>6</v>
      </c>
      <c r="B2956">
        <f>IFERROR(__xludf.DUMMYFUNCTION("""COMPUTED_VALUE"""),31167.0)</f>
        <v>31167</v>
      </c>
      <c r="C2956" t="str">
        <f>IFERROR(__xludf.DUMMYFUNCTION("""COMPUTED_VALUE"""),"DUQUE, JACOB")</f>
        <v>DUQUE, JACOB</v>
      </c>
      <c r="D2956" t="str">
        <f>IFERROR(__xludf.DUMMYFUNCTION("""COMPUTED_VALUE"""),"Tech 6S2")</f>
        <v>Tech 6S2</v>
      </c>
      <c r="E2956" s="31" t="str">
        <f>IFERROR(__xludf.DUMMYFUNCTION("""COMPUTED_VALUE"""),"6b")</f>
        <v>6b</v>
      </c>
      <c r="F2956" s="8">
        <v>1.0</v>
      </c>
      <c r="G2956" s="8">
        <v>1.0</v>
      </c>
      <c r="H2956" s="8">
        <v>1.0</v>
      </c>
      <c r="I2956" s="8">
        <v>1.0</v>
      </c>
      <c r="J2956" s="8">
        <v>1.0</v>
      </c>
      <c r="K2956" s="8">
        <v>1.0</v>
      </c>
      <c r="L2956" s="8">
        <v>6.0</v>
      </c>
      <c r="M2956" s="8"/>
      <c r="N2956" s="8"/>
      <c r="O2956" s="8" t="s">
        <v>839</v>
      </c>
      <c r="P2956" s="8" t="e">
        <v>#N/A</v>
      </c>
    </row>
    <row r="2957">
      <c r="A2957">
        <f>IFERROR(__xludf.DUMMYFUNCTION("""COMPUTED_VALUE"""),6.0)</f>
        <v>6</v>
      </c>
      <c r="B2957">
        <f>IFERROR(__xludf.DUMMYFUNCTION("""COMPUTED_VALUE"""),30041.0)</f>
        <v>30041</v>
      </c>
      <c r="C2957" t="str">
        <f>IFERROR(__xludf.DUMMYFUNCTION("""COMPUTED_VALUE"""),"ESPINAL MONTOYA, ARIANA")</f>
        <v>ESPINAL MONTOYA, ARIANA</v>
      </c>
      <c r="D2957" t="str">
        <f>IFERROR(__xludf.DUMMYFUNCTION("""COMPUTED_VALUE"""),"Art 6S2")</f>
        <v>Art 6S2</v>
      </c>
      <c r="E2957" s="31" t="str">
        <f>IFERROR(__xludf.DUMMYFUNCTION("""COMPUTED_VALUE"""),"6b")</f>
        <v>6b</v>
      </c>
      <c r="F2957" s="8">
        <v>1.0</v>
      </c>
      <c r="G2957" s="8">
        <v>1.0</v>
      </c>
      <c r="H2957" s="8">
        <v>1.0</v>
      </c>
      <c r="I2957" s="8">
        <v>1.0</v>
      </c>
      <c r="J2957" s="8">
        <v>1.0</v>
      </c>
      <c r="K2957" s="8">
        <v>1.0</v>
      </c>
      <c r="L2957" s="8">
        <v>6.0</v>
      </c>
      <c r="M2957" s="8"/>
      <c r="N2957" s="8"/>
      <c r="O2957" s="8" t="s">
        <v>840</v>
      </c>
      <c r="P2957" s="8" t="e">
        <v>#N/A</v>
      </c>
    </row>
    <row r="2958">
      <c r="A2958">
        <f>IFERROR(__xludf.DUMMYFUNCTION("""COMPUTED_VALUE"""),6.0)</f>
        <v>6</v>
      </c>
      <c r="B2958">
        <f>IFERROR(__xludf.DUMMYFUNCTION("""COMPUTED_VALUE"""),31034.0)</f>
        <v>31034</v>
      </c>
      <c r="C2958" t="str">
        <f>IFERROR(__xludf.DUMMYFUNCTION("""COMPUTED_VALUE"""),"ESPINOSA ABAD, MARTINA")</f>
        <v>ESPINOSA ABAD, MARTINA</v>
      </c>
      <c r="D2958" t="str">
        <f>IFERROR(__xludf.DUMMYFUNCTION("""COMPUTED_VALUE"""),"Tech 6S2")</f>
        <v>Tech 6S2</v>
      </c>
      <c r="E2958" s="31" t="str">
        <f>IFERROR(__xludf.DUMMYFUNCTION("""COMPUTED_VALUE"""),"2a")</f>
        <v>2a</v>
      </c>
      <c r="F2958" s="8">
        <v>1.0</v>
      </c>
      <c r="G2958" s="8">
        <v>1.0</v>
      </c>
      <c r="H2958" s="8">
        <v>1.0</v>
      </c>
      <c r="I2958" s="8">
        <v>1.0</v>
      </c>
      <c r="J2958" s="8">
        <v>1.0</v>
      </c>
      <c r="K2958" s="8">
        <v>1.0</v>
      </c>
      <c r="L2958" s="8">
        <v>6.0</v>
      </c>
      <c r="M2958" s="8"/>
      <c r="N2958" s="8"/>
      <c r="O2958" s="8" t="s">
        <v>841</v>
      </c>
      <c r="P2958" s="8" t="e">
        <v>#N/A</v>
      </c>
    </row>
    <row r="2959">
      <c r="A2959">
        <f>IFERROR(__xludf.DUMMYFUNCTION("""COMPUTED_VALUE"""),6.0)</f>
        <v>6</v>
      </c>
      <c r="B2959">
        <f>IFERROR(__xludf.DUMMYFUNCTION("""COMPUTED_VALUE"""),31037.0)</f>
        <v>31037</v>
      </c>
      <c r="C2959" t="str">
        <f>IFERROR(__xludf.DUMMYFUNCTION("""COMPUTED_VALUE"""),"FERNANDEZ GUTIERREZ, MARIA JOSE")</f>
        <v>FERNANDEZ GUTIERREZ, MARIA JOSE</v>
      </c>
      <c r="D2959" t="str">
        <f>IFERROR(__xludf.DUMMYFUNCTION("""COMPUTED_VALUE"""),"Art 6S2")</f>
        <v>Art 6S2</v>
      </c>
      <c r="E2959" s="31" t="str">
        <f>IFERROR(__xludf.DUMMYFUNCTION("""COMPUTED_VALUE"""),"4a")</f>
        <v>4a</v>
      </c>
      <c r="F2959" s="8">
        <v>1.0</v>
      </c>
      <c r="G2959" s="8">
        <v>1.0</v>
      </c>
      <c r="H2959" s="8">
        <v>1.0</v>
      </c>
      <c r="I2959" s="8">
        <v>1.0</v>
      </c>
      <c r="J2959" s="8">
        <v>1.0</v>
      </c>
      <c r="K2959" s="8">
        <v>1.0</v>
      </c>
      <c r="L2959" s="8">
        <v>6.0</v>
      </c>
      <c r="M2959" s="8"/>
      <c r="N2959" s="8"/>
      <c r="O2959" s="8" t="s">
        <v>837</v>
      </c>
      <c r="P2959" s="8" t="e">
        <v>#N/A</v>
      </c>
    </row>
    <row r="2960">
      <c r="A2960">
        <f>IFERROR(__xludf.DUMMYFUNCTION("""COMPUTED_VALUE"""),6.0)</f>
        <v>6</v>
      </c>
      <c r="B2960">
        <f>IFERROR(__xludf.DUMMYFUNCTION("""COMPUTED_VALUE"""),31039.0)</f>
        <v>31039</v>
      </c>
      <c r="C2960" t="str">
        <f>IFERROR(__xludf.DUMMYFUNCTION("""COMPUTED_VALUE"""),"GALLEGO OCAMPO, MARTIN")</f>
        <v>GALLEGO OCAMPO, MARTIN</v>
      </c>
      <c r="D2960" t="str">
        <f>IFERROR(__xludf.DUMMYFUNCTION("""COMPUTED_VALUE"""),"Regular BandS2")</f>
        <v>Regular BandS2</v>
      </c>
      <c r="E2960" s="31" t="str">
        <f>IFERROR(__xludf.DUMMYFUNCTION("""COMPUTED_VALUE"""),"6a")</f>
        <v>6a</v>
      </c>
      <c r="F2960" s="8">
        <v>1.0</v>
      </c>
      <c r="G2960" s="8">
        <v>1.0</v>
      </c>
      <c r="H2960" s="8">
        <v>1.0</v>
      </c>
      <c r="I2960" s="8">
        <v>1.0</v>
      </c>
      <c r="J2960" s="8">
        <v>1.0</v>
      </c>
      <c r="K2960" s="8">
        <v>1.0</v>
      </c>
      <c r="L2960" s="8">
        <v>6.0</v>
      </c>
      <c r="M2960" s="8"/>
      <c r="N2960" s="8"/>
      <c r="O2960" s="8" t="s">
        <v>835</v>
      </c>
      <c r="P2960" s="8" t="e">
        <v>#N/A</v>
      </c>
    </row>
    <row r="2961">
      <c r="A2961">
        <f>IFERROR(__xludf.DUMMYFUNCTION("""COMPUTED_VALUE"""),6.0)</f>
        <v>6</v>
      </c>
      <c r="B2961">
        <f>IFERROR(__xludf.DUMMYFUNCTION("""COMPUTED_VALUE"""),31040.0)</f>
        <v>31040</v>
      </c>
      <c r="C2961" t="str">
        <f>IFERROR(__xludf.DUMMYFUNCTION("""COMPUTED_VALUE"""),"GARCIA ISAZA, VIOLETA")</f>
        <v>GARCIA ISAZA, VIOLETA</v>
      </c>
      <c r="D2961" t="str">
        <f>IFERROR(__xludf.DUMMYFUNCTION("""COMPUTED_VALUE"""),"Art 6S2")</f>
        <v>Art 6S2</v>
      </c>
      <c r="E2961" s="31" t="str">
        <f>IFERROR(__xludf.DUMMYFUNCTION("""COMPUTED_VALUE"""),"2a")</f>
        <v>2a</v>
      </c>
      <c r="F2961" s="8">
        <v>1.0</v>
      </c>
      <c r="G2961" s="8">
        <v>1.0</v>
      </c>
      <c r="H2961" s="8">
        <v>1.0</v>
      </c>
      <c r="I2961" s="8">
        <v>1.0</v>
      </c>
      <c r="J2961" s="8">
        <v>1.0</v>
      </c>
      <c r="K2961" s="8">
        <v>1.0</v>
      </c>
      <c r="L2961" s="8">
        <v>6.0</v>
      </c>
      <c r="M2961" s="8"/>
      <c r="N2961" s="8"/>
      <c r="O2961" s="8" t="s">
        <v>842</v>
      </c>
      <c r="P2961" s="8" t="e">
        <v>#N/A</v>
      </c>
    </row>
    <row r="2962">
      <c r="A2962">
        <f>IFERROR(__xludf.DUMMYFUNCTION("""COMPUTED_VALUE"""),6.0)</f>
        <v>6</v>
      </c>
      <c r="B2962">
        <f>IFERROR(__xludf.DUMMYFUNCTION("""COMPUTED_VALUE"""),31042.0)</f>
        <v>31042</v>
      </c>
      <c r="C2962" t="str">
        <f>IFERROR(__xludf.DUMMYFUNCTION("""COMPUTED_VALUE"""),"GAVIRIA ARBELAEZ, AGUSTIN")</f>
        <v>GAVIRIA ARBELAEZ, AGUSTIN</v>
      </c>
      <c r="D2962" t="str">
        <f>IFERROR(__xludf.DUMMYFUNCTION("""COMPUTED_VALUE"""),"Art 6S2")</f>
        <v>Art 6S2</v>
      </c>
      <c r="E2962" s="31" t="str">
        <f>IFERROR(__xludf.DUMMYFUNCTION("""COMPUTED_VALUE"""),"6b")</f>
        <v>6b</v>
      </c>
      <c r="F2962" s="8">
        <v>1.0</v>
      </c>
      <c r="G2962" s="8">
        <v>1.0</v>
      </c>
      <c r="H2962" s="8">
        <v>1.0</v>
      </c>
      <c r="I2962" s="8">
        <v>1.0</v>
      </c>
      <c r="J2962" s="8">
        <v>1.0</v>
      </c>
      <c r="K2962" s="8">
        <v>1.0</v>
      </c>
      <c r="L2962" s="8">
        <v>6.0</v>
      </c>
      <c r="M2962" s="8"/>
      <c r="N2962" s="8"/>
      <c r="O2962" s="8" t="s">
        <v>840</v>
      </c>
      <c r="P2962" s="8" t="e">
        <v>#N/A</v>
      </c>
    </row>
    <row r="2963">
      <c r="A2963">
        <f>IFERROR(__xludf.DUMMYFUNCTION("""COMPUTED_VALUE"""),6.0)</f>
        <v>6</v>
      </c>
      <c r="B2963">
        <f>IFERROR(__xludf.DUMMYFUNCTION("""COMPUTED_VALUE"""),31044.0)</f>
        <v>31044</v>
      </c>
      <c r="C2963" t="str">
        <f>IFERROR(__xludf.DUMMYFUNCTION("""COMPUTED_VALUE"""),"GOMEZ ROLDAN, SANTIAGO")</f>
        <v>GOMEZ ROLDAN, SANTIAGO</v>
      </c>
      <c r="D2963" t="str">
        <f>IFERROR(__xludf.DUMMYFUNCTION("""COMPUTED_VALUE"""),"Art 6S2")</f>
        <v>Art 6S2</v>
      </c>
      <c r="E2963" s="31" t="str">
        <f>IFERROR(__xludf.DUMMYFUNCTION("""COMPUTED_VALUE"""),"1b")</f>
        <v>1b</v>
      </c>
      <c r="F2963" s="8">
        <v>1.0</v>
      </c>
      <c r="G2963" s="8">
        <v>1.0</v>
      </c>
      <c r="H2963" s="8">
        <v>1.0</v>
      </c>
      <c r="I2963" s="8">
        <v>1.0</v>
      </c>
      <c r="J2963" s="8">
        <v>1.0</v>
      </c>
      <c r="K2963" s="8">
        <v>1.0</v>
      </c>
      <c r="L2963" s="8">
        <v>6.0</v>
      </c>
      <c r="M2963" s="8"/>
      <c r="N2963" s="8"/>
      <c r="O2963" s="8" t="s">
        <v>836</v>
      </c>
      <c r="P2963" s="8" t="e">
        <v>#N/A</v>
      </c>
    </row>
    <row r="2964">
      <c r="A2964">
        <f>IFERROR(__xludf.DUMMYFUNCTION("""COMPUTED_VALUE"""),6.0)</f>
        <v>6</v>
      </c>
      <c r="B2964">
        <f>IFERROR(__xludf.DUMMYFUNCTION("""COMPUTED_VALUE"""),31045.0)</f>
        <v>31045</v>
      </c>
      <c r="C2964" t="str">
        <f>IFERROR(__xludf.DUMMYFUNCTION("""COMPUTED_VALUE"""),"GOMEZ VELASQUEZ, LORENZO")</f>
        <v>GOMEZ VELASQUEZ, LORENZO</v>
      </c>
      <c r="D2964" t="str">
        <f>IFERROR(__xludf.DUMMYFUNCTION("""COMPUTED_VALUE"""),"Regular BandS2")</f>
        <v>Regular BandS2</v>
      </c>
      <c r="E2964" s="31" t="str">
        <f>IFERROR(__xludf.DUMMYFUNCTION("""COMPUTED_VALUE"""),"6a")</f>
        <v>6a</v>
      </c>
      <c r="F2964" s="8">
        <v>1.0</v>
      </c>
      <c r="G2964" s="8">
        <v>1.0</v>
      </c>
      <c r="H2964" s="8">
        <v>1.0</v>
      </c>
      <c r="I2964" s="8">
        <v>1.0</v>
      </c>
      <c r="J2964" s="8">
        <v>1.0</v>
      </c>
      <c r="K2964" s="8">
        <v>1.0</v>
      </c>
      <c r="L2964" s="8">
        <v>6.0</v>
      </c>
      <c r="M2964" s="8"/>
      <c r="N2964" s="8"/>
      <c r="O2964" s="8" t="s">
        <v>835</v>
      </c>
      <c r="P2964" s="8" t="e">
        <v>#N/A</v>
      </c>
    </row>
    <row r="2965">
      <c r="A2965">
        <f>IFERROR(__xludf.DUMMYFUNCTION("""COMPUTED_VALUE"""),6.0)</f>
        <v>6</v>
      </c>
      <c r="B2965">
        <f>IFERROR(__xludf.DUMMYFUNCTION("""COMPUTED_VALUE"""),31046.0)</f>
        <v>31046</v>
      </c>
      <c r="C2965" t="str">
        <f>IFERROR(__xludf.DUMMYFUNCTION("""COMPUTED_VALUE"""),"GONZALEZ LONDOÑO, LAURA")</f>
        <v>GONZALEZ LONDOÑO, LAURA</v>
      </c>
      <c r="D2965" t="str">
        <f>IFERROR(__xludf.DUMMYFUNCTION("""COMPUTED_VALUE"""),"Regular BandS2")</f>
        <v>Regular BandS2</v>
      </c>
      <c r="E2965" s="31" t="str">
        <f>IFERROR(__xludf.DUMMYFUNCTION("""COMPUTED_VALUE"""),"6a")</f>
        <v>6a</v>
      </c>
      <c r="F2965" s="8">
        <v>1.0</v>
      </c>
      <c r="G2965" s="8">
        <v>1.0</v>
      </c>
      <c r="H2965" s="8">
        <v>1.0</v>
      </c>
      <c r="I2965" s="8">
        <v>1.0</v>
      </c>
      <c r="J2965" s="8">
        <v>1.0</v>
      </c>
      <c r="K2965" s="8">
        <v>1.0</v>
      </c>
      <c r="L2965" s="8">
        <v>6.0</v>
      </c>
      <c r="M2965" s="8"/>
      <c r="N2965" s="8"/>
      <c r="O2965" s="8" t="s">
        <v>835</v>
      </c>
      <c r="P2965" s="8" t="e">
        <v>#N/A</v>
      </c>
    </row>
    <row r="2966">
      <c r="A2966">
        <f>IFERROR(__xludf.DUMMYFUNCTION("""COMPUTED_VALUE"""),6.0)</f>
        <v>6</v>
      </c>
      <c r="B2966">
        <f>IFERROR(__xludf.DUMMYFUNCTION("""COMPUTED_VALUE"""),31047.0)</f>
        <v>31047</v>
      </c>
      <c r="C2966" t="str">
        <f>IFERROR(__xludf.DUMMYFUNCTION("""COMPUTED_VALUE"""),"GONZALEZ NICHOLLS, MARIA JOSE")</f>
        <v>GONZALEZ NICHOLLS, MARIA JOSE</v>
      </c>
      <c r="D2966" t="str">
        <f>IFERROR(__xludf.DUMMYFUNCTION("""COMPUTED_VALUE"""),"Regular BandS2")</f>
        <v>Regular BandS2</v>
      </c>
      <c r="E2966" s="31" t="str">
        <f>IFERROR(__xludf.DUMMYFUNCTION("""COMPUTED_VALUE"""),"6a")</f>
        <v>6a</v>
      </c>
      <c r="F2966" s="8">
        <v>1.0</v>
      </c>
      <c r="G2966" s="8">
        <v>1.0</v>
      </c>
      <c r="H2966" s="8">
        <v>1.0</v>
      </c>
      <c r="I2966" s="8">
        <v>1.0</v>
      </c>
      <c r="J2966" s="8">
        <v>1.0</v>
      </c>
      <c r="K2966" s="8">
        <v>1.0</v>
      </c>
      <c r="L2966" s="8">
        <v>6.0</v>
      </c>
      <c r="M2966" s="8"/>
      <c r="N2966" s="8"/>
      <c r="O2966" s="8" t="s">
        <v>835</v>
      </c>
      <c r="P2966" s="8" t="e">
        <v>#N/A</v>
      </c>
    </row>
    <row r="2967">
      <c r="A2967">
        <f>IFERROR(__xludf.DUMMYFUNCTION("""COMPUTED_VALUE"""),6.0)</f>
        <v>6</v>
      </c>
      <c r="B2967">
        <f>IFERROR(__xludf.DUMMYFUNCTION("""COMPUTED_VALUE"""),31170.0)</f>
        <v>31170</v>
      </c>
      <c r="C2967" t="str">
        <f>IFERROR(__xludf.DUMMYFUNCTION("""COMPUTED_VALUE"""),"GRULLON SANTOS, ISABELLA")</f>
        <v>GRULLON SANTOS, ISABELLA</v>
      </c>
      <c r="D2967" t="str">
        <f>IFERROR(__xludf.DUMMYFUNCTION("""COMPUTED_VALUE"""),"Art 6S2")</f>
        <v>Art 6S2</v>
      </c>
      <c r="E2967" s="31" t="str">
        <f>IFERROR(__xludf.DUMMYFUNCTION("""COMPUTED_VALUE"""),"1b")</f>
        <v>1b</v>
      </c>
      <c r="F2967" s="8">
        <v>1.0</v>
      </c>
      <c r="G2967" s="8">
        <v>1.0</v>
      </c>
      <c r="H2967" s="8">
        <v>1.0</v>
      </c>
      <c r="I2967" s="8">
        <v>1.0</v>
      </c>
      <c r="J2967" s="8">
        <v>1.0</v>
      </c>
      <c r="K2967" s="8">
        <v>1.0</v>
      </c>
      <c r="L2967" s="8">
        <v>6.0</v>
      </c>
      <c r="M2967" s="8"/>
      <c r="N2967" s="8"/>
      <c r="O2967" s="8" t="s">
        <v>836</v>
      </c>
      <c r="P2967" s="8" t="e">
        <v>#N/A</v>
      </c>
    </row>
    <row r="2968">
      <c r="A2968">
        <f>IFERROR(__xludf.DUMMYFUNCTION("""COMPUTED_VALUE"""),6.0)</f>
        <v>6</v>
      </c>
      <c r="B2968">
        <f>IFERROR(__xludf.DUMMYFUNCTION("""COMPUTED_VALUE"""),31048.0)</f>
        <v>31048</v>
      </c>
      <c r="C2968" t="str">
        <f>IFERROR(__xludf.DUMMYFUNCTION("""COMPUTED_VALUE"""),"GUERRA MARTINEZ, BENJAMIN")</f>
        <v>GUERRA MARTINEZ, BENJAMIN</v>
      </c>
      <c r="D2968" t="str">
        <f>IFERROR(__xludf.DUMMYFUNCTION("""COMPUTED_VALUE"""),"Symphony BandS2")</f>
        <v>Symphony BandS2</v>
      </c>
      <c r="E2968" s="31" t="str">
        <f>IFERROR(__xludf.DUMMYFUNCTION("""COMPUTED_VALUE"""),"5a")</f>
        <v>5a</v>
      </c>
      <c r="F2968" s="8">
        <v>1.0</v>
      </c>
      <c r="G2968" s="8">
        <v>1.0</v>
      </c>
      <c r="H2968" s="8">
        <v>1.0</v>
      </c>
      <c r="I2968" s="8">
        <v>1.0</v>
      </c>
      <c r="J2968" s="8">
        <v>1.0</v>
      </c>
      <c r="K2968" s="8">
        <v>1.0</v>
      </c>
      <c r="L2968" s="8">
        <v>6.0</v>
      </c>
      <c r="M2968" s="8"/>
      <c r="N2968" s="8"/>
      <c r="O2968" s="8" t="s">
        <v>834</v>
      </c>
      <c r="P2968" s="8" t="e">
        <v>#N/A</v>
      </c>
    </row>
    <row r="2969">
      <c r="A2969">
        <f>IFERROR(__xludf.DUMMYFUNCTION("""COMPUTED_VALUE"""),6.0)</f>
        <v>6</v>
      </c>
      <c r="B2969">
        <f>IFERROR(__xludf.DUMMYFUNCTION("""COMPUTED_VALUE"""),31049.0)</f>
        <v>31049</v>
      </c>
      <c r="C2969" t="str">
        <f>IFERROR(__xludf.DUMMYFUNCTION("""COMPUTED_VALUE"""),"HENAO MARTINEZ, SOFIA")</f>
        <v>HENAO MARTINEZ, SOFIA</v>
      </c>
      <c r="D2969" t="str">
        <f>IFERROR(__xludf.DUMMYFUNCTION("""COMPUTED_VALUE"""),"Regular BandS2")</f>
        <v>Regular BandS2</v>
      </c>
      <c r="E2969" s="31" t="str">
        <f>IFERROR(__xludf.DUMMYFUNCTION("""COMPUTED_VALUE"""),"6a")</f>
        <v>6a</v>
      </c>
      <c r="F2969" s="8">
        <v>1.0</v>
      </c>
      <c r="G2969" s="8">
        <v>1.0</v>
      </c>
      <c r="H2969" s="8">
        <v>1.0</v>
      </c>
      <c r="I2969" s="8">
        <v>1.0</v>
      </c>
      <c r="J2969" s="8">
        <v>1.0</v>
      </c>
      <c r="K2969" s="8">
        <v>1.0</v>
      </c>
      <c r="L2969" s="8">
        <v>6.0</v>
      </c>
      <c r="M2969" s="8"/>
      <c r="N2969" s="8"/>
      <c r="O2969" s="8" t="s">
        <v>835</v>
      </c>
      <c r="P2969" s="8" t="e">
        <v>#N/A</v>
      </c>
    </row>
    <row r="2970">
      <c r="A2970">
        <f>IFERROR(__xludf.DUMMYFUNCTION("""COMPUTED_VALUE"""),6.0)</f>
        <v>6</v>
      </c>
      <c r="B2970">
        <f>IFERROR(__xludf.DUMMYFUNCTION("""COMPUTED_VALUE"""),31052.0)</f>
        <v>31052</v>
      </c>
      <c r="C2970" t="str">
        <f>IFERROR(__xludf.DUMMYFUNCTION("""COMPUTED_VALUE"""),"IBAÑEZ MONTOYA, VALENTINA")</f>
        <v>IBAÑEZ MONTOYA, VALENTINA</v>
      </c>
      <c r="D2970" t="str">
        <f>IFERROR(__xludf.DUMMYFUNCTION("""COMPUTED_VALUE"""),"Symphony BandS2")</f>
        <v>Symphony BandS2</v>
      </c>
      <c r="E2970" s="31" t="str">
        <f>IFERROR(__xludf.DUMMYFUNCTION("""COMPUTED_VALUE"""),"5a")</f>
        <v>5a</v>
      </c>
      <c r="F2970" s="8">
        <v>1.0</v>
      </c>
      <c r="G2970" s="8">
        <v>1.0</v>
      </c>
      <c r="H2970" s="8">
        <v>1.0</v>
      </c>
      <c r="I2970" s="8">
        <v>1.0</v>
      </c>
      <c r="J2970" s="8">
        <v>1.0</v>
      </c>
      <c r="K2970" s="8">
        <v>1.0</v>
      </c>
      <c r="L2970" s="8">
        <v>6.0</v>
      </c>
      <c r="M2970" s="8"/>
      <c r="N2970" s="8"/>
      <c r="O2970" s="8" t="s">
        <v>834</v>
      </c>
      <c r="P2970" s="8" t="e">
        <v>#N/A</v>
      </c>
    </row>
    <row r="2971">
      <c r="A2971">
        <f>IFERROR(__xludf.DUMMYFUNCTION("""COMPUTED_VALUE"""),6.0)</f>
        <v>6</v>
      </c>
      <c r="B2971">
        <f>IFERROR(__xludf.DUMMYFUNCTION("""COMPUTED_VALUE"""),31054.0)</f>
        <v>31054</v>
      </c>
      <c r="C2971" t="str">
        <f>IFERROR(__xludf.DUMMYFUNCTION("""COMPUTED_VALUE"""),"JALLER TRUJILLO, MARIA")</f>
        <v>JALLER TRUJILLO, MARIA</v>
      </c>
      <c r="D2971" t="str">
        <f>IFERROR(__xludf.DUMMYFUNCTION("""COMPUTED_VALUE"""),"Tech 6S2")</f>
        <v>Tech 6S2</v>
      </c>
      <c r="E2971" s="31" t="str">
        <f>IFERROR(__xludf.DUMMYFUNCTION("""COMPUTED_VALUE"""),"4a")</f>
        <v>4a</v>
      </c>
      <c r="F2971" s="8">
        <v>1.0</v>
      </c>
      <c r="G2971" s="8">
        <v>1.0</v>
      </c>
      <c r="H2971" s="8">
        <v>1.0</v>
      </c>
      <c r="I2971" s="8">
        <v>1.0</v>
      </c>
      <c r="J2971" s="8">
        <v>1.0</v>
      </c>
      <c r="K2971" s="8">
        <v>1.0</v>
      </c>
      <c r="L2971" s="8">
        <v>6.0</v>
      </c>
      <c r="M2971" s="8"/>
      <c r="N2971" s="8"/>
      <c r="O2971" s="8" t="s">
        <v>833</v>
      </c>
      <c r="P2971" s="8" t="e">
        <v>#N/A</v>
      </c>
    </row>
    <row r="2972">
      <c r="A2972">
        <f>IFERROR(__xludf.DUMMYFUNCTION("""COMPUTED_VALUE"""),6.0)</f>
        <v>6</v>
      </c>
      <c r="B2972">
        <f>IFERROR(__xludf.DUMMYFUNCTION("""COMPUTED_VALUE"""),31053.0)</f>
        <v>31053</v>
      </c>
      <c r="C2972" t="str">
        <f>IFERROR(__xludf.DUMMYFUNCTION("""COMPUTED_VALUE"""),"JALLER VELEZ, MARTINA")</f>
        <v>JALLER VELEZ, MARTINA</v>
      </c>
      <c r="D2972" t="str">
        <f>IFERROR(__xludf.DUMMYFUNCTION("""COMPUTED_VALUE"""),"Tech 6S2")</f>
        <v>Tech 6S2</v>
      </c>
      <c r="E2972" s="31" t="str">
        <f>IFERROR(__xludf.DUMMYFUNCTION("""COMPUTED_VALUE"""),"2a")</f>
        <v>2a</v>
      </c>
      <c r="F2972" s="8">
        <v>1.0</v>
      </c>
      <c r="G2972" s="8">
        <v>1.0</v>
      </c>
      <c r="H2972" s="8">
        <v>1.0</v>
      </c>
      <c r="I2972" s="8">
        <v>1.0</v>
      </c>
      <c r="J2972" s="8">
        <v>1.0</v>
      </c>
      <c r="K2972" s="8">
        <v>1.0</v>
      </c>
      <c r="L2972" s="8">
        <v>6.0</v>
      </c>
      <c r="M2972" s="8"/>
      <c r="N2972" s="8"/>
      <c r="O2972" s="8" t="s">
        <v>841</v>
      </c>
      <c r="P2972" s="8" t="e">
        <v>#N/A</v>
      </c>
    </row>
    <row r="2973">
      <c r="A2973">
        <f>IFERROR(__xludf.DUMMYFUNCTION("""COMPUTED_VALUE"""),6.0)</f>
        <v>6</v>
      </c>
      <c r="B2973">
        <f>IFERROR(__xludf.DUMMYFUNCTION("""COMPUTED_VALUE"""),31057.0)</f>
        <v>31057</v>
      </c>
      <c r="C2973" t="str">
        <f>IFERROR(__xludf.DUMMYFUNCTION("""COMPUTED_VALUE"""),"JARAMILLO ARBELAEZ, AMALIA")</f>
        <v>JARAMILLO ARBELAEZ, AMALIA</v>
      </c>
      <c r="D2973" t="str">
        <f>IFERROR(__xludf.DUMMYFUNCTION("""COMPUTED_VALUE"""),"Art 6S2")</f>
        <v>Art 6S2</v>
      </c>
      <c r="E2973" s="31" t="str">
        <f>IFERROR(__xludf.DUMMYFUNCTION("""COMPUTED_VALUE"""),"1b")</f>
        <v>1b</v>
      </c>
      <c r="F2973" s="8">
        <v>1.0</v>
      </c>
      <c r="G2973" s="8">
        <v>1.0</v>
      </c>
      <c r="H2973" s="8">
        <v>1.0</v>
      </c>
      <c r="I2973" s="8">
        <v>1.0</v>
      </c>
      <c r="J2973" s="8">
        <v>1.0</v>
      </c>
      <c r="K2973" s="8">
        <v>1.0</v>
      </c>
      <c r="L2973" s="8">
        <v>6.0</v>
      </c>
      <c r="M2973" s="8"/>
      <c r="N2973" s="8"/>
      <c r="O2973" s="8" t="s">
        <v>836</v>
      </c>
      <c r="P2973" s="8" t="e">
        <v>#N/A</v>
      </c>
    </row>
    <row r="2974">
      <c r="A2974">
        <f>IFERROR(__xludf.DUMMYFUNCTION("""COMPUTED_VALUE"""),6.0)</f>
        <v>6</v>
      </c>
      <c r="B2974">
        <f>IFERROR(__xludf.DUMMYFUNCTION("""COMPUTED_VALUE"""),31055.0)</f>
        <v>31055</v>
      </c>
      <c r="C2974" t="str">
        <f>IFERROR(__xludf.DUMMYFUNCTION("""COMPUTED_VALUE"""),"JARAMILLO GONZALEZ, MARIA")</f>
        <v>JARAMILLO GONZALEZ, MARIA</v>
      </c>
      <c r="D2974" t="str">
        <f>IFERROR(__xludf.DUMMYFUNCTION("""COMPUTED_VALUE"""),"Art 6S2")</f>
        <v>Art 6S2</v>
      </c>
      <c r="E2974" s="31" t="str">
        <f>IFERROR(__xludf.DUMMYFUNCTION("""COMPUTED_VALUE"""),"2a")</f>
        <v>2a</v>
      </c>
      <c r="F2974" s="8">
        <v>1.0</v>
      </c>
      <c r="G2974" s="8">
        <v>1.0</v>
      </c>
      <c r="H2974" s="8">
        <v>1.0</v>
      </c>
      <c r="I2974" s="8">
        <v>1.0</v>
      </c>
      <c r="J2974" s="8">
        <v>1.0</v>
      </c>
      <c r="K2974" s="8">
        <v>1.0</v>
      </c>
      <c r="L2974" s="8">
        <v>6.0</v>
      </c>
      <c r="M2974" s="8"/>
      <c r="N2974" s="8"/>
      <c r="O2974" s="8" t="s">
        <v>842</v>
      </c>
      <c r="P2974" s="8" t="e">
        <v>#N/A</v>
      </c>
    </row>
    <row r="2975">
      <c r="A2975">
        <f>IFERROR(__xludf.DUMMYFUNCTION("""COMPUTED_VALUE"""),6.0)</f>
        <v>6</v>
      </c>
      <c r="B2975">
        <f>IFERROR(__xludf.DUMMYFUNCTION("""COMPUTED_VALUE"""),31058.0)</f>
        <v>31058</v>
      </c>
      <c r="C2975" t="str">
        <f>IFERROR(__xludf.DUMMYFUNCTION("""COMPUTED_VALUE"""),"JARAMILLO OCHOA, LUCAS")</f>
        <v>JARAMILLO OCHOA, LUCAS</v>
      </c>
      <c r="D2975" t="str">
        <f>IFERROR(__xludf.DUMMYFUNCTION("""COMPUTED_VALUE"""),"Art 6S2")</f>
        <v>Art 6S2</v>
      </c>
      <c r="E2975" s="31" t="str">
        <f>IFERROR(__xludf.DUMMYFUNCTION("""COMPUTED_VALUE"""),"6b")</f>
        <v>6b</v>
      </c>
      <c r="F2975" s="8">
        <v>1.0</v>
      </c>
      <c r="G2975" s="8">
        <v>1.0</v>
      </c>
      <c r="H2975" s="8">
        <v>1.0</v>
      </c>
      <c r="I2975" s="8">
        <v>1.0</v>
      </c>
      <c r="J2975" s="8">
        <v>1.0</v>
      </c>
      <c r="K2975" s="8">
        <v>1.0</v>
      </c>
      <c r="L2975" s="8">
        <v>6.0</v>
      </c>
      <c r="M2975" s="8"/>
      <c r="N2975" s="8"/>
      <c r="O2975" s="8" t="s">
        <v>840</v>
      </c>
      <c r="P2975" s="8" t="e">
        <v>#N/A</v>
      </c>
    </row>
    <row r="2976">
      <c r="A2976">
        <f>IFERROR(__xludf.DUMMYFUNCTION("""COMPUTED_VALUE"""),6.0)</f>
        <v>6</v>
      </c>
      <c r="B2976">
        <f>IFERROR(__xludf.DUMMYFUNCTION("""COMPUTED_VALUE"""),31059.0)</f>
        <v>31059</v>
      </c>
      <c r="C2976" t="str">
        <f>IFERROR(__xludf.DUMMYFUNCTION("""COMPUTED_VALUE"""),"JIMENEZ ESCOBAR, ROSARIO")</f>
        <v>JIMENEZ ESCOBAR, ROSARIO</v>
      </c>
      <c r="D2976" t="str">
        <f>IFERROR(__xludf.DUMMYFUNCTION("""COMPUTED_VALUE"""),"Symphony BandS2")</f>
        <v>Symphony BandS2</v>
      </c>
      <c r="E2976" s="31" t="str">
        <f>IFERROR(__xludf.DUMMYFUNCTION("""COMPUTED_VALUE"""),"5a")</f>
        <v>5a</v>
      </c>
      <c r="F2976" s="8">
        <v>1.0</v>
      </c>
      <c r="G2976" s="8">
        <v>1.0</v>
      </c>
      <c r="H2976" s="8">
        <v>1.0</v>
      </c>
      <c r="I2976" s="8">
        <v>1.0</v>
      </c>
      <c r="J2976" s="8">
        <v>1.0</v>
      </c>
      <c r="K2976" s="8">
        <v>1.0</v>
      </c>
      <c r="L2976" s="8">
        <v>6.0</v>
      </c>
      <c r="M2976" s="8"/>
      <c r="N2976" s="8"/>
      <c r="O2976" s="8" t="s">
        <v>834</v>
      </c>
      <c r="P2976" s="8" t="e">
        <v>#N/A</v>
      </c>
    </row>
    <row r="2977">
      <c r="A2977">
        <f>IFERROR(__xludf.DUMMYFUNCTION("""COMPUTED_VALUE"""),6.0)</f>
        <v>6</v>
      </c>
      <c r="B2977">
        <f>IFERROR(__xludf.DUMMYFUNCTION("""COMPUTED_VALUE"""),31172.0)</f>
        <v>31172</v>
      </c>
      <c r="C2977" t="str">
        <f>IFERROR(__xludf.DUMMYFUNCTION("""COMPUTED_VALUE"""),"JONCK CORRENTE, CLARICE")</f>
        <v>JONCK CORRENTE, CLARICE</v>
      </c>
      <c r="D2977" t="str">
        <f>IFERROR(__xludf.DUMMYFUNCTION("""COMPUTED_VALUE"""),"Tech 6S2")</f>
        <v>Tech 6S2</v>
      </c>
      <c r="E2977" s="31" t="str">
        <f>IFERROR(__xludf.DUMMYFUNCTION("""COMPUTED_VALUE"""),"1b")</f>
        <v>1b</v>
      </c>
      <c r="F2977" s="8">
        <v>1.0</v>
      </c>
      <c r="G2977" s="8">
        <v>1.0</v>
      </c>
      <c r="H2977" s="8">
        <v>1.0</v>
      </c>
      <c r="I2977" s="8">
        <v>1.0</v>
      </c>
      <c r="J2977" s="8">
        <v>1.0</v>
      </c>
      <c r="K2977" s="8">
        <v>1.0</v>
      </c>
      <c r="L2977" s="8">
        <v>6.0</v>
      </c>
      <c r="M2977" s="8"/>
      <c r="N2977" s="8"/>
      <c r="O2977" s="8" t="s">
        <v>838</v>
      </c>
      <c r="P2977" s="8" t="e">
        <v>#N/A</v>
      </c>
    </row>
    <row r="2978">
      <c r="A2978">
        <f>IFERROR(__xludf.DUMMYFUNCTION("""COMPUTED_VALUE"""),6.0)</f>
        <v>6</v>
      </c>
      <c r="B2978">
        <f>IFERROR(__xludf.DUMMYFUNCTION("""COMPUTED_VALUE"""),31061.0)</f>
        <v>31061</v>
      </c>
      <c r="C2978" t="str">
        <f>IFERROR(__xludf.DUMMYFUNCTION("""COMPUTED_VALUE"""),"LAVERDE GIRALDO, CONSTANTINO")</f>
        <v>LAVERDE GIRALDO, CONSTANTINO</v>
      </c>
      <c r="D2978" t="str">
        <f>IFERROR(__xludf.DUMMYFUNCTION("""COMPUTED_VALUE"""),"Regular BandS2")</f>
        <v>Regular BandS2</v>
      </c>
      <c r="E2978" s="31" t="str">
        <f>IFERROR(__xludf.DUMMYFUNCTION("""COMPUTED_VALUE"""),"6a")</f>
        <v>6a</v>
      </c>
      <c r="F2978" s="8">
        <v>1.0</v>
      </c>
      <c r="G2978" s="8">
        <v>1.0</v>
      </c>
      <c r="H2978" s="8">
        <v>1.0</v>
      </c>
      <c r="I2978" s="8">
        <v>1.0</v>
      </c>
      <c r="J2978" s="8">
        <v>1.0</v>
      </c>
      <c r="K2978" s="8">
        <v>1.0</v>
      </c>
      <c r="L2978" s="8">
        <v>6.0</v>
      </c>
      <c r="M2978" s="8"/>
      <c r="N2978" s="8"/>
      <c r="O2978" s="8" t="s">
        <v>835</v>
      </c>
      <c r="P2978" s="8" t="e">
        <v>#N/A</v>
      </c>
    </row>
    <row r="2979">
      <c r="A2979">
        <f>IFERROR(__xludf.DUMMYFUNCTION("""COMPUTED_VALUE"""),6.0)</f>
        <v>6</v>
      </c>
      <c r="B2979">
        <f>IFERROR(__xludf.DUMMYFUNCTION("""COMPUTED_VALUE"""),31060.0)</f>
        <v>31060</v>
      </c>
      <c r="C2979" t="str">
        <f>IFERROR(__xludf.DUMMYFUNCTION("""COMPUTED_VALUE"""),"LAVERDE MOLINA, MATIAS")</f>
        <v>LAVERDE MOLINA, MATIAS</v>
      </c>
      <c r="D2979" t="str">
        <f>IFERROR(__xludf.DUMMYFUNCTION("""COMPUTED_VALUE"""),"Symphony BandS2")</f>
        <v>Symphony BandS2</v>
      </c>
      <c r="E2979" s="31" t="str">
        <f>IFERROR(__xludf.DUMMYFUNCTION("""COMPUTED_VALUE"""),"5a")</f>
        <v>5a</v>
      </c>
      <c r="F2979" s="8">
        <v>1.0</v>
      </c>
      <c r="G2979" s="8">
        <v>1.0</v>
      </c>
      <c r="H2979" s="8">
        <v>1.0</v>
      </c>
      <c r="I2979" s="8">
        <v>1.0</v>
      </c>
      <c r="J2979" s="8">
        <v>1.0</v>
      </c>
      <c r="K2979" s="8">
        <v>1.0</v>
      </c>
      <c r="L2979" s="8">
        <v>6.0</v>
      </c>
      <c r="M2979" s="8"/>
      <c r="N2979" s="8"/>
      <c r="O2979" s="8" t="s">
        <v>834</v>
      </c>
      <c r="P2979" s="8" t="e">
        <v>#N/A</v>
      </c>
    </row>
    <row r="2980">
      <c r="A2980">
        <f>IFERROR(__xludf.DUMMYFUNCTION("""COMPUTED_VALUE"""),6.0)</f>
        <v>6</v>
      </c>
      <c r="B2980">
        <f>IFERROR(__xludf.DUMMYFUNCTION("""COMPUTED_VALUE"""),31062.0)</f>
        <v>31062</v>
      </c>
      <c r="C2980" t="str">
        <f>IFERROR(__xludf.DUMMYFUNCTION("""COMPUTED_VALUE"""),"LEMA GARCIA, MIA")</f>
        <v>LEMA GARCIA, MIA</v>
      </c>
      <c r="D2980" t="str">
        <f>IFERROR(__xludf.DUMMYFUNCTION("""COMPUTED_VALUE"""),"Art 6S2")</f>
        <v>Art 6S2</v>
      </c>
      <c r="E2980" s="31" t="str">
        <f>IFERROR(__xludf.DUMMYFUNCTION("""COMPUTED_VALUE"""),"6b")</f>
        <v>6b</v>
      </c>
      <c r="F2980" s="8">
        <v>1.0</v>
      </c>
      <c r="G2980" s="8">
        <v>1.0</v>
      </c>
      <c r="H2980" s="8">
        <v>1.0</v>
      </c>
      <c r="I2980" s="8">
        <v>1.0</v>
      </c>
      <c r="J2980" s="8">
        <v>1.0</v>
      </c>
      <c r="K2980" s="8">
        <v>1.0</v>
      </c>
      <c r="L2980" s="8">
        <v>6.0</v>
      </c>
      <c r="M2980" s="8"/>
      <c r="N2980" s="8"/>
      <c r="O2980" s="8" t="s">
        <v>840</v>
      </c>
      <c r="P2980" s="8" t="e">
        <v>#N/A</v>
      </c>
    </row>
    <row r="2981">
      <c r="A2981">
        <f>IFERROR(__xludf.DUMMYFUNCTION("""COMPUTED_VALUE"""),6.0)</f>
        <v>6</v>
      </c>
      <c r="B2981">
        <f>IFERROR(__xludf.DUMMYFUNCTION("""COMPUTED_VALUE"""),31063.0)</f>
        <v>31063</v>
      </c>
      <c r="C2981" t="str">
        <f>IFERROR(__xludf.DUMMYFUNCTION("""COMPUTED_VALUE"""),"LONDOÑO ARRIOLA, LUCIA")</f>
        <v>LONDOÑO ARRIOLA, LUCIA</v>
      </c>
      <c r="D2981" t="str">
        <f>IFERROR(__xludf.DUMMYFUNCTION("""COMPUTED_VALUE"""),"Art 6S2")</f>
        <v>Art 6S2</v>
      </c>
      <c r="E2981" s="31" t="str">
        <f>IFERROR(__xludf.DUMMYFUNCTION("""COMPUTED_VALUE"""),"4a")</f>
        <v>4a</v>
      </c>
      <c r="F2981" s="8">
        <v>1.0</v>
      </c>
      <c r="G2981" s="8">
        <v>1.0</v>
      </c>
      <c r="H2981" s="8">
        <v>1.0</v>
      </c>
      <c r="I2981" s="8">
        <v>1.0</v>
      </c>
      <c r="J2981" s="8">
        <v>1.0</v>
      </c>
      <c r="K2981" s="8">
        <v>1.0</v>
      </c>
      <c r="L2981" s="8">
        <v>6.0</v>
      </c>
      <c r="M2981" s="8"/>
      <c r="N2981" s="8"/>
      <c r="O2981" s="8" t="s">
        <v>837</v>
      </c>
      <c r="P2981" s="8" t="e">
        <v>#N/A</v>
      </c>
    </row>
    <row r="2982">
      <c r="A2982">
        <f>IFERROR(__xludf.DUMMYFUNCTION("""COMPUTED_VALUE"""),6.0)</f>
        <v>6</v>
      </c>
      <c r="B2982">
        <f>IFERROR(__xludf.DUMMYFUNCTION("""COMPUTED_VALUE"""),32076.0)</f>
        <v>32076</v>
      </c>
      <c r="C2982" t="str">
        <f>IFERROR(__xludf.DUMMYFUNCTION("""COMPUTED_VALUE"""),"LONDOÑO BAQUERO, JUAN")</f>
        <v>LONDOÑO BAQUERO, JUAN</v>
      </c>
      <c r="D2982" t="str">
        <f>IFERROR(__xludf.DUMMYFUNCTION("""COMPUTED_VALUE"""),"Tech 6S2")</f>
        <v>Tech 6S2</v>
      </c>
      <c r="E2982" s="31" t="str">
        <f>IFERROR(__xludf.DUMMYFUNCTION("""COMPUTED_VALUE"""),"2a")</f>
        <v>2a</v>
      </c>
      <c r="F2982" s="8">
        <v>1.0</v>
      </c>
      <c r="G2982" s="8">
        <v>1.0</v>
      </c>
      <c r="H2982" s="8">
        <v>1.0</v>
      </c>
      <c r="I2982" s="8">
        <v>1.0</v>
      </c>
      <c r="J2982" s="8">
        <v>1.0</v>
      </c>
      <c r="K2982" s="8">
        <v>1.0</v>
      </c>
      <c r="L2982" s="8">
        <v>6.0</v>
      </c>
      <c r="M2982" s="8"/>
      <c r="N2982" s="8"/>
      <c r="O2982" s="8" t="s">
        <v>841</v>
      </c>
      <c r="P2982" s="8" t="e">
        <v>#N/A</v>
      </c>
    </row>
    <row r="2983">
      <c r="A2983">
        <f>IFERROR(__xludf.DUMMYFUNCTION("""COMPUTED_VALUE"""),6.0)</f>
        <v>6</v>
      </c>
      <c r="B2983">
        <f>IFERROR(__xludf.DUMMYFUNCTION("""COMPUTED_VALUE"""),31064.0)</f>
        <v>31064</v>
      </c>
      <c r="C2983" t="str">
        <f>IFERROR(__xludf.DUMMYFUNCTION("""COMPUTED_VALUE"""),"MARQUEZ BARRERA, LORENZO CAYETANO")</f>
        <v>MARQUEZ BARRERA, LORENZO CAYETANO</v>
      </c>
      <c r="D2983" t="str">
        <f>IFERROR(__xludf.DUMMYFUNCTION("""COMPUTED_VALUE"""),"Tech 6S2")</f>
        <v>Tech 6S2</v>
      </c>
      <c r="E2983" s="31" t="str">
        <f>IFERROR(__xludf.DUMMYFUNCTION("""COMPUTED_VALUE"""),"4a")</f>
        <v>4a</v>
      </c>
      <c r="F2983" s="8">
        <v>1.0</v>
      </c>
      <c r="G2983" s="8">
        <v>1.0</v>
      </c>
      <c r="H2983" s="8">
        <v>1.0</v>
      </c>
      <c r="I2983" s="8">
        <v>1.0</v>
      </c>
      <c r="J2983" s="8">
        <v>1.0</v>
      </c>
      <c r="K2983" s="8">
        <v>1.0</v>
      </c>
      <c r="L2983" s="8">
        <v>6.0</v>
      </c>
      <c r="M2983" s="8"/>
      <c r="N2983" s="8"/>
      <c r="O2983" s="8" t="s">
        <v>833</v>
      </c>
      <c r="P2983" s="8" t="e">
        <v>#N/A</v>
      </c>
    </row>
    <row r="2984">
      <c r="A2984">
        <f>IFERROR(__xludf.DUMMYFUNCTION("""COMPUTED_VALUE"""),6.0)</f>
        <v>6</v>
      </c>
      <c r="B2984">
        <f>IFERROR(__xludf.DUMMYFUNCTION("""COMPUTED_VALUE"""),31065.0)</f>
        <v>31065</v>
      </c>
      <c r="C2984" t="str">
        <f>IFERROR(__xludf.DUMMYFUNCTION("""COMPUTED_VALUE"""),"MARTINEZ UPEGUI, PEDRO")</f>
        <v>MARTINEZ UPEGUI, PEDRO</v>
      </c>
      <c r="D2984" t="str">
        <f>IFERROR(__xludf.DUMMYFUNCTION("""COMPUTED_VALUE"""),"Art 6S2")</f>
        <v>Art 6S2</v>
      </c>
      <c r="E2984" s="31" t="str">
        <f>IFERROR(__xludf.DUMMYFUNCTION("""COMPUTED_VALUE"""),"2a")</f>
        <v>2a</v>
      </c>
      <c r="F2984" s="8">
        <v>1.0</v>
      </c>
      <c r="G2984" s="8">
        <v>1.0</v>
      </c>
      <c r="H2984" s="8">
        <v>1.0</v>
      </c>
      <c r="I2984" s="8">
        <v>1.0</v>
      </c>
      <c r="J2984" s="8">
        <v>1.0</v>
      </c>
      <c r="K2984" s="8">
        <v>1.0</v>
      </c>
      <c r="L2984" s="8">
        <v>6.0</v>
      </c>
      <c r="M2984" s="8"/>
      <c r="N2984" s="8"/>
      <c r="O2984" s="8" t="s">
        <v>842</v>
      </c>
      <c r="P2984" s="8" t="e">
        <v>#N/A</v>
      </c>
    </row>
    <row r="2985">
      <c r="A2985">
        <f>IFERROR(__xludf.DUMMYFUNCTION("""COMPUTED_VALUE"""),6.0)</f>
        <v>6</v>
      </c>
      <c r="B2985">
        <f>IFERROR(__xludf.DUMMYFUNCTION("""COMPUTED_VALUE"""),31066.0)</f>
        <v>31066</v>
      </c>
      <c r="C2985" t="str">
        <f>IFERROR(__xludf.DUMMYFUNCTION("""COMPUTED_VALUE"""),"MATALLANA TOBON, ROSARIO")</f>
        <v>MATALLANA TOBON, ROSARIO</v>
      </c>
      <c r="D2985" t="str">
        <f>IFERROR(__xludf.DUMMYFUNCTION("""COMPUTED_VALUE"""),"Art 6S2")</f>
        <v>Art 6S2</v>
      </c>
      <c r="E2985" s="31" t="str">
        <f>IFERROR(__xludf.DUMMYFUNCTION("""COMPUTED_VALUE"""),"1b")</f>
        <v>1b</v>
      </c>
      <c r="F2985" s="8">
        <v>1.0</v>
      </c>
      <c r="G2985" s="8">
        <v>1.0</v>
      </c>
      <c r="H2985" s="8">
        <v>1.0</v>
      </c>
      <c r="I2985" s="8">
        <v>1.0</v>
      </c>
      <c r="J2985" s="8">
        <v>1.0</v>
      </c>
      <c r="K2985" s="8">
        <v>1.0</v>
      </c>
      <c r="L2985" s="8">
        <v>6.0</v>
      </c>
      <c r="M2985" s="8"/>
      <c r="N2985" s="8"/>
      <c r="O2985" s="8" t="s">
        <v>836</v>
      </c>
      <c r="P2985" s="8" t="e">
        <v>#N/A</v>
      </c>
    </row>
    <row r="2986">
      <c r="A2986">
        <f>IFERROR(__xludf.DUMMYFUNCTION("""COMPUTED_VALUE"""),6.0)</f>
        <v>6</v>
      </c>
      <c r="B2986">
        <f>IFERROR(__xludf.DUMMYFUNCTION("""COMPUTED_VALUE"""),31067.0)</f>
        <v>31067</v>
      </c>
      <c r="C2986" t="str">
        <f>IFERROR(__xludf.DUMMYFUNCTION("""COMPUTED_VALUE"""),"MAYA BEDOYA, EMILIA")</f>
        <v>MAYA BEDOYA, EMILIA</v>
      </c>
      <c r="D2986" t="str">
        <f>IFERROR(__xludf.DUMMYFUNCTION("""COMPUTED_VALUE"""),"Tech 6S2")</f>
        <v>Tech 6S2</v>
      </c>
      <c r="E2986" s="31" t="str">
        <f>IFERROR(__xludf.DUMMYFUNCTION("""COMPUTED_VALUE"""),"4a")</f>
        <v>4a</v>
      </c>
      <c r="F2986" s="8">
        <v>1.0</v>
      </c>
      <c r="G2986" s="8">
        <v>1.0</v>
      </c>
      <c r="H2986" s="8">
        <v>1.0</v>
      </c>
      <c r="I2986" s="8">
        <v>1.0</v>
      </c>
      <c r="J2986" s="8">
        <v>1.0</v>
      </c>
      <c r="K2986" s="8">
        <v>1.0</v>
      </c>
      <c r="L2986" s="8">
        <v>6.0</v>
      </c>
      <c r="M2986" s="8"/>
      <c r="N2986" s="8"/>
      <c r="O2986" s="8" t="s">
        <v>833</v>
      </c>
      <c r="P2986" s="8" t="e">
        <v>#N/A</v>
      </c>
    </row>
    <row r="2987">
      <c r="A2987">
        <f>IFERROR(__xludf.DUMMYFUNCTION("""COMPUTED_VALUE"""),6.0)</f>
        <v>6</v>
      </c>
      <c r="B2987">
        <f>IFERROR(__xludf.DUMMYFUNCTION("""COMPUTED_VALUE"""),31149.0)</f>
        <v>31149</v>
      </c>
      <c r="C2987" t="str">
        <f>IFERROR(__xludf.DUMMYFUNCTION("""COMPUTED_VALUE"""),"MAZO DIAZ, ANTONIO")</f>
        <v>MAZO DIAZ, ANTONIO</v>
      </c>
      <c r="D2987" t="str">
        <f>IFERROR(__xludf.DUMMYFUNCTION("""COMPUTED_VALUE"""),"Symphony BandS2")</f>
        <v>Symphony BandS2</v>
      </c>
      <c r="E2987" s="31" t="str">
        <f>IFERROR(__xludf.DUMMYFUNCTION("""COMPUTED_VALUE"""),"5a")</f>
        <v>5a</v>
      </c>
      <c r="F2987" s="8">
        <v>1.0</v>
      </c>
      <c r="G2987" s="8">
        <v>1.0</v>
      </c>
      <c r="H2987" s="8">
        <v>1.0</v>
      </c>
      <c r="I2987" s="8">
        <v>1.0</v>
      </c>
      <c r="J2987" s="8">
        <v>1.0</v>
      </c>
      <c r="K2987" s="8">
        <v>1.0</v>
      </c>
      <c r="L2987" s="8">
        <v>6.0</v>
      </c>
      <c r="M2987" s="8"/>
      <c r="N2987" s="8"/>
      <c r="O2987" s="8" t="s">
        <v>834</v>
      </c>
      <c r="P2987" s="8" t="e">
        <v>#N/A</v>
      </c>
    </row>
    <row r="2988">
      <c r="A2988">
        <f>IFERROR(__xludf.DUMMYFUNCTION("""COMPUTED_VALUE"""),6.0)</f>
        <v>6</v>
      </c>
      <c r="B2988">
        <f>IFERROR(__xludf.DUMMYFUNCTION("""COMPUTED_VALUE"""),31164.0)</f>
        <v>31164</v>
      </c>
      <c r="C2988" t="str">
        <f>IFERROR(__xludf.DUMMYFUNCTION("""COMPUTED_VALUE"""),"MCGARGHAN, RHYS LEIGH-ANNA")</f>
        <v>MCGARGHAN, RHYS LEIGH-ANNA</v>
      </c>
      <c r="D2988" t="str">
        <f>IFERROR(__xludf.DUMMYFUNCTION("""COMPUTED_VALUE"""),"Tech 6S2")</f>
        <v>Tech 6S2</v>
      </c>
      <c r="E2988" s="31" t="str">
        <f>IFERROR(__xludf.DUMMYFUNCTION("""COMPUTED_VALUE"""),"1b")</f>
        <v>1b</v>
      </c>
      <c r="F2988" s="8">
        <v>1.0</v>
      </c>
      <c r="G2988" s="8">
        <v>1.0</v>
      </c>
      <c r="H2988" s="8">
        <v>1.0</v>
      </c>
      <c r="I2988" s="8">
        <v>1.0</v>
      </c>
      <c r="J2988" s="8">
        <v>1.0</v>
      </c>
      <c r="K2988" s="8">
        <v>1.0</v>
      </c>
      <c r="L2988" s="8">
        <v>6.0</v>
      </c>
      <c r="M2988" s="8"/>
      <c r="N2988" s="8"/>
      <c r="O2988" s="8" t="s">
        <v>838</v>
      </c>
      <c r="P2988" s="8" t="e">
        <v>#N/A</v>
      </c>
    </row>
    <row r="2989">
      <c r="A2989">
        <f>IFERROR(__xludf.DUMMYFUNCTION("""COMPUTED_VALUE"""),6.0)</f>
        <v>6</v>
      </c>
      <c r="B2989">
        <f>IFERROR(__xludf.DUMMYFUNCTION("""COMPUTED_VALUE"""),31070.0)</f>
        <v>31070</v>
      </c>
      <c r="C2989" t="str">
        <f>IFERROR(__xludf.DUMMYFUNCTION("""COMPUTED_VALUE"""),"MEJIA GALLEGO, MARTIN")</f>
        <v>MEJIA GALLEGO, MARTIN</v>
      </c>
      <c r="D2989" t="str">
        <f>IFERROR(__xludf.DUMMYFUNCTION("""COMPUTED_VALUE"""),"Symphony BandS2")</f>
        <v>Symphony BandS2</v>
      </c>
      <c r="E2989" s="31" t="str">
        <f>IFERROR(__xludf.DUMMYFUNCTION("""COMPUTED_VALUE"""),"5a")</f>
        <v>5a</v>
      </c>
      <c r="F2989" s="8">
        <v>1.0</v>
      </c>
      <c r="G2989" s="8">
        <v>1.0</v>
      </c>
      <c r="H2989" s="8">
        <v>1.0</v>
      </c>
      <c r="I2989" s="8">
        <v>1.0</v>
      </c>
      <c r="J2989" s="8">
        <v>1.0</v>
      </c>
      <c r="K2989" s="8">
        <v>1.0</v>
      </c>
      <c r="L2989" s="8">
        <v>6.0</v>
      </c>
      <c r="M2989" s="8"/>
      <c r="N2989" s="8"/>
      <c r="O2989" s="8" t="s">
        <v>834</v>
      </c>
      <c r="P2989" s="8" t="e">
        <v>#N/A</v>
      </c>
    </row>
    <row r="2990">
      <c r="A2990">
        <f>IFERROR(__xludf.DUMMYFUNCTION("""COMPUTED_VALUE"""),6.0)</f>
        <v>6</v>
      </c>
      <c r="B2990">
        <f>IFERROR(__xludf.DUMMYFUNCTION("""COMPUTED_VALUE"""),31071.0)</f>
        <v>31071</v>
      </c>
      <c r="C2990" t="str">
        <f>IFERROR(__xludf.DUMMYFUNCTION("""COMPUTED_VALUE"""),"MEJIA TORO, MIGUEL")</f>
        <v>MEJIA TORO, MIGUEL</v>
      </c>
      <c r="D2990" t="str">
        <f>IFERROR(__xludf.DUMMYFUNCTION("""COMPUTED_VALUE"""),"Tech 6S2")</f>
        <v>Tech 6S2</v>
      </c>
      <c r="E2990" s="31" t="str">
        <f>IFERROR(__xludf.DUMMYFUNCTION("""COMPUTED_VALUE"""),"2a")</f>
        <v>2a</v>
      </c>
      <c r="F2990" s="8">
        <v>1.0</v>
      </c>
      <c r="G2990" s="8">
        <v>1.0</v>
      </c>
      <c r="H2990" s="8">
        <v>1.0</v>
      </c>
      <c r="I2990" s="8">
        <v>1.0</v>
      </c>
      <c r="J2990" s="8">
        <v>1.0</v>
      </c>
      <c r="K2990" s="8">
        <v>1.0</v>
      </c>
      <c r="L2990" s="8">
        <v>6.0</v>
      </c>
      <c r="M2990" s="8"/>
      <c r="N2990" s="8"/>
      <c r="O2990" s="8" t="s">
        <v>841</v>
      </c>
      <c r="P2990" s="8" t="e">
        <v>#N/A</v>
      </c>
    </row>
    <row r="2991">
      <c r="A2991">
        <f>IFERROR(__xludf.DUMMYFUNCTION("""COMPUTED_VALUE"""),6.0)</f>
        <v>6</v>
      </c>
      <c r="B2991">
        <f>IFERROR(__xludf.DUMMYFUNCTION("""COMPUTED_VALUE"""),31072.0)</f>
        <v>31072</v>
      </c>
      <c r="C2991" t="str">
        <f>IFERROR(__xludf.DUMMYFUNCTION("""COMPUTED_VALUE"""),"MEJIA VELEZ, ABRIL")</f>
        <v>MEJIA VELEZ, ABRIL</v>
      </c>
      <c r="D2991" t="str">
        <f>IFERROR(__xludf.DUMMYFUNCTION("""COMPUTED_VALUE"""),"Art 6S2")</f>
        <v>Art 6S2</v>
      </c>
      <c r="E2991" s="31" t="str">
        <f>IFERROR(__xludf.DUMMYFUNCTION("""COMPUTED_VALUE"""),"4a")</f>
        <v>4a</v>
      </c>
      <c r="F2991" s="8">
        <v>1.0</v>
      </c>
      <c r="G2991" s="8">
        <v>1.0</v>
      </c>
      <c r="H2991" s="8">
        <v>1.0</v>
      </c>
      <c r="I2991" s="8">
        <v>1.0</v>
      </c>
      <c r="J2991" s="8">
        <v>1.0</v>
      </c>
      <c r="K2991" s="8">
        <v>1.0</v>
      </c>
      <c r="L2991" s="8">
        <v>6.0</v>
      </c>
      <c r="M2991" s="8"/>
      <c r="N2991" s="8"/>
      <c r="O2991" s="8" t="s">
        <v>837</v>
      </c>
      <c r="P2991" s="8" t="e">
        <v>#N/A</v>
      </c>
    </row>
    <row r="2992">
      <c r="A2992">
        <f>IFERROR(__xludf.DUMMYFUNCTION("""COMPUTED_VALUE"""),6.0)</f>
        <v>6</v>
      </c>
      <c r="B2992">
        <f>IFERROR(__xludf.DUMMYFUNCTION("""COMPUTED_VALUE"""),31157.0)</f>
        <v>31157</v>
      </c>
      <c r="C2992" t="str">
        <f>IFERROR(__xludf.DUMMYFUNCTION("""COMPUTED_VALUE"""),"MILLAN HUERTAS, EMILIANO")</f>
        <v>MILLAN HUERTAS, EMILIANO</v>
      </c>
      <c r="D2992" t="str">
        <f>IFERROR(__xludf.DUMMYFUNCTION("""COMPUTED_VALUE"""),"Tech 6S2")</f>
        <v>Tech 6S2</v>
      </c>
      <c r="E2992" s="31" t="str">
        <f>IFERROR(__xludf.DUMMYFUNCTION("""COMPUTED_VALUE"""),"6b")</f>
        <v>6b</v>
      </c>
      <c r="F2992" s="8">
        <v>1.0</v>
      </c>
      <c r="G2992" s="8">
        <v>1.0</v>
      </c>
      <c r="H2992" s="8">
        <v>1.0</v>
      </c>
      <c r="I2992" s="8">
        <v>1.0</v>
      </c>
      <c r="J2992" s="8">
        <v>1.0</v>
      </c>
      <c r="K2992" s="8">
        <v>1.0</v>
      </c>
      <c r="L2992" s="8">
        <v>6.0</v>
      </c>
      <c r="M2992" s="8"/>
      <c r="N2992" s="8"/>
      <c r="O2992" s="8" t="s">
        <v>839</v>
      </c>
      <c r="P2992" s="8" t="e">
        <v>#N/A</v>
      </c>
    </row>
    <row r="2993">
      <c r="A2993">
        <f>IFERROR(__xludf.DUMMYFUNCTION("""COMPUTED_VALUE"""),6.0)</f>
        <v>6</v>
      </c>
      <c r="B2993">
        <f>IFERROR(__xludf.DUMMYFUNCTION("""COMPUTED_VALUE"""),31073.0)</f>
        <v>31073</v>
      </c>
      <c r="C2993" t="str">
        <f>IFERROR(__xludf.DUMMYFUNCTION("""COMPUTED_VALUE"""),"MISAS MESA, RAFAEL")</f>
        <v>MISAS MESA, RAFAEL</v>
      </c>
      <c r="D2993" t="str">
        <f>IFERROR(__xludf.DUMMYFUNCTION("""COMPUTED_VALUE"""),"Tech 6S2")</f>
        <v>Tech 6S2</v>
      </c>
      <c r="E2993" s="31" t="str">
        <f>IFERROR(__xludf.DUMMYFUNCTION("""COMPUTED_VALUE"""),"6b")</f>
        <v>6b</v>
      </c>
      <c r="F2993" s="8">
        <v>1.0</v>
      </c>
      <c r="G2993" s="8">
        <v>1.0</v>
      </c>
      <c r="H2993" s="8">
        <v>1.0</v>
      </c>
      <c r="I2993" s="8">
        <v>1.0</v>
      </c>
      <c r="J2993" s="8">
        <v>1.0</v>
      </c>
      <c r="K2993" s="8">
        <v>1.0</v>
      </c>
      <c r="L2993" s="8">
        <v>6.0</v>
      </c>
      <c r="M2993" s="8"/>
      <c r="N2993" s="8"/>
      <c r="O2993" s="8" t="s">
        <v>839</v>
      </c>
      <c r="P2993" s="8" t="e">
        <v>#N/A</v>
      </c>
    </row>
    <row r="2994">
      <c r="A2994">
        <f>IFERROR(__xludf.DUMMYFUNCTION("""COMPUTED_VALUE"""),6.0)</f>
        <v>6</v>
      </c>
      <c r="B2994">
        <f>IFERROR(__xludf.DUMMYFUNCTION("""COMPUTED_VALUE"""),31074.0)</f>
        <v>31074</v>
      </c>
      <c r="C2994" t="str">
        <f>IFERROR(__xludf.DUMMYFUNCTION("""COMPUTED_VALUE"""),"MONTOYA BERNAL, FELIPE")</f>
        <v>MONTOYA BERNAL, FELIPE</v>
      </c>
      <c r="D2994" t="str">
        <f>IFERROR(__xludf.DUMMYFUNCTION("""COMPUTED_VALUE"""),"Regular BandS2")</f>
        <v>Regular BandS2</v>
      </c>
      <c r="E2994" s="31" t="str">
        <f>IFERROR(__xludf.DUMMYFUNCTION("""COMPUTED_VALUE"""),"6a")</f>
        <v>6a</v>
      </c>
      <c r="F2994" s="8">
        <v>1.0</v>
      </c>
      <c r="G2994" s="8">
        <v>1.0</v>
      </c>
      <c r="H2994" s="8">
        <v>1.0</v>
      </c>
      <c r="I2994" s="8">
        <v>1.0</v>
      </c>
      <c r="J2994" s="8">
        <v>1.0</v>
      </c>
      <c r="K2994" s="8">
        <v>1.0</v>
      </c>
      <c r="L2994" s="8">
        <v>6.0</v>
      </c>
      <c r="M2994" s="8"/>
      <c r="N2994" s="8"/>
      <c r="O2994" s="8" t="s">
        <v>835</v>
      </c>
      <c r="P2994" s="8" t="e">
        <v>#N/A</v>
      </c>
    </row>
    <row r="2995">
      <c r="A2995">
        <f>IFERROR(__xludf.DUMMYFUNCTION("""COMPUTED_VALUE"""),6.0)</f>
        <v>6</v>
      </c>
      <c r="B2995">
        <f>IFERROR(__xludf.DUMMYFUNCTION("""COMPUTED_VALUE"""),31075.0)</f>
        <v>31075</v>
      </c>
      <c r="C2995" t="str">
        <f>IFERROR(__xludf.DUMMYFUNCTION("""COMPUTED_VALUE"""),"MORENO MORENO, CARLOTA")</f>
        <v>MORENO MORENO, CARLOTA</v>
      </c>
      <c r="D2995" t="str">
        <f>IFERROR(__xludf.DUMMYFUNCTION("""COMPUTED_VALUE"""),"Art 6S2")</f>
        <v>Art 6S2</v>
      </c>
      <c r="E2995" s="31" t="str">
        <f>IFERROR(__xludf.DUMMYFUNCTION("""COMPUTED_VALUE"""),"2a")</f>
        <v>2a</v>
      </c>
      <c r="F2995" s="8">
        <v>1.0</v>
      </c>
      <c r="G2995" s="8">
        <v>1.0</v>
      </c>
      <c r="H2995" s="8">
        <v>1.0</v>
      </c>
      <c r="I2995" s="8">
        <v>1.0</v>
      </c>
      <c r="J2995" s="8">
        <v>1.0</v>
      </c>
      <c r="K2995" s="8">
        <v>1.0</v>
      </c>
      <c r="L2995" s="8">
        <v>6.0</v>
      </c>
      <c r="M2995" s="8"/>
      <c r="N2995" s="8"/>
      <c r="O2995" s="8" t="s">
        <v>842</v>
      </c>
      <c r="P2995" s="8" t="e">
        <v>#N/A</v>
      </c>
    </row>
    <row r="2996">
      <c r="A2996">
        <f>IFERROR(__xludf.DUMMYFUNCTION("""COMPUTED_VALUE"""),6.0)</f>
        <v>6</v>
      </c>
      <c r="B2996">
        <f>IFERROR(__xludf.DUMMYFUNCTION("""COMPUTED_VALUE"""),31076.0)</f>
        <v>31076</v>
      </c>
      <c r="C2996" t="str">
        <f>IFERROR(__xludf.DUMMYFUNCTION("""COMPUTED_VALUE"""),"MORENO PALACIO, SIMON")</f>
        <v>MORENO PALACIO, SIMON</v>
      </c>
      <c r="D2996" t="str">
        <f>IFERROR(__xludf.DUMMYFUNCTION("""COMPUTED_VALUE"""),"Regular BandS2")</f>
        <v>Regular BandS2</v>
      </c>
      <c r="E2996" s="31" t="str">
        <f>IFERROR(__xludf.DUMMYFUNCTION("""COMPUTED_VALUE"""),"6a")</f>
        <v>6a</v>
      </c>
      <c r="F2996" s="8">
        <v>1.0</v>
      </c>
      <c r="G2996" s="8">
        <v>1.0</v>
      </c>
      <c r="H2996" s="8">
        <v>1.0</v>
      </c>
      <c r="I2996" s="8">
        <v>1.0</v>
      </c>
      <c r="J2996" s="8">
        <v>1.0</v>
      </c>
      <c r="K2996" s="8">
        <v>1.0</v>
      </c>
      <c r="L2996" s="8">
        <v>6.0</v>
      </c>
      <c r="M2996" s="8"/>
      <c r="N2996" s="8"/>
      <c r="O2996" s="8" t="s">
        <v>835</v>
      </c>
      <c r="P2996" s="8" t="e">
        <v>#N/A</v>
      </c>
    </row>
    <row r="2997">
      <c r="A2997">
        <f>IFERROR(__xludf.DUMMYFUNCTION("""COMPUTED_VALUE"""),6.0)</f>
        <v>6</v>
      </c>
      <c r="B2997">
        <f>IFERROR(__xludf.DUMMYFUNCTION("""COMPUTED_VALUE"""),31077.0)</f>
        <v>31077</v>
      </c>
      <c r="C2997" t="str">
        <f>IFERROR(__xludf.DUMMYFUNCTION("""COMPUTED_VALUE"""),"MUÑOZ JARAMILLO, MARIANA")</f>
        <v>MUÑOZ JARAMILLO, MARIANA</v>
      </c>
      <c r="D2997" t="str">
        <f>IFERROR(__xludf.DUMMYFUNCTION("""COMPUTED_VALUE"""),"Art 6S2")</f>
        <v>Art 6S2</v>
      </c>
      <c r="E2997" s="31" t="str">
        <f>IFERROR(__xludf.DUMMYFUNCTION("""COMPUTED_VALUE"""),"4a")</f>
        <v>4a</v>
      </c>
      <c r="F2997" s="8">
        <v>1.0</v>
      </c>
      <c r="G2997" s="8">
        <v>1.0</v>
      </c>
      <c r="H2997" s="8">
        <v>1.0</v>
      </c>
      <c r="I2997" s="8">
        <v>1.0</v>
      </c>
      <c r="J2997" s="8">
        <v>1.0</v>
      </c>
      <c r="K2997" s="8">
        <v>1.0</v>
      </c>
      <c r="L2997" s="8">
        <v>6.0</v>
      </c>
      <c r="M2997" s="8"/>
      <c r="N2997" s="8"/>
      <c r="O2997" s="8" t="s">
        <v>837</v>
      </c>
      <c r="P2997" s="8" t="e">
        <v>#N/A</v>
      </c>
    </row>
    <row r="2998">
      <c r="A2998">
        <f>IFERROR(__xludf.DUMMYFUNCTION("""COMPUTED_VALUE"""),6.0)</f>
        <v>6</v>
      </c>
      <c r="B2998">
        <f>IFERROR(__xludf.DUMMYFUNCTION("""COMPUTED_VALUE"""),31078.0)</f>
        <v>31078</v>
      </c>
      <c r="C2998" t="str">
        <f>IFERROR(__xludf.DUMMYFUNCTION("""COMPUTED_VALUE"""),"NAVARRO ABAD, FERNANDA")</f>
        <v>NAVARRO ABAD, FERNANDA</v>
      </c>
      <c r="D2998" t="str">
        <f>IFERROR(__xludf.DUMMYFUNCTION("""COMPUTED_VALUE"""),"Regular BandS2")</f>
        <v>Regular BandS2</v>
      </c>
      <c r="E2998" s="31" t="str">
        <f>IFERROR(__xludf.DUMMYFUNCTION("""COMPUTED_VALUE"""),"6a")</f>
        <v>6a</v>
      </c>
      <c r="F2998" s="8">
        <v>1.0</v>
      </c>
      <c r="G2998" s="8">
        <v>1.0</v>
      </c>
      <c r="H2998" s="8">
        <v>1.0</v>
      </c>
      <c r="I2998" s="8">
        <v>1.0</v>
      </c>
      <c r="J2998" s="8">
        <v>1.0</v>
      </c>
      <c r="K2998" s="8">
        <v>1.0</v>
      </c>
      <c r="L2998" s="8">
        <v>6.0</v>
      </c>
      <c r="M2998" s="8"/>
      <c r="N2998" s="8"/>
      <c r="O2998" s="8" t="s">
        <v>835</v>
      </c>
      <c r="P2998" s="8" t="e">
        <v>#N/A</v>
      </c>
    </row>
    <row r="2999">
      <c r="A2999">
        <f>IFERROR(__xludf.DUMMYFUNCTION("""COMPUTED_VALUE"""),6.0)</f>
        <v>6</v>
      </c>
      <c r="B2999">
        <f>IFERROR(__xludf.DUMMYFUNCTION("""COMPUTED_VALUE"""),31079.0)</f>
        <v>31079</v>
      </c>
      <c r="C2999" t="str">
        <f>IFERROR(__xludf.DUMMYFUNCTION("""COMPUTED_VALUE"""),"OBERTI FRANCO, LINDA")</f>
        <v>OBERTI FRANCO, LINDA</v>
      </c>
      <c r="D2999" t="str">
        <f>IFERROR(__xludf.DUMMYFUNCTION("""COMPUTED_VALUE"""),"Symphony BandS2")</f>
        <v>Symphony BandS2</v>
      </c>
      <c r="E2999" s="31" t="str">
        <f>IFERROR(__xludf.DUMMYFUNCTION("""COMPUTED_VALUE"""),"5a")</f>
        <v>5a</v>
      </c>
      <c r="F2999" s="8">
        <v>1.0</v>
      </c>
      <c r="G2999" s="8">
        <v>1.0</v>
      </c>
      <c r="H2999" s="8">
        <v>1.0</v>
      </c>
      <c r="I2999" s="8">
        <v>1.0</v>
      </c>
      <c r="J2999" s="8">
        <v>1.0</v>
      </c>
      <c r="K2999" s="8">
        <v>1.0</v>
      </c>
      <c r="L2999" s="8">
        <v>6.0</v>
      </c>
      <c r="M2999" s="8"/>
      <c r="N2999" s="8"/>
      <c r="O2999" s="8" t="s">
        <v>834</v>
      </c>
      <c r="P2999" s="8" t="e">
        <v>#N/A</v>
      </c>
    </row>
    <row r="3000">
      <c r="A3000">
        <f>IFERROR(__xludf.DUMMYFUNCTION("""COMPUTED_VALUE"""),6.0)</f>
        <v>6</v>
      </c>
      <c r="B3000">
        <f>IFERROR(__xludf.DUMMYFUNCTION("""COMPUTED_VALUE"""),31080.0)</f>
        <v>31080</v>
      </c>
      <c r="C3000" t="str">
        <f>IFERROR(__xludf.DUMMYFUNCTION("""COMPUTED_VALUE"""),"OCAMPO CEBALLOS, RAFAEL")</f>
        <v>OCAMPO CEBALLOS, RAFAEL</v>
      </c>
      <c r="D3000" t="str">
        <f>IFERROR(__xludf.DUMMYFUNCTION("""COMPUTED_VALUE"""),"Tech 6S2")</f>
        <v>Tech 6S2</v>
      </c>
      <c r="E3000" s="31" t="str">
        <f>IFERROR(__xludf.DUMMYFUNCTION("""COMPUTED_VALUE"""),"2a")</f>
        <v>2a</v>
      </c>
      <c r="F3000" s="8">
        <v>1.0</v>
      </c>
      <c r="G3000" s="8">
        <v>1.0</v>
      </c>
      <c r="H3000" s="8">
        <v>1.0</v>
      </c>
      <c r="I3000" s="8">
        <v>1.0</v>
      </c>
      <c r="J3000" s="8">
        <v>1.0</v>
      </c>
      <c r="K3000" s="8">
        <v>1.0</v>
      </c>
      <c r="L3000" s="8">
        <v>6.0</v>
      </c>
      <c r="M3000" s="8"/>
      <c r="N3000" s="8"/>
      <c r="O3000" s="8" t="s">
        <v>841</v>
      </c>
      <c r="P3000" s="8" t="e">
        <v>#N/A</v>
      </c>
    </row>
    <row r="3001">
      <c r="A3001">
        <f>IFERROR(__xludf.DUMMYFUNCTION("""COMPUTED_VALUE"""),6.0)</f>
        <v>6</v>
      </c>
      <c r="B3001">
        <f>IFERROR(__xludf.DUMMYFUNCTION("""COMPUTED_VALUE"""),31081.0)</f>
        <v>31081</v>
      </c>
      <c r="C3001" t="str">
        <f>IFERROR(__xludf.DUMMYFUNCTION("""COMPUTED_VALUE"""),"OROZCO MONTOYA, MARTINA")</f>
        <v>OROZCO MONTOYA, MARTINA</v>
      </c>
      <c r="D3001" t="str">
        <f>IFERROR(__xludf.DUMMYFUNCTION("""COMPUTED_VALUE"""),"Art 6S2")</f>
        <v>Art 6S2</v>
      </c>
      <c r="E3001" s="31" t="str">
        <f>IFERROR(__xludf.DUMMYFUNCTION("""COMPUTED_VALUE"""),"2a")</f>
        <v>2a</v>
      </c>
      <c r="F3001" s="8">
        <v>1.0</v>
      </c>
      <c r="G3001" s="8">
        <v>1.0</v>
      </c>
      <c r="H3001" s="8">
        <v>1.0</v>
      </c>
      <c r="I3001" s="8">
        <v>1.0</v>
      </c>
      <c r="J3001" s="8">
        <v>1.0</v>
      </c>
      <c r="K3001" s="8">
        <v>1.0</v>
      </c>
      <c r="L3001" s="8">
        <v>6.0</v>
      </c>
      <c r="M3001" s="8"/>
      <c r="N3001" s="8"/>
      <c r="O3001" s="8" t="s">
        <v>842</v>
      </c>
      <c r="P3001" s="8" t="e">
        <v>#N/A</v>
      </c>
    </row>
    <row r="3002">
      <c r="A3002">
        <f>IFERROR(__xludf.DUMMYFUNCTION("""COMPUTED_VALUE"""),6.0)</f>
        <v>6</v>
      </c>
      <c r="B3002">
        <f>IFERROR(__xludf.DUMMYFUNCTION("""COMPUTED_VALUE"""),31082.0)</f>
        <v>31082</v>
      </c>
      <c r="C3002" t="str">
        <f>IFERROR(__xludf.DUMMYFUNCTION("""COMPUTED_VALUE"""),"ORTIZ MOLINA, MARTINA")</f>
        <v>ORTIZ MOLINA, MARTINA</v>
      </c>
      <c r="D3002" t="str">
        <f>IFERROR(__xludf.DUMMYFUNCTION("""COMPUTED_VALUE"""),"Tech 6S2")</f>
        <v>Tech 6S2</v>
      </c>
      <c r="E3002" s="31" t="str">
        <f>IFERROR(__xludf.DUMMYFUNCTION("""COMPUTED_VALUE"""),"4a")</f>
        <v>4a</v>
      </c>
      <c r="F3002" s="8">
        <v>1.0</v>
      </c>
      <c r="G3002" s="8">
        <v>1.0</v>
      </c>
      <c r="H3002" s="8">
        <v>1.0</v>
      </c>
      <c r="I3002" s="8">
        <v>1.0</v>
      </c>
      <c r="J3002" s="8">
        <v>1.0</v>
      </c>
      <c r="K3002" s="8">
        <v>1.0</v>
      </c>
      <c r="L3002" s="8">
        <v>6.0</v>
      </c>
      <c r="M3002" s="8"/>
      <c r="N3002" s="8"/>
      <c r="O3002" s="8" t="s">
        <v>833</v>
      </c>
      <c r="P3002" s="8" t="e">
        <v>#N/A</v>
      </c>
    </row>
    <row r="3003">
      <c r="A3003">
        <f>IFERROR(__xludf.DUMMYFUNCTION("""COMPUTED_VALUE"""),6.0)</f>
        <v>6</v>
      </c>
      <c r="B3003">
        <f>IFERROR(__xludf.DUMMYFUNCTION("""COMPUTED_VALUE"""),31083.0)</f>
        <v>31083</v>
      </c>
      <c r="C3003" t="str">
        <f>IFERROR(__xludf.DUMMYFUNCTION("""COMPUTED_VALUE"""),"OSORIO GARCIA, JERONIMO")</f>
        <v>OSORIO GARCIA, JERONIMO</v>
      </c>
      <c r="D3003" t="str">
        <f>IFERROR(__xludf.DUMMYFUNCTION("""COMPUTED_VALUE"""),"Art 6S2")</f>
        <v>Art 6S2</v>
      </c>
      <c r="E3003" s="31" t="str">
        <f>IFERROR(__xludf.DUMMYFUNCTION("""COMPUTED_VALUE"""),"1b")</f>
        <v>1b</v>
      </c>
      <c r="F3003" s="8">
        <v>1.0</v>
      </c>
      <c r="G3003" s="8">
        <v>1.0</v>
      </c>
      <c r="H3003" s="8">
        <v>1.0</v>
      </c>
      <c r="I3003" s="8">
        <v>1.0</v>
      </c>
      <c r="J3003" s="8">
        <v>1.0</v>
      </c>
      <c r="K3003" s="8">
        <v>1.0</v>
      </c>
      <c r="L3003" s="8">
        <v>6.0</v>
      </c>
      <c r="M3003" s="8"/>
      <c r="N3003" s="8"/>
      <c r="O3003" s="8" t="s">
        <v>836</v>
      </c>
      <c r="P3003" s="8" t="e">
        <v>#N/A</v>
      </c>
    </row>
    <row r="3004">
      <c r="A3004">
        <f>IFERROR(__xludf.DUMMYFUNCTION("""COMPUTED_VALUE"""),6.0)</f>
        <v>6</v>
      </c>
      <c r="B3004">
        <f>IFERROR(__xludf.DUMMYFUNCTION("""COMPUTED_VALUE"""),31084.0)</f>
        <v>31084</v>
      </c>
      <c r="C3004" t="str">
        <f>IFERROR(__xludf.DUMMYFUNCTION("""COMPUTED_VALUE"""),"OSORIO MARIN, GABRIELA")</f>
        <v>OSORIO MARIN, GABRIELA</v>
      </c>
      <c r="D3004" t="str">
        <f>IFERROR(__xludf.DUMMYFUNCTION("""COMPUTED_VALUE"""),"Art 6S2")</f>
        <v>Art 6S2</v>
      </c>
      <c r="E3004" s="31" t="str">
        <f>IFERROR(__xludf.DUMMYFUNCTION("""COMPUTED_VALUE"""),"4a")</f>
        <v>4a</v>
      </c>
      <c r="F3004" s="8">
        <v>1.0</v>
      </c>
      <c r="G3004" s="8">
        <v>1.0</v>
      </c>
      <c r="H3004" s="8">
        <v>1.0</v>
      </c>
      <c r="I3004" s="8">
        <v>1.0</v>
      </c>
      <c r="J3004" s="8">
        <v>1.0</v>
      </c>
      <c r="K3004" s="8">
        <v>1.0</v>
      </c>
      <c r="L3004" s="8">
        <v>6.0</v>
      </c>
      <c r="M3004" s="8"/>
      <c r="N3004" s="8"/>
      <c r="O3004" s="8" t="s">
        <v>837</v>
      </c>
      <c r="P3004" s="8" t="e">
        <v>#N/A</v>
      </c>
    </row>
    <row r="3005">
      <c r="A3005">
        <f>IFERROR(__xludf.DUMMYFUNCTION("""COMPUTED_VALUE"""),6.0)</f>
        <v>6</v>
      </c>
      <c r="B3005">
        <f>IFERROR(__xludf.DUMMYFUNCTION("""COMPUTED_VALUE"""),31085.0)</f>
        <v>31085</v>
      </c>
      <c r="C3005" t="str">
        <f>IFERROR(__xludf.DUMMYFUNCTION("""COMPUTED_VALUE"""),"OSORIO QUINTERO, SALOME")</f>
        <v>OSORIO QUINTERO, SALOME</v>
      </c>
      <c r="D3005" t="str">
        <f>IFERROR(__xludf.DUMMYFUNCTION("""COMPUTED_VALUE"""),"Art 6S2")</f>
        <v>Art 6S2</v>
      </c>
      <c r="E3005" s="31" t="str">
        <f>IFERROR(__xludf.DUMMYFUNCTION("""COMPUTED_VALUE"""),"6b")</f>
        <v>6b</v>
      </c>
      <c r="F3005" s="8">
        <v>1.0</v>
      </c>
      <c r="G3005" s="8">
        <v>1.0</v>
      </c>
      <c r="H3005" s="8">
        <v>1.0</v>
      </c>
      <c r="I3005" s="8">
        <v>1.0</v>
      </c>
      <c r="J3005" s="8">
        <v>1.0</v>
      </c>
      <c r="K3005" s="8">
        <v>1.0</v>
      </c>
      <c r="L3005" s="8">
        <v>6.0</v>
      </c>
      <c r="M3005" s="8"/>
      <c r="N3005" s="8"/>
      <c r="O3005" s="8" t="s">
        <v>840</v>
      </c>
      <c r="P3005" s="8" t="e">
        <v>#N/A</v>
      </c>
    </row>
    <row r="3006">
      <c r="A3006">
        <f>IFERROR(__xludf.DUMMYFUNCTION("""COMPUTED_VALUE"""),6.0)</f>
        <v>6</v>
      </c>
      <c r="B3006">
        <f>IFERROR(__xludf.DUMMYFUNCTION("""COMPUTED_VALUE"""),31158.0)</f>
        <v>31158</v>
      </c>
      <c r="C3006" t="str">
        <f>IFERROR(__xludf.DUMMYFUNCTION("""COMPUTED_VALUE"""),"OSORIO RUIZ, AMELIA")</f>
        <v>OSORIO RUIZ, AMELIA</v>
      </c>
      <c r="D3006" t="str">
        <f>IFERROR(__xludf.DUMMYFUNCTION("""COMPUTED_VALUE"""),"Art 6S2")</f>
        <v>Art 6S2</v>
      </c>
      <c r="E3006" s="31" t="str">
        <f>IFERROR(__xludf.DUMMYFUNCTION("""COMPUTED_VALUE"""),"6b")</f>
        <v>6b</v>
      </c>
      <c r="F3006" s="8">
        <v>1.0</v>
      </c>
      <c r="G3006" s="8">
        <v>1.0</v>
      </c>
      <c r="H3006" s="8">
        <v>1.0</v>
      </c>
      <c r="I3006" s="8">
        <v>1.0</v>
      </c>
      <c r="J3006" s="8">
        <v>1.0</v>
      </c>
      <c r="K3006" s="8">
        <v>1.0</v>
      </c>
      <c r="L3006" s="8">
        <v>6.0</v>
      </c>
      <c r="M3006" s="8"/>
      <c r="N3006" s="8"/>
      <c r="O3006" s="8" t="s">
        <v>840</v>
      </c>
      <c r="P3006" s="8" t="e">
        <v>#N/A</v>
      </c>
    </row>
    <row r="3007">
      <c r="A3007">
        <f>IFERROR(__xludf.DUMMYFUNCTION("""COMPUTED_VALUE"""),6.0)</f>
        <v>6</v>
      </c>
      <c r="B3007">
        <f>IFERROR(__xludf.DUMMYFUNCTION("""COMPUTED_VALUE"""),31086.0)</f>
        <v>31086</v>
      </c>
      <c r="C3007" t="str">
        <f>IFERROR(__xludf.DUMMYFUNCTION("""COMPUTED_VALUE"""),"PATERNINA SALDARRIAGA, SOFIA")</f>
        <v>PATERNINA SALDARRIAGA, SOFIA</v>
      </c>
      <c r="D3007" t="str">
        <f>IFERROR(__xludf.DUMMYFUNCTION("""COMPUTED_VALUE"""),"Tech 6S2")</f>
        <v>Tech 6S2</v>
      </c>
      <c r="E3007" s="31" t="str">
        <f>IFERROR(__xludf.DUMMYFUNCTION("""COMPUTED_VALUE"""),"1b")</f>
        <v>1b</v>
      </c>
      <c r="F3007" s="8">
        <v>1.0</v>
      </c>
      <c r="G3007" s="8">
        <v>1.0</v>
      </c>
      <c r="H3007" s="8">
        <v>1.0</v>
      </c>
      <c r="I3007" s="8">
        <v>1.0</v>
      </c>
      <c r="J3007" s="8">
        <v>1.0</v>
      </c>
      <c r="K3007" s="8">
        <v>1.0</v>
      </c>
      <c r="L3007" s="8">
        <v>6.0</v>
      </c>
      <c r="M3007" s="8"/>
      <c r="N3007" s="8"/>
      <c r="O3007" s="8" t="s">
        <v>838</v>
      </c>
      <c r="P3007" s="8" t="e">
        <v>#N/A</v>
      </c>
    </row>
    <row r="3008">
      <c r="A3008">
        <f>IFERROR(__xludf.DUMMYFUNCTION("""COMPUTED_VALUE"""),6.0)</f>
        <v>6</v>
      </c>
      <c r="B3008">
        <f>IFERROR(__xludf.DUMMYFUNCTION("""COMPUTED_VALUE"""),31087.0)</f>
        <v>31087</v>
      </c>
      <c r="C3008" t="str">
        <f>IFERROR(__xludf.DUMMYFUNCTION("""COMPUTED_VALUE"""),"PEAK DUQUE, NICOLE")</f>
        <v>PEAK DUQUE, NICOLE</v>
      </c>
      <c r="D3008" t="str">
        <f>IFERROR(__xludf.DUMMYFUNCTION("""COMPUTED_VALUE"""),"Tech 6S2")</f>
        <v>Tech 6S2</v>
      </c>
      <c r="E3008" s="31" t="str">
        <f>IFERROR(__xludf.DUMMYFUNCTION("""COMPUTED_VALUE"""),"1b")</f>
        <v>1b</v>
      </c>
      <c r="F3008" s="8">
        <v>1.0</v>
      </c>
      <c r="G3008" s="8">
        <v>1.0</v>
      </c>
      <c r="H3008" s="8">
        <v>1.0</v>
      </c>
      <c r="I3008" s="8">
        <v>1.0</v>
      </c>
      <c r="J3008" s="8">
        <v>1.0</v>
      </c>
      <c r="K3008" s="8">
        <v>1.0</v>
      </c>
      <c r="L3008" s="8">
        <v>6.0</v>
      </c>
      <c r="M3008" s="8"/>
      <c r="N3008" s="8"/>
      <c r="O3008" s="8" t="s">
        <v>838</v>
      </c>
      <c r="P3008" s="8" t="e">
        <v>#N/A</v>
      </c>
    </row>
    <row r="3009">
      <c r="A3009">
        <f>IFERROR(__xludf.DUMMYFUNCTION("""COMPUTED_VALUE"""),6.0)</f>
        <v>6</v>
      </c>
      <c r="B3009">
        <f>IFERROR(__xludf.DUMMYFUNCTION("""COMPUTED_VALUE"""),31089.0)</f>
        <v>31089</v>
      </c>
      <c r="C3009" t="str">
        <f>IFERROR(__xludf.DUMMYFUNCTION("""COMPUTED_VALUE"""),"PELAEZ BORDA, DAVID")</f>
        <v>PELAEZ BORDA, DAVID</v>
      </c>
      <c r="D3009" t="str">
        <f>IFERROR(__xludf.DUMMYFUNCTION("""COMPUTED_VALUE"""),"Tech 6S2")</f>
        <v>Tech 6S2</v>
      </c>
      <c r="E3009" s="31" t="str">
        <f>IFERROR(__xludf.DUMMYFUNCTION("""COMPUTED_VALUE"""),"2a")</f>
        <v>2a</v>
      </c>
      <c r="F3009" s="8">
        <v>1.0</v>
      </c>
      <c r="G3009" s="8">
        <v>1.0</v>
      </c>
      <c r="H3009" s="8">
        <v>1.0</v>
      </c>
      <c r="I3009" s="8">
        <v>1.0</v>
      </c>
      <c r="J3009" s="8">
        <v>1.0</v>
      </c>
      <c r="K3009" s="8">
        <v>1.0</v>
      </c>
      <c r="L3009" s="8">
        <v>6.0</v>
      </c>
      <c r="M3009" s="8"/>
      <c r="N3009" s="8"/>
      <c r="O3009" s="8" t="s">
        <v>841</v>
      </c>
      <c r="P3009" s="8" t="e">
        <v>#N/A</v>
      </c>
    </row>
    <row r="3010">
      <c r="A3010">
        <f>IFERROR(__xludf.DUMMYFUNCTION("""COMPUTED_VALUE"""),6.0)</f>
        <v>6</v>
      </c>
      <c r="B3010">
        <f>IFERROR(__xludf.DUMMYFUNCTION("""COMPUTED_VALUE"""),31088.0)</f>
        <v>31088</v>
      </c>
      <c r="C3010" t="str">
        <f>IFERROR(__xludf.DUMMYFUNCTION("""COMPUTED_VALUE"""),"PELAEZ BOTERO, AMELIA")</f>
        <v>PELAEZ BOTERO, AMELIA</v>
      </c>
      <c r="D3010" t="str">
        <f>IFERROR(__xludf.DUMMYFUNCTION("""COMPUTED_VALUE"""),"Tech 6S2")</f>
        <v>Tech 6S2</v>
      </c>
      <c r="E3010" s="31" t="str">
        <f>IFERROR(__xludf.DUMMYFUNCTION("""COMPUTED_VALUE"""),"4a")</f>
        <v>4a</v>
      </c>
      <c r="F3010" s="8">
        <v>1.0</v>
      </c>
      <c r="G3010" s="8">
        <v>1.0</v>
      </c>
      <c r="H3010" s="8">
        <v>1.0</v>
      </c>
      <c r="I3010" s="8">
        <v>1.0</v>
      </c>
      <c r="J3010" s="8">
        <v>1.0</v>
      </c>
      <c r="K3010" s="8">
        <v>1.0</v>
      </c>
      <c r="L3010" s="8">
        <v>6.0</v>
      </c>
      <c r="M3010" s="8"/>
      <c r="N3010" s="8"/>
      <c r="O3010" s="8" t="s">
        <v>833</v>
      </c>
      <c r="P3010" s="8" t="e">
        <v>#N/A</v>
      </c>
    </row>
    <row r="3011">
      <c r="A3011">
        <f>IFERROR(__xludf.DUMMYFUNCTION("""COMPUTED_VALUE"""),6.0)</f>
        <v>6</v>
      </c>
      <c r="B3011">
        <f>IFERROR(__xludf.DUMMYFUNCTION("""COMPUTED_VALUE"""),31090.0)</f>
        <v>31090</v>
      </c>
      <c r="C3011" t="str">
        <f>IFERROR(__xludf.DUMMYFUNCTION("""COMPUTED_VALUE"""),"PELAEZ PIEDRAHITA, EMILIO")</f>
        <v>PELAEZ PIEDRAHITA, EMILIO</v>
      </c>
      <c r="D3011" t="str">
        <f>IFERROR(__xludf.DUMMYFUNCTION("""COMPUTED_VALUE"""),"Regular BandS2")</f>
        <v>Regular BandS2</v>
      </c>
      <c r="E3011" s="31" t="str">
        <f>IFERROR(__xludf.DUMMYFUNCTION("""COMPUTED_VALUE"""),"6a")</f>
        <v>6a</v>
      </c>
      <c r="F3011" s="8">
        <v>1.0</v>
      </c>
      <c r="G3011" s="8">
        <v>1.0</v>
      </c>
      <c r="H3011" s="8">
        <v>1.0</v>
      </c>
      <c r="I3011" s="8">
        <v>1.0</v>
      </c>
      <c r="J3011" s="8">
        <v>1.0</v>
      </c>
      <c r="K3011" s="8">
        <v>1.0</v>
      </c>
      <c r="L3011" s="8">
        <v>6.0</v>
      </c>
      <c r="M3011" s="8"/>
      <c r="N3011" s="8"/>
      <c r="O3011" s="8" t="s">
        <v>835</v>
      </c>
      <c r="P3011" s="8" t="e">
        <v>#N/A</v>
      </c>
    </row>
    <row r="3012">
      <c r="A3012">
        <f>IFERROR(__xludf.DUMMYFUNCTION("""COMPUTED_VALUE"""),6.0)</f>
        <v>6</v>
      </c>
      <c r="B3012">
        <f>IFERROR(__xludf.DUMMYFUNCTION("""COMPUTED_VALUE"""),31092.0)</f>
        <v>31092</v>
      </c>
      <c r="C3012" t="str">
        <f>IFERROR(__xludf.DUMMYFUNCTION("""COMPUTED_VALUE"""),"PEREZ DUQUE, JULIA")</f>
        <v>PEREZ DUQUE, JULIA</v>
      </c>
      <c r="D3012" t="str">
        <f>IFERROR(__xludf.DUMMYFUNCTION("""COMPUTED_VALUE"""),"Regular BandS2")</f>
        <v>Regular BandS2</v>
      </c>
      <c r="E3012" s="31" t="str">
        <f>IFERROR(__xludf.DUMMYFUNCTION("""COMPUTED_VALUE"""),"6a")</f>
        <v>6a</v>
      </c>
      <c r="F3012" s="8">
        <v>1.0</v>
      </c>
      <c r="G3012" s="8">
        <v>1.0</v>
      </c>
      <c r="H3012" s="8">
        <v>1.0</v>
      </c>
      <c r="I3012" s="8">
        <v>1.0</v>
      </c>
      <c r="J3012" s="8">
        <v>1.0</v>
      </c>
      <c r="K3012" s="8">
        <v>1.0</v>
      </c>
      <c r="L3012" s="8">
        <v>6.0</v>
      </c>
      <c r="M3012" s="8"/>
      <c r="N3012" s="8"/>
      <c r="O3012" s="8" t="s">
        <v>835</v>
      </c>
      <c r="P3012" s="8" t="e">
        <v>#N/A</v>
      </c>
    </row>
    <row r="3013">
      <c r="A3013">
        <f>IFERROR(__xludf.DUMMYFUNCTION("""COMPUTED_VALUE"""),6.0)</f>
        <v>6</v>
      </c>
      <c r="B3013">
        <f>IFERROR(__xludf.DUMMYFUNCTION("""COMPUTED_VALUE"""),31091.0)</f>
        <v>31091</v>
      </c>
      <c r="C3013" t="str">
        <f>IFERROR(__xludf.DUMMYFUNCTION("""COMPUTED_VALUE"""),"PEREZ OTERO, ALEJANDRO")</f>
        <v>PEREZ OTERO, ALEJANDRO</v>
      </c>
      <c r="D3013" t="str">
        <f>IFERROR(__xludf.DUMMYFUNCTION("""COMPUTED_VALUE"""),"Art 6S2")</f>
        <v>Art 6S2</v>
      </c>
      <c r="E3013" s="31" t="str">
        <f>IFERROR(__xludf.DUMMYFUNCTION("""COMPUTED_VALUE"""),"2a")</f>
        <v>2a</v>
      </c>
      <c r="F3013" s="8">
        <v>1.0</v>
      </c>
      <c r="G3013" s="8">
        <v>1.0</v>
      </c>
      <c r="H3013" s="8">
        <v>1.0</v>
      </c>
      <c r="I3013" s="8">
        <v>1.0</v>
      </c>
      <c r="J3013" s="8">
        <v>1.0</v>
      </c>
      <c r="K3013" s="8">
        <v>1.0</v>
      </c>
      <c r="L3013" s="8">
        <v>6.0</v>
      </c>
      <c r="M3013" s="8"/>
      <c r="N3013" s="8"/>
      <c r="O3013" s="8" t="s">
        <v>842</v>
      </c>
      <c r="P3013" s="8" t="e">
        <v>#N/A</v>
      </c>
    </row>
    <row r="3014">
      <c r="A3014">
        <f>IFERROR(__xludf.DUMMYFUNCTION("""COMPUTED_VALUE"""),6.0)</f>
        <v>6</v>
      </c>
      <c r="B3014">
        <f>IFERROR(__xludf.DUMMYFUNCTION("""COMPUTED_VALUE"""),31160.0)</f>
        <v>31160</v>
      </c>
      <c r="C3014" t="str">
        <f>IFERROR(__xludf.DUMMYFUNCTION("""COMPUTED_VALUE"""),"PFORTNER CASTRO, MORITZ")</f>
        <v>PFORTNER CASTRO, MORITZ</v>
      </c>
      <c r="D3014" t="str">
        <f>IFERROR(__xludf.DUMMYFUNCTION("""COMPUTED_VALUE"""),"Tech 6S2")</f>
        <v>Tech 6S2</v>
      </c>
      <c r="E3014" s="31" t="str">
        <f>IFERROR(__xludf.DUMMYFUNCTION("""COMPUTED_VALUE"""),"2a")</f>
        <v>2a</v>
      </c>
      <c r="F3014" s="8">
        <v>1.0</v>
      </c>
      <c r="G3014" s="8">
        <v>1.0</v>
      </c>
      <c r="H3014" s="8">
        <v>1.0</v>
      </c>
      <c r="I3014" s="8">
        <v>1.0</v>
      </c>
      <c r="J3014" s="8">
        <v>1.0</v>
      </c>
      <c r="K3014" s="8">
        <v>1.0</v>
      </c>
      <c r="L3014" s="8">
        <v>6.0</v>
      </c>
      <c r="M3014" s="8"/>
      <c r="N3014" s="8"/>
      <c r="O3014" s="8" t="s">
        <v>841</v>
      </c>
      <c r="P3014" s="8" t="e">
        <v>#N/A</v>
      </c>
    </row>
    <row r="3015">
      <c r="A3015">
        <f>IFERROR(__xludf.DUMMYFUNCTION("""COMPUTED_VALUE"""),6.0)</f>
        <v>6</v>
      </c>
      <c r="B3015">
        <f>IFERROR(__xludf.DUMMYFUNCTION("""COMPUTED_VALUE"""),31093.0)</f>
        <v>31093</v>
      </c>
      <c r="C3015" t="str">
        <f>IFERROR(__xludf.DUMMYFUNCTION("""COMPUTED_VALUE"""),"PICO RUEDA, SEBASTIAN")</f>
        <v>PICO RUEDA, SEBASTIAN</v>
      </c>
      <c r="D3015" t="str">
        <f>IFERROR(__xludf.DUMMYFUNCTION("""COMPUTED_VALUE"""),"Tech 6S2")</f>
        <v>Tech 6S2</v>
      </c>
      <c r="E3015" s="31" t="str">
        <f>IFERROR(__xludf.DUMMYFUNCTION("""COMPUTED_VALUE"""),"1b")</f>
        <v>1b</v>
      </c>
      <c r="F3015" s="8">
        <v>1.0</v>
      </c>
      <c r="G3015" s="8">
        <v>1.0</v>
      </c>
      <c r="H3015" s="8">
        <v>1.0</v>
      </c>
      <c r="I3015" s="8">
        <v>1.0</v>
      </c>
      <c r="J3015" s="8">
        <v>1.0</v>
      </c>
      <c r="K3015" s="8">
        <v>1.0</v>
      </c>
      <c r="L3015" s="8">
        <v>6.0</v>
      </c>
      <c r="M3015" s="8"/>
      <c r="N3015" s="8"/>
      <c r="O3015" s="8" t="s">
        <v>838</v>
      </c>
      <c r="P3015" s="8" t="e">
        <v>#N/A</v>
      </c>
    </row>
    <row r="3016">
      <c r="A3016">
        <f>IFERROR(__xludf.DUMMYFUNCTION("""COMPUTED_VALUE"""),6.0)</f>
        <v>6</v>
      </c>
      <c r="B3016">
        <f>IFERROR(__xludf.DUMMYFUNCTION("""COMPUTED_VALUE"""),31095.0)</f>
        <v>31095</v>
      </c>
      <c r="C3016" t="str">
        <f>IFERROR(__xludf.DUMMYFUNCTION("""COMPUTED_VALUE"""),"PINEDA ARANGO, MARTINA")</f>
        <v>PINEDA ARANGO, MARTINA</v>
      </c>
      <c r="D3016" t="str">
        <f>IFERROR(__xludf.DUMMYFUNCTION("""COMPUTED_VALUE"""),"Art 6S2")</f>
        <v>Art 6S2</v>
      </c>
      <c r="E3016" s="31" t="str">
        <f>IFERROR(__xludf.DUMMYFUNCTION("""COMPUTED_VALUE"""),"6b")</f>
        <v>6b</v>
      </c>
      <c r="F3016" s="8">
        <v>1.0</v>
      </c>
      <c r="G3016" s="8">
        <v>1.0</v>
      </c>
      <c r="H3016" s="8">
        <v>1.0</v>
      </c>
      <c r="I3016" s="8">
        <v>1.0</v>
      </c>
      <c r="J3016" s="8">
        <v>1.0</v>
      </c>
      <c r="K3016" s="8">
        <v>1.0</v>
      </c>
      <c r="L3016" s="8">
        <v>6.0</v>
      </c>
      <c r="M3016" s="8"/>
      <c r="N3016" s="8"/>
      <c r="O3016" s="8" t="s">
        <v>840</v>
      </c>
      <c r="P3016" s="8" t="e">
        <v>#N/A</v>
      </c>
    </row>
    <row r="3017">
      <c r="A3017">
        <f>IFERROR(__xludf.DUMMYFUNCTION("""COMPUTED_VALUE"""),6.0)</f>
        <v>6</v>
      </c>
      <c r="B3017">
        <f>IFERROR(__xludf.DUMMYFUNCTION("""COMPUTED_VALUE"""),31096.0)</f>
        <v>31096</v>
      </c>
      <c r="C3017" t="str">
        <f>IFERROR(__xludf.DUMMYFUNCTION("""COMPUTED_VALUE"""),"POSADA FERNANDEZ, ALICIA")</f>
        <v>POSADA FERNANDEZ, ALICIA</v>
      </c>
      <c r="D3017" t="str">
        <f>IFERROR(__xludf.DUMMYFUNCTION("""COMPUTED_VALUE"""),"Tech 6S2")</f>
        <v>Tech 6S2</v>
      </c>
      <c r="E3017" s="31" t="str">
        <f>IFERROR(__xludf.DUMMYFUNCTION("""COMPUTED_VALUE"""),"6b")</f>
        <v>6b</v>
      </c>
      <c r="F3017" s="8">
        <v>1.0</v>
      </c>
      <c r="G3017" s="8">
        <v>1.0</v>
      </c>
      <c r="H3017" s="8">
        <v>1.0</v>
      </c>
      <c r="I3017" s="8">
        <v>1.0</v>
      </c>
      <c r="J3017" s="8">
        <v>1.0</v>
      </c>
      <c r="K3017" s="8">
        <v>1.0</v>
      </c>
      <c r="L3017" s="8">
        <v>6.0</v>
      </c>
      <c r="M3017" s="8"/>
      <c r="N3017" s="8"/>
      <c r="O3017" s="8" t="s">
        <v>839</v>
      </c>
      <c r="P3017" s="8" t="e">
        <v>#N/A</v>
      </c>
    </row>
    <row r="3018">
      <c r="A3018">
        <f>IFERROR(__xludf.DUMMYFUNCTION("""COMPUTED_VALUE"""),6.0)</f>
        <v>6</v>
      </c>
      <c r="B3018">
        <f>IFERROR(__xludf.DUMMYFUNCTION("""COMPUTED_VALUE"""),31097.0)</f>
        <v>31097</v>
      </c>
      <c r="C3018" t="str">
        <f>IFERROR(__xludf.DUMMYFUNCTION("""COMPUTED_VALUE"""),"PUYO TORO, ELENA")</f>
        <v>PUYO TORO, ELENA</v>
      </c>
      <c r="D3018" t="str">
        <f>IFERROR(__xludf.DUMMYFUNCTION("""COMPUTED_VALUE"""),"Tech 6S2")</f>
        <v>Tech 6S2</v>
      </c>
      <c r="E3018" s="31" t="str">
        <f>IFERROR(__xludf.DUMMYFUNCTION("""COMPUTED_VALUE"""),"4a")</f>
        <v>4a</v>
      </c>
      <c r="F3018" s="8">
        <v>1.0</v>
      </c>
      <c r="G3018" s="8">
        <v>1.0</v>
      </c>
      <c r="H3018" s="8">
        <v>1.0</v>
      </c>
      <c r="I3018" s="8">
        <v>1.0</v>
      </c>
      <c r="J3018" s="8">
        <v>1.0</v>
      </c>
      <c r="K3018" s="8">
        <v>1.0</v>
      </c>
      <c r="L3018" s="8">
        <v>6.0</v>
      </c>
      <c r="M3018" s="8"/>
      <c r="N3018" s="8"/>
      <c r="O3018" s="8" t="s">
        <v>833</v>
      </c>
      <c r="P3018" s="8" t="e">
        <v>#N/A</v>
      </c>
    </row>
    <row r="3019">
      <c r="A3019">
        <f>IFERROR(__xludf.DUMMYFUNCTION("""COMPUTED_VALUE"""),6.0)</f>
        <v>6</v>
      </c>
      <c r="B3019">
        <f>IFERROR(__xludf.DUMMYFUNCTION("""COMPUTED_VALUE"""),31098.0)</f>
        <v>31098</v>
      </c>
      <c r="C3019" t="str">
        <f>IFERROR(__xludf.DUMMYFUNCTION("""COMPUTED_VALUE"""),"QUINTERO DARBY, VIOLETA")</f>
        <v>QUINTERO DARBY, VIOLETA</v>
      </c>
      <c r="D3019" t="str">
        <f>IFERROR(__xludf.DUMMYFUNCTION("""COMPUTED_VALUE"""),"Tech 6S2")</f>
        <v>Tech 6S2</v>
      </c>
      <c r="E3019" s="31" t="str">
        <f>IFERROR(__xludf.DUMMYFUNCTION("""COMPUTED_VALUE"""),"1b")</f>
        <v>1b</v>
      </c>
      <c r="F3019" s="8">
        <v>1.0</v>
      </c>
      <c r="G3019" s="8">
        <v>1.0</v>
      </c>
      <c r="H3019" s="8">
        <v>1.0</v>
      </c>
      <c r="I3019" s="8">
        <v>1.0</v>
      </c>
      <c r="J3019" s="8">
        <v>1.0</v>
      </c>
      <c r="K3019" s="8">
        <v>1.0</v>
      </c>
      <c r="L3019" s="8">
        <v>6.0</v>
      </c>
      <c r="M3019" s="8"/>
      <c r="N3019" s="8"/>
      <c r="O3019" s="8" t="s">
        <v>838</v>
      </c>
      <c r="P3019" s="8" t="e">
        <v>#N/A</v>
      </c>
    </row>
    <row r="3020">
      <c r="A3020">
        <f>IFERROR(__xludf.DUMMYFUNCTION("""COMPUTED_VALUE"""),6.0)</f>
        <v>6</v>
      </c>
      <c r="B3020">
        <f>IFERROR(__xludf.DUMMYFUNCTION("""COMPUTED_VALUE"""),31099.0)</f>
        <v>31099</v>
      </c>
      <c r="C3020" t="str">
        <f>IFERROR(__xludf.DUMMYFUNCTION("""COMPUTED_VALUE"""),"RAMIREZ LIBREROS, MARTIN")</f>
        <v>RAMIREZ LIBREROS, MARTIN</v>
      </c>
      <c r="D3020" t="str">
        <f>IFERROR(__xludf.DUMMYFUNCTION("""COMPUTED_VALUE"""),"Art 6S2")</f>
        <v>Art 6S2</v>
      </c>
      <c r="E3020" s="31" t="str">
        <f>IFERROR(__xludf.DUMMYFUNCTION("""COMPUTED_VALUE"""),"1b")</f>
        <v>1b</v>
      </c>
      <c r="F3020" s="8">
        <v>1.0</v>
      </c>
      <c r="G3020" s="8">
        <v>1.0</v>
      </c>
      <c r="H3020" s="8">
        <v>1.0</v>
      </c>
      <c r="I3020" s="8">
        <v>1.0</v>
      </c>
      <c r="J3020" s="8">
        <v>1.0</v>
      </c>
      <c r="K3020" s="8">
        <v>1.0</v>
      </c>
      <c r="L3020" s="8">
        <v>6.0</v>
      </c>
      <c r="M3020" s="8"/>
      <c r="N3020" s="8"/>
      <c r="O3020" s="8" t="s">
        <v>836</v>
      </c>
      <c r="P3020" s="8" t="e">
        <v>#N/A</v>
      </c>
    </row>
    <row r="3021">
      <c r="A3021">
        <f>IFERROR(__xludf.DUMMYFUNCTION("""COMPUTED_VALUE"""),6.0)</f>
        <v>6</v>
      </c>
      <c r="B3021">
        <f>IFERROR(__xludf.DUMMYFUNCTION("""COMPUTED_VALUE"""),31100.0)</f>
        <v>31100</v>
      </c>
      <c r="C3021" t="str">
        <f>IFERROR(__xludf.DUMMYFUNCTION("""COMPUTED_VALUE"""),"RAMIREZ LIBREROS, MATIAS")</f>
        <v>RAMIREZ LIBREROS, MATIAS</v>
      </c>
      <c r="D3021" t="str">
        <f>IFERROR(__xludf.DUMMYFUNCTION("""COMPUTED_VALUE"""),"Art 6S2")</f>
        <v>Art 6S2</v>
      </c>
      <c r="E3021" s="31" t="str">
        <f>IFERROR(__xludf.DUMMYFUNCTION("""COMPUTED_VALUE"""),"4a")</f>
        <v>4a</v>
      </c>
      <c r="F3021" s="8">
        <v>1.0</v>
      </c>
      <c r="G3021" s="8">
        <v>1.0</v>
      </c>
      <c r="H3021" s="8">
        <v>1.0</v>
      </c>
      <c r="I3021" s="8">
        <v>1.0</v>
      </c>
      <c r="J3021" s="8">
        <v>1.0</v>
      </c>
      <c r="K3021" s="8">
        <v>1.0</v>
      </c>
      <c r="L3021" s="8">
        <v>6.0</v>
      </c>
      <c r="M3021" s="8"/>
      <c r="N3021" s="8"/>
      <c r="O3021" s="8" t="s">
        <v>837</v>
      </c>
      <c r="P3021" s="8" t="e">
        <v>#N/A</v>
      </c>
    </row>
    <row r="3022">
      <c r="A3022">
        <f>IFERROR(__xludf.DUMMYFUNCTION("""COMPUTED_VALUE"""),6.0)</f>
        <v>6</v>
      </c>
      <c r="B3022">
        <f>IFERROR(__xludf.DUMMYFUNCTION("""COMPUTED_VALUE"""),31101.0)</f>
        <v>31101</v>
      </c>
      <c r="C3022" t="str">
        <f>IFERROR(__xludf.DUMMYFUNCTION("""COMPUTED_VALUE"""),"RENDON ECHEVERRI, MIGUEL")</f>
        <v>RENDON ECHEVERRI, MIGUEL</v>
      </c>
      <c r="D3022" t="str">
        <f>IFERROR(__xludf.DUMMYFUNCTION("""COMPUTED_VALUE"""),"Art 6S2")</f>
        <v>Art 6S2</v>
      </c>
      <c r="E3022" s="31" t="str">
        <f>IFERROR(__xludf.DUMMYFUNCTION("""COMPUTED_VALUE"""),"2a")</f>
        <v>2a</v>
      </c>
      <c r="F3022" s="8">
        <v>1.0</v>
      </c>
      <c r="G3022" s="8">
        <v>1.0</v>
      </c>
      <c r="H3022" s="8">
        <v>1.0</v>
      </c>
      <c r="I3022" s="8">
        <v>1.0</v>
      </c>
      <c r="J3022" s="8">
        <v>1.0</v>
      </c>
      <c r="K3022" s="8">
        <v>1.0</v>
      </c>
      <c r="L3022" s="8">
        <v>6.0</v>
      </c>
      <c r="M3022" s="8"/>
      <c r="N3022" s="8"/>
      <c r="O3022" s="8" t="s">
        <v>842</v>
      </c>
      <c r="P3022" s="8" t="e">
        <v>#N/A</v>
      </c>
    </row>
    <row r="3023">
      <c r="A3023">
        <f>IFERROR(__xludf.DUMMYFUNCTION("""COMPUTED_VALUE"""),6.0)</f>
        <v>6</v>
      </c>
      <c r="B3023">
        <f>IFERROR(__xludf.DUMMYFUNCTION("""COMPUTED_VALUE"""),31173.0)</f>
        <v>31173</v>
      </c>
      <c r="C3023" t="str">
        <f>IFERROR(__xludf.DUMMYFUNCTION("""COMPUTED_VALUE"""),"REPETTO LARROSA, FRANCHESCO")</f>
        <v>REPETTO LARROSA, FRANCHESCO</v>
      </c>
      <c r="D3023" t="str">
        <f>IFERROR(__xludf.DUMMYFUNCTION("""COMPUTED_VALUE"""),"Tech 6S2")</f>
        <v>Tech 6S2</v>
      </c>
      <c r="E3023" s="31" t="str">
        <f>IFERROR(__xludf.DUMMYFUNCTION("""COMPUTED_VALUE"""),"6b")</f>
        <v>6b</v>
      </c>
      <c r="F3023" s="8">
        <v>1.0</v>
      </c>
      <c r="G3023" s="8">
        <v>1.0</v>
      </c>
      <c r="H3023" s="8">
        <v>1.0</v>
      </c>
      <c r="I3023" s="8">
        <v>1.0</v>
      </c>
      <c r="J3023" s="8">
        <v>1.0</v>
      </c>
      <c r="K3023" s="8">
        <v>1.0</v>
      </c>
      <c r="L3023" s="8">
        <v>6.0</v>
      </c>
      <c r="M3023" s="8"/>
      <c r="N3023" s="8"/>
      <c r="O3023" s="8" t="s">
        <v>839</v>
      </c>
      <c r="P3023" s="8" t="e">
        <v>#N/A</v>
      </c>
    </row>
    <row r="3024">
      <c r="A3024">
        <f>IFERROR(__xludf.DUMMYFUNCTION("""COMPUTED_VALUE"""),6.0)</f>
        <v>6</v>
      </c>
      <c r="B3024">
        <f>IFERROR(__xludf.DUMMYFUNCTION("""COMPUTED_VALUE"""),31103.0)</f>
        <v>31103</v>
      </c>
      <c r="C3024" t="str">
        <f>IFERROR(__xludf.DUMMYFUNCTION("""COMPUTED_VALUE"""),"RESTREPO BETANCUR, ALICIA")</f>
        <v>RESTREPO BETANCUR, ALICIA</v>
      </c>
      <c r="D3024" t="str">
        <f>IFERROR(__xludf.DUMMYFUNCTION("""COMPUTED_VALUE"""),"Tech 6S2")</f>
        <v>Tech 6S2</v>
      </c>
      <c r="E3024" s="31" t="str">
        <f>IFERROR(__xludf.DUMMYFUNCTION("""COMPUTED_VALUE"""),"2a")</f>
        <v>2a</v>
      </c>
      <c r="F3024" s="8">
        <v>1.0</v>
      </c>
      <c r="G3024" s="8">
        <v>1.0</v>
      </c>
      <c r="H3024" s="8">
        <v>1.0</v>
      </c>
      <c r="I3024" s="8">
        <v>1.0</v>
      </c>
      <c r="J3024" s="8">
        <v>1.0</v>
      </c>
      <c r="K3024" s="8">
        <v>1.0</v>
      </c>
      <c r="L3024" s="8">
        <v>6.0</v>
      </c>
      <c r="M3024" s="8"/>
      <c r="N3024" s="8"/>
      <c r="O3024" s="8" t="s">
        <v>841</v>
      </c>
      <c r="P3024" s="8" t="e">
        <v>#N/A</v>
      </c>
    </row>
    <row r="3025">
      <c r="A3025">
        <f>IFERROR(__xludf.DUMMYFUNCTION("""COMPUTED_VALUE"""),6.0)</f>
        <v>6</v>
      </c>
      <c r="B3025">
        <f>IFERROR(__xludf.DUMMYFUNCTION("""COMPUTED_VALUE"""),31104.0)</f>
        <v>31104</v>
      </c>
      <c r="C3025" t="str">
        <f>IFERROR(__xludf.DUMMYFUNCTION("""COMPUTED_VALUE"""),"RESTREPO ECHAVARRIA, EMILIA")</f>
        <v>RESTREPO ECHAVARRIA, EMILIA</v>
      </c>
      <c r="D3025" t="str">
        <f>IFERROR(__xludf.DUMMYFUNCTION("""COMPUTED_VALUE"""),"Tech 6S2")</f>
        <v>Tech 6S2</v>
      </c>
      <c r="E3025" s="31" t="str">
        <f>IFERROR(__xludf.DUMMYFUNCTION("""COMPUTED_VALUE"""),"6b")</f>
        <v>6b</v>
      </c>
      <c r="F3025" s="8">
        <v>1.0</v>
      </c>
      <c r="G3025" s="8">
        <v>1.0</v>
      </c>
      <c r="H3025" s="8">
        <v>1.0</v>
      </c>
      <c r="I3025" s="8">
        <v>1.0</v>
      </c>
      <c r="J3025" s="8">
        <v>1.0</v>
      </c>
      <c r="K3025" s="8">
        <v>1.0</v>
      </c>
      <c r="L3025" s="8">
        <v>6.0</v>
      </c>
      <c r="M3025" s="8"/>
      <c r="N3025" s="8"/>
      <c r="O3025" s="8" t="s">
        <v>839</v>
      </c>
      <c r="P3025" s="8" t="e">
        <v>#N/A</v>
      </c>
    </row>
    <row r="3026">
      <c r="A3026">
        <f>IFERROR(__xludf.DUMMYFUNCTION("""COMPUTED_VALUE"""),6.0)</f>
        <v>6</v>
      </c>
      <c r="B3026">
        <f>IFERROR(__xludf.DUMMYFUNCTION("""COMPUTED_VALUE"""),31105.0)</f>
        <v>31105</v>
      </c>
      <c r="C3026" t="str">
        <f>IFERROR(__xludf.DUMMYFUNCTION("""COMPUTED_VALUE"""),"RESTREPO PELAEZ, EMILIA")</f>
        <v>RESTREPO PELAEZ, EMILIA</v>
      </c>
      <c r="D3026" t="str">
        <f>IFERROR(__xludf.DUMMYFUNCTION("""COMPUTED_VALUE"""),"Tech 6S2")</f>
        <v>Tech 6S2</v>
      </c>
      <c r="E3026" s="31" t="str">
        <f>IFERROR(__xludf.DUMMYFUNCTION("""COMPUTED_VALUE"""),"4a")</f>
        <v>4a</v>
      </c>
      <c r="F3026" s="8">
        <v>1.0</v>
      </c>
      <c r="G3026" s="8">
        <v>1.0</v>
      </c>
      <c r="H3026" s="8">
        <v>1.0</v>
      </c>
      <c r="I3026" s="8">
        <v>1.0</v>
      </c>
      <c r="J3026" s="8">
        <v>1.0</v>
      </c>
      <c r="K3026" s="8">
        <v>1.0</v>
      </c>
      <c r="L3026" s="8">
        <v>6.0</v>
      </c>
      <c r="M3026" s="8"/>
      <c r="N3026" s="8"/>
      <c r="O3026" s="8" t="s">
        <v>833</v>
      </c>
      <c r="P3026" s="8" t="e">
        <v>#N/A</v>
      </c>
    </row>
    <row r="3027">
      <c r="A3027">
        <f>IFERROR(__xludf.DUMMYFUNCTION("""COMPUTED_VALUE"""),6.0)</f>
        <v>6</v>
      </c>
      <c r="B3027">
        <f>IFERROR(__xludf.DUMMYFUNCTION("""COMPUTED_VALUE"""),31171.0)</f>
        <v>31171</v>
      </c>
      <c r="C3027" t="str">
        <f>IFERROR(__xludf.DUMMYFUNCTION("""COMPUTED_VALUE"""),"RICHARDSON MEJIA, SOFIA")</f>
        <v>RICHARDSON MEJIA, SOFIA</v>
      </c>
      <c r="D3027" t="str">
        <f>IFERROR(__xludf.DUMMYFUNCTION("""COMPUTED_VALUE"""),"Art 6S2")</f>
        <v>Art 6S2</v>
      </c>
      <c r="E3027" s="31" t="str">
        <f>IFERROR(__xludf.DUMMYFUNCTION("""COMPUTED_VALUE"""),"2a")</f>
        <v>2a</v>
      </c>
      <c r="F3027" s="8">
        <v>1.0</v>
      </c>
      <c r="G3027" s="8">
        <v>1.0</v>
      </c>
      <c r="H3027" s="8">
        <v>1.0</v>
      </c>
      <c r="I3027" s="8">
        <v>1.0</v>
      </c>
      <c r="J3027" s="8">
        <v>1.0</v>
      </c>
      <c r="K3027" s="8">
        <v>1.0</v>
      </c>
      <c r="L3027" s="8">
        <v>6.0</v>
      </c>
      <c r="M3027" s="8"/>
      <c r="N3027" s="8"/>
      <c r="O3027" s="8" t="s">
        <v>842</v>
      </c>
      <c r="P3027" s="8" t="e">
        <v>#N/A</v>
      </c>
    </row>
    <row r="3028">
      <c r="A3028">
        <f>IFERROR(__xludf.DUMMYFUNCTION("""COMPUTED_VALUE"""),6.0)</f>
        <v>6</v>
      </c>
      <c r="B3028">
        <f>IFERROR(__xludf.DUMMYFUNCTION("""COMPUTED_VALUE"""),31106.0)</f>
        <v>31106</v>
      </c>
      <c r="C3028" t="str">
        <f>IFERROR(__xludf.DUMMYFUNCTION("""COMPUTED_VALUE"""),"RINCON URIBE, NICOLAS")</f>
        <v>RINCON URIBE, NICOLAS</v>
      </c>
      <c r="D3028" t="str">
        <f>IFERROR(__xludf.DUMMYFUNCTION("""COMPUTED_VALUE"""),"Symphony BandS2")</f>
        <v>Symphony BandS2</v>
      </c>
      <c r="E3028" s="31" t="str">
        <f>IFERROR(__xludf.DUMMYFUNCTION("""COMPUTED_VALUE"""),"5a")</f>
        <v>5a</v>
      </c>
      <c r="F3028" s="8">
        <v>1.0</v>
      </c>
      <c r="G3028" s="8">
        <v>1.0</v>
      </c>
      <c r="H3028" s="8">
        <v>1.0</v>
      </c>
      <c r="I3028" s="8">
        <v>1.0</v>
      </c>
      <c r="J3028" s="8">
        <v>1.0</v>
      </c>
      <c r="K3028" s="8">
        <v>1.0</v>
      </c>
      <c r="L3028" s="8">
        <v>6.0</v>
      </c>
      <c r="M3028" s="8"/>
      <c r="N3028" s="8"/>
      <c r="O3028" s="8" t="s">
        <v>834</v>
      </c>
      <c r="P3028" s="8" t="e">
        <v>#N/A</v>
      </c>
    </row>
    <row r="3029">
      <c r="A3029">
        <f>IFERROR(__xludf.DUMMYFUNCTION("""COMPUTED_VALUE"""),6.0)</f>
        <v>6</v>
      </c>
      <c r="B3029">
        <f>IFERROR(__xludf.DUMMYFUNCTION("""COMPUTED_VALUE"""),31107.0)</f>
        <v>31107</v>
      </c>
      <c r="C3029" t="str">
        <f>IFERROR(__xludf.DUMMYFUNCTION("""COMPUTED_VALUE"""),"ROBLEDO LLANO, JERONIMO")</f>
        <v>ROBLEDO LLANO, JERONIMO</v>
      </c>
      <c r="D3029" t="str">
        <f>IFERROR(__xludf.DUMMYFUNCTION("""COMPUTED_VALUE"""),"Regular BandS2")</f>
        <v>Regular BandS2</v>
      </c>
      <c r="E3029" s="31" t="str">
        <f>IFERROR(__xludf.DUMMYFUNCTION("""COMPUTED_VALUE"""),"6a")</f>
        <v>6a</v>
      </c>
      <c r="F3029" s="8">
        <v>1.0</v>
      </c>
      <c r="G3029" s="8">
        <v>1.0</v>
      </c>
      <c r="H3029" s="8">
        <v>1.0</v>
      </c>
      <c r="I3029" s="8">
        <v>1.0</v>
      </c>
      <c r="J3029" s="8">
        <v>1.0</v>
      </c>
      <c r="K3029" s="8">
        <v>1.0</v>
      </c>
      <c r="L3029" s="8">
        <v>6.0</v>
      </c>
      <c r="M3029" s="8"/>
      <c r="N3029" s="8"/>
      <c r="O3029" s="8" t="s">
        <v>835</v>
      </c>
      <c r="P3029" s="8" t="e">
        <v>#N/A</v>
      </c>
    </row>
    <row r="3030">
      <c r="A3030">
        <f>IFERROR(__xludf.DUMMYFUNCTION("""COMPUTED_VALUE"""),6.0)</f>
        <v>6</v>
      </c>
      <c r="B3030">
        <f>IFERROR(__xludf.DUMMYFUNCTION("""COMPUTED_VALUE"""),30159.0)</f>
        <v>30159</v>
      </c>
      <c r="C3030" t="str">
        <f>IFERROR(__xludf.DUMMYFUNCTION("""COMPUTED_VALUE"""),"ROJAS REYES, MATEO")</f>
        <v>ROJAS REYES, MATEO</v>
      </c>
      <c r="D3030" t="str">
        <f>IFERROR(__xludf.DUMMYFUNCTION("""COMPUTED_VALUE"""),"Regular BandS2")</f>
        <v>Regular BandS2</v>
      </c>
      <c r="E3030" s="31" t="str">
        <f>IFERROR(__xludf.DUMMYFUNCTION("""COMPUTED_VALUE"""),"6a")</f>
        <v>6a</v>
      </c>
      <c r="F3030" s="8">
        <v>1.0</v>
      </c>
      <c r="G3030" s="8">
        <v>1.0</v>
      </c>
      <c r="H3030" s="8">
        <v>1.0</v>
      </c>
      <c r="I3030" s="8">
        <v>1.0</v>
      </c>
      <c r="J3030" s="8">
        <v>1.0</v>
      </c>
      <c r="K3030" s="8">
        <v>1.0</v>
      </c>
      <c r="L3030" s="8">
        <v>6.0</v>
      </c>
      <c r="M3030" s="8"/>
      <c r="N3030" s="8"/>
      <c r="O3030" s="8" t="s">
        <v>835</v>
      </c>
      <c r="P3030" s="8" t="e">
        <v>#N/A</v>
      </c>
    </row>
    <row r="3031">
      <c r="A3031">
        <f>IFERROR(__xludf.DUMMYFUNCTION("""COMPUTED_VALUE"""),6.0)</f>
        <v>6</v>
      </c>
      <c r="B3031">
        <f>IFERROR(__xludf.DUMMYFUNCTION("""COMPUTED_VALUE"""),31110.0)</f>
        <v>31110</v>
      </c>
      <c r="C3031" t="str">
        <f>IFERROR(__xludf.DUMMYFUNCTION("""COMPUTED_VALUE"""),"RUIZ CORREA, MARIANA")</f>
        <v>RUIZ CORREA, MARIANA</v>
      </c>
      <c r="D3031" t="str">
        <f>IFERROR(__xludf.DUMMYFUNCTION("""COMPUTED_VALUE"""),"Art 6S2")</f>
        <v>Art 6S2</v>
      </c>
      <c r="E3031" s="31" t="str">
        <f>IFERROR(__xludf.DUMMYFUNCTION("""COMPUTED_VALUE"""),"1b")</f>
        <v>1b</v>
      </c>
      <c r="F3031" s="8">
        <v>1.0</v>
      </c>
      <c r="G3031" s="8">
        <v>1.0</v>
      </c>
      <c r="H3031" s="8">
        <v>1.0</v>
      </c>
      <c r="I3031" s="8">
        <v>1.0</v>
      </c>
      <c r="J3031" s="8">
        <v>1.0</v>
      </c>
      <c r="K3031" s="8">
        <v>1.0</v>
      </c>
      <c r="L3031" s="8">
        <v>6.0</v>
      </c>
      <c r="M3031" s="8"/>
      <c r="N3031" s="8"/>
      <c r="O3031" s="8" t="s">
        <v>836</v>
      </c>
      <c r="P3031" s="8" t="e">
        <v>#N/A</v>
      </c>
    </row>
    <row r="3032">
      <c r="A3032">
        <f>IFERROR(__xludf.DUMMYFUNCTION("""COMPUTED_VALUE"""),6.0)</f>
        <v>6</v>
      </c>
      <c r="B3032">
        <f>IFERROR(__xludf.DUMMYFUNCTION("""COMPUTED_VALUE"""),31111.0)</f>
        <v>31111</v>
      </c>
      <c r="C3032" t="str">
        <f>IFERROR(__xludf.DUMMYFUNCTION("""COMPUTED_VALUE"""),"RUIZ DUQUE, ANTONIO")</f>
        <v>RUIZ DUQUE, ANTONIO</v>
      </c>
      <c r="D3032" t="str">
        <f>IFERROR(__xludf.DUMMYFUNCTION("""COMPUTED_VALUE"""),"Art 6S2")</f>
        <v>Art 6S2</v>
      </c>
      <c r="E3032" s="31" t="str">
        <f>IFERROR(__xludf.DUMMYFUNCTION("""COMPUTED_VALUE"""),"4a")</f>
        <v>4a</v>
      </c>
      <c r="F3032" s="8">
        <v>1.0</v>
      </c>
      <c r="G3032" s="8">
        <v>1.0</v>
      </c>
      <c r="H3032" s="8">
        <v>1.0</v>
      </c>
      <c r="I3032" s="8">
        <v>1.0</v>
      </c>
      <c r="J3032" s="8">
        <v>1.0</v>
      </c>
      <c r="K3032" s="8">
        <v>1.0</v>
      </c>
      <c r="L3032" s="8">
        <v>6.0</v>
      </c>
      <c r="M3032" s="8"/>
      <c r="N3032" s="8"/>
      <c r="O3032" s="8" t="s">
        <v>837</v>
      </c>
      <c r="P3032" s="8" t="e">
        <v>#N/A</v>
      </c>
    </row>
    <row r="3033">
      <c r="A3033">
        <f>IFERROR(__xludf.DUMMYFUNCTION("""COMPUTED_VALUE"""),6.0)</f>
        <v>6</v>
      </c>
      <c r="B3033">
        <f>IFERROR(__xludf.DUMMYFUNCTION("""COMPUTED_VALUE"""),31109.0)</f>
        <v>31109</v>
      </c>
      <c r="C3033" t="str">
        <f>IFERROR(__xludf.DUMMYFUNCTION("""COMPUTED_VALUE"""),"RUZ GUZMAN, FEDERICO")</f>
        <v>RUZ GUZMAN, FEDERICO</v>
      </c>
      <c r="D3033" t="str">
        <f>IFERROR(__xludf.DUMMYFUNCTION("""COMPUTED_VALUE"""),"Symphony BandS2")</f>
        <v>Symphony BandS2</v>
      </c>
      <c r="E3033" s="31" t="str">
        <f>IFERROR(__xludf.DUMMYFUNCTION("""COMPUTED_VALUE"""),"5a")</f>
        <v>5a</v>
      </c>
      <c r="F3033" s="8">
        <v>1.0</v>
      </c>
      <c r="G3033" s="8">
        <v>1.0</v>
      </c>
      <c r="H3033" s="8">
        <v>1.0</v>
      </c>
      <c r="I3033" s="8">
        <v>1.0</v>
      </c>
      <c r="J3033" s="8">
        <v>1.0</v>
      </c>
      <c r="K3033" s="8">
        <v>1.0</v>
      </c>
      <c r="L3033" s="8">
        <v>6.0</v>
      </c>
      <c r="M3033" s="8"/>
      <c r="N3033" s="8"/>
      <c r="O3033" s="8" t="s">
        <v>834</v>
      </c>
      <c r="P3033" s="8" t="e">
        <v>#N/A</v>
      </c>
    </row>
    <row r="3034">
      <c r="A3034">
        <f>IFERROR(__xludf.DUMMYFUNCTION("""COMPUTED_VALUE"""),6.0)</f>
        <v>6</v>
      </c>
      <c r="B3034">
        <f>IFERROR(__xludf.DUMMYFUNCTION("""COMPUTED_VALUE"""),31112.0)</f>
        <v>31112</v>
      </c>
      <c r="C3034" t="str">
        <f>IFERROR(__xludf.DUMMYFUNCTION("""COMPUTED_VALUE"""),"SALAZAR BOTERO, FEDERICO")</f>
        <v>SALAZAR BOTERO, FEDERICO</v>
      </c>
      <c r="D3034" t="str">
        <f>IFERROR(__xludf.DUMMYFUNCTION("""COMPUTED_VALUE"""),"Symphony BandS2")</f>
        <v>Symphony BandS2</v>
      </c>
      <c r="E3034" s="31" t="str">
        <f>IFERROR(__xludf.DUMMYFUNCTION("""COMPUTED_VALUE"""),"5a")</f>
        <v>5a</v>
      </c>
      <c r="F3034" s="8">
        <v>1.0</v>
      </c>
      <c r="G3034" s="8">
        <v>1.0</v>
      </c>
      <c r="H3034" s="8">
        <v>1.0</v>
      </c>
      <c r="I3034" s="8">
        <v>1.0</v>
      </c>
      <c r="J3034" s="8">
        <v>1.0</v>
      </c>
      <c r="K3034" s="8">
        <v>1.0</v>
      </c>
      <c r="L3034" s="8">
        <v>6.0</v>
      </c>
      <c r="M3034" s="8"/>
      <c r="N3034" s="8"/>
      <c r="O3034" s="8" t="s">
        <v>834</v>
      </c>
      <c r="P3034" s="8" t="e">
        <v>#N/A</v>
      </c>
    </row>
    <row r="3035">
      <c r="A3035">
        <f>IFERROR(__xludf.DUMMYFUNCTION("""COMPUTED_VALUE"""),6.0)</f>
        <v>6</v>
      </c>
      <c r="B3035">
        <f>IFERROR(__xludf.DUMMYFUNCTION("""COMPUTED_VALUE"""),31153.0)</f>
        <v>31153</v>
      </c>
      <c r="C3035" t="str">
        <f>IFERROR(__xludf.DUMMYFUNCTION("""COMPUTED_VALUE"""),"SALCEDO PERICO, JACOBO")</f>
        <v>SALCEDO PERICO, JACOBO</v>
      </c>
      <c r="D3035" t="str">
        <f>IFERROR(__xludf.DUMMYFUNCTION("""COMPUTED_VALUE"""),"Tech 6S2")</f>
        <v>Tech 6S2</v>
      </c>
      <c r="E3035" s="31" t="str">
        <f>IFERROR(__xludf.DUMMYFUNCTION("""COMPUTED_VALUE"""),"6b")</f>
        <v>6b</v>
      </c>
      <c r="F3035" s="8">
        <v>1.0</v>
      </c>
      <c r="G3035" s="8">
        <v>1.0</v>
      </c>
      <c r="H3035" s="8">
        <v>1.0</v>
      </c>
      <c r="I3035" s="8">
        <v>1.0</v>
      </c>
      <c r="J3035" s="8">
        <v>1.0</v>
      </c>
      <c r="K3035" s="8">
        <v>1.0</v>
      </c>
      <c r="L3035" s="8">
        <v>6.0</v>
      </c>
      <c r="M3035" s="8"/>
      <c r="N3035" s="8"/>
      <c r="O3035" s="8" t="s">
        <v>839</v>
      </c>
      <c r="P3035" s="8" t="e">
        <v>#N/A</v>
      </c>
    </row>
    <row r="3036">
      <c r="A3036">
        <f>IFERROR(__xludf.DUMMYFUNCTION("""COMPUTED_VALUE"""),6.0)</f>
        <v>6</v>
      </c>
      <c r="B3036">
        <f>IFERROR(__xludf.DUMMYFUNCTION("""COMPUTED_VALUE"""),31113.0)</f>
        <v>31113</v>
      </c>
      <c r="C3036" t="str">
        <f>IFERROR(__xludf.DUMMYFUNCTION("""COMPUTED_VALUE"""),"SANTAMARIA SALDARRIAGA, JUAN MARTIN")</f>
        <v>SANTAMARIA SALDARRIAGA, JUAN MARTIN</v>
      </c>
      <c r="D3036" t="str">
        <f>IFERROR(__xludf.DUMMYFUNCTION("""COMPUTED_VALUE"""),"Art 6S2")</f>
        <v>Art 6S2</v>
      </c>
      <c r="E3036" s="31" t="str">
        <f>IFERROR(__xludf.DUMMYFUNCTION("""COMPUTED_VALUE"""),"6b")</f>
        <v>6b</v>
      </c>
      <c r="F3036" s="8">
        <v>1.0</v>
      </c>
      <c r="G3036" s="8">
        <v>1.0</v>
      </c>
      <c r="H3036" s="8">
        <v>1.0</v>
      </c>
      <c r="I3036" s="8">
        <v>1.0</v>
      </c>
      <c r="J3036" s="8">
        <v>1.0</v>
      </c>
      <c r="K3036" s="8">
        <v>1.0</v>
      </c>
      <c r="L3036" s="8">
        <v>6.0</v>
      </c>
      <c r="M3036" s="8"/>
      <c r="N3036" s="8"/>
      <c r="O3036" s="8" t="s">
        <v>840</v>
      </c>
      <c r="P3036" s="8" t="e">
        <v>#N/A</v>
      </c>
    </row>
    <row r="3037">
      <c r="A3037">
        <f>IFERROR(__xludf.DUMMYFUNCTION("""COMPUTED_VALUE"""),6.0)</f>
        <v>6</v>
      </c>
      <c r="B3037">
        <f>IFERROR(__xludf.DUMMYFUNCTION("""COMPUTED_VALUE"""),31114.0)</f>
        <v>31114</v>
      </c>
      <c r="C3037" t="str">
        <f>IFERROR(__xludf.DUMMYFUNCTION("""COMPUTED_VALUE"""),"SCHOBER OCAMPO, MIA")</f>
        <v>SCHOBER OCAMPO, MIA</v>
      </c>
      <c r="D3037" t="str">
        <f>IFERROR(__xludf.DUMMYFUNCTION("""COMPUTED_VALUE"""),"Tech 6S2")</f>
        <v>Tech 6S2</v>
      </c>
      <c r="E3037" s="31" t="str">
        <f>IFERROR(__xludf.DUMMYFUNCTION("""COMPUTED_VALUE"""),"4a")</f>
        <v>4a</v>
      </c>
      <c r="F3037" s="8">
        <v>1.0</v>
      </c>
      <c r="G3037" s="8">
        <v>1.0</v>
      </c>
      <c r="H3037" s="8">
        <v>1.0</v>
      </c>
      <c r="I3037" s="8">
        <v>1.0</v>
      </c>
      <c r="J3037" s="8">
        <v>1.0</v>
      </c>
      <c r="K3037" s="8">
        <v>1.0</v>
      </c>
      <c r="L3037" s="8">
        <v>6.0</v>
      </c>
      <c r="M3037" s="8"/>
      <c r="N3037" s="8"/>
      <c r="O3037" s="8" t="s">
        <v>833</v>
      </c>
      <c r="P3037" s="8" t="e">
        <v>#N/A</v>
      </c>
    </row>
    <row r="3038">
      <c r="A3038">
        <f>IFERROR(__xludf.DUMMYFUNCTION("""COMPUTED_VALUE"""),6.0)</f>
        <v>6</v>
      </c>
      <c r="B3038">
        <f>IFERROR(__xludf.DUMMYFUNCTION("""COMPUTED_VALUE"""),31115.0)</f>
        <v>31115</v>
      </c>
      <c r="C3038" t="str">
        <f>IFERROR(__xludf.DUMMYFUNCTION("""COMPUTED_VALUE"""),"SERANI ANGEL, TOMAS")</f>
        <v>SERANI ANGEL, TOMAS</v>
      </c>
      <c r="D3038" t="str">
        <f>IFERROR(__xludf.DUMMYFUNCTION("""COMPUTED_VALUE"""),"Symphony BandS2")</f>
        <v>Symphony BandS2</v>
      </c>
      <c r="E3038" s="31" t="str">
        <f>IFERROR(__xludf.DUMMYFUNCTION("""COMPUTED_VALUE"""),"5a")</f>
        <v>5a</v>
      </c>
      <c r="F3038" s="8">
        <v>1.0</v>
      </c>
      <c r="G3038" s="8">
        <v>1.0</v>
      </c>
      <c r="H3038" s="8">
        <v>1.0</v>
      </c>
      <c r="I3038" s="8">
        <v>1.0</v>
      </c>
      <c r="J3038" s="8">
        <v>1.0</v>
      </c>
      <c r="K3038" s="8">
        <v>1.0</v>
      </c>
      <c r="L3038" s="8">
        <v>6.0</v>
      </c>
      <c r="M3038" s="8"/>
      <c r="N3038" s="8"/>
      <c r="O3038" s="8" t="s">
        <v>834</v>
      </c>
      <c r="P3038" s="8" t="e">
        <v>#N/A</v>
      </c>
    </row>
    <row r="3039">
      <c r="A3039">
        <f>IFERROR(__xludf.DUMMYFUNCTION("""COMPUTED_VALUE"""),6.0)</f>
        <v>6</v>
      </c>
      <c r="B3039">
        <f>IFERROR(__xludf.DUMMYFUNCTION("""COMPUTED_VALUE"""),31116.0)</f>
        <v>31116</v>
      </c>
      <c r="C3039" t="str">
        <f>IFERROR(__xludf.DUMMYFUNCTION("""COMPUTED_VALUE"""),"SERRANO BARRENECHE, JUAN FELIPE")</f>
        <v>SERRANO BARRENECHE, JUAN FELIPE</v>
      </c>
      <c r="D3039" t="str">
        <f>IFERROR(__xludf.DUMMYFUNCTION("""COMPUTED_VALUE"""),"Symphony BandS2")</f>
        <v>Symphony BandS2</v>
      </c>
      <c r="E3039" s="31" t="str">
        <f>IFERROR(__xludf.DUMMYFUNCTION("""COMPUTED_VALUE"""),"5a")</f>
        <v>5a</v>
      </c>
      <c r="F3039" s="8">
        <v>1.0</v>
      </c>
      <c r="G3039" s="8">
        <v>1.0</v>
      </c>
      <c r="H3039" s="8">
        <v>1.0</v>
      </c>
      <c r="I3039" s="8">
        <v>1.0</v>
      </c>
      <c r="J3039" s="8">
        <v>1.0</v>
      </c>
      <c r="K3039" s="8">
        <v>1.0</v>
      </c>
      <c r="L3039" s="8">
        <v>6.0</v>
      </c>
      <c r="M3039" s="8"/>
      <c r="N3039" s="8"/>
      <c r="O3039" s="8" t="s">
        <v>834</v>
      </c>
      <c r="P3039" s="8" t="e">
        <v>#N/A</v>
      </c>
    </row>
    <row r="3040">
      <c r="A3040">
        <f>IFERROR(__xludf.DUMMYFUNCTION("""COMPUTED_VALUE"""),6.0)</f>
        <v>6</v>
      </c>
      <c r="B3040">
        <f>IFERROR(__xludf.DUMMYFUNCTION("""COMPUTED_VALUE"""),31117.0)</f>
        <v>31117</v>
      </c>
      <c r="C3040" t="str">
        <f>IFERROR(__xludf.DUMMYFUNCTION("""COMPUTED_VALUE"""),"SIERRA ECHAVARRIA, BENJAMIN")</f>
        <v>SIERRA ECHAVARRIA, BENJAMIN</v>
      </c>
      <c r="D3040" t="str">
        <f>IFERROR(__xludf.DUMMYFUNCTION("""COMPUTED_VALUE"""),"Regular BandS2")</f>
        <v>Regular BandS2</v>
      </c>
      <c r="E3040" s="31" t="str">
        <f>IFERROR(__xludf.DUMMYFUNCTION("""COMPUTED_VALUE"""),"6a")</f>
        <v>6a</v>
      </c>
      <c r="F3040" s="8">
        <v>1.0</v>
      </c>
      <c r="G3040" s="8">
        <v>1.0</v>
      </c>
      <c r="H3040" s="8">
        <v>1.0</v>
      </c>
      <c r="I3040" s="8">
        <v>1.0</v>
      </c>
      <c r="J3040" s="8">
        <v>1.0</v>
      </c>
      <c r="K3040" s="8">
        <v>1.0</v>
      </c>
      <c r="L3040" s="8">
        <v>6.0</v>
      </c>
      <c r="M3040" s="8"/>
      <c r="N3040" s="8"/>
      <c r="O3040" s="8" t="s">
        <v>835</v>
      </c>
      <c r="P3040" s="8" t="e">
        <v>#N/A</v>
      </c>
    </row>
    <row r="3041">
      <c r="A3041">
        <f>IFERROR(__xludf.DUMMYFUNCTION("""COMPUTED_VALUE"""),6.0)</f>
        <v>6</v>
      </c>
      <c r="B3041">
        <f>IFERROR(__xludf.DUMMYFUNCTION("""COMPUTED_VALUE"""),31118.0)</f>
        <v>31118</v>
      </c>
      <c r="C3041" t="str">
        <f>IFERROR(__xludf.DUMMYFUNCTION("""COMPUTED_VALUE"""),"TOBON PEÑALOZA, EMILIA")</f>
        <v>TOBON PEÑALOZA, EMILIA</v>
      </c>
      <c r="D3041" t="str">
        <f>IFERROR(__xludf.DUMMYFUNCTION("""COMPUTED_VALUE"""),"Art 6S2")</f>
        <v>Art 6S2</v>
      </c>
      <c r="E3041" s="31" t="str">
        <f>IFERROR(__xludf.DUMMYFUNCTION("""COMPUTED_VALUE"""),"1b")</f>
        <v>1b</v>
      </c>
      <c r="F3041" s="8">
        <v>1.0</v>
      </c>
      <c r="G3041" s="8">
        <v>1.0</v>
      </c>
      <c r="H3041" s="8">
        <v>1.0</v>
      </c>
      <c r="I3041" s="8">
        <v>1.0</v>
      </c>
      <c r="J3041" s="8">
        <v>1.0</v>
      </c>
      <c r="K3041" s="8">
        <v>1.0</v>
      </c>
      <c r="L3041" s="8">
        <v>6.0</v>
      </c>
      <c r="M3041" s="8"/>
      <c r="N3041" s="8"/>
      <c r="O3041" s="8" t="s">
        <v>836</v>
      </c>
      <c r="P3041" s="8" t="e">
        <v>#N/A</v>
      </c>
    </row>
    <row r="3042">
      <c r="A3042">
        <f>IFERROR(__xludf.DUMMYFUNCTION("""COMPUTED_VALUE"""),6.0)</f>
        <v>6</v>
      </c>
      <c r="B3042">
        <f>IFERROR(__xludf.DUMMYFUNCTION("""COMPUTED_VALUE"""),31119.0)</f>
        <v>31119</v>
      </c>
      <c r="C3042" t="str">
        <f>IFERROR(__xludf.DUMMYFUNCTION("""COMPUTED_VALUE"""),"TOBON PEÑALOZA, JUAN")</f>
        <v>TOBON PEÑALOZA, JUAN</v>
      </c>
      <c r="D3042" t="str">
        <f>IFERROR(__xludf.DUMMYFUNCTION("""COMPUTED_VALUE"""),"Symphony BandS2")</f>
        <v>Symphony BandS2</v>
      </c>
      <c r="E3042" s="31" t="str">
        <f>IFERROR(__xludf.DUMMYFUNCTION("""COMPUTED_VALUE"""),"5a")</f>
        <v>5a</v>
      </c>
      <c r="F3042" s="8">
        <v>1.0</v>
      </c>
      <c r="G3042" s="8">
        <v>1.0</v>
      </c>
      <c r="H3042" s="8">
        <v>1.0</v>
      </c>
      <c r="I3042" s="8">
        <v>1.0</v>
      </c>
      <c r="J3042" s="8">
        <v>1.0</v>
      </c>
      <c r="K3042" s="8">
        <v>1.0</v>
      </c>
      <c r="L3042" s="8">
        <v>6.0</v>
      </c>
      <c r="M3042" s="8"/>
      <c r="N3042" s="8"/>
      <c r="O3042" s="8" t="s">
        <v>834</v>
      </c>
      <c r="P3042" s="8" t="e">
        <v>#N/A</v>
      </c>
    </row>
    <row r="3043">
      <c r="A3043">
        <f>IFERROR(__xludf.DUMMYFUNCTION("""COMPUTED_VALUE"""),6.0)</f>
        <v>6</v>
      </c>
      <c r="B3043">
        <f>IFERROR(__xludf.DUMMYFUNCTION("""COMPUTED_VALUE"""),31120.0)</f>
        <v>31120</v>
      </c>
      <c r="C3043" t="str">
        <f>IFERROR(__xludf.DUMMYFUNCTION("""COMPUTED_VALUE"""),"TORO PEREZ, GREGORIO")</f>
        <v>TORO PEREZ, GREGORIO</v>
      </c>
      <c r="D3043" t="str">
        <f>IFERROR(__xludf.DUMMYFUNCTION("""COMPUTED_VALUE"""),"Tech 6S2")</f>
        <v>Tech 6S2</v>
      </c>
      <c r="E3043" s="31" t="str">
        <f>IFERROR(__xludf.DUMMYFUNCTION("""COMPUTED_VALUE"""),"1b")</f>
        <v>1b</v>
      </c>
      <c r="F3043" s="8">
        <v>1.0</v>
      </c>
      <c r="G3043" s="8">
        <v>1.0</v>
      </c>
      <c r="H3043" s="8">
        <v>1.0</v>
      </c>
      <c r="I3043" s="8">
        <v>1.0</v>
      </c>
      <c r="J3043" s="8">
        <v>1.0</v>
      </c>
      <c r="K3043" s="8">
        <v>1.0</v>
      </c>
      <c r="L3043" s="8">
        <v>6.0</v>
      </c>
      <c r="M3043" s="8"/>
      <c r="N3043" s="8"/>
      <c r="O3043" s="8" t="s">
        <v>838</v>
      </c>
      <c r="P3043" s="8" t="e">
        <v>#N/A</v>
      </c>
    </row>
    <row r="3044">
      <c r="A3044">
        <f>IFERROR(__xludf.DUMMYFUNCTION("""COMPUTED_VALUE"""),6.0)</f>
        <v>6</v>
      </c>
      <c r="B3044">
        <f>IFERROR(__xludf.DUMMYFUNCTION("""COMPUTED_VALUE"""),31121.0)</f>
        <v>31121</v>
      </c>
      <c r="C3044" t="str">
        <f>IFERROR(__xludf.DUMMYFUNCTION("""COMPUTED_VALUE"""),"TRUJILLO ARANGO, MARTIN")</f>
        <v>TRUJILLO ARANGO, MARTIN</v>
      </c>
      <c r="D3044" t="str">
        <f>IFERROR(__xludf.DUMMYFUNCTION("""COMPUTED_VALUE"""),"Tech 6S2")</f>
        <v>Tech 6S2</v>
      </c>
      <c r="E3044" s="31" t="str">
        <f>IFERROR(__xludf.DUMMYFUNCTION("""COMPUTED_VALUE"""),"2a")</f>
        <v>2a</v>
      </c>
      <c r="F3044" s="8">
        <v>1.0</v>
      </c>
      <c r="G3044" s="8">
        <v>1.0</v>
      </c>
      <c r="H3044" s="8">
        <v>1.0</v>
      </c>
      <c r="I3044" s="8">
        <v>1.0</v>
      </c>
      <c r="J3044" s="8">
        <v>1.0</v>
      </c>
      <c r="K3044" s="8">
        <v>1.0</v>
      </c>
      <c r="L3044" s="8">
        <v>6.0</v>
      </c>
      <c r="M3044" s="8"/>
      <c r="N3044" s="8"/>
      <c r="O3044" s="8" t="s">
        <v>841</v>
      </c>
      <c r="P3044" s="8" t="e">
        <v>#N/A</v>
      </c>
    </row>
    <row r="3045">
      <c r="A3045">
        <f>IFERROR(__xludf.DUMMYFUNCTION("""COMPUTED_VALUE"""),6.0)</f>
        <v>6</v>
      </c>
      <c r="B3045">
        <f>IFERROR(__xludf.DUMMYFUNCTION("""COMPUTED_VALUE"""),30108.0)</f>
        <v>30108</v>
      </c>
      <c r="C3045" t="str">
        <f>IFERROR(__xludf.DUMMYFUNCTION("""COMPUTED_VALUE"""),"TRUJILLO BUITRAGO, MARTIN")</f>
        <v>TRUJILLO BUITRAGO, MARTIN</v>
      </c>
      <c r="D3045" t="str">
        <f>IFERROR(__xludf.DUMMYFUNCTION("""COMPUTED_VALUE"""),"Tech 6S2")</f>
        <v>Tech 6S2</v>
      </c>
      <c r="E3045" s="31" t="str">
        <f>IFERROR(__xludf.DUMMYFUNCTION("""COMPUTED_VALUE"""),"6b")</f>
        <v>6b</v>
      </c>
      <c r="F3045" s="8">
        <v>1.0</v>
      </c>
      <c r="G3045" s="8">
        <v>1.0</v>
      </c>
      <c r="H3045" s="8">
        <v>1.0</v>
      </c>
      <c r="I3045" s="8">
        <v>1.0</v>
      </c>
      <c r="J3045" s="8">
        <v>1.0</v>
      </c>
      <c r="K3045" s="8">
        <v>1.0</v>
      </c>
      <c r="L3045" s="8">
        <v>6.0</v>
      </c>
      <c r="M3045" s="8"/>
      <c r="N3045" s="8"/>
      <c r="O3045" s="8" t="s">
        <v>839</v>
      </c>
      <c r="P3045" s="8" t="e">
        <v>#N/A</v>
      </c>
    </row>
    <row r="3046">
      <c r="A3046">
        <f>IFERROR(__xludf.DUMMYFUNCTION("""COMPUTED_VALUE"""),6.0)</f>
        <v>6</v>
      </c>
      <c r="B3046">
        <f>IFERROR(__xludf.DUMMYFUNCTION("""COMPUTED_VALUE"""),31122.0)</f>
        <v>31122</v>
      </c>
      <c r="C3046" t="str">
        <f>IFERROR(__xludf.DUMMYFUNCTION("""COMPUTED_VALUE"""),"URDANETA MEJIA, GABRIELA")</f>
        <v>URDANETA MEJIA, GABRIELA</v>
      </c>
      <c r="D3046" t="str">
        <f>IFERROR(__xludf.DUMMYFUNCTION("""COMPUTED_VALUE"""),"Art 6S2")</f>
        <v>Art 6S2</v>
      </c>
      <c r="E3046" s="31" t="str">
        <f>IFERROR(__xludf.DUMMYFUNCTION("""COMPUTED_VALUE"""),"2a")</f>
        <v>2a</v>
      </c>
      <c r="F3046" s="8">
        <v>1.0</v>
      </c>
      <c r="G3046" s="8">
        <v>1.0</v>
      </c>
      <c r="H3046" s="8">
        <v>1.0</v>
      </c>
      <c r="I3046" s="8">
        <v>1.0</v>
      </c>
      <c r="J3046" s="8">
        <v>1.0</v>
      </c>
      <c r="K3046" s="8">
        <v>1.0</v>
      </c>
      <c r="L3046" s="8">
        <v>6.0</v>
      </c>
      <c r="M3046" s="8"/>
      <c r="N3046" s="8"/>
      <c r="O3046" s="8" t="s">
        <v>842</v>
      </c>
      <c r="P3046" s="8" t="e">
        <v>#N/A</v>
      </c>
    </row>
    <row r="3047">
      <c r="A3047">
        <f>IFERROR(__xludf.DUMMYFUNCTION("""COMPUTED_VALUE"""),6.0)</f>
        <v>6</v>
      </c>
      <c r="B3047">
        <f>IFERROR(__xludf.DUMMYFUNCTION("""COMPUTED_VALUE"""),31123.0)</f>
        <v>31123</v>
      </c>
      <c r="C3047" t="str">
        <f>IFERROR(__xludf.DUMMYFUNCTION("""COMPUTED_VALUE"""),"URIBE BOTERO, MANUEL")</f>
        <v>URIBE BOTERO, MANUEL</v>
      </c>
      <c r="D3047" t="str">
        <f>IFERROR(__xludf.DUMMYFUNCTION("""COMPUTED_VALUE"""),"Tech 6S2")</f>
        <v>Tech 6S2</v>
      </c>
      <c r="E3047" s="31" t="str">
        <f>IFERROR(__xludf.DUMMYFUNCTION("""COMPUTED_VALUE"""),"1b")</f>
        <v>1b</v>
      </c>
      <c r="F3047" s="8">
        <v>1.0</v>
      </c>
      <c r="G3047" s="8">
        <v>1.0</v>
      </c>
      <c r="H3047" s="8">
        <v>1.0</v>
      </c>
      <c r="I3047" s="8">
        <v>1.0</v>
      </c>
      <c r="J3047" s="8">
        <v>1.0</v>
      </c>
      <c r="K3047" s="8">
        <v>1.0</v>
      </c>
      <c r="L3047" s="8">
        <v>6.0</v>
      </c>
      <c r="M3047" s="8"/>
      <c r="N3047" s="8"/>
      <c r="O3047" s="8" t="s">
        <v>838</v>
      </c>
      <c r="P3047" s="8" t="e">
        <v>#N/A</v>
      </c>
    </row>
    <row r="3048">
      <c r="A3048">
        <f>IFERROR(__xludf.DUMMYFUNCTION("""COMPUTED_VALUE"""),6.0)</f>
        <v>6</v>
      </c>
      <c r="B3048">
        <f>IFERROR(__xludf.DUMMYFUNCTION("""COMPUTED_VALUE"""),31124.0)</f>
        <v>31124</v>
      </c>
      <c r="C3048" t="str">
        <f>IFERROR(__xludf.DUMMYFUNCTION("""COMPUTED_VALUE"""),"URIBE MEJIA, MARTINA")</f>
        <v>URIBE MEJIA, MARTINA</v>
      </c>
      <c r="D3048" t="str">
        <f>IFERROR(__xludf.DUMMYFUNCTION("""COMPUTED_VALUE"""),"Symphony BandS2")</f>
        <v>Symphony BandS2</v>
      </c>
      <c r="E3048" s="31" t="str">
        <f>IFERROR(__xludf.DUMMYFUNCTION("""COMPUTED_VALUE"""),"5a")</f>
        <v>5a</v>
      </c>
      <c r="F3048" s="8">
        <v>1.0</v>
      </c>
      <c r="G3048" s="8">
        <v>1.0</v>
      </c>
      <c r="H3048" s="8">
        <v>1.0</v>
      </c>
      <c r="I3048" s="8">
        <v>1.0</v>
      </c>
      <c r="J3048" s="8">
        <v>1.0</v>
      </c>
      <c r="K3048" s="8">
        <v>1.0</v>
      </c>
      <c r="L3048" s="8">
        <v>6.0</v>
      </c>
      <c r="M3048" s="8"/>
      <c r="N3048" s="8"/>
      <c r="O3048" s="8" t="s">
        <v>834</v>
      </c>
      <c r="P3048" s="8" t="e">
        <v>#N/A</v>
      </c>
    </row>
    <row r="3049">
      <c r="A3049">
        <f>IFERROR(__xludf.DUMMYFUNCTION("""COMPUTED_VALUE"""),6.0)</f>
        <v>6</v>
      </c>
      <c r="B3049">
        <f>IFERROR(__xludf.DUMMYFUNCTION("""COMPUTED_VALUE"""),31125.0)</f>
        <v>31125</v>
      </c>
      <c r="C3049" t="str">
        <f>IFERROR(__xludf.DUMMYFUNCTION("""COMPUTED_VALUE"""),"URIBE RODRIGUEZ, ANDRES")</f>
        <v>URIBE RODRIGUEZ, ANDRES</v>
      </c>
      <c r="D3049" t="str">
        <f>IFERROR(__xludf.DUMMYFUNCTION("""COMPUTED_VALUE"""),"Regular BandS2")</f>
        <v>Regular BandS2</v>
      </c>
      <c r="E3049" s="31" t="str">
        <f>IFERROR(__xludf.DUMMYFUNCTION("""COMPUTED_VALUE"""),"6a")</f>
        <v>6a</v>
      </c>
      <c r="F3049" s="8">
        <v>1.0</v>
      </c>
      <c r="G3049" s="8">
        <v>1.0</v>
      </c>
      <c r="H3049" s="8">
        <v>1.0</v>
      </c>
      <c r="I3049" s="8">
        <v>1.0</v>
      </c>
      <c r="J3049" s="8">
        <v>1.0</v>
      </c>
      <c r="K3049" s="8">
        <v>1.0</v>
      </c>
      <c r="L3049" s="8">
        <v>6.0</v>
      </c>
      <c r="M3049" s="8"/>
      <c r="N3049" s="8"/>
      <c r="O3049" s="8" t="s">
        <v>835</v>
      </c>
      <c r="P3049" s="8" t="e">
        <v>#N/A</v>
      </c>
    </row>
    <row r="3050">
      <c r="A3050">
        <f>IFERROR(__xludf.DUMMYFUNCTION("""COMPUTED_VALUE"""),6.0)</f>
        <v>6</v>
      </c>
      <c r="B3050">
        <f>IFERROR(__xludf.DUMMYFUNCTION("""COMPUTED_VALUE"""),31126.0)</f>
        <v>31126</v>
      </c>
      <c r="C3050" t="str">
        <f>IFERROR(__xludf.DUMMYFUNCTION("""COMPUTED_VALUE"""),"URIBE RUIZ, MANUEL")</f>
        <v>URIBE RUIZ, MANUEL</v>
      </c>
      <c r="D3050" t="str">
        <f>IFERROR(__xludf.DUMMYFUNCTION("""COMPUTED_VALUE"""),"Tech 6S2")</f>
        <v>Tech 6S2</v>
      </c>
      <c r="E3050" s="31" t="str">
        <f>IFERROR(__xludf.DUMMYFUNCTION("""COMPUTED_VALUE"""),"1b")</f>
        <v>1b</v>
      </c>
      <c r="F3050" s="8">
        <v>1.0</v>
      </c>
      <c r="G3050" s="8">
        <v>1.0</v>
      </c>
      <c r="H3050" s="8">
        <v>1.0</v>
      </c>
      <c r="I3050" s="8">
        <v>1.0</v>
      </c>
      <c r="J3050" s="8">
        <v>1.0</v>
      </c>
      <c r="K3050" s="8">
        <v>1.0</v>
      </c>
      <c r="L3050" s="8">
        <v>6.0</v>
      </c>
      <c r="M3050" s="8"/>
      <c r="N3050" s="8"/>
      <c r="O3050" s="8" t="s">
        <v>838</v>
      </c>
      <c r="P3050" s="8" t="e">
        <v>#N/A</v>
      </c>
    </row>
    <row r="3051">
      <c r="A3051">
        <f>IFERROR(__xludf.DUMMYFUNCTION("""COMPUTED_VALUE"""),6.0)</f>
        <v>6</v>
      </c>
      <c r="B3051">
        <f>IFERROR(__xludf.DUMMYFUNCTION("""COMPUTED_VALUE"""),31127.0)</f>
        <v>31127</v>
      </c>
      <c r="C3051" t="str">
        <f>IFERROR(__xludf.DUMMYFUNCTION("""COMPUTED_VALUE"""),"URIBE VELASQUEZ, JERONIMO")</f>
        <v>URIBE VELASQUEZ, JERONIMO</v>
      </c>
      <c r="D3051" t="str">
        <f>IFERROR(__xludf.DUMMYFUNCTION("""COMPUTED_VALUE"""),"Tech 6S2")</f>
        <v>Tech 6S2</v>
      </c>
      <c r="E3051" s="31" t="str">
        <f>IFERROR(__xludf.DUMMYFUNCTION("""COMPUTED_VALUE"""),"4a")</f>
        <v>4a</v>
      </c>
      <c r="F3051" s="8">
        <v>1.0</v>
      </c>
      <c r="G3051" s="8">
        <v>1.0</v>
      </c>
      <c r="H3051" s="8">
        <v>1.0</v>
      </c>
      <c r="I3051" s="8">
        <v>1.0</v>
      </c>
      <c r="J3051" s="8">
        <v>1.0</v>
      </c>
      <c r="K3051" s="8">
        <v>1.0</v>
      </c>
      <c r="L3051" s="8">
        <v>6.0</v>
      </c>
      <c r="M3051" s="8"/>
      <c r="N3051" s="8"/>
      <c r="O3051" s="8" t="s">
        <v>833</v>
      </c>
      <c r="P3051" s="8" t="e">
        <v>#N/A</v>
      </c>
    </row>
    <row r="3052">
      <c r="A3052">
        <f>IFERROR(__xludf.DUMMYFUNCTION("""COMPUTED_VALUE"""),6.0)</f>
        <v>6</v>
      </c>
      <c r="B3052">
        <f>IFERROR(__xludf.DUMMYFUNCTION("""COMPUTED_VALUE"""),31128.0)</f>
        <v>31128</v>
      </c>
      <c r="C3052" t="str">
        <f>IFERROR(__xludf.DUMMYFUNCTION("""COMPUTED_VALUE"""),"URRETA HENAO, PEDRO")</f>
        <v>URRETA HENAO, PEDRO</v>
      </c>
      <c r="D3052" t="str">
        <f>IFERROR(__xludf.DUMMYFUNCTION("""COMPUTED_VALUE"""),"Regular BandS2")</f>
        <v>Regular BandS2</v>
      </c>
      <c r="E3052" s="31" t="str">
        <f>IFERROR(__xludf.DUMMYFUNCTION("""COMPUTED_VALUE"""),"6a")</f>
        <v>6a</v>
      </c>
      <c r="F3052" s="8">
        <v>1.0</v>
      </c>
      <c r="G3052" s="8">
        <v>1.0</v>
      </c>
      <c r="H3052" s="8">
        <v>1.0</v>
      </c>
      <c r="I3052" s="8">
        <v>1.0</v>
      </c>
      <c r="J3052" s="8">
        <v>1.0</v>
      </c>
      <c r="K3052" s="8">
        <v>1.0</v>
      </c>
      <c r="L3052" s="8">
        <v>6.0</v>
      </c>
      <c r="M3052" s="8"/>
      <c r="N3052" s="8"/>
      <c r="O3052" s="8" t="s">
        <v>835</v>
      </c>
      <c r="P3052" s="8" t="e">
        <v>#N/A</v>
      </c>
    </row>
    <row r="3053">
      <c r="A3053">
        <f>IFERROR(__xludf.DUMMYFUNCTION("""COMPUTED_VALUE"""),6.0)</f>
        <v>6</v>
      </c>
      <c r="B3053">
        <f>IFERROR(__xludf.DUMMYFUNCTION("""COMPUTED_VALUE"""),31165.0)</f>
        <v>31165</v>
      </c>
      <c r="C3053" t="str">
        <f>IFERROR(__xludf.DUMMYFUNCTION("""COMPUTED_VALUE"""),"VALDEZ URIBE, SAMANTHA")</f>
        <v>VALDEZ URIBE, SAMANTHA</v>
      </c>
      <c r="D3053" t="str">
        <f>IFERROR(__xludf.DUMMYFUNCTION("""COMPUTED_VALUE"""),"Art 6S2")</f>
        <v>Art 6S2</v>
      </c>
      <c r="E3053" s="31" t="str">
        <f>IFERROR(__xludf.DUMMYFUNCTION("""COMPUTED_VALUE"""),"6b")</f>
        <v>6b</v>
      </c>
      <c r="F3053" s="8">
        <v>1.0</v>
      </c>
      <c r="G3053" s="8">
        <v>1.0</v>
      </c>
      <c r="H3053" s="8">
        <v>1.0</v>
      </c>
      <c r="I3053" s="8">
        <v>1.0</v>
      </c>
      <c r="J3053" s="8">
        <v>1.0</v>
      </c>
      <c r="K3053" s="8">
        <v>1.0</v>
      </c>
      <c r="L3053" s="8">
        <v>6.0</v>
      </c>
      <c r="M3053" s="8"/>
      <c r="N3053" s="8"/>
      <c r="O3053" s="8" t="s">
        <v>840</v>
      </c>
      <c r="P3053" s="8" t="e">
        <v>#N/A</v>
      </c>
    </row>
    <row r="3054">
      <c r="A3054">
        <f>IFERROR(__xludf.DUMMYFUNCTION("""COMPUTED_VALUE"""),6.0)</f>
        <v>6</v>
      </c>
      <c r="B3054">
        <f>IFERROR(__xludf.DUMMYFUNCTION("""COMPUTED_VALUE"""),31129.0)</f>
        <v>31129</v>
      </c>
      <c r="C3054" t="str">
        <f>IFERROR(__xludf.DUMMYFUNCTION("""COMPUTED_VALUE"""),"VALENCIA VILLEGAS, ELENA")</f>
        <v>VALENCIA VILLEGAS, ELENA</v>
      </c>
      <c r="D3054" t="str">
        <f>IFERROR(__xludf.DUMMYFUNCTION("""COMPUTED_VALUE"""),"Art 6S2")</f>
        <v>Art 6S2</v>
      </c>
      <c r="E3054" s="31" t="str">
        <f>IFERROR(__xludf.DUMMYFUNCTION("""COMPUTED_VALUE"""),"4a")</f>
        <v>4a</v>
      </c>
      <c r="F3054" s="8">
        <v>1.0</v>
      </c>
      <c r="G3054" s="8">
        <v>1.0</v>
      </c>
      <c r="H3054" s="8">
        <v>1.0</v>
      </c>
      <c r="I3054" s="8">
        <v>1.0</v>
      </c>
      <c r="J3054" s="8">
        <v>1.0</v>
      </c>
      <c r="K3054" s="8">
        <v>1.0</v>
      </c>
      <c r="L3054" s="8">
        <v>6.0</v>
      </c>
      <c r="M3054" s="8"/>
      <c r="N3054" s="8"/>
      <c r="O3054" s="8" t="s">
        <v>837</v>
      </c>
      <c r="P3054" s="8" t="e">
        <v>#N/A</v>
      </c>
    </row>
    <row r="3055">
      <c r="A3055">
        <f>IFERROR(__xludf.DUMMYFUNCTION("""COMPUTED_VALUE"""),6.0)</f>
        <v>6</v>
      </c>
      <c r="B3055">
        <f>IFERROR(__xludf.DUMMYFUNCTION("""COMPUTED_VALUE"""),31130.0)</f>
        <v>31130</v>
      </c>
      <c r="C3055" t="str">
        <f>IFERROR(__xludf.DUMMYFUNCTION("""COMPUTED_VALUE"""),"VARGAS ACEVEDO, DANTE")</f>
        <v>VARGAS ACEVEDO, DANTE</v>
      </c>
      <c r="D3055" t="str">
        <f>IFERROR(__xludf.DUMMYFUNCTION("""COMPUTED_VALUE"""),"Tech 6S2")</f>
        <v>Tech 6S2</v>
      </c>
      <c r="E3055" s="31" t="str">
        <f>IFERROR(__xludf.DUMMYFUNCTION("""COMPUTED_VALUE"""),"6b")</f>
        <v>6b</v>
      </c>
      <c r="F3055" s="8">
        <v>1.0</v>
      </c>
      <c r="G3055" s="8">
        <v>1.0</v>
      </c>
      <c r="H3055" s="8">
        <v>1.0</v>
      </c>
      <c r="I3055" s="8">
        <v>1.0</v>
      </c>
      <c r="J3055" s="8">
        <v>1.0</v>
      </c>
      <c r="K3055" s="8">
        <v>1.0</v>
      </c>
      <c r="L3055" s="8">
        <v>6.0</v>
      </c>
      <c r="M3055" s="8"/>
      <c r="N3055" s="8"/>
      <c r="O3055" s="8" t="s">
        <v>839</v>
      </c>
      <c r="P3055" s="8" t="e">
        <v>#N/A</v>
      </c>
    </row>
    <row r="3056">
      <c r="A3056">
        <f>IFERROR(__xludf.DUMMYFUNCTION("""COMPUTED_VALUE"""),6.0)</f>
        <v>6</v>
      </c>
      <c r="B3056">
        <f>IFERROR(__xludf.DUMMYFUNCTION("""COMPUTED_VALUE"""),31132.0)</f>
        <v>31132</v>
      </c>
      <c r="C3056" t="str">
        <f>IFERROR(__xludf.DUMMYFUNCTION("""COMPUTED_VALUE"""),"VASQUEZ HENAO, MATIAS")</f>
        <v>VASQUEZ HENAO, MATIAS</v>
      </c>
      <c r="D3056" t="str">
        <f>IFERROR(__xludf.DUMMYFUNCTION("""COMPUTED_VALUE"""),"Tech 6S2")</f>
        <v>Tech 6S2</v>
      </c>
      <c r="E3056" s="31" t="str">
        <f>IFERROR(__xludf.DUMMYFUNCTION("""COMPUTED_VALUE"""),"2a")</f>
        <v>2a</v>
      </c>
      <c r="F3056" s="8">
        <v>1.0</v>
      </c>
      <c r="G3056" s="8">
        <v>1.0</v>
      </c>
      <c r="H3056" s="8">
        <v>1.0</v>
      </c>
      <c r="I3056" s="8">
        <v>1.0</v>
      </c>
      <c r="J3056" s="8">
        <v>1.0</v>
      </c>
      <c r="K3056" s="8">
        <v>1.0</v>
      </c>
      <c r="L3056" s="8">
        <v>6.0</v>
      </c>
      <c r="M3056" s="8"/>
      <c r="N3056" s="8"/>
      <c r="O3056" s="8" t="s">
        <v>841</v>
      </c>
      <c r="P3056" s="8" t="e">
        <v>#N/A</v>
      </c>
    </row>
    <row r="3057">
      <c r="A3057">
        <f>IFERROR(__xludf.DUMMYFUNCTION("""COMPUTED_VALUE"""),6.0)</f>
        <v>6</v>
      </c>
      <c r="B3057">
        <f>IFERROR(__xludf.DUMMYFUNCTION("""COMPUTED_VALUE"""),30118.0)</f>
        <v>30118</v>
      </c>
      <c r="C3057" t="str">
        <f>IFERROR(__xludf.DUMMYFUNCTION("""COMPUTED_VALUE"""),"VASQUEZ MEDINA, MATIAS")</f>
        <v>VASQUEZ MEDINA, MATIAS</v>
      </c>
      <c r="D3057" t="str">
        <f>IFERROR(__xludf.DUMMYFUNCTION("""COMPUTED_VALUE"""),"Art 6S2")</f>
        <v>Art 6S2</v>
      </c>
      <c r="E3057" s="31" t="str">
        <f>IFERROR(__xludf.DUMMYFUNCTION("""COMPUTED_VALUE"""),"1b")</f>
        <v>1b</v>
      </c>
      <c r="F3057" s="8">
        <v>1.0</v>
      </c>
      <c r="G3057" s="8">
        <v>1.0</v>
      </c>
      <c r="H3057" s="8">
        <v>1.0</v>
      </c>
      <c r="I3057" s="8">
        <v>1.0</v>
      </c>
      <c r="J3057" s="8">
        <v>1.0</v>
      </c>
      <c r="K3057" s="8">
        <v>1.0</v>
      </c>
      <c r="L3057" s="8">
        <v>6.0</v>
      </c>
      <c r="M3057" s="8"/>
      <c r="N3057" s="8"/>
      <c r="O3057" s="8" t="s">
        <v>836</v>
      </c>
      <c r="P3057" s="8" t="e">
        <v>#N/A</v>
      </c>
    </row>
    <row r="3058">
      <c r="A3058">
        <f>IFERROR(__xludf.DUMMYFUNCTION("""COMPUTED_VALUE"""),6.0)</f>
        <v>6</v>
      </c>
      <c r="B3058">
        <f>IFERROR(__xludf.DUMMYFUNCTION("""COMPUTED_VALUE"""),31134.0)</f>
        <v>31134</v>
      </c>
      <c r="C3058" t="str">
        <f>IFERROR(__xludf.DUMMYFUNCTION("""COMPUTED_VALUE"""),"VELEZ ARANGO, LAURA")</f>
        <v>VELEZ ARANGO, LAURA</v>
      </c>
      <c r="D3058" t="str">
        <f>IFERROR(__xludf.DUMMYFUNCTION("""COMPUTED_VALUE"""),"Tech 6S2")</f>
        <v>Tech 6S2</v>
      </c>
      <c r="E3058" s="31" t="str">
        <f>IFERROR(__xludf.DUMMYFUNCTION("""COMPUTED_VALUE"""),"1b")</f>
        <v>1b</v>
      </c>
      <c r="F3058" s="8">
        <v>1.0</v>
      </c>
      <c r="G3058" s="8">
        <v>1.0</v>
      </c>
      <c r="H3058" s="8">
        <v>1.0</v>
      </c>
      <c r="I3058" s="8">
        <v>1.0</v>
      </c>
      <c r="J3058" s="8">
        <v>1.0</v>
      </c>
      <c r="K3058" s="8">
        <v>1.0</v>
      </c>
      <c r="L3058" s="8">
        <v>6.0</v>
      </c>
      <c r="M3058" s="8"/>
      <c r="N3058" s="8"/>
      <c r="O3058" s="8" t="s">
        <v>838</v>
      </c>
      <c r="P3058" s="8" t="e">
        <v>#N/A</v>
      </c>
    </row>
    <row r="3059">
      <c r="A3059">
        <f>IFERROR(__xludf.DUMMYFUNCTION("""COMPUTED_VALUE"""),6.0)</f>
        <v>6</v>
      </c>
      <c r="B3059">
        <f>IFERROR(__xludf.DUMMYFUNCTION("""COMPUTED_VALUE"""),31135.0)</f>
        <v>31135</v>
      </c>
      <c r="C3059" t="str">
        <f>IFERROR(__xludf.DUMMYFUNCTION("""COMPUTED_VALUE"""),"VELEZ ARANGO, PEDRO")</f>
        <v>VELEZ ARANGO, PEDRO</v>
      </c>
      <c r="D3059" t="str">
        <f>IFERROR(__xludf.DUMMYFUNCTION("""COMPUTED_VALUE"""),"Art 6S2")</f>
        <v>Art 6S2</v>
      </c>
      <c r="E3059" s="31" t="str">
        <f>IFERROR(__xludf.DUMMYFUNCTION("""COMPUTED_VALUE"""),"2a")</f>
        <v>2a</v>
      </c>
      <c r="F3059" s="8">
        <v>1.0</v>
      </c>
      <c r="G3059" s="8">
        <v>1.0</v>
      </c>
      <c r="H3059" s="8">
        <v>1.0</v>
      </c>
      <c r="I3059" s="8">
        <v>1.0</v>
      </c>
      <c r="J3059" s="8">
        <v>1.0</v>
      </c>
      <c r="K3059" s="8">
        <v>1.0</v>
      </c>
      <c r="L3059" s="8">
        <v>6.0</v>
      </c>
      <c r="M3059" s="8"/>
      <c r="N3059" s="8"/>
      <c r="O3059" s="8" t="s">
        <v>842</v>
      </c>
      <c r="P3059" s="8" t="e">
        <v>#N/A</v>
      </c>
    </row>
    <row r="3060">
      <c r="A3060">
        <f>IFERROR(__xludf.DUMMYFUNCTION("""COMPUTED_VALUE"""),6.0)</f>
        <v>6</v>
      </c>
      <c r="B3060">
        <f>IFERROR(__xludf.DUMMYFUNCTION("""COMPUTED_VALUE"""),31174.0)</f>
        <v>31174</v>
      </c>
      <c r="C3060" t="str">
        <f>IFERROR(__xludf.DUMMYFUNCTION("""COMPUTED_VALUE"""),"WILSON, HERBERT GEORGE")</f>
        <v>WILSON, HERBERT GEORGE</v>
      </c>
      <c r="D3060" t="str">
        <f>IFERROR(__xludf.DUMMYFUNCTION("""COMPUTED_VALUE"""),"Tech 6S2")</f>
        <v>Tech 6S2</v>
      </c>
      <c r="E3060" s="31" t="str">
        <f>IFERROR(__xludf.DUMMYFUNCTION("""COMPUTED_VALUE"""),"6b")</f>
        <v>6b</v>
      </c>
      <c r="F3060" s="8">
        <v>1.0</v>
      </c>
      <c r="G3060" s="8">
        <v>1.0</v>
      </c>
      <c r="H3060" s="8">
        <v>1.0</v>
      </c>
      <c r="I3060" s="8">
        <v>1.0</v>
      </c>
      <c r="J3060" s="8">
        <v>1.0</v>
      </c>
      <c r="K3060" s="8">
        <v>1.0</v>
      </c>
      <c r="L3060" s="8">
        <v>6.0</v>
      </c>
      <c r="M3060" s="8"/>
      <c r="N3060" s="8"/>
      <c r="O3060" s="8" t="s">
        <v>839</v>
      </c>
      <c r="P3060" s="8" t="e">
        <v>#N/A</v>
      </c>
    </row>
    <row r="3061">
      <c r="A3061">
        <f>IFERROR(__xludf.DUMMYFUNCTION("""COMPUTED_VALUE"""),6.0)</f>
        <v>6</v>
      </c>
      <c r="B3061">
        <f>IFERROR(__xludf.DUMMYFUNCTION("""COMPUTED_VALUE"""),31136.0)</f>
        <v>31136</v>
      </c>
      <c r="C3061" t="str">
        <f>IFERROR(__xludf.DUMMYFUNCTION("""COMPUTED_VALUE"""),"YANOVICH URIBE, MARCOS")</f>
        <v>YANOVICH URIBE, MARCOS</v>
      </c>
      <c r="D3061" t="str">
        <f>IFERROR(__xludf.DUMMYFUNCTION("""COMPUTED_VALUE"""),"Art 6S2")</f>
        <v>Art 6S2</v>
      </c>
      <c r="E3061" s="31" t="str">
        <f>IFERROR(__xludf.DUMMYFUNCTION("""COMPUTED_VALUE"""),"4a")</f>
        <v>4a</v>
      </c>
      <c r="F3061" s="8">
        <v>1.0</v>
      </c>
      <c r="G3061" s="8">
        <v>1.0</v>
      </c>
      <c r="H3061" s="8">
        <v>1.0</v>
      </c>
      <c r="I3061" s="8">
        <v>1.0</v>
      </c>
      <c r="J3061" s="8">
        <v>1.0</v>
      </c>
      <c r="K3061" s="8">
        <v>1.0</v>
      </c>
      <c r="L3061" s="8">
        <v>6.0</v>
      </c>
      <c r="M3061" s="8"/>
      <c r="N3061" s="8"/>
      <c r="O3061" s="8" t="s">
        <v>837</v>
      </c>
      <c r="P3061" s="8" t="e">
        <v>#N/A</v>
      </c>
    </row>
    <row r="3062">
      <c r="A3062">
        <f>IFERROR(__xludf.DUMMYFUNCTION("""COMPUTED_VALUE"""),6.0)</f>
        <v>6</v>
      </c>
      <c r="B3062">
        <f>IFERROR(__xludf.DUMMYFUNCTION("""COMPUTED_VALUE"""),30157.0)</f>
        <v>30157</v>
      </c>
      <c r="C3062" t="str">
        <f>IFERROR(__xludf.DUMMYFUNCTION("""COMPUTED_VALUE"""),"ZARRUK BELTRAN, ALEJANDRO")</f>
        <v>ZARRUK BELTRAN, ALEJANDRO</v>
      </c>
      <c r="D3062" t="str">
        <f>IFERROR(__xludf.DUMMYFUNCTION("""COMPUTED_VALUE"""),"Regular BandS2")</f>
        <v>Regular BandS2</v>
      </c>
      <c r="E3062" s="31" t="str">
        <f>IFERROR(__xludf.DUMMYFUNCTION("""COMPUTED_VALUE"""),"6a")</f>
        <v>6a</v>
      </c>
      <c r="F3062" s="8">
        <v>1.0</v>
      </c>
      <c r="G3062" s="8">
        <v>1.0</v>
      </c>
      <c r="H3062" s="8">
        <v>1.0</v>
      </c>
      <c r="I3062" s="8">
        <v>1.0</v>
      </c>
      <c r="J3062" s="8">
        <v>1.0</v>
      </c>
      <c r="K3062" s="8">
        <v>1.0</v>
      </c>
      <c r="L3062" s="8">
        <v>6.0</v>
      </c>
      <c r="M3062" s="8"/>
      <c r="N3062" s="8"/>
      <c r="O3062" s="8" t="s">
        <v>835</v>
      </c>
      <c r="P3062" s="8" t="e">
        <v>#N/A</v>
      </c>
    </row>
    <row r="3063">
      <c r="A3063">
        <f>IFERROR(__xludf.DUMMYFUNCTION("""COMPUTED_VALUE"""),6.0)</f>
        <v>6</v>
      </c>
      <c r="B3063">
        <f>IFERROR(__xludf.DUMMYFUNCTION("""COMPUTED_VALUE"""),31138.0)</f>
        <v>31138</v>
      </c>
      <c r="C3063" t="str">
        <f>IFERROR(__xludf.DUMMYFUNCTION("""COMPUTED_VALUE"""),"ZULOAGA MUÑOZ, PEDRO")</f>
        <v>ZULOAGA MUÑOZ, PEDRO</v>
      </c>
      <c r="D3063" t="str">
        <f>IFERROR(__xludf.DUMMYFUNCTION("""COMPUTED_VALUE"""),"Art 6S2")</f>
        <v>Art 6S2</v>
      </c>
      <c r="E3063" s="31" t="str">
        <f>IFERROR(__xludf.DUMMYFUNCTION("""COMPUTED_VALUE"""),"6b")</f>
        <v>6b</v>
      </c>
      <c r="F3063" s="8">
        <v>1.0</v>
      </c>
      <c r="G3063" s="8">
        <v>1.0</v>
      </c>
      <c r="H3063" s="8">
        <v>1.0</v>
      </c>
      <c r="I3063" s="8">
        <v>1.0</v>
      </c>
      <c r="J3063" s="8">
        <v>1.0</v>
      </c>
      <c r="K3063" s="8">
        <v>1.0</v>
      </c>
      <c r="L3063" s="8">
        <v>6.0</v>
      </c>
      <c r="M3063" s="8"/>
      <c r="N3063" s="8"/>
      <c r="O3063" s="8" t="s">
        <v>840</v>
      </c>
      <c r="P3063" s="8" t="e">
        <v>#N/A</v>
      </c>
    </row>
    <row r="3064">
      <c r="A3064">
        <f>IFERROR(__xludf.DUMMYFUNCTION("""COMPUTED_VALUE"""),6.0)</f>
        <v>6</v>
      </c>
      <c r="B3064">
        <f>IFERROR(__xludf.DUMMYFUNCTION("""COMPUTED_VALUE"""),31137.0)</f>
        <v>31137</v>
      </c>
      <c r="C3064" t="str">
        <f>IFERROR(__xludf.DUMMYFUNCTION("""COMPUTED_VALUE"""),"ZULUAGA HOYOS, ALEJANDRO")</f>
        <v>ZULUAGA HOYOS, ALEJANDRO</v>
      </c>
      <c r="D3064" t="str">
        <f>IFERROR(__xludf.DUMMYFUNCTION("""COMPUTED_VALUE"""),"Regular BandS2")</f>
        <v>Regular BandS2</v>
      </c>
      <c r="E3064" s="31" t="str">
        <f>IFERROR(__xludf.DUMMYFUNCTION("""COMPUTED_VALUE"""),"6a")</f>
        <v>6a</v>
      </c>
      <c r="F3064" s="8">
        <v>1.0</v>
      </c>
      <c r="G3064" s="8">
        <v>1.0</v>
      </c>
      <c r="H3064" s="8">
        <v>1.0</v>
      </c>
      <c r="I3064" s="8">
        <v>1.0</v>
      </c>
      <c r="J3064" s="8">
        <v>1.0</v>
      </c>
      <c r="K3064" s="8">
        <v>1.0</v>
      </c>
      <c r="L3064" s="8">
        <v>6.0</v>
      </c>
      <c r="M3064" s="8"/>
      <c r="N3064" s="8"/>
      <c r="O3064" s="8" t="s">
        <v>835</v>
      </c>
      <c r="P3064" s="8" t="e">
        <v>#N/A</v>
      </c>
    </row>
    <row r="3065">
      <c r="A3065">
        <f>IFERROR(__xludf.DUMMYFUNCTION("""COMPUTED_VALUE"""),7.0)</f>
        <v>7</v>
      </c>
      <c r="B3065">
        <f>IFERROR(__xludf.DUMMYFUNCTION("""COMPUTED_VALUE"""),30001.0)</f>
        <v>30001</v>
      </c>
      <c r="C3065" t="str">
        <f>IFERROR(__xludf.DUMMYFUNCTION("""COMPUTED_VALUE"""),"ALVAREZ GOMEZ, FEDERICO")</f>
        <v>ALVAREZ GOMEZ, FEDERICO</v>
      </c>
      <c r="D3065" t="str">
        <f>IFERROR(__xludf.DUMMYFUNCTION("""COMPUTED_VALUE"""),"Band 7S2")</f>
        <v>Band 7S2</v>
      </c>
      <c r="E3065" s="31" t="str">
        <f>IFERROR(__xludf.DUMMYFUNCTION("""COMPUTED_VALUE"""),"4b")</f>
        <v>4b</v>
      </c>
      <c r="F3065" s="8">
        <v>1.0</v>
      </c>
      <c r="G3065" s="8">
        <v>1.0</v>
      </c>
      <c r="H3065" s="8">
        <v>1.0</v>
      </c>
      <c r="I3065" s="8">
        <v>1.0</v>
      </c>
      <c r="J3065" s="8">
        <v>1.0</v>
      </c>
      <c r="K3065" s="8">
        <v>1.0</v>
      </c>
      <c r="L3065" s="8">
        <v>6.0</v>
      </c>
      <c r="M3065" s="8"/>
      <c r="N3065" s="8"/>
      <c r="O3065" s="8" t="s">
        <v>843</v>
      </c>
      <c r="P3065" s="8" t="e">
        <v>#N/A</v>
      </c>
    </row>
    <row r="3066">
      <c r="A3066">
        <f>IFERROR(__xludf.DUMMYFUNCTION("""COMPUTED_VALUE"""),7.0)</f>
        <v>7</v>
      </c>
      <c r="B3066">
        <f>IFERROR(__xludf.DUMMYFUNCTION("""COMPUTED_VALUE"""),30002.0)</f>
        <v>30002</v>
      </c>
      <c r="C3066" t="str">
        <f>IFERROR(__xludf.DUMMYFUNCTION("""COMPUTED_VALUE"""),"ALVAREZ VERA, ALEJANDRA")</f>
        <v>ALVAREZ VERA, ALEJANDRA</v>
      </c>
      <c r="D3066" t="str">
        <f>IFERROR(__xludf.DUMMYFUNCTION("""COMPUTED_VALUE"""),"Art 7S2")</f>
        <v>Art 7S2</v>
      </c>
      <c r="E3066" s="31" t="str">
        <f>IFERROR(__xludf.DUMMYFUNCTION("""COMPUTED_VALUE"""),"2b")</f>
        <v>2b</v>
      </c>
      <c r="F3066" s="8">
        <v>1.0</v>
      </c>
      <c r="G3066" s="8">
        <v>1.0</v>
      </c>
      <c r="H3066" s="8">
        <v>1.0</v>
      </c>
      <c r="I3066" s="8">
        <v>1.0</v>
      </c>
      <c r="J3066" s="8">
        <v>1.0</v>
      </c>
      <c r="K3066" s="8">
        <v>1.0</v>
      </c>
      <c r="L3066" s="8">
        <v>6.0</v>
      </c>
      <c r="M3066" s="8"/>
      <c r="N3066" s="8"/>
      <c r="O3066" s="8" t="s">
        <v>844</v>
      </c>
      <c r="P3066" s="8" t="e">
        <v>#N/A</v>
      </c>
    </row>
    <row r="3067">
      <c r="A3067">
        <f>IFERROR(__xludf.DUMMYFUNCTION("""COMPUTED_VALUE"""),7.0)</f>
        <v>7</v>
      </c>
      <c r="B3067">
        <f>IFERROR(__xludf.DUMMYFUNCTION("""COMPUTED_VALUE"""),30003.0)</f>
        <v>30003</v>
      </c>
      <c r="C3067" t="str">
        <f>IFERROR(__xludf.DUMMYFUNCTION("""COMPUTED_VALUE"""),"ALZATE ZAPATA, SIMON")</f>
        <v>ALZATE ZAPATA, SIMON</v>
      </c>
      <c r="D3067" t="str">
        <f>IFERROR(__xludf.DUMMYFUNCTION("""COMPUTED_VALUE"""),"Band 7S2")</f>
        <v>Band 7S2</v>
      </c>
      <c r="E3067" s="31" t="str">
        <f>IFERROR(__xludf.DUMMYFUNCTION("""COMPUTED_VALUE"""),"2b")</f>
        <v>2b</v>
      </c>
      <c r="F3067" s="8">
        <v>1.0</v>
      </c>
      <c r="G3067" s="8">
        <v>1.0</v>
      </c>
      <c r="H3067" s="8">
        <v>1.0</v>
      </c>
      <c r="I3067" s="8">
        <v>1.0</v>
      </c>
      <c r="J3067" s="8">
        <v>1.0</v>
      </c>
      <c r="K3067" s="8">
        <v>1.0</v>
      </c>
      <c r="L3067" s="8">
        <v>6.0</v>
      </c>
      <c r="M3067" s="8"/>
      <c r="N3067" s="8"/>
      <c r="O3067" s="8" t="s">
        <v>845</v>
      </c>
      <c r="P3067" s="8" t="e">
        <v>#N/A</v>
      </c>
    </row>
    <row r="3068">
      <c r="A3068">
        <f>IFERROR(__xludf.DUMMYFUNCTION("""COMPUTED_VALUE"""),7.0)</f>
        <v>7</v>
      </c>
      <c r="B3068">
        <f>IFERROR(__xludf.DUMMYFUNCTION("""COMPUTED_VALUE"""),30004.0)</f>
        <v>30004</v>
      </c>
      <c r="C3068" t="str">
        <f>IFERROR(__xludf.DUMMYFUNCTION("""COMPUTED_VALUE"""),"ANGEL MEDINA, LUCIA")</f>
        <v>ANGEL MEDINA, LUCIA</v>
      </c>
      <c r="D3068" t="str">
        <f>IFERROR(__xludf.DUMMYFUNCTION("""COMPUTED_VALUE"""),"Tech 7S2")</f>
        <v>Tech 7S2</v>
      </c>
      <c r="E3068" s="31" t="str">
        <f>IFERROR(__xludf.DUMMYFUNCTION("""COMPUTED_VALUE"""),"6a")</f>
        <v>6a</v>
      </c>
      <c r="F3068" s="8">
        <v>1.0</v>
      </c>
      <c r="G3068" s="8">
        <v>1.0</v>
      </c>
      <c r="H3068" s="8">
        <v>1.0</v>
      </c>
      <c r="I3068" s="8">
        <v>1.0</v>
      </c>
      <c r="J3068" s="8">
        <v>1.0</v>
      </c>
      <c r="K3068" s="8">
        <v>1.0</v>
      </c>
      <c r="L3068" s="8">
        <v>6.0</v>
      </c>
      <c r="M3068" s="8"/>
      <c r="N3068" s="8"/>
      <c r="O3068" s="8" t="s">
        <v>846</v>
      </c>
      <c r="P3068" s="8" t="e">
        <v>#N/A</v>
      </c>
    </row>
    <row r="3069">
      <c r="A3069">
        <f>IFERROR(__xludf.DUMMYFUNCTION("""COMPUTED_VALUE"""),7.0)</f>
        <v>7</v>
      </c>
      <c r="B3069">
        <f>IFERROR(__xludf.DUMMYFUNCTION("""COMPUTED_VALUE"""),30005.0)</f>
        <v>30005</v>
      </c>
      <c r="C3069" t="str">
        <f>IFERROR(__xludf.DUMMYFUNCTION("""COMPUTED_VALUE"""),"APA ECHAVARRIA, LUCIANO")</f>
        <v>APA ECHAVARRIA, LUCIANO</v>
      </c>
      <c r="D3069" t="str">
        <f>IFERROR(__xludf.DUMMYFUNCTION("""COMPUTED_VALUE"""),"Band 7S2")</f>
        <v>Band 7S2</v>
      </c>
      <c r="E3069" s="31" t="str">
        <f>IFERROR(__xludf.DUMMYFUNCTION("""COMPUTED_VALUE"""),"1a")</f>
        <v>1a</v>
      </c>
      <c r="F3069" s="8">
        <v>1.0</v>
      </c>
      <c r="G3069" s="8">
        <v>1.0</v>
      </c>
      <c r="H3069" s="8">
        <v>1.0</v>
      </c>
      <c r="I3069" s="8">
        <v>1.0</v>
      </c>
      <c r="J3069" s="8">
        <v>1.0</v>
      </c>
      <c r="K3069" s="8">
        <v>1.0</v>
      </c>
      <c r="L3069" s="8">
        <v>6.0</v>
      </c>
      <c r="M3069" s="8"/>
      <c r="N3069" s="8"/>
      <c r="O3069" s="8" t="s">
        <v>847</v>
      </c>
      <c r="P3069" s="8" t="e">
        <v>#N/A</v>
      </c>
    </row>
    <row r="3070">
      <c r="A3070">
        <f>IFERROR(__xludf.DUMMYFUNCTION("""COMPUTED_VALUE"""),7.0)</f>
        <v>7</v>
      </c>
      <c r="B3070">
        <f>IFERROR(__xludf.DUMMYFUNCTION("""COMPUTED_VALUE"""),30006.0)</f>
        <v>30006</v>
      </c>
      <c r="C3070" t="str">
        <f>IFERROR(__xludf.DUMMYFUNCTION("""COMPUTED_VALUE"""),"ARANGO DUQUE, MIGUEL")</f>
        <v>ARANGO DUQUE, MIGUEL</v>
      </c>
      <c r="D3070" t="str">
        <f>IFERROR(__xludf.DUMMYFUNCTION("""COMPUTED_VALUE"""),"Band 7S2")</f>
        <v>Band 7S2</v>
      </c>
      <c r="E3070" s="31" t="str">
        <f>IFERROR(__xludf.DUMMYFUNCTION("""COMPUTED_VALUE"""),"2b")</f>
        <v>2b</v>
      </c>
      <c r="F3070" s="8">
        <v>1.0</v>
      </c>
      <c r="G3070" s="8">
        <v>1.0</v>
      </c>
      <c r="H3070" s="8">
        <v>1.0</v>
      </c>
      <c r="I3070" s="8">
        <v>1.0</v>
      </c>
      <c r="J3070" s="8">
        <v>1.0</v>
      </c>
      <c r="K3070" s="8">
        <v>1.0</v>
      </c>
      <c r="L3070" s="8">
        <v>6.0</v>
      </c>
      <c r="M3070" s="8"/>
      <c r="N3070" s="8"/>
      <c r="O3070" s="8" t="s">
        <v>845</v>
      </c>
      <c r="P3070" s="8" t="e">
        <v>#N/A</v>
      </c>
    </row>
    <row r="3071">
      <c r="A3071">
        <f>IFERROR(__xludf.DUMMYFUNCTION("""COMPUTED_VALUE"""),7.0)</f>
        <v>7</v>
      </c>
      <c r="B3071">
        <f>IFERROR(__xludf.DUMMYFUNCTION("""COMPUTED_VALUE"""),30169.0)</f>
        <v>30169</v>
      </c>
      <c r="C3071" t="str">
        <f>IFERROR(__xludf.DUMMYFUNCTION("""COMPUTED_VALUE"""),"ARANGO LINHARES, FILIPPA")</f>
        <v>ARANGO LINHARES, FILIPPA</v>
      </c>
      <c r="D3071" t="str">
        <f>IFERROR(__xludf.DUMMYFUNCTION("""COMPUTED_VALUE"""),"Tech 7S2")</f>
        <v>Tech 7S2</v>
      </c>
      <c r="E3071" s="31" t="str">
        <f>IFERROR(__xludf.DUMMYFUNCTION("""COMPUTED_VALUE"""),"6a")</f>
        <v>6a</v>
      </c>
      <c r="F3071" s="8">
        <v>1.0</v>
      </c>
      <c r="G3071" s="8">
        <v>1.0</v>
      </c>
      <c r="H3071" s="8">
        <v>1.0</v>
      </c>
      <c r="I3071" s="8">
        <v>1.0</v>
      </c>
      <c r="J3071" s="8">
        <v>1.0</v>
      </c>
      <c r="K3071" s="8">
        <v>1.0</v>
      </c>
      <c r="L3071" s="8">
        <v>6.0</v>
      </c>
      <c r="M3071" s="8"/>
      <c r="N3071" s="8"/>
      <c r="O3071" s="8" t="s">
        <v>846</v>
      </c>
      <c r="P3071" s="8" t="e">
        <v>#N/A</v>
      </c>
    </row>
    <row r="3072">
      <c r="A3072">
        <f>IFERROR(__xludf.DUMMYFUNCTION("""COMPUTED_VALUE"""),7.0)</f>
        <v>7</v>
      </c>
      <c r="B3072">
        <f>IFERROR(__xludf.DUMMYFUNCTION("""COMPUTED_VALUE"""),30007.0)</f>
        <v>30007</v>
      </c>
      <c r="C3072" t="str">
        <f>IFERROR(__xludf.DUMMYFUNCTION("""COMPUTED_VALUE"""),"ARANGO RODRIGUEZ, RAFAEL")</f>
        <v>ARANGO RODRIGUEZ, RAFAEL</v>
      </c>
      <c r="D3072" t="str">
        <f>IFERROR(__xludf.DUMMYFUNCTION("""COMPUTED_VALUE"""),"Band 7S2")</f>
        <v>Band 7S2</v>
      </c>
      <c r="E3072" s="31" t="str">
        <f>IFERROR(__xludf.DUMMYFUNCTION("""COMPUTED_VALUE"""),"4b")</f>
        <v>4b</v>
      </c>
      <c r="F3072" s="8">
        <v>1.0</v>
      </c>
      <c r="G3072" s="8">
        <v>1.0</v>
      </c>
      <c r="H3072" s="8">
        <v>1.0</v>
      </c>
      <c r="I3072" s="8">
        <v>1.0</v>
      </c>
      <c r="J3072" s="8">
        <v>1.0</v>
      </c>
      <c r="K3072" s="8">
        <v>1.0</v>
      </c>
      <c r="L3072" s="8">
        <v>6.0</v>
      </c>
      <c r="M3072" s="8"/>
      <c r="N3072" s="8"/>
      <c r="O3072" s="8" t="s">
        <v>843</v>
      </c>
      <c r="P3072" s="8" t="e">
        <v>#N/A</v>
      </c>
    </row>
    <row r="3073">
      <c r="A3073">
        <f>IFERROR(__xludf.DUMMYFUNCTION("""COMPUTED_VALUE"""),7.0)</f>
        <v>7</v>
      </c>
      <c r="B3073">
        <f>IFERROR(__xludf.DUMMYFUNCTION("""COMPUTED_VALUE"""),30008.0)</f>
        <v>30008</v>
      </c>
      <c r="C3073" t="str">
        <f>IFERROR(__xludf.DUMMYFUNCTION("""COMPUTED_VALUE"""),"ARANGO VELEZ, ALICIA")</f>
        <v>ARANGO VELEZ, ALICIA</v>
      </c>
      <c r="D3073" t="str">
        <f>IFERROR(__xludf.DUMMYFUNCTION("""COMPUTED_VALUE"""),"Tech 7S2")</f>
        <v>Tech 7S2</v>
      </c>
      <c r="E3073" s="31" t="str">
        <f>IFERROR(__xludf.DUMMYFUNCTION("""COMPUTED_VALUE"""),"1a")</f>
        <v>1a</v>
      </c>
      <c r="F3073" s="8">
        <v>1.0</v>
      </c>
      <c r="G3073" s="8">
        <v>1.0</v>
      </c>
      <c r="H3073" s="8">
        <v>1.0</v>
      </c>
      <c r="I3073" s="8">
        <v>1.0</v>
      </c>
      <c r="J3073" s="8">
        <v>1.0</v>
      </c>
      <c r="K3073" s="8">
        <v>1.0</v>
      </c>
      <c r="L3073" s="8">
        <v>6.0</v>
      </c>
      <c r="M3073" s="8"/>
      <c r="N3073" s="8"/>
      <c r="O3073" s="8" t="s">
        <v>848</v>
      </c>
      <c r="P3073" s="8" t="e">
        <v>#N/A</v>
      </c>
    </row>
    <row r="3074">
      <c r="A3074">
        <f>IFERROR(__xludf.DUMMYFUNCTION("""COMPUTED_VALUE"""),7.0)</f>
        <v>7</v>
      </c>
      <c r="B3074">
        <f>IFERROR(__xludf.DUMMYFUNCTION("""COMPUTED_VALUE"""),29014.0)</f>
        <v>29014</v>
      </c>
      <c r="C3074" t="str">
        <f>IFERROR(__xludf.DUMMYFUNCTION("""COMPUTED_VALUE"""),"ARISMENDI MELO, MARIANA")</f>
        <v>ARISMENDI MELO, MARIANA</v>
      </c>
      <c r="D3074" t="str">
        <f>IFERROR(__xludf.DUMMYFUNCTION("""COMPUTED_VALUE"""),"Tech 7S2")</f>
        <v>Tech 7S2</v>
      </c>
      <c r="E3074" s="31" t="str">
        <f>IFERROR(__xludf.DUMMYFUNCTION("""COMPUTED_VALUE"""),"6a")</f>
        <v>6a</v>
      </c>
      <c r="F3074" s="8">
        <v>1.0</v>
      </c>
      <c r="G3074" s="8">
        <v>1.0</v>
      </c>
      <c r="H3074" s="8">
        <v>1.0</v>
      </c>
      <c r="I3074" s="8">
        <v>1.0</v>
      </c>
      <c r="J3074" s="8">
        <v>1.0</v>
      </c>
      <c r="K3074" s="8">
        <v>1.0</v>
      </c>
      <c r="L3074" s="8">
        <v>6.0</v>
      </c>
      <c r="M3074" s="8"/>
      <c r="N3074" s="8"/>
      <c r="O3074" s="8" t="s">
        <v>846</v>
      </c>
      <c r="P3074" s="8" t="e">
        <v>#N/A</v>
      </c>
    </row>
    <row r="3075">
      <c r="A3075">
        <f>IFERROR(__xludf.DUMMYFUNCTION("""COMPUTED_VALUE"""),7.0)</f>
        <v>7</v>
      </c>
      <c r="B3075">
        <f>IFERROR(__xludf.DUMMYFUNCTION("""COMPUTED_VALUE"""),30009.0)</f>
        <v>30009</v>
      </c>
      <c r="C3075" t="str">
        <f>IFERROR(__xludf.DUMMYFUNCTION("""COMPUTED_VALUE"""),"ARISTIZABAL BOLIVAR, EMILIANA")</f>
        <v>ARISTIZABAL BOLIVAR, EMILIANA</v>
      </c>
      <c r="D3075" t="str">
        <f>IFERROR(__xludf.DUMMYFUNCTION("""COMPUTED_VALUE"""),"Band 7S2")</f>
        <v>Band 7S2</v>
      </c>
      <c r="E3075" s="31" t="str">
        <f>IFERROR(__xludf.DUMMYFUNCTION("""COMPUTED_VALUE"""),"2b")</f>
        <v>2b</v>
      </c>
      <c r="F3075" s="8">
        <v>1.0</v>
      </c>
      <c r="G3075" s="8">
        <v>1.0</v>
      </c>
      <c r="H3075" s="8">
        <v>1.0</v>
      </c>
      <c r="I3075" s="8">
        <v>1.0</v>
      </c>
      <c r="J3075" s="8">
        <v>1.0</v>
      </c>
      <c r="K3075" s="8">
        <v>1.0</v>
      </c>
      <c r="L3075" s="8">
        <v>6.0</v>
      </c>
      <c r="M3075" s="8"/>
      <c r="N3075" s="8"/>
      <c r="O3075" s="8" t="s">
        <v>845</v>
      </c>
      <c r="P3075" s="8" t="e">
        <v>#N/A</v>
      </c>
    </row>
    <row r="3076">
      <c r="A3076">
        <f>IFERROR(__xludf.DUMMYFUNCTION("""COMPUTED_VALUE"""),7.0)</f>
        <v>7</v>
      </c>
      <c r="B3076">
        <f>IFERROR(__xludf.DUMMYFUNCTION("""COMPUTED_VALUE"""),30010.0)</f>
        <v>30010</v>
      </c>
      <c r="C3076" t="str">
        <f>IFERROR(__xludf.DUMMYFUNCTION("""COMPUTED_VALUE"""),"ARISTIZABAL BOLIVAR, MATILDE")</f>
        <v>ARISTIZABAL BOLIVAR, MATILDE</v>
      </c>
      <c r="D3076" t="str">
        <f>IFERROR(__xludf.DUMMYFUNCTION("""COMPUTED_VALUE"""),"Band 7S2")</f>
        <v>Band 7S2</v>
      </c>
      <c r="E3076" s="31" t="str">
        <f>IFERROR(__xludf.DUMMYFUNCTION("""COMPUTED_VALUE"""),"1a")</f>
        <v>1a</v>
      </c>
      <c r="F3076" s="8">
        <v>1.0</v>
      </c>
      <c r="G3076" s="8">
        <v>1.0</v>
      </c>
      <c r="H3076" s="8">
        <v>1.0</v>
      </c>
      <c r="I3076" s="8">
        <v>1.0</v>
      </c>
      <c r="J3076" s="8">
        <v>1.0</v>
      </c>
      <c r="K3076" s="8">
        <v>1.0</v>
      </c>
      <c r="L3076" s="8">
        <v>6.0</v>
      </c>
      <c r="M3076" s="8"/>
      <c r="N3076" s="8"/>
      <c r="O3076" s="8" t="s">
        <v>847</v>
      </c>
      <c r="P3076" s="8" t="e">
        <v>#N/A</v>
      </c>
    </row>
    <row r="3077">
      <c r="A3077">
        <f>IFERROR(__xludf.DUMMYFUNCTION("""COMPUTED_VALUE"""),7.0)</f>
        <v>7</v>
      </c>
      <c r="B3077">
        <f>IFERROR(__xludf.DUMMYFUNCTION("""COMPUTED_VALUE"""),30011.0)</f>
        <v>30011</v>
      </c>
      <c r="C3077" t="str">
        <f>IFERROR(__xludf.DUMMYFUNCTION("""COMPUTED_VALUE"""),"ARISTIZABAL ECHAVARRIA, MILAGROS")</f>
        <v>ARISTIZABAL ECHAVARRIA, MILAGROS</v>
      </c>
      <c r="D3077" t="str">
        <f>IFERROR(__xludf.DUMMYFUNCTION("""COMPUTED_VALUE"""),"Art 7S2")</f>
        <v>Art 7S2</v>
      </c>
      <c r="E3077" s="31" t="str">
        <f>IFERROR(__xludf.DUMMYFUNCTION("""COMPUTED_VALUE"""),"1a")</f>
        <v>1a</v>
      </c>
      <c r="F3077" s="8">
        <v>1.0</v>
      </c>
      <c r="G3077" s="8">
        <v>1.0</v>
      </c>
      <c r="H3077" s="8">
        <v>1.0</v>
      </c>
      <c r="I3077" s="8">
        <v>1.0</v>
      </c>
      <c r="J3077" s="8">
        <v>1.0</v>
      </c>
      <c r="K3077" s="8">
        <v>1.0</v>
      </c>
      <c r="L3077" s="8">
        <v>6.0</v>
      </c>
      <c r="M3077" s="8"/>
      <c r="N3077" s="8"/>
      <c r="O3077" s="8" t="s">
        <v>849</v>
      </c>
      <c r="P3077" s="8" t="e">
        <v>#N/A</v>
      </c>
    </row>
    <row r="3078">
      <c r="A3078">
        <f>IFERROR(__xludf.DUMMYFUNCTION("""COMPUTED_VALUE"""),7.0)</f>
        <v>7</v>
      </c>
      <c r="B3078">
        <f>IFERROR(__xludf.DUMMYFUNCTION("""COMPUTED_VALUE"""),30012.0)</f>
        <v>30012</v>
      </c>
      <c r="C3078" t="str">
        <f>IFERROR(__xludf.DUMMYFUNCTION("""COMPUTED_VALUE"""),"ARISTIZABAL RESTREPO, AMALIA")</f>
        <v>ARISTIZABAL RESTREPO, AMALIA</v>
      </c>
      <c r="D3078" t="str">
        <f>IFERROR(__xludf.DUMMYFUNCTION("""COMPUTED_VALUE"""),"Art 7S2")</f>
        <v>Art 7S2</v>
      </c>
      <c r="E3078" s="31" t="str">
        <f>IFERROR(__xludf.DUMMYFUNCTION("""COMPUTED_VALUE"""),"2b")</f>
        <v>2b</v>
      </c>
      <c r="F3078" s="8">
        <v>1.0</v>
      </c>
      <c r="G3078" s="8">
        <v>1.0</v>
      </c>
      <c r="H3078" s="8">
        <v>1.0</v>
      </c>
      <c r="I3078" s="8">
        <v>1.0</v>
      </c>
      <c r="J3078" s="8">
        <v>1.0</v>
      </c>
      <c r="K3078" s="8">
        <v>1.0</v>
      </c>
      <c r="L3078" s="8">
        <v>6.0</v>
      </c>
      <c r="M3078" s="8"/>
      <c r="N3078" s="8"/>
      <c r="O3078" s="8" t="s">
        <v>844</v>
      </c>
      <c r="P3078" s="8" t="e">
        <v>#N/A</v>
      </c>
    </row>
    <row r="3079">
      <c r="A3079">
        <f>IFERROR(__xludf.DUMMYFUNCTION("""COMPUTED_VALUE"""),7.0)</f>
        <v>7</v>
      </c>
      <c r="B3079">
        <f>IFERROR(__xludf.DUMMYFUNCTION("""COMPUTED_VALUE"""),30014.0)</f>
        <v>30014</v>
      </c>
      <c r="C3079" t="str">
        <f>IFERROR(__xludf.DUMMYFUNCTION("""COMPUTED_VALUE"""),"ARISTIZABAL VILLEGAS, ROSARIO")</f>
        <v>ARISTIZABAL VILLEGAS, ROSARIO</v>
      </c>
      <c r="D3079" t="str">
        <f>IFERROR(__xludf.DUMMYFUNCTION("""COMPUTED_VALUE"""),"Band 7S2")</f>
        <v>Band 7S2</v>
      </c>
      <c r="E3079" s="31" t="str">
        <f>IFERROR(__xludf.DUMMYFUNCTION("""COMPUTED_VALUE"""),"1a")</f>
        <v>1a</v>
      </c>
      <c r="F3079" s="8">
        <v>1.0</v>
      </c>
      <c r="G3079" s="8">
        <v>1.0</v>
      </c>
      <c r="H3079" s="8">
        <v>1.0</v>
      </c>
      <c r="I3079" s="8">
        <v>1.0</v>
      </c>
      <c r="J3079" s="8">
        <v>1.0</v>
      </c>
      <c r="K3079" s="8">
        <v>1.0</v>
      </c>
      <c r="L3079" s="8">
        <v>6.0</v>
      </c>
      <c r="M3079" s="8"/>
      <c r="N3079" s="8"/>
      <c r="O3079" s="8" t="s">
        <v>847</v>
      </c>
      <c r="P3079" s="8" t="e">
        <v>#N/A</v>
      </c>
    </row>
    <row r="3080">
      <c r="A3080">
        <f>IFERROR(__xludf.DUMMYFUNCTION("""COMPUTED_VALUE"""),7.0)</f>
        <v>7</v>
      </c>
      <c r="B3080">
        <f>IFERROR(__xludf.DUMMYFUNCTION("""COMPUTED_VALUE"""),30013.0)</f>
        <v>30013</v>
      </c>
      <c r="C3080" t="str">
        <f>IFERROR(__xludf.DUMMYFUNCTION("""COMPUTED_VALUE"""),"ARISTIZABAL ZULUAGA, SALVADOR")</f>
        <v>ARISTIZABAL ZULUAGA, SALVADOR</v>
      </c>
      <c r="D3080" t="str">
        <f>IFERROR(__xludf.DUMMYFUNCTION("""COMPUTED_VALUE"""),"Band 7S2")</f>
        <v>Band 7S2</v>
      </c>
      <c r="E3080" s="31" t="str">
        <f>IFERROR(__xludf.DUMMYFUNCTION("""COMPUTED_VALUE"""),"4b")</f>
        <v>4b</v>
      </c>
      <c r="F3080" s="8">
        <v>1.0</v>
      </c>
      <c r="G3080" s="8">
        <v>1.0</v>
      </c>
      <c r="H3080" s="8">
        <v>1.0</v>
      </c>
      <c r="I3080" s="8">
        <v>1.0</v>
      </c>
      <c r="J3080" s="8">
        <v>1.0</v>
      </c>
      <c r="K3080" s="8">
        <v>1.0</v>
      </c>
      <c r="L3080" s="8">
        <v>6.0</v>
      </c>
      <c r="M3080" s="8"/>
      <c r="N3080" s="8"/>
      <c r="O3080" s="8" t="s">
        <v>843</v>
      </c>
      <c r="P3080" s="8" t="e">
        <v>#N/A</v>
      </c>
    </row>
    <row r="3081">
      <c r="A3081">
        <f>IFERROR(__xludf.DUMMYFUNCTION("""COMPUTED_VALUE"""),7.0)</f>
        <v>7</v>
      </c>
      <c r="B3081">
        <f>IFERROR(__xludf.DUMMYFUNCTION("""COMPUTED_VALUE"""),29017.0)</f>
        <v>29017</v>
      </c>
      <c r="C3081" t="str">
        <f>IFERROR(__xludf.DUMMYFUNCTION("""COMPUTED_VALUE"""),"ARROYAVE SIERRA, MATIAS")</f>
        <v>ARROYAVE SIERRA, MATIAS</v>
      </c>
      <c r="D3081" t="str">
        <f>IFERROR(__xludf.DUMMYFUNCTION("""COMPUTED_VALUE"""),"Band 7S2")</f>
        <v>Band 7S2</v>
      </c>
      <c r="E3081" s="31" t="str">
        <f>IFERROR(__xludf.DUMMYFUNCTION("""COMPUTED_VALUE"""),"2b")</f>
        <v>2b</v>
      </c>
      <c r="F3081" s="8">
        <v>1.0</v>
      </c>
      <c r="G3081" s="8">
        <v>1.0</v>
      </c>
      <c r="H3081" s="8">
        <v>1.0</v>
      </c>
      <c r="I3081" s="8">
        <v>1.0</v>
      </c>
      <c r="J3081" s="8">
        <v>1.0</v>
      </c>
      <c r="K3081" s="8">
        <v>1.0</v>
      </c>
      <c r="L3081" s="8">
        <v>6.0</v>
      </c>
      <c r="M3081" s="8"/>
      <c r="N3081" s="8"/>
      <c r="O3081" s="8" t="s">
        <v>845</v>
      </c>
      <c r="P3081" s="8" t="e">
        <v>#N/A</v>
      </c>
    </row>
    <row r="3082">
      <c r="A3082">
        <f>IFERROR(__xludf.DUMMYFUNCTION("""COMPUTED_VALUE"""),7.0)</f>
        <v>7</v>
      </c>
      <c r="B3082">
        <f>IFERROR(__xludf.DUMMYFUNCTION("""COMPUTED_VALUE"""),30015.0)</f>
        <v>30015</v>
      </c>
      <c r="C3082" t="str">
        <f>IFERROR(__xludf.DUMMYFUNCTION("""COMPUTED_VALUE"""),"ARROYAVE YACAMAN, EMILIO")</f>
        <v>ARROYAVE YACAMAN, EMILIO</v>
      </c>
      <c r="D3082" t="str">
        <f>IFERROR(__xludf.DUMMYFUNCTION("""COMPUTED_VALUE"""),"Band 7S2")</f>
        <v>Band 7S2</v>
      </c>
      <c r="E3082" s="31" t="str">
        <f>IFERROR(__xludf.DUMMYFUNCTION("""COMPUTED_VALUE"""),"1a")</f>
        <v>1a</v>
      </c>
      <c r="F3082" s="8">
        <v>1.0</v>
      </c>
      <c r="G3082" s="8">
        <v>1.0</v>
      </c>
      <c r="H3082" s="8">
        <v>1.0</v>
      </c>
      <c r="I3082" s="8">
        <v>1.0</v>
      </c>
      <c r="J3082" s="8">
        <v>1.0</v>
      </c>
      <c r="K3082" s="8">
        <v>1.0</v>
      </c>
      <c r="L3082" s="8">
        <v>6.0</v>
      </c>
      <c r="M3082" s="8"/>
      <c r="N3082" s="8"/>
      <c r="O3082" s="8" t="s">
        <v>847</v>
      </c>
      <c r="P3082" s="8" t="e">
        <v>#N/A</v>
      </c>
    </row>
    <row r="3083">
      <c r="A3083">
        <f>IFERROR(__xludf.DUMMYFUNCTION("""COMPUTED_VALUE"""),7.0)</f>
        <v>7</v>
      </c>
      <c r="B3083">
        <f>IFERROR(__xludf.DUMMYFUNCTION("""COMPUTED_VALUE"""),30018.0)</f>
        <v>30018</v>
      </c>
      <c r="C3083" t="str">
        <f>IFERROR(__xludf.DUMMYFUNCTION("""COMPUTED_VALUE"""),"BETANCUR ECHAVARRIA, JERONIMO")</f>
        <v>BETANCUR ECHAVARRIA, JERONIMO</v>
      </c>
      <c r="D3083" t="str">
        <f>IFERROR(__xludf.DUMMYFUNCTION("""COMPUTED_VALUE"""),"Band 7S2")</f>
        <v>Band 7S2</v>
      </c>
      <c r="E3083" s="31" t="str">
        <f>IFERROR(__xludf.DUMMYFUNCTION("""COMPUTED_VALUE"""),"1a")</f>
        <v>1a</v>
      </c>
      <c r="F3083" s="8">
        <v>1.0</v>
      </c>
      <c r="G3083" s="8">
        <v>1.0</v>
      </c>
      <c r="H3083" s="8">
        <v>1.0</v>
      </c>
      <c r="I3083" s="8">
        <v>1.0</v>
      </c>
      <c r="J3083" s="8">
        <v>1.0</v>
      </c>
      <c r="K3083" s="8">
        <v>1.0</v>
      </c>
      <c r="L3083" s="8">
        <v>6.0</v>
      </c>
      <c r="M3083" s="8"/>
      <c r="N3083" s="8"/>
      <c r="O3083" s="8" t="s">
        <v>847</v>
      </c>
      <c r="P3083" s="8" t="e">
        <v>#N/A</v>
      </c>
    </row>
    <row r="3084">
      <c r="A3084">
        <f>IFERROR(__xludf.DUMMYFUNCTION("""COMPUTED_VALUE"""),7.0)</f>
        <v>7</v>
      </c>
      <c r="B3084">
        <f>IFERROR(__xludf.DUMMYFUNCTION("""COMPUTED_VALUE"""),30170.0)</f>
        <v>30170</v>
      </c>
      <c r="C3084" t="str">
        <f>IFERROR(__xludf.DUMMYFUNCTION("""COMPUTED_VALUE"""),"BETANCUR VELASQUEZ, RENATA")</f>
        <v>BETANCUR VELASQUEZ, RENATA</v>
      </c>
      <c r="D3084" t="str">
        <f>IFERROR(__xludf.DUMMYFUNCTION("""COMPUTED_VALUE"""),"Band 7S2")</f>
        <v>Band 7S2</v>
      </c>
      <c r="E3084" s="31" t="str">
        <f>IFERROR(__xludf.DUMMYFUNCTION("""COMPUTED_VALUE"""),"1a")</f>
        <v>1a</v>
      </c>
      <c r="F3084" s="8">
        <v>1.0</v>
      </c>
      <c r="G3084" s="8">
        <v>1.0</v>
      </c>
      <c r="H3084" s="8">
        <v>1.0</v>
      </c>
      <c r="I3084" s="8">
        <v>1.0</v>
      </c>
      <c r="J3084" s="8">
        <v>1.0</v>
      </c>
      <c r="K3084" s="8">
        <v>1.0</v>
      </c>
      <c r="L3084" s="8">
        <v>6.0</v>
      </c>
      <c r="M3084" s="8"/>
      <c r="N3084" s="8"/>
      <c r="O3084" s="8" t="s">
        <v>847</v>
      </c>
      <c r="P3084" s="8" t="e">
        <v>#N/A</v>
      </c>
    </row>
    <row r="3085">
      <c r="A3085">
        <f>IFERROR(__xludf.DUMMYFUNCTION("""COMPUTED_VALUE"""),7.0)</f>
        <v>7</v>
      </c>
      <c r="B3085">
        <f>IFERROR(__xludf.DUMMYFUNCTION("""COMPUTED_VALUE"""),30019.0)</f>
        <v>30019</v>
      </c>
      <c r="C3085" t="str">
        <f>IFERROR(__xludf.DUMMYFUNCTION("""COMPUTED_VALUE"""),"BOTERO BETANCOURT, SEBASTIAN")</f>
        <v>BOTERO BETANCOURT, SEBASTIAN</v>
      </c>
      <c r="D3085" t="str">
        <f>IFERROR(__xludf.DUMMYFUNCTION("""COMPUTED_VALUE"""),"Band 7S2")</f>
        <v>Band 7S2</v>
      </c>
      <c r="E3085" s="31" t="str">
        <f>IFERROR(__xludf.DUMMYFUNCTION("""COMPUTED_VALUE"""),"4b")</f>
        <v>4b</v>
      </c>
      <c r="F3085" s="8">
        <v>1.0</v>
      </c>
      <c r="G3085" s="8">
        <v>1.0</v>
      </c>
      <c r="H3085" s="8">
        <v>1.0</v>
      </c>
      <c r="I3085" s="8">
        <v>1.0</v>
      </c>
      <c r="J3085" s="8">
        <v>1.0</v>
      </c>
      <c r="K3085" s="8">
        <v>1.0</v>
      </c>
      <c r="L3085" s="8">
        <v>6.0</v>
      </c>
      <c r="M3085" s="8"/>
      <c r="N3085" s="8"/>
      <c r="O3085" s="8" t="s">
        <v>843</v>
      </c>
      <c r="P3085" s="8" t="e">
        <v>#N/A</v>
      </c>
    </row>
    <row r="3086">
      <c r="A3086">
        <f>IFERROR(__xludf.DUMMYFUNCTION("""COMPUTED_VALUE"""),7.0)</f>
        <v>7</v>
      </c>
      <c r="B3086">
        <f>IFERROR(__xludf.DUMMYFUNCTION("""COMPUTED_VALUE"""),30021.0)</f>
        <v>30021</v>
      </c>
      <c r="C3086" t="str">
        <f>IFERROR(__xludf.DUMMYFUNCTION("""COMPUTED_VALUE"""),"BOTERO TOQUICA, MATILDE")</f>
        <v>BOTERO TOQUICA, MATILDE</v>
      </c>
      <c r="D3086" t="str">
        <f>IFERROR(__xludf.DUMMYFUNCTION("""COMPUTED_VALUE"""),"Tech 7S2")</f>
        <v>Tech 7S2</v>
      </c>
      <c r="E3086" s="31" t="str">
        <f>IFERROR(__xludf.DUMMYFUNCTION("""COMPUTED_VALUE"""),"6a")</f>
        <v>6a</v>
      </c>
      <c r="F3086" s="8">
        <v>1.0</v>
      </c>
      <c r="G3086" s="8">
        <v>1.0</v>
      </c>
      <c r="H3086" s="8">
        <v>1.0</v>
      </c>
      <c r="I3086" s="8">
        <v>1.0</v>
      </c>
      <c r="J3086" s="8">
        <v>1.0</v>
      </c>
      <c r="K3086" s="8">
        <v>1.0</v>
      </c>
      <c r="L3086" s="8">
        <v>6.0</v>
      </c>
      <c r="M3086" s="8"/>
      <c r="N3086" s="8"/>
      <c r="O3086" s="8" t="s">
        <v>846</v>
      </c>
      <c r="P3086" s="8" t="e">
        <v>#N/A</v>
      </c>
    </row>
    <row r="3087">
      <c r="A3087">
        <f>IFERROR(__xludf.DUMMYFUNCTION("""COMPUTED_VALUE"""),7.0)</f>
        <v>7</v>
      </c>
      <c r="B3087">
        <f>IFERROR(__xludf.DUMMYFUNCTION("""COMPUTED_VALUE"""),30022.0)</f>
        <v>30022</v>
      </c>
      <c r="C3087" t="str">
        <f>IFERROR(__xludf.DUMMYFUNCTION("""COMPUTED_VALUE"""),"CAMELO ZULUAGA, BENJAMIN")</f>
        <v>CAMELO ZULUAGA, BENJAMIN</v>
      </c>
      <c r="D3087" t="str">
        <f>IFERROR(__xludf.DUMMYFUNCTION("""COMPUTED_VALUE"""),"Band 7S2")</f>
        <v>Band 7S2</v>
      </c>
      <c r="E3087" s="31" t="str">
        <f>IFERROR(__xludf.DUMMYFUNCTION("""COMPUTED_VALUE"""),"2b")</f>
        <v>2b</v>
      </c>
      <c r="F3087" s="8">
        <v>1.0</v>
      </c>
      <c r="G3087" s="8">
        <v>1.0</v>
      </c>
      <c r="H3087" s="8">
        <v>1.0</v>
      </c>
      <c r="I3087" s="8">
        <v>1.0</v>
      </c>
      <c r="J3087" s="8">
        <v>1.0</v>
      </c>
      <c r="K3087" s="8">
        <v>1.0</v>
      </c>
      <c r="L3087" s="8">
        <v>6.0</v>
      </c>
      <c r="M3087" s="8"/>
      <c r="N3087" s="8"/>
      <c r="O3087" s="8" t="s">
        <v>845</v>
      </c>
      <c r="P3087" s="8" t="e">
        <v>#N/A</v>
      </c>
    </row>
    <row r="3088">
      <c r="A3088">
        <f>IFERROR(__xludf.DUMMYFUNCTION("""COMPUTED_VALUE"""),7.0)</f>
        <v>7</v>
      </c>
      <c r="B3088">
        <f>IFERROR(__xludf.DUMMYFUNCTION("""COMPUTED_VALUE"""),30023.0)</f>
        <v>30023</v>
      </c>
      <c r="C3088" t="str">
        <f>IFERROR(__xludf.DUMMYFUNCTION("""COMPUTED_VALUE"""),"CAMPILLO VALENCIA, LUCIANA")</f>
        <v>CAMPILLO VALENCIA, LUCIANA</v>
      </c>
      <c r="D3088" t="str">
        <f>IFERROR(__xludf.DUMMYFUNCTION("""COMPUTED_VALUE"""),"Tech 7S2")</f>
        <v>Tech 7S2</v>
      </c>
      <c r="E3088" s="31" t="str">
        <f>IFERROR(__xludf.DUMMYFUNCTION("""COMPUTED_VALUE"""),"1a")</f>
        <v>1a</v>
      </c>
      <c r="F3088" s="8">
        <v>1.0</v>
      </c>
      <c r="G3088" s="8">
        <v>1.0</v>
      </c>
      <c r="H3088" s="8">
        <v>1.0</v>
      </c>
      <c r="I3088" s="8">
        <v>1.0</v>
      </c>
      <c r="J3088" s="8">
        <v>1.0</v>
      </c>
      <c r="K3088" s="8">
        <v>1.0</v>
      </c>
      <c r="L3088" s="8">
        <v>6.0</v>
      </c>
      <c r="M3088" s="8"/>
      <c r="N3088" s="8"/>
      <c r="O3088" s="8" t="s">
        <v>848</v>
      </c>
      <c r="P3088" s="8" t="e">
        <v>#N/A</v>
      </c>
    </row>
    <row r="3089">
      <c r="A3089">
        <f>IFERROR(__xludf.DUMMYFUNCTION("""COMPUTED_VALUE"""),7.0)</f>
        <v>7</v>
      </c>
      <c r="B3089">
        <f>IFERROR(__xludf.DUMMYFUNCTION("""COMPUTED_VALUE"""),30024.0)</f>
        <v>30024</v>
      </c>
      <c r="C3089" t="str">
        <f>IFERROR(__xludf.DUMMYFUNCTION("""COMPUTED_VALUE"""),"CANO MESA, AMELIA")</f>
        <v>CANO MESA, AMELIA</v>
      </c>
      <c r="D3089" t="str">
        <f>IFERROR(__xludf.DUMMYFUNCTION("""COMPUTED_VALUE"""),"Tech 7S2")</f>
        <v>Tech 7S2</v>
      </c>
      <c r="E3089" s="31" t="str">
        <f>IFERROR(__xludf.DUMMYFUNCTION("""COMPUTED_VALUE"""),"6a")</f>
        <v>6a</v>
      </c>
      <c r="F3089" s="8">
        <v>1.0</v>
      </c>
      <c r="G3089" s="8">
        <v>1.0</v>
      </c>
      <c r="H3089" s="8">
        <v>1.0</v>
      </c>
      <c r="I3089" s="8">
        <v>1.0</v>
      </c>
      <c r="J3089" s="8">
        <v>1.0</v>
      </c>
      <c r="K3089" s="8">
        <v>1.0</v>
      </c>
      <c r="L3089" s="8">
        <v>6.0</v>
      </c>
      <c r="M3089" s="8"/>
      <c r="N3089" s="8"/>
      <c r="O3089" s="8" t="s">
        <v>846</v>
      </c>
      <c r="P3089" s="8" t="e">
        <v>#N/A</v>
      </c>
    </row>
    <row r="3090">
      <c r="A3090">
        <f>IFERROR(__xludf.DUMMYFUNCTION("""COMPUTED_VALUE"""),7.0)</f>
        <v>7</v>
      </c>
      <c r="B3090">
        <f>IFERROR(__xludf.DUMMYFUNCTION("""COMPUTED_VALUE"""),30025.0)</f>
        <v>30025</v>
      </c>
      <c r="C3090" t="str">
        <f>IFERROR(__xludf.DUMMYFUNCTION("""COMPUTED_VALUE"""),"CAÑON GARCIA, MARTINA")</f>
        <v>CAÑON GARCIA, MARTINA</v>
      </c>
      <c r="D3090" t="str">
        <f>IFERROR(__xludf.DUMMYFUNCTION("""COMPUTED_VALUE"""),"Art 7S2")</f>
        <v>Art 7S2</v>
      </c>
      <c r="E3090" s="31" t="str">
        <f>IFERROR(__xludf.DUMMYFUNCTION("""COMPUTED_VALUE"""),"1a")</f>
        <v>1a</v>
      </c>
      <c r="F3090" s="8">
        <v>1.0</v>
      </c>
      <c r="G3090" s="8">
        <v>1.0</v>
      </c>
      <c r="H3090" s="8">
        <v>1.0</v>
      </c>
      <c r="I3090" s="8">
        <v>1.0</v>
      </c>
      <c r="J3090" s="8">
        <v>1.0</v>
      </c>
      <c r="K3090" s="8">
        <v>1.0</v>
      </c>
      <c r="L3090" s="8">
        <v>6.0</v>
      </c>
      <c r="M3090" s="8"/>
      <c r="N3090" s="8"/>
      <c r="O3090" s="8" t="s">
        <v>849</v>
      </c>
      <c r="P3090" s="8" t="e">
        <v>#N/A</v>
      </c>
    </row>
    <row r="3091">
      <c r="A3091">
        <f>IFERROR(__xludf.DUMMYFUNCTION("""COMPUTED_VALUE"""),7.0)</f>
        <v>7</v>
      </c>
      <c r="B3091">
        <f>IFERROR(__xludf.DUMMYFUNCTION("""COMPUTED_VALUE"""),30026.0)</f>
        <v>30026</v>
      </c>
      <c r="C3091" t="str">
        <f>IFERROR(__xludf.DUMMYFUNCTION("""COMPUTED_VALUE"""),"CAPMARTIN GOMEZ, NICOLAS")</f>
        <v>CAPMARTIN GOMEZ, NICOLAS</v>
      </c>
      <c r="D3091" t="str">
        <f>IFERROR(__xludf.DUMMYFUNCTION("""COMPUTED_VALUE"""),"Tech 7S2")</f>
        <v>Tech 7S2</v>
      </c>
      <c r="E3091" s="31" t="str">
        <f>IFERROR(__xludf.DUMMYFUNCTION("""COMPUTED_VALUE"""),"6a")</f>
        <v>6a</v>
      </c>
      <c r="F3091" s="8">
        <v>1.0</v>
      </c>
      <c r="G3091" s="8">
        <v>1.0</v>
      </c>
      <c r="H3091" s="8">
        <v>1.0</v>
      </c>
      <c r="I3091" s="8">
        <v>1.0</v>
      </c>
      <c r="J3091" s="8">
        <v>1.0</v>
      </c>
      <c r="K3091" s="8">
        <v>1.0</v>
      </c>
      <c r="L3091" s="8">
        <v>6.0</v>
      </c>
      <c r="M3091" s="8"/>
      <c r="N3091" s="8"/>
      <c r="O3091" s="8" t="s">
        <v>846</v>
      </c>
      <c r="P3091" s="8" t="e">
        <v>#N/A</v>
      </c>
    </row>
    <row r="3092">
      <c r="A3092">
        <f>IFERROR(__xludf.DUMMYFUNCTION("""COMPUTED_VALUE"""),7.0)</f>
        <v>7</v>
      </c>
      <c r="B3092">
        <f>IFERROR(__xludf.DUMMYFUNCTION("""COMPUTED_VALUE"""),30027.0)</f>
        <v>30027</v>
      </c>
      <c r="C3092" t="str">
        <f>IFERROR(__xludf.DUMMYFUNCTION("""COMPUTED_VALUE"""),"CARDONA CASTAÑEDA, JUANITA")</f>
        <v>CARDONA CASTAÑEDA, JUANITA</v>
      </c>
      <c r="D3092" t="str">
        <f>IFERROR(__xludf.DUMMYFUNCTION("""COMPUTED_VALUE"""),"Tech 7S2")</f>
        <v>Tech 7S2</v>
      </c>
      <c r="E3092" s="31" t="str">
        <f>IFERROR(__xludf.DUMMYFUNCTION("""COMPUTED_VALUE"""),"1a")</f>
        <v>1a</v>
      </c>
      <c r="F3092" s="8">
        <v>1.0</v>
      </c>
      <c r="G3092" s="8">
        <v>1.0</v>
      </c>
      <c r="H3092" s="8">
        <v>1.0</v>
      </c>
      <c r="I3092" s="8">
        <v>1.0</v>
      </c>
      <c r="J3092" s="8">
        <v>1.0</v>
      </c>
      <c r="K3092" s="8">
        <v>1.0</v>
      </c>
      <c r="L3092" s="8">
        <v>6.0</v>
      </c>
      <c r="M3092" s="8"/>
      <c r="N3092" s="8"/>
      <c r="O3092" s="8" t="s">
        <v>848</v>
      </c>
      <c r="P3092" s="8" t="e">
        <v>#N/A</v>
      </c>
    </row>
    <row r="3093">
      <c r="A3093">
        <f>IFERROR(__xludf.DUMMYFUNCTION("""COMPUTED_VALUE"""),7.0)</f>
        <v>7</v>
      </c>
      <c r="B3093">
        <f>IFERROR(__xludf.DUMMYFUNCTION("""COMPUTED_VALUE"""),30135.0)</f>
        <v>30135</v>
      </c>
      <c r="C3093" t="str">
        <f>IFERROR(__xludf.DUMMYFUNCTION("""COMPUTED_VALUE"""),"CARDONA URIBE, EMILIANA")</f>
        <v>CARDONA URIBE, EMILIANA</v>
      </c>
      <c r="D3093" t="str">
        <f>IFERROR(__xludf.DUMMYFUNCTION("""COMPUTED_VALUE"""),"Tech 7S2")</f>
        <v>Tech 7S2</v>
      </c>
      <c r="E3093" s="31" t="str">
        <f>IFERROR(__xludf.DUMMYFUNCTION("""COMPUTED_VALUE"""),"6a")</f>
        <v>6a</v>
      </c>
      <c r="F3093" s="8">
        <v>1.0</v>
      </c>
      <c r="G3093" s="8">
        <v>1.0</v>
      </c>
      <c r="H3093" s="8">
        <v>1.0</v>
      </c>
      <c r="I3093" s="8">
        <v>1.0</v>
      </c>
      <c r="J3093" s="8">
        <v>1.0</v>
      </c>
      <c r="K3093" s="8">
        <v>1.0</v>
      </c>
      <c r="L3093" s="8">
        <v>6.0</v>
      </c>
      <c r="M3093" s="8"/>
      <c r="N3093" s="8"/>
      <c r="O3093" s="8" t="s">
        <v>846</v>
      </c>
      <c r="P3093" s="8" t="e">
        <v>#N/A</v>
      </c>
    </row>
    <row r="3094">
      <c r="A3094">
        <f>IFERROR(__xludf.DUMMYFUNCTION("""COMPUTED_VALUE"""),7.0)</f>
        <v>7</v>
      </c>
      <c r="B3094">
        <f>IFERROR(__xludf.DUMMYFUNCTION("""COMPUTED_VALUE"""),30028.0)</f>
        <v>30028</v>
      </c>
      <c r="C3094" t="str">
        <f>IFERROR(__xludf.DUMMYFUNCTION("""COMPUTED_VALUE"""),"CHAN MEI, JACOB")</f>
        <v>CHAN MEI, JACOB</v>
      </c>
      <c r="D3094" t="str">
        <f>IFERROR(__xludf.DUMMYFUNCTION("""COMPUTED_VALUE"""),"Art 7S2")</f>
        <v>Art 7S2</v>
      </c>
      <c r="E3094" s="31" t="str">
        <f>IFERROR(__xludf.DUMMYFUNCTION("""COMPUTED_VALUE"""),"2b")</f>
        <v>2b</v>
      </c>
      <c r="F3094" s="8">
        <v>1.0</v>
      </c>
      <c r="G3094" s="8">
        <v>1.0</v>
      </c>
      <c r="H3094" s="8">
        <v>1.0</v>
      </c>
      <c r="I3094" s="8">
        <v>1.0</v>
      </c>
      <c r="J3094" s="8">
        <v>1.0</v>
      </c>
      <c r="K3094" s="8">
        <v>1.0</v>
      </c>
      <c r="L3094" s="8">
        <v>6.0</v>
      </c>
      <c r="M3094" s="8"/>
      <c r="N3094" s="8"/>
      <c r="O3094" s="8" t="s">
        <v>844</v>
      </c>
      <c r="P3094" s="8" t="e">
        <v>#N/A</v>
      </c>
    </row>
    <row r="3095">
      <c r="A3095">
        <f>IFERROR(__xludf.DUMMYFUNCTION("""COMPUTED_VALUE"""),7.0)</f>
        <v>7</v>
      </c>
      <c r="B3095">
        <f>IFERROR(__xludf.DUMMYFUNCTION("""COMPUTED_VALUE"""),30029.0)</f>
        <v>30029</v>
      </c>
      <c r="C3095" t="str">
        <f>IFERROR(__xludf.DUMMYFUNCTION("""COMPUTED_VALUE"""),"CORREA GARCES, PEDRO PABLO")</f>
        <v>CORREA GARCES, PEDRO PABLO</v>
      </c>
      <c r="D3095" t="str">
        <f>IFERROR(__xludf.DUMMYFUNCTION("""COMPUTED_VALUE"""),"Band 7S2")</f>
        <v>Band 7S2</v>
      </c>
      <c r="E3095" s="31" t="str">
        <f>IFERROR(__xludf.DUMMYFUNCTION("""COMPUTED_VALUE"""),"2b")</f>
        <v>2b</v>
      </c>
      <c r="F3095" s="8">
        <v>1.0</v>
      </c>
      <c r="G3095" s="8">
        <v>1.0</v>
      </c>
      <c r="H3095" s="8">
        <v>1.0</v>
      </c>
      <c r="I3095" s="8">
        <v>1.0</v>
      </c>
      <c r="J3095" s="8">
        <v>1.0</v>
      </c>
      <c r="K3095" s="8">
        <v>1.0</v>
      </c>
      <c r="L3095" s="8">
        <v>6.0</v>
      </c>
      <c r="M3095" s="8"/>
      <c r="N3095" s="8"/>
      <c r="O3095" s="8" t="s">
        <v>845</v>
      </c>
      <c r="P3095" s="8" t="e">
        <v>#N/A</v>
      </c>
    </row>
    <row r="3096">
      <c r="A3096">
        <f>IFERROR(__xludf.DUMMYFUNCTION("""COMPUTED_VALUE"""),7.0)</f>
        <v>7</v>
      </c>
      <c r="B3096">
        <f>IFERROR(__xludf.DUMMYFUNCTION("""COMPUTED_VALUE"""),30030.0)</f>
        <v>30030</v>
      </c>
      <c r="C3096" t="str">
        <f>IFERROR(__xludf.DUMMYFUNCTION("""COMPUTED_VALUE"""),"CORREA MERINO, VICENTE")</f>
        <v>CORREA MERINO, VICENTE</v>
      </c>
      <c r="D3096" t="str">
        <f>IFERROR(__xludf.DUMMYFUNCTION("""COMPUTED_VALUE"""),"Band 7S2")</f>
        <v>Band 7S2</v>
      </c>
      <c r="E3096" s="31" t="str">
        <f>IFERROR(__xludf.DUMMYFUNCTION("""COMPUTED_VALUE"""),"1a")</f>
        <v>1a</v>
      </c>
      <c r="F3096" s="8">
        <v>1.0</v>
      </c>
      <c r="G3096" s="8">
        <v>1.0</v>
      </c>
      <c r="H3096" s="8">
        <v>1.0</v>
      </c>
      <c r="I3096" s="8">
        <v>1.0</v>
      </c>
      <c r="J3096" s="8">
        <v>1.0</v>
      </c>
      <c r="K3096" s="8">
        <v>1.0</v>
      </c>
      <c r="L3096" s="8">
        <v>6.0</v>
      </c>
      <c r="M3096" s="8"/>
      <c r="N3096" s="8"/>
      <c r="O3096" s="8" t="s">
        <v>847</v>
      </c>
      <c r="P3096" s="8" t="e">
        <v>#N/A</v>
      </c>
    </row>
    <row r="3097">
      <c r="A3097">
        <f>IFERROR(__xludf.DUMMYFUNCTION("""COMPUTED_VALUE"""),7.0)</f>
        <v>7</v>
      </c>
      <c r="B3097">
        <f>IFERROR(__xludf.DUMMYFUNCTION("""COMPUTED_VALUE"""),30031.0)</f>
        <v>30031</v>
      </c>
      <c r="C3097" t="str">
        <f>IFERROR(__xludf.DUMMYFUNCTION("""COMPUTED_VALUE"""),"CORTES CASTAÑO, FELIPE")</f>
        <v>CORTES CASTAÑO, FELIPE</v>
      </c>
      <c r="D3097" t="str">
        <f>IFERROR(__xludf.DUMMYFUNCTION("""COMPUTED_VALUE"""),"Band 7S2")</f>
        <v>Band 7S2</v>
      </c>
      <c r="E3097" s="31" t="str">
        <f>IFERROR(__xludf.DUMMYFUNCTION("""COMPUTED_VALUE"""),"4b")</f>
        <v>4b</v>
      </c>
      <c r="F3097" s="8">
        <v>1.0</v>
      </c>
      <c r="G3097" s="8">
        <v>1.0</v>
      </c>
      <c r="H3097" s="8">
        <v>1.0</v>
      </c>
      <c r="I3097" s="8">
        <v>1.0</v>
      </c>
      <c r="J3097" s="8">
        <v>1.0</v>
      </c>
      <c r="K3097" s="8">
        <v>1.0</v>
      </c>
      <c r="L3097" s="8">
        <v>6.0</v>
      </c>
      <c r="M3097" s="8"/>
      <c r="N3097" s="8"/>
      <c r="O3097" s="8" t="s">
        <v>843</v>
      </c>
      <c r="P3097" s="8" t="e">
        <v>#N/A</v>
      </c>
    </row>
    <row r="3098">
      <c r="A3098">
        <f>IFERROR(__xludf.DUMMYFUNCTION("""COMPUTED_VALUE"""),7.0)</f>
        <v>7</v>
      </c>
      <c r="B3098">
        <f>IFERROR(__xludf.DUMMYFUNCTION("""COMPUTED_VALUE"""),30032.0)</f>
        <v>30032</v>
      </c>
      <c r="C3098" t="str">
        <f>IFERROR(__xludf.DUMMYFUNCTION("""COMPUTED_VALUE"""),"CRUZ PEREYRA, ANA VICTORIA")</f>
        <v>CRUZ PEREYRA, ANA VICTORIA</v>
      </c>
      <c r="D3098" t="str">
        <f>IFERROR(__xludf.DUMMYFUNCTION("""COMPUTED_VALUE"""),"Art 7S2")</f>
        <v>Art 7S2</v>
      </c>
      <c r="E3098" s="31" t="str">
        <f>IFERROR(__xludf.DUMMYFUNCTION("""COMPUTED_VALUE"""),"2b")</f>
        <v>2b</v>
      </c>
      <c r="F3098" s="8">
        <v>1.0</v>
      </c>
      <c r="G3098" s="8">
        <v>1.0</v>
      </c>
      <c r="H3098" s="8">
        <v>1.0</v>
      </c>
      <c r="I3098" s="8">
        <v>1.0</v>
      </c>
      <c r="J3098" s="8">
        <v>1.0</v>
      </c>
      <c r="K3098" s="8">
        <v>1.0</v>
      </c>
      <c r="L3098" s="8">
        <v>6.0</v>
      </c>
      <c r="M3098" s="8"/>
      <c r="N3098" s="8"/>
      <c r="O3098" s="8" t="s">
        <v>844</v>
      </c>
      <c r="P3098" s="8" t="e">
        <v>#N/A</v>
      </c>
    </row>
    <row r="3099">
      <c r="A3099">
        <f>IFERROR(__xludf.DUMMYFUNCTION("""COMPUTED_VALUE"""),7.0)</f>
        <v>7</v>
      </c>
      <c r="B3099">
        <f>IFERROR(__xludf.DUMMYFUNCTION("""COMPUTED_VALUE"""),30033.0)</f>
        <v>30033</v>
      </c>
      <c r="C3099" t="str">
        <f>IFERROR(__xludf.DUMMYFUNCTION("""COMPUTED_VALUE"""),"CUARTAS VILLEGAS, ELIAS")</f>
        <v>CUARTAS VILLEGAS, ELIAS</v>
      </c>
      <c r="D3099" t="str">
        <f>IFERROR(__xludf.DUMMYFUNCTION("""COMPUTED_VALUE"""),"Band 7S2")</f>
        <v>Band 7S2</v>
      </c>
      <c r="E3099" s="31" t="str">
        <f>IFERROR(__xludf.DUMMYFUNCTION("""COMPUTED_VALUE"""),"1a")</f>
        <v>1a</v>
      </c>
      <c r="F3099" s="8">
        <v>1.0</v>
      </c>
      <c r="G3099" s="8">
        <v>1.0</v>
      </c>
      <c r="H3099" s="8">
        <v>1.0</v>
      </c>
      <c r="I3099" s="8">
        <v>1.0</v>
      </c>
      <c r="J3099" s="8">
        <v>1.0</v>
      </c>
      <c r="K3099" s="8">
        <v>1.0</v>
      </c>
      <c r="L3099" s="8">
        <v>6.0</v>
      </c>
      <c r="M3099" s="8"/>
      <c r="N3099" s="8"/>
      <c r="O3099" s="8" t="s">
        <v>847</v>
      </c>
      <c r="P3099" s="8" t="e">
        <v>#N/A</v>
      </c>
    </row>
    <row r="3100">
      <c r="A3100">
        <f>IFERROR(__xludf.DUMMYFUNCTION("""COMPUTED_VALUE"""),7.0)</f>
        <v>7</v>
      </c>
      <c r="B3100">
        <f>IFERROR(__xludf.DUMMYFUNCTION("""COMPUTED_VALUE"""),30034.0)</f>
        <v>30034</v>
      </c>
      <c r="C3100" t="str">
        <f>IFERROR(__xludf.DUMMYFUNCTION("""COMPUTED_VALUE"""),"CUERVO HINESTROSA, MARTIN")</f>
        <v>CUERVO HINESTROSA, MARTIN</v>
      </c>
      <c r="D3100" t="str">
        <f>IFERROR(__xludf.DUMMYFUNCTION("""COMPUTED_VALUE"""),"Tech 7S2")</f>
        <v>Tech 7S2</v>
      </c>
      <c r="E3100" s="31" t="str">
        <f>IFERROR(__xludf.DUMMYFUNCTION("""COMPUTED_VALUE"""),"2b")</f>
        <v>2b</v>
      </c>
      <c r="F3100" s="8">
        <v>1.0</v>
      </c>
      <c r="G3100" s="8">
        <v>1.0</v>
      </c>
      <c r="H3100" s="8">
        <v>1.0</v>
      </c>
      <c r="I3100" s="8">
        <v>1.0</v>
      </c>
      <c r="J3100" s="8">
        <v>1.0</v>
      </c>
      <c r="K3100" s="8">
        <v>1.0</v>
      </c>
      <c r="L3100" s="8">
        <v>6.0</v>
      </c>
      <c r="M3100" s="8"/>
      <c r="N3100" s="8"/>
      <c r="O3100" s="8" t="s">
        <v>850</v>
      </c>
      <c r="P3100" s="8" t="e">
        <v>#N/A</v>
      </c>
    </row>
    <row r="3101">
      <c r="A3101">
        <f>IFERROR(__xludf.DUMMYFUNCTION("""COMPUTED_VALUE"""),7.0)</f>
        <v>7</v>
      </c>
      <c r="B3101">
        <f>IFERROR(__xludf.DUMMYFUNCTION("""COMPUTED_VALUE"""),30137.0)</f>
        <v>30137</v>
      </c>
      <c r="C3101" t="str">
        <f>IFERROR(__xludf.DUMMYFUNCTION("""COMPUTED_VALUE"""),"DA SILVA ABATEPAULO, IAN")</f>
        <v>DA SILVA ABATEPAULO, IAN</v>
      </c>
      <c r="D3101" t="str">
        <f>IFERROR(__xludf.DUMMYFUNCTION("""COMPUTED_VALUE"""),"Band 7S2")</f>
        <v>Band 7S2</v>
      </c>
      <c r="E3101" s="31" t="str">
        <f>IFERROR(__xludf.DUMMYFUNCTION("""COMPUTED_VALUE"""),"2b")</f>
        <v>2b</v>
      </c>
      <c r="F3101" s="8">
        <v>1.0</v>
      </c>
      <c r="G3101" s="8">
        <v>1.0</v>
      </c>
      <c r="H3101" s="8">
        <v>1.0</v>
      </c>
      <c r="I3101" s="8">
        <v>1.0</v>
      </c>
      <c r="J3101" s="8">
        <v>1.0</v>
      </c>
      <c r="K3101" s="8">
        <v>1.0</v>
      </c>
      <c r="L3101" s="8">
        <v>6.0</v>
      </c>
      <c r="M3101" s="8"/>
      <c r="N3101" s="8"/>
      <c r="O3101" s="8" t="s">
        <v>845</v>
      </c>
      <c r="P3101" s="8" t="e">
        <v>#N/A</v>
      </c>
    </row>
    <row r="3102">
      <c r="A3102">
        <f>IFERROR(__xludf.DUMMYFUNCTION("""COMPUTED_VALUE"""),7.0)</f>
        <v>7</v>
      </c>
      <c r="B3102">
        <f>IFERROR(__xludf.DUMMYFUNCTION("""COMPUTED_VALUE"""),30036.0)</f>
        <v>30036</v>
      </c>
      <c r="C3102" t="str">
        <f>IFERROR(__xludf.DUMMYFUNCTION("""COMPUTED_VALUE"""),"DUQUE OCHOA, PABLO")</f>
        <v>DUQUE OCHOA, PABLO</v>
      </c>
      <c r="D3102" t="str">
        <f>IFERROR(__xludf.DUMMYFUNCTION("""COMPUTED_VALUE"""),"Band 7S2")</f>
        <v>Band 7S2</v>
      </c>
      <c r="E3102" s="31" t="str">
        <f>IFERROR(__xludf.DUMMYFUNCTION("""COMPUTED_VALUE"""),"4b")</f>
        <v>4b</v>
      </c>
      <c r="F3102" s="8">
        <v>1.0</v>
      </c>
      <c r="G3102" s="8">
        <v>1.0</v>
      </c>
      <c r="H3102" s="8">
        <v>1.0</v>
      </c>
      <c r="I3102" s="8">
        <v>1.0</v>
      </c>
      <c r="J3102" s="8">
        <v>1.0</v>
      </c>
      <c r="K3102" s="8">
        <v>1.0</v>
      </c>
      <c r="L3102" s="8">
        <v>6.0</v>
      </c>
      <c r="M3102" s="8"/>
      <c r="N3102" s="8"/>
      <c r="O3102" s="8" t="s">
        <v>843</v>
      </c>
      <c r="P3102" s="8" t="e">
        <v>#N/A</v>
      </c>
    </row>
    <row r="3103">
      <c r="A3103">
        <f>IFERROR(__xludf.DUMMYFUNCTION("""COMPUTED_VALUE"""),7.0)</f>
        <v>7</v>
      </c>
      <c r="B3103">
        <f>IFERROR(__xludf.DUMMYFUNCTION("""COMPUTED_VALUE"""),30037.0)</f>
        <v>30037</v>
      </c>
      <c r="C3103" t="str">
        <f>IFERROR(__xludf.DUMMYFUNCTION("""COMPUTED_VALUE"""),"DUQUE ZAPATA, SAMUEL")</f>
        <v>DUQUE ZAPATA, SAMUEL</v>
      </c>
      <c r="D3103" t="str">
        <f>IFERROR(__xludf.DUMMYFUNCTION("""COMPUTED_VALUE"""),"Band 7S2")</f>
        <v>Band 7S2</v>
      </c>
      <c r="E3103" s="31" t="str">
        <f>IFERROR(__xludf.DUMMYFUNCTION("""COMPUTED_VALUE"""),"1a")</f>
        <v>1a</v>
      </c>
      <c r="F3103" s="8">
        <v>1.0</v>
      </c>
      <c r="G3103" s="8">
        <v>1.0</v>
      </c>
      <c r="H3103" s="8">
        <v>1.0</v>
      </c>
      <c r="I3103" s="8">
        <v>1.0</v>
      </c>
      <c r="J3103" s="8">
        <v>1.0</v>
      </c>
      <c r="K3103" s="8">
        <v>1.0</v>
      </c>
      <c r="L3103" s="8">
        <v>6.0</v>
      </c>
      <c r="M3103" s="8"/>
      <c r="N3103" s="8"/>
      <c r="O3103" s="8" t="s">
        <v>847</v>
      </c>
      <c r="P3103" s="8" t="e">
        <v>#N/A</v>
      </c>
    </row>
    <row r="3104">
      <c r="A3104">
        <f>IFERROR(__xludf.DUMMYFUNCTION("""COMPUTED_VALUE"""),7.0)</f>
        <v>7</v>
      </c>
      <c r="B3104">
        <f>IFERROR(__xludf.DUMMYFUNCTION("""COMPUTED_VALUE"""),30038.0)</f>
        <v>30038</v>
      </c>
      <c r="C3104" t="str">
        <f>IFERROR(__xludf.DUMMYFUNCTION("""COMPUTED_VALUE"""),"ESCANDON LIBOS, AMELIA")</f>
        <v>ESCANDON LIBOS, AMELIA</v>
      </c>
      <c r="D3104" t="str">
        <f>IFERROR(__xludf.DUMMYFUNCTION("""COMPUTED_VALUE"""),"Art 7S2")</f>
        <v>Art 7S2</v>
      </c>
      <c r="E3104" s="31" t="str">
        <f>IFERROR(__xludf.DUMMYFUNCTION("""COMPUTED_VALUE"""),"1a")</f>
        <v>1a</v>
      </c>
      <c r="F3104" s="8">
        <v>1.0</v>
      </c>
      <c r="G3104" s="8">
        <v>1.0</v>
      </c>
      <c r="H3104" s="8">
        <v>1.0</v>
      </c>
      <c r="I3104" s="8">
        <v>1.0</v>
      </c>
      <c r="J3104" s="8">
        <v>1.0</v>
      </c>
      <c r="K3104" s="8">
        <v>1.0</v>
      </c>
      <c r="L3104" s="8">
        <v>6.0</v>
      </c>
      <c r="M3104" s="8"/>
      <c r="N3104" s="8"/>
      <c r="O3104" s="8" t="s">
        <v>849</v>
      </c>
      <c r="P3104" s="8" t="e">
        <v>#N/A</v>
      </c>
    </row>
    <row r="3105">
      <c r="A3105">
        <f>IFERROR(__xludf.DUMMYFUNCTION("""COMPUTED_VALUE"""),7.0)</f>
        <v>7</v>
      </c>
      <c r="B3105">
        <f>IFERROR(__xludf.DUMMYFUNCTION("""COMPUTED_VALUE"""),30039.0)</f>
        <v>30039</v>
      </c>
      <c r="C3105" t="str">
        <f>IFERROR(__xludf.DUMMYFUNCTION("""COMPUTED_VALUE"""),"ESCOBAR CASTAÑO, ALICIA")</f>
        <v>ESCOBAR CASTAÑO, ALICIA</v>
      </c>
      <c r="D3105" t="str">
        <f>IFERROR(__xludf.DUMMYFUNCTION("""COMPUTED_VALUE"""),"Tech 7S2")</f>
        <v>Tech 7S2</v>
      </c>
      <c r="E3105" s="31" t="str">
        <f>IFERROR(__xludf.DUMMYFUNCTION("""COMPUTED_VALUE"""),"6a")</f>
        <v>6a</v>
      </c>
      <c r="F3105" s="8">
        <v>1.0</v>
      </c>
      <c r="G3105" s="8">
        <v>1.0</v>
      </c>
      <c r="H3105" s="8">
        <v>1.0</v>
      </c>
      <c r="I3105" s="8">
        <v>1.0</v>
      </c>
      <c r="J3105" s="8">
        <v>1.0</v>
      </c>
      <c r="K3105" s="8">
        <v>1.0</v>
      </c>
      <c r="L3105" s="8">
        <v>6.0</v>
      </c>
      <c r="M3105" s="8"/>
      <c r="N3105" s="8"/>
      <c r="O3105" s="8" t="s">
        <v>846</v>
      </c>
      <c r="P3105" s="8" t="e">
        <v>#N/A</v>
      </c>
    </row>
    <row r="3106">
      <c r="A3106">
        <f>IFERROR(__xludf.DUMMYFUNCTION("""COMPUTED_VALUE"""),7.0)</f>
        <v>7</v>
      </c>
      <c r="B3106">
        <f>IFERROR(__xludf.DUMMYFUNCTION("""COMPUTED_VALUE"""),30040.0)</f>
        <v>30040</v>
      </c>
      <c r="C3106" t="str">
        <f>IFERROR(__xludf.DUMMYFUNCTION("""COMPUTED_VALUE"""),"ESCOBEDO DRAVIGNEY, ZOE")</f>
        <v>ESCOBEDO DRAVIGNEY, ZOE</v>
      </c>
      <c r="D3106" t="str">
        <f>IFERROR(__xludf.DUMMYFUNCTION("""COMPUTED_VALUE"""),"Art 7S2")</f>
        <v>Art 7S2</v>
      </c>
      <c r="E3106" s="31" t="str">
        <f>IFERROR(__xludf.DUMMYFUNCTION("""COMPUTED_VALUE"""),"2b")</f>
        <v>2b</v>
      </c>
      <c r="F3106" s="8">
        <v>1.0</v>
      </c>
      <c r="G3106" s="8">
        <v>1.0</v>
      </c>
      <c r="H3106" s="8">
        <v>1.0</v>
      </c>
      <c r="I3106" s="8">
        <v>1.0</v>
      </c>
      <c r="J3106" s="8">
        <v>1.0</v>
      </c>
      <c r="K3106" s="8">
        <v>1.0</v>
      </c>
      <c r="L3106" s="8">
        <v>6.0</v>
      </c>
      <c r="M3106" s="8"/>
      <c r="N3106" s="8"/>
      <c r="O3106" s="8" t="s">
        <v>844</v>
      </c>
      <c r="P3106" s="8" t="e">
        <v>#N/A</v>
      </c>
    </row>
    <row r="3107">
      <c r="A3107">
        <f>IFERROR(__xludf.DUMMYFUNCTION("""COMPUTED_VALUE"""),7.0)</f>
        <v>7</v>
      </c>
      <c r="B3107">
        <f>IFERROR(__xludf.DUMMYFUNCTION("""COMPUTED_VALUE"""),30042.0)</f>
        <v>30042</v>
      </c>
      <c r="C3107" t="str">
        <f>IFERROR(__xludf.DUMMYFUNCTION("""COMPUTED_VALUE"""),"ESTELA NARANJO, JOSE MARIA")</f>
        <v>ESTELA NARANJO, JOSE MARIA</v>
      </c>
      <c r="D3107" t="str">
        <f>IFERROR(__xludf.DUMMYFUNCTION("""COMPUTED_VALUE"""),"Tech 7S2")</f>
        <v>Tech 7S2</v>
      </c>
      <c r="E3107" s="31" t="str">
        <f>IFERROR(__xludf.DUMMYFUNCTION("""COMPUTED_VALUE"""),"1a")</f>
        <v>1a</v>
      </c>
      <c r="F3107" s="8">
        <v>1.0</v>
      </c>
      <c r="G3107" s="8">
        <v>1.0</v>
      </c>
      <c r="H3107" s="8">
        <v>1.0</v>
      </c>
      <c r="I3107" s="8">
        <v>1.0</v>
      </c>
      <c r="J3107" s="8">
        <v>1.0</v>
      </c>
      <c r="K3107" s="8">
        <v>1.0</v>
      </c>
      <c r="L3107" s="8">
        <v>6.0</v>
      </c>
      <c r="M3107" s="8"/>
      <c r="N3107" s="8"/>
      <c r="O3107" s="8" t="s">
        <v>848</v>
      </c>
      <c r="P3107" s="8" t="e">
        <v>#N/A</v>
      </c>
    </row>
    <row r="3108">
      <c r="A3108">
        <f>IFERROR(__xludf.DUMMYFUNCTION("""COMPUTED_VALUE"""),7.0)</f>
        <v>7</v>
      </c>
      <c r="B3108">
        <f>IFERROR(__xludf.DUMMYFUNCTION("""COMPUTED_VALUE"""),30043.0)</f>
        <v>30043</v>
      </c>
      <c r="C3108" t="str">
        <f>IFERROR(__xludf.DUMMYFUNCTION("""COMPUTED_VALUE"""),"FERNANDEZ RAMIREZ, SANTIAGO")</f>
        <v>FERNANDEZ RAMIREZ, SANTIAGO</v>
      </c>
      <c r="D3108" t="str">
        <f>IFERROR(__xludf.DUMMYFUNCTION("""COMPUTED_VALUE"""),"Band 7S2")</f>
        <v>Band 7S2</v>
      </c>
      <c r="E3108" s="31" t="str">
        <f>IFERROR(__xludf.DUMMYFUNCTION("""COMPUTED_VALUE"""),"1a")</f>
        <v>1a</v>
      </c>
      <c r="F3108" s="8">
        <v>1.0</v>
      </c>
      <c r="G3108" s="8">
        <v>1.0</v>
      </c>
      <c r="H3108" s="8">
        <v>1.0</v>
      </c>
      <c r="I3108" s="8">
        <v>1.0</v>
      </c>
      <c r="J3108" s="8">
        <v>1.0</v>
      </c>
      <c r="K3108" s="8">
        <v>1.0</v>
      </c>
      <c r="L3108" s="8">
        <v>6.0</v>
      </c>
      <c r="M3108" s="8"/>
      <c r="N3108" s="8"/>
      <c r="O3108" s="8" t="s">
        <v>847</v>
      </c>
      <c r="P3108" s="8" t="e">
        <v>#N/A</v>
      </c>
    </row>
    <row r="3109">
      <c r="A3109">
        <f>IFERROR(__xludf.DUMMYFUNCTION("""COMPUTED_VALUE"""),7.0)</f>
        <v>7</v>
      </c>
      <c r="B3109">
        <f>IFERROR(__xludf.DUMMYFUNCTION("""COMPUTED_VALUE"""),30045.0)</f>
        <v>30045</v>
      </c>
      <c r="C3109" t="str">
        <f>IFERROR(__xludf.DUMMYFUNCTION("""COMPUTED_VALUE"""),"GALVEZ ATEHORTUA, LAURA")</f>
        <v>GALVEZ ATEHORTUA, LAURA</v>
      </c>
      <c r="D3109" t="str">
        <f>IFERROR(__xludf.DUMMYFUNCTION("""COMPUTED_VALUE"""),"Band 7S2")</f>
        <v>Band 7S2</v>
      </c>
      <c r="E3109" s="31" t="str">
        <f>IFERROR(__xludf.DUMMYFUNCTION("""COMPUTED_VALUE"""),"2b")</f>
        <v>2b</v>
      </c>
      <c r="F3109" s="8">
        <v>1.0</v>
      </c>
      <c r="G3109" s="8">
        <v>1.0</v>
      </c>
      <c r="H3109" s="8">
        <v>1.0</v>
      </c>
      <c r="I3109" s="8">
        <v>1.0</v>
      </c>
      <c r="J3109" s="8">
        <v>1.0</v>
      </c>
      <c r="K3109" s="8">
        <v>1.0</v>
      </c>
      <c r="L3109" s="8">
        <v>6.0</v>
      </c>
      <c r="M3109" s="8"/>
      <c r="N3109" s="8"/>
      <c r="O3109" s="8" t="s">
        <v>845</v>
      </c>
      <c r="P3109" s="8" t="e">
        <v>#N/A</v>
      </c>
    </row>
    <row r="3110">
      <c r="A3110">
        <f>IFERROR(__xludf.DUMMYFUNCTION("""COMPUTED_VALUE"""),7.0)</f>
        <v>7</v>
      </c>
      <c r="B3110">
        <f>IFERROR(__xludf.DUMMYFUNCTION("""COMPUTED_VALUE"""),30139.0)</f>
        <v>30139</v>
      </c>
      <c r="C3110" t="str">
        <f>IFERROR(__xludf.DUMMYFUNCTION("""COMPUTED_VALUE"""),"GARCIA RESTREPO, MATIAS")</f>
        <v>GARCIA RESTREPO, MATIAS</v>
      </c>
      <c r="D3110" t="str">
        <f>IFERROR(__xludf.DUMMYFUNCTION("""COMPUTED_VALUE"""),"Band 7S2")</f>
        <v>Band 7S2</v>
      </c>
      <c r="E3110" s="31" t="str">
        <f>IFERROR(__xludf.DUMMYFUNCTION("""COMPUTED_VALUE"""),"4b")</f>
        <v>4b</v>
      </c>
      <c r="F3110" s="8">
        <v>1.0</v>
      </c>
      <c r="G3110" s="8">
        <v>1.0</v>
      </c>
      <c r="H3110" s="8">
        <v>1.0</v>
      </c>
      <c r="I3110" s="8">
        <v>1.0</v>
      </c>
      <c r="J3110" s="8">
        <v>1.0</v>
      </c>
      <c r="K3110" s="8">
        <v>1.0</v>
      </c>
      <c r="L3110" s="8">
        <v>6.0</v>
      </c>
      <c r="M3110" s="8"/>
      <c r="N3110" s="8"/>
      <c r="O3110" s="8" t="s">
        <v>843</v>
      </c>
      <c r="P3110" s="8" t="e">
        <v>#N/A</v>
      </c>
    </row>
    <row r="3111">
      <c r="A3111">
        <f>IFERROR(__xludf.DUMMYFUNCTION("""COMPUTED_VALUE"""),7.0)</f>
        <v>7</v>
      </c>
      <c r="B3111">
        <f>IFERROR(__xludf.DUMMYFUNCTION("""COMPUTED_VALUE"""),30046.0)</f>
        <v>30046</v>
      </c>
      <c r="C3111" t="str">
        <f>IFERROR(__xludf.DUMMYFUNCTION("""COMPUTED_VALUE"""),"GARCIA RIVERA, MARTIN")</f>
        <v>GARCIA RIVERA, MARTIN</v>
      </c>
      <c r="D3111" t="str">
        <f>IFERROR(__xludf.DUMMYFUNCTION("""COMPUTED_VALUE"""),"Band 7S2")</f>
        <v>Band 7S2</v>
      </c>
      <c r="E3111" s="31" t="str">
        <f>IFERROR(__xludf.DUMMYFUNCTION("""COMPUTED_VALUE"""),"2b")</f>
        <v>2b</v>
      </c>
      <c r="F3111" s="8">
        <v>1.0</v>
      </c>
      <c r="G3111" s="8">
        <v>1.0</v>
      </c>
      <c r="H3111" s="8">
        <v>1.0</v>
      </c>
      <c r="I3111" s="8">
        <v>1.0</v>
      </c>
      <c r="J3111" s="8">
        <v>1.0</v>
      </c>
      <c r="K3111" s="8">
        <v>1.0</v>
      </c>
      <c r="L3111" s="8">
        <v>6.0</v>
      </c>
      <c r="M3111" s="8"/>
      <c r="N3111" s="8"/>
      <c r="O3111" s="8" t="s">
        <v>845</v>
      </c>
      <c r="P3111" s="8" t="e">
        <v>#N/A</v>
      </c>
    </row>
    <row r="3112">
      <c r="A3112">
        <f>IFERROR(__xludf.DUMMYFUNCTION("""COMPUTED_VALUE"""),7.0)</f>
        <v>7</v>
      </c>
      <c r="B3112">
        <f>IFERROR(__xludf.DUMMYFUNCTION("""COMPUTED_VALUE"""),30047.0)</f>
        <v>30047</v>
      </c>
      <c r="C3112" t="str">
        <f>IFERROR(__xludf.DUMMYFUNCTION("""COMPUTED_VALUE"""),"GAVIRIA ISAZA, CAMILO")</f>
        <v>GAVIRIA ISAZA, CAMILO</v>
      </c>
      <c r="D3112" t="str">
        <f>IFERROR(__xludf.DUMMYFUNCTION("""COMPUTED_VALUE"""),"Art 7S2")</f>
        <v>Art 7S2</v>
      </c>
      <c r="E3112" s="31" t="str">
        <f>IFERROR(__xludf.DUMMYFUNCTION("""COMPUTED_VALUE"""),"2b")</f>
        <v>2b</v>
      </c>
      <c r="F3112" s="8">
        <v>1.0</v>
      </c>
      <c r="G3112" s="8">
        <v>1.0</v>
      </c>
      <c r="H3112" s="8">
        <v>1.0</v>
      </c>
      <c r="I3112" s="8">
        <v>1.0</v>
      </c>
      <c r="J3112" s="8">
        <v>1.0</v>
      </c>
      <c r="K3112" s="8">
        <v>1.0</v>
      </c>
      <c r="L3112" s="8">
        <v>6.0</v>
      </c>
      <c r="M3112" s="8"/>
      <c r="N3112" s="8"/>
      <c r="O3112" s="8" t="s">
        <v>844</v>
      </c>
      <c r="P3112" s="8" t="e">
        <v>#N/A</v>
      </c>
    </row>
    <row r="3113">
      <c r="A3113">
        <f>IFERROR(__xludf.DUMMYFUNCTION("""COMPUTED_VALUE"""),7.0)</f>
        <v>7</v>
      </c>
      <c r="B3113">
        <f>IFERROR(__xludf.DUMMYFUNCTION("""COMPUTED_VALUE"""),30048.0)</f>
        <v>30048</v>
      </c>
      <c r="C3113" t="str">
        <f>IFERROR(__xludf.DUMMYFUNCTION("""COMPUTED_VALUE"""),"GAVIRIA OLAYA, AMALIA")</f>
        <v>GAVIRIA OLAYA, AMALIA</v>
      </c>
      <c r="D3113" t="str">
        <f>IFERROR(__xludf.DUMMYFUNCTION("""COMPUTED_VALUE"""),"Tech 7S2")</f>
        <v>Tech 7S2</v>
      </c>
      <c r="E3113" s="31" t="str">
        <f>IFERROR(__xludf.DUMMYFUNCTION("""COMPUTED_VALUE"""),"2b")</f>
        <v>2b</v>
      </c>
      <c r="F3113" s="8">
        <v>1.0</v>
      </c>
      <c r="G3113" s="8">
        <v>1.0</v>
      </c>
      <c r="H3113" s="8">
        <v>1.0</v>
      </c>
      <c r="I3113" s="8">
        <v>1.0</v>
      </c>
      <c r="J3113" s="8">
        <v>1.0</v>
      </c>
      <c r="K3113" s="8">
        <v>1.0</v>
      </c>
      <c r="L3113" s="8">
        <v>6.0</v>
      </c>
      <c r="M3113" s="8"/>
      <c r="N3113" s="8"/>
      <c r="O3113" s="8" t="s">
        <v>850</v>
      </c>
      <c r="P3113" s="8" t="e">
        <v>#N/A</v>
      </c>
    </row>
    <row r="3114">
      <c r="A3114">
        <f>IFERROR(__xludf.DUMMYFUNCTION("""COMPUTED_VALUE"""),7.0)</f>
        <v>7</v>
      </c>
      <c r="B3114">
        <f>IFERROR(__xludf.DUMMYFUNCTION("""COMPUTED_VALUE"""),30146.0)</f>
        <v>30146</v>
      </c>
      <c r="C3114" t="str">
        <f>IFERROR(__xludf.DUMMYFUNCTION("""COMPUTED_VALUE"""),"GIRALDO MONTOYA, EMMA")</f>
        <v>GIRALDO MONTOYA, EMMA</v>
      </c>
      <c r="D3114" t="str">
        <f>IFERROR(__xludf.DUMMYFUNCTION("""COMPUTED_VALUE"""),"Tech 7S2")</f>
        <v>Tech 7S2</v>
      </c>
      <c r="E3114" s="31" t="str">
        <f>IFERROR(__xludf.DUMMYFUNCTION("""COMPUTED_VALUE"""),"6a")</f>
        <v>6a</v>
      </c>
      <c r="F3114" s="8">
        <v>1.0</v>
      </c>
      <c r="G3114" s="8">
        <v>1.0</v>
      </c>
      <c r="H3114" s="8">
        <v>1.0</v>
      </c>
      <c r="I3114" s="8">
        <v>1.0</v>
      </c>
      <c r="J3114" s="8">
        <v>1.0</v>
      </c>
      <c r="K3114" s="8">
        <v>1.0</v>
      </c>
      <c r="L3114" s="8">
        <v>6.0</v>
      </c>
      <c r="M3114" s="8"/>
      <c r="N3114" s="8"/>
      <c r="O3114" s="8" t="s">
        <v>846</v>
      </c>
      <c r="P3114" s="8" t="e">
        <v>#N/A</v>
      </c>
    </row>
    <row r="3115">
      <c r="A3115">
        <f>IFERROR(__xludf.DUMMYFUNCTION("""COMPUTED_VALUE"""),7.0)</f>
        <v>7</v>
      </c>
      <c r="B3115">
        <f>IFERROR(__xludf.DUMMYFUNCTION("""COMPUTED_VALUE"""),30049.0)</f>
        <v>30049</v>
      </c>
      <c r="C3115" t="str">
        <f>IFERROR(__xludf.DUMMYFUNCTION("""COMPUTED_VALUE"""),"GOMEZ RAMIREZ, JOAQUIN")</f>
        <v>GOMEZ RAMIREZ, JOAQUIN</v>
      </c>
      <c r="D3115" t="str">
        <f>IFERROR(__xludf.DUMMYFUNCTION("""COMPUTED_VALUE"""),"Band 7S2")</f>
        <v>Band 7S2</v>
      </c>
      <c r="E3115" s="31" t="str">
        <f>IFERROR(__xludf.DUMMYFUNCTION("""COMPUTED_VALUE"""),"1a")</f>
        <v>1a</v>
      </c>
      <c r="F3115" s="8">
        <v>1.0</v>
      </c>
      <c r="G3115" s="8">
        <v>1.0</v>
      </c>
      <c r="H3115" s="8">
        <v>1.0</v>
      </c>
      <c r="I3115" s="8">
        <v>1.0</v>
      </c>
      <c r="J3115" s="8">
        <v>1.0</v>
      </c>
      <c r="K3115" s="8">
        <v>1.0</v>
      </c>
      <c r="L3115" s="8">
        <v>6.0</v>
      </c>
      <c r="M3115" s="8"/>
      <c r="N3115" s="8"/>
      <c r="O3115" s="8" t="s">
        <v>847</v>
      </c>
      <c r="P3115" s="8" t="e">
        <v>#N/A</v>
      </c>
    </row>
    <row r="3116">
      <c r="A3116">
        <f>IFERROR(__xludf.DUMMYFUNCTION("""COMPUTED_VALUE"""),7.0)</f>
        <v>7</v>
      </c>
      <c r="B3116">
        <f>IFERROR(__xludf.DUMMYFUNCTION("""COMPUTED_VALUE"""),30050.0)</f>
        <v>30050</v>
      </c>
      <c r="C3116" t="str">
        <f>IFERROR(__xludf.DUMMYFUNCTION("""COMPUTED_VALUE"""),"GOMEZ TORRES, AMALIA")</f>
        <v>GOMEZ TORRES, AMALIA</v>
      </c>
      <c r="D3116" t="str">
        <f>IFERROR(__xludf.DUMMYFUNCTION("""COMPUTED_VALUE"""),"Art 7S2")</f>
        <v>Art 7S2</v>
      </c>
      <c r="E3116" s="31" t="str">
        <f>IFERROR(__xludf.DUMMYFUNCTION("""COMPUTED_VALUE"""),"1a")</f>
        <v>1a</v>
      </c>
      <c r="F3116" s="8">
        <v>1.0</v>
      </c>
      <c r="G3116" s="8">
        <v>1.0</v>
      </c>
      <c r="H3116" s="8">
        <v>1.0</v>
      </c>
      <c r="I3116" s="8">
        <v>1.0</v>
      </c>
      <c r="J3116" s="8">
        <v>1.0</v>
      </c>
      <c r="K3116" s="8">
        <v>1.0</v>
      </c>
      <c r="L3116" s="8">
        <v>6.0</v>
      </c>
      <c r="M3116" s="8"/>
      <c r="N3116" s="8"/>
      <c r="O3116" s="8" t="s">
        <v>849</v>
      </c>
      <c r="P3116" s="8" t="e">
        <v>#N/A</v>
      </c>
    </row>
    <row r="3117">
      <c r="A3117">
        <f>IFERROR(__xludf.DUMMYFUNCTION("""COMPUTED_VALUE"""),7.0)</f>
        <v>7</v>
      </c>
      <c r="B3117">
        <f>IFERROR(__xludf.DUMMYFUNCTION("""COMPUTED_VALUE"""),30051.0)</f>
        <v>30051</v>
      </c>
      <c r="C3117" t="str">
        <f>IFERROR(__xludf.DUMMYFUNCTION("""COMPUTED_VALUE"""),"GONZALEZ MONSALVE, JULIETA")</f>
        <v>GONZALEZ MONSALVE, JULIETA</v>
      </c>
      <c r="D3117" t="str">
        <f>IFERROR(__xludf.DUMMYFUNCTION("""COMPUTED_VALUE"""),"Art 7S2")</f>
        <v>Art 7S2</v>
      </c>
      <c r="E3117" s="31" t="str">
        <f>IFERROR(__xludf.DUMMYFUNCTION("""COMPUTED_VALUE"""),"2b")</f>
        <v>2b</v>
      </c>
      <c r="F3117" s="8">
        <v>1.0</v>
      </c>
      <c r="G3117" s="8">
        <v>1.0</v>
      </c>
      <c r="H3117" s="8">
        <v>1.0</v>
      </c>
      <c r="I3117" s="8">
        <v>1.0</v>
      </c>
      <c r="J3117" s="8">
        <v>1.0</v>
      </c>
      <c r="K3117" s="8">
        <v>1.0</v>
      </c>
      <c r="L3117" s="8">
        <v>6.0</v>
      </c>
      <c r="M3117" s="8"/>
      <c r="N3117" s="8"/>
      <c r="O3117" s="8" t="s">
        <v>844</v>
      </c>
      <c r="P3117" s="8" t="e">
        <v>#N/A</v>
      </c>
    </row>
    <row r="3118">
      <c r="A3118">
        <f>IFERROR(__xludf.DUMMYFUNCTION("""COMPUTED_VALUE"""),7.0)</f>
        <v>7</v>
      </c>
      <c r="B3118">
        <f>IFERROR(__xludf.DUMMYFUNCTION("""COMPUTED_VALUE"""),30052.0)</f>
        <v>30052</v>
      </c>
      <c r="C3118" t="str">
        <f>IFERROR(__xludf.DUMMYFUNCTION("""COMPUTED_VALUE"""),"GONZALEZ TORRES, SEBASTIAN")</f>
        <v>GONZALEZ TORRES, SEBASTIAN</v>
      </c>
      <c r="D3118" t="str">
        <f>IFERROR(__xludf.DUMMYFUNCTION("""COMPUTED_VALUE"""),"Art 7S2")</f>
        <v>Art 7S2</v>
      </c>
      <c r="E3118" s="31" t="str">
        <f>IFERROR(__xludf.DUMMYFUNCTION("""COMPUTED_VALUE"""),"2b")</f>
        <v>2b</v>
      </c>
      <c r="F3118" s="8">
        <v>1.0</v>
      </c>
      <c r="G3118" s="8">
        <v>1.0</v>
      </c>
      <c r="H3118" s="8">
        <v>1.0</v>
      </c>
      <c r="I3118" s="8">
        <v>1.0</v>
      </c>
      <c r="J3118" s="8">
        <v>1.0</v>
      </c>
      <c r="K3118" s="8">
        <v>1.0</v>
      </c>
      <c r="L3118" s="8">
        <v>6.0</v>
      </c>
      <c r="M3118" s="8"/>
      <c r="N3118" s="8"/>
      <c r="O3118" s="8" t="s">
        <v>844</v>
      </c>
      <c r="P3118" s="8" t="e">
        <v>#N/A</v>
      </c>
    </row>
    <row r="3119">
      <c r="A3119">
        <f>IFERROR(__xludf.DUMMYFUNCTION("""COMPUTED_VALUE"""),7.0)</f>
        <v>7</v>
      </c>
      <c r="B3119">
        <f>IFERROR(__xludf.DUMMYFUNCTION("""COMPUTED_VALUE"""),30053.0)</f>
        <v>30053</v>
      </c>
      <c r="C3119" t="str">
        <f>IFERROR(__xludf.DUMMYFUNCTION("""COMPUTED_VALUE"""),"GONZALEZ TRABOULSI, MATIAS")</f>
        <v>GONZALEZ TRABOULSI, MATIAS</v>
      </c>
      <c r="D3119" t="str">
        <f>IFERROR(__xludf.DUMMYFUNCTION("""COMPUTED_VALUE"""),"Tech 7S2")</f>
        <v>Tech 7S2</v>
      </c>
      <c r="E3119" s="31" t="str">
        <f>IFERROR(__xludf.DUMMYFUNCTION("""COMPUTED_VALUE"""),"6a")</f>
        <v>6a</v>
      </c>
      <c r="F3119" s="8">
        <v>1.0</v>
      </c>
      <c r="G3119" s="8">
        <v>1.0</v>
      </c>
      <c r="H3119" s="8">
        <v>1.0</v>
      </c>
      <c r="I3119" s="8">
        <v>1.0</v>
      </c>
      <c r="J3119" s="8">
        <v>1.0</v>
      </c>
      <c r="K3119" s="8">
        <v>1.0</v>
      </c>
      <c r="L3119" s="8">
        <v>6.0</v>
      </c>
      <c r="M3119" s="8"/>
      <c r="N3119" s="8"/>
      <c r="O3119" s="8" t="s">
        <v>846</v>
      </c>
      <c r="P3119" s="8" t="e">
        <v>#N/A</v>
      </c>
    </row>
    <row r="3120">
      <c r="A3120">
        <f>IFERROR(__xludf.DUMMYFUNCTION("""COMPUTED_VALUE"""),7.0)</f>
        <v>7</v>
      </c>
      <c r="B3120">
        <f>IFERROR(__xludf.DUMMYFUNCTION("""COMPUTED_VALUE"""),30054.0)</f>
        <v>30054</v>
      </c>
      <c r="C3120" t="str">
        <f>IFERROR(__xludf.DUMMYFUNCTION("""COMPUTED_VALUE"""),"GRISALES PINEDA, ELISA")</f>
        <v>GRISALES PINEDA, ELISA</v>
      </c>
      <c r="D3120" t="str">
        <f>IFERROR(__xludf.DUMMYFUNCTION("""COMPUTED_VALUE"""),"Art 7S2")</f>
        <v>Art 7S2</v>
      </c>
      <c r="E3120" s="31" t="str">
        <f>IFERROR(__xludf.DUMMYFUNCTION("""COMPUTED_VALUE"""),"2b")</f>
        <v>2b</v>
      </c>
      <c r="F3120" s="8">
        <v>1.0</v>
      </c>
      <c r="G3120" s="8">
        <v>1.0</v>
      </c>
      <c r="H3120" s="8">
        <v>1.0</v>
      </c>
      <c r="I3120" s="8">
        <v>1.0</v>
      </c>
      <c r="J3120" s="8">
        <v>1.0</v>
      </c>
      <c r="K3120" s="8">
        <v>1.0</v>
      </c>
      <c r="L3120" s="8">
        <v>6.0</v>
      </c>
      <c r="M3120" s="8"/>
      <c r="N3120" s="8"/>
      <c r="O3120" s="8" t="s">
        <v>844</v>
      </c>
      <c r="P3120" s="8" t="e">
        <v>#N/A</v>
      </c>
    </row>
    <row r="3121">
      <c r="A3121">
        <f>IFERROR(__xludf.DUMMYFUNCTION("""COMPUTED_VALUE"""),7.0)</f>
        <v>7</v>
      </c>
      <c r="B3121">
        <f>IFERROR(__xludf.DUMMYFUNCTION("""COMPUTED_VALUE"""),30055.0)</f>
        <v>30055</v>
      </c>
      <c r="C3121" t="str">
        <f>IFERROR(__xludf.DUMMYFUNCTION("""COMPUTED_VALUE"""),"GUERRERO JARAMILLO, CAMILA")</f>
        <v>GUERRERO JARAMILLO, CAMILA</v>
      </c>
      <c r="D3121" t="str">
        <f>IFERROR(__xludf.DUMMYFUNCTION("""COMPUTED_VALUE"""),"Tech 7S2")</f>
        <v>Tech 7S2</v>
      </c>
      <c r="E3121" s="31" t="str">
        <f>IFERROR(__xludf.DUMMYFUNCTION("""COMPUTED_VALUE"""),"1a")</f>
        <v>1a</v>
      </c>
      <c r="F3121" s="8">
        <v>1.0</v>
      </c>
      <c r="G3121" s="8">
        <v>1.0</v>
      </c>
      <c r="H3121" s="8">
        <v>1.0</v>
      </c>
      <c r="I3121" s="8">
        <v>1.0</v>
      </c>
      <c r="J3121" s="8">
        <v>1.0</v>
      </c>
      <c r="K3121" s="8">
        <v>1.0</v>
      </c>
      <c r="L3121" s="8">
        <v>6.0</v>
      </c>
      <c r="M3121" s="8"/>
      <c r="N3121" s="8"/>
      <c r="O3121" s="8" t="s">
        <v>848</v>
      </c>
      <c r="P3121" s="8" t="e">
        <v>#N/A</v>
      </c>
    </row>
    <row r="3122">
      <c r="A3122">
        <f>IFERROR(__xludf.DUMMYFUNCTION("""COMPUTED_VALUE"""),7.0)</f>
        <v>7</v>
      </c>
      <c r="B3122">
        <f>IFERROR(__xludf.DUMMYFUNCTION("""COMPUTED_VALUE"""),30056.0)</f>
        <v>30056</v>
      </c>
      <c r="C3122" t="str">
        <f>IFERROR(__xludf.DUMMYFUNCTION("""COMPUTED_VALUE"""),"GUTIERREZ CARVAJAL, VIOLETA")</f>
        <v>GUTIERREZ CARVAJAL, VIOLETA</v>
      </c>
      <c r="D3122" t="str">
        <f>IFERROR(__xludf.DUMMYFUNCTION("""COMPUTED_VALUE"""),"Tech 7S2")</f>
        <v>Tech 7S2</v>
      </c>
      <c r="E3122" s="31" t="str">
        <f>IFERROR(__xludf.DUMMYFUNCTION("""COMPUTED_VALUE"""),"2b")</f>
        <v>2b</v>
      </c>
      <c r="F3122" s="8">
        <v>1.0</v>
      </c>
      <c r="G3122" s="8">
        <v>1.0</v>
      </c>
      <c r="H3122" s="8">
        <v>1.0</v>
      </c>
      <c r="I3122" s="8">
        <v>1.0</v>
      </c>
      <c r="J3122" s="8">
        <v>1.0</v>
      </c>
      <c r="K3122" s="8">
        <v>1.0</v>
      </c>
      <c r="L3122" s="8">
        <v>6.0</v>
      </c>
      <c r="M3122" s="8"/>
      <c r="N3122" s="8"/>
      <c r="O3122" s="8" t="s">
        <v>850</v>
      </c>
      <c r="P3122" s="8" t="e">
        <v>#N/A</v>
      </c>
    </row>
    <row r="3123">
      <c r="A3123">
        <f>IFERROR(__xludf.DUMMYFUNCTION("""COMPUTED_VALUE"""),7.0)</f>
        <v>7</v>
      </c>
      <c r="B3123">
        <f>IFERROR(__xludf.DUMMYFUNCTION("""COMPUTED_VALUE"""),30057.0)</f>
        <v>30057</v>
      </c>
      <c r="C3123" t="str">
        <f>IFERROR(__xludf.DUMMYFUNCTION("""COMPUTED_VALUE"""),"GUTIERREZ OCAMPO, ISABELA")</f>
        <v>GUTIERREZ OCAMPO, ISABELA</v>
      </c>
      <c r="D3123" t="str">
        <f>IFERROR(__xludf.DUMMYFUNCTION("""COMPUTED_VALUE"""),"Tech 7S2")</f>
        <v>Tech 7S2</v>
      </c>
      <c r="E3123" s="31" t="str">
        <f>IFERROR(__xludf.DUMMYFUNCTION("""COMPUTED_VALUE"""),"6a")</f>
        <v>6a</v>
      </c>
      <c r="F3123" s="8">
        <v>1.0</v>
      </c>
      <c r="G3123" s="8">
        <v>1.0</v>
      </c>
      <c r="H3123" s="8">
        <v>1.0</v>
      </c>
      <c r="I3123" s="8">
        <v>1.0</v>
      </c>
      <c r="J3123" s="8">
        <v>1.0</v>
      </c>
      <c r="K3123" s="8">
        <v>1.0</v>
      </c>
      <c r="L3123" s="8">
        <v>6.0</v>
      </c>
      <c r="M3123" s="8"/>
      <c r="N3123" s="8"/>
      <c r="O3123" s="8" t="s">
        <v>846</v>
      </c>
      <c r="P3123" s="8" t="e">
        <v>#N/A</v>
      </c>
    </row>
    <row r="3124">
      <c r="A3124">
        <f>IFERROR(__xludf.DUMMYFUNCTION("""COMPUTED_VALUE"""),7.0)</f>
        <v>7</v>
      </c>
      <c r="B3124">
        <f>IFERROR(__xludf.DUMMYFUNCTION("""COMPUTED_VALUE"""),30058.0)</f>
        <v>30058</v>
      </c>
      <c r="C3124" t="str">
        <f>IFERROR(__xludf.DUMMYFUNCTION("""COMPUTED_VALUE"""),"GUZMAN FRANCO, SEBASTIAN")</f>
        <v>GUZMAN FRANCO, SEBASTIAN</v>
      </c>
      <c r="D3124" t="str">
        <f>IFERROR(__xludf.DUMMYFUNCTION("""COMPUTED_VALUE"""),"Art 7S2")</f>
        <v>Art 7S2</v>
      </c>
      <c r="E3124" s="31" t="str">
        <f>IFERROR(__xludf.DUMMYFUNCTION("""COMPUTED_VALUE"""),"1a")</f>
        <v>1a</v>
      </c>
      <c r="F3124" s="8">
        <v>1.0</v>
      </c>
      <c r="G3124" s="8">
        <v>1.0</v>
      </c>
      <c r="H3124" s="8">
        <v>1.0</v>
      </c>
      <c r="I3124" s="8">
        <v>1.0</v>
      </c>
      <c r="J3124" s="8">
        <v>1.0</v>
      </c>
      <c r="K3124" s="8">
        <v>1.0</v>
      </c>
      <c r="L3124" s="8">
        <v>6.0</v>
      </c>
      <c r="M3124" s="8"/>
      <c r="N3124" s="8"/>
      <c r="O3124" s="8" t="s">
        <v>849</v>
      </c>
      <c r="P3124" s="8" t="e">
        <v>#N/A</v>
      </c>
    </row>
    <row r="3125">
      <c r="A3125">
        <f>IFERROR(__xludf.DUMMYFUNCTION("""COMPUTED_VALUE"""),7.0)</f>
        <v>7</v>
      </c>
      <c r="B3125">
        <f>IFERROR(__xludf.DUMMYFUNCTION("""COMPUTED_VALUE"""),30059.0)</f>
        <v>30059</v>
      </c>
      <c r="C3125" t="str">
        <f>IFERROR(__xludf.DUMMYFUNCTION("""COMPUTED_VALUE"""),"HALABY NAVARRO, MARCO")</f>
        <v>HALABY NAVARRO, MARCO</v>
      </c>
      <c r="D3125" t="str">
        <f>IFERROR(__xludf.DUMMYFUNCTION("""COMPUTED_VALUE"""),"Tech 7S2")</f>
        <v>Tech 7S2</v>
      </c>
      <c r="E3125" s="31" t="str">
        <f>IFERROR(__xludf.DUMMYFUNCTION("""COMPUTED_VALUE"""),"2b")</f>
        <v>2b</v>
      </c>
      <c r="F3125" s="8">
        <v>1.0</v>
      </c>
      <c r="G3125" s="8">
        <v>1.0</v>
      </c>
      <c r="H3125" s="8">
        <v>1.0</v>
      </c>
      <c r="I3125" s="8">
        <v>1.0</v>
      </c>
      <c r="J3125" s="8">
        <v>1.0</v>
      </c>
      <c r="K3125" s="8">
        <v>1.0</v>
      </c>
      <c r="L3125" s="8">
        <v>6.0</v>
      </c>
      <c r="M3125" s="8"/>
      <c r="N3125" s="8"/>
      <c r="O3125" s="8" t="s">
        <v>850</v>
      </c>
      <c r="P3125" s="8" t="e">
        <v>#N/A</v>
      </c>
    </row>
    <row r="3126">
      <c r="A3126">
        <f>IFERROR(__xludf.DUMMYFUNCTION("""COMPUTED_VALUE"""),7.0)</f>
        <v>7</v>
      </c>
      <c r="B3126">
        <f>IFERROR(__xludf.DUMMYFUNCTION("""COMPUTED_VALUE"""),30166.0)</f>
        <v>30166</v>
      </c>
      <c r="C3126" t="str">
        <f>IFERROR(__xludf.DUMMYFUNCTION("""COMPUTED_VALUE"""),"HERNANDEZ GOMEZ, EMILIA")</f>
        <v>HERNANDEZ GOMEZ, EMILIA</v>
      </c>
      <c r="D3126" t="str">
        <f>IFERROR(__xludf.DUMMYFUNCTION("""COMPUTED_VALUE"""),"Art 7S2")</f>
        <v>Art 7S2</v>
      </c>
      <c r="E3126" s="31" t="str">
        <f>IFERROR(__xludf.DUMMYFUNCTION("""COMPUTED_VALUE"""),"2b")</f>
        <v>2b</v>
      </c>
      <c r="F3126" s="8">
        <v>1.0</v>
      </c>
      <c r="G3126" s="8">
        <v>1.0</v>
      </c>
      <c r="H3126" s="8">
        <v>1.0</v>
      </c>
      <c r="I3126" s="8">
        <v>1.0</v>
      </c>
      <c r="J3126" s="8">
        <v>1.0</v>
      </c>
      <c r="K3126" s="8">
        <v>1.0</v>
      </c>
      <c r="L3126" s="8">
        <v>6.0</v>
      </c>
      <c r="M3126" s="8"/>
      <c r="N3126" s="8"/>
      <c r="O3126" s="8" t="s">
        <v>844</v>
      </c>
      <c r="P3126" s="8" t="e">
        <v>#N/A</v>
      </c>
    </row>
    <row r="3127">
      <c r="A3127">
        <f>IFERROR(__xludf.DUMMYFUNCTION("""COMPUTED_VALUE"""),7.0)</f>
        <v>7</v>
      </c>
      <c r="B3127">
        <f>IFERROR(__xludf.DUMMYFUNCTION("""COMPUTED_VALUE"""),30062.0)</f>
        <v>30062</v>
      </c>
      <c r="C3127" t="str">
        <f>IFERROR(__xludf.DUMMYFUNCTION("""COMPUTED_VALUE"""),"HURTADO FAJARDO, VALERIA")</f>
        <v>HURTADO FAJARDO, VALERIA</v>
      </c>
      <c r="D3127" t="str">
        <f>IFERROR(__xludf.DUMMYFUNCTION("""COMPUTED_VALUE"""),"Tech 7S2")</f>
        <v>Tech 7S2</v>
      </c>
      <c r="E3127" s="31" t="str">
        <f>IFERROR(__xludf.DUMMYFUNCTION("""COMPUTED_VALUE"""),"2b")</f>
        <v>2b</v>
      </c>
      <c r="F3127" s="8">
        <v>1.0</v>
      </c>
      <c r="G3127" s="8">
        <v>1.0</v>
      </c>
      <c r="H3127" s="8">
        <v>1.0</v>
      </c>
      <c r="I3127" s="8">
        <v>1.0</v>
      </c>
      <c r="J3127" s="8">
        <v>1.0</v>
      </c>
      <c r="K3127" s="8">
        <v>1.0</v>
      </c>
      <c r="L3127" s="8">
        <v>6.0</v>
      </c>
      <c r="M3127" s="8"/>
      <c r="N3127" s="8"/>
      <c r="O3127" s="8" t="s">
        <v>850</v>
      </c>
      <c r="P3127" s="8" t="e">
        <v>#N/A</v>
      </c>
    </row>
    <row r="3128">
      <c r="A3128">
        <f>IFERROR(__xludf.DUMMYFUNCTION("""COMPUTED_VALUE"""),7.0)</f>
        <v>7</v>
      </c>
      <c r="B3128">
        <f>IFERROR(__xludf.DUMMYFUNCTION("""COMPUTED_VALUE"""),30064.0)</f>
        <v>30064</v>
      </c>
      <c r="C3128" t="str">
        <f>IFERROR(__xludf.DUMMYFUNCTION("""COMPUTED_VALUE"""),"JARAMILLO ARBELAEZ, TOMAS")</f>
        <v>JARAMILLO ARBELAEZ, TOMAS</v>
      </c>
      <c r="D3128" t="str">
        <f>IFERROR(__xludf.DUMMYFUNCTION("""COMPUTED_VALUE"""),"Band 7S2")</f>
        <v>Band 7S2</v>
      </c>
      <c r="E3128" s="31" t="str">
        <f>IFERROR(__xludf.DUMMYFUNCTION("""COMPUTED_VALUE"""),"1a")</f>
        <v>1a</v>
      </c>
      <c r="F3128" s="8">
        <v>1.0</v>
      </c>
      <c r="G3128" s="8">
        <v>1.0</v>
      </c>
      <c r="H3128" s="8">
        <v>1.0</v>
      </c>
      <c r="I3128" s="8">
        <v>1.0</v>
      </c>
      <c r="J3128" s="8">
        <v>1.0</v>
      </c>
      <c r="K3128" s="8">
        <v>1.0</v>
      </c>
      <c r="L3128" s="8">
        <v>6.0</v>
      </c>
      <c r="M3128" s="8"/>
      <c r="N3128" s="8"/>
      <c r="O3128" s="8" t="s">
        <v>847</v>
      </c>
      <c r="P3128" s="8" t="e">
        <v>#N/A</v>
      </c>
    </row>
    <row r="3129">
      <c r="A3129">
        <f>IFERROR(__xludf.DUMMYFUNCTION("""COMPUTED_VALUE"""),7.0)</f>
        <v>7</v>
      </c>
      <c r="B3129">
        <f>IFERROR(__xludf.DUMMYFUNCTION("""COMPUTED_VALUE"""),30065.0)</f>
        <v>30065</v>
      </c>
      <c r="C3129" t="str">
        <f>IFERROR(__xludf.DUMMYFUNCTION("""COMPUTED_VALUE"""),"JARAMILLO MORA, CARMEN")</f>
        <v>JARAMILLO MORA, CARMEN</v>
      </c>
      <c r="D3129" t="str">
        <f>IFERROR(__xludf.DUMMYFUNCTION("""COMPUTED_VALUE"""),"Band 7S2")</f>
        <v>Band 7S2</v>
      </c>
      <c r="E3129" s="31" t="str">
        <f>IFERROR(__xludf.DUMMYFUNCTION("""COMPUTED_VALUE"""),"2b")</f>
        <v>2b</v>
      </c>
      <c r="F3129" s="8">
        <v>1.0</v>
      </c>
      <c r="G3129" s="8">
        <v>1.0</v>
      </c>
      <c r="H3129" s="8">
        <v>1.0</v>
      </c>
      <c r="I3129" s="8">
        <v>1.0</v>
      </c>
      <c r="J3129" s="8">
        <v>1.0</v>
      </c>
      <c r="K3129" s="8">
        <v>1.0</v>
      </c>
      <c r="L3129" s="8">
        <v>6.0</v>
      </c>
      <c r="M3129" s="8"/>
      <c r="N3129" s="8"/>
      <c r="O3129" s="8" t="s">
        <v>845</v>
      </c>
      <c r="P3129" s="8" t="e">
        <v>#N/A</v>
      </c>
    </row>
    <row r="3130">
      <c r="A3130">
        <f>IFERROR(__xludf.DUMMYFUNCTION("""COMPUTED_VALUE"""),7.0)</f>
        <v>7</v>
      </c>
      <c r="B3130">
        <f>IFERROR(__xludf.DUMMYFUNCTION("""COMPUTED_VALUE"""),30066.0)</f>
        <v>30066</v>
      </c>
      <c r="C3130" t="str">
        <f>IFERROR(__xludf.DUMMYFUNCTION("""COMPUTED_VALUE"""),"JARAMILLO PEÑA, MIGUEL ANTONIO")</f>
        <v>JARAMILLO PEÑA, MIGUEL ANTONIO</v>
      </c>
      <c r="D3130" t="str">
        <f>IFERROR(__xludf.DUMMYFUNCTION("""COMPUTED_VALUE"""),"Band 7S2")</f>
        <v>Band 7S2</v>
      </c>
      <c r="E3130" s="31" t="str">
        <f>IFERROR(__xludf.DUMMYFUNCTION("""COMPUTED_VALUE"""),"4b")</f>
        <v>4b</v>
      </c>
      <c r="F3130" s="8">
        <v>1.0</v>
      </c>
      <c r="G3130" s="8">
        <v>1.0</v>
      </c>
      <c r="H3130" s="8">
        <v>1.0</v>
      </c>
      <c r="I3130" s="8">
        <v>1.0</v>
      </c>
      <c r="J3130" s="8">
        <v>1.0</v>
      </c>
      <c r="K3130" s="8">
        <v>1.0</v>
      </c>
      <c r="L3130" s="8">
        <v>6.0</v>
      </c>
      <c r="M3130" s="8"/>
      <c r="N3130" s="8"/>
      <c r="O3130" s="8" t="s">
        <v>843</v>
      </c>
      <c r="P3130" s="8" t="e">
        <v>#N/A</v>
      </c>
    </row>
    <row r="3131">
      <c r="A3131">
        <f>IFERROR(__xludf.DUMMYFUNCTION("""COMPUTED_VALUE"""),7.0)</f>
        <v>7</v>
      </c>
      <c r="B3131">
        <f>IFERROR(__xludf.DUMMYFUNCTION("""COMPUTED_VALUE"""),30148.0)</f>
        <v>30148</v>
      </c>
      <c r="C3131" t="str">
        <f>IFERROR(__xludf.DUMMYFUNCTION("""COMPUTED_VALUE"""),"JARAMILLO VELASQUEZ, FEDERICO")</f>
        <v>JARAMILLO VELASQUEZ, FEDERICO</v>
      </c>
      <c r="D3131" t="str">
        <f>IFERROR(__xludf.DUMMYFUNCTION("""COMPUTED_VALUE"""),"Tech 7S2")</f>
        <v>Tech 7S2</v>
      </c>
      <c r="E3131" s="31" t="str">
        <f>IFERROR(__xludf.DUMMYFUNCTION("""COMPUTED_VALUE"""),"6a")</f>
        <v>6a</v>
      </c>
      <c r="F3131" s="8">
        <v>1.0</v>
      </c>
      <c r="G3131" s="8">
        <v>1.0</v>
      </c>
      <c r="H3131" s="8">
        <v>1.0</v>
      </c>
      <c r="I3131" s="8">
        <v>1.0</v>
      </c>
      <c r="J3131" s="8">
        <v>1.0</v>
      </c>
      <c r="K3131" s="8">
        <v>1.0</v>
      </c>
      <c r="L3131" s="8">
        <v>6.0</v>
      </c>
      <c r="M3131" s="8"/>
      <c r="N3131" s="8"/>
      <c r="O3131" s="8" t="s">
        <v>846</v>
      </c>
      <c r="P3131" s="8" t="e">
        <v>#N/A</v>
      </c>
    </row>
    <row r="3132">
      <c r="A3132">
        <f>IFERROR(__xludf.DUMMYFUNCTION("""COMPUTED_VALUE"""),7.0)</f>
        <v>7</v>
      </c>
      <c r="B3132">
        <f>IFERROR(__xludf.DUMMYFUNCTION("""COMPUTED_VALUE"""),30068.0)</f>
        <v>30068</v>
      </c>
      <c r="C3132" t="str">
        <f>IFERROR(__xludf.DUMMYFUNCTION("""COMPUTED_VALUE"""),"LIBREROS ZULUAGA, JOSHUA")</f>
        <v>LIBREROS ZULUAGA, JOSHUA</v>
      </c>
      <c r="D3132" t="str">
        <f>IFERROR(__xludf.DUMMYFUNCTION("""COMPUTED_VALUE"""),"Tech 7S2")</f>
        <v>Tech 7S2</v>
      </c>
      <c r="E3132" s="31" t="str">
        <f>IFERROR(__xludf.DUMMYFUNCTION("""COMPUTED_VALUE"""),"2b")</f>
        <v>2b</v>
      </c>
      <c r="F3132" s="8">
        <v>1.0</v>
      </c>
      <c r="G3132" s="8">
        <v>1.0</v>
      </c>
      <c r="H3132" s="8">
        <v>1.0</v>
      </c>
      <c r="I3132" s="8">
        <v>1.0</v>
      </c>
      <c r="J3132" s="8">
        <v>1.0</v>
      </c>
      <c r="K3132" s="8">
        <v>1.0</v>
      </c>
      <c r="L3132" s="8">
        <v>6.0</v>
      </c>
      <c r="M3132" s="8"/>
      <c r="N3132" s="8"/>
      <c r="O3132" s="8" t="s">
        <v>850</v>
      </c>
      <c r="P3132" s="8" t="e">
        <v>#N/A</v>
      </c>
    </row>
    <row r="3133">
      <c r="A3133">
        <f>IFERROR(__xludf.DUMMYFUNCTION("""COMPUTED_VALUE"""),7.0)</f>
        <v>7</v>
      </c>
      <c r="B3133">
        <f>IFERROR(__xludf.DUMMYFUNCTION("""COMPUTED_VALUE"""),30069.0)</f>
        <v>30069</v>
      </c>
      <c r="C3133" t="str">
        <f>IFERROR(__xludf.DUMMYFUNCTION("""COMPUTED_VALUE"""),"LLANO PIEDRAHITA, TOMAS")</f>
        <v>LLANO PIEDRAHITA, TOMAS</v>
      </c>
      <c r="D3133" t="str">
        <f>IFERROR(__xludf.DUMMYFUNCTION("""COMPUTED_VALUE"""),"Band 7S2")</f>
        <v>Band 7S2</v>
      </c>
      <c r="E3133" s="31" t="str">
        <f>IFERROR(__xludf.DUMMYFUNCTION("""COMPUTED_VALUE"""),"2b")</f>
        <v>2b</v>
      </c>
      <c r="F3133" s="8">
        <v>1.0</v>
      </c>
      <c r="G3133" s="8">
        <v>1.0</v>
      </c>
      <c r="H3133" s="8">
        <v>1.0</v>
      </c>
      <c r="I3133" s="8">
        <v>1.0</v>
      </c>
      <c r="J3133" s="8">
        <v>1.0</v>
      </c>
      <c r="K3133" s="8">
        <v>1.0</v>
      </c>
      <c r="L3133" s="8">
        <v>6.0</v>
      </c>
      <c r="M3133" s="8"/>
      <c r="N3133" s="8"/>
      <c r="O3133" s="8" t="s">
        <v>845</v>
      </c>
      <c r="P3133" s="8" t="e">
        <v>#N/A</v>
      </c>
    </row>
    <row r="3134">
      <c r="A3134">
        <f>IFERROR(__xludf.DUMMYFUNCTION("""COMPUTED_VALUE"""),7.0)</f>
        <v>7</v>
      </c>
      <c r="B3134">
        <f>IFERROR(__xludf.DUMMYFUNCTION("""COMPUTED_VALUE"""),30070.0)</f>
        <v>30070</v>
      </c>
      <c r="C3134" t="str">
        <f>IFERROR(__xludf.DUMMYFUNCTION("""COMPUTED_VALUE"""),"LONDOÑO CUARTAS, PABLO")</f>
        <v>LONDOÑO CUARTAS, PABLO</v>
      </c>
      <c r="D3134" t="str">
        <f>IFERROR(__xludf.DUMMYFUNCTION("""COMPUTED_VALUE"""),"Band 7S2")</f>
        <v>Band 7S2</v>
      </c>
      <c r="E3134" s="31" t="str">
        <f>IFERROR(__xludf.DUMMYFUNCTION("""COMPUTED_VALUE"""),"4b")</f>
        <v>4b</v>
      </c>
      <c r="F3134" s="8">
        <v>1.0</v>
      </c>
      <c r="G3134" s="8">
        <v>1.0</v>
      </c>
      <c r="H3134" s="8">
        <v>1.0</v>
      </c>
      <c r="I3134" s="8">
        <v>1.0</v>
      </c>
      <c r="J3134" s="8">
        <v>1.0</v>
      </c>
      <c r="K3134" s="8">
        <v>1.0</v>
      </c>
      <c r="L3134" s="8">
        <v>6.0</v>
      </c>
      <c r="M3134" s="8"/>
      <c r="N3134" s="8"/>
      <c r="O3134" s="8" t="s">
        <v>843</v>
      </c>
      <c r="P3134" s="8" t="e">
        <v>#N/A</v>
      </c>
    </row>
    <row r="3135">
      <c r="A3135">
        <f>IFERROR(__xludf.DUMMYFUNCTION("""COMPUTED_VALUE"""),7.0)</f>
        <v>7</v>
      </c>
      <c r="B3135">
        <f>IFERROR(__xludf.DUMMYFUNCTION("""COMPUTED_VALUE"""),30155.0)</f>
        <v>30155</v>
      </c>
      <c r="C3135" t="str">
        <f>IFERROR(__xludf.DUMMYFUNCTION("""COMPUTED_VALUE"""),"LONDOÑO JARAMILLO, MARIANO")</f>
        <v>LONDOÑO JARAMILLO, MARIANO</v>
      </c>
      <c r="D3135" t="str">
        <f>IFERROR(__xludf.DUMMYFUNCTION("""COMPUTED_VALUE"""),"Band 7S2")</f>
        <v>Band 7S2</v>
      </c>
      <c r="E3135" s="31" t="str">
        <f>IFERROR(__xludf.DUMMYFUNCTION("""COMPUTED_VALUE"""),"1a")</f>
        <v>1a</v>
      </c>
      <c r="F3135" s="8">
        <v>1.0</v>
      </c>
      <c r="G3135" s="8">
        <v>1.0</v>
      </c>
      <c r="H3135" s="8">
        <v>1.0</v>
      </c>
      <c r="I3135" s="8">
        <v>1.0</v>
      </c>
      <c r="J3135" s="8">
        <v>1.0</v>
      </c>
      <c r="K3135" s="8">
        <v>1.0</v>
      </c>
      <c r="L3135" s="8">
        <v>6.0</v>
      </c>
      <c r="M3135" s="8"/>
      <c r="N3135" s="8"/>
      <c r="O3135" s="8" t="s">
        <v>847</v>
      </c>
      <c r="P3135" s="8" t="e">
        <v>#N/A</v>
      </c>
    </row>
    <row r="3136">
      <c r="A3136">
        <f>IFERROR(__xludf.DUMMYFUNCTION("""COMPUTED_VALUE"""),7.0)</f>
        <v>7</v>
      </c>
      <c r="B3136">
        <f>IFERROR(__xludf.DUMMYFUNCTION("""COMPUTED_VALUE"""),30072.0)</f>
        <v>30072</v>
      </c>
      <c r="C3136" t="str">
        <f>IFERROR(__xludf.DUMMYFUNCTION("""COMPUTED_VALUE"""),"LOZANO NAVARRO, GREGORIO")</f>
        <v>LOZANO NAVARRO, GREGORIO</v>
      </c>
      <c r="D3136" t="str">
        <f>IFERROR(__xludf.DUMMYFUNCTION("""COMPUTED_VALUE"""),"Band 7S2")</f>
        <v>Band 7S2</v>
      </c>
      <c r="E3136" s="31" t="str">
        <f>IFERROR(__xludf.DUMMYFUNCTION("""COMPUTED_VALUE"""),"4b")</f>
        <v>4b</v>
      </c>
      <c r="F3136" s="8">
        <v>1.0</v>
      </c>
      <c r="G3136" s="8">
        <v>1.0</v>
      </c>
      <c r="H3136" s="8">
        <v>1.0</v>
      </c>
      <c r="I3136" s="8">
        <v>1.0</v>
      </c>
      <c r="J3136" s="8">
        <v>1.0</v>
      </c>
      <c r="K3136" s="8">
        <v>1.0</v>
      </c>
      <c r="L3136" s="8">
        <v>6.0</v>
      </c>
      <c r="M3136" s="8"/>
      <c r="N3136" s="8"/>
      <c r="O3136" s="8" t="s">
        <v>843</v>
      </c>
      <c r="P3136" s="8" t="e">
        <v>#N/A</v>
      </c>
    </row>
    <row r="3137">
      <c r="A3137">
        <f>IFERROR(__xludf.DUMMYFUNCTION("""COMPUTED_VALUE"""),7.0)</f>
        <v>7</v>
      </c>
      <c r="B3137">
        <f>IFERROR(__xludf.DUMMYFUNCTION("""COMPUTED_VALUE"""),30074.0)</f>
        <v>30074</v>
      </c>
      <c r="C3137" t="str">
        <f>IFERROR(__xludf.DUMMYFUNCTION("""COMPUTED_VALUE"""),"MACIA TORO, ALICIA")</f>
        <v>MACIA TORO, ALICIA</v>
      </c>
      <c r="D3137" t="str">
        <f>IFERROR(__xludf.DUMMYFUNCTION("""COMPUTED_VALUE"""),"Band 7S2")</f>
        <v>Band 7S2</v>
      </c>
      <c r="E3137" s="31" t="str">
        <f>IFERROR(__xludf.DUMMYFUNCTION("""COMPUTED_VALUE"""),"2b")</f>
        <v>2b</v>
      </c>
      <c r="F3137" s="8">
        <v>1.0</v>
      </c>
      <c r="G3137" s="8">
        <v>1.0</v>
      </c>
      <c r="H3137" s="8">
        <v>1.0</v>
      </c>
      <c r="I3137" s="8">
        <v>1.0</v>
      </c>
      <c r="J3137" s="8">
        <v>1.0</v>
      </c>
      <c r="K3137" s="8">
        <v>1.0</v>
      </c>
      <c r="L3137" s="8">
        <v>6.0</v>
      </c>
      <c r="M3137" s="8"/>
      <c r="N3137" s="8"/>
      <c r="O3137" s="8" t="s">
        <v>845</v>
      </c>
      <c r="P3137" s="8" t="e">
        <v>#N/A</v>
      </c>
    </row>
    <row r="3138">
      <c r="A3138">
        <f>IFERROR(__xludf.DUMMYFUNCTION("""COMPUTED_VALUE"""),7.0)</f>
        <v>7</v>
      </c>
      <c r="B3138">
        <f>IFERROR(__xludf.DUMMYFUNCTION("""COMPUTED_VALUE"""),30075.0)</f>
        <v>30075</v>
      </c>
      <c r="C3138" t="str">
        <f>IFERROR(__xludf.DUMMYFUNCTION("""COMPUTED_VALUE"""),"MANRIQUE CUESTA, VALERIA")</f>
        <v>MANRIQUE CUESTA, VALERIA</v>
      </c>
      <c r="D3138" t="str">
        <f>IFERROR(__xludf.DUMMYFUNCTION("""COMPUTED_VALUE"""),"Tech 7S2")</f>
        <v>Tech 7S2</v>
      </c>
      <c r="E3138" s="31" t="str">
        <f>IFERROR(__xludf.DUMMYFUNCTION("""COMPUTED_VALUE"""),"1a")</f>
        <v>1a</v>
      </c>
      <c r="F3138" s="8">
        <v>1.0</v>
      </c>
      <c r="G3138" s="8">
        <v>1.0</v>
      </c>
      <c r="H3138" s="8">
        <v>1.0</v>
      </c>
      <c r="I3138" s="8">
        <v>1.0</v>
      </c>
      <c r="J3138" s="8">
        <v>1.0</v>
      </c>
      <c r="K3138" s="8">
        <v>1.0</v>
      </c>
      <c r="L3138" s="8">
        <v>6.0</v>
      </c>
      <c r="M3138" s="8"/>
      <c r="N3138" s="8"/>
      <c r="O3138" s="8" t="s">
        <v>848</v>
      </c>
      <c r="P3138" s="8" t="e">
        <v>#N/A</v>
      </c>
    </row>
    <row r="3139">
      <c r="A3139">
        <f>IFERROR(__xludf.DUMMYFUNCTION("""COMPUTED_VALUE"""),7.0)</f>
        <v>7</v>
      </c>
      <c r="B3139">
        <f>IFERROR(__xludf.DUMMYFUNCTION("""COMPUTED_VALUE"""),30076.0)</f>
        <v>30076</v>
      </c>
      <c r="C3139" t="str">
        <f>IFERROR(__xludf.DUMMYFUNCTION("""COMPUTED_VALUE"""),"MARTINEZ OROZCO, GABRIELA")</f>
        <v>MARTINEZ OROZCO, GABRIELA</v>
      </c>
      <c r="D3139" t="str">
        <f>IFERROR(__xludf.DUMMYFUNCTION("""COMPUTED_VALUE"""),"Tech 7S2")</f>
        <v>Tech 7S2</v>
      </c>
      <c r="E3139" s="31" t="str">
        <f>IFERROR(__xludf.DUMMYFUNCTION("""COMPUTED_VALUE"""),"6a")</f>
        <v>6a</v>
      </c>
      <c r="F3139" s="8">
        <v>1.0</v>
      </c>
      <c r="G3139" s="8">
        <v>1.0</v>
      </c>
      <c r="H3139" s="8">
        <v>1.0</v>
      </c>
      <c r="I3139" s="8">
        <v>1.0</v>
      </c>
      <c r="J3139" s="8">
        <v>1.0</v>
      </c>
      <c r="K3139" s="8">
        <v>1.0</v>
      </c>
      <c r="L3139" s="8">
        <v>6.0</v>
      </c>
      <c r="M3139" s="8"/>
      <c r="N3139" s="8"/>
      <c r="O3139" s="8" t="s">
        <v>846</v>
      </c>
      <c r="P3139" s="8" t="e">
        <v>#N/A</v>
      </c>
    </row>
    <row r="3140">
      <c r="A3140">
        <f>IFERROR(__xludf.DUMMYFUNCTION("""COMPUTED_VALUE"""),7.0)</f>
        <v>7</v>
      </c>
      <c r="B3140">
        <f>IFERROR(__xludf.DUMMYFUNCTION("""COMPUTED_VALUE"""),30077.0)</f>
        <v>30077</v>
      </c>
      <c r="C3140" t="str">
        <f>IFERROR(__xludf.DUMMYFUNCTION("""COMPUTED_VALUE"""),"MC LEAN HIDRON, SIMON")</f>
        <v>MC LEAN HIDRON, SIMON</v>
      </c>
      <c r="D3140" t="str">
        <f>IFERROR(__xludf.DUMMYFUNCTION("""COMPUTED_VALUE"""),"Band 7S2")</f>
        <v>Band 7S2</v>
      </c>
      <c r="E3140" s="31" t="str">
        <f>IFERROR(__xludf.DUMMYFUNCTION("""COMPUTED_VALUE"""),"4b")</f>
        <v>4b</v>
      </c>
      <c r="F3140" s="8">
        <v>1.0</v>
      </c>
      <c r="G3140" s="8">
        <v>1.0</v>
      </c>
      <c r="H3140" s="8">
        <v>1.0</v>
      </c>
      <c r="I3140" s="8">
        <v>1.0</v>
      </c>
      <c r="J3140" s="8">
        <v>1.0</v>
      </c>
      <c r="K3140" s="8">
        <v>1.0</v>
      </c>
      <c r="L3140" s="8">
        <v>6.0</v>
      </c>
      <c r="M3140" s="8"/>
      <c r="N3140" s="8"/>
      <c r="O3140" s="8" t="s">
        <v>843</v>
      </c>
      <c r="P3140" s="8" t="e">
        <v>#N/A</v>
      </c>
    </row>
    <row r="3141">
      <c r="A3141">
        <f>IFERROR(__xludf.DUMMYFUNCTION("""COMPUTED_VALUE"""),7.0)</f>
        <v>7</v>
      </c>
      <c r="B3141">
        <f>IFERROR(__xludf.DUMMYFUNCTION("""COMPUTED_VALUE"""),30174.0)</f>
        <v>30174</v>
      </c>
      <c r="C3141" t="str">
        <f>IFERROR(__xludf.DUMMYFUNCTION("""COMPUTED_VALUE"""),"MEJIA BOTERO, FRANCISCA")</f>
        <v>MEJIA BOTERO, FRANCISCA</v>
      </c>
      <c r="D3141" t="str">
        <f>IFERROR(__xludf.DUMMYFUNCTION("""COMPUTED_VALUE"""),"Art 7S2")</f>
        <v>Art 7S2</v>
      </c>
      <c r="E3141" s="31" t="str">
        <f>IFERROR(__xludf.DUMMYFUNCTION("""COMPUTED_VALUE"""),"1a")</f>
        <v>1a</v>
      </c>
      <c r="F3141" s="8">
        <v>1.0</v>
      </c>
      <c r="G3141" s="8">
        <v>1.0</v>
      </c>
      <c r="H3141" s="8">
        <v>1.0</v>
      </c>
      <c r="I3141" s="8">
        <v>1.0</v>
      </c>
      <c r="J3141" s="8">
        <v>1.0</v>
      </c>
      <c r="K3141" s="8">
        <v>1.0</v>
      </c>
      <c r="L3141" s="8">
        <v>6.0</v>
      </c>
      <c r="M3141" s="8"/>
      <c r="N3141" s="8"/>
      <c r="O3141" s="8" t="s">
        <v>849</v>
      </c>
      <c r="P3141" s="8" t="e">
        <v>#N/A</v>
      </c>
    </row>
    <row r="3142">
      <c r="A3142">
        <f>IFERROR(__xludf.DUMMYFUNCTION("""COMPUTED_VALUE"""),7.0)</f>
        <v>7</v>
      </c>
      <c r="B3142">
        <f>IFERROR(__xludf.DUMMYFUNCTION("""COMPUTED_VALUE"""),30078.0)</f>
        <v>30078</v>
      </c>
      <c r="C3142" t="str">
        <f>IFERROR(__xludf.DUMMYFUNCTION("""COMPUTED_VALUE"""),"MESA GARCIA, ISABEL")</f>
        <v>MESA GARCIA, ISABEL</v>
      </c>
      <c r="D3142" t="str">
        <f>IFERROR(__xludf.DUMMYFUNCTION("""COMPUTED_VALUE"""),"Tech 7S2")</f>
        <v>Tech 7S2</v>
      </c>
      <c r="E3142" s="31" t="str">
        <f>IFERROR(__xludf.DUMMYFUNCTION("""COMPUTED_VALUE"""),"6a")</f>
        <v>6a</v>
      </c>
      <c r="F3142" s="8">
        <v>1.0</v>
      </c>
      <c r="G3142" s="8">
        <v>1.0</v>
      </c>
      <c r="H3142" s="8">
        <v>1.0</v>
      </c>
      <c r="I3142" s="8">
        <v>1.0</v>
      </c>
      <c r="J3142" s="8">
        <v>1.0</v>
      </c>
      <c r="K3142" s="8">
        <v>1.0</v>
      </c>
      <c r="L3142" s="8">
        <v>6.0</v>
      </c>
      <c r="M3142" s="8"/>
      <c r="N3142" s="8"/>
      <c r="O3142" s="8" t="s">
        <v>846</v>
      </c>
      <c r="P3142" s="8" t="e">
        <v>#N/A</v>
      </c>
    </row>
    <row r="3143">
      <c r="A3143">
        <f>IFERROR(__xludf.DUMMYFUNCTION("""COMPUTED_VALUE"""),7.0)</f>
        <v>7</v>
      </c>
      <c r="B3143">
        <f>IFERROR(__xludf.DUMMYFUNCTION("""COMPUTED_VALUE"""),30079.0)</f>
        <v>30079</v>
      </c>
      <c r="C3143" t="str">
        <f>IFERROR(__xludf.DUMMYFUNCTION("""COMPUTED_VALUE"""),"MESA RESTREPO, BRUNO")</f>
        <v>MESA RESTREPO, BRUNO</v>
      </c>
      <c r="D3143" t="str">
        <f>IFERROR(__xludf.DUMMYFUNCTION("""COMPUTED_VALUE"""),"Band 7S2")</f>
        <v>Band 7S2</v>
      </c>
      <c r="E3143" s="31" t="str">
        <f>IFERROR(__xludf.DUMMYFUNCTION("""COMPUTED_VALUE"""),"1a")</f>
        <v>1a</v>
      </c>
      <c r="F3143" s="8">
        <v>1.0</v>
      </c>
      <c r="G3143" s="8">
        <v>1.0</v>
      </c>
      <c r="H3143" s="8">
        <v>1.0</v>
      </c>
      <c r="I3143" s="8">
        <v>1.0</v>
      </c>
      <c r="J3143" s="8">
        <v>1.0</v>
      </c>
      <c r="K3143" s="8">
        <v>1.0</v>
      </c>
      <c r="L3143" s="8">
        <v>6.0</v>
      </c>
      <c r="M3143" s="8"/>
      <c r="N3143" s="8"/>
      <c r="O3143" s="8" t="s">
        <v>847</v>
      </c>
      <c r="P3143" s="8" t="e">
        <v>#N/A</v>
      </c>
    </row>
    <row r="3144">
      <c r="A3144">
        <f>IFERROR(__xludf.DUMMYFUNCTION("""COMPUTED_VALUE"""),7.0)</f>
        <v>7</v>
      </c>
      <c r="B3144">
        <f>IFERROR(__xludf.DUMMYFUNCTION("""COMPUTED_VALUE"""),30080.0)</f>
        <v>30080</v>
      </c>
      <c r="C3144" t="str">
        <f>IFERROR(__xludf.DUMMYFUNCTION("""COMPUTED_VALUE"""),"MEZA SUAREZ, NIKOLAI")</f>
        <v>MEZA SUAREZ, NIKOLAI</v>
      </c>
      <c r="D3144" t="str">
        <f>IFERROR(__xludf.DUMMYFUNCTION("""COMPUTED_VALUE"""),"Tech 7S2")</f>
        <v>Tech 7S2</v>
      </c>
      <c r="E3144" s="31" t="str">
        <f>IFERROR(__xludf.DUMMYFUNCTION("""COMPUTED_VALUE"""),"1a")</f>
        <v>1a</v>
      </c>
      <c r="F3144" s="8">
        <v>1.0</v>
      </c>
      <c r="G3144" s="8">
        <v>1.0</v>
      </c>
      <c r="H3144" s="8">
        <v>1.0</v>
      </c>
      <c r="I3144" s="8">
        <v>1.0</v>
      </c>
      <c r="J3144" s="8">
        <v>1.0</v>
      </c>
      <c r="K3144" s="8">
        <v>1.0</v>
      </c>
      <c r="L3144" s="8">
        <v>6.0</v>
      </c>
      <c r="M3144" s="8"/>
      <c r="N3144" s="8"/>
      <c r="O3144" s="8" t="s">
        <v>848</v>
      </c>
      <c r="P3144" s="8" t="e">
        <v>#N/A</v>
      </c>
    </row>
    <row r="3145">
      <c r="A3145">
        <f>IFERROR(__xludf.DUMMYFUNCTION("""COMPUTED_VALUE"""),7.0)</f>
        <v>7</v>
      </c>
      <c r="B3145">
        <f>IFERROR(__xludf.DUMMYFUNCTION("""COMPUTED_VALUE"""),30081.0)</f>
        <v>30081</v>
      </c>
      <c r="C3145" t="str">
        <f>IFERROR(__xludf.DUMMYFUNCTION("""COMPUTED_VALUE"""),"MOLINA HOYOS, AMALIA")</f>
        <v>MOLINA HOYOS, AMALIA</v>
      </c>
      <c r="D3145" t="str">
        <f>IFERROR(__xludf.DUMMYFUNCTION("""COMPUTED_VALUE"""),"Band 7S2")</f>
        <v>Band 7S2</v>
      </c>
      <c r="E3145" s="31" t="str">
        <f>IFERROR(__xludf.DUMMYFUNCTION("""COMPUTED_VALUE"""),"2b")</f>
        <v>2b</v>
      </c>
      <c r="F3145" s="8">
        <v>1.0</v>
      </c>
      <c r="G3145" s="8">
        <v>1.0</v>
      </c>
      <c r="H3145" s="8">
        <v>1.0</v>
      </c>
      <c r="I3145" s="8">
        <v>1.0</v>
      </c>
      <c r="J3145" s="8">
        <v>1.0</v>
      </c>
      <c r="K3145" s="8">
        <v>1.0</v>
      </c>
      <c r="L3145" s="8">
        <v>6.0</v>
      </c>
      <c r="M3145" s="8"/>
      <c r="N3145" s="8"/>
      <c r="O3145" s="8" t="s">
        <v>845</v>
      </c>
      <c r="P3145" s="8" t="e">
        <v>#N/A</v>
      </c>
    </row>
    <row r="3146">
      <c r="A3146">
        <f>IFERROR(__xludf.DUMMYFUNCTION("""COMPUTED_VALUE"""),7.0)</f>
        <v>7</v>
      </c>
      <c r="B3146">
        <f>IFERROR(__xludf.DUMMYFUNCTION("""COMPUTED_VALUE"""),30082.0)</f>
        <v>30082</v>
      </c>
      <c r="C3146" t="str">
        <f>IFERROR(__xludf.DUMMYFUNCTION("""COMPUTED_VALUE"""),"MONSALVE HOYOS, JUAN JOSE")</f>
        <v>MONSALVE HOYOS, JUAN JOSE</v>
      </c>
      <c r="D3146" t="str">
        <f>IFERROR(__xludf.DUMMYFUNCTION("""COMPUTED_VALUE"""),"Tech 7S2")</f>
        <v>Tech 7S2</v>
      </c>
      <c r="E3146" s="31" t="str">
        <f>IFERROR(__xludf.DUMMYFUNCTION("""COMPUTED_VALUE"""),"2b")</f>
        <v>2b</v>
      </c>
      <c r="F3146" s="8">
        <v>1.0</v>
      </c>
      <c r="G3146" s="8">
        <v>1.0</v>
      </c>
      <c r="H3146" s="8">
        <v>1.0</v>
      </c>
      <c r="I3146" s="8">
        <v>1.0</v>
      </c>
      <c r="J3146" s="8">
        <v>1.0</v>
      </c>
      <c r="K3146" s="8">
        <v>1.0</v>
      </c>
      <c r="L3146" s="8">
        <v>6.0</v>
      </c>
      <c r="M3146" s="8"/>
      <c r="N3146" s="8"/>
      <c r="O3146" s="8" t="s">
        <v>850</v>
      </c>
      <c r="P3146" s="8" t="e">
        <v>#N/A</v>
      </c>
    </row>
    <row r="3147">
      <c r="A3147">
        <f>IFERROR(__xludf.DUMMYFUNCTION("""COMPUTED_VALUE"""),7.0)</f>
        <v>7</v>
      </c>
      <c r="B3147">
        <f>IFERROR(__xludf.DUMMYFUNCTION("""COMPUTED_VALUE"""),30142.0)</f>
        <v>30142</v>
      </c>
      <c r="C3147" t="str">
        <f>IFERROR(__xludf.DUMMYFUNCTION("""COMPUTED_VALUE"""),"MONTOYA GOMEZ, RAFAELA")</f>
        <v>MONTOYA GOMEZ, RAFAELA</v>
      </c>
      <c r="D3147" t="str">
        <f>IFERROR(__xludf.DUMMYFUNCTION("""COMPUTED_VALUE"""),"Tech 7S2")</f>
        <v>Tech 7S2</v>
      </c>
      <c r="E3147" s="31" t="str">
        <f>IFERROR(__xludf.DUMMYFUNCTION("""COMPUTED_VALUE"""),"6a")</f>
        <v>6a</v>
      </c>
      <c r="F3147" s="8">
        <v>1.0</v>
      </c>
      <c r="G3147" s="8">
        <v>1.0</v>
      </c>
      <c r="H3147" s="8">
        <v>1.0</v>
      </c>
      <c r="I3147" s="8">
        <v>1.0</v>
      </c>
      <c r="J3147" s="8">
        <v>1.0</v>
      </c>
      <c r="K3147" s="8">
        <v>1.0</v>
      </c>
      <c r="L3147" s="8">
        <v>6.0</v>
      </c>
      <c r="M3147" s="8"/>
      <c r="N3147" s="8"/>
      <c r="O3147" s="8" t="s">
        <v>846</v>
      </c>
      <c r="P3147" s="8" t="e">
        <v>#N/A</v>
      </c>
    </row>
    <row r="3148">
      <c r="A3148">
        <f>IFERROR(__xludf.DUMMYFUNCTION("""COMPUTED_VALUE"""),7.0)</f>
        <v>7</v>
      </c>
      <c r="B3148">
        <f>IFERROR(__xludf.DUMMYFUNCTION("""COMPUTED_VALUE"""),30084.0)</f>
        <v>30084</v>
      </c>
      <c r="C3148" t="str">
        <f>IFERROR(__xludf.DUMMYFUNCTION("""COMPUTED_VALUE"""),"MONTOYA OCHOA, SARA")</f>
        <v>MONTOYA OCHOA, SARA</v>
      </c>
      <c r="D3148" t="str">
        <f>IFERROR(__xludf.DUMMYFUNCTION("""COMPUTED_VALUE"""),"Art 7S2")</f>
        <v>Art 7S2</v>
      </c>
      <c r="E3148" s="31" t="str">
        <f>IFERROR(__xludf.DUMMYFUNCTION("""COMPUTED_VALUE"""),"1a")</f>
        <v>1a</v>
      </c>
      <c r="F3148" s="8">
        <v>1.0</v>
      </c>
      <c r="G3148" s="8">
        <v>1.0</v>
      </c>
      <c r="H3148" s="8">
        <v>1.0</v>
      </c>
      <c r="I3148" s="8">
        <v>1.0</v>
      </c>
      <c r="J3148" s="8">
        <v>1.0</v>
      </c>
      <c r="K3148" s="8">
        <v>1.0</v>
      </c>
      <c r="L3148" s="8">
        <v>6.0</v>
      </c>
      <c r="M3148" s="8"/>
      <c r="N3148" s="8"/>
      <c r="O3148" s="8" t="s">
        <v>849</v>
      </c>
      <c r="P3148" s="8" t="e">
        <v>#N/A</v>
      </c>
    </row>
    <row r="3149">
      <c r="A3149">
        <f>IFERROR(__xludf.DUMMYFUNCTION("""COMPUTED_VALUE"""),7.0)</f>
        <v>7</v>
      </c>
      <c r="B3149">
        <f>IFERROR(__xludf.DUMMYFUNCTION("""COMPUTED_VALUE"""),30085.0)</f>
        <v>30085</v>
      </c>
      <c r="C3149" t="str">
        <f>IFERROR(__xludf.DUMMYFUNCTION("""COMPUTED_VALUE"""),"MORA LE FLOHIC, AGUSTIN")</f>
        <v>MORA LE FLOHIC, AGUSTIN</v>
      </c>
      <c r="D3149" t="str">
        <f>IFERROR(__xludf.DUMMYFUNCTION("""COMPUTED_VALUE"""),"Tech 7S2")</f>
        <v>Tech 7S2</v>
      </c>
      <c r="E3149" s="31" t="str">
        <f>IFERROR(__xludf.DUMMYFUNCTION("""COMPUTED_VALUE"""),"2b")</f>
        <v>2b</v>
      </c>
      <c r="F3149" s="8">
        <v>1.0</v>
      </c>
      <c r="G3149" s="8">
        <v>1.0</v>
      </c>
      <c r="H3149" s="8">
        <v>1.0</v>
      </c>
      <c r="I3149" s="8">
        <v>1.0</v>
      </c>
      <c r="J3149" s="8">
        <v>1.0</v>
      </c>
      <c r="K3149" s="8">
        <v>1.0</v>
      </c>
      <c r="L3149" s="8">
        <v>6.0</v>
      </c>
      <c r="M3149" s="8"/>
      <c r="N3149" s="8"/>
      <c r="O3149" s="8" t="s">
        <v>850</v>
      </c>
      <c r="P3149" s="8" t="e">
        <v>#N/A</v>
      </c>
    </row>
    <row r="3150">
      <c r="A3150">
        <f>IFERROR(__xludf.DUMMYFUNCTION("""COMPUTED_VALUE"""),7.0)</f>
        <v>7</v>
      </c>
      <c r="B3150">
        <f>IFERROR(__xludf.DUMMYFUNCTION("""COMPUTED_VALUE"""),30086.0)</f>
        <v>30086</v>
      </c>
      <c r="C3150" t="str">
        <f>IFERROR(__xludf.DUMMYFUNCTION("""COMPUTED_VALUE"""),"MORA MEJIA, EMILIA")</f>
        <v>MORA MEJIA, EMILIA</v>
      </c>
      <c r="D3150" t="str">
        <f>IFERROR(__xludf.DUMMYFUNCTION("""COMPUTED_VALUE"""),"Tech 7S2")</f>
        <v>Tech 7S2</v>
      </c>
      <c r="E3150" s="31" t="str">
        <f>IFERROR(__xludf.DUMMYFUNCTION("""COMPUTED_VALUE"""),"6a")</f>
        <v>6a</v>
      </c>
      <c r="F3150" s="8">
        <v>1.0</v>
      </c>
      <c r="G3150" s="8">
        <v>1.0</v>
      </c>
      <c r="H3150" s="8">
        <v>1.0</v>
      </c>
      <c r="I3150" s="8">
        <v>1.0</v>
      </c>
      <c r="J3150" s="8">
        <v>1.0</v>
      </c>
      <c r="K3150" s="8">
        <v>1.0</v>
      </c>
      <c r="L3150" s="8">
        <v>6.0</v>
      </c>
      <c r="M3150" s="8"/>
      <c r="N3150" s="8"/>
      <c r="O3150" s="8" t="s">
        <v>846</v>
      </c>
      <c r="P3150" s="8" t="e">
        <v>#N/A</v>
      </c>
    </row>
    <row r="3151">
      <c r="A3151">
        <f>IFERROR(__xludf.DUMMYFUNCTION("""COMPUTED_VALUE"""),7.0)</f>
        <v>7</v>
      </c>
      <c r="B3151">
        <f>IFERROR(__xludf.DUMMYFUNCTION("""COMPUTED_VALUE"""),30087.0)</f>
        <v>30087</v>
      </c>
      <c r="C3151" t="str">
        <f>IFERROR(__xludf.DUMMYFUNCTION("""COMPUTED_VALUE"""),"MORENO BETANCOURT, LUCIANA")</f>
        <v>MORENO BETANCOURT, LUCIANA</v>
      </c>
      <c r="D3151" t="str">
        <f>IFERROR(__xludf.DUMMYFUNCTION("""COMPUTED_VALUE"""),"Tech 7S2")</f>
        <v>Tech 7S2</v>
      </c>
      <c r="E3151" s="31" t="str">
        <f>IFERROR(__xludf.DUMMYFUNCTION("""COMPUTED_VALUE"""),"1a")</f>
        <v>1a</v>
      </c>
      <c r="F3151" s="8">
        <v>1.0</v>
      </c>
      <c r="G3151" s="8">
        <v>1.0</v>
      </c>
      <c r="H3151" s="8">
        <v>1.0</v>
      </c>
      <c r="I3151" s="8">
        <v>1.0</v>
      </c>
      <c r="J3151" s="8">
        <v>1.0</v>
      </c>
      <c r="K3151" s="8">
        <v>1.0</v>
      </c>
      <c r="L3151" s="8">
        <v>6.0</v>
      </c>
      <c r="M3151" s="8"/>
      <c r="N3151" s="8"/>
      <c r="O3151" s="8" t="s">
        <v>848</v>
      </c>
      <c r="P3151" s="8" t="e">
        <v>#N/A</v>
      </c>
    </row>
    <row r="3152">
      <c r="A3152">
        <f>IFERROR(__xludf.DUMMYFUNCTION("""COMPUTED_VALUE"""),7.0)</f>
        <v>7</v>
      </c>
      <c r="B3152">
        <f>IFERROR(__xludf.DUMMYFUNCTION("""COMPUTED_VALUE"""),30161.0)</f>
        <v>30161</v>
      </c>
      <c r="C3152" t="str">
        <f>IFERROR(__xludf.DUMMYFUNCTION("""COMPUTED_VALUE"""),"NAVARRA GOMEZ, CHLOE")</f>
        <v>NAVARRA GOMEZ, CHLOE</v>
      </c>
      <c r="D3152" t="str">
        <f>IFERROR(__xludf.DUMMYFUNCTION("""COMPUTED_VALUE"""),"Band 7S2")</f>
        <v>Band 7S2</v>
      </c>
      <c r="E3152" s="31" t="str">
        <f>IFERROR(__xludf.DUMMYFUNCTION("""COMPUTED_VALUE"""),"4b")</f>
        <v>4b</v>
      </c>
      <c r="F3152" s="8">
        <v>1.0</v>
      </c>
      <c r="G3152" s="8">
        <v>1.0</v>
      </c>
      <c r="H3152" s="8">
        <v>1.0</v>
      </c>
      <c r="I3152" s="8">
        <v>1.0</v>
      </c>
      <c r="J3152" s="8">
        <v>1.0</v>
      </c>
      <c r="K3152" s="8">
        <v>1.0</v>
      </c>
      <c r="L3152" s="8">
        <v>6.0</v>
      </c>
      <c r="M3152" s="8"/>
      <c r="N3152" s="8"/>
      <c r="O3152" s="8" t="s">
        <v>843</v>
      </c>
      <c r="P3152" s="8" t="e">
        <v>#N/A</v>
      </c>
    </row>
    <row r="3153">
      <c r="A3153">
        <f>IFERROR(__xludf.DUMMYFUNCTION("""COMPUTED_VALUE"""),7.0)</f>
        <v>7</v>
      </c>
      <c r="B3153">
        <f>IFERROR(__xludf.DUMMYFUNCTION("""COMPUTED_VALUE"""),30089.0)</f>
        <v>30089</v>
      </c>
      <c r="C3153" t="str">
        <f>IFERROR(__xludf.DUMMYFUNCTION("""COMPUTED_VALUE"""),"NAVARRO RAMIREZ, LUCAS")</f>
        <v>NAVARRO RAMIREZ, LUCAS</v>
      </c>
      <c r="D3153" t="str">
        <f>IFERROR(__xludf.DUMMYFUNCTION("""COMPUTED_VALUE"""),"Band 7S2")</f>
        <v>Band 7S2</v>
      </c>
      <c r="E3153" s="31" t="str">
        <f>IFERROR(__xludf.DUMMYFUNCTION("""COMPUTED_VALUE"""),"2b")</f>
        <v>2b</v>
      </c>
      <c r="F3153" s="8">
        <v>1.0</v>
      </c>
      <c r="G3153" s="8">
        <v>1.0</v>
      </c>
      <c r="H3153" s="8">
        <v>1.0</v>
      </c>
      <c r="I3153" s="8">
        <v>1.0</v>
      </c>
      <c r="J3153" s="8">
        <v>1.0</v>
      </c>
      <c r="K3153" s="8">
        <v>1.0</v>
      </c>
      <c r="L3153" s="8">
        <v>6.0</v>
      </c>
      <c r="M3153" s="8"/>
      <c r="N3153" s="8"/>
      <c r="O3153" s="8" t="s">
        <v>845</v>
      </c>
      <c r="P3153" s="8" t="e">
        <v>#N/A</v>
      </c>
    </row>
    <row r="3154">
      <c r="A3154">
        <f>IFERROR(__xludf.DUMMYFUNCTION("""COMPUTED_VALUE"""),7.0)</f>
        <v>7</v>
      </c>
      <c r="B3154">
        <f>IFERROR(__xludf.DUMMYFUNCTION("""COMPUTED_VALUE"""),30090.0)</f>
        <v>30090</v>
      </c>
      <c r="C3154" t="str">
        <f>IFERROR(__xludf.DUMMYFUNCTION("""COMPUTED_VALUE"""),"NEUMANN MARQUEZ, JERONIMO")</f>
        <v>NEUMANN MARQUEZ, JERONIMO</v>
      </c>
      <c r="D3154" t="str">
        <f>IFERROR(__xludf.DUMMYFUNCTION("""COMPUTED_VALUE"""),"Tech 7S2")</f>
        <v>Tech 7S2</v>
      </c>
      <c r="E3154" s="31" t="str">
        <f>IFERROR(__xludf.DUMMYFUNCTION("""COMPUTED_VALUE"""),"2b")</f>
        <v>2b</v>
      </c>
      <c r="F3154" s="8">
        <v>1.0</v>
      </c>
      <c r="G3154" s="8">
        <v>1.0</v>
      </c>
      <c r="H3154" s="8">
        <v>1.0</v>
      </c>
      <c r="I3154" s="8">
        <v>1.0</v>
      </c>
      <c r="J3154" s="8">
        <v>1.0</v>
      </c>
      <c r="K3154" s="8">
        <v>1.0</v>
      </c>
      <c r="L3154" s="8">
        <v>6.0</v>
      </c>
      <c r="M3154" s="8"/>
      <c r="N3154" s="8"/>
      <c r="O3154" s="8" t="s">
        <v>850</v>
      </c>
      <c r="P3154" s="8" t="e">
        <v>#N/A</v>
      </c>
    </row>
    <row r="3155">
      <c r="A3155">
        <f>IFERROR(__xludf.DUMMYFUNCTION("""COMPUTED_VALUE"""),7.0)</f>
        <v>7</v>
      </c>
      <c r="B3155">
        <f>IFERROR(__xludf.DUMMYFUNCTION("""COMPUTED_VALUE"""),30172.0)</f>
        <v>30172</v>
      </c>
      <c r="C3155" t="str">
        <f>IFERROR(__xludf.DUMMYFUNCTION("""COMPUTED_VALUE"""),"OLIVA, EMMA")</f>
        <v>OLIVA, EMMA</v>
      </c>
      <c r="D3155" t="str">
        <f>IFERROR(__xludf.DUMMYFUNCTION("""COMPUTED_VALUE"""),"Band 7S2")</f>
        <v>Band 7S2</v>
      </c>
      <c r="E3155" s="31" t="str">
        <f>IFERROR(__xludf.DUMMYFUNCTION("""COMPUTED_VALUE"""),"1a")</f>
        <v>1a</v>
      </c>
      <c r="F3155" s="8">
        <v>1.0</v>
      </c>
      <c r="G3155" s="8">
        <v>1.0</v>
      </c>
      <c r="H3155" s="8">
        <v>1.0</v>
      </c>
      <c r="I3155" s="8">
        <v>1.0</v>
      </c>
      <c r="J3155" s="8">
        <v>1.0</v>
      </c>
      <c r="K3155" s="8">
        <v>1.0</v>
      </c>
      <c r="L3155" s="8">
        <v>6.0</v>
      </c>
      <c r="M3155" s="8"/>
      <c r="N3155" s="8"/>
      <c r="O3155" s="8" t="s">
        <v>847</v>
      </c>
      <c r="P3155" s="8" t="e">
        <v>#N/A</v>
      </c>
    </row>
    <row r="3156">
      <c r="A3156">
        <f>IFERROR(__xludf.DUMMYFUNCTION("""COMPUTED_VALUE"""),7.0)</f>
        <v>7</v>
      </c>
      <c r="B3156">
        <f>IFERROR(__xludf.DUMMYFUNCTION("""COMPUTED_VALUE"""),30158.0)</f>
        <v>30158</v>
      </c>
      <c r="C3156" t="str">
        <f>IFERROR(__xludf.DUMMYFUNCTION("""COMPUTED_VALUE"""),"OROZCO RINCON, VALERIA")</f>
        <v>OROZCO RINCON, VALERIA</v>
      </c>
      <c r="D3156" t="str">
        <f>IFERROR(__xludf.DUMMYFUNCTION("""COMPUTED_VALUE"""),"Tech 7S2")</f>
        <v>Tech 7S2</v>
      </c>
      <c r="E3156" s="31" t="str">
        <f>IFERROR(__xludf.DUMMYFUNCTION("""COMPUTED_VALUE"""),"6a")</f>
        <v>6a</v>
      </c>
      <c r="F3156" s="8">
        <v>1.0</v>
      </c>
      <c r="G3156" s="8">
        <v>1.0</v>
      </c>
      <c r="H3156" s="8">
        <v>1.0</v>
      </c>
      <c r="I3156" s="8">
        <v>1.0</v>
      </c>
      <c r="J3156" s="8">
        <v>1.0</v>
      </c>
      <c r="K3156" s="8">
        <v>1.0</v>
      </c>
      <c r="L3156" s="8">
        <v>6.0</v>
      </c>
      <c r="M3156" s="8"/>
      <c r="N3156" s="8"/>
      <c r="O3156" s="8" t="s">
        <v>846</v>
      </c>
      <c r="P3156" s="8" t="e">
        <v>#N/A</v>
      </c>
    </row>
    <row r="3157">
      <c r="A3157">
        <f>IFERROR(__xludf.DUMMYFUNCTION("""COMPUTED_VALUE"""),7.0)</f>
        <v>7</v>
      </c>
      <c r="B3157">
        <f>IFERROR(__xludf.DUMMYFUNCTION("""COMPUTED_VALUE"""),30153.0)</f>
        <v>30153</v>
      </c>
      <c r="C3157" t="str">
        <f>IFERROR(__xludf.DUMMYFUNCTION("""COMPUTED_VALUE"""),"ORTEGA OCHOA, LORENZO")</f>
        <v>ORTEGA OCHOA, LORENZO</v>
      </c>
      <c r="D3157" t="str">
        <f>IFERROR(__xludf.DUMMYFUNCTION("""COMPUTED_VALUE"""),"Band 7S2")</f>
        <v>Band 7S2</v>
      </c>
      <c r="E3157" s="31" t="str">
        <f>IFERROR(__xludf.DUMMYFUNCTION("""COMPUTED_VALUE"""),"2b")</f>
        <v>2b</v>
      </c>
      <c r="F3157" s="8">
        <v>1.0</v>
      </c>
      <c r="G3157" s="8">
        <v>1.0</v>
      </c>
      <c r="H3157" s="8">
        <v>1.0</v>
      </c>
      <c r="I3157" s="8">
        <v>1.0</v>
      </c>
      <c r="J3157" s="8">
        <v>1.0</v>
      </c>
      <c r="K3157" s="8">
        <v>1.0</v>
      </c>
      <c r="L3157" s="8">
        <v>6.0</v>
      </c>
      <c r="M3157" s="8"/>
      <c r="N3157" s="8"/>
      <c r="O3157" s="8" t="s">
        <v>845</v>
      </c>
      <c r="P3157" s="8" t="e">
        <v>#N/A</v>
      </c>
    </row>
    <row r="3158">
      <c r="A3158">
        <f>IFERROR(__xludf.DUMMYFUNCTION("""COMPUTED_VALUE"""),7.0)</f>
        <v>7</v>
      </c>
      <c r="B3158">
        <f>IFERROR(__xludf.DUMMYFUNCTION("""COMPUTED_VALUE"""),30154.0)</f>
        <v>30154</v>
      </c>
      <c r="C3158" t="str">
        <f>IFERROR(__xludf.DUMMYFUNCTION("""COMPUTED_VALUE"""),"ORTEGA OCHOA, MARIA DEL MAR")</f>
        <v>ORTEGA OCHOA, MARIA DEL MAR</v>
      </c>
      <c r="D3158" t="str">
        <f>IFERROR(__xludf.DUMMYFUNCTION("""COMPUTED_VALUE"""),"Band 7S2")</f>
        <v>Band 7S2</v>
      </c>
      <c r="E3158" s="31" t="str">
        <f>IFERROR(__xludf.DUMMYFUNCTION("""COMPUTED_VALUE"""),"4b")</f>
        <v>4b</v>
      </c>
      <c r="F3158" s="8">
        <v>1.0</v>
      </c>
      <c r="G3158" s="8">
        <v>1.0</v>
      </c>
      <c r="H3158" s="8">
        <v>1.0</v>
      </c>
      <c r="I3158" s="8">
        <v>1.0</v>
      </c>
      <c r="J3158" s="8">
        <v>1.0</v>
      </c>
      <c r="K3158" s="8">
        <v>1.0</v>
      </c>
      <c r="L3158" s="8">
        <v>6.0</v>
      </c>
      <c r="M3158" s="8"/>
      <c r="N3158" s="8"/>
      <c r="O3158" s="8" t="s">
        <v>843</v>
      </c>
      <c r="P3158" s="8" t="e">
        <v>#N/A</v>
      </c>
    </row>
    <row r="3159">
      <c r="A3159">
        <f>IFERROR(__xludf.DUMMYFUNCTION("""COMPUTED_VALUE"""),7.0)</f>
        <v>7</v>
      </c>
      <c r="B3159">
        <f>IFERROR(__xludf.DUMMYFUNCTION("""COMPUTED_VALUE"""),30141.0)</f>
        <v>30141</v>
      </c>
      <c r="C3159" t="str">
        <f>IFERROR(__xludf.DUMMYFUNCTION("""COMPUTED_VALUE"""),"OSORIO PATIÑO, MIRANDA")</f>
        <v>OSORIO PATIÑO, MIRANDA</v>
      </c>
      <c r="D3159" t="str">
        <f>IFERROR(__xludf.DUMMYFUNCTION("""COMPUTED_VALUE"""),"Band 7S2")</f>
        <v>Band 7S2</v>
      </c>
      <c r="E3159" s="31" t="str">
        <f>IFERROR(__xludf.DUMMYFUNCTION("""COMPUTED_VALUE"""),"1a")</f>
        <v>1a</v>
      </c>
      <c r="F3159" s="8">
        <v>1.0</v>
      </c>
      <c r="G3159" s="8">
        <v>1.0</v>
      </c>
      <c r="H3159" s="8">
        <v>1.0</v>
      </c>
      <c r="I3159" s="8">
        <v>1.0</v>
      </c>
      <c r="J3159" s="8">
        <v>1.0</v>
      </c>
      <c r="K3159" s="8">
        <v>1.0</v>
      </c>
      <c r="L3159" s="8">
        <v>6.0</v>
      </c>
      <c r="M3159" s="8"/>
      <c r="N3159" s="8"/>
      <c r="O3159" s="8" t="s">
        <v>847</v>
      </c>
      <c r="P3159" s="8" t="e">
        <v>#N/A</v>
      </c>
    </row>
    <row r="3160">
      <c r="A3160">
        <f>IFERROR(__xludf.DUMMYFUNCTION("""COMPUTED_VALUE"""),7.0)</f>
        <v>7</v>
      </c>
      <c r="B3160">
        <f>IFERROR(__xludf.DUMMYFUNCTION("""COMPUTED_VALUE"""),30092.0)</f>
        <v>30092</v>
      </c>
      <c r="C3160" t="str">
        <f>IFERROR(__xludf.DUMMYFUNCTION("""COMPUTED_VALUE"""),"OSPINA ESCOBAR, SOFIA")</f>
        <v>OSPINA ESCOBAR, SOFIA</v>
      </c>
      <c r="D3160" t="str">
        <f>IFERROR(__xludf.DUMMYFUNCTION("""COMPUTED_VALUE"""),"Band 7S2")</f>
        <v>Band 7S2</v>
      </c>
      <c r="E3160" s="31" t="str">
        <f>IFERROR(__xludf.DUMMYFUNCTION("""COMPUTED_VALUE"""),"4b")</f>
        <v>4b</v>
      </c>
      <c r="F3160" s="8">
        <v>1.0</v>
      </c>
      <c r="G3160" s="8">
        <v>1.0</v>
      </c>
      <c r="H3160" s="8">
        <v>1.0</v>
      </c>
      <c r="I3160" s="8">
        <v>1.0</v>
      </c>
      <c r="J3160" s="8">
        <v>1.0</v>
      </c>
      <c r="K3160" s="8">
        <v>1.0</v>
      </c>
      <c r="L3160" s="8">
        <v>6.0</v>
      </c>
      <c r="M3160" s="8"/>
      <c r="N3160" s="8"/>
      <c r="O3160" s="8" t="s">
        <v>843</v>
      </c>
      <c r="P3160" s="8" t="e">
        <v>#N/A</v>
      </c>
    </row>
    <row r="3161">
      <c r="A3161">
        <f>IFERROR(__xludf.DUMMYFUNCTION("""COMPUTED_VALUE"""),7.0)</f>
        <v>7</v>
      </c>
      <c r="B3161">
        <f>IFERROR(__xludf.DUMMYFUNCTION("""COMPUTED_VALUE"""),30093.0)</f>
        <v>30093</v>
      </c>
      <c r="C3161" t="str">
        <f>IFERROR(__xludf.DUMMYFUNCTION("""COMPUTED_VALUE"""),"OSPINA RESTREPO, RAFAEL")</f>
        <v>OSPINA RESTREPO, RAFAEL</v>
      </c>
      <c r="D3161" t="str">
        <f>IFERROR(__xludf.DUMMYFUNCTION("""COMPUTED_VALUE"""),"Band 7S2")</f>
        <v>Band 7S2</v>
      </c>
      <c r="E3161" s="31" t="str">
        <f>IFERROR(__xludf.DUMMYFUNCTION("""COMPUTED_VALUE"""),"2b")</f>
        <v>2b</v>
      </c>
      <c r="F3161" s="8">
        <v>1.0</v>
      </c>
      <c r="G3161" s="8">
        <v>1.0</v>
      </c>
      <c r="H3161" s="8">
        <v>1.0</v>
      </c>
      <c r="I3161" s="8">
        <v>1.0</v>
      </c>
      <c r="J3161" s="8">
        <v>1.0</v>
      </c>
      <c r="K3161" s="8">
        <v>1.0</v>
      </c>
      <c r="L3161" s="8">
        <v>6.0</v>
      </c>
      <c r="M3161" s="8"/>
      <c r="N3161" s="8"/>
      <c r="O3161" s="8" t="s">
        <v>845</v>
      </c>
      <c r="P3161" s="8" t="e">
        <v>#N/A</v>
      </c>
    </row>
    <row r="3162">
      <c r="A3162">
        <f>IFERROR(__xludf.DUMMYFUNCTION("""COMPUTED_VALUE"""),7.0)</f>
        <v>7</v>
      </c>
      <c r="B3162">
        <f>IFERROR(__xludf.DUMMYFUNCTION("""COMPUTED_VALUE"""),30173.0)</f>
        <v>30173</v>
      </c>
      <c r="C3162" t="str">
        <f>IFERROR(__xludf.DUMMYFUNCTION("""COMPUTED_VALUE"""),"PARAMO VELASQUEZ, ISABEL")</f>
        <v>PARAMO VELASQUEZ, ISABEL</v>
      </c>
      <c r="D3162" t="str">
        <f>IFERROR(__xludf.DUMMYFUNCTION("""COMPUTED_VALUE"""),"Art 7S2")</f>
        <v>Art 7S2</v>
      </c>
      <c r="E3162" s="31" t="str">
        <f>IFERROR(__xludf.DUMMYFUNCTION("""COMPUTED_VALUE"""),"1a")</f>
        <v>1a</v>
      </c>
      <c r="F3162" s="8">
        <v>1.0</v>
      </c>
      <c r="G3162" s="8">
        <v>1.0</v>
      </c>
      <c r="H3162" s="8">
        <v>1.0</v>
      </c>
      <c r="I3162" s="8">
        <v>1.0</v>
      </c>
      <c r="J3162" s="8">
        <v>1.0</v>
      </c>
      <c r="K3162" s="8">
        <v>1.0</v>
      </c>
      <c r="L3162" s="8">
        <v>6.0</v>
      </c>
      <c r="M3162" s="8"/>
      <c r="N3162" s="8"/>
      <c r="O3162" s="8" t="s">
        <v>849</v>
      </c>
      <c r="P3162" s="8" t="e">
        <v>#N/A</v>
      </c>
    </row>
    <row r="3163">
      <c r="A3163">
        <f>IFERROR(__xludf.DUMMYFUNCTION("""COMPUTED_VALUE"""),7.0)</f>
        <v>7</v>
      </c>
      <c r="B3163">
        <f>IFERROR(__xludf.DUMMYFUNCTION("""COMPUTED_VALUE"""),30094.0)</f>
        <v>30094</v>
      </c>
      <c r="C3163" t="str">
        <f>IFERROR(__xludf.DUMMYFUNCTION("""COMPUTED_VALUE"""),"PELAEZ PIEDRAHITA, MARTIN")</f>
        <v>PELAEZ PIEDRAHITA, MARTIN</v>
      </c>
      <c r="D3163" t="str">
        <f>IFERROR(__xludf.DUMMYFUNCTION("""COMPUTED_VALUE"""),"Band 7S2")</f>
        <v>Band 7S2</v>
      </c>
      <c r="E3163" s="31" t="str">
        <f>IFERROR(__xludf.DUMMYFUNCTION("""COMPUTED_VALUE"""),"4b")</f>
        <v>4b</v>
      </c>
      <c r="F3163" s="8">
        <v>1.0</v>
      </c>
      <c r="G3163" s="8">
        <v>1.0</v>
      </c>
      <c r="H3163" s="8">
        <v>1.0</v>
      </c>
      <c r="I3163" s="8">
        <v>1.0</v>
      </c>
      <c r="J3163" s="8">
        <v>1.0</v>
      </c>
      <c r="K3163" s="8">
        <v>1.0</v>
      </c>
      <c r="L3163" s="8">
        <v>6.0</v>
      </c>
      <c r="M3163" s="8"/>
      <c r="N3163" s="8"/>
      <c r="O3163" s="8" t="s">
        <v>843</v>
      </c>
      <c r="P3163" s="8" t="e">
        <v>#N/A</v>
      </c>
    </row>
    <row r="3164">
      <c r="A3164">
        <f>IFERROR(__xludf.DUMMYFUNCTION("""COMPUTED_VALUE"""),7.0)</f>
        <v>7</v>
      </c>
      <c r="B3164">
        <f>IFERROR(__xludf.DUMMYFUNCTION("""COMPUTED_VALUE"""),30095.0)</f>
        <v>30095</v>
      </c>
      <c r="C3164" t="str">
        <f>IFERROR(__xludf.DUMMYFUNCTION("""COMPUTED_VALUE"""),"PENAGOS VELEZ, PEDRO")</f>
        <v>PENAGOS VELEZ, PEDRO</v>
      </c>
      <c r="D3164" t="str">
        <f>IFERROR(__xludf.DUMMYFUNCTION("""COMPUTED_VALUE"""),"Tech 7S2")</f>
        <v>Tech 7S2</v>
      </c>
      <c r="E3164" s="31" t="str">
        <f>IFERROR(__xludf.DUMMYFUNCTION("""COMPUTED_VALUE"""),"6a")</f>
        <v>6a</v>
      </c>
      <c r="F3164" s="8">
        <v>1.0</v>
      </c>
      <c r="G3164" s="8">
        <v>1.0</v>
      </c>
      <c r="H3164" s="8">
        <v>1.0</v>
      </c>
      <c r="I3164" s="8">
        <v>1.0</v>
      </c>
      <c r="J3164" s="8">
        <v>1.0</v>
      </c>
      <c r="K3164" s="8">
        <v>1.0</v>
      </c>
      <c r="L3164" s="8">
        <v>6.0</v>
      </c>
      <c r="M3164" s="8"/>
      <c r="N3164" s="8"/>
      <c r="O3164" s="8" t="s">
        <v>846</v>
      </c>
      <c r="P3164" s="8" t="e">
        <v>#N/A</v>
      </c>
    </row>
    <row r="3165">
      <c r="A3165">
        <f>IFERROR(__xludf.DUMMYFUNCTION("""COMPUTED_VALUE"""),7.0)</f>
        <v>7</v>
      </c>
      <c r="B3165">
        <f>IFERROR(__xludf.DUMMYFUNCTION("""COMPUTED_VALUE"""),29090.0)</f>
        <v>29090</v>
      </c>
      <c r="C3165" t="str">
        <f>IFERROR(__xludf.DUMMYFUNCTION("""COMPUTED_VALUE"""),"PEREZ DUQUE, MARIA PAZ")</f>
        <v>PEREZ DUQUE, MARIA PAZ</v>
      </c>
      <c r="D3165" t="str">
        <f>IFERROR(__xludf.DUMMYFUNCTION("""COMPUTED_VALUE"""),"Tech 7S2")</f>
        <v>Tech 7S2</v>
      </c>
      <c r="E3165" s="31" t="str">
        <f>IFERROR(__xludf.DUMMYFUNCTION("""COMPUTED_VALUE"""),"2b")</f>
        <v>2b</v>
      </c>
      <c r="F3165" s="8">
        <v>1.0</v>
      </c>
      <c r="G3165" s="8">
        <v>1.0</v>
      </c>
      <c r="H3165" s="8">
        <v>1.0</v>
      </c>
      <c r="I3165" s="8">
        <v>1.0</v>
      </c>
      <c r="J3165" s="8">
        <v>1.0</v>
      </c>
      <c r="K3165" s="8">
        <v>1.0</v>
      </c>
      <c r="L3165" s="8">
        <v>6.0</v>
      </c>
      <c r="M3165" s="8"/>
      <c r="N3165" s="8"/>
      <c r="O3165" s="8" t="s">
        <v>850</v>
      </c>
      <c r="P3165" s="8" t="e">
        <v>#N/A</v>
      </c>
    </row>
    <row r="3166">
      <c r="A3166">
        <f>IFERROR(__xludf.DUMMYFUNCTION("""COMPUTED_VALUE"""),7.0)</f>
        <v>7</v>
      </c>
      <c r="B3166">
        <f>IFERROR(__xludf.DUMMYFUNCTION("""COMPUTED_VALUE"""),30097.0)</f>
        <v>30097</v>
      </c>
      <c r="C3166" t="str">
        <f>IFERROR(__xludf.DUMMYFUNCTION("""COMPUTED_VALUE"""),"PUERTA TIRADO, JUAN SEBASTIAN")</f>
        <v>PUERTA TIRADO, JUAN SEBASTIAN</v>
      </c>
      <c r="D3166" t="str">
        <f>IFERROR(__xludf.DUMMYFUNCTION("""COMPUTED_VALUE"""),"Tech 7S2")</f>
        <v>Tech 7S2</v>
      </c>
      <c r="E3166" s="31" t="str">
        <f>IFERROR(__xludf.DUMMYFUNCTION("""COMPUTED_VALUE"""),"1a")</f>
        <v>1a</v>
      </c>
      <c r="F3166" s="8">
        <v>1.0</v>
      </c>
      <c r="G3166" s="8">
        <v>1.0</v>
      </c>
      <c r="H3166" s="8">
        <v>1.0</v>
      </c>
      <c r="I3166" s="8">
        <v>1.0</v>
      </c>
      <c r="J3166" s="8">
        <v>1.0</v>
      </c>
      <c r="K3166" s="8">
        <v>1.0</v>
      </c>
      <c r="L3166" s="8">
        <v>6.0</v>
      </c>
      <c r="M3166" s="8"/>
      <c r="N3166" s="8"/>
      <c r="O3166" s="8" t="s">
        <v>848</v>
      </c>
      <c r="P3166" s="8" t="e">
        <v>#N/A</v>
      </c>
    </row>
    <row r="3167">
      <c r="A3167">
        <f>IFERROR(__xludf.DUMMYFUNCTION("""COMPUTED_VALUE"""),7.0)</f>
        <v>7</v>
      </c>
      <c r="B3167">
        <f>IFERROR(__xludf.DUMMYFUNCTION("""COMPUTED_VALUE"""),30147.0)</f>
        <v>30147</v>
      </c>
      <c r="C3167" t="str">
        <f>IFERROR(__xludf.DUMMYFUNCTION("""COMPUTED_VALUE"""),"RAMIREZ ESCOBAR, ISABELLA")</f>
        <v>RAMIREZ ESCOBAR, ISABELLA</v>
      </c>
      <c r="D3167" t="str">
        <f>IFERROR(__xludf.DUMMYFUNCTION("""COMPUTED_VALUE"""),"Tech 7S2")</f>
        <v>Tech 7S2</v>
      </c>
      <c r="E3167" s="31" t="str">
        <f>IFERROR(__xludf.DUMMYFUNCTION("""COMPUTED_VALUE"""),"6a")</f>
        <v>6a</v>
      </c>
      <c r="F3167" s="8">
        <v>1.0</v>
      </c>
      <c r="G3167" s="8">
        <v>1.0</v>
      </c>
      <c r="H3167" s="8">
        <v>1.0</v>
      </c>
      <c r="I3167" s="8">
        <v>1.0</v>
      </c>
      <c r="J3167" s="8">
        <v>1.0</v>
      </c>
      <c r="K3167" s="8">
        <v>1.0</v>
      </c>
      <c r="L3167" s="8">
        <v>6.0</v>
      </c>
      <c r="M3167" s="8"/>
      <c r="N3167" s="8"/>
      <c r="O3167" s="8" t="s">
        <v>846</v>
      </c>
      <c r="P3167" s="8" t="e">
        <v>#N/A</v>
      </c>
    </row>
    <row r="3168">
      <c r="A3168">
        <f>IFERROR(__xludf.DUMMYFUNCTION("""COMPUTED_VALUE"""),7.0)</f>
        <v>7</v>
      </c>
      <c r="B3168">
        <f>IFERROR(__xludf.DUMMYFUNCTION("""COMPUTED_VALUE"""),30098.0)</f>
        <v>30098</v>
      </c>
      <c r="C3168" t="str">
        <f>IFERROR(__xludf.DUMMYFUNCTION("""COMPUTED_VALUE"""),"REINOSO TRUJILLO, SANTIAGO")</f>
        <v>REINOSO TRUJILLO, SANTIAGO</v>
      </c>
      <c r="D3168" t="str">
        <f>IFERROR(__xludf.DUMMYFUNCTION("""COMPUTED_VALUE"""),"Band 7S2")</f>
        <v>Band 7S2</v>
      </c>
      <c r="E3168" s="31" t="str">
        <f>IFERROR(__xludf.DUMMYFUNCTION("""COMPUTED_VALUE"""),"1a")</f>
        <v>1a</v>
      </c>
      <c r="F3168" s="8">
        <v>1.0</v>
      </c>
      <c r="G3168" s="8">
        <v>1.0</v>
      </c>
      <c r="H3168" s="8">
        <v>1.0</v>
      </c>
      <c r="I3168" s="8">
        <v>1.0</v>
      </c>
      <c r="J3168" s="8">
        <v>1.0</v>
      </c>
      <c r="K3168" s="8">
        <v>1.0</v>
      </c>
      <c r="L3168" s="8">
        <v>6.0</v>
      </c>
      <c r="M3168" s="8"/>
      <c r="N3168" s="8"/>
      <c r="O3168" s="8" t="s">
        <v>847</v>
      </c>
      <c r="P3168" s="8" t="e">
        <v>#N/A</v>
      </c>
    </row>
    <row r="3169">
      <c r="A3169">
        <f>IFERROR(__xludf.DUMMYFUNCTION("""COMPUTED_VALUE"""),7.0)</f>
        <v>7</v>
      </c>
      <c r="B3169">
        <f>IFERROR(__xludf.DUMMYFUNCTION("""COMPUTED_VALUE"""),30100.0)</f>
        <v>30100</v>
      </c>
      <c r="C3169" t="str">
        <f>IFERROR(__xludf.DUMMYFUNCTION("""COMPUTED_VALUE"""),"RESTREPO QUINTERO, MARTIN")</f>
        <v>RESTREPO QUINTERO, MARTIN</v>
      </c>
      <c r="D3169" t="str">
        <f>IFERROR(__xludf.DUMMYFUNCTION("""COMPUTED_VALUE"""),"Band 7S2")</f>
        <v>Band 7S2</v>
      </c>
      <c r="E3169" s="31" t="str">
        <f>IFERROR(__xludf.DUMMYFUNCTION("""COMPUTED_VALUE"""),"2b")</f>
        <v>2b</v>
      </c>
      <c r="F3169" s="8">
        <v>1.0</v>
      </c>
      <c r="G3169" s="8">
        <v>1.0</v>
      </c>
      <c r="H3169" s="8">
        <v>1.0</v>
      </c>
      <c r="I3169" s="8">
        <v>1.0</v>
      </c>
      <c r="J3169" s="8">
        <v>1.0</v>
      </c>
      <c r="K3169" s="8">
        <v>1.0</v>
      </c>
      <c r="L3169" s="8">
        <v>6.0</v>
      </c>
      <c r="M3169" s="8"/>
      <c r="N3169" s="8"/>
      <c r="O3169" s="8" t="s">
        <v>845</v>
      </c>
      <c r="P3169" s="8" t="e">
        <v>#N/A</v>
      </c>
    </row>
    <row r="3170">
      <c r="A3170">
        <f>IFERROR(__xludf.DUMMYFUNCTION("""COMPUTED_VALUE"""),7.0)</f>
        <v>7</v>
      </c>
      <c r="B3170">
        <f>IFERROR(__xludf.DUMMYFUNCTION("""COMPUTED_VALUE"""),30101.0)</f>
        <v>30101</v>
      </c>
      <c r="C3170" t="str">
        <f>IFERROR(__xludf.DUMMYFUNCTION("""COMPUTED_VALUE"""),"RESTREPO RAMIREZ, MATIAS")</f>
        <v>RESTREPO RAMIREZ, MATIAS</v>
      </c>
      <c r="D3170" t="str">
        <f>IFERROR(__xludf.DUMMYFUNCTION("""COMPUTED_VALUE"""),"Band 7S2")</f>
        <v>Band 7S2</v>
      </c>
      <c r="E3170" s="31" t="str">
        <f>IFERROR(__xludf.DUMMYFUNCTION("""COMPUTED_VALUE"""),"4b")</f>
        <v>4b</v>
      </c>
      <c r="F3170" s="8">
        <v>1.0</v>
      </c>
      <c r="G3170" s="8">
        <v>1.0</v>
      </c>
      <c r="H3170" s="8">
        <v>1.0</v>
      </c>
      <c r="I3170" s="8">
        <v>1.0</v>
      </c>
      <c r="J3170" s="8">
        <v>1.0</v>
      </c>
      <c r="K3170" s="8">
        <v>1.0</v>
      </c>
      <c r="L3170" s="8">
        <v>6.0</v>
      </c>
      <c r="M3170" s="8"/>
      <c r="N3170" s="8"/>
      <c r="O3170" s="8" t="s">
        <v>843</v>
      </c>
      <c r="P3170" s="8" t="e">
        <v>#N/A</v>
      </c>
    </row>
    <row r="3171">
      <c r="A3171">
        <f>IFERROR(__xludf.DUMMYFUNCTION("""COMPUTED_VALUE"""),7.0)</f>
        <v>7</v>
      </c>
      <c r="B3171">
        <f>IFERROR(__xludf.DUMMYFUNCTION("""COMPUTED_VALUE"""),29102.0)</f>
        <v>29102</v>
      </c>
      <c r="C3171" t="str">
        <f>IFERROR(__xludf.DUMMYFUNCTION("""COMPUTED_VALUE"""),"ROJAS SANCHEZ, SAMUEL")</f>
        <v>ROJAS SANCHEZ, SAMUEL</v>
      </c>
      <c r="D3171" t="str">
        <f>IFERROR(__xludf.DUMMYFUNCTION("""COMPUTED_VALUE"""),"Band 7S2")</f>
        <v>Band 7S2</v>
      </c>
      <c r="E3171" s="31" t="str">
        <f>IFERROR(__xludf.DUMMYFUNCTION("""COMPUTED_VALUE"""),"1a")</f>
        <v>1a</v>
      </c>
      <c r="F3171" s="8">
        <v>1.0</v>
      </c>
      <c r="G3171" s="8">
        <v>1.0</v>
      </c>
      <c r="H3171" s="8">
        <v>1.0</v>
      </c>
      <c r="I3171" s="8">
        <v>1.0</v>
      </c>
      <c r="J3171" s="8">
        <v>1.0</v>
      </c>
      <c r="K3171" s="8">
        <v>1.0</v>
      </c>
      <c r="L3171" s="8">
        <v>6.0</v>
      </c>
      <c r="M3171" s="8"/>
      <c r="N3171" s="8"/>
      <c r="O3171" s="8" t="s">
        <v>847</v>
      </c>
      <c r="P3171" s="8" t="e">
        <v>#N/A</v>
      </c>
    </row>
    <row r="3172">
      <c r="A3172">
        <f>IFERROR(__xludf.DUMMYFUNCTION("""COMPUTED_VALUE"""),7.0)</f>
        <v>7</v>
      </c>
      <c r="B3172">
        <f>IFERROR(__xludf.DUMMYFUNCTION("""COMPUTED_VALUE"""),30102.0)</f>
        <v>30102</v>
      </c>
      <c r="C3172" t="str">
        <f>IFERROR(__xludf.DUMMYFUNCTION("""COMPUTED_VALUE"""),"RUIZ ROLDAN, LAURA")</f>
        <v>RUIZ ROLDAN, LAURA</v>
      </c>
      <c r="D3172" t="str">
        <f>IFERROR(__xludf.DUMMYFUNCTION("""COMPUTED_VALUE"""),"Band 7S2")</f>
        <v>Band 7S2</v>
      </c>
      <c r="E3172" s="31" t="str">
        <f>IFERROR(__xludf.DUMMYFUNCTION("""COMPUTED_VALUE"""),"4b")</f>
        <v>4b</v>
      </c>
      <c r="F3172" s="8">
        <v>1.0</v>
      </c>
      <c r="G3172" s="8">
        <v>1.0</v>
      </c>
      <c r="H3172" s="8">
        <v>1.0</v>
      </c>
      <c r="I3172" s="8">
        <v>1.0</v>
      </c>
      <c r="J3172" s="8">
        <v>1.0</v>
      </c>
      <c r="K3172" s="8">
        <v>1.0</v>
      </c>
      <c r="L3172" s="8">
        <v>6.0</v>
      </c>
      <c r="M3172" s="8"/>
      <c r="N3172" s="8"/>
      <c r="O3172" s="8" t="s">
        <v>843</v>
      </c>
      <c r="P3172" s="8" t="e">
        <v>#N/A</v>
      </c>
    </row>
    <row r="3173">
      <c r="A3173">
        <f>IFERROR(__xludf.DUMMYFUNCTION("""COMPUTED_VALUE"""),7.0)</f>
        <v>7</v>
      </c>
      <c r="B3173">
        <f>IFERROR(__xludf.DUMMYFUNCTION("""COMPUTED_VALUE"""),30103.0)</f>
        <v>30103</v>
      </c>
      <c r="C3173" t="str">
        <f>IFERROR(__xludf.DUMMYFUNCTION("""COMPUTED_VALUE"""),"SANCHEZ GONZALEZ, EMILIANA")</f>
        <v>SANCHEZ GONZALEZ, EMILIANA</v>
      </c>
      <c r="D3173" t="str">
        <f>IFERROR(__xludf.DUMMYFUNCTION("""COMPUTED_VALUE"""),"Band 7S2")</f>
        <v>Band 7S2</v>
      </c>
      <c r="E3173" s="31" t="str">
        <f>IFERROR(__xludf.DUMMYFUNCTION("""COMPUTED_VALUE"""),"2b")</f>
        <v>2b</v>
      </c>
      <c r="F3173" s="8">
        <v>1.0</v>
      </c>
      <c r="G3173" s="8">
        <v>1.0</v>
      </c>
      <c r="H3173" s="8">
        <v>1.0</v>
      </c>
      <c r="I3173" s="8">
        <v>1.0</v>
      </c>
      <c r="J3173" s="8">
        <v>1.0</v>
      </c>
      <c r="K3173" s="8">
        <v>1.0</v>
      </c>
      <c r="L3173" s="8">
        <v>6.0</v>
      </c>
      <c r="M3173" s="8"/>
      <c r="N3173" s="8"/>
      <c r="O3173" s="8" t="s">
        <v>845</v>
      </c>
      <c r="P3173" s="8" t="e">
        <v>#N/A</v>
      </c>
    </row>
    <row r="3174">
      <c r="A3174">
        <f>IFERROR(__xludf.DUMMYFUNCTION("""COMPUTED_VALUE"""),7.0)</f>
        <v>7</v>
      </c>
      <c r="B3174">
        <f>IFERROR(__xludf.DUMMYFUNCTION("""COMPUTED_VALUE"""),30104.0)</f>
        <v>30104</v>
      </c>
      <c r="C3174" t="str">
        <f>IFERROR(__xludf.DUMMYFUNCTION("""COMPUTED_VALUE"""),"SIERRA VILLA, RAQUEL")</f>
        <v>SIERRA VILLA, RAQUEL</v>
      </c>
      <c r="D3174" t="str">
        <f>IFERROR(__xludf.DUMMYFUNCTION("""COMPUTED_VALUE"""),"Band 7S2")</f>
        <v>Band 7S2</v>
      </c>
      <c r="E3174" s="31" t="str">
        <f>IFERROR(__xludf.DUMMYFUNCTION("""COMPUTED_VALUE"""),"4b")</f>
        <v>4b</v>
      </c>
      <c r="F3174" s="8">
        <v>1.0</v>
      </c>
      <c r="G3174" s="8">
        <v>1.0</v>
      </c>
      <c r="H3174" s="8">
        <v>1.0</v>
      </c>
      <c r="I3174" s="8">
        <v>1.0</v>
      </c>
      <c r="J3174" s="8">
        <v>1.0</v>
      </c>
      <c r="K3174" s="8">
        <v>1.0</v>
      </c>
      <c r="L3174" s="8">
        <v>6.0</v>
      </c>
      <c r="M3174" s="8"/>
      <c r="N3174" s="8"/>
      <c r="O3174" s="8" t="s">
        <v>843</v>
      </c>
      <c r="P3174" s="8" t="e">
        <v>#N/A</v>
      </c>
    </row>
    <row r="3175">
      <c r="A3175">
        <f>IFERROR(__xludf.DUMMYFUNCTION("""COMPUTED_VALUE"""),7.0)</f>
        <v>7</v>
      </c>
      <c r="B3175">
        <f>IFERROR(__xludf.DUMMYFUNCTION("""COMPUTED_VALUE"""),30105.0)</f>
        <v>30105</v>
      </c>
      <c r="C3175" t="str">
        <f>IFERROR(__xludf.DUMMYFUNCTION("""COMPUTED_VALUE"""),"TOBON RESTREPO, PEDRO")</f>
        <v>TOBON RESTREPO, PEDRO</v>
      </c>
      <c r="D3175" t="str">
        <f>IFERROR(__xludf.DUMMYFUNCTION("""COMPUTED_VALUE"""),"Band 7S2")</f>
        <v>Band 7S2</v>
      </c>
      <c r="E3175" s="31" t="str">
        <f>IFERROR(__xludf.DUMMYFUNCTION("""COMPUTED_VALUE"""),"4b")</f>
        <v>4b</v>
      </c>
      <c r="F3175" s="8">
        <v>1.0</v>
      </c>
      <c r="G3175" s="8">
        <v>1.0</v>
      </c>
      <c r="H3175" s="8">
        <v>1.0</v>
      </c>
      <c r="I3175" s="8">
        <v>1.0</v>
      </c>
      <c r="J3175" s="8">
        <v>1.0</v>
      </c>
      <c r="K3175" s="8">
        <v>1.0</v>
      </c>
      <c r="L3175" s="8">
        <v>6.0</v>
      </c>
      <c r="M3175" s="8"/>
      <c r="N3175" s="8"/>
      <c r="O3175" s="8" t="s">
        <v>843</v>
      </c>
      <c r="P3175" s="8" t="e">
        <v>#N/A</v>
      </c>
    </row>
    <row r="3176">
      <c r="A3176">
        <f>IFERROR(__xludf.DUMMYFUNCTION("""COMPUTED_VALUE"""),7.0)</f>
        <v>7</v>
      </c>
      <c r="B3176">
        <f>IFERROR(__xludf.DUMMYFUNCTION("""COMPUTED_VALUE"""),30106.0)</f>
        <v>30106</v>
      </c>
      <c r="C3176" t="str">
        <f>IFERROR(__xludf.DUMMYFUNCTION("""COMPUTED_VALUE"""),"TORO BOTERO, PEDRO")</f>
        <v>TORO BOTERO, PEDRO</v>
      </c>
      <c r="D3176" t="str">
        <f>IFERROR(__xludf.DUMMYFUNCTION("""COMPUTED_VALUE"""),"Band 7S2")</f>
        <v>Band 7S2</v>
      </c>
      <c r="E3176" s="31" t="str">
        <f>IFERROR(__xludf.DUMMYFUNCTION("""COMPUTED_VALUE"""),"1a")</f>
        <v>1a</v>
      </c>
      <c r="F3176" s="8">
        <v>1.0</v>
      </c>
      <c r="G3176" s="8">
        <v>1.0</v>
      </c>
      <c r="H3176" s="8">
        <v>1.0</v>
      </c>
      <c r="I3176" s="8">
        <v>1.0</v>
      </c>
      <c r="J3176" s="8">
        <v>1.0</v>
      </c>
      <c r="K3176" s="8">
        <v>1.0</v>
      </c>
      <c r="L3176" s="8">
        <v>6.0</v>
      </c>
      <c r="M3176" s="8"/>
      <c r="N3176" s="8"/>
      <c r="O3176" s="8" t="s">
        <v>847</v>
      </c>
      <c r="P3176" s="8" t="e">
        <v>#N/A</v>
      </c>
    </row>
    <row r="3177">
      <c r="A3177">
        <f>IFERROR(__xludf.DUMMYFUNCTION("""COMPUTED_VALUE"""),7.0)</f>
        <v>7</v>
      </c>
      <c r="B3177">
        <f>IFERROR(__xludf.DUMMYFUNCTION("""COMPUTED_VALUE"""),30107.0)</f>
        <v>30107</v>
      </c>
      <c r="C3177" t="str">
        <f>IFERROR(__xludf.DUMMYFUNCTION("""COMPUTED_VALUE"""),"TORRES POSADA, NICOLAS")</f>
        <v>TORRES POSADA, NICOLAS</v>
      </c>
      <c r="D3177" t="str">
        <f>IFERROR(__xludf.DUMMYFUNCTION("""COMPUTED_VALUE"""),"Art 7S2")</f>
        <v>Art 7S2</v>
      </c>
      <c r="E3177" s="31" t="str">
        <f>IFERROR(__xludf.DUMMYFUNCTION("""COMPUTED_VALUE"""),"1a")</f>
        <v>1a</v>
      </c>
      <c r="F3177" s="8">
        <v>1.0</v>
      </c>
      <c r="G3177" s="8">
        <v>1.0</v>
      </c>
      <c r="H3177" s="8">
        <v>1.0</v>
      </c>
      <c r="I3177" s="8">
        <v>1.0</v>
      </c>
      <c r="J3177" s="8">
        <v>1.0</v>
      </c>
      <c r="K3177" s="8">
        <v>1.0</v>
      </c>
      <c r="L3177" s="8">
        <v>6.0</v>
      </c>
      <c r="M3177" s="8"/>
      <c r="N3177" s="8"/>
      <c r="O3177" s="8" t="s">
        <v>849</v>
      </c>
      <c r="P3177" s="8" t="e">
        <v>#N/A</v>
      </c>
    </row>
    <row r="3178">
      <c r="A3178">
        <f>IFERROR(__xludf.DUMMYFUNCTION("""COMPUTED_VALUE"""),7.0)</f>
        <v>7</v>
      </c>
      <c r="B3178">
        <f>IFERROR(__xludf.DUMMYFUNCTION("""COMPUTED_VALUE"""),30109.0)</f>
        <v>30109</v>
      </c>
      <c r="C3178" t="str">
        <f>IFERROR(__xludf.DUMMYFUNCTION("""COMPUTED_VALUE"""),"TRUJILLO RENDON, CAMILA")</f>
        <v>TRUJILLO RENDON, CAMILA</v>
      </c>
      <c r="D3178" t="str">
        <f>IFERROR(__xludf.DUMMYFUNCTION("""COMPUTED_VALUE"""),"Tech 7S2")</f>
        <v>Tech 7S2</v>
      </c>
      <c r="E3178" s="31" t="str">
        <f>IFERROR(__xludf.DUMMYFUNCTION("""COMPUTED_VALUE"""),"6a")</f>
        <v>6a</v>
      </c>
      <c r="F3178" s="8">
        <v>1.0</v>
      </c>
      <c r="G3178" s="8">
        <v>1.0</v>
      </c>
      <c r="H3178" s="8">
        <v>1.0</v>
      </c>
      <c r="I3178" s="8">
        <v>1.0</v>
      </c>
      <c r="J3178" s="8">
        <v>1.0</v>
      </c>
      <c r="K3178" s="8">
        <v>1.0</v>
      </c>
      <c r="L3178" s="8">
        <v>6.0</v>
      </c>
      <c r="M3178" s="8"/>
      <c r="N3178" s="8"/>
      <c r="O3178" s="8" t="s">
        <v>846</v>
      </c>
      <c r="P3178" s="8" t="e">
        <v>#N/A</v>
      </c>
    </row>
    <row r="3179">
      <c r="A3179">
        <f>IFERROR(__xludf.DUMMYFUNCTION("""COMPUTED_VALUE"""),7.0)</f>
        <v>7</v>
      </c>
      <c r="B3179">
        <f>IFERROR(__xludf.DUMMYFUNCTION("""COMPUTED_VALUE"""),30111.0)</f>
        <v>30111</v>
      </c>
      <c r="C3179" t="str">
        <f>IFERROR(__xludf.DUMMYFUNCTION("""COMPUTED_VALUE"""),"URIBE MUÑOZ, ANDREA")</f>
        <v>URIBE MUÑOZ, ANDREA</v>
      </c>
      <c r="D3179" t="str">
        <f>IFERROR(__xludf.DUMMYFUNCTION("""COMPUTED_VALUE"""),"Band 7S2")</f>
        <v>Band 7S2</v>
      </c>
      <c r="E3179" s="31" t="str">
        <f>IFERROR(__xludf.DUMMYFUNCTION("""COMPUTED_VALUE"""),"4b")</f>
        <v>4b</v>
      </c>
      <c r="F3179" s="8">
        <v>1.0</v>
      </c>
      <c r="G3179" s="8">
        <v>1.0</v>
      </c>
      <c r="H3179" s="8">
        <v>1.0</v>
      </c>
      <c r="I3179" s="8">
        <v>1.0</v>
      </c>
      <c r="J3179" s="8">
        <v>1.0</v>
      </c>
      <c r="K3179" s="8">
        <v>1.0</v>
      </c>
      <c r="L3179" s="8">
        <v>6.0</v>
      </c>
      <c r="M3179" s="8"/>
      <c r="N3179" s="8"/>
      <c r="O3179" s="8" t="s">
        <v>843</v>
      </c>
      <c r="P3179" s="8" t="e">
        <v>#N/A</v>
      </c>
    </row>
    <row r="3180">
      <c r="A3180">
        <f>IFERROR(__xludf.DUMMYFUNCTION("""COMPUTED_VALUE"""),7.0)</f>
        <v>7</v>
      </c>
      <c r="B3180">
        <f>IFERROR(__xludf.DUMMYFUNCTION("""COMPUTED_VALUE"""),30112.0)</f>
        <v>30112</v>
      </c>
      <c r="C3180" t="str">
        <f>IFERROR(__xludf.DUMMYFUNCTION("""COMPUTED_VALUE"""),"URIBE MUÑOZ, VALENTINA")</f>
        <v>URIBE MUÑOZ, VALENTINA</v>
      </c>
      <c r="D3180" t="str">
        <f>IFERROR(__xludf.DUMMYFUNCTION("""COMPUTED_VALUE"""),"Tech 7S2")</f>
        <v>Tech 7S2</v>
      </c>
      <c r="E3180" s="31" t="str">
        <f>IFERROR(__xludf.DUMMYFUNCTION("""COMPUTED_VALUE"""),"1a")</f>
        <v>1a</v>
      </c>
      <c r="F3180" s="8">
        <v>1.0</v>
      </c>
      <c r="G3180" s="8">
        <v>1.0</v>
      </c>
      <c r="H3180" s="8">
        <v>1.0</v>
      </c>
      <c r="I3180" s="8">
        <v>1.0</v>
      </c>
      <c r="J3180" s="8">
        <v>1.0</v>
      </c>
      <c r="K3180" s="8">
        <v>1.0</v>
      </c>
      <c r="L3180" s="8">
        <v>6.0</v>
      </c>
      <c r="M3180" s="8"/>
      <c r="N3180" s="8"/>
      <c r="O3180" s="8" t="s">
        <v>848</v>
      </c>
      <c r="P3180" s="8" t="e">
        <v>#N/A</v>
      </c>
    </row>
    <row r="3181">
      <c r="A3181">
        <f>IFERROR(__xludf.DUMMYFUNCTION("""COMPUTED_VALUE"""),7.0)</f>
        <v>7</v>
      </c>
      <c r="B3181">
        <f>IFERROR(__xludf.DUMMYFUNCTION("""COMPUTED_VALUE"""),30114.0)</f>
        <v>30114</v>
      </c>
      <c r="C3181" t="str">
        <f>IFERROR(__xludf.DUMMYFUNCTION("""COMPUTED_VALUE"""),"URIBE RUIZ, VICENTE")</f>
        <v>URIBE RUIZ, VICENTE</v>
      </c>
      <c r="D3181" t="str">
        <f>IFERROR(__xludf.DUMMYFUNCTION("""COMPUTED_VALUE"""),"Band 7S2")</f>
        <v>Band 7S2</v>
      </c>
      <c r="E3181" s="31" t="str">
        <f>IFERROR(__xludf.DUMMYFUNCTION("""COMPUTED_VALUE"""),"2b")</f>
        <v>2b</v>
      </c>
      <c r="F3181" s="8">
        <v>1.0</v>
      </c>
      <c r="G3181" s="8">
        <v>1.0</v>
      </c>
      <c r="H3181" s="8">
        <v>1.0</v>
      </c>
      <c r="I3181" s="8">
        <v>1.0</v>
      </c>
      <c r="J3181" s="8">
        <v>1.0</v>
      </c>
      <c r="K3181" s="8">
        <v>1.0</v>
      </c>
      <c r="L3181" s="8">
        <v>6.0</v>
      </c>
      <c r="M3181" s="8"/>
      <c r="N3181" s="8"/>
      <c r="O3181" s="8" t="s">
        <v>845</v>
      </c>
      <c r="P3181" s="8" t="e">
        <v>#N/A</v>
      </c>
    </row>
    <row r="3182">
      <c r="A3182">
        <f>IFERROR(__xludf.DUMMYFUNCTION("""COMPUTED_VALUE"""),7.0)</f>
        <v>7</v>
      </c>
      <c r="B3182">
        <f>IFERROR(__xludf.DUMMYFUNCTION("""COMPUTED_VALUE"""),30115.0)</f>
        <v>30115</v>
      </c>
      <c r="C3182" t="str">
        <f>IFERROR(__xludf.DUMMYFUNCTION("""COMPUTED_VALUE"""),"URIBE VELASQUEZ, AGUSTIN")</f>
        <v>URIBE VELASQUEZ, AGUSTIN</v>
      </c>
      <c r="D3182" t="str">
        <f>IFERROR(__xludf.DUMMYFUNCTION("""COMPUTED_VALUE"""),"Tech 7S2")</f>
        <v>Tech 7S2</v>
      </c>
      <c r="E3182" s="31" t="str">
        <f>IFERROR(__xludf.DUMMYFUNCTION("""COMPUTED_VALUE"""),"6a")</f>
        <v>6a</v>
      </c>
      <c r="F3182" s="8">
        <v>1.0</v>
      </c>
      <c r="G3182" s="8">
        <v>1.0</v>
      </c>
      <c r="H3182" s="8">
        <v>1.0</v>
      </c>
      <c r="I3182" s="8">
        <v>1.0</v>
      </c>
      <c r="J3182" s="8">
        <v>1.0</v>
      </c>
      <c r="K3182" s="8">
        <v>1.0</v>
      </c>
      <c r="L3182" s="8">
        <v>6.0</v>
      </c>
      <c r="M3182" s="8"/>
      <c r="N3182" s="8"/>
      <c r="O3182" s="8" t="s">
        <v>846</v>
      </c>
      <c r="P3182" s="8" t="e">
        <v>#N/A</v>
      </c>
    </row>
    <row r="3183">
      <c r="A3183">
        <f>IFERROR(__xludf.DUMMYFUNCTION("""COMPUTED_VALUE"""),7.0)</f>
        <v>7</v>
      </c>
      <c r="B3183">
        <f>IFERROR(__xludf.DUMMYFUNCTION("""COMPUTED_VALUE"""),30117.0)</f>
        <v>30117</v>
      </c>
      <c r="C3183" t="str">
        <f>IFERROR(__xludf.DUMMYFUNCTION("""COMPUTED_VALUE"""),"VASQUEZ ECHEVERRI, MARIANA")</f>
        <v>VASQUEZ ECHEVERRI, MARIANA</v>
      </c>
      <c r="D3183" t="str">
        <f>IFERROR(__xludf.DUMMYFUNCTION("""COMPUTED_VALUE"""),"Art 7S2")</f>
        <v>Art 7S2</v>
      </c>
      <c r="E3183" s="31" t="str">
        <f>IFERROR(__xludf.DUMMYFUNCTION("""COMPUTED_VALUE"""),"2b")</f>
        <v>2b</v>
      </c>
      <c r="F3183" s="8">
        <v>1.0</v>
      </c>
      <c r="G3183" s="8">
        <v>1.0</v>
      </c>
      <c r="H3183" s="8">
        <v>1.0</v>
      </c>
      <c r="I3183" s="8">
        <v>1.0</v>
      </c>
      <c r="J3183" s="8">
        <v>1.0</v>
      </c>
      <c r="K3183" s="8">
        <v>1.0</v>
      </c>
      <c r="L3183" s="8">
        <v>6.0</v>
      </c>
      <c r="M3183" s="8"/>
      <c r="N3183" s="8"/>
      <c r="O3183" s="8" t="s">
        <v>844</v>
      </c>
      <c r="P3183" s="8" t="e">
        <v>#N/A</v>
      </c>
    </row>
    <row r="3184">
      <c r="A3184">
        <f>IFERROR(__xludf.DUMMYFUNCTION("""COMPUTED_VALUE"""),7.0)</f>
        <v>7</v>
      </c>
      <c r="B3184">
        <f>IFERROR(__xludf.DUMMYFUNCTION("""COMPUTED_VALUE"""),30119.0)</f>
        <v>30119</v>
      </c>
      <c r="C3184" t="str">
        <f>IFERROR(__xludf.DUMMYFUNCTION("""COMPUTED_VALUE"""),"VASQUEZ MUÑOZ, LUCIA")</f>
        <v>VASQUEZ MUÑOZ, LUCIA</v>
      </c>
      <c r="D3184" t="str">
        <f>IFERROR(__xludf.DUMMYFUNCTION("""COMPUTED_VALUE"""),"Tech 7S2")</f>
        <v>Tech 7S2</v>
      </c>
      <c r="E3184" s="31" t="str">
        <f>IFERROR(__xludf.DUMMYFUNCTION("""COMPUTED_VALUE"""),"2b")</f>
        <v>2b</v>
      </c>
      <c r="F3184" s="8">
        <v>1.0</v>
      </c>
      <c r="G3184" s="8">
        <v>1.0</v>
      </c>
      <c r="H3184" s="8">
        <v>1.0</v>
      </c>
      <c r="I3184" s="8">
        <v>1.0</v>
      </c>
      <c r="J3184" s="8">
        <v>1.0</v>
      </c>
      <c r="K3184" s="8">
        <v>1.0</v>
      </c>
      <c r="L3184" s="8">
        <v>6.0</v>
      </c>
      <c r="M3184" s="8"/>
      <c r="N3184" s="8"/>
      <c r="O3184" s="8" t="s">
        <v>850</v>
      </c>
      <c r="P3184" s="8" t="e">
        <v>#N/A</v>
      </c>
    </row>
    <row r="3185">
      <c r="A3185">
        <f>IFERROR(__xludf.DUMMYFUNCTION("""COMPUTED_VALUE"""),7.0)</f>
        <v>7</v>
      </c>
      <c r="B3185">
        <f>IFERROR(__xludf.DUMMYFUNCTION("""COMPUTED_VALUE"""),30162.0)</f>
        <v>30162</v>
      </c>
      <c r="C3185" t="str">
        <f>IFERROR(__xludf.DUMMYFUNCTION("""COMPUTED_VALUE"""),"VASQUEZ TAMAYO, ISABEL")</f>
        <v>VASQUEZ TAMAYO, ISABEL</v>
      </c>
      <c r="D3185" t="str">
        <f>IFERROR(__xludf.DUMMYFUNCTION("""COMPUTED_VALUE"""),"Art 7S2")</f>
        <v>Art 7S2</v>
      </c>
      <c r="E3185" s="31" t="str">
        <f>IFERROR(__xludf.DUMMYFUNCTION("""COMPUTED_VALUE"""),"1a")</f>
        <v>1a</v>
      </c>
      <c r="F3185" s="8">
        <v>1.0</v>
      </c>
      <c r="G3185" s="8">
        <v>1.0</v>
      </c>
      <c r="H3185" s="8">
        <v>1.0</v>
      </c>
      <c r="I3185" s="8">
        <v>1.0</v>
      </c>
      <c r="J3185" s="8">
        <v>1.0</v>
      </c>
      <c r="K3185" s="8">
        <v>1.0</v>
      </c>
      <c r="L3185" s="8">
        <v>6.0</v>
      </c>
      <c r="M3185" s="8"/>
      <c r="N3185" s="8"/>
      <c r="O3185" s="8" t="s">
        <v>849</v>
      </c>
      <c r="P3185" s="8" t="e">
        <v>#N/A</v>
      </c>
    </row>
    <row r="3186">
      <c r="A3186">
        <f>IFERROR(__xludf.DUMMYFUNCTION("""COMPUTED_VALUE"""),7.0)</f>
        <v>7</v>
      </c>
      <c r="B3186">
        <f>IFERROR(__xludf.DUMMYFUNCTION("""COMPUTED_VALUE"""),30163.0)</f>
        <v>30163</v>
      </c>
      <c r="C3186" t="str">
        <f>IFERROR(__xludf.DUMMYFUNCTION("""COMPUTED_VALUE"""),"VASQUEZ TAMAYO, PABLO")</f>
        <v>VASQUEZ TAMAYO, PABLO</v>
      </c>
      <c r="D3186" t="str">
        <f>IFERROR(__xludf.DUMMYFUNCTION("""COMPUTED_VALUE"""),"Band 7S2")</f>
        <v>Band 7S2</v>
      </c>
      <c r="E3186" s="31" t="str">
        <f>IFERROR(__xludf.DUMMYFUNCTION("""COMPUTED_VALUE"""),"1a")</f>
        <v>1a</v>
      </c>
      <c r="F3186" s="8">
        <v>1.0</v>
      </c>
      <c r="G3186" s="8">
        <v>1.0</v>
      </c>
      <c r="H3186" s="8">
        <v>1.0</v>
      </c>
      <c r="I3186" s="8">
        <v>1.0</v>
      </c>
      <c r="J3186" s="8">
        <v>1.0</v>
      </c>
      <c r="K3186" s="8">
        <v>1.0</v>
      </c>
      <c r="L3186" s="8">
        <v>6.0</v>
      </c>
      <c r="M3186" s="8"/>
      <c r="N3186" s="8"/>
      <c r="O3186" s="8" t="s">
        <v>847</v>
      </c>
      <c r="P3186" s="8" t="e">
        <v>#N/A</v>
      </c>
    </row>
    <row r="3187">
      <c r="A3187">
        <f>IFERROR(__xludf.DUMMYFUNCTION("""COMPUTED_VALUE"""),7.0)</f>
        <v>7</v>
      </c>
      <c r="B3187">
        <f>IFERROR(__xludf.DUMMYFUNCTION("""COMPUTED_VALUE"""),30164.0)</f>
        <v>30164</v>
      </c>
      <c r="C3187" t="str">
        <f>IFERROR(__xludf.DUMMYFUNCTION("""COMPUTED_VALUE"""),"VASQUEZ TAMAYO, SAMUEL")</f>
        <v>VASQUEZ TAMAYO, SAMUEL</v>
      </c>
      <c r="D3187" t="str">
        <f>IFERROR(__xludf.DUMMYFUNCTION("""COMPUTED_VALUE"""),"Band 7S2")</f>
        <v>Band 7S2</v>
      </c>
      <c r="E3187" s="31" t="str">
        <f>IFERROR(__xludf.DUMMYFUNCTION("""COMPUTED_VALUE"""),"4b")</f>
        <v>4b</v>
      </c>
      <c r="F3187" s="8">
        <v>1.0</v>
      </c>
      <c r="G3187" s="8">
        <v>1.0</v>
      </c>
      <c r="H3187" s="8">
        <v>1.0</v>
      </c>
      <c r="I3187" s="8">
        <v>1.0</v>
      </c>
      <c r="J3187" s="8">
        <v>1.0</v>
      </c>
      <c r="K3187" s="8">
        <v>1.0</v>
      </c>
      <c r="L3187" s="8">
        <v>6.0</v>
      </c>
      <c r="M3187" s="8"/>
      <c r="N3187" s="8"/>
      <c r="O3187" s="8" t="s">
        <v>843</v>
      </c>
      <c r="P3187" s="8" t="e">
        <v>#N/A</v>
      </c>
    </row>
    <row r="3188">
      <c r="A3188">
        <f>IFERROR(__xludf.DUMMYFUNCTION("""COMPUTED_VALUE"""),7.0)</f>
        <v>7</v>
      </c>
      <c r="B3188">
        <f>IFERROR(__xludf.DUMMYFUNCTION("""COMPUTED_VALUE"""),30120.0)</f>
        <v>30120</v>
      </c>
      <c r="C3188" t="str">
        <f>IFERROR(__xludf.DUMMYFUNCTION("""COMPUTED_VALUE"""),"VELASQUEZ URIBE, JUAN SEBASTIAN")</f>
        <v>VELASQUEZ URIBE, JUAN SEBASTIAN</v>
      </c>
      <c r="D3188" t="str">
        <f>IFERROR(__xludf.DUMMYFUNCTION("""COMPUTED_VALUE"""),"Tech 7S2")</f>
        <v>Tech 7S2</v>
      </c>
      <c r="E3188" s="31" t="str">
        <f>IFERROR(__xludf.DUMMYFUNCTION("""COMPUTED_VALUE"""),"6a")</f>
        <v>6a</v>
      </c>
      <c r="F3188" s="8">
        <v>1.0</v>
      </c>
      <c r="G3188" s="8">
        <v>1.0</v>
      </c>
      <c r="H3188" s="8">
        <v>1.0</v>
      </c>
      <c r="I3188" s="8">
        <v>1.0</v>
      </c>
      <c r="J3188" s="8">
        <v>1.0</v>
      </c>
      <c r="K3188" s="8">
        <v>1.0</v>
      </c>
      <c r="L3188" s="8">
        <v>6.0</v>
      </c>
      <c r="M3188" s="8"/>
      <c r="N3188" s="8"/>
      <c r="O3188" s="8" t="s">
        <v>846</v>
      </c>
      <c r="P3188" s="8" t="e">
        <v>#N/A</v>
      </c>
    </row>
    <row r="3189">
      <c r="A3189">
        <f>IFERROR(__xludf.DUMMYFUNCTION("""COMPUTED_VALUE"""),7.0)</f>
        <v>7</v>
      </c>
      <c r="B3189">
        <f>IFERROR(__xludf.DUMMYFUNCTION("""COMPUTED_VALUE"""),30121.0)</f>
        <v>30121</v>
      </c>
      <c r="C3189" t="str">
        <f>IFERROR(__xludf.DUMMYFUNCTION("""COMPUTED_VALUE"""),"VELEZ ECHANDIA, DANIEL")</f>
        <v>VELEZ ECHANDIA, DANIEL</v>
      </c>
      <c r="D3189" t="str">
        <f>IFERROR(__xludf.DUMMYFUNCTION("""COMPUTED_VALUE"""),"Band 7S2")</f>
        <v>Band 7S2</v>
      </c>
      <c r="E3189" s="31" t="str">
        <f>IFERROR(__xludf.DUMMYFUNCTION("""COMPUTED_VALUE"""),"2b")</f>
        <v>2b</v>
      </c>
      <c r="F3189" s="8">
        <v>1.0</v>
      </c>
      <c r="G3189" s="8">
        <v>1.0</v>
      </c>
      <c r="H3189" s="8">
        <v>1.0</v>
      </c>
      <c r="I3189" s="8">
        <v>1.0</v>
      </c>
      <c r="J3189" s="8">
        <v>1.0</v>
      </c>
      <c r="K3189" s="8">
        <v>1.0</v>
      </c>
      <c r="L3189" s="8">
        <v>6.0</v>
      </c>
      <c r="M3189" s="8"/>
      <c r="N3189" s="8"/>
      <c r="O3189" s="8" t="s">
        <v>845</v>
      </c>
      <c r="P3189" s="8" t="e">
        <v>#N/A</v>
      </c>
    </row>
    <row r="3190">
      <c r="A3190">
        <f>IFERROR(__xludf.DUMMYFUNCTION("""COMPUTED_VALUE"""),7.0)</f>
        <v>7</v>
      </c>
      <c r="B3190">
        <f>IFERROR(__xludf.DUMMYFUNCTION("""COMPUTED_VALUE"""),30122.0)</f>
        <v>30122</v>
      </c>
      <c r="C3190" t="str">
        <f>IFERROR(__xludf.DUMMYFUNCTION("""COMPUTED_VALUE"""),"VILLEGAS MEJIA, MARTIN")</f>
        <v>VILLEGAS MEJIA, MARTIN</v>
      </c>
      <c r="D3190" t="str">
        <f>IFERROR(__xludf.DUMMYFUNCTION("""COMPUTED_VALUE"""),"Band 7S2")</f>
        <v>Band 7S2</v>
      </c>
      <c r="E3190" s="31" t="str">
        <f>IFERROR(__xludf.DUMMYFUNCTION("""COMPUTED_VALUE"""),"1a")</f>
        <v>1a</v>
      </c>
      <c r="F3190" s="8">
        <v>1.0</v>
      </c>
      <c r="G3190" s="8">
        <v>1.0</v>
      </c>
      <c r="H3190" s="8">
        <v>1.0</v>
      </c>
      <c r="I3190" s="8">
        <v>1.0</v>
      </c>
      <c r="J3190" s="8">
        <v>1.0</v>
      </c>
      <c r="K3190" s="8">
        <v>1.0</v>
      </c>
      <c r="L3190" s="8">
        <v>6.0</v>
      </c>
      <c r="M3190" s="8"/>
      <c r="N3190" s="8"/>
      <c r="O3190" s="8" t="s">
        <v>847</v>
      </c>
      <c r="P3190" s="8" t="e">
        <v>#N/A</v>
      </c>
    </row>
    <row r="3191">
      <c r="A3191">
        <f>IFERROR(__xludf.DUMMYFUNCTION("""COMPUTED_VALUE"""),7.0)</f>
        <v>7</v>
      </c>
      <c r="B3191">
        <f>IFERROR(__xludf.DUMMYFUNCTION("""COMPUTED_VALUE"""),30123.0)</f>
        <v>30123</v>
      </c>
      <c r="C3191" t="str">
        <f>IFERROR(__xludf.DUMMYFUNCTION("""COMPUTED_VALUE"""),"YACAMAN RESTREPO, TOMAS")</f>
        <v>YACAMAN RESTREPO, TOMAS</v>
      </c>
      <c r="D3191" t="str">
        <f>IFERROR(__xludf.DUMMYFUNCTION("""COMPUTED_VALUE"""),"Tech 7S2")</f>
        <v>Tech 7S2</v>
      </c>
      <c r="E3191" s="31" t="str">
        <f>IFERROR(__xludf.DUMMYFUNCTION("""COMPUTED_VALUE"""),"1a")</f>
        <v>1a</v>
      </c>
      <c r="F3191" s="8">
        <v>1.0</v>
      </c>
      <c r="G3191" s="8">
        <v>1.0</v>
      </c>
      <c r="H3191" s="8">
        <v>1.0</v>
      </c>
      <c r="I3191" s="8">
        <v>1.0</v>
      </c>
      <c r="J3191" s="8">
        <v>1.0</v>
      </c>
      <c r="K3191" s="8">
        <v>1.0</v>
      </c>
      <c r="L3191" s="8">
        <v>6.0</v>
      </c>
      <c r="M3191" s="8"/>
      <c r="N3191" s="8"/>
      <c r="O3191" s="8" t="s">
        <v>848</v>
      </c>
      <c r="P3191" s="8" t="e">
        <v>#N/A</v>
      </c>
    </row>
    <row r="3192">
      <c r="A3192">
        <f>IFERROR(__xludf.DUMMYFUNCTION("""COMPUTED_VALUE"""),7.0)</f>
        <v>7</v>
      </c>
      <c r="B3192">
        <f>IFERROR(__xludf.DUMMYFUNCTION("""COMPUTED_VALUE"""),30124.0)</f>
        <v>30124</v>
      </c>
      <c r="C3192" t="str">
        <f>IFERROR(__xludf.DUMMYFUNCTION("""COMPUTED_VALUE"""),"YEPES RAMIREZ, LUCIANA")</f>
        <v>YEPES RAMIREZ, LUCIANA</v>
      </c>
      <c r="D3192" t="str">
        <f>IFERROR(__xludf.DUMMYFUNCTION("""COMPUTED_VALUE"""),"Band 7S2")</f>
        <v>Band 7S2</v>
      </c>
      <c r="E3192" s="31" t="str">
        <f>IFERROR(__xludf.DUMMYFUNCTION("""COMPUTED_VALUE"""),"2b")</f>
        <v>2b</v>
      </c>
      <c r="F3192" s="8">
        <v>1.0</v>
      </c>
      <c r="G3192" s="8">
        <v>1.0</v>
      </c>
      <c r="H3192" s="8">
        <v>1.0</v>
      </c>
      <c r="I3192" s="8">
        <v>1.0</v>
      </c>
      <c r="J3192" s="8">
        <v>1.0</v>
      </c>
      <c r="K3192" s="8">
        <v>1.0</v>
      </c>
      <c r="L3192" s="8">
        <v>6.0</v>
      </c>
      <c r="M3192" s="8"/>
      <c r="N3192" s="8"/>
      <c r="O3192" s="8" t="s">
        <v>845</v>
      </c>
      <c r="P3192" s="8" t="e">
        <v>#N/A</v>
      </c>
    </row>
    <row r="3193">
      <c r="A3193">
        <f>IFERROR(__xludf.DUMMYFUNCTION("""COMPUTED_VALUE"""),7.0)</f>
        <v>7</v>
      </c>
      <c r="B3193">
        <f>IFERROR(__xludf.DUMMYFUNCTION("""COMPUTED_VALUE"""),30125.0)</f>
        <v>30125</v>
      </c>
      <c r="C3193" t="str">
        <f>IFERROR(__xludf.DUMMYFUNCTION("""COMPUTED_VALUE"""),"ZAPATA URIBE, MARTINA")</f>
        <v>ZAPATA URIBE, MARTINA</v>
      </c>
      <c r="D3193" t="str">
        <f>IFERROR(__xludf.DUMMYFUNCTION("""COMPUTED_VALUE"""),"Band 7S2")</f>
        <v>Band 7S2</v>
      </c>
      <c r="E3193" s="31" t="str">
        <f>IFERROR(__xludf.DUMMYFUNCTION("""COMPUTED_VALUE"""),"4b")</f>
        <v>4b</v>
      </c>
      <c r="F3193" s="8">
        <v>1.0</v>
      </c>
      <c r="G3193" s="8">
        <v>1.0</v>
      </c>
      <c r="H3193" s="8">
        <v>1.0</v>
      </c>
      <c r="I3193" s="8">
        <v>1.0</v>
      </c>
      <c r="J3193" s="8">
        <v>1.0</v>
      </c>
      <c r="K3193" s="8">
        <v>1.0</v>
      </c>
      <c r="L3193" s="8">
        <v>6.0</v>
      </c>
      <c r="M3193" s="8"/>
      <c r="N3193" s="8"/>
      <c r="O3193" s="8" t="s">
        <v>843</v>
      </c>
      <c r="P3193" s="8" t="e">
        <v>#N/A</v>
      </c>
    </row>
    <row r="3194">
      <c r="A3194">
        <f>IFERROR(__xludf.DUMMYFUNCTION("""COMPUTED_VALUE"""),7.0)</f>
        <v>7</v>
      </c>
      <c r="B3194">
        <f>IFERROR(__xludf.DUMMYFUNCTION("""COMPUTED_VALUE"""),30126.0)</f>
        <v>30126</v>
      </c>
      <c r="C3194" t="str">
        <f>IFERROR(__xludf.DUMMYFUNCTION("""COMPUTED_VALUE"""),"ZULOAGA AYUB, NICOLAS")</f>
        <v>ZULOAGA AYUB, NICOLAS</v>
      </c>
      <c r="D3194" t="str">
        <f>IFERROR(__xludf.DUMMYFUNCTION("""COMPUTED_VALUE"""),"Tech 7S2")</f>
        <v>Tech 7S2</v>
      </c>
      <c r="E3194" s="31" t="str">
        <f>IFERROR(__xludf.DUMMYFUNCTION("""COMPUTED_VALUE"""),"6a")</f>
        <v>6a</v>
      </c>
      <c r="F3194" s="8">
        <v>1.0</v>
      </c>
      <c r="G3194" s="8">
        <v>1.0</v>
      </c>
      <c r="H3194" s="8">
        <v>1.0</v>
      </c>
      <c r="I3194" s="8">
        <v>1.0</v>
      </c>
      <c r="J3194" s="8">
        <v>1.0</v>
      </c>
      <c r="K3194" s="8">
        <v>1.0</v>
      </c>
      <c r="L3194" s="8">
        <v>6.0</v>
      </c>
      <c r="M3194" s="8"/>
      <c r="N3194" s="8"/>
      <c r="O3194" s="8" t="s">
        <v>846</v>
      </c>
      <c r="P3194" s="8" t="e">
        <v>#N/A</v>
      </c>
    </row>
    <row r="3195">
      <c r="A3195">
        <f>IFERROR(__xludf.DUMMYFUNCTION("""COMPUTED_VALUE"""),7.0)</f>
        <v>7</v>
      </c>
      <c r="B3195">
        <f>IFERROR(__xludf.DUMMYFUNCTION("""COMPUTED_VALUE"""),30127.0)</f>
        <v>30127</v>
      </c>
      <c r="C3195" t="str">
        <f>IFERROR(__xludf.DUMMYFUNCTION("""COMPUTED_VALUE"""),"ZULUAGA SIERRA, MATIAS")</f>
        <v>ZULUAGA SIERRA, MATIAS</v>
      </c>
      <c r="D3195" t="str">
        <f>IFERROR(__xludf.DUMMYFUNCTION("""COMPUTED_VALUE"""),"Band 7S2")</f>
        <v>Band 7S2</v>
      </c>
      <c r="E3195" s="31" t="str">
        <f>IFERROR(__xludf.DUMMYFUNCTION("""COMPUTED_VALUE"""),"2b")</f>
        <v>2b</v>
      </c>
      <c r="F3195" s="8">
        <v>1.0</v>
      </c>
      <c r="G3195" s="8">
        <v>1.0</v>
      </c>
      <c r="H3195" s="8">
        <v>1.0</v>
      </c>
      <c r="I3195" s="8">
        <v>1.0</v>
      </c>
      <c r="J3195" s="8">
        <v>1.0</v>
      </c>
      <c r="K3195" s="8">
        <v>1.0</v>
      </c>
      <c r="L3195" s="8">
        <v>6.0</v>
      </c>
      <c r="M3195" s="8"/>
      <c r="N3195" s="8"/>
      <c r="O3195" s="8" t="s">
        <v>845</v>
      </c>
      <c r="P3195" s="8" t="e">
        <v>#N/A</v>
      </c>
    </row>
    <row r="3196">
      <c r="A3196">
        <f>IFERROR(__xludf.DUMMYFUNCTION("""COMPUTED_VALUE"""),8.0)</f>
        <v>8</v>
      </c>
      <c r="B3196">
        <f>IFERROR(__xludf.DUMMYFUNCTION("""COMPUTED_VALUE"""),29001.0)</f>
        <v>29001</v>
      </c>
      <c r="C3196" t="str">
        <f>IFERROR(__xludf.DUMMYFUNCTION("""COMPUTED_VALUE"""),"ACEVEDO ARANGO, ROSARIO")</f>
        <v>ACEVEDO ARANGO, ROSARIO</v>
      </c>
      <c r="D3196" t="str">
        <f>IFERROR(__xludf.DUMMYFUNCTION("""COMPUTED_VALUE"""),"Art 8S2")</f>
        <v>Art 8S2</v>
      </c>
      <c r="E3196" s="31" t="str">
        <f>IFERROR(__xludf.DUMMYFUNCTION("""COMPUTED_VALUE"""),"4b")</f>
        <v>4b</v>
      </c>
      <c r="F3196" s="8">
        <v>1.0</v>
      </c>
      <c r="G3196" s="8">
        <v>1.0</v>
      </c>
      <c r="H3196" s="8">
        <v>1.0</v>
      </c>
      <c r="I3196" s="8">
        <v>1.0</v>
      </c>
      <c r="J3196" s="8">
        <v>1.0</v>
      </c>
      <c r="K3196" s="8">
        <v>1.0</v>
      </c>
      <c r="L3196" s="8">
        <v>6.0</v>
      </c>
      <c r="M3196" s="8"/>
      <c r="N3196" s="8"/>
      <c r="O3196" s="8" t="s">
        <v>851</v>
      </c>
      <c r="P3196" s="8" t="e">
        <v>#N/A</v>
      </c>
    </row>
    <row r="3197">
      <c r="A3197">
        <f>IFERROR(__xludf.DUMMYFUNCTION("""COMPUTED_VALUE"""),8.0)</f>
        <v>8</v>
      </c>
      <c r="B3197">
        <f>IFERROR(__xludf.DUMMYFUNCTION("""COMPUTED_VALUE"""),29002.0)</f>
        <v>29002</v>
      </c>
      <c r="C3197" t="str">
        <f>IFERROR(__xludf.DUMMYFUNCTION("""COMPUTED_VALUE"""),"ACEVEDO OCHOA, MARIA DEL MAR")</f>
        <v>ACEVEDO OCHOA, MARIA DEL MAR</v>
      </c>
      <c r="D3197" t="str">
        <f>IFERROR(__xludf.DUMMYFUNCTION("""COMPUTED_VALUE"""),"Band 8S2")</f>
        <v>Band 8S2</v>
      </c>
      <c r="E3197" s="31" t="str">
        <f>IFERROR(__xludf.DUMMYFUNCTION("""COMPUTED_VALUE"""),"1b")</f>
        <v>1b</v>
      </c>
      <c r="F3197" s="8">
        <v>1.0</v>
      </c>
      <c r="G3197" s="8">
        <v>1.0</v>
      </c>
      <c r="H3197" s="8">
        <v>1.0</v>
      </c>
      <c r="I3197" s="8">
        <v>1.0</v>
      </c>
      <c r="J3197" s="8">
        <v>1.0</v>
      </c>
      <c r="K3197" s="8">
        <v>1.0</v>
      </c>
      <c r="L3197" s="8">
        <v>6.0</v>
      </c>
      <c r="M3197" s="8"/>
      <c r="N3197" s="8"/>
      <c r="O3197" s="8" t="s">
        <v>852</v>
      </c>
      <c r="P3197" s="8" t="e">
        <v>#N/A</v>
      </c>
    </row>
    <row r="3198">
      <c r="A3198">
        <f>IFERROR(__xludf.DUMMYFUNCTION("""COMPUTED_VALUE"""),8.0)</f>
        <v>8</v>
      </c>
      <c r="B3198">
        <f>IFERROR(__xludf.DUMMYFUNCTION("""COMPUTED_VALUE"""),29003.0)</f>
        <v>29003</v>
      </c>
      <c r="C3198" t="str">
        <f>IFERROR(__xludf.DUMMYFUNCTION("""COMPUTED_VALUE"""),"ACEVEDO OROZCO, MARIA CELESTE")</f>
        <v>ACEVEDO OROZCO, MARIA CELESTE</v>
      </c>
      <c r="D3198" t="str">
        <f>IFERROR(__xludf.DUMMYFUNCTION("""COMPUTED_VALUE"""),"Art 8S2")</f>
        <v>Art 8S2</v>
      </c>
      <c r="E3198" s="31" t="str">
        <f>IFERROR(__xludf.DUMMYFUNCTION("""COMPUTED_VALUE"""),"5a")</f>
        <v>5a</v>
      </c>
      <c r="F3198" s="8">
        <v>1.0</v>
      </c>
      <c r="G3198" s="8">
        <v>1.0</v>
      </c>
      <c r="H3198" s="8">
        <v>1.0</v>
      </c>
      <c r="I3198" s="8">
        <v>1.0</v>
      </c>
      <c r="J3198" s="8">
        <v>1.0</v>
      </c>
      <c r="K3198" s="8">
        <v>1.0</v>
      </c>
      <c r="L3198" s="8">
        <v>6.0</v>
      </c>
      <c r="M3198" s="8"/>
      <c r="N3198" s="8"/>
      <c r="O3198" s="8" t="s">
        <v>853</v>
      </c>
      <c r="P3198" s="8" t="e">
        <v>#N/A</v>
      </c>
    </row>
    <row r="3199">
      <c r="A3199">
        <f>IFERROR(__xludf.DUMMYFUNCTION("""COMPUTED_VALUE"""),8.0)</f>
        <v>8</v>
      </c>
      <c r="B3199">
        <f>IFERROR(__xludf.DUMMYFUNCTION("""COMPUTED_VALUE"""),29004.0)</f>
        <v>29004</v>
      </c>
      <c r="C3199" t="str">
        <f>IFERROR(__xludf.DUMMYFUNCTION("""COMPUTED_VALUE"""),"AGUIRRE ARANGO, DAVID")</f>
        <v>AGUIRRE ARANGO, DAVID</v>
      </c>
      <c r="D3199" t="str">
        <f>IFERROR(__xludf.DUMMYFUNCTION("""COMPUTED_VALUE"""),"Band 8S2")</f>
        <v>Band 8S2</v>
      </c>
      <c r="E3199" s="31" t="str">
        <f>IFERROR(__xludf.DUMMYFUNCTION("""COMPUTED_VALUE"""),"6b")</f>
        <v>6b</v>
      </c>
      <c r="F3199" s="8">
        <v>1.0</v>
      </c>
      <c r="G3199" s="8">
        <v>1.0</v>
      </c>
      <c r="H3199" s="8">
        <v>1.0</v>
      </c>
      <c r="I3199" s="8">
        <v>1.0</v>
      </c>
      <c r="J3199" s="8">
        <v>1.0</v>
      </c>
      <c r="K3199" s="8">
        <v>1.0</v>
      </c>
      <c r="L3199" s="8">
        <v>6.0</v>
      </c>
      <c r="M3199" s="8"/>
      <c r="N3199" s="8"/>
      <c r="O3199" s="8" t="s">
        <v>854</v>
      </c>
      <c r="P3199" s="8" t="e">
        <v>#N/A</v>
      </c>
    </row>
    <row r="3200">
      <c r="A3200">
        <f>IFERROR(__xludf.DUMMYFUNCTION("""COMPUTED_VALUE"""),8.0)</f>
        <v>8</v>
      </c>
      <c r="B3200">
        <f>IFERROR(__xludf.DUMMYFUNCTION("""COMPUTED_VALUE"""),29170.0)</f>
        <v>29170</v>
      </c>
      <c r="C3200" t="str">
        <f>IFERROR(__xludf.DUMMYFUNCTION("""COMPUTED_VALUE"""),"ALVAREZ CARDENAS, JUAN EMILIO")</f>
        <v>ALVAREZ CARDENAS, JUAN EMILIO</v>
      </c>
      <c r="D3200" t="str">
        <f>IFERROR(__xludf.DUMMYFUNCTION("""COMPUTED_VALUE"""),"Band 8S2")</f>
        <v>Band 8S2</v>
      </c>
      <c r="E3200" s="31" t="str">
        <f>IFERROR(__xludf.DUMMYFUNCTION("""COMPUTED_VALUE"""),"1b")</f>
        <v>1b</v>
      </c>
      <c r="F3200" s="8">
        <v>1.0</v>
      </c>
      <c r="G3200" s="8">
        <v>1.0</v>
      </c>
      <c r="H3200" s="8">
        <v>1.0</v>
      </c>
      <c r="I3200" s="8">
        <v>1.0</v>
      </c>
      <c r="J3200" s="8">
        <v>1.0</v>
      </c>
      <c r="K3200" s="8">
        <v>1.0</v>
      </c>
      <c r="L3200" s="8">
        <v>6.0</v>
      </c>
      <c r="M3200" s="8"/>
      <c r="N3200" s="8"/>
      <c r="O3200" s="8" t="s">
        <v>852</v>
      </c>
      <c r="P3200" s="8" t="e">
        <v>#N/A</v>
      </c>
    </row>
    <row r="3201">
      <c r="A3201">
        <f>IFERROR(__xludf.DUMMYFUNCTION("""COMPUTED_VALUE"""),8.0)</f>
        <v>8</v>
      </c>
      <c r="B3201">
        <f>IFERROR(__xludf.DUMMYFUNCTION("""COMPUTED_VALUE"""),29007.0)</f>
        <v>29007</v>
      </c>
      <c r="C3201" t="str">
        <f>IFERROR(__xludf.DUMMYFUNCTION("""COMPUTED_VALUE"""),"ALZATE GARCIA, LUCIANA")</f>
        <v>ALZATE GARCIA, LUCIANA</v>
      </c>
      <c r="D3201" t="str">
        <f>IFERROR(__xludf.DUMMYFUNCTION("""COMPUTED_VALUE"""),"Band 8S2")</f>
        <v>Band 8S2</v>
      </c>
      <c r="E3201" s="31" t="str">
        <f>IFERROR(__xludf.DUMMYFUNCTION("""COMPUTED_VALUE"""),"1b")</f>
        <v>1b</v>
      </c>
      <c r="F3201" s="8">
        <v>1.0</v>
      </c>
      <c r="G3201" s="8">
        <v>1.0</v>
      </c>
      <c r="H3201" s="8">
        <v>1.0</v>
      </c>
      <c r="I3201" s="8">
        <v>1.0</v>
      </c>
      <c r="J3201" s="8">
        <v>1.0</v>
      </c>
      <c r="K3201" s="8">
        <v>1.0</v>
      </c>
      <c r="L3201" s="8">
        <v>6.0</v>
      </c>
      <c r="M3201" s="8"/>
      <c r="N3201" s="8"/>
      <c r="O3201" s="8" t="s">
        <v>852</v>
      </c>
      <c r="P3201" s="8" t="e">
        <v>#N/A</v>
      </c>
    </row>
    <row r="3202">
      <c r="A3202">
        <f>IFERROR(__xludf.DUMMYFUNCTION("""COMPUTED_VALUE"""),8.0)</f>
        <v>8</v>
      </c>
      <c r="B3202">
        <f>IFERROR(__xludf.DUMMYFUNCTION("""COMPUTED_VALUE"""),29008.0)</f>
        <v>29008</v>
      </c>
      <c r="C3202" t="str">
        <f>IFERROR(__xludf.DUMMYFUNCTION("""COMPUTED_VALUE"""),"APA ECHAVARRIA, LORENZO")</f>
        <v>APA ECHAVARRIA, LORENZO</v>
      </c>
      <c r="D3202" t="str">
        <f>IFERROR(__xludf.DUMMYFUNCTION("""COMPUTED_VALUE"""),"Band 8S2")</f>
        <v>Band 8S2</v>
      </c>
      <c r="E3202" s="31" t="str">
        <f>IFERROR(__xludf.DUMMYFUNCTION("""COMPUTED_VALUE"""),"2a")</f>
        <v>2a</v>
      </c>
      <c r="F3202" s="8">
        <v>1.0</v>
      </c>
      <c r="G3202" s="8">
        <v>1.0</v>
      </c>
      <c r="H3202" s="8">
        <v>1.0</v>
      </c>
      <c r="I3202" s="8">
        <v>1.0</v>
      </c>
      <c r="J3202" s="8">
        <v>1.0</v>
      </c>
      <c r="K3202" s="8">
        <v>1.0</v>
      </c>
      <c r="L3202" s="8">
        <v>6.0</v>
      </c>
      <c r="M3202" s="8"/>
      <c r="N3202" s="8"/>
      <c r="O3202" s="8" t="s">
        <v>855</v>
      </c>
      <c r="P3202" s="8" t="e">
        <v>#N/A</v>
      </c>
    </row>
    <row r="3203">
      <c r="A3203">
        <f>IFERROR(__xludf.DUMMYFUNCTION("""COMPUTED_VALUE"""),8.0)</f>
        <v>8</v>
      </c>
      <c r="B3203">
        <f>IFERROR(__xludf.DUMMYFUNCTION("""COMPUTED_VALUE"""),29009.0)</f>
        <v>29009</v>
      </c>
      <c r="C3203" t="str">
        <f>IFERROR(__xludf.DUMMYFUNCTION("""COMPUTED_VALUE"""),"ARANGO MOLINA, ALICIA")</f>
        <v>ARANGO MOLINA, ALICIA</v>
      </c>
      <c r="D3203" t="str">
        <f>IFERROR(__xludf.DUMMYFUNCTION("""COMPUTED_VALUE"""),"Band 8S2")</f>
        <v>Band 8S2</v>
      </c>
      <c r="E3203" s="31" t="str">
        <f>IFERROR(__xludf.DUMMYFUNCTION("""COMPUTED_VALUE"""),"1b")</f>
        <v>1b</v>
      </c>
      <c r="F3203" s="8">
        <v>1.0</v>
      </c>
      <c r="G3203" s="8">
        <v>1.0</v>
      </c>
      <c r="H3203" s="8">
        <v>1.0</v>
      </c>
      <c r="I3203" s="8">
        <v>1.0</v>
      </c>
      <c r="J3203" s="8">
        <v>1.0</v>
      </c>
      <c r="K3203" s="8">
        <v>1.0</v>
      </c>
      <c r="L3203" s="8">
        <v>6.0</v>
      </c>
      <c r="M3203" s="8"/>
      <c r="N3203" s="8"/>
      <c r="O3203" s="8" t="s">
        <v>852</v>
      </c>
      <c r="P3203" s="8" t="e">
        <v>#N/A</v>
      </c>
    </row>
    <row r="3204">
      <c r="A3204">
        <f>IFERROR(__xludf.DUMMYFUNCTION("""COMPUTED_VALUE"""),8.0)</f>
        <v>8</v>
      </c>
      <c r="B3204">
        <f>IFERROR(__xludf.DUMMYFUNCTION("""COMPUTED_VALUE"""),29010.0)</f>
        <v>29010</v>
      </c>
      <c r="C3204" t="str">
        <f>IFERROR(__xludf.DUMMYFUNCTION("""COMPUTED_VALUE"""),"ARANGO NAVARRO, MANUELA")</f>
        <v>ARANGO NAVARRO, MANUELA</v>
      </c>
      <c r="D3204" t="str">
        <f>IFERROR(__xludf.DUMMYFUNCTION("""COMPUTED_VALUE"""),"Art 8S2")</f>
        <v>Art 8S2</v>
      </c>
      <c r="E3204" s="31" t="str">
        <f>IFERROR(__xludf.DUMMYFUNCTION("""COMPUTED_VALUE"""),"4b")</f>
        <v>4b</v>
      </c>
      <c r="F3204" s="8">
        <v>1.0</v>
      </c>
      <c r="G3204" s="8">
        <v>1.0</v>
      </c>
      <c r="H3204" s="8">
        <v>1.0</v>
      </c>
      <c r="I3204" s="8">
        <v>1.0</v>
      </c>
      <c r="J3204" s="8">
        <v>1.0</v>
      </c>
      <c r="K3204" s="8">
        <v>1.0</v>
      </c>
      <c r="L3204" s="8">
        <v>6.0</v>
      </c>
      <c r="M3204" s="8"/>
      <c r="N3204" s="8"/>
      <c r="O3204" s="8" t="s">
        <v>851</v>
      </c>
      <c r="P3204" s="8" t="e">
        <v>#N/A</v>
      </c>
    </row>
    <row r="3205">
      <c r="A3205">
        <f>IFERROR(__xludf.DUMMYFUNCTION("""COMPUTED_VALUE"""),8.0)</f>
        <v>8</v>
      </c>
      <c r="B3205">
        <f>IFERROR(__xludf.DUMMYFUNCTION("""COMPUTED_VALUE"""),29011.0)</f>
        <v>29011</v>
      </c>
      <c r="C3205" t="str">
        <f>IFERROR(__xludf.DUMMYFUNCTION("""COMPUTED_VALUE"""),"ARANGO RUBIO, ROSARIO")</f>
        <v>ARANGO RUBIO, ROSARIO</v>
      </c>
      <c r="D3205" t="str">
        <f>IFERROR(__xludf.DUMMYFUNCTION("""COMPUTED_VALUE"""),"Band 8S2")</f>
        <v>Band 8S2</v>
      </c>
      <c r="E3205" s="31" t="str">
        <f>IFERROR(__xludf.DUMMYFUNCTION("""COMPUTED_VALUE"""),"6b")</f>
        <v>6b</v>
      </c>
      <c r="F3205" s="8">
        <v>1.0</v>
      </c>
      <c r="G3205" s="8">
        <v>1.0</v>
      </c>
      <c r="H3205" s="8">
        <v>1.0</v>
      </c>
      <c r="I3205" s="8">
        <v>1.0</v>
      </c>
      <c r="J3205" s="8">
        <v>1.0</v>
      </c>
      <c r="K3205" s="8">
        <v>1.0</v>
      </c>
      <c r="L3205" s="8">
        <v>6.0</v>
      </c>
      <c r="M3205" s="8"/>
      <c r="N3205" s="8"/>
      <c r="O3205" s="8" t="s">
        <v>854</v>
      </c>
      <c r="P3205" s="8" t="e">
        <v>#N/A</v>
      </c>
    </row>
    <row r="3206">
      <c r="A3206">
        <f>IFERROR(__xludf.DUMMYFUNCTION("""COMPUTED_VALUE"""),8.0)</f>
        <v>8</v>
      </c>
      <c r="B3206">
        <f>IFERROR(__xludf.DUMMYFUNCTION("""COMPUTED_VALUE"""),29012.0)</f>
        <v>29012</v>
      </c>
      <c r="C3206" t="str">
        <f>IFERROR(__xludf.DUMMYFUNCTION("""COMPUTED_VALUE"""),"ARANGO VILLA, TOMAS")</f>
        <v>ARANGO VILLA, TOMAS</v>
      </c>
      <c r="D3206" t="str">
        <f>IFERROR(__xludf.DUMMYFUNCTION("""COMPUTED_VALUE"""),"Band 8S2")</f>
        <v>Band 8S2</v>
      </c>
      <c r="E3206" s="31" t="str">
        <f>IFERROR(__xludf.DUMMYFUNCTION("""COMPUTED_VALUE"""),"1b")</f>
        <v>1b</v>
      </c>
      <c r="F3206" s="8">
        <v>1.0</v>
      </c>
      <c r="G3206" s="8">
        <v>1.0</v>
      </c>
      <c r="H3206" s="8">
        <v>1.0</v>
      </c>
      <c r="I3206" s="8">
        <v>1.0</v>
      </c>
      <c r="J3206" s="8">
        <v>1.0</v>
      </c>
      <c r="K3206" s="8">
        <v>1.0</v>
      </c>
      <c r="L3206" s="8">
        <v>6.0</v>
      </c>
      <c r="M3206" s="8"/>
      <c r="N3206" s="8"/>
      <c r="O3206" s="8" t="s">
        <v>852</v>
      </c>
      <c r="P3206" s="8" t="e">
        <v>#N/A</v>
      </c>
    </row>
    <row r="3207">
      <c r="A3207">
        <f>IFERROR(__xludf.DUMMYFUNCTION("""COMPUTED_VALUE"""),8.0)</f>
        <v>8</v>
      </c>
      <c r="B3207">
        <f>IFERROR(__xludf.DUMMYFUNCTION("""COMPUTED_VALUE"""),28006.0)</f>
        <v>28006</v>
      </c>
      <c r="C3207" t="str">
        <f>IFERROR(__xludf.DUMMYFUNCTION("""COMPUTED_VALUE"""),"ARISTIZABAL ECHAVARRIA, CRISTOBAL")</f>
        <v>ARISTIZABAL ECHAVARRIA, CRISTOBAL</v>
      </c>
      <c r="D3207" t="str">
        <f>IFERROR(__xludf.DUMMYFUNCTION("""COMPUTED_VALUE"""),"Band 8S2")</f>
        <v>Band 8S2</v>
      </c>
      <c r="E3207" s="31" t="str">
        <f>IFERROR(__xludf.DUMMYFUNCTION("""COMPUTED_VALUE"""),"2a")</f>
        <v>2a</v>
      </c>
      <c r="F3207" s="8">
        <v>1.0</v>
      </c>
      <c r="G3207" s="8">
        <v>1.0</v>
      </c>
      <c r="H3207" s="8">
        <v>1.0</v>
      </c>
      <c r="I3207" s="8">
        <v>1.0</v>
      </c>
      <c r="J3207" s="8">
        <v>1.0</v>
      </c>
      <c r="K3207" s="8">
        <v>1.0</v>
      </c>
      <c r="L3207" s="8">
        <v>6.0</v>
      </c>
      <c r="M3207" s="8"/>
      <c r="N3207" s="8"/>
      <c r="O3207" s="8" t="s">
        <v>855</v>
      </c>
      <c r="P3207" s="8" t="e">
        <v>#N/A</v>
      </c>
    </row>
    <row r="3208">
      <c r="A3208">
        <f>IFERROR(__xludf.DUMMYFUNCTION("""COMPUTED_VALUE"""),8.0)</f>
        <v>8</v>
      </c>
      <c r="B3208">
        <f>IFERROR(__xludf.DUMMYFUNCTION("""COMPUTED_VALUE"""),29015.0)</f>
        <v>29015</v>
      </c>
      <c r="C3208" t="str">
        <f>IFERROR(__xludf.DUMMYFUNCTION("""COMPUTED_VALUE"""),"ARISTIZABAL URIBE, MATIAS")</f>
        <v>ARISTIZABAL URIBE, MATIAS</v>
      </c>
      <c r="D3208" t="str">
        <f>IFERROR(__xludf.DUMMYFUNCTION("""COMPUTED_VALUE"""),"Band 8S2")</f>
        <v>Band 8S2</v>
      </c>
      <c r="E3208" s="31" t="str">
        <f>IFERROR(__xludf.DUMMYFUNCTION("""COMPUTED_VALUE"""),"5b")</f>
        <v>5b</v>
      </c>
      <c r="F3208" s="8">
        <v>1.0</v>
      </c>
      <c r="G3208" s="8">
        <v>1.0</v>
      </c>
      <c r="H3208" s="8">
        <v>1.0</v>
      </c>
      <c r="I3208" s="8">
        <v>1.0</v>
      </c>
      <c r="J3208" s="8">
        <v>1.0</v>
      </c>
      <c r="K3208" s="8">
        <v>1.0</v>
      </c>
      <c r="L3208" s="8">
        <v>6.0</v>
      </c>
      <c r="M3208" s="8"/>
      <c r="N3208" s="8"/>
      <c r="O3208" s="8" t="s">
        <v>856</v>
      </c>
      <c r="P3208" s="8" t="e">
        <v>#N/A</v>
      </c>
    </row>
    <row r="3209">
      <c r="A3209">
        <f>IFERROR(__xludf.DUMMYFUNCTION("""COMPUTED_VALUE"""),8.0)</f>
        <v>8</v>
      </c>
      <c r="B3209">
        <f>IFERROR(__xludf.DUMMYFUNCTION("""COMPUTED_VALUE"""),29016.0)</f>
        <v>29016</v>
      </c>
      <c r="C3209" t="str">
        <f>IFERROR(__xludf.DUMMYFUNCTION("""COMPUTED_VALUE"""),"ARROYAVE LONDOÑO, ELISA")</f>
        <v>ARROYAVE LONDOÑO, ELISA</v>
      </c>
      <c r="D3209" t="str">
        <f>IFERROR(__xludf.DUMMYFUNCTION("""COMPUTED_VALUE"""),"Art 8S2")</f>
        <v>Art 8S2</v>
      </c>
      <c r="E3209" s="31" t="str">
        <f>IFERROR(__xludf.DUMMYFUNCTION("""COMPUTED_VALUE"""),"4b")</f>
        <v>4b</v>
      </c>
      <c r="F3209" s="8">
        <v>1.0</v>
      </c>
      <c r="G3209" s="8">
        <v>1.0</v>
      </c>
      <c r="H3209" s="8">
        <v>1.0</v>
      </c>
      <c r="I3209" s="8">
        <v>1.0</v>
      </c>
      <c r="J3209" s="8">
        <v>1.0</v>
      </c>
      <c r="K3209" s="8">
        <v>1.0</v>
      </c>
      <c r="L3209" s="8">
        <v>6.0</v>
      </c>
      <c r="M3209" s="8"/>
      <c r="N3209" s="8"/>
      <c r="O3209" s="8" t="s">
        <v>851</v>
      </c>
      <c r="P3209" s="8" t="e">
        <v>#N/A</v>
      </c>
    </row>
    <row r="3210">
      <c r="A3210">
        <f>IFERROR(__xludf.DUMMYFUNCTION("""COMPUTED_VALUE"""),8.0)</f>
        <v>8</v>
      </c>
      <c r="B3210">
        <f>IFERROR(__xludf.DUMMYFUNCTION("""COMPUTED_VALUE"""),29018.0)</f>
        <v>29018</v>
      </c>
      <c r="C3210" t="str">
        <f>IFERROR(__xludf.DUMMYFUNCTION("""COMPUTED_VALUE"""),"BAENA GIRALDO, VIOLETA")</f>
        <v>BAENA GIRALDO, VIOLETA</v>
      </c>
      <c r="D3210" t="str">
        <f>IFERROR(__xludf.DUMMYFUNCTION("""COMPUTED_VALUE"""),"Band 8S2")</f>
        <v>Band 8S2</v>
      </c>
      <c r="E3210" s="31" t="str">
        <f>IFERROR(__xludf.DUMMYFUNCTION("""COMPUTED_VALUE"""),"5b")</f>
        <v>5b</v>
      </c>
      <c r="F3210" s="8">
        <v>1.0</v>
      </c>
      <c r="G3210" s="8">
        <v>1.0</v>
      </c>
      <c r="H3210" s="8">
        <v>1.0</v>
      </c>
      <c r="I3210" s="8">
        <v>1.0</v>
      </c>
      <c r="J3210" s="8">
        <v>1.0</v>
      </c>
      <c r="K3210" s="8">
        <v>1.0</v>
      </c>
      <c r="L3210" s="8">
        <v>6.0</v>
      </c>
      <c r="M3210" s="8"/>
      <c r="N3210" s="8"/>
      <c r="O3210" s="8" t="s">
        <v>856</v>
      </c>
      <c r="P3210" s="8" t="e">
        <v>#N/A</v>
      </c>
    </row>
    <row r="3211">
      <c r="A3211">
        <f>IFERROR(__xludf.DUMMYFUNCTION("""COMPUTED_VALUE"""),8.0)</f>
        <v>8</v>
      </c>
      <c r="B3211">
        <f>IFERROR(__xludf.DUMMYFUNCTION("""COMPUTED_VALUE"""),29019.0)</f>
        <v>29019</v>
      </c>
      <c r="C3211" t="str">
        <f>IFERROR(__xludf.DUMMYFUNCTION("""COMPUTED_VALUE"""),"BARRIENTOS ALVAREZ, ELISA")</f>
        <v>BARRIENTOS ALVAREZ, ELISA</v>
      </c>
      <c r="D3211" t="str">
        <f>IFERROR(__xludf.DUMMYFUNCTION("""COMPUTED_VALUE"""),"Art 8S2")</f>
        <v>Art 8S2</v>
      </c>
      <c r="E3211" s="31" t="str">
        <f>IFERROR(__xludf.DUMMYFUNCTION("""COMPUTED_VALUE"""),"4b")</f>
        <v>4b</v>
      </c>
      <c r="F3211" s="8">
        <v>1.0</v>
      </c>
      <c r="G3211" s="8">
        <v>1.0</v>
      </c>
      <c r="H3211" s="8">
        <v>1.0</v>
      </c>
      <c r="I3211" s="8">
        <v>1.0</v>
      </c>
      <c r="J3211" s="8">
        <v>1.0</v>
      </c>
      <c r="K3211" s="8">
        <v>1.0</v>
      </c>
      <c r="L3211" s="8">
        <v>6.0</v>
      </c>
      <c r="M3211" s="8"/>
      <c r="N3211" s="8"/>
      <c r="O3211" s="8" t="s">
        <v>851</v>
      </c>
      <c r="P3211" s="8" t="e">
        <v>#N/A</v>
      </c>
    </row>
    <row r="3212">
      <c r="A3212">
        <f>IFERROR(__xludf.DUMMYFUNCTION("""COMPUTED_VALUE"""),8.0)</f>
        <v>8</v>
      </c>
      <c r="B3212">
        <f>IFERROR(__xludf.DUMMYFUNCTION("""COMPUTED_VALUE"""),29160.0)</f>
        <v>29160</v>
      </c>
      <c r="C3212" t="str">
        <f>IFERROR(__xludf.DUMMYFUNCTION("""COMPUTED_VALUE"""),"BARRIOS CASTILLO, NICOLAS GUILLERMO")</f>
        <v>BARRIOS CASTILLO, NICOLAS GUILLERMO</v>
      </c>
      <c r="D3212" t="str">
        <f>IFERROR(__xludf.DUMMYFUNCTION("""COMPUTED_VALUE"""),"Tech 8S2")</f>
        <v>Tech 8S2</v>
      </c>
      <c r="E3212" s="31" t="str">
        <f>IFERROR(__xludf.DUMMYFUNCTION("""COMPUTED_VALUE"""),"5a")</f>
        <v>5a</v>
      </c>
      <c r="F3212" s="8">
        <v>1.0</v>
      </c>
      <c r="G3212" s="8">
        <v>1.0</v>
      </c>
      <c r="H3212" s="8">
        <v>1.0</v>
      </c>
      <c r="I3212" s="8">
        <v>1.0</v>
      </c>
      <c r="J3212" s="8">
        <v>1.0</v>
      </c>
      <c r="K3212" s="8">
        <v>1.0</v>
      </c>
      <c r="L3212" s="8">
        <v>6.0</v>
      </c>
      <c r="M3212" s="8"/>
      <c r="N3212" s="8"/>
      <c r="O3212" s="8" t="s">
        <v>857</v>
      </c>
      <c r="P3212" s="8" t="e">
        <v>#N/A</v>
      </c>
    </row>
    <row r="3213">
      <c r="A3213">
        <f>IFERROR(__xludf.DUMMYFUNCTION("""COMPUTED_VALUE"""),8.0)</f>
        <v>8</v>
      </c>
      <c r="B3213">
        <f>IFERROR(__xludf.DUMMYFUNCTION("""COMPUTED_VALUE"""),29020.0)</f>
        <v>29020</v>
      </c>
      <c r="C3213" t="str">
        <f>IFERROR(__xludf.DUMMYFUNCTION("""COMPUTED_VALUE"""),"BETANCOURT QUINTERO, LUCAS")</f>
        <v>BETANCOURT QUINTERO, LUCAS</v>
      </c>
      <c r="D3213" t="str">
        <f>IFERROR(__xludf.DUMMYFUNCTION("""COMPUTED_VALUE"""),"Band 8S2")</f>
        <v>Band 8S2</v>
      </c>
      <c r="E3213" s="31" t="str">
        <f>IFERROR(__xludf.DUMMYFUNCTION("""COMPUTED_VALUE"""),"6b")</f>
        <v>6b</v>
      </c>
      <c r="F3213" s="8">
        <v>1.0</v>
      </c>
      <c r="G3213" s="8">
        <v>1.0</v>
      </c>
      <c r="H3213" s="8">
        <v>1.0</v>
      </c>
      <c r="I3213" s="8">
        <v>1.0</v>
      </c>
      <c r="J3213" s="8">
        <v>1.0</v>
      </c>
      <c r="K3213" s="8">
        <v>1.0</v>
      </c>
      <c r="L3213" s="8">
        <v>6.0</v>
      </c>
      <c r="M3213" s="8"/>
      <c r="N3213" s="8"/>
      <c r="O3213" s="8" t="s">
        <v>854</v>
      </c>
      <c r="P3213" s="8" t="e">
        <v>#N/A</v>
      </c>
    </row>
    <row r="3214">
      <c r="A3214">
        <f>IFERROR(__xludf.DUMMYFUNCTION("""COMPUTED_VALUE"""),8.0)</f>
        <v>8</v>
      </c>
      <c r="B3214">
        <f>IFERROR(__xludf.DUMMYFUNCTION("""COMPUTED_VALUE"""),29021.0)</f>
        <v>29021</v>
      </c>
      <c r="C3214" t="str">
        <f>IFERROR(__xludf.DUMMYFUNCTION("""COMPUTED_VALUE"""),"BETANCOURT QUINTERO, SIMON")</f>
        <v>BETANCOURT QUINTERO, SIMON</v>
      </c>
      <c r="D3214" t="str">
        <f>IFERROR(__xludf.DUMMYFUNCTION("""COMPUTED_VALUE"""),"Band 8S2")</f>
        <v>Band 8S2</v>
      </c>
      <c r="E3214" s="31" t="str">
        <f>IFERROR(__xludf.DUMMYFUNCTION("""COMPUTED_VALUE"""),"6b")</f>
        <v>6b</v>
      </c>
      <c r="F3214" s="8">
        <v>1.0</v>
      </c>
      <c r="G3214" s="8">
        <v>1.0</v>
      </c>
      <c r="H3214" s="8">
        <v>1.0</v>
      </c>
      <c r="I3214" s="8">
        <v>1.0</v>
      </c>
      <c r="J3214" s="8">
        <v>1.0</v>
      </c>
      <c r="K3214" s="8">
        <v>1.0</v>
      </c>
      <c r="L3214" s="8">
        <v>6.0</v>
      </c>
      <c r="M3214" s="8"/>
      <c r="N3214" s="8"/>
      <c r="O3214" s="8" t="s">
        <v>854</v>
      </c>
      <c r="P3214" s="8" t="e">
        <v>#N/A</v>
      </c>
    </row>
    <row r="3215">
      <c r="A3215">
        <f>IFERROR(__xludf.DUMMYFUNCTION("""COMPUTED_VALUE"""),8.0)</f>
        <v>8</v>
      </c>
      <c r="B3215">
        <f>IFERROR(__xludf.DUMMYFUNCTION("""COMPUTED_VALUE"""),29022.0)</f>
        <v>29022</v>
      </c>
      <c r="C3215" t="str">
        <f>IFERROR(__xludf.DUMMYFUNCTION("""COMPUTED_VALUE"""),"BETANCUR ROBLEDO, PEDRO")</f>
        <v>BETANCUR ROBLEDO, PEDRO</v>
      </c>
      <c r="D3215" t="str">
        <f>IFERROR(__xludf.DUMMYFUNCTION("""COMPUTED_VALUE"""),"Band 8S2")</f>
        <v>Band 8S2</v>
      </c>
      <c r="E3215" s="31" t="str">
        <f>IFERROR(__xludf.DUMMYFUNCTION("""COMPUTED_VALUE"""),"2a")</f>
        <v>2a</v>
      </c>
      <c r="F3215" s="8">
        <v>1.0</v>
      </c>
      <c r="G3215" s="8">
        <v>1.0</v>
      </c>
      <c r="H3215" s="8">
        <v>1.0</v>
      </c>
      <c r="I3215" s="8">
        <v>1.0</v>
      </c>
      <c r="J3215" s="8">
        <v>1.0</v>
      </c>
      <c r="K3215" s="8">
        <v>1.0</v>
      </c>
      <c r="L3215" s="8">
        <v>6.0</v>
      </c>
      <c r="M3215" s="8"/>
      <c r="N3215" s="8"/>
      <c r="O3215" s="8" t="s">
        <v>855</v>
      </c>
      <c r="P3215" s="8" t="e">
        <v>#N/A</v>
      </c>
    </row>
    <row r="3216">
      <c r="A3216">
        <f>IFERROR(__xludf.DUMMYFUNCTION("""COMPUTED_VALUE"""),8.0)</f>
        <v>8</v>
      </c>
      <c r="B3216">
        <f>IFERROR(__xludf.DUMMYFUNCTION("""COMPUTED_VALUE"""),29167.0)</f>
        <v>29167</v>
      </c>
      <c r="C3216" t="str">
        <f>IFERROR(__xludf.DUMMYFUNCTION("""COMPUTED_VALUE"""),"BISHOP, JULIETTE ROSE")</f>
        <v>BISHOP, JULIETTE ROSE</v>
      </c>
      <c r="D3216" t="str">
        <f>IFERROR(__xludf.DUMMYFUNCTION("""COMPUTED_VALUE"""),"Band 8S2")</f>
        <v>Band 8S2</v>
      </c>
      <c r="E3216" s="31" t="str">
        <f>IFERROR(__xludf.DUMMYFUNCTION("""COMPUTED_VALUE"""),"5b")</f>
        <v>5b</v>
      </c>
      <c r="F3216" s="8">
        <v>1.0</v>
      </c>
      <c r="G3216" s="8">
        <v>1.0</v>
      </c>
      <c r="H3216" s="8">
        <v>1.0</v>
      </c>
      <c r="I3216" s="8">
        <v>1.0</v>
      </c>
      <c r="J3216" s="8">
        <v>1.0</v>
      </c>
      <c r="K3216" s="8">
        <v>1.0</v>
      </c>
      <c r="L3216" s="8">
        <v>6.0</v>
      </c>
      <c r="M3216" s="8"/>
      <c r="N3216" s="8"/>
      <c r="O3216" s="8" t="s">
        <v>856</v>
      </c>
      <c r="P3216" s="8" t="e">
        <v>#N/A</v>
      </c>
    </row>
    <row r="3217">
      <c r="A3217">
        <f>IFERROR(__xludf.DUMMYFUNCTION("""COMPUTED_VALUE"""),8.0)</f>
        <v>8</v>
      </c>
      <c r="B3217">
        <f>IFERROR(__xludf.DUMMYFUNCTION("""COMPUTED_VALUE"""),29023.0)</f>
        <v>29023</v>
      </c>
      <c r="C3217" t="str">
        <f>IFERROR(__xludf.DUMMYFUNCTION("""COMPUTED_VALUE"""),"BOTERO DEL CORRAL, EMILIANA")</f>
        <v>BOTERO DEL CORRAL, EMILIANA</v>
      </c>
      <c r="D3217" t="str">
        <f>IFERROR(__xludf.DUMMYFUNCTION("""COMPUTED_VALUE"""),"Art 8S2")</f>
        <v>Art 8S2</v>
      </c>
      <c r="E3217" s="31" t="str">
        <f>IFERROR(__xludf.DUMMYFUNCTION("""COMPUTED_VALUE"""),"4b")</f>
        <v>4b</v>
      </c>
      <c r="F3217" s="8">
        <v>1.0</v>
      </c>
      <c r="G3217" s="8">
        <v>1.0</v>
      </c>
      <c r="H3217" s="8">
        <v>1.0</v>
      </c>
      <c r="I3217" s="8">
        <v>1.0</v>
      </c>
      <c r="J3217" s="8">
        <v>1.0</v>
      </c>
      <c r="K3217" s="8">
        <v>1.0</v>
      </c>
      <c r="L3217" s="8">
        <v>6.0</v>
      </c>
      <c r="M3217" s="8"/>
      <c r="N3217" s="8"/>
      <c r="O3217" s="8" t="s">
        <v>851</v>
      </c>
      <c r="P3217" s="8" t="e">
        <v>#N/A</v>
      </c>
    </row>
    <row r="3218">
      <c r="A3218">
        <f>IFERROR(__xludf.DUMMYFUNCTION("""COMPUTED_VALUE"""),8.0)</f>
        <v>8</v>
      </c>
      <c r="B3218">
        <f>IFERROR(__xludf.DUMMYFUNCTION("""COMPUTED_VALUE"""),29161.0)</f>
        <v>29161</v>
      </c>
      <c r="C3218" t="str">
        <f>IFERROR(__xludf.DUMMYFUNCTION("""COMPUTED_VALUE"""),"BURKHALTER, ESPERANZA JOY")</f>
        <v>BURKHALTER, ESPERANZA JOY</v>
      </c>
      <c r="D3218" t="str">
        <f>IFERROR(__xludf.DUMMYFUNCTION("""COMPUTED_VALUE"""),"Band 8S2")</f>
        <v>Band 8S2</v>
      </c>
      <c r="E3218" s="31" t="str">
        <f>IFERROR(__xludf.DUMMYFUNCTION("""COMPUTED_VALUE"""),"6b")</f>
        <v>6b</v>
      </c>
      <c r="F3218" s="8">
        <v>1.0</v>
      </c>
      <c r="G3218" s="8">
        <v>1.0</v>
      </c>
      <c r="H3218" s="8">
        <v>1.0</v>
      </c>
      <c r="I3218" s="8">
        <v>1.0</v>
      </c>
      <c r="J3218" s="8">
        <v>1.0</v>
      </c>
      <c r="K3218" s="8">
        <v>1.0</v>
      </c>
      <c r="L3218" s="8">
        <v>6.0</v>
      </c>
      <c r="M3218" s="8"/>
      <c r="N3218" s="8"/>
      <c r="O3218" s="8" t="s">
        <v>854</v>
      </c>
      <c r="P3218" s="8" t="e">
        <v>#N/A</v>
      </c>
    </row>
    <row r="3219">
      <c r="A3219">
        <f>IFERROR(__xludf.DUMMYFUNCTION("""COMPUTED_VALUE"""),8.0)</f>
        <v>8</v>
      </c>
      <c r="B3219">
        <f>IFERROR(__xludf.DUMMYFUNCTION("""COMPUTED_VALUE"""),29150.0)</f>
        <v>29150</v>
      </c>
      <c r="C3219" t="str">
        <f>IFERROR(__xludf.DUMMYFUNCTION("""COMPUTED_VALUE"""),"CABAL AYALA, MARTINA")</f>
        <v>CABAL AYALA, MARTINA</v>
      </c>
      <c r="D3219" t="str">
        <f>IFERROR(__xludf.DUMMYFUNCTION("""COMPUTED_VALUE"""),"Art 8S2")</f>
        <v>Art 8S2</v>
      </c>
      <c r="E3219" s="31" t="str">
        <f>IFERROR(__xludf.DUMMYFUNCTION("""COMPUTED_VALUE"""),"5a")</f>
        <v>5a</v>
      </c>
      <c r="F3219" s="8">
        <v>1.0</v>
      </c>
      <c r="G3219" s="8">
        <v>1.0</v>
      </c>
      <c r="H3219" s="8">
        <v>1.0</v>
      </c>
      <c r="I3219" s="8">
        <v>1.0</v>
      </c>
      <c r="J3219" s="8">
        <v>1.0</v>
      </c>
      <c r="K3219" s="8">
        <v>1.0</v>
      </c>
      <c r="L3219" s="8">
        <v>6.0</v>
      </c>
      <c r="M3219" s="8"/>
      <c r="N3219" s="8"/>
      <c r="O3219" s="8" t="s">
        <v>853</v>
      </c>
      <c r="P3219" s="8" t="e">
        <v>#N/A</v>
      </c>
    </row>
    <row r="3220">
      <c r="A3220">
        <f>IFERROR(__xludf.DUMMYFUNCTION("""COMPUTED_VALUE"""),8.0)</f>
        <v>8</v>
      </c>
      <c r="B3220">
        <f>IFERROR(__xludf.DUMMYFUNCTION("""COMPUTED_VALUE"""),29024.0)</f>
        <v>29024</v>
      </c>
      <c r="C3220" t="str">
        <f>IFERROR(__xludf.DUMMYFUNCTION("""COMPUTED_VALUE"""),"CADAVID RESTREPO, LUIS FERNANDO")</f>
        <v>CADAVID RESTREPO, LUIS FERNANDO</v>
      </c>
      <c r="D3220" t="str">
        <f>IFERROR(__xludf.DUMMYFUNCTION("""COMPUTED_VALUE"""),"Band 8S2")</f>
        <v>Band 8S2</v>
      </c>
      <c r="E3220" s="31" t="str">
        <f>IFERROR(__xludf.DUMMYFUNCTION("""COMPUTED_VALUE"""),"1b")</f>
        <v>1b</v>
      </c>
      <c r="F3220" s="8">
        <v>1.0</v>
      </c>
      <c r="G3220" s="8">
        <v>1.0</v>
      </c>
      <c r="H3220" s="8">
        <v>1.0</v>
      </c>
      <c r="I3220" s="8">
        <v>1.0</v>
      </c>
      <c r="J3220" s="8">
        <v>1.0</v>
      </c>
      <c r="K3220" s="8">
        <v>1.0</v>
      </c>
      <c r="L3220" s="8">
        <v>6.0</v>
      </c>
      <c r="M3220" s="8"/>
      <c r="N3220" s="8"/>
      <c r="O3220" s="8" t="s">
        <v>852</v>
      </c>
      <c r="P3220" s="8" t="e">
        <v>#N/A</v>
      </c>
    </row>
    <row r="3221">
      <c r="A3221">
        <f>IFERROR(__xludf.DUMMYFUNCTION("""COMPUTED_VALUE"""),8.0)</f>
        <v>8</v>
      </c>
      <c r="B3221">
        <f>IFERROR(__xludf.DUMMYFUNCTION("""COMPUTED_VALUE"""),29025.0)</f>
        <v>29025</v>
      </c>
      <c r="C3221" t="str">
        <f>IFERROR(__xludf.DUMMYFUNCTION("""COMPUTED_VALUE"""),"CALLE BUITRAGO, ESTEBAN")</f>
        <v>CALLE BUITRAGO, ESTEBAN</v>
      </c>
      <c r="D3221" t="str">
        <f>IFERROR(__xludf.DUMMYFUNCTION("""COMPUTED_VALUE"""),"Band 8S2")</f>
        <v>Band 8S2</v>
      </c>
      <c r="E3221" s="31" t="str">
        <f>IFERROR(__xludf.DUMMYFUNCTION("""COMPUTED_VALUE"""),"5b")</f>
        <v>5b</v>
      </c>
      <c r="F3221" s="8">
        <v>1.0</v>
      </c>
      <c r="G3221" s="8">
        <v>1.0</v>
      </c>
      <c r="H3221" s="8">
        <v>1.0</v>
      </c>
      <c r="I3221" s="8">
        <v>1.0</v>
      </c>
      <c r="J3221" s="8">
        <v>1.0</v>
      </c>
      <c r="K3221" s="8">
        <v>1.0</v>
      </c>
      <c r="L3221" s="8">
        <v>6.0</v>
      </c>
      <c r="M3221" s="8"/>
      <c r="N3221" s="8"/>
      <c r="O3221" s="8" t="s">
        <v>856</v>
      </c>
      <c r="P3221" s="8" t="e">
        <v>#N/A</v>
      </c>
    </row>
    <row r="3222">
      <c r="A3222">
        <f>IFERROR(__xludf.DUMMYFUNCTION("""COMPUTED_VALUE"""),8.0)</f>
        <v>8</v>
      </c>
      <c r="B3222">
        <f>IFERROR(__xludf.DUMMYFUNCTION("""COMPUTED_VALUE"""),29027.0)</f>
        <v>29027</v>
      </c>
      <c r="C3222" t="str">
        <f>IFERROR(__xludf.DUMMYFUNCTION("""COMPUTED_VALUE"""),"CARDONA VELEZ, MATIAS")</f>
        <v>CARDONA VELEZ, MATIAS</v>
      </c>
      <c r="D3222" t="str">
        <f>IFERROR(__xludf.DUMMYFUNCTION("""COMPUTED_VALUE"""),"Band 8S2")</f>
        <v>Band 8S2</v>
      </c>
      <c r="E3222" s="31" t="str">
        <f>IFERROR(__xludf.DUMMYFUNCTION("""COMPUTED_VALUE"""),"1b")</f>
        <v>1b</v>
      </c>
      <c r="F3222" s="8">
        <v>1.0</v>
      </c>
      <c r="G3222" s="8">
        <v>1.0</v>
      </c>
      <c r="H3222" s="8">
        <v>1.0</v>
      </c>
      <c r="I3222" s="8">
        <v>1.0</v>
      </c>
      <c r="J3222" s="8">
        <v>1.0</v>
      </c>
      <c r="K3222" s="8">
        <v>1.0</v>
      </c>
      <c r="L3222" s="8">
        <v>6.0</v>
      </c>
      <c r="M3222" s="8"/>
      <c r="N3222" s="8"/>
      <c r="O3222" s="8" t="s">
        <v>852</v>
      </c>
      <c r="P3222" s="8" t="e">
        <v>#N/A</v>
      </c>
    </row>
    <row r="3223">
      <c r="A3223">
        <f>IFERROR(__xludf.DUMMYFUNCTION("""COMPUTED_VALUE"""),8.0)</f>
        <v>8</v>
      </c>
      <c r="B3223">
        <f>IFERROR(__xludf.DUMMYFUNCTION("""COMPUTED_VALUE"""),29028.0)</f>
        <v>29028</v>
      </c>
      <c r="C3223" t="str">
        <f>IFERROR(__xludf.DUMMYFUNCTION("""COMPUTED_VALUE"""),"CARVAJAL ACOSTA, MARTIN")</f>
        <v>CARVAJAL ACOSTA, MARTIN</v>
      </c>
      <c r="D3223" t="str">
        <f>IFERROR(__xludf.DUMMYFUNCTION("""COMPUTED_VALUE"""),"Band 8S2")</f>
        <v>Band 8S2</v>
      </c>
      <c r="E3223" s="31" t="str">
        <f>IFERROR(__xludf.DUMMYFUNCTION("""COMPUTED_VALUE"""),"2a")</f>
        <v>2a</v>
      </c>
      <c r="F3223" s="8">
        <v>1.0</v>
      </c>
      <c r="G3223" s="8">
        <v>1.0</v>
      </c>
      <c r="H3223" s="8">
        <v>1.0</v>
      </c>
      <c r="I3223" s="8">
        <v>1.0</v>
      </c>
      <c r="J3223" s="8">
        <v>1.0</v>
      </c>
      <c r="K3223" s="8">
        <v>1.0</v>
      </c>
      <c r="L3223" s="8">
        <v>6.0</v>
      </c>
      <c r="M3223" s="8"/>
      <c r="N3223" s="8"/>
      <c r="O3223" s="8" t="s">
        <v>855</v>
      </c>
      <c r="P3223" s="8" t="e">
        <v>#N/A</v>
      </c>
    </row>
    <row r="3224">
      <c r="A3224">
        <f>IFERROR(__xludf.DUMMYFUNCTION("""COMPUTED_VALUE"""),8.0)</f>
        <v>8</v>
      </c>
      <c r="B3224">
        <f>IFERROR(__xludf.DUMMYFUNCTION("""COMPUTED_VALUE"""),29029.0)</f>
        <v>29029</v>
      </c>
      <c r="C3224" t="str">
        <f>IFERROR(__xludf.DUMMYFUNCTION("""COMPUTED_VALUE"""),"CHAVARRIAGA MESA, GREGORIO")</f>
        <v>CHAVARRIAGA MESA, GREGORIO</v>
      </c>
      <c r="D3224" t="str">
        <f>IFERROR(__xludf.DUMMYFUNCTION("""COMPUTED_VALUE"""),"Band 8S2")</f>
        <v>Band 8S2</v>
      </c>
      <c r="E3224" s="31" t="str">
        <f>IFERROR(__xludf.DUMMYFUNCTION("""COMPUTED_VALUE"""),"5b")</f>
        <v>5b</v>
      </c>
      <c r="F3224" s="8">
        <v>1.0</v>
      </c>
      <c r="G3224" s="8">
        <v>1.0</v>
      </c>
      <c r="H3224" s="8">
        <v>1.0</v>
      </c>
      <c r="I3224" s="8">
        <v>1.0</v>
      </c>
      <c r="J3224" s="8">
        <v>1.0</v>
      </c>
      <c r="K3224" s="8">
        <v>1.0</v>
      </c>
      <c r="L3224" s="8">
        <v>6.0</v>
      </c>
      <c r="M3224" s="8"/>
      <c r="N3224" s="8"/>
      <c r="O3224" s="8" t="s">
        <v>856</v>
      </c>
      <c r="P3224" s="8" t="e">
        <v>#N/A</v>
      </c>
    </row>
    <row r="3225">
      <c r="A3225">
        <f>IFERROR(__xludf.DUMMYFUNCTION("""COMPUTED_VALUE"""),8.0)</f>
        <v>8</v>
      </c>
      <c r="B3225">
        <f>IFERROR(__xludf.DUMMYFUNCTION("""COMPUTED_VALUE"""),29136.0)</f>
        <v>29136</v>
      </c>
      <c r="C3225" t="str">
        <f>IFERROR(__xludf.DUMMYFUNCTION("""COMPUTED_VALUE"""),"CHOPRA, HARSHUL")</f>
        <v>CHOPRA, HARSHUL</v>
      </c>
      <c r="D3225" t="str">
        <f>IFERROR(__xludf.DUMMYFUNCTION("""COMPUTED_VALUE"""),"Band 8S2")</f>
        <v>Band 8S2</v>
      </c>
      <c r="E3225" s="31" t="str">
        <f>IFERROR(__xludf.DUMMYFUNCTION("""COMPUTED_VALUE"""),"1b")</f>
        <v>1b</v>
      </c>
      <c r="F3225" s="8">
        <v>1.0</v>
      </c>
      <c r="G3225" s="8">
        <v>1.0</v>
      </c>
      <c r="H3225" s="8">
        <v>1.0</v>
      </c>
      <c r="I3225" s="8">
        <v>1.0</v>
      </c>
      <c r="J3225" s="8">
        <v>1.0</v>
      </c>
      <c r="K3225" s="8">
        <v>1.0</v>
      </c>
      <c r="L3225" s="8">
        <v>6.0</v>
      </c>
      <c r="M3225" s="8"/>
      <c r="N3225" s="8"/>
      <c r="O3225" s="8" t="s">
        <v>852</v>
      </c>
      <c r="P3225" s="8" t="e">
        <v>#N/A</v>
      </c>
    </row>
    <row r="3226">
      <c r="A3226">
        <f>IFERROR(__xludf.DUMMYFUNCTION("""COMPUTED_VALUE"""),8.0)</f>
        <v>8</v>
      </c>
      <c r="B3226">
        <f>IFERROR(__xludf.DUMMYFUNCTION("""COMPUTED_VALUE"""),28023.0)</f>
        <v>28023</v>
      </c>
      <c r="C3226" t="str">
        <f>IFERROR(__xludf.DUMMYFUNCTION("""COMPUTED_VALUE"""),"CLAVIJO GIRALDO, LORENZO")</f>
        <v>CLAVIJO GIRALDO, LORENZO</v>
      </c>
      <c r="D3226" t="str">
        <f>IFERROR(__xludf.DUMMYFUNCTION("""COMPUTED_VALUE"""),"Band 8S2")</f>
        <v>Band 8S2</v>
      </c>
      <c r="E3226" s="31" t="str">
        <f>IFERROR(__xludf.DUMMYFUNCTION("""COMPUTED_VALUE"""),"6b")</f>
        <v>6b</v>
      </c>
      <c r="F3226" s="8">
        <v>1.0</v>
      </c>
      <c r="G3226" s="8">
        <v>1.0</v>
      </c>
      <c r="H3226" s="8">
        <v>1.0</v>
      </c>
      <c r="I3226" s="8">
        <v>1.0</v>
      </c>
      <c r="J3226" s="8">
        <v>1.0</v>
      </c>
      <c r="K3226" s="8">
        <v>1.0</v>
      </c>
      <c r="L3226" s="8">
        <v>6.0</v>
      </c>
      <c r="M3226" s="8"/>
      <c r="N3226" s="8"/>
      <c r="O3226" s="8" t="s">
        <v>854</v>
      </c>
      <c r="P3226" s="8" t="e">
        <v>#N/A</v>
      </c>
    </row>
    <row r="3227">
      <c r="A3227">
        <f>IFERROR(__xludf.DUMMYFUNCTION("""COMPUTED_VALUE"""),8.0)</f>
        <v>8</v>
      </c>
      <c r="B3227">
        <f>IFERROR(__xludf.DUMMYFUNCTION("""COMPUTED_VALUE"""),29030.0)</f>
        <v>29030</v>
      </c>
      <c r="C3227" t="str">
        <f>IFERROR(__xludf.DUMMYFUNCTION("""COMPUTED_VALUE"""),"COCK ECHEVERRI, JULIETA")</f>
        <v>COCK ECHEVERRI, JULIETA</v>
      </c>
      <c r="D3227" t="str">
        <f>IFERROR(__xludf.DUMMYFUNCTION("""COMPUTED_VALUE"""),"Band 8S2")</f>
        <v>Band 8S2</v>
      </c>
      <c r="E3227" s="31" t="str">
        <f>IFERROR(__xludf.DUMMYFUNCTION("""COMPUTED_VALUE"""),"1b")</f>
        <v>1b</v>
      </c>
      <c r="F3227" s="8">
        <v>1.0</v>
      </c>
      <c r="G3227" s="8">
        <v>1.0</v>
      </c>
      <c r="H3227" s="8">
        <v>1.0</v>
      </c>
      <c r="I3227" s="8">
        <v>1.0</v>
      </c>
      <c r="J3227" s="8">
        <v>1.0</v>
      </c>
      <c r="K3227" s="8">
        <v>1.0</v>
      </c>
      <c r="L3227" s="8">
        <v>6.0</v>
      </c>
      <c r="M3227" s="8"/>
      <c r="N3227" s="8"/>
      <c r="O3227" s="8" t="s">
        <v>852</v>
      </c>
      <c r="P3227" s="8" t="e">
        <v>#N/A</v>
      </c>
    </row>
    <row r="3228">
      <c r="A3228">
        <f>IFERROR(__xludf.DUMMYFUNCTION("""COMPUTED_VALUE"""),8.0)</f>
        <v>8</v>
      </c>
      <c r="B3228">
        <f>IFERROR(__xludf.DUMMYFUNCTION("""COMPUTED_VALUE"""),29164.0)</f>
        <v>29164</v>
      </c>
      <c r="C3228" t="str">
        <f>IFERROR(__xludf.DUMMYFUNCTION("""COMPUTED_VALUE"""),"CONCHA VELASCO, LORENZO")</f>
        <v>CONCHA VELASCO, LORENZO</v>
      </c>
      <c r="D3228" t="str">
        <f>IFERROR(__xludf.DUMMYFUNCTION("""COMPUTED_VALUE"""),"Band 8S2")</f>
        <v>Band 8S2</v>
      </c>
      <c r="E3228" s="31" t="str">
        <f>IFERROR(__xludf.DUMMYFUNCTION("""COMPUTED_VALUE"""),"1b")</f>
        <v>1b</v>
      </c>
      <c r="F3228" s="8">
        <v>1.0</v>
      </c>
      <c r="G3228" s="8">
        <v>1.0</v>
      </c>
      <c r="H3228" s="8">
        <v>1.0</v>
      </c>
      <c r="I3228" s="8">
        <v>1.0</v>
      </c>
      <c r="J3228" s="8">
        <v>1.0</v>
      </c>
      <c r="K3228" s="8">
        <v>1.0</v>
      </c>
      <c r="L3228" s="8">
        <v>6.0</v>
      </c>
      <c r="M3228" s="8"/>
      <c r="N3228" s="8"/>
      <c r="O3228" s="8" t="s">
        <v>852</v>
      </c>
      <c r="P3228" s="8" t="e">
        <v>#N/A</v>
      </c>
    </row>
    <row r="3229">
      <c r="A3229">
        <f>IFERROR(__xludf.DUMMYFUNCTION("""COMPUTED_VALUE"""),8.0)</f>
        <v>8</v>
      </c>
      <c r="B3229">
        <f>IFERROR(__xludf.DUMMYFUNCTION("""COMPUTED_VALUE"""),29032.0)</f>
        <v>29032</v>
      </c>
      <c r="C3229" t="str">
        <f>IFERROR(__xludf.DUMMYFUNCTION("""COMPUTED_VALUE"""),"CORTES SIERRA, TOMAS")</f>
        <v>CORTES SIERRA, TOMAS</v>
      </c>
      <c r="D3229" t="str">
        <f>IFERROR(__xludf.DUMMYFUNCTION("""COMPUTED_VALUE"""),"Band 8S2")</f>
        <v>Band 8S2</v>
      </c>
      <c r="E3229" s="31" t="str">
        <f>IFERROR(__xludf.DUMMYFUNCTION("""COMPUTED_VALUE"""),"6b")</f>
        <v>6b</v>
      </c>
      <c r="F3229" s="8">
        <v>1.0</v>
      </c>
      <c r="G3229" s="8">
        <v>1.0</v>
      </c>
      <c r="H3229" s="8">
        <v>1.0</v>
      </c>
      <c r="I3229" s="8">
        <v>1.0</v>
      </c>
      <c r="J3229" s="8">
        <v>1.0</v>
      </c>
      <c r="K3229" s="8">
        <v>1.0</v>
      </c>
      <c r="L3229" s="8">
        <v>6.0</v>
      </c>
      <c r="M3229" s="8"/>
      <c r="N3229" s="8"/>
      <c r="O3229" s="8" t="s">
        <v>854</v>
      </c>
      <c r="P3229" s="8" t="e">
        <v>#N/A</v>
      </c>
    </row>
    <row r="3230">
      <c r="A3230">
        <f>IFERROR(__xludf.DUMMYFUNCTION("""COMPUTED_VALUE"""),8.0)</f>
        <v>8</v>
      </c>
      <c r="B3230">
        <f>IFERROR(__xludf.DUMMYFUNCTION("""COMPUTED_VALUE"""),29165.0)</f>
        <v>29165</v>
      </c>
      <c r="C3230" t="str">
        <f>IFERROR(__xludf.DUMMYFUNCTION("""COMPUTED_VALUE"""),"DOMINGUEZ JORGENSEN, MARCELO")</f>
        <v>DOMINGUEZ JORGENSEN, MARCELO</v>
      </c>
      <c r="D3230" t="str">
        <f>IFERROR(__xludf.DUMMYFUNCTION("""COMPUTED_VALUE"""),"Band 8S2")</f>
        <v>Band 8S2</v>
      </c>
      <c r="E3230" s="31" t="str">
        <f>IFERROR(__xludf.DUMMYFUNCTION("""COMPUTED_VALUE"""),"6b")</f>
        <v>6b</v>
      </c>
      <c r="F3230" s="8">
        <v>1.0</v>
      </c>
      <c r="G3230" s="8">
        <v>1.0</v>
      </c>
      <c r="H3230" s="8">
        <v>1.0</v>
      </c>
      <c r="I3230" s="8">
        <v>1.0</v>
      </c>
      <c r="J3230" s="8">
        <v>1.0</v>
      </c>
      <c r="K3230" s="8">
        <v>1.0</v>
      </c>
      <c r="L3230" s="8">
        <v>6.0</v>
      </c>
      <c r="M3230" s="8"/>
      <c r="N3230" s="8"/>
      <c r="O3230" s="8" t="s">
        <v>854</v>
      </c>
      <c r="P3230" s="8" t="e">
        <v>#N/A</v>
      </c>
    </row>
    <row r="3231">
      <c r="A3231">
        <f>IFERROR(__xludf.DUMMYFUNCTION("""COMPUTED_VALUE"""),8.0)</f>
        <v>8</v>
      </c>
      <c r="B3231">
        <f>IFERROR(__xludf.DUMMYFUNCTION("""COMPUTED_VALUE"""),29034.0)</f>
        <v>29034</v>
      </c>
      <c r="C3231" t="str">
        <f>IFERROR(__xludf.DUMMYFUNCTION("""COMPUTED_VALUE"""),"DUQUE BONNETT, ELISA")</f>
        <v>DUQUE BONNETT, ELISA</v>
      </c>
      <c r="D3231" t="str">
        <f>IFERROR(__xludf.DUMMYFUNCTION("""COMPUTED_VALUE"""),"Band 8S2")</f>
        <v>Band 8S2</v>
      </c>
      <c r="E3231" s="31" t="str">
        <f>IFERROR(__xludf.DUMMYFUNCTION("""COMPUTED_VALUE"""),"2a")</f>
        <v>2a</v>
      </c>
      <c r="F3231" s="8">
        <v>1.0</v>
      </c>
      <c r="G3231" s="8">
        <v>1.0</v>
      </c>
      <c r="H3231" s="8">
        <v>1.0</v>
      </c>
      <c r="I3231" s="8">
        <v>1.0</v>
      </c>
      <c r="J3231" s="8">
        <v>1.0</v>
      </c>
      <c r="K3231" s="8">
        <v>1.0</v>
      </c>
      <c r="L3231" s="8">
        <v>6.0</v>
      </c>
      <c r="M3231" s="8"/>
      <c r="N3231" s="8"/>
      <c r="O3231" s="8" t="s">
        <v>855</v>
      </c>
      <c r="P3231" s="8" t="e">
        <v>#N/A</v>
      </c>
    </row>
    <row r="3232">
      <c r="A3232">
        <f>IFERROR(__xludf.DUMMYFUNCTION("""COMPUTED_VALUE"""),8.0)</f>
        <v>8</v>
      </c>
      <c r="B3232">
        <f>IFERROR(__xludf.DUMMYFUNCTION("""COMPUTED_VALUE"""),29035.0)</f>
        <v>29035</v>
      </c>
      <c r="C3232" t="str">
        <f>IFERROR(__xludf.DUMMYFUNCTION("""COMPUTED_VALUE"""),"DURAN CALAD, MIGUEL")</f>
        <v>DURAN CALAD, MIGUEL</v>
      </c>
      <c r="D3232" t="str">
        <f>IFERROR(__xludf.DUMMYFUNCTION("""COMPUTED_VALUE"""),"Art 8S2")</f>
        <v>Art 8S2</v>
      </c>
      <c r="E3232" s="31" t="str">
        <f>IFERROR(__xludf.DUMMYFUNCTION("""COMPUTED_VALUE"""),"5a")</f>
        <v>5a</v>
      </c>
      <c r="F3232" s="8">
        <v>1.0</v>
      </c>
      <c r="G3232" s="8">
        <v>1.0</v>
      </c>
      <c r="H3232" s="8">
        <v>1.0</v>
      </c>
      <c r="I3232" s="8">
        <v>1.0</v>
      </c>
      <c r="J3232" s="8">
        <v>1.0</v>
      </c>
      <c r="K3232" s="8">
        <v>1.0</v>
      </c>
      <c r="L3232" s="8">
        <v>6.0</v>
      </c>
      <c r="M3232" s="8"/>
      <c r="N3232" s="8"/>
      <c r="O3232" s="8" t="s">
        <v>853</v>
      </c>
      <c r="P3232" s="8" t="e">
        <v>#N/A</v>
      </c>
    </row>
    <row r="3233">
      <c r="A3233">
        <f>IFERROR(__xludf.DUMMYFUNCTION("""COMPUTED_VALUE"""),8.0)</f>
        <v>8</v>
      </c>
      <c r="B3233">
        <f>IFERROR(__xludf.DUMMYFUNCTION("""COMPUTED_VALUE"""),29135.0)</f>
        <v>29135</v>
      </c>
      <c r="C3233" t="str">
        <f>IFERROR(__xludf.DUMMYFUNCTION("""COMPUTED_VALUE"""),"ECHAVARRIA MUÑOZ, NICOLAS")</f>
        <v>ECHAVARRIA MUÑOZ, NICOLAS</v>
      </c>
      <c r="D3233" t="str">
        <f>IFERROR(__xludf.DUMMYFUNCTION("""COMPUTED_VALUE"""),"Art 8S2")</f>
        <v>Art 8S2</v>
      </c>
      <c r="E3233" s="31" t="str">
        <f>IFERROR(__xludf.DUMMYFUNCTION("""COMPUTED_VALUE"""),"4b")</f>
        <v>4b</v>
      </c>
      <c r="F3233" s="8">
        <v>1.0</v>
      </c>
      <c r="G3233" s="8">
        <v>1.0</v>
      </c>
      <c r="H3233" s="8">
        <v>1.0</v>
      </c>
      <c r="I3233" s="8">
        <v>1.0</v>
      </c>
      <c r="J3233" s="8">
        <v>1.0</v>
      </c>
      <c r="K3233" s="8">
        <v>1.0</v>
      </c>
      <c r="L3233" s="8">
        <v>6.0</v>
      </c>
      <c r="M3233" s="8"/>
      <c r="N3233" s="8"/>
      <c r="O3233" s="8" t="s">
        <v>851</v>
      </c>
      <c r="P3233" s="8" t="e">
        <v>#N/A</v>
      </c>
    </row>
    <row r="3234">
      <c r="A3234">
        <f>IFERROR(__xludf.DUMMYFUNCTION("""COMPUTED_VALUE"""),8.0)</f>
        <v>8</v>
      </c>
      <c r="B3234">
        <f>IFERROR(__xludf.DUMMYFUNCTION("""COMPUTED_VALUE"""),29138.0)</f>
        <v>29138</v>
      </c>
      <c r="C3234" t="str">
        <f>IFERROR(__xludf.DUMMYFUNCTION("""COMPUTED_VALUE"""),"ECHAVARRIA ROLDAN, TOMAS")</f>
        <v>ECHAVARRIA ROLDAN, TOMAS</v>
      </c>
      <c r="D3234" t="str">
        <f>IFERROR(__xludf.DUMMYFUNCTION("""COMPUTED_VALUE"""),"Band 8S2")</f>
        <v>Band 8S2</v>
      </c>
      <c r="E3234" s="31" t="str">
        <f>IFERROR(__xludf.DUMMYFUNCTION("""COMPUTED_VALUE"""),"6b")</f>
        <v>6b</v>
      </c>
      <c r="F3234" s="8">
        <v>1.0</v>
      </c>
      <c r="G3234" s="8">
        <v>1.0</v>
      </c>
      <c r="H3234" s="8">
        <v>1.0</v>
      </c>
      <c r="I3234" s="8">
        <v>1.0</v>
      </c>
      <c r="J3234" s="8">
        <v>1.0</v>
      </c>
      <c r="K3234" s="8">
        <v>1.0</v>
      </c>
      <c r="L3234" s="8">
        <v>6.0</v>
      </c>
      <c r="M3234" s="8"/>
      <c r="N3234" s="8"/>
      <c r="O3234" s="8" t="s">
        <v>854</v>
      </c>
      <c r="P3234" s="8" t="e">
        <v>#N/A</v>
      </c>
    </row>
    <row r="3235">
      <c r="A3235">
        <f>IFERROR(__xludf.DUMMYFUNCTION("""COMPUTED_VALUE"""),8.0)</f>
        <v>8</v>
      </c>
      <c r="B3235">
        <f>IFERROR(__xludf.DUMMYFUNCTION("""COMPUTED_VALUE"""),29036.0)</f>
        <v>29036</v>
      </c>
      <c r="C3235" t="str">
        <f>IFERROR(__xludf.DUMMYFUNCTION("""COMPUTED_VALUE"""),"ECHEVERRI ESCOBAR, RODRIGO")</f>
        <v>ECHEVERRI ESCOBAR, RODRIGO</v>
      </c>
      <c r="D3235" t="str">
        <f>IFERROR(__xludf.DUMMYFUNCTION("""COMPUTED_VALUE"""),"Band 8S2")</f>
        <v>Band 8S2</v>
      </c>
      <c r="E3235" s="31" t="str">
        <f>IFERROR(__xludf.DUMMYFUNCTION("""COMPUTED_VALUE"""),"1b")</f>
        <v>1b</v>
      </c>
      <c r="F3235" s="8">
        <v>1.0</v>
      </c>
      <c r="G3235" s="8">
        <v>1.0</v>
      </c>
      <c r="H3235" s="8">
        <v>1.0</v>
      </c>
      <c r="I3235" s="8">
        <v>1.0</v>
      </c>
      <c r="J3235" s="8">
        <v>1.0</v>
      </c>
      <c r="K3235" s="8">
        <v>1.0</v>
      </c>
      <c r="L3235" s="8">
        <v>6.0</v>
      </c>
      <c r="M3235" s="8"/>
      <c r="N3235" s="8"/>
      <c r="O3235" s="8" t="s">
        <v>852</v>
      </c>
      <c r="P3235" s="8" t="e">
        <v>#N/A</v>
      </c>
    </row>
    <row r="3236">
      <c r="A3236">
        <f>IFERROR(__xludf.DUMMYFUNCTION("""COMPUTED_VALUE"""),8.0)</f>
        <v>8</v>
      </c>
      <c r="B3236">
        <f>IFERROR(__xludf.DUMMYFUNCTION("""COMPUTED_VALUE"""),29037.0)</f>
        <v>29037</v>
      </c>
      <c r="C3236" t="str">
        <f>IFERROR(__xludf.DUMMYFUNCTION("""COMPUTED_VALUE"""),"ESCOBAR INFANTINO, RAQUEL")</f>
        <v>ESCOBAR INFANTINO, RAQUEL</v>
      </c>
      <c r="D3236" t="str">
        <f>IFERROR(__xludf.DUMMYFUNCTION("""COMPUTED_VALUE"""),"Art 8S2")</f>
        <v>Art 8S2</v>
      </c>
      <c r="E3236" s="31" t="str">
        <f>IFERROR(__xludf.DUMMYFUNCTION("""COMPUTED_VALUE"""),"4b")</f>
        <v>4b</v>
      </c>
      <c r="F3236" s="8">
        <v>1.0</v>
      </c>
      <c r="G3236" s="8">
        <v>1.0</v>
      </c>
      <c r="H3236" s="8">
        <v>1.0</v>
      </c>
      <c r="I3236" s="8">
        <v>1.0</v>
      </c>
      <c r="J3236" s="8">
        <v>1.0</v>
      </c>
      <c r="K3236" s="8">
        <v>1.0</v>
      </c>
      <c r="L3236" s="8">
        <v>6.0</v>
      </c>
      <c r="M3236" s="8"/>
      <c r="N3236" s="8"/>
      <c r="O3236" s="8" t="s">
        <v>851</v>
      </c>
      <c r="P3236" s="8" t="e">
        <v>#N/A</v>
      </c>
    </row>
    <row r="3237">
      <c r="A3237">
        <f>IFERROR(__xludf.DUMMYFUNCTION("""COMPUTED_VALUE"""),8.0)</f>
        <v>8</v>
      </c>
      <c r="B3237">
        <f>IFERROR(__xludf.DUMMYFUNCTION("""COMPUTED_VALUE"""),29038.0)</f>
        <v>29038</v>
      </c>
      <c r="C3237" t="str">
        <f>IFERROR(__xludf.DUMMYFUNCTION("""COMPUTED_VALUE"""),"ESCOBAR MADRID, MAXIMILIANO")</f>
        <v>ESCOBAR MADRID, MAXIMILIANO</v>
      </c>
      <c r="D3237" t="str">
        <f>IFERROR(__xludf.DUMMYFUNCTION("""COMPUTED_VALUE"""),"Tech 8S2")</f>
        <v>Tech 8S2</v>
      </c>
      <c r="E3237" s="31" t="str">
        <f>IFERROR(__xludf.DUMMYFUNCTION("""COMPUTED_VALUE"""),"5a")</f>
        <v>5a</v>
      </c>
      <c r="F3237" s="8">
        <v>1.0</v>
      </c>
      <c r="G3237" s="8">
        <v>1.0</v>
      </c>
      <c r="H3237" s="8">
        <v>1.0</v>
      </c>
      <c r="I3237" s="8">
        <v>1.0</v>
      </c>
      <c r="J3237" s="8">
        <v>1.0</v>
      </c>
      <c r="K3237" s="8">
        <v>1.0</v>
      </c>
      <c r="L3237" s="8">
        <v>6.0</v>
      </c>
      <c r="M3237" s="8"/>
      <c r="N3237" s="8"/>
      <c r="O3237" s="8" t="s">
        <v>857</v>
      </c>
      <c r="P3237" s="8" t="e">
        <v>#N/A</v>
      </c>
    </row>
    <row r="3238">
      <c r="A3238">
        <f>IFERROR(__xludf.DUMMYFUNCTION("""COMPUTED_VALUE"""),8.0)</f>
        <v>8</v>
      </c>
      <c r="B3238">
        <f>IFERROR(__xludf.DUMMYFUNCTION("""COMPUTED_VALUE"""),29039.0)</f>
        <v>29039</v>
      </c>
      <c r="C3238" t="str">
        <f>IFERROR(__xludf.DUMMYFUNCTION("""COMPUTED_VALUE"""),"ESPINOSA ABAD, GREGORIO")</f>
        <v>ESPINOSA ABAD, GREGORIO</v>
      </c>
      <c r="D3238" t="str">
        <f>IFERROR(__xludf.DUMMYFUNCTION("""COMPUTED_VALUE"""),"Art 8S2")</f>
        <v>Art 8S2</v>
      </c>
      <c r="E3238" s="31" t="str">
        <f>IFERROR(__xludf.DUMMYFUNCTION("""COMPUTED_VALUE"""),"5a")</f>
        <v>5a</v>
      </c>
      <c r="F3238" s="8">
        <v>1.0</v>
      </c>
      <c r="G3238" s="8">
        <v>1.0</v>
      </c>
      <c r="H3238" s="8">
        <v>1.0</v>
      </c>
      <c r="I3238" s="8">
        <v>1.0</v>
      </c>
      <c r="J3238" s="8">
        <v>1.0</v>
      </c>
      <c r="K3238" s="8">
        <v>1.0</v>
      </c>
      <c r="L3238" s="8">
        <v>6.0</v>
      </c>
      <c r="M3238" s="8"/>
      <c r="N3238" s="8"/>
      <c r="O3238" s="8" t="s">
        <v>853</v>
      </c>
      <c r="P3238" s="8" t="e">
        <v>#N/A</v>
      </c>
    </row>
    <row r="3239">
      <c r="A3239">
        <f>IFERROR(__xludf.DUMMYFUNCTION("""COMPUTED_VALUE"""),8.0)</f>
        <v>8</v>
      </c>
      <c r="B3239">
        <f>IFERROR(__xludf.DUMMYFUNCTION("""COMPUTED_VALUE"""),29040.0)</f>
        <v>29040</v>
      </c>
      <c r="C3239" t="str">
        <f>IFERROR(__xludf.DUMMYFUNCTION("""COMPUTED_VALUE"""),"ESTRADA ZAPATA, MARTIN")</f>
        <v>ESTRADA ZAPATA, MARTIN</v>
      </c>
      <c r="D3239" t="str">
        <f>IFERROR(__xludf.DUMMYFUNCTION("""COMPUTED_VALUE"""),"Band 8S2")</f>
        <v>Band 8S2</v>
      </c>
      <c r="E3239" s="31" t="str">
        <f>IFERROR(__xludf.DUMMYFUNCTION("""COMPUTED_VALUE"""),"6b")</f>
        <v>6b</v>
      </c>
      <c r="F3239" s="8">
        <v>1.0</v>
      </c>
      <c r="G3239" s="8">
        <v>1.0</v>
      </c>
      <c r="H3239" s="8">
        <v>1.0</v>
      </c>
      <c r="I3239" s="8">
        <v>1.0</v>
      </c>
      <c r="J3239" s="8">
        <v>1.0</v>
      </c>
      <c r="K3239" s="8">
        <v>1.0</v>
      </c>
      <c r="L3239" s="8">
        <v>6.0</v>
      </c>
      <c r="M3239" s="8"/>
      <c r="N3239" s="8"/>
      <c r="O3239" s="8" t="s">
        <v>854</v>
      </c>
      <c r="P3239" s="8" t="e">
        <v>#N/A</v>
      </c>
    </row>
    <row r="3240">
      <c r="A3240">
        <f>IFERROR(__xludf.DUMMYFUNCTION("""COMPUTED_VALUE"""),8.0)</f>
        <v>8</v>
      </c>
      <c r="B3240">
        <f>IFERROR(__xludf.DUMMYFUNCTION("""COMPUTED_VALUE"""),29041.0)</f>
        <v>29041</v>
      </c>
      <c r="C3240" t="str">
        <f>IFERROR(__xludf.DUMMYFUNCTION("""COMPUTED_VALUE"""),"FAJARDO VILLA, LUCIANA")</f>
        <v>FAJARDO VILLA, LUCIANA</v>
      </c>
      <c r="D3240" t="str">
        <f>IFERROR(__xludf.DUMMYFUNCTION("""COMPUTED_VALUE"""),"Tech 8S2")</f>
        <v>Tech 8S2</v>
      </c>
      <c r="E3240" s="31" t="str">
        <f>IFERROR(__xludf.DUMMYFUNCTION("""COMPUTED_VALUE"""),"5a")</f>
        <v>5a</v>
      </c>
      <c r="F3240" s="8">
        <v>1.0</v>
      </c>
      <c r="G3240" s="8">
        <v>1.0</v>
      </c>
      <c r="H3240" s="8">
        <v>1.0</v>
      </c>
      <c r="I3240" s="8">
        <v>1.0</v>
      </c>
      <c r="J3240" s="8">
        <v>1.0</v>
      </c>
      <c r="K3240" s="8">
        <v>1.0</v>
      </c>
      <c r="L3240" s="8">
        <v>6.0</v>
      </c>
      <c r="M3240" s="8"/>
      <c r="N3240" s="8"/>
      <c r="O3240" s="8" t="s">
        <v>857</v>
      </c>
      <c r="P3240" s="8" t="e">
        <v>#N/A</v>
      </c>
    </row>
    <row r="3241">
      <c r="A3241">
        <f>IFERROR(__xludf.DUMMYFUNCTION("""COMPUTED_VALUE"""),8.0)</f>
        <v>8</v>
      </c>
      <c r="B3241">
        <f>IFERROR(__xludf.DUMMYFUNCTION("""COMPUTED_VALUE"""),29155.0)</f>
        <v>29155</v>
      </c>
      <c r="C3241" t="str">
        <f>IFERROR(__xludf.DUMMYFUNCTION("""COMPUTED_VALUE"""),"FERNANDEZ CALDERON, HANNA")</f>
        <v>FERNANDEZ CALDERON, HANNA</v>
      </c>
      <c r="D3241" t="str">
        <f>IFERROR(__xludf.DUMMYFUNCTION("""COMPUTED_VALUE"""),"Art 8S2")</f>
        <v>Art 8S2</v>
      </c>
      <c r="E3241" s="31" t="str">
        <f>IFERROR(__xludf.DUMMYFUNCTION("""COMPUTED_VALUE"""),"5a")</f>
        <v>5a</v>
      </c>
      <c r="F3241" s="8">
        <v>1.0</v>
      </c>
      <c r="G3241" s="8">
        <v>1.0</v>
      </c>
      <c r="H3241" s="8">
        <v>1.0</v>
      </c>
      <c r="I3241" s="8">
        <v>1.0</v>
      </c>
      <c r="J3241" s="8">
        <v>1.0</v>
      </c>
      <c r="K3241" s="8">
        <v>1.0</v>
      </c>
      <c r="L3241" s="8">
        <v>6.0</v>
      </c>
      <c r="M3241" s="8"/>
      <c r="N3241" s="8"/>
      <c r="O3241" s="8" t="s">
        <v>853</v>
      </c>
      <c r="P3241" s="8" t="e">
        <v>#N/A</v>
      </c>
    </row>
    <row r="3242">
      <c r="A3242">
        <f>IFERROR(__xludf.DUMMYFUNCTION("""COMPUTED_VALUE"""),8.0)</f>
        <v>8</v>
      </c>
      <c r="B3242">
        <f>IFERROR(__xludf.DUMMYFUNCTION("""COMPUTED_VALUE"""),29156.0)</f>
        <v>29156</v>
      </c>
      <c r="C3242" t="str">
        <f>IFERROR(__xludf.DUMMYFUNCTION("""COMPUTED_VALUE"""),"FERNANDEZ CALDERON, TAMARA")</f>
        <v>FERNANDEZ CALDERON, TAMARA</v>
      </c>
      <c r="D3242" t="str">
        <f>IFERROR(__xludf.DUMMYFUNCTION("""COMPUTED_VALUE"""),"Band 8S2")</f>
        <v>Band 8S2</v>
      </c>
      <c r="E3242" s="31" t="str">
        <f>IFERROR(__xludf.DUMMYFUNCTION("""COMPUTED_VALUE"""),"1b")</f>
        <v>1b</v>
      </c>
      <c r="F3242" s="8">
        <v>1.0</v>
      </c>
      <c r="G3242" s="8">
        <v>1.0</v>
      </c>
      <c r="H3242" s="8">
        <v>1.0</v>
      </c>
      <c r="I3242" s="8">
        <v>1.0</v>
      </c>
      <c r="J3242" s="8">
        <v>1.0</v>
      </c>
      <c r="K3242" s="8">
        <v>1.0</v>
      </c>
      <c r="L3242" s="8">
        <v>6.0</v>
      </c>
      <c r="M3242" s="8"/>
      <c r="N3242" s="8"/>
      <c r="O3242" s="8" t="s">
        <v>852</v>
      </c>
      <c r="P3242" s="8" t="e">
        <v>#N/A</v>
      </c>
    </row>
    <row r="3243">
      <c r="A3243">
        <f>IFERROR(__xludf.DUMMYFUNCTION("""COMPUTED_VALUE"""),8.0)</f>
        <v>8</v>
      </c>
      <c r="B3243">
        <f>IFERROR(__xludf.DUMMYFUNCTION("""COMPUTED_VALUE"""),28032.0)</f>
        <v>28032</v>
      </c>
      <c r="C3243" t="str">
        <f>IFERROR(__xludf.DUMMYFUNCTION("""COMPUTED_VALUE"""),"GALLON TOBON, GERONIMO")</f>
        <v>GALLON TOBON, GERONIMO</v>
      </c>
      <c r="D3243" t="str">
        <f>IFERROR(__xludf.DUMMYFUNCTION("""COMPUTED_VALUE"""),"Band 8S2")</f>
        <v>Band 8S2</v>
      </c>
      <c r="E3243" s="31" t="str">
        <f>IFERROR(__xludf.DUMMYFUNCTION("""COMPUTED_VALUE"""),"1b")</f>
        <v>1b</v>
      </c>
      <c r="F3243" s="8">
        <v>1.0</v>
      </c>
      <c r="G3243" s="8">
        <v>1.0</v>
      </c>
      <c r="H3243" s="8">
        <v>1.0</v>
      </c>
      <c r="I3243" s="8">
        <v>1.0</v>
      </c>
      <c r="J3243" s="8">
        <v>1.0</v>
      </c>
      <c r="K3243" s="8">
        <v>1.0</v>
      </c>
      <c r="L3243" s="8">
        <v>6.0</v>
      </c>
      <c r="M3243" s="8"/>
      <c r="N3243" s="8"/>
      <c r="O3243" s="8" t="s">
        <v>852</v>
      </c>
      <c r="P3243" s="8" t="e">
        <v>#N/A</v>
      </c>
    </row>
    <row r="3244">
      <c r="A3244">
        <f>IFERROR(__xludf.DUMMYFUNCTION("""COMPUTED_VALUE"""),8.0)</f>
        <v>8</v>
      </c>
      <c r="B3244">
        <f>IFERROR(__xludf.DUMMYFUNCTION("""COMPUTED_VALUE"""),29042.0)</f>
        <v>29042</v>
      </c>
      <c r="C3244" t="str">
        <f>IFERROR(__xludf.DUMMYFUNCTION("""COMPUTED_VALUE"""),"GOMEZ MIRA, GREGORIO")</f>
        <v>GOMEZ MIRA, GREGORIO</v>
      </c>
      <c r="D3244" t="str">
        <f>IFERROR(__xludf.DUMMYFUNCTION("""COMPUTED_VALUE"""),"Band 8S2")</f>
        <v>Band 8S2</v>
      </c>
      <c r="E3244" s="31" t="str">
        <f>IFERROR(__xludf.DUMMYFUNCTION("""COMPUTED_VALUE"""),"5b")</f>
        <v>5b</v>
      </c>
      <c r="F3244" s="8">
        <v>1.0</v>
      </c>
      <c r="G3244" s="8">
        <v>1.0</v>
      </c>
      <c r="H3244" s="8">
        <v>1.0</v>
      </c>
      <c r="I3244" s="8">
        <v>1.0</v>
      </c>
      <c r="J3244" s="8">
        <v>1.0</v>
      </c>
      <c r="K3244" s="8">
        <v>1.0</v>
      </c>
      <c r="L3244" s="8">
        <v>6.0</v>
      </c>
      <c r="M3244" s="8"/>
      <c r="N3244" s="8"/>
      <c r="O3244" s="8" t="s">
        <v>856</v>
      </c>
      <c r="P3244" s="8" t="e">
        <v>#N/A</v>
      </c>
    </row>
    <row r="3245">
      <c r="A3245">
        <f>IFERROR(__xludf.DUMMYFUNCTION("""COMPUTED_VALUE"""),8.0)</f>
        <v>8</v>
      </c>
      <c r="B3245">
        <f>IFERROR(__xludf.DUMMYFUNCTION("""COMPUTED_VALUE"""),29043.0)</f>
        <v>29043</v>
      </c>
      <c r="C3245" t="str">
        <f>IFERROR(__xludf.DUMMYFUNCTION("""COMPUTED_VALUE"""),"GOMEZ PASCHKE, VALERIA")</f>
        <v>GOMEZ PASCHKE, VALERIA</v>
      </c>
      <c r="D3245" t="str">
        <f>IFERROR(__xludf.DUMMYFUNCTION("""COMPUTED_VALUE"""),"Art 8S2")</f>
        <v>Art 8S2</v>
      </c>
      <c r="E3245" s="31" t="str">
        <f>IFERROR(__xludf.DUMMYFUNCTION("""COMPUTED_VALUE"""),"4b")</f>
        <v>4b</v>
      </c>
      <c r="F3245" s="8">
        <v>1.0</v>
      </c>
      <c r="G3245" s="8">
        <v>1.0</v>
      </c>
      <c r="H3245" s="8">
        <v>1.0</v>
      </c>
      <c r="I3245" s="8">
        <v>1.0</v>
      </c>
      <c r="J3245" s="8">
        <v>1.0</v>
      </c>
      <c r="K3245" s="8">
        <v>1.0</v>
      </c>
      <c r="L3245" s="8">
        <v>6.0</v>
      </c>
      <c r="M3245" s="8"/>
      <c r="N3245" s="8"/>
      <c r="O3245" s="8" t="s">
        <v>851</v>
      </c>
      <c r="P3245" s="8" t="e">
        <v>#N/A</v>
      </c>
    </row>
    <row r="3246">
      <c r="A3246">
        <f>IFERROR(__xludf.DUMMYFUNCTION("""COMPUTED_VALUE"""),8.0)</f>
        <v>8</v>
      </c>
      <c r="B3246">
        <f>IFERROR(__xludf.DUMMYFUNCTION("""COMPUTED_VALUE"""),29045.0)</f>
        <v>29045</v>
      </c>
      <c r="C3246" t="str">
        <f>IFERROR(__xludf.DUMMYFUNCTION("""COMPUTED_VALUE"""),"GOMEZ ZULUAGA, JUAN JOSE")</f>
        <v>GOMEZ ZULUAGA, JUAN JOSE</v>
      </c>
      <c r="D3246" t="str">
        <f>IFERROR(__xludf.DUMMYFUNCTION("""COMPUTED_VALUE"""),"Band 8S2")</f>
        <v>Band 8S2</v>
      </c>
      <c r="E3246" s="31" t="str">
        <f>IFERROR(__xludf.DUMMYFUNCTION("""COMPUTED_VALUE"""),"2a")</f>
        <v>2a</v>
      </c>
      <c r="F3246" s="8">
        <v>1.0</v>
      </c>
      <c r="G3246" s="8">
        <v>1.0</v>
      </c>
      <c r="H3246" s="8">
        <v>1.0</v>
      </c>
      <c r="I3246" s="8">
        <v>1.0</v>
      </c>
      <c r="J3246" s="8">
        <v>1.0</v>
      </c>
      <c r="K3246" s="8">
        <v>1.0</v>
      </c>
      <c r="L3246" s="8">
        <v>6.0</v>
      </c>
      <c r="M3246" s="8"/>
      <c r="N3246" s="8"/>
      <c r="O3246" s="8" t="s">
        <v>855</v>
      </c>
      <c r="P3246" s="8" t="e">
        <v>#N/A</v>
      </c>
    </row>
    <row r="3247">
      <c r="A3247">
        <f>IFERROR(__xludf.DUMMYFUNCTION("""COMPUTED_VALUE"""),8.0)</f>
        <v>8</v>
      </c>
      <c r="B3247">
        <f>IFERROR(__xludf.DUMMYFUNCTION("""COMPUTED_VALUE"""),29046.0)</f>
        <v>29046</v>
      </c>
      <c r="C3247" t="str">
        <f>IFERROR(__xludf.DUMMYFUNCTION("""COMPUTED_VALUE"""),"GONZALEZ LOPEZ, SAMUEL")</f>
        <v>GONZALEZ LOPEZ, SAMUEL</v>
      </c>
      <c r="D3247" t="str">
        <f>IFERROR(__xludf.DUMMYFUNCTION("""COMPUTED_VALUE"""),"Band 8S2")</f>
        <v>Band 8S2</v>
      </c>
      <c r="E3247" s="31" t="str">
        <f>IFERROR(__xludf.DUMMYFUNCTION("""COMPUTED_VALUE"""),"6b")</f>
        <v>6b</v>
      </c>
      <c r="F3247" s="8">
        <v>1.0</v>
      </c>
      <c r="G3247" s="8">
        <v>1.0</v>
      </c>
      <c r="H3247" s="8">
        <v>1.0</v>
      </c>
      <c r="I3247" s="8">
        <v>1.0</v>
      </c>
      <c r="J3247" s="8">
        <v>1.0</v>
      </c>
      <c r="K3247" s="8">
        <v>1.0</v>
      </c>
      <c r="L3247" s="8">
        <v>6.0</v>
      </c>
      <c r="M3247" s="8"/>
      <c r="N3247" s="8"/>
      <c r="O3247" s="8" t="s">
        <v>854</v>
      </c>
      <c r="P3247" s="8" t="e">
        <v>#N/A</v>
      </c>
    </row>
    <row r="3248">
      <c r="A3248">
        <f>IFERROR(__xludf.DUMMYFUNCTION("""COMPUTED_VALUE"""),8.0)</f>
        <v>8</v>
      </c>
      <c r="B3248">
        <f>IFERROR(__xludf.DUMMYFUNCTION("""COMPUTED_VALUE"""),29048.0)</f>
        <v>29048</v>
      </c>
      <c r="C3248" t="str">
        <f>IFERROR(__xludf.DUMMYFUNCTION("""COMPUTED_VALUE"""),"HENAO RESTREPO, ANTONIA")</f>
        <v>HENAO RESTREPO, ANTONIA</v>
      </c>
      <c r="D3248" t="str">
        <f>IFERROR(__xludf.DUMMYFUNCTION("""COMPUTED_VALUE"""),"Art 8S2")</f>
        <v>Art 8S2</v>
      </c>
      <c r="E3248" s="31" t="str">
        <f>IFERROR(__xludf.DUMMYFUNCTION("""COMPUTED_VALUE"""),"4b")</f>
        <v>4b</v>
      </c>
      <c r="F3248" s="8">
        <v>1.0</v>
      </c>
      <c r="G3248" s="8">
        <v>1.0</v>
      </c>
      <c r="H3248" s="8">
        <v>1.0</v>
      </c>
      <c r="I3248" s="8">
        <v>1.0</v>
      </c>
      <c r="J3248" s="8">
        <v>1.0</v>
      </c>
      <c r="K3248" s="8">
        <v>1.0</v>
      </c>
      <c r="L3248" s="8">
        <v>6.0</v>
      </c>
      <c r="M3248" s="8"/>
      <c r="N3248" s="8"/>
      <c r="O3248" s="8" t="s">
        <v>851</v>
      </c>
      <c r="P3248" s="8" t="e">
        <v>#N/A</v>
      </c>
    </row>
    <row r="3249">
      <c r="A3249">
        <f>IFERROR(__xludf.DUMMYFUNCTION("""COMPUTED_VALUE"""),8.0)</f>
        <v>8</v>
      </c>
      <c r="B3249">
        <f>IFERROR(__xludf.DUMMYFUNCTION("""COMPUTED_VALUE"""),29049.0)</f>
        <v>29049</v>
      </c>
      <c r="C3249" t="str">
        <f>IFERROR(__xludf.DUMMYFUNCTION("""COMPUTED_VALUE"""),"HINESTROSA SIERRA, MIGUEL")</f>
        <v>HINESTROSA SIERRA, MIGUEL</v>
      </c>
      <c r="D3249" t="str">
        <f>IFERROR(__xludf.DUMMYFUNCTION("""COMPUTED_VALUE"""),"Band 8S2")</f>
        <v>Band 8S2</v>
      </c>
      <c r="E3249" s="31" t="str">
        <f>IFERROR(__xludf.DUMMYFUNCTION("""COMPUTED_VALUE"""),"6b")</f>
        <v>6b</v>
      </c>
      <c r="F3249" s="8">
        <v>1.0</v>
      </c>
      <c r="G3249" s="8">
        <v>1.0</v>
      </c>
      <c r="H3249" s="8">
        <v>1.0</v>
      </c>
      <c r="I3249" s="8">
        <v>1.0</v>
      </c>
      <c r="J3249" s="8">
        <v>1.0</v>
      </c>
      <c r="K3249" s="8">
        <v>1.0</v>
      </c>
      <c r="L3249" s="8">
        <v>6.0</v>
      </c>
      <c r="M3249" s="8"/>
      <c r="N3249" s="8"/>
      <c r="O3249" s="8" t="s">
        <v>854</v>
      </c>
      <c r="P3249" s="8" t="e">
        <v>#N/A</v>
      </c>
    </row>
    <row r="3250">
      <c r="A3250">
        <f>IFERROR(__xludf.DUMMYFUNCTION("""COMPUTED_VALUE"""),8.0)</f>
        <v>8</v>
      </c>
      <c r="B3250">
        <f>IFERROR(__xludf.DUMMYFUNCTION("""COMPUTED_VALUE"""),29050.0)</f>
        <v>29050</v>
      </c>
      <c r="C3250" t="str">
        <f>IFERROR(__xludf.DUMMYFUNCTION("""COMPUTED_VALUE"""),"HINESTROSA SIERRA, PEDRO")</f>
        <v>HINESTROSA SIERRA, PEDRO</v>
      </c>
      <c r="D3250" t="str">
        <f>IFERROR(__xludf.DUMMYFUNCTION("""COMPUTED_VALUE"""),"Band 8S2")</f>
        <v>Band 8S2</v>
      </c>
      <c r="E3250" s="31" t="str">
        <f>IFERROR(__xludf.DUMMYFUNCTION("""COMPUTED_VALUE"""),"5b")</f>
        <v>5b</v>
      </c>
      <c r="F3250" s="8">
        <v>1.0</v>
      </c>
      <c r="G3250" s="8">
        <v>1.0</v>
      </c>
      <c r="H3250" s="8">
        <v>1.0</v>
      </c>
      <c r="I3250" s="8">
        <v>1.0</v>
      </c>
      <c r="J3250" s="8">
        <v>1.0</v>
      </c>
      <c r="K3250" s="8">
        <v>1.0</v>
      </c>
      <c r="L3250" s="8">
        <v>6.0</v>
      </c>
      <c r="M3250" s="8"/>
      <c r="N3250" s="8"/>
      <c r="O3250" s="8" t="s">
        <v>856</v>
      </c>
      <c r="P3250" s="8" t="e">
        <v>#N/A</v>
      </c>
    </row>
    <row r="3251">
      <c r="A3251">
        <f>IFERROR(__xludf.DUMMYFUNCTION("""COMPUTED_VALUE"""),8.0)</f>
        <v>8</v>
      </c>
      <c r="B3251">
        <f>IFERROR(__xludf.DUMMYFUNCTION("""COMPUTED_VALUE"""),28046.0)</f>
        <v>28046</v>
      </c>
      <c r="C3251" t="str">
        <f>IFERROR(__xludf.DUMMYFUNCTION("""COMPUTED_VALUE"""),"HOYOS SARAVIA, TOMAS")</f>
        <v>HOYOS SARAVIA, TOMAS</v>
      </c>
      <c r="D3251" t="str">
        <f>IFERROR(__xludf.DUMMYFUNCTION("""COMPUTED_VALUE"""),"Band 8S2")</f>
        <v>Band 8S2</v>
      </c>
      <c r="E3251" s="31" t="str">
        <f>IFERROR(__xludf.DUMMYFUNCTION("""COMPUTED_VALUE"""),"5b")</f>
        <v>5b</v>
      </c>
      <c r="F3251" s="8">
        <v>1.0</v>
      </c>
      <c r="G3251" s="8">
        <v>1.0</v>
      </c>
      <c r="H3251" s="8">
        <v>1.0</v>
      </c>
      <c r="I3251" s="8">
        <v>1.0</v>
      </c>
      <c r="J3251" s="8">
        <v>1.0</v>
      </c>
      <c r="K3251" s="8">
        <v>1.0</v>
      </c>
      <c r="L3251" s="8">
        <v>6.0</v>
      </c>
      <c r="M3251" s="8"/>
      <c r="N3251" s="8"/>
      <c r="O3251" s="8" t="s">
        <v>856</v>
      </c>
      <c r="P3251" s="8" t="e">
        <v>#N/A</v>
      </c>
    </row>
    <row r="3252">
      <c r="A3252">
        <f>IFERROR(__xludf.DUMMYFUNCTION("""COMPUTED_VALUE"""),8.0)</f>
        <v>8</v>
      </c>
      <c r="B3252">
        <f>IFERROR(__xludf.DUMMYFUNCTION("""COMPUTED_VALUE"""),29052.0)</f>
        <v>29052</v>
      </c>
      <c r="C3252" t="str">
        <f>IFERROR(__xludf.DUMMYFUNCTION("""COMPUTED_VALUE"""),"HURTADO ARISTIZABAL, CAMILA")</f>
        <v>HURTADO ARISTIZABAL, CAMILA</v>
      </c>
      <c r="D3252" t="str">
        <f>IFERROR(__xludf.DUMMYFUNCTION("""COMPUTED_VALUE"""),"Tech 8S2")</f>
        <v>Tech 8S2</v>
      </c>
      <c r="E3252" s="31" t="str">
        <f>IFERROR(__xludf.DUMMYFUNCTION("""COMPUTED_VALUE"""),"5a")</f>
        <v>5a</v>
      </c>
      <c r="F3252" s="8">
        <v>1.0</v>
      </c>
      <c r="G3252" s="8">
        <v>1.0</v>
      </c>
      <c r="H3252" s="8">
        <v>1.0</v>
      </c>
      <c r="I3252" s="8">
        <v>1.0</v>
      </c>
      <c r="J3252" s="8">
        <v>1.0</v>
      </c>
      <c r="K3252" s="8">
        <v>1.0</v>
      </c>
      <c r="L3252" s="8">
        <v>6.0</v>
      </c>
      <c r="M3252" s="8"/>
      <c r="N3252" s="8"/>
      <c r="O3252" s="8" t="s">
        <v>857</v>
      </c>
      <c r="P3252" s="8" t="e">
        <v>#N/A</v>
      </c>
    </row>
    <row r="3253">
      <c r="A3253">
        <f>IFERROR(__xludf.DUMMYFUNCTION("""COMPUTED_VALUE"""),8.0)</f>
        <v>8</v>
      </c>
      <c r="B3253">
        <f>IFERROR(__xludf.DUMMYFUNCTION("""COMPUTED_VALUE"""),29053.0)</f>
        <v>29053</v>
      </c>
      <c r="C3253" t="str">
        <f>IFERROR(__xludf.DUMMYFUNCTION("""COMPUTED_VALUE"""),"HURTADO FAJARDO, JUANITA")</f>
        <v>HURTADO FAJARDO, JUANITA</v>
      </c>
      <c r="D3253" t="str">
        <f>IFERROR(__xludf.DUMMYFUNCTION("""COMPUTED_VALUE"""),"Art 8S2")</f>
        <v>Art 8S2</v>
      </c>
      <c r="E3253" s="31" t="str">
        <f>IFERROR(__xludf.DUMMYFUNCTION("""COMPUTED_VALUE"""),"4b")</f>
        <v>4b</v>
      </c>
      <c r="F3253" s="8">
        <v>1.0</v>
      </c>
      <c r="G3253" s="8">
        <v>1.0</v>
      </c>
      <c r="H3253" s="8">
        <v>1.0</v>
      </c>
      <c r="I3253" s="8">
        <v>1.0</v>
      </c>
      <c r="J3253" s="8">
        <v>1.0</v>
      </c>
      <c r="K3253" s="8">
        <v>1.0</v>
      </c>
      <c r="L3253" s="8">
        <v>6.0</v>
      </c>
      <c r="M3253" s="8"/>
      <c r="N3253" s="8"/>
      <c r="O3253" s="8" t="s">
        <v>851</v>
      </c>
      <c r="P3253" s="8" t="e">
        <v>#N/A</v>
      </c>
    </row>
    <row r="3254">
      <c r="A3254">
        <f>IFERROR(__xludf.DUMMYFUNCTION("""COMPUTED_VALUE"""),8.0)</f>
        <v>8</v>
      </c>
      <c r="B3254">
        <f>IFERROR(__xludf.DUMMYFUNCTION("""COMPUTED_VALUE"""),29056.0)</f>
        <v>29056</v>
      </c>
      <c r="C3254" t="str">
        <f>IFERROR(__xludf.DUMMYFUNCTION("""COMPUTED_VALUE"""),"JAILLIER PINZON, MAXIMILIANO")</f>
        <v>JAILLIER PINZON, MAXIMILIANO</v>
      </c>
      <c r="D3254" t="str">
        <f>IFERROR(__xludf.DUMMYFUNCTION("""COMPUTED_VALUE"""),"Band 8S2")</f>
        <v>Band 8S2</v>
      </c>
      <c r="E3254" s="31" t="str">
        <f>IFERROR(__xludf.DUMMYFUNCTION("""COMPUTED_VALUE"""),"5b")</f>
        <v>5b</v>
      </c>
      <c r="F3254" s="8">
        <v>1.0</v>
      </c>
      <c r="G3254" s="8">
        <v>1.0</v>
      </c>
      <c r="H3254" s="8">
        <v>1.0</v>
      </c>
      <c r="I3254" s="8">
        <v>1.0</v>
      </c>
      <c r="J3254" s="8">
        <v>1.0</v>
      </c>
      <c r="K3254" s="8">
        <v>1.0</v>
      </c>
      <c r="L3254" s="8">
        <v>6.0</v>
      </c>
      <c r="M3254" s="8"/>
      <c r="N3254" s="8"/>
      <c r="O3254" s="8" t="s">
        <v>856</v>
      </c>
      <c r="P3254" s="8" t="e">
        <v>#N/A</v>
      </c>
    </row>
    <row r="3255">
      <c r="A3255">
        <f>IFERROR(__xludf.DUMMYFUNCTION("""COMPUTED_VALUE"""),8.0)</f>
        <v>8</v>
      </c>
      <c r="B3255">
        <f>IFERROR(__xludf.DUMMYFUNCTION("""COMPUTED_VALUE"""),29057.0)</f>
        <v>29057</v>
      </c>
      <c r="C3255" t="str">
        <f>IFERROR(__xludf.DUMMYFUNCTION("""COMPUTED_VALUE"""),"JALLER TRUJILLO, KAMEL")</f>
        <v>JALLER TRUJILLO, KAMEL</v>
      </c>
      <c r="D3255" t="str">
        <f>IFERROR(__xludf.DUMMYFUNCTION("""COMPUTED_VALUE"""),"Band 8S2")</f>
        <v>Band 8S2</v>
      </c>
      <c r="E3255" s="31" t="str">
        <f>IFERROR(__xludf.DUMMYFUNCTION("""COMPUTED_VALUE"""),"2a")</f>
        <v>2a</v>
      </c>
      <c r="F3255" s="8">
        <v>1.0</v>
      </c>
      <c r="G3255" s="8">
        <v>1.0</v>
      </c>
      <c r="H3255" s="8">
        <v>1.0</v>
      </c>
      <c r="I3255" s="8">
        <v>1.0</v>
      </c>
      <c r="J3255" s="8">
        <v>1.0</v>
      </c>
      <c r="K3255" s="8">
        <v>1.0</v>
      </c>
      <c r="L3255" s="8">
        <v>6.0</v>
      </c>
      <c r="M3255" s="8"/>
      <c r="N3255" s="8"/>
      <c r="O3255" s="8" t="s">
        <v>855</v>
      </c>
      <c r="P3255" s="8" t="e">
        <v>#N/A</v>
      </c>
    </row>
    <row r="3256">
      <c r="A3256">
        <f>IFERROR(__xludf.DUMMYFUNCTION("""COMPUTED_VALUE"""),8.0)</f>
        <v>8</v>
      </c>
      <c r="B3256">
        <f>IFERROR(__xludf.DUMMYFUNCTION("""COMPUTED_VALUE"""),29058.0)</f>
        <v>29058</v>
      </c>
      <c r="C3256" t="str">
        <f>IFERROR(__xludf.DUMMYFUNCTION("""COMPUTED_VALUE"""),"JARAMILLO DONADO, AMELIA")</f>
        <v>JARAMILLO DONADO, AMELIA</v>
      </c>
      <c r="D3256" t="str">
        <f>IFERROR(__xludf.DUMMYFUNCTION("""COMPUTED_VALUE"""),"Band 8S2")</f>
        <v>Band 8S2</v>
      </c>
      <c r="E3256" s="31" t="str">
        <f>IFERROR(__xludf.DUMMYFUNCTION("""COMPUTED_VALUE"""),"1b")</f>
        <v>1b</v>
      </c>
      <c r="F3256" s="8">
        <v>1.0</v>
      </c>
      <c r="G3256" s="8">
        <v>1.0</v>
      </c>
      <c r="H3256" s="8">
        <v>1.0</v>
      </c>
      <c r="I3256" s="8">
        <v>1.0</v>
      </c>
      <c r="J3256" s="8">
        <v>1.0</v>
      </c>
      <c r="K3256" s="8">
        <v>1.0</v>
      </c>
      <c r="L3256" s="8">
        <v>6.0</v>
      </c>
      <c r="M3256" s="8"/>
      <c r="N3256" s="8"/>
      <c r="O3256" s="8" t="s">
        <v>852</v>
      </c>
      <c r="P3256" s="8" t="e">
        <v>#N/A</v>
      </c>
    </row>
    <row r="3257">
      <c r="A3257">
        <f>IFERROR(__xludf.DUMMYFUNCTION("""COMPUTED_VALUE"""),8.0)</f>
        <v>8</v>
      </c>
      <c r="B3257">
        <f>IFERROR(__xludf.DUMMYFUNCTION("""COMPUTED_VALUE"""),29059.0)</f>
        <v>29059</v>
      </c>
      <c r="C3257" t="str">
        <f>IFERROR(__xludf.DUMMYFUNCTION("""COMPUTED_VALUE"""),"JARAMILLO GONZALEZ, PASCUAL")</f>
        <v>JARAMILLO GONZALEZ, PASCUAL</v>
      </c>
      <c r="D3257" t="str">
        <f>IFERROR(__xludf.DUMMYFUNCTION("""COMPUTED_VALUE"""),"Band 8S2")</f>
        <v>Band 8S2</v>
      </c>
      <c r="E3257" s="31" t="str">
        <f>IFERROR(__xludf.DUMMYFUNCTION("""COMPUTED_VALUE"""),"5b")</f>
        <v>5b</v>
      </c>
      <c r="F3257" s="8">
        <v>1.0</v>
      </c>
      <c r="G3257" s="8">
        <v>1.0</v>
      </c>
      <c r="H3257" s="8">
        <v>1.0</v>
      </c>
      <c r="I3257" s="8">
        <v>1.0</v>
      </c>
      <c r="J3257" s="8">
        <v>1.0</v>
      </c>
      <c r="K3257" s="8">
        <v>1.0</v>
      </c>
      <c r="L3257" s="8">
        <v>6.0</v>
      </c>
      <c r="M3257" s="8"/>
      <c r="N3257" s="8"/>
      <c r="O3257" s="8" t="s">
        <v>856</v>
      </c>
      <c r="P3257" s="8" t="e">
        <v>#N/A</v>
      </c>
    </row>
    <row r="3258">
      <c r="A3258">
        <f>IFERROR(__xludf.DUMMYFUNCTION("""COMPUTED_VALUE"""),8.0)</f>
        <v>8</v>
      </c>
      <c r="B3258">
        <f>IFERROR(__xludf.DUMMYFUNCTION("""COMPUTED_VALUE"""),29060.0)</f>
        <v>29060</v>
      </c>
      <c r="C3258" t="str">
        <f>IFERROR(__xludf.DUMMYFUNCTION("""COMPUTED_VALUE"""),"JARAMILLO NARANJO, NICOLAS")</f>
        <v>JARAMILLO NARANJO, NICOLAS</v>
      </c>
      <c r="D3258" t="str">
        <f>IFERROR(__xludf.DUMMYFUNCTION("""COMPUTED_VALUE"""),"Band 8S2")</f>
        <v>Band 8S2</v>
      </c>
      <c r="E3258" s="31" t="str">
        <f>IFERROR(__xludf.DUMMYFUNCTION("""COMPUTED_VALUE"""),"5b")</f>
        <v>5b</v>
      </c>
      <c r="F3258" s="8">
        <v>1.0</v>
      </c>
      <c r="G3258" s="8">
        <v>1.0</v>
      </c>
      <c r="H3258" s="8">
        <v>1.0</v>
      </c>
      <c r="I3258" s="8">
        <v>1.0</v>
      </c>
      <c r="J3258" s="8">
        <v>1.0</v>
      </c>
      <c r="K3258" s="8">
        <v>1.0</v>
      </c>
      <c r="L3258" s="8">
        <v>6.0</v>
      </c>
      <c r="M3258" s="8"/>
      <c r="N3258" s="8"/>
      <c r="O3258" s="8" t="s">
        <v>856</v>
      </c>
      <c r="P3258" s="8" t="e">
        <v>#N/A</v>
      </c>
    </row>
    <row r="3259">
      <c r="A3259">
        <f>IFERROR(__xludf.DUMMYFUNCTION("""COMPUTED_VALUE"""),8.0)</f>
        <v>8</v>
      </c>
      <c r="B3259">
        <f>IFERROR(__xludf.DUMMYFUNCTION("""COMPUTED_VALUE"""),29061.0)</f>
        <v>29061</v>
      </c>
      <c r="C3259" t="str">
        <f>IFERROR(__xludf.DUMMYFUNCTION("""COMPUTED_VALUE"""),"JARAMILLO OSPINA, MANUEL")</f>
        <v>JARAMILLO OSPINA, MANUEL</v>
      </c>
      <c r="D3259" t="str">
        <f>IFERROR(__xludf.DUMMYFUNCTION("""COMPUTED_VALUE"""),"Band 8S2")</f>
        <v>Band 8S2</v>
      </c>
      <c r="E3259" s="31" t="str">
        <f>IFERROR(__xludf.DUMMYFUNCTION("""COMPUTED_VALUE"""),"1b")</f>
        <v>1b</v>
      </c>
      <c r="F3259" s="8">
        <v>1.0</v>
      </c>
      <c r="G3259" s="8">
        <v>1.0</v>
      </c>
      <c r="H3259" s="8">
        <v>1.0</v>
      </c>
      <c r="I3259" s="8">
        <v>1.0</v>
      </c>
      <c r="J3259" s="8">
        <v>1.0</v>
      </c>
      <c r="K3259" s="8">
        <v>1.0</v>
      </c>
      <c r="L3259" s="8">
        <v>6.0</v>
      </c>
      <c r="M3259" s="8"/>
      <c r="N3259" s="8"/>
      <c r="O3259" s="8" t="s">
        <v>852</v>
      </c>
      <c r="P3259" s="8" t="e">
        <v>#N/A</v>
      </c>
    </row>
    <row r="3260">
      <c r="A3260">
        <f>IFERROR(__xludf.DUMMYFUNCTION("""COMPUTED_VALUE"""),8.0)</f>
        <v>8</v>
      </c>
      <c r="B3260">
        <f>IFERROR(__xludf.DUMMYFUNCTION("""COMPUTED_VALUE"""),28144.0)</f>
        <v>28144</v>
      </c>
      <c r="C3260" t="str">
        <f>IFERROR(__xludf.DUMMYFUNCTION("""COMPUTED_VALUE"""),"JIMENEZ PATIÑO, EMILIO")</f>
        <v>JIMENEZ PATIÑO, EMILIO</v>
      </c>
      <c r="D3260" t="str">
        <f>IFERROR(__xludf.DUMMYFUNCTION("""COMPUTED_VALUE"""),"Band 8S2")</f>
        <v>Band 8S2</v>
      </c>
      <c r="E3260" s="31" t="str">
        <f>IFERROR(__xludf.DUMMYFUNCTION("""COMPUTED_VALUE"""),"6b")</f>
        <v>6b</v>
      </c>
      <c r="F3260" s="8">
        <v>1.0</v>
      </c>
      <c r="G3260" s="8">
        <v>1.0</v>
      </c>
      <c r="H3260" s="8">
        <v>1.0</v>
      </c>
      <c r="I3260" s="8">
        <v>1.0</v>
      </c>
      <c r="J3260" s="8">
        <v>1.0</v>
      </c>
      <c r="K3260" s="8">
        <v>1.0</v>
      </c>
      <c r="L3260" s="8">
        <v>6.0</v>
      </c>
      <c r="M3260" s="8"/>
      <c r="N3260" s="8"/>
      <c r="O3260" s="8" t="s">
        <v>854</v>
      </c>
      <c r="P3260" s="8" t="e">
        <v>#N/A</v>
      </c>
    </row>
    <row r="3261">
      <c r="A3261">
        <f>IFERROR(__xludf.DUMMYFUNCTION("""COMPUTED_VALUE"""),8.0)</f>
        <v>8</v>
      </c>
      <c r="B3261">
        <f>IFERROR(__xludf.DUMMYFUNCTION("""COMPUTED_VALUE"""),29147.0)</f>
        <v>29147</v>
      </c>
      <c r="C3261" t="str">
        <f>IFERROR(__xludf.DUMMYFUNCTION("""COMPUTED_VALUE"""),"JIMENO ARISTIZABAL, ISABELLA")</f>
        <v>JIMENO ARISTIZABAL, ISABELLA</v>
      </c>
      <c r="D3261" t="str">
        <f>IFERROR(__xludf.DUMMYFUNCTION("""COMPUTED_VALUE"""),"Band 8S2")</f>
        <v>Band 8S2</v>
      </c>
      <c r="E3261" s="31" t="str">
        <f>IFERROR(__xludf.DUMMYFUNCTION("""COMPUTED_VALUE"""),"1b")</f>
        <v>1b</v>
      </c>
      <c r="F3261" s="8">
        <v>1.0</v>
      </c>
      <c r="G3261" s="8">
        <v>1.0</v>
      </c>
      <c r="H3261" s="8">
        <v>1.0</v>
      </c>
      <c r="I3261" s="8">
        <v>1.0</v>
      </c>
      <c r="J3261" s="8">
        <v>1.0</v>
      </c>
      <c r="K3261" s="8">
        <v>1.0</v>
      </c>
      <c r="L3261" s="8">
        <v>6.0</v>
      </c>
      <c r="M3261" s="8"/>
      <c r="N3261" s="8"/>
      <c r="O3261" s="8" t="s">
        <v>852</v>
      </c>
      <c r="P3261" s="8" t="e">
        <v>#N/A</v>
      </c>
    </row>
    <row r="3262">
      <c r="A3262">
        <f>IFERROR(__xludf.DUMMYFUNCTION("""COMPUTED_VALUE"""),8.0)</f>
        <v>8</v>
      </c>
      <c r="B3262">
        <f>IFERROR(__xludf.DUMMYFUNCTION("""COMPUTED_VALUE"""),29062.0)</f>
        <v>29062</v>
      </c>
      <c r="C3262" t="str">
        <f>IFERROR(__xludf.DUMMYFUNCTION("""COMPUTED_VALUE"""),"KIM LEE, SAE YOON LUCAS")</f>
        <v>KIM LEE, SAE YOON LUCAS</v>
      </c>
      <c r="D3262" t="str">
        <f>IFERROR(__xludf.DUMMYFUNCTION("""COMPUTED_VALUE"""),"Band 8S2")</f>
        <v>Band 8S2</v>
      </c>
      <c r="E3262" s="31" t="str">
        <f>IFERROR(__xludf.DUMMYFUNCTION("""COMPUTED_VALUE"""),"2a")</f>
        <v>2a</v>
      </c>
      <c r="F3262" s="8">
        <v>1.0</v>
      </c>
      <c r="G3262" s="8">
        <v>1.0</v>
      </c>
      <c r="H3262" s="8">
        <v>1.0</v>
      </c>
      <c r="I3262" s="8">
        <v>1.0</v>
      </c>
      <c r="J3262" s="8">
        <v>1.0</v>
      </c>
      <c r="K3262" s="8">
        <v>1.0</v>
      </c>
      <c r="L3262" s="8">
        <v>6.0</v>
      </c>
      <c r="M3262" s="8"/>
      <c r="N3262" s="8"/>
      <c r="O3262" s="8" t="s">
        <v>855</v>
      </c>
      <c r="P3262" s="8" t="e">
        <v>#N/A</v>
      </c>
    </row>
    <row r="3263">
      <c r="A3263">
        <f>IFERROR(__xludf.DUMMYFUNCTION("""COMPUTED_VALUE"""),8.0)</f>
        <v>8</v>
      </c>
      <c r="B3263">
        <f>IFERROR(__xludf.DUMMYFUNCTION("""COMPUTED_VALUE"""),29064.0)</f>
        <v>29064</v>
      </c>
      <c r="C3263" t="str">
        <f>IFERROR(__xludf.DUMMYFUNCTION("""COMPUTED_VALUE"""),"LONDOÑO BAQUERO, EMILIA")</f>
        <v>LONDOÑO BAQUERO, EMILIA</v>
      </c>
      <c r="D3263" t="str">
        <f>IFERROR(__xludf.DUMMYFUNCTION("""COMPUTED_VALUE"""),"Art 8S2")</f>
        <v>Art 8S2</v>
      </c>
      <c r="E3263" s="31" t="str">
        <f>IFERROR(__xludf.DUMMYFUNCTION("""COMPUTED_VALUE"""),"4b")</f>
        <v>4b</v>
      </c>
      <c r="F3263" s="8">
        <v>1.0</v>
      </c>
      <c r="G3263" s="8">
        <v>1.0</v>
      </c>
      <c r="H3263" s="8">
        <v>1.0</v>
      </c>
      <c r="I3263" s="8">
        <v>1.0</v>
      </c>
      <c r="J3263" s="8">
        <v>1.0</v>
      </c>
      <c r="K3263" s="8">
        <v>1.0</v>
      </c>
      <c r="L3263" s="8">
        <v>6.0</v>
      </c>
      <c r="M3263" s="8"/>
      <c r="N3263" s="8"/>
      <c r="O3263" s="8" t="s">
        <v>851</v>
      </c>
      <c r="P3263" s="8" t="e">
        <v>#N/A</v>
      </c>
    </row>
    <row r="3264">
      <c r="A3264">
        <f>IFERROR(__xludf.DUMMYFUNCTION("""COMPUTED_VALUE"""),8.0)</f>
        <v>8</v>
      </c>
      <c r="B3264">
        <f>IFERROR(__xludf.DUMMYFUNCTION("""COMPUTED_VALUE"""),29065.0)</f>
        <v>29065</v>
      </c>
      <c r="C3264" t="str">
        <f>IFERROR(__xludf.DUMMYFUNCTION("""COMPUTED_VALUE"""),"LONDOÑO CUARTAS, TOMAS")</f>
        <v>LONDOÑO CUARTAS, TOMAS</v>
      </c>
      <c r="D3264" t="str">
        <f>IFERROR(__xludf.DUMMYFUNCTION("""COMPUTED_VALUE"""),"Band 8S2")</f>
        <v>Band 8S2</v>
      </c>
      <c r="E3264" s="31" t="str">
        <f>IFERROR(__xludf.DUMMYFUNCTION("""COMPUTED_VALUE"""),"2a")</f>
        <v>2a</v>
      </c>
      <c r="F3264" s="8">
        <v>1.0</v>
      </c>
      <c r="G3264" s="8">
        <v>1.0</v>
      </c>
      <c r="H3264" s="8">
        <v>1.0</v>
      </c>
      <c r="I3264" s="8">
        <v>1.0</v>
      </c>
      <c r="J3264" s="8">
        <v>1.0</v>
      </c>
      <c r="K3264" s="8">
        <v>1.0</v>
      </c>
      <c r="L3264" s="8">
        <v>6.0</v>
      </c>
      <c r="M3264" s="8"/>
      <c r="N3264" s="8"/>
      <c r="O3264" s="8" t="s">
        <v>855</v>
      </c>
      <c r="P3264" s="8" t="e">
        <v>#N/A</v>
      </c>
    </row>
    <row r="3265">
      <c r="A3265">
        <f>IFERROR(__xludf.DUMMYFUNCTION("""COMPUTED_VALUE"""),8.0)</f>
        <v>8</v>
      </c>
      <c r="B3265">
        <f>IFERROR(__xludf.DUMMYFUNCTION("""COMPUTED_VALUE"""),29066.0)</f>
        <v>29066</v>
      </c>
      <c r="C3265" t="str">
        <f>IFERROR(__xludf.DUMMYFUNCTION("""COMPUTED_VALUE"""),"LONDOÑO JARAMILLO, MARTINA")</f>
        <v>LONDOÑO JARAMILLO, MARTINA</v>
      </c>
      <c r="D3265" t="str">
        <f>IFERROR(__xludf.DUMMYFUNCTION("""COMPUTED_VALUE"""),"Band 8S2")</f>
        <v>Band 8S2</v>
      </c>
      <c r="E3265" s="31" t="str">
        <f>IFERROR(__xludf.DUMMYFUNCTION("""COMPUTED_VALUE"""),"2a")</f>
        <v>2a</v>
      </c>
      <c r="F3265" s="8">
        <v>1.0</v>
      </c>
      <c r="G3265" s="8">
        <v>1.0</v>
      </c>
      <c r="H3265" s="8">
        <v>1.0</v>
      </c>
      <c r="I3265" s="8">
        <v>1.0</v>
      </c>
      <c r="J3265" s="8">
        <v>1.0</v>
      </c>
      <c r="K3265" s="8">
        <v>1.0</v>
      </c>
      <c r="L3265" s="8">
        <v>6.0</v>
      </c>
      <c r="M3265" s="8"/>
      <c r="N3265" s="8"/>
      <c r="O3265" s="8" t="s">
        <v>855</v>
      </c>
      <c r="P3265" s="8" t="e">
        <v>#N/A</v>
      </c>
    </row>
    <row r="3266">
      <c r="A3266">
        <f>IFERROR(__xludf.DUMMYFUNCTION("""COMPUTED_VALUE"""),8.0)</f>
        <v>8</v>
      </c>
      <c r="B3266">
        <f>IFERROR(__xludf.DUMMYFUNCTION("""COMPUTED_VALUE"""),29068.0)</f>
        <v>29068</v>
      </c>
      <c r="C3266" t="str">
        <f>IFERROR(__xludf.DUMMYFUNCTION("""COMPUTED_VALUE"""),"LOPEZ JAIMES, VICENTE")</f>
        <v>LOPEZ JAIMES, VICENTE</v>
      </c>
      <c r="D3266" t="str">
        <f>IFERROR(__xludf.DUMMYFUNCTION("""COMPUTED_VALUE"""),"Band 8S2")</f>
        <v>Band 8S2</v>
      </c>
      <c r="E3266" s="31" t="str">
        <f>IFERROR(__xludf.DUMMYFUNCTION("""COMPUTED_VALUE"""),"5b")</f>
        <v>5b</v>
      </c>
      <c r="F3266" s="8">
        <v>1.0</v>
      </c>
      <c r="G3266" s="8">
        <v>1.0</v>
      </c>
      <c r="H3266" s="8">
        <v>1.0</v>
      </c>
      <c r="I3266" s="8">
        <v>1.0</v>
      </c>
      <c r="J3266" s="8">
        <v>1.0</v>
      </c>
      <c r="K3266" s="8">
        <v>1.0</v>
      </c>
      <c r="L3266" s="8">
        <v>6.0</v>
      </c>
      <c r="M3266" s="8"/>
      <c r="N3266" s="8"/>
      <c r="O3266" s="8" t="s">
        <v>856</v>
      </c>
      <c r="P3266" s="8" t="e">
        <v>#N/A</v>
      </c>
    </row>
    <row r="3267">
      <c r="A3267">
        <f>IFERROR(__xludf.DUMMYFUNCTION("""COMPUTED_VALUE"""),8.0)</f>
        <v>8</v>
      </c>
      <c r="B3267">
        <f>IFERROR(__xludf.DUMMYFUNCTION("""COMPUTED_VALUE"""),29069.0)</f>
        <v>29069</v>
      </c>
      <c r="C3267" t="str">
        <f>IFERROR(__xludf.DUMMYFUNCTION("""COMPUTED_VALUE"""),"LUNA ALZATE, AMALIA")</f>
        <v>LUNA ALZATE, AMALIA</v>
      </c>
      <c r="D3267" t="str">
        <f>IFERROR(__xludf.DUMMYFUNCTION("""COMPUTED_VALUE"""),"Band 8S2")</f>
        <v>Band 8S2</v>
      </c>
      <c r="E3267" s="31" t="str">
        <f>IFERROR(__xludf.DUMMYFUNCTION("""COMPUTED_VALUE"""),"1b")</f>
        <v>1b</v>
      </c>
      <c r="F3267" s="8">
        <v>1.0</v>
      </c>
      <c r="G3267" s="8">
        <v>1.0</v>
      </c>
      <c r="H3267" s="8">
        <v>1.0</v>
      </c>
      <c r="I3267" s="8">
        <v>1.0</v>
      </c>
      <c r="J3267" s="8">
        <v>1.0</v>
      </c>
      <c r="K3267" s="8">
        <v>1.0</v>
      </c>
      <c r="L3267" s="8">
        <v>6.0</v>
      </c>
      <c r="M3267" s="8"/>
      <c r="N3267" s="8"/>
      <c r="O3267" s="8" t="s">
        <v>852</v>
      </c>
      <c r="P3267" s="8" t="e">
        <v>#N/A</v>
      </c>
    </row>
    <row r="3268">
      <c r="A3268">
        <f>IFERROR(__xludf.DUMMYFUNCTION("""COMPUTED_VALUE"""),8.0)</f>
        <v>8</v>
      </c>
      <c r="B3268">
        <f>IFERROR(__xludf.DUMMYFUNCTION("""COMPUTED_VALUE"""),29070.0)</f>
        <v>29070</v>
      </c>
      <c r="C3268" t="str">
        <f>IFERROR(__xludf.DUMMYFUNCTION("""COMPUTED_VALUE"""),"MANRIQUE CUESTA, ISABELLA")</f>
        <v>MANRIQUE CUESTA, ISABELLA</v>
      </c>
      <c r="D3268" t="str">
        <f>IFERROR(__xludf.DUMMYFUNCTION("""COMPUTED_VALUE"""),"Art 8S2")</f>
        <v>Art 8S2</v>
      </c>
      <c r="E3268" s="31" t="str">
        <f>IFERROR(__xludf.DUMMYFUNCTION("""COMPUTED_VALUE"""),"4b")</f>
        <v>4b</v>
      </c>
      <c r="F3268" s="8">
        <v>1.0</v>
      </c>
      <c r="G3268" s="8">
        <v>1.0</v>
      </c>
      <c r="H3268" s="8">
        <v>1.0</v>
      </c>
      <c r="I3268" s="8">
        <v>1.0</v>
      </c>
      <c r="J3268" s="8">
        <v>1.0</v>
      </c>
      <c r="K3268" s="8">
        <v>1.0</v>
      </c>
      <c r="L3268" s="8">
        <v>6.0</v>
      </c>
      <c r="M3268" s="8"/>
      <c r="N3268" s="8"/>
      <c r="O3268" s="8" t="s">
        <v>851</v>
      </c>
      <c r="P3268" s="8" t="e">
        <v>#N/A</v>
      </c>
    </row>
    <row r="3269">
      <c r="A3269">
        <f>IFERROR(__xludf.DUMMYFUNCTION("""COMPUTED_VALUE"""),8.0)</f>
        <v>8</v>
      </c>
      <c r="B3269">
        <f>IFERROR(__xludf.DUMMYFUNCTION("""COMPUTED_VALUE"""),29071.0)</f>
        <v>29071</v>
      </c>
      <c r="C3269" t="str">
        <f>IFERROR(__xludf.DUMMYFUNCTION("""COMPUTED_VALUE"""),"MARQUEZ BARRERA, MIRANDA")</f>
        <v>MARQUEZ BARRERA, MIRANDA</v>
      </c>
      <c r="D3269" t="str">
        <f>IFERROR(__xludf.DUMMYFUNCTION("""COMPUTED_VALUE"""),"Art 8S2")</f>
        <v>Art 8S2</v>
      </c>
      <c r="E3269" s="31" t="str">
        <f>IFERROR(__xludf.DUMMYFUNCTION("""COMPUTED_VALUE"""),"4b")</f>
        <v>4b</v>
      </c>
      <c r="F3269" s="8">
        <v>1.0</v>
      </c>
      <c r="G3269" s="8">
        <v>1.0</v>
      </c>
      <c r="H3269" s="8">
        <v>1.0</v>
      </c>
      <c r="I3269" s="8">
        <v>1.0</v>
      </c>
      <c r="J3269" s="8">
        <v>1.0</v>
      </c>
      <c r="K3269" s="8">
        <v>1.0</v>
      </c>
      <c r="L3269" s="8">
        <v>6.0</v>
      </c>
      <c r="M3269" s="8"/>
      <c r="N3269" s="8"/>
      <c r="O3269" s="8" t="s">
        <v>851</v>
      </c>
      <c r="P3269" s="8" t="e">
        <v>#N/A</v>
      </c>
    </row>
    <row r="3270">
      <c r="A3270">
        <f>IFERROR(__xludf.DUMMYFUNCTION("""COMPUTED_VALUE"""),8.0)</f>
        <v>8</v>
      </c>
      <c r="B3270">
        <f>IFERROR(__xludf.DUMMYFUNCTION("""COMPUTED_VALUE"""),29072.0)</f>
        <v>29072</v>
      </c>
      <c r="C3270" t="str">
        <f>IFERROR(__xludf.DUMMYFUNCTION("""COMPUTED_VALUE"""),"MARQUEZ RAHAL, PEDRO")</f>
        <v>MARQUEZ RAHAL, PEDRO</v>
      </c>
      <c r="D3270" t="str">
        <f>IFERROR(__xludf.DUMMYFUNCTION("""COMPUTED_VALUE"""),"Band 8S2")</f>
        <v>Band 8S2</v>
      </c>
      <c r="E3270" s="31" t="str">
        <f>IFERROR(__xludf.DUMMYFUNCTION("""COMPUTED_VALUE"""),"2a")</f>
        <v>2a</v>
      </c>
      <c r="F3270" s="8">
        <v>1.0</v>
      </c>
      <c r="G3270" s="8">
        <v>1.0</v>
      </c>
      <c r="H3270" s="8">
        <v>1.0</v>
      </c>
      <c r="I3270" s="8">
        <v>1.0</v>
      </c>
      <c r="J3270" s="8">
        <v>1.0</v>
      </c>
      <c r="K3270" s="8">
        <v>1.0</v>
      </c>
      <c r="L3270" s="8">
        <v>6.0</v>
      </c>
      <c r="M3270" s="8"/>
      <c r="N3270" s="8"/>
      <c r="O3270" s="8" t="s">
        <v>855</v>
      </c>
      <c r="P3270" s="8" t="e">
        <v>#N/A</v>
      </c>
    </row>
    <row r="3271">
      <c r="A3271">
        <f>IFERROR(__xludf.DUMMYFUNCTION("""COMPUTED_VALUE"""),8.0)</f>
        <v>8</v>
      </c>
      <c r="B3271">
        <f>IFERROR(__xludf.DUMMYFUNCTION("""COMPUTED_VALUE"""),29073.0)</f>
        <v>29073</v>
      </c>
      <c r="C3271" t="str">
        <f>IFERROR(__xludf.DUMMYFUNCTION("""COMPUTED_VALUE"""),"MARRERO MARTA, ALINA")</f>
        <v>MARRERO MARTA, ALINA</v>
      </c>
      <c r="D3271" t="str">
        <f>IFERROR(__xludf.DUMMYFUNCTION("""COMPUTED_VALUE"""),"Band 8S2")</f>
        <v>Band 8S2</v>
      </c>
      <c r="E3271" s="31" t="str">
        <f>IFERROR(__xludf.DUMMYFUNCTION("""COMPUTED_VALUE"""),"6b")</f>
        <v>6b</v>
      </c>
      <c r="F3271" s="8">
        <v>1.0</v>
      </c>
      <c r="G3271" s="8">
        <v>1.0</v>
      </c>
      <c r="H3271" s="8">
        <v>1.0</v>
      </c>
      <c r="I3271" s="8">
        <v>1.0</v>
      </c>
      <c r="J3271" s="8">
        <v>1.0</v>
      </c>
      <c r="K3271" s="8">
        <v>1.0</v>
      </c>
      <c r="L3271" s="8">
        <v>6.0</v>
      </c>
      <c r="M3271" s="8"/>
      <c r="N3271" s="8"/>
      <c r="O3271" s="8" t="s">
        <v>854</v>
      </c>
      <c r="P3271" s="8" t="e">
        <v>#N/A</v>
      </c>
    </row>
    <row r="3272">
      <c r="A3272">
        <f>IFERROR(__xludf.DUMMYFUNCTION("""COMPUTED_VALUE"""),8.0)</f>
        <v>8</v>
      </c>
      <c r="B3272">
        <f>IFERROR(__xludf.DUMMYFUNCTION("""COMPUTED_VALUE"""),29074.0)</f>
        <v>29074</v>
      </c>
      <c r="C3272" t="str">
        <f>IFERROR(__xludf.DUMMYFUNCTION("""COMPUTED_VALUE"""),"MEDINA JARAMILLO, ALICIA")</f>
        <v>MEDINA JARAMILLO, ALICIA</v>
      </c>
      <c r="D3272" t="str">
        <f>IFERROR(__xludf.DUMMYFUNCTION("""COMPUTED_VALUE"""),"Band 8S2")</f>
        <v>Band 8S2</v>
      </c>
      <c r="E3272" s="31" t="str">
        <f>IFERROR(__xludf.DUMMYFUNCTION("""COMPUTED_VALUE"""),"2a")</f>
        <v>2a</v>
      </c>
      <c r="F3272" s="8">
        <v>1.0</v>
      </c>
      <c r="G3272" s="8">
        <v>1.0</v>
      </c>
      <c r="H3272" s="8">
        <v>1.0</v>
      </c>
      <c r="I3272" s="8">
        <v>1.0</v>
      </c>
      <c r="J3272" s="8">
        <v>1.0</v>
      </c>
      <c r="K3272" s="8">
        <v>1.0</v>
      </c>
      <c r="L3272" s="8">
        <v>6.0</v>
      </c>
      <c r="M3272" s="8"/>
      <c r="N3272" s="8"/>
      <c r="O3272" s="8" t="s">
        <v>855</v>
      </c>
      <c r="P3272" s="8" t="e">
        <v>#N/A</v>
      </c>
    </row>
    <row r="3273">
      <c r="A3273">
        <f>IFERROR(__xludf.DUMMYFUNCTION("""COMPUTED_VALUE"""),8.0)</f>
        <v>8</v>
      </c>
      <c r="B3273">
        <f>IFERROR(__xludf.DUMMYFUNCTION("""COMPUTED_VALUE"""),29075.0)</f>
        <v>29075</v>
      </c>
      <c r="C3273" t="str">
        <f>IFERROR(__xludf.DUMMYFUNCTION("""COMPUTED_VALUE"""),"MEJIA BUSTAMANTE, ANTONIA")</f>
        <v>MEJIA BUSTAMANTE, ANTONIA</v>
      </c>
      <c r="D3273" t="str">
        <f>IFERROR(__xludf.DUMMYFUNCTION("""COMPUTED_VALUE"""),"Art 8S2")</f>
        <v>Art 8S2</v>
      </c>
      <c r="E3273" s="31" t="str">
        <f>IFERROR(__xludf.DUMMYFUNCTION("""COMPUTED_VALUE"""),"4b")</f>
        <v>4b</v>
      </c>
      <c r="F3273" s="8">
        <v>1.0</v>
      </c>
      <c r="G3273" s="8">
        <v>1.0</v>
      </c>
      <c r="H3273" s="8">
        <v>1.0</v>
      </c>
      <c r="I3273" s="8">
        <v>1.0</v>
      </c>
      <c r="J3273" s="8">
        <v>1.0</v>
      </c>
      <c r="K3273" s="8">
        <v>1.0</v>
      </c>
      <c r="L3273" s="8">
        <v>6.0</v>
      </c>
      <c r="M3273" s="8"/>
      <c r="N3273" s="8"/>
      <c r="O3273" s="8" t="s">
        <v>851</v>
      </c>
      <c r="P3273" s="8" t="e">
        <v>#N/A</v>
      </c>
    </row>
    <row r="3274">
      <c r="A3274">
        <f>IFERROR(__xludf.DUMMYFUNCTION("""COMPUTED_VALUE"""),8.0)</f>
        <v>8</v>
      </c>
      <c r="B3274">
        <f>IFERROR(__xludf.DUMMYFUNCTION("""COMPUTED_VALUE"""),29076.0)</f>
        <v>29076</v>
      </c>
      <c r="C3274" t="str">
        <f>IFERROR(__xludf.DUMMYFUNCTION("""COMPUTED_VALUE"""),"MEJIA MANTILLA, MATEO")</f>
        <v>MEJIA MANTILLA, MATEO</v>
      </c>
      <c r="D3274" t="str">
        <f>IFERROR(__xludf.DUMMYFUNCTION("""COMPUTED_VALUE"""),"Art 8S2")</f>
        <v>Art 8S2</v>
      </c>
      <c r="E3274" s="31" t="str">
        <f>IFERROR(__xludf.DUMMYFUNCTION("""COMPUTED_VALUE"""),"5a")</f>
        <v>5a</v>
      </c>
      <c r="F3274" s="8">
        <v>1.0</v>
      </c>
      <c r="G3274" s="8">
        <v>1.0</v>
      </c>
      <c r="H3274" s="8">
        <v>1.0</v>
      </c>
      <c r="I3274" s="8">
        <v>1.0</v>
      </c>
      <c r="J3274" s="8">
        <v>1.0</v>
      </c>
      <c r="K3274" s="8">
        <v>1.0</v>
      </c>
      <c r="L3274" s="8">
        <v>6.0</v>
      </c>
      <c r="M3274" s="8"/>
      <c r="N3274" s="8"/>
      <c r="O3274" s="8" t="s">
        <v>853</v>
      </c>
      <c r="P3274" s="8" t="e">
        <v>#N/A</v>
      </c>
    </row>
    <row r="3275">
      <c r="A3275">
        <f>IFERROR(__xludf.DUMMYFUNCTION("""COMPUTED_VALUE"""),8.0)</f>
        <v>8</v>
      </c>
      <c r="B3275">
        <f>IFERROR(__xludf.DUMMYFUNCTION("""COMPUTED_VALUE"""),29077.0)</f>
        <v>29077</v>
      </c>
      <c r="C3275" t="str">
        <f>IFERROR(__xludf.DUMMYFUNCTION("""COMPUTED_VALUE"""),"MEJIA VILLEGAS, CANDELARIA")</f>
        <v>MEJIA VILLEGAS, CANDELARIA</v>
      </c>
      <c r="D3275" t="str">
        <f>IFERROR(__xludf.DUMMYFUNCTION("""COMPUTED_VALUE"""),"Art 8S2")</f>
        <v>Art 8S2</v>
      </c>
      <c r="E3275" s="31" t="str">
        <f>IFERROR(__xludf.DUMMYFUNCTION("""COMPUTED_VALUE"""),"4b")</f>
        <v>4b</v>
      </c>
      <c r="F3275" s="8">
        <v>1.0</v>
      </c>
      <c r="G3275" s="8">
        <v>1.0</v>
      </c>
      <c r="H3275" s="8">
        <v>1.0</v>
      </c>
      <c r="I3275" s="8">
        <v>1.0</v>
      </c>
      <c r="J3275" s="8">
        <v>1.0</v>
      </c>
      <c r="K3275" s="8">
        <v>1.0</v>
      </c>
      <c r="L3275" s="8">
        <v>6.0</v>
      </c>
      <c r="M3275" s="8"/>
      <c r="N3275" s="8"/>
      <c r="O3275" s="8" t="s">
        <v>851</v>
      </c>
      <c r="P3275" s="8" t="e">
        <v>#N/A</v>
      </c>
    </row>
    <row r="3276">
      <c r="A3276">
        <f>IFERROR(__xludf.DUMMYFUNCTION("""COMPUTED_VALUE"""),8.0)</f>
        <v>8</v>
      </c>
      <c r="B3276">
        <f>IFERROR(__xludf.DUMMYFUNCTION("""COMPUTED_VALUE"""),29079.0)</f>
        <v>29079</v>
      </c>
      <c r="C3276" t="str">
        <f>IFERROR(__xludf.DUMMYFUNCTION("""COMPUTED_VALUE"""),"MISAS MESA, ALICIA")</f>
        <v>MISAS MESA, ALICIA</v>
      </c>
      <c r="D3276" t="str">
        <f>IFERROR(__xludf.DUMMYFUNCTION("""COMPUTED_VALUE"""),"Art 8S2")</f>
        <v>Art 8S2</v>
      </c>
      <c r="E3276" s="31" t="str">
        <f>IFERROR(__xludf.DUMMYFUNCTION("""COMPUTED_VALUE"""),"4b")</f>
        <v>4b</v>
      </c>
      <c r="F3276" s="8">
        <v>1.0</v>
      </c>
      <c r="G3276" s="8">
        <v>1.0</v>
      </c>
      <c r="H3276" s="8">
        <v>1.0</v>
      </c>
      <c r="I3276" s="8">
        <v>1.0</v>
      </c>
      <c r="J3276" s="8">
        <v>1.0</v>
      </c>
      <c r="K3276" s="8">
        <v>1.0</v>
      </c>
      <c r="L3276" s="8">
        <v>6.0</v>
      </c>
      <c r="M3276" s="8"/>
      <c r="N3276" s="8"/>
      <c r="O3276" s="8" t="s">
        <v>851</v>
      </c>
      <c r="P3276" s="8" t="e">
        <v>#N/A</v>
      </c>
    </row>
    <row r="3277">
      <c r="A3277">
        <f>IFERROR(__xludf.DUMMYFUNCTION("""COMPUTED_VALUE"""),8.0)</f>
        <v>8</v>
      </c>
      <c r="B3277">
        <f>IFERROR(__xludf.DUMMYFUNCTION("""COMPUTED_VALUE"""),29153.0)</f>
        <v>29153</v>
      </c>
      <c r="C3277" t="str">
        <f>IFERROR(__xludf.DUMMYFUNCTION("""COMPUTED_VALUE"""),"MISERENDINO MUÑOZ, GABRIEL")</f>
        <v>MISERENDINO MUÑOZ, GABRIEL</v>
      </c>
      <c r="D3277" t="str">
        <f>IFERROR(__xludf.DUMMYFUNCTION("""COMPUTED_VALUE"""),"Art 8S2")</f>
        <v>Art 8S2</v>
      </c>
      <c r="E3277" s="31" t="str">
        <f>IFERROR(__xludf.DUMMYFUNCTION("""COMPUTED_VALUE"""),"4b")</f>
        <v>4b</v>
      </c>
      <c r="F3277" s="8">
        <v>1.0</v>
      </c>
      <c r="G3277" s="8">
        <v>1.0</v>
      </c>
      <c r="H3277" s="8">
        <v>1.0</v>
      </c>
      <c r="I3277" s="8">
        <v>1.0</v>
      </c>
      <c r="J3277" s="8">
        <v>1.0</v>
      </c>
      <c r="K3277" s="8">
        <v>1.0</v>
      </c>
      <c r="L3277" s="8">
        <v>6.0</v>
      </c>
      <c r="M3277" s="8"/>
      <c r="N3277" s="8"/>
      <c r="O3277" s="8" t="s">
        <v>851</v>
      </c>
      <c r="P3277" s="8" t="e">
        <v>#N/A</v>
      </c>
    </row>
    <row r="3278">
      <c r="A3278">
        <f>IFERROR(__xludf.DUMMYFUNCTION("""COMPUTED_VALUE"""),8.0)</f>
        <v>8</v>
      </c>
      <c r="B3278">
        <f>IFERROR(__xludf.DUMMYFUNCTION("""COMPUTED_VALUE"""),29143.0)</f>
        <v>29143</v>
      </c>
      <c r="C3278" t="str">
        <f>IFERROR(__xludf.DUMMYFUNCTION("""COMPUTED_VALUE"""),"MOLANO MESA, CARMEN")</f>
        <v>MOLANO MESA, CARMEN</v>
      </c>
      <c r="D3278" t="str">
        <f>IFERROR(__xludf.DUMMYFUNCTION("""COMPUTED_VALUE"""),"Tech 8S2")</f>
        <v>Tech 8S2</v>
      </c>
      <c r="E3278" s="31" t="str">
        <f>IFERROR(__xludf.DUMMYFUNCTION("""COMPUTED_VALUE"""),"5a")</f>
        <v>5a</v>
      </c>
      <c r="F3278" s="8">
        <v>1.0</v>
      </c>
      <c r="G3278" s="8">
        <v>1.0</v>
      </c>
      <c r="H3278" s="8">
        <v>1.0</v>
      </c>
      <c r="I3278" s="8">
        <v>1.0</v>
      </c>
      <c r="J3278" s="8">
        <v>1.0</v>
      </c>
      <c r="K3278" s="8">
        <v>1.0</v>
      </c>
      <c r="L3278" s="8">
        <v>6.0</v>
      </c>
      <c r="M3278" s="8"/>
      <c r="N3278" s="8"/>
      <c r="O3278" s="8" t="s">
        <v>857</v>
      </c>
      <c r="P3278" s="8" t="e">
        <v>#N/A</v>
      </c>
    </row>
    <row r="3279">
      <c r="A3279">
        <f>IFERROR(__xludf.DUMMYFUNCTION("""COMPUTED_VALUE"""),8.0)</f>
        <v>8</v>
      </c>
      <c r="B3279">
        <f>IFERROR(__xludf.DUMMYFUNCTION("""COMPUTED_VALUE"""),29080.0)</f>
        <v>29080</v>
      </c>
      <c r="C3279" t="str">
        <f>IFERROR(__xludf.DUMMYFUNCTION("""COMPUTED_VALUE"""),"MONTES LOPEZ, MANUELA")</f>
        <v>MONTES LOPEZ, MANUELA</v>
      </c>
      <c r="D3279" t="str">
        <f>IFERROR(__xludf.DUMMYFUNCTION("""COMPUTED_VALUE"""),"Band 8S2")</f>
        <v>Band 8S2</v>
      </c>
      <c r="E3279" s="31" t="str">
        <f>IFERROR(__xludf.DUMMYFUNCTION("""COMPUTED_VALUE"""),"2a")</f>
        <v>2a</v>
      </c>
      <c r="F3279" s="8">
        <v>1.0</v>
      </c>
      <c r="G3279" s="8">
        <v>1.0</v>
      </c>
      <c r="H3279" s="8">
        <v>1.0</v>
      </c>
      <c r="I3279" s="8">
        <v>1.0</v>
      </c>
      <c r="J3279" s="8">
        <v>1.0</v>
      </c>
      <c r="K3279" s="8">
        <v>1.0</v>
      </c>
      <c r="L3279" s="8">
        <v>6.0</v>
      </c>
      <c r="M3279" s="8"/>
      <c r="N3279" s="8"/>
      <c r="O3279" s="8" t="s">
        <v>855</v>
      </c>
      <c r="P3279" s="8" t="e">
        <v>#N/A</v>
      </c>
    </row>
    <row r="3280">
      <c r="A3280">
        <f>IFERROR(__xludf.DUMMYFUNCTION("""COMPUTED_VALUE"""),8.0)</f>
        <v>8</v>
      </c>
      <c r="B3280">
        <f>IFERROR(__xludf.DUMMYFUNCTION("""COMPUTED_VALUE"""),29081.0)</f>
        <v>29081</v>
      </c>
      <c r="C3280" t="str">
        <f>IFERROR(__xludf.DUMMYFUNCTION("""COMPUTED_VALUE"""),"MORA JARAMILLO, ALICIA")</f>
        <v>MORA JARAMILLO, ALICIA</v>
      </c>
      <c r="D3280" t="str">
        <f>IFERROR(__xludf.DUMMYFUNCTION("""COMPUTED_VALUE"""),"Art 8S2")</f>
        <v>Art 8S2</v>
      </c>
      <c r="E3280" s="31" t="str">
        <f>IFERROR(__xludf.DUMMYFUNCTION("""COMPUTED_VALUE"""),"5a")</f>
        <v>5a</v>
      </c>
      <c r="F3280" s="8">
        <v>1.0</v>
      </c>
      <c r="G3280" s="8">
        <v>1.0</v>
      </c>
      <c r="H3280" s="8">
        <v>1.0</v>
      </c>
      <c r="I3280" s="8">
        <v>1.0</v>
      </c>
      <c r="J3280" s="8">
        <v>1.0</v>
      </c>
      <c r="K3280" s="8">
        <v>1.0</v>
      </c>
      <c r="L3280" s="8">
        <v>6.0</v>
      </c>
      <c r="M3280" s="8"/>
      <c r="N3280" s="8"/>
      <c r="O3280" s="8" t="s">
        <v>853</v>
      </c>
      <c r="P3280" s="8" t="e">
        <v>#N/A</v>
      </c>
    </row>
    <row r="3281">
      <c r="A3281">
        <f>IFERROR(__xludf.DUMMYFUNCTION("""COMPUTED_VALUE"""),8.0)</f>
        <v>8</v>
      </c>
      <c r="B3281">
        <f>IFERROR(__xludf.DUMMYFUNCTION("""COMPUTED_VALUE"""),29083.0)</f>
        <v>29083</v>
      </c>
      <c r="C3281" t="str">
        <f>IFERROR(__xludf.DUMMYFUNCTION("""COMPUTED_VALUE"""),"NAVARRO ZULUAGA, SOFIA")</f>
        <v>NAVARRO ZULUAGA, SOFIA</v>
      </c>
      <c r="D3281" t="str">
        <f>IFERROR(__xludf.DUMMYFUNCTION("""COMPUTED_VALUE"""),"Band 8S2")</f>
        <v>Band 8S2</v>
      </c>
      <c r="E3281" s="31" t="str">
        <f>IFERROR(__xludf.DUMMYFUNCTION("""COMPUTED_VALUE"""),"1b")</f>
        <v>1b</v>
      </c>
      <c r="F3281" s="8">
        <v>1.0</v>
      </c>
      <c r="G3281" s="8">
        <v>1.0</v>
      </c>
      <c r="H3281" s="8">
        <v>1.0</v>
      </c>
      <c r="I3281" s="8">
        <v>1.0</v>
      </c>
      <c r="J3281" s="8">
        <v>1.0</v>
      </c>
      <c r="K3281" s="8">
        <v>1.0</v>
      </c>
      <c r="L3281" s="8">
        <v>6.0</v>
      </c>
      <c r="M3281" s="8"/>
      <c r="N3281" s="8"/>
      <c r="O3281" s="8" t="s">
        <v>852</v>
      </c>
      <c r="P3281" s="8" t="e">
        <v>#N/A</v>
      </c>
    </row>
    <row r="3282">
      <c r="A3282">
        <f>IFERROR(__xludf.DUMMYFUNCTION("""COMPUTED_VALUE"""),8.0)</f>
        <v>8</v>
      </c>
      <c r="B3282">
        <f>IFERROR(__xludf.DUMMYFUNCTION("""COMPUTED_VALUE"""),29158.0)</f>
        <v>29158</v>
      </c>
      <c r="C3282" t="str">
        <f>IFERROR(__xludf.DUMMYFUNCTION("""COMPUTED_VALUE"""),"NIEHAUS TRUJILLO, MICHELLE")</f>
        <v>NIEHAUS TRUJILLO, MICHELLE</v>
      </c>
      <c r="D3282" t="str">
        <f>IFERROR(__xludf.DUMMYFUNCTION("""COMPUTED_VALUE"""),"Band 8S2")</f>
        <v>Band 8S2</v>
      </c>
      <c r="E3282" s="31" t="str">
        <f>IFERROR(__xludf.DUMMYFUNCTION("""COMPUTED_VALUE"""),"5b")</f>
        <v>5b</v>
      </c>
      <c r="F3282" s="8">
        <v>1.0</v>
      </c>
      <c r="G3282" s="8">
        <v>1.0</v>
      </c>
      <c r="H3282" s="8">
        <v>1.0</v>
      </c>
      <c r="I3282" s="8">
        <v>1.0</v>
      </c>
      <c r="J3282" s="8">
        <v>1.0</v>
      </c>
      <c r="K3282" s="8">
        <v>1.0</v>
      </c>
      <c r="L3282" s="8">
        <v>6.0</v>
      </c>
      <c r="M3282" s="8"/>
      <c r="N3282" s="8"/>
      <c r="O3282" s="8" t="s">
        <v>856</v>
      </c>
      <c r="P3282" s="8" t="e">
        <v>#N/A</v>
      </c>
    </row>
    <row r="3283">
      <c r="A3283">
        <f>IFERROR(__xludf.DUMMYFUNCTION("""COMPUTED_VALUE"""),8.0)</f>
        <v>8</v>
      </c>
      <c r="B3283">
        <f>IFERROR(__xludf.DUMMYFUNCTION("""COMPUTED_VALUE"""),29137.0)</f>
        <v>29137</v>
      </c>
      <c r="C3283" t="str">
        <f>IFERROR(__xludf.DUMMYFUNCTION("""COMPUTED_VALUE"""),"OLARTE JARAMILLO, EMILIO")</f>
        <v>OLARTE JARAMILLO, EMILIO</v>
      </c>
      <c r="D3283" t="str">
        <f>IFERROR(__xludf.DUMMYFUNCTION("""COMPUTED_VALUE"""),"Band 8S2")</f>
        <v>Band 8S2</v>
      </c>
      <c r="E3283" s="31" t="str">
        <f>IFERROR(__xludf.DUMMYFUNCTION("""COMPUTED_VALUE"""),"6b")</f>
        <v>6b</v>
      </c>
      <c r="F3283" s="8">
        <v>1.0</v>
      </c>
      <c r="G3283" s="8">
        <v>1.0</v>
      </c>
      <c r="H3283" s="8">
        <v>1.0</v>
      </c>
      <c r="I3283" s="8">
        <v>1.0</v>
      </c>
      <c r="J3283" s="8">
        <v>1.0</v>
      </c>
      <c r="K3283" s="8">
        <v>1.0</v>
      </c>
      <c r="L3283" s="8">
        <v>6.0</v>
      </c>
      <c r="M3283" s="8"/>
      <c r="N3283" s="8"/>
      <c r="O3283" s="8" t="s">
        <v>854</v>
      </c>
      <c r="P3283" s="8" t="e">
        <v>#N/A</v>
      </c>
    </row>
    <row r="3284">
      <c r="A3284">
        <f>IFERROR(__xludf.DUMMYFUNCTION("""COMPUTED_VALUE"""),8.0)</f>
        <v>8</v>
      </c>
      <c r="B3284">
        <f>IFERROR(__xludf.DUMMYFUNCTION("""COMPUTED_VALUE"""),28077.0)</f>
        <v>28077</v>
      </c>
      <c r="C3284" t="str">
        <f>IFERROR(__xludf.DUMMYFUNCTION("""COMPUTED_VALUE"""),"OLIVEIRA CASTAÑO, MARIANA")</f>
        <v>OLIVEIRA CASTAÑO, MARIANA</v>
      </c>
      <c r="D3284" t="str">
        <f>IFERROR(__xludf.DUMMYFUNCTION("""COMPUTED_VALUE"""),"Tech 8S2")</f>
        <v>Tech 8S2</v>
      </c>
      <c r="E3284" s="31" t="str">
        <f>IFERROR(__xludf.DUMMYFUNCTION("""COMPUTED_VALUE"""),"5a")</f>
        <v>5a</v>
      </c>
      <c r="F3284" s="8">
        <v>1.0</v>
      </c>
      <c r="G3284" s="8">
        <v>1.0</v>
      </c>
      <c r="H3284" s="8">
        <v>1.0</v>
      </c>
      <c r="I3284" s="8">
        <v>1.0</v>
      </c>
      <c r="J3284" s="8">
        <v>1.0</v>
      </c>
      <c r="K3284" s="8">
        <v>1.0</v>
      </c>
      <c r="L3284" s="8">
        <v>6.0</v>
      </c>
      <c r="M3284" s="8"/>
      <c r="N3284" s="8"/>
      <c r="O3284" s="8" t="s">
        <v>857</v>
      </c>
      <c r="P3284" s="8" t="e">
        <v>#N/A</v>
      </c>
    </row>
    <row r="3285">
      <c r="A3285">
        <f>IFERROR(__xludf.DUMMYFUNCTION("""COMPUTED_VALUE"""),8.0)</f>
        <v>8</v>
      </c>
      <c r="B3285">
        <f>IFERROR(__xludf.DUMMYFUNCTION("""COMPUTED_VALUE"""),29084.0)</f>
        <v>29084</v>
      </c>
      <c r="C3285" t="str">
        <f>IFERROR(__xludf.DUMMYFUNCTION("""COMPUTED_VALUE"""),"OROZCO MONTOYA, ANTONIA")</f>
        <v>OROZCO MONTOYA, ANTONIA</v>
      </c>
      <c r="D3285" t="str">
        <f>IFERROR(__xludf.DUMMYFUNCTION("""COMPUTED_VALUE"""),"Band 8S2")</f>
        <v>Band 8S2</v>
      </c>
      <c r="E3285" s="31" t="str">
        <f>IFERROR(__xludf.DUMMYFUNCTION("""COMPUTED_VALUE"""),"2a")</f>
        <v>2a</v>
      </c>
      <c r="F3285" s="8">
        <v>1.0</v>
      </c>
      <c r="G3285" s="8">
        <v>1.0</v>
      </c>
      <c r="H3285" s="8">
        <v>1.0</v>
      </c>
      <c r="I3285" s="8">
        <v>1.0</v>
      </c>
      <c r="J3285" s="8">
        <v>1.0</v>
      </c>
      <c r="K3285" s="8">
        <v>1.0</v>
      </c>
      <c r="L3285" s="8">
        <v>6.0</v>
      </c>
      <c r="M3285" s="8"/>
      <c r="N3285" s="8"/>
      <c r="O3285" s="8" t="s">
        <v>855</v>
      </c>
      <c r="P3285" s="8" t="e">
        <v>#N/A</v>
      </c>
    </row>
    <row r="3286">
      <c r="A3286">
        <f>IFERROR(__xludf.DUMMYFUNCTION("""COMPUTED_VALUE"""),8.0)</f>
        <v>8</v>
      </c>
      <c r="B3286">
        <f>IFERROR(__xludf.DUMMYFUNCTION("""COMPUTED_VALUE"""),29148.0)</f>
        <v>29148</v>
      </c>
      <c r="C3286" t="str">
        <f>IFERROR(__xludf.DUMMYFUNCTION("""COMPUTED_VALUE"""),"OSORIO ARISTIZABAL, MATIAS")</f>
        <v>OSORIO ARISTIZABAL, MATIAS</v>
      </c>
      <c r="D3286" t="str">
        <f>IFERROR(__xludf.DUMMYFUNCTION("""COMPUTED_VALUE"""),"Band 8S2")</f>
        <v>Band 8S2</v>
      </c>
      <c r="E3286" s="31" t="str">
        <f>IFERROR(__xludf.DUMMYFUNCTION("""COMPUTED_VALUE"""),"2a")</f>
        <v>2a</v>
      </c>
      <c r="F3286" s="8">
        <v>1.0</v>
      </c>
      <c r="G3286" s="8">
        <v>1.0</v>
      </c>
      <c r="H3286" s="8">
        <v>1.0</v>
      </c>
      <c r="I3286" s="8">
        <v>1.0</v>
      </c>
      <c r="J3286" s="8">
        <v>1.0</v>
      </c>
      <c r="K3286" s="8">
        <v>1.0</v>
      </c>
      <c r="L3286" s="8">
        <v>6.0</v>
      </c>
      <c r="M3286" s="8"/>
      <c r="N3286" s="8"/>
      <c r="O3286" s="8" t="s">
        <v>855</v>
      </c>
      <c r="P3286" s="8" t="e">
        <v>#N/A</v>
      </c>
    </row>
    <row r="3287">
      <c r="A3287">
        <f>IFERROR(__xludf.DUMMYFUNCTION("""COMPUTED_VALUE"""),8.0)</f>
        <v>8</v>
      </c>
      <c r="B3287">
        <f>IFERROR(__xludf.DUMMYFUNCTION("""COMPUTED_VALUE"""),29085.0)</f>
        <v>29085</v>
      </c>
      <c r="C3287" t="str">
        <f>IFERROR(__xludf.DUMMYFUNCTION("""COMPUTED_VALUE"""),"OTALVARO ABAD, JUAN MARTIN")</f>
        <v>OTALVARO ABAD, JUAN MARTIN</v>
      </c>
      <c r="D3287" t="str">
        <f>IFERROR(__xludf.DUMMYFUNCTION("""COMPUTED_VALUE"""),"Band 8S2")</f>
        <v>Band 8S2</v>
      </c>
      <c r="E3287" s="31" t="str">
        <f>IFERROR(__xludf.DUMMYFUNCTION("""COMPUTED_VALUE"""),"5b")</f>
        <v>5b</v>
      </c>
      <c r="F3287" s="8">
        <v>1.0</v>
      </c>
      <c r="G3287" s="8">
        <v>1.0</v>
      </c>
      <c r="H3287" s="8">
        <v>1.0</v>
      </c>
      <c r="I3287" s="8">
        <v>1.0</v>
      </c>
      <c r="J3287" s="8">
        <v>1.0</v>
      </c>
      <c r="K3287" s="8">
        <v>1.0</v>
      </c>
      <c r="L3287" s="8">
        <v>6.0</v>
      </c>
      <c r="M3287" s="8"/>
      <c r="N3287" s="8"/>
      <c r="O3287" s="8" t="s">
        <v>856</v>
      </c>
      <c r="P3287" s="8" t="e">
        <v>#N/A</v>
      </c>
    </row>
    <row r="3288">
      <c r="A3288">
        <f>IFERROR(__xludf.DUMMYFUNCTION("""COMPUTED_VALUE"""),8.0)</f>
        <v>8</v>
      </c>
      <c r="B3288">
        <f>IFERROR(__xludf.DUMMYFUNCTION("""COMPUTED_VALUE"""),29159.0)</f>
        <v>29159</v>
      </c>
      <c r="C3288" t="str">
        <f>IFERROR(__xludf.DUMMYFUNCTION("""COMPUTED_VALUE"""),"PACHECO GARCIA, MARIANA")</f>
        <v>PACHECO GARCIA, MARIANA</v>
      </c>
      <c r="D3288" t="str">
        <f>IFERROR(__xludf.DUMMYFUNCTION("""COMPUTED_VALUE"""),"Band 8S2")</f>
        <v>Band 8S2</v>
      </c>
      <c r="E3288" s="31" t="str">
        <f>IFERROR(__xludf.DUMMYFUNCTION("""COMPUTED_VALUE"""),"1b")</f>
        <v>1b</v>
      </c>
      <c r="F3288" s="8">
        <v>1.0</v>
      </c>
      <c r="G3288" s="8">
        <v>1.0</v>
      </c>
      <c r="H3288" s="8">
        <v>1.0</v>
      </c>
      <c r="I3288" s="8">
        <v>1.0</v>
      </c>
      <c r="J3288" s="8">
        <v>1.0</v>
      </c>
      <c r="K3288" s="8">
        <v>1.0</v>
      </c>
      <c r="L3288" s="8">
        <v>6.0</v>
      </c>
      <c r="M3288" s="8"/>
      <c r="N3288" s="8"/>
      <c r="O3288" s="8" t="s">
        <v>852</v>
      </c>
      <c r="P3288" s="8" t="e">
        <v>#N/A</v>
      </c>
    </row>
    <row r="3289">
      <c r="A3289">
        <f>IFERROR(__xludf.DUMMYFUNCTION("""COMPUTED_VALUE"""),8.0)</f>
        <v>8</v>
      </c>
      <c r="B3289">
        <f>IFERROR(__xludf.DUMMYFUNCTION("""COMPUTED_VALUE"""),29087.0)</f>
        <v>29087</v>
      </c>
      <c r="C3289" t="str">
        <f>IFERROR(__xludf.DUMMYFUNCTION("""COMPUTED_VALUE"""),"PALACIO BOTERO, MATIAS")</f>
        <v>PALACIO BOTERO, MATIAS</v>
      </c>
      <c r="D3289" t="str">
        <f>IFERROR(__xludf.DUMMYFUNCTION("""COMPUTED_VALUE"""),"Band 8S2")</f>
        <v>Band 8S2</v>
      </c>
      <c r="E3289" s="31" t="str">
        <f>IFERROR(__xludf.DUMMYFUNCTION("""COMPUTED_VALUE"""),"5b")</f>
        <v>5b</v>
      </c>
      <c r="F3289" s="8">
        <v>1.0</v>
      </c>
      <c r="G3289" s="8">
        <v>1.0</v>
      </c>
      <c r="H3289" s="8">
        <v>1.0</v>
      </c>
      <c r="I3289" s="8">
        <v>1.0</v>
      </c>
      <c r="J3289" s="8">
        <v>1.0</v>
      </c>
      <c r="K3289" s="8">
        <v>1.0</v>
      </c>
      <c r="L3289" s="8">
        <v>6.0</v>
      </c>
      <c r="M3289" s="8"/>
      <c r="N3289" s="8"/>
      <c r="O3289" s="8" t="s">
        <v>856</v>
      </c>
      <c r="P3289" s="8" t="e">
        <v>#N/A</v>
      </c>
    </row>
    <row r="3290">
      <c r="A3290">
        <f>IFERROR(__xludf.DUMMYFUNCTION("""COMPUTED_VALUE"""),8.0)</f>
        <v>8</v>
      </c>
      <c r="B3290">
        <f>IFERROR(__xludf.DUMMYFUNCTION("""COMPUTED_VALUE"""),29088.0)</f>
        <v>29088</v>
      </c>
      <c r="C3290" t="str">
        <f>IFERROR(__xludf.DUMMYFUNCTION("""COMPUTED_VALUE"""),"PEREZ ALVARADO, SARA")</f>
        <v>PEREZ ALVARADO, SARA</v>
      </c>
      <c r="D3290" t="str">
        <f>IFERROR(__xludf.DUMMYFUNCTION("""COMPUTED_VALUE"""),"Band 8S2")</f>
        <v>Band 8S2</v>
      </c>
      <c r="E3290" s="31" t="str">
        <f>IFERROR(__xludf.DUMMYFUNCTION("""COMPUTED_VALUE"""),"2a")</f>
        <v>2a</v>
      </c>
      <c r="F3290" s="8">
        <v>1.0</v>
      </c>
      <c r="G3290" s="8">
        <v>1.0</v>
      </c>
      <c r="H3290" s="8">
        <v>1.0</v>
      </c>
      <c r="I3290" s="8">
        <v>1.0</v>
      </c>
      <c r="J3290" s="8">
        <v>1.0</v>
      </c>
      <c r="K3290" s="8">
        <v>1.0</v>
      </c>
      <c r="L3290" s="8">
        <v>6.0</v>
      </c>
      <c r="M3290" s="8"/>
      <c r="N3290" s="8"/>
      <c r="O3290" s="8" t="s">
        <v>855</v>
      </c>
      <c r="P3290" s="8" t="e">
        <v>#N/A</v>
      </c>
    </row>
    <row r="3291">
      <c r="A3291">
        <f>IFERROR(__xludf.DUMMYFUNCTION("""COMPUTED_VALUE"""),8.0)</f>
        <v>8</v>
      </c>
      <c r="B3291">
        <f>IFERROR(__xludf.DUMMYFUNCTION("""COMPUTED_VALUE"""),29089.0)</f>
        <v>29089</v>
      </c>
      <c r="C3291" t="str">
        <f>IFERROR(__xludf.DUMMYFUNCTION("""COMPUTED_VALUE"""),"PEREZ BEDOYA, ELENA")</f>
        <v>PEREZ BEDOYA, ELENA</v>
      </c>
      <c r="D3291" t="str">
        <f>IFERROR(__xludf.DUMMYFUNCTION("""COMPUTED_VALUE"""),"Art 8S2")</f>
        <v>Art 8S2</v>
      </c>
      <c r="E3291" s="31" t="str">
        <f>IFERROR(__xludf.DUMMYFUNCTION("""COMPUTED_VALUE"""),"4b")</f>
        <v>4b</v>
      </c>
      <c r="F3291" s="8">
        <v>1.0</v>
      </c>
      <c r="G3291" s="8">
        <v>1.0</v>
      </c>
      <c r="H3291" s="8">
        <v>1.0</v>
      </c>
      <c r="I3291" s="8">
        <v>1.0</v>
      </c>
      <c r="J3291" s="8">
        <v>1.0</v>
      </c>
      <c r="K3291" s="8">
        <v>1.0</v>
      </c>
      <c r="L3291" s="8">
        <v>6.0</v>
      </c>
      <c r="M3291" s="8"/>
      <c r="N3291" s="8"/>
      <c r="O3291" s="8" t="s">
        <v>851</v>
      </c>
      <c r="P3291" s="8" t="e">
        <v>#N/A</v>
      </c>
    </row>
    <row r="3292">
      <c r="A3292">
        <f>IFERROR(__xludf.DUMMYFUNCTION("""COMPUTED_VALUE"""),8.0)</f>
        <v>8</v>
      </c>
      <c r="B3292">
        <f>IFERROR(__xludf.DUMMYFUNCTION("""COMPUTED_VALUE"""),29157.0)</f>
        <v>29157</v>
      </c>
      <c r="C3292" t="str">
        <f>IFERROR(__xludf.DUMMYFUNCTION("""COMPUTED_VALUE"""),"PETTERSSON VANEGAS, DOMINIQUE")</f>
        <v>PETTERSSON VANEGAS, DOMINIQUE</v>
      </c>
      <c r="D3292" t="str">
        <f>IFERROR(__xludf.DUMMYFUNCTION("""COMPUTED_VALUE"""),"Art 8S2")</f>
        <v>Art 8S2</v>
      </c>
      <c r="E3292" s="31" t="str">
        <f>IFERROR(__xludf.DUMMYFUNCTION("""COMPUTED_VALUE"""),"4b")</f>
        <v>4b</v>
      </c>
      <c r="F3292" s="8">
        <v>1.0</v>
      </c>
      <c r="G3292" s="8">
        <v>1.0</v>
      </c>
      <c r="H3292" s="8">
        <v>1.0</v>
      </c>
      <c r="I3292" s="8">
        <v>1.0</v>
      </c>
      <c r="J3292" s="8">
        <v>1.0</v>
      </c>
      <c r="K3292" s="8">
        <v>1.0</v>
      </c>
      <c r="L3292" s="8">
        <v>6.0</v>
      </c>
      <c r="M3292" s="8"/>
      <c r="N3292" s="8"/>
      <c r="O3292" s="8" t="s">
        <v>851</v>
      </c>
      <c r="P3292" s="8" t="e">
        <v>#N/A</v>
      </c>
    </row>
    <row r="3293">
      <c r="A3293">
        <f>IFERROR(__xludf.DUMMYFUNCTION("""COMPUTED_VALUE"""),8.0)</f>
        <v>8</v>
      </c>
      <c r="B3293">
        <f>IFERROR(__xludf.DUMMYFUNCTION("""COMPUTED_VALUE"""),29091.0)</f>
        <v>29091</v>
      </c>
      <c r="C3293" t="str">
        <f>IFERROR(__xludf.DUMMYFUNCTION("""COMPUTED_VALUE"""),"PLATA BOLAÑOS, CAMILA")</f>
        <v>PLATA BOLAÑOS, CAMILA</v>
      </c>
      <c r="D3293" t="str">
        <f>IFERROR(__xludf.DUMMYFUNCTION("""COMPUTED_VALUE"""),"Art 8S2")</f>
        <v>Art 8S2</v>
      </c>
      <c r="E3293" s="31" t="str">
        <f>IFERROR(__xludf.DUMMYFUNCTION("""COMPUTED_VALUE"""),"4b")</f>
        <v>4b</v>
      </c>
      <c r="F3293" s="8">
        <v>1.0</v>
      </c>
      <c r="G3293" s="8">
        <v>1.0</v>
      </c>
      <c r="H3293" s="8">
        <v>1.0</v>
      </c>
      <c r="I3293" s="8">
        <v>1.0</v>
      </c>
      <c r="J3293" s="8">
        <v>1.0</v>
      </c>
      <c r="K3293" s="8">
        <v>1.0</v>
      </c>
      <c r="L3293" s="8">
        <v>6.0</v>
      </c>
      <c r="M3293" s="8"/>
      <c r="N3293" s="8"/>
      <c r="O3293" s="8" t="s">
        <v>851</v>
      </c>
      <c r="P3293" s="8" t="e">
        <v>#N/A</v>
      </c>
    </row>
    <row r="3294">
      <c r="A3294">
        <f>IFERROR(__xludf.DUMMYFUNCTION("""COMPUTED_VALUE"""),8.0)</f>
        <v>8</v>
      </c>
      <c r="B3294">
        <f>IFERROR(__xludf.DUMMYFUNCTION("""COMPUTED_VALUE"""),29093.0)</f>
        <v>29093</v>
      </c>
      <c r="C3294" t="str">
        <f>IFERROR(__xludf.DUMMYFUNCTION("""COMPUTED_VALUE"""),"PUGLIESE STRICKLAND, MARCELLO ANTONIO")</f>
        <v>PUGLIESE STRICKLAND, MARCELLO ANTONIO</v>
      </c>
      <c r="D3294" t="str">
        <f>IFERROR(__xludf.DUMMYFUNCTION("""COMPUTED_VALUE"""),"Band 8S2")</f>
        <v>Band 8S2</v>
      </c>
      <c r="E3294" s="31" t="str">
        <f>IFERROR(__xludf.DUMMYFUNCTION("""COMPUTED_VALUE"""),"1b")</f>
        <v>1b</v>
      </c>
      <c r="F3294" s="8">
        <v>1.0</v>
      </c>
      <c r="G3294" s="8">
        <v>1.0</v>
      </c>
      <c r="H3294" s="8">
        <v>1.0</v>
      </c>
      <c r="I3294" s="8">
        <v>1.0</v>
      </c>
      <c r="J3294" s="8">
        <v>1.0</v>
      </c>
      <c r="K3294" s="8">
        <v>1.0</v>
      </c>
      <c r="L3294" s="8">
        <v>6.0</v>
      </c>
      <c r="M3294" s="8"/>
      <c r="N3294" s="8"/>
      <c r="O3294" s="8" t="s">
        <v>852</v>
      </c>
      <c r="P3294" s="8" t="e">
        <v>#N/A</v>
      </c>
    </row>
    <row r="3295">
      <c r="A3295">
        <f>IFERROR(__xludf.DUMMYFUNCTION("""COMPUTED_VALUE"""),8.0)</f>
        <v>8</v>
      </c>
      <c r="B3295">
        <f>IFERROR(__xludf.DUMMYFUNCTION("""COMPUTED_VALUE"""),28087.0)</f>
        <v>28087</v>
      </c>
      <c r="C3295" t="str">
        <f>IFERROR(__xludf.DUMMYFUNCTION("""COMPUTED_VALUE"""),"QUINTERO HENAO, MATEO")</f>
        <v>QUINTERO HENAO, MATEO</v>
      </c>
      <c r="D3295" t="str">
        <f>IFERROR(__xludf.DUMMYFUNCTION("""COMPUTED_VALUE"""),"Band 8S2")</f>
        <v>Band 8S2</v>
      </c>
      <c r="E3295" s="31" t="str">
        <f>IFERROR(__xludf.DUMMYFUNCTION("""COMPUTED_VALUE"""),"5b")</f>
        <v>5b</v>
      </c>
      <c r="F3295" s="8">
        <v>1.0</v>
      </c>
      <c r="G3295" s="8">
        <v>1.0</v>
      </c>
      <c r="H3295" s="8">
        <v>1.0</v>
      </c>
      <c r="I3295" s="8">
        <v>1.0</v>
      </c>
      <c r="J3295" s="8">
        <v>1.0</v>
      </c>
      <c r="K3295" s="8">
        <v>1.0</v>
      </c>
      <c r="L3295" s="8">
        <v>6.0</v>
      </c>
      <c r="M3295" s="8"/>
      <c r="N3295" s="8"/>
      <c r="O3295" s="8" t="s">
        <v>856</v>
      </c>
      <c r="P3295" s="8" t="e">
        <v>#N/A</v>
      </c>
    </row>
    <row r="3296">
      <c r="A3296">
        <f>IFERROR(__xludf.DUMMYFUNCTION("""COMPUTED_VALUE"""),8.0)</f>
        <v>8</v>
      </c>
      <c r="B3296">
        <f>IFERROR(__xludf.DUMMYFUNCTION("""COMPUTED_VALUE"""),29096.0)</f>
        <v>29096</v>
      </c>
      <c r="C3296" t="str">
        <f>IFERROR(__xludf.DUMMYFUNCTION("""COMPUTED_VALUE"""),"RAMIREZ PELAEZ, ANTONIA")</f>
        <v>RAMIREZ PELAEZ, ANTONIA</v>
      </c>
      <c r="D3296" t="str">
        <f>IFERROR(__xludf.DUMMYFUNCTION("""COMPUTED_VALUE"""),"Band 8S2")</f>
        <v>Band 8S2</v>
      </c>
      <c r="E3296" s="31" t="str">
        <f>IFERROR(__xludf.DUMMYFUNCTION("""COMPUTED_VALUE"""),"6b")</f>
        <v>6b</v>
      </c>
      <c r="F3296" s="8">
        <v>1.0</v>
      </c>
      <c r="G3296" s="8">
        <v>1.0</v>
      </c>
      <c r="H3296" s="8">
        <v>1.0</v>
      </c>
      <c r="I3296" s="8">
        <v>1.0</v>
      </c>
      <c r="J3296" s="8">
        <v>1.0</v>
      </c>
      <c r="K3296" s="8">
        <v>1.0</v>
      </c>
      <c r="L3296" s="8">
        <v>6.0</v>
      </c>
      <c r="M3296" s="8"/>
      <c r="N3296" s="8"/>
      <c r="O3296" s="8" t="s">
        <v>854</v>
      </c>
      <c r="P3296" s="8" t="e">
        <v>#N/A</v>
      </c>
    </row>
    <row r="3297">
      <c r="A3297">
        <f>IFERROR(__xludf.DUMMYFUNCTION("""COMPUTED_VALUE"""),8.0)</f>
        <v>8</v>
      </c>
      <c r="B3297">
        <f>IFERROR(__xludf.DUMMYFUNCTION("""COMPUTED_VALUE"""),29097.0)</f>
        <v>29097</v>
      </c>
      <c r="C3297" t="str">
        <f>IFERROR(__xludf.DUMMYFUNCTION("""COMPUTED_VALUE"""),"RAMIREZ PELAEZ, ELENA")</f>
        <v>RAMIREZ PELAEZ, ELENA</v>
      </c>
      <c r="D3297" t="str">
        <f>IFERROR(__xludf.DUMMYFUNCTION("""COMPUTED_VALUE"""),"Band 8S2")</f>
        <v>Band 8S2</v>
      </c>
      <c r="E3297" s="31" t="str">
        <f>IFERROR(__xludf.DUMMYFUNCTION("""COMPUTED_VALUE"""),"2a")</f>
        <v>2a</v>
      </c>
      <c r="F3297" s="8">
        <v>1.0</v>
      </c>
      <c r="G3297" s="8">
        <v>1.0</v>
      </c>
      <c r="H3297" s="8">
        <v>1.0</v>
      </c>
      <c r="I3297" s="8">
        <v>1.0</v>
      </c>
      <c r="J3297" s="8">
        <v>1.0</v>
      </c>
      <c r="K3297" s="8">
        <v>1.0</v>
      </c>
      <c r="L3297" s="8">
        <v>6.0</v>
      </c>
      <c r="M3297" s="8"/>
      <c r="N3297" s="8"/>
      <c r="O3297" s="8" t="s">
        <v>855</v>
      </c>
      <c r="P3297" s="8" t="e">
        <v>#N/A</v>
      </c>
    </row>
    <row r="3298">
      <c r="A3298">
        <f>IFERROR(__xludf.DUMMYFUNCTION("""COMPUTED_VALUE"""),8.0)</f>
        <v>8</v>
      </c>
      <c r="B3298">
        <f>IFERROR(__xludf.DUMMYFUNCTION("""COMPUTED_VALUE"""),29169.0)</f>
        <v>29169</v>
      </c>
      <c r="C3298" t="str">
        <f>IFERROR(__xludf.DUMMYFUNCTION("""COMPUTED_VALUE"""),"REPETTO LARROSA, FAUSTINO")</f>
        <v>REPETTO LARROSA, FAUSTINO</v>
      </c>
      <c r="D3298" t="str">
        <f>IFERROR(__xludf.DUMMYFUNCTION("""COMPUTED_VALUE"""),"Band 8S2")</f>
        <v>Band 8S2</v>
      </c>
      <c r="E3298" s="31" t="str">
        <f>IFERROR(__xludf.DUMMYFUNCTION("""COMPUTED_VALUE"""),"6b")</f>
        <v>6b</v>
      </c>
      <c r="F3298" s="8">
        <v>1.0</v>
      </c>
      <c r="G3298" s="8">
        <v>1.0</v>
      </c>
      <c r="H3298" s="8">
        <v>1.0</v>
      </c>
      <c r="I3298" s="8">
        <v>1.0</v>
      </c>
      <c r="J3298" s="8">
        <v>1.0</v>
      </c>
      <c r="K3298" s="8">
        <v>1.0</v>
      </c>
      <c r="L3298" s="8">
        <v>6.0</v>
      </c>
      <c r="M3298" s="8"/>
      <c r="N3298" s="8"/>
      <c r="O3298" s="8" t="s">
        <v>854</v>
      </c>
      <c r="P3298" s="8" t="e">
        <v>#N/A</v>
      </c>
    </row>
    <row r="3299">
      <c r="A3299">
        <f>IFERROR(__xludf.DUMMYFUNCTION("""COMPUTED_VALUE"""),8.0)</f>
        <v>8</v>
      </c>
      <c r="B3299">
        <f>IFERROR(__xludf.DUMMYFUNCTION("""COMPUTED_VALUE"""),29098.0)</f>
        <v>29098</v>
      </c>
      <c r="C3299" t="str">
        <f>IFERROR(__xludf.DUMMYFUNCTION("""COMPUTED_VALUE"""),"RESTREPO ESCOBAR, ISABELA")</f>
        <v>RESTREPO ESCOBAR, ISABELA</v>
      </c>
      <c r="D3299" t="str">
        <f>IFERROR(__xludf.DUMMYFUNCTION("""COMPUTED_VALUE"""),"Band 8S2")</f>
        <v>Band 8S2</v>
      </c>
      <c r="E3299" s="31" t="str">
        <f>IFERROR(__xludf.DUMMYFUNCTION("""COMPUTED_VALUE"""),"2a")</f>
        <v>2a</v>
      </c>
      <c r="F3299" s="8">
        <v>1.0</v>
      </c>
      <c r="G3299" s="8">
        <v>1.0</v>
      </c>
      <c r="H3299" s="8">
        <v>1.0</v>
      </c>
      <c r="I3299" s="8">
        <v>1.0</v>
      </c>
      <c r="J3299" s="8">
        <v>1.0</v>
      </c>
      <c r="K3299" s="8">
        <v>1.0</v>
      </c>
      <c r="L3299" s="8">
        <v>6.0</v>
      </c>
      <c r="M3299" s="8"/>
      <c r="N3299" s="8"/>
      <c r="O3299" s="8" t="s">
        <v>855</v>
      </c>
      <c r="P3299" s="8" t="e">
        <v>#N/A</v>
      </c>
    </row>
    <row r="3300">
      <c r="A3300">
        <f>IFERROR(__xludf.DUMMYFUNCTION("""COMPUTED_VALUE"""),8.0)</f>
        <v>8</v>
      </c>
      <c r="B3300">
        <f>IFERROR(__xludf.DUMMYFUNCTION("""COMPUTED_VALUE"""),29099.0)</f>
        <v>29099</v>
      </c>
      <c r="C3300" t="str">
        <f>IFERROR(__xludf.DUMMYFUNCTION("""COMPUTED_VALUE"""),"RESTREPO RESTREPO, MATIAS")</f>
        <v>RESTREPO RESTREPO, MATIAS</v>
      </c>
      <c r="D3300" t="str">
        <f>IFERROR(__xludf.DUMMYFUNCTION("""COMPUTED_VALUE"""),"Band 8S2")</f>
        <v>Band 8S2</v>
      </c>
      <c r="E3300" s="31" t="str">
        <f>IFERROR(__xludf.DUMMYFUNCTION("""COMPUTED_VALUE"""),"6b")</f>
        <v>6b</v>
      </c>
      <c r="F3300" s="8">
        <v>1.0</v>
      </c>
      <c r="G3300" s="8">
        <v>1.0</v>
      </c>
      <c r="H3300" s="8">
        <v>1.0</v>
      </c>
      <c r="I3300" s="8">
        <v>1.0</v>
      </c>
      <c r="J3300" s="8">
        <v>1.0</v>
      </c>
      <c r="K3300" s="8">
        <v>1.0</v>
      </c>
      <c r="L3300" s="8">
        <v>6.0</v>
      </c>
      <c r="M3300" s="8"/>
      <c r="N3300" s="8"/>
      <c r="O3300" s="8" t="s">
        <v>854</v>
      </c>
      <c r="P3300" s="8" t="e">
        <v>#N/A</v>
      </c>
    </row>
    <row r="3301">
      <c r="A3301">
        <f>IFERROR(__xludf.DUMMYFUNCTION("""COMPUTED_VALUE"""),8.0)</f>
        <v>8</v>
      </c>
      <c r="B3301">
        <f>IFERROR(__xludf.DUMMYFUNCTION("""COMPUTED_VALUE"""),29100.0)</f>
        <v>29100</v>
      </c>
      <c r="C3301" t="str">
        <f>IFERROR(__xludf.DUMMYFUNCTION("""COMPUTED_VALUE"""),"RESTREPO VILLEGAS, PEDRO")</f>
        <v>RESTREPO VILLEGAS, PEDRO</v>
      </c>
      <c r="D3301" t="str">
        <f>IFERROR(__xludf.DUMMYFUNCTION("""COMPUTED_VALUE"""),"Band 8S2")</f>
        <v>Band 8S2</v>
      </c>
      <c r="E3301" s="31" t="str">
        <f>IFERROR(__xludf.DUMMYFUNCTION("""COMPUTED_VALUE"""),"6b")</f>
        <v>6b</v>
      </c>
      <c r="F3301" s="8">
        <v>1.0</v>
      </c>
      <c r="G3301" s="8">
        <v>1.0</v>
      </c>
      <c r="H3301" s="8">
        <v>1.0</v>
      </c>
      <c r="I3301" s="8">
        <v>1.0</v>
      </c>
      <c r="J3301" s="8">
        <v>1.0</v>
      </c>
      <c r="K3301" s="8">
        <v>1.0</v>
      </c>
      <c r="L3301" s="8">
        <v>6.0</v>
      </c>
      <c r="M3301" s="8"/>
      <c r="N3301" s="8"/>
      <c r="O3301" s="8" t="s">
        <v>854</v>
      </c>
      <c r="P3301" s="8" t="e">
        <v>#N/A</v>
      </c>
    </row>
    <row r="3302">
      <c r="A3302">
        <f>IFERROR(__xludf.DUMMYFUNCTION("""COMPUTED_VALUE"""),8.0)</f>
        <v>8</v>
      </c>
      <c r="B3302">
        <f>IFERROR(__xludf.DUMMYFUNCTION("""COMPUTED_VALUE"""),29101.0)</f>
        <v>29101</v>
      </c>
      <c r="C3302" t="str">
        <f>IFERROR(__xludf.DUMMYFUNCTION("""COMPUTED_VALUE"""),"ROBLES MARTINEZ, MARIA")</f>
        <v>ROBLES MARTINEZ, MARIA</v>
      </c>
      <c r="D3302" t="str">
        <f>IFERROR(__xludf.DUMMYFUNCTION("""COMPUTED_VALUE"""),"Band 8S2")</f>
        <v>Band 8S2</v>
      </c>
      <c r="E3302" s="31" t="str">
        <f>IFERROR(__xludf.DUMMYFUNCTION("""COMPUTED_VALUE"""),"2a")</f>
        <v>2a</v>
      </c>
      <c r="F3302" s="8">
        <v>1.0</v>
      </c>
      <c r="G3302" s="8">
        <v>1.0</v>
      </c>
      <c r="H3302" s="8">
        <v>1.0</v>
      </c>
      <c r="I3302" s="8">
        <v>1.0</v>
      </c>
      <c r="J3302" s="8">
        <v>1.0</v>
      </c>
      <c r="K3302" s="8">
        <v>1.0</v>
      </c>
      <c r="L3302" s="8">
        <v>6.0</v>
      </c>
      <c r="M3302" s="8"/>
      <c r="N3302" s="8"/>
      <c r="O3302" s="8" t="s">
        <v>855</v>
      </c>
      <c r="P3302" s="8" t="e">
        <v>#N/A</v>
      </c>
    </row>
    <row r="3303">
      <c r="A3303">
        <f>IFERROR(__xludf.DUMMYFUNCTION("""COMPUTED_VALUE"""),8.0)</f>
        <v>8</v>
      </c>
      <c r="B3303">
        <f>IFERROR(__xludf.DUMMYFUNCTION("""COMPUTED_VALUE"""),28160.0)</f>
        <v>28160</v>
      </c>
      <c r="C3303" t="str">
        <f>IFERROR(__xludf.DUMMYFUNCTION("""COMPUTED_VALUE"""),"ROJAS REYES, JERONIMO")</f>
        <v>ROJAS REYES, JERONIMO</v>
      </c>
      <c r="D3303" t="str">
        <f>IFERROR(__xludf.DUMMYFUNCTION("""COMPUTED_VALUE"""),"Band 8S2")</f>
        <v>Band 8S2</v>
      </c>
      <c r="E3303" s="31" t="str">
        <f>IFERROR(__xludf.DUMMYFUNCTION("""COMPUTED_VALUE"""),"6b")</f>
        <v>6b</v>
      </c>
      <c r="F3303" s="8">
        <v>1.0</v>
      </c>
      <c r="G3303" s="8">
        <v>1.0</v>
      </c>
      <c r="H3303" s="8">
        <v>1.0</v>
      </c>
      <c r="I3303" s="8">
        <v>1.0</v>
      </c>
      <c r="J3303" s="8">
        <v>1.0</v>
      </c>
      <c r="K3303" s="8">
        <v>1.0</v>
      </c>
      <c r="L3303" s="8">
        <v>6.0</v>
      </c>
      <c r="M3303" s="8"/>
      <c r="N3303" s="8"/>
      <c r="O3303" s="8" t="s">
        <v>854</v>
      </c>
      <c r="P3303" s="8" t="e">
        <v>#N/A</v>
      </c>
    </row>
    <row r="3304">
      <c r="A3304">
        <f>IFERROR(__xludf.DUMMYFUNCTION("""COMPUTED_VALUE"""),8.0)</f>
        <v>8</v>
      </c>
      <c r="B3304">
        <f>IFERROR(__xludf.DUMMYFUNCTION("""COMPUTED_VALUE"""),29163.0)</f>
        <v>29163</v>
      </c>
      <c r="C3304" t="str">
        <f>IFERROR(__xludf.DUMMYFUNCTION("""COMPUTED_VALUE"""),"ROMERO OROZCO, SALVADOR")</f>
        <v>ROMERO OROZCO, SALVADOR</v>
      </c>
      <c r="D3304" t="str">
        <f>IFERROR(__xludf.DUMMYFUNCTION("""COMPUTED_VALUE"""),"Band 8S2")</f>
        <v>Band 8S2</v>
      </c>
      <c r="E3304" s="31" t="str">
        <f>IFERROR(__xludf.DUMMYFUNCTION("""COMPUTED_VALUE"""),"5b")</f>
        <v>5b</v>
      </c>
      <c r="F3304" s="8">
        <v>1.0</v>
      </c>
      <c r="G3304" s="8">
        <v>1.0</v>
      </c>
      <c r="H3304" s="8">
        <v>1.0</v>
      </c>
      <c r="I3304" s="8">
        <v>1.0</v>
      </c>
      <c r="J3304" s="8">
        <v>1.0</v>
      </c>
      <c r="K3304" s="8">
        <v>1.0</v>
      </c>
      <c r="L3304" s="8">
        <v>6.0</v>
      </c>
      <c r="M3304" s="8"/>
      <c r="N3304" s="8"/>
      <c r="O3304" s="8" t="s">
        <v>856</v>
      </c>
      <c r="P3304" s="8" t="e">
        <v>#N/A</v>
      </c>
    </row>
    <row r="3305">
      <c r="A3305">
        <f>IFERROR(__xludf.DUMMYFUNCTION("""COMPUTED_VALUE"""),8.0)</f>
        <v>8</v>
      </c>
      <c r="B3305">
        <f>IFERROR(__xludf.DUMMYFUNCTION("""COMPUTED_VALUE"""),29103.0)</f>
        <v>29103</v>
      </c>
      <c r="C3305" t="str">
        <f>IFERROR(__xludf.DUMMYFUNCTION("""COMPUTED_VALUE"""),"SALAZAR ECHEVERRI, ANTONIA")</f>
        <v>SALAZAR ECHEVERRI, ANTONIA</v>
      </c>
      <c r="D3305" t="str">
        <f>IFERROR(__xludf.DUMMYFUNCTION("""COMPUTED_VALUE"""),"Band 8S2")</f>
        <v>Band 8S2</v>
      </c>
      <c r="E3305" s="31" t="str">
        <f>IFERROR(__xludf.DUMMYFUNCTION("""COMPUTED_VALUE"""),"1b")</f>
        <v>1b</v>
      </c>
      <c r="F3305" s="8">
        <v>1.0</v>
      </c>
      <c r="G3305" s="8">
        <v>1.0</v>
      </c>
      <c r="H3305" s="8">
        <v>1.0</v>
      </c>
      <c r="I3305" s="8">
        <v>1.0</v>
      </c>
      <c r="J3305" s="8">
        <v>1.0</v>
      </c>
      <c r="K3305" s="8">
        <v>1.0</v>
      </c>
      <c r="L3305" s="8">
        <v>6.0</v>
      </c>
      <c r="M3305" s="8"/>
      <c r="N3305" s="8"/>
      <c r="O3305" s="8" t="s">
        <v>852</v>
      </c>
      <c r="P3305" s="8" t="e">
        <v>#N/A</v>
      </c>
    </row>
    <row r="3306">
      <c r="A3306">
        <f>IFERROR(__xludf.DUMMYFUNCTION("""COMPUTED_VALUE"""),8.0)</f>
        <v>8</v>
      </c>
      <c r="B3306">
        <f>IFERROR(__xludf.DUMMYFUNCTION("""COMPUTED_VALUE"""),29149.0)</f>
        <v>29149</v>
      </c>
      <c r="C3306" t="str">
        <f>IFERROR(__xludf.DUMMYFUNCTION("""COMPUTED_VALUE"""),"SALEMME GUTIERREZ, AMALIA")</f>
        <v>SALEMME GUTIERREZ, AMALIA</v>
      </c>
      <c r="D3306" t="str">
        <f>IFERROR(__xludf.DUMMYFUNCTION("""COMPUTED_VALUE"""),"Art 8S2")</f>
        <v>Art 8S2</v>
      </c>
      <c r="E3306" s="31" t="str">
        <f>IFERROR(__xludf.DUMMYFUNCTION("""COMPUTED_VALUE"""),"4b")</f>
        <v>4b</v>
      </c>
      <c r="F3306" s="8">
        <v>1.0</v>
      </c>
      <c r="G3306" s="8">
        <v>1.0</v>
      </c>
      <c r="H3306" s="8">
        <v>1.0</v>
      </c>
      <c r="I3306" s="8">
        <v>1.0</v>
      </c>
      <c r="J3306" s="8">
        <v>1.0</v>
      </c>
      <c r="K3306" s="8">
        <v>1.0</v>
      </c>
      <c r="L3306" s="8">
        <v>6.0</v>
      </c>
      <c r="M3306" s="8"/>
      <c r="N3306" s="8"/>
      <c r="O3306" s="8" t="s">
        <v>851</v>
      </c>
      <c r="P3306" s="8" t="e">
        <v>#N/A</v>
      </c>
    </row>
    <row r="3307">
      <c r="A3307">
        <f>IFERROR(__xludf.DUMMYFUNCTION("""COMPUTED_VALUE"""),8.0)</f>
        <v>8</v>
      </c>
      <c r="B3307">
        <f>IFERROR(__xludf.DUMMYFUNCTION("""COMPUTED_VALUE"""),29105.0)</f>
        <v>29105</v>
      </c>
      <c r="C3307" t="str">
        <f>IFERROR(__xludf.DUMMYFUNCTION("""COMPUTED_VALUE"""),"SANCHEZ DIAZ, MATIAS")</f>
        <v>SANCHEZ DIAZ, MATIAS</v>
      </c>
      <c r="D3307" t="str">
        <f>IFERROR(__xludf.DUMMYFUNCTION("""COMPUTED_VALUE"""),"Band 8S2")</f>
        <v>Band 8S2</v>
      </c>
      <c r="E3307" s="31" t="str">
        <f>IFERROR(__xludf.DUMMYFUNCTION("""COMPUTED_VALUE"""),"5b")</f>
        <v>5b</v>
      </c>
      <c r="F3307" s="8">
        <v>1.0</v>
      </c>
      <c r="G3307" s="8">
        <v>1.0</v>
      </c>
      <c r="H3307" s="8">
        <v>1.0</v>
      </c>
      <c r="I3307" s="8">
        <v>1.0</v>
      </c>
      <c r="J3307" s="8">
        <v>1.0</v>
      </c>
      <c r="K3307" s="8">
        <v>1.0</v>
      </c>
      <c r="L3307" s="8">
        <v>6.0</v>
      </c>
      <c r="M3307" s="8"/>
      <c r="N3307" s="8"/>
      <c r="O3307" s="8" t="s">
        <v>856</v>
      </c>
      <c r="P3307" s="8" t="e">
        <v>#N/A</v>
      </c>
    </row>
    <row r="3308">
      <c r="A3308">
        <f>IFERROR(__xludf.DUMMYFUNCTION("""COMPUTED_VALUE"""),8.0)</f>
        <v>8</v>
      </c>
      <c r="B3308">
        <f>IFERROR(__xludf.DUMMYFUNCTION("""COMPUTED_VALUE"""),29106.0)</f>
        <v>29106</v>
      </c>
      <c r="C3308" t="str">
        <f>IFERROR(__xludf.DUMMYFUNCTION("""COMPUTED_VALUE"""),"SANCHEZ DIAZ, SIMON")</f>
        <v>SANCHEZ DIAZ, SIMON</v>
      </c>
      <c r="D3308" t="str">
        <f>IFERROR(__xludf.DUMMYFUNCTION("""COMPUTED_VALUE"""),"Band 8S2")</f>
        <v>Band 8S2</v>
      </c>
      <c r="E3308" s="31" t="str">
        <f>IFERROR(__xludf.DUMMYFUNCTION("""COMPUTED_VALUE"""),"1b")</f>
        <v>1b</v>
      </c>
      <c r="F3308" s="8">
        <v>1.0</v>
      </c>
      <c r="G3308" s="8">
        <v>1.0</v>
      </c>
      <c r="H3308" s="8">
        <v>1.0</v>
      </c>
      <c r="I3308" s="8">
        <v>1.0</v>
      </c>
      <c r="J3308" s="8">
        <v>1.0</v>
      </c>
      <c r="K3308" s="8">
        <v>1.0</v>
      </c>
      <c r="L3308" s="8">
        <v>6.0</v>
      </c>
      <c r="M3308" s="8"/>
      <c r="N3308" s="8"/>
      <c r="O3308" s="8" t="s">
        <v>852</v>
      </c>
      <c r="P3308" s="8" t="e">
        <v>#N/A</v>
      </c>
    </row>
    <row r="3309">
      <c r="A3309">
        <f>IFERROR(__xludf.DUMMYFUNCTION("""COMPUTED_VALUE"""),8.0)</f>
        <v>8</v>
      </c>
      <c r="B3309">
        <f>IFERROR(__xludf.DUMMYFUNCTION("""COMPUTED_VALUE"""),29107.0)</f>
        <v>29107</v>
      </c>
      <c r="C3309" t="str">
        <f>IFERROR(__xludf.DUMMYFUNCTION("""COMPUTED_VALUE"""),"SANIN JARAMILLO, PEDRO")</f>
        <v>SANIN JARAMILLO, PEDRO</v>
      </c>
      <c r="D3309" t="str">
        <f>IFERROR(__xludf.DUMMYFUNCTION("""COMPUTED_VALUE"""),"Band 8S2")</f>
        <v>Band 8S2</v>
      </c>
      <c r="E3309" s="31" t="str">
        <f>IFERROR(__xludf.DUMMYFUNCTION("""COMPUTED_VALUE"""),"2a")</f>
        <v>2a</v>
      </c>
      <c r="F3309" s="8">
        <v>1.0</v>
      </c>
      <c r="G3309" s="8">
        <v>1.0</v>
      </c>
      <c r="H3309" s="8">
        <v>1.0</v>
      </c>
      <c r="I3309" s="8">
        <v>1.0</v>
      </c>
      <c r="J3309" s="8">
        <v>1.0</v>
      </c>
      <c r="K3309" s="8">
        <v>1.0</v>
      </c>
      <c r="L3309" s="8">
        <v>6.0</v>
      </c>
      <c r="M3309" s="8"/>
      <c r="N3309" s="8"/>
      <c r="O3309" s="8" t="s">
        <v>855</v>
      </c>
      <c r="P3309" s="8" t="e">
        <v>#N/A</v>
      </c>
    </row>
    <row r="3310">
      <c r="A3310">
        <f>IFERROR(__xludf.DUMMYFUNCTION("""COMPUTED_VALUE"""),8.0)</f>
        <v>8</v>
      </c>
      <c r="B3310">
        <f>IFERROR(__xludf.DUMMYFUNCTION("""COMPUTED_VALUE"""),29108.0)</f>
        <v>29108</v>
      </c>
      <c r="C3310" t="str">
        <f>IFERROR(__xludf.DUMMYFUNCTION("""COMPUTED_VALUE"""),"SCHOBER OCAMPO, DANIEL")</f>
        <v>SCHOBER OCAMPO, DANIEL</v>
      </c>
      <c r="D3310" t="str">
        <f>IFERROR(__xludf.DUMMYFUNCTION("""COMPUTED_VALUE"""),"Art 8S2")</f>
        <v>Art 8S2</v>
      </c>
      <c r="E3310" s="31" t="str">
        <f>IFERROR(__xludf.DUMMYFUNCTION("""COMPUTED_VALUE"""),"5a")</f>
        <v>5a</v>
      </c>
      <c r="F3310" s="8">
        <v>1.0</v>
      </c>
      <c r="G3310" s="8">
        <v>1.0</v>
      </c>
      <c r="H3310" s="8">
        <v>1.0</v>
      </c>
      <c r="I3310" s="8">
        <v>1.0</v>
      </c>
      <c r="J3310" s="8">
        <v>1.0</v>
      </c>
      <c r="K3310" s="8">
        <v>1.0</v>
      </c>
      <c r="L3310" s="8">
        <v>6.0</v>
      </c>
      <c r="M3310" s="8"/>
      <c r="N3310" s="8"/>
      <c r="O3310" s="8" t="s">
        <v>853</v>
      </c>
      <c r="P3310" s="8" t="e">
        <v>#N/A</v>
      </c>
    </row>
    <row r="3311">
      <c r="A3311">
        <f>IFERROR(__xludf.DUMMYFUNCTION("""COMPUTED_VALUE"""),8.0)</f>
        <v>8</v>
      </c>
      <c r="B3311">
        <f>IFERROR(__xludf.DUMMYFUNCTION("""COMPUTED_VALUE"""),29171.0)</f>
        <v>29171</v>
      </c>
      <c r="C3311" t="str">
        <f>IFERROR(__xludf.DUMMYFUNCTION("""COMPUTED_VALUE"""),"SCHUCHASKIE, KEATON")</f>
        <v>SCHUCHASKIE, KEATON</v>
      </c>
      <c r="D3311" t="str">
        <f>IFERROR(__xludf.DUMMYFUNCTION("""COMPUTED_VALUE"""),"Band 8S2")</f>
        <v>Band 8S2</v>
      </c>
      <c r="E3311" s="31" t="str">
        <f>IFERROR(__xludf.DUMMYFUNCTION("""COMPUTED_VALUE"""),"5b")</f>
        <v>5b</v>
      </c>
      <c r="F3311" s="8">
        <v>1.0</v>
      </c>
      <c r="G3311" s="8">
        <v>1.0</v>
      </c>
      <c r="H3311" s="8">
        <v>1.0</v>
      </c>
      <c r="I3311" s="8">
        <v>1.0</v>
      </c>
      <c r="J3311" s="8">
        <v>1.0</v>
      </c>
      <c r="K3311" s="8">
        <v>1.0</v>
      </c>
      <c r="L3311" s="8">
        <v>6.0</v>
      </c>
      <c r="M3311" s="8"/>
      <c r="N3311" s="8"/>
      <c r="O3311" s="8" t="s">
        <v>856</v>
      </c>
      <c r="P3311" s="8" t="e">
        <v>#N/A</v>
      </c>
    </row>
    <row r="3312">
      <c r="A3312">
        <f>IFERROR(__xludf.DUMMYFUNCTION("""COMPUTED_VALUE"""),8.0)</f>
        <v>8</v>
      </c>
      <c r="B3312">
        <f>IFERROR(__xludf.DUMMYFUNCTION("""COMPUTED_VALUE"""),29109.0)</f>
        <v>29109</v>
      </c>
      <c r="C3312" t="str">
        <f>IFERROR(__xludf.DUMMYFUNCTION("""COMPUTED_VALUE"""),"SERANI ANGEL, LUCIANA")</f>
        <v>SERANI ANGEL, LUCIANA</v>
      </c>
      <c r="D3312" t="str">
        <f>IFERROR(__xludf.DUMMYFUNCTION("""COMPUTED_VALUE"""),"Art 8S2")</f>
        <v>Art 8S2</v>
      </c>
      <c r="E3312" s="31" t="str">
        <f>IFERROR(__xludf.DUMMYFUNCTION("""COMPUTED_VALUE"""),"5a")</f>
        <v>5a</v>
      </c>
      <c r="F3312" s="8">
        <v>1.0</v>
      </c>
      <c r="G3312" s="8">
        <v>1.0</v>
      </c>
      <c r="H3312" s="8">
        <v>1.0</v>
      </c>
      <c r="I3312" s="8">
        <v>1.0</v>
      </c>
      <c r="J3312" s="8">
        <v>1.0</v>
      </c>
      <c r="K3312" s="8">
        <v>1.0</v>
      </c>
      <c r="L3312" s="8">
        <v>6.0</v>
      </c>
      <c r="M3312" s="8"/>
      <c r="N3312" s="8"/>
      <c r="O3312" s="8" t="s">
        <v>853</v>
      </c>
      <c r="P3312" s="8" t="e">
        <v>#N/A</v>
      </c>
    </row>
    <row r="3313">
      <c r="A3313">
        <f>IFERROR(__xludf.DUMMYFUNCTION("""COMPUTED_VALUE"""),8.0)</f>
        <v>8</v>
      </c>
      <c r="B3313">
        <f>IFERROR(__xludf.DUMMYFUNCTION("""COMPUTED_VALUE"""),29110.0)</f>
        <v>29110</v>
      </c>
      <c r="C3313" t="str">
        <f>IFERROR(__xludf.DUMMYFUNCTION("""COMPUTED_VALUE"""),"SOSA ECHAVARRIA, EMILIO")</f>
        <v>SOSA ECHAVARRIA, EMILIO</v>
      </c>
      <c r="D3313" t="str">
        <f>IFERROR(__xludf.DUMMYFUNCTION("""COMPUTED_VALUE"""),"Band 8S2")</f>
        <v>Band 8S2</v>
      </c>
      <c r="E3313" s="31" t="str">
        <f>IFERROR(__xludf.DUMMYFUNCTION("""COMPUTED_VALUE"""),"2a")</f>
        <v>2a</v>
      </c>
      <c r="F3313" s="8">
        <v>1.0</v>
      </c>
      <c r="G3313" s="8">
        <v>1.0</v>
      </c>
      <c r="H3313" s="8">
        <v>1.0</v>
      </c>
      <c r="I3313" s="8">
        <v>1.0</v>
      </c>
      <c r="J3313" s="8">
        <v>1.0</v>
      </c>
      <c r="K3313" s="8">
        <v>1.0</v>
      </c>
      <c r="L3313" s="8">
        <v>6.0</v>
      </c>
      <c r="M3313" s="8"/>
      <c r="N3313" s="8"/>
      <c r="O3313" s="8" t="s">
        <v>855</v>
      </c>
      <c r="P3313" s="8" t="e">
        <v>#N/A</v>
      </c>
    </row>
    <row r="3314">
      <c r="A3314">
        <f>IFERROR(__xludf.DUMMYFUNCTION("""COMPUTED_VALUE"""),8.0)</f>
        <v>8</v>
      </c>
      <c r="B3314">
        <f>IFERROR(__xludf.DUMMYFUNCTION("""COMPUTED_VALUE"""),29111.0)</f>
        <v>29111</v>
      </c>
      <c r="C3314" t="str">
        <f>IFERROR(__xludf.DUMMYFUNCTION("""COMPUTED_VALUE"""),"SOTO ANGEL, GABRIELA")</f>
        <v>SOTO ANGEL, GABRIELA</v>
      </c>
      <c r="D3314" t="str">
        <f>IFERROR(__xludf.DUMMYFUNCTION("""COMPUTED_VALUE"""),"Tech 8S2")</f>
        <v>Tech 8S2</v>
      </c>
      <c r="E3314" s="31" t="str">
        <f>IFERROR(__xludf.DUMMYFUNCTION("""COMPUTED_VALUE"""),"5a")</f>
        <v>5a</v>
      </c>
      <c r="F3314" s="8">
        <v>1.0</v>
      </c>
      <c r="G3314" s="8">
        <v>1.0</v>
      </c>
      <c r="H3314" s="8">
        <v>1.0</v>
      </c>
      <c r="I3314" s="8">
        <v>1.0</v>
      </c>
      <c r="J3314" s="8">
        <v>1.0</v>
      </c>
      <c r="K3314" s="8">
        <v>1.0</v>
      </c>
      <c r="L3314" s="8">
        <v>6.0</v>
      </c>
      <c r="M3314" s="8"/>
      <c r="N3314" s="8"/>
      <c r="O3314" s="8" t="s">
        <v>857</v>
      </c>
      <c r="P3314" s="8" t="e">
        <v>#N/A</v>
      </c>
    </row>
    <row r="3315">
      <c r="A3315">
        <f>IFERROR(__xludf.DUMMYFUNCTION("""COMPUTED_VALUE"""),8.0)</f>
        <v>8</v>
      </c>
      <c r="B3315">
        <f>IFERROR(__xludf.DUMMYFUNCTION("""COMPUTED_VALUE"""),29112.0)</f>
        <v>29112</v>
      </c>
      <c r="C3315" t="str">
        <f>IFERROR(__xludf.DUMMYFUNCTION("""COMPUTED_VALUE"""),"SUAREZ MARTINEZ, ANA")</f>
        <v>SUAREZ MARTINEZ, ANA</v>
      </c>
      <c r="D3315" t="str">
        <f>IFERROR(__xludf.DUMMYFUNCTION("""COMPUTED_VALUE"""),"Band 8S2")</f>
        <v>Band 8S2</v>
      </c>
      <c r="E3315" s="31" t="str">
        <f>IFERROR(__xludf.DUMMYFUNCTION("""COMPUTED_VALUE"""),"2a")</f>
        <v>2a</v>
      </c>
      <c r="F3315" s="8">
        <v>1.0</v>
      </c>
      <c r="G3315" s="8">
        <v>1.0</v>
      </c>
      <c r="H3315" s="8">
        <v>1.0</v>
      </c>
      <c r="I3315" s="8">
        <v>1.0</v>
      </c>
      <c r="J3315" s="8">
        <v>1.0</v>
      </c>
      <c r="K3315" s="8">
        <v>1.0</v>
      </c>
      <c r="L3315" s="8">
        <v>6.0</v>
      </c>
      <c r="M3315" s="8"/>
      <c r="N3315" s="8"/>
      <c r="O3315" s="8" t="s">
        <v>855</v>
      </c>
      <c r="P3315" s="8" t="e">
        <v>#N/A</v>
      </c>
    </row>
    <row r="3316">
      <c r="A3316">
        <f>IFERROR(__xludf.DUMMYFUNCTION("""COMPUTED_VALUE"""),8.0)</f>
        <v>8</v>
      </c>
      <c r="B3316">
        <f>IFERROR(__xludf.DUMMYFUNCTION("""COMPUTED_VALUE"""),29113.0)</f>
        <v>29113</v>
      </c>
      <c r="C3316" t="str">
        <f>IFERROR(__xludf.DUMMYFUNCTION("""COMPUTED_VALUE"""),"THIRIEZ VILLA, EMMA")</f>
        <v>THIRIEZ VILLA, EMMA</v>
      </c>
      <c r="D3316" t="str">
        <f>IFERROR(__xludf.DUMMYFUNCTION("""COMPUTED_VALUE"""),"Art 8S2")</f>
        <v>Art 8S2</v>
      </c>
      <c r="E3316" s="31" t="str">
        <f>IFERROR(__xludf.DUMMYFUNCTION("""COMPUTED_VALUE"""),"4b")</f>
        <v>4b</v>
      </c>
      <c r="F3316" s="8">
        <v>1.0</v>
      </c>
      <c r="G3316" s="8">
        <v>1.0</v>
      </c>
      <c r="H3316" s="8">
        <v>1.0</v>
      </c>
      <c r="I3316" s="8">
        <v>1.0</v>
      </c>
      <c r="J3316" s="8">
        <v>1.0</v>
      </c>
      <c r="K3316" s="8">
        <v>1.0</v>
      </c>
      <c r="L3316" s="8">
        <v>6.0</v>
      </c>
      <c r="M3316" s="8"/>
      <c r="N3316" s="8"/>
      <c r="O3316" s="8" t="s">
        <v>851</v>
      </c>
      <c r="P3316" s="8" t="e">
        <v>#N/A</v>
      </c>
    </row>
    <row r="3317">
      <c r="A3317">
        <f>IFERROR(__xludf.DUMMYFUNCTION("""COMPUTED_VALUE"""),8.0)</f>
        <v>8</v>
      </c>
      <c r="B3317">
        <f>IFERROR(__xludf.DUMMYFUNCTION("""COMPUTED_VALUE"""),29114.0)</f>
        <v>29114</v>
      </c>
      <c r="C3317" t="str">
        <f>IFERROR(__xludf.DUMMYFUNCTION("""COMPUTED_VALUE"""),"THIRIEZ VILLA, MARIA")</f>
        <v>THIRIEZ VILLA, MARIA</v>
      </c>
      <c r="D3317" t="str">
        <f>IFERROR(__xludf.DUMMYFUNCTION("""COMPUTED_VALUE"""),"Art 8S2")</f>
        <v>Art 8S2</v>
      </c>
      <c r="E3317" s="31" t="str">
        <f>IFERROR(__xludf.DUMMYFUNCTION("""COMPUTED_VALUE"""),"4b")</f>
        <v>4b</v>
      </c>
      <c r="F3317" s="8">
        <v>1.0</v>
      </c>
      <c r="G3317" s="8">
        <v>1.0</v>
      </c>
      <c r="H3317" s="8">
        <v>1.0</v>
      </c>
      <c r="I3317" s="8">
        <v>1.0</v>
      </c>
      <c r="J3317" s="8">
        <v>1.0</v>
      </c>
      <c r="K3317" s="8">
        <v>1.0</v>
      </c>
      <c r="L3317" s="8">
        <v>6.0</v>
      </c>
      <c r="M3317" s="8"/>
      <c r="N3317" s="8"/>
      <c r="O3317" s="8" t="s">
        <v>851</v>
      </c>
      <c r="P3317" s="8" t="e">
        <v>#N/A</v>
      </c>
    </row>
    <row r="3318">
      <c r="A3318">
        <f>IFERROR(__xludf.DUMMYFUNCTION("""COMPUTED_VALUE"""),8.0)</f>
        <v>8</v>
      </c>
      <c r="B3318">
        <f>IFERROR(__xludf.DUMMYFUNCTION("""COMPUTED_VALUE"""),29115.0)</f>
        <v>29115</v>
      </c>
      <c r="C3318" t="str">
        <f>IFERROR(__xludf.DUMMYFUNCTION("""COMPUTED_VALUE"""),"TIRADO SANIN, ELENA")</f>
        <v>TIRADO SANIN, ELENA</v>
      </c>
      <c r="D3318" t="str">
        <f>IFERROR(__xludf.DUMMYFUNCTION("""COMPUTED_VALUE"""),"Tech 8S2")</f>
        <v>Tech 8S2</v>
      </c>
      <c r="E3318" s="31" t="str">
        <f>IFERROR(__xludf.DUMMYFUNCTION("""COMPUTED_VALUE"""),"5a")</f>
        <v>5a</v>
      </c>
      <c r="F3318" s="8">
        <v>1.0</v>
      </c>
      <c r="G3318" s="8">
        <v>1.0</v>
      </c>
      <c r="H3318" s="8">
        <v>1.0</v>
      </c>
      <c r="I3318" s="8">
        <v>1.0</v>
      </c>
      <c r="J3318" s="8">
        <v>1.0</v>
      </c>
      <c r="K3318" s="8">
        <v>1.0</v>
      </c>
      <c r="L3318" s="8">
        <v>6.0</v>
      </c>
      <c r="M3318" s="8"/>
      <c r="N3318" s="8"/>
      <c r="O3318" s="8" t="s">
        <v>857</v>
      </c>
      <c r="P3318" s="8" t="e">
        <v>#N/A</v>
      </c>
    </row>
    <row r="3319">
      <c r="A3319">
        <f>IFERROR(__xludf.DUMMYFUNCTION("""COMPUTED_VALUE"""),8.0)</f>
        <v>8</v>
      </c>
      <c r="B3319">
        <f>IFERROR(__xludf.DUMMYFUNCTION("""COMPUTED_VALUE"""),29116.0)</f>
        <v>29116</v>
      </c>
      <c r="C3319" t="str">
        <f>IFERROR(__xludf.DUMMYFUNCTION("""COMPUTED_VALUE"""),"TOBAR MEJIA, CAMILO")</f>
        <v>TOBAR MEJIA, CAMILO</v>
      </c>
      <c r="D3319" t="str">
        <f>IFERROR(__xludf.DUMMYFUNCTION("""COMPUTED_VALUE"""),"Band 8S2")</f>
        <v>Band 8S2</v>
      </c>
      <c r="E3319" s="31" t="str">
        <f>IFERROR(__xludf.DUMMYFUNCTION("""COMPUTED_VALUE"""),"6b")</f>
        <v>6b</v>
      </c>
      <c r="F3319" s="8">
        <v>1.0</v>
      </c>
      <c r="G3319" s="8">
        <v>1.0</v>
      </c>
      <c r="H3319" s="8">
        <v>1.0</v>
      </c>
      <c r="I3319" s="8">
        <v>1.0</v>
      </c>
      <c r="J3319" s="8">
        <v>1.0</v>
      </c>
      <c r="K3319" s="8">
        <v>1.0</v>
      </c>
      <c r="L3319" s="8">
        <v>6.0</v>
      </c>
      <c r="M3319" s="8"/>
      <c r="N3319" s="8"/>
      <c r="O3319" s="8" t="s">
        <v>854</v>
      </c>
      <c r="P3319" s="8" t="e">
        <v>#N/A</v>
      </c>
    </row>
    <row r="3320">
      <c r="A3320">
        <f>IFERROR(__xludf.DUMMYFUNCTION("""COMPUTED_VALUE"""),8.0)</f>
        <v>8</v>
      </c>
      <c r="B3320">
        <f>IFERROR(__xludf.DUMMYFUNCTION("""COMPUTED_VALUE"""),29142.0)</f>
        <v>29142</v>
      </c>
      <c r="C3320" t="str">
        <f>IFERROR(__xludf.DUMMYFUNCTION("""COMPUTED_VALUE"""),"TOBON CARMONA, JACOBO")</f>
        <v>TOBON CARMONA, JACOBO</v>
      </c>
      <c r="D3320" t="str">
        <f>IFERROR(__xludf.DUMMYFUNCTION("""COMPUTED_VALUE"""),"Band 8S2")</f>
        <v>Band 8S2</v>
      </c>
      <c r="E3320" s="31" t="str">
        <f>IFERROR(__xludf.DUMMYFUNCTION("""COMPUTED_VALUE"""),"5b")</f>
        <v>5b</v>
      </c>
      <c r="F3320" s="8">
        <v>1.0</v>
      </c>
      <c r="G3320" s="8">
        <v>1.0</v>
      </c>
      <c r="H3320" s="8">
        <v>1.0</v>
      </c>
      <c r="I3320" s="8">
        <v>1.0</v>
      </c>
      <c r="J3320" s="8">
        <v>1.0</v>
      </c>
      <c r="K3320" s="8">
        <v>1.0</v>
      </c>
      <c r="L3320" s="8">
        <v>6.0</v>
      </c>
      <c r="M3320" s="8"/>
      <c r="N3320" s="8"/>
      <c r="O3320" s="8" t="s">
        <v>856</v>
      </c>
      <c r="P3320" s="8" t="e">
        <v>#N/A</v>
      </c>
    </row>
    <row r="3321">
      <c r="A3321">
        <f>IFERROR(__xludf.DUMMYFUNCTION("""COMPUTED_VALUE"""),8.0)</f>
        <v>8</v>
      </c>
      <c r="B3321">
        <f>IFERROR(__xludf.DUMMYFUNCTION("""COMPUTED_VALUE"""),29117.0)</f>
        <v>29117</v>
      </c>
      <c r="C3321" t="str">
        <f>IFERROR(__xludf.DUMMYFUNCTION("""COMPUTED_VALUE"""),"TOBON GONZALEZ, FLORENCIA")</f>
        <v>TOBON GONZALEZ, FLORENCIA</v>
      </c>
      <c r="D3321" t="str">
        <f>IFERROR(__xludf.DUMMYFUNCTION("""COMPUTED_VALUE"""),"Band 8S2")</f>
        <v>Band 8S2</v>
      </c>
      <c r="E3321" s="31" t="str">
        <f>IFERROR(__xludf.DUMMYFUNCTION("""COMPUTED_VALUE"""),"6b")</f>
        <v>6b</v>
      </c>
      <c r="F3321" s="8">
        <v>1.0</v>
      </c>
      <c r="G3321" s="8">
        <v>1.0</v>
      </c>
      <c r="H3321" s="8">
        <v>1.0</v>
      </c>
      <c r="I3321" s="8">
        <v>1.0</v>
      </c>
      <c r="J3321" s="8">
        <v>1.0</v>
      </c>
      <c r="K3321" s="8">
        <v>1.0</v>
      </c>
      <c r="L3321" s="8">
        <v>6.0</v>
      </c>
      <c r="M3321" s="8"/>
      <c r="N3321" s="8"/>
      <c r="O3321" s="8" t="s">
        <v>854</v>
      </c>
      <c r="P3321" s="8" t="e">
        <v>#N/A</v>
      </c>
    </row>
    <row r="3322">
      <c r="A3322">
        <f>IFERROR(__xludf.DUMMYFUNCTION("""COMPUTED_VALUE"""),8.0)</f>
        <v>8</v>
      </c>
      <c r="B3322">
        <f>IFERROR(__xludf.DUMMYFUNCTION("""COMPUTED_VALUE"""),29118.0)</f>
        <v>29118</v>
      </c>
      <c r="C3322" t="str">
        <f>IFERROR(__xludf.DUMMYFUNCTION("""COMPUTED_VALUE"""),"TRUJILLO RUIZ, SAMUEL")</f>
        <v>TRUJILLO RUIZ, SAMUEL</v>
      </c>
      <c r="D3322" t="str">
        <f>IFERROR(__xludf.DUMMYFUNCTION("""COMPUTED_VALUE"""),"Band 8S2")</f>
        <v>Band 8S2</v>
      </c>
      <c r="E3322" s="31" t="str">
        <f>IFERROR(__xludf.DUMMYFUNCTION("""COMPUTED_VALUE"""),"1b")</f>
        <v>1b</v>
      </c>
      <c r="F3322" s="8">
        <v>1.0</v>
      </c>
      <c r="G3322" s="8">
        <v>1.0</v>
      </c>
      <c r="H3322" s="8">
        <v>1.0</v>
      </c>
      <c r="I3322" s="8">
        <v>1.0</v>
      </c>
      <c r="J3322" s="8">
        <v>1.0</v>
      </c>
      <c r="K3322" s="8">
        <v>1.0</v>
      </c>
      <c r="L3322" s="8">
        <v>6.0</v>
      </c>
      <c r="M3322" s="8"/>
      <c r="N3322" s="8"/>
      <c r="O3322" s="8" t="s">
        <v>852</v>
      </c>
      <c r="P3322" s="8" t="e">
        <v>#N/A</v>
      </c>
    </row>
    <row r="3323">
      <c r="A3323">
        <f>IFERROR(__xludf.DUMMYFUNCTION("""COMPUTED_VALUE"""),8.0)</f>
        <v>8</v>
      </c>
      <c r="B3323">
        <f>IFERROR(__xludf.DUMMYFUNCTION("""COMPUTED_VALUE"""),29119.0)</f>
        <v>29119</v>
      </c>
      <c r="C3323" t="str">
        <f>IFERROR(__xludf.DUMMYFUNCTION("""COMPUTED_VALUE"""),"TRUJILLO RUIZ, SARA")</f>
        <v>TRUJILLO RUIZ, SARA</v>
      </c>
      <c r="D3323" t="str">
        <f>IFERROR(__xludf.DUMMYFUNCTION("""COMPUTED_VALUE"""),"Band 8S2")</f>
        <v>Band 8S2</v>
      </c>
      <c r="E3323" s="31" t="str">
        <f>IFERROR(__xludf.DUMMYFUNCTION("""COMPUTED_VALUE"""),"2a")</f>
        <v>2a</v>
      </c>
      <c r="F3323" s="8">
        <v>1.0</v>
      </c>
      <c r="G3323" s="8">
        <v>1.0</v>
      </c>
      <c r="H3323" s="8">
        <v>1.0</v>
      </c>
      <c r="I3323" s="8">
        <v>1.0</v>
      </c>
      <c r="J3323" s="8">
        <v>1.0</v>
      </c>
      <c r="K3323" s="8">
        <v>1.0</v>
      </c>
      <c r="L3323" s="8">
        <v>6.0</v>
      </c>
      <c r="M3323" s="8"/>
      <c r="N3323" s="8"/>
      <c r="O3323" s="8" t="s">
        <v>855</v>
      </c>
      <c r="P3323" s="8" t="e">
        <v>#N/A</v>
      </c>
    </row>
    <row r="3324">
      <c r="A3324">
        <f>IFERROR(__xludf.DUMMYFUNCTION("""COMPUTED_VALUE"""),8.0)</f>
        <v>8</v>
      </c>
      <c r="B3324">
        <f>IFERROR(__xludf.DUMMYFUNCTION("""COMPUTED_VALUE"""),29092.0)</f>
        <v>29092</v>
      </c>
      <c r="C3324" t="str">
        <f>IFERROR(__xludf.DUMMYFUNCTION("""COMPUTED_VALUE"""),"TURIZZO BORRERO, CAMILO ANDRES")</f>
        <v>TURIZZO BORRERO, CAMILO ANDRES</v>
      </c>
      <c r="D3324" t="str">
        <f>IFERROR(__xludf.DUMMYFUNCTION("""COMPUTED_VALUE"""),"Band 8S2")</f>
        <v>Band 8S2</v>
      </c>
      <c r="E3324" s="31" t="str">
        <f>IFERROR(__xludf.DUMMYFUNCTION("""COMPUTED_VALUE"""),"2a")</f>
        <v>2a</v>
      </c>
      <c r="F3324" s="8">
        <v>1.0</v>
      </c>
      <c r="G3324" s="8">
        <v>1.0</v>
      </c>
      <c r="H3324" s="8">
        <v>1.0</v>
      </c>
      <c r="I3324" s="8">
        <v>1.0</v>
      </c>
      <c r="J3324" s="8">
        <v>1.0</v>
      </c>
      <c r="K3324" s="8">
        <v>1.0</v>
      </c>
      <c r="L3324" s="8">
        <v>6.0</v>
      </c>
      <c r="M3324" s="8"/>
      <c r="N3324" s="8"/>
      <c r="O3324" s="8" t="s">
        <v>855</v>
      </c>
      <c r="P3324" s="8" t="e">
        <v>#N/A</v>
      </c>
    </row>
    <row r="3325">
      <c r="A3325">
        <f>IFERROR(__xludf.DUMMYFUNCTION("""COMPUTED_VALUE"""),8.0)</f>
        <v>8</v>
      </c>
      <c r="B3325">
        <f>IFERROR(__xludf.DUMMYFUNCTION("""COMPUTED_VALUE"""),29120.0)</f>
        <v>29120</v>
      </c>
      <c r="C3325" t="str">
        <f>IFERROR(__xludf.DUMMYFUNCTION("""COMPUTED_VALUE"""),"URIBE JARAMILLO, PEDRO JUAN")</f>
        <v>URIBE JARAMILLO, PEDRO JUAN</v>
      </c>
      <c r="D3325" t="str">
        <f>IFERROR(__xludf.DUMMYFUNCTION("""COMPUTED_VALUE"""),"Band 8S2")</f>
        <v>Band 8S2</v>
      </c>
      <c r="E3325" s="31" t="str">
        <f>IFERROR(__xludf.DUMMYFUNCTION("""COMPUTED_VALUE"""),"5b")</f>
        <v>5b</v>
      </c>
      <c r="F3325" s="8">
        <v>1.0</v>
      </c>
      <c r="G3325" s="8">
        <v>1.0</v>
      </c>
      <c r="H3325" s="8">
        <v>1.0</v>
      </c>
      <c r="I3325" s="8">
        <v>1.0</v>
      </c>
      <c r="J3325" s="8">
        <v>1.0</v>
      </c>
      <c r="K3325" s="8">
        <v>1.0</v>
      </c>
      <c r="L3325" s="8">
        <v>6.0</v>
      </c>
      <c r="M3325" s="8"/>
      <c r="N3325" s="8"/>
      <c r="O3325" s="8" t="s">
        <v>856</v>
      </c>
      <c r="P3325" s="8" t="e">
        <v>#N/A</v>
      </c>
    </row>
    <row r="3326">
      <c r="A3326">
        <f>IFERROR(__xludf.DUMMYFUNCTION("""COMPUTED_VALUE"""),8.0)</f>
        <v>8</v>
      </c>
      <c r="B3326">
        <f>IFERROR(__xludf.DUMMYFUNCTION("""COMPUTED_VALUE"""),29122.0)</f>
        <v>29122</v>
      </c>
      <c r="C3326" t="str">
        <f>IFERROR(__xludf.DUMMYFUNCTION("""COMPUTED_VALUE"""),"URIBE RODRIGUEZ, MARIA LUISA")</f>
        <v>URIBE RODRIGUEZ, MARIA LUISA</v>
      </c>
      <c r="D3326" t="str">
        <f>IFERROR(__xludf.DUMMYFUNCTION("""COMPUTED_VALUE"""),"Art 8S2")</f>
        <v>Art 8S2</v>
      </c>
      <c r="E3326" s="31" t="str">
        <f>IFERROR(__xludf.DUMMYFUNCTION("""COMPUTED_VALUE"""),"5a")</f>
        <v>5a</v>
      </c>
      <c r="F3326" s="8">
        <v>1.0</v>
      </c>
      <c r="G3326" s="8">
        <v>1.0</v>
      </c>
      <c r="H3326" s="8">
        <v>1.0</v>
      </c>
      <c r="I3326" s="8">
        <v>1.0</v>
      </c>
      <c r="J3326" s="8">
        <v>1.0</v>
      </c>
      <c r="K3326" s="8">
        <v>1.0</v>
      </c>
      <c r="L3326" s="8">
        <v>6.0</v>
      </c>
      <c r="M3326" s="8"/>
      <c r="N3326" s="8"/>
      <c r="O3326" s="8" t="s">
        <v>853</v>
      </c>
      <c r="P3326" s="8" t="e">
        <v>#N/A</v>
      </c>
    </row>
    <row r="3327">
      <c r="A3327">
        <f>IFERROR(__xludf.DUMMYFUNCTION("""COMPUTED_VALUE"""),8.0)</f>
        <v>8</v>
      </c>
      <c r="B3327">
        <f>IFERROR(__xludf.DUMMYFUNCTION("""COMPUTED_VALUE"""),29123.0)</f>
        <v>29123</v>
      </c>
      <c r="C3327" t="str">
        <f>IFERROR(__xludf.DUMMYFUNCTION("""COMPUTED_VALUE"""),"URRETA HENAO, OLIVIA")</f>
        <v>URRETA HENAO, OLIVIA</v>
      </c>
      <c r="D3327" t="str">
        <f>IFERROR(__xludf.DUMMYFUNCTION("""COMPUTED_VALUE"""),"Band 8S2")</f>
        <v>Band 8S2</v>
      </c>
      <c r="E3327" s="31" t="str">
        <f>IFERROR(__xludf.DUMMYFUNCTION("""COMPUTED_VALUE"""),"1b")</f>
        <v>1b</v>
      </c>
      <c r="F3327" s="8">
        <v>1.0</v>
      </c>
      <c r="G3327" s="8">
        <v>1.0</v>
      </c>
      <c r="H3327" s="8">
        <v>1.0</v>
      </c>
      <c r="I3327" s="8">
        <v>1.0</v>
      </c>
      <c r="J3327" s="8">
        <v>1.0</v>
      </c>
      <c r="K3327" s="8">
        <v>1.0</v>
      </c>
      <c r="L3327" s="8">
        <v>6.0</v>
      </c>
      <c r="M3327" s="8"/>
      <c r="N3327" s="8"/>
      <c r="O3327" s="8" t="s">
        <v>852</v>
      </c>
      <c r="P3327" s="8" t="e">
        <v>#N/A</v>
      </c>
    </row>
    <row r="3328">
      <c r="A3328">
        <f>IFERROR(__xludf.DUMMYFUNCTION("""COMPUTED_VALUE"""),8.0)</f>
        <v>8</v>
      </c>
      <c r="B3328">
        <f>IFERROR(__xludf.DUMMYFUNCTION("""COMPUTED_VALUE"""),29124.0)</f>
        <v>29124</v>
      </c>
      <c r="C3328" t="str">
        <f>IFERROR(__xludf.DUMMYFUNCTION("""COMPUTED_VALUE"""),"VALLEJO HOYOS, JUAN")</f>
        <v>VALLEJO HOYOS, JUAN</v>
      </c>
      <c r="D3328" t="str">
        <f>IFERROR(__xludf.DUMMYFUNCTION("""COMPUTED_VALUE"""),"Art 8S2")</f>
        <v>Art 8S2</v>
      </c>
      <c r="E3328" s="31" t="str">
        <f>IFERROR(__xludf.DUMMYFUNCTION("""COMPUTED_VALUE"""),"4b")</f>
        <v>4b</v>
      </c>
      <c r="F3328" s="8">
        <v>1.0</v>
      </c>
      <c r="G3328" s="8">
        <v>1.0</v>
      </c>
      <c r="H3328" s="8">
        <v>1.0</v>
      </c>
      <c r="I3328" s="8">
        <v>1.0</v>
      </c>
      <c r="J3328" s="8">
        <v>1.0</v>
      </c>
      <c r="K3328" s="8">
        <v>1.0</v>
      </c>
      <c r="L3328" s="8">
        <v>6.0</v>
      </c>
      <c r="M3328" s="8"/>
      <c r="N3328" s="8"/>
      <c r="O3328" s="8" t="s">
        <v>851</v>
      </c>
      <c r="P3328" s="8" t="e">
        <v>#N/A</v>
      </c>
    </row>
    <row r="3329">
      <c r="A3329">
        <f>IFERROR(__xludf.DUMMYFUNCTION("""COMPUTED_VALUE"""),8.0)</f>
        <v>8</v>
      </c>
      <c r="B3329">
        <f>IFERROR(__xludf.DUMMYFUNCTION("""COMPUTED_VALUE"""),29125.0)</f>
        <v>29125</v>
      </c>
      <c r="C3329" t="str">
        <f>IFERROR(__xludf.DUMMYFUNCTION("""COMPUTED_VALUE"""),"VALLEJO LONDOÑO, TOMAS")</f>
        <v>VALLEJO LONDOÑO, TOMAS</v>
      </c>
      <c r="D3329" t="str">
        <f>IFERROR(__xludf.DUMMYFUNCTION("""COMPUTED_VALUE"""),"Band 8S2")</f>
        <v>Band 8S2</v>
      </c>
      <c r="E3329" s="31" t="str">
        <f>IFERROR(__xludf.DUMMYFUNCTION("""COMPUTED_VALUE"""),"2a")</f>
        <v>2a</v>
      </c>
      <c r="F3329" s="8">
        <v>1.0</v>
      </c>
      <c r="G3329" s="8">
        <v>1.0</v>
      </c>
      <c r="H3329" s="8">
        <v>1.0</v>
      </c>
      <c r="I3329" s="8">
        <v>1.0</v>
      </c>
      <c r="J3329" s="8">
        <v>1.0</v>
      </c>
      <c r="K3329" s="8">
        <v>1.0</v>
      </c>
      <c r="L3329" s="8">
        <v>6.0</v>
      </c>
      <c r="M3329" s="8"/>
      <c r="N3329" s="8"/>
      <c r="O3329" s="8" t="s">
        <v>855</v>
      </c>
      <c r="P3329" s="8" t="e">
        <v>#N/A</v>
      </c>
    </row>
    <row r="3330">
      <c r="A3330">
        <f>IFERROR(__xludf.DUMMYFUNCTION("""COMPUTED_VALUE"""),8.0)</f>
        <v>8</v>
      </c>
      <c r="B3330">
        <f>IFERROR(__xludf.DUMMYFUNCTION("""COMPUTED_VALUE"""),29126.0)</f>
        <v>29126</v>
      </c>
      <c r="C3330" t="str">
        <f>IFERROR(__xludf.DUMMYFUNCTION("""COMPUTED_VALUE"""),"VASQUEZ ANGEL, JUANITA")</f>
        <v>VASQUEZ ANGEL, JUANITA</v>
      </c>
      <c r="D3330" t="str">
        <f>IFERROR(__xludf.DUMMYFUNCTION("""COMPUTED_VALUE"""),"Tech 8S2")</f>
        <v>Tech 8S2</v>
      </c>
      <c r="E3330" s="31" t="str">
        <f>IFERROR(__xludf.DUMMYFUNCTION("""COMPUTED_VALUE"""),"5a")</f>
        <v>5a</v>
      </c>
      <c r="F3330" s="8">
        <v>1.0</v>
      </c>
      <c r="G3330" s="8">
        <v>1.0</v>
      </c>
      <c r="H3330" s="8">
        <v>1.0</v>
      </c>
      <c r="I3330" s="8">
        <v>1.0</v>
      </c>
      <c r="J3330" s="8">
        <v>1.0</v>
      </c>
      <c r="K3330" s="8">
        <v>1.0</v>
      </c>
      <c r="L3330" s="8">
        <v>6.0</v>
      </c>
      <c r="M3330" s="8"/>
      <c r="N3330" s="8"/>
      <c r="O3330" s="8" t="s">
        <v>857</v>
      </c>
      <c r="P3330" s="8" t="e">
        <v>#N/A</v>
      </c>
    </row>
    <row r="3331">
      <c r="A3331">
        <f>IFERROR(__xludf.DUMMYFUNCTION("""COMPUTED_VALUE"""),8.0)</f>
        <v>8</v>
      </c>
      <c r="B3331">
        <f>IFERROR(__xludf.DUMMYFUNCTION("""COMPUTED_VALUE"""),29145.0)</f>
        <v>29145</v>
      </c>
      <c r="C3331" t="str">
        <f>IFERROR(__xludf.DUMMYFUNCTION("""COMPUTED_VALUE"""),"VELASQUEZ GUTIERREZ, SAMUEL")</f>
        <v>VELASQUEZ GUTIERREZ, SAMUEL</v>
      </c>
      <c r="D3331" t="str">
        <f>IFERROR(__xludf.DUMMYFUNCTION("""COMPUTED_VALUE"""),"Band 8S2")</f>
        <v>Band 8S2</v>
      </c>
      <c r="E3331" s="31" t="str">
        <f>IFERROR(__xludf.DUMMYFUNCTION("""COMPUTED_VALUE"""),"5b")</f>
        <v>5b</v>
      </c>
      <c r="F3331" s="8">
        <v>1.0</v>
      </c>
      <c r="G3331" s="8">
        <v>1.0</v>
      </c>
      <c r="H3331" s="8">
        <v>1.0</v>
      </c>
      <c r="I3331" s="8">
        <v>1.0</v>
      </c>
      <c r="J3331" s="8">
        <v>1.0</v>
      </c>
      <c r="K3331" s="8">
        <v>1.0</v>
      </c>
      <c r="L3331" s="8">
        <v>6.0</v>
      </c>
      <c r="M3331" s="8"/>
      <c r="N3331" s="8"/>
      <c r="O3331" s="8" t="s">
        <v>856</v>
      </c>
      <c r="P3331" s="8" t="e">
        <v>#N/A</v>
      </c>
    </row>
    <row r="3332">
      <c r="A3332">
        <f>IFERROR(__xludf.DUMMYFUNCTION("""COMPUTED_VALUE"""),8.0)</f>
        <v>8</v>
      </c>
      <c r="B3332">
        <f>IFERROR(__xludf.DUMMYFUNCTION("""COMPUTED_VALUE"""),29128.0)</f>
        <v>29128</v>
      </c>
      <c r="C3332" t="str">
        <f>IFERROR(__xludf.DUMMYFUNCTION("""COMPUTED_VALUE"""),"VELASQUEZ JARAMILLO, MARIA")</f>
        <v>VELASQUEZ JARAMILLO, MARIA</v>
      </c>
      <c r="D3332" t="str">
        <f>IFERROR(__xludf.DUMMYFUNCTION("""COMPUTED_VALUE"""),"Band 8S2")</f>
        <v>Band 8S2</v>
      </c>
      <c r="E3332" s="31" t="str">
        <f>IFERROR(__xludf.DUMMYFUNCTION("""COMPUTED_VALUE"""),"5b")</f>
        <v>5b</v>
      </c>
      <c r="F3332" s="8">
        <v>1.0</v>
      </c>
      <c r="G3332" s="8">
        <v>1.0</v>
      </c>
      <c r="H3332" s="8">
        <v>1.0</v>
      </c>
      <c r="I3332" s="8">
        <v>1.0</v>
      </c>
      <c r="J3332" s="8">
        <v>1.0</v>
      </c>
      <c r="K3332" s="8">
        <v>1.0</v>
      </c>
      <c r="L3332" s="8">
        <v>6.0</v>
      </c>
      <c r="M3332" s="8"/>
      <c r="N3332" s="8"/>
      <c r="O3332" s="8" t="s">
        <v>856</v>
      </c>
      <c r="P3332" s="8" t="e">
        <v>#N/A</v>
      </c>
    </row>
    <row r="3333">
      <c r="A3333">
        <f>IFERROR(__xludf.DUMMYFUNCTION("""COMPUTED_VALUE"""),8.0)</f>
        <v>8</v>
      </c>
      <c r="B3333">
        <f>IFERROR(__xludf.DUMMYFUNCTION("""COMPUTED_VALUE"""),29129.0)</f>
        <v>29129</v>
      </c>
      <c r="C3333" t="str">
        <f>IFERROR(__xludf.DUMMYFUNCTION("""COMPUTED_VALUE"""),"VELEZ RESTREPO, SIMON")</f>
        <v>VELEZ RESTREPO, SIMON</v>
      </c>
      <c r="D3333" t="str">
        <f>IFERROR(__xludf.DUMMYFUNCTION("""COMPUTED_VALUE"""),"Tech 8S2")</f>
        <v>Tech 8S2</v>
      </c>
      <c r="E3333" s="31" t="str">
        <f>IFERROR(__xludf.DUMMYFUNCTION("""COMPUTED_VALUE"""),"5a")</f>
        <v>5a</v>
      </c>
      <c r="F3333" s="8">
        <v>1.0</v>
      </c>
      <c r="G3333" s="8">
        <v>1.0</v>
      </c>
      <c r="H3333" s="8">
        <v>1.0</v>
      </c>
      <c r="I3333" s="8">
        <v>1.0</v>
      </c>
      <c r="J3333" s="8">
        <v>1.0</v>
      </c>
      <c r="K3333" s="8">
        <v>1.0</v>
      </c>
      <c r="L3333" s="8">
        <v>6.0</v>
      </c>
      <c r="M3333" s="8"/>
      <c r="N3333" s="8"/>
      <c r="O3333" s="8" t="s">
        <v>857</v>
      </c>
      <c r="P3333" s="8" t="e">
        <v>#N/A</v>
      </c>
    </row>
    <row r="3334">
      <c r="A3334">
        <f>IFERROR(__xludf.DUMMYFUNCTION("""COMPUTED_VALUE"""),8.0)</f>
        <v>8</v>
      </c>
      <c r="B3334">
        <f>IFERROR(__xludf.DUMMYFUNCTION("""COMPUTED_VALUE"""),29131.0)</f>
        <v>29131</v>
      </c>
      <c r="C3334" t="str">
        <f>IFERROR(__xludf.DUMMYFUNCTION("""COMPUTED_VALUE"""),"VILLEGAS HINCAPIE, CANDELARIA")</f>
        <v>VILLEGAS HINCAPIE, CANDELARIA</v>
      </c>
      <c r="D3334" t="str">
        <f>IFERROR(__xludf.DUMMYFUNCTION("""COMPUTED_VALUE"""),"Art 8S2")</f>
        <v>Art 8S2</v>
      </c>
      <c r="E3334" s="31" t="str">
        <f>IFERROR(__xludf.DUMMYFUNCTION("""COMPUTED_VALUE"""),"4b")</f>
        <v>4b</v>
      </c>
      <c r="F3334" s="8">
        <v>1.0</v>
      </c>
      <c r="G3334" s="8">
        <v>1.0</v>
      </c>
      <c r="H3334" s="8">
        <v>1.0</v>
      </c>
      <c r="I3334" s="8">
        <v>1.0</v>
      </c>
      <c r="J3334" s="8">
        <v>1.0</v>
      </c>
      <c r="K3334" s="8">
        <v>1.0</v>
      </c>
      <c r="L3334" s="8">
        <v>6.0</v>
      </c>
      <c r="M3334" s="8"/>
      <c r="N3334" s="8"/>
      <c r="O3334" s="8" t="s">
        <v>851</v>
      </c>
      <c r="P3334" s="8" t="e">
        <v>#N/A</v>
      </c>
    </row>
    <row r="3335">
      <c r="A3335">
        <f>IFERROR(__xludf.DUMMYFUNCTION("""COMPUTED_VALUE"""),8.0)</f>
        <v>8</v>
      </c>
      <c r="B3335">
        <f>IFERROR(__xludf.DUMMYFUNCTION("""COMPUTED_VALUE"""),29132.0)</f>
        <v>29132</v>
      </c>
      <c r="C3335" t="str">
        <f>IFERROR(__xludf.DUMMYFUNCTION("""COMPUTED_VALUE"""),"VILLEGAS MEJIA, SIMON")</f>
        <v>VILLEGAS MEJIA, SIMON</v>
      </c>
      <c r="D3335" t="str">
        <f>IFERROR(__xludf.DUMMYFUNCTION("""COMPUTED_VALUE"""),"Band 8S2")</f>
        <v>Band 8S2</v>
      </c>
      <c r="E3335" s="31" t="str">
        <f>IFERROR(__xludf.DUMMYFUNCTION("""COMPUTED_VALUE"""),"1b")</f>
        <v>1b</v>
      </c>
      <c r="F3335" s="8">
        <v>1.0</v>
      </c>
      <c r="G3335" s="8">
        <v>1.0</v>
      </c>
      <c r="H3335" s="8">
        <v>1.0</v>
      </c>
      <c r="I3335" s="8">
        <v>1.0</v>
      </c>
      <c r="J3335" s="8">
        <v>1.0</v>
      </c>
      <c r="K3335" s="8">
        <v>1.0</v>
      </c>
      <c r="L3335" s="8">
        <v>6.0</v>
      </c>
      <c r="M3335" s="8"/>
      <c r="N3335" s="8"/>
      <c r="O3335" s="8" t="s">
        <v>852</v>
      </c>
      <c r="P3335" s="8" t="e">
        <v>#N/A</v>
      </c>
    </row>
    <row r="3336">
      <c r="A3336">
        <f>IFERROR(__xludf.DUMMYFUNCTION("""COMPUTED_VALUE"""),8.0)</f>
        <v>8</v>
      </c>
      <c r="B3336">
        <f>IFERROR(__xludf.DUMMYFUNCTION("""COMPUTED_VALUE"""),29133.0)</f>
        <v>29133</v>
      </c>
      <c r="C3336" t="str">
        <f>IFERROR(__xludf.DUMMYFUNCTION("""COMPUTED_VALUE"""),"ZAPATA URIBE, RAFAEL")</f>
        <v>ZAPATA URIBE, RAFAEL</v>
      </c>
      <c r="D3336" t="str">
        <f>IFERROR(__xludf.DUMMYFUNCTION("""COMPUTED_VALUE"""),"Band 8S2")</f>
        <v>Band 8S2</v>
      </c>
      <c r="E3336" s="31" t="str">
        <f>IFERROR(__xludf.DUMMYFUNCTION("""COMPUTED_VALUE"""),"6b")</f>
        <v>6b</v>
      </c>
      <c r="F3336" s="8">
        <v>1.0</v>
      </c>
      <c r="G3336" s="8">
        <v>1.0</v>
      </c>
      <c r="H3336" s="8">
        <v>1.0</v>
      </c>
      <c r="I3336" s="8">
        <v>1.0</v>
      </c>
      <c r="J3336" s="8">
        <v>1.0</v>
      </c>
      <c r="K3336" s="8">
        <v>1.0</v>
      </c>
      <c r="L3336" s="8">
        <v>6.0</v>
      </c>
      <c r="M3336" s="8"/>
      <c r="N3336" s="8"/>
      <c r="O3336" s="8" t="s">
        <v>854</v>
      </c>
      <c r="P3336" s="8" t="e">
        <v>#N/A</v>
      </c>
    </row>
    <row r="3337">
      <c r="A3337">
        <f>IFERROR(__xludf.DUMMYFUNCTION("""COMPUTED_VALUE"""),8.0)</f>
        <v>8</v>
      </c>
      <c r="B3337">
        <f>IFERROR(__xludf.DUMMYFUNCTION("""COMPUTED_VALUE"""),27128.0)</f>
        <v>27128</v>
      </c>
      <c r="C3337" t="str">
        <f>IFERROR(__xludf.DUMMYFUNCTION("""COMPUTED_VALUE"""),"ZULUAGA CHAVEZ, ISAIAS")</f>
        <v>ZULUAGA CHAVEZ, ISAIAS</v>
      </c>
      <c r="D3337" t="str">
        <f>IFERROR(__xludf.DUMMYFUNCTION("""COMPUTED_VALUE"""),"Band 8S2")</f>
        <v>Band 8S2</v>
      </c>
      <c r="E3337" s="31" t="str">
        <f>IFERROR(__xludf.DUMMYFUNCTION("""COMPUTED_VALUE"""),"5b")</f>
        <v>5b</v>
      </c>
      <c r="F3337" s="8">
        <v>1.0</v>
      </c>
      <c r="G3337" s="8">
        <v>1.0</v>
      </c>
      <c r="H3337" s="8">
        <v>1.0</v>
      </c>
      <c r="I3337" s="8">
        <v>1.0</v>
      </c>
      <c r="J3337" s="8">
        <v>1.0</v>
      </c>
      <c r="K3337" s="8">
        <v>1.0</v>
      </c>
      <c r="L3337" s="8">
        <v>6.0</v>
      </c>
      <c r="M3337" s="8"/>
      <c r="N3337" s="8"/>
      <c r="O3337" s="8" t="s">
        <v>856</v>
      </c>
      <c r="P3337" s="8" t="e">
        <v>#N/A</v>
      </c>
    </row>
    <row r="3338">
      <c r="E3338" s="31"/>
      <c r="F3338" s="8" t="s">
        <v>8</v>
      </c>
      <c r="G3338" s="8" t="s">
        <v>8</v>
      </c>
      <c r="H3338" s="8" t="s">
        <v>8</v>
      </c>
      <c r="I3338" s="8" t="s">
        <v>8</v>
      </c>
      <c r="J3338" s="8" t="s">
        <v>8</v>
      </c>
      <c r="K3338" s="8" t="s">
        <v>8</v>
      </c>
      <c r="L3338" s="8" t="s">
        <v>8</v>
      </c>
      <c r="M3338" s="8"/>
      <c r="N3338" s="8"/>
      <c r="O3338" s="8" t="s">
        <v>8</v>
      </c>
      <c r="P3338" s="8" t="s">
        <v>8</v>
      </c>
    </row>
    <row r="3339">
      <c r="E3339" s="31"/>
      <c r="F3339" s="8" t="s">
        <v>8</v>
      </c>
      <c r="G3339" s="8" t="s">
        <v>8</v>
      </c>
      <c r="H3339" s="8" t="s">
        <v>8</v>
      </c>
      <c r="I3339" s="8" t="s">
        <v>8</v>
      </c>
      <c r="J3339" s="8" t="s">
        <v>8</v>
      </c>
      <c r="K3339" s="8" t="s">
        <v>8</v>
      </c>
      <c r="L3339" s="8" t="s">
        <v>8</v>
      </c>
      <c r="M3339" s="8"/>
      <c r="N3339" s="8"/>
      <c r="O3339" s="8" t="s">
        <v>8</v>
      </c>
      <c r="P3339" s="8" t="s">
        <v>8</v>
      </c>
    </row>
    <row r="3340">
      <c r="E3340" s="31"/>
      <c r="F3340" s="8" t="s">
        <v>8</v>
      </c>
      <c r="G3340" s="8" t="s">
        <v>8</v>
      </c>
      <c r="H3340" s="8" t="s">
        <v>8</v>
      </c>
      <c r="I3340" s="8" t="s">
        <v>8</v>
      </c>
      <c r="J3340" s="8" t="s">
        <v>8</v>
      </c>
      <c r="K3340" s="8" t="s">
        <v>8</v>
      </c>
      <c r="L3340" s="8" t="s">
        <v>8</v>
      </c>
      <c r="M3340" s="8"/>
      <c r="N3340" s="8"/>
      <c r="O3340" s="8" t="s">
        <v>8</v>
      </c>
      <c r="P3340" s="8" t="s">
        <v>8</v>
      </c>
    </row>
    <row r="3341">
      <c r="E3341" s="31"/>
      <c r="F3341" s="8" t="s">
        <v>8</v>
      </c>
      <c r="G3341" s="8" t="s">
        <v>8</v>
      </c>
      <c r="H3341" s="8" t="s">
        <v>8</v>
      </c>
      <c r="I3341" s="8" t="s">
        <v>8</v>
      </c>
      <c r="J3341" s="8" t="s">
        <v>8</v>
      </c>
      <c r="K3341" s="8" t="s">
        <v>8</v>
      </c>
      <c r="L3341" s="8" t="s">
        <v>8</v>
      </c>
      <c r="M3341" s="8"/>
      <c r="N3341" s="8"/>
      <c r="O3341" s="8" t="s">
        <v>8</v>
      </c>
      <c r="P3341" s="8" t="s">
        <v>8</v>
      </c>
    </row>
    <row r="3342">
      <c r="E3342" s="31"/>
      <c r="F3342" s="8" t="s">
        <v>8</v>
      </c>
      <c r="G3342" s="8" t="s">
        <v>8</v>
      </c>
      <c r="H3342" s="8" t="s">
        <v>8</v>
      </c>
      <c r="I3342" s="8" t="s">
        <v>8</v>
      </c>
      <c r="J3342" s="8" t="s">
        <v>8</v>
      </c>
      <c r="K3342" s="8" t="s">
        <v>8</v>
      </c>
      <c r="L3342" s="8" t="s">
        <v>8</v>
      </c>
      <c r="M3342" s="8"/>
      <c r="N3342" s="8"/>
      <c r="O3342" s="8" t="s">
        <v>8</v>
      </c>
      <c r="P3342" s="8" t="s">
        <v>8</v>
      </c>
    </row>
    <row r="3343">
      <c r="E3343" s="31"/>
      <c r="F3343" s="8" t="s">
        <v>8</v>
      </c>
      <c r="G3343" s="8" t="s">
        <v>8</v>
      </c>
      <c r="H3343" s="8" t="s">
        <v>8</v>
      </c>
      <c r="I3343" s="8" t="s">
        <v>8</v>
      </c>
      <c r="J3343" s="8" t="s">
        <v>8</v>
      </c>
      <c r="K3343" s="8" t="s">
        <v>8</v>
      </c>
      <c r="L3343" s="8" t="s">
        <v>8</v>
      </c>
      <c r="M3343" s="8"/>
      <c r="N3343" s="8"/>
      <c r="O3343" s="8" t="s">
        <v>8</v>
      </c>
      <c r="P3343" s="8" t="s">
        <v>8</v>
      </c>
    </row>
    <row r="3344">
      <c r="E3344" s="31"/>
      <c r="F3344" s="8" t="s">
        <v>8</v>
      </c>
      <c r="G3344" s="8" t="s">
        <v>8</v>
      </c>
      <c r="H3344" s="8" t="s">
        <v>8</v>
      </c>
      <c r="I3344" s="8" t="s">
        <v>8</v>
      </c>
      <c r="J3344" s="8" t="s">
        <v>8</v>
      </c>
      <c r="K3344" s="8" t="s">
        <v>8</v>
      </c>
      <c r="L3344" s="8" t="s">
        <v>8</v>
      </c>
      <c r="M3344" s="8"/>
      <c r="N3344" s="8"/>
      <c r="O3344" s="8" t="s">
        <v>8</v>
      </c>
      <c r="P3344" s="8" t="s">
        <v>8</v>
      </c>
    </row>
    <row r="3345">
      <c r="E3345" s="31"/>
      <c r="F3345" s="8" t="s">
        <v>8</v>
      </c>
      <c r="G3345" s="8" t="s">
        <v>8</v>
      </c>
      <c r="H3345" s="8" t="s">
        <v>8</v>
      </c>
      <c r="I3345" s="8" t="s">
        <v>8</v>
      </c>
      <c r="J3345" s="8" t="s">
        <v>8</v>
      </c>
      <c r="K3345" s="8" t="s">
        <v>8</v>
      </c>
      <c r="L3345" s="8" t="s">
        <v>8</v>
      </c>
      <c r="M3345" s="8"/>
      <c r="N3345" s="8"/>
      <c r="O3345" s="8" t="s">
        <v>8</v>
      </c>
      <c r="P3345" s="8" t="s">
        <v>8</v>
      </c>
    </row>
    <row r="3346">
      <c r="E3346" s="31"/>
      <c r="F3346" s="8" t="s">
        <v>8</v>
      </c>
      <c r="G3346" s="8" t="s">
        <v>8</v>
      </c>
      <c r="H3346" s="8" t="s">
        <v>8</v>
      </c>
      <c r="I3346" s="8" t="s">
        <v>8</v>
      </c>
      <c r="J3346" s="8" t="s">
        <v>8</v>
      </c>
      <c r="K3346" s="8" t="s">
        <v>8</v>
      </c>
      <c r="L3346" s="8" t="s">
        <v>8</v>
      </c>
      <c r="M3346" s="8"/>
      <c r="N3346" s="8"/>
      <c r="O3346" s="8" t="s">
        <v>8</v>
      </c>
      <c r="P3346" s="8" t="s">
        <v>8</v>
      </c>
    </row>
    <row r="3347">
      <c r="E3347" s="31"/>
      <c r="F3347" s="8" t="s">
        <v>8</v>
      </c>
      <c r="G3347" s="8" t="s">
        <v>8</v>
      </c>
      <c r="H3347" s="8" t="s">
        <v>8</v>
      </c>
      <c r="I3347" s="8" t="s">
        <v>8</v>
      </c>
      <c r="J3347" s="8" t="s">
        <v>8</v>
      </c>
      <c r="K3347" s="8" t="s">
        <v>8</v>
      </c>
      <c r="L3347" s="8" t="s">
        <v>8</v>
      </c>
      <c r="M3347" s="8"/>
      <c r="N3347" s="8"/>
      <c r="O3347" s="8" t="s">
        <v>8</v>
      </c>
      <c r="P3347" s="8" t="s">
        <v>8</v>
      </c>
    </row>
    <row r="3348">
      <c r="E3348" s="31"/>
      <c r="F3348" s="8" t="s">
        <v>8</v>
      </c>
      <c r="G3348" s="8" t="s">
        <v>8</v>
      </c>
      <c r="H3348" s="8" t="s">
        <v>8</v>
      </c>
      <c r="I3348" s="8" t="s">
        <v>8</v>
      </c>
      <c r="J3348" s="8" t="s">
        <v>8</v>
      </c>
      <c r="K3348" s="8" t="s">
        <v>8</v>
      </c>
      <c r="L3348" s="8" t="s">
        <v>8</v>
      </c>
      <c r="M3348" s="8"/>
      <c r="N3348" s="8"/>
      <c r="O3348" s="8" t="s">
        <v>8</v>
      </c>
      <c r="P3348" s="8" t="s">
        <v>8</v>
      </c>
    </row>
    <row r="3349">
      <c r="E3349" s="31"/>
      <c r="F3349" s="8" t="s">
        <v>8</v>
      </c>
      <c r="G3349" s="8" t="s">
        <v>8</v>
      </c>
      <c r="H3349" s="8" t="s">
        <v>8</v>
      </c>
      <c r="I3349" s="8" t="s">
        <v>8</v>
      </c>
      <c r="J3349" s="8" t="s">
        <v>8</v>
      </c>
      <c r="K3349" s="8" t="s">
        <v>8</v>
      </c>
      <c r="L3349" s="8" t="s">
        <v>8</v>
      </c>
      <c r="M3349" s="8"/>
      <c r="N3349" s="8"/>
      <c r="O3349" s="8" t="s">
        <v>8</v>
      </c>
      <c r="P3349" s="8" t="s">
        <v>8</v>
      </c>
    </row>
    <row r="3350">
      <c r="E3350" s="31"/>
      <c r="F3350" s="8" t="s">
        <v>8</v>
      </c>
      <c r="G3350" s="8" t="s">
        <v>8</v>
      </c>
      <c r="H3350" s="8" t="s">
        <v>8</v>
      </c>
      <c r="I3350" s="8" t="s">
        <v>8</v>
      </c>
      <c r="J3350" s="8" t="s">
        <v>8</v>
      </c>
      <c r="K3350" s="8" t="s">
        <v>8</v>
      </c>
      <c r="L3350" s="8" t="s">
        <v>8</v>
      </c>
      <c r="M3350" s="8"/>
      <c r="N3350" s="8"/>
      <c r="O3350" s="8" t="s">
        <v>8</v>
      </c>
      <c r="P3350" s="8" t="s">
        <v>8</v>
      </c>
    </row>
    <row r="3351">
      <c r="E3351" s="31"/>
      <c r="F3351" s="8" t="s">
        <v>8</v>
      </c>
      <c r="G3351" s="8" t="s">
        <v>8</v>
      </c>
      <c r="H3351" s="8" t="s">
        <v>8</v>
      </c>
      <c r="I3351" s="8" t="s">
        <v>8</v>
      </c>
      <c r="J3351" s="8" t="s">
        <v>8</v>
      </c>
      <c r="K3351" s="8" t="s">
        <v>8</v>
      </c>
      <c r="L3351" s="8" t="s">
        <v>8</v>
      </c>
      <c r="M3351" s="8"/>
      <c r="N3351" s="8"/>
      <c r="O3351" s="8" t="s">
        <v>8</v>
      </c>
      <c r="P3351" s="8" t="s">
        <v>8</v>
      </c>
    </row>
    <row r="3352">
      <c r="E3352" s="31"/>
      <c r="F3352" s="8" t="s">
        <v>8</v>
      </c>
      <c r="G3352" s="8" t="s">
        <v>8</v>
      </c>
      <c r="H3352" s="8" t="s">
        <v>8</v>
      </c>
      <c r="I3352" s="8" t="s">
        <v>8</v>
      </c>
      <c r="J3352" s="8" t="s">
        <v>8</v>
      </c>
      <c r="K3352" s="8" t="s">
        <v>8</v>
      </c>
      <c r="L3352" s="8" t="s">
        <v>8</v>
      </c>
      <c r="M3352" s="8"/>
      <c r="N3352" s="8"/>
      <c r="O3352" s="8" t="s">
        <v>8</v>
      </c>
      <c r="P3352" s="8" t="s">
        <v>8</v>
      </c>
    </row>
    <row r="3353">
      <c r="E3353" s="31"/>
      <c r="F3353" s="8" t="s">
        <v>8</v>
      </c>
      <c r="G3353" s="8" t="s">
        <v>8</v>
      </c>
      <c r="H3353" s="8" t="s">
        <v>8</v>
      </c>
      <c r="I3353" s="8" t="s">
        <v>8</v>
      </c>
      <c r="J3353" s="8" t="s">
        <v>8</v>
      </c>
      <c r="K3353" s="8" t="s">
        <v>8</v>
      </c>
      <c r="L3353" s="8" t="s">
        <v>8</v>
      </c>
      <c r="M3353" s="8"/>
      <c r="N3353" s="8"/>
      <c r="O3353" s="8" t="s">
        <v>8</v>
      </c>
      <c r="P3353" s="8" t="s">
        <v>8</v>
      </c>
    </row>
    <row r="3354">
      <c r="E3354" s="31"/>
      <c r="F3354" s="8" t="s">
        <v>8</v>
      </c>
      <c r="G3354" s="8" t="s">
        <v>8</v>
      </c>
      <c r="H3354" s="8" t="s">
        <v>8</v>
      </c>
      <c r="I3354" s="8" t="s">
        <v>8</v>
      </c>
      <c r="J3354" s="8" t="s">
        <v>8</v>
      </c>
      <c r="K3354" s="8" t="s">
        <v>8</v>
      </c>
      <c r="L3354" s="8" t="s">
        <v>8</v>
      </c>
      <c r="M3354" s="8"/>
      <c r="N3354" s="8"/>
      <c r="O3354" s="8" t="s">
        <v>8</v>
      </c>
      <c r="P3354" s="8" t="s">
        <v>8</v>
      </c>
    </row>
    <row r="3355">
      <c r="E3355" s="31"/>
      <c r="F3355" s="8" t="s">
        <v>8</v>
      </c>
      <c r="G3355" s="8" t="s">
        <v>8</v>
      </c>
      <c r="H3355" s="8" t="s">
        <v>8</v>
      </c>
      <c r="I3355" s="8" t="s">
        <v>8</v>
      </c>
      <c r="J3355" s="8" t="s">
        <v>8</v>
      </c>
      <c r="K3355" s="8" t="s">
        <v>8</v>
      </c>
      <c r="L3355" s="8" t="s">
        <v>8</v>
      </c>
      <c r="M3355" s="8"/>
      <c r="N3355" s="8"/>
      <c r="O3355" s="8" t="s">
        <v>8</v>
      </c>
      <c r="P3355" s="8" t="s">
        <v>8</v>
      </c>
    </row>
    <row r="3356">
      <c r="E3356" s="31"/>
      <c r="F3356" s="8" t="s">
        <v>8</v>
      </c>
      <c r="G3356" s="8" t="s">
        <v>8</v>
      </c>
      <c r="H3356" s="8" t="s">
        <v>8</v>
      </c>
      <c r="I3356" s="8" t="s">
        <v>8</v>
      </c>
      <c r="J3356" s="8" t="s">
        <v>8</v>
      </c>
      <c r="K3356" s="8" t="s">
        <v>8</v>
      </c>
      <c r="L3356" s="8" t="s">
        <v>8</v>
      </c>
      <c r="M3356" s="8"/>
      <c r="N3356" s="8"/>
      <c r="O3356" s="8" t="s">
        <v>8</v>
      </c>
      <c r="P3356" s="8" t="s">
        <v>8</v>
      </c>
    </row>
    <row r="3357">
      <c r="E3357" s="31"/>
      <c r="F3357" s="8" t="s">
        <v>8</v>
      </c>
      <c r="G3357" s="8" t="s">
        <v>8</v>
      </c>
      <c r="H3357" s="8" t="s">
        <v>8</v>
      </c>
      <c r="I3357" s="8" t="s">
        <v>8</v>
      </c>
      <c r="J3357" s="8" t="s">
        <v>8</v>
      </c>
      <c r="K3357" s="8" t="s">
        <v>8</v>
      </c>
      <c r="L3357" s="8" t="s">
        <v>8</v>
      </c>
      <c r="M3357" s="8"/>
      <c r="N3357" s="8"/>
      <c r="O3357" s="8" t="s">
        <v>8</v>
      </c>
      <c r="P3357" s="8" t="s">
        <v>8</v>
      </c>
    </row>
    <row r="3358">
      <c r="E3358" s="31"/>
      <c r="F3358" s="8" t="s">
        <v>8</v>
      </c>
      <c r="G3358" s="8" t="s">
        <v>8</v>
      </c>
      <c r="H3358" s="8" t="s">
        <v>8</v>
      </c>
      <c r="I3358" s="8" t="s">
        <v>8</v>
      </c>
      <c r="J3358" s="8" t="s">
        <v>8</v>
      </c>
      <c r="K3358" s="8" t="s">
        <v>8</v>
      </c>
      <c r="L3358" s="8" t="s">
        <v>8</v>
      </c>
      <c r="M3358" s="8"/>
      <c r="N3358" s="8"/>
      <c r="O3358" s="8" t="s">
        <v>8</v>
      </c>
      <c r="P3358" s="8" t="s">
        <v>8</v>
      </c>
    </row>
    <row r="3359">
      <c r="E3359" s="31"/>
      <c r="F3359" s="8" t="s">
        <v>8</v>
      </c>
      <c r="G3359" s="8" t="s">
        <v>8</v>
      </c>
      <c r="H3359" s="8" t="s">
        <v>8</v>
      </c>
      <c r="I3359" s="8" t="s">
        <v>8</v>
      </c>
      <c r="J3359" s="8" t="s">
        <v>8</v>
      </c>
      <c r="K3359" s="8" t="s">
        <v>8</v>
      </c>
      <c r="L3359" s="8" t="s">
        <v>8</v>
      </c>
      <c r="M3359" s="8"/>
      <c r="N3359" s="8"/>
      <c r="O3359" s="8" t="s">
        <v>8</v>
      </c>
      <c r="P3359" s="8" t="s">
        <v>8</v>
      </c>
    </row>
    <row r="3360">
      <c r="E3360" s="31"/>
      <c r="F3360" s="8" t="s">
        <v>8</v>
      </c>
      <c r="G3360" s="8" t="s">
        <v>8</v>
      </c>
      <c r="H3360" s="8" t="s">
        <v>8</v>
      </c>
      <c r="I3360" s="8" t="s">
        <v>8</v>
      </c>
      <c r="J3360" s="8" t="s">
        <v>8</v>
      </c>
      <c r="K3360" s="8" t="s">
        <v>8</v>
      </c>
      <c r="L3360" s="8" t="s">
        <v>8</v>
      </c>
      <c r="M3360" s="8"/>
      <c r="N3360" s="8"/>
      <c r="O3360" s="8" t="s">
        <v>8</v>
      </c>
      <c r="P3360" s="8" t="s">
        <v>8</v>
      </c>
    </row>
    <row r="3361">
      <c r="E3361" s="31"/>
      <c r="F3361" s="8" t="s">
        <v>8</v>
      </c>
      <c r="G3361" s="8" t="s">
        <v>8</v>
      </c>
      <c r="H3361" s="8" t="s">
        <v>8</v>
      </c>
      <c r="I3361" s="8" t="s">
        <v>8</v>
      </c>
      <c r="J3361" s="8" t="s">
        <v>8</v>
      </c>
      <c r="K3361" s="8" t="s">
        <v>8</v>
      </c>
      <c r="L3361" s="8" t="s">
        <v>8</v>
      </c>
      <c r="M3361" s="8"/>
      <c r="N3361" s="8"/>
      <c r="O3361" s="8" t="s">
        <v>8</v>
      </c>
      <c r="P3361" s="8" t="s">
        <v>8</v>
      </c>
    </row>
    <row r="3362">
      <c r="E3362" s="31"/>
      <c r="F3362" s="8" t="s">
        <v>8</v>
      </c>
      <c r="G3362" s="8" t="s">
        <v>8</v>
      </c>
      <c r="H3362" s="8" t="s">
        <v>8</v>
      </c>
      <c r="I3362" s="8" t="s">
        <v>8</v>
      </c>
      <c r="J3362" s="8" t="s">
        <v>8</v>
      </c>
      <c r="K3362" s="8" t="s">
        <v>8</v>
      </c>
      <c r="L3362" s="8" t="s">
        <v>8</v>
      </c>
      <c r="M3362" s="8"/>
      <c r="N3362" s="8"/>
      <c r="O3362" s="8" t="s">
        <v>8</v>
      </c>
      <c r="P3362" s="8" t="s">
        <v>8</v>
      </c>
    </row>
    <row r="3363">
      <c r="E3363" s="31"/>
      <c r="F3363" s="8" t="s">
        <v>8</v>
      </c>
      <c r="G3363" s="8" t="s">
        <v>8</v>
      </c>
      <c r="H3363" s="8" t="s">
        <v>8</v>
      </c>
      <c r="I3363" s="8" t="s">
        <v>8</v>
      </c>
      <c r="J3363" s="8" t="s">
        <v>8</v>
      </c>
      <c r="K3363" s="8" t="s">
        <v>8</v>
      </c>
      <c r="L3363" s="8" t="s">
        <v>8</v>
      </c>
      <c r="M3363" s="8"/>
      <c r="N3363" s="8"/>
      <c r="O3363" s="8" t="s">
        <v>8</v>
      </c>
      <c r="P3363" s="8" t="s">
        <v>8</v>
      </c>
    </row>
    <row r="3364">
      <c r="E3364" s="31"/>
      <c r="F3364" s="8" t="s">
        <v>8</v>
      </c>
      <c r="G3364" s="8" t="s">
        <v>8</v>
      </c>
      <c r="H3364" s="8" t="s">
        <v>8</v>
      </c>
      <c r="I3364" s="8" t="s">
        <v>8</v>
      </c>
      <c r="J3364" s="8" t="s">
        <v>8</v>
      </c>
      <c r="K3364" s="8" t="s">
        <v>8</v>
      </c>
      <c r="L3364" s="8" t="s">
        <v>8</v>
      </c>
      <c r="M3364" s="8"/>
      <c r="N3364" s="8"/>
      <c r="O3364" s="8" t="s">
        <v>8</v>
      </c>
      <c r="P3364" s="8" t="s">
        <v>8</v>
      </c>
    </row>
    <row r="3365">
      <c r="E3365" s="31"/>
      <c r="F3365" s="8" t="s">
        <v>8</v>
      </c>
      <c r="G3365" s="8" t="s">
        <v>8</v>
      </c>
      <c r="H3365" s="8" t="s">
        <v>8</v>
      </c>
      <c r="I3365" s="8" t="s">
        <v>8</v>
      </c>
      <c r="J3365" s="8" t="s">
        <v>8</v>
      </c>
      <c r="K3365" s="8" t="s">
        <v>8</v>
      </c>
      <c r="L3365" s="8" t="s">
        <v>8</v>
      </c>
      <c r="M3365" s="8"/>
      <c r="N3365" s="8"/>
      <c r="O3365" s="8" t="s">
        <v>8</v>
      </c>
      <c r="P3365" s="8" t="s">
        <v>8</v>
      </c>
    </row>
    <row r="3366">
      <c r="E3366" s="31"/>
      <c r="F3366" s="8" t="s">
        <v>8</v>
      </c>
      <c r="G3366" s="8" t="s">
        <v>8</v>
      </c>
      <c r="H3366" s="8" t="s">
        <v>8</v>
      </c>
      <c r="I3366" s="8" t="s">
        <v>8</v>
      </c>
      <c r="J3366" s="8" t="s">
        <v>8</v>
      </c>
      <c r="K3366" s="8" t="s">
        <v>8</v>
      </c>
      <c r="L3366" s="8" t="s">
        <v>8</v>
      </c>
      <c r="M3366" s="8"/>
      <c r="N3366" s="8"/>
      <c r="O3366" s="8" t="s">
        <v>8</v>
      </c>
      <c r="P3366" s="8" t="s">
        <v>8</v>
      </c>
    </row>
    <row r="3367">
      <c r="E3367" s="31"/>
      <c r="F3367" s="8" t="s">
        <v>8</v>
      </c>
      <c r="G3367" s="8" t="s">
        <v>8</v>
      </c>
      <c r="H3367" s="8" t="s">
        <v>8</v>
      </c>
      <c r="I3367" s="8" t="s">
        <v>8</v>
      </c>
      <c r="J3367" s="8" t="s">
        <v>8</v>
      </c>
      <c r="K3367" s="8" t="s">
        <v>8</v>
      </c>
      <c r="L3367" s="8" t="s">
        <v>8</v>
      </c>
      <c r="M3367" s="8"/>
      <c r="N3367" s="8"/>
      <c r="O3367" s="8" t="s">
        <v>8</v>
      </c>
      <c r="P3367" s="8" t="s">
        <v>8</v>
      </c>
    </row>
    <row r="3368">
      <c r="E3368" s="31"/>
      <c r="F3368" s="8" t="s">
        <v>8</v>
      </c>
      <c r="G3368" s="8" t="s">
        <v>8</v>
      </c>
      <c r="H3368" s="8" t="s">
        <v>8</v>
      </c>
      <c r="I3368" s="8" t="s">
        <v>8</v>
      </c>
      <c r="J3368" s="8" t="s">
        <v>8</v>
      </c>
      <c r="K3368" s="8" t="s">
        <v>8</v>
      </c>
      <c r="L3368" s="8" t="s">
        <v>8</v>
      </c>
      <c r="M3368" s="8"/>
      <c r="N3368" s="8"/>
      <c r="O3368" s="8" t="s">
        <v>8</v>
      </c>
      <c r="P3368" s="8" t="s">
        <v>8</v>
      </c>
    </row>
    <row r="3369">
      <c r="E3369" s="31"/>
      <c r="F3369" s="8" t="s">
        <v>8</v>
      </c>
      <c r="G3369" s="8" t="s">
        <v>8</v>
      </c>
      <c r="H3369" s="8" t="s">
        <v>8</v>
      </c>
      <c r="I3369" s="8" t="s">
        <v>8</v>
      </c>
      <c r="J3369" s="8" t="s">
        <v>8</v>
      </c>
      <c r="K3369" s="8" t="s">
        <v>8</v>
      </c>
      <c r="L3369" s="8" t="s">
        <v>8</v>
      </c>
      <c r="M3369" s="8"/>
      <c r="N3369" s="8"/>
      <c r="O3369" s="8" t="s">
        <v>8</v>
      </c>
      <c r="P3369" s="8" t="s">
        <v>8</v>
      </c>
    </row>
    <row r="3370">
      <c r="E3370" s="31"/>
      <c r="F3370" s="8" t="s">
        <v>8</v>
      </c>
      <c r="G3370" s="8" t="s">
        <v>8</v>
      </c>
      <c r="H3370" s="8" t="s">
        <v>8</v>
      </c>
      <c r="I3370" s="8" t="s">
        <v>8</v>
      </c>
      <c r="J3370" s="8" t="s">
        <v>8</v>
      </c>
      <c r="K3370" s="8" t="s">
        <v>8</v>
      </c>
      <c r="L3370" s="8" t="s">
        <v>8</v>
      </c>
      <c r="M3370" s="8"/>
      <c r="N3370" s="8"/>
      <c r="O3370" s="8" t="s">
        <v>8</v>
      </c>
      <c r="P3370" s="8" t="s">
        <v>8</v>
      </c>
    </row>
    <row r="3371">
      <c r="E3371" s="31"/>
      <c r="F3371" s="8" t="s">
        <v>8</v>
      </c>
      <c r="G3371" s="8" t="s">
        <v>8</v>
      </c>
      <c r="H3371" s="8" t="s">
        <v>8</v>
      </c>
      <c r="I3371" s="8" t="s">
        <v>8</v>
      </c>
      <c r="J3371" s="8" t="s">
        <v>8</v>
      </c>
      <c r="K3371" s="8" t="s">
        <v>8</v>
      </c>
      <c r="L3371" s="8" t="s">
        <v>8</v>
      </c>
      <c r="M3371" s="8"/>
      <c r="N3371" s="8"/>
      <c r="O3371" s="8" t="s">
        <v>8</v>
      </c>
      <c r="P3371" s="8" t="s">
        <v>8</v>
      </c>
    </row>
    <row r="3372">
      <c r="E3372" s="31"/>
      <c r="F3372" s="8" t="s">
        <v>8</v>
      </c>
      <c r="G3372" s="8" t="s">
        <v>8</v>
      </c>
      <c r="H3372" s="8" t="s">
        <v>8</v>
      </c>
      <c r="I3372" s="8" t="s">
        <v>8</v>
      </c>
      <c r="J3372" s="8" t="s">
        <v>8</v>
      </c>
      <c r="K3372" s="8" t="s">
        <v>8</v>
      </c>
      <c r="L3372" s="8" t="s">
        <v>8</v>
      </c>
      <c r="M3372" s="8"/>
      <c r="N3372" s="8"/>
      <c r="O3372" s="8" t="s">
        <v>8</v>
      </c>
      <c r="P3372" s="8" t="s">
        <v>8</v>
      </c>
    </row>
    <row r="3373">
      <c r="E3373" s="31"/>
      <c r="F3373" s="8" t="s">
        <v>8</v>
      </c>
      <c r="G3373" s="8" t="s">
        <v>8</v>
      </c>
      <c r="H3373" s="8" t="s">
        <v>8</v>
      </c>
      <c r="I3373" s="8" t="s">
        <v>8</v>
      </c>
      <c r="J3373" s="8" t="s">
        <v>8</v>
      </c>
      <c r="K3373" s="8" t="s">
        <v>8</v>
      </c>
      <c r="L3373" s="8" t="s">
        <v>8</v>
      </c>
      <c r="M3373" s="8"/>
      <c r="N3373" s="8"/>
      <c r="O3373" s="8" t="s">
        <v>8</v>
      </c>
      <c r="P3373" s="8" t="s">
        <v>8</v>
      </c>
    </row>
    <row r="3374">
      <c r="E3374" s="31"/>
      <c r="F3374" s="8" t="s">
        <v>8</v>
      </c>
      <c r="G3374" s="8" t="s">
        <v>8</v>
      </c>
      <c r="H3374" s="8" t="s">
        <v>8</v>
      </c>
      <c r="I3374" s="8" t="s">
        <v>8</v>
      </c>
      <c r="J3374" s="8" t="s">
        <v>8</v>
      </c>
      <c r="K3374" s="8" t="s">
        <v>8</v>
      </c>
      <c r="L3374" s="8" t="s">
        <v>8</v>
      </c>
      <c r="M3374" s="8"/>
      <c r="N3374" s="8"/>
      <c r="O3374" s="8" t="s">
        <v>8</v>
      </c>
      <c r="P3374" s="8" t="s">
        <v>8</v>
      </c>
    </row>
    <row r="3375">
      <c r="E3375" s="31"/>
      <c r="F3375" s="8" t="s">
        <v>8</v>
      </c>
      <c r="G3375" s="8" t="s">
        <v>8</v>
      </c>
      <c r="H3375" s="8" t="s">
        <v>8</v>
      </c>
      <c r="I3375" s="8" t="s">
        <v>8</v>
      </c>
      <c r="J3375" s="8" t="s">
        <v>8</v>
      </c>
      <c r="K3375" s="8" t="s">
        <v>8</v>
      </c>
      <c r="L3375" s="8" t="s">
        <v>8</v>
      </c>
      <c r="M3375" s="8"/>
      <c r="N3375" s="8"/>
      <c r="O3375" s="8" t="s">
        <v>8</v>
      </c>
      <c r="P3375" s="8" t="s">
        <v>8</v>
      </c>
    </row>
    <row r="3376">
      <c r="E3376" s="31"/>
      <c r="F3376" s="8" t="s">
        <v>8</v>
      </c>
      <c r="G3376" s="8" t="s">
        <v>8</v>
      </c>
      <c r="H3376" s="8" t="s">
        <v>8</v>
      </c>
      <c r="I3376" s="8" t="s">
        <v>8</v>
      </c>
      <c r="J3376" s="8" t="s">
        <v>8</v>
      </c>
      <c r="K3376" s="8" t="s">
        <v>8</v>
      </c>
      <c r="L3376" s="8" t="s">
        <v>8</v>
      </c>
      <c r="M3376" s="8"/>
      <c r="N3376" s="8"/>
      <c r="O3376" s="8" t="s">
        <v>8</v>
      </c>
      <c r="P3376" s="8" t="s">
        <v>8</v>
      </c>
    </row>
    <row r="3377">
      <c r="E3377" s="31"/>
      <c r="F3377" s="8" t="s">
        <v>8</v>
      </c>
      <c r="G3377" s="8" t="s">
        <v>8</v>
      </c>
      <c r="H3377" s="8" t="s">
        <v>8</v>
      </c>
      <c r="I3377" s="8" t="s">
        <v>8</v>
      </c>
      <c r="J3377" s="8" t="s">
        <v>8</v>
      </c>
      <c r="K3377" s="8" t="s">
        <v>8</v>
      </c>
      <c r="L3377" s="8" t="s">
        <v>8</v>
      </c>
      <c r="M3377" s="8"/>
      <c r="N3377" s="8"/>
      <c r="O3377" s="8" t="s">
        <v>8</v>
      </c>
      <c r="P3377" s="8" t="s">
        <v>8</v>
      </c>
    </row>
    <row r="3378">
      <c r="E3378" s="31"/>
      <c r="F3378" s="8" t="s">
        <v>8</v>
      </c>
      <c r="G3378" s="8" t="s">
        <v>8</v>
      </c>
      <c r="H3378" s="8" t="s">
        <v>8</v>
      </c>
      <c r="I3378" s="8" t="s">
        <v>8</v>
      </c>
      <c r="J3378" s="8" t="s">
        <v>8</v>
      </c>
      <c r="K3378" s="8" t="s">
        <v>8</v>
      </c>
      <c r="L3378" s="8" t="s">
        <v>8</v>
      </c>
      <c r="M3378" s="8"/>
      <c r="N3378" s="8"/>
      <c r="O3378" s="8" t="s">
        <v>8</v>
      </c>
      <c r="P3378" s="8" t="s">
        <v>8</v>
      </c>
    </row>
    <row r="3379">
      <c r="E3379" s="31"/>
      <c r="F3379" s="8" t="s">
        <v>8</v>
      </c>
      <c r="G3379" s="8" t="s">
        <v>8</v>
      </c>
      <c r="H3379" s="8" t="s">
        <v>8</v>
      </c>
      <c r="I3379" s="8" t="s">
        <v>8</v>
      </c>
      <c r="J3379" s="8" t="s">
        <v>8</v>
      </c>
      <c r="K3379" s="8" t="s">
        <v>8</v>
      </c>
      <c r="L3379" s="8" t="s">
        <v>8</v>
      </c>
      <c r="M3379" s="8"/>
      <c r="N3379" s="8"/>
      <c r="O3379" s="8" t="s">
        <v>8</v>
      </c>
      <c r="P3379" s="8" t="s">
        <v>8</v>
      </c>
    </row>
    <row r="3380">
      <c r="E3380" s="31"/>
      <c r="F3380" s="8" t="s">
        <v>8</v>
      </c>
      <c r="G3380" s="8" t="s">
        <v>8</v>
      </c>
      <c r="H3380" s="8" t="s">
        <v>8</v>
      </c>
      <c r="I3380" s="8" t="s">
        <v>8</v>
      </c>
      <c r="J3380" s="8" t="s">
        <v>8</v>
      </c>
      <c r="K3380" s="8" t="s">
        <v>8</v>
      </c>
      <c r="L3380" s="8" t="s">
        <v>8</v>
      </c>
      <c r="M3380" s="8"/>
      <c r="N3380" s="8"/>
      <c r="O3380" s="8" t="s">
        <v>8</v>
      </c>
      <c r="P3380" s="8" t="s">
        <v>8</v>
      </c>
    </row>
    <row r="3381">
      <c r="E3381" s="31"/>
      <c r="F3381" s="8" t="s">
        <v>8</v>
      </c>
      <c r="G3381" s="8" t="s">
        <v>8</v>
      </c>
      <c r="H3381" s="8" t="s">
        <v>8</v>
      </c>
      <c r="I3381" s="8" t="s">
        <v>8</v>
      </c>
      <c r="J3381" s="8" t="s">
        <v>8</v>
      </c>
      <c r="K3381" s="8" t="s">
        <v>8</v>
      </c>
      <c r="L3381" s="8" t="s">
        <v>8</v>
      </c>
      <c r="M3381" s="8"/>
      <c r="N3381" s="8"/>
      <c r="O3381" s="8" t="s">
        <v>8</v>
      </c>
      <c r="P3381" s="8" t="s">
        <v>8</v>
      </c>
    </row>
    <row r="3382">
      <c r="E3382" s="31"/>
      <c r="F3382" s="8" t="s">
        <v>8</v>
      </c>
      <c r="G3382" s="8" t="s">
        <v>8</v>
      </c>
      <c r="H3382" s="8" t="s">
        <v>8</v>
      </c>
      <c r="I3382" s="8" t="s">
        <v>8</v>
      </c>
      <c r="J3382" s="8" t="s">
        <v>8</v>
      </c>
      <c r="K3382" s="8" t="s">
        <v>8</v>
      </c>
      <c r="L3382" s="8" t="s">
        <v>8</v>
      </c>
      <c r="M3382" s="8"/>
      <c r="N3382" s="8"/>
      <c r="O3382" s="8" t="s">
        <v>8</v>
      </c>
      <c r="P3382" s="8" t="s">
        <v>8</v>
      </c>
    </row>
    <row r="3383">
      <c r="E3383" s="31"/>
      <c r="F3383" s="8" t="s">
        <v>8</v>
      </c>
      <c r="G3383" s="8" t="s">
        <v>8</v>
      </c>
      <c r="H3383" s="8" t="s">
        <v>8</v>
      </c>
      <c r="I3383" s="8" t="s">
        <v>8</v>
      </c>
      <c r="J3383" s="8" t="s">
        <v>8</v>
      </c>
      <c r="K3383" s="8" t="s">
        <v>8</v>
      </c>
      <c r="L3383" s="8" t="s">
        <v>8</v>
      </c>
      <c r="M3383" s="8"/>
      <c r="N3383" s="8"/>
      <c r="O3383" s="8" t="s">
        <v>8</v>
      </c>
      <c r="P3383" s="8" t="s">
        <v>8</v>
      </c>
    </row>
    <row r="3384">
      <c r="E3384" s="31"/>
      <c r="F3384" s="8" t="s">
        <v>8</v>
      </c>
      <c r="G3384" s="8" t="s">
        <v>8</v>
      </c>
      <c r="H3384" s="8" t="s">
        <v>8</v>
      </c>
      <c r="I3384" s="8" t="s">
        <v>8</v>
      </c>
      <c r="J3384" s="8" t="s">
        <v>8</v>
      </c>
      <c r="K3384" s="8" t="s">
        <v>8</v>
      </c>
      <c r="L3384" s="8" t="s">
        <v>8</v>
      </c>
      <c r="M3384" s="8"/>
      <c r="N3384" s="8"/>
      <c r="O3384" s="8" t="s">
        <v>8</v>
      </c>
      <c r="P3384" s="8" t="s">
        <v>8</v>
      </c>
    </row>
    <row r="3385">
      <c r="E3385" s="31"/>
      <c r="F3385" s="8" t="s">
        <v>8</v>
      </c>
      <c r="G3385" s="8" t="s">
        <v>8</v>
      </c>
      <c r="H3385" s="8" t="s">
        <v>8</v>
      </c>
      <c r="I3385" s="8" t="s">
        <v>8</v>
      </c>
      <c r="J3385" s="8" t="s">
        <v>8</v>
      </c>
      <c r="K3385" s="8" t="s">
        <v>8</v>
      </c>
      <c r="L3385" s="8" t="s">
        <v>8</v>
      </c>
      <c r="M3385" s="8"/>
      <c r="N3385" s="8"/>
      <c r="O3385" s="8" t="s">
        <v>8</v>
      </c>
      <c r="P3385" s="8" t="s">
        <v>8</v>
      </c>
    </row>
    <row r="3386">
      <c r="E3386" s="31"/>
      <c r="F3386" s="8" t="s">
        <v>8</v>
      </c>
      <c r="G3386" s="8" t="s">
        <v>8</v>
      </c>
      <c r="H3386" s="8" t="s">
        <v>8</v>
      </c>
      <c r="I3386" s="8" t="s">
        <v>8</v>
      </c>
      <c r="J3386" s="8" t="s">
        <v>8</v>
      </c>
      <c r="K3386" s="8" t="s">
        <v>8</v>
      </c>
      <c r="L3386" s="8" t="s">
        <v>8</v>
      </c>
      <c r="M3386" s="8"/>
      <c r="N3386" s="8"/>
      <c r="O3386" s="8" t="s">
        <v>8</v>
      </c>
      <c r="P3386" s="8" t="s">
        <v>8</v>
      </c>
    </row>
    <row r="3387">
      <c r="E3387" s="31"/>
      <c r="F3387" s="8" t="s">
        <v>8</v>
      </c>
      <c r="G3387" s="8" t="s">
        <v>8</v>
      </c>
      <c r="H3387" s="8" t="s">
        <v>8</v>
      </c>
      <c r="I3387" s="8" t="s">
        <v>8</v>
      </c>
      <c r="J3387" s="8" t="s">
        <v>8</v>
      </c>
      <c r="K3387" s="8" t="s">
        <v>8</v>
      </c>
      <c r="L3387" s="8" t="s">
        <v>8</v>
      </c>
      <c r="M3387" s="8"/>
      <c r="N3387" s="8"/>
      <c r="O3387" s="8" t="s">
        <v>8</v>
      </c>
      <c r="P3387" s="8" t="s">
        <v>8</v>
      </c>
    </row>
    <row r="3388">
      <c r="E3388" s="31"/>
      <c r="F3388" s="8" t="s">
        <v>8</v>
      </c>
      <c r="G3388" s="8" t="s">
        <v>8</v>
      </c>
      <c r="H3388" s="8" t="s">
        <v>8</v>
      </c>
      <c r="I3388" s="8" t="s">
        <v>8</v>
      </c>
      <c r="J3388" s="8" t="s">
        <v>8</v>
      </c>
      <c r="K3388" s="8" t="s">
        <v>8</v>
      </c>
      <c r="L3388" s="8" t="s">
        <v>8</v>
      </c>
      <c r="M3388" s="8"/>
      <c r="N3388" s="8"/>
      <c r="O3388" s="8" t="s">
        <v>8</v>
      </c>
      <c r="P3388" s="8" t="s">
        <v>8</v>
      </c>
    </row>
    <row r="3389">
      <c r="E3389" s="31"/>
      <c r="F3389" s="8" t="s">
        <v>8</v>
      </c>
      <c r="G3389" s="8" t="s">
        <v>8</v>
      </c>
      <c r="H3389" s="8" t="s">
        <v>8</v>
      </c>
      <c r="I3389" s="8" t="s">
        <v>8</v>
      </c>
      <c r="J3389" s="8" t="s">
        <v>8</v>
      </c>
      <c r="K3389" s="8" t="s">
        <v>8</v>
      </c>
      <c r="L3389" s="8" t="s">
        <v>8</v>
      </c>
      <c r="M3389" s="8"/>
      <c r="N3389" s="8"/>
      <c r="O3389" s="8" t="s">
        <v>8</v>
      </c>
      <c r="P3389" s="8" t="s">
        <v>8</v>
      </c>
    </row>
    <row r="3390">
      <c r="E3390" s="31"/>
      <c r="F3390" s="8" t="s">
        <v>8</v>
      </c>
      <c r="G3390" s="8" t="s">
        <v>8</v>
      </c>
      <c r="H3390" s="8" t="s">
        <v>8</v>
      </c>
      <c r="I3390" s="8" t="s">
        <v>8</v>
      </c>
      <c r="J3390" s="8" t="s">
        <v>8</v>
      </c>
      <c r="K3390" s="8" t="s">
        <v>8</v>
      </c>
      <c r="L3390" s="8" t="s">
        <v>8</v>
      </c>
      <c r="M3390" s="8"/>
      <c r="N3390" s="8"/>
      <c r="O3390" s="8" t="s">
        <v>8</v>
      </c>
      <c r="P3390" s="8" t="s">
        <v>8</v>
      </c>
    </row>
    <row r="3391">
      <c r="E3391" s="31"/>
      <c r="F3391" s="8" t="s">
        <v>8</v>
      </c>
      <c r="G3391" s="8" t="s">
        <v>8</v>
      </c>
      <c r="H3391" s="8" t="s">
        <v>8</v>
      </c>
      <c r="I3391" s="8" t="s">
        <v>8</v>
      </c>
      <c r="J3391" s="8" t="s">
        <v>8</v>
      </c>
      <c r="K3391" s="8" t="s">
        <v>8</v>
      </c>
      <c r="L3391" s="8" t="s">
        <v>8</v>
      </c>
      <c r="M3391" s="8"/>
      <c r="N3391" s="8"/>
      <c r="O3391" s="8" t="s">
        <v>8</v>
      </c>
      <c r="P3391" s="8" t="s">
        <v>8</v>
      </c>
    </row>
    <row r="3392">
      <c r="E3392" s="31"/>
      <c r="F3392" s="8" t="s">
        <v>8</v>
      </c>
      <c r="G3392" s="8" t="s">
        <v>8</v>
      </c>
      <c r="H3392" s="8" t="s">
        <v>8</v>
      </c>
      <c r="I3392" s="8" t="s">
        <v>8</v>
      </c>
      <c r="J3392" s="8" t="s">
        <v>8</v>
      </c>
      <c r="K3392" s="8" t="s">
        <v>8</v>
      </c>
      <c r="L3392" s="8" t="s">
        <v>8</v>
      </c>
      <c r="M3392" s="8"/>
      <c r="N3392" s="8"/>
      <c r="O3392" s="8" t="s">
        <v>8</v>
      </c>
      <c r="P3392" s="8" t="s">
        <v>8</v>
      </c>
    </row>
    <row r="3393">
      <c r="E3393" s="31"/>
      <c r="F3393" s="8" t="s">
        <v>8</v>
      </c>
      <c r="G3393" s="8" t="s">
        <v>8</v>
      </c>
      <c r="H3393" s="8" t="s">
        <v>8</v>
      </c>
      <c r="I3393" s="8" t="s">
        <v>8</v>
      </c>
      <c r="J3393" s="8" t="s">
        <v>8</v>
      </c>
      <c r="K3393" s="8" t="s">
        <v>8</v>
      </c>
      <c r="L3393" s="8" t="s">
        <v>8</v>
      </c>
      <c r="M3393" s="8"/>
      <c r="N3393" s="8"/>
      <c r="O3393" s="8" t="s">
        <v>8</v>
      </c>
      <c r="P3393" s="8" t="s">
        <v>8</v>
      </c>
    </row>
    <row r="3394">
      <c r="E3394" s="31"/>
      <c r="F3394" s="8" t="s">
        <v>8</v>
      </c>
      <c r="G3394" s="8" t="s">
        <v>8</v>
      </c>
      <c r="H3394" s="8" t="s">
        <v>8</v>
      </c>
      <c r="I3394" s="8" t="s">
        <v>8</v>
      </c>
      <c r="J3394" s="8" t="s">
        <v>8</v>
      </c>
      <c r="K3394" s="8" t="s">
        <v>8</v>
      </c>
      <c r="L3394" s="8" t="s">
        <v>8</v>
      </c>
      <c r="M3394" s="8"/>
      <c r="N3394" s="8"/>
      <c r="O3394" s="8" t="s">
        <v>8</v>
      </c>
      <c r="P3394" s="8" t="s">
        <v>8</v>
      </c>
    </row>
    <row r="3395">
      <c r="E3395" s="31"/>
      <c r="F3395" s="8" t="s">
        <v>8</v>
      </c>
      <c r="G3395" s="8" t="s">
        <v>8</v>
      </c>
      <c r="H3395" s="8" t="s">
        <v>8</v>
      </c>
      <c r="I3395" s="8" t="s">
        <v>8</v>
      </c>
      <c r="J3395" s="8" t="s">
        <v>8</v>
      </c>
      <c r="K3395" s="8" t="s">
        <v>8</v>
      </c>
      <c r="L3395" s="8" t="s">
        <v>8</v>
      </c>
      <c r="M3395" s="8"/>
      <c r="N3395" s="8"/>
      <c r="O3395" s="8" t="s">
        <v>8</v>
      </c>
      <c r="P3395" s="8" t="s">
        <v>8</v>
      </c>
    </row>
    <row r="3396">
      <c r="E3396" s="31"/>
      <c r="F3396" s="8" t="s">
        <v>8</v>
      </c>
      <c r="G3396" s="8" t="s">
        <v>8</v>
      </c>
      <c r="H3396" s="8" t="s">
        <v>8</v>
      </c>
      <c r="I3396" s="8" t="s">
        <v>8</v>
      </c>
      <c r="J3396" s="8" t="s">
        <v>8</v>
      </c>
      <c r="K3396" s="8" t="s">
        <v>8</v>
      </c>
      <c r="L3396" s="8" t="s">
        <v>8</v>
      </c>
      <c r="M3396" s="8"/>
      <c r="N3396" s="8"/>
      <c r="O3396" s="8" t="s">
        <v>8</v>
      </c>
      <c r="P3396" s="8" t="s">
        <v>8</v>
      </c>
    </row>
    <row r="3397">
      <c r="E3397" s="31"/>
      <c r="F3397" s="8" t="s">
        <v>8</v>
      </c>
      <c r="G3397" s="8" t="s">
        <v>8</v>
      </c>
      <c r="H3397" s="8" t="s">
        <v>8</v>
      </c>
      <c r="I3397" s="8" t="s">
        <v>8</v>
      </c>
      <c r="J3397" s="8" t="s">
        <v>8</v>
      </c>
      <c r="K3397" s="8" t="s">
        <v>8</v>
      </c>
      <c r="L3397" s="8" t="s">
        <v>8</v>
      </c>
      <c r="M3397" s="8"/>
      <c r="N3397" s="8"/>
      <c r="O3397" s="8" t="s">
        <v>8</v>
      </c>
      <c r="P3397" s="8" t="s">
        <v>8</v>
      </c>
    </row>
    <row r="3398">
      <c r="E3398" s="31"/>
      <c r="F3398" s="8" t="s">
        <v>8</v>
      </c>
      <c r="G3398" s="8" t="s">
        <v>8</v>
      </c>
      <c r="H3398" s="8" t="s">
        <v>8</v>
      </c>
      <c r="I3398" s="8" t="s">
        <v>8</v>
      </c>
      <c r="J3398" s="8" t="s">
        <v>8</v>
      </c>
      <c r="K3398" s="8" t="s">
        <v>8</v>
      </c>
      <c r="L3398" s="8" t="s">
        <v>8</v>
      </c>
      <c r="M3398" s="8"/>
      <c r="N3398" s="8"/>
      <c r="O3398" s="8" t="s">
        <v>8</v>
      </c>
      <c r="P3398" s="8" t="s">
        <v>8</v>
      </c>
    </row>
    <row r="3399">
      <c r="E3399" s="31"/>
      <c r="F3399" s="8" t="s">
        <v>8</v>
      </c>
      <c r="G3399" s="8" t="s">
        <v>8</v>
      </c>
      <c r="H3399" s="8" t="s">
        <v>8</v>
      </c>
      <c r="I3399" s="8" t="s">
        <v>8</v>
      </c>
      <c r="J3399" s="8" t="s">
        <v>8</v>
      </c>
      <c r="K3399" s="8" t="s">
        <v>8</v>
      </c>
      <c r="L3399" s="8" t="s">
        <v>8</v>
      </c>
      <c r="M3399" s="8"/>
      <c r="N3399" s="8"/>
      <c r="O3399" s="8" t="s">
        <v>8</v>
      </c>
      <c r="P3399" s="8" t="s">
        <v>8</v>
      </c>
    </row>
    <row r="3400">
      <c r="E3400" s="31"/>
      <c r="F3400" s="8" t="s">
        <v>8</v>
      </c>
      <c r="G3400" s="8" t="s">
        <v>8</v>
      </c>
      <c r="H3400" s="8" t="s">
        <v>8</v>
      </c>
      <c r="I3400" s="8" t="s">
        <v>8</v>
      </c>
      <c r="J3400" s="8" t="s">
        <v>8</v>
      </c>
      <c r="K3400" s="8" t="s">
        <v>8</v>
      </c>
      <c r="L3400" s="8" t="s">
        <v>8</v>
      </c>
      <c r="M3400" s="8"/>
      <c r="N3400" s="8"/>
      <c r="O3400" s="8" t="s">
        <v>8</v>
      </c>
      <c r="P3400" s="8" t="s">
        <v>8</v>
      </c>
    </row>
    <row r="3401">
      <c r="E3401" s="31"/>
      <c r="F3401" s="8" t="s">
        <v>8</v>
      </c>
      <c r="G3401" s="8" t="s">
        <v>8</v>
      </c>
      <c r="H3401" s="8" t="s">
        <v>8</v>
      </c>
      <c r="I3401" s="8" t="s">
        <v>8</v>
      </c>
      <c r="J3401" s="8" t="s">
        <v>8</v>
      </c>
      <c r="K3401" s="8" t="s">
        <v>8</v>
      </c>
      <c r="L3401" s="8" t="s">
        <v>8</v>
      </c>
      <c r="M3401" s="8"/>
      <c r="N3401" s="8"/>
      <c r="O3401" s="8" t="s">
        <v>8</v>
      </c>
      <c r="P3401" s="8" t="s">
        <v>8</v>
      </c>
    </row>
    <row r="3402">
      <c r="E3402" s="31"/>
      <c r="F3402" s="8" t="s">
        <v>8</v>
      </c>
      <c r="G3402" s="8" t="s">
        <v>8</v>
      </c>
      <c r="H3402" s="8" t="s">
        <v>8</v>
      </c>
      <c r="I3402" s="8" t="s">
        <v>8</v>
      </c>
      <c r="J3402" s="8" t="s">
        <v>8</v>
      </c>
      <c r="K3402" s="8" t="s">
        <v>8</v>
      </c>
      <c r="L3402" s="8" t="s">
        <v>8</v>
      </c>
      <c r="M3402" s="8"/>
      <c r="N3402" s="8"/>
      <c r="O3402" s="8" t="s">
        <v>8</v>
      </c>
      <c r="P3402" s="8" t="s">
        <v>8</v>
      </c>
    </row>
    <row r="3403">
      <c r="E3403" s="31"/>
      <c r="F3403" s="8" t="s">
        <v>8</v>
      </c>
      <c r="G3403" s="8" t="s">
        <v>8</v>
      </c>
      <c r="H3403" s="8" t="s">
        <v>8</v>
      </c>
      <c r="I3403" s="8" t="s">
        <v>8</v>
      </c>
      <c r="J3403" s="8" t="s">
        <v>8</v>
      </c>
      <c r="K3403" s="8" t="s">
        <v>8</v>
      </c>
      <c r="L3403" s="8" t="s">
        <v>8</v>
      </c>
      <c r="M3403" s="8"/>
      <c r="N3403" s="8"/>
      <c r="O3403" s="8" t="s">
        <v>8</v>
      </c>
      <c r="P3403" s="8" t="s">
        <v>8</v>
      </c>
    </row>
    <row r="3404">
      <c r="E3404" s="31"/>
      <c r="F3404" s="8" t="s">
        <v>8</v>
      </c>
      <c r="G3404" s="8" t="s">
        <v>8</v>
      </c>
      <c r="H3404" s="8" t="s">
        <v>8</v>
      </c>
      <c r="I3404" s="8" t="s">
        <v>8</v>
      </c>
      <c r="J3404" s="8" t="s">
        <v>8</v>
      </c>
      <c r="K3404" s="8" t="s">
        <v>8</v>
      </c>
      <c r="L3404" s="8" t="s">
        <v>8</v>
      </c>
      <c r="M3404" s="8"/>
      <c r="N3404" s="8"/>
      <c r="O3404" s="8" t="s">
        <v>8</v>
      </c>
      <c r="P3404" s="8" t="s">
        <v>8</v>
      </c>
    </row>
    <row r="3405">
      <c r="E3405" s="31"/>
      <c r="F3405" s="8" t="s">
        <v>8</v>
      </c>
      <c r="G3405" s="8" t="s">
        <v>8</v>
      </c>
      <c r="H3405" s="8" t="s">
        <v>8</v>
      </c>
      <c r="I3405" s="8" t="s">
        <v>8</v>
      </c>
      <c r="J3405" s="8" t="s">
        <v>8</v>
      </c>
      <c r="K3405" s="8" t="s">
        <v>8</v>
      </c>
      <c r="L3405" s="8" t="s">
        <v>8</v>
      </c>
      <c r="M3405" s="8"/>
      <c r="N3405" s="8"/>
      <c r="O3405" s="8" t="s">
        <v>8</v>
      </c>
      <c r="P3405" s="8" t="s">
        <v>8</v>
      </c>
    </row>
    <row r="3406">
      <c r="E3406" s="31"/>
      <c r="F3406" s="8" t="s">
        <v>8</v>
      </c>
      <c r="G3406" s="8" t="s">
        <v>8</v>
      </c>
      <c r="H3406" s="8" t="s">
        <v>8</v>
      </c>
      <c r="I3406" s="8" t="s">
        <v>8</v>
      </c>
      <c r="J3406" s="8" t="s">
        <v>8</v>
      </c>
      <c r="K3406" s="8" t="s">
        <v>8</v>
      </c>
      <c r="L3406" s="8" t="s">
        <v>8</v>
      </c>
      <c r="M3406" s="8"/>
      <c r="N3406" s="8"/>
      <c r="O3406" s="8" t="s">
        <v>8</v>
      </c>
      <c r="P3406" s="8" t="s">
        <v>8</v>
      </c>
    </row>
    <row r="3407">
      <c r="E3407" s="31"/>
      <c r="F3407" s="8" t="s">
        <v>8</v>
      </c>
      <c r="G3407" s="8" t="s">
        <v>8</v>
      </c>
      <c r="H3407" s="8" t="s">
        <v>8</v>
      </c>
      <c r="I3407" s="8" t="s">
        <v>8</v>
      </c>
      <c r="J3407" s="8" t="s">
        <v>8</v>
      </c>
      <c r="K3407" s="8" t="s">
        <v>8</v>
      </c>
      <c r="L3407" s="8" t="s">
        <v>8</v>
      </c>
      <c r="M3407" s="8"/>
      <c r="N3407" s="8"/>
      <c r="O3407" s="8" t="s">
        <v>8</v>
      </c>
      <c r="P3407" s="8" t="s">
        <v>8</v>
      </c>
    </row>
    <row r="3408">
      <c r="E3408" s="31"/>
      <c r="F3408" s="8" t="s">
        <v>8</v>
      </c>
      <c r="G3408" s="8" t="s">
        <v>8</v>
      </c>
      <c r="H3408" s="8" t="s">
        <v>8</v>
      </c>
      <c r="I3408" s="8" t="s">
        <v>8</v>
      </c>
      <c r="J3408" s="8" t="s">
        <v>8</v>
      </c>
      <c r="K3408" s="8" t="s">
        <v>8</v>
      </c>
      <c r="L3408" s="8" t="s">
        <v>8</v>
      </c>
      <c r="M3408" s="8"/>
      <c r="N3408" s="8"/>
      <c r="O3408" s="8" t="s">
        <v>8</v>
      </c>
      <c r="P3408" s="8" t="s">
        <v>8</v>
      </c>
    </row>
    <row r="3409">
      <c r="E3409" s="31"/>
      <c r="F3409" s="8" t="s">
        <v>8</v>
      </c>
      <c r="G3409" s="8" t="s">
        <v>8</v>
      </c>
      <c r="H3409" s="8" t="s">
        <v>8</v>
      </c>
      <c r="I3409" s="8" t="s">
        <v>8</v>
      </c>
      <c r="J3409" s="8" t="s">
        <v>8</v>
      </c>
      <c r="K3409" s="8" t="s">
        <v>8</v>
      </c>
      <c r="L3409" s="8" t="s">
        <v>8</v>
      </c>
      <c r="M3409" s="8"/>
      <c r="N3409" s="8"/>
      <c r="O3409" s="8" t="s">
        <v>8</v>
      </c>
      <c r="P3409" s="8" t="s">
        <v>8</v>
      </c>
    </row>
    <row r="3410">
      <c r="E3410" s="31"/>
      <c r="F3410" s="8" t="s">
        <v>8</v>
      </c>
      <c r="G3410" s="8" t="s">
        <v>8</v>
      </c>
      <c r="H3410" s="8" t="s">
        <v>8</v>
      </c>
      <c r="I3410" s="8" t="s">
        <v>8</v>
      </c>
      <c r="J3410" s="8" t="s">
        <v>8</v>
      </c>
      <c r="K3410" s="8" t="s">
        <v>8</v>
      </c>
      <c r="L3410" s="8" t="s">
        <v>8</v>
      </c>
      <c r="M3410" s="8"/>
      <c r="N3410" s="8"/>
      <c r="O3410" s="8" t="s">
        <v>8</v>
      </c>
      <c r="P3410" s="8" t="s">
        <v>8</v>
      </c>
    </row>
    <row r="3411">
      <c r="E3411" s="31"/>
      <c r="F3411" s="8" t="s">
        <v>8</v>
      </c>
      <c r="G3411" s="8" t="s">
        <v>8</v>
      </c>
      <c r="H3411" s="8" t="s">
        <v>8</v>
      </c>
      <c r="I3411" s="8" t="s">
        <v>8</v>
      </c>
      <c r="J3411" s="8" t="s">
        <v>8</v>
      </c>
      <c r="K3411" s="8" t="s">
        <v>8</v>
      </c>
      <c r="L3411" s="8" t="s">
        <v>8</v>
      </c>
      <c r="M3411" s="8"/>
      <c r="N3411" s="8"/>
      <c r="O3411" s="8" t="s">
        <v>8</v>
      </c>
      <c r="P3411" s="8" t="s">
        <v>8</v>
      </c>
    </row>
    <row r="3412">
      <c r="E3412" s="31"/>
      <c r="F3412" s="8" t="s">
        <v>8</v>
      </c>
      <c r="G3412" s="8" t="s">
        <v>8</v>
      </c>
      <c r="H3412" s="8" t="s">
        <v>8</v>
      </c>
      <c r="I3412" s="8" t="s">
        <v>8</v>
      </c>
      <c r="J3412" s="8" t="s">
        <v>8</v>
      </c>
      <c r="K3412" s="8" t="s">
        <v>8</v>
      </c>
      <c r="L3412" s="8" t="s">
        <v>8</v>
      </c>
      <c r="M3412" s="8"/>
      <c r="N3412" s="8"/>
      <c r="O3412" s="8" t="s">
        <v>8</v>
      </c>
      <c r="P3412" s="8" t="s">
        <v>8</v>
      </c>
    </row>
    <row r="3413">
      <c r="E3413" s="31"/>
      <c r="F3413" s="8" t="s">
        <v>8</v>
      </c>
      <c r="G3413" s="8" t="s">
        <v>8</v>
      </c>
      <c r="H3413" s="8" t="s">
        <v>8</v>
      </c>
      <c r="I3413" s="8" t="s">
        <v>8</v>
      </c>
      <c r="J3413" s="8" t="s">
        <v>8</v>
      </c>
      <c r="K3413" s="8" t="s">
        <v>8</v>
      </c>
      <c r="L3413" s="8" t="s">
        <v>8</v>
      </c>
      <c r="M3413" s="8"/>
      <c r="N3413" s="8"/>
      <c r="O3413" s="8" t="s">
        <v>8</v>
      </c>
      <c r="P3413" s="8" t="s">
        <v>8</v>
      </c>
    </row>
    <row r="3414">
      <c r="E3414" s="31"/>
      <c r="F3414" s="8" t="s">
        <v>8</v>
      </c>
      <c r="G3414" s="8" t="s">
        <v>8</v>
      </c>
      <c r="H3414" s="8" t="s">
        <v>8</v>
      </c>
      <c r="I3414" s="8" t="s">
        <v>8</v>
      </c>
      <c r="J3414" s="8" t="s">
        <v>8</v>
      </c>
      <c r="K3414" s="8" t="s">
        <v>8</v>
      </c>
      <c r="L3414" s="8" t="s">
        <v>8</v>
      </c>
      <c r="M3414" s="8"/>
      <c r="N3414" s="8"/>
      <c r="O3414" s="8" t="s">
        <v>8</v>
      </c>
      <c r="P3414" s="8" t="s">
        <v>8</v>
      </c>
    </row>
    <row r="3415">
      <c r="E3415" s="31"/>
      <c r="F3415" s="8" t="s">
        <v>8</v>
      </c>
      <c r="G3415" s="8" t="s">
        <v>8</v>
      </c>
      <c r="H3415" s="8" t="s">
        <v>8</v>
      </c>
      <c r="I3415" s="8" t="s">
        <v>8</v>
      </c>
      <c r="J3415" s="8" t="s">
        <v>8</v>
      </c>
      <c r="K3415" s="8" t="s">
        <v>8</v>
      </c>
      <c r="L3415" s="8" t="s">
        <v>8</v>
      </c>
      <c r="M3415" s="8"/>
      <c r="N3415" s="8"/>
      <c r="O3415" s="8" t="s">
        <v>8</v>
      </c>
      <c r="P3415" s="8" t="s">
        <v>8</v>
      </c>
    </row>
    <row r="3416">
      <c r="E3416" s="31"/>
      <c r="F3416" s="8" t="s">
        <v>8</v>
      </c>
      <c r="G3416" s="8" t="s">
        <v>8</v>
      </c>
      <c r="H3416" s="8" t="s">
        <v>8</v>
      </c>
      <c r="I3416" s="8" t="s">
        <v>8</v>
      </c>
      <c r="J3416" s="8" t="s">
        <v>8</v>
      </c>
      <c r="K3416" s="8" t="s">
        <v>8</v>
      </c>
      <c r="L3416" s="8" t="s">
        <v>8</v>
      </c>
      <c r="M3416" s="8"/>
      <c r="N3416" s="8"/>
      <c r="O3416" s="8" t="s">
        <v>8</v>
      </c>
      <c r="P3416" s="8" t="s">
        <v>8</v>
      </c>
    </row>
    <row r="3417">
      <c r="E3417" s="31"/>
      <c r="F3417" s="8" t="s">
        <v>8</v>
      </c>
      <c r="G3417" s="8" t="s">
        <v>8</v>
      </c>
      <c r="H3417" s="8" t="s">
        <v>8</v>
      </c>
      <c r="I3417" s="8" t="s">
        <v>8</v>
      </c>
      <c r="J3417" s="8" t="s">
        <v>8</v>
      </c>
      <c r="K3417" s="8" t="s">
        <v>8</v>
      </c>
      <c r="L3417" s="8" t="s">
        <v>8</v>
      </c>
      <c r="M3417" s="8"/>
      <c r="N3417" s="8"/>
      <c r="O3417" s="8" t="s">
        <v>8</v>
      </c>
      <c r="P3417" s="8" t="s">
        <v>8</v>
      </c>
    </row>
    <row r="3418">
      <c r="E3418" s="31"/>
      <c r="F3418" s="8" t="s">
        <v>8</v>
      </c>
      <c r="G3418" s="8" t="s">
        <v>8</v>
      </c>
      <c r="H3418" s="8" t="s">
        <v>8</v>
      </c>
      <c r="I3418" s="8" t="s">
        <v>8</v>
      </c>
      <c r="J3418" s="8" t="s">
        <v>8</v>
      </c>
      <c r="K3418" s="8" t="s">
        <v>8</v>
      </c>
      <c r="L3418" s="8" t="s">
        <v>8</v>
      </c>
      <c r="M3418" s="8"/>
      <c r="N3418" s="8"/>
      <c r="O3418" s="8" t="s">
        <v>8</v>
      </c>
      <c r="P3418" s="8" t="s">
        <v>8</v>
      </c>
    </row>
    <row r="3419">
      <c r="E3419" s="31"/>
      <c r="F3419" s="8" t="s">
        <v>8</v>
      </c>
      <c r="G3419" s="8" t="s">
        <v>8</v>
      </c>
      <c r="H3419" s="8" t="s">
        <v>8</v>
      </c>
      <c r="I3419" s="8" t="s">
        <v>8</v>
      </c>
      <c r="J3419" s="8" t="s">
        <v>8</v>
      </c>
      <c r="K3419" s="8" t="s">
        <v>8</v>
      </c>
      <c r="L3419" s="8" t="s">
        <v>8</v>
      </c>
      <c r="M3419" s="8"/>
      <c r="N3419" s="8"/>
      <c r="O3419" s="8" t="s">
        <v>8</v>
      </c>
      <c r="P3419" s="8" t="s">
        <v>8</v>
      </c>
    </row>
    <row r="3420">
      <c r="E3420" s="31"/>
      <c r="F3420" s="8" t="s">
        <v>8</v>
      </c>
      <c r="G3420" s="8" t="s">
        <v>8</v>
      </c>
      <c r="H3420" s="8" t="s">
        <v>8</v>
      </c>
      <c r="I3420" s="8" t="s">
        <v>8</v>
      </c>
      <c r="J3420" s="8" t="s">
        <v>8</v>
      </c>
      <c r="K3420" s="8" t="s">
        <v>8</v>
      </c>
      <c r="L3420" s="8" t="s">
        <v>8</v>
      </c>
      <c r="M3420" s="8"/>
      <c r="N3420" s="8"/>
      <c r="O3420" s="8" t="s">
        <v>8</v>
      </c>
      <c r="P3420" s="8" t="s">
        <v>8</v>
      </c>
    </row>
    <row r="3421">
      <c r="E3421" s="31"/>
      <c r="F3421" s="8" t="s">
        <v>8</v>
      </c>
      <c r="G3421" s="8" t="s">
        <v>8</v>
      </c>
      <c r="H3421" s="8" t="s">
        <v>8</v>
      </c>
      <c r="I3421" s="8" t="s">
        <v>8</v>
      </c>
      <c r="J3421" s="8" t="s">
        <v>8</v>
      </c>
      <c r="K3421" s="8" t="s">
        <v>8</v>
      </c>
      <c r="L3421" s="8" t="s">
        <v>8</v>
      </c>
      <c r="M3421" s="8"/>
      <c r="N3421" s="8"/>
      <c r="O3421" s="8" t="s">
        <v>8</v>
      </c>
      <c r="P3421" s="8" t="s">
        <v>8</v>
      </c>
    </row>
    <row r="3422">
      <c r="E3422" s="31"/>
      <c r="F3422" s="8" t="s">
        <v>8</v>
      </c>
      <c r="G3422" s="8" t="s">
        <v>8</v>
      </c>
      <c r="H3422" s="8" t="s">
        <v>8</v>
      </c>
      <c r="I3422" s="8" t="s">
        <v>8</v>
      </c>
      <c r="J3422" s="8" t="s">
        <v>8</v>
      </c>
      <c r="K3422" s="8" t="s">
        <v>8</v>
      </c>
      <c r="L3422" s="8" t="s">
        <v>8</v>
      </c>
      <c r="M3422" s="8"/>
      <c r="N3422" s="8"/>
      <c r="O3422" s="8" t="s">
        <v>8</v>
      </c>
      <c r="P3422" s="8" t="s">
        <v>8</v>
      </c>
    </row>
    <row r="3423">
      <c r="E3423" s="31"/>
      <c r="F3423" s="8" t="s">
        <v>8</v>
      </c>
      <c r="G3423" s="8" t="s">
        <v>8</v>
      </c>
      <c r="H3423" s="8" t="s">
        <v>8</v>
      </c>
      <c r="I3423" s="8" t="s">
        <v>8</v>
      </c>
      <c r="J3423" s="8" t="s">
        <v>8</v>
      </c>
      <c r="K3423" s="8" t="s">
        <v>8</v>
      </c>
      <c r="L3423" s="8" t="s">
        <v>8</v>
      </c>
      <c r="M3423" s="8"/>
      <c r="N3423" s="8"/>
      <c r="O3423" s="8" t="s">
        <v>8</v>
      </c>
      <c r="P3423" s="8" t="s">
        <v>8</v>
      </c>
    </row>
    <row r="3424">
      <c r="E3424" s="31"/>
      <c r="F3424" s="8" t="s">
        <v>8</v>
      </c>
      <c r="G3424" s="8" t="s">
        <v>8</v>
      </c>
      <c r="H3424" s="8" t="s">
        <v>8</v>
      </c>
      <c r="I3424" s="8" t="s">
        <v>8</v>
      </c>
      <c r="J3424" s="8" t="s">
        <v>8</v>
      </c>
      <c r="K3424" s="8" t="s">
        <v>8</v>
      </c>
      <c r="L3424" s="8" t="s">
        <v>8</v>
      </c>
      <c r="M3424" s="8"/>
      <c r="N3424" s="8"/>
      <c r="O3424" s="8" t="s">
        <v>8</v>
      </c>
      <c r="P3424" s="8" t="s">
        <v>8</v>
      </c>
    </row>
    <row r="3425">
      <c r="E3425" s="31"/>
      <c r="F3425" s="8" t="s">
        <v>8</v>
      </c>
      <c r="G3425" s="8" t="s">
        <v>8</v>
      </c>
      <c r="H3425" s="8" t="s">
        <v>8</v>
      </c>
      <c r="I3425" s="8" t="s">
        <v>8</v>
      </c>
      <c r="J3425" s="8" t="s">
        <v>8</v>
      </c>
      <c r="K3425" s="8" t="s">
        <v>8</v>
      </c>
      <c r="L3425" s="8" t="s">
        <v>8</v>
      </c>
      <c r="M3425" s="8"/>
      <c r="N3425" s="8"/>
      <c r="O3425" s="8" t="s">
        <v>8</v>
      </c>
      <c r="P3425" s="8" t="s">
        <v>8</v>
      </c>
    </row>
    <row r="3426">
      <c r="E3426" s="31"/>
      <c r="F3426" s="8" t="s">
        <v>8</v>
      </c>
      <c r="G3426" s="8" t="s">
        <v>8</v>
      </c>
      <c r="H3426" s="8" t="s">
        <v>8</v>
      </c>
      <c r="I3426" s="8" t="s">
        <v>8</v>
      </c>
      <c r="J3426" s="8" t="s">
        <v>8</v>
      </c>
      <c r="K3426" s="8" t="s">
        <v>8</v>
      </c>
      <c r="L3426" s="8" t="s">
        <v>8</v>
      </c>
      <c r="M3426" s="8"/>
      <c r="N3426" s="8"/>
      <c r="O3426" s="8" t="s">
        <v>8</v>
      </c>
      <c r="P3426" s="8" t="s">
        <v>8</v>
      </c>
    </row>
    <row r="3427">
      <c r="E3427" s="31"/>
      <c r="F3427" s="8" t="s">
        <v>8</v>
      </c>
      <c r="G3427" s="8" t="s">
        <v>8</v>
      </c>
      <c r="H3427" s="8" t="s">
        <v>8</v>
      </c>
      <c r="I3427" s="8" t="s">
        <v>8</v>
      </c>
      <c r="J3427" s="8" t="s">
        <v>8</v>
      </c>
      <c r="K3427" s="8" t="s">
        <v>8</v>
      </c>
      <c r="L3427" s="8" t="s">
        <v>8</v>
      </c>
      <c r="M3427" s="8"/>
      <c r="N3427" s="8"/>
      <c r="O3427" s="8" t="s">
        <v>8</v>
      </c>
      <c r="P3427" s="8" t="s">
        <v>8</v>
      </c>
    </row>
    <row r="3428">
      <c r="E3428" s="31"/>
      <c r="F3428" s="8" t="s">
        <v>8</v>
      </c>
      <c r="G3428" s="8" t="s">
        <v>8</v>
      </c>
      <c r="H3428" s="8" t="s">
        <v>8</v>
      </c>
      <c r="I3428" s="8" t="s">
        <v>8</v>
      </c>
      <c r="J3428" s="8" t="s">
        <v>8</v>
      </c>
      <c r="K3428" s="8" t="s">
        <v>8</v>
      </c>
      <c r="L3428" s="8" t="s">
        <v>8</v>
      </c>
      <c r="M3428" s="8"/>
      <c r="N3428" s="8"/>
      <c r="O3428" s="8" t="s">
        <v>8</v>
      </c>
      <c r="P3428" s="8" t="s">
        <v>8</v>
      </c>
    </row>
    <row r="3429">
      <c r="E3429" s="31"/>
      <c r="F3429" s="8" t="s">
        <v>8</v>
      </c>
      <c r="G3429" s="8" t="s">
        <v>8</v>
      </c>
      <c r="H3429" s="8" t="s">
        <v>8</v>
      </c>
      <c r="I3429" s="8" t="s">
        <v>8</v>
      </c>
      <c r="J3429" s="8" t="s">
        <v>8</v>
      </c>
      <c r="K3429" s="8" t="s">
        <v>8</v>
      </c>
      <c r="L3429" s="8" t="s">
        <v>8</v>
      </c>
      <c r="M3429" s="8"/>
      <c r="N3429" s="8"/>
      <c r="O3429" s="8" t="s">
        <v>8</v>
      </c>
      <c r="P3429" s="8" t="s">
        <v>8</v>
      </c>
    </row>
    <row r="3430">
      <c r="E3430" s="31"/>
      <c r="F3430" s="8" t="s">
        <v>8</v>
      </c>
      <c r="G3430" s="8" t="s">
        <v>8</v>
      </c>
      <c r="H3430" s="8" t="s">
        <v>8</v>
      </c>
      <c r="I3430" s="8" t="s">
        <v>8</v>
      </c>
      <c r="J3430" s="8" t="s">
        <v>8</v>
      </c>
      <c r="K3430" s="8" t="s">
        <v>8</v>
      </c>
      <c r="L3430" s="8" t="s">
        <v>8</v>
      </c>
      <c r="M3430" s="8"/>
      <c r="N3430" s="8"/>
      <c r="O3430" s="8" t="s">
        <v>8</v>
      </c>
      <c r="P3430" s="8" t="s">
        <v>8</v>
      </c>
    </row>
    <row r="3431">
      <c r="E3431" s="31"/>
      <c r="F3431" s="8" t="s">
        <v>8</v>
      </c>
      <c r="G3431" s="8" t="s">
        <v>8</v>
      </c>
      <c r="H3431" s="8" t="s">
        <v>8</v>
      </c>
      <c r="I3431" s="8" t="s">
        <v>8</v>
      </c>
      <c r="J3431" s="8" t="s">
        <v>8</v>
      </c>
      <c r="K3431" s="8" t="s">
        <v>8</v>
      </c>
      <c r="L3431" s="8" t="s">
        <v>8</v>
      </c>
      <c r="M3431" s="8"/>
      <c r="N3431" s="8"/>
      <c r="O3431" s="8" t="s">
        <v>8</v>
      </c>
      <c r="P3431" s="8" t="s">
        <v>8</v>
      </c>
    </row>
    <row r="3432">
      <c r="E3432" s="31"/>
      <c r="F3432" s="8" t="s">
        <v>8</v>
      </c>
      <c r="G3432" s="8" t="s">
        <v>8</v>
      </c>
      <c r="H3432" s="8" t="s">
        <v>8</v>
      </c>
      <c r="I3432" s="8" t="s">
        <v>8</v>
      </c>
      <c r="J3432" s="8" t="s">
        <v>8</v>
      </c>
      <c r="K3432" s="8" t="s">
        <v>8</v>
      </c>
      <c r="L3432" s="8" t="s">
        <v>8</v>
      </c>
      <c r="M3432" s="8"/>
      <c r="N3432" s="8"/>
      <c r="O3432" s="8" t="s">
        <v>8</v>
      </c>
      <c r="P3432" s="8" t="s">
        <v>8</v>
      </c>
    </row>
    <row r="3433">
      <c r="E3433" s="31"/>
      <c r="F3433" s="8" t="s">
        <v>8</v>
      </c>
      <c r="G3433" s="8" t="s">
        <v>8</v>
      </c>
      <c r="H3433" s="8" t="s">
        <v>8</v>
      </c>
      <c r="I3433" s="8" t="s">
        <v>8</v>
      </c>
      <c r="J3433" s="8" t="s">
        <v>8</v>
      </c>
      <c r="K3433" s="8" t="s">
        <v>8</v>
      </c>
      <c r="L3433" s="8" t="s">
        <v>8</v>
      </c>
      <c r="M3433" s="8"/>
      <c r="N3433" s="8"/>
      <c r="O3433" s="8" t="s">
        <v>8</v>
      </c>
      <c r="P3433" s="8" t="s">
        <v>8</v>
      </c>
    </row>
    <row r="3434">
      <c r="E3434" s="31"/>
      <c r="F3434" s="8" t="s">
        <v>8</v>
      </c>
      <c r="G3434" s="8" t="s">
        <v>8</v>
      </c>
      <c r="H3434" s="8" t="s">
        <v>8</v>
      </c>
      <c r="I3434" s="8" t="s">
        <v>8</v>
      </c>
      <c r="J3434" s="8" t="s">
        <v>8</v>
      </c>
      <c r="K3434" s="8" t="s">
        <v>8</v>
      </c>
      <c r="L3434" s="8" t="s">
        <v>8</v>
      </c>
      <c r="M3434" s="8"/>
      <c r="N3434" s="8"/>
      <c r="O3434" s="8" t="s">
        <v>8</v>
      </c>
      <c r="P3434" s="8" t="s">
        <v>8</v>
      </c>
    </row>
    <row r="3435">
      <c r="E3435" s="31"/>
      <c r="F3435" s="8" t="s">
        <v>8</v>
      </c>
      <c r="G3435" s="8" t="s">
        <v>8</v>
      </c>
      <c r="H3435" s="8" t="s">
        <v>8</v>
      </c>
      <c r="I3435" s="8" t="s">
        <v>8</v>
      </c>
      <c r="J3435" s="8" t="s">
        <v>8</v>
      </c>
      <c r="K3435" s="8" t="s">
        <v>8</v>
      </c>
      <c r="L3435" s="8" t="s">
        <v>8</v>
      </c>
      <c r="M3435" s="8"/>
      <c r="N3435" s="8"/>
      <c r="O3435" s="8" t="s">
        <v>8</v>
      </c>
      <c r="P3435" s="8" t="s">
        <v>8</v>
      </c>
    </row>
    <row r="3436">
      <c r="E3436" s="31"/>
      <c r="F3436" s="8" t="s">
        <v>8</v>
      </c>
      <c r="G3436" s="8" t="s">
        <v>8</v>
      </c>
      <c r="H3436" s="8" t="s">
        <v>8</v>
      </c>
      <c r="I3436" s="8" t="s">
        <v>8</v>
      </c>
      <c r="J3436" s="8" t="s">
        <v>8</v>
      </c>
      <c r="K3436" s="8" t="s">
        <v>8</v>
      </c>
      <c r="L3436" s="8" t="s">
        <v>8</v>
      </c>
      <c r="M3436" s="8"/>
      <c r="N3436" s="8"/>
      <c r="O3436" s="8" t="s">
        <v>8</v>
      </c>
      <c r="P3436" s="8" t="s">
        <v>8</v>
      </c>
    </row>
    <row r="3437">
      <c r="E3437" s="31"/>
      <c r="F3437" s="8" t="s">
        <v>8</v>
      </c>
      <c r="G3437" s="8" t="s">
        <v>8</v>
      </c>
      <c r="H3437" s="8" t="s">
        <v>8</v>
      </c>
      <c r="I3437" s="8" t="s">
        <v>8</v>
      </c>
      <c r="J3437" s="8" t="s">
        <v>8</v>
      </c>
      <c r="K3437" s="8" t="s">
        <v>8</v>
      </c>
      <c r="L3437" s="8" t="s">
        <v>8</v>
      </c>
      <c r="M3437" s="8"/>
      <c r="N3437" s="8"/>
      <c r="O3437" s="8" t="s">
        <v>8</v>
      </c>
      <c r="P3437" s="8" t="s">
        <v>8</v>
      </c>
    </row>
    <row r="3438">
      <c r="E3438" s="31"/>
      <c r="F3438" s="8" t="s">
        <v>8</v>
      </c>
      <c r="G3438" s="8" t="s">
        <v>8</v>
      </c>
      <c r="H3438" s="8" t="s">
        <v>8</v>
      </c>
      <c r="I3438" s="8" t="s">
        <v>8</v>
      </c>
      <c r="J3438" s="8" t="s">
        <v>8</v>
      </c>
      <c r="K3438" s="8" t="s">
        <v>8</v>
      </c>
      <c r="L3438" s="8" t="s">
        <v>8</v>
      </c>
      <c r="M3438" s="8"/>
      <c r="N3438" s="8"/>
      <c r="O3438" s="8" t="s">
        <v>8</v>
      </c>
      <c r="P3438" s="8" t="s">
        <v>8</v>
      </c>
    </row>
    <row r="3439">
      <c r="E3439" s="31"/>
      <c r="F3439" s="8" t="s">
        <v>8</v>
      </c>
      <c r="G3439" s="8" t="s">
        <v>8</v>
      </c>
      <c r="H3439" s="8" t="s">
        <v>8</v>
      </c>
      <c r="I3439" s="8" t="s">
        <v>8</v>
      </c>
      <c r="J3439" s="8" t="s">
        <v>8</v>
      </c>
      <c r="K3439" s="8" t="s">
        <v>8</v>
      </c>
      <c r="L3439" s="8" t="s">
        <v>8</v>
      </c>
      <c r="M3439" s="8"/>
      <c r="N3439" s="8"/>
      <c r="O3439" s="8" t="s">
        <v>8</v>
      </c>
      <c r="P3439" s="8" t="s">
        <v>8</v>
      </c>
    </row>
    <row r="3440">
      <c r="E3440" s="31"/>
      <c r="F3440" s="8" t="s">
        <v>8</v>
      </c>
      <c r="G3440" s="8" t="s">
        <v>8</v>
      </c>
      <c r="H3440" s="8" t="s">
        <v>8</v>
      </c>
      <c r="I3440" s="8" t="s">
        <v>8</v>
      </c>
      <c r="J3440" s="8" t="s">
        <v>8</v>
      </c>
      <c r="K3440" s="8" t="s">
        <v>8</v>
      </c>
      <c r="L3440" s="8" t="s">
        <v>8</v>
      </c>
      <c r="M3440" s="8"/>
      <c r="N3440" s="8"/>
      <c r="O3440" s="8" t="s">
        <v>8</v>
      </c>
      <c r="P3440" s="8" t="s">
        <v>8</v>
      </c>
    </row>
    <row r="3441">
      <c r="E3441" s="31"/>
      <c r="F3441" s="8" t="s">
        <v>8</v>
      </c>
      <c r="G3441" s="8" t="s">
        <v>8</v>
      </c>
      <c r="H3441" s="8" t="s">
        <v>8</v>
      </c>
      <c r="I3441" s="8" t="s">
        <v>8</v>
      </c>
      <c r="J3441" s="8" t="s">
        <v>8</v>
      </c>
      <c r="K3441" s="8" t="s">
        <v>8</v>
      </c>
      <c r="L3441" s="8" t="s">
        <v>8</v>
      </c>
      <c r="M3441" s="8"/>
      <c r="N3441" s="8"/>
      <c r="O3441" s="8" t="s">
        <v>8</v>
      </c>
      <c r="P3441" s="8" t="s">
        <v>8</v>
      </c>
    </row>
    <row r="3442">
      <c r="E3442" s="31"/>
      <c r="F3442" s="8" t="s">
        <v>8</v>
      </c>
      <c r="G3442" s="8" t="s">
        <v>8</v>
      </c>
      <c r="H3442" s="8" t="s">
        <v>8</v>
      </c>
      <c r="I3442" s="8" t="s">
        <v>8</v>
      </c>
      <c r="J3442" s="8" t="s">
        <v>8</v>
      </c>
      <c r="K3442" s="8" t="s">
        <v>8</v>
      </c>
      <c r="L3442" s="8" t="s">
        <v>8</v>
      </c>
      <c r="M3442" s="8"/>
      <c r="N3442" s="8"/>
      <c r="O3442" s="8" t="s">
        <v>8</v>
      </c>
      <c r="P3442" s="8" t="s">
        <v>8</v>
      </c>
    </row>
    <row r="3443">
      <c r="E3443" s="31"/>
      <c r="F3443" s="8" t="s">
        <v>8</v>
      </c>
      <c r="G3443" s="8" t="s">
        <v>8</v>
      </c>
      <c r="H3443" s="8" t="s">
        <v>8</v>
      </c>
      <c r="I3443" s="8" t="s">
        <v>8</v>
      </c>
      <c r="J3443" s="8" t="s">
        <v>8</v>
      </c>
      <c r="K3443" s="8" t="s">
        <v>8</v>
      </c>
      <c r="L3443" s="8" t="s">
        <v>8</v>
      </c>
      <c r="M3443" s="8"/>
      <c r="N3443" s="8"/>
      <c r="O3443" s="8" t="s">
        <v>8</v>
      </c>
      <c r="P3443" s="8" t="s">
        <v>8</v>
      </c>
    </row>
    <row r="3444">
      <c r="E3444" s="31"/>
      <c r="F3444" s="8" t="s">
        <v>8</v>
      </c>
      <c r="G3444" s="8" t="s">
        <v>8</v>
      </c>
      <c r="H3444" s="8" t="s">
        <v>8</v>
      </c>
      <c r="I3444" s="8" t="s">
        <v>8</v>
      </c>
      <c r="J3444" s="8" t="s">
        <v>8</v>
      </c>
      <c r="K3444" s="8" t="s">
        <v>8</v>
      </c>
      <c r="L3444" s="8" t="s">
        <v>8</v>
      </c>
      <c r="M3444" s="8"/>
      <c r="N3444" s="8"/>
      <c r="O3444" s="8" t="s">
        <v>8</v>
      </c>
      <c r="P3444" s="8" t="s">
        <v>8</v>
      </c>
    </row>
    <row r="3445">
      <c r="E3445" s="31"/>
      <c r="F3445" s="8" t="s">
        <v>8</v>
      </c>
      <c r="G3445" s="8" t="s">
        <v>8</v>
      </c>
      <c r="H3445" s="8" t="s">
        <v>8</v>
      </c>
      <c r="I3445" s="8" t="s">
        <v>8</v>
      </c>
      <c r="J3445" s="8" t="s">
        <v>8</v>
      </c>
      <c r="K3445" s="8" t="s">
        <v>8</v>
      </c>
      <c r="L3445" s="8" t="s">
        <v>8</v>
      </c>
      <c r="M3445" s="8"/>
      <c r="N3445" s="8"/>
      <c r="O3445" s="8" t="s">
        <v>8</v>
      </c>
      <c r="P3445" s="8" t="s">
        <v>8</v>
      </c>
    </row>
    <row r="3446">
      <c r="E3446" s="31"/>
      <c r="F3446" s="8" t="s">
        <v>8</v>
      </c>
      <c r="G3446" s="8" t="s">
        <v>8</v>
      </c>
      <c r="H3446" s="8" t="s">
        <v>8</v>
      </c>
      <c r="I3446" s="8" t="s">
        <v>8</v>
      </c>
      <c r="J3446" s="8" t="s">
        <v>8</v>
      </c>
      <c r="K3446" s="8" t="s">
        <v>8</v>
      </c>
      <c r="L3446" s="8" t="s">
        <v>8</v>
      </c>
      <c r="M3446" s="8"/>
      <c r="N3446" s="8"/>
      <c r="O3446" s="8" t="s">
        <v>8</v>
      </c>
      <c r="P3446" s="8" t="s">
        <v>8</v>
      </c>
    </row>
    <row r="3447">
      <c r="E3447" s="31"/>
      <c r="F3447" s="8" t="s">
        <v>8</v>
      </c>
      <c r="G3447" s="8" t="s">
        <v>8</v>
      </c>
      <c r="H3447" s="8" t="s">
        <v>8</v>
      </c>
      <c r="I3447" s="8" t="s">
        <v>8</v>
      </c>
      <c r="J3447" s="8" t="s">
        <v>8</v>
      </c>
      <c r="K3447" s="8" t="s">
        <v>8</v>
      </c>
      <c r="L3447" s="8" t="s">
        <v>8</v>
      </c>
      <c r="M3447" s="8"/>
      <c r="N3447" s="8"/>
      <c r="O3447" s="8" t="s">
        <v>8</v>
      </c>
      <c r="P3447" s="8" t="s">
        <v>8</v>
      </c>
    </row>
    <row r="3448">
      <c r="E3448" s="31"/>
      <c r="F3448" s="8" t="s">
        <v>8</v>
      </c>
      <c r="G3448" s="8" t="s">
        <v>8</v>
      </c>
      <c r="H3448" s="8" t="s">
        <v>8</v>
      </c>
      <c r="I3448" s="8" t="s">
        <v>8</v>
      </c>
      <c r="J3448" s="8" t="s">
        <v>8</v>
      </c>
      <c r="K3448" s="8" t="s">
        <v>8</v>
      </c>
      <c r="L3448" s="8" t="s">
        <v>8</v>
      </c>
      <c r="M3448" s="8"/>
      <c r="N3448" s="8"/>
      <c r="O3448" s="8" t="s">
        <v>8</v>
      </c>
      <c r="P3448" s="8" t="s">
        <v>8</v>
      </c>
    </row>
    <row r="3449">
      <c r="E3449" s="31"/>
      <c r="F3449" s="8" t="s">
        <v>8</v>
      </c>
      <c r="G3449" s="8" t="s">
        <v>8</v>
      </c>
      <c r="H3449" s="8" t="s">
        <v>8</v>
      </c>
      <c r="I3449" s="8" t="s">
        <v>8</v>
      </c>
      <c r="J3449" s="8" t="s">
        <v>8</v>
      </c>
      <c r="K3449" s="8" t="s">
        <v>8</v>
      </c>
      <c r="L3449" s="8" t="s">
        <v>8</v>
      </c>
      <c r="M3449" s="8"/>
      <c r="N3449" s="8"/>
      <c r="O3449" s="8" t="s">
        <v>8</v>
      </c>
      <c r="P3449" s="8" t="s">
        <v>8</v>
      </c>
    </row>
    <row r="3450">
      <c r="E3450" s="31"/>
      <c r="F3450" s="8" t="s">
        <v>8</v>
      </c>
      <c r="G3450" s="8" t="s">
        <v>8</v>
      </c>
      <c r="H3450" s="8" t="s">
        <v>8</v>
      </c>
      <c r="I3450" s="8" t="s">
        <v>8</v>
      </c>
      <c r="J3450" s="8" t="s">
        <v>8</v>
      </c>
      <c r="K3450" s="8" t="s">
        <v>8</v>
      </c>
      <c r="L3450" s="8" t="s">
        <v>8</v>
      </c>
      <c r="M3450" s="8"/>
      <c r="N3450" s="8"/>
      <c r="O3450" s="8" t="s">
        <v>8</v>
      </c>
      <c r="P3450" s="8" t="s">
        <v>8</v>
      </c>
    </row>
    <row r="3451">
      <c r="E3451" s="31"/>
      <c r="F3451" s="8" t="s">
        <v>8</v>
      </c>
      <c r="G3451" s="8" t="s">
        <v>8</v>
      </c>
      <c r="H3451" s="8" t="s">
        <v>8</v>
      </c>
      <c r="I3451" s="8" t="s">
        <v>8</v>
      </c>
      <c r="J3451" s="8" t="s">
        <v>8</v>
      </c>
      <c r="K3451" s="8" t="s">
        <v>8</v>
      </c>
      <c r="L3451" s="8" t="s">
        <v>8</v>
      </c>
      <c r="M3451" s="8"/>
      <c r="N3451" s="8"/>
      <c r="O3451" s="8" t="s">
        <v>8</v>
      </c>
      <c r="P3451" s="8" t="s">
        <v>8</v>
      </c>
    </row>
    <row r="3452">
      <c r="E3452" s="31"/>
      <c r="F3452" s="8" t="s">
        <v>8</v>
      </c>
      <c r="G3452" s="8" t="s">
        <v>8</v>
      </c>
      <c r="H3452" s="8" t="s">
        <v>8</v>
      </c>
      <c r="I3452" s="8" t="s">
        <v>8</v>
      </c>
      <c r="J3452" s="8" t="s">
        <v>8</v>
      </c>
      <c r="K3452" s="8" t="s">
        <v>8</v>
      </c>
      <c r="L3452" s="8" t="s">
        <v>8</v>
      </c>
      <c r="M3452" s="8"/>
      <c r="N3452" s="8"/>
      <c r="O3452" s="8" t="s">
        <v>8</v>
      </c>
      <c r="P3452" s="8" t="s">
        <v>8</v>
      </c>
    </row>
    <row r="3453">
      <c r="E3453" s="31"/>
      <c r="F3453" s="8" t="s">
        <v>8</v>
      </c>
      <c r="G3453" s="8" t="s">
        <v>8</v>
      </c>
      <c r="H3453" s="8" t="s">
        <v>8</v>
      </c>
      <c r="I3453" s="8" t="s">
        <v>8</v>
      </c>
      <c r="J3453" s="8" t="s">
        <v>8</v>
      </c>
      <c r="K3453" s="8" t="s">
        <v>8</v>
      </c>
      <c r="L3453" s="8" t="s">
        <v>8</v>
      </c>
      <c r="M3453" s="8"/>
      <c r="N3453" s="8"/>
      <c r="O3453" s="8" t="s">
        <v>8</v>
      </c>
      <c r="P3453" s="8" t="s">
        <v>8</v>
      </c>
    </row>
    <row r="3454">
      <c r="E3454" s="31"/>
      <c r="F3454" s="8" t="s">
        <v>8</v>
      </c>
      <c r="G3454" s="8" t="s">
        <v>8</v>
      </c>
      <c r="H3454" s="8" t="s">
        <v>8</v>
      </c>
      <c r="I3454" s="8" t="s">
        <v>8</v>
      </c>
      <c r="J3454" s="8" t="s">
        <v>8</v>
      </c>
      <c r="K3454" s="8" t="s">
        <v>8</v>
      </c>
      <c r="L3454" s="8" t="s">
        <v>8</v>
      </c>
      <c r="M3454" s="8"/>
      <c r="N3454" s="8"/>
      <c r="O3454" s="8" t="s">
        <v>8</v>
      </c>
      <c r="P3454" s="8" t="s">
        <v>8</v>
      </c>
    </row>
    <row r="3455">
      <c r="E3455" s="31"/>
      <c r="F3455" s="8" t="s">
        <v>8</v>
      </c>
      <c r="G3455" s="8" t="s">
        <v>8</v>
      </c>
      <c r="H3455" s="8" t="s">
        <v>8</v>
      </c>
      <c r="I3455" s="8" t="s">
        <v>8</v>
      </c>
      <c r="J3455" s="8" t="s">
        <v>8</v>
      </c>
      <c r="K3455" s="8" t="s">
        <v>8</v>
      </c>
      <c r="L3455" s="8" t="s">
        <v>8</v>
      </c>
      <c r="M3455" s="8"/>
      <c r="N3455" s="8"/>
      <c r="O3455" s="8" t="s">
        <v>8</v>
      </c>
      <c r="P3455" s="8" t="s">
        <v>8</v>
      </c>
    </row>
    <row r="3456">
      <c r="E3456" s="31"/>
      <c r="F3456" s="8" t="s">
        <v>8</v>
      </c>
      <c r="G3456" s="8" t="s">
        <v>8</v>
      </c>
      <c r="H3456" s="8" t="s">
        <v>8</v>
      </c>
      <c r="I3456" s="8" t="s">
        <v>8</v>
      </c>
      <c r="J3456" s="8" t="s">
        <v>8</v>
      </c>
      <c r="K3456" s="8" t="s">
        <v>8</v>
      </c>
      <c r="L3456" s="8" t="s">
        <v>8</v>
      </c>
      <c r="M3456" s="8"/>
      <c r="N3456" s="8"/>
      <c r="O3456" s="8" t="s">
        <v>8</v>
      </c>
      <c r="P3456" s="8" t="s">
        <v>8</v>
      </c>
    </row>
    <row r="3457">
      <c r="E3457" s="31"/>
      <c r="F3457" s="8" t="s">
        <v>8</v>
      </c>
      <c r="G3457" s="8" t="s">
        <v>8</v>
      </c>
      <c r="H3457" s="8" t="s">
        <v>8</v>
      </c>
      <c r="I3457" s="8" t="s">
        <v>8</v>
      </c>
      <c r="J3457" s="8" t="s">
        <v>8</v>
      </c>
      <c r="K3457" s="8" t="s">
        <v>8</v>
      </c>
      <c r="L3457" s="8" t="s">
        <v>8</v>
      </c>
      <c r="M3457" s="8"/>
      <c r="N3457" s="8"/>
      <c r="O3457" s="8" t="s">
        <v>8</v>
      </c>
      <c r="P3457" s="8" t="s">
        <v>8</v>
      </c>
    </row>
    <row r="3458">
      <c r="E3458" s="31"/>
      <c r="F3458" s="8" t="s">
        <v>8</v>
      </c>
      <c r="G3458" s="8" t="s">
        <v>8</v>
      </c>
      <c r="H3458" s="8" t="s">
        <v>8</v>
      </c>
      <c r="I3458" s="8" t="s">
        <v>8</v>
      </c>
      <c r="J3458" s="8" t="s">
        <v>8</v>
      </c>
      <c r="K3458" s="8" t="s">
        <v>8</v>
      </c>
      <c r="L3458" s="8" t="s">
        <v>8</v>
      </c>
      <c r="M3458" s="8"/>
      <c r="N3458" s="8"/>
      <c r="O3458" s="8" t="s">
        <v>8</v>
      </c>
      <c r="P3458" s="8" t="s">
        <v>8</v>
      </c>
    </row>
    <row r="3459">
      <c r="E3459" s="31"/>
      <c r="F3459" s="8" t="s">
        <v>8</v>
      </c>
      <c r="G3459" s="8" t="s">
        <v>8</v>
      </c>
      <c r="H3459" s="8" t="s">
        <v>8</v>
      </c>
      <c r="I3459" s="8" t="s">
        <v>8</v>
      </c>
      <c r="J3459" s="8" t="s">
        <v>8</v>
      </c>
      <c r="K3459" s="8" t="s">
        <v>8</v>
      </c>
      <c r="L3459" s="8" t="s">
        <v>8</v>
      </c>
      <c r="M3459" s="8"/>
      <c r="N3459" s="8"/>
      <c r="O3459" s="8" t="s">
        <v>8</v>
      </c>
      <c r="P3459" s="8" t="s">
        <v>8</v>
      </c>
    </row>
    <row r="3460">
      <c r="E3460" s="31"/>
      <c r="F3460" s="8" t="s">
        <v>8</v>
      </c>
      <c r="G3460" s="8" t="s">
        <v>8</v>
      </c>
      <c r="H3460" s="8" t="s">
        <v>8</v>
      </c>
      <c r="I3460" s="8" t="s">
        <v>8</v>
      </c>
      <c r="J3460" s="8" t="s">
        <v>8</v>
      </c>
      <c r="K3460" s="8" t="s">
        <v>8</v>
      </c>
      <c r="L3460" s="8" t="s">
        <v>8</v>
      </c>
      <c r="M3460" s="8"/>
      <c r="N3460" s="8"/>
      <c r="O3460" s="8" t="s">
        <v>8</v>
      </c>
      <c r="P3460" s="8" t="s">
        <v>8</v>
      </c>
    </row>
    <row r="3461">
      <c r="E3461" s="31"/>
      <c r="F3461" s="8" t="s">
        <v>8</v>
      </c>
      <c r="G3461" s="8" t="s">
        <v>8</v>
      </c>
      <c r="H3461" s="8" t="s">
        <v>8</v>
      </c>
      <c r="I3461" s="8" t="s">
        <v>8</v>
      </c>
      <c r="J3461" s="8" t="s">
        <v>8</v>
      </c>
      <c r="K3461" s="8" t="s">
        <v>8</v>
      </c>
      <c r="L3461" s="8" t="s">
        <v>8</v>
      </c>
      <c r="M3461" s="8"/>
      <c r="N3461" s="8"/>
      <c r="O3461" s="8" t="s">
        <v>8</v>
      </c>
      <c r="P3461" s="8" t="s">
        <v>8</v>
      </c>
    </row>
    <row r="3462">
      <c r="E3462" s="31"/>
      <c r="F3462" s="8" t="s">
        <v>8</v>
      </c>
      <c r="G3462" s="8" t="s">
        <v>8</v>
      </c>
      <c r="H3462" s="8" t="s">
        <v>8</v>
      </c>
      <c r="I3462" s="8" t="s">
        <v>8</v>
      </c>
      <c r="J3462" s="8" t="s">
        <v>8</v>
      </c>
      <c r="K3462" s="8" t="s">
        <v>8</v>
      </c>
      <c r="L3462" s="8" t="s">
        <v>8</v>
      </c>
      <c r="M3462" s="8"/>
      <c r="N3462" s="8"/>
      <c r="O3462" s="8" t="s">
        <v>8</v>
      </c>
      <c r="P3462" s="8" t="s">
        <v>8</v>
      </c>
    </row>
    <row r="3463">
      <c r="E3463" s="31"/>
      <c r="F3463" s="8" t="s">
        <v>8</v>
      </c>
      <c r="G3463" s="8" t="s">
        <v>8</v>
      </c>
      <c r="H3463" s="8" t="s">
        <v>8</v>
      </c>
      <c r="I3463" s="8" t="s">
        <v>8</v>
      </c>
      <c r="J3463" s="8" t="s">
        <v>8</v>
      </c>
      <c r="K3463" s="8" t="s">
        <v>8</v>
      </c>
      <c r="L3463" s="8" t="s">
        <v>8</v>
      </c>
      <c r="M3463" s="8"/>
      <c r="N3463" s="8"/>
      <c r="O3463" s="8" t="s">
        <v>8</v>
      </c>
      <c r="P3463" s="8" t="s">
        <v>8</v>
      </c>
    </row>
    <row r="3464">
      <c r="E3464" s="31"/>
      <c r="F3464" s="8" t="s">
        <v>8</v>
      </c>
      <c r="G3464" s="8" t="s">
        <v>8</v>
      </c>
      <c r="H3464" s="8" t="s">
        <v>8</v>
      </c>
      <c r="I3464" s="8" t="s">
        <v>8</v>
      </c>
      <c r="J3464" s="8" t="s">
        <v>8</v>
      </c>
      <c r="K3464" s="8" t="s">
        <v>8</v>
      </c>
      <c r="L3464" s="8" t="s">
        <v>8</v>
      </c>
      <c r="M3464" s="8"/>
      <c r="N3464" s="8"/>
      <c r="O3464" s="8" t="s">
        <v>8</v>
      </c>
      <c r="P3464" s="8" t="s">
        <v>8</v>
      </c>
    </row>
    <row r="3465">
      <c r="E3465" s="31"/>
      <c r="F3465" s="8" t="s">
        <v>8</v>
      </c>
      <c r="G3465" s="8" t="s">
        <v>8</v>
      </c>
      <c r="H3465" s="8" t="s">
        <v>8</v>
      </c>
      <c r="I3465" s="8" t="s">
        <v>8</v>
      </c>
      <c r="J3465" s="8" t="s">
        <v>8</v>
      </c>
      <c r="K3465" s="8" t="s">
        <v>8</v>
      </c>
      <c r="L3465" s="8" t="s">
        <v>8</v>
      </c>
      <c r="M3465" s="8"/>
      <c r="N3465" s="8"/>
      <c r="O3465" s="8" t="s">
        <v>8</v>
      </c>
      <c r="P3465" s="8" t="s">
        <v>8</v>
      </c>
    </row>
    <row r="3466">
      <c r="E3466" s="31"/>
      <c r="F3466" s="8" t="s">
        <v>8</v>
      </c>
      <c r="G3466" s="8" t="s">
        <v>8</v>
      </c>
      <c r="H3466" s="8" t="s">
        <v>8</v>
      </c>
      <c r="I3466" s="8" t="s">
        <v>8</v>
      </c>
      <c r="J3466" s="8" t="s">
        <v>8</v>
      </c>
      <c r="K3466" s="8" t="s">
        <v>8</v>
      </c>
      <c r="L3466" s="8" t="s">
        <v>8</v>
      </c>
      <c r="M3466" s="8"/>
      <c r="N3466" s="8"/>
      <c r="O3466" s="8" t="s">
        <v>8</v>
      </c>
      <c r="P3466" s="8" t="s">
        <v>8</v>
      </c>
    </row>
    <row r="3467">
      <c r="E3467" s="31"/>
      <c r="F3467" s="8" t="s">
        <v>8</v>
      </c>
      <c r="G3467" s="8" t="s">
        <v>8</v>
      </c>
      <c r="H3467" s="8" t="s">
        <v>8</v>
      </c>
      <c r="I3467" s="8" t="s">
        <v>8</v>
      </c>
      <c r="J3467" s="8" t="s">
        <v>8</v>
      </c>
      <c r="K3467" s="8" t="s">
        <v>8</v>
      </c>
      <c r="L3467" s="8" t="s">
        <v>8</v>
      </c>
      <c r="M3467" s="8"/>
      <c r="N3467" s="8"/>
      <c r="O3467" s="8" t="s">
        <v>8</v>
      </c>
      <c r="P3467" s="8" t="s">
        <v>8</v>
      </c>
    </row>
    <row r="3468">
      <c r="E3468" s="31"/>
      <c r="F3468" s="8" t="s">
        <v>8</v>
      </c>
      <c r="G3468" s="8" t="s">
        <v>8</v>
      </c>
      <c r="H3468" s="8" t="s">
        <v>8</v>
      </c>
      <c r="I3468" s="8" t="s">
        <v>8</v>
      </c>
      <c r="J3468" s="8" t="s">
        <v>8</v>
      </c>
      <c r="K3468" s="8" t="s">
        <v>8</v>
      </c>
      <c r="L3468" s="8" t="s">
        <v>8</v>
      </c>
      <c r="M3468" s="8"/>
      <c r="N3468" s="8"/>
      <c r="O3468" s="8" t="s">
        <v>8</v>
      </c>
      <c r="P3468" s="8" t="s">
        <v>8</v>
      </c>
    </row>
    <row r="3469">
      <c r="E3469" s="31"/>
      <c r="F3469" s="8" t="s">
        <v>8</v>
      </c>
      <c r="G3469" s="8" t="s">
        <v>8</v>
      </c>
      <c r="H3469" s="8" t="s">
        <v>8</v>
      </c>
      <c r="I3469" s="8" t="s">
        <v>8</v>
      </c>
      <c r="J3469" s="8" t="s">
        <v>8</v>
      </c>
      <c r="K3469" s="8" t="s">
        <v>8</v>
      </c>
      <c r="L3469" s="8" t="s">
        <v>8</v>
      </c>
      <c r="M3469" s="8"/>
      <c r="N3469" s="8"/>
      <c r="O3469" s="8" t="s">
        <v>8</v>
      </c>
      <c r="P3469" s="8" t="s">
        <v>8</v>
      </c>
    </row>
    <row r="3470">
      <c r="E3470" s="31"/>
      <c r="F3470" s="8" t="s">
        <v>8</v>
      </c>
      <c r="G3470" s="8" t="s">
        <v>8</v>
      </c>
      <c r="H3470" s="8" t="s">
        <v>8</v>
      </c>
      <c r="I3470" s="8" t="s">
        <v>8</v>
      </c>
      <c r="J3470" s="8" t="s">
        <v>8</v>
      </c>
      <c r="K3470" s="8" t="s">
        <v>8</v>
      </c>
      <c r="L3470" s="8" t="s">
        <v>8</v>
      </c>
      <c r="M3470" s="8"/>
      <c r="N3470" s="8"/>
      <c r="O3470" s="8" t="s">
        <v>8</v>
      </c>
      <c r="P3470" s="8" t="s">
        <v>8</v>
      </c>
    </row>
    <row r="3471">
      <c r="E3471" s="31"/>
      <c r="F3471" s="8" t="s">
        <v>8</v>
      </c>
      <c r="G3471" s="8" t="s">
        <v>8</v>
      </c>
      <c r="H3471" s="8" t="s">
        <v>8</v>
      </c>
      <c r="I3471" s="8" t="s">
        <v>8</v>
      </c>
      <c r="J3471" s="8" t="s">
        <v>8</v>
      </c>
      <c r="K3471" s="8" t="s">
        <v>8</v>
      </c>
      <c r="L3471" s="8" t="s">
        <v>8</v>
      </c>
      <c r="M3471" s="8"/>
      <c r="N3471" s="8"/>
      <c r="O3471" s="8" t="s">
        <v>8</v>
      </c>
      <c r="P3471" s="8" t="s">
        <v>8</v>
      </c>
    </row>
    <row r="3472">
      <c r="E3472" s="31"/>
      <c r="F3472" s="8" t="s">
        <v>8</v>
      </c>
      <c r="G3472" s="8" t="s">
        <v>8</v>
      </c>
      <c r="H3472" s="8" t="s">
        <v>8</v>
      </c>
      <c r="I3472" s="8" t="s">
        <v>8</v>
      </c>
      <c r="J3472" s="8" t="s">
        <v>8</v>
      </c>
      <c r="K3472" s="8" t="s">
        <v>8</v>
      </c>
      <c r="L3472" s="8" t="s">
        <v>8</v>
      </c>
      <c r="M3472" s="8"/>
      <c r="N3472" s="8"/>
      <c r="O3472" s="8" t="s">
        <v>8</v>
      </c>
      <c r="P3472" s="8" t="s">
        <v>8</v>
      </c>
    </row>
    <row r="3473">
      <c r="E3473" s="31"/>
      <c r="F3473" s="8" t="s">
        <v>8</v>
      </c>
      <c r="G3473" s="8" t="s">
        <v>8</v>
      </c>
      <c r="H3473" s="8" t="s">
        <v>8</v>
      </c>
      <c r="I3473" s="8" t="s">
        <v>8</v>
      </c>
      <c r="J3473" s="8" t="s">
        <v>8</v>
      </c>
      <c r="K3473" s="8" t="s">
        <v>8</v>
      </c>
      <c r="L3473" s="8" t="s">
        <v>8</v>
      </c>
      <c r="M3473" s="8"/>
      <c r="N3473" s="8"/>
      <c r="O3473" s="8" t="s">
        <v>8</v>
      </c>
      <c r="P3473" s="8" t="s">
        <v>8</v>
      </c>
    </row>
    <row r="3474">
      <c r="E3474" s="31"/>
      <c r="F3474" s="8" t="s">
        <v>8</v>
      </c>
      <c r="G3474" s="8" t="s">
        <v>8</v>
      </c>
      <c r="H3474" s="8" t="s">
        <v>8</v>
      </c>
      <c r="I3474" s="8" t="s">
        <v>8</v>
      </c>
      <c r="J3474" s="8" t="s">
        <v>8</v>
      </c>
      <c r="K3474" s="8" t="s">
        <v>8</v>
      </c>
      <c r="L3474" s="8" t="s">
        <v>8</v>
      </c>
      <c r="M3474" s="8"/>
      <c r="N3474" s="8"/>
      <c r="O3474" s="8" t="s">
        <v>8</v>
      </c>
      <c r="P3474" s="8" t="s">
        <v>8</v>
      </c>
    </row>
    <row r="3475">
      <c r="E3475" s="31"/>
      <c r="F3475" s="8" t="s">
        <v>8</v>
      </c>
      <c r="G3475" s="8" t="s">
        <v>8</v>
      </c>
      <c r="H3475" s="8" t="s">
        <v>8</v>
      </c>
      <c r="I3475" s="8" t="s">
        <v>8</v>
      </c>
      <c r="J3475" s="8" t="s">
        <v>8</v>
      </c>
      <c r="K3475" s="8" t="s">
        <v>8</v>
      </c>
      <c r="L3475" s="8" t="s">
        <v>8</v>
      </c>
      <c r="M3475" s="8"/>
      <c r="N3475" s="8"/>
      <c r="O3475" s="8" t="s">
        <v>8</v>
      </c>
      <c r="P3475" s="8" t="s">
        <v>8</v>
      </c>
    </row>
    <row r="3476">
      <c r="E3476" s="31"/>
      <c r="F3476" s="8" t="s">
        <v>8</v>
      </c>
      <c r="G3476" s="8" t="s">
        <v>8</v>
      </c>
      <c r="H3476" s="8" t="s">
        <v>8</v>
      </c>
      <c r="I3476" s="8" t="s">
        <v>8</v>
      </c>
      <c r="J3476" s="8" t="s">
        <v>8</v>
      </c>
      <c r="K3476" s="8" t="s">
        <v>8</v>
      </c>
      <c r="L3476" s="8" t="s">
        <v>8</v>
      </c>
      <c r="M3476" s="8"/>
      <c r="N3476" s="8"/>
      <c r="O3476" s="8" t="s">
        <v>8</v>
      </c>
      <c r="P3476" s="8" t="s">
        <v>8</v>
      </c>
    </row>
    <row r="3477">
      <c r="E3477" s="31"/>
      <c r="F3477" s="8" t="s">
        <v>8</v>
      </c>
      <c r="G3477" s="8" t="s">
        <v>8</v>
      </c>
      <c r="H3477" s="8" t="s">
        <v>8</v>
      </c>
      <c r="I3477" s="8" t="s">
        <v>8</v>
      </c>
      <c r="J3477" s="8" t="s">
        <v>8</v>
      </c>
      <c r="K3477" s="8" t="s">
        <v>8</v>
      </c>
      <c r="L3477" s="8" t="s">
        <v>8</v>
      </c>
      <c r="M3477" s="8"/>
      <c r="N3477" s="8"/>
      <c r="O3477" s="8" t="s">
        <v>8</v>
      </c>
      <c r="P3477" s="8" t="s">
        <v>8</v>
      </c>
    </row>
    <row r="3478">
      <c r="E3478" s="31"/>
      <c r="F3478" s="8" t="s">
        <v>8</v>
      </c>
      <c r="G3478" s="8" t="s">
        <v>8</v>
      </c>
      <c r="H3478" s="8" t="s">
        <v>8</v>
      </c>
      <c r="I3478" s="8" t="s">
        <v>8</v>
      </c>
      <c r="J3478" s="8" t="s">
        <v>8</v>
      </c>
      <c r="K3478" s="8" t="s">
        <v>8</v>
      </c>
      <c r="L3478" s="8" t="s">
        <v>8</v>
      </c>
      <c r="M3478" s="8"/>
      <c r="N3478" s="8"/>
      <c r="O3478" s="8" t="s">
        <v>8</v>
      </c>
      <c r="P3478" s="8" t="s">
        <v>8</v>
      </c>
    </row>
    <row r="3479">
      <c r="E3479" s="31"/>
      <c r="F3479" s="8" t="s">
        <v>8</v>
      </c>
      <c r="G3479" s="8" t="s">
        <v>8</v>
      </c>
      <c r="H3479" s="8" t="s">
        <v>8</v>
      </c>
      <c r="I3479" s="8" t="s">
        <v>8</v>
      </c>
      <c r="J3479" s="8" t="s">
        <v>8</v>
      </c>
      <c r="K3479" s="8" t="s">
        <v>8</v>
      </c>
      <c r="L3479" s="8" t="s">
        <v>8</v>
      </c>
      <c r="M3479" s="8"/>
      <c r="N3479" s="8"/>
      <c r="O3479" s="8" t="s">
        <v>8</v>
      </c>
      <c r="P3479" s="8" t="s">
        <v>8</v>
      </c>
    </row>
    <row r="3480">
      <c r="E3480" s="31"/>
      <c r="F3480" s="8" t="s">
        <v>8</v>
      </c>
      <c r="G3480" s="8" t="s">
        <v>8</v>
      </c>
      <c r="H3480" s="8" t="s">
        <v>8</v>
      </c>
      <c r="I3480" s="8" t="s">
        <v>8</v>
      </c>
      <c r="J3480" s="8" t="s">
        <v>8</v>
      </c>
      <c r="K3480" s="8" t="s">
        <v>8</v>
      </c>
      <c r="L3480" s="8" t="s">
        <v>8</v>
      </c>
      <c r="M3480" s="8"/>
      <c r="N3480" s="8"/>
      <c r="O3480" s="8" t="s">
        <v>8</v>
      </c>
      <c r="P3480" s="8" t="s">
        <v>8</v>
      </c>
    </row>
    <row r="3481">
      <c r="E3481" s="31"/>
      <c r="F3481" s="8" t="s">
        <v>8</v>
      </c>
      <c r="G3481" s="8" t="s">
        <v>8</v>
      </c>
      <c r="H3481" s="8" t="s">
        <v>8</v>
      </c>
      <c r="I3481" s="8" t="s">
        <v>8</v>
      </c>
      <c r="J3481" s="8" t="s">
        <v>8</v>
      </c>
      <c r="K3481" s="8" t="s">
        <v>8</v>
      </c>
      <c r="L3481" s="8" t="s">
        <v>8</v>
      </c>
      <c r="M3481" s="8"/>
      <c r="N3481" s="8"/>
      <c r="O3481" s="8" t="s">
        <v>8</v>
      </c>
      <c r="P3481" s="8" t="s">
        <v>8</v>
      </c>
    </row>
    <row r="3482">
      <c r="E3482" s="31"/>
      <c r="F3482" s="8" t="s">
        <v>8</v>
      </c>
      <c r="G3482" s="8" t="s">
        <v>8</v>
      </c>
      <c r="H3482" s="8" t="s">
        <v>8</v>
      </c>
      <c r="I3482" s="8" t="s">
        <v>8</v>
      </c>
      <c r="J3482" s="8" t="s">
        <v>8</v>
      </c>
      <c r="K3482" s="8" t="s">
        <v>8</v>
      </c>
      <c r="L3482" s="8" t="s">
        <v>8</v>
      </c>
      <c r="M3482" s="8"/>
      <c r="N3482" s="8"/>
      <c r="O3482" s="8" t="s">
        <v>8</v>
      </c>
      <c r="P3482" s="8" t="s">
        <v>8</v>
      </c>
    </row>
    <row r="3483">
      <c r="E3483" s="31"/>
      <c r="F3483" s="8" t="s">
        <v>8</v>
      </c>
      <c r="G3483" s="8" t="s">
        <v>8</v>
      </c>
      <c r="H3483" s="8" t="s">
        <v>8</v>
      </c>
      <c r="I3483" s="8" t="s">
        <v>8</v>
      </c>
      <c r="J3483" s="8" t="s">
        <v>8</v>
      </c>
      <c r="K3483" s="8" t="s">
        <v>8</v>
      </c>
      <c r="L3483" s="8" t="s">
        <v>8</v>
      </c>
      <c r="M3483" s="8"/>
      <c r="N3483" s="8"/>
      <c r="O3483" s="8" t="s">
        <v>8</v>
      </c>
      <c r="P3483" s="8" t="s">
        <v>8</v>
      </c>
    </row>
    <row r="3484">
      <c r="E3484" s="31"/>
      <c r="F3484" s="8" t="s">
        <v>8</v>
      </c>
      <c r="G3484" s="8" t="s">
        <v>8</v>
      </c>
      <c r="H3484" s="8" t="s">
        <v>8</v>
      </c>
      <c r="I3484" s="8" t="s">
        <v>8</v>
      </c>
      <c r="J3484" s="8" t="s">
        <v>8</v>
      </c>
      <c r="K3484" s="8" t="s">
        <v>8</v>
      </c>
      <c r="L3484" s="8" t="s">
        <v>8</v>
      </c>
      <c r="M3484" s="8"/>
      <c r="N3484" s="8"/>
      <c r="O3484" s="8" t="s">
        <v>8</v>
      </c>
      <c r="P3484" s="8" t="s">
        <v>8</v>
      </c>
    </row>
    <row r="3485">
      <c r="E3485" s="31"/>
      <c r="F3485" s="8" t="s">
        <v>8</v>
      </c>
      <c r="G3485" s="8" t="s">
        <v>8</v>
      </c>
      <c r="H3485" s="8" t="s">
        <v>8</v>
      </c>
      <c r="I3485" s="8" t="s">
        <v>8</v>
      </c>
      <c r="J3485" s="8" t="s">
        <v>8</v>
      </c>
      <c r="K3485" s="8" t="s">
        <v>8</v>
      </c>
      <c r="L3485" s="8" t="s">
        <v>8</v>
      </c>
      <c r="M3485" s="8"/>
      <c r="N3485" s="8"/>
      <c r="O3485" s="8" t="s">
        <v>8</v>
      </c>
      <c r="P3485" s="8" t="s">
        <v>8</v>
      </c>
    </row>
    <row r="3486">
      <c r="E3486" s="31"/>
      <c r="F3486" s="8" t="s">
        <v>8</v>
      </c>
      <c r="G3486" s="8" t="s">
        <v>8</v>
      </c>
      <c r="H3486" s="8" t="s">
        <v>8</v>
      </c>
      <c r="I3486" s="8" t="s">
        <v>8</v>
      </c>
      <c r="J3486" s="8" t="s">
        <v>8</v>
      </c>
      <c r="K3486" s="8" t="s">
        <v>8</v>
      </c>
      <c r="L3486" s="8" t="s">
        <v>8</v>
      </c>
      <c r="M3486" s="8"/>
      <c r="N3486" s="8"/>
      <c r="O3486" s="8" t="s">
        <v>8</v>
      </c>
      <c r="P3486" s="8" t="s">
        <v>8</v>
      </c>
    </row>
    <row r="3487">
      <c r="E3487" s="31"/>
      <c r="F3487" s="8" t="s">
        <v>8</v>
      </c>
      <c r="G3487" s="8" t="s">
        <v>8</v>
      </c>
      <c r="H3487" s="8" t="s">
        <v>8</v>
      </c>
      <c r="I3487" s="8" t="s">
        <v>8</v>
      </c>
      <c r="J3487" s="8" t="s">
        <v>8</v>
      </c>
      <c r="K3487" s="8" t="s">
        <v>8</v>
      </c>
      <c r="L3487" s="8" t="s">
        <v>8</v>
      </c>
      <c r="M3487" s="8"/>
      <c r="N3487" s="8"/>
      <c r="O3487" s="8" t="s">
        <v>8</v>
      </c>
      <c r="P3487" s="8" t="s">
        <v>8</v>
      </c>
    </row>
    <row r="3488">
      <c r="E3488" s="31"/>
      <c r="F3488" s="8" t="s">
        <v>8</v>
      </c>
      <c r="G3488" s="8" t="s">
        <v>8</v>
      </c>
      <c r="H3488" s="8" t="s">
        <v>8</v>
      </c>
      <c r="I3488" s="8" t="s">
        <v>8</v>
      </c>
      <c r="J3488" s="8" t="s">
        <v>8</v>
      </c>
      <c r="K3488" s="8" t="s">
        <v>8</v>
      </c>
      <c r="L3488" s="8" t="s">
        <v>8</v>
      </c>
      <c r="M3488" s="8"/>
      <c r="N3488" s="8"/>
      <c r="O3488" s="8" t="s">
        <v>8</v>
      </c>
      <c r="P3488" s="8" t="s">
        <v>8</v>
      </c>
    </row>
    <row r="3489">
      <c r="E3489" s="31"/>
      <c r="F3489" s="8" t="s">
        <v>8</v>
      </c>
      <c r="G3489" s="8" t="s">
        <v>8</v>
      </c>
      <c r="H3489" s="8" t="s">
        <v>8</v>
      </c>
      <c r="I3489" s="8" t="s">
        <v>8</v>
      </c>
      <c r="J3489" s="8" t="s">
        <v>8</v>
      </c>
      <c r="K3489" s="8" t="s">
        <v>8</v>
      </c>
      <c r="L3489" s="8" t="s">
        <v>8</v>
      </c>
      <c r="M3489" s="8"/>
      <c r="N3489" s="8"/>
      <c r="O3489" s="8" t="s">
        <v>8</v>
      </c>
      <c r="P3489" s="8" t="s">
        <v>8</v>
      </c>
    </row>
    <row r="3490">
      <c r="E3490" s="31"/>
      <c r="F3490" s="8" t="s">
        <v>8</v>
      </c>
      <c r="G3490" s="8" t="s">
        <v>8</v>
      </c>
      <c r="H3490" s="8" t="s">
        <v>8</v>
      </c>
      <c r="I3490" s="8" t="s">
        <v>8</v>
      </c>
      <c r="J3490" s="8" t="s">
        <v>8</v>
      </c>
      <c r="K3490" s="8" t="s">
        <v>8</v>
      </c>
      <c r="L3490" s="8" t="s">
        <v>8</v>
      </c>
      <c r="M3490" s="8"/>
      <c r="N3490" s="8"/>
      <c r="O3490" s="8" t="s">
        <v>8</v>
      </c>
      <c r="P3490" s="8" t="s">
        <v>8</v>
      </c>
    </row>
    <row r="3491">
      <c r="E3491" s="31"/>
      <c r="F3491" s="8" t="s">
        <v>8</v>
      </c>
      <c r="G3491" s="8" t="s">
        <v>8</v>
      </c>
      <c r="H3491" s="8" t="s">
        <v>8</v>
      </c>
      <c r="I3491" s="8" t="s">
        <v>8</v>
      </c>
      <c r="J3491" s="8" t="s">
        <v>8</v>
      </c>
      <c r="K3491" s="8" t="s">
        <v>8</v>
      </c>
      <c r="L3491" s="8" t="s">
        <v>8</v>
      </c>
      <c r="M3491" s="8"/>
      <c r="N3491" s="8"/>
      <c r="O3491" s="8" t="s">
        <v>8</v>
      </c>
      <c r="P3491" s="8" t="s">
        <v>8</v>
      </c>
    </row>
    <row r="3492">
      <c r="E3492" s="31"/>
      <c r="F3492" s="8" t="s">
        <v>8</v>
      </c>
      <c r="G3492" s="8" t="s">
        <v>8</v>
      </c>
      <c r="H3492" s="8" t="s">
        <v>8</v>
      </c>
      <c r="I3492" s="8" t="s">
        <v>8</v>
      </c>
      <c r="J3492" s="8" t="s">
        <v>8</v>
      </c>
      <c r="K3492" s="8" t="s">
        <v>8</v>
      </c>
      <c r="L3492" s="8" t="s">
        <v>8</v>
      </c>
      <c r="M3492" s="8"/>
      <c r="N3492" s="8"/>
      <c r="O3492" s="8" t="s">
        <v>8</v>
      </c>
      <c r="P3492" s="8" t="s">
        <v>8</v>
      </c>
    </row>
    <row r="3493">
      <c r="E3493" s="31"/>
      <c r="F3493" s="8" t="s">
        <v>8</v>
      </c>
      <c r="G3493" s="8" t="s">
        <v>8</v>
      </c>
      <c r="H3493" s="8" t="s">
        <v>8</v>
      </c>
      <c r="I3493" s="8" t="s">
        <v>8</v>
      </c>
      <c r="J3493" s="8" t="s">
        <v>8</v>
      </c>
      <c r="K3493" s="8" t="s">
        <v>8</v>
      </c>
      <c r="L3493" s="8" t="s">
        <v>8</v>
      </c>
      <c r="M3493" s="8"/>
      <c r="N3493" s="8"/>
      <c r="O3493" s="8" t="s">
        <v>8</v>
      </c>
      <c r="P3493" s="8" t="s">
        <v>8</v>
      </c>
    </row>
    <row r="3494">
      <c r="E3494" s="31"/>
      <c r="F3494" s="8" t="s">
        <v>8</v>
      </c>
      <c r="G3494" s="8" t="s">
        <v>8</v>
      </c>
      <c r="H3494" s="8" t="s">
        <v>8</v>
      </c>
      <c r="I3494" s="8" t="s">
        <v>8</v>
      </c>
      <c r="J3494" s="8" t="s">
        <v>8</v>
      </c>
      <c r="K3494" s="8" t="s">
        <v>8</v>
      </c>
      <c r="L3494" s="8" t="s">
        <v>8</v>
      </c>
      <c r="M3494" s="8"/>
      <c r="N3494" s="8"/>
      <c r="O3494" s="8" t="s">
        <v>8</v>
      </c>
      <c r="P3494" s="8" t="s">
        <v>8</v>
      </c>
    </row>
    <row r="3495">
      <c r="E3495" s="31"/>
      <c r="F3495" s="8" t="s">
        <v>8</v>
      </c>
      <c r="G3495" s="8" t="s">
        <v>8</v>
      </c>
      <c r="H3495" s="8" t="s">
        <v>8</v>
      </c>
      <c r="I3495" s="8" t="s">
        <v>8</v>
      </c>
      <c r="J3495" s="8" t="s">
        <v>8</v>
      </c>
      <c r="K3495" s="8" t="s">
        <v>8</v>
      </c>
      <c r="L3495" s="8" t="s">
        <v>8</v>
      </c>
      <c r="M3495" s="8"/>
      <c r="N3495" s="8"/>
      <c r="O3495" s="8" t="s">
        <v>8</v>
      </c>
      <c r="P3495" s="8" t="s">
        <v>8</v>
      </c>
    </row>
    <row r="3496">
      <c r="E3496" s="31"/>
      <c r="F3496" s="8" t="s">
        <v>8</v>
      </c>
      <c r="G3496" s="8" t="s">
        <v>8</v>
      </c>
      <c r="H3496" s="8" t="s">
        <v>8</v>
      </c>
      <c r="I3496" s="8" t="s">
        <v>8</v>
      </c>
      <c r="J3496" s="8" t="s">
        <v>8</v>
      </c>
      <c r="K3496" s="8" t="s">
        <v>8</v>
      </c>
      <c r="L3496" s="8" t="s">
        <v>8</v>
      </c>
      <c r="M3496" s="8"/>
      <c r="N3496" s="8"/>
      <c r="O3496" s="8" t="s">
        <v>8</v>
      </c>
      <c r="P3496" s="8" t="s">
        <v>8</v>
      </c>
    </row>
    <row r="3497">
      <c r="E3497" s="31"/>
      <c r="F3497" s="8" t="s">
        <v>8</v>
      </c>
      <c r="G3497" s="8" t="s">
        <v>8</v>
      </c>
      <c r="H3497" s="8" t="s">
        <v>8</v>
      </c>
      <c r="I3497" s="8" t="s">
        <v>8</v>
      </c>
      <c r="J3497" s="8" t="s">
        <v>8</v>
      </c>
      <c r="K3497" s="8" t="s">
        <v>8</v>
      </c>
      <c r="L3497" s="8" t="s">
        <v>8</v>
      </c>
      <c r="M3497" s="8"/>
      <c r="N3497" s="8"/>
      <c r="O3497" s="8" t="s">
        <v>8</v>
      </c>
      <c r="P3497" s="8" t="s">
        <v>8</v>
      </c>
    </row>
    <row r="3498">
      <c r="E3498" s="31"/>
      <c r="F3498" s="8" t="s">
        <v>8</v>
      </c>
      <c r="G3498" s="8" t="s">
        <v>8</v>
      </c>
      <c r="H3498" s="8" t="s">
        <v>8</v>
      </c>
      <c r="I3498" s="8" t="s">
        <v>8</v>
      </c>
      <c r="J3498" s="8" t="s">
        <v>8</v>
      </c>
      <c r="K3498" s="8" t="s">
        <v>8</v>
      </c>
      <c r="L3498" s="8" t="s">
        <v>8</v>
      </c>
      <c r="M3498" s="8"/>
      <c r="N3498" s="8"/>
      <c r="O3498" s="8" t="s">
        <v>8</v>
      </c>
      <c r="P3498" s="8" t="s">
        <v>8</v>
      </c>
    </row>
    <row r="3499">
      <c r="E3499" s="31"/>
      <c r="F3499" s="8" t="s">
        <v>8</v>
      </c>
      <c r="G3499" s="8" t="s">
        <v>8</v>
      </c>
      <c r="H3499" s="8" t="s">
        <v>8</v>
      </c>
      <c r="I3499" s="8" t="s">
        <v>8</v>
      </c>
      <c r="J3499" s="8" t="s">
        <v>8</v>
      </c>
      <c r="K3499" s="8" t="s">
        <v>8</v>
      </c>
      <c r="L3499" s="8" t="s">
        <v>8</v>
      </c>
      <c r="M3499" s="8"/>
      <c r="N3499" s="8"/>
      <c r="O3499" s="8" t="s">
        <v>8</v>
      </c>
      <c r="P3499" s="8" t="s">
        <v>8</v>
      </c>
    </row>
    <row r="3500">
      <c r="E3500" s="31"/>
      <c r="F3500" s="8" t="s">
        <v>8</v>
      </c>
      <c r="G3500" s="8" t="s">
        <v>8</v>
      </c>
      <c r="H3500" s="8" t="s">
        <v>8</v>
      </c>
      <c r="I3500" s="8" t="s">
        <v>8</v>
      </c>
      <c r="J3500" s="8" t="s">
        <v>8</v>
      </c>
      <c r="K3500" s="8" t="s">
        <v>8</v>
      </c>
      <c r="L3500" s="8" t="s">
        <v>8</v>
      </c>
      <c r="M3500" s="8"/>
      <c r="N3500" s="8"/>
      <c r="O3500" s="8" t="s">
        <v>8</v>
      </c>
      <c r="P3500" s="8" t="s">
        <v>8</v>
      </c>
    </row>
    <row r="3501">
      <c r="E3501" s="31"/>
      <c r="F3501" s="8" t="s">
        <v>8</v>
      </c>
      <c r="G3501" s="8" t="s">
        <v>8</v>
      </c>
      <c r="H3501" s="8" t="s">
        <v>8</v>
      </c>
      <c r="I3501" s="8" t="s">
        <v>8</v>
      </c>
      <c r="J3501" s="8" t="s">
        <v>8</v>
      </c>
      <c r="K3501" s="8" t="s">
        <v>8</v>
      </c>
      <c r="L3501" s="8" t="s">
        <v>8</v>
      </c>
      <c r="M3501" s="8"/>
      <c r="N3501" s="8"/>
      <c r="O3501" s="8" t="s">
        <v>8</v>
      </c>
      <c r="P3501" s="8" t="s">
        <v>8</v>
      </c>
    </row>
    <row r="3502">
      <c r="E3502" s="31"/>
      <c r="F3502" s="8" t="s">
        <v>8</v>
      </c>
      <c r="G3502" s="8" t="s">
        <v>8</v>
      </c>
      <c r="H3502" s="8" t="s">
        <v>8</v>
      </c>
      <c r="I3502" s="8" t="s">
        <v>8</v>
      </c>
      <c r="J3502" s="8" t="s">
        <v>8</v>
      </c>
      <c r="K3502" s="8" t="s">
        <v>8</v>
      </c>
      <c r="L3502" s="8" t="s">
        <v>8</v>
      </c>
      <c r="M3502" s="8"/>
      <c r="N3502" s="8"/>
      <c r="O3502" s="8" t="s">
        <v>8</v>
      </c>
      <c r="P3502" s="8" t="s">
        <v>8</v>
      </c>
    </row>
    <row r="3503">
      <c r="E3503" s="31"/>
      <c r="F3503" s="8" t="s">
        <v>8</v>
      </c>
      <c r="G3503" s="8" t="s">
        <v>8</v>
      </c>
      <c r="H3503" s="8" t="s">
        <v>8</v>
      </c>
      <c r="I3503" s="8" t="s">
        <v>8</v>
      </c>
      <c r="J3503" s="8" t="s">
        <v>8</v>
      </c>
      <c r="K3503" s="8" t="s">
        <v>8</v>
      </c>
      <c r="L3503" s="8" t="s">
        <v>8</v>
      </c>
      <c r="M3503" s="8"/>
      <c r="N3503" s="8"/>
      <c r="O3503" s="8" t="s">
        <v>8</v>
      </c>
      <c r="P3503" s="8" t="s">
        <v>8</v>
      </c>
    </row>
    <row r="3504">
      <c r="E3504" s="31"/>
      <c r="F3504" s="8" t="s">
        <v>8</v>
      </c>
      <c r="G3504" s="8" t="s">
        <v>8</v>
      </c>
      <c r="H3504" s="8" t="s">
        <v>8</v>
      </c>
      <c r="I3504" s="8" t="s">
        <v>8</v>
      </c>
      <c r="J3504" s="8" t="s">
        <v>8</v>
      </c>
      <c r="K3504" s="8" t="s">
        <v>8</v>
      </c>
      <c r="L3504" s="8" t="s">
        <v>8</v>
      </c>
      <c r="M3504" s="8"/>
      <c r="N3504" s="8"/>
      <c r="O3504" s="8" t="s">
        <v>8</v>
      </c>
      <c r="P3504" s="8" t="s">
        <v>8</v>
      </c>
    </row>
    <row r="3505">
      <c r="E3505" s="31"/>
      <c r="F3505" s="8" t="s">
        <v>8</v>
      </c>
      <c r="G3505" s="8" t="s">
        <v>8</v>
      </c>
      <c r="H3505" s="8" t="s">
        <v>8</v>
      </c>
      <c r="I3505" s="8" t="s">
        <v>8</v>
      </c>
      <c r="J3505" s="8" t="s">
        <v>8</v>
      </c>
      <c r="K3505" s="8" t="s">
        <v>8</v>
      </c>
      <c r="L3505" s="8" t="s">
        <v>8</v>
      </c>
      <c r="M3505" s="8"/>
      <c r="N3505" s="8"/>
      <c r="O3505" s="8" t="s">
        <v>8</v>
      </c>
      <c r="P3505" s="8" t="s">
        <v>8</v>
      </c>
    </row>
    <row r="3506">
      <c r="E3506" s="31"/>
      <c r="F3506" s="8" t="s">
        <v>8</v>
      </c>
      <c r="G3506" s="8" t="s">
        <v>8</v>
      </c>
      <c r="H3506" s="8" t="s">
        <v>8</v>
      </c>
      <c r="I3506" s="8" t="s">
        <v>8</v>
      </c>
      <c r="J3506" s="8" t="s">
        <v>8</v>
      </c>
      <c r="K3506" s="8" t="s">
        <v>8</v>
      </c>
      <c r="L3506" s="8" t="s">
        <v>8</v>
      </c>
      <c r="M3506" s="8"/>
      <c r="N3506" s="8"/>
      <c r="O3506" s="8" t="s">
        <v>8</v>
      </c>
      <c r="P3506" s="8" t="s">
        <v>8</v>
      </c>
    </row>
    <row r="3507">
      <c r="E3507" s="31"/>
      <c r="F3507" s="8" t="s">
        <v>8</v>
      </c>
      <c r="G3507" s="8" t="s">
        <v>8</v>
      </c>
      <c r="H3507" s="8" t="s">
        <v>8</v>
      </c>
      <c r="I3507" s="8" t="s">
        <v>8</v>
      </c>
      <c r="J3507" s="8" t="s">
        <v>8</v>
      </c>
      <c r="K3507" s="8" t="s">
        <v>8</v>
      </c>
      <c r="L3507" s="8" t="s">
        <v>8</v>
      </c>
      <c r="M3507" s="8"/>
      <c r="N3507" s="8"/>
      <c r="O3507" s="8" t="s">
        <v>8</v>
      </c>
      <c r="P3507" s="8" t="s">
        <v>8</v>
      </c>
    </row>
    <row r="3508">
      <c r="E3508" s="31"/>
      <c r="F3508" s="8" t="s">
        <v>8</v>
      </c>
      <c r="G3508" s="8" t="s">
        <v>8</v>
      </c>
      <c r="H3508" s="8" t="s">
        <v>8</v>
      </c>
      <c r="I3508" s="8" t="s">
        <v>8</v>
      </c>
      <c r="J3508" s="8" t="s">
        <v>8</v>
      </c>
      <c r="K3508" s="8" t="s">
        <v>8</v>
      </c>
      <c r="L3508" s="8" t="s">
        <v>8</v>
      </c>
      <c r="M3508" s="8"/>
      <c r="N3508" s="8"/>
      <c r="O3508" s="8" t="s">
        <v>8</v>
      </c>
      <c r="P3508" s="8" t="s">
        <v>8</v>
      </c>
    </row>
    <row r="3509">
      <c r="E3509" s="31"/>
      <c r="F3509" s="8" t="s">
        <v>8</v>
      </c>
      <c r="G3509" s="8" t="s">
        <v>8</v>
      </c>
      <c r="H3509" s="8" t="s">
        <v>8</v>
      </c>
      <c r="I3509" s="8" t="s">
        <v>8</v>
      </c>
      <c r="J3509" s="8" t="s">
        <v>8</v>
      </c>
      <c r="K3509" s="8" t="s">
        <v>8</v>
      </c>
      <c r="L3509" s="8" t="s">
        <v>8</v>
      </c>
      <c r="M3509" s="8"/>
      <c r="N3509" s="8"/>
      <c r="O3509" s="8" t="s">
        <v>8</v>
      </c>
      <c r="P3509" s="8" t="s">
        <v>8</v>
      </c>
    </row>
    <row r="3510">
      <c r="E3510" s="31"/>
      <c r="F3510" s="8" t="s">
        <v>8</v>
      </c>
      <c r="G3510" s="8" t="s">
        <v>8</v>
      </c>
      <c r="H3510" s="8" t="s">
        <v>8</v>
      </c>
      <c r="I3510" s="8" t="s">
        <v>8</v>
      </c>
      <c r="J3510" s="8" t="s">
        <v>8</v>
      </c>
      <c r="K3510" s="8" t="s">
        <v>8</v>
      </c>
      <c r="L3510" s="8" t="s">
        <v>8</v>
      </c>
      <c r="M3510" s="8"/>
      <c r="N3510" s="8"/>
      <c r="O3510" s="8" t="s">
        <v>8</v>
      </c>
      <c r="P3510" s="8" t="s">
        <v>8</v>
      </c>
    </row>
    <row r="3511">
      <c r="E3511" s="31"/>
      <c r="F3511" s="8" t="s">
        <v>8</v>
      </c>
      <c r="G3511" s="8" t="s">
        <v>8</v>
      </c>
      <c r="H3511" s="8" t="s">
        <v>8</v>
      </c>
      <c r="I3511" s="8" t="s">
        <v>8</v>
      </c>
      <c r="J3511" s="8" t="s">
        <v>8</v>
      </c>
      <c r="K3511" s="8" t="s">
        <v>8</v>
      </c>
      <c r="L3511" s="8" t="s">
        <v>8</v>
      </c>
      <c r="M3511" s="8"/>
      <c r="N3511" s="8"/>
      <c r="O3511" s="8" t="s">
        <v>8</v>
      </c>
      <c r="P3511" s="8" t="s">
        <v>8</v>
      </c>
    </row>
    <row r="3512">
      <c r="E3512" s="31"/>
      <c r="F3512" s="8" t="s">
        <v>8</v>
      </c>
      <c r="G3512" s="8" t="s">
        <v>8</v>
      </c>
      <c r="H3512" s="8" t="s">
        <v>8</v>
      </c>
      <c r="I3512" s="8" t="s">
        <v>8</v>
      </c>
      <c r="J3512" s="8" t="s">
        <v>8</v>
      </c>
      <c r="K3512" s="8" t="s">
        <v>8</v>
      </c>
      <c r="L3512" s="8" t="s">
        <v>8</v>
      </c>
      <c r="M3512" s="8"/>
      <c r="N3512" s="8"/>
      <c r="O3512" s="8" t="s">
        <v>8</v>
      </c>
      <c r="P3512" s="8" t="s">
        <v>8</v>
      </c>
    </row>
    <row r="3513">
      <c r="E3513" s="31"/>
      <c r="F3513" s="8" t="s">
        <v>8</v>
      </c>
      <c r="G3513" s="8" t="s">
        <v>8</v>
      </c>
      <c r="H3513" s="8" t="s">
        <v>8</v>
      </c>
      <c r="I3513" s="8" t="s">
        <v>8</v>
      </c>
      <c r="J3513" s="8" t="s">
        <v>8</v>
      </c>
      <c r="K3513" s="8" t="s">
        <v>8</v>
      </c>
      <c r="L3513" s="8" t="s">
        <v>8</v>
      </c>
      <c r="M3513" s="8"/>
      <c r="N3513" s="8"/>
      <c r="O3513" s="8" t="s">
        <v>8</v>
      </c>
      <c r="P3513" s="8" t="s">
        <v>8</v>
      </c>
    </row>
    <row r="3514">
      <c r="E3514" s="31"/>
      <c r="F3514" s="8" t="s">
        <v>8</v>
      </c>
      <c r="G3514" s="8" t="s">
        <v>8</v>
      </c>
      <c r="H3514" s="8" t="s">
        <v>8</v>
      </c>
      <c r="I3514" s="8" t="s">
        <v>8</v>
      </c>
      <c r="J3514" s="8" t="s">
        <v>8</v>
      </c>
      <c r="K3514" s="8" t="s">
        <v>8</v>
      </c>
      <c r="L3514" s="8" t="s">
        <v>8</v>
      </c>
      <c r="M3514" s="8"/>
      <c r="N3514" s="8"/>
      <c r="O3514" s="8" t="s">
        <v>8</v>
      </c>
      <c r="P3514" s="8" t="s">
        <v>8</v>
      </c>
    </row>
    <row r="3515">
      <c r="E3515" s="31"/>
      <c r="F3515" s="8" t="s">
        <v>8</v>
      </c>
      <c r="G3515" s="8" t="s">
        <v>8</v>
      </c>
      <c r="H3515" s="8" t="s">
        <v>8</v>
      </c>
      <c r="I3515" s="8" t="s">
        <v>8</v>
      </c>
      <c r="J3515" s="8" t="s">
        <v>8</v>
      </c>
      <c r="K3515" s="8" t="s">
        <v>8</v>
      </c>
      <c r="L3515" s="8" t="s">
        <v>8</v>
      </c>
      <c r="M3515" s="8"/>
      <c r="N3515" s="8"/>
      <c r="O3515" s="8" t="s">
        <v>8</v>
      </c>
      <c r="P3515" s="8" t="s">
        <v>8</v>
      </c>
    </row>
    <row r="3516">
      <c r="E3516" s="31"/>
      <c r="F3516" s="8" t="s">
        <v>8</v>
      </c>
      <c r="G3516" s="8" t="s">
        <v>8</v>
      </c>
      <c r="H3516" s="8" t="s">
        <v>8</v>
      </c>
      <c r="I3516" s="8" t="s">
        <v>8</v>
      </c>
      <c r="J3516" s="8" t="s">
        <v>8</v>
      </c>
      <c r="K3516" s="8" t="s">
        <v>8</v>
      </c>
      <c r="L3516" s="8" t="s">
        <v>8</v>
      </c>
      <c r="M3516" s="8"/>
      <c r="N3516" s="8"/>
      <c r="O3516" s="8" t="s">
        <v>8</v>
      </c>
      <c r="P3516" s="8" t="s">
        <v>8</v>
      </c>
    </row>
    <row r="3517">
      <c r="E3517" s="31"/>
      <c r="F3517" s="8" t="s">
        <v>8</v>
      </c>
      <c r="G3517" s="8" t="s">
        <v>8</v>
      </c>
      <c r="H3517" s="8" t="s">
        <v>8</v>
      </c>
      <c r="I3517" s="8" t="s">
        <v>8</v>
      </c>
      <c r="J3517" s="8" t="s">
        <v>8</v>
      </c>
      <c r="K3517" s="8" t="s">
        <v>8</v>
      </c>
      <c r="L3517" s="8" t="s">
        <v>8</v>
      </c>
      <c r="M3517" s="8"/>
      <c r="N3517" s="8"/>
      <c r="O3517" s="8" t="s">
        <v>8</v>
      </c>
      <c r="P3517" s="8" t="s">
        <v>8</v>
      </c>
    </row>
    <row r="3518">
      <c r="E3518" s="31"/>
      <c r="F3518" s="8" t="s">
        <v>8</v>
      </c>
      <c r="G3518" s="8" t="s">
        <v>8</v>
      </c>
      <c r="H3518" s="8" t="s">
        <v>8</v>
      </c>
      <c r="I3518" s="8" t="s">
        <v>8</v>
      </c>
      <c r="J3518" s="8" t="s">
        <v>8</v>
      </c>
      <c r="K3518" s="8" t="s">
        <v>8</v>
      </c>
      <c r="L3518" s="8" t="s">
        <v>8</v>
      </c>
      <c r="M3518" s="8"/>
      <c r="N3518" s="8"/>
      <c r="O3518" s="8" t="s">
        <v>8</v>
      </c>
      <c r="P3518" s="8" t="s">
        <v>8</v>
      </c>
    </row>
    <row r="3519">
      <c r="E3519" s="31"/>
      <c r="F3519" s="8" t="s">
        <v>8</v>
      </c>
      <c r="G3519" s="8" t="s">
        <v>8</v>
      </c>
      <c r="H3519" s="8" t="s">
        <v>8</v>
      </c>
      <c r="I3519" s="8" t="s">
        <v>8</v>
      </c>
      <c r="J3519" s="8" t="s">
        <v>8</v>
      </c>
      <c r="K3519" s="8" t="s">
        <v>8</v>
      </c>
      <c r="L3519" s="8" t="s">
        <v>8</v>
      </c>
      <c r="M3519" s="8"/>
      <c r="N3519" s="8"/>
      <c r="O3519" s="8" t="s">
        <v>8</v>
      </c>
      <c r="P3519" s="8" t="s">
        <v>8</v>
      </c>
    </row>
    <row r="3520">
      <c r="E3520" s="31"/>
      <c r="F3520" s="8" t="s">
        <v>8</v>
      </c>
      <c r="G3520" s="8" t="s">
        <v>8</v>
      </c>
      <c r="H3520" s="8" t="s">
        <v>8</v>
      </c>
      <c r="I3520" s="8" t="s">
        <v>8</v>
      </c>
      <c r="J3520" s="8" t="s">
        <v>8</v>
      </c>
      <c r="K3520" s="8" t="s">
        <v>8</v>
      </c>
      <c r="L3520" s="8" t="s">
        <v>8</v>
      </c>
      <c r="M3520" s="8"/>
      <c r="N3520" s="8"/>
      <c r="O3520" s="8" t="s">
        <v>8</v>
      </c>
      <c r="P3520" s="8" t="s">
        <v>8</v>
      </c>
    </row>
    <row r="3521">
      <c r="E3521" s="31"/>
      <c r="F3521" s="8" t="s">
        <v>8</v>
      </c>
      <c r="G3521" s="8" t="s">
        <v>8</v>
      </c>
      <c r="H3521" s="8" t="s">
        <v>8</v>
      </c>
      <c r="I3521" s="8" t="s">
        <v>8</v>
      </c>
      <c r="J3521" s="8" t="s">
        <v>8</v>
      </c>
      <c r="K3521" s="8" t="s">
        <v>8</v>
      </c>
      <c r="L3521" s="8" t="s">
        <v>8</v>
      </c>
      <c r="M3521" s="8"/>
      <c r="N3521" s="8"/>
      <c r="O3521" s="8" t="s">
        <v>8</v>
      </c>
      <c r="P3521" s="8" t="s">
        <v>8</v>
      </c>
    </row>
    <row r="3522">
      <c r="E3522" s="31"/>
      <c r="F3522" s="8" t="s">
        <v>8</v>
      </c>
      <c r="G3522" s="8" t="s">
        <v>8</v>
      </c>
      <c r="H3522" s="8" t="s">
        <v>8</v>
      </c>
      <c r="I3522" s="8" t="s">
        <v>8</v>
      </c>
      <c r="J3522" s="8" t="s">
        <v>8</v>
      </c>
      <c r="K3522" s="8" t="s">
        <v>8</v>
      </c>
      <c r="L3522" s="8" t="s">
        <v>8</v>
      </c>
      <c r="M3522" s="8"/>
      <c r="N3522" s="8"/>
      <c r="O3522" s="8" t="s">
        <v>8</v>
      </c>
      <c r="P3522" s="8" t="s">
        <v>8</v>
      </c>
    </row>
    <row r="3523">
      <c r="E3523" s="31"/>
      <c r="F3523" s="8" t="s">
        <v>8</v>
      </c>
      <c r="G3523" s="8" t="s">
        <v>8</v>
      </c>
      <c r="H3523" s="8" t="s">
        <v>8</v>
      </c>
      <c r="I3523" s="8" t="s">
        <v>8</v>
      </c>
      <c r="J3523" s="8" t="s">
        <v>8</v>
      </c>
      <c r="K3523" s="8" t="s">
        <v>8</v>
      </c>
      <c r="L3523" s="8" t="s">
        <v>8</v>
      </c>
      <c r="M3523" s="8"/>
      <c r="N3523" s="8"/>
      <c r="O3523" s="8" t="s">
        <v>8</v>
      </c>
      <c r="P3523" s="8" t="s">
        <v>8</v>
      </c>
    </row>
    <row r="3524">
      <c r="E3524" s="31"/>
      <c r="F3524" s="8" t="s">
        <v>8</v>
      </c>
      <c r="G3524" s="8" t="s">
        <v>8</v>
      </c>
      <c r="H3524" s="8" t="s">
        <v>8</v>
      </c>
      <c r="I3524" s="8" t="s">
        <v>8</v>
      </c>
      <c r="J3524" s="8" t="s">
        <v>8</v>
      </c>
      <c r="K3524" s="8" t="s">
        <v>8</v>
      </c>
      <c r="L3524" s="8" t="s">
        <v>8</v>
      </c>
      <c r="M3524" s="8"/>
      <c r="N3524" s="8"/>
      <c r="O3524" s="8" t="s">
        <v>8</v>
      </c>
      <c r="P3524" s="8" t="s">
        <v>8</v>
      </c>
    </row>
    <row r="3525">
      <c r="E3525" s="31"/>
      <c r="F3525" s="8" t="s">
        <v>8</v>
      </c>
      <c r="G3525" s="8" t="s">
        <v>8</v>
      </c>
      <c r="H3525" s="8" t="s">
        <v>8</v>
      </c>
      <c r="I3525" s="8" t="s">
        <v>8</v>
      </c>
      <c r="J3525" s="8" t="s">
        <v>8</v>
      </c>
      <c r="K3525" s="8" t="s">
        <v>8</v>
      </c>
      <c r="L3525" s="8" t="s">
        <v>8</v>
      </c>
      <c r="M3525" s="8"/>
      <c r="N3525" s="8"/>
      <c r="O3525" s="8" t="s">
        <v>8</v>
      </c>
      <c r="P3525" s="8" t="s">
        <v>8</v>
      </c>
    </row>
    <row r="3526">
      <c r="E3526" s="31"/>
      <c r="F3526" s="8" t="s">
        <v>8</v>
      </c>
      <c r="G3526" s="8" t="s">
        <v>8</v>
      </c>
      <c r="H3526" s="8" t="s">
        <v>8</v>
      </c>
      <c r="I3526" s="8" t="s">
        <v>8</v>
      </c>
      <c r="J3526" s="8" t="s">
        <v>8</v>
      </c>
      <c r="K3526" s="8" t="s">
        <v>8</v>
      </c>
      <c r="L3526" s="8" t="s">
        <v>8</v>
      </c>
      <c r="M3526" s="8"/>
      <c r="N3526" s="8"/>
      <c r="O3526" s="8" t="s">
        <v>8</v>
      </c>
      <c r="P3526" s="8" t="s">
        <v>8</v>
      </c>
    </row>
    <row r="3527">
      <c r="E3527" s="31"/>
      <c r="F3527" s="8" t="s">
        <v>8</v>
      </c>
      <c r="G3527" s="8" t="s">
        <v>8</v>
      </c>
      <c r="H3527" s="8" t="s">
        <v>8</v>
      </c>
      <c r="I3527" s="8" t="s">
        <v>8</v>
      </c>
      <c r="J3527" s="8" t="s">
        <v>8</v>
      </c>
      <c r="K3527" s="8" t="s">
        <v>8</v>
      </c>
      <c r="L3527" s="8" t="s">
        <v>8</v>
      </c>
      <c r="M3527" s="8"/>
      <c r="N3527" s="8"/>
      <c r="O3527" s="8" t="s">
        <v>8</v>
      </c>
      <c r="P3527" s="8" t="s">
        <v>8</v>
      </c>
    </row>
    <row r="3528">
      <c r="E3528" s="31"/>
      <c r="F3528" s="8" t="s">
        <v>8</v>
      </c>
      <c r="G3528" s="8" t="s">
        <v>8</v>
      </c>
      <c r="H3528" s="8" t="s">
        <v>8</v>
      </c>
      <c r="I3528" s="8" t="s">
        <v>8</v>
      </c>
      <c r="J3528" s="8" t="s">
        <v>8</v>
      </c>
      <c r="K3528" s="8" t="s">
        <v>8</v>
      </c>
      <c r="L3528" s="8" t="s">
        <v>8</v>
      </c>
      <c r="M3528" s="8"/>
      <c r="N3528" s="8"/>
      <c r="O3528" s="8" t="s">
        <v>8</v>
      </c>
      <c r="P3528" s="8" t="s">
        <v>8</v>
      </c>
    </row>
    <row r="3529">
      <c r="E3529" s="31"/>
      <c r="F3529" s="8" t="s">
        <v>8</v>
      </c>
      <c r="G3529" s="8" t="s">
        <v>8</v>
      </c>
      <c r="H3529" s="8" t="s">
        <v>8</v>
      </c>
      <c r="I3529" s="8" t="s">
        <v>8</v>
      </c>
      <c r="J3529" s="8" t="s">
        <v>8</v>
      </c>
      <c r="K3529" s="8" t="s">
        <v>8</v>
      </c>
      <c r="L3529" s="8" t="s">
        <v>8</v>
      </c>
      <c r="M3529" s="8"/>
      <c r="N3529" s="8"/>
      <c r="O3529" s="8" t="s">
        <v>8</v>
      </c>
      <c r="P3529" s="8" t="s">
        <v>8</v>
      </c>
    </row>
    <row r="3530">
      <c r="E3530" s="31"/>
      <c r="F3530" s="8" t="s">
        <v>8</v>
      </c>
      <c r="G3530" s="8" t="s">
        <v>8</v>
      </c>
      <c r="H3530" s="8" t="s">
        <v>8</v>
      </c>
      <c r="I3530" s="8" t="s">
        <v>8</v>
      </c>
      <c r="J3530" s="8" t="s">
        <v>8</v>
      </c>
      <c r="K3530" s="8" t="s">
        <v>8</v>
      </c>
      <c r="L3530" s="8" t="s">
        <v>8</v>
      </c>
      <c r="M3530" s="8"/>
      <c r="N3530" s="8"/>
      <c r="O3530" s="8" t="s">
        <v>8</v>
      </c>
      <c r="P3530" s="8" t="s">
        <v>8</v>
      </c>
    </row>
    <row r="3531">
      <c r="E3531" s="31"/>
      <c r="F3531" s="8" t="s">
        <v>8</v>
      </c>
      <c r="G3531" s="8" t="s">
        <v>8</v>
      </c>
      <c r="H3531" s="8" t="s">
        <v>8</v>
      </c>
      <c r="I3531" s="8" t="s">
        <v>8</v>
      </c>
      <c r="J3531" s="8" t="s">
        <v>8</v>
      </c>
      <c r="K3531" s="8" t="s">
        <v>8</v>
      </c>
      <c r="L3531" s="8" t="s">
        <v>8</v>
      </c>
      <c r="M3531" s="8"/>
      <c r="N3531" s="8"/>
      <c r="O3531" s="8" t="s">
        <v>8</v>
      </c>
      <c r="P3531" s="8" t="s">
        <v>8</v>
      </c>
    </row>
    <row r="3532">
      <c r="E3532" s="31"/>
      <c r="F3532" s="8" t="s">
        <v>8</v>
      </c>
      <c r="G3532" s="8" t="s">
        <v>8</v>
      </c>
      <c r="H3532" s="8" t="s">
        <v>8</v>
      </c>
      <c r="I3532" s="8" t="s">
        <v>8</v>
      </c>
      <c r="J3532" s="8" t="s">
        <v>8</v>
      </c>
      <c r="K3532" s="8" t="s">
        <v>8</v>
      </c>
      <c r="L3532" s="8" t="s">
        <v>8</v>
      </c>
      <c r="M3532" s="8"/>
      <c r="N3532" s="8"/>
      <c r="O3532" s="8" t="s">
        <v>8</v>
      </c>
      <c r="P3532" s="8" t="s">
        <v>8</v>
      </c>
    </row>
    <row r="3533">
      <c r="E3533" s="31"/>
      <c r="F3533" s="8" t="s">
        <v>8</v>
      </c>
      <c r="G3533" s="8" t="s">
        <v>8</v>
      </c>
      <c r="H3533" s="8" t="s">
        <v>8</v>
      </c>
      <c r="I3533" s="8" t="s">
        <v>8</v>
      </c>
      <c r="J3533" s="8" t="s">
        <v>8</v>
      </c>
      <c r="K3533" s="8" t="s">
        <v>8</v>
      </c>
      <c r="L3533" s="8" t="s">
        <v>8</v>
      </c>
      <c r="M3533" s="8"/>
      <c r="N3533" s="8"/>
      <c r="O3533" s="8" t="s">
        <v>8</v>
      </c>
      <c r="P3533" s="8" t="s">
        <v>8</v>
      </c>
    </row>
    <row r="3534">
      <c r="E3534" s="31"/>
      <c r="F3534" s="8" t="s">
        <v>8</v>
      </c>
      <c r="G3534" s="8" t="s">
        <v>8</v>
      </c>
      <c r="H3534" s="8" t="s">
        <v>8</v>
      </c>
      <c r="I3534" s="8" t="s">
        <v>8</v>
      </c>
      <c r="J3534" s="8" t="s">
        <v>8</v>
      </c>
      <c r="K3534" s="8" t="s">
        <v>8</v>
      </c>
      <c r="L3534" s="8" t="s">
        <v>8</v>
      </c>
      <c r="M3534" s="8"/>
      <c r="N3534" s="8"/>
      <c r="O3534" s="8" t="s">
        <v>8</v>
      </c>
      <c r="P3534" s="8" t="s">
        <v>8</v>
      </c>
    </row>
    <row r="3535">
      <c r="E3535" s="31"/>
      <c r="F3535" s="8" t="s">
        <v>8</v>
      </c>
      <c r="G3535" s="8" t="s">
        <v>8</v>
      </c>
      <c r="H3535" s="8" t="s">
        <v>8</v>
      </c>
      <c r="I3535" s="8" t="s">
        <v>8</v>
      </c>
      <c r="J3535" s="8" t="s">
        <v>8</v>
      </c>
      <c r="K3535" s="8" t="s">
        <v>8</v>
      </c>
      <c r="L3535" s="8" t="s">
        <v>8</v>
      </c>
      <c r="M3535" s="8"/>
      <c r="N3535" s="8"/>
      <c r="O3535" s="8" t="s">
        <v>8</v>
      </c>
      <c r="P3535" s="8" t="s">
        <v>8</v>
      </c>
    </row>
    <row r="3536">
      <c r="E3536" s="31"/>
      <c r="F3536" s="8" t="s">
        <v>8</v>
      </c>
      <c r="G3536" s="8" t="s">
        <v>8</v>
      </c>
      <c r="H3536" s="8" t="s">
        <v>8</v>
      </c>
      <c r="I3536" s="8" t="s">
        <v>8</v>
      </c>
      <c r="J3536" s="8" t="s">
        <v>8</v>
      </c>
      <c r="K3536" s="8" t="s">
        <v>8</v>
      </c>
      <c r="L3536" s="8" t="s">
        <v>8</v>
      </c>
      <c r="M3536" s="8"/>
      <c r="N3536" s="8"/>
      <c r="O3536" s="8" t="s">
        <v>8</v>
      </c>
      <c r="P3536" s="8" t="s">
        <v>8</v>
      </c>
    </row>
    <row r="3537">
      <c r="E3537" s="31"/>
      <c r="F3537" s="8" t="s">
        <v>8</v>
      </c>
      <c r="G3537" s="8" t="s">
        <v>8</v>
      </c>
      <c r="H3537" s="8" t="s">
        <v>8</v>
      </c>
      <c r="I3537" s="8" t="s">
        <v>8</v>
      </c>
      <c r="J3537" s="8" t="s">
        <v>8</v>
      </c>
      <c r="K3537" s="8" t="s">
        <v>8</v>
      </c>
      <c r="L3537" s="8" t="s">
        <v>8</v>
      </c>
      <c r="M3537" s="8"/>
      <c r="N3537" s="8"/>
      <c r="O3537" s="8" t="s">
        <v>8</v>
      </c>
      <c r="P3537" s="8" t="s">
        <v>8</v>
      </c>
    </row>
    <row r="3538">
      <c r="E3538" s="31"/>
      <c r="F3538" s="8" t="s">
        <v>8</v>
      </c>
      <c r="G3538" s="8" t="s">
        <v>8</v>
      </c>
      <c r="H3538" s="8" t="s">
        <v>8</v>
      </c>
      <c r="I3538" s="8" t="s">
        <v>8</v>
      </c>
      <c r="J3538" s="8" t="s">
        <v>8</v>
      </c>
      <c r="K3538" s="8" t="s">
        <v>8</v>
      </c>
      <c r="L3538" s="8" t="s">
        <v>8</v>
      </c>
      <c r="M3538" s="8"/>
      <c r="N3538" s="8"/>
      <c r="O3538" s="8" t="s">
        <v>8</v>
      </c>
      <c r="P3538" s="8" t="s">
        <v>8</v>
      </c>
    </row>
    <row r="3539">
      <c r="E3539" s="31"/>
      <c r="F3539" s="8" t="s">
        <v>8</v>
      </c>
      <c r="G3539" s="8" t="s">
        <v>8</v>
      </c>
      <c r="H3539" s="8" t="s">
        <v>8</v>
      </c>
      <c r="I3539" s="8" t="s">
        <v>8</v>
      </c>
      <c r="J3539" s="8" t="s">
        <v>8</v>
      </c>
      <c r="K3539" s="8" t="s">
        <v>8</v>
      </c>
      <c r="L3539" s="8" t="s">
        <v>8</v>
      </c>
      <c r="M3539" s="8"/>
      <c r="N3539" s="8"/>
      <c r="O3539" s="8" t="s">
        <v>8</v>
      </c>
      <c r="P3539" s="8" t="s">
        <v>8</v>
      </c>
    </row>
    <row r="3540">
      <c r="E3540" s="31"/>
      <c r="F3540" s="8" t="s">
        <v>8</v>
      </c>
      <c r="G3540" s="8" t="s">
        <v>8</v>
      </c>
      <c r="H3540" s="8" t="s">
        <v>8</v>
      </c>
      <c r="I3540" s="8" t="s">
        <v>8</v>
      </c>
      <c r="J3540" s="8" t="s">
        <v>8</v>
      </c>
      <c r="K3540" s="8" t="s">
        <v>8</v>
      </c>
      <c r="L3540" s="8" t="s">
        <v>8</v>
      </c>
      <c r="M3540" s="8"/>
      <c r="N3540" s="8"/>
      <c r="O3540" s="8" t="s">
        <v>8</v>
      </c>
      <c r="P3540" s="8" t="s">
        <v>8</v>
      </c>
    </row>
    <row r="3541">
      <c r="E3541" s="31"/>
      <c r="F3541" s="8" t="s">
        <v>8</v>
      </c>
      <c r="G3541" s="8" t="s">
        <v>8</v>
      </c>
      <c r="H3541" s="8" t="s">
        <v>8</v>
      </c>
      <c r="I3541" s="8" t="s">
        <v>8</v>
      </c>
      <c r="J3541" s="8" t="s">
        <v>8</v>
      </c>
      <c r="K3541" s="8" t="s">
        <v>8</v>
      </c>
      <c r="L3541" s="8" t="s">
        <v>8</v>
      </c>
      <c r="M3541" s="8"/>
      <c r="N3541" s="8"/>
      <c r="O3541" s="8" t="s">
        <v>8</v>
      </c>
      <c r="P3541" s="8" t="s">
        <v>8</v>
      </c>
    </row>
    <row r="3542">
      <c r="E3542" s="31"/>
      <c r="F3542" s="8" t="s">
        <v>8</v>
      </c>
      <c r="G3542" s="8" t="s">
        <v>8</v>
      </c>
      <c r="H3542" s="8" t="s">
        <v>8</v>
      </c>
      <c r="I3542" s="8" t="s">
        <v>8</v>
      </c>
      <c r="J3542" s="8" t="s">
        <v>8</v>
      </c>
      <c r="K3542" s="8" t="s">
        <v>8</v>
      </c>
      <c r="L3542" s="8" t="s">
        <v>8</v>
      </c>
      <c r="M3542" s="8"/>
      <c r="N3542" s="8"/>
      <c r="O3542" s="8" t="s">
        <v>8</v>
      </c>
      <c r="P3542" s="8" t="s">
        <v>8</v>
      </c>
    </row>
    <row r="3543">
      <c r="E3543" s="31"/>
      <c r="F3543" s="8" t="s">
        <v>8</v>
      </c>
      <c r="G3543" s="8" t="s">
        <v>8</v>
      </c>
      <c r="H3543" s="8" t="s">
        <v>8</v>
      </c>
      <c r="I3543" s="8" t="s">
        <v>8</v>
      </c>
      <c r="J3543" s="8" t="s">
        <v>8</v>
      </c>
      <c r="K3543" s="8" t="s">
        <v>8</v>
      </c>
      <c r="L3543" s="8" t="s">
        <v>8</v>
      </c>
      <c r="M3543" s="8"/>
      <c r="N3543" s="8"/>
      <c r="O3543" s="8" t="s">
        <v>8</v>
      </c>
      <c r="P3543" s="8" t="s">
        <v>8</v>
      </c>
    </row>
    <row r="3544">
      <c r="E3544" s="31"/>
      <c r="F3544" s="8" t="s">
        <v>8</v>
      </c>
      <c r="G3544" s="8" t="s">
        <v>8</v>
      </c>
      <c r="H3544" s="8" t="s">
        <v>8</v>
      </c>
      <c r="I3544" s="8" t="s">
        <v>8</v>
      </c>
      <c r="J3544" s="8" t="s">
        <v>8</v>
      </c>
      <c r="K3544" s="8" t="s">
        <v>8</v>
      </c>
      <c r="L3544" s="8" t="s">
        <v>8</v>
      </c>
      <c r="M3544" s="8"/>
      <c r="N3544" s="8"/>
      <c r="O3544" s="8" t="s">
        <v>8</v>
      </c>
      <c r="P3544" s="8" t="s">
        <v>8</v>
      </c>
    </row>
    <row r="3545">
      <c r="E3545" s="31"/>
      <c r="F3545" s="8" t="s">
        <v>8</v>
      </c>
      <c r="G3545" s="8" t="s">
        <v>8</v>
      </c>
      <c r="H3545" s="8" t="s">
        <v>8</v>
      </c>
      <c r="I3545" s="8" t="s">
        <v>8</v>
      </c>
      <c r="J3545" s="8" t="s">
        <v>8</v>
      </c>
      <c r="K3545" s="8" t="s">
        <v>8</v>
      </c>
      <c r="L3545" s="8" t="s">
        <v>8</v>
      </c>
      <c r="M3545" s="8"/>
      <c r="N3545" s="8"/>
      <c r="O3545" s="8" t="s">
        <v>8</v>
      </c>
      <c r="P3545" s="8" t="s">
        <v>8</v>
      </c>
    </row>
    <row r="3546">
      <c r="E3546" s="31"/>
      <c r="F3546" s="8" t="s">
        <v>8</v>
      </c>
      <c r="G3546" s="8" t="s">
        <v>8</v>
      </c>
      <c r="H3546" s="8" t="s">
        <v>8</v>
      </c>
      <c r="I3546" s="8" t="s">
        <v>8</v>
      </c>
      <c r="J3546" s="8" t="s">
        <v>8</v>
      </c>
      <c r="K3546" s="8" t="s">
        <v>8</v>
      </c>
      <c r="L3546" s="8" t="s">
        <v>8</v>
      </c>
      <c r="M3546" s="8"/>
      <c r="N3546" s="8"/>
      <c r="O3546" s="8" t="s">
        <v>8</v>
      </c>
      <c r="P3546" s="8" t="s">
        <v>8</v>
      </c>
    </row>
    <row r="3547">
      <c r="E3547" s="31"/>
      <c r="F3547" s="8" t="s">
        <v>8</v>
      </c>
      <c r="G3547" s="8" t="s">
        <v>8</v>
      </c>
      <c r="H3547" s="8" t="s">
        <v>8</v>
      </c>
      <c r="I3547" s="8" t="s">
        <v>8</v>
      </c>
      <c r="J3547" s="8" t="s">
        <v>8</v>
      </c>
      <c r="K3547" s="8" t="s">
        <v>8</v>
      </c>
      <c r="L3547" s="8" t="s">
        <v>8</v>
      </c>
      <c r="M3547" s="8"/>
      <c r="N3547" s="8"/>
      <c r="O3547" s="8" t="s">
        <v>8</v>
      </c>
      <c r="P3547" s="8" t="s">
        <v>8</v>
      </c>
    </row>
    <row r="3548">
      <c r="E3548" s="31"/>
      <c r="F3548" s="8" t="s">
        <v>8</v>
      </c>
      <c r="G3548" s="8" t="s">
        <v>8</v>
      </c>
      <c r="H3548" s="8" t="s">
        <v>8</v>
      </c>
      <c r="I3548" s="8" t="s">
        <v>8</v>
      </c>
      <c r="J3548" s="8" t="s">
        <v>8</v>
      </c>
      <c r="K3548" s="8" t="s">
        <v>8</v>
      </c>
      <c r="L3548" s="8" t="s">
        <v>8</v>
      </c>
      <c r="M3548" s="8"/>
      <c r="N3548" s="8"/>
      <c r="O3548" s="8" t="s">
        <v>8</v>
      </c>
      <c r="P3548" s="8" t="s">
        <v>8</v>
      </c>
    </row>
    <row r="3549">
      <c r="E3549" s="31"/>
      <c r="F3549" s="8" t="s">
        <v>8</v>
      </c>
      <c r="G3549" s="8" t="s">
        <v>8</v>
      </c>
      <c r="H3549" s="8" t="s">
        <v>8</v>
      </c>
      <c r="I3549" s="8" t="s">
        <v>8</v>
      </c>
      <c r="J3549" s="8" t="s">
        <v>8</v>
      </c>
      <c r="K3549" s="8" t="s">
        <v>8</v>
      </c>
      <c r="L3549" s="8" t="s">
        <v>8</v>
      </c>
      <c r="M3549" s="8"/>
      <c r="N3549" s="8"/>
      <c r="O3549" s="8" t="s">
        <v>8</v>
      </c>
      <c r="P3549" s="8" t="s">
        <v>8</v>
      </c>
    </row>
    <row r="3550">
      <c r="E3550" s="31"/>
      <c r="F3550" s="8" t="s">
        <v>8</v>
      </c>
      <c r="G3550" s="8" t="s">
        <v>8</v>
      </c>
      <c r="H3550" s="8" t="s">
        <v>8</v>
      </c>
      <c r="I3550" s="8" t="s">
        <v>8</v>
      </c>
      <c r="J3550" s="8" t="s">
        <v>8</v>
      </c>
      <c r="K3550" s="8" t="s">
        <v>8</v>
      </c>
      <c r="L3550" s="8" t="s">
        <v>8</v>
      </c>
      <c r="M3550" s="8"/>
      <c r="N3550" s="8"/>
      <c r="O3550" s="8" t="s">
        <v>8</v>
      </c>
      <c r="P3550" s="8" t="s">
        <v>8</v>
      </c>
    </row>
    <row r="3551">
      <c r="E3551" s="31"/>
      <c r="F3551" s="8" t="s">
        <v>8</v>
      </c>
      <c r="G3551" s="8" t="s">
        <v>8</v>
      </c>
      <c r="H3551" s="8" t="s">
        <v>8</v>
      </c>
      <c r="I3551" s="8" t="s">
        <v>8</v>
      </c>
      <c r="J3551" s="8" t="s">
        <v>8</v>
      </c>
      <c r="K3551" s="8" t="s">
        <v>8</v>
      </c>
      <c r="L3551" s="8" t="s">
        <v>8</v>
      </c>
      <c r="M3551" s="8"/>
      <c r="N3551" s="8"/>
      <c r="O3551" s="8" t="s">
        <v>8</v>
      </c>
      <c r="P3551" s="8" t="s">
        <v>8</v>
      </c>
    </row>
    <row r="3552">
      <c r="E3552" s="31"/>
      <c r="F3552" s="8" t="s">
        <v>8</v>
      </c>
      <c r="G3552" s="8" t="s">
        <v>8</v>
      </c>
      <c r="H3552" s="8" t="s">
        <v>8</v>
      </c>
      <c r="I3552" s="8" t="s">
        <v>8</v>
      </c>
      <c r="J3552" s="8" t="s">
        <v>8</v>
      </c>
      <c r="K3552" s="8" t="s">
        <v>8</v>
      </c>
      <c r="L3552" s="8" t="s">
        <v>8</v>
      </c>
      <c r="M3552" s="8"/>
      <c r="N3552" s="8"/>
      <c r="O3552" s="8" t="s">
        <v>8</v>
      </c>
      <c r="P3552" s="8" t="s">
        <v>8</v>
      </c>
    </row>
    <row r="3553">
      <c r="E3553" s="31"/>
      <c r="F3553" s="8" t="s">
        <v>8</v>
      </c>
      <c r="G3553" s="8" t="s">
        <v>8</v>
      </c>
      <c r="H3553" s="8" t="s">
        <v>8</v>
      </c>
      <c r="I3553" s="8" t="s">
        <v>8</v>
      </c>
      <c r="J3553" s="8" t="s">
        <v>8</v>
      </c>
      <c r="K3553" s="8" t="s">
        <v>8</v>
      </c>
      <c r="L3553" s="8" t="s">
        <v>8</v>
      </c>
      <c r="M3553" s="8"/>
      <c r="N3553" s="8"/>
      <c r="O3553" s="8" t="s">
        <v>8</v>
      </c>
      <c r="P3553" s="8" t="s">
        <v>8</v>
      </c>
    </row>
    <row r="3554">
      <c r="E3554" s="31"/>
      <c r="F3554" s="8" t="s">
        <v>8</v>
      </c>
      <c r="G3554" s="8" t="s">
        <v>8</v>
      </c>
      <c r="H3554" s="8" t="s">
        <v>8</v>
      </c>
      <c r="I3554" s="8" t="s">
        <v>8</v>
      </c>
      <c r="J3554" s="8" t="s">
        <v>8</v>
      </c>
      <c r="K3554" s="8" t="s">
        <v>8</v>
      </c>
      <c r="L3554" s="8" t="s">
        <v>8</v>
      </c>
      <c r="M3554" s="8"/>
      <c r="N3554" s="8"/>
      <c r="O3554" s="8" t="s">
        <v>8</v>
      </c>
      <c r="P3554" s="8" t="s">
        <v>8</v>
      </c>
    </row>
    <row r="3555">
      <c r="E3555" s="31"/>
      <c r="F3555" s="8" t="s">
        <v>8</v>
      </c>
      <c r="G3555" s="8" t="s">
        <v>8</v>
      </c>
      <c r="H3555" s="8" t="s">
        <v>8</v>
      </c>
      <c r="I3555" s="8" t="s">
        <v>8</v>
      </c>
      <c r="J3555" s="8" t="s">
        <v>8</v>
      </c>
      <c r="K3555" s="8" t="s">
        <v>8</v>
      </c>
      <c r="L3555" s="8" t="s">
        <v>8</v>
      </c>
      <c r="M3555" s="8"/>
      <c r="N3555" s="8"/>
      <c r="O3555" s="8" t="s">
        <v>8</v>
      </c>
      <c r="P3555" s="8" t="s">
        <v>8</v>
      </c>
    </row>
    <row r="3556">
      <c r="E3556" s="31"/>
      <c r="F3556" s="8" t="s">
        <v>8</v>
      </c>
      <c r="G3556" s="8" t="s">
        <v>8</v>
      </c>
      <c r="H3556" s="8" t="s">
        <v>8</v>
      </c>
      <c r="I3556" s="8" t="s">
        <v>8</v>
      </c>
      <c r="J3556" s="8" t="s">
        <v>8</v>
      </c>
      <c r="K3556" s="8" t="s">
        <v>8</v>
      </c>
      <c r="L3556" s="8" t="s">
        <v>8</v>
      </c>
      <c r="M3556" s="8"/>
      <c r="N3556" s="8"/>
      <c r="O3556" s="8" t="s">
        <v>8</v>
      </c>
      <c r="P3556" s="8" t="s">
        <v>8</v>
      </c>
    </row>
    <row r="3557">
      <c r="E3557" s="31"/>
      <c r="F3557" s="8" t="s">
        <v>8</v>
      </c>
      <c r="G3557" s="8" t="s">
        <v>8</v>
      </c>
      <c r="H3557" s="8" t="s">
        <v>8</v>
      </c>
      <c r="I3557" s="8" t="s">
        <v>8</v>
      </c>
      <c r="J3557" s="8" t="s">
        <v>8</v>
      </c>
      <c r="K3557" s="8" t="s">
        <v>8</v>
      </c>
      <c r="L3557" s="8" t="s">
        <v>8</v>
      </c>
      <c r="M3557" s="8"/>
      <c r="N3557" s="8"/>
      <c r="O3557" s="8" t="s">
        <v>8</v>
      </c>
      <c r="P3557" s="8" t="s">
        <v>8</v>
      </c>
    </row>
    <row r="3558">
      <c r="E3558" s="31"/>
      <c r="F3558" s="8" t="s">
        <v>8</v>
      </c>
      <c r="G3558" s="8" t="s">
        <v>8</v>
      </c>
      <c r="H3558" s="8" t="s">
        <v>8</v>
      </c>
      <c r="I3558" s="8" t="s">
        <v>8</v>
      </c>
      <c r="J3558" s="8" t="s">
        <v>8</v>
      </c>
      <c r="K3558" s="8" t="s">
        <v>8</v>
      </c>
      <c r="L3558" s="8" t="s">
        <v>8</v>
      </c>
      <c r="M3558" s="8"/>
      <c r="N3558" s="8"/>
      <c r="O3558" s="8" t="s">
        <v>8</v>
      </c>
      <c r="P3558" s="8" t="s">
        <v>8</v>
      </c>
    </row>
    <row r="3559">
      <c r="E3559" s="31"/>
      <c r="F3559" s="8" t="s">
        <v>8</v>
      </c>
      <c r="G3559" s="8" t="s">
        <v>8</v>
      </c>
      <c r="H3559" s="8" t="s">
        <v>8</v>
      </c>
      <c r="I3559" s="8" t="s">
        <v>8</v>
      </c>
      <c r="J3559" s="8" t="s">
        <v>8</v>
      </c>
      <c r="K3559" s="8" t="s">
        <v>8</v>
      </c>
      <c r="L3559" s="8" t="s">
        <v>8</v>
      </c>
      <c r="M3559" s="8"/>
      <c r="N3559" s="8"/>
      <c r="O3559" s="8" t="s">
        <v>8</v>
      </c>
      <c r="P3559" s="8" t="s">
        <v>8</v>
      </c>
    </row>
    <row r="3560">
      <c r="E3560" s="31"/>
      <c r="F3560" s="8" t="s">
        <v>8</v>
      </c>
      <c r="G3560" s="8" t="s">
        <v>8</v>
      </c>
      <c r="H3560" s="8" t="s">
        <v>8</v>
      </c>
      <c r="I3560" s="8" t="s">
        <v>8</v>
      </c>
      <c r="J3560" s="8" t="s">
        <v>8</v>
      </c>
      <c r="K3560" s="8" t="s">
        <v>8</v>
      </c>
      <c r="L3560" s="8" t="s">
        <v>8</v>
      </c>
      <c r="M3560" s="8"/>
      <c r="N3560" s="8"/>
      <c r="O3560" s="8" t="s">
        <v>8</v>
      </c>
      <c r="P3560" s="8" t="s">
        <v>8</v>
      </c>
    </row>
    <row r="3561">
      <c r="E3561" s="31"/>
      <c r="F3561" s="8" t="s">
        <v>8</v>
      </c>
      <c r="G3561" s="8" t="s">
        <v>8</v>
      </c>
      <c r="H3561" s="8" t="s">
        <v>8</v>
      </c>
      <c r="I3561" s="8" t="s">
        <v>8</v>
      </c>
      <c r="J3561" s="8" t="s">
        <v>8</v>
      </c>
      <c r="K3561" s="8" t="s">
        <v>8</v>
      </c>
      <c r="L3561" s="8" t="s">
        <v>8</v>
      </c>
      <c r="M3561" s="8"/>
      <c r="N3561" s="8"/>
      <c r="O3561" s="8" t="s">
        <v>8</v>
      </c>
      <c r="P3561" s="8" t="s">
        <v>8</v>
      </c>
    </row>
    <row r="3562">
      <c r="E3562" s="31"/>
      <c r="F3562" s="8" t="s">
        <v>8</v>
      </c>
      <c r="G3562" s="8" t="s">
        <v>8</v>
      </c>
      <c r="H3562" s="8" t="s">
        <v>8</v>
      </c>
      <c r="I3562" s="8" t="s">
        <v>8</v>
      </c>
      <c r="J3562" s="8" t="s">
        <v>8</v>
      </c>
      <c r="K3562" s="8" t="s">
        <v>8</v>
      </c>
      <c r="L3562" s="8" t="s">
        <v>8</v>
      </c>
      <c r="M3562" s="8"/>
      <c r="N3562" s="8"/>
      <c r="O3562" s="8" t="s">
        <v>8</v>
      </c>
      <c r="P3562" s="8" t="s">
        <v>8</v>
      </c>
    </row>
    <row r="3563">
      <c r="E3563" s="31"/>
      <c r="F3563" s="8" t="s">
        <v>8</v>
      </c>
      <c r="G3563" s="8" t="s">
        <v>8</v>
      </c>
      <c r="H3563" s="8" t="s">
        <v>8</v>
      </c>
      <c r="I3563" s="8" t="s">
        <v>8</v>
      </c>
      <c r="J3563" s="8" t="s">
        <v>8</v>
      </c>
      <c r="K3563" s="8" t="s">
        <v>8</v>
      </c>
      <c r="L3563" s="8" t="s">
        <v>8</v>
      </c>
      <c r="M3563" s="8"/>
      <c r="N3563" s="8"/>
      <c r="O3563" s="8" t="s">
        <v>8</v>
      </c>
      <c r="P3563" s="8" t="s">
        <v>8</v>
      </c>
    </row>
    <row r="3564">
      <c r="E3564" s="31"/>
      <c r="F3564" s="8" t="s">
        <v>8</v>
      </c>
      <c r="G3564" s="8" t="s">
        <v>8</v>
      </c>
      <c r="H3564" s="8" t="s">
        <v>8</v>
      </c>
      <c r="I3564" s="8" t="s">
        <v>8</v>
      </c>
      <c r="J3564" s="8" t="s">
        <v>8</v>
      </c>
      <c r="K3564" s="8" t="s">
        <v>8</v>
      </c>
      <c r="L3564" s="8" t="s">
        <v>8</v>
      </c>
      <c r="M3564" s="8"/>
      <c r="N3564" s="8"/>
      <c r="O3564" s="8" t="s">
        <v>8</v>
      </c>
      <c r="P3564" s="8" t="s">
        <v>8</v>
      </c>
    </row>
    <row r="3565">
      <c r="E3565" s="31"/>
      <c r="F3565" s="8" t="s">
        <v>8</v>
      </c>
      <c r="G3565" s="8" t="s">
        <v>8</v>
      </c>
      <c r="H3565" s="8" t="s">
        <v>8</v>
      </c>
      <c r="I3565" s="8" t="s">
        <v>8</v>
      </c>
      <c r="J3565" s="8" t="s">
        <v>8</v>
      </c>
      <c r="K3565" s="8" t="s">
        <v>8</v>
      </c>
      <c r="L3565" s="8" t="s">
        <v>8</v>
      </c>
      <c r="M3565" s="8"/>
      <c r="N3565" s="8"/>
      <c r="O3565" s="8" t="s">
        <v>8</v>
      </c>
      <c r="P3565" s="8" t="s">
        <v>8</v>
      </c>
    </row>
    <row r="3566">
      <c r="E3566" s="31"/>
      <c r="F3566" s="8" t="s">
        <v>8</v>
      </c>
      <c r="G3566" s="8" t="s">
        <v>8</v>
      </c>
      <c r="H3566" s="8" t="s">
        <v>8</v>
      </c>
      <c r="I3566" s="8" t="s">
        <v>8</v>
      </c>
      <c r="J3566" s="8" t="s">
        <v>8</v>
      </c>
      <c r="K3566" s="8" t="s">
        <v>8</v>
      </c>
      <c r="L3566" s="8" t="s">
        <v>8</v>
      </c>
      <c r="M3566" s="8"/>
      <c r="N3566" s="8"/>
      <c r="O3566" s="8" t="s">
        <v>8</v>
      </c>
      <c r="P3566" s="8" t="s">
        <v>8</v>
      </c>
    </row>
    <row r="3567">
      <c r="E3567" s="31"/>
      <c r="F3567" s="8" t="s">
        <v>8</v>
      </c>
      <c r="G3567" s="8" t="s">
        <v>8</v>
      </c>
      <c r="H3567" s="8" t="s">
        <v>8</v>
      </c>
      <c r="I3567" s="8" t="s">
        <v>8</v>
      </c>
      <c r="J3567" s="8" t="s">
        <v>8</v>
      </c>
      <c r="K3567" s="8" t="s">
        <v>8</v>
      </c>
      <c r="L3567" s="8" t="s">
        <v>8</v>
      </c>
      <c r="M3567" s="8"/>
      <c r="N3567" s="8"/>
      <c r="O3567" s="8" t="s">
        <v>8</v>
      </c>
      <c r="P3567" s="8" t="s">
        <v>8</v>
      </c>
    </row>
    <row r="3568">
      <c r="E3568" s="31"/>
      <c r="F3568" s="8" t="s">
        <v>8</v>
      </c>
      <c r="G3568" s="8" t="s">
        <v>8</v>
      </c>
      <c r="H3568" s="8" t="s">
        <v>8</v>
      </c>
      <c r="I3568" s="8" t="s">
        <v>8</v>
      </c>
      <c r="J3568" s="8" t="s">
        <v>8</v>
      </c>
      <c r="K3568" s="8" t="s">
        <v>8</v>
      </c>
      <c r="L3568" s="8" t="s">
        <v>8</v>
      </c>
      <c r="M3568" s="8"/>
      <c r="N3568" s="8"/>
      <c r="O3568" s="8" t="s">
        <v>8</v>
      </c>
      <c r="P3568" s="8" t="s">
        <v>8</v>
      </c>
    </row>
    <row r="3569">
      <c r="E3569" s="31"/>
      <c r="F3569" s="8" t="s">
        <v>8</v>
      </c>
      <c r="G3569" s="8" t="s">
        <v>8</v>
      </c>
      <c r="H3569" s="8" t="s">
        <v>8</v>
      </c>
      <c r="I3569" s="8" t="s">
        <v>8</v>
      </c>
      <c r="J3569" s="8" t="s">
        <v>8</v>
      </c>
      <c r="K3569" s="8" t="s">
        <v>8</v>
      </c>
      <c r="L3569" s="8" t="s">
        <v>8</v>
      </c>
      <c r="M3569" s="8"/>
      <c r="N3569" s="8"/>
      <c r="O3569" s="8" t="s">
        <v>8</v>
      </c>
      <c r="P3569" s="8" t="s">
        <v>8</v>
      </c>
    </row>
    <row r="3570">
      <c r="E3570" s="31"/>
      <c r="F3570" s="8" t="s">
        <v>8</v>
      </c>
      <c r="G3570" s="8" t="s">
        <v>8</v>
      </c>
      <c r="H3570" s="8" t="s">
        <v>8</v>
      </c>
      <c r="I3570" s="8" t="s">
        <v>8</v>
      </c>
      <c r="J3570" s="8" t="s">
        <v>8</v>
      </c>
      <c r="K3570" s="8" t="s">
        <v>8</v>
      </c>
      <c r="L3570" s="8" t="s">
        <v>8</v>
      </c>
      <c r="M3570" s="8"/>
      <c r="N3570" s="8"/>
      <c r="O3570" s="8" t="s">
        <v>8</v>
      </c>
      <c r="P3570" s="8" t="s">
        <v>8</v>
      </c>
    </row>
    <row r="3571">
      <c r="E3571" s="31"/>
      <c r="F3571" s="8" t="s">
        <v>8</v>
      </c>
      <c r="G3571" s="8" t="s">
        <v>8</v>
      </c>
      <c r="H3571" s="8" t="s">
        <v>8</v>
      </c>
      <c r="I3571" s="8" t="s">
        <v>8</v>
      </c>
      <c r="J3571" s="8" t="s">
        <v>8</v>
      </c>
      <c r="K3571" s="8" t="s">
        <v>8</v>
      </c>
      <c r="L3571" s="8" t="s">
        <v>8</v>
      </c>
      <c r="M3571" s="8"/>
      <c r="N3571" s="8"/>
      <c r="O3571" s="8" t="s">
        <v>8</v>
      </c>
      <c r="P3571" s="8" t="s">
        <v>8</v>
      </c>
    </row>
    <row r="3572">
      <c r="E3572" s="31"/>
      <c r="F3572" s="8" t="s">
        <v>8</v>
      </c>
      <c r="G3572" s="8" t="s">
        <v>8</v>
      </c>
      <c r="H3572" s="8" t="s">
        <v>8</v>
      </c>
      <c r="I3572" s="8" t="s">
        <v>8</v>
      </c>
      <c r="J3572" s="8" t="s">
        <v>8</v>
      </c>
      <c r="K3572" s="8" t="s">
        <v>8</v>
      </c>
      <c r="L3572" s="8" t="s">
        <v>8</v>
      </c>
      <c r="M3572" s="8"/>
      <c r="N3572" s="8"/>
      <c r="O3572" s="8" t="s">
        <v>8</v>
      </c>
      <c r="P3572" s="8" t="s">
        <v>8</v>
      </c>
    </row>
    <row r="3573">
      <c r="E3573" s="31"/>
      <c r="F3573" s="8" t="s">
        <v>8</v>
      </c>
      <c r="G3573" s="8" t="s">
        <v>8</v>
      </c>
      <c r="H3573" s="8" t="s">
        <v>8</v>
      </c>
      <c r="I3573" s="8" t="s">
        <v>8</v>
      </c>
      <c r="J3573" s="8" t="s">
        <v>8</v>
      </c>
      <c r="K3573" s="8" t="s">
        <v>8</v>
      </c>
      <c r="L3573" s="8" t="s">
        <v>8</v>
      </c>
      <c r="M3573" s="8"/>
      <c r="N3573" s="8"/>
      <c r="O3573" s="8" t="s">
        <v>8</v>
      </c>
      <c r="P3573" s="8" t="s">
        <v>8</v>
      </c>
    </row>
    <row r="3574">
      <c r="E3574" s="31"/>
      <c r="F3574" s="8" t="s">
        <v>8</v>
      </c>
      <c r="G3574" s="8" t="s">
        <v>8</v>
      </c>
      <c r="H3574" s="8" t="s">
        <v>8</v>
      </c>
      <c r="I3574" s="8" t="s">
        <v>8</v>
      </c>
      <c r="J3574" s="8" t="s">
        <v>8</v>
      </c>
      <c r="K3574" s="8" t="s">
        <v>8</v>
      </c>
      <c r="L3574" s="8" t="s">
        <v>8</v>
      </c>
      <c r="M3574" s="8"/>
      <c r="N3574" s="8"/>
      <c r="O3574" s="8" t="s">
        <v>8</v>
      </c>
      <c r="P3574" s="8" t="s">
        <v>8</v>
      </c>
    </row>
    <row r="3575">
      <c r="E3575" s="31"/>
      <c r="F3575" s="8" t="s">
        <v>8</v>
      </c>
      <c r="G3575" s="8" t="s">
        <v>8</v>
      </c>
      <c r="H3575" s="8" t="s">
        <v>8</v>
      </c>
      <c r="I3575" s="8" t="s">
        <v>8</v>
      </c>
      <c r="J3575" s="8" t="s">
        <v>8</v>
      </c>
      <c r="K3575" s="8" t="s">
        <v>8</v>
      </c>
      <c r="L3575" s="8" t="s">
        <v>8</v>
      </c>
      <c r="M3575" s="8"/>
      <c r="N3575" s="8"/>
      <c r="O3575" s="8" t="s">
        <v>8</v>
      </c>
      <c r="P3575" s="8" t="s">
        <v>8</v>
      </c>
    </row>
    <row r="3576">
      <c r="E3576" s="31"/>
      <c r="F3576" s="8" t="s">
        <v>8</v>
      </c>
      <c r="G3576" s="8" t="s">
        <v>8</v>
      </c>
      <c r="H3576" s="8" t="s">
        <v>8</v>
      </c>
      <c r="I3576" s="8" t="s">
        <v>8</v>
      </c>
      <c r="J3576" s="8" t="s">
        <v>8</v>
      </c>
      <c r="K3576" s="8" t="s">
        <v>8</v>
      </c>
      <c r="L3576" s="8" t="s">
        <v>8</v>
      </c>
      <c r="M3576" s="8"/>
      <c r="N3576" s="8"/>
      <c r="O3576" s="8" t="s">
        <v>8</v>
      </c>
      <c r="P3576" s="8" t="s">
        <v>8</v>
      </c>
    </row>
    <row r="3577">
      <c r="E3577" s="31"/>
      <c r="F3577" s="8" t="s">
        <v>8</v>
      </c>
      <c r="G3577" s="8" t="s">
        <v>8</v>
      </c>
      <c r="H3577" s="8" t="s">
        <v>8</v>
      </c>
      <c r="I3577" s="8" t="s">
        <v>8</v>
      </c>
      <c r="J3577" s="8" t="s">
        <v>8</v>
      </c>
      <c r="K3577" s="8" t="s">
        <v>8</v>
      </c>
      <c r="L3577" s="8" t="s">
        <v>8</v>
      </c>
      <c r="M3577" s="8"/>
      <c r="N3577" s="8"/>
      <c r="O3577" s="8" t="s">
        <v>8</v>
      </c>
      <c r="P3577" s="8" t="s">
        <v>8</v>
      </c>
    </row>
    <row r="3578">
      <c r="E3578" s="31"/>
      <c r="F3578" s="8" t="s">
        <v>8</v>
      </c>
      <c r="G3578" s="8" t="s">
        <v>8</v>
      </c>
      <c r="H3578" s="8" t="s">
        <v>8</v>
      </c>
      <c r="I3578" s="8" t="s">
        <v>8</v>
      </c>
      <c r="J3578" s="8" t="s">
        <v>8</v>
      </c>
      <c r="K3578" s="8" t="s">
        <v>8</v>
      </c>
      <c r="L3578" s="8" t="s">
        <v>8</v>
      </c>
      <c r="M3578" s="8"/>
      <c r="N3578" s="8"/>
      <c r="O3578" s="8" t="s">
        <v>8</v>
      </c>
      <c r="P3578" s="8" t="s">
        <v>8</v>
      </c>
    </row>
    <row r="3579">
      <c r="E3579" s="31"/>
      <c r="F3579" s="8" t="s">
        <v>8</v>
      </c>
      <c r="G3579" s="8" t="s">
        <v>8</v>
      </c>
      <c r="H3579" s="8" t="s">
        <v>8</v>
      </c>
      <c r="I3579" s="8" t="s">
        <v>8</v>
      </c>
      <c r="J3579" s="8" t="s">
        <v>8</v>
      </c>
      <c r="K3579" s="8" t="s">
        <v>8</v>
      </c>
      <c r="L3579" s="8" t="s">
        <v>8</v>
      </c>
      <c r="M3579" s="8"/>
      <c r="N3579" s="8"/>
      <c r="O3579" s="8" t="s">
        <v>8</v>
      </c>
      <c r="P3579" s="8" t="s">
        <v>8</v>
      </c>
    </row>
    <row r="3580">
      <c r="E3580" s="31"/>
      <c r="F3580" s="8" t="s">
        <v>8</v>
      </c>
      <c r="G3580" s="8" t="s">
        <v>8</v>
      </c>
      <c r="H3580" s="8" t="s">
        <v>8</v>
      </c>
      <c r="I3580" s="8" t="s">
        <v>8</v>
      </c>
      <c r="J3580" s="8" t="s">
        <v>8</v>
      </c>
      <c r="K3580" s="8" t="s">
        <v>8</v>
      </c>
      <c r="L3580" s="8" t="s">
        <v>8</v>
      </c>
      <c r="M3580" s="8"/>
      <c r="N3580" s="8"/>
      <c r="O3580" s="8" t="s">
        <v>8</v>
      </c>
      <c r="P3580" s="8" t="s">
        <v>8</v>
      </c>
    </row>
    <row r="3581">
      <c r="E3581" s="31"/>
      <c r="F3581" s="8" t="s">
        <v>8</v>
      </c>
      <c r="G3581" s="8" t="s">
        <v>8</v>
      </c>
      <c r="H3581" s="8" t="s">
        <v>8</v>
      </c>
      <c r="I3581" s="8" t="s">
        <v>8</v>
      </c>
      <c r="J3581" s="8" t="s">
        <v>8</v>
      </c>
      <c r="K3581" s="8" t="s">
        <v>8</v>
      </c>
      <c r="L3581" s="8" t="s">
        <v>8</v>
      </c>
      <c r="M3581" s="8"/>
      <c r="N3581" s="8"/>
      <c r="O3581" s="8" t="s">
        <v>8</v>
      </c>
      <c r="P3581" s="8" t="s">
        <v>8</v>
      </c>
    </row>
    <row r="3582">
      <c r="E3582" s="31"/>
      <c r="F3582" s="8" t="s">
        <v>8</v>
      </c>
      <c r="G3582" s="8" t="s">
        <v>8</v>
      </c>
      <c r="H3582" s="8" t="s">
        <v>8</v>
      </c>
      <c r="I3582" s="8" t="s">
        <v>8</v>
      </c>
      <c r="J3582" s="8" t="s">
        <v>8</v>
      </c>
      <c r="K3582" s="8" t="s">
        <v>8</v>
      </c>
      <c r="L3582" s="8" t="s">
        <v>8</v>
      </c>
      <c r="M3582" s="8"/>
      <c r="N3582" s="8"/>
      <c r="O3582" s="8" t="s">
        <v>8</v>
      </c>
      <c r="P3582" s="8" t="s">
        <v>8</v>
      </c>
    </row>
    <row r="3583">
      <c r="E3583" s="31"/>
      <c r="F3583" s="8" t="s">
        <v>8</v>
      </c>
      <c r="G3583" s="8" t="s">
        <v>8</v>
      </c>
      <c r="H3583" s="8" t="s">
        <v>8</v>
      </c>
      <c r="I3583" s="8" t="s">
        <v>8</v>
      </c>
      <c r="J3583" s="8" t="s">
        <v>8</v>
      </c>
      <c r="K3583" s="8" t="s">
        <v>8</v>
      </c>
      <c r="L3583" s="8" t="s">
        <v>8</v>
      </c>
      <c r="M3583" s="8"/>
      <c r="N3583" s="8"/>
      <c r="O3583" s="8" t="s">
        <v>8</v>
      </c>
      <c r="P3583" s="8" t="s">
        <v>8</v>
      </c>
    </row>
    <row r="3584">
      <c r="E3584" s="31"/>
      <c r="F3584" s="8" t="s">
        <v>8</v>
      </c>
      <c r="G3584" s="8" t="s">
        <v>8</v>
      </c>
      <c r="H3584" s="8" t="s">
        <v>8</v>
      </c>
      <c r="I3584" s="8" t="s">
        <v>8</v>
      </c>
      <c r="J3584" s="8" t="s">
        <v>8</v>
      </c>
      <c r="K3584" s="8" t="s">
        <v>8</v>
      </c>
      <c r="L3584" s="8" t="s">
        <v>8</v>
      </c>
      <c r="M3584" s="8"/>
      <c r="N3584" s="8"/>
      <c r="O3584" s="8" t="s">
        <v>8</v>
      </c>
      <c r="P3584" s="8" t="s">
        <v>8</v>
      </c>
    </row>
    <row r="3585">
      <c r="E3585" s="31"/>
      <c r="F3585" s="8" t="s">
        <v>8</v>
      </c>
      <c r="G3585" s="8" t="s">
        <v>8</v>
      </c>
      <c r="H3585" s="8" t="s">
        <v>8</v>
      </c>
      <c r="I3585" s="8" t="s">
        <v>8</v>
      </c>
      <c r="J3585" s="8" t="s">
        <v>8</v>
      </c>
      <c r="K3585" s="8" t="s">
        <v>8</v>
      </c>
      <c r="L3585" s="8" t="s">
        <v>8</v>
      </c>
      <c r="M3585" s="8"/>
      <c r="N3585" s="8"/>
      <c r="O3585" s="8" t="s">
        <v>8</v>
      </c>
      <c r="P3585" s="8" t="s">
        <v>8</v>
      </c>
    </row>
    <row r="3586">
      <c r="E3586" s="31"/>
      <c r="F3586" s="8" t="s">
        <v>8</v>
      </c>
      <c r="G3586" s="8" t="s">
        <v>8</v>
      </c>
      <c r="H3586" s="8" t="s">
        <v>8</v>
      </c>
      <c r="I3586" s="8" t="s">
        <v>8</v>
      </c>
      <c r="J3586" s="8" t="s">
        <v>8</v>
      </c>
      <c r="K3586" s="8" t="s">
        <v>8</v>
      </c>
      <c r="L3586" s="8" t="s">
        <v>8</v>
      </c>
      <c r="M3586" s="8"/>
      <c r="N3586" s="8"/>
      <c r="O3586" s="8" t="s">
        <v>8</v>
      </c>
      <c r="P3586" s="8" t="s">
        <v>8</v>
      </c>
    </row>
    <row r="3587">
      <c r="E3587" s="31"/>
      <c r="F3587" s="8" t="s">
        <v>8</v>
      </c>
      <c r="G3587" s="8" t="s">
        <v>8</v>
      </c>
      <c r="H3587" s="8" t="s">
        <v>8</v>
      </c>
      <c r="I3587" s="8" t="s">
        <v>8</v>
      </c>
      <c r="J3587" s="8" t="s">
        <v>8</v>
      </c>
      <c r="K3587" s="8" t="s">
        <v>8</v>
      </c>
      <c r="L3587" s="8" t="s">
        <v>8</v>
      </c>
      <c r="M3587" s="8"/>
      <c r="N3587" s="8"/>
      <c r="O3587" s="8" t="s">
        <v>8</v>
      </c>
      <c r="P3587" s="8" t="s">
        <v>8</v>
      </c>
    </row>
    <row r="3588">
      <c r="E3588" s="31"/>
      <c r="F3588" s="8" t="s">
        <v>8</v>
      </c>
      <c r="G3588" s="8" t="s">
        <v>8</v>
      </c>
      <c r="H3588" s="8" t="s">
        <v>8</v>
      </c>
      <c r="I3588" s="8" t="s">
        <v>8</v>
      </c>
      <c r="J3588" s="8" t="s">
        <v>8</v>
      </c>
      <c r="K3588" s="8" t="s">
        <v>8</v>
      </c>
      <c r="L3588" s="8" t="s">
        <v>8</v>
      </c>
      <c r="M3588" s="8"/>
      <c r="N3588" s="8"/>
      <c r="O3588" s="8" t="s">
        <v>8</v>
      </c>
      <c r="P3588" s="8" t="s">
        <v>8</v>
      </c>
    </row>
    <row r="3589">
      <c r="E3589" s="31"/>
      <c r="F3589" s="8" t="s">
        <v>8</v>
      </c>
      <c r="G3589" s="8" t="s">
        <v>8</v>
      </c>
      <c r="H3589" s="8" t="s">
        <v>8</v>
      </c>
      <c r="I3589" s="8" t="s">
        <v>8</v>
      </c>
      <c r="J3589" s="8" t="s">
        <v>8</v>
      </c>
      <c r="K3589" s="8" t="s">
        <v>8</v>
      </c>
      <c r="L3589" s="8" t="s">
        <v>8</v>
      </c>
      <c r="M3589" s="8"/>
      <c r="N3589" s="8"/>
      <c r="O3589" s="8" t="s">
        <v>8</v>
      </c>
      <c r="P3589" s="8" t="s">
        <v>8</v>
      </c>
    </row>
    <row r="3590">
      <c r="E3590" s="31"/>
      <c r="F3590" s="8" t="s">
        <v>8</v>
      </c>
      <c r="G3590" s="8" t="s">
        <v>8</v>
      </c>
      <c r="H3590" s="8" t="s">
        <v>8</v>
      </c>
      <c r="I3590" s="8" t="s">
        <v>8</v>
      </c>
      <c r="J3590" s="8" t="s">
        <v>8</v>
      </c>
      <c r="K3590" s="8" t="s">
        <v>8</v>
      </c>
      <c r="L3590" s="8" t="s">
        <v>8</v>
      </c>
      <c r="M3590" s="8"/>
      <c r="N3590" s="8"/>
      <c r="O3590" s="8" t="s">
        <v>8</v>
      </c>
      <c r="P3590" s="8" t="s">
        <v>8</v>
      </c>
    </row>
    <row r="3591">
      <c r="E3591" s="31"/>
      <c r="F3591" s="8" t="s">
        <v>8</v>
      </c>
      <c r="G3591" s="8" t="s">
        <v>8</v>
      </c>
      <c r="H3591" s="8" t="s">
        <v>8</v>
      </c>
      <c r="I3591" s="8" t="s">
        <v>8</v>
      </c>
      <c r="J3591" s="8" t="s">
        <v>8</v>
      </c>
      <c r="K3591" s="8" t="s">
        <v>8</v>
      </c>
      <c r="L3591" s="8" t="s">
        <v>8</v>
      </c>
      <c r="M3591" s="8"/>
      <c r="N3591" s="8"/>
      <c r="O3591" s="8" t="s">
        <v>8</v>
      </c>
      <c r="P3591" s="8" t="s">
        <v>8</v>
      </c>
    </row>
    <row r="3592">
      <c r="E3592" s="31"/>
      <c r="F3592" s="8" t="s">
        <v>8</v>
      </c>
      <c r="G3592" s="8" t="s">
        <v>8</v>
      </c>
      <c r="H3592" s="8" t="s">
        <v>8</v>
      </c>
      <c r="I3592" s="8" t="s">
        <v>8</v>
      </c>
      <c r="J3592" s="8" t="s">
        <v>8</v>
      </c>
      <c r="K3592" s="8" t="s">
        <v>8</v>
      </c>
      <c r="L3592" s="8" t="s">
        <v>8</v>
      </c>
      <c r="M3592" s="8"/>
      <c r="N3592" s="8"/>
      <c r="O3592" s="8" t="s">
        <v>8</v>
      </c>
      <c r="P3592" s="8" t="s">
        <v>8</v>
      </c>
    </row>
    <row r="3593">
      <c r="E3593" s="31"/>
      <c r="F3593" s="8" t="s">
        <v>8</v>
      </c>
      <c r="G3593" s="8" t="s">
        <v>8</v>
      </c>
      <c r="H3593" s="8" t="s">
        <v>8</v>
      </c>
      <c r="I3593" s="8" t="s">
        <v>8</v>
      </c>
      <c r="J3593" s="8" t="s">
        <v>8</v>
      </c>
      <c r="K3593" s="8" t="s">
        <v>8</v>
      </c>
      <c r="L3593" s="8" t="s">
        <v>8</v>
      </c>
      <c r="M3593" s="8"/>
      <c r="N3593" s="8"/>
      <c r="O3593" s="8" t="s">
        <v>8</v>
      </c>
      <c r="P3593" s="8" t="s">
        <v>8</v>
      </c>
    </row>
    <row r="3594">
      <c r="E3594" s="31"/>
      <c r="F3594" s="8" t="s">
        <v>8</v>
      </c>
      <c r="G3594" s="8" t="s">
        <v>8</v>
      </c>
      <c r="H3594" s="8" t="s">
        <v>8</v>
      </c>
      <c r="I3594" s="8" t="s">
        <v>8</v>
      </c>
      <c r="J3594" s="8" t="s">
        <v>8</v>
      </c>
      <c r="K3594" s="8" t="s">
        <v>8</v>
      </c>
      <c r="L3594" s="8" t="s">
        <v>8</v>
      </c>
      <c r="M3594" s="8"/>
      <c r="N3594" s="8"/>
      <c r="O3594" s="8" t="s">
        <v>8</v>
      </c>
      <c r="P3594" s="8" t="s">
        <v>8</v>
      </c>
    </row>
    <row r="3595">
      <c r="E3595" s="31"/>
      <c r="F3595" s="8" t="s">
        <v>8</v>
      </c>
      <c r="G3595" s="8" t="s">
        <v>8</v>
      </c>
      <c r="H3595" s="8" t="s">
        <v>8</v>
      </c>
      <c r="I3595" s="8" t="s">
        <v>8</v>
      </c>
      <c r="J3595" s="8" t="s">
        <v>8</v>
      </c>
      <c r="K3595" s="8" t="s">
        <v>8</v>
      </c>
      <c r="L3595" s="8" t="s">
        <v>8</v>
      </c>
      <c r="M3595" s="8"/>
      <c r="N3595" s="8"/>
      <c r="O3595" s="8" t="s">
        <v>8</v>
      </c>
      <c r="P3595" s="8" t="s">
        <v>8</v>
      </c>
    </row>
    <row r="3596">
      <c r="E3596" s="31"/>
      <c r="F3596" s="8" t="s">
        <v>8</v>
      </c>
      <c r="G3596" s="8" t="s">
        <v>8</v>
      </c>
      <c r="H3596" s="8" t="s">
        <v>8</v>
      </c>
      <c r="I3596" s="8" t="s">
        <v>8</v>
      </c>
      <c r="J3596" s="8" t="s">
        <v>8</v>
      </c>
      <c r="K3596" s="8" t="s">
        <v>8</v>
      </c>
      <c r="L3596" s="8" t="s">
        <v>8</v>
      </c>
      <c r="M3596" s="8"/>
      <c r="N3596" s="8"/>
      <c r="O3596" s="8" t="s">
        <v>8</v>
      </c>
      <c r="P3596" s="8" t="s">
        <v>8</v>
      </c>
    </row>
    <row r="3597">
      <c r="E3597" s="31"/>
      <c r="F3597" s="8" t="s">
        <v>8</v>
      </c>
      <c r="G3597" s="8" t="s">
        <v>8</v>
      </c>
      <c r="H3597" s="8" t="s">
        <v>8</v>
      </c>
      <c r="I3597" s="8" t="s">
        <v>8</v>
      </c>
      <c r="J3597" s="8" t="s">
        <v>8</v>
      </c>
      <c r="K3597" s="8" t="s">
        <v>8</v>
      </c>
      <c r="L3597" s="8" t="s">
        <v>8</v>
      </c>
      <c r="M3597" s="8"/>
      <c r="N3597" s="8"/>
      <c r="O3597" s="8" t="s">
        <v>8</v>
      </c>
      <c r="P3597" s="8" t="s">
        <v>8</v>
      </c>
    </row>
    <row r="3598">
      <c r="E3598" s="31"/>
      <c r="F3598" s="8" t="s">
        <v>8</v>
      </c>
      <c r="G3598" s="8" t="s">
        <v>8</v>
      </c>
      <c r="H3598" s="8" t="s">
        <v>8</v>
      </c>
      <c r="I3598" s="8" t="s">
        <v>8</v>
      </c>
      <c r="J3598" s="8" t="s">
        <v>8</v>
      </c>
      <c r="K3598" s="8" t="s">
        <v>8</v>
      </c>
      <c r="L3598" s="8" t="s">
        <v>8</v>
      </c>
      <c r="M3598" s="8"/>
      <c r="N3598" s="8"/>
      <c r="O3598" s="8" t="s">
        <v>8</v>
      </c>
      <c r="P3598" s="8" t="s">
        <v>8</v>
      </c>
    </row>
    <row r="3599">
      <c r="E3599" s="31"/>
      <c r="F3599" s="8" t="s">
        <v>8</v>
      </c>
      <c r="G3599" s="8" t="s">
        <v>8</v>
      </c>
      <c r="H3599" s="8" t="s">
        <v>8</v>
      </c>
      <c r="I3599" s="8" t="s">
        <v>8</v>
      </c>
      <c r="J3599" s="8" t="s">
        <v>8</v>
      </c>
      <c r="K3599" s="8" t="s">
        <v>8</v>
      </c>
      <c r="L3599" s="8" t="s">
        <v>8</v>
      </c>
      <c r="M3599" s="8"/>
      <c r="N3599" s="8"/>
      <c r="O3599" s="8" t="s">
        <v>8</v>
      </c>
      <c r="P3599" s="8" t="s">
        <v>8</v>
      </c>
    </row>
    <row r="3600">
      <c r="E3600" s="31"/>
      <c r="F3600" s="8" t="s">
        <v>8</v>
      </c>
      <c r="G3600" s="8" t="s">
        <v>8</v>
      </c>
      <c r="H3600" s="8" t="s">
        <v>8</v>
      </c>
      <c r="I3600" s="8" t="s">
        <v>8</v>
      </c>
      <c r="J3600" s="8" t="s">
        <v>8</v>
      </c>
      <c r="K3600" s="8" t="s">
        <v>8</v>
      </c>
      <c r="L3600" s="8" t="s">
        <v>8</v>
      </c>
      <c r="M3600" s="8"/>
      <c r="N3600" s="8"/>
      <c r="O3600" s="8" t="s">
        <v>8</v>
      </c>
      <c r="P3600" s="8" t="s">
        <v>8</v>
      </c>
    </row>
    <row r="3601">
      <c r="E3601" s="31"/>
      <c r="F3601" s="8" t="s">
        <v>8</v>
      </c>
      <c r="G3601" s="8" t="s">
        <v>8</v>
      </c>
      <c r="H3601" s="8" t="s">
        <v>8</v>
      </c>
      <c r="I3601" s="8" t="s">
        <v>8</v>
      </c>
      <c r="J3601" s="8" t="s">
        <v>8</v>
      </c>
      <c r="K3601" s="8" t="s">
        <v>8</v>
      </c>
      <c r="L3601" s="8" t="s">
        <v>8</v>
      </c>
      <c r="M3601" s="8"/>
      <c r="N3601" s="8"/>
      <c r="O3601" s="8" t="s">
        <v>8</v>
      </c>
      <c r="P3601" s="8" t="s">
        <v>8</v>
      </c>
    </row>
    <row r="3602">
      <c r="E3602" s="31"/>
      <c r="F3602" s="8" t="s">
        <v>8</v>
      </c>
      <c r="G3602" s="8" t="s">
        <v>8</v>
      </c>
      <c r="H3602" s="8" t="s">
        <v>8</v>
      </c>
      <c r="I3602" s="8" t="s">
        <v>8</v>
      </c>
      <c r="J3602" s="8" t="s">
        <v>8</v>
      </c>
      <c r="K3602" s="8" t="s">
        <v>8</v>
      </c>
      <c r="L3602" s="8" t="s">
        <v>8</v>
      </c>
      <c r="M3602" s="8"/>
      <c r="N3602" s="8"/>
      <c r="O3602" s="8" t="s">
        <v>8</v>
      </c>
      <c r="P3602" s="8" t="s">
        <v>8</v>
      </c>
    </row>
    <row r="3603">
      <c r="E3603" s="31"/>
      <c r="F3603" s="8" t="s">
        <v>8</v>
      </c>
      <c r="G3603" s="8" t="s">
        <v>8</v>
      </c>
      <c r="H3603" s="8" t="s">
        <v>8</v>
      </c>
      <c r="I3603" s="8" t="s">
        <v>8</v>
      </c>
      <c r="J3603" s="8" t="s">
        <v>8</v>
      </c>
      <c r="K3603" s="8" t="s">
        <v>8</v>
      </c>
      <c r="L3603" s="8" t="s">
        <v>8</v>
      </c>
      <c r="M3603" s="8"/>
      <c r="N3603" s="8"/>
      <c r="O3603" s="8" t="s">
        <v>8</v>
      </c>
      <c r="P3603" s="8" t="s">
        <v>8</v>
      </c>
    </row>
    <row r="3604">
      <c r="E3604" s="31"/>
      <c r="F3604" s="8" t="s">
        <v>8</v>
      </c>
      <c r="G3604" s="8" t="s">
        <v>8</v>
      </c>
      <c r="H3604" s="8" t="s">
        <v>8</v>
      </c>
      <c r="I3604" s="8" t="s">
        <v>8</v>
      </c>
      <c r="J3604" s="8" t="s">
        <v>8</v>
      </c>
      <c r="K3604" s="8" t="s">
        <v>8</v>
      </c>
      <c r="L3604" s="8" t="s">
        <v>8</v>
      </c>
      <c r="M3604" s="8"/>
      <c r="N3604" s="8"/>
      <c r="O3604" s="8" t="s">
        <v>8</v>
      </c>
      <c r="P3604" s="8" t="s">
        <v>8</v>
      </c>
    </row>
    <row r="3605">
      <c r="E3605" s="31"/>
      <c r="F3605" s="8" t="s">
        <v>8</v>
      </c>
      <c r="G3605" s="8" t="s">
        <v>8</v>
      </c>
      <c r="H3605" s="8" t="s">
        <v>8</v>
      </c>
      <c r="I3605" s="8" t="s">
        <v>8</v>
      </c>
      <c r="J3605" s="8" t="s">
        <v>8</v>
      </c>
      <c r="K3605" s="8" t="s">
        <v>8</v>
      </c>
      <c r="L3605" s="8" t="s">
        <v>8</v>
      </c>
      <c r="M3605" s="8"/>
      <c r="N3605" s="8"/>
      <c r="O3605" s="8" t="s">
        <v>8</v>
      </c>
      <c r="P3605" s="8" t="s">
        <v>8</v>
      </c>
    </row>
    <row r="3606">
      <c r="E3606" s="31"/>
      <c r="F3606" s="8" t="s">
        <v>8</v>
      </c>
      <c r="G3606" s="8" t="s">
        <v>8</v>
      </c>
      <c r="H3606" s="8" t="s">
        <v>8</v>
      </c>
      <c r="I3606" s="8" t="s">
        <v>8</v>
      </c>
      <c r="J3606" s="8" t="s">
        <v>8</v>
      </c>
      <c r="K3606" s="8" t="s">
        <v>8</v>
      </c>
      <c r="L3606" s="8" t="s">
        <v>8</v>
      </c>
      <c r="M3606" s="8"/>
      <c r="N3606" s="8"/>
      <c r="O3606" s="8" t="s">
        <v>8</v>
      </c>
      <c r="P3606" s="8" t="s">
        <v>8</v>
      </c>
    </row>
    <row r="3607">
      <c r="E3607" s="31"/>
      <c r="F3607" s="8" t="s">
        <v>8</v>
      </c>
      <c r="G3607" s="8" t="s">
        <v>8</v>
      </c>
      <c r="H3607" s="8" t="s">
        <v>8</v>
      </c>
      <c r="I3607" s="8" t="s">
        <v>8</v>
      </c>
      <c r="J3607" s="8" t="s">
        <v>8</v>
      </c>
      <c r="K3607" s="8" t="s">
        <v>8</v>
      </c>
      <c r="L3607" s="8" t="s">
        <v>8</v>
      </c>
      <c r="M3607" s="8"/>
      <c r="N3607" s="8"/>
      <c r="O3607" s="8" t="s">
        <v>8</v>
      </c>
      <c r="P3607" s="8" t="s">
        <v>8</v>
      </c>
    </row>
    <row r="3608">
      <c r="E3608" s="31"/>
      <c r="F3608" s="8" t="s">
        <v>8</v>
      </c>
      <c r="G3608" s="8" t="s">
        <v>8</v>
      </c>
      <c r="H3608" s="8" t="s">
        <v>8</v>
      </c>
      <c r="I3608" s="8" t="s">
        <v>8</v>
      </c>
      <c r="J3608" s="8" t="s">
        <v>8</v>
      </c>
      <c r="K3608" s="8" t="s">
        <v>8</v>
      </c>
      <c r="L3608" s="8" t="s">
        <v>8</v>
      </c>
      <c r="M3608" s="8"/>
      <c r="N3608" s="8"/>
      <c r="O3608" s="8" t="s">
        <v>8</v>
      </c>
      <c r="P3608" s="8" t="s">
        <v>8</v>
      </c>
    </row>
    <row r="3609">
      <c r="E3609" s="31"/>
      <c r="F3609" s="8" t="s">
        <v>8</v>
      </c>
      <c r="G3609" s="8" t="s">
        <v>8</v>
      </c>
      <c r="H3609" s="8" t="s">
        <v>8</v>
      </c>
      <c r="I3609" s="8" t="s">
        <v>8</v>
      </c>
      <c r="J3609" s="8" t="s">
        <v>8</v>
      </c>
      <c r="K3609" s="8" t="s">
        <v>8</v>
      </c>
      <c r="L3609" s="8" t="s">
        <v>8</v>
      </c>
      <c r="M3609" s="8"/>
      <c r="N3609" s="8"/>
      <c r="O3609" s="8" t="s">
        <v>8</v>
      </c>
      <c r="P3609" s="8" t="s">
        <v>8</v>
      </c>
    </row>
    <row r="3610">
      <c r="E3610" s="31"/>
      <c r="F3610" s="8" t="s">
        <v>8</v>
      </c>
      <c r="G3610" s="8" t="s">
        <v>8</v>
      </c>
      <c r="H3610" s="8" t="s">
        <v>8</v>
      </c>
      <c r="I3610" s="8" t="s">
        <v>8</v>
      </c>
      <c r="J3610" s="8" t="s">
        <v>8</v>
      </c>
      <c r="K3610" s="8" t="s">
        <v>8</v>
      </c>
      <c r="L3610" s="8" t="s">
        <v>8</v>
      </c>
      <c r="M3610" s="8"/>
      <c r="N3610" s="8"/>
      <c r="O3610" s="8" t="s">
        <v>8</v>
      </c>
      <c r="P3610" s="8" t="s">
        <v>8</v>
      </c>
    </row>
    <row r="3611">
      <c r="E3611" s="31"/>
      <c r="F3611" s="8" t="s">
        <v>8</v>
      </c>
      <c r="G3611" s="8" t="s">
        <v>8</v>
      </c>
      <c r="H3611" s="8" t="s">
        <v>8</v>
      </c>
      <c r="I3611" s="8" t="s">
        <v>8</v>
      </c>
      <c r="J3611" s="8" t="s">
        <v>8</v>
      </c>
      <c r="K3611" s="8" t="s">
        <v>8</v>
      </c>
      <c r="L3611" s="8" t="s">
        <v>8</v>
      </c>
      <c r="M3611" s="8"/>
      <c r="N3611" s="8"/>
      <c r="O3611" s="8" t="s">
        <v>8</v>
      </c>
      <c r="P3611" s="8" t="s">
        <v>8</v>
      </c>
    </row>
    <row r="3612">
      <c r="E3612" s="31"/>
      <c r="F3612" s="8" t="s">
        <v>8</v>
      </c>
      <c r="G3612" s="8" t="s">
        <v>8</v>
      </c>
      <c r="H3612" s="8" t="s">
        <v>8</v>
      </c>
      <c r="I3612" s="8" t="s">
        <v>8</v>
      </c>
      <c r="J3612" s="8" t="s">
        <v>8</v>
      </c>
      <c r="K3612" s="8" t="s">
        <v>8</v>
      </c>
      <c r="L3612" s="8" t="s">
        <v>8</v>
      </c>
      <c r="M3612" s="8"/>
      <c r="N3612" s="8"/>
      <c r="O3612" s="8" t="s">
        <v>8</v>
      </c>
      <c r="P3612" s="8" t="s">
        <v>8</v>
      </c>
    </row>
    <row r="3613">
      <c r="E3613" s="31"/>
      <c r="F3613" s="8" t="s">
        <v>8</v>
      </c>
      <c r="G3613" s="8" t="s">
        <v>8</v>
      </c>
      <c r="H3613" s="8" t="s">
        <v>8</v>
      </c>
      <c r="I3613" s="8" t="s">
        <v>8</v>
      </c>
      <c r="J3613" s="8" t="s">
        <v>8</v>
      </c>
      <c r="K3613" s="8" t="s">
        <v>8</v>
      </c>
      <c r="L3613" s="8" t="s">
        <v>8</v>
      </c>
      <c r="M3613" s="8"/>
      <c r="N3613" s="8"/>
      <c r="O3613" s="8" t="s">
        <v>8</v>
      </c>
      <c r="P3613" s="8" t="s">
        <v>8</v>
      </c>
    </row>
    <row r="3614">
      <c r="E3614" s="31"/>
      <c r="F3614" s="8" t="s">
        <v>8</v>
      </c>
      <c r="G3614" s="8" t="s">
        <v>8</v>
      </c>
      <c r="H3614" s="8" t="s">
        <v>8</v>
      </c>
      <c r="I3614" s="8" t="s">
        <v>8</v>
      </c>
      <c r="J3614" s="8" t="s">
        <v>8</v>
      </c>
      <c r="K3614" s="8" t="s">
        <v>8</v>
      </c>
      <c r="L3614" s="8" t="s">
        <v>8</v>
      </c>
      <c r="M3614" s="8"/>
      <c r="N3614" s="8"/>
      <c r="O3614" s="8" t="s">
        <v>8</v>
      </c>
      <c r="P3614" s="8" t="s">
        <v>8</v>
      </c>
    </row>
    <row r="3615">
      <c r="E3615" s="31"/>
      <c r="F3615" s="8" t="s">
        <v>8</v>
      </c>
      <c r="G3615" s="8" t="s">
        <v>8</v>
      </c>
      <c r="H3615" s="8" t="s">
        <v>8</v>
      </c>
      <c r="I3615" s="8" t="s">
        <v>8</v>
      </c>
      <c r="J3615" s="8" t="s">
        <v>8</v>
      </c>
      <c r="K3615" s="8" t="s">
        <v>8</v>
      </c>
      <c r="L3615" s="8" t="s">
        <v>8</v>
      </c>
      <c r="M3615" s="8"/>
      <c r="N3615" s="8"/>
      <c r="O3615" s="8" t="s">
        <v>8</v>
      </c>
      <c r="P3615" s="8" t="s">
        <v>8</v>
      </c>
    </row>
    <row r="3616">
      <c r="E3616" s="31"/>
      <c r="F3616" s="8" t="s">
        <v>8</v>
      </c>
      <c r="G3616" s="8" t="s">
        <v>8</v>
      </c>
      <c r="H3616" s="8" t="s">
        <v>8</v>
      </c>
      <c r="I3616" s="8" t="s">
        <v>8</v>
      </c>
      <c r="J3616" s="8" t="s">
        <v>8</v>
      </c>
      <c r="K3616" s="8" t="s">
        <v>8</v>
      </c>
      <c r="L3616" s="8" t="s">
        <v>8</v>
      </c>
      <c r="M3616" s="8"/>
      <c r="N3616" s="8"/>
      <c r="O3616" s="8" t="s">
        <v>8</v>
      </c>
      <c r="P3616" s="8" t="s">
        <v>8</v>
      </c>
    </row>
    <row r="3617">
      <c r="E3617" s="31"/>
      <c r="F3617" s="8" t="s">
        <v>8</v>
      </c>
      <c r="G3617" s="8" t="s">
        <v>8</v>
      </c>
      <c r="H3617" s="8" t="s">
        <v>8</v>
      </c>
      <c r="I3617" s="8" t="s">
        <v>8</v>
      </c>
      <c r="J3617" s="8" t="s">
        <v>8</v>
      </c>
      <c r="K3617" s="8" t="s">
        <v>8</v>
      </c>
      <c r="L3617" s="8" t="s">
        <v>8</v>
      </c>
      <c r="M3617" s="8"/>
      <c r="N3617" s="8"/>
      <c r="O3617" s="8" t="s">
        <v>8</v>
      </c>
      <c r="P3617" s="8" t="s">
        <v>8</v>
      </c>
    </row>
    <row r="3618">
      <c r="E3618" s="31"/>
      <c r="F3618" s="8" t="s">
        <v>8</v>
      </c>
      <c r="G3618" s="8" t="s">
        <v>8</v>
      </c>
      <c r="H3618" s="8" t="s">
        <v>8</v>
      </c>
      <c r="I3618" s="8" t="s">
        <v>8</v>
      </c>
      <c r="J3618" s="8" t="s">
        <v>8</v>
      </c>
      <c r="K3618" s="8" t="s">
        <v>8</v>
      </c>
      <c r="L3618" s="8" t="s">
        <v>8</v>
      </c>
      <c r="M3618" s="8"/>
      <c r="N3618" s="8"/>
      <c r="O3618" s="8" t="s">
        <v>8</v>
      </c>
      <c r="P3618" s="8" t="s">
        <v>8</v>
      </c>
    </row>
    <row r="3619">
      <c r="E3619" s="31"/>
      <c r="F3619" s="8" t="s">
        <v>8</v>
      </c>
      <c r="G3619" s="8" t="s">
        <v>8</v>
      </c>
      <c r="H3619" s="8" t="s">
        <v>8</v>
      </c>
      <c r="I3619" s="8" t="s">
        <v>8</v>
      </c>
      <c r="J3619" s="8" t="s">
        <v>8</v>
      </c>
      <c r="K3619" s="8" t="s">
        <v>8</v>
      </c>
      <c r="L3619" s="8" t="s">
        <v>8</v>
      </c>
      <c r="M3619" s="8"/>
      <c r="N3619" s="8"/>
      <c r="O3619" s="8" t="s">
        <v>8</v>
      </c>
      <c r="P3619" s="8" t="s">
        <v>8</v>
      </c>
    </row>
    <row r="3620">
      <c r="E3620" s="31"/>
      <c r="F3620" s="8" t="s">
        <v>8</v>
      </c>
      <c r="G3620" s="8" t="s">
        <v>8</v>
      </c>
      <c r="H3620" s="8" t="s">
        <v>8</v>
      </c>
      <c r="I3620" s="8" t="s">
        <v>8</v>
      </c>
      <c r="J3620" s="8" t="s">
        <v>8</v>
      </c>
      <c r="K3620" s="8" t="s">
        <v>8</v>
      </c>
      <c r="L3620" s="8" t="s">
        <v>8</v>
      </c>
      <c r="M3620" s="8"/>
      <c r="N3620" s="8"/>
      <c r="O3620" s="8" t="s">
        <v>8</v>
      </c>
      <c r="P3620" s="8" t="s">
        <v>8</v>
      </c>
    </row>
    <row r="3621">
      <c r="E3621" s="31"/>
      <c r="F3621" s="8" t="s">
        <v>8</v>
      </c>
      <c r="G3621" s="8" t="s">
        <v>8</v>
      </c>
      <c r="H3621" s="8" t="s">
        <v>8</v>
      </c>
      <c r="I3621" s="8" t="s">
        <v>8</v>
      </c>
      <c r="J3621" s="8" t="s">
        <v>8</v>
      </c>
      <c r="K3621" s="8" t="s">
        <v>8</v>
      </c>
      <c r="L3621" s="8" t="s">
        <v>8</v>
      </c>
      <c r="M3621" s="8"/>
      <c r="N3621" s="8"/>
      <c r="O3621" s="8" t="s">
        <v>8</v>
      </c>
      <c r="P3621" s="8" t="s">
        <v>8</v>
      </c>
    </row>
    <row r="3622">
      <c r="E3622" s="31"/>
      <c r="F3622" s="8" t="s">
        <v>8</v>
      </c>
      <c r="G3622" s="8" t="s">
        <v>8</v>
      </c>
      <c r="H3622" s="8" t="s">
        <v>8</v>
      </c>
      <c r="I3622" s="8" t="s">
        <v>8</v>
      </c>
      <c r="J3622" s="8" t="s">
        <v>8</v>
      </c>
      <c r="K3622" s="8" t="s">
        <v>8</v>
      </c>
      <c r="L3622" s="8" t="s">
        <v>8</v>
      </c>
      <c r="M3622" s="8"/>
      <c r="N3622" s="8"/>
      <c r="O3622" s="8" t="s">
        <v>8</v>
      </c>
      <c r="P3622" s="8" t="s">
        <v>8</v>
      </c>
    </row>
    <row r="3623">
      <c r="E3623" s="31"/>
      <c r="F3623" s="8" t="s">
        <v>8</v>
      </c>
      <c r="G3623" s="8" t="s">
        <v>8</v>
      </c>
      <c r="H3623" s="8" t="s">
        <v>8</v>
      </c>
      <c r="I3623" s="8" t="s">
        <v>8</v>
      </c>
      <c r="J3623" s="8" t="s">
        <v>8</v>
      </c>
      <c r="K3623" s="8" t="s">
        <v>8</v>
      </c>
      <c r="L3623" s="8" t="s">
        <v>8</v>
      </c>
      <c r="M3623" s="8"/>
      <c r="N3623" s="8"/>
      <c r="O3623" s="8" t="s">
        <v>8</v>
      </c>
      <c r="P3623" s="8" t="s">
        <v>8</v>
      </c>
    </row>
    <row r="3624">
      <c r="E3624" s="31"/>
      <c r="F3624" s="8" t="s">
        <v>8</v>
      </c>
      <c r="G3624" s="8" t="s">
        <v>8</v>
      </c>
      <c r="H3624" s="8" t="s">
        <v>8</v>
      </c>
      <c r="I3624" s="8" t="s">
        <v>8</v>
      </c>
      <c r="J3624" s="8" t="s">
        <v>8</v>
      </c>
      <c r="K3624" s="8" t="s">
        <v>8</v>
      </c>
      <c r="L3624" s="8" t="s">
        <v>8</v>
      </c>
      <c r="M3624" s="8"/>
      <c r="N3624" s="8"/>
      <c r="O3624" s="8" t="s">
        <v>8</v>
      </c>
      <c r="P3624" s="8" t="s">
        <v>8</v>
      </c>
    </row>
    <row r="3625">
      <c r="E3625" s="31"/>
      <c r="F3625" s="8" t="s">
        <v>8</v>
      </c>
      <c r="G3625" s="8" t="s">
        <v>8</v>
      </c>
      <c r="H3625" s="8" t="s">
        <v>8</v>
      </c>
      <c r="I3625" s="8" t="s">
        <v>8</v>
      </c>
      <c r="J3625" s="8" t="s">
        <v>8</v>
      </c>
      <c r="K3625" s="8" t="s">
        <v>8</v>
      </c>
      <c r="L3625" s="8" t="s">
        <v>8</v>
      </c>
      <c r="M3625" s="8"/>
      <c r="N3625" s="8"/>
      <c r="O3625" s="8" t="s">
        <v>8</v>
      </c>
      <c r="P3625" s="8" t="s">
        <v>8</v>
      </c>
    </row>
    <row r="3626">
      <c r="E3626" s="31"/>
      <c r="F3626" s="8" t="s">
        <v>8</v>
      </c>
      <c r="G3626" s="8" t="s">
        <v>8</v>
      </c>
      <c r="H3626" s="8" t="s">
        <v>8</v>
      </c>
      <c r="I3626" s="8" t="s">
        <v>8</v>
      </c>
      <c r="J3626" s="8" t="s">
        <v>8</v>
      </c>
      <c r="K3626" s="8" t="s">
        <v>8</v>
      </c>
      <c r="L3626" s="8" t="s">
        <v>8</v>
      </c>
      <c r="M3626" s="8"/>
      <c r="N3626" s="8"/>
      <c r="O3626" s="8" t="s">
        <v>8</v>
      </c>
      <c r="P3626" s="8" t="s">
        <v>8</v>
      </c>
    </row>
    <row r="3627">
      <c r="E3627" s="31"/>
      <c r="F3627" s="8" t="s">
        <v>8</v>
      </c>
      <c r="G3627" s="8" t="s">
        <v>8</v>
      </c>
      <c r="H3627" s="8" t="s">
        <v>8</v>
      </c>
      <c r="I3627" s="8" t="s">
        <v>8</v>
      </c>
      <c r="J3627" s="8" t="s">
        <v>8</v>
      </c>
      <c r="K3627" s="8" t="s">
        <v>8</v>
      </c>
      <c r="L3627" s="8" t="s">
        <v>8</v>
      </c>
      <c r="M3627" s="8"/>
      <c r="N3627" s="8"/>
      <c r="O3627" s="8" t="s">
        <v>8</v>
      </c>
      <c r="P3627" s="8" t="s">
        <v>8</v>
      </c>
    </row>
    <row r="3628">
      <c r="E3628" s="31"/>
      <c r="F3628" s="8" t="s">
        <v>8</v>
      </c>
      <c r="G3628" s="8" t="s">
        <v>8</v>
      </c>
      <c r="H3628" s="8" t="s">
        <v>8</v>
      </c>
      <c r="I3628" s="8" t="s">
        <v>8</v>
      </c>
      <c r="J3628" s="8" t="s">
        <v>8</v>
      </c>
      <c r="K3628" s="8" t="s">
        <v>8</v>
      </c>
      <c r="L3628" s="8" t="s">
        <v>8</v>
      </c>
      <c r="M3628" s="8"/>
      <c r="N3628" s="8"/>
      <c r="O3628" s="8" t="s">
        <v>8</v>
      </c>
      <c r="P3628" s="8" t="s">
        <v>8</v>
      </c>
    </row>
    <row r="3629">
      <c r="E3629" s="31"/>
      <c r="F3629" s="8" t="s">
        <v>8</v>
      </c>
      <c r="G3629" s="8" t="s">
        <v>8</v>
      </c>
      <c r="H3629" s="8" t="s">
        <v>8</v>
      </c>
      <c r="I3629" s="8" t="s">
        <v>8</v>
      </c>
      <c r="J3629" s="8" t="s">
        <v>8</v>
      </c>
      <c r="K3629" s="8" t="s">
        <v>8</v>
      </c>
      <c r="L3629" s="8" t="s">
        <v>8</v>
      </c>
      <c r="M3629" s="8"/>
      <c r="N3629" s="8"/>
      <c r="O3629" s="8" t="s">
        <v>8</v>
      </c>
      <c r="P3629" s="8" t="s">
        <v>8</v>
      </c>
    </row>
    <row r="3630">
      <c r="E3630" s="31"/>
      <c r="F3630" s="8" t="s">
        <v>8</v>
      </c>
      <c r="G3630" s="8" t="s">
        <v>8</v>
      </c>
      <c r="H3630" s="8" t="s">
        <v>8</v>
      </c>
      <c r="I3630" s="8" t="s">
        <v>8</v>
      </c>
      <c r="J3630" s="8" t="s">
        <v>8</v>
      </c>
      <c r="K3630" s="8" t="s">
        <v>8</v>
      </c>
      <c r="L3630" s="8" t="s">
        <v>8</v>
      </c>
      <c r="M3630" s="8"/>
      <c r="N3630" s="8"/>
      <c r="O3630" s="8" t="s">
        <v>8</v>
      </c>
      <c r="P3630" s="8" t="s">
        <v>8</v>
      </c>
    </row>
    <row r="3631">
      <c r="E3631" s="31"/>
      <c r="F3631" s="8" t="s">
        <v>8</v>
      </c>
      <c r="G3631" s="8" t="s">
        <v>8</v>
      </c>
      <c r="H3631" s="8" t="s">
        <v>8</v>
      </c>
      <c r="I3631" s="8" t="s">
        <v>8</v>
      </c>
      <c r="J3631" s="8" t="s">
        <v>8</v>
      </c>
      <c r="K3631" s="8" t="s">
        <v>8</v>
      </c>
      <c r="L3631" s="8" t="s">
        <v>8</v>
      </c>
      <c r="M3631" s="8"/>
      <c r="N3631" s="8"/>
      <c r="O3631" s="8" t="s">
        <v>8</v>
      </c>
      <c r="P3631" s="8" t="s">
        <v>8</v>
      </c>
    </row>
    <row r="3632">
      <c r="E3632" s="31"/>
      <c r="F3632" s="8" t="s">
        <v>8</v>
      </c>
      <c r="G3632" s="8" t="s">
        <v>8</v>
      </c>
      <c r="H3632" s="8" t="s">
        <v>8</v>
      </c>
      <c r="I3632" s="8" t="s">
        <v>8</v>
      </c>
      <c r="J3632" s="8" t="s">
        <v>8</v>
      </c>
      <c r="K3632" s="8" t="s">
        <v>8</v>
      </c>
      <c r="L3632" s="8" t="s">
        <v>8</v>
      </c>
      <c r="M3632" s="8"/>
      <c r="N3632" s="8"/>
      <c r="O3632" s="8" t="s">
        <v>8</v>
      </c>
      <c r="P3632" s="8" t="s">
        <v>8</v>
      </c>
    </row>
    <row r="3633">
      <c r="E3633" s="31"/>
      <c r="F3633" s="8" t="s">
        <v>8</v>
      </c>
      <c r="G3633" s="8" t="s">
        <v>8</v>
      </c>
      <c r="H3633" s="8" t="s">
        <v>8</v>
      </c>
      <c r="I3633" s="8" t="s">
        <v>8</v>
      </c>
      <c r="J3633" s="8" t="s">
        <v>8</v>
      </c>
      <c r="K3633" s="8" t="s">
        <v>8</v>
      </c>
      <c r="L3633" s="8" t="s">
        <v>8</v>
      </c>
      <c r="M3633" s="8"/>
      <c r="N3633" s="8"/>
      <c r="O3633" s="8" t="s">
        <v>8</v>
      </c>
      <c r="P3633" s="8" t="s">
        <v>8</v>
      </c>
    </row>
    <row r="3634">
      <c r="E3634" s="31"/>
      <c r="F3634" s="8" t="s">
        <v>8</v>
      </c>
      <c r="G3634" s="8" t="s">
        <v>8</v>
      </c>
      <c r="H3634" s="8" t="s">
        <v>8</v>
      </c>
      <c r="I3634" s="8" t="s">
        <v>8</v>
      </c>
      <c r="J3634" s="8" t="s">
        <v>8</v>
      </c>
      <c r="K3634" s="8" t="s">
        <v>8</v>
      </c>
      <c r="L3634" s="8" t="s">
        <v>8</v>
      </c>
      <c r="M3634" s="8"/>
      <c r="N3634" s="8"/>
      <c r="O3634" s="8" t="s">
        <v>8</v>
      </c>
      <c r="P3634" s="8" t="s">
        <v>8</v>
      </c>
    </row>
    <row r="3635">
      <c r="E3635" s="31"/>
      <c r="F3635" s="8" t="s">
        <v>8</v>
      </c>
      <c r="G3635" s="8" t="s">
        <v>8</v>
      </c>
      <c r="H3635" s="8" t="s">
        <v>8</v>
      </c>
      <c r="I3635" s="8" t="s">
        <v>8</v>
      </c>
      <c r="J3635" s="8" t="s">
        <v>8</v>
      </c>
      <c r="K3635" s="8" t="s">
        <v>8</v>
      </c>
      <c r="L3635" s="8" t="s">
        <v>8</v>
      </c>
      <c r="M3635" s="8"/>
      <c r="N3635" s="8"/>
      <c r="O3635" s="8" t="s">
        <v>8</v>
      </c>
      <c r="P3635" s="8" t="s">
        <v>8</v>
      </c>
    </row>
    <row r="3636">
      <c r="E3636" s="31"/>
      <c r="F3636" s="8" t="s">
        <v>8</v>
      </c>
      <c r="G3636" s="8" t="s">
        <v>8</v>
      </c>
      <c r="H3636" s="8" t="s">
        <v>8</v>
      </c>
      <c r="I3636" s="8" t="s">
        <v>8</v>
      </c>
      <c r="J3636" s="8" t="s">
        <v>8</v>
      </c>
      <c r="K3636" s="8" t="s">
        <v>8</v>
      </c>
      <c r="L3636" s="8" t="s">
        <v>8</v>
      </c>
      <c r="M3636" s="8"/>
      <c r="N3636" s="8"/>
      <c r="O3636" s="8" t="s">
        <v>8</v>
      </c>
      <c r="P3636" s="8" t="s">
        <v>8</v>
      </c>
    </row>
    <row r="3637">
      <c r="E3637" s="31"/>
      <c r="F3637" s="8" t="s">
        <v>8</v>
      </c>
      <c r="G3637" s="8" t="s">
        <v>8</v>
      </c>
      <c r="H3637" s="8" t="s">
        <v>8</v>
      </c>
      <c r="I3637" s="8" t="s">
        <v>8</v>
      </c>
      <c r="J3637" s="8" t="s">
        <v>8</v>
      </c>
      <c r="K3637" s="8" t="s">
        <v>8</v>
      </c>
      <c r="L3637" s="8" t="s">
        <v>8</v>
      </c>
      <c r="M3637" s="8"/>
      <c r="N3637" s="8"/>
      <c r="O3637" s="8" t="s">
        <v>8</v>
      </c>
      <c r="P3637" s="8" t="s">
        <v>8</v>
      </c>
    </row>
    <row r="3638">
      <c r="E3638" s="31"/>
      <c r="F3638" s="8" t="s">
        <v>8</v>
      </c>
      <c r="G3638" s="8" t="s">
        <v>8</v>
      </c>
      <c r="H3638" s="8" t="s">
        <v>8</v>
      </c>
      <c r="I3638" s="8" t="s">
        <v>8</v>
      </c>
      <c r="J3638" s="8" t="s">
        <v>8</v>
      </c>
      <c r="K3638" s="8" t="s">
        <v>8</v>
      </c>
      <c r="L3638" s="8" t="s">
        <v>8</v>
      </c>
      <c r="M3638" s="8"/>
      <c r="N3638" s="8"/>
      <c r="O3638" s="8" t="s">
        <v>8</v>
      </c>
      <c r="P3638" s="8" t="s">
        <v>8</v>
      </c>
    </row>
    <row r="3639">
      <c r="E3639" s="31"/>
      <c r="F3639" s="8" t="s">
        <v>8</v>
      </c>
      <c r="G3639" s="8" t="s">
        <v>8</v>
      </c>
      <c r="H3639" s="8" t="s">
        <v>8</v>
      </c>
      <c r="I3639" s="8" t="s">
        <v>8</v>
      </c>
      <c r="J3639" s="8" t="s">
        <v>8</v>
      </c>
      <c r="K3639" s="8" t="s">
        <v>8</v>
      </c>
      <c r="L3639" s="8" t="s">
        <v>8</v>
      </c>
      <c r="M3639" s="8"/>
      <c r="N3639" s="8"/>
      <c r="O3639" s="8" t="s">
        <v>8</v>
      </c>
      <c r="P3639" s="8" t="s">
        <v>8</v>
      </c>
    </row>
    <row r="3640">
      <c r="E3640" s="31"/>
      <c r="F3640" s="8" t="s">
        <v>8</v>
      </c>
      <c r="G3640" s="8" t="s">
        <v>8</v>
      </c>
      <c r="H3640" s="8" t="s">
        <v>8</v>
      </c>
      <c r="I3640" s="8" t="s">
        <v>8</v>
      </c>
      <c r="J3640" s="8" t="s">
        <v>8</v>
      </c>
      <c r="K3640" s="8" t="s">
        <v>8</v>
      </c>
      <c r="L3640" s="8" t="s">
        <v>8</v>
      </c>
      <c r="M3640" s="8"/>
      <c r="N3640" s="8"/>
      <c r="O3640" s="8" t="s">
        <v>8</v>
      </c>
      <c r="P3640" s="8" t="s">
        <v>8</v>
      </c>
    </row>
    <row r="3641">
      <c r="E3641" s="31"/>
      <c r="F3641" s="8" t="s">
        <v>8</v>
      </c>
      <c r="G3641" s="8" t="s">
        <v>8</v>
      </c>
      <c r="H3641" s="8" t="s">
        <v>8</v>
      </c>
      <c r="I3641" s="8" t="s">
        <v>8</v>
      </c>
      <c r="J3641" s="8" t="s">
        <v>8</v>
      </c>
      <c r="K3641" s="8" t="s">
        <v>8</v>
      </c>
      <c r="L3641" s="8" t="s">
        <v>8</v>
      </c>
      <c r="M3641" s="8"/>
      <c r="N3641" s="8"/>
      <c r="O3641" s="8" t="s">
        <v>8</v>
      </c>
      <c r="P3641" s="8" t="s">
        <v>8</v>
      </c>
    </row>
    <row r="3642">
      <c r="E3642" s="31"/>
      <c r="F3642" s="8" t="s">
        <v>8</v>
      </c>
      <c r="G3642" s="8" t="s">
        <v>8</v>
      </c>
      <c r="H3642" s="8" t="s">
        <v>8</v>
      </c>
      <c r="I3642" s="8" t="s">
        <v>8</v>
      </c>
      <c r="J3642" s="8" t="s">
        <v>8</v>
      </c>
      <c r="K3642" s="8" t="s">
        <v>8</v>
      </c>
      <c r="L3642" s="8" t="s">
        <v>8</v>
      </c>
      <c r="M3642" s="8"/>
      <c r="N3642" s="8"/>
      <c r="O3642" s="8" t="s">
        <v>8</v>
      </c>
      <c r="P3642" s="8" t="s">
        <v>8</v>
      </c>
    </row>
    <row r="3643">
      <c r="E3643" s="31"/>
      <c r="F3643" s="8" t="s">
        <v>8</v>
      </c>
      <c r="G3643" s="8" t="s">
        <v>8</v>
      </c>
      <c r="H3643" s="8" t="s">
        <v>8</v>
      </c>
      <c r="I3643" s="8" t="s">
        <v>8</v>
      </c>
      <c r="J3643" s="8" t="s">
        <v>8</v>
      </c>
      <c r="K3643" s="8" t="s">
        <v>8</v>
      </c>
      <c r="L3643" s="8" t="s">
        <v>8</v>
      </c>
      <c r="M3643" s="8"/>
      <c r="N3643" s="8"/>
      <c r="O3643" s="8" t="s">
        <v>8</v>
      </c>
      <c r="P3643" s="8" t="s">
        <v>8</v>
      </c>
    </row>
    <row r="3644">
      <c r="E3644" s="31"/>
      <c r="F3644" s="8" t="s">
        <v>8</v>
      </c>
      <c r="G3644" s="8" t="s">
        <v>8</v>
      </c>
      <c r="H3644" s="8" t="s">
        <v>8</v>
      </c>
      <c r="I3644" s="8" t="s">
        <v>8</v>
      </c>
      <c r="J3644" s="8" t="s">
        <v>8</v>
      </c>
      <c r="K3644" s="8" t="s">
        <v>8</v>
      </c>
      <c r="L3644" s="8" t="s">
        <v>8</v>
      </c>
      <c r="M3644" s="8"/>
      <c r="N3644" s="8"/>
      <c r="O3644" s="8" t="s">
        <v>8</v>
      </c>
      <c r="P3644" s="8" t="s">
        <v>8</v>
      </c>
    </row>
    <row r="3645">
      <c r="E3645" s="31"/>
      <c r="F3645" s="8" t="s">
        <v>8</v>
      </c>
      <c r="G3645" s="8" t="s">
        <v>8</v>
      </c>
      <c r="H3645" s="8" t="s">
        <v>8</v>
      </c>
      <c r="I3645" s="8" t="s">
        <v>8</v>
      </c>
      <c r="J3645" s="8" t="s">
        <v>8</v>
      </c>
      <c r="K3645" s="8" t="s">
        <v>8</v>
      </c>
      <c r="L3645" s="8" t="s">
        <v>8</v>
      </c>
      <c r="M3645" s="8"/>
      <c r="N3645" s="8"/>
      <c r="O3645" s="8" t="s">
        <v>8</v>
      </c>
      <c r="P3645" s="8" t="s">
        <v>8</v>
      </c>
    </row>
    <row r="3646">
      <c r="E3646" s="31"/>
      <c r="F3646" s="8" t="s">
        <v>8</v>
      </c>
      <c r="G3646" s="8" t="s">
        <v>8</v>
      </c>
      <c r="H3646" s="8" t="s">
        <v>8</v>
      </c>
      <c r="I3646" s="8" t="s">
        <v>8</v>
      </c>
      <c r="J3646" s="8" t="s">
        <v>8</v>
      </c>
      <c r="K3646" s="8" t="s">
        <v>8</v>
      </c>
      <c r="L3646" s="8" t="s">
        <v>8</v>
      </c>
      <c r="M3646" s="8"/>
      <c r="N3646" s="8"/>
      <c r="O3646" s="8" t="s">
        <v>8</v>
      </c>
      <c r="P3646" s="8" t="s">
        <v>8</v>
      </c>
    </row>
    <row r="3647">
      <c r="E3647" s="31"/>
      <c r="F3647" s="8" t="s">
        <v>8</v>
      </c>
      <c r="G3647" s="8" t="s">
        <v>8</v>
      </c>
      <c r="H3647" s="8" t="s">
        <v>8</v>
      </c>
      <c r="I3647" s="8" t="s">
        <v>8</v>
      </c>
      <c r="J3647" s="8" t="s">
        <v>8</v>
      </c>
      <c r="K3647" s="8" t="s">
        <v>8</v>
      </c>
      <c r="L3647" s="8" t="s">
        <v>8</v>
      </c>
      <c r="M3647" s="8"/>
      <c r="N3647" s="8"/>
      <c r="O3647" s="8" t="s">
        <v>8</v>
      </c>
      <c r="P3647" s="8" t="s">
        <v>8</v>
      </c>
    </row>
    <row r="3648">
      <c r="E3648" s="31"/>
      <c r="F3648" s="8" t="s">
        <v>8</v>
      </c>
      <c r="G3648" s="8" t="s">
        <v>8</v>
      </c>
      <c r="H3648" s="8" t="s">
        <v>8</v>
      </c>
      <c r="I3648" s="8" t="s">
        <v>8</v>
      </c>
      <c r="J3648" s="8" t="s">
        <v>8</v>
      </c>
      <c r="K3648" s="8" t="s">
        <v>8</v>
      </c>
      <c r="L3648" s="8" t="s">
        <v>8</v>
      </c>
      <c r="M3648" s="8"/>
      <c r="N3648" s="8"/>
      <c r="O3648" s="8" t="s">
        <v>8</v>
      </c>
      <c r="P3648" s="8" t="s">
        <v>8</v>
      </c>
    </row>
    <row r="3649">
      <c r="E3649" s="31"/>
      <c r="F3649" s="8" t="s">
        <v>8</v>
      </c>
      <c r="G3649" s="8" t="s">
        <v>8</v>
      </c>
      <c r="H3649" s="8" t="s">
        <v>8</v>
      </c>
      <c r="I3649" s="8" t="s">
        <v>8</v>
      </c>
      <c r="J3649" s="8" t="s">
        <v>8</v>
      </c>
      <c r="K3649" s="8" t="s">
        <v>8</v>
      </c>
      <c r="L3649" s="8" t="s">
        <v>8</v>
      </c>
      <c r="M3649" s="8"/>
      <c r="N3649" s="8"/>
      <c r="O3649" s="8" t="s">
        <v>8</v>
      </c>
      <c r="P3649" s="8" t="s">
        <v>8</v>
      </c>
    </row>
    <row r="3650">
      <c r="E3650" s="31"/>
      <c r="F3650" s="8" t="s">
        <v>8</v>
      </c>
      <c r="G3650" s="8" t="s">
        <v>8</v>
      </c>
      <c r="H3650" s="8" t="s">
        <v>8</v>
      </c>
      <c r="I3650" s="8" t="s">
        <v>8</v>
      </c>
      <c r="J3650" s="8" t="s">
        <v>8</v>
      </c>
      <c r="K3650" s="8" t="s">
        <v>8</v>
      </c>
      <c r="L3650" s="8" t="s">
        <v>8</v>
      </c>
      <c r="M3650" s="8"/>
      <c r="N3650" s="8"/>
      <c r="O3650" s="8" t="s">
        <v>8</v>
      </c>
      <c r="P3650" s="8" t="s">
        <v>8</v>
      </c>
    </row>
    <row r="3651">
      <c r="E3651" s="31"/>
      <c r="F3651" s="8" t="s">
        <v>8</v>
      </c>
      <c r="G3651" s="8" t="s">
        <v>8</v>
      </c>
      <c r="H3651" s="8" t="s">
        <v>8</v>
      </c>
      <c r="I3651" s="8" t="s">
        <v>8</v>
      </c>
      <c r="J3651" s="8" t="s">
        <v>8</v>
      </c>
      <c r="K3651" s="8" t="s">
        <v>8</v>
      </c>
      <c r="L3651" s="8" t="s">
        <v>8</v>
      </c>
      <c r="M3651" s="8"/>
      <c r="N3651" s="8"/>
      <c r="O3651" s="8" t="s">
        <v>8</v>
      </c>
      <c r="P3651" s="8" t="s">
        <v>8</v>
      </c>
    </row>
    <row r="3652">
      <c r="E3652" s="31"/>
      <c r="F3652" s="8" t="s">
        <v>8</v>
      </c>
      <c r="G3652" s="8" t="s">
        <v>8</v>
      </c>
      <c r="H3652" s="8" t="s">
        <v>8</v>
      </c>
      <c r="I3652" s="8" t="s">
        <v>8</v>
      </c>
      <c r="J3652" s="8" t="s">
        <v>8</v>
      </c>
      <c r="K3652" s="8" t="s">
        <v>8</v>
      </c>
      <c r="L3652" s="8" t="s">
        <v>8</v>
      </c>
      <c r="M3652" s="8"/>
      <c r="N3652" s="8"/>
      <c r="O3652" s="8" t="s">
        <v>8</v>
      </c>
      <c r="P3652" s="8" t="s">
        <v>8</v>
      </c>
    </row>
    <row r="3653">
      <c r="E3653" s="31"/>
      <c r="F3653" s="8" t="s">
        <v>8</v>
      </c>
      <c r="G3653" s="8" t="s">
        <v>8</v>
      </c>
      <c r="H3653" s="8" t="s">
        <v>8</v>
      </c>
      <c r="I3653" s="8" t="s">
        <v>8</v>
      </c>
      <c r="J3653" s="8" t="s">
        <v>8</v>
      </c>
      <c r="K3653" s="8" t="s">
        <v>8</v>
      </c>
      <c r="L3653" s="8" t="s">
        <v>8</v>
      </c>
      <c r="M3653" s="8"/>
      <c r="N3653" s="8"/>
      <c r="O3653" s="8" t="s">
        <v>8</v>
      </c>
      <c r="P3653" s="8" t="s">
        <v>8</v>
      </c>
    </row>
    <row r="3654">
      <c r="E3654" s="31"/>
      <c r="F3654" s="8" t="s">
        <v>8</v>
      </c>
      <c r="G3654" s="8" t="s">
        <v>8</v>
      </c>
      <c r="H3654" s="8" t="s">
        <v>8</v>
      </c>
      <c r="I3654" s="8" t="s">
        <v>8</v>
      </c>
      <c r="J3654" s="8" t="s">
        <v>8</v>
      </c>
      <c r="K3654" s="8" t="s">
        <v>8</v>
      </c>
      <c r="L3654" s="8" t="s">
        <v>8</v>
      </c>
      <c r="M3654" s="8"/>
      <c r="N3654" s="8"/>
      <c r="O3654" s="8" t="s">
        <v>8</v>
      </c>
      <c r="P3654" s="8" t="s">
        <v>8</v>
      </c>
    </row>
    <row r="3655">
      <c r="E3655" s="31"/>
      <c r="F3655" s="8" t="s">
        <v>8</v>
      </c>
      <c r="G3655" s="8" t="s">
        <v>8</v>
      </c>
      <c r="H3655" s="8" t="s">
        <v>8</v>
      </c>
      <c r="I3655" s="8" t="s">
        <v>8</v>
      </c>
      <c r="J3655" s="8" t="s">
        <v>8</v>
      </c>
      <c r="K3655" s="8" t="s">
        <v>8</v>
      </c>
      <c r="L3655" s="8" t="s">
        <v>8</v>
      </c>
      <c r="M3655" s="8"/>
      <c r="N3655" s="8"/>
      <c r="O3655" s="8" t="s">
        <v>8</v>
      </c>
      <c r="P3655" s="8" t="s">
        <v>8</v>
      </c>
    </row>
    <row r="3656">
      <c r="E3656" s="31"/>
      <c r="F3656" s="8" t="s">
        <v>8</v>
      </c>
      <c r="G3656" s="8" t="s">
        <v>8</v>
      </c>
      <c r="H3656" s="8" t="s">
        <v>8</v>
      </c>
      <c r="I3656" s="8" t="s">
        <v>8</v>
      </c>
      <c r="J3656" s="8" t="s">
        <v>8</v>
      </c>
      <c r="K3656" s="8" t="s">
        <v>8</v>
      </c>
      <c r="L3656" s="8" t="s">
        <v>8</v>
      </c>
      <c r="M3656" s="8"/>
      <c r="N3656" s="8"/>
      <c r="O3656" s="8" t="s">
        <v>8</v>
      </c>
      <c r="P3656" s="8" t="s">
        <v>8</v>
      </c>
    </row>
    <row r="3657">
      <c r="E3657" s="31"/>
      <c r="F3657" s="8" t="s">
        <v>8</v>
      </c>
      <c r="G3657" s="8" t="s">
        <v>8</v>
      </c>
      <c r="H3657" s="8" t="s">
        <v>8</v>
      </c>
      <c r="I3657" s="8" t="s">
        <v>8</v>
      </c>
      <c r="J3657" s="8" t="s">
        <v>8</v>
      </c>
      <c r="K3657" s="8" t="s">
        <v>8</v>
      </c>
      <c r="L3657" s="8" t="s">
        <v>8</v>
      </c>
      <c r="M3657" s="8"/>
      <c r="N3657" s="8"/>
      <c r="O3657" s="8" t="s">
        <v>8</v>
      </c>
      <c r="P3657" s="8" t="s">
        <v>8</v>
      </c>
    </row>
    <row r="3658">
      <c r="E3658" s="31"/>
      <c r="F3658" s="8" t="s">
        <v>8</v>
      </c>
      <c r="G3658" s="8" t="s">
        <v>8</v>
      </c>
      <c r="H3658" s="8" t="s">
        <v>8</v>
      </c>
      <c r="I3658" s="8" t="s">
        <v>8</v>
      </c>
      <c r="J3658" s="8" t="s">
        <v>8</v>
      </c>
      <c r="K3658" s="8" t="s">
        <v>8</v>
      </c>
      <c r="L3658" s="8" t="s">
        <v>8</v>
      </c>
      <c r="M3658" s="8"/>
      <c r="N3658" s="8"/>
      <c r="O3658" s="8" t="s">
        <v>8</v>
      </c>
      <c r="P3658" s="8" t="s">
        <v>8</v>
      </c>
    </row>
    <row r="3659">
      <c r="E3659" s="31"/>
      <c r="F3659" s="8" t="s">
        <v>8</v>
      </c>
      <c r="G3659" s="8" t="s">
        <v>8</v>
      </c>
      <c r="H3659" s="8" t="s">
        <v>8</v>
      </c>
      <c r="I3659" s="8" t="s">
        <v>8</v>
      </c>
      <c r="J3659" s="8" t="s">
        <v>8</v>
      </c>
      <c r="K3659" s="8" t="s">
        <v>8</v>
      </c>
      <c r="L3659" s="8" t="s">
        <v>8</v>
      </c>
      <c r="M3659" s="8"/>
      <c r="N3659" s="8"/>
      <c r="O3659" s="8" t="s">
        <v>8</v>
      </c>
      <c r="P3659" s="8" t="s">
        <v>8</v>
      </c>
    </row>
    <row r="3660">
      <c r="E3660" s="31"/>
      <c r="F3660" s="8" t="s">
        <v>8</v>
      </c>
      <c r="G3660" s="8" t="s">
        <v>8</v>
      </c>
      <c r="H3660" s="8" t="s">
        <v>8</v>
      </c>
      <c r="I3660" s="8" t="s">
        <v>8</v>
      </c>
      <c r="J3660" s="8" t="s">
        <v>8</v>
      </c>
      <c r="K3660" s="8" t="s">
        <v>8</v>
      </c>
      <c r="L3660" s="8" t="s">
        <v>8</v>
      </c>
      <c r="M3660" s="8"/>
      <c r="N3660" s="8"/>
      <c r="O3660" s="8" t="s">
        <v>8</v>
      </c>
      <c r="P3660" s="8" t="s">
        <v>8</v>
      </c>
    </row>
    <row r="3661">
      <c r="E3661" s="31"/>
      <c r="F3661" s="8" t="s">
        <v>8</v>
      </c>
      <c r="G3661" s="8" t="s">
        <v>8</v>
      </c>
      <c r="H3661" s="8" t="s">
        <v>8</v>
      </c>
      <c r="I3661" s="8" t="s">
        <v>8</v>
      </c>
      <c r="J3661" s="8" t="s">
        <v>8</v>
      </c>
      <c r="K3661" s="8" t="s">
        <v>8</v>
      </c>
      <c r="L3661" s="8" t="s">
        <v>8</v>
      </c>
      <c r="M3661" s="8"/>
      <c r="N3661" s="8"/>
      <c r="O3661" s="8" t="s">
        <v>8</v>
      </c>
      <c r="P3661" s="8" t="s">
        <v>8</v>
      </c>
    </row>
    <row r="3662">
      <c r="E3662" s="31"/>
      <c r="F3662" s="8" t="s">
        <v>8</v>
      </c>
      <c r="G3662" s="8" t="s">
        <v>8</v>
      </c>
      <c r="H3662" s="8" t="s">
        <v>8</v>
      </c>
      <c r="I3662" s="8" t="s">
        <v>8</v>
      </c>
      <c r="J3662" s="8" t="s">
        <v>8</v>
      </c>
      <c r="K3662" s="8" t="s">
        <v>8</v>
      </c>
      <c r="L3662" s="8" t="s">
        <v>8</v>
      </c>
      <c r="M3662" s="8"/>
      <c r="N3662" s="8"/>
      <c r="O3662" s="8" t="s">
        <v>8</v>
      </c>
      <c r="P3662" s="8" t="s">
        <v>8</v>
      </c>
    </row>
    <row r="3663">
      <c r="E3663" s="31"/>
      <c r="F3663" s="8" t="s">
        <v>8</v>
      </c>
      <c r="G3663" s="8" t="s">
        <v>8</v>
      </c>
      <c r="H3663" s="8" t="s">
        <v>8</v>
      </c>
      <c r="I3663" s="8" t="s">
        <v>8</v>
      </c>
      <c r="J3663" s="8" t="s">
        <v>8</v>
      </c>
      <c r="K3663" s="8" t="s">
        <v>8</v>
      </c>
      <c r="L3663" s="8" t="s">
        <v>8</v>
      </c>
      <c r="M3663" s="8"/>
      <c r="N3663" s="8"/>
      <c r="O3663" s="8" t="s">
        <v>8</v>
      </c>
      <c r="P3663" s="8" t="s">
        <v>8</v>
      </c>
    </row>
    <row r="3664">
      <c r="E3664" s="31"/>
      <c r="F3664" s="8" t="s">
        <v>8</v>
      </c>
      <c r="G3664" s="8" t="s">
        <v>8</v>
      </c>
      <c r="H3664" s="8" t="s">
        <v>8</v>
      </c>
      <c r="I3664" s="8" t="s">
        <v>8</v>
      </c>
      <c r="J3664" s="8" t="s">
        <v>8</v>
      </c>
      <c r="K3664" s="8" t="s">
        <v>8</v>
      </c>
      <c r="L3664" s="8" t="s">
        <v>8</v>
      </c>
      <c r="M3664" s="8"/>
      <c r="N3664" s="8"/>
      <c r="O3664" s="8" t="s">
        <v>8</v>
      </c>
      <c r="P3664" s="8" t="s">
        <v>8</v>
      </c>
    </row>
    <row r="3665">
      <c r="E3665" s="31"/>
      <c r="F3665" s="8" t="s">
        <v>8</v>
      </c>
      <c r="G3665" s="8" t="s">
        <v>8</v>
      </c>
      <c r="H3665" s="8" t="s">
        <v>8</v>
      </c>
      <c r="I3665" s="8" t="s">
        <v>8</v>
      </c>
      <c r="J3665" s="8" t="s">
        <v>8</v>
      </c>
      <c r="K3665" s="8" t="s">
        <v>8</v>
      </c>
      <c r="L3665" s="8" t="s">
        <v>8</v>
      </c>
      <c r="M3665" s="8"/>
      <c r="N3665" s="8"/>
      <c r="O3665" s="8" t="s">
        <v>8</v>
      </c>
      <c r="P3665" s="8" t="s">
        <v>8</v>
      </c>
    </row>
    <row r="3666">
      <c r="E3666" s="31"/>
      <c r="F3666" s="8" t="s">
        <v>8</v>
      </c>
      <c r="G3666" s="8" t="s">
        <v>8</v>
      </c>
      <c r="H3666" s="8" t="s">
        <v>8</v>
      </c>
      <c r="I3666" s="8" t="s">
        <v>8</v>
      </c>
      <c r="J3666" s="8" t="s">
        <v>8</v>
      </c>
      <c r="K3666" s="8" t="s">
        <v>8</v>
      </c>
      <c r="L3666" s="8" t="s">
        <v>8</v>
      </c>
      <c r="M3666" s="8"/>
      <c r="N3666" s="8"/>
      <c r="O3666" s="8" t="s">
        <v>8</v>
      </c>
      <c r="P3666" s="8" t="s">
        <v>8</v>
      </c>
    </row>
    <row r="3667">
      <c r="E3667" s="31"/>
      <c r="F3667" s="8" t="s">
        <v>8</v>
      </c>
      <c r="G3667" s="8" t="s">
        <v>8</v>
      </c>
      <c r="H3667" s="8" t="s">
        <v>8</v>
      </c>
      <c r="I3667" s="8" t="s">
        <v>8</v>
      </c>
      <c r="J3667" s="8" t="s">
        <v>8</v>
      </c>
      <c r="K3667" s="8" t="s">
        <v>8</v>
      </c>
      <c r="L3667" s="8" t="s">
        <v>8</v>
      </c>
      <c r="M3667" s="8"/>
      <c r="N3667" s="8"/>
      <c r="O3667" s="8" t="s">
        <v>8</v>
      </c>
      <c r="P3667" s="8" t="s">
        <v>8</v>
      </c>
    </row>
    <row r="3668">
      <c r="E3668" s="31"/>
      <c r="F3668" s="8" t="s">
        <v>8</v>
      </c>
      <c r="G3668" s="8" t="s">
        <v>8</v>
      </c>
      <c r="H3668" s="8" t="s">
        <v>8</v>
      </c>
      <c r="I3668" s="8" t="s">
        <v>8</v>
      </c>
      <c r="J3668" s="8" t="s">
        <v>8</v>
      </c>
      <c r="K3668" s="8" t="s">
        <v>8</v>
      </c>
      <c r="L3668" s="8" t="s">
        <v>8</v>
      </c>
      <c r="M3668" s="8"/>
      <c r="N3668" s="8"/>
      <c r="O3668" s="8" t="s">
        <v>8</v>
      </c>
      <c r="P3668" s="8" t="s">
        <v>8</v>
      </c>
    </row>
    <row r="3669">
      <c r="E3669" s="31"/>
      <c r="F3669" s="8" t="s">
        <v>8</v>
      </c>
      <c r="G3669" s="8" t="s">
        <v>8</v>
      </c>
      <c r="H3669" s="8" t="s">
        <v>8</v>
      </c>
      <c r="I3669" s="8" t="s">
        <v>8</v>
      </c>
      <c r="J3669" s="8" t="s">
        <v>8</v>
      </c>
      <c r="K3669" s="8" t="s">
        <v>8</v>
      </c>
      <c r="L3669" s="8" t="s">
        <v>8</v>
      </c>
      <c r="M3669" s="8"/>
      <c r="N3669" s="8"/>
      <c r="O3669" s="8" t="s">
        <v>8</v>
      </c>
      <c r="P3669" s="8" t="s">
        <v>8</v>
      </c>
    </row>
    <row r="3670">
      <c r="E3670" s="31"/>
      <c r="F3670" s="8" t="s">
        <v>8</v>
      </c>
      <c r="G3670" s="8" t="s">
        <v>8</v>
      </c>
      <c r="H3670" s="8" t="s">
        <v>8</v>
      </c>
      <c r="I3670" s="8" t="s">
        <v>8</v>
      </c>
      <c r="J3670" s="8" t="s">
        <v>8</v>
      </c>
      <c r="K3670" s="8" t="s">
        <v>8</v>
      </c>
      <c r="L3670" s="8" t="s">
        <v>8</v>
      </c>
      <c r="M3670" s="8"/>
      <c r="N3670" s="8"/>
      <c r="O3670" s="8" t="s">
        <v>8</v>
      </c>
      <c r="P3670" s="8" t="s">
        <v>8</v>
      </c>
    </row>
    <row r="3671">
      <c r="E3671" s="31"/>
      <c r="F3671" s="8" t="s">
        <v>8</v>
      </c>
      <c r="G3671" s="8" t="s">
        <v>8</v>
      </c>
      <c r="H3671" s="8" t="s">
        <v>8</v>
      </c>
      <c r="I3671" s="8" t="s">
        <v>8</v>
      </c>
      <c r="J3671" s="8" t="s">
        <v>8</v>
      </c>
      <c r="K3671" s="8" t="s">
        <v>8</v>
      </c>
      <c r="L3671" s="8" t="s">
        <v>8</v>
      </c>
      <c r="M3671" s="8"/>
      <c r="N3671" s="8"/>
      <c r="O3671" s="8" t="s">
        <v>8</v>
      </c>
      <c r="P3671" s="8" t="s">
        <v>8</v>
      </c>
    </row>
    <row r="3672">
      <c r="E3672" s="31"/>
      <c r="F3672" s="8" t="s">
        <v>8</v>
      </c>
      <c r="G3672" s="8" t="s">
        <v>8</v>
      </c>
      <c r="H3672" s="8" t="s">
        <v>8</v>
      </c>
      <c r="I3672" s="8" t="s">
        <v>8</v>
      </c>
      <c r="J3672" s="8" t="s">
        <v>8</v>
      </c>
      <c r="K3672" s="8" t="s">
        <v>8</v>
      </c>
      <c r="L3672" s="8" t="s">
        <v>8</v>
      </c>
      <c r="M3672" s="8"/>
      <c r="N3672" s="8"/>
      <c r="O3672" s="8" t="s">
        <v>8</v>
      </c>
      <c r="P3672" s="8" t="s">
        <v>8</v>
      </c>
    </row>
    <row r="3673">
      <c r="E3673" s="31"/>
      <c r="F3673" s="8" t="s">
        <v>8</v>
      </c>
      <c r="G3673" s="8" t="s">
        <v>8</v>
      </c>
      <c r="H3673" s="8" t="s">
        <v>8</v>
      </c>
      <c r="I3673" s="8" t="s">
        <v>8</v>
      </c>
      <c r="J3673" s="8" t="s">
        <v>8</v>
      </c>
      <c r="K3673" s="8" t="s">
        <v>8</v>
      </c>
      <c r="L3673" s="8" t="s">
        <v>8</v>
      </c>
      <c r="M3673" s="8"/>
      <c r="N3673" s="8"/>
      <c r="O3673" s="8" t="s">
        <v>8</v>
      </c>
      <c r="P3673" s="8" t="s">
        <v>8</v>
      </c>
    </row>
    <row r="3674">
      <c r="E3674" s="31"/>
      <c r="F3674" s="8" t="s">
        <v>8</v>
      </c>
      <c r="G3674" s="8" t="s">
        <v>8</v>
      </c>
      <c r="H3674" s="8" t="s">
        <v>8</v>
      </c>
      <c r="I3674" s="8" t="s">
        <v>8</v>
      </c>
      <c r="J3674" s="8" t="s">
        <v>8</v>
      </c>
      <c r="K3674" s="8" t="s">
        <v>8</v>
      </c>
      <c r="L3674" s="8" t="s">
        <v>8</v>
      </c>
      <c r="M3674" s="8"/>
      <c r="N3674" s="8"/>
      <c r="O3674" s="8" t="s">
        <v>8</v>
      </c>
      <c r="P3674" s="8" t="s">
        <v>8</v>
      </c>
    </row>
    <row r="3675">
      <c r="E3675" s="31"/>
      <c r="F3675" s="8" t="s">
        <v>8</v>
      </c>
      <c r="G3675" s="8" t="s">
        <v>8</v>
      </c>
      <c r="H3675" s="8" t="s">
        <v>8</v>
      </c>
      <c r="I3675" s="8" t="s">
        <v>8</v>
      </c>
      <c r="J3675" s="8" t="s">
        <v>8</v>
      </c>
      <c r="K3675" s="8" t="s">
        <v>8</v>
      </c>
      <c r="L3675" s="8" t="s">
        <v>8</v>
      </c>
      <c r="M3675" s="8"/>
      <c r="N3675" s="8"/>
      <c r="O3675" s="8" t="s">
        <v>8</v>
      </c>
      <c r="P3675" s="8" t="s">
        <v>8</v>
      </c>
    </row>
    <row r="3676">
      <c r="E3676" s="31"/>
      <c r="F3676" s="8" t="s">
        <v>8</v>
      </c>
      <c r="G3676" s="8" t="s">
        <v>8</v>
      </c>
      <c r="H3676" s="8" t="s">
        <v>8</v>
      </c>
      <c r="I3676" s="8" t="s">
        <v>8</v>
      </c>
      <c r="J3676" s="8" t="s">
        <v>8</v>
      </c>
      <c r="K3676" s="8" t="s">
        <v>8</v>
      </c>
      <c r="L3676" s="8" t="s">
        <v>8</v>
      </c>
      <c r="M3676" s="8"/>
      <c r="N3676" s="8"/>
      <c r="O3676" s="8" t="s">
        <v>8</v>
      </c>
      <c r="P3676" s="8" t="s">
        <v>8</v>
      </c>
    </row>
    <row r="3677">
      <c r="E3677" s="31"/>
      <c r="F3677" s="8" t="s">
        <v>8</v>
      </c>
      <c r="G3677" s="8" t="s">
        <v>8</v>
      </c>
      <c r="H3677" s="8" t="s">
        <v>8</v>
      </c>
      <c r="I3677" s="8" t="s">
        <v>8</v>
      </c>
      <c r="J3677" s="8" t="s">
        <v>8</v>
      </c>
      <c r="K3677" s="8" t="s">
        <v>8</v>
      </c>
      <c r="L3677" s="8" t="s">
        <v>8</v>
      </c>
      <c r="M3677" s="8"/>
      <c r="N3677" s="8"/>
      <c r="O3677" s="8" t="s">
        <v>8</v>
      </c>
      <c r="P3677" s="8" t="s">
        <v>8</v>
      </c>
    </row>
    <row r="3678">
      <c r="E3678" s="31"/>
      <c r="F3678" s="8" t="s">
        <v>8</v>
      </c>
      <c r="G3678" s="8" t="s">
        <v>8</v>
      </c>
      <c r="H3678" s="8" t="s">
        <v>8</v>
      </c>
      <c r="I3678" s="8" t="s">
        <v>8</v>
      </c>
      <c r="J3678" s="8" t="s">
        <v>8</v>
      </c>
      <c r="K3678" s="8" t="s">
        <v>8</v>
      </c>
      <c r="L3678" s="8" t="s">
        <v>8</v>
      </c>
      <c r="M3678" s="8"/>
      <c r="N3678" s="8"/>
      <c r="O3678" s="8" t="s">
        <v>8</v>
      </c>
      <c r="P3678" s="8" t="s">
        <v>8</v>
      </c>
    </row>
    <row r="3679">
      <c r="E3679" s="31"/>
      <c r="F3679" s="8" t="s">
        <v>8</v>
      </c>
      <c r="G3679" s="8" t="s">
        <v>8</v>
      </c>
      <c r="H3679" s="8" t="s">
        <v>8</v>
      </c>
      <c r="I3679" s="8" t="s">
        <v>8</v>
      </c>
      <c r="J3679" s="8" t="s">
        <v>8</v>
      </c>
      <c r="K3679" s="8" t="s">
        <v>8</v>
      </c>
      <c r="L3679" s="8" t="s">
        <v>8</v>
      </c>
      <c r="M3679" s="8"/>
      <c r="N3679" s="8"/>
      <c r="O3679" s="8" t="s">
        <v>8</v>
      </c>
      <c r="P3679" s="8" t="s">
        <v>8</v>
      </c>
    </row>
    <row r="3680">
      <c r="E3680" s="31"/>
      <c r="F3680" s="8" t="s">
        <v>8</v>
      </c>
      <c r="G3680" s="8" t="s">
        <v>8</v>
      </c>
      <c r="H3680" s="8" t="s">
        <v>8</v>
      </c>
      <c r="I3680" s="8" t="s">
        <v>8</v>
      </c>
      <c r="J3680" s="8" t="s">
        <v>8</v>
      </c>
      <c r="K3680" s="8" t="s">
        <v>8</v>
      </c>
      <c r="L3680" s="8" t="s">
        <v>8</v>
      </c>
      <c r="M3680" s="8"/>
      <c r="N3680" s="8"/>
      <c r="O3680" s="8" t="s">
        <v>8</v>
      </c>
      <c r="P3680" s="8" t="s">
        <v>8</v>
      </c>
    </row>
    <row r="3681">
      <c r="E3681" s="31"/>
      <c r="F3681" s="8" t="s">
        <v>8</v>
      </c>
      <c r="G3681" s="8" t="s">
        <v>8</v>
      </c>
      <c r="H3681" s="8" t="s">
        <v>8</v>
      </c>
      <c r="I3681" s="8" t="s">
        <v>8</v>
      </c>
      <c r="J3681" s="8" t="s">
        <v>8</v>
      </c>
      <c r="K3681" s="8" t="s">
        <v>8</v>
      </c>
      <c r="L3681" s="8" t="s">
        <v>8</v>
      </c>
      <c r="M3681" s="8"/>
      <c r="N3681" s="8"/>
      <c r="O3681" s="8" t="s">
        <v>8</v>
      </c>
      <c r="P3681" s="8" t="s">
        <v>8</v>
      </c>
    </row>
    <row r="3682">
      <c r="E3682" s="31"/>
      <c r="F3682" s="8" t="s">
        <v>8</v>
      </c>
      <c r="G3682" s="8" t="s">
        <v>8</v>
      </c>
      <c r="H3682" s="8" t="s">
        <v>8</v>
      </c>
      <c r="I3682" s="8" t="s">
        <v>8</v>
      </c>
      <c r="J3682" s="8" t="s">
        <v>8</v>
      </c>
      <c r="K3682" s="8" t="s">
        <v>8</v>
      </c>
      <c r="L3682" s="8" t="s">
        <v>8</v>
      </c>
      <c r="M3682" s="8"/>
      <c r="N3682" s="8"/>
      <c r="O3682" s="8" t="s">
        <v>8</v>
      </c>
      <c r="P3682" s="8" t="s">
        <v>8</v>
      </c>
    </row>
    <row r="3683">
      <c r="E3683" s="31"/>
      <c r="F3683" s="8" t="s">
        <v>8</v>
      </c>
      <c r="G3683" s="8" t="s">
        <v>8</v>
      </c>
      <c r="H3683" s="8" t="s">
        <v>8</v>
      </c>
      <c r="I3683" s="8" t="s">
        <v>8</v>
      </c>
      <c r="J3683" s="8" t="s">
        <v>8</v>
      </c>
      <c r="K3683" s="8" t="s">
        <v>8</v>
      </c>
      <c r="L3683" s="8" t="s">
        <v>8</v>
      </c>
      <c r="M3683" s="8"/>
      <c r="N3683" s="8"/>
      <c r="O3683" s="8" t="s">
        <v>8</v>
      </c>
      <c r="P3683" s="8" t="s">
        <v>8</v>
      </c>
    </row>
    <row r="3684">
      <c r="E3684" s="31"/>
      <c r="F3684" s="8" t="s">
        <v>8</v>
      </c>
      <c r="G3684" s="8" t="s">
        <v>8</v>
      </c>
      <c r="H3684" s="8" t="s">
        <v>8</v>
      </c>
      <c r="I3684" s="8" t="s">
        <v>8</v>
      </c>
      <c r="J3684" s="8" t="s">
        <v>8</v>
      </c>
      <c r="K3684" s="8" t="s">
        <v>8</v>
      </c>
      <c r="L3684" s="8" t="s">
        <v>8</v>
      </c>
      <c r="M3684" s="8"/>
      <c r="N3684" s="8"/>
      <c r="O3684" s="8" t="s">
        <v>8</v>
      </c>
      <c r="P3684" s="8" t="s">
        <v>8</v>
      </c>
    </row>
    <row r="3685">
      <c r="E3685" s="31"/>
      <c r="F3685" s="8" t="s">
        <v>8</v>
      </c>
      <c r="G3685" s="8" t="s">
        <v>8</v>
      </c>
      <c r="H3685" s="8" t="s">
        <v>8</v>
      </c>
      <c r="I3685" s="8" t="s">
        <v>8</v>
      </c>
      <c r="J3685" s="8" t="s">
        <v>8</v>
      </c>
      <c r="K3685" s="8" t="s">
        <v>8</v>
      </c>
      <c r="L3685" s="8" t="s">
        <v>8</v>
      </c>
      <c r="M3685" s="8"/>
      <c r="N3685" s="8"/>
      <c r="O3685" s="8" t="s">
        <v>8</v>
      </c>
      <c r="P3685" s="8" t="s">
        <v>8</v>
      </c>
    </row>
    <row r="3686">
      <c r="E3686" s="31"/>
      <c r="F3686" s="8" t="s">
        <v>8</v>
      </c>
      <c r="G3686" s="8" t="s">
        <v>8</v>
      </c>
      <c r="H3686" s="8" t="s">
        <v>8</v>
      </c>
      <c r="I3686" s="8" t="s">
        <v>8</v>
      </c>
      <c r="J3686" s="8" t="s">
        <v>8</v>
      </c>
      <c r="K3686" s="8" t="s">
        <v>8</v>
      </c>
      <c r="L3686" s="8" t="s">
        <v>8</v>
      </c>
      <c r="M3686" s="8"/>
      <c r="N3686" s="8"/>
      <c r="O3686" s="8" t="s">
        <v>8</v>
      </c>
      <c r="P3686" s="8" t="s">
        <v>8</v>
      </c>
    </row>
    <row r="3687">
      <c r="E3687" s="31"/>
      <c r="F3687" s="8" t="s">
        <v>8</v>
      </c>
      <c r="G3687" s="8" t="s">
        <v>8</v>
      </c>
      <c r="H3687" s="8" t="s">
        <v>8</v>
      </c>
      <c r="I3687" s="8" t="s">
        <v>8</v>
      </c>
      <c r="J3687" s="8" t="s">
        <v>8</v>
      </c>
      <c r="K3687" s="8" t="s">
        <v>8</v>
      </c>
      <c r="L3687" s="8" t="s">
        <v>8</v>
      </c>
      <c r="M3687" s="8"/>
      <c r="N3687" s="8"/>
      <c r="O3687" s="8" t="s">
        <v>8</v>
      </c>
      <c r="P3687" s="8" t="s">
        <v>8</v>
      </c>
    </row>
    <row r="3688">
      <c r="E3688" s="31"/>
      <c r="F3688" s="8" t="s">
        <v>8</v>
      </c>
      <c r="G3688" s="8" t="s">
        <v>8</v>
      </c>
      <c r="H3688" s="8" t="s">
        <v>8</v>
      </c>
      <c r="I3688" s="8" t="s">
        <v>8</v>
      </c>
      <c r="J3688" s="8" t="s">
        <v>8</v>
      </c>
      <c r="K3688" s="8" t="s">
        <v>8</v>
      </c>
      <c r="L3688" s="8" t="s">
        <v>8</v>
      </c>
      <c r="M3688" s="8"/>
      <c r="N3688" s="8"/>
      <c r="O3688" s="8" t="s">
        <v>8</v>
      </c>
      <c r="P3688" s="8" t="s">
        <v>8</v>
      </c>
    </row>
    <row r="3689">
      <c r="E3689" s="31"/>
      <c r="F3689" s="8" t="s">
        <v>8</v>
      </c>
      <c r="G3689" s="8" t="s">
        <v>8</v>
      </c>
      <c r="H3689" s="8" t="s">
        <v>8</v>
      </c>
      <c r="I3689" s="8" t="s">
        <v>8</v>
      </c>
      <c r="J3689" s="8" t="s">
        <v>8</v>
      </c>
      <c r="K3689" s="8" t="s">
        <v>8</v>
      </c>
      <c r="L3689" s="8" t="s">
        <v>8</v>
      </c>
      <c r="M3689" s="8"/>
      <c r="N3689" s="8"/>
      <c r="O3689" s="8" t="s">
        <v>8</v>
      </c>
      <c r="P3689" s="8" t="s">
        <v>8</v>
      </c>
    </row>
    <row r="3690">
      <c r="E3690" s="31"/>
      <c r="F3690" s="8" t="s">
        <v>8</v>
      </c>
      <c r="G3690" s="8" t="s">
        <v>8</v>
      </c>
      <c r="H3690" s="8" t="s">
        <v>8</v>
      </c>
      <c r="I3690" s="8" t="s">
        <v>8</v>
      </c>
      <c r="J3690" s="8" t="s">
        <v>8</v>
      </c>
      <c r="K3690" s="8" t="s">
        <v>8</v>
      </c>
      <c r="L3690" s="8" t="s">
        <v>8</v>
      </c>
      <c r="M3690" s="8"/>
      <c r="N3690" s="8"/>
      <c r="O3690" s="8" t="s">
        <v>8</v>
      </c>
      <c r="P3690" s="8" t="s">
        <v>8</v>
      </c>
    </row>
    <row r="3691">
      <c r="E3691" s="31"/>
      <c r="F3691" s="8" t="s">
        <v>8</v>
      </c>
      <c r="G3691" s="8" t="s">
        <v>8</v>
      </c>
      <c r="H3691" s="8" t="s">
        <v>8</v>
      </c>
      <c r="I3691" s="8" t="s">
        <v>8</v>
      </c>
      <c r="J3691" s="8" t="s">
        <v>8</v>
      </c>
      <c r="K3691" s="8" t="s">
        <v>8</v>
      </c>
      <c r="L3691" s="8" t="s">
        <v>8</v>
      </c>
      <c r="M3691" s="8"/>
      <c r="N3691" s="8"/>
      <c r="O3691" s="8" t="s">
        <v>8</v>
      </c>
      <c r="P3691" s="8" t="s">
        <v>8</v>
      </c>
    </row>
    <row r="3692">
      <c r="E3692" s="31"/>
      <c r="F3692" s="8" t="s">
        <v>8</v>
      </c>
      <c r="G3692" s="8" t="s">
        <v>8</v>
      </c>
      <c r="H3692" s="8" t="s">
        <v>8</v>
      </c>
      <c r="I3692" s="8" t="s">
        <v>8</v>
      </c>
      <c r="J3692" s="8" t="s">
        <v>8</v>
      </c>
      <c r="K3692" s="8" t="s">
        <v>8</v>
      </c>
      <c r="L3692" s="8" t="s">
        <v>8</v>
      </c>
      <c r="M3692" s="8"/>
      <c r="N3692" s="8"/>
      <c r="O3692" s="8" t="s">
        <v>8</v>
      </c>
      <c r="P3692" s="8" t="s">
        <v>8</v>
      </c>
    </row>
    <row r="3693">
      <c r="E3693" s="31"/>
      <c r="F3693" s="8" t="s">
        <v>8</v>
      </c>
      <c r="G3693" s="8" t="s">
        <v>8</v>
      </c>
      <c r="H3693" s="8" t="s">
        <v>8</v>
      </c>
      <c r="I3693" s="8" t="s">
        <v>8</v>
      </c>
      <c r="J3693" s="8" t="s">
        <v>8</v>
      </c>
      <c r="K3693" s="8" t="s">
        <v>8</v>
      </c>
      <c r="L3693" s="8" t="s">
        <v>8</v>
      </c>
      <c r="M3693" s="8"/>
      <c r="N3693" s="8"/>
      <c r="O3693" s="8" t="s">
        <v>8</v>
      </c>
      <c r="P3693" s="8" t="s">
        <v>8</v>
      </c>
    </row>
    <row r="3694">
      <c r="E3694" s="31"/>
      <c r="F3694" s="8" t="s">
        <v>8</v>
      </c>
      <c r="G3694" s="8" t="s">
        <v>8</v>
      </c>
      <c r="H3694" s="8" t="s">
        <v>8</v>
      </c>
      <c r="I3694" s="8" t="s">
        <v>8</v>
      </c>
      <c r="J3694" s="8" t="s">
        <v>8</v>
      </c>
      <c r="K3694" s="8" t="s">
        <v>8</v>
      </c>
      <c r="L3694" s="8" t="s">
        <v>8</v>
      </c>
      <c r="M3694" s="8"/>
      <c r="N3694" s="8"/>
      <c r="O3694" s="8" t="s">
        <v>8</v>
      </c>
      <c r="P3694" s="8" t="s">
        <v>8</v>
      </c>
    </row>
    <row r="3695">
      <c r="E3695" s="31"/>
      <c r="F3695" s="8" t="s">
        <v>8</v>
      </c>
      <c r="G3695" s="8" t="s">
        <v>8</v>
      </c>
      <c r="H3695" s="8" t="s">
        <v>8</v>
      </c>
      <c r="I3695" s="8" t="s">
        <v>8</v>
      </c>
      <c r="J3695" s="8" t="s">
        <v>8</v>
      </c>
      <c r="K3695" s="8" t="s">
        <v>8</v>
      </c>
      <c r="L3695" s="8" t="s">
        <v>8</v>
      </c>
      <c r="M3695" s="8"/>
      <c r="N3695" s="8"/>
      <c r="O3695" s="8" t="s">
        <v>8</v>
      </c>
      <c r="P3695" s="8" t="s">
        <v>8</v>
      </c>
    </row>
    <row r="3696">
      <c r="E3696" s="31"/>
      <c r="F3696" s="8" t="s">
        <v>8</v>
      </c>
      <c r="G3696" s="8" t="s">
        <v>8</v>
      </c>
      <c r="H3696" s="8" t="s">
        <v>8</v>
      </c>
      <c r="I3696" s="8" t="s">
        <v>8</v>
      </c>
      <c r="J3696" s="8" t="s">
        <v>8</v>
      </c>
      <c r="K3696" s="8" t="s">
        <v>8</v>
      </c>
      <c r="L3696" s="8" t="s">
        <v>8</v>
      </c>
      <c r="M3696" s="8"/>
      <c r="N3696" s="8"/>
      <c r="O3696" s="8" t="s">
        <v>8</v>
      </c>
      <c r="P3696" s="8" t="s">
        <v>8</v>
      </c>
    </row>
    <row r="3697">
      <c r="E3697" s="31"/>
      <c r="F3697" s="8" t="s">
        <v>8</v>
      </c>
      <c r="G3697" s="8" t="s">
        <v>8</v>
      </c>
      <c r="H3697" s="8" t="s">
        <v>8</v>
      </c>
      <c r="I3697" s="8" t="s">
        <v>8</v>
      </c>
      <c r="J3697" s="8" t="s">
        <v>8</v>
      </c>
      <c r="K3697" s="8" t="s">
        <v>8</v>
      </c>
      <c r="L3697" s="8" t="s">
        <v>8</v>
      </c>
      <c r="M3697" s="8"/>
      <c r="N3697" s="8"/>
      <c r="O3697" s="8" t="s">
        <v>8</v>
      </c>
      <c r="P3697" s="8" t="s">
        <v>8</v>
      </c>
    </row>
    <row r="3698">
      <c r="E3698" s="31"/>
      <c r="F3698" s="8" t="s">
        <v>8</v>
      </c>
      <c r="G3698" s="8" t="s">
        <v>8</v>
      </c>
      <c r="H3698" s="8" t="s">
        <v>8</v>
      </c>
      <c r="I3698" s="8" t="s">
        <v>8</v>
      </c>
      <c r="J3698" s="8" t="s">
        <v>8</v>
      </c>
      <c r="K3698" s="8" t="s">
        <v>8</v>
      </c>
      <c r="L3698" s="8" t="s">
        <v>8</v>
      </c>
      <c r="M3698" s="8"/>
      <c r="N3698" s="8"/>
      <c r="O3698" s="8" t="s">
        <v>8</v>
      </c>
      <c r="P3698" s="8" t="s">
        <v>8</v>
      </c>
    </row>
    <row r="3699">
      <c r="E3699" s="31"/>
      <c r="F3699" s="8" t="s">
        <v>8</v>
      </c>
      <c r="G3699" s="8" t="s">
        <v>8</v>
      </c>
      <c r="H3699" s="8" t="s">
        <v>8</v>
      </c>
      <c r="I3699" s="8" t="s">
        <v>8</v>
      </c>
      <c r="J3699" s="8" t="s">
        <v>8</v>
      </c>
      <c r="K3699" s="8" t="s">
        <v>8</v>
      </c>
      <c r="L3699" s="8" t="s">
        <v>8</v>
      </c>
      <c r="M3699" s="8"/>
      <c r="N3699" s="8"/>
      <c r="O3699" s="8" t="s">
        <v>8</v>
      </c>
      <c r="P3699" s="8" t="s">
        <v>8</v>
      </c>
    </row>
    <row r="3700">
      <c r="E3700" s="31"/>
      <c r="F3700" s="8" t="s">
        <v>8</v>
      </c>
      <c r="G3700" s="8" t="s">
        <v>8</v>
      </c>
      <c r="H3700" s="8" t="s">
        <v>8</v>
      </c>
      <c r="I3700" s="8" t="s">
        <v>8</v>
      </c>
      <c r="J3700" s="8" t="s">
        <v>8</v>
      </c>
      <c r="K3700" s="8" t="s">
        <v>8</v>
      </c>
      <c r="L3700" s="8" t="s">
        <v>8</v>
      </c>
      <c r="M3700" s="8"/>
      <c r="N3700" s="8"/>
      <c r="O3700" s="8" t="s">
        <v>8</v>
      </c>
      <c r="P3700" s="8" t="s">
        <v>8</v>
      </c>
    </row>
    <row r="3701">
      <c r="E3701" s="31"/>
      <c r="F3701" s="8" t="s">
        <v>8</v>
      </c>
      <c r="G3701" s="8" t="s">
        <v>8</v>
      </c>
      <c r="H3701" s="8" t="s">
        <v>8</v>
      </c>
      <c r="I3701" s="8" t="s">
        <v>8</v>
      </c>
      <c r="J3701" s="8" t="s">
        <v>8</v>
      </c>
      <c r="K3701" s="8" t="s">
        <v>8</v>
      </c>
      <c r="L3701" s="8" t="s">
        <v>8</v>
      </c>
      <c r="M3701" s="8"/>
      <c r="N3701" s="8"/>
      <c r="O3701" s="8" t="s">
        <v>8</v>
      </c>
      <c r="P3701" s="8" t="s">
        <v>8</v>
      </c>
    </row>
    <row r="3702">
      <c r="E3702" s="31"/>
      <c r="F3702" s="8" t="s">
        <v>8</v>
      </c>
      <c r="G3702" s="8" t="s">
        <v>8</v>
      </c>
      <c r="H3702" s="8" t="s">
        <v>8</v>
      </c>
      <c r="I3702" s="8" t="s">
        <v>8</v>
      </c>
      <c r="J3702" s="8" t="s">
        <v>8</v>
      </c>
      <c r="K3702" s="8" t="s">
        <v>8</v>
      </c>
      <c r="L3702" s="8" t="s">
        <v>8</v>
      </c>
      <c r="M3702" s="8"/>
      <c r="N3702" s="8"/>
      <c r="O3702" s="8" t="s">
        <v>8</v>
      </c>
      <c r="P3702" s="8" t="s">
        <v>8</v>
      </c>
    </row>
    <row r="3703">
      <c r="E3703" s="31"/>
      <c r="F3703" s="8" t="s">
        <v>8</v>
      </c>
      <c r="G3703" s="8" t="s">
        <v>8</v>
      </c>
      <c r="H3703" s="8" t="s">
        <v>8</v>
      </c>
      <c r="I3703" s="8" t="s">
        <v>8</v>
      </c>
      <c r="J3703" s="8" t="s">
        <v>8</v>
      </c>
      <c r="K3703" s="8" t="s">
        <v>8</v>
      </c>
      <c r="L3703" s="8" t="s">
        <v>8</v>
      </c>
      <c r="M3703" s="8"/>
      <c r="N3703" s="8"/>
      <c r="O3703" s="8" t="s">
        <v>8</v>
      </c>
      <c r="P3703" s="8" t="s">
        <v>8</v>
      </c>
    </row>
    <row r="3704">
      <c r="E3704" s="31"/>
      <c r="F3704" s="8" t="s">
        <v>8</v>
      </c>
      <c r="G3704" s="8" t="s">
        <v>8</v>
      </c>
      <c r="H3704" s="8" t="s">
        <v>8</v>
      </c>
      <c r="I3704" s="8" t="s">
        <v>8</v>
      </c>
      <c r="J3704" s="8" t="s">
        <v>8</v>
      </c>
      <c r="K3704" s="8" t="s">
        <v>8</v>
      </c>
      <c r="L3704" s="8" t="s">
        <v>8</v>
      </c>
      <c r="M3704" s="8"/>
      <c r="N3704" s="8"/>
      <c r="O3704" s="8" t="s">
        <v>8</v>
      </c>
      <c r="P3704" s="8" t="s">
        <v>8</v>
      </c>
    </row>
    <row r="3705">
      <c r="E3705" s="31"/>
      <c r="F3705" s="8" t="s">
        <v>8</v>
      </c>
      <c r="G3705" s="8" t="s">
        <v>8</v>
      </c>
      <c r="H3705" s="8" t="s">
        <v>8</v>
      </c>
      <c r="I3705" s="8" t="s">
        <v>8</v>
      </c>
      <c r="J3705" s="8" t="s">
        <v>8</v>
      </c>
      <c r="K3705" s="8" t="s">
        <v>8</v>
      </c>
      <c r="L3705" s="8" t="s">
        <v>8</v>
      </c>
      <c r="M3705" s="8"/>
      <c r="N3705" s="8"/>
      <c r="O3705" s="8" t="s">
        <v>8</v>
      </c>
      <c r="P3705" s="8" t="s">
        <v>8</v>
      </c>
    </row>
    <row r="3706">
      <c r="E3706" s="31"/>
      <c r="F3706" s="8" t="s">
        <v>8</v>
      </c>
      <c r="G3706" s="8" t="s">
        <v>8</v>
      </c>
      <c r="H3706" s="8" t="s">
        <v>8</v>
      </c>
      <c r="I3706" s="8" t="s">
        <v>8</v>
      </c>
      <c r="J3706" s="8" t="s">
        <v>8</v>
      </c>
      <c r="K3706" s="8" t="s">
        <v>8</v>
      </c>
      <c r="L3706" s="8" t="s">
        <v>8</v>
      </c>
      <c r="M3706" s="8"/>
      <c r="N3706" s="8"/>
      <c r="O3706" s="8" t="s">
        <v>8</v>
      </c>
      <c r="P3706" s="8" t="s">
        <v>8</v>
      </c>
    </row>
    <row r="3707">
      <c r="E3707" s="31"/>
      <c r="F3707" s="8" t="s">
        <v>8</v>
      </c>
      <c r="G3707" s="8" t="s">
        <v>8</v>
      </c>
      <c r="H3707" s="8" t="s">
        <v>8</v>
      </c>
      <c r="I3707" s="8" t="s">
        <v>8</v>
      </c>
      <c r="J3707" s="8" t="s">
        <v>8</v>
      </c>
      <c r="K3707" s="8" t="s">
        <v>8</v>
      </c>
      <c r="L3707" s="8" t="s">
        <v>8</v>
      </c>
      <c r="M3707" s="8"/>
      <c r="N3707" s="8"/>
      <c r="O3707" s="8" t="s">
        <v>8</v>
      </c>
      <c r="P3707" s="8" t="s">
        <v>8</v>
      </c>
    </row>
    <row r="3708">
      <c r="E3708" s="31"/>
      <c r="F3708" s="8" t="s">
        <v>8</v>
      </c>
      <c r="G3708" s="8" t="s">
        <v>8</v>
      </c>
      <c r="H3708" s="8" t="s">
        <v>8</v>
      </c>
      <c r="I3708" s="8" t="s">
        <v>8</v>
      </c>
      <c r="J3708" s="8" t="s">
        <v>8</v>
      </c>
      <c r="K3708" s="8" t="s">
        <v>8</v>
      </c>
      <c r="L3708" s="8" t="s">
        <v>8</v>
      </c>
      <c r="M3708" s="8"/>
      <c r="N3708" s="8"/>
      <c r="O3708" s="8" t="s">
        <v>8</v>
      </c>
      <c r="P3708" s="8" t="s">
        <v>8</v>
      </c>
    </row>
    <row r="3709">
      <c r="E3709" s="31"/>
      <c r="F3709" s="8" t="s">
        <v>8</v>
      </c>
      <c r="G3709" s="8" t="s">
        <v>8</v>
      </c>
      <c r="H3709" s="8" t="s">
        <v>8</v>
      </c>
      <c r="I3709" s="8" t="s">
        <v>8</v>
      </c>
      <c r="J3709" s="8" t="s">
        <v>8</v>
      </c>
      <c r="K3709" s="8" t="s">
        <v>8</v>
      </c>
      <c r="L3709" s="8" t="s">
        <v>8</v>
      </c>
      <c r="M3709" s="8"/>
      <c r="N3709" s="8"/>
      <c r="O3709" s="8" t="s">
        <v>8</v>
      </c>
      <c r="P3709" s="8" t="s">
        <v>8</v>
      </c>
    </row>
    <row r="3710">
      <c r="E3710" s="31"/>
      <c r="F3710" s="8" t="s">
        <v>8</v>
      </c>
      <c r="G3710" s="8" t="s">
        <v>8</v>
      </c>
      <c r="H3710" s="8" t="s">
        <v>8</v>
      </c>
      <c r="I3710" s="8" t="s">
        <v>8</v>
      </c>
      <c r="J3710" s="8" t="s">
        <v>8</v>
      </c>
      <c r="K3710" s="8" t="s">
        <v>8</v>
      </c>
      <c r="L3710" s="8" t="s">
        <v>8</v>
      </c>
      <c r="M3710" s="8"/>
      <c r="N3710" s="8"/>
      <c r="O3710" s="8" t="s">
        <v>8</v>
      </c>
      <c r="P3710" s="8" t="s">
        <v>8</v>
      </c>
    </row>
    <row r="3711">
      <c r="E3711" s="31"/>
      <c r="F3711" s="8" t="s">
        <v>8</v>
      </c>
      <c r="G3711" s="8" t="s">
        <v>8</v>
      </c>
      <c r="H3711" s="8" t="s">
        <v>8</v>
      </c>
      <c r="I3711" s="8" t="s">
        <v>8</v>
      </c>
      <c r="J3711" s="8" t="s">
        <v>8</v>
      </c>
      <c r="K3711" s="8" t="s">
        <v>8</v>
      </c>
      <c r="L3711" s="8" t="s">
        <v>8</v>
      </c>
      <c r="M3711" s="8"/>
      <c r="N3711" s="8"/>
      <c r="O3711" s="8" t="s">
        <v>8</v>
      </c>
      <c r="P3711" s="8" t="s">
        <v>8</v>
      </c>
    </row>
    <row r="3712">
      <c r="E3712" s="31"/>
      <c r="F3712" s="8" t="s">
        <v>8</v>
      </c>
      <c r="G3712" s="8" t="s">
        <v>8</v>
      </c>
      <c r="H3712" s="8" t="s">
        <v>8</v>
      </c>
      <c r="I3712" s="8" t="s">
        <v>8</v>
      </c>
      <c r="J3712" s="8" t="s">
        <v>8</v>
      </c>
      <c r="K3712" s="8" t="s">
        <v>8</v>
      </c>
      <c r="L3712" s="8" t="s">
        <v>8</v>
      </c>
      <c r="M3712" s="8"/>
      <c r="N3712" s="8"/>
      <c r="O3712" s="8" t="s">
        <v>8</v>
      </c>
      <c r="P3712" s="8" t="s">
        <v>8</v>
      </c>
    </row>
    <row r="3713">
      <c r="E3713" s="31"/>
      <c r="F3713" s="8" t="s">
        <v>8</v>
      </c>
      <c r="G3713" s="8" t="s">
        <v>8</v>
      </c>
      <c r="H3713" s="8" t="s">
        <v>8</v>
      </c>
      <c r="I3713" s="8" t="s">
        <v>8</v>
      </c>
      <c r="J3713" s="8" t="s">
        <v>8</v>
      </c>
      <c r="K3713" s="8" t="s">
        <v>8</v>
      </c>
      <c r="L3713" s="8" t="s">
        <v>8</v>
      </c>
      <c r="M3713" s="8"/>
      <c r="N3713" s="8"/>
      <c r="O3713" s="8" t="s">
        <v>8</v>
      </c>
      <c r="P3713" s="8" t="s">
        <v>8</v>
      </c>
    </row>
    <row r="3714">
      <c r="E3714" s="31"/>
      <c r="F3714" s="8" t="s">
        <v>8</v>
      </c>
      <c r="G3714" s="8" t="s">
        <v>8</v>
      </c>
      <c r="H3714" s="8" t="s">
        <v>8</v>
      </c>
      <c r="I3714" s="8" t="s">
        <v>8</v>
      </c>
      <c r="J3714" s="8" t="s">
        <v>8</v>
      </c>
      <c r="K3714" s="8" t="s">
        <v>8</v>
      </c>
      <c r="L3714" s="8" t="s">
        <v>8</v>
      </c>
      <c r="M3714" s="8"/>
      <c r="N3714" s="8"/>
      <c r="O3714" s="8" t="s">
        <v>8</v>
      </c>
      <c r="P3714" s="8" t="s">
        <v>8</v>
      </c>
    </row>
    <row r="3715">
      <c r="E3715" s="31"/>
      <c r="F3715" s="8" t="s">
        <v>8</v>
      </c>
      <c r="G3715" s="8" t="s">
        <v>8</v>
      </c>
      <c r="H3715" s="8" t="s">
        <v>8</v>
      </c>
      <c r="I3715" s="8" t="s">
        <v>8</v>
      </c>
      <c r="J3715" s="8" t="s">
        <v>8</v>
      </c>
      <c r="K3715" s="8" t="s">
        <v>8</v>
      </c>
      <c r="L3715" s="8" t="s">
        <v>8</v>
      </c>
      <c r="M3715" s="8"/>
      <c r="N3715" s="8"/>
      <c r="O3715" s="8" t="s">
        <v>8</v>
      </c>
      <c r="P3715" s="8" t="s">
        <v>8</v>
      </c>
    </row>
    <row r="3716">
      <c r="E3716" s="31"/>
      <c r="F3716" s="8" t="s">
        <v>8</v>
      </c>
      <c r="G3716" s="8" t="s">
        <v>8</v>
      </c>
      <c r="H3716" s="8" t="s">
        <v>8</v>
      </c>
      <c r="I3716" s="8" t="s">
        <v>8</v>
      </c>
      <c r="J3716" s="8" t="s">
        <v>8</v>
      </c>
      <c r="K3716" s="8" t="s">
        <v>8</v>
      </c>
      <c r="L3716" s="8" t="s">
        <v>8</v>
      </c>
      <c r="M3716" s="8"/>
      <c r="N3716" s="8"/>
      <c r="O3716" s="8" t="s">
        <v>8</v>
      </c>
      <c r="P3716" s="8" t="s">
        <v>8</v>
      </c>
    </row>
    <row r="3717">
      <c r="E3717" s="31"/>
      <c r="F3717" s="8" t="s">
        <v>8</v>
      </c>
      <c r="G3717" s="8" t="s">
        <v>8</v>
      </c>
      <c r="H3717" s="8" t="s">
        <v>8</v>
      </c>
      <c r="I3717" s="8" t="s">
        <v>8</v>
      </c>
      <c r="J3717" s="8" t="s">
        <v>8</v>
      </c>
      <c r="K3717" s="8" t="s">
        <v>8</v>
      </c>
      <c r="L3717" s="8" t="s">
        <v>8</v>
      </c>
      <c r="M3717" s="8"/>
      <c r="N3717" s="8"/>
      <c r="O3717" s="8" t="s">
        <v>8</v>
      </c>
      <c r="P3717" s="8" t="s">
        <v>8</v>
      </c>
    </row>
    <row r="3718">
      <c r="E3718" s="31"/>
      <c r="F3718" s="8" t="s">
        <v>8</v>
      </c>
      <c r="G3718" s="8" t="s">
        <v>8</v>
      </c>
      <c r="H3718" s="8" t="s">
        <v>8</v>
      </c>
      <c r="I3718" s="8" t="s">
        <v>8</v>
      </c>
      <c r="J3718" s="8" t="s">
        <v>8</v>
      </c>
      <c r="K3718" s="8" t="s">
        <v>8</v>
      </c>
      <c r="L3718" s="8" t="s">
        <v>8</v>
      </c>
      <c r="M3718" s="8"/>
      <c r="N3718" s="8"/>
      <c r="O3718" s="8" t="s">
        <v>8</v>
      </c>
      <c r="P3718" s="8" t="s">
        <v>8</v>
      </c>
    </row>
    <row r="3719">
      <c r="E3719" s="31"/>
      <c r="F3719" s="8" t="s">
        <v>8</v>
      </c>
      <c r="G3719" s="8" t="s">
        <v>8</v>
      </c>
      <c r="H3719" s="8" t="s">
        <v>8</v>
      </c>
      <c r="I3719" s="8" t="s">
        <v>8</v>
      </c>
      <c r="J3719" s="8" t="s">
        <v>8</v>
      </c>
      <c r="K3719" s="8" t="s">
        <v>8</v>
      </c>
      <c r="L3719" s="8" t="s">
        <v>8</v>
      </c>
      <c r="M3719" s="8"/>
      <c r="N3719" s="8"/>
      <c r="O3719" s="8" t="s">
        <v>8</v>
      </c>
      <c r="P3719" s="8" t="s">
        <v>8</v>
      </c>
    </row>
    <row r="3720">
      <c r="E3720" s="31"/>
      <c r="F3720" s="8" t="s">
        <v>8</v>
      </c>
      <c r="G3720" s="8" t="s">
        <v>8</v>
      </c>
      <c r="H3720" s="8" t="s">
        <v>8</v>
      </c>
      <c r="I3720" s="8" t="s">
        <v>8</v>
      </c>
      <c r="J3720" s="8" t="s">
        <v>8</v>
      </c>
      <c r="K3720" s="8" t="s">
        <v>8</v>
      </c>
      <c r="L3720" s="8" t="s">
        <v>8</v>
      </c>
      <c r="M3720" s="8"/>
      <c r="N3720" s="8"/>
      <c r="O3720" s="8" t="s">
        <v>8</v>
      </c>
      <c r="P3720" s="8" t="s">
        <v>8</v>
      </c>
    </row>
    <row r="3721">
      <c r="E3721" s="31"/>
      <c r="F3721" s="8" t="s">
        <v>8</v>
      </c>
      <c r="G3721" s="8" t="s">
        <v>8</v>
      </c>
      <c r="H3721" s="8" t="s">
        <v>8</v>
      </c>
      <c r="I3721" s="8" t="s">
        <v>8</v>
      </c>
      <c r="J3721" s="8" t="s">
        <v>8</v>
      </c>
      <c r="K3721" s="8" t="s">
        <v>8</v>
      </c>
      <c r="L3721" s="8" t="s">
        <v>8</v>
      </c>
      <c r="M3721" s="8"/>
      <c r="N3721" s="8"/>
      <c r="O3721" s="8" t="s">
        <v>8</v>
      </c>
      <c r="P3721" s="8" t="s">
        <v>8</v>
      </c>
    </row>
    <row r="3722">
      <c r="E3722" s="31"/>
      <c r="F3722" s="8" t="s">
        <v>8</v>
      </c>
      <c r="G3722" s="8" t="s">
        <v>8</v>
      </c>
      <c r="H3722" s="8" t="s">
        <v>8</v>
      </c>
      <c r="I3722" s="8" t="s">
        <v>8</v>
      </c>
      <c r="J3722" s="8" t="s">
        <v>8</v>
      </c>
      <c r="K3722" s="8" t="s">
        <v>8</v>
      </c>
      <c r="L3722" s="8" t="s">
        <v>8</v>
      </c>
      <c r="M3722" s="8"/>
      <c r="N3722" s="8"/>
      <c r="O3722" s="8" t="s">
        <v>8</v>
      </c>
      <c r="P3722" s="8" t="s">
        <v>8</v>
      </c>
    </row>
    <row r="3723">
      <c r="E3723" s="31"/>
      <c r="F3723" s="8" t="s">
        <v>8</v>
      </c>
      <c r="G3723" s="8" t="s">
        <v>8</v>
      </c>
      <c r="H3723" s="8" t="s">
        <v>8</v>
      </c>
      <c r="I3723" s="8" t="s">
        <v>8</v>
      </c>
      <c r="J3723" s="8" t="s">
        <v>8</v>
      </c>
      <c r="K3723" s="8" t="s">
        <v>8</v>
      </c>
      <c r="L3723" s="8" t="s">
        <v>8</v>
      </c>
      <c r="M3723" s="8"/>
      <c r="N3723" s="8"/>
      <c r="O3723" s="8" t="s">
        <v>8</v>
      </c>
      <c r="P3723" s="8" t="s">
        <v>8</v>
      </c>
    </row>
    <row r="3724">
      <c r="E3724" s="31"/>
      <c r="F3724" s="8" t="s">
        <v>8</v>
      </c>
      <c r="G3724" s="8" t="s">
        <v>8</v>
      </c>
      <c r="H3724" s="8" t="s">
        <v>8</v>
      </c>
      <c r="I3724" s="8" t="s">
        <v>8</v>
      </c>
      <c r="J3724" s="8" t="s">
        <v>8</v>
      </c>
      <c r="K3724" s="8" t="s">
        <v>8</v>
      </c>
      <c r="L3724" s="8" t="s">
        <v>8</v>
      </c>
      <c r="M3724" s="8"/>
      <c r="N3724" s="8"/>
      <c r="O3724" s="8" t="s">
        <v>8</v>
      </c>
      <c r="P3724" s="8" t="s">
        <v>8</v>
      </c>
    </row>
    <row r="3725">
      <c r="E3725" s="31"/>
      <c r="F3725" s="8" t="s">
        <v>8</v>
      </c>
      <c r="G3725" s="8" t="s">
        <v>8</v>
      </c>
      <c r="H3725" s="8" t="s">
        <v>8</v>
      </c>
      <c r="I3725" s="8" t="s">
        <v>8</v>
      </c>
      <c r="J3725" s="8" t="s">
        <v>8</v>
      </c>
      <c r="K3725" s="8" t="s">
        <v>8</v>
      </c>
      <c r="L3725" s="8" t="s">
        <v>8</v>
      </c>
      <c r="M3725" s="8"/>
      <c r="N3725" s="8"/>
      <c r="O3725" s="8" t="s">
        <v>8</v>
      </c>
      <c r="P3725" s="8" t="s">
        <v>8</v>
      </c>
    </row>
    <row r="3726">
      <c r="E3726" s="31"/>
      <c r="F3726" s="8" t="s">
        <v>8</v>
      </c>
      <c r="G3726" s="8" t="s">
        <v>8</v>
      </c>
      <c r="H3726" s="8" t="s">
        <v>8</v>
      </c>
      <c r="I3726" s="8" t="s">
        <v>8</v>
      </c>
      <c r="J3726" s="8" t="s">
        <v>8</v>
      </c>
      <c r="K3726" s="8" t="s">
        <v>8</v>
      </c>
      <c r="L3726" s="8" t="s">
        <v>8</v>
      </c>
      <c r="M3726" s="8"/>
      <c r="N3726" s="8"/>
      <c r="O3726" s="8" t="s">
        <v>8</v>
      </c>
      <c r="P3726" s="8" t="s">
        <v>8</v>
      </c>
    </row>
    <row r="3727">
      <c r="E3727" s="31"/>
      <c r="F3727" s="8" t="s">
        <v>8</v>
      </c>
      <c r="G3727" s="8" t="s">
        <v>8</v>
      </c>
      <c r="H3727" s="8" t="s">
        <v>8</v>
      </c>
      <c r="I3727" s="8" t="s">
        <v>8</v>
      </c>
      <c r="J3727" s="8" t="s">
        <v>8</v>
      </c>
      <c r="K3727" s="8" t="s">
        <v>8</v>
      </c>
      <c r="L3727" s="8" t="s">
        <v>8</v>
      </c>
      <c r="M3727" s="8"/>
      <c r="N3727" s="8"/>
      <c r="O3727" s="8" t="s">
        <v>8</v>
      </c>
      <c r="P3727" s="8" t="s">
        <v>8</v>
      </c>
    </row>
    <row r="3728">
      <c r="E3728" s="31"/>
      <c r="F3728" s="8" t="s">
        <v>8</v>
      </c>
      <c r="G3728" s="8" t="s">
        <v>8</v>
      </c>
      <c r="H3728" s="8" t="s">
        <v>8</v>
      </c>
      <c r="I3728" s="8" t="s">
        <v>8</v>
      </c>
      <c r="J3728" s="8" t="s">
        <v>8</v>
      </c>
      <c r="K3728" s="8" t="s">
        <v>8</v>
      </c>
      <c r="L3728" s="8" t="s">
        <v>8</v>
      </c>
      <c r="M3728" s="8"/>
      <c r="N3728" s="8"/>
      <c r="O3728" s="8" t="s">
        <v>8</v>
      </c>
      <c r="P3728" s="8" t="s">
        <v>8</v>
      </c>
    </row>
    <row r="3729">
      <c r="E3729" s="31"/>
      <c r="F3729" s="8" t="s">
        <v>8</v>
      </c>
      <c r="G3729" s="8" t="s">
        <v>8</v>
      </c>
      <c r="H3729" s="8" t="s">
        <v>8</v>
      </c>
      <c r="I3729" s="8" t="s">
        <v>8</v>
      </c>
      <c r="J3729" s="8" t="s">
        <v>8</v>
      </c>
      <c r="K3729" s="8" t="s">
        <v>8</v>
      </c>
      <c r="L3729" s="8" t="s">
        <v>8</v>
      </c>
      <c r="M3729" s="8"/>
      <c r="N3729" s="8"/>
      <c r="O3729" s="8" t="s">
        <v>8</v>
      </c>
      <c r="P3729" s="8" t="s">
        <v>8</v>
      </c>
    </row>
    <row r="3730">
      <c r="E3730" s="31"/>
      <c r="F3730" s="8" t="s">
        <v>8</v>
      </c>
      <c r="G3730" s="8" t="s">
        <v>8</v>
      </c>
      <c r="H3730" s="8" t="s">
        <v>8</v>
      </c>
      <c r="I3730" s="8" t="s">
        <v>8</v>
      </c>
      <c r="J3730" s="8" t="s">
        <v>8</v>
      </c>
      <c r="K3730" s="8" t="s">
        <v>8</v>
      </c>
      <c r="L3730" s="8" t="s">
        <v>8</v>
      </c>
      <c r="M3730" s="8"/>
      <c r="N3730" s="8"/>
      <c r="O3730" s="8" t="s">
        <v>8</v>
      </c>
      <c r="P3730" s="8" t="s">
        <v>8</v>
      </c>
    </row>
    <row r="3731">
      <c r="E3731" s="31"/>
      <c r="F3731" s="8" t="s">
        <v>8</v>
      </c>
      <c r="G3731" s="8" t="s">
        <v>8</v>
      </c>
      <c r="H3731" s="8" t="s">
        <v>8</v>
      </c>
      <c r="I3731" s="8" t="s">
        <v>8</v>
      </c>
      <c r="J3731" s="8" t="s">
        <v>8</v>
      </c>
      <c r="K3731" s="8" t="s">
        <v>8</v>
      </c>
      <c r="L3731" s="8" t="s">
        <v>8</v>
      </c>
      <c r="M3731" s="8"/>
      <c r="N3731" s="8"/>
      <c r="O3731" s="8" t="s">
        <v>8</v>
      </c>
      <c r="P3731" s="8" t="s">
        <v>8</v>
      </c>
    </row>
    <row r="3732">
      <c r="E3732" s="31"/>
      <c r="F3732" s="8" t="s">
        <v>8</v>
      </c>
      <c r="G3732" s="8" t="s">
        <v>8</v>
      </c>
      <c r="H3732" s="8" t="s">
        <v>8</v>
      </c>
      <c r="I3732" s="8" t="s">
        <v>8</v>
      </c>
      <c r="J3732" s="8" t="s">
        <v>8</v>
      </c>
      <c r="K3732" s="8" t="s">
        <v>8</v>
      </c>
      <c r="L3732" s="8" t="s">
        <v>8</v>
      </c>
      <c r="M3732" s="8"/>
      <c r="N3732" s="8"/>
      <c r="O3732" s="8" t="s">
        <v>8</v>
      </c>
      <c r="P3732" s="8" t="s">
        <v>8</v>
      </c>
    </row>
    <row r="3733">
      <c r="E3733" s="31"/>
      <c r="F3733" s="8" t="s">
        <v>8</v>
      </c>
      <c r="G3733" s="8" t="s">
        <v>8</v>
      </c>
      <c r="H3733" s="8" t="s">
        <v>8</v>
      </c>
      <c r="I3733" s="8" t="s">
        <v>8</v>
      </c>
      <c r="J3733" s="8" t="s">
        <v>8</v>
      </c>
      <c r="K3733" s="8" t="s">
        <v>8</v>
      </c>
      <c r="L3733" s="8" t="s">
        <v>8</v>
      </c>
      <c r="M3733" s="8"/>
      <c r="N3733" s="8"/>
      <c r="O3733" s="8" t="s">
        <v>8</v>
      </c>
      <c r="P3733" s="8" t="s">
        <v>8</v>
      </c>
    </row>
    <row r="3734">
      <c r="E3734" s="31"/>
      <c r="F3734" s="8" t="s">
        <v>8</v>
      </c>
      <c r="G3734" s="8" t="s">
        <v>8</v>
      </c>
      <c r="H3734" s="8" t="s">
        <v>8</v>
      </c>
      <c r="I3734" s="8" t="s">
        <v>8</v>
      </c>
      <c r="J3734" s="8" t="s">
        <v>8</v>
      </c>
      <c r="K3734" s="8" t="s">
        <v>8</v>
      </c>
      <c r="L3734" s="8" t="s">
        <v>8</v>
      </c>
      <c r="M3734" s="8"/>
      <c r="N3734" s="8"/>
      <c r="O3734" s="8" t="s">
        <v>8</v>
      </c>
      <c r="P3734" s="8" t="s">
        <v>8</v>
      </c>
    </row>
    <row r="3735">
      <c r="E3735" s="31"/>
      <c r="F3735" s="8" t="s">
        <v>8</v>
      </c>
      <c r="G3735" s="8" t="s">
        <v>8</v>
      </c>
      <c r="H3735" s="8" t="s">
        <v>8</v>
      </c>
      <c r="I3735" s="8" t="s">
        <v>8</v>
      </c>
      <c r="J3735" s="8" t="s">
        <v>8</v>
      </c>
      <c r="K3735" s="8" t="s">
        <v>8</v>
      </c>
      <c r="L3735" s="8" t="s">
        <v>8</v>
      </c>
      <c r="M3735" s="8"/>
      <c r="N3735" s="8"/>
      <c r="O3735" s="8" t="s">
        <v>8</v>
      </c>
      <c r="P3735" s="8" t="s">
        <v>8</v>
      </c>
    </row>
    <row r="3736">
      <c r="E3736" s="31"/>
      <c r="F3736" s="8" t="s">
        <v>8</v>
      </c>
      <c r="G3736" s="8" t="s">
        <v>8</v>
      </c>
      <c r="H3736" s="8" t="s">
        <v>8</v>
      </c>
      <c r="I3736" s="8" t="s">
        <v>8</v>
      </c>
      <c r="J3736" s="8" t="s">
        <v>8</v>
      </c>
      <c r="K3736" s="8" t="s">
        <v>8</v>
      </c>
      <c r="L3736" s="8" t="s">
        <v>8</v>
      </c>
      <c r="M3736" s="8"/>
      <c r="N3736" s="8"/>
      <c r="O3736" s="8" t="s">
        <v>8</v>
      </c>
      <c r="P3736" s="8" t="s">
        <v>8</v>
      </c>
    </row>
    <row r="3737">
      <c r="E3737" s="31"/>
      <c r="F3737" s="8" t="s">
        <v>8</v>
      </c>
      <c r="G3737" s="8" t="s">
        <v>8</v>
      </c>
      <c r="H3737" s="8" t="s">
        <v>8</v>
      </c>
      <c r="I3737" s="8" t="s">
        <v>8</v>
      </c>
      <c r="J3737" s="8" t="s">
        <v>8</v>
      </c>
      <c r="K3737" s="8" t="s">
        <v>8</v>
      </c>
      <c r="L3737" s="8" t="s">
        <v>8</v>
      </c>
      <c r="M3737" s="8"/>
      <c r="N3737" s="8"/>
      <c r="O3737" s="8" t="s">
        <v>8</v>
      </c>
      <c r="P3737" s="8" t="s">
        <v>8</v>
      </c>
    </row>
    <row r="3738">
      <c r="E3738" s="31"/>
      <c r="F3738" s="8" t="s">
        <v>8</v>
      </c>
      <c r="G3738" s="8" t="s">
        <v>8</v>
      </c>
      <c r="H3738" s="8" t="s">
        <v>8</v>
      </c>
      <c r="I3738" s="8" t="s">
        <v>8</v>
      </c>
      <c r="J3738" s="8" t="s">
        <v>8</v>
      </c>
      <c r="K3738" s="8" t="s">
        <v>8</v>
      </c>
      <c r="L3738" s="8" t="s">
        <v>8</v>
      </c>
      <c r="M3738" s="8"/>
      <c r="N3738" s="8"/>
      <c r="O3738" s="8" t="s">
        <v>8</v>
      </c>
      <c r="P3738" s="8" t="s">
        <v>8</v>
      </c>
    </row>
    <row r="3739">
      <c r="E3739" s="31"/>
      <c r="F3739" s="8" t="s">
        <v>8</v>
      </c>
      <c r="G3739" s="8" t="s">
        <v>8</v>
      </c>
      <c r="H3739" s="8" t="s">
        <v>8</v>
      </c>
      <c r="I3739" s="8" t="s">
        <v>8</v>
      </c>
      <c r="J3739" s="8" t="s">
        <v>8</v>
      </c>
      <c r="K3739" s="8" t="s">
        <v>8</v>
      </c>
      <c r="L3739" s="8" t="s">
        <v>8</v>
      </c>
      <c r="M3739" s="8"/>
      <c r="N3739" s="8"/>
      <c r="O3739" s="8" t="s">
        <v>8</v>
      </c>
      <c r="P3739" s="8" t="s">
        <v>8</v>
      </c>
    </row>
    <row r="3740">
      <c r="E3740" s="31"/>
      <c r="F3740" s="8" t="s">
        <v>8</v>
      </c>
      <c r="G3740" s="8" t="s">
        <v>8</v>
      </c>
      <c r="H3740" s="8" t="s">
        <v>8</v>
      </c>
      <c r="I3740" s="8" t="s">
        <v>8</v>
      </c>
      <c r="J3740" s="8" t="s">
        <v>8</v>
      </c>
      <c r="K3740" s="8" t="s">
        <v>8</v>
      </c>
      <c r="L3740" s="8" t="s">
        <v>8</v>
      </c>
      <c r="M3740" s="8"/>
      <c r="N3740" s="8"/>
      <c r="O3740" s="8" t="s">
        <v>8</v>
      </c>
      <c r="P3740" s="8" t="s">
        <v>8</v>
      </c>
    </row>
    <row r="3741">
      <c r="E3741" s="31"/>
      <c r="F3741" s="8" t="s">
        <v>8</v>
      </c>
      <c r="G3741" s="8" t="s">
        <v>8</v>
      </c>
      <c r="H3741" s="8" t="s">
        <v>8</v>
      </c>
      <c r="I3741" s="8" t="s">
        <v>8</v>
      </c>
      <c r="J3741" s="8" t="s">
        <v>8</v>
      </c>
      <c r="K3741" s="8" t="s">
        <v>8</v>
      </c>
      <c r="L3741" s="8" t="s">
        <v>8</v>
      </c>
      <c r="M3741" s="8"/>
      <c r="N3741" s="8"/>
      <c r="O3741" s="8" t="s">
        <v>8</v>
      </c>
      <c r="P3741" s="8" t="s">
        <v>8</v>
      </c>
    </row>
    <row r="3742">
      <c r="E3742" s="31"/>
      <c r="F3742" s="8" t="s">
        <v>8</v>
      </c>
      <c r="G3742" s="8" t="s">
        <v>8</v>
      </c>
      <c r="H3742" s="8" t="s">
        <v>8</v>
      </c>
      <c r="I3742" s="8" t="s">
        <v>8</v>
      </c>
      <c r="J3742" s="8" t="s">
        <v>8</v>
      </c>
      <c r="K3742" s="8" t="s">
        <v>8</v>
      </c>
      <c r="L3742" s="8" t="s">
        <v>8</v>
      </c>
      <c r="M3742" s="8"/>
      <c r="N3742" s="8"/>
      <c r="O3742" s="8" t="s">
        <v>8</v>
      </c>
      <c r="P3742" s="8" t="s">
        <v>8</v>
      </c>
    </row>
    <row r="3743">
      <c r="E3743" s="31"/>
      <c r="F3743" s="8" t="s">
        <v>8</v>
      </c>
      <c r="G3743" s="8" t="s">
        <v>8</v>
      </c>
      <c r="H3743" s="8" t="s">
        <v>8</v>
      </c>
      <c r="I3743" s="8" t="s">
        <v>8</v>
      </c>
      <c r="J3743" s="8" t="s">
        <v>8</v>
      </c>
      <c r="K3743" s="8" t="s">
        <v>8</v>
      </c>
      <c r="L3743" s="8" t="s">
        <v>8</v>
      </c>
      <c r="M3743" s="8"/>
      <c r="N3743" s="8"/>
      <c r="O3743" s="8" t="s">
        <v>8</v>
      </c>
      <c r="P3743" s="8" t="s">
        <v>8</v>
      </c>
    </row>
    <row r="3744">
      <c r="E3744" s="31"/>
      <c r="F3744" s="8" t="s">
        <v>8</v>
      </c>
      <c r="G3744" s="8" t="s">
        <v>8</v>
      </c>
      <c r="H3744" s="8" t="s">
        <v>8</v>
      </c>
      <c r="I3744" s="8" t="s">
        <v>8</v>
      </c>
      <c r="J3744" s="8" t="s">
        <v>8</v>
      </c>
      <c r="K3744" s="8" t="s">
        <v>8</v>
      </c>
      <c r="L3744" s="8" t="s">
        <v>8</v>
      </c>
      <c r="M3744" s="8"/>
      <c r="N3744" s="8"/>
      <c r="O3744" s="8" t="s">
        <v>8</v>
      </c>
      <c r="P3744" s="8" t="s">
        <v>8</v>
      </c>
    </row>
    <row r="3745">
      <c r="E3745" s="31"/>
      <c r="F3745" s="8" t="s">
        <v>8</v>
      </c>
      <c r="G3745" s="8" t="s">
        <v>8</v>
      </c>
      <c r="H3745" s="8" t="s">
        <v>8</v>
      </c>
      <c r="I3745" s="8" t="s">
        <v>8</v>
      </c>
      <c r="J3745" s="8" t="s">
        <v>8</v>
      </c>
      <c r="K3745" s="8" t="s">
        <v>8</v>
      </c>
      <c r="L3745" s="8" t="s">
        <v>8</v>
      </c>
      <c r="M3745" s="8"/>
      <c r="N3745" s="8"/>
      <c r="O3745" s="8" t="s">
        <v>8</v>
      </c>
      <c r="P3745" s="8" t="s">
        <v>8</v>
      </c>
    </row>
    <row r="3746">
      <c r="E3746" s="31"/>
      <c r="F3746" s="8" t="s">
        <v>8</v>
      </c>
      <c r="G3746" s="8" t="s">
        <v>8</v>
      </c>
      <c r="H3746" s="8" t="s">
        <v>8</v>
      </c>
      <c r="I3746" s="8" t="s">
        <v>8</v>
      </c>
      <c r="J3746" s="8" t="s">
        <v>8</v>
      </c>
      <c r="K3746" s="8" t="s">
        <v>8</v>
      </c>
      <c r="L3746" s="8" t="s">
        <v>8</v>
      </c>
      <c r="M3746" s="8"/>
      <c r="N3746" s="8"/>
      <c r="O3746" s="8" t="s">
        <v>8</v>
      </c>
      <c r="P3746" s="8" t="s">
        <v>8</v>
      </c>
    </row>
    <row r="3747">
      <c r="E3747" s="31"/>
      <c r="F3747" s="8" t="s">
        <v>8</v>
      </c>
      <c r="G3747" s="8" t="s">
        <v>8</v>
      </c>
      <c r="H3747" s="8" t="s">
        <v>8</v>
      </c>
      <c r="I3747" s="8" t="s">
        <v>8</v>
      </c>
      <c r="J3747" s="8" t="s">
        <v>8</v>
      </c>
      <c r="K3747" s="8" t="s">
        <v>8</v>
      </c>
      <c r="L3747" s="8" t="s">
        <v>8</v>
      </c>
      <c r="M3747" s="8"/>
      <c r="N3747" s="8"/>
      <c r="O3747" s="8" t="s">
        <v>8</v>
      </c>
      <c r="P3747" s="8" t="s">
        <v>8</v>
      </c>
    </row>
    <row r="3748">
      <c r="E3748" s="31"/>
      <c r="F3748" s="8" t="s">
        <v>8</v>
      </c>
      <c r="G3748" s="8" t="s">
        <v>8</v>
      </c>
      <c r="H3748" s="8" t="s">
        <v>8</v>
      </c>
      <c r="I3748" s="8" t="s">
        <v>8</v>
      </c>
      <c r="J3748" s="8" t="s">
        <v>8</v>
      </c>
      <c r="K3748" s="8" t="s">
        <v>8</v>
      </c>
      <c r="L3748" s="8" t="s">
        <v>8</v>
      </c>
      <c r="M3748" s="8"/>
      <c r="N3748" s="8"/>
      <c r="O3748" s="8" t="s">
        <v>8</v>
      </c>
      <c r="P3748" s="8" t="s">
        <v>8</v>
      </c>
    </row>
    <row r="3749">
      <c r="E3749" s="31"/>
      <c r="F3749" s="8" t="s">
        <v>8</v>
      </c>
      <c r="G3749" s="8" t="s">
        <v>8</v>
      </c>
      <c r="H3749" s="8" t="s">
        <v>8</v>
      </c>
      <c r="I3749" s="8" t="s">
        <v>8</v>
      </c>
      <c r="J3749" s="8" t="s">
        <v>8</v>
      </c>
      <c r="K3749" s="8" t="s">
        <v>8</v>
      </c>
      <c r="L3749" s="8" t="s">
        <v>8</v>
      </c>
      <c r="M3749" s="8"/>
      <c r="N3749" s="8"/>
      <c r="O3749" s="8" t="s">
        <v>8</v>
      </c>
      <c r="P3749" s="8" t="s">
        <v>8</v>
      </c>
    </row>
    <row r="3750">
      <c r="E3750" s="31"/>
      <c r="F3750" s="8" t="s">
        <v>8</v>
      </c>
      <c r="G3750" s="8" t="s">
        <v>8</v>
      </c>
      <c r="H3750" s="8" t="s">
        <v>8</v>
      </c>
      <c r="I3750" s="8" t="s">
        <v>8</v>
      </c>
      <c r="J3750" s="8" t="s">
        <v>8</v>
      </c>
      <c r="K3750" s="8" t="s">
        <v>8</v>
      </c>
      <c r="L3750" s="8" t="s">
        <v>8</v>
      </c>
      <c r="M3750" s="8"/>
      <c r="N3750" s="8"/>
      <c r="O3750" s="8" t="s">
        <v>8</v>
      </c>
      <c r="P3750" s="8" t="s">
        <v>8</v>
      </c>
    </row>
    <row r="3751">
      <c r="E3751" s="31"/>
      <c r="F3751" s="8" t="s">
        <v>8</v>
      </c>
      <c r="G3751" s="8" t="s">
        <v>8</v>
      </c>
      <c r="H3751" s="8" t="s">
        <v>8</v>
      </c>
      <c r="I3751" s="8" t="s">
        <v>8</v>
      </c>
      <c r="J3751" s="8" t="s">
        <v>8</v>
      </c>
      <c r="K3751" s="8" t="s">
        <v>8</v>
      </c>
      <c r="L3751" s="8" t="s">
        <v>8</v>
      </c>
      <c r="M3751" s="8"/>
      <c r="N3751" s="8"/>
      <c r="O3751" s="8" t="s">
        <v>8</v>
      </c>
      <c r="P3751" s="8" t="s">
        <v>8</v>
      </c>
    </row>
    <row r="3752">
      <c r="E3752" s="31"/>
      <c r="F3752" s="8" t="s">
        <v>8</v>
      </c>
      <c r="G3752" s="8" t="s">
        <v>8</v>
      </c>
      <c r="H3752" s="8" t="s">
        <v>8</v>
      </c>
      <c r="I3752" s="8" t="s">
        <v>8</v>
      </c>
      <c r="J3752" s="8" t="s">
        <v>8</v>
      </c>
      <c r="K3752" s="8" t="s">
        <v>8</v>
      </c>
      <c r="L3752" s="8" t="s">
        <v>8</v>
      </c>
      <c r="M3752" s="8"/>
      <c r="N3752" s="8"/>
      <c r="O3752" s="8" t="s">
        <v>8</v>
      </c>
      <c r="P3752" s="8" t="s">
        <v>8</v>
      </c>
    </row>
    <row r="3753">
      <c r="E3753" s="31"/>
      <c r="F3753" s="8" t="s">
        <v>8</v>
      </c>
      <c r="G3753" s="8" t="s">
        <v>8</v>
      </c>
      <c r="H3753" s="8" t="s">
        <v>8</v>
      </c>
      <c r="I3753" s="8" t="s">
        <v>8</v>
      </c>
      <c r="J3753" s="8" t="s">
        <v>8</v>
      </c>
      <c r="K3753" s="8" t="s">
        <v>8</v>
      </c>
      <c r="L3753" s="8" t="s">
        <v>8</v>
      </c>
      <c r="M3753" s="8"/>
      <c r="N3753" s="8"/>
      <c r="O3753" s="8" t="s">
        <v>8</v>
      </c>
      <c r="P3753" s="8" t="s">
        <v>8</v>
      </c>
    </row>
    <row r="3754">
      <c r="E3754" s="31"/>
      <c r="F3754" s="8" t="s">
        <v>8</v>
      </c>
      <c r="G3754" s="8" t="s">
        <v>8</v>
      </c>
      <c r="H3754" s="8" t="s">
        <v>8</v>
      </c>
      <c r="I3754" s="8" t="s">
        <v>8</v>
      </c>
      <c r="J3754" s="8" t="s">
        <v>8</v>
      </c>
      <c r="K3754" s="8" t="s">
        <v>8</v>
      </c>
      <c r="L3754" s="8" t="s">
        <v>8</v>
      </c>
      <c r="M3754" s="8"/>
      <c r="N3754" s="8"/>
      <c r="O3754" s="8" t="s">
        <v>8</v>
      </c>
      <c r="P3754" s="8" t="s">
        <v>8</v>
      </c>
    </row>
    <row r="3755">
      <c r="E3755" s="31"/>
      <c r="F3755" s="8" t="s">
        <v>8</v>
      </c>
      <c r="G3755" s="8" t="s">
        <v>8</v>
      </c>
      <c r="H3755" s="8" t="s">
        <v>8</v>
      </c>
      <c r="I3755" s="8" t="s">
        <v>8</v>
      </c>
      <c r="J3755" s="8" t="s">
        <v>8</v>
      </c>
      <c r="K3755" s="8" t="s">
        <v>8</v>
      </c>
      <c r="L3755" s="8" t="s">
        <v>8</v>
      </c>
      <c r="M3755" s="8"/>
      <c r="N3755" s="8"/>
      <c r="O3755" s="8" t="s">
        <v>8</v>
      </c>
      <c r="P3755" s="8" t="s">
        <v>8</v>
      </c>
    </row>
    <row r="3756">
      <c r="E3756" s="31"/>
      <c r="F3756" s="8" t="s">
        <v>8</v>
      </c>
      <c r="G3756" s="8" t="s">
        <v>8</v>
      </c>
      <c r="H3756" s="8" t="s">
        <v>8</v>
      </c>
      <c r="I3756" s="8" t="s">
        <v>8</v>
      </c>
      <c r="J3756" s="8" t="s">
        <v>8</v>
      </c>
      <c r="K3756" s="8" t="s">
        <v>8</v>
      </c>
      <c r="L3756" s="8" t="s">
        <v>8</v>
      </c>
      <c r="M3756" s="8"/>
      <c r="N3756" s="8"/>
      <c r="O3756" s="8" t="s">
        <v>8</v>
      </c>
      <c r="P3756" s="8" t="s">
        <v>8</v>
      </c>
    </row>
    <row r="3757">
      <c r="E3757" s="31"/>
      <c r="F3757" s="8" t="s">
        <v>8</v>
      </c>
      <c r="G3757" s="8" t="s">
        <v>8</v>
      </c>
      <c r="H3757" s="8" t="s">
        <v>8</v>
      </c>
      <c r="I3757" s="8" t="s">
        <v>8</v>
      </c>
      <c r="J3757" s="8" t="s">
        <v>8</v>
      </c>
      <c r="K3757" s="8" t="s">
        <v>8</v>
      </c>
      <c r="L3757" s="8" t="s">
        <v>8</v>
      </c>
      <c r="M3757" s="8"/>
      <c r="N3757" s="8"/>
      <c r="O3757" s="8" t="s">
        <v>8</v>
      </c>
      <c r="P3757" s="8" t="s">
        <v>8</v>
      </c>
    </row>
    <row r="3758">
      <c r="E3758" s="31"/>
      <c r="F3758" s="8" t="s">
        <v>8</v>
      </c>
      <c r="G3758" s="8" t="s">
        <v>8</v>
      </c>
      <c r="H3758" s="8" t="s">
        <v>8</v>
      </c>
      <c r="I3758" s="8" t="s">
        <v>8</v>
      </c>
      <c r="J3758" s="8" t="s">
        <v>8</v>
      </c>
      <c r="K3758" s="8" t="s">
        <v>8</v>
      </c>
      <c r="L3758" s="8" t="s">
        <v>8</v>
      </c>
      <c r="M3758" s="8"/>
      <c r="N3758" s="8"/>
      <c r="O3758" s="8" t="s">
        <v>8</v>
      </c>
      <c r="P3758" s="8" t="s">
        <v>8</v>
      </c>
    </row>
    <row r="3759">
      <c r="E3759" s="31"/>
      <c r="F3759" s="8" t="s">
        <v>8</v>
      </c>
      <c r="G3759" s="8" t="s">
        <v>8</v>
      </c>
      <c r="H3759" s="8" t="s">
        <v>8</v>
      </c>
      <c r="I3759" s="8" t="s">
        <v>8</v>
      </c>
      <c r="J3759" s="8" t="s">
        <v>8</v>
      </c>
      <c r="K3759" s="8" t="s">
        <v>8</v>
      </c>
      <c r="L3759" s="8" t="s">
        <v>8</v>
      </c>
      <c r="M3759" s="8"/>
      <c r="N3759" s="8"/>
      <c r="O3759" s="8" t="s">
        <v>8</v>
      </c>
      <c r="P3759" s="8" t="s">
        <v>8</v>
      </c>
    </row>
    <row r="3760">
      <c r="E3760" s="31"/>
      <c r="F3760" s="8" t="s">
        <v>8</v>
      </c>
      <c r="G3760" s="8" t="s">
        <v>8</v>
      </c>
      <c r="H3760" s="8" t="s">
        <v>8</v>
      </c>
      <c r="I3760" s="8" t="s">
        <v>8</v>
      </c>
      <c r="J3760" s="8" t="s">
        <v>8</v>
      </c>
      <c r="K3760" s="8" t="s">
        <v>8</v>
      </c>
      <c r="L3760" s="8" t="s">
        <v>8</v>
      </c>
      <c r="M3760" s="8"/>
      <c r="N3760" s="8"/>
      <c r="O3760" s="8" t="s">
        <v>8</v>
      </c>
      <c r="P3760" s="8" t="s">
        <v>8</v>
      </c>
    </row>
    <row r="3761">
      <c r="E3761" s="31"/>
      <c r="F3761" s="8" t="s">
        <v>8</v>
      </c>
      <c r="G3761" s="8" t="s">
        <v>8</v>
      </c>
      <c r="H3761" s="8" t="s">
        <v>8</v>
      </c>
      <c r="I3761" s="8" t="s">
        <v>8</v>
      </c>
      <c r="J3761" s="8" t="s">
        <v>8</v>
      </c>
      <c r="K3761" s="8" t="s">
        <v>8</v>
      </c>
      <c r="L3761" s="8" t="s">
        <v>8</v>
      </c>
      <c r="M3761" s="8"/>
      <c r="N3761" s="8"/>
      <c r="O3761" s="8" t="s">
        <v>8</v>
      </c>
      <c r="P3761" s="8" t="s">
        <v>8</v>
      </c>
    </row>
    <row r="3762">
      <c r="E3762" s="31"/>
      <c r="F3762" s="8" t="s">
        <v>8</v>
      </c>
      <c r="G3762" s="8" t="s">
        <v>8</v>
      </c>
      <c r="H3762" s="8" t="s">
        <v>8</v>
      </c>
      <c r="I3762" s="8" t="s">
        <v>8</v>
      </c>
      <c r="J3762" s="8" t="s">
        <v>8</v>
      </c>
      <c r="K3762" s="8" t="s">
        <v>8</v>
      </c>
      <c r="L3762" s="8" t="s">
        <v>8</v>
      </c>
      <c r="M3762" s="8"/>
      <c r="N3762" s="8"/>
      <c r="O3762" s="8" t="s">
        <v>8</v>
      </c>
      <c r="P3762" s="8" t="s">
        <v>8</v>
      </c>
    </row>
    <row r="3763">
      <c r="E3763" s="31"/>
      <c r="F3763" s="8" t="s">
        <v>8</v>
      </c>
      <c r="G3763" s="8" t="s">
        <v>8</v>
      </c>
      <c r="H3763" s="8" t="s">
        <v>8</v>
      </c>
      <c r="I3763" s="8" t="s">
        <v>8</v>
      </c>
      <c r="J3763" s="8" t="s">
        <v>8</v>
      </c>
      <c r="K3763" s="8" t="s">
        <v>8</v>
      </c>
      <c r="L3763" s="8" t="s">
        <v>8</v>
      </c>
      <c r="M3763" s="8"/>
      <c r="N3763" s="8"/>
      <c r="O3763" s="8" t="s">
        <v>8</v>
      </c>
      <c r="P3763" s="8" t="s">
        <v>8</v>
      </c>
    </row>
    <row r="3764">
      <c r="E3764" s="31"/>
      <c r="F3764" s="8" t="s">
        <v>8</v>
      </c>
      <c r="G3764" s="8" t="s">
        <v>8</v>
      </c>
      <c r="H3764" s="8" t="s">
        <v>8</v>
      </c>
      <c r="I3764" s="8" t="s">
        <v>8</v>
      </c>
      <c r="J3764" s="8" t="s">
        <v>8</v>
      </c>
      <c r="K3764" s="8" t="s">
        <v>8</v>
      </c>
      <c r="L3764" s="8" t="s">
        <v>8</v>
      </c>
      <c r="M3764" s="8"/>
      <c r="N3764" s="8"/>
      <c r="O3764" s="8" t="s">
        <v>8</v>
      </c>
      <c r="P3764" s="8" t="s">
        <v>8</v>
      </c>
    </row>
    <row r="3765">
      <c r="E3765" s="31"/>
      <c r="F3765" s="8" t="s">
        <v>8</v>
      </c>
      <c r="G3765" s="8" t="s">
        <v>8</v>
      </c>
      <c r="H3765" s="8" t="s">
        <v>8</v>
      </c>
      <c r="I3765" s="8" t="s">
        <v>8</v>
      </c>
      <c r="J3765" s="8" t="s">
        <v>8</v>
      </c>
      <c r="K3765" s="8" t="s">
        <v>8</v>
      </c>
      <c r="L3765" s="8" t="s">
        <v>8</v>
      </c>
      <c r="M3765" s="8"/>
      <c r="N3765" s="8"/>
      <c r="O3765" s="8" t="s">
        <v>8</v>
      </c>
      <c r="P3765" s="8" t="s">
        <v>8</v>
      </c>
    </row>
    <row r="3766">
      <c r="E3766" s="31"/>
      <c r="F3766" s="8" t="s">
        <v>8</v>
      </c>
      <c r="G3766" s="8" t="s">
        <v>8</v>
      </c>
      <c r="H3766" s="8" t="s">
        <v>8</v>
      </c>
      <c r="I3766" s="8" t="s">
        <v>8</v>
      </c>
      <c r="J3766" s="8" t="s">
        <v>8</v>
      </c>
      <c r="K3766" s="8" t="s">
        <v>8</v>
      </c>
      <c r="L3766" s="8" t="s">
        <v>8</v>
      </c>
      <c r="M3766" s="8"/>
      <c r="N3766" s="8"/>
      <c r="O3766" s="8" t="s">
        <v>8</v>
      </c>
      <c r="P3766" s="8" t="s">
        <v>8</v>
      </c>
    </row>
    <row r="3767">
      <c r="E3767" s="31"/>
      <c r="F3767" s="8" t="s">
        <v>8</v>
      </c>
      <c r="G3767" s="8" t="s">
        <v>8</v>
      </c>
      <c r="H3767" s="8" t="s">
        <v>8</v>
      </c>
      <c r="I3767" s="8" t="s">
        <v>8</v>
      </c>
      <c r="J3767" s="8" t="s">
        <v>8</v>
      </c>
      <c r="K3767" s="8" t="s">
        <v>8</v>
      </c>
      <c r="L3767" s="8" t="s">
        <v>8</v>
      </c>
      <c r="M3767" s="8"/>
      <c r="N3767" s="8"/>
      <c r="O3767" s="8" t="s">
        <v>8</v>
      </c>
      <c r="P3767" s="8" t="s">
        <v>8</v>
      </c>
    </row>
    <row r="3768">
      <c r="E3768" s="31"/>
      <c r="F3768" s="8" t="s">
        <v>8</v>
      </c>
      <c r="G3768" s="8" t="s">
        <v>8</v>
      </c>
      <c r="H3768" s="8" t="s">
        <v>8</v>
      </c>
      <c r="I3768" s="8" t="s">
        <v>8</v>
      </c>
      <c r="J3768" s="8" t="s">
        <v>8</v>
      </c>
      <c r="K3768" s="8" t="s">
        <v>8</v>
      </c>
      <c r="L3768" s="8" t="s">
        <v>8</v>
      </c>
      <c r="M3768" s="8"/>
      <c r="N3768" s="8"/>
      <c r="O3768" s="8" t="s">
        <v>8</v>
      </c>
      <c r="P3768" s="8" t="s">
        <v>8</v>
      </c>
    </row>
    <row r="3769">
      <c r="E3769" s="31"/>
      <c r="F3769" s="8" t="s">
        <v>8</v>
      </c>
      <c r="G3769" s="8" t="s">
        <v>8</v>
      </c>
      <c r="H3769" s="8" t="s">
        <v>8</v>
      </c>
      <c r="I3769" s="8" t="s">
        <v>8</v>
      </c>
      <c r="J3769" s="8" t="s">
        <v>8</v>
      </c>
      <c r="K3769" s="8" t="s">
        <v>8</v>
      </c>
      <c r="L3769" s="8" t="s">
        <v>8</v>
      </c>
      <c r="M3769" s="8"/>
      <c r="N3769" s="8"/>
      <c r="O3769" s="8" t="s">
        <v>8</v>
      </c>
      <c r="P3769" s="8" t="s">
        <v>8</v>
      </c>
    </row>
    <row r="3770">
      <c r="E3770" s="31"/>
      <c r="F3770" s="8" t="s">
        <v>8</v>
      </c>
      <c r="G3770" s="8" t="s">
        <v>8</v>
      </c>
      <c r="H3770" s="8" t="s">
        <v>8</v>
      </c>
      <c r="I3770" s="8" t="s">
        <v>8</v>
      </c>
      <c r="J3770" s="8" t="s">
        <v>8</v>
      </c>
      <c r="K3770" s="8" t="s">
        <v>8</v>
      </c>
      <c r="L3770" s="8" t="s">
        <v>8</v>
      </c>
      <c r="M3770" s="8"/>
      <c r="N3770" s="8"/>
      <c r="O3770" s="8" t="s">
        <v>8</v>
      </c>
      <c r="P3770" s="8" t="s">
        <v>8</v>
      </c>
    </row>
    <row r="3771">
      <c r="E3771" s="31"/>
      <c r="F3771" s="8" t="s">
        <v>8</v>
      </c>
      <c r="G3771" s="8" t="s">
        <v>8</v>
      </c>
      <c r="H3771" s="8" t="s">
        <v>8</v>
      </c>
      <c r="I3771" s="8" t="s">
        <v>8</v>
      </c>
      <c r="J3771" s="8" t="s">
        <v>8</v>
      </c>
      <c r="K3771" s="8" t="s">
        <v>8</v>
      </c>
      <c r="L3771" s="8" t="s">
        <v>8</v>
      </c>
      <c r="M3771" s="8"/>
      <c r="N3771" s="8"/>
      <c r="O3771" s="8" t="s">
        <v>8</v>
      </c>
      <c r="P3771" s="8" t="s">
        <v>8</v>
      </c>
    </row>
    <row r="3772">
      <c r="E3772" s="31"/>
      <c r="F3772" s="8" t="s">
        <v>8</v>
      </c>
      <c r="G3772" s="8" t="s">
        <v>8</v>
      </c>
      <c r="H3772" s="8" t="s">
        <v>8</v>
      </c>
      <c r="I3772" s="8" t="s">
        <v>8</v>
      </c>
      <c r="J3772" s="8" t="s">
        <v>8</v>
      </c>
      <c r="K3772" s="8" t="s">
        <v>8</v>
      </c>
      <c r="L3772" s="8" t="s">
        <v>8</v>
      </c>
      <c r="M3772" s="8"/>
      <c r="N3772" s="8"/>
      <c r="O3772" s="8" t="s">
        <v>8</v>
      </c>
      <c r="P3772" s="8" t="s">
        <v>8</v>
      </c>
    </row>
    <row r="3773">
      <c r="E3773" s="31"/>
      <c r="F3773" s="8" t="s">
        <v>8</v>
      </c>
      <c r="G3773" s="8" t="s">
        <v>8</v>
      </c>
      <c r="H3773" s="8" t="s">
        <v>8</v>
      </c>
      <c r="I3773" s="8" t="s">
        <v>8</v>
      </c>
      <c r="J3773" s="8" t="s">
        <v>8</v>
      </c>
      <c r="K3773" s="8" t="s">
        <v>8</v>
      </c>
      <c r="L3773" s="8" t="s">
        <v>8</v>
      </c>
      <c r="M3773" s="8"/>
      <c r="N3773" s="8"/>
      <c r="O3773" s="8" t="s">
        <v>8</v>
      </c>
      <c r="P3773" s="8" t="s">
        <v>8</v>
      </c>
    </row>
    <row r="3774">
      <c r="E3774" s="31"/>
      <c r="F3774" s="8" t="s">
        <v>8</v>
      </c>
      <c r="G3774" s="8" t="s">
        <v>8</v>
      </c>
      <c r="H3774" s="8" t="s">
        <v>8</v>
      </c>
      <c r="I3774" s="8" t="s">
        <v>8</v>
      </c>
      <c r="J3774" s="8" t="s">
        <v>8</v>
      </c>
      <c r="K3774" s="8" t="s">
        <v>8</v>
      </c>
      <c r="L3774" s="8" t="s">
        <v>8</v>
      </c>
      <c r="M3774" s="8"/>
      <c r="N3774" s="8"/>
      <c r="O3774" s="8" t="s">
        <v>8</v>
      </c>
      <c r="P3774" s="8" t="s">
        <v>8</v>
      </c>
    </row>
    <row r="3775">
      <c r="E3775" s="31"/>
      <c r="F3775" s="8" t="s">
        <v>8</v>
      </c>
      <c r="G3775" s="8" t="s">
        <v>8</v>
      </c>
      <c r="H3775" s="8" t="s">
        <v>8</v>
      </c>
      <c r="I3775" s="8" t="s">
        <v>8</v>
      </c>
      <c r="J3775" s="8" t="s">
        <v>8</v>
      </c>
      <c r="K3775" s="8" t="s">
        <v>8</v>
      </c>
      <c r="L3775" s="8" t="s">
        <v>8</v>
      </c>
      <c r="M3775" s="8"/>
      <c r="N3775" s="8"/>
      <c r="O3775" s="8" t="s">
        <v>8</v>
      </c>
      <c r="P3775" s="8" t="s">
        <v>8</v>
      </c>
    </row>
    <row r="3776">
      <c r="E3776" s="31"/>
      <c r="F3776" s="8" t="s">
        <v>8</v>
      </c>
      <c r="G3776" s="8" t="s">
        <v>8</v>
      </c>
      <c r="H3776" s="8" t="s">
        <v>8</v>
      </c>
      <c r="I3776" s="8" t="s">
        <v>8</v>
      </c>
      <c r="J3776" s="8" t="s">
        <v>8</v>
      </c>
      <c r="K3776" s="8" t="s">
        <v>8</v>
      </c>
      <c r="L3776" s="8" t="s">
        <v>8</v>
      </c>
      <c r="M3776" s="8"/>
      <c r="N3776" s="8"/>
      <c r="O3776" s="8" t="s">
        <v>8</v>
      </c>
      <c r="P3776" s="8" t="s">
        <v>8</v>
      </c>
    </row>
    <row r="3777">
      <c r="E3777" s="31"/>
      <c r="F3777" s="8" t="s">
        <v>8</v>
      </c>
      <c r="G3777" s="8" t="s">
        <v>8</v>
      </c>
      <c r="H3777" s="8" t="s">
        <v>8</v>
      </c>
      <c r="I3777" s="8" t="s">
        <v>8</v>
      </c>
      <c r="J3777" s="8" t="s">
        <v>8</v>
      </c>
      <c r="K3777" s="8" t="s">
        <v>8</v>
      </c>
      <c r="L3777" s="8" t="s">
        <v>8</v>
      </c>
      <c r="M3777" s="8"/>
      <c r="N3777" s="8"/>
      <c r="O3777" s="8" t="s">
        <v>8</v>
      </c>
      <c r="P3777" s="8" t="s">
        <v>8</v>
      </c>
    </row>
    <row r="3778">
      <c r="E3778" s="31"/>
      <c r="F3778" s="8" t="s">
        <v>8</v>
      </c>
      <c r="G3778" s="8" t="s">
        <v>8</v>
      </c>
      <c r="H3778" s="8" t="s">
        <v>8</v>
      </c>
      <c r="I3778" s="8" t="s">
        <v>8</v>
      </c>
      <c r="J3778" s="8" t="s">
        <v>8</v>
      </c>
      <c r="K3778" s="8" t="s">
        <v>8</v>
      </c>
      <c r="L3778" s="8" t="s">
        <v>8</v>
      </c>
      <c r="M3778" s="8"/>
      <c r="N3778" s="8"/>
      <c r="O3778" s="8" t="s">
        <v>8</v>
      </c>
      <c r="P3778" s="8" t="s">
        <v>8</v>
      </c>
    </row>
    <row r="3779">
      <c r="E3779" s="31"/>
      <c r="F3779" s="8" t="s">
        <v>8</v>
      </c>
      <c r="G3779" s="8" t="s">
        <v>8</v>
      </c>
      <c r="H3779" s="8" t="s">
        <v>8</v>
      </c>
      <c r="I3779" s="8" t="s">
        <v>8</v>
      </c>
      <c r="J3779" s="8" t="s">
        <v>8</v>
      </c>
      <c r="K3779" s="8" t="s">
        <v>8</v>
      </c>
      <c r="L3779" s="8" t="s">
        <v>8</v>
      </c>
      <c r="M3779" s="8"/>
      <c r="N3779" s="8"/>
      <c r="O3779" s="8" t="s">
        <v>8</v>
      </c>
      <c r="P3779" s="8" t="s">
        <v>8</v>
      </c>
    </row>
    <row r="3780">
      <c r="E3780" s="31"/>
      <c r="F3780" s="8" t="s">
        <v>8</v>
      </c>
      <c r="G3780" s="8" t="s">
        <v>8</v>
      </c>
      <c r="H3780" s="8" t="s">
        <v>8</v>
      </c>
      <c r="I3780" s="8" t="s">
        <v>8</v>
      </c>
      <c r="J3780" s="8" t="s">
        <v>8</v>
      </c>
      <c r="K3780" s="8" t="s">
        <v>8</v>
      </c>
      <c r="L3780" s="8" t="s">
        <v>8</v>
      </c>
      <c r="M3780" s="8"/>
      <c r="N3780" s="8"/>
      <c r="O3780" s="8" t="s">
        <v>8</v>
      </c>
      <c r="P3780" s="8" t="s">
        <v>8</v>
      </c>
    </row>
    <row r="3781">
      <c r="E3781" s="31"/>
      <c r="F3781" s="8" t="s">
        <v>8</v>
      </c>
      <c r="G3781" s="8" t="s">
        <v>8</v>
      </c>
      <c r="H3781" s="8" t="s">
        <v>8</v>
      </c>
      <c r="I3781" s="8" t="s">
        <v>8</v>
      </c>
      <c r="J3781" s="8" t="s">
        <v>8</v>
      </c>
      <c r="K3781" s="8" t="s">
        <v>8</v>
      </c>
      <c r="L3781" s="8" t="s">
        <v>8</v>
      </c>
      <c r="M3781" s="8"/>
      <c r="N3781" s="8"/>
      <c r="O3781" s="8" t="s">
        <v>8</v>
      </c>
      <c r="P3781" s="8" t="s">
        <v>8</v>
      </c>
    </row>
    <row r="3782">
      <c r="E3782" s="31"/>
      <c r="F3782" s="8" t="s">
        <v>8</v>
      </c>
      <c r="G3782" s="8" t="s">
        <v>8</v>
      </c>
      <c r="H3782" s="8" t="s">
        <v>8</v>
      </c>
      <c r="I3782" s="8" t="s">
        <v>8</v>
      </c>
      <c r="J3782" s="8" t="s">
        <v>8</v>
      </c>
      <c r="K3782" s="8" t="s">
        <v>8</v>
      </c>
      <c r="L3782" s="8" t="s">
        <v>8</v>
      </c>
      <c r="M3782" s="8"/>
      <c r="N3782" s="8"/>
      <c r="O3782" s="8" t="s">
        <v>8</v>
      </c>
      <c r="P3782" s="8" t="s">
        <v>8</v>
      </c>
    </row>
    <row r="3783">
      <c r="E3783" s="31"/>
      <c r="F3783" s="8" t="s">
        <v>8</v>
      </c>
      <c r="G3783" s="8" t="s">
        <v>8</v>
      </c>
      <c r="H3783" s="8" t="s">
        <v>8</v>
      </c>
      <c r="I3783" s="8" t="s">
        <v>8</v>
      </c>
      <c r="J3783" s="8" t="s">
        <v>8</v>
      </c>
      <c r="K3783" s="8" t="s">
        <v>8</v>
      </c>
      <c r="L3783" s="8" t="s">
        <v>8</v>
      </c>
      <c r="M3783" s="8"/>
      <c r="N3783" s="8"/>
      <c r="O3783" s="8" t="s">
        <v>8</v>
      </c>
      <c r="P3783" s="8" t="s">
        <v>8</v>
      </c>
    </row>
    <row r="3784">
      <c r="E3784" s="31"/>
      <c r="F3784" s="8" t="s">
        <v>8</v>
      </c>
      <c r="G3784" s="8" t="s">
        <v>8</v>
      </c>
      <c r="H3784" s="8" t="s">
        <v>8</v>
      </c>
      <c r="I3784" s="8" t="s">
        <v>8</v>
      </c>
      <c r="J3784" s="8" t="s">
        <v>8</v>
      </c>
      <c r="K3784" s="8" t="s">
        <v>8</v>
      </c>
      <c r="L3784" s="8" t="s">
        <v>8</v>
      </c>
      <c r="M3784" s="8"/>
      <c r="N3784" s="8"/>
      <c r="O3784" s="8" t="s">
        <v>8</v>
      </c>
      <c r="P3784" s="8" t="s">
        <v>8</v>
      </c>
    </row>
    <row r="3785">
      <c r="E3785" s="31"/>
      <c r="F3785" s="8" t="s">
        <v>8</v>
      </c>
      <c r="G3785" s="8" t="s">
        <v>8</v>
      </c>
      <c r="H3785" s="8" t="s">
        <v>8</v>
      </c>
      <c r="I3785" s="8" t="s">
        <v>8</v>
      </c>
      <c r="J3785" s="8" t="s">
        <v>8</v>
      </c>
      <c r="K3785" s="8" t="s">
        <v>8</v>
      </c>
      <c r="L3785" s="8" t="s">
        <v>8</v>
      </c>
      <c r="M3785" s="8"/>
      <c r="N3785" s="8"/>
      <c r="O3785" s="8" t="s">
        <v>8</v>
      </c>
      <c r="P3785" s="8" t="s">
        <v>8</v>
      </c>
    </row>
    <row r="3786">
      <c r="E3786" s="31"/>
      <c r="F3786" s="8" t="s">
        <v>8</v>
      </c>
      <c r="G3786" s="8" t="s">
        <v>8</v>
      </c>
      <c r="H3786" s="8" t="s">
        <v>8</v>
      </c>
      <c r="I3786" s="8" t="s">
        <v>8</v>
      </c>
      <c r="J3786" s="8" t="s">
        <v>8</v>
      </c>
      <c r="K3786" s="8" t="s">
        <v>8</v>
      </c>
      <c r="L3786" s="8" t="s">
        <v>8</v>
      </c>
      <c r="M3786" s="8"/>
      <c r="N3786" s="8"/>
      <c r="O3786" s="8" t="s">
        <v>8</v>
      </c>
      <c r="P3786" s="8" t="s">
        <v>8</v>
      </c>
    </row>
    <row r="3787">
      <c r="E3787" s="31"/>
      <c r="F3787" s="8" t="s">
        <v>8</v>
      </c>
      <c r="G3787" s="8" t="s">
        <v>8</v>
      </c>
      <c r="H3787" s="8" t="s">
        <v>8</v>
      </c>
      <c r="I3787" s="8" t="s">
        <v>8</v>
      </c>
      <c r="J3787" s="8" t="s">
        <v>8</v>
      </c>
      <c r="K3787" s="8" t="s">
        <v>8</v>
      </c>
      <c r="L3787" s="8" t="s">
        <v>8</v>
      </c>
      <c r="M3787" s="8"/>
      <c r="N3787" s="8"/>
      <c r="O3787" s="8" t="s">
        <v>8</v>
      </c>
      <c r="P3787" s="8" t="s">
        <v>8</v>
      </c>
    </row>
    <row r="3788">
      <c r="E3788" s="31"/>
      <c r="F3788" s="8" t="s">
        <v>8</v>
      </c>
      <c r="G3788" s="8" t="s">
        <v>8</v>
      </c>
      <c r="H3788" s="8" t="s">
        <v>8</v>
      </c>
      <c r="I3788" s="8" t="s">
        <v>8</v>
      </c>
      <c r="J3788" s="8" t="s">
        <v>8</v>
      </c>
      <c r="K3788" s="8" t="s">
        <v>8</v>
      </c>
      <c r="L3788" s="8" t="s">
        <v>8</v>
      </c>
      <c r="M3788" s="8"/>
      <c r="N3788" s="8"/>
      <c r="O3788" s="8" t="s">
        <v>8</v>
      </c>
      <c r="P3788" s="8" t="s">
        <v>8</v>
      </c>
    </row>
    <row r="3789">
      <c r="E3789" s="31"/>
      <c r="F3789" s="8" t="s">
        <v>8</v>
      </c>
      <c r="G3789" s="8" t="s">
        <v>8</v>
      </c>
      <c r="H3789" s="8" t="s">
        <v>8</v>
      </c>
      <c r="I3789" s="8" t="s">
        <v>8</v>
      </c>
      <c r="J3789" s="8" t="s">
        <v>8</v>
      </c>
      <c r="K3789" s="8" t="s">
        <v>8</v>
      </c>
      <c r="L3789" s="8" t="s">
        <v>8</v>
      </c>
      <c r="M3789" s="8"/>
      <c r="N3789" s="8"/>
      <c r="O3789" s="8" t="s">
        <v>8</v>
      </c>
      <c r="P3789" s="8" t="s">
        <v>8</v>
      </c>
    </row>
    <row r="3790">
      <c r="E3790" s="31"/>
      <c r="F3790" s="8" t="s">
        <v>8</v>
      </c>
      <c r="G3790" s="8" t="s">
        <v>8</v>
      </c>
      <c r="H3790" s="8" t="s">
        <v>8</v>
      </c>
      <c r="I3790" s="8" t="s">
        <v>8</v>
      </c>
      <c r="J3790" s="8" t="s">
        <v>8</v>
      </c>
      <c r="K3790" s="8" t="s">
        <v>8</v>
      </c>
      <c r="L3790" s="8" t="s">
        <v>8</v>
      </c>
      <c r="M3790" s="8"/>
      <c r="N3790" s="8"/>
      <c r="O3790" s="8" t="s">
        <v>8</v>
      </c>
      <c r="P3790" s="8" t="s">
        <v>8</v>
      </c>
    </row>
    <row r="3791">
      <c r="E3791" s="31"/>
      <c r="F3791" s="8" t="s">
        <v>8</v>
      </c>
      <c r="G3791" s="8" t="s">
        <v>8</v>
      </c>
      <c r="H3791" s="8" t="s">
        <v>8</v>
      </c>
      <c r="I3791" s="8" t="s">
        <v>8</v>
      </c>
      <c r="J3791" s="8" t="s">
        <v>8</v>
      </c>
      <c r="K3791" s="8" t="s">
        <v>8</v>
      </c>
      <c r="L3791" s="8" t="s">
        <v>8</v>
      </c>
      <c r="M3791" s="8"/>
      <c r="N3791" s="8"/>
      <c r="O3791" s="8" t="s">
        <v>8</v>
      </c>
      <c r="P3791" s="8" t="s">
        <v>8</v>
      </c>
    </row>
    <row r="3792">
      <c r="E3792" s="31"/>
      <c r="F3792" s="8" t="s">
        <v>8</v>
      </c>
      <c r="G3792" s="8" t="s">
        <v>8</v>
      </c>
      <c r="H3792" s="8" t="s">
        <v>8</v>
      </c>
      <c r="I3792" s="8" t="s">
        <v>8</v>
      </c>
      <c r="J3792" s="8" t="s">
        <v>8</v>
      </c>
      <c r="K3792" s="8" t="s">
        <v>8</v>
      </c>
      <c r="L3792" s="8" t="s">
        <v>8</v>
      </c>
      <c r="M3792" s="8"/>
      <c r="N3792" s="8"/>
      <c r="O3792" s="8" t="s">
        <v>8</v>
      </c>
      <c r="P3792" s="8" t="s">
        <v>8</v>
      </c>
    </row>
    <row r="3793">
      <c r="E3793" s="31"/>
      <c r="F3793" s="8" t="s">
        <v>8</v>
      </c>
      <c r="G3793" s="8" t="s">
        <v>8</v>
      </c>
      <c r="H3793" s="8" t="s">
        <v>8</v>
      </c>
      <c r="I3793" s="8" t="s">
        <v>8</v>
      </c>
      <c r="J3793" s="8" t="s">
        <v>8</v>
      </c>
      <c r="K3793" s="8" t="s">
        <v>8</v>
      </c>
      <c r="L3793" s="8" t="s">
        <v>8</v>
      </c>
      <c r="M3793" s="8"/>
      <c r="N3793" s="8"/>
      <c r="O3793" s="8" t="s">
        <v>8</v>
      </c>
      <c r="P3793" s="8" t="s">
        <v>8</v>
      </c>
    </row>
    <row r="3794">
      <c r="E3794" s="31"/>
      <c r="F3794" s="8" t="s">
        <v>8</v>
      </c>
      <c r="G3794" s="8" t="s">
        <v>8</v>
      </c>
      <c r="H3794" s="8" t="s">
        <v>8</v>
      </c>
      <c r="I3794" s="8" t="s">
        <v>8</v>
      </c>
      <c r="J3794" s="8" t="s">
        <v>8</v>
      </c>
      <c r="K3794" s="8" t="s">
        <v>8</v>
      </c>
      <c r="L3794" s="8" t="s">
        <v>8</v>
      </c>
      <c r="M3794" s="8"/>
      <c r="N3794" s="8"/>
      <c r="O3794" s="8" t="s">
        <v>8</v>
      </c>
      <c r="P3794" s="8" t="s">
        <v>8</v>
      </c>
    </row>
    <row r="3795">
      <c r="E3795" s="31"/>
      <c r="F3795" s="8" t="s">
        <v>8</v>
      </c>
      <c r="G3795" s="8" t="s">
        <v>8</v>
      </c>
      <c r="H3795" s="8" t="s">
        <v>8</v>
      </c>
      <c r="I3795" s="8" t="s">
        <v>8</v>
      </c>
      <c r="J3795" s="8" t="s">
        <v>8</v>
      </c>
      <c r="K3795" s="8" t="s">
        <v>8</v>
      </c>
      <c r="L3795" s="8" t="s">
        <v>8</v>
      </c>
      <c r="M3795" s="8"/>
      <c r="N3795" s="8"/>
      <c r="O3795" s="8" t="s">
        <v>8</v>
      </c>
      <c r="P3795" s="8" t="s">
        <v>8</v>
      </c>
    </row>
    <row r="3796">
      <c r="E3796" s="31"/>
      <c r="F3796" s="8" t="s">
        <v>8</v>
      </c>
      <c r="G3796" s="8" t="s">
        <v>8</v>
      </c>
      <c r="H3796" s="8" t="s">
        <v>8</v>
      </c>
      <c r="I3796" s="8" t="s">
        <v>8</v>
      </c>
      <c r="J3796" s="8" t="s">
        <v>8</v>
      </c>
      <c r="K3796" s="8" t="s">
        <v>8</v>
      </c>
      <c r="L3796" s="8" t="s">
        <v>8</v>
      </c>
      <c r="M3796" s="8"/>
      <c r="N3796" s="8"/>
      <c r="O3796" s="8" t="s">
        <v>8</v>
      </c>
      <c r="P3796" s="8" t="s">
        <v>8</v>
      </c>
    </row>
    <row r="3797">
      <c r="E3797" s="31"/>
      <c r="F3797" s="8" t="s">
        <v>8</v>
      </c>
      <c r="G3797" s="8" t="s">
        <v>8</v>
      </c>
      <c r="H3797" s="8" t="s">
        <v>8</v>
      </c>
      <c r="I3797" s="8" t="s">
        <v>8</v>
      </c>
      <c r="J3797" s="8" t="s">
        <v>8</v>
      </c>
      <c r="K3797" s="8" t="s">
        <v>8</v>
      </c>
      <c r="L3797" s="8" t="s">
        <v>8</v>
      </c>
      <c r="M3797" s="8"/>
      <c r="N3797" s="8"/>
      <c r="O3797" s="8" t="s">
        <v>8</v>
      </c>
      <c r="P3797" s="8" t="s">
        <v>8</v>
      </c>
    </row>
    <row r="3798">
      <c r="E3798" s="31"/>
      <c r="F3798" s="8" t="s">
        <v>8</v>
      </c>
      <c r="G3798" s="8" t="s">
        <v>8</v>
      </c>
      <c r="H3798" s="8" t="s">
        <v>8</v>
      </c>
      <c r="I3798" s="8" t="s">
        <v>8</v>
      </c>
      <c r="J3798" s="8" t="s">
        <v>8</v>
      </c>
      <c r="K3798" s="8" t="s">
        <v>8</v>
      </c>
      <c r="L3798" s="8" t="s">
        <v>8</v>
      </c>
      <c r="M3798" s="8"/>
      <c r="N3798" s="8"/>
      <c r="O3798" s="8" t="s">
        <v>8</v>
      </c>
      <c r="P3798" s="8" t="s">
        <v>8</v>
      </c>
    </row>
    <row r="3799">
      <c r="E3799" s="31"/>
      <c r="F3799" s="8" t="s">
        <v>8</v>
      </c>
      <c r="G3799" s="8" t="s">
        <v>8</v>
      </c>
      <c r="H3799" s="8" t="s">
        <v>8</v>
      </c>
      <c r="I3799" s="8" t="s">
        <v>8</v>
      </c>
      <c r="J3799" s="8" t="s">
        <v>8</v>
      </c>
      <c r="K3799" s="8" t="s">
        <v>8</v>
      </c>
      <c r="L3799" s="8" t="s">
        <v>8</v>
      </c>
      <c r="M3799" s="8"/>
      <c r="N3799" s="8"/>
      <c r="O3799" s="8" t="s">
        <v>8</v>
      </c>
      <c r="P3799" s="8" t="s">
        <v>8</v>
      </c>
    </row>
    <row r="3800">
      <c r="E3800" s="31"/>
      <c r="F3800" s="8" t="s">
        <v>8</v>
      </c>
      <c r="G3800" s="8" t="s">
        <v>8</v>
      </c>
      <c r="H3800" s="8" t="s">
        <v>8</v>
      </c>
      <c r="I3800" s="8" t="s">
        <v>8</v>
      </c>
      <c r="J3800" s="8" t="s">
        <v>8</v>
      </c>
      <c r="K3800" s="8" t="s">
        <v>8</v>
      </c>
      <c r="L3800" s="8" t="s">
        <v>8</v>
      </c>
      <c r="M3800" s="8"/>
      <c r="N3800" s="8"/>
      <c r="O3800" s="8" t="s">
        <v>8</v>
      </c>
      <c r="P3800" s="8" t="s">
        <v>8</v>
      </c>
    </row>
    <row r="3801">
      <c r="E3801" s="31"/>
      <c r="F3801" s="8" t="s">
        <v>8</v>
      </c>
      <c r="G3801" s="8" t="s">
        <v>8</v>
      </c>
      <c r="H3801" s="8" t="s">
        <v>8</v>
      </c>
      <c r="I3801" s="8" t="s">
        <v>8</v>
      </c>
      <c r="J3801" s="8" t="s">
        <v>8</v>
      </c>
      <c r="K3801" s="8" t="s">
        <v>8</v>
      </c>
      <c r="L3801" s="8" t="s">
        <v>8</v>
      </c>
      <c r="M3801" s="8"/>
      <c r="N3801" s="8"/>
      <c r="O3801" s="8" t="s">
        <v>8</v>
      </c>
      <c r="P3801" s="8" t="s">
        <v>8</v>
      </c>
    </row>
    <row r="3802">
      <c r="E3802" s="31"/>
      <c r="F3802" s="8" t="s">
        <v>8</v>
      </c>
      <c r="G3802" s="8" t="s">
        <v>8</v>
      </c>
      <c r="H3802" s="8" t="s">
        <v>8</v>
      </c>
      <c r="I3802" s="8" t="s">
        <v>8</v>
      </c>
      <c r="J3802" s="8" t="s">
        <v>8</v>
      </c>
      <c r="K3802" s="8" t="s">
        <v>8</v>
      </c>
      <c r="L3802" s="8" t="s">
        <v>8</v>
      </c>
      <c r="M3802" s="8"/>
      <c r="N3802" s="8"/>
      <c r="O3802" s="8" t="s">
        <v>8</v>
      </c>
      <c r="P3802" s="8" t="s">
        <v>8</v>
      </c>
    </row>
    <row r="3803">
      <c r="E3803" s="31"/>
      <c r="F3803" s="8" t="s">
        <v>8</v>
      </c>
      <c r="G3803" s="8" t="s">
        <v>8</v>
      </c>
      <c r="H3803" s="8" t="s">
        <v>8</v>
      </c>
      <c r="I3803" s="8" t="s">
        <v>8</v>
      </c>
      <c r="J3803" s="8" t="s">
        <v>8</v>
      </c>
      <c r="K3803" s="8" t="s">
        <v>8</v>
      </c>
      <c r="L3803" s="8" t="s">
        <v>8</v>
      </c>
      <c r="M3803" s="8"/>
      <c r="N3803" s="8"/>
      <c r="O3803" s="8" t="s">
        <v>8</v>
      </c>
      <c r="P3803" s="8" t="s">
        <v>8</v>
      </c>
    </row>
    <row r="3804">
      <c r="E3804" s="31"/>
      <c r="F3804" s="8" t="s">
        <v>8</v>
      </c>
      <c r="G3804" s="8" t="s">
        <v>8</v>
      </c>
      <c r="H3804" s="8" t="s">
        <v>8</v>
      </c>
      <c r="I3804" s="8" t="s">
        <v>8</v>
      </c>
      <c r="J3804" s="8" t="s">
        <v>8</v>
      </c>
      <c r="K3804" s="8" t="s">
        <v>8</v>
      </c>
      <c r="L3804" s="8" t="s">
        <v>8</v>
      </c>
      <c r="M3804" s="8"/>
      <c r="N3804" s="8"/>
      <c r="O3804" s="8" t="s">
        <v>8</v>
      </c>
      <c r="P3804" s="8" t="s">
        <v>8</v>
      </c>
    </row>
    <row r="3805">
      <c r="E3805" s="31"/>
      <c r="F3805" s="8" t="s">
        <v>8</v>
      </c>
      <c r="G3805" s="8" t="s">
        <v>8</v>
      </c>
      <c r="H3805" s="8" t="s">
        <v>8</v>
      </c>
      <c r="I3805" s="8" t="s">
        <v>8</v>
      </c>
      <c r="J3805" s="8" t="s">
        <v>8</v>
      </c>
      <c r="K3805" s="8" t="s">
        <v>8</v>
      </c>
      <c r="L3805" s="8" t="s">
        <v>8</v>
      </c>
      <c r="M3805" s="8"/>
      <c r="N3805" s="8"/>
      <c r="O3805" s="8" t="s">
        <v>8</v>
      </c>
      <c r="P3805" s="8" t="s">
        <v>8</v>
      </c>
    </row>
    <row r="3806">
      <c r="E3806" s="31"/>
      <c r="F3806" s="8" t="s">
        <v>8</v>
      </c>
      <c r="G3806" s="8" t="s">
        <v>8</v>
      </c>
      <c r="H3806" s="8" t="s">
        <v>8</v>
      </c>
      <c r="I3806" s="8" t="s">
        <v>8</v>
      </c>
      <c r="J3806" s="8" t="s">
        <v>8</v>
      </c>
      <c r="K3806" s="8" t="s">
        <v>8</v>
      </c>
      <c r="L3806" s="8" t="s">
        <v>8</v>
      </c>
      <c r="M3806" s="8"/>
      <c r="N3806" s="8"/>
      <c r="O3806" s="8" t="s">
        <v>8</v>
      </c>
      <c r="P3806" s="8" t="s">
        <v>8</v>
      </c>
    </row>
    <row r="3807">
      <c r="E3807" s="31"/>
      <c r="F3807" s="8" t="s">
        <v>8</v>
      </c>
      <c r="G3807" s="8" t="s">
        <v>8</v>
      </c>
      <c r="H3807" s="8" t="s">
        <v>8</v>
      </c>
      <c r="I3807" s="8" t="s">
        <v>8</v>
      </c>
      <c r="J3807" s="8" t="s">
        <v>8</v>
      </c>
      <c r="K3807" s="8" t="s">
        <v>8</v>
      </c>
      <c r="L3807" s="8" t="s">
        <v>8</v>
      </c>
      <c r="M3807" s="8"/>
      <c r="N3807" s="8"/>
      <c r="O3807" s="8" t="s">
        <v>8</v>
      </c>
      <c r="P3807" s="8" t="s">
        <v>8</v>
      </c>
    </row>
    <row r="3808">
      <c r="E3808" s="31"/>
      <c r="F3808" s="8" t="s">
        <v>8</v>
      </c>
      <c r="G3808" s="8" t="s">
        <v>8</v>
      </c>
      <c r="H3808" s="8" t="s">
        <v>8</v>
      </c>
      <c r="I3808" s="8" t="s">
        <v>8</v>
      </c>
      <c r="J3808" s="8" t="s">
        <v>8</v>
      </c>
      <c r="K3808" s="8" t="s">
        <v>8</v>
      </c>
      <c r="L3808" s="8" t="s">
        <v>8</v>
      </c>
      <c r="M3808" s="8"/>
      <c r="N3808" s="8"/>
      <c r="O3808" s="8" t="s">
        <v>8</v>
      </c>
      <c r="P3808" s="8" t="s">
        <v>8</v>
      </c>
    </row>
    <row r="3809">
      <c r="E3809" s="31"/>
      <c r="F3809" s="8" t="s">
        <v>8</v>
      </c>
      <c r="G3809" s="8" t="s">
        <v>8</v>
      </c>
      <c r="H3809" s="8" t="s">
        <v>8</v>
      </c>
      <c r="I3809" s="8" t="s">
        <v>8</v>
      </c>
      <c r="J3809" s="8" t="s">
        <v>8</v>
      </c>
      <c r="K3809" s="8" t="s">
        <v>8</v>
      </c>
      <c r="L3809" s="8" t="s">
        <v>8</v>
      </c>
      <c r="M3809" s="8"/>
      <c r="N3809" s="8"/>
      <c r="O3809" s="8" t="s">
        <v>8</v>
      </c>
      <c r="P3809" s="8" t="s">
        <v>8</v>
      </c>
    </row>
    <row r="3810">
      <c r="E3810" s="31"/>
      <c r="F3810" s="8" t="s">
        <v>8</v>
      </c>
      <c r="G3810" s="8" t="s">
        <v>8</v>
      </c>
      <c r="H3810" s="8" t="s">
        <v>8</v>
      </c>
      <c r="I3810" s="8" t="s">
        <v>8</v>
      </c>
      <c r="J3810" s="8" t="s">
        <v>8</v>
      </c>
      <c r="K3810" s="8" t="s">
        <v>8</v>
      </c>
      <c r="L3810" s="8" t="s">
        <v>8</v>
      </c>
      <c r="M3810" s="8"/>
      <c r="N3810" s="8"/>
      <c r="O3810" s="8" t="s">
        <v>8</v>
      </c>
      <c r="P3810" s="8" t="s">
        <v>8</v>
      </c>
    </row>
    <row r="3811">
      <c r="E3811" s="31"/>
      <c r="F3811" s="8" t="s">
        <v>8</v>
      </c>
      <c r="G3811" s="8" t="s">
        <v>8</v>
      </c>
      <c r="H3811" s="8" t="s">
        <v>8</v>
      </c>
      <c r="I3811" s="8" t="s">
        <v>8</v>
      </c>
      <c r="J3811" s="8" t="s">
        <v>8</v>
      </c>
      <c r="K3811" s="8" t="s">
        <v>8</v>
      </c>
      <c r="L3811" s="8" t="s">
        <v>8</v>
      </c>
      <c r="M3811" s="8"/>
      <c r="N3811" s="8"/>
      <c r="O3811" s="8" t="s">
        <v>8</v>
      </c>
      <c r="P3811" s="8" t="s">
        <v>8</v>
      </c>
    </row>
    <row r="3812">
      <c r="E3812" s="31"/>
      <c r="F3812" s="8" t="s">
        <v>8</v>
      </c>
      <c r="G3812" s="8" t="s">
        <v>8</v>
      </c>
      <c r="H3812" s="8" t="s">
        <v>8</v>
      </c>
      <c r="I3812" s="8" t="s">
        <v>8</v>
      </c>
      <c r="J3812" s="8" t="s">
        <v>8</v>
      </c>
      <c r="K3812" s="8" t="s">
        <v>8</v>
      </c>
      <c r="L3812" s="8" t="s">
        <v>8</v>
      </c>
      <c r="M3812" s="8"/>
      <c r="N3812" s="8"/>
      <c r="O3812" s="8" t="s">
        <v>8</v>
      </c>
      <c r="P3812" s="8" t="s">
        <v>8</v>
      </c>
    </row>
    <row r="3813">
      <c r="E3813" s="31"/>
      <c r="F3813" s="8" t="s">
        <v>8</v>
      </c>
      <c r="G3813" s="8" t="s">
        <v>8</v>
      </c>
      <c r="H3813" s="8" t="s">
        <v>8</v>
      </c>
      <c r="I3813" s="8" t="s">
        <v>8</v>
      </c>
      <c r="J3813" s="8" t="s">
        <v>8</v>
      </c>
      <c r="K3813" s="8" t="s">
        <v>8</v>
      </c>
      <c r="L3813" s="8" t="s">
        <v>8</v>
      </c>
      <c r="M3813" s="8"/>
      <c r="N3813" s="8"/>
      <c r="O3813" s="8" t="s">
        <v>8</v>
      </c>
      <c r="P3813" s="8" t="s">
        <v>8</v>
      </c>
    </row>
    <row r="3814">
      <c r="E3814" s="31"/>
      <c r="F3814" s="8" t="s">
        <v>8</v>
      </c>
      <c r="G3814" s="8" t="s">
        <v>8</v>
      </c>
      <c r="H3814" s="8" t="s">
        <v>8</v>
      </c>
      <c r="I3814" s="8" t="s">
        <v>8</v>
      </c>
      <c r="J3814" s="8" t="s">
        <v>8</v>
      </c>
      <c r="K3814" s="8" t="s">
        <v>8</v>
      </c>
      <c r="L3814" s="8" t="s">
        <v>8</v>
      </c>
      <c r="M3814" s="8"/>
      <c r="N3814" s="8"/>
      <c r="O3814" s="8" t="s">
        <v>8</v>
      </c>
      <c r="P3814" s="8" t="s">
        <v>8</v>
      </c>
    </row>
    <row r="3815">
      <c r="E3815" s="31"/>
      <c r="F3815" s="8" t="s">
        <v>8</v>
      </c>
      <c r="G3815" s="8" t="s">
        <v>8</v>
      </c>
      <c r="H3815" s="8" t="s">
        <v>8</v>
      </c>
      <c r="I3815" s="8" t="s">
        <v>8</v>
      </c>
      <c r="J3815" s="8" t="s">
        <v>8</v>
      </c>
      <c r="K3815" s="8" t="s">
        <v>8</v>
      </c>
      <c r="L3815" s="8" t="s">
        <v>8</v>
      </c>
      <c r="M3815" s="8"/>
      <c r="N3815" s="8"/>
      <c r="O3815" s="8" t="s">
        <v>8</v>
      </c>
      <c r="P3815" s="8" t="s">
        <v>8</v>
      </c>
    </row>
    <row r="3816">
      <c r="E3816" s="31"/>
      <c r="F3816" s="8" t="s">
        <v>8</v>
      </c>
      <c r="G3816" s="8" t="s">
        <v>8</v>
      </c>
      <c r="H3816" s="8" t="s">
        <v>8</v>
      </c>
      <c r="I3816" s="8" t="s">
        <v>8</v>
      </c>
      <c r="J3816" s="8" t="s">
        <v>8</v>
      </c>
      <c r="K3816" s="8" t="s">
        <v>8</v>
      </c>
      <c r="L3816" s="8" t="s">
        <v>8</v>
      </c>
      <c r="M3816" s="8"/>
      <c r="N3816" s="8"/>
      <c r="O3816" s="8" t="s">
        <v>8</v>
      </c>
      <c r="P3816" s="8" t="s">
        <v>8</v>
      </c>
    </row>
    <row r="3817">
      <c r="E3817" s="31"/>
      <c r="F3817" s="8" t="s">
        <v>8</v>
      </c>
      <c r="G3817" s="8" t="s">
        <v>8</v>
      </c>
      <c r="H3817" s="8" t="s">
        <v>8</v>
      </c>
      <c r="I3817" s="8" t="s">
        <v>8</v>
      </c>
      <c r="J3817" s="8" t="s">
        <v>8</v>
      </c>
      <c r="K3817" s="8" t="s">
        <v>8</v>
      </c>
      <c r="L3817" s="8" t="s">
        <v>8</v>
      </c>
      <c r="M3817" s="8"/>
      <c r="N3817" s="8"/>
      <c r="O3817" s="8" t="s">
        <v>8</v>
      </c>
      <c r="P3817" s="8" t="s">
        <v>8</v>
      </c>
    </row>
    <row r="3818">
      <c r="E3818" s="31"/>
      <c r="F3818" s="8" t="s">
        <v>8</v>
      </c>
      <c r="G3818" s="8" t="s">
        <v>8</v>
      </c>
      <c r="H3818" s="8" t="s">
        <v>8</v>
      </c>
      <c r="I3818" s="8" t="s">
        <v>8</v>
      </c>
      <c r="J3818" s="8" t="s">
        <v>8</v>
      </c>
      <c r="K3818" s="8" t="s">
        <v>8</v>
      </c>
      <c r="L3818" s="8" t="s">
        <v>8</v>
      </c>
      <c r="M3818" s="8"/>
      <c r="N3818" s="8"/>
      <c r="O3818" s="8" t="s">
        <v>8</v>
      </c>
      <c r="P3818" s="8" t="s">
        <v>8</v>
      </c>
    </row>
    <row r="3819">
      <c r="E3819" s="31"/>
      <c r="F3819" s="8" t="s">
        <v>8</v>
      </c>
      <c r="G3819" s="8" t="s">
        <v>8</v>
      </c>
      <c r="H3819" s="8" t="s">
        <v>8</v>
      </c>
      <c r="I3819" s="8" t="s">
        <v>8</v>
      </c>
      <c r="J3819" s="8" t="s">
        <v>8</v>
      </c>
      <c r="K3819" s="8" t="s">
        <v>8</v>
      </c>
      <c r="L3819" s="8" t="s">
        <v>8</v>
      </c>
      <c r="M3819" s="8"/>
      <c r="N3819" s="8"/>
      <c r="O3819" s="8" t="s">
        <v>8</v>
      </c>
      <c r="P3819" s="8" t="s">
        <v>8</v>
      </c>
    </row>
    <row r="3820">
      <c r="E3820" s="31"/>
      <c r="F3820" s="8" t="s">
        <v>8</v>
      </c>
      <c r="G3820" s="8" t="s">
        <v>8</v>
      </c>
      <c r="H3820" s="8" t="s">
        <v>8</v>
      </c>
      <c r="I3820" s="8" t="s">
        <v>8</v>
      </c>
      <c r="J3820" s="8" t="s">
        <v>8</v>
      </c>
      <c r="K3820" s="8" t="s">
        <v>8</v>
      </c>
      <c r="L3820" s="8" t="s">
        <v>8</v>
      </c>
      <c r="M3820" s="8"/>
      <c r="N3820" s="8"/>
      <c r="O3820" s="8" t="s">
        <v>8</v>
      </c>
      <c r="P3820" s="8" t="s">
        <v>8</v>
      </c>
    </row>
    <row r="3821">
      <c r="E3821" s="31"/>
      <c r="F3821" s="8" t="s">
        <v>8</v>
      </c>
      <c r="G3821" s="8" t="s">
        <v>8</v>
      </c>
      <c r="H3821" s="8" t="s">
        <v>8</v>
      </c>
      <c r="I3821" s="8" t="s">
        <v>8</v>
      </c>
      <c r="J3821" s="8" t="s">
        <v>8</v>
      </c>
      <c r="K3821" s="8" t="s">
        <v>8</v>
      </c>
      <c r="L3821" s="8" t="s">
        <v>8</v>
      </c>
      <c r="M3821" s="8"/>
      <c r="N3821" s="8"/>
      <c r="O3821" s="8" t="s">
        <v>8</v>
      </c>
      <c r="P3821" s="8" t="s">
        <v>8</v>
      </c>
    </row>
    <row r="3822">
      <c r="E3822" s="31"/>
      <c r="F3822" s="8" t="s">
        <v>8</v>
      </c>
      <c r="G3822" s="8" t="s">
        <v>8</v>
      </c>
      <c r="H3822" s="8" t="s">
        <v>8</v>
      </c>
      <c r="I3822" s="8" t="s">
        <v>8</v>
      </c>
      <c r="J3822" s="8" t="s">
        <v>8</v>
      </c>
      <c r="K3822" s="8" t="s">
        <v>8</v>
      </c>
      <c r="L3822" s="8" t="s">
        <v>8</v>
      </c>
      <c r="M3822" s="8"/>
      <c r="N3822" s="8"/>
      <c r="O3822" s="8" t="s">
        <v>8</v>
      </c>
      <c r="P3822" s="8" t="s">
        <v>8</v>
      </c>
    </row>
    <row r="3823">
      <c r="E3823" s="31"/>
      <c r="F3823" s="8" t="s">
        <v>8</v>
      </c>
      <c r="G3823" s="8" t="s">
        <v>8</v>
      </c>
      <c r="H3823" s="8" t="s">
        <v>8</v>
      </c>
      <c r="I3823" s="8" t="s">
        <v>8</v>
      </c>
      <c r="J3823" s="8" t="s">
        <v>8</v>
      </c>
      <c r="K3823" s="8" t="s">
        <v>8</v>
      </c>
      <c r="L3823" s="8" t="s">
        <v>8</v>
      </c>
      <c r="M3823" s="8"/>
      <c r="N3823" s="8"/>
      <c r="O3823" s="8" t="s">
        <v>8</v>
      </c>
      <c r="P3823" s="8" t="s">
        <v>8</v>
      </c>
    </row>
    <row r="3824">
      <c r="E3824" s="31"/>
      <c r="F3824" s="8" t="s">
        <v>8</v>
      </c>
      <c r="G3824" s="8" t="s">
        <v>8</v>
      </c>
      <c r="H3824" s="8" t="s">
        <v>8</v>
      </c>
      <c r="I3824" s="8" t="s">
        <v>8</v>
      </c>
      <c r="J3824" s="8" t="s">
        <v>8</v>
      </c>
      <c r="K3824" s="8" t="s">
        <v>8</v>
      </c>
      <c r="L3824" s="8" t="s">
        <v>8</v>
      </c>
      <c r="M3824" s="8"/>
      <c r="N3824" s="8"/>
      <c r="O3824" s="8" t="s">
        <v>8</v>
      </c>
      <c r="P3824" s="8" t="s">
        <v>8</v>
      </c>
    </row>
    <row r="3825">
      <c r="E3825" s="31"/>
      <c r="F3825" s="8" t="s">
        <v>8</v>
      </c>
      <c r="G3825" s="8" t="s">
        <v>8</v>
      </c>
      <c r="H3825" s="8" t="s">
        <v>8</v>
      </c>
      <c r="I3825" s="8" t="s">
        <v>8</v>
      </c>
      <c r="J3825" s="8" t="s">
        <v>8</v>
      </c>
      <c r="K3825" s="8" t="s">
        <v>8</v>
      </c>
      <c r="L3825" s="8" t="s">
        <v>8</v>
      </c>
      <c r="M3825" s="8"/>
      <c r="N3825" s="8"/>
      <c r="O3825" s="8" t="s">
        <v>8</v>
      </c>
      <c r="P3825" s="8" t="s">
        <v>8</v>
      </c>
    </row>
    <row r="3826">
      <c r="E3826" s="31"/>
      <c r="F3826" s="8" t="s">
        <v>8</v>
      </c>
      <c r="G3826" s="8" t="s">
        <v>8</v>
      </c>
      <c r="H3826" s="8" t="s">
        <v>8</v>
      </c>
      <c r="I3826" s="8" t="s">
        <v>8</v>
      </c>
      <c r="J3826" s="8" t="s">
        <v>8</v>
      </c>
      <c r="K3826" s="8" t="s">
        <v>8</v>
      </c>
      <c r="L3826" s="8" t="s">
        <v>8</v>
      </c>
      <c r="M3826" s="8"/>
      <c r="N3826" s="8"/>
      <c r="O3826" s="8" t="s">
        <v>8</v>
      </c>
      <c r="P3826" s="8" t="s">
        <v>8</v>
      </c>
    </row>
    <row r="3827">
      <c r="E3827" s="31"/>
      <c r="F3827" s="8" t="s">
        <v>8</v>
      </c>
      <c r="G3827" s="8" t="s">
        <v>8</v>
      </c>
      <c r="H3827" s="8" t="s">
        <v>8</v>
      </c>
      <c r="I3827" s="8" t="s">
        <v>8</v>
      </c>
      <c r="J3827" s="8" t="s">
        <v>8</v>
      </c>
      <c r="K3827" s="8" t="s">
        <v>8</v>
      </c>
      <c r="L3827" s="8" t="s">
        <v>8</v>
      </c>
      <c r="M3827" s="8"/>
      <c r="N3827" s="8"/>
      <c r="O3827" s="8" t="s">
        <v>8</v>
      </c>
      <c r="P3827" s="8" t="s">
        <v>8</v>
      </c>
    </row>
    <row r="3828">
      <c r="E3828" s="31"/>
      <c r="F3828" s="8" t="s">
        <v>8</v>
      </c>
      <c r="G3828" s="8" t="s">
        <v>8</v>
      </c>
      <c r="H3828" s="8" t="s">
        <v>8</v>
      </c>
      <c r="I3828" s="8" t="s">
        <v>8</v>
      </c>
      <c r="J3828" s="8" t="s">
        <v>8</v>
      </c>
      <c r="K3828" s="8" t="s">
        <v>8</v>
      </c>
      <c r="L3828" s="8" t="s">
        <v>8</v>
      </c>
      <c r="M3828" s="8"/>
      <c r="N3828" s="8"/>
      <c r="O3828" s="8" t="s">
        <v>8</v>
      </c>
      <c r="P3828" s="8" t="s">
        <v>8</v>
      </c>
    </row>
    <row r="3829">
      <c r="E3829" s="31"/>
      <c r="F3829" s="8" t="s">
        <v>8</v>
      </c>
      <c r="G3829" s="8" t="s">
        <v>8</v>
      </c>
      <c r="H3829" s="8" t="s">
        <v>8</v>
      </c>
      <c r="I3829" s="8" t="s">
        <v>8</v>
      </c>
      <c r="J3829" s="8" t="s">
        <v>8</v>
      </c>
      <c r="K3829" s="8" t="s">
        <v>8</v>
      </c>
      <c r="L3829" s="8" t="s">
        <v>8</v>
      </c>
      <c r="M3829" s="8"/>
      <c r="N3829" s="8"/>
      <c r="O3829" s="8" t="s">
        <v>8</v>
      </c>
      <c r="P3829" s="8" t="s">
        <v>8</v>
      </c>
    </row>
    <row r="3830">
      <c r="E3830" s="31"/>
      <c r="F3830" s="8" t="s">
        <v>8</v>
      </c>
      <c r="G3830" s="8" t="s">
        <v>8</v>
      </c>
      <c r="H3830" s="8" t="s">
        <v>8</v>
      </c>
      <c r="I3830" s="8" t="s">
        <v>8</v>
      </c>
      <c r="J3830" s="8" t="s">
        <v>8</v>
      </c>
      <c r="K3830" s="8" t="s">
        <v>8</v>
      </c>
      <c r="L3830" s="8" t="s">
        <v>8</v>
      </c>
      <c r="M3830" s="8"/>
      <c r="N3830" s="8"/>
      <c r="O3830" s="8" t="s">
        <v>8</v>
      </c>
      <c r="P3830" s="8" t="s">
        <v>8</v>
      </c>
    </row>
    <row r="3831">
      <c r="E3831" s="31"/>
      <c r="F3831" s="8" t="s">
        <v>8</v>
      </c>
      <c r="G3831" s="8" t="s">
        <v>8</v>
      </c>
      <c r="H3831" s="8" t="s">
        <v>8</v>
      </c>
      <c r="I3831" s="8" t="s">
        <v>8</v>
      </c>
      <c r="J3831" s="8" t="s">
        <v>8</v>
      </c>
      <c r="K3831" s="8" t="s">
        <v>8</v>
      </c>
      <c r="L3831" s="8" t="s">
        <v>8</v>
      </c>
      <c r="M3831" s="8"/>
      <c r="N3831" s="8"/>
      <c r="O3831" s="8" t="s">
        <v>8</v>
      </c>
      <c r="P3831" s="8" t="s">
        <v>8</v>
      </c>
    </row>
    <row r="3832">
      <c r="E3832" s="31"/>
      <c r="F3832" s="8" t="s">
        <v>8</v>
      </c>
      <c r="G3832" s="8" t="s">
        <v>8</v>
      </c>
      <c r="H3832" s="8" t="s">
        <v>8</v>
      </c>
      <c r="I3832" s="8" t="s">
        <v>8</v>
      </c>
      <c r="J3832" s="8" t="s">
        <v>8</v>
      </c>
      <c r="K3832" s="8" t="s">
        <v>8</v>
      </c>
      <c r="L3832" s="8" t="s">
        <v>8</v>
      </c>
      <c r="M3832" s="8"/>
      <c r="N3832" s="8"/>
      <c r="O3832" s="8" t="s">
        <v>8</v>
      </c>
      <c r="P3832" s="8" t="s">
        <v>8</v>
      </c>
    </row>
    <row r="3833">
      <c r="E3833" s="31"/>
      <c r="F3833" s="8" t="s">
        <v>8</v>
      </c>
      <c r="G3833" s="8" t="s">
        <v>8</v>
      </c>
      <c r="H3833" s="8" t="s">
        <v>8</v>
      </c>
      <c r="I3833" s="8" t="s">
        <v>8</v>
      </c>
      <c r="J3833" s="8" t="s">
        <v>8</v>
      </c>
      <c r="K3833" s="8" t="s">
        <v>8</v>
      </c>
      <c r="L3833" s="8" t="s">
        <v>8</v>
      </c>
      <c r="M3833" s="8"/>
      <c r="N3833" s="8"/>
      <c r="O3833" s="8" t="s">
        <v>8</v>
      </c>
      <c r="P3833" s="8" t="s">
        <v>8</v>
      </c>
    </row>
    <row r="3834">
      <c r="E3834" s="31"/>
      <c r="F3834" s="8" t="s">
        <v>8</v>
      </c>
      <c r="G3834" s="8" t="s">
        <v>8</v>
      </c>
      <c r="H3834" s="8" t="s">
        <v>8</v>
      </c>
      <c r="I3834" s="8" t="s">
        <v>8</v>
      </c>
      <c r="J3834" s="8" t="s">
        <v>8</v>
      </c>
      <c r="K3834" s="8" t="s">
        <v>8</v>
      </c>
      <c r="L3834" s="8" t="s">
        <v>8</v>
      </c>
      <c r="M3834" s="8"/>
      <c r="N3834" s="8"/>
      <c r="O3834" s="8" t="s">
        <v>8</v>
      </c>
      <c r="P3834" s="8" t="s">
        <v>8</v>
      </c>
    </row>
    <row r="3835">
      <c r="E3835" s="31"/>
      <c r="F3835" s="8" t="s">
        <v>8</v>
      </c>
      <c r="G3835" s="8" t="s">
        <v>8</v>
      </c>
      <c r="H3835" s="8" t="s">
        <v>8</v>
      </c>
      <c r="I3835" s="8" t="s">
        <v>8</v>
      </c>
      <c r="J3835" s="8" t="s">
        <v>8</v>
      </c>
      <c r="K3835" s="8" t="s">
        <v>8</v>
      </c>
      <c r="L3835" s="8" t="s">
        <v>8</v>
      </c>
      <c r="M3835" s="8"/>
      <c r="N3835" s="8"/>
      <c r="O3835" s="8" t="s">
        <v>8</v>
      </c>
      <c r="P3835" s="8" t="s">
        <v>8</v>
      </c>
    </row>
    <row r="3836">
      <c r="E3836" s="31"/>
      <c r="F3836" s="8" t="s">
        <v>8</v>
      </c>
      <c r="G3836" s="8" t="s">
        <v>8</v>
      </c>
      <c r="H3836" s="8" t="s">
        <v>8</v>
      </c>
      <c r="I3836" s="8" t="s">
        <v>8</v>
      </c>
      <c r="J3836" s="8" t="s">
        <v>8</v>
      </c>
      <c r="K3836" s="8" t="s">
        <v>8</v>
      </c>
      <c r="L3836" s="8" t="s">
        <v>8</v>
      </c>
      <c r="M3836" s="8"/>
      <c r="N3836" s="8"/>
      <c r="O3836" s="8" t="s">
        <v>8</v>
      </c>
      <c r="P3836" s="8" t="s">
        <v>8</v>
      </c>
    </row>
    <row r="3837">
      <c r="E3837" s="31"/>
      <c r="F3837" s="8" t="s">
        <v>8</v>
      </c>
      <c r="G3837" s="8" t="s">
        <v>8</v>
      </c>
      <c r="H3837" s="8" t="s">
        <v>8</v>
      </c>
      <c r="I3837" s="8" t="s">
        <v>8</v>
      </c>
      <c r="J3837" s="8" t="s">
        <v>8</v>
      </c>
      <c r="K3837" s="8" t="s">
        <v>8</v>
      </c>
      <c r="L3837" s="8" t="s">
        <v>8</v>
      </c>
      <c r="M3837" s="8"/>
      <c r="N3837" s="8"/>
      <c r="O3837" s="8" t="s">
        <v>8</v>
      </c>
      <c r="P3837" s="8" t="s">
        <v>8</v>
      </c>
    </row>
    <row r="3838">
      <c r="E3838" s="31"/>
      <c r="F3838" s="8" t="s">
        <v>8</v>
      </c>
      <c r="G3838" s="8" t="s">
        <v>8</v>
      </c>
      <c r="H3838" s="8" t="s">
        <v>8</v>
      </c>
      <c r="I3838" s="8" t="s">
        <v>8</v>
      </c>
      <c r="J3838" s="8" t="s">
        <v>8</v>
      </c>
      <c r="K3838" s="8" t="s">
        <v>8</v>
      </c>
      <c r="L3838" s="8" t="s">
        <v>8</v>
      </c>
      <c r="M3838" s="8"/>
      <c r="N3838" s="8"/>
      <c r="O3838" s="8" t="s">
        <v>8</v>
      </c>
      <c r="P3838" s="8" t="s">
        <v>8</v>
      </c>
    </row>
    <row r="3839">
      <c r="E3839" s="31"/>
      <c r="F3839" s="8" t="s">
        <v>8</v>
      </c>
      <c r="G3839" s="8" t="s">
        <v>8</v>
      </c>
      <c r="H3839" s="8" t="s">
        <v>8</v>
      </c>
      <c r="I3839" s="8" t="s">
        <v>8</v>
      </c>
      <c r="J3839" s="8" t="s">
        <v>8</v>
      </c>
      <c r="K3839" s="8" t="s">
        <v>8</v>
      </c>
      <c r="L3839" s="8" t="s">
        <v>8</v>
      </c>
      <c r="M3839" s="8"/>
      <c r="N3839" s="8"/>
      <c r="O3839" s="8" t="s">
        <v>8</v>
      </c>
      <c r="P3839" s="8" t="s">
        <v>8</v>
      </c>
    </row>
    <row r="3840">
      <c r="E3840" s="31"/>
      <c r="F3840" s="8" t="s">
        <v>8</v>
      </c>
      <c r="G3840" s="8" t="s">
        <v>8</v>
      </c>
      <c r="H3840" s="8" t="s">
        <v>8</v>
      </c>
      <c r="I3840" s="8" t="s">
        <v>8</v>
      </c>
      <c r="J3840" s="8" t="s">
        <v>8</v>
      </c>
      <c r="K3840" s="8" t="s">
        <v>8</v>
      </c>
      <c r="L3840" s="8" t="s">
        <v>8</v>
      </c>
      <c r="M3840" s="8"/>
      <c r="N3840" s="8"/>
      <c r="O3840" s="8" t="s">
        <v>8</v>
      </c>
      <c r="P3840" s="8" t="s">
        <v>8</v>
      </c>
    </row>
    <row r="3841">
      <c r="E3841" s="31"/>
      <c r="F3841" s="8" t="s">
        <v>8</v>
      </c>
      <c r="G3841" s="8" t="s">
        <v>8</v>
      </c>
      <c r="H3841" s="8" t="s">
        <v>8</v>
      </c>
      <c r="I3841" s="8" t="s">
        <v>8</v>
      </c>
      <c r="J3841" s="8" t="s">
        <v>8</v>
      </c>
      <c r="K3841" s="8" t="s">
        <v>8</v>
      </c>
      <c r="L3841" s="8" t="s">
        <v>8</v>
      </c>
      <c r="M3841" s="8"/>
      <c r="N3841" s="8"/>
      <c r="O3841" s="8" t="s">
        <v>8</v>
      </c>
      <c r="P3841" s="8" t="s">
        <v>8</v>
      </c>
    </row>
    <row r="3842">
      <c r="E3842" s="31"/>
      <c r="F3842" s="8" t="s">
        <v>8</v>
      </c>
      <c r="G3842" s="8" t="s">
        <v>8</v>
      </c>
      <c r="H3842" s="8" t="s">
        <v>8</v>
      </c>
      <c r="I3842" s="8" t="s">
        <v>8</v>
      </c>
      <c r="J3842" s="8" t="s">
        <v>8</v>
      </c>
      <c r="K3842" s="8" t="s">
        <v>8</v>
      </c>
      <c r="L3842" s="8" t="s">
        <v>8</v>
      </c>
      <c r="M3842" s="8"/>
      <c r="N3842" s="8"/>
      <c r="O3842" s="8" t="s">
        <v>8</v>
      </c>
      <c r="P3842" s="8" t="s">
        <v>8</v>
      </c>
    </row>
    <row r="3843">
      <c r="E3843" s="31"/>
      <c r="F3843" s="8" t="s">
        <v>8</v>
      </c>
      <c r="G3843" s="8" t="s">
        <v>8</v>
      </c>
      <c r="H3843" s="8" t="s">
        <v>8</v>
      </c>
      <c r="I3843" s="8" t="s">
        <v>8</v>
      </c>
      <c r="J3843" s="8" t="s">
        <v>8</v>
      </c>
      <c r="K3843" s="8" t="s">
        <v>8</v>
      </c>
      <c r="L3843" s="8" t="s">
        <v>8</v>
      </c>
      <c r="M3843" s="8"/>
      <c r="N3843" s="8"/>
      <c r="O3843" s="8" t="s">
        <v>8</v>
      </c>
      <c r="P3843" s="8" t="s">
        <v>8</v>
      </c>
    </row>
    <row r="3844">
      <c r="E3844" s="31"/>
      <c r="F3844" s="8" t="s">
        <v>8</v>
      </c>
      <c r="G3844" s="8" t="s">
        <v>8</v>
      </c>
      <c r="H3844" s="8" t="s">
        <v>8</v>
      </c>
      <c r="I3844" s="8" t="s">
        <v>8</v>
      </c>
      <c r="J3844" s="8" t="s">
        <v>8</v>
      </c>
      <c r="K3844" s="8" t="s">
        <v>8</v>
      </c>
      <c r="L3844" s="8" t="s">
        <v>8</v>
      </c>
      <c r="M3844" s="8"/>
      <c r="N3844" s="8"/>
      <c r="O3844" s="8" t="s">
        <v>8</v>
      </c>
      <c r="P3844" s="8" t="s">
        <v>8</v>
      </c>
    </row>
    <row r="3845">
      <c r="E3845" s="31"/>
      <c r="F3845" s="8" t="s">
        <v>8</v>
      </c>
      <c r="G3845" s="8" t="s">
        <v>8</v>
      </c>
      <c r="H3845" s="8" t="s">
        <v>8</v>
      </c>
      <c r="I3845" s="8" t="s">
        <v>8</v>
      </c>
      <c r="J3845" s="8" t="s">
        <v>8</v>
      </c>
      <c r="K3845" s="8" t="s">
        <v>8</v>
      </c>
      <c r="L3845" s="8" t="s">
        <v>8</v>
      </c>
      <c r="M3845" s="8"/>
      <c r="N3845" s="8"/>
      <c r="O3845" s="8" t="s">
        <v>8</v>
      </c>
      <c r="P3845" s="8" t="s">
        <v>8</v>
      </c>
    </row>
    <row r="3846">
      <c r="E3846" s="31"/>
      <c r="F3846" s="8" t="s">
        <v>8</v>
      </c>
      <c r="G3846" s="8" t="s">
        <v>8</v>
      </c>
      <c r="H3846" s="8" t="s">
        <v>8</v>
      </c>
      <c r="I3846" s="8" t="s">
        <v>8</v>
      </c>
      <c r="J3846" s="8" t="s">
        <v>8</v>
      </c>
      <c r="K3846" s="8" t="s">
        <v>8</v>
      </c>
      <c r="L3846" s="8" t="s">
        <v>8</v>
      </c>
      <c r="M3846" s="8"/>
      <c r="N3846" s="8"/>
      <c r="O3846" s="8" t="s">
        <v>8</v>
      </c>
      <c r="P3846" s="8" t="s">
        <v>8</v>
      </c>
    </row>
    <row r="3847">
      <c r="E3847" s="31"/>
      <c r="F3847" s="8" t="s">
        <v>8</v>
      </c>
      <c r="G3847" s="8" t="s">
        <v>8</v>
      </c>
      <c r="H3847" s="8" t="s">
        <v>8</v>
      </c>
      <c r="I3847" s="8" t="s">
        <v>8</v>
      </c>
      <c r="J3847" s="8" t="s">
        <v>8</v>
      </c>
      <c r="K3847" s="8" t="s">
        <v>8</v>
      </c>
      <c r="L3847" s="8" t="s">
        <v>8</v>
      </c>
      <c r="M3847" s="8"/>
      <c r="N3847" s="8"/>
      <c r="O3847" s="8" t="s">
        <v>8</v>
      </c>
      <c r="P3847" s="8" t="s">
        <v>8</v>
      </c>
    </row>
    <row r="3848">
      <c r="E3848" s="31"/>
      <c r="F3848" s="8" t="s">
        <v>8</v>
      </c>
      <c r="G3848" s="8" t="s">
        <v>8</v>
      </c>
      <c r="H3848" s="8" t="s">
        <v>8</v>
      </c>
      <c r="I3848" s="8" t="s">
        <v>8</v>
      </c>
      <c r="J3848" s="8" t="s">
        <v>8</v>
      </c>
      <c r="K3848" s="8" t="s">
        <v>8</v>
      </c>
      <c r="L3848" s="8" t="s">
        <v>8</v>
      </c>
      <c r="M3848" s="8"/>
      <c r="N3848" s="8"/>
      <c r="O3848" s="8" t="s">
        <v>8</v>
      </c>
      <c r="P3848" s="8" t="s">
        <v>8</v>
      </c>
    </row>
    <row r="3849">
      <c r="E3849" s="31"/>
      <c r="F3849" s="8" t="s">
        <v>8</v>
      </c>
      <c r="G3849" s="8" t="s">
        <v>8</v>
      </c>
      <c r="H3849" s="8" t="s">
        <v>8</v>
      </c>
      <c r="I3849" s="8" t="s">
        <v>8</v>
      </c>
      <c r="J3849" s="8" t="s">
        <v>8</v>
      </c>
      <c r="K3849" s="8" t="s">
        <v>8</v>
      </c>
      <c r="L3849" s="8" t="s">
        <v>8</v>
      </c>
      <c r="M3849" s="8"/>
      <c r="N3849" s="8"/>
      <c r="O3849" s="8" t="s">
        <v>8</v>
      </c>
      <c r="P3849" s="8" t="s">
        <v>8</v>
      </c>
    </row>
    <row r="3850">
      <c r="E3850" s="31"/>
      <c r="F3850" s="8" t="s">
        <v>8</v>
      </c>
      <c r="G3850" s="8" t="s">
        <v>8</v>
      </c>
      <c r="H3850" s="8" t="s">
        <v>8</v>
      </c>
      <c r="I3850" s="8" t="s">
        <v>8</v>
      </c>
      <c r="J3850" s="8" t="s">
        <v>8</v>
      </c>
      <c r="K3850" s="8" t="s">
        <v>8</v>
      </c>
      <c r="L3850" s="8" t="s">
        <v>8</v>
      </c>
      <c r="M3850" s="8"/>
      <c r="N3850" s="8"/>
      <c r="O3850" s="8" t="s">
        <v>8</v>
      </c>
      <c r="P3850" s="8" t="s">
        <v>8</v>
      </c>
    </row>
    <row r="3851">
      <c r="E3851" s="31"/>
      <c r="F3851" s="8" t="s">
        <v>8</v>
      </c>
      <c r="G3851" s="8" t="s">
        <v>8</v>
      </c>
      <c r="H3851" s="8" t="s">
        <v>8</v>
      </c>
      <c r="I3851" s="8" t="s">
        <v>8</v>
      </c>
      <c r="J3851" s="8" t="s">
        <v>8</v>
      </c>
      <c r="K3851" s="8" t="s">
        <v>8</v>
      </c>
      <c r="L3851" s="8" t="s">
        <v>8</v>
      </c>
      <c r="M3851" s="8"/>
      <c r="N3851" s="8"/>
      <c r="O3851" s="8" t="s">
        <v>8</v>
      </c>
      <c r="P3851" s="8" t="s">
        <v>8</v>
      </c>
    </row>
    <row r="3852">
      <c r="E3852" s="31"/>
      <c r="F3852" s="8" t="s">
        <v>8</v>
      </c>
      <c r="G3852" s="8" t="s">
        <v>8</v>
      </c>
      <c r="H3852" s="8" t="s">
        <v>8</v>
      </c>
      <c r="I3852" s="8" t="s">
        <v>8</v>
      </c>
      <c r="J3852" s="8" t="s">
        <v>8</v>
      </c>
      <c r="K3852" s="8" t="s">
        <v>8</v>
      </c>
      <c r="L3852" s="8" t="s">
        <v>8</v>
      </c>
      <c r="M3852" s="8"/>
      <c r="N3852" s="8"/>
      <c r="O3852" s="8" t="s">
        <v>8</v>
      </c>
      <c r="P3852" s="8" t="s">
        <v>8</v>
      </c>
    </row>
    <row r="3853">
      <c r="E3853" s="31"/>
      <c r="F3853" s="8" t="s">
        <v>8</v>
      </c>
      <c r="G3853" s="8" t="s">
        <v>8</v>
      </c>
      <c r="H3853" s="8" t="s">
        <v>8</v>
      </c>
      <c r="I3853" s="8" t="s">
        <v>8</v>
      </c>
      <c r="J3853" s="8" t="s">
        <v>8</v>
      </c>
      <c r="K3853" s="8" t="s">
        <v>8</v>
      </c>
      <c r="L3853" s="8" t="s">
        <v>8</v>
      </c>
      <c r="M3853" s="8"/>
      <c r="N3853" s="8"/>
      <c r="O3853" s="8" t="s">
        <v>8</v>
      </c>
      <c r="P3853" s="8" t="s">
        <v>8</v>
      </c>
    </row>
    <row r="3854">
      <c r="E3854" s="31"/>
      <c r="F3854" s="8" t="s">
        <v>8</v>
      </c>
      <c r="G3854" s="8" t="s">
        <v>8</v>
      </c>
      <c r="H3854" s="8" t="s">
        <v>8</v>
      </c>
      <c r="I3854" s="8" t="s">
        <v>8</v>
      </c>
      <c r="J3854" s="8" t="s">
        <v>8</v>
      </c>
      <c r="K3854" s="8" t="s">
        <v>8</v>
      </c>
      <c r="L3854" s="8" t="s">
        <v>8</v>
      </c>
      <c r="M3854" s="8"/>
      <c r="N3854" s="8"/>
      <c r="O3854" s="8" t="s">
        <v>8</v>
      </c>
      <c r="P3854" s="8" t="s">
        <v>8</v>
      </c>
    </row>
    <row r="3855">
      <c r="E3855" s="31"/>
      <c r="F3855" s="8" t="s">
        <v>8</v>
      </c>
      <c r="G3855" s="8" t="s">
        <v>8</v>
      </c>
      <c r="H3855" s="8" t="s">
        <v>8</v>
      </c>
      <c r="I3855" s="8" t="s">
        <v>8</v>
      </c>
      <c r="J3855" s="8" t="s">
        <v>8</v>
      </c>
      <c r="K3855" s="8" t="s">
        <v>8</v>
      </c>
      <c r="L3855" s="8" t="s">
        <v>8</v>
      </c>
      <c r="M3855" s="8"/>
      <c r="N3855" s="8"/>
      <c r="O3855" s="8" t="s">
        <v>8</v>
      </c>
      <c r="P3855" s="8" t="s">
        <v>8</v>
      </c>
    </row>
    <row r="3856">
      <c r="E3856" s="31"/>
      <c r="F3856" s="8" t="s">
        <v>8</v>
      </c>
      <c r="G3856" s="8" t="s">
        <v>8</v>
      </c>
      <c r="H3856" s="8" t="s">
        <v>8</v>
      </c>
      <c r="I3856" s="8" t="s">
        <v>8</v>
      </c>
      <c r="J3856" s="8" t="s">
        <v>8</v>
      </c>
      <c r="K3856" s="8" t="s">
        <v>8</v>
      </c>
      <c r="L3856" s="8" t="s">
        <v>8</v>
      </c>
      <c r="M3856" s="8"/>
      <c r="N3856" s="8"/>
      <c r="O3856" s="8" t="s">
        <v>8</v>
      </c>
      <c r="P3856" s="8" t="s">
        <v>8</v>
      </c>
    </row>
    <row r="3857">
      <c r="E3857" s="31"/>
      <c r="F3857" s="8" t="s">
        <v>8</v>
      </c>
      <c r="G3857" s="8" t="s">
        <v>8</v>
      </c>
      <c r="H3857" s="8" t="s">
        <v>8</v>
      </c>
      <c r="I3857" s="8" t="s">
        <v>8</v>
      </c>
      <c r="J3857" s="8" t="s">
        <v>8</v>
      </c>
      <c r="K3857" s="8" t="s">
        <v>8</v>
      </c>
      <c r="L3857" s="8" t="s">
        <v>8</v>
      </c>
      <c r="M3857" s="8"/>
      <c r="N3857" s="8"/>
      <c r="O3857" s="8" t="s">
        <v>8</v>
      </c>
      <c r="P3857" s="8" t="s">
        <v>8</v>
      </c>
    </row>
    <row r="3858">
      <c r="E3858" s="31"/>
      <c r="F3858" s="8" t="s">
        <v>8</v>
      </c>
      <c r="G3858" s="8" t="s">
        <v>8</v>
      </c>
      <c r="H3858" s="8" t="s">
        <v>8</v>
      </c>
      <c r="I3858" s="8" t="s">
        <v>8</v>
      </c>
      <c r="J3858" s="8" t="s">
        <v>8</v>
      </c>
      <c r="K3858" s="8" t="s">
        <v>8</v>
      </c>
      <c r="L3858" s="8" t="s">
        <v>8</v>
      </c>
      <c r="M3858" s="8"/>
      <c r="N3858" s="8"/>
      <c r="O3858" s="8" t="s">
        <v>8</v>
      </c>
      <c r="P3858" s="8" t="s">
        <v>8</v>
      </c>
    </row>
    <row r="3859">
      <c r="E3859" s="31"/>
      <c r="F3859" s="8" t="s">
        <v>8</v>
      </c>
      <c r="G3859" s="8" t="s">
        <v>8</v>
      </c>
      <c r="H3859" s="8" t="s">
        <v>8</v>
      </c>
      <c r="I3859" s="8" t="s">
        <v>8</v>
      </c>
      <c r="J3859" s="8" t="s">
        <v>8</v>
      </c>
      <c r="K3859" s="8" t="s">
        <v>8</v>
      </c>
      <c r="L3859" s="8" t="s">
        <v>8</v>
      </c>
      <c r="M3859" s="8"/>
      <c r="N3859" s="8"/>
      <c r="O3859" s="8" t="s">
        <v>8</v>
      </c>
      <c r="P3859" s="8" t="s">
        <v>8</v>
      </c>
    </row>
    <row r="3860">
      <c r="E3860" s="31"/>
      <c r="F3860" s="8" t="s">
        <v>8</v>
      </c>
      <c r="G3860" s="8" t="s">
        <v>8</v>
      </c>
      <c r="H3860" s="8" t="s">
        <v>8</v>
      </c>
      <c r="I3860" s="8" t="s">
        <v>8</v>
      </c>
      <c r="J3860" s="8" t="s">
        <v>8</v>
      </c>
      <c r="K3860" s="8" t="s">
        <v>8</v>
      </c>
      <c r="L3860" s="8" t="s">
        <v>8</v>
      </c>
      <c r="M3860" s="8"/>
      <c r="N3860" s="8"/>
      <c r="O3860" s="8" t="s">
        <v>8</v>
      </c>
      <c r="P3860" s="8" t="s">
        <v>8</v>
      </c>
    </row>
    <row r="3861">
      <c r="E3861" s="31"/>
      <c r="F3861" s="8" t="s">
        <v>8</v>
      </c>
      <c r="G3861" s="8" t="s">
        <v>8</v>
      </c>
      <c r="H3861" s="8" t="s">
        <v>8</v>
      </c>
      <c r="I3861" s="8" t="s">
        <v>8</v>
      </c>
      <c r="J3861" s="8" t="s">
        <v>8</v>
      </c>
      <c r="K3861" s="8" t="s">
        <v>8</v>
      </c>
      <c r="L3861" s="8" t="s">
        <v>8</v>
      </c>
      <c r="M3861" s="8"/>
      <c r="N3861" s="8"/>
      <c r="O3861" s="8" t="s">
        <v>8</v>
      </c>
      <c r="P3861" s="8" t="s">
        <v>8</v>
      </c>
    </row>
    <row r="3862">
      <c r="E3862" s="31"/>
      <c r="F3862" s="8" t="s">
        <v>8</v>
      </c>
      <c r="G3862" s="8" t="s">
        <v>8</v>
      </c>
      <c r="H3862" s="8" t="s">
        <v>8</v>
      </c>
      <c r="I3862" s="8" t="s">
        <v>8</v>
      </c>
      <c r="J3862" s="8" t="s">
        <v>8</v>
      </c>
      <c r="K3862" s="8" t="s">
        <v>8</v>
      </c>
      <c r="L3862" s="8" t="s">
        <v>8</v>
      </c>
      <c r="M3862" s="8"/>
      <c r="N3862" s="8"/>
      <c r="O3862" s="8" t="s">
        <v>8</v>
      </c>
      <c r="P3862" s="8" t="s">
        <v>8</v>
      </c>
    </row>
    <row r="3863">
      <c r="E3863" s="31"/>
      <c r="F3863" s="8" t="s">
        <v>8</v>
      </c>
      <c r="G3863" s="8" t="s">
        <v>8</v>
      </c>
      <c r="H3863" s="8" t="s">
        <v>8</v>
      </c>
      <c r="I3863" s="8" t="s">
        <v>8</v>
      </c>
      <c r="J3863" s="8" t="s">
        <v>8</v>
      </c>
      <c r="K3863" s="8" t="s">
        <v>8</v>
      </c>
      <c r="L3863" s="8" t="s">
        <v>8</v>
      </c>
      <c r="M3863" s="8"/>
      <c r="N3863" s="8"/>
      <c r="O3863" s="8" t="s">
        <v>8</v>
      </c>
      <c r="P3863" s="8" t="s">
        <v>8</v>
      </c>
    </row>
    <row r="3864">
      <c r="E3864" s="31"/>
      <c r="F3864" s="8" t="s">
        <v>8</v>
      </c>
      <c r="G3864" s="8" t="s">
        <v>8</v>
      </c>
      <c r="H3864" s="8" t="s">
        <v>8</v>
      </c>
      <c r="I3864" s="8" t="s">
        <v>8</v>
      </c>
      <c r="J3864" s="8" t="s">
        <v>8</v>
      </c>
      <c r="K3864" s="8" t="s">
        <v>8</v>
      </c>
      <c r="L3864" s="8" t="s">
        <v>8</v>
      </c>
      <c r="M3864" s="8"/>
      <c r="N3864" s="8"/>
      <c r="O3864" s="8" t="s">
        <v>8</v>
      </c>
      <c r="P3864" s="8" t="s">
        <v>8</v>
      </c>
    </row>
    <row r="3865">
      <c r="E3865" s="31"/>
      <c r="F3865" s="8" t="s">
        <v>8</v>
      </c>
      <c r="G3865" s="8" t="s">
        <v>8</v>
      </c>
      <c r="H3865" s="8" t="s">
        <v>8</v>
      </c>
      <c r="I3865" s="8" t="s">
        <v>8</v>
      </c>
      <c r="J3865" s="8" t="s">
        <v>8</v>
      </c>
      <c r="K3865" s="8" t="s">
        <v>8</v>
      </c>
      <c r="L3865" s="8" t="s">
        <v>8</v>
      </c>
      <c r="M3865" s="8"/>
      <c r="N3865" s="8"/>
      <c r="O3865" s="8" t="s">
        <v>8</v>
      </c>
      <c r="P3865" s="8" t="s">
        <v>8</v>
      </c>
    </row>
    <row r="3866">
      <c r="E3866" s="31"/>
      <c r="F3866" s="8" t="s">
        <v>8</v>
      </c>
      <c r="G3866" s="8" t="s">
        <v>8</v>
      </c>
      <c r="H3866" s="8" t="s">
        <v>8</v>
      </c>
      <c r="I3866" s="8" t="s">
        <v>8</v>
      </c>
      <c r="J3866" s="8" t="s">
        <v>8</v>
      </c>
      <c r="K3866" s="8" t="s">
        <v>8</v>
      </c>
      <c r="L3866" s="8" t="s">
        <v>8</v>
      </c>
      <c r="M3866" s="8"/>
      <c r="N3866" s="8"/>
      <c r="O3866" s="8" t="s">
        <v>8</v>
      </c>
      <c r="P3866" s="8" t="s">
        <v>8</v>
      </c>
    </row>
    <row r="3867">
      <c r="E3867" s="31"/>
      <c r="F3867" s="8" t="s">
        <v>8</v>
      </c>
      <c r="G3867" s="8" t="s">
        <v>8</v>
      </c>
      <c r="H3867" s="8" t="s">
        <v>8</v>
      </c>
      <c r="I3867" s="8" t="s">
        <v>8</v>
      </c>
      <c r="J3867" s="8" t="s">
        <v>8</v>
      </c>
      <c r="K3867" s="8" t="s">
        <v>8</v>
      </c>
      <c r="L3867" s="8" t="s">
        <v>8</v>
      </c>
      <c r="M3867" s="8"/>
      <c r="N3867" s="8"/>
      <c r="O3867" s="8" t="s">
        <v>8</v>
      </c>
      <c r="P3867" s="8" t="s">
        <v>8</v>
      </c>
    </row>
    <row r="3868">
      <c r="E3868" s="31"/>
      <c r="F3868" s="8" t="s">
        <v>8</v>
      </c>
      <c r="G3868" s="8" t="s">
        <v>8</v>
      </c>
      <c r="H3868" s="8" t="s">
        <v>8</v>
      </c>
      <c r="I3868" s="8" t="s">
        <v>8</v>
      </c>
      <c r="J3868" s="8" t="s">
        <v>8</v>
      </c>
      <c r="K3868" s="8" t="s">
        <v>8</v>
      </c>
      <c r="L3868" s="8" t="s">
        <v>8</v>
      </c>
      <c r="M3868" s="8"/>
      <c r="N3868" s="8"/>
      <c r="O3868" s="8" t="s">
        <v>8</v>
      </c>
      <c r="P3868" s="8" t="s">
        <v>8</v>
      </c>
    </row>
    <row r="3869">
      <c r="E3869" s="31"/>
      <c r="F3869" s="8" t="s">
        <v>8</v>
      </c>
      <c r="G3869" s="8" t="s">
        <v>8</v>
      </c>
      <c r="H3869" s="8" t="s">
        <v>8</v>
      </c>
      <c r="I3869" s="8" t="s">
        <v>8</v>
      </c>
      <c r="J3869" s="8" t="s">
        <v>8</v>
      </c>
      <c r="K3869" s="8" t="s">
        <v>8</v>
      </c>
      <c r="L3869" s="8" t="s">
        <v>8</v>
      </c>
      <c r="M3869" s="8"/>
      <c r="N3869" s="8"/>
      <c r="O3869" s="8" t="s">
        <v>8</v>
      </c>
      <c r="P3869" s="8" t="s">
        <v>8</v>
      </c>
    </row>
    <row r="3870">
      <c r="E3870" s="31"/>
      <c r="F3870" s="8" t="s">
        <v>8</v>
      </c>
      <c r="G3870" s="8" t="s">
        <v>8</v>
      </c>
      <c r="H3870" s="8" t="s">
        <v>8</v>
      </c>
      <c r="I3870" s="8" t="s">
        <v>8</v>
      </c>
      <c r="J3870" s="8" t="s">
        <v>8</v>
      </c>
      <c r="K3870" s="8" t="s">
        <v>8</v>
      </c>
      <c r="L3870" s="8" t="s">
        <v>8</v>
      </c>
      <c r="M3870" s="8"/>
      <c r="N3870" s="8"/>
      <c r="O3870" s="8" t="s">
        <v>8</v>
      </c>
      <c r="P3870" s="8" t="s">
        <v>8</v>
      </c>
    </row>
    <row r="3871">
      <c r="E3871" s="31"/>
      <c r="F3871" s="8" t="s">
        <v>8</v>
      </c>
      <c r="G3871" s="8" t="s">
        <v>8</v>
      </c>
      <c r="H3871" s="8" t="s">
        <v>8</v>
      </c>
      <c r="I3871" s="8" t="s">
        <v>8</v>
      </c>
      <c r="J3871" s="8" t="s">
        <v>8</v>
      </c>
      <c r="K3871" s="8" t="s">
        <v>8</v>
      </c>
      <c r="L3871" s="8" t="s">
        <v>8</v>
      </c>
      <c r="M3871" s="8"/>
      <c r="N3871" s="8"/>
      <c r="O3871" s="8" t="s">
        <v>8</v>
      </c>
      <c r="P3871" s="8" t="s">
        <v>8</v>
      </c>
    </row>
    <row r="3872">
      <c r="E3872" s="31"/>
      <c r="F3872" s="8" t="s">
        <v>8</v>
      </c>
      <c r="G3872" s="8" t="s">
        <v>8</v>
      </c>
      <c r="H3872" s="8" t="s">
        <v>8</v>
      </c>
      <c r="I3872" s="8" t="s">
        <v>8</v>
      </c>
      <c r="J3872" s="8" t="s">
        <v>8</v>
      </c>
      <c r="K3872" s="8" t="s">
        <v>8</v>
      </c>
      <c r="L3872" s="8" t="s">
        <v>8</v>
      </c>
      <c r="M3872" s="8"/>
      <c r="N3872" s="8"/>
      <c r="O3872" s="8" t="s">
        <v>8</v>
      </c>
      <c r="P3872" s="8" t="s">
        <v>8</v>
      </c>
    </row>
    <row r="3873">
      <c r="E3873" s="31"/>
      <c r="F3873" s="8" t="s">
        <v>8</v>
      </c>
      <c r="G3873" s="8" t="s">
        <v>8</v>
      </c>
      <c r="H3873" s="8" t="s">
        <v>8</v>
      </c>
      <c r="I3873" s="8" t="s">
        <v>8</v>
      </c>
      <c r="J3873" s="8" t="s">
        <v>8</v>
      </c>
      <c r="K3873" s="8" t="s">
        <v>8</v>
      </c>
      <c r="L3873" s="8" t="s">
        <v>8</v>
      </c>
      <c r="M3873" s="8"/>
      <c r="N3873" s="8"/>
      <c r="O3873" s="8" t="s">
        <v>8</v>
      </c>
      <c r="P3873" s="8" t="s">
        <v>8</v>
      </c>
    </row>
    <row r="3874">
      <c r="E3874" s="31"/>
      <c r="F3874" s="8" t="s">
        <v>8</v>
      </c>
      <c r="G3874" s="8" t="s">
        <v>8</v>
      </c>
      <c r="H3874" s="8" t="s">
        <v>8</v>
      </c>
      <c r="I3874" s="8" t="s">
        <v>8</v>
      </c>
      <c r="J3874" s="8" t="s">
        <v>8</v>
      </c>
      <c r="K3874" s="8" t="s">
        <v>8</v>
      </c>
      <c r="L3874" s="8" t="s">
        <v>8</v>
      </c>
      <c r="M3874" s="8"/>
      <c r="N3874" s="8"/>
      <c r="O3874" s="8" t="s">
        <v>8</v>
      </c>
      <c r="P3874" s="8" t="s">
        <v>8</v>
      </c>
    </row>
    <row r="3875">
      <c r="E3875" s="31"/>
      <c r="F3875" s="8" t="s">
        <v>8</v>
      </c>
      <c r="G3875" s="8" t="s">
        <v>8</v>
      </c>
      <c r="H3875" s="8" t="s">
        <v>8</v>
      </c>
      <c r="I3875" s="8" t="s">
        <v>8</v>
      </c>
      <c r="J3875" s="8" t="s">
        <v>8</v>
      </c>
      <c r="K3875" s="8" t="s">
        <v>8</v>
      </c>
      <c r="L3875" s="8" t="s">
        <v>8</v>
      </c>
      <c r="M3875" s="8"/>
      <c r="N3875" s="8"/>
      <c r="O3875" s="8" t="s">
        <v>8</v>
      </c>
      <c r="P3875" s="8" t="s">
        <v>8</v>
      </c>
    </row>
    <row r="3876">
      <c r="E3876" s="31"/>
      <c r="F3876" s="8" t="s">
        <v>8</v>
      </c>
      <c r="G3876" s="8" t="s">
        <v>8</v>
      </c>
      <c r="H3876" s="8" t="s">
        <v>8</v>
      </c>
      <c r="I3876" s="8" t="s">
        <v>8</v>
      </c>
      <c r="J3876" s="8" t="s">
        <v>8</v>
      </c>
      <c r="K3876" s="8" t="s">
        <v>8</v>
      </c>
      <c r="L3876" s="8" t="s">
        <v>8</v>
      </c>
      <c r="M3876" s="8"/>
      <c r="N3876" s="8"/>
      <c r="O3876" s="8" t="s">
        <v>8</v>
      </c>
      <c r="P3876" s="8" t="s">
        <v>8</v>
      </c>
    </row>
    <row r="3877">
      <c r="E3877" s="31"/>
      <c r="F3877" s="8" t="s">
        <v>8</v>
      </c>
      <c r="G3877" s="8" t="s">
        <v>8</v>
      </c>
      <c r="H3877" s="8" t="s">
        <v>8</v>
      </c>
      <c r="I3877" s="8" t="s">
        <v>8</v>
      </c>
      <c r="J3877" s="8" t="s">
        <v>8</v>
      </c>
      <c r="K3877" s="8" t="s">
        <v>8</v>
      </c>
      <c r="L3877" s="8" t="s">
        <v>8</v>
      </c>
      <c r="M3877" s="8"/>
      <c r="N3877" s="8"/>
      <c r="O3877" s="8" t="s">
        <v>8</v>
      </c>
      <c r="P3877" s="8" t="s">
        <v>8</v>
      </c>
    </row>
    <row r="3878">
      <c r="E3878" s="31"/>
      <c r="F3878" s="8" t="s">
        <v>8</v>
      </c>
      <c r="G3878" s="8" t="s">
        <v>8</v>
      </c>
      <c r="H3878" s="8" t="s">
        <v>8</v>
      </c>
      <c r="I3878" s="8" t="s">
        <v>8</v>
      </c>
      <c r="J3878" s="8" t="s">
        <v>8</v>
      </c>
      <c r="K3878" s="8" t="s">
        <v>8</v>
      </c>
      <c r="L3878" s="8" t="s">
        <v>8</v>
      </c>
      <c r="M3878" s="8"/>
      <c r="N3878" s="8"/>
      <c r="O3878" s="8" t="s">
        <v>8</v>
      </c>
      <c r="P3878" s="8" t="s">
        <v>8</v>
      </c>
    </row>
    <row r="3879">
      <c r="E3879" s="31"/>
      <c r="F3879" s="8" t="s">
        <v>8</v>
      </c>
      <c r="G3879" s="8" t="s">
        <v>8</v>
      </c>
      <c r="H3879" s="8" t="s">
        <v>8</v>
      </c>
      <c r="I3879" s="8" t="s">
        <v>8</v>
      </c>
      <c r="J3879" s="8" t="s">
        <v>8</v>
      </c>
      <c r="K3879" s="8" t="s">
        <v>8</v>
      </c>
      <c r="L3879" s="8" t="s">
        <v>8</v>
      </c>
      <c r="M3879" s="8"/>
      <c r="N3879" s="8"/>
      <c r="O3879" s="8" t="s">
        <v>8</v>
      </c>
      <c r="P3879" s="8" t="s">
        <v>8</v>
      </c>
    </row>
    <row r="3880">
      <c r="E3880" s="31"/>
      <c r="F3880" s="8" t="s">
        <v>8</v>
      </c>
      <c r="G3880" s="8" t="s">
        <v>8</v>
      </c>
      <c r="H3880" s="8" t="s">
        <v>8</v>
      </c>
      <c r="I3880" s="8" t="s">
        <v>8</v>
      </c>
      <c r="J3880" s="8" t="s">
        <v>8</v>
      </c>
      <c r="K3880" s="8" t="s">
        <v>8</v>
      </c>
      <c r="L3880" s="8" t="s">
        <v>8</v>
      </c>
      <c r="M3880" s="8"/>
      <c r="N3880" s="8"/>
      <c r="O3880" s="8" t="s">
        <v>8</v>
      </c>
      <c r="P3880" s="8" t="s">
        <v>8</v>
      </c>
    </row>
    <row r="3881">
      <c r="E3881" s="31"/>
      <c r="F3881" s="8" t="s">
        <v>8</v>
      </c>
      <c r="G3881" s="8" t="s">
        <v>8</v>
      </c>
      <c r="H3881" s="8" t="s">
        <v>8</v>
      </c>
      <c r="I3881" s="8" t="s">
        <v>8</v>
      </c>
      <c r="J3881" s="8" t="s">
        <v>8</v>
      </c>
      <c r="K3881" s="8" t="s">
        <v>8</v>
      </c>
      <c r="L3881" s="8" t="s">
        <v>8</v>
      </c>
      <c r="M3881" s="8"/>
      <c r="N3881" s="8"/>
      <c r="O3881" s="8" t="s">
        <v>8</v>
      </c>
      <c r="P3881" s="8" t="s">
        <v>8</v>
      </c>
    </row>
    <row r="3882">
      <c r="E3882" s="31"/>
      <c r="F3882" s="8" t="s">
        <v>8</v>
      </c>
      <c r="G3882" s="8" t="s">
        <v>8</v>
      </c>
      <c r="H3882" s="8" t="s">
        <v>8</v>
      </c>
      <c r="I3882" s="8" t="s">
        <v>8</v>
      </c>
      <c r="J3882" s="8" t="s">
        <v>8</v>
      </c>
      <c r="K3882" s="8" t="s">
        <v>8</v>
      </c>
      <c r="L3882" s="8" t="s">
        <v>8</v>
      </c>
      <c r="M3882" s="8"/>
      <c r="N3882" s="8"/>
      <c r="O3882" s="8" t="s">
        <v>8</v>
      </c>
      <c r="P3882" s="8" t="s">
        <v>8</v>
      </c>
    </row>
    <row r="3883">
      <c r="E3883" s="31"/>
      <c r="F3883" s="8" t="s">
        <v>8</v>
      </c>
      <c r="G3883" s="8" t="s">
        <v>8</v>
      </c>
      <c r="H3883" s="8" t="s">
        <v>8</v>
      </c>
      <c r="I3883" s="8" t="s">
        <v>8</v>
      </c>
      <c r="J3883" s="8" t="s">
        <v>8</v>
      </c>
      <c r="K3883" s="8" t="s">
        <v>8</v>
      </c>
      <c r="L3883" s="8" t="s">
        <v>8</v>
      </c>
      <c r="M3883" s="8"/>
      <c r="N3883" s="8"/>
      <c r="O3883" s="8" t="s">
        <v>8</v>
      </c>
      <c r="P3883" s="8" t="s">
        <v>8</v>
      </c>
    </row>
    <row r="3884">
      <c r="E3884" s="31"/>
      <c r="F3884" s="8" t="s">
        <v>8</v>
      </c>
      <c r="G3884" s="8" t="s">
        <v>8</v>
      </c>
      <c r="H3884" s="8" t="s">
        <v>8</v>
      </c>
      <c r="I3884" s="8" t="s">
        <v>8</v>
      </c>
      <c r="J3884" s="8" t="s">
        <v>8</v>
      </c>
      <c r="K3884" s="8" t="s">
        <v>8</v>
      </c>
      <c r="L3884" s="8" t="s">
        <v>8</v>
      </c>
      <c r="M3884" s="8"/>
      <c r="N3884" s="8"/>
      <c r="O3884" s="8" t="s">
        <v>8</v>
      </c>
      <c r="P3884" s="8" t="s">
        <v>8</v>
      </c>
    </row>
    <row r="3885">
      <c r="E3885" s="31"/>
      <c r="F3885" s="8" t="s">
        <v>8</v>
      </c>
      <c r="G3885" s="8" t="s">
        <v>8</v>
      </c>
      <c r="H3885" s="8" t="s">
        <v>8</v>
      </c>
      <c r="I3885" s="8" t="s">
        <v>8</v>
      </c>
      <c r="J3885" s="8" t="s">
        <v>8</v>
      </c>
      <c r="K3885" s="8" t="s">
        <v>8</v>
      </c>
      <c r="L3885" s="8" t="s">
        <v>8</v>
      </c>
      <c r="M3885" s="8"/>
      <c r="N3885" s="8"/>
      <c r="O3885" s="8" t="s">
        <v>8</v>
      </c>
      <c r="P3885" s="8" t="s">
        <v>8</v>
      </c>
    </row>
    <row r="3886">
      <c r="E3886" s="31"/>
      <c r="F3886" s="8" t="s">
        <v>8</v>
      </c>
      <c r="G3886" s="8" t="s">
        <v>8</v>
      </c>
      <c r="H3886" s="8" t="s">
        <v>8</v>
      </c>
      <c r="I3886" s="8" t="s">
        <v>8</v>
      </c>
      <c r="J3886" s="8" t="s">
        <v>8</v>
      </c>
      <c r="K3886" s="8" t="s">
        <v>8</v>
      </c>
      <c r="L3886" s="8" t="s">
        <v>8</v>
      </c>
      <c r="M3886" s="8"/>
      <c r="N3886" s="8"/>
      <c r="O3886" s="8" t="s">
        <v>8</v>
      </c>
      <c r="P3886" s="8" t="s">
        <v>8</v>
      </c>
    </row>
    <row r="3887">
      <c r="E3887" s="31"/>
      <c r="F3887" s="8" t="s">
        <v>8</v>
      </c>
      <c r="G3887" s="8" t="s">
        <v>8</v>
      </c>
      <c r="H3887" s="8" t="s">
        <v>8</v>
      </c>
      <c r="I3887" s="8" t="s">
        <v>8</v>
      </c>
      <c r="J3887" s="8" t="s">
        <v>8</v>
      </c>
      <c r="K3887" s="8" t="s">
        <v>8</v>
      </c>
      <c r="L3887" s="8" t="s">
        <v>8</v>
      </c>
      <c r="M3887" s="8"/>
      <c r="N3887" s="8"/>
      <c r="O3887" s="8" t="s">
        <v>8</v>
      </c>
      <c r="P3887" s="8" t="s">
        <v>8</v>
      </c>
    </row>
    <row r="3888">
      <c r="E3888" s="31"/>
      <c r="F3888" s="8" t="s">
        <v>8</v>
      </c>
      <c r="G3888" s="8" t="s">
        <v>8</v>
      </c>
      <c r="H3888" s="8" t="s">
        <v>8</v>
      </c>
      <c r="I3888" s="8" t="s">
        <v>8</v>
      </c>
      <c r="J3888" s="8" t="s">
        <v>8</v>
      </c>
      <c r="K3888" s="8" t="s">
        <v>8</v>
      </c>
      <c r="L3888" s="8" t="s">
        <v>8</v>
      </c>
      <c r="M3888" s="8"/>
      <c r="N3888" s="8"/>
      <c r="O3888" s="8" t="s">
        <v>8</v>
      </c>
      <c r="P3888" s="8" t="s">
        <v>8</v>
      </c>
    </row>
    <row r="3889">
      <c r="E3889" s="31"/>
      <c r="F3889" s="8" t="s">
        <v>8</v>
      </c>
      <c r="G3889" s="8" t="s">
        <v>8</v>
      </c>
      <c r="H3889" s="8" t="s">
        <v>8</v>
      </c>
      <c r="I3889" s="8" t="s">
        <v>8</v>
      </c>
      <c r="J3889" s="8" t="s">
        <v>8</v>
      </c>
      <c r="K3889" s="8" t="s">
        <v>8</v>
      </c>
      <c r="L3889" s="8" t="s">
        <v>8</v>
      </c>
      <c r="M3889" s="8"/>
      <c r="N3889" s="8"/>
      <c r="O3889" s="8" t="s">
        <v>8</v>
      </c>
      <c r="P3889" s="8" t="s">
        <v>8</v>
      </c>
    </row>
    <row r="3890">
      <c r="E3890" s="31"/>
      <c r="F3890" s="8" t="s">
        <v>8</v>
      </c>
      <c r="G3890" s="8" t="s">
        <v>8</v>
      </c>
      <c r="H3890" s="8" t="s">
        <v>8</v>
      </c>
      <c r="I3890" s="8" t="s">
        <v>8</v>
      </c>
      <c r="J3890" s="8" t="s">
        <v>8</v>
      </c>
      <c r="K3890" s="8" t="s">
        <v>8</v>
      </c>
      <c r="L3890" s="8" t="s">
        <v>8</v>
      </c>
      <c r="M3890" s="8"/>
      <c r="N3890" s="8"/>
      <c r="O3890" s="8" t="s">
        <v>8</v>
      </c>
      <c r="P3890" s="8" t="s">
        <v>8</v>
      </c>
    </row>
    <row r="3891">
      <c r="E3891" s="31"/>
      <c r="F3891" s="8" t="s">
        <v>8</v>
      </c>
      <c r="G3891" s="8" t="s">
        <v>8</v>
      </c>
      <c r="H3891" s="8" t="s">
        <v>8</v>
      </c>
      <c r="I3891" s="8" t="s">
        <v>8</v>
      </c>
      <c r="J3891" s="8" t="s">
        <v>8</v>
      </c>
      <c r="K3891" s="8" t="s">
        <v>8</v>
      </c>
      <c r="L3891" s="8" t="s">
        <v>8</v>
      </c>
      <c r="M3891" s="8"/>
      <c r="N3891" s="8"/>
      <c r="O3891" s="8" t="s">
        <v>8</v>
      </c>
      <c r="P3891" s="8" t="s">
        <v>8</v>
      </c>
    </row>
    <row r="3892">
      <c r="E3892" s="31"/>
      <c r="F3892" s="8" t="s">
        <v>8</v>
      </c>
      <c r="G3892" s="8" t="s">
        <v>8</v>
      </c>
      <c r="H3892" s="8" t="s">
        <v>8</v>
      </c>
      <c r="I3892" s="8" t="s">
        <v>8</v>
      </c>
      <c r="J3892" s="8" t="s">
        <v>8</v>
      </c>
      <c r="K3892" s="8" t="s">
        <v>8</v>
      </c>
      <c r="L3892" s="8" t="s">
        <v>8</v>
      </c>
      <c r="M3892" s="8"/>
      <c r="N3892" s="8"/>
      <c r="O3892" s="8" t="s">
        <v>8</v>
      </c>
      <c r="P3892" s="8" t="s">
        <v>8</v>
      </c>
    </row>
    <row r="3893">
      <c r="E3893" s="31"/>
      <c r="F3893" s="8" t="s">
        <v>8</v>
      </c>
      <c r="G3893" s="8" t="s">
        <v>8</v>
      </c>
      <c r="H3893" s="8" t="s">
        <v>8</v>
      </c>
      <c r="I3893" s="8" t="s">
        <v>8</v>
      </c>
      <c r="J3893" s="8" t="s">
        <v>8</v>
      </c>
      <c r="K3893" s="8" t="s">
        <v>8</v>
      </c>
      <c r="L3893" s="8" t="s">
        <v>8</v>
      </c>
      <c r="M3893" s="8"/>
      <c r="N3893" s="8"/>
      <c r="O3893" s="8" t="s">
        <v>8</v>
      </c>
      <c r="P3893" s="8" t="s">
        <v>8</v>
      </c>
    </row>
    <row r="3894">
      <c r="E3894" s="31"/>
      <c r="F3894" s="8" t="s">
        <v>8</v>
      </c>
      <c r="G3894" s="8" t="s">
        <v>8</v>
      </c>
      <c r="H3894" s="8" t="s">
        <v>8</v>
      </c>
      <c r="I3894" s="8" t="s">
        <v>8</v>
      </c>
      <c r="J3894" s="8" t="s">
        <v>8</v>
      </c>
      <c r="K3894" s="8" t="s">
        <v>8</v>
      </c>
      <c r="L3894" s="8" t="s">
        <v>8</v>
      </c>
      <c r="M3894" s="8"/>
      <c r="N3894" s="8"/>
      <c r="O3894" s="8" t="s">
        <v>8</v>
      </c>
      <c r="P3894" s="8" t="s">
        <v>8</v>
      </c>
    </row>
    <row r="3895">
      <c r="E3895" s="31"/>
      <c r="F3895" s="8" t="s">
        <v>8</v>
      </c>
      <c r="G3895" s="8" t="s">
        <v>8</v>
      </c>
      <c r="H3895" s="8" t="s">
        <v>8</v>
      </c>
      <c r="I3895" s="8" t="s">
        <v>8</v>
      </c>
      <c r="J3895" s="8" t="s">
        <v>8</v>
      </c>
      <c r="K3895" s="8" t="s">
        <v>8</v>
      </c>
      <c r="L3895" s="8" t="s">
        <v>8</v>
      </c>
      <c r="M3895" s="8"/>
      <c r="N3895" s="8"/>
      <c r="O3895" s="8" t="s">
        <v>8</v>
      </c>
      <c r="P3895" s="8" t="s">
        <v>8</v>
      </c>
    </row>
    <row r="3896">
      <c r="E3896" s="31"/>
      <c r="F3896" s="8" t="s">
        <v>8</v>
      </c>
      <c r="G3896" s="8" t="s">
        <v>8</v>
      </c>
      <c r="H3896" s="8" t="s">
        <v>8</v>
      </c>
      <c r="I3896" s="8" t="s">
        <v>8</v>
      </c>
      <c r="J3896" s="8" t="s">
        <v>8</v>
      </c>
      <c r="K3896" s="8" t="s">
        <v>8</v>
      </c>
      <c r="L3896" s="8" t="s">
        <v>8</v>
      </c>
      <c r="M3896" s="8"/>
      <c r="N3896" s="8"/>
      <c r="O3896" s="8" t="s">
        <v>8</v>
      </c>
      <c r="P3896" s="8" t="s">
        <v>8</v>
      </c>
    </row>
    <row r="3897">
      <c r="E3897" s="31"/>
      <c r="F3897" s="8" t="s">
        <v>8</v>
      </c>
      <c r="G3897" s="8" t="s">
        <v>8</v>
      </c>
      <c r="H3897" s="8" t="s">
        <v>8</v>
      </c>
      <c r="I3897" s="8" t="s">
        <v>8</v>
      </c>
      <c r="J3897" s="8" t="s">
        <v>8</v>
      </c>
      <c r="K3897" s="8" t="s">
        <v>8</v>
      </c>
      <c r="L3897" s="8" t="s">
        <v>8</v>
      </c>
      <c r="M3897" s="8"/>
      <c r="N3897" s="8"/>
      <c r="O3897" s="8" t="s">
        <v>8</v>
      </c>
      <c r="P3897" s="8" t="s">
        <v>8</v>
      </c>
    </row>
    <row r="3898">
      <c r="E3898" s="31"/>
      <c r="F3898" s="8" t="s">
        <v>8</v>
      </c>
      <c r="G3898" s="8" t="s">
        <v>8</v>
      </c>
      <c r="H3898" s="8" t="s">
        <v>8</v>
      </c>
      <c r="I3898" s="8" t="s">
        <v>8</v>
      </c>
      <c r="J3898" s="8" t="s">
        <v>8</v>
      </c>
      <c r="K3898" s="8" t="s">
        <v>8</v>
      </c>
      <c r="L3898" s="8" t="s">
        <v>8</v>
      </c>
      <c r="M3898" s="8"/>
      <c r="N3898" s="8"/>
      <c r="O3898" s="8" t="s">
        <v>8</v>
      </c>
      <c r="P3898" s="8" t="s">
        <v>8</v>
      </c>
    </row>
    <row r="3899">
      <c r="E3899" s="31"/>
      <c r="F3899" s="8" t="s">
        <v>8</v>
      </c>
      <c r="G3899" s="8" t="s">
        <v>8</v>
      </c>
      <c r="H3899" s="8" t="s">
        <v>8</v>
      </c>
      <c r="I3899" s="8" t="s">
        <v>8</v>
      </c>
      <c r="J3899" s="8" t="s">
        <v>8</v>
      </c>
      <c r="K3899" s="8" t="s">
        <v>8</v>
      </c>
      <c r="L3899" s="8" t="s">
        <v>8</v>
      </c>
      <c r="M3899" s="8"/>
      <c r="N3899" s="8"/>
      <c r="O3899" s="8" t="s">
        <v>8</v>
      </c>
      <c r="P3899" s="8" t="s">
        <v>8</v>
      </c>
    </row>
    <row r="3900">
      <c r="E3900" s="31"/>
      <c r="F3900" s="8" t="s">
        <v>8</v>
      </c>
      <c r="G3900" s="8" t="s">
        <v>8</v>
      </c>
      <c r="H3900" s="8" t="s">
        <v>8</v>
      </c>
      <c r="I3900" s="8" t="s">
        <v>8</v>
      </c>
      <c r="J3900" s="8" t="s">
        <v>8</v>
      </c>
      <c r="K3900" s="8" t="s">
        <v>8</v>
      </c>
      <c r="L3900" s="8" t="s">
        <v>8</v>
      </c>
      <c r="M3900" s="8"/>
      <c r="N3900" s="8"/>
      <c r="O3900" s="8" t="s">
        <v>8</v>
      </c>
      <c r="P3900" s="8" t="s">
        <v>8</v>
      </c>
    </row>
    <row r="3901">
      <c r="E3901" s="31"/>
      <c r="F3901" s="8" t="s">
        <v>8</v>
      </c>
      <c r="G3901" s="8" t="s">
        <v>8</v>
      </c>
      <c r="H3901" s="8" t="s">
        <v>8</v>
      </c>
      <c r="I3901" s="8" t="s">
        <v>8</v>
      </c>
      <c r="J3901" s="8" t="s">
        <v>8</v>
      </c>
      <c r="K3901" s="8" t="s">
        <v>8</v>
      </c>
      <c r="L3901" s="8" t="s">
        <v>8</v>
      </c>
      <c r="M3901" s="8"/>
      <c r="N3901" s="8"/>
      <c r="O3901" s="8" t="s">
        <v>8</v>
      </c>
      <c r="P3901" s="8" t="s">
        <v>8</v>
      </c>
    </row>
    <row r="3902">
      <c r="E3902" s="31"/>
      <c r="F3902" s="8" t="s">
        <v>8</v>
      </c>
      <c r="G3902" s="8" t="s">
        <v>8</v>
      </c>
      <c r="H3902" s="8" t="s">
        <v>8</v>
      </c>
      <c r="I3902" s="8" t="s">
        <v>8</v>
      </c>
      <c r="J3902" s="8" t="s">
        <v>8</v>
      </c>
      <c r="K3902" s="8" t="s">
        <v>8</v>
      </c>
      <c r="L3902" s="8" t="s">
        <v>8</v>
      </c>
      <c r="M3902" s="8"/>
      <c r="N3902" s="8"/>
      <c r="O3902" s="8" t="s">
        <v>8</v>
      </c>
      <c r="P3902" s="8" t="s">
        <v>8</v>
      </c>
    </row>
    <row r="3903">
      <c r="E3903" s="31"/>
      <c r="F3903" s="8" t="s">
        <v>8</v>
      </c>
      <c r="G3903" s="8" t="s">
        <v>8</v>
      </c>
      <c r="H3903" s="8" t="s">
        <v>8</v>
      </c>
      <c r="I3903" s="8" t="s">
        <v>8</v>
      </c>
      <c r="J3903" s="8" t="s">
        <v>8</v>
      </c>
      <c r="K3903" s="8" t="s">
        <v>8</v>
      </c>
      <c r="L3903" s="8" t="s">
        <v>8</v>
      </c>
      <c r="M3903" s="8"/>
      <c r="N3903" s="8"/>
      <c r="O3903" s="8" t="s">
        <v>8</v>
      </c>
      <c r="P3903" s="8" t="s">
        <v>8</v>
      </c>
    </row>
    <row r="3904">
      <c r="E3904" s="31"/>
      <c r="F3904" s="8" t="s">
        <v>8</v>
      </c>
      <c r="G3904" s="8" t="s">
        <v>8</v>
      </c>
      <c r="H3904" s="8" t="s">
        <v>8</v>
      </c>
      <c r="I3904" s="8" t="s">
        <v>8</v>
      </c>
      <c r="J3904" s="8" t="s">
        <v>8</v>
      </c>
      <c r="K3904" s="8" t="s">
        <v>8</v>
      </c>
      <c r="L3904" s="8" t="s">
        <v>8</v>
      </c>
      <c r="M3904" s="8"/>
      <c r="N3904" s="8"/>
      <c r="O3904" s="8" t="s">
        <v>8</v>
      </c>
      <c r="P3904" s="8" t="s">
        <v>8</v>
      </c>
    </row>
    <row r="3905">
      <c r="E3905" s="31"/>
      <c r="F3905" s="8" t="s">
        <v>8</v>
      </c>
      <c r="G3905" s="8" t="s">
        <v>8</v>
      </c>
      <c r="H3905" s="8" t="s">
        <v>8</v>
      </c>
      <c r="I3905" s="8" t="s">
        <v>8</v>
      </c>
      <c r="J3905" s="8" t="s">
        <v>8</v>
      </c>
      <c r="K3905" s="8" t="s">
        <v>8</v>
      </c>
      <c r="L3905" s="8" t="s">
        <v>8</v>
      </c>
      <c r="M3905" s="8"/>
      <c r="N3905" s="8"/>
      <c r="O3905" s="8" t="s">
        <v>8</v>
      </c>
      <c r="P3905" s="8" t="s">
        <v>8</v>
      </c>
    </row>
    <row r="3906">
      <c r="E3906" s="31"/>
      <c r="F3906" s="8" t="s">
        <v>8</v>
      </c>
      <c r="G3906" s="8" t="s">
        <v>8</v>
      </c>
      <c r="H3906" s="8" t="s">
        <v>8</v>
      </c>
      <c r="I3906" s="8" t="s">
        <v>8</v>
      </c>
      <c r="J3906" s="8" t="s">
        <v>8</v>
      </c>
      <c r="K3906" s="8" t="s">
        <v>8</v>
      </c>
      <c r="L3906" s="8" t="s">
        <v>8</v>
      </c>
      <c r="M3906" s="8"/>
      <c r="N3906" s="8"/>
      <c r="O3906" s="8" t="s">
        <v>8</v>
      </c>
      <c r="P3906" s="8" t="s">
        <v>8</v>
      </c>
    </row>
    <row r="3907">
      <c r="E3907" s="31"/>
      <c r="F3907" s="8" t="s">
        <v>8</v>
      </c>
      <c r="G3907" s="8" t="s">
        <v>8</v>
      </c>
      <c r="H3907" s="8" t="s">
        <v>8</v>
      </c>
      <c r="I3907" s="8" t="s">
        <v>8</v>
      </c>
      <c r="J3907" s="8" t="s">
        <v>8</v>
      </c>
      <c r="K3907" s="8" t="s">
        <v>8</v>
      </c>
      <c r="L3907" s="8" t="s">
        <v>8</v>
      </c>
      <c r="M3907" s="8"/>
      <c r="N3907" s="8"/>
      <c r="O3907" s="8" t="s">
        <v>8</v>
      </c>
      <c r="P3907" s="8" t="s">
        <v>8</v>
      </c>
    </row>
    <row r="3908">
      <c r="E3908" s="31"/>
      <c r="F3908" s="8" t="s">
        <v>8</v>
      </c>
      <c r="G3908" s="8" t="s">
        <v>8</v>
      </c>
      <c r="H3908" s="8" t="s">
        <v>8</v>
      </c>
      <c r="I3908" s="8" t="s">
        <v>8</v>
      </c>
      <c r="J3908" s="8" t="s">
        <v>8</v>
      </c>
      <c r="K3908" s="8" t="s">
        <v>8</v>
      </c>
      <c r="L3908" s="8" t="s">
        <v>8</v>
      </c>
      <c r="M3908" s="8"/>
      <c r="N3908" s="8"/>
      <c r="O3908" s="8" t="s">
        <v>8</v>
      </c>
      <c r="P3908" s="8" t="s">
        <v>8</v>
      </c>
    </row>
    <row r="3909">
      <c r="E3909" s="31"/>
      <c r="F3909" s="8" t="s">
        <v>8</v>
      </c>
      <c r="G3909" s="8" t="s">
        <v>8</v>
      </c>
      <c r="H3909" s="8" t="s">
        <v>8</v>
      </c>
      <c r="I3909" s="8" t="s">
        <v>8</v>
      </c>
      <c r="J3909" s="8" t="s">
        <v>8</v>
      </c>
      <c r="K3909" s="8" t="s">
        <v>8</v>
      </c>
      <c r="L3909" s="8" t="s">
        <v>8</v>
      </c>
      <c r="M3909" s="8"/>
      <c r="N3909" s="8"/>
      <c r="O3909" s="8" t="s">
        <v>8</v>
      </c>
      <c r="P3909" s="8" t="s">
        <v>8</v>
      </c>
    </row>
    <row r="3910">
      <c r="E3910" s="31"/>
      <c r="F3910" s="8" t="s">
        <v>8</v>
      </c>
      <c r="G3910" s="8" t="s">
        <v>8</v>
      </c>
      <c r="H3910" s="8" t="s">
        <v>8</v>
      </c>
      <c r="I3910" s="8" t="s">
        <v>8</v>
      </c>
      <c r="J3910" s="8" t="s">
        <v>8</v>
      </c>
      <c r="K3910" s="8" t="s">
        <v>8</v>
      </c>
      <c r="L3910" s="8" t="s">
        <v>8</v>
      </c>
      <c r="M3910" s="8"/>
      <c r="N3910" s="8"/>
      <c r="O3910" s="8" t="s">
        <v>8</v>
      </c>
      <c r="P3910" s="8" t="s">
        <v>8</v>
      </c>
    </row>
    <row r="3911">
      <c r="E3911" s="31"/>
      <c r="F3911" s="8" t="s">
        <v>8</v>
      </c>
      <c r="G3911" s="8" t="s">
        <v>8</v>
      </c>
      <c r="H3911" s="8" t="s">
        <v>8</v>
      </c>
      <c r="I3911" s="8" t="s">
        <v>8</v>
      </c>
      <c r="J3911" s="8" t="s">
        <v>8</v>
      </c>
      <c r="K3911" s="8" t="s">
        <v>8</v>
      </c>
      <c r="L3911" s="8" t="s">
        <v>8</v>
      </c>
      <c r="M3911" s="8"/>
      <c r="N3911" s="8"/>
      <c r="O3911" s="8" t="s">
        <v>8</v>
      </c>
      <c r="P3911" s="8" t="s">
        <v>8</v>
      </c>
    </row>
    <row r="3912">
      <c r="E3912" s="31"/>
      <c r="F3912" s="8" t="s">
        <v>8</v>
      </c>
      <c r="G3912" s="8" t="s">
        <v>8</v>
      </c>
      <c r="H3912" s="8" t="s">
        <v>8</v>
      </c>
      <c r="I3912" s="8" t="s">
        <v>8</v>
      </c>
      <c r="J3912" s="8" t="s">
        <v>8</v>
      </c>
      <c r="K3912" s="8" t="s">
        <v>8</v>
      </c>
      <c r="L3912" s="8" t="s">
        <v>8</v>
      </c>
      <c r="M3912" s="8"/>
      <c r="N3912" s="8"/>
      <c r="O3912" s="8" t="s">
        <v>8</v>
      </c>
      <c r="P3912" s="8" t="s">
        <v>8</v>
      </c>
    </row>
    <row r="3913">
      <c r="E3913" s="31"/>
      <c r="F3913" s="8" t="s">
        <v>8</v>
      </c>
      <c r="G3913" s="8" t="s">
        <v>8</v>
      </c>
      <c r="H3913" s="8" t="s">
        <v>8</v>
      </c>
      <c r="I3913" s="8" t="s">
        <v>8</v>
      </c>
      <c r="J3913" s="8" t="s">
        <v>8</v>
      </c>
      <c r="K3913" s="8" t="s">
        <v>8</v>
      </c>
      <c r="L3913" s="8" t="s">
        <v>8</v>
      </c>
      <c r="M3913" s="8"/>
      <c r="N3913" s="8"/>
      <c r="O3913" s="8" t="s">
        <v>8</v>
      </c>
      <c r="P3913" s="8" t="s">
        <v>8</v>
      </c>
    </row>
    <row r="3914">
      <c r="E3914" s="31"/>
      <c r="F3914" s="8" t="s">
        <v>8</v>
      </c>
      <c r="G3914" s="8" t="s">
        <v>8</v>
      </c>
      <c r="H3914" s="8" t="s">
        <v>8</v>
      </c>
      <c r="I3914" s="8" t="s">
        <v>8</v>
      </c>
      <c r="J3914" s="8" t="s">
        <v>8</v>
      </c>
      <c r="K3914" s="8" t="s">
        <v>8</v>
      </c>
      <c r="L3914" s="8" t="s">
        <v>8</v>
      </c>
      <c r="M3914" s="8"/>
      <c r="N3914" s="8"/>
      <c r="O3914" s="8" t="s">
        <v>8</v>
      </c>
      <c r="P3914" s="8" t="s">
        <v>8</v>
      </c>
    </row>
    <row r="3915">
      <c r="E3915" s="31"/>
      <c r="F3915" s="8" t="s">
        <v>8</v>
      </c>
      <c r="G3915" s="8" t="s">
        <v>8</v>
      </c>
      <c r="H3915" s="8" t="s">
        <v>8</v>
      </c>
      <c r="I3915" s="8" t="s">
        <v>8</v>
      </c>
      <c r="J3915" s="8" t="s">
        <v>8</v>
      </c>
      <c r="K3915" s="8" t="s">
        <v>8</v>
      </c>
      <c r="L3915" s="8" t="s">
        <v>8</v>
      </c>
      <c r="M3915" s="8"/>
      <c r="N3915" s="8"/>
      <c r="O3915" s="8" t="s">
        <v>8</v>
      </c>
      <c r="P3915" s="8" t="s">
        <v>8</v>
      </c>
    </row>
    <row r="3916">
      <c r="E3916" s="31"/>
      <c r="F3916" s="8" t="s">
        <v>8</v>
      </c>
      <c r="G3916" s="8" t="s">
        <v>8</v>
      </c>
      <c r="H3916" s="8" t="s">
        <v>8</v>
      </c>
      <c r="I3916" s="8" t="s">
        <v>8</v>
      </c>
      <c r="J3916" s="8" t="s">
        <v>8</v>
      </c>
      <c r="K3916" s="8" t="s">
        <v>8</v>
      </c>
      <c r="L3916" s="8" t="s">
        <v>8</v>
      </c>
      <c r="M3916" s="8"/>
      <c r="N3916" s="8"/>
      <c r="O3916" s="8" t="s">
        <v>8</v>
      </c>
      <c r="P3916" s="8" t="s">
        <v>8</v>
      </c>
    </row>
    <row r="3917">
      <c r="E3917" s="31"/>
      <c r="F3917" s="8" t="s">
        <v>8</v>
      </c>
      <c r="G3917" s="8" t="s">
        <v>8</v>
      </c>
      <c r="H3917" s="8" t="s">
        <v>8</v>
      </c>
      <c r="I3917" s="8" t="s">
        <v>8</v>
      </c>
      <c r="J3917" s="8" t="s">
        <v>8</v>
      </c>
      <c r="K3917" s="8" t="s">
        <v>8</v>
      </c>
      <c r="L3917" s="8" t="s">
        <v>8</v>
      </c>
      <c r="M3917" s="8"/>
      <c r="N3917" s="8"/>
      <c r="O3917" s="8" t="s">
        <v>8</v>
      </c>
      <c r="P3917" s="8" t="s">
        <v>8</v>
      </c>
    </row>
    <row r="3918">
      <c r="E3918" s="31"/>
      <c r="F3918" s="8" t="s">
        <v>8</v>
      </c>
      <c r="G3918" s="8" t="s">
        <v>8</v>
      </c>
      <c r="H3918" s="8" t="s">
        <v>8</v>
      </c>
      <c r="I3918" s="8" t="s">
        <v>8</v>
      </c>
      <c r="J3918" s="8" t="s">
        <v>8</v>
      </c>
      <c r="K3918" s="8" t="s">
        <v>8</v>
      </c>
      <c r="L3918" s="8" t="s">
        <v>8</v>
      </c>
      <c r="M3918" s="8"/>
      <c r="N3918" s="8"/>
      <c r="O3918" s="8" t="s">
        <v>8</v>
      </c>
      <c r="P3918" s="8" t="s">
        <v>8</v>
      </c>
    </row>
    <row r="3919">
      <c r="E3919" s="31"/>
      <c r="F3919" s="8" t="s">
        <v>8</v>
      </c>
      <c r="G3919" s="8" t="s">
        <v>8</v>
      </c>
      <c r="H3919" s="8" t="s">
        <v>8</v>
      </c>
      <c r="I3919" s="8" t="s">
        <v>8</v>
      </c>
      <c r="J3919" s="8" t="s">
        <v>8</v>
      </c>
      <c r="K3919" s="8" t="s">
        <v>8</v>
      </c>
      <c r="L3919" s="8" t="s">
        <v>8</v>
      </c>
      <c r="M3919" s="8"/>
      <c r="N3919" s="8"/>
      <c r="O3919" s="8" t="s">
        <v>8</v>
      </c>
      <c r="P3919" s="8" t="s">
        <v>8</v>
      </c>
    </row>
    <row r="3920">
      <c r="E3920" s="31"/>
      <c r="F3920" s="8" t="s">
        <v>8</v>
      </c>
      <c r="G3920" s="8" t="s">
        <v>8</v>
      </c>
      <c r="H3920" s="8" t="s">
        <v>8</v>
      </c>
      <c r="I3920" s="8" t="s">
        <v>8</v>
      </c>
      <c r="J3920" s="8" t="s">
        <v>8</v>
      </c>
      <c r="K3920" s="8" t="s">
        <v>8</v>
      </c>
      <c r="L3920" s="8" t="s">
        <v>8</v>
      </c>
      <c r="M3920" s="8"/>
      <c r="N3920" s="8"/>
      <c r="O3920" s="8" t="s">
        <v>8</v>
      </c>
      <c r="P3920" s="8" t="s">
        <v>8</v>
      </c>
    </row>
    <row r="3921">
      <c r="E3921" s="31"/>
      <c r="F3921" s="8" t="s">
        <v>8</v>
      </c>
      <c r="G3921" s="8" t="s">
        <v>8</v>
      </c>
      <c r="H3921" s="8" t="s">
        <v>8</v>
      </c>
      <c r="I3921" s="8" t="s">
        <v>8</v>
      </c>
      <c r="J3921" s="8" t="s">
        <v>8</v>
      </c>
      <c r="K3921" s="8" t="s">
        <v>8</v>
      </c>
      <c r="L3921" s="8" t="s">
        <v>8</v>
      </c>
      <c r="M3921" s="8"/>
      <c r="N3921" s="8"/>
      <c r="O3921" s="8" t="s">
        <v>8</v>
      </c>
      <c r="P3921" s="8" t="s">
        <v>8</v>
      </c>
    </row>
    <row r="3922">
      <c r="E3922" s="31"/>
      <c r="F3922" s="8" t="s">
        <v>8</v>
      </c>
      <c r="G3922" s="8" t="s">
        <v>8</v>
      </c>
      <c r="H3922" s="8" t="s">
        <v>8</v>
      </c>
      <c r="I3922" s="8" t="s">
        <v>8</v>
      </c>
      <c r="J3922" s="8" t="s">
        <v>8</v>
      </c>
      <c r="K3922" s="8" t="s">
        <v>8</v>
      </c>
      <c r="L3922" s="8" t="s">
        <v>8</v>
      </c>
      <c r="M3922" s="8"/>
      <c r="N3922" s="8"/>
      <c r="O3922" s="8" t="s">
        <v>8</v>
      </c>
      <c r="P3922" s="8" t="s">
        <v>8</v>
      </c>
    </row>
    <row r="3923">
      <c r="E3923" s="31"/>
      <c r="F3923" s="8" t="s">
        <v>8</v>
      </c>
      <c r="G3923" s="8" t="s">
        <v>8</v>
      </c>
      <c r="H3923" s="8" t="s">
        <v>8</v>
      </c>
      <c r="I3923" s="8" t="s">
        <v>8</v>
      </c>
      <c r="J3923" s="8" t="s">
        <v>8</v>
      </c>
      <c r="K3923" s="8" t="s">
        <v>8</v>
      </c>
      <c r="L3923" s="8" t="s">
        <v>8</v>
      </c>
      <c r="M3923" s="8"/>
      <c r="N3923" s="8"/>
      <c r="O3923" s="8" t="s">
        <v>8</v>
      </c>
      <c r="P3923" s="8" t="s">
        <v>8</v>
      </c>
    </row>
    <row r="3924">
      <c r="E3924" s="31"/>
      <c r="F3924" s="8" t="s">
        <v>8</v>
      </c>
      <c r="G3924" s="8" t="s">
        <v>8</v>
      </c>
      <c r="H3924" s="8" t="s">
        <v>8</v>
      </c>
      <c r="I3924" s="8" t="s">
        <v>8</v>
      </c>
      <c r="J3924" s="8" t="s">
        <v>8</v>
      </c>
      <c r="K3924" s="8" t="s">
        <v>8</v>
      </c>
      <c r="L3924" s="8" t="s">
        <v>8</v>
      </c>
      <c r="M3924" s="8"/>
      <c r="N3924" s="8"/>
      <c r="O3924" s="8" t="s">
        <v>8</v>
      </c>
      <c r="P3924" s="8" t="s">
        <v>8</v>
      </c>
    </row>
    <row r="3925">
      <c r="E3925" s="31"/>
      <c r="F3925" s="8" t="s">
        <v>8</v>
      </c>
      <c r="G3925" s="8" t="s">
        <v>8</v>
      </c>
      <c r="H3925" s="8" t="s">
        <v>8</v>
      </c>
      <c r="I3925" s="8" t="s">
        <v>8</v>
      </c>
      <c r="J3925" s="8" t="s">
        <v>8</v>
      </c>
      <c r="K3925" s="8" t="s">
        <v>8</v>
      </c>
      <c r="L3925" s="8" t="s">
        <v>8</v>
      </c>
      <c r="M3925" s="8"/>
      <c r="N3925" s="8"/>
      <c r="O3925" s="8" t="s">
        <v>8</v>
      </c>
      <c r="P3925" s="8" t="s">
        <v>8</v>
      </c>
    </row>
    <row r="3926">
      <c r="E3926" s="31"/>
      <c r="F3926" s="8" t="s">
        <v>8</v>
      </c>
      <c r="G3926" s="8" t="s">
        <v>8</v>
      </c>
      <c r="H3926" s="8" t="s">
        <v>8</v>
      </c>
      <c r="I3926" s="8" t="s">
        <v>8</v>
      </c>
      <c r="J3926" s="8" t="s">
        <v>8</v>
      </c>
      <c r="K3926" s="8" t="s">
        <v>8</v>
      </c>
      <c r="L3926" s="8" t="s">
        <v>8</v>
      </c>
      <c r="M3926" s="8"/>
      <c r="N3926" s="8"/>
      <c r="O3926" s="8" t="s">
        <v>8</v>
      </c>
      <c r="P3926" s="8" t="s">
        <v>8</v>
      </c>
    </row>
    <row r="3927">
      <c r="E3927" s="31"/>
      <c r="F3927" s="8" t="s">
        <v>8</v>
      </c>
      <c r="G3927" s="8" t="s">
        <v>8</v>
      </c>
      <c r="H3927" s="8" t="s">
        <v>8</v>
      </c>
      <c r="I3927" s="8" t="s">
        <v>8</v>
      </c>
      <c r="J3927" s="8" t="s">
        <v>8</v>
      </c>
      <c r="K3927" s="8" t="s">
        <v>8</v>
      </c>
      <c r="L3927" s="8" t="s">
        <v>8</v>
      </c>
      <c r="M3927" s="8"/>
      <c r="N3927" s="8"/>
      <c r="O3927" s="8" t="s">
        <v>8</v>
      </c>
      <c r="P3927" s="8" t="s">
        <v>8</v>
      </c>
    </row>
    <row r="3928">
      <c r="E3928" s="31"/>
      <c r="F3928" s="8" t="s">
        <v>8</v>
      </c>
      <c r="G3928" s="8" t="s">
        <v>8</v>
      </c>
      <c r="H3928" s="8" t="s">
        <v>8</v>
      </c>
      <c r="I3928" s="8" t="s">
        <v>8</v>
      </c>
      <c r="J3928" s="8" t="s">
        <v>8</v>
      </c>
      <c r="K3928" s="8" t="s">
        <v>8</v>
      </c>
      <c r="L3928" s="8" t="s">
        <v>8</v>
      </c>
      <c r="M3928" s="8"/>
      <c r="N3928" s="8"/>
      <c r="O3928" s="8" t="s">
        <v>8</v>
      </c>
      <c r="P3928" s="8" t="s">
        <v>8</v>
      </c>
    </row>
    <row r="3929">
      <c r="E3929" s="31"/>
      <c r="F3929" s="8" t="s">
        <v>8</v>
      </c>
      <c r="G3929" s="8" t="s">
        <v>8</v>
      </c>
      <c r="H3929" s="8" t="s">
        <v>8</v>
      </c>
      <c r="I3929" s="8" t="s">
        <v>8</v>
      </c>
      <c r="J3929" s="8" t="s">
        <v>8</v>
      </c>
      <c r="K3929" s="8" t="s">
        <v>8</v>
      </c>
      <c r="L3929" s="8" t="s">
        <v>8</v>
      </c>
      <c r="M3929" s="8"/>
      <c r="N3929" s="8"/>
      <c r="O3929" s="8" t="s">
        <v>8</v>
      </c>
      <c r="P3929" s="8" t="s">
        <v>8</v>
      </c>
    </row>
    <row r="3930">
      <c r="E3930" s="31"/>
      <c r="F3930" s="8" t="s">
        <v>8</v>
      </c>
      <c r="G3930" s="8" t="s">
        <v>8</v>
      </c>
      <c r="H3930" s="8" t="s">
        <v>8</v>
      </c>
      <c r="I3930" s="8" t="s">
        <v>8</v>
      </c>
      <c r="J3930" s="8" t="s">
        <v>8</v>
      </c>
      <c r="K3930" s="8" t="s">
        <v>8</v>
      </c>
      <c r="L3930" s="8" t="s">
        <v>8</v>
      </c>
      <c r="M3930" s="8"/>
      <c r="N3930" s="8"/>
      <c r="O3930" s="8" t="s">
        <v>8</v>
      </c>
      <c r="P3930" s="8" t="s">
        <v>8</v>
      </c>
    </row>
    <row r="3931">
      <c r="E3931" s="31"/>
      <c r="F3931" s="8" t="s">
        <v>8</v>
      </c>
      <c r="G3931" s="8" t="s">
        <v>8</v>
      </c>
      <c r="H3931" s="8" t="s">
        <v>8</v>
      </c>
      <c r="I3931" s="8" t="s">
        <v>8</v>
      </c>
      <c r="J3931" s="8" t="s">
        <v>8</v>
      </c>
      <c r="K3931" s="8" t="s">
        <v>8</v>
      </c>
      <c r="L3931" s="8" t="s">
        <v>8</v>
      </c>
      <c r="M3931" s="8"/>
      <c r="N3931" s="8"/>
      <c r="O3931" s="8" t="s">
        <v>8</v>
      </c>
      <c r="P3931" s="8" t="s">
        <v>8</v>
      </c>
    </row>
    <row r="3932">
      <c r="E3932" s="31"/>
      <c r="F3932" s="8" t="s">
        <v>8</v>
      </c>
      <c r="G3932" s="8" t="s">
        <v>8</v>
      </c>
      <c r="H3932" s="8" t="s">
        <v>8</v>
      </c>
      <c r="I3932" s="8" t="s">
        <v>8</v>
      </c>
      <c r="J3932" s="8" t="s">
        <v>8</v>
      </c>
      <c r="K3932" s="8" t="s">
        <v>8</v>
      </c>
      <c r="L3932" s="8" t="s">
        <v>8</v>
      </c>
      <c r="M3932" s="8"/>
      <c r="N3932" s="8"/>
      <c r="O3932" s="8" t="s">
        <v>8</v>
      </c>
      <c r="P3932" s="8" t="s">
        <v>8</v>
      </c>
    </row>
    <row r="3933">
      <c r="E3933" s="31"/>
      <c r="F3933" s="8" t="s">
        <v>8</v>
      </c>
      <c r="G3933" s="8" t="s">
        <v>8</v>
      </c>
      <c r="H3933" s="8" t="s">
        <v>8</v>
      </c>
      <c r="I3933" s="8" t="s">
        <v>8</v>
      </c>
      <c r="J3933" s="8" t="s">
        <v>8</v>
      </c>
      <c r="K3933" s="8" t="s">
        <v>8</v>
      </c>
      <c r="L3933" s="8" t="s">
        <v>8</v>
      </c>
      <c r="M3933" s="8"/>
      <c r="N3933" s="8"/>
      <c r="O3933" s="8" t="s">
        <v>8</v>
      </c>
      <c r="P3933" s="8" t="s">
        <v>8</v>
      </c>
    </row>
    <row r="3934">
      <c r="E3934" s="31"/>
      <c r="F3934" s="8" t="s">
        <v>8</v>
      </c>
      <c r="G3934" s="8" t="s">
        <v>8</v>
      </c>
      <c r="H3934" s="8" t="s">
        <v>8</v>
      </c>
      <c r="I3934" s="8" t="s">
        <v>8</v>
      </c>
      <c r="J3934" s="8" t="s">
        <v>8</v>
      </c>
      <c r="K3934" s="8" t="s">
        <v>8</v>
      </c>
      <c r="L3934" s="8" t="s">
        <v>8</v>
      </c>
      <c r="M3934" s="8"/>
      <c r="N3934" s="8"/>
      <c r="O3934" s="8" t="s">
        <v>8</v>
      </c>
      <c r="P3934" s="8" t="s">
        <v>8</v>
      </c>
    </row>
    <row r="3935">
      <c r="E3935" s="31"/>
      <c r="F3935" s="8" t="s">
        <v>8</v>
      </c>
      <c r="G3935" s="8" t="s">
        <v>8</v>
      </c>
      <c r="H3935" s="8" t="s">
        <v>8</v>
      </c>
      <c r="I3935" s="8" t="s">
        <v>8</v>
      </c>
      <c r="J3935" s="8" t="s">
        <v>8</v>
      </c>
      <c r="K3935" s="8" t="s">
        <v>8</v>
      </c>
      <c r="L3935" s="8" t="s">
        <v>8</v>
      </c>
      <c r="M3935" s="8"/>
      <c r="N3935" s="8"/>
      <c r="O3935" s="8" t="s">
        <v>8</v>
      </c>
      <c r="P3935" s="8" t="s">
        <v>8</v>
      </c>
    </row>
    <row r="3936">
      <c r="E3936" s="31"/>
      <c r="F3936" s="8" t="s">
        <v>8</v>
      </c>
      <c r="G3936" s="8" t="s">
        <v>8</v>
      </c>
      <c r="H3936" s="8" t="s">
        <v>8</v>
      </c>
      <c r="I3936" s="8" t="s">
        <v>8</v>
      </c>
      <c r="J3936" s="8" t="s">
        <v>8</v>
      </c>
      <c r="K3936" s="8" t="s">
        <v>8</v>
      </c>
      <c r="L3936" s="8" t="s">
        <v>8</v>
      </c>
      <c r="M3936" s="8"/>
      <c r="N3936" s="8"/>
      <c r="O3936" s="8" t="s">
        <v>8</v>
      </c>
      <c r="P3936" s="8" t="s">
        <v>8</v>
      </c>
    </row>
    <row r="3937">
      <c r="E3937" s="31"/>
      <c r="F3937" s="8" t="s">
        <v>8</v>
      </c>
      <c r="G3937" s="8" t="s">
        <v>8</v>
      </c>
      <c r="H3937" s="8" t="s">
        <v>8</v>
      </c>
      <c r="I3937" s="8" t="s">
        <v>8</v>
      </c>
      <c r="J3937" s="8" t="s">
        <v>8</v>
      </c>
      <c r="K3937" s="8" t="s">
        <v>8</v>
      </c>
      <c r="L3937" s="8" t="s">
        <v>8</v>
      </c>
      <c r="M3937" s="8"/>
      <c r="N3937" s="8"/>
      <c r="O3937" s="8" t="s">
        <v>8</v>
      </c>
      <c r="P3937" s="8" t="s">
        <v>8</v>
      </c>
    </row>
    <row r="3938">
      <c r="E3938" s="31"/>
      <c r="F3938" s="8" t="s">
        <v>8</v>
      </c>
      <c r="G3938" s="8" t="s">
        <v>8</v>
      </c>
      <c r="H3938" s="8" t="s">
        <v>8</v>
      </c>
      <c r="I3938" s="8" t="s">
        <v>8</v>
      </c>
      <c r="J3938" s="8" t="s">
        <v>8</v>
      </c>
      <c r="K3938" s="8" t="s">
        <v>8</v>
      </c>
      <c r="L3938" s="8" t="s">
        <v>8</v>
      </c>
      <c r="M3938" s="8"/>
      <c r="N3938" s="8"/>
      <c r="O3938" s="8" t="s">
        <v>8</v>
      </c>
      <c r="P3938" s="8" t="s">
        <v>8</v>
      </c>
    </row>
    <row r="3939">
      <c r="E3939" s="31"/>
      <c r="F3939" s="8" t="s">
        <v>8</v>
      </c>
      <c r="G3939" s="8" t="s">
        <v>8</v>
      </c>
      <c r="H3939" s="8" t="s">
        <v>8</v>
      </c>
      <c r="I3939" s="8" t="s">
        <v>8</v>
      </c>
      <c r="J3939" s="8" t="s">
        <v>8</v>
      </c>
      <c r="K3939" s="8" t="s">
        <v>8</v>
      </c>
      <c r="L3939" s="8" t="s">
        <v>8</v>
      </c>
      <c r="M3939" s="8"/>
      <c r="N3939" s="8"/>
      <c r="O3939" s="8" t="s">
        <v>8</v>
      </c>
      <c r="P3939" s="8" t="s">
        <v>8</v>
      </c>
    </row>
    <row r="3940">
      <c r="E3940" s="31"/>
      <c r="F3940" s="8" t="s">
        <v>8</v>
      </c>
      <c r="G3940" s="8" t="s">
        <v>8</v>
      </c>
      <c r="H3940" s="8" t="s">
        <v>8</v>
      </c>
      <c r="I3940" s="8" t="s">
        <v>8</v>
      </c>
      <c r="J3940" s="8" t="s">
        <v>8</v>
      </c>
      <c r="K3940" s="8" t="s">
        <v>8</v>
      </c>
      <c r="L3940" s="8" t="s">
        <v>8</v>
      </c>
      <c r="M3940" s="8"/>
      <c r="N3940" s="8"/>
      <c r="O3940" s="8" t="s">
        <v>8</v>
      </c>
      <c r="P3940" s="8" t="s">
        <v>8</v>
      </c>
    </row>
    <row r="3941">
      <c r="E3941" s="31"/>
      <c r="F3941" s="8" t="s">
        <v>8</v>
      </c>
      <c r="G3941" s="8" t="s">
        <v>8</v>
      </c>
      <c r="H3941" s="8" t="s">
        <v>8</v>
      </c>
      <c r="I3941" s="8" t="s">
        <v>8</v>
      </c>
      <c r="J3941" s="8" t="s">
        <v>8</v>
      </c>
      <c r="K3941" s="8" t="s">
        <v>8</v>
      </c>
      <c r="L3941" s="8" t="s">
        <v>8</v>
      </c>
      <c r="M3941" s="8"/>
      <c r="N3941" s="8"/>
      <c r="O3941" s="8" t="s">
        <v>8</v>
      </c>
      <c r="P3941" s="8" t="s">
        <v>8</v>
      </c>
    </row>
    <row r="3942">
      <c r="E3942" s="31"/>
      <c r="F3942" s="8" t="s">
        <v>8</v>
      </c>
      <c r="G3942" s="8" t="s">
        <v>8</v>
      </c>
      <c r="H3942" s="8" t="s">
        <v>8</v>
      </c>
      <c r="I3942" s="8" t="s">
        <v>8</v>
      </c>
      <c r="J3942" s="8" t="s">
        <v>8</v>
      </c>
      <c r="K3942" s="8" t="s">
        <v>8</v>
      </c>
      <c r="L3942" s="8" t="s">
        <v>8</v>
      </c>
      <c r="M3942" s="8"/>
      <c r="N3942" s="8"/>
      <c r="O3942" s="8" t="s">
        <v>8</v>
      </c>
      <c r="P3942" s="8" t="s">
        <v>8</v>
      </c>
    </row>
    <row r="3943">
      <c r="E3943" s="31"/>
      <c r="F3943" s="8" t="s">
        <v>8</v>
      </c>
      <c r="G3943" s="8" t="s">
        <v>8</v>
      </c>
      <c r="H3943" s="8" t="s">
        <v>8</v>
      </c>
      <c r="I3943" s="8" t="s">
        <v>8</v>
      </c>
      <c r="J3943" s="8" t="s">
        <v>8</v>
      </c>
      <c r="K3943" s="8" t="s">
        <v>8</v>
      </c>
      <c r="L3943" s="8" t="s">
        <v>8</v>
      </c>
      <c r="M3943" s="8"/>
      <c r="N3943" s="8"/>
      <c r="O3943" s="8" t="s">
        <v>8</v>
      </c>
      <c r="P3943" s="8" t="s">
        <v>8</v>
      </c>
    </row>
    <row r="3944">
      <c r="E3944" s="31"/>
      <c r="F3944" s="8" t="s">
        <v>8</v>
      </c>
      <c r="G3944" s="8" t="s">
        <v>8</v>
      </c>
      <c r="H3944" s="8" t="s">
        <v>8</v>
      </c>
      <c r="I3944" s="8" t="s">
        <v>8</v>
      </c>
      <c r="J3944" s="8" t="s">
        <v>8</v>
      </c>
      <c r="K3944" s="8" t="s">
        <v>8</v>
      </c>
      <c r="L3944" s="8" t="s">
        <v>8</v>
      </c>
      <c r="M3944" s="8"/>
      <c r="N3944" s="8"/>
      <c r="O3944" s="8" t="s">
        <v>8</v>
      </c>
      <c r="P3944" s="8" t="s">
        <v>8</v>
      </c>
    </row>
    <row r="3945">
      <c r="E3945" s="31"/>
      <c r="F3945" s="8" t="s">
        <v>8</v>
      </c>
      <c r="G3945" s="8" t="s">
        <v>8</v>
      </c>
      <c r="H3945" s="8" t="s">
        <v>8</v>
      </c>
      <c r="I3945" s="8" t="s">
        <v>8</v>
      </c>
      <c r="J3945" s="8" t="s">
        <v>8</v>
      </c>
      <c r="K3945" s="8" t="s">
        <v>8</v>
      </c>
      <c r="L3945" s="8" t="s">
        <v>8</v>
      </c>
      <c r="M3945" s="8"/>
      <c r="N3945" s="8"/>
      <c r="O3945" s="8" t="s">
        <v>8</v>
      </c>
      <c r="P3945" s="8" t="s">
        <v>8</v>
      </c>
    </row>
    <row r="3946">
      <c r="E3946" s="31"/>
      <c r="F3946" s="8" t="s">
        <v>8</v>
      </c>
      <c r="G3946" s="8" t="s">
        <v>8</v>
      </c>
      <c r="H3946" s="8" t="s">
        <v>8</v>
      </c>
      <c r="I3946" s="8" t="s">
        <v>8</v>
      </c>
      <c r="J3946" s="8" t="s">
        <v>8</v>
      </c>
      <c r="K3946" s="8" t="s">
        <v>8</v>
      </c>
      <c r="L3946" s="8" t="s">
        <v>8</v>
      </c>
      <c r="M3946" s="8"/>
      <c r="N3946" s="8"/>
      <c r="O3946" s="8" t="s">
        <v>8</v>
      </c>
      <c r="P3946" s="8" t="s">
        <v>8</v>
      </c>
    </row>
    <row r="3947">
      <c r="E3947" s="31"/>
      <c r="F3947" s="8" t="s">
        <v>8</v>
      </c>
      <c r="G3947" s="8" t="s">
        <v>8</v>
      </c>
      <c r="H3947" s="8" t="s">
        <v>8</v>
      </c>
      <c r="I3947" s="8" t="s">
        <v>8</v>
      </c>
      <c r="J3947" s="8" t="s">
        <v>8</v>
      </c>
      <c r="K3947" s="8" t="s">
        <v>8</v>
      </c>
      <c r="L3947" s="8" t="s">
        <v>8</v>
      </c>
      <c r="M3947" s="8"/>
      <c r="N3947" s="8"/>
      <c r="O3947" s="8" t="s">
        <v>8</v>
      </c>
      <c r="P3947" s="8" t="s">
        <v>8</v>
      </c>
    </row>
    <row r="3948">
      <c r="E3948" s="31"/>
      <c r="F3948" s="8" t="s">
        <v>8</v>
      </c>
      <c r="G3948" s="8" t="s">
        <v>8</v>
      </c>
      <c r="H3948" s="8" t="s">
        <v>8</v>
      </c>
      <c r="I3948" s="8" t="s">
        <v>8</v>
      </c>
      <c r="J3948" s="8" t="s">
        <v>8</v>
      </c>
      <c r="K3948" s="8" t="s">
        <v>8</v>
      </c>
      <c r="L3948" s="8" t="s">
        <v>8</v>
      </c>
      <c r="M3948" s="8"/>
      <c r="N3948" s="8"/>
      <c r="O3948" s="8" t="s">
        <v>8</v>
      </c>
      <c r="P3948" s="8" t="s">
        <v>8</v>
      </c>
    </row>
    <row r="3949">
      <c r="E3949" s="31"/>
      <c r="F3949" s="8" t="s">
        <v>8</v>
      </c>
      <c r="G3949" s="8" t="s">
        <v>8</v>
      </c>
      <c r="H3949" s="8" t="s">
        <v>8</v>
      </c>
      <c r="I3949" s="8" t="s">
        <v>8</v>
      </c>
      <c r="J3949" s="8" t="s">
        <v>8</v>
      </c>
      <c r="K3949" s="8" t="s">
        <v>8</v>
      </c>
      <c r="L3949" s="8" t="s">
        <v>8</v>
      </c>
      <c r="M3949" s="8"/>
      <c r="N3949" s="8"/>
      <c r="O3949" s="8" t="s">
        <v>8</v>
      </c>
      <c r="P3949" s="8" t="s">
        <v>8</v>
      </c>
    </row>
    <row r="3950">
      <c r="E3950" s="31"/>
      <c r="F3950" s="8" t="s">
        <v>8</v>
      </c>
      <c r="G3950" s="8" t="s">
        <v>8</v>
      </c>
      <c r="H3950" s="8" t="s">
        <v>8</v>
      </c>
      <c r="I3950" s="8" t="s">
        <v>8</v>
      </c>
      <c r="J3950" s="8" t="s">
        <v>8</v>
      </c>
      <c r="K3950" s="8" t="s">
        <v>8</v>
      </c>
      <c r="L3950" s="8" t="s">
        <v>8</v>
      </c>
      <c r="M3950" s="8"/>
      <c r="N3950" s="8"/>
      <c r="O3950" s="8" t="s">
        <v>8</v>
      </c>
      <c r="P3950" s="8" t="s">
        <v>8</v>
      </c>
    </row>
    <row r="3951">
      <c r="E3951" s="31"/>
      <c r="F3951" s="8" t="s">
        <v>8</v>
      </c>
      <c r="G3951" s="8" t="s">
        <v>8</v>
      </c>
      <c r="H3951" s="8" t="s">
        <v>8</v>
      </c>
      <c r="I3951" s="8" t="s">
        <v>8</v>
      </c>
      <c r="J3951" s="8" t="s">
        <v>8</v>
      </c>
      <c r="K3951" s="8" t="s">
        <v>8</v>
      </c>
      <c r="L3951" s="8" t="s">
        <v>8</v>
      </c>
      <c r="M3951" s="8"/>
      <c r="N3951" s="8"/>
      <c r="O3951" s="8" t="s">
        <v>8</v>
      </c>
      <c r="P3951" s="8" t="s">
        <v>8</v>
      </c>
    </row>
    <row r="3952">
      <c r="E3952" s="31"/>
      <c r="F3952" s="8" t="s">
        <v>8</v>
      </c>
      <c r="G3952" s="8" t="s">
        <v>8</v>
      </c>
      <c r="H3952" s="8" t="s">
        <v>8</v>
      </c>
      <c r="I3952" s="8" t="s">
        <v>8</v>
      </c>
      <c r="J3952" s="8" t="s">
        <v>8</v>
      </c>
      <c r="K3952" s="8" t="s">
        <v>8</v>
      </c>
      <c r="L3952" s="8" t="s">
        <v>8</v>
      </c>
      <c r="M3952" s="8"/>
      <c r="N3952" s="8"/>
      <c r="O3952" s="8" t="s">
        <v>8</v>
      </c>
      <c r="P3952" s="8" t="s">
        <v>8</v>
      </c>
    </row>
    <row r="3953">
      <c r="E3953" s="31"/>
      <c r="F3953" s="8" t="s">
        <v>8</v>
      </c>
      <c r="G3953" s="8" t="s">
        <v>8</v>
      </c>
      <c r="H3953" s="8" t="s">
        <v>8</v>
      </c>
      <c r="I3953" s="8" t="s">
        <v>8</v>
      </c>
      <c r="J3953" s="8" t="s">
        <v>8</v>
      </c>
      <c r="K3953" s="8" t="s">
        <v>8</v>
      </c>
      <c r="L3953" s="8" t="s">
        <v>8</v>
      </c>
      <c r="M3953" s="8"/>
      <c r="N3953" s="8"/>
      <c r="O3953" s="8" t="s">
        <v>8</v>
      </c>
      <c r="P3953" s="8" t="s">
        <v>8</v>
      </c>
    </row>
    <row r="3954">
      <c r="E3954" s="31"/>
      <c r="F3954" s="8" t="s">
        <v>8</v>
      </c>
      <c r="G3954" s="8" t="s">
        <v>8</v>
      </c>
      <c r="H3954" s="8" t="s">
        <v>8</v>
      </c>
      <c r="I3954" s="8" t="s">
        <v>8</v>
      </c>
      <c r="J3954" s="8" t="s">
        <v>8</v>
      </c>
      <c r="K3954" s="8" t="s">
        <v>8</v>
      </c>
      <c r="L3954" s="8" t="s">
        <v>8</v>
      </c>
      <c r="M3954" s="8"/>
      <c r="N3954" s="8"/>
      <c r="O3954" s="8" t="s">
        <v>8</v>
      </c>
      <c r="P3954" s="8" t="s">
        <v>8</v>
      </c>
    </row>
    <row r="3955">
      <c r="E3955" s="31"/>
      <c r="F3955" s="8" t="s">
        <v>8</v>
      </c>
      <c r="G3955" s="8" t="s">
        <v>8</v>
      </c>
      <c r="H3955" s="8" t="s">
        <v>8</v>
      </c>
      <c r="I3955" s="8" t="s">
        <v>8</v>
      </c>
      <c r="J3955" s="8" t="s">
        <v>8</v>
      </c>
      <c r="K3955" s="8" t="s">
        <v>8</v>
      </c>
      <c r="L3955" s="8" t="s">
        <v>8</v>
      </c>
      <c r="M3955" s="8"/>
      <c r="N3955" s="8"/>
      <c r="O3955" s="8" t="s">
        <v>8</v>
      </c>
      <c r="P3955" s="8" t="s">
        <v>8</v>
      </c>
    </row>
    <row r="3956">
      <c r="E3956" s="31"/>
      <c r="F3956" s="8" t="s">
        <v>8</v>
      </c>
      <c r="G3956" s="8" t="s">
        <v>8</v>
      </c>
      <c r="H3956" s="8" t="s">
        <v>8</v>
      </c>
      <c r="I3956" s="8" t="s">
        <v>8</v>
      </c>
      <c r="J3956" s="8" t="s">
        <v>8</v>
      </c>
      <c r="K3956" s="8" t="s">
        <v>8</v>
      </c>
      <c r="L3956" s="8" t="s">
        <v>8</v>
      </c>
      <c r="M3956" s="8"/>
      <c r="N3956" s="8"/>
      <c r="O3956" s="8" t="s">
        <v>8</v>
      </c>
      <c r="P3956" s="8" t="s">
        <v>8</v>
      </c>
    </row>
    <row r="3957">
      <c r="E3957" s="31"/>
      <c r="F3957" s="8" t="s">
        <v>8</v>
      </c>
      <c r="G3957" s="8" t="s">
        <v>8</v>
      </c>
      <c r="H3957" s="8" t="s">
        <v>8</v>
      </c>
      <c r="I3957" s="8" t="s">
        <v>8</v>
      </c>
      <c r="J3957" s="8" t="s">
        <v>8</v>
      </c>
      <c r="K3957" s="8" t="s">
        <v>8</v>
      </c>
      <c r="L3957" s="8" t="s">
        <v>8</v>
      </c>
      <c r="M3957" s="8"/>
      <c r="N3957" s="8"/>
      <c r="O3957" s="8" t="s">
        <v>8</v>
      </c>
      <c r="P3957" s="8" t="s">
        <v>8</v>
      </c>
    </row>
    <row r="3958">
      <c r="E3958" s="31"/>
      <c r="F3958" s="8" t="s">
        <v>8</v>
      </c>
      <c r="G3958" s="8" t="s">
        <v>8</v>
      </c>
      <c r="H3958" s="8" t="s">
        <v>8</v>
      </c>
      <c r="I3958" s="8" t="s">
        <v>8</v>
      </c>
      <c r="J3958" s="8" t="s">
        <v>8</v>
      </c>
      <c r="K3958" s="8" t="s">
        <v>8</v>
      </c>
      <c r="L3958" s="8" t="s">
        <v>8</v>
      </c>
      <c r="M3958" s="8"/>
      <c r="N3958" s="8"/>
      <c r="O3958" s="8" t="s">
        <v>8</v>
      </c>
      <c r="P3958" s="8" t="s">
        <v>8</v>
      </c>
    </row>
    <row r="3959">
      <c r="E3959" s="31"/>
      <c r="F3959" s="8" t="s">
        <v>8</v>
      </c>
      <c r="G3959" s="8" t="s">
        <v>8</v>
      </c>
      <c r="H3959" s="8" t="s">
        <v>8</v>
      </c>
      <c r="I3959" s="8" t="s">
        <v>8</v>
      </c>
      <c r="J3959" s="8" t="s">
        <v>8</v>
      </c>
      <c r="K3959" s="8" t="s">
        <v>8</v>
      </c>
      <c r="L3959" s="8" t="s">
        <v>8</v>
      </c>
      <c r="M3959" s="8"/>
      <c r="N3959" s="8"/>
      <c r="O3959" s="8" t="s">
        <v>8</v>
      </c>
      <c r="P3959" s="8" t="s">
        <v>8</v>
      </c>
    </row>
    <row r="3960">
      <c r="E3960" s="31"/>
      <c r="F3960" s="8" t="s">
        <v>8</v>
      </c>
      <c r="G3960" s="8" t="s">
        <v>8</v>
      </c>
      <c r="H3960" s="8" t="s">
        <v>8</v>
      </c>
      <c r="I3960" s="8" t="s">
        <v>8</v>
      </c>
      <c r="J3960" s="8" t="s">
        <v>8</v>
      </c>
      <c r="K3960" s="8" t="s">
        <v>8</v>
      </c>
      <c r="L3960" s="8" t="s">
        <v>8</v>
      </c>
      <c r="M3960" s="8"/>
      <c r="N3960" s="8"/>
      <c r="O3960" s="8" t="s">
        <v>8</v>
      </c>
      <c r="P3960" s="8" t="s">
        <v>8</v>
      </c>
    </row>
    <row r="3961">
      <c r="E3961" s="31"/>
      <c r="F3961" s="8" t="s">
        <v>8</v>
      </c>
      <c r="G3961" s="8" t="s">
        <v>8</v>
      </c>
      <c r="H3961" s="8" t="s">
        <v>8</v>
      </c>
      <c r="I3961" s="8" t="s">
        <v>8</v>
      </c>
      <c r="J3961" s="8" t="s">
        <v>8</v>
      </c>
      <c r="K3961" s="8" t="s">
        <v>8</v>
      </c>
      <c r="L3961" s="8" t="s">
        <v>8</v>
      </c>
      <c r="M3961" s="8"/>
      <c r="N3961" s="8"/>
      <c r="O3961" s="8" t="s">
        <v>8</v>
      </c>
      <c r="P3961" s="8" t="s">
        <v>8</v>
      </c>
    </row>
    <row r="3962">
      <c r="E3962" s="31"/>
      <c r="F3962" s="8" t="s">
        <v>8</v>
      </c>
      <c r="G3962" s="8" t="s">
        <v>8</v>
      </c>
      <c r="H3962" s="8" t="s">
        <v>8</v>
      </c>
      <c r="I3962" s="8" t="s">
        <v>8</v>
      </c>
      <c r="J3962" s="8" t="s">
        <v>8</v>
      </c>
      <c r="K3962" s="8" t="s">
        <v>8</v>
      </c>
      <c r="L3962" s="8" t="s">
        <v>8</v>
      </c>
      <c r="M3962" s="8"/>
      <c r="N3962" s="8"/>
      <c r="O3962" s="8" t="s">
        <v>8</v>
      </c>
      <c r="P3962" s="8" t="s">
        <v>8</v>
      </c>
    </row>
    <row r="3963">
      <c r="E3963" s="31"/>
      <c r="F3963" s="8" t="s">
        <v>8</v>
      </c>
      <c r="G3963" s="8" t="s">
        <v>8</v>
      </c>
      <c r="H3963" s="8" t="s">
        <v>8</v>
      </c>
      <c r="I3963" s="8" t="s">
        <v>8</v>
      </c>
      <c r="J3963" s="8" t="s">
        <v>8</v>
      </c>
      <c r="K3963" s="8" t="s">
        <v>8</v>
      </c>
      <c r="L3963" s="8" t="s">
        <v>8</v>
      </c>
      <c r="M3963" s="8"/>
      <c r="N3963" s="8"/>
      <c r="O3963" s="8" t="s">
        <v>8</v>
      </c>
      <c r="P3963" s="8" t="s">
        <v>8</v>
      </c>
    </row>
    <row r="3964">
      <c r="E3964" s="31"/>
      <c r="F3964" s="8" t="s">
        <v>8</v>
      </c>
      <c r="G3964" s="8" t="s">
        <v>8</v>
      </c>
      <c r="H3964" s="8" t="s">
        <v>8</v>
      </c>
      <c r="I3964" s="8" t="s">
        <v>8</v>
      </c>
      <c r="J3964" s="8" t="s">
        <v>8</v>
      </c>
      <c r="K3964" s="8" t="s">
        <v>8</v>
      </c>
      <c r="L3964" s="8" t="s">
        <v>8</v>
      </c>
      <c r="M3964" s="8"/>
      <c r="N3964" s="8"/>
      <c r="O3964" s="8" t="s">
        <v>8</v>
      </c>
      <c r="P3964" s="8" t="s">
        <v>8</v>
      </c>
    </row>
    <row r="3965">
      <c r="E3965" s="31"/>
      <c r="F3965" s="8" t="s">
        <v>8</v>
      </c>
      <c r="G3965" s="8" t="s">
        <v>8</v>
      </c>
      <c r="H3965" s="8" t="s">
        <v>8</v>
      </c>
      <c r="I3965" s="8" t="s">
        <v>8</v>
      </c>
      <c r="J3965" s="8" t="s">
        <v>8</v>
      </c>
      <c r="K3965" s="8" t="s">
        <v>8</v>
      </c>
      <c r="L3965" s="8" t="s">
        <v>8</v>
      </c>
      <c r="M3965" s="8"/>
      <c r="N3965" s="8"/>
      <c r="O3965" s="8" t="s">
        <v>8</v>
      </c>
      <c r="P3965" s="8" t="s">
        <v>8</v>
      </c>
    </row>
    <row r="3966">
      <c r="E3966" s="31"/>
      <c r="F3966" s="8" t="s">
        <v>8</v>
      </c>
      <c r="G3966" s="8" t="s">
        <v>8</v>
      </c>
      <c r="H3966" s="8" t="s">
        <v>8</v>
      </c>
      <c r="I3966" s="8" t="s">
        <v>8</v>
      </c>
      <c r="J3966" s="8" t="s">
        <v>8</v>
      </c>
      <c r="K3966" s="8" t="s">
        <v>8</v>
      </c>
      <c r="L3966" s="8" t="s">
        <v>8</v>
      </c>
      <c r="M3966" s="8"/>
      <c r="N3966" s="8"/>
      <c r="O3966" s="8" t="s">
        <v>8</v>
      </c>
      <c r="P3966" s="8" t="s">
        <v>8</v>
      </c>
    </row>
    <row r="3967">
      <c r="E3967" s="31"/>
      <c r="F3967" s="8" t="s">
        <v>8</v>
      </c>
      <c r="G3967" s="8" t="s">
        <v>8</v>
      </c>
      <c r="H3967" s="8" t="s">
        <v>8</v>
      </c>
      <c r="I3967" s="8" t="s">
        <v>8</v>
      </c>
      <c r="J3967" s="8" t="s">
        <v>8</v>
      </c>
      <c r="K3967" s="8" t="s">
        <v>8</v>
      </c>
      <c r="L3967" s="8" t="s">
        <v>8</v>
      </c>
      <c r="M3967" s="8"/>
      <c r="N3967" s="8"/>
      <c r="O3967" s="8" t="s">
        <v>8</v>
      </c>
      <c r="P3967" s="8" t="s">
        <v>8</v>
      </c>
    </row>
    <row r="3968">
      <c r="E3968" s="31"/>
      <c r="F3968" s="8" t="s">
        <v>8</v>
      </c>
      <c r="G3968" s="8" t="s">
        <v>8</v>
      </c>
      <c r="H3968" s="8" t="s">
        <v>8</v>
      </c>
      <c r="I3968" s="8" t="s">
        <v>8</v>
      </c>
      <c r="J3968" s="8" t="s">
        <v>8</v>
      </c>
      <c r="K3968" s="8" t="s">
        <v>8</v>
      </c>
      <c r="L3968" s="8" t="s">
        <v>8</v>
      </c>
      <c r="M3968" s="8"/>
      <c r="N3968" s="8"/>
      <c r="O3968" s="8" t="s">
        <v>8</v>
      </c>
      <c r="P3968" s="8" t="s">
        <v>8</v>
      </c>
    </row>
    <row r="3969">
      <c r="E3969" s="31"/>
      <c r="F3969" s="8" t="s">
        <v>8</v>
      </c>
      <c r="G3969" s="8" t="s">
        <v>8</v>
      </c>
      <c r="H3969" s="8" t="s">
        <v>8</v>
      </c>
      <c r="I3969" s="8" t="s">
        <v>8</v>
      </c>
      <c r="J3969" s="8" t="s">
        <v>8</v>
      </c>
      <c r="K3969" s="8" t="s">
        <v>8</v>
      </c>
      <c r="L3969" s="8" t="s">
        <v>8</v>
      </c>
      <c r="M3969" s="8"/>
      <c r="N3969" s="8"/>
      <c r="O3969" s="8" t="s">
        <v>8</v>
      </c>
      <c r="P3969" s="8" t="s">
        <v>8</v>
      </c>
    </row>
    <row r="3970">
      <c r="E3970" s="31"/>
      <c r="F3970" s="8" t="s">
        <v>8</v>
      </c>
      <c r="G3970" s="8" t="s">
        <v>8</v>
      </c>
      <c r="H3970" s="8" t="s">
        <v>8</v>
      </c>
      <c r="I3970" s="8" t="s">
        <v>8</v>
      </c>
      <c r="J3970" s="8" t="s">
        <v>8</v>
      </c>
      <c r="K3970" s="8" t="s">
        <v>8</v>
      </c>
      <c r="L3970" s="8" t="s">
        <v>8</v>
      </c>
      <c r="M3970" s="8"/>
      <c r="N3970" s="8"/>
      <c r="O3970" s="8" t="s">
        <v>8</v>
      </c>
      <c r="P3970" s="8" t="s">
        <v>8</v>
      </c>
    </row>
    <row r="3971">
      <c r="E3971" s="31"/>
      <c r="F3971" s="8" t="s">
        <v>8</v>
      </c>
      <c r="G3971" s="8" t="s">
        <v>8</v>
      </c>
      <c r="H3971" s="8" t="s">
        <v>8</v>
      </c>
      <c r="I3971" s="8" t="s">
        <v>8</v>
      </c>
      <c r="J3971" s="8" t="s">
        <v>8</v>
      </c>
      <c r="K3971" s="8" t="s">
        <v>8</v>
      </c>
      <c r="L3971" s="8" t="s">
        <v>8</v>
      </c>
      <c r="M3971" s="8"/>
      <c r="N3971" s="8"/>
      <c r="O3971" s="8" t="s">
        <v>8</v>
      </c>
      <c r="P3971" s="8" t="s">
        <v>8</v>
      </c>
    </row>
    <row r="3972">
      <c r="E3972" s="31"/>
      <c r="F3972" s="8" t="s">
        <v>8</v>
      </c>
      <c r="G3972" s="8" t="s">
        <v>8</v>
      </c>
      <c r="H3972" s="8" t="s">
        <v>8</v>
      </c>
      <c r="I3972" s="8" t="s">
        <v>8</v>
      </c>
      <c r="J3972" s="8" t="s">
        <v>8</v>
      </c>
      <c r="K3972" s="8" t="s">
        <v>8</v>
      </c>
      <c r="L3972" s="8" t="s">
        <v>8</v>
      </c>
      <c r="M3972" s="8"/>
      <c r="N3972" s="8"/>
      <c r="O3972" s="8" t="s">
        <v>8</v>
      </c>
      <c r="P3972" s="8" t="s">
        <v>8</v>
      </c>
    </row>
    <row r="3973">
      <c r="E3973" s="31"/>
      <c r="F3973" s="8" t="s">
        <v>8</v>
      </c>
      <c r="G3973" s="8" t="s">
        <v>8</v>
      </c>
      <c r="H3973" s="8" t="s">
        <v>8</v>
      </c>
      <c r="I3973" s="8" t="s">
        <v>8</v>
      </c>
      <c r="J3973" s="8" t="s">
        <v>8</v>
      </c>
      <c r="K3973" s="8" t="s">
        <v>8</v>
      </c>
      <c r="L3973" s="8" t="s">
        <v>8</v>
      </c>
      <c r="M3973" s="8"/>
      <c r="N3973" s="8"/>
      <c r="O3973" s="8" t="s">
        <v>8</v>
      </c>
      <c r="P3973" s="8" t="s">
        <v>8</v>
      </c>
    </row>
    <row r="3974">
      <c r="E3974" s="31"/>
      <c r="F3974" s="8" t="s">
        <v>8</v>
      </c>
      <c r="G3974" s="8" t="s">
        <v>8</v>
      </c>
      <c r="H3974" s="8" t="s">
        <v>8</v>
      </c>
      <c r="I3974" s="8" t="s">
        <v>8</v>
      </c>
      <c r="J3974" s="8" t="s">
        <v>8</v>
      </c>
      <c r="K3974" s="8" t="s">
        <v>8</v>
      </c>
      <c r="L3974" s="8" t="s">
        <v>8</v>
      </c>
      <c r="M3974" s="8"/>
      <c r="N3974" s="8"/>
      <c r="O3974" s="8" t="s">
        <v>8</v>
      </c>
      <c r="P3974" s="8" t="s">
        <v>8</v>
      </c>
    </row>
    <row r="3975">
      <c r="E3975" s="31"/>
      <c r="F3975" s="8" t="s">
        <v>8</v>
      </c>
      <c r="G3975" s="8" t="s">
        <v>8</v>
      </c>
      <c r="H3975" s="8" t="s">
        <v>8</v>
      </c>
      <c r="I3975" s="8" t="s">
        <v>8</v>
      </c>
      <c r="J3975" s="8" t="s">
        <v>8</v>
      </c>
      <c r="K3975" s="8" t="s">
        <v>8</v>
      </c>
      <c r="L3975" s="8" t="s">
        <v>8</v>
      </c>
      <c r="M3975" s="8"/>
      <c r="N3975" s="8"/>
      <c r="O3975" s="8" t="s">
        <v>8</v>
      </c>
      <c r="P3975" s="8" t="s">
        <v>8</v>
      </c>
    </row>
    <row r="3976">
      <c r="E3976" s="31"/>
      <c r="F3976" s="8" t="s">
        <v>8</v>
      </c>
      <c r="G3976" s="8" t="s">
        <v>8</v>
      </c>
      <c r="H3976" s="8" t="s">
        <v>8</v>
      </c>
      <c r="I3976" s="8" t="s">
        <v>8</v>
      </c>
      <c r="J3976" s="8" t="s">
        <v>8</v>
      </c>
      <c r="K3976" s="8" t="s">
        <v>8</v>
      </c>
      <c r="L3976" s="8" t="s">
        <v>8</v>
      </c>
      <c r="M3976" s="8"/>
      <c r="N3976" s="8"/>
      <c r="O3976" s="8" t="s">
        <v>8</v>
      </c>
      <c r="P3976" s="8" t="s">
        <v>8</v>
      </c>
    </row>
    <row r="3977">
      <c r="E3977" s="31"/>
      <c r="F3977" s="8" t="s">
        <v>8</v>
      </c>
      <c r="G3977" s="8" t="s">
        <v>8</v>
      </c>
      <c r="H3977" s="8" t="s">
        <v>8</v>
      </c>
      <c r="I3977" s="8" t="s">
        <v>8</v>
      </c>
      <c r="J3977" s="8" t="s">
        <v>8</v>
      </c>
      <c r="K3977" s="8" t="s">
        <v>8</v>
      </c>
      <c r="L3977" s="8" t="s">
        <v>8</v>
      </c>
      <c r="M3977" s="8"/>
      <c r="N3977" s="8"/>
      <c r="O3977" s="8" t="s">
        <v>8</v>
      </c>
      <c r="P3977" s="8" t="s">
        <v>8</v>
      </c>
    </row>
    <row r="3978">
      <c r="E3978" s="31"/>
      <c r="F3978" s="8" t="s">
        <v>8</v>
      </c>
      <c r="G3978" s="8" t="s">
        <v>8</v>
      </c>
      <c r="H3978" s="8" t="s">
        <v>8</v>
      </c>
      <c r="I3978" s="8" t="s">
        <v>8</v>
      </c>
      <c r="J3978" s="8" t="s">
        <v>8</v>
      </c>
      <c r="K3978" s="8" t="s">
        <v>8</v>
      </c>
      <c r="L3978" s="8" t="s">
        <v>8</v>
      </c>
      <c r="M3978" s="8"/>
      <c r="N3978" s="8"/>
      <c r="O3978" s="8" t="s">
        <v>8</v>
      </c>
      <c r="P3978" s="8" t="s">
        <v>8</v>
      </c>
    </row>
    <row r="3979">
      <c r="E3979" s="31"/>
      <c r="F3979" s="8" t="s">
        <v>8</v>
      </c>
      <c r="G3979" s="8" t="s">
        <v>8</v>
      </c>
      <c r="H3979" s="8" t="s">
        <v>8</v>
      </c>
      <c r="I3979" s="8" t="s">
        <v>8</v>
      </c>
      <c r="J3979" s="8" t="s">
        <v>8</v>
      </c>
      <c r="K3979" s="8" t="s">
        <v>8</v>
      </c>
      <c r="L3979" s="8" t="s">
        <v>8</v>
      </c>
      <c r="M3979" s="8"/>
      <c r="N3979" s="8"/>
      <c r="O3979" s="8" t="s">
        <v>8</v>
      </c>
      <c r="P3979" s="8" t="s">
        <v>8</v>
      </c>
    </row>
    <row r="3980">
      <c r="E3980" s="31"/>
      <c r="F3980" s="8" t="s">
        <v>8</v>
      </c>
      <c r="G3980" s="8" t="s">
        <v>8</v>
      </c>
      <c r="H3980" s="8" t="s">
        <v>8</v>
      </c>
      <c r="I3980" s="8" t="s">
        <v>8</v>
      </c>
      <c r="J3980" s="8" t="s">
        <v>8</v>
      </c>
      <c r="K3980" s="8" t="s">
        <v>8</v>
      </c>
      <c r="L3980" s="8" t="s">
        <v>8</v>
      </c>
      <c r="M3980" s="8"/>
      <c r="N3980" s="8"/>
      <c r="O3980" s="8" t="s">
        <v>8</v>
      </c>
      <c r="P3980" s="8" t="s">
        <v>8</v>
      </c>
    </row>
    <row r="3981">
      <c r="E3981" s="31"/>
      <c r="F3981" s="8" t="s">
        <v>8</v>
      </c>
      <c r="G3981" s="8" t="s">
        <v>8</v>
      </c>
      <c r="H3981" s="8" t="s">
        <v>8</v>
      </c>
      <c r="I3981" s="8" t="s">
        <v>8</v>
      </c>
      <c r="J3981" s="8" t="s">
        <v>8</v>
      </c>
      <c r="K3981" s="8" t="s">
        <v>8</v>
      </c>
      <c r="L3981" s="8" t="s">
        <v>8</v>
      </c>
      <c r="M3981" s="8"/>
      <c r="N3981" s="8"/>
      <c r="O3981" s="8" t="s">
        <v>8</v>
      </c>
      <c r="P3981" s="8" t="s">
        <v>8</v>
      </c>
    </row>
    <row r="3982">
      <c r="E3982" s="31"/>
      <c r="F3982" s="8" t="s">
        <v>8</v>
      </c>
      <c r="G3982" s="8" t="s">
        <v>8</v>
      </c>
      <c r="H3982" s="8" t="s">
        <v>8</v>
      </c>
      <c r="I3982" s="8" t="s">
        <v>8</v>
      </c>
      <c r="J3982" s="8" t="s">
        <v>8</v>
      </c>
      <c r="K3982" s="8" t="s">
        <v>8</v>
      </c>
      <c r="L3982" s="8" t="s">
        <v>8</v>
      </c>
      <c r="M3982" s="8"/>
      <c r="N3982" s="8"/>
      <c r="O3982" s="8" t="s">
        <v>8</v>
      </c>
      <c r="P3982" s="8" t="s">
        <v>8</v>
      </c>
    </row>
    <row r="3983">
      <c r="E3983" s="31"/>
      <c r="F3983" s="8" t="s">
        <v>8</v>
      </c>
      <c r="G3983" s="8" t="s">
        <v>8</v>
      </c>
      <c r="H3983" s="8" t="s">
        <v>8</v>
      </c>
      <c r="I3983" s="8" t="s">
        <v>8</v>
      </c>
      <c r="J3983" s="8" t="s">
        <v>8</v>
      </c>
      <c r="K3983" s="8" t="s">
        <v>8</v>
      </c>
      <c r="L3983" s="8" t="s">
        <v>8</v>
      </c>
      <c r="M3983" s="8"/>
      <c r="N3983" s="8"/>
      <c r="O3983" s="8" t="s">
        <v>8</v>
      </c>
      <c r="P3983" s="8" t="s">
        <v>8</v>
      </c>
    </row>
    <row r="3984">
      <c r="E3984" s="31"/>
      <c r="F3984" s="8" t="s">
        <v>8</v>
      </c>
      <c r="G3984" s="8" t="s">
        <v>8</v>
      </c>
      <c r="H3984" s="8" t="s">
        <v>8</v>
      </c>
      <c r="I3984" s="8" t="s">
        <v>8</v>
      </c>
      <c r="J3984" s="8" t="s">
        <v>8</v>
      </c>
      <c r="K3984" s="8" t="s">
        <v>8</v>
      </c>
      <c r="L3984" s="8" t="s">
        <v>8</v>
      </c>
      <c r="M3984" s="8"/>
      <c r="N3984" s="8"/>
      <c r="O3984" s="8" t="s">
        <v>8</v>
      </c>
      <c r="P3984" s="8" t="s">
        <v>8</v>
      </c>
    </row>
    <row r="3985">
      <c r="E3985" s="31"/>
      <c r="F3985" s="8" t="s">
        <v>8</v>
      </c>
      <c r="G3985" s="8" t="s">
        <v>8</v>
      </c>
      <c r="H3985" s="8" t="s">
        <v>8</v>
      </c>
      <c r="I3985" s="8" t="s">
        <v>8</v>
      </c>
      <c r="J3985" s="8" t="s">
        <v>8</v>
      </c>
      <c r="K3985" s="8" t="s">
        <v>8</v>
      </c>
      <c r="L3985" s="8" t="s">
        <v>8</v>
      </c>
      <c r="M3985" s="8"/>
      <c r="N3985" s="8"/>
      <c r="O3985" s="8" t="s">
        <v>8</v>
      </c>
      <c r="P3985" s="8" t="s">
        <v>8</v>
      </c>
    </row>
    <row r="3986">
      <c r="E3986" s="31"/>
      <c r="F3986" s="8" t="s">
        <v>8</v>
      </c>
      <c r="G3986" s="8" t="s">
        <v>8</v>
      </c>
      <c r="H3986" s="8" t="s">
        <v>8</v>
      </c>
      <c r="I3986" s="8" t="s">
        <v>8</v>
      </c>
      <c r="J3986" s="8" t="s">
        <v>8</v>
      </c>
      <c r="K3986" s="8" t="s">
        <v>8</v>
      </c>
      <c r="L3986" s="8" t="s">
        <v>8</v>
      </c>
      <c r="M3986" s="8"/>
      <c r="N3986" s="8"/>
      <c r="O3986" s="8" t="s">
        <v>8</v>
      </c>
      <c r="P3986" s="8" t="s">
        <v>8</v>
      </c>
    </row>
    <row r="3987">
      <c r="E3987" s="31"/>
      <c r="F3987" s="8" t="s">
        <v>8</v>
      </c>
      <c r="G3987" s="8" t="s">
        <v>8</v>
      </c>
      <c r="H3987" s="8" t="s">
        <v>8</v>
      </c>
      <c r="I3987" s="8" t="s">
        <v>8</v>
      </c>
      <c r="J3987" s="8" t="s">
        <v>8</v>
      </c>
      <c r="K3987" s="8" t="s">
        <v>8</v>
      </c>
      <c r="L3987" s="8" t="s">
        <v>8</v>
      </c>
      <c r="M3987" s="8"/>
      <c r="N3987" s="8"/>
      <c r="O3987" s="8" t="s">
        <v>8</v>
      </c>
      <c r="P3987" s="8" t="s">
        <v>8</v>
      </c>
    </row>
    <row r="3988">
      <c r="E3988" s="31"/>
      <c r="F3988" s="8" t="s">
        <v>8</v>
      </c>
      <c r="G3988" s="8" t="s">
        <v>8</v>
      </c>
      <c r="H3988" s="8" t="s">
        <v>8</v>
      </c>
      <c r="I3988" s="8" t="s">
        <v>8</v>
      </c>
      <c r="J3988" s="8" t="s">
        <v>8</v>
      </c>
      <c r="K3988" s="8" t="s">
        <v>8</v>
      </c>
      <c r="L3988" s="8" t="s">
        <v>8</v>
      </c>
      <c r="M3988" s="8"/>
      <c r="N3988" s="8"/>
      <c r="O3988" s="8" t="s">
        <v>8</v>
      </c>
      <c r="P3988" s="8" t="s">
        <v>8</v>
      </c>
    </row>
    <row r="3989">
      <c r="E3989" s="31"/>
      <c r="F3989" s="8" t="s">
        <v>8</v>
      </c>
      <c r="G3989" s="8" t="s">
        <v>8</v>
      </c>
      <c r="H3989" s="8" t="s">
        <v>8</v>
      </c>
      <c r="I3989" s="8" t="s">
        <v>8</v>
      </c>
      <c r="J3989" s="8" t="s">
        <v>8</v>
      </c>
      <c r="K3989" s="8" t="s">
        <v>8</v>
      </c>
      <c r="L3989" s="8" t="s">
        <v>8</v>
      </c>
      <c r="M3989" s="8"/>
      <c r="N3989" s="8"/>
      <c r="O3989" s="8" t="s">
        <v>8</v>
      </c>
      <c r="P3989" s="8" t="s">
        <v>8</v>
      </c>
    </row>
    <row r="3990">
      <c r="E3990" s="31"/>
      <c r="F3990" s="8" t="s">
        <v>8</v>
      </c>
      <c r="G3990" s="8" t="s">
        <v>8</v>
      </c>
      <c r="H3990" s="8" t="s">
        <v>8</v>
      </c>
      <c r="I3990" s="8" t="s">
        <v>8</v>
      </c>
      <c r="J3990" s="8" t="s">
        <v>8</v>
      </c>
      <c r="K3990" s="8" t="s">
        <v>8</v>
      </c>
      <c r="L3990" s="8" t="s">
        <v>8</v>
      </c>
      <c r="M3990" s="8"/>
      <c r="N3990" s="8"/>
      <c r="O3990" s="8" t="s">
        <v>8</v>
      </c>
      <c r="P3990" s="8" t="s">
        <v>8</v>
      </c>
    </row>
    <row r="3991">
      <c r="E3991" s="31"/>
      <c r="F3991" s="8" t="s">
        <v>8</v>
      </c>
      <c r="G3991" s="8" t="s">
        <v>8</v>
      </c>
      <c r="H3991" s="8" t="s">
        <v>8</v>
      </c>
      <c r="I3991" s="8" t="s">
        <v>8</v>
      </c>
      <c r="J3991" s="8" t="s">
        <v>8</v>
      </c>
      <c r="K3991" s="8" t="s">
        <v>8</v>
      </c>
      <c r="L3991" s="8" t="s">
        <v>8</v>
      </c>
      <c r="M3991" s="8"/>
      <c r="N3991" s="8"/>
      <c r="O3991" s="8" t="s">
        <v>8</v>
      </c>
      <c r="P3991" s="8" t="s">
        <v>8</v>
      </c>
    </row>
    <row r="3992">
      <c r="E3992" s="31"/>
      <c r="F3992" s="8" t="s">
        <v>8</v>
      </c>
      <c r="G3992" s="8" t="s">
        <v>8</v>
      </c>
      <c r="H3992" s="8" t="s">
        <v>8</v>
      </c>
      <c r="I3992" s="8" t="s">
        <v>8</v>
      </c>
      <c r="J3992" s="8" t="s">
        <v>8</v>
      </c>
      <c r="K3992" s="8" t="s">
        <v>8</v>
      </c>
      <c r="L3992" s="8" t="s">
        <v>8</v>
      </c>
      <c r="M3992" s="8"/>
      <c r="N3992" s="8"/>
      <c r="O3992" s="8" t="s">
        <v>8</v>
      </c>
      <c r="P3992" s="8" t="s">
        <v>8</v>
      </c>
    </row>
    <row r="3993">
      <c r="E3993" s="31"/>
      <c r="F3993" s="8" t="s">
        <v>8</v>
      </c>
      <c r="G3993" s="8" t="s">
        <v>8</v>
      </c>
      <c r="H3993" s="8" t="s">
        <v>8</v>
      </c>
      <c r="I3993" s="8" t="s">
        <v>8</v>
      </c>
      <c r="J3993" s="8" t="s">
        <v>8</v>
      </c>
      <c r="K3993" s="8" t="s">
        <v>8</v>
      </c>
      <c r="L3993" s="8" t="s">
        <v>8</v>
      </c>
      <c r="M3993" s="8"/>
      <c r="N3993" s="8"/>
      <c r="O3993" s="8" t="s">
        <v>8</v>
      </c>
      <c r="P3993" s="8" t="s">
        <v>8</v>
      </c>
    </row>
    <row r="3994">
      <c r="E3994" s="31"/>
      <c r="F3994" s="8" t="s">
        <v>8</v>
      </c>
      <c r="G3994" s="8" t="s">
        <v>8</v>
      </c>
      <c r="H3994" s="8" t="s">
        <v>8</v>
      </c>
      <c r="I3994" s="8" t="s">
        <v>8</v>
      </c>
      <c r="J3994" s="8" t="s">
        <v>8</v>
      </c>
      <c r="K3994" s="8" t="s">
        <v>8</v>
      </c>
      <c r="L3994" s="8" t="s">
        <v>8</v>
      </c>
      <c r="M3994" s="8"/>
      <c r="N3994" s="8"/>
      <c r="O3994" s="8" t="s">
        <v>8</v>
      </c>
      <c r="P3994" s="8" t="s">
        <v>8</v>
      </c>
    </row>
    <row r="3995">
      <c r="E3995" s="31"/>
      <c r="F3995" s="8" t="s">
        <v>8</v>
      </c>
      <c r="G3995" s="8" t="s">
        <v>8</v>
      </c>
      <c r="H3995" s="8" t="s">
        <v>8</v>
      </c>
      <c r="I3995" s="8" t="s">
        <v>8</v>
      </c>
      <c r="J3995" s="8" t="s">
        <v>8</v>
      </c>
      <c r="K3995" s="8" t="s">
        <v>8</v>
      </c>
      <c r="L3995" s="8" t="s">
        <v>8</v>
      </c>
      <c r="M3995" s="8"/>
      <c r="N3995" s="8"/>
      <c r="O3995" s="8" t="s">
        <v>8</v>
      </c>
      <c r="P3995" s="8" t="s">
        <v>8</v>
      </c>
    </row>
    <row r="3996">
      <c r="E3996" s="31"/>
      <c r="F3996" s="8" t="s">
        <v>8</v>
      </c>
      <c r="G3996" s="8" t="s">
        <v>8</v>
      </c>
      <c r="H3996" s="8" t="s">
        <v>8</v>
      </c>
      <c r="I3996" s="8" t="s">
        <v>8</v>
      </c>
      <c r="J3996" s="8" t="s">
        <v>8</v>
      </c>
      <c r="K3996" s="8" t="s">
        <v>8</v>
      </c>
      <c r="L3996" s="8" t="s">
        <v>8</v>
      </c>
      <c r="M3996" s="8"/>
      <c r="N3996" s="8"/>
      <c r="O3996" s="8" t="s">
        <v>8</v>
      </c>
      <c r="P3996" s="8" t="s">
        <v>8</v>
      </c>
    </row>
    <row r="3997">
      <c r="E3997" s="31"/>
      <c r="F3997" s="8" t="s">
        <v>8</v>
      </c>
      <c r="G3997" s="8" t="s">
        <v>8</v>
      </c>
      <c r="H3997" s="8" t="s">
        <v>8</v>
      </c>
      <c r="I3997" s="8" t="s">
        <v>8</v>
      </c>
      <c r="J3997" s="8" t="s">
        <v>8</v>
      </c>
      <c r="K3997" s="8" t="s">
        <v>8</v>
      </c>
      <c r="L3997" s="8" t="s">
        <v>8</v>
      </c>
      <c r="M3997" s="8"/>
      <c r="N3997" s="8"/>
      <c r="O3997" s="8" t="s">
        <v>8</v>
      </c>
      <c r="P3997" s="8" t="s">
        <v>8</v>
      </c>
    </row>
    <row r="3998">
      <c r="E3998" s="31"/>
      <c r="F3998" s="8" t="s">
        <v>8</v>
      </c>
      <c r="G3998" s="8" t="s">
        <v>8</v>
      </c>
      <c r="H3998" s="8" t="s">
        <v>8</v>
      </c>
      <c r="I3998" s="8" t="s">
        <v>8</v>
      </c>
      <c r="J3998" s="8" t="s">
        <v>8</v>
      </c>
      <c r="K3998" s="8" t="s">
        <v>8</v>
      </c>
      <c r="L3998" s="8" t="s">
        <v>8</v>
      </c>
      <c r="M3998" s="8"/>
      <c r="N3998" s="8"/>
      <c r="O3998" s="8" t="s">
        <v>8</v>
      </c>
      <c r="P3998" s="8" t="s">
        <v>8</v>
      </c>
    </row>
    <row r="3999">
      <c r="E3999" s="31"/>
      <c r="F3999" s="8" t="s">
        <v>8</v>
      </c>
      <c r="G3999" s="8" t="s">
        <v>8</v>
      </c>
      <c r="H3999" s="8" t="s">
        <v>8</v>
      </c>
      <c r="I3999" s="8" t="s">
        <v>8</v>
      </c>
      <c r="J3999" s="8" t="s">
        <v>8</v>
      </c>
      <c r="K3999" s="8" t="s">
        <v>8</v>
      </c>
      <c r="L3999" s="8" t="s">
        <v>8</v>
      </c>
      <c r="M3999" s="8"/>
      <c r="N3999" s="8"/>
      <c r="O3999" s="8" t="s">
        <v>8</v>
      </c>
      <c r="P3999" s="8" t="s">
        <v>8</v>
      </c>
    </row>
    <row r="4000">
      <c r="E4000" s="31"/>
      <c r="F4000" s="8" t="s">
        <v>8</v>
      </c>
      <c r="G4000" s="8" t="s">
        <v>8</v>
      </c>
      <c r="H4000" s="8" t="s">
        <v>8</v>
      </c>
      <c r="I4000" s="8" t="s">
        <v>8</v>
      </c>
      <c r="J4000" s="8" t="s">
        <v>8</v>
      </c>
      <c r="K4000" s="8" t="s">
        <v>8</v>
      </c>
      <c r="L4000" s="8" t="s">
        <v>8</v>
      </c>
      <c r="M4000" s="8"/>
      <c r="N4000" s="8"/>
      <c r="O4000" s="8" t="s">
        <v>8</v>
      </c>
      <c r="P4000" s="8" t="s">
        <v>8</v>
      </c>
    </row>
    <row r="4001">
      <c r="E4001" s="31"/>
      <c r="F4001" s="8" t="s">
        <v>8</v>
      </c>
      <c r="G4001" s="8" t="s">
        <v>8</v>
      </c>
      <c r="H4001" s="8" t="s">
        <v>8</v>
      </c>
      <c r="I4001" s="8" t="s">
        <v>8</v>
      </c>
      <c r="J4001" s="8" t="s">
        <v>8</v>
      </c>
      <c r="K4001" s="8" t="s">
        <v>8</v>
      </c>
      <c r="L4001" s="8" t="s">
        <v>8</v>
      </c>
      <c r="M4001" s="8"/>
      <c r="N4001" s="8"/>
      <c r="O4001" s="8" t="s">
        <v>8</v>
      </c>
      <c r="P4001" s="8" t="s">
        <v>8</v>
      </c>
    </row>
    <row r="4002">
      <c r="E4002" s="31"/>
      <c r="F4002" s="8" t="s">
        <v>8</v>
      </c>
      <c r="G4002" s="8" t="s">
        <v>8</v>
      </c>
      <c r="H4002" s="8" t="s">
        <v>8</v>
      </c>
      <c r="I4002" s="8" t="s">
        <v>8</v>
      </c>
      <c r="J4002" s="8" t="s">
        <v>8</v>
      </c>
      <c r="K4002" s="8" t="s">
        <v>8</v>
      </c>
      <c r="L4002" s="8" t="s">
        <v>8</v>
      </c>
      <c r="M4002" s="8"/>
      <c r="N4002" s="8"/>
      <c r="O4002" s="8" t="s">
        <v>8</v>
      </c>
      <c r="P4002" s="8" t="s">
        <v>8</v>
      </c>
    </row>
    <row r="4003">
      <c r="E4003" s="31"/>
      <c r="F4003" s="8" t="s">
        <v>8</v>
      </c>
      <c r="G4003" s="8" t="s">
        <v>8</v>
      </c>
      <c r="H4003" s="8" t="s">
        <v>8</v>
      </c>
      <c r="I4003" s="8" t="s">
        <v>8</v>
      </c>
      <c r="J4003" s="8" t="s">
        <v>8</v>
      </c>
      <c r="K4003" s="8" t="s">
        <v>8</v>
      </c>
      <c r="L4003" s="8" t="s">
        <v>8</v>
      </c>
      <c r="M4003" s="8"/>
      <c r="N4003" s="8"/>
      <c r="O4003" s="8" t="s">
        <v>8</v>
      </c>
      <c r="P4003" s="8" t="s">
        <v>8</v>
      </c>
    </row>
    <row r="4004">
      <c r="E4004" s="31"/>
      <c r="F4004" s="8" t="s">
        <v>8</v>
      </c>
      <c r="G4004" s="8" t="s">
        <v>8</v>
      </c>
      <c r="H4004" s="8" t="s">
        <v>8</v>
      </c>
      <c r="I4004" s="8" t="s">
        <v>8</v>
      </c>
      <c r="J4004" s="8" t="s">
        <v>8</v>
      </c>
      <c r="K4004" s="8" t="s">
        <v>8</v>
      </c>
      <c r="L4004" s="8" t="s">
        <v>8</v>
      </c>
      <c r="M4004" s="8"/>
      <c r="N4004" s="8"/>
      <c r="O4004" s="8" t="s">
        <v>8</v>
      </c>
      <c r="P4004" s="8" t="s">
        <v>8</v>
      </c>
    </row>
    <row r="4005">
      <c r="E4005" s="31"/>
      <c r="F4005" s="8" t="s">
        <v>8</v>
      </c>
      <c r="G4005" s="8" t="s">
        <v>8</v>
      </c>
      <c r="H4005" s="8" t="s">
        <v>8</v>
      </c>
      <c r="I4005" s="8" t="s">
        <v>8</v>
      </c>
      <c r="J4005" s="8" t="s">
        <v>8</v>
      </c>
      <c r="K4005" s="8" t="s">
        <v>8</v>
      </c>
      <c r="L4005" s="8" t="s">
        <v>8</v>
      </c>
      <c r="M4005" s="8"/>
      <c r="N4005" s="8"/>
      <c r="O4005" s="8" t="s">
        <v>8</v>
      </c>
      <c r="P4005" s="8" t="s">
        <v>8</v>
      </c>
    </row>
    <row r="4006">
      <c r="E4006" s="31"/>
      <c r="F4006" s="8" t="s">
        <v>8</v>
      </c>
      <c r="G4006" s="8" t="s">
        <v>8</v>
      </c>
      <c r="H4006" s="8" t="s">
        <v>8</v>
      </c>
      <c r="I4006" s="8" t="s">
        <v>8</v>
      </c>
      <c r="J4006" s="8" t="s">
        <v>8</v>
      </c>
      <c r="K4006" s="8" t="s">
        <v>8</v>
      </c>
      <c r="L4006" s="8" t="s">
        <v>8</v>
      </c>
      <c r="M4006" s="8"/>
      <c r="N4006" s="8"/>
      <c r="O4006" s="8" t="s">
        <v>8</v>
      </c>
      <c r="P4006" s="8" t="s">
        <v>8</v>
      </c>
    </row>
    <row r="4007">
      <c r="E4007" s="31"/>
      <c r="F4007" s="8" t="s">
        <v>8</v>
      </c>
      <c r="G4007" s="8" t="s">
        <v>8</v>
      </c>
      <c r="H4007" s="8" t="s">
        <v>8</v>
      </c>
      <c r="I4007" s="8" t="s">
        <v>8</v>
      </c>
      <c r="J4007" s="8" t="s">
        <v>8</v>
      </c>
      <c r="K4007" s="8" t="s">
        <v>8</v>
      </c>
      <c r="L4007" s="8" t="s">
        <v>8</v>
      </c>
      <c r="M4007" s="8"/>
      <c r="N4007" s="8"/>
      <c r="O4007" s="8" t="s">
        <v>8</v>
      </c>
      <c r="P4007" s="8" t="s">
        <v>8</v>
      </c>
    </row>
    <row r="4008">
      <c r="E4008" s="31"/>
      <c r="F4008" s="8" t="s">
        <v>8</v>
      </c>
      <c r="G4008" s="8" t="s">
        <v>8</v>
      </c>
      <c r="H4008" s="8" t="s">
        <v>8</v>
      </c>
      <c r="I4008" s="8" t="s">
        <v>8</v>
      </c>
      <c r="J4008" s="8" t="s">
        <v>8</v>
      </c>
      <c r="K4008" s="8" t="s">
        <v>8</v>
      </c>
      <c r="L4008" s="8" t="s">
        <v>8</v>
      </c>
      <c r="M4008" s="8"/>
      <c r="N4008" s="8"/>
      <c r="O4008" s="8" t="s">
        <v>8</v>
      </c>
      <c r="P4008" s="8" t="s">
        <v>8</v>
      </c>
    </row>
    <row r="4009">
      <c r="E4009" s="31"/>
      <c r="F4009" s="8" t="s">
        <v>8</v>
      </c>
      <c r="G4009" s="8" t="s">
        <v>8</v>
      </c>
      <c r="H4009" s="8" t="s">
        <v>8</v>
      </c>
      <c r="I4009" s="8" t="s">
        <v>8</v>
      </c>
      <c r="J4009" s="8" t="s">
        <v>8</v>
      </c>
      <c r="K4009" s="8" t="s">
        <v>8</v>
      </c>
      <c r="L4009" s="8" t="s">
        <v>8</v>
      </c>
      <c r="M4009" s="8"/>
      <c r="N4009" s="8"/>
      <c r="O4009" s="8" t="s">
        <v>8</v>
      </c>
      <c r="P4009" s="8" t="s">
        <v>8</v>
      </c>
    </row>
    <row r="4010">
      <c r="E4010" s="31"/>
      <c r="F4010" s="8" t="s">
        <v>8</v>
      </c>
      <c r="G4010" s="8" t="s">
        <v>8</v>
      </c>
      <c r="H4010" s="8" t="s">
        <v>8</v>
      </c>
      <c r="I4010" s="8" t="s">
        <v>8</v>
      </c>
      <c r="J4010" s="8" t="s">
        <v>8</v>
      </c>
      <c r="K4010" s="8" t="s">
        <v>8</v>
      </c>
      <c r="L4010" s="8" t="s">
        <v>8</v>
      </c>
      <c r="M4010" s="8"/>
      <c r="N4010" s="8"/>
      <c r="O4010" s="8" t="s">
        <v>8</v>
      </c>
      <c r="P4010" s="8" t="s">
        <v>8</v>
      </c>
    </row>
    <row r="4011">
      <c r="E4011" s="31"/>
      <c r="F4011" s="8" t="s">
        <v>8</v>
      </c>
      <c r="G4011" s="8" t="s">
        <v>8</v>
      </c>
      <c r="H4011" s="8" t="s">
        <v>8</v>
      </c>
      <c r="I4011" s="8" t="s">
        <v>8</v>
      </c>
      <c r="J4011" s="8" t="s">
        <v>8</v>
      </c>
      <c r="K4011" s="8" t="s">
        <v>8</v>
      </c>
      <c r="L4011" s="8" t="s">
        <v>8</v>
      </c>
      <c r="M4011" s="8"/>
      <c r="N4011" s="8"/>
      <c r="O4011" s="8" t="s">
        <v>8</v>
      </c>
      <c r="P4011" s="8" t="s">
        <v>8</v>
      </c>
    </row>
    <row r="4012">
      <c r="E4012" s="31"/>
      <c r="F4012" s="8" t="s">
        <v>8</v>
      </c>
      <c r="G4012" s="8" t="s">
        <v>8</v>
      </c>
      <c r="H4012" s="8" t="s">
        <v>8</v>
      </c>
      <c r="I4012" s="8" t="s">
        <v>8</v>
      </c>
      <c r="J4012" s="8" t="s">
        <v>8</v>
      </c>
      <c r="K4012" s="8" t="s">
        <v>8</v>
      </c>
      <c r="L4012" s="8" t="s">
        <v>8</v>
      </c>
      <c r="M4012" s="8"/>
      <c r="N4012" s="8"/>
      <c r="O4012" s="8" t="s">
        <v>8</v>
      </c>
      <c r="P4012" s="8" t="s">
        <v>8</v>
      </c>
    </row>
    <row r="4013">
      <c r="E4013" s="31"/>
      <c r="F4013" s="8" t="s">
        <v>8</v>
      </c>
      <c r="G4013" s="8" t="s">
        <v>8</v>
      </c>
      <c r="H4013" s="8" t="s">
        <v>8</v>
      </c>
      <c r="I4013" s="8" t="s">
        <v>8</v>
      </c>
      <c r="J4013" s="8" t="s">
        <v>8</v>
      </c>
      <c r="K4013" s="8" t="s">
        <v>8</v>
      </c>
      <c r="L4013" s="8" t="s">
        <v>8</v>
      </c>
      <c r="M4013" s="8"/>
      <c r="N4013" s="8"/>
      <c r="O4013" s="8" t="s">
        <v>8</v>
      </c>
      <c r="P4013" s="8" t="s">
        <v>8</v>
      </c>
    </row>
    <row r="4014">
      <c r="E4014" s="31"/>
      <c r="F4014" s="8" t="s">
        <v>8</v>
      </c>
      <c r="G4014" s="8" t="s">
        <v>8</v>
      </c>
      <c r="H4014" s="8" t="s">
        <v>8</v>
      </c>
      <c r="I4014" s="8" t="s">
        <v>8</v>
      </c>
      <c r="J4014" s="8" t="s">
        <v>8</v>
      </c>
      <c r="K4014" s="8" t="s">
        <v>8</v>
      </c>
      <c r="L4014" s="8" t="s">
        <v>8</v>
      </c>
      <c r="M4014" s="8"/>
      <c r="N4014" s="8"/>
      <c r="O4014" s="8" t="s">
        <v>8</v>
      </c>
      <c r="P4014" s="8" t="s">
        <v>8</v>
      </c>
    </row>
    <row r="4015">
      <c r="E4015" s="31"/>
      <c r="F4015" s="8" t="s">
        <v>8</v>
      </c>
      <c r="G4015" s="8" t="s">
        <v>8</v>
      </c>
      <c r="H4015" s="8" t="s">
        <v>8</v>
      </c>
      <c r="I4015" s="8" t="s">
        <v>8</v>
      </c>
      <c r="J4015" s="8" t="s">
        <v>8</v>
      </c>
      <c r="K4015" s="8" t="s">
        <v>8</v>
      </c>
      <c r="L4015" s="8" t="s">
        <v>8</v>
      </c>
      <c r="M4015" s="8"/>
      <c r="N4015" s="8"/>
      <c r="O4015" s="8" t="s">
        <v>8</v>
      </c>
      <c r="P4015" s="8" t="s">
        <v>8</v>
      </c>
    </row>
    <row r="4016">
      <c r="E4016" s="31"/>
      <c r="F4016" s="8" t="s">
        <v>8</v>
      </c>
      <c r="G4016" s="8" t="s">
        <v>8</v>
      </c>
      <c r="H4016" s="8" t="s">
        <v>8</v>
      </c>
      <c r="I4016" s="8" t="s">
        <v>8</v>
      </c>
      <c r="J4016" s="8" t="s">
        <v>8</v>
      </c>
      <c r="K4016" s="8" t="s">
        <v>8</v>
      </c>
      <c r="L4016" s="8" t="s">
        <v>8</v>
      </c>
      <c r="M4016" s="8"/>
      <c r="N4016" s="8"/>
      <c r="O4016" s="8" t="s">
        <v>8</v>
      </c>
      <c r="P4016" s="8" t="s">
        <v>8</v>
      </c>
    </row>
    <row r="4017">
      <c r="E4017" s="31"/>
      <c r="F4017" s="8" t="s">
        <v>8</v>
      </c>
      <c r="G4017" s="8" t="s">
        <v>8</v>
      </c>
      <c r="H4017" s="8" t="s">
        <v>8</v>
      </c>
      <c r="I4017" s="8" t="s">
        <v>8</v>
      </c>
      <c r="J4017" s="8" t="s">
        <v>8</v>
      </c>
      <c r="K4017" s="8" t="s">
        <v>8</v>
      </c>
      <c r="L4017" s="8" t="s">
        <v>8</v>
      </c>
      <c r="M4017" s="8"/>
      <c r="N4017" s="8"/>
      <c r="O4017" s="8" t="s">
        <v>8</v>
      </c>
      <c r="P4017" s="8" t="s">
        <v>8</v>
      </c>
    </row>
    <row r="4018">
      <c r="E4018" s="31"/>
      <c r="F4018" s="8" t="s">
        <v>8</v>
      </c>
      <c r="G4018" s="8" t="s">
        <v>8</v>
      </c>
      <c r="H4018" s="8" t="s">
        <v>8</v>
      </c>
      <c r="I4018" s="8" t="s">
        <v>8</v>
      </c>
      <c r="J4018" s="8" t="s">
        <v>8</v>
      </c>
      <c r="K4018" s="8" t="s">
        <v>8</v>
      </c>
      <c r="L4018" s="8" t="s">
        <v>8</v>
      </c>
      <c r="M4018" s="8"/>
      <c r="N4018" s="8"/>
      <c r="O4018" s="8" t="s">
        <v>8</v>
      </c>
      <c r="P4018" s="8" t="s">
        <v>8</v>
      </c>
    </row>
    <row r="4019">
      <c r="E4019" s="31"/>
      <c r="F4019" s="8" t="s">
        <v>8</v>
      </c>
      <c r="G4019" s="8" t="s">
        <v>8</v>
      </c>
      <c r="H4019" s="8" t="s">
        <v>8</v>
      </c>
      <c r="I4019" s="8" t="s">
        <v>8</v>
      </c>
      <c r="J4019" s="8" t="s">
        <v>8</v>
      </c>
      <c r="K4019" s="8" t="s">
        <v>8</v>
      </c>
      <c r="L4019" s="8" t="s">
        <v>8</v>
      </c>
      <c r="M4019" s="8"/>
      <c r="N4019" s="8"/>
      <c r="O4019" s="8" t="s">
        <v>8</v>
      </c>
      <c r="P4019" s="8" t="s">
        <v>8</v>
      </c>
    </row>
    <row r="4020">
      <c r="E4020" s="31"/>
      <c r="F4020" s="8" t="s">
        <v>8</v>
      </c>
      <c r="G4020" s="8" t="s">
        <v>8</v>
      </c>
      <c r="H4020" s="8" t="s">
        <v>8</v>
      </c>
      <c r="I4020" s="8" t="s">
        <v>8</v>
      </c>
      <c r="J4020" s="8" t="s">
        <v>8</v>
      </c>
      <c r="K4020" s="8" t="s">
        <v>8</v>
      </c>
      <c r="L4020" s="8" t="s">
        <v>8</v>
      </c>
      <c r="M4020" s="8"/>
      <c r="N4020" s="8"/>
      <c r="O4020" s="8" t="s">
        <v>8</v>
      </c>
      <c r="P4020" s="8" t="s">
        <v>8</v>
      </c>
    </row>
    <row r="4021">
      <c r="E4021" s="31"/>
      <c r="F4021" s="8" t="s">
        <v>8</v>
      </c>
      <c r="G4021" s="8" t="s">
        <v>8</v>
      </c>
      <c r="H4021" s="8" t="s">
        <v>8</v>
      </c>
      <c r="I4021" s="8" t="s">
        <v>8</v>
      </c>
      <c r="J4021" s="8" t="s">
        <v>8</v>
      </c>
      <c r="K4021" s="8" t="s">
        <v>8</v>
      </c>
      <c r="L4021" s="8" t="s">
        <v>8</v>
      </c>
      <c r="M4021" s="8"/>
      <c r="N4021" s="8"/>
      <c r="O4021" s="8" t="s">
        <v>8</v>
      </c>
      <c r="P4021" s="8" t="s">
        <v>8</v>
      </c>
    </row>
    <row r="4022">
      <c r="E4022" s="31"/>
      <c r="F4022" s="8" t="s">
        <v>8</v>
      </c>
      <c r="G4022" s="8" t="s">
        <v>8</v>
      </c>
      <c r="H4022" s="8" t="s">
        <v>8</v>
      </c>
      <c r="I4022" s="8" t="s">
        <v>8</v>
      </c>
      <c r="J4022" s="8" t="s">
        <v>8</v>
      </c>
      <c r="K4022" s="8" t="s">
        <v>8</v>
      </c>
      <c r="L4022" s="8" t="s">
        <v>8</v>
      </c>
      <c r="M4022" s="8"/>
      <c r="N4022" s="8"/>
      <c r="O4022" s="8" t="s">
        <v>8</v>
      </c>
      <c r="P4022" s="8" t="s">
        <v>8</v>
      </c>
    </row>
    <row r="4023">
      <c r="E4023" s="31"/>
      <c r="F4023" s="8" t="s">
        <v>8</v>
      </c>
      <c r="G4023" s="8" t="s">
        <v>8</v>
      </c>
      <c r="H4023" s="8" t="s">
        <v>8</v>
      </c>
      <c r="I4023" s="8" t="s">
        <v>8</v>
      </c>
      <c r="J4023" s="8" t="s">
        <v>8</v>
      </c>
      <c r="K4023" s="8" t="s">
        <v>8</v>
      </c>
      <c r="L4023" s="8" t="s">
        <v>8</v>
      </c>
      <c r="M4023" s="8"/>
      <c r="N4023" s="8"/>
      <c r="O4023" s="8" t="s">
        <v>8</v>
      </c>
      <c r="P4023" s="8" t="s">
        <v>8</v>
      </c>
    </row>
    <row r="4024">
      <c r="E4024" s="31"/>
      <c r="F4024" s="8" t="s">
        <v>8</v>
      </c>
      <c r="G4024" s="8" t="s">
        <v>8</v>
      </c>
      <c r="H4024" s="8" t="s">
        <v>8</v>
      </c>
      <c r="I4024" s="8" t="s">
        <v>8</v>
      </c>
      <c r="J4024" s="8" t="s">
        <v>8</v>
      </c>
      <c r="K4024" s="8" t="s">
        <v>8</v>
      </c>
      <c r="L4024" s="8" t="s">
        <v>8</v>
      </c>
      <c r="M4024" s="8"/>
      <c r="N4024" s="8"/>
      <c r="O4024" s="8" t="s">
        <v>8</v>
      </c>
      <c r="P4024" s="8" t="s">
        <v>8</v>
      </c>
    </row>
    <row r="4025">
      <c r="E4025" s="31"/>
      <c r="F4025" s="8" t="s">
        <v>8</v>
      </c>
      <c r="G4025" s="8" t="s">
        <v>8</v>
      </c>
      <c r="H4025" s="8" t="s">
        <v>8</v>
      </c>
      <c r="I4025" s="8" t="s">
        <v>8</v>
      </c>
      <c r="J4025" s="8" t="s">
        <v>8</v>
      </c>
      <c r="K4025" s="8" t="s">
        <v>8</v>
      </c>
      <c r="L4025" s="8" t="s">
        <v>8</v>
      </c>
      <c r="M4025" s="8"/>
      <c r="N4025" s="8"/>
      <c r="O4025" s="8" t="s">
        <v>8</v>
      </c>
      <c r="P4025" s="8" t="s">
        <v>8</v>
      </c>
    </row>
    <row r="4026">
      <c r="E4026" s="31"/>
      <c r="F4026" s="8" t="s">
        <v>8</v>
      </c>
      <c r="G4026" s="8" t="s">
        <v>8</v>
      </c>
      <c r="H4026" s="8" t="s">
        <v>8</v>
      </c>
      <c r="I4026" s="8" t="s">
        <v>8</v>
      </c>
      <c r="J4026" s="8" t="s">
        <v>8</v>
      </c>
      <c r="K4026" s="8" t="s">
        <v>8</v>
      </c>
      <c r="L4026" s="8" t="s">
        <v>8</v>
      </c>
      <c r="M4026" s="8"/>
      <c r="N4026" s="8"/>
      <c r="O4026" s="8" t="s">
        <v>8</v>
      </c>
      <c r="P4026" s="8" t="s">
        <v>8</v>
      </c>
    </row>
    <row r="4027">
      <c r="E4027" s="31"/>
      <c r="F4027" s="8" t="s">
        <v>8</v>
      </c>
      <c r="G4027" s="8" t="s">
        <v>8</v>
      </c>
      <c r="H4027" s="8" t="s">
        <v>8</v>
      </c>
      <c r="I4027" s="8" t="s">
        <v>8</v>
      </c>
      <c r="J4027" s="8" t="s">
        <v>8</v>
      </c>
      <c r="K4027" s="8" t="s">
        <v>8</v>
      </c>
      <c r="L4027" s="8" t="s">
        <v>8</v>
      </c>
      <c r="M4027" s="8"/>
      <c r="N4027" s="8"/>
      <c r="O4027" s="8" t="s">
        <v>8</v>
      </c>
      <c r="P4027" s="8" t="s">
        <v>8</v>
      </c>
    </row>
    <row r="4028">
      <c r="E4028" s="31"/>
      <c r="F4028" s="8" t="s">
        <v>8</v>
      </c>
      <c r="G4028" s="8" t="s">
        <v>8</v>
      </c>
      <c r="H4028" s="8" t="s">
        <v>8</v>
      </c>
      <c r="I4028" s="8" t="s">
        <v>8</v>
      </c>
      <c r="J4028" s="8" t="s">
        <v>8</v>
      </c>
      <c r="K4028" s="8" t="s">
        <v>8</v>
      </c>
      <c r="L4028" s="8" t="s">
        <v>8</v>
      </c>
      <c r="M4028" s="8"/>
      <c r="N4028" s="8"/>
      <c r="O4028" s="8" t="s">
        <v>8</v>
      </c>
      <c r="P4028" s="8" t="s">
        <v>8</v>
      </c>
    </row>
    <row r="4029">
      <c r="E4029" s="31"/>
      <c r="F4029" s="8" t="s">
        <v>8</v>
      </c>
      <c r="G4029" s="8" t="s">
        <v>8</v>
      </c>
      <c r="H4029" s="8" t="s">
        <v>8</v>
      </c>
      <c r="I4029" s="8" t="s">
        <v>8</v>
      </c>
      <c r="J4029" s="8" t="s">
        <v>8</v>
      </c>
      <c r="K4029" s="8" t="s">
        <v>8</v>
      </c>
      <c r="L4029" s="8" t="s">
        <v>8</v>
      </c>
      <c r="M4029" s="8"/>
      <c r="N4029" s="8"/>
      <c r="O4029" s="8" t="s">
        <v>8</v>
      </c>
      <c r="P4029" s="8" t="s">
        <v>8</v>
      </c>
    </row>
    <row r="4030">
      <c r="E4030" s="31"/>
      <c r="F4030" s="8" t="s">
        <v>8</v>
      </c>
      <c r="G4030" s="8" t="s">
        <v>8</v>
      </c>
      <c r="H4030" s="8" t="s">
        <v>8</v>
      </c>
      <c r="I4030" s="8" t="s">
        <v>8</v>
      </c>
      <c r="J4030" s="8" t="s">
        <v>8</v>
      </c>
      <c r="K4030" s="8" t="s">
        <v>8</v>
      </c>
      <c r="L4030" s="8" t="s">
        <v>8</v>
      </c>
      <c r="M4030" s="8"/>
      <c r="N4030" s="8"/>
      <c r="O4030" s="8" t="s">
        <v>8</v>
      </c>
      <c r="P4030" s="8" t="s">
        <v>8</v>
      </c>
    </row>
    <row r="4031">
      <c r="E4031" s="31"/>
      <c r="F4031" s="8" t="s">
        <v>8</v>
      </c>
      <c r="G4031" s="8" t="s">
        <v>8</v>
      </c>
      <c r="H4031" s="8" t="s">
        <v>8</v>
      </c>
      <c r="I4031" s="8" t="s">
        <v>8</v>
      </c>
      <c r="J4031" s="8" t="s">
        <v>8</v>
      </c>
      <c r="K4031" s="8" t="s">
        <v>8</v>
      </c>
      <c r="L4031" s="8" t="s">
        <v>8</v>
      </c>
      <c r="M4031" s="8"/>
      <c r="N4031" s="8"/>
      <c r="O4031" s="8" t="s">
        <v>8</v>
      </c>
      <c r="P4031" s="8" t="s">
        <v>8</v>
      </c>
    </row>
    <row r="4032">
      <c r="E4032" s="31"/>
      <c r="F4032" s="8" t="s">
        <v>8</v>
      </c>
      <c r="G4032" s="8" t="s">
        <v>8</v>
      </c>
      <c r="H4032" s="8" t="s">
        <v>8</v>
      </c>
      <c r="I4032" s="8" t="s">
        <v>8</v>
      </c>
      <c r="J4032" s="8" t="s">
        <v>8</v>
      </c>
      <c r="K4032" s="8" t="s">
        <v>8</v>
      </c>
      <c r="L4032" s="8" t="s">
        <v>8</v>
      </c>
      <c r="M4032" s="8"/>
      <c r="N4032" s="8"/>
      <c r="O4032" s="8" t="s">
        <v>8</v>
      </c>
      <c r="P4032" s="8" t="s">
        <v>8</v>
      </c>
    </row>
    <row r="4033">
      <c r="E4033" s="31"/>
      <c r="F4033" s="8" t="s">
        <v>8</v>
      </c>
      <c r="G4033" s="8" t="s">
        <v>8</v>
      </c>
      <c r="H4033" s="8" t="s">
        <v>8</v>
      </c>
      <c r="I4033" s="8" t="s">
        <v>8</v>
      </c>
      <c r="J4033" s="8" t="s">
        <v>8</v>
      </c>
      <c r="K4033" s="8" t="s">
        <v>8</v>
      </c>
      <c r="L4033" s="8" t="s">
        <v>8</v>
      </c>
      <c r="M4033" s="8"/>
      <c r="N4033" s="8"/>
      <c r="O4033" s="8" t="s">
        <v>8</v>
      </c>
      <c r="P4033" s="8" t="s">
        <v>8</v>
      </c>
    </row>
    <row r="4034">
      <c r="E4034" s="31"/>
      <c r="F4034" s="8" t="s">
        <v>8</v>
      </c>
      <c r="G4034" s="8" t="s">
        <v>8</v>
      </c>
      <c r="H4034" s="8" t="s">
        <v>8</v>
      </c>
      <c r="I4034" s="8" t="s">
        <v>8</v>
      </c>
      <c r="J4034" s="8" t="s">
        <v>8</v>
      </c>
      <c r="K4034" s="8" t="s">
        <v>8</v>
      </c>
      <c r="L4034" s="8" t="s">
        <v>8</v>
      </c>
      <c r="M4034" s="8"/>
      <c r="N4034" s="8"/>
      <c r="O4034" s="8" t="s">
        <v>8</v>
      </c>
      <c r="P4034" s="8" t="s">
        <v>8</v>
      </c>
    </row>
    <row r="4035">
      <c r="E4035" s="31"/>
      <c r="F4035" s="8" t="s">
        <v>8</v>
      </c>
      <c r="G4035" s="8" t="s">
        <v>8</v>
      </c>
      <c r="H4035" s="8" t="s">
        <v>8</v>
      </c>
      <c r="I4035" s="8" t="s">
        <v>8</v>
      </c>
      <c r="J4035" s="8" t="s">
        <v>8</v>
      </c>
      <c r="K4035" s="8" t="s">
        <v>8</v>
      </c>
      <c r="L4035" s="8" t="s">
        <v>8</v>
      </c>
      <c r="M4035" s="8"/>
      <c r="N4035" s="8"/>
      <c r="O4035" s="8" t="s">
        <v>8</v>
      </c>
      <c r="P4035" s="8" t="s">
        <v>8</v>
      </c>
    </row>
    <row r="4036">
      <c r="E4036" s="31"/>
      <c r="F4036" s="8" t="s">
        <v>8</v>
      </c>
      <c r="G4036" s="8" t="s">
        <v>8</v>
      </c>
      <c r="H4036" s="8" t="s">
        <v>8</v>
      </c>
      <c r="I4036" s="8" t="s">
        <v>8</v>
      </c>
      <c r="J4036" s="8" t="s">
        <v>8</v>
      </c>
      <c r="K4036" s="8" t="s">
        <v>8</v>
      </c>
      <c r="L4036" s="8" t="s">
        <v>8</v>
      </c>
      <c r="M4036" s="8"/>
      <c r="N4036" s="8"/>
      <c r="O4036" s="8" t="s">
        <v>8</v>
      </c>
      <c r="P4036" s="8" t="s">
        <v>8</v>
      </c>
    </row>
    <row r="4037">
      <c r="E4037" s="31"/>
      <c r="F4037" s="8" t="s">
        <v>8</v>
      </c>
      <c r="G4037" s="8" t="s">
        <v>8</v>
      </c>
      <c r="H4037" s="8" t="s">
        <v>8</v>
      </c>
      <c r="I4037" s="8" t="s">
        <v>8</v>
      </c>
      <c r="J4037" s="8" t="s">
        <v>8</v>
      </c>
      <c r="K4037" s="8" t="s">
        <v>8</v>
      </c>
      <c r="L4037" s="8" t="s">
        <v>8</v>
      </c>
      <c r="M4037" s="8"/>
      <c r="N4037" s="8"/>
      <c r="O4037" s="8" t="s">
        <v>8</v>
      </c>
      <c r="P4037" s="8" t="s">
        <v>8</v>
      </c>
    </row>
    <row r="4038">
      <c r="E4038" s="31"/>
      <c r="F4038" s="8" t="s">
        <v>8</v>
      </c>
      <c r="G4038" s="8" t="s">
        <v>8</v>
      </c>
      <c r="H4038" s="8" t="s">
        <v>8</v>
      </c>
      <c r="I4038" s="8" t="s">
        <v>8</v>
      </c>
      <c r="J4038" s="8" t="s">
        <v>8</v>
      </c>
      <c r="K4038" s="8" t="s">
        <v>8</v>
      </c>
      <c r="L4038" s="8" t="s">
        <v>8</v>
      </c>
      <c r="M4038" s="8"/>
      <c r="N4038" s="8"/>
      <c r="O4038" s="8" t="s">
        <v>8</v>
      </c>
      <c r="P4038" s="8" t="s">
        <v>8</v>
      </c>
    </row>
    <row r="4039">
      <c r="E4039" s="31"/>
      <c r="F4039" s="8" t="s">
        <v>8</v>
      </c>
      <c r="G4039" s="8" t="s">
        <v>8</v>
      </c>
      <c r="H4039" s="8" t="s">
        <v>8</v>
      </c>
      <c r="I4039" s="8" t="s">
        <v>8</v>
      </c>
      <c r="J4039" s="8" t="s">
        <v>8</v>
      </c>
      <c r="K4039" s="8" t="s">
        <v>8</v>
      </c>
      <c r="L4039" s="8" t="s">
        <v>8</v>
      </c>
      <c r="M4039" s="8"/>
      <c r="N4039" s="8"/>
      <c r="O4039" s="8" t="s">
        <v>8</v>
      </c>
      <c r="P4039" s="8" t="s">
        <v>8</v>
      </c>
    </row>
    <row r="4040">
      <c r="E4040" s="31"/>
      <c r="F4040" s="8" t="s">
        <v>8</v>
      </c>
      <c r="G4040" s="8" t="s">
        <v>8</v>
      </c>
      <c r="H4040" s="8" t="s">
        <v>8</v>
      </c>
      <c r="I4040" s="8" t="s">
        <v>8</v>
      </c>
      <c r="J4040" s="8" t="s">
        <v>8</v>
      </c>
      <c r="K4040" s="8" t="s">
        <v>8</v>
      </c>
      <c r="L4040" s="8" t="s">
        <v>8</v>
      </c>
      <c r="M4040" s="8"/>
      <c r="N4040" s="8"/>
      <c r="O4040" s="8" t="s">
        <v>8</v>
      </c>
      <c r="P4040" s="8" t="s">
        <v>8</v>
      </c>
    </row>
    <row r="4041">
      <c r="E4041" s="31"/>
      <c r="F4041" s="8" t="s">
        <v>8</v>
      </c>
      <c r="G4041" s="8" t="s">
        <v>8</v>
      </c>
      <c r="H4041" s="8" t="s">
        <v>8</v>
      </c>
      <c r="I4041" s="8" t="s">
        <v>8</v>
      </c>
      <c r="J4041" s="8" t="s">
        <v>8</v>
      </c>
      <c r="K4041" s="8" t="s">
        <v>8</v>
      </c>
      <c r="L4041" s="8" t="s">
        <v>8</v>
      </c>
      <c r="M4041" s="8"/>
      <c r="N4041" s="8"/>
      <c r="O4041" s="8" t="s">
        <v>8</v>
      </c>
      <c r="P4041" s="8" t="s">
        <v>8</v>
      </c>
    </row>
    <row r="4042">
      <c r="E4042" s="31"/>
      <c r="F4042" s="8" t="s">
        <v>8</v>
      </c>
      <c r="G4042" s="8" t="s">
        <v>8</v>
      </c>
      <c r="H4042" s="8" t="s">
        <v>8</v>
      </c>
      <c r="I4042" s="8" t="s">
        <v>8</v>
      </c>
      <c r="J4042" s="8" t="s">
        <v>8</v>
      </c>
      <c r="K4042" s="8" t="s">
        <v>8</v>
      </c>
      <c r="L4042" s="8" t="s">
        <v>8</v>
      </c>
      <c r="M4042" s="8"/>
      <c r="N4042" s="8"/>
      <c r="O4042" s="8" t="s">
        <v>8</v>
      </c>
      <c r="P4042" s="8" t="s">
        <v>8</v>
      </c>
    </row>
    <row r="4043">
      <c r="E4043" s="31"/>
      <c r="F4043" s="8" t="s">
        <v>8</v>
      </c>
      <c r="G4043" s="8" t="s">
        <v>8</v>
      </c>
      <c r="H4043" s="8" t="s">
        <v>8</v>
      </c>
      <c r="I4043" s="8" t="s">
        <v>8</v>
      </c>
      <c r="J4043" s="8" t="s">
        <v>8</v>
      </c>
      <c r="K4043" s="8" t="s">
        <v>8</v>
      </c>
      <c r="L4043" s="8" t="s">
        <v>8</v>
      </c>
      <c r="M4043" s="8"/>
      <c r="N4043" s="8"/>
      <c r="O4043" s="8" t="s">
        <v>8</v>
      </c>
      <c r="P4043" s="8" t="s">
        <v>8</v>
      </c>
    </row>
    <row r="4044">
      <c r="E4044" s="31"/>
      <c r="F4044" s="8" t="s">
        <v>8</v>
      </c>
      <c r="G4044" s="8" t="s">
        <v>8</v>
      </c>
      <c r="H4044" s="8" t="s">
        <v>8</v>
      </c>
      <c r="I4044" s="8" t="s">
        <v>8</v>
      </c>
      <c r="J4044" s="8" t="s">
        <v>8</v>
      </c>
      <c r="K4044" s="8" t="s">
        <v>8</v>
      </c>
      <c r="L4044" s="8" t="s">
        <v>8</v>
      </c>
      <c r="M4044" s="8"/>
      <c r="N4044" s="8"/>
      <c r="O4044" s="8" t="s">
        <v>8</v>
      </c>
      <c r="P4044" s="8" t="s">
        <v>8</v>
      </c>
    </row>
    <row r="4045">
      <c r="E4045" s="31"/>
      <c r="F4045" s="8" t="s">
        <v>8</v>
      </c>
      <c r="G4045" s="8" t="s">
        <v>8</v>
      </c>
      <c r="H4045" s="8" t="s">
        <v>8</v>
      </c>
      <c r="I4045" s="8" t="s">
        <v>8</v>
      </c>
      <c r="J4045" s="8" t="s">
        <v>8</v>
      </c>
      <c r="K4045" s="8" t="s">
        <v>8</v>
      </c>
      <c r="L4045" s="8" t="s">
        <v>8</v>
      </c>
      <c r="M4045" s="8"/>
      <c r="N4045" s="8"/>
      <c r="O4045" s="8" t="s">
        <v>8</v>
      </c>
      <c r="P4045" s="8" t="s">
        <v>8</v>
      </c>
    </row>
    <row r="4046">
      <c r="E4046" s="31"/>
      <c r="F4046" s="8" t="s">
        <v>8</v>
      </c>
      <c r="G4046" s="8" t="s">
        <v>8</v>
      </c>
      <c r="H4046" s="8" t="s">
        <v>8</v>
      </c>
      <c r="I4046" s="8" t="s">
        <v>8</v>
      </c>
      <c r="J4046" s="8" t="s">
        <v>8</v>
      </c>
      <c r="K4046" s="8" t="s">
        <v>8</v>
      </c>
      <c r="L4046" s="8" t="s">
        <v>8</v>
      </c>
      <c r="M4046" s="8"/>
      <c r="N4046" s="8"/>
      <c r="O4046" s="8" t="s">
        <v>8</v>
      </c>
      <c r="P4046" s="8" t="s">
        <v>8</v>
      </c>
    </row>
    <row r="4047">
      <c r="E4047" s="31"/>
      <c r="F4047" s="8" t="s">
        <v>8</v>
      </c>
      <c r="G4047" s="8" t="s">
        <v>8</v>
      </c>
      <c r="H4047" s="8" t="s">
        <v>8</v>
      </c>
      <c r="I4047" s="8" t="s">
        <v>8</v>
      </c>
      <c r="J4047" s="8" t="s">
        <v>8</v>
      </c>
      <c r="K4047" s="8" t="s">
        <v>8</v>
      </c>
      <c r="L4047" s="8" t="s">
        <v>8</v>
      </c>
      <c r="M4047" s="8"/>
      <c r="N4047" s="8"/>
      <c r="O4047" s="8" t="s">
        <v>8</v>
      </c>
      <c r="P4047" s="8" t="s">
        <v>8</v>
      </c>
    </row>
    <row r="4048">
      <c r="E4048" s="31"/>
      <c r="F4048" s="8" t="s">
        <v>8</v>
      </c>
      <c r="G4048" s="8" t="s">
        <v>8</v>
      </c>
      <c r="H4048" s="8" t="s">
        <v>8</v>
      </c>
      <c r="I4048" s="8" t="s">
        <v>8</v>
      </c>
      <c r="J4048" s="8" t="s">
        <v>8</v>
      </c>
      <c r="K4048" s="8" t="s">
        <v>8</v>
      </c>
      <c r="L4048" s="8" t="s">
        <v>8</v>
      </c>
      <c r="M4048" s="8"/>
      <c r="N4048" s="8"/>
      <c r="O4048" s="8" t="s">
        <v>8</v>
      </c>
      <c r="P4048" s="8" t="s">
        <v>8</v>
      </c>
    </row>
    <row r="4049">
      <c r="E4049" s="31"/>
      <c r="F4049" s="8" t="s">
        <v>8</v>
      </c>
      <c r="G4049" s="8" t="s">
        <v>8</v>
      </c>
      <c r="H4049" s="8" t="s">
        <v>8</v>
      </c>
      <c r="I4049" s="8" t="s">
        <v>8</v>
      </c>
      <c r="J4049" s="8" t="s">
        <v>8</v>
      </c>
      <c r="K4049" s="8" t="s">
        <v>8</v>
      </c>
      <c r="L4049" s="8" t="s">
        <v>8</v>
      </c>
      <c r="M4049" s="8"/>
      <c r="N4049" s="8"/>
      <c r="O4049" s="8" t="s">
        <v>8</v>
      </c>
      <c r="P4049" s="8" t="s">
        <v>8</v>
      </c>
    </row>
    <row r="4050">
      <c r="E4050" s="31"/>
      <c r="F4050" s="8" t="s">
        <v>8</v>
      </c>
      <c r="G4050" s="8" t="s">
        <v>8</v>
      </c>
      <c r="H4050" s="8" t="s">
        <v>8</v>
      </c>
      <c r="I4050" s="8" t="s">
        <v>8</v>
      </c>
      <c r="J4050" s="8" t="s">
        <v>8</v>
      </c>
      <c r="K4050" s="8" t="s">
        <v>8</v>
      </c>
      <c r="L4050" s="8" t="s">
        <v>8</v>
      </c>
      <c r="M4050" s="8"/>
      <c r="N4050" s="8"/>
      <c r="O4050" s="8" t="s">
        <v>8</v>
      </c>
      <c r="P4050" s="8" t="s">
        <v>8</v>
      </c>
    </row>
    <row r="4051">
      <c r="E4051" s="31"/>
      <c r="F4051" s="8" t="s">
        <v>8</v>
      </c>
      <c r="G4051" s="8" t="s">
        <v>8</v>
      </c>
      <c r="H4051" s="8" t="s">
        <v>8</v>
      </c>
      <c r="I4051" s="8" t="s">
        <v>8</v>
      </c>
      <c r="J4051" s="8" t="s">
        <v>8</v>
      </c>
      <c r="K4051" s="8" t="s">
        <v>8</v>
      </c>
      <c r="L4051" s="8" t="s">
        <v>8</v>
      </c>
      <c r="M4051" s="8"/>
      <c r="N4051" s="8"/>
      <c r="O4051" s="8" t="s">
        <v>8</v>
      </c>
      <c r="P4051" s="8" t="s">
        <v>8</v>
      </c>
    </row>
    <row r="4052">
      <c r="E4052" s="31"/>
      <c r="F4052" s="8" t="s">
        <v>8</v>
      </c>
      <c r="G4052" s="8" t="s">
        <v>8</v>
      </c>
      <c r="H4052" s="8" t="s">
        <v>8</v>
      </c>
      <c r="I4052" s="8" t="s">
        <v>8</v>
      </c>
      <c r="J4052" s="8" t="s">
        <v>8</v>
      </c>
      <c r="K4052" s="8" t="s">
        <v>8</v>
      </c>
      <c r="L4052" s="8" t="s">
        <v>8</v>
      </c>
      <c r="M4052" s="8"/>
      <c r="N4052" s="8"/>
      <c r="O4052" s="8" t="s">
        <v>8</v>
      </c>
      <c r="P4052" s="8" t="s">
        <v>8</v>
      </c>
    </row>
    <row r="4053">
      <c r="E4053" s="31"/>
      <c r="F4053" s="8" t="s">
        <v>8</v>
      </c>
      <c r="G4053" s="8" t="s">
        <v>8</v>
      </c>
      <c r="H4053" s="8" t="s">
        <v>8</v>
      </c>
      <c r="I4053" s="8" t="s">
        <v>8</v>
      </c>
      <c r="J4053" s="8" t="s">
        <v>8</v>
      </c>
      <c r="K4053" s="8" t="s">
        <v>8</v>
      </c>
      <c r="L4053" s="8" t="s">
        <v>8</v>
      </c>
      <c r="M4053" s="8"/>
      <c r="N4053" s="8"/>
      <c r="O4053" s="8" t="s">
        <v>8</v>
      </c>
      <c r="P4053" s="8" t="s">
        <v>8</v>
      </c>
    </row>
    <row r="4054">
      <c r="E4054" s="31"/>
      <c r="F4054" s="8" t="s">
        <v>8</v>
      </c>
      <c r="G4054" s="8" t="s">
        <v>8</v>
      </c>
      <c r="H4054" s="8" t="s">
        <v>8</v>
      </c>
      <c r="I4054" s="8" t="s">
        <v>8</v>
      </c>
      <c r="J4054" s="8" t="s">
        <v>8</v>
      </c>
      <c r="K4054" s="8" t="s">
        <v>8</v>
      </c>
      <c r="L4054" s="8" t="s">
        <v>8</v>
      </c>
      <c r="M4054" s="8"/>
      <c r="N4054" s="8"/>
      <c r="O4054" s="8" t="s">
        <v>8</v>
      </c>
      <c r="P4054" s="8" t="s">
        <v>8</v>
      </c>
    </row>
    <row r="4055">
      <c r="E4055" s="31"/>
      <c r="F4055" s="8" t="s">
        <v>8</v>
      </c>
      <c r="G4055" s="8" t="s">
        <v>8</v>
      </c>
      <c r="H4055" s="8" t="s">
        <v>8</v>
      </c>
      <c r="I4055" s="8" t="s">
        <v>8</v>
      </c>
      <c r="J4055" s="8" t="s">
        <v>8</v>
      </c>
      <c r="K4055" s="8" t="s">
        <v>8</v>
      </c>
      <c r="L4055" s="8" t="s">
        <v>8</v>
      </c>
      <c r="M4055" s="8"/>
      <c r="N4055" s="8"/>
      <c r="O4055" s="8" t="s">
        <v>8</v>
      </c>
      <c r="P4055" s="8" t="s">
        <v>8</v>
      </c>
    </row>
    <row r="4056">
      <c r="E4056" s="31"/>
      <c r="F4056" s="8" t="s">
        <v>8</v>
      </c>
      <c r="G4056" s="8" t="s">
        <v>8</v>
      </c>
      <c r="H4056" s="8" t="s">
        <v>8</v>
      </c>
      <c r="I4056" s="8" t="s">
        <v>8</v>
      </c>
      <c r="J4056" s="8" t="s">
        <v>8</v>
      </c>
      <c r="K4056" s="8" t="s">
        <v>8</v>
      </c>
      <c r="L4056" s="8" t="s">
        <v>8</v>
      </c>
      <c r="M4056" s="8"/>
      <c r="N4056" s="8"/>
      <c r="O4056" s="8" t="s">
        <v>8</v>
      </c>
      <c r="P4056" s="8" t="s">
        <v>8</v>
      </c>
    </row>
    <row r="4057">
      <c r="E4057" s="31"/>
      <c r="F4057" s="8" t="s">
        <v>8</v>
      </c>
      <c r="G4057" s="8" t="s">
        <v>8</v>
      </c>
      <c r="H4057" s="8" t="s">
        <v>8</v>
      </c>
      <c r="I4057" s="8" t="s">
        <v>8</v>
      </c>
      <c r="J4057" s="8" t="s">
        <v>8</v>
      </c>
      <c r="K4057" s="8" t="s">
        <v>8</v>
      </c>
      <c r="L4057" s="8" t="s">
        <v>8</v>
      </c>
      <c r="M4057" s="8"/>
      <c r="N4057" s="8"/>
      <c r="O4057" s="8" t="s">
        <v>8</v>
      </c>
      <c r="P4057" s="8" t="s">
        <v>8</v>
      </c>
    </row>
    <row r="4058">
      <c r="E4058" s="31"/>
      <c r="F4058" s="8" t="s">
        <v>8</v>
      </c>
      <c r="G4058" s="8" t="s">
        <v>8</v>
      </c>
      <c r="H4058" s="8" t="s">
        <v>8</v>
      </c>
      <c r="I4058" s="8" t="s">
        <v>8</v>
      </c>
      <c r="J4058" s="8" t="s">
        <v>8</v>
      </c>
      <c r="K4058" s="8" t="s">
        <v>8</v>
      </c>
      <c r="L4058" s="8" t="s">
        <v>8</v>
      </c>
      <c r="M4058" s="8"/>
      <c r="N4058" s="8"/>
      <c r="O4058" s="8" t="s">
        <v>8</v>
      </c>
      <c r="P4058" s="8" t="s">
        <v>8</v>
      </c>
    </row>
    <row r="4059">
      <c r="E4059" s="31"/>
      <c r="F4059" s="8" t="s">
        <v>8</v>
      </c>
      <c r="G4059" s="8" t="s">
        <v>8</v>
      </c>
      <c r="H4059" s="8" t="s">
        <v>8</v>
      </c>
      <c r="I4059" s="8" t="s">
        <v>8</v>
      </c>
      <c r="J4059" s="8" t="s">
        <v>8</v>
      </c>
      <c r="K4059" s="8" t="s">
        <v>8</v>
      </c>
      <c r="L4059" s="8" t="s">
        <v>8</v>
      </c>
      <c r="M4059" s="8"/>
      <c r="N4059" s="8"/>
      <c r="O4059" s="8" t="s">
        <v>8</v>
      </c>
      <c r="P4059" s="8" t="s">
        <v>8</v>
      </c>
    </row>
    <row r="4060">
      <c r="E4060" s="31"/>
      <c r="F4060" s="8" t="s">
        <v>8</v>
      </c>
      <c r="G4060" s="8" t="s">
        <v>8</v>
      </c>
      <c r="H4060" s="8" t="s">
        <v>8</v>
      </c>
      <c r="I4060" s="8" t="s">
        <v>8</v>
      </c>
      <c r="J4060" s="8" t="s">
        <v>8</v>
      </c>
      <c r="K4060" s="8" t="s">
        <v>8</v>
      </c>
      <c r="L4060" s="8" t="s">
        <v>8</v>
      </c>
      <c r="M4060" s="8"/>
      <c r="N4060" s="8"/>
      <c r="O4060" s="8" t="s">
        <v>8</v>
      </c>
      <c r="P4060" s="8" t="s">
        <v>8</v>
      </c>
    </row>
    <row r="4061">
      <c r="E4061" s="31"/>
      <c r="F4061" s="8" t="s">
        <v>8</v>
      </c>
      <c r="G4061" s="8" t="s">
        <v>8</v>
      </c>
      <c r="H4061" s="8" t="s">
        <v>8</v>
      </c>
      <c r="I4061" s="8" t="s">
        <v>8</v>
      </c>
      <c r="J4061" s="8" t="s">
        <v>8</v>
      </c>
      <c r="K4061" s="8" t="s">
        <v>8</v>
      </c>
      <c r="L4061" s="8" t="s">
        <v>8</v>
      </c>
      <c r="M4061" s="8"/>
      <c r="N4061" s="8"/>
      <c r="O4061" s="8" t="s">
        <v>8</v>
      </c>
      <c r="P4061" s="8" t="s">
        <v>8</v>
      </c>
    </row>
    <row r="4062">
      <c r="E4062" s="31"/>
      <c r="F4062" s="8" t="s">
        <v>8</v>
      </c>
      <c r="G4062" s="8" t="s">
        <v>8</v>
      </c>
      <c r="H4062" s="8" t="s">
        <v>8</v>
      </c>
      <c r="I4062" s="8" t="s">
        <v>8</v>
      </c>
      <c r="J4062" s="8" t="s">
        <v>8</v>
      </c>
      <c r="K4062" s="8" t="s">
        <v>8</v>
      </c>
      <c r="L4062" s="8" t="s">
        <v>8</v>
      </c>
      <c r="M4062" s="8"/>
      <c r="N4062" s="8"/>
      <c r="O4062" s="8" t="s">
        <v>8</v>
      </c>
      <c r="P4062" s="8" t="s">
        <v>8</v>
      </c>
    </row>
    <row r="4063">
      <c r="E4063" s="31"/>
      <c r="F4063" s="8" t="s">
        <v>8</v>
      </c>
      <c r="G4063" s="8" t="s">
        <v>8</v>
      </c>
      <c r="H4063" s="8" t="s">
        <v>8</v>
      </c>
      <c r="I4063" s="8" t="s">
        <v>8</v>
      </c>
      <c r="J4063" s="8" t="s">
        <v>8</v>
      </c>
      <c r="K4063" s="8" t="s">
        <v>8</v>
      </c>
      <c r="L4063" s="8" t="s">
        <v>8</v>
      </c>
      <c r="M4063" s="8"/>
      <c r="N4063" s="8"/>
      <c r="O4063" s="8" t="s">
        <v>8</v>
      </c>
      <c r="P4063" s="8" t="s">
        <v>8</v>
      </c>
    </row>
    <row r="4064">
      <c r="E4064" s="31"/>
      <c r="F4064" s="8" t="s">
        <v>8</v>
      </c>
      <c r="G4064" s="8" t="s">
        <v>8</v>
      </c>
      <c r="H4064" s="8" t="s">
        <v>8</v>
      </c>
      <c r="I4064" s="8" t="s">
        <v>8</v>
      </c>
      <c r="J4064" s="8" t="s">
        <v>8</v>
      </c>
      <c r="K4064" s="8" t="s">
        <v>8</v>
      </c>
      <c r="L4064" s="8" t="s">
        <v>8</v>
      </c>
      <c r="M4064" s="8"/>
      <c r="N4064" s="8"/>
      <c r="O4064" s="8" t="s">
        <v>8</v>
      </c>
      <c r="P4064" s="8" t="s">
        <v>8</v>
      </c>
    </row>
    <row r="4065">
      <c r="E4065" s="31"/>
      <c r="F4065" s="8" t="s">
        <v>8</v>
      </c>
      <c r="G4065" s="8" t="s">
        <v>8</v>
      </c>
      <c r="H4065" s="8" t="s">
        <v>8</v>
      </c>
      <c r="I4065" s="8" t="s">
        <v>8</v>
      </c>
      <c r="J4065" s="8" t="s">
        <v>8</v>
      </c>
      <c r="K4065" s="8" t="s">
        <v>8</v>
      </c>
      <c r="L4065" s="8" t="s">
        <v>8</v>
      </c>
      <c r="M4065" s="8"/>
      <c r="N4065" s="8"/>
      <c r="O4065" s="8" t="s">
        <v>8</v>
      </c>
      <c r="P4065" s="8" t="s">
        <v>8</v>
      </c>
    </row>
    <row r="4066">
      <c r="E4066" s="31"/>
      <c r="F4066" s="8" t="s">
        <v>8</v>
      </c>
      <c r="G4066" s="8" t="s">
        <v>8</v>
      </c>
      <c r="H4066" s="8" t="s">
        <v>8</v>
      </c>
      <c r="I4066" s="8" t="s">
        <v>8</v>
      </c>
      <c r="J4066" s="8" t="s">
        <v>8</v>
      </c>
      <c r="K4066" s="8" t="s">
        <v>8</v>
      </c>
      <c r="L4066" s="8" t="s">
        <v>8</v>
      </c>
      <c r="M4066" s="8"/>
      <c r="N4066" s="8"/>
      <c r="O4066" s="8" t="s">
        <v>8</v>
      </c>
      <c r="P4066" s="8" t="s">
        <v>8</v>
      </c>
    </row>
    <row r="4067">
      <c r="E4067" s="31"/>
      <c r="F4067" s="8" t="s">
        <v>8</v>
      </c>
      <c r="G4067" s="8" t="s">
        <v>8</v>
      </c>
      <c r="H4067" s="8" t="s">
        <v>8</v>
      </c>
      <c r="I4067" s="8" t="s">
        <v>8</v>
      </c>
      <c r="J4067" s="8" t="s">
        <v>8</v>
      </c>
      <c r="K4067" s="8" t="s">
        <v>8</v>
      </c>
      <c r="L4067" s="8" t="s">
        <v>8</v>
      </c>
      <c r="M4067" s="8"/>
      <c r="N4067" s="8"/>
      <c r="O4067" s="8" t="s">
        <v>8</v>
      </c>
      <c r="P4067" s="8" t="s">
        <v>8</v>
      </c>
    </row>
    <row r="4068">
      <c r="E4068" s="31"/>
      <c r="F4068" s="8" t="s">
        <v>8</v>
      </c>
      <c r="G4068" s="8" t="s">
        <v>8</v>
      </c>
      <c r="H4068" s="8" t="s">
        <v>8</v>
      </c>
      <c r="I4068" s="8" t="s">
        <v>8</v>
      </c>
      <c r="J4068" s="8" t="s">
        <v>8</v>
      </c>
      <c r="K4068" s="8" t="s">
        <v>8</v>
      </c>
      <c r="L4068" s="8" t="s">
        <v>8</v>
      </c>
      <c r="M4068" s="8"/>
      <c r="N4068" s="8"/>
      <c r="O4068" s="8" t="s">
        <v>8</v>
      </c>
      <c r="P4068" s="8" t="s">
        <v>8</v>
      </c>
    </row>
    <row r="4069">
      <c r="E4069" s="31"/>
      <c r="F4069" s="8" t="s">
        <v>8</v>
      </c>
      <c r="G4069" s="8" t="s">
        <v>8</v>
      </c>
      <c r="H4069" s="8" t="s">
        <v>8</v>
      </c>
      <c r="I4069" s="8" t="s">
        <v>8</v>
      </c>
      <c r="J4069" s="8" t="s">
        <v>8</v>
      </c>
      <c r="K4069" s="8" t="s">
        <v>8</v>
      </c>
      <c r="L4069" s="8" t="s">
        <v>8</v>
      </c>
      <c r="M4069" s="8"/>
      <c r="N4069" s="8"/>
      <c r="O4069" s="8" t="s">
        <v>8</v>
      </c>
      <c r="P4069" s="8" t="s">
        <v>8</v>
      </c>
    </row>
    <row r="4070">
      <c r="E4070" s="31"/>
      <c r="F4070" s="8" t="s">
        <v>8</v>
      </c>
      <c r="G4070" s="8" t="s">
        <v>8</v>
      </c>
      <c r="H4070" s="8" t="s">
        <v>8</v>
      </c>
      <c r="I4070" s="8" t="s">
        <v>8</v>
      </c>
      <c r="J4070" s="8" t="s">
        <v>8</v>
      </c>
      <c r="K4070" s="8" t="s">
        <v>8</v>
      </c>
      <c r="L4070" s="8" t="s">
        <v>8</v>
      </c>
      <c r="M4070" s="8"/>
      <c r="N4070" s="8"/>
      <c r="O4070" s="8" t="s">
        <v>8</v>
      </c>
      <c r="P4070" s="8" t="s">
        <v>8</v>
      </c>
    </row>
    <row r="4071">
      <c r="E4071" s="31"/>
      <c r="F4071" s="8" t="s">
        <v>8</v>
      </c>
      <c r="G4071" s="8" t="s">
        <v>8</v>
      </c>
      <c r="H4071" s="8" t="s">
        <v>8</v>
      </c>
      <c r="I4071" s="8" t="s">
        <v>8</v>
      </c>
      <c r="J4071" s="8" t="s">
        <v>8</v>
      </c>
      <c r="K4071" s="8" t="s">
        <v>8</v>
      </c>
      <c r="L4071" s="8" t="s">
        <v>8</v>
      </c>
      <c r="M4071" s="8"/>
      <c r="N4071" s="8"/>
      <c r="O4071" s="8" t="s">
        <v>8</v>
      </c>
      <c r="P4071" s="8" t="s">
        <v>8</v>
      </c>
    </row>
    <row r="4072">
      <c r="E4072" s="31"/>
      <c r="F4072" s="8" t="s">
        <v>8</v>
      </c>
      <c r="G4072" s="8" t="s">
        <v>8</v>
      </c>
      <c r="H4072" s="8" t="s">
        <v>8</v>
      </c>
      <c r="I4072" s="8" t="s">
        <v>8</v>
      </c>
      <c r="J4072" s="8" t="s">
        <v>8</v>
      </c>
      <c r="K4072" s="8" t="s">
        <v>8</v>
      </c>
      <c r="L4072" s="8" t="s">
        <v>8</v>
      </c>
      <c r="M4072" s="8"/>
      <c r="N4072" s="8"/>
      <c r="O4072" s="8" t="s">
        <v>8</v>
      </c>
      <c r="P4072" s="8" t="s">
        <v>8</v>
      </c>
    </row>
    <row r="4073">
      <c r="E4073" s="31"/>
      <c r="F4073" s="8" t="s">
        <v>8</v>
      </c>
      <c r="G4073" s="8" t="s">
        <v>8</v>
      </c>
      <c r="H4073" s="8" t="s">
        <v>8</v>
      </c>
      <c r="I4073" s="8" t="s">
        <v>8</v>
      </c>
      <c r="J4073" s="8" t="s">
        <v>8</v>
      </c>
      <c r="K4073" s="8" t="s">
        <v>8</v>
      </c>
      <c r="L4073" s="8" t="s">
        <v>8</v>
      </c>
      <c r="M4073" s="8"/>
      <c r="N4073" s="8"/>
      <c r="O4073" s="8" t="s">
        <v>8</v>
      </c>
      <c r="P4073" s="8" t="s">
        <v>8</v>
      </c>
    </row>
    <row r="4074">
      <c r="E4074" s="31"/>
      <c r="F4074" s="8" t="s">
        <v>8</v>
      </c>
      <c r="G4074" s="8" t="s">
        <v>8</v>
      </c>
      <c r="H4074" s="8" t="s">
        <v>8</v>
      </c>
      <c r="I4074" s="8" t="s">
        <v>8</v>
      </c>
      <c r="J4074" s="8" t="s">
        <v>8</v>
      </c>
      <c r="K4074" s="8" t="s">
        <v>8</v>
      </c>
      <c r="L4074" s="8" t="s">
        <v>8</v>
      </c>
      <c r="M4074" s="8"/>
      <c r="N4074" s="8"/>
      <c r="O4074" s="8" t="s">
        <v>8</v>
      </c>
      <c r="P4074" s="8" t="s">
        <v>8</v>
      </c>
    </row>
    <row r="4075">
      <c r="E4075" s="31"/>
      <c r="F4075" s="8" t="s">
        <v>8</v>
      </c>
      <c r="G4075" s="8" t="s">
        <v>8</v>
      </c>
      <c r="H4075" s="8" t="s">
        <v>8</v>
      </c>
      <c r="I4075" s="8" t="s">
        <v>8</v>
      </c>
      <c r="J4075" s="8" t="s">
        <v>8</v>
      </c>
      <c r="K4075" s="8" t="s">
        <v>8</v>
      </c>
      <c r="L4075" s="8" t="s">
        <v>8</v>
      </c>
      <c r="M4075" s="8"/>
      <c r="N4075" s="8"/>
      <c r="O4075" s="8" t="s">
        <v>8</v>
      </c>
      <c r="P4075" s="8" t="s">
        <v>8</v>
      </c>
    </row>
    <row r="4076">
      <c r="E4076" s="31"/>
      <c r="F4076" s="8" t="s">
        <v>8</v>
      </c>
      <c r="G4076" s="8" t="s">
        <v>8</v>
      </c>
      <c r="H4076" s="8" t="s">
        <v>8</v>
      </c>
      <c r="I4076" s="8" t="s">
        <v>8</v>
      </c>
      <c r="J4076" s="8" t="s">
        <v>8</v>
      </c>
      <c r="K4076" s="8" t="s">
        <v>8</v>
      </c>
      <c r="L4076" s="8" t="s">
        <v>8</v>
      </c>
      <c r="M4076" s="8"/>
      <c r="N4076" s="8"/>
      <c r="O4076" s="8" t="s">
        <v>8</v>
      </c>
      <c r="P4076" s="8" t="s">
        <v>8</v>
      </c>
    </row>
    <row r="4077">
      <c r="E4077" s="31"/>
      <c r="F4077" s="8" t="s">
        <v>8</v>
      </c>
      <c r="G4077" s="8" t="s">
        <v>8</v>
      </c>
      <c r="H4077" s="8" t="s">
        <v>8</v>
      </c>
      <c r="I4077" s="8" t="s">
        <v>8</v>
      </c>
      <c r="J4077" s="8" t="s">
        <v>8</v>
      </c>
      <c r="K4077" s="8" t="s">
        <v>8</v>
      </c>
      <c r="L4077" s="8" t="s">
        <v>8</v>
      </c>
      <c r="M4077" s="8"/>
      <c r="N4077" s="8"/>
      <c r="O4077" s="8" t="s">
        <v>8</v>
      </c>
      <c r="P4077" s="8" t="s">
        <v>8</v>
      </c>
    </row>
    <row r="4078">
      <c r="E4078" s="31"/>
      <c r="F4078" s="8" t="s">
        <v>8</v>
      </c>
      <c r="G4078" s="8" t="s">
        <v>8</v>
      </c>
      <c r="H4078" s="8" t="s">
        <v>8</v>
      </c>
      <c r="I4078" s="8" t="s">
        <v>8</v>
      </c>
      <c r="J4078" s="8" t="s">
        <v>8</v>
      </c>
      <c r="K4078" s="8" t="s">
        <v>8</v>
      </c>
      <c r="L4078" s="8" t="s">
        <v>8</v>
      </c>
      <c r="M4078" s="8"/>
      <c r="N4078" s="8"/>
      <c r="O4078" s="8" t="s">
        <v>8</v>
      </c>
      <c r="P4078" s="8" t="s">
        <v>8</v>
      </c>
    </row>
    <row r="4079">
      <c r="E4079" s="31"/>
      <c r="F4079" s="8" t="s">
        <v>8</v>
      </c>
      <c r="G4079" s="8" t="s">
        <v>8</v>
      </c>
      <c r="H4079" s="8" t="s">
        <v>8</v>
      </c>
      <c r="I4079" s="8" t="s">
        <v>8</v>
      </c>
      <c r="J4079" s="8" t="s">
        <v>8</v>
      </c>
      <c r="K4079" s="8" t="s">
        <v>8</v>
      </c>
      <c r="L4079" s="8" t="s">
        <v>8</v>
      </c>
      <c r="M4079" s="8"/>
      <c r="N4079" s="8"/>
      <c r="O4079" s="8" t="s">
        <v>8</v>
      </c>
      <c r="P4079" s="8" t="s">
        <v>8</v>
      </c>
    </row>
    <row r="4080">
      <c r="E4080" s="31"/>
      <c r="F4080" s="8" t="s">
        <v>8</v>
      </c>
      <c r="G4080" s="8" t="s">
        <v>8</v>
      </c>
      <c r="H4080" s="8" t="s">
        <v>8</v>
      </c>
      <c r="I4080" s="8" t="s">
        <v>8</v>
      </c>
      <c r="J4080" s="8" t="s">
        <v>8</v>
      </c>
      <c r="K4080" s="8" t="s">
        <v>8</v>
      </c>
      <c r="L4080" s="8" t="s">
        <v>8</v>
      </c>
      <c r="M4080" s="8"/>
      <c r="N4080" s="8"/>
      <c r="O4080" s="8" t="s">
        <v>8</v>
      </c>
      <c r="P4080" s="8" t="s">
        <v>8</v>
      </c>
    </row>
    <row r="4081">
      <c r="E4081" s="31"/>
      <c r="F4081" s="8" t="s">
        <v>8</v>
      </c>
      <c r="G4081" s="8" t="s">
        <v>8</v>
      </c>
      <c r="H4081" s="8" t="s">
        <v>8</v>
      </c>
      <c r="I4081" s="8" t="s">
        <v>8</v>
      </c>
      <c r="J4081" s="8" t="s">
        <v>8</v>
      </c>
      <c r="K4081" s="8" t="s">
        <v>8</v>
      </c>
      <c r="L4081" s="8" t="s">
        <v>8</v>
      </c>
      <c r="M4081" s="8"/>
      <c r="N4081" s="8"/>
      <c r="O4081" s="8" t="s">
        <v>8</v>
      </c>
      <c r="P4081" s="8" t="s">
        <v>8</v>
      </c>
    </row>
    <row r="4082">
      <c r="E4082" s="31"/>
      <c r="F4082" s="8" t="s">
        <v>8</v>
      </c>
      <c r="G4082" s="8" t="s">
        <v>8</v>
      </c>
      <c r="H4082" s="8" t="s">
        <v>8</v>
      </c>
      <c r="I4082" s="8" t="s">
        <v>8</v>
      </c>
      <c r="J4082" s="8" t="s">
        <v>8</v>
      </c>
      <c r="K4082" s="8" t="s">
        <v>8</v>
      </c>
      <c r="L4082" s="8" t="s">
        <v>8</v>
      </c>
      <c r="M4082" s="8"/>
      <c r="N4082" s="8"/>
      <c r="O4082" s="8" t="s">
        <v>8</v>
      </c>
      <c r="P4082" s="8" t="s">
        <v>8</v>
      </c>
    </row>
    <row r="4083">
      <c r="E4083" s="31"/>
      <c r="F4083" s="8" t="s">
        <v>8</v>
      </c>
      <c r="G4083" s="8" t="s">
        <v>8</v>
      </c>
      <c r="H4083" s="8" t="s">
        <v>8</v>
      </c>
      <c r="I4083" s="8" t="s">
        <v>8</v>
      </c>
      <c r="J4083" s="8" t="s">
        <v>8</v>
      </c>
      <c r="K4083" s="8" t="s">
        <v>8</v>
      </c>
      <c r="L4083" s="8" t="s">
        <v>8</v>
      </c>
      <c r="M4083" s="8"/>
      <c r="N4083" s="8"/>
      <c r="O4083" s="8" t="s">
        <v>8</v>
      </c>
      <c r="P4083" s="8" t="s">
        <v>8</v>
      </c>
    </row>
    <row r="4084">
      <c r="E4084" s="31"/>
      <c r="F4084" s="8" t="s">
        <v>8</v>
      </c>
      <c r="G4084" s="8" t="s">
        <v>8</v>
      </c>
      <c r="H4084" s="8" t="s">
        <v>8</v>
      </c>
      <c r="I4084" s="8" t="s">
        <v>8</v>
      </c>
      <c r="J4084" s="8" t="s">
        <v>8</v>
      </c>
      <c r="K4084" s="8" t="s">
        <v>8</v>
      </c>
      <c r="L4084" s="8" t="s">
        <v>8</v>
      </c>
      <c r="M4084" s="8"/>
      <c r="N4084" s="8"/>
      <c r="O4084" s="8" t="s">
        <v>8</v>
      </c>
      <c r="P4084" s="8" t="s">
        <v>8</v>
      </c>
    </row>
    <row r="4085">
      <c r="E4085" s="31"/>
      <c r="F4085" s="8" t="s">
        <v>8</v>
      </c>
      <c r="G4085" s="8" t="s">
        <v>8</v>
      </c>
      <c r="H4085" s="8" t="s">
        <v>8</v>
      </c>
      <c r="I4085" s="8" t="s">
        <v>8</v>
      </c>
      <c r="J4085" s="8" t="s">
        <v>8</v>
      </c>
      <c r="K4085" s="8" t="s">
        <v>8</v>
      </c>
      <c r="L4085" s="8" t="s">
        <v>8</v>
      </c>
      <c r="M4085" s="8"/>
      <c r="N4085" s="8"/>
      <c r="O4085" s="8" t="s">
        <v>8</v>
      </c>
      <c r="P4085" s="8" t="s">
        <v>8</v>
      </c>
    </row>
    <row r="4086">
      <c r="E4086" s="31"/>
      <c r="F4086" s="8" t="s">
        <v>8</v>
      </c>
      <c r="G4086" s="8" t="s">
        <v>8</v>
      </c>
      <c r="H4086" s="8" t="s">
        <v>8</v>
      </c>
      <c r="I4086" s="8" t="s">
        <v>8</v>
      </c>
      <c r="J4086" s="8" t="s">
        <v>8</v>
      </c>
      <c r="K4086" s="8" t="s">
        <v>8</v>
      </c>
      <c r="L4086" s="8" t="s">
        <v>8</v>
      </c>
      <c r="M4086" s="8"/>
      <c r="N4086" s="8"/>
      <c r="O4086" s="8" t="s">
        <v>8</v>
      </c>
      <c r="P4086" s="8" t="s">
        <v>8</v>
      </c>
    </row>
    <row r="4087">
      <c r="E4087" s="31"/>
      <c r="F4087" s="8" t="s">
        <v>8</v>
      </c>
      <c r="G4087" s="8" t="s">
        <v>8</v>
      </c>
      <c r="H4087" s="8" t="s">
        <v>8</v>
      </c>
      <c r="I4087" s="8" t="s">
        <v>8</v>
      </c>
      <c r="J4087" s="8" t="s">
        <v>8</v>
      </c>
      <c r="K4087" s="8" t="s">
        <v>8</v>
      </c>
      <c r="L4087" s="8" t="s">
        <v>8</v>
      </c>
      <c r="M4087" s="8"/>
      <c r="N4087" s="8"/>
      <c r="O4087" s="8" t="s">
        <v>8</v>
      </c>
      <c r="P4087" s="8" t="s">
        <v>8</v>
      </c>
    </row>
    <row r="4088">
      <c r="E4088" s="31"/>
      <c r="F4088" s="8" t="s">
        <v>8</v>
      </c>
      <c r="G4088" s="8" t="s">
        <v>8</v>
      </c>
      <c r="H4088" s="8" t="s">
        <v>8</v>
      </c>
      <c r="I4088" s="8" t="s">
        <v>8</v>
      </c>
      <c r="J4088" s="8" t="s">
        <v>8</v>
      </c>
      <c r="K4088" s="8" t="s">
        <v>8</v>
      </c>
      <c r="L4088" s="8" t="s">
        <v>8</v>
      </c>
      <c r="M4088" s="8"/>
      <c r="N4088" s="8"/>
      <c r="O4088" s="8" t="s">
        <v>8</v>
      </c>
      <c r="P4088" s="8" t="s">
        <v>8</v>
      </c>
    </row>
    <row r="4089">
      <c r="E4089" s="31"/>
      <c r="F4089" s="8" t="s">
        <v>8</v>
      </c>
      <c r="G4089" s="8" t="s">
        <v>8</v>
      </c>
      <c r="H4089" s="8" t="s">
        <v>8</v>
      </c>
      <c r="I4089" s="8" t="s">
        <v>8</v>
      </c>
      <c r="J4089" s="8" t="s">
        <v>8</v>
      </c>
      <c r="K4089" s="8" t="s">
        <v>8</v>
      </c>
      <c r="L4089" s="8" t="s">
        <v>8</v>
      </c>
      <c r="M4089" s="8"/>
      <c r="N4089" s="8"/>
      <c r="O4089" s="8" t="s">
        <v>8</v>
      </c>
      <c r="P4089" s="8" t="s">
        <v>8</v>
      </c>
    </row>
    <row r="4090">
      <c r="E4090" s="31"/>
      <c r="F4090" s="8" t="s">
        <v>8</v>
      </c>
      <c r="G4090" s="8" t="s">
        <v>8</v>
      </c>
      <c r="H4090" s="8" t="s">
        <v>8</v>
      </c>
      <c r="I4090" s="8" t="s">
        <v>8</v>
      </c>
      <c r="J4090" s="8" t="s">
        <v>8</v>
      </c>
      <c r="K4090" s="8" t="s">
        <v>8</v>
      </c>
      <c r="L4090" s="8" t="s">
        <v>8</v>
      </c>
      <c r="M4090" s="8"/>
      <c r="N4090" s="8"/>
      <c r="O4090" s="8" t="s">
        <v>8</v>
      </c>
      <c r="P4090" s="8" t="s">
        <v>8</v>
      </c>
    </row>
    <row r="4091">
      <c r="E4091" s="31"/>
      <c r="F4091" s="8" t="s">
        <v>8</v>
      </c>
      <c r="G4091" s="8" t="s">
        <v>8</v>
      </c>
      <c r="H4091" s="8" t="s">
        <v>8</v>
      </c>
      <c r="I4091" s="8" t="s">
        <v>8</v>
      </c>
      <c r="J4091" s="8" t="s">
        <v>8</v>
      </c>
      <c r="K4091" s="8" t="s">
        <v>8</v>
      </c>
      <c r="L4091" s="8" t="s">
        <v>8</v>
      </c>
      <c r="M4091" s="8"/>
      <c r="N4091" s="8"/>
      <c r="O4091" s="8" t="s">
        <v>8</v>
      </c>
      <c r="P4091" s="8" t="s">
        <v>8</v>
      </c>
    </row>
    <row r="4092">
      <c r="E4092" s="31"/>
      <c r="F4092" s="8" t="s">
        <v>8</v>
      </c>
      <c r="G4092" s="8" t="s">
        <v>8</v>
      </c>
      <c r="H4092" s="8" t="s">
        <v>8</v>
      </c>
      <c r="I4092" s="8" t="s">
        <v>8</v>
      </c>
      <c r="J4092" s="8" t="s">
        <v>8</v>
      </c>
      <c r="K4092" s="8" t="s">
        <v>8</v>
      </c>
      <c r="L4092" s="8" t="s">
        <v>8</v>
      </c>
      <c r="M4092" s="8"/>
      <c r="N4092" s="8"/>
      <c r="O4092" s="8" t="s">
        <v>8</v>
      </c>
      <c r="P4092" s="8" t="s">
        <v>8</v>
      </c>
    </row>
    <row r="4093">
      <c r="E4093" s="31"/>
      <c r="F4093" s="8" t="s">
        <v>8</v>
      </c>
      <c r="G4093" s="8" t="s">
        <v>8</v>
      </c>
      <c r="H4093" s="8" t="s">
        <v>8</v>
      </c>
      <c r="I4093" s="8" t="s">
        <v>8</v>
      </c>
      <c r="J4093" s="8" t="s">
        <v>8</v>
      </c>
      <c r="K4093" s="8" t="s">
        <v>8</v>
      </c>
      <c r="L4093" s="8" t="s">
        <v>8</v>
      </c>
      <c r="M4093" s="8"/>
      <c r="N4093" s="8"/>
      <c r="O4093" s="8" t="s">
        <v>8</v>
      </c>
      <c r="P4093" s="8" t="s">
        <v>8</v>
      </c>
    </row>
    <row r="4094">
      <c r="E4094" s="31"/>
      <c r="F4094" s="8" t="s">
        <v>8</v>
      </c>
      <c r="G4094" s="8" t="s">
        <v>8</v>
      </c>
      <c r="H4094" s="8" t="s">
        <v>8</v>
      </c>
      <c r="I4094" s="8" t="s">
        <v>8</v>
      </c>
      <c r="J4094" s="8" t="s">
        <v>8</v>
      </c>
      <c r="K4094" s="8" t="s">
        <v>8</v>
      </c>
      <c r="L4094" s="8" t="s">
        <v>8</v>
      </c>
      <c r="M4094" s="8"/>
      <c r="N4094" s="8"/>
      <c r="O4094" s="8" t="s">
        <v>8</v>
      </c>
      <c r="P4094" s="8" t="s">
        <v>8</v>
      </c>
    </row>
    <row r="4095">
      <c r="E4095" s="31"/>
      <c r="F4095" s="8" t="s">
        <v>8</v>
      </c>
      <c r="G4095" s="8" t="s">
        <v>8</v>
      </c>
      <c r="H4095" s="8" t="s">
        <v>8</v>
      </c>
      <c r="I4095" s="8" t="s">
        <v>8</v>
      </c>
      <c r="J4095" s="8" t="s">
        <v>8</v>
      </c>
      <c r="K4095" s="8" t="s">
        <v>8</v>
      </c>
      <c r="L4095" s="8" t="s">
        <v>8</v>
      </c>
      <c r="M4095" s="8"/>
      <c r="N4095" s="8"/>
      <c r="O4095" s="8" t="s">
        <v>8</v>
      </c>
      <c r="P4095" s="8" t="s">
        <v>8</v>
      </c>
    </row>
    <row r="4096">
      <c r="E4096" s="31"/>
      <c r="F4096" s="8" t="s">
        <v>8</v>
      </c>
      <c r="G4096" s="8" t="s">
        <v>8</v>
      </c>
      <c r="H4096" s="8" t="s">
        <v>8</v>
      </c>
      <c r="I4096" s="8" t="s">
        <v>8</v>
      </c>
      <c r="J4096" s="8" t="s">
        <v>8</v>
      </c>
      <c r="K4096" s="8" t="s">
        <v>8</v>
      </c>
      <c r="L4096" s="8" t="s">
        <v>8</v>
      </c>
      <c r="M4096" s="8"/>
      <c r="N4096" s="8"/>
      <c r="O4096" s="8" t="s">
        <v>8</v>
      </c>
      <c r="P4096" s="8" t="s">
        <v>8</v>
      </c>
    </row>
    <row r="4097">
      <c r="E4097" s="31"/>
      <c r="F4097" s="8" t="s">
        <v>8</v>
      </c>
      <c r="G4097" s="8" t="s">
        <v>8</v>
      </c>
      <c r="H4097" s="8" t="s">
        <v>8</v>
      </c>
      <c r="I4097" s="8" t="s">
        <v>8</v>
      </c>
      <c r="J4097" s="8" t="s">
        <v>8</v>
      </c>
      <c r="K4097" s="8" t="s">
        <v>8</v>
      </c>
      <c r="L4097" s="8" t="s">
        <v>8</v>
      </c>
      <c r="M4097" s="8"/>
      <c r="N4097" s="8"/>
      <c r="O4097" s="8" t="s">
        <v>8</v>
      </c>
      <c r="P4097" s="8" t="s">
        <v>8</v>
      </c>
    </row>
    <row r="4098">
      <c r="E4098" s="31"/>
      <c r="F4098" s="8" t="s">
        <v>8</v>
      </c>
      <c r="G4098" s="8" t="s">
        <v>8</v>
      </c>
      <c r="H4098" s="8" t="s">
        <v>8</v>
      </c>
      <c r="I4098" s="8" t="s">
        <v>8</v>
      </c>
      <c r="J4098" s="8" t="s">
        <v>8</v>
      </c>
      <c r="K4098" s="8" t="s">
        <v>8</v>
      </c>
      <c r="L4098" s="8" t="s">
        <v>8</v>
      </c>
      <c r="M4098" s="8"/>
      <c r="N4098" s="8"/>
      <c r="O4098" s="8" t="s">
        <v>8</v>
      </c>
      <c r="P4098" s="8" t="s">
        <v>8</v>
      </c>
    </row>
    <row r="4099">
      <c r="E4099" s="31"/>
      <c r="F4099" s="8" t="s">
        <v>8</v>
      </c>
      <c r="G4099" s="8" t="s">
        <v>8</v>
      </c>
      <c r="H4099" s="8" t="s">
        <v>8</v>
      </c>
      <c r="I4099" s="8" t="s">
        <v>8</v>
      </c>
      <c r="J4099" s="8" t="s">
        <v>8</v>
      </c>
      <c r="K4099" s="8" t="s">
        <v>8</v>
      </c>
      <c r="L4099" s="8" t="s">
        <v>8</v>
      </c>
      <c r="M4099" s="8"/>
      <c r="N4099" s="8"/>
      <c r="O4099" s="8" t="s">
        <v>8</v>
      </c>
      <c r="P4099" s="8" t="s">
        <v>8</v>
      </c>
    </row>
    <row r="4100">
      <c r="E4100" s="31"/>
      <c r="F4100" s="8" t="s">
        <v>8</v>
      </c>
      <c r="G4100" s="8" t="s">
        <v>8</v>
      </c>
      <c r="H4100" s="8" t="s">
        <v>8</v>
      </c>
      <c r="I4100" s="8" t="s">
        <v>8</v>
      </c>
      <c r="J4100" s="8" t="s">
        <v>8</v>
      </c>
      <c r="K4100" s="8" t="s">
        <v>8</v>
      </c>
      <c r="L4100" s="8" t="s">
        <v>8</v>
      </c>
      <c r="M4100" s="8"/>
      <c r="N4100" s="8"/>
      <c r="O4100" s="8" t="s">
        <v>8</v>
      </c>
      <c r="P4100" s="8" t="s">
        <v>8</v>
      </c>
    </row>
    <row r="4101">
      <c r="E4101" s="31"/>
      <c r="F4101" s="8" t="s">
        <v>8</v>
      </c>
      <c r="G4101" s="8" t="s">
        <v>8</v>
      </c>
      <c r="H4101" s="8" t="s">
        <v>8</v>
      </c>
      <c r="I4101" s="8" t="s">
        <v>8</v>
      </c>
      <c r="J4101" s="8" t="s">
        <v>8</v>
      </c>
      <c r="K4101" s="8" t="s">
        <v>8</v>
      </c>
      <c r="L4101" s="8" t="s">
        <v>8</v>
      </c>
      <c r="M4101" s="8"/>
      <c r="N4101" s="8"/>
      <c r="O4101" s="8" t="s">
        <v>8</v>
      </c>
      <c r="P4101" s="8" t="s">
        <v>8</v>
      </c>
    </row>
    <row r="4102">
      <c r="E4102" s="31"/>
      <c r="F4102" s="8" t="s">
        <v>8</v>
      </c>
      <c r="G4102" s="8" t="s">
        <v>8</v>
      </c>
      <c r="H4102" s="8" t="s">
        <v>8</v>
      </c>
      <c r="I4102" s="8" t="s">
        <v>8</v>
      </c>
      <c r="J4102" s="8" t="s">
        <v>8</v>
      </c>
      <c r="K4102" s="8" t="s">
        <v>8</v>
      </c>
      <c r="L4102" s="8" t="s">
        <v>8</v>
      </c>
      <c r="M4102" s="8"/>
      <c r="N4102" s="8"/>
      <c r="O4102" s="8" t="s">
        <v>8</v>
      </c>
      <c r="P4102" s="8" t="s">
        <v>8</v>
      </c>
    </row>
    <row r="4103">
      <c r="E4103" s="31"/>
      <c r="F4103" s="8" t="s">
        <v>8</v>
      </c>
      <c r="G4103" s="8" t="s">
        <v>8</v>
      </c>
      <c r="H4103" s="8" t="s">
        <v>8</v>
      </c>
      <c r="I4103" s="8" t="s">
        <v>8</v>
      </c>
      <c r="J4103" s="8" t="s">
        <v>8</v>
      </c>
      <c r="K4103" s="8" t="s">
        <v>8</v>
      </c>
      <c r="L4103" s="8" t="s">
        <v>8</v>
      </c>
      <c r="M4103" s="8"/>
      <c r="N4103" s="8"/>
      <c r="O4103" s="8" t="s">
        <v>8</v>
      </c>
      <c r="P4103" s="8" t="s">
        <v>8</v>
      </c>
    </row>
    <row r="4104">
      <c r="E4104" s="31"/>
      <c r="F4104" s="8" t="s">
        <v>8</v>
      </c>
      <c r="G4104" s="8" t="s">
        <v>8</v>
      </c>
      <c r="H4104" s="8" t="s">
        <v>8</v>
      </c>
      <c r="I4104" s="8" t="s">
        <v>8</v>
      </c>
      <c r="J4104" s="8" t="s">
        <v>8</v>
      </c>
      <c r="K4104" s="8" t="s">
        <v>8</v>
      </c>
      <c r="L4104" s="8" t="s">
        <v>8</v>
      </c>
      <c r="M4104" s="8"/>
      <c r="N4104" s="8"/>
      <c r="O4104" s="8" t="s">
        <v>8</v>
      </c>
      <c r="P4104" s="8" t="s">
        <v>8</v>
      </c>
    </row>
    <row r="4105">
      <c r="E4105" s="31"/>
      <c r="F4105" s="8" t="s">
        <v>8</v>
      </c>
      <c r="G4105" s="8" t="s">
        <v>8</v>
      </c>
      <c r="H4105" s="8" t="s">
        <v>8</v>
      </c>
      <c r="I4105" s="8" t="s">
        <v>8</v>
      </c>
      <c r="J4105" s="8" t="s">
        <v>8</v>
      </c>
      <c r="K4105" s="8" t="s">
        <v>8</v>
      </c>
      <c r="L4105" s="8" t="s">
        <v>8</v>
      </c>
      <c r="M4105" s="8"/>
      <c r="N4105" s="8"/>
      <c r="O4105" s="8" t="s">
        <v>8</v>
      </c>
      <c r="P4105" s="8" t="s">
        <v>8</v>
      </c>
    </row>
    <row r="4106">
      <c r="E4106" s="31"/>
      <c r="F4106" s="8" t="s">
        <v>8</v>
      </c>
      <c r="G4106" s="8" t="s">
        <v>8</v>
      </c>
      <c r="H4106" s="8" t="s">
        <v>8</v>
      </c>
      <c r="I4106" s="8" t="s">
        <v>8</v>
      </c>
      <c r="J4106" s="8" t="s">
        <v>8</v>
      </c>
      <c r="K4106" s="8" t="s">
        <v>8</v>
      </c>
      <c r="L4106" s="8" t="s">
        <v>8</v>
      </c>
      <c r="M4106" s="8"/>
      <c r="N4106" s="8"/>
      <c r="O4106" s="8" t="s">
        <v>8</v>
      </c>
      <c r="P4106" s="8" t="s">
        <v>8</v>
      </c>
    </row>
    <row r="4107">
      <c r="E4107" s="31"/>
      <c r="F4107" s="8" t="s">
        <v>8</v>
      </c>
      <c r="G4107" s="8" t="s">
        <v>8</v>
      </c>
      <c r="H4107" s="8" t="s">
        <v>8</v>
      </c>
      <c r="I4107" s="8" t="s">
        <v>8</v>
      </c>
      <c r="J4107" s="8" t="s">
        <v>8</v>
      </c>
      <c r="K4107" s="8" t="s">
        <v>8</v>
      </c>
      <c r="L4107" s="8" t="s">
        <v>8</v>
      </c>
      <c r="M4107" s="8"/>
      <c r="N4107" s="8"/>
      <c r="O4107" s="8" t="s">
        <v>8</v>
      </c>
      <c r="P4107" s="8" t="s">
        <v>8</v>
      </c>
    </row>
    <row r="4108">
      <c r="E4108" s="31"/>
      <c r="F4108" s="8" t="s">
        <v>8</v>
      </c>
      <c r="G4108" s="8" t="s">
        <v>8</v>
      </c>
      <c r="H4108" s="8" t="s">
        <v>8</v>
      </c>
      <c r="I4108" s="8" t="s">
        <v>8</v>
      </c>
      <c r="J4108" s="8" t="s">
        <v>8</v>
      </c>
      <c r="K4108" s="8" t="s">
        <v>8</v>
      </c>
      <c r="L4108" s="8" t="s">
        <v>8</v>
      </c>
      <c r="M4108" s="8"/>
      <c r="N4108" s="8"/>
      <c r="O4108" s="8" t="s">
        <v>8</v>
      </c>
      <c r="P4108" s="8" t="s">
        <v>8</v>
      </c>
    </row>
    <row r="4109">
      <c r="E4109" s="31"/>
      <c r="F4109" s="8" t="s">
        <v>8</v>
      </c>
      <c r="G4109" s="8" t="s">
        <v>8</v>
      </c>
      <c r="H4109" s="8" t="s">
        <v>8</v>
      </c>
      <c r="I4109" s="8" t="s">
        <v>8</v>
      </c>
      <c r="J4109" s="8" t="s">
        <v>8</v>
      </c>
      <c r="K4109" s="8" t="s">
        <v>8</v>
      </c>
      <c r="L4109" s="8" t="s">
        <v>8</v>
      </c>
      <c r="M4109" s="8"/>
      <c r="N4109" s="8"/>
      <c r="O4109" s="8" t="s">
        <v>8</v>
      </c>
      <c r="P4109" s="8" t="s">
        <v>8</v>
      </c>
    </row>
    <row r="4110">
      <c r="E4110" s="31"/>
      <c r="F4110" s="8" t="s">
        <v>8</v>
      </c>
      <c r="G4110" s="8" t="s">
        <v>8</v>
      </c>
      <c r="H4110" s="8" t="s">
        <v>8</v>
      </c>
      <c r="I4110" s="8" t="s">
        <v>8</v>
      </c>
      <c r="J4110" s="8" t="s">
        <v>8</v>
      </c>
      <c r="K4110" s="8" t="s">
        <v>8</v>
      </c>
      <c r="L4110" s="8" t="s">
        <v>8</v>
      </c>
      <c r="M4110" s="8"/>
      <c r="N4110" s="8"/>
      <c r="O4110" s="8" t="s">
        <v>8</v>
      </c>
      <c r="P4110" s="8" t="s">
        <v>8</v>
      </c>
    </row>
    <row r="4111">
      <c r="E4111" s="31"/>
      <c r="F4111" s="8" t="s">
        <v>8</v>
      </c>
      <c r="G4111" s="8" t="s">
        <v>8</v>
      </c>
      <c r="H4111" s="8" t="s">
        <v>8</v>
      </c>
      <c r="I4111" s="8" t="s">
        <v>8</v>
      </c>
      <c r="J4111" s="8" t="s">
        <v>8</v>
      </c>
      <c r="K4111" s="8" t="s">
        <v>8</v>
      </c>
      <c r="L4111" s="8" t="s">
        <v>8</v>
      </c>
      <c r="M4111" s="8"/>
      <c r="N4111" s="8"/>
      <c r="O4111" s="8" t="s">
        <v>8</v>
      </c>
      <c r="P4111" s="8" t="s">
        <v>8</v>
      </c>
    </row>
    <row r="4112">
      <c r="E4112" s="31"/>
      <c r="F4112" s="8" t="s">
        <v>8</v>
      </c>
      <c r="G4112" s="8" t="s">
        <v>8</v>
      </c>
      <c r="H4112" s="8" t="s">
        <v>8</v>
      </c>
      <c r="I4112" s="8" t="s">
        <v>8</v>
      </c>
      <c r="J4112" s="8" t="s">
        <v>8</v>
      </c>
      <c r="K4112" s="8" t="s">
        <v>8</v>
      </c>
      <c r="L4112" s="8" t="s">
        <v>8</v>
      </c>
      <c r="M4112" s="8"/>
      <c r="N4112" s="8"/>
      <c r="O4112" s="8" t="s">
        <v>8</v>
      </c>
      <c r="P4112" s="8" t="s">
        <v>8</v>
      </c>
    </row>
    <row r="4113">
      <c r="E4113" s="31"/>
      <c r="F4113" s="8" t="s">
        <v>8</v>
      </c>
      <c r="G4113" s="8" t="s">
        <v>8</v>
      </c>
      <c r="H4113" s="8" t="s">
        <v>8</v>
      </c>
      <c r="I4113" s="8" t="s">
        <v>8</v>
      </c>
      <c r="J4113" s="8" t="s">
        <v>8</v>
      </c>
      <c r="K4113" s="8" t="s">
        <v>8</v>
      </c>
      <c r="L4113" s="8" t="s">
        <v>8</v>
      </c>
      <c r="M4113" s="8"/>
      <c r="N4113" s="8"/>
      <c r="O4113" s="8" t="s">
        <v>8</v>
      </c>
      <c r="P4113" s="8" t="s">
        <v>8</v>
      </c>
    </row>
    <row r="4114">
      <c r="E4114" s="31"/>
      <c r="F4114" s="8" t="s">
        <v>8</v>
      </c>
      <c r="G4114" s="8" t="s">
        <v>8</v>
      </c>
      <c r="H4114" s="8" t="s">
        <v>8</v>
      </c>
      <c r="I4114" s="8" t="s">
        <v>8</v>
      </c>
      <c r="J4114" s="8" t="s">
        <v>8</v>
      </c>
      <c r="K4114" s="8" t="s">
        <v>8</v>
      </c>
      <c r="L4114" s="8" t="s">
        <v>8</v>
      </c>
      <c r="M4114" s="8"/>
      <c r="N4114" s="8"/>
      <c r="O4114" s="8" t="s">
        <v>8</v>
      </c>
      <c r="P4114" s="8" t="s">
        <v>8</v>
      </c>
    </row>
    <row r="4115">
      <c r="E4115" s="31"/>
      <c r="F4115" s="8" t="s">
        <v>8</v>
      </c>
      <c r="G4115" s="8" t="s">
        <v>8</v>
      </c>
      <c r="H4115" s="8" t="s">
        <v>8</v>
      </c>
      <c r="I4115" s="8" t="s">
        <v>8</v>
      </c>
      <c r="J4115" s="8" t="s">
        <v>8</v>
      </c>
      <c r="K4115" s="8" t="s">
        <v>8</v>
      </c>
      <c r="L4115" s="8" t="s">
        <v>8</v>
      </c>
      <c r="M4115" s="8"/>
      <c r="N4115" s="8"/>
      <c r="O4115" s="8" t="s">
        <v>8</v>
      </c>
      <c r="P4115" s="8" t="s">
        <v>8</v>
      </c>
    </row>
    <row r="4116">
      <c r="E4116" s="31"/>
      <c r="F4116" s="8" t="s">
        <v>8</v>
      </c>
      <c r="G4116" s="8" t="s">
        <v>8</v>
      </c>
      <c r="H4116" s="8" t="s">
        <v>8</v>
      </c>
      <c r="I4116" s="8" t="s">
        <v>8</v>
      </c>
      <c r="J4116" s="8" t="s">
        <v>8</v>
      </c>
      <c r="K4116" s="8" t="s">
        <v>8</v>
      </c>
      <c r="L4116" s="8" t="s">
        <v>8</v>
      </c>
      <c r="M4116" s="8"/>
      <c r="N4116" s="8"/>
      <c r="O4116" s="8" t="s">
        <v>8</v>
      </c>
      <c r="P4116" s="8" t="s">
        <v>8</v>
      </c>
    </row>
    <row r="4117">
      <c r="E4117" s="31"/>
      <c r="F4117" s="8" t="s">
        <v>8</v>
      </c>
      <c r="G4117" s="8" t="s">
        <v>8</v>
      </c>
      <c r="H4117" s="8" t="s">
        <v>8</v>
      </c>
      <c r="I4117" s="8" t="s">
        <v>8</v>
      </c>
      <c r="J4117" s="8" t="s">
        <v>8</v>
      </c>
      <c r="K4117" s="8" t="s">
        <v>8</v>
      </c>
      <c r="L4117" s="8" t="s">
        <v>8</v>
      </c>
      <c r="M4117" s="8"/>
      <c r="N4117" s="8"/>
      <c r="O4117" s="8" t="s">
        <v>8</v>
      </c>
      <c r="P4117" s="8" t="s">
        <v>8</v>
      </c>
    </row>
    <row r="4118">
      <c r="E4118" s="31"/>
      <c r="F4118" s="8" t="s">
        <v>8</v>
      </c>
      <c r="G4118" s="8" t="s">
        <v>8</v>
      </c>
      <c r="H4118" s="8" t="s">
        <v>8</v>
      </c>
      <c r="I4118" s="8" t="s">
        <v>8</v>
      </c>
      <c r="J4118" s="8" t="s">
        <v>8</v>
      </c>
      <c r="K4118" s="8" t="s">
        <v>8</v>
      </c>
      <c r="L4118" s="8" t="s">
        <v>8</v>
      </c>
      <c r="M4118" s="8"/>
      <c r="N4118" s="8"/>
      <c r="O4118" s="8" t="s">
        <v>8</v>
      </c>
      <c r="P4118" s="8" t="s">
        <v>8</v>
      </c>
    </row>
    <row r="4119">
      <c r="E4119" s="31"/>
      <c r="F4119" s="8" t="s">
        <v>8</v>
      </c>
      <c r="G4119" s="8" t="s">
        <v>8</v>
      </c>
      <c r="H4119" s="8" t="s">
        <v>8</v>
      </c>
      <c r="I4119" s="8" t="s">
        <v>8</v>
      </c>
      <c r="J4119" s="8" t="s">
        <v>8</v>
      </c>
      <c r="K4119" s="8" t="s">
        <v>8</v>
      </c>
      <c r="L4119" s="8" t="s">
        <v>8</v>
      </c>
      <c r="M4119" s="8"/>
      <c r="N4119" s="8"/>
      <c r="O4119" s="8" t="s">
        <v>8</v>
      </c>
      <c r="P4119" s="8" t="s">
        <v>8</v>
      </c>
    </row>
    <row r="4120">
      <c r="E4120" s="31"/>
      <c r="F4120" s="8" t="s">
        <v>8</v>
      </c>
      <c r="G4120" s="8" t="s">
        <v>8</v>
      </c>
      <c r="H4120" s="8" t="s">
        <v>8</v>
      </c>
      <c r="I4120" s="8" t="s">
        <v>8</v>
      </c>
      <c r="J4120" s="8" t="s">
        <v>8</v>
      </c>
      <c r="K4120" s="8" t="s">
        <v>8</v>
      </c>
      <c r="L4120" s="8" t="s">
        <v>8</v>
      </c>
      <c r="M4120" s="8"/>
      <c r="N4120" s="8"/>
      <c r="O4120" s="8" t="s">
        <v>8</v>
      </c>
      <c r="P4120" s="8" t="s">
        <v>8</v>
      </c>
    </row>
    <row r="4121">
      <c r="E4121" s="31"/>
      <c r="F4121" s="8" t="s">
        <v>8</v>
      </c>
      <c r="G4121" s="8" t="s">
        <v>8</v>
      </c>
      <c r="H4121" s="8" t="s">
        <v>8</v>
      </c>
      <c r="I4121" s="8" t="s">
        <v>8</v>
      </c>
      <c r="J4121" s="8" t="s">
        <v>8</v>
      </c>
      <c r="K4121" s="8" t="s">
        <v>8</v>
      </c>
      <c r="L4121" s="8" t="s">
        <v>8</v>
      </c>
      <c r="M4121" s="8"/>
      <c r="N4121" s="8"/>
      <c r="O4121" s="8" t="s">
        <v>8</v>
      </c>
      <c r="P4121" s="8" t="s">
        <v>8</v>
      </c>
    </row>
    <row r="4122">
      <c r="E4122" s="31"/>
      <c r="F4122" s="8" t="s">
        <v>8</v>
      </c>
      <c r="G4122" s="8" t="s">
        <v>8</v>
      </c>
      <c r="H4122" s="8" t="s">
        <v>8</v>
      </c>
      <c r="I4122" s="8" t="s">
        <v>8</v>
      </c>
      <c r="J4122" s="8" t="s">
        <v>8</v>
      </c>
      <c r="K4122" s="8" t="s">
        <v>8</v>
      </c>
      <c r="L4122" s="8" t="s">
        <v>8</v>
      </c>
      <c r="M4122" s="8"/>
      <c r="N4122" s="8"/>
      <c r="O4122" s="8" t="s">
        <v>8</v>
      </c>
      <c r="P4122" s="8" t="s">
        <v>8</v>
      </c>
    </row>
    <row r="4123">
      <c r="E4123" s="31"/>
      <c r="F4123" s="8" t="s">
        <v>8</v>
      </c>
      <c r="G4123" s="8" t="s">
        <v>8</v>
      </c>
      <c r="H4123" s="8" t="s">
        <v>8</v>
      </c>
      <c r="I4123" s="8" t="s">
        <v>8</v>
      </c>
      <c r="J4123" s="8" t="s">
        <v>8</v>
      </c>
      <c r="K4123" s="8" t="s">
        <v>8</v>
      </c>
      <c r="L4123" s="8" t="s">
        <v>8</v>
      </c>
      <c r="M4123" s="8"/>
      <c r="N4123" s="8"/>
      <c r="O4123" s="8" t="s">
        <v>8</v>
      </c>
      <c r="P4123" s="8" t="s">
        <v>8</v>
      </c>
    </row>
    <row r="4124">
      <c r="E4124" s="31"/>
      <c r="F4124" s="8" t="s">
        <v>8</v>
      </c>
      <c r="G4124" s="8" t="s">
        <v>8</v>
      </c>
      <c r="H4124" s="8" t="s">
        <v>8</v>
      </c>
      <c r="I4124" s="8" t="s">
        <v>8</v>
      </c>
      <c r="J4124" s="8" t="s">
        <v>8</v>
      </c>
      <c r="K4124" s="8" t="s">
        <v>8</v>
      </c>
      <c r="L4124" s="8" t="s">
        <v>8</v>
      </c>
      <c r="M4124" s="8"/>
      <c r="N4124" s="8"/>
      <c r="O4124" s="8" t="s">
        <v>8</v>
      </c>
      <c r="P4124" s="8" t="s">
        <v>8</v>
      </c>
    </row>
    <row r="4125">
      <c r="E4125" s="31"/>
      <c r="F4125" s="8" t="s">
        <v>8</v>
      </c>
      <c r="G4125" s="8" t="s">
        <v>8</v>
      </c>
      <c r="H4125" s="8" t="s">
        <v>8</v>
      </c>
      <c r="I4125" s="8" t="s">
        <v>8</v>
      </c>
      <c r="J4125" s="8" t="s">
        <v>8</v>
      </c>
      <c r="K4125" s="8" t="s">
        <v>8</v>
      </c>
      <c r="L4125" s="8" t="s">
        <v>8</v>
      </c>
      <c r="M4125" s="8"/>
      <c r="N4125" s="8"/>
      <c r="O4125" s="8" t="s">
        <v>8</v>
      </c>
      <c r="P4125" s="8" t="s">
        <v>8</v>
      </c>
    </row>
    <row r="4126">
      <c r="E4126" s="31"/>
      <c r="F4126" s="8" t="s">
        <v>8</v>
      </c>
      <c r="G4126" s="8" t="s">
        <v>8</v>
      </c>
      <c r="H4126" s="8" t="s">
        <v>8</v>
      </c>
      <c r="I4126" s="8" t="s">
        <v>8</v>
      </c>
      <c r="J4126" s="8" t="s">
        <v>8</v>
      </c>
      <c r="K4126" s="8" t="s">
        <v>8</v>
      </c>
      <c r="L4126" s="8" t="s">
        <v>8</v>
      </c>
      <c r="M4126" s="8"/>
      <c r="N4126" s="8"/>
      <c r="O4126" s="8" t="s">
        <v>8</v>
      </c>
      <c r="P4126" s="8" t="s">
        <v>8</v>
      </c>
    </row>
    <row r="4127">
      <c r="E4127" s="31"/>
      <c r="F4127" s="8" t="s">
        <v>8</v>
      </c>
      <c r="G4127" s="8" t="s">
        <v>8</v>
      </c>
      <c r="H4127" s="8" t="s">
        <v>8</v>
      </c>
      <c r="I4127" s="8" t="s">
        <v>8</v>
      </c>
      <c r="J4127" s="8" t="s">
        <v>8</v>
      </c>
      <c r="K4127" s="8" t="s">
        <v>8</v>
      </c>
      <c r="L4127" s="8" t="s">
        <v>8</v>
      </c>
      <c r="M4127" s="8"/>
      <c r="N4127" s="8"/>
      <c r="O4127" s="8" t="s">
        <v>8</v>
      </c>
      <c r="P4127" s="8" t="s">
        <v>8</v>
      </c>
    </row>
    <row r="4128">
      <c r="E4128" s="31"/>
      <c r="F4128" s="8" t="s">
        <v>8</v>
      </c>
      <c r="G4128" s="8" t="s">
        <v>8</v>
      </c>
      <c r="H4128" s="8" t="s">
        <v>8</v>
      </c>
      <c r="I4128" s="8" t="s">
        <v>8</v>
      </c>
      <c r="J4128" s="8" t="s">
        <v>8</v>
      </c>
      <c r="K4128" s="8" t="s">
        <v>8</v>
      </c>
      <c r="L4128" s="8" t="s">
        <v>8</v>
      </c>
      <c r="M4128" s="8"/>
      <c r="N4128" s="8"/>
      <c r="O4128" s="8" t="s">
        <v>8</v>
      </c>
      <c r="P4128" s="8" t="s">
        <v>8</v>
      </c>
    </row>
    <row r="4129">
      <c r="E4129" s="31"/>
      <c r="F4129" s="8" t="s">
        <v>8</v>
      </c>
      <c r="G4129" s="8" t="s">
        <v>8</v>
      </c>
      <c r="H4129" s="8" t="s">
        <v>8</v>
      </c>
      <c r="I4129" s="8" t="s">
        <v>8</v>
      </c>
      <c r="J4129" s="8" t="s">
        <v>8</v>
      </c>
      <c r="K4129" s="8" t="s">
        <v>8</v>
      </c>
      <c r="L4129" s="8" t="s">
        <v>8</v>
      </c>
      <c r="M4129" s="8"/>
      <c r="N4129" s="8"/>
      <c r="O4129" s="8" t="s">
        <v>8</v>
      </c>
      <c r="P4129" s="8" t="s">
        <v>8</v>
      </c>
    </row>
    <row r="4130">
      <c r="E4130" s="31"/>
      <c r="F4130" s="8" t="s">
        <v>8</v>
      </c>
      <c r="G4130" s="8" t="s">
        <v>8</v>
      </c>
      <c r="H4130" s="8" t="s">
        <v>8</v>
      </c>
      <c r="I4130" s="8" t="s">
        <v>8</v>
      </c>
      <c r="J4130" s="8" t="s">
        <v>8</v>
      </c>
      <c r="K4130" s="8" t="s">
        <v>8</v>
      </c>
      <c r="L4130" s="8" t="s">
        <v>8</v>
      </c>
      <c r="M4130" s="8"/>
      <c r="N4130" s="8"/>
      <c r="O4130" s="8" t="s">
        <v>8</v>
      </c>
      <c r="P4130" s="8" t="s">
        <v>8</v>
      </c>
    </row>
    <row r="4131">
      <c r="E4131" s="31"/>
      <c r="F4131" s="8" t="s">
        <v>8</v>
      </c>
      <c r="G4131" s="8" t="s">
        <v>8</v>
      </c>
      <c r="H4131" s="8" t="s">
        <v>8</v>
      </c>
      <c r="I4131" s="8" t="s">
        <v>8</v>
      </c>
      <c r="J4131" s="8" t="s">
        <v>8</v>
      </c>
      <c r="K4131" s="8" t="s">
        <v>8</v>
      </c>
      <c r="L4131" s="8" t="s">
        <v>8</v>
      </c>
      <c r="M4131" s="8"/>
      <c r="N4131" s="8"/>
      <c r="O4131" s="8" t="s">
        <v>8</v>
      </c>
      <c r="P4131" s="8" t="s">
        <v>8</v>
      </c>
    </row>
    <row r="4132">
      <c r="E4132" s="31"/>
      <c r="F4132" s="8" t="s">
        <v>8</v>
      </c>
      <c r="G4132" s="8" t="s">
        <v>8</v>
      </c>
      <c r="H4132" s="8" t="s">
        <v>8</v>
      </c>
      <c r="I4132" s="8" t="s">
        <v>8</v>
      </c>
      <c r="J4132" s="8" t="s">
        <v>8</v>
      </c>
      <c r="K4132" s="8" t="s">
        <v>8</v>
      </c>
      <c r="L4132" s="8" t="s">
        <v>8</v>
      </c>
      <c r="M4132" s="8"/>
      <c r="N4132" s="8"/>
      <c r="O4132" s="8" t="s">
        <v>8</v>
      </c>
      <c r="P4132" s="8" t="s">
        <v>8</v>
      </c>
    </row>
    <row r="4133">
      <c r="E4133" s="31"/>
      <c r="F4133" s="8" t="s">
        <v>8</v>
      </c>
      <c r="G4133" s="8" t="s">
        <v>8</v>
      </c>
      <c r="H4133" s="8" t="s">
        <v>8</v>
      </c>
      <c r="I4133" s="8" t="s">
        <v>8</v>
      </c>
      <c r="J4133" s="8" t="s">
        <v>8</v>
      </c>
      <c r="K4133" s="8" t="s">
        <v>8</v>
      </c>
      <c r="L4133" s="8" t="s">
        <v>8</v>
      </c>
      <c r="M4133" s="8"/>
      <c r="N4133" s="8"/>
      <c r="O4133" s="8" t="s">
        <v>8</v>
      </c>
      <c r="P4133" s="8" t="s">
        <v>8</v>
      </c>
    </row>
    <row r="4134">
      <c r="E4134" s="31"/>
      <c r="F4134" s="8" t="s">
        <v>8</v>
      </c>
      <c r="G4134" s="8" t="s">
        <v>8</v>
      </c>
      <c r="H4134" s="8" t="s">
        <v>8</v>
      </c>
      <c r="I4134" s="8" t="s">
        <v>8</v>
      </c>
      <c r="J4134" s="8" t="s">
        <v>8</v>
      </c>
      <c r="K4134" s="8" t="s">
        <v>8</v>
      </c>
      <c r="L4134" s="8" t="s">
        <v>8</v>
      </c>
      <c r="M4134" s="8"/>
      <c r="N4134" s="8"/>
      <c r="O4134" s="8" t="s">
        <v>8</v>
      </c>
      <c r="P4134" s="8" t="s">
        <v>8</v>
      </c>
    </row>
    <row r="4135">
      <c r="E4135" s="31"/>
      <c r="F4135" s="8" t="s">
        <v>8</v>
      </c>
      <c r="G4135" s="8" t="s">
        <v>8</v>
      </c>
      <c r="H4135" s="8" t="s">
        <v>8</v>
      </c>
      <c r="I4135" s="8" t="s">
        <v>8</v>
      </c>
      <c r="J4135" s="8" t="s">
        <v>8</v>
      </c>
      <c r="K4135" s="8" t="s">
        <v>8</v>
      </c>
      <c r="L4135" s="8" t="s">
        <v>8</v>
      </c>
      <c r="M4135" s="8"/>
      <c r="N4135" s="8"/>
      <c r="O4135" s="8" t="s">
        <v>8</v>
      </c>
      <c r="P4135" s="8" t="s">
        <v>8</v>
      </c>
    </row>
    <row r="4136">
      <c r="E4136" s="31"/>
      <c r="F4136" s="8" t="s">
        <v>8</v>
      </c>
      <c r="G4136" s="8" t="s">
        <v>8</v>
      </c>
      <c r="H4136" s="8" t="s">
        <v>8</v>
      </c>
      <c r="I4136" s="8" t="s">
        <v>8</v>
      </c>
      <c r="J4136" s="8" t="s">
        <v>8</v>
      </c>
      <c r="K4136" s="8" t="s">
        <v>8</v>
      </c>
      <c r="L4136" s="8" t="s">
        <v>8</v>
      </c>
      <c r="M4136" s="8"/>
      <c r="N4136" s="8"/>
      <c r="O4136" s="8" t="s">
        <v>8</v>
      </c>
      <c r="P4136" s="8" t="s">
        <v>8</v>
      </c>
    </row>
    <row r="4137">
      <c r="E4137" s="31"/>
      <c r="F4137" s="8" t="s">
        <v>8</v>
      </c>
      <c r="G4137" s="8" t="s">
        <v>8</v>
      </c>
      <c r="H4137" s="8" t="s">
        <v>8</v>
      </c>
      <c r="I4137" s="8" t="s">
        <v>8</v>
      </c>
      <c r="J4137" s="8" t="s">
        <v>8</v>
      </c>
      <c r="K4137" s="8" t="s">
        <v>8</v>
      </c>
      <c r="L4137" s="8" t="s">
        <v>8</v>
      </c>
      <c r="M4137" s="8"/>
      <c r="N4137" s="8"/>
      <c r="O4137" s="8" t="s">
        <v>8</v>
      </c>
      <c r="P4137" s="8" t="s">
        <v>8</v>
      </c>
    </row>
    <row r="4138">
      <c r="E4138" s="31"/>
      <c r="F4138" s="8" t="s">
        <v>8</v>
      </c>
      <c r="G4138" s="8" t="s">
        <v>8</v>
      </c>
      <c r="H4138" s="8" t="s">
        <v>8</v>
      </c>
      <c r="I4138" s="8" t="s">
        <v>8</v>
      </c>
      <c r="J4138" s="8" t="s">
        <v>8</v>
      </c>
      <c r="K4138" s="8" t="s">
        <v>8</v>
      </c>
      <c r="L4138" s="8" t="s">
        <v>8</v>
      </c>
      <c r="M4138" s="8"/>
      <c r="N4138" s="8"/>
      <c r="O4138" s="8" t="s">
        <v>8</v>
      </c>
      <c r="P4138" s="8" t="s">
        <v>8</v>
      </c>
    </row>
    <row r="4139">
      <c r="E4139" s="31"/>
      <c r="F4139" s="8" t="s">
        <v>8</v>
      </c>
      <c r="G4139" s="8" t="s">
        <v>8</v>
      </c>
      <c r="H4139" s="8" t="s">
        <v>8</v>
      </c>
      <c r="I4139" s="8" t="s">
        <v>8</v>
      </c>
      <c r="J4139" s="8" t="s">
        <v>8</v>
      </c>
      <c r="K4139" s="8" t="s">
        <v>8</v>
      </c>
      <c r="L4139" s="8" t="s">
        <v>8</v>
      </c>
      <c r="M4139" s="8"/>
      <c r="N4139" s="8"/>
      <c r="O4139" s="8" t="s">
        <v>8</v>
      </c>
      <c r="P4139" s="8" t="s">
        <v>8</v>
      </c>
    </row>
    <row r="4140">
      <c r="E4140" s="31"/>
      <c r="F4140" s="8" t="s">
        <v>8</v>
      </c>
      <c r="G4140" s="8" t="s">
        <v>8</v>
      </c>
      <c r="H4140" s="8" t="s">
        <v>8</v>
      </c>
      <c r="I4140" s="8" t="s">
        <v>8</v>
      </c>
      <c r="J4140" s="8" t="s">
        <v>8</v>
      </c>
      <c r="K4140" s="8" t="s">
        <v>8</v>
      </c>
      <c r="L4140" s="8" t="s">
        <v>8</v>
      </c>
      <c r="M4140" s="8"/>
      <c r="N4140" s="8"/>
      <c r="O4140" s="8" t="s">
        <v>8</v>
      </c>
      <c r="P4140" s="8" t="s">
        <v>8</v>
      </c>
    </row>
    <row r="4141">
      <c r="E4141" s="31"/>
      <c r="F4141" s="8" t="s">
        <v>8</v>
      </c>
      <c r="G4141" s="8" t="s">
        <v>8</v>
      </c>
      <c r="H4141" s="8" t="s">
        <v>8</v>
      </c>
      <c r="I4141" s="8" t="s">
        <v>8</v>
      </c>
      <c r="J4141" s="8" t="s">
        <v>8</v>
      </c>
      <c r="K4141" s="8" t="s">
        <v>8</v>
      </c>
      <c r="L4141" s="8" t="s">
        <v>8</v>
      </c>
      <c r="M4141" s="8"/>
      <c r="N4141" s="8"/>
      <c r="O4141" s="8" t="s">
        <v>8</v>
      </c>
      <c r="P4141" s="8" t="s">
        <v>8</v>
      </c>
    </row>
    <row r="4142">
      <c r="E4142" s="31"/>
      <c r="F4142" s="8" t="s">
        <v>8</v>
      </c>
      <c r="G4142" s="8" t="s">
        <v>8</v>
      </c>
      <c r="H4142" s="8" t="s">
        <v>8</v>
      </c>
      <c r="I4142" s="8" t="s">
        <v>8</v>
      </c>
      <c r="J4142" s="8" t="s">
        <v>8</v>
      </c>
      <c r="K4142" s="8" t="s">
        <v>8</v>
      </c>
      <c r="L4142" s="8" t="s">
        <v>8</v>
      </c>
      <c r="M4142" s="8"/>
      <c r="N4142" s="8"/>
      <c r="O4142" s="8" t="s">
        <v>8</v>
      </c>
      <c r="P4142" s="8" t="s">
        <v>8</v>
      </c>
    </row>
    <row r="4143">
      <c r="E4143" s="31"/>
      <c r="F4143" s="8" t="s">
        <v>8</v>
      </c>
      <c r="G4143" s="8" t="s">
        <v>8</v>
      </c>
      <c r="H4143" s="8" t="s">
        <v>8</v>
      </c>
      <c r="I4143" s="8" t="s">
        <v>8</v>
      </c>
      <c r="J4143" s="8" t="s">
        <v>8</v>
      </c>
      <c r="K4143" s="8" t="s">
        <v>8</v>
      </c>
      <c r="L4143" s="8" t="s">
        <v>8</v>
      </c>
      <c r="M4143" s="8"/>
      <c r="N4143" s="8"/>
      <c r="O4143" s="8" t="s">
        <v>8</v>
      </c>
      <c r="P4143" s="8" t="s">
        <v>8</v>
      </c>
    </row>
    <row r="4144">
      <c r="E4144" s="31"/>
      <c r="F4144" s="8" t="s">
        <v>8</v>
      </c>
      <c r="G4144" s="8" t="s">
        <v>8</v>
      </c>
      <c r="H4144" s="8" t="s">
        <v>8</v>
      </c>
      <c r="I4144" s="8" t="s">
        <v>8</v>
      </c>
      <c r="J4144" s="8" t="s">
        <v>8</v>
      </c>
      <c r="K4144" s="8" t="s">
        <v>8</v>
      </c>
      <c r="L4144" s="8" t="s">
        <v>8</v>
      </c>
      <c r="M4144" s="8"/>
      <c r="N4144" s="8"/>
      <c r="O4144" s="8" t="s">
        <v>8</v>
      </c>
      <c r="P4144" s="8" t="s">
        <v>8</v>
      </c>
    </row>
    <row r="4145">
      <c r="E4145" s="31"/>
      <c r="F4145" s="8" t="s">
        <v>8</v>
      </c>
      <c r="G4145" s="8" t="s">
        <v>8</v>
      </c>
      <c r="H4145" s="8" t="s">
        <v>8</v>
      </c>
      <c r="I4145" s="8" t="s">
        <v>8</v>
      </c>
      <c r="J4145" s="8" t="s">
        <v>8</v>
      </c>
      <c r="K4145" s="8" t="s">
        <v>8</v>
      </c>
      <c r="L4145" s="8" t="s">
        <v>8</v>
      </c>
      <c r="M4145" s="8"/>
      <c r="N4145" s="8"/>
      <c r="O4145" s="8" t="s">
        <v>8</v>
      </c>
      <c r="P4145" s="8" t="s">
        <v>8</v>
      </c>
    </row>
    <row r="4146">
      <c r="E4146" s="31"/>
      <c r="F4146" s="8" t="s">
        <v>8</v>
      </c>
      <c r="G4146" s="8" t="s">
        <v>8</v>
      </c>
      <c r="H4146" s="8" t="s">
        <v>8</v>
      </c>
      <c r="I4146" s="8" t="s">
        <v>8</v>
      </c>
      <c r="J4146" s="8" t="s">
        <v>8</v>
      </c>
      <c r="K4146" s="8" t="s">
        <v>8</v>
      </c>
      <c r="L4146" s="8" t="s">
        <v>8</v>
      </c>
      <c r="M4146" s="8"/>
      <c r="N4146" s="8"/>
      <c r="O4146" s="8" t="s">
        <v>8</v>
      </c>
      <c r="P4146" s="8" t="s">
        <v>8</v>
      </c>
    </row>
    <row r="4147">
      <c r="E4147" s="31"/>
      <c r="F4147" s="8" t="s">
        <v>8</v>
      </c>
      <c r="G4147" s="8" t="s">
        <v>8</v>
      </c>
      <c r="H4147" s="8" t="s">
        <v>8</v>
      </c>
      <c r="I4147" s="8" t="s">
        <v>8</v>
      </c>
      <c r="J4147" s="8" t="s">
        <v>8</v>
      </c>
      <c r="K4147" s="8" t="s">
        <v>8</v>
      </c>
      <c r="L4147" s="8" t="s">
        <v>8</v>
      </c>
      <c r="M4147" s="8"/>
      <c r="N4147" s="8"/>
      <c r="O4147" s="8" t="s">
        <v>8</v>
      </c>
      <c r="P4147" s="8" t="s">
        <v>8</v>
      </c>
    </row>
    <row r="4148">
      <c r="E4148" s="31"/>
      <c r="F4148" s="8" t="s">
        <v>8</v>
      </c>
      <c r="G4148" s="8" t="s">
        <v>8</v>
      </c>
      <c r="H4148" s="8" t="s">
        <v>8</v>
      </c>
      <c r="I4148" s="8" t="s">
        <v>8</v>
      </c>
      <c r="J4148" s="8" t="s">
        <v>8</v>
      </c>
      <c r="K4148" s="8" t="s">
        <v>8</v>
      </c>
      <c r="L4148" s="8" t="s">
        <v>8</v>
      </c>
      <c r="M4148" s="8"/>
      <c r="N4148" s="8"/>
      <c r="O4148" s="8" t="s">
        <v>8</v>
      </c>
      <c r="P4148" s="8" t="s">
        <v>8</v>
      </c>
    </row>
    <row r="4149">
      <c r="E4149" s="31"/>
      <c r="F4149" s="8" t="s">
        <v>8</v>
      </c>
      <c r="G4149" s="8" t="s">
        <v>8</v>
      </c>
      <c r="H4149" s="8" t="s">
        <v>8</v>
      </c>
      <c r="I4149" s="8" t="s">
        <v>8</v>
      </c>
      <c r="J4149" s="8" t="s">
        <v>8</v>
      </c>
      <c r="K4149" s="8" t="s">
        <v>8</v>
      </c>
      <c r="L4149" s="8" t="s">
        <v>8</v>
      </c>
      <c r="M4149" s="8"/>
      <c r="N4149" s="8"/>
      <c r="O4149" s="8" t="s">
        <v>8</v>
      </c>
      <c r="P4149" s="8" t="s">
        <v>8</v>
      </c>
    </row>
    <row r="4150">
      <c r="E4150" s="31"/>
      <c r="F4150" s="8" t="s">
        <v>8</v>
      </c>
      <c r="G4150" s="8" t="s">
        <v>8</v>
      </c>
      <c r="H4150" s="8" t="s">
        <v>8</v>
      </c>
      <c r="I4150" s="8" t="s">
        <v>8</v>
      </c>
      <c r="J4150" s="8" t="s">
        <v>8</v>
      </c>
      <c r="K4150" s="8" t="s">
        <v>8</v>
      </c>
      <c r="L4150" s="8" t="s">
        <v>8</v>
      </c>
      <c r="M4150" s="8"/>
      <c r="N4150" s="8"/>
      <c r="O4150" s="8" t="s">
        <v>8</v>
      </c>
      <c r="P4150" s="8" t="s">
        <v>8</v>
      </c>
    </row>
    <row r="4151">
      <c r="E4151" s="31"/>
      <c r="F4151" s="8" t="s">
        <v>8</v>
      </c>
      <c r="G4151" s="8" t="s">
        <v>8</v>
      </c>
      <c r="H4151" s="8" t="s">
        <v>8</v>
      </c>
      <c r="I4151" s="8" t="s">
        <v>8</v>
      </c>
      <c r="J4151" s="8" t="s">
        <v>8</v>
      </c>
      <c r="K4151" s="8" t="s">
        <v>8</v>
      </c>
      <c r="L4151" s="8" t="s">
        <v>8</v>
      </c>
      <c r="M4151" s="8"/>
      <c r="N4151" s="8"/>
      <c r="O4151" s="8" t="s">
        <v>8</v>
      </c>
      <c r="P4151" s="8" t="s">
        <v>8</v>
      </c>
    </row>
    <row r="4152">
      <c r="E4152" s="31"/>
      <c r="F4152" s="8" t="s">
        <v>8</v>
      </c>
      <c r="G4152" s="8" t="s">
        <v>8</v>
      </c>
      <c r="H4152" s="8" t="s">
        <v>8</v>
      </c>
      <c r="I4152" s="8" t="s">
        <v>8</v>
      </c>
      <c r="J4152" s="8" t="s">
        <v>8</v>
      </c>
      <c r="K4152" s="8" t="s">
        <v>8</v>
      </c>
      <c r="L4152" s="8" t="s">
        <v>8</v>
      </c>
      <c r="M4152" s="8"/>
      <c r="N4152" s="8"/>
      <c r="O4152" s="8" t="s">
        <v>8</v>
      </c>
      <c r="P4152" s="8" t="s">
        <v>8</v>
      </c>
    </row>
    <row r="4153">
      <c r="E4153" s="31"/>
      <c r="F4153" s="8" t="s">
        <v>8</v>
      </c>
      <c r="G4153" s="8" t="s">
        <v>8</v>
      </c>
      <c r="H4153" s="8" t="s">
        <v>8</v>
      </c>
      <c r="I4153" s="8" t="s">
        <v>8</v>
      </c>
      <c r="J4153" s="8" t="s">
        <v>8</v>
      </c>
      <c r="K4153" s="8" t="s">
        <v>8</v>
      </c>
      <c r="L4153" s="8" t="s">
        <v>8</v>
      </c>
      <c r="M4153" s="8"/>
      <c r="N4153" s="8"/>
      <c r="O4153" s="8" t="s">
        <v>8</v>
      </c>
      <c r="P4153" s="8" t="s">
        <v>8</v>
      </c>
    </row>
    <row r="4154">
      <c r="E4154" s="31"/>
      <c r="F4154" s="8" t="s">
        <v>8</v>
      </c>
      <c r="G4154" s="8" t="s">
        <v>8</v>
      </c>
      <c r="H4154" s="8" t="s">
        <v>8</v>
      </c>
      <c r="I4154" s="8" t="s">
        <v>8</v>
      </c>
      <c r="J4154" s="8" t="s">
        <v>8</v>
      </c>
      <c r="K4154" s="8" t="s">
        <v>8</v>
      </c>
      <c r="L4154" s="8" t="s">
        <v>8</v>
      </c>
      <c r="M4154" s="8"/>
      <c r="N4154" s="8"/>
      <c r="O4154" s="8" t="s">
        <v>8</v>
      </c>
      <c r="P4154" s="8" t="s">
        <v>8</v>
      </c>
    </row>
    <row r="4155">
      <c r="E4155" s="31"/>
      <c r="F4155" s="8" t="s">
        <v>8</v>
      </c>
      <c r="G4155" s="8" t="s">
        <v>8</v>
      </c>
      <c r="H4155" s="8" t="s">
        <v>8</v>
      </c>
      <c r="I4155" s="8" t="s">
        <v>8</v>
      </c>
      <c r="J4155" s="8" t="s">
        <v>8</v>
      </c>
      <c r="K4155" s="8" t="s">
        <v>8</v>
      </c>
      <c r="L4155" s="8" t="s">
        <v>8</v>
      </c>
      <c r="M4155" s="8"/>
      <c r="N4155" s="8"/>
      <c r="O4155" s="8" t="s">
        <v>8</v>
      </c>
      <c r="P4155" s="8" t="s">
        <v>8</v>
      </c>
    </row>
    <row r="4156">
      <c r="E4156" s="31"/>
      <c r="F4156" s="8" t="s">
        <v>8</v>
      </c>
      <c r="G4156" s="8" t="s">
        <v>8</v>
      </c>
      <c r="H4156" s="8" t="s">
        <v>8</v>
      </c>
      <c r="I4156" s="8" t="s">
        <v>8</v>
      </c>
      <c r="J4156" s="8" t="s">
        <v>8</v>
      </c>
      <c r="K4156" s="8" t="s">
        <v>8</v>
      </c>
      <c r="L4156" s="8" t="s">
        <v>8</v>
      </c>
      <c r="M4156" s="8"/>
      <c r="N4156" s="8"/>
      <c r="O4156" s="8" t="s">
        <v>8</v>
      </c>
      <c r="P4156" s="8" t="s">
        <v>8</v>
      </c>
    </row>
    <row r="4157">
      <c r="E4157" s="31"/>
      <c r="F4157" s="8" t="s">
        <v>8</v>
      </c>
      <c r="G4157" s="8" t="s">
        <v>8</v>
      </c>
      <c r="H4157" s="8" t="s">
        <v>8</v>
      </c>
      <c r="I4157" s="8" t="s">
        <v>8</v>
      </c>
      <c r="J4157" s="8" t="s">
        <v>8</v>
      </c>
      <c r="K4157" s="8" t="s">
        <v>8</v>
      </c>
      <c r="L4157" s="8" t="s">
        <v>8</v>
      </c>
      <c r="M4157" s="8"/>
      <c r="N4157" s="8"/>
      <c r="O4157" s="8" t="s">
        <v>8</v>
      </c>
      <c r="P4157" s="8" t="s">
        <v>8</v>
      </c>
    </row>
    <row r="4158">
      <c r="E4158" s="31"/>
      <c r="F4158" s="8" t="s">
        <v>8</v>
      </c>
      <c r="G4158" s="8" t="s">
        <v>8</v>
      </c>
      <c r="H4158" s="8" t="s">
        <v>8</v>
      </c>
      <c r="I4158" s="8" t="s">
        <v>8</v>
      </c>
      <c r="J4158" s="8" t="s">
        <v>8</v>
      </c>
      <c r="K4158" s="8" t="s">
        <v>8</v>
      </c>
      <c r="L4158" s="8" t="s">
        <v>8</v>
      </c>
      <c r="M4158" s="8"/>
      <c r="N4158" s="8"/>
      <c r="O4158" s="8" t="s">
        <v>8</v>
      </c>
      <c r="P4158" s="8" t="s">
        <v>8</v>
      </c>
    </row>
    <row r="4159">
      <c r="E4159" s="31"/>
      <c r="F4159" s="8" t="s">
        <v>8</v>
      </c>
      <c r="G4159" s="8" t="s">
        <v>8</v>
      </c>
      <c r="H4159" s="8" t="s">
        <v>8</v>
      </c>
      <c r="I4159" s="8" t="s">
        <v>8</v>
      </c>
      <c r="J4159" s="8" t="s">
        <v>8</v>
      </c>
      <c r="K4159" s="8" t="s">
        <v>8</v>
      </c>
      <c r="L4159" s="8" t="s">
        <v>8</v>
      </c>
      <c r="M4159" s="8"/>
      <c r="N4159" s="8"/>
      <c r="O4159" s="8" t="s">
        <v>8</v>
      </c>
      <c r="P4159" s="8" t="s">
        <v>8</v>
      </c>
    </row>
    <row r="4160">
      <c r="E4160" s="31"/>
      <c r="F4160" s="8" t="s">
        <v>8</v>
      </c>
      <c r="G4160" s="8" t="s">
        <v>8</v>
      </c>
      <c r="H4160" s="8" t="s">
        <v>8</v>
      </c>
      <c r="I4160" s="8" t="s">
        <v>8</v>
      </c>
      <c r="J4160" s="8" t="s">
        <v>8</v>
      </c>
      <c r="K4160" s="8" t="s">
        <v>8</v>
      </c>
      <c r="L4160" s="8" t="s">
        <v>8</v>
      </c>
      <c r="M4160" s="8"/>
      <c r="N4160" s="8"/>
      <c r="O4160" s="8" t="s">
        <v>8</v>
      </c>
      <c r="P4160" s="8" t="s">
        <v>8</v>
      </c>
    </row>
    <row r="4161">
      <c r="E4161" s="31"/>
      <c r="F4161" s="8" t="s">
        <v>8</v>
      </c>
      <c r="G4161" s="8" t="s">
        <v>8</v>
      </c>
      <c r="H4161" s="8" t="s">
        <v>8</v>
      </c>
      <c r="I4161" s="8" t="s">
        <v>8</v>
      </c>
      <c r="J4161" s="8" t="s">
        <v>8</v>
      </c>
      <c r="K4161" s="8" t="s">
        <v>8</v>
      </c>
      <c r="L4161" s="8" t="s">
        <v>8</v>
      </c>
      <c r="M4161" s="8"/>
      <c r="N4161" s="8"/>
      <c r="O4161" s="8" t="s">
        <v>8</v>
      </c>
      <c r="P4161" s="8" t="s">
        <v>8</v>
      </c>
    </row>
    <row r="4162">
      <c r="E4162" s="31"/>
      <c r="F4162" s="8" t="s">
        <v>8</v>
      </c>
      <c r="G4162" s="8" t="s">
        <v>8</v>
      </c>
      <c r="H4162" s="8" t="s">
        <v>8</v>
      </c>
      <c r="I4162" s="8" t="s">
        <v>8</v>
      </c>
      <c r="J4162" s="8" t="s">
        <v>8</v>
      </c>
      <c r="K4162" s="8" t="s">
        <v>8</v>
      </c>
      <c r="L4162" s="8" t="s">
        <v>8</v>
      </c>
      <c r="M4162" s="8"/>
      <c r="N4162" s="8"/>
      <c r="O4162" s="8" t="s">
        <v>8</v>
      </c>
      <c r="P4162" s="8" t="s">
        <v>8</v>
      </c>
    </row>
    <row r="4163">
      <c r="E4163" s="31"/>
      <c r="F4163" s="8" t="s">
        <v>8</v>
      </c>
      <c r="G4163" s="8" t="s">
        <v>8</v>
      </c>
      <c r="H4163" s="8" t="s">
        <v>8</v>
      </c>
      <c r="I4163" s="8" t="s">
        <v>8</v>
      </c>
      <c r="J4163" s="8" t="s">
        <v>8</v>
      </c>
      <c r="K4163" s="8" t="s">
        <v>8</v>
      </c>
      <c r="L4163" s="8" t="s">
        <v>8</v>
      </c>
      <c r="M4163" s="8"/>
      <c r="N4163" s="8"/>
      <c r="O4163" s="8" t="s">
        <v>8</v>
      </c>
      <c r="P4163" s="8" t="s">
        <v>8</v>
      </c>
    </row>
    <row r="4164">
      <c r="E4164" s="31"/>
      <c r="F4164" s="8" t="s">
        <v>8</v>
      </c>
      <c r="G4164" s="8" t="s">
        <v>8</v>
      </c>
      <c r="H4164" s="8" t="s">
        <v>8</v>
      </c>
      <c r="I4164" s="8" t="s">
        <v>8</v>
      </c>
      <c r="J4164" s="8" t="s">
        <v>8</v>
      </c>
      <c r="K4164" s="8" t="s">
        <v>8</v>
      </c>
      <c r="L4164" s="8" t="s">
        <v>8</v>
      </c>
      <c r="M4164" s="8"/>
      <c r="N4164" s="8"/>
      <c r="O4164" s="8" t="s">
        <v>8</v>
      </c>
      <c r="P4164" s="8" t="s">
        <v>8</v>
      </c>
    </row>
    <row r="4165">
      <c r="E4165" s="31"/>
      <c r="F4165" s="8" t="s">
        <v>8</v>
      </c>
      <c r="G4165" s="8" t="s">
        <v>8</v>
      </c>
      <c r="H4165" s="8" t="s">
        <v>8</v>
      </c>
      <c r="I4165" s="8" t="s">
        <v>8</v>
      </c>
      <c r="J4165" s="8" t="s">
        <v>8</v>
      </c>
      <c r="K4165" s="8" t="s">
        <v>8</v>
      </c>
      <c r="L4165" s="8" t="s">
        <v>8</v>
      </c>
      <c r="M4165" s="8"/>
      <c r="N4165" s="8"/>
      <c r="O4165" s="8" t="s">
        <v>8</v>
      </c>
      <c r="P4165" s="8" t="s">
        <v>8</v>
      </c>
    </row>
    <row r="4166">
      <c r="E4166" s="31"/>
      <c r="F4166" s="8" t="s">
        <v>8</v>
      </c>
      <c r="G4166" s="8" t="s">
        <v>8</v>
      </c>
      <c r="H4166" s="8" t="s">
        <v>8</v>
      </c>
      <c r="I4166" s="8" t="s">
        <v>8</v>
      </c>
      <c r="J4166" s="8" t="s">
        <v>8</v>
      </c>
      <c r="K4166" s="8" t="s">
        <v>8</v>
      </c>
      <c r="L4166" s="8" t="s">
        <v>8</v>
      </c>
      <c r="M4166" s="8"/>
      <c r="N4166" s="8"/>
      <c r="O4166" s="8" t="s">
        <v>8</v>
      </c>
      <c r="P4166" s="8" t="s">
        <v>8</v>
      </c>
    </row>
    <row r="4167">
      <c r="E4167" s="31"/>
      <c r="F4167" s="8" t="s">
        <v>8</v>
      </c>
      <c r="G4167" s="8" t="s">
        <v>8</v>
      </c>
      <c r="H4167" s="8" t="s">
        <v>8</v>
      </c>
      <c r="I4167" s="8" t="s">
        <v>8</v>
      </c>
      <c r="J4167" s="8" t="s">
        <v>8</v>
      </c>
      <c r="K4167" s="8" t="s">
        <v>8</v>
      </c>
      <c r="L4167" s="8" t="s">
        <v>8</v>
      </c>
      <c r="M4167" s="8"/>
      <c r="N4167" s="8"/>
      <c r="O4167" s="8" t="s">
        <v>8</v>
      </c>
      <c r="P4167" s="8" t="s">
        <v>8</v>
      </c>
    </row>
    <row r="4168">
      <c r="E4168" s="31"/>
      <c r="F4168" s="8" t="s">
        <v>8</v>
      </c>
      <c r="G4168" s="8" t="s">
        <v>8</v>
      </c>
      <c r="H4168" s="8" t="s">
        <v>8</v>
      </c>
      <c r="I4168" s="8" t="s">
        <v>8</v>
      </c>
      <c r="J4168" s="8" t="s">
        <v>8</v>
      </c>
      <c r="K4168" s="8" t="s">
        <v>8</v>
      </c>
      <c r="L4168" s="8" t="s">
        <v>8</v>
      </c>
      <c r="M4168" s="8"/>
      <c r="N4168" s="8"/>
      <c r="O4168" s="8" t="s">
        <v>8</v>
      </c>
      <c r="P4168" s="8" t="s">
        <v>8</v>
      </c>
    </row>
    <row r="4169">
      <c r="E4169" s="31"/>
      <c r="F4169" s="8" t="s">
        <v>8</v>
      </c>
      <c r="G4169" s="8" t="s">
        <v>8</v>
      </c>
      <c r="H4169" s="8" t="s">
        <v>8</v>
      </c>
      <c r="I4169" s="8" t="s">
        <v>8</v>
      </c>
      <c r="J4169" s="8" t="s">
        <v>8</v>
      </c>
      <c r="K4169" s="8" t="s">
        <v>8</v>
      </c>
      <c r="L4169" s="8" t="s">
        <v>8</v>
      </c>
      <c r="M4169" s="8"/>
      <c r="N4169" s="8"/>
      <c r="O4169" s="8" t="s">
        <v>8</v>
      </c>
      <c r="P4169" s="8" t="s">
        <v>8</v>
      </c>
    </row>
    <row r="4170">
      <c r="E4170" s="31"/>
      <c r="F4170" s="8" t="s">
        <v>8</v>
      </c>
      <c r="G4170" s="8" t="s">
        <v>8</v>
      </c>
      <c r="H4170" s="8" t="s">
        <v>8</v>
      </c>
      <c r="I4170" s="8" t="s">
        <v>8</v>
      </c>
      <c r="J4170" s="8" t="s">
        <v>8</v>
      </c>
      <c r="K4170" s="8" t="s">
        <v>8</v>
      </c>
      <c r="L4170" s="8" t="s">
        <v>8</v>
      </c>
      <c r="M4170" s="8"/>
      <c r="N4170" s="8"/>
      <c r="O4170" s="8" t="s">
        <v>8</v>
      </c>
      <c r="P4170" s="8" t="s">
        <v>8</v>
      </c>
    </row>
    <row r="4171">
      <c r="E4171" s="31"/>
      <c r="F4171" s="8" t="s">
        <v>8</v>
      </c>
      <c r="G4171" s="8" t="s">
        <v>8</v>
      </c>
      <c r="H4171" s="8" t="s">
        <v>8</v>
      </c>
      <c r="I4171" s="8" t="s">
        <v>8</v>
      </c>
      <c r="J4171" s="8" t="s">
        <v>8</v>
      </c>
      <c r="K4171" s="8" t="s">
        <v>8</v>
      </c>
      <c r="L4171" s="8" t="s">
        <v>8</v>
      </c>
      <c r="M4171" s="8"/>
      <c r="N4171" s="8"/>
      <c r="O4171" s="8" t="s">
        <v>8</v>
      </c>
      <c r="P4171" s="8" t="s">
        <v>8</v>
      </c>
    </row>
    <row r="4172">
      <c r="E4172" s="31"/>
      <c r="F4172" s="8" t="s">
        <v>8</v>
      </c>
      <c r="G4172" s="8" t="s">
        <v>8</v>
      </c>
      <c r="H4172" s="8" t="s">
        <v>8</v>
      </c>
      <c r="I4172" s="8" t="s">
        <v>8</v>
      </c>
      <c r="J4172" s="8" t="s">
        <v>8</v>
      </c>
      <c r="K4172" s="8" t="s">
        <v>8</v>
      </c>
      <c r="L4172" s="8" t="s">
        <v>8</v>
      </c>
      <c r="M4172" s="8"/>
      <c r="N4172" s="8"/>
      <c r="O4172" s="8" t="s">
        <v>8</v>
      </c>
      <c r="P4172" s="8" t="s">
        <v>8</v>
      </c>
    </row>
    <row r="4173">
      <c r="E4173" s="31"/>
      <c r="F4173" s="8" t="s">
        <v>8</v>
      </c>
      <c r="G4173" s="8" t="s">
        <v>8</v>
      </c>
      <c r="H4173" s="8" t="s">
        <v>8</v>
      </c>
      <c r="I4173" s="8" t="s">
        <v>8</v>
      </c>
      <c r="J4173" s="8" t="s">
        <v>8</v>
      </c>
      <c r="K4173" s="8" t="s">
        <v>8</v>
      </c>
      <c r="L4173" s="8" t="s">
        <v>8</v>
      </c>
      <c r="M4173" s="8"/>
      <c r="N4173" s="8"/>
      <c r="O4173" s="8" t="s">
        <v>8</v>
      </c>
      <c r="P4173" s="8" t="s">
        <v>8</v>
      </c>
    </row>
    <row r="4174">
      <c r="E4174" s="31"/>
      <c r="F4174" s="8" t="s">
        <v>8</v>
      </c>
      <c r="G4174" s="8" t="s">
        <v>8</v>
      </c>
      <c r="H4174" s="8" t="s">
        <v>8</v>
      </c>
      <c r="I4174" s="8" t="s">
        <v>8</v>
      </c>
      <c r="J4174" s="8" t="s">
        <v>8</v>
      </c>
      <c r="K4174" s="8" t="s">
        <v>8</v>
      </c>
      <c r="L4174" s="8" t="s">
        <v>8</v>
      </c>
      <c r="M4174" s="8"/>
      <c r="N4174" s="8"/>
      <c r="O4174" s="8" t="s">
        <v>8</v>
      </c>
      <c r="P4174" s="8" t="s">
        <v>8</v>
      </c>
    </row>
    <row r="4175">
      <c r="E4175" s="31"/>
      <c r="F4175" s="8" t="s">
        <v>8</v>
      </c>
      <c r="G4175" s="8" t="s">
        <v>8</v>
      </c>
      <c r="H4175" s="8" t="s">
        <v>8</v>
      </c>
      <c r="I4175" s="8" t="s">
        <v>8</v>
      </c>
      <c r="J4175" s="8" t="s">
        <v>8</v>
      </c>
      <c r="K4175" s="8" t="s">
        <v>8</v>
      </c>
      <c r="L4175" s="8" t="s">
        <v>8</v>
      </c>
      <c r="M4175" s="8"/>
      <c r="N4175" s="8"/>
      <c r="O4175" s="8" t="s">
        <v>8</v>
      </c>
      <c r="P4175" s="8" t="s">
        <v>8</v>
      </c>
    </row>
    <row r="4176">
      <c r="E4176" s="31"/>
      <c r="F4176" s="8" t="s">
        <v>8</v>
      </c>
      <c r="G4176" s="8" t="s">
        <v>8</v>
      </c>
      <c r="H4176" s="8" t="s">
        <v>8</v>
      </c>
      <c r="I4176" s="8" t="s">
        <v>8</v>
      </c>
      <c r="J4176" s="8" t="s">
        <v>8</v>
      </c>
      <c r="K4176" s="8" t="s">
        <v>8</v>
      </c>
      <c r="L4176" s="8" t="s">
        <v>8</v>
      </c>
      <c r="M4176" s="8"/>
      <c r="N4176" s="8"/>
      <c r="O4176" s="8" t="s">
        <v>8</v>
      </c>
      <c r="P4176" s="8" t="s">
        <v>8</v>
      </c>
    </row>
    <row r="4177">
      <c r="E4177" s="31"/>
      <c r="F4177" s="8" t="s">
        <v>8</v>
      </c>
      <c r="G4177" s="8" t="s">
        <v>8</v>
      </c>
      <c r="H4177" s="8" t="s">
        <v>8</v>
      </c>
      <c r="I4177" s="8" t="s">
        <v>8</v>
      </c>
      <c r="J4177" s="8" t="s">
        <v>8</v>
      </c>
      <c r="K4177" s="8" t="s">
        <v>8</v>
      </c>
      <c r="L4177" s="8" t="s">
        <v>8</v>
      </c>
      <c r="M4177" s="8"/>
      <c r="N4177" s="8"/>
      <c r="O4177" s="8" t="s">
        <v>8</v>
      </c>
      <c r="P4177" s="8" t="s">
        <v>8</v>
      </c>
    </row>
    <row r="4178">
      <c r="E4178" s="31"/>
      <c r="F4178" s="8" t="s">
        <v>8</v>
      </c>
      <c r="G4178" s="8" t="s">
        <v>8</v>
      </c>
      <c r="H4178" s="8" t="s">
        <v>8</v>
      </c>
      <c r="I4178" s="8" t="s">
        <v>8</v>
      </c>
      <c r="J4178" s="8" t="s">
        <v>8</v>
      </c>
      <c r="K4178" s="8" t="s">
        <v>8</v>
      </c>
      <c r="L4178" s="8" t="s">
        <v>8</v>
      </c>
      <c r="M4178" s="8"/>
      <c r="N4178" s="8"/>
      <c r="O4178" s="8" t="s">
        <v>8</v>
      </c>
      <c r="P4178" s="8" t="s">
        <v>8</v>
      </c>
    </row>
    <row r="4179">
      <c r="E4179" s="31"/>
      <c r="F4179" s="8" t="s">
        <v>8</v>
      </c>
      <c r="G4179" s="8" t="s">
        <v>8</v>
      </c>
      <c r="H4179" s="8" t="s">
        <v>8</v>
      </c>
      <c r="I4179" s="8" t="s">
        <v>8</v>
      </c>
      <c r="J4179" s="8" t="s">
        <v>8</v>
      </c>
      <c r="K4179" s="8" t="s">
        <v>8</v>
      </c>
      <c r="L4179" s="8" t="s">
        <v>8</v>
      </c>
      <c r="M4179" s="8"/>
      <c r="N4179" s="8"/>
      <c r="O4179" s="8" t="s">
        <v>8</v>
      </c>
      <c r="P4179" s="8" t="s">
        <v>8</v>
      </c>
    </row>
    <row r="4180">
      <c r="E4180" s="31"/>
      <c r="F4180" s="8" t="s">
        <v>8</v>
      </c>
      <c r="G4180" s="8" t="s">
        <v>8</v>
      </c>
      <c r="H4180" s="8" t="s">
        <v>8</v>
      </c>
      <c r="I4180" s="8" t="s">
        <v>8</v>
      </c>
      <c r="J4180" s="8" t="s">
        <v>8</v>
      </c>
      <c r="K4180" s="8" t="s">
        <v>8</v>
      </c>
      <c r="L4180" s="8" t="s">
        <v>8</v>
      </c>
      <c r="M4180" s="8"/>
      <c r="N4180" s="8"/>
      <c r="O4180" s="8" t="s">
        <v>8</v>
      </c>
      <c r="P4180" s="8" t="s">
        <v>8</v>
      </c>
    </row>
    <row r="4181">
      <c r="E4181" s="31"/>
      <c r="F4181" s="8" t="s">
        <v>8</v>
      </c>
      <c r="G4181" s="8" t="s">
        <v>8</v>
      </c>
      <c r="H4181" s="8" t="s">
        <v>8</v>
      </c>
      <c r="I4181" s="8" t="s">
        <v>8</v>
      </c>
      <c r="J4181" s="8" t="s">
        <v>8</v>
      </c>
      <c r="K4181" s="8" t="s">
        <v>8</v>
      </c>
      <c r="L4181" s="8" t="s">
        <v>8</v>
      </c>
      <c r="M4181" s="8"/>
      <c r="N4181" s="8"/>
      <c r="O4181" s="8" t="s">
        <v>8</v>
      </c>
      <c r="P4181" s="8" t="s">
        <v>8</v>
      </c>
    </row>
    <row r="4182">
      <c r="E4182" s="31"/>
      <c r="F4182" s="8" t="s">
        <v>8</v>
      </c>
      <c r="G4182" s="8" t="s">
        <v>8</v>
      </c>
      <c r="H4182" s="8" t="s">
        <v>8</v>
      </c>
      <c r="I4182" s="8" t="s">
        <v>8</v>
      </c>
      <c r="J4182" s="8" t="s">
        <v>8</v>
      </c>
      <c r="K4182" s="8" t="s">
        <v>8</v>
      </c>
      <c r="L4182" s="8" t="s">
        <v>8</v>
      </c>
      <c r="M4182" s="8"/>
      <c r="N4182" s="8"/>
      <c r="O4182" s="8" t="s">
        <v>8</v>
      </c>
      <c r="P4182" s="8" t="s">
        <v>8</v>
      </c>
    </row>
    <row r="4183">
      <c r="E4183" s="31"/>
      <c r="F4183" s="8" t="s">
        <v>8</v>
      </c>
      <c r="G4183" s="8" t="s">
        <v>8</v>
      </c>
      <c r="H4183" s="8" t="s">
        <v>8</v>
      </c>
      <c r="I4183" s="8" t="s">
        <v>8</v>
      </c>
      <c r="J4183" s="8" t="s">
        <v>8</v>
      </c>
      <c r="K4183" s="8" t="s">
        <v>8</v>
      </c>
      <c r="L4183" s="8" t="s">
        <v>8</v>
      </c>
      <c r="M4183" s="8"/>
      <c r="N4183" s="8"/>
      <c r="O4183" s="8" t="s">
        <v>8</v>
      </c>
      <c r="P4183" s="8" t="s">
        <v>8</v>
      </c>
    </row>
    <row r="4184">
      <c r="E4184" s="31"/>
      <c r="F4184" s="8" t="s">
        <v>8</v>
      </c>
      <c r="G4184" s="8" t="s">
        <v>8</v>
      </c>
      <c r="H4184" s="8" t="s">
        <v>8</v>
      </c>
      <c r="I4184" s="8" t="s">
        <v>8</v>
      </c>
      <c r="J4184" s="8" t="s">
        <v>8</v>
      </c>
      <c r="K4184" s="8" t="s">
        <v>8</v>
      </c>
      <c r="L4184" s="8" t="s">
        <v>8</v>
      </c>
      <c r="M4184" s="8"/>
      <c r="N4184" s="8"/>
      <c r="O4184" s="8" t="s">
        <v>8</v>
      </c>
      <c r="P4184" s="8" t="s">
        <v>8</v>
      </c>
    </row>
    <row r="4185">
      <c r="E4185" s="31"/>
      <c r="F4185" s="8" t="s">
        <v>8</v>
      </c>
      <c r="G4185" s="8" t="s">
        <v>8</v>
      </c>
      <c r="H4185" s="8" t="s">
        <v>8</v>
      </c>
      <c r="I4185" s="8" t="s">
        <v>8</v>
      </c>
      <c r="J4185" s="8" t="s">
        <v>8</v>
      </c>
      <c r="K4185" s="8" t="s">
        <v>8</v>
      </c>
      <c r="L4185" s="8" t="s">
        <v>8</v>
      </c>
      <c r="M4185" s="8"/>
      <c r="N4185" s="8"/>
      <c r="O4185" s="8" t="s">
        <v>8</v>
      </c>
      <c r="P4185" s="8" t="s">
        <v>8</v>
      </c>
    </row>
    <row r="4186">
      <c r="E4186" s="31"/>
      <c r="F4186" s="8" t="s">
        <v>8</v>
      </c>
      <c r="G4186" s="8" t="s">
        <v>8</v>
      </c>
      <c r="H4186" s="8" t="s">
        <v>8</v>
      </c>
      <c r="I4186" s="8" t="s">
        <v>8</v>
      </c>
      <c r="J4186" s="8" t="s">
        <v>8</v>
      </c>
      <c r="K4186" s="8" t="s">
        <v>8</v>
      </c>
      <c r="L4186" s="8" t="s">
        <v>8</v>
      </c>
      <c r="M4186" s="8"/>
      <c r="N4186" s="8"/>
      <c r="O4186" s="8" t="s">
        <v>8</v>
      </c>
      <c r="P4186" s="8" t="s">
        <v>8</v>
      </c>
    </row>
    <row r="4187">
      <c r="E4187" s="31"/>
      <c r="F4187" s="8" t="s">
        <v>8</v>
      </c>
      <c r="G4187" s="8" t="s">
        <v>8</v>
      </c>
      <c r="H4187" s="8" t="s">
        <v>8</v>
      </c>
      <c r="I4187" s="8" t="s">
        <v>8</v>
      </c>
      <c r="J4187" s="8" t="s">
        <v>8</v>
      </c>
      <c r="K4187" s="8" t="s">
        <v>8</v>
      </c>
      <c r="L4187" s="8" t="s">
        <v>8</v>
      </c>
      <c r="M4187" s="8"/>
      <c r="N4187" s="8"/>
      <c r="O4187" s="8" t="s">
        <v>8</v>
      </c>
      <c r="P4187" s="8" t="s">
        <v>8</v>
      </c>
    </row>
    <row r="4188">
      <c r="E4188" s="31"/>
      <c r="F4188" s="8" t="s">
        <v>8</v>
      </c>
      <c r="G4188" s="8" t="s">
        <v>8</v>
      </c>
      <c r="H4188" s="8" t="s">
        <v>8</v>
      </c>
      <c r="I4188" s="8" t="s">
        <v>8</v>
      </c>
      <c r="J4188" s="8" t="s">
        <v>8</v>
      </c>
      <c r="K4188" s="8" t="s">
        <v>8</v>
      </c>
      <c r="L4188" s="8" t="s">
        <v>8</v>
      </c>
      <c r="M4188" s="8"/>
      <c r="N4188" s="8"/>
      <c r="O4188" s="8" t="s">
        <v>8</v>
      </c>
      <c r="P4188" s="8" t="s">
        <v>8</v>
      </c>
    </row>
    <row r="4189">
      <c r="E4189" s="31"/>
      <c r="F4189" s="8" t="s">
        <v>8</v>
      </c>
      <c r="G4189" s="8" t="s">
        <v>8</v>
      </c>
      <c r="H4189" s="8" t="s">
        <v>8</v>
      </c>
      <c r="I4189" s="8" t="s">
        <v>8</v>
      </c>
      <c r="J4189" s="8" t="s">
        <v>8</v>
      </c>
      <c r="K4189" s="8" t="s">
        <v>8</v>
      </c>
      <c r="L4189" s="8" t="s">
        <v>8</v>
      </c>
      <c r="M4189" s="8"/>
      <c r="N4189" s="8"/>
      <c r="O4189" s="8" t="s">
        <v>8</v>
      </c>
      <c r="P4189" s="8" t="s">
        <v>8</v>
      </c>
    </row>
    <row r="4190">
      <c r="E4190" s="31"/>
      <c r="F4190" s="8" t="s">
        <v>8</v>
      </c>
      <c r="G4190" s="8" t="s">
        <v>8</v>
      </c>
      <c r="H4190" s="8" t="s">
        <v>8</v>
      </c>
      <c r="I4190" s="8" t="s">
        <v>8</v>
      </c>
      <c r="J4190" s="8" t="s">
        <v>8</v>
      </c>
      <c r="K4190" s="8" t="s">
        <v>8</v>
      </c>
      <c r="L4190" s="8" t="s">
        <v>8</v>
      </c>
      <c r="M4190" s="8"/>
      <c r="N4190" s="8"/>
      <c r="O4190" s="8" t="s">
        <v>8</v>
      </c>
      <c r="P4190" s="8" t="s">
        <v>8</v>
      </c>
    </row>
    <row r="4191">
      <c r="E4191" s="31"/>
      <c r="F4191" s="8" t="s">
        <v>8</v>
      </c>
      <c r="G4191" s="8" t="s">
        <v>8</v>
      </c>
      <c r="H4191" s="8" t="s">
        <v>8</v>
      </c>
      <c r="I4191" s="8" t="s">
        <v>8</v>
      </c>
      <c r="J4191" s="8" t="s">
        <v>8</v>
      </c>
      <c r="K4191" s="8" t="s">
        <v>8</v>
      </c>
      <c r="L4191" s="8" t="s">
        <v>8</v>
      </c>
      <c r="M4191" s="8"/>
      <c r="N4191" s="8"/>
      <c r="O4191" s="8" t="s">
        <v>8</v>
      </c>
      <c r="P4191" s="8" t="s">
        <v>8</v>
      </c>
    </row>
    <row r="4192">
      <c r="E4192" s="31"/>
      <c r="F4192" s="8" t="s">
        <v>8</v>
      </c>
      <c r="G4192" s="8" t="s">
        <v>8</v>
      </c>
      <c r="H4192" s="8" t="s">
        <v>8</v>
      </c>
      <c r="I4192" s="8" t="s">
        <v>8</v>
      </c>
      <c r="J4192" s="8" t="s">
        <v>8</v>
      </c>
      <c r="K4192" s="8" t="s">
        <v>8</v>
      </c>
      <c r="L4192" s="8" t="s">
        <v>8</v>
      </c>
      <c r="M4192" s="8"/>
      <c r="N4192" s="8"/>
      <c r="O4192" s="8" t="s">
        <v>8</v>
      </c>
      <c r="P4192" s="8" t="s">
        <v>8</v>
      </c>
    </row>
    <row r="4193">
      <c r="E4193" s="31"/>
      <c r="F4193" s="8" t="s">
        <v>8</v>
      </c>
      <c r="G4193" s="8" t="s">
        <v>8</v>
      </c>
      <c r="H4193" s="8" t="s">
        <v>8</v>
      </c>
      <c r="I4193" s="8" t="s">
        <v>8</v>
      </c>
      <c r="J4193" s="8" t="s">
        <v>8</v>
      </c>
      <c r="K4193" s="8" t="s">
        <v>8</v>
      </c>
      <c r="L4193" s="8" t="s">
        <v>8</v>
      </c>
      <c r="M4193" s="8"/>
      <c r="N4193" s="8"/>
      <c r="O4193" s="8" t="s">
        <v>8</v>
      </c>
      <c r="P4193" s="8" t="s">
        <v>8</v>
      </c>
    </row>
    <row r="4194">
      <c r="E4194" s="31"/>
      <c r="F4194" s="8" t="s">
        <v>8</v>
      </c>
      <c r="G4194" s="8" t="s">
        <v>8</v>
      </c>
      <c r="H4194" s="8" t="s">
        <v>8</v>
      </c>
      <c r="I4194" s="8" t="s">
        <v>8</v>
      </c>
      <c r="J4194" s="8" t="s">
        <v>8</v>
      </c>
      <c r="K4194" s="8" t="s">
        <v>8</v>
      </c>
      <c r="L4194" s="8" t="s">
        <v>8</v>
      </c>
      <c r="M4194" s="8"/>
      <c r="N4194" s="8"/>
      <c r="O4194" s="8" t="s">
        <v>8</v>
      </c>
      <c r="P4194" s="8" t="s">
        <v>8</v>
      </c>
    </row>
    <row r="4195">
      <c r="E4195" s="31"/>
      <c r="F4195" s="8" t="s">
        <v>8</v>
      </c>
      <c r="G4195" s="8" t="s">
        <v>8</v>
      </c>
      <c r="H4195" s="8" t="s">
        <v>8</v>
      </c>
      <c r="I4195" s="8" t="s">
        <v>8</v>
      </c>
      <c r="J4195" s="8" t="s">
        <v>8</v>
      </c>
      <c r="K4195" s="8" t="s">
        <v>8</v>
      </c>
      <c r="L4195" s="8" t="s">
        <v>8</v>
      </c>
      <c r="M4195" s="8"/>
      <c r="N4195" s="8"/>
      <c r="O4195" s="8" t="s">
        <v>8</v>
      </c>
      <c r="P4195" s="8" t="s">
        <v>8</v>
      </c>
    </row>
    <row r="4196">
      <c r="E4196" s="31"/>
      <c r="F4196" s="8" t="s">
        <v>8</v>
      </c>
      <c r="G4196" s="8" t="s">
        <v>8</v>
      </c>
      <c r="H4196" s="8" t="s">
        <v>8</v>
      </c>
      <c r="I4196" s="8" t="s">
        <v>8</v>
      </c>
      <c r="J4196" s="8" t="s">
        <v>8</v>
      </c>
      <c r="K4196" s="8" t="s">
        <v>8</v>
      </c>
      <c r="L4196" s="8" t="s">
        <v>8</v>
      </c>
      <c r="M4196" s="8"/>
      <c r="N4196" s="8"/>
      <c r="O4196" s="8" t="s">
        <v>8</v>
      </c>
      <c r="P4196" s="8" t="s">
        <v>8</v>
      </c>
    </row>
    <row r="4197">
      <c r="E4197" s="31"/>
      <c r="F4197" s="8" t="s">
        <v>8</v>
      </c>
      <c r="G4197" s="8" t="s">
        <v>8</v>
      </c>
      <c r="H4197" s="8" t="s">
        <v>8</v>
      </c>
      <c r="I4197" s="8" t="s">
        <v>8</v>
      </c>
      <c r="J4197" s="8" t="s">
        <v>8</v>
      </c>
      <c r="K4197" s="8" t="s">
        <v>8</v>
      </c>
      <c r="L4197" s="8" t="s">
        <v>8</v>
      </c>
      <c r="M4197" s="8"/>
      <c r="N4197" s="8"/>
      <c r="O4197" s="8" t="s">
        <v>8</v>
      </c>
      <c r="P4197" s="8" t="s">
        <v>8</v>
      </c>
    </row>
    <row r="4198">
      <c r="E4198" s="31"/>
      <c r="F4198" s="8" t="s">
        <v>8</v>
      </c>
      <c r="G4198" s="8" t="s">
        <v>8</v>
      </c>
      <c r="H4198" s="8" t="s">
        <v>8</v>
      </c>
      <c r="I4198" s="8" t="s">
        <v>8</v>
      </c>
      <c r="J4198" s="8" t="s">
        <v>8</v>
      </c>
      <c r="K4198" s="8" t="s">
        <v>8</v>
      </c>
      <c r="L4198" s="8" t="s">
        <v>8</v>
      </c>
      <c r="M4198" s="8"/>
      <c r="N4198" s="8"/>
      <c r="O4198" s="8" t="s">
        <v>8</v>
      </c>
      <c r="P4198" s="8" t="s">
        <v>8</v>
      </c>
    </row>
    <row r="4199">
      <c r="E4199" s="31"/>
      <c r="F4199" s="8" t="s">
        <v>8</v>
      </c>
      <c r="G4199" s="8" t="s">
        <v>8</v>
      </c>
      <c r="H4199" s="8" t="s">
        <v>8</v>
      </c>
      <c r="I4199" s="8" t="s">
        <v>8</v>
      </c>
      <c r="J4199" s="8" t="s">
        <v>8</v>
      </c>
      <c r="K4199" s="8" t="s">
        <v>8</v>
      </c>
      <c r="L4199" s="8" t="s">
        <v>8</v>
      </c>
      <c r="M4199" s="8"/>
      <c r="N4199" s="8"/>
      <c r="O4199" s="8" t="s">
        <v>8</v>
      </c>
      <c r="P4199" s="8" t="s">
        <v>8</v>
      </c>
    </row>
    <row r="4200">
      <c r="E4200" s="31"/>
      <c r="F4200" s="8" t="s">
        <v>8</v>
      </c>
      <c r="G4200" s="8" t="s">
        <v>8</v>
      </c>
      <c r="H4200" s="8" t="s">
        <v>8</v>
      </c>
      <c r="I4200" s="8" t="s">
        <v>8</v>
      </c>
      <c r="J4200" s="8" t="s">
        <v>8</v>
      </c>
      <c r="K4200" s="8" t="s">
        <v>8</v>
      </c>
      <c r="L4200" s="8" t="s">
        <v>8</v>
      </c>
      <c r="M4200" s="8"/>
      <c r="N4200" s="8"/>
      <c r="O4200" s="8" t="s">
        <v>8</v>
      </c>
      <c r="P4200" s="8" t="s">
        <v>8</v>
      </c>
    </row>
    <row r="4201">
      <c r="E4201" s="31"/>
      <c r="F4201" s="8" t="s">
        <v>8</v>
      </c>
      <c r="G4201" s="8" t="s">
        <v>8</v>
      </c>
      <c r="H4201" s="8" t="s">
        <v>8</v>
      </c>
      <c r="I4201" s="8" t="s">
        <v>8</v>
      </c>
      <c r="J4201" s="8" t="s">
        <v>8</v>
      </c>
      <c r="K4201" s="8" t="s">
        <v>8</v>
      </c>
      <c r="L4201" s="8" t="s">
        <v>8</v>
      </c>
      <c r="M4201" s="8"/>
      <c r="N4201" s="8"/>
      <c r="O4201" s="8" t="s">
        <v>8</v>
      </c>
      <c r="P4201" s="8" t="s">
        <v>8</v>
      </c>
    </row>
    <row r="4202">
      <c r="E4202" s="31"/>
      <c r="F4202" s="8" t="s">
        <v>8</v>
      </c>
      <c r="G4202" s="8" t="s">
        <v>8</v>
      </c>
      <c r="H4202" s="8" t="s">
        <v>8</v>
      </c>
      <c r="I4202" s="8" t="s">
        <v>8</v>
      </c>
      <c r="J4202" s="8" t="s">
        <v>8</v>
      </c>
      <c r="K4202" s="8" t="s">
        <v>8</v>
      </c>
      <c r="L4202" s="8" t="s">
        <v>8</v>
      </c>
      <c r="M4202" s="8"/>
      <c r="N4202" s="8"/>
      <c r="O4202" s="8" t="s">
        <v>8</v>
      </c>
      <c r="P4202" s="8" t="s">
        <v>8</v>
      </c>
    </row>
    <row r="4203">
      <c r="E4203" s="31"/>
      <c r="F4203" s="8" t="s">
        <v>8</v>
      </c>
      <c r="G4203" s="8" t="s">
        <v>8</v>
      </c>
      <c r="H4203" s="8" t="s">
        <v>8</v>
      </c>
      <c r="I4203" s="8" t="s">
        <v>8</v>
      </c>
      <c r="J4203" s="8" t="s">
        <v>8</v>
      </c>
      <c r="K4203" s="8" t="s">
        <v>8</v>
      </c>
      <c r="L4203" s="8" t="s">
        <v>8</v>
      </c>
      <c r="M4203" s="8"/>
      <c r="N4203" s="8"/>
      <c r="O4203" s="8" t="s">
        <v>8</v>
      </c>
      <c r="P4203" s="8" t="s">
        <v>8</v>
      </c>
    </row>
    <row r="4204">
      <c r="E4204" s="31"/>
      <c r="F4204" s="8" t="s">
        <v>8</v>
      </c>
      <c r="G4204" s="8" t="s">
        <v>8</v>
      </c>
      <c r="H4204" s="8" t="s">
        <v>8</v>
      </c>
      <c r="I4204" s="8" t="s">
        <v>8</v>
      </c>
      <c r="J4204" s="8" t="s">
        <v>8</v>
      </c>
      <c r="K4204" s="8" t="s">
        <v>8</v>
      </c>
      <c r="L4204" s="8" t="s">
        <v>8</v>
      </c>
      <c r="M4204" s="8"/>
      <c r="N4204" s="8"/>
      <c r="O4204" s="8" t="s">
        <v>8</v>
      </c>
      <c r="P4204" s="8" t="s">
        <v>8</v>
      </c>
    </row>
    <row r="4205">
      <c r="E4205" s="31"/>
      <c r="F4205" s="8" t="s">
        <v>8</v>
      </c>
      <c r="G4205" s="8" t="s">
        <v>8</v>
      </c>
      <c r="H4205" s="8" t="s">
        <v>8</v>
      </c>
      <c r="I4205" s="8" t="s">
        <v>8</v>
      </c>
      <c r="J4205" s="8" t="s">
        <v>8</v>
      </c>
      <c r="K4205" s="8" t="s">
        <v>8</v>
      </c>
      <c r="L4205" s="8" t="s">
        <v>8</v>
      </c>
      <c r="M4205" s="8"/>
      <c r="N4205" s="8"/>
      <c r="O4205" s="8" t="s">
        <v>8</v>
      </c>
      <c r="P4205" s="8" t="s">
        <v>8</v>
      </c>
    </row>
    <row r="4206">
      <c r="E4206" s="31"/>
      <c r="F4206" s="8" t="s">
        <v>8</v>
      </c>
      <c r="G4206" s="8" t="s">
        <v>8</v>
      </c>
      <c r="H4206" s="8" t="s">
        <v>8</v>
      </c>
      <c r="I4206" s="8" t="s">
        <v>8</v>
      </c>
      <c r="J4206" s="8" t="s">
        <v>8</v>
      </c>
      <c r="K4206" s="8" t="s">
        <v>8</v>
      </c>
      <c r="L4206" s="8" t="s">
        <v>8</v>
      </c>
      <c r="M4206" s="8"/>
      <c r="N4206" s="8"/>
      <c r="O4206" s="8" t="s">
        <v>8</v>
      </c>
      <c r="P4206" s="8" t="s">
        <v>8</v>
      </c>
    </row>
    <row r="4207">
      <c r="E4207" s="31"/>
      <c r="F4207" s="8" t="s">
        <v>8</v>
      </c>
      <c r="G4207" s="8" t="s">
        <v>8</v>
      </c>
      <c r="H4207" s="8" t="s">
        <v>8</v>
      </c>
      <c r="I4207" s="8" t="s">
        <v>8</v>
      </c>
      <c r="J4207" s="8" t="s">
        <v>8</v>
      </c>
      <c r="K4207" s="8" t="s">
        <v>8</v>
      </c>
      <c r="L4207" s="8" t="s">
        <v>8</v>
      </c>
      <c r="M4207" s="8"/>
      <c r="N4207" s="8"/>
      <c r="O4207" s="8" t="s">
        <v>8</v>
      </c>
      <c r="P4207" s="8" t="s">
        <v>8</v>
      </c>
    </row>
    <row r="4208">
      <c r="E4208" s="31"/>
      <c r="F4208" s="8" t="s">
        <v>8</v>
      </c>
      <c r="G4208" s="8" t="s">
        <v>8</v>
      </c>
      <c r="H4208" s="8" t="s">
        <v>8</v>
      </c>
      <c r="I4208" s="8" t="s">
        <v>8</v>
      </c>
      <c r="J4208" s="8" t="s">
        <v>8</v>
      </c>
      <c r="K4208" s="8" t="s">
        <v>8</v>
      </c>
      <c r="L4208" s="8" t="s">
        <v>8</v>
      </c>
      <c r="M4208" s="8"/>
      <c r="N4208" s="8"/>
      <c r="O4208" s="8" t="s">
        <v>8</v>
      </c>
      <c r="P4208" s="8" t="s">
        <v>8</v>
      </c>
    </row>
    <row r="4209">
      <c r="E4209" s="31"/>
      <c r="F4209" s="8" t="s">
        <v>8</v>
      </c>
      <c r="G4209" s="8" t="s">
        <v>8</v>
      </c>
      <c r="H4209" s="8" t="s">
        <v>8</v>
      </c>
      <c r="I4209" s="8" t="s">
        <v>8</v>
      </c>
      <c r="J4209" s="8" t="s">
        <v>8</v>
      </c>
      <c r="K4209" s="8" t="s">
        <v>8</v>
      </c>
      <c r="L4209" s="8" t="s">
        <v>8</v>
      </c>
      <c r="M4209" s="8"/>
      <c r="N4209" s="8"/>
      <c r="O4209" s="8" t="s">
        <v>8</v>
      </c>
      <c r="P4209" s="8" t="s">
        <v>8</v>
      </c>
    </row>
    <row r="4210">
      <c r="E4210" s="31"/>
      <c r="F4210" s="8" t="s">
        <v>8</v>
      </c>
      <c r="G4210" s="8" t="s">
        <v>8</v>
      </c>
      <c r="H4210" s="8" t="s">
        <v>8</v>
      </c>
      <c r="I4210" s="8" t="s">
        <v>8</v>
      </c>
      <c r="J4210" s="8" t="s">
        <v>8</v>
      </c>
      <c r="K4210" s="8" t="s">
        <v>8</v>
      </c>
      <c r="L4210" s="8" t="s">
        <v>8</v>
      </c>
      <c r="M4210" s="8"/>
      <c r="N4210" s="8"/>
      <c r="O4210" s="8" t="s">
        <v>8</v>
      </c>
      <c r="P4210" s="8" t="s">
        <v>8</v>
      </c>
    </row>
    <row r="4211">
      <c r="E4211" s="31"/>
      <c r="F4211" s="8" t="s">
        <v>8</v>
      </c>
      <c r="G4211" s="8" t="s">
        <v>8</v>
      </c>
      <c r="H4211" s="8" t="s">
        <v>8</v>
      </c>
      <c r="I4211" s="8" t="s">
        <v>8</v>
      </c>
      <c r="J4211" s="8" t="s">
        <v>8</v>
      </c>
      <c r="K4211" s="8" t="s">
        <v>8</v>
      </c>
      <c r="L4211" s="8" t="s">
        <v>8</v>
      </c>
      <c r="M4211" s="8"/>
      <c r="N4211" s="8"/>
      <c r="O4211" s="8" t="s">
        <v>8</v>
      </c>
      <c r="P4211" s="8" t="s">
        <v>8</v>
      </c>
    </row>
    <row r="4212">
      <c r="E4212" s="31"/>
      <c r="F4212" s="8" t="s">
        <v>8</v>
      </c>
      <c r="G4212" s="8" t="s">
        <v>8</v>
      </c>
      <c r="H4212" s="8" t="s">
        <v>8</v>
      </c>
      <c r="I4212" s="8" t="s">
        <v>8</v>
      </c>
      <c r="J4212" s="8" t="s">
        <v>8</v>
      </c>
      <c r="K4212" s="8" t="s">
        <v>8</v>
      </c>
      <c r="L4212" s="8" t="s">
        <v>8</v>
      </c>
      <c r="M4212" s="8"/>
      <c r="N4212" s="8"/>
      <c r="O4212" s="8" t="s">
        <v>8</v>
      </c>
      <c r="P4212" s="8" t="s">
        <v>8</v>
      </c>
    </row>
    <row r="4213">
      <c r="E4213" s="31"/>
      <c r="F4213" s="8" t="s">
        <v>8</v>
      </c>
      <c r="G4213" s="8" t="s">
        <v>8</v>
      </c>
      <c r="H4213" s="8" t="s">
        <v>8</v>
      </c>
      <c r="I4213" s="8" t="s">
        <v>8</v>
      </c>
      <c r="J4213" s="8" t="s">
        <v>8</v>
      </c>
      <c r="K4213" s="8" t="s">
        <v>8</v>
      </c>
      <c r="L4213" s="8" t="s">
        <v>8</v>
      </c>
      <c r="M4213" s="8"/>
      <c r="N4213" s="8"/>
      <c r="O4213" s="8" t="s">
        <v>8</v>
      </c>
      <c r="P4213" s="8" t="s">
        <v>8</v>
      </c>
    </row>
    <row r="4214">
      <c r="E4214" s="31"/>
      <c r="F4214" s="8" t="s">
        <v>8</v>
      </c>
      <c r="G4214" s="8" t="s">
        <v>8</v>
      </c>
      <c r="H4214" s="8" t="s">
        <v>8</v>
      </c>
      <c r="I4214" s="8" t="s">
        <v>8</v>
      </c>
      <c r="J4214" s="8" t="s">
        <v>8</v>
      </c>
      <c r="K4214" s="8" t="s">
        <v>8</v>
      </c>
      <c r="L4214" s="8" t="s">
        <v>8</v>
      </c>
      <c r="M4214" s="8"/>
      <c r="N4214" s="8"/>
      <c r="O4214" s="8" t="s">
        <v>8</v>
      </c>
      <c r="P4214" s="8" t="s">
        <v>8</v>
      </c>
    </row>
    <row r="4215">
      <c r="E4215" s="31"/>
      <c r="F4215" s="8" t="s">
        <v>8</v>
      </c>
      <c r="G4215" s="8" t="s">
        <v>8</v>
      </c>
      <c r="H4215" s="8" t="s">
        <v>8</v>
      </c>
      <c r="I4215" s="8" t="s">
        <v>8</v>
      </c>
      <c r="J4215" s="8" t="s">
        <v>8</v>
      </c>
      <c r="K4215" s="8" t="s">
        <v>8</v>
      </c>
      <c r="L4215" s="8" t="s">
        <v>8</v>
      </c>
      <c r="M4215" s="8"/>
      <c r="N4215" s="8"/>
      <c r="O4215" s="8" t="s">
        <v>8</v>
      </c>
      <c r="P4215" s="8" t="s">
        <v>8</v>
      </c>
    </row>
    <row r="4216">
      <c r="E4216" s="31"/>
      <c r="F4216" s="8" t="s">
        <v>8</v>
      </c>
      <c r="G4216" s="8" t="s">
        <v>8</v>
      </c>
      <c r="H4216" s="8" t="s">
        <v>8</v>
      </c>
      <c r="I4216" s="8" t="s">
        <v>8</v>
      </c>
      <c r="J4216" s="8" t="s">
        <v>8</v>
      </c>
      <c r="K4216" s="8" t="s">
        <v>8</v>
      </c>
      <c r="L4216" s="8" t="s">
        <v>8</v>
      </c>
      <c r="M4216" s="8"/>
      <c r="N4216" s="8"/>
      <c r="O4216" s="8" t="s">
        <v>8</v>
      </c>
      <c r="P4216" s="8" t="s">
        <v>8</v>
      </c>
    </row>
    <row r="4217">
      <c r="E4217" s="31"/>
      <c r="F4217" s="8" t="s">
        <v>8</v>
      </c>
      <c r="G4217" s="8" t="s">
        <v>8</v>
      </c>
      <c r="H4217" s="8" t="s">
        <v>8</v>
      </c>
      <c r="I4217" s="8" t="s">
        <v>8</v>
      </c>
      <c r="J4217" s="8" t="s">
        <v>8</v>
      </c>
      <c r="K4217" s="8" t="s">
        <v>8</v>
      </c>
      <c r="L4217" s="8" t="s">
        <v>8</v>
      </c>
      <c r="M4217" s="8"/>
      <c r="N4217" s="8"/>
      <c r="O4217" s="8" t="s">
        <v>8</v>
      </c>
      <c r="P4217" s="8" t="s">
        <v>8</v>
      </c>
    </row>
    <row r="4218">
      <c r="E4218" s="31"/>
      <c r="F4218" s="8" t="s">
        <v>8</v>
      </c>
      <c r="G4218" s="8" t="s">
        <v>8</v>
      </c>
      <c r="H4218" s="8" t="s">
        <v>8</v>
      </c>
      <c r="I4218" s="8" t="s">
        <v>8</v>
      </c>
      <c r="J4218" s="8" t="s">
        <v>8</v>
      </c>
      <c r="K4218" s="8" t="s">
        <v>8</v>
      </c>
      <c r="L4218" s="8" t="s">
        <v>8</v>
      </c>
      <c r="M4218" s="8"/>
      <c r="N4218" s="8"/>
      <c r="O4218" s="8" t="s">
        <v>8</v>
      </c>
      <c r="P4218" s="8" t="s">
        <v>8</v>
      </c>
    </row>
    <row r="4219">
      <c r="E4219" s="31"/>
      <c r="F4219" s="8" t="s">
        <v>8</v>
      </c>
      <c r="G4219" s="8" t="s">
        <v>8</v>
      </c>
      <c r="H4219" s="8" t="s">
        <v>8</v>
      </c>
      <c r="I4219" s="8" t="s">
        <v>8</v>
      </c>
      <c r="J4219" s="8" t="s">
        <v>8</v>
      </c>
      <c r="K4219" s="8" t="s">
        <v>8</v>
      </c>
      <c r="L4219" s="8" t="s">
        <v>8</v>
      </c>
      <c r="M4219" s="8"/>
      <c r="N4219" s="8"/>
      <c r="O4219" s="8" t="s">
        <v>8</v>
      </c>
      <c r="P4219" s="8" t="s">
        <v>8</v>
      </c>
    </row>
    <row r="4220">
      <c r="E4220" s="31"/>
      <c r="F4220" s="8" t="s">
        <v>8</v>
      </c>
      <c r="G4220" s="8" t="s">
        <v>8</v>
      </c>
      <c r="H4220" s="8" t="s">
        <v>8</v>
      </c>
      <c r="I4220" s="8" t="s">
        <v>8</v>
      </c>
      <c r="J4220" s="8" t="s">
        <v>8</v>
      </c>
      <c r="K4220" s="8" t="s">
        <v>8</v>
      </c>
      <c r="L4220" s="8" t="s">
        <v>8</v>
      </c>
      <c r="M4220" s="8"/>
      <c r="N4220" s="8"/>
      <c r="O4220" s="8" t="s">
        <v>8</v>
      </c>
      <c r="P4220" s="8" t="s">
        <v>8</v>
      </c>
    </row>
    <row r="4221">
      <c r="E4221" s="31"/>
      <c r="F4221" s="8" t="s">
        <v>8</v>
      </c>
      <c r="G4221" s="8" t="s">
        <v>8</v>
      </c>
      <c r="H4221" s="8" t="s">
        <v>8</v>
      </c>
      <c r="I4221" s="8" t="s">
        <v>8</v>
      </c>
      <c r="J4221" s="8" t="s">
        <v>8</v>
      </c>
      <c r="K4221" s="8" t="s">
        <v>8</v>
      </c>
      <c r="L4221" s="8" t="s">
        <v>8</v>
      </c>
      <c r="M4221" s="8"/>
      <c r="N4221" s="8"/>
      <c r="O4221" s="8" t="s">
        <v>8</v>
      </c>
      <c r="P4221" s="8" t="s">
        <v>8</v>
      </c>
    </row>
    <row r="4222">
      <c r="E4222" s="31"/>
      <c r="F4222" s="8" t="s">
        <v>8</v>
      </c>
      <c r="G4222" s="8" t="s">
        <v>8</v>
      </c>
      <c r="H4222" s="8" t="s">
        <v>8</v>
      </c>
      <c r="I4222" s="8" t="s">
        <v>8</v>
      </c>
      <c r="J4222" s="8" t="s">
        <v>8</v>
      </c>
      <c r="K4222" s="8" t="s">
        <v>8</v>
      </c>
      <c r="L4222" s="8" t="s">
        <v>8</v>
      </c>
      <c r="M4222" s="8"/>
      <c r="N4222" s="8"/>
      <c r="O4222" s="8" t="s">
        <v>8</v>
      </c>
      <c r="P4222" s="8" t="s">
        <v>8</v>
      </c>
    </row>
    <row r="4223">
      <c r="E4223" s="31"/>
      <c r="F4223" s="8" t="s">
        <v>8</v>
      </c>
      <c r="G4223" s="8" t="s">
        <v>8</v>
      </c>
      <c r="H4223" s="8" t="s">
        <v>8</v>
      </c>
      <c r="I4223" s="8" t="s">
        <v>8</v>
      </c>
      <c r="J4223" s="8" t="s">
        <v>8</v>
      </c>
      <c r="K4223" s="8" t="s">
        <v>8</v>
      </c>
      <c r="L4223" s="8" t="s">
        <v>8</v>
      </c>
      <c r="M4223" s="8"/>
      <c r="N4223" s="8"/>
      <c r="O4223" s="8" t="s">
        <v>8</v>
      </c>
      <c r="P4223" s="8" t="s">
        <v>8</v>
      </c>
    </row>
    <row r="4224">
      <c r="E4224" s="31"/>
      <c r="F4224" s="8" t="s">
        <v>8</v>
      </c>
      <c r="G4224" s="8" t="s">
        <v>8</v>
      </c>
      <c r="H4224" s="8" t="s">
        <v>8</v>
      </c>
      <c r="I4224" s="8" t="s">
        <v>8</v>
      </c>
      <c r="J4224" s="8" t="s">
        <v>8</v>
      </c>
      <c r="K4224" s="8" t="s">
        <v>8</v>
      </c>
      <c r="L4224" s="8" t="s">
        <v>8</v>
      </c>
      <c r="M4224" s="8"/>
      <c r="N4224" s="8"/>
      <c r="O4224" s="8" t="s">
        <v>8</v>
      </c>
      <c r="P4224" s="8" t="s">
        <v>8</v>
      </c>
    </row>
    <row r="4225">
      <c r="E4225" s="31"/>
      <c r="F4225" s="8" t="s">
        <v>8</v>
      </c>
      <c r="G4225" s="8" t="s">
        <v>8</v>
      </c>
      <c r="H4225" s="8" t="s">
        <v>8</v>
      </c>
      <c r="I4225" s="8" t="s">
        <v>8</v>
      </c>
      <c r="J4225" s="8" t="s">
        <v>8</v>
      </c>
      <c r="K4225" s="8" t="s">
        <v>8</v>
      </c>
      <c r="L4225" s="8" t="s">
        <v>8</v>
      </c>
      <c r="M4225" s="8"/>
      <c r="N4225" s="8"/>
      <c r="O4225" s="8" t="s">
        <v>8</v>
      </c>
      <c r="P4225" s="8" t="s">
        <v>8</v>
      </c>
    </row>
    <row r="4226">
      <c r="E4226" s="31"/>
      <c r="F4226" s="8" t="s">
        <v>8</v>
      </c>
      <c r="G4226" s="8" t="s">
        <v>8</v>
      </c>
      <c r="H4226" s="8" t="s">
        <v>8</v>
      </c>
      <c r="I4226" s="8" t="s">
        <v>8</v>
      </c>
      <c r="J4226" s="8" t="s">
        <v>8</v>
      </c>
      <c r="K4226" s="8" t="s">
        <v>8</v>
      </c>
      <c r="L4226" s="8" t="s">
        <v>8</v>
      </c>
      <c r="M4226" s="8"/>
      <c r="N4226" s="8"/>
      <c r="O4226" s="8" t="s">
        <v>8</v>
      </c>
      <c r="P4226" s="8" t="s">
        <v>8</v>
      </c>
    </row>
    <row r="4227">
      <c r="E4227" s="31"/>
      <c r="F4227" s="8" t="s">
        <v>8</v>
      </c>
      <c r="G4227" s="8" t="s">
        <v>8</v>
      </c>
      <c r="H4227" s="8" t="s">
        <v>8</v>
      </c>
      <c r="I4227" s="8" t="s">
        <v>8</v>
      </c>
      <c r="J4227" s="8" t="s">
        <v>8</v>
      </c>
      <c r="K4227" s="8" t="s">
        <v>8</v>
      </c>
      <c r="L4227" s="8" t="s">
        <v>8</v>
      </c>
      <c r="M4227" s="8"/>
      <c r="N4227" s="8"/>
      <c r="O4227" s="8" t="s">
        <v>8</v>
      </c>
      <c r="P4227" s="8" t="s">
        <v>8</v>
      </c>
    </row>
    <row r="4228">
      <c r="E4228" s="31"/>
      <c r="F4228" s="8" t="s">
        <v>8</v>
      </c>
      <c r="G4228" s="8" t="s">
        <v>8</v>
      </c>
      <c r="H4228" s="8" t="s">
        <v>8</v>
      </c>
      <c r="I4228" s="8" t="s">
        <v>8</v>
      </c>
      <c r="J4228" s="8" t="s">
        <v>8</v>
      </c>
      <c r="K4228" s="8" t="s">
        <v>8</v>
      </c>
      <c r="L4228" s="8" t="s">
        <v>8</v>
      </c>
      <c r="M4228" s="8"/>
      <c r="N4228" s="8"/>
      <c r="O4228" s="8" t="s">
        <v>8</v>
      </c>
      <c r="P4228" s="8" t="s">
        <v>8</v>
      </c>
    </row>
    <row r="4229">
      <c r="E4229" s="31"/>
      <c r="F4229" s="8" t="s">
        <v>8</v>
      </c>
      <c r="G4229" s="8" t="s">
        <v>8</v>
      </c>
      <c r="H4229" s="8" t="s">
        <v>8</v>
      </c>
      <c r="I4229" s="8" t="s">
        <v>8</v>
      </c>
      <c r="J4229" s="8" t="s">
        <v>8</v>
      </c>
      <c r="K4229" s="8" t="s">
        <v>8</v>
      </c>
      <c r="L4229" s="8" t="s">
        <v>8</v>
      </c>
      <c r="M4229" s="8"/>
      <c r="N4229" s="8"/>
      <c r="O4229" s="8" t="s">
        <v>8</v>
      </c>
      <c r="P4229" s="8" t="s">
        <v>8</v>
      </c>
    </row>
    <row r="4230">
      <c r="E4230" s="31"/>
      <c r="F4230" s="8" t="s">
        <v>8</v>
      </c>
      <c r="G4230" s="8" t="s">
        <v>8</v>
      </c>
      <c r="H4230" s="8" t="s">
        <v>8</v>
      </c>
      <c r="I4230" s="8" t="s">
        <v>8</v>
      </c>
      <c r="J4230" s="8" t="s">
        <v>8</v>
      </c>
      <c r="K4230" s="8" t="s">
        <v>8</v>
      </c>
      <c r="L4230" s="8" t="s">
        <v>8</v>
      </c>
      <c r="M4230" s="8"/>
      <c r="N4230" s="8"/>
      <c r="O4230" s="8" t="s">
        <v>8</v>
      </c>
      <c r="P4230" s="8" t="s">
        <v>8</v>
      </c>
    </row>
    <row r="4231">
      <c r="E4231" s="31"/>
      <c r="F4231" s="8" t="s">
        <v>8</v>
      </c>
      <c r="G4231" s="8" t="s">
        <v>8</v>
      </c>
      <c r="H4231" s="8" t="s">
        <v>8</v>
      </c>
      <c r="I4231" s="8" t="s">
        <v>8</v>
      </c>
      <c r="J4231" s="8" t="s">
        <v>8</v>
      </c>
      <c r="K4231" s="8" t="s">
        <v>8</v>
      </c>
      <c r="L4231" s="8" t="s">
        <v>8</v>
      </c>
      <c r="M4231" s="8"/>
      <c r="N4231" s="8"/>
      <c r="O4231" s="8" t="s">
        <v>8</v>
      </c>
      <c r="P4231" s="8" t="s">
        <v>8</v>
      </c>
    </row>
    <row r="4232">
      <c r="E4232" s="31"/>
      <c r="F4232" s="8" t="s">
        <v>8</v>
      </c>
      <c r="G4232" s="8" t="s">
        <v>8</v>
      </c>
      <c r="H4232" s="8" t="s">
        <v>8</v>
      </c>
      <c r="I4232" s="8" t="s">
        <v>8</v>
      </c>
      <c r="J4232" s="8" t="s">
        <v>8</v>
      </c>
      <c r="K4232" s="8" t="s">
        <v>8</v>
      </c>
      <c r="L4232" s="8" t="s">
        <v>8</v>
      </c>
      <c r="M4232" s="8"/>
      <c r="N4232" s="8"/>
      <c r="O4232" s="8" t="s">
        <v>8</v>
      </c>
      <c r="P4232" s="8" t="s">
        <v>8</v>
      </c>
    </row>
    <row r="4233">
      <c r="E4233" s="31"/>
      <c r="F4233" s="8" t="s">
        <v>8</v>
      </c>
      <c r="G4233" s="8" t="s">
        <v>8</v>
      </c>
      <c r="H4233" s="8" t="s">
        <v>8</v>
      </c>
      <c r="I4233" s="8" t="s">
        <v>8</v>
      </c>
      <c r="J4233" s="8" t="s">
        <v>8</v>
      </c>
      <c r="K4233" s="8" t="s">
        <v>8</v>
      </c>
      <c r="L4233" s="8" t="s">
        <v>8</v>
      </c>
      <c r="M4233" s="8"/>
      <c r="N4233" s="8"/>
      <c r="O4233" s="8" t="s">
        <v>8</v>
      </c>
      <c r="P4233" s="8" t="s">
        <v>8</v>
      </c>
    </row>
    <row r="4234">
      <c r="E4234" s="31"/>
      <c r="F4234" s="8" t="s">
        <v>8</v>
      </c>
      <c r="G4234" s="8" t="s">
        <v>8</v>
      </c>
      <c r="H4234" s="8" t="s">
        <v>8</v>
      </c>
      <c r="I4234" s="8" t="s">
        <v>8</v>
      </c>
      <c r="J4234" s="8" t="s">
        <v>8</v>
      </c>
      <c r="K4234" s="8" t="s">
        <v>8</v>
      </c>
      <c r="L4234" s="8" t="s">
        <v>8</v>
      </c>
      <c r="M4234" s="8"/>
      <c r="N4234" s="8"/>
      <c r="O4234" s="8" t="s">
        <v>8</v>
      </c>
      <c r="P4234" s="8" t="s">
        <v>8</v>
      </c>
    </row>
    <row r="4235">
      <c r="E4235" s="31"/>
      <c r="F4235" s="8" t="s">
        <v>8</v>
      </c>
      <c r="G4235" s="8" t="s">
        <v>8</v>
      </c>
      <c r="H4235" s="8" t="s">
        <v>8</v>
      </c>
      <c r="I4235" s="8" t="s">
        <v>8</v>
      </c>
      <c r="J4235" s="8" t="s">
        <v>8</v>
      </c>
      <c r="K4235" s="8" t="s">
        <v>8</v>
      </c>
      <c r="L4235" s="8" t="s">
        <v>8</v>
      </c>
      <c r="M4235" s="8"/>
      <c r="N4235" s="8"/>
      <c r="O4235" s="8" t="s">
        <v>8</v>
      </c>
      <c r="P4235" s="8" t="s">
        <v>8</v>
      </c>
    </row>
    <row r="4236">
      <c r="E4236" s="31"/>
      <c r="F4236" s="8" t="s">
        <v>8</v>
      </c>
      <c r="G4236" s="8" t="s">
        <v>8</v>
      </c>
      <c r="H4236" s="8" t="s">
        <v>8</v>
      </c>
      <c r="I4236" s="8" t="s">
        <v>8</v>
      </c>
      <c r="J4236" s="8" t="s">
        <v>8</v>
      </c>
      <c r="K4236" s="8" t="s">
        <v>8</v>
      </c>
      <c r="L4236" s="8" t="s">
        <v>8</v>
      </c>
      <c r="M4236" s="8"/>
      <c r="N4236" s="8"/>
      <c r="O4236" s="8" t="s">
        <v>8</v>
      </c>
      <c r="P4236" s="8" t="s">
        <v>8</v>
      </c>
    </row>
    <row r="4237">
      <c r="E4237" s="31"/>
      <c r="F4237" s="8" t="s">
        <v>8</v>
      </c>
      <c r="G4237" s="8" t="s">
        <v>8</v>
      </c>
      <c r="H4237" s="8" t="s">
        <v>8</v>
      </c>
      <c r="I4237" s="8" t="s">
        <v>8</v>
      </c>
      <c r="J4237" s="8" t="s">
        <v>8</v>
      </c>
      <c r="K4237" s="8" t="s">
        <v>8</v>
      </c>
      <c r="L4237" s="8" t="s">
        <v>8</v>
      </c>
      <c r="M4237" s="8"/>
      <c r="N4237" s="8"/>
      <c r="O4237" s="8" t="s">
        <v>8</v>
      </c>
      <c r="P4237" s="8" t="s">
        <v>8</v>
      </c>
    </row>
    <row r="4238">
      <c r="E4238" s="31"/>
      <c r="F4238" s="8" t="s">
        <v>8</v>
      </c>
      <c r="G4238" s="8" t="s">
        <v>8</v>
      </c>
      <c r="H4238" s="8" t="s">
        <v>8</v>
      </c>
      <c r="I4238" s="8" t="s">
        <v>8</v>
      </c>
      <c r="J4238" s="8" t="s">
        <v>8</v>
      </c>
      <c r="K4238" s="8" t="s">
        <v>8</v>
      </c>
      <c r="L4238" s="8" t="s">
        <v>8</v>
      </c>
      <c r="M4238" s="8"/>
      <c r="N4238" s="8"/>
      <c r="O4238" s="8" t="s">
        <v>8</v>
      </c>
      <c r="P4238" s="8" t="s">
        <v>8</v>
      </c>
    </row>
    <row r="4239">
      <c r="E4239" s="31"/>
      <c r="F4239" s="8" t="s">
        <v>8</v>
      </c>
      <c r="G4239" s="8" t="s">
        <v>8</v>
      </c>
      <c r="H4239" s="8" t="s">
        <v>8</v>
      </c>
      <c r="I4239" s="8" t="s">
        <v>8</v>
      </c>
      <c r="J4239" s="8" t="s">
        <v>8</v>
      </c>
      <c r="K4239" s="8" t="s">
        <v>8</v>
      </c>
      <c r="L4239" s="8" t="s">
        <v>8</v>
      </c>
      <c r="M4239" s="8"/>
      <c r="N4239" s="8"/>
      <c r="O4239" s="8" t="s">
        <v>8</v>
      </c>
      <c r="P4239" s="8" t="s">
        <v>8</v>
      </c>
    </row>
    <row r="4240">
      <c r="E4240" s="31"/>
      <c r="F4240" s="8" t="s">
        <v>8</v>
      </c>
      <c r="G4240" s="8" t="s">
        <v>8</v>
      </c>
      <c r="H4240" s="8" t="s">
        <v>8</v>
      </c>
      <c r="I4240" s="8" t="s">
        <v>8</v>
      </c>
      <c r="J4240" s="8" t="s">
        <v>8</v>
      </c>
      <c r="K4240" s="8" t="s">
        <v>8</v>
      </c>
      <c r="L4240" s="8" t="s">
        <v>8</v>
      </c>
      <c r="M4240" s="8"/>
      <c r="N4240" s="8"/>
      <c r="O4240" s="8" t="s">
        <v>8</v>
      </c>
      <c r="P4240" s="8" t="s">
        <v>8</v>
      </c>
    </row>
    <row r="4241">
      <c r="E4241" s="31"/>
      <c r="F4241" s="8" t="s">
        <v>8</v>
      </c>
      <c r="G4241" s="8" t="s">
        <v>8</v>
      </c>
      <c r="H4241" s="8" t="s">
        <v>8</v>
      </c>
      <c r="I4241" s="8" t="s">
        <v>8</v>
      </c>
      <c r="J4241" s="8" t="s">
        <v>8</v>
      </c>
      <c r="K4241" s="8" t="s">
        <v>8</v>
      </c>
      <c r="L4241" s="8" t="s">
        <v>8</v>
      </c>
      <c r="M4241" s="8"/>
      <c r="N4241" s="8"/>
      <c r="O4241" s="8" t="s">
        <v>8</v>
      </c>
      <c r="P4241" s="8" t="s">
        <v>8</v>
      </c>
    </row>
    <row r="4242">
      <c r="E4242" s="31"/>
      <c r="F4242" s="8" t="s">
        <v>8</v>
      </c>
      <c r="G4242" s="8" t="s">
        <v>8</v>
      </c>
      <c r="H4242" s="8" t="s">
        <v>8</v>
      </c>
      <c r="I4242" s="8" t="s">
        <v>8</v>
      </c>
      <c r="J4242" s="8" t="s">
        <v>8</v>
      </c>
      <c r="K4242" s="8" t="s">
        <v>8</v>
      </c>
      <c r="L4242" s="8" t="s">
        <v>8</v>
      </c>
      <c r="M4242" s="8"/>
      <c r="N4242" s="8"/>
      <c r="O4242" s="8" t="s">
        <v>8</v>
      </c>
      <c r="P4242" s="8" t="s">
        <v>8</v>
      </c>
    </row>
    <row r="4243">
      <c r="E4243" s="31"/>
      <c r="F4243" s="8" t="s">
        <v>8</v>
      </c>
      <c r="G4243" s="8" t="s">
        <v>8</v>
      </c>
      <c r="H4243" s="8" t="s">
        <v>8</v>
      </c>
      <c r="I4243" s="8" t="s">
        <v>8</v>
      </c>
      <c r="J4243" s="8" t="s">
        <v>8</v>
      </c>
      <c r="K4243" s="8" t="s">
        <v>8</v>
      </c>
      <c r="L4243" s="8" t="s">
        <v>8</v>
      </c>
      <c r="M4243" s="8"/>
      <c r="N4243" s="8"/>
      <c r="O4243" s="8" t="s">
        <v>8</v>
      </c>
      <c r="P4243" s="8" t="s">
        <v>8</v>
      </c>
    </row>
    <row r="4244">
      <c r="E4244" s="31"/>
      <c r="F4244" s="8" t="s">
        <v>8</v>
      </c>
      <c r="G4244" s="8" t="s">
        <v>8</v>
      </c>
      <c r="H4244" s="8" t="s">
        <v>8</v>
      </c>
      <c r="I4244" s="8" t="s">
        <v>8</v>
      </c>
      <c r="J4244" s="8" t="s">
        <v>8</v>
      </c>
      <c r="K4244" s="8" t="s">
        <v>8</v>
      </c>
      <c r="L4244" s="8" t="s">
        <v>8</v>
      </c>
      <c r="M4244" s="8"/>
      <c r="N4244" s="8"/>
      <c r="O4244" s="8" t="s">
        <v>8</v>
      </c>
      <c r="P4244" s="8" t="s">
        <v>8</v>
      </c>
    </row>
    <row r="4245">
      <c r="E4245" s="31"/>
      <c r="F4245" s="8" t="s">
        <v>8</v>
      </c>
      <c r="G4245" s="8" t="s">
        <v>8</v>
      </c>
      <c r="H4245" s="8" t="s">
        <v>8</v>
      </c>
      <c r="I4245" s="8" t="s">
        <v>8</v>
      </c>
      <c r="J4245" s="8" t="s">
        <v>8</v>
      </c>
      <c r="K4245" s="8" t="s">
        <v>8</v>
      </c>
      <c r="L4245" s="8" t="s">
        <v>8</v>
      </c>
      <c r="M4245" s="8"/>
      <c r="N4245" s="8"/>
      <c r="O4245" s="8" t="s">
        <v>8</v>
      </c>
      <c r="P4245" s="8" t="s">
        <v>8</v>
      </c>
    </row>
    <row r="4246">
      <c r="E4246" s="31"/>
      <c r="F4246" s="8" t="s">
        <v>8</v>
      </c>
      <c r="G4246" s="8" t="s">
        <v>8</v>
      </c>
      <c r="H4246" s="8" t="s">
        <v>8</v>
      </c>
      <c r="I4246" s="8" t="s">
        <v>8</v>
      </c>
      <c r="J4246" s="8" t="s">
        <v>8</v>
      </c>
      <c r="K4246" s="8" t="s">
        <v>8</v>
      </c>
      <c r="L4246" s="8" t="s">
        <v>8</v>
      </c>
      <c r="M4246" s="8"/>
      <c r="N4246" s="8"/>
      <c r="O4246" s="8" t="s">
        <v>8</v>
      </c>
      <c r="P4246" s="8" t="s">
        <v>8</v>
      </c>
    </row>
    <row r="4247">
      <c r="E4247" s="31"/>
      <c r="F4247" s="8" t="s">
        <v>8</v>
      </c>
      <c r="G4247" s="8" t="s">
        <v>8</v>
      </c>
      <c r="H4247" s="8" t="s">
        <v>8</v>
      </c>
      <c r="I4247" s="8" t="s">
        <v>8</v>
      </c>
      <c r="J4247" s="8" t="s">
        <v>8</v>
      </c>
      <c r="K4247" s="8" t="s">
        <v>8</v>
      </c>
      <c r="L4247" s="8" t="s">
        <v>8</v>
      </c>
      <c r="M4247" s="8"/>
      <c r="N4247" s="8"/>
      <c r="O4247" s="8" t="s">
        <v>8</v>
      </c>
      <c r="P4247" s="8" t="s">
        <v>8</v>
      </c>
    </row>
    <row r="4248">
      <c r="E4248" s="31"/>
      <c r="F4248" s="8" t="s">
        <v>8</v>
      </c>
      <c r="G4248" s="8" t="s">
        <v>8</v>
      </c>
      <c r="H4248" s="8" t="s">
        <v>8</v>
      </c>
      <c r="I4248" s="8" t="s">
        <v>8</v>
      </c>
      <c r="J4248" s="8" t="s">
        <v>8</v>
      </c>
      <c r="K4248" s="8" t="s">
        <v>8</v>
      </c>
      <c r="L4248" s="8" t="s">
        <v>8</v>
      </c>
      <c r="M4248" s="8"/>
      <c r="N4248" s="8"/>
      <c r="O4248" s="8" t="s">
        <v>8</v>
      </c>
      <c r="P4248" s="8" t="s">
        <v>8</v>
      </c>
    </row>
    <row r="4249">
      <c r="E4249" s="31"/>
      <c r="F4249" s="8" t="s">
        <v>8</v>
      </c>
      <c r="G4249" s="8" t="s">
        <v>8</v>
      </c>
      <c r="H4249" s="8" t="s">
        <v>8</v>
      </c>
      <c r="I4249" s="8" t="s">
        <v>8</v>
      </c>
      <c r="J4249" s="8" t="s">
        <v>8</v>
      </c>
      <c r="K4249" s="8" t="s">
        <v>8</v>
      </c>
      <c r="L4249" s="8" t="s">
        <v>8</v>
      </c>
      <c r="M4249" s="8"/>
      <c r="N4249" s="8"/>
      <c r="O4249" s="8" t="s">
        <v>8</v>
      </c>
      <c r="P4249" s="8" t="s">
        <v>8</v>
      </c>
    </row>
    <row r="4250">
      <c r="E4250" s="31"/>
      <c r="F4250" s="8" t="s">
        <v>8</v>
      </c>
      <c r="G4250" s="8" t="s">
        <v>8</v>
      </c>
      <c r="H4250" s="8" t="s">
        <v>8</v>
      </c>
      <c r="I4250" s="8" t="s">
        <v>8</v>
      </c>
      <c r="J4250" s="8" t="s">
        <v>8</v>
      </c>
      <c r="K4250" s="8" t="s">
        <v>8</v>
      </c>
      <c r="L4250" s="8" t="s">
        <v>8</v>
      </c>
      <c r="M4250" s="8"/>
      <c r="N4250" s="8"/>
      <c r="O4250" s="8" t="s">
        <v>8</v>
      </c>
      <c r="P4250" s="8" t="s">
        <v>8</v>
      </c>
    </row>
    <row r="4251">
      <c r="E4251" s="31"/>
      <c r="F4251" s="8" t="s">
        <v>8</v>
      </c>
      <c r="G4251" s="8" t="s">
        <v>8</v>
      </c>
      <c r="H4251" s="8" t="s">
        <v>8</v>
      </c>
      <c r="I4251" s="8" t="s">
        <v>8</v>
      </c>
      <c r="J4251" s="8" t="s">
        <v>8</v>
      </c>
      <c r="K4251" s="8" t="s">
        <v>8</v>
      </c>
      <c r="L4251" s="8" t="s">
        <v>8</v>
      </c>
      <c r="M4251" s="8"/>
      <c r="N4251" s="8"/>
      <c r="O4251" s="8" t="s">
        <v>8</v>
      </c>
      <c r="P4251" s="8" t="s">
        <v>8</v>
      </c>
    </row>
    <row r="4252">
      <c r="E4252" s="31"/>
      <c r="F4252" s="8" t="s">
        <v>8</v>
      </c>
      <c r="G4252" s="8" t="s">
        <v>8</v>
      </c>
      <c r="H4252" s="8" t="s">
        <v>8</v>
      </c>
      <c r="I4252" s="8" t="s">
        <v>8</v>
      </c>
      <c r="J4252" s="8" t="s">
        <v>8</v>
      </c>
      <c r="K4252" s="8" t="s">
        <v>8</v>
      </c>
      <c r="L4252" s="8" t="s">
        <v>8</v>
      </c>
      <c r="M4252" s="8"/>
      <c r="N4252" s="8"/>
      <c r="O4252" s="8" t="s">
        <v>8</v>
      </c>
      <c r="P4252" s="8" t="s">
        <v>8</v>
      </c>
    </row>
    <row r="4253">
      <c r="E4253" s="31"/>
      <c r="F4253" s="8" t="s">
        <v>8</v>
      </c>
      <c r="G4253" s="8" t="s">
        <v>8</v>
      </c>
      <c r="H4253" s="8" t="s">
        <v>8</v>
      </c>
      <c r="I4253" s="8" t="s">
        <v>8</v>
      </c>
      <c r="J4253" s="8" t="s">
        <v>8</v>
      </c>
      <c r="K4253" s="8" t="s">
        <v>8</v>
      </c>
      <c r="L4253" s="8" t="s">
        <v>8</v>
      </c>
      <c r="M4253" s="8"/>
      <c r="N4253" s="8"/>
      <c r="O4253" s="8" t="s">
        <v>8</v>
      </c>
      <c r="P4253" s="8" t="s">
        <v>8</v>
      </c>
    </row>
    <row r="4254">
      <c r="E4254" s="31"/>
      <c r="F4254" s="8" t="s">
        <v>8</v>
      </c>
      <c r="G4254" s="8" t="s">
        <v>8</v>
      </c>
      <c r="H4254" s="8" t="s">
        <v>8</v>
      </c>
      <c r="I4254" s="8" t="s">
        <v>8</v>
      </c>
      <c r="J4254" s="8" t="s">
        <v>8</v>
      </c>
      <c r="K4254" s="8" t="s">
        <v>8</v>
      </c>
      <c r="L4254" s="8" t="s">
        <v>8</v>
      </c>
      <c r="M4254" s="8"/>
      <c r="N4254" s="8"/>
      <c r="O4254" s="8" t="s">
        <v>8</v>
      </c>
      <c r="P4254" s="8" t="s">
        <v>8</v>
      </c>
    </row>
    <row r="4255">
      <c r="E4255" s="31"/>
      <c r="F4255" s="8" t="s">
        <v>8</v>
      </c>
      <c r="G4255" s="8" t="s">
        <v>8</v>
      </c>
      <c r="H4255" s="8" t="s">
        <v>8</v>
      </c>
      <c r="I4255" s="8" t="s">
        <v>8</v>
      </c>
      <c r="J4255" s="8" t="s">
        <v>8</v>
      </c>
      <c r="K4255" s="8" t="s">
        <v>8</v>
      </c>
      <c r="L4255" s="8" t="s">
        <v>8</v>
      </c>
      <c r="M4255" s="8"/>
      <c r="N4255" s="8"/>
      <c r="O4255" s="8" t="s">
        <v>8</v>
      </c>
      <c r="P4255" s="8" t="s">
        <v>8</v>
      </c>
    </row>
    <row r="4256">
      <c r="E4256" s="31"/>
      <c r="F4256" s="8" t="s">
        <v>8</v>
      </c>
      <c r="G4256" s="8" t="s">
        <v>8</v>
      </c>
      <c r="H4256" s="8" t="s">
        <v>8</v>
      </c>
      <c r="I4256" s="8" t="s">
        <v>8</v>
      </c>
      <c r="J4256" s="8" t="s">
        <v>8</v>
      </c>
      <c r="K4256" s="8" t="s">
        <v>8</v>
      </c>
      <c r="L4256" s="8" t="s">
        <v>8</v>
      </c>
      <c r="M4256" s="8"/>
      <c r="N4256" s="8"/>
      <c r="O4256" s="8" t="s">
        <v>8</v>
      </c>
      <c r="P4256" s="8" t="s">
        <v>8</v>
      </c>
    </row>
    <row r="4257">
      <c r="E4257" s="31"/>
      <c r="F4257" s="8" t="s">
        <v>8</v>
      </c>
      <c r="G4257" s="8" t="s">
        <v>8</v>
      </c>
      <c r="H4257" s="8" t="s">
        <v>8</v>
      </c>
      <c r="I4257" s="8" t="s">
        <v>8</v>
      </c>
      <c r="J4257" s="8" t="s">
        <v>8</v>
      </c>
      <c r="K4257" s="8" t="s">
        <v>8</v>
      </c>
      <c r="L4257" s="8" t="s">
        <v>8</v>
      </c>
      <c r="M4257" s="8"/>
      <c r="N4257" s="8"/>
      <c r="O4257" s="8" t="s">
        <v>8</v>
      </c>
      <c r="P4257" s="8" t="s">
        <v>8</v>
      </c>
    </row>
    <row r="4258">
      <c r="E4258" s="31"/>
      <c r="F4258" s="8" t="s">
        <v>8</v>
      </c>
      <c r="G4258" s="8" t="s">
        <v>8</v>
      </c>
      <c r="H4258" s="8" t="s">
        <v>8</v>
      </c>
      <c r="I4258" s="8" t="s">
        <v>8</v>
      </c>
      <c r="J4258" s="8" t="s">
        <v>8</v>
      </c>
      <c r="K4258" s="8" t="s">
        <v>8</v>
      </c>
      <c r="L4258" s="8" t="s">
        <v>8</v>
      </c>
      <c r="M4258" s="8"/>
      <c r="N4258" s="8"/>
      <c r="O4258" s="8" t="s">
        <v>8</v>
      </c>
      <c r="P4258" s="8" t="s">
        <v>8</v>
      </c>
    </row>
    <row r="4259">
      <c r="E4259" s="31"/>
      <c r="F4259" s="8" t="s">
        <v>8</v>
      </c>
      <c r="G4259" s="8" t="s">
        <v>8</v>
      </c>
      <c r="H4259" s="8" t="s">
        <v>8</v>
      </c>
      <c r="I4259" s="8" t="s">
        <v>8</v>
      </c>
      <c r="J4259" s="8" t="s">
        <v>8</v>
      </c>
      <c r="K4259" s="8" t="s">
        <v>8</v>
      </c>
      <c r="L4259" s="8" t="s">
        <v>8</v>
      </c>
      <c r="M4259" s="8"/>
      <c r="N4259" s="8"/>
      <c r="O4259" s="8" t="s">
        <v>8</v>
      </c>
      <c r="P4259" s="8" t="s">
        <v>8</v>
      </c>
    </row>
    <row r="4260">
      <c r="E4260" s="31"/>
      <c r="F4260" s="8" t="s">
        <v>8</v>
      </c>
      <c r="G4260" s="8" t="s">
        <v>8</v>
      </c>
      <c r="H4260" s="8" t="s">
        <v>8</v>
      </c>
      <c r="I4260" s="8" t="s">
        <v>8</v>
      </c>
      <c r="J4260" s="8" t="s">
        <v>8</v>
      </c>
      <c r="K4260" s="8" t="s">
        <v>8</v>
      </c>
      <c r="L4260" s="8" t="s">
        <v>8</v>
      </c>
      <c r="M4260" s="8"/>
      <c r="N4260" s="8"/>
      <c r="O4260" s="8" t="s">
        <v>8</v>
      </c>
      <c r="P4260" s="8" t="s">
        <v>8</v>
      </c>
    </row>
    <row r="4261">
      <c r="E4261" s="31"/>
      <c r="F4261" s="8" t="s">
        <v>8</v>
      </c>
      <c r="G4261" s="8" t="s">
        <v>8</v>
      </c>
      <c r="H4261" s="8" t="s">
        <v>8</v>
      </c>
      <c r="I4261" s="8" t="s">
        <v>8</v>
      </c>
      <c r="J4261" s="8" t="s">
        <v>8</v>
      </c>
      <c r="K4261" s="8" t="s">
        <v>8</v>
      </c>
      <c r="L4261" s="8" t="s">
        <v>8</v>
      </c>
      <c r="M4261" s="8"/>
      <c r="N4261" s="8"/>
      <c r="O4261" s="8" t="s">
        <v>8</v>
      </c>
      <c r="P4261" s="8" t="s">
        <v>8</v>
      </c>
    </row>
    <row r="4262">
      <c r="E4262" s="31"/>
      <c r="F4262" s="8" t="s">
        <v>8</v>
      </c>
      <c r="G4262" s="8" t="s">
        <v>8</v>
      </c>
      <c r="H4262" s="8" t="s">
        <v>8</v>
      </c>
      <c r="I4262" s="8" t="s">
        <v>8</v>
      </c>
      <c r="J4262" s="8" t="s">
        <v>8</v>
      </c>
      <c r="K4262" s="8" t="s">
        <v>8</v>
      </c>
      <c r="L4262" s="8" t="s">
        <v>8</v>
      </c>
      <c r="M4262" s="8"/>
      <c r="N4262" s="8"/>
      <c r="O4262" s="8" t="s">
        <v>8</v>
      </c>
      <c r="P4262" s="8" t="s">
        <v>8</v>
      </c>
    </row>
    <row r="4263">
      <c r="E4263" s="31"/>
      <c r="F4263" s="8" t="s">
        <v>8</v>
      </c>
      <c r="G4263" s="8" t="s">
        <v>8</v>
      </c>
      <c r="H4263" s="8" t="s">
        <v>8</v>
      </c>
      <c r="I4263" s="8" t="s">
        <v>8</v>
      </c>
      <c r="J4263" s="8" t="s">
        <v>8</v>
      </c>
      <c r="K4263" s="8" t="s">
        <v>8</v>
      </c>
      <c r="L4263" s="8" t="s">
        <v>8</v>
      </c>
      <c r="M4263" s="8"/>
      <c r="N4263" s="8"/>
      <c r="O4263" s="8" t="s">
        <v>8</v>
      </c>
      <c r="P4263" s="8" t="s">
        <v>8</v>
      </c>
    </row>
    <row r="4264">
      <c r="E4264" s="31"/>
      <c r="F4264" s="8" t="s">
        <v>8</v>
      </c>
      <c r="G4264" s="8" t="s">
        <v>8</v>
      </c>
      <c r="H4264" s="8" t="s">
        <v>8</v>
      </c>
      <c r="I4264" s="8" t="s">
        <v>8</v>
      </c>
      <c r="J4264" s="8" t="s">
        <v>8</v>
      </c>
      <c r="K4264" s="8" t="s">
        <v>8</v>
      </c>
      <c r="L4264" s="8" t="s">
        <v>8</v>
      </c>
      <c r="M4264" s="8"/>
      <c r="N4264" s="8"/>
      <c r="O4264" s="8" t="s">
        <v>8</v>
      </c>
      <c r="P4264" s="8" t="s">
        <v>8</v>
      </c>
    </row>
    <row r="4265">
      <c r="E4265" s="31"/>
      <c r="F4265" s="8" t="s">
        <v>8</v>
      </c>
      <c r="G4265" s="8" t="s">
        <v>8</v>
      </c>
      <c r="H4265" s="8" t="s">
        <v>8</v>
      </c>
      <c r="I4265" s="8" t="s">
        <v>8</v>
      </c>
      <c r="J4265" s="8" t="s">
        <v>8</v>
      </c>
      <c r="K4265" s="8" t="s">
        <v>8</v>
      </c>
      <c r="L4265" s="8" t="s">
        <v>8</v>
      </c>
      <c r="M4265" s="8"/>
      <c r="N4265" s="8"/>
      <c r="O4265" s="8" t="s">
        <v>8</v>
      </c>
      <c r="P4265" s="8" t="s">
        <v>8</v>
      </c>
    </row>
    <row r="4266">
      <c r="E4266" s="31"/>
      <c r="F4266" s="8" t="s">
        <v>8</v>
      </c>
      <c r="G4266" s="8" t="s">
        <v>8</v>
      </c>
      <c r="H4266" s="8" t="s">
        <v>8</v>
      </c>
      <c r="I4266" s="8" t="s">
        <v>8</v>
      </c>
      <c r="J4266" s="8" t="s">
        <v>8</v>
      </c>
      <c r="K4266" s="8" t="s">
        <v>8</v>
      </c>
      <c r="L4266" s="8" t="s">
        <v>8</v>
      </c>
      <c r="M4266" s="8"/>
      <c r="N4266" s="8"/>
      <c r="O4266" s="8" t="s">
        <v>8</v>
      </c>
      <c r="P4266" s="8" t="s">
        <v>8</v>
      </c>
    </row>
    <row r="4267">
      <c r="E4267" s="31"/>
      <c r="F4267" s="8" t="s">
        <v>8</v>
      </c>
      <c r="G4267" s="8" t="s">
        <v>8</v>
      </c>
      <c r="H4267" s="8" t="s">
        <v>8</v>
      </c>
      <c r="I4267" s="8" t="s">
        <v>8</v>
      </c>
      <c r="J4267" s="8" t="s">
        <v>8</v>
      </c>
      <c r="K4267" s="8" t="s">
        <v>8</v>
      </c>
      <c r="L4267" s="8" t="s">
        <v>8</v>
      </c>
      <c r="M4267" s="8"/>
      <c r="N4267" s="8"/>
      <c r="O4267" s="8" t="s">
        <v>8</v>
      </c>
      <c r="P4267" s="8" t="s">
        <v>8</v>
      </c>
    </row>
    <row r="4268">
      <c r="E4268" s="31"/>
      <c r="F4268" s="8" t="s">
        <v>8</v>
      </c>
      <c r="G4268" s="8" t="s">
        <v>8</v>
      </c>
      <c r="H4268" s="8" t="s">
        <v>8</v>
      </c>
      <c r="I4268" s="8" t="s">
        <v>8</v>
      </c>
      <c r="J4268" s="8" t="s">
        <v>8</v>
      </c>
      <c r="K4268" s="8" t="s">
        <v>8</v>
      </c>
      <c r="L4268" s="8" t="s">
        <v>8</v>
      </c>
      <c r="M4268" s="8"/>
      <c r="N4268" s="8"/>
      <c r="O4268" s="8" t="s">
        <v>8</v>
      </c>
      <c r="P4268" s="8" t="s">
        <v>8</v>
      </c>
    </row>
    <row r="4269">
      <c r="E4269" s="31"/>
      <c r="F4269" s="8" t="s">
        <v>8</v>
      </c>
      <c r="G4269" s="8" t="s">
        <v>8</v>
      </c>
      <c r="H4269" s="8" t="s">
        <v>8</v>
      </c>
      <c r="I4269" s="8" t="s">
        <v>8</v>
      </c>
      <c r="J4269" s="8" t="s">
        <v>8</v>
      </c>
      <c r="K4269" s="8" t="s">
        <v>8</v>
      </c>
      <c r="L4269" s="8" t="s">
        <v>8</v>
      </c>
      <c r="M4269" s="8"/>
      <c r="N4269" s="8"/>
      <c r="O4269" s="8" t="s">
        <v>8</v>
      </c>
      <c r="P4269" s="8" t="s">
        <v>8</v>
      </c>
    </row>
    <row r="4270">
      <c r="E4270" s="31"/>
      <c r="F4270" s="8" t="s">
        <v>8</v>
      </c>
      <c r="G4270" s="8" t="s">
        <v>8</v>
      </c>
      <c r="H4270" s="8" t="s">
        <v>8</v>
      </c>
      <c r="I4270" s="8" t="s">
        <v>8</v>
      </c>
      <c r="J4270" s="8" t="s">
        <v>8</v>
      </c>
      <c r="K4270" s="8" t="s">
        <v>8</v>
      </c>
      <c r="L4270" s="8" t="s">
        <v>8</v>
      </c>
      <c r="M4270" s="8"/>
      <c r="N4270" s="8"/>
      <c r="O4270" s="8" t="s">
        <v>8</v>
      </c>
      <c r="P4270" s="8" t="s">
        <v>8</v>
      </c>
    </row>
    <row r="4271">
      <c r="E4271" s="31"/>
      <c r="F4271" s="8" t="s">
        <v>8</v>
      </c>
      <c r="G4271" s="8" t="s">
        <v>8</v>
      </c>
      <c r="H4271" s="8" t="s">
        <v>8</v>
      </c>
      <c r="I4271" s="8" t="s">
        <v>8</v>
      </c>
      <c r="J4271" s="8" t="s">
        <v>8</v>
      </c>
      <c r="K4271" s="8" t="s">
        <v>8</v>
      </c>
      <c r="L4271" s="8" t="s">
        <v>8</v>
      </c>
      <c r="M4271" s="8"/>
      <c r="N4271" s="8"/>
      <c r="O4271" s="8" t="s">
        <v>8</v>
      </c>
      <c r="P4271" s="8" t="s">
        <v>8</v>
      </c>
    </row>
    <row r="4272">
      <c r="E4272" s="31"/>
      <c r="F4272" s="8" t="s">
        <v>8</v>
      </c>
      <c r="G4272" s="8" t="s">
        <v>8</v>
      </c>
      <c r="H4272" s="8" t="s">
        <v>8</v>
      </c>
      <c r="I4272" s="8" t="s">
        <v>8</v>
      </c>
      <c r="J4272" s="8" t="s">
        <v>8</v>
      </c>
      <c r="K4272" s="8" t="s">
        <v>8</v>
      </c>
      <c r="L4272" s="8" t="s">
        <v>8</v>
      </c>
      <c r="M4272" s="8"/>
      <c r="N4272" s="8"/>
      <c r="O4272" s="8" t="s">
        <v>8</v>
      </c>
      <c r="P4272" s="8" t="s">
        <v>8</v>
      </c>
    </row>
    <row r="4273">
      <c r="E4273" s="31"/>
      <c r="F4273" s="8" t="s">
        <v>8</v>
      </c>
      <c r="G4273" s="8" t="s">
        <v>8</v>
      </c>
      <c r="H4273" s="8" t="s">
        <v>8</v>
      </c>
      <c r="I4273" s="8" t="s">
        <v>8</v>
      </c>
      <c r="J4273" s="8" t="s">
        <v>8</v>
      </c>
      <c r="K4273" s="8" t="s">
        <v>8</v>
      </c>
      <c r="L4273" s="8" t="s">
        <v>8</v>
      </c>
      <c r="M4273" s="8"/>
      <c r="N4273" s="8"/>
      <c r="O4273" s="8" t="s">
        <v>8</v>
      </c>
      <c r="P4273" s="8" t="s">
        <v>8</v>
      </c>
    </row>
    <row r="4274">
      <c r="E4274" s="31"/>
      <c r="F4274" s="8" t="s">
        <v>8</v>
      </c>
      <c r="G4274" s="8" t="s">
        <v>8</v>
      </c>
      <c r="H4274" s="8" t="s">
        <v>8</v>
      </c>
      <c r="I4274" s="8" t="s">
        <v>8</v>
      </c>
      <c r="J4274" s="8" t="s">
        <v>8</v>
      </c>
      <c r="K4274" s="8" t="s">
        <v>8</v>
      </c>
      <c r="L4274" s="8" t="s">
        <v>8</v>
      </c>
      <c r="M4274" s="8"/>
      <c r="N4274" s="8"/>
      <c r="O4274" s="8" t="s">
        <v>8</v>
      </c>
      <c r="P4274" s="8" t="s">
        <v>8</v>
      </c>
    </row>
    <row r="4275">
      <c r="E4275" s="31"/>
      <c r="F4275" s="8" t="s">
        <v>8</v>
      </c>
      <c r="G4275" s="8" t="s">
        <v>8</v>
      </c>
      <c r="H4275" s="8" t="s">
        <v>8</v>
      </c>
      <c r="I4275" s="8" t="s">
        <v>8</v>
      </c>
      <c r="J4275" s="8" t="s">
        <v>8</v>
      </c>
      <c r="K4275" s="8" t="s">
        <v>8</v>
      </c>
      <c r="L4275" s="8" t="s">
        <v>8</v>
      </c>
      <c r="M4275" s="8"/>
      <c r="N4275" s="8"/>
      <c r="O4275" s="8" t="s">
        <v>8</v>
      </c>
      <c r="P4275" s="8" t="s">
        <v>8</v>
      </c>
    </row>
    <row r="4276">
      <c r="E4276" s="31"/>
      <c r="F4276" s="8" t="s">
        <v>8</v>
      </c>
      <c r="G4276" s="8" t="s">
        <v>8</v>
      </c>
      <c r="H4276" s="8" t="s">
        <v>8</v>
      </c>
      <c r="I4276" s="8" t="s">
        <v>8</v>
      </c>
      <c r="J4276" s="8" t="s">
        <v>8</v>
      </c>
      <c r="K4276" s="8" t="s">
        <v>8</v>
      </c>
      <c r="L4276" s="8" t="s">
        <v>8</v>
      </c>
      <c r="M4276" s="8"/>
      <c r="N4276" s="8"/>
      <c r="O4276" s="8" t="s">
        <v>8</v>
      </c>
      <c r="P4276" s="8" t="s">
        <v>8</v>
      </c>
    </row>
    <row r="4277">
      <c r="E4277" s="31"/>
      <c r="F4277" s="8" t="s">
        <v>8</v>
      </c>
      <c r="G4277" s="8" t="s">
        <v>8</v>
      </c>
      <c r="H4277" s="8" t="s">
        <v>8</v>
      </c>
      <c r="I4277" s="8" t="s">
        <v>8</v>
      </c>
      <c r="J4277" s="8" t="s">
        <v>8</v>
      </c>
      <c r="K4277" s="8" t="s">
        <v>8</v>
      </c>
      <c r="L4277" s="8" t="s">
        <v>8</v>
      </c>
      <c r="M4277" s="8"/>
      <c r="N4277" s="8"/>
      <c r="O4277" s="8" t="s">
        <v>8</v>
      </c>
      <c r="P4277" s="8" t="s">
        <v>8</v>
      </c>
    </row>
    <row r="4278">
      <c r="E4278" s="31"/>
      <c r="F4278" s="8" t="s">
        <v>8</v>
      </c>
      <c r="G4278" s="8" t="s">
        <v>8</v>
      </c>
      <c r="H4278" s="8" t="s">
        <v>8</v>
      </c>
      <c r="I4278" s="8" t="s">
        <v>8</v>
      </c>
      <c r="J4278" s="8" t="s">
        <v>8</v>
      </c>
      <c r="K4278" s="8" t="s">
        <v>8</v>
      </c>
      <c r="L4278" s="8" t="s">
        <v>8</v>
      </c>
      <c r="M4278" s="8"/>
      <c r="N4278" s="8"/>
      <c r="O4278" s="8" t="s">
        <v>8</v>
      </c>
      <c r="P4278" s="8" t="s">
        <v>8</v>
      </c>
    </row>
    <row r="4279">
      <c r="E4279" s="31"/>
      <c r="F4279" s="8" t="s">
        <v>8</v>
      </c>
      <c r="G4279" s="8" t="s">
        <v>8</v>
      </c>
      <c r="H4279" s="8" t="s">
        <v>8</v>
      </c>
      <c r="I4279" s="8" t="s">
        <v>8</v>
      </c>
      <c r="J4279" s="8" t="s">
        <v>8</v>
      </c>
      <c r="K4279" s="8" t="s">
        <v>8</v>
      </c>
      <c r="L4279" s="8" t="s">
        <v>8</v>
      </c>
      <c r="M4279" s="8"/>
      <c r="N4279" s="8"/>
      <c r="O4279" s="8" t="s">
        <v>8</v>
      </c>
      <c r="P4279" s="8" t="s">
        <v>8</v>
      </c>
    </row>
    <row r="4280">
      <c r="E4280" s="31"/>
      <c r="F4280" s="8" t="s">
        <v>8</v>
      </c>
      <c r="G4280" s="8" t="s">
        <v>8</v>
      </c>
      <c r="H4280" s="8" t="s">
        <v>8</v>
      </c>
      <c r="I4280" s="8" t="s">
        <v>8</v>
      </c>
      <c r="J4280" s="8" t="s">
        <v>8</v>
      </c>
      <c r="K4280" s="8" t="s">
        <v>8</v>
      </c>
      <c r="L4280" s="8" t="s">
        <v>8</v>
      </c>
      <c r="M4280" s="8"/>
      <c r="N4280" s="8"/>
      <c r="O4280" s="8" t="s">
        <v>8</v>
      </c>
      <c r="P4280" s="8" t="s">
        <v>8</v>
      </c>
    </row>
    <row r="4281">
      <c r="E4281" s="31"/>
      <c r="F4281" s="8" t="s">
        <v>8</v>
      </c>
      <c r="G4281" s="8" t="s">
        <v>8</v>
      </c>
      <c r="H4281" s="8" t="s">
        <v>8</v>
      </c>
      <c r="I4281" s="8" t="s">
        <v>8</v>
      </c>
      <c r="J4281" s="8" t="s">
        <v>8</v>
      </c>
      <c r="K4281" s="8" t="s">
        <v>8</v>
      </c>
      <c r="L4281" s="8" t="s">
        <v>8</v>
      </c>
      <c r="M4281" s="8"/>
      <c r="N4281" s="8"/>
      <c r="O4281" s="8" t="s">
        <v>8</v>
      </c>
      <c r="P4281" s="8" t="s">
        <v>8</v>
      </c>
    </row>
    <row r="4282">
      <c r="E4282" s="31"/>
      <c r="F4282" s="8" t="s">
        <v>8</v>
      </c>
      <c r="G4282" s="8" t="s">
        <v>8</v>
      </c>
      <c r="H4282" s="8" t="s">
        <v>8</v>
      </c>
      <c r="I4282" s="8" t="s">
        <v>8</v>
      </c>
      <c r="J4282" s="8" t="s">
        <v>8</v>
      </c>
      <c r="K4282" s="8" t="s">
        <v>8</v>
      </c>
      <c r="L4282" s="8" t="s">
        <v>8</v>
      </c>
      <c r="M4282" s="8"/>
      <c r="N4282" s="8"/>
      <c r="O4282" s="8" t="s">
        <v>8</v>
      </c>
      <c r="P4282" s="8" t="s">
        <v>8</v>
      </c>
    </row>
    <row r="4283">
      <c r="E4283" s="31"/>
      <c r="F4283" s="8" t="s">
        <v>8</v>
      </c>
      <c r="G4283" s="8" t="s">
        <v>8</v>
      </c>
      <c r="H4283" s="8" t="s">
        <v>8</v>
      </c>
      <c r="I4283" s="8" t="s">
        <v>8</v>
      </c>
      <c r="J4283" s="8" t="s">
        <v>8</v>
      </c>
      <c r="K4283" s="8" t="s">
        <v>8</v>
      </c>
      <c r="L4283" s="8" t="s">
        <v>8</v>
      </c>
      <c r="M4283" s="8"/>
      <c r="N4283" s="8"/>
      <c r="O4283" s="8" t="s">
        <v>8</v>
      </c>
      <c r="P4283" s="8" t="s">
        <v>8</v>
      </c>
    </row>
    <row r="4284">
      <c r="E4284" s="31"/>
      <c r="F4284" s="8" t="s">
        <v>8</v>
      </c>
      <c r="G4284" s="8" t="s">
        <v>8</v>
      </c>
      <c r="H4284" s="8" t="s">
        <v>8</v>
      </c>
      <c r="I4284" s="8" t="s">
        <v>8</v>
      </c>
      <c r="J4284" s="8" t="s">
        <v>8</v>
      </c>
      <c r="K4284" s="8" t="s">
        <v>8</v>
      </c>
      <c r="L4284" s="8" t="s">
        <v>8</v>
      </c>
      <c r="M4284" s="8"/>
      <c r="N4284" s="8"/>
      <c r="O4284" s="8" t="s">
        <v>8</v>
      </c>
      <c r="P4284" s="8" t="s">
        <v>8</v>
      </c>
    </row>
    <row r="4285">
      <c r="E4285" s="31"/>
      <c r="F4285" s="8" t="s">
        <v>8</v>
      </c>
      <c r="G4285" s="8" t="s">
        <v>8</v>
      </c>
      <c r="H4285" s="8" t="s">
        <v>8</v>
      </c>
      <c r="I4285" s="8" t="s">
        <v>8</v>
      </c>
      <c r="J4285" s="8" t="s">
        <v>8</v>
      </c>
      <c r="K4285" s="8" t="s">
        <v>8</v>
      </c>
      <c r="L4285" s="8" t="s">
        <v>8</v>
      </c>
      <c r="M4285" s="8"/>
      <c r="N4285" s="8"/>
      <c r="O4285" s="8" t="s">
        <v>8</v>
      </c>
      <c r="P4285" s="8" t="s">
        <v>8</v>
      </c>
    </row>
    <row r="4286">
      <c r="E4286" s="31"/>
      <c r="F4286" s="8" t="s">
        <v>8</v>
      </c>
      <c r="G4286" s="8" t="s">
        <v>8</v>
      </c>
      <c r="H4286" s="8" t="s">
        <v>8</v>
      </c>
      <c r="I4286" s="8" t="s">
        <v>8</v>
      </c>
      <c r="J4286" s="8" t="s">
        <v>8</v>
      </c>
      <c r="K4286" s="8" t="s">
        <v>8</v>
      </c>
      <c r="L4286" s="8" t="s">
        <v>8</v>
      </c>
      <c r="M4286" s="8"/>
      <c r="N4286" s="8"/>
      <c r="O4286" s="8" t="s">
        <v>8</v>
      </c>
      <c r="P4286" s="8" t="s">
        <v>8</v>
      </c>
    </row>
    <row r="4287">
      <c r="E4287" s="31"/>
      <c r="F4287" s="8" t="s">
        <v>8</v>
      </c>
      <c r="G4287" s="8" t="s">
        <v>8</v>
      </c>
      <c r="H4287" s="8" t="s">
        <v>8</v>
      </c>
      <c r="I4287" s="8" t="s">
        <v>8</v>
      </c>
      <c r="J4287" s="8" t="s">
        <v>8</v>
      </c>
      <c r="K4287" s="8" t="s">
        <v>8</v>
      </c>
      <c r="L4287" s="8" t="s">
        <v>8</v>
      </c>
      <c r="M4287" s="8"/>
      <c r="N4287" s="8"/>
      <c r="O4287" s="8" t="s">
        <v>8</v>
      </c>
      <c r="P4287" s="8" t="s">
        <v>8</v>
      </c>
    </row>
    <row r="4288">
      <c r="E4288" s="31"/>
      <c r="F4288" s="8" t="s">
        <v>8</v>
      </c>
      <c r="G4288" s="8" t="s">
        <v>8</v>
      </c>
      <c r="H4288" s="8" t="s">
        <v>8</v>
      </c>
      <c r="I4288" s="8" t="s">
        <v>8</v>
      </c>
      <c r="J4288" s="8" t="s">
        <v>8</v>
      </c>
      <c r="K4288" s="8" t="s">
        <v>8</v>
      </c>
      <c r="L4288" s="8" t="s">
        <v>8</v>
      </c>
      <c r="M4288" s="8"/>
      <c r="N4288" s="8"/>
      <c r="O4288" s="8" t="s">
        <v>8</v>
      </c>
      <c r="P4288" s="8" t="s">
        <v>8</v>
      </c>
    </row>
    <row r="4289">
      <c r="E4289" s="31"/>
      <c r="F4289" s="8" t="s">
        <v>8</v>
      </c>
      <c r="G4289" s="8" t="s">
        <v>8</v>
      </c>
      <c r="H4289" s="8" t="s">
        <v>8</v>
      </c>
      <c r="I4289" s="8" t="s">
        <v>8</v>
      </c>
      <c r="J4289" s="8" t="s">
        <v>8</v>
      </c>
      <c r="K4289" s="8" t="s">
        <v>8</v>
      </c>
      <c r="L4289" s="8" t="s">
        <v>8</v>
      </c>
      <c r="M4289" s="8"/>
      <c r="N4289" s="8"/>
      <c r="O4289" s="8" t="s">
        <v>8</v>
      </c>
      <c r="P4289" s="8" t="s">
        <v>8</v>
      </c>
    </row>
    <row r="4290">
      <c r="E4290" s="31"/>
      <c r="F4290" s="8" t="s">
        <v>8</v>
      </c>
      <c r="G4290" s="8" t="s">
        <v>8</v>
      </c>
      <c r="H4290" s="8" t="s">
        <v>8</v>
      </c>
      <c r="I4290" s="8" t="s">
        <v>8</v>
      </c>
      <c r="J4290" s="8" t="s">
        <v>8</v>
      </c>
      <c r="K4290" s="8" t="s">
        <v>8</v>
      </c>
      <c r="L4290" s="8" t="s">
        <v>8</v>
      </c>
      <c r="M4290" s="8"/>
      <c r="N4290" s="8"/>
      <c r="O4290" s="8" t="s">
        <v>8</v>
      </c>
      <c r="P4290" s="8" t="s">
        <v>8</v>
      </c>
    </row>
    <row r="4291">
      <c r="E4291" s="31"/>
      <c r="F4291" s="8" t="s">
        <v>8</v>
      </c>
      <c r="G4291" s="8" t="s">
        <v>8</v>
      </c>
      <c r="H4291" s="8" t="s">
        <v>8</v>
      </c>
      <c r="I4291" s="8" t="s">
        <v>8</v>
      </c>
      <c r="J4291" s="8" t="s">
        <v>8</v>
      </c>
      <c r="K4291" s="8" t="s">
        <v>8</v>
      </c>
      <c r="L4291" s="8" t="s">
        <v>8</v>
      </c>
      <c r="M4291" s="8"/>
      <c r="N4291" s="8"/>
      <c r="O4291" s="8" t="s">
        <v>8</v>
      </c>
      <c r="P4291" s="8" t="s">
        <v>8</v>
      </c>
    </row>
    <row r="4292">
      <c r="E4292" s="31"/>
      <c r="F4292" s="8" t="s">
        <v>8</v>
      </c>
      <c r="G4292" s="8" t="s">
        <v>8</v>
      </c>
      <c r="H4292" s="8" t="s">
        <v>8</v>
      </c>
      <c r="I4292" s="8" t="s">
        <v>8</v>
      </c>
      <c r="J4292" s="8" t="s">
        <v>8</v>
      </c>
      <c r="K4292" s="8" t="s">
        <v>8</v>
      </c>
      <c r="L4292" s="8" t="s">
        <v>8</v>
      </c>
      <c r="M4292" s="8"/>
      <c r="N4292" s="8"/>
      <c r="O4292" s="8" t="s">
        <v>8</v>
      </c>
      <c r="P4292" s="8" t="s">
        <v>8</v>
      </c>
    </row>
    <row r="4293">
      <c r="E4293" s="31"/>
      <c r="F4293" s="8" t="s">
        <v>8</v>
      </c>
      <c r="G4293" s="8" t="s">
        <v>8</v>
      </c>
      <c r="H4293" s="8" t="s">
        <v>8</v>
      </c>
      <c r="I4293" s="8" t="s">
        <v>8</v>
      </c>
      <c r="J4293" s="8" t="s">
        <v>8</v>
      </c>
      <c r="K4293" s="8" t="s">
        <v>8</v>
      </c>
      <c r="L4293" s="8" t="s">
        <v>8</v>
      </c>
      <c r="M4293" s="8"/>
      <c r="N4293" s="8"/>
      <c r="O4293" s="8" t="s">
        <v>8</v>
      </c>
      <c r="P4293" s="8" t="s">
        <v>8</v>
      </c>
    </row>
    <row r="4294">
      <c r="E4294" s="31"/>
      <c r="F4294" s="8" t="s">
        <v>8</v>
      </c>
      <c r="G4294" s="8" t="s">
        <v>8</v>
      </c>
      <c r="H4294" s="8" t="s">
        <v>8</v>
      </c>
      <c r="I4294" s="8" t="s">
        <v>8</v>
      </c>
      <c r="J4294" s="8" t="s">
        <v>8</v>
      </c>
      <c r="K4294" s="8" t="s">
        <v>8</v>
      </c>
      <c r="L4294" s="8" t="s">
        <v>8</v>
      </c>
      <c r="M4294" s="8"/>
      <c r="N4294" s="8"/>
      <c r="O4294" s="8" t="s">
        <v>8</v>
      </c>
      <c r="P4294" s="8" t="s">
        <v>8</v>
      </c>
    </row>
    <row r="4295">
      <c r="E4295" s="31"/>
      <c r="F4295" s="8" t="s">
        <v>8</v>
      </c>
      <c r="G4295" s="8" t="s">
        <v>8</v>
      </c>
      <c r="H4295" s="8" t="s">
        <v>8</v>
      </c>
      <c r="I4295" s="8" t="s">
        <v>8</v>
      </c>
      <c r="J4295" s="8" t="s">
        <v>8</v>
      </c>
      <c r="K4295" s="8" t="s">
        <v>8</v>
      </c>
      <c r="L4295" s="8" t="s">
        <v>8</v>
      </c>
      <c r="M4295" s="8"/>
      <c r="N4295" s="8"/>
      <c r="O4295" s="8" t="s">
        <v>8</v>
      </c>
      <c r="P4295" s="8" t="s">
        <v>8</v>
      </c>
    </row>
    <row r="4296">
      <c r="E4296" s="31"/>
      <c r="F4296" s="8" t="s">
        <v>8</v>
      </c>
      <c r="G4296" s="8" t="s">
        <v>8</v>
      </c>
      <c r="H4296" s="8" t="s">
        <v>8</v>
      </c>
      <c r="I4296" s="8" t="s">
        <v>8</v>
      </c>
      <c r="J4296" s="8" t="s">
        <v>8</v>
      </c>
      <c r="K4296" s="8" t="s">
        <v>8</v>
      </c>
      <c r="L4296" s="8" t="s">
        <v>8</v>
      </c>
      <c r="M4296" s="8"/>
      <c r="N4296" s="8"/>
      <c r="O4296" s="8" t="s">
        <v>8</v>
      </c>
      <c r="P4296" s="8" t="s">
        <v>8</v>
      </c>
    </row>
    <row r="4297">
      <c r="E4297" s="31"/>
      <c r="F4297" s="8" t="s">
        <v>8</v>
      </c>
      <c r="G4297" s="8" t="s">
        <v>8</v>
      </c>
      <c r="H4297" s="8" t="s">
        <v>8</v>
      </c>
      <c r="I4297" s="8" t="s">
        <v>8</v>
      </c>
      <c r="J4297" s="8" t="s">
        <v>8</v>
      </c>
      <c r="K4297" s="8" t="s">
        <v>8</v>
      </c>
      <c r="L4297" s="8" t="s">
        <v>8</v>
      </c>
      <c r="M4297" s="8"/>
      <c r="N4297" s="8"/>
      <c r="O4297" s="8" t="s">
        <v>8</v>
      </c>
      <c r="P4297" s="8" t="s">
        <v>8</v>
      </c>
    </row>
    <row r="4298">
      <c r="E4298" s="31"/>
      <c r="F4298" s="8" t="s">
        <v>8</v>
      </c>
      <c r="G4298" s="8" t="s">
        <v>8</v>
      </c>
      <c r="H4298" s="8" t="s">
        <v>8</v>
      </c>
      <c r="I4298" s="8" t="s">
        <v>8</v>
      </c>
      <c r="J4298" s="8" t="s">
        <v>8</v>
      </c>
      <c r="K4298" s="8" t="s">
        <v>8</v>
      </c>
      <c r="L4298" s="8" t="s">
        <v>8</v>
      </c>
      <c r="M4298" s="8"/>
      <c r="N4298" s="8"/>
      <c r="O4298" s="8" t="s">
        <v>8</v>
      </c>
      <c r="P4298" s="8" t="s">
        <v>8</v>
      </c>
    </row>
    <row r="4299">
      <c r="E4299" s="31"/>
      <c r="F4299" s="8" t="s">
        <v>8</v>
      </c>
      <c r="G4299" s="8" t="s">
        <v>8</v>
      </c>
      <c r="H4299" s="8" t="s">
        <v>8</v>
      </c>
      <c r="I4299" s="8" t="s">
        <v>8</v>
      </c>
      <c r="J4299" s="8" t="s">
        <v>8</v>
      </c>
      <c r="K4299" s="8" t="s">
        <v>8</v>
      </c>
      <c r="L4299" s="8" t="s">
        <v>8</v>
      </c>
      <c r="M4299" s="8"/>
      <c r="N4299" s="8"/>
      <c r="O4299" s="8" t="s">
        <v>8</v>
      </c>
      <c r="P4299" s="8" t="s">
        <v>8</v>
      </c>
    </row>
    <row r="4300">
      <c r="E4300" s="31"/>
      <c r="F4300" s="8" t="s">
        <v>8</v>
      </c>
      <c r="G4300" s="8" t="s">
        <v>8</v>
      </c>
      <c r="H4300" s="8" t="s">
        <v>8</v>
      </c>
      <c r="I4300" s="8" t="s">
        <v>8</v>
      </c>
      <c r="J4300" s="8" t="s">
        <v>8</v>
      </c>
      <c r="K4300" s="8" t="s">
        <v>8</v>
      </c>
      <c r="L4300" s="8" t="s">
        <v>8</v>
      </c>
      <c r="M4300" s="8"/>
      <c r="N4300" s="8"/>
      <c r="O4300" s="8" t="s">
        <v>8</v>
      </c>
      <c r="P4300" s="8" t="s">
        <v>8</v>
      </c>
    </row>
    <row r="4301">
      <c r="E4301" s="31"/>
      <c r="F4301" s="8" t="s">
        <v>8</v>
      </c>
      <c r="G4301" s="8" t="s">
        <v>8</v>
      </c>
      <c r="H4301" s="8" t="s">
        <v>8</v>
      </c>
      <c r="I4301" s="8" t="s">
        <v>8</v>
      </c>
      <c r="J4301" s="8" t="s">
        <v>8</v>
      </c>
      <c r="K4301" s="8" t="s">
        <v>8</v>
      </c>
      <c r="L4301" s="8" t="s">
        <v>8</v>
      </c>
      <c r="M4301" s="8"/>
      <c r="N4301" s="8"/>
      <c r="O4301" s="8" t="s">
        <v>8</v>
      </c>
      <c r="P4301" s="8" t="s">
        <v>8</v>
      </c>
    </row>
    <row r="4302">
      <c r="E4302" s="31"/>
      <c r="F4302" s="8" t="s">
        <v>8</v>
      </c>
      <c r="G4302" s="8" t="s">
        <v>8</v>
      </c>
      <c r="H4302" s="8" t="s">
        <v>8</v>
      </c>
      <c r="I4302" s="8" t="s">
        <v>8</v>
      </c>
      <c r="J4302" s="8" t="s">
        <v>8</v>
      </c>
      <c r="K4302" s="8" t="s">
        <v>8</v>
      </c>
      <c r="L4302" s="8" t="s">
        <v>8</v>
      </c>
      <c r="M4302" s="8"/>
      <c r="N4302" s="8"/>
      <c r="O4302" s="8" t="s">
        <v>8</v>
      </c>
      <c r="P4302" s="8" t="s">
        <v>8</v>
      </c>
    </row>
    <row r="4303">
      <c r="E4303" s="31"/>
      <c r="F4303" s="8" t="s">
        <v>8</v>
      </c>
      <c r="G4303" s="8" t="s">
        <v>8</v>
      </c>
      <c r="H4303" s="8" t="s">
        <v>8</v>
      </c>
      <c r="I4303" s="8" t="s">
        <v>8</v>
      </c>
      <c r="J4303" s="8" t="s">
        <v>8</v>
      </c>
      <c r="K4303" s="8" t="s">
        <v>8</v>
      </c>
      <c r="L4303" s="8" t="s">
        <v>8</v>
      </c>
      <c r="M4303" s="8"/>
      <c r="N4303" s="8"/>
      <c r="O4303" s="8" t="s">
        <v>8</v>
      </c>
      <c r="P4303" s="8" t="s">
        <v>8</v>
      </c>
    </row>
    <row r="4304">
      <c r="E4304" s="31"/>
      <c r="F4304" s="8" t="s">
        <v>8</v>
      </c>
      <c r="G4304" s="8" t="s">
        <v>8</v>
      </c>
      <c r="H4304" s="8" t="s">
        <v>8</v>
      </c>
      <c r="I4304" s="8" t="s">
        <v>8</v>
      </c>
      <c r="J4304" s="8" t="s">
        <v>8</v>
      </c>
      <c r="K4304" s="8" t="s">
        <v>8</v>
      </c>
      <c r="L4304" s="8" t="s">
        <v>8</v>
      </c>
      <c r="M4304" s="8"/>
      <c r="N4304" s="8"/>
      <c r="O4304" s="8" t="s">
        <v>8</v>
      </c>
      <c r="P4304" s="8" t="s">
        <v>8</v>
      </c>
    </row>
    <row r="4305">
      <c r="E4305" s="31"/>
      <c r="F4305" s="8" t="s">
        <v>8</v>
      </c>
      <c r="G4305" s="8" t="s">
        <v>8</v>
      </c>
      <c r="H4305" s="8" t="s">
        <v>8</v>
      </c>
      <c r="I4305" s="8" t="s">
        <v>8</v>
      </c>
      <c r="J4305" s="8" t="s">
        <v>8</v>
      </c>
      <c r="K4305" s="8" t="s">
        <v>8</v>
      </c>
      <c r="L4305" s="8" t="s">
        <v>8</v>
      </c>
      <c r="M4305" s="8"/>
      <c r="N4305" s="8"/>
      <c r="O4305" s="8" t="s">
        <v>8</v>
      </c>
      <c r="P4305" s="8" t="s">
        <v>8</v>
      </c>
    </row>
    <row r="4306">
      <c r="E4306" s="31"/>
      <c r="F4306" s="8" t="s">
        <v>8</v>
      </c>
      <c r="G4306" s="8" t="s">
        <v>8</v>
      </c>
      <c r="H4306" s="8" t="s">
        <v>8</v>
      </c>
      <c r="I4306" s="8" t="s">
        <v>8</v>
      </c>
      <c r="J4306" s="8" t="s">
        <v>8</v>
      </c>
      <c r="K4306" s="8" t="s">
        <v>8</v>
      </c>
      <c r="L4306" s="8" t="s">
        <v>8</v>
      </c>
      <c r="M4306" s="8"/>
      <c r="N4306" s="8"/>
      <c r="O4306" s="8" t="s">
        <v>8</v>
      </c>
      <c r="P4306" s="8" t="s">
        <v>8</v>
      </c>
    </row>
    <row r="4307">
      <c r="E4307" s="31"/>
      <c r="F4307" s="8" t="s">
        <v>8</v>
      </c>
      <c r="G4307" s="8" t="s">
        <v>8</v>
      </c>
      <c r="H4307" s="8" t="s">
        <v>8</v>
      </c>
      <c r="I4307" s="8" t="s">
        <v>8</v>
      </c>
      <c r="J4307" s="8" t="s">
        <v>8</v>
      </c>
      <c r="K4307" s="8" t="s">
        <v>8</v>
      </c>
      <c r="L4307" s="8" t="s">
        <v>8</v>
      </c>
      <c r="M4307" s="8"/>
      <c r="N4307" s="8"/>
      <c r="O4307" s="8" t="s">
        <v>8</v>
      </c>
      <c r="P4307" s="8" t="s">
        <v>8</v>
      </c>
    </row>
    <row r="4308">
      <c r="E4308" s="31"/>
      <c r="F4308" s="8" t="s">
        <v>8</v>
      </c>
      <c r="G4308" s="8" t="s">
        <v>8</v>
      </c>
      <c r="H4308" s="8" t="s">
        <v>8</v>
      </c>
      <c r="I4308" s="8" t="s">
        <v>8</v>
      </c>
      <c r="J4308" s="8" t="s">
        <v>8</v>
      </c>
      <c r="K4308" s="8" t="s">
        <v>8</v>
      </c>
      <c r="L4308" s="8" t="s">
        <v>8</v>
      </c>
      <c r="M4308" s="8"/>
      <c r="N4308" s="8"/>
      <c r="O4308" s="8" t="s">
        <v>8</v>
      </c>
      <c r="P4308" s="8" t="s">
        <v>8</v>
      </c>
    </row>
    <row r="4309">
      <c r="E4309" s="31"/>
      <c r="F4309" s="8" t="s">
        <v>8</v>
      </c>
      <c r="G4309" s="8" t="s">
        <v>8</v>
      </c>
      <c r="H4309" s="8" t="s">
        <v>8</v>
      </c>
      <c r="I4309" s="8" t="s">
        <v>8</v>
      </c>
      <c r="J4309" s="8" t="s">
        <v>8</v>
      </c>
      <c r="K4309" s="8" t="s">
        <v>8</v>
      </c>
      <c r="L4309" s="8" t="s">
        <v>8</v>
      </c>
      <c r="M4309" s="8"/>
      <c r="N4309" s="8"/>
      <c r="O4309" s="8" t="s">
        <v>8</v>
      </c>
      <c r="P4309" s="8" t="s">
        <v>8</v>
      </c>
    </row>
    <row r="4310">
      <c r="E4310" s="31"/>
      <c r="F4310" s="8" t="s">
        <v>8</v>
      </c>
      <c r="G4310" s="8" t="s">
        <v>8</v>
      </c>
      <c r="H4310" s="8" t="s">
        <v>8</v>
      </c>
      <c r="I4310" s="8" t="s">
        <v>8</v>
      </c>
      <c r="J4310" s="8" t="s">
        <v>8</v>
      </c>
      <c r="K4310" s="8" t="s">
        <v>8</v>
      </c>
      <c r="L4310" s="8" t="s">
        <v>8</v>
      </c>
      <c r="M4310" s="8"/>
      <c r="N4310" s="8"/>
      <c r="O4310" s="8" t="s">
        <v>8</v>
      </c>
      <c r="P4310" s="8" t="s">
        <v>8</v>
      </c>
    </row>
    <row r="4311">
      <c r="E4311" s="31"/>
      <c r="F4311" s="8" t="s">
        <v>8</v>
      </c>
      <c r="G4311" s="8" t="s">
        <v>8</v>
      </c>
      <c r="H4311" s="8" t="s">
        <v>8</v>
      </c>
      <c r="I4311" s="8" t="s">
        <v>8</v>
      </c>
      <c r="J4311" s="8" t="s">
        <v>8</v>
      </c>
      <c r="K4311" s="8" t="s">
        <v>8</v>
      </c>
      <c r="L4311" s="8" t="s">
        <v>8</v>
      </c>
      <c r="M4311" s="8"/>
      <c r="N4311" s="8"/>
      <c r="O4311" s="8" t="s">
        <v>8</v>
      </c>
      <c r="P4311" s="8" t="s">
        <v>8</v>
      </c>
    </row>
    <row r="4312">
      <c r="E4312" s="31"/>
      <c r="F4312" s="8" t="s">
        <v>8</v>
      </c>
      <c r="G4312" s="8" t="s">
        <v>8</v>
      </c>
      <c r="H4312" s="8" t="s">
        <v>8</v>
      </c>
      <c r="I4312" s="8" t="s">
        <v>8</v>
      </c>
      <c r="J4312" s="8" t="s">
        <v>8</v>
      </c>
      <c r="K4312" s="8" t="s">
        <v>8</v>
      </c>
      <c r="L4312" s="8" t="s">
        <v>8</v>
      </c>
      <c r="M4312" s="8"/>
      <c r="N4312" s="8"/>
      <c r="O4312" s="8" t="s">
        <v>8</v>
      </c>
      <c r="P4312" s="8" t="s">
        <v>8</v>
      </c>
    </row>
    <row r="4313">
      <c r="E4313" s="31"/>
      <c r="F4313" s="8" t="s">
        <v>8</v>
      </c>
      <c r="G4313" s="8" t="s">
        <v>8</v>
      </c>
      <c r="H4313" s="8" t="s">
        <v>8</v>
      </c>
      <c r="I4313" s="8" t="s">
        <v>8</v>
      </c>
      <c r="J4313" s="8" t="s">
        <v>8</v>
      </c>
      <c r="K4313" s="8" t="s">
        <v>8</v>
      </c>
      <c r="L4313" s="8" t="s">
        <v>8</v>
      </c>
      <c r="M4313" s="8"/>
      <c r="N4313" s="8"/>
      <c r="O4313" s="8" t="s">
        <v>8</v>
      </c>
      <c r="P4313" s="8" t="s">
        <v>8</v>
      </c>
    </row>
    <row r="4314">
      <c r="E4314" s="31"/>
      <c r="F4314" s="8" t="s">
        <v>8</v>
      </c>
      <c r="G4314" s="8" t="s">
        <v>8</v>
      </c>
      <c r="H4314" s="8" t="s">
        <v>8</v>
      </c>
      <c r="I4314" s="8" t="s">
        <v>8</v>
      </c>
      <c r="J4314" s="8" t="s">
        <v>8</v>
      </c>
      <c r="K4314" s="8" t="s">
        <v>8</v>
      </c>
      <c r="L4314" s="8" t="s">
        <v>8</v>
      </c>
      <c r="M4314" s="8"/>
      <c r="N4314" s="8"/>
      <c r="O4314" s="8" t="s">
        <v>8</v>
      </c>
      <c r="P4314" s="8" t="s">
        <v>8</v>
      </c>
    </row>
    <row r="4315">
      <c r="E4315" s="31"/>
      <c r="F4315" s="8" t="s">
        <v>8</v>
      </c>
      <c r="G4315" s="8" t="s">
        <v>8</v>
      </c>
      <c r="H4315" s="8" t="s">
        <v>8</v>
      </c>
      <c r="I4315" s="8" t="s">
        <v>8</v>
      </c>
      <c r="J4315" s="8" t="s">
        <v>8</v>
      </c>
      <c r="K4315" s="8" t="s">
        <v>8</v>
      </c>
      <c r="L4315" s="8" t="s">
        <v>8</v>
      </c>
      <c r="M4315" s="8"/>
      <c r="N4315" s="8"/>
      <c r="O4315" s="8" t="s">
        <v>8</v>
      </c>
      <c r="P4315" s="8" t="s">
        <v>8</v>
      </c>
    </row>
    <row r="4316">
      <c r="E4316" s="31"/>
      <c r="F4316" s="8" t="s">
        <v>8</v>
      </c>
      <c r="G4316" s="8" t="s">
        <v>8</v>
      </c>
      <c r="H4316" s="8" t="s">
        <v>8</v>
      </c>
      <c r="I4316" s="8" t="s">
        <v>8</v>
      </c>
      <c r="J4316" s="8" t="s">
        <v>8</v>
      </c>
      <c r="K4316" s="8" t="s">
        <v>8</v>
      </c>
      <c r="L4316" s="8" t="s">
        <v>8</v>
      </c>
      <c r="M4316" s="8"/>
      <c r="N4316" s="8"/>
      <c r="O4316" s="8" t="s">
        <v>8</v>
      </c>
      <c r="P4316" s="8" t="s">
        <v>8</v>
      </c>
    </row>
    <row r="4317">
      <c r="E4317" s="31"/>
      <c r="F4317" s="8" t="s">
        <v>8</v>
      </c>
      <c r="G4317" s="8" t="s">
        <v>8</v>
      </c>
      <c r="H4317" s="8" t="s">
        <v>8</v>
      </c>
      <c r="I4317" s="8" t="s">
        <v>8</v>
      </c>
      <c r="J4317" s="8" t="s">
        <v>8</v>
      </c>
      <c r="K4317" s="8" t="s">
        <v>8</v>
      </c>
      <c r="L4317" s="8" t="s">
        <v>8</v>
      </c>
      <c r="M4317" s="8"/>
      <c r="N4317" s="8"/>
      <c r="O4317" s="8" t="s">
        <v>8</v>
      </c>
      <c r="P4317" s="8" t="s">
        <v>8</v>
      </c>
    </row>
    <row r="4318">
      <c r="E4318" s="31"/>
      <c r="F4318" s="8" t="s">
        <v>8</v>
      </c>
      <c r="G4318" s="8" t="s">
        <v>8</v>
      </c>
      <c r="H4318" s="8" t="s">
        <v>8</v>
      </c>
      <c r="I4318" s="8" t="s">
        <v>8</v>
      </c>
      <c r="J4318" s="8" t="s">
        <v>8</v>
      </c>
      <c r="K4318" s="8" t="s">
        <v>8</v>
      </c>
      <c r="L4318" s="8" t="s">
        <v>8</v>
      </c>
      <c r="M4318" s="8"/>
      <c r="N4318" s="8"/>
      <c r="O4318" s="8" t="s">
        <v>8</v>
      </c>
      <c r="P4318" s="8" t="s">
        <v>8</v>
      </c>
    </row>
    <row r="4319">
      <c r="E4319" s="31"/>
      <c r="F4319" s="8" t="s">
        <v>8</v>
      </c>
      <c r="G4319" s="8" t="s">
        <v>8</v>
      </c>
      <c r="H4319" s="8" t="s">
        <v>8</v>
      </c>
      <c r="I4319" s="8" t="s">
        <v>8</v>
      </c>
      <c r="J4319" s="8" t="s">
        <v>8</v>
      </c>
      <c r="K4319" s="8" t="s">
        <v>8</v>
      </c>
      <c r="L4319" s="8" t="s">
        <v>8</v>
      </c>
      <c r="M4319" s="8"/>
      <c r="N4319" s="8"/>
      <c r="O4319" s="8" t="s">
        <v>8</v>
      </c>
      <c r="P4319" s="8" t="s">
        <v>8</v>
      </c>
    </row>
    <row r="4320">
      <c r="E4320" s="31"/>
      <c r="F4320" s="8" t="s">
        <v>8</v>
      </c>
      <c r="G4320" s="8" t="s">
        <v>8</v>
      </c>
      <c r="H4320" s="8" t="s">
        <v>8</v>
      </c>
      <c r="I4320" s="8" t="s">
        <v>8</v>
      </c>
      <c r="J4320" s="8" t="s">
        <v>8</v>
      </c>
      <c r="K4320" s="8" t="s">
        <v>8</v>
      </c>
      <c r="L4320" s="8" t="s">
        <v>8</v>
      </c>
      <c r="M4320" s="8"/>
      <c r="N4320" s="8"/>
      <c r="O4320" s="8" t="s">
        <v>8</v>
      </c>
      <c r="P4320" s="8" t="s">
        <v>8</v>
      </c>
    </row>
    <row r="4321">
      <c r="E4321" s="31"/>
      <c r="F4321" s="8" t="s">
        <v>8</v>
      </c>
      <c r="G4321" s="8" t="s">
        <v>8</v>
      </c>
      <c r="H4321" s="8" t="s">
        <v>8</v>
      </c>
      <c r="I4321" s="8" t="s">
        <v>8</v>
      </c>
      <c r="J4321" s="8" t="s">
        <v>8</v>
      </c>
      <c r="K4321" s="8" t="s">
        <v>8</v>
      </c>
      <c r="L4321" s="8" t="s">
        <v>8</v>
      </c>
      <c r="M4321" s="8"/>
      <c r="N4321" s="8"/>
      <c r="O4321" s="8" t="s">
        <v>8</v>
      </c>
      <c r="P4321" s="8" t="s">
        <v>8</v>
      </c>
    </row>
    <row r="4322">
      <c r="E4322" s="31"/>
      <c r="F4322" s="8" t="s">
        <v>8</v>
      </c>
      <c r="G4322" s="8" t="s">
        <v>8</v>
      </c>
      <c r="H4322" s="8" t="s">
        <v>8</v>
      </c>
      <c r="I4322" s="8" t="s">
        <v>8</v>
      </c>
      <c r="J4322" s="8" t="s">
        <v>8</v>
      </c>
      <c r="K4322" s="8" t="s">
        <v>8</v>
      </c>
      <c r="L4322" s="8" t="s">
        <v>8</v>
      </c>
      <c r="M4322" s="8"/>
      <c r="N4322" s="8"/>
      <c r="O4322" s="8" t="s">
        <v>8</v>
      </c>
      <c r="P4322" s="8" t="s">
        <v>8</v>
      </c>
    </row>
    <row r="4323">
      <c r="E4323" s="31"/>
      <c r="F4323" s="8" t="s">
        <v>8</v>
      </c>
      <c r="G4323" s="8" t="s">
        <v>8</v>
      </c>
      <c r="H4323" s="8" t="s">
        <v>8</v>
      </c>
      <c r="I4323" s="8" t="s">
        <v>8</v>
      </c>
      <c r="J4323" s="8" t="s">
        <v>8</v>
      </c>
      <c r="K4323" s="8" t="s">
        <v>8</v>
      </c>
      <c r="L4323" s="8" t="s">
        <v>8</v>
      </c>
      <c r="M4323" s="8"/>
      <c r="N4323" s="8"/>
      <c r="O4323" s="8" t="s">
        <v>8</v>
      </c>
      <c r="P4323" s="8" t="s">
        <v>8</v>
      </c>
    </row>
    <row r="4324">
      <c r="E4324" s="31"/>
      <c r="F4324" s="8" t="s">
        <v>8</v>
      </c>
      <c r="G4324" s="8" t="s">
        <v>8</v>
      </c>
      <c r="H4324" s="8" t="s">
        <v>8</v>
      </c>
      <c r="I4324" s="8" t="s">
        <v>8</v>
      </c>
      <c r="J4324" s="8" t="s">
        <v>8</v>
      </c>
      <c r="K4324" s="8" t="s">
        <v>8</v>
      </c>
      <c r="L4324" s="8" t="s">
        <v>8</v>
      </c>
      <c r="M4324" s="8"/>
      <c r="N4324" s="8"/>
      <c r="O4324" s="8" t="s">
        <v>8</v>
      </c>
      <c r="P4324" s="8" t="s">
        <v>8</v>
      </c>
    </row>
    <row r="4325">
      <c r="E4325" s="31"/>
      <c r="F4325" s="8" t="s">
        <v>8</v>
      </c>
      <c r="G4325" s="8" t="s">
        <v>8</v>
      </c>
      <c r="H4325" s="8" t="s">
        <v>8</v>
      </c>
      <c r="I4325" s="8" t="s">
        <v>8</v>
      </c>
      <c r="J4325" s="8" t="s">
        <v>8</v>
      </c>
      <c r="K4325" s="8" t="s">
        <v>8</v>
      </c>
      <c r="L4325" s="8" t="s">
        <v>8</v>
      </c>
      <c r="M4325" s="8"/>
      <c r="N4325" s="8"/>
      <c r="O4325" s="8" t="s">
        <v>8</v>
      </c>
      <c r="P4325" s="8" t="s">
        <v>8</v>
      </c>
    </row>
    <row r="4326">
      <c r="E4326" s="31"/>
      <c r="F4326" s="8" t="s">
        <v>8</v>
      </c>
      <c r="G4326" s="8" t="s">
        <v>8</v>
      </c>
      <c r="H4326" s="8" t="s">
        <v>8</v>
      </c>
      <c r="I4326" s="8" t="s">
        <v>8</v>
      </c>
      <c r="J4326" s="8" t="s">
        <v>8</v>
      </c>
      <c r="K4326" s="8" t="s">
        <v>8</v>
      </c>
      <c r="L4326" s="8" t="s">
        <v>8</v>
      </c>
      <c r="M4326" s="8"/>
      <c r="N4326" s="8"/>
      <c r="O4326" s="8" t="s">
        <v>8</v>
      </c>
      <c r="P4326" s="8" t="s">
        <v>8</v>
      </c>
    </row>
    <row r="4327">
      <c r="E4327" s="31"/>
      <c r="F4327" s="8" t="s">
        <v>8</v>
      </c>
      <c r="G4327" s="8" t="s">
        <v>8</v>
      </c>
      <c r="H4327" s="8" t="s">
        <v>8</v>
      </c>
      <c r="I4327" s="8" t="s">
        <v>8</v>
      </c>
      <c r="J4327" s="8" t="s">
        <v>8</v>
      </c>
      <c r="K4327" s="8" t="s">
        <v>8</v>
      </c>
      <c r="L4327" s="8" t="s">
        <v>8</v>
      </c>
      <c r="M4327" s="8"/>
      <c r="N4327" s="8"/>
      <c r="O4327" s="8" t="s">
        <v>8</v>
      </c>
      <c r="P4327" s="8" t="s">
        <v>8</v>
      </c>
    </row>
    <row r="4328">
      <c r="E4328" s="31"/>
      <c r="F4328" s="8" t="s">
        <v>8</v>
      </c>
      <c r="G4328" s="8" t="s">
        <v>8</v>
      </c>
      <c r="H4328" s="8" t="s">
        <v>8</v>
      </c>
      <c r="I4328" s="8" t="s">
        <v>8</v>
      </c>
      <c r="J4328" s="8" t="s">
        <v>8</v>
      </c>
      <c r="K4328" s="8" t="s">
        <v>8</v>
      </c>
      <c r="L4328" s="8" t="s">
        <v>8</v>
      </c>
      <c r="M4328" s="8"/>
      <c r="N4328" s="8"/>
      <c r="O4328" s="8" t="s">
        <v>8</v>
      </c>
      <c r="P4328" s="8" t="s">
        <v>8</v>
      </c>
    </row>
    <row r="4329">
      <c r="E4329" s="31"/>
      <c r="F4329" s="8" t="s">
        <v>8</v>
      </c>
      <c r="G4329" s="8" t="s">
        <v>8</v>
      </c>
      <c r="H4329" s="8" t="s">
        <v>8</v>
      </c>
      <c r="I4329" s="8" t="s">
        <v>8</v>
      </c>
      <c r="J4329" s="8" t="s">
        <v>8</v>
      </c>
      <c r="K4329" s="8" t="s">
        <v>8</v>
      </c>
      <c r="L4329" s="8" t="s">
        <v>8</v>
      </c>
      <c r="M4329" s="8"/>
      <c r="N4329" s="8"/>
      <c r="O4329" s="8" t="s">
        <v>8</v>
      </c>
      <c r="P4329" s="8" t="s">
        <v>8</v>
      </c>
    </row>
    <row r="4330">
      <c r="E4330" s="31"/>
      <c r="F4330" s="8" t="s">
        <v>8</v>
      </c>
      <c r="G4330" s="8" t="s">
        <v>8</v>
      </c>
      <c r="H4330" s="8" t="s">
        <v>8</v>
      </c>
      <c r="I4330" s="8" t="s">
        <v>8</v>
      </c>
      <c r="J4330" s="8" t="s">
        <v>8</v>
      </c>
      <c r="K4330" s="8" t="s">
        <v>8</v>
      </c>
      <c r="L4330" s="8" t="s">
        <v>8</v>
      </c>
      <c r="M4330" s="8"/>
      <c r="N4330" s="8"/>
      <c r="O4330" s="8" t="s">
        <v>8</v>
      </c>
      <c r="P4330" s="8" t="s">
        <v>8</v>
      </c>
    </row>
    <row r="4331">
      <c r="E4331" s="31"/>
      <c r="F4331" s="8" t="s">
        <v>8</v>
      </c>
      <c r="G4331" s="8" t="s">
        <v>8</v>
      </c>
      <c r="H4331" s="8" t="s">
        <v>8</v>
      </c>
      <c r="I4331" s="8" t="s">
        <v>8</v>
      </c>
      <c r="J4331" s="8" t="s">
        <v>8</v>
      </c>
      <c r="K4331" s="8" t="s">
        <v>8</v>
      </c>
      <c r="L4331" s="8" t="s">
        <v>8</v>
      </c>
      <c r="M4331" s="8"/>
      <c r="N4331" s="8"/>
      <c r="O4331" s="8" t="s">
        <v>8</v>
      </c>
      <c r="P4331" s="8" t="s">
        <v>8</v>
      </c>
    </row>
    <row r="4332">
      <c r="E4332" s="31"/>
      <c r="F4332" s="8" t="s">
        <v>8</v>
      </c>
      <c r="G4332" s="8" t="s">
        <v>8</v>
      </c>
      <c r="H4332" s="8" t="s">
        <v>8</v>
      </c>
      <c r="I4332" s="8" t="s">
        <v>8</v>
      </c>
      <c r="J4332" s="8" t="s">
        <v>8</v>
      </c>
      <c r="K4332" s="8" t="s">
        <v>8</v>
      </c>
      <c r="L4332" s="8" t="s">
        <v>8</v>
      </c>
      <c r="M4332" s="8"/>
      <c r="N4332" s="8"/>
      <c r="O4332" s="8" t="s">
        <v>8</v>
      </c>
      <c r="P4332" s="8" t="s">
        <v>8</v>
      </c>
    </row>
    <row r="4333">
      <c r="E4333" s="31"/>
      <c r="F4333" s="8" t="s">
        <v>8</v>
      </c>
      <c r="G4333" s="8" t="s">
        <v>8</v>
      </c>
      <c r="H4333" s="8" t="s">
        <v>8</v>
      </c>
      <c r="I4333" s="8" t="s">
        <v>8</v>
      </c>
      <c r="J4333" s="8" t="s">
        <v>8</v>
      </c>
      <c r="K4333" s="8" t="s">
        <v>8</v>
      </c>
      <c r="L4333" s="8" t="s">
        <v>8</v>
      </c>
      <c r="M4333" s="8"/>
      <c r="N4333" s="8"/>
      <c r="O4333" s="8" t="s">
        <v>8</v>
      </c>
      <c r="P4333" s="8" t="s">
        <v>8</v>
      </c>
    </row>
    <row r="4334">
      <c r="E4334" s="31"/>
      <c r="F4334" s="8" t="s">
        <v>8</v>
      </c>
      <c r="G4334" s="8" t="s">
        <v>8</v>
      </c>
      <c r="H4334" s="8" t="s">
        <v>8</v>
      </c>
      <c r="I4334" s="8" t="s">
        <v>8</v>
      </c>
      <c r="J4334" s="8" t="s">
        <v>8</v>
      </c>
      <c r="K4334" s="8" t="s">
        <v>8</v>
      </c>
      <c r="L4334" s="8" t="s">
        <v>8</v>
      </c>
      <c r="M4334" s="8"/>
      <c r="N4334" s="8"/>
      <c r="O4334" s="8" t="s">
        <v>8</v>
      </c>
      <c r="P4334" s="8" t="s">
        <v>8</v>
      </c>
    </row>
    <row r="4335">
      <c r="E4335" s="31"/>
      <c r="F4335" s="8" t="s">
        <v>8</v>
      </c>
      <c r="G4335" s="8" t="s">
        <v>8</v>
      </c>
      <c r="H4335" s="8" t="s">
        <v>8</v>
      </c>
      <c r="I4335" s="8" t="s">
        <v>8</v>
      </c>
      <c r="J4335" s="8" t="s">
        <v>8</v>
      </c>
      <c r="K4335" s="8" t="s">
        <v>8</v>
      </c>
      <c r="L4335" s="8" t="s">
        <v>8</v>
      </c>
      <c r="M4335" s="8"/>
      <c r="N4335" s="8"/>
      <c r="O4335" s="8" t="s">
        <v>8</v>
      </c>
      <c r="P4335" s="8" t="s">
        <v>8</v>
      </c>
    </row>
    <row r="4336">
      <c r="E4336" s="31"/>
      <c r="F4336" s="8" t="s">
        <v>8</v>
      </c>
      <c r="G4336" s="8" t="s">
        <v>8</v>
      </c>
      <c r="H4336" s="8" t="s">
        <v>8</v>
      </c>
      <c r="I4336" s="8" t="s">
        <v>8</v>
      </c>
      <c r="J4336" s="8" t="s">
        <v>8</v>
      </c>
      <c r="K4336" s="8" t="s">
        <v>8</v>
      </c>
      <c r="L4336" s="8" t="s">
        <v>8</v>
      </c>
      <c r="M4336" s="8"/>
      <c r="N4336" s="8"/>
      <c r="O4336" s="8" t="s">
        <v>8</v>
      </c>
      <c r="P4336" s="8" t="s">
        <v>8</v>
      </c>
    </row>
    <row r="4337">
      <c r="E4337" s="31"/>
      <c r="F4337" s="8" t="s">
        <v>8</v>
      </c>
      <c r="G4337" s="8" t="s">
        <v>8</v>
      </c>
      <c r="H4337" s="8" t="s">
        <v>8</v>
      </c>
      <c r="I4337" s="8" t="s">
        <v>8</v>
      </c>
      <c r="J4337" s="8" t="s">
        <v>8</v>
      </c>
      <c r="K4337" s="8" t="s">
        <v>8</v>
      </c>
      <c r="L4337" s="8" t="s">
        <v>8</v>
      </c>
      <c r="M4337" s="8"/>
      <c r="N4337" s="8"/>
      <c r="O4337" s="8" t="s">
        <v>8</v>
      </c>
      <c r="P4337" s="8" t="s">
        <v>8</v>
      </c>
    </row>
    <row r="4338">
      <c r="E4338" s="31"/>
      <c r="F4338" s="8" t="s">
        <v>8</v>
      </c>
      <c r="G4338" s="8" t="s">
        <v>8</v>
      </c>
      <c r="H4338" s="8" t="s">
        <v>8</v>
      </c>
      <c r="I4338" s="8" t="s">
        <v>8</v>
      </c>
      <c r="J4338" s="8" t="s">
        <v>8</v>
      </c>
      <c r="K4338" s="8" t="s">
        <v>8</v>
      </c>
      <c r="L4338" s="8" t="s">
        <v>8</v>
      </c>
      <c r="M4338" s="8"/>
      <c r="N4338" s="8"/>
      <c r="O4338" s="8" t="s">
        <v>8</v>
      </c>
      <c r="P4338" s="8" t="s">
        <v>8</v>
      </c>
    </row>
    <row r="4339">
      <c r="E4339" s="31"/>
      <c r="F4339" s="8" t="s">
        <v>8</v>
      </c>
      <c r="G4339" s="8" t="s">
        <v>8</v>
      </c>
      <c r="H4339" s="8" t="s">
        <v>8</v>
      </c>
      <c r="I4339" s="8" t="s">
        <v>8</v>
      </c>
      <c r="J4339" s="8" t="s">
        <v>8</v>
      </c>
      <c r="K4339" s="8" t="s">
        <v>8</v>
      </c>
      <c r="L4339" s="8" t="s">
        <v>8</v>
      </c>
      <c r="M4339" s="8"/>
      <c r="N4339" s="8"/>
      <c r="O4339" s="8" t="s">
        <v>8</v>
      </c>
      <c r="P4339" s="8" t="s">
        <v>8</v>
      </c>
    </row>
    <row r="4340">
      <c r="E4340" s="31"/>
      <c r="F4340" s="8" t="s">
        <v>8</v>
      </c>
      <c r="G4340" s="8" t="s">
        <v>8</v>
      </c>
      <c r="H4340" s="8" t="s">
        <v>8</v>
      </c>
      <c r="I4340" s="8" t="s">
        <v>8</v>
      </c>
      <c r="J4340" s="8" t="s">
        <v>8</v>
      </c>
      <c r="K4340" s="8" t="s">
        <v>8</v>
      </c>
      <c r="L4340" s="8" t="s">
        <v>8</v>
      </c>
      <c r="M4340" s="8"/>
      <c r="N4340" s="8"/>
      <c r="O4340" s="8" t="s">
        <v>8</v>
      </c>
      <c r="P4340" s="8" t="s">
        <v>8</v>
      </c>
    </row>
    <row r="4341">
      <c r="E4341" s="31"/>
      <c r="F4341" s="8" t="s">
        <v>8</v>
      </c>
      <c r="G4341" s="8" t="s">
        <v>8</v>
      </c>
      <c r="H4341" s="8" t="s">
        <v>8</v>
      </c>
      <c r="I4341" s="8" t="s">
        <v>8</v>
      </c>
      <c r="J4341" s="8" t="s">
        <v>8</v>
      </c>
      <c r="K4341" s="8" t="s">
        <v>8</v>
      </c>
      <c r="L4341" s="8" t="s">
        <v>8</v>
      </c>
      <c r="M4341" s="8"/>
      <c r="N4341" s="8"/>
      <c r="O4341" s="8" t="s">
        <v>8</v>
      </c>
      <c r="P4341" s="8" t="s">
        <v>8</v>
      </c>
    </row>
    <row r="4342">
      <c r="E4342" s="31"/>
      <c r="F4342" s="8" t="s">
        <v>8</v>
      </c>
      <c r="G4342" s="8" t="s">
        <v>8</v>
      </c>
      <c r="H4342" s="8" t="s">
        <v>8</v>
      </c>
      <c r="I4342" s="8" t="s">
        <v>8</v>
      </c>
      <c r="J4342" s="8" t="s">
        <v>8</v>
      </c>
      <c r="K4342" s="8" t="s">
        <v>8</v>
      </c>
      <c r="L4342" s="8" t="s">
        <v>8</v>
      </c>
      <c r="M4342" s="8"/>
      <c r="N4342" s="8"/>
      <c r="O4342" s="8" t="s">
        <v>8</v>
      </c>
      <c r="P4342" s="8" t="s">
        <v>8</v>
      </c>
    </row>
    <row r="4343">
      <c r="E4343" s="31"/>
      <c r="F4343" s="8" t="s">
        <v>8</v>
      </c>
      <c r="G4343" s="8" t="s">
        <v>8</v>
      </c>
      <c r="H4343" s="8" t="s">
        <v>8</v>
      </c>
      <c r="I4343" s="8" t="s">
        <v>8</v>
      </c>
      <c r="J4343" s="8" t="s">
        <v>8</v>
      </c>
      <c r="K4343" s="8" t="s">
        <v>8</v>
      </c>
      <c r="L4343" s="8" t="s">
        <v>8</v>
      </c>
      <c r="M4343" s="8"/>
      <c r="N4343" s="8"/>
      <c r="O4343" s="8" t="s">
        <v>8</v>
      </c>
      <c r="P4343" s="8" t="s">
        <v>8</v>
      </c>
    </row>
    <row r="4344">
      <c r="E4344" s="31"/>
      <c r="F4344" s="8" t="s">
        <v>8</v>
      </c>
      <c r="G4344" s="8" t="s">
        <v>8</v>
      </c>
      <c r="H4344" s="8" t="s">
        <v>8</v>
      </c>
      <c r="I4344" s="8" t="s">
        <v>8</v>
      </c>
      <c r="J4344" s="8" t="s">
        <v>8</v>
      </c>
      <c r="K4344" s="8" t="s">
        <v>8</v>
      </c>
      <c r="L4344" s="8" t="s">
        <v>8</v>
      </c>
      <c r="M4344" s="8"/>
      <c r="N4344" s="8"/>
      <c r="O4344" s="8" t="s">
        <v>8</v>
      </c>
      <c r="P4344" s="8" t="s">
        <v>8</v>
      </c>
    </row>
    <row r="4345">
      <c r="E4345" s="31"/>
      <c r="F4345" s="8" t="s">
        <v>8</v>
      </c>
      <c r="G4345" s="8" t="s">
        <v>8</v>
      </c>
      <c r="H4345" s="8" t="s">
        <v>8</v>
      </c>
      <c r="I4345" s="8" t="s">
        <v>8</v>
      </c>
      <c r="J4345" s="8" t="s">
        <v>8</v>
      </c>
      <c r="K4345" s="8" t="s">
        <v>8</v>
      </c>
      <c r="L4345" s="8" t="s">
        <v>8</v>
      </c>
      <c r="M4345" s="8"/>
      <c r="N4345" s="8"/>
      <c r="O4345" s="8" t="s">
        <v>8</v>
      </c>
      <c r="P4345" s="8" t="s">
        <v>8</v>
      </c>
    </row>
    <row r="4346">
      <c r="E4346" s="31"/>
      <c r="F4346" s="8" t="s">
        <v>8</v>
      </c>
      <c r="G4346" s="8" t="s">
        <v>8</v>
      </c>
      <c r="H4346" s="8" t="s">
        <v>8</v>
      </c>
      <c r="I4346" s="8" t="s">
        <v>8</v>
      </c>
      <c r="J4346" s="8" t="s">
        <v>8</v>
      </c>
      <c r="K4346" s="8" t="s">
        <v>8</v>
      </c>
      <c r="L4346" s="8" t="s">
        <v>8</v>
      </c>
      <c r="M4346" s="8"/>
      <c r="N4346" s="8"/>
      <c r="O4346" s="8" t="s">
        <v>8</v>
      </c>
      <c r="P4346" s="8" t="s">
        <v>8</v>
      </c>
    </row>
    <row r="4347">
      <c r="E4347" s="31"/>
      <c r="F4347" s="8" t="s">
        <v>8</v>
      </c>
      <c r="G4347" s="8" t="s">
        <v>8</v>
      </c>
      <c r="H4347" s="8" t="s">
        <v>8</v>
      </c>
      <c r="I4347" s="8" t="s">
        <v>8</v>
      </c>
      <c r="J4347" s="8" t="s">
        <v>8</v>
      </c>
      <c r="K4347" s="8" t="s">
        <v>8</v>
      </c>
      <c r="L4347" s="8" t="s">
        <v>8</v>
      </c>
      <c r="M4347" s="8"/>
      <c r="N4347" s="8"/>
      <c r="O4347" s="8" t="s">
        <v>8</v>
      </c>
      <c r="P4347" s="8" t="s">
        <v>8</v>
      </c>
    </row>
    <row r="4348">
      <c r="E4348" s="31"/>
      <c r="F4348" s="8" t="s">
        <v>8</v>
      </c>
      <c r="G4348" s="8" t="s">
        <v>8</v>
      </c>
      <c r="H4348" s="8" t="s">
        <v>8</v>
      </c>
      <c r="I4348" s="8" t="s">
        <v>8</v>
      </c>
      <c r="J4348" s="8" t="s">
        <v>8</v>
      </c>
      <c r="K4348" s="8" t="s">
        <v>8</v>
      </c>
      <c r="L4348" s="8" t="s">
        <v>8</v>
      </c>
      <c r="M4348" s="8"/>
      <c r="N4348" s="8"/>
      <c r="O4348" s="8" t="s">
        <v>8</v>
      </c>
      <c r="P4348" s="8" t="s">
        <v>8</v>
      </c>
    </row>
    <row r="4349">
      <c r="E4349" s="31"/>
      <c r="F4349" s="8" t="s">
        <v>8</v>
      </c>
      <c r="G4349" s="8" t="s">
        <v>8</v>
      </c>
      <c r="H4349" s="8" t="s">
        <v>8</v>
      </c>
      <c r="I4349" s="8" t="s">
        <v>8</v>
      </c>
      <c r="J4349" s="8" t="s">
        <v>8</v>
      </c>
      <c r="K4349" s="8" t="s">
        <v>8</v>
      </c>
      <c r="L4349" s="8" t="s">
        <v>8</v>
      </c>
      <c r="M4349" s="8"/>
      <c r="N4349" s="8"/>
      <c r="O4349" s="8" t="s">
        <v>8</v>
      </c>
      <c r="P4349" s="8" t="s">
        <v>8</v>
      </c>
    </row>
    <row r="4350">
      <c r="E4350" s="31"/>
      <c r="F4350" s="8" t="s">
        <v>8</v>
      </c>
      <c r="G4350" s="8" t="s">
        <v>8</v>
      </c>
      <c r="H4350" s="8" t="s">
        <v>8</v>
      </c>
      <c r="I4350" s="8" t="s">
        <v>8</v>
      </c>
      <c r="J4350" s="8" t="s">
        <v>8</v>
      </c>
      <c r="K4350" s="8" t="s">
        <v>8</v>
      </c>
      <c r="L4350" s="8" t="s">
        <v>8</v>
      </c>
      <c r="M4350" s="8"/>
      <c r="N4350" s="8"/>
      <c r="O4350" s="8" t="s">
        <v>8</v>
      </c>
      <c r="P4350" s="8" t="s">
        <v>8</v>
      </c>
    </row>
    <row r="4351">
      <c r="E4351" s="31"/>
      <c r="F4351" s="8" t="s">
        <v>8</v>
      </c>
      <c r="G4351" s="8" t="s">
        <v>8</v>
      </c>
      <c r="H4351" s="8" t="s">
        <v>8</v>
      </c>
      <c r="I4351" s="8" t="s">
        <v>8</v>
      </c>
      <c r="J4351" s="8" t="s">
        <v>8</v>
      </c>
      <c r="K4351" s="8" t="s">
        <v>8</v>
      </c>
      <c r="L4351" s="8" t="s">
        <v>8</v>
      </c>
      <c r="M4351" s="8"/>
      <c r="N4351" s="8"/>
      <c r="O4351" s="8" t="s">
        <v>8</v>
      </c>
      <c r="P4351" s="8" t="s">
        <v>8</v>
      </c>
    </row>
    <row r="4352">
      <c r="E4352" s="31"/>
      <c r="F4352" s="8" t="s">
        <v>8</v>
      </c>
      <c r="G4352" s="8" t="s">
        <v>8</v>
      </c>
      <c r="H4352" s="8" t="s">
        <v>8</v>
      </c>
      <c r="I4352" s="8" t="s">
        <v>8</v>
      </c>
      <c r="J4352" s="8" t="s">
        <v>8</v>
      </c>
      <c r="K4352" s="8" t="s">
        <v>8</v>
      </c>
      <c r="L4352" s="8" t="s">
        <v>8</v>
      </c>
      <c r="M4352" s="8"/>
      <c r="N4352" s="8"/>
      <c r="O4352" s="8" t="s">
        <v>8</v>
      </c>
      <c r="P4352" s="8" t="s">
        <v>8</v>
      </c>
    </row>
    <row r="4353">
      <c r="E4353" s="31"/>
      <c r="F4353" s="8" t="s">
        <v>8</v>
      </c>
      <c r="G4353" s="8" t="s">
        <v>8</v>
      </c>
      <c r="H4353" s="8" t="s">
        <v>8</v>
      </c>
      <c r="I4353" s="8" t="s">
        <v>8</v>
      </c>
      <c r="J4353" s="8" t="s">
        <v>8</v>
      </c>
      <c r="K4353" s="8" t="s">
        <v>8</v>
      </c>
      <c r="L4353" s="8" t="s">
        <v>8</v>
      </c>
      <c r="M4353" s="8"/>
      <c r="N4353" s="8"/>
      <c r="O4353" s="8" t="s">
        <v>8</v>
      </c>
      <c r="P4353" s="8" t="s">
        <v>8</v>
      </c>
    </row>
    <row r="4354">
      <c r="E4354" s="31"/>
      <c r="F4354" s="8" t="s">
        <v>8</v>
      </c>
      <c r="G4354" s="8" t="s">
        <v>8</v>
      </c>
      <c r="H4354" s="8" t="s">
        <v>8</v>
      </c>
      <c r="I4354" s="8" t="s">
        <v>8</v>
      </c>
      <c r="J4354" s="8" t="s">
        <v>8</v>
      </c>
      <c r="K4354" s="8" t="s">
        <v>8</v>
      </c>
      <c r="L4354" s="8" t="s">
        <v>8</v>
      </c>
      <c r="M4354" s="8"/>
      <c r="N4354" s="8"/>
      <c r="O4354" s="8" t="s">
        <v>8</v>
      </c>
      <c r="P4354" s="8" t="s">
        <v>8</v>
      </c>
    </row>
    <row r="4355">
      <c r="E4355" s="31"/>
      <c r="F4355" s="8" t="s">
        <v>8</v>
      </c>
      <c r="G4355" s="8" t="s">
        <v>8</v>
      </c>
      <c r="H4355" s="8" t="s">
        <v>8</v>
      </c>
      <c r="I4355" s="8" t="s">
        <v>8</v>
      </c>
      <c r="J4355" s="8" t="s">
        <v>8</v>
      </c>
      <c r="K4355" s="8" t="s">
        <v>8</v>
      </c>
      <c r="L4355" s="8" t="s">
        <v>8</v>
      </c>
      <c r="M4355" s="8"/>
      <c r="N4355" s="8"/>
      <c r="O4355" s="8" t="s">
        <v>8</v>
      </c>
      <c r="P4355" s="8" t="s">
        <v>8</v>
      </c>
    </row>
    <row r="4356">
      <c r="E4356" s="31"/>
      <c r="F4356" s="8" t="s">
        <v>8</v>
      </c>
      <c r="G4356" s="8" t="s">
        <v>8</v>
      </c>
      <c r="H4356" s="8" t="s">
        <v>8</v>
      </c>
      <c r="I4356" s="8" t="s">
        <v>8</v>
      </c>
      <c r="J4356" s="8" t="s">
        <v>8</v>
      </c>
      <c r="K4356" s="8" t="s">
        <v>8</v>
      </c>
      <c r="L4356" s="8" t="s">
        <v>8</v>
      </c>
      <c r="M4356" s="8"/>
      <c r="N4356" s="8"/>
      <c r="O4356" s="8" t="s">
        <v>8</v>
      </c>
      <c r="P4356" s="8" t="s">
        <v>8</v>
      </c>
    </row>
    <row r="4357">
      <c r="E4357" s="31"/>
      <c r="F4357" s="8" t="s">
        <v>8</v>
      </c>
      <c r="G4357" s="8" t="s">
        <v>8</v>
      </c>
      <c r="H4357" s="8" t="s">
        <v>8</v>
      </c>
      <c r="I4357" s="8" t="s">
        <v>8</v>
      </c>
      <c r="J4357" s="8" t="s">
        <v>8</v>
      </c>
      <c r="K4357" s="8" t="s">
        <v>8</v>
      </c>
      <c r="L4357" s="8" t="s">
        <v>8</v>
      </c>
      <c r="M4357" s="8"/>
      <c r="N4357" s="8"/>
      <c r="O4357" s="8" t="s">
        <v>8</v>
      </c>
      <c r="P4357" s="8" t="s">
        <v>8</v>
      </c>
    </row>
    <row r="4358">
      <c r="E4358" s="31"/>
      <c r="F4358" s="8" t="s">
        <v>8</v>
      </c>
      <c r="G4358" s="8" t="s">
        <v>8</v>
      </c>
      <c r="H4358" s="8" t="s">
        <v>8</v>
      </c>
      <c r="I4358" s="8" t="s">
        <v>8</v>
      </c>
      <c r="J4358" s="8" t="s">
        <v>8</v>
      </c>
      <c r="K4358" s="8" t="s">
        <v>8</v>
      </c>
      <c r="L4358" s="8" t="s">
        <v>8</v>
      </c>
      <c r="M4358" s="8"/>
      <c r="N4358" s="8"/>
      <c r="O4358" s="8" t="s">
        <v>8</v>
      </c>
      <c r="P4358" s="8" t="s">
        <v>8</v>
      </c>
    </row>
    <row r="4359">
      <c r="E4359" s="31"/>
      <c r="F4359" s="8" t="s">
        <v>8</v>
      </c>
      <c r="G4359" s="8" t="s">
        <v>8</v>
      </c>
      <c r="H4359" s="8" t="s">
        <v>8</v>
      </c>
      <c r="I4359" s="8" t="s">
        <v>8</v>
      </c>
      <c r="J4359" s="8" t="s">
        <v>8</v>
      </c>
      <c r="K4359" s="8" t="s">
        <v>8</v>
      </c>
      <c r="L4359" s="8" t="s">
        <v>8</v>
      </c>
      <c r="M4359" s="8"/>
      <c r="N4359" s="8"/>
      <c r="O4359" s="8" t="s">
        <v>8</v>
      </c>
      <c r="P4359" s="8" t="s">
        <v>8</v>
      </c>
    </row>
    <row r="4360">
      <c r="E4360" s="31"/>
      <c r="F4360" s="8" t="s">
        <v>8</v>
      </c>
      <c r="G4360" s="8" t="s">
        <v>8</v>
      </c>
      <c r="H4360" s="8" t="s">
        <v>8</v>
      </c>
      <c r="I4360" s="8" t="s">
        <v>8</v>
      </c>
      <c r="J4360" s="8" t="s">
        <v>8</v>
      </c>
      <c r="K4360" s="8" t="s">
        <v>8</v>
      </c>
      <c r="L4360" s="8" t="s">
        <v>8</v>
      </c>
      <c r="M4360" s="8"/>
      <c r="N4360" s="8"/>
      <c r="O4360" s="8" t="s">
        <v>8</v>
      </c>
      <c r="P4360" s="8" t="s">
        <v>8</v>
      </c>
    </row>
    <row r="4361">
      <c r="E4361" s="31"/>
      <c r="F4361" s="8" t="s">
        <v>8</v>
      </c>
      <c r="G4361" s="8" t="s">
        <v>8</v>
      </c>
      <c r="H4361" s="8" t="s">
        <v>8</v>
      </c>
      <c r="I4361" s="8" t="s">
        <v>8</v>
      </c>
      <c r="J4361" s="8" t="s">
        <v>8</v>
      </c>
      <c r="K4361" s="8" t="s">
        <v>8</v>
      </c>
      <c r="L4361" s="8" t="s">
        <v>8</v>
      </c>
      <c r="M4361" s="8"/>
      <c r="N4361" s="8"/>
      <c r="O4361" s="8" t="s">
        <v>8</v>
      </c>
      <c r="P4361" s="8" t="s">
        <v>8</v>
      </c>
    </row>
    <row r="4362">
      <c r="E4362" s="31"/>
      <c r="F4362" s="8" t="s">
        <v>8</v>
      </c>
      <c r="G4362" s="8" t="s">
        <v>8</v>
      </c>
      <c r="H4362" s="8" t="s">
        <v>8</v>
      </c>
      <c r="I4362" s="8" t="s">
        <v>8</v>
      </c>
      <c r="J4362" s="8" t="s">
        <v>8</v>
      </c>
      <c r="K4362" s="8" t="s">
        <v>8</v>
      </c>
      <c r="L4362" s="8" t="s">
        <v>8</v>
      </c>
      <c r="M4362" s="8"/>
      <c r="N4362" s="8"/>
      <c r="O4362" s="8" t="s">
        <v>8</v>
      </c>
      <c r="P4362" s="8" t="s">
        <v>8</v>
      </c>
    </row>
    <row r="4363">
      <c r="E4363" s="31"/>
      <c r="F4363" s="8" t="s">
        <v>8</v>
      </c>
      <c r="G4363" s="8" t="s">
        <v>8</v>
      </c>
      <c r="H4363" s="8" t="s">
        <v>8</v>
      </c>
      <c r="I4363" s="8" t="s">
        <v>8</v>
      </c>
      <c r="J4363" s="8" t="s">
        <v>8</v>
      </c>
      <c r="K4363" s="8" t="s">
        <v>8</v>
      </c>
      <c r="L4363" s="8" t="s">
        <v>8</v>
      </c>
      <c r="M4363" s="8"/>
      <c r="N4363" s="8"/>
      <c r="O4363" s="8" t="s">
        <v>8</v>
      </c>
      <c r="P4363" s="8" t="s">
        <v>8</v>
      </c>
    </row>
    <row r="4364">
      <c r="E4364" s="31"/>
      <c r="F4364" s="8" t="s">
        <v>8</v>
      </c>
      <c r="G4364" s="8" t="s">
        <v>8</v>
      </c>
      <c r="H4364" s="8" t="s">
        <v>8</v>
      </c>
      <c r="I4364" s="8" t="s">
        <v>8</v>
      </c>
      <c r="J4364" s="8" t="s">
        <v>8</v>
      </c>
      <c r="K4364" s="8" t="s">
        <v>8</v>
      </c>
      <c r="L4364" s="8" t="s">
        <v>8</v>
      </c>
      <c r="M4364" s="8"/>
      <c r="N4364" s="8"/>
      <c r="O4364" s="8" t="s">
        <v>8</v>
      </c>
      <c r="P4364" s="8" t="s">
        <v>8</v>
      </c>
    </row>
    <row r="4365">
      <c r="E4365" s="31"/>
      <c r="F4365" s="8" t="s">
        <v>8</v>
      </c>
      <c r="G4365" s="8" t="s">
        <v>8</v>
      </c>
      <c r="H4365" s="8" t="s">
        <v>8</v>
      </c>
      <c r="I4365" s="8" t="s">
        <v>8</v>
      </c>
      <c r="J4365" s="8" t="s">
        <v>8</v>
      </c>
      <c r="K4365" s="8" t="s">
        <v>8</v>
      </c>
      <c r="L4365" s="8" t="s">
        <v>8</v>
      </c>
      <c r="M4365" s="8"/>
      <c r="N4365" s="8"/>
      <c r="O4365" s="8" t="s">
        <v>8</v>
      </c>
      <c r="P4365" s="8" t="s">
        <v>8</v>
      </c>
    </row>
    <row r="4366">
      <c r="E4366" s="31"/>
      <c r="F4366" s="8" t="s">
        <v>8</v>
      </c>
      <c r="G4366" s="8" t="s">
        <v>8</v>
      </c>
      <c r="H4366" s="8" t="s">
        <v>8</v>
      </c>
      <c r="I4366" s="8" t="s">
        <v>8</v>
      </c>
      <c r="J4366" s="8" t="s">
        <v>8</v>
      </c>
      <c r="K4366" s="8" t="s">
        <v>8</v>
      </c>
      <c r="L4366" s="8" t="s">
        <v>8</v>
      </c>
      <c r="M4366" s="8"/>
      <c r="N4366" s="8"/>
      <c r="O4366" s="8" t="s">
        <v>8</v>
      </c>
      <c r="P4366" s="8" t="s">
        <v>8</v>
      </c>
    </row>
    <row r="4367">
      <c r="E4367" s="31"/>
      <c r="F4367" s="8" t="s">
        <v>8</v>
      </c>
      <c r="G4367" s="8" t="s">
        <v>8</v>
      </c>
      <c r="H4367" s="8" t="s">
        <v>8</v>
      </c>
      <c r="I4367" s="8" t="s">
        <v>8</v>
      </c>
      <c r="J4367" s="8" t="s">
        <v>8</v>
      </c>
      <c r="K4367" s="8" t="s">
        <v>8</v>
      </c>
      <c r="L4367" s="8" t="s">
        <v>8</v>
      </c>
      <c r="M4367" s="8"/>
      <c r="N4367" s="8"/>
      <c r="O4367" s="8" t="s">
        <v>8</v>
      </c>
      <c r="P4367" s="8" t="s">
        <v>8</v>
      </c>
    </row>
    <row r="4368">
      <c r="E4368" s="31"/>
      <c r="F4368" s="8" t="s">
        <v>8</v>
      </c>
      <c r="G4368" s="8" t="s">
        <v>8</v>
      </c>
      <c r="H4368" s="8" t="s">
        <v>8</v>
      </c>
      <c r="I4368" s="8" t="s">
        <v>8</v>
      </c>
      <c r="J4368" s="8" t="s">
        <v>8</v>
      </c>
      <c r="K4368" s="8" t="s">
        <v>8</v>
      </c>
      <c r="L4368" s="8" t="s">
        <v>8</v>
      </c>
      <c r="M4368" s="8"/>
      <c r="N4368" s="8"/>
      <c r="O4368" s="8" t="s">
        <v>8</v>
      </c>
      <c r="P4368" s="8" t="s">
        <v>8</v>
      </c>
    </row>
    <row r="4369">
      <c r="E4369" s="31"/>
      <c r="F4369" s="8" t="s">
        <v>8</v>
      </c>
      <c r="G4369" s="8" t="s">
        <v>8</v>
      </c>
      <c r="H4369" s="8" t="s">
        <v>8</v>
      </c>
      <c r="I4369" s="8" t="s">
        <v>8</v>
      </c>
      <c r="J4369" s="8" t="s">
        <v>8</v>
      </c>
      <c r="K4369" s="8" t="s">
        <v>8</v>
      </c>
      <c r="L4369" s="8" t="s">
        <v>8</v>
      </c>
      <c r="M4369" s="8"/>
      <c r="N4369" s="8"/>
      <c r="O4369" s="8" t="s">
        <v>8</v>
      </c>
      <c r="P4369" s="8" t="s">
        <v>8</v>
      </c>
    </row>
    <row r="4370">
      <c r="E4370" s="31"/>
      <c r="F4370" s="8" t="s">
        <v>8</v>
      </c>
      <c r="G4370" s="8" t="s">
        <v>8</v>
      </c>
      <c r="H4370" s="8" t="s">
        <v>8</v>
      </c>
      <c r="I4370" s="8" t="s">
        <v>8</v>
      </c>
      <c r="J4370" s="8" t="s">
        <v>8</v>
      </c>
      <c r="K4370" s="8" t="s">
        <v>8</v>
      </c>
      <c r="L4370" s="8" t="s">
        <v>8</v>
      </c>
      <c r="M4370" s="8"/>
      <c r="N4370" s="8"/>
      <c r="O4370" s="8" t="s">
        <v>8</v>
      </c>
      <c r="P4370" s="8" t="s">
        <v>8</v>
      </c>
    </row>
    <row r="4371">
      <c r="E4371" s="31"/>
      <c r="F4371" s="8" t="s">
        <v>8</v>
      </c>
      <c r="G4371" s="8" t="s">
        <v>8</v>
      </c>
      <c r="H4371" s="8" t="s">
        <v>8</v>
      </c>
      <c r="I4371" s="8" t="s">
        <v>8</v>
      </c>
      <c r="J4371" s="8" t="s">
        <v>8</v>
      </c>
      <c r="K4371" s="8" t="s">
        <v>8</v>
      </c>
      <c r="L4371" s="8" t="s">
        <v>8</v>
      </c>
      <c r="M4371" s="8"/>
      <c r="N4371" s="8"/>
      <c r="O4371" s="8" t="s">
        <v>8</v>
      </c>
      <c r="P4371" s="8" t="s">
        <v>8</v>
      </c>
    </row>
    <row r="4372">
      <c r="E4372" s="31"/>
      <c r="F4372" s="8" t="s">
        <v>8</v>
      </c>
      <c r="G4372" s="8" t="s">
        <v>8</v>
      </c>
      <c r="H4372" s="8" t="s">
        <v>8</v>
      </c>
      <c r="I4372" s="8" t="s">
        <v>8</v>
      </c>
      <c r="J4372" s="8" t="s">
        <v>8</v>
      </c>
      <c r="K4372" s="8" t="s">
        <v>8</v>
      </c>
      <c r="L4372" s="8" t="s">
        <v>8</v>
      </c>
      <c r="M4372" s="8"/>
      <c r="N4372" s="8"/>
      <c r="O4372" s="8" t="s">
        <v>8</v>
      </c>
      <c r="P4372" s="8" t="s">
        <v>8</v>
      </c>
    </row>
    <row r="4373">
      <c r="E4373" s="31"/>
      <c r="F4373" s="8" t="s">
        <v>8</v>
      </c>
      <c r="G4373" s="8" t="s">
        <v>8</v>
      </c>
      <c r="H4373" s="8" t="s">
        <v>8</v>
      </c>
      <c r="I4373" s="8" t="s">
        <v>8</v>
      </c>
      <c r="J4373" s="8" t="s">
        <v>8</v>
      </c>
      <c r="K4373" s="8" t="s">
        <v>8</v>
      </c>
      <c r="L4373" s="8" t="s">
        <v>8</v>
      </c>
      <c r="M4373" s="8"/>
      <c r="N4373" s="8"/>
      <c r="O4373" s="8" t="s">
        <v>8</v>
      </c>
      <c r="P4373" s="8" t="s">
        <v>8</v>
      </c>
    </row>
    <row r="4374">
      <c r="E4374" s="31"/>
      <c r="F4374" s="8" t="s">
        <v>8</v>
      </c>
      <c r="G4374" s="8" t="s">
        <v>8</v>
      </c>
      <c r="H4374" s="8" t="s">
        <v>8</v>
      </c>
      <c r="I4374" s="8" t="s">
        <v>8</v>
      </c>
      <c r="J4374" s="8" t="s">
        <v>8</v>
      </c>
      <c r="K4374" s="8" t="s">
        <v>8</v>
      </c>
      <c r="L4374" s="8" t="s">
        <v>8</v>
      </c>
      <c r="M4374" s="8"/>
      <c r="N4374" s="8"/>
      <c r="O4374" s="8" t="s">
        <v>8</v>
      </c>
      <c r="P4374" s="8" t="s">
        <v>8</v>
      </c>
    </row>
    <row r="4375">
      <c r="E4375" s="31"/>
      <c r="F4375" s="8" t="s">
        <v>8</v>
      </c>
      <c r="G4375" s="8" t="s">
        <v>8</v>
      </c>
      <c r="H4375" s="8" t="s">
        <v>8</v>
      </c>
      <c r="I4375" s="8" t="s">
        <v>8</v>
      </c>
      <c r="J4375" s="8" t="s">
        <v>8</v>
      </c>
      <c r="K4375" s="8" t="s">
        <v>8</v>
      </c>
      <c r="L4375" s="8" t="s">
        <v>8</v>
      </c>
      <c r="M4375" s="8"/>
      <c r="N4375" s="8"/>
      <c r="O4375" s="8" t="s">
        <v>8</v>
      </c>
      <c r="P4375" s="8" t="s">
        <v>8</v>
      </c>
    </row>
    <row r="4376">
      <c r="E4376" s="31"/>
      <c r="F4376" s="8" t="s">
        <v>8</v>
      </c>
      <c r="G4376" s="8" t="s">
        <v>8</v>
      </c>
      <c r="H4376" s="8" t="s">
        <v>8</v>
      </c>
      <c r="I4376" s="8" t="s">
        <v>8</v>
      </c>
      <c r="J4376" s="8" t="s">
        <v>8</v>
      </c>
      <c r="K4376" s="8" t="s">
        <v>8</v>
      </c>
      <c r="L4376" s="8" t="s">
        <v>8</v>
      </c>
      <c r="M4376" s="8"/>
      <c r="N4376" s="8"/>
      <c r="O4376" s="8" t="s">
        <v>8</v>
      </c>
      <c r="P4376" s="8" t="s">
        <v>8</v>
      </c>
    </row>
    <row r="4377">
      <c r="E4377" s="31"/>
      <c r="F4377" s="8" t="s">
        <v>8</v>
      </c>
      <c r="G4377" s="8" t="s">
        <v>8</v>
      </c>
      <c r="H4377" s="8" t="s">
        <v>8</v>
      </c>
      <c r="I4377" s="8" t="s">
        <v>8</v>
      </c>
      <c r="J4377" s="8" t="s">
        <v>8</v>
      </c>
      <c r="K4377" s="8" t="s">
        <v>8</v>
      </c>
      <c r="L4377" s="8" t="s">
        <v>8</v>
      </c>
      <c r="M4377" s="8"/>
      <c r="N4377" s="8"/>
      <c r="O4377" s="8" t="s">
        <v>8</v>
      </c>
      <c r="P4377" s="8" t="s">
        <v>8</v>
      </c>
    </row>
    <row r="4378">
      <c r="E4378" s="31"/>
      <c r="F4378" s="8" t="s">
        <v>8</v>
      </c>
      <c r="G4378" s="8" t="s">
        <v>8</v>
      </c>
      <c r="H4378" s="8" t="s">
        <v>8</v>
      </c>
      <c r="I4378" s="8" t="s">
        <v>8</v>
      </c>
      <c r="J4378" s="8" t="s">
        <v>8</v>
      </c>
      <c r="K4378" s="8" t="s">
        <v>8</v>
      </c>
      <c r="L4378" s="8" t="s">
        <v>8</v>
      </c>
      <c r="M4378" s="8"/>
      <c r="N4378" s="8"/>
      <c r="O4378" s="8" t="s">
        <v>8</v>
      </c>
      <c r="P4378" s="8" t="s">
        <v>8</v>
      </c>
    </row>
    <row r="4379">
      <c r="E4379" s="31"/>
      <c r="F4379" s="8" t="s">
        <v>8</v>
      </c>
      <c r="G4379" s="8" t="s">
        <v>8</v>
      </c>
      <c r="H4379" s="8" t="s">
        <v>8</v>
      </c>
      <c r="I4379" s="8" t="s">
        <v>8</v>
      </c>
      <c r="J4379" s="8" t="s">
        <v>8</v>
      </c>
      <c r="K4379" s="8" t="s">
        <v>8</v>
      </c>
      <c r="L4379" s="8" t="s">
        <v>8</v>
      </c>
      <c r="M4379" s="8"/>
      <c r="N4379" s="8"/>
      <c r="O4379" s="8" t="s">
        <v>8</v>
      </c>
      <c r="P4379" s="8" t="s">
        <v>8</v>
      </c>
    </row>
    <row r="4380">
      <c r="E4380" s="31"/>
      <c r="F4380" s="8" t="s">
        <v>8</v>
      </c>
      <c r="G4380" s="8" t="s">
        <v>8</v>
      </c>
      <c r="H4380" s="8" t="s">
        <v>8</v>
      </c>
      <c r="I4380" s="8" t="s">
        <v>8</v>
      </c>
      <c r="J4380" s="8" t="s">
        <v>8</v>
      </c>
      <c r="K4380" s="8" t="s">
        <v>8</v>
      </c>
      <c r="L4380" s="8" t="s">
        <v>8</v>
      </c>
      <c r="M4380" s="8"/>
      <c r="N4380" s="8"/>
      <c r="O4380" s="8" t="s">
        <v>8</v>
      </c>
      <c r="P4380" s="8" t="s">
        <v>8</v>
      </c>
    </row>
    <row r="4381">
      <c r="E4381" s="31"/>
      <c r="F4381" s="8" t="s">
        <v>8</v>
      </c>
      <c r="G4381" s="8" t="s">
        <v>8</v>
      </c>
      <c r="H4381" s="8" t="s">
        <v>8</v>
      </c>
      <c r="I4381" s="8" t="s">
        <v>8</v>
      </c>
      <c r="J4381" s="8" t="s">
        <v>8</v>
      </c>
      <c r="K4381" s="8" t="s">
        <v>8</v>
      </c>
      <c r="L4381" s="8" t="s">
        <v>8</v>
      </c>
      <c r="M4381" s="8"/>
      <c r="N4381" s="8"/>
      <c r="O4381" s="8" t="s">
        <v>8</v>
      </c>
      <c r="P4381" s="8" t="s">
        <v>8</v>
      </c>
    </row>
    <row r="4382">
      <c r="E4382" s="31"/>
      <c r="F4382" s="8" t="s">
        <v>8</v>
      </c>
      <c r="G4382" s="8" t="s">
        <v>8</v>
      </c>
      <c r="H4382" s="8" t="s">
        <v>8</v>
      </c>
      <c r="I4382" s="8" t="s">
        <v>8</v>
      </c>
      <c r="J4382" s="8" t="s">
        <v>8</v>
      </c>
      <c r="K4382" s="8" t="s">
        <v>8</v>
      </c>
      <c r="L4382" s="8" t="s">
        <v>8</v>
      </c>
      <c r="M4382" s="8"/>
      <c r="N4382" s="8"/>
      <c r="O4382" s="8" t="s">
        <v>8</v>
      </c>
      <c r="P4382" s="8" t="s">
        <v>8</v>
      </c>
    </row>
    <row r="4383">
      <c r="E4383" s="31"/>
      <c r="F4383" s="8" t="s">
        <v>8</v>
      </c>
      <c r="G4383" s="8" t="s">
        <v>8</v>
      </c>
      <c r="H4383" s="8" t="s">
        <v>8</v>
      </c>
      <c r="I4383" s="8" t="s">
        <v>8</v>
      </c>
      <c r="J4383" s="8" t="s">
        <v>8</v>
      </c>
      <c r="K4383" s="8" t="s">
        <v>8</v>
      </c>
      <c r="L4383" s="8" t="s">
        <v>8</v>
      </c>
      <c r="M4383" s="8"/>
      <c r="N4383" s="8"/>
      <c r="O4383" s="8" t="s">
        <v>8</v>
      </c>
      <c r="P4383" s="8" t="s">
        <v>8</v>
      </c>
    </row>
    <row r="4384">
      <c r="E4384" s="31"/>
      <c r="F4384" s="8" t="s">
        <v>8</v>
      </c>
      <c r="G4384" s="8" t="s">
        <v>8</v>
      </c>
      <c r="H4384" s="8" t="s">
        <v>8</v>
      </c>
      <c r="I4384" s="8" t="s">
        <v>8</v>
      </c>
      <c r="J4384" s="8" t="s">
        <v>8</v>
      </c>
      <c r="K4384" s="8" t="s">
        <v>8</v>
      </c>
      <c r="L4384" s="8" t="s">
        <v>8</v>
      </c>
      <c r="M4384" s="8"/>
      <c r="N4384" s="8"/>
      <c r="O4384" s="8" t="s">
        <v>8</v>
      </c>
      <c r="P4384" s="8" t="s">
        <v>8</v>
      </c>
    </row>
    <row r="4385">
      <c r="E4385" s="31"/>
      <c r="F4385" s="8" t="s">
        <v>8</v>
      </c>
      <c r="G4385" s="8" t="s">
        <v>8</v>
      </c>
      <c r="H4385" s="8" t="s">
        <v>8</v>
      </c>
      <c r="I4385" s="8" t="s">
        <v>8</v>
      </c>
      <c r="J4385" s="8" t="s">
        <v>8</v>
      </c>
      <c r="K4385" s="8" t="s">
        <v>8</v>
      </c>
      <c r="L4385" s="8" t="s">
        <v>8</v>
      </c>
      <c r="M4385" s="8"/>
      <c r="N4385" s="8"/>
      <c r="O4385" s="8" t="s">
        <v>8</v>
      </c>
      <c r="P4385" s="8" t="s">
        <v>8</v>
      </c>
    </row>
    <row r="4386">
      <c r="E4386" s="31"/>
      <c r="F4386" s="8" t="s">
        <v>8</v>
      </c>
      <c r="G4386" s="8" t="s">
        <v>8</v>
      </c>
      <c r="H4386" s="8" t="s">
        <v>8</v>
      </c>
      <c r="I4386" s="8" t="s">
        <v>8</v>
      </c>
      <c r="J4386" s="8" t="s">
        <v>8</v>
      </c>
      <c r="K4386" s="8" t="s">
        <v>8</v>
      </c>
      <c r="L4386" s="8" t="s">
        <v>8</v>
      </c>
      <c r="M4386" s="8"/>
      <c r="N4386" s="8"/>
      <c r="O4386" s="8" t="s">
        <v>8</v>
      </c>
      <c r="P4386" s="8" t="s">
        <v>8</v>
      </c>
    </row>
    <row r="4387">
      <c r="E4387" s="31"/>
      <c r="F4387" s="8" t="s">
        <v>8</v>
      </c>
      <c r="G4387" s="8" t="s">
        <v>8</v>
      </c>
      <c r="H4387" s="8" t="s">
        <v>8</v>
      </c>
      <c r="I4387" s="8" t="s">
        <v>8</v>
      </c>
      <c r="J4387" s="8" t="s">
        <v>8</v>
      </c>
      <c r="K4387" s="8" t="s">
        <v>8</v>
      </c>
      <c r="L4387" s="8" t="s">
        <v>8</v>
      </c>
      <c r="M4387" s="8"/>
      <c r="N4387" s="8"/>
      <c r="O4387" s="8" t="s">
        <v>8</v>
      </c>
      <c r="P4387" s="8" t="s">
        <v>8</v>
      </c>
    </row>
    <row r="4388">
      <c r="E4388" s="31"/>
      <c r="F4388" s="8" t="s">
        <v>8</v>
      </c>
      <c r="G4388" s="8" t="s">
        <v>8</v>
      </c>
      <c r="H4388" s="8" t="s">
        <v>8</v>
      </c>
      <c r="I4388" s="8" t="s">
        <v>8</v>
      </c>
      <c r="J4388" s="8" t="s">
        <v>8</v>
      </c>
      <c r="K4388" s="8" t="s">
        <v>8</v>
      </c>
      <c r="L4388" s="8" t="s">
        <v>8</v>
      </c>
      <c r="M4388" s="8"/>
      <c r="N4388" s="8"/>
      <c r="O4388" s="8" t="s">
        <v>8</v>
      </c>
      <c r="P4388" s="8" t="s">
        <v>8</v>
      </c>
    </row>
    <row r="4389">
      <c r="E4389" s="31"/>
      <c r="F4389" s="8" t="s">
        <v>8</v>
      </c>
      <c r="G4389" s="8" t="s">
        <v>8</v>
      </c>
      <c r="H4389" s="8" t="s">
        <v>8</v>
      </c>
      <c r="I4389" s="8" t="s">
        <v>8</v>
      </c>
      <c r="J4389" s="8" t="s">
        <v>8</v>
      </c>
      <c r="K4389" s="8" t="s">
        <v>8</v>
      </c>
      <c r="L4389" s="8" t="s">
        <v>8</v>
      </c>
      <c r="M4389" s="8"/>
      <c r="N4389" s="8"/>
      <c r="O4389" s="8" t="s">
        <v>8</v>
      </c>
      <c r="P4389" s="8" t="s">
        <v>8</v>
      </c>
    </row>
    <row r="4390">
      <c r="E4390" s="31"/>
      <c r="F4390" s="8" t="s">
        <v>8</v>
      </c>
      <c r="G4390" s="8" t="s">
        <v>8</v>
      </c>
      <c r="H4390" s="8" t="s">
        <v>8</v>
      </c>
      <c r="I4390" s="8" t="s">
        <v>8</v>
      </c>
      <c r="J4390" s="8" t="s">
        <v>8</v>
      </c>
      <c r="K4390" s="8" t="s">
        <v>8</v>
      </c>
      <c r="L4390" s="8" t="s">
        <v>8</v>
      </c>
      <c r="M4390" s="8"/>
      <c r="N4390" s="8"/>
      <c r="O4390" s="8" t="s">
        <v>8</v>
      </c>
      <c r="P4390" s="8" t="s">
        <v>8</v>
      </c>
    </row>
    <row r="4391">
      <c r="E4391" s="31"/>
      <c r="F4391" s="8" t="s">
        <v>8</v>
      </c>
      <c r="G4391" s="8" t="s">
        <v>8</v>
      </c>
      <c r="H4391" s="8" t="s">
        <v>8</v>
      </c>
      <c r="I4391" s="8" t="s">
        <v>8</v>
      </c>
      <c r="J4391" s="8" t="s">
        <v>8</v>
      </c>
      <c r="K4391" s="8" t="s">
        <v>8</v>
      </c>
      <c r="L4391" s="8" t="s">
        <v>8</v>
      </c>
      <c r="M4391" s="8"/>
      <c r="N4391" s="8"/>
      <c r="O4391" s="8" t="s">
        <v>8</v>
      </c>
      <c r="P4391" s="8" t="s">
        <v>8</v>
      </c>
    </row>
    <row r="4392">
      <c r="E4392" s="31"/>
      <c r="F4392" s="8" t="s">
        <v>8</v>
      </c>
      <c r="G4392" s="8" t="s">
        <v>8</v>
      </c>
      <c r="H4392" s="8" t="s">
        <v>8</v>
      </c>
      <c r="I4392" s="8" t="s">
        <v>8</v>
      </c>
      <c r="J4392" s="8" t="s">
        <v>8</v>
      </c>
      <c r="K4392" s="8" t="s">
        <v>8</v>
      </c>
      <c r="L4392" s="8" t="s">
        <v>8</v>
      </c>
      <c r="M4392" s="8"/>
      <c r="N4392" s="8"/>
      <c r="O4392" s="8" t="s">
        <v>8</v>
      </c>
      <c r="P4392" s="8" t="s">
        <v>8</v>
      </c>
    </row>
    <row r="4393">
      <c r="E4393" s="31"/>
      <c r="F4393" s="8" t="s">
        <v>8</v>
      </c>
      <c r="G4393" s="8" t="s">
        <v>8</v>
      </c>
      <c r="H4393" s="8" t="s">
        <v>8</v>
      </c>
      <c r="I4393" s="8" t="s">
        <v>8</v>
      </c>
      <c r="J4393" s="8" t="s">
        <v>8</v>
      </c>
      <c r="K4393" s="8" t="s">
        <v>8</v>
      </c>
      <c r="L4393" s="8" t="s">
        <v>8</v>
      </c>
      <c r="M4393" s="8"/>
      <c r="N4393" s="8"/>
      <c r="O4393" s="8" t="s">
        <v>8</v>
      </c>
      <c r="P4393" s="8" t="s">
        <v>8</v>
      </c>
    </row>
    <row r="4394">
      <c r="E4394" s="31"/>
      <c r="F4394" s="8" t="s">
        <v>8</v>
      </c>
      <c r="G4394" s="8" t="s">
        <v>8</v>
      </c>
      <c r="H4394" s="8" t="s">
        <v>8</v>
      </c>
      <c r="I4394" s="8" t="s">
        <v>8</v>
      </c>
      <c r="J4394" s="8" t="s">
        <v>8</v>
      </c>
      <c r="K4394" s="8" t="s">
        <v>8</v>
      </c>
      <c r="L4394" s="8" t="s">
        <v>8</v>
      </c>
      <c r="M4394" s="8"/>
      <c r="N4394" s="8"/>
      <c r="O4394" s="8" t="s">
        <v>8</v>
      </c>
      <c r="P4394" s="8" t="s">
        <v>8</v>
      </c>
    </row>
    <row r="4395">
      <c r="E4395" s="31"/>
      <c r="F4395" s="8" t="s">
        <v>8</v>
      </c>
      <c r="G4395" s="8" t="s">
        <v>8</v>
      </c>
      <c r="H4395" s="8" t="s">
        <v>8</v>
      </c>
      <c r="I4395" s="8" t="s">
        <v>8</v>
      </c>
      <c r="J4395" s="8" t="s">
        <v>8</v>
      </c>
      <c r="K4395" s="8" t="s">
        <v>8</v>
      </c>
      <c r="L4395" s="8" t="s">
        <v>8</v>
      </c>
      <c r="M4395" s="8"/>
      <c r="N4395" s="8"/>
      <c r="O4395" s="8" t="s">
        <v>8</v>
      </c>
      <c r="P4395" s="8" t="s">
        <v>8</v>
      </c>
    </row>
    <row r="4396">
      <c r="E4396" s="31"/>
      <c r="F4396" s="8" t="s">
        <v>8</v>
      </c>
      <c r="G4396" s="8" t="s">
        <v>8</v>
      </c>
      <c r="H4396" s="8" t="s">
        <v>8</v>
      </c>
      <c r="I4396" s="8" t="s">
        <v>8</v>
      </c>
      <c r="J4396" s="8" t="s">
        <v>8</v>
      </c>
      <c r="K4396" s="8" t="s">
        <v>8</v>
      </c>
      <c r="L4396" s="8" t="s">
        <v>8</v>
      </c>
      <c r="M4396" s="8"/>
      <c r="N4396" s="8"/>
      <c r="O4396" s="8" t="s">
        <v>8</v>
      </c>
      <c r="P4396" s="8" t="s">
        <v>8</v>
      </c>
    </row>
    <row r="4397">
      <c r="E4397" s="31"/>
      <c r="F4397" s="8" t="s">
        <v>8</v>
      </c>
      <c r="G4397" s="8" t="s">
        <v>8</v>
      </c>
      <c r="H4397" s="8" t="s">
        <v>8</v>
      </c>
      <c r="I4397" s="8" t="s">
        <v>8</v>
      </c>
      <c r="J4397" s="8" t="s">
        <v>8</v>
      </c>
      <c r="K4397" s="8" t="s">
        <v>8</v>
      </c>
      <c r="L4397" s="8" t="s">
        <v>8</v>
      </c>
      <c r="M4397" s="8"/>
      <c r="N4397" s="8"/>
      <c r="O4397" s="8" t="s">
        <v>8</v>
      </c>
      <c r="P4397" s="8" t="s">
        <v>8</v>
      </c>
    </row>
    <row r="4398">
      <c r="E4398" s="31"/>
      <c r="F4398" s="8" t="s">
        <v>8</v>
      </c>
      <c r="G4398" s="8" t="s">
        <v>8</v>
      </c>
      <c r="H4398" s="8" t="s">
        <v>8</v>
      </c>
      <c r="I4398" s="8" t="s">
        <v>8</v>
      </c>
      <c r="J4398" s="8" t="s">
        <v>8</v>
      </c>
      <c r="K4398" s="8" t="s">
        <v>8</v>
      </c>
      <c r="L4398" s="8" t="s">
        <v>8</v>
      </c>
      <c r="M4398" s="8"/>
      <c r="N4398" s="8"/>
      <c r="O4398" s="8" t="s">
        <v>8</v>
      </c>
      <c r="P4398" s="8" t="s">
        <v>8</v>
      </c>
    </row>
    <row r="4399">
      <c r="E4399" s="31"/>
      <c r="F4399" s="8" t="s">
        <v>8</v>
      </c>
      <c r="G4399" s="8" t="s">
        <v>8</v>
      </c>
      <c r="H4399" s="8" t="s">
        <v>8</v>
      </c>
      <c r="I4399" s="8" t="s">
        <v>8</v>
      </c>
      <c r="J4399" s="8" t="s">
        <v>8</v>
      </c>
      <c r="K4399" s="8" t="s">
        <v>8</v>
      </c>
      <c r="L4399" s="8" t="s">
        <v>8</v>
      </c>
      <c r="M4399" s="8"/>
      <c r="N4399" s="8"/>
      <c r="O4399" s="8" t="s">
        <v>8</v>
      </c>
      <c r="P4399" s="8" t="s">
        <v>8</v>
      </c>
    </row>
    <row r="4400">
      <c r="E4400" s="31"/>
      <c r="F4400" s="8" t="s">
        <v>8</v>
      </c>
      <c r="G4400" s="8" t="s">
        <v>8</v>
      </c>
      <c r="H4400" s="8" t="s">
        <v>8</v>
      </c>
      <c r="I4400" s="8" t="s">
        <v>8</v>
      </c>
      <c r="J4400" s="8" t="s">
        <v>8</v>
      </c>
      <c r="K4400" s="8" t="s">
        <v>8</v>
      </c>
      <c r="L4400" s="8" t="s">
        <v>8</v>
      </c>
      <c r="M4400" s="8"/>
      <c r="N4400" s="8"/>
      <c r="O4400" s="8" t="s">
        <v>8</v>
      </c>
      <c r="P4400" s="8" t="s">
        <v>8</v>
      </c>
    </row>
    <row r="4401">
      <c r="E4401" s="31"/>
      <c r="F4401" s="8" t="s">
        <v>8</v>
      </c>
      <c r="G4401" s="8" t="s">
        <v>8</v>
      </c>
      <c r="H4401" s="8" t="s">
        <v>8</v>
      </c>
      <c r="I4401" s="8" t="s">
        <v>8</v>
      </c>
      <c r="J4401" s="8" t="s">
        <v>8</v>
      </c>
      <c r="K4401" s="8" t="s">
        <v>8</v>
      </c>
      <c r="L4401" s="8" t="s">
        <v>8</v>
      </c>
      <c r="M4401" s="8"/>
      <c r="N4401" s="8"/>
      <c r="O4401" s="8" t="s">
        <v>8</v>
      </c>
      <c r="P4401" s="8" t="s">
        <v>8</v>
      </c>
    </row>
    <row r="4402">
      <c r="E4402" s="31"/>
      <c r="F4402" s="8" t="s">
        <v>8</v>
      </c>
      <c r="G4402" s="8" t="s">
        <v>8</v>
      </c>
      <c r="H4402" s="8" t="s">
        <v>8</v>
      </c>
      <c r="I4402" s="8" t="s">
        <v>8</v>
      </c>
      <c r="J4402" s="8" t="s">
        <v>8</v>
      </c>
      <c r="K4402" s="8" t="s">
        <v>8</v>
      </c>
      <c r="L4402" s="8" t="s">
        <v>8</v>
      </c>
      <c r="M4402" s="8"/>
      <c r="N4402" s="8"/>
      <c r="O4402" s="8" t="s">
        <v>8</v>
      </c>
      <c r="P4402" s="8" t="s">
        <v>8</v>
      </c>
    </row>
    <row r="4403">
      <c r="E4403" s="31"/>
      <c r="F4403" s="8" t="s">
        <v>8</v>
      </c>
      <c r="G4403" s="8" t="s">
        <v>8</v>
      </c>
      <c r="H4403" s="8" t="s">
        <v>8</v>
      </c>
      <c r="I4403" s="8" t="s">
        <v>8</v>
      </c>
      <c r="J4403" s="8" t="s">
        <v>8</v>
      </c>
      <c r="K4403" s="8" t="s">
        <v>8</v>
      </c>
      <c r="L4403" s="8" t="s">
        <v>8</v>
      </c>
      <c r="M4403" s="8"/>
      <c r="N4403" s="8"/>
      <c r="O4403" s="8" t="s">
        <v>8</v>
      </c>
      <c r="P4403" s="8" t="s">
        <v>8</v>
      </c>
    </row>
    <row r="4404">
      <c r="E4404" s="31"/>
      <c r="F4404" s="8" t="s">
        <v>8</v>
      </c>
      <c r="G4404" s="8" t="s">
        <v>8</v>
      </c>
      <c r="H4404" s="8" t="s">
        <v>8</v>
      </c>
      <c r="I4404" s="8" t="s">
        <v>8</v>
      </c>
      <c r="J4404" s="8" t="s">
        <v>8</v>
      </c>
      <c r="K4404" s="8" t="s">
        <v>8</v>
      </c>
      <c r="L4404" s="8" t="s">
        <v>8</v>
      </c>
      <c r="M4404" s="8"/>
      <c r="N4404" s="8"/>
      <c r="O4404" s="8" t="s">
        <v>8</v>
      </c>
      <c r="P4404" s="8" t="s">
        <v>8</v>
      </c>
    </row>
    <row r="4405">
      <c r="E4405" s="31"/>
      <c r="F4405" s="8" t="s">
        <v>8</v>
      </c>
      <c r="G4405" s="8" t="s">
        <v>8</v>
      </c>
      <c r="H4405" s="8" t="s">
        <v>8</v>
      </c>
      <c r="I4405" s="8" t="s">
        <v>8</v>
      </c>
      <c r="J4405" s="8" t="s">
        <v>8</v>
      </c>
      <c r="K4405" s="8" t="s">
        <v>8</v>
      </c>
      <c r="L4405" s="8" t="s">
        <v>8</v>
      </c>
      <c r="M4405" s="8"/>
      <c r="N4405" s="8"/>
      <c r="O4405" s="8" t="s">
        <v>8</v>
      </c>
      <c r="P4405" s="8" t="s">
        <v>8</v>
      </c>
    </row>
    <row r="4406">
      <c r="E4406" s="31"/>
      <c r="F4406" s="8" t="s">
        <v>8</v>
      </c>
      <c r="G4406" s="8" t="s">
        <v>8</v>
      </c>
      <c r="H4406" s="8" t="s">
        <v>8</v>
      </c>
      <c r="I4406" s="8" t="s">
        <v>8</v>
      </c>
      <c r="J4406" s="8" t="s">
        <v>8</v>
      </c>
      <c r="K4406" s="8" t="s">
        <v>8</v>
      </c>
      <c r="L4406" s="8" t="s">
        <v>8</v>
      </c>
      <c r="M4406" s="8"/>
      <c r="N4406" s="8"/>
      <c r="O4406" s="8" t="s">
        <v>8</v>
      </c>
      <c r="P4406" s="8" t="s">
        <v>8</v>
      </c>
    </row>
    <row r="4407">
      <c r="E4407" s="31"/>
      <c r="F4407" s="8" t="s">
        <v>8</v>
      </c>
      <c r="G4407" s="8" t="s">
        <v>8</v>
      </c>
      <c r="H4407" s="8" t="s">
        <v>8</v>
      </c>
      <c r="I4407" s="8" t="s">
        <v>8</v>
      </c>
      <c r="J4407" s="8" t="s">
        <v>8</v>
      </c>
      <c r="K4407" s="8" t="s">
        <v>8</v>
      </c>
      <c r="L4407" s="8" t="s">
        <v>8</v>
      </c>
      <c r="M4407" s="8"/>
      <c r="N4407" s="8"/>
      <c r="O4407" s="8" t="s">
        <v>8</v>
      </c>
      <c r="P4407" s="8" t="s">
        <v>8</v>
      </c>
    </row>
    <row r="4408">
      <c r="E4408" s="31"/>
      <c r="F4408" s="8" t="s">
        <v>8</v>
      </c>
      <c r="G4408" s="8" t="s">
        <v>8</v>
      </c>
      <c r="H4408" s="8" t="s">
        <v>8</v>
      </c>
      <c r="I4408" s="8" t="s">
        <v>8</v>
      </c>
      <c r="J4408" s="8" t="s">
        <v>8</v>
      </c>
      <c r="K4408" s="8" t="s">
        <v>8</v>
      </c>
      <c r="L4408" s="8" t="s">
        <v>8</v>
      </c>
      <c r="M4408" s="8"/>
      <c r="N4408" s="8"/>
      <c r="O4408" s="8" t="s">
        <v>8</v>
      </c>
      <c r="P4408" s="8" t="s">
        <v>8</v>
      </c>
    </row>
    <row r="4409">
      <c r="E4409" s="31"/>
      <c r="F4409" s="8" t="s">
        <v>8</v>
      </c>
      <c r="G4409" s="8" t="s">
        <v>8</v>
      </c>
      <c r="H4409" s="8" t="s">
        <v>8</v>
      </c>
      <c r="I4409" s="8" t="s">
        <v>8</v>
      </c>
      <c r="J4409" s="8" t="s">
        <v>8</v>
      </c>
      <c r="K4409" s="8" t="s">
        <v>8</v>
      </c>
      <c r="L4409" s="8" t="s">
        <v>8</v>
      </c>
      <c r="M4409" s="8"/>
      <c r="N4409" s="8"/>
      <c r="O4409" s="8" t="s">
        <v>8</v>
      </c>
      <c r="P4409" s="8" t="s">
        <v>8</v>
      </c>
    </row>
    <row r="4410">
      <c r="E4410" s="31"/>
      <c r="F4410" s="8" t="s">
        <v>8</v>
      </c>
      <c r="G4410" s="8" t="s">
        <v>8</v>
      </c>
      <c r="H4410" s="8" t="s">
        <v>8</v>
      </c>
      <c r="I4410" s="8" t="s">
        <v>8</v>
      </c>
      <c r="J4410" s="8" t="s">
        <v>8</v>
      </c>
      <c r="K4410" s="8" t="s">
        <v>8</v>
      </c>
      <c r="L4410" s="8" t="s">
        <v>8</v>
      </c>
      <c r="M4410" s="8"/>
      <c r="N4410" s="8"/>
      <c r="O4410" s="8" t="s">
        <v>8</v>
      </c>
      <c r="P4410" s="8" t="s">
        <v>8</v>
      </c>
    </row>
    <row r="4411">
      <c r="E4411" s="31"/>
      <c r="F4411" s="8" t="s">
        <v>8</v>
      </c>
      <c r="G4411" s="8" t="s">
        <v>8</v>
      </c>
      <c r="H4411" s="8" t="s">
        <v>8</v>
      </c>
      <c r="I4411" s="8" t="s">
        <v>8</v>
      </c>
      <c r="J4411" s="8" t="s">
        <v>8</v>
      </c>
      <c r="K4411" s="8" t="s">
        <v>8</v>
      </c>
      <c r="L4411" s="8" t="s">
        <v>8</v>
      </c>
      <c r="M4411" s="8"/>
      <c r="N4411" s="8"/>
      <c r="O4411" s="8" t="s">
        <v>8</v>
      </c>
      <c r="P4411" s="8" t="s">
        <v>8</v>
      </c>
    </row>
    <row r="4412">
      <c r="E4412" s="31"/>
      <c r="F4412" s="8" t="s">
        <v>8</v>
      </c>
      <c r="G4412" s="8" t="s">
        <v>8</v>
      </c>
      <c r="H4412" s="8" t="s">
        <v>8</v>
      </c>
      <c r="I4412" s="8" t="s">
        <v>8</v>
      </c>
      <c r="J4412" s="8" t="s">
        <v>8</v>
      </c>
      <c r="K4412" s="8" t="s">
        <v>8</v>
      </c>
      <c r="L4412" s="8" t="s">
        <v>8</v>
      </c>
      <c r="M4412" s="8"/>
      <c r="N4412" s="8"/>
      <c r="O4412" s="8" t="s">
        <v>8</v>
      </c>
      <c r="P4412" s="8" t="s">
        <v>8</v>
      </c>
    </row>
    <row r="4413">
      <c r="E4413" s="31"/>
      <c r="F4413" s="8" t="s">
        <v>8</v>
      </c>
      <c r="G4413" s="8" t="s">
        <v>8</v>
      </c>
      <c r="H4413" s="8" t="s">
        <v>8</v>
      </c>
      <c r="I4413" s="8" t="s">
        <v>8</v>
      </c>
      <c r="J4413" s="8" t="s">
        <v>8</v>
      </c>
      <c r="K4413" s="8" t="s">
        <v>8</v>
      </c>
      <c r="L4413" s="8" t="s">
        <v>8</v>
      </c>
      <c r="M4413" s="8"/>
      <c r="N4413" s="8"/>
      <c r="O4413" s="8" t="s">
        <v>8</v>
      </c>
      <c r="P4413" s="8" t="s">
        <v>8</v>
      </c>
    </row>
    <row r="4414">
      <c r="E4414" s="31"/>
      <c r="F4414" s="8" t="s">
        <v>8</v>
      </c>
      <c r="G4414" s="8" t="s">
        <v>8</v>
      </c>
      <c r="H4414" s="8" t="s">
        <v>8</v>
      </c>
      <c r="I4414" s="8" t="s">
        <v>8</v>
      </c>
      <c r="J4414" s="8" t="s">
        <v>8</v>
      </c>
      <c r="K4414" s="8" t="s">
        <v>8</v>
      </c>
      <c r="L4414" s="8" t="s">
        <v>8</v>
      </c>
      <c r="M4414" s="8"/>
      <c r="N4414" s="8"/>
      <c r="O4414" s="8" t="s">
        <v>8</v>
      </c>
      <c r="P4414" s="8" t="s">
        <v>8</v>
      </c>
    </row>
    <row r="4415">
      <c r="E4415" s="31"/>
      <c r="F4415" s="8" t="s">
        <v>8</v>
      </c>
      <c r="G4415" s="8" t="s">
        <v>8</v>
      </c>
      <c r="H4415" s="8" t="s">
        <v>8</v>
      </c>
      <c r="I4415" s="8" t="s">
        <v>8</v>
      </c>
      <c r="J4415" s="8" t="s">
        <v>8</v>
      </c>
      <c r="K4415" s="8" t="s">
        <v>8</v>
      </c>
      <c r="L4415" s="8" t="s">
        <v>8</v>
      </c>
      <c r="M4415" s="8"/>
      <c r="N4415" s="8"/>
      <c r="O4415" s="8" t="s">
        <v>8</v>
      </c>
      <c r="P4415" s="8" t="s">
        <v>8</v>
      </c>
    </row>
    <row r="4416">
      <c r="E4416" s="31"/>
      <c r="F4416" s="8" t="s">
        <v>8</v>
      </c>
      <c r="G4416" s="8" t="s">
        <v>8</v>
      </c>
      <c r="H4416" s="8" t="s">
        <v>8</v>
      </c>
      <c r="I4416" s="8" t="s">
        <v>8</v>
      </c>
      <c r="J4416" s="8" t="s">
        <v>8</v>
      </c>
      <c r="K4416" s="8" t="s">
        <v>8</v>
      </c>
      <c r="L4416" s="8" t="s">
        <v>8</v>
      </c>
      <c r="M4416" s="8"/>
      <c r="N4416" s="8"/>
      <c r="O4416" s="8" t="s">
        <v>8</v>
      </c>
      <c r="P4416" s="8" t="s">
        <v>8</v>
      </c>
    </row>
    <row r="4417">
      <c r="E4417" s="31"/>
      <c r="F4417" s="8" t="s">
        <v>8</v>
      </c>
      <c r="G4417" s="8" t="s">
        <v>8</v>
      </c>
      <c r="H4417" s="8" t="s">
        <v>8</v>
      </c>
      <c r="I4417" s="8" t="s">
        <v>8</v>
      </c>
      <c r="J4417" s="8" t="s">
        <v>8</v>
      </c>
      <c r="K4417" s="8" t="s">
        <v>8</v>
      </c>
      <c r="L4417" s="8" t="s">
        <v>8</v>
      </c>
      <c r="M4417" s="8"/>
      <c r="N4417" s="8"/>
      <c r="O4417" s="8" t="s">
        <v>8</v>
      </c>
      <c r="P4417" s="8" t="s">
        <v>8</v>
      </c>
    </row>
    <row r="4418">
      <c r="E4418" s="31"/>
      <c r="F4418" s="8" t="s">
        <v>8</v>
      </c>
      <c r="G4418" s="8" t="s">
        <v>8</v>
      </c>
      <c r="H4418" s="8" t="s">
        <v>8</v>
      </c>
      <c r="I4418" s="8" t="s">
        <v>8</v>
      </c>
      <c r="J4418" s="8" t="s">
        <v>8</v>
      </c>
      <c r="K4418" s="8" t="s">
        <v>8</v>
      </c>
      <c r="L4418" s="8" t="s">
        <v>8</v>
      </c>
      <c r="M4418" s="8"/>
      <c r="N4418" s="8"/>
      <c r="O4418" s="8" t="s">
        <v>8</v>
      </c>
      <c r="P4418" s="8" t="s">
        <v>8</v>
      </c>
    </row>
    <row r="4419">
      <c r="E4419" s="31"/>
      <c r="F4419" s="8" t="s">
        <v>8</v>
      </c>
      <c r="G4419" s="8" t="s">
        <v>8</v>
      </c>
      <c r="H4419" s="8" t="s">
        <v>8</v>
      </c>
      <c r="I4419" s="8" t="s">
        <v>8</v>
      </c>
      <c r="J4419" s="8" t="s">
        <v>8</v>
      </c>
      <c r="K4419" s="8" t="s">
        <v>8</v>
      </c>
      <c r="L4419" s="8" t="s">
        <v>8</v>
      </c>
      <c r="M4419" s="8"/>
      <c r="N4419" s="8"/>
      <c r="O4419" s="8" t="s">
        <v>8</v>
      </c>
      <c r="P4419" s="8" t="s">
        <v>8</v>
      </c>
    </row>
    <row r="4420">
      <c r="E4420" s="31"/>
      <c r="F4420" s="8" t="s">
        <v>8</v>
      </c>
      <c r="G4420" s="8" t="s">
        <v>8</v>
      </c>
      <c r="H4420" s="8" t="s">
        <v>8</v>
      </c>
      <c r="I4420" s="8" t="s">
        <v>8</v>
      </c>
      <c r="J4420" s="8" t="s">
        <v>8</v>
      </c>
      <c r="K4420" s="8" t="s">
        <v>8</v>
      </c>
      <c r="L4420" s="8" t="s">
        <v>8</v>
      </c>
      <c r="M4420" s="8"/>
      <c r="N4420" s="8"/>
      <c r="O4420" s="8" t="s">
        <v>8</v>
      </c>
      <c r="P4420" s="8" t="s">
        <v>8</v>
      </c>
    </row>
    <row r="4421">
      <c r="E4421" s="31"/>
      <c r="F4421" s="8" t="s">
        <v>8</v>
      </c>
      <c r="G4421" s="8" t="s">
        <v>8</v>
      </c>
      <c r="H4421" s="8" t="s">
        <v>8</v>
      </c>
      <c r="I4421" s="8" t="s">
        <v>8</v>
      </c>
      <c r="J4421" s="8" t="s">
        <v>8</v>
      </c>
      <c r="K4421" s="8" t="s">
        <v>8</v>
      </c>
      <c r="L4421" s="8" t="s">
        <v>8</v>
      </c>
      <c r="M4421" s="8"/>
      <c r="N4421" s="8"/>
      <c r="O4421" s="8" t="s">
        <v>8</v>
      </c>
      <c r="P4421" s="8" t="s">
        <v>8</v>
      </c>
    </row>
    <row r="4422">
      <c r="E4422" s="31"/>
      <c r="F4422" s="8" t="s">
        <v>8</v>
      </c>
      <c r="G4422" s="8" t="s">
        <v>8</v>
      </c>
      <c r="H4422" s="8" t="s">
        <v>8</v>
      </c>
      <c r="I4422" s="8" t="s">
        <v>8</v>
      </c>
      <c r="J4422" s="8" t="s">
        <v>8</v>
      </c>
      <c r="K4422" s="8" t="s">
        <v>8</v>
      </c>
      <c r="L4422" s="8" t="s">
        <v>8</v>
      </c>
      <c r="M4422" s="8"/>
      <c r="N4422" s="8"/>
      <c r="O4422" s="8" t="s">
        <v>8</v>
      </c>
      <c r="P4422" s="8" t="s">
        <v>8</v>
      </c>
    </row>
    <row r="4423">
      <c r="E4423" s="31"/>
      <c r="F4423" s="8" t="s">
        <v>8</v>
      </c>
      <c r="G4423" s="8" t="s">
        <v>8</v>
      </c>
      <c r="H4423" s="8" t="s">
        <v>8</v>
      </c>
      <c r="I4423" s="8" t="s">
        <v>8</v>
      </c>
      <c r="J4423" s="8" t="s">
        <v>8</v>
      </c>
      <c r="K4423" s="8" t="s">
        <v>8</v>
      </c>
      <c r="L4423" s="8" t="s">
        <v>8</v>
      </c>
      <c r="M4423" s="8"/>
      <c r="N4423" s="8"/>
      <c r="O4423" s="8" t="s">
        <v>8</v>
      </c>
      <c r="P4423" s="8" t="s">
        <v>8</v>
      </c>
    </row>
    <row r="4424">
      <c r="E4424" s="31"/>
      <c r="F4424" s="8" t="s">
        <v>8</v>
      </c>
      <c r="G4424" s="8" t="s">
        <v>8</v>
      </c>
      <c r="H4424" s="8" t="s">
        <v>8</v>
      </c>
      <c r="I4424" s="8" t="s">
        <v>8</v>
      </c>
      <c r="J4424" s="8" t="s">
        <v>8</v>
      </c>
      <c r="K4424" s="8" t="s">
        <v>8</v>
      </c>
      <c r="L4424" s="8" t="s">
        <v>8</v>
      </c>
      <c r="M4424" s="8"/>
      <c r="N4424" s="8"/>
      <c r="O4424" s="8" t="s">
        <v>8</v>
      </c>
      <c r="P4424" s="8" t="s">
        <v>8</v>
      </c>
    </row>
    <row r="4425">
      <c r="E4425" s="31"/>
      <c r="F4425" s="8" t="s">
        <v>8</v>
      </c>
      <c r="G4425" s="8" t="s">
        <v>8</v>
      </c>
      <c r="H4425" s="8" t="s">
        <v>8</v>
      </c>
      <c r="I4425" s="8" t="s">
        <v>8</v>
      </c>
      <c r="J4425" s="8" t="s">
        <v>8</v>
      </c>
      <c r="K4425" s="8" t="s">
        <v>8</v>
      </c>
      <c r="L4425" s="8" t="s">
        <v>8</v>
      </c>
      <c r="M4425" s="8"/>
      <c r="N4425" s="8"/>
      <c r="O4425" s="8" t="s">
        <v>8</v>
      </c>
      <c r="P4425" s="8" t="s">
        <v>8</v>
      </c>
    </row>
    <row r="4426">
      <c r="E4426" s="31"/>
      <c r="F4426" s="8" t="s">
        <v>8</v>
      </c>
      <c r="G4426" s="8" t="s">
        <v>8</v>
      </c>
      <c r="H4426" s="8" t="s">
        <v>8</v>
      </c>
      <c r="I4426" s="8" t="s">
        <v>8</v>
      </c>
      <c r="J4426" s="8" t="s">
        <v>8</v>
      </c>
      <c r="K4426" s="8" t="s">
        <v>8</v>
      </c>
      <c r="L4426" s="8" t="s">
        <v>8</v>
      </c>
      <c r="M4426" s="8"/>
      <c r="N4426" s="8"/>
      <c r="O4426" s="8" t="s">
        <v>8</v>
      </c>
      <c r="P4426" s="8" t="s">
        <v>8</v>
      </c>
    </row>
    <row r="4427">
      <c r="E4427" s="31"/>
      <c r="F4427" s="8" t="s">
        <v>8</v>
      </c>
      <c r="G4427" s="8" t="s">
        <v>8</v>
      </c>
      <c r="H4427" s="8" t="s">
        <v>8</v>
      </c>
      <c r="I4427" s="8" t="s">
        <v>8</v>
      </c>
      <c r="J4427" s="8" t="s">
        <v>8</v>
      </c>
      <c r="K4427" s="8" t="s">
        <v>8</v>
      </c>
      <c r="L4427" s="8" t="s">
        <v>8</v>
      </c>
      <c r="M4427" s="8"/>
      <c r="N4427" s="8"/>
      <c r="O4427" s="8" t="s">
        <v>8</v>
      </c>
      <c r="P4427" s="8" t="s">
        <v>8</v>
      </c>
    </row>
    <row r="4428">
      <c r="E4428" s="31"/>
      <c r="F4428" s="8" t="s">
        <v>8</v>
      </c>
      <c r="G4428" s="8" t="s">
        <v>8</v>
      </c>
      <c r="H4428" s="8" t="s">
        <v>8</v>
      </c>
      <c r="I4428" s="8" t="s">
        <v>8</v>
      </c>
      <c r="J4428" s="8" t="s">
        <v>8</v>
      </c>
      <c r="K4428" s="8" t="s">
        <v>8</v>
      </c>
      <c r="L4428" s="8" t="s">
        <v>8</v>
      </c>
      <c r="M4428" s="8"/>
      <c r="N4428" s="8"/>
      <c r="O4428" s="8" t="s">
        <v>8</v>
      </c>
      <c r="P4428" s="8" t="s">
        <v>8</v>
      </c>
    </row>
    <row r="4429">
      <c r="E4429" s="31"/>
      <c r="F4429" s="8" t="s">
        <v>8</v>
      </c>
      <c r="G4429" s="8" t="s">
        <v>8</v>
      </c>
      <c r="H4429" s="8" t="s">
        <v>8</v>
      </c>
      <c r="I4429" s="8" t="s">
        <v>8</v>
      </c>
      <c r="J4429" s="8" t="s">
        <v>8</v>
      </c>
      <c r="K4429" s="8" t="s">
        <v>8</v>
      </c>
      <c r="L4429" s="8" t="s">
        <v>8</v>
      </c>
      <c r="M4429" s="8"/>
      <c r="N4429" s="8"/>
      <c r="O4429" s="8" t="s">
        <v>8</v>
      </c>
      <c r="P4429" s="8" t="s">
        <v>8</v>
      </c>
    </row>
    <row r="4430">
      <c r="E4430" s="31"/>
      <c r="F4430" s="8" t="s">
        <v>8</v>
      </c>
      <c r="G4430" s="8" t="s">
        <v>8</v>
      </c>
      <c r="H4430" s="8" t="s">
        <v>8</v>
      </c>
      <c r="I4430" s="8" t="s">
        <v>8</v>
      </c>
      <c r="J4430" s="8" t="s">
        <v>8</v>
      </c>
      <c r="K4430" s="8" t="s">
        <v>8</v>
      </c>
      <c r="L4430" s="8" t="s">
        <v>8</v>
      </c>
      <c r="M4430" s="8"/>
      <c r="N4430" s="8"/>
      <c r="O4430" s="8" t="s">
        <v>8</v>
      </c>
      <c r="P4430" s="8" t="s">
        <v>8</v>
      </c>
    </row>
    <row r="4431">
      <c r="E4431" s="31"/>
      <c r="F4431" s="8" t="s">
        <v>8</v>
      </c>
      <c r="G4431" s="8" t="s">
        <v>8</v>
      </c>
      <c r="H4431" s="8" t="s">
        <v>8</v>
      </c>
      <c r="I4431" s="8" t="s">
        <v>8</v>
      </c>
      <c r="J4431" s="8" t="s">
        <v>8</v>
      </c>
      <c r="K4431" s="8" t="s">
        <v>8</v>
      </c>
      <c r="L4431" s="8" t="s">
        <v>8</v>
      </c>
      <c r="M4431" s="8"/>
      <c r="N4431" s="8"/>
      <c r="O4431" s="8" t="s">
        <v>8</v>
      </c>
      <c r="P4431" s="8" t="s">
        <v>8</v>
      </c>
    </row>
    <row r="4432">
      <c r="E4432" s="31"/>
      <c r="F4432" s="8" t="s">
        <v>8</v>
      </c>
      <c r="G4432" s="8" t="s">
        <v>8</v>
      </c>
      <c r="H4432" s="8" t="s">
        <v>8</v>
      </c>
      <c r="I4432" s="8" t="s">
        <v>8</v>
      </c>
      <c r="J4432" s="8" t="s">
        <v>8</v>
      </c>
      <c r="K4432" s="8" t="s">
        <v>8</v>
      </c>
      <c r="L4432" s="8" t="s">
        <v>8</v>
      </c>
      <c r="M4432" s="8"/>
      <c r="N4432" s="8"/>
      <c r="O4432" s="8" t="s">
        <v>8</v>
      </c>
      <c r="P4432" s="8" t="s">
        <v>8</v>
      </c>
    </row>
    <row r="4433">
      <c r="E4433" s="31"/>
      <c r="F4433" s="8" t="s">
        <v>8</v>
      </c>
      <c r="G4433" s="8" t="s">
        <v>8</v>
      </c>
      <c r="H4433" s="8" t="s">
        <v>8</v>
      </c>
      <c r="I4433" s="8" t="s">
        <v>8</v>
      </c>
      <c r="J4433" s="8" t="s">
        <v>8</v>
      </c>
      <c r="K4433" s="8" t="s">
        <v>8</v>
      </c>
      <c r="L4433" s="8" t="s">
        <v>8</v>
      </c>
      <c r="M4433" s="8"/>
      <c r="N4433" s="8"/>
      <c r="O4433" s="8" t="s">
        <v>8</v>
      </c>
      <c r="P4433" s="8" t="s">
        <v>8</v>
      </c>
    </row>
    <row r="4434">
      <c r="E4434" s="31"/>
      <c r="F4434" s="8" t="s">
        <v>8</v>
      </c>
      <c r="G4434" s="8" t="s">
        <v>8</v>
      </c>
      <c r="H4434" s="8" t="s">
        <v>8</v>
      </c>
      <c r="I4434" s="8" t="s">
        <v>8</v>
      </c>
      <c r="J4434" s="8" t="s">
        <v>8</v>
      </c>
      <c r="K4434" s="8" t="s">
        <v>8</v>
      </c>
      <c r="L4434" s="8" t="s">
        <v>8</v>
      </c>
      <c r="M4434" s="8"/>
      <c r="N4434" s="8"/>
      <c r="O4434" s="8" t="s">
        <v>8</v>
      </c>
      <c r="P4434" s="8" t="s">
        <v>8</v>
      </c>
    </row>
    <row r="4435">
      <c r="E4435" s="31"/>
      <c r="F4435" s="8" t="s">
        <v>8</v>
      </c>
      <c r="G4435" s="8" t="s">
        <v>8</v>
      </c>
      <c r="H4435" s="8" t="s">
        <v>8</v>
      </c>
      <c r="I4435" s="8" t="s">
        <v>8</v>
      </c>
      <c r="J4435" s="8" t="s">
        <v>8</v>
      </c>
      <c r="K4435" s="8" t="s">
        <v>8</v>
      </c>
      <c r="L4435" s="8" t="s">
        <v>8</v>
      </c>
      <c r="M4435" s="8"/>
      <c r="N4435" s="8"/>
      <c r="O4435" s="8" t="s">
        <v>8</v>
      </c>
      <c r="P4435" s="8" t="s">
        <v>8</v>
      </c>
    </row>
    <row r="4436">
      <c r="E4436" s="31"/>
      <c r="F4436" s="8" t="s">
        <v>8</v>
      </c>
      <c r="G4436" s="8" t="s">
        <v>8</v>
      </c>
      <c r="H4436" s="8" t="s">
        <v>8</v>
      </c>
      <c r="I4436" s="8" t="s">
        <v>8</v>
      </c>
      <c r="J4436" s="8" t="s">
        <v>8</v>
      </c>
      <c r="K4436" s="8" t="s">
        <v>8</v>
      </c>
      <c r="L4436" s="8" t="s">
        <v>8</v>
      </c>
      <c r="M4436" s="8"/>
      <c r="N4436" s="8"/>
      <c r="O4436" s="8" t="s">
        <v>8</v>
      </c>
      <c r="P4436" s="8" t="s">
        <v>8</v>
      </c>
    </row>
    <row r="4437">
      <c r="E4437" s="31"/>
      <c r="F4437" s="8" t="s">
        <v>8</v>
      </c>
      <c r="G4437" s="8" t="s">
        <v>8</v>
      </c>
      <c r="H4437" s="8" t="s">
        <v>8</v>
      </c>
      <c r="I4437" s="8" t="s">
        <v>8</v>
      </c>
      <c r="J4437" s="8" t="s">
        <v>8</v>
      </c>
      <c r="K4437" s="8" t="s">
        <v>8</v>
      </c>
      <c r="L4437" s="8" t="s">
        <v>8</v>
      </c>
      <c r="M4437" s="8"/>
      <c r="N4437" s="8"/>
      <c r="O4437" s="8" t="s">
        <v>8</v>
      </c>
      <c r="P4437" s="8" t="s">
        <v>8</v>
      </c>
    </row>
    <row r="4438">
      <c r="E4438" s="31"/>
      <c r="F4438" s="8" t="s">
        <v>8</v>
      </c>
      <c r="G4438" s="8" t="s">
        <v>8</v>
      </c>
      <c r="H4438" s="8" t="s">
        <v>8</v>
      </c>
      <c r="I4438" s="8" t="s">
        <v>8</v>
      </c>
      <c r="J4438" s="8" t="s">
        <v>8</v>
      </c>
      <c r="K4438" s="8" t="s">
        <v>8</v>
      </c>
      <c r="L4438" s="8" t="s">
        <v>8</v>
      </c>
      <c r="M4438" s="8"/>
      <c r="N4438" s="8"/>
      <c r="O4438" s="8" t="s">
        <v>8</v>
      </c>
      <c r="P4438" s="8" t="s">
        <v>8</v>
      </c>
    </row>
    <row r="4439">
      <c r="E4439" s="31"/>
      <c r="F4439" s="8" t="s">
        <v>8</v>
      </c>
      <c r="G4439" s="8" t="s">
        <v>8</v>
      </c>
      <c r="H4439" s="8" t="s">
        <v>8</v>
      </c>
      <c r="I4439" s="8" t="s">
        <v>8</v>
      </c>
      <c r="J4439" s="8" t="s">
        <v>8</v>
      </c>
      <c r="K4439" s="8" t="s">
        <v>8</v>
      </c>
      <c r="L4439" s="8" t="s">
        <v>8</v>
      </c>
      <c r="M4439" s="8"/>
      <c r="N4439" s="8"/>
      <c r="O4439" s="8" t="s">
        <v>8</v>
      </c>
      <c r="P4439" s="8" t="s">
        <v>8</v>
      </c>
    </row>
    <row r="4440">
      <c r="E4440" s="31"/>
      <c r="F4440" s="8" t="s">
        <v>8</v>
      </c>
      <c r="G4440" s="8" t="s">
        <v>8</v>
      </c>
      <c r="H4440" s="8" t="s">
        <v>8</v>
      </c>
      <c r="I4440" s="8" t="s">
        <v>8</v>
      </c>
      <c r="J4440" s="8" t="s">
        <v>8</v>
      </c>
      <c r="K4440" s="8" t="s">
        <v>8</v>
      </c>
      <c r="L4440" s="8" t="s">
        <v>8</v>
      </c>
      <c r="M4440" s="8"/>
      <c r="N4440" s="8"/>
      <c r="O4440" s="8" t="s">
        <v>8</v>
      </c>
      <c r="P4440" s="8" t="s">
        <v>8</v>
      </c>
    </row>
    <row r="4441">
      <c r="E4441" s="31"/>
      <c r="F4441" s="8" t="s">
        <v>8</v>
      </c>
      <c r="G4441" s="8" t="s">
        <v>8</v>
      </c>
      <c r="H4441" s="8" t="s">
        <v>8</v>
      </c>
      <c r="I4441" s="8" t="s">
        <v>8</v>
      </c>
      <c r="J4441" s="8" t="s">
        <v>8</v>
      </c>
      <c r="K4441" s="8" t="s">
        <v>8</v>
      </c>
      <c r="L4441" s="8" t="s">
        <v>8</v>
      </c>
      <c r="M4441" s="8"/>
      <c r="N4441" s="8"/>
      <c r="O4441" s="8" t="s">
        <v>8</v>
      </c>
      <c r="P4441" s="8" t="s">
        <v>8</v>
      </c>
    </row>
    <row r="4442">
      <c r="E4442" s="31"/>
      <c r="F4442" s="8" t="s">
        <v>8</v>
      </c>
      <c r="G4442" s="8" t="s">
        <v>8</v>
      </c>
      <c r="H4442" s="8" t="s">
        <v>8</v>
      </c>
      <c r="I4442" s="8" t="s">
        <v>8</v>
      </c>
      <c r="J4442" s="8" t="s">
        <v>8</v>
      </c>
      <c r="K4442" s="8" t="s">
        <v>8</v>
      </c>
      <c r="L4442" s="8" t="s">
        <v>8</v>
      </c>
      <c r="M4442" s="8"/>
      <c r="N4442" s="8"/>
      <c r="O4442" s="8" t="s">
        <v>8</v>
      </c>
      <c r="P4442" s="8" t="s">
        <v>8</v>
      </c>
    </row>
    <row r="4443">
      <c r="E4443" s="31"/>
      <c r="F4443" s="8" t="s">
        <v>8</v>
      </c>
      <c r="G4443" s="8" t="s">
        <v>8</v>
      </c>
      <c r="H4443" s="8" t="s">
        <v>8</v>
      </c>
      <c r="I4443" s="8" t="s">
        <v>8</v>
      </c>
      <c r="J4443" s="8" t="s">
        <v>8</v>
      </c>
      <c r="K4443" s="8" t="s">
        <v>8</v>
      </c>
      <c r="L4443" s="8" t="s">
        <v>8</v>
      </c>
      <c r="M4443" s="8"/>
      <c r="N4443" s="8"/>
      <c r="O4443" s="8" t="s">
        <v>8</v>
      </c>
      <c r="P4443" s="8" t="s">
        <v>8</v>
      </c>
    </row>
    <row r="4444">
      <c r="E4444" s="31"/>
      <c r="F4444" s="8" t="s">
        <v>8</v>
      </c>
      <c r="G4444" s="8" t="s">
        <v>8</v>
      </c>
      <c r="H4444" s="8" t="s">
        <v>8</v>
      </c>
      <c r="I4444" s="8" t="s">
        <v>8</v>
      </c>
      <c r="J4444" s="8" t="s">
        <v>8</v>
      </c>
      <c r="K4444" s="8" t="s">
        <v>8</v>
      </c>
      <c r="L4444" s="8" t="s">
        <v>8</v>
      </c>
      <c r="M4444" s="8"/>
      <c r="N4444" s="8"/>
      <c r="O4444" s="8" t="s">
        <v>8</v>
      </c>
      <c r="P4444" s="8" t="s">
        <v>8</v>
      </c>
    </row>
    <row r="4445">
      <c r="E4445" s="31"/>
      <c r="F4445" s="8" t="s">
        <v>8</v>
      </c>
      <c r="G4445" s="8" t="s">
        <v>8</v>
      </c>
      <c r="H4445" s="8" t="s">
        <v>8</v>
      </c>
      <c r="I4445" s="8" t="s">
        <v>8</v>
      </c>
      <c r="J4445" s="8" t="s">
        <v>8</v>
      </c>
      <c r="K4445" s="8" t="s">
        <v>8</v>
      </c>
      <c r="L4445" s="8" t="s">
        <v>8</v>
      </c>
      <c r="M4445" s="8"/>
      <c r="N4445" s="8"/>
      <c r="O4445" s="8" t="s">
        <v>8</v>
      </c>
      <c r="P4445" s="8" t="s">
        <v>8</v>
      </c>
    </row>
    <row r="4446">
      <c r="E4446" s="31"/>
      <c r="F4446" s="8" t="s">
        <v>8</v>
      </c>
      <c r="G4446" s="8" t="s">
        <v>8</v>
      </c>
      <c r="H4446" s="8" t="s">
        <v>8</v>
      </c>
      <c r="I4446" s="8" t="s">
        <v>8</v>
      </c>
      <c r="J4446" s="8" t="s">
        <v>8</v>
      </c>
      <c r="K4446" s="8" t="s">
        <v>8</v>
      </c>
      <c r="L4446" s="8" t="s">
        <v>8</v>
      </c>
      <c r="M4446" s="8"/>
      <c r="N4446" s="8"/>
      <c r="O4446" s="8" t="s">
        <v>8</v>
      </c>
      <c r="P4446" s="8" t="s">
        <v>8</v>
      </c>
    </row>
    <row r="4447">
      <c r="E4447" s="31"/>
      <c r="F4447" s="8" t="s">
        <v>8</v>
      </c>
      <c r="G4447" s="8" t="s">
        <v>8</v>
      </c>
      <c r="H4447" s="8" t="s">
        <v>8</v>
      </c>
      <c r="I4447" s="8" t="s">
        <v>8</v>
      </c>
      <c r="J4447" s="8" t="s">
        <v>8</v>
      </c>
      <c r="K4447" s="8" t="s">
        <v>8</v>
      </c>
      <c r="L4447" s="8" t="s">
        <v>8</v>
      </c>
      <c r="M4447" s="8"/>
      <c r="N4447" s="8"/>
      <c r="O4447" s="8" t="s">
        <v>8</v>
      </c>
      <c r="P4447" s="8" t="s">
        <v>8</v>
      </c>
    </row>
    <row r="4448">
      <c r="E4448" s="31"/>
      <c r="F4448" s="8" t="s">
        <v>8</v>
      </c>
      <c r="G4448" s="8" t="s">
        <v>8</v>
      </c>
      <c r="H4448" s="8" t="s">
        <v>8</v>
      </c>
      <c r="I4448" s="8" t="s">
        <v>8</v>
      </c>
      <c r="J4448" s="8" t="s">
        <v>8</v>
      </c>
      <c r="K4448" s="8" t="s">
        <v>8</v>
      </c>
      <c r="L4448" s="8" t="s">
        <v>8</v>
      </c>
      <c r="M4448" s="8"/>
      <c r="N4448" s="8"/>
      <c r="O4448" s="8" t="s">
        <v>8</v>
      </c>
      <c r="P4448" s="8" t="s">
        <v>8</v>
      </c>
    </row>
    <row r="4449">
      <c r="E4449" s="31"/>
      <c r="F4449" s="8" t="s">
        <v>8</v>
      </c>
      <c r="G4449" s="8" t="s">
        <v>8</v>
      </c>
      <c r="H4449" s="8" t="s">
        <v>8</v>
      </c>
      <c r="I4449" s="8" t="s">
        <v>8</v>
      </c>
      <c r="J4449" s="8" t="s">
        <v>8</v>
      </c>
      <c r="K4449" s="8" t="s">
        <v>8</v>
      </c>
      <c r="L4449" s="8" t="s">
        <v>8</v>
      </c>
      <c r="M4449" s="8"/>
      <c r="N4449" s="8"/>
      <c r="O4449" s="8" t="s">
        <v>8</v>
      </c>
      <c r="P4449" s="8" t="s">
        <v>8</v>
      </c>
    </row>
    <row r="4450">
      <c r="E4450" s="31"/>
      <c r="F4450" s="8" t="s">
        <v>8</v>
      </c>
      <c r="G4450" s="8" t="s">
        <v>8</v>
      </c>
      <c r="H4450" s="8" t="s">
        <v>8</v>
      </c>
      <c r="I4450" s="8" t="s">
        <v>8</v>
      </c>
      <c r="J4450" s="8" t="s">
        <v>8</v>
      </c>
      <c r="K4450" s="8" t="s">
        <v>8</v>
      </c>
      <c r="L4450" s="8" t="s">
        <v>8</v>
      </c>
      <c r="M4450" s="8"/>
      <c r="N4450" s="8"/>
      <c r="O4450" s="8" t="s">
        <v>8</v>
      </c>
      <c r="P4450" s="8" t="s">
        <v>8</v>
      </c>
    </row>
    <row r="4451">
      <c r="E4451" s="31"/>
      <c r="F4451" s="8" t="s">
        <v>8</v>
      </c>
      <c r="G4451" s="8" t="s">
        <v>8</v>
      </c>
      <c r="H4451" s="8" t="s">
        <v>8</v>
      </c>
      <c r="I4451" s="8" t="s">
        <v>8</v>
      </c>
      <c r="J4451" s="8" t="s">
        <v>8</v>
      </c>
      <c r="K4451" s="8" t="s">
        <v>8</v>
      </c>
      <c r="L4451" s="8" t="s">
        <v>8</v>
      </c>
      <c r="M4451" s="8"/>
      <c r="N4451" s="8"/>
      <c r="O4451" s="8" t="s">
        <v>8</v>
      </c>
      <c r="P4451" s="8" t="s">
        <v>8</v>
      </c>
    </row>
    <row r="4452">
      <c r="E4452" s="31"/>
      <c r="F4452" s="8" t="s">
        <v>8</v>
      </c>
      <c r="G4452" s="8" t="s">
        <v>8</v>
      </c>
      <c r="H4452" s="8" t="s">
        <v>8</v>
      </c>
      <c r="I4452" s="8" t="s">
        <v>8</v>
      </c>
      <c r="J4452" s="8" t="s">
        <v>8</v>
      </c>
      <c r="K4452" s="8" t="s">
        <v>8</v>
      </c>
      <c r="L4452" s="8" t="s">
        <v>8</v>
      </c>
      <c r="M4452" s="8"/>
      <c r="N4452" s="8"/>
      <c r="O4452" s="8" t="s">
        <v>8</v>
      </c>
      <c r="P4452" s="8" t="s">
        <v>8</v>
      </c>
    </row>
    <row r="4453">
      <c r="E4453" s="31"/>
      <c r="F4453" s="8" t="s">
        <v>8</v>
      </c>
      <c r="G4453" s="8" t="s">
        <v>8</v>
      </c>
      <c r="H4453" s="8" t="s">
        <v>8</v>
      </c>
      <c r="I4453" s="8" t="s">
        <v>8</v>
      </c>
      <c r="J4453" s="8" t="s">
        <v>8</v>
      </c>
      <c r="K4453" s="8" t="s">
        <v>8</v>
      </c>
      <c r="L4453" s="8" t="s">
        <v>8</v>
      </c>
      <c r="M4453" s="8"/>
      <c r="N4453" s="8"/>
      <c r="O4453" s="8" t="s">
        <v>8</v>
      </c>
      <c r="P4453" s="8" t="s">
        <v>8</v>
      </c>
    </row>
    <row r="4454">
      <c r="E4454" s="31"/>
      <c r="F4454" s="8" t="s">
        <v>8</v>
      </c>
      <c r="G4454" s="8" t="s">
        <v>8</v>
      </c>
      <c r="H4454" s="8" t="s">
        <v>8</v>
      </c>
      <c r="I4454" s="8" t="s">
        <v>8</v>
      </c>
      <c r="J4454" s="8" t="s">
        <v>8</v>
      </c>
      <c r="K4454" s="8" t="s">
        <v>8</v>
      </c>
      <c r="L4454" s="8" t="s">
        <v>8</v>
      </c>
      <c r="M4454" s="8"/>
      <c r="N4454" s="8"/>
      <c r="O4454" s="8" t="s">
        <v>8</v>
      </c>
      <c r="P4454" s="8" t="s">
        <v>8</v>
      </c>
    </row>
    <row r="4455">
      <c r="E4455" s="31"/>
      <c r="F4455" s="8" t="s">
        <v>8</v>
      </c>
      <c r="G4455" s="8" t="s">
        <v>8</v>
      </c>
      <c r="H4455" s="8" t="s">
        <v>8</v>
      </c>
      <c r="I4455" s="8" t="s">
        <v>8</v>
      </c>
      <c r="J4455" s="8" t="s">
        <v>8</v>
      </c>
      <c r="K4455" s="8" t="s">
        <v>8</v>
      </c>
      <c r="L4455" s="8" t="s">
        <v>8</v>
      </c>
      <c r="M4455" s="8"/>
      <c r="N4455" s="8"/>
      <c r="O4455" s="8" t="s">
        <v>8</v>
      </c>
      <c r="P4455" s="8" t="s">
        <v>8</v>
      </c>
    </row>
    <row r="4456">
      <c r="E4456" s="31"/>
      <c r="F4456" s="8" t="s">
        <v>8</v>
      </c>
      <c r="G4456" s="8" t="s">
        <v>8</v>
      </c>
      <c r="H4456" s="8" t="s">
        <v>8</v>
      </c>
      <c r="I4456" s="8" t="s">
        <v>8</v>
      </c>
      <c r="J4456" s="8" t="s">
        <v>8</v>
      </c>
      <c r="K4456" s="8" t="s">
        <v>8</v>
      </c>
      <c r="L4456" s="8" t="s">
        <v>8</v>
      </c>
      <c r="M4456" s="8"/>
      <c r="N4456" s="8"/>
      <c r="O4456" s="8" t="s">
        <v>8</v>
      </c>
      <c r="P4456" s="8" t="s">
        <v>8</v>
      </c>
    </row>
    <row r="4457">
      <c r="E4457" s="31"/>
      <c r="F4457" s="8" t="s">
        <v>8</v>
      </c>
      <c r="G4457" s="8" t="s">
        <v>8</v>
      </c>
      <c r="H4457" s="8" t="s">
        <v>8</v>
      </c>
      <c r="I4457" s="8" t="s">
        <v>8</v>
      </c>
      <c r="J4457" s="8" t="s">
        <v>8</v>
      </c>
      <c r="K4457" s="8" t="s">
        <v>8</v>
      </c>
      <c r="L4457" s="8" t="s">
        <v>8</v>
      </c>
      <c r="M4457" s="8"/>
      <c r="N4457" s="8"/>
      <c r="O4457" s="8" t="s">
        <v>8</v>
      </c>
      <c r="P4457" s="8" t="s">
        <v>8</v>
      </c>
    </row>
    <row r="4458">
      <c r="E4458" s="31"/>
      <c r="F4458" s="8" t="s">
        <v>8</v>
      </c>
      <c r="G4458" s="8" t="s">
        <v>8</v>
      </c>
      <c r="H4458" s="8" t="s">
        <v>8</v>
      </c>
      <c r="I4458" s="8" t="s">
        <v>8</v>
      </c>
      <c r="J4458" s="8" t="s">
        <v>8</v>
      </c>
      <c r="K4458" s="8" t="s">
        <v>8</v>
      </c>
      <c r="L4458" s="8" t="s">
        <v>8</v>
      </c>
      <c r="M4458" s="8"/>
      <c r="N4458" s="8"/>
      <c r="O4458" s="8" t="s">
        <v>8</v>
      </c>
      <c r="P4458" s="8" t="s">
        <v>8</v>
      </c>
    </row>
    <row r="4459">
      <c r="E4459" s="31"/>
      <c r="F4459" s="8" t="s">
        <v>8</v>
      </c>
      <c r="G4459" s="8" t="s">
        <v>8</v>
      </c>
      <c r="H4459" s="8" t="s">
        <v>8</v>
      </c>
      <c r="I4459" s="8" t="s">
        <v>8</v>
      </c>
      <c r="J4459" s="8" t="s">
        <v>8</v>
      </c>
      <c r="K4459" s="8" t="s">
        <v>8</v>
      </c>
      <c r="L4459" s="8" t="s">
        <v>8</v>
      </c>
      <c r="M4459" s="8"/>
      <c r="N4459" s="8"/>
      <c r="O4459" s="8" t="s">
        <v>8</v>
      </c>
      <c r="P4459" s="8" t="s">
        <v>8</v>
      </c>
    </row>
    <row r="4460">
      <c r="E4460" s="31"/>
      <c r="F4460" s="8" t="s">
        <v>8</v>
      </c>
      <c r="G4460" s="8" t="s">
        <v>8</v>
      </c>
      <c r="H4460" s="8" t="s">
        <v>8</v>
      </c>
      <c r="I4460" s="8" t="s">
        <v>8</v>
      </c>
      <c r="J4460" s="8" t="s">
        <v>8</v>
      </c>
      <c r="K4460" s="8" t="s">
        <v>8</v>
      </c>
      <c r="L4460" s="8" t="s">
        <v>8</v>
      </c>
      <c r="M4460" s="8"/>
      <c r="N4460" s="8"/>
      <c r="O4460" s="8" t="s">
        <v>8</v>
      </c>
      <c r="P4460" s="8" t="s">
        <v>8</v>
      </c>
    </row>
    <row r="4461">
      <c r="E4461" s="31"/>
      <c r="F4461" s="8" t="s">
        <v>8</v>
      </c>
      <c r="G4461" s="8" t="s">
        <v>8</v>
      </c>
      <c r="H4461" s="8" t="s">
        <v>8</v>
      </c>
      <c r="I4461" s="8" t="s">
        <v>8</v>
      </c>
      <c r="J4461" s="8" t="s">
        <v>8</v>
      </c>
      <c r="K4461" s="8" t="s">
        <v>8</v>
      </c>
      <c r="L4461" s="8" t="s">
        <v>8</v>
      </c>
      <c r="M4461" s="8"/>
      <c r="N4461" s="8"/>
      <c r="O4461" s="8" t="s">
        <v>8</v>
      </c>
      <c r="P4461" s="8" t="s">
        <v>8</v>
      </c>
    </row>
    <row r="4462">
      <c r="E4462" s="31"/>
      <c r="F4462" s="8" t="s">
        <v>8</v>
      </c>
      <c r="G4462" s="8" t="s">
        <v>8</v>
      </c>
      <c r="H4462" s="8" t="s">
        <v>8</v>
      </c>
      <c r="I4462" s="8" t="s">
        <v>8</v>
      </c>
      <c r="J4462" s="8" t="s">
        <v>8</v>
      </c>
      <c r="K4462" s="8" t="s">
        <v>8</v>
      </c>
      <c r="L4462" s="8" t="s">
        <v>8</v>
      </c>
      <c r="M4462" s="8"/>
      <c r="N4462" s="8"/>
      <c r="O4462" s="8" t="s">
        <v>8</v>
      </c>
      <c r="P4462" s="8" t="s">
        <v>8</v>
      </c>
    </row>
    <row r="4463">
      <c r="E4463" s="31"/>
      <c r="F4463" s="8" t="s">
        <v>8</v>
      </c>
      <c r="G4463" s="8" t="s">
        <v>8</v>
      </c>
      <c r="H4463" s="8" t="s">
        <v>8</v>
      </c>
      <c r="I4463" s="8" t="s">
        <v>8</v>
      </c>
      <c r="J4463" s="8" t="s">
        <v>8</v>
      </c>
      <c r="K4463" s="8" t="s">
        <v>8</v>
      </c>
      <c r="L4463" s="8" t="s">
        <v>8</v>
      </c>
      <c r="M4463" s="8"/>
      <c r="N4463" s="8"/>
      <c r="O4463" s="8" t="s">
        <v>8</v>
      </c>
      <c r="P4463" s="8" t="s">
        <v>8</v>
      </c>
    </row>
    <row r="4464">
      <c r="E4464" s="31"/>
      <c r="F4464" s="8" t="s">
        <v>8</v>
      </c>
      <c r="G4464" s="8" t="s">
        <v>8</v>
      </c>
      <c r="H4464" s="8" t="s">
        <v>8</v>
      </c>
      <c r="I4464" s="8" t="s">
        <v>8</v>
      </c>
      <c r="J4464" s="8" t="s">
        <v>8</v>
      </c>
      <c r="K4464" s="8" t="s">
        <v>8</v>
      </c>
      <c r="L4464" s="8" t="s">
        <v>8</v>
      </c>
      <c r="M4464" s="8"/>
      <c r="N4464" s="8"/>
      <c r="O4464" s="8" t="s">
        <v>8</v>
      </c>
      <c r="P4464" s="8" t="s">
        <v>8</v>
      </c>
    </row>
    <row r="4465">
      <c r="E4465" s="31"/>
      <c r="F4465" s="8" t="s">
        <v>8</v>
      </c>
      <c r="G4465" s="8" t="s">
        <v>8</v>
      </c>
      <c r="H4465" s="8" t="s">
        <v>8</v>
      </c>
      <c r="I4465" s="8" t="s">
        <v>8</v>
      </c>
      <c r="J4465" s="8" t="s">
        <v>8</v>
      </c>
      <c r="K4465" s="8" t="s">
        <v>8</v>
      </c>
      <c r="L4465" s="8" t="s">
        <v>8</v>
      </c>
      <c r="M4465" s="8"/>
      <c r="N4465" s="8"/>
      <c r="O4465" s="8" t="s">
        <v>8</v>
      </c>
      <c r="P4465" s="8" t="s">
        <v>8</v>
      </c>
    </row>
    <row r="4466">
      <c r="E4466" s="31"/>
      <c r="F4466" s="8" t="s">
        <v>8</v>
      </c>
      <c r="G4466" s="8" t="s">
        <v>8</v>
      </c>
      <c r="H4466" s="8" t="s">
        <v>8</v>
      </c>
      <c r="I4466" s="8" t="s">
        <v>8</v>
      </c>
      <c r="J4466" s="8" t="s">
        <v>8</v>
      </c>
      <c r="K4466" s="8" t="s">
        <v>8</v>
      </c>
      <c r="L4466" s="8" t="s">
        <v>8</v>
      </c>
      <c r="M4466" s="8"/>
      <c r="N4466" s="8"/>
      <c r="O4466" s="8" t="s">
        <v>8</v>
      </c>
      <c r="P4466" s="8" t="s">
        <v>8</v>
      </c>
    </row>
    <row r="4467">
      <c r="E4467" s="31"/>
      <c r="F4467" s="8" t="s">
        <v>8</v>
      </c>
      <c r="G4467" s="8" t="s">
        <v>8</v>
      </c>
      <c r="H4467" s="8" t="s">
        <v>8</v>
      </c>
      <c r="I4467" s="8" t="s">
        <v>8</v>
      </c>
      <c r="J4467" s="8" t="s">
        <v>8</v>
      </c>
      <c r="K4467" s="8" t="s">
        <v>8</v>
      </c>
      <c r="L4467" s="8" t="s">
        <v>8</v>
      </c>
      <c r="M4467" s="8"/>
      <c r="N4467" s="8"/>
      <c r="O4467" s="8" t="s">
        <v>8</v>
      </c>
      <c r="P4467" s="8" t="s">
        <v>8</v>
      </c>
    </row>
    <row r="4468">
      <c r="E4468" s="31"/>
      <c r="F4468" s="8" t="s">
        <v>8</v>
      </c>
      <c r="G4468" s="8" t="s">
        <v>8</v>
      </c>
      <c r="H4468" s="8" t="s">
        <v>8</v>
      </c>
      <c r="I4468" s="8" t="s">
        <v>8</v>
      </c>
      <c r="J4468" s="8" t="s">
        <v>8</v>
      </c>
      <c r="K4468" s="8" t="s">
        <v>8</v>
      </c>
      <c r="L4468" s="8" t="s">
        <v>8</v>
      </c>
      <c r="M4468" s="8"/>
      <c r="N4468" s="8"/>
      <c r="O4468" s="8" t="s">
        <v>8</v>
      </c>
      <c r="P4468" s="8" t="s">
        <v>8</v>
      </c>
    </row>
    <row r="4469">
      <c r="E4469" s="31"/>
      <c r="F4469" s="8" t="s">
        <v>8</v>
      </c>
      <c r="G4469" s="8" t="s">
        <v>8</v>
      </c>
      <c r="H4469" s="8" t="s">
        <v>8</v>
      </c>
      <c r="I4469" s="8" t="s">
        <v>8</v>
      </c>
      <c r="J4469" s="8" t="s">
        <v>8</v>
      </c>
      <c r="K4469" s="8" t="s">
        <v>8</v>
      </c>
      <c r="L4469" s="8" t="s">
        <v>8</v>
      </c>
      <c r="M4469" s="8"/>
      <c r="N4469" s="8"/>
      <c r="O4469" s="8" t="s">
        <v>8</v>
      </c>
      <c r="P4469" s="8" t="s">
        <v>8</v>
      </c>
    </row>
    <row r="4470">
      <c r="E4470" s="31"/>
      <c r="F4470" s="8" t="s">
        <v>8</v>
      </c>
      <c r="G4470" s="8" t="s">
        <v>8</v>
      </c>
      <c r="H4470" s="8" t="s">
        <v>8</v>
      </c>
      <c r="I4470" s="8" t="s">
        <v>8</v>
      </c>
      <c r="J4470" s="8" t="s">
        <v>8</v>
      </c>
      <c r="K4470" s="8" t="s">
        <v>8</v>
      </c>
      <c r="L4470" s="8" t="s">
        <v>8</v>
      </c>
      <c r="M4470" s="8"/>
      <c r="N4470" s="8"/>
      <c r="O4470" s="8" t="s">
        <v>8</v>
      </c>
      <c r="P4470" s="8" t="s">
        <v>8</v>
      </c>
    </row>
    <row r="4471">
      <c r="E4471" s="31"/>
      <c r="F4471" s="8" t="s">
        <v>8</v>
      </c>
      <c r="G4471" s="8" t="s">
        <v>8</v>
      </c>
      <c r="H4471" s="8" t="s">
        <v>8</v>
      </c>
      <c r="I4471" s="8" t="s">
        <v>8</v>
      </c>
      <c r="J4471" s="8" t="s">
        <v>8</v>
      </c>
      <c r="K4471" s="8" t="s">
        <v>8</v>
      </c>
      <c r="L4471" s="8" t="s">
        <v>8</v>
      </c>
      <c r="M4471" s="8"/>
      <c r="N4471" s="8"/>
      <c r="O4471" s="8" t="s">
        <v>8</v>
      </c>
      <c r="P4471" s="8" t="s">
        <v>8</v>
      </c>
    </row>
    <row r="4472">
      <c r="E4472" s="31"/>
      <c r="F4472" s="8" t="s">
        <v>8</v>
      </c>
      <c r="G4472" s="8" t="s">
        <v>8</v>
      </c>
      <c r="H4472" s="8" t="s">
        <v>8</v>
      </c>
      <c r="I4472" s="8" t="s">
        <v>8</v>
      </c>
      <c r="J4472" s="8" t="s">
        <v>8</v>
      </c>
      <c r="K4472" s="8" t="s">
        <v>8</v>
      </c>
      <c r="L4472" s="8" t="s">
        <v>8</v>
      </c>
      <c r="M4472" s="8"/>
      <c r="N4472" s="8"/>
      <c r="O4472" s="8" t="s">
        <v>8</v>
      </c>
      <c r="P4472" s="8" t="s">
        <v>8</v>
      </c>
    </row>
    <row r="4473">
      <c r="E4473" s="31"/>
      <c r="F4473" s="8" t="s">
        <v>8</v>
      </c>
      <c r="G4473" s="8" t="s">
        <v>8</v>
      </c>
      <c r="H4473" s="8" t="s">
        <v>8</v>
      </c>
      <c r="I4473" s="8" t="s">
        <v>8</v>
      </c>
      <c r="J4473" s="8" t="s">
        <v>8</v>
      </c>
      <c r="K4473" s="8" t="s">
        <v>8</v>
      </c>
      <c r="L4473" s="8" t="s">
        <v>8</v>
      </c>
      <c r="M4473" s="8"/>
      <c r="N4473" s="8"/>
      <c r="O4473" s="8" t="s">
        <v>8</v>
      </c>
      <c r="P4473" s="8" t="s">
        <v>8</v>
      </c>
    </row>
    <row r="4474">
      <c r="E4474" s="31"/>
      <c r="F4474" s="8" t="s">
        <v>8</v>
      </c>
      <c r="G4474" s="8" t="s">
        <v>8</v>
      </c>
      <c r="H4474" s="8" t="s">
        <v>8</v>
      </c>
      <c r="I4474" s="8" t="s">
        <v>8</v>
      </c>
      <c r="J4474" s="8" t="s">
        <v>8</v>
      </c>
      <c r="K4474" s="8" t="s">
        <v>8</v>
      </c>
      <c r="L4474" s="8" t="s">
        <v>8</v>
      </c>
      <c r="M4474" s="8"/>
      <c r="N4474" s="8"/>
      <c r="O4474" s="8" t="s">
        <v>8</v>
      </c>
      <c r="P4474" s="8" t="s">
        <v>8</v>
      </c>
    </row>
    <row r="4475">
      <c r="E4475" s="31"/>
      <c r="F4475" s="8" t="s">
        <v>8</v>
      </c>
      <c r="G4475" s="8" t="s">
        <v>8</v>
      </c>
      <c r="H4475" s="8" t="s">
        <v>8</v>
      </c>
      <c r="I4475" s="8" t="s">
        <v>8</v>
      </c>
      <c r="J4475" s="8" t="s">
        <v>8</v>
      </c>
      <c r="K4475" s="8" t="s">
        <v>8</v>
      </c>
      <c r="L4475" s="8" t="s">
        <v>8</v>
      </c>
      <c r="M4475" s="8"/>
      <c r="N4475" s="8"/>
      <c r="O4475" s="8" t="s">
        <v>8</v>
      </c>
      <c r="P4475" s="8" t="s">
        <v>8</v>
      </c>
    </row>
    <row r="4476">
      <c r="E4476" s="31"/>
      <c r="F4476" s="8" t="s">
        <v>8</v>
      </c>
      <c r="G4476" s="8" t="s">
        <v>8</v>
      </c>
      <c r="H4476" s="8" t="s">
        <v>8</v>
      </c>
      <c r="I4476" s="8" t="s">
        <v>8</v>
      </c>
      <c r="J4476" s="8" t="s">
        <v>8</v>
      </c>
      <c r="K4476" s="8" t="s">
        <v>8</v>
      </c>
      <c r="L4476" s="8" t="s">
        <v>8</v>
      </c>
      <c r="M4476" s="8"/>
      <c r="N4476" s="8"/>
      <c r="O4476" s="8" t="s">
        <v>8</v>
      </c>
      <c r="P4476" s="8" t="s">
        <v>8</v>
      </c>
    </row>
    <row r="4477">
      <c r="E4477" s="31"/>
      <c r="F4477" s="8" t="s">
        <v>8</v>
      </c>
      <c r="G4477" s="8" t="s">
        <v>8</v>
      </c>
      <c r="H4477" s="8" t="s">
        <v>8</v>
      </c>
      <c r="I4477" s="8" t="s">
        <v>8</v>
      </c>
      <c r="J4477" s="8" t="s">
        <v>8</v>
      </c>
      <c r="K4477" s="8" t="s">
        <v>8</v>
      </c>
      <c r="L4477" s="8" t="s">
        <v>8</v>
      </c>
      <c r="M4477" s="8"/>
      <c r="N4477" s="8"/>
      <c r="O4477" s="8" t="s">
        <v>8</v>
      </c>
      <c r="P4477" s="8" t="s">
        <v>8</v>
      </c>
    </row>
    <row r="4478">
      <c r="E4478" s="31"/>
      <c r="F4478" s="8" t="s">
        <v>8</v>
      </c>
      <c r="G4478" s="8" t="s">
        <v>8</v>
      </c>
      <c r="H4478" s="8" t="s">
        <v>8</v>
      </c>
      <c r="I4478" s="8" t="s">
        <v>8</v>
      </c>
      <c r="J4478" s="8" t="s">
        <v>8</v>
      </c>
      <c r="K4478" s="8" t="s">
        <v>8</v>
      </c>
      <c r="L4478" s="8" t="s">
        <v>8</v>
      </c>
      <c r="M4478" s="8"/>
      <c r="N4478" s="8"/>
      <c r="O4478" s="8" t="s">
        <v>8</v>
      </c>
      <c r="P4478" s="8" t="s">
        <v>8</v>
      </c>
    </row>
    <row r="4479">
      <c r="E4479" s="31"/>
      <c r="F4479" s="8" t="s">
        <v>8</v>
      </c>
      <c r="G4479" s="8" t="s">
        <v>8</v>
      </c>
      <c r="H4479" s="8" t="s">
        <v>8</v>
      </c>
      <c r="I4479" s="8" t="s">
        <v>8</v>
      </c>
      <c r="J4479" s="8" t="s">
        <v>8</v>
      </c>
      <c r="K4479" s="8" t="s">
        <v>8</v>
      </c>
      <c r="L4479" s="8" t="s">
        <v>8</v>
      </c>
      <c r="M4479" s="8"/>
      <c r="N4479" s="8"/>
      <c r="O4479" s="8" t="s">
        <v>8</v>
      </c>
      <c r="P4479" s="8" t="s">
        <v>8</v>
      </c>
    </row>
    <row r="4480">
      <c r="E4480" s="31"/>
      <c r="F4480" s="8" t="s">
        <v>8</v>
      </c>
      <c r="G4480" s="8" t="s">
        <v>8</v>
      </c>
      <c r="H4480" s="8" t="s">
        <v>8</v>
      </c>
      <c r="I4480" s="8" t="s">
        <v>8</v>
      </c>
      <c r="J4480" s="8" t="s">
        <v>8</v>
      </c>
      <c r="K4480" s="8" t="s">
        <v>8</v>
      </c>
      <c r="L4480" s="8" t="s">
        <v>8</v>
      </c>
      <c r="M4480" s="8"/>
      <c r="N4480" s="8"/>
      <c r="O4480" s="8" t="s">
        <v>8</v>
      </c>
      <c r="P4480" s="8" t="s">
        <v>8</v>
      </c>
    </row>
    <row r="4481">
      <c r="E4481" s="31"/>
      <c r="F4481" s="8" t="s">
        <v>8</v>
      </c>
      <c r="G4481" s="8" t="s">
        <v>8</v>
      </c>
      <c r="H4481" s="8" t="s">
        <v>8</v>
      </c>
      <c r="I4481" s="8" t="s">
        <v>8</v>
      </c>
      <c r="J4481" s="8" t="s">
        <v>8</v>
      </c>
      <c r="K4481" s="8" t="s">
        <v>8</v>
      </c>
      <c r="L4481" s="8" t="s">
        <v>8</v>
      </c>
      <c r="M4481" s="8"/>
      <c r="N4481" s="8"/>
      <c r="O4481" s="8" t="s">
        <v>8</v>
      </c>
      <c r="P4481" s="8" t="s">
        <v>8</v>
      </c>
    </row>
    <row r="4482">
      <c r="E4482" s="31"/>
      <c r="F4482" s="8" t="s">
        <v>8</v>
      </c>
      <c r="G4482" s="8" t="s">
        <v>8</v>
      </c>
      <c r="H4482" s="8" t="s">
        <v>8</v>
      </c>
      <c r="I4482" s="8" t="s">
        <v>8</v>
      </c>
      <c r="J4482" s="8" t="s">
        <v>8</v>
      </c>
      <c r="K4482" s="8" t="s">
        <v>8</v>
      </c>
      <c r="L4482" s="8" t="s">
        <v>8</v>
      </c>
      <c r="M4482" s="8"/>
      <c r="N4482" s="8"/>
      <c r="O4482" s="8" t="s">
        <v>8</v>
      </c>
      <c r="P4482" s="8" t="s">
        <v>8</v>
      </c>
    </row>
    <row r="4483">
      <c r="E4483" s="31"/>
      <c r="F4483" s="8" t="s">
        <v>8</v>
      </c>
      <c r="G4483" s="8" t="s">
        <v>8</v>
      </c>
      <c r="H4483" s="8" t="s">
        <v>8</v>
      </c>
      <c r="I4483" s="8" t="s">
        <v>8</v>
      </c>
      <c r="J4483" s="8" t="s">
        <v>8</v>
      </c>
      <c r="K4483" s="8" t="s">
        <v>8</v>
      </c>
      <c r="L4483" s="8" t="s">
        <v>8</v>
      </c>
      <c r="M4483" s="8"/>
      <c r="N4483" s="8"/>
      <c r="O4483" s="8" t="s">
        <v>8</v>
      </c>
      <c r="P4483" s="8" t="s">
        <v>8</v>
      </c>
    </row>
    <row r="4484">
      <c r="E4484" s="31"/>
      <c r="F4484" s="8" t="s">
        <v>8</v>
      </c>
      <c r="G4484" s="8" t="s">
        <v>8</v>
      </c>
      <c r="H4484" s="8" t="s">
        <v>8</v>
      </c>
      <c r="I4484" s="8" t="s">
        <v>8</v>
      </c>
      <c r="J4484" s="8" t="s">
        <v>8</v>
      </c>
      <c r="K4484" s="8" t="s">
        <v>8</v>
      </c>
      <c r="L4484" s="8" t="s">
        <v>8</v>
      </c>
      <c r="M4484" s="8"/>
      <c r="N4484" s="8"/>
      <c r="O4484" s="8" t="s">
        <v>8</v>
      </c>
      <c r="P4484" s="8" t="s">
        <v>8</v>
      </c>
    </row>
    <row r="4485">
      <c r="E4485" s="31"/>
      <c r="F4485" s="8" t="s">
        <v>8</v>
      </c>
      <c r="G4485" s="8" t="s">
        <v>8</v>
      </c>
      <c r="H4485" s="8" t="s">
        <v>8</v>
      </c>
      <c r="I4485" s="8" t="s">
        <v>8</v>
      </c>
      <c r="J4485" s="8" t="s">
        <v>8</v>
      </c>
      <c r="K4485" s="8" t="s">
        <v>8</v>
      </c>
      <c r="L4485" s="8" t="s">
        <v>8</v>
      </c>
      <c r="M4485" s="8"/>
      <c r="N4485" s="8"/>
      <c r="O4485" s="8" t="s">
        <v>8</v>
      </c>
      <c r="P4485" s="8" t="s">
        <v>8</v>
      </c>
    </row>
    <row r="4486">
      <c r="E4486" s="31"/>
      <c r="F4486" s="8" t="s">
        <v>8</v>
      </c>
      <c r="G4486" s="8" t="s">
        <v>8</v>
      </c>
      <c r="H4486" s="8" t="s">
        <v>8</v>
      </c>
      <c r="I4486" s="8" t="s">
        <v>8</v>
      </c>
      <c r="J4486" s="8" t="s">
        <v>8</v>
      </c>
      <c r="K4486" s="8" t="s">
        <v>8</v>
      </c>
      <c r="L4486" s="8" t="s">
        <v>8</v>
      </c>
      <c r="M4486" s="8"/>
      <c r="N4486" s="8"/>
      <c r="O4486" s="8" t="s">
        <v>8</v>
      </c>
      <c r="P4486" s="8" t="s">
        <v>8</v>
      </c>
    </row>
    <row r="4487">
      <c r="E4487" s="31"/>
      <c r="F4487" s="8" t="s">
        <v>8</v>
      </c>
      <c r="G4487" s="8" t="s">
        <v>8</v>
      </c>
      <c r="H4487" s="8" t="s">
        <v>8</v>
      </c>
      <c r="I4487" s="8" t="s">
        <v>8</v>
      </c>
      <c r="J4487" s="8" t="s">
        <v>8</v>
      </c>
      <c r="K4487" s="8" t="s">
        <v>8</v>
      </c>
      <c r="L4487" s="8" t="s">
        <v>8</v>
      </c>
      <c r="M4487" s="8"/>
      <c r="N4487" s="8"/>
      <c r="O4487" s="8" t="s">
        <v>8</v>
      </c>
      <c r="P4487" s="8" t="s">
        <v>8</v>
      </c>
    </row>
    <row r="4488">
      <c r="E4488" s="31"/>
      <c r="F4488" s="8" t="s">
        <v>8</v>
      </c>
      <c r="G4488" s="8" t="s">
        <v>8</v>
      </c>
      <c r="H4488" s="8" t="s">
        <v>8</v>
      </c>
      <c r="I4488" s="8" t="s">
        <v>8</v>
      </c>
      <c r="J4488" s="8" t="s">
        <v>8</v>
      </c>
      <c r="K4488" s="8" t="s">
        <v>8</v>
      </c>
      <c r="L4488" s="8" t="s">
        <v>8</v>
      </c>
      <c r="M4488" s="8"/>
      <c r="N4488" s="8"/>
      <c r="O4488" s="8" t="s">
        <v>8</v>
      </c>
      <c r="P4488" s="8" t="s">
        <v>8</v>
      </c>
    </row>
    <row r="4489">
      <c r="E4489" s="31"/>
      <c r="F4489" s="8" t="s">
        <v>8</v>
      </c>
      <c r="G4489" s="8" t="s">
        <v>8</v>
      </c>
      <c r="H4489" s="8" t="s">
        <v>8</v>
      </c>
      <c r="I4489" s="8" t="s">
        <v>8</v>
      </c>
      <c r="J4489" s="8" t="s">
        <v>8</v>
      </c>
      <c r="K4489" s="8" t="s">
        <v>8</v>
      </c>
      <c r="L4489" s="8" t="s">
        <v>8</v>
      </c>
      <c r="M4489" s="8"/>
      <c r="N4489" s="8"/>
      <c r="O4489" s="8" t="s">
        <v>8</v>
      </c>
      <c r="P4489" s="8" t="s">
        <v>8</v>
      </c>
    </row>
    <row r="4490">
      <c r="E4490" s="31"/>
      <c r="F4490" s="8" t="s">
        <v>8</v>
      </c>
      <c r="G4490" s="8" t="s">
        <v>8</v>
      </c>
      <c r="H4490" s="8" t="s">
        <v>8</v>
      </c>
      <c r="I4490" s="8" t="s">
        <v>8</v>
      </c>
      <c r="J4490" s="8" t="s">
        <v>8</v>
      </c>
      <c r="K4490" s="8" t="s">
        <v>8</v>
      </c>
      <c r="L4490" s="8" t="s">
        <v>8</v>
      </c>
      <c r="M4490" s="8"/>
      <c r="N4490" s="8"/>
      <c r="O4490" s="8" t="s">
        <v>8</v>
      </c>
      <c r="P4490" s="8" t="s">
        <v>8</v>
      </c>
    </row>
    <row r="4491">
      <c r="E4491" s="31"/>
      <c r="F4491" s="8" t="s">
        <v>8</v>
      </c>
      <c r="G4491" s="8" t="s">
        <v>8</v>
      </c>
      <c r="H4491" s="8" t="s">
        <v>8</v>
      </c>
      <c r="I4491" s="8" t="s">
        <v>8</v>
      </c>
      <c r="J4491" s="8" t="s">
        <v>8</v>
      </c>
      <c r="K4491" s="8" t="s">
        <v>8</v>
      </c>
      <c r="L4491" s="8" t="s">
        <v>8</v>
      </c>
      <c r="M4491" s="8"/>
      <c r="N4491" s="8"/>
      <c r="O4491" s="8" t="s">
        <v>8</v>
      </c>
      <c r="P4491" s="8" t="s">
        <v>8</v>
      </c>
    </row>
    <row r="4492">
      <c r="E4492" s="31"/>
      <c r="F4492" s="8" t="s">
        <v>8</v>
      </c>
      <c r="G4492" s="8" t="s">
        <v>8</v>
      </c>
      <c r="H4492" s="8" t="s">
        <v>8</v>
      </c>
      <c r="I4492" s="8" t="s">
        <v>8</v>
      </c>
      <c r="J4492" s="8" t="s">
        <v>8</v>
      </c>
      <c r="K4492" s="8" t="s">
        <v>8</v>
      </c>
      <c r="L4492" s="8" t="s">
        <v>8</v>
      </c>
      <c r="M4492" s="8"/>
      <c r="N4492" s="8"/>
      <c r="O4492" s="8" t="s">
        <v>8</v>
      </c>
      <c r="P4492" s="8" t="s">
        <v>8</v>
      </c>
    </row>
    <row r="4493">
      <c r="E4493" s="31"/>
      <c r="F4493" s="8" t="s">
        <v>8</v>
      </c>
      <c r="G4493" s="8" t="s">
        <v>8</v>
      </c>
      <c r="H4493" s="8" t="s">
        <v>8</v>
      </c>
      <c r="I4493" s="8" t="s">
        <v>8</v>
      </c>
      <c r="J4493" s="8" t="s">
        <v>8</v>
      </c>
      <c r="K4493" s="8" t="s">
        <v>8</v>
      </c>
      <c r="L4493" s="8" t="s">
        <v>8</v>
      </c>
      <c r="M4493" s="8"/>
      <c r="N4493" s="8"/>
      <c r="O4493" s="8" t="s">
        <v>8</v>
      </c>
      <c r="P4493" s="8" t="s">
        <v>8</v>
      </c>
    </row>
    <row r="4494">
      <c r="E4494" s="31"/>
      <c r="F4494" s="8" t="s">
        <v>8</v>
      </c>
      <c r="G4494" s="8" t="s">
        <v>8</v>
      </c>
      <c r="H4494" s="8" t="s">
        <v>8</v>
      </c>
      <c r="I4494" s="8" t="s">
        <v>8</v>
      </c>
      <c r="J4494" s="8" t="s">
        <v>8</v>
      </c>
      <c r="K4494" s="8" t="s">
        <v>8</v>
      </c>
      <c r="L4494" s="8" t="s">
        <v>8</v>
      </c>
      <c r="M4494" s="8"/>
      <c r="N4494" s="8"/>
      <c r="O4494" s="8" t="s">
        <v>8</v>
      </c>
      <c r="P4494" s="8" t="s">
        <v>8</v>
      </c>
    </row>
    <row r="4495">
      <c r="E4495" s="31"/>
      <c r="F4495" s="8" t="s">
        <v>8</v>
      </c>
      <c r="G4495" s="8" t="s">
        <v>8</v>
      </c>
      <c r="H4495" s="8" t="s">
        <v>8</v>
      </c>
      <c r="I4495" s="8" t="s">
        <v>8</v>
      </c>
      <c r="J4495" s="8" t="s">
        <v>8</v>
      </c>
      <c r="K4495" s="8" t="s">
        <v>8</v>
      </c>
      <c r="L4495" s="8" t="s">
        <v>8</v>
      </c>
      <c r="M4495" s="8"/>
      <c r="N4495" s="8"/>
      <c r="O4495" s="8" t="s">
        <v>8</v>
      </c>
      <c r="P4495" s="8" t="s">
        <v>8</v>
      </c>
    </row>
    <row r="4496">
      <c r="E4496" s="31"/>
      <c r="F4496" s="8" t="s">
        <v>8</v>
      </c>
      <c r="G4496" s="8" t="s">
        <v>8</v>
      </c>
      <c r="H4496" s="8" t="s">
        <v>8</v>
      </c>
      <c r="I4496" s="8" t="s">
        <v>8</v>
      </c>
      <c r="J4496" s="8" t="s">
        <v>8</v>
      </c>
      <c r="K4496" s="8" t="s">
        <v>8</v>
      </c>
      <c r="L4496" s="8" t="s">
        <v>8</v>
      </c>
      <c r="M4496" s="8"/>
      <c r="N4496" s="8"/>
      <c r="O4496" s="8" t="s">
        <v>8</v>
      </c>
      <c r="P4496" s="8" t="s">
        <v>8</v>
      </c>
    </row>
    <row r="4497">
      <c r="E4497" s="31"/>
      <c r="F4497" s="8" t="s">
        <v>8</v>
      </c>
      <c r="G4497" s="8" t="s">
        <v>8</v>
      </c>
      <c r="H4497" s="8" t="s">
        <v>8</v>
      </c>
      <c r="I4497" s="8" t="s">
        <v>8</v>
      </c>
      <c r="J4497" s="8" t="s">
        <v>8</v>
      </c>
      <c r="K4497" s="8" t="s">
        <v>8</v>
      </c>
      <c r="L4497" s="8" t="s">
        <v>8</v>
      </c>
      <c r="M4497" s="8"/>
      <c r="N4497" s="8"/>
      <c r="O4497" s="8" t="s">
        <v>8</v>
      </c>
      <c r="P4497" s="8" t="s">
        <v>8</v>
      </c>
    </row>
    <row r="4498">
      <c r="E4498" s="31"/>
      <c r="F4498" s="8" t="s">
        <v>8</v>
      </c>
      <c r="G4498" s="8" t="s">
        <v>8</v>
      </c>
      <c r="H4498" s="8" t="s">
        <v>8</v>
      </c>
      <c r="I4498" s="8" t="s">
        <v>8</v>
      </c>
      <c r="J4498" s="8" t="s">
        <v>8</v>
      </c>
      <c r="K4498" s="8" t="s">
        <v>8</v>
      </c>
      <c r="L4498" s="8" t="s">
        <v>8</v>
      </c>
      <c r="M4498" s="8"/>
      <c r="N4498" s="8"/>
      <c r="O4498" s="8" t="s">
        <v>8</v>
      </c>
      <c r="P4498" s="8" t="s">
        <v>8</v>
      </c>
    </row>
    <row r="4499">
      <c r="E4499" s="31"/>
      <c r="F4499" s="8" t="s">
        <v>8</v>
      </c>
      <c r="G4499" s="8" t="s">
        <v>8</v>
      </c>
      <c r="H4499" s="8" t="s">
        <v>8</v>
      </c>
      <c r="I4499" s="8" t="s">
        <v>8</v>
      </c>
      <c r="J4499" s="8" t="s">
        <v>8</v>
      </c>
      <c r="K4499" s="8" t="s">
        <v>8</v>
      </c>
      <c r="L4499" s="8" t="s">
        <v>8</v>
      </c>
      <c r="M4499" s="8"/>
      <c r="N4499" s="8"/>
      <c r="O4499" s="8" t="s">
        <v>8</v>
      </c>
      <c r="P4499" s="8" t="s">
        <v>8</v>
      </c>
    </row>
    <row r="4500">
      <c r="E4500" s="31"/>
      <c r="F4500" s="8" t="s">
        <v>8</v>
      </c>
      <c r="G4500" s="8" t="s">
        <v>8</v>
      </c>
      <c r="H4500" s="8" t="s">
        <v>8</v>
      </c>
      <c r="I4500" s="8" t="s">
        <v>8</v>
      </c>
      <c r="J4500" s="8" t="s">
        <v>8</v>
      </c>
      <c r="K4500" s="8" t="s">
        <v>8</v>
      </c>
      <c r="L4500" s="8" t="s">
        <v>8</v>
      </c>
      <c r="M4500" s="8"/>
      <c r="N4500" s="8"/>
      <c r="O4500" s="8" t="s">
        <v>8</v>
      </c>
      <c r="P4500" s="8" t="s">
        <v>8</v>
      </c>
    </row>
    <row r="4501">
      <c r="E4501" s="31"/>
      <c r="F4501" s="8" t="s">
        <v>8</v>
      </c>
      <c r="G4501" s="8" t="s">
        <v>8</v>
      </c>
      <c r="H4501" s="8" t="s">
        <v>8</v>
      </c>
      <c r="I4501" s="8" t="s">
        <v>8</v>
      </c>
      <c r="J4501" s="8" t="s">
        <v>8</v>
      </c>
      <c r="K4501" s="8" t="s">
        <v>8</v>
      </c>
      <c r="L4501" s="8" t="s">
        <v>8</v>
      </c>
      <c r="M4501" s="8"/>
      <c r="N4501" s="8"/>
      <c r="O4501" s="8" t="s">
        <v>8</v>
      </c>
      <c r="P4501" s="8" t="s">
        <v>8</v>
      </c>
    </row>
    <row r="4502">
      <c r="E4502" s="31"/>
      <c r="F4502" s="8" t="s">
        <v>8</v>
      </c>
      <c r="G4502" s="8" t="s">
        <v>8</v>
      </c>
      <c r="H4502" s="8" t="s">
        <v>8</v>
      </c>
      <c r="I4502" s="8" t="s">
        <v>8</v>
      </c>
      <c r="J4502" s="8" t="s">
        <v>8</v>
      </c>
      <c r="K4502" s="8" t="s">
        <v>8</v>
      </c>
      <c r="L4502" s="8" t="s">
        <v>8</v>
      </c>
      <c r="M4502" s="8"/>
      <c r="N4502" s="8"/>
      <c r="O4502" s="8" t="s">
        <v>8</v>
      </c>
      <c r="P4502" s="8" t="s">
        <v>8</v>
      </c>
    </row>
    <row r="4503">
      <c r="E4503" s="31"/>
      <c r="F4503" s="8" t="s">
        <v>8</v>
      </c>
      <c r="G4503" s="8" t="s">
        <v>8</v>
      </c>
      <c r="H4503" s="8" t="s">
        <v>8</v>
      </c>
      <c r="I4503" s="8" t="s">
        <v>8</v>
      </c>
      <c r="J4503" s="8" t="s">
        <v>8</v>
      </c>
      <c r="K4503" s="8" t="s">
        <v>8</v>
      </c>
      <c r="L4503" s="8" t="s">
        <v>8</v>
      </c>
      <c r="M4503" s="8"/>
      <c r="N4503" s="8"/>
      <c r="O4503" s="8" t="s">
        <v>8</v>
      </c>
      <c r="P4503" s="8" t="s">
        <v>8</v>
      </c>
    </row>
    <row r="4504">
      <c r="E4504" s="31"/>
      <c r="F4504" s="8" t="s">
        <v>8</v>
      </c>
      <c r="G4504" s="8" t="s">
        <v>8</v>
      </c>
      <c r="H4504" s="8" t="s">
        <v>8</v>
      </c>
      <c r="I4504" s="8" t="s">
        <v>8</v>
      </c>
      <c r="J4504" s="8" t="s">
        <v>8</v>
      </c>
      <c r="K4504" s="8" t="s">
        <v>8</v>
      </c>
      <c r="L4504" s="8" t="s">
        <v>8</v>
      </c>
      <c r="M4504" s="8"/>
      <c r="N4504" s="8"/>
      <c r="O4504" s="8" t="s">
        <v>8</v>
      </c>
      <c r="P4504" s="8" t="s">
        <v>8</v>
      </c>
    </row>
    <row r="4505">
      <c r="E4505" s="31"/>
      <c r="F4505" s="8" t="s">
        <v>8</v>
      </c>
      <c r="G4505" s="8" t="s">
        <v>8</v>
      </c>
      <c r="H4505" s="8" t="s">
        <v>8</v>
      </c>
      <c r="I4505" s="8" t="s">
        <v>8</v>
      </c>
      <c r="J4505" s="8" t="s">
        <v>8</v>
      </c>
      <c r="K4505" s="8" t="s">
        <v>8</v>
      </c>
      <c r="L4505" s="8" t="s">
        <v>8</v>
      </c>
      <c r="M4505" s="8"/>
      <c r="N4505" s="8"/>
      <c r="O4505" s="8" t="s">
        <v>8</v>
      </c>
      <c r="P4505" s="8" t="s">
        <v>8</v>
      </c>
    </row>
    <row r="4506">
      <c r="E4506" s="31"/>
      <c r="F4506" s="8" t="s">
        <v>8</v>
      </c>
      <c r="G4506" s="8" t="s">
        <v>8</v>
      </c>
      <c r="H4506" s="8" t="s">
        <v>8</v>
      </c>
      <c r="I4506" s="8" t="s">
        <v>8</v>
      </c>
      <c r="J4506" s="8" t="s">
        <v>8</v>
      </c>
      <c r="K4506" s="8" t="s">
        <v>8</v>
      </c>
      <c r="L4506" s="8" t="s">
        <v>8</v>
      </c>
      <c r="M4506" s="8"/>
      <c r="N4506" s="8"/>
      <c r="O4506" s="8" t="s">
        <v>8</v>
      </c>
      <c r="P4506" s="8" t="s">
        <v>8</v>
      </c>
    </row>
    <row r="4507">
      <c r="E4507" s="31"/>
      <c r="F4507" s="8" t="s">
        <v>8</v>
      </c>
      <c r="G4507" s="8" t="s">
        <v>8</v>
      </c>
      <c r="H4507" s="8" t="s">
        <v>8</v>
      </c>
      <c r="I4507" s="8" t="s">
        <v>8</v>
      </c>
      <c r="J4507" s="8" t="s">
        <v>8</v>
      </c>
      <c r="K4507" s="8" t="s">
        <v>8</v>
      </c>
      <c r="L4507" s="8" t="s">
        <v>8</v>
      </c>
      <c r="M4507" s="8"/>
      <c r="N4507" s="8"/>
      <c r="O4507" s="8" t="s">
        <v>8</v>
      </c>
      <c r="P4507" s="8" t="s">
        <v>8</v>
      </c>
    </row>
    <row r="4508">
      <c r="E4508" s="31"/>
      <c r="F4508" s="8" t="s">
        <v>8</v>
      </c>
      <c r="G4508" s="8" t="s">
        <v>8</v>
      </c>
      <c r="H4508" s="8" t="s">
        <v>8</v>
      </c>
      <c r="I4508" s="8" t="s">
        <v>8</v>
      </c>
      <c r="J4508" s="8" t="s">
        <v>8</v>
      </c>
      <c r="K4508" s="8" t="s">
        <v>8</v>
      </c>
      <c r="L4508" s="8" t="s">
        <v>8</v>
      </c>
      <c r="M4508" s="8"/>
      <c r="N4508" s="8"/>
      <c r="O4508" s="8" t="s">
        <v>8</v>
      </c>
      <c r="P4508" s="8" t="s">
        <v>8</v>
      </c>
    </row>
    <row r="4509">
      <c r="E4509" s="31"/>
      <c r="F4509" s="8" t="s">
        <v>8</v>
      </c>
      <c r="G4509" s="8" t="s">
        <v>8</v>
      </c>
      <c r="H4509" s="8" t="s">
        <v>8</v>
      </c>
      <c r="I4509" s="8" t="s">
        <v>8</v>
      </c>
      <c r="J4509" s="8" t="s">
        <v>8</v>
      </c>
      <c r="K4509" s="8" t="s">
        <v>8</v>
      </c>
      <c r="L4509" s="8" t="s">
        <v>8</v>
      </c>
      <c r="M4509" s="8"/>
      <c r="N4509" s="8"/>
      <c r="O4509" s="8" t="s">
        <v>8</v>
      </c>
      <c r="P4509" s="8" t="s">
        <v>8</v>
      </c>
    </row>
    <row r="4510">
      <c r="E4510" s="31"/>
      <c r="F4510" s="8" t="s">
        <v>8</v>
      </c>
      <c r="G4510" s="8" t="s">
        <v>8</v>
      </c>
      <c r="H4510" s="8" t="s">
        <v>8</v>
      </c>
      <c r="I4510" s="8" t="s">
        <v>8</v>
      </c>
      <c r="J4510" s="8" t="s">
        <v>8</v>
      </c>
      <c r="K4510" s="8" t="s">
        <v>8</v>
      </c>
      <c r="L4510" s="8" t="s">
        <v>8</v>
      </c>
      <c r="M4510" s="8"/>
      <c r="N4510" s="8"/>
      <c r="O4510" s="8" t="s">
        <v>8</v>
      </c>
      <c r="P4510" s="8" t="s">
        <v>8</v>
      </c>
    </row>
    <row r="4511">
      <c r="E4511" s="31"/>
      <c r="F4511" s="8" t="s">
        <v>8</v>
      </c>
      <c r="G4511" s="8" t="s">
        <v>8</v>
      </c>
      <c r="H4511" s="8" t="s">
        <v>8</v>
      </c>
      <c r="I4511" s="8" t="s">
        <v>8</v>
      </c>
      <c r="J4511" s="8" t="s">
        <v>8</v>
      </c>
      <c r="K4511" s="8" t="s">
        <v>8</v>
      </c>
      <c r="L4511" s="8" t="s">
        <v>8</v>
      </c>
      <c r="M4511" s="8"/>
      <c r="N4511" s="8"/>
      <c r="O4511" s="8" t="s">
        <v>8</v>
      </c>
      <c r="P4511" s="8" t="s">
        <v>8</v>
      </c>
    </row>
    <row r="4512">
      <c r="E4512" s="31"/>
      <c r="F4512" s="8" t="s">
        <v>8</v>
      </c>
      <c r="G4512" s="8" t="s">
        <v>8</v>
      </c>
      <c r="H4512" s="8" t="s">
        <v>8</v>
      </c>
      <c r="I4512" s="8" t="s">
        <v>8</v>
      </c>
      <c r="J4512" s="8" t="s">
        <v>8</v>
      </c>
      <c r="K4512" s="8" t="s">
        <v>8</v>
      </c>
      <c r="L4512" s="8" t="s">
        <v>8</v>
      </c>
      <c r="M4512" s="8"/>
      <c r="N4512" s="8"/>
      <c r="O4512" s="8" t="s">
        <v>8</v>
      </c>
      <c r="P4512" s="8" t="s">
        <v>8</v>
      </c>
    </row>
    <row r="4513">
      <c r="E4513" s="31"/>
      <c r="F4513" s="8" t="s">
        <v>8</v>
      </c>
      <c r="G4513" s="8" t="s">
        <v>8</v>
      </c>
      <c r="H4513" s="8" t="s">
        <v>8</v>
      </c>
      <c r="I4513" s="8" t="s">
        <v>8</v>
      </c>
      <c r="J4513" s="8" t="s">
        <v>8</v>
      </c>
      <c r="K4513" s="8" t="s">
        <v>8</v>
      </c>
      <c r="L4513" s="8" t="s">
        <v>8</v>
      </c>
      <c r="M4513" s="8"/>
      <c r="N4513" s="8"/>
      <c r="O4513" s="8" t="s">
        <v>8</v>
      </c>
      <c r="P4513" s="8" t="s">
        <v>8</v>
      </c>
    </row>
    <row r="4514">
      <c r="E4514" s="31"/>
      <c r="F4514" s="8" t="s">
        <v>8</v>
      </c>
      <c r="G4514" s="8" t="s">
        <v>8</v>
      </c>
      <c r="H4514" s="8" t="s">
        <v>8</v>
      </c>
      <c r="I4514" s="8" t="s">
        <v>8</v>
      </c>
      <c r="J4514" s="8" t="s">
        <v>8</v>
      </c>
      <c r="K4514" s="8" t="s">
        <v>8</v>
      </c>
      <c r="L4514" s="8" t="s">
        <v>8</v>
      </c>
      <c r="M4514" s="8"/>
      <c r="N4514" s="8"/>
      <c r="O4514" s="8" t="s">
        <v>8</v>
      </c>
      <c r="P4514" s="8" t="s">
        <v>8</v>
      </c>
    </row>
    <row r="4515">
      <c r="E4515" s="31"/>
      <c r="F4515" s="8" t="s">
        <v>8</v>
      </c>
      <c r="G4515" s="8" t="s">
        <v>8</v>
      </c>
      <c r="H4515" s="8" t="s">
        <v>8</v>
      </c>
      <c r="I4515" s="8" t="s">
        <v>8</v>
      </c>
      <c r="J4515" s="8" t="s">
        <v>8</v>
      </c>
      <c r="K4515" s="8" t="s">
        <v>8</v>
      </c>
      <c r="L4515" s="8" t="s">
        <v>8</v>
      </c>
      <c r="M4515" s="8"/>
      <c r="N4515" s="8"/>
      <c r="O4515" s="8" t="s">
        <v>8</v>
      </c>
      <c r="P4515" s="8" t="s">
        <v>8</v>
      </c>
    </row>
    <row r="4516">
      <c r="E4516" s="31"/>
      <c r="F4516" s="8" t="s">
        <v>8</v>
      </c>
      <c r="G4516" s="8" t="s">
        <v>8</v>
      </c>
      <c r="H4516" s="8" t="s">
        <v>8</v>
      </c>
      <c r="I4516" s="8" t="s">
        <v>8</v>
      </c>
      <c r="J4516" s="8" t="s">
        <v>8</v>
      </c>
      <c r="K4516" s="8" t="s">
        <v>8</v>
      </c>
      <c r="L4516" s="8" t="s">
        <v>8</v>
      </c>
      <c r="M4516" s="8"/>
      <c r="N4516" s="8"/>
      <c r="O4516" s="8" t="s">
        <v>8</v>
      </c>
      <c r="P4516" s="8" t="s">
        <v>8</v>
      </c>
    </row>
    <row r="4517">
      <c r="E4517" s="31"/>
      <c r="F4517" s="8" t="s">
        <v>8</v>
      </c>
      <c r="G4517" s="8" t="s">
        <v>8</v>
      </c>
      <c r="H4517" s="8" t="s">
        <v>8</v>
      </c>
      <c r="I4517" s="8" t="s">
        <v>8</v>
      </c>
      <c r="J4517" s="8" t="s">
        <v>8</v>
      </c>
      <c r="K4517" s="8" t="s">
        <v>8</v>
      </c>
      <c r="L4517" s="8" t="s">
        <v>8</v>
      </c>
      <c r="M4517" s="8"/>
      <c r="N4517" s="8"/>
      <c r="O4517" s="8" t="s">
        <v>8</v>
      </c>
      <c r="P4517" s="8" t="s">
        <v>8</v>
      </c>
    </row>
    <row r="4518">
      <c r="E4518" s="31"/>
      <c r="F4518" s="8" t="s">
        <v>8</v>
      </c>
      <c r="G4518" s="8" t="s">
        <v>8</v>
      </c>
      <c r="H4518" s="8" t="s">
        <v>8</v>
      </c>
      <c r="I4518" s="8" t="s">
        <v>8</v>
      </c>
      <c r="J4518" s="8" t="s">
        <v>8</v>
      </c>
      <c r="K4518" s="8" t="s">
        <v>8</v>
      </c>
      <c r="L4518" s="8" t="s">
        <v>8</v>
      </c>
      <c r="M4518" s="8"/>
      <c r="N4518" s="8"/>
      <c r="O4518" s="8" t="s">
        <v>8</v>
      </c>
      <c r="P4518" s="8" t="s">
        <v>8</v>
      </c>
    </row>
    <row r="4519">
      <c r="E4519" s="31"/>
      <c r="F4519" s="8" t="s">
        <v>8</v>
      </c>
      <c r="G4519" s="8" t="s">
        <v>8</v>
      </c>
      <c r="H4519" s="8" t="s">
        <v>8</v>
      </c>
      <c r="I4519" s="8" t="s">
        <v>8</v>
      </c>
      <c r="J4519" s="8" t="s">
        <v>8</v>
      </c>
      <c r="K4519" s="8" t="s">
        <v>8</v>
      </c>
      <c r="L4519" s="8" t="s">
        <v>8</v>
      </c>
      <c r="M4519" s="8"/>
      <c r="N4519" s="8"/>
      <c r="O4519" s="8" t="s">
        <v>8</v>
      </c>
      <c r="P4519" s="8" t="s">
        <v>8</v>
      </c>
    </row>
    <row r="4520">
      <c r="E4520" s="31"/>
      <c r="F4520" s="8" t="s">
        <v>8</v>
      </c>
      <c r="G4520" s="8" t="s">
        <v>8</v>
      </c>
      <c r="H4520" s="8" t="s">
        <v>8</v>
      </c>
      <c r="I4520" s="8" t="s">
        <v>8</v>
      </c>
      <c r="J4520" s="8" t="s">
        <v>8</v>
      </c>
      <c r="K4520" s="8" t="s">
        <v>8</v>
      </c>
      <c r="L4520" s="8" t="s">
        <v>8</v>
      </c>
      <c r="M4520" s="8"/>
      <c r="N4520" s="8"/>
      <c r="O4520" s="8" t="s">
        <v>8</v>
      </c>
      <c r="P4520" s="8" t="s">
        <v>8</v>
      </c>
    </row>
    <row r="4521">
      <c r="E4521" s="31"/>
      <c r="F4521" s="8" t="s">
        <v>8</v>
      </c>
      <c r="G4521" s="8" t="s">
        <v>8</v>
      </c>
      <c r="H4521" s="8" t="s">
        <v>8</v>
      </c>
      <c r="I4521" s="8" t="s">
        <v>8</v>
      </c>
      <c r="J4521" s="8" t="s">
        <v>8</v>
      </c>
      <c r="K4521" s="8" t="s">
        <v>8</v>
      </c>
      <c r="L4521" s="8" t="s">
        <v>8</v>
      </c>
      <c r="M4521" s="8"/>
      <c r="N4521" s="8"/>
      <c r="O4521" s="8" t="s">
        <v>8</v>
      </c>
      <c r="P4521" s="8" t="s">
        <v>8</v>
      </c>
    </row>
    <row r="4522">
      <c r="E4522" s="31"/>
      <c r="F4522" s="8" t="s">
        <v>8</v>
      </c>
      <c r="G4522" s="8" t="s">
        <v>8</v>
      </c>
      <c r="H4522" s="8" t="s">
        <v>8</v>
      </c>
      <c r="I4522" s="8" t="s">
        <v>8</v>
      </c>
      <c r="J4522" s="8" t="s">
        <v>8</v>
      </c>
      <c r="K4522" s="8" t="s">
        <v>8</v>
      </c>
      <c r="L4522" s="8" t="s">
        <v>8</v>
      </c>
      <c r="M4522" s="8"/>
      <c r="N4522" s="8"/>
      <c r="O4522" s="8" t="s">
        <v>8</v>
      </c>
      <c r="P4522" s="8" t="s">
        <v>8</v>
      </c>
    </row>
    <row r="4523">
      <c r="E4523" s="31"/>
      <c r="F4523" s="8" t="s">
        <v>8</v>
      </c>
      <c r="G4523" s="8" t="s">
        <v>8</v>
      </c>
      <c r="H4523" s="8" t="s">
        <v>8</v>
      </c>
      <c r="I4523" s="8" t="s">
        <v>8</v>
      </c>
      <c r="J4523" s="8" t="s">
        <v>8</v>
      </c>
      <c r="K4523" s="8" t="s">
        <v>8</v>
      </c>
      <c r="L4523" s="8" t="s">
        <v>8</v>
      </c>
      <c r="M4523" s="8"/>
      <c r="N4523" s="8"/>
      <c r="O4523" s="8" t="s">
        <v>8</v>
      </c>
      <c r="P4523" s="8" t="s">
        <v>8</v>
      </c>
    </row>
    <row r="4524">
      <c r="E4524" s="31"/>
      <c r="F4524" s="8" t="s">
        <v>8</v>
      </c>
      <c r="G4524" s="8" t="s">
        <v>8</v>
      </c>
      <c r="H4524" s="8" t="s">
        <v>8</v>
      </c>
      <c r="I4524" s="8" t="s">
        <v>8</v>
      </c>
      <c r="J4524" s="8" t="s">
        <v>8</v>
      </c>
      <c r="K4524" s="8" t="s">
        <v>8</v>
      </c>
      <c r="L4524" s="8" t="s">
        <v>8</v>
      </c>
      <c r="M4524" s="8"/>
      <c r="N4524" s="8"/>
      <c r="O4524" s="8" t="s">
        <v>8</v>
      </c>
      <c r="P4524" s="8" t="s">
        <v>8</v>
      </c>
    </row>
    <row r="4525">
      <c r="E4525" s="31"/>
      <c r="F4525" s="8" t="s">
        <v>8</v>
      </c>
      <c r="G4525" s="8" t="s">
        <v>8</v>
      </c>
      <c r="H4525" s="8" t="s">
        <v>8</v>
      </c>
      <c r="I4525" s="8" t="s">
        <v>8</v>
      </c>
      <c r="J4525" s="8" t="s">
        <v>8</v>
      </c>
      <c r="K4525" s="8" t="s">
        <v>8</v>
      </c>
      <c r="L4525" s="8" t="s">
        <v>8</v>
      </c>
      <c r="M4525" s="8"/>
      <c r="N4525" s="8"/>
      <c r="O4525" s="8" t="s">
        <v>8</v>
      </c>
      <c r="P4525" s="8" t="s">
        <v>8</v>
      </c>
    </row>
    <row r="4526">
      <c r="E4526" s="31"/>
      <c r="F4526" s="8" t="s">
        <v>8</v>
      </c>
      <c r="G4526" s="8" t="s">
        <v>8</v>
      </c>
      <c r="H4526" s="8" t="s">
        <v>8</v>
      </c>
      <c r="I4526" s="8" t="s">
        <v>8</v>
      </c>
      <c r="J4526" s="8" t="s">
        <v>8</v>
      </c>
      <c r="K4526" s="8" t="s">
        <v>8</v>
      </c>
      <c r="L4526" s="8" t="s">
        <v>8</v>
      </c>
      <c r="M4526" s="8"/>
      <c r="N4526" s="8"/>
      <c r="O4526" s="8" t="s">
        <v>8</v>
      </c>
      <c r="P4526" s="8" t="s">
        <v>8</v>
      </c>
    </row>
    <row r="4527">
      <c r="E4527" s="31"/>
      <c r="F4527" s="8" t="s">
        <v>8</v>
      </c>
      <c r="G4527" s="8" t="s">
        <v>8</v>
      </c>
      <c r="H4527" s="8" t="s">
        <v>8</v>
      </c>
      <c r="I4527" s="8" t="s">
        <v>8</v>
      </c>
      <c r="J4527" s="8" t="s">
        <v>8</v>
      </c>
      <c r="K4527" s="8" t="s">
        <v>8</v>
      </c>
      <c r="L4527" s="8" t="s">
        <v>8</v>
      </c>
      <c r="M4527" s="8"/>
      <c r="N4527" s="8"/>
      <c r="O4527" s="8" t="s">
        <v>8</v>
      </c>
      <c r="P4527" s="8" t="s">
        <v>8</v>
      </c>
    </row>
    <row r="4528">
      <c r="E4528" s="31"/>
      <c r="F4528" s="8" t="s">
        <v>8</v>
      </c>
      <c r="G4528" s="8" t="s">
        <v>8</v>
      </c>
      <c r="H4528" s="8" t="s">
        <v>8</v>
      </c>
      <c r="I4528" s="8" t="s">
        <v>8</v>
      </c>
      <c r="J4528" s="8" t="s">
        <v>8</v>
      </c>
      <c r="K4528" s="8" t="s">
        <v>8</v>
      </c>
      <c r="L4528" s="8" t="s">
        <v>8</v>
      </c>
      <c r="M4528" s="8"/>
      <c r="N4528" s="8"/>
      <c r="O4528" s="8" t="s">
        <v>8</v>
      </c>
      <c r="P4528" s="8" t="s">
        <v>8</v>
      </c>
    </row>
    <row r="4529">
      <c r="E4529" s="31"/>
      <c r="F4529" s="8" t="s">
        <v>8</v>
      </c>
      <c r="G4529" s="8" t="s">
        <v>8</v>
      </c>
      <c r="H4529" s="8" t="s">
        <v>8</v>
      </c>
      <c r="I4529" s="8" t="s">
        <v>8</v>
      </c>
      <c r="J4529" s="8" t="s">
        <v>8</v>
      </c>
      <c r="K4529" s="8" t="s">
        <v>8</v>
      </c>
      <c r="L4529" s="8" t="s">
        <v>8</v>
      </c>
      <c r="M4529" s="8"/>
      <c r="N4529" s="8"/>
      <c r="O4529" s="8" t="s">
        <v>8</v>
      </c>
      <c r="P4529" s="8" t="s">
        <v>8</v>
      </c>
    </row>
    <row r="4530">
      <c r="E4530" s="31"/>
      <c r="F4530" s="8" t="s">
        <v>8</v>
      </c>
      <c r="G4530" s="8" t="s">
        <v>8</v>
      </c>
      <c r="H4530" s="8" t="s">
        <v>8</v>
      </c>
      <c r="I4530" s="8" t="s">
        <v>8</v>
      </c>
      <c r="J4530" s="8" t="s">
        <v>8</v>
      </c>
      <c r="K4530" s="8" t="s">
        <v>8</v>
      </c>
      <c r="L4530" s="8" t="s">
        <v>8</v>
      </c>
      <c r="M4530" s="8"/>
      <c r="N4530" s="8"/>
      <c r="O4530" s="8" t="s">
        <v>8</v>
      </c>
      <c r="P4530" s="8" t="s">
        <v>8</v>
      </c>
    </row>
    <row r="4531">
      <c r="E4531" s="31"/>
      <c r="F4531" s="8" t="s">
        <v>8</v>
      </c>
      <c r="G4531" s="8" t="s">
        <v>8</v>
      </c>
      <c r="H4531" s="8" t="s">
        <v>8</v>
      </c>
      <c r="I4531" s="8" t="s">
        <v>8</v>
      </c>
      <c r="J4531" s="8" t="s">
        <v>8</v>
      </c>
      <c r="K4531" s="8" t="s">
        <v>8</v>
      </c>
      <c r="L4531" s="8" t="s">
        <v>8</v>
      </c>
      <c r="M4531" s="8"/>
      <c r="N4531" s="8"/>
      <c r="O4531" s="8" t="s">
        <v>8</v>
      </c>
      <c r="P4531" s="8" t="s">
        <v>8</v>
      </c>
    </row>
    <row r="4532">
      <c r="E4532" s="31"/>
      <c r="F4532" s="8" t="s">
        <v>8</v>
      </c>
      <c r="G4532" s="8" t="s">
        <v>8</v>
      </c>
      <c r="H4532" s="8" t="s">
        <v>8</v>
      </c>
      <c r="I4532" s="8" t="s">
        <v>8</v>
      </c>
      <c r="J4532" s="8" t="s">
        <v>8</v>
      </c>
      <c r="K4532" s="8" t="s">
        <v>8</v>
      </c>
      <c r="L4532" s="8" t="s">
        <v>8</v>
      </c>
      <c r="M4532" s="8"/>
      <c r="N4532" s="8"/>
      <c r="O4532" s="8" t="s">
        <v>8</v>
      </c>
      <c r="P4532" s="8" t="s">
        <v>8</v>
      </c>
    </row>
    <row r="4533">
      <c r="E4533" s="31"/>
      <c r="F4533" s="8" t="s">
        <v>8</v>
      </c>
      <c r="G4533" s="8" t="s">
        <v>8</v>
      </c>
      <c r="H4533" s="8" t="s">
        <v>8</v>
      </c>
      <c r="I4533" s="8" t="s">
        <v>8</v>
      </c>
      <c r="J4533" s="8" t="s">
        <v>8</v>
      </c>
      <c r="K4533" s="8" t="s">
        <v>8</v>
      </c>
      <c r="L4533" s="8" t="s">
        <v>8</v>
      </c>
      <c r="M4533" s="8"/>
      <c r="N4533" s="8"/>
      <c r="O4533" s="8" t="s">
        <v>8</v>
      </c>
      <c r="P4533" s="8" t="s">
        <v>8</v>
      </c>
    </row>
    <row r="4534">
      <c r="E4534" s="31"/>
      <c r="F4534" s="8" t="s">
        <v>8</v>
      </c>
      <c r="G4534" s="8" t="s">
        <v>8</v>
      </c>
      <c r="H4534" s="8" t="s">
        <v>8</v>
      </c>
      <c r="I4534" s="8" t="s">
        <v>8</v>
      </c>
      <c r="J4534" s="8" t="s">
        <v>8</v>
      </c>
      <c r="K4534" s="8" t="s">
        <v>8</v>
      </c>
      <c r="L4534" s="8" t="s">
        <v>8</v>
      </c>
      <c r="M4534" s="8"/>
      <c r="N4534" s="8"/>
      <c r="O4534" s="8" t="s">
        <v>8</v>
      </c>
      <c r="P4534" s="8" t="s">
        <v>8</v>
      </c>
    </row>
    <row r="4535">
      <c r="E4535" s="31"/>
      <c r="F4535" s="8" t="s">
        <v>8</v>
      </c>
      <c r="G4535" s="8" t="s">
        <v>8</v>
      </c>
      <c r="H4535" s="8" t="s">
        <v>8</v>
      </c>
      <c r="I4535" s="8" t="s">
        <v>8</v>
      </c>
      <c r="J4535" s="8" t="s">
        <v>8</v>
      </c>
      <c r="K4535" s="8" t="s">
        <v>8</v>
      </c>
      <c r="L4535" s="8" t="s">
        <v>8</v>
      </c>
      <c r="M4535" s="8"/>
      <c r="N4535" s="8"/>
      <c r="O4535" s="8" t="s">
        <v>8</v>
      </c>
      <c r="P4535" s="8" t="s">
        <v>8</v>
      </c>
    </row>
    <row r="4536">
      <c r="E4536" s="31"/>
      <c r="F4536" s="8" t="s">
        <v>8</v>
      </c>
      <c r="G4536" s="8" t="s">
        <v>8</v>
      </c>
      <c r="H4536" s="8" t="s">
        <v>8</v>
      </c>
      <c r="I4536" s="8" t="s">
        <v>8</v>
      </c>
      <c r="J4536" s="8" t="s">
        <v>8</v>
      </c>
      <c r="K4536" s="8" t="s">
        <v>8</v>
      </c>
      <c r="L4536" s="8" t="s">
        <v>8</v>
      </c>
      <c r="M4536" s="8"/>
      <c r="N4536" s="8"/>
      <c r="O4536" s="8" t="s">
        <v>8</v>
      </c>
      <c r="P4536" s="8" t="s">
        <v>8</v>
      </c>
    </row>
    <row r="4537">
      <c r="E4537" s="31"/>
      <c r="F4537" s="8" t="s">
        <v>8</v>
      </c>
      <c r="G4537" s="8" t="s">
        <v>8</v>
      </c>
      <c r="H4537" s="8" t="s">
        <v>8</v>
      </c>
      <c r="I4537" s="8" t="s">
        <v>8</v>
      </c>
      <c r="J4537" s="8" t="s">
        <v>8</v>
      </c>
      <c r="K4537" s="8" t="s">
        <v>8</v>
      </c>
      <c r="L4537" s="8" t="s">
        <v>8</v>
      </c>
      <c r="M4537" s="8"/>
      <c r="N4537" s="8"/>
      <c r="O4537" s="8" t="s">
        <v>8</v>
      </c>
      <c r="P4537" s="8" t="s">
        <v>8</v>
      </c>
    </row>
    <row r="4538">
      <c r="E4538" s="31"/>
      <c r="F4538" s="8" t="s">
        <v>8</v>
      </c>
      <c r="G4538" s="8" t="s">
        <v>8</v>
      </c>
      <c r="H4538" s="8" t="s">
        <v>8</v>
      </c>
      <c r="I4538" s="8" t="s">
        <v>8</v>
      </c>
      <c r="J4538" s="8" t="s">
        <v>8</v>
      </c>
      <c r="K4538" s="8" t="s">
        <v>8</v>
      </c>
      <c r="L4538" s="8" t="s">
        <v>8</v>
      </c>
      <c r="M4538" s="8"/>
      <c r="N4538" s="8"/>
      <c r="O4538" s="8" t="s">
        <v>8</v>
      </c>
      <c r="P4538" s="8" t="s">
        <v>8</v>
      </c>
    </row>
    <row r="4539">
      <c r="E4539" s="31"/>
      <c r="F4539" s="8" t="s">
        <v>8</v>
      </c>
      <c r="G4539" s="8" t="s">
        <v>8</v>
      </c>
      <c r="H4539" s="8" t="s">
        <v>8</v>
      </c>
      <c r="I4539" s="8" t="s">
        <v>8</v>
      </c>
      <c r="J4539" s="8" t="s">
        <v>8</v>
      </c>
      <c r="K4539" s="8" t="s">
        <v>8</v>
      </c>
      <c r="L4539" s="8" t="s">
        <v>8</v>
      </c>
      <c r="M4539" s="8"/>
      <c r="N4539" s="8"/>
      <c r="O4539" s="8" t="s">
        <v>8</v>
      </c>
      <c r="P4539" s="8" t="s">
        <v>8</v>
      </c>
    </row>
    <row r="4540">
      <c r="E4540" s="31"/>
      <c r="F4540" s="8" t="s">
        <v>8</v>
      </c>
      <c r="G4540" s="8" t="s">
        <v>8</v>
      </c>
      <c r="H4540" s="8" t="s">
        <v>8</v>
      </c>
      <c r="I4540" s="8" t="s">
        <v>8</v>
      </c>
      <c r="J4540" s="8" t="s">
        <v>8</v>
      </c>
      <c r="K4540" s="8" t="s">
        <v>8</v>
      </c>
      <c r="L4540" s="8" t="s">
        <v>8</v>
      </c>
      <c r="M4540" s="8"/>
      <c r="N4540" s="8"/>
      <c r="O4540" s="8" t="s">
        <v>8</v>
      </c>
      <c r="P4540" s="8" t="s">
        <v>8</v>
      </c>
    </row>
    <row r="4541">
      <c r="E4541" s="31"/>
      <c r="F4541" s="8" t="s">
        <v>8</v>
      </c>
      <c r="G4541" s="8" t="s">
        <v>8</v>
      </c>
      <c r="H4541" s="8" t="s">
        <v>8</v>
      </c>
      <c r="I4541" s="8" t="s">
        <v>8</v>
      </c>
      <c r="J4541" s="8" t="s">
        <v>8</v>
      </c>
      <c r="K4541" s="8" t="s">
        <v>8</v>
      </c>
      <c r="L4541" s="8" t="s">
        <v>8</v>
      </c>
      <c r="M4541" s="8"/>
      <c r="N4541" s="8"/>
      <c r="O4541" s="8" t="s">
        <v>8</v>
      </c>
      <c r="P4541" s="8" t="s">
        <v>8</v>
      </c>
    </row>
    <row r="4542">
      <c r="E4542" s="31"/>
      <c r="F4542" s="8" t="s">
        <v>8</v>
      </c>
      <c r="G4542" s="8" t="s">
        <v>8</v>
      </c>
      <c r="H4542" s="8" t="s">
        <v>8</v>
      </c>
      <c r="I4542" s="8" t="s">
        <v>8</v>
      </c>
      <c r="J4542" s="8" t="s">
        <v>8</v>
      </c>
      <c r="K4542" s="8" t="s">
        <v>8</v>
      </c>
      <c r="L4542" s="8" t="s">
        <v>8</v>
      </c>
      <c r="M4542" s="8"/>
      <c r="N4542" s="8"/>
      <c r="O4542" s="8" t="s">
        <v>8</v>
      </c>
      <c r="P4542" s="8" t="s">
        <v>8</v>
      </c>
    </row>
    <row r="4543">
      <c r="E4543" s="31"/>
      <c r="F4543" s="8" t="s">
        <v>8</v>
      </c>
      <c r="G4543" s="8" t="s">
        <v>8</v>
      </c>
      <c r="H4543" s="8" t="s">
        <v>8</v>
      </c>
      <c r="I4543" s="8" t="s">
        <v>8</v>
      </c>
      <c r="J4543" s="8" t="s">
        <v>8</v>
      </c>
      <c r="K4543" s="8" t="s">
        <v>8</v>
      </c>
      <c r="L4543" s="8" t="s">
        <v>8</v>
      </c>
      <c r="M4543" s="8"/>
      <c r="N4543" s="8"/>
      <c r="O4543" s="8" t="s">
        <v>8</v>
      </c>
      <c r="P4543" s="8" t="s">
        <v>8</v>
      </c>
    </row>
  </sheetData>
  <autoFilter ref="$A$1:$P$4543"/>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hidden="1" min="1" max="1" width="19.5"/>
    <col customWidth="1" hidden="1" min="2" max="2" width="8.38"/>
    <col customWidth="1" min="3" max="3" width="5.63"/>
    <col customWidth="1" min="4" max="4" width="14.63"/>
    <col customWidth="1" min="5" max="5" width="16.38"/>
    <col customWidth="1" min="6" max="6" width="15.38"/>
    <col customWidth="1" min="7" max="7" width="16.63"/>
    <col customWidth="1" min="8" max="8" width="16.25"/>
    <col customWidth="1" min="10" max="10" width="4.5"/>
    <col customWidth="1" hidden="1" min="11" max="12" width="4.5"/>
    <col customWidth="1" min="20" max="20" width="5.5"/>
    <col customWidth="1" hidden="1" min="21" max="22" width="6.5"/>
    <col customWidth="1" min="29" max="29" width="12.88"/>
    <col customWidth="1" min="30" max="30" width="5.13"/>
    <col customWidth="1" hidden="1" min="31" max="32" width="8.25"/>
  </cols>
  <sheetData>
    <row r="1">
      <c r="A1" s="137"/>
      <c r="B1" s="137"/>
      <c r="C1" s="138"/>
      <c r="D1" s="138"/>
      <c r="E1" s="138"/>
      <c r="F1" s="138"/>
      <c r="G1" s="138"/>
      <c r="H1" s="138"/>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row>
    <row r="2">
      <c r="A2" s="5"/>
      <c r="B2" s="5"/>
      <c r="C2" s="140" t="str">
        <f>Teachers!A1</f>
        <v>Adriana RamIrez</v>
      </c>
      <c r="D2" s="141"/>
      <c r="E2" s="141"/>
      <c r="F2" s="141"/>
      <c r="G2" s="141"/>
      <c r="H2" s="142"/>
      <c r="I2" s="143" t="str">
        <f>IFERROR(__xludf.DUMMYFUNCTION("if(C2="""","""", iferror(unique(filter(Schedule!$J:$J,Schedule!$L:$L=$C2,Schedule!$J:$J=""Q1"")),iferror(unique(filter(Schedule!$J:$J,Schedule!$L:$L=$C2,Schedule!$J:$J=""S1"")),""Y"")))"),"Y")</f>
        <v>Y</v>
      </c>
      <c r="J2" s="11"/>
      <c r="K2" s="11"/>
      <c r="L2" s="11"/>
      <c r="M2" s="140" t="str">
        <f>if(S2="","",C2)</f>
        <v/>
      </c>
      <c r="N2" s="141"/>
      <c r="O2" s="141"/>
      <c r="P2" s="141"/>
      <c r="Q2" s="141"/>
      <c r="R2" s="142"/>
      <c r="S2" s="143" t="str">
        <f>if($I2="Q1","Q2",if($I2="S1","S2",""))</f>
        <v/>
      </c>
      <c r="T2" s="144"/>
      <c r="U2" s="144"/>
      <c r="V2" s="145"/>
      <c r="W2" s="140" t="str">
        <f>if(AC2="","",M2)</f>
        <v/>
      </c>
      <c r="X2" s="141"/>
      <c r="Y2" s="141"/>
      <c r="Z2" s="141"/>
      <c r="AA2" s="141"/>
      <c r="AB2" s="142"/>
      <c r="AC2" s="143" t="str">
        <f>if($I2="Q1","Q3","")</f>
        <v/>
      </c>
      <c r="AD2" s="144"/>
      <c r="AE2" s="144"/>
      <c r="AF2" s="145"/>
      <c r="AG2" s="140" t="str">
        <f>if(AC2="","",W2)</f>
        <v/>
      </c>
      <c r="AH2" s="141"/>
      <c r="AI2" s="141"/>
      <c r="AJ2" s="141"/>
      <c r="AK2" s="141"/>
      <c r="AL2" s="142"/>
      <c r="AM2" s="143" t="str">
        <f>if($I2="Q1","Q4","")</f>
        <v/>
      </c>
    </row>
    <row r="3">
      <c r="A3" s="146"/>
      <c r="B3" s="146"/>
      <c r="C3" s="147" t="s">
        <v>94</v>
      </c>
      <c r="D3" s="148" t="s">
        <v>95</v>
      </c>
      <c r="E3" s="148" t="s">
        <v>96</v>
      </c>
      <c r="F3" s="148" t="s">
        <v>97</v>
      </c>
      <c r="G3" s="148" t="s">
        <v>98</v>
      </c>
      <c r="H3" s="148" t="s">
        <v>99</v>
      </c>
      <c r="I3" s="148" t="s">
        <v>651</v>
      </c>
      <c r="J3" s="146"/>
      <c r="K3" s="146"/>
      <c r="L3" s="146"/>
      <c r="M3" s="147" t="s">
        <v>94</v>
      </c>
      <c r="N3" s="148" t="s">
        <v>95</v>
      </c>
      <c r="O3" s="148" t="s">
        <v>96</v>
      </c>
      <c r="P3" s="148" t="s">
        <v>97</v>
      </c>
      <c r="Q3" s="148" t="s">
        <v>98</v>
      </c>
      <c r="R3" s="148" t="s">
        <v>99</v>
      </c>
      <c r="S3" s="148" t="s">
        <v>651</v>
      </c>
      <c r="T3" s="149"/>
      <c r="U3" s="149"/>
      <c r="V3" s="150"/>
      <c r="W3" s="147" t="s">
        <v>94</v>
      </c>
      <c r="X3" s="148" t="s">
        <v>95</v>
      </c>
      <c r="Y3" s="148" t="s">
        <v>96</v>
      </c>
      <c r="Z3" s="148" t="s">
        <v>97</v>
      </c>
      <c r="AA3" s="148" t="s">
        <v>98</v>
      </c>
      <c r="AB3" s="148" t="s">
        <v>99</v>
      </c>
      <c r="AC3" s="148" t="s">
        <v>651</v>
      </c>
      <c r="AD3" s="149"/>
      <c r="AE3" s="149"/>
      <c r="AF3" s="150"/>
      <c r="AG3" s="147" t="s">
        <v>94</v>
      </c>
      <c r="AH3" s="148" t="s">
        <v>95</v>
      </c>
      <c r="AI3" s="148" t="s">
        <v>96</v>
      </c>
      <c r="AJ3" s="148" t="s">
        <v>97</v>
      </c>
      <c r="AK3" s="148" t="s">
        <v>98</v>
      </c>
      <c r="AL3" s="148" t="s">
        <v>99</v>
      </c>
      <c r="AM3" s="148" t="s">
        <v>651</v>
      </c>
    </row>
    <row r="4">
      <c r="A4" s="151" t="str">
        <f>C2</f>
        <v>Adriana RamIrez</v>
      </c>
      <c r="B4" s="151" t="str">
        <f>I2</f>
        <v>Y</v>
      </c>
      <c r="C4" s="147">
        <v>1.0</v>
      </c>
      <c r="D4" s="152" t="str">
        <f>IFERROR(__xludf.DUMMYFUNCTION("if(A4="""","""",iferror(filter(Schedule!$M:$M&amp;""-""&amp;Schedule!$N:$N,Schedule!$L:$L=A4,(Schedule!$J:$J="""")+(Schedule!$J:$J=B4),(Schedule!$K:$K=""a"")+(Schedule!$K:$K=""""),Schedule!$M:$M&lt;&gt;""""),""""))"),"Spanish 7-1")</f>
        <v>Spanish 7-1</v>
      </c>
      <c r="E4" s="152" t="str">
        <f>IFERROR(__xludf.DUMMYFUNCTION("if(A4="""","""",iferror(filter(Schedule!$AB:$AB&amp;""-""&amp;Schedule!$AC:$AC,Schedule!$L:$L=A4,(Schedule!$J:$J="""")+(Schedule!$J:$J=B4),(Schedule!$K:$K=""b"")+(Schedule!$K:$K=""""),Schedule!$AB:$AB&lt;&gt;""""),""""))"),"")</f>
        <v/>
      </c>
      <c r="F4" s="152" t="str">
        <f>IFERROR(__xludf.DUMMYFUNCTION("if(A4="""","""",iferror(filter(Schedule!$S:$S&amp;""-""&amp;Schedule!$T:$T,Schedule!$L:$L=A4,(Schedule!$J:$J="""")+(Schedule!$J:$J=B4),(Schedule!$K:$K=""a"")+(Schedule!$K:$K=""""),Schedule!$S:$S&lt;&gt;""""),""""))"),"Spanish 7-3")</f>
        <v>Spanish 7-3</v>
      </c>
      <c r="G4" s="152" t="str">
        <f>IFERROR(__xludf.DUMMYFUNCTION("if(A4="""","""",iferror(filter(Schedule!$V:$V&amp;""-""&amp;Schedule!$W:$W,Schedule!$L:$L=A4,(Schedule!$J:$J="""")+(Schedule!$J:$J=B4),(Schedule!$K:$K=""a"")+(Schedule!$K:$K=""""),Schedule!$V:$V&lt;&gt;""""),""""))"),"Spanish 7-4")</f>
        <v>Spanish 7-4</v>
      </c>
      <c r="H4" s="152" t="str">
        <f>IFERROR(__xludf.DUMMYFUNCTION("if(A4="""","""",iferror(filter(Schedule!$Y:$Y&amp;""-""&amp;Schedule!$Z:$Z,Schedule!$L:$L=A4,(Schedule!$J:$J="""")+(Schedule!$J:$J=B4),(Schedule!$K:$K=""b"")+(Schedule!$K:$K=""""),Schedule!$Y:$Y&lt;&gt;""""),""""))"),"")</f>
        <v/>
      </c>
      <c r="I4" s="153">
        <f>if(C2="","", 24-countifs(D4:H8,""))</f>
        <v>16</v>
      </c>
      <c r="J4" s="154"/>
      <c r="K4" s="151" t="str">
        <f>M2</f>
        <v/>
      </c>
      <c r="L4" s="151" t="str">
        <f>S2</f>
        <v/>
      </c>
      <c r="M4" s="147">
        <v>1.0</v>
      </c>
      <c r="N4" s="152" t="str">
        <f>IFERROR(__xludf.DUMMYFUNCTION("if(K4="""","""",iferror(filter(Schedule!$M:$M&amp;""-""&amp;Schedule!$N:$N,Schedule!$L:$L=K4,(Schedule!$J:$J="""")+(Schedule!$J:$J=L4),(Schedule!$K:$K=""a"")+(Schedule!$K:$K=""""),Schedule!$M:$M&lt;&gt;""""),""""))"),"")</f>
        <v/>
      </c>
      <c r="O4" s="152" t="str">
        <f>IFERROR(__xludf.DUMMYFUNCTION("if(K4="""","""",iferror(filter(Schedule!$AB:$AB&amp;""-""&amp;Schedule!$AC:$AC,Schedule!$L:$L=K4,(Schedule!$J:$J="""")+(Schedule!$J:$J=L4),(Schedule!$K:$K=""b"")+(Schedule!$K:$K=""""),Schedule!$AB:$AB&lt;&gt;""""),""""))"),"")</f>
        <v/>
      </c>
      <c r="P4" s="152" t="str">
        <f>IFERROR(__xludf.DUMMYFUNCTION("if(K4="""","""",iferror(filter(Schedule!$S:$S&amp;""-""&amp;Schedule!$T:$T,Schedule!$L:$L=K4,(Schedule!$J:$J="""")+(Schedule!$J:$J=L4),(Schedule!$K:$K=""a"")+(Schedule!$K:$K=""""),Schedule!$S:$S&lt;&gt;""""),""""))"),"")</f>
        <v/>
      </c>
      <c r="Q4" s="152" t="str">
        <f>IFERROR(__xludf.DUMMYFUNCTION("if(K4="""","""",iferror(filter(Schedule!$V:$V&amp;""-""&amp;Schedule!$W:$W,Schedule!$L:$L=K4,(Schedule!$J:$J="""")+(Schedule!$J:$J=L4),(Schedule!$K:$K=""a"")+(Schedule!$K:$K=""""),Schedule!$V:$V&lt;&gt;""""),""""))"),"")</f>
        <v/>
      </c>
      <c r="R4" s="152" t="str">
        <f>IFERROR(__xludf.DUMMYFUNCTION("if(K4="""","""",iferror(filter(Schedule!$Y:$Y&amp;""-""&amp;Schedule!$Z:$Z,Schedule!$L:$L=K4,(Schedule!$J:$J="""")+(Schedule!$J:$J=L4),(Schedule!$K:$K=""b"")+(Schedule!$K:$K=""""),Schedule!$Y:$Y&lt;&gt;""""),""""))"),"")</f>
        <v/>
      </c>
      <c r="S4" s="153" t="str">
        <f>if(K4="","", 24-countifs(N4:R8,""))</f>
        <v/>
      </c>
      <c r="T4" s="155"/>
      <c r="U4" s="155" t="str">
        <f>W2</f>
        <v/>
      </c>
      <c r="V4" s="151" t="str">
        <f>AC2</f>
        <v/>
      </c>
      <c r="W4" s="147">
        <v>1.0</v>
      </c>
      <c r="X4" s="152" t="str">
        <f>IFERROR(__xludf.DUMMYFUNCTION("if(U4="""","""",iferror(filter(Schedule!$M:$M&amp;""-""&amp;Schedule!$N:$N,Schedule!$L:$L=U4,(Schedule!$J:$J="""")+(Schedule!$J:$J=V4),(Schedule!$K:$K=""a"")+(Schedule!$K:$K=""""),Schedule!$M:$M&lt;&gt;""""),""""))"),"")</f>
        <v/>
      </c>
      <c r="Y4" s="152" t="str">
        <f>IFERROR(__xludf.DUMMYFUNCTION("if(U4="""","""",iferror(filter(Schedule!$AB:$AB&amp;""-""&amp;Schedule!$AC:$AC,Schedule!$L:$L=U4,(Schedule!$J:$J="""")+(Schedule!$J:$J=V4),(Schedule!$K:$K=""b"")+(Schedule!$K:$K=""""),Schedule!$AB:$AB&lt;&gt;""""),""""))"),"")</f>
        <v/>
      </c>
      <c r="Z4" s="152" t="str">
        <f>IFERROR(__xludf.DUMMYFUNCTION("if(U4="""","""",iferror(filter(Schedule!$S:$S&amp;""-""&amp;Schedule!$T:$T,Schedule!$L:$L=U4,(Schedule!$J:$J="""")+(Schedule!$J:$J=V4),(Schedule!$K:$K=""a"")+(Schedule!$K:$K=""""),Schedule!$S:$S&lt;&gt;""""),""""))"),"")</f>
        <v/>
      </c>
      <c r="AA4" s="152" t="str">
        <f>IFERROR(__xludf.DUMMYFUNCTION("if(U4="""","""",iferror(filter(Schedule!$V:$V&amp;""-""&amp;Schedule!$W:$W,Schedule!$L:$L=U4,(Schedule!$J:$J="""")+(Schedule!$J:$J=V4),(Schedule!$K:$K=""a"")+(Schedule!$K:$K=""""),Schedule!$V:$V&lt;&gt;""""),""""))"),"")</f>
        <v/>
      </c>
      <c r="AB4" s="152" t="str">
        <f>IFERROR(__xludf.DUMMYFUNCTION("if(U4="""","""",iferror(filter(Schedule!$Y:$Y&amp;""-""&amp;Schedule!$Z:$Z,Schedule!$L:$L=U4,(Schedule!$J:$J="""")+(Schedule!$J:$J=V4),(Schedule!$K:$K=""b"")+(Schedule!$K:$K=""""),Schedule!$Y:$Y&lt;&gt;""""),""""))"),"")</f>
        <v/>
      </c>
      <c r="AC4" s="153" t="str">
        <f>if(U4="","", 24-countifs(X4:AB8,""))</f>
        <v/>
      </c>
      <c r="AD4" s="155"/>
      <c r="AE4" s="155" t="str">
        <f>AG2</f>
        <v/>
      </c>
      <c r="AF4" s="151" t="str">
        <f>AM2</f>
        <v/>
      </c>
      <c r="AG4" s="147">
        <v>1.0</v>
      </c>
      <c r="AH4" s="152" t="str">
        <f>IFERROR(__xludf.DUMMYFUNCTION("if(AE4="""","""",iferror(filter(Schedule!$M:$M&amp;""-""&amp;Schedule!$N:$N,Schedule!$L:$L=AE4,(Schedule!$J:$J="""")+(Schedule!$J:$J=AF4),(Schedule!$K:$K=""a"")+(Schedule!$K:$K=""""),Schedule!$M:$M&lt;&gt;""""),""""))"),"")</f>
        <v/>
      </c>
      <c r="AI4" s="152" t="str">
        <f>IFERROR(__xludf.DUMMYFUNCTION("if(AE4="""","""",iferror(filter(Schedule!$AB:$AB&amp;""-""&amp;Schedule!$AC:$AC,Schedule!$L:$L=AE4,(Schedule!$J:$J="""")+(Schedule!$J:$J=AF4),(Schedule!$K:$K=""b"")+(Schedule!$K:$K=""""),Schedule!$AB:$AB&lt;&gt;""""),""""))"),"")</f>
        <v/>
      </c>
      <c r="AJ4" s="152" t="str">
        <f>IFERROR(__xludf.DUMMYFUNCTION("if(AE4="""","""",iferror(filter(Schedule!$S:$S&amp;""-""&amp;Schedule!$T:$T,Schedule!$L:$L=AE4,(Schedule!$J:$J="""")+(Schedule!$J:$J=AF4),(Schedule!$K:$K=""a"")+(Schedule!$K:$K=""""),Schedule!$S:$S&lt;&gt;""""),""""))"),"")</f>
        <v/>
      </c>
      <c r="AK4" s="152" t="str">
        <f>IFERROR(__xludf.DUMMYFUNCTION("if(AE4="""","""",iferror(filter(Schedule!$V:$V&amp;""-""&amp;Schedule!$W:$W,Schedule!$L:$L=AE4,(Schedule!$J:$J="""")+(Schedule!$J:$J=AF4),(Schedule!$K:$K=""a"")+(Schedule!$K:$K=""""),Schedule!$V:$V&lt;&gt;""""),""""))"),"")</f>
        <v/>
      </c>
      <c r="AL4" s="152" t="str">
        <f>IFERROR(__xludf.DUMMYFUNCTION("if(AE4="""","""",iferror(filter(Schedule!$Y:$Y&amp;""-""&amp;Schedule!$Z:$Z,Schedule!$L:$L=AE4,(Schedule!$J:$J="""")+(Schedule!$J:$J=AF4),(Schedule!$K:$K=""b"")+(Schedule!$K:$K=""""),Schedule!$Y:$Y&lt;&gt;""""),""""))"),"")</f>
        <v/>
      </c>
      <c r="AM4" s="153" t="str">
        <f>if(AE4="","", 24-countifs(AH4:AL8,""))</f>
        <v/>
      </c>
    </row>
    <row r="5">
      <c r="A5" s="151" t="str">
        <f>C2</f>
        <v>Adriana RamIrez</v>
      </c>
      <c r="B5" s="151" t="str">
        <f>I2</f>
        <v>Y</v>
      </c>
      <c r="C5" s="147">
        <v>2.0</v>
      </c>
      <c r="D5" s="152" t="str">
        <f>IFERROR(__xludf.DUMMYFUNCTION("if(A5="""","""",iferror(filter(Schedule!$P:$P&amp;""-""&amp;Schedule!$Q:$Q,Schedule!$L:$L=A5,(Schedule!$J:$J="""")+(Schedule!$J:$J=B5),(Schedule!$K:$K=""a"")+(Schedule!$K:$K=""""),Schedule!$P:$P&lt;&gt;""""),""""))"),"Spanish 7-2")</f>
        <v>Spanish 7-2</v>
      </c>
      <c r="E5" s="152" t="str">
        <f>IFERROR(__xludf.DUMMYFUNCTION("if(A5="""","""",iferror(filter(Schedule!$Y:$Y&amp;""-""&amp;Schedule!$Z:$Z,Schedule!$L:$L=A5,(Schedule!$J:$J="""")+(Schedule!$J:$J=B5),(Schedule!$K:$K=""b"")+(Schedule!$K:$K=""""),Schedule!$Y:$Y&lt;&gt;""""),""""))"),"")</f>
        <v/>
      </c>
      <c r="F5" s="152" t="str">
        <f>IFERROR(__xludf.DUMMYFUNCTION("if(A5="""","""",iferror(filter(Schedule!$P:$P&amp;""-""&amp;Schedule!$Q:$Q,Schedule!$L:$L=A5,(Schedule!$J:$J="""")+(Schedule!$J:$J=B5),(Schedule!$K:$K=""a"")+(Schedule!$K:$K=""""),Schedule!$P:$P&lt;&gt;""""),""""))"),"Spanish 7-2")</f>
        <v>Spanish 7-2</v>
      </c>
      <c r="G5" s="152" t="str">
        <f>IFERROR(__xludf.DUMMYFUNCTION("if(A5="""","""",iferror(filter(Schedule!$M:$M&amp;""-""&amp;Schedule!$N:$N,Schedule!$L:$L=A5,(Schedule!$J:$J="""")+(Schedule!$J:$J=B5),(Schedule!$K:$K=""a"")+(Schedule!$K:$K=""""),Schedule!$M:$M&lt;&gt;""""),""""))"),"Spanish 7-1")</f>
        <v>Spanish 7-1</v>
      </c>
      <c r="H5" s="152" t="str">
        <f>IFERROR(__xludf.DUMMYFUNCTION("if(A5="""","""",iferror(filter(Schedule!$AB:$AB&amp;""-""&amp;Schedule!$AC:$AC,Schedule!$L:$L=A5,(Schedule!$J:$J="""")+(Schedule!$J:$J=B5),(Schedule!$K:$K=""a"")+(Schedule!$K:$K=""""),Schedule!$AB:$AB&lt;&gt;""""),""""))"),"")</f>
        <v/>
      </c>
      <c r="I5" s="60"/>
      <c r="J5" s="154"/>
      <c r="K5" s="151" t="str">
        <f>M2</f>
        <v/>
      </c>
      <c r="L5" s="151" t="str">
        <f>S2</f>
        <v/>
      </c>
      <c r="M5" s="147">
        <v>2.0</v>
      </c>
      <c r="N5" s="152" t="str">
        <f>IFERROR(__xludf.DUMMYFUNCTION("if(K5="""","""",iferror(filter(Schedule!$P:$P&amp;""-""&amp;Schedule!$Q:$Q,Schedule!$L:$L=K5,(Schedule!$J:$J="""")+(Schedule!$J:$J=L5),(Schedule!$K:$K=""a"")+(Schedule!$K:$K=""""),Schedule!$P:$P&lt;&gt;""""),""""))"),"")</f>
        <v/>
      </c>
      <c r="O5" s="152" t="str">
        <f>IFERROR(__xludf.DUMMYFUNCTION("if(K5="""","""",iferror(filter(Schedule!$Y:$Y&amp;""-""&amp;Schedule!$Z:$Z,Schedule!$L:$L=K5,(Schedule!$J:$J="""")+(Schedule!$J:$J=L5),(Schedule!$K:$K=""b"")+(Schedule!$K:$K=""""),Schedule!$Y:$Y&lt;&gt;""""),""""))"),"")</f>
        <v/>
      </c>
      <c r="P5" s="152" t="str">
        <f>IFERROR(__xludf.DUMMYFUNCTION("if(K5="""","""",iferror(filter(Schedule!$P:$P&amp;""-""&amp;Schedule!$Q:$Q,Schedule!$L:$L=K5,(Schedule!$J:$J="""")+(Schedule!$J:$J=L5),(Schedule!$K:$K=""a"")+(Schedule!$K:$K=""""),Schedule!$P:$P&lt;&gt;""""),""""))"),"")</f>
        <v/>
      </c>
      <c r="Q5" s="152" t="str">
        <f>IFERROR(__xludf.DUMMYFUNCTION("if(K5="""","""",iferror(filter(Schedule!$M:$M&amp;""-""&amp;Schedule!$N:$N,Schedule!$L:$L=K5,(Schedule!$J:$J="""")+(Schedule!$J:$J=L5),(Schedule!$K:$K=""a"")+(Schedule!$K:$K=""""),Schedule!$M:$M&lt;&gt;""""),""""))"),"")</f>
        <v/>
      </c>
      <c r="R5" s="152" t="str">
        <f>IFERROR(__xludf.DUMMYFUNCTION("if(K5="""","""",iferror(filter(Schedule!$AB:$AB&amp;""-""&amp;Schedule!$AC:$AC,Schedule!$L:$L=K5,(Schedule!$J:$J="""")+(Schedule!$J:$J=L5),(Schedule!$K:$K=""a"")+(Schedule!$K:$K=""""),Schedule!$AB:$AB&lt;&gt;""""),""""))"),"")</f>
        <v/>
      </c>
      <c r="S5" s="60"/>
      <c r="T5" s="155"/>
      <c r="U5" s="155" t="str">
        <f>W2</f>
        <v/>
      </c>
      <c r="V5" s="151" t="str">
        <f>AC2</f>
        <v/>
      </c>
      <c r="W5" s="147">
        <v>2.0</v>
      </c>
      <c r="X5" s="152" t="str">
        <f>IFERROR(__xludf.DUMMYFUNCTION("if(U5="""","""",iferror(filter(Schedule!$P:$P&amp;""-""&amp;Schedule!$Q:$Q,Schedule!$L:$L=U5,(Schedule!$J:$J="""")+(Schedule!$J:$J=V5),(Schedule!$K:$K=""a"")+(Schedule!$K:$K=""""),Schedule!$P:$P&lt;&gt;""""),""""))"),"")</f>
        <v/>
      </c>
      <c r="Y5" s="152" t="str">
        <f>IFERROR(__xludf.DUMMYFUNCTION("if(U5="""","""",iferror(filter(Schedule!$Y:$Y&amp;""-""&amp;Schedule!$Z:$Z,Schedule!$L:$L=U5,(Schedule!$J:$J="""")+(Schedule!$J:$J=V5),(Schedule!$K:$K=""b"")+(Schedule!$K:$K=""""),Schedule!$Y:$Y&lt;&gt;""""),""""))"),"")</f>
        <v/>
      </c>
      <c r="Z5" s="152" t="str">
        <f>IFERROR(__xludf.DUMMYFUNCTION("if(U5="""","""",iferror(filter(Schedule!$P:$P&amp;""-""&amp;Schedule!$Q:$Q,Schedule!$L:$L=U5,(Schedule!$J:$J="""")+(Schedule!$J:$J=V5),(Schedule!$K:$K=""a"")+(Schedule!$K:$K=""""),Schedule!$P:$P&lt;&gt;""""),""""))"),"")</f>
        <v/>
      </c>
      <c r="AA5" s="152" t="str">
        <f>IFERROR(__xludf.DUMMYFUNCTION("if(U5="""","""",iferror(filter(Schedule!$M:$M&amp;""-""&amp;Schedule!$N:$N,Schedule!$L:$L=U5,(Schedule!$J:$J="""")+(Schedule!$J:$J=V5),(Schedule!$K:$K=""a"")+(Schedule!$K:$K=""""),Schedule!$M:$M&lt;&gt;""""),""""))"),"")</f>
        <v/>
      </c>
      <c r="AB5" s="152" t="str">
        <f>IFERROR(__xludf.DUMMYFUNCTION("if(U5="""","""",iferror(filter(Schedule!$AB:$AB&amp;""-""&amp;Schedule!$AC:$AC,Schedule!$L:$L=U5,(Schedule!$J:$J="""")+(Schedule!$J:$J=V5),(Schedule!$K:$K=""a"")+(Schedule!$K:$K=""""),Schedule!$AB:$AB&lt;&gt;""""),""""))"),"")</f>
        <v/>
      </c>
      <c r="AC5" s="60"/>
      <c r="AD5" s="155"/>
      <c r="AE5" s="155" t="str">
        <f>AG2</f>
        <v/>
      </c>
      <c r="AF5" s="151" t="str">
        <f>AM2</f>
        <v/>
      </c>
      <c r="AG5" s="147">
        <v>2.0</v>
      </c>
      <c r="AH5" s="152" t="str">
        <f>IFERROR(__xludf.DUMMYFUNCTION("if(AE5="""","""",iferror(filter(Schedule!$P:$P&amp;""-""&amp;Schedule!$Q:$Q,Schedule!$L:$L=AE5,(Schedule!$J:$J="""")+(Schedule!$J:$J=AF5),(Schedule!$K:$K=""a"")+(Schedule!$K:$K=""""),Schedule!$P:$P&lt;&gt;""""),""""))"),"")</f>
        <v/>
      </c>
      <c r="AI5" s="152" t="str">
        <f>IFERROR(__xludf.DUMMYFUNCTION("if(AE5="""","""",iferror(filter(Schedule!$Y:$Y&amp;""-""&amp;Schedule!$Z:$Z,Schedule!$L:$L=AE5,(Schedule!$J:$J="""")+(Schedule!$J:$J=AF5),(Schedule!$K:$K=""b"")+(Schedule!$K:$K=""""),Schedule!$Y:$Y&lt;&gt;""""),""""))"),"")</f>
        <v/>
      </c>
      <c r="AJ5" s="152" t="str">
        <f>IFERROR(__xludf.DUMMYFUNCTION("if(AE5="""","""",iferror(filter(Schedule!$P:$P&amp;""-""&amp;Schedule!$Q:$Q,Schedule!$L:$L=AE5,(Schedule!$J:$J="""")+(Schedule!$J:$J=AF5),(Schedule!$K:$K=""a"")+(Schedule!$K:$K=""""),Schedule!$P:$P&lt;&gt;""""),""""))"),"")</f>
        <v/>
      </c>
      <c r="AK5" s="152" t="str">
        <f>IFERROR(__xludf.DUMMYFUNCTION("if(AE5="""","""",iferror(filter(Schedule!$M:$M&amp;""-""&amp;Schedule!$N:$N,Schedule!$L:$L=AE5,(Schedule!$J:$J="""")+(Schedule!$J:$J=AF5),(Schedule!$K:$K=""a"")+(Schedule!$K:$K=""""),Schedule!$M:$M&lt;&gt;""""),""""))"),"")</f>
        <v/>
      </c>
      <c r="AL5" s="152" t="str">
        <f>IFERROR(__xludf.DUMMYFUNCTION("if(AE5="""","""",iferror(filter(Schedule!$AB:$AB&amp;""-""&amp;Schedule!$AC:$AC,Schedule!$L:$L=AE5,(Schedule!$J:$J="""")+(Schedule!$J:$J=AF5),(Schedule!$K:$K=""a"")+(Schedule!$K:$K=""""),Schedule!$AB:$AB&lt;&gt;""""),""""))"),"")</f>
        <v/>
      </c>
      <c r="AM5" s="60"/>
    </row>
    <row r="6">
      <c r="A6" s="151" t="str">
        <f>C2</f>
        <v>Adriana RamIrez</v>
      </c>
      <c r="B6" s="151" t="str">
        <f>I2</f>
        <v>Y</v>
      </c>
      <c r="C6" s="147">
        <v>3.0</v>
      </c>
      <c r="D6" s="152" t="str">
        <f>IFERROR(__xludf.DUMMYFUNCTION("if(A6="""","""",iferror(filter(Schedule!$S:$S&amp;""-""&amp;Schedule!$T:$T,Schedule!$L:$L=A6,(Schedule!$J:$J="""")+(Schedule!$J:$J=B6),(Schedule!$K:$K=""a"")+(Schedule!$K:$K=""""),Schedule!$S:$S&lt;&gt;""""),""""))"),"Spanish 7-3")</f>
        <v>Spanish 7-3</v>
      </c>
      <c r="E6" s="152" t="str">
        <f>IFERROR(__xludf.DUMMYFUNCTION("if(A6="""","""",iferror(filter(Schedule!$S:$S&amp;""-""&amp;Schedule!$T:$T,Schedule!$L:$L=A6,(Schedule!$J:$J="""")+(Schedule!$J:$J=B6),(Schedule!$K:$K=""b"")+(Schedule!$K:$K=""""),Schedule!$S:$S&lt;&gt;""""),""""))"),"Spanish 7-3")</f>
        <v>Spanish 7-3</v>
      </c>
      <c r="F6" s="152" t="str">
        <f>IFERROR(__xludf.DUMMYFUNCTION("if(A6="""","""",iferror(filter(Schedule!$Y:$Y&amp;""-""&amp;Schedule!$Z:$Z,Schedule!$L:$L=A6,(Schedule!$J:$J="""")+(Schedule!$J:$J=B6),(Schedule!$K:$K=""a"")+(Schedule!$K:$K=""""),Schedule!$Y:$Y&lt;&gt;""""),""""))"),"")</f>
        <v/>
      </c>
      <c r="G6" s="152" t="str">
        <f>IFERROR(__xludf.DUMMYFUNCTION("if(A6="""","""",iferror(filter(Schedule!$P:$P&amp;""-""&amp;Schedule!$Q:$Q,Schedule!$L:$L=A6,(Schedule!$J:$J="""")+(Schedule!$J:$J=B6),(Schedule!$K:$K=""b"")+(Schedule!$K:$K=""""),Schedule!$P:$P&lt;&gt;""""),""""))"),"Spanish 7-2")</f>
        <v>Spanish 7-2</v>
      </c>
      <c r="H6" s="152" t="str">
        <f>if(C2="","","X-Block")</f>
        <v>X-Block</v>
      </c>
      <c r="I6" s="60"/>
      <c r="J6" s="154"/>
      <c r="K6" s="151" t="str">
        <f>M2</f>
        <v/>
      </c>
      <c r="L6" s="151" t="str">
        <f>S2</f>
        <v/>
      </c>
      <c r="M6" s="147">
        <v>3.0</v>
      </c>
      <c r="N6" s="152" t="str">
        <f>IFERROR(__xludf.DUMMYFUNCTION("if(K6="""","""",iferror(filter(Schedule!$S:$S&amp;""-""&amp;Schedule!$T:$T,Schedule!$L:$L=K6,(Schedule!$J:$J="""")+(Schedule!$J:$J=L6),(Schedule!$K:$K=""a"")+(Schedule!$K:$K=""""),Schedule!$S:$S&lt;&gt;""""),""""))"),"")</f>
        <v/>
      </c>
      <c r="O6" s="152" t="str">
        <f>IFERROR(__xludf.DUMMYFUNCTION("if(K6="""","""",iferror(filter(Schedule!$S:$S&amp;""-""&amp;Schedule!$T:$T,Schedule!$L:$L=K6,(Schedule!$J:$J="""")+(Schedule!$J:$J=L6),(Schedule!$K:$K=""b"")+(Schedule!$K:$K=""""),Schedule!$S:$S&lt;&gt;""""),""""))"),"")</f>
        <v/>
      </c>
      <c r="P6" s="152" t="str">
        <f>IFERROR(__xludf.DUMMYFUNCTION("if(K6="""","""",iferror(filter(Schedule!$Y:$Y&amp;""-""&amp;Schedule!$Z:$Z,Schedule!$L:$L=K6,(Schedule!$J:$J="""")+(Schedule!$J:$J=L6),(Schedule!$K:$K=""a"")+(Schedule!$K:$K=""""),Schedule!$Y:$Y&lt;&gt;""""),""""))"),"")</f>
        <v/>
      </c>
      <c r="Q6" s="152" t="str">
        <f>IFERROR(__xludf.DUMMYFUNCTION("if(K6="""","""",iferror(filter(Schedule!$P:$P&amp;""-""&amp;Schedule!$Q:$Q,Schedule!$L:$L=K6,(Schedule!$J:$J="""")+(Schedule!$J:$J=L6),(Schedule!$K:$K=""b"")+(Schedule!$K:$K=""""),Schedule!$P:$P&lt;&gt;""""),""""))"),"")</f>
        <v/>
      </c>
      <c r="R6" s="152" t="str">
        <f>if(M2="","","X-Block")</f>
        <v/>
      </c>
      <c r="S6" s="60"/>
      <c r="T6" s="155"/>
      <c r="U6" s="155" t="str">
        <f>W2</f>
        <v/>
      </c>
      <c r="V6" s="151" t="str">
        <f>AC2</f>
        <v/>
      </c>
      <c r="W6" s="147">
        <v>3.0</v>
      </c>
      <c r="X6" s="152" t="str">
        <f>IFERROR(__xludf.DUMMYFUNCTION("if(U6="""","""",iferror(filter(Schedule!$S:$S&amp;""-""&amp;Schedule!$T:$T,Schedule!$L:$L=U6,(Schedule!$J:$J="""")+(Schedule!$J:$J=V6),(Schedule!$K:$K=""a"")+(Schedule!$K:$K=""""),Schedule!$S:$S&lt;&gt;""""),""""))"),"")</f>
        <v/>
      </c>
      <c r="Y6" s="152" t="str">
        <f>IFERROR(__xludf.DUMMYFUNCTION("if(U6="""","""",iferror(filter(Schedule!$S:$S&amp;""-""&amp;Schedule!$T:$T,Schedule!$L:$L=U6,(Schedule!$J:$J="""")+(Schedule!$J:$J=V6),(Schedule!$K:$K=""b"")+(Schedule!$K:$K=""""),Schedule!$S:$S&lt;&gt;""""),""""))"),"")</f>
        <v/>
      </c>
      <c r="Z6" s="152" t="str">
        <f>IFERROR(__xludf.DUMMYFUNCTION("if(U6="""","""",iferror(filter(Schedule!$Y:$Y&amp;""-""&amp;Schedule!$Z:$Z,Schedule!$L:$L=U6,(Schedule!$J:$J="""")+(Schedule!$J:$J=V6),(Schedule!$K:$K=""a"")+(Schedule!$K:$K=""""),Schedule!$Y:$Y&lt;&gt;""""),""""))"),"")</f>
        <v/>
      </c>
      <c r="AA6" s="152" t="str">
        <f>IFERROR(__xludf.DUMMYFUNCTION("if(U6="""","""",iferror(filter(Schedule!$P:$P&amp;""-""&amp;Schedule!$Q:$Q,Schedule!$L:$L=U6,(Schedule!$J:$J="""")+(Schedule!$J:$J=V6),(Schedule!$K:$K=""b"")+(Schedule!$K:$K=""""),Schedule!$P:$P&lt;&gt;""""),""""))"),"")</f>
        <v/>
      </c>
      <c r="AB6" s="152" t="str">
        <f>if(W2="","","X-Block")</f>
        <v/>
      </c>
      <c r="AC6" s="60"/>
      <c r="AD6" s="155"/>
      <c r="AE6" s="155" t="str">
        <f>AG2</f>
        <v/>
      </c>
      <c r="AF6" s="151" t="str">
        <f>AM2</f>
        <v/>
      </c>
      <c r="AG6" s="147">
        <v>3.0</v>
      </c>
      <c r="AH6" s="152" t="str">
        <f>IFERROR(__xludf.DUMMYFUNCTION("if(AE6="""","""",iferror(filter(Schedule!$S:$S&amp;""-""&amp;Schedule!$T:$T,Schedule!$L:$L=AE6,(Schedule!$J:$J="""")+(Schedule!$J:$J=AF6),(Schedule!$K:$K=""a"")+(Schedule!$K:$K=""""),Schedule!$S:$S&lt;&gt;""""),""""))"),"")</f>
        <v/>
      </c>
      <c r="AI6" s="152" t="str">
        <f>IFERROR(__xludf.DUMMYFUNCTION("if(AE6="""","""",iferror(filter(Schedule!$S:$S&amp;""-""&amp;Schedule!$T:$T,Schedule!$L:$L=AE6,(Schedule!$J:$J="""")+(Schedule!$J:$J=AF6),(Schedule!$K:$K=""b"")+(Schedule!$K:$K=""""),Schedule!$S:$S&lt;&gt;""""),""""))"),"")</f>
        <v/>
      </c>
      <c r="AJ6" s="152" t="str">
        <f>IFERROR(__xludf.DUMMYFUNCTION("if(AE6="""","""",iferror(filter(Schedule!$Y:$Y&amp;""-""&amp;Schedule!$Z:$Z,Schedule!$L:$L=AE6,(Schedule!$J:$J="""")+(Schedule!$J:$J=AF6),(Schedule!$K:$K=""a"")+(Schedule!$K:$K=""""),Schedule!$Y:$Y&lt;&gt;""""),""""))"),"")</f>
        <v/>
      </c>
      <c r="AK6" s="152" t="str">
        <f>IFERROR(__xludf.DUMMYFUNCTION("if(AE6="""","""",iferror(filter(Schedule!$P:$P&amp;""-""&amp;Schedule!$Q:$Q,Schedule!$L:$L=AE6,(Schedule!$J:$J="""")+(Schedule!$J:$J=AF6),(Schedule!$K:$K=""b"")+(Schedule!$K:$K=""""),Schedule!$P:$P&lt;&gt;""""),""""))"),"")</f>
        <v/>
      </c>
      <c r="AL6" s="152" t="str">
        <f>if(AG2="","","X-Block")</f>
        <v/>
      </c>
      <c r="AM6" s="60"/>
    </row>
    <row r="7">
      <c r="A7" s="151" t="str">
        <f>C2</f>
        <v>Adriana RamIrez</v>
      </c>
      <c r="B7" s="151" t="str">
        <f>I2</f>
        <v>Y</v>
      </c>
      <c r="C7" s="147">
        <v>4.0</v>
      </c>
      <c r="D7" s="152" t="str">
        <f>IFERROR(__xludf.DUMMYFUNCTION("if(A7="""","""",iferror(filter(Schedule!$V:$V&amp;""-""&amp;Schedule!$W:$W,Schedule!$L:$L=A7,(Schedule!$J:$J="""")+(Schedule!$J:$J=B7),(Schedule!$K:$K=""a"")+(Schedule!$K:$K=""""),Schedule!$V:$V&lt;&gt;""""),""""))"),"Spanish 7-4")</f>
        <v>Spanish 7-4</v>
      </c>
      <c r="E7" s="152" t="str">
        <f>IFERROR(__xludf.DUMMYFUNCTION("if(A7="""","""",iferror(filter(Schedule!$M:$M&amp;""-""&amp;Schedule!$N:$N,Schedule!$L:$L=A7,(Schedule!$J:$J="""")+(Schedule!$J:$J=B7),(Schedule!$K:$K=""b"")+(Schedule!$K:$K=""""),Schedule!$M:$M&lt;&gt;""""),""""))"),"Spanish 7-1")</f>
        <v>Spanish 7-1</v>
      </c>
      <c r="F7" s="152" t="str">
        <f>IFERROR(__xludf.DUMMYFUNCTION("if(A7="""","""",iferror(filter(Schedule!$AB:$AB&amp;""-""&amp;Schedule!$AC:$AC,Schedule!$L:$L=A7,(Schedule!$J:$J="""")+(Schedule!$J:$J=B7),(Schedule!$K:$K=""a"")+(Schedule!$K:$K=""""),Schedule!$AB:$AB&lt;&gt;""""),""""))"),"")</f>
        <v/>
      </c>
      <c r="G7" s="152" t="str">
        <f>IFERROR(__xludf.DUMMYFUNCTION("if(A7="""","""",iferror(filter(Schedule!$S:$S&amp;""-""&amp;Schedule!$T:$T,Schedule!$L:$L=A7,(Schedule!$J:$J="""")+(Schedule!$J:$J=B7),(Schedule!$K:$K=""b"")+(Schedule!$K:$K=""""),Schedule!$S:$S&lt;&gt;""""),""""))"),"Spanish 7-3")</f>
        <v>Spanish 7-3</v>
      </c>
      <c r="H7" s="152" t="str">
        <f>IFERROR(__xludf.DUMMYFUNCTION("if(A7="""","""",iferror(filter(Schedule!$V:$V&amp;""-""&amp;Schedule!$W:$W,Schedule!$L:$L=A7,(Schedule!$J:$J="""")+(Schedule!$J:$J=B7),(Schedule!$K:$K=""b"")+(Schedule!$K:$K=""""),Schedule!$V:$V&lt;&gt;""""),""""))"),"Spanish 7-4")</f>
        <v>Spanish 7-4</v>
      </c>
      <c r="I7" s="60"/>
      <c r="J7" s="154"/>
      <c r="K7" s="151" t="str">
        <f>M2</f>
        <v/>
      </c>
      <c r="L7" s="151" t="str">
        <f>S2</f>
        <v/>
      </c>
      <c r="M7" s="147">
        <v>4.0</v>
      </c>
      <c r="N7" s="152" t="str">
        <f>IFERROR(__xludf.DUMMYFUNCTION("if(K7="""","""",iferror(filter(Schedule!$V:$V&amp;""-""&amp;Schedule!$W:$W,Schedule!$L:$L=K7,(Schedule!$J:$J="""")+(Schedule!$J:$J=L7),(Schedule!$K:$K=""a"")+(Schedule!$K:$K=""""),Schedule!$V:$V&lt;&gt;""""),""""))"),"")</f>
        <v/>
      </c>
      <c r="O7" s="152" t="str">
        <f>IFERROR(__xludf.DUMMYFUNCTION("if(K7="""","""",iferror(filter(Schedule!$M:$M&amp;""-""&amp;Schedule!$N:$N,Schedule!$L:$L=K7,(Schedule!$J:$J="""")+(Schedule!$J:$J=L7),(Schedule!$K:$K=""b"")+(Schedule!$K:$K=""""),Schedule!$M:$M&lt;&gt;""""),""""))"),"")</f>
        <v/>
      </c>
      <c r="P7" s="152" t="str">
        <f>IFERROR(__xludf.DUMMYFUNCTION("if(K7="""","""",iferror(filter(Schedule!$AB:$AB&amp;""-""&amp;Schedule!$AC:$AC,Schedule!$L:$L=K7,(Schedule!$J:$J="""")+(Schedule!$J:$J=L7),(Schedule!$K:$K=""a"")+(Schedule!$K:$K=""""),Schedule!$AB:$AB&lt;&gt;""""),""""))"),"")</f>
        <v/>
      </c>
      <c r="Q7" s="152" t="str">
        <f>IFERROR(__xludf.DUMMYFUNCTION("if(K7="""","""",iferror(filter(Schedule!$S:$S&amp;""-""&amp;Schedule!$T:$T,Schedule!$L:$L=K7,(Schedule!$J:$J="""")+(Schedule!$J:$J=L7),(Schedule!$K:$K=""b"")+(Schedule!$K:$K=""""),Schedule!$S:$S&lt;&gt;""""),""""))"),"")</f>
        <v/>
      </c>
      <c r="R7" s="152" t="str">
        <f>IFERROR(__xludf.DUMMYFUNCTION("if(K7="""","""",iferror(filter(Schedule!$V:$V&amp;""-""&amp;Schedule!$W:$W,Schedule!$L:$L=K7,(Schedule!$J:$J="""")+(Schedule!$J:$J=L7),(Schedule!$K:$K=""b"")+(Schedule!$K:$K=""""),Schedule!$V:$V&lt;&gt;""""),""""))"),"")</f>
        <v/>
      </c>
      <c r="S7" s="60"/>
      <c r="T7" s="155"/>
      <c r="U7" s="155" t="str">
        <f>W2</f>
        <v/>
      </c>
      <c r="V7" s="151" t="str">
        <f>AC2</f>
        <v/>
      </c>
      <c r="W7" s="147">
        <v>4.0</v>
      </c>
      <c r="X7" s="152" t="str">
        <f>IFERROR(__xludf.DUMMYFUNCTION("if(U7="""","""",iferror(filter(Schedule!$V:$V&amp;""-""&amp;Schedule!$W:$W,Schedule!$L:$L=U7,(Schedule!$J:$J="""")+(Schedule!$J:$J=V7),(Schedule!$K:$K=""a"")+(Schedule!$K:$K=""""),Schedule!$V:$V&lt;&gt;""""),""""))"),"")</f>
        <v/>
      </c>
      <c r="Y7" s="152" t="str">
        <f>IFERROR(__xludf.DUMMYFUNCTION("if(U7="""","""",iferror(filter(Schedule!$M:$M&amp;""-""&amp;Schedule!$N:$N,Schedule!$L:$L=U7,(Schedule!$J:$J="""")+(Schedule!$J:$J=V7),(Schedule!$K:$K=""b"")+(Schedule!$K:$K=""""),Schedule!$M:$M&lt;&gt;""""),""""))"),"")</f>
        <v/>
      </c>
      <c r="Z7" s="152" t="str">
        <f>IFERROR(__xludf.DUMMYFUNCTION("if(U7="""","""",iferror(filter(Schedule!$AB:$AB&amp;""-""&amp;Schedule!$AC:$AC,Schedule!$L:$L=U7,(Schedule!$J:$J="""")+(Schedule!$J:$J=V7),(Schedule!$K:$K=""a"")+(Schedule!$K:$K=""""),Schedule!$AB:$AB&lt;&gt;""""),""""))"),"")</f>
        <v/>
      </c>
      <c r="AA7" s="152" t="str">
        <f>IFERROR(__xludf.DUMMYFUNCTION("if(U7="""","""",iferror(filter(Schedule!$S:$S&amp;""-""&amp;Schedule!$T:$T,Schedule!$L:$L=U7,(Schedule!$J:$J="""")+(Schedule!$J:$J=V7),(Schedule!$K:$K=""b"")+(Schedule!$K:$K=""""),Schedule!$S:$S&lt;&gt;""""),""""))"),"")</f>
        <v/>
      </c>
      <c r="AB7" s="152" t="str">
        <f>IFERROR(__xludf.DUMMYFUNCTION("if(U7="""","""",iferror(filter(Schedule!$V:$V&amp;""-""&amp;Schedule!$W:$W,Schedule!$L:$L=U7,(Schedule!$J:$J="""")+(Schedule!$J:$J=V7),(Schedule!$K:$K=""b"")+(Schedule!$K:$K=""""),Schedule!$V:$V&lt;&gt;""""),""""))"),"")</f>
        <v/>
      </c>
      <c r="AC7" s="60"/>
      <c r="AD7" s="155"/>
      <c r="AE7" s="155" t="str">
        <f>AG2</f>
        <v/>
      </c>
      <c r="AF7" s="151" t="str">
        <f>AM2</f>
        <v/>
      </c>
      <c r="AG7" s="147">
        <v>4.0</v>
      </c>
      <c r="AH7" s="152" t="str">
        <f>IFERROR(__xludf.DUMMYFUNCTION("if(AE7="""","""",iferror(filter(Schedule!$V:$V&amp;""-""&amp;Schedule!$W:$W,Schedule!$L:$L=AE7,(Schedule!$J:$J="""")+(Schedule!$J:$J=AF7),(Schedule!$K:$K=""a"")+(Schedule!$K:$K=""""),Schedule!$V:$V&lt;&gt;""""),""""))"),"")</f>
        <v/>
      </c>
      <c r="AI7" s="152" t="str">
        <f>IFERROR(__xludf.DUMMYFUNCTION("if(AE7="""","""",iferror(filter(Schedule!$M:$M&amp;""-""&amp;Schedule!$N:$N,Schedule!$L:$L=AE7,(Schedule!$J:$J="""")+(Schedule!$J:$J=AF7),(Schedule!$K:$K=""b"")+(Schedule!$K:$K=""""),Schedule!$M:$M&lt;&gt;""""),""""))"),"")</f>
        <v/>
      </c>
      <c r="AJ7" s="152" t="str">
        <f>IFERROR(__xludf.DUMMYFUNCTION("if(AE7="""","""",iferror(filter(Schedule!$AB:$AB&amp;""-""&amp;Schedule!$AC:$AC,Schedule!$L:$L=AE7,(Schedule!$J:$J="""")+(Schedule!$J:$J=AF7),(Schedule!$K:$K=""a"")+(Schedule!$K:$K=""""),Schedule!$AB:$AB&lt;&gt;""""),""""))"),"")</f>
        <v/>
      </c>
      <c r="AK7" s="152" t="str">
        <f>IFERROR(__xludf.DUMMYFUNCTION("if(AE7="""","""",iferror(filter(Schedule!$S:$S&amp;""-""&amp;Schedule!$T:$T,Schedule!$L:$L=AE7,(Schedule!$J:$J="""")+(Schedule!$J:$J=AF7),(Schedule!$K:$K=""b"")+(Schedule!$K:$K=""""),Schedule!$S:$S&lt;&gt;""""),""""))"),"")</f>
        <v/>
      </c>
      <c r="AL7" s="152" t="str">
        <f>IFERROR(__xludf.DUMMYFUNCTION("if(AE7="""","""",iferror(filter(Schedule!$V:$V&amp;""-""&amp;Schedule!$W:$W,Schedule!$L:$L=AE7,(Schedule!$J:$J="""")+(Schedule!$J:$J=AF7),(Schedule!$K:$K=""b"")+(Schedule!$K:$K=""""),Schedule!$V:$V&lt;&gt;""""),""""))"),"")</f>
        <v/>
      </c>
      <c r="AM7" s="60"/>
    </row>
    <row r="8">
      <c r="A8" s="151" t="str">
        <f>C2</f>
        <v>Adriana RamIrez</v>
      </c>
      <c r="B8" s="151" t="str">
        <f>I2</f>
        <v>Y</v>
      </c>
      <c r="C8" s="147">
        <v>5.0</v>
      </c>
      <c r="D8" s="152" t="str">
        <f>IFERROR(__xludf.DUMMYFUNCTION("if(A8="""","""",iferror(filter(Schedule!$Y:$Y&amp;""-""&amp;Schedule!$Z:$Z,Schedule!$L:$L=A8,(Schedule!$J:$J="""")+(Schedule!$J:$J=B8),(Schedule!$K:$K=""a"")+(Schedule!$K:$K=""""),Schedule!$Y:$Y&lt;&gt;""""),""""))"),"")</f>
        <v/>
      </c>
      <c r="E8" s="152" t="str">
        <f>IFERROR(__xludf.DUMMYFUNCTION("if(A8="""","""",iferror(filter(Schedule!$P:$P&amp;""-""&amp;Schedule!$Q:$Q,Schedule!$L:$L=A8,(Schedule!$J:$J="""")+(Schedule!$J:$J=B8),(Schedule!$K:$K=""b"")+(Schedule!$K:$K=""""),Schedule!$P:$P&lt;&gt;""""),""""))"),"Spanish 7-2")</f>
        <v>Spanish 7-2</v>
      </c>
      <c r="F8" s="152" t="str">
        <f>IFERROR(__xludf.DUMMYFUNCTION("if(A8="""","""",iferror(filter(Schedule!$V:$V&amp;""-""&amp;Schedule!$W:$W,Schedule!$L:$L=A8,(Schedule!$J:$J="""")+(Schedule!$J:$J=B8),(Schedule!$K:$K=""b"")+(Schedule!$K:$K=""""),Schedule!$V:$V&lt;&gt;""""),""""))"),"Spanish 7-4")</f>
        <v>Spanish 7-4</v>
      </c>
      <c r="G8" s="152" t="str">
        <f>IFERROR(__xludf.DUMMYFUNCTION("if(A8="""","""",iferror(filter(Schedule!$AB:$AB&amp;""-""&amp;Schedule!$AC:$AC,Schedule!$L:$L=A8,(Schedule!$J:$J="""")+(Schedule!$J:$J=B8),(Schedule!$K:$K=""b"")+(Schedule!$K:$K=""""),Schedule!$AB:$AB&lt;&gt;""""),""""))"),"")</f>
        <v/>
      </c>
      <c r="H8" s="152" t="str">
        <f>IFERROR(__xludf.DUMMYFUNCTION("if(A8="""","""",iferror(filter(Schedule!$M:$M&amp;""-""&amp;Schedule!$N:$N,Schedule!$L:$L=A8,(Schedule!$J:$J="""")+(Schedule!$J:$J=B8),(Schedule!$K:$K=""b"")+(Schedule!$K:$K=""""),Schedule!$M:$M&lt;&gt;""""),""""))"),"Spanish 7-1")</f>
        <v>Spanish 7-1</v>
      </c>
      <c r="I8" s="64"/>
      <c r="J8" s="154"/>
      <c r="K8" s="151" t="str">
        <f>M2</f>
        <v/>
      </c>
      <c r="L8" s="151" t="str">
        <f>S2</f>
        <v/>
      </c>
      <c r="M8" s="147">
        <v>5.0</v>
      </c>
      <c r="N8" s="152" t="str">
        <f>IFERROR(__xludf.DUMMYFUNCTION("if(K8="""","""",iferror(filter(Schedule!$Y:$Y&amp;""-""&amp;Schedule!$Z:$Z,Schedule!$L:$L=K8,(Schedule!$J:$J="""")+(Schedule!$J:$J=L8),(Schedule!$K:$K=""a"")+(Schedule!$K:$K=""""),Schedule!$Y:$Y&lt;&gt;""""),""""))"),"")</f>
        <v/>
      </c>
      <c r="O8" s="152" t="str">
        <f>IFERROR(__xludf.DUMMYFUNCTION("if(K8="""","""",iferror(filter(Schedule!$P:$P&amp;""-""&amp;Schedule!$Q:$Q,Schedule!$L:$L=K8,(Schedule!$J:$J="""")+(Schedule!$J:$J=L8),(Schedule!$K:$K=""b"")+(Schedule!$K:$K=""""),Schedule!$P:$P&lt;&gt;""""),""""))"),"")</f>
        <v/>
      </c>
      <c r="P8" s="152" t="str">
        <f>IFERROR(__xludf.DUMMYFUNCTION("if(K8="""","""",iferror(filter(Schedule!$V:$V&amp;""-""&amp;Schedule!$W:$W,Schedule!$L:$L=K8,(Schedule!$J:$J="""")+(Schedule!$J:$J=L8),(Schedule!$K:$K=""b"")+(Schedule!$K:$K=""""),Schedule!$V:$V&lt;&gt;""""),""""))"),"")</f>
        <v/>
      </c>
      <c r="Q8" s="152" t="str">
        <f>IFERROR(__xludf.DUMMYFUNCTION("if(K8="""","""",iferror(filter(Schedule!$AB:$AB&amp;""-""&amp;Schedule!$AC:$AC,Schedule!$L:$L=K8,(Schedule!$J:$J="""")+(Schedule!$J:$J=L8),(Schedule!$K:$K=""b"")+(Schedule!$K:$K=""""),Schedule!$AB:$AB&lt;&gt;""""),""""))"),"")</f>
        <v/>
      </c>
      <c r="R8" s="152" t="str">
        <f>IFERROR(__xludf.DUMMYFUNCTION("if(K8="""","""",iferror(filter(Schedule!$M:$M&amp;""-""&amp;Schedule!$N:$N,Schedule!$L:$L=K8,(Schedule!$J:$J="""")+(Schedule!$J:$J=L8),(Schedule!$K:$K=""b"")+(Schedule!$K:$K=""""),Schedule!$M:$M&lt;&gt;""""),""""))"),"")</f>
        <v/>
      </c>
      <c r="S8" s="64"/>
      <c r="T8" s="155"/>
      <c r="U8" s="155" t="str">
        <f>W2</f>
        <v/>
      </c>
      <c r="V8" s="151" t="str">
        <f>AC2</f>
        <v/>
      </c>
      <c r="W8" s="147">
        <v>5.0</v>
      </c>
      <c r="X8" s="152" t="str">
        <f>IFERROR(__xludf.DUMMYFUNCTION("if(U8="""","""",iferror(filter(Schedule!$Y:$Y&amp;""-""&amp;Schedule!$Z:$Z,Schedule!$L:$L=U8,(Schedule!$J:$J="""")+(Schedule!$J:$J=V8),(Schedule!$K:$K=""a"")+(Schedule!$K:$K=""""),Schedule!$Y:$Y&lt;&gt;""""),""""))"),"")</f>
        <v/>
      </c>
      <c r="Y8" s="152" t="str">
        <f>IFERROR(__xludf.DUMMYFUNCTION("if(U8="""","""",iferror(filter(Schedule!$P:$P&amp;""-""&amp;Schedule!$Q:$Q,Schedule!$L:$L=U8,(Schedule!$J:$J="""")+(Schedule!$J:$J=V8),(Schedule!$K:$K=""b"")+(Schedule!$K:$K=""""),Schedule!$P:$P&lt;&gt;""""),""""))"),"")</f>
        <v/>
      </c>
      <c r="Z8" s="152" t="str">
        <f>IFERROR(__xludf.DUMMYFUNCTION("if(U8="""","""",iferror(filter(Schedule!$V:$V&amp;""-""&amp;Schedule!$W:$W,Schedule!$L:$L=U8,(Schedule!$J:$J="""")+(Schedule!$J:$J=V8),(Schedule!$K:$K=""b"")+(Schedule!$K:$K=""""),Schedule!$V:$V&lt;&gt;""""),""""))"),"")</f>
        <v/>
      </c>
      <c r="AA8" s="152" t="str">
        <f>IFERROR(__xludf.DUMMYFUNCTION("if(U8="""","""",iferror(filter(Schedule!$AB:$AB&amp;""-""&amp;Schedule!$AC:$AC,Schedule!$L:$L=U8,(Schedule!$J:$J="""")+(Schedule!$J:$J=V8),(Schedule!$K:$K=""b"")+(Schedule!$K:$K=""""),Schedule!$AB:$AB&lt;&gt;""""),""""))"),"")</f>
        <v/>
      </c>
      <c r="AB8" s="152" t="str">
        <f>IFERROR(__xludf.DUMMYFUNCTION("if(U8="""","""",iferror(filter(Schedule!$M:$M&amp;""-""&amp;Schedule!$N:$N,Schedule!$L:$L=U8,(Schedule!$J:$J="""")+(Schedule!$J:$J=V8),(Schedule!$K:$K=""b"")+(Schedule!$K:$K=""""),Schedule!$M:$M&lt;&gt;""""),""""))"),"")</f>
        <v/>
      </c>
      <c r="AC8" s="64"/>
      <c r="AD8" s="155"/>
      <c r="AE8" s="155" t="str">
        <f>AG2</f>
        <v/>
      </c>
      <c r="AF8" s="151" t="str">
        <f>AM2</f>
        <v/>
      </c>
      <c r="AG8" s="147">
        <v>5.0</v>
      </c>
      <c r="AH8" s="152" t="str">
        <f>IFERROR(__xludf.DUMMYFUNCTION("if(AE8="""","""",iferror(filter(Schedule!$Y:$Y&amp;""-""&amp;Schedule!$Z:$Z,Schedule!$L:$L=AE8,(Schedule!$J:$J="""")+(Schedule!$J:$J=AF8),(Schedule!$K:$K=""a"")+(Schedule!$K:$K=""""),Schedule!$Y:$Y&lt;&gt;""""),""""))"),"")</f>
        <v/>
      </c>
      <c r="AI8" s="152" t="str">
        <f>IFERROR(__xludf.DUMMYFUNCTION("if(AE8="""","""",iferror(filter(Schedule!$P:$P&amp;""-""&amp;Schedule!$Q:$Q,Schedule!$L:$L=AE8,(Schedule!$J:$J="""")+(Schedule!$J:$J=AF8),(Schedule!$K:$K=""b"")+(Schedule!$K:$K=""""),Schedule!$P:$P&lt;&gt;""""),""""))"),"")</f>
        <v/>
      </c>
      <c r="AJ8" s="152" t="str">
        <f>IFERROR(__xludf.DUMMYFUNCTION("if(AE8="""","""",iferror(filter(Schedule!$V:$V&amp;""-""&amp;Schedule!$W:$W,Schedule!$L:$L=AE8,(Schedule!$J:$J="""")+(Schedule!$J:$J=AF8),(Schedule!$K:$K=""b"")+(Schedule!$K:$K=""""),Schedule!$V:$V&lt;&gt;""""),""""))"),"")</f>
        <v/>
      </c>
      <c r="AK8" s="152" t="str">
        <f>IFERROR(__xludf.DUMMYFUNCTION("if(AE8="""","""",iferror(filter(Schedule!$AB:$AB&amp;""-""&amp;Schedule!$AC:$AC,Schedule!$L:$L=AE8,(Schedule!$J:$J="""")+(Schedule!$J:$J=AF8),(Schedule!$K:$K=""b"")+(Schedule!$K:$K=""""),Schedule!$AB:$AB&lt;&gt;""""),""""))"),"")</f>
        <v/>
      </c>
      <c r="AL8" s="152" t="str">
        <f>IFERROR(__xludf.DUMMYFUNCTION("if(AE8="""","""",iferror(filter(Schedule!$M:$M&amp;""-""&amp;Schedule!$N:$N,Schedule!$L:$L=AE8,(Schedule!$J:$J="""")+(Schedule!$J:$J=AF8),(Schedule!$K:$K=""b"")+(Schedule!$K:$K=""""),Schedule!$M:$M&lt;&gt;""""),""""))"),"")</f>
        <v/>
      </c>
      <c r="AM8" s="64"/>
    </row>
    <row r="9">
      <c r="A9" s="11"/>
      <c r="B9" s="11"/>
      <c r="C9" s="156"/>
      <c r="D9" s="156"/>
      <c r="E9" s="156"/>
      <c r="F9" s="156"/>
      <c r="G9" s="156"/>
      <c r="H9" s="156"/>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row>
    <row r="10">
      <c r="A10" s="5"/>
      <c r="B10" s="5"/>
      <c r="C10" s="140" t="str">
        <f>Teachers!A2</f>
        <v>Ana MarIa Rincon</v>
      </c>
      <c r="D10" s="141"/>
      <c r="E10" s="141"/>
      <c r="F10" s="141"/>
      <c r="G10" s="141"/>
      <c r="H10" s="142"/>
      <c r="I10" s="143" t="str">
        <f>IFERROR(__xludf.DUMMYFUNCTION("if(C10="""","""", iferror(unique(filter(Schedule!$J:$J,Schedule!$L:$L=$C10,Schedule!$J:$J=""Q1"")),iferror(unique(filter(Schedule!$J:$J,Schedule!$L:$L=$C10,Schedule!$J:$J=""S1"")),""Y"")))"),"Y")</f>
        <v>Y</v>
      </c>
      <c r="J10" s="11"/>
      <c r="K10" s="11"/>
      <c r="L10" s="11"/>
      <c r="M10" s="140" t="str">
        <f>if(S10="","",C10)</f>
        <v/>
      </c>
      <c r="N10" s="141"/>
      <c r="O10" s="141"/>
      <c r="P10" s="141"/>
      <c r="Q10" s="141"/>
      <c r="R10" s="142"/>
      <c r="S10" s="143" t="str">
        <f>if($I10="Q1","Q2",if($I10="S1","S2",""))</f>
        <v/>
      </c>
      <c r="T10" s="144"/>
      <c r="U10" s="144"/>
      <c r="V10" s="145"/>
      <c r="W10" s="140" t="str">
        <f>if(AC10="","",M10)</f>
        <v/>
      </c>
      <c r="X10" s="141"/>
      <c r="Y10" s="141"/>
      <c r="Z10" s="141"/>
      <c r="AA10" s="141"/>
      <c r="AB10" s="142"/>
      <c r="AC10" s="143" t="str">
        <f>if($I10="Q1","Q3","")</f>
        <v/>
      </c>
      <c r="AD10" s="144"/>
      <c r="AE10" s="144"/>
      <c r="AF10" s="145"/>
      <c r="AG10" s="140" t="str">
        <f>if(AC10="","",W10)</f>
        <v/>
      </c>
      <c r="AH10" s="141"/>
      <c r="AI10" s="141"/>
      <c r="AJ10" s="141"/>
      <c r="AK10" s="141"/>
      <c r="AL10" s="142"/>
      <c r="AM10" s="143" t="str">
        <f>if($I10="Q1","Q4","")</f>
        <v/>
      </c>
    </row>
    <row r="11">
      <c r="A11" s="146"/>
      <c r="B11" s="146"/>
      <c r="C11" s="147" t="s">
        <v>94</v>
      </c>
      <c r="D11" s="148" t="s">
        <v>95</v>
      </c>
      <c r="E11" s="148" t="s">
        <v>96</v>
      </c>
      <c r="F11" s="148" t="s">
        <v>97</v>
      </c>
      <c r="G11" s="148" t="s">
        <v>98</v>
      </c>
      <c r="H11" s="148" t="s">
        <v>99</v>
      </c>
      <c r="I11" s="148" t="s">
        <v>651</v>
      </c>
      <c r="J11" s="146"/>
      <c r="K11" s="146"/>
      <c r="L11" s="146"/>
      <c r="M11" s="147" t="s">
        <v>94</v>
      </c>
      <c r="N11" s="148" t="s">
        <v>95</v>
      </c>
      <c r="O11" s="148" t="s">
        <v>96</v>
      </c>
      <c r="P11" s="148" t="s">
        <v>97</v>
      </c>
      <c r="Q11" s="148" t="s">
        <v>98</v>
      </c>
      <c r="R11" s="148" t="s">
        <v>99</v>
      </c>
      <c r="S11" s="148" t="s">
        <v>651</v>
      </c>
      <c r="T11" s="149"/>
      <c r="U11" s="149"/>
      <c r="V11" s="150"/>
      <c r="W11" s="147" t="s">
        <v>94</v>
      </c>
      <c r="X11" s="148" t="s">
        <v>95</v>
      </c>
      <c r="Y11" s="148" t="s">
        <v>96</v>
      </c>
      <c r="Z11" s="148" t="s">
        <v>97</v>
      </c>
      <c r="AA11" s="148" t="s">
        <v>98</v>
      </c>
      <c r="AB11" s="148" t="s">
        <v>99</v>
      </c>
      <c r="AC11" s="148" t="s">
        <v>651</v>
      </c>
      <c r="AD11" s="149"/>
      <c r="AE11" s="149"/>
      <c r="AF11" s="150"/>
      <c r="AG11" s="147" t="s">
        <v>94</v>
      </c>
      <c r="AH11" s="148" t="s">
        <v>95</v>
      </c>
      <c r="AI11" s="148" t="s">
        <v>96</v>
      </c>
      <c r="AJ11" s="148" t="s">
        <v>97</v>
      </c>
      <c r="AK11" s="148" t="s">
        <v>98</v>
      </c>
      <c r="AL11" s="148" t="s">
        <v>99</v>
      </c>
      <c r="AM11" s="148" t="s">
        <v>651</v>
      </c>
    </row>
    <row r="12">
      <c r="A12" s="151" t="str">
        <f>C10</f>
        <v>Ana MarIa Rincon</v>
      </c>
      <c r="B12" s="151" t="str">
        <f>I10</f>
        <v>Y</v>
      </c>
      <c r="C12" s="147">
        <v>1.0</v>
      </c>
      <c r="D12" s="152" t="str">
        <f>IFERROR(__xludf.DUMMYFUNCTION("if(A12="""","""",iferror(filter(Schedule!$M:$M&amp;""-""&amp;Schedule!$N:$N,Schedule!$L:$L=A12,(Schedule!$J:$J="""")+(Schedule!$J:$J=B12),(Schedule!$K:$K=""a"")+(Schedule!$K:$K=""""),Schedule!$M:$M&lt;&gt;""""),""""))"),"Spanish 8-1")</f>
        <v>Spanish 8-1</v>
      </c>
      <c r="E12" s="152" t="str">
        <f>IFERROR(__xludf.DUMMYFUNCTION("if(A12="""","""",iferror(filter(Schedule!$AB:$AB&amp;""-""&amp;Schedule!$AC:$AC,Schedule!$L:$L=A12,(Schedule!$J:$J="""")+(Schedule!$J:$J=B12),(Schedule!$K:$K=""b"")+(Schedule!$K:$K=""""),Schedule!$AB:$AB&lt;&gt;""""),""""))"),"Spanish 7-6")</f>
        <v>Spanish 7-6</v>
      </c>
      <c r="F12" s="152" t="str">
        <f>IFERROR(__xludf.DUMMYFUNCTION("if(A12="""","""",iferror(filter(Schedule!$S:$S&amp;""-""&amp;Schedule!$T:$T,Schedule!$L:$L=A12,(Schedule!$J:$J="""")+(Schedule!$J:$J=B12),(Schedule!$K:$K=""a"")+(Schedule!$K:$K=""""),Schedule!$S:$S&lt;&gt;""""),""""))"),"")</f>
        <v/>
      </c>
      <c r="G12" s="152" t="str">
        <f>IFERROR(__xludf.DUMMYFUNCTION("if(A12="""","""",iferror(filter(Schedule!$V:$V&amp;""-""&amp;Schedule!$W:$W,Schedule!$L:$L=A12,(Schedule!$J:$J="""")+(Schedule!$J:$J=B12),(Schedule!$K:$K=""a"")+(Schedule!$K:$K=""""),Schedule!$V:$V&lt;&gt;""""),""""))"),"Spanish 7A-5")</f>
        <v>Spanish 7A-5</v>
      </c>
      <c r="H12" s="152" t="str">
        <f>IFERROR(__xludf.DUMMYFUNCTION("if(A12="""","""",iferror(filter(Schedule!$Y:$Y&amp;""-""&amp;Schedule!$Z:$Z,Schedule!$L:$L=A12,(Schedule!$J:$J="""")+(Schedule!$J:$J=B12),(Schedule!$K:$K=""b"")+(Schedule!$K:$K=""""),Schedule!$Y:$Y&lt;&gt;""""),""""))"),"")</f>
        <v/>
      </c>
      <c r="I12" s="153">
        <f>if(C10="","", 24-countifs(D12:H16,""))</f>
        <v>16</v>
      </c>
      <c r="J12" s="154"/>
      <c r="K12" s="151" t="str">
        <f>M10</f>
        <v/>
      </c>
      <c r="L12" s="151" t="str">
        <f>S10</f>
        <v/>
      </c>
      <c r="M12" s="147">
        <v>1.0</v>
      </c>
      <c r="N12" s="152" t="str">
        <f>IFERROR(__xludf.DUMMYFUNCTION("if(K12="""","""",iferror(filter(Schedule!$M:$M&amp;""-""&amp;Schedule!$N:$N,Schedule!$L:$L=K12,(Schedule!$J:$J="""")+(Schedule!$J:$J=L12),(Schedule!$K:$K=""a"")+(Schedule!$K:$K=""""),Schedule!$M:$M&lt;&gt;""""),""""))"),"")</f>
        <v/>
      </c>
      <c r="O12" s="152" t="str">
        <f>IFERROR(__xludf.DUMMYFUNCTION("if(K12="""","""",iferror(filter(Schedule!$AB:$AB&amp;""-""&amp;Schedule!$AC:$AC,Schedule!$L:$L=K12,(Schedule!$J:$J="""")+(Schedule!$J:$J=L12),(Schedule!$K:$K=""b"")+(Schedule!$K:$K=""""),Schedule!$AB:$AB&lt;&gt;""""),""""))"),"")</f>
        <v/>
      </c>
      <c r="P12" s="152" t="str">
        <f>IFERROR(__xludf.DUMMYFUNCTION("if(K12="""","""",iferror(filter(Schedule!$S:$S&amp;""-""&amp;Schedule!$T:$T,Schedule!$L:$L=K12,(Schedule!$J:$J="""")+(Schedule!$J:$J=L12),(Schedule!$K:$K=""a"")+(Schedule!$K:$K=""""),Schedule!$S:$S&lt;&gt;""""),""""))"),"")</f>
        <v/>
      </c>
      <c r="Q12" s="152" t="str">
        <f>IFERROR(__xludf.DUMMYFUNCTION("if(K12="""","""",iferror(filter(Schedule!$V:$V&amp;""-""&amp;Schedule!$W:$W,Schedule!$L:$L=K12,(Schedule!$J:$J="""")+(Schedule!$J:$J=L12),(Schedule!$K:$K=""a"")+(Schedule!$K:$K=""""),Schedule!$V:$V&lt;&gt;""""),""""))"),"")</f>
        <v/>
      </c>
      <c r="R12" s="152" t="str">
        <f>IFERROR(__xludf.DUMMYFUNCTION("if(K12="""","""",iferror(filter(Schedule!$Y:$Y&amp;""-""&amp;Schedule!$Z:$Z,Schedule!$L:$L=K12,(Schedule!$J:$J="""")+(Schedule!$J:$J=L12),(Schedule!$K:$K=""b"")+(Schedule!$K:$K=""""),Schedule!$Y:$Y&lt;&gt;""""),""""))"),"")</f>
        <v/>
      </c>
      <c r="S12" s="153" t="str">
        <f>if(K12="","", 24-countifs(N12:R16,""))</f>
        <v/>
      </c>
      <c r="T12" s="155"/>
      <c r="U12" s="155" t="str">
        <f>W10</f>
        <v/>
      </c>
      <c r="V12" s="151" t="str">
        <f>AC10</f>
        <v/>
      </c>
      <c r="W12" s="147">
        <v>1.0</v>
      </c>
      <c r="X12" s="152" t="str">
        <f>IFERROR(__xludf.DUMMYFUNCTION("if(U12="""","""",iferror(filter(Schedule!$M:$M&amp;""-""&amp;Schedule!$N:$N,Schedule!$L:$L=U12,(Schedule!$J:$J="""")+(Schedule!$J:$J=V12),(Schedule!$K:$K=""a"")+(Schedule!$K:$K=""""),Schedule!$M:$M&lt;&gt;""""),""""))"),"")</f>
        <v/>
      </c>
      <c r="Y12" s="152" t="str">
        <f>IFERROR(__xludf.DUMMYFUNCTION("if(U12="""","""",iferror(filter(Schedule!$AB:$AB&amp;""-""&amp;Schedule!$AC:$AC,Schedule!$L:$L=U12,(Schedule!$J:$J="""")+(Schedule!$J:$J=V12),(Schedule!$K:$K=""b"")+(Schedule!$K:$K=""""),Schedule!$AB:$AB&lt;&gt;""""),""""))"),"")</f>
        <v/>
      </c>
      <c r="Z12" s="152" t="str">
        <f>IFERROR(__xludf.DUMMYFUNCTION("if(U12="""","""",iferror(filter(Schedule!$S:$S&amp;""-""&amp;Schedule!$T:$T,Schedule!$L:$L=U12,(Schedule!$J:$J="""")+(Schedule!$J:$J=V12),(Schedule!$K:$K=""a"")+(Schedule!$K:$K=""""),Schedule!$S:$S&lt;&gt;""""),""""))"),"")</f>
        <v/>
      </c>
      <c r="AA12" s="152" t="str">
        <f>IFERROR(__xludf.DUMMYFUNCTION("if(U12="""","""",iferror(filter(Schedule!$V:$V&amp;""-""&amp;Schedule!$W:$W,Schedule!$L:$L=U12,(Schedule!$J:$J="""")+(Schedule!$J:$J=V12),(Schedule!$K:$K=""a"")+(Schedule!$K:$K=""""),Schedule!$V:$V&lt;&gt;""""),""""))"),"")</f>
        <v/>
      </c>
      <c r="AB12" s="152" t="str">
        <f>IFERROR(__xludf.DUMMYFUNCTION("if(U12="""","""",iferror(filter(Schedule!$Y:$Y&amp;""-""&amp;Schedule!$Z:$Z,Schedule!$L:$L=U12,(Schedule!$J:$J="""")+(Schedule!$J:$J=V12),(Schedule!$K:$K=""b"")+(Schedule!$K:$K=""""),Schedule!$Y:$Y&lt;&gt;""""),""""))"),"")</f>
        <v/>
      </c>
      <c r="AC12" s="153" t="str">
        <f>if(U12="","", 24-countifs(X12:AB16,""))</f>
        <v/>
      </c>
      <c r="AD12" s="155"/>
      <c r="AE12" s="155" t="str">
        <f>AG10</f>
        <v/>
      </c>
      <c r="AF12" s="151" t="str">
        <f>AM10</f>
        <v/>
      </c>
      <c r="AG12" s="147">
        <v>1.0</v>
      </c>
      <c r="AH12" s="152" t="str">
        <f>IFERROR(__xludf.DUMMYFUNCTION("if(AE12="""","""",iferror(filter(Schedule!$M:$M&amp;""-""&amp;Schedule!$N:$N,Schedule!$L:$L=AE12,(Schedule!$J:$J="""")+(Schedule!$J:$J=AF12),(Schedule!$K:$K=""a"")+(Schedule!$K:$K=""""),Schedule!$M:$M&lt;&gt;""""),""""))"),"")</f>
        <v/>
      </c>
      <c r="AI12" s="152" t="str">
        <f>IFERROR(__xludf.DUMMYFUNCTION("if(AE12="""","""",iferror(filter(Schedule!$AB:$AB&amp;""-""&amp;Schedule!$AC:$AC,Schedule!$L:$L=AE12,(Schedule!$J:$J="""")+(Schedule!$J:$J=AF12),(Schedule!$K:$K=""b"")+(Schedule!$K:$K=""""),Schedule!$AB:$AB&lt;&gt;""""),""""))"),"")</f>
        <v/>
      </c>
      <c r="AJ12" s="152" t="str">
        <f>IFERROR(__xludf.DUMMYFUNCTION("if(AE12="""","""",iferror(filter(Schedule!$S:$S&amp;""-""&amp;Schedule!$T:$T,Schedule!$L:$L=AE12,(Schedule!$J:$J="""")+(Schedule!$J:$J=AF12),(Schedule!$K:$K=""a"")+(Schedule!$K:$K=""""),Schedule!$S:$S&lt;&gt;""""),""""))"),"")</f>
        <v/>
      </c>
      <c r="AK12" s="152" t="str">
        <f>IFERROR(__xludf.DUMMYFUNCTION("if(AE12="""","""",iferror(filter(Schedule!$V:$V&amp;""-""&amp;Schedule!$W:$W,Schedule!$L:$L=AE12,(Schedule!$J:$J="""")+(Schedule!$J:$J=AF12),(Schedule!$K:$K=""a"")+(Schedule!$K:$K=""""),Schedule!$V:$V&lt;&gt;""""),""""))"),"")</f>
        <v/>
      </c>
      <c r="AL12" s="152" t="str">
        <f>IFERROR(__xludf.DUMMYFUNCTION("if(AE12="""","""",iferror(filter(Schedule!$Y:$Y&amp;""-""&amp;Schedule!$Z:$Z,Schedule!$L:$L=AE12,(Schedule!$J:$J="""")+(Schedule!$J:$J=AF12),(Schedule!$K:$K=""b"")+(Schedule!$K:$K=""""),Schedule!$Y:$Y&lt;&gt;""""),""""))"),"")</f>
        <v/>
      </c>
      <c r="AM12" s="153" t="str">
        <f>if(AE12="","", 24-countifs(AH12:AL16,""))</f>
        <v/>
      </c>
    </row>
    <row r="13">
      <c r="A13" s="151" t="str">
        <f>C10</f>
        <v>Ana MarIa Rincon</v>
      </c>
      <c r="B13" s="151" t="str">
        <f>I10</f>
        <v>Y</v>
      </c>
      <c r="C13" s="147">
        <v>2.0</v>
      </c>
      <c r="D13" s="152" t="str">
        <f>IFERROR(__xludf.DUMMYFUNCTION("if(A13="""","""",iferror(filter(Schedule!$P:$P&amp;""-""&amp;Schedule!$Q:$Q,Schedule!$L:$L=A13,(Schedule!$J:$J="""")+(Schedule!$J:$J=B13),(Schedule!$K:$K=""a"")+(Schedule!$K:$K=""""),Schedule!$P:$P&lt;&gt;""""),""""))"),"Spanish 8A-2")</f>
        <v>Spanish 8A-2</v>
      </c>
      <c r="E13" s="152" t="str">
        <f>IFERROR(__xludf.DUMMYFUNCTION("if(A13="""","""",iferror(filter(Schedule!$Y:$Y&amp;""-""&amp;Schedule!$Z:$Z,Schedule!$L:$L=A13,(Schedule!$J:$J="""")+(Schedule!$J:$J=B13),(Schedule!$K:$K=""b"")+(Schedule!$K:$K=""""),Schedule!$Y:$Y&lt;&gt;""""),""""))"),"")</f>
        <v/>
      </c>
      <c r="F13" s="152" t="str">
        <f>IFERROR(__xludf.DUMMYFUNCTION("if(A13="""","""",iferror(filter(Schedule!$P:$P&amp;""-""&amp;Schedule!$Q:$Q,Schedule!$L:$L=A13,(Schedule!$J:$J="""")+(Schedule!$J:$J=B13),(Schedule!$K:$K=""a"")+(Schedule!$K:$K=""""),Schedule!$P:$P&lt;&gt;""""),""""))"),"Spanish 8A-2")</f>
        <v>Spanish 8A-2</v>
      </c>
      <c r="G13" s="152" t="str">
        <f>IFERROR(__xludf.DUMMYFUNCTION("if(A13="""","""",iferror(filter(Schedule!$M:$M&amp;""-""&amp;Schedule!$N:$N,Schedule!$L:$L=A13,(Schedule!$J:$J="""")+(Schedule!$J:$J=B13),(Schedule!$K:$K=""a"")+(Schedule!$K:$K=""""),Schedule!$M:$M&lt;&gt;""""),""""))"),"Spanish 8-1")</f>
        <v>Spanish 8-1</v>
      </c>
      <c r="H13" s="152" t="str">
        <f>IFERROR(__xludf.DUMMYFUNCTION("if(A13="""","""",iferror(filter(Schedule!$AB:$AB&amp;""-""&amp;Schedule!$AC:$AC,Schedule!$L:$L=A13,(Schedule!$J:$J="""")+(Schedule!$J:$J=B13),(Schedule!$K:$K=""a"")+(Schedule!$K:$K=""""),Schedule!$AB:$AB&lt;&gt;""""),""""))"),"Spanish 7-6")</f>
        <v>Spanish 7-6</v>
      </c>
      <c r="I13" s="60"/>
      <c r="J13" s="154"/>
      <c r="K13" s="151" t="str">
        <f>M10</f>
        <v/>
      </c>
      <c r="L13" s="151" t="str">
        <f>S10</f>
        <v/>
      </c>
      <c r="M13" s="147">
        <v>2.0</v>
      </c>
      <c r="N13" s="152" t="str">
        <f>IFERROR(__xludf.DUMMYFUNCTION("if(K13="""","""",iferror(filter(Schedule!$P:$P&amp;""-""&amp;Schedule!$Q:$Q,Schedule!$L:$L=K13,(Schedule!$J:$J="""")+(Schedule!$J:$J=L13),(Schedule!$K:$K=""a"")+(Schedule!$K:$K=""""),Schedule!$P:$P&lt;&gt;""""),""""))"),"")</f>
        <v/>
      </c>
      <c r="O13" s="152" t="str">
        <f>IFERROR(__xludf.DUMMYFUNCTION("if(K13="""","""",iferror(filter(Schedule!$Y:$Y&amp;""-""&amp;Schedule!$Z:$Z,Schedule!$L:$L=K13,(Schedule!$J:$J="""")+(Schedule!$J:$J=L13),(Schedule!$K:$K=""b"")+(Schedule!$K:$K=""""),Schedule!$Y:$Y&lt;&gt;""""),""""))"),"")</f>
        <v/>
      </c>
      <c r="P13" s="152" t="str">
        <f>IFERROR(__xludf.DUMMYFUNCTION("if(K13="""","""",iferror(filter(Schedule!$P:$P&amp;""-""&amp;Schedule!$Q:$Q,Schedule!$L:$L=K13,(Schedule!$J:$J="""")+(Schedule!$J:$J=L13),(Schedule!$K:$K=""a"")+(Schedule!$K:$K=""""),Schedule!$P:$P&lt;&gt;""""),""""))"),"")</f>
        <v/>
      </c>
      <c r="Q13" s="152" t="str">
        <f>IFERROR(__xludf.DUMMYFUNCTION("if(K13="""","""",iferror(filter(Schedule!$M:$M&amp;""-""&amp;Schedule!$N:$N,Schedule!$L:$L=K13,(Schedule!$J:$J="""")+(Schedule!$J:$J=L13),(Schedule!$K:$K=""a"")+(Schedule!$K:$K=""""),Schedule!$M:$M&lt;&gt;""""),""""))"),"")</f>
        <v/>
      </c>
      <c r="R13" s="152" t="str">
        <f>IFERROR(__xludf.DUMMYFUNCTION("if(K13="""","""",iferror(filter(Schedule!$AB:$AB&amp;""-""&amp;Schedule!$AC:$AC,Schedule!$L:$L=K13,(Schedule!$J:$J="""")+(Schedule!$J:$J=L13),(Schedule!$K:$K=""a"")+(Schedule!$K:$K=""""),Schedule!$AB:$AB&lt;&gt;""""),""""))"),"")</f>
        <v/>
      </c>
      <c r="S13" s="60"/>
      <c r="T13" s="155"/>
      <c r="U13" s="155" t="str">
        <f>W10</f>
        <v/>
      </c>
      <c r="V13" s="151" t="str">
        <f>AC10</f>
        <v/>
      </c>
      <c r="W13" s="147">
        <v>2.0</v>
      </c>
      <c r="X13" s="152" t="str">
        <f>IFERROR(__xludf.DUMMYFUNCTION("if(U13="""","""",iferror(filter(Schedule!$P:$P&amp;""-""&amp;Schedule!$Q:$Q,Schedule!$L:$L=U13,(Schedule!$J:$J="""")+(Schedule!$J:$J=V13),(Schedule!$K:$K=""a"")+(Schedule!$K:$K=""""),Schedule!$P:$P&lt;&gt;""""),""""))"),"")</f>
        <v/>
      </c>
      <c r="Y13" s="152" t="str">
        <f>IFERROR(__xludf.DUMMYFUNCTION("if(U13="""","""",iferror(filter(Schedule!$Y:$Y&amp;""-""&amp;Schedule!$Z:$Z,Schedule!$L:$L=U13,(Schedule!$J:$J="""")+(Schedule!$J:$J=V13),(Schedule!$K:$K=""b"")+(Schedule!$K:$K=""""),Schedule!$Y:$Y&lt;&gt;""""),""""))"),"")</f>
        <v/>
      </c>
      <c r="Z13" s="152" t="str">
        <f>IFERROR(__xludf.DUMMYFUNCTION("if(U13="""","""",iferror(filter(Schedule!$P:$P&amp;""-""&amp;Schedule!$Q:$Q,Schedule!$L:$L=U13,(Schedule!$J:$J="""")+(Schedule!$J:$J=V13),(Schedule!$K:$K=""a"")+(Schedule!$K:$K=""""),Schedule!$P:$P&lt;&gt;""""),""""))"),"")</f>
        <v/>
      </c>
      <c r="AA13" s="152" t="str">
        <f>IFERROR(__xludf.DUMMYFUNCTION("if(U13="""","""",iferror(filter(Schedule!$M:$M&amp;""-""&amp;Schedule!$N:$N,Schedule!$L:$L=U13,(Schedule!$J:$J="""")+(Schedule!$J:$J=V13),(Schedule!$K:$K=""a"")+(Schedule!$K:$K=""""),Schedule!$M:$M&lt;&gt;""""),""""))"),"")</f>
        <v/>
      </c>
      <c r="AB13" s="152" t="str">
        <f>IFERROR(__xludf.DUMMYFUNCTION("if(U13="""","""",iferror(filter(Schedule!$AB:$AB&amp;""-""&amp;Schedule!$AC:$AC,Schedule!$L:$L=U13,(Schedule!$J:$J="""")+(Schedule!$J:$J=V13),(Schedule!$K:$K=""a"")+(Schedule!$K:$K=""""),Schedule!$AB:$AB&lt;&gt;""""),""""))"),"")</f>
        <v/>
      </c>
      <c r="AC13" s="60"/>
      <c r="AD13" s="155"/>
      <c r="AE13" s="155" t="str">
        <f>AG10</f>
        <v/>
      </c>
      <c r="AF13" s="151" t="str">
        <f>AM10</f>
        <v/>
      </c>
      <c r="AG13" s="147">
        <v>2.0</v>
      </c>
      <c r="AH13" s="152" t="str">
        <f>IFERROR(__xludf.DUMMYFUNCTION("if(AE13="""","""",iferror(filter(Schedule!$P:$P&amp;""-""&amp;Schedule!$Q:$Q,Schedule!$L:$L=AE13,(Schedule!$J:$J="""")+(Schedule!$J:$J=AF13),(Schedule!$K:$K=""a"")+(Schedule!$K:$K=""""),Schedule!$P:$P&lt;&gt;""""),""""))"),"")</f>
        <v/>
      </c>
      <c r="AI13" s="152" t="str">
        <f>IFERROR(__xludf.DUMMYFUNCTION("if(AE13="""","""",iferror(filter(Schedule!$Y:$Y&amp;""-""&amp;Schedule!$Z:$Z,Schedule!$L:$L=AE13,(Schedule!$J:$J="""")+(Schedule!$J:$J=AF13),(Schedule!$K:$K=""b"")+(Schedule!$K:$K=""""),Schedule!$Y:$Y&lt;&gt;""""),""""))"),"")</f>
        <v/>
      </c>
      <c r="AJ13" s="152" t="str">
        <f>IFERROR(__xludf.DUMMYFUNCTION("if(AE13="""","""",iferror(filter(Schedule!$P:$P&amp;""-""&amp;Schedule!$Q:$Q,Schedule!$L:$L=AE13,(Schedule!$J:$J="""")+(Schedule!$J:$J=AF13),(Schedule!$K:$K=""a"")+(Schedule!$K:$K=""""),Schedule!$P:$P&lt;&gt;""""),""""))"),"")</f>
        <v/>
      </c>
      <c r="AK13" s="152" t="str">
        <f>IFERROR(__xludf.DUMMYFUNCTION("if(AE13="""","""",iferror(filter(Schedule!$M:$M&amp;""-""&amp;Schedule!$N:$N,Schedule!$L:$L=AE13,(Schedule!$J:$J="""")+(Schedule!$J:$J=AF13),(Schedule!$K:$K=""a"")+(Schedule!$K:$K=""""),Schedule!$M:$M&lt;&gt;""""),""""))"),"")</f>
        <v/>
      </c>
      <c r="AL13" s="152" t="str">
        <f>IFERROR(__xludf.DUMMYFUNCTION("if(AE13="""","""",iferror(filter(Schedule!$AB:$AB&amp;""-""&amp;Schedule!$AC:$AC,Schedule!$L:$L=AE13,(Schedule!$J:$J="""")+(Schedule!$J:$J=AF13),(Schedule!$K:$K=""a"")+(Schedule!$K:$K=""""),Schedule!$AB:$AB&lt;&gt;""""),""""))"),"")</f>
        <v/>
      </c>
      <c r="AM13" s="60"/>
    </row>
    <row r="14">
      <c r="A14" s="151" t="str">
        <f>C10</f>
        <v>Ana MarIa Rincon</v>
      </c>
      <c r="B14" s="151" t="str">
        <f>I10</f>
        <v>Y</v>
      </c>
      <c r="C14" s="147">
        <v>3.0</v>
      </c>
      <c r="D14" s="152" t="str">
        <f>IFERROR(__xludf.DUMMYFUNCTION("if(A14="""","""",iferror(filter(Schedule!$S:$S&amp;""-""&amp;Schedule!$T:$T,Schedule!$L:$L=A14,(Schedule!$J:$J="""")+(Schedule!$J:$J=B14),(Schedule!$K:$K=""a"")+(Schedule!$K:$K=""""),Schedule!$S:$S&lt;&gt;""""),""""))"),"")</f>
        <v/>
      </c>
      <c r="E14" s="152" t="str">
        <f>IFERROR(__xludf.DUMMYFUNCTION("if(A14="""","""",iferror(filter(Schedule!$S:$S&amp;""-""&amp;Schedule!$T:$T,Schedule!$L:$L=A14,(Schedule!$J:$J="""")+(Schedule!$J:$J=B14),(Schedule!$K:$K=""b"")+(Schedule!$K:$K=""""),Schedule!$S:$S&lt;&gt;""""),""""))"),"")</f>
        <v/>
      </c>
      <c r="F14" s="152" t="str">
        <f>IFERROR(__xludf.DUMMYFUNCTION("if(A14="""","""",iferror(filter(Schedule!$Y:$Y&amp;""-""&amp;Schedule!$Z:$Z,Schedule!$L:$L=A14,(Schedule!$J:$J="""")+(Schedule!$J:$J=B14),(Schedule!$K:$K=""a"")+(Schedule!$K:$K=""""),Schedule!$Y:$Y&lt;&gt;""""),""""))"),"")</f>
        <v/>
      </c>
      <c r="G14" s="152" t="str">
        <f>IFERROR(__xludf.DUMMYFUNCTION("if(A14="""","""",iferror(filter(Schedule!$P:$P&amp;""-""&amp;Schedule!$Q:$Q,Schedule!$L:$L=A14,(Schedule!$J:$J="""")+(Schedule!$J:$J=B14),(Schedule!$K:$K=""b"")+(Schedule!$K:$K=""""),Schedule!$P:$P&lt;&gt;""""),""""))"),"Spanish 8A-2")</f>
        <v>Spanish 8A-2</v>
      </c>
      <c r="H14" s="152" t="str">
        <f>if(C10="","","X-Block")</f>
        <v>X-Block</v>
      </c>
      <c r="I14" s="60"/>
      <c r="J14" s="154"/>
      <c r="K14" s="151" t="str">
        <f>M10</f>
        <v/>
      </c>
      <c r="L14" s="151" t="str">
        <f>S10</f>
        <v/>
      </c>
      <c r="M14" s="147">
        <v>3.0</v>
      </c>
      <c r="N14" s="152" t="str">
        <f>IFERROR(__xludf.DUMMYFUNCTION("if(K14="""","""",iferror(filter(Schedule!$S:$S&amp;""-""&amp;Schedule!$T:$T,Schedule!$L:$L=K14,(Schedule!$J:$J="""")+(Schedule!$J:$J=L14),(Schedule!$K:$K=""a"")+(Schedule!$K:$K=""""),Schedule!$S:$S&lt;&gt;""""),""""))"),"")</f>
        <v/>
      </c>
      <c r="O14" s="152" t="str">
        <f>IFERROR(__xludf.DUMMYFUNCTION("if(K14="""","""",iferror(filter(Schedule!$S:$S&amp;""-""&amp;Schedule!$T:$T,Schedule!$L:$L=K14,(Schedule!$J:$J="""")+(Schedule!$J:$J=L14),(Schedule!$K:$K=""b"")+(Schedule!$K:$K=""""),Schedule!$S:$S&lt;&gt;""""),""""))"),"")</f>
        <v/>
      </c>
      <c r="P14" s="152" t="str">
        <f>IFERROR(__xludf.DUMMYFUNCTION("if(K14="""","""",iferror(filter(Schedule!$Y:$Y&amp;""-""&amp;Schedule!$Z:$Z,Schedule!$L:$L=K14,(Schedule!$J:$J="""")+(Schedule!$J:$J=L14),(Schedule!$K:$K=""a"")+(Schedule!$K:$K=""""),Schedule!$Y:$Y&lt;&gt;""""),""""))"),"")</f>
        <v/>
      </c>
      <c r="Q14" s="152" t="str">
        <f>IFERROR(__xludf.DUMMYFUNCTION("if(K14="""","""",iferror(filter(Schedule!$P:$P&amp;""-""&amp;Schedule!$Q:$Q,Schedule!$L:$L=K14,(Schedule!$J:$J="""")+(Schedule!$J:$J=L14),(Schedule!$K:$K=""b"")+(Schedule!$K:$K=""""),Schedule!$P:$P&lt;&gt;""""),""""))"),"")</f>
        <v/>
      </c>
      <c r="R14" s="152" t="str">
        <f>if(M10="","","X-Block")</f>
        <v/>
      </c>
      <c r="S14" s="60"/>
      <c r="T14" s="155"/>
      <c r="U14" s="155" t="str">
        <f>W10</f>
        <v/>
      </c>
      <c r="V14" s="151" t="str">
        <f>AC10</f>
        <v/>
      </c>
      <c r="W14" s="147">
        <v>3.0</v>
      </c>
      <c r="X14" s="152" t="str">
        <f>IFERROR(__xludf.DUMMYFUNCTION("if(U14="""","""",iferror(filter(Schedule!$S:$S&amp;""-""&amp;Schedule!$T:$T,Schedule!$L:$L=U14,(Schedule!$J:$J="""")+(Schedule!$J:$J=V14),(Schedule!$K:$K=""a"")+(Schedule!$K:$K=""""),Schedule!$S:$S&lt;&gt;""""),""""))"),"")</f>
        <v/>
      </c>
      <c r="Y14" s="152" t="str">
        <f>IFERROR(__xludf.DUMMYFUNCTION("if(U14="""","""",iferror(filter(Schedule!$S:$S&amp;""-""&amp;Schedule!$T:$T,Schedule!$L:$L=U14,(Schedule!$J:$J="""")+(Schedule!$J:$J=V14),(Schedule!$K:$K=""b"")+(Schedule!$K:$K=""""),Schedule!$S:$S&lt;&gt;""""),""""))"),"")</f>
        <v/>
      </c>
      <c r="Z14" s="152" t="str">
        <f>IFERROR(__xludf.DUMMYFUNCTION("if(U14="""","""",iferror(filter(Schedule!$Y:$Y&amp;""-""&amp;Schedule!$Z:$Z,Schedule!$L:$L=U14,(Schedule!$J:$J="""")+(Schedule!$J:$J=V14),(Schedule!$K:$K=""a"")+(Schedule!$K:$K=""""),Schedule!$Y:$Y&lt;&gt;""""),""""))"),"")</f>
        <v/>
      </c>
      <c r="AA14" s="152" t="str">
        <f>IFERROR(__xludf.DUMMYFUNCTION("if(U14="""","""",iferror(filter(Schedule!$P:$P&amp;""-""&amp;Schedule!$Q:$Q,Schedule!$L:$L=U14,(Schedule!$J:$J="""")+(Schedule!$J:$J=V14),(Schedule!$K:$K=""b"")+(Schedule!$K:$K=""""),Schedule!$P:$P&lt;&gt;""""),""""))"),"")</f>
        <v/>
      </c>
      <c r="AB14" s="152" t="str">
        <f>if(W10="","","X-Block")</f>
        <v/>
      </c>
      <c r="AC14" s="60"/>
      <c r="AD14" s="155"/>
      <c r="AE14" s="155" t="str">
        <f>AG10</f>
        <v/>
      </c>
      <c r="AF14" s="151" t="str">
        <f>AM10</f>
        <v/>
      </c>
      <c r="AG14" s="147">
        <v>3.0</v>
      </c>
      <c r="AH14" s="152" t="str">
        <f>IFERROR(__xludf.DUMMYFUNCTION("if(AE14="""","""",iferror(filter(Schedule!$S:$S&amp;""-""&amp;Schedule!$T:$T,Schedule!$L:$L=AE14,(Schedule!$J:$J="""")+(Schedule!$J:$J=AF14),(Schedule!$K:$K=""a"")+(Schedule!$K:$K=""""),Schedule!$S:$S&lt;&gt;""""),""""))"),"")</f>
        <v/>
      </c>
      <c r="AI14" s="152" t="str">
        <f>IFERROR(__xludf.DUMMYFUNCTION("if(AE14="""","""",iferror(filter(Schedule!$S:$S&amp;""-""&amp;Schedule!$T:$T,Schedule!$L:$L=AE14,(Schedule!$J:$J="""")+(Schedule!$J:$J=AF14),(Schedule!$K:$K=""b"")+(Schedule!$K:$K=""""),Schedule!$S:$S&lt;&gt;""""),""""))"),"")</f>
        <v/>
      </c>
      <c r="AJ14" s="152" t="str">
        <f>IFERROR(__xludf.DUMMYFUNCTION("if(AE14="""","""",iferror(filter(Schedule!$Y:$Y&amp;""-""&amp;Schedule!$Z:$Z,Schedule!$L:$L=AE14,(Schedule!$J:$J="""")+(Schedule!$J:$J=AF14),(Schedule!$K:$K=""a"")+(Schedule!$K:$K=""""),Schedule!$Y:$Y&lt;&gt;""""),""""))"),"")</f>
        <v/>
      </c>
      <c r="AK14" s="152" t="str">
        <f>IFERROR(__xludf.DUMMYFUNCTION("if(AE14="""","""",iferror(filter(Schedule!$P:$P&amp;""-""&amp;Schedule!$Q:$Q,Schedule!$L:$L=AE14,(Schedule!$J:$J="""")+(Schedule!$J:$J=AF14),(Schedule!$K:$K=""b"")+(Schedule!$K:$K=""""),Schedule!$P:$P&lt;&gt;""""),""""))"),"")</f>
        <v/>
      </c>
      <c r="AL14" s="152" t="str">
        <f>if(AG10="","","X-Block")</f>
        <v/>
      </c>
      <c r="AM14" s="60"/>
    </row>
    <row r="15">
      <c r="A15" s="151" t="str">
        <f>C10</f>
        <v>Ana MarIa Rincon</v>
      </c>
      <c r="B15" s="151" t="str">
        <f>I10</f>
        <v>Y</v>
      </c>
      <c r="C15" s="147">
        <v>4.0</v>
      </c>
      <c r="D15" s="152" t="str">
        <f>IFERROR(__xludf.DUMMYFUNCTION("if(A15="""","""",iferror(filter(Schedule!$V:$V&amp;""-""&amp;Schedule!$W:$W,Schedule!$L:$L=A15,(Schedule!$J:$J="""")+(Schedule!$J:$J=B15),(Schedule!$K:$K=""a"")+(Schedule!$K:$K=""""),Schedule!$V:$V&lt;&gt;""""),""""))"),"Spanish 7A-5")</f>
        <v>Spanish 7A-5</v>
      </c>
      <c r="E15" s="152" t="str">
        <f>IFERROR(__xludf.DUMMYFUNCTION("if(A15="""","""",iferror(filter(Schedule!$M:$M&amp;""-""&amp;Schedule!$N:$N,Schedule!$L:$L=A15,(Schedule!$J:$J="""")+(Schedule!$J:$J=B15),(Schedule!$K:$K=""b"")+(Schedule!$K:$K=""""),Schedule!$M:$M&lt;&gt;""""),""""))"),"Spanish 8-1")</f>
        <v>Spanish 8-1</v>
      </c>
      <c r="F15" s="152" t="str">
        <f>IFERROR(__xludf.DUMMYFUNCTION("if(A15="""","""",iferror(filter(Schedule!$AB:$AB&amp;""-""&amp;Schedule!$AC:$AC,Schedule!$L:$L=A15,(Schedule!$J:$J="""")+(Schedule!$J:$J=B15),(Schedule!$K:$K=""a"")+(Schedule!$K:$K=""""),Schedule!$AB:$AB&lt;&gt;""""),""""))"),"Spanish 7-6")</f>
        <v>Spanish 7-6</v>
      </c>
      <c r="G15" s="152" t="str">
        <f>IFERROR(__xludf.DUMMYFUNCTION("if(A15="""","""",iferror(filter(Schedule!$S:$S&amp;""-""&amp;Schedule!$T:$T,Schedule!$L:$L=A15,(Schedule!$J:$J="""")+(Schedule!$J:$J=B15),(Schedule!$K:$K=""b"")+(Schedule!$K:$K=""""),Schedule!$S:$S&lt;&gt;""""),""""))"),"")</f>
        <v/>
      </c>
      <c r="H15" s="152" t="str">
        <f>IFERROR(__xludf.DUMMYFUNCTION("if(A15="""","""",iferror(filter(Schedule!$V:$V&amp;""-""&amp;Schedule!$W:$W,Schedule!$L:$L=A15,(Schedule!$J:$J="""")+(Schedule!$J:$J=B15),(Schedule!$K:$K=""b"")+(Schedule!$K:$K=""""),Schedule!$V:$V&lt;&gt;""""),""""))"),"Spanish 7A-5")</f>
        <v>Spanish 7A-5</v>
      </c>
      <c r="I15" s="60"/>
      <c r="J15" s="154"/>
      <c r="K15" s="151" t="str">
        <f>M10</f>
        <v/>
      </c>
      <c r="L15" s="151" t="str">
        <f>S10</f>
        <v/>
      </c>
      <c r="M15" s="147">
        <v>4.0</v>
      </c>
      <c r="N15" s="152" t="str">
        <f>IFERROR(__xludf.DUMMYFUNCTION("if(K15="""","""",iferror(filter(Schedule!$V:$V&amp;""-""&amp;Schedule!$W:$W,Schedule!$L:$L=K15,(Schedule!$J:$J="""")+(Schedule!$J:$J=L15),(Schedule!$K:$K=""a"")+(Schedule!$K:$K=""""),Schedule!$V:$V&lt;&gt;""""),""""))"),"")</f>
        <v/>
      </c>
      <c r="O15" s="152" t="str">
        <f>IFERROR(__xludf.DUMMYFUNCTION("if(K15="""","""",iferror(filter(Schedule!$M:$M&amp;""-""&amp;Schedule!$N:$N,Schedule!$L:$L=K15,(Schedule!$J:$J="""")+(Schedule!$J:$J=L15),(Schedule!$K:$K=""b"")+(Schedule!$K:$K=""""),Schedule!$M:$M&lt;&gt;""""),""""))"),"")</f>
        <v/>
      </c>
      <c r="P15" s="152" t="str">
        <f>IFERROR(__xludf.DUMMYFUNCTION("if(K15="""","""",iferror(filter(Schedule!$AB:$AB&amp;""-""&amp;Schedule!$AC:$AC,Schedule!$L:$L=K15,(Schedule!$J:$J="""")+(Schedule!$J:$J=L15),(Schedule!$K:$K=""a"")+(Schedule!$K:$K=""""),Schedule!$AB:$AB&lt;&gt;""""),""""))"),"")</f>
        <v/>
      </c>
      <c r="Q15" s="152" t="str">
        <f>IFERROR(__xludf.DUMMYFUNCTION("if(K15="""","""",iferror(filter(Schedule!$S:$S&amp;""-""&amp;Schedule!$T:$T,Schedule!$L:$L=K15,(Schedule!$J:$J="""")+(Schedule!$J:$J=L15),(Schedule!$K:$K=""b"")+(Schedule!$K:$K=""""),Schedule!$S:$S&lt;&gt;""""),""""))"),"")</f>
        <v/>
      </c>
      <c r="R15" s="152" t="str">
        <f>IFERROR(__xludf.DUMMYFUNCTION("if(K15="""","""",iferror(filter(Schedule!$V:$V&amp;""-""&amp;Schedule!$W:$W,Schedule!$L:$L=K15,(Schedule!$J:$J="""")+(Schedule!$J:$J=L15),(Schedule!$K:$K=""b"")+(Schedule!$K:$K=""""),Schedule!$V:$V&lt;&gt;""""),""""))"),"")</f>
        <v/>
      </c>
      <c r="S15" s="60"/>
      <c r="T15" s="155"/>
      <c r="U15" s="155" t="str">
        <f>W10</f>
        <v/>
      </c>
      <c r="V15" s="151" t="str">
        <f>AC10</f>
        <v/>
      </c>
      <c r="W15" s="147">
        <v>4.0</v>
      </c>
      <c r="X15" s="152" t="str">
        <f>IFERROR(__xludf.DUMMYFUNCTION("if(U15="""","""",iferror(filter(Schedule!$V:$V&amp;""-""&amp;Schedule!$W:$W,Schedule!$L:$L=U15,(Schedule!$J:$J="""")+(Schedule!$J:$J=V15),(Schedule!$K:$K=""a"")+(Schedule!$K:$K=""""),Schedule!$V:$V&lt;&gt;""""),""""))"),"")</f>
        <v/>
      </c>
      <c r="Y15" s="152" t="str">
        <f>IFERROR(__xludf.DUMMYFUNCTION("if(U15="""","""",iferror(filter(Schedule!$M:$M&amp;""-""&amp;Schedule!$N:$N,Schedule!$L:$L=U15,(Schedule!$J:$J="""")+(Schedule!$J:$J=V15),(Schedule!$K:$K=""b"")+(Schedule!$K:$K=""""),Schedule!$M:$M&lt;&gt;""""),""""))"),"")</f>
        <v/>
      </c>
      <c r="Z15" s="152" t="str">
        <f>IFERROR(__xludf.DUMMYFUNCTION("if(U15="""","""",iferror(filter(Schedule!$AB:$AB&amp;""-""&amp;Schedule!$AC:$AC,Schedule!$L:$L=U15,(Schedule!$J:$J="""")+(Schedule!$J:$J=V15),(Schedule!$K:$K=""a"")+(Schedule!$K:$K=""""),Schedule!$AB:$AB&lt;&gt;""""),""""))"),"")</f>
        <v/>
      </c>
      <c r="AA15" s="152" t="str">
        <f>IFERROR(__xludf.DUMMYFUNCTION("if(U15="""","""",iferror(filter(Schedule!$S:$S&amp;""-""&amp;Schedule!$T:$T,Schedule!$L:$L=U15,(Schedule!$J:$J="""")+(Schedule!$J:$J=V15),(Schedule!$K:$K=""b"")+(Schedule!$K:$K=""""),Schedule!$S:$S&lt;&gt;""""),""""))"),"")</f>
        <v/>
      </c>
      <c r="AB15" s="152" t="str">
        <f>IFERROR(__xludf.DUMMYFUNCTION("if(U15="""","""",iferror(filter(Schedule!$V:$V&amp;""-""&amp;Schedule!$W:$W,Schedule!$L:$L=U15,(Schedule!$J:$J="""")+(Schedule!$J:$J=V15),(Schedule!$K:$K=""b"")+(Schedule!$K:$K=""""),Schedule!$V:$V&lt;&gt;""""),""""))"),"")</f>
        <v/>
      </c>
      <c r="AC15" s="60"/>
      <c r="AD15" s="155"/>
      <c r="AE15" s="155" t="str">
        <f>AG10</f>
        <v/>
      </c>
      <c r="AF15" s="151" t="str">
        <f>AM10</f>
        <v/>
      </c>
      <c r="AG15" s="147">
        <v>4.0</v>
      </c>
      <c r="AH15" s="152" t="str">
        <f>IFERROR(__xludf.DUMMYFUNCTION("if(AE15="""","""",iferror(filter(Schedule!$V:$V&amp;""-""&amp;Schedule!$W:$W,Schedule!$L:$L=AE15,(Schedule!$J:$J="""")+(Schedule!$J:$J=AF15),(Schedule!$K:$K=""a"")+(Schedule!$K:$K=""""),Schedule!$V:$V&lt;&gt;""""),""""))"),"")</f>
        <v/>
      </c>
      <c r="AI15" s="152" t="str">
        <f>IFERROR(__xludf.DUMMYFUNCTION("if(AE15="""","""",iferror(filter(Schedule!$M:$M&amp;""-""&amp;Schedule!$N:$N,Schedule!$L:$L=AE15,(Schedule!$J:$J="""")+(Schedule!$J:$J=AF15),(Schedule!$K:$K=""b"")+(Schedule!$K:$K=""""),Schedule!$M:$M&lt;&gt;""""),""""))"),"")</f>
        <v/>
      </c>
      <c r="AJ15" s="152" t="str">
        <f>IFERROR(__xludf.DUMMYFUNCTION("if(AE15="""","""",iferror(filter(Schedule!$AB:$AB&amp;""-""&amp;Schedule!$AC:$AC,Schedule!$L:$L=AE15,(Schedule!$J:$J="""")+(Schedule!$J:$J=AF15),(Schedule!$K:$K=""a"")+(Schedule!$K:$K=""""),Schedule!$AB:$AB&lt;&gt;""""),""""))"),"")</f>
        <v/>
      </c>
      <c r="AK15" s="152" t="str">
        <f>IFERROR(__xludf.DUMMYFUNCTION("if(AE15="""","""",iferror(filter(Schedule!$S:$S&amp;""-""&amp;Schedule!$T:$T,Schedule!$L:$L=AE15,(Schedule!$J:$J="""")+(Schedule!$J:$J=AF15),(Schedule!$K:$K=""b"")+(Schedule!$K:$K=""""),Schedule!$S:$S&lt;&gt;""""),""""))"),"")</f>
        <v/>
      </c>
      <c r="AL15" s="152" t="str">
        <f>IFERROR(__xludf.DUMMYFUNCTION("if(AE15="""","""",iferror(filter(Schedule!$V:$V&amp;""-""&amp;Schedule!$W:$W,Schedule!$L:$L=AE15,(Schedule!$J:$J="""")+(Schedule!$J:$J=AF15),(Schedule!$K:$K=""b"")+(Schedule!$K:$K=""""),Schedule!$V:$V&lt;&gt;""""),""""))"),"")</f>
        <v/>
      </c>
      <c r="AM15" s="60"/>
    </row>
    <row r="16">
      <c r="A16" s="151" t="str">
        <f>C10</f>
        <v>Ana MarIa Rincon</v>
      </c>
      <c r="B16" s="151" t="str">
        <f>I10</f>
        <v>Y</v>
      </c>
      <c r="C16" s="147">
        <v>5.0</v>
      </c>
      <c r="D16" s="152" t="str">
        <f>IFERROR(__xludf.DUMMYFUNCTION("if(A16="""","""",iferror(filter(Schedule!$Y:$Y&amp;""-""&amp;Schedule!$Z:$Z,Schedule!$L:$L=A16,(Schedule!$J:$J="""")+(Schedule!$J:$J=B16),(Schedule!$K:$K=""a"")+(Schedule!$K:$K=""""),Schedule!$Y:$Y&lt;&gt;""""),""""))"),"")</f>
        <v/>
      </c>
      <c r="E16" s="152" t="str">
        <f>IFERROR(__xludf.DUMMYFUNCTION("if(A16="""","""",iferror(filter(Schedule!$P:$P&amp;""-""&amp;Schedule!$Q:$Q,Schedule!$L:$L=A16,(Schedule!$J:$J="""")+(Schedule!$J:$J=B16),(Schedule!$K:$K=""b"")+(Schedule!$K:$K=""""),Schedule!$P:$P&lt;&gt;""""),""""))"),"Spanish 8A-2")</f>
        <v>Spanish 8A-2</v>
      </c>
      <c r="F16" s="152" t="str">
        <f>IFERROR(__xludf.DUMMYFUNCTION("if(A16="""","""",iferror(filter(Schedule!$V:$V&amp;""-""&amp;Schedule!$W:$W,Schedule!$L:$L=A16,(Schedule!$J:$J="""")+(Schedule!$J:$J=B16),(Schedule!$K:$K=""b"")+(Schedule!$K:$K=""""),Schedule!$V:$V&lt;&gt;""""),""""))"),"Spanish 7A-5")</f>
        <v>Spanish 7A-5</v>
      </c>
      <c r="G16" s="152" t="str">
        <f>IFERROR(__xludf.DUMMYFUNCTION("if(A16="""","""",iferror(filter(Schedule!$AB:$AB&amp;""-""&amp;Schedule!$AC:$AC,Schedule!$L:$L=A16,(Schedule!$J:$J="""")+(Schedule!$J:$J=B16),(Schedule!$K:$K=""b"")+(Schedule!$K:$K=""""),Schedule!$AB:$AB&lt;&gt;""""),""""))"),"Spanish 7-6")</f>
        <v>Spanish 7-6</v>
      </c>
      <c r="H16" s="152" t="str">
        <f>IFERROR(__xludf.DUMMYFUNCTION("if(A16="""","""",iferror(filter(Schedule!$M:$M&amp;""-""&amp;Schedule!$N:$N,Schedule!$L:$L=A16,(Schedule!$J:$J="""")+(Schedule!$J:$J=B16),(Schedule!$K:$K=""b"")+(Schedule!$K:$K=""""),Schedule!$M:$M&lt;&gt;""""),""""))"),"Spanish 8-1")</f>
        <v>Spanish 8-1</v>
      </c>
      <c r="I16" s="64"/>
      <c r="J16" s="154"/>
      <c r="K16" s="151" t="str">
        <f>M10</f>
        <v/>
      </c>
      <c r="L16" s="151" t="str">
        <f>S10</f>
        <v/>
      </c>
      <c r="M16" s="147">
        <v>5.0</v>
      </c>
      <c r="N16" s="152" t="str">
        <f>IFERROR(__xludf.DUMMYFUNCTION("if(K16="""","""",iferror(filter(Schedule!$Y:$Y&amp;""-""&amp;Schedule!$Z:$Z,Schedule!$L:$L=K16,(Schedule!$J:$J="""")+(Schedule!$J:$J=L16),(Schedule!$K:$K=""a"")+(Schedule!$K:$K=""""),Schedule!$Y:$Y&lt;&gt;""""),""""))"),"")</f>
        <v/>
      </c>
      <c r="O16" s="152" t="str">
        <f>IFERROR(__xludf.DUMMYFUNCTION("if(K16="""","""",iferror(filter(Schedule!$P:$P&amp;""-""&amp;Schedule!$Q:$Q,Schedule!$L:$L=K16,(Schedule!$J:$J="""")+(Schedule!$J:$J=L16),(Schedule!$K:$K=""b"")+(Schedule!$K:$K=""""),Schedule!$P:$P&lt;&gt;""""),""""))"),"")</f>
        <v/>
      </c>
      <c r="P16" s="152" t="str">
        <f>IFERROR(__xludf.DUMMYFUNCTION("if(K16="""","""",iferror(filter(Schedule!$V:$V&amp;""-""&amp;Schedule!$W:$W,Schedule!$L:$L=K16,(Schedule!$J:$J="""")+(Schedule!$J:$J=L16),(Schedule!$K:$K=""b"")+(Schedule!$K:$K=""""),Schedule!$V:$V&lt;&gt;""""),""""))"),"")</f>
        <v/>
      </c>
      <c r="Q16" s="152" t="str">
        <f>IFERROR(__xludf.DUMMYFUNCTION("if(K16="""","""",iferror(filter(Schedule!$AB:$AB&amp;""-""&amp;Schedule!$AC:$AC,Schedule!$L:$L=K16,(Schedule!$J:$J="""")+(Schedule!$J:$J=L16),(Schedule!$K:$K=""b"")+(Schedule!$K:$K=""""),Schedule!$AB:$AB&lt;&gt;""""),""""))"),"")</f>
        <v/>
      </c>
      <c r="R16" s="152" t="str">
        <f>IFERROR(__xludf.DUMMYFUNCTION("if(K16="""","""",iferror(filter(Schedule!$M:$M&amp;""-""&amp;Schedule!$N:$N,Schedule!$L:$L=K16,(Schedule!$J:$J="""")+(Schedule!$J:$J=L16),(Schedule!$K:$K=""b"")+(Schedule!$K:$K=""""),Schedule!$M:$M&lt;&gt;""""),""""))"),"")</f>
        <v/>
      </c>
      <c r="S16" s="64"/>
      <c r="T16" s="155"/>
      <c r="U16" s="155" t="str">
        <f>W10</f>
        <v/>
      </c>
      <c r="V16" s="151" t="str">
        <f>AC10</f>
        <v/>
      </c>
      <c r="W16" s="147">
        <v>5.0</v>
      </c>
      <c r="X16" s="152" t="str">
        <f>IFERROR(__xludf.DUMMYFUNCTION("if(U16="""","""",iferror(filter(Schedule!$Y:$Y&amp;""-""&amp;Schedule!$Z:$Z,Schedule!$L:$L=U16,(Schedule!$J:$J="""")+(Schedule!$J:$J=V16),(Schedule!$K:$K=""a"")+(Schedule!$K:$K=""""),Schedule!$Y:$Y&lt;&gt;""""),""""))"),"")</f>
        <v/>
      </c>
      <c r="Y16" s="152" t="str">
        <f>IFERROR(__xludf.DUMMYFUNCTION("if(U16="""","""",iferror(filter(Schedule!$P:$P&amp;""-""&amp;Schedule!$Q:$Q,Schedule!$L:$L=U16,(Schedule!$J:$J="""")+(Schedule!$J:$J=V16),(Schedule!$K:$K=""b"")+(Schedule!$K:$K=""""),Schedule!$P:$P&lt;&gt;""""),""""))"),"")</f>
        <v/>
      </c>
      <c r="Z16" s="152" t="str">
        <f>IFERROR(__xludf.DUMMYFUNCTION("if(U16="""","""",iferror(filter(Schedule!$V:$V&amp;""-""&amp;Schedule!$W:$W,Schedule!$L:$L=U16,(Schedule!$J:$J="""")+(Schedule!$J:$J=V16),(Schedule!$K:$K=""b"")+(Schedule!$K:$K=""""),Schedule!$V:$V&lt;&gt;""""),""""))"),"")</f>
        <v/>
      </c>
      <c r="AA16" s="152" t="str">
        <f>IFERROR(__xludf.DUMMYFUNCTION("if(U16="""","""",iferror(filter(Schedule!$AB:$AB&amp;""-""&amp;Schedule!$AC:$AC,Schedule!$L:$L=U16,(Schedule!$J:$J="""")+(Schedule!$J:$J=V16),(Schedule!$K:$K=""b"")+(Schedule!$K:$K=""""),Schedule!$AB:$AB&lt;&gt;""""),""""))"),"")</f>
        <v/>
      </c>
      <c r="AB16" s="152" t="str">
        <f>IFERROR(__xludf.DUMMYFUNCTION("if(U16="""","""",iferror(filter(Schedule!$M:$M&amp;""-""&amp;Schedule!$N:$N,Schedule!$L:$L=U16,(Schedule!$J:$J="""")+(Schedule!$J:$J=V16),(Schedule!$K:$K=""b"")+(Schedule!$K:$K=""""),Schedule!$M:$M&lt;&gt;""""),""""))"),"")</f>
        <v/>
      </c>
      <c r="AC16" s="64"/>
      <c r="AD16" s="155"/>
      <c r="AE16" s="155" t="str">
        <f>AG10</f>
        <v/>
      </c>
      <c r="AF16" s="151" t="str">
        <f>AM10</f>
        <v/>
      </c>
      <c r="AG16" s="147">
        <v>5.0</v>
      </c>
      <c r="AH16" s="152" t="str">
        <f>IFERROR(__xludf.DUMMYFUNCTION("if(AE16="""","""",iferror(filter(Schedule!$Y:$Y&amp;""-""&amp;Schedule!$Z:$Z,Schedule!$L:$L=AE16,(Schedule!$J:$J="""")+(Schedule!$J:$J=AF16),(Schedule!$K:$K=""a"")+(Schedule!$K:$K=""""),Schedule!$Y:$Y&lt;&gt;""""),""""))"),"")</f>
        <v/>
      </c>
      <c r="AI16" s="152" t="str">
        <f>IFERROR(__xludf.DUMMYFUNCTION("if(AE16="""","""",iferror(filter(Schedule!$P:$P&amp;""-""&amp;Schedule!$Q:$Q,Schedule!$L:$L=AE16,(Schedule!$J:$J="""")+(Schedule!$J:$J=AF16),(Schedule!$K:$K=""b"")+(Schedule!$K:$K=""""),Schedule!$P:$P&lt;&gt;""""),""""))"),"")</f>
        <v/>
      </c>
      <c r="AJ16" s="152" t="str">
        <f>IFERROR(__xludf.DUMMYFUNCTION("if(AE16="""","""",iferror(filter(Schedule!$V:$V&amp;""-""&amp;Schedule!$W:$W,Schedule!$L:$L=AE16,(Schedule!$J:$J="""")+(Schedule!$J:$J=AF16),(Schedule!$K:$K=""b"")+(Schedule!$K:$K=""""),Schedule!$V:$V&lt;&gt;""""),""""))"),"")</f>
        <v/>
      </c>
      <c r="AK16" s="152" t="str">
        <f>IFERROR(__xludf.DUMMYFUNCTION("if(AE16="""","""",iferror(filter(Schedule!$AB:$AB&amp;""-""&amp;Schedule!$AC:$AC,Schedule!$L:$L=AE16,(Schedule!$J:$J="""")+(Schedule!$J:$J=AF16),(Schedule!$K:$K=""b"")+(Schedule!$K:$K=""""),Schedule!$AB:$AB&lt;&gt;""""),""""))"),"")</f>
        <v/>
      </c>
      <c r="AL16" s="152" t="str">
        <f>IFERROR(__xludf.DUMMYFUNCTION("if(AE16="""","""",iferror(filter(Schedule!$M:$M&amp;""-""&amp;Schedule!$N:$N,Schedule!$L:$L=AE16,(Schedule!$J:$J="""")+(Schedule!$J:$J=AF16),(Schedule!$K:$K=""b"")+(Schedule!$K:$K=""""),Schedule!$M:$M&lt;&gt;""""),""""))"),"")</f>
        <v/>
      </c>
      <c r="AM16" s="64"/>
    </row>
    <row r="17">
      <c r="A17" s="11"/>
      <c r="B17" s="11"/>
      <c r="C17" s="156"/>
      <c r="D17" s="156"/>
      <c r="E17" s="156"/>
      <c r="F17" s="156"/>
      <c r="G17" s="156"/>
      <c r="H17" s="156"/>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row>
    <row r="18">
      <c r="A18" s="5"/>
      <c r="B18" s="5"/>
      <c r="C18" s="140" t="str">
        <f>Teachers!A3</f>
        <v>Andrea Gil</v>
      </c>
      <c r="D18" s="141"/>
      <c r="E18" s="141"/>
      <c r="F18" s="141"/>
      <c r="G18" s="141"/>
      <c r="H18" s="142"/>
      <c r="I18" s="143" t="str">
        <f>IFERROR(__xludf.DUMMYFUNCTION("if(C18="""","""", iferror(unique(filter(Schedule!$J:$J,Schedule!$L:$L=$C18,Schedule!$J:$J=""Q1"")),iferror(unique(filter(Schedule!$J:$J,Schedule!$L:$L=$C18,Schedule!$J:$J=""S1"")),""Y"")))"),"Y")</f>
        <v>Y</v>
      </c>
      <c r="J18" s="11"/>
      <c r="K18" s="11"/>
      <c r="L18" s="11"/>
      <c r="M18" s="140" t="str">
        <f>if(S18="","",C18)</f>
        <v/>
      </c>
      <c r="N18" s="141"/>
      <c r="O18" s="141"/>
      <c r="P18" s="141"/>
      <c r="Q18" s="141"/>
      <c r="R18" s="142"/>
      <c r="S18" s="143" t="str">
        <f>if($I18="Q1","Q2",if($I18="S1","S2",""))</f>
        <v/>
      </c>
      <c r="T18" s="144"/>
      <c r="U18" s="144"/>
      <c r="V18" s="145"/>
      <c r="W18" s="140" t="str">
        <f>if(AC18="","",M18)</f>
        <v/>
      </c>
      <c r="X18" s="141"/>
      <c r="Y18" s="141"/>
      <c r="Z18" s="141"/>
      <c r="AA18" s="141"/>
      <c r="AB18" s="142"/>
      <c r="AC18" s="143" t="str">
        <f>if($I18="Q1","Q3","")</f>
        <v/>
      </c>
      <c r="AD18" s="144"/>
      <c r="AE18" s="144"/>
      <c r="AF18" s="145"/>
      <c r="AG18" s="140" t="str">
        <f>if(AC18="","",W18)</f>
        <v/>
      </c>
      <c r="AH18" s="141"/>
      <c r="AI18" s="141"/>
      <c r="AJ18" s="141"/>
      <c r="AK18" s="141"/>
      <c r="AL18" s="142"/>
      <c r="AM18" s="143" t="str">
        <f>if($I18="Q1","Q4","")</f>
        <v/>
      </c>
    </row>
    <row r="19">
      <c r="A19" s="146"/>
      <c r="B19" s="146"/>
      <c r="C19" s="147" t="s">
        <v>94</v>
      </c>
      <c r="D19" s="148" t="s">
        <v>95</v>
      </c>
      <c r="E19" s="148" t="s">
        <v>96</v>
      </c>
      <c r="F19" s="148" t="s">
        <v>97</v>
      </c>
      <c r="G19" s="148" t="s">
        <v>98</v>
      </c>
      <c r="H19" s="148" t="s">
        <v>99</v>
      </c>
      <c r="I19" s="148" t="s">
        <v>651</v>
      </c>
      <c r="J19" s="146"/>
      <c r="K19" s="146"/>
      <c r="L19" s="146"/>
      <c r="M19" s="147" t="s">
        <v>94</v>
      </c>
      <c r="N19" s="148" t="s">
        <v>95</v>
      </c>
      <c r="O19" s="148" t="s">
        <v>96</v>
      </c>
      <c r="P19" s="148" t="s">
        <v>97</v>
      </c>
      <c r="Q19" s="148" t="s">
        <v>98</v>
      </c>
      <c r="R19" s="148" t="s">
        <v>99</v>
      </c>
      <c r="S19" s="148" t="s">
        <v>651</v>
      </c>
      <c r="T19" s="149"/>
      <c r="U19" s="149"/>
      <c r="V19" s="150"/>
      <c r="W19" s="147" t="s">
        <v>94</v>
      </c>
      <c r="X19" s="148" t="s">
        <v>95</v>
      </c>
      <c r="Y19" s="148" t="s">
        <v>96</v>
      </c>
      <c r="Z19" s="148" t="s">
        <v>97</v>
      </c>
      <c r="AA19" s="148" t="s">
        <v>98</v>
      </c>
      <c r="AB19" s="148" t="s">
        <v>99</v>
      </c>
      <c r="AC19" s="148" t="s">
        <v>651</v>
      </c>
      <c r="AD19" s="149"/>
      <c r="AE19" s="149"/>
      <c r="AF19" s="150"/>
      <c r="AG19" s="147" t="s">
        <v>94</v>
      </c>
      <c r="AH19" s="148" t="s">
        <v>95</v>
      </c>
      <c r="AI19" s="148" t="s">
        <v>96</v>
      </c>
      <c r="AJ19" s="148" t="s">
        <v>97</v>
      </c>
      <c r="AK19" s="148" t="s">
        <v>98</v>
      </c>
      <c r="AL19" s="148" t="s">
        <v>99</v>
      </c>
      <c r="AM19" s="148" t="s">
        <v>651</v>
      </c>
    </row>
    <row r="20">
      <c r="A20" s="151" t="str">
        <f>C18</f>
        <v>Andrea Gil</v>
      </c>
      <c r="B20" s="151" t="str">
        <f>I18</f>
        <v>Y</v>
      </c>
      <c r="C20" s="147">
        <v>1.0</v>
      </c>
      <c r="D20" s="152" t="str">
        <f>IFERROR(__xludf.DUMMYFUNCTION("if(A20="""","""",iferror(filter(Schedule!$M:$M&amp;""-""&amp;Schedule!$N:$N,Schedule!$L:$L=A20,(Schedule!$J:$J="""")+(Schedule!$J:$J=B20),(Schedule!$K:$K=""a"")+(Schedule!$K:$K=""""),Schedule!$M:$M&lt;&gt;""""),""""))"),"Sociales 8-1")</f>
        <v>Sociales 8-1</v>
      </c>
      <c r="E20" s="152" t="str">
        <f>IFERROR(__xludf.DUMMYFUNCTION("if(A20="""","""",iferror(filter(Schedule!$AB:$AB&amp;""-""&amp;Schedule!$AC:$AC,Schedule!$L:$L=A20,(Schedule!$J:$J="""")+(Schedule!$J:$J=B20),(Schedule!$K:$K=""b"")+(Schedule!$K:$K=""""),Schedule!$AB:$AB&lt;&gt;""""),""""))"),"")</f>
        <v/>
      </c>
      <c r="F20" s="152" t="str">
        <f>IFERROR(__xludf.DUMMYFUNCTION("if(A20="""","""",iferror(filter(Schedule!$S:$S&amp;""-""&amp;Schedule!$T:$T,Schedule!$L:$L=A20,(Schedule!$J:$J="""")+(Schedule!$J:$J=B20),(Schedule!$K:$K=""a"")+(Schedule!$K:$K=""""),Schedule!$S:$S&lt;&gt;""""),""""))"),"Sociales 8A-4")</f>
        <v>Sociales 8A-4</v>
      </c>
      <c r="G20" s="152" t="str">
        <f>IFERROR(__xludf.DUMMYFUNCTION("if(A20="""","""",iferror(filter(Schedule!$V:$V&amp;""-""&amp;Schedule!$W:$W,Schedule!$L:$L=A20,(Schedule!$J:$J="""")+(Schedule!$J:$J=B20),(Schedule!$K:$K=""a"")+(Schedule!$K:$K=""""),Schedule!$V:$V&lt;&gt;""""),""""))"),"")</f>
        <v/>
      </c>
      <c r="H20" s="152" t="str">
        <f>IFERROR(__xludf.DUMMYFUNCTION("if(A20="""","""",iferror(filter(Schedule!$Y:$Y&amp;""-""&amp;Schedule!$Z:$Z,Schedule!$L:$L=A20,(Schedule!$J:$J="""")+(Schedule!$J:$J=B20),(Schedule!$K:$K=""b"")+(Schedule!$K:$K=""""),Schedule!$Y:$Y&lt;&gt;""""),""""))"),"English 7-4")</f>
        <v>English 7-4</v>
      </c>
      <c r="I20" s="153">
        <f>if(C18="","", 24-countifs(D20:H24,""))</f>
        <v>16</v>
      </c>
      <c r="J20" s="154"/>
      <c r="K20" s="151" t="str">
        <f>M18</f>
        <v/>
      </c>
      <c r="L20" s="151" t="str">
        <f>S18</f>
        <v/>
      </c>
      <c r="M20" s="147">
        <v>1.0</v>
      </c>
      <c r="N20" s="152" t="str">
        <f>IFERROR(__xludf.DUMMYFUNCTION("if(K20="""","""",iferror(filter(Schedule!$M:$M&amp;""-""&amp;Schedule!$N:$N,Schedule!$L:$L=K20,(Schedule!$J:$J="""")+(Schedule!$J:$J=L20),(Schedule!$K:$K=""a"")+(Schedule!$K:$K=""""),Schedule!$M:$M&lt;&gt;""""),""""))"),"")</f>
        <v/>
      </c>
      <c r="O20" s="152" t="str">
        <f>IFERROR(__xludf.DUMMYFUNCTION("if(K20="""","""",iferror(filter(Schedule!$AB:$AB&amp;""-""&amp;Schedule!$AC:$AC,Schedule!$L:$L=K20,(Schedule!$J:$J="""")+(Schedule!$J:$J=L20),(Schedule!$K:$K=""b"")+(Schedule!$K:$K=""""),Schedule!$AB:$AB&lt;&gt;""""),""""))"),"")</f>
        <v/>
      </c>
      <c r="P20" s="152" t="str">
        <f>IFERROR(__xludf.DUMMYFUNCTION("if(K20="""","""",iferror(filter(Schedule!$S:$S&amp;""-""&amp;Schedule!$T:$T,Schedule!$L:$L=K20,(Schedule!$J:$J="""")+(Schedule!$J:$J=L20),(Schedule!$K:$K=""a"")+(Schedule!$K:$K=""""),Schedule!$S:$S&lt;&gt;""""),""""))"),"")</f>
        <v/>
      </c>
      <c r="Q20" s="152" t="str">
        <f>IFERROR(__xludf.DUMMYFUNCTION("if(K20="""","""",iferror(filter(Schedule!$V:$V&amp;""-""&amp;Schedule!$W:$W,Schedule!$L:$L=K20,(Schedule!$J:$J="""")+(Schedule!$J:$J=L20),(Schedule!$K:$K=""a"")+(Schedule!$K:$K=""""),Schedule!$V:$V&lt;&gt;""""),""""))"),"")</f>
        <v/>
      </c>
      <c r="R20" s="152" t="str">
        <f>IFERROR(__xludf.DUMMYFUNCTION("if(K20="""","""",iferror(filter(Schedule!$Y:$Y&amp;""-""&amp;Schedule!$Z:$Z,Schedule!$L:$L=K20,(Schedule!$J:$J="""")+(Schedule!$J:$J=L20),(Schedule!$K:$K=""b"")+(Schedule!$K:$K=""""),Schedule!$Y:$Y&lt;&gt;""""),""""))"),"")</f>
        <v/>
      </c>
      <c r="S20" s="153" t="str">
        <f>if(K20="","", 24-countifs(N20:R24,""))</f>
        <v/>
      </c>
      <c r="T20" s="155"/>
      <c r="U20" s="155" t="str">
        <f>W18</f>
        <v/>
      </c>
      <c r="V20" s="151" t="str">
        <f>AC18</f>
        <v/>
      </c>
      <c r="W20" s="147">
        <v>1.0</v>
      </c>
      <c r="X20" s="152" t="str">
        <f>IFERROR(__xludf.DUMMYFUNCTION("if(U20="""","""",iferror(filter(Schedule!$M:$M&amp;""-""&amp;Schedule!$N:$N,Schedule!$L:$L=U20,(Schedule!$J:$J="""")+(Schedule!$J:$J=V20),(Schedule!$K:$K=""a"")+(Schedule!$K:$K=""""),Schedule!$M:$M&lt;&gt;""""),""""))"),"")</f>
        <v/>
      </c>
      <c r="Y20" s="152" t="str">
        <f>IFERROR(__xludf.DUMMYFUNCTION("if(U20="""","""",iferror(filter(Schedule!$AB:$AB&amp;""-""&amp;Schedule!$AC:$AC,Schedule!$L:$L=U20,(Schedule!$J:$J="""")+(Schedule!$J:$J=V20),(Schedule!$K:$K=""b"")+(Schedule!$K:$K=""""),Schedule!$AB:$AB&lt;&gt;""""),""""))"),"")</f>
        <v/>
      </c>
      <c r="Z20" s="152" t="str">
        <f>IFERROR(__xludf.DUMMYFUNCTION("if(U20="""","""",iferror(filter(Schedule!$S:$S&amp;""-""&amp;Schedule!$T:$T,Schedule!$L:$L=U20,(Schedule!$J:$J="""")+(Schedule!$J:$J=V20),(Schedule!$K:$K=""a"")+(Schedule!$K:$K=""""),Schedule!$S:$S&lt;&gt;""""),""""))"),"")</f>
        <v/>
      </c>
      <c r="AA20" s="152" t="str">
        <f>IFERROR(__xludf.DUMMYFUNCTION("if(U20="""","""",iferror(filter(Schedule!$V:$V&amp;""-""&amp;Schedule!$W:$W,Schedule!$L:$L=U20,(Schedule!$J:$J="""")+(Schedule!$J:$J=V20),(Schedule!$K:$K=""a"")+(Schedule!$K:$K=""""),Schedule!$V:$V&lt;&gt;""""),""""))"),"")</f>
        <v/>
      </c>
      <c r="AB20" s="152" t="str">
        <f>IFERROR(__xludf.DUMMYFUNCTION("if(U20="""","""",iferror(filter(Schedule!$Y:$Y&amp;""-""&amp;Schedule!$Z:$Z,Schedule!$L:$L=U20,(Schedule!$J:$J="""")+(Schedule!$J:$J=V20),(Schedule!$K:$K=""b"")+(Schedule!$K:$K=""""),Schedule!$Y:$Y&lt;&gt;""""),""""))"),"")</f>
        <v/>
      </c>
      <c r="AC20" s="153" t="str">
        <f>if(U20="","", 24-countifs(X20:AB24,""))</f>
        <v/>
      </c>
      <c r="AD20" s="155"/>
      <c r="AE20" s="155" t="str">
        <f>AG18</f>
        <v/>
      </c>
      <c r="AF20" s="151" t="str">
        <f>AM18</f>
        <v/>
      </c>
      <c r="AG20" s="147">
        <v>1.0</v>
      </c>
      <c r="AH20" s="152" t="str">
        <f>IFERROR(__xludf.DUMMYFUNCTION("if(AE20="""","""",iferror(filter(Schedule!$M:$M&amp;""-""&amp;Schedule!$N:$N,Schedule!$L:$L=AE20,(Schedule!$J:$J="""")+(Schedule!$J:$J=AF20),(Schedule!$K:$K=""a"")+(Schedule!$K:$K=""""),Schedule!$M:$M&lt;&gt;""""),""""))"),"")</f>
        <v/>
      </c>
      <c r="AI20" s="152" t="str">
        <f>IFERROR(__xludf.DUMMYFUNCTION("if(AE20="""","""",iferror(filter(Schedule!$AB:$AB&amp;""-""&amp;Schedule!$AC:$AC,Schedule!$L:$L=AE20,(Schedule!$J:$J="""")+(Schedule!$J:$J=AF20),(Schedule!$K:$K=""b"")+(Schedule!$K:$K=""""),Schedule!$AB:$AB&lt;&gt;""""),""""))"),"")</f>
        <v/>
      </c>
      <c r="AJ20" s="152" t="str">
        <f>IFERROR(__xludf.DUMMYFUNCTION("if(AE20="""","""",iferror(filter(Schedule!$S:$S&amp;""-""&amp;Schedule!$T:$T,Schedule!$L:$L=AE20,(Schedule!$J:$J="""")+(Schedule!$J:$J=AF20),(Schedule!$K:$K=""a"")+(Schedule!$K:$K=""""),Schedule!$S:$S&lt;&gt;""""),""""))"),"")</f>
        <v/>
      </c>
      <c r="AK20" s="152" t="str">
        <f>IFERROR(__xludf.DUMMYFUNCTION("if(AE20="""","""",iferror(filter(Schedule!$V:$V&amp;""-""&amp;Schedule!$W:$W,Schedule!$L:$L=AE20,(Schedule!$J:$J="""")+(Schedule!$J:$J=AF20),(Schedule!$K:$K=""a"")+(Schedule!$K:$K=""""),Schedule!$V:$V&lt;&gt;""""),""""))"),"")</f>
        <v/>
      </c>
      <c r="AL20" s="152" t="str">
        <f>IFERROR(__xludf.DUMMYFUNCTION("if(AE20="""","""",iferror(filter(Schedule!$Y:$Y&amp;""-""&amp;Schedule!$Z:$Z,Schedule!$L:$L=AE20,(Schedule!$J:$J="""")+(Schedule!$J:$J=AF20),(Schedule!$K:$K=""b"")+(Schedule!$K:$K=""""),Schedule!$Y:$Y&lt;&gt;""""),""""))"),"")</f>
        <v/>
      </c>
      <c r="AM20" s="153" t="str">
        <f>if(AE20="","", 24-countifs(AH20:AL24,""))</f>
        <v/>
      </c>
    </row>
    <row r="21">
      <c r="A21" s="151" t="str">
        <f>C18</f>
        <v>Andrea Gil</v>
      </c>
      <c r="B21" s="151" t="str">
        <f>I18</f>
        <v>Y</v>
      </c>
      <c r="C21" s="147">
        <v>2.0</v>
      </c>
      <c r="D21" s="152" t="str">
        <f>IFERROR(__xludf.DUMMYFUNCTION("if(A21="""","""",iferror(filter(Schedule!$P:$P&amp;""-""&amp;Schedule!$Q:$Q,Schedule!$L:$L=A21,(Schedule!$J:$J="""")+(Schedule!$J:$J=B21),(Schedule!$K:$K=""a"")+(Schedule!$K:$K=""""),Schedule!$P:$P&lt;&gt;""""),""""))"),"English 7-2")</f>
        <v>English 7-2</v>
      </c>
      <c r="E21" s="152" t="str">
        <f>IFERROR(__xludf.DUMMYFUNCTION("if(A21="""","""",iferror(filter(Schedule!$Y:$Y&amp;""-""&amp;Schedule!$Z:$Z,Schedule!$L:$L=A21,(Schedule!$J:$J="""")+(Schedule!$J:$J=B21),(Schedule!$K:$K=""b"")+(Schedule!$K:$K=""""),Schedule!$Y:$Y&lt;&gt;""""),""""))"),"English 7-4")</f>
        <v>English 7-4</v>
      </c>
      <c r="F21" s="152" t="str">
        <f>IFERROR(__xludf.DUMMYFUNCTION("if(A21="""","""",iferror(filter(Schedule!$P:$P&amp;""-""&amp;Schedule!$Q:$Q,Schedule!$L:$L=A21,(Schedule!$J:$J="""")+(Schedule!$J:$J=B21),(Schedule!$K:$K=""a"")+(Schedule!$K:$K=""""),Schedule!$P:$P&lt;&gt;""""),""""))"),"English 7-2")</f>
        <v>English 7-2</v>
      </c>
      <c r="G21" s="152" t="str">
        <f>IFERROR(__xludf.DUMMYFUNCTION("if(A21="""","""",iferror(filter(Schedule!$M:$M&amp;""-""&amp;Schedule!$N:$N,Schedule!$L:$L=A21,(Schedule!$J:$J="""")+(Schedule!$J:$J=B21),(Schedule!$K:$K=""a"")+(Schedule!$K:$K=""""),Schedule!$M:$M&lt;&gt;""""),""""))"),"Sociales 8-1")</f>
        <v>Sociales 8-1</v>
      </c>
      <c r="H21" s="152" t="str">
        <f>IFERROR(__xludf.DUMMYFUNCTION("if(A21="""","""",iferror(filter(Schedule!$AB:$AB&amp;""-""&amp;Schedule!$AC:$AC,Schedule!$L:$L=A21,(Schedule!$J:$J="""")+(Schedule!$J:$J=B21),(Schedule!$K:$K=""a"")+(Schedule!$K:$K=""""),Schedule!$AB:$AB&lt;&gt;""""),""""))"),"")</f>
        <v/>
      </c>
      <c r="I21" s="60"/>
      <c r="J21" s="154"/>
      <c r="K21" s="151" t="str">
        <f>M18</f>
        <v/>
      </c>
      <c r="L21" s="151" t="str">
        <f>S18</f>
        <v/>
      </c>
      <c r="M21" s="147">
        <v>2.0</v>
      </c>
      <c r="N21" s="152" t="str">
        <f>IFERROR(__xludf.DUMMYFUNCTION("if(K21="""","""",iferror(filter(Schedule!$P:$P&amp;""-""&amp;Schedule!$Q:$Q,Schedule!$L:$L=K21,(Schedule!$J:$J="""")+(Schedule!$J:$J=L21),(Schedule!$K:$K=""a"")+(Schedule!$K:$K=""""),Schedule!$P:$P&lt;&gt;""""),""""))"),"")</f>
        <v/>
      </c>
      <c r="O21" s="152" t="str">
        <f>IFERROR(__xludf.DUMMYFUNCTION("if(K21="""","""",iferror(filter(Schedule!$Y:$Y&amp;""-""&amp;Schedule!$Z:$Z,Schedule!$L:$L=K21,(Schedule!$J:$J="""")+(Schedule!$J:$J=L21),(Schedule!$K:$K=""b"")+(Schedule!$K:$K=""""),Schedule!$Y:$Y&lt;&gt;""""),""""))"),"")</f>
        <v/>
      </c>
      <c r="P21" s="152" t="str">
        <f>IFERROR(__xludf.DUMMYFUNCTION("if(K21="""","""",iferror(filter(Schedule!$P:$P&amp;""-""&amp;Schedule!$Q:$Q,Schedule!$L:$L=K21,(Schedule!$J:$J="""")+(Schedule!$J:$J=L21),(Schedule!$K:$K=""a"")+(Schedule!$K:$K=""""),Schedule!$P:$P&lt;&gt;""""),""""))"),"")</f>
        <v/>
      </c>
      <c r="Q21" s="152" t="str">
        <f>IFERROR(__xludf.DUMMYFUNCTION("if(K21="""","""",iferror(filter(Schedule!$M:$M&amp;""-""&amp;Schedule!$N:$N,Schedule!$L:$L=K21,(Schedule!$J:$J="""")+(Schedule!$J:$J=L21),(Schedule!$K:$K=""a"")+(Schedule!$K:$K=""""),Schedule!$M:$M&lt;&gt;""""),""""))"),"")</f>
        <v/>
      </c>
      <c r="R21" s="152" t="str">
        <f>IFERROR(__xludf.DUMMYFUNCTION("if(K21="""","""",iferror(filter(Schedule!$AB:$AB&amp;""-""&amp;Schedule!$AC:$AC,Schedule!$L:$L=K21,(Schedule!$J:$J="""")+(Schedule!$J:$J=L21),(Schedule!$K:$K=""a"")+(Schedule!$K:$K=""""),Schedule!$AB:$AB&lt;&gt;""""),""""))"),"")</f>
        <v/>
      </c>
      <c r="S21" s="60"/>
      <c r="T21" s="155"/>
      <c r="U21" s="155" t="str">
        <f>W18</f>
        <v/>
      </c>
      <c r="V21" s="151" t="str">
        <f>AC18</f>
        <v/>
      </c>
      <c r="W21" s="147">
        <v>2.0</v>
      </c>
      <c r="X21" s="152" t="str">
        <f>IFERROR(__xludf.DUMMYFUNCTION("if(U21="""","""",iferror(filter(Schedule!$P:$P&amp;""-""&amp;Schedule!$Q:$Q,Schedule!$L:$L=U21,(Schedule!$J:$J="""")+(Schedule!$J:$J=V21),(Schedule!$K:$K=""a"")+(Schedule!$K:$K=""""),Schedule!$P:$P&lt;&gt;""""),""""))"),"")</f>
        <v/>
      </c>
      <c r="Y21" s="152" t="str">
        <f>IFERROR(__xludf.DUMMYFUNCTION("if(U21="""","""",iferror(filter(Schedule!$Y:$Y&amp;""-""&amp;Schedule!$Z:$Z,Schedule!$L:$L=U21,(Schedule!$J:$J="""")+(Schedule!$J:$J=V21),(Schedule!$K:$K=""b"")+(Schedule!$K:$K=""""),Schedule!$Y:$Y&lt;&gt;""""),""""))"),"")</f>
        <v/>
      </c>
      <c r="Z21" s="152" t="str">
        <f>IFERROR(__xludf.DUMMYFUNCTION("if(U21="""","""",iferror(filter(Schedule!$P:$P&amp;""-""&amp;Schedule!$Q:$Q,Schedule!$L:$L=U21,(Schedule!$J:$J="""")+(Schedule!$J:$J=V21),(Schedule!$K:$K=""a"")+(Schedule!$K:$K=""""),Schedule!$P:$P&lt;&gt;""""),""""))"),"")</f>
        <v/>
      </c>
      <c r="AA21" s="152" t="str">
        <f>IFERROR(__xludf.DUMMYFUNCTION("if(U21="""","""",iferror(filter(Schedule!$M:$M&amp;""-""&amp;Schedule!$N:$N,Schedule!$L:$L=U21,(Schedule!$J:$J="""")+(Schedule!$J:$J=V21),(Schedule!$K:$K=""a"")+(Schedule!$K:$K=""""),Schedule!$M:$M&lt;&gt;""""),""""))"),"")</f>
        <v/>
      </c>
      <c r="AB21" s="152" t="str">
        <f>IFERROR(__xludf.DUMMYFUNCTION("if(U21="""","""",iferror(filter(Schedule!$AB:$AB&amp;""-""&amp;Schedule!$AC:$AC,Schedule!$L:$L=U21,(Schedule!$J:$J="""")+(Schedule!$J:$J=V21),(Schedule!$K:$K=""a"")+(Schedule!$K:$K=""""),Schedule!$AB:$AB&lt;&gt;""""),""""))"),"")</f>
        <v/>
      </c>
      <c r="AC21" s="60"/>
      <c r="AD21" s="155"/>
      <c r="AE21" s="155" t="str">
        <f>AG18</f>
        <v/>
      </c>
      <c r="AF21" s="151" t="str">
        <f>AM18</f>
        <v/>
      </c>
      <c r="AG21" s="147">
        <v>2.0</v>
      </c>
      <c r="AH21" s="152" t="str">
        <f>IFERROR(__xludf.DUMMYFUNCTION("if(AE21="""","""",iferror(filter(Schedule!$P:$P&amp;""-""&amp;Schedule!$Q:$Q,Schedule!$L:$L=AE21,(Schedule!$J:$J="""")+(Schedule!$J:$J=AF21),(Schedule!$K:$K=""a"")+(Schedule!$K:$K=""""),Schedule!$P:$P&lt;&gt;""""),""""))"),"")</f>
        <v/>
      </c>
      <c r="AI21" s="152" t="str">
        <f>IFERROR(__xludf.DUMMYFUNCTION("if(AE21="""","""",iferror(filter(Schedule!$Y:$Y&amp;""-""&amp;Schedule!$Z:$Z,Schedule!$L:$L=AE21,(Schedule!$J:$J="""")+(Schedule!$J:$J=AF21),(Schedule!$K:$K=""b"")+(Schedule!$K:$K=""""),Schedule!$Y:$Y&lt;&gt;""""),""""))"),"")</f>
        <v/>
      </c>
      <c r="AJ21" s="152" t="str">
        <f>IFERROR(__xludf.DUMMYFUNCTION("if(AE21="""","""",iferror(filter(Schedule!$P:$P&amp;""-""&amp;Schedule!$Q:$Q,Schedule!$L:$L=AE21,(Schedule!$J:$J="""")+(Schedule!$J:$J=AF21),(Schedule!$K:$K=""a"")+(Schedule!$K:$K=""""),Schedule!$P:$P&lt;&gt;""""),""""))"),"")</f>
        <v/>
      </c>
      <c r="AK21" s="152" t="str">
        <f>IFERROR(__xludf.DUMMYFUNCTION("if(AE21="""","""",iferror(filter(Schedule!$M:$M&amp;""-""&amp;Schedule!$N:$N,Schedule!$L:$L=AE21,(Schedule!$J:$J="""")+(Schedule!$J:$J=AF21),(Schedule!$K:$K=""a"")+(Schedule!$K:$K=""""),Schedule!$M:$M&lt;&gt;""""),""""))"),"")</f>
        <v/>
      </c>
      <c r="AL21" s="152" t="str">
        <f>IFERROR(__xludf.DUMMYFUNCTION("if(AE21="""","""",iferror(filter(Schedule!$AB:$AB&amp;""-""&amp;Schedule!$AC:$AC,Schedule!$L:$L=AE21,(Schedule!$J:$J="""")+(Schedule!$J:$J=AF21),(Schedule!$K:$K=""a"")+(Schedule!$K:$K=""""),Schedule!$AB:$AB&lt;&gt;""""),""""))"),"")</f>
        <v/>
      </c>
      <c r="AM21" s="60"/>
    </row>
    <row r="22">
      <c r="A22" s="151" t="str">
        <f>C18</f>
        <v>Andrea Gil</v>
      </c>
      <c r="B22" s="151" t="str">
        <f>I18</f>
        <v>Y</v>
      </c>
      <c r="C22" s="147">
        <v>3.0</v>
      </c>
      <c r="D22" s="152" t="str">
        <f>IFERROR(__xludf.DUMMYFUNCTION("if(A22="""","""",iferror(filter(Schedule!$S:$S&amp;""-""&amp;Schedule!$T:$T,Schedule!$L:$L=A22,(Schedule!$J:$J="""")+(Schedule!$J:$J=B22),(Schedule!$K:$K=""a"")+(Schedule!$K:$K=""""),Schedule!$S:$S&lt;&gt;""""),""""))"),"Sociales 8A-4")</f>
        <v>Sociales 8A-4</v>
      </c>
      <c r="E22" s="152" t="str">
        <f>IFERROR(__xludf.DUMMYFUNCTION("if(A22="""","""",iferror(filter(Schedule!$S:$S&amp;""-""&amp;Schedule!$T:$T,Schedule!$L:$L=A22,(Schedule!$J:$J="""")+(Schedule!$J:$J=B22),(Schedule!$K:$K=""b"")+(Schedule!$K:$K=""""),Schedule!$S:$S&lt;&gt;""""),""""))"),"Sociales 8A-4")</f>
        <v>Sociales 8A-4</v>
      </c>
      <c r="F22" s="152" t="str">
        <f>IFERROR(__xludf.DUMMYFUNCTION("if(A22="""","""",iferror(filter(Schedule!$Y:$Y&amp;""-""&amp;Schedule!$Z:$Z,Schedule!$L:$L=A22,(Schedule!$J:$J="""")+(Schedule!$J:$J=B22),(Schedule!$K:$K=""a"")+(Schedule!$K:$K=""""),Schedule!$Y:$Y&lt;&gt;""""),""""))"),"English 7-4")</f>
        <v>English 7-4</v>
      </c>
      <c r="G22" s="152" t="str">
        <f>IFERROR(__xludf.DUMMYFUNCTION("if(A22="""","""",iferror(filter(Schedule!$P:$P&amp;""-""&amp;Schedule!$Q:$Q,Schedule!$L:$L=A22,(Schedule!$J:$J="""")+(Schedule!$J:$J=B22),(Schedule!$K:$K=""b"")+(Schedule!$K:$K=""""),Schedule!$P:$P&lt;&gt;""""),""""))"),"English 7-2")</f>
        <v>English 7-2</v>
      </c>
      <c r="H22" s="152" t="str">
        <f>if(C18="","","X-Block")</f>
        <v>X-Block</v>
      </c>
      <c r="I22" s="60"/>
      <c r="J22" s="154"/>
      <c r="K22" s="151" t="str">
        <f>M18</f>
        <v/>
      </c>
      <c r="L22" s="151" t="str">
        <f>S18</f>
        <v/>
      </c>
      <c r="M22" s="147">
        <v>3.0</v>
      </c>
      <c r="N22" s="152" t="str">
        <f>IFERROR(__xludf.DUMMYFUNCTION("if(K22="""","""",iferror(filter(Schedule!$S:$S&amp;""-""&amp;Schedule!$T:$T,Schedule!$L:$L=K22,(Schedule!$J:$J="""")+(Schedule!$J:$J=L22),(Schedule!$K:$K=""a"")+(Schedule!$K:$K=""""),Schedule!$S:$S&lt;&gt;""""),""""))"),"")</f>
        <v/>
      </c>
      <c r="O22" s="152" t="str">
        <f>IFERROR(__xludf.DUMMYFUNCTION("if(K22="""","""",iferror(filter(Schedule!$S:$S&amp;""-""&amp;Schedule!$T:$T,Schedule!$L:$L=K22,(Schedule!$J:$J="""")+(Schedule!$J:$J=L22),(Schedule!$K:$K=""b"")+(Schedule!$K:$K=""""),Schedule!$S:$S&lt;&gt;""""),""""))"),"")</f>
        <v/>
      </c>
      <c r="P22" s="152" t="str">
        <f>IFERROR(__xludf.DUMMYFUNCTION("if(K22="""","""",iferror(filter(Schedule!$Y:$Y&amp;""-""&amp;Schedule!$Z:$Z,Schedule!$L:$L=K22,(Schedule!$J:$J="""")+(Schedule!$J:$J=L22),(Schedule!$K:$K=""a"")+(Schedule!$K:$K=""""),Schedule!$Y:$Y&lt;&gt;""""),""""))"),"")</f>
        <v/>
      </c>
      <c r="Q22" s="152" t="str">
        <f>IFERROR(__xludf.DUMMYFUNCTION("if(K22="""","""",iferror(filter(Schedule!$P:$P&amp;""-""&amp;Schedule!$Q:$Q,Schedule!$L:$L=K22,(Schedule!$J:$J="""")+(Schedule!$J:$J=L22),(Schedule!$K:$K=""b"")+(Schedule!$K:$K=""""),Schedule!$P:$P&lt;&gt;""""),""""))"),"")</f>
        <v/>
      </c>
      <c r="R22" s="152" t="str">
        <f>if(M18="","","X-Block")</f>
        <v/>
      </c>
      <c r="S22" s="60"/>
      <c r="T22" s="155"/>
      <c r="U22" s="155" t="str">
        <f>W18</f>
        <v/>
      </c>
      <c r="V22" s="151" t="str">
        <f>AC18</f>
        <v/>
      </c>
      <c r="W22" s="147">
        <v>3.0</v>
      </c>
      <c r="X22" s="152" t="str">
        <f>IFERROR(__xludf.DUMMYFUNCTION("if(U22="""","""",iferror(filter(Schedule!$S:$S&amp;""-""&amp;Schedule!$T:$T,Schedule!$L:$L=U22,(Schedule!$J:$J="""")+(Schedule!$J:$J=V22),(Schedule!$K:$K=""a"")+(Schedule!$K:$K=""""),Schedule!$S:$S&lt;&gt;""""),""""))"),"")</f>
        <v/>
      </c>
      <c r="Y22" s="152" t="str">
        <f>IFERROR(__xludf.DUMMYFUNCTION("if(U22="""","""",iferror(filter(Schedule!$S:$S&amp;""-""&amp;Schedule!$T:$T,Schedule!$L:$L=U22,(Schedule!$J:$J="""")+(Schedule!$J:$J=V22),(Schedule!$K:$K=""b"")+(Schedule!$K:$K=""""),Schedule!$S:$S&lt;&gt;""""),""""))"),"")</f>
        <v/>
      </c>
      <c r="Z22" s="152" t="str">
        <f>IFERROR(__xludf.DUMMYFUNCTION("if(U22="""","""",iferror(filter(Schedule!$Y:$Y&amp;""-""&amp;Schedule!$Z:$Z,Schedule!$L:$L=U22,(Schedule!$J:$J="""")+(Schedule!$J:$J=V22),(Schedule!$K:$K=""a"")+(Schedule!$K:$K=""""),Schedule!$Y:$Y&lt;&gt;""""),""""))"),"")</f>
        <v/>
      </c>
      <c r="AA22" s="152" t="str">
        <f>IFERROR(__xludf.DUMMYFUNCTION("if(U22="""","""",iferror(filter(Schedule!$P:$P&amp;""-""&amp;Schedule!$Q:$Q,Schedule!$L:$L=U22,(Schedule!$J:$J="""")+(Schedule!$J:$J=V22),(Schedule!$K:$K=""b"")+(Schedule!$K:$K=""""),Schedule!$P:$P&lt;&gt;""""),""""))"),"")</f>
        <v/>
      </c>
      <c r="AB22" s="152" t="str">
        <f>if(W18="","","X-Block")</f>
        <v/>
      </c>
      <c r="AC22" s="60"/>
      <c r="AD22" s="155"/>
      <c r="AE22" s="155" t="str">
        <f>AG18</f>
        <v/>
      </c>
      <c r="AF22" s="151" t="str">
        <f>AM18</f>
        <v/>
      </c>
      <c r="AG22" s="147">
        <v>3.0</v>
      </c>
      <c r="AH22" s="152" t="str">
        <f>IFERROR(__xludf.DUMMYFUNCTION("if(AE22="""","""",iferror(filter(Schedule!$S:$S&amp;""-""&amp;Schedule!$T:$T,Schedule!$L:$L=AE22,(Schedule!$J:$J="""")+(Schedule!$J:$J=AF22),(Schedule!$K:$K=""a"")+(Schedule!$K:$K=""""),Schedule!$S:$S&lt;&gt;""""),""""))"),"")</f>
        <v/>
      </c>
      <c r="AI22" s="152" t="str">
        <f>IFERROR(__xludf.DUMMYFUNCTION("if(AE22="""","""",iferror(filter(Schedule!$S:$S&amp;""-""&amp;Schedule!$T:$T,Schedule!$L:$L=AE22,(Schedule!$J:$J="""")+(Schedule!$J:$J=AF22),(Schedule!$K:$K=""b"")+(Schedule!$K:$K=""""),Schedule!$S:$S&lt;&gt;""""),""""))"),"")</f>
        <v/>
      </c>
      <c r="AJ22" s="152" t="str">
        <f>IFERROR(__xludf.DUMMYFUNCTION("if(AE22="""","""",iferror(filter(Schedule!$Y:$Y&amp;""-""&amp;Schedule!$Z:$Z,Schedule!$L:$L=AE22,(Schedule!$J:$J="""")+(Schedule!$J:$J=AF22),(Schedule!$K:$K=""a"")+(Schedule!$K:$K=""""),Schedule!$Y:$Y&lt;&gt;""""),""""))"),"")</f>
        <v/>
      </c>
      <c r="AK22" s="152" t="str">
        <f>IFERROR(__xludf.DUMMYFUNCTION("if(AE22="""","""",iferror(filter(Schedule!$P:$P&amp;""-""&amp;Schedule!$Q:$Q,Schedule!$L:$L=AE22,(Schedule!$J:$J="""")+(Schedule!$J:$J=AF22),(Schedule!$K:$K=""b"")+(Schedule!$K:$K=""""),Schedule!$P:$P&lt;&gt;""""),""""))"),"")</f>
        <v/>
      </c>
      <c r="AL22" s="152" t="str">
        <f>if(AG18="","","X-Block")</f>
        <v/>
      </c>
      <c r="AM22" s="60"/>
    </row>
    <row r="23">
      <c r="A23" s="151" t="str">
        <f>C18</f>
        <v>Andrea Gil</v>
      </c>
      <c r="B23" s="151" t="str">
        <f>I18</f>
        <v>Y</v>
      </c>
      <c r="C23" s="147">
        <v>4.0</v>
      </c>
      <c r="D23" s="152" t="str">
        <f>IFERROR(__xludf.DUMMYFUNCTION("if(A23="""","""",iferror(filter(Schedule!$V:$V&amp;""-""&amp;Schedule!$W:$W,Schedule!$L:$L=A23,(Schedule!$J:$J="""")+(Schedule!$J:$J=B23),(Schedule!$K:$K=""a"")+(Schedule!$K:$K=""""),Schedule!$V:$V&lt;&gt;""""),""""))"),"")</f>
        <v/>
      </c>
      <c r="E23" s="152" t="str">
        <f>IFERROR(__xludf.DUMMYFUNCTION("if(A23="""","""",iferror(filter(Schedule!$M:$M&amp;""-""&amp;Schedule!$N:$N,Schedule!$L:$L=A23,(Schedule!$J:$J="""")+(Schedule!$J:$J=B23),(Schedule!$K:$K=""b"")+(Schedule!$K:$K=""""),Schedule!$M:$M&lt;&gt;""""),""""))"),"Sociales 8-1")</f>
        <v>Sociales 8-1</v>
      </c>
      <c r="F23" s="152" t="str">
        <f>IFERROR(__xludf.DUMMYFUNCTION("if(A23="""","""",iferror(filter(Schedule!$AB:$AB&amp;""-""&amp;Schedule!$AC:$AC,Schedule!$L:$L=A23,(Schedule!$J:$J="""")+(Schedule!$J:$J=B23),(Schedule!$K:$K=""a"")+(Schedule!$K:$K=""""),Schedule!$AB:$AB&lt;&gt;""""),""""))"),"")</f>
        <v/>
      </c>
      <c r="G23" s="152" t="str">
        <f>IFERROR(__xludf.DUMMYFUNCTION("if(A23="""","""",iferror(filter(Schedule!$S:$S&amp;""-""&amp;Schedule!$T:$T,Schedule!$L:$L=A23,(Schedule!$J:$J="""")+(Schedule!$J:$J=B23),(Schedule!$K:$K=""b"")+(Schedule!$K:$K=""""),Schedule!$S:$S&lt;&gt;""""),""""))"),"Sociales 8A-4")</f>
        <v>Sociales 8A-4</v>
      </c>
      <c r="H23" s="152" t="str">
        <f>IFERROR(__xludf.DUMMYFUNCTION("if(A23="""","""",iferror(filter(Schedule!$V:$V&amp;""-""&amp;Schedule!$W:$W,Schedule!$L:$L=A23,(Schedule!$J:$J="""")+(Schedule!$J:$J=B23),(Schedule!$K:$K=""b"")+(Schedule!$K:$K=""""),Schedule!$V:$V&lt;&gt;""""),""""))"),"")</f>
        <v/>
      </c>
      <c r="I23" s="60"/>
      <c r="J23" s="154"/>
      <c r="K23" s="151" t="str">
        <f>M18</f>
        <v/>
      </c>
      <c r="L23" s="151" t="str">
        <f>S18</f>
        <v/>
      </c>
      <c r="M23" s="147">
        <v>4.0</v>
      </c>
      <c r="N23" s="152" t="str">
        <f>IFERROR(__xludf.DUMMYFUNCTION("if(K23="""","""",iferror(filter(Schedule!$V:$V&amp;""-""&amp;Schedule!$W:$W,Schedule!$L:$L=K23,(Schedule!$J:$J="""")+(Schedule!$J:$J=L23),(Schedule!$K:$K=""a"")+(Schedule!$K:$K=""""),Schedule!$V:$V&lt;&gt;""""),""""))"),"")</f>
        <v/>
      </c>
      <c r="O23" s="152" t="str">
        <f>IFERROR(__xludf.DUMMYFUNCTION("if(K23="""","""",iferror(filter(Schedule!$M:$M&amp;""-""&amp;Schedule!$N:$N,Schedule!$L:$L=K23,(Schedule!$J:$J="""")+(Schedule!$J:$J=L23),(Schedule!$K:$K=""b"")+(Schedule!$K:$K=""""),Schedule!$M:$M&lt;&gt;""""),""""))"),"")</f>
        <v/>
      </c>
      <c r="P23" s="152" t="str">
        <f>IFERROR(__xludf.DUMMYFUNCTION("if(K23="""","""",iferror(filter(Schedule!$AB:$AB&amp;""-""&amp;Schedule!$AC:$AC,Schedule!$L:$L=K23,(Schedule!$J:$J="""")+(Schedule!$J:$J=L23),(Schedule!$K:$K=""a"")+(Schedule!$K:$K=""""),Schedule!$AB:$AB&lt;&gt;""""),""""))"),"")</f>
        <v/>
      </c>
      <c r="Q23" s="152" t="str">
        <f>IFERROR(__xludf.DUMMYFUNCTION("if(K23="""","""",iferror(filter(Schedule!$S:$S&amp;""-""&amp;Schedule!$T:$T,Schedule!$L:$L=K23,(Schedule!$J:$J="""")+(Schedule!$J:$J=L23),(Schedule!$K:$K=""b"")+(Schedule!$K:$K=""""),Schedule!$S:$S&lt;&gt;""""),""""))"),"")</f>
        <v/>
      </c>
      <c r="R23" s="152" t="str">
        <f>IFERROR(__xludf.DUMMYFUNCTION("if(K23="""","""",iferror(filter(Schedule!$V:$V&amp;""-""&amp;Schedule!$W:$W,Schedule!$L:$L=K23,(Schedule!$J:$J="""")+(Schedule!$J:$J=L23),(Schedule!$K:$K=""b"")+(Schedule!$K:$K=""""),Schedule!$V:$V&lt;&gt;""""),""""))"),"")</f>
        <v/>
      </c>
      <c r="S23" s="60"/>
      <c r="T23" s="155"/>
      <c r="U23" s="155" t="str">
        <f>W18</f>
        <v/>
      </c>
      <c r="V23" s="151" t="str">
        <f>AC18</f>
        <v/>
      </c>
      <c r="W23" s="147">
        <v>4.0</v>
      </c>
      <c r="X23" s="152" t="str">
        <f>IFERROR(__xludf.DUMMYFUNCTION("if(U23="""","""",iferror(filter(Schedule!$V:$V&amp;""-""&amp;Schedule!$W:$W,Schedule!$L:$L=U23,(Schedule!$J:$J="""")+(Schedule!$J:$J=V23),(Schedule!$K:$K=""a"")+(Schedule!$K:$K=""""),Schedule!$V:$V&lt;&gt;""""),""""))"),"")</f>
        <v/>
      </c>
      <c r="Y23" s="152" t="str">
        <f>IFERROR(__xludf.DUMMYFUNCTION("if(U23="""","""",iferror(filter(Schedule!$M:$M&amp;""-""&amp;Schedule!$N:$N,Schedule!$L:$L=U23,(Schedule!$J:$J="""")+(Schedule!$J:$J=V23),(Schedule!$K:$K=""b"")+(Schedule!$K:$K=""""),Schedule!$M:$M&lt;&gt;""""),""""))"),"")</f>
        <v/>
      </c>
      <c r="Z23" s="152" t="str">
        <f>IFERROR(__xludf.DUMMYFUNCTION("if(U23="""","""",iferror(filter(Schedule!$AB:$AB&amp;""-""&amp;Schedule!$AC:$AC,Schedule!$L:$L=U23,(Schedule!$J:$J="""")+(Schedule!$J:$J=V23),(Schedule!$K:$K=""a"")+(Schedule!$K:$K=""""),Schedule!$AB:$AB&lt;&gt;""""),""""))"),"")</f>
        <v/>
      </c>
      <c r="AA23" s="152" t="str">
        <f>IFERROR(__xludf.DUMMYFUNCTION("if(U23="""","""",iferror(filter(Schedule!$S:$S&amp;""-""&amp;Schedule!$T:$T,Schedule!$L:$L=U23,(Schedule!$J:$J="""")+(Schedule!$J:$J=V23),(Schedule!$K:$K=""b"")+(Schedule!$K:$K=""""),Schedule!$S:$S&lt;&gt;""""),""""))"),"")</f>
        <v/>
      </c>
      <c r="AB23" s="152" t="str">
        <f>IFERROR(__xludf.DUMMYFUNCTION("if(U23="""","""",iferror(filter(Schedule!$V:$V&amp;""-""&amp;Schedule!$W:$W,Schedule!$L:$L=U23,(Schedule!$J:$J="""")+(Schedule!$J:$J=V23),(Schedule!$K:$K=""b"")+(Schedule!$K:$K=""""),Schedule!$V:$V&lt;&gt;""""),""""))"),"")</f>
        <v/>
      </c>
      <c r="AC23" s="60"/>
      <c r="AD23" s="155"/>
      <c r="AE23" s="155" t="str">
        <f>AG18</f>
        <v/>
      </c>
      <c r="AF23" s="151" t="str">
        <f>AM18</f>
        <v/>
      </c>
      <c r="AG23" s="147">
        <v>4.0</v>
      </c>
      <c r="AH23" s="152" t="str">
        <f>IFERROR(__xludf.DUMMYFUNCTION("if(AE23="""","""",iferror(filter(Schedule!$V:$V&amp;""-""&amp;Schedule!$W:$W,Schedule!$L:$L=AE23,(Schedule!$J:$J="""")+(Schedule!$J:$J=AF23),(Schedule!$K:$K=""a"")+(Schedule!$K:$K=""""),Schedule!$V:$V&lt;&gt;""""),""""))"),"")</f>
        <v/>
      </c>
      <c r="AI23" s="152" t="str">
        <f>IFERROR(__xludf.DUMMYFUNCTION("if(AE23="""","""",iferror(filter(Schedule!$M:$M&amp;""-""&amp;Schedule!$N:$N,Schedule!$L:$L=AE23,(Schedule!$J:$J="""")+(Schedule!$J:$J=AF23),(Schedule!$K:$K=""b"")+(Schedule!$K:$K=""""),Schedule!$M:$M&lt;&gt;""""),""""))"),"")</f>
        <v/>
      </c>
      <c r="AJ23" s="152" t="str">
        <f>IFERROR(__xludf.DUMMYFUNCTION("if(AE23="""","""",iferror(filter(Schedule!$AB:$AB&amp;""-""&amp;Schedule!$AC:$AC,Schedule!$L:$L=AE23,(Schedule!$J:$J="""")+(Schedule!$J:$J=AF23),(Schedule!$K:$K=""a"")+(Schedule!$K:$K=""""),Schedule!$AB:$AB&lt;&gt;""""),""""))"),"")</f>
        <v/>
      </c>
      <c r="AK23" s="152" t="str">
        <f>IFERROR(__xludf.DUMMYFUNCTION("if(AE23="""","""",iferror(filter(Schedule!$S:$S&amp;""-""&amp;Schedule!$T:$T,Schedule!$L:$L=AE23,(Schedule!$J:$J="""")+(Schedule!$J:$J=AF23),(Schedule!$K:$K=""b"")+(Schedule!$K:$K=""""),Schedule!$S:$S&lt;&gt;""""),""""))"),"")</f>
        <v/>
      </c>
      <c r="AL23" s="152" t="str">
        <f>IFERROR(__xludf.DUMMYFUNCTION("if(AE23="""","""",iferror(filter(Schedule!$V:$V&amp;""-""&amp;Schedule!$W:$W,Schedule!$L:$L=AE23,(Schedule!$J:$J="""")+(Schedule!$J:$J=AF23),(Schedule!$K:$K=""b"")+(Schedule!$K:$K=""""),Schedule!$V:$V&lt;&gt;""""),""""))"),"")</f>
        <v/>
      </c>
      <c r="AM23" s="60"/>
    </row>
    <row r="24">
      <c r="A24" s="151" t="str">
        <f>C18</f>
        <v>Andrea Gil</v>
      </c>
      <c r="B24" s="151" t="str">
        <f>I18</f>
        <v>Y</v>
      </c>
      <c r="C24" s="147">
        <v>5.0</v>
      </c>
      <c r="D24" s="152" t="str">
        <f>IFERROR(__xludf.DUMMYFUNCTION("if(A24="""","""",iferror(filter(Schedule!$Y:$Y&amp;""-""&amp;Schedule!$Z:$Z,Schedule!$L:$L=A24,(Schedule!$J:$J="""")+(Schedule!$J:$J=B24),(Schedule!$K:$K=""a"")+(Schedule!$K:$K=""""),Schedule!$Y:$Y&lt;&gt;""""),""""))"),"English 7-4")</f>
        <v>English 7-4</v>
      </c>
      <c r="E24" s="152" t="str">
        <f>IFERROR(__xludf.DUMMYFUNCTION("if(A24="""","""",iferror(filter(Schedule!$P:$P&amp;""-""&amp;Schedule!$Q:$Q,Schedule!$L:$L=A24,(Schedule!$J:$J="""")+(Schedule!$J:$J=B24),(Schedule!$K:$K=""b"")+(Schedule!$K:$K=""""),Schedule!$P:$P&lt;&gt;""""),""""))"),"English 7-2")</f>
        <v>English 7-2</v>
      </c>
      <c r="F24" s="152" t="str">
        <f>IFERROR(__xludf.DUMMYFUNCTION("if(A24="""","""",iferror(filter(Schedule!$V:$V&amp;""-""&amp;Schedule!$W:$W,Schedule!$L:$L=A24,(Schedule!$J:$J="""")+(Schedule!$J:$J=B24),(Schedule!$K:$K=""b"")+(Schedule!$K:$K=""""),Schedule!$V:$V&lt;&gt;""""),""""))"),"")</f>
        <v/>
      </c>
      <c r="G24" s="152" t="str">
        <f>IFERROR(__xludf.DUMMYFUNCTION("if(A24="""","""",iferror(filter(Schedule!$AB:$AB&amp;""-""&amp;Schedule!$AC:$AC,Schedule!$L:$L=A24,(Schedule!$J:$J="""")+(Schedule!$J:$J=B24),(Schedule!$K:$K=""b"")+(Schedule!$K:$K=""""),Schedule!$AB:$AB&lt;&gt;""""),""""))"),"")</f>
        <v/>
      </c>
      <c r="H24" s="152" t="str">
        <f>IFERROR(__xludf.DUMMYFUNCTION("if(A24="""","""",iferror(filter(Schedule!$M:$M&amp;""-""&amp;Schedule!$N:$N,Schedule!$L:$L=A24,(Schedule!$J:$J="""")+(Schedule!$J:$J=B24),(Schedule!$K:$K=""b"")+(Schedule!$K:$K=""""),Schedule!$M:$M&lt;&gt;""""),""""))"),"Sociales 8-1")</f>
        <v>Sociales 8-1</v>
      </c>
      <c r="I24" s="64"/>
      <c r="J24" s="154"/>
      <c r="K24" s="151" t="str">
        <f>M18</f>
        <v/>
      </c>
      <c r="L24" s="151" t="str">
        <f>S18</f>
        <v/>
      </c>
      <c r="M24" s="147">
        <v>5.0</v>
      </c>
      <c r="N24" s="152" t="str">
        <f>IFERROR(__xludf.DUMMYFUNCTION("if(K24="""","""",iferror(filter(Schedule!$Y:$Y&amp;""-""&amp;Schedule!$Z:$Z,Schedule!$L:$L=K24,(Schedule!$J:$J="""")+(Schedule!$J:$J=L24),(Schedule!$K:$K=""a"")+(Schedule!$K:$K=""""),Schedule!$Y:$Y&lt;&gt;""""),""""))"),"")</f>
        <v/>
      </c>
      <c r="O24" s="152" t="str">
        <f>IFERROR(__xludf.DUMMYFUNCTION("if(K24="""","""",iferror(filter(Schedule!$P:$P&amp;""-""&amp;Schedule!$Q:$Q,Schedule!$L:$L=K24,(Schedule!$J:$J="""")+(Schedule!$J:$J=L24),(Schedule!$K:$K=""b"")+(Schedule!$K:$K=""""),Schedule!$P:$P&lt;&gt;""""),""""))"),"")</f>
        <v/>
      </c>
      <c r="P24" s="152" t="str">
        <f>IFERROR(__xludf.DUMMYFUNCTION("if(K24="""","""",iferror(filter(Schedule!$V:$V&amp;""-""&amp;Schedule!$W:$W,Schedule!$L:$L=K24,(Schedule!$J:$J="""")+(Schedule!$J:$J=L24),(Schedule!$K:$K=""b"")+(Schedule!$K:$K=""""),Schedule!$V:$V&lt;&gt;""""),""""))"),"")</f>
        <v/>
      </c>
      <c r="Q24" s="152" t="str">
        <f>IFERROR(__xludf.DUMMYFUNCTION("if(K24="""","""",iferror(filter(Schedule!$AB:$AB&amp;""-""&amp;Schedule!$AC:$AC,Schedule!$L:$L=K24,(Schedule!$J:$J="""")+(Schedule!$J:$J=L24),(Schedule!$K:$K=""b"")+(Schedule!$K:$K=""""),Schedule!$AB:$AB&lt;&gt;""""),""""))"),"")</f>
        <v/>
      </c>
      <c r="R24" s="152" t="str">
        <f>IFERROR(__xludf.DUMMYFUNCTION("if(K24="""","""",iferror(filter(Schedule!$M:$M&amp;""-""&amp;Schedule!$N:$N,Schedule!$L:$L=K24,(Schedule!$J:$J="""")+(Schedule!$J:$J=L24),(Schedule!$K:$K=""b"")+(Schedule!$K:$K=""""),Schedule!$M:$M&lt;&gt;""""),""""))"),"")</f>
        <v/>
      </c>
      <c r="S24" s="64"/>
      <c r="T24" s="155"/>
      <c r="U24" s="155" t="str">
        <f>W18</f>
        <v/>
      </c>
      <c r="V24" s="151" t="str">
        <f>AC18</f>
        <v/>
      </c>
      <c r="W24" s="147">
        <v>5.0</v>
      </c>
      <c r="X24" s="152" t="str">
        <f>IFERROR(__xludf.DUMMYFUNCTION("if(U24="""","""",iferror(filter(Schedule!$Y:$Y&amp;""-""&amp;Schedule!$Z:$Z,Schedule!$L:$L=U24,(Schedule!$J:$J="""")+(Schedule!$J:$J=V24),(Schedule!$K:$K=""a"")+(Schedule!$K:$K=""""),Schedule!$Y:$Y&lt;&gt;""""),""""))"),"")</f>
        <v/>
      </c>
      <c r="Y24" s="152" t="str">
        <f>IFERROR(__xludf.DUMMYFUNCTION("if(U24="""","""",iferror(filter(Schedule!$P:$P&amp;""-""&amp;Schedule!$Q:$Q,Schedule!$L:$L=U24,(Schedule!$J:$J="""")+(Schedule!$J:$J=V24),(Schedule!$K:$K=""b"")+(Schedule!$K:$K=""""),Schedule!$P:$P&lt;&gt;""""),""""))"),"")</f>
        <v/>
      </c>
      <c r="Z24" s="152" t="str">
        <f>IFERROR(__xludf.DUMMYFUNCTION("if(U24="""","""",iferror(filter(Schedule!$V:$V&amp;""-""&amp;Schedule!$W:$W,Schedule!$L:$L=U24,(Schedule!$J:$J="""")+(Schedule!$J:$J=V24),(Schedule!$K:$K=""b"")+(Schedule!$K:$K=""""),Schedule!$V:$V&lt;&gt;""""),""""))"),"")</f>
        <v/>
      </c>
      <c r="AA24" s="152" t="str">
        <f>IFERROR(__xludf.DUMMYFUNCTION("if(U24="""","""",iferror(filter(Schedule!$AB:$AB&amp;""-""&amp;Schedule!$AC:$AC,Schedule!$L:$L=U24,(Schedule!$J:$J="""")+(Schedule!$J:$J=V24),(Schedule!$K:$K=""b"")+(Schedule!$K:$K=""""),Schedule!$AB:$AB&lt;&gt;""""),""""))"),"")</f>
        <v/>
      </c>
      <c r="AB24" s="152" t="str">
        <f>IFERROR(__xludf.DUMMYFUNCTION("if(U24="""","""",iferror(filter(Schedule!$M:$M&amp;""-""&amp;Schedule!$N:$N,Schedule!$L:$L=U24,(Schedule!$J:$J="""")+(Schedule!$J:$J=V24),(Schedule!$K:$K=""b"")+(Schedule!$K:$K=""""),Schedule!$M:$M&lt;&gt;""""),""""))"),"")</f>
        <v/>
      </c>
      <c r="AC24" s="64"/>
      <c r="AD24" s="155"/>
      <c r="AE24" s="155" t="str">
        <f>AG18</f>
        <v/>
      </c>
      <c r="AF24" s="151" t="str">
        <f>AM18</f>
        <v/>
      </c>
      <c r="AG24" s="147">
        <v>5.0</v>
      </c>
      <c r="AH24" s="152" t="str">
        <f>IFERROR(__xludf.DUMMYFUNCTION("if(AE24="""","""",iferror(filter(Schedule!$Y:$Y&amp;""-""&amp;Schedule!$Z:$Z,Schedule!$L:$L=AE24,(Schedule!$J:$J="""")+(Schedule!$J:$J=AF24),(Schedule!$K:$K=""a"")+(Schedule!$K:$K=""""),Schedule!$Y:$Y&lt;&gt;""""),""""))"),"")</f>
        <v/>
      </c>
      <c r="AI24" s="152" t="str">
        <f>IFERROR(__xludf.DUMMYFUNCTION("if(AE24="""","""",iferror(filter(Schedule!$P:$P&amp;""-""&amp;Schedule!$Q:$Q,Schedule!$L:$L=AE24,(Schedule!$J:$J="""")+(Schedule!$J:$J=AF24),(Schedule!$K:$K=""b"")+(Schedule!$K:$K=""""),Schedule!$P:$P&lt;&gt;""""),""""))"),"")</f>
        <v/>
      </c>
      <c r="AJ24" s="152" t="str">
        <f>IFERROR(__xludf.DUMMYFUNCTION("if(AE24="""","""",iferror(filter(Schedule!$V:$V&amp;""-""&amp;Schedule!$W:$W,Schedule!$L:$L=AE24,(Schedule!$J:$J="""")+(Schedule!$J:$J=AF24),(Schedule!$K:$K=""b"")+(Schedule!$K:$K=""""),Schedule!$V:$V&lt;&gt;""""),""""))"),"")</f>
        <v/>
      </c>
      <c r="AK24" s="152" t="str">
        <f>IFERROR(__xludf.DUMMYFUNCTION("if(AE24="""","""",iferror(filter(Schedule!$AB:$AB&amp;""-""&amp;Schedule!$AC:$AC,Schedule!$L:$L=AE24,(Schedule!$J:$J="""")+(Schedule!$J:$J=AF24),(Schedule!$K:$K=""b"")+(Schedule!$K:$K=""""),Schedule!$AB:$AB&lt;&gt;""""),""""))"),"")</f>
        <v/>
      </c>
      <c r="AL24" s="152" t="str">
        <f>IFERROR(__xludf.DUMMYFUNCTION("if(AE24="""","""",iferror(filter(Schedule!$M:$M&amp;""-""&amp;Schedule!$N:$N,Schedule!$L:$L=AE24,(Schedule!$J:$J="""")+(Schedule!$J:$J=AF24),(Schedule!$K:$K=""b"")+(Schedule!$K:$K=""""),Schedule!$M:$M&lt;&gt;""""),""""))"),"")</f>
        <v/>
      </c>
      <c r="AM24" s="64"/>
    </row>
    <row r="25">
      <c r="A25" s="11"/>
      <c r="B25" s="11"/>
      <c r="C25" s="156"/>
      <c r="D25" s="156"/>
      <c r="E25" s="156"/>
      <c r="F25" s="156"/>
      <c r="G25" s="156"/>
      <c r="H25" s="156"/>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row>
    <row r="26">
      <c r="A26" s="5"/>
      <c r="B26" s="5"/>
      <c r="C26" s="140" t="str">
        <f>Teachers!A4</f>
        <v>Ben Light</v>
      </c>
      <c r="D26" s="141"/>
      <c r="E26" s="141"/>
      <c r="F26" s="141"/>
      <c r="G26" s="141"/>
      <c r="H26" s="142"/>
      <c r="I26" s="143" t="str">
        <f>IFERROR(__xludf.DUMMYFUNCTION("if(C26="""","""", iferror(unique(filter(Schedule!$J:$J,Schedule!$L:$L=$C26,Schedule!$J:$J=""Q1"")),iferror(unique(filter(Schedule!$J:$J,Schedule!$L:$L=$C26,Schedule!$J:$J=""S1"")),""Y"")))"),"Y")</f>
        <v>Y</v>
      </c>
      <c r="J26" s="11"/>
      <c r="K26" s="11"/>
      <c r="L26" s="11"/>
      <c r="M26" s="140" t="str">
        <f>if(S26="","",C26)</f>
        <v/>
      </c>
      <c r="N26" s="141"/>
      <c r="O26" s="141"/>
      <c r="P26" s="141"/>
      <c r="Q26" s="141"/>
      <c r="R26" s="142"/>
      <c r="S26" s="143" t="str">
        <f>if($I26="Q1","Q2",if($I26="S1","S2",""))</f>
        <v/>
      </c>
      <c r="T26" s="144"/>
      <c r="U26" s="144"/>
      <c r="V26" s="145"/>
      <c r="W26" s="140" t="str">
        <f>if(AC26="","",M26)</f>
        <v/>
      </c>
      <c r="X26" s="141"/>
      <c r="Y26" s="141"/>
      <c r="Z26" s="141"/>
      <c r="AA26" s="141"/>
      <c r="AB26" s="142"/>
      <c r="AC26" s="143" t="str">
        <f>if($I26="Q1","Q3","")</f>
        <v/>
      </c>
      <c r="AD26" s="144"/>
      <c r="AE26" s="144"/>
      <c r="AF26" s="145"/>
      <c r="AG26" s="140" t="str">
        <f>if(AC26="","",W26)</f>
        <v/>
      </c>
      <c r="AH26" s="141"/>
      <c r="AI26" s="141"/>
      <c r="AJ26" s="141"/>
      <c r="AK26" s="141"/>
      <c r="AL26" s="142"/>
      <c r="AM26" s="143" t="str">
        <f>if($I26="Q1","Q4","")</f>
        <v/>
      </c>
    </row>
    <row r="27">
      <c r="A27" s="146"/>
      <c r="B27" s="146"/>
      <c r="C27" s="147" t="s">
        <v>94</v>
      </c>
      <c r="D27" s="148" t="s">
        <v>95</v>
      </c>
      <c r="E27" s="148" t="s">
        <v>96</v>
      </c>
      <c r="F27" s="148" t="s">
        <v>97</v>
      </c>
      <c r="G27" s="148" t="s">
        <v>98</v>
      </c>
      <c r="H27" s="148" t="s">
        <v>99</v>
      </c>
      <c r="I27" s="148" t="s">
        <v>651</v>
      </c>
      <c r="J27" s="146"/>
      <c r="K27" s="146"/>
      <c r="L27" s="146"/>
      <c r="M27" s="147" t="s">
        <v>94</v>
      </c>
      <c r="N27" s="148" t="s">
        <v>95</v>
      </c>
      <c r="O27" s="148" t="s">
        <v>96</v>
      </c>
      <c r="P27" s="148" t="s">
        <v>97</v>
      </c>
      <c r="Q27" s="148" t="s">
        <v>98</v>
      </c>
      <c r="R27" s="148" t="s">
        <v>99</v>
      </c>
      <c r="S27" s="148" t="s">
        <v>651</v>
      </c>
      <c r="T27" s="149"/>
      <c r="U27" s="149"/>
      <c r="V27" s="150"/>
      <c r="W27" s="147" t="s">
        <v>94</v>
      </c>
      <c r="X27" s="148" t="s">
        <v>95</v>
      </c>
      <c r="Y27" s="148" t="s">
        <v>96</v>
      </c>
      <c r="Z27" s="148" t="s">
        <v>97</v>
      </c>
      <c r="AA27" s="148" t="s">
        <v>98</v>
      </c>
      <c r="AB27" s="148" t="s">
        <v>99</v>
      </c>
      <c r="AC27" s="148" t="s">
        <v>651</v>
      </c>
      <c r="AD27" s="149"/>
      <c r="AE27" s="149"/>
      <c r="AF27" s="150"/>
      <c r="AG27" s="147" t="s">
        <v>94</v>
      </c>
      <c r="AH27" s="148" t="s">
        <v>95</v>
      </c>
      <c r="AI27" s="148" t="s">
        <v>96</v>
      </c>
      <c r="AJ27" s="148" t="s">
        <v>97</v>
      </c>
      <c r="AK27" s="148" t="s">
        <v>98</v>
      </c>
      <c r="AL27" s="148" t="s">
        <v>99</v>
      </c>
      <c r="AM27" s="148" t="s">
        <v>651</v>
      </c>
    </row>
    <row r="28">
      <c r="A28" s="151" t="str">
        <f>C26</f>
        <v>Ben Light</v>
      </c>
      <c r="B28" s="151" t="str">
        <f>I26</f>
        <v>Y</v>
      </c>
      <c r="C28" s="147">
        <v>1.0</v>
      </c>
      <c r="D28" s="152" t="str">
        <f>IFERROR(__xludf.DUMMYFUNCTION("if(A28="""","""",iferror(filter(Schedule!$M:$M&amp;""-""&amp;Schedule!$N:$N,Schedule!$L:$L=A28,(Schedule!$J:$J="""")+(Schedule!$J:$J=B28),(Schedule!$K:$K=""a"")+(Schedule!$K:$K=""""),Schedule!$M:$M&lt;&gt;""""),""""))"),"")</f>
        <v/>
      </c>
      <c r="E28" s="152" t="str">
        <f>IFERROR(__xludf.DUMMYFUNCTION("if(A28="""","""",iferror(filter(Schedule!$AB:$AB&amp;""-""&amp;Schedule!$AC:$AC,Schedule!$L:$L=A28,(Schedule!$J:$J="""")+(Schedule!$J:$J=B28),(Schedule!$K:$K=""b"")+(Schedule!$K:$K=""""),Schedule!$AB:$AB&lt;&gt;""""),""""))"),"")</f>
        <v/>
      </c>
      <c r="F28" s="152" t="str">
        <f>IFERROR(__xludf.DUMMYFUNCTION("if(A28="""","""",iferror(filter(Schedule!$S:$S&amp;""-""&amp;Schedule!$T:$T,Schedule!$L:$L=A28,(Schedule!$J:$J="""")+(Schedule!$J:$J=B28),(Schedule!$K:$K=""a"")+(Schedule!$K:$K=""""),Schedule!$S:$S&lt;&gt;""""),""""))"),"Science 6A-3")</f>
        <v>Science 6A-3</v>
      </c>
      <c r="G28" s="152" t="str">
        <f>IFERROR(__xludf.DUMMYFUNCTION("if(A28="""","""",iferror(filter(Schedule!$V:$V&amp;""-""&amp;Schedule!$W:$W,Schedule!$L:$L=A28,(Schedule!$J:$J="""")+(Schedule!$J:$J=B28),(Schedule!$K:$K=""a"")+(Schedule!$K:$K=""""),Schedule!$V:$V&lt;&gt;""""),""""))"),"Science 6-4")</f>
        <v>Science 6-4</v>
      </c>
      <c r="H28" s="152" t="str">
        <f>IFERROR(__xludf.DUMMYFUNCTION("if(A28="""","""",iferror(filter(Schedule!$Y:$Y&amp;""-""&amp;Schedule!$Z:$Z,Schedule!$L:$L=A28,(Schedule!$J:$J="""")+(Schedule!$J:$J=B28),(Schedule!$K:$K=""b"")+(Schedule!$K:$K=""""),Schedule!$Y:$Y&lt;&gt;""""),""""))"),"Science 6-5")</f>
        <v>Science 6-5</v>
      </c>
      <c r="I28" s="153">
        <f>if(C26="","", 24-countifs(D28:H32,""))</f>
        <v>16</v>
      </c>
      <c r="J28" s="154"/>
      <c r="K28" s="151" t="str">
        <f>M26</f>
        <v/>
      </c>
      <c r="L28" s="151" t="str">
        <f>S26</f>
        <v/>
      </c>
      <c r="M28" s="147">
        <v>1.0</v>
      </c>
      <c r="N28" s="152" t="str">
        <f>IFERROR(__xludf.DUMMYFUNCTION("if(K28="""","""",iferror(filter(Schedule!$M:$M&amp;""-""&amp;Schedule!$N:$N,Schedule!$L:$L=K28,(Schedule!$J:$J="""")+(Schedule!$J:$J=L28),(Schedule!$K:$K=""a"")+(Schedule!$K:$K=""""),Schedule!$M:$M&lt;&gt;""""),""""))"),"")</f>
        <v/>
      </c>
      <c r="O28" s="152" t="str">
        <f>IFERROR(__xludf.DUMMYFUNCTION("if(K28="""","""",iferror(filter(Schedule!$AB:$AB&amp;""-""&amp;Schedule!$AC:$AC,Schedule!$L:$L=K28,(Schedule!$J:$J="""")+(Schedule!$J:$J=L28),(Schedule!$K:$K=""b"")+(Schedule!$K:$K=""""),Schedule!$AB:$AB&lt;&gt;""""),""""))"),"")</f>
        <v/>
      </c>
      <c r="P28" s="152" t="str">
        <f>IFERROR(__xludf.DUMMYFUNCTION("if(K28="""","""",iferror(filter(Schedule!$S:$S&amp;""-""&amp;Schedule!$T:$T,Schedule!$L:$L=K28,(Schedule!$J:$J="""")+(Schedule!$J:$J=L28),(Schedule!$K:$K=""a"")+(Schedule!$K:$K=""""),Schedule!$S:$S&lt;&gt;""""),""""))"),"")</f>
        <v/>
      </c>
      <c r="Q28" s="152" t="str">
        <f>IFERROR(__xludf.DUMMYFUNCTION("if(K28="""","""",iferror(filter(Schedule!$V:$V&amp;""-""&amp;Schedule!$W:$W,Schedule!$L:$L=K28,(Schedule!$J:$J="""")+(Schedule!$J:$J=L28),(Schedule!$K:$K=""a"")+(Schedule!$K:$K=""""),Schedule!$V:$V&lt;&gt;""""),""""))"),"")</f>
        <v/>
      </c>
      <c r="R28" s="152" t="str">
        <f>IFERROR(__xludf.DUMMYFUNCTION("if(K28="""","""",iferror(filter(Schedule!$Y:$Y&amp;""-""&amp;Schedule!$Z:$Z,Schedule!$L:$L=K28,(Schedule!$J:$J="""")+(Schedule!$J:$J=L28),(Schedule!$K:$K=""b"")+(Schedule!$K:$K=""""),Schedule!$Y:$Y&lt;&gt;""""),""""))"),"")</f>
        <v/>
      </c>
      <c r="S28" s="153" t="str">
        <f>if(K28="","", 24-countifs(N28:R32,""))</f>
        <v/>
      </c>
      <c r="T28" s="155"/>
      <c r="U28" s="155" t="str">
        <f>W26</f>
        <v/>
      </c>
      <c r="V28" s="151" t="str">
        <f>AC26</f>
        <v/>
      </c>
      <c r="W28" s="147">
        <v>1.0</v>
      </c>
      <c r="X28" s="152" t="str">
        <f>IFERROR(__xludf.DUMMYFUNCTION("if(U28="""","""",iferror(filter(Schedule!$M:$M&amp;""-""&amp;Schedule!$N:$N,Schedule!$L:$L=U28,(Schedule!$J:$J="""")+(Schedule!$J:$J=V28),(Schedule!$K:$K=""a"")+(Schedule!$K:$K=""""),Schedule!$M:$M&lt;&gt;""""),""""))"),"")</f>
        <v/>
      </c>
      <c r="Y28" s="152" t="str">
        <f>IFERROR(__xludf.DUMMYFUNCTION("if(U28="""","""",iferror(filter(Schedule!$AB:$AB&amp;""-""&amp;Schedule!$AC:$AC,Schedule!$L:$L=U28,(Schedule!$J:$J="""")+(Schedule!$J:$J=V28),(Schedule!$K:$K=""b"")+(Schedule!$K:$K=""""),Schedule!$AB:$AB&lt;&gt;""""),""""))"),"")</f>
        <v/>
      </c>
      <c r="Z28" s="152" t="str">
        <f>IFERROR(__xludf.DUMMYFUNCTION("if(U28="""","""",iferror(filter(Schedule!$S:$S&amp;""-""&amp;Schedule!$T:$T,Schedule!$L:$L=U28,(Schedule!$J:$J="""")+(Schedule!$J:$J=V28),(Schedule!$K:$K=""a"")+(Schedule!$K:$K=""""),Schedule!$S:$S&lt;&gt;""""),""""))"),"")</f>
        <v/>
      </c>
      <c r="AA28" s="152" t="str">
        <f>IFERROR(__xludf.DUMMYFUNCTION("if(U28="""","""",iferror(filter(Schedule!$V:$V&amp;""-""&amp;Schedule!$W:$W,Schedule!$L:$L=U28,(Schedule!$J:$J="""")+(Schedule!$J:$J=V28),(Schedule!$K:$K=""a"")+(Schedule!$K:$K=""""),Schedule!$V:$V&lt;&gt;""""),""""))"),"")</f>
        <v/>
      </c>
      <c r="AB28" s="152" t="str">
        <f>IFERROR(__xludf.DUMMYFUNCTION("if(U28="""","""",iferror(filter(Schedule!$Y:$Y&amp;""-""&amp;Schedule!$Z:$Z,Schedule!$L:$L=U28,(Schedule!$J:$J="""")+(Schedule!$J:$J=V28),(Schedule!$K:$K=""b"")+(Schedule!$K:$K=""""),Schedule!$Y:$Y&lt;&gt;""""),""""))"),"")</f>
        <v/>
      </c>
      <c r="AC28" s="153" t="str">
        <f>if(U28="","", 24-countifs(X28:AB32,""))</f>
        <v/>
      </c>
      <c r="AD28" s="155"/>
      <c r="AE28" s="155" t="str">
        <f>AG26</f>
        <v/>
      </c>
      <c r="AF28" s="151" t="str">
        <f>AM26</f>
        <v/>
      </c>
      <c r="AG28" s="147">
        <v>1.0</v>
      </c>
      <c r="AH28" s="152" t="str">
        <f>IFERROR(__xludf.DUMMYFUNCTION("if(AE28="""","""",iferror(filter(Schedule!$M:$M&amp;""-""&amp;Schedule!$N:$N,Schedule!$L:$L=AE28,(Schedule!$J:$J="""")+(Schedule!$J:$J=AF28),(Schedule!$K:$K=""a"")+(Schedule!$K:$K=""""),Schedule!$M:$M&lt;&gt;""""),""""))"),"")</f>
        <v/>
      </c>
      <c r="AI28" s="152" t="str">
        <f>IFERROR(__xludf.DUMMYFUNCTION("if(AE28="""","""",iferror(filter(Schedule!$AB:$AB&amp;""-""&amp;Schedule!$AC:$AC,Schedule!$L:$L=AE28,(Schedule!$J:$J="""")+(Schedule!$J:$J=AF28),(Schedule!$K:$K=""b"")+(Schedule!$K:$K=""""),Schedule!$AB:$AB&lt;&gt;""""),""""))"),"")</f>
        <v/>
      </c>
      <c r="AJ28" s="152" t="str">
        <f>IFERROR(__xludf.DUMMYFUNCTION("if(AE28="""","""",iferror(filter(Schedule!$S:$S&amp;""-""&amp;Schedule!$T:$T,Schedule!$L:$L=AE28,(Schedule!$J:$J="""")+(Schedule!$J:$J=AF28),(Schedule!$K:$K=""a"")+(Schedule!$K:$K=""""),Schedule!$S:$S&lt;&gt;""""),""""))"),"")</f>
        <v/>
      </c>
      <c r="AK28" s="152" t="str">
        <f>IFERROR(__xludf.DUMMYFUNCTION("if(AE28="""","""",iferror(filter(Schedule!$V:$V&amp;""-""&amp;Schedule!$W:$W,Schedule!$L:$L=AE28,(Schedule!$J:$J="""")+(Schedule!$J:$J=AF28),(Schedule!$K:$K=""a"")+(Schedule!$K:$K=""""),Schedule!$V:$V&lt;&gt;""""),""""))"),"")</f>
        <v/>
      </c>
      <c r="AL28" s="152" t="str">
        <f>IFERROR(__xludf.DUMMYFUNCTION("if(AE28="""","""",iferror(filter(Schedule!$Y:$Y&amp;""-""&amp;Schedule!$Z:$Z,Schedule!$L:$L=AE28,(Schedule!$J:$J="""")+(Schedule!$J:$J=AF28),(Schedule!$K:$K=""b"")+(Schedule!$K:$K=""""),Schedule!$Y:$Y&lt;&gt;""""),""""))"),"")</f>
        <v/>
      </c>
      <c r="AM28" s="153" t="str">
        <f>if(AE28="","", 24-countifs(AH28:AL32,""))</f>
        <v/>
      </c>
    </row>
    <row r="29">
      <c r="A29" s="151" t="str">
        <f>C26</f>
        <v>Ben Light</v>
      </c>
      <c r="B29" s="151" t="str">
        <f>I26</f>
        <v>Y</v>
      </c>
      <c r="C29" s="147">
        <v>2.0</v>
      </c>
      <c r="D29" s="152" t="str">
        <f>IFERROR(__xludf.DUMMYFUNCTION("if(A29="""","""",iferror(filter(Schedule!$P:$P&amp;""-""&amp;Schedule!$Q:$Q,Schedule!$L:$L=A29,(Schedule!$J:$J="""")+(Schedule!$J:$J=B29),(Schedule!$K:$K=""a"")+(Schedule!$K:$K=""""),Schedule!$P:$P&lt;&gt;""""),""""))"),"Science 6-1")</f>
        <v>Science 6-1</v>
      </c>
      <c r="E29" s="152" t="str">
        <f>IFERROR(__xludf.DUMMYFUNCTION("if(A29="""","""",iferror(filter(Schedule!$Y:$Y&amp;""-""&amp;Schedule!$Z:$Z,Schedule!$L:$L=A29,(Schedule!$J:$J="""")+(Schedule!$J:$J=B29),(Schedule!$K:$K=""b"")+(Schedule!$K:$K=""""),Schedule!$Y:$Y&lt;&gt;""""),""""))"),"Science 6-5")</f>
        <v>Science 6-5</v>
      </c>
      <c r="F29" s="152" t="str">
        <f>IFERROR(__xludf.DUMMYFUNCTION("if(A29="""","""",iferror(filter(Schedule!$P:$P&amp;""-""&amp;Schedule!$Q:$Q,Schedule!$L:$L=A29,(Schedule!$J:$J="""")+(Schedule!$J:$J=B29),(Schedule!$K:$K=""a"")+(Schedule!$K:$K=""""),Schedule!$P:$P&lt;&gt;""""),""""))"),"Science 6-1")</f>
        <v>Science 6-1</v>
      </c>
      <c r="G29" s="152" t="str">
        <f>IFERROR(__xludf.DUMMYFUNCTION("if(A29="""","""",iferror(filter(Schedule!$M:$M&amp;""-""&amp;Schedule!$N:$N,Schedule!$L:$L=A29,(Schedule!$J:$J="""")+(Schedule!$J:$J=B29),(Schedule!$K:$K=""a"")+(Schedule!$K:$K=""""),Schedule!$M:$M&lt;&gt;""""),""""))"),"")</f>
        <v/>
      </c>
      <c r="H29" s="152" t="str">
        <f>IFERROR(__xludf.DUMMYFUNCTION("if(A29="""","""",iferror(filter(Schedule!$AB:$AB&amp;""-""&amp;Schedule!$AC:$AC,Schedule!$L:$L=A29,(Schedule!$J:$J="""")+(Schedule!$J:$J=B29),(Schedule!$K:$K=""a"")+(Schedule!$K:$K=""""),Schedule!$AB:$AB&lt;&gt;""""),""""))"),"")</f>
        <v/>
      </c>
      <c r="I29" s="60"/>
      <c r="J29" s="154"/>
      <c r="K29" s="151" t="str">
        <f>M26</f>
        <v/>
      </c>
      <c r="L29" s="151" t="str">
        <f>S26</f>
        <v/>
      </c>
      <c r="M29" s="147">
        <v>2.0</v>
      </c>
      <c r="N29" s="152" t="str">
        <f>IFERROR(__xludf.DUMMYFUNCTION("if(K29="""","""",iferror(filter(Schedule!$P:$P&amp;""-""&amp;Schedule!$Q:$Q,Schedule!$L:$L=K29,(Schedule!$J:$J="""")+(Schedule!$J:$J=L29),(Schedule!$K:$K=""a"")+(Schedule!$K:$K=""""),Schedule!$P:$P&lt;&gt;""""),""""))"),"")</f>
        <v/>
      </c>
      <c r="O29" s="152" t="str">
        <f>IFERROR(__xludf.DUMMYFUNCTION("if(K29="""","""",iferror(filter(Schedule!$Y:$Y&amp;""-""&amp;Schedule!$Z:$Z,Schedule!$L:$L=K29,(Schedule!$J:$J="""")+(Schedule!$J:$J=L29),(Schedule!$K:$K=""b"")+(Schedule!$K:$K=""""),Schedule!$Y:$Y&lt;&gt;""""),""""))"),"")</f>
        <v/>
      </c>
      <c r="P29" s="152" t="str">
        <f>IFERROR(__xludf.DUMMYFUNCTION("if(K29="""","""",iferror(filter(Schedule!$P:$P&amp;""-""&amp;Schedule!$Q:$Q,Schedule!$L:$L=K29,(Schedule!$J:$J="""")+(Schedule!$J:$J=L29),(Schedule!$K:$K=""a"")+(Schedule!$K:$K=""""),Schedule!$P:$P&lt;&gt;""""),""""))"),"")</f>
        <v/>
      </c>
      <c r="Q29" s="152" t="str">
        <f>IFERROR(__xludf.DUMMYFUNCTION("if(K29="""","""",iferror(filter(Schedule!$M:$M&amp;""-""&amp;Schedule!$N:$N,Schedule!$L:$L=K29,(Schedule!$J:$J="""")+(Schedule!$J:$J=L29),(Schedule!$K:$K=""a"")+(Schedule!$K:$K=""""),Schedule!$M:$M&lt;&gt;""""),""""))"),"")</f>
        <v/>
      </c>
      <c r="R29" s="152" t="str">
        <f>IFERROR(__xludf.DUMMYFUNCTION("if(K29="""","""",iferror(filter(Schedule!$AB:$AB&amp;""-""&amp;Schedule!$AC:$AC,Schedule!$L:$L=K29,(Schedule!$J:$J="""")+(Schedule!$J:$J=L29),(Schedule!$K:$K=""a"")+(Schedule!$K:$K=""""),Schedule!$AB:$AB&lt;&gt;""""),""""))"),"")</f>
        <v/>
      </c>
      <c r="S29" s="60"/>
      <c r="T29" s="155"/>
      <c r="U29" s="155" t="str">
        <f>W26</f>
        <v/>
      </c>
      <c r="V29" s="151" t="str">
        <f>AC26</f>
        <v/>
      </c>
      <c r="W29" s="147">
        <v>2.0</v>
      </c>
      <c r="X29" s="152" t="str">
        <f>IFERROR(__xludf.DUMMYFUNCTION("if(U29="""","""",iferror(filter(Schedule!$P:$P&amp;""-""&amp;Schedule!$Q:$Q,Schedule!$L:$L=U29,(Schedule!$J:$J="""")+(Schedule!$J:$J=V29),(Schedule!$K:$K=""a"")+(Schedule!$K:$K=""""),Schedule!$P:$P&lt;&gt;""""),""""))"),"")</f>
        <v/>
      </c>
      <c r="Y29" s="152" t="str">
        <f>IFERROR(__xludf.DUMMYFUNCTION("if(U29="""","""",iferror(filter(Schedule!$Y:$Y&amp;""-""&amp;Schedule!$Z:$Z,Schedule!$L:$L=U29,(Schedule!$J:$J="""")+(Schedule!$J:$J=V29),(Schedule!$K:$K=""b"")+(Schedule!$K:$K=""""),Schedule!$Y:$Y&lt;&gt;""""),""""))"),"")</f>
        <v/>
      </c>
      <c r="Z29" s="152" t="str">
        <f>IFERROR(__xludf.DUMMYFUNCTION("if(U29="""","""",iferror(filter(Schedule!$P:$P&amp;""-""&amp;Schedule!$Q:$Q,Schedule!$L:$L=U29,(Schedule!$J:$J="""")+(Schedule!$J:$J=V29),(Schedule!$K:$K=""a"")+(Schedule!$K:$K=""""),Schedule!$P:$P&lt;&gt;""""),""""))"),"")</f>
        <v/>
      </c>
      <c r="AA29" s="152" t="str">
        <f>IFERROR(__xludf.DUMMYFUNCTION("if(U29="""","""",iferror(filter(Schedule!$M:$M&amp;""-""&amp;Schedule!$N:$N,Schedule!$L:$L=U29,(Schedule!$J:$J="""")+(Schedule!$J:$J=V29),(Schedule!$K:$K=""a"")+(Schedule!$K:$K=""""),Schedule!$M:$M&lt;&gt;""""),""""))"),"")</f>
        <v/>
      </c>
      <c r="AB29" s="152" t="str">
        <f>IFERROR(__xludf.DUMMYFUNCTION("if(U29="""","""",iferror(filter(Schedule!$AB:$AB&amp;""-""&amp;Schedule!$AC:$AC,Schedule!$L:$L=U29,(Schedule!$J:$J="""")+(Schedule!$J:$J=V29),(Schedule!$K:$K=""a"")+(Schedule!$K:$K=""""),Schedule!$AB:$AB&lt;&gt;""""),""""))"),"")</f>
        <v/>
      </c>
      <c r="AC29" s="60"/>
      <c r="AD29" s="155"/>
      <c r="AE29" s="155" t="str">
        <f>AG26</f>
        <v/>
      </c>
      <c r="AF29" s="151" t="str">
        <f>AM26</f>
        <v/>
      </c>
      <c r="AG29" s="147">
        <v>2.0</v>
      </c>
      <c r="AH29" s="152" t="str">
        <f>IFERROR(__xludf.DUMMYFUNCTION("if(AE29="""","""",iferror(filter(Schedule!$P:$P&amp;""-""&amp;Schedule!$Q:$Q,Schedule!$L:$L=AE29,(Schedule!$J:$J="""")+(Schedule!$J:$J=AF29),(Schedule!$K:$K=""a"")+(Schedule!$K:$K=""""),Schedule!$P:$P&lt;&gt;""""),""""))"),"")</f>
        <v/>
      </c>
      <c r="AI29" s="152" t="str">
        <f>IFERROR(__xludf.DUMMYFUNCTION("if(AE29="""","""",iferror(filter(Schedule!$Y:$Y&amp;""-""&amp;Schedule!$Z:$Z,Schedule!$L:$L=AE29,(Schedule!$J:$J="""")+(Schedule!$J:$J=AF29),(Schedule!$K:$K=""b"")+(Schedule!$K:$K=""""),Schedule!$Y:$Y&lt;&gt;""""),""""))"),"")</f>
        <v/>
      </c>
      <c r="AJ29" s="152" t="str">
        <f>IFERROR(__xludf.DUMMYFUNCTION("if(AE29="""","""",iferror(filter(Schedule!$P:$P&amp;""-""&amp;Schedule!$Q:$Q,Schedule!$L:$L=AE29,(Schedule!$J:$J="""")+(Schedule!$J:$J=AF29),(Schedule!$K:$K=""a"")+(Schedule!$K:$K=""""),Schedule!$P:$P&lt;&gt;""""),""""))"),"")</f>
        <v/>
      </c>
      <c r="AK29" s="152" t="str">
        <f>IFERROR(__xludf.DUMMYFUNCTION("if(AE29="""","""",iferror(filter(Schedule!$M:$M&amp;""-""&amp;Schedule!$N:$N,Schedule!$L:$L=AE29,(Schedule!$J:$J="""")+(Schedule!$J:$J=AF29),(Schedule!$K:$K=""a"")+(Schedule!$K:$K=""""),Schedule!$M:$M&lt;&gt;""""),""""))"),"")</f>
        <v/>
      </c>
      <c r="AL29" s="152" t="str">
        <f>IFERROR(__xludf.DUMMYFUNCTION("if(AE29="""","""",iferror(filter(Schedule!$AB:$AB&amp;""-""&amp;Schedule!$AC:$AC,Schedule!$L:$L=AE29,(Schedule!$J:$J="""")+(Schedule!$J:$J=AF29),(Schedule!$K:$K=""a"")+(Schedule!$K:$K=""""),Schedule!$AB:$AB&lt;&gt;""""),""""))"),"")</f>
        <v/>
      </c>
      <c r="AM29" s="60"/>
    </row>
    <row r="30">
      <c r="A30" s="151" t="str">
        <f>C26</f>
        <v>Ben Light</v>
      </c>
      <c r="B30" s="151" t="str">
        <f>I26</f>
        <v>Y</v>
      </c>
      <c r="C30" s="147">
        <v>3.0</v>
      </c>
      <c r="D30" s="152" t="str">
        <f>IFERROR(__xludf.DUMMYFUNCTION("if(A30="""","""",iferror(filter(Schedule!$S:$S&amp;""-""&amp;Schedule!$T:$T,Schedule!$L:$L=A30,(Schedule!$J:$J="""")+(Schedule!$J:$J=B30),(Schedule!$K:$K=""a"")+(Schedule!$K:$K=""""),Schedule!$S:$S&lt;&gt;""""),""""))"),"Science 6A-3")</f>
        <v>Science 6A-3</v>
      </c>
      <c r="E30" s="152" t="str">
        <f>IFERROR(__xludf.DUMMYFUNCTION("if(A30="""","""",iferror(filter(Schedule!$S:$S&amp;""-""&amp;Schedule!$T:$T,Schedule!$L:$L=A30,(Schedule!$J:$J="""")+(Schedule!$J:$J=B30),(Schedule!$K:$K=""b"")+(Schedule!$K:$K=""""),Schedule!$S:$S&lt;&gt;""""),""""))"),"Science 6A-3")</f>
        <v>Science 6A-3</v>
      </c>
      <c r="F30" s="152" t="str">
        <f>IFERROR(__xludf.DUMMYFUNCTION("if(A30="""","""",iferror(filter(Schedule!$Y:$Y&amp;""-""&amp;Schedule!$Z:$Z,Schedule!$L:$L=A30,(Schedule!$J:$J="""")+(Schedule!$J:$J=B30),(Schedule!$K:$K=""a"")+(Schedule!$K:$K=""""),Schedule!$Y:$Y&lt;&gt;""""),""""))"),"Science 6-5")</f>
        <v>Science 6-5</v>
      </c>
      <c r="G30" s="152" t="str">
        <f>IFERROR(__xludf.DUMMYFUNCTION("if(A30="""","""",iferror(filter(Schedule!$P:$P&amp;""-""&amp;Schedule!$Q:$Q,Schedule!$L:$L=A30,(Schedule!$J:$J="""")+(Schedule!$J:$J=B30),(Schedule!$K:$K=""b"")+(Schedule!$K:$K=""""),Schedule!$P:$P&lt;&gt;""""),""""))"),"Science 6-1")</f>
        <v>Science 6-1</v>
      </c>
      <c r="H30" s="152" t="str">
        <f>if(C26="","","X-Block")</f>
        <v>X-Block</v>
      </c>
      <c r="I30" s="60"/>
      <c r="J30" s="154"/>
      <c r="K30" s="151" t="str">
        <f>M26</f>
        <v/>
      </c>
      <c r="L30" s="151" t="str">
        <f>S26</f>
        <v/>
      </c>
      <c r="M30" s="147">
        <v>3.0</v>
      </c>
      <c r="N30" s="152" t="str">
        <f>IFERROR(__xludf.DUMMYFUNCTION("if(K30="""","""",iferror(filter(Schedule!$S:$S&amp;""-""&amp;Schedule!$T:$T,Schedule!$L:$L=K30,(Schedule!$J:$J="""")+(Schedule!$J:$J=L30),(Schedule!$K:$K=""a"")+(Schedule!$K:$K=""""),Schedule!$S:$S&lt;&gt;""""),""""))"),"")</f>
        <v/>
      </c>
      <c r="O30" s="152" t="str">
        <f>IFERROR(__xludf.DUMMYFUNCTION("if(K30="""","""",iferror(filter(Schedule!$S:$S&amp;""-""&amp;Schedule!$T:$T,Schedule!$L:$L=K30,(Schedule!$J:$J="""")+(Schedule!$J:$J=L30),(Schedule!$K:$K=""b"")+(Schedule!$K:$K=""""),Schedule!$S:$S&lt;&gt;""""),""""))"),"")</f>
        <v/>
      </c>
      <c r="P30" s="152" t="str">
        <f>IFERROR(__xludf.DUMMYFUNCTION("if(K30="""","""",iferror(filter(Schedule!$Y:$Y&amp;""-""&amp;Schedule!$Z:$Z,Schedule!$L:$L=K30,(Schedule!$J:$J="""")+(Schedule!$J:$J=L30),(Schedule!$K:$K=""a"")+(Schedule!$K:$K=""""),Schedule!$Y:$Y&lt;&gt;""""),""""))"),"")</f>
        <v/>
      </c>
      <c r="Q30" s="152" t="str">
        <f>IFERROR(__xludf.DUMMYFUNCTION("if(K30="""","""",iferror(filter(Schedule!$P:$P&amp;""-""&amp;Schedule!$Q:$Q,Schedule!$L:$L=K30,(Schedule!$J:$J="""")+(Schedule!$J:$J=L30),(Schedule!$K:$K=""b"")+(Schedule!$K:$K=""""),Schedule!$P:$P&lt;&gt;""""),""""))"),"")</f>
        <v/>
      </c>
      <c r="R30" s="152" t="str">
        <f>if(M26="","","X-Block")</f>
        <v/>
      </c>
      <c r="S30" s="60"/>
      <c r="T30" s="155"/>
      <c r="U30" s="155" t="str">
        <f>W26</f>
        <v/>
      </c>
      <c r="V30" s="151" t="str">
        <f>AC26</f>
        <v/>
      </c>
      <c r="W30" s="147">
        <v>3.0</v>
      </c>
      <c r="X30" s="152" t="str">
        <f>IFERROR(__xludf.DUMMYFUNCTION("if(U30="""","""",iferror(filter(Schedule!$S:$S&amp;""-""&amp;Schedule!$T:$T,Schedule!$L:$L=U30,(Schedule!$J:$J="""")+(Schedule!$J:$J=V30),(Schedule!$K:$K=""a"")+(Schedule!$K:$K=""""),Schedule!$S:$S&lt;&gt;""""),""""))"),"")</f>
        <v/>
      </c>
      <c r="Y30" s="152" t="str">
        <f>IFERROR(__xludf.DUMMYFUNCTION("if(U30="""","""",iferror(filter(Schedule!$S:$S&amp;""-""&amp;Schedule!$T:$T,Schedule!$L:$L=U30,(Schedule!$J:$J="""")+(Schedule!$J:$J=V30),(Schedule!$K:$K=""b"")+(Schedule!$K:$K=""""),Schedule!$S:$S&lt;&gt;""""),""""))"),"")</f>
        <v/>
      </c>
      <c r="Z30" s="152" t="str">
        <f>IFERROR(__xludf.DUMMYFUNCTION("if(U30="""","""",iferror(filter(Schedule!$Y:$Y&amp;""-""&amp;Schedule!$Z:$Z,Schedule!$L:$L=U30,(Schedule!$J:$J="""")+(Schedule!$J:$J=V30),(Schedule!$K:$K=""a"")+(Schedule!$K:$K=""""),Schedule!$Y:$Y&lt;&gt;""""),""""))"),"")</f>
        <v/>
      </c>
      <c r="AA30" s="152" t="str">
        <f>IFERROR(__xludf.DUMMYFUNCTION("if(U30="""","""",iferror(filter(Schedule!$P:$P&amp;""-""&amp;Schedule!$Q:$Q,Schedule!$L:$L=U30,(Schedule!$J:$J="""")+(Schedule!$J:$J=V30),(Schedule!$K:$K=""b"")+(Schedule!$K:$K=""""),Schedule!$P:$P&lt;&gt;""""),""""))"),"")</f>
        <v/>
      </c>
      <c r="AB30" s="152" t="str">
        <f>if(W26="","","X-Block")</f>
        <v/>
      </c>
      <c r="AC30" s="60"/>
      <c r="AD30" s="155"/>
      <c r="AE30" s="155" t="str">
        <f>AG26</f>
        <v/>
      </c>
      <c r="AF30" s="151" t="str">
        <f>AM26</f>
        <v/>
      </c>
      <c r="AG30" s="147">
        <v>3.0</v>
      </c>
      <c r="AH30" s="152" t="str">
        <f>IFERROR(__xludf.DUMMYFUNCTION("if(AE30="""","""",iferror(filter(Schedule!$S:$S&amp;""-""&amp;Schedule!$T:$T,Schedule!$L:$L=AE30,(Schedule!$J:$J="""")+(Schedule!$J:$J=AF30),(Schedule!$K:$K=""a"")+(Schedule!$K:$K=""""),Schedule!$S:$S&lt;&gt;""""),""""))"),"")</f>
        <v/>
      </c>
      <c r="AI30" s="152" t="str">
        <f>IFERROR(__xludf.DUMMYFUNCTION("if(AE30="""","""",iferror(filter(Schedule!$S:$S&amp;""-""&amp;Schedule!$T:$T,Schedule!$L:$L=AE30,(Schedule!$J:$J="""")+(Schedule!$J:$J=AF30),(Schedule!$K:$K=""b"")+(Schedule!$K:$K=""""),Schedule!$S:$S&lt;&gt;""""),""""))"),"")</f>
        <v/>
      </c>
      <c r="AJ30" s="152" t="str">
        <f>IFERROR(__xludf.DUMMYFUNCTION("if(AE30="""","""",iferror(filter(Schedule!$Y:$Y&amp;""-""&amp;Schedule!$Z:$Z,Schedule!$L:$L=AE30,(Schedule!$J:$J="""")+(Schedule!$J:$J=AF30),(Schedule!$K:$K=""a"")+(Schedule!$K:$K=""""),Schedule!$Y:$Y&lt;&gt;""""),""""))"),"")</f>
        <v/>
      </c>
      <c r="AK30" s="152" t="str">
        <f>IFERROR(__xludf.DUMMYFUNCTION("if(AE30="""","""",iferror(filter(Schedule!$P:$P&amp;""-""&amp;Schedule!$Q:$Q,Schedule!$L:$L=AE30,(Schedule!$J:$J="""")+(Schedule!$J:$J=AF30),(Schedule!$K:$K=""b"")+(Schedule!$K:$K=""""),Schedule!$P:$P&lt;&gt;""""),""""))"),"")</f>
        <v/>
      </c>
      <c r="AL30" s="152" t="str">
        <f>if(AG26="","","X-Block")</f>
        <v/>
      </c>
      <c r="AM30" s="60"/>
    </row>
    <row r="31">
      <c r="A31" s="151" t="str">
        <f>C26</f>
        <v>Ben Light</v>
      </c>
      <c r="B31" s="151" t="str">
        <f>I26</f>
        <v>Y</v>
      </c>
      <c r="C31" s="147">
        <v>4.0</v>
      </c>
      <c r="D31" s="152" t="str">
        <f>IFERROR(__xludf.DUMMYFUNCTION("if(A31="""","""",iferror(filter(Schedule!$V:$V&amp;""-""&amp;Schedule!$W:$W,Schedule!$L:$L=A31,(Schedule!$J:$J="""")+(Schedule!$J:$J=B31),(Schedule!$K:$K=""a"")+(Schedule!$K:$K=""""),Schedule!$V:$V&lt;&gt;""""),""""))"),"Science 6-4")</f>
        <v>Science 6-4</v>
      </c>
      <c r="E31" s="152" t="str">
        <f>IFERROR(__xludf.DUMMYFUNCTION("if(A31="""","""",iferror(filter(Schedule!$M:$M&amp;""-""&amp;Schedule!$N:$N,Schedule!$L:$L=A31,(Schedule!$J:$J="""")+(Schedule!$J:$J=B31),(Schedule!$K:$K=""b"")+(Schedule!$K:$K=""""),Schedule!$M:$M&lt;&gt;""""),""""))"),"")</f>
        <v/>
      </c>
      <c r="F31" s="152" t="str">
        <f>IFERROR(__xludf.DUMMYFUNCTION("if(A31="""","""",iferror(filter(Schedule!$AB:$AB&amp;""-""&amp;Schedule!$AC:$AC,Schedule!$L:$L=A31,(Schedule!$J:$J="""")+(Schedule!$J:$J=B31),(Schedule!$K:$K=""a"")+(Schedule!$K:$K=""""),Schedule!$AB:$AB&lt;&gt;""""),""""))"),"")</f>
        <v/>
      </c>
      <c r="G31" s="152" t="str">
        <f>IFERROR(__xludf.DUMMYFUNCTION("if(A31="""","""",iferror(filter(Schedule!$S:$S&amp;""-""&amp;Schedule!$T:$T,Schedule!$L:$L=A31,(Schedule!$J:$J="""")+(Schedule!$J:$J=B31),(Schedule!$K:$K=""b"")+(Schedule!$K:$K=""""),Schedule!$S:$S&lt;&gt;""""),""""))"),"Science 6A-3")</f>
        <v>Science 6A-3</v>
      </c>
      <c r="H31" s="152" t="str">
        <f>IFERROR(__xludf.DUMMYFUNCTION("if(A31="""","""",iferror(filter(Schedule!$V:$V&amp;""-""&amp;Schedule!$W:$W,Schedule!$L:$L=A31,(Schedule!$J:$J="""")+(Schedule!$J:$J=B31),(Schedule!$K:$K=""b"")+(Schedule!$K:$K=""""),Schedule!$V:$V&lt;&gt;""""),""""))"),"Science 6-4")</f>
        <v>Science 6-4</v>
      </c>
      <c r="I31" s="60"/>
      <c r="J31" s="154"/>
      <c r="K31" s="151" t="str">
        <f>M26</f>
        <v/>
      </c>
      <c r="L31" s="151" t="str">
        <f>S26</f>
        <v/>
      </c>
      <c r="M31" s="147">
        <v>4.0</v>
      </c>
      <c r="N31" s="152" t="str">
        <f>IFERROR(__xludf.DUMMYFUNCTION("if(K31="""","""",iferror(filter(Schedule!$V:$V&amp;""-""&amp;Schedule!$W:$W,Schedule!$L:$L=K31,(Schedule!$J:$J="""")+(Schedule!$J:$J=L31),(Schedule!$K:$K=""a"")+(Schedule!$K:$K=""""),Schedule!$V:$V&lt;&gt;""""),""""))"),"")</f>
        <v/>
      </c>
      <c r="O31" s="152" t="str">
        <f>IFERROR(__xludf.DUMMYFUNCTION("if(K31="""","""",iferror(filter(Schedule!$M:$M&amp;""-""&amp;Schedule!$N:$N,Schedule!$L:$L=K31,(Schedule!$J:$J="""")+(Schedule!$J:$J=L31),(Schedule!$K:$K=""b"")+(Schedule!$K:$K=""""),Schedule!$M:$M&lt;&gt;""""),""""))"),"")</f>
        <v/>
      </c>
      <c r="P31" s="152" t="str">
        <f>IFERROR(__xludf.DUMMYFUNCTION("if(K31="""","""",iferror(filter(Schedule!$AB:$AB&amp;""-""&amp;Schedule!$AC:$AC,Schedule!$L:$L=K31,(Schedule!$J:$J="""")+(Schedule!$J:$J=L31),(Schedule!$K:$K=""a"")+(Schedule!$K:$K=""""),Schedule!$AB:$AB&lt;&gt;""""),""""))"),"")</f>
        <v/>
      </c>
      <c r="Q31" s="152" t="str">
        <f>IFERROR(__xludf.DUMMYFUNCTION("if(K31="""","""",iferror(filter(Schedule!$S:$S&amp;""-""&amp;Schedule!$T:$T,Schedule!$L:$L=K31,(Schedule!$J:$J="""")+(Schedule!$J:$J=L31),(Schedule!$K:$K=""b"")+(Schedule!$K:$K=""""),Schedule!$S:$S&lt;&gt;""""),""""))"),"")</f>
        <v/>
      </c>
      <c r="R31" s="152" t="str">
        <f>IFERROR(__xludf.DUMMYFUNCTION("if(K31="""","""",iferror(filter(Schedule!$V:$V&amp;""-""&amp;Schedule!$W:$W,Schedule!$L:$L=K31,(Schedule!$J:$J="""")+(Schedule!$J:$J=L31),(Schedule!$K:$K=""b"")+(Schedule!$K:$K=""""),Schedule!$V:$V&lt;&gt;""""),""""))"),"")</f>
        <v/>
      </c>
      <c r="S31" s="60"/>
      <c r="T31" s="155"/>
      <c r="U31" s="155" t="str">
        <f>W26</f>
        <v/>
      </c>
      <c r="V31" s="151" t="str">
        <f>AC26</f>
        <v/>
      </c>
      <c r="W31" s="147">
        <v>4.0</v>
      </c>
      <c r="X31" s="152" t="str">
        <f>IFERROR(__xludf.DUMMYFUNCTION("if(U31="""","""",iferror(filter(Schedule!$V:$V&amp;""-""&amp;Schedule!$W:$W,Schedule!$L:$L=U31,(Schedule!$J:$J="""")+(Schedule!$J:$J=V31),(Schedule!$K:$K=""a"")+(Schedule!$K:$K=""""),Schedule!$V:$V&lt;&gt;""""),""""))"),"")</f>
        <v/>
      </c>
      <c r="Y31" s="152" t="str">
        <f>IFERROR(__xludf.DUMMYFUNCTION("if(U31="""","""",iferror(filter(Schedule!$M:$M&amp;""-""&amp;Schedule!$N:$N,Schedule!$L:$L=U31,(Schedule!$J:$J="""")+(Schedule!$J:$J=V31),(Schedule!$K:$K=""b"")+(Schedule!$K:$K=""""),Schedule!$M:$M&lt;&gt;""""),""""))"),"")</f>
        <v/>
      </c>
      <c r="Z31" s="152" t="str">
        <f>IFERROR(__xludf.DUMMYFUNCTION("if(U31="""","""",iferror(filter(Schedule!$AB:$AB&amp;""-""&amp;Schedule!$AC:$AC,Schedule!$L:$L=U31,(Schedule!$J:$J="""")+(Schedule!$J:$J=V31),(Schedule!$K:$K=""a"")+(Schedule!$K:$K=""""),Schedule!$AB:$AB&lt;&gt;""""),""""))"),"")</f>
        <v/>
      </c>
      <c r="AA31" s="152" t="str">
        <f>IFERROR(__xludf.DUMMYFUNCTION("if(U31="""","""",iferror(filter(Schedule!$S:$S&amp;""-""&amp;Schedule!$T:$T,Schedule!$L:$L=U31,(Schedule!$J:$J="""")+(Schedule!$J:$J=V31),(Schedule!$K:$K=""b"")+(Schedule!$K:$K=""""),Schedule!$S:$S&lt;&gt;""""),""""))"),"")</f>
        <v/>
      </c>
      <c r="AB31" s="152" t="str">
        <f>IFERROR(__xludf.DUMMYFUNCTION("if(U31="""","""",iferror(filter(Schedule!$V:$V&amp;""-""&amp;Schedule!$W:$W,Schedule!$L:$L=U31,(Schedule!$J:$J="""")+(Schedule!$J:$J=V31),(Schedule!$K:$K=""b"")+(Schedule!$K:$K=""""),Schedule!$V:$V&lt;&gt;""""),""""))"),"")</f>
        <v/>
      </c>
      <c r="AC31" s="60"/>
      <c r="AD31" s="155"/>
      <c r="AE31" s="155" t="str">
        <f>AG26</f>
        <v/>
      </c>
      <c r="AF31" s="151" t="str">
        <f>AM26</f>
        <v/>
      </c>
      <c r="AG31" s="147">
        <v>4.0</v>
      </c>
      <c r="AH31" s="152" t="str">
        <f>IFERROR(__xludf.DUMMYFUNCTION("if(AE31="""","""",iferror(filter(Schedule!$V:$V&amp;""-""&amp;Schedule!$W:$W,Schedule!$L:$L=AE31,(Schedule!$J:$J="""")+(Schedule!$J:$J=AF31),(Schedule!$K:$K=""a"")+(Schedule!$K:$K=""""),Schedule!$V:$V&lt;&gt;""""),""""))"),"")</f>
        <v/>
      </c>
      <c r="AI31" s="152" t="str">
        <f>IFERROR(__xludf.DUMMYFUNCTION("if(AE31="""","""",iferror(filter(Schedule!$M:$M&amp;""-""&amp;Schedule!$N:$N,Schedule!$L:$L=AE31,(Schedule!$J:$J="""")+(Schedule!$J:$J=AF31),(Schedule!$K:$K=""b"")+(Schedule!$K:$K=""""),Schedule!$M:$M&lt;&gt;""""),""""))"),"")</f>
        <v/>
      </c>
      <c r="AJ31" s="152" t="str">
        <f>IFERROR(__xludf.DUMMYFUNCTION("if(AE31="""","""",iferror(filter(Schedule!$AB:$AB&amp;""-""&amp;Schedule!$AC:$AC,Schedule!$L:$L=AE31,(Schedule!$J:$J="""")+(Schedule!$J:$J=AF31),(Schedule!$K:$K=""a"")+(Schedule!$K:$K=""""),Schedule!$AB:$AB&lt;&gt;""""),""""))"),"")</f>
        <v/>
      </c>
      <c r="AK31" s="152" t="str">
        <f>IFERROR(__xludf.DUMMYFUNCTION("if(AE31="""","""",iferror(filter(Schedule!$S:$S&amp;""-""&amp;Schedule!$T:$T,Schedule!$L:$L=AE31,(Schedule!$J:$J="""")+(Schedule!$J:$J=AF31),(Schedule!$K:$K=""b"")+(Schedule!$K:$K=""""),Schedule!$S:$S&lt;&gt;""""),""""))"),"")</f>
        <v/>
      </c>
      <c r="AL31" s="152" t="str">
        <f>IFERROR(__xludf.DUMMYFUNCTION("if(AE31="""","""",iferror(filter(Schedule!$V:$V&amp;""-""&amp;Schedule!$W:$W,Schedule!$L:$L=AE31,(Schedule!$J:$J="""")+(Schedule!$J:$J=AF31),(Schedule!$K:$K=""b"")+(Schedule!$K:$K=""""),Schedule!$V:$V&lt;&gt;""""),""""))"),"")</f>
        <v/>
      </c>
      <c r="AM31" s="60"/>
    </row>
    <row r="32">
      <c r="A32" s="151" t="str">
        <f>C26</f>
        <v>Ben Light</v>
      </c>
      <c r="B32" s="151" t="str">
        <f>I26</f>
        <v>Y</v>
      </c>
      <c r="C32" s="147">
        <v>5.0</v>
      </c>
      <c r="D32" s="152" t="str">
        <f>IFERROR(__xludf.DUMMYFUNCTION("if(A32="""","""",iferror(filter(Schedule!$Y:$Y&amp;""-""&amp;Schedule!$Z:$Z,Schedule!$L:$L=A32,(Schedule!$J:$J="""")+(Schedule!$J:$J=B32),(Schedule!$K:$K=""a"")+(Schedule!$K:$K=""""),Schedule!$Y:$Y&lt;&gt;""""),""""))"),"Science 6-5")</f>
        <v>Science 6-5</v>
      </c>
      <c r="E32" s="152" t="str">
        <f>IFERROR(__xludf.DUMMYFUNCTION("if(A32="""","""",iferror(filter(Schedule!$P:$P&amp;""-""&amp;Schedule!$Q:$Q,Schedule!$L:$L=A32,(Schedule!$J:$J="""")+(Schedule!$J:$J=B32),(Schedule!$K:$K=""b"")+(Schedule!$K:$K=""""),Schedule!$P:$P&lt;&gt;""""),""""))"),"Science 6-1")</f>
        <v>Science 6-1</v>
      </c>
      <c r="F32" s="152" t="str">
        <f>IFERROR(__xludf.DUMMYFUNCTION("if(A32="""","""",iferror(filter(Schedule!$V:$V&amp;""-""&amp;Schedule!$W:$W,Schedule!$L:$L=A32,(Schedule!$J:$J="""")+(Schedule!$J:$J=B32),(Schedule!$K:$K=""b"")+(Schedule!$K:$K=""""),Schedule!$V:$V&lt;&gt;""""),""""))"),"Science 6-4")</f>
        <v>Science 6-4</v>
      </c>
      <c r="G32" s="152" t="str">
        <f>IFERROR(__xludf.DUMMYFUNCTION("if(A32="""","""",iferror(filter(Schedule!$AB:$AB&amp;""-""&amp;Schedule!$AC:$AC,Schedule!$L:$L=A32,(Schedule!$J:$J="""")+(Schedule!$J:$J=B32),(Schedule!$K:$K=""b"")+(Schedule!$K:$K=""""),Schedule!$AB:$AB&lt;&gt;""""),""""))"),"")</f>
        <v/>
      </c>
      <c r="H32" s="152" t="str">
        <f>IFERROR(__xludf.DUMMYFUNCTION("if(A32="""","""",iferror(filter(Schedule!$M:$M&amp;""-""&amp;Schedule!$N:$N,Schedule!$L:$L=A32,(Schedule!$J:$J="""")+(Schedule!$J:$J=B32),(Schedule!$K:$K=""b"")+(Schedule!$K:$K=""""),Schedule!$M:$M&lt;&gt;""""),""""))"),"")</f>
        <v/>
      </c>
      <c r="I32" s="64"/>
      <c r="J32" s="154"/>
      <c r="K32" s="151" t="str">
        <f>M26</f>
        <v/>
      </c>
      <c r="L32" s="151" t="str">
        <f>S26</f>
        <v/>
      </c>
      <c r="M32" s="147">
        <v>5.0</v>
      </c>
      <c r="N32" s="152" t="str">
        <f>IFERROR(__xludf.DUMMYFUNCTION("if(K32="""","""",iferror(filter(Schedule!$Y:$Y&amp;""-""&amp;Schedule!$Z:$Z,Schedule!$L:$L=K32,(Schedule!$J:$J="""")+(Schedule!$J:$J=L32),(Schedule!$K:$K=""a"")+(Schedule!$K:$K=""""),Schedule!$Y:$Y&lt;&gt;""""),""""))"),"")</f>
        <v/>
      </c>
      <c r="O32" s="152" t="str">
        <f>IFERROR(__xludf.DUMMYFUNCTION("if(K32="""","""",iferror(filter(Schedule!$P:$P&amp;""-""&amp;Schedule!$Q:$Q,Schedule!$L:$L=K32,(Schedule!$J:$J="""")+(Schedule!$J:$J=L32),(Schedule!$K:$K=""b"")+(Schedule!$K:$K=""""),Schedule!$P:$P&lt;&gt;""""),""""))"),"")</f>
        <v/>
      </c>
      <c r="P32" s="152" t="str">
        <f>IFERROR(__xludf.DUMMYFUNCTION("if(K32="""","""",iferror(filter(Schedule!$V:$V&amp;""-""&amp;Schedule!$W:$W,Schedule!$L:$L=K32,(Schedule!$J:$J="""")+(Schedule!$J:$J=L32),(Schedule!$K:$K=""b"")+(Schedule!$K:$K=""""),Schedule!$V:$V&lt;&gt;""""),""""))"),"")</f>
        <v/>
      </c>
      <c r="Q32" s="152" t="str">
        <f>IFERROR(__xludf.DUMMYFUNCTION("if(K32="""","""",iferror(filter(Schedule!$AB:$AB&amp;""-""&amp;Schedule!$AC:$AC,Schedule!$L:$L=K32,(Schedule!$J:$J="""")+(Schedule!$J:$J=L32),(Schedule!$K:$K=""b"")+(Schedule!$K:$K=""""),Schedule!$AB:$AB&lt;&gt;""""),""""))"),"")</f>
        <v/>
      </c>
      <c r="R32" s="152" t="str">
        <f>IFERROR(__xludf.DUMMYFUNCTION("if(K32="""","""",iferror(filter(Schedule!$M:$M&amp;""-""&amp;Schedule!$N:$N,Schedule!$L:$L=K32,(Schedule!$J:$J="""")+(Schedule!$J:$J=L32),(Schedule!$K:$K=""b"")+(Schedule!$K:$K=""""),Schedule!$M:$M&lt;&gt;""""),""""))"),"")</f>
        <v/>
      </c>
      <c r="S32" s="64"/>
      <c r="T32" s="155"/>
      <c r="U32" s="155" t="str">
        <f>W26</f>
        <v/>
      </c>
      <c r="V32" s="151" t="str">
        <f>AC26</f>
        <v/>
      </c>
      <c r="W32" s="147">
        <v>5.0</v>
      </c>
      <c r="X32" s="152" t="str">
        <f>IFERROR(__xludf.DUMMYFUNCTION("if(U32="""","""",iferror(filter(Schedule!$Y:$Y&amp;""-""&amp;Schedule!$Z:$Z,Schedule!$L:$L=U32,(Schedule!$J:$J="""")+(Schedule!$J:$J=V32),(Schedule!$K:$K=""a"")+(Schedule!$K:$K=""""),Schedule!$Y:$Y&lt;&gt;""""),""""))"),"")</f>
        <v/>
      </c>
      <c r="Y32" s="152" t="str">
        <f>IFERROR(__xludf.DUMMYFUNCTION("if(U32="""","""",iferror(filter(Schedule!$P:$P&amp;""-""&amp;Schedule!$Q:$Q,Schedule!$L:$L=U32,(Schedule!$J:$J="""")+(Schedule!$J:$J=V32),(Schedule!$K:$K=""b"")+(Schedule!$K:$K=""""),Schedule!$P:$P&lt;&gt;""""),""""))"),"")</f>
        <v/>
      </c>
      <c r="Z32" s="152" t="str">
        <f>IFERROR(__xludf.DUMMYFUNCTION("if(U32="""","""",iferror(filter(Schedule!$V:$V&amp;""-""&amp;Schedule!$W:$W,Schedule!$L:$L=U32,(Schedule!$J:$J="""")+(Schedule!$J:$J=V32),(Schedule!$K:$K=""b"")+(Schedule!$K:$K=""""),Schedule!$V:$V&lt;&gt;""""),""""))"),"")</f>
        <v/>
      </c>
      <c r="AA32" s="152" t="str">
        <f>IFERROR(__xludf.DUMMYFUNCTION("if(U32="""","""",iferror(filter(Schedule!$AB:$AB&amp;""-""&amp;Schedule!$AC:$AC,Schedule!$L:$L=U32,(Schedule!$J:$J="""")+(Schedule!$J:$J=V32),(Schedule!$K:$K=""b"")+(Schedule!$K:$K=""""),Schedule!$AB:$AB&lt;&gt;""""),""""))"),"")</f>
        <v/>
      </c>
      <c r="AB32" s="152" t="str">
        <f>IFERROR(__xludf.DUMMYFUNCTION("if(U32="""","""",iferror(filter(Schedule!$M:$M&amp;""-""&amp;Schedule!$N:$N,Schedule!$L:$L=U32,(Schedule!$J:$J="""")+(Schedule!$J:$J=V32),(Schedule!$K:$K=""b"")+(Schedule!$K:$K=""""),Schedule!$M:$M&lt;&gt;""""),""""))"),"")</f>
        <v/>
      </c>
      <c r="AC32" s="64"/>
      <c r="AD32" s="155"/>
      <c r="AE32" s="155" t="str">
        <f>AG26</f>
        <v/>
      </c>
      <c r="AF32" s="151" t="str">
        <f>AM26</f>
        <v/>
      </c>
      <c r="AG32" s="147">
        <v>5.0</v>
      </c>
      <c r="AH32" s="152" t="str">
        <f>IFERROR(__xludf.DUMMYFUNCTION("if(AE32="""","""",iferror(filter(Schedule!$Y:$Y&amp;""-""&amp;Schedule!$Z:$Z,Schedule!$L:$L=AE32,(Schedule!$J:$J="""")+(Schedule!$J:$J=AF32),(Schedule!$K:$K=""a"")+(Schedule!$K:$K=""""),Schedule!$Y:$Y&lt;&gt;""""),""""))"),"")</f>
        <v/>
      </c>
      <c r="AI32" s="152" t="str">
        <f>IFERROR(__xludf.DUMMYFUNCTION("if(AE32="""","""",iferror(filter(Schedule!$P:$P&amp;""-""&amp;Schedule!$Q:$Q,Schedule!$L:$L=AE32,(Schedule!$J:$J="""")+(Schedule!$J:$J=AF32),(Schedule!$K:$K=""b"")+(Schedule!$K:$K=""""),Schedule!$P:$P&lt;&gt;""""),""""))"),"")</f>
        <v/>
      </c>
      <c r="AJ32" s="152" t="str">
        <f>IFERROR(__xludf.DUMMYFUNCTION("if(AE32="""","""",iferror(filter(Schedule!$V:$V&amp;""-""&amp;Schedule!$W:$W,Schedule!$L:$L=AE32,(Schedule!$J:$J="""")+(Schedule!$J:$J=AF32),(Schedule!$K:$K=""b"")+(Schedule!$K:$K=""""),Schedule!$V:$V&lt;&gt;""""),""""))"),"")</f>
        <v/>
      </c>
      <c r="AK32" s="152" t="str">
        <f>IFERROR(__xludf.DUMMYFUNCTION("if(AE32="""","""",iferror(filter(Schedule!$AB:$AB&amp;""-""&amp;Schedule!$AC:$AC,Schedule!$L:$L=AE32,(Schedule!$J:$J="""")+(Schedule!$J:$J=AF32),(Schedule!$K:$K=""b"")+(Schedule!$K:$K=""""),Schedule!$AB:$AB&lt;&gt;""""),""""))"),"")</f>
        <v/>
      </c>
      <c r="AL32" s="152" t="str">
        <f>IFERROR(__xludf.DUMMYFUNCTION("if(AE32="""","""",iferror(filter(Schedule!$M:$M&amp;""-""&amp;Schedule!$N:$N,Schedule!$L:$L=AE32,(Schedule!$J:$J="""")+(Schedule!$J:$J=AF32),(Schedule!$K:$K=""b"")+(Schedule!$K:$K=""""),Schedule!$M:$M&lt;&gt;""""),""""))"),"")</f>
        <v/>
      </c>
      <c r="AM32" s="64"/>
    </row>
    <row r="33">
      <c r="A33" s="11"/>
      <c r="B33" s="11"/>
      <c r="C33" s="156"/>
      <c r="D33" s="156"/>
      <c r="E33" s="156"/>
      <c r="F33" s="156"/>
      <c r="G33" s="156"/>
      <c r="H33" s="156"/>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row>
    <row r="34">
      <c r="A34" s="5"/>
      <c r="B34" s="5"/>
      <c r="C34" s="140" t="str">
        <f>Teachers!A5</f>
        <v>Brandon Berry</v>
      </c>
      <c r="D34" s="141"/>
      <c r="E34" s="141"/>
      <c r="F34" s="141"/>
      <c r="G34" s="141"/>
      <c r="H34" s="142"/>
      <c r="I34" s="143" t="str">
        <f>IFERROR(__xludf.DUMMYFUNCTION("if(C34="""","""", iferror(unique(filter(Schedule!$J:$J,Schedule!$L:$L=$C34,Schedule!$J:$J=""Q1"")),iferror(unique(filter(Schedule!$J:$J,Schedule!$L:$L=$C34,Schedule!$J:$J=""S1"")),""Y"")))"),"Y")</f>
        <v>Y</v>
      </c>
      <c r="J34" s="11"/>
      <c r="K34" s="11"/>
      <c r="L34" s="11"/>
      <c r="M34" s="140" t="str">
        <f>if(S34="","",C34)</f>
        <v/>
      </c>
      <c r="N34" s="141"/>
      <c r="O34" s="141"/>
      <c r="P34" s="141"/>
      <c r="Q34" s="141"/>
      <c r="R34" s="142"/>
      <c r="S34" s="143" t="str">
        <f>if($I34="Q1","Q2",if($I34="S1","S2",""))</f>
        <v/>
      </c>
      <c r="T34" s="144"/>
      <c r="U34" s="144"/>
      <c r="V34" s="145"/>
      <c r="W34" s="140" t="str">
        <f>if(AC34="","",M34)</f>
        <v/>
      </c>
      <c r="X34" s="141"/>
      <c r="Y34" s="141"/>
      <c r="Z34" s="141"/>
      <c r="AA34" s="141"/>
      <c r="AB34" s="142"/>
      <c r="AC34" s="143" t="str">
        <f>if($I34="Q1","Q3","")</f>
        <v/>
      </c>
      <c r="AD34" s="144"/>
      <c r="AE34" s="144"/>
      <c r="AF34" s="145"/>
      <c r="AG34" s="140" t="str">
        <f>if(AC34="","",W34)</f>
        <v/>
      </c>
      <c r="AH34" s="141"/>
      <c r="AI34" s="141"/>
      <c r="AJ34" s="141"/>
      <c r="AK34" s="141"/>
      <c r="AL34" s="142"/>
      <c r="AM34" s="143" t="str">
        <f>if($I34="Q1","Q4","")</f>
        <v/>
      </c>
    </row>
    <row r="35">
      <c r="A35" s="146"/>
      <c r="B35" s="146"/>
      <c r="C35" s="147" t="s">
        <v>94</v>
      </c>
      <c r="D35" s="148" t="s">
        <v>95</v>
      </c>
      <c r="E35" s="148" t="s">
        <v>96</v>
      </c>
      <c r="F35" s="148" t="s">
        <v>97</v>
      </c>
      <c r="G35" s="148" t="s">
        <v>98</v>
      </c>
      <c r="H35" s="148" t="s">
        <v>99</v>
      </c>
      <c r="I35" s="148" t="s">
        <v>651</v>
      </c>
      <c r="J35" s="146"/>
      <c r="K35" s="146"/>
      <c r="L35" s="146"/>
      <c r="M35" s="147" t="s">
        <v>94</v>
      </c>
      <c r="N35" s="148" t="s">
        <v>95</v>
      </c>
      <c r="O35" s="148" t="s">
        <v>96</v>
      </c>
      <c r="P35" s="148" t="s">
        <v>97</v>
      </c>
      <c r="Q35" s="148" t="s">
        <v>98</v>
      </c>
      <c r="R35" s="148" t="s">
        <v>99</v>
      </c>
      <c r="S35" s="148" t="s">
        <v>651</v>
      </c>
      <c r="T35" s="149"/>
      <c r="U35" s="149"/>
      <c r="V35" s="150"/>
      <c r="W35" s="147" t="s">
        <v>94</v>
      </c>
      <c r="X35" s="148" t="s">
        <v>95</v>
      </c>
      <c r="Y35" s="148" t="s">
        <v>96</v>
      </c>
      <c r="Z35" s="148" t="s">
        <v>97</v>
      </c>
      <c r="AA35" s="148" t="s">
        <v>98</v>
      </c>
      <c r="AB35" s="148" t="s">
        <v>99</v>
      </c>
      <c r="AC35" s="148" t="s">
        <v>651</v>
      </c>
      <c r="AD35" s="149"/>
      <c r="AE35" s="149"/>
      <c r="AF35" s="150"/>
      <c r="AG35" s="147" t="s">
        <v>94</v>
      </c>
      <c r="AH35" s="148" t="s">
        <v>95</v>
      </c>
      <c r="AI35" s="148" t="s">
        <v>96</v>
      </c>
      <c r="AJ35" s="148" t="s">
        <v>97</v>
      </c>
      <c r="AK35" s="148" t="s">
        <v>98</v>
      </c>
      <c r="AL35" s="148" t="s">
        <v>99</v>
      </c>
      <c r="AM35" s="148" t="s">
        <v>651</v>
      </c>
    </row>
    <row r="36">
      <c r="A36" s="151" t="str">
        <f>C34</f>
        <v>Brandon Berry</v>
      </c>
      <c r="B36" s="151" t="str">
        <f>I34</f>
        <v>Y</v>
      </c>
      <c r="C36" s="147">
        <v>1.0</v>
      </c>
      <c r="D36" s="152" t="str">
        <f>IFERROR(__xludf.DUMMYFUNCTION("if(A36="""","""",iferror(filter(Schedule!$M:$M&amp;""-""&amp;Schedule!$N:$N,Schedule!$L:$L=A36,(Schedule!$J:$J="""")+(Schedule!$J:$J=B36),(Schedule!$K:$K=""a"")+(Schedule!$K:$K=""""),Schedule!$M:$M&lt;&gt;""""),""""))"),"English 6-2")</f>
        <v>English 6-2</v>
      </c>
      <c r="E36" s="152" t="str">
        <f>IFERROR(__xludf.DUMMYFUNCTION("if(A36="""","""",iferror(filter(Schedule!$AB:$AB&amp;""-""&amp;Schedule!$AC:$AC,Schedule!$L:$L=A36,(Schedule!$J:$J="""")+(Schedule!$J:$J=B36),(Schedule!$K:$K=""b"")+(Schedule!$K:$K=""""),Schedule!$AB:$AB&lt;&gt;""""),""""))"),"English 8A-6")</f>
        <v>English 8A-6</v>
      </c>
      <c r="F36" s="152" t="str">
        <f>IFERROR(__xludf.DUMMYFUNCTION("if(A36="""","""",iferror(filter(Schedule!$S:$S&amp;""-""&amp;Schedule!$T:$T,Schedule!$L:$L=A36,(Schedule!$J:$J="""")+(Schedule!$J:$J=B36),(Schedule!$K:$K=""a"")+(Schedule!$K:$K=""""),Schedule!$S:$S&lt;&gt;""""),""""))"),"English 8-3")</f>
        <v>English 8-3</v>
      </c>
      <c r="G36" s="152" t="str">
        <f>IFERROR(__xludf.DUMMYFUNCTION("if(A36="""","""",iferror(filter(Schedule!$V:$V&amp;""-""&amp;Schedule!$W:$W,Schedule!$L:$L=A36,(Schedule!$J:$J="""")+(Schedule!$J:$J=B36),(Schedule!$K:$K=""a"")+(Schedule!$K:$K=""""),Schedule!$V:$V&lt;&gt;""""),""""))"),"")</f>
        <v/>
      </c>
      <c r="H36" s="152" t="str">
        <f>IFERROR(__xludf.DUMMYFUNCTION("if(A36="""","""",iferror(filter(Schedule!$Y:$Y&amp;""-""&amp;Schedule!$Z:$Z,Schedule!$L:$L=A36,(Schedule!$J:$J="""")+(Schedule!$J:$J=B36),(Schedule!$K:$K=""b"")+(Schedule!$K:$K=""""),Schedule!$Y:$Y&lt;&gt;""""),""""))"),"English 6-5")</f>
        <v>English 6-5</v>
      </c>
      <c r="I36" s="153">
        <f>if(C34="","", 24-countifs(D36:H40,""))</f>
        <v>16</v>
      </c>
      <c r="J36" s="154"/>
      <c r="K36" s="151" t="str">
        <f>M34</f>
        <v/>
      </c>
      <c r="L36" s="151" t="str">
        <f>S34</f>
        <v/>
      </c>
      <c r="M36" s="147">
        <v>1.0</v>
      </c>
      <c r="N36" s="152" t="str">
        <f>IFERROR(__xludf.DUMMYFUNCTION("if(K36="""","""",iferror(filter(Schedule!$M:$M&amp;""-""&amp;Schedule!$N:$N,Schedule!$L:$L=K36,(Schedule!$J:$J="""")+(Schedule!$J:$J=L36),(Schedule!$K:$K=""a"")+(Schedule!$K:$K=""""),Schedule!$M:$M&lt;&gt;""""),""""))"),"")</f>
        <v/>
      </c>
      <c r="O36" s="152" t="str">
        <f>IFERROR(__xludf.DUMMYFUNCTION("if(K36="""","""",iferror(filter(Schedule!$AB:$AB&amp;""-""&amp;Schedule!$AC:$AC,Schedule!$L:$L=K36,(Schedule!$J:$J="""")+(Schedule!$J:$J=L36),(Schedule!$K:$K=""b"")+(Schedule!$K:$K=""""),Schedule!$AB:$AB&lt;&gt;""""),""""))"),"")</f>
        <v/>
      </c>
      <c r="P36" s="152" t="str">
        <f>IFERROR(__xludf.DUMMYFUNCTION("if(K36="""","""",iferror(filter(Schedule!$S:$S&amp;""-""&amp;Schedule!$T:$T,Schedule!$L:$L=K36,(Schedule!$J:$J="""")+(Schedule!$J:$J=L36),(Schedule!$K:$K=""a"")+(Schedule!$K:$K=""""),Schedule!$S:$S&lt;&gt;""""),""""))"),"")</f>
        <v/>
      </c>
      <c r="Q36" s="152" t="str">
        <f>IFERROR(__xludf.DUMMYFUNCTION("if(K36="""","""",iferror(filter(Schedule!$V:$V&amp;""-""&amp;Schedule!$W:$W,Schedule!$L:$L=K36,(Schedule!$J:$J="""")+(Schedule!$J:$J=L36),(Schedule!$K:$K=""a"")+(Schedule!$K:$K=""""),Schedule!$V:$V&lt;&gt;""""),""""))"),"")</f>
        <v/>
      </c>
      <c r="R36" s="152" t="str">
        <f>IFERROR(__xludf.DUMMYFUNCTION("if(K36="""","""",iferror(filter(Schedule!$Y:$Y&amp;""-""&amp;Schedule!$Z:$Z,Schedule!$L:$L=K36,(Schedule!$J:$J="""")+(Schedule!$J:$J=L36),(Schedule!$K:$K=""b"")+(Schedule!$K:$K=""""),Schedule!$Y:$Y&lt;&gt;""""),""""))"),"")</f>
        <v/>
      </c>
      <c r="S36" s="153" t="str">
        <f>if(K36="","", 24-countifs(N36:R40,""))</f>
        <v/>
      </c>
      <c r="T36" s="155"/>
      <c r="U36" s="155" t="str">
        <f>W34</f>
        <v/>
      </c>
      <c r="V36" s="151" t="str">
        <f>AC34</f>
        <v/>
      </c>
      <c r="W36" s="147">
        <v>1.0</v>
      </c>
      <c r="X36" s="152" t="str">
        <f>IFERROR(__xludf.DUMMYFUNCTION("if(U36="""","""",iferror(filter(Schedule!$M:$M&amp;""-""&amp;Schedule!$N:$N,Schedule!$L:$L=U36,(Schedule!$J:$J="""")+(Schedule!$J:$J=V36),(Schedule!$K:$K=""a"")+(Schedule!$K:$K=""""),Schedule!$M:$M&lt;&gt;""""),""""))"),"")</f>
        <v/>
      </c>
      <c r="Y36" s="152" t="str">
        <f>IFERROR(__xludf.DUMMYFUNCTION("if(U36="""","""",iferror(filter(Schedule!$AB:$AB&amp;""-""&amp;Schedule!$AC:$AC,Schedule!$L:$L=U36,(Schedule!$J:$J="""")+(Schedule!$J:$J=V36),(Schedule!$K:$K=""b"")+(Schedule!$K:$K=""""),Schedule!$AB:$AB&lt;&gt;""""),""""))"),"")</f>
        <v/>
      </c>
      <c r="Z36" s="152" t="str">
        <f>IFERROR(__xludf.DUMMYFUNCTION("if(U36="""","""",iferror(filter(Schedule!$S:$S&amp;""-""&amp;Schedule!$T:$T,Schedule!$L:$L=U36,(Schedule!$J:$J="""")+(Schedule!$J:$J=V36),(Schedule!$K:$K=""a"")+(Schedule!$K:$K=""""),Schedule!$S:$S&lt;&gt;""""),""""))"),"")</f>
        <v/>
      </c>
      <c r="AA36" s="152" t="str">
        <f>IFERROR(__xludf.DUMMYFUNCTION("if(U36="""","""",iferror(filter(Schedule!$V:$V&amp;""-""&amp;Schedule!$W:$W,Schedule!$L:$L=U36,(Schedule!$J:$J="""")+(Schedule!$J:$J=V36),(Schedule!$K:$K=""a"")+(Schedule!$K:$K=""""),Schedule!$V:$V&lt;&gt;""""),""""))"),"")</f>
        <v/>
      </c>
      <c r="AB36" s="152" t="str">
        <f>IFERROR(__xludf.DUMMYFUNCTION("if(U36="""","""",iferror(filter(Schedule!$Y:$Y&amp;""-""&amp;Schedule!$Z:$Z,Schedule!$L:$L=U36,(Schedule!$J:$J="""")+(Schedule!$J:$J=V36),(Schedule!$K:$K=""b"")+(Schedule!$K:$K=""""),Schedule!$Y:$Y&lt;&gt;""""),""""))"),"")</f>
        <v/>
      </c>
      <c r="AC36" s="153" t="str">
        <f>if(U36="","", 24-countifs(X36:AB40,""))</f>
        <v/>
      </c>
      <c r="AD36" s="155"/>
      <c r="AE36" s="155" t="str">
        <f>AG34</f>
        <v/>
      </c>
      <c r="AF36" s="151" t="str">
        <f>AM34</f>
        <v/>
      </c>
      <c r="AG36" s="147">
        <v>1.0</v>
      </c>
      <c r="AH36" s="152" t="str">
        <f>IFERROR(__xludf.DUMMYFUNCTION("if(AE36="""","""",iferror(filter(Schedule!$M:$M&amp;""-""&amp;Schedule!$N:$N,Schedule!$L:$L=AE36,(Schedule!$J:$J="""")+(Schedule!$J:$J=AF36),(Schedule!$K:$K=""a"")+(Schedule!$K:$K=""""),Schedule!$M:$M&lt;&gt;""""),""""))"),"")</f>
        <v/>
      </c>
      <c r="AI36" s="152" t="str">
        <f>IFERROR(__xludf.DUMMYFUNCTION("if(AE36="""","""",iferror(filter(Schedule!$AB:$AB&amp;""-""&amp;Schedule!$AC:$AC,Schedule!$L:$L=AE36,(Schedule!$J:$J="""")+(Schedule!$J:$J=AF36),(Schedule!$K:$K=""b"")+(Schedule!$K:$K=""""),Schedule!$AB:$AB&lt;&gt;""""),""""))"),"")</f>
        <v/>
      </c>
      <c r="AJ36" s="152" t="str">
        <f>IFERROR(__xludf.DUMMYFUNCTION("if(AE36="""","""",iferror(filter(Schedule!$S:$S&amp;""-""&amp;Schedule!$T:$T,Schedule!$L:$L=AE36,(Schedule!$J:$J="""")+(Schedule!$J:$J=AF36),(Schedule!$K:$K=""a"")+(Schedule!$K:$K=""""),Schedule!$S:$S&lt;&gt;""""),""""))"),"")</f>
        <v/>
      </c>
      <c r="AK36" s="152" t="str">
        <f>IFERROR(__xludf.DUMMYFUNCTION("if(AE36="""","""",iferror(filter(Schedule!$V:$V&amp;""-""&amp;Schedule!$W:$W,Schedule!$L:$L=AE36,(Schedule!$J:$J="""")+(Schedule!$J:$J=AF36),(Schedule!$K:$K=""a"")+(Schedule!$K:$K=""""),Schedule!$V:$V&lt;&gt;""""),""""))"),"")</f>
        <v/>
      </c>
      <c r="AL36" s="152" t="str">
        <f>IFERROR(__xludf.DUMMYFUNCTION("if(AE36="""","""",iferror(filter(Schedule!$Y:$Y&amp;""-""&amp;Schedule!$Z:$Z,Schedule!$L:$L=AE36,(Schedule!$J:$J="""")+(Schedule!$J:$J=AF36),(Schedule!$K:$K=""b"")+(Schedule!$K:$K=""""),Schedule!$Y:$Y&lt;&gt;""""),""""))"),"")</f>
        <v/>
      </c>
      <c r="AM36" s="153" t="str">
        <f>if(AE36="","", 24-countifs(AH36:AL40,""))</f>
        <v/>
      </c>
    </row>
    <row r="37">
      <c r="A37" s="151" t="str">
        <f>C34</f>
        <v>Brandon Berry</v>
      </c>
      <c r="B37" s="151" t="str">
        <f>I34</f>
        <v>Y</v>
      </c>
      <c r="C37" s="147">
        <v>2.0</v>
      </c>
      <c r="D37" s="152" t="str">
        <f>IFERROR(__xludf.DUMMYFUNCTION("if(A37="""","""",iferror(filter(Schedule!$P:$P&amp;""-""&amp;Schedule!$Q:$Q,Schedule!$L:$L=A37,(Schedule!$J:$J="""")+(Schedule!$J:$J=B37),(Schedule!$K:$K=""a"")+(Schedule!$K:$K=""""),Schedule!$P:$P&lt;&gt;""""),""""))"),"")</f>
        <v/>
      </c>
      <c r="E37" s="152" t="str">
        <f>IFERROR(__xludf.DUMMYFUNCTION("if(A37="""","""",iferror(filter(Schedule!$Y:$Y&amp;""-""&amp;Schedule!$Z:$Z,Schedule!$L:$L=A37,(Schedule!$J:$J="""")+(Schedule!$J:$J=B37),(Schedule!$K:$K=""b"")+(Schedule!$K:$K=""""),Schedule!$Y:$Y&lt;&gt;""""),""""))"),"English 6-5")</f>
        <v>English 6-5</v>
      </c>
      <c r="F37" s="152" t="str">
        <f>IFERROR(__xludf.DUMMYFUNCTION("if(A37="""","""",iferror(filter(Schedule!$P:$P&amp;""-""&amp;Schedule!$Q:$Q,Schedule!$L:$L=A37,(Schedule!$J:$J="""")+(Schedule!$J:$J=B37),(Schedule!$K:$K=""a"")+(Schedule!$K:$K=""""),Schedule!$P:$P&lt;&gt;""""),""""))"),"")</f>
        <v/>
      </c>
      <c r="G37" s="152" t="str">
        <f>IFERROR(__xludf.DUMMYFUNCTION("if(A37="""","""",iferror(filter(Schedule!$M:$M&amp;""-""&amp;Schedule!$N:$N,Schedule!$L:$L=A37,(Schedule!$J:$J="""")+(Schedule!$J:$J=B37),(Schedule!$K:$K=""a"")+(Schedule!$K:$K=""""),Schedule!$M:$M&lt;&gt;""""),""""))"),"English 6-2")</f>
        <v>English 6-2</v>
      </c>
      <c r="H37" s="152" t="str">
        <f>IFERROR(__xludf.DUMMYFUNCTION("if(A37="""","""",iferror(filter(Schedule!$AB:$AB&amp;""-""&amp;Schedule!$AC:$AC,Schedule!$L:$L=A37,(Schedule!$J:$J="""")+(Schedule!$J:$J=B37),(Schedule!$K:$K=""a"")+(Schedule!$K:$K=""""),Schedule!$AB:$AB&lt;&gt;""""),""""))"),"English 8A-6")</f>
        <v>English 8A-6</v>
      </c>
      <c r="I37" s="60"/>
      <c r="J37" s="154"/>
      <c r="K37" s="151" t="str">
        <f>M34</f>
        <v/>
      </c>
      <c r="L37" s="151" t="str">
        <f>S34</f>
        <v/>
      </c>
      <c r="M37" s="147">
        <v>2.0</v>
      </c>
      <c r="N37" s="152" t="str">
        <f>IFERROR(__xludf.DUMMYFUNCTION("if(K37="""","""",iferror(filter(Schedule!$P:$P&amp;""-""&amp;Schedule!$Q:$Q,Schedule!$L:$L=K37,(Schedule!$J:$J="""")+(Schedule!$J:$J=L37),(Schedule!$K:$K=""a"")+(Schedule!$K:$K=""""),Schedule!$P:$P&lt;&gt;""""),""""))"),"")</f>
        <v/>
      </c>
      <c r="O37" s="152" t="str">
        <f>IFERROR(__xludf.DUMMYFUNCTION("if(K37="""","""",iferror(filter(Schedule!$Y:$Y&amp;""-""&amp;Schedule!$Z:$Z,Schedule!$L:$L=K37,(Schedule!$J:$J="""")+(Schedule!$J:$J=L37),(Schedule!$K:$K=""b"")+(Schedule!$K:$K=""""),Schedule!$Y:$Y&lt;&gt;""""),""""))"),"")</f>
        <v/>
      </c>
      <c r="P37" s="152" t="str">
        <f>IFERROR(__xludf.DUMMYFUNCTION("if(K37="""","""",iferror(filter(Schedule!$P:$P&amp;""-""&amp;Schedule!$Q:$Q,Schedule!$L:$L=K37,(Schedule!$J:$J="""")+(Schedule!$J:$J=L37),(Schedule!$K:$K=""a"")+(Schedule!$K:$K=""""),Schedule!$P:$P&lt;&gt;""""),""""))"),"")</f>
        <v/>
      </c>
      <c r="Q37" s="152" t="str">
        <f>IFERROR(__xludf.DUMMYFUNCTION("if(K37="""","""",iferror(filter(Schedule!$M:$M&amp;""-""&amp;Schedule!$N:$N,Schedule!$L:$L=K37,(Schedule!$J:$J="""")+(Schedule!$J:$J=L37),(Schedule!$K:$K=""a"")+(Schedule!$K:$K=""""),Schedule!$M:$M&lt;&gt;""""),""""))"),"")</f>
        <v/>
      </c>
      <c r="R37" s="152" t="str">
        <f>IFERROR(__xludf.DUMMYFUNCTION("if(K37="""","""",iferror(filter(Schedule!$AB:$AB&amp;""-""&amp;Schedule!$AC:$AC,Schedule!$L:$L=K37,(Schedule!$J:$J="""")+(Schedule!$J:$J=L37),(Schedule!$K:$K=""a"")+(Schedule!$K:$K=""""),Schedule!$AB:$AB&lt;&gt;""""),""""))"),"")</f>
        <v/>
      </c>
      <c r="S37" s="60"/>
      <c r="T37" s="155"/>
      <c r="U37" s="155" t="str">
        <f>W34</f>
        <v/>
      </c>
      <c r="V37" s="151" t="str">
        <f>AC34</f>
        <v/>
      </c>
      <c r="W37" s="147">
        <v>2.0</v>
      </c>
      <c r="X37" s="152" t="str">
        <f>IFERROR(__xludf.DUMMYFUNCTION("if(U37="""","""",iferror(filter(Schedule!$P:$P&amp;""-""&amp;Schedule!$Q:$Q,Schedule!$L:$L=U37,(Schedule!$J:$J="""")+(Schedule!$J:$J=V37),(Schedule!$K:$K=""a"")+(Schedule!$K:$K=""""),Schedule!$P:$P&lt;&gt;""""),""""))"),"")</f>
        <v/>
      </c>
      <c r="Y37" s="152" t="str">
        <f>IFERROR(__xludf.DUMMYFUNCTION("if(U37="""","""",iferror(filter(Schedule!$Y:$Y&amp;""-""&amp;Schedule!$Z:$Z,Schedule!$L:$L=U37,(Schedule!$J:$J="""")+(Schedule!$J:$J=V37),(Schedule!$K:$K=""b"")+(Schedule!$K:$K=""""),Schedule!$Y:$Y&lt;&gt;""""),""""))"),"")</f>
        <v/>
      </c>
      <c r="Z37" s="152" t="str">
        <f>IFERROR(__xludf.DUMMYFUNCTION("if(U37="""","""",iferror(filter(Schedule!$P:$P&amp;""-""&amp;Schedule!$Q:$Q,Schedule!$L:$L=U37,(Schedule!$J:$J="""")+(Schedule!$J:$J=V37),(Schedule!$K:$K=""a"")+(Schedule!$K:$K=""""),Schedule!$P:$P&lt;&gt;""""),""""))"),"")</f>
        <v/>
      </c>
      <c r="AA37" s="152" t="str">
        <f>IFERROR(__xludf.DUMMYFUNCTION("if(U37="""","""",iferror(filter(Schedule!$M:$M&amp;""-""&amp;Schedule!$N:$N,Schedule!$L:$L=U37,(Schedule!$J:$J="""")+(Schedule!$J:$J=V37),(Schedule!$K:$K=""a"")+(Schedule!$K:$K=""""),Schedule!$M:$M&lt;&gt;""""),""""))"),"")</f>
        <v/>
      </c>
      <c r="AB37" s="152" t="str">
        <f>IFERROR(__xludf.DUMMYFUNCTION("if(U37="""","""",iferror(filter(Schedule!$AB:$AB&amp;""-""&amp;Schedule!$AC:$AC,Schedule!$L:$L=U37,(Schedule!$J:$J="""")+(Schedule!$J:$J=V37),(Schedule!$K:$K=""a"")+(Schedule!$K:$K=""""),Schedule!$AB:$AB&lt;&gt;""""),""""))"),"")</f>
        <v/>
      </c>
      <c r="AC37" s="60"/>
      <c r="AD37" s="155"/>
      <c r="AE37" s="155" t="str">
        <f>AG34</f>
        <v/>
      </c>
      <c r="AF37" s="151" t="str">
        <f>AM34</f>
        <v/>
      </c>
      <c r="AG37" s="147">
        <v>2.0</v>
      </c>
      <c r="AH37" s="152" t="str">
        <f>IFERROR(__xludf.DUMMYFUNCTION("if(AE37="""","""",iferror(filter(Schedule!$P:$P&amp;""-""&amp;Schedule!$Q:$Q,Schedule!$L:$L=AE37,(Schedule!$J:$J="""")+(Schedule!$J:$J=AF37),(Schedule!$K:$K=""a"")+(Schedule!$K:$K=""""),Schedule!$P:$P&lt;&gt;""""),""""))"),"")</f>
        <v/>
      </c>
      <c r="AI37" s="152" t="str">
        <f>IFERROR(__xludf.DUMMYFUNCTION("if(AE37="""","""",iferror(filter(Schedule!$Y:$Y&amp;""-""&amp;Schedule!$Z:$Z,Schedule!$L:$L=AE37,(Schedule!$J:$J="""")+(Schedule!$J:$J=AF37),(Schedule!$K:$K=""b"")+(Schedule!$K:$K=""""),Schedule!$Y:$Y&lt;&gt;""""),""""))"),"")</f>
        <v/>
      </c>
      <c r="AJ37" s="152" t="str">
        <f>IFERROR(__xludf.DUMMYFUNCTION("if(AE37="""","""",iferror(filter(Schedule!$P:$P&amp;""-""&amp;Schedule!$Q:$Q,Schedule!$L:$L=AE37,(Schedule!$J:$J="""")+(Schedule!$J:$J=AF37),(Schedule!$K:$K=""a"")+(Schedule!$K:$K=""""),Schedule!$P:$P&lt;&gt;""""),""""))"),"")</f>
        <v/>
      </c>
      <c r="AK37" s="152" t="str">
        <f>IFERROR(__xludf.DUMMYFUNCTION("if(AE37="""","""",iferror(filter(Schedule!$M:$M&amp;""-""&amp;Schedule!$N:$N,Schedule!$L:$L=AE37,(Schedule!$J:$J="""")+(Schedule!$J:$J=AF37),(Schedule!$K:$K=""a"")+(Schedule!$K:$K=""""),Schedule!$M:$M&lt;&gt;""""),""""))"),"")</f>
        <v/>
      </c>
      <c r="AL37" s="152" t="str">
        <f>IFERROR(__xludf.DUMMYFUNCTION("if(AE37="""","""",iferror(filter(Schedule!$AB:$AB&amp;""-""&amp;Schedule!$AC:$AC,Schedule!$L:$L=AE37,(Schedule!$J:$J="""")+(Schedule!$J:$J=AF37),(Schedule!$K:$K=""a"")+(Schedule!$K:$K=""""),Schedule!$AB:$AB&lt;&gt;""""),""""))"),"")</f>
        <v/>
      </c>
      <c r="AM37" s="60"/>
    </row>
    <row r="38">
      <c r="A38" s="151" t="str">
        <f>C34</f>
        <v>Brandon Berry</v>
      </c>
      <c r="B38" s="151" t="str">
        <f>I34</f>
        <v>Y</v>
      </c>
      <c r="C38" s="147">
        <v>3.0</v>
      </c>
      <c r="D38" s="152" t="str">
        <f>IFERROR(__xludf.DUMMYFUNCTION("if(A38="""","""",iferror(filter(Schedule!$S:$S&amp;""-""&amp;Schedule!$T:$T,Schedule!$L:$L=A38,(Schedule!$J:$J="""")+(Schedule!$J:$J=B38),(Schedule!$K:$K=""a"")+(Schedule!$K:$K=""""),Schedule!$S:$S&lt;&gt;""""),""""))"),"English 8-3")</f>
        <v>English 8-3</v>
      </c>
      <c r="E38" s="152" t="str">
        <f>IFERROR(__xludf.DUMMYFUNCTION("if(A38="""","""",iferror(filter(Schedule!$S:$S&amp;""-""&amp;Schedule!$T:$T,Schedule!$L:$L=A38,(Schedule!$J:$J="""")+(Schedule!$J:$J=B38),(Schedule!$K:$K=""b"")+(Schedule!$K:$K=""""),Schedule!$S:$S&lt;&gt;""""),""""))"),"English 8-3")</f>
        <v>English 8-3</v>
      </c>
      <c r="F38" s="152" t="str">
        <f>IFERROR(__xludf.DUMMYFUNCTION("if(A38="""","""",iferror(filter(Schedule!$Y:$Y&amp;""-""&amp;Schedule!$Z:$Z,Schedule!$L:$L=A38,(Schedule!$J:$J="""")+(Schedule!$J:$J=B38),(Schedule!$K:$K=""a"")+(Schedule!$K:$K=""""),Schedule!$Y:$Y&lt;&gt;""""),""""))"),"English 6-5")</f>
        <v>English 6-5</v>
      </c>
      <c r="G38" s="152" t="str">
        <f>IFERROR(__xludf.DUMMYFUNCTION("if(A38="""","""",iferror(filter(Schedule!$P:$P&amp;""-""&amp;Schedule!$Q:$Q,Schedule!$L:$L=A38,(Schedule!$J:$J="""")+(Schedule!$J:$J=B38),(Schedule!$K:$K=""b"")+(Schedule!$K:$K=""""),Schedule!$P:$P&lt;&gt;""""),""""))"),"")</f>
        <v/>
      </c>
      <c r="H38" s="152" t="str">
        <f>if(C34="","","X-Block")</f>
        <v>X-Block</v>
      </c>
      <c r="I38" s="60"/>
      <c r="J38" s="154"/>
      <c r="K38" s="151" t="str">
        <f>M34</f>
        <v/>
      </c>
      <c r="L38" s="151" t="str">
        <f>S34</f>
        <v/>
      </c>
      <c r="M38" s="147">
        <v>3.0</v>
      </c>
      <c r="N38" s="152" t="str">
        <f>IFERROR(__xludf.DUMMYFUNCTION("if(K38="""","""",iferror(filter(Schedule!$S:$S&amp;""-""&amp;Schedule!$T:$T,Schedule!$L:$L=K38,(Schedule!$J:$J="""")+(Schedule!$J:$J=L38),(Schedule!$K:$K=""a"")+(Schedule!$K:$K=""""),Schedule!$S:$S&lt;&gt;""""),""""))"),"")</f>
        <v/>
      </c>
      <c r="O38" s="152" t="str">
        <f>IFERROR(__xludf.DUMMYFUNCTION("if(K38="""","""",iferror(filter(Schedule!$S:$S&amp;""-""&amp;Schedule!$T:$T,Schedule!$L:$L=K38,(Schedule!$J:$J="""")+(Schedule!$J:$J=L38),(Schedule!$K:$K=""b"")+(Schedule!$K:$K=""""),Schedule!$S:$S&lt;&gt;""""),""""))"),"")</f>
        <v/>
      </c>
      <c r="P38" s="152" t="str">
        <f>IFERROR(__xludf.DUMMYFUNCTION("if(K38="""","""",iferror(filter(Schedule!$Y:$Y&amp;""-""&amp;Schedule!$Z:$Z,Schedule!$L:$L=K38,(Schedule!$J:$J="""")+(Schedule!$J:$J=L38),(Schedule!$K:$K=""a"")+(Schedule!$K:$K=""""),Schedule!$Y:$Y&lt;&gt;""""),""""))"),"")</f>
        <v/>
      </c>
      <c r="Q38" s="152" t="str">
        <f>IFERROR(__xludf.DUMMYFUNCTION("if(K38="""","""",iferror(filter(Schedule!$P:$P&amp;""-""&amp;Schedule!$Q:$Q,Schedule!$L:$L=K38,(Schedule!$J:$J="""")+(Schedule!$J:$J=L38),(Schedule!$K:$K=""b"")+(Schedule!$K:$K=""""),Schedule!$P:$P&lt;&gt;""""),""""))"),"")</f>
        <v/>
      </c>
      <c r="R38" s="152" t="str">
        <f>if(M34="","","X-Block")</f>
        <v/>
      </c>
      <c r="S38" s="60"/>
      <c r="T38" s="155"/>
      <c r="U38" s="155" t="str">
        <f>W34</f>
        <v/>
      </c>
      <c r="V38" s="151" t="str">
        <f>AC34</f>
        <v/>
      </c>
      <c r="W38" s="147">
        <v>3.0</v>
      </c>
      <c r="X38" s="152" t="str">
        <f>IFERROR(__xludf.DUMMYFUNCTION("if(U38="""","""",iferror(filter(Schedule!$S:$S&amp;""-""&amp;Schedule!$T:$T,Schedule!$L:$L=U38,(Schedule!$J:$J="""")+(Schedule!$J:$J=V38),(Schedule!$K:$K=""a"")+(Schedule!$K:$K=""""),Schedule!$S:$S&lt;&gt;""""),""""))"),"")</f>
        <v/>
      </c>
      <c r="Y38" s="152" t="str">
        <f>IFERROR(__xludf.DUMMYFUNCTION("if(U38="""","""",iferror(filter(Schedule!$S:$S&amp;""-""&amp;Schedule!$T:$T,Schedule!$L:$L=U38,(Schedule!$J:$J="""")+(Schedule!$J:$J=V38),(Schedule!$K:$K=""b"")+(Schedule!$K:$K=""""),Schedule!$S:$S&lt;&gt;""""),""""))"),"")</f>
        <v/>
      </c>
      <c r="Z38" s="152" t="str">
        <f>IFERROR(__xludf.DUMMYFUNCTION("if(U38="""","""",iferror(filter(Schedule!$Y:$Y&amp;""-""&amp;Schedule!$Z:$Z,Schedule!$L:$L=U38,(Schedule!$J:$J="""")+(Schedule!$J:$J=V38),(Schedule!$K:$K=""a"")+(Schedule!$K:$K=""""),Schedule!$Y:$Y&lt;&gt;""""),""""))"),"")</f>
        <v/>
      </c>
      <c r="AA38" s="152" t="str">
        <f>IFERROR(__xludf.DUMMYFUNCTION("if(U38="""","""",iferror(filter(Schedule!$P:$P&amp;""-""&amp;Schedule!$Q:$Q,Schedule!$L:$L=U38,(Schedule!$J:$J="""")+(Schedule!$J:$J=V38),(Schedule!$K:$K=""b"")+(Schedule!$K:$K=""""),Schedule!$P:$P&lt;&gt;""""),""""))"),"")</f>
        <v/>
      </c>
      <c r="AB38" s="152" t="str">
        <f>if(W34="","","X-Block")</f>
        <v/>
      </c>
      <c r="AC38" s="60"/>
      <c r="AD38" s="155"/>
      <c r="AE38" s="155" t="str">
        <f>AG34</f>
        <v/>
      </c>
      <c r="AF38" s="151" t="str">
        <f>AM34</f>
        <v/>
      </c>
      <c r="AG38" s="147">
        <v>3.0</v>
      </c>
      <c r="AH38" s="152" t="str">
        <f>IFERROR(__xludf.DUMMYFUNCTION("if(AE38="""","""",iferror(filter(Schedule!$S:$S&amp;""-""&amp;Schedule!$T:$T,Schedule!$L:$L=AE38,(Schedule!$J:$J="""")+(Schedule!$J:$J=AF38),(Schedule!$K:$K=""a"")+(Schedule!$K:$K=""""),Schedule!$S:$S&lt;&gt;""""),""""))"),"")</f>
        <v/>
      </c>
      <c r="AI38" s="152" t="str">
        <f>IFERROR(__xludf.DUMMYFUNCTION("if(AE38="""","""",iferror(filter(Schedule!$S:$S&amp;""-""&amp;Schedule!$T:$T,Schedule!$L:$L=AE38,(Schedule!$J:$J="""")+(Schedule!$J:$J=AF38),(Schedule!$K:$K=""b"")+(Schedule!$K:$K=""""),Schedule!$S:$S&lt;&gt;""""),""""))"),"")</f>
        <v/>
      </c>
      <c r="AJ38" s="152" t="str">
        <f>IFERROR(__xludf.DUMMYFUNCTION("if(AE38="""","""",iferror(filter(Schedule!$Y:$Y&amp;""-""&amp;Schedule!$Z:$Z,Schedule!$L:$L=AE38,(Schedule!$J:$J="""")+(Schedule!$J:$J=AF38),(Schedule!$K:$K=""a"")+(Schedule!$K:$K=""""),Schedule!$Y:$Y&lt;&gt;""""),""""))"),"")</f>
        <v/>
      </c>
      <c r="AK38" s="152" t="str">
        <f>IFERROR(__xludf.DUMMYFUNCTION("if(AE38="""","""",iferror(filter(Schedule!$P:$P&amp;""-""&amp;Schedule!$Q:$Q,Schedule!$L:$L=AE38,(Schedule!$J:$J="""")+(Schedule!$J:$J=AF38),(Schedule!$K:$K=""b"")+(Schedule!$K:$K=""""),Schedule!$P:$P&lt;&gt;""""),""""))"),"")</f>
        <v/>
      </c>
      <c r="AL38" s="152" t="str">
        <f>if(AG34="","","X-Block")</f>
        <v/>
      </c>
      <c r="AM38" s="60"/>
    </row>
    <row r="39">
      <c r="A39" s="151" t="str">
        <f>C34</f>
        <v>Brandon Berry</v>
      </c>
      <c r="B39" s="151" t="str">
        <f>I34</f>
        <v>Y</v>
      </c>
      <c r="C39" s="147">
        <v>4.0</v>
      </c>
      <c r="D39" s="152" t="str">
        <f>IFERROR(__xludf.DUMMYFUNCTION("if(A39="""","""",iferror(filter(Schedule!$V:$V&amp;""-""&amp;Schedule!$W:$W,Schedule!$L:$L=A39,(Schedule!$J:$J="""")+(Schedule!$J:$J=B39),(Schedule!$K:$K=""a"")+(Schedule!$K:$K=""""),Schedule!$V:$V&lt;&gt;""""),""""))"),"")</f>
        <v/>
      </c>
      <c r="E39" s="152" t="str">
        <f>IFERROR(__xludf.DUMMYFUNCTION("if(A39="""","""",iferror(filter(Schedule!$M:$M&amp;""-""&amp;Schedule!$N:$N,Schedule!$L:$L=A39,(Schedule!$J:$J="""")+(Schedule!$J:$J=B39),(Schedule!$K:$K=""b"")+(Schedule!$K:$K=""""),Schedule!$M:$M&lt;&gt;""""),""""))"),"English 6-2")</f>
        <v>English 6-2</v>
      </c>
      <c r="F39" s="152" t="str">
        <f>IFERROR(__xludf.DUMMYFUNCTION("if(A39="""","""",iferror(filter(Schedule!$AB:$AB&amp;""-""&amp;Schedule!$AC:$AC,Schedule!$L:$L=A39,(Schedule!$J:$J="""")+(Schedule!$J:$J=B39),(Schedule!$K:$K=""a"")+(Schedule!$K:$K=""""),Schedule!$AB:$AB&lt;&gt;""""),""""))"),"English 8A-6")</f>
        <v>English 8A-6</v>
      </c>
      <c r="G39" s="152" t="str">
        <f>IFERROR(__xludf.DUMMYFUNCTION("if(A39="""","""",iferror(filter(Schedule!$S:$S&amp;""-""&amp;Schedule!$T:$T,Schedule!$L:$L=A39,(Schedule!$J:$J="""")+(Schedule!$J:$J=B39),(Schedule!$K:$K=""b"")+(Schedule!$K:$K=""""),Schedule!$S:$S&lt;&gt;""""),""""))"),"English 8-3")</f>
        <v>English 8-3</v>
      </c>
      <c r="H39" s="152" t="str">
        <f>IFERROR(__xludf.DUMMYFUNCTION("if(A39="""","""",iferror(filter(Schedule!$V:$V&amp;""-""&amp;Schedule!$W:$W,Schedule!$L:$L=A39,(Schedule!$J:$J="""")+(Schedule!$J:$J=B39),(Schedule!$K:$K=""b"")+(Schedule!$K:$K=""""),Schedule!$V:$V&lt;&gt;""""),""""))"),"")</f>
        <v/>
      </c>
      <c r="I39" s="60"/>
      <c r="J39" s="154"/>
      <c r="K39" s="151" t="str">
        <f>M34</f>
        <v/>
      </c>
      <c r="L39" s="151" t="str">
        <f>S34</f>
        <v/>
      </c>
      <c r="M39" s="147">
        <v>4.0</v>
      </c>
      <c r="N39" s="152" t="str">
        <f>IFERROR(__xludf.DUMMYFUNCTION("if(K39="""","""",iferror(filter(Schedule!$V:$V&amp;""-""&amp;Schedule!$W:$W,Schedule!$L:$L=K39,(Schedule!$J:$J="""")+(Schedule!$J:$J=L39),(Schedule!$K:$K=""a"")+(Schedule!$K:$K=""""),Schedule!$V:$V&lt;&gt;""""),""""))"),"")</f>
        <v/>
      </c>
      <c r="O39" s="152" t="str">
        <f>IFERROR(__xludf.DUMMYFUNCTION("if(K39="""","""",iferror(filter(Schedule!$M:$M&amp;""-""&amp;Schedule!$N:$N,Schedule!$L:$L=K39,(Schedule!$J:$J="""")+(Schedule!$J:$J=L39),(Schedule!$K:$K=""b"")+(Schedule!$K:$K=""""),Schedule!$M:$M&lt;&gt;""""),""""))"),"")</f>
        <v/>
      </c>
      <c r="P39" s="152" t="str">
        <f>IFERROR(__xludf.DUMMYFUNCTION("if(K39="""","""",iferror(filter(Schedule!$AB:$AB&amp;""-""&amp;Schedule!$AC:$AC,Schedule!$L:$L=K39,(Schedule!$J:$J="""")+(Schedule!$J:$J=L39),(Schedule!$K:$K=""a"")+(Schedule!$K:$K=""""),Schedule!$AB:$AB&lt;&gt;""""),""""))"),"")</f>
        <v/>
      </c>
      <c r="Q39" s="152" t="str">
        <f>IFERROR(__xludf.DUMMYFUNCTION("if(K39="""","""",iferror(filter(Schedule!$S:$S&amp;""-""&amp;Schedule!$T:$T,Schedule!$L:$L=K39,(Schedule!$J:$J="""")+(Schedule!$J:$J=L39),(Schedule!$K:$K=""b"")+(Schedule!$K:$K=""""),Schedule!$S:$S&lt;&gt;""""),""""))"),"")</f>
        <v/>
      </c>
      <c r="R39" s="152" t="str">
        <f>IFERROR(__xludf.DUMMYFUNCTION("if(K39="""","""",iferror(filter(Schedule!$V:$V&amp;""-""&amp;Schedule!$W:$W,Schedule!$L:$L=K39,(Schedule!$J:$J="""")+(Schedule!$J:$J=L39),(Schedule!$K:$K=""b"")+(Schedule!$K:$K=""""),Schedule!$V:$V&lt;&gt;""""),""""))"),"")</f>
        <v/>
      </c>
      <c r="S39" s="60"/>
      <c r="T39" s="155"/>
      <c r="U39" s="155" t="str">
        <f>W34</f>
        <v/>
      </c>
      <c r="V39" s="151" t="str">
        <f>AC34</f>
        <v/>
      </c>
      <c r="W39" s="147">
        <v>4.0</v>
      </c>
      <c r="X39" s="152" t="str">
        <f>IFERROR(__xludf.DUMMYFUNCTION("if(U39="""","""",iferror(filter(Schedule!$V:$V&amp;""-""&amp;Schedule!$W:$W,Schedule!$L:$L=U39,(Schedule!$J:$J="""")+(Schedule!$J:$J=V39),(Schedule!$K:$K=""a"")+(Schedule!$K:$K=""""),Schedule!$V:$V&lt;&gt;""""),""""))"),"")</f>
        <v/>
      </c>
      <c r="Y39" s="152" t="str">
        <f>IFERROR(__xludf.DUMMYFUNCTION("if(U39="""","""",iferror(filter(Schedule!$M:$M&amp;""-""&amp;Schedule!$N:$N,Schedule!$L:$L=U39,(Schedule!$J:$J="""")+(Schedule!$J:$J=V39),(Schedule!$K:$K=""b"")+(Schedule!$K:$K=""""),Schedule!$M:$M&lt;&gt;""""),""""))"),"")</f>
        <v/>
      </c>
      <c r="Z39" s="152" t="str">
        <f>IFERROR(__xludf.DUMMYFUNCTION("if(U39="""","""",iferror(filter(Schedule!$AB:$AB&amp;""-""&amp;Schedule!$AC:$AC,Schedule!$L:$L=U39,(Schedule!$J:$J="""")+(Schedule!$J:$J=V39),(Schedule!$K:$K=""a"")+(Schedule!$K:$K=""""),Schedule!$AB:$AB&lt;&gt;""""),""""))"),"")</f>
        <v/>
      </c>
      <c r="AA39" s="152" t="str">
        <f>IFERROR(__xludf.DUMMYFUNCTION("if(U39="""","""",iferror(filter(Schedule!$S:$S&amp;""-""&amp;Schedule!$T:$T,Schedule!$L:$L=U39,(Schedule!$J:$J="""")+(Schedule!$J:$J=V39),(Schedule!$K:$K=""b"")+(Schedule!$K:$K=""""),Schedule!$S:$S&lt;&gt;""""),""""))"),"")</f>
        <v/>
      </c>
      <c r="AB39" s="152" t="str">
        <f>IFERROR(__xludf.DUMMYFUNCTION("if(U39="""","""",iferror(filter(Schedule!$V:$V&amp;""-""&amp;Schedule!$W:$W,Schedule!$L:$L=U39,(Schedule!$J:$J="""")+(Schedule!$J:$J=V39),(Schedule!$K:$K=""b"")+(Schedule!$K:$K=""""),Schedule!$V:$V&lt;&gt;""""),""""))"),"")</f>
        <v/>
      </c>
      <c r="AC39" s="60"/>
      <c r="AD39" s="155"/>
      <c r="AE39" s="155" t="str">
        <f>AG34</f>
        <v/>
      </c>
      <c r="AF39" s="151" t="str">
        <f>AM34</f>
        <v/>
      </c>
      <c r="AG39" s="147">
        <v>4.0</v>
      </c>
      <c r="AH39" s="152" t="str">
        <f>IFERROR(__xludf.DUMMYFUNCTION("if(AE39="""","""",iferror(filter(Schedule!$V:$V&amp;""-""&amp;Schedule!$W:$W,Schedule!$L:$L=AE39,(Schedule!$J:$J="""")+(Schedule!$J:$J=AF39),(Schedule!$K:$K=""a"")+(Schedule!$K:$K=""""),Schedule!$V:$V&lt;&gt;""""),""""))"),"")</f>
        <v/>
      </c>
      <c r="AI39" s="152" t="str">
        <f>IFERROR(__xludf.DUMMYFUNCTION("if(AE39="""","""",iferror(filter(Schedule!$M:$M&amp;""-""&amp;Schedule!$N:$N,Schedule!$L:$L=AE39,(Schedule!$J:$J="""")+(Schedule!$J:$J=AF39),(Schedule!$K:$K=""b"")+(Schedule!$K:$K=""""),Schedule!$M:$M&lt;&gt;""""),""""))"),"")</f>
        <v/>
      </c>
      <c r="AJ39" s="152" t="str">
        <f>IFERROR(__xludf.DUMMYFUNCTION("if(AE39="""","""",iferror(filter(Schedule!$AB:$AB&amp;""-""&amp;Schedule!$AC:$AC,Schedule!$L:$L=AE39,(Schedule!$J:$J="""")+(Schedule!$J:$J=AF39),(Schedule!$K:$K=""a"")+(Schedule!$K:$K=""""),Schedule!$AB:$AB&lt;&gt;""""),""""))"),"")</f>
        <v/>
      </c>
      <c r="AK39" s="152" t="str">
        <f>IFERROR(__xludf.DUMMYFUNCTION("if(AE39="""","""",iferror(filter(Schedule!$S:$S&amp;""-""&amp;Schedule!$T:$T,Schedule!$L:$L=AE39,(Schedule!$J:$J="""")+(Schedule!$J:$J=AF39),(Schedule!$K:$K=""b"")+(Schedule!$K:$K=""""),Schedule!$S:$S&lt;&gt;""""),""""))"),"")</f>
        <v/>
      </c>
      <c r="AL39" s="152" t="str">
        <f>IFERROR(__xludf.DUMMYFUNCTION("if(AE39="""","""",iferror(filter(Schedule!$V:$V&amp;""-""&amp;Schedule!$W:$W,Schedule!$L:$L=AE39,(Schedule!$J:$J="""")+(Schedule!$J:$J=AF39),(Schedule!$K:$K=""b"")+(Schedule!$K:$K=""""),Schedule!$V:$V&lt;&gt;""""),""""))"),"")</f>
        <v/>
      </c>
      <c r="AM39" s="60"/>
    </row>
    <row r="40">
      <c r="A40" s="151" t="str">
        <f>C34</f>
        <v>Brandon Berry</v>
      </c>
      <c r="B40" s="151" t="str">
        <f>I34</f>
        <v>Y</v>
      </c>
      <c r="C40" s="147">
        <v>5.0</v>
      </c>
      <c r="D40" s="152" t="str">
        <f>IFERROR(__xludf.DUMMYFUNCTION("if(A40="""","""",iferror(filter(Schedule!$Y:$Y&amp;""-""&amp;Schedule!$Z:$Z,Schedule!$L:$L=A40,(Schedule!$J:$J="""")+(Schedule!$J:$J=B40),(Schedule!$K:$K=""a"")+(Schedule!$K:$K=""""),Schedule!$Y:$Y&lt;&gt;""""),""""))"),"English 6-5")</f>
        <v>English 6-5</v>
      </c>
      <c r="E40" s="152" t="str">
        <f>IFERROR(__xludf.DUMMYFUNCTION("if(A40="""","""",iferror(filter(Schedule!$P:$P&amp;""-""&amp;Schedule!$Q:$Q,Schedule!$L:$L=A40,(Schedule!$J:$J="""")+(Schedule!$J:$J=B40),(Schedule!$K:$K=""b"")+(Schedule!$K:$K=""""),Schedule!$P:$P&lt;&gt;""""),""""))"),"")</f>
        <v/>
      </c>
      <c r="F40" s="152" t="str">
        <f>IFERROR(__xludf.DUMMYFUNCTION("if(A40="""","""",iferror(filter(Schedule!$V:$V&amp;""-""&amp;Schedule!$W:$W,Schedule!$L:$L=A40,(Schedule!$J:$J="""")+(Schedule!$J:$J=B40),(Schedule!$K:$K=""b"")+(Schedule!$K:$K=""""),Schedule!$V:$V&lt;&gt;""""),""""))"),"")</f>
        <v/>
      </c>
      <c r="G40" s="152" t="str">
        <f>IFERROR(__xludf.DUMMYFUNCTION("if(A40="""","""",iferror(filter(Schedule!$AB:$AB&amp;""-""&amp;Schedule!$AC:$AC,Schedule!$L:$L=A40,(Schedule!$J:$J="""")+(Schedule!$J:$J=B40),(Schedule!$K:$K=""b"")+(Schedule!$K:$K=""""),Schedule!$AB:$AB&lt;&gt;""""),""""))"),"English 8A-6")</f>
        <v>English 8A-6</v>
      </c>
      <c r="H40" s="152" t="str">
        <f>IFERROR(__xludf.DUMMYFUNCTION("if(A40="""","""",iferror(filter(Schedule!$M:$M&amp;""-""&amp;Schedule!$N:$N,Schedule!$L:$L=A40,(Schedule!$J:$J="""")+(Schedule!$J:$J=B40),(Schedule!$K:$K=""b"")+(Schedule!$K:$K=""""),Schedule!$M:$M&lt;&gt;""""),""""))"),"English 6-2")</f>
        <v>English 6-2</v>
      </c>
      <c r="I40" s="64"/>
      <c r="J40" s="154"/>
      <c r="K40" s="151" t="str">
        <f>M34</f>
        <v/>
      </c>
      <c r="L40" s="151" t="str">
        <f>S34</f>
        <v/>
      </c>
      <c r="M40" s="147">
        <v>5.0</v>
      </c>
      <c r="N40" s="152" t="str">
        <f>IFERROR(__xludf.DUMMYFUNCTION("if(K40="""","""",iferror(filter(Schedule!$Y:$Y&amp;""-""&amp;Schedule!$Z:$Z,Schedule!$L:$L=K40,(Schedule!$J:$J="""")+(Schedule!$J:$J=L40),(Schedule!$K:$K=""a"")+(Schedule!$K:$K=""""),Schedule!$Y:$Y&lt;&gt;""""),""""))"),"")</f>
        <v/>
      </c>
      <c r="O40" s="152" t="str">
        <f>IFERROR(__xludf.DUMMYFUNCTION("if(K40="""","""",iferror(filter(Schedule!$P:$P&amp;""-""&amp;Schedule!$Q:$Q,Schedule!$L:$L=K40,(Schedule!$J:$J="""")+(Schedule!$J:$J=L40),(Schedule!$K:$K=""b"")+(Schedule!$K:$K=""""),Schedule!$P:$P&lt;&gt;""""),""""))"),"")</f>
        <v/>
      </c>
      <c r="P40" s="152" t="str">
        <f>IFERROR(__xludf.DUMMYFUNCTION("if(K40="""","""",iferror(filter(Schedule!$V:$V&amp;""-""&amp;Schedule!$W:$W,Schedule!$L:$L=K40,(Schedule!$J:$J="""")+(Schedule!$J:$J=L40),(Schedule!$K:$K=""b"")+(Schedule!$K:$K=""""),Schedule!$V:$V&lt;&gt;""""),""""))"),"")</f>
        <v/>
      </c>
      <c r="Q40" s="152" t="str">
        <f>IFERROR(__xludf.DUMMYFUNCTION("if(K40="""","""",iferror(filter(Schedule!$AB:$AB&amp;""-""&amp;Schedule!$AC:$AC,Schedule!$L:$L=K40,(Schedule!$J:$J="""")+(Schedule!$J:$J=L40),(Schedule!$K:$K=""b"")+(Schedule!$K:$K=""""),Schedule!$AB:$AB&lt;&gt;""""),""""))"),"")</f>
        <v/>
      </c>
      <c r="R40" s="152" t="str">
        <f>IFERROR(__xludf.DUMMYFUNCTION("if(K40="""","""",iferror(filter(Schedule!$M:$M&amp;""-""&amp;Schedule!$N:$N,Schedule!$L:$L=K40,(Schedule!$J:$J="""")+(Schedule!$J:$J=L40),(Schedule!$K:$K=""b"")+(Schedule!$K:$K=""""),Schedule!$M:$M&lt;&gt;""""),""""))"),"")</f>
        <v/>
      </c>
      <c r="S40" s="64"/>
      <c r="T40" s="155"/>
      <c r="U40" s="155" t="str">
        <f>W34</f>
        <v/>
      </c>
      <c r="V40" s="151" t="str">
        <f>AC34</f>
        <v/>
      </c>
      <c r="W40" s="147">
        <v>5.0</v>
      </c>
      <c r="X40" s="152" t="str">
        <f>IFERROR(__xludf.DUMMYFUNCTION("if(U40="""","""",iferror(filter(Schedule!$Y:$Y&amp;""-""&amp;Schedule!$Z:$Z,Schedule!$L:$L=U40,(Schedule!$J:$J="""")+(Schedule!$J:$J=V40),(Schedule!$K:$K=""a"")+(Schedule!$K:$K=""""),Schedule!$Y:$Y&lt;&gt;""""),""""))"),"")</f>
        <v/>
      </c>
      <c r="Y40" s="152" t="str">
        <f>IFERROR(__xludf.DUMMYFUNCTION("if(U40="""","""",iferror(filter(Schedule!$P:$P&amp;""-""&amp;Schedule!$Q:$Q,Schedule!$L:$L=U40,(Schedule!$J:$J="""")+(Schedule!$J:$J=V40),(Schedule!$K:$K=""b"")+(Schedule!$K:$K=""""),Schedule!$P:$P&lt;&gt;""""),""""))"),"")</f>
        <v/>
      </c>
      <c r="Z40" s="152" t="str">
        <f>IFERROR(__xludf.DUMMYFUNCTION("if(U40="""","""",iferror(filter(Schedule!$V:$V&amp;""-""&amp;Schedule!$W:$W,Schedule!$L:$L=U40,(Schedule!$J:$J="""")+(Schedule!$J:$J=V40),(Schedule!$K:$K=""b"")+(Schedule!$K:$K=""""),Schedule!$V:$V&lt;&gt;""""),""""))"),"")</f>
        <v/>
      </c>
      <c r="AA40" s="152" t="str">
        <f>IFERROR(__xludf.DUMMYFUNCTION("if(U40="""","""",iferror(filter(Schedule!$AB:$AB&amp;""-""&amp;Schedule!$AC:$AC,Schedule!$L:$L=U40,(Schedule!$J:$J="""")+(Schedule!$J:$J=V40),(Schedule!$K:$K=""b"")+(Schedule!$K:$K=""""),Schedule!$AB:$AB&lt;&gt;""""),""""))"),"")</f>
        <v/>
      </c>
      <c r="AB40" s="152" t="str">
        <f>IFERROR(__xludf.DUMMYFUNCTION("if(U40="""","""",iferror(filter(Schedule!$M:$M&amp;""-""&amp;Schedule!$N:$N,Schedule!$L:$L=U40,(Schedule!$J:$J="""")+(Schedule!$J:$J=V40),(Schedule!$K:$K=""b"")+(Schedule!$K:$K=""""),Schedule!$M:$M&lt;&gt;""""),""""))"),"")</f>
        <v/>
      </c>
      <c r="AC40" s="64"/>
      <c r="AD40" s="155"/>
      <c r="AE40" s="155" t="str">
        <f>AG34</f>
        <v/>
      </c>
      <c r="AF40" s="151" t="str">
        <f>AM34</f>
        <v/>
      </c>
      <c r="AG40" s="147">
        <v>5.0</v>
      </c>
      <c r="AH40" s="152" t="str">
        <f>IFERROR(__xludf.DUMMYFUNCTION("if(AE40="""","""",iferror(filter(Schedule!$Y:$Y&amp;""-""&amp;Schedule!$Z:$Z,Schedule!$L:$L=AE40,(Schedule!$J:$J="""")+(Schedule!$J:$J=AF40),(Schedule!$K:$K=""a"")+(Schedule!$K:$K=""""),Schedule!$Y:$Y&lt;&gt;""""),""""))"),"")</f>
        <v/>
      </c>
      <c r="AI40" s="152" t="str">
        <f>IFERROR(__xludf.DUMMYFUNCTION("if(AE40="""","""",iferror(filter(Schedule!$P:$P&amp;""-""&amp;Schedule!$Q:$Q,Schedule!$L:$L=AE40,(Schedule!$J:$J="""")+(Schedule!$J:$J=AF40),(Schedule!$K:$K=""b"")+(Schedule!$K:$K=""""),Schedule!$P:$P&lt;&gt;""""),""""))"),"")</f>
        <v/>
      </c>
      <c r="AJ40" s="152" t="str">
        <f>IFERROR(__xludf.DUMMYFUNCTION("if(AE40="""","""",iferror(filter(Schedule!$V:$V&amp;""-""&amp;Schedule!$W:$W,Schedule!$L:$L=AE40,(Schedule!$J:$J="""")+(Schedule!$J:$J=AF40),(Schedule!$K:$K=""b"")+(Schedule!$K:$K=""""),Schedule!$V:$V&lt;&gt;""""),""""))"),"")</f>
        <v/>
      </c>
      <c r="AK40" s="152" t="str">
        <f>IFERROR(__xludf.DUMMYFUNCTION("if(AE40="""","""",iferror(filter(Schedule!$AB:$AB&amp;""-""&amp;Schedule!$AC:$AC,Schedule!$L:$L=AE40,(Schedule!$J:$J="""")+(Schedule!$J:$J=AF40),(Schedule!$K:$K=""b"")+(Schedule!$K:$K=""""),Schedule!$AB:$AB&lt;&gt;""""),""""))"),"")</f>
        <v/>
      </c>
      <c r="AL40" s="152" t="str">
        <f>IFERROR(__xludf.DUMMYFUNCTION("if(AE40="""","""",iferror(filter(Schedule!$M:$M&amp;""-""&amp;Schedule!$N:$N,Schedule!$L:$L=AE40,(Schedule!$J:$J="""")+(Schedule!$J:$J=AF40),(Schedule!$K:$K=""b"")+(Schedule!$K:$K=""""),Schedule!$M:$M&lt;&gt;""""),""""))"),"")</f>
        <v/>
      </c>
      <c r="AM40" s="64"/>
    </row>
    <row r="41">
      <c r="A41" s="11"/>
      <c r="B41" s="11"/>
      <c r="C41" s="156"/>
      <c r="D41" s="156"/>
      <c r="E41" s="156"/>
      <c r="F41" s="156"/>
      <c r="G41" s="156"/>
      <c r="H41" s="156"/>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c r="A42" s="5"/>
      <c r="B42" s="5"/>
      <c r="C42" s="140" t="str">
        <f>Teachers!A6</f>
        <v>Chris Matthews</v>
      </c>
      <c r="D42" s="141"/>
      <c r="E42" s="141"/>
      <c r="F42" s="141"/>
      <c r="G42" s="141"/>
      <c r="H42" s="142"/>
      <c r="I42" s="143" t="str">
        <f>IFERROR(__xludf.DUMMYFUNCTION("if(C42="""","""", iferror(unique(filter(Schedule!$J:$J,Schedule!$L:$L=$C42,Schedule!$J:$J=""Q1"")),iferror(unique(filter(Schedule!$J:$J,Schedule!$L:$L=$C42,Schedule!$J:$J=""S1"")),""Y"")))"),"Y")</f>
        <v>Y</v>
      </c>
      <c r="J42" s="11"/>
      <c r="K42" s="11"/>
      <c r="L42" s="11"/>
      <c r="M42" s="140" t="str">
        <f>if(S42="","",C42)</f>
        <v/>
      </c>
      <c r="N42" s="141"/>
      <c r="O42" s="141"/>
      <c r="P42" s="141"/>
      <c r="Q42" s="141"/>
      <c r="R42" s="142"/>
      <c r="S42" s="143" t="str">
        <f>if($I42="Q1","Q2",if($I42="S1","S2",""))</f>
        <v/>
      </c>
      <c r="T42" s="144"/>
      <c r="U42" s="144"/>
      <c r="V42" s="145"/>
      <c r="W42" s="140" t="str">
        <f>if(AC42="","",M42)</f>
        <v/>
      </c>
      <c r="X42" s="141"/>
      <c r="Y42" s="141"/>
      <c r="Z42" s="141"/>
      <c r="AA42" s="141"/>
      <c r="AB42" s="142"/>
      <c r="AC42" s="143" t="str">
        <f>if($I42="Q1","Q3","")</f>
        <v/>
      </c>
      <c r="AD42" s="144"/>
      <c r="AE42" s="144"/>
      <c r="AF42" s="145"/>
      <c r="AG42" s="140" t="str">
        <f>if(AC42="","",W42)</f>
        <v/>
      </c>
      <c r="AH42" s="141"/>
      <c r="AI42" s="141"/>
      <c r="AJ42" s="141"/>
      <c r="AK42" s="141"/>
      <c r="AL42" s="142"/>
      <c r="AM42" s="143" t="str">
        <f>if($I42="Q1","Q4","")</f>
        <v/>
      </c>
    </row>
    <row r="43">
      <c r="A43" s="146"/>
      <c r="B43" s="146"/>
      <c r="C43" s="147" t="s">
        <v>94</v>
      </c>
      <c r="D43" s="148" t="s">
        <v>95</v>
      </c>
      <c r="E43" s="148" t="s">
        <v>96</v>
      </c>
      <c r="F43" s="148" t="s">
        <v>97</v>
      </c>
      <c r="G43" s="148" t="s">
        <v>98</v>
      </c>
      <c r="H43" s="148" t="s">
        <v>99</v>
      </c>
      <c r="I43" s="148" t="s">
        <v>651</v>
      </c>
      <c r="J43" s="146"/>
      <c r="K43" s="146"/>
      <c r="L43" s="146"/>
      <c r="M43" s="147" t="s">
        <v>94</v>
      </c>
      <c r="N43" s="148" t="s">
        <v>95</v>
      </c>
      <c r="O43" s="148" t="s">
        <v>96</v>
      </c>
      <c r="P43" s="148" t="s">
        <v>97</v>
      </c>
      <c r="Q43" s="148" t="s">
        <v>98</v>
      </c>
      <c r="R43" s="148" t="s">
        <v>99</v>
      </c>
      <c r="S43" s="148" t="s">
        <v>651</v>
      </c>
      <c r="T43" s="149"/>
      <c r="U43" s="149"/>
      <c r="V43" s="150"/>
      <c r="W43" s="147" t="s">
        <v>94</v>
      </c>
      <c r="X43" s="148" t="s">
        <v>95</v>
      </c>
      <c r="Y43" s="148" t="s">
        <v>96</v>
      </c>
      <c r="Z43" s="148" t="s">
        <v>97</v>
      </c>
      <c r="AA43" s="148" t="s">
        <v>98</v>
      </c>
      <c r="AB43" s="148" t="s">
        <v>99</v>
      </c>
      <c r="AC43" s="148" t="s">
        <v>651</v>
      </c>
      <c r="AD43" s="149"/>
      <c r="AE43" s="149"/>
      <c r="AF43" s="150"/>
      <c r="AG43" s="147" t="s">
        <v>94</v>
      </c>
      <c r="AH43" s="148" t="s">
        <v>95</v>
      </c>
      <c r="AI43" s="148" t="s">
        <v>96</v>
      </c>
      <c r="AJ43" s="148" t="s">
        <v>97</v>
      </c>
      <c r="AK43" s="148" t="s">
        <v>98</v>
      </c>
      <c r="AL43" s="148" t="s">
        <v>99</v>
      </c>
      <c r="AM43" s="148" t="s">
        <v>651</v>
      </c>
    </row>
    <row r="44">
      <c r="A44" s="151" t="str">
        <f>C42</f>
        <v>Chris Matthews</v>
      </c>
      <c r="B44" s="151" t="str">
        <f>I42</f>
        <v>Y</v>
      </c>
      <c r="C44" s="147">
        <v>1.0</v>
      </c>
      <c r="D44" s="152" t="str">
        <f>IFERROR(__xludf.DUMMYFUNCTION("if(A44="""","""",iferror(filter(Schedule!$M:$M&amp;""-""&amp;Schedule!$N:$N,Schedule!$L:$L=A44,(Schedule!$J:$J="""")+(Schedule!$J:$J=B44),(Schedule!$K:$K=""a"")+(Schedule!$K:$K=""""),Schedule!$M:$M&lt;&gt;""""),""""))"),"")</f>
        <v/>
      </c>
      <c r="E44" s="152" t="str">
        <f>IFERROR(__xludf.DUMMYFUNCTION("if(A44="""","""",iferror(filter(Schedule!$AB:$AB&amp;""-""&amp;Schedule!$AC:$AC,Schedule!$L:$L=A44,(Schedule!$J:$J="""")+(Schedule!$J:$J=B44),(Schedule!$K:$K=""b"")+(Schedule!$K:$K=""""),Schedule!$AB:$AB&lt;&gt;""""),""""))"),"Math 7-6")</f>
        <v>Math 7-6</v>
      </c>
      <c r="F44" s="152" t="str">
        <f>IFERROR(__xludf.DUMMYFUNCTION("if(A44="""","""",iferror(filter(Schedule!$S:$S&amp;""-""&amp;Schedule!$T:$T,Schedule!$L:$L=A44,(Schedule!$J:$J="""")+(Schedule!$J:$J=B44),(Schedule!$K:$K=""a"")+(Schedule!$K:$K=""""),Schedule!$S:$S&lt;&gt;""""),""""))"),"Math 7A-1")</f>
        <v>Math 7A-1</v>
      </c>
      <c r="G44" s="152" t="str">
        <f>IFERROR(__xludf.DUMMYFUNCTION("if(A44="""","""",iferror(filter(Schedule!$V:$V&amp;""-""&amp;Schedule!$W:$W,Schedule!$L:$L=A44,(Schedule!$J:$J="""")+(Schedule!$J:$J=B44),(Schedule!$K:$K=""a"")+(Schedule!$K:$K=""""),Schedule!$V:$V&lt;&gt;""""),""""))"),"Math 7-3")</f>
        <v>Math 7-3</v>
      </c>
      <c r="H44" s="152" t="str">
        <f>IFERROR(__xludf.DUMMYFUNCTION("if(A44="""","""",iferror(filter(Schedule!$Y:$Y&amp;""-""&amp;Schedule!$Z:$Z,Schedule!$L:$L=A44,(Schedule!$J:$J="""")+(Schedule!$J:$J=B44),(Schedule!$K:$K=""b"")+(Schedule!$K:$K=""""),Schedule!$Y:$Y&lt;&gt;""""),""""))"),"Math 7-5")</f>
        <v>Math 7-5</v>
      </c>
      <c r="I44" s="153">
        <f>if(C42="","", 24-countifs(D44:H48,""))</f>
        <v>16</v>
      </c>
      <c r="J44" s="154"/>
      <c r="K44" s="151" t="str">
        <f>M42</f>
        <v/>
      </c>
      <c r="L44" s="151" t="str">
        <f>S42</f>
        <v/>
      </c>
      <c r="M44" s="147">
        <v>1.0</v>
      </c>
      <c r="N44" s="152" t="str">
        <f>IFERROR(__xludf.DUMMYFUNCTION("if(K44="""","""",iferror(filter(Schedule!$M:$M&amp;""-""&amp;Schedule!$N:$N,Schedule!$L:$L=K44,(Schedule!$J:$J="""")+(Schedule!$J:$J=L44),(Schedule!$K:$K=""a"")+(Schedule!$K:$K=""""),Schedule!$M:$M&lt;&gt;""""),""""))"),"")</f>
        <v/>
      </c>
      <c r="O44" s="152" t="str">
        <f>IFERROR(__xludf.DUMMYFUNCTION("if(K44="""","""",iferror(filter(Schedule!$AB:$AB&amp;""-""&amp;Schedule!$AC:$AC,Schedule!$L:$L=K44,(Schedule!$J:$J="""")+(Schedule!$J:$J=L44),(Schedule!$K:$K=""b"")+(Schedule!$K:$K=""""),Schedule!$AB:$AB&lt;&gt;""""),""""))"),"")</f>
        <v/>
      </c>
      <c r="P44" s="152" t="str">
        <f>IFERROR(__xludf.DUMMYFUNCTION("if(K44="""","""",iferror(filter(Schedule!$S:$S&amp;""-""&amp;Schedule!$T:$T,Schedule!$L:$L=K44,(Schedule!$J:$J="""")+(Schedule!$J:$J=L44),(Schedule!$K:$K=""a"")+(Schedule!$K:$K=""""),Schedule!$S:$S&lt;&gt;""""),""""))"),"")</f>
        <v/>
      </c>
      <c r="Q44" s="152" t="str">
        <f>IFERROR(__xludf.DUMMYFUNCTION("if(K44="""","""",iferror(filter(Schedule!$V:$V&amp;""-""&amp;Schedule!$W:$W,Schedule!$L:$L=K44,(Schedule!$J:$J="""")+(Schedule!$J:$J=L44),(Schedule!$K:$K=""a"")+(Schedule!$K:$K=""""),Schedule!$V:$V&lt;&gt;""""),""""))"),"")</f>
        <v/>
      </c>
      <c r="R44" s="152" t="str">
        <f>IFERROR(__xludf.DUMMYFUNCTION("if(K44="""","""",iferror(filter(Schedule!$Y:$Y&amp;""-""&amp;Schedule!$Z:$Z,Schedule!$L:$L=K44,(Schedule!$J:$J="""")+(Schedule!$J:$J=L44),(Schedule!$K:$K=""b"")+(Schedule!$K:$K=""""),Schedule!$Y:$Y&lt;&gt;""""),""""))"),"")</f>
        <v/>
      </c>
      <c r="S44" s="153" t="str">
        <f>if(K44="","", 24-countifs(N44:R48,""))</f>
        <v/>
      </c>
      <c r="T44" s="155"/>
      <c r="U44" s="155" t="str">
        <f>W42</f>
        <v/>
      </c>
      <c r="V44" s="151" t="str">
        <f>AC42</f>
        <v/>
      </c>
      <c r="W44" s="147">
        <v>1.0</v>
      </c>
      <c r="X44" s="152" t="str">
        <f>IFERROR(__xludf.DUMMYFUNCTION("if(U44="""","""",iferror(filter(Schedule!$M:$M&amp;""-""&amp;Schedule!$N:$N,Schedule!$L:$L=U44,(Schedule!$J:$J="""")+(Schedule!$J:$J=V44),(Schedule!$K:$K=""a"")+(Schedule!$K:$K=""""),Schedule!$M:$M&lt;&gt;""""),""""))"),"")</f>
        <v/>
      </c>
      <c r="Y44" s="152" t="str">
        <f>IFERROR(__xludf.DUMMYFUNCTION("if(U44="""","""",iferror(filter(Schedule!$AB:$AB&amp;""-""&amp;Schedule!$AC:$AC,Schedule!$L:$L=U44,(Schedule!$J:$J="""")+(Schedule!$J:$J=V44),(Schedule!$K:$K=""b"")+(Schedule!$K:$K=""""),Schedule!$AB:$AB&lt;&gt;""""),""""))"),"")</f>
        <v/>
      </c>
      <c r="Z44" s="152" t="str">
        <f>IFERROR(__xludf.DUMMYFUNCTION("if(U44="""","""",iferror(filter(Schedule!$S:$S&amp;""-""&amp;Schedule!$T:$T,Schedule!$L:$L=U44,(Schedule!$J:$J="""")+(Schedule!$J:$J=V44),(Schedule!$K:$K=""a"")+(Schedule!$K:$K=""""),Schedule!$S:$S&lt;&gt;""""),""""))"),"")</f>
        <v/>
      </c>
      <c r="AA44" s="152" t="str">
        <f>IFERROR(__xludf.DUMMYFUNCTION("if(U44="""","""",iferror(filter(Schedule!$V:$V&amp;""-""&amp;Schedule!$W:$W,Schedule!$L:$L=U44,(Schedule!$J:$J="""")+(Schedule!$J:$J=V44),(Schedule!$K:$K=""a"")+(Schedule!$K:$K=""""),Schedule!$V:$V&lt;&gt;""""),""""))"),"")</f>
        <v/>
      </c>
      <c r="AB44" s="152" t="str">
        <f>IFERROR(__xludf.DUMMYFUNCTION("if(U44="""","""",iferror(filter(Schedule!$Y:$Y&amp;""-""&amp;Schedule!$Z:$Z,Schedule!$L:$L=U44,(Schedule!$J:$J="""")+(Schedule!$J:$J=V44),(Schedule!$K:$K=""b"")+(Schedule!$K:$K=""""),Schedule!$Y:$Y&lt;&gt;""""),""""))"),"")</f>
        <v/>
      </c>
      <c r="AC44" s="153" t="str">
        <f>if(U44="","", 24-countifs(X44:AB48,""))</f>
        <v/>
      </c>
      <c r="AD44" s="155"/>
      <c r="AE44" s="155" t="str">
        <f>AG42</f>
        <v/>
      </c>
      <c r="AF44" s="151" t="str">
        <f>AM42</f>
        <v/>
      </c>
      <c r="AG44" s="147">
        <v>1.0</v>
      </c>
      <c r="AH44" s="152" t="str">
        <f>IFERROR(__xludf.DUMMYFUNCTION("if(AE44="""","""",iferror(filter(Schedule!$M:$M&amp;""-""&amp;Schedule!$N:$N,Schedule!$L:$L=AE44,(Schedule!$J:$J="""")+(Schedule!$J:$J=AF44),(Schedule!$K:$K=""a"")+(Schedule!$K:$K=""""),Schedule!$M:$M&lt;&gt;""""),""""))"),"")</f>
        <v/>
      </c>
      <c r="AI44" s="152" t="str">
        <f>IFERROR(__xludf.DUMMYFUNCTION("if(AE44="""","""",iferror(filter(Schedule!$AB:$AB&amp;""-""&amp;Schedule!$AC:$AC,Schedule!$L:$L=AE44,(Schedule!$J:$J="""")+(Schedule!$J:$J=AF44),(Schedule!$K:$K=""b"")+(Schedule!$K:$K=""""),Schedule!$AB:$AB&lt;&gt;""""),""""))"),"")</f>
        <v/>
      </c>
      <c r="AJ44" s="152" t="str">
        <f>IFERROR(__xludf.DUMMYFUNCTION("if(AE44="""","""",iferror(filter(Schedule!$S:$S&amp;""-""&amp;Schedule!$T:$T,Schedule!$L:$L=AE44,(Schedule!$J:$J="""")+(Schedule!$J:$J=AF44),(Schedule!$K:$K=""a"")+(Schedule!$K:$K=""""),Schedule!$S:$S&lt;&gt;""""),""""))"),"")</f>
        <v/>
      </c>
      <c r="AK44" s="152" t="str">
        <f>IFERROR(__xludf.DUMMYFUNCTION("if(AE44="""","""",iferror(filter(Schedule!$V:$V&amp;""-""&amp;Schedule!$W:$W,Schedule!$L:$L=AE44,(Schedule!$J:$J="""")+(Schedule!$J:$J=AF44),(Schedule!$K:$K=""a"")+(Schedule!$K:$K=""""),Schedule!$V:$V&lt;&gt;""""),""""))"),"")</f>
        <v/>
      </c>
      <c r="AL44" s="152" t="str">
        <f>IFERROR(__xludf.DUMMYFUNCTION("if(AE44="""","""",iferror(filter(Schedule!$Y:$Y&amp;""-""&amp;Schedule!$Z:$Z,Schedule!$L:$L=AE44,(Schedule!$J:$J="""")+(Schedule!$J:$J=AF44),(Schedule!$K:$K=""b"")+(Schedule!$K:$K=""""),Schedule!$Y:$Y&lt;&gt;""""),""""))"),"")</f>
        <v/>
      </c>
      <c r="AM44" s="153" t="str">
        <f>if(AE44="","", 24-countifs(AH44:AL48,""))</f>
        <v/>
      </c>
    </row>
    <row r="45">
      <c r="A45" s="151" t="str">
        <f>C42</f>
        <v>Chris Matthews</v>
      </c>
      <c r="B45" s="151" t="str">
        <f>I42</f>
        <v>Y</v>
      </c>
      <c r="C45" s="147">
        <v>2.0</v>
      </c>
      <c r="D45" s="152" t="str">
        <f>IFERROR(__xludf.DUMMYFUNCTION("if(A45="""","""",iferror(filter(Schedule!$P:$P&amp;""-""&amp;Schedule!$Q:$Q,Schedule!$L:$L=A45,(Schedule!$J:$J="""")+(Schedule!$J:$J=B45),(Schedule!$K:$K=""a"")+(Schedule!$K:$K=""""),Schedule!$P:$P&lt;&gt;""""),""""))"),"")</f>
        <v/>
      </c>
      <c r="E45" s="152" t="str">
        <f>IFERROR(__xludf.DUMMYFUNCTION("if(A45="""","""",iferror(filter(Schedule!$Y:$Y&amp;""-""&amp;Schedule!$Z:$Z,Schedule!$L:$L=A45,(Schedule!$J:$J="""")+(Schedule!$J:$J=B45),(Schedule!$K:$K=""b"")+(Schedule!$K:$K=""""),Schedule!$Y:$Y&lt;&gt;""""),""""))"),"Math 7-5")</f>
        <v>Math 7-5</v>
      </c>
      <c r="F45" s="152" t="str">
        <f>IFERROR(__xludf.DUMMYFUNCTION("if(A45="""","""",iferror(filter(Schedule!$P:$P&amp;""-""&amp;Schedule!$Q:$Q,Schedule!$L:$L=A45,(Schedule!$J:$J="""")+(Schedule!$J:$J=B45),(Schedule!$K:$K=""a"")+(Schedule!$K:$K=""""),Schedule!$P:$P&lt;&gt;""""),""""))"),"")</f>
        <v/>
      </c>
      <c r="G45" s="152" t="str">
        <f>IFERROR(__xludf.DUMMYFUNCTION("if(A45="""","""",iferror(filter(Schedule!$M:$M&amp;""-""&amp;Schedule!$N:$N,Schedule!$L:$L=A45,(Schedule!$J:$J="""")+(Schedule!$J:$J=B45),(Schedule!$K:$K=""a"")+(Schedule!$K:$K=""""),Schedule!$M:$M&lt;&gt;""""),""""))"),"")</f>
        <v/>
      </c>
      <c r="H45" s="152" t="str">
        <f>IFERROR(__xludf.DUMMYFUNCTION("if(A45="""","""",iferror(filter(Schedule!$AB:$AB&amp;""-""&amp;Schedule!$AC:$AC,Schedule!$L:$L=A45,(Schedule!$J:$J="""")+(Schedule!$J:$J=B45),(Schedule!$K:$K=""a"")+(Schedule!$K:$K=""""),Schedule!$AB:$AB&lt;&gt;""""),""""))"),"Math 7-6")</f>
        <v>Math 7-6</v>
      </c>
      <c r="I45" s="60"/>
      <c r="J45" s="154"/>
      <c r="K45" s="151" t="str">
        <f>M42</f>
        <v/>
      </c>
      <c r="L45" s="151" t="str">
        <f>S42</f>
        <v/>
      </c>
      <c r="M45" s="147">
        <v>2.0</v>
      </c>
      <c r="N45" s="152" t="str">
        <f>IFERROR(__xludf.DUMMYFUNCTION("if(K45="""","""",iferror(filter(Schedule!$P:$P&amp;""-""&amp;Schedule!$Q:$Q,Schedule!$L:$L=K45,(Schedule!$J:$J="""")+(Schedule!$J:$J=L45),(Schedule!$K:$K=""a"")+(Schedule!$K:$K=""""),Schedule!$P:$P&lt;&gt;""""),""""))"),"")</f>
        <v/>
      </c>
      <c r="O45" s="152" t="str">
        <f>IFERROR(__xludf.DUMMYFUNCTION("if(K45="""","""",iferror(filter(Schedule!$Y:$Y&amp;""-""&amp;Schedule!$Z:$Z,Schedule!$L:$L=K45,(Schedule!$J:$J="""")+(Schedule!$J:$J=L45),(Schedule!$K:$K=""b"")+(Schedule!$K:$K=""""),Schedule!$Y:$Y&lt;&gt;""""),""""))"),"")</f>
        <v/>
      </c>
      <c r="P45" s="152" t="str">
        <f>IFERROR(__xludf.DUMMYFUNCTION("if(K45="""","""",iferror(filter(Schedule!$P:$P&amp;""-""&amp;Schedule!$Q:$Q,Schedule!$L:$L=K45,(Schedule!$J:$J="""")+(Schedule!$J:$J=L45),(Schedule!$K:$K=""a"")+(Schedule!$K:$K=""""),Schedule!$P:$P&lt;&gt;""""),""""))"),"")</f>
        <v/>
      </c>
      <c r="Q45" s="152" t="str">
        <f>IFERROR(__xludf.DUMMYFUNCTION("if(K45="""","""",iferror(filter(Schedule!$M:$M&amp;""-""&amp;Schedule!$N:$N,Schedule!$L:$L=K45,(Schedule!$J:$J="""")+(Schedule!$J:$J=L45),(Schedule!$K:$K=""a"")+(Schedule!$K:$K=""""),Schedule!$M:$M&lt;&gt;""""),""""))"),"")</f>
        <v/>
      </c>
      <c r="R45" s="152" t="str">
        <f>IFERROR(__xludf.DUMMYFUNCTION("if(K45="""","""",iferror(filter(Schedule!$AB:$AB&amp;""-""&amp;Schedule!$AC:$AC,Schedule!$L:$L=K45,(Schedule!$J:$J="""")+(Schedule!$J:$J=L45),(Schedule!$K:$K=""a"")+(Schedule!$K:$K=""""),Schedule!$AB:$AB&lt;&gt;""""),""""))"),"")</f>
        <v/>
      </c>
      <c r="S45" s="60"/>
      <c r="T45" s="155"/>
      <c r="U45" s="155" t="str">
        <f>W42</f>
        <v/>
      </c>
      <c r="V45" s="151" t="str">
        <f>AC42</f>
        <v/>
      </c>
      <c r="W45" s="147">
        <v>2.0</v>
      </c>
      <c r="X45" s="152" t="str">
        <f>IFERROR(__xludf.DUMMYFUNCTION("if(U45="""","""",iferror(filter(Schedule!$P:$P&amp;""-""&amp;Schedule!$Q:$Q,Schedule!$L:$L=U45,(Schedule!$J:$J="""")+(Schedule!$J:$J=V45),(Schedule!$K:$K=""a"")+(Schedule!$K:$K=""""),Schedule!$P:$P&lt;&gt;""""),""""))"),"")</f>
        <v/>
      </c>
      <c r="Y45" s="152" t="str">
        <f>IFERROR(__xludf.DUMMYFUNCTION("if(U45="""","""",iferror(filter(Schedule!$Y:$Y&amp;""-""&amp;Schedule!$Z:$Z,Schedule!$L:$L=U45,(Schedule!$J:$J="""")+(Schedule!$J:$J=V45),(Schedule!$K:$K=""b"")+(Schedule!$K:$K=""""),Schedule!$Y:$Y&lt;&gt;""""),""""))"),"")</f>
        <v/>
      </c>
      <c r="Z45" s="152" t="str">
        <f>IFERROR(__xludf.DUMMYFUNCTION("if(U45="""","""",iferror(filter(Schedule!$P:$P&amp;""-""&amp;Schedule!$Q:$Q,Schedule!$L:$L=U45,(Schedule!$J:$J="""")+(Schedule!$J:$J=V45),(Schedule!$K:$K=""a"")+(Schedule!$K:$K=""""),Schedule!$P:$P&lt;&gt;""""),""""))"),"")</f>
        <v/>
      </c>
      <c r="AA45" s="152" t="str">
        <f>IFERROR(__xludf.DUMMYFUNCTION("if(U45="""","""",iferror(filter(Schedule!$M:$M&amp;""-""&amp;Schedule!$N:$N,Schedule!$L:$L=U45,(Schedule!$J:$J="""")+(Schedule!$J:$J=V45),(Schedule!$K:$K=""a"")+(Schedule!$K:$K=""""),Schedule!$M:$M&lt;&gt;""""),""""))"),"")</f>
        <v/>
      </c>
      <c r="AB45" s="152" t="str">
        <f>IFERROR(__xludf.DUMMYFUNCTION("if(U45="""","""",iferror(filter(Schedule!$AB:$AB&amp;""-""&amp;Schedule!$AC:$AC,Schedule!$L:$L=U45,(Schedule!$J:$J="""")+(Schedule!$J:$J=V45),(Schedule!$K:$K=""a"")+(Schedule!$K:$K=""""),Schedule!$AB:$AB&lt;&gt;""""),""""))"),"")</f>
        <v/>
      </c>
      <c r="AC45" s="60"/>
      <c r="AD45" s="155"/>
      <c r="AE45" s="155" t="str">
        <f>AG42</f>
        <v/>
      </c>
      <c r="AF45" s="151" t="str">
        <f>AM42</f>
        <v/>
      </c>
      <c r="AG45" s="147">
        <v>2.0</v>
      </c>
      <c r="AH45" s="152" t="str">
        <f>IFERROR(__xludf.DUMMYFUNCTION("if(AE45="""","""",iferror(filter(Schedule!$P:$P&amp;""-""&amp;Schedule!$Q:$Q,Schedule!$L:$L=AE45,(Schedule!$J:$J="""")+(Schedule!$J:$J=AF45),(Schedule!$K:$K=""a"")+(Schedule!$K:$K=""""),Schedule!$P:$P&lt;&gt;""""),""""))"),"")</f>
        <v/>
      </c>
      <c r="AI45" s="152" t="str">
        <f>IFERROR(__xludf.DUMMYFUNCTION("if(AE45="""","""",iferror(filter(Schedule!$Y:$Y&amp;""-""&amp;Schedule!$Z:$Z,Schedule!$L:$L=AE45,(Schedule!$J:$J="""")+(Schedule!$J:$J=AF45),(Schedule!$K:$K=""b"")+(Schedule!$K:$K=""""),Schedule!$Y:$Y&lt;&gt;""""),""""))"),"")</f>
        <v/>
      </c>
      <c r="AJ45" s="152" t="str">
        <f>IFERROR(__xludf.DUMMYFUNCTION("if(AE45="""","""",iferror(filter(Schedule!$P:$P&amp;""-""&amp;Schedule!$Q:$Q,Schedule!$L:$L=AE45,(Schedule!$J:$J="""")+(Schedule!$J:$J=AF45),(Schedule!$K:$K=""a"")+(Schedule!$K:$K=""""),Schedule!$P:$P&lt;&gt;""""),""""))"),"")</f>
        <v/>
      </c>
      <c r="AK45" s="152" t="str">
        <f>IFERROR(__xludf.DUMMYFUNCTION("if(AE45="""","""",iferror(filter(Schedule!$M:$M&amp;""-""&amp;Schedule!$N:$N,Schedule!$L:$L=AE45,(Schedule!$J:$J="""")+(Schedule!$J:$J=AF45),(Schedule!$K:$K=""a"")+(Schedule!$K:$K=""""),Schedule!$M:$M&lt;&gt;""""),""""))"),"")</f>
        <v/>
      </c>
      <c r="AL45" s="152" t="str">
        <f>IFERROR(__xludf.DUMMYFUNCTION("if(AE45="""","""",iferror(filter(Schedule!$AB:$AB&amp;""-""&amp;Schedule!$AC:$AC,Schedule!$L:$L=AE45,(Schedule!$J:$J="""")+(Schedule!$J:$J=AF45),(Schedule!$K:$K=""a"")+(Schedule!$K:$K=""""),Schedule!$AB:$AB&lt;&gt;""""),""""))"),"")</f>
        <v/>
      </c>
      <c r="AM45" s="60"/>
    </row>
    <row r="46">
      <c r="A46" s="151" t="str">
        <f>C42</f>
        <v>Chris Matthews</v>
      </c>
      <c r="B46" s="151" t="str">
        <f>I42</f>
        <v>Y</v>
      </c>
      <c r="C46" s="147">
        <v>3.0</v>
      </c>
      <c r="D46" s="152" t="str">
        <f>IFERROR(__xludf.DUMMYFUNCTION("if(A46="""","""",iferror(filter(Schedule!$S:$S&amp;""-""&amp;Schedule!$T:$T,Schedule!$L:$L=A46,(Schedule!$J:$J="""")+(Schedule!$J:$J=B46),(Schedule!$K:$K=""a"")+(Schedule!$K:$K=""""),Schedule!$S:$S&lt;&gt;""""),""""))"),"Math 7A-1")</f>
        <v>Math 7A-1</v>
      </c>
      <c r="E46" s="152" t="str">
        <f>IFERROR(__xludf.DUMMYFUNCTION("if(A46="""","""",iferror(filter(Schedule!$S:$S&amp;""-""&amp;Schedule!$T:$T,Schedule!$L:$L=A46,(Schedule!$J:$J="""")+(Schedule!$J:$J=B46),(Schedule!$K:$K=""b"")+(Schedule!$K:$K=""""),Schedule!$S:$S&lt;&gt;""""),""""))"),"Math 7A-1")</f>
        <v>Math 7A-1</v>
      </c>
      <c r="F46" s="152" t="str">
        <f>IFERROR(__xludf.DUMMYFUNCTION("if(A46="""","""",iferror(filter(Schedule!$Y:$Y&amp;""-""&amp;Schedule!$Z:$Z,Schedule!$L:$L=A46,(Schedule!$J:$J="""")+(Schedule!$J:$J=B46),(Schedule!$K:$K=""a"")+(Schedule!$K:$K=""""),Schedule!$Y:$Y&lt;&gt;""""),""""))"),"Math 7-5")</f>
        <v>Math 7-5</v>
      </c>
      <c r="G46" s="152" t="str">
        <f>IFERROR(__xludf.DUMMYFUNCTION("if(A46="""","""",iferror(filter(Schedule!$P:$P&amp;""-""&amp;Schedule!$Q:$Q,Schedule!$L:$L=A46,(Schedule!$J:$J="""")+(Schedule!$J:$J=B46),(Schedule!$K:$K=""b"")+(Schedule!$K:$K=""""),Schedule!$P:$P&lt;&gt;""""),""""))"),"")</f>
        <v/>
      </c>
      <c r="H46" s="152" t="str">
        <f>if(C42="","","X-Block")</f>
        <v>X-Block</v>
      </c>
      <c r="I46" s="60"/>
      <c r="J46" s="154"/>
      <c r="K46" s="151" t="str">
        <f>M42</f>
        <v/>
      </c>
      <c r="L46" s="151" t="str">
        <f>S42</f>
        <v/>
      </c>
      <c r="M46" s="147">
        <v>3.0</v>
      </c>
      <c r="N46" s="152" t="str">
        <f>IFERROR(__xludf.DUMMYFUNCTION("if(K46="""","""",iferror(filter(Schedule!$S:$S&amp;""-""&amp;Schedule!$T:$T,Schedule!$L:$L=K46,(Schedule!$J:$J="""")+(Schedule!$J:$J=L46),(Schedule!$K:$K=""a"")+(Schedule!$K:$K=""""),Schedule!$S:$S&lt;&gt;""""),""""))"),"")</f>
        <v/>
      </c>
      <c r="O46" s="152" t="str">
        <f>IFERROR(__xludf.DUMMYFUNCTION("if(K46="""","""",iferror(filter(Schedule!$S:$S&amp;""-""&amp;Schedule!$T:$T,Schedule!$L:$L=K46,(Schedule!$J:$J="""")+(Schedule!$J:$J=L46),(Schedule!$K:$K=""b"")+(Schedule!$K:$K=""""),Schedule!$S:$S&lt;&gt;""""),""""))"),"")</f>
        <v/>
      </c>
      <c r="P46" s="152" t="str">
        <f>IFERROR(__xludf.DUMMYFUNCTION("if(K46="""","""",iferror(filter(Schedule!$Y:$Y&amp;""-""&amp;Schedule!$Z:$Z,Schedule!$L:$L=K46,(Schedule!$J:$J="""")+(Schedule!$J:$J=L46),(Schedule!$K:$K=""a"")+(Schedule!$K:$K=""""),Schedule!$Y:$Y&lt;&gt;""""),""""))"),"")</f>
        <v/>
      </c>
      <c r="Q46" s="152" t="str">
        <f>IFERROR(__xludf.DUMMYFUNCTION("if(K46="""","""",iferror(filter(Schedule!$P:$P&amp;""-""&amp;Schedule!$Q:$Q,Schedule!$L:$L=K46,(Schedule!$J:$J="""")+(Schedule!$J:$J=L46),(Schedule!$K:$K=""b"")+(Schedule!$K:$K=""""),Schedule!$P:$P&lt;&gt;""""),""""))"),"")</f>
        <v/>
      </c>
      <c r="R46" s="152" t="str">
        <f>if(M42="","","X-Block")</f>
        <v/>
      </c>
      <c r="S46" s="60"/>
      <c r="T46" s="155"/>
      <c r="U46" s="155" t="str">
        <f>W42</f>
        <v/>
      </c>
      <c r="V46" s="151" t="str">
        <f>AC42</f>
        <v/>
      </c>
      <c r="W46" s="147">
        <v>3.0</v>
      </c>
      <c r="X46" s="152" t="str">
        <f>IFERROR(__xludf.DUMMYFUNCTION("if(U46="""","""",iferror(filter(Schedule!$S:$S&amp;""-""&amp;Schedule!$T:$T,Schedule!$L:$L=U46,(Schedule!$J:$J="""")+(Schedule!$J:$J=V46),(Schedule!$K:$K=""a"")+(Schedule!$K:$K=""""),Schedule!$S:$S&lt;&gt;""""),""""))"),"")</f>
        <v/>
      </c>
      <c r="Y46" s="152" t="str">
        <f>IFERROR(__xludf.DUMMYFUNCTION("if(U46="""","""",iferror(filter(Schedule!$S:$S&amp;""-""&amp;Schedule!$T:$T,Schedule!$L:$L=U46,(Schedule!$J:$J="""")+(Schedule!$J:$J=V46),(Schedule!$K:$K=""b"")+(Schedule!$K:$K=""""),Schedule!$S:$S&lt;&gt;""""),""""))"),"")</f>
        <v/>
      </c>
      <c r="Z46" s="152" t="str">
        <f>IFERROR(__xludf.DUMMYFUNCTION("if(U46="""","""",iferror(filter(Schedule!$Y:$Y&amp;""-""&amp;Schedule!$Z:$Z,Schedule!$L:$L=U46,(Schedule!$J:$J="""")+(Schedule!$J:$J=V46),(Schedule!$K:$K=""a"")+(Schedule!$K:$K=""""),Schedule!$Y:$Y&lt;&gt;""""),""""))"),"")</f>
        <v/>
      </c>
      <c r="AA46" s="152" t="str">
        <f>IFERROR(__xludf.DUMMYFUNCTION("if(U46="""","""",iferror(filter(Schedule!$P:$P&amp;""-""&amp;Schedule!$Q:$Q,Schedule!$L:$L=U46,(Schedule!$J:$J="""")+(Schedule!$J:$J=V46),(Schedule!$K:$K=""b"")+(Schedule!$K:$K=""""),Schedule!$P:$P&lt;&gt;""""),""""))"),"")</f>
        <v/>
      </c>
      <c r="AB46" s="152" t="str">
        <f>if(W42="","","X-Block")</f>
        <v/>
      </c>
      <c r="AC46" s="60"/>
      <c r="AD46" s="155"/>
      <c r="AE46" s="155" t="str">
        <f>AG42</f>
        <v/>
      </c>
      <c r="AF46" s="151" t="str">
        <f>AM42</f>
        <v/>
      </c>
      <c r="AG46" s="147">
        <v>3.0</v>
      </c>
      <c r="AH46" s="152" t="str">
        <f>IFERROR(__xludf.DUMMYFUNCTION("if(AE46="""","""",iferror(filter(Schedule!$S:$S&amp;""-""&amp;Schedule!$T:$T,Schedule!$L:$L=AE46,(Schedule!$J:$J="""")+(Schedule!$J:$J=AF46),(Schedule!$K:$K=""a"")+(Schedule!$K:$K=""""),Schedule!$S:$S&lt;&gt;""""),""""))"),"")</f>
        <v/>
      </c>
      <c r="AI46" s="152" t="str">
        <f>IFERROR(__xludf.DUMMYFUNCTION("if(AE46="""","""",iferror(filter(Schedule!$S:$S&amp;""-""&amp;Schedule!$T:$T,Schedule!$L:$L=AE46,(Schedule!$J:$J="""")+(Schedule!$J:$J=AF46),(Schedule!$K:$K=""b"")+(Schedule!$K:$K=""""),Schedule!$S:$S&lt;&gt;""""),""""))"),"")</f>
        <v/>
      </c>
      <c r="AJ46" s="152" t="str">
        <f>IFERROR(__xludf.DUMMYFUNCTION("if(AE46="""","""",iferror(filter(Schedule!$Y:$Y&amp;""-""&amp;Schedule!$Z:$Z,Schedule!$L:$L=AE46,(Schedule!$J:$J="""")+(Schedule!$J:$J=AF46),(Schedule!$K:$K=""a"")+(Schedule!$K:$K=""""),Schedule!$Y:$Y&lt;&gt;""""),""""))"),"")</f>
        <v/>
      </c>
      <c r="AK46" s="152" t="str">
        <f>IFERROR(__xludf.DUMMYFUNCTION("if(AE46="""","""",iferror(filter(Schedule!$P:$P&amp;""-""&amp;Schedule!$Q:$Q,Schedule!$L:$L=AE46,(Schedule!$J:$J="""")+(Schedule!$J:$J=AF46),(Schedule!$K:$K=""b"")+(Schedule!$K:$K=""""),Schedule!$P:$P&lt;&gt;""""),""""))"),"")</f>
        <v/>
      </c>
      <c r="AL46" s="152" t="str">
        <f>if(AG42="","","X-Block")</f>
        <v/>
      </c>
      <c r="AM46" s="60"/>
    </row>
    <row r="47">
      <c r="A47" s="151" t="str">
        <f>C42</f>
        <v>Chris Matthews</v>
      </c>
      <c r="B47" s="151" t="str">
        <f>I42</f>
        <v>Y</v>
      </c>
      <c r="C47" s="147">
        <v>4.0</v>
      </c>
      <c r="D47" s="152" t="str">
        <f>IFERROR(__xludf.DUMMYFUNCTION("if(A47="""","""",iferror(filter(Schedule!$V:$V&amp;""-""&amp;Schedule!$W:$W,Schedule!$L:$L=A47,(Schedule!$J:$J="""")+(Schedule!$J:$J=B47),(Schedule!$K:$K=""a"")+(Schedule!$K:$K=""""),Schedule!$V:$V&lt;&gt;""""),""""))"),"Math 7-3")</f>
        <v>Math 7-3</v>
      </c>
      <c r="E47" s="152" t="str">
        <f>IFERROR(__xludf.DUMMYFUNCTION("if(A47="""","""",iferror(filter(Schedule!$M:$M&amp;""-""&amp;Schedule!$N:$N,Schedule!$L:$L=A47,(Schedule!$J:$J="""")+(Schedule!$J:$J=B47),(Schedule!$K:$K=""b"")+(Schedule!$K:$K=""""),Schedule!$M:$M&lt;&gt;""""),""""))"),"")</f>
        <v/>
      </c>
      <c r="F47" s="152" t="str">
        <f>IFERROR(__xludf.DUMMYFUNCTION("if(A47="""","""",iferror(filter(Schedule!$AB:$AB&amp;""-""&amp;Schedule!$AC:$AC,Schedule!$L:$L=A47,(Schedule!$J:$J="""")+(Schedule!$J:$J=B47),(Schedule!$K:$K=""a"")+(Schedule!$K:$K=""""),Schedule!$AB:$AB&lt;&gt;""""),""""))"),"Math 7-6")</f>
        <v>Math 7-6</v>
      </c>
      <c r="G47" s="152" t="str">
        <f>IFERROR(__xludf.DUMMYFUNCTION("if(A47="""","""",iferror(filter(Schedule!$S:$S&amp;""-""&amp;Schedule!$T:$T,Schedule!$L:$L=A47,(Schedule!$J:$J="""")+(Schedule!$J:$J=B47),(Schedule!$K:$K=""b"")+(Schedule!$K:$K=""""),Schedule!$S:$S&lt;&gt;""""),""""))"),"Math 7A-1")</f>
        <v>Math 7A-1</v>
      </c>
      <c r="H47" s="152" t="str">
        <f>IFERROR(__xludf.DUMMYFUNCTION("if(A47="""","""",iferror(filter(Schedule!$V:$V&amp;""-""&amp;Schedule!$W:$W,Schedule!$L:$L=A47,(Schedule!$J:$J="""")+(Schedule!$J:$J=B47),(Schedule!$K:$K=""b"")+(Schedule!$K:$K=""""),Schedule!$V:$V&lt;&gt;""""),""""))"),"Math 7-3")</f>
        <v>Math 7-3</v>
      </c>
      <c r="I47" s="60"/>
      <c r="J47" s="154"/>
      <c r="K47" s="151" t="str">
        <f>M42</f>
        <v/>
      </c>
      <c r="L47" s="151" t="str">
        <f>S42</f>
        <v/>
      </c>
      <c r="M47" s="147">
        <v>4.0</v>
      </c>
      <c r="N47" s="152" t="str">
        <f>IFERROR(__xludf.DUMMYFUNCTION("if(K47="""","""",iferror(filter(Schedule!$V:$V&amp;""-""&amp;Schedule!$W:$W,Schedule!$L:$L=K47,(Schedule!$J:$J="""")+(Schedule!$J:$J=L47),(Schedule!$K:$K=""a"")+(Schedule!$K:$K=""""),Schedule!$V:$V&lt;&gt;""""),""""))"),"")</f>
        <v/>
      </c>
      <c r="O47" s="152" t="str">
        <f>IFERROR(__xludf.DUMMYFUNCTION("if(K47="""","""",iferror(filter(Schedule!$M:$M&amp;""-""&amp;Schedule!$N:$N,Schedule!$L:$L=K47,(Schedule!$J:$J="""")+(Schedule!$J:$J=L47),(Schedule!$K:$K=""b"")+(Schedule!$K:$K=""""),Schedule!$M:$M&lt;&gt;""""),""""))"),"")</f>
        <v/>
      </c>
      <c r="P47" s="152" t="str">
        <f>IFERROR(__xludf.DUMMYFUNCTION("if(K47="""","""",iferror(filter(Schedule!$AB:$AB&amp;""-""&amp;Schedule!$AC:$AC,Schedule!$L:$L=K47,(Schedule!$J:$J="""")+(Schedule!$J:$J=L47),(Schedule!$K:$K=""a"")+(Schedule!$K:$K=""""),Schedule!$AB:$AB&lt;&gt;""""),""""))"),"")</f>
        <v/>
      </c>
      <c r="Q47" s="152" t="str">
        <f>IFERROR(__xludf.DUMMYFUNCTION("if(K47="""","""",iferror(filter(Schedule!$S:$S&amp;""-""&amp;Schedule!$T:$T,Schedule!$L:$L=K47,(Schedule!$J:$J="""")+(Schedule!$J:$J=L47),(Schedule!$K:$K=""b"")+(Schedule!$K:$K=""""),Schedule!$S:$S&lt;&gt;""""),""""))"),"")</f>
        <v/>
      </c>
      <c r="R47" s="152" t="str">
        <f>IFERROR(__xludf.DUMMYFUNCTION("if(K47="""","""",iferror(filter(Schedule!$V:$V&amp;""-""&amp;Schedule!$W:$W,Schedule!$L:$L=K47,(Schedule!$J:$J="""")+(Schedule!$J:$J=L47),(Schedule!$K:$K=""b"")+(Schedule!$K:$K=""""),Schedule!$V:$V&lt;&gt;""""),""""))"),"")</f>
        <v/>
      </c>
      <c r="S47" s="60"/>
      <c r="T47" s="155"/>
      <c r="U47" s="155" t="str">
        <f>W42</f>
        <v/>
      </c>
      <c r="V47" s="151" t="str">
        <f>AC42</f>
        <v/>
      </c>
      <c r="W47" s="147">
        <v>4.0</v>
      </c>
      <c r="X47" s="152" t="str">
        <f>IFERROR(__xludf.DUMMYFUNCTION("if(U47="""","""",iferror(filter(Schedule!$V:$V&amp;""-""&amp;Schedule!$W:$W,Schedule!$L:$L=U47,(Schedule!$J:$J="""")+(Schedule!$J:$J=V47),(Schedule!$K:$K=""a"")+(Schedule!$K:$K=""""),Schedule!$V:$V&lt;&gt;""""),""""))"),"")</f>
        <v/>
      </c>
      <c r="Y47" s="152" t="str">
        <f>IFERROR(__xludf.DUMMYFUNCTION("if(U47="""","""",iferror(filter(Schedule!$M:$M&amp;""-""&amp;Schedule!$N:$N,Schedule!$L:$L=U47,(Schedule!$J:$J="""")+(Schedule!$J:$J=V47),(Schedule!$K:$K=""b"")+(Schedule!$K:$K=""""),Schedule!$M:$M&lt;&gt;""""),""""))"),"")</f>
        <v/>
      </c>
      <c r="Z47" s="152" t="str">
        <f>IFERROR(__xludf.DUMMYFUNCTION("if(U47="""","""",iferror(filter(Schedule!$AB:$AB&amp;""-""&amp;Schedule!$AC:$AC,Schedule!$L:$L=U47,(Schedule!$J:$J="""")+(Schedule!$J:$J=V47),(Schedule!$K:$K=""a"")+(Schedule!$K:$K=""""),Schedule!$AB:$AB&lt;&gt;""""),""""))"),"")</f>
        <v/>
      </c>
      <c r="AA47" s="152" t="str">
        <f>IFERROR(__xludf.DUMMYFUNCTION("if(U47="""","""",iferror(filter(Schedule!$S:$S&amp;""-""&amp;Schedule!$T:$T,Schedule!$L:$L=U47,(Schedule!$J:$J="""")+(Schedule!$J:$J=V47),(Schedule!$K:$K=""b"")+(Schedule!$K:$K=""""),Schedule!$S:$S&lt;&gt;""""),""""))"),"")</f>
        <v/>
      </c>
      <c r="AB47" s="152" t="str">
        <f>IFERROR(__xludf.DUMMYFUNCTION("if(U47="""","""",iferror(filter(Schedule!$V:$V&amp;""-""&amp;Schedule!$W:$W,Schedule!$L:$L=U47,(Schedule!$J:$J="""")+(Schedule!$J:$J=V47),(Schedule!$K:$K=""b"")+(Schedule!$K:$K=""""),Schedule!$V:$V&lt;&gt;""""),""""))"),"")</f>
        <v/>
      </c>
      <c r="AC47" s="60"/>
      <c r="AD47" s="155"/>
      <c r="AE47" s="155" t="str">
        <f>AG42</f>
        <v/>
      </c>
      <c r="AF47" s="151" t="str">
        <f>AM42</f>
        <v/>
      </c>
      <c r="AG47" s="147">
        <v>4.0</v>
      </c>
      <c r="AH47" s="152" t="str">
        <f>IFERROR(__xludf.DUMMYFUNCTION("if(AE47="""","""",iferror(filter(Schedule!$V:$V&amp;""-""&amp;Schedule!$W:$W,Schedule!$L:$L=AE47,(Schedule!$J:$J="""")+(Schedule!$J:$J=AF47),(Schedule!$K:$K=""a"")+(Schedule!$K:$K=""""),Schedule!$V:$V&lt;&gt;""""),""""))"),"")</f>
        <v/>
      </c>
      <c r="AI47" s="152" t="str">
        <f>IFERROR(__xludf.DUMMYFUNCTION("if(AE47="""","""",iferror(filter(Schedule!$M:$M&amp;""-""&amp;Schedule!$N:$N,Schedule!$L:$L=AE47,(Schedule!$J:$J="""")+(Schedule!$J:$J=AF47),(Schedule!$K:$K=""b"")+(Schedule!$K:$K=""""),Schedule!$M:$M&lt;&gt;""""),""""))"),"")</f>
        <v/>
      </c>
      <c r="AJ47" s="152" t="str">
        <f>IFERROR(__xludf.DUMMYFUNCTION("if(AE47="""","""",iferror(filter(Schedule!$AB:$AB&amp;""-""&amp;Schedule!$AC:$AC,Schedule!$L:$L=AE47,(Schedule!$J:$J="""")+(Schedule!$J:$J=AF47),(Schedule!$K:$K=""a"")+(Schedule!$K:$K=""""),Schedule!$AB:$AB&lt;&gt;""""),""""))"),"")</f>
        <v/>
      </c>
      <c r="AK47" s="152" t="str">
        <f>IFERROR(__xludf.DUMMYFUNCTION("if(AE47="""","""",iferror(filter(Schedule!$S:$S&amp;""-""&amp;Schedule!$T:$T,Schedule!$L:$L=AE47,(Schedule!$J:$J="""")+(Schedule!$J:$J=AF47),(Schedule!$K:$K=""b"")+(Schedule!$K:$K=""""),Schedule!$S:$S&lt;&gt;""""),""""))"),"")</f>
        <v/>
      </c>
      <c r="AL47" s="152" t="str">
        <f>IFERROR(__xludf.DUMMYFUNCTION("if(AE47="""","""",iferror(filter(Schedule!$V:$V&amp;""-""&amp;Schedule!$W:$W,Schedule!$L:$L=AE47,(Schedule!$J:$J="""")+(Schedule!$J:$J=AF47),(Schedule!$K:$K=""b"")+(Schedule!$K:$K=""""),Schedule!$V:$V&lt;&gt;""""),""""))"),"")</f>
        <v/>
      </c>
      <c r="AM47" s="60"/>
    </row>
    <row r="48">
      <c r="A48" s="151" t="str">
        <f>C42</f>
        <v>Chris Matthews</v>
      </c>
      <c r="B48" s="151" t="str">
        <f>I42</f>
        <v>Y</v>
      </c>
      <c r="C48" s="147">
        <v>5.0</v>
      </c>
      <c r="D48" s="152" t="str">
        <f>IFERROR(__xludf.DUMMYFUNCTION("if(A48="""","""",iferror(filter(Schedule!$Y:$Y&amp;""-""&amp;Schedule!$Z:$Z,Schedule!$L:$L=A48,(Schedule!$J:$J="""")+(Schedule!$J:$J=B48),(Schedule!$K:$K=""a"")+(Schedule!$K:$K=""""),Schedule!$Y:$Y&lt;&gt;""""),""""))"),"Math 7-5")</f>
        <v>Math 7-5</v>
      </c>
      <c r="E48" s="152" t="str">
        <f>IFERROR(__xludf.DUMMYFUNCTION("if(A48="""","""",iferror(filter(Schedule!$P:$P&amp;""-""&amp;Schedule!$Q:$Q,Schedule!$L:$L=A48,(Schedule!$J:$J="""")+(Schedule!$J:$J=B48),(Schedule!$K:$K=""b"")+(Schedule!$K:$K=""""),Schedule!$P:$P&lt;&gt;""""),""""))"),"")</f>
        <v/>
      </c>
      <c r="F48" s="152" t="str">
        <f>IFERROR(__xludf.DUMMYFUNCTION("if(A48="""","""",iferror(filter(Schedule!$V:$V&amp;""-""&amp;Schedule!$W:$W,Schedule!$L:$L=A48,(Schedule!$J:$J="""")+(Schedule!$J:$J=B48),(Schedule!$K:$K=""b"")+(Schedule!$K:$K=""""),Schedule!$V:$V&lt;&gt;""""),""""))"),"Math 7-3")</f>
        <v>Math 7-3</v>
      </c>
      <c r="G48" s="152" t="str">
        <f>IFERROR(__xludf.DUMMYFUNCTION("if(A48="""","""",iferror(filter(Schedule!$AB:$AB&amp;""-""&amp;Schedule!$AC:$AC,Schedule!$L:$L=A48,(Schedule!$J:$J="""")+(Schedule!$J:$J=B48),(Schedule!$K:$K=""b"")+(Schedule!$K:$K=""""),Schedule!$AB:$AB&lt;&gt;""""),""""))"),"Math 7-6")</f>
        <v>Math 7-6</v>
      </c>
      <c r="H48" s="152" t="str">
        <f>IFERROR(__xludf.DUMMYFUNCTION("if(A48="""","""",iferror(filter(Schedule!$M:$M&amp;""-""&amp;Schedule!$N:$N,Schedule!$L:$L=A48,(Schedule!$J:$J="""")+(Schedule!$J:$J=B48),(Schedule!$K:$K=""b"")+(Schedule!$K:$K=""""),Schedule!$M:$M&lt;&gt;""""),""""))"),"")</f>
        <v/>
      </c>
      <c r="I48" s="64"/>
      <c r="J48" s="154"/>
      <c r="K48" s="151" t="str">
        <f>M42</f>
        <v/>
      </c>
      <c r="L48" s="151" t="str">
        <f>S42</f>
        <v/>
      </c>
      <c r="M48" s="147">
        <v>5.0</v>
      </c>
      <c r="N48" s="152" t="str">
        <f>IFERROR(__xludf.DUMMYFUNCTION("if(K48="""","""",iferror(filter(Schedule!$Y:$Y&amp;""-""&amp;Schedule!$Z:$Z,Schedule!$L:$L=K48,(Schedule!$J:$J="""")+(Schedule!$J:$J=L48),(Schedule!$K:$K=""a"")+(Schedule!$K:$K=""""),Schedule!$Y:$Y&lt;&gt;""""),""""))"),"")</f>
        <v/>
      </c>
      <c r="O48" s="152" t="str">
        <f>IFERROR(__xludf.DUMMYFUNCTION("if(K48="""","""",iferror(filter(Schedule!$P:$P&amp;""-""&amp;Schedule!$Q:$Q,Schedule!$L:$L=K48,(Schedule!$J:$J="""")+(Schedule!$J:$J=L48),(Schedule!$K:$K=""b"")+(Schedule!$K:$K=""""),Schedule!$P:$P&lt;&gt;""""),""""))"),"")</f>
        <v/>
      </c>
      <c r="P48" s="152" t="str">
        <f>IFERROR(__xludf.DUMMYFUNCTION("if(K48="""","""",iferror(filter(Schedule!$V:$V&amp;""-""&amp;Schedule!$W:$W,Schedule!$L:$L=K48,(Schedule!$J:$J="""")+(Schedule!$J:$J=L48),(Schedule!$K:$K=""b"")+(Schedule!$K:$K=""""),Schedule!$V:$V&lt;&gt;""""),""""))"),"")</f>
        <v/>
      </c>
      <c r="Q48" s="152" t="str">
        <f>IFERROR(__xludf.DUMMYFUNCTION("if(K48="""","""",iferror(filter(Schedule!$AB:$AB&amp;""-""&amp;Schedule!$AC:$AC,Schedule!$L:$L=K48,(Schedule!$J:$J="""")+(Schedule!$J:$J=L48),(Schedule!$K:$K=""b"")+(Schedule!$K:$K=""""),Schedule!$AB:$AB&lt;&gt;""""),""""))"),"")</f>
        <v/>
      </c>
      <c r="R48" s="152" t="str">
        <f>IFERROR(__xludf.DUMMYFUNCTION("if(K48="""","""",iferror(filter(Schedule!$M:$M&amp;""-""&amp;Schedule!$N:$N,Schedule!$L:$L=K48,(Schedule!$J:$J="""")+(Schedule!$J:$J=L48),(Schedule!$K:$K=""b"")+(Schedule!$K:$K=""""),Schedule!$M:$M&lt;&gt;""""),""""))"),"")</f>
        <v/>
      </c>
      <c r="S48" s="64"/>
      <c r="T48" s="155"/>
      <c r="U48" s="155" t="str">
        <f>W42</f>
        <v/>
      </c>
      <c r="V48" s="151" t="str">
        <f>AC42</f>
        <v/>
      </c>
      <c r="W48" s="147">
        <v>5.0</v>
      </c>
      <c r="X48" s="152" t="str">
        <f>IFERROR(__xludf.DUMMYFUNCTION("if(U48="""","""",iferror(filter(Schedule!$Y:$Y&amp;""-""&amp;Schedule!$Z:$Z,Schedule!$L:$L=U48,(Schedule!$J:$J="""")+(Schedule!$J:$J=V48),(Schedule!$K:$K=""a"")+(Schedule!$K:$K=""""),Schedule!$Y:$Y&lt;&gt;""""),""""))"),"")</f>
        <v/>
      </c>
      <c r="Y48" s="152" t="str">
        <f>IFERROR(__xludf.DUMMYFUNCTION("if(U48="""","""",iferror(filter(Schedule!$P:$P&amp;""-""&amp;Schedule!$Q:$Q,Schedule!$L:$L=U48,(Schedule!$J:$J="""")+(Schedule!$J:$J=V48),(Schedule!$K:$K=""b"")+(Schedule!$K:$K=""""),Schedule!$P:$P&lt;&gt;""""),""""))"),"")</f>
        <v/>
      </c>
      <c r="Z48" s="152" t="str">
        <f>IFERROR(__xludf.DUMMYFUNCTION("if(U48="""","""",iferror(filter(Schedule!$V:$V&amp;""-""&amp;Schedule!$W:$W,Schedule!$L:$L=U48,(Schedule!$J:$J="""")+(Schedule!$J:$J=V48),(Schedule!$K:$K=""b"")+(Schedule!$K:$K=""""),Schedule!$V:$V&lt;&gt;""""),""""))"),"")</f>
        <v/>
      </c>
      <c r="AA48" s="152" t="str">
        <f>IFERROR(__xludf.DUMMYFUNCTION("if(U48="""","""",iferror(filter(Schedule!$AB:$AB&amp;""-""&amp;Schedule!$AC:$AC,Schedule!$L:$L=U48,(Schedule!$J:$J="""")+(Schedule!$J:$J=V48),(Schedule!$K:$K=""b"")+(Schedule!$K:$K=""""),Schedule!$AB:$AB&lt;&gt;""""),""""))"),"")</f>
        <v/>
      </c>
      <c r="AB48" s="152" t="str">
        <f>IFERROR(__xludf.DUMMYFUNCTION("if(U48="""","""",iferror(filter(Schedule!$M:$M&amp;""-""&amp;Schedule!$N:$N,Schedule!$L:$L=U48,(Schedule!$J:$J="""")+(Schedule!$J:$J=V48),(Schedule!$K:$K=""b"")+(Schedule!$K:$K=""""),Schedule!$M:$M&lt;&gt;""""),""""))"),"")</f>
        <v/>
      </c>
      <c r="AC48" s="64"/>
      <c r="AD48" s="155"/>
      <c r="AE48" s="155" t="str">
        <f>AG42</f>
        <v/>
      </c>
      <c r="AF48" s="151" t="str">
        <f>AM42</f>
        <v/>
      </c>
      <c r="AG48" s="147">
        <v>5.0</v>
      </c>
      <c r="AH48" s="152" t="str">
        <f>IFERROR(__xludf.DUMMYFUNCTION("if(AE48="""","""",iferror(filter(Schedule!$Y:$Y&amp;""-""&amp;Schedule!$Z:$Z,Schedule!$L:$L=AE48,(Schedule!$J:$J="""")+(Schedule!$J:$J=AF48),(Schedule!$K:$K=""a"")+(Schedule!$K:$K=""""),Schedule!$Y:$Y&lt;&gt;""""),""""))"),"")</f>
        <v/>
      </c>
      <c r="AI48" s="152" t="str">
        <f>IFERROR(__xludf.DUMMYFUNCTION("if(AE48="""","""",iferror(filter(Schedule!$P:$P&amp;""-""&amp;Schedule!$Q:$Q,Schedule!$L:$L=AE48,(Schedule!$J:$J="""")+(Schedule!$J:$J=AF48),(Schedule!$K:$K=""b"")+(Schedule!$K:$K=""""),Schedule!$P:$P&lt;&gt;""""),""""))"),"")</f>
        <v/>
      </c>
      <c r="AJ48" s="152" t="str">
        <f>IFERROR(__xludf.DUMMYFUNCTION("if(AE48="""","""",iferror(filter(Schedule!$V:$V&amp;""-""&amp;Schedule!$W:$W,Schedule!$L:$L=AE48,(Schedule!$J:$J="""")+(Schedule!$J:$J=AF48),(Schedule!$K:$K=""b"")+(Schedule!$K:$K=""""),Schedule!$V:$V&lt;&gt;""""),""""))"),"")</f>
        <v/>
      </c>
      <c r="AK48" s="152" t="str">
        <f>IFERROR(__xludf.DUMMYFUNCTION("if(AE48="""","""",iferror(filter(Schedule!$AB:$AB&amp;""-""&amp;Schedule!$AC:$AC,Schedule!$L:$L=AE48,(Schedule!$J:$J="""")+(Schedule!$J:$J=AF48),(Schedule!$K:$K=""b"")+(Schedule!$K:$K=""""),Schedule!$AB:$AB&lt;&gt;""""),""""))"),"")</f>
        <v/>
      </c>
      <c r="AL48" s="152" t="str">
        <f>IFERROR(__xludf.DUMMYFUNCTION("if(AE48="""","""",iferror(filter(Schedule!$M:$M&amp;""-""&amp;Schedule!$N:$N,Schedule!$L:$L=AE48,(Schedule!$J:$J="""")+(Schedule!$J:$J=AF48),(Schedule!$K:$K=""b"")+(Schedule!$K:$K=""""),Schedule!$M:$M&lt;&gt;""""),""""))"),"")</f>
        <v/>
      </c>
      <c r="AM48" s="64"/>
    </row>
    <row r="49">
      <c r="A49" s="11"/>
      <c r="B49" s="11"/>
      <c r="C49" s="156"/>
      <c r="D49" s="156"/>
      <c r="E49" s="156"/>
      <c r="F49" s="156"/>
      <c r="G49" s="156"/>
      <c r="H49" s="156"/>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row>
    <row r="50">
      <c r="A50" s="5"/>
      <c r="B50" s="5"/>
      <c r="C50" s="140" t="str">
        <f>Teachers!A7</f>
        <v>Dioger</v>
      </c>
      <c r="D50" s="141"/>
      <c r="E50" s="141"/>
      <c r="F50" s="141"/>
      <c r="G50" s="141"/>
      <c r="H50" s="142"/>
      <c r="I50" s="143" t="str">
        <f>IFERROR(__xludf.DUMMYFUNCTION("if(C50="""","""", iferror(unique(filter(Schedule!$J:$J,Schedule!$L:$L=$C50,Schedule!$J:$J=""Q1"")),iferror(unique(filter(Schedule!$J:$J,Schedule!$L:$L=$C50,Schedule!$J:$J=""S1"")),""Y"")))"),"S1")</f>
        <v>S1</v>
      </c>
      <c r="J50" s="11"/>
      <c r="K50" s="11"/>
      <c r="L50" s="11"/>
      <c r="M50" s="140" t="str">
        <f>if(S50="","",C50)</f>
        <v>Dioger</v>
      </c>
      <c r="N50" s="141"/>
      <c r="O50" s="141"/>
      <c r="P50" s="141"/>
      <c r="Q50" s="141"/>
      <c r="R50" s="142"/>
      <c r="S50" s="143" t="str">
        <f>if($I50="Q1","Q2",if($I50="S1","S2",""))</f>
        <v>S2</v>
      </c>
      <c r="T50" s="144"/>
      <c r="U50" s="144"/>
      <c r="V50" s="145"/>
      <c r="W50" s="140" t="str">
        <f>if(AC50="","",M50)</f>
        <v/>
      </c>
      <c r="X50" s="141"/>
      <c r="Y50" s="141"/>
      <c r="Z50" s="141"/>
      <c r="AA50" s="141"/>
      <c r="AB50" s="142"/>
      <c r="AC50" s="143" t="str">
        <f>if($I50="Q1","Q3","")</f>
        <v/>
      </c>
      <c r="AD50" s="144"/>
      <c r="AE50" s="144"/>
      <c r="AF50" s="145"/>
      <c r="AG50" s="140" t="str">
        <f>if(AC50="","",W50)</f>
        <v/>
      </c>
      <c r="AH50" s="141"/>
      <c r="AI50" s="141"/>
      <c r="AJ50" s="141"/>
      <c r="AK50" s="141"/>
      <c r="AL50" s="142"/>
      <c r="AM50" s="143" t="str">
        <f>if($I50="Q1","Q4","")</f>
        <v/>
      </c>
    </row>
    <row r="51">
      <c r="A51" s="146"/>
      <c r="B51" s="146"/>
      <c r="C51" s="147" t="s">
        <v>94</v>
      </c>
      <c r="D51" s="148" t="s">
        <v>95</v>
      </c>
      <c r="E51" s="148" t="s">
        <v>96</v>
      </c>
      <c r="F51" s="148" t="s">
        <v>97</v>
      </c>
      <c r="G51" s="148" t="s">
        <v>98</v>
      </c>
      <c r="H51" s="148" t="s">
        <v>99</v>
      </c>
      <c r="I51" s="148" t="s">
        <v>651</v>
      </c>
      <c r="J51" s="146"/>
      <c r="K51" s="146"/>
      <c r="L51" s="146"/>
      <c r="M51" s="147" t="s">
        <v>94</v>
      </c>
      <c r="N51" s="148" t="s">
        <v>95</v>
      </c>
      <c r="O51" s="148" t="s">
        <v>96</v>
      </c>
      <c r="P51" s="148" t="s">
        <v>97</v>
      </c>
      <c r="Q51" s="148" t="s">
        <v>98</v>
      </c>
      <c r="R51" s="148" t="s">
        <v>99</v>
      </c>
      <c r="S51" s="148" t="s">
        <v>651</v>
      </c>
      <c r="T51" s="149"/>
      <c r="U51" s="149"/>
      <c r="V51" s="150"/>
      <c r="W51" s="147" t="s">
        <v>94</v>
      </c>
      <c r="X51" s="148" t="s">
        <v>95</v>
      </c>
      <c r="Y51" s="148" t="s">
        <v>96</v>
      </c>
      <c r="Z51" s="148" t="s">
        <v>97</v>
      </c>
      <c r="AA51" s="148" t="s">
        <v>98</v>
      </c>
      <c r="AB51" s="148" t="s">
        <v>99</v>
      </c>
      <c r="AC51" s="148" t="s">
        <v>651</v>
      </c>
      <c r="AD51" s="149"/>
      <c r="AE51" s="149"/>
      <c r="AF51" s="150"/>
      <c r="AG51" s="147" t="s">
        <v>94</v>
      </c>
      <c r="AH51" s="148" t="s">
        <v>95</v>
      </c>
      <c r="AI51" s="148" t="s">
        <v>96</v>
      </c>
      <c r="AJ51" s="148" t="s">
        <v>97</v>
      </c>
      <c r="AK51" s="148" t="s">
        <v>98</v>
      </c>
      <c r="AL51" s="148" t="s">
        <v>99</v>
      </c>
      <c r="AM51" s="148" t="s">
        <v>651</v>
      </c>
    </row>
    <row r="52">
      <c r="A52" s="151" t="str">
        <f>C50</f>
        <v>Dioger</v>
      </c>
      <c r="B52" s="151" t="str">
        <f>I50</f>
        <v>S1</v>
      </c>
      <c r="C52" s="147">
        <v>1.0</v>
      </c>
      <c r="D52" s="152" t="str">
        <f>IFERROR(__xludf.DUMMYFUNCTION("if(A52="""","""",iferror(filter(Schedule!$M:$M&amp;""-""&amp;Schedule!$N:$N,Schedule!$L:$L=A52,(Schedule!$J:$J="""")+(Schedule!$J:$J=B52),(Schedule!$K:$K=""a"")+(Schedule!$K:$K=""""),Schedule!$M:$M&lt;&gt;""""),""""))"),"Art 7-1")</f>
        <v>Art 7-1</v>
      </c>
      <c r="E52" s="152" t="str">
        <f>IFERROR(__xludf.DUMMYFUNCTION("if(A52="""","""",iferror(filter(Schedule!$AB:$AB&amp;""-""&amp;Schedule!$AC:$AC,Schedule!$L:$L=A52,(Schedule!$J:$J="""")+(Schedule!$J:$J=B52),(Schedule!$K:$K=""b"")+(Schedule!$K:$K=""""),Schedule!$AB:$AB&lt;&gt;""""),""""))"),"Art 6-7")</f>
        <v>Art 6-7</v>
      </c>
      <c r="F52" s="152" t="str">
        <f>IFERROR(__xludf.DUMMYFUNCTION("if(A52="""","""",iferror(filter(Schedule!$S:$S&amp;""-""&amp;Schedule!$T:$T,Schedule!$L:$L=A52,(Schedule!$J:$J="""")+(Schedule!$J:$J=B52),(Schedule!$K:$K=""a"")+(Schedule!$K:$K=""""),Schedule!$S:$S&lt;&gt;""""),""""))"),"")</f>
        <v/>
      </c>
      <c r="G52" s="152" t="str">
        <f>IFERROR(__xludf.DUMMYFUNCTION("if(A52="""","""",iferror(filter(Schedule!$V:$V&amp;""-""&amp;Schedule!$W:$W,Schedule!$L:$L=A52,(Schedule!$J:$J="""")+(Schedule!$J:$J=B52),(Schedule!$K:$K=""a"")+(Schedule!$K:$K=""""),Schedule!$V:$V&lt;&gt;""""),""""))"),"Art 6-5")</f>
        <v>Art 6-5</v>
      </c>
      <c r="H52" s="152" t="str">
        <f>IFERROR(__xludf.DUMMYFUNCTION("if(A52="""","""",iferror(filter(Schedule!$Y:$Y&amp;""-""&amp;Schedule!$Z:$Z,Schedule!$L:$L=A52,(Schedule!$J:$J="""")+(Schedule!$J:$J=B52),(Schedule!$K:$K=""b"")+(Schedule!$K:$K=""""),Schedule!$Y:$Y&lt;&gt;""""),""""))"),"")</f>
        <v/>
      </c>
      <c r="I52" s="153">
        <f>if(C50="","", 24-countifs(D52:H56,""))</f>
        <v>16</v>
      </c>
      <c r="J52" s="154"/>
      <c r="K52" s="151" t="str">
        <f>M50</f>
        <v>Dioger</v>
      </c>
      <c r="L52" s="151" t="str">
        <f>S50</f>
        <v>S2</v>
      </c>
      <c r="M52" s="147">
        <v>1.0</v>
      </c>
      <c r="N52" s="152" t="str">
        <f>IFERROR(__xludf.DUMMYFUNCTION("if(K52="""","""",iferror(filter(Schedule!$M:$M&amp;""-""&amp;Schedule!$N:$N,Schedule!$L:$L=K52,(Schedule!$J:$J="""")+(Schedule!$J:$J=L52),(Schedule!$K:$K=""a"")+(Schedule!$K:$K=""""),Schedule!$M:$M&lt;&gt;""""),""""))"),"Art 7-2")</f>
        <v>Art 7-2</v>
      </c>
      <c r="O52" s="152" t="str">
        <f>IFERROR(__xludf.DUMMYFUNCTION("if(K52="""","""",iferror(filter(Schedule!$AB:$AB&amp;""-""&amp;Schedule!$AC:$AC,Schedule!$L:$L=K52,(Schedule!$J:$J="""")+(Schedule!$J:$J=L52),(Schedule!$K:$K=""b"")+(Schedule!$K:$K=""""),Schedule!$AB:$AB&lt;&gt;""""),""""))"),"Art 6-8")</f>
        <v>Art 6-8</v>
      </c>
      <c r="P52" s="152" t="str">
        <f>IFERROR(__xludf.DUMMYFUNCTION("if(K52="""","""",iferror(filter(Schedule!$S:$S&amp;""-""&amp;Schedule!$T:$T,Schedule!$L:$L=K52,(Schedule!$J:$J="""")+(Schedule!$J:$J=L52),(Schedule!$K:$K=""a"")+(Schedule!$K:$K=""""),Schedule!$S:$S&lt;&gt;""""),""""))"),"")</f>
        <v/>
      </c>
      <c r="Q52" s="152" t="str">
        <f>IFERROR(__xludf.DUMMYFUNCTION("if(K52="""","""",iferror(filter(Schedule!$V:$V&amp;""-""&amp;Schedule!$W:$W,Schedule!$L:$L=K52,(Schedule!$J:$J="""")+(Schedule!$J:$J=L52),(Schedule!$K:$K=""a"")+(Schedule!$K:$K=""""),Schedule!$V:$V&lt;&gt;""""),""""))"),"Art 6-6")</f>
        <v>Art 6-6</v>
      </c>
      <c r="R52" s="152" t="str">
        <f>IFERROR(__xludf.DUMMYFUNCTION("if(K52="""","""",iferror(filter(Schedule!$Y:$Y&amp;""-""&amp;Schedule!$Z:$Z,Schedule!$L:$L=K52,(Schedule!$J:$J="""")+(Schedule!$J:$J=L52),(Schedule!$K:$K=""b"")+(Schedule!$K:$K=""""),Schedule!$Y:$Y&lt;&gt;""""),""""))"),"")</f>
        <v/>
      </c>
      <c r="S52" s="153">
        <f>if(K52="","", 24-countifs(N52:R56,""))</f>
        <v>16</v>
      </c>
      <c r="T52" s="155"/>
      <c r="U52" s="155" t="str">
        <f>W50</f>
        <v/>
      </c>
      <c r="V52" s="151" t="str">
        <f>AC50</f>
        <v/>
      </c>
      <c r="W52" s="147">
        <v>1.0</v>
      </c>
      <c r="X52" s="152" t="str">
        <f>IFERROR(__xludf.DUMMYFUNCTION("if(U52="""","""",iferror(filter(Schedule!$M:$M&amp;""-""&amp;Schedule!$N:$N,Schedule!$L:$L=U52,(Schedule!$J:$J="""")+(Schedule!$J:$J=V52),(Schedule!$K:$K=""a"")+(Schedule!$K:$K=""""),Schedule!$M:$M&lt;&gt;""""),""""))"),"")</f>
        <v/>
      </c>
      <c r="Y52" s="152" t="str">
        <f>IFERROR(__xludf.DUMMYFUNCTION("if(U52="""","""",iferror(filter(Schedule!$AB:$AB&amp;""-""&amp;Schedule!$AC:$AC,Schedule!$L:$L=U52,(Schedule!$J:$J="""")+(Schedule!$J:$J=V52),(Schedule!$K:$K=""b"")+(Schedule!$K:$K=""""),Schedule!$AB:$AB&lt;&gt;""""),""""))"),"")</f>
        <v/>
      </c>
      <c r="Z52" s="152" t="str">
        <f>IFERROR(__xludf.DUMMYFUNCTION("if(U52="""","""",iferror(filter(Schedule!$S:$S&amp;""-""&amp;Schedule!$T:$T,Schedule!$L:$L=U52,(Schedule!$J:$J="""")+(Schedule!$J:$J=V52),(Schedule!$K:$K=""a"")+(Schedule!$K:$K=""""),Schedule!$S:$S&lt;&gt;""""),""""))"),"")</f>
        <v/>
      </c>
      <c r="AA52" s="152" t="str">
        <f>IFERROR(__xludf.DUMMYFUNCTION("if(U52="""","""",iferror(filter(Schedule!$V:$V&amp;""-""&amp;Schedule!$W:$W,Schedule!$L:$L=U52,(Schedule!$J:$J="""")+(Schedule!$J:$J=V52),(Schedule!$K:$K=""a"")+(Schedule!$K:$K=""""),Schedule!$V:$V&lt;&gt;""""),""""))"),"")</f>
        <v/>
      </c>
      <c r="AB52" s="152" t="str">
        <f>IFERROR(__xludf.DUMMYFUNCTION("if(U52="""","""",iferror(filter(Schedule!$Y:$Y&amp;""-""&amp;Schedule!$Z:$Z,Schedule!$L:$L=U52,(Schedule!$J:$J="""")+(Schedule!$J:$J=V52),(Schedule!$K:$K=""b"")+(Schedule!$K:$K=""""),Schedule!$Y:$Y&lt;&gt;""""),""""))"),"")</f>
        <v/>
      </c>
      <c r="AC52" s="153" t="str">
        <f>if(U52="","", 24-countifs(X52:AB56,""))</f>
        <v/>
      </c>
      <c r="AD52" s="155"/>
      <c r="AE52" s="155" t="str">
        <f>AG50</f>
        <v/>
      </c>
      <c r="AF52" s="151" t="str">
        <f>AM50</f>
        <v/>
      </c>
      <c r="AG52" s="147">
        <v>1.0</v>
      </c>
      <c r="AH52" s="152" t="str">
        <f>IFERROR(__xludf.DUMMYFUNCTION("if(AE52="""","""",iferror(filter(Schedule!$M:$M&amp;""-""&amp;Schedule!$N:$N,Schedule!$L:$L=AE52,(Schedule!$J:$J="""")+(Schedule!$J:$J=AF52),(Schedule!$K:$K=""a"")+(Schedule!$K:$K=""""),Schedule!$M:$M&lt;&gt;""""),""""))"),"")</f>
        <v/>
      </c>
      <c r="AI52" s="152" t="str">
        <f>IFERROR(__xludf.DUMMYFUNCTION("if(AE52="""","""",iferror(filter(Schedule!$AB:$AB&amp;""-""&amp;Schedule!$AC:$AC,Schedule!$L:$L=AE52,(Schedule!$J:$J="""")+(Schedule!$J:$J=AF52),(Schedule!$K:$K=""b"")+(Schedule!$K:$K=""""),Schedule!$AB:$AB&lt;&gt;""""),""""))"),"")</f>
        <v/>
      </c>
      <c r="AJ52" s="152" t="str">
        <f>IFERROR(__xludf.DUMMYFUNCTION("if(AE52="""","""",iferror(filter(Schedule!$S:$S&amp;""-""&amp;Schedule!$T:$T,Schedule!$L:$L=AE52,(Schedule!$J:$J="""")+(Schedule!$J:$J=AF52),(Schedule!$K:$K=""a"")+(Schedule!$K:$K=""""),Schedule!$S:$S&lt;&gt;""""),""""))"),"")</f>
        <v/>
      </c>
      <c r="AK52" s="152" t="str">
        <f>IFERROR(__xludf.DUMMYFUNCTION("if(AE52="""","""",iferror(filter(Schedule!$V:$V&amp;""-""&amp;Schedule!$W:$W,Schedule!$L:$L=AE52,(Schedule!$J:$J="""")+(Schedule!$J:$J=AF52),(Schedule!$K:$K=""a"")+(Schedule!$K:$K=""""),Schedule!$V:$V&lt;&gt;""""),""""))"),"")</f>
        <v/>
      </c>
      <c r="AL52" s="152" t="str">
        <f>IFERROR(__xludf.DUMMYFUNCTION("if(AE52="""","""",iferror(filter(Schedule!$Y:$Y&amp;""-""&amp;Schedule!$Z:$Z,Schedule!$L:$L=AE52,(Schedule!$J:$J="""")+(Schedule!$J:$J=AF52),(Schedule!$K:$K=""b"")+(Schedule!$K:$K=""""),Schedule!$Y:$Y&lt;&gt;""""),""""))"),"")</f>
        <v/>
      </c>
      <c r="AM52" s="153" t="str">
        <f>if(AE52="","", 24-countifs(AH52:AL56,""))</f>
        <v/>
      </c>
    </row>
    <row r="53">
      <c r="A53" s="151" t="str">
        <f>C50</f>
        <v>Dioger</v>
      </c>
      <c r="B53" s="151" t="str">
        <f>I50</f>
        <v>S1</v>
      </c>
      <c r="C53" s="147">
        <v>2.0</v>
      </c>
      <c r="D53" s="152" t="str">
        <f>IFERROR(__xludf.DUMMYFUNCTION("if(A53="""","""",iferror(filter(Schedule!$P:$P&amp;""-""&amp;Schedule!$Q:$Q,Schedule!$L:$L=A53,(Schedule!$J:$J="""")+(Schedule!$J:$J=B53),(Schedule!$K:$K=""a"")+(Schedule!$K:$K=""""),Schedule!$P:$P&lt;&gt;""""),""""))"),"Art 6-3")</f>
        <v>Art 6-3</v>
      </c>
      <c r="E53" s="152" t="str">
        <f>IFERROR(__xludf.DUMMYFUNCTION("if(A53="""","""",iferror(filter(Schedule!$Y:$Y&amp;""-""&amp;Schedule!$Z:$Z,Schedule!$L:$L=A53,(Schedule!$J:$J="""")+(Schedule!$J:$J=B53),(Schedule!$K:$K=""b"")+(Schedule!$K:$K=""""),Schedule!$Y:$Y&lt;&gt;""""),""""))"),"")</f>
        <v/>
      </c>
      <c r="F53" s="152" t="str">
        <f>IFERROR(__xludf.DUMMYFUNCTION("if(A53="""","""",iferror(filter(Schedule!$P:$P&amp;""-""&amp;Schedule!$Q:$Q,Schedule!$L:$L=A53,(Schedule!$J:$J="""")+(Schedule!$J:$J=B53),(Schedule!$K:$K=""a"")+(Schedule!$K:$K=""""),Schedule!$P:$P&lt;&gt;""""),""""))"),"Art 6-3")</f>
        <v>Art 6-3</v>
      </c>
      <c r="G53" s="152" t="str">
        <f>IFERROR(__xludf.DUMMYFUNCTION("if(A53="""","""",iferror(filter(Schedule!$M:$M&amp;""-""&amp;Schedule!$N:$N,Schedule!$L:$L=A53,(Schedule!$J:$J="""")+(Schedule!$J:$J=B53),(Schedule!$K:$K=""a"")+(Schedule!$K:$K=""""),Schedule!$M:$M&lt;&gt;""""),""""))"),"Art 7-1")</f>
        <v>Art 7-1</v>
      </c>
      <c r="H53" s="152" t="str">
        <f>IFERROR(__xludf.DUMMYFUNCTION("if(A53="""","""",iferror(filter(Schedule!$AB:$AB&amp;""-""&amp;Schedule!$AC:$AC,Schedule!$L:$L=A53,(Schedule!$J:$J="""")+(Schedule!$J:$J=B53),(Schedule!$K:$K=""a"")+(Schedule!$K:$K=""""),Schedule!$AB:$AB&lt;&gt;""""),""""))"),"Art 7-5")</f>
        <v>Art 7-5</v>
      </c>
      <c r="I53" s="60"/>
      <c r="J53" s="154"/>
      <c r="K53" s="151" t="str">
        <f>M50</f>
        <v>Dioger</v>
      </c>
      <c r="L53" s="151" t="str">
        <f>S50</f>
        <v>S2</v>
      </c>
      <c r="M53" s="147">
        <v>2.0</v>
      </c>
      <c r="N53" s="152" t="str">
        <f>IFERROR(__xludf.DUMMYFUNCTION("if(K53="""","""",iferror(filter(Schedule!$P:$P&amp;""-""&amp;Schedule!$Q:$Q,Schedule!$L:$L=K53,(Schedule!$J:$J="""")+(Schedule!$J:$J=L53),(Schedule!$K:$K=""a"")+(Schedule!$K:$K=""""),Schedule!$P:$P&lt;&gt;""""),""""))"),"Art 6-4")</f>
        <v>Art 6-4</v>
      </c>
      <c r="O53" s="152" t="str">
        <f>IFERROR(__xludf.DUMMYFUNCTION("if(K53="""","""",iferror(filter(Schedule!$Y:$Y&amp;""-""&amp;Schedule!$Z:$Z,Schedule!$L:$L=K53,(Schedule!$J:$J="""")+(Schedule!$J:$J=L53),(Schedule!$K:$K=""b"")+(Schedule!$K:$K=""""),Schedule!$Y:$Y&lt;&gt;""""),""""))"),"")</f>
        <v/>
      </c>
      <c r="P53" s="152" t="str">
        <f>IFERROR(__xludf.DUMMYFUNCTION("if(K53="""","""",iferror(filter(Schedule!$P:$P&amp;""-""&amp;Schedule!$Q:$Q,Schedule!$L:$L=K53,(Schedule!$J:$J="""")+(Schedule!$J:$J=L53),(Schedule!$K:$K=""a"")+(Schedule!$K:$K=""""),Schedule!$P:$P&lt;&gt;""""),""""))"),"Art 6-4")</f>
        <v>Art 6-4</v>
      </c>
      <c r="Q53" s="152" t="str">
        <f>IFERROR(__xludf.DUMMYFUNCTION("if(K53="""","""",iferror(filter(Schedule!$M:$M&amp;""-""&amp;Schedule!$N:$N,Schedule!$L:$L=K53,(Schedule!$J:$J="""")+(Schedule!$J:$J=L53),(Schedule!$K:$K=""a"")+(Schedule!$K:$K=""""),Schedule!$M:$M&lt;&gt;""""),""""))"),"Art 7-2")</f>
        <v>Art 7-2</v>
      </c>
      <c r="R53" s="152" t="str">
        <f>IFERROR(__xludf.DUMMYFUNCTION("if(K53="""","""",iferror(filter(Schedule!$AB:$AB&amp;""-""&amp;Schedule!$AC:$AC,Schedule!$L:$L=K53,(Schedule!$J:$J="""")+(Schedule!$J:$J=L53),(Schedule!$K:$K=""a"")+(Schedule!$K:$K=""""),Schedule!$AB:$AB&lt;&gt;""""),""""))"),"")</f>
        <v/>
      </c>
      <c r="S53" s="60"/>
      <c r="T53" s="155"/>
      <c r="U53" s="155" t="str">
        <f>W50</f>
        <v/>
      </c>
      <c r="V53" s="151" t="str">
        <f>AC50</f>
        <v/>
      </c>
      <c r="W53" s="147">
        <v>2.0</v>
      </c>
      <c r="X53" s="152" t="str">
        <f>IFERROR(__xludf.DUMMYFUNCTION("if(U53="""","""",iferror(filter(Schedule!$P:$P&amp;""-""&amp;Schedule!$Q:$Q,Schedule!$L:$L=U53,(Schedule!$J:$J="""")+(Schedule!$J:$J=V53),(Schedule!$K:$K=""a"")+(Schedule!$K:$K=""""),Schedule!$P:$P&lt;&gt;""""),""""))"),"")</f>
        <v/>
      </c>
      <c r="Y53" s="152" t="str">
        <f>IFERROR(__xludf.DUMMYFUNCTION("if(U53="""","""",iferror(filter(Schedule!$Y:$Y&amp;""-""&amp;Schedule!$Z:$Z,Schedule!$L:$L=U53,(Schedule!$J:$J="""")+(Schedule!$J:$J=V53),(Schedule!$K:$K=""b"")+(Schedule!$K:$K=""""),Schedule!$Y:$Y&lt;&gt;""""),""""))"),"")</f>
        <v/>
      </c>
      <c r="Z53" s="152" t="str">
        <f>IFERROR(__xludf.DUMMYFUNCTION("if(U53="""","""",iferror(filter(Schedule!$P:$P&amp;""-""&amp;Schedule!$Q:$Q,Schedule!$L:$L=U53,(Schedule!$J:$J="""")+(Schedule!$J:$J=V53),(Schedule!$K:$K=""a"")+(Schedule!$K:$K=""""),Schedule!$P:$P&lt;&gt;""""),""""))"),"")</f>
        <v/>
      </c>
      <c r="AA53" s="152" t="str">
        <f>IFERROR(__xludf.DUMMYFUNCTION("if(U53="""","""",iferror(filter(Schedule!$M:$M&amp;""-""&amp;Schedule!$N:$N,Schedule!$L:$L=U53,(Schedule!$J:$J="""")+(Schedule!$J:$J=V53),(Schedule!$K:$K=""a"")+(Schedule!$K:$K=""""),Schedule!$M:$M&lt;&gt;""""),""""))"),"")</f>
        <v/>
      </c>
      <c r="AB53" s="152" t="str">
        <f>IFERROR(__xludf.DUMMYFUNCTION("if(U53="""","""",iferror(filter(Schedule!$AB:$AB&amp;""-""&amp;Schedule!$AC:$AC,Schedule!$L:$L=U53,(Schedule!$J:$J="""")+(Schedule!$J:$J=V53),(Schedule!$K:$K=""a"")+(Schedule!$K:$K=""""),Schedule!$AB:$AB&lt;&gt;""""),""""))"),"")</f>
        <v/>
      </c>
      <c r="AC53" s="60"/>
      <c r="AD53" s="155"/>
      <c r="AE53" s="155" t="str">
        <f>AG50</f>
        <v/>
      </c>
      <c r="AF53" s="151" t="str">
        <f>AM50</f>
        <v/>
      </c>
      <c r="AG53" s="147">
        <v>2.0</v>
      </c>
      <c r="AH53" s="152" t="str">
        <f>IFERROR(__xludf.DUMMYFUNCTION("if(AE53="""","""",iferror(filter(Schedule!$P:$P&amp;""-""&amp;Schedule!$Q:$Q,Schedule!$L:$L=AE53,(Schedule!$J:$J="""")+(Schedule!$J:$J=AF53),(Schedule!$K:$K=""a"")+(Schedule!$K:$K=""""),Schedule!$P:$P&lt;&gt;""""),""""))"),"")</f>
        <v/>
      </c>
      <c r="AI53" s="152" t="str">
        <f>IFERROR(__xludf.DUMMYFUNCTION("if(AE53="""","""",iferror(filter(Schedule!$Y:$Y&amp;""-""&amp;Schedule!$Z:$Z,Schedule!$L:$L=AE53,(Schedule!$J:$J="""")+(Schedule!$J:$J=AF53),(Schedule!$K:$K=""b"")+(Schedule!$K:$K=""""),Schedule!$Y:$Y&lt;&gt;""""),""""))"),"")</f>
        <v/>
      </c>
      <c r="AJ53" s="152" t="str">
        <f>IFERROR(__xludf.DUMMYFUNCTION("if(AE53="""","""",iferror(filter(Schedule!$P:$P&amp;""-""&amp;Schedule!$Q:$Q,Schedule!$L:$L=AE53,(Schedule!$J:$J="""")+(Schedule!$J:$J=AF53),(Schedule!$K:$K=""a"")+(Schedule!$K:$K=""""),Schedule!$P:$P&lt;&gt;""""),""""))"),"")</f>
        <v/>
      </c>
      <c r="AK53" s="152" t="str">
        <f>IFERROR(__xludf.DUMMYFUNCTION("if(AE53="""","""",iferror(filter(Schedule!$M:$M&amp;""-""&amp;Schedule!$N:$N,Schedule!$L:$L=AE53,(Schedule!$J:$J="""")+(Schedule!$J:$J=AF53),(Schedule!$K:$K=""a"")+(Schedule!$K:$K=""""),Schedule!$M:$M&lt;&gt;""""),""""))"),"")</f>
        <v/>
      </c>
      <c r="AL53" s="152" t="str">
        <f>IFERROR(__xludf.DUMMYFUNCTION("if(AE53="""","""",iferror(filter(Schedule!$AB:$AB&amp;""-""&amp;Schedule!$AC:$AC,Schedule!$L:$L=AE53,(Schedule!$J:$J="""")+(Schedule!$J:$J=AF53),(Schedule!$K:$K=""a"")+(Schedule!$K:$K=""""),Schedule!$AB:$AB&lt;&gt;""""),""""))"),"")</f>
        <v/>
      </c>
      <c r="AM53" s="60"/>
    </row>
    <row r="54">
      <c r="A54" s="151" t="str">
        <f>C50</f>
        <v>Dioger</v>
      </c>
      <c r="B54" s="151" t="str">
        <f>I50</f>
        <v>S1</v>
      </c>
      <c r="C54" s="147">
        <v>3.0</v>
      </c>
      <c r="D54" s="152" t="str">
        <f>IFERROR(__xludf.DUMMYFUNCTION("if(A54="""","""",iferror(filter(Schedule!$S:$S&amp;""-""&amp;Schedule!$T:$T,Schedule!$L:$L=A54,(Schedule!$J:$J="""")+(Schedule!$J:$J=B54),(Schedule!$K:$K=""a"")+(Schedule!$K:$K=""""),Schedule!$S:$S&lt;&gt;""""),""""))"),"")</f>
        <v/>
      </c>
      <c r="E54" s="152" t="str">
        <f>IFERROR(__xludf.DUMMYFUNCTION("if(A54="""","""",iferror(filter(Schedule!$S:$S&amp;""-""&amp;Schedule!$T:$T,Schedule!$L:$L=A54,(Schedule!$J:$J="""")+(Schedule!$J:$J=B54),(Schedule!$K:$K=""b"")+(Schedule!$K:$K=""""),Schedule!$S:$S&lt;&gt;""""),""""))"),"")</f>
        <v/>
      </c>
      <c r="F54" s="152" t="str">
        <f>IFERROR(__xludf.DUMMYFUNCTION("if(A54="""","""",iferror(filter(Schedule!$Y:$Y&amp;""-""&amp;Schedule!$Z:$Z,Schedule!$L:$L=A54,(Schedule!$J:$J="""")+(Schedule!$J:$J=B54),(Schedule!$K:$K=""a"")+(Schedule!$K:$K=""""),Schedule!$Y:$Y&lt;&gt;""""),""""))"),"Art 8-2")</f>
        <v>Art 8-2</v>
      </c>
      <c r="G54" s="152" t="str">
        <f>IFERROR(__xludf.DUMMYFUNCTION("if(A54="""","""",iferror(filter(Schedule!$P:$P&amp;""-""&amp;Schedule!$Q:$Q,Schedule!$L:$L=A54,(Schedule!$J:$J="""")+(Schedule!$J:$J=B54),(Schedule!$K:$K=""b"")+(Schedule!$K:$K=""""),Schedule!$P:$P&lt;&gt;""""),""""))"),"Art 7-3")</f>
        <v>Art 7-3</v>
      </c>
      <c r="H54" s="152" t="str">
        <f>if(C50="","","X-Block")</f>
        <v>X-Block</v>
      </c>
      <c r="I54" s="60"/>
      <c r="J54" s="154"/>
      <c r="K54" s="151" t="str">
        <f>M50</f>
        <v>Dioger</v>
      </c>
      <c r="L54" s="151" t="str">
        <f>S50</f>
        <v>S2</v>
      </c>
      <c r="M54" s="147">
        <v>3.0</v>
      </c>
      <c r="N54" s="152" t="str">
        <f>IFERROR(__xludf.DUMMYFUNCTION("if(K54="""","""",iferror(filter(Schedule!$S:$S&amp;""-""&amp;Schedule!$T:$T,Schedule!$L:$L=K54,(Schedule!$J:$J="""")+(Schedule!$J:$J=L54),(Schedule!$K:$K=""a"")+(Schedule!$K:$K=""""),Schedule!$S:$S&lt;&gt;""""),""""))"),"")</f>
        <v/>
      </c>
      <c r="O54" s="152" t="str">
        <f>IFERROR(__xludf.DUMMYFUNCTION("if(K54="""","""",iferror(filter(Schedule!$S:$S&amp;""-""&amp;Schedule!$T:$T,Schedule!$L:$L=K54,(Schedule!$J:$J="""")+(Schedule!$J:$J=L54),(Schedule!$K:$K=""b"")+(Schedule!$K:$K=""""),Schedule!$S:$S&lt;&gt;""""),""""))"),"")</f>
        <v/>
      </c>
      <c r="P54" s="152" t="str">
        <f>IFERROR(__xludf.DUMMYFUNCTION("if(K54="""","""",iferror(filter(Schedule!$Y:$Y&amp;""-""&amp;Schedule!$Z:$Z,Schedule!$L:$L=K54,(Schedule!$J:$J="""")+(Schedule!$J:$J=L54),(Schedule!$K:$K=""a"")+(Schedule!$K:$K=""""),Schedule!$Y:$Y&lt;&gt;""""),""""))"),"Art 8-3")</f>
        <v>Art 8-3</v>
      </c>
      <c r="Q54" s="152" t="str">
        <f>IFERROR(__xludf.DUMMYFUNCTION("if(K54="""","""",iferror(filter(Schedule!$P:$P&amp;""-""&amp;Schedule!$Q:$Q,Schedule!$L:$L=K54,(Schedule!$J:$J="""")+(Schedule!$J:$J=L54),(Schedule!$K:$K=""b"")+(Schedule!$K:$K=""""),Schedule!$P:$P&lt;&gt;""""),""""))"),"Art 7-4")</f>
        <v>Art 7-4</v>
      </c>
      <c r="R54" s="152" t="str">
        <f>if(M50="","","X-Block")</f>
        <v>X-Block</v>
      </c>
      <c r="S54" s="60"/>
      <c r="T54" s="155"/>
      <c r="U54" s="155" t="str">
        <f>W50</f>
        <v/>
      </c>
      <c r="V54" s="151" t="str">
        <f>AC50</f>
        <v/>
      </c>
      <c r="W54" s="147">
        <v>3.0</v>
      </c>
      <c r="X54" s="152" t="str">
        <f>IFERROR(__xludf.DUMMYFUNCTION("if(U54="""","""",iferror(filter(Schedule!$S:$S&amp;""-""&amp;Schedule!$T:$T,Schedule!$L:$L=U54,(Schedule!$J:$J="""")+(Schedule!$J:$J=V54),(Schedule!$K:$K=""a"")+(Schedule!$K:$K=""""),Schedule!$S:$S&lt;&gt;""""),""""))"),"")</f>
        <v/>
      </c>
      <c r="Y54" s="152" t="str">
        <f>IFERROR(__xludf.DUMMYFUNCTION("if(U54="""","""",iferror(filter(Schedule!$S:$S&amp;""-""&amp;Schedule!$T:$T,Schedule!$L:$L=U54,(Schedule!$J:$J="""")+(Schedule!$J:$J=V54),(Schedule!$K:$K=""b"")+(Schedule!$K:$K=""""),Schedule!$S:$S&lt;&gt;""""),""""))"),"")</f>
        <v/>
      </c>
      <c r="Z54" s="152" t="str">
        <f>IFERROR(__xludf.DUMMYFUNCTION("if(U54="""","""",iferror(filter(Schedule!$Y:$Y&amp;""-""&amp;Schedule!$Z:$Z,Schedule!$L:$L=U54,(Schedule!$J:$J="""")+(Schedule!$J:$J=V54),(Schedule!$K:$K=""a"")+(Schedule!$K:$K=""""),Schedule!$Y:$Y&lt;&gt;""""),""""))"),"")</f>
        <v/>
      </c>
      <c r="AA54" s="152" t="str">
        <f>IFERROR(__xludf.DUMMYFUNCTION("if(U54="""","""",iferror(filter(Schedule!$P:$P&amp;""-""&amp;Schedule!$Q:$Q,Schedule!$L:$L=U54,(Schedule!$J:$J="""")+(Schedule!$J:$J=V54),(Schedule!$K:$K=""b"")+(Schedule!$K:$K=""""),Schedule!$P:$P&lt;&gt;""""),""""))"),"")</f>
        <v/>
      </c>
      <c r="AB54" s="152" t="str">
        <f>if(W50="","","X-Block")</f>
        <v/>
      </c>
      <c r="AC54" s="60"/>
      <c r="AD54" s="155"/>
      <c r="AE54" s="155" t="str">
        <f>AG50</f>
        <v/>
      </c>
      <c r="AF54" s="151" t="str">
        <f>AM50</f>
        <v/>
      </c>
      <c r="AG54" s="147">
        <v>3.0</v>
      </c>
      <c r="AH54" s="152" t="str">
        <f>IFERROR(__xludf.DUMMYFUNCTION("if(AE54="""","""",iferror(filter(Schedule!$S:$S&amp;""-""&amp;Schedule!$T:$T,Schedule!$L:$L=AE54,(Schedule!$J:$J="""")+(Schedule!$J:$J=AF54),(Schedule!$K:$K=""a"")+(Schedule!$K:$K=""""),Schedule!$S:$S&lt;&gt;""""),""""))"),"")</f>
        <v/>
      </c>
      <c r="AI54" s="152" t="str">
        <f>IFERROR(__xludf.DUMMYFUNCTION("if(AE54="""","""",iferror(filter(Schedule!$S:$S&amp;""-""&amp;Schedule!$T:$T,Schedule!$L:$L=AE54,(Schedule!$J:$J="""")+(Schedule!$J:$J=AF54),(Schedule!$K:$K=""b"")+(Schedule!$K:$K=""""),Schedule!$S:$S&lt;&gt;""""),""""))"),"")</f>
        <v/>
      </c>
      <c r="AJ54" s="152" t="str">
        <f>IFERROR(__xludf.DUMMYFUNCTION("if(AE54="""","""",iferror(filter(Schedule!$Y:$Y&amp;""-""&amp;Schedule!$Z:$Z,Schedule!$L:$L=AE54,(Schedule!$J:$J="""")+(Schedule!$J:$J=AF54),(Schedule!$K:$K=""a"")+(Schedule!$K:$K=""""),Schedule!$Y:$Y&lt;&gt;""""),""""))"),"")</f>
        <v/>
      </c>
      <c r="AK54" s="152" t="str">
        <f>IFERROR(__xludf.DUMMYFUNCTION("if(AE54="""","""",iferror(filter(Schedule!$P:$P&amp;""-""&amp;Schedule!$Q:$Q,Schedule!$L:$L=AE54,(Schedule!$J:$J="""")+(Schedule!$J:$J=AF54),(Schedule!$K:$K=""b"")+(Schedule!$K:$K=""""),Schedule!$P:$P&lt;&gt;""""),""""))"),"")</f>
        <v/>
      </c>
      <c r="AL54" s="152" t="str">
        <f>if(AG50="","","X-Block")</f>
        <v/>
      </c>
      <c r="AM54" s="60"/>
    </row>
    <row r="55">
      <c r="A55" s="151" t="str">
        <f>C50</f>
        <v>Dioger</v>
      </c>
      <c r="B55" s="151" t="str">
        <f>I50</f>
        <v>S1</v>
      </c>
      <c r="C55" s="147">
        <v>4.0</v>
      </c>
      <c r="D55" s="152" t="str">
        <f>IFERROR(__xludf.DUMMYFUNCTION("if(A55="""","""",iferror(filter(Schedule!$V:$V&amp;""-""&amp;Schedule!$W:$W,Schedule!$L:$L=A55,(Schedule!$J:$J="""")+(Schedule!$J:$J=B55),(Schedule!$K:$K=""a"")+(Schedule!$K:$K=""""),Schedule!$V:$V&lt;&gt;""""),""""))"),"Art 6-5")</f>
        <v>Art 6-5</v>
      </c>
      <c r="E55" s="152" t="str">
        <f>IFERROR(__xludf.DUMMYFUNCTION("if(A55="""","""",iferror(filter(Schedule!$M:$M&amp;""-""&amp;Schedule!$N:$N,Schedule!$L:$L=A55,(Schedule!$J:$J="""")+(Schedule!$J:$J=B55),(Schedule!$K:$K=""b"")+(Schedule!$K:$K=""""),Schedule!$M:$M&lt;&gt;""""),""""))"),"Art 6-1")</f>
        <v>Art 6-1</v>
      </c>
      <c r="F55" s="152" t="str">
        <f>IFERROR(__xludf.DUMMYFUNCTION("if(A55="""","""",iferror(filter(Schedule!$AB:$AB&amp;""-""&amp;Schedule!$AC:$AC,Schedule!$L:$L=A55,(Schedule!$J:$J="""")+(Schedule!$J:$J=B55),(Schedule!$K:$K=""a"")+(Schedule!$K:$K=""""),Schedule!$AB:$AB&lt;&gt;""""),""""))"),"Art 7-5")</f>
        <v>Art 7-5</v>
      </c>
      <c r="G55" s="152" t="str">
        <f>IFERROR(__xludf.DUMMYFUNCTION("if(A55="""","""",iferror(filter(Schedule!$S:$S&amp;""-""&amp;Schedule!$T:$T,Schedule!$L:$L=A55,(Schedule!$J:$J="""")+(Schedule!$J:$J=B55),(Schedule!$K:$K=""b"")+(Schedule!$K:$K=""""),Schedule!$S:$S&lt;&gt;""""),""""))"),"")</f>
        <v/>
      </c>
      <c r="H55" s="152" t="str">
        <f>IFERROR(__xludf.DUMMYFUNCTION("if(A55="""","""",iferror(filter(Schedule!$V:$V&amp;""-""&amp;Schedule!$W:$W,Schedule!$L:$L=A55,(Schedule!$J:$J="""")+(Schedule!$J:$J=B55),(Schedule!$K:$K=""b"")+(Schedule!$K:$K=""""),Schedule!$V:$V&lt;&gt;""""),""""))"),"")</f>
        <v/>
      </c>
      <c r="I55" s="60"/>
      <c r="J55" s="154"/>
      <c r="K55" s="151" t="str">
        <f>M50</f>
        <v>Dioger</v>
      </c>
      <c r="L55" s="151" t="str">
        <f>S50</f>
        <v>S2</v>
      </c>
      <c r="M55" s="147">
        <v>4.0</v>
      </c>
      <c r="N55" s="152" t="str">
        <f>IFERROR(__xludf.DUMMYFUNCTION("if(K55="""","""",iferror(filter(Schedule!$V:$V&amp;""-""&amp;Schedule!$W:$W,Schedule!$L:$L=K55,(Schedule!$J:$J="""")+(Schedule!$J:$J=L55),(Schedule!$K:$K=""a"")+(Schedule!$K:$K=""""),Schedule!$V:$V&lt;&gt;""""),""""))"),"Art 6-6")</f>
        <v>Art 6-6</v>
      </c>
      <c r="O55" s="152" t="str">
        <f>IFERROR(__xludf.DUMMYFUNCTION("if(K55="""","""",iferror(filter(Schedule!$M:$M&amp;""-""&amp;Schedule!$N:$N,Schedule!$L:$L=K55,(Schedule!$J:$J="""")+(Schedule!$J:$J=L55),(Schedule!$K:$K=""b"")+(Schedule!$K:$K=""""),Schedule!$M:$M&lt;&gt;""""),""""))"),"Art 6-2")</f>
        <v>Art 6-2</v>
      </c>
      <c r="P55" s="152" t="str">
        <f>IFERROR(__xludf.DUMMYFUNCTION("if(K55="""","""",iferror(filter(Schedule!$AB:$AB&amp;""-""&amp;Schedule!$AC:$AC,Schedule!$L:$L=K55,(Schedule!$J:$J="""")+(Schedule!$J:$J=L55),(Schedule!$K:$K=""a"")+(Schedule!$K:$K=""""),Schedule!$AB:$AB&lt;&gt;""""),""""))"),"")</f>
        <v/>
      </c>
      <c r="Q55" s="152" t="str">
        <f>IFERROR(__xludf.DUMMYFUNCTION("if(K55="""","""",iferror(filter(Schedule!$S:$S&amp;""-""&amp;Schedule!$T:$T,Schedule!$L:$L=K55,(Schedule!$J:$J="""")+(Schedule!$J:$J=L55),(Schedule!$K:$K=""b"")+(Schedule!$K:$K=""""),Schedule!$S:$S&lt;&gt;""""),""""))"),"")</f>
        <v/>
      </c>
      <c r="R55" s="152" t="str">
        <f>IFERROR(__xludf.DUMMYFUNCTION("if(K55="""","""",iferror(filter(Schedule!$V:$V&amp;""-""&amp;Schedule!$W:$W,Schedule!$L:$L=K55,(Schedule!$J:$J="""")+(Schedule!$J:$J=L55),(Schedule!$K:$K=""b"")+(Schedule!$K:$K=""""),Schedule!$V:$V&lt;&gt;""""),""""))"),"Art 8-1")</f>
        <v>Art 8-1</v>
      </c>
      <c r="S55" s="60"/>
      <c r="T55" s="155"/>
      <c r="U55" s="155" t="str">
        <f>W50</f>
        <v/>
      </c>
      <c r="V55" s="151" t="str">
        <f>AC50</f>
        <v/>
      </c>
      <c r="W55" s="147">
        <v>4.0</v>
      </c>
      <c r="X55" s="152" t="str">
        <f>IFERROR(__xludf.DUMMYFUNCTION("if(U55="""","""",iferror(filter(Schedule!$V:$V&amp;""-""&amp;Schedule!$W:$W,Schedule!$L:$L=U55,(Schedule!$J:$J="""")+(Schedule!$J:$J=V55),(Schedule!$K:$K=""a"")+(Schedule!$K:$K=""""),Schedule!$V:$V&lt;&gt;""""),""""))"),"")</f>
        <v/>
      </c>
      <c r="Y55" s="152" t="str">
        <f>IFERROR(__xludf.DUMMYFUNCTION("if(U55="""","""",iferror(filter(Schedule!$M:$M&amp;""-""&amp;Schedule!$N:$N,Schedule!$L:$L=U55,(Schedule!$J:$J="""")+(Schedule!$J:$J=V55),(Schedule!$K:$K=""b"")+(Schedule!$K:$K=""""),Schedule!$M:$M&lt;&gt;""""),""""))"),"")</f>
        <v/>
      </c>
      <c r="Z55" s="152" t="str">
        <f>IFERROR(__xludf.DUMMYFUNCTION("if(U55="""","""",iferror(filter(Schedule!$AB:$AB&amp;""-""&amp;Schedule!$AC:$AC,Schedule!$L:$L=U55,(Schedule!$J:$J="""")+(Schedule!$J:$J=V55),(Schedule!$K:$K=""a"")+(Schedule!$K:$K=""""),Schedule!$AB:$AB&lt;&gt;""""),""""))"),"")</f>
        <v/>
      </c>
      <c r="AA55" s="152" t="str">
        <f>IFERROR(__xludf.DUMMYFUNCTION("if(U55="""","""",iferror(filter(Schedule!$S:$S&amp;""-""&amp;Schedule!$T:$T,Schedule!$L:$L=U55,(Schedule!$J:$J="""")+(Schedule!$J:$J=V55),(Schedule!$K:$K=""b"")+(Schedule!$K:$K=""""),Schedule!$S:$S&lt;&gt;""""),""""))"),"")</f>
        <v/>
      </c>
      <c r="AB55" s="152" t="str">
        <f>IFERROR(__xludf.DUMMYFUNCTION("if(U55="""","""",iferror(filter(Schedule!$V:$V&amp;""-""&amp;Schedule!$W:$W,Schedule!$L:$L=U55,(Schedule!$J:$J="""")+(Schedule!$J:$J=V55),(Schedule!$K:$K=""b"")+(Schedule!$K:$K=""""),Schedule!$V:$V&lt;&gt;""""),""""))"),"")</f>
        <v/>
      </c>
      <c r="AC55" s="60"/>
      <c r="AD55" s="155"/>
      <c r="AE55" s="155" t="str">
        <f>AG50</f>
        <v/>
      </c>
      <c r="AF55" s="151" t="str">
        <f>AM50</f>
        <v/>
      </c>
      <c r="AG55" s="147">
        <v>4.0</v>
      </c>
      <c r="AH55" s="152" t="str">
        <f>IFERROR(__xludf.DUMMYFUNCTION("if(AE55="""","""",iferror(filter(Schedule!$V:$V&amp;""-""&amp;Schedule!$W:$W,Schedule!$L:$L=AE55,(Schedule!$J:$J="""")+(Schedule!$J:$J=AF55),(Schedule!$K:$K=""a"")+(Schedule!$K:$K=""""),Schedule!$V:$V&lt;&gt;""""),""""))"),"")</f>
        <v/>
      </c>
      <c r="AI55" s="152" t="str">
        <f>IFERROR(__xludf.DUMMYFUNCTION("if(AE55="""","""",iferror(filter(Schedule!$M:$M&amp;""-""&amp;Schedule!$N:$N,Schedule!$L:$L=AE55,(Schedule!$J:$J="""")+(Schedule!$J:$J=AF55),(Schedule!$K:$K=""b"")+(Schedule!$K:$K=""""),Schedule!$M:$M&lt;&gt;""""),""""))"),"")</f>
        <v/>
      </c>
      <c r="AJ55" s="152" t="str">
        <f>IFERROR(__xludf.DUMMYFUNCTION("if(AE55="""","""",iferror(filter(Schedule!$AB:$AB&amp;""-""&amp;Schedule!$AC:$AC,Schedule!$L:$L=AE55,(Schedule!$J:$J="""")+(Schedule!$J:$J=AF55),(Schedule!$K:$K=""a"")+(Schedule!$K:$K=""""),Schedule!$AB:$AB&lt;&gt;""""),""""))"),"")</f>
        <v/>
      </c>
      <c r="AK55" s="152" t="str">
        <f>IFERROR(__xludf.DUMMYFUNCTION("if(AE55="""","""",iferror(filter(Schedule!$S:$S&amp;""-""&amp;Schedule!$T:$T,Schedule!$L:$L=AE55,(Schedule!$J:$J="""")+(Schedule!$J:$J=AF55),(Schedule!$K:$K=""b"")+(Schedule!$K:$K=""""),Schedule!$S:$S&lt;&gt;""""),""""))"),"")</f>
        <v/>
      </c>
      <c r="AL55" s="152" t="str">
        <f>IFERROR(__xludf.DUMMYFUNCTION("if(AE55="""","""",iferror(filter(Schedule!$V:$V&amp;""-""&amp;Schedule!$W:$W,Schedule!$L:$L=AE55,(Schedule!$J:$J="""")+(Schedule!$J:$J=AF55),(Schedule!$K:$K=""b"")+(Schedule!$K:$K=""""),Schedule!$V:$V&lt;&gt;""""),""""))"),"")</f>
        <v/>
      </c>
      <c r="AM55" s="60"/>
    </row>
    <row r="56">
      <c r="A56" s="151" t="str">
        <f>C50</f>
        <v>Dioger</v>
      </c>
      <c r="B56" s="151" t="str">
        <f>I50</f>
        <v>S1</v>
      </c>
      <c r="C56" s="147">
        <v>5.0</v>
      </c>
      <c r="D56" s="152" t="str">
        <f>IFERROR(__xludf.DUMMYFUNCTION("if(A56="""","""",iferror(filter(Schedule!$Y:$Y&amp;""-""&amp;Schedule!$Z:$Z,Schedule!$L:$L=A56,(Schedule!$J:$J="""")+(Schedule!$J:$J=B56),(Schedule!$K:$K=""a"")+(Schedule!$K:$K=""""),Schedule!$Y:$Y&lt;&gt;""""),""""))"),"Art 8-2")</f>
        <v>Art 8-2</v>
      </c>
      <c r="E56" s="152" t="str">
        <f>IFERROR(__xludf.DUMMYFUNCTION("if(A56="""","""",iferror(filter(Schedule!$P:$P&amp;""-""&amp;Schedule!$Q:$Q,Schedule!$L:$L=A56,(Schedule!$J:$J="""")+(Schedule!$J:$J=B56),(Schedule!$K:$K=""b"")+(Schedule!$K:$K=""""),Schedule!$P:$P&lt;&gt;""""),""""))"),"Art 7-3")</f>
        <v>Art 7-3</v>
      </c>
      <c r="F56" s="152" t="str">
        <f>IFERROR(__xludf.DUMMYFUNCTION("if(A56="""","""",iferror(filter(Schedule!$V:$V&amp;""-""&amp;Schedule!$W:$W,Schedule!$L:$L=A56,(Schedule!$J:$J="""")+(Schedule!$J:$J=B56),(Schedule!$K:$K=""b"")+(Schedule!$K:$K=""""),Schedule!$V:$V&lt;&gt;""""),""""))"),"")</f>
        <v/>
      </c>
      <c r="G56" s="152" t="str">
        <f>IFERROR(__xludf.DUMMYFUNCTION("if(A56="""","""",iferror(filter(Schedule!$AB:$AB&amp;""-""&amp;Schedule!$AC:$AC,Schedule!$L:$L=A56,(Schedule!$J:$J="""")+(Schedule!$J:$J=B56),(Schedule!$K:$K=""b"")+(Schedule!$K:$K=""""),Schedule!$AB:$AB&lt;&gt;""""),""""))"),"Art 6-7")</f>
        <v>Art 6-7</v>
      </c>
      <c r="H56" s="152" t="str">
        <f>IFERROR(__xludf.DUMMYFUNCTION("if(A56="""","""",iferror(filter(Schedule!$M:$M&amp;""-""&amp;Schedule!$N:$N,Schedule!$L:$L=A56,(Schedule!$J:$J="""")+(Schedule!$J:$J=B56),(Schedule!$K:$K=""b"")+(Schedule!$K:$K=""""),Schedule!$M:$M&lt;&gt;""""),""""))"),"Art 6-1")</f>
        <v>Art 6-1</v>
      </c>
      <c r="I56" s="64"/>
      <c r="J56" s="154"/>
      <c r="K56" s="151" t="str">
        <f>M50</f>
        <v>Dioger</v>
      </c>
      <c r="L56" s="151" t="str">
        <f>S50</f>
        <v>S2</v>
      </c>
      <c r="M56" s="147">
        <v>5.0</v>
      </c>
      <c r="N56" s="152" t="str">
        <f>IFERROR(__xludf.DUMMYFUNCTION("if(K56="""","""",iferror(filter(Schedule!$Y:$Y&amp;""-""&amp;Schedule!$Z:$Z,Schedule!$L:$L=K56,(Schedule!$J:$J="""")+(Schedule!$J:$J=L56),(Schedule!$K:$K=""a"")+(Schedule!$K:$K=""""),Schedule!$Y:$Y&lt;&gt;""""),""""))"),"Art 8-3")</f>
        <v>Art 8-3</v>
      </c>
      <c r="O56" s="152" t="str">
        <f>IFERROR(__xludf.DUMMYFUNCTION("if(K56="""","""",iferror(filter(Schedule!$P:$P&amp;""-""&amp;Schedule!$Q:$Q,Schedule!$L:$L=K56,(Schedule!$J:$J="""")+(Schedule!$J:$J=L56),(Schedule!$K:$K=""b"")+(Schedule!$K:$K=""""),Schedule!$P:$P&lt;&gt;""""),""""))"),"Art 7-4")</f>
        <v>Art 7-4</v>
      </c>
      <c r="P56" s="152" t="str">
        <f>IFERROR(__xludf.DUMMYFUNCTION("if(K56="""","""",iferror(filter(Schedule!$V:$V&amp;""-""&amp;Schedule!$W:$W,Schedule!$L:$L=K56,(Schedule!$J:$J="""")+(Schedule!$J:$J=L56),(Schedule!$K:$K=""b"")+(Schedule!$K:$K=""""),Schedule!$V:$V&lt;&gt;""""),""""))"),"Art 8-1")</f>
        <v>Art 8-1</v>
      </c>
      <c r="Q56" s="152" t="str">
        <f>IFERROR(__xludf.DUMMYFUNCTION("if(K56="""","""",iferror(filter(Schedule!$AB:$AB&amp;""-""&amp;Schedule!$AC:$AC,Schedule!$L:$L=K56,(Schedule!$J:$J="""")+(Schedule!$J:$J=L56),(Schedule!$K:$K=""b"")+(Schedule!$K:$K=""""),Schedule!$AB:$AB&lt;&gt;""""),""""))"),"Art 6-8")</f>
        <v>Art 6-8</v>
      </c>
      <c r="R56" s="152" t="str">
        <f>IFERROR(__xludf.DUMMYFUNCTION("if(K56="""","""",iferror(filter(Schedule!$M:$M&amp;""-""&amp;Schedule!$N:$N,Schedule!$L:$L=K56,(Schedule!$J:$J="""")+(Schedule!$J:$J=L56),(Schedule!$K:$K=""b"")+(Schedule!$K:$K=""""),Schedule!$M:$M&lt;&gt;""""),""""))"),"Art 6-2")</f>
        <v>Art 6-2</v>
      </c>
      <c r="S56" s="64"/>
      <c r="T56" s="155"/>
      <c r="U56" s="155" t="str">
        <f>W50</f>
        <v/>
      </c>
      <c r="V56" s="151" t="str">
        <f>AC50</f>
        <v/>
      </c>
      <c r="W56" s="147">
        <v>5.0</v>
      </c>
      <c r="X56" s="152" t="str">
        <f>IFERROR(__xludf.DUMMYFUNCTION("if(U56="""","""",iferror(filter(Schedule!$Y:$Y&amp;""-""&amp;Schedule!$Z:$Z,Schedule!$L:$L=U56,(Schedule!$J:$J="""")+(Schedule!$J:$J=V56),(Schedule!$K:$K=""a"")+(Schedule!$K:$K=""""),Schedule!$Y:$Y&lt;&gt;""""),""""))"),"")</f>
        <v/>
      </c>
      <c r="Y56" s="152" t="str">
        <f>IFERROR(__xludf.DUMMYFUNCTION("if(U56="""","""",iferror(filter(Schedule!$P:$P&amp;""-""&amp;Schedule!$Q:$Q,Schedule!$L:$L=U56,(Schedule!$J:$J="""")+(Schedule!$J:$J=V56),(Schedule!$K:$K=""b"")+(Schedule!$K:$K=""""),Schedule!$P:$P&lt;&gt;""""),""""))"),"")</f>
        <v/>
      </c>
      <c r="Z56" s="152" t="str">
        <f>IFERROR(__xludf.DUMMYFUNCTION("if(U56="""","""",iferror(filter(Schedule!$V:$V&amp;""-""&amp;Schedule!$W:$W,Schedule!$L:$L=U56,(Schedule!$J:$J="""")+(Schedule!$J:$J=V56),(Schedule!$K:$K=""b"")+(Schedule!$K:$K=""""),Schedule!$V:$V&lt;&gt;""""),""""))"),"")</f>
        <v/>
      </c>
      <c r="AA56" s="152" t="str">
        <f>IFERROR(__xludf.DUMMYFUNCTION("if(U56="""","""",iferror(filter(Schedule!$AB:$AB&amp;""-""&amp;Schedule!$AC:$AC,Schedule!$L:$L=U56,(Schedule!$J:$J="""")+(Schedule!$J:$J=V56),(Schedule!$K:$K=""b"")+(Schedule!$K:$K=""""),Schedule!$AB:$AB&lt;&gt;""""),""""))"),"")</f>
        <v/>
      </c>
      <c r="AB56" s="152" t="str">
        <f>IFERROR(__xludf.DUMMYFUNCTION("if(U56="""","""",iferror(filter(Schedule!$M:$M&amp;""-""&amp;Schedule!$N:$N,Schedule!$L:$L=U56,(Schedule!$J:$J="""")+(Schedule!$J:$J=V56),(Schedule!$K:$K=""b"")+(Schedule!$K:$K=""""),Schedule!$M:$M&lt;&gt;""""),""""))"),"")</f>
        <v/>
      </c>
      <c r="AC56" s="64"/>
      <c r="AD56" s="155"/>
      <c r="AE56" s="155" t="str">
        <f>AG50</f>
        <v/>
      </c>
      <c r="AF56" s="151" t="str">
        <f>AM50</f>
        <v/>
      </c>
      <c r="AG56" s="147">
        <v>5.0</v>
      </c>
      <c r="AH56" s="152" t="str">
        <f>IFERROR(__xludf.DUMMYFUNCTION("if(AE56="""","""",iferror(filter(Schedule!$Y:$Y&amp;""-""&amp;Schedule!$Z:$Z,Schedule!$L:$L=AE56,(Schedule!$J:$J="""")+(Schedule!$J:$J=AF56),(Schedule!$K:$K=""a"")+(Schedule!$K:$K=""""),Schedule!$Y:$Y&lt;&gt;""""),""""))"),"")</f>
        <v/>
      </c>
      <c r="AI56" s="152" t="str">
        <f>IFERROR(__xludf.DUMMYFUNCTION("if(AE56="""","""",iferror(filter(Schedule!$P:$P&amp;""-""&amp;Schedule!$Q:$Q,Schedule!$L:$L=AE56,(Schedule!$J:$J="""")+(Schedule!$J:$J=AF56),(Schedule!$K:$K=""b"")+(Schedule!$K:$K=""""),Schedule!$P:$P&lt;&gt;""""),""""))"),"")</f>
        <v/>
      </c>
      <c r="AJ56" s="152" t="str">
        <f>IFERROR(__xludf.DUMMYFUNCTION("if(AE56="""","""",iferror(filter(Schedule!$V:$V&amp;""-""&amp;Schedule!$W:$W,Schedule!$L:$L=AE56,(Schedule!$J:$J="""")+(Schedule!$J:$J=AF56),(Schedule!$K:$K=""b"")+(Schedule!$K:$K=""""),Schedule!$V:$V&lt;&gt;""""),""""))"),"")</f>
        <v/>
      </c>
      <c r="AK56" s="152" t="str">
        <f>IFERROR(__xludf.DUMMYFUNCTION("if(AE56="""","""",iferror(filter(Schedule!$AB:$AB&amp;""-""&amp;Schedule!$AC:$AC,Schedule!$L:$L=AE56,(Schedule!$J:$J="""")+(Schedule!$J:$J=AF56),(Schedule!$K:$K=""b"")+(Schedule!$K:$K=""""),Schedule!$AB:$AB&lt;&gt;""""),""""))"),"")</f>
        <v/>
      </c>
      <c r="AL56" s="152" t="str">
        <f>IFERROR(__xludf.DUMMYFUNCTION("if(AE56="""","""",iferror(filter(Schedule!$M:$M&amp;""-""&amp;Schedule!$N:$N,Schedule!$L:$L=AE56,(Schedule!$J:$J="""")+(Schedule!$J:$J=AF56),(Schedule!$K:$K=""b"")+(Schedule!$K:$K=""""),Schedule!$M:$M&lt;&gt;""""),""""))"),"")</f>
        <v/>
      </c>
      <c r="AM56" s="64"/>
    </row>
    <row r="57">
      <c r="A57" s="11"/>
      <c r="B57" s="11"/>
      <c r="C57" s="156"/>
      <c r="D57" s="156"/>
      <c r="E57" s="156"/>
      <c r="F57" s="156"/>
      <c r="G57" s="156"/>
      <c r="H57" s="156"/>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row>
    <row r="58">
      <c r="A58" s="5"/>
      <c r="B58" s="5"/>
      <c r="C58" s="140" t="str">
        <f>Teachers!A8</f>
        <v>Geraldin Salazar</v>
      </c>
      <c r="D58" s="141"/>
      <c r="E58" s="141"/>
      <c r="F58" s="141"/>
      <c r="G58" s="141"/>
      <c r="H58" s="142"/>
      <c r="I58" s="143" t="str">
        <f>IFERROR(__xludf.DUMMYFUNCTION("if(C58="""","""", iferror(unique(filter(Schedule!$J:$J,Schedule!$L:$L=$C58,Schedule!$J:$J=""Q1"")),iferror(unique(filter(Schedule!$J:$J,Schedule!$L:$L=$C58,Schedule!$J:$J=""S1"")),""Y"")))"),"Y")</f>
        <v>Y</v>
      </c>
      <c r="J58" s="11"/>
      <c r="K58" s="11"/>
      <c r="L58" s="11"/>
      <c r="M58" s="140" t="str">
        <f>if(S58="","",C58)</f>
        <v/>
      </c>
      <c r="N58" s="141"/>
      <c r="O58" s="141"/>
      <c r="P58" s="141"/>
      <c r="Q58" s="141"/>
      <c r="R58" s="142"/>
      <c r="S58" s="143" t="str">
        <f>if($I58="Q1","Q2",if($I58="S1","S2",""))</f>
        <v/>
      </c>
      <c r="T58" s="144"/>
      <c r="U58" s="144"/>
      <c r="V58" s="145"/>
      <c r="W58" s="140" t="str">
        <f>if(AC58="","",M58)</f>
        <v/>
      </c>
      <c r="X58" s="141"/>
      <c r="Y58" s="141"/>
      <c r="Z58" s="141"/>
      <c r="AA58" s="141"/>
      <c r="AB58" s="142"/>
      <c r="AC58" s="143" t="str">
        <f>if($I58="Q1","Q3","")</f>
        <v/>
      </c>
      <c r="AD58" s="144"/>
      <c r="AE58" s="144"/>
      <c r="AF58" s="145"/>
      <c r="AG58" s="140" t="str">
        <f>if(AC58="","",W58)</f>
        <v/>
      </c>
      <c r="AH58" s="141"/>
      <c r="AI58" s="141"/>
      <c r="AJ58" s="141"/>
      <c r="AK58" s="141"/>
      <c r="AL58" s="142"/>
      <c r="AM58" s="143" t="str">
        <f>if($I58="Q1","Q4","")</f>
        <v/>
      </c>
    </row>
    <row r="59">
      <c r="A59" s="146"/>
      <c r="B59" s="146"/>
      <c r="C59" s="147" t="s">
        <v>94</v>
      </c>
      <c r="D59" s="148" t="s">
        <v>95</v>
      </c>
      <c r="E59" s="148" t="s">
        <v>96</v>
      </c>
      <c r="F59" s="148" t="s">
        <v>97</v>
      </c>
      <c r="G59" s="148" t="s">
        <v>98</v>
      </c>
      <c r="H59" s="148" t="s">
        <v>99</v>
      </c>
      <c r="I59" s="148" t="s">
        <v>651</v>
      </c>
      <c r="J59" s="146"/>
      <c r="K59" s="146"/>
      <c r="L59" s="146"/>
      <c r="M59" s="147" t="s">
        <v>94</v>
      </c>
      <c r="N59" s="148" t="s">
        <v>95</v>
      </c>
      <c r="O59" s="148" t="s">
        <v>96</v>
      </c>
      <c r="P59" s="148" t="s">
        <v>97</v>
      </c>
      <c r="Q59" s="148" t="s">
        <v>98</v>
      </c>
      <c r="R59" s="148" t="s">
        <v>99</v>
      </c>
      <c r="S59" s="148" t="s">
        <v>651</v>
      </c>
      <c r="T59" s="149"/>
      <c r="U59" s="149"/>
      <c r="V59" s="150"/>
      <c r="W59" s="147" t="s">
        <v>94</v>
      </c>
      <c r="X59" s="148" t="s">
        <v>95</v>
      </c>
      <c r="Y59" s="148" t="s">
        <v>96</v>
      </c>
      <c r="Z59" s="148" t="s">
        <v>97</v>
      </c>
      <c r="AA59" s="148" t="s">
        <v>98</v>
      </c>
      <c r="AB59" s="148" t="s">
        <v>99</v>
      </c>
      <c r="AC59" s="148" t="s">
        <v>651</v>
      </c>
      <c r="AD59" s="149"/>
      <c r="AE59" s="149"/>
      <c r="AF59" s="150"/>
      <c r="AG59" s="147" t="s">
        <v>94</v>
      </c>
      <c r="AH59" s="148" t="s">
        <v>95</v>
      </c>
      <c r="AI59" s="148" t="s">
        <v>96</v>
      </c>
      <c r="AJ59" s="148" t="s">
        <v>97</v>
      </c>
      <c r="AK59" s="148" t="s">
        <v>98</v>
      </c>
      <c r="AL59" s="148" t="s">
        <v>99</v>
      </c>
      <c r="AM59" s="148" t="s">
        <v>651</v>
      </c>
    </row>
    <row r="60">
      <c r="A60" s="151" t="str">
        <f>C58</f>
        <v>Geraldin Salazar</v>
      </c>
      <c r="B60" s="151" t="str">
        <f>I58</f>
        <v>Y</v>
      </c>
      <c r="C60" s="147">
        <v>1.0</v>
      </c>
      <c r="D60" s="152" t="str">
        <f>IFERROR(__xludf.DUMMYFUNCTION("if(A60="""","""",iferror(filter(Schedule!$M:$M&amp;""-""&amp;Schedule!$N:$N,Schedule!$L:$L=A60,(Schedule!$J:$J="""")+(Schedule!$J:$J=B60),(Schedule!$K:$K=""a"")+(Schedule!$K:$K=""""),Schedule!$M:$M&lt;&gt;""""),""""))"),"Spanish 6-1")</f>
        <v>Spanish 6-1</v>
      </c>
      <c r="E60" s="152" t="str">
        <f>IFERROR(__xludf.DUMMYFUNCTION("if(A60="""","""",iferror(filter(Schedule!$AB:$AB&amp;""-""&amp;Schedule!$AC:$AC,Schedule!$L:$L=A60,(Schedule!$J:$J="""")+(Schedule!$J:$J=B60),(Schedule!$K:$K=""b"")+(Schedule!$K:$K=""""),Schedule!$AB:$AB&lt;&gt;""""),""""))"),"")</f>
        <v/>
      </c>
      <c r="F60" s="152" t="str">
        <f>IFERROR(__xludf.DUMMYFUNCTION("if(A60="""","""",iferror(filter(Schedule!$S:$S&amp;""-""&amp;Schedule!$T:$T,Schedule!$L:$L=A60,(Schedule!$J:$J="""")+(Schedule!$J:$J=B60),(Schedule!$K:$K=""a"")+(Schedule!$K:$K=""""),Schedule!$S:$S&lt;&gt;""""),""""))"),"Spanish 6-3")</f>
        <v>Spanish 6-3</v>
      </c>
      <c r="G60" s="152" t="str">
        <f>IFERROR(__xludf.DUMMYFUNCTION("if(A60="""","""",iferror(filter(Schedule!$V:$V&amp;""-""&amp;Schedule!$W:$W,Schedule!$L:$L=A60,(Schedule!$J:$J="""")+(Schedule!$J:$J=B60),(Schedule!$K:$K=""a"")+(Schedule!$K:$K=""""),Schedule!$V:$V&lt;&gt;""""),""""))"),"Spanish 6-4")</f>
        <v>Spanish 6-4</v>
      </c>
      <c r="H60" s="152" t="str">
        <f>IFERROR(__xludf.DUMMYFUNCTION("if(A60="""","""",iferror(filter(Schedule!$Y:$Y&amp;""-""&amp;Schedule!$Z:$Z,Schedule!$L:$L=A60,(Schedule!$J:$J="""")+(Schedule!$J:$J=B60),(Schedule!$K:$K=""b"")+(Schedule!$K:$K=""""),Schedule!$Y:$Y&lt;&gt;""""),""""))"),"")</f>
        <v/>
      </c>
      <c r="I60" s="153">
        <f>if(C58="","", 24-countifs(D60:H64,""))</f>
        <v>16</v>
      </c>
      <c r="J60" s="154"/>
      <c r="K60" s="151" t="str">
        <f>M58</f>
        <v/>
      </c>
      <c r="L60" s="151" t="str">
        <f>S58</f>
        <v/>
      </c>
      <c r="M60" s="147">
        <v>1.0</v>
      </c>
      <c r="N60" s="152" t="str">
        <f>IFERROR(__xludf.DUMMYFUNCTION("if(K60="""","""",iferror(filter(Schedule!$M:$M&amp;""-""&amp;Schedule!$N:$N,Schedule!$L:$L=K60,(Schedule!$J:$J="""")+(Schedule!$J:$J=L60),(Schedule!$K:$K=""a"")+(Schedule!$K:$K=""""),Schedule!$M:$M&lt;&gt;""""),""""))"),"")</f>
        <v/>
      </c>
      <c r="O60" s="152" t="str">
        <f>IFERROR(__xludf.DUMMYFUNCTION("if(K60="""","""",iferror(filter(Schedule!$AB:$AB&amp;""-""&amp;Schedule!$AC:$AC,Schedule!$L:$L=K60,(Schedule!$J:$J="""")+(Schedule!$J:$J=L60),(Schedule!$K:$K=""b"")+(Schedule!$K:$K=""""),Schedule!$AB:$AB&lt;&gt;""""),""""))"),"")</f>
        <v/>
      </c>
      <c r="P60" s="152" t="str">
        <f>IFERROR(__xludf.DUMMYFUNCTION("if(K60="""","""",iferror(filter(Schedule!$S:$S&amp;""-""&amp;Schedule!$T:$T,Schedule!$L:$L=K60,(Schedule!$J:$J="""")+(Schedule!$J:$J=L60),(Schedule!$K:$K=""a"")+(Schedule!$K:$K=""""),Schedule!$S:$S&lt;&gt;""""),""""))"),"")</f>
        <v/>
      </c>
      <c r="Q60" s="152" t="str">
        <f>IFERROR(__xludf.DUMMYFUNCTION("if(K60="""","""",iferror(filter(Schedule!$V:$V&amp;""-""&amp;Schedule!$W:$W,Schedule!$L:$L=K60,(Schedule!$J:$J="""")+(Schedule!$J:$J=L60),(Schedule!$K:$K=""a"")+(Schedule!$K:$K=""""),Schedule!$V:$V&lt;&gt;""""),""""))"),"")</f>
        <v/>
      </c>
      <c r="R60" s="152" t="str">
        <f>IFERROR(__xludf.DUMMYFUNCTION("if(K60="""","""",iferror(filter(Schedule!$Y:$Y&amp;""-""&amp;Schedule!$Z:$Z,Schedule!$L:$L=K60,(Schedule!$J:$J="""")+(Schedule!$J:$J=L60),(Schedule!$K:$K=""b"")+(Schedule!$K:$K=""""),Schedule!$Y:$Y&lt;&gt;""""),""""))"),"")</f>
        <v/>
      </c>
      <c r="S60" s="153" t="str">
        <f>if(K60="","", 24-countifs(N60:R64,""))</f>
        <v/>
      </c>
      <c r="T60" s="155"/>
      <c r="U60" s="155" t="str">
        <f>W58</f>
        <v/>
      </c>
      <c r="V60" s="151" t="str">
        <f>AC58</f>
        <v/>
      </c>
      <c r="W60" s="147">
        <v>1.0</v>
      </c>
      <c r="X60" s="152" t="str">
        <f>IFERROR(__xludf.DUMMYFUNCTION("if(U60="""","""",iferror(filter(Schedule!$M:$M&amp;""-""&amp;Schedule!$N:$N,Schedule!$L:$L=U60,(Schedule!$J:$J="""")+(Schedule!$J:$J=V60),(Schedule!$K:$K=""a"")+(Schedule!$K:$K=""""),Schedule!$M:$M&lt;&gt;""""),""""))"),"")</f>
        <v/>
      </c>
      <c r="Y60" s="152" t="str">
        <f>IFERROR(__xludf.DUMMYFUNCTION("if(U60="""","""",iferror(filter(Schedule!$AB:$AB&amp;""-""&amp;Schedule!$AC:$AC,Schedule!$L:$L=U60,(Schedule!$J:$J="""")+(Schedule!$J:$J=V60),(Schedule!$K:$K=""b"")+(Schedule!$K:$K=""""),Schedule!$AB:$AB&lt;&gt;""""),""""))"),"")</f>
        <v/>
      </c>
      <c r="Z60" s="152" t="str">
        <f>IFERROR(__xludf.DUMMYFUNCTION("if(U60="""","""",iferror(filter(Schedule!$S:$S&amp;""-""&amp;Schedule!$T:$T,Schedule!$L:$L=U60,(Schedule!$J:$J="""")+(Schedule!$J:$J=V60),(Schedule!$K:$K=""a"")+(Schedule!$K:$K=""""),Schedule!$S:$S&lt;&gt;""""),""""))"),"")</f>
        <v/>
      </c>
      <c r="AA60" s="152" t="str">
        <f>IFERROR(__xludf.DUMMYFUNCTION("if(U60="""","""",iferror(filter(Schedule!$V:$V&amp;""-""&amp;Schedule!$W:$W,Schedule!$L:$L=U60,(Schedule!$J:$J="""")+(Schedule!$J:$J=V60),(Schedule!$K:$K=""a"")+(Schedule!$K:$K=""""),Schedule!$V:$V&lt;&gt;""""),""""))"),"")</f>
        <v/>
      </c>
      <c r="AB60" s="152" t="str">
        <f>IFERROR(__xludf.DUMMYFUNCTION("if(U60="""","""",iferror(filter(Schedule!$Y:$Y&amp;""-""&amp;Schedule!$Z:$Z,Schedule!$L:$L=U60,(Schedule!$J:$J="""")+(Schedule!$J:$J=V60),(Schedule!$K:$K=""b"")+(Schedule!$K:$K=""""),Schedule!$Y:$Y&lt;&gt;""""),""""))"),"")</f>
        <v/>
      </c>
      <c r="AC60" s="153" t="str">
        <f>if(U60="","", 24-countifs(X60:AB64,""))</f>
        <v/>
      </c>
      <c r="AD60" s="155"/>
      <c r="AE60" s="155" t="str">
        <f>AG58</f>
        <v/>
      </c>
      <c r="AF60" s="151" t="str">
        <f>AM58</f>
        <v/>
      </c>
      <c r="AG60" s="147">
        <v>1.0</v>
      </c>
      <c r="AH60" s="152" t="str">
        <f>IFERROR(__xludf.DUMMYFUNCTION("if(AE60="""","""",iferror(filter(Schedule!$M:$M&amp;""-""&amp;Schedule!$N:$N,Schedule!$L:$L=AE60,(Schedule!$J:$J="""")+(Schedule!$J:$J=AF60),(Schedule!$K:$K=""a"")+(Schedule!$K:$K=""""),Schedule!$M:$M&lt;&gt;""""),""""))"),"")</f>
        <v/>
      </c>
      <c r="AI60" s="152" t="str">
        <f>IFERROR(__xludf.DUMMYFUNCTION("if(AE60="""","""",iferror(filter(Schedule!$AB:$AB&amp;""-""&amp;Schedule!$AC:$AC,Schedule!$L:$L=AE60,(Schedule!$J:$J="""")+(Schedule!$J:$J=AF60),(Schedule!$K:$K=""b"")+(Schedule!$K:$K=""""),Schedule!$AB:$AB&lt;&gt;""""),""""))"),"")</f>
        <v/>
      </c>
      <c r="AJ60" s="152" t="str">
        <f>IFERROR(__xludf.DUMMYFUNCTION("if(AE60="""","""",iferror(filter(Schedule!$S:$S&amp;""-""&amp;Schedule!$T:$T,Schedule!$L:$L=AE60,(Schedule!$J:$J="""")+(Schedule!$J:$J=AF60),(Schedule!$K:$K=""a"")+(Schedule!$K:$K=""""),Schedule!$S:$S&lt;&gt;""""),""""))"),"")</f>
        <v/>
      </c>
      <c r="AK60" s="152" t="str">
        <f>IFERROR(__xludf.DUMMYFUNCTION("if(AE60="""","""",iferror(filter(Schedule!$V:$V&amp;""-""&amp;Schedule!$W:$W,Schedule!$L:$L=AE60,(Schedule!$J:$J="""")+(Schedule!$J:$J=AF60),(Schedule!$K:$K=""a"")+(Schedule!$K:$K=""""),Schedule!$V:$V&lt;&gt;""""),""""))"),"")</f>
        <v/>
      </c>
      <c r="AL60" s="152" t="str">
        <f>IFERROR(__xludf.DUMMYFUNCTION("if(AE60="""","""",iferror(filter(Schedule!$Y:$Y&amp;""-""&amp;Schedule!$Z:$Z,Schedule!$L:$L=AE60,(Schedule!$J:$J="""")+(Schedule!$J:$J=AF60),(Schedule!$K:$K=""b"")+(Schedule!$K:$K=""""),Schedule!$Y:$Y&lt;&gt;""""),""""))"),"")</f>
        <v/>
      </c>
      <c r="AM60" s="153" t="str">
        <f>if(AE60="","", 24-countifs(AH60:AL64,""))</f>
        <v/>
      </c>
    </row>
    <row r="61">
      <c r="A61" s="151" t="str">
        <f>C58</f>
        <v>Geraldin Salazar</v>
      </c>
      <c r="B61" s="151" t="str">
        <f>I58</f>
        <v>Y</v>
      </c>
      <c r="C61" s="147">
        <v>2.0</v>
      </c>
      <c r="D61" s="152" t="str">
        <f>IFERROR(__xludf.DUMMYFUNCTION("if(A61="""","""",iferror(filter(Schedule!$P:$P&amp;""-""&amp;Schedule!$Q:$Q,Schedule!$L:$L=A61,(Schedule!$J:$J="""")+(Schedule!$J:$J=B61),(Schedule!$K:$K=""a"")+(Schedule!$K:$K=""""),Schedule!$P:$P&lt;&gt;""""),""""))"),"Spanish 6-2")</f>
        <v>Spanish 6-2</v>
      </c>
      <c r="E61" s="152" t="str">
        <f>IFERROR(__xludf.DUMMYFUNCTION("if(A61="""","""",iferror(filter(Schedule!$Y:$Y&amp;""-""&amp;Schedule!$Z:$Z,Schedule!$L:$L=A61,(Schedule!$J:$J="""")+(Schedule!$J:$J=B61),(Schedule!$K:$K=""b"")+(Schedule!$K:$K=""""),Schedule!$Y:$Y&lt;&gt;""""),""""))"),"")</f>
        <v/>
      </c>
      <c r="F61" s="152" t="str">
        <f>IFERROR(__xludf.DUMMYFUNCTION("if(A61="""","""",iferror(filter(Schedule!$P:$P&amp;""-""&amp;Schedule!$Q:$Q,Schedule!$L:$L=A61,(Schedule!$J:$J="""")+(Schedule!$J:$J=B61),(Schedule!$K:$K=""a"")+(Schedule!$K:$K=""""),Schedule!$P:$P&lt;&gt;""""),""""))"),"Spanish 6-2")</f>
        <v>Spanish 6-2</v>
      </c>
      <c r="G61" s="152" t="str">
        <f>IFERROR(__xludf.DUMMYFUNCTION("if(A61="""","""",iferror(filter(Schedule!$M:$M&amp;""-""&amp;Schedule!$N:$N,Schedule!$L:$L=A61,(Schedule!$J:$J="""")+(Schedule!$J:$J=B61),(Schedule!$K:$K=""a"")+(Schedule!$K:$K=""""),Schedule!$M:$M&lt;&gt;""""),""""))"),"Spanish 6-1")</f>
        <v>Spanish 6-1</v>
      </c>
      <c r="H61" s="152" t="str">
        <f>IFERROR(__xludf.DUMMYFUNCTION("if(A61="""","""",iferror(filter(Schedule!$AB:$AB&amp;""-""&amp;Schedule!$AC:$AC,Schedule!$L:$L=A61,(Schedule!$J:$J="""")+(Schedule!$J:$J=B61),(Schedule!$K:$K=""a"")+(Schedule!$K:$K=""""),Schedule!$AB:$AB&lt;&gt;""""),""""))"),"")</f>
        <v/>
      </c>
      <c r="I61" s="60"/>
      <c r="J61" s="154"/>
      <c r="K61" s="151" t="str">
        <f>M58</f>
        <v/>
      </c>
      <c r="L61" s="151" t="str">
        <f>S58</f>
        <v/>
      </c>
      <c r="M61" s="147">
        <v>2.0</v>
      </c>
      <c r="N61" s="152" t="str">
        <f>IFERROR(__xludf.DUMMYFUNCTION("if(K61="""","""",iferror(filter(Schedule!$P:$P&amp;""-""&amp;Schedule!$Q:$Q,Schedule!$L:$L=K61,(Schedule!$J:$J="""")+(Schedule!$J:$J=L61),(Schedule!$K:$K=""a"")+(Schedule!$K:$K=""""),Schedule!$P:$P&lt;&gt;""""),""""))"),"")</f>
        <v/>
      </c>
      <c r="O61" s="152" t="str">
        <f>IFERROR(__xludf.DUMMYFUNCTION("if(K61="""","""",iferror(filter(Schedule!$Y:$Y&amp;""-""&amp;Schedule!$Z:$Z,Schedule!$L:$L=K61,(Schedule!$J:$J="""")+(Schedule!$J:$J=L61),(Schedule!$K:$K=""b"")+(Schedule!$K:$K=""""),Schedule!$Y:$Y&lt;&gt;""""),""""))"),"")</f>
        <v/>
      </c>
      <c r="P61" s="152" t="str">
        <f>IFERROR(__xludf.DUMMYFUNCTION("if(K61="""","""",iferror(filter(Schedule!$P:$P&amp;""-""&amp;Schedule!$Q:$Q,Schedule!$L:$L=K61,(Schedule!$J:$J="""")+(Schedule!$J:$J=L61),(Schedule!$K:$K=""a"")+(Schedule!$K:$K=""""),Schedule!$P:$P&lt;&gt;""""),""""))"),"")</f>
        <v/>
      </c>
      <c r="Q61" s="152" t="str">
        <f>IFERROR(__xludf.DUMMYFUNCTION("if(K61="""","""",iferror(filter(Schedule!$M:$M&amp;""-""&amp;Schedule!$N:$N,Schedule!$L:$L=K61,(Schedule!$J:$J="""")+(Schedule!$J:$J=L61),(Schedule!$K:$K=""a"")+(Schedule!$K:$K=""""),Schedule!$M:$M&lt;&gt;""""),""""))"),"")</f>
        <v/>
      </c>
      <c r="R61" s="152" t="str">
        <f>IFERROR(__xludf.DUMMYFUNCTION("if(K61="""","""",iferror(filter(Schedule!$AB:$AB&amp;""-""&amp;Schedule!$AC:$AC,Schedule!$L:$L=K61,(Schedule!$J:$J="""")+(Schedule!$J:$J=L61),(Schedule!$K:$K=""a"")+(Schedule!$K:$K=""""),Schedule!$AB:$AB&lt;&gt;""""),""""))"),"")</f>
        <v/>
      </c>
      <c r="S61" s="60"/>
      <c r="T61" s="155"/>
      <c r="U61" s="155" t="str">
        <f>W58</f>
        <v/>
      </c>
      <c r="V61" s="151" t="str">
        <f>AC58</f>
        <v/>
      </c>
      <c r="W61" s="147">
        <v>2.0</v>
      </c>
      <c r="X61" s="152" t="str">
        <f>IFERROR(__xludf.DUMMYFUNCTION("if(U61="""","""",iferror(filter(Schedule!$P:$P&amp;""-""&amp;Schedule!$Q:$Q,Schedule!$L:$L=U61,(Schedule!$J:$J="""")+(Schedule!$J:$J=V61),(Schedule!$K:$K=""a"")+(Schedule!$K:$K=""""),Schedule!$P:$P&lt;&gt;""""),""""))"),"")</f>
        <v/>
      </c>
      <c r="Y61" s="152" t="str">
        <f>IFERROR(__xludf.DUMMYFUNCTION("if(U61="""","""",iferror(filter(Schedule!$Y:$Y&amp;""-""&amp;Schedule!$Z:$Z,Schedule!$L:$L=U61,(Schedule!$J:$J="""")+(Schedule!$J:$J=V61),(Schedule!$K:$K=""b"")+(Schedule!$K:$K=""""),Schedule!$Y:$Y&lt;&gt;""""),""""))"),"")</f>
        <v/>
      </c>
      <c r="Z61" s="152" t="str">
        <f>IFERROR(__xludf.DUMMYFUNCTION("if(U61="""","""",iferror(filter(Schedule!$P:$P&amp;""-""&amp;Schedule!$Q:$Q,Schedule!$L:$L=U61,(Schedule!$J:$J="""")+(Schedule!$J:$J=V61),(Schedule!$K:$K=""a"")+(Schedule!$K:$K=""""),Schedule!$P:$P&lt;&gt;""""),""""))"),"")</f>
        <v/>
      </c>
      <c r="AA61" s="152" t="str">
        <f>IFERROR(__xludf.DUMMYFUNCTION("if(U61="""","""",iferror(filter(Schedule!$M:$M&amp;""-""&amp;Schedule!$N:$N,Schedule!$L:$L=U61,(Schedule!$J:$J="""")+(Schedule!$J:$J=V61),(Schedule!$K:$K=""a"")+(Schedule!$K:$K=""""),Schedule!$M:$M&lt;&gt;""""),""""))"),"")</f>
        <v/>
      </c>
      <c r="AB61" s="152" t="str">
        <f>IFERROR(__xludf.DUMMYFUNCTION("if(U61="""","""",iferror(filter(Schedule!$AB:$AB&amp;""-""&amp;Schedule!$AC:$AC,Schedule!$L:$L=U61,(Schedule!$J:$J="""")+(Schedule!$J:$J=V61),(Schedule!$K:$K=""a"")+(Schedule!$K:$K=""""),Schedule!$AB:$AB&lt;&gt;""""),""""))"),"")</f>
        <v/>
      </c>
      <c r="AC61" s="60"/>
      <c r="AD61" s="155"/>
      <c r="AE61" s="155" t="str">
        <f>AG58</f>
        <v/>
      </c>
      <c r="AF61" s="151" t="str">
        <f>AM58</f>
        <v/>
      </c>
      <c r="AG61" s="147">
        <v>2.0</v>
      </c>
      <c r="AH61" s="152" t="str">
        <f>IFERROR(__xludf.DUMMYFUNCTION("if(AE61="""","""",iferror(filter(Schedule!$P:$P&amp;""-""&amp;Schedule!$Q:$Q,Schedule!$L:$L=AE61,(Schedule!$J:$J="""")+(Schedule!$J:$J=AF61),(Schedule!$K:$K=""a"")+(Schedule!$K:$K=""""),Schedule!$P:$P&lt;&gt;""""),""""))"),"")</f>
        <v/>
      </c>
      <c r="AI61" s="152" t="str">
        <f>IFERROR(__xludf.DUMMYFUNCTION("if(AE61="""","""",iferror(filter(Schedule!$Y:$Y&amp;""-""&amp;Schedule!$Z:$Z,Schedule!$L:$L=AE61,(Schedule!$J:$J="""")+(Schedule!$J:$J=AF61),(Schedule!$K:$K=""b"")+(Schedule!$K:$K=""""),Schedule!$Y:$Y&lt;&gt;""""),""""))"),"")</f>
        <v/>
      </c>
      <c r="AJ61" s="152" t="str">
        <f>IFERROR(__xludf.DUMMYFUNCTION("if(AE61="""","""",iferror(filter(Schedule!$P:$P&amp;""-""&amp;Schedule!$Q:$Q,Schedule!$L:$L=AE61,(Schedule!$J:$J="""")+(Schedule!$J:$J=AF61),(Schedule!$K:$K=""a"")+(Schedule!$K:$K=""""),Schedule!$P:$P&lt;&gt;""""),""""))"),"")</f>
        <v/>
      </c>
      <c r="AK61" s="152" t="str">
        <f>IFERROR(__xludf.DUMMYFUNCTION("if(AE61="""","""",iferror(filter(Schedule!$M:$M&amp;""-""&amp;Schedule!$N:$N,Schedule!$L:$L=AE61,(Schedule!$J:$J="""")+(Schedule!$J:$J=AF61),(Schedule!$K:$K=""a"")+(Schedule!$K:$K=""""),Schedule!$M:$M&lt;&gt;""""),""""))"),"")</f>
        <v/>
      </c>
      <c r="AL61" s="152" t="str">
        <f>IFERROR(__xludf.DUMMYFUNCTION("if(AE61="""","""",iferror(filter(Schedule!$AB:$AB&amp;""-""&amp;Schedule!$AC:$AC,Schedule!$L:$L=AE61,(Schedule!$J:$J="""")+(Schedule!$J:$J=AF61),(Schedule!$K:$K=""a"")+(Schedule!$K:$K=""""),Schedule!$AB:$AB&lt;&gt;""""),""""))"),"")</f>
        <v/>
      </c>
      <c r="AM61" s="60"/>
    </row>
    <row r="62">
      <c r="A62" s="151" t="str">
        <f>C58</f>
        <v>Geraldin Salazar</v>
      </c>
      <c r="B62" s="151" t="str">
        <f>I58</f>
        <v>Y</v>
      </c>
      <c r="C62" s="147">
        <v>3.0</v>
      </c>
      <c r="D62" s="152" t="str">
        <f>IFERROR(__xludf.DUMMYFUNCTION("if(A62="""","""",iferror(filter(Schedule!$S:$S&amp;""-""&amp;Schedule!$T:$T,Schedule!$L:$L=A62,(Schedule!$J:$J="""")+(Schedule!$J:$J=B62),(Schedule!$K:$K=""a"")+(Schedule!$K:$K=""""),Schedule!$S:$S&lt;&gt;""""),""""))"),"Spanish 6-3")</f>
        <v>Spanish 6-3</v>
      </c>
      <c r="E62" s="152" t="str">
        <f>IFERROR(__xludf.DUMMYFUNCTION("if(A62="""","""",iferror(filter(Schedule!$S:$S&amp;""-""&amp;Schedule!$T:$T,Schedule!$L:$L=A62,(Schedule!$J:$J="""")+(Schedule!$J:$J=B62),(Schedule!$K:$K=""b"")+(Schedule!$K:$K=""""),Schedule!$S:$S&lt;&gt;""""),""""))"),"Spanish 6-3")</f>
        <v>Spanish 6-3</v>
      </c>
      <c r="F62" s="152" t="str">
        <f>IFERROR(__xludf.DUMMYFUNCTION("if(A62="""","""",iferror(filter(Schedule!$Y:$Y&amp;""-""&amp;Schedule!$Z:$Z,Schedule!$L:$L=A62,(Schedule!$J:$J="""")+(Schedule!$J:$J=B62),(Schedule!$K:$K=""a"")+(Schedule!$K:$K=""""),Schedule!$Y:$Y&lt;&gt;""""),""""))"),"")</f>
        <v/>
      </c>
      <c r="G62" s="152" t="str">
        <f>IFERROR(__xludf.DUMMYFUNCTION("if(A62="""","""",iferror(filter(Schedule!$P:$P&amp;""-""&amp;Schedule!$Q:$Q,Schedule!$L:$L=A62,(Schedule!$J:$J="""")+(Schedule!$J:$J=B62),(Schedule!$K:$K=""b"")+(Schedule!$K:$K=""""),Schedule!$P:$P&lt;&gt;""""),""""))"),"Spanish 6-2")</f>
        <v>Spanish 6-2</v>
      </c>
      <c r="H62" s="152" t="str">
        <f>if(C58="","","X-Block")</f>
        <v>X-Block</v>
      </c>
      <c r="I62" s="60"/>
      <c r="J62" s="154"/>
      <c r="K62" s="151" t="str">
        <f>M58</f>
        <v/>
      </c>
      <c r="L62" s="151" t="str">
        <f>S58</f>
        <v/>
      </c>
      <c r="M62" s="147">
        <v>3.0</v>
      </c>
      <c r="N62" s="152" t="str">
        <f>IFERROR(__xludf.DUMMYFUNCTION("if(K62="""","""",iferror(filter(Schedule!$S:$S&amp;""-""&amp;Schedule!$T:$T,Schedule!$L:$L=K62,(Schedule!$J:$J="""")+(Schedule!$J:$J=L62),(Schedule!$K:$K=""a"")+(Schedule!$K:$K=""""),Schedule!$S:$S&lt;&gt;""""),""""))"),"")</f>
        <v/>
      </c>
      <c r="O62" s="152" t="str">
        <f>IFERROR(__xludf.DUMMYFUNCTION("if(K62="""","""",iferror(filter(Schedule!$S:$S&amp;""-""&amp;Schedule!$T:$T,Schedule!$L:$L=K62,(Schedule!$J:$J="""")+(Schedule!$J:$J=L62),(Schedule!$K:$K=""b"")+(Schedule!$K:$K=""""),Schedule!$S:$S&lt;&gt;""""),""""))"),"")</f>
        <v/>
      </c>
      <c r="P62" s="152" t="str">
        <f>IFERROR(__xludf.DUMMYFUNCTION("if(K62="""","""",iferror(filter(Schedule!$Y:$Y&amp;""-""&amp;Schedule!$Z:$Z,Schedule!$L:$L=K62,(Schedule!$J:$J="""")+(Schedule!$J:$J=L62),(Schedule!$K:$K=""a"")+(Schedule!$K:$K=""""),Schedule!$Y:$Y&lt;&gt;""""),""""))"),"")</f>
        <v/>
      </c>
      <c r="Q62" s="152" t="str">
        <f>IFERROR(__xludf.DUMMYFUNCTION("if(K62="""","""",iferror(filter(Schedule!$P:$P&amp;""-""&amp;Schedule!$Q:$Q,Schedule!$L:$L=K62,(Schedule!$J:$J="""")+(Schedule!$J:$J=L62),(Schedule!$K:$K=""b"")+(Schedule!$K:$K=""""),Schedule!$P:$P&lt;&gt;""""),""""))"),"")</f>
        <v/>
      </c>
      <c r="R62" s="152" t="str">
        <f>if(M58="","","X-Block")</f>
        <v/>
      </c>
      <c r="S62" s="60"/>
      <c r="T62" s="155"/>
      <c r="U62" s="155" t="str">
        <f>W58</f>
        <v/>
      </c>
      <c r="V62" s="151" t="str">
        <f>AC58</f>
        <v/>
      </c>
      <c r="W62" s="147">
        <v>3.0</v>
      </c>
      <c r="X62" s="152" t="str">
        <f>IFERROR(__xludf.DUMMYFUNCTION("if(U62="""","""",iferror(filter(Schedule!$S:$S&amp;""-""&amp;Schedule!$T:$T,Schedule!$L:$L=U62,(Schedule!$J:$J="""")+(Schedule!$J:$J=V62),(Schedule!$K:$K=""a"")+(Schedule!$K:$K=""""),Schedule!$S:$S&lt;&gt;""""),""""))"),"")</f>
        <v/>
      </c>
      <c r="Y62" s="152" t="str">
        <f>IFERROR(__xludf.DUMMYFUNCTION("if(U62="""","""",iferror(filter(Schedule!$S:$S&amp;""-""&amp;Schedule!$T:$T,Schedule!$L:$L=U62,(Schedule!$J:$J="""")+(Schedule!$J:$J=V62),(Schedule!$K:$K=""b"")+(Schedule!$K:$K=""""),Schedule!$S:$S&lt;&gt;""""),""""))"),"")</f>
        <v/>
      </c>
      <c r="Z62" s="152" t="str">
        <f>IFERROR(__xludf.DUMMYFUNCTION("if(U62="""","""",iferror(filter(Schedule!$Y:$Y&amp;""-""&amp;Schedule!$Z:$Z,Schedule!$L:$L=U62,(Schedule!$J:$J="""")+(Schedule!$J:$J=V62),(Schedule!$K:$K=""a"")+(Schedule!$K:$K=""""),Schedule!$Y:$Y&lt;&gt;""""),""""))"),"")</f>
        <v/>
      </c>
      <c r="AA62" s="152" t="str">
        <f>IFERROR(__xludf.DUMMYFUNCTION("if(U62="""","""",iferror(filter(Schedule!$P:$P&amp;""-""&amp;Schedule!$Q:$Q,Schedule!$L:$L=U62,(Schedule!$J:$J="""")+(Schedule!$J:$J=V62),(Schedule!$K:$K=""b"")+(Schedule!$K:$K=""""),Schedule!$P:$P&lt;&gt;""""),""""))"),"")</f>
        <v/>
      </c>
      <c r="AB62" s="152" t="str">
        <f>if(W58="","","X-Block")</f>
        <v/>
      </c>
      <c r="AC62" s="60"/>
      <c r="AD62" s="155"/>
      <c r="AE62" s="155" t="str">
        <f>AG58</f>
        <v/>
      </c>
      <c r="AF62" s="151" t="str">
        <f>AM58</f>
        <v/>
      </c>
      <c r="AG62" s="147">
        <v>3.0</v>
      </c>
      <c r="AH62" s="152" t="str">
        <f>IFERROR(__xludf.DUMMYFUNCTION("if(AE62="""","""",iferror(filter(Schedule!$S:$S&amp;""-""&amp;Schedule!$T:$T,Schedule!$L:$L=AE62,(Schedule!$J:$J="""")+(Schedule!$J:$J=AF62),(Schedule!$K:$K=""a"")+(Schedule!$K:$K=""""),Schedule!$S:$S&lt;&gt;""""),""""))"),"")</f>
        <v/>
      </c>
      <c r="AI62" s="152" t="str">
        <f>IFERROR(__xludf.DUMMYFUNCTION("if(AE62="""","""",iferror(filter(Schedule!$S:$S&amp;""-""&amp;Schedule!$T:$T,Schedule!$L:$L=AE62,(Schedule!$J:$J="""")+(Schedule!$J:$J=AF62),(Schedule!$K:$K=""b"")+(Schedule!$K:$K=""""),Schedule!$S:$S&lt;&gt;""""),""""))"),"")</f>
        <v/>
      </c>
      <c r="AJ62" s="152" t="str">
        <f>IFERROR(__xludf.DUMMYFUNCTION("if(AE62="""","""",iferror(filter(Schedule!$Y:$Y&amp;""-""&amp;Schedule!$Z:$Z,Schedule!$L:$L=AE62,(Schedule!$J:$J="""")+(Schedule!$J:$J=AF62),(Schedule!$K:$K=""a"")+(Schedule!$K:$K=""""),Schedule!$Y:$Y&lt;&gt;""""),""""))"),"")</f>
        <v/>
      </c>
      <c r="AK62" s="152" t="str">
        <f>IFERROR(__xludf.DUMMYFUNCTION("if(AE62="""","""",iferror(filter(Schedule!$P:$P&amp;""-""&amp;Schedule!$Q:$Q,Schedule!$L:$L=AE62,(Schedule!$J:$J="""")+(Schedule!$J:$J=AF62),(Schedule!$K:$K=""b"")+(Schedule!$K:$K=""""),Schedule!$P:$P&lt;&gt;""""),""""))"),"")</f>
        <v/>
      </c>
      <c r="AL62" s="152" t="str">
        <f>if(AG58="","","X-Block")</f>
        <v/>
      </c>
      <c r="AM62" s="60"/>
    </row>
    <row r="63">
      <c r="A63" s="151" t="str">
        <f>C58</f>
        <v>Geraldin Salazar</v>
      </c>
      <c r="B63" s="151" t="str">
        <f>I58</f>
        <v>Y</v>
      </c>
      <c r="C63" s="147">
        <v>4.0</v>
      </c>
      <c r="D63" s="152" t="str">
        <f>IFERROR(__xludf.DUMMYFUNCTION("if(A63="""","""",iferror(filter(Schedule!$V:$V&amp;""-""&amp;Schedule!$W:$W,Schedule!$L:$L=A63,(Schedule!$J:$J="""")+(Schedule!$J:$J=B63),(Schedule!$K:$K=""a"")+(Schedule!$K:$K=""""),Schedule!$V:$V&lt;&gt;""""),""""))"),"Spanish 6-4")</f>
        <v>Spanish 6-4</v>
      </c>
      <c r="E63" s="152" t="str">
        <f>IFERROR(__xludf.DUMMYFUNCTION("if(A63="""","""",iferror(filter(Schedule!$M:$M&amp;""-""&amp;Schedule!$N:$N,Schedule!$L:$L=A63,(Schedule!$J:$J="""")+(Schedule!$J:$J=B63),(Schedule!$K:$K=""b"")+(Schedule!$K:$K=""""),Schedule!$M:$M&lt;&gt;""""),""""))"),"Spanish 6-1")</f>
        <v>Spanish 6-1</v>
      </c>
      <c r="F63" s="152" t="str">
        <f>IFERROR(__xludf.DUMMYFUNCTION("if(A63="""","""",iferror(filter(Schedule!$AB:$AB&amp;""-""&amp;Schedule!$AC:$AC,Schedule!$L:$L=A63,(Schedule!$J:$J="""")+(Schedule!$J:$J=B63),(Schedule!$K:$K=""a"")+(Schedule!$K:$K=""""),Schedule!$AB:$AB&lt;&gt;""""),""""))"),"")</f>
        <v/>
      </c>
      <c r="G63" s="152" t="str">
        <f>IFERROR(__xludf.DUMMYFUNCTION("if(A63="""","""",iferror(filter(Schedule!$S:$S&amp;""-""&amp;Schedule!$T:$T,Schedule!$L:$L=A63,(Schedule!$J:$J="""")+(Schedule!$J:$J=B63),(Schedule!$K:$K=""b"")+(Schedule!$K:$K=""""),Schedule!$S:$S&lt;&gt;""""),""""))"),"Spanish 6-3")</f>
        <v>Spanish 6-3</v>
      </c>
      <c r="H63" s="152" t="str">
        <f>IFERROR(__xludf.DUMMYFUNCTION("if(A63="""","""",iferror(filter(Schedule!$V:$V&amp;""-""&amp;Schedule!$W:$W,Schedule!$L:$L=A63,(Schedule!$J:$J="""")+(Schedule!$J:$J=B63),(Schedule!$K:$K=""b"")+(Schedule!$K:$K=""""),Schedule!$V:$V&lt;&gt;""""),""""))"),"Spanish 6-4")</f>
        <v>Spanish 6-4</v>
      </c>
      <c r="I63" s="60"/>
      <c r="J63" s="154"/>
      <c r="K63" s="151" t="str">
        <f>M58</f>
        <v/>
      </c>
      <c r="L63" s="151" t="str">
        <f>S58</f>
        <v/>
      </c>
      <c r="M63" s="147">
        <v>4.0</v>
      </c>
      <c r="N63" s="152" t="str">
        <f>IFERROR(__xludf.DUMMYFUNCTION("if(K63="""","""",iferror(filter(Schedule!$V:$V&amp;""-""&amp;Schedule!$W:$W,Schedule!$L:$L=K63,(Schedule!$J:$J="""")+(Schedule!$J:$J=L63),(Schedule!$K:$K=""a"")+(Schedule!$K:$K=""""),Schedule!$V:$V&lt;&gt;""""),""""))"),"")</f>
        <v/>
      </c>
      <c r="O63" s="152" t="str">
        <f>IFERROR(__xludf.DUMMYFUNCTION("if(K63="""","""",iferror(filter(Schedule!$M:$M&amp;""-""&amp;Schedule!$N:$N,Schedule!$L:$L=K63,(Schedule!$J:$J="""")+(Schedule!$J:$J=L63),(Schedule!$K:$K=""b"")+(Schedule!$K:$K=""""),Schedule!$M:$M&lt;&gt;""""),""""))"),"")</f>
        <v/>
      </c>
      <c r="P63" s="152" t="str">
        <f>IFERROR(__xludf.DUMMYFUNCTION("if(K63="""","""",iferror(filter(Schedule!$AB:$AB&amp;""-""&amp;Schedule!$AC:$AC,Schedule!$L:$L=K63,(Schedule!$J:$J="""")+(Schedule!$J:$J=L63),(Schedule!$K:$K=""a"")+(Schedule!$K:$K=""""),Schedule!$AB:$AB&lt;&gt;""""),""""))"),"")</f>
        <v/>
      </c>
      <c r="Q63" s="152" t="str">
        <f>IFERROR(__xludf.DUMMYFUNCTION("if(K63="""","""",iferror(filter(Schedule!$S:$S&amp;""-""&amp;Schedule!$T:$T,Schedule!$L:$L=K63,(Schedule!$J:$J="""")+(Schedule!$J:$J=L63),(Schedule!$K:$K=""b"")+(Schedule!$K:$K=""""),Schedule!$S:$S&lt;&gt;""""),""""))"),"")</f>
        <v/>
      </c>
      <c r="R63" s="152" t="str">
        <f>IFERROR(__xludf.DUMMYFUNCTION("if(K63="""","""",iferror(filter(Schedule!$V:$V&amp;""-""&amp;Schedule!$W:$W,Schedule!$L:$L=K63,(Schedule!$J:$J="""")+(Schedule!$J:$J=L63),(Schedule!$K:$K=""b"")+(Schedule!$K:$K=""""),Schedule!$V:$V&lt;&gt;""""),""""))"),"")</f>
        <v/>
      </c>
      <c r="S63" s="60"/>
      <c r="T63" s="155"/>
      <c r="U63" s="155" t="str">
        <f>W58</f>
        <v/>
      </c>
      <c r="V63" s="151" t="str">
        <f>AC58</f>
        <v/>
      </c>
      <c r="W63" s="147">
        <v>4.0</v>
      </c>
      <c r="X63" s="152" t="str">
        <f>IFERROR(__xludf.DUMMYFUNCTION("if(U63="""","""",iferror(filter(Schedule!$V:$V&amp;""-""&amp;Schedule!$W:$W,Schedule!$L:$L=U63,(Schedule!$J:$J="""")+(Schedule!$J:$J=V63),(Schedule!$K:$K=""a"")+(Schedule!$K:$K=""""),Schedule!$V:$V&lt;&gt;""""),""""))"),"")</f>
        <v/>
      </c>
      <c r="Y63" s="152" t="str">
        <f>IFERROR(__xludf.DUMMYFUNCTION("if(U63="""","""",iferror(filter(Schedule!$M:$M&amp;""-""&amp;Schedule!$N:$N,Schedule!$L:$L=U63,(Schedule!$J:$J="""")+(Schedule!$J:$J=V63),(Schedule!$K:$K=""b"")+(Schedule!$K:$K=""""),Schedule!$M:$M&lt;&gt;""""),""""))"),"")</f>
        <v/>
      </c>
      <c r="Z63" s="152" t="str">
        <f>IFERROR(__xludf.DUMMYFUNCTION("if(U63="""","""",iferror(filter(Schedule!$AB:$AB&amp;""-""&amp;Schedule!$AC:$AC,Schedule!$L:$L=U63,(Schedule!$J:$J="""")+(Schedule!$J:$J=V63),(Schedule!$K:$K=""a"")+(Schedule!$K:$K=""""),Schedule!$AB:$AB&lt;&gt;""""),""""))"),"")</f>
        <v/>
      </c>
      <c r="AA63" s="152" t="str">
        <f>IFERROR(__xludf.DUMMYFUNCTION("if(U63="""","""",iferror(filter(Schedule!$S:$S&amp;""-""&amp;Schedule!$T:$T,Schedule!$L:$L=U63,(Schedule!$J:$J="""")+(Schedule!$J:$J=V63),(Schedule!$K:$K=""b"")+(Schedule!$K:$K=""""),Schedule!$S:$S&lt;&gt;""""),""""))"),"")</f>
        <v/>
      </c>
      <c r="AB63" s="152" t="str">
        <f>IFERROR(__xludf.DUMMYFUNCTION("if(U63="""","""",iferror(filter(Schedule!$V:$V&amp;""-""&amp;Schedule!$W:$W,Schedule!$L:$L=U63,(Schedule!$J:$J="""")+(Schedule!$J:$J=V63),(Schedule!$K:$K=""b"")+(Schedule!$K:$K=""""),Schedule!$V:$V&lt;&gt;""""),""""))"),"")</f>
        <v/>
      </c>
      <c r="AC63" s="60"/>
      <c r="AD63" s="155"/>
      <c r="AE63" s="155" t="str">
        <f>AG58</f>
        <v/>
      </c>
      <c r="AF63" s="151" t="str">
        <f>AM58</f>
        <v/>
      </c>
      <c r="AG63" s="147">
        <v>4.0</v>
      </c>
      <c r="AH63" s="152" t="str">
        <f>IFERROR(__xludf.DUMMYFUNCTION("if(AE63="""","""",iferror(filter(Schedule!$V:$V&amp;""-""&amp;Schedule!$W:$W,Schedule!$L:$L=AE63,(Schedule!$J:$J="""")+(Schedule!$J:$J=AF63),(Schedule!$K:$K=""a"")+(Schedule!$K:$K=""""),Schedule!$V:$V&lt;&gt;""""),""""))"),"")</f>
        <v/>
      </c>
      <c r="AI63" s="152" t="str">
        <f>IFERROR(__xludf.DUMMYFUNCTION("if(AE63="""","""",iferror(filter(Schedule!$M:$M&amp;""-""&amp;Schedule!$N:$N,Schedule!$L:$L=AE63,(Schedule!$J:$J="""")+(Schedule!$J:$J=AF63),(Schedule!$K:$K=""b"")+(Schedule!$K:$K=""""),Schedule!$M:$M&lt;&gt;""""),""""))"),"")</f>
        <v/>
      </c>
      <c r="AJ63" s="152" t="str">
        <f>IFERROR(__xludf.DUMMYFUNCTION("if(AE63="""","""",iferror(filter(Schedule!$AB:$AB&amp;""-""&amp;Schedule!$AC:$AC,Schedule!$L:$L=AE63,(Schedule!$J:$J="""")+(Schedule!$J:$J=AF63),(Schedule!$K:$K=""a"")+(Schedule!$K:$K=""""),Schedule!$AB:$AB&lt;&gt;""""),""""))"),"")</f>
        <v/>
      </c>
      <c r="AK63" s="152" t="str">
        <f>IFERROR(__xludf.DUMMYFUNCTION("if(AE63="""","""",iferror(filter(Schedule!$S:$S&amp;""-""&amp;Schedule!$T:$T,Schedule!$L:$L=AE63,(Schedule!$J:$J="""")+(Schedule!$J:$J=AF63),(Schedule!$K:$K=""b"")+(Schedule!$K:$K=""""),Schedule!$S:$S&lt;&gt;""""),""""))"),"")</f>
        <v/>
      </c>
      <c r="AL63" s="152" t="str">
        <f>IFERROR(__xludf.DUMMYFUNCTION("if(AE63="""","""",iferror(filter(Schedule!$V:$V&amp;""-""&amp;Schedule!$W:$W,Schedule!$L:$L=AE63,(Schedule!$J:$J="""")+(Schedule!$J:$J=AF63),(Schedule!$K:$K=""b"")+(Schedule!$K:$K=""""),Schedule!$V:$V&lt;&gt;""""),""""))"),"")</f>
        <v/>
      </c>
      <c r="AM63" s="60"/>
    </row>
    <row r="64">
      <c r="A64" s="151" t="str">
        <f>C58</f>
        <v>Geraldin Salazar</v>
      </c>
      <c r="B64" s="151" t="str">
        <f>I58</f>
        <v>Y</v>
      </c>
      <c r="C64" s="147">
        <v>5.0</v>
      </c>
      <c r="D64" s="152" t="str">
        <f>IFERROR(__xludf.DUMMYFUNCTION("if(A64="""","""",iferror(filter(Schedule!$Y:$Y&amp;""-""&amp;Schedule!$Z:$Z,Schedule!$L:$L=A64,(Schedule!$J:$J="""")+(Schedule!$J:$J=B64),(Schedule!$K:$K=""a"")+(Schedule!$K:$K=""""),Schedule!$Y:$Y&lt;&gt;""""),""""))"),"")</f>
        <v/>
      </c>
      <c r="E64" s="152" t="str">
        <f>IFERROR(__xludf.DUMMYFUNCTION("if(A64="""","""",iferror(filter(Schedule!$P:$P&amp;""-""&amp;Schedule!$Q:$Q,Schedule!$L:$L=A64,(Schedule!$J:$J="""")+(Schedule!$J:$J=B64),(Schedule!$K:$K=""b"")+(Schedule!$K:$K=""""),Schedule!$P:$P&lt;&gt;""""),""""))"),"Spanish 6-2")</f>
        <v>Spanish 6-2</v>
      </c>
      <c r="F64" s="152" t="str">
        <f>IFERROR(__xludf.DUMMYFUNCTION("if(A64="""","""",iferror(filter(Schedule!$V:$V&amp;""-""&amp;Schedule!$W:$W,Schedule!$L:$L=A64,(Schedule!$J:$J="""")+(Schedule!$J:$J=B64),(Schedule!$K:$K=""b"")+(Schedule!$K:$K=""""),Schedule!$V:$V&lt;&gt;""""),""""))"),"Spanish 6-4")</f>
        <v>Spanish 6-4</v>
      </c>
      <c r="G64" s="152" t="str">
        <f>IFERROR(__xludf.DUMMYFUNCTION("if(A64="""","""",iferror(filter(Schedule!$AB:$AB&amp;""-""&amp;Schedule!$AC:$AC,Schedule!$L:$L=A64,(Schedule!$J:$J="""")+(Schedule!$J:$J=B64),(Schedule!$K:$K=""b"")+(Schedule!$K:$K=""""),Schedule!$AB:$AB&lt;&gt;""""),""""))"),"")</f>
        <v/>
      </c>
      <c r="H64" s="152" t="str">
        <f>IFERROR(__xludf.DUMMYFUNCTION("if(A64="""","""",iferror(filter(Schedule!$M:$M&amp;""-""&amp;Schedule!$N:$N,Schedule!$L:$L=A64,(Schedule!$J:$J="""")+(Schedule!$J:$J=B64),(Schedule!$K:$K=""b"")+(Schedule!$K:$K=""""),Schedule!$M:$M&lt;&gt;""""),""""))"),"Spanish 6-1")</f>
        <v>Spanish 6-1</v>
      </c>
      <c r="I64" s="64"/>
      <c r="J64" s="154"/>
      <c r="K64" s="151" t="str">
        <f>M58</f>
        <v/>
      </c>
      <c r="L64" s="151" t="str">
        <f>S58</f>
        <v/>
      </c>
      <c r="M64" s="147">
        <v>5.0</v>
      </c>
      <c r="N64" s="152" t="str">
        <f>IFERROR(__xludf.DUMMYFUNCTION("if(K64="""","""",iferror(filter(Schedule!$Y:$Y&amp;""-""&amp;Schedule!$Z:$Z,Schedule!$L:$L=K64,(Schedule!$J:$J="""")+(Schedule!$J:$J=L64),(Schedule!$K:$K=""a"")+(Schedule!$K:$K=""""),Schedule!$Y:$Y&lt;&gt;""""),""""))"),"")</f>
        <v/>
      </c>
      <c r="O64" s="152" t="str">
        <f>IFERROR(__xludf.DUMMYFUNCTION("if(K64="""","""",iferror(filter(Schedule!$P:$P&amp;""-""&amp;Schedule!$Q:$Q,Schedule!$L:$L=K64,(Schedule!$J:$J="""")+(Schedule!$J:$J=L64),(Schedule!$K:$K=""b"")+(Schedule!$K:$K=""""),Schedule!$P:$P&lt;&gt;""""),""""))"),"")</f>
        <v/>
      </c>
      <c r="P64" s="152" t="str">
        <f>IFERROR(__xludf.DUMMYFUNCTION("if(K64="""","""",iferror(filter(Schedule!$V:$V&amp;""-""&amp;Schedule!$W:$W,Schedule!$L:$L=K64,(Schedule!$J:$J="""")+(Schedule!$J:$J=L64),(Schedule!$K:$K=""b"")+(Schedule!$K:$K=""""),Schedule!$V:$V&lt;&gt;""""),""""))"),"")</f>
        <v/>
      </c>
      <c r="Q64" s="152" t="str">
        <f>IFERROR(__xludf.DUMMYFUNCTION("if(K64="""","""",iferror(filter(Schedule!$AB:$AB&amp;""-""&amp;Schedule!$AC:$AC,Schedule!$L:$L=K64,(Schedule!$J:$J="""")+(Schedule!$J:$J=L64),(Schedule!$K:$K=""b"")+(Schedule!$K:$K=""""),Schedule!$AB:$AB&lt;&gt;""""),""""))"),"")</f>
        <v/>
      </c>
      <c r="R64" s="152" t="str">
        <f>IFERROR(__xludf.DUMMYFUNCTION("if(K64="""","""",iferror(filter(Schedule!$M:$M&amp;""-""&amp;Schedule!$N:$N,Schedule!$L:$L=K64,(Schedule!$J:$J="""")+(Schedule!$J:$J=L64),(Schedule!$K:$K=""b"")+(Schedule!$K:$K=""""),Schedule!$M:$M&lt;&gt;""""),""""))"),"")</f>
        <v/>
      </c>
      <c r="S64" s="64"/>
      <c r="T64" s="155"/>
      <c r="U64" s="155" t="str">
        <f>W58</f>
        <v/>
      </c>
      <c r="V64" s="151" t="str">
        <f>AC58</f>
        <v/>
      </c>
      <c r="W64" s="147">
        <v>5.0</v>
      </c>
      <c r="X64" s="152" t="str">
        <f>IFERROR(__xludf.DUMMYFUNCTION("if(U64="""","""",iferror(filter(Schedule!$Y:$Y&amp;""-""&amp;Schedule!$Z:$Z,Schedule!$L:$L=U64,(Schedule!$J:$J="""")+(Schedule!$J:$J=V64),(Schedule!$K:$K=""a"")+(Schedule!$K:$K=""""),Schedule!$Y:$Y&lt;&gt;""""),""""))"),"")</f>
        <v/>
      </c>
      <c r="Y64" s="152" t="str">
        <f>IFERROR(__xludf.DUMMYFUNCTION("if(U64="""","""",iferror(filter(Schedule!$P:$P&amp;""-""&amp;Schedule!$Q:$Q,Schedule!$L:$L=U64,(Schedule!$J:$J="""")+(Schedule!$J:$J=V64),(Schedule!$K:$K=""b"")+(Schedule!$K:$K=""""),Schedule!$P:$P&lt;&gt;""""),""""))"),"")</f>
        <v/>
      </c>
      <c r="Z64" s="152" t="str">
        <f>IFERROR(__xludf.DUMMYFUNCTION("if(U64="""","""",iferror(filter(Schedule!$V:$V&amp;""-""&amp;Schedule!$W:$W,Schedule!$L:$L=U64,(Schedule!$J:$J="""")+(Schedule!$J:$J=V64),(Schedule!$K:$K=""b"")+(Schedule!$K:$K=""""),Schedule!$V:$V&lt;&gt;""""),""""))"),"")</f>
        <v/>
      </c>
      <c r="AA64" s="152" t="str">
        <f>IFERROR(__xludf.DUMMYFUNCTION("if(U64="""","""",iferror(filter(Schedule!$AB:$AB&amp;""-""&amp;Schedule!$AC:$AC,Schedule!$L:$L=U64,(Schedule!$J:$J="""")+(Schedule!$J:$J=V64),(Schedule!$K:$K=""b"")+(Schedule!$K:$K=""""),Schedule!$AB:$AB&lt;&gt;""""),""""))"),"")</f>
        <v/>
      </c>
      <c r="AB64" s="152" t="str">
        <f>IFERROR(__xludf.DUMMYFUNCTION("if(U64="""","""",iferror(filter(Schedule!$M:$M&amp;""-""&amp;Schedule!$N:$N,Schedule!$L:$L=U64,(Schedule!$J:$J="""")+(Schedule!$J:$J=V64),(Schedule!$K:$K=""b"")+(Schedule!$K:$K=""""),Schedule!$M:$M&lt;&gt;""""),""""))"),"")</f>
        <v/>
      </c>
      <c r="AC64" s="64"/>
      <c r="AD64" s="155"/>
      <c r="AE64" s="155" t="str">
        <f>AG58</f>
        <v/>
      </c>
      <c r="AF64" s="151" t="str">
        <f>AM58</f>
        <v/>
      </c>
      <c r="AG64" s="147">
        <v>5.0</v>
      </c>
      <c r="AH64" s="152" t="str">
        <f>IFERROR(__xludf.DUMMYFUNCTION("if(AE64="""","""",iferror(filter(Schedule!$Y:$Y&amp;""-""&amp;Schedule!$Z:$Z,Schedule!$L:$L=AE64,(Schedule!$J:$J="""")+(Schedule!$J:$J=AF64),(Schedule!$K:$K=""a"")+(Schedule!$K:$K=""""),Schedule!$Y:$Y&lt;&gt;""""),""""))"),"")</f>
        <v/>
      </c>
      <c r="AI64" s="152" t="str">
        <f>IFERROR(__xludf.DUMMYFUNCTION("if(AE64="""","""",iferror(filter(Schedule!$P:$P&amp;""-""&amp;Schedule!$Q:$Q,Schedule!$L:$L=AE64,(Schedule!$J:$J="""")+(Schedule!$J:$J=AF64),(Schedule!$K:$K=""b"")+(Schedule!$K:$K=""""),Schedule!$P:$P&lt;&gt;""""),""""))"),"")</f>
        <v/>
      </c>
      <c r="AJ64" s="152" t="str">
        <f>IFERROR(__xludf.DUMMYFUNCTION("if(AE64="""","""",iferror(filter(Schedule!$V:$V&amp;""-""&amp;Schedule!$W:$W,Schedule!$L:$L=AE64,(Schedule!$J:$J="""")+(Schedule!$J:$J=AF64),(Schedule!$K:$K=""b"")+(Schedule!$K:$K=""""),Schedule!$V:$V&lt;&gt;""""),""""))"),"")</f>
        <v/>
      </c>
      <c r="AK64" s="152" t="str">
        <f>IFERROR(__xludf.DUMMYFUNCTION("if(AE64="""","""",iferror(filter(Schedule!$AB:$AB&amp;""-""&amp;Schedule!$AC:$AC,Schedule!$L:$L=AE64,(Schedule!$J:$J="""")+(Schedule!$J:$J=AF64),(Schedule!$K:$K=""b"")+(Schedule!$K:$K=""""),Schedule!$AB:$AB&lt;&gt;""""),""""))"),"")</f>
        <v/>
      </c>
      <c r="AL64" s="152" t="str">
        <f>IFERROR(__xludf.DUMMYFUNCTION("if(AE64="""","""",iferror(filter(Schedule!$M:$M&amp;""-""&amp;Schedule!$N:$N,Schedule!$L:$L=AE64,(Schedule!$J:$J="""")+(Schedule!$J:$J=AF64),(Schedule!$K:$K=""b"")+(Schedule!$K:$K=""""),Schedule!$M:$M&lt;&gt;""""),""""))"),"")</f>
        <v/>
      </c>
      <c r="AM64" s="64"/>
    </row>
    <row r="65">
      <c r="A65" s="11"/>
      <c r="B65" s="11"/>
      <c r="C65" s="156"/>
      <c r="D65" s="156"/>
      <c r="E65" s="156"/>
      <c r="F65" s="156"/>
      <c r="G65" s="156"/>
      <c r="H65" s="156"/>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c r="A66" s="5"/>
      <c r="B66" s="5"/>
      <c r="C66" s="140" t="str">
        <f>Teachers!A9</f>
        <v>Giovany</v>
      </c>
      <c r="D66" s="141"/>
      <c r="E66" s="141"/>
      <c r="F66" s="141"/>
      <c r="G66" s="141"/>
      <c r="H66" s="142"/>
      <c r="I66" s="143" t="str">
        <f>IFERROR(__xludf.DUMMYFUNCTION("if(C66="""","""", iferror(unique(filter(Schedule!$J:$J,Schedule!$L:$L=$C66,Schedule!$J:$J=""Q1"")),iferror(unique(filter(Schedule!$J:$J,Schedule!$L:$L=$C66,Schedule!$J:$J=""S1"")),""Y"")))"),"S1")</f>
        <v>S1</v>
      </c>
      <c r="J66" s="11"/>
      <c r="K66" s="11"/>
      <c r="L66" s="11"/>
      <c r="M66" s="140" t="str">
        <f>if(S66="","",C66)</f>
        <v>Giovany</v>
      </c>
      <c r="N66" s="141"/>
      <c r="O66" s="141"/>
      <c r="P66" s="141"/>
      <c r="Q66" s="141"/>
      <c r="R66" s="142"/>
      <c r="S66" s="143" t="str">
        <f>if($I66="Q1","Q2",if($I66="S1","S2",""))</f>
        <v>S2</v>
      </c>
      <c r="T66" s="144"/>
      <c r="U66" s="144"/>
      <c r="V66" s="145"/>
      <c r="W66" s="140" t="str">
        <f>if(AC66="","",M66)</f>
        <v/>
      </c>
      <c r="X66" s="141"/>
      <c r="Y66" s="141"/>
      <c r="Z66" s="141"/>
      <c r="AA66" s="141"/>
      <c r="AB66" s="142"/>
      <c r="AC66" s="143" t="str">
        <f>if($I66="Q1","Q3","")</f>
        <v/>
      </c>
      <c r="AD66" s="144"/>
      <c r="AE66" s="144"/>
      <c r="AF66" s="145"/>
      <c r="AG66" s="140" t="str">
        <f>if(AC66="","",W66)</f>
        <v/>
      </c>
      <c r="AH66" s="141"/>
      <c r="AI66" s="141"/>
      <c r="AJ66" s="141"/>
      <c r="AK66" s="141"/>
      <c r="AL66" s="142"/>
      <c r="AM66" s="143" t="str">
        <f>if($I66="Q1","Q4","")</f>
        <v/>
      </c>
    </row>
    <row r="67">
      <c r="A67" s="146"/>
      <c r="B67" s="146"/>
      <c r="C67" s="147" t="s">
        <v>94</v>
      </c>
      <c r="D67" s="148" t="s">
        <v>95</v>
      </c>
      <c r="E67" s="148" t="s">
        <v>96</v>
      </c>
      <c r="F67" s="148" t="s">
        <v>97</v>
      </c>
      <c r="G67" s="148" t="s">
        <v>98</v>
      </c>
      <c r="H67" s="148" t="s">
        <v>99</v>
      </c>
      <c r="I67" s="148" t="s">
        <v>651</v>
      </c>
      <c r="J67" s="146"/>
      <c r="K67" s="146"/>
      <c r="L67" s="146"/>
      <c r="M67" s="147" t="s">
        <v>94</v>
      </c>
      <c r="N67" s="148" t="s">
        <v>95</v>
      </c>
      <c r="O67" s="148" t="s">
        <v>96</v>
      </c>
      <c r="P67" s="148" t="s">
        <v>97</v>
      </c>
      <c r="Q67" s="148" t="s">
        <v>98</v>
      </c>
      <c r="R67" s="148" t="s">
        <v>99</v>
      </c>
      <c r="S67" s="148" t="s">
        <v>651</v>
      </c>
      <c r="T67" s="149"/>
      <c r="U67" s="149"/>
      <c r="V67" s="150"/>
      <c r="W67" s="147" t="s">
        <v>94</v>
      </c>
      <c r="X67" s="148" t="s">
        <v>95</v>
      </c>
      <c r="Y67" s="148" t="s">
        <v>96</v>
      </c>
      <c r="Z67" s="148" t="s">
        <v>97</v>
      </c>
      <c r="AA67" s="148" t="s">
        <v>98</v>
      </c>
      <c r="AB67" s="148" t="s">
        <v>99</v>
      </c>
      <c r="AC67" s="148" t="s">
        <v>651</v>
      </c>
      <c r="AD67" s="149"/>
      <c r="AE67" s="149"/>
      <c r="AF67" s="150"/>
      <c r="AG67" s="147" t="s">
        <v>94</v>
      </c>
      <c r="AH67" s="148" t="s">
        <v>95</v>
      </c>
      <c r="AI67" s="148" t="s">
        <v>96</v>
      </c>
      <c r="AJ67" s="148" t="s">
        <v>97</v>
      </c>
      <c r="AK67" s="148" t="s">
        <v>98</v>
      </c>
      <c r="AL67" s="148" t="s">
        <v>99</v>
      </c>
      <c r="AM67" s="148" t="s">
        <v>651</v>
      </c>
    </row>
    <row r="68">
      <c r="A68" s="151" t="str">
        <f>C66</f>
        <v>Giovany</v>
      </c>
      <c r="B68" s="151" t="str">
        <f>I66</f>
        <v>S1</v>
      </c>
      <c r="C68" s="147">
        <v>1.0</v>
      </c>
      <c r="D68" s="152" t="str">
        <f>IFERROR(__xludf.DUMMYFUNCTION("if(A68="""","""",iferror(filter(Schedule!$M:$M&amp;""-""&amp;Schedule!$N:$N,Schedule!$L:$L=A68,(Schedule!$J:$J="""")+(Schedule!$J:$J=B68),(Schedule!$K:$K=""a"")+(Schedule!$K:$K=""""),Schedule!$M:$M&lt;&gt;""""),""""))"),"Band 7-1")</f>
        <v>Band 7-1</v>
      </c>
      <c r="E68" s="152" t="str">
        <f>IFERROR(__xludf.DUMMYFUNCTION("if(A68="""","""",iferror(filter(Schedule!$AB:$AB&amp;""-""&amp;Schedule!$AC:$AC,Schedule!$L:$L=A68,(Schedule!$J:$J="""")+(Schedule!$J:$J=B68),(Schedule!$K:$K=""b"")+(Schedule!$K:$K=""""),Schedule!$AB:$AB&lt;&gt;""""),""""))"),"Band 8-4")</f>
        <v>Band 8-4</v>
      </c>
      <c r="F68" s="152" t="str">
        <f>IFERROR(__xludf.DUMMYFUNCTION("if(A68="""","""",iferror(filter(Schedule!$S:$S&amp;""-""&amp;Schedule!$T:$T,Schedule!$L:$L=A68,(Schedule!$J:$J="""")+(Schedule!$J:$J=B68),(Schedule!$K:$K=""a"")+(Schedule!$K:$K=""""),Schedule!$S:$S&lt;&gt;""""),""""))"),"")</f>
        <v/>
      </c>
      <c r="G68" s="152" t="str">
        <f>IFERROR(__xludf.DUMMYFUNCTION("if(A68="""","""",iferror(filter(Schedule!$V:$V&amp;""-""&amp;Schedule!$W:$W,Schedule!$L:$L=A68,(Schedule!$J:$J="""")+(Schedule!$J:$J=B68),(Schedule!$K:$K=""a"")+(Schedule!$K:$K=""""),Schedule!$V:$V&lt;&gt;""""),""""))"),"")</f>
        <v/>
      </c>
      <c r="H68" s="152" t="str">
        <f>IFERROR(__xludf.DUMMYFUNCTION("if(A68="""","""",iferror(filter(Schedule!$Y:$Y&amp;""-""&amp;Schedule!$Z:$Z,Schedule!$L:$L=A68,(Schedule!$J:$J="""")+(Schedule!$J:$J=B68),(Schedule!$K:$K=""b"")+(Schedule!$K:$K=""""),Schedule!$Y:$Y&lt;&gt;""""),""""))"),"Band 8-3")</f>
        <v>Band 8-3</v>
      </c>
      <c r="I68" s="153">
        <f>if(C66="","", 24-countifs(D68:H72,""))</f>
        <v>18</v>
      </c>
      <c r="J68" s="154"/>
      <c r="K68" s="151" t="str">
        <f>M66</f>
        <v>Giovany</v>
      </c>
      <c r="L68" s="151" t="str">
        <f>S66</f>
        <v>S2</v>
      </c>
      <c r="M68" s="147">
        <v>1.0</v>
      </c>
      <c r="N68" s="152" t="str">
        <f>IFERROR(__xludf.DUMMYFUNCTION("if(K68="""","""",iferror(filter(Schedule!$M:$M&amp;""-""&amp;Schedule!$N:$N,Schedule!$L:$L=K68,(Schedule!$J:$J="""")+(Schedule!$J:$J=L68),(Schedule!$K:$K=""a"")+(Schedule!$K:$K=""""),Schedule!$M:$M&lt;&gt;""""),""""))"),"Band 7-1")</f>
        <v>Band 7-1</v>
      </c>
      <c r="O68" s="152" t="str">
        <f>IFERROR(__xludf.DUMMYFUNCTION("if(K68="""","""",iferror(filter(Schedule!$AB:$AB&amp;""-""&amp;Schedule!$AC:$AC,Schedule!$L:$L=K68,(Schedule!$J:$J="""")+(Schedule!$J:$J=L68),(Schedule!$K:$K=""b"")+(Schedule!$K:$K=""""),Schedule!$AB:$AB&lt;&gt;""""),""""))"),"Band 8-4")</f>
        <v>Band 8-4</v>
      </c>
      <c r="P68" s="152" t="str">
        <f>IFERROR(__xludf.DUMMYFUNCTION("if(K68="""","""",iferror(filter(Schedule!$S:$S&amp;""-""&amp;Schedule!$T:$T,Schedule!$L:$L=K68,(Schedule!$J:$J="""")+(Schedule!$J:$J=L68),(Schedule!$K:$K=""a"")+(Schedule!$K:$K=""""),Schedule!$S:$S&lt;&gt;""""),""""))"),"")</f>
        <v/>
      </c>
      <c r="Q68" s="152" t="str">
        <f>IFERROR(__xludf.DUMMYFUNCTION("if(K68="""","""",iferror(filter(Schedule!$V:$V&amp;""-""&amp;Schedule!$W:$W,Schedule!$L:$L=K68,(Schedule!$J:$J="""")+(Schedule!$J:$J=L68),(Schedule!$K:$K=""a"")+(Schedule!$K:$K=""""),Schedule!$V:$V&lt;&gt;""""),""""))"),"")</f>
        <v/>
      </c>
      <c r="R68" s="152" t="str">
        <f>IFERROR(__xludf.DUMMYFUNCTION("if(K68="""","""",iferror(filter(Schedule!$Y:$Y&amp;""-""&amp;Schedule!$Z:$Z,Schedule!$L:$L=K68,(Schedule!$J:$J="""")+(Schedule!$J:$J=L68),(Schedule!$K:$K=""b"")+(Schedule!$K:$K=""""),Schedule!$Y:$Y&lt;&gt;""""),""""))"),"Band 8-3")</f>
        <v>Band 8-3</v>
      </c>
      <c r="S68" s="153">
        <f>if(K68="","", 24-countifs(N68:R72,""))</f>
        <v>18</v>
      </c>
      <c r="T68" s="155"/>
      <c r="U68" s="155" t="str">
        <f>W66</f>
        <v/>
      </c>
      <c r="V68" s="151" t="str">
        <f>AC66</f>
        <v/>
      </c>
      <c r="W68" s="147">
        <v>1.0</v>
      </c>
      <c r="X68" s="152" t="str">
        <f>IFERROR(__xludf.DUMMYFUNCTION("if(U68="""","""",iferror(filter(Schedule!$M:$M&amp;""-""&amp;Schedule!$N:$N,Schedule!$L:$L=U68,(Schedule!$J:$J="""")+(Schedule!$J:$J=V68),(Schedule!$K:$K=""a"")+(Schedule!$K:$K=""""),Schedule!$M:$M&lt;&gt;""""),""""))"),"")</f>
        <v/>
      </c>
      <c r="Y68" s="152" t="str">
        <f>IFERROR(__xludf.DUMMYFUNCTION("if(U68="""","""",iferror(filter(Schedule!$AB:$AB&amp;""-""&amp;Schedule!$AC:$AC,Schedule!$L:$L=U68,(Schedule!$J:$J="""")+(Schedule!$J:$J=V68),(Schedule!$K:$K=""b"")+(Schedule!$K:$K=""""),Schedule!$AB:$AB&lt;&gt;""""),""""))"),"")</f>
        <v/>
      </c>
      <c r="Z68" s="152" t="str">
        <f>IFERROR(__xludf.DUMMYFUNCTION("if(U68="""","""",iferror(filter(Schedule!$S:$S&amp;""-""&amp;Schedule!$T:$T,Schedule!$L:$L=U68,(Schedule!$J:$J="""")+(Schedule!$J:$J=V68),(Schedule!$K:$K=""a"")+(Schedule!$K:$K=""""),Schedule!$S:$S&lt;&gt;""""),""""))"),"")</f>
        <v/>
      </c>
      <c r="AA68" s="152" t="str">
        <f>IFERROR(__xludf.DUMMYFUNCTION("if(U68="""","""",iferror(filter(Schedule!$V:$V&amp;""-""&amp;Schedule!$W:$W,Schedule!$L:$L=U68,(Schedule!$J:$J="""")+(Schedule!$J:$J=V68),(Schedule!$K:$K=""a"")+(Schedule!$K:$K=""""),Schedule!$V:$V&lt;&gt;""""),""""))"),"")</f>
        <v/>
      </c>
      <c r="AB68" s="152" t="str">
        <f>IFERROR(__xludf.DUMMYFUNCTION("if(U68="""","""",iferror(filter(Schedule!$Y:$Y&amp;""-""&amp;Schedule!$Z:$Z,Schedule!$L:$L=U68,(Schedule!$J:$J="""")+(Schedule!$J:$J=V68),(Schedule!$K:$K=""b"")+(Schedule!$K:$K=""""),Schedule!$Y:$Y&lt;&gt;""""),""""))"),"")</f>
        <v/>
      </c>
      <c r="AC68" s="153" t="str">
        <f>if(U68="","", 24-countifs(X68:AB72,""))</f>
        <v/>
      </c>
      <c r="AD68" s="155"/>
      <c r="AE68" s="155" t="str">
        <f>AG66</f>
        <v/>
      </c>
      <c r="AF68" s="151" t="str">
        <f>AM66</f>
        <v/>
      </c>
      <c r="AG68" s="147">
        <v>1.0</v>
      </c>
      <c r="AH68" s="152" t="str">
        <f>IFERROR(__xludf.DUMMYFUNCTION("if(AE68="""","""",iferror(filter(Schedule!$M:$M&amp;""-""&amp;Schedule!$N:$N,Schedule!$L:$L=AE68,(Schedule!$J:$J="""")+(Schedule!$J:$J=AF68),(Schedule!$K:$K=""a"")+(Schedule!$K:$K=""""),Schedule!$M:$M&lt;&gt;""""),""""))"),"")</f>
        <v/>
      </c>
      <c r="AI68" s="152" t="str">
        <f>IFERROR(__xludf.DUMMYFUNCTION("if(AE68="""","""",iferror(filter(Schedule!$AB:$AB&amp;""-""&amp;Schedule!$AC:$AC,Schedule!$L:$L=AE68,(Schedule!$J:$J="""")+(Schedule!$J:$J=AF68),(Schedule!$K:$K=""b"")+(Schedule!$K:$K=""""),Schedule!$AB:$AB&lt;&gt;""""),""""))"),"")</f>
        <v/>
      </c>
      <c r="AJ68" s="152" t="str">
        <f>IFERROR(__xludf.DUMMYFUNCTION("if(AE68="""","""",iferror(filter(Schedule!$S:$S&amp;""-""&amp;Schedule!$T:$T,Schedule!$L:$L=AE68,(Schedule!$J:$J="""")+(Schedule!$J:$J=AF68),(Schedule!$K:$K=""a"")+(Schedule!$K:$K=""""),Schedule!$S:$S&lt;&gt;""""),""""))"),"")</f>
        <v/>
      </c>
      <c r="AK68" s="152" t="str">
        <f>IFERROR(__xludf.DUMMYFUNCTION("if(AE68="""","""",iferror(filter(Schedule!$V:$V&amp;""-""&amp;Schedule!$W:$W,Schedule!$L:$L=AE68,(Schedule!$J:$J="""")+(Schedule!$J:$J=AF68),(Schedule!$K:$K=""a"")+(Schedule!$K:$K=""""),Schedule!$V:$V&lt;&gt;""""),""""))"),"")</f>
        <v/>
      </c>
      <c r="AL68" s="152" t="str">
        <f>IFERROR(__xludf.DUMMYFUNCTION("if(AE68="""","""",iferror(filter(Schedule!$Y:$Y&amp;""-""&amp;Schedule!$Z:$Z,Schedule!$L:$L=AE68,(Schedule!$J:$J="""")+(Schedule!$J:$J=AF68),(Schedule!$K:$K=""b"")+(Schedule!$K:$K=""""),Schedule!$Y:$Y&lt;&gt;""""),""""))"),"")</f>
        <v/>
      </c>
      <c r="AM68" s="153" t="str">
        <f>if(AE68="","", 24-countifs(AH68:AL72,""))</f>
        <v/>
      </c>
    </row>
    <row r="69">
      <c r="A69" s="151" t="str">
        <f>C66</f>
        <v>Giovany</v>
      </c>
      <c r="B69" s="151" t="str">
        <f>I66</f>
        <v>S1</v>
      </c>
      <c r="C69" s="147">
        <v>2.0</v>
      </c>
      <c r="D69" s="152" t="str">
        <f>IFERROR(__xludf.DUMMYFUNCTION("if(A69="""","""",iferror(filter(Schedule!$P:$P&amp;""-""&amp;Schedule!$Q:$Q,Schedule!$L:$L=A69,(Schedule!$J:$J="""")+(Schedule!$J:$J=B69),(Schedule!$K:$K=""a"")+(Schedule!$K:$K=""""),Schedule!$P:$P&lt;&gt;""""),""""))"),"Band 8-2")</f>
        <v>Band 8-2</v>
      </c>
      <c r="E69" s="152" t="str">
        <f>IFERROR(__xludf.DUMMYFUNCTION("if(A69="""","""",iferror(filter(Schedule!$Y:$Y&amp;""-""&amp;Schedule!$Z:$Z,Schedule!$L:$L=A69,(Schedule!$J:$J="""")+(Schedule!$J:$J=B69),(Schedule!$K:$K=""b"")+(Schedule!$K:$K=""""),Schedule!$Y:$Y&lt;&gt;""""),""""))"),"Band 8-3")</f>
        <v>Band 8-3</v>
      </c>
      <c r="F69" s="152" t="str">
        <f>IFERROR(__xludf.DUMMYFUNCTION("if(A69="""","""",iferror(filter(Schedule!$P:$P&amp;""-""&amp;Schedule!$Q:$Q,Schedule!$L:$L=A69,(Schedule!$J:$J="""")+(Schedule!$J:$J=B69),(Schedule!$K:$K=""a"")+(Schedule!$K:$K=""""),Schedule!$P:$P&lt;&gt;""""),""""))"),"Band 8-2")</f>
        <v>Band 8-2</v>
      </c>
      <c r="G69" s="152" t="str">
        <f>IFERROR(__xludf.DUMMYFUNCTION("if(A69="""","""",iferror(filter(Schedule!$M:$M&amp;""-""&amp;Schedule!$N:$N,Schedule!$L:$L=A69,(Schedule!$J:$J="""")+(Schedule!$J:$J=B69),(Schedule!$K:$K=""a"")+(Schedule!$K:$K=""""),Schedule!$M:$M&lt;&gt;""""),""""))"),"Band 7-1")</f>
        <v>Band 7-1</v>
      </c>
      <c r="H69" s="152" t="str">
        <f>IFERROR(__xludf.DUMMYFUNCTION("if(A69="""","""",iferror(filter(Schedule!$AB:$AB&amp;""-""&amp;Schedule!$AC:$AC,Schedule!$L:$L=A69,(Schedule!$J:$J="""")+(Schedule!$J:$J=B69),(Schedule!$K:$K=""a"")+(Schedule!$K:$K=""""),Schedule!$AB:$AB&lt;&gt;""""),""""))"),"Regular Band-1")</f>
        <v>Regular Band-1</v>
      </c>
      <c r="I69" s="60"/>
      <c r="J69" s="154"/>
      <c r="K69" s="151" t="str">
        <f>M66</f>
        <v>Giovany</v>
      </c>
      <c r="L69" s="151" t="str">
        <f>S66</f>
        <v>S2</v>
      </c>
      <c r="M69" s="147">
        <v>2.0</v>
      </c>
      <c r="N69" s="152" t="str">
        <f>IFERROR(__xludf.DUMMYFUNCTION("if(K69="""","""",iferror(filter(Schedule!$P:$P&amp;""-""&amp;Schedule!$Q:$Q,Schedule!$L:$L=K69,(Schedule!$J:$J="""")+(Schedule!$J:$J=L69),(Schedule!$K:$K=""a"")+(Schedule!$K:$K=""""),Schedule!$P:$P&lt;&gt;""""),""""))"),"Band 8-2")</f>
        <v>Band 8-2</v>
      </c>
      <c r="O69" s="152" t="str">
        <f>IFERROR(__xludf.DUMMYFUNCTION("if(K69="""","""",iferror(filter(Schedule!$Y:$Y&amp;""-""&amp;Schedule!$Z:$Z,Schedule!$L:$L=K69,(Schedule!$J:$J="""")+(Schedule!$J:$J=L69),(Schedule!$K:$K=""b"")+(Schedule!$K:$K=""""),Schedule!$Y:$Y&lt;&gt;""""),""""))"),"Band 8-3")</f>
        <v>Band 8-3</v>
      </c>
      <c r="P69" s="152" t="str">
        <f>IFERROR(__xludf.DUMMYFUNCTION("if(K69="""","""",iferror(filter(Schedule!$P:$P&amp;""-""&amp;Schedule!$Q:$Q,Schedule!$L:$L=K69,(Schedule!$J:$J="""")+(Schedule!$J:$J=L69),(Schedule!$K:$K=""a"")+(Schedule!$K:$K=""""),Schedule!$P:$P&lt;&gt;""""),""""))"),"Band 8-2")</f>
        <v>Band 8-2</v>
      </c>
      <c r="Q69" s="152" t="str">
        <f>IFERROR(__xludf.DUMMYFUNCTION("if(K69="""","""",iferror(filter(Schedule!$M:$M&amp;""-""&amp;Schedule!$N:$N,Schedule!$L:$L=K69,(Schedule!$J:$J="""")+(Schedule!$J:$J=L69),(Schedule!$K:$K=""a"")+(Schedule!$K:$K=""""),Schedule!$M:$M&lt;&gt;""""),""""))"),"Band 7-1")</f>
        <v>Band 7-1</v>
      </c>
      <c r="R69" s="152" t="str">
        <f>IFERROR(__xludf.DUMMYFUNCTION("if(K69="""","""",iferror(filter(Schedule!$AB:$AB&amp;""-""&amp;Schedule!$AC:$AC,Schedule!$L:$L=K69,(Schedule!$J:$J="""")+(Schedule!$J:$J=L69),(Schedule!$K:$K=""a"")+(Schedule!$K:$K=""""),Schedule!$AB:$AB&lt;&gt;""""),""""))"),"Regular Band-1")</f>
        <v>Regular Band-1</v>
      </c>
      <c r="S69" s="60"/>
      <c r="T69" s="155"/>
      <c r="U69" s="155" t="str">
        <f>W66</f>
        <v/>
      </c>
      <c r="V69" s="151" t="str">
        <f>AC66</f>
        <v/>
      </c>
      <c r="W69" s="147">
        <v>2.0</v>
      </c>
      <c r="X69" s="152" t="str">
        <f>IFERROR(__xludf.DUMMYFUNCTION("if(U69="""","""",iferror(filter(Schedule!$P:$P&amp;""-""&amp;Schedule!$Q:$Q,Schedule!$L:$L=U69,(Schedule!$J:$J="""")+(Schedule!$J:$J=V69),(Schedule!$K:$K=""a"")+(Schedule!$K:$K=""""),Schedule!$P:$P&lt;&gt;""""),""""))"),"")</f>
        <v/>
      </c>
      <c r="Y69" s="152" t="str">
        <f>IFERROR(__xludf.DUMMYFUNCTION("if(U69="""","""",iferror(filter(Schedule!$Y:$Y&amp;""-""&amp;Schedule!$Z:$Z,Schedule!$L:$L=U69,(Schedule!$J:$J="""")+(Schedule!$J:$J=V69),(Schedule!$K:$K=""b"")+(Schedule!$K:$K=""""),Schedule!$Y:$Y&lt;&gt;""""),""""))"),"")</f>
        <v/>
      </c>
      <c r="Z69" s="152" t="str">
        <f>IFERROR(__xludf.DUMMYFUNCTION("if(U69="""","""",iferror(filter(Schedule!$P:$P&amp;""-""&amp;Schedule!$Q:$Q,Schedule!$L:$L=U69,(Schedule!$J:$J="""")+(Schedule!$J:$J=V69),(Schedule!$K:$K=""a"")+(Schedule!$K:$K=""""),Schedule!$P:$P&lt;&gt;""""),""""))"),"")</f>
        <v/>
      </c>
      <c r="AA69" s="152" t="str">
        <f>IFERROR(__xludf.DUMMYFUNCTION("if(U69="""","""",iferror(filter(Schedule!$M:$M&amp;""-""&amp;Schedule!$N:$N,Schedule!$L:$L=U69,(Schedule!$J:$J="""")+(Schedule!$J:$J=V69),(Schedule!$K:$K=""a"")+(Schedule!$K:$K=""""),Schedule!$M:$M&lt;&gt;""""),""""))"),"")</f>
        <v/>
      </c>
      <c r="AB69" s="152" t="str">
        <f>IFERROR(__xludf.DUMMYFUNCTION("if(U69="""","""",iferror(filter(Schedule!$AB:$AB&amp;""-""&amp;Schedule!$AC:$AC,Schedule!$L:$L=U69,(Schedule!$J:$J="""")+(Schedule!$J:$J=V69),(Schedule!$K:$K=""a"")+(Schedule!$K:$K=""""),Schedule!$AB:$AB&lt;&gt;""""),""""))"),"")</f>
        <v/>
      </c>
      <c r="AC69" s="60"/>
      <c r="AD69" s="155"/>
      <c r="AE69" s="155" t="str">
        <f>AG66</f>
        <v/>
      </c>
      <c r="AF69" s="151" t="str">
        <f>AM66</f>
        <v/>
      </c>
      <c r="AG69" s="147">
        <v>2.0</v>
      </c>
      <c r="AH69" s="152" t="str">
        <f>IFERROR(__xludf.DUMMYFUNCTION("if(AE69="""","""",iferror(filter(Schedule!$P:$P&amp;""-""&amp;Schedule!$Q:$Q,Schedule!$L:$L=AE69,(Schedule!$J:$J="""")+(Schedule!$J:$J=AF69),(Schedule!$K:$K=""a"")+(Schedule!$K:$K=""""),Schedule!$P:$P&lt;&gt;""""),""""))"),"")</f>
        <v/>
      </c>
      <c r="AI69" s="152" t="str">
        <f>IFERROR(__xludf.DUMMYFUNCTION("if(AE69="""","""",iferror(filter(Schedule!$Y:$Y&amp;""-""&amp;Schedule!$Z:$Z,Schedule!$L:$L=AE69,(Schedule!$J:$J="""")+(Schedule!$J:$J=AF69),(Schedule!$K:$K=""b"")+(Schedule!$K:$K=""""),Schedule!$Y:$Y&lt;&gt;""""),""""))"),"")</f>
        <v/>
      </c>
      <c r="AJ69" s="152" t="str">
        <f>IFERROR(__xludf.DUMMYFUNCTION("if(AE69="""","""",iferror(filter(Schedule!$P:$P&amp;""-""&amp;Schedule!$Q:$Q,Schedule!$L:$L=AE69,(Schedule!$J:$J="""")+(Schedule!$J:$J=AF69),(Schedule!$K:$K=""a"")+(Schedule!$K:$K=""""),Schedule!$P:$P&lt;&gt;""""),""""))"),"")</f>
        <v/>
      </c>
      <c r="AK69" s="152" t="str">
        <f>IFERROR(__xludf.DUMMYFUNCTION("if(AE69="""","""",iferror(filter(Schedule!$M:$M&amp;""-""&amp;Schedule!$N:$N,Schedule!$L:$L=AE69,(Schedule!$J:$J="""")+(Schedule!$J:$J=AF69),(Schedule!$K:$K=""a"")+(Schedule!$K:$K=""""),Schedule!$M:$M&lt;&gt;""""),""""))"),"")</f>
        <v/>
      </c>
      <c r="AL69" s="152" t="str">
        <f>IFERROR(__xludf.DUMMYFUNCTION("if(AE69="""","""",iferror(filter(Schedule!$AB:$AB&amp;""-""&amp;Schedule!$AC:$AC,Schedule!$L:$L=AE69,(Schedule!$J:$J="""")+(Schedule!$J:$J=AF69),(Schedule!$K:$K=""a"")+(Schedule!$K:$K=""""),Schedule!$AB:$AB&lt;&gt;""""),""""))"),"")</f>
        <v/>
      </c>
      <c r="AM69" s="60"/>
    </row>
    <row r="70">
      <c r="A70" s="151" t="str">
        <f>C66</f>
        <v>Giovany</v>
      </c>
      <c r="B70" s="151" t="str">
        <f>I66</f>
        <v>S1</v>
      </c>
      <c r="C70" s="147">
        <v>3.0</v>
      </c>
      <c r="D70" s="152" t="str">
        <f>IFERROR(__xludf.DUMMYFUNCTION("if(A70="""","""",iferror(filter(Schedule!$S:$S&amp;""-""&amp;Schedule!$T:$T,Schedule!$L:$L=A70,(Schedule!$J:$J="""")+(Schedule!$J:$J=B70),(Schedule!$K:$K=""a"")+(Schedule!$K:$K=""""),Schedule!$S:$S&lt;&gt;""""),""""))"),"")</f>
        <v/>
      </c>
      <c r="E70" s="152" t="str">
        <f>IFERROR(__xludf.DUMMYFUNCTION("if(A70="""","""",iferror(filter(Schedule!$S:$S&amp;""-""&amp;Schedule!$T:$T,Schedule!$L:$L=A70,(Schedule!$J:$J="""")+(Schedule!$J:$J=B70),(Schedule!$K:$K=""b"")+(Schedule!$K:$K=""""),Schedule!$S:$S&lt;&gt;""""),""""))"),"")</f>
        <v/>
      </c>
      <c r="F70" s="152" t="str">
        <f>IFERROR(__xludf.DUMMYFUNCTION("if(A70="""","""",iferror(filter(Schedule!$Y:$Y&amp;""-""&amp;Schedule!$Z:$Z,Schedule!$L:$L=A70,(Schedule!$J:$J="""")+(Schedule!$J:$J=B70),(Schedule!$K:$K=""a"")+(Schedule!$K:$K=""""),Schedule!$Y:$Y&lt;&gt;""""),""""))"),"Symphony Band-1")</f>
        <v>Symphony Band-1</v>
      </c>
      <c r="G70" s="152" t="str">
        <f>IFERROR(__xludf.DUMMYFUNCTION("if(A70="""","""",iferror(filter(Schedule!$P:$P&amp;""-""&amp;Schedule!$Q:$Q,Schedule!$L:$L=A70,(Schedule!$J:$J="""")+(Schedule!$J:$J=B70),(Schedule!$K:$K=""b"")+(Schedule!$K:$K=""""),Schedule!$P:$P&lt;&gt;""""),""""))"),"Band 7-2")</f>
        <v>Band 7-2</v>
      </c>
      <c r="H70" s="152" t="str">
        <f>if(C66="","","X-Block")</f>
        <v>X-Block</v>
      </c>
      <c r="I70" s="60"/>
      <c r="J70" s="154"/>
      <c r="K70" s="151" t="str">
        <f>M66</f>
        <v>Giovany</v>
      </c>
      <c r="L70" s="151" t="str">
        <f>S66</f>
        <v>S2</v>
      </c>
      <c r="M70" s="147">
        <v>3.0</v>
      </c>
      <c r="N70" s="152" t="str">
        <f>IFERROR(__xludf.DUMMYFUNCTION("if(K70="""","""",iferror(filter(Schedule!$S:$S&amp;""-""&amp;Schedule!$T:$T,Schedule!$L:$L=K70,(Schedule!$J:$J="""")+(Schedule!$J:$J=L70),(Schedule!$K:$K=""a"")+(Schedule!$K:$K=""""),Schedule!$S:$S&lt;&gt;""""),""""))"),"")</f>
        <v/>
      </c>
      <c r="O70" s="152" t="str">
        <f>IFERROR(__xludf.DUMMYFUNCTION("if(K70="""","""",iferror(filter(Schedule!$S:$S&amp;""-""&amp;Schedule!$T:$T,Schedule!$L:$L=K70,(Schedule!$J:$J="""")+(Schedule!$J:$J=L70),(Schedule!$K:$K=""b"")+(Schedule!$K:$K=""""),Schedule!$S:$S&lt;&gt;""""),""""))"),"")</f>
        <v/>
      </c>
      <c r="P70" s="152" t="str">
        <f>IFERROR(__xludf.DUMMYFUNCTION("if(K70="""","""",iferror(filter(Schedule!$Y:$Y&amp;""-""&amp;Schedule!$Z:$Z,Schedule!$L:$L=K70,(Schedule!$J:$J="""")+(Schedule!$J:$J=L70),(Schedule!$K:$K=""a"")+(Schedule!$K:$K=""""),Schedule!$Y:$Y&lt;&gt;""""),""""))"),"Symphony Band-1")</f>
        <v>Symphony Band-1</v>
      </c>
      <c r="Q70" s="152" t="str">
        <f>IFERROR(__xludf.DUMMYFUNCTION("if(K70="""","""",iferror(filter(Schedule!$P:$P&amp;""-""&amp;Schedule!$Q:$Q,Schedule!$L:$L=K70,(Schedule!$J:$J="""")+(Schedule!$J:$J=L70),(Schedule!$K:$K=""b"")+(Schedule!$K:$K=""""),Schedule!$P:$P&lt;&gt;""""),""""))"),"Band 7-2")</f>
        <v>Band 7-2</v>
      </c>
      <c r="R70" s="152" t="str">
        <f>if(M66="","","X-Block")</f>
        <v>X-Block</v>
      </c>
      <c r="S70" s="60"/>
      <c r="T70" s="155"/>
      <c r="U70" s="155" t="str">
        <f>W66</f>
        <v/>
      </c>
      <c r="V70" s="151" t="str">
        <f>AC66</f>
        <v/>
      </c>
      <c r="W70" s="147">
        <v>3.0</v>
      </c>
      <c r="X70" s="152" t="str">
        <f>IFERROR(__xludf.DUMMYFUNCTION("if(U70="""","""",iferror(filter(Schedule!$S:$S&amp;""-""&amp;Schedule!$T:$T,Schedule!$L:$L=U70,(Schedule!$J:$J="""")+(Schedule!$J:$J=V70),(Schedule!$K:$K=""a"")+(Schedule!$K:$K=""""),Schedule!$S:$S&lt;&gt;""""),""""))"),"")</f>
        <v/>
      </c>
      <c r="Y70" s="152" t="str">
        <f>IFERROR(__xludf.DUMMYFUNCTION("if(U70="""","""",iferror(filter(Schedule!$S:$S&amp;""-""&amp;Schedule!$T:$T,Schedule!$L:$L=U70,(Schedule!$J:$J="""")+(Schedule!$J:$J=V70),(Schedule!$K:$K=""b"")+(Schedule!$K:$K=""""),Schedule!$S:$S&lt;&gt;""""),""""))"),"")</f>
        <v/>
      </c>
      <c r="Z70" s="152" t="str">
        <f>IFERROR(__xludf.DUMMYFUNCTION("if(U70="""","""",iferror(filter(Schedule!$Y:$Y&amp;""-""&amp;Schedule!$Z:$Z,Schedule!$L:$L=U70,(Schedule!$J:$J="""")+(Schedule!$J:$J=V70),(Schedule!$K:$K=""a"")+(Schedule!$K:$K=""""),Schedule!$Y:$Y&lt;&gt;""""),""""))"),"")</f>
        <v/>
      </c>
      <c r="AA70" s="152" t="str">
        <f>IFERROR(__xludf.DUMMYFUNCTION("if(U70="""","""",iferror(filter(Schedule!$P:$P&amp;""-""&amp;Schedule!$Q:$Q,Schedule!$L:$L=U70,(Schedule!$J:$J="""")+(Schedule!$J:$J=V70),(Schedule!$K:$K=""b"")+(Schedule!$K:$K=""""),Schedule!$P:$P&lt;&gt;""""),""""))"),"")</f>
        <v/>
      </c>
      <c r="AB70" s="152" t="str">
        <f>if(W66="","","X-Block")</f>
        <v/>
      </c>
      <c r="AC70" s="60"/>
      <c r="AD70" s="155"/>
      <c r="AE70" s="155" t="str">
        <f>AG66</f>
        <v/>
      </c>
      <c r="AF70" s="151" t="str">
        <f>AM66</f>
        <v/>
      </c>
      <c r="AG70" s="147">
        <v>3.0</v>
      </c>
      <c r="AH70" s="152" t="str">
        <f>IFERROR(__xludf.DUMMYFUNCTION("if(AE70="""","""",iferror(filter(Schedule!$S:$S&amp;""-""&amp;Schedule!$T:$T,Schedule!$L:$L=AE70,(Schedule!$J:$J="""")+(Schedule!$J:$J=AF70),(Schedule!$K:$K=""a"")+(Schedule!$K:$K=""""),Schedule!$S:$S&lt;&gt;""""),""""))"),"")</f>
        <v/>
      </c>
      <c r="AI70" s="152" t="str">
        <f>IFERROR(__xludf.DUMMYFUNCTION("if(AE70="""","""",iferror(filter(Schedule!$S:$S&amp;""-""&amp;Schedule!$T:$T,Schedule!$L:$L=AE70,(Schedule!$J:$J="""")+(Schedule!$J:$J=AF70),(Schedule!$K:$K=""b"")+(Schedule!$K:$K=""""),Schedule!$S:$S&lt;&gt;""""),""""))"),"")</f>
        <v/>
      </c>
      <c r="AJ70" s="152" t="str">
        <f>IFERROR(__xludf.DUMMYFUNCTION("if(AE70="""","""",iferror(filter(Schedule!$Y:$Y&amp;""-""&amp;Schedule!$Z:$Z,Schedule!$L:$L=AE70,(Schedule!$J:$J="""")+(Schedule!$J:$J=AF70),(Schedule!$K:$K=""a"")+(Schedule!$K:$K=""""),Schedule!$Y:$Y&lt;&gt;""""),""""))"),"")</f>
        <v/>
      </c>
      <c r="AK70" s="152" t="str">
        <f>IFERROR(__xludf.DUMMYFUNCTION("if(AE70="""","""",iferror(filter(Schedule!$P:$P&amp;""-""&amp;Schedule!$Q:$Q,Schedule!$L:$L=AE70,(Schedule!$J:$J="""")+(Schedule!$J:$J=AF70),(Schedule!$K:$K=""b"")+(Schedule!$K:$K=""""),Schedule!$P:$P&lt;&gt;""""),""""))"),"")</f>
        <v/>
      </c>
      <c r="AL70" s="152" t="str">
        <f>if(AG66="","","X-Block")</f>
        <v/>
      </c>
      <c r="AM70" s="60"/>
    </row>
    <row r="71">
      <c r="A71" s="151" t="str">
        <f>C66</f>
        <v>Giovany</v>
      </c>
      <c r="B71" s="151" t="str">
        <f>I66</f>
        <v>S1</v>
      </c>
      <c r="C71" s="147">
        <v>4.0</v>
      </c>
      <c r="D71" s="152" t="str">
        <f>IFERROR(__xludf.DUMMYFUNCTION("if(A71="""","""",iferror(filter(Schedule!$V:$V&amp;""-""&amp;Schedule!$W:$W,Schedule!$L:$L=A71,(Schedule!$J:$J="""")+(Schedule!$J:$J=B71),(Schedule!$K:$K=""a"")+(Schedule!$K:$K=""""),Schedule!$V:$V&lt;&gt;""""),""""))"),"")</f>
        <v/>
      </c>
      <c r="E71" s="152" t="str">
        <f>IFERROR(__xludf.DUMMYFUNCTION("if(A71="""","""",iferror(filter(Schedule!$M:$M&amp;""-""&amp;Schedule!$N:$N,Schedule!$L:$L=A71,(Schedule!$J:$J="""")+(Schedule!$J:$J=B71),(Schedule!$K:$K=""b"")+(Schedule!$K:$K=""""),Schedule!$M:$M&lt;&gt;""""),""""))"),"Band 8-1")</f>
        <v>Band 8-1</v>
      </c>
      <c r="F71" s="152" t="str">
        <f>IFERROR(__xludf.DUMMYFUNCTION("if(A71="""","""",iferror(filter(Schedule!$AB:$AB&amp;""-""&amp;Schedule!$AC:$AC,Schedule!$L:$L=A71,(Schedule!$J:$J="""")+(Schedule!$J:$J=B71),(Schedule!$K:$K=""a"")+(Schedule!$K:$K=""""),Schedule!$AB:$AB&lt;&gt;""""),""""))"),"Regular Band-1")</f>
        <v>Regular Band-1</v>
      </c>
      <c r="G71" s="152" t="str">
        <f>IFERROR(__xludf.DUMMYFUNCTION("if(A71="""","""",iferror(filter(Schedule!$S:$S&amp;""-""&amp;Schedule!$T:$T,Schedule!$L:$L=A71,(Schedule!$J:$J="""")+(Schedule!$J:$J=B71),(Schedule!$K:$K=""b"")+(Schedule!$K:$K=""""),Schedule!$S:$S&lt;&gt;""""),""""))"),"")</f>
        <v/>
      </c>
      <c r="H71" s="152" t="str">
        <f>IFERROR(__xludf.DUMMYFUNCTION("if(A71="""","""",iferror(filter(Schedule!$V:$V&amp;""-""&amp;Schedule!$W:$W,Schedule!$L:$L=A71,(Schedule!$J:$J="""")+(Schedule!$J:$J=B71),(Schedule!$K:$K=""b"")+(Schedule!$K:$K=""""),Schedule!$V:$V&lt;&gt;""""),""""))"),"Band 7-3")</f>
        <v>Band 7-3</v>
      </c>
      <c r="I71" s="60"/>
      <c r="J71" s="154"/>
      <c r="K71" s="151" t="str">
        <f>M66</f>
        <v>Giovany</v>
      </c>
      <c r="L71" s="151" t="str">
        <f>S66</f>
        <v>S2</v>
      </c>
      <c r="M71" s="147">
        <v>4.0</v>
      </c>
      <c r="N71" s="152" t="str">
        <f>IFERROR(__xludf.DUMMYFUNCTION("if(K71="""","""",iferror(filter(Schedule!$V:$V&amp;""-""&amp;Schedule!$W:$W,Schedule!$L:$L=K71,(Schedule!$J:$J="""")+(Schedule!$J:$J=L71),(Schedule!$K:$K=""a"")+(Schedule!$K:$K=""""),Schedule!$V:$V&lt;&gt;""""),""""))"),"")</f>
        <v/>
      </c>
      <c r="O71" s="152" t="str">
        <f>IFERROR(__xludf.DUMMYFUNCTION("if(K71="""","""",iferror(filter(Schedule!$M:$M&amp;""-""&amp;Schedule!$N:$N,Schedule!$L:$L=K71,(Schedule!$J:$J="""")+(Schedule!$J:$J=L71),(Schedule!$K:$K=""b"")+(Schedule!$K:$K=""""),Schedule!$M:$M&lt;&gt;""""),""""))"),"Band 8-1")</f>
        <v>Band 8-1</v>
      </c>
      <c r="P71" s="152" t="str">
        <f>IFERROR(__xludf.DUMMYFUNCTION("if(K71="""","""",iferror(filter(Schedule!$AB:$AB&amp;""-""&amp;Schedule!$AC:$AC,Schedule!$L:$L=K71,(Schedule!$J:$J="""")+(Schedule!$J:$J=L71),(Schedule!$K:$K=""a"")+(Schedule!$K:$K=""""),Schedule!$AB:$AB&lt;&gt;""""),""""))"),"Regular Band-1")</f>
        <v>Regular Band-1</v>
      </c>
      <c r="Q71" s="152" t="str">
        <f>IFERROR(__xludf.DUMMYFUNCTION("if(K71="""","""",iferror(filter(Schedule!$S:$S&amp;""-""&amp;Schedule!$T:$T,Schedule!$L:$L=K71,(Schedule!$J:$J="""")+(Schedule!$J:$J=L71),(Schedule!$K:$K=""b"")+(Schedule!$K:$K=""""),Schedule!$S:$S&lt;&gt;""""),""""))"),"")</f>
        <v/>
      </c>
      <c r="R71" s="152" t="str">
        <f>IFERROR(__xludf.DUMMYFUNCTION("if(K71="""","""",iferror(filter(Schedule!$V:$V&amp;""-""&amp;Schedule!$W:$W,Schedule!$L:$L=K71,(Schedule!$J:$J="""")+(Schedule!$J:$J=L71),(Schedule!$K:$K=""b"")+(Schedule!$K:$K=""""),Schedule!$V:$V&lt;&gt;""""),""""))"),"Band 7-3")</f>
        <v>Band 7-3</v>
      </c>
      <c r="S71" s="60"/>
      <c r="T71" s="155"/>
      <c r="U71" s="155" t="str">
        <f>W66</f>
        <v/>
      </c>
      <c r="V71" s="151" t="str">
        <f>AC66</f>
        <v/>
      </c>
      <c r="W71" s="147">
        <v>4.0</v>
      </c>
      <c r="X71" s="152" t="str">
        <f>IFERROR(__xludf.DUMMYFUNCTION("if(U71="""","""",iferror(filter(Schedule!$V:$V&amp;""-""&amp;Schedule!$W:$W,Schedule!$L:$L=U71,(Schedule!$J:$J="""")+(Schedule!$J:$J=V71),(Schedule!$K:$K=""a"")+(Schedule!$K:$K=""""),Schedule!$V:$V&lt;&gt;""""),""""))"),"")</f>
        <v/>
      </c>
      <c r="Y71" s="152" t="str">
        <f>IFERROR(__xludf.DUMMYFUNCTION("if(U71="""","""",iferror(filter(Schedule!$M:$M&amp;""-""&amp;Schedule!$N:$N,Schedule!$L:$L=U71,(Schedule!$J:$J="""")+(Schedule!$J:$J=V71),(Schedule!$K:$K=""b"")+(Schedule!$K:$K=""""),Schedule!$M:$M&lt;&gt;""""),""""))"),"")</f>
        <v/>
      </c>
      <c r="Z71" s="152" t="str">
        <f>IFERROR(__xludf.DUMMYFUNCTION("if(U71="""","""",iferror(filter(Schedule!$AB:$AB&amp;""-""&amp;Schedule!$AC:$AC,Schedule!$L:$L=U71,(Schedule!$J:$J="""")+(Schedule!$J:$J=V71),(Schedule!$K:$K=""a"")+(Schedule!$K:$K=""""),Schedule!$AB:$AB&lt;&gt;""""),""""))"),"")</f>
        <v/>
      </c>
      <c r="AA71" s="152" t="str">
        <f>IFERROR(__xludf.DUMMYFUNCTION("if(U71="""","""",iferror(filter(Schedule!$S:$S&amp;""-""&amp;Schedule!$T:$T,Schedule!$L:$L=U71,(Schedule!$J:$J="""")+(Schedule!$J:$J=V71),(Schedule!$K:$K=""b"")+(Schedule!$K:$K=""""),Schedule!$S:$S&lt;&gt;""""),""""))"),"")</f>
        <v/>
      </c>
      <c r="AB71" s="152" t="str">
        <f>IFERROR(__xludf.DUMMYFUNCTION("if(U71="""","""",iferror(filter(Schedule!$V:$V&amp;""-""&amp;Schedule!$W:$W,Schedule!$L:$L=U71,(Schedule!$J:$J="""")+(Schedule!$J:$J=V71),(Schedule!$K:$K=""b"")+(Schedule!$K:$K=""""),Schedule!$V:$V&lt;&gt;""""),""""))"),"")</f>
        <v/>
      </c>
      <c r="AC71" s="60"/>
      <c r="AD71" s="155"/>
      <c r="AE71" s="155" t="str">
        <f>AG66</f>
        <v/>
      </c>
      <c r="AF71" s="151" t="str">
        <f>AM66</f>
        <v/>
      </c>
      <c r="AG71" s="147">
        <v>4.0</v>
      </c>
      <c r="AH71" s="152" t="str">
        <f>IFERROR(__xludf.DUMMYFUNCTION("if(AE71="""","""",iferror(filter(Schedule!$V:$V&amp;""-""&amp;Schedule!$W:$W,Schedule!$L:$L=AE71,(Schedule!$J:$J="""")+(Schedule!$J:$J=AF71),(Schedule!$K:$K=""a"")+(Schedule!$K:$K=""""),Schedule!$V:$V&lt;&gt;""""),""""))"),"")</f>
        <v/>
      </c>
      <c r="AI71" s="152" t="str">
        <f>IFERROR(__xludf.DUMMYFUNCTION("if(AE71="""","""",iferror(filter(Schedule!$M:$M&amp;""-""&amp;Schedule!$N:$N,Schedule!$L:$L=AE71,(Schedule!$J:$J="""")+(Schedule!$J:$J=AF71),(Schedule!$K:$K=""b"")+(Schedule!$K:$K=""""),Schedule!$M:$M&lt;&gt;""""),""""))"),"")</f>
        <v/>
      </c>
      <c r="AJ71" s="152" t="str">
        <f>IFERROR(__xludf.DUMMYFUNCTION("if(AE71="""","""",iferror(filter(Schedule!$AB:$AB&amp;""-""&amp;Schedule!$AC:$AC,Schedule!$L:$L=AE71,(Schedule!$J:$J="""")+(Schedule!$J:$J=AF71),(Schedule!$K:$K=""a"")+(Schedule!$K:$K=""""),Schedule!$AB:$AB&lt;&gt;""""),""""))"),"")</f>
        <v/>
      </c>
      <c r="AK71" s="152" t="str">
        <f>IFERROR(__xludf.DUMMYFUNCTION("if(AE71="""","""",iferror(filter(Schedule!$S:$S&amp;""-""&amp;Schedule!$T:$T,Schedule!$L:$L=AE71,(Schedule!$J:$J="""")+(Schedule!$J:$J=AF71),(Schedule!$K:$K=""b"")+(Schedule!$K:$K=""""),Schedule!$S:$S&lt;&gt;""""),""""))"),"")</f>
        <v/>
      </c>
      <c r="AL71" s="152" t="str">
        <f>IFERROR(__xludf.DUMMYFUNCTION("if(AE71="""","""",iferror(filter(Schedule!$V:$V&amp;""-""&amp;Schedule!$W:$W,Schedule!$L:$L=AE71,(Schedule!$J:$J="""")+(Schedule!$J:$J=AF71),(Schedule!$K:$K=""b"")+(Schedule!$K:$K=""""),Schedule!$V:$V&lt;&gt;""""),""""))"),"")</f>
        <v/>
      </c>
      <c r="AM71" s="60"/>
    </row>
    <row r="72">
      <c r="A72" s="151" t="str">
        <f>C66</f>
        <v>Giovany</v>
      </c>
      <c r="B72" s="151" t="str">
        <f>I66</f>
        <v>S1</v>
      </c>
      <c r="C72" s="147">
        <v>5.0</v>
      </c>
      <c r="D72" s="152" t="str">
        <f>IFERROR(__xludf.DUMMYFUNCTION("if(A72="""","""",iferror(filter(Schedule!$Y:$Y&amp;""-""&amp;Schedule!$Z:$Z,Schedule!$L:$L=A72,(Schedule!$J:$J="""")+(Schedule!$J:$J=B72),(Schedule!$K:$K=""a"")+(Schedule!$K:$K=""""),Schedule!$Y:$Y&lt;&gt;""""),""""))"),"Symphony Band-1")</f>
        <v>Symphony Band-1</v>
      </c>
      <c r="E72" s="152" t="str">
        <f>IFERROR(__xludf.DUMMYFUNCTION("if(A72="""","""",iferror(filter(Schedule!$P:$P&amp;""-""&amp;Schedule!$Q:$Q,Schedule!$L:$L=A72,(Schedule!$J:$J="""")+(Schedule!$J:$J=B72),(Schedule!$K:$K=""b"")+(Schedule!$K:$K=""""),Schedule!$P:$P&lt;&gt;""""),""""))"),"Band 7-2")</f>
        <v>Band 7-2</v>
      </c>
      <c r="F72" s="152" t="str">
        <f>IFERROR(__xludf.DUMMYFUNCTION("if(A72="""","""",iferror(filter(Schedule!$V:$V&amp;""-""&amp;Schedule!$W:$W,Schedule!$L:$L=A72,(Schedule!$J:$J="""")+(Schedule!$J:$J=B72),(Schedule!$K:$K=""b"")+(Schedule!$K:$K=""""),Schedule!$V:$V&lt;&gt;""""),""""))"),"Band 7-3")</f>
        <v>Band 7-3</v>
      </c>
      <c r="G72" s="152" t="str">
        <f>IFERROR(__xludf.DUMMYFUNCTION("if(A72="""","""",iferror(filter(Schedule!$AB:$AB&amp;""-""&amp;Schedule!$AC:$AC,Schedule!$L:$L=A72,(Schedule!$J:$J="""")+(Schedule!$J:$J=B72),(Schedule!$K:$K=""b"")+(Schedule!$K:$K=""""),Schedule!$AB:$AB&lt;&gt;""""),""""))"),"Band 8-4")</f>
        <v>Band 8-4</v>
      </c>
      <c r="H72" s="152" t="str">
        <f>IFERROR(__xludf.DUMMYFUNCTION("if(A72="""","""",iferror(filter(Schedule!$M:$M&amp;""-""&amp;Schedule!$N:$N,Schedule!$L:$L=A72,(Schedule!$J:$J="""")+(Schedule!$J:$J=B72),(Schedule!$K:$K=""b"")+(Schedule!$K:$K=""""),Schedule!$M:$M&lt;&gt;""""),""""))"),"Band 8-1")</f>
        <v>Band 8-1</v>
      </c>
      <c r="I72" s="64"/>
      <c r="J72" s="154"/>
      <c r="K72" s="151" t="str">
        <f>M66</f>
        <v>Giovany</v>
      </c>
      <c r="L72" s="151" t="str">
        <f>S66</f>
        <v>S2</v>
      </c>
      <c r="M72" s="147">
        <v>5.0</v>
      </c>
      <c r="N72" s="152" t="str">
        <f>IFERROR(__xludf.DUMMYFUNCTION("if(K72="""","""",iferror(filter(Schedule!$Y:$Y&amp;""-""&amp;Schedule!$Z:$Z,Schedule!$L:$L=K72,(Schedule!$J:$J="""")+(Schedule!$J:$J=L72),(Schedule!$K:$K=""a"")+(Schedule!$K:$K=""""),Schedule!$Y:$Y&lt;&gt;""""),""""))"),"Symphony Band-1")</f>
        <v>Symphony Band-1</v>
      </c>
      <c r="O72" s="152" t="str">
        <f>IFERROR(__xludf.DUMMYFUNCTION("if(K72="""","""",iferror(filter(Schedule!$P:$P&amp;""-""&amp;Schedule!$Q:$Q,Schedule!$L:$L=K72,(Schedule!$J:$J="""")+(Schedule!$J:$J=L72),(Schedule!$K:$K=""b"")+(Schedule!$K:$K=""""),Schedule!$P:$P&lt;&gt;""""),""""))"),"Band 7-2")</f>
        <v>Band 7-2</v>
      </c>
      <c r="P72" s="152" t="str">
        <f>IFERROR(__xludf.DUMMYFUNCTION("if(K72="""","""",iferror(filter(Schedule!$V:$V&amp;""-""&amp;Schedule!$W:$W,Schedule!$L:$L=K72,(Schedule!$J:$J="""")+(Schedule!$J:$J=L72),(Schedule!$K:$K=""b"")+(Schedule!$K:$K=""""),Schedule!$V:$V&lt;&gt;""""),""""))"),"Band 7-3")</f>
        <v>Band 7-3</v>
      </c>
      <c r="Q72" s="152" t="str">
        <f>IFERROR(__xludf.DUMMYFUNCTION("if(K72="""","""",iferror(filter(Schedule!$AB:$AB&amp;""-""&amp;Schedule!$AC:$AC,Schedule!$L:$L=K72,(Schedule!$J:$J="""")+(Schedule!$J:$J=L72),(Schedule!$K:$K=""b"")+(Schedule!$K:$K=""""),Schedule!$AB:$AB&lt;&gt;""""),""""))"),"Band 8-4")</f>
        <v>Band 8-4</v>
      </c>
      <c r="R72" s="152" t="str">
        <f>IFERROR(__xludf.DUMMYFUNCTION("if(K72="""","""",iferror(filter(Schedule!$M:$M&amp;""-""&amp;Schedule!$N:$N,Schedule!$L:$L=K72,(Schedule!$J:$J="""")+(Schedule!$J:$J=L72),(Schedule!$K:$K=""b"")+(Schedule!$K:$K=""""),Schedule!$M:$M&lt;&gt;""""),""""))"),"Band 8-1")</f>
        <v>Band 8-1</v>
      </c>
      <c r="S72" s="64"/>
      <c r="T72" s="155"/>
      <c r="U72" s="155" t="str">
        <f>W66</f>
        <v/>
      </c>
      <c r="V72" s="151" t="str">
        <f>AC66</f>
        <v/>
      </c>
      <c r="W72" s="147">
        <v>5.0</v>
      </c>
      <c r="X72" s="152" t="str">
        <f>IFERROR(__xludf.DUMMYFUNCTION("if(U72="""","""",iferror(filter(Schedule!$Y:$Y&amp;""-""&amp;Schedule!$Z:$Z,Schedule!$L:$L=U72,(Schedule!$J:$J="""")+(Schedule!$J:$J=V72),(Schedule!$K:$K=""a"")+(Schedule!$K:$K=""""),Schedule!$Y:$Y&lt;&gt;""""),""""))"),"")</f>
        <v/>
      </c>
      <c r="Y72" s="152" t="str">
        <f>IFERROR(__xludf.DUMMYFUNCTION("if(U72="""","""",iferror(filter(Schedule!$P:$P&amp;""-""&amp;Schedule!$Q:$Q,Schedule!$L:$L=U72,(Schedule!$J:$J="""")+(Schedule!$J:$J=V72),(Schedule!$K:$K=""b"")+(Schedule!$K:$K=""""),Schedule!$P:$P&lt;&gt;""""),""""))"),"")</f>
        <v/>
      </c>
      <c r="Z72" s="152" t="str">
        <f>IFERROR(__xludf.DUMMYFUNCTION("if(U72="""","""",iferror(filter(Schedule!$V:$V&amp;""-""&amp;Schedule!$W:$W,Schedule!$L:$L=U72,(Schedule!$J:$J="""")+(Schedule!$J:$J=V72),(Schedule!$K:$K=""b"")+(Schedule!$K:$K=""""),Schedule!$V:$V&lt;&gt;""""),""""))"),"")</f>
        <v/>
      </c>
      <c r="AA72" s="152" t="str">
        <f>IFERROR(__xludf.DUMMYFUNCTION("if(U72="""","""",iferror(filter(Schedule!$AB:$AB&amp;""-""&amp;Schedule!$AC:$AC,Schedule!$L:$L=U72,(Schedule!$J:$J="""")+(Schedule!$J:$J=V72),(Schedule!$K:$K=""b"")+(Schedule!$K:$K=""""),Schedule!$AB:$AB&lt;&gt;""""),""""))"),"")</f>
        <v/>
      </c>
      <c r="AB72" s="152" t="str">
        <f>IFERROR(__xludf.DUMMYFUNCTION("if(U72="""","""",iferror(filter(Schedule!$M:$M&amp;""-""&amp;Schedule!$N:$N,Schedule!$L:$L=U72,(Schedule!$J:$J="""")+(Schedule!$J:$J=V72),(Schedule!$K:$K=""b"")+(Schedule!$K:$K=""""),Schedule!$M:$M&lt;&gt;""""),""""))"),"")</f>
        <v/>
      </c>
      <c r="AC72" s="64"/>
      <c r="AD72" s="155"/>
      <c r="AE72" s="155" t="str">
        <f>AG66</f>
        <v/>
      </c>
      <c r="AF72" s="151" t="str">
        <f>AM66</f>
        <v/>
      </c>
      <c r="AG72" s="147">
        <v>5.0</v>
      </c>
      <c r="AH72" s="152" t="str">
        <f>IFERROR(__xludf.DUMMYFUNCTION("if(AE72="""","""",iferror(filter(Schedule!$Y:$Y&amp;""-""&amp;Schedule!$Z:$Z,Schedule!$L:$L=AE72,(Schedule!$J:$J="""")+(Schedule!$J:$J=AF72),(Schedule!$K:$K=""a"")+(Schedule!$K:$K=""""),Schedule!$Y:$Y&lt;&gt;""""),""""))"),"")</f>
        <v/>
      </c>
      <c r="AI72" s="152" t="str">
        <f>IFERROR(__xludf.DUMMYFUNCTION("if(AE72="""","""",iferror(filter(Schedule!$P:$P&amp;""-""&amp;Schedule!$Q:$Q,Schedule!$L:$L=AE72,(Schedule!$J:$J="""")+(Schedule!$J:$J=AF72),(Schedule!$K:$K=""b"")+(Schedule!$K:$K=""""),Schedule!$P:$P&lt;&gt;""""),""""))"),"")</f>
        <v/>
      </c>
      <c r="AJ72" s="152" t="str">
        <f>IFERROR(__xludf.DUMMYFUNCTION("if(AE72="""","""",iferror(filter(Schedule!$V:$V&amp;""-""&amp;Schedule!$W:$W,Schedule!$L:$L=AE72,(Schedule!$J:$J="""")+(Schedule!$J:$J=AF72),(Schedule!$K:$K=""b"")+(Schedule!$K:$K=""""),Schedule!$V:$V&lt;&gt;""""),""""))"),"")</f>
        <v/>
      </c>
      <c r="AK72" s="152" t="str">
        <f>IFERROR(__xludf.DUMMYFUNCTION("if(AE72="""","""",iferror(filter(Schedule!$AB:$AB&amp;""-""&amp;Schedule!$AC:$AC,Schedule!$L:$L=AE72,(Schedule!$J:$J="""")+(Schedule!$J:$J=AF72),(Schedule!$K:$K=""b"")+(Schedule!$K:$K=""""),Schedule!$AB:$AB&lt;&gt;""""),""""))"),"")</f>
        <v/>
      </c>
      <c r="AL72" s="152" t="str">
        <f>IFERROR(__xludf.DUMMYFUNCTION("if(AE72="""","""",iferror(filter(Schedule!$M:$M&amp;""-""&amp;Schedule!$N:$N,Schedule!$L:$L=AE72,(Schedule!$J:$J="""")+(Schedule!$J:$J=AF72),(Schedule!$K:$K=""b"")+(Schedule!$K:$K=""""),Schedule!$M:$M&lt;&gt;""""),""""))"),"")</f>
        <v/>
      </c>
      <c r="AM72" s="64"/>
    </row>
    <row r="73">
      <c r="A73" s="11"/>
      <c r="B73" s="11"/>
      <c r="C73" s="156"/>
      <c r="D73" s="156"/>
      <c r="E73" s="156"/>
      <c r="F73" s="156"/>
      <c r="G73" s="156"/>
      <c r="H73" s="156"/>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c r="A74" s="5"/>
      <c r="B74" s="5"/>
      <c r="C74" s="140" t="str">
        <f>Teachers!A10</f>
        <v>John Jensen</v>
      </c>
      <c r="D74" s="141"/>
      <c r="E74" s="141"/>
      <c r="F74" s="141"/>
      <c r="G74" s="141"/>
      <c r="H74" s="142"/>
      <c r="I74" s="143" t="str">
        <f>IFERROR(__xludf.DUMMYFUNCTION("if(C74="""","""", iferror(unique(filter(Schedule!$J:$J,Schedule!$L:$L=$C74,Schedule!$J:$J=""Q1"")),iferror(unique(filter(Schedule!$J:$J,Schedule!$L:$L=$C74,Schedule!$J:$J=""S1"")),""Y"")))"),"Y")</f>
        <v>Y</v>
      </c>
      <c r="J74" s="11"/>
      <c r="K74" s="11"/>
      <c r="L74" s="11"/>
      <c r="M74" s="140" t="str">
        <f>if(S74="","",C74)</f>
        <v/>
      </c>
      <c r="N74" s="141"/>
      <c r="O74" s="141"/>
      <c r="P74" s="141"/>
      <c r="Q74" s="141"/>
      <c r="R74" s="142"/>
      <c r="S74" s="143" t="str">
        <f>if($I74="Q1","Q2",if($I74="S1","S2",""))</f>
        <v/>
      </c>
      <c r="T74" s="144"/>
      <c r="U74" s="144"/>
      <c r="V74" s="145"/>
      <c r="W74" s="140" t="str">
        <f>if(AC74="","",M74)</f>
        <v/>
      </c>
      <c r="X74" s="141"/>
      <c r="Y74" s="141"/>
      <c r="Z74" s="141"/>
      <c r="AA74" s="141"/>
      <c r="AB74" s="142"/>
      <c r="AC74" s="143" t="str">
        <f>if($I74="Q1","Q3","")</f>
        <v/>
      </c>
      <c r="AD74" s="144"/>
      <c r="AE74" s="144"/>
      <c r="AF74" s="145"/>
      <c r="AG74" s="140" t="str">
        <f>if(AC74="","",W74)</f>
        <v/>
      </c>
      <c r="AH74" s="141"/>
      <c r="AI74" s="141"/>
      <c r="AJ74" s="141"/>
      <c r="AK74" s="141"/>
      <c r="AL74" s="142"/>
      <c r="AM74" s="143" t="str">
        <f>if($I74="Q1","Q4","")</f>
        <v/>
      </c>
    </row>
    <row r="75">
      <c r="A75" s="146"/>
      <c r="B75" s="146"/>
      <c r="C75" s="147" t="s">
        <v>94</v>
      </c>
      <c r="D75" s="148" t="s">
        <v>95</v>
      </c>
      <c r="E75" s="148" t="s">
        <v>96</v>
      </c>
      <c r="F75" s="148" t="s">
        <v>97</v>
      </c>
      <c r="G75" s="148" t="s">
        <v>98</v>
      </c>
      <c r="H75" s="148" t="s">
        <v>99</v>
      </c>
      <c r="I75" s="148" t="s">
        <v>651</v>
      </c>
      <c r="J75" s="146"/>
      <c r="K75" s="146"/>
      <c r="L75" s="146"/>
      <c r="M75" s="147" t="s">
        <v>94</v>
      </c>
      <c r="N75" s="148" t="s">
        <v>95</v>
      </c>
      <c r="O75" s="148" t="s">
        <v>96</v>
      </c>
      <c r="P75" s="148" t="s">
        <v>97</v>
      </c>
      <c r="Q75" s="148" t="s">
        <v>98</v>
      </c>
      <c r="R75" s="148" t="s">
        <v>99</v>
      </c>
      <c r="S75" s="148" t="s">
        <v>651</v>
      </c>
      <c r="T75" s="149"/>
      <c r="U75" s="149"/>
      <c r="V75" s="150"/>
      <c r="W75" s="147" t="s">
        <v>94</v>
      </c>
      <c r="X75" s="148" t="s">
        <v>95</v>
      </c>
      <c r="Y75" s="148" t="s">
        <v>96</v>
      </c>
      <c r="Z75" s="148" t="s">
        <v>97</v>
      </c>
      <c r="AA75" s="148" t="s">
        <v>98</v>
      </c>
      <c r="AB75" s="148" t="s">
        <v>99</v>
      </c>
      <c r="AC75" s="148" t="s">
        <v>651</v>
      </c>
      <c r="AD75" s="149"/>
      <c r="AE75" s="149"/>
      <c r="AF75" s="150"/>
      <c r="AG75" s="147" t="s">
        <v>94</v>
      </c>
      <c r="AH75" s="148" t="s">
        <v>95</v>
      </c>
      <c r="AI75" s="148" t="s">
        <v>96</v>
      </c>
      <c r="AJ75" s="148" t="s">
        <v>97</v>
      </c>
      <c r="AK75" s="148" t="s">
        <v>98</v>
      </c>
      <c r="AL75" s="148" t="s">
        <v>99</v>
      </c>
      <c r="AM75" s="148" t="s">
        <v>651</v>
      </c>
    </row>
    <row r="76">
      <c r="A76" s="151" t="str">
        <f>C74</f>
        <v>John Jensen</v>
      </c>
      <c r="B76" s="151" t="str">
        <f>I74</f>
        <v>Y</v>
      </c>
      <c r="C76" s="147">
        <v>1.0</v>
      </c>
      <c r="D76" s="152" t="str">
        <f>IFERROR(__xludf.DUMMYFUNCTION("if(A76="""","""",iferror(filter(Schedule!$M:$M&amp;""-""&amp;Schedule!$N:$N,Schedule!$L:$L=A76,(Schedule!$J:$J="""")+(Schedule!$J:$J=B76),(Schedule!$K:$K=""a"")+(Schedule!$K:$K=""""),Schedule!$M:$M&lt;&gt;""""),""""))"),"")</f>
        <v/>
      </c>
      <c r="E76" s="152" t="str">
        <f>IFERROR(__xludf.DUMMYFUNCTION("if(A76="""","""",iferror(filter(Schedule!$AB:$AB&amp;""-""&amp;Schedule!$AC:$AC,Schedule!$L:$L=A76,(Schedule!$J:$J="""")+(Schedule!$J:$J=B76),(Schedule!$K:$K=""b"")+(Schedule!$K:$K=""""),Schedule!$AB:$AB&lt;&gt;""""),""""))"),"Science 6-6")</f>
        <v>Science 6-6</v>
      </c>
      <c r="F76" s="152" t="str">
        <f>IFERROR(__xludf.DUMMYFUNCTION("if(A76="""","""",iferror(filter(Schedule!$S:$S&amp;""-""&amp;Schedule!$T:$T,Schedule!$L:$L=A76,(Schedule!$J:$J="""")+(Schedule!$J:$J=B76),(Schedule!$K:$K=""a"")+(Schedule!$K:$K=""""),Schedule!$S:$S&lt;&gt;""""),""""))"),"Science 6-2")</f>
        <v>Science 6-2</v>
      </c>
      <c r="G76" s="152" t="str">
        <f>IFERROR(__xludf.DUMMYFUNCTION("if(A76="""","""",iferror(filter(Schedule!$V:$V&amp;""-""&amp;Schedule!$W:$W,Schedule!$L:$L=A76,(Schedule!$J:$J="""")+(Schedule!$J:$J=B76),(Schedule!$K:$K=""a"")+(Schedule!$K:$K=""""),Schedule!$V:$V&lt;&gt;""""),""""))"),"Math 6-3")</f>
        <v>Math 6-3</v>
      </c>
      <c r="H76" s="152" t="str">
        <f>IFERROR(__xludf.DUMMYFUNCTION("if(A76="""","""",iferror(filter(Schedule!$Y:$Y&amp;""-""&amp;Schedule!$Z:$Z,Schedule!$L:$L=A76,(Schedule!$J:$J="""")+(Schedule!$J:$J=B76),(Schedule!$K:$K=""b"")+(Schedule!$K:$K=""""),Schedule!$Y:$Y&lt;&gt;""""),""""))"),"Math 6-5")</f>
        <v>Math 6-5</v>
      </c>
      <c r="I76" s="153">
        <f>if(C74="","", 24-countifs(D76:H80,""))</f>
        <v>16</v>
      </c>
      <c r="J76" s="154"/>
      <c r="K76" s="151" t="str">
        <f>M74</f>
        <v/>
      </c>
      <c r="L76" s="151" t="str">
        <f>S74</f>
        <v/>
      </c>
      <c r="M76" s="147">
        <v>1.0</v>
      </c>
      <c r="N76" s="152" t="str">
        <f>IFERROR(__xludf.DUMMYFUNCTION("if(K76="""","""",iferror(filter(Schedule!$M:$M&amp;""-""&amp;Schedule!$N:$N,Schedule!$L:$L=K76,(Schedule!$J:$J="""")+(Schedule!$J:$J=L76),(Schedule!$K:$K=""a"")+(Schedule!$K:$K=""""),Schedule!$M:$M&lt;&gt;""""),""""))"),"")</f>
        <v/>
      </c>
      <c r="O76" s="152" t="str">
        <f>IFERROR(__xludf.DUMMYFUNCTION("if(K76="""","""",iferror(filter(Schedule!$AB:$AB&amp;""-""&amp;Schedule!$AC:$AC,Schedule!$L:$L=K76,(Schedule!$J:$J="""")+(Schedule!$J:$J=L76),(Schedule!$K:$K=""b"")+(Schedule!$K:$K=""""),Schedule!$AB:$AB&lt;&gt;""""),""""))"),"")</f>
        <v/>
      </c>
      <c r="P76" s="152" t="str">
        <f>IFERROR(__xludf.DUMMYFUNCTION("if(K76="""","""",iferror(filter(Schedule!$S:$S&amp;""-""&amp;Schedule!$T:$T,Schedule!$L:$L=K76,(Schedule!$J:$J="""")+(Schedule!$J:$J=L76),(Schedule!$K:$K=""a"")+(Schedule!$K:$K=""""),Schedule!$S:$S&lt;&gt;""""),""""))"),"")</f>
        <v/>
      </c>
      <c r="Q76" s="152" t="str">
        <f>IFERROR(__xludf.DUMMYFUNCTION("if(K76="""","""",iferror(filter(Schedule!$V:$V&amp;""-""&amp;Schedule!$W:$W,Schedule!$L:$L=K76,(Schedule!$J:$J="""")+(Schedule!$J:$J=L76),(Schedule!$K:$K=""a"")+(Schedule!$K:$K=""""),Schedule!$V:$V&lt;&gt;""""),""""))"),"")</f>
        <v/>
      </c>
      <c r="R76" s="152" t="str">
        <f>IFERROR(__xludf.DUMMYFUNCTION("if(K76="""","""",iferror(filter(Schedule!$Y:$Y&amp;""-""&amp;Schedule!$Z:$Z,Schedule!$L:$L=K76,(Schedule!$J:$J="""")+(Schedule!$J:$J=L76),(Schedule!$K:$K=""b"")+(Schedule!$K:$K=""""),Schedule!$Y:$Y&lt;&gt;""""),""""))"),"")</f>
        <v/>
      </c>
      <c r="S76" s="153" t="str">
        <f>if(K76="","", 24-countifs(N76:R80,""))</f>
        <v/>
      </c>
      <c r="T76" s="155"/>
      <c r="U76" s="155" t="str">
        <f>W74</f>
        <v/>
      </c>
      <c r="V76" s="151" t="str">
        <f>AC74</f>
        <v/>
      </c>
      <c r="W76" s="147">
        <v>1.0</v>
      </c>
      <c r="X76" s="152" t="str">
        <f>IFERROR(__xludf.DUMMYFUNCTION("if(U76="""","""",iferror(filter(Schedule!$M:$M&amp;""-""&amp;Schedule!$N:$N,Schedule!$L:$L=U76,(Schedule!$J:$J="""")+(Schedule!$J:$J=V76),(Schedule!$K:$K=""a"")+(Schedule!$K:$K=""""),Schedule!$M:$M&lt;&gt;""""),""""))"),"")</f>
        <v/>
      </c>
      <c r="Y76" s="152" t="str">
        <f>IFERROR(__xludf.DUMMYFUNCTION("if(U76="""","""",iferror(filter(Schedule!$AB:$AB&amp;""-""&amp;Schedule!$AC:$AC,Schedule!$L:$L=U76,(Schedule!$J:$J="""")+(Schedule!$J:$J=V76),(Schedule!$K:$K=""b"")+(Schedule!$K:$K=""""),Schedule!$AB:$AB&lt;&gt;""""),""""))"),"")</f>
        <v/>
      </c>
      <c r="Z76" s="152" t="str">
        <f>IFERROR(__xludf.DUMMYFUNCTION("if(U76="""","""",iferror(filter(Schedule!$S:$S&amp;""-""&amp;Schedule!$T:$T,Schedule!$L:$L=U76,(Schedule!$J:$J="""")+(Schedule!$J:$J=V76),(Schedule!$K:$K=""a"")+(Schedule!$K:$K=""""),Schedule!$S:$S&lt;&gt;""""),""""))"),"")</f>
        <v/>
      </c>
      <c r="AA76" s="152" t="str">
        <f>IFERROR(__xludf.DUMMYFUNCTION("if(U76="""","""",iferror(filter(Schedule!$V:$V&amp;""-""&amp;Schedule!$W:$W,Schedule!$L:$L=U76,(Schedule!$J:$J="""")+(Schedule!$J:$J=V76),(Schedule!$K:$K=""a"")+(Schedule!$K:$K=""""),Schedule!$V:$V&lt;&gt;""""),""""))"),"")</f>
        <v/>
      </c>
      <c r="AB76" s="152" t="str">
        <f>IFERROR(__xludf.DUMMYFUNCTION("if(U76="""","""",iferror(filter(Schedule!$Y:$Y&amp;""-""&amp;Schedule!$Z:$Z,Schedule!$L:$L=U76,(Schedule!$J:$J="""")+(Schedule!$J:$J=V76),(Schedule!$K:$K=""b"")+(Schedule!$K:$K=""""),Schedule!$Y:$Y&lt;&gt;""""),""""))"),"")</f>
        <v/>
      </c>
      <c r="AC76" s="153" t="str">
        <f>if(U76="","", 24-countifs(X76:AB80,""))</f>
        <v/>
      </c>
      <c r="AD76" s="155"/>
      <c r="AE76" s="155" t="str">
        <f>AG74</f>
        <v/>
      </c>
      <c r="AF76" s="151" t="str">
        <f>AM74</f>
        <v/>
      </c>
      <c r="AG76" s="147">
        <v>1.0</v>
      </c>
      <c r="AH76" s="152" t="str">
        <f>IFERROR(__xludf.DUMMYFUNCTION("if(AE76="""","""",iferror(filter(Schedule!$M:$M&amp;""-""&amp;Schedule!$N:$N,Schedule!$L:$L=AE76,(Schedule!$J:$J="""")+(Schedule!$J:$J=AF76),(Schedule!$K:$K=""a"")+(Schedule!$K:$K=""""),Schedule!$M:$M&lt;&gt;""""),""""))"),"")</f>
        <v/>
      </c>
      <c r="AI76" s="152" t="str">
        <f>IFERROR(__xludf.DUMMYFUNCTION("if(AE76="""","""",iferror(filter(Schedule!$AB:$AB&amp;""-""&amp;Schedule!$AC:$AC,Schedule!$L:$L=AE76,(Schedule!$J:$J="""")+(Schedule!$J:$J=AF76),(Schedule!$K:$K=""b"")+(Schedule!$K:$K=""""),Schedule!$AB:$AB&lt;&gt;""""),""""))"),"")</f>
        <v/>
      </c>
      <c r="AJ76" s="152" t="str">
        <f>IFERROR(__xludf.DUMMYFUNCTION("if(AE76="""","""",iferror(filter(Schedule!$S:$S&amp;""-""&amp;Schedule!$T:$T,Schedule!$L:$L=AE76,(Schedule!$J:$J="""")+(Schedule!$J:$J=AF76),(Schedule!$K:$K=""a"")+(Schedule!$K:$K=""""),Schedule!$S:$S&lt;&gt;""""),""""))"),"")</f>
        <v/>
      </c>
      <c r="AK76" s="152" t="str">
        <f>IFERROR(__xludf.DUMMYFUNCTION("if(AE76="""","""",iferror(filter(Schedule!$V:$V&amp;""-""&amp;Schedule!$W:$W,Schedule!$L:$L=AE76,(Schedule!$J:$J="""")+(Schedule!$J:$J=AF76),(Schedule!$K:$K=""a"")+(Schedule!$K:$K=""""),Schedule!$V:$V&lt;&gt;""""),""""))"),"")</f>
        <v/>
      </c>
      <c r="AL76" s="152" t="str">
        <f>IFERROR(__xludf.DUMMYFUNCTION("if(AE76="""","""",iferror(filter(Schedule!$Y:$Y&amp;""-""&amp;Schedule!$Z:$Z,Schedule!$L:$L=AE76,(Schedule!$J:$J="""")+(Schedule!$J:$J=AF76),(Schedule!$K:$K=""b"")+(Schedule!$K:$K=""""),Schedule!$Y:$Y&lt;&gt;""""),""""))"),"")</f>
        <v/>
      </c>
      <c r="AM76" s="153" t="str">
        <f>if(AE76="","", 24-countifs(AH76:AL80,""))</f>
        <v/>
      </c>
    </row>
    <row r="77">
      <c r="A77" s="151" t="str">
        <f>C74</f>
        <v>John Jensen</v>
      </c>
      <c r="B77" s="151" t="str">
        <f>I74</f>
        <v>Y</v>
      </c>
      <c r="C77" s="147">
        <v>2.0</v>
      </c>
      <c r="D77" s="152" t="str">
        <f>IFERROR(__xludf.DUMMYFUNCTION("if(A77="""","""",iferror(filter(Schedule!$P:$P&amp;""-""&amp;Schedule!$Q:$Q,Schedule!$L:$L=A77,(Schedule!$J:$J="""")+(Schedule!$J:$J=B77),(Schedule!$K:$K=""a"")+(Schedule!$K:$K=""""),Schedule!$P:$P&lt;&gt;""""),""""))"),"")</f>
        <v/>
      </c>
      <c r="E77" s="152" t="str">
        <f>IFERROR(__xludf.DUMMYFUNCTION("if(A77="""","""",iferror(filter(Schedule!$Y:$Y&amp;""-""&amp;Schedule!$Z:$Z,Schedule!$L:$L=A77,(Schedule!$J:$J="""")+(Schedule!$J:$J=B77),(Schedule!$K:$K=""b"")+(Schedule!$K:$K=""""),Schedule!$Y:$Y&lt;&gt;""""),""""))"),"Math 6-5")</f>
        <v>Math 6-5</v>
      </c>
      <c r="F77" s="152" t="str">
        <f>IFERROR(__xludf.DUMMYFUNCTION("if(A77="""","""",iferror(filter(Schedule!$P:$P&amp;""-""&amp;Schedule!$Q:$Q,Schedule!$L:$L=A77,(Schedule!$J:$J="""")+(Schedule!$J:$J=B77),(Schedule!$K:$K=""a"")+(Schedule!$K:$K=""""),Schedule!$P:$P&lt;&gt;""""),""""))"),"")</f>
        <v/>
      </c>
      <c r="G77" s="152" t="str">
        <f>IFERROR(__xludf.DUMMYFUNCTION("if(A77="""","""",iferror(filter(Schedule!$M:$M&amp;""-""&amp;Schedule!$N:$N,Schedule!$L:$L=A77,(Schedule!$J:$J="""")+(Schedule!$J:$J=B77),(Schedule!$K:$K=""a"")+(Schedule!$K:$K=""""),Schedule!$M:$M&lt;&gt;""""),""""))"),"")</f>
        <v/>
      </c>
      <c r="H77" s="152" t="str">
        <f>IFERROR(__xludf.DUMMYFUNCTION("if(A77="""","""",iferror(filter(Schedule!$AB:$AB&amp;""-""&amp;Schedule!$AC:$AC,Schedule!$L:$L=A77,(Schedule!$J:$J="""")+(Schedule!$J:$J=B77),(Schedule!$K:$K=""a"")+(Schedule!$K:$K=""""),Schedule!$AB:$AB&lt;&gt;""""),""""))"),"Science 6-6")</f>
        <v>Science 6-6</v>
      </c>
      <c r="I77" s="60"/>
      <c r="J77" s="154"/>
      <c r="K77" s="151" t="str">
        <f>M74</f>
        <v/>
      </c>
      <c r="L77" s="151" t="str">
        <f>S74</f>
        <v/>
      </c>
      <c r="M77" s="147">
        <v>2.0</v>
      </c>
      <c r="N77" s="152" t="str">
        <f>IFERROR(__xludf.DUMMYFUNCTION("if(K77="""","""",iferror(filter(Schedule!$P:$P&amp;""-""&amp;Schedule!$Q:$Q,Schedule!$L:$L=K77,(Schedule!$J:$J="""")+(Schedule!$J:$J=L77),(Schedule!$K:$K=""a"")+(Schedule!$K:$K=""""),Schedule!$P:$P&lt;&gt;""""),""""))"),"")</f>
        <v/>
      </c>
      <c r="O77" s="152" t="str">
        <f>IFERROR(__xludf.DUMMYFUNCTION("if(K77="""","""",iferror(filter(Schedule!$Y:$Y&amp;""-""&amp;Schedule!$Z:$Z,Schedule!$L:$L=K77,(Schedule!$J:$J="""")+(Schedule!$J:$J=L77),(Schedule!$K:$K=""b"")+(Schedule!$K:$K=""""),Schedule!$Y:$Y&lt;&gt;""""),""""))"),"")</f>
        <v/>
      </c>
      <c r="P77" s="152" t="str">
        <f>IFERROR(__xludf.DUMMYFUNCTION("if(K77="""","""",iferror(filter(Schedule!$P:$P&amp;""-""&amp;Schedule!$Q:$Q,Schedule!$L:$L=K77,(Schedule!$J:$J="""")+(Schedule!$J:$J=L77),(Schedule!$K:$K=""a"")+(Schedule!$K:$K=""""),Schedule!$P:$P&lt;&gt;""""),""""))"),"")</f>
        <v/>
      </c>
      <c r="Q77" s="152" t="str">
        <f>IFERROR(__xludf.DUMMYFUNCTION("if(K77="""","""",iferror(filter(Schedule!$M:$M&amp;""-""&amp;Schedule!$N:$N,Schedule!$L:$L=K77,(Schedule!$J:$J="""")+(Schedule!$J:$J=L77),(Schedule!$K:$K=""a"")+(Schedule!$K:$K=""""),Schedule!$M:$M&lt;&gt;""""),""""))"),"")</f>
        <v/>
      </c>
      <c r="R77" s="152" t="str">
        <f>IFERROR(__xludf.DUMMYFUNCTION("if(K77="""","""",iferror(filter(Schedule!$AB:$AB&amp;""-""&amp;Schedule!$AC:$AC,Schedule!$L:$L=K77,(Schedule!$J:$J="""")+(Schedule!$J:$J=L77),(Schedule!$K:$K=""a"")+(Schedule!$K:$K=""""),Schedule!$AB:$AB&lt;&gt;""""),""""))"),"")</f>
        <v/>
      </c>
      <c r="S77" s="60"/>
      <c r="T77" s="155"/>
      <c r="U77" s="155" t="str">
        <f>W74</f>
        <v/>
      </c>
      <c r="V77" s="151" t="str">
        <f>AC74</f>
        <v/>
      </c>
      <c r="W77" s="147">
        <v>2.0</v>
      </c>
      <c r="X77" s="152" t="str">
        <f>IFERROR(__xludf.DUMMYFUNCTION("if(U77="""","""",iferror(filter(Schedule!$P:$P&amp;""-""&amp;Schedule!$Q:$Q,Schedule!$L:$L=U77,(Schedule!$J:$J="""")+(Schedule!$J:$J=V77),(Schedule!$K:$K=""a"")+(Schedule!$K:$K=""""),Schedule!$P:$P&lt;&gt;""""),""""))"),"")</f>
        <v/>
      </c>
      <c r="Y77" s="152" t="str">
        <f>IFERROR(__xludf.DUMMYFUNCTION("if(U77="""","""",iferror(filter(Schedule!$Y:$Y&amp;""-""&amp;Schedule!$Z:$Z,Schedule!$L:$L=U77,(Schedule!$J:$J="""")+(Schedule!$J:$J=V77),(Schedule!$K:$K=""b"")+(Schedule!$K:$K=""""),Schedule!$Y:$Y&lt;&gt;""""),""""))"),"")</f>
        <v/>
      </c>
      <c r="Z77" s="152" t="str">
        <f>IFERROR(__xludf.DUMMYFUNCTION("if(U77="""","""",iferror(filter(Schedule!$P:$P&amp;""-""&amp;Schedule!$Q:$Q,Schedule!$L:$L=U77,(Schedule!$J:$J="""")+(Schedule!$J:$J=V77),(Schedule!$K:$K=""a"")+(Schedule!$K:$K=""""),Schedule!$P:$P&lt;&gt;""""),""""))"),"")</f>
        <v/>
      </c>
      <c r="AA77" s="152" t="str">
        <f>IFERROR(__xludf.DUMMYFUNCTION("if(U77="""","""",iferror(filter(Schedule!$M:$M&amp;""-""&amp;Schedule!$N:$N,Schedule!$L:$L=U77,(Schedule!$J:$J="""")+(Schedule!$J:$J=V77),(Schedule!$K:$K=""a"")+(Schedule!$K:$K=""""),Schedule!$M:$M&lt;&gt;""""),""""))"),"")</f>
        <v/>
      </c>
      <c r="AB77" s="152" t="str">
        <f>IFERROR(__xludf.DUMMYFUNCTION("if(U77="""","""",iferror(filter(Schedule!$AB:$AB&amp;""-""&amp;Schedule!$AC:$AC,Schedule!$L:$L=U77,(Schedule!$J:$J="""")+(Schedule!$J:$J=V77),(Schedule!$K:$K=""a"")+(Schedule!$K:$K=""""),Schedule!$AB:$AB&lt;&gt;""""),""""))"),"")</f>
        <v/>
      </c>
      <c r="AC77" s="60"/>
      <c r="AD77" s="155"/>
      <c r="AE77" s="155" t="str">
        <f>AG74</f>
        <v/>
      </c>
      <c r="AF77" s="151" t="str">
        <f>AM74</f>
        <v/>
      </c>
      <c r="AG77" s="147">
        <v>2.0</v>
      </c>
      <c r="AH77" s="152" t="str">
        <f>IFERROR(__xludf.DUMMYFUNCTION("if(AE77="""","""",iferror(filter(Schedule!$P:$P&amp;""-""&amp;Schedule!$Q:$Q,Schedule!$L:$L=AE77,(Schedule!$J:$J="""")+(Schedule!$J:$J=AF77),(Schedule!$K:$K=""a"")+(Schedule!$K:$K=""""),Schedule!$P:$P&lt;&gt;""""),""""))"),"")</f>
        <v/>
      </c>
      <c r="AI77" s="152" t="str">
        <f>IFERROR(__xludf.DUMMYFUNCTION("if(AE77="""","""",iferror(filter(Schedule!$Y:$Y&amp;""-""&amp;Schedule!$Z:$Z,Schedule!$L:$L=AE77,(Schedule!$J:$J="""")+(Schedule!$J:$J=AF77),(Schedule!$K:$K=""b"")+(Schedule!$K:$K=""""),Schedule!$Y:$Y&lt;&gt;""""),""""))"),"")</f>
        <v/>
      </c>
      <c r="AJ77" s="152" t="str">
        <f>IFERROR(__xludf.DUMMYFUNCTION("if(AE77="""","""",iferror(filter(Schedule!$P:$P&amp;""-""&amp;Schedule!$Q:$Q,Schedule!$L:$L=AE77,(Schedule!$J:$J="""")+(Schedule!$J:$J=AF77),(Schedule!$K:$K=""a"")+(Schedule!$K:$K=""""),Schedule!$P:$P&lt;&gt;""""),""""))"),"")</f>
        <v/>
      </c>
      <c r="AK77" s="152" t="str">
        <f>IFERROR(__xludf.DUMMYFUNCTION("if(AE77="""","""",iferror(filter(Schedule!$M:$M&amp;""-""&amp;Schedule!$N:$N,Schedule!$L:$L=AE77,(Schedule!$J:$J="""")+(Schedule!$J:$J=AF77),(Schedule!$K:$K=""a"")+(Schedule!$K:$K=""""),Schedule!$M:$M&lt;&gt;""""),""""))"),"")</f>
        <v/>
      </c>
      <c r="AL77" s="152" t="str">
        <f>IFERROR(__xludf.DUMMYFUNCTION("if(AE77="""","""",iferror(filter(Schedule!$AB:$AB&amp;""-""&amp;Schedule!$AC:$AC,Schedule!$L:$L=AE77,(Schedule!$J:$J="""")+(Schedule!$J:$J=AF77),(Schedule!$K:$K=""a"")+(Schedule!$K:$K=""""),Schedule!$AB:$AB&lt;&gt;""""),""""))"),"")</f>
        <v/>
      </c>
      <c r="AM77" s="60"/>
    </row>
    <row r="78">
      <c r="A78" s="151" t="str">
        <f>C74</f>
        <v>John Jensen</v>
      </c>
      <c r="B78" s="151" t="str">
        <f>I74</f>
        <v>Y</v>
      </c>
      <c r="C78" s="147">
        <v>3.0</v>
      </c>
      <c r="D78" s="152" t="str">
        <f>IFERROR(__xludf.DUMMYFUNCTION("if(A78="""","""",iferror(filter(Schedule!$S:$S&amp;""-""&amp;Schedule!$T:$T,Schedule!$L:$L=A78,(Schedule!$J:$J="""")+(Schedule!$J:$J=B78),(Schedule!$K:$K=""a"")+(Schedule!$K:$K=""""),Schedule!$S:$S&lt;&gt;""""),""""))"),"Science 6-2")</f>
        <v>Science 6-2</v>
      </c>
      <c r="E78" s="152" t="str">
        <f>IFERROR(__xludf.DUMMYFUNCTION("if(A78="""","""",iferror(filter(Schedule!$S:$S&amp;""-""&amp;Schedule!$T:$T,Schedule!$L:$L=A78,(Schedule!$J:$J="""")+(Schedule!$J:$J=B78),(Schedule!$K:$K=""b"")+(Schedule!$K:$K=""""),Schedule!$S:$S&lt;&gt;""""),""""))"),"Science 6-2")</f>
        <v>Science 6-2</v>
      </c>
      <c r="F78" s="152" t="str">
        <f>IFERROR(__xludf.DUMMYFUNCTION("if(A78="""","""",iferror(filter(Schedule!$Y:$Y&amp;""-""&amp;Schedule!$Z:$Z,Schedule!$L:$L=A78,(Schedule!$J:$J="""")+(Schedule!$J:$J=B78),(Schedule!$K:$K=""a"")+(Schedule!$K:$K=""""),Schedule!$Y:$Y&lt;&gt;""""),""""))"),"Math 6-5")</f>
        <v>Math 6-5</v>
      </c>
      <c r="G78" s="152" t="str">
        <f>IFERROR(__xludf.DUMMYFUNCTION("if(A78="""","""",iferror(filter(Schedule!$P:$P&amp;""-""&amp;Schedule!$Q:$Q,Schedule!$L:$L=A78,(Schedule!$J:$J="""")+(Schedule!$J:$J=B78),(Schedule!$K:$K=""b"")+(Schedule!$K:$K=""""),Schedule!$P:$P&lt;&gt;""""),""""))"),"")</f>
        <v/>
      </c>
      <c r="H78" s="152" t="str">
        <f>if(C74="","","X-Block")</f>
        <v>X-Block</v>
      </c>
      <c r="I78" s="60"/>
      <c r="J78" s="154"/>
      <c r="K78" s="151" t="str">
        <f>M74</f>
        <v/>
      </c>
      <c r="L78" s="151" t="str">
        <f>S74</f>
        <v/>
      </c>
      <c r="M78" s="147">
        <v>3.0</v>
      </c>
      <c r="N78" s="152" t="str">
        <f>IFERROR(__xludf.DUMMYFUNCTION("if(K78="""","""",iferror(filter(Schedule!$S:$S&amp;""-""&amp;Schedule!$T:$T,Schedule!$L:$L=K78,(Schedule!$J:$J="""")+(Schedule!$J:$J=L78),(Schedule!$K:$K=""a"")+(Schedule!$K:$K=""""),Schedule!$S:$S&lt;&gt;""""),""""))"),"")</f>
        <v/>
      </c>
      <c r="O78" s="152" t="str">
        <f>IFERROR(__xludf.DUMMYFUNCTION("if(K78="""","""",iferror(filter(Schedule!$S:$S&amp;""-""&amp;Schedule!$T:$T,Schedule!$L:$L=K78,(Schedule!$J:$J="""")+(Schedule!$J:$J=L78),(Schedule!$K:$K=""b"")+(Schedule!$K:$K=""""),Schedule!$S:$S&lt;&gt;""""),""""))"),"")</f>
        <v/>
      </c>
      <c r="P78" s="152" t="str">
        <f>IFERROR(__xludf.DUMMYFUNCTION("if(K78="""","""",iferror(filter(Schedule!$Y:$Y&amp;""-""&amp;Schedule!$Z:$Z,Schedule!$L:$L=K78,(Schedule!$J:$J="""")+(Schedule!$J:$J=L78),(Schedule!$K:$K=""a"")+(Schedule!$K:$K=""""),Schedule!$Y:$Y&lt;&gt;""""),""""))"),"")</f>
        <v/>
      </c>
      <c r="Q78" s="152" t="str">
        <f>IFERROR(__xludf.DUMMYFUNCTION("if(K78="""","""",iferror(filter(Schedule!$P:$P&amp;""-""&amp;Schedule!$Q:$Q,Schedule!$L:$L=K78,(Schedule!$J:$J="""")+(Schedule!$J:$J=L78),(Schedule!$K:$K=""b"")+(Schedule!$K:$K=""""),Schedule!$P:$P&lt;&gt;""""),""""))"),"")</f>
        <v/>
      </c>
      <c r="R78" s="152" t="str">
        <f>if(M74="","","X-Block")</f>
        <v/>
      </c>
      <c r="S78" s="60"/>
      <c r="T78" s="155"/>
      <c r="U78" s="155" t="str">
        <f>W74</f>
        <v/>
      </c>
      <c r="V78" s="151" t="str">
        <f>AC74</f>
        <v/>
      </c>
      <c r="W78" s="147">
        <v>3.0</v>
      </c>
      <c r="X78" s="152" t="str">
        <f>IFERROR(__xludf.DUMMYFUNCTION("if(U78="""","""",iferror(filter(Schedule!$S:$S&amp;""-""&amp;Schedule!$T:$T,Schedule!$L:$L=U78,(Schedule!$J:$J="""")+(Schedule!$J:$J=V78),(Schedule!$K:$K=""a"")+(Schedule!$K:$K=""""),Schedule!$S:$S&lt;&gt;""""),""""))"),"")</f>
        <v/>
      </c>
      <c r="Y78" s="152" t="str">
        <f>IFERROR(__xludf.DUMMYFUNCTION("if(U78="""","""",iferror(filter(Schedule!$S:$S&amp;""-""&amp;Schedule!$T:$T,Schedule!$L:$L=U78,(Schedule!$J:$J="""")+(Schedule!$J:$J=V78),(Schedule!$K:$K=""b"")+(Schedule!$K:$K=""""),Schedule!$S:$S&lt;&gt;""""),""""))"),"")</f>
        <v/>
      </c>
      <c r="Z78" s="152" t="str">
        <f>IFERROR(__xludf.DUMMYFUNCTION("if(U78="""","""",iferror(filter(Schedule!$Y:$Y&amp;""-""&amp;Schedule!$Z:$Z,Schedule!$L:$L=U78,(Schedule!$J:$J="""")+(Schedule!$J:$J=V78),(Schedule!$K:$K=""a"")+(Schedule!$K:$K=""""),Schedule!$Y:$Y&lt;&gt;""""),""""))"),"")</f>
        <v/>
      </c>
      <c r="AA78" s="152" t="str">
        <f>IFERROR(__xludf.DUMMYFUNCTION("if(U78="""","""",iferror(filter(Schedule!$P:$P&amp;""-""&amp;Schedule!$Q:$Q,Schedule!$L:$L=U78,(Schedule!$J:$J="""")+(Schedule!$J:$J=V78),(Schedule!$K:$K=""b"")+(Schedule!$K:$K=""""),Schedule!$P:$P&lt;&gt;""""),""""))"),"")</f>
        <v/>
      </c>
      <c r="AB78" s="152" t="str">
        <f>if(W74="","","X-Block")</f>
        <v/>
      </c>
      <c r="AC78" s="60"/>
      <c r="AD78" s="155"/>
      <c r="AE78" s="155" t="str">
        <f>AG74</f>
        <v/>
      </c>
      <c r="AF78" s="151" t="str">
        <f>AM74</f>
        <v/>
      </c>
      <c r="AG78" s="147">
        <v>3.0</v>
      </c>
      <c r="AH78" s="152" t="str">
        <f>IFERROR(__xludf.DUMMYFUNCTION("if(AE78="""","""",iferror(filter(Schedule!$S:$S&amp;""-""&amp;Schedule!$T:$T,Schedule!$L:$L=AE78,(Schedule!$J:$J="""")+(Schedule!$J:$J=AF78),(Schedule!$K:$K=""a"")+(Schedule!$K:$K=""""),Schedule!$S:$S&lt;&gt;""""),""""))"),"")</f>
        <v/>
      </c>
      <c r="AI78" s="152" t="str">
        <f>IFERROR(__xludf.DUMMYFUNCTION("if(AE78="""","""",iferror(filter(Schedule!$S:$S&amp;""-""&amp;Schedule!$T:$T,Schedule!$L:$L=AE78,(Schedule!$J:$J="""")+(Schedule!$J:$J=AF78),(Schedule!$K:$K=""b"")+(Schedule!$K:$K=""""),Schedule!$S:$S&lt;&gt;""""),""""))"),"")</f>
        <v/>
      </c>
      <c r="AJ78" s="152" t="str">
        <f>IFERROR(__xludf.DUMMYFUNCTION("if(AE78="""","""",iferror(filter(Schedule!$Y:$Y&amp;""-""&amp;Schedule!$Z:$Z,Schedule!$L:$L=AE78,(Schedule!$J:$J="""")+(Schedule!$J:$J=AF78),(Schedule!$K:$K=""a"")+(Schedule!$K:$K=""""),Schedule!$Y:$Y&lt;&gt;""""),""""))"),"")</f>
        <v/>
      </c>
      <c r="AK78" s="152" t="str">
        <f>IFERROR(__xludf.DUMMYFUNCTION("if(AE78="""","""",iferror(filter(Schedule!$P:$P&amp;""-""&amp;Schedule!$Q:$Q,Schedule!$L:$L=AE78,(Schedule!$J:$J="""")+(Schedule!$J:$J=AF78),(Schedule!$K:$K=""b"")+(Schedule!$K:$K=""""),Schedule!$P:$P&lt;&gt;""""),""""))"),"")</f>
        <v/>
      </c>
      <c r="AL78" s="152" t="str">
        <f>if(AG74="","","X-Block")</f>
        <v/>
      </c>
      <c r="AM78" s="60"/>
    </row>
    <row r="79">
      <c r="A79" s="151" t="str">
        <f>C74</f>
        <v>John Jensen</v>
      </c>
      <c r="B79" s="151" t="str">
        <f>I74</f>
        <v>Y</v>
      </c>
      <c r="C79" s="147">
        <v>4.0</v>
      </c>
      <c r="D79" s="152" t="str">
        <f>IFERROR(__xludf.DUMMYFUNCTION("if(A79="""","""",iferror(filter(Schedule!$V:$V&amp;""-""&amp;Schedule!$W:$W,Schedule!$L:$L=A79,(Schedule!$J:$J="""")+(Schedule!$J:$J=B79),(Schedule!$K:$K=""a"")+(Schedule!$K:$K=""""),Schedule!$V:$V&lt;&gt;""""),""""))"),"Math 6-3")</f>
        <v>Math 6-3</v>
      </c>
      <c r="E79" s="152" t="str">
        <f>IFERROR(__xludf.DUMMYFUNCTION("if(A79="""","""",iferror(filter(Schedule!$M:$M&amp;""-""&amp;Schedule!$N:$N,Schedule!$L:$L=A79,(Schedule!$J:$J="""")+(Schedule!$J:$J=B79),(Schedule!$K:$K=""b"")+(Schedule!$K:$K=""""),Schedule!$M:$M&lt;&gt;""""),""""))"),"")</f>
        <v/>
      </c>
      <c r="F79" s="152" t="str">
        <f>IFERROR(__xludf.DUMMYFUNCTION("if(A79="""","""",iferror(filter(Schedule!$AB:$AB&amp;""-""&amp;Schedule!$AC:$AC,Schedule!$L:$L=A79,(Schedule!$J:$J="""")+(Schedule!$J:$J=B79),(Schedule!$K:$K=""a"")+(Schedule!$K:$K=""""),Schedule!$AB:$AB&lt;&gt;""""),""""))"),"Science 6-6")</f>
        <v>Science 6-6</v>
      </c>
      <c r="G79" s="152" t="str">
        <f>IFERROR(__xludf.DUMMYFUNCTION("if(A79="""","""",iferror(filter(Schedule!$S:$S&amp;""-""&amp;Schedule!$T:$T,Schedule!$L:$L=A79,(Schedule!$J:$J="""")+(Schedule!$J:$J=B79),(Schedule!$K:$K=""b"")+(Schedule!$K:$K=""""),Schedule!$S:$S&lt;&gt;""""),""""))"),"Science 6-2")</f>
        <v>Science 6-2</v>
      </c>
      <c r="H79" s="152" t="str">
        <f>IFERROR(__xludf.DUMMYFUNCTION("if(A79="""","""",iferror(filter(Schedule!$V:$V&amp;""-""&amp;Schedule!$W:$W,Schedule!$L:$L=A79,(Schedule!$J:$J="""")+(Schedule!$J:$J=B79),(Schedule!$K:$K=""b"")+(Schedule!$K:$K=""""),Schedule!$V:$V&lt;&gt;""""),""""))"),"Math 6-3")</f>
        <v>Math 6-3</v>
      </c>
      <c r="I79" s="60"/>
      <c r="J79" s="154"/>
      <c r="K79" s="151" t="str">
        <f>M74</f>
        <v/>
      </c>
      <c r="L79" s="151" t="str">
        <f>S74</f>
        <v/>
      </c>
      <c r="M79" s="147">
        <v>4.0</v>
      </c>
      <c r="N79" s="152" t="str">
        <f>IFERROR(__xludf.DUMMYFUNCTION("if(K79="""","""",iferror(filter(Schedule!$V:$V&amp;""-""&amp;Schedule!$W:$W,Schedule!$L:$L=K79,(Schedule!$J:$J="""")+(Schedule!$J:$J=L79),(Schedule!$K:$K=""a"")+(Schedule!$K:$K=""""),Schedule!$V:$V&lt;&gt;""""),""""))"),"")</f>
        <v/>
      </c>
      <c r="O79" s="152" t="str">
        <f>IFERROR(__xludf.DUMMYFUNCTION("if(K79="""","""",iferror(filter(Schedule!$M:$M&amp;""-""&amp;Schedule!$N:$N,Schedule!$L:$L=K79,(Schedule!$J:$J="""")+(Schedule!$J:$J=L79),(Schedule!$K:$K=""b"")+(Schedule!$K:$K=""""),Schedule!$M:$M&lt;&gt;""""),""""))"),"")</f>
        <v/>
      </c>
      <c r="P79" s="152" t="str">
        <f>IFERROR(__xludf.DUMMYFUNCTION("if(K79="""","""",iferror(filter(Schedule!$AB:$AB&amp;""-""&amp;Schedule!$AC:$AC,Schedule!$L:$L=K79,(Schedule!$J:$J="""")+(Schedule!$J:$J=L79),(Schedule!$K:$K=""a"")+(Schedule!$K:$K=""""),Schedule!$AB:$AB&lt;&gt;""""),""""))"),"")</f>
        <v/>
      </c>
      <c r="Q79" s="152" t="str">
        <f>IFERROR(__xludf.DUMMYFUNCTION("if(K79="""","""",iferror(filter(Schedule!$S:$S&amp;""-""&amp;Schedule!$T:$T,Schedule!$L:$L=K79,(Schedule!$J:$J="""")+(Schedule!$J:$J=L79),(Schedule!$K:$K=""b"")+(Schedule!$K:$K=""""),Schedule!$S:$S&lt;&gt;""""),""""))"),"")</f>
        <v/>
      </c>
      <c r="R79" s="152" t="str">
        <f>IFERROR(__xludf.DUMMYFUNCTION("if(K79="""","""",iferror(filter(Schedule!$V:$V&amp;""-""&amp;Schedule!$W:$W,Schedule!$L:$L=K79,(Schedule!$J:$J="""")+(Schedule!$J:$J=L79),(Schedule!$K:$K=""b"")+(Schedule!$K:$K=""""),Schedule!$V:$V&lt;&gt;""""),""""))"),"")</f>
        <v/>
      </c>
      <c r="S79" s="60"/>
      <c r="T79" s="155"/>
      <c r="U79" s="155" t="str">
        <f>W74</f>
        <v/>
      </c>
      <c r="V79" s="151" t="str">
        <f>AC74</f>
        <v/>
      </c>
      <c r="W79" s="147">
        <v>4.0</v>
      </c>
      <c r="X79" s="152" t="str">
        <f>IFERROR(__xludf.DUMMYFUNCTION("if(U79="""","""",iferror(filter(Schedule!$V:$V&amp;""-""&amp;Schedule!$W:$W,Schedule!$L:$L=U79,(Schedule!$J:$J="""")+(Schedule!$J:$J=V79),(Schedule!$K:$K=""a"")+(Schedule!$K:$K=""""),Schedule!$V:$V&lt;&gt;""""),""""))"),"")</f>
        <v/>
      </c>
      <c r="Y79" s="152" t="str">
        <f>IFERROR(__xludf.DUMMYFUNCTION("if(U79="""","""",iferror(filter(Schedule!$M:$M&amp;""-""&amp;Schedule!$N:$N,Schedule!$L:$L=U79,(Schedule!$J:$J="""")+(Schedule!$J:$J=V79),(Schedule!$K:$K=""b"")+(Schedule!$K:$K=""""),Schedule!$M:$M&lt;&gt;""""),""""))"),"")</f>
        <v/>
      </c>
      <c r="Z79" s="152" t="str">
        <f>IFERROR(__xludf.DUMMYFUNCTION("if(U79="""","""",iferror(filter(Schedule!$AB:$AB&amp;""-""&amp;Schedule!$AC:$AC,Schedule!$L:$L=U79,(Schedule!$J:$J="""")+(Schedule!$J:$J=V79),(Schedule!$K:$K=""a"")+(Schedule!$K:$K=""""),Schedule!$AB:$AB&lt;&gt;""""),""""))"),"")</f>
        <v/>
      </c>
      <c r="AA79" s="152" t="str">
        <f>IFERROR(__xludf.DUMMYFUNCTION("if(U79="""","""",iferror(filter(Schedule!$S:$S&amp;""-""&amp;Schedule!$T:$T,Schedule!$L:$L=U79,(Schedule!$J:$J="""")+(Schedule!$J:$J=V79),(Schedule!$K:$K=""b"")+(Schedule!$K:$K=""""),Schedule!$S:$S&lt;&gt;""""),""""))"),"")</f>
        <v/>
      </c>
      <c r="AB79" s="152" t="str">
        <f>IFERROR(__xludf.DUMMYFUNCTION("if(U79="""","""",iferror(filter(Schedule!$V:$V&amp;""-""&amp;Schedule!$W:$W,Schedule!$L:$L=U79,(Schedule!$J:$J="""")+(Schedule!$J:$J=V79),(Schedule!$K:$K=""b"")+(Schedule!$K:$K=""""),Schedule!$V:$V&lt;&gt;""""),""""))"),"")</f>
        <v/>
      </c>
      <c r="AC79" s="60"/>
      <c r="AD79" s="155"/>
      <c r="AE79" s="155" t="str">
        <f>AG74</f>
        <v/>
      </c>
      <c r="AF79" s="151" t="str">
        <f>AM74</f>
        <v/>
      </c>
      <c r="AG79" s="147">
        <v>4.0</v>
      </c>
      <c r="AH79" s="152" t="str">
        <f>IFERROR(__xludf.DUMMYFUNCTION("if(AE79="""","""",iferror(filter(Schedule!$V:$V&amp;""-""&amp;Schedule!$W:$W,Schedule!$L:$L=AE79,(Schedule!$J:$J="""")+(Schedule!$J:$J=AF79),(Schedule!$K:$K=""a"")+(Schedule!$K:$K=""""),Schedule!$V:$V&lt;&gt;""""),""""))"),"")</f>
        <v/>
      </c>
      <c r="AI79" s="152" t="str">
        <f>IFERROR(__xludf.DUMMYFUNCTION("if(AE79="""","""",iferror(filter(Schedule!$M:$M&amp;""-""&amp;Schedule!$N:$N,Schedule!$L:$L=AE79,(Schedule!$J:$J="""")+(Schedule!$J:$J=AF79),(Schedule!$K:$K=""b"")+(Schedule!$K:$K=""""),Schedule!$M:$M&lt;&gt;""""),""""))"),"")</f>
        <v/>
      </c>
      <c r="AJ79" s="152" t="str">
        <f>IFERROR(__xludf.DUMMYFUNCTION("if(AE79="""","""",iferror(filter(Schedule!$AB:$AB&amp;""-""&amp;Schedule!$AC:$AC,Schedule!$L:$L=AE79,(Schedule!$J:$J="""")+(Schedule!$J:$J=AF79),(Schedule!$K:$K=""a"")+(Schedule!$K:$K=""""),Schedule!$AB:$AB&lt;&gt;""""),""""))"),"")</f>
        <v/>
      </c>
      <c r="AK79" s="152" t="str">
        <f>IFERROR(__xludf.DUMMYFUNCTION("if(AE79="""","""",iferror(filter(Schedule!$S:$S&amp;""-""&amp;Schedule!$T:$T,Schedule!$L:$L=AE79,(Schedule!$J:$J="""")+(Schedule!$J:$J=AF79),(Schedule!$K:$K=""b"")+(Schedule!$K:$K=""""),Schedule!$S:$S&lt;&gt;""""),""""))"),"")</f>
        <v/>
      </c>
      <c r="AL79" s="152" t="str">
        <f>IFERROR(__xludf.DUMMYFUNCTION("if(AE79="""","""",iferror(filter(Schedule!$V:$V&amp;""-""&amp;Schedule!$W:$W,Schedule!$L:$L=AE79,(Schedule!$J:$J="""")+(Schedule!$J:$J=AF79),(Schedule!$K:$K=""b"")+(Schedule!$K:$K=""""),Schedule!$V:$V&lt;&gt;""""),""""))"),"")</f>
        <v/>
      </c>
      <c r="AM79" s="60"/>
    </row>
    <row r="80">
      <c r="A80" s="151" t="str">
        <f>C74</f>
        <v>John Jensen</v>
      </c>
      <c r="B80" s="151" t="str">
        <f>I74</f>
        <v>Y</v>
      </c>
      <c r="C80" s="147">
        <v>5.0</v>
      </c>
      <c r="D80" s="152" t="str">
        <f>IFERROR(__xludf.DUMMYFUNCTION("if(A80="""","""",iferror(filter(Schedule!$Y:$Y&amp;""-""&amp;Schedule!$Z:$Z,Schedule!$L:$L=A80,(Schedule!$J:$J="""")+(Schedule!$J:$J=B80),(Schedule!$K:$K=""a"")+(Schedule!$K:$K=""""),Schedule!$Y:$Y&lt;&gt;""""),""""))"),"Math 6-5")</f>
        <v>Math 6-5</v>
      </c>
      <c r="E80" s="152" t="str">
        <f>IFERROR(__xludf.DUMMYFUNCTION("if(A80="""","""",iferror(filter(Schedule!$P:$P&amp;""-""&amp;Schedule!$Q:$Q,Schedule!$L:$L=A80,(Schedule!$J:$J="""")+(Schedule!$J:$J=B80),(Schedule!$K:$K=""b"")+(Schedule!$K:$K=""""),Schedule!$P:$P&lt;&gt;""""),""""))"),"")</f>
        <v/>
      </c>
      <c r="F80" s="152" t="str">
        <f>IFERROR(__xludf.DUMMYFUNCTION("if(A80="""","""",iferror(filter(Schedule!$V:$V&amp;""-""&amp;Schedule!$W:$W,Schedule!$L:$L=A80,(Schedule!$J:$J="""")+(Schedule!$J:$J=B80),(Schedule!$K:$K=""b"")+(Schedule!$K:$K=""""),Schedule!$V:$V&lt;&gt;""""),""""))"),"Math 6-3")</f>
        <v>Math 6-3</v>
      </c>
      <c r="G80" s="152" t="str">
        <f>IFERROR(__xludf.DUMMYFUNCTION("if(A80="""","""",iferror(filter(Schedule!$AB:$AB&amp;""-""&amp;Schedule!$AC:$AC,Schedule!$L:$L=A80,(Schedule!$J:$J="""")+(Schedule!$J:$J=B80),(Schedule!$K:$K=""b"")+(Schedule!$K:$K=""""),Schedule!$AB:$AB&lt;&gt;""""),""""))"),"Science 6-6")</f>
        <v>Science 6-6</v>
      </c>
      <c r="H80" s="152" t="str">
        <f>IFERROR(__xludf.DUMMYFUNCTION("if(A80="""","""",iferror(filter(Schedule!$M:$M&amp;""-""&amp;Schedule!$N:$N,Schedule!$L:$L=A80,(Schedule!$J:$J="""")+(Schedule!$J:$J=B80),(Schedule!$K:$K=""b"")+(Schedule!$K:$K=""""),Schedule!$M:$M&lt;&gt;""""),""""))"),"")</f>
        <v/>
      </c>
      <c r="I80" s="64"/>
      <c r="J80" s="154"/>
      <c r="K80" s="151" t="str">
        <f>M74</f>
        <v/>
      </c>
      <c r="L80" s="151" t="str">
        <f>S74</f>
        <v/>
      </c>
      <c r="M80" s="147">
        <v>5.0</v>
      </c>
      <c r="N80" s="152" t="str">
        <f>IFERROR(__xludf.DUMMYFUNCTION("if(K80="""","""",iferror(filter(Schedule!$Y:$Y&amp;""-""&amp;Schedule!$Z:$Z,Schedule!$L:$L=K80,(Schedule!$J:$J="""")+(Schedule!$J:$J=L80),(Schedule!$K:$K=""a"")+(Schedule!$K:$K=""""),Schedule!$Y:$Y&lt;&gt;""""),""""))"),"")</f>
        <v/>
      </c>
      <c r="O80" s="152" t="str">
        <f>IFERROR(__xludf.DUMMYFUNCTION("if(K80="""","""",iferror(filter(Schedule!$P:$P&amp;""-""&amp;Schedule!$Q:$Q,Schedule!$L:$L=K80,(Schedule!$J:$J="""")+(Schedule!$J:$J=L80),(Schedule!$K:$K=""b"")+(Schedule!$K:$K=""""),Schedule!$P:$P&lt;&gt;""""),""""))"),"")</f>
        <v/>
      </c>
      <c r="P80" s="152" t="str">
        <f>IFERROR(__xludf.DUMMYFUNCTION("if(K80="""","""",iferror(filter(Schedule!$V:$V&amp;""-""&amp;Schedule!$W:$W,Schedule!$L:$L=K80,(Schedule!$J:$J="""")+(Schedule!$J:$J=L80),(Schedule!$K:$K=""b"")+(Schedule!$K:$K=""""),Schedule!$V:$V&lt;&gt;""""),""""))"),"")</f>
        <v/>
      </c>
      <c r="Q80" s="152" t="str">
        <f>IFERROR(__xludf.DUMMYFUNCTION("if(K80="""","""",iferror(filter(Schedule!$AB:$AB&amp;""-""&amp;Schedule!$AC:$AC,Schedule!$L:$L=K80,(Schedule!$J:$J="""")+(Schedule!$J:$J=L80),(Schedule!$K:$K=""b"")+(Schedule!$K:$K=""""),Schedule!$AB:$AB&lt;&gt;""""),""""))"),"")</f>
        <v/>
      </c>
      <c r="R80" s="152" t="str">
        <f>IFERROR(__xludf.DUMMYFUNCTION("if(K80="""","""",iferror(filter(Schedule!$M:$M&amp;""-""&amp;Schedule!$N:$N,Schedule!$L:$L=K80,(Schedule!$J:$J="""")+(Schedule!$J:$J=L80),(Schedule!$K:$K=""b"")+(Schedule!$K:$K=""""),Schedule!$M:$M&lt;&gt;""""),""""))"),"")</f>
        <v/>
      </c>
      <c r="S80" s="64"/>
      <c r="T80" s="155"/>
      <c r="U80" s="155" t="str">
        <f>W74</f>
        <v/>
      </c>
      <c r="V80" s="151" t="str">
        <f>AC74</f>
        <v/>
      </c>
      <c r="W80" s="147">
        <v>5.0</v>
      </c>
      <c r="X80" s="152" t="str">
        <f>IFERROR(__xludf.DUMMYFUNCTION("if(U80="""","""",iferror(filter(Schedule!$Y:$Y&amp;""-""&amp;Schedule!$Z:$Z,Schedule!$L:$L=U80,(Schedule!$J:$J="""")+(Schedule!$J:$J=V80),(Schedule!$K:$K=""a"")+(Schedule!$K:$K=""""),Schedule!$Y:$Y&lt;&gt;""""),""""))"),"")</f>
        <v/>
      </c>
      <c r="Y80" s="152" t="str">
        <f>IFERROR(__xludf.DUMMYFUNCTION("if(U80="""","""",iferror(filter(Schedule!$P:$P&amp;""-""&amp;Schedule!$Q:$Q,Schedule!$L:$L=U80,(Schedule!$J:$J="""")+(Schedule!$J:$J=V80),(Schedule!$K:$K=""b"")+(Schedule!$K:$K=""""),Schedule!$P:$P&lt;&gt;""""),""""))"),"")</f>
        <v/>
      </c>
      <c r="Z80" s="152" t="str">
        <f>IFERROR(__xludf.DUMMYFUNCTION("if(U80="""","""",iferror(filter(Schedule!$V:$V&amp;""-""&amp;Schedule!$W:$W,Schedule!$L:$L=U80,(Schedule!$J:$J="""")+(Schedule!$J:$J=V80),(Schedule!$K:$K=""b"")+(Schedule!$K:$K=""""),Schedule!$V:$V&lt;&gt;""""),""""))"),"")</f>
        <v/>
      </c>
      <c r="AA80" s="152" t="str">
        <f>IFERROR(__xludf.DUMMYFUNCTION("if(U80="""","""",iferror(filter(Schedule!$AB:$AB&amp;""-""&amp;Schedule!$AC:$AC,Schedule!$L:$L=U80,(Schedule!$J:$J="""")+(Schedule!$J:$J=V80),(Schedule!$K:$K=""b"")+(Schedule!$K:$K=""""),Schedule!$AB:$AB&lt;&gt;""""),""""))"),"")</f>
        <v/>
      </c>
      <c r="AB80" s="152" t="str">
        <f>IFERROR(__xludf.DUMMYFUNCTION("if(U80="""","""",iferror(filter(Schedule!$M:$M&amp;""-""&amp;Schedule!$N:$N,Schedule!$L:$L=U80,(Schedule!$J:$J="""")+(Schedule!$J:$J=V80),(Schedule!$K:$K=""b"")+(Schedule!$K:$K=""""),Schedule!$M:$M&lt;&gt;""""),""""))"),"")</f>
        <v/>
      </c>
      <c r="AC80" s="64"/>
      <c r="AD80" s="155"/>
      <c r="AE80" s="155" t="str">
        <f>AG74</f>
        <v/>
      </c>
      <c r="AF80" s="151" t="str">
        <f>AM74</f>
        <v/>
      </c>
      <c r="AG80" s="147">
        <v>5.0</v>
      </c>
      <c r="AH80" s="152" t="str">
        <f>IFERROR(__xludf.DUMMYFUNCTION("if(AE80="""","""",iferror(filter(Schedule!$Y:$Y&amp;""-""&amp;Schedule!$Z:$Z,Schedule!$L:$L=AE80,(Schedule!$J:$J="""")+(Schedule!$J:$J=AF80),(Schedule!$K:$K=""a"")+(Schedule!$K:$K=""""),Schedule!$Y:$Y&lt;&gt;""""),""""))"),"")</f>
        <v/>
      </c>
      <c r="AI80" s="152" t="str">
        <f>IFERROR(__xludf.DUMMYFUNCTION("if(AE80="""","""",iferror(filter(Schedule!$P:$P&amp;""-""&amp;Schedule!$Q:$Q,Schedule!$L:$L=AE80,(Schedule!$J:$J="""")+(Schedule!$J:$J=AF80),(Schedule!$K:$K=""b"")+(Schedule!$K:$K=""""),Schedule!$P:$P&lt;&gt;""""),""""))"),"")</f>
        <v/>
      </c>
      <c r="AJ80" s="152" t="str">
        <f>IFERROR(__xludf.DUMMYFUNCTION("if(AE80="""","""",iferror(filter(Schedule!$V:$V&amp;""-""&amp;Schedule!$W:$W,Schedule!$L:$L=AE80,(Schedule!$J:$J="""")+(Schedule!$J:$J=AF80),(Schedule!$K:$K=""b"")+(Schedule!$K:$K=""""),Schedule!$V:$V&lt;&gt;""""),""""))"),"")</f>
        <v/>
      </c>
      <c r="AK80" s="152" t="str">
        <f>IFERROR(__xludf.DUMMYFUNCTION("if(AE80="""","""",iferror(filter(Schedule!$AB:$AB&amp;""-""&amp;Schedule!$AC:$AC,Schedule!$L:$L=AE80,(Schedule!$J:$J="""")+(Schedule!$J:$J=AF80),(Schedule!$K:$K=""b"")+(Schedule!$K:$K=""""),Schedule!$AB:$AB&lt;&gt;""""),""""))"),"")</f>
        <v/>
      </c>
      <c r="AL80" s="152" t="str">
        <f>IFERROR(__xludf.DUMMYFUNCTION("if(AE80="""","""",iferror(filter(Schedule!$M:$M&amp;""-""&amp;Schedule!$N:$N,Schedule!$L:$L=AE80,(Schedule!$J:$J="""")+(Schedule!$J:$J=AF80),(Schedule!$K:$K=""b"")+(Schedule!$K:$K=""""),Schedule!$M:$M&lt;&gt;""""),""""))"),"")</f>
        <v/>
      </c>
      <c r="AM80" s="64"/>
    </row>
    <row r="81">
      <c r="A81" s="11"/>
      <c r="B81" s="11"/>
      <c r="C81" s="156"/>
      <c r="D81" s="156"/>
      <c r="E81" s="156"/>
      <c r="F81" s="156"/>
      <c r="G81" s="156"/>
      <c r="H81" s="156"/>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c r="A82" s="5"/>
      <c r="B82" s="5"/>
      <c r="C82" s="140" t="str">
        <f>Teachers!A11</f>
        <v>Jordi Tur tur</v>
      </c>
      <c r="D82" s="141"/>
      <c r="E82" s="141"/>
      <c r="F82" s="141"/>
      <c r="G82" s="141"/>
      <c r="H82" s="142"/>
      <c r="I82" s="143" t="str">
        <f>IFERROR(__xludf.DUMMYFUNCTION("if(C82="""","""", iferror(unique(filter(Schedule!$J:$J,Schedule!$L:$L=$C82,Schedule!$J:$J=""Q1"")),iferror(unique(filter(Schedule!$J:$J,Schedule!$L:$L=$C82,Schedule!$J:$J=""S1"")),""Y"")))"),"Y")</f>
        <v>Y</v>
      </c>
      <c r="J82" s="11"/>
      <c r="K82" s="11"/>
      <c r="L82" s="11"/>
      <c r="M82" s="140" t="str">
        <f>if(S82="","",C82)</f>
        <v/>
      </c>
      <c r="N82" s="141"/>
      <c r="O82" s="141"/>
      <c r="P82" s="141"/>
      <c r="Q82" s="141"/>
      <c r="R82" s="142"/>
      <c r="S82" s="143" t="str">
        <f>if($I82="Q1","Q2",if($I82="S1","S2",""))</f>
        <v/>
      </c>
      <c r="T82" s="144"/>
      <c r="U82" s="144"/>
      <c r="V82" s="145"/>
      <c r="W82" s="140" t="str">
        <f>if(AC82="","",M82)</f>
        <v/>
      </c>
      <c r="X82" s="141"/>
      <c r="Y82" s="141"/>
      <c r="Z82" s="141"/>
      <c r="AA82" s="141"/>
      <c r="AB82" s="142"/>
      <c r="AC82" s="143" t="str">
        <f>if($I82="Q1","Q3","")</f>
        <v/>
      </c>
      <c r="AD82" s="144"/>
      <c r="AE82" s="144"/>
      <c r="AF82" s="145"/>
      <c r="AG82" s="140" t="str">
        <f>if(AC82="","",W82)</f>
        <v/>
      </c>
      <c r="AH82" s="141"/>
      <c r="AI82" s="141"/>
      <c r="AJ82" s="141"/>
      <c r="AK82" s="141"/>
      <c r="AL82" s="142"/>
      <c r="AM82" s="143" t="str">
        <f>if($I82="Q1","Q4","")</f>
        <v/>
      </c>
    </row>
    <row r="83">
      <c r="A83" s="146"/>
      <c r="B83" s="146"/>
      <c r="C83" s="147" t="s">
        <v>94</v>
      </c>
      <c r="D83" s="148" t="s">
        <v>95</v>
      </c>
      <c r="E83" s="148" t="s">
        <v>96</v>
      </c>
      <c r="F83" s="148" t="s">
        <v>97</v>
      </c>
      <c r="G83" s="148" t="s">
        <v>98</v>
      </c>
      <c r="H83" s="148" t="s">
        <v>99</v>
      </c>
      <c r="I83" s="148" t="s">
        <v>651</v>
      </c>
      <c r="J83" s="146"/>
      <c r="K83" s="146"/>
      <c r="L83" s="146"/>
      <c r="M83" s="147" t="s">
        <v>94</v>
      </c>
      <c r="N83" s="148" t="s">
        <v>95</v>
      </c>
      <c r="O83" s="148" t="s">
        <v>96</v>
      </c>
      <c r="P83" s="148" t="s">
        <v>97</v>
      </c>
      <c r="Q83" s="148" t="s">
        <v>98</v>
      </c>
      <c r="R83" s="148" t="s">
        <v>99</v>
      </c>
      <c r="S83" s="148" t="s">
        <v>651</v>
      </c>
      <c r="T83" s="149"/>
      <c r="U83" s="149"/>
      <c r="V83" s="150"/>
      <c r="W83" s="147" t="s">
        <v>94</v>
      </c>
      <c r="X83" s="148" t="s">
        <v>95</v>
      </c>
      <c r="Y83" s="148" t="s">
        <v>96</v>
      </c>
      <c r="Z83" s="148" t="s">
        <v>97</v>
      </c>
      <c r="AA83" s="148" t="s">
        <v>98</v>
      </c>
      <c r="AB83" s="148" t="s">
        <v>99</v>
      </c>
      <c r="AC83" s="148" t="s">
        <v>651</v>
      </c>
      <c r="AD83" s="149"/>
      <c r="AE83" s="149"/>
      <c r="AF83" s="150"/>
      <c r="AG83" s="147" t="s">
        <v>94</v>
      </c>
      <c r="AH83" s="148" t="s">
        <v>95</v>
      </c>
      <c r="AI83" s="148" t="s">
        <v>96</v>
      </c>
      <c r="AJ83" s="148" t="s">
        <v>97</v>
      </c>
      <c r="AK83" s="148" t="s">
        <v>98</v>
      </c>
      <c r="AL83" s="148" t="s">
        <v>99</v>
      </c>
      <c r="AM83" s="148" t="s">
        <v>651</v>
      </c>
    </row>
    <row r="84">
      <c r="A84" s="151" t="str">
        <f>C82</f>
        <v>Jordi Tur tur</v>
      </c>
      <c r="B84" s="151" t="str">
        <f>I82</f>
        <v>Y</v>
      </c>
      <c r="C84" s="147">
        <v>1.0</v>
      </c>
      <c r="D84" s="152" t="str">
        <f>IFERROR(__xludf.DUMMYFUNCTION("if(A84="""","""",iferror(filter(Schedule!$M:$M&amp;""-""&amp;Schedule!$N:$N,Schedule!$L:$L=A84,(Schedule!$J:$J="""")+(Schedule!$J:$J=B84),(Schedule!$K:$K=""a"")+(Schedule!$K:$K=""""),Schedule!$M:$M&lt;&gt;""""),""""))"),"English 7-1")</f>
        <v>English 7-1</v>
      </c>
      <c r="E84" s="152" t="str">
        <f>IFERROR(__xludf.DUMMYFUNCTION("if(A84="""","""",iferror(filter(Schedule!$AB:$AB&amp;""-""&amp;Schedule!$AC:$AC,Schedule!$L:$L=A84,(Schedule!$J:$J="""")+(Schedule!$J:$J=B84),(Schedule!$K:$K=""b"")+(Schedule!$K:$K=""""),Schedule!$AB:$AB&lt;&gt;""""),""""))"),"English 7-6")</f>
        <v>English 7-6</v>
      </c>
      <c r="F84" s="152" t="str">
        <f>IFERROR(__xludf.DUMMYFUNCTION("if(A84="""","""",iferror(filter(Schedule!$S:$S&amp;""-""&amp;Schedule!$T:$T,Schedule!$L:$L=A84,(Schedule!$J:$J="""")+(Schedule!$J:$J=B84),(Schedule!$K:$K=""a"")+(Schedule!$K:$K=""""),Schedule!$S:$S&lt;&gt;""""),""""))"),"English 7-3")</f>
        <v>English 7-3</v>
      </c>
      <c r="G84" s="152" t="str">
        <f>IFERROR(__xludf.DUMMYFUNCTION("if(A84="""","""",iferror(filter(Schedule!$V:$V&amp;""-""&amp;Schedule!$W:$W,Schedule!$L:$L=A84,(Schedule!$J:$J="""")+(Schedule!$J:$J=B84),(Schedule!$K:$K=""a"")+(Schedule!$K:$K=""""),Schedule!$V:$V&lt;&gt;""""),""""))"),"")</f>
        <v/>
      </c>
      <c r="H84" s="152" t="str">
        <f>IFERROR(__xludf.DUMMYFUNCTION("if(A84="""","""",iferror(filter(Schedule!$Y:$Y&amp;""-""&amp;Schedule!$Z:$Z,Schedule!$L:$L=A84,(Schedule!$J:$J="""")+(Schedule!$J:$J=B84),(Schedule!$K:$K=""b"")+(Schedule!$K:$K=""""),Schedule!$Y:$Y&lt;&gt;""""),""""))"),"English 7A-5")</f>
        <v>English 7A-5</v>
      </c>
      <c r="I84" s="153">
        <f>if(C82="","", 24-countifs(D84:H88,""))</f>
        <v>16</v>
      </c>
      <c r="J84" s="154"/>
      <c r="K84" s="151" t="str">
        <f>M82</f>
        <v/>
      </c>
      <c r="L84" s="151" t="str">
        <f>S82</f>
        <v/>
      </c>
      <c r="M84" s="147">
        <v>1.0</v>
      </c>
      <c r="N84" s="152" t="str">
        <f>IFERROR(__xludf.DUMMYFUNCTION("if(K84="""","""",iferror(filter(Schedule!$M:$M&amp;""-""&amp;Schedule!$N:$N,Schedule!$L:$L=K84,(Schedule!$J:$J="""")+(Schedule!$J:$J=L84),(Schedule!$K:$K=""a"")+(Schedule!$K:$K=""""),Schedule!$M:$M&lt;&gt;""""),""""))"),"")</f>
        <v/>
      </c>
      <c r="O84" s="152" t="str">
        <f>IFERROR(__xludf.DUMMYFUNCTION("if(K84="""","""",iferror(filter(Schedule!$AB:$AB&amp;""-""&amp;Schedule!$AC:$AC,Schedule!$L:$L=K84,(Schedule!$J:$J="""")+(Schedule!$J:$J=L84),(Schedule!$K:$K=""b"")+(Schedule!$K:$K=""""),Schedule!$AB:$AB&lt;&gt;""""),""""))"),"")</f>
        <v/>
      </c>
      <c r="P84" s="152" t="str">
        <f>IFERROR(__xludf.DUMMYFUNCTION("if(K84="""","""",iferror(filter(Schedule!$S:$S&amp;""-""&amp;Schedule!$T:$T,Schedule!$L:$L=K84,(Schedule!$J:$J="""")+(Schedule!$J:$J=L84),(Schedule!$K:$K=""a"")+(Schedule!$K:$K=""""),Schedule!$S:$S&lt;&gt;""""),""""))"),"")</f>
        <v/>
      </c>
      <c r="Q84" s="152" t="str">
        <f>IFERROR(__xludf.DUMMYFUNCTION("if(K84="""","""",iferror(filter(Schedule!$V:$V&amp;""-""&amp;Schedule!$W:$W,Schedule!$L:$L=K84,(Schedule!$J:$J="""")+(Schedule!$J:$J=L84),(Schedule!$K:$K=""a"")+(Schedule!$K:$K=""""),Schedule!$V:$V&lt;&gt;""""),""""))"),"")</f>
        <v/>
      </c>
      <c r="R84" s="152" t="str">
        <f>IFERROR(__xludf.DUMMYFUNCTION("if(K84="""","""",iferror(filter(Schedule!$Y:$Y&amp;""-""&amp;Schedule!$Z:$Z,Schedule!$L:$L=K84,(Schedule!$J:$J="""")+(Schedule!$J:$J=L84),(Schedule!$K:$K=""b"")+(Schedule!$K:$K=""""),Schedule!$Y:$Y&lt;&gt;""""),""""))"),"")</f>
        <v/>
      </c>
      <c r="S84" s="153" t="str">
        <f>if(K84="","", 24-countifs(N84:R88,""))</f>
        <v/>
      </c>
      <c r="T84" s="155"/>
      <c r="U84" s="155" t="str">
        <f>W82</f>
        <v/>
      </c>
      <c r="V84" s="151" t="str">
        <f>AC82</f>
        <v/>
      </c>
      <c r="W84" s="147">
        <v>1.0</v>
      </c>
      <c r="X84" s="152" t="str">
        <f>IFERROR(__xludf.DUMMYFUNCTION("if(U84="""","""",iferror(filter(Schedule!$M:$M&amp;""-""&amp;Schedule!$N:$N,Schedule!$L:$L=U84,(Schedule!$J:$J="""")+(Schedule!$J:$J=V84),(Schedule!$K:$K=""a"")+(Schedule!$K:$K=""""),Schedule!$M:$M&lt;&gt;""""),""""))"),"")</f>
        <v/>
      </c>
      <c r="Y84" s="152" t="str">
        <f>IFERROR(__xludf.DUMMYFUNCTION("if(U84="""","""",iferror(filter(Schedule!$AB:$AB&amp;""-""&amp;Schedule!$AC:$AC,Schedule!$L:$L=U84,(Schedule!$J:$J="""")+(Schedule!$J:$J=V84),(Schedule!$K:$K=""b"")+(Schedule!$K:$K=""""),Schedule!$AB:$AB&lt;&gt;""""),""""))"),"")</f>
        <v/>
      </c>
      <c r="Z84" s="152" t="str">
        <f>IFERROR(__xludf.DUMMYFUNCTION("if(U84="""","""",iferror(filter(Schedule!$S:$S&amp;""-""&amp;Schedule!$T:$T,Schedule!$L:$L=U84,(Schedule!$J:$J="""")+(Schedule!$J:$J=V84),(Schedule!$K:$K=""a"")+(Schedule!$K:$K=""""),Schedule!$S:$S&lt;&gt;""""),""""))"),"")</f>
        <v/>
      </c>
      <c r="AA84" s="152" t="str">
        <f>IFERROR(__xludf.DUMMYFUNCTION("if(U84="""","""",iferror(filter(Schedule!$V:$V&amp;""-""&amp;Schedule!$W:$W,Schedule!$L:$L=U84,(Schedule!$J:$J="""")+(Schedule!$J:$J=V84),(Schedule!$K:$K=""a"")+(Schedule!$K:$K=""""),Schedule!$V:$V&lt;&gt;""""),""""))"),"")</f>
        <v/>
      </c>
      <c r="AB84" s="152" t="str">
        <f>IFERROR(__xludf.DUMMYFUNCTION("if(U84="""","""",iferror(filter(Schedule!$Y:$Y&amp;""-""&amp;Schedule!$Z:$Z,Schedule!$L:$L=U84,(Schedule!$J:$J="""")+(Schedule!$J:$J=V84),(Schedule!$K:$K=""b"")+(Schedule!$K:$K=""""),Schedule!$Y:$Y&lt;&gt;""""),""""))"),"")</f>
        <v/>
      </c>
      <c r="AC84" s="153" t="str">
        <f>if(U84="","", 24-countifs(X84:AB88,""))</f>
        <v/>
      </c>
      <c r="AD84" s="155"/>
      <c r="AE84" s="155" t="str">
        <f>AG82</f>
        <v/>
      </c>
      <c r="AF84" s="151" t="str">
        <f>AM82</f>
        <v/>
      </c>
      <c r="AG84" s="147">
        <v>1.0</v>
      </c>
      <c r="AH84" s="152" t="str">
        <f>IFERROR(__xludf.DUMMYFUNCTION("if(AE84="""","""",iferror(filter(Schedule!$M:$M&amp;""-""&amp;Schedule!$N:$N,Schedule!$L:$L=AE84,(Schedule!$J:$J="""")+(Schedule!$J:$J=AF84),(Schedule!$K:$K=""a"")+(Schedule!$K:$K=""""),Schedule!$M:$M&lt;&gt;""""),""""))"),"")</f>
        <v/>
      </c>
      <c r="AI84" s="152" t="str">
        <f>IFERROR(__xludf.DUMMYFUNCTION("if(AE84="""","""",iferror(filter(Schedule!$AB:$AB&amp;""-""&amp;Schedule!$AC:$AC,Schedule!$L:$L=AE84,(Schedule!$J:$J="""")+(Schedule!$J:$J=AF84),(Schedule!$K:$K=""b"")+(Schedule!$K:$K=""""),Schedule!$AB:$AB&lt;&gt;""""),""""))"),"")</f>
        <v/>
      </c>
      <c r="AJ84" s="152" t="str">
        <f>IFERROR(__xludf.DUMMYFUNCTION("if(AE84="""","""",iferror(filter(Schedule!$S:$S&amp;""-""&amp;Schedule!$T:$T,Schedule!$L:$L=AE84,(Schedule!$J:$J="""")+(Schedule!$J:$J=AF84),(Schedule!$K:$K=""a"")+(Schedule!$K:$K=""""),Schedule!$S:$S&lt;&gt;""""),""""))"),"")</f>
        <v/>
      </c>
      <c r="AK84" s="152" t="str">
        <f>IFERROR(__xludf.DUMMYFUNCTION("if(AE84="""","""",iferror(filter(Schedule!$V:$V&amp;""-""&amp;Schedule!$W:$W,Schedule!$L:$L=AE84,(Schedule!$J:$J="""")+(Schedule!$J:$J=AF84),(Schedule!$K:$K=""a"")+(Schedule!$K:$K=""""),Schedule!$V:$V&lt;&gt;""""),""""))"),"")</f>
        <v/>
      </c>
      <c r="AL84" s="152" t="str">
        <f>IFERROR(__xludf.DUMMYFUNCTION("if(AE84="""","""",iferror(filter(Schedule!$Y:$Y&amp;""-""&amp;Schedule!$Z:$Z,Schedule!$L:$L=AE84,(Schedule!$J:$J="""")+(Schedule!$J:$J=AF84),(Schedule!$K:$K=""b"")+(Schedule!$K:$K=""""),Schedule!$Y:$Y&lt;&gt;""""),""""))"),"")</f>
        <v/>
      </c>
      <c r="AM84" s="153" t="str">
        <f>if(AE84="","", 24-countifs(AH84:AL88,""))</f>
        <v/>
      </c>
    </row>
    <row r="85">
      <c r="A85" s="151" t="str">
        <f>C82</f>
        <v>Jordi Tur tur</v>
      </c>
      <c r="B85" s="151" t="str">
        <f>I82</f>
        <v>Y</v>
      </c>
      <c r="C85" s="147">
        <v>2.0</v>
      </c>
      <c r="D85" s="152" t="str">
        <f>IFERROR(__xludf.DUMMYFUNCTION("if(A85="""","""",iferror(filter(Schedule!$P:$P&amp;""-""&amp;Schedule!$Q:$Q,Schedule!$L:$L=A85,(Schedule!$J:$J="""")+(Schedule!$J:$J=B85),(Schedule!$K:$K=""a"")+(Schedule!$K:$K=""""),Schedule!$P:$P&lt;&gt;""""),""""))"),"")</f>
        <v/>
      </c>
      <c r="E85" s="152" t="str">
        <f>IFERROR(__xludf.DUMMYFUNCTION("if(A85="""","""",iferror(filter(Schedule!$Y:$Y&amp;""-""&amp;Schedule!$Z:$Z,Schedule!$L:$L=A85,(Schedule!$J:$J="""")+(Schedule!$J:$J=B85),(Schedule!$K:$K=""b"")+(Schedule!$K:$K=""""),Schedule!$Y:$Y&lt;&gt;""""),""""))"),"English 7A-5")</f>
        <v>English 7A-5</v>
      </c>
      <c r="F85" s="152" t="str">
        <f>IFERROR(__xludf.DUMMYFUNCTION("if(A85="""","""",iferror(filter(Schedule!$P:$P&amp;""-""&amp;Schedule!$Q:$Q,Schedule!$L:$L=A85,(Schedule!$J:$J="""")+(Schedule!$J:$J=B85),(Schedule!$K:$K=""a"")+(Schedule!$K:$K=""""),Schedule!$P:$P&lt;&gt;""""),""""))"),"")</f>
        <v/>
      </c>
      <c r="G85" s="152" t="str">
        <f>IFERROR(__xludf.DUMMYFUNCTION("if(A85="""","""",iferror(filter(Schedule!$M:$M&amp;""-""&amp;Schedule!$N:$N,Schedule!$L:$L=A85,(Schedule!$J:$J="""")+(Schedule!$J:$J=B85),(Schedule!$K:$K=""a"")+(Schedule!$K:$K=""""),Schedule!$M:$M&lt;&gt;""""),""""))"),"English 7-1")</f>
        <v>English 7-1</v>
      </c>
      <c r="H85" s="152" t="str">
        <f>IFERROR(__xludf.DUMMYFUNCTION("if(A85="""","""",iferror(filter(Schedule!$AB:$AB&amp;""-""&amp;Schedule!$AC:$AC,Schedule!$L:$L=A85,(Schedule!$J:$J="""")+(Schedule!$J:$J=B85),(Schedule!$K:$K=""a"")+(Schedule!$K:$K=""""),Schedule!$AB:$AB&lt;&gt;""""),""""))"),"English 7-6")</f>
        <v>English 7-6</v>
      </c>
      <c r="I85" s="60"/>
      <c r="J85" s="154"/>
      <c r="K85" s="151" t="str">
        <f>M82</f>
        <v/>
      </c>
      <c r="L85" s="151" t="str">
        <f>S82</f>
        <v/>
      </c>
      <c r="M85" s="147">
        <v>2.0</v>
      </c>
      <c r="N85" s="152" t="str">
        <f>IFERROR(__xludf.DUMMYFUNCTION("if(K85="""","""",iferror(filter(Schedule!$P:$P&amp;""-""&amp;Schedule!$Q:$Q,Schedule!$L:$L=K85,(Schedule!$J:$J="""")+(Schedule!$J:$J=L85),(Schedule!$K:$K=""a"")+(Schedule!$K:$K=""""),Schedule!$P:$P&lt;&gt;""""),""""))"),"")</f>
        <v/>
      </c>
      <c r="O85" s="152" t="str">
        <f>IFERROR(__xludf.DUMMYFUNCTION("if(K85="""","""",iferror(filter(Schedule!$Y:$Y&amp;""-""&amp;Schedule!$Z:$Z,Schedule!$L:$L=K85,(Schedule!$J:$J="""")+(Schedule!$J:$J=L85),(Schedule!$K:$K=""b"")+(Schedule!$K:$K=""""),Schedule!$Y:$Y&lt;&gt;""""),""""))"),"")</f>
        <v/>
      </c>
      <c r="P85" s="152" t="str">
        <f>IFERROR(__xludf.DUMMYFUNCTION("if(K85="""","""",iferror(filter(Schedule!$P:$P&amp;""-""&amp;Schedule!$Q:$Q,Schedule!$L:$L=K85,(Schedule!$J:$J="""")+(Schedule!$J:$J=L85),(Schedule!$K:$K=""a"")+(Schedule!$K:$K=""""),Schedule!$P:$P&lt;&gt;""""),""""))"),"")</f>
        <v/>
      </c>
      <c r="Q85" s="152" t="str">
        <f>IFERROR(__xludf.DUMMYFUNCTION("if(K85="""","""",iferror(filter(Schedule!$M:$M&amp;""-""&amp;Schedule!$N:$N,Schedule!$L:$L=K85,(Schedule!$J:$J="""")+(Schedule!$J:$J=L85),(Schedule!$K:$K=""a"")+(Schedule!$K:$K=""""),Schedule!$M:$M&lt;&gt;""""),""""))"),"")</f>
        <v/>
      </c>
      <c r="R85" s="152" t="str">
        <f>IFERROR(__xludf.DUMMYFUNCTION("if(K85="""","""",iferror(filter(Schedule!$AB:$AB&amp;""-""&amp;Schedule!$AC:$AC,Schedule!$L:$L=K85,(Schedule!$J:$J="""")+(Schedule!$J:$J=L85),(Schedule!$K:$K=""a"")+(Schedule!$K:$K=""""),Schedule!$AB:$AB&lt;&gt;""""),""""))"),"")</f>
        <v/>
      </c>
      <c r="S85" s="60"/>
      <c r="T85" s="155"/>
      <c r="U85" s="155" t="str">
        <f>W82</f>
        <v/>
      </c>
      <c r="V85" s="151" t="str">
        <f>AC82</f>
        <v/>
      </c>
      <c r="W85" s="147">
        <v>2.0</v>
      </c>
      <c r="X85" s="152" t="str">
        <f>IFERROR(__xludf.DUMMYFUNCTION("if(U85="""","""",iferror(filter(Schedule!$P:$P&amp;""-""&amp;Schedule!$Q:$Q,Schedule!$L:$L=U85,(Schedule!$J:$J="""")+(Schedule!$J:$J=V85),(Schedule!$K:$K=""a"")+(Schedule!$K:$K=""""),Schedule!$P:$P&lt;&gt;""""),""""))"),"")</f>
        <v/>
      </c>
      <c r="Y85" s="152" t="str">
        <f>IFERROR(__xludf.DUMMYFUNCTION("if(U85="""","""",iferror(filter(Schedule!$Y:$Y&amp;""-""&amp;Schedule!$Z:$Z,Schedule!$L:$L=U85,(Schedule!$J:$J="""")+(Schedule!$J:$J=V85),(Schedule!$K:$K=""b"")+(Schedule!$K:$K=""""),Schedule!$Y:$Y&lt;&gt;""""),""""))"),"")</f>
        <v/>
      </c>
      <c r="Z85" s="152" t="str">
        <f>IFERROR(__xludf.DUMMYFUNCTION("if(U85="""","""",iferror(filter(Schedule!$P:$P&amp;""-""&amp;Schedule!$Q:$Q,Schedule!$L:$L=U85,(Schedule!$J:$J="""")+(Schedule!$J:$J=V85),(Schedule!$K:$K=""a"")+(Schedule!$K:$K=""""),Schedule!$P:$P&lt;&gt;""""),""""))"),"")</f>
        <v/>
      </c>
      <c r="AA85" s="152" t="str">
        <f>IFERROR(__xludf.DUMMYFUNCTION("if(U85="""","""",iferror(filter(Schedule!$M:$M&amp;""-""&amp;Schedule!$N:$N,Schedule!$L:$L=U85,(Schedule!$J:$J="""")+(Schedule!$J:$J=V85),(Schedule!$K:$K=""a"")+(Schedule!$K:$K=""""),Schedule!$M:$M&lt;&gt;""""),""""))"),"")</f>
        <v/>
      </c>
      <c r="AB85" s="152" t="str">
        <f>IFERROR(__xludf.DUMMYFUNCTION("if(U85="""","""",iferror(filter(Schedule!$AB:$AB&amp;""-""&amp;Schedule!$AC:$AC,Schedule!$L:$L=U85,(Schedule!$J:$J="""")+(Schedule!$J:$J=V85),(Schedule!$K:$K=""a"")+(Schedule!$K:$K=""""),Schedule!$AB:$AB&lt;&gt;""""),""""))"),"")</f>
        <v/>
      </c>
      <c r="AC85" s="60"/>
      <c r="AD85" s="155"/>
      <c r="AE85" s="155" t="str">
        <f>AG82</f>
        <v/>
      </c>
      <c r="AF85" s="151" t="str">
        <f>AM82</f>
        <v/>
      </c>
      <c r="AG85" s="147">
        <v>2.0</v>
      </c>
      <c r="AH85" s="152" t="str">
        <f>IFERROR(__xludf.DUMMYFUNCTION("if(AE85="""","""",iferror(filter(Schedule!$P:$P&amp;""-""&amp;Schedule!$Q:$Q,Schedule!$L:$L=AE85,(Schedule!$J:$J="""")+(Schedule!$J:$J=AF85),(Schedule!$K:$K=""a"")+(Schedule!$K:$K=""""),Schedule!$P:$P&lt;&gt;""""),""""))"),"")</f>
        <v/>
      </c>
      <c r="AI85" s="152" t="str">
        <f>IFERROR(__xludf.DUMMYFUNCTION("if(AE85="""","""",iferror(filter(Schedule!$Y:$Y&amp;""-""&amp;Schedule!$Z:$Z,Schedule!$L:$L=AE85,(Schedule!$J:$J="""")+(Schedule!$J:$J=AF85),(Schedule!$K:$K=""b"")+(Schedule!$K:$K=""""),Schedule!$Y:$Y&lt;&gt;""""),""""))"),"")</f>
        <v/>
      </c>
      <c r="AJ85" s="152" t="str">
        <f>IFERROR(__xludf.DUMMYFUNCTION("if(AE85="""","""",iferror(filter(Schedule!$P:$P&amp;""-""&amp;Schedule!$Q:$Q,Schedule!$L:$L=AE85,(Schedule!$J:$J="""")+(Schedule!$J:$J=AF85),(Schedule!$K:$K=""a"")+(Schedule!$K:$K=""""),Schedule!$P:$P&lt;&gt;""""),""""))"),"")</f>
        <v/>
      </c>
      <c r="AK85" s="152" t="str">
        <f>IFERROR(__xludf.DUMMYFUNCTION("if(AE85="""","""",iferror(filter(Schedule!$M:$M&amp;""-""&amp;Schedule!$N:$N,Schedule!$L:$L=AE85,(Schedule!$J:$J="""")+(Schedule!$J:$J=AF85),(Schedule!$K:$K=""a"")+(Schedule!$K:$K=""""),Schedule!$M:$M&lt;&gt;""""),""""))"),"")</f>
        <v/>
      </c>
      <c r="AL85" s="152" t="str">
        <f>IFERROR(__xludf.DUMMYFUNCTION("if(AE85="""","""",iferror(filter(Schedule!$AB:$AB&amp;""-""&amp;Schedule!$AC:$AC,Schedule!$L:$L=AE85,(Schedule!$J:$J="""")+(Schedule!$J:$J=AF85),(Schedule!$K:$K=""a"")+(Schedule!$K:$K=""""),Schedule!$AB:$AB&lt;&gt;""""),""""))"),"")</f>
        <v/>
      </c>
      <c r="AM85" s="60"/>
    </row>
    <row r="86">
      <c r="A86" s="151" t="str">
        <f>C82</f>
        <v>Jordi Tur tur</v>
      </c>
      <c r="B86" s="151" t="str">
        <f>I82</f>
        <v>Y</v>
      </c>
      <c r="C86" s="147">
        <v>3.0</v>
      </c>
      <c r="D86" s="152" t="str">
        <f>IFERROR(__xludf.DUMMYFUNCTION("if(A86="""","""",iferror(filter(Schedule!$S:$S&amp;""-""&amp;Schedule!$T:$T,Schedule!$L:$L=A86,(Schedule!$J:$J="""")+(Schedule!$J:$J=B86),(Schedule!$K:$K=""a"")+(Schedule!$K:$K=""""),Schedule!$S:$S&lt;&gt;""""),""""))"),"English 7-3")</f>
        <v>English 7-3</v>
      </c>
      <c r="E86" s="152" t="str">
        <f>IFERROR(__xludf.DUMMYFUNCTION("if(A86="""","""",iferror(filter(Schedule!$S:$S&amp;""-""&amp;Schedule!$T:$T,Schedule!$L:$L=A86,(Schedule!$J:$J="""")+(Schedule!$J:$J=B86),(Schedule!$K:$K=""b"")+(Schedule!$K:$K=""""),Schedule!$S:$S&lt;&gt;""""),""""))"),"English 7-3")</f>
        <v>English 7-3</v>
      </c>
      <c r="F86" s="152" t="str">
        <f>IFERROR(__xludf.DUMMYFUNCTION("if(A86="""","""",iferror(filter(Schedule!$Y:$Y&amp;""-""&amp;Schedule!$Z:$Z,Schedule!$L:$L=A86,(Schedule!$J:$J="""")+(Schedule!$J:$J=B86),(Schedule!$K:$K=""a"")+(Schedule!$K:$K=""""),Schedule!$Y:$Y&lt;&gt;""""),""""))"),"English 7A-5")</f>
        <v>English 7A-5</v>
      </c>
      <c r="G86" s="152" t="str">
        <f>IFERROR(__xludf.DUMMYFUNCTION("if(A86="""","""",iferror(filter(Schedule!$P:$P&amp;""-""&amp;Schedule!$Q:$Q,Schedule!$L:$L=A86,(Schedule!$J:$J="""")+(Schedule!$J:$J=B86),(Schedule!$K:$K=""b"")+(Schedule!$K:$K=""""),Schedule!$P:$P&lt;&gt;""""),""""))"),"")</f>
        <v/>
      </c>
      <c r="H86" s="152" t="str">
        <f>if(C82="","","X-Block")</f>
        <v>X-Block</v>
      </c>
      <c r="I86" s="60"/>
      <c r="J86" s="154"/>
      <c r="K86" s="151" t="str">
        <f>M82</f>
        <v/>
      </c>
      <c r="L86" s="151" t="str">
        <f>S82</f>
        <v/>
      </c>
      <c r="M86" s="147">
        <v>3.0</v>
      </c>
      <c r="N86" s="152" t="str">
        <f>IFERROR(__xludf.DUMMYFUNCTION("if(K86="""","""",iferror(filter(Schedule!$S:$S&amp;""-""&amp;Schedule!$T:$T,Schedule!$L:$L=K86,(Schedule!$J:$J="""")+(Schedule!$J:$J=L86),(Schedule!$K:$K=""a"")+(Schedule!$K:$K=""""),Schedule!$S:$S&lt;&gt;""""),""""))"),"")</f>
        <v/>
      </c>
      <c r="O86" s="152" t="str">
        <f>IFERROR(__xludf.DUMMYFUNCTION("if(K86="""","""",iferror(filter(Schedule!$S:$S&amp;""-""&amp;Schedule!$T:$T,Schedule!$L:$L=K86,(Schedule!$J:$J="""")+(Schedule!$J:$J=L86),(Schedule!$K:$K=""b"")+(Schedule!$K:$K=""""),Schedule!$S:$S&lt;&gt;""""),""""))"),"")</f>
        <v/>
      </c>
      <c r="P86" s="152" t="str">
        <f>IFERROR(__xludf.DUMMYFUNCTION("if(K86="""","""",iferror(filter(Schedule!$Y:$Y&amp;""-""&amp;Schedule!$Z:$Z,Schedule!$L:$L=K86,(Schedule!$J:$J="""")+(Schedule!$J:$J=L86),(Schedule!$K:$K=""a"")+(Schedule!$K:$K=""""),Schedule!$Y:$Y&lt;&gt;""""),""""))"),"")</f>
        <v/>
      </c>
      <c r="Q86" s="152" t="str">
        <f>IFERROR(__xludf.DUMMYFUNCTION("if(K86="""","""",iferror(filter(Schedule!$P:$P&amp;""-""&amp;Schedule!$Q:$Q,Schedule!$L:$L=K86,(Schedule!$J:$J="""")+(Schedule!$J:$J=L86),(Schedule!$K:$K=""b"")+(Schedule!$K:$K=""""),Schedule!$P:$P&lt;&gt;""""),""""))"),"")</f>
        <v/>
      </c>
      <c r="R86" s="152" t="str">
        <f>if(M82="","","X-Block")</f>
        <v/>
      </c>
      <c r="S86" s="60"/>
      <c r="T86" s="155"/>
      <c r="U86" s="155" t="str">
        <f>W82</f>
        <v/>
      </c>
      <c r="V86" s="151" t="str">
        <f>AC82</f>
        <v/>
      </c>
      <c r="W86" s="147">
        <v>3.0</v>
      </c>
      <c r="X86" s="152" t="str">
        <f>IFERROR(__xludf.DUMMYFUNCTION("if(U86="""","""",iferror(filter(Schedule!$S:$S&amp;""-""&amp;Schedule!$T:$T,Schedule!$L:$L=U86,(Schedule!$J:$J="""")+(Schedule!$J:$J=V86),(Schedule!$K:$K=""a"")+(Schedule!$K:$K=""""),Schedule!$S:$S&lt;&gt;""""),""""))"),"")</f>
        <v/>
      </c>
      <c r="Y86" s="152" t="str">
        <f>IFERROR(__xludf.DUMMYFUNCTION("if(U86="""","""",iferror(filter(Schedule!$S:$S&amp;""-""&amp;Schedule!$T:$T,Schedule!$L:$L=U86,(Schedule!$J:$J="""")+(Schedule!$J:$J=V86),(Schedule!$K:$K=""b"")+(Schedule!$K:$K=""""),Schedule!$S:$S&lt;&gt;""""),""""))"),"")</f>
        <v/>
      </c>
      <c r="Z86" s="152" t="str">
        <f>IFERROR(__xludf.DUMMYFUNCTION("if(U86="""","""",iferror(filter(Schedule!$Y:$Y&amp;""-""&amp;Schedule!$Z:$Z,Schedule!$L:$L=U86,(Schedule!$J:$J="""")+(Schedule!$J:$J=V86),(Schedule!$K:$K=""a"")+(Schedule!$K:$K=""""),Schedule!$Y:$Y&lt;&gt;""""),""""))"),"")</f>
        <v/>
      </c>
      <c r="AA86" s="152" t="str">
        <f>IFERROR(__xludf.DUMMYFUNCTION("if(U86="""","""",iferror(filter(Schedule!$P:$P&amp;""-""&amp;Schedule!$Q:$Q,Schedule!$L:$L=U86,(Schedule!$J:$J="""")+(Schedule!$J:$J=V86),(Schedule!$K:$K=""b"")+(Schedule!$K:$K=""""),Schedule!$P:$P&lt;&gt;""""),""""))"),"")</f>
        <v/>
      </c>
      <c r="AB86" s="152" t="str">
        <f>if(W82="","","X-Block")</f>
        <v/>
      </c>
      <c r="AC86" s="60"/>
      <c r="AD86" s="155"/>
      <c r="AE86" s="155" t="str">
        <f>AG82</f>
        <v/>
      </c>
      <c r="AF86" s="151" t="str">
        <f>AM82</f>
        <v/>
      </c>
      <c r="AG86" s="147">
        <v>3.0</v>
      </c>
      <c r="AH86" s="152" t="str">
        <f>IFERROR(__xludf.DUMMYFUNCTION("if(AE86="""","""",iferror(filter(Schedule!$S:$S&amp;""-""&amp;Schedule!$T:$T,Schedule!$L:$L=AE86,(Schedule!$J:$J="""")+(Schedule!$J:$J=AF86),(Schedule!$K:$K=""a"")+(Schedule!$K:$K=""""),Schedule!$S:$S&lt;&gt;""""),""""))"),"")</f>
        <v/>
      </c>
      <c r="AI86" s="152" t="str">
        <f>IFERROR(__xludf.DUMMYFUNCTION("if(AE86="""","""",iferror(filter(Schedule!$S:$S&amp;""-""&amp;Schedule!$T:$T,Schedule!$L:$L=AE86,(Schedule!$J:$J="""")+(Schedule!$J:$J=AF86),(Schedule!$K:$K=""b"")+(Schedule!$K:$K=""""),Schedule!$S:$S&lt;&gt;""""),""""))"),"")</f>
        <v/>
      </c>
      <c r="AJ86" s="152" t="str">
        <f>IFERROR(__xludf.DUMMYFUNCTION("if(AE86="""","""",iferror(filter(Schedule!$Y:$Y&amp;""-""&amp;Schedule!$Z:$Z,Schedule!$L:$L=AE86,(Schedule!$J:$J="""")+(Schedule!$J:$J=AF86),(Schedule!$K:$K=""a"")+(Schedule!$K:$K=""""),Schedule!$Y:$Y&lt;&gt;""""),""""))"),"")</f>
        <v/>
      </c>
      <c r="AK86" s="152" t="str">
        <f>IFERROR(__xludf.DUMMYFUNCTION("if(AE86="""","""",iferror(filter(Schedule!$P:$P&amp;""-""&amp;Schedule!$Q:$Q,Schedule!$L:$L=AE86,(Schedule!$J:$J="""")+(Schedule!$J:$J=AF86),(Schedule!$K:$K=""b"")+(Schedule!$K:$K=""""),Schedule!$P:$P&lt;&gt;""""),""""))"),"")</f>
        <v/>
      </c>
      <c r="AL86" s="152" t="str">
        <f>if(AG82="","","X-Block")</f>
        <v/>
      </c>
      <c r="AM86" s="60"/>
    </row>
    <row r="87">
      <c r="A87" s="151" t="str">
        <f>C82</f>
        <v>Jordi Tur tur</v>
      </c>
      <c r="B87" s="151" t="str">
        <f>I82</f>
        <v>Y</v>
      </c>
      <c r="C87" s="147">
        <v>4.0</v>
      </c>
      <c r="D87" s="152" t="str">
        <f>IFERROR(__xludf.DUMMYFUNCTION("if(A87="""","""",iferror(filter(Schedule!$V:$V&amp;""-""&amp;Schedule!$W:$W,Schedule!$L:$L=A87,(Schedule!$J:$J="""")+(Schedule!$J:$J=B87),(Schedule!$K:$K=""a"")+(Schedule!$K:$K=""""),Schedule!$V:$V&lt;&gt;""""),""""))"),"")</f>
        <v/>
      </c>
      <c r="E87" s="152" t="str">
        <f>IFERROR(__xludf.DUMMYFUNCTION("if(A87="""","""",iferror(filter(Schedule!$M:$M&amp;""-""&amp;Schedule!$N:$N,Schedule!$L:$L=A87,(Schedule!$J:$J="""")+(Schedule!$J:$J=B87),(Schedule!$K:$K=""b"")+(Schedule!$K:$K=""""),Schedule!$M:$M&lt;&gt;""""),""""))"),"English 7-1")</f>
        <v>English 7-1</v>
      </c>
      <c r="F87" s="152" t="str">
        <f>IFERROR(__xludf.DUMMYFUNCTION("if(A87="""","""",iferror(filter(Schedule!$AB:$AB&amp;""-""&amp;Schedule!$AC:$AC,Schedule!$L:$L=A87,(Schedule!$J:$J="""")+(Schedule!$J:$J=B87),(Schedule!$K:$K=""a"")+(Schedule!$K:$K=""""),Schedule!$AB:$AB&lt;&gt;""""),""""))"),"English 7-6")</f>
        <v>English 7-6</v>
      </c>
      <c r="G87" s="152" t="str">
        <f>IFERROR(__xludf.DUMMYFUNCTION("if(A87="""","""",iferror(filter(Schedule!$S:$S&amp;""-""&amp;Schedule!$T:$T,Schedule!$L:$L=A87,(Schedule!$J:$J="""")+(Schedule!$J:$J=B87),(Schedule!$K:$K=""b"")+(Schedule!$K:$K=""""),Schedule!$S:$S&lt;&gt;""""),""""))"),"English 7-3")</f>
        <v>English 7-3</v>
      </c>
      <c r="H87" s="152" t="str">
        <f>IFERROR(__xludf.DUMMYFUNCTION("if(A87="""","""",iferror(filter(Schedule!$V:$V&amp;""-""&amp;Schedule!$W:$W,Schedule!$L:$L=A87,(Schedule!$J:$J="""")+(Schedule!$J:$J=B87),(Schedule!$K:$K=""b"")+(Schedule!$K:$K=""""),Schedule!$V:$V&lt;&gt;""""),""""))"),"")</f>
        <v/>
      </c>
      <c r="I87" s="60"/>
      <c r="J87" s="154"/>
      <c r="K87" s="151" t="str">
        <f>M82</f>
        <v/>
      </c>
      <c r="L87" s="151" t="str">
        <f>S82</f>
        <v/>
      </c>
      <c r="M87" s="147">
        <v>4.0</v>
      </c>
      <c r="N87" s="152" t="str">
        <f>IFERROR(__xludf.DUMMYFUNCTION("if(K87="""","""",iferror(filter(Schedule!$V:$V&amp;""-""&amp;Schedule!$W:$W,Schedule!$L:$L=K87,(Schedule!$J:$J="""")+(Schedule!$J:$J=L87),(Schedule!$K:$K=""a"")+(Schedule!$K:$K=""""),Schedule!$V:$V&lt;&gt;""""),""""))"),"")</f>
        <v/>
      </c>
      <c r="O87" s="152" t="str">
        <f>IFERROR(__xludf.DUMMYFUNCTION("if(K87="""","""",iferror(filter(Schedule!$M:$M&amp;""-""&amp;Schedule!$N:$N,Schedule!$L:$L=K87,(Schedule!$J:$J="""")+(Schedule!$J:$J=L87),(Schedule!$K:$K=""b"")+(Schedule!$K:$K=""""),Schedule!$M:$M&lt;&gt;""""),""""))"),"")</f>
        <v/>
      </c>
      <c r="P87" s="152" t="str">
        <f>IFERROR(__xludf.DUMMYFUNCTION("if(K87="""","""",iferror(filter(Schedule!$AB:$AB&amp;""-""&amp;Schedule!$AC:$AC,Schedule!$L:$L=K87,(Schedule!$J:$J="""")+(Schedule!$J:$J=L87),(Schedule!$K:$K=""a"")+(Schedule!$K:$K=""""),Schedule!$AB:$AB&lt;&gt;""""),""""))"),"")</f>
        <v/>
      </c>
      <c r="Q87" s="152" t="str">
        <f>IFERROR(__xludf.DUMMYFUNCTION("if(K87="""","""",iferror(filter(Schedule!$S:$S&amp;""-""&amp;Schedule!$T:$T,Schedule!$L:$L=K87,(Schedule!$J:$J="""")+(Schedule!$J:$J=L87),(Schedule!$K:$K=""b"")+(Schedule!$K:$K=""""),Schedule!$S:$S&lt;&gt;""""),""""))"),"")</f>
        <v/>
      </c>
      <c r="R87" s="152" t="str">
        <f>IFERROR(__xludf.DUMMYFUNCTION("if(K87="""","""",iferror(filter(Schedule!$V:$V&amp;""-""&amp;Schedule!$W:$W,Schedule!$L:$L=K87,(Schedule!$J:$J="""")+(Schedule!$J:$J=L87),(Schedule!$K:$K=""b"")+(Schedule!$K:$K=""""),Schedule!$V:$V&lt;&gt;""""),""""))"),"")</f>
        <v/>
      </c>
      <c r="S87" s="60"/>
      <c r="T87" s="155"/>
      <c r="U87" s="155" t="str">
        <f>W82</f>
        <v/>
      </c>
      <c r="V87" s="151" t="str">
        <f>AC82</f>
        <v/>
      </c>
      <c r="W87" s="147">
        <v>4.0</v>
      </c>
      <c r="X87" s="152" t="str">
        <f>IFERROR(__xludf.DUMMYFUNCTION("if(U87="""","""",iferror(filter(Schedule!$V:$V&amp;""-""&amp;Schedule!$W:$W,Schedule!$L:$L=U87,(Schedule!$J:$J="""")+(Schedule!$J:$J=V87),(Schedule!$K:$K=""a"")+(Schedule!$K:$K=""""),Schedule!$V:$V&lt;&gt;""""),""""))"),"")</f>
        <v/>
      </c>
      <c r="Y87" s="152" t="str">
        <f>IFERROR(__xludf.DUMMYFUNCTION("if(U87="""","""",iferror(filter(Schedule!$M:$M&amp;""-""&amp;Schedule!$N:$N,Schedule!$L:$L=U87,(Schedule!$J:$J="""")+(Schedule!$J:$J=V87),(Schedule!$K:$K=""b"")+(Schedule!$K:$K=""""),Schedule!$M:$M&lt;&gt;""""),""""))"),"")</f>
        <v/>
      </c>
      <c r="Z87" s="152" t="str">
        <f>IFERROR(__xludf.DUMMYFUNCTION("if(U87="""","""",iferror(filter(Schedule!$AB:$AB&amp;""-""&amp;Schedule!$AC:$AC,Schedule!$L:$L=U87,(Schedule!$J:$J="""")+(Schedule!$J:$J=V87),(Schedule!$K:$K=""a"")+(Schedule!$K:$K=""""),Schedule!$AB:$AB&lt;&gt;""""),""""))"),"")</f>
        <v/>
      </c>
      <c r="AA87" s="152" t="str">
        <f>IFERROR(__xludf.DUMMYFUNCTION("if(U87="""","""",iferror(filter(Schedule!$S:$S&amp;""-""&amp;Schedule!$T:$T,Schedule!$L:$L=U87,(Schedule!$J:$J="""")+(Schedule!$J:$J=V87),(Schedule!$K:$K=""b"")+(Schedule!$K:$K=""""),Schedule!$S:$S&lt;&gt;""""),""""))"),"")</f>
        <v/>
      </c>
      <c r="AB87" s="152" t="str">
        <f>IFERROR(__xludf.DUMMYFUNCTION("if(U87="""","""",iferror(filter(Schedule!$V:$V&amp;""-""&amp;Schedule!$W:$W,Schedule!$L:$L=U87,(Schedule!$J:$J="""")+(Schedule!$J:$J=V87),(Schedule!$K:$K=""b"")+(Schedule!$K:$K=""""),Schedule!$V:$V&lt;&gt;""""),""""))"),"")</f>
        <v/>
      </c>
      <c r="AC87" s="60"/>
      <c r="AD87" s="155"/>
      <c r="AE87" s="155" t="str">
        <f>AG82</f>
        <v/>
      </c>
      <c r="AF87" s="151" t="str">
        <f>AM82</f>
        <v/>
      </c>
      <c r="AG87" s="147">
        <v>4.0</v>
      </c>
      <c r="AH87" s="152" t="str">
        <f>IFERROR(__xludf.DUMMYFUNCTION("if(AE87="""","""",iferror(filter(Schedule!$V:$V&amp;""-""&amp;Schedule!$W:$W,Schedule!$L:$L=AE87,(Schedule!$J:$J="""")+(Schedule!$J:$J=AF87),(Schedule!$K:$K=""a"")+(Schedule!$K:$K=""""),Schedule!$V:$V&lt;&gt;""""),""""))"),"")</f>
        <v/>
      </c>
      <c r="AI87" s="152" t="str">
        <f>IFERROR(__xludf.DUMMYFUNCTION("if(AE87="""","""",iferror(filter(Schedule!$M:$M&amp;""-""&amp;Schedule!$N:$N,Schedule!$L:$L=AE87,(Schedule!$J:$J="""")+(Schedule!$J:$J=AF87),(Schedule!$K:$K=""b"")+(Schedule!$K:$K=""""),Schedule!$M:$M&lt;&gt;""""),""""))"),"")</f>
        <v/>
      </c>
      <c r="AJ87" s="152" t="str">
        <f>IFERROR(__xludf.DUMMYFUNCTION("if(AE87="""","""",iferror(filter(Schedule!$AB:$AB&amp;""-""&amp;Schedule!$AC:$AC,Schedule!$L:$L=AE87,(Schedule!$J:$J="""")+(Schedule!$J:$J=AF87),(Schedule!$K:$K=""a"")+(Schedule!$K:$K=""""),Schedule!$AB:$AB&lt;&gt;""""),""""))"),"")</f>
        <v/>
      </c>
      <c r="AK87" s="152" t="str">
        <f>IFERROR(__xludf.DUMMYFUNCTION("if(AE87="""","""",iferror(filter(Schedule!$S:$S&amp;""-""&amp;Schedule!$T:$T,Schedule!$L:$L=AE87,(Schedule!$J:$J="""")+(Schedule!$J:$J=AF87),(Schedule!$K:$K=""b"")+(Schedule!$K:$K=""""),Schedule!$S:$S&lt;&gt;""""),""""))"),"")</f>
        <v/>
      </c>
      <c r="AL87" s="152" t="str">
        <f>IFERROR(__xludf.DUMMYFUNCTION("if(AE87="""","""",iferror(filter(Schedule!$V:$V&amp;""-""&amp;Schedule!$W:$W,Schedule!$L:$L=AE87,(Schedule!$J:$J="""")+(Schedule!$J:$J=AF87),(Schedule!$K:$K=""b"")+(Schedule!$K:$K=""""),Schedule!$V:$V&lt;&gt;""""),""""))"),"")</f>
        <v/>
      </c>
      <c r="AM87" s="60"/>
    </row>
    <row r="88">
      <c r="A88" s="151" t="str">
        <f>C82</f>
        <v>Jordi Tur tur</v>
      </c>
      <c r="B88" s="151" t="str">
        <f>I82</f>
        <v>Y</v>
      </c>
      <c r="C88" s="147">
        <v>5.0</v>
      </c>
      <c r="D88" s="152" t="str">
        <f>IFERROR(__xludf.DUMMYFUNCTION("if(A88="""","""",iferror(filter(Schedule!$Y:$Y&amp;""-""&amp;Schedule!$Z:$Z,Schedule!$L:$L=A88,(Schedule!$J:$J="""")+(Schedule!$J:$J=B88),(Schedule!$K:$K=""a"")+(Schedule!$K:$K=""""),Schedule!$Y:$Y&lt;&gt;""""),""""))"),"English 7A-5")</f>
        <v>English 7A-5</v>
      </c>
      <c r="E88" s="152" t="str">
        <f>IFERROR(__xludf.DUMMYFUNCTION("if(A88="""","""",iferror(filter(Schedule!$P:$P&amp;""-""&amp;Schedule!$Q:$Q,Schedule!$L:$L=A88,(Schedule!$J:$J="""")+(Schedule!$J:$J=B88),(Schedule!$K:$K=""b"")+(Schedule!$K:$K=""""),Schedule!$P:$P&lt;&gt;""""),""""))"),"")</f>
        <v/>
      </c>
      <c r="F88" s="152" t="str">
        <f>IFERROR(__xludf.DUMMYFUNCTION("if(A88="""","""",iferror(filter(Schedule!$V:$V&amp;""-""&amp;Schedule!$W:$W,Schedule!$L:$L=A88,(Schedule!$J:$J="""")+(Schedule!$J:$J=B88),(Schedule!$K:$K=""b"")+(Schedule!$K:$K=""""),Schedule!$V:$V&lt;&gt;""""),""""))"),"")</f>
        <v/>
      </c>
      <c r="G88" s="152" t="str">
        <f>IFERROR(__xludf.DUMMYFUNCTION("if(A88="""","""",iferror(filter(Schedule!$AB:$AB&amp;""-""&amp;Schedule!$AC:$AC,Schedule!$L:$L=A88,(Schedule!$J:$J="""")+(Schedule!$J:$J=B88),(Schedule!$K:$K=""b"")+(Schedule!$K:$K=""""),Schedule!$AB:$AB&lt;&gt;""""),""""))"),"English 7-6")</f>
        <v>English 7-6</v>
      </c>
      <c r="H88" s="152" t="str">
        <f>IFERROR(__xludf.DUMMYFUNCTION("if(A88="""","""",iferror(filter(Schedule!$M:$M&amp;""-""&amp;Schedule!$N:$N,Schedule!$L:$L=A88,(Schedule!$J:$J="""")+(Schedule!$J:$J=B88),(Schedule!$K:$K=""b"")+(Schedule!$K:$K=""""),Schedule!$M:$M&lt;&gt;""""),""""))"),"English 7-1")</f>
        <v>English 7-1</v>
      </c>
      <c r="I88" s="64"/>
      <c r="J88" s="154"/>
      <c r="K88" s="151" t="str">
        <f>M82</f>
        <v/>
      </c>
      <c r="L88" s="151" t="str">
        <f>S82</f>
        <v/>
      </c>
      <c r="M88" s="147">
        <v>5.0</v>
      </c>
      <c r="N88" s="152" t="str">
        <f>IFERROR(__xludf.DUMMYFUNCTION("if(K88="""","""",iferror(filter(Schedule!$Y:$Y&amp;""-""&amp;Schedule!$Z:$Z,Schedule!$L:$L=K88,(Schedule!$J:$J="""")+(Schedule!$J:$J=L88),(Schedule!$K:$K=""a"")+(Schedule!$K:$K=""""),Schedule!$Y:$Y&lt;&gt;""""),""""))"),"")</f>
        <v/>
      </c>
      <c r="O88" s="152" t="str">
        <f>IFERROR(__xludf.DUMMYFUNCTION("if(K88="""","""",iferror(filter(Schedule!$P:$P&amp;""-""&amp;Schedule!$Q:$Q,Schedule!$L:$L=K88,(Schedule!$J:$J="""")+(Schedule!$J:$J=L88),(Schedule!$K:$K=""b"")+(Schedule!$K:$K=""""),Schedule!$P:$P&lt;&gt;""""),""""))"),"")</f>
        <v/>
      </c>
      <c r="P88" s="152" t="str">
        <f>IFERROR(__xludf.DUMMYFUNCTION("if(K88="""","""",iferror(filter(Schedule!$V:$V&amp;""-""&amp;Schedule!$W:$W,Schedule!$L:$L=K88,(Schedule!$J:$J="""")+(Schedule!$J:$J=L88),(Schedule!$K:$K=""b"")+(Schedule!$K:$K=""""),Schedule!$V:$V&lt;&gt;""""),""""))"),"")</f>
        <v/>
      </c>
      <c r="Q88" s="152" t="str">
        <f>IFERROR(__xludf.DUMMYFUNCTION("if(K88="""","""",iferror(filter(Schedule!$AB:$AB&amp;""-""&amp;Schedule!$AC:$AC,Schedule!$L:$L=K88,(Schedule!$J:$J="""")+(Schedule!$J:$J=L88),(Schedule!$K:$K=""b"")+(Schedule!$K:$K=""""),Schedule!$AB:$AB&lt;&gt;""""),""""))"),"")</f>
        <v/>
      </c>
      <c r="R88" s="152" t="str">
        <f>IFERROR(__xludf.DUMMYFUNCTION("if(K88="""","""",iferror(filter(Schedule!$M:$M&amp;""-""&amp;Schedule!$N:$N,Schedule!$L:$L=K88,(Schedule!$J:$J="""")+(Schedule!$J:$J=L88),(Schedule!$K:$K=""b"")+(Schedule!$K:$K=""""),Schedule!$M:$M&lt;&gt;""""),""""))"),"")</f>
        <v/>
      </c>
      <c r="S88" s="64"/>
      <c r="T88" s="155"/>
      <c r="U88" s="155" t="str">
        <f>W82</f>
        <v/>
      </c>
      <c r="V88" s="151" t="str">
        <f>AC82</f>
        <v/>
      </c>
      <c r="W88" s="147">
        <v>5.0</v>
      </c>
      <c r="X88" s="152" t="str">
        <f>IFERROR(__xludf.DUMMYFUNCTION("if(U88="""","""",iferror(filter(Schedule!$Y:$Y&amp;""-""&amp;Schedule!$Z:$Z,Schedule!$L:$L=U88,(Schedule!$J:$J="""")+(Schedule!$J:$J=V88),(Schedule!$K:$K=""a"")+(Schedule!$K:$K=""""),Schedule!$Y:$Y&lt;&gt;""""),""""))"),"")</f>
        <v/>
      </c>
      <c r="Y88" s="152" t="str">
        <f>IFERROR(__xludf.DUMMYFUNCTION("if(U88="""","""",iferror(filter(Schedule!$P:$P&amp;""-""&amp;Schedule!$Q:$Q,Schedule!$L:$L=U88,(Schedule!$J:$J="""")+(Schedule!$J:$J=V88),(Schedule!$K:$K=""b"")+(Schedule!$K:$K=""""),Schedule!$P:$P&lt;&gt;""""),""""))"),"")</f>
        <v/>
      </c>
      <c r="Z88" s="152" t="str">
        <f>IFERROR(__xludf.DUMMYFUNCTION("if(U88="""","""",iferror(filter(Schedule!$V:$V&amp;""-""&amp;Schedule!$W:$W,Schedule!$L:$L=U88,(Schedule!$J:$J="""")+(Schedule!$J:$J=V88),(Schedule!$K:$K=""b"")+(Schedule!$K:$K=""""),Schedule!$V:$V&lt;&gt;""""),""""))"),"")</f>
        <v/>
      </c>
      <c r="AA88" s="152" t="str">
        <f>IFERROR(__xludf.DUMMYFUNCTION("if(U88="""","""",iferror(filter(Schedule!$AB:$AB&amp;""-""&amp;Schedule!$AC:$AC,Schedule!$L:$L=U88,(Schedule!$J:$J="""")+(Schedule!$J:$J=V88),(Schedule!$K:$K=""b"")+(Schedule!$K:$K=""""),Schedule!$AB:$AB&lt;&gt;""""),""""))"),"")</f>
        <v/>
      </c>
      <c r="AB88" s="152" t="str">
        <f>IFERROR(__xludf.DUMMYFUNCTION("if(U88="""","""",iferror(filter(Schedule!$M:$M&amp;""-""&amp;Schedule!$N:$N,Schedule!$L:$L=U88,(Schedule!$J:$J="""")+(Schedule!$J:$J=V88),(Schedule!$K:$K=""b"")+(Schedule!$K:$K=""""),Schedule!$M:$M&lt;&gt;""""),""""))"),"")</f>
        <v/>
      </c>
      <c r="AC88" s="64"/>
      <c r="AD88" s="155"/>
      <c r="AE88" s="155" t="str">
        <f>AG82</f>
        <v/>
      </c>
      <c r="AF88" s="151" t="str">
        <f>AM82</f>
        <v/>
      </c>
      <c r="AG88" s="147">
        <v>5.0</v>
      </c>
      <c r="AH88" s="152" t="str">
        <f>IFERROR(__xludf.DUMMYFUNCTION("if(AE88="""","""",iferror(filter(Schedule!$Y:$Y&amp;""-""&amp;Schedule!$Z:$Z,Schedule!$L:$L=AE88,(Schedule!$J:$J="""")+(Schedule!$J:$J=AF88),(Schedule!$K:$K=""a"")+(Schedule!$K:$K=""""),Schedule!$Y:$Y&lt;&gt;""""),""""))"),"")</f>
        <v/>
      </c>
      <c r="AI88" s="152" t="str">
        <f>IFERROR(__xludf.DUMMYFUNCTION("if(AE88="""","""",iferror(filter(Schedule!$P:$P&amp;""-""&amp;Schedule!$Q:$Q,Schedule!$L:$L=AE88,(Schedule!$J:$J="""")+(Schedule!$J:$J=AF88),(Schedule!$K:$K=""b"")+(Schedule!$K:$K=""""),Schedule!$P:$P&lt;&gt;""""),""""))"),"")</f>
        <v/>
      </c>
      <c r="AJ88" s="152" t="str">
        <f>IFERROR(__xludf.DUMMYFUNCTION("if(AE88="""","""",iferror(filter(Schedule!$V:$V&amp;""-""&amp;Schedule!$W:$W,Schedule!$L:$L=AE88,(Schedule!$J:$J="""")+(Schedule!$J:$J=AF88),(Schedule!$K:$K=""b"")+(Schedule!$K:$K=""""),Schedule!$V:$V&lt;&gt;""""),""""))"),"")</f>
        <v/>
      </c>
      <c r="AK88" s="152" t="str">
        <f>IFERROR(__xludf.DUMMYFUNCTION("if(AE88="""","""",iferror(filter(Schedule!$AB:$AB&amp;""-""&amp;Schedule!$AC:$AC,Schedule!$L:$L=AE88,(Schedule!$J:$J="""")+(Schedule!$J:$J=AF88),(Schedule!$K:$K=""b"")+(Schedule!$K:$K=""""),Schedule!$AB:$AB&lt;&gt;""""),""""))"),"")</f>
        <v/>
      </c>
      <c r="AL88" s="152" t="str">
        <f>IFERROR(__xludf.DUMMYFUNCTION("if(AE88="""","""",iferror(filter(Schedule!$M:$M&amp;""-""&amp;Schedule!$N:$N,Schedule!$L:$L=AE88,(Schedule!$J:$J="""")+(Schedule!$J:$J=AF88),(Schedule!$K:$K=""b"")+(Schedule!$K:$K=""""),Schedule!$M:$M&lt;&gt;""""),""""))"),"")</f>
        <v/>
      </c>
      <c r="AM88" s="64"/>
    </row>
    <row r="89">
      <c r="A89" s="11"/>
      <c r="B89" s="11"/>
      <c r="C89" s="156"/>
      <c r="D89" s="156"/>
      <c r="E89" s="156"/>
      <c r="F89" s="156"/>
      <c r="G89" s="156"/>
      <c r="H89" s="156"/>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c r="A90" s="5"/>
      <c r="B90" s="5"/>
      <c r="C90" s="140" t="str">
        <f>Teachers!A12</f>
        <v>Joshua Vissers</v>
      </c>
      <c r="D90" s="141"/>
      <c r="E90" s="141"/>
      <c r="F90" s="141"/>
      <c r="G90" s="141"/>
      <c r="H90" s="142"/>
      <c r="I90" s="143" t="str">
        <f>IFERROR(__xludf.DUMMYFUNCTION("if(C90="""","""", iferror(unique(filter(Schedule!$J:$J,Schedule!$L:$L=$C90,Schedule!$J:$J=""Q1"")),iferror(unique(filter(Schedule!$J:$J,Schedule!$L:$L=$C90,Schedule!$J:$J=""S1"")),""Y"")))"),"Y")</f>
        <v>Y</v>
      </c>
      <c r="J90" s="11"/>
      <c r="K90" s="11"/>
      <c r="L90" s="11"/>
      <c r="M90" s="140" t="str">
        <f>if(S90="","",C90)</f>
        <v/>
      </c>
      <c r="N90" s="141"/>
      <c r="O90" s="141"/>
      <c r="P90" s="141"/>
      <c r="Q90" s="141"/>
      <c r="R90" s="142"/>
      <c r="S90" s="143" t="str">
        <f>if($I90="Q1","Q2",if($I90="S1","S2",""))</f>
        <v/>
      </c>
      <c r="T90" s="144"/>
      <c r="U90" s="144"/>
      <c r="V90" s="145"/>
      <c r="W90" s="140" t="str">
        <f>if(AC90="","",M90)</f>
        <v/>
      </c>
      <c r="X90" s="141"/>
      <c r="Y90" s="141"/>
      <c r="Z90" s="141"/>
      <c r="AA90" s="141"/>
      <c r="AB90" s="142"/>
      <c r="AC90" s="143" t="str">
        <f>if($I90="Q1","Q3","")</f>
        <v/>
      </c>
      <c r="AD90" s="144"/>
      <c r="AE90" s="144"/>
      <c r="AF90" s="145"/>
      <c r="AG90" s="140" t="str">
        <f>if(AC90="","",W90)</f>
        <v/>
      </c>
      <c r="AH90" s="141"/>
      <c r="AI90" s="141"/>
      <c r="AJ90" s="141"/>
      <c r="AK90" s="141"/>
      <c r="AL90" s="142"/>
      <c r="AM90" s="143" t="str">
        <f>if($I90="Q1","Q4","")</f>
        <v/>
      </c>
    </row>
    <row r="91">
      <c r="A91" s="146"/>
      <c r="B91" s="146"/>
      <c r="C91" s="147" t="s">
        <v>94</v>
      </c>
      <c r="D91" s="148" t="s">
        <v>95</v>
      </c>
      <c r="E91" s="148" t="s">
        <v>96</v>
      </c>
      <c r="F91" s="148" t="s">
        <v>97</v>
      </c>
      <c r="G91" s="148" t="s">
        <v>98</v>
      </c>
      <c r="H91" s="148" t="s">
        <v>99</v>
      </c>
      <c r="I91" s="148" t="s">
        <v>651</v>
      </c>
      <c r="J91" s="146"/>
      <c r="K91" s="146"/>
      <c r="L91" s="146"/>
      <c r="M91" s="147" t="s">
        <v>94</v>
      </c>
      <c r="N91" s="148" t="s">
        <v>95</v>
      </c>
      <c r="O91" s="148" t="s">
        <v>96</v>
      </c>
      <c r="P91" s="148" t="s">
        <v>97</v>
      </c>
      <c r="Q91" s="148" t="s">
        <v>98</v>
      </c>
      <c r="R91" s="148" t="s">
        <v>99</v>
      </c>
      <c r="S91" s="148" t="s">
        <v>651</v>
      </c>
      <c r="T91" s="149"/>
      <c r="U91" s="149"/>
      <c r="V91" s="150"/>
      <c r="W91" s="147" t="s">
        <v>94</v>
      </c>
      <c r="X91" s="148" t="s">
        <v>95</v>
      </c>
      <c r="Y91" s="148" t="s">
        <v>96</v>
      </c>
      <c r="Z91" s="148" t="s">
        <v>97</v>
      </c>
      <c r="AA91" s="148" t="s">
        <v>98</v>
      </c>
      <c r="AB91" s="148" t="s">
        <v>99</v>
      </c>
      <c r="AC91" s="148" t="s">
        <v>651</v>
      </c>
      <c r="AD91" s="149"/>
      <c r="AE91" s="149"/>
      <c r="AF91" s="150"/>
      <c r="AG91" s="147" t="s">
        <v>94</v>
      </c>
      <c r="AH91" s="148" t="s">
        <v>95</v>
      </c>
      <c r="AI91" s="148" t="s">
        <v>96</v>
      </c>
      <c r="AJ91" s="148" t="s">
        <v>97</v>
      </c>
      <c r="AK91" s="148" t="s">
        <v>98</v>
      </c>
      <c r="AL91" s="148" t="s">
        <v>99</v>
      </c>
      <c r="AM91" s="148" t="s">
        <v>651</v>
      </c>
    </row>
    <row r="92">
      <c r="A92" s="151" t="str">
        <f>C90</f>
        <v>Joshua Vissers</v>
      </c>
      <c r="B92" s="151" t="str">
        <f>I90</f>
        <v>Y</v>
      </c>
      <c r="C92" s="147">
        <v>1.0</v>
      </c>
      <c r="D92" s="152" t="str">
        <f>IFERROR(__xludf.DUMMYFUNCTION("if(A92="""","""",iferror(filter(Schedule!$M:$M&amp;""-""&amp;Schedule!$N:$N,Schedule!$L:$L=A92,(Schedule!$J:$J="""")+(Schedule!$J:$J=B92),(Schedule!$K:$K=""a"")+(Schedule!$K:$K=""""),Schedule!$M:$M&lt;&gt;""""),""""))"),"")</f>
        <v/>
      </c>
      <c r="E92" s="152" t="str">
        <f>IFERROR(__xludf.DUMMYFUNCTION("if(A92="""","""",iferror(filter(Schedule!$AB:$AB&amp;""-""&amp;Schedule!$AC:$AC,Schedule!$L:$L=A92,(Schedule!$J:$J="""")+(Schedule!$J:$J=B92),(Schedule!$K:$K=""b"")+(Schedule!$K:$K=""""),Schedule!$AB:$AB&lt;&gt;""""),""""))"),"")</f>
        <v/>
      </c>
      <c r="F92" s="152" t="str">
        <f>IFERROR(__xludf.DUMMYFUNCTION("if(A92="""","""",iferror(filter(Schedule!$S:$S&amp;""-""&amp;Schedule!$T:$T,Schedule!$L:$L=A92,(Schedule!$J:$J="""")+(Schedule!$J:$J=B92),(Schedule!$K:$K=""a"")+(Schedule!$K:$K=""""),Schedule!$S:$S&lt;&gt;""""),""""))"),"Sociales 8-3")</f>
        <v>Sociales 8-3</v>
      </c>
      <c r="G92" s="152" t="str">
        <f>IFERROR(__xludf.DUMMYFUNCTION("if(A92="""","""",iferror(filter(Schedule!$V:$V&amp;""-""&amp;Schedule!$W:$W,Schedule!$L:$L=A92,(Schedule!$J:$J="""")+(Schedule!$J:$J=B92),(Schedule!$K:$K=""a"")+(Schedule!$K:$K=""""),Schedule!$V:$V&lt;&gt;""""),""""))"),"Sociales 8-5")</f>
        <v>Sociales 8-5</v>
      </c>
      <c r="H92" s="152" t="str">
        <f>IFERROR(__xludf.DUMMYFUNCTION("if(A92="""","""",iferror(filter(Schedule!$Y:$Y&amp;""-""&amp;Schedule!$Z:$Z,Schedule!$L:$L=A92,(Schedule!$J:$J="""")+(Schedule!$J:$J=B92),(Schedule!$K:$K=""b"")+(Schedule!$K:$K=""""),Schedule!$Y:$Y&lt;&gt;""""),""""))"),"Sociales 8-6")</f>
        <v>Sociales 8-6</v>
      </c>
      <c r="I92" s="153">
        <f>if(C90="","", 24-countifs(D92:H96,""))</f>
        <v>16</v>
      </c>
      <c r="J92" s="154"/>
      <c r="K92" s="151" t="str">
        <f>M90</f>
        <v/>
      </c>
      <c r="L92" s="151" t="str">
        <f>S90</f>
        <v/>
      </c>
      <c r="M92" s="147">
        <v>1.0</v>
      </c>
      <c r="N92" s="152" t="str">
        <f>IFERROR(__xludf.DUMMYFUNCTION("if(K92="""","""",iferror(filter(Schedule!$M:$M&amp;""-""&amp;Schedule!$N:$N,Schedule!$L:$L=K92,(Schedule!$J:$J="""")+(Schedule!$J:$J=L92),(Schedule!$K:$K=""a"")+(Schedule!$K:$K=""""),Schedule!$M:$M&lt;&gt;""""),""""))"),"")</f>
        <v/>
      </c>
      <c r="O92" s="152" t="str">
        <f>IFERROR(__xludf.DUMMYFUNCTION("if(K92="""","""",iferror(filter(Schedule!$AB:$AB&amp;""-""&amp;Schedule!$AC:$AC,Schedule!$L:$L=K92,(Schedule!$J:$J="""")+(Schedule!$J:$J=L92),(Schedule!$K:$K=""b"")+(Schedule!$K:$K=""""),Schedule!$AB:$AB&lt;&gt;""""),""""))"),"")</f>
        <v/>
      </c>
      <c r="P92" s="152" t="str">
        <f>IFERROR(__xludf.DUMMYFUNCTION("if(K92="""","""",iferror(filter(Schedule!$S:$S&amp;""-""&amp;Schedule!$T:$T,Schedule!$L:$L=K92,(Schedule!$J:$J="""")+(Schedule!$J:$J=L92),(Schedule!$K:$K=""a"")+(Schedule!$K:$K=""""),Schedule!$S:$S&lt;&gt;""""),""""))"),"")</f>
        <v/>
      </c>
      <c r="Q92" s="152" t="str">
        <f>IFERROR(__xludf.DUMMYFUNCTION("if(K92="""","""",iferror(filter(Schedule!$V:$V&amp;""-""&amp;Schedule!$W:$W,Schedule!$L:$L=K92,(Schedule!$J:$J="""")+(Schedule!$J:$J=L92),(Schedule!$K:$K=""a"")+(Schedule!$K:$K=""""),Schedule!$V:$V&lt;&gt;""""),""""))"),"")</f>
        <v/>
      </c>
      <c r="R92" s="152" t="str">
        <f>IFERROR(__xludf.DUMMYFUNCTION("if(K92="""","""",iferror(filter(Schedule!$Y:$Y&amp;""-""&amp;Schedule!$Z:$Z,Schedule!$L:$L=K92,(Schedule!$J:$J="""")+(Schedule!$J:$J=L92),(Schedule!$K:$K=""b"")+(Schedule!$K:$K=""""),Schedule!$Y:$Y&lt;&gt;""""),""""))"),"")</f>
        <v/>
      </c>
      <c r="S92" s="153" t="str">
        <f>if(K92="","", 24-countifs(N92:R96,""))</f>
        <v/>
      </c>
      <c r="T92" s="155"/>
      <c r="U92" s="155" t="str">
        <f>W90</f>
        <v/>
      </c>
      <c r="V92" s="151" t="str">
        <f>AC90</f>
        <v/>
      </c>
      <c r="W92" s="147">
        <v>1.0</v>
      </c>
      <c r="X92" s="152" t="str">
        <f>IFERROR(__xludf.DUMMYFUNCTION("if(U92="""","""",iferror(filter(Schedule!$M:$M&amp;""-""&amp;Schedule!$N:$N,Schedule!$L:$L=U92,(Schedule!$J:$J="""")+(Schedule!$J:$J=V92),(Schedule!$K:$K=""a"")+(Schedule!$K:$K=""""),Schedule!$M:$M&lt;&gt;""""),""""))"),"")</f>
        <v/>
      </c>
      <c r="Y92" s="152" t="str">
        <f>IFERROR(__xludf.DUMMYFUNCTION("if(U92="""","""",iferror(filter(Schedule!$AB:$AB&amp;""-""&amp;Schedule!$AC:$AC,Schedule!$L:$L=U92,(Schedule!$J:$J="""")+(Schedule!$J:$J=V92),(Schedule!$K:$K=""b"")+(Schedule!$K:$K=""""),Schedule!$AB:$AB&lt;&gt;""""),""""))"),"")</f>
        <v/>
      </c>
      <c r="Z92" s="152" t="str">
        <f>IFERROR(__xludf.DUMMYFUNCTION("if(U92="""","""",iferror(filter(Schedule!$S:$S&amp;""-""&amp;Schedule!$T:$T,Schedule!$L:$L=U92,(Schedule!$J:$J="""")+(Schedule!$J:$J=V92),(Schedule!$K:$K=""a"")+(Schedule!$K:$K=""""),Schedule!$S:$S&lt;&gt;""""),""""))"),"")</f>
        <v/>
      </c>
      <c r="AA92" s="152" t="str">
        <f>IFERROR(__xludf.DUMMYFUNCTION("if(U92="""","""",iferror(filter(Schedule!$V:$V&amp;""-""&amp;Schedule!$W:$W,Schedule!$L:$L=U92,(Schedule!$J:$J="""")+(Schedule!$J:$J=V92),(Schedule!$K:$K=""a"")+(Schedule!$K:$K=""""),Schedule!$V:$V&lt;&gt;""""),""""))"),"")</f>
        <v/>
      </c>
      <c r="AB92" s="152" t="str">
        <f>IFERROR(__xludf.DUMMYFUNCTION("if(U92="""","""",iferror(filter(Schedule!$Y:$Y&amp;""-""&amp;Schedule!$Z:$Z,Schedule!$L:$L=U92,(Schedule!$J:$J="""")+(Schedule!$J:$J=V92),(Schedule!$K:$K=""b"")+(Schedule!$K:$K=""""),Schedule!$Y:$Y&lt;&gt;""""),""""))"),"")</f>
        <v/>
      </c>
      <c r="AC92" s="153" t="str">
        <f>if(U92="","", 24-countifs(X92:AB96,""))</f>
        <v/>
      </c>
      <c r="AD92" s="155"/>
      <c r="AE92" s="155" t="str">
        <f>AG90</f>
        <v/>
      </c>
      <c r="AF92" s="151" t="str">
        <f>AM90</f>
        <v/>
      </c>
      <c r="AG92" s="147">
        <v>1.0</v>
      </c>
      <c r="AH92" s="152" t="str">
        <f>IFERROR(__xludf.DUMMYFUNCTION("if(AE92="""","""",iferror(filter(Schedule!$M:$M&amp;""-""&amp;Schedule!$N:$N,Schedule!$L:$L=AE92,(Schedule!$J:$J="""")+(Schedule!$J:$J=AF92),(Schedule!$K:$K=""a"")+(Schedule!$K:$K=""""),Schedule!$M:$M&lt;&gt;""""),""""))"),"")</f>
        <v/>
      </c>
      <c r="AI92" s="152" t="str">
        <f>IFERROR(__xludf.DUMMYFUNCTION("if(AE92="""","""",iferror(filter(Schedule!$AB:$AB&amp;""-""&amp;Schedule!$AC:$AC,Schedule!$L:$L=AE92,(Schedule!$J:$J="""")+(Schedule!$J:$J=AF92),(Schedule!$K:$K=""b"")+(Schedule!$K:$K=""""),Schedule!$AB:$AB&lt;&gt;""""),""""))"),"")</f>
        <v/>
      </c>
      <c r="AJ92" s="152" t="str">
        <f>IFERROR(__xludf.DUMMYFUNCTION("if(AE92="""","""",iferror(filter(Schedule!$S:$S&amp;""-""&amp;Schedule!$T:$T,Schedule!$L:$L=AE92,(Schedule!$J:$J="""")+(Schedule!$J:$J=AF92),(Schedule!$K:$K=""a"")+(Schedule!$K:$K=""""),Schedule!$S:$S&lt;&gt;""""),""""))"),"")</f>
        <v/>
      </c>
      <c r="AK92" s="152" t="str">
        <f>IFERROR(__xludf.DUMMYFUNCTION("if(AE92="""","""",iferror(filter(Schedule!$V:$V&amp;""-""&amp;Schedule!$W:$W,Schedule!$L:$L=AE92,(Schedule!$J:$J="""")+(Schedule!$J:$J=AF92),(Schedule!$K:$K=""a"")+(Schedule!$K:$K=""""),Schedule!$V:$V&lt;&gt;""""),""""))"),"")</f>
        <v/>
      </c>
      <c r="AL92" s="152" t="str">
        <f>IFERROR(__xludf.DUMMYFUNCTION("if(AE92="""","""",iferror(filter(Schedule!$Y:$Y&amp;""-""&amp;Schedule!$Z:$Z,Schedule!$L:$L=AE92,(Schedule!$J:$J="""")+(Schedule!$J:$J=AF92),(Schedule!$K:$K=""b"")+(Schedule!$K:$K=""""),Schedule!$Y:$Y&lt;&gt;""""),""""))"),"")</f>
        <v/>
      </c>
      <c r="AM92" s="153" t="str">
        <f>if(AE92="","", 24-countifs(AH92:AL96,""))</f>
        <v/>
      </c>
    </row>
    <row r="93">
      <c r="A93" s="151" t="str">
        <f>C90</f>
        <v>Joshua Vissers</v>
      </c>
      <c r="B93" s="151" t="str">
        <f>I90</f>
        <v>Y</v>
      </c>
      <c r="C93" s="147">
        <v>2.0</v>
      </c>
      <c r="D93" s="152" t="str">
        <f>IFERROR(__xludf.DUMMYFUNCTION("if(A93="""","""",iferror(filter(Schedule!$P:$P&amp;""-""&amp;Schedule!$Q:$Q,Schedule!$L:$L=A93,(Schedule!$J:$J="""")+(Schedule!$J:$J=B93),(Schedule!$K:$K=""a"")+(Schedule!$K:$K=""""),Schedule!$P:$P&lt;&gt;""""),""""))"),"Sociales 8-2")</f>
        <v>Sociales 8-2</v>
      </c>
      <c r="E93" s="152" t="str">
        <f>IFERROR(__xludf.DUMMYFUNCTION("if(A93="""","""",iferror(filter(Schedule!$Y:$Y&amp;""-""&amp;Schedule!$Z:$Z,Schedule!$L:$L=A93,(Schedule!$J:$J="""")+(Schedule!$J:$J=B93),(Schedule!$K:$K=""b"")+(Schedule!$K:$K=""""),Schedule!$Y:$Y&lt;&gt;""""),""""))"),"Sociales 8-6")</f>
        <v>Sociales 8-6</v>
      </c>
      <c r="F93" s="152" t="str">
        <f>IFERROR(__xludf.DUMMYFUNCTION("if(A93="""","""",iferror(filter(Schedule!$P:$P&amp;""-""&amp;Schedule!$Q:$Q,Schedule!$L:$L=A93,(Schedule!$J:$J="""")+(Schedule!$J:$J=B93),(Schedule!$K:$K=""a"")+(Schedule!$K:$K=""""),Schedule!$P:$P&lt;&gt;""""),""""))"),"Sociales 8-2")</f>
        <v>Sociales 8-2</v>
      </c>
      <c r="G93" s="152" t="str">
        <f>IFERROR(__xludf.DUMMYFUNCTION("if(A93="""","""",iferror(filter(Schedule!$M:$M&amp;""-""&amp;Schedule!$N:$N,Schedule!$L:$L=A93,(Schedule!$J:$J="""")+(Schedule!$J:$J=B93),(Schedule!$K:$K=""a"")+(Schedule!$K:$K=""""),Schedule!$M:$M&lt;&gt;""""),""""))"),"")</f>
        <v/>
      </c>
      <c r="H93" s="152" t="str">
        <f>IFERROR(__xludf.DUMMYFUNCTION("if(A93="""","""",iferror(filter(Schedule!$AB:$AB&amp;""-""&amp;Schedule!$AC:$AC,Schedule!$L:$L=A93,(Schedule!$J:$J="""")+(Schedule!$J:$J=B93),(Schedule!$K:$K=""a"")+(Schedule!$K:$K=""""),Schedule!$AB:$AB&lt;&gt;""""),""""))"),"")</f>
        <v/>
      </c>
      <c r="I93" s="60"/>
      <c r="J93" s="154"/>
      <c r="K93" s="151" t="str">
        <f>M90</f>
        <v/>
      </c>
      <c r="L93" s="151" t="str">
        <f>S90</f>
        <v/>
      </c>
      <c r="M93" s="147">
        <v>2.0</v>
      </c>
      <c r="N93" s="152" t="str">
        <f>IFERROR(__xludf.DUMMYFUNCTION("if(K93="""","""",iferror(filter(Schedule!$P:$P&amp;""-""&amp;Schedule!$Q:$Q,Schedule!$L:$L=K93,(Schedule!$J:$J="""")+(Schedule!$J:$J=L93),(Schedule!$K:$K=""a"")+(Schedule!$K:$K=""""),Schedule!$P:$P&lt;&gt;""""),""""))"),"")</f>
        <v/>
      </c>
      <c r="O93" s="152" t="str">
        <f>IFERROR(__xludf.DUMMYFUNCTION("if(K93="""","""",iferror(filter(Schedule!$Y:$Y&amp;""-""&amp;Schedule!$Z:$Z,Schedule!$L:$L=K93,(Schedule!$J:$J="""")+(Schedule!$J:$J=L93),(Schedule!$K:$K=""b"")+(Schedule!$K:$K=""""),Schedule!$Y:$Y&lt;&gt;""""),""""))"),"")</f>
        <v/>
      </c>
      <c r="P93" s="152" t="str">
        <f>IFERROR(__xludf.DUMMYFUNCTION("if(K93="""","""",iferror(filter(Schedule!$P:$P&amp;""-""&amp;Schedule!$Q:$Q,Schedule!$L:$L=K93,(Schedule!$J:$J="""")+(Schedule!$J:$J=L93),(Schedule!$K:$K=""a"")+(Schedule!$K:$K=""""),Schedule!$P:$P&lt;&gt;""""),""""))"),"")</f>
        <v/>
      </c>
      <c r="Q93" s="152" t="str">
        <f>IFERROR(__xludf.DUMMYFUNCTION("if(K93="""","""",iferror(filter(Schedule!$M:$M&amp;""-""&amp;Schedule!$N:$N,Schedule!$L:$L=K93,(Schedule!$J:$J="""")+(Schedule!$J:$J=L93),(Schedule!$K:$K=""a"")+(Schedule!$K:$K=""""),Schedule!$M:$M&lt;&gt;""""),""""))"),"")</f>
        <v/>
      </c>
      <c r="R93" s="152" t="str">
        <f>IFERROR(__xludf.DUMMYFUNCTION("if(K93="""","""",iferror(filter(Schedule!$AB:$AB&amp;""-""&amp;Schedule!$AC:$AC,Schedule!$L:$L=K93,(Schedule!$J:$J="""")+(Schedule!$J:$J=L93),(Schedule!$K:$K=""a"")+(Schedule!$K:$K=""""),Schedule!$AB:$AB&lt;&gt;""""),""""))"),"")</f>
        <v/>
      </c>
      <c r="S93" s="60"/>
      <c r="T93" s="155"/>
      <c r="U93" s="155" t="str">
        <f>W90</f>
        <v/>
      </c>
      <c r="V93" s="151" t="str">
        <f>AC90</f>
        <v/>
      </c>
      <c r="W93" s="147">
        <v>2.0</v>
      </c>
      <c r="X93" s="152" t="str">
        <f>IFERROR(__xludf.DUMMYFUNCTION("if(U93="""","""",iferror(filter(Schedule!$P:$P&amp;""-""&amp;Schedule!$Q:$Q,Schedule!$L:$L=U93,(Schedule!$J:$J="""")+(Schedule!$J:$J=V93),(Schedule!$K:$K=""a"")+(Schedule!$K:$K=""""),Schedule!$P:$P&lt;&gt;""""),""""))"),"")</f>
        <v/>
      </c>
      <c r="Y93" s="152" t="str">
        <f>IFERROR(__xludf.DUMMYFUNCTION("if(U93="""","""",iferror(filter(Schedule!$Y:$Y&amp;""-""&amp;Schedule!$Z:$Z,Schedule!$L:$L=U93,(Schedule!$J:$J="""")+(Schedule!$J:$J=V93),(Schedule!$K:$K=""b"")+(Schedule!$K:$K=""""),Schedule!$Y:$Y&lt;&gt;""""),""""))"),"")</f>
        <v/>
      </c>
      <c r="Z93" s="152" t="str">
        <f>IFERROR(__xludf.DUMMYFUNCTION("if(U93="""","""",iferror(filter(Schedule!$P:$P&amp;""-""&amp;Schedule!$Q:$Q,Schedule!$L:$L=U93,(Schedule!$J:$J="""")+(Schedule!$J:$J=V93),(Schedule!$K:$K=""a"")+(Schedule!$K:$K=""""),Schedule!$P:$P&lt;&gt;""""),""""))"),"")</f>
        <v/>
      </c>
      <c r="AA93" s="152" t="str">
        <f>IFERROR(__xludf.DUMMYFUNCTION("if(U93="""","""",iferror(filter(Schedule!$M:$M&amp;""-""&amp;Schedule!$N:$N,Schedule!$L:$L=U93,(Schedule!$J:$J="""")+(Schedule!$J:$J=V93),(Schedule!$K:$K=""a"")+(Schedule!$K:$K=""""),Schedule!$M:$M&lt;&gt;""""),""""))"),"")</f>
        <v/>
      </c>
      <c r="AB93" s="152" t="str">
        <f>IFERROR(__xludf.DUMMYFUNCTION("if(U93="""","""",iferror(filter(Schedule!$AB:$AB&amp;""-""&amp;Schedule!$AC:$AC,Schedule!$L:$L=U93,(Schedule!$J:$J="""")+(Schedule!$J:$J=V93),(Schedule!$K:$K=""a"")+(Schedule!$K:$K=""""),Schedule!$AB:$AB&lt;&gt;""""),""""))"),"")</f>
        <v/>
      </c>
      <c r="AC93" s="60"/>
      <c r="AD93" s="155"/>
      <c r="AE93" s="155" t="str">
        <f>AG90</f>
        <v/>
      </c>
      <c r="AF93" s="151" t="str">
        <f>AM90</f>
        <v/>
      </c>
      <c r="AG93" s="147">
        <v>2.0</v>
      </c>
      <c r="AH93" s="152" t="str">
        <f>IFERROR(__xludf.DUMMYFUNCTION("if(AE93="""","""",iferror(filter(Schedule!$P:$P&amp;""-""&amp;Schedule!$Q:$Q,Schedule!$L:$L=AE93,(Schedule!$J:$J="""")+(Schedule!$J:$J=AF93),(Schedule!$K:$K=""a"")+(Schedule!$K:$K=""""),Schedule!$P:$P&lt;&gt;""""),""""))"),"")</f>
        <v/>
      </c>
      <c r="AI93" s="152" t="str">
        <f>IFERROR(__xludf.DUMMYFUNCTION("if(AE93="""","""",iferror(filter(Schedule!$Y:$Y&amp;""-""&amp;Schedule!$Z:$Z,Schedule!$L:$L=AE93,(Schedule!$J:$J="""")+(Schedule!$J:$J=AF93),(Schedule!$K:$K=""b"")+(Schedule!$K:$K=""""),Schedule!$Y:$Y&lt;&gt;""""),""""))"),"")</f>
        <v/>
      </c>
      <c r="AJ93" s="152" t="str">
        <f>IFERROR(__xludf.DUMMYFUNCTION("if(AE93="""","""",iferror(filter(Schedule!$P:$P&amp;""-""&amp;Schedule!$Q:$Q,Schedule!$L:$L=AE93,(Schedule!$J:$J="""")+(Schedule!$J:$J=AF93),(Schedule!$K:$K=""a"")+(Schedule!$K:$K=""""),Schedule!$P:$P&lt;&gt;""""),""""))"),"")</f>
        <v/>
      </c>
      <c r="AK93" s="152" t="str">
        <f>IFERROR(__xludf.DUMMYFUNCTION("if(AE93="""","""",iferror(filter(Schedule!$M:$M&amp;""-""&amp;Schedule!$N:$N,Schedule!$L:$L=AE93,(Schedule!$J:$J="""")+(Schedule!$J:$J=AF93),(Schedule!$K:$K=""a"")+(Schedule!$K:$K=""""),Schedule!$M:$M&lt;&gt;""""),""""))"),"")</f>
        <v/>
      </c>
      <c r="AL93" s="152" t="str">
        <f>IFERROR(__xludf.DUMMYFUNCTION("if(AE93="""","""",iferror(filter(Schedule!$AB:$AB&amp;""-""&amp;Schedule!$AC:$AC,Schedule!$L:$L=AE93,(Schedule!$J:$J="""")+(Schedule!$J:$J=AF93),(Schedule!$K:$K=""a"")+(Schedule!$K:$K=""""),Schedule!$AB:$AB&lt;&gt;""""),""""))"),"")</f>
        <v/>
      </c>
      <c r="AM93" s="60"/>
    </row>
    <row r="94">
      <c r="A94" s="151" t="str">
        <f>C90</f>
        <v>Joshua Vissers</v>
      </c>
      <c r="B94" s="151" t="str">
        <f>I90</f>
        <v>Y</v>
      </c>
      <c r="C94" s="147">
        <v>3.0</v>
      </c>
      <c r="D94" s="152" t="str">
        <f>IFERROR(__xludf.DUMMYFUNCTION("if(A94="""","""",iferror(filter(Schedule!$S:$S&amp;""-""&amp;Schedule!$T:$T,Schedule!$L:$L=A94,(Schedule!$J:$J="""")+(Schedule!$J:$J=B94),(Schedule!$K:$K=""a"")+(Schedule!$K:$K=""""),Schedule!$S:$S&lt;&gt;""""),""""))"),"Sociales 8-3")</f>
        <v>Sociales 8-3</v>
      </c>
      <c r="E94" s="152" t="str">
        <f>IFERROR(__xludf.DUMMYFUNCTION("if(A94="""","""",iferror(filter(Schedule!$S:$S&amp;""-""&amp;Schedule!$T:$T,Schedule!$L:$L=A94,(Schedule!$J:$J="""")+(Schedule!$J:$J=B94),(Schedule!$K:$K=""b"")+(Schedule!$K:$K=""""),Schedule!$S:$S&lt;&gt;""""),""""))"),"Sociales 8-3")</f>
        <v>Sociales 8-3</v>
      </c>
      <c r="F94" s="152" t="str">
        <f>IFERROR(__xludf.DUMMYFUNCTION("if(A94="""","""",iferror(filter(Schedule!$Y:$Y&amp;""-""&amp;Schedule!$Z:$Z,Schedule!$L:$L=A94,(Schedule!$J:$J="""")+(Schedule!$J:$J=B94),(Schedule!$K:$K=""a"")+(Schedule!$K:$K=""""),Schedule!$Y:$Y&lt;&gt;""""),""""))"),"Sociales 8-6")</f>
        <v>Sociales 8-6</v>
      </c>
      <c r="G94" s="152" t="str">
        <f>IFERROR(__xludf.DUMMYFUNCTION("if(A94="""","""",iferror(filter(Schedule!$P:$P&amp;""-""&amp;Schedule!$Q:$Q,Schedule!$L:$L=A94,(Schedule!$J:$J="""")+(Schedule!$J:$J=B94),(Schedule!$K:$K=""b"")+(Schedule!$K:$K=""""),Schedule!$P:$P&lt;&gt;""""),""""))"),"Sociales 8-2")</f>
        <v>Sociales 8-2</v>
      </c>
      <c r="H94" s="152" t="str">
        <f>if(C90="","","X-Block")</f>
        <v>X-Block</v>
      </c>
      <c r="I94" s="60"/>
      <c r="J94" s="154"/>
      <c r="K94" s="151" t="str">
        <f>M90</f>
        <v/>
      </c>
      <c r="L94" s="151" t="str">
        <f>S90</f>
        <v/>
      </c>
      <c r="M94" s="147">
        <v>3.0</v>
      </c>
      <c r="N94" s="152" t="str">
        <f>IFERROR(__xludf.DUMMYFUNCTION("if(K94="""","""",iferror(filter(Schedule!$S:$S&amp;""-""&amp;Schedule!$T:$T,Schedule!$L:$L=K94,(Schedule!$J:$J="""")+(Schedule!$J:$J=L94),(Schedule!$K:$K=""a"")+(Schedule!$K:$K=""""),Schedule!$S:$S&lt;&gt;""""),""""))"),"")</f>
        <v/>
      </c>
      <c r="O94" s="152" t="str">
        <f>IFERROR(__xludf.DUMMYFUNCTION("if(K94="""","""",iferror(filter(Schedule!$S:$S&amp;""-""&amp;Schedule!$T:$T,Schedule!$L:$L=K94,(Schedule!$J:$J="""")+(Schedule!$J:$J=L94),(Schedule!$K:$K=""b"")+(Schedule!$K:$K=""""),Schedule!$S:$S&lt;&gt;""""),""""))"),"")</f>
        <v/>
      </c>
      <c r="P94" s="152" t="str">
        <f>IFERROR(__xludf.DUMMYFUNCTION("if(K94="""","""",iferror(filter(Schedule!$Y:$Y&amp;""-""&amp;Schedule!$Z:$Z,Schedule!$L:$L=K94,(Schedule!$J:$J="""")+(Schedule!$J:$J=L94),(Schedule!$K:$K=""a"")+(Schedule!$K:$K=""""),Schedule!$Y:$Y&lt;&gt;""""),""""))"),"")</f>
        <v/>
      </c>
      <c r="Q94" s="152" t="str">
        <f>IFERROR(__xludf.DUMMYFUNCTION("if(K94="""","""",iferror(filter(Schedule!$P:$P&amp;""-""&amp;Schedule!$Q:$Q,Schedule!$L:$L=K94,(Schedule!$J:$J="""")+(Schedule!$J:$J=L94),(Schedule!$K:$K=""b"")+(Schedule!$K:$K=""""),Schedule!$P:$P&lt;&gt;""""),""""))"),"")</f>
        <v/>
      </c>
      <c r="R94" s="152" t="str">
        <f>if(M90="","","X-Block")</f>
        <v/>
      </c>
      <c r="S94" s="60"/>
      <c r="T94" s="155"/>
      <c r="U94" s="155" t="str">
        <f>W90</f>
        <v/>
      </c>
      <c r="V94" s="151" t="str">
        <f>AC90</f>
        <v/>
      </c>
      <c r="W94" s="147">
        <v>3.0</v>
      </c>
      <c r="X94" s="152" t="str">
        <f>IFERROR(__xludf.DUMMYFUNCTION("if(U94="""","""",iferror(filter(Schedule!$S:$S&amp;""-""&amp;Schedule!$T:$T,Schedule!$L:$L=U94,(Schedule!$J:$J="""")+(Schedule!$J:$J=V94),(Schedule!$K:$K=""a"")+(Schedule!$K:$K=""""),Schedule!$S:$S&lt;&gt;""""),""""))"),"")</f>
        <v/>
      </c>
      <c r="Y94" s="152" t="str">
        <f>IFERROR(__xludf.DUMMYFUNCTION("if(U94="""","""",iferror(filter(Schedule!$S:$S&amp;""-""&amp;Schedule!$T:$T,Schedule!$L:$L=U94,(Schedule!$J:$J="""")+(Schedule!$J:$J=V94),(Schedule!$K:$K=""b"")+(Schedule!$K:$K=""""),Schedule!$S:$S&lt;&gt;""""),""""))"),"")</f>
        <v/>
      </c>
      <c r="Z94" s="152" t="str">
        <f>IFERROR(__xludf.DUMMYFUNCTION("if(U94="""","""",iferror(filter(Schedule!$Y:$Y&amp;""-""&amp;Schedule!$Z:$Z,Schedule!$L:$L=U94,(Schedule!$J:$J="""")+(Schedule!$J:$J=V94),(Schedule!$K:$K=""a"")+(Schedule!$K:$K=""""),Schedule!$Y:$Y&lt;&gt;""""),""""))"),"")</f>
        <v/>
      </c>
      <c r="AA94" s="152" t="str">
        <f>IFERROR(__xludf.DUMMYFUNCTION("if(U94="""","""",iferror(filter(Schedule!$P:$P&amp;""-""&amp;Schedule!$Q:$Q,Schedule!$L:$L=U94,(Schedule!$J:$J="""")+(Schedule!$J:$J=V94),(Schedule!$K:$K=""b"")+(Schedule!$K:$K=""""),Schedule!$P:$P&lt;&gt;""""),""""))"),"")</f>
        <v/>
      </c>
      <c r="AB94" s="152" t="str">
        <f>if(W90="","","X-Block")</f>
        <v/>
      </c>
      <c r="AC94" s="60"/>
      <c r="AD94" s="155"/>
      <c r="AE94" s="155" t="str">
        <f>AG90</f>
        <v/>
      </c>
      <c r="AF94" s="151" t="str">
        <f>AM90</f>
        <v/>
      </c>
      <c r="AG94" s="147">
        <v>3.0</v>
      </c>
      <c r="AH94" s="152" t="str">
        <f>IFERROR(__xludf.DUMMYFUNCTION("if(AE94="""","""",iferror(filter(Schedule!$S:$S&amp;""-""&amp;Schedule!$T:$T,Schedule!$L:$L=AE94,(Schedule!$J:$J="""")+(Schedule!$J:$J=AF94),(Schedule!$K:$K=""a"")+(Schedule!$K:$K=""""),Schedule!$S:$S&lt;&gt;""""),""""))"),"")</f>
        <v/>
      </c>
      <c r="AI94" s="152" t="str">
        <f>IFERROR(__xludf.DUMMYFUNCTION("if(AE94="""","""",iferror(filter(Schedule!$S:$S&amp;""-""&amp;Schedule!$T:$T,Schedule!$L:$L=AE94,(Schedule!$J:$J="""")+(Schedule!$J:$J=AF94),(Schedule!$K:$K=""b"")+(Schedule!$K:$K=""""),Schedule!$S:$S&lt;&gt;""""),""""))"),"")</f>
        <v/>
      </c>
      <c r="AJ94" s="152" t="str">
        <f>IFERROR(__xludf.DUMMYFUNCTION("if(AE94="""","""",iferror(filter(Schedule!$Y:$Y&amp;""-""&amp;Schedule!$Z:$Z,Schedule!$L:$L=AE94,(Schedule!$J:$J="""")+(Schedule!$J:$J=AF94),(Schedule!$K:$K=""a"")+(Schedule!$K:$K=""""),Schedule!$Y:$Y&lt;&gt;""""),""""))"),"")</f>
        <v/>
      </c>
      <c r="AK94" s="152" t="str">
        <f>IFERROR(__xludf.DUMMYFUNCTION("if(AE94="""","""",iferror(filter(Schedule!$P:$P&amp;""-""&amp;Schedule!$Q:$Q,Schedule!$L:$L=AE94,(Schedule!$J:$J="""")+(Schedule!$J:$J=AF94),(Schedule!$K:$K=""b"")+(Schedule!$K:$K=""""),Schedule!$P:$P&lt;&gt;""""),""""))"),"")</f>
        <v/>
      </c>
      <c r="AL94" s="152" t="str">
        <f>if(AG90="","","X-Block")</f>
        <v/>
      </c>
      <c r="AM94" s="60"/>
    </row>
    <row r="95">
      <c r="A95" s="151" t="str">
        <f>C90</f>
        <v>Joshua Vissers</v>
      </c>
      <c r="B95" s="151" t="str">
        <f>I90</f>
        <v>Y</v>
      </c>
      <c r="C95" s="147">
        <v>4.0</v>
      </c>
      <c r="D95" s="152" t="str">
        <f>IFERROR(__xludf.DUMMYFUNCTION("if(A95="""","""",iferror(filter(Schedule!$V:$V&amp;""-""&amp;Schedule!$W:$W,Schedule!$L:$L=A95,(Schedule!$J:$J="""")+(Schedule!$J:$J=B95),(Schedule!$K:$K=""a"")+(Schedule!$K:$K=""""),Schedule!$V:$V&lt;&gt;""""),""""))"),"Sociales 8-5")</f>
        <v>Sociales 8-5</v>
      </c>
      <c r="E95" s="152" t="str">
        <f>IFERROR(__xludf.DUMMYFUNCTION("if(A95="""","""",iferror(filter(Schedule!$M:$M&amp;""-""&amp;Schedule!$N:$N,Schedule!$L:$L=A95,(Schedule!$J:$J="""")+(Schedule!$J:$J=B95),(Schedule!$K:$K=""b"")+(Schedule!$K:$K=""""),Schedule!$M:$M&lt;&gt;""""),""""))"),"")</f>
        <v/>
      </c>
      <c r="F95" s="152" t="str">
        <f>IFERROR(__xludf.DUMMYFUNCTION("if(A95="""","""",iferror(filter(Schedule!$AB:$AB&amp;""-""&amp;Schedule!$AC:$AC,Schedule!$L:$L=A95,(Schedule!$J:$J="""")+(Schedule!$J:$J=B95),(Schedule!$K:$K=""a"")+(Schedule!$K:$K=""""),Schedule!$AB:$AB&lt;&gt;""""),""""))"),"")</f>
        <v/>
      </c>
      <c r="G95" s="152" t="str">
        <f>IFERROR(__xludf.DUMMYFUNCTION("if(A95="""","""",iferror(filter(Schedule!$S:$S&amp;""-""&amp;Schedule!$T:$T,Schedule!$L:$L=A95,(Schedule!$J:$J="""")+(Schedule!$J:$J=B95),(Schedule!$K:$K=""b"")+(Schedule!$K:$K=""""),Schedule!$S:$S&lt;&gt;""""),""""))"),"Sociales 8-3")</f>
        <v>Sociales 8-3</v>
      </c>
      <c r="H95" s="152" t="str">
        <f>IFERROR(__xludf.DUMMYFUNCTION("if(A95="""","""",iferror(filter(Schedule!$V:$V&amp;""-""&amp;Schedule!$W:$W,Schedule!$L:$L=A95,(Schedule!$J:$J="""")+(Schedule!$J:$J=B95),(Schedule!$K:$K=""b"")+(Schedule!$K:$K=""""),Schedule!$V:$V&lt;&gt;""""),""""))"),"Sociales 8-5")</f>
        <v>Sociales 8-5</v>
      </c>
      <c r="I95" s="60"/>
      <c r="J95" s="154"/>
      <c r="K95" s="151" t="str">
        <f>M90</f>
        <v/>
      </c>
      <c r="L95" s="151" t="str">
        <f>S90</f>
        <v/>
      </c>
      <c r="M95" s="147">
        <v>4.0</v>
      </c>
      <c r="N95" s="152" t="str">
        <f>IFERROR(__xludf.DUMMYFUNCTION("if(K95="""","""",iferror(filter(Schedule!$V:$V&amp;""-""&amp;Schedule!$W:$W,Schedule!$L:$L=K95,(Schedule!$J:$J="""")+(Schedule!$J:$J=L95),(Schedule!$K:$K=""a"")+(Schedule!$K:$K=""""),Schedule!$V:$V&lt;&gt;""""),""""))"),"")</f>
        <v/>
      </c>
      <c r="O95" s="152" t="str">
        <f>IFERROR(__xludf.DUMMYFUNCTION("if(K95="""","""",iferror(filter(Schedule!$M:$M&amp;""-""&amp;Schedule!$N:$N,Schedule!$L:$L=K95,(Schedule!$J:$J="""")+(Schedule!$J:$J=L95),(Schedule!$K:$K=""b"")+(Schedule!$K:$K=""""),Schedule!$M:$M&lt;&gt;""""),""""))"),"")</f>
        <v/>
      </c>
      <c r="P95" s="152" t="str">
        <f>IFERROR(__xludf.DUMMYFUNCTION("if(K95="""","""",iferror(filter(Schedule!$AB:$AB&amp;""-""&amp;Schedule!$AC:$AC,Schedule!$L:$L=K95,(Schedule!$J:$J="""")+(Schedule!$J:$J=L95),(Schedule!$K:$K=""a"")+(Schedule!$K:$K=""""),Schedule!$AB:$AB&lt;&gt;""""),""""))"),"")</f>
        <v/>
      </c>
      <c r="Q95" s="152" t="str">
        <f>IFERROR(__xludf.DUMMYFUNCTION("if(K95="""","""",iferror(filter(Schedule!$S:$S&amp;""-""&amp;Schedule!$T:$T,Schedule!$L:$L=K95,(Schedule!$J:$J="""")+(Schedule!$J:$J=L95),(Schedule!$K:$K=""b"")+(Schedule!$K:$K=""""),Schedule!$S:$S&lt;&gt;""""),""""))"),"")</f>
        <v/>
      </c>
      <c r="R95" s="152" t="str">
        <f>IFERROR(__xludf.DUMMYFUNCTION("if(K95="""","""",iferror(filter(Schedule!$V:$V&amp;""-""&amp;Schedule!$W:$W,Schedule!$L:$L=K95,(Schedule!$J:$J="""")+(Schedule!$J:$J=L95),(Schedule!$K:$K=""b"")+(Schedule!$K:$K=""""),Schedule!$V:$V&lt;&gt;""""),""""))"),"")</f>
        <v/>
      </c>
      <c r="S95" s="60"/>
      <c r="T95" s="155"/>
      <c r="U95" s="155" t="str">
        <f>W90</f>
        <v/>
      </c>
      <c r="V95" s="151" t="str">
        <f>AC90</f>
        <v/>
      </c>
      <c r="W95" s="147">
        <v>4.0</v>
      </c>
      <c r="X95" s="152" t="str">
        <f>IFERROR(__xludf.DUMMYFUNCTION("if(U95="""","""",iferror(filter(Schedule!$V:$V&amp;""-""&amp;Schedule!$W:$W,Schedule!$L:$L=U95,(Schedule!$J:$J="""")+(Schedule!$J:$J=V95),(Schedule!$K:$K=""a"")+(Schedule!$K:$K=""""),Schedule!$V:$V&lt;&gt;""""),""""))"),"")</f>
        <v/>
      </c>
      <c r="Y95" s="152" t="str">
        <f>IFERROR(__xludf.DUMMYFUNCTION("if(U95="""","""",iferror(filter(Schedule!$M:$M&amp;""-""&amp;Schedule!$N:$N,Schedule!$L:$L=U95,(Schedule!$J:$J="""")+(Schedule!$J:$J=V95),(Schedule!$K:$K=""b"")+(Schedule!$K:$K=""""),Schedule!$M:$M&lt;&gt;""""),""""))"),"")</f>
        <v/>
      </c>
      <c r="Z95" s="152" t="str">
        <f>IFERROR(__xludf.DUMMYFUNCTION("if(U95="""","""",iferror(filter(Schedule!$AB:$AB&amp;""-""&amp;Schedule!$AC:$AC,Schedule!$L:$L=U95,(Schedule!$J:$J="""")+(Schedule!$J:$J=V95),(Schedule!$K:$K=""a"")+(Schedule!$K:$K=""""),Schedule!$AB:$AB&lt;&gt;""""),""""))"),"")</f>
        <v/>
      </c>
      <c r="AA95" s="152" t="str">
        <f>IFERROR(__xludf.DUMMYFUNCTION("if(U95="""","""",iferror(filter(Schedule!$S:$S&amp;""-""&amp;Schedule!$T:$T,Schedule!$L:$L=U95,(Schedule!$J:$J="""")+(Schedule!$J:$J=V95),(Schedule!$K:$K=""b"")+(Schedule!$K:$K=""""),Schedule!$S:$S&lt;&gt;""""),""""))"),"")</f>
        <v/>
      </c>
      <c r="AB95" s="152" t="str">
        <f>IFERROR(__xludf.DUMMYFUNCTION("if(U95="""","""",iferror(filter(Schedule!$V:$V&amp;""-""&amp;Schedule!$W:$W,Schedule!$L:$L=U95,(Schedule!$J:$J="""")+(Schedule!$J:$J=V95),(Schedule!$K:$K=""b"")+(Schedule!$K:$K=""""),Schedule!$V:$V&lt;&gt;""""),""""))"),"")</f>
        <v/>
      </c>
      <c r="AC95" s="60"/>
      <c r="AD95" s="155"/>
      <c r="AE95" s="155" t="str">
        <f>AG90</f>
        <v/>
      </c>
      <c r="AF95" s="151" t="str">
        <f>AM90</f>
        <v/>
      </c>
      <c r="AG95" s="147">
        <v>4.0</v>
      </c>
      <c r="AH95" s="152" t="str">
        <f>IFERROR(__xludf.DUMMYFUNCTION("if(AE95="""","""",iferror(filter(Schedule!$V:$V&amp;""-""&amp;Schedule!$W:$W,Schedule!$L:$L=AE95,(Schedule!$J:$J="""")+(Schedule!$J:$J=AF95),(Schedule!$K:$K=""a"")+(Schedule!$K:$K=""""),Schedule!$V:$V&lt;&gt;""""),""""))"),"")</f>
        <v/>
      </c>
      <c r="AI95" s="152" t="str">
        <f>IFERROR(__xludf.DUMMYFUNCTION("if(AE95="""","""",iferror(filter(Schedule!$M:$M&amp;""-""&amp;Schedule!$N:$N,Schedule!$L:$L=AE95,(Schedule!$J:$J="""")+(Schedule!$J:$J=AF95),(Schedule!$K:$K=""b"")+(Schedule!$K:$K=""""),Schedule!$M:$M&lt;&gt;""""),""""))"),"")</f>
        <v/>
      </c>
      <c r="AJ95" s="152" t="str">
        <f>IFERROR(__xludf.DUMMYFUNCTION("if(AE95="""","""",iferror(filter(Schedule!$AB:$AB&amp;""-""&amp;Schedule!$AC:$AC,Schedule!$L:$L=AE95,(Schedule!$J:$J="""")+(Schedule!$J:$J=AF95),(Schedule!$K:$K=""a"")+(Schedule!$K:$K=""""),Schedule!$AB:$AB&lt;&gt;""""),""""))"),"")</f>
        <v/>
      </c>
      <c r="AK95" s="152" t="str">
        <f>IFERROR(__xludf.DUMMYFUNCTION("if(AE95="""","""",iferror(filter(Schedule!$S:$S&amp;""-""&amp;Schedule!$T:$T,Schedule!$L:$L=AE95,(Schedule!$J:$J="""")+(Schedule!$J:$J=AF95),(Schedule!$K:$K=""b"")+(Schedule!$K:$K=""""),Schedule!$S:$S&lt;&gt;""""),""""))"),"")</f>
        <v/>
      </c>
      <c r="AL95" s="152" t="str">
        <f>IFERROR(__xludf.DUMMYFUNCTION("if(AE95="""","""",iferror(filter(Schedule!$V:$V&amp;""-""&amp;Schedule!$W:$W,Schedule!$L:$L=AE95,(Schedule!$J:$J="""")+(Schedule!$J:$J=AF95),(Schedule!$K:$K=""b"")+(Schedule!$K:$K=""""),Schedule!$V:$V&lt;&gt;""""),""""))"),"")</f>
        <v/>
      </c>
      <c r="AM95" s="60"/>
    </row>
    <row r="96">
      <c r="A96" s="151" t="str">
        <f>C90</f>
        <v>Joshua Vissers</v>
      </c>
      <c r="B96" s="151" t="str">
        <f>I90</f>
        <v>Y</v>
      </c>
      <c r="C96" s="147">
        <v>5.0</v>
      </c>
      <c r="D96" s="152" t="str">
        <f>IFERROR(__xludf.DUMMYFUNCTION("if(A96="""","""",iferror(filter(Schedule!$Y:$Y&amp;""-""&amp;Schedule!$Z:$Z,Schedule!$L:$L=A96,(Schedule!$J:$J="""")+(Schedule!$J:$J=B96),(Schedule!$K:$K=""a"")+(Schedule!$K:$K=""""),Schedule!$Y:$Y&lt;&gt;""""),""""))"),"Sociales 8-6")</f>
        <v>Sociales 8-6</v>
      </c>
      <c r="E96" s="152" t="str">
        <f>IFERROR(__xludf.DUMMYFUNCTION("if(A96="""","""",iferror(filter(Schedule!$P:$P&amp;""-""&amp;Schedule!$Q:$Q,Schedule!$L:$L=A96,(Schedule!$J:$J="""")+(Schedule!$J:$J=B96),(Schedule!$K:$K=""b"")+(Schedule!$K:$K=""""),Schedule!$P:$P&lt;&gt;""""),""""))"),"Sociales 8-2")</f>
        <v>Sociales 8-2</v>
      </c>
      <c r="F96" s="152" t="str">
        <f>IFERROR(__xludf.DUMMYFUNCTION("if(A96="""","""",iferror(filter(Schedule!$V:$V&amp;""-""&amp;Schedule!$W:$W,Schedule!$L:$L=A96,(Schedule!$J:$J="""")+(Schedule!$J:$J=B96),(Schedule!$K:$K=""b"")+(Schedule!$K:$K=""""),Schedule!$V:$V&lt;&gt;""""),""""))"),"Sociales 8-5")</f>
        <v>Sociales 8-5</v>
      </c>
      <c r="G96" s="152" t="str">
        <f>IFERROR(__xludf.DUMMYFUNCTION("if(A96="""","""",iferror(filter(Schedule!$AB:$AB&amp;""-""&amp;Schedule!$AC:$AC,Schedule!$L:$L=A96,(Schedule!$J:$J="""")+(Schedule!$J:$J=B96),(Schedule!$K:$K=""b"")+(Schedule!$K:$K=""""),Schedule!$AB:$AB&lt;&gt;""""),""""))"),"")</f>
        <v/>
      </c>
      <c r="H96" s="152" t="str">
        <f>IFERROR(__xludf.DUMMYFUNCTION("if(A96="""","""",iferror(filter(Schedule!$M:$M&amp;""-""&amp;Schedule!$N:$N,Schedule!$L:$L=A96,(Schedule!$J:$J="""")+(Schedule!$J:$J=B96),(Schedule!$K:$K=""b"")+(Schedule!$K:$K=""""),Schedule!$M:$M&lt;&gt;""""),""""))"),"")</f>
        <v/>
      </c>
      <c r="I96" s="64"/>
      <c r="J96" s="154"/>
      <c r="K96" s="151" t="str">
        <f>M90</f>
        <v/>
      </c>
      <c r="L96" s="151" t="str">
        <f>S90</f>
        <v/>
      </c>
      <c r="M96" s="147">
        <v>5.0</v>
      </c>
      <c r="N96" s="152" t="str">
        <f>IFERROR(__xludf.DUMMYFUNCTION("if(K96="""","""",iferror(filter(Schedule!$Y:$Y&amp;""-""&amp;Schedule!$Z:$Z,Schedule!$L:$L=K96,(Schedule!$J:$J="""")+(Schedule!$J:$J=L96),(Schedule!$K:$K=""a"")+(Schedule!$K:$K=""""),Schedule!$Y:$Y&lt;&gt;""""),""""))"),"")</f>
        <v/>
      </c>
      <c r="O96" s="152" t="str">
        <f>IFERROR(__xludf.DUMMYFUNCTION("if(K96="""","""",iferror(filter(Schedule!$P:$P&amp;""-""&amp;Schedule!$Q:$Q,Schedule!$L:$L=K96,(Schedule!$J:$J="""")+(Schedule!$J:$J=L96),(Schedule!$K:$K=""b"")+(Schedule!$K:$K=""""),Schedule!$P:$P&lt;&gt;""""),""""))"),"")</f>
        <v/>
      </c>
      <c r="P96" s="152" t="str">
        <f>IFERROR(__xludf.DUMMYFUNCTION("if(K96="""","""",iferror(filter(Schedule!$V:$V&amp;""-""&amp;Schedule!$W:$W,Schedule!$L:$L=K96,(Schedule!$J:$J="""")+(Schedule!$J:$J=L96),(Schedule!$K:$K=""b"")+(Schedule!$K:$K=""""),Schedule!$V:$V&lt;&gt;""""),""""))"),"")</f>
        <v/>
      </c>
      <c r="Q96" s="152" t="str">
        <f>IFERROR(__xludf.DUMMYFUNCTION("if(K96="""","""",iferror(filter(Schedule!$AB:$AB&amp;""-""&amp;Schedule!$AC:$AC,Schedule!$L:$L=K96,(Schedule!$J:$J="""")+(Schedule!$J:$J=L96),(Schedule!$K:$K=""b"")+(Schedule!$K:$K=""""),Schedule!$AB:$AB&lt;&gt;""""),""""))"),"")</f>
        <v/>
      </c>
      <c r="R96" s="152" t="str">
        <f>IFERROR(__xludf.DUMMYFUNCTION("if(K96="""","""",iferror(filter(Schedule!$M:$M&amp;""-""&amp;Schedule!$N:$N,Schedule!$L:$L=K96,(Schedule!$J:$J="""")+(Schedule!$J:$J=L96),(Schedule!$K:$K=""b"")+(Schedule!$K:$K=""""),Schedule!$M:$M&lt;&gt;""""),""""))"),"")</f>
        <v/>
      </c>
      <c r="S96" s="64"/>
      <c r="T96" s="155"/>
      <c r="U96" s="155" t="str">
        <f>W90</f>
        <v/>
      </c>
      <c r="V96" s="151" t="str">
        <f>AC90</f>
        <v/>
      </c>
      <c r="W96" s="147">
        <v>5.0</v>
      </c>
      <c r="X96" s="152" t="str">
        <f>IFERROR(__xludf.DUMMYFUNCTION("if(U96="""","""",iferror(filter(Schedule!$Y:$Y&amp;""-""&amp;Schedule!$Z:$Z,Schedule!$L:$L=U96,(Schedule!$J:$J="""")+(Schedule!$J:$J=V96),(Schedule!$K:$K=""a"")+(Schedule!$K:$K=""""),Schedule!$Y:$Y&lt;&gt;""""),""""))"),"")</f>
        <v/>
      </c>
      <c r="Y96" s="152" t="str">
        <f>IFERROR(__xludf.DUMMYFUNCTION("if(U96="""","""",iferror(filter(Schedule!$P:$P&amp;""-""&amp;Schedule!$Q:$Q,Schedule!$L:$L=U96,(Schedule!$J:$J="""")+(Schedule!$J:$J=V96),(Schedule!$K:$K=""b"")+(Schedule!$K:$K=""""),Schedule!$P:$P&lt;&gt;""""),""""))"),"")</f>
        <v/>
      </c>
      <c r="Z96" s="152" t="str">
        <f>IFERROR(__xludf.DUMMYFUNCTION("if(U96="""","""",iferror(filter(Schedule!$V:$V&amp;""-""&amp;Schedule!$W:$W,Schedule!$L:$L=U96,(Schedule!$J:$J="""")+(Schedule!$J:$J=V96),(Schedule!$K:$K=""b"")+(Schedule!$K:$K=""""),Schedule!$V:$V&lt;&gt;""""),""""))"),"")</f>
        <v/>
      </c>
      <c r="AA96" s="152" t="str">
        <f>IFERROR(__xludf.DUMMYFUNCTION("if(U96="""","""",iferror(filter(Schedule!$AB:$AB&amp;""-""&amp;Schedule!$AC:$AC,Schedule!$L:$L=U96,(Schedule!$J:$J="""")+(Schedule!$J:$J=V96),(Schedule!$K:$K=""b"")+(Schedule!$K:$K=""""),Schedule!$AB:$AB&lt;&gt;""""),""""))"),"")</f>
        <v/>
      </c>
      <c r="AB96" s="152" t="str">
        <f>IFERROR(__xludf.DUMMYFUNCTION("if(U96="""","""",iferror(filter(Schedule!$M:$M&amp;""-""&amp;Schedule!$N:$N,Schedule!$L:$L=U96,(Schedule!$J:$J="""")+(Schedule!$J:$J=V96),(Schedule!$K:$K=""b"")+(Schedule!$K:$K=""""),Schedule!$M:$M&lt;&gt;""""),""""))"),"")</f>
        <v/>
      </c>
      <c r="AC96" s="64"/>
      <c r="AD96" s="155"/>
      <c r="AE96" s="155" t="str">
        <f>AG90</f>
        <v/>
      </c>
      <c r="AF96" s="151" t="str">
        <f>AM90</f>
        <v/>
      </c>
      <c r="AG96" s="147">
        <v>5.0</v>
      </c>
      <c r="AH96" s="152" t="str">
        <f>IFERROR(__xludf.DUMMYFUNCTION("if(AE96="""","""",iferror(filter(Schedule!$Y:$Y&amp;""-""&amp;Schedule!$Z:$Z,Schedule!$L:$L=AE96,(Schedule!$J:$J="""")+(Schedule!$J:$J=AF96),(Schedule!$K:$K=""a"")+(Schedule!$K:$K=""""),Schedule!$Y:$Y&lt;&gt;""""),""""))"),"")</f>
        <v/>
      </c>
      <c r="AI96" s="152" t="str">
        <f>IFERROR(__xludf.DUMMYFUNCTION("if(AE96="""","""",iferror(filter(Schedule!$P:$P&amp;""-""&amp;Schedule!$Q:$Q,Schedule!$L:$L=AE96,(Schedule!$J:$J="""")+(Schedule!$J:$J=AF96),(Schedule!$K:$K=""b"")+(Schedule!$K:$K=""""),Schedule!$P:$P&lt;&gt;""""),""""))"),"")</f>
        <v/>
      </c>
      <c r="AJ96" s="152" t="str">
        <f>IFERROR(__xludf.DUMMYFUNCTION("if(AE96="""","""",iferror(filter(Schedule!$V:$V&amp;""-""&amp;Schedule!$W:$W,Schedule!$L:$L=AE96,(Schedule!$J:$J="""")+(Schedule!$J:$J=AF96),(Schedule!$K:$K=""b"")+(Schedule!$K:$K=""""),Schedule!$V:$V&lt;&gt;""""),""""))"),"")</f>
        <v/>
      </c>
      <c r="AK96" s="152" t="str">
        <f>IFERROR(__xludf.DUMMYFUNCTION("if(AE96="""","""",iferror(filter(Schedule!$AB:$AB&amp;""-""&amp;Schedule!$AC:$AC,Schedule!$L:$L=AE96,(Schedule!$J:$J="""")+(Schedule!$J:$J=AF96),(Schedule!$K:$K=""b"")+(Schedule!$K:$K=""""),Schedule!$AB:$AB&lt;&gt;""""),""""))"),"")</f>
        <v/>
      </c>
      <c r="AL96" s="152" t="str">
        <f>IFERROR(__xludf.DUMMYFUNCTION("if(AE96="""","""",iferror(filter(Schedule!$M:$M&amp;""-""&amp;Schedule!$N:$N,Schedule!$L:$L=AE96,(Schedule!$J:$J="""")+(Schedule!$J:$J=AF96),(Schedule!$K:$K=""b"")+(Schedule!$K:$K=""""),Schedule!$M:$M&lt;&gt;""""),""""))"),"")</f>
        <v/>
      </c>
      <c r="AM96" s="64"/>
    </row>
    <row r="97">
      <c r="A97" s="11"/>
      <c r="B97" s="11"/>
      <c r="C97" s="156"/>
      <c r="D97" s="156"/>
      <c r="E97" s="156"/>
      <c r="F97" s="156"/>
      <c r="G97" s="156"/>
      <c r="H97" s="156"/>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c r="A98" s="5"/>
      <c r="B98" s="5"/>
      <c r="C98" s="140" t="str">
        <f>Teachers!A13</f>
        <v>Juan Pablo</v>
      </c>
      <c r="D98" s="141"/>
      <c r="E98" s="141"/>
      <c r="F98" s="141"/>
      <c r="G98" s="141"/>
      <c r="H98" s="142"/>
      <c r="I98" s="143" t="str">
        <f>IFERROR(__xludf.DUMMYFUNCTION("if(C98="""","""", iferror(unique(filter(Schedule!$J:$J,Schedule!$L:$L=$C98,Schedule!$J:$J=""Q1"")),iferror(unique(filter(Schedule!$J:$J,Schedule!$L:$L=$C98,Schedule!$J:$J=""S1"")),""Y"")))"),"Y")</f>
        <v>Y</v>
      </c>
      <c r="J98" s="11"/>
      <c r="K98" s="11"/>
      <c r="L98" s="11"/>
      <c r="M98" s="140" t="str">
        <f>if(S98="","",C98)</f>
        <v/>
      </c>
      <c r="N98" s="141"/>
      <c r="O98" s="141"/>
      <c r="P98" s="141"/>
      <c r="Q98" s="141"/>
      <c r="R98" s="142"/>
      <c r="S98" s="143" t="str">
        <f>if($I98="Q1","Q2",if($I98="S1","S2",""))</f>
        <v/>
      </c>
      <c r="T98" s="144"/>
      <c r="U98" s="144"/>
      <c r="V98" s="145"/>
      <c r="W98" s="140" t="str">
        <f>if(AC98="","",M98)</f>
        <v/>
      </c>
      <c r="X98" s="141"/>
      <c r="Y98" s="141"/>
      <c r="Z98" s="141"/>
      <c r="AA98" s="141"/>
      <c r="AB98" s="142"/>
      <c r="AC98" s="143" t="str">
        <f>if($I98="Q1","Q3","")</f>
        <v/>
      </c>
      <c r="AD98" s="144"/>
      <c r="AE98" s="144"/>
      <c r="AF98" s="145"/>
      <c r="AG98" s="140" t="str">
        <f>if(AC98="","",W98)</f>
        <v/>
      </c>
      <c r="AH98" s="141"/>
      <c r="AI98" s="141"/>
      <c r="AJ98" s="141"/>
      <c r="AK98" s="141"/>
      <c r="AL98" s="142"/>
      <c r="AM98" s="143" t="str">
        <f>if($I98="Q1","Q4","")</f>
        <v/>
      </c>
    </row>
    <row r="99">
      <c r="A99" s="146"/>
      <c r="B99" s="146"/>
      <c r="C99" s="147" t="s">
        <v>94</v>
      </c>
      <c r="D99" s="148" t="s">
        <v>95</v>
      </c>
      <c r="E99" s="148" t="s">
        <v>96</v>
      </c>
      <c r="F99" s="148" t="s">
        <v>97</v>
      </c>
      <c r="G99" s="148" t="s">
        <v>98</v>
      </c>
      <c r="H99" s="148" t="s">
        <v>99</v>
      </c>
      <c r="I99" s="148" t="s">
        <v>651</v>
      </c>
      <c r="J99" s="146"/>
      <c r="K99" s="146"/>
      <c r="L99" s="146"/>
      <c r="M99" s="147" t="s">
        <v>94</v>
      </c>
      <c r="N99" s="148" t="s">
        <v>95</v>
      </c>
      <c r="O99" s="148" t="s">
        <v>96</v>
      </c>
      <c r="P99" s="148" t="s">
        <v>97</v>
      </c>
      <c r="Q99" s="148" t="s">
        <v>98</v>
      </c>
      <c r="R99" s="148" t="s">
        <v>99</v>
      </c>
      <c r="S99" s="148" t="s">
        <v>651</v>
      </c>
      <c r="T99" s="149"/>
      <c r="U99" s="149"/>
      <c r="V99" s="150"/>
      <c r="W99" s="147" t="s">
        <v>94</v>
      </c>
      <c r="X99" s="148" t="s">
        <v>95</v>
      </c>
      <c r="Y99" s="148" t="s">
        <v>96</v>
      </c>
      <c r="Z99" s="148" t="s">
        <v>97</v>
      </c>
      <c r="AA99" s="148" t="s">
        <v>98</v>
      </c>
      <c r="AB99" s="148" t="s">
        <v>99</v>
      </c>
      <c r="AC99" s="148" t="s">
        <v>651</v>
      </c>
      <c r="AD99" s="149"/>
      <c r="AE99" s="149"/>
      <c r="AF99" s="150"/>
      <c r="AG99" s="147" t="s">
        <v>94</v>
      </c>
      <c r="AH99" s="148" t="s">
        <v>95</v>
      </c>
      <c r="AI99" s="148" t="s">
        <v>96</v>
      </c>
      <c r="AJ99" s="148" t="s">
        <v>97</v>
      </c>
      <c r="AK99" s="148" t="s">
        <v>98</v>
      </c>
      <c r="AL99" s="148" t="s">
        <v>99</v>
      </c>
      <c r="AM99" s="148" t="s">
        <v>651</v>
      </c>
    </row>
    <row r="100">
      <c r="A100" s="151" t="str">
        <f>C98</f>
        <v>Juan Pablo</v>
      </c>
      <c r="B100" s="151" t="str">
        <f>I98</f>
        <v>Y</v>
      </c>
      <c r="C100" s="147">
        <v>1.0</v>
      </c>
      <c r="D100" s="152" t="str">
        <f>IFERROR(__xludf.DUMMYFUNCTION("if(A100="""","""",iferror(filter(Schedule!$M:$M&amp;""-""&amp;Schedule!$N:$N,Schedule!$L:$L=A100,(Schedule!$J:$J="""")+(Schedule!$J:$J=B100),(Schedule!$K:$K=""a"")+(Schedule!$K:$K=""""),Schedule!$M:$M&lt;&gt;""""),""""))"),"PE 6-1")</f>
        <v>PE 6-1</v>
      </c>
      <c r="E100" s="152" t="str">
        <f>IFERROR(__xludf.DUMMYFUNCTION("if(A100="""","""",iferror(filter(Schedule!$AB:$AB&amp;""-""&amp;Schedule!$AC:$AC,Schedule!$L:$L=A100,(Schedule!$J:$J="""")+(Schedule!$J:$J=B100),(Schedule!$K:$K=""b"")+(Schedule!$K:$K=""""),Schedule!$AB:$AB&lt;&gt;""""),""""))"),"PE 6-6")</f>
        <v>PE 6-6</v>
      </c>
      <c r="F100" s="152" t="str">
        <f>IFERROR(__xludf.DUMMYFUNCTION("if(A100="""","""",iferror(filter(Schedule!$S:$S&amp;""-""&amp;Schedule!$T:$T,Schedule!$L:$L=A100,(Schedule!$J:$J="""")+(Schedule!$J:$J=B100),(Schedule!$K:$K=""a"")+(Schedule!$K:$K=""""),Schedule!$S:$S&lt;&gt;""""),""""))"),"")</f>
        <v/>
      </c>
      <c r="G100" s="152" t="str">
        <f>IFERROR(__xludf.DUMMYFUNCTION("if(A100="""","""",iferror(filter(Schedule!$V:$V&amp;""-""&amp;Schedule!$W:$W,Schedule!$L:$L=A100,(Schedule!$J:$J="""")+(Schedule!$J:$J=B100),(Schedule!$K:$K=""a"")+(Schedule!$K:$K=""""),Schedule!$V:$V&lt;&gt;""""),""""))"),"PE 7-5")</f>
        <v>PE 7-5</v>
      </c>
      <c r="H100" s="152" t="str">
        <f>IFERROR(__xludf.DUMMYFUNCTION("if(A100="""","""",iferror(filter(Schedule!$Y:$Y&amp;""-""&amp;Schedule!$Z:$Z,Schedule!$L:$L=A100,(Schedule!$J:$J="""")+(Schedule!$J:$J=B100),(Schedule!$K:$K=""b"")+(Schedule!$K:$K=""""),Schedule!$Y:$Y&lt;&gt;""""),""""))"),"PE 6-4")</f>
        <v>PE 6-4</v>
      </c>
      <c r="I100" s="153">
        <f>if(C98="","", 24-countifs(D100:H104,""))</f>
        <v>18</v>
      </c>
      <c r="J100" s="154"/>
      <c r="K100" s="151" t="str">
        <f>M98</f>
        <v/>
      </c>
      <c r="L100" s="151" t="str">
        <f>S98</f>
        <v/>
      </c>
      <c r="M100" s="147">
        <v>1.0</v>
      </c>
      <c r="N100" s="152" t="str">
        <f>IFERROR(__xludf.DUMMYFUNCTION("if(K100="""","""",iferror(filter(Schedule!$M:$M&amp;""-""&amp;Schedule!$N:$N,Schedule!$L:$L=K100,(Schedule!$J:$J="""")+(Schedule!$J:$J=L100),(Schedule!$K:$K=""a"")+(Schedule!$K:$K=""""),Schedule!$M:$M&lt;&gt;""""),""""))"),"")</f>
        <v/>
      </c>
      <c r="O100" s="152" t="str">
        <f>IFERROR(__xludf.DUMMYFUNCTION("if(K100="""","""",iferror(filter(Schedule!$AB:$AB&amp;""-""&amp;Schedule!$AC:$AC,Schedule!$L:$L=K100,(Schedule!$J:$J="""")+(Schedule!$J:$J=L100),(Schedule!$K:$K=""b"")+(Schedule!$K:$K=""""),Schedule!$AB:$AB&lt;&gt;""""),""""))"),"")</f>
        <v/>
      </c>
      <c r="P100" s="152" t="str">
        <f>IFERROR(__xludf.DUMMYFUNCTION("if(K100="""","""",iferror(filter(Schedule!$S:$S&amp;""-""&amp;Schedule!$T:$T,Schedule!$L:$L=K100,(Schedule!$J:$J="""")+(Schedule!$J:$J=L100),(Schedule!$K:$K=""a"")+(Schedule!$K:$K=""""),Schedule!$S:$S&lt;&gt;""""),""""))"),"")</f>
        <v/>
      </c>
      <c r="Q100" s="152" t="str">
        <f>IFERROR(__xludf.DUMMYFUNCTION("if(K100="""","""",iferror(filter(Schedule!$V:$V&amp;""-""&amp;Schedule!$W:$W,Schedule!$L:$L=K100,(Schedule!$J:$J="""")+(Schedule!$J:$J=L100),(Schedule!$K:$K=""a"")+(Schedule!$K:$K=""""),Schedule!$V:$V&lt;&gt;""""),""""))"),"")</f>
        <v/>
      </c>
      <c r="R100" s="152" t="str">
        <f>IFERROR(__xludf.DUMMYFUNCTION("if(K100="""","""",iferror(filter(Schedule!$Y:$Y&amp;""-""&amp;Schedule!$Z:$Z,Schedule!$L:$L=K100,(Schedule!$J:$J="""")+(Schedule!$J:$J=L100),(Schedule!$K:$K=""b"")+(Schedule!$K:$K=""""),Schedule!$Y:$Y&lt;&gt;""""),""""))"),"")</f>
        <v/>
      </c>
      <c r="S100" s="153" t="str">
        <f>if(K100="","", 24-countifs(N100:R104,""))</f>
        <v/>
      </c>
      <c r="T100" s="155"/>
      <c r="U100" s="155" t="str">
        <f>W98</f>
        <v/>
      </c>
      <c r="V100" s="151" t="str">
        <f>AC98</f>
        <v/>
      </c>
      <c r="W100" s="147">
        <v>1.0</v>
      </c>
      <c r="X100" s="152" t="str">
        <f>IFERROR(__xludf.DUMMYFUNCTION("if(U100="""","""",iferror(filter(Schedule!$M:$M&amp;""-""&amp;Schedule!$N:$N,Schedule!$L:$L=U100,(Schedule!$J:$J="""")+(Schedule!$J:$J=V100),(Schedule!$K:$K=""a"")+(Schedule!$K:$K=""""),Schedule!$M:$M&lt;&gt;""""),""""))"),"")</f>
        <v/>
      </c>
      <c r="Y100" s="152" t="str">
        <f>IFERROR(__xludf.DUMMYFUNCTION("if(U100="""","""",iferror(filter(Schedule!$AB:$AB&amp;""-""&amp;Schedule!$AC:$AC,Schedule!$L:$L=U100,(Schedule!$J:$J="""")+(Schedule!$J:$J=V100),(Schedule!$K:$K=""b"")+(Schedule!$K:$K=""""),Schedule!$AB:$AB&lt;&gt;""""),""""))"),"")</f>
        <v/>
      </c>
      <c r="Z100" s="152" t="str">
        <f>IFERROR(__xludf.DUMMYFUNCTION("if(U100="""","""",iferror(filter(Schedule!$S:$S&amp;""-""&amp;Schedule!$T:$T,Schedule!$L:$L=U100,(Schedule!$J:$J="""")+(Schedule!$J:$J=V100),(Schedule!$K:$K=""a"")+(Schedule!$K:$K=""""),Schedule!$S:$S&lt;&gt;""""),""""))"),"")</f>
        <v/>
      </c>
      <c r="AA100" s="152" t="str">
        <f>IFERROR(__xludf.DUMMYFUNCTION("if(U100="""","""",iferror(filter(Schedule!$V:$V&amp;""-""&amp;Schedule!$W:$W,Schedule!$L:$L=U100,(Schedule!$J:$J="""")+(Schedule!$J:$J=V100),(Schedule!$K:$K=""a"")+(Schedule!$K:$K=""""),Schedule!$V:$V&lt;&gt;""""),""""))"),"")</f>
        <v/>
      </c>
      <c r="AB100" s="152" t="str">
        <f>IFERROR(__xludf.DUMMYFUNCTION("if(U100="""","""",iferror(filter(Schedule!$Y:$Y&amp;""-""&amp;Schedule!$Z:$Z,Schedule!$L:$L=U100,(Schedule!$J:$J="""")+(Schedule!$J:$J=V100),(Schedule!$K:$K=""b"")+(Schedule!$K:$K=""""),Schedule!$Y:$Y&lt;&gt;""""),""""))"),"")</f>
        <v/>
      </c>
      <c r="AC100" s="153" t="str">
        <f>if(U100="","", 24-countifs(X100:AB104,""))</f>
        <v/>
      </c>
      <c r="AD100" s="155"/>
      <c r="AE100" s="155" t="str">
        <f>AG98</f>
        <v/>
      </c>
      <c r="AF100" s="151" t="str">
        <f>AM98</f>
        <v/>
      </c>
      <c r="AG100" s="147">
        <v>1.0</v>
      </c>
      <c r="AH100" s="152" t="str">
        <f>IFERROR(__xludf.DUMMYFUNCTION("if(AE100="""","""",iferror(filter(Schedule!$M:$M&amp;""-""&amp;Schedule!$N:$N,Schedule!$L:$L=AE100,(Schedule!$J:$J="""")+(Schedule!$J:$J=AF100),(Schedule!$K:$K=""a"")+(Schedule!$K:$K=""""),Schedule!$M:$M&lt;&gt;""""),""""))"),"")</f>
        <v/>
      </c>
      <c r="AI100" s="152" t="str">
        <f>IFERROR(__xludf.DUMMYFUNCTION("if(AE100="""","""",iferror(filter(Schedule!$AB:$AB&amp;""-""&amp;Schedule!$AC:$AC,Schedule!$L:$L=AE100,(Schedule!$J:$J="""")+(Schedule!$J:$J=AF100),(Schedule!$K:$K=""b"")+(Schedule!$K:$K=""""),Schedule!$AB:$AB&lt;&gt;""""),""""))"),"")</f>
        <v/>
      </c>
      <c r="AJ100" s="152" t="str">
        <f>IFERROR(__xludf.DUMMYFUNCTION("if(AE100="""","""",iferror(filter(Schedule!$S:$S&amp;""-""&amp;Schedule!$T:$T,Schedule!$L:$L=AE100,(Schedule!$J:$J="""")+(Schedule!$J:$J=AF100),(Schedule!$K:$K=""a"")+(Schedule!$K:$K=""""),Schedule!$S:$S&lt;&gt;""""),""""))"),"")</f>
        <v/>
      </c>
      <c r="AK100" s="152" t="str">
        <f>IFERROR(__xludf.DUMMYFUNCTION("if(AE100="""","""",iferror(filter(Schedule!$V:$V&amp;""-""&amp;Schedule!$W:$W,Schedule!$L:$L=AE100,(Schedule!$J:$J="""")+(Schedule!$J:$J=AF100),(Schedule!$K:$K=""a"")+(Schedule!$K:$K=""""),Schedule!$V:$V&lt;&gt;""""),""""))"),"")</f>
        <v/>
      </c>
      <c r="AL100" s="152" t="str">
        <f>IFERROR(__xludf.DUMMYFUNCTION("if(AE100="""","""",iferror(filter(Schedule!$Y:$Y&amp;""-""&amp;Schedule!$Z:$Z,Schedule!$L:$L=AE100,(Schedule!$J:$J="""")+(Schedule!$J:$J=AF100),(Schedule!$K:$K=""b"")+(Schedule!$K:$K=""""),Schedule!$Y:$Y&lt;&gt;""""),""""))"),"")</f>
        <v/>
      </c>
      <c r="AM100" s="153" t="str">
        <f>if(AE100="","", 24-countifs(AH100:AL104,""))</f>
        <v/>
      </c>
    </row>
    <row r="101">
      <c r="A101" s="151" t="str">
        <f>C98</f>
        <v>Juan Pablo</v>
      </c>
      <c r="B101" s="151" t="str">
        <f>I98</f>
        <v>Y</v>
      </c>
      <c r="C101" s="147">
        <v>2.0</v>
      </c>
      <c r="D101" s="152" t="str">
        <f>IFERROR(__xludf.DUMMYFUNCTION("if(A101="""","""",iferror(filter(Schedule!$P:$P&amp;""-""&amp;Schedule!$Q:$Q,Schedule!$L:$L=A101,(Schedule!$J:$J="""")+(Schedule!$J:$J=B101),(Schedule!$K:$K=""a"")+(Schedule!$K:$K=""""),Schedule!$P:$P&lt;&gt;""""),""""))"),"PE 7A-4")</f>
        <v>PE 7A-4</v>
      </c>
      <c r="E101" s="152" t="str">
        <f>IFERROR(__xludf.DUMMYFUNCTION("if(A101="""","""",iferror(filter(Schedule!$Y:$Y&amp;""-""&amp;Schedule!$Z:$Z,Schedule!$L:$L=A101,(Schedule!$J:$J="""")+(Schedule!$J:$J=B101),(Schedule!$K:$K=""b"")+(Schedule!$K:$K=""""),Schedule!$Y:$Y&lt;&gt;""""),""""))"),"PE 6-4")</f>
        <v>PE 6-4</v>
      </c>
      <c r="F101" s="152" t="str">
        <f>IFERROR(__xludf.DUMMYFUNCTION("if(A101="""","""",iferror(filter(Schedule!$P:$P&amp;""-""&amp;Schedule!$Q:$Q,Schedule!$L:$L=A101,(Schedule!$J:$J="""")+(Schedule!$J:$J=B101),(Schedule!$K:$K=""a"")+(Schedule!$K:$K=""""),Schedule!$P:$P&lt;&gt;""""),""""))"),"PE 7A-4")</f>
        <v>PE 7A-4</v>
      </c>
      <c r="G101" s="152" t="str">
        <f>IFERROR(__xludf.DUMMYFUNCTION("if(A101="""","""",iferror(filter(Schedule!$M:$M&amp;""-""&amp;Schedule!$N:$N,Schedule!$L:$L=A101,(Schedule!$J:$J="""")+(Schedule!$J:$J=B101),(Schedule!$K:$K=""a"")+(Schedule!$K:$K=""""),Schedule!$M:$M&lt;&gt;""""),""""))"),"PE 6-1")</f>
        <v>PE 6-1</v>
      </c>
      <c r="H101" s="152" t="str">
        <f>IFERROR(__xludf.DUMMYFUNCTION("if(A101="""","""",iferror(filter(Schedule!$AB:$AB&amp;""-""&amp;Schedule!$AC:$AC,Schedule!$L:$L=A101,(Schedule!$J:$J="""")+(Schedule!$J:$J=B101),(Schedule!$K:$K=""a"")+(Schedule!$K:$K=""""),Schedule!$AB:$AB&lt;&gt;""""),""""))"),"PE 6-5")</f>
        <v>PE 6-5</v>
      </c>
      <c r="I101" s="60"/>
      <c r="J101" s="154"/>
      <c r="K101" s="151" t="str">
        <f>M98</f>
        <v/>
      </c>
      <c r="L101" s="151" t="str">
        <f>S98</f>
        <v/>
      </c>
      <c r="M101" s="147">
        <v>2.0</v>
      </c>
      <c r="N101" s="152" t="str">
        <f>IFERROR(__xludf.DUMMYFUNCTION("if(K101="""","""",iferror(filter(Schedule!$P:$P&amp;""-""&amp;Schedule!$Q:$Q,Schedule!$L:$L=K101,(Schedule!$J:$J="""")+(Schedule!$J:$J=L101),(Schedule!$K:$K=""a"")+(Schedule!$K:$K=""""),Schedule!$P:$P&lt;&gt;""""),""""))"),"")</f>
        <v/>
      </c>
      <c r="O101" s="152" t="str">
        <f>IFERROR(__xludf.DUMMYFUNCTION("if(K101="""","""",iferror(filter(Schedule!$Y:$Y&amp;""-""&amp;Schedule!$Z:$Z,Schedule!$L:$L=K101,(Schedule!$J:$J="""")+(Schedule!$J:$J=L101),(Schedule!$K:$K=""b"")+(Schedule!$K:$K=""""),Schedule!$Y:$Y&lt;&gt;""""),""""))"),"")</f>
        <v/>
      </c>
      <c r="P101" s="152" t="str">
        <f>IFERROR(__xludf.DUMMYFUNCTION("if(K101="""","""",iferror(filter(Schedule!$P:$P&amp;""-""&amp;Schedule!$Q:$Q,Schedule!$L:$L=K101,(Schedule!$J:$J="""")+(Schedule!$J:$J=L101),(Schedule!$K:$K=""a"")+(Schedule!$K:$K=""""),Schedule!$P:$P&lt;&gt;""""),""""))"),"")</f>
        <v/>
      </c>
      <c r="Q101" s="152" t="str">
        <f>IFERROR(__xludf.DUMMYFUNCTION("if(K101="""","""",iferror(filter(Schedule!$M:$M&amp;""-""&amp;Schedule!$N:$N,Schedule!$L:$L=K101,(Schedule!$J:$J="""")+(Schedule!$J:$J=L101),(Schedule!$K:$K=""a"")+(Schedule!$K:$K=""""),Schedule!$M:$M&lt;&gt;""""),""""))"),"")</f>
        <v/>
      </c>
      <c r="R101" s="152" t="str">
        <f>IFERROR(__xludf.DUMMYFUNCTION("if(K101="""","""",iferror(filter(Schedule!$AB:$AB&amp;""-""&amp;Schedule!$AC:$AC,Schedule!$L:$L=K101,(Schedule!$J:$J="""")+(Schedule!$J:$J=L101),(Schedule!$K:$K=""a"")+(Schedule!$K:$K=""""),Schedule!$AB:$AB&lt;&gt;""""),""""))"),"")</f>
        <v/>
      </c>
      <c r="S101" s="60"/>
      <c r="T101" s="155"/>
      <c r="U101" s="155" t="str">
        <f>W98</f>
        <v/>
      </c>
      <c r="V101" s="151" t="str">
        <f>AC98</f>
        <v/>
      </c>
      <c r="W101" s="147">
        <v>2.0</v>
      </c>
      <c r="X101" s="152" t="str">
        <f>IFERROR(__xludf.DUMMYFUNCTION("if(U101="""","""",iferror(filter(Schedule!$P:$P&amp;""-""&amp;Schedule!$Q:$Q,Schedule!$L:$L=U101,(Schedule!$J:$J="""")+(Schedule!$J:$J=V101),(Schedule!$K:$K=""a"")+(Schedule!$K:$K=""""),Schedule!$P:$P&lt;&gt;""""),""""))"),"")</f>
        <v/>
      </c>
      <c r="Y101" s="152" t="str">
        <f>IFERROR(__xludf.DUMMYFUNCTION("if(U101="""","""",iferror(filter(Schedule!$Y:$Y&amp;""-""&amp;Schedule!$Z:$Z,Schedule!$L:$L=U101,(Schedule!$J:$J="""")+(Schedule!$J:$J=V101),(Schedule!$K:$K=""b"")+(Schedule!$K:$K=""""),Schedule!$Y:$Y&lt;&gt;""""),""""))"),"")</f>
        <v/>
      </c>
      <c r="Z101" s="152" t="str">
        <f>IFERROR(__xludf.DUMMYFUNCTION("if(U101="""","""",iferror(filter(Schedule!$P:$P&amp;""-""&amp;Schedule!$Q:$Q,Schedule!$L:$L=U101,(Schedule!$J:$J="""")+(Schedule!$J:$J=V101),(Schedule!$K:$K=""a"")+(Schedule!$K:$K=""""),Schedule!$P:$P&lt;&gt;""""),""""))"),"")</f>
        <v/>
      </c>
      <c r="AA101" s="152" t="str">
        <f>IFERROR(__xludf.DUMMYFUNCTION("if(U101="""","""",iferror(filter(Schedule!$M:$M&amp;""-""&amp;Schedule!$N:$N,Schedule!$L:$L=U101,(Schedule!$J:$J="""")+(Schedule!$J:$J=V101),(Schedule!$K:$K=""a"")+(Schedule!$K:$K=""""),Schedule!$M:$M&lt;&gt;""""),""""))"),"")</f>
        <v/>
      </c>
      <c r="AB101" s="152" t="str">
        <f>IFERROR(__xludf.DUMMYFUNCTION("if(U101="""","""",iferror(filter(Schedule!$AB:$AB&amp;""-""&amp;Schedule!$AC:$AC,Schedule!$L:$L=U101,(Schedule!$J:$J="""")+(Schedule!$J:$J=V101),(Schedule!$K:$K=""a"")+(Schedule!$K:$K=""""),Schedule!$AB:$AB&lt;&gt;""""),""""))"),"")</f>
        <v/>
      </c>
      <c r="AC101" s="60"/>
      <c r="AD101" s="155"/>
      <c r="AE101" s="155" t="str">
        <f>AG98</f>
        <v/>
      </c>
      <c r="AF101" s="151" t="str">
        <f>AM98</f>
        <v/>
      </c>
      <c r="AG101" s="147">
        <v>2.0</v>
      </c>
      <c r="AH101" s="152" t="str">
        <f>IFERROR(__xludf.DUMMYFUNCTION("if(AE101="""","""",iferror(filter(Schedule!$P:$P&amp;""-""&amp;Schedule!$Q:$Q,Schedule!$L:$L=AE101,(Schedule!$J:$J="""")+(Schedule!$J:$J=AF101),(Schedule!$K:$K=""a"")+(Schedule!$K:$K=""""),Schedule!$P:$P&lt;&gt;""""),""""))"),"")</f>
        <v/>
      </c>
      <c r="AI101" s="152" t="str">
        <f>IFERROR(__xludf.DUMMYFUNCTION("if(AE101="""","""",iferror(filter(Schedule!$Y:$Y&amp;""-""&amp;Schedule!$Z:$Z,Schedule!$L:$L=AE101,(Schedule!$J:$J="""")+(Schedule!$J:$J=AF101),(Schedule!$K:$K=""b"")+(Schedule!$K:$K=""""),Schedule!$Y:$Y&lt;&gt;""""),""""))"),"")</f>
        <v/>
      </c>
      <c r="AJ101" s="152" t="str">
        <f>IFERROR(__xludf.DUMMYFUNCTION("if(AE101="""","""",iferror(filter(Schedule!$P:$P&amp;""-""&amp;Schedule!$Q:$Q,Schedule!$L:$L=AE101,(Schedule!$J:$J="""")+(Schedule!$J:$J=AF101),(Schedule!$K:$K=""a"")+(Schedule!$K:$K=""""),Schedule!$P:$P&lt;&gt;""""),""""))"),"")</f>
        <v/>
      </c>
      <c r="AK101" s="152" t="str">
        <f>IFERROR(__xludf.DUMMYFUNCTION("if(AE101="""","""",iferror(filter(Schedule!$M:$M&amp;""-""&amp;Schedule!$N:$N,Schedule!$L:$L=AE101,(Schedule!$J:$J="""")+(Schedule!$J:$J=AF101),(Schedule!$K:$K=""a"")+(Schedule!$K:$K=""""),Schedule!$M:$M&lt;&gt;""""),""""))"),"")</f>
        <v/>
      </c>
      <c r="AL101" s="152" t="str">
        <f>IFERROR(__xludf.DUMMYFUNCTION("if(AE101="""","""",iferror(filter(Schedule!$AB:$AB&amp;""-""&amp;Schedule!$AC:$AC,Schedule!$L:$L=AE101,(Schedule!$J:$J="""")+(Schedule!$J:$J=AF101),(Schedule!$K:$K=""a"")+(Schedule!$K:$K=""""),Schedule!$AB:$AB&lt;&gt;""""),""""))"),"")</f>
        <v/>
      </c>
      <c r="AM101" s="60"/>
    </row>
    <row r="102">
      <c r="A102" s="151" t="str">
        <f>C98</f>
        <v>Juan Pablo</v>
      </c>
      <c r="B102" s="151" t="str">
        <f>I98</f>
        <v>Y</v>
      </c>
      <c r="C102" s="147">
        <v>3.0</v>
      </c>
      <c r="D102" s="152" t="str">
        <f>IFERROR(__xludf.DUMMYFUNCTION("if(A102="""","""",iferror(filter(Schedule!$S:$S&amp;""-""&amp;Schedule!$T:$T,Schedule!$L:$L=A102,(Schedule!$J:$J="""")+(Schedule!$J:$J=B102),(Schedule!$K:$K=""a"")+(Schedule!$K:$K=""""),Schedule!$S:$S&lt;&gt;""""),""""))"),"")</f>
        <v/>
      </c>
      <c r="E102" s="152" t="str">
        <f>IFERROR(__xludf.DUMMYFUNCTION("if(A102="""","""",iferror(filter(Schedule!$S:$S&amp;""-""&amp;Schedule!$T:$T,Schedule!$L:$L=A102,(Schedule!$J:$J="""")+(Schedule!$J:$J=B102),(Schedule!$K:$K=""b"")+(Schedule!$K:$K=""""),Schedule!$S:$S&lt;&gt;""""),""""))"),"")</f>
        <v/>
      </c>
      <c r="F102" s="152" t="str">
        <f>IFERROR(__xludf.DUMMYFUNCTION("if(A102="""","""",iferror(filter(Schedule!$Y:$Y&amp;""-""&amp;Schedule!$Z:$Z,Schedule!$L:$L=A102,(Schedule!$J:$J="""")+(Schedule!$J:$J=B102),(Schedule!$K:$K=""a"")+(Schedule!$K:$K=""""),Schedule!$Y:$Y&lt;&gt;""""),""""))"),"")</f>
        <v/>
      </c>
      <c r="G102" s="152" t="str">
        <f>IFERROR(__xludf.DUMMYFUNCTION("if(A102="""","""",iferror(filter(Schedule!$P:$P&amp;""-""&amp;Schedule!$Q:$Q,Schedule!$L:$L=A102,(Schedule!$J:$J="""")+(Schedule!$J:$J=B102),(Schedule!$K:$K=""b"")+(Schedule!$K:$K=""""),Schedule!$P:$P&lt;&gt;""""),""""))"),"PE 6-2")</f>
        <v>PE 6-2</v>
      </c>
      <c r="H102" s="152" t="str">
        <f>if(C98="","","X-Block")</f>
        <v>X-Block</v>
      </c>
      <c r="I102" s="60"/>
      <c r="J102" s="154"/>
      <c r="K102" s="151" t="str">
        <f>M98</f>
        <v/>
      </c>
      <c r="L102" s="151" t="str">
        <f>S98</f>
        <v/>
      </c>
      <c r="M102" s="147">
        <v>3.0</v>
      </c>
      <c r="N102" s="152" t="str">
        <f>IFERROR(__xludf.DUMMYFUNCTION("if(K102="""","""",iferror(filter(Schedule!$S:$S&amp;""-""&amp;Schedule!$T:$T,Schedule!$L:$L=K102,(Schedule!$J:$J="""")+(Schedule!$J:$J=L102),(Schedule!$K:$K=""a"")+(Schedule!$K:$K=""""),Schedule!$S:$S&lt;&gt;""""),""""))"),"")</f>
        <v/>
      </c>
      <c r="O102" s="152" t="str">
        <f>IFERROR(__xludf.DUMMYFUNCTION("if(K102="""","""",iferror(filter(Schedule!$S:$S&amp;""-""&amp;Schedule!$T:$T,Schedule!$L:$L=K102,(Schedule!$J:$J="""")+(Schedule!$J:$J=L102),(Schedule!$K:$K=""b"")+(Schedule!$K:$K=""""),Schedule!$S:$S&lt;&gt;""""),""""))"),"")</f>
        <v/>
      </c>
      <c r="P102" s="152" t="str">
        <f>IFERROR(__xludf.DUMMYFUNCTION("if(K102="""","""",iferror(filter(Schedule!$Y:$Y&amp;""-""&amp;Schedule!$Z:$Z,Schedule!$L:$L=K102,(Schedule!$J:$J="""")+(Schedule!$J:$J=L102),(Schedule!$K:$K=""a"")+(Schedule!$K:$K=""""),Schedule!$Y:$Y&lt;&gt;""""),""""))"),"")</f>
        <v/>
      </c>
      <c r="Q102" s="152" t="str">
        <f>IFERROR(__xludf.DUMMYFUNCTION("if(K102="""","""",iferror(filter(Schedule!$P:$P&amp;""-""&amp;Schedule!$Q:$Q,Schedule!$L:$L=K102,(Schedule!$J:$J="""")+(Schedule!$J:$J=L102),(Schedule!$K:$K=""b"")+(Schedule!$K:$K=""""),Schedule!$P:$P&lt;&gt;""""),""""))"),"")</f>
        <v/>
      </c>
      <c r="R102" s="152" t="str">
        <f>if(M98="","","X-Block")</f>
        <v/>
      </c>
      <c r="S102" s="60"/>
      <c r="T102" s="155"/>
      <c r="U102" s="155" t="str">
        <f>W98</f>
        <v/>
      </c>
      <c r="V102" s="151" t="str">
        <f>AC98</f>
        <v/>
      </c>
      <c r="W102" s="147">
        <v>3.0</v>
      </c>
      <c r="X102" s="152" t="str">
        <f>IFERROR(__xludf.DUMMYFUNCTION("if(U102="""","""",iferror(filter(Schedule!$S:$S&amp;""-""&amp;Schedule!$T:$T,Schedule!$L:$L=U102,(Schedule!$J:$J="""")+(Schedule!$J:$J=V102),(Schedule!$K:$K=""a"")+(Schedule!$K:$K=""""),Schedule!$S:$S&lt;&gt;""""),""""))"),"")</f>
        <v/>
      </c>
      <c r="Y102" s="152" t="str">
        <f>IFERROR(__xludf.DUMMYFUNCTION("if(U102="""","""",iferror(filter(Schedule!$S:$S&amp;""-""&amp;Schedule!$T:$T,Schedule!$L:$L=U102,(Schedule!$J:$J="""")+(Schedule!$J:$J=V102),(Schedule!$K:$K=""b"")+(Schedule!$K:$K=""""),Schedule!$S:$S&lt;&gt;""""),""""))"),"")</f>
        <v/>
      </c>
      <c r="Z102" s="152" t="str">
        <f>IFERROR(__xludf.DUMMYFUNCTION("if(U102="""","""",iferror(filter(Schedule!$Y:$Y&amp;""-""&amp;Schedule!$Z:$Z,Schedule!$L:$L=U102,(Schedule!$J:$J="""")+(Schedule!$J:$J=V102),(Schedule!$K:$K=""a"")+(Schedule!$K:$K=""""),Schedule!$Y:$Y&lt;&gt;""""),""""))"),"")</f>
        <v/>
      </c>
      <c r="AA102" s="152" t="str">
        <f>IFERROR(__xludf.DUMMYFUNCTION("if(U102="""","""",iferror(filter(Schedule!$P:$P&amp;""-""&amp;Schedule!$Q:$Q,Schedule!$L:$L=U102,(Schedule!$J:$J="""")+(Schedule!$J:$J=V102),(Schedule!$K:$K=""b"")+(Schedule!$K:$K=""""),Schedule!$P:$P&lt;&gt;""""),""""))"),"")</f>
        <v/>
      </c>
      <c r="AB102" s="152" t="str">
        <f>if(W98="","","X-Block")</f>
        <v/>
      </c>
      <c r="AC102" s="60"/>
      <c r="AD102" s="155"/>
      <c r="AE102" s="155" t="str">
        <f>AG98</f>
        <v/>
      </c>
      <c r="AF102" s="151" t="str">
        <f>AM98</f>
        <v/>
      </c>
      <c r="AG102" s="147">
        <v>3.0</v>
      </c>
      <c r="AH102" s="152" t="str">
        <f>IFERROR(__xludf.DUMMYFUNCTION("if(AE102="""","""",iferror(filter(Schedule!$S:$S&amp;""-""&amp;Schedule!$T:$T,Schedule!$L:$L=AE102,(Schedule!$J:$J="""")+(Schedule!$J:$J=AF102),(Schedule!$K:$K=""a"")+(Schedule!$K:$K=""""),Schedule!$S:$S&lt;&gt;""""),""""))"),"")</f>
        <v/>
      </c>
      <c r="AI102" s="152" t="str">
        <f>IFERROR(__xludf.DUMMYFUNCTION("if(AE102="""","""",iferror(filter(Schedule!$S:$S&amp;""-""&amp;Schedule!$T:$T,Schedule!$L:$L=AE102,(Schedule!$J:$J="""")+(Schedule!$J:$J=AF102),(Schedule!$K:$K=""b"")+(Schedule!$K:$K=""""),Schedule!$S:$S&lt;&gt;""""),""""))"),"")</f>
        <v/>
      </c>
      <c r="AJ102" s="152" t="str">
        <f>IFERROR(__xludf.DUMMYFUNCTION("if(AE102="""","""",iferror(filter(Schedule!$Y:$Y&amp;""-""&amp;Schedule!$Z:$Z,Schedule!$L:$L=AE102,(Schedule!$J:$J="""")+(Schedule!$J:$J=AF102),(Schedule!$K:$K=""a"")+(Schedule!$K:$K=""""),Schedule!$Y:$Y&lt;&gt;""""),""""))"),"")</f>
        <v/>
      </c>
      <c r="AK102" s="152" t="str">
        <f>IFERROR(__xludf.DUMMYFUNCTION("if(AE102="""","""",iferror(filter(Schedule!$P:$P&amp;""-""&amp;Schedule!$Q:$Q,Schedule!$L:$L=AE102,(Schedule!$J:$J="""")+(Schedule!$J:$J=AF102),(Schedule!$K:$K=""b"")+(Schedule!$K:$K=""""),Schedule!$P:$P&lt;&gt;""""),""""))"),"")</f>
        <v/>
      </c>
      <c r="AL102" s="152" t="str">
        <f>if(AG98="","","X-Block")</f>
        <v/>
      </c>
      <c r="AM102" s="60"/>
    </row>
    <row r="103">
      <c r="A103" s="151" t="str">
        <f>C98</f>
        <v>Juan Pablo</v>
      </c>
      <c r="B103" s="151" t="str">
        <f>I98</f>
        <v>Y</v>
      </c>
      <c r="C103" s="147">
        <v>4.0</v>
      </c>
      <c r="D103" s="152" t="str">
        <f>IFERROR(__xludf.DUMMYFUNCTION("if(A103="""","""",iferror(filter(Schedule!$V:$V&amp;""-""&amp;Schedule!$W:$W,Schedule!$L:$L=A103,(Schedule!$J:$J="""")+(Schedule!$J:$J=B103),(Schedule!$K:$K=""a"")+(Schedule!$K:$K=""""),Schedule!$V:$V&lt;&gt;""""),""""))"),"PE 7-5")</f>
        <v>PE 7-5</v>
      </c>
      <c r="E103" s="152" t="str">
        <f>IFERROR(__xludf.DUMMYFUNCTION("if(A103="""","""",iferror(filter(Schedule!$M:$M&amp;""-""&amp;Schedule!$N:$N,Schedule!$L:$L=A103,(Schedule!$J:$J="""")+(Schedule!$J:$J=B103),(Schedule!$K:$K=""b"")+(Schedule!$K:$K=""""),Schedule!$M:$M&lt;&gt;""""),""""))"),"PE 7A-2")</f>
        <v>PE 7A-2</v>
      </c>
      <c r="F103" s="152" t="str">
        <f>IFERROR(__xludf.DUMMYFUNCTION("if(A103="""","""",iferror(filter(Schedule!$AB:$AB&amp;""-""&amp;Schedule!$AC:$AC,Schedule!$L:$L=A103,(Schedule!$J:$J="""")+(Schedule!$J:$J=B103),(Schedule!$K:$K=""a"")+(Schedule!$K:$K=""""),Schedule!$AB:$AB&lt;&gt;""""),""""))"),"PE 6-5")</f>
        <v>PE 6-5</v>
      </c>
      <c r="G103" s="152" t="str">
        <f>IFERROR(__xludf.DUMMYFUNCTION("if(A103="""","""",iferror(filter(Schedule!$S:$S&amp;""-""&amp;Schedule!$T:$T,Schedule!$L:$L=A103,(Schedule!$J:$J="""")+(Schedule!$J:$J=B103),(Schedule!$K:$K=""b"")+(Schedule!$K:$K=""""),Schedule!$S:$S&lt;&gt;""""),""""))"),"")</f>
        <v/>
      </c>
      <c r="H103" s="152" t="str">
        <f>IFERROR(__xludf.DUMMYFUNCTION("if(A103="""","""",iferror(filter(Schedule!$V:$V&amp;""-""&amp;Schedule!$W:$W,Schedule!$L:$L=A103,(Schedule!$J:$J="""")+(Schedule!$J:$J=B103),(Schedule!$K:$K=""b"")+(Schedule!$K:$K=""""),Schedule!$V:$V&lt;&gt;""""),""""))"),"PE 6-3")</f>
        <v>PE 6-3</v>
      </c>
      <c r="I103" s="60"/>
      <c r="J103" s="154"/>
      <c r="K103" s="151" t="str">
        <f>M98</f>
        <v/>
      </c>
      <c r="L103" s="151" t="str">
        <f>S98</f>
        <v/>
      </c>
      <c r="M103" s="147">
        <v>4.0</v>
      </c>
      <c r="N103" s="152" t="str">
        <f>IFERROR(__xludf.DUMMYFUNCTION("if(K103="""","""",iferror(filter(Schedule!$V:$V&amp;""-""&amp;Schedule!$W:$W,Schedule!$L:$L=K103,(Schedule!$J:$J="""")+(Schedule!$J:$J=L103),(Schedule!$K:$K=""a"")+(Schedule!$K:$K=""""),Schedule!$V:$V&lt;&gt;""""),""""))"),"")</f>
        <v/>
      </c>
      <c r="O103" s="152" t="str">
        <f>IFERROR(__xludf.DUMMYFUNCTION("if(K103="""","""",iferror(filter(Schedule!$M:$M&amp;""-""&amp;Schedule!$N:$N,Schedule!$L:$L=K103,(Schedule!$J:$J="""")+(Schedule!$J:$J=L103),(Schedule!$K:$K=""b"")+(Schedule!$K:$K=""""),Schedule!$M:$M&lt;&gt;""""),""""))"),"")</f>
        <v/>
      </c>
      <c r="P103" s="152" t="str">
        <f>IFERROR(__xludf.DUMMYFUNCTION("if(K103="""","""",iferror(filter(Schedule!$AB:$AB&amp;""-""&amp;Schedule!$AC:$AC,Schedule!$L:$L=K103,(Schedule!$J:$J="""")+(Schedule!$J:$J=L103),(Schedule!$K:$K=""a"")+(Schedule!$K:$K=""""),Schedule!$AB:$AB&lt;&gt;""""),""""))"),"")</f>
        <v/>
      </c>
      <c r="Q103" s="152" t="str">
        <f>IFERROR(__xludf.DUMMYFUNCTION("if(K103="""","""",iferror(filter(Schedule!$S:$S&amp;""-""&amp;Schedule!$T:$T,Schedule!$L:$L=K103,(Schedule!$J:$J="""")+(Schedule!$J:$J=L103),(Schedule!$K:$K=""b"")+(Schedule!$K:$K=""""),Schedule!$S:$S&lt;&gt;""""),""""))"),"")</f>
        <v/>
      </c>
      <c r="R103" s="152" t="str">
        <f>IFERROR(__xludf.DUMMYFUNCTION("if(K103="""","""",iferror(filter(Schedule!$V:$V&amp;""-""&amp;Schedule!$W:$W,Schedule!$L:$L=K103,(Schedule!$J:$J="""")+(Schedule!$J:$J=L103),(Schedule!$K:$K=""b"")+(Schedule!$K:$K=""""),Schedule!$V:$V&lt;&gt;""""),""""))"),"")</f>
        <v/>
      </c>
      <c r="S103" s="60"/>
      <c r="T103" s="155"/>
      <c r="U103" s="155" t="str">
        <f>W98</f>
        <v/>
      </c>
      <c r="V103" s="151" t="str">
        <f>AC98</f>
        <v/>
      </c>
      <c r="W103" s="147">
        <v>4.0</v>
      </c>
      <c r="X103" s="152" t="str">
        <f>IFERROR(__xludf.DUMMYFUNCTION("if(U103="""","""",iferror(filter(Schedule!$V:$V&amp;""-""&amp;Schedule!$W:$W,Schedule!$L:$L=U103,(Schedule!$J:$J="""")+(Schedule!$J:$J=V103),(Schedule!$K:$K=""a"")+(Schedule!$K:$K=""""),Schedule!$V:$V&lt;&gt;""""),""""))"),"")</f>
        <v/>
      </c>
      <c r="Y103" s="152" t="str">
        <f>IFERROR(__xludf.DUMMYFUNCTION("if(U103="""","""",iferror(filter(Schedule!$M:$M&amp;""-""&amp;Schedule!$N:$N,Schedule!$L:$L=U103,(Schedule!$J:$J="""")+(Schedule!$J:$J=V103),(Schedule!$K:$K=""b"")+(Schedule!$K:$K=""""),Schedule!$M:$M&lt;&gt;""""),""""))"),"")</f>
        <v/>
      </c>
      <c r="Z103" s="152" t="str">
        <f>IFERROR(__xludf.DUMMYFUNCTION("if(U103="""","""",iferror(filter(Schedule!$AB:$AB&amp;""-""&amp;Schedule!$AC:$AC,Schedule!$L:$L=U103,(Schedule!$J:$J="""")+(Schedule!$J:$J=V103),(Schedule!$K:$K=""a"")+(Schedule!$K:$K=""""),Schedule!$AB:$AB&lt;&gt;""""),""""))"),"")</f>
        <v/>
      </c>
      <c r="AA103" s="152" t="str">
        <f>IFERROR(__xludf.DUMMYFUNCTION("if(U103="""","""",iferror(filter(Schedule!$S:$S&amp;""-""&amp;Schedule!$T:$T,Schedule!$L:$L=U103,(Schedule!$J:$J="""")+(Schedule!$J:$J=V103),(Schedule!$K:$K=""b"")+(Schedule!$K:$K=""""),Schedule!$S:$S&lt;&gt;""""),""""))"),"")</f>
        <v/>
      </c>
      <c r="AB103" s="152" t="str">
        <f>IFERROR(__xludf.DUMMYFUNCTION("if(U103="""","""",iferror(filter(Schedule!$V:$V&amp;""-""&amp;Schedule!$W:$W,Schedule!$L:$L=U103,(Schedule!$J:$J="""")+(Schedule!$J:$J=V103),(Schedule!$K:$K=""b"")+(Schedule!$K:$K=""""),Schedule!$V:$V&lt;&gt;""""),""""))"),"")</f>
        <v/>
      </c>
      <c r="AC103" s="60"/>
      <c r="AD103" s="155"/>
      <c r="AE103" s="155" t="str">
        <f>AG98</f>
        <v/>
      </c>
      <c r="AF103" s="151" t="str">
        <f>AM98</f>
        <v/>
      </c>
      <c r="AG103" s="147">
        <v>4.0</v>
      </c>
      <c r="AH103" s="152" t="str">
        <f>IFERROR(__xludf.DUMMYFUNCTION("if(AE103="""","""",iferror(filter(Schedule!$V:$V&amp;""-""&amp;Schedule!$W:$W,Schedule!$L:$L=AE103,(Schedule!$J:$J="""")+(Schedule!$J:$J=AF103),(Schedule!$K:$K=""a"")+(Schedule!$K:$K=""""),Schedule!$V:$V&lt;&gt;""""),""""))"),"")</f>
        <v/>
      </c>
      <c r="AI103" s="152" t="str">
        <f>IFERROR(__xludf.DUMMYFUNCTION("if(AE103="""","""",iferror(filter(Schedule!$M:$M&amp;""-""&amp;Schedule!$N:$N,Schedule!$L:$L=AE103,(Schedule!$J:$J="""")+(Schedule!$J:$J=AF103),(Schedule!$K:$K=""b"")+(Schedule!$K:$K=""""),Schedule!$M:$M&lt;&gt;""""),""""))"),"")</f>
        <v/>
      </c>
      <c r="AJ103" s="152" t="str">
        <f>IFERROR(__xludf.DUMMYFUNCTION("if(AE103="""","""",iferror(filter(Schedule!$AB:$AB&amp;""-""&amp;Schedule!$AC:$AC,Schedule!$L:$L=AE103,(Schedule!$J:$J="""")+(Schedule!$J:$J=AF103),(Schedule!$K:$K=""a"")+(Schedule!$K:$K=""""),Schedule!$AB:$AB&lt;&gt;""""),""""))"),"")</f>
        <v/>
      </c>
      <c r="AK103" s="152" t="str">
        <f>IFERROR(__xludf.DUMMYFUNCTION("if(AE103="""","""",iferror(filter(Schedule!$S:$S&amp;""-""&amp;Schedule!$T:$T,Schedule!$L:$L=AE103,(Schedule!$J:$J="""")+(Schedule!$J:$J=AF103),(Schedule!$K:$K=""b"")+(Schedule!$K:$K=""""),Schedule!$S:$S&lt;&gt;""""),""""))"),"")</f>
        <v/>
      </c>
      <c r="AL103" s="152" t="str">
        <f>IFERROR(__xludf.DUMMYFUNCTION("if(AE103="""","""",iferror(filter(Schedule!$V:$V&amp;""-""&amp;Schedule!$W:$W,Schedule!$L:$L=AE103,(Schedule!$J:$J="""")+(Schedule!$J:$J=AF103),(Schedule!$K:$K=""b"")+(Schedule!$K:$K=""""),Schedule!$V:$V&lt;&gt;""""),""""))"),"")</f>
        <v/>
      </c>
      <c r="AM103" s="60"/>
    </row>
    <row r="104">
      <c r="A104" s="151" t="str">
        <f>C98</f>
        <v>Juan Pablo</v>
      </c>
      <c r="B104" s="151" t="str">
        <f>I98</f>
        <v>Y</v>
      </c>
      <c r="C104" s="147">
        <v>5.0</v>
      </c>
      <c r="D104" s="152" t="str">
        <f>IFERROR(__xludf.DUMMYFUNCTION("if(A104="""","""",iferror(filter(Schedule!$Y:$Y&amp;""-""&amp;Schedule!$Z:$Z,Schedule!$L:$L=A104,(Schedule!$J:$J="""")+(Schedule!$J:$J=B104),(Schedule!$K:$K=""a"")+(Schedule!$K:$K=""""),Schedule!$Y:$Y&lt;&gt;""""),""""))"),"")</f>
        <v/>
      </c>
      <c r="E104" s="152" t="str">
        <f>IFERROR(__xludf.DUMMYFUNCTION("if(A104="""","""",iferror(filter(Schedule!$P:$P&amp;""-""&amp;Schedule!$Q:$Q,Schedule!$L:$L=A104,(Schedule!$J:$J="""")+(Schedule!$J:$J=B104),(Schedule!$K:$K=""b"")+(Schedule!$K:$K=""""),Schedule!$P:$P&lt;&gt;""""),""""))"),"PE 6-2")</f>
        <v>PE 6-2</v>
      </c>
      <c r="F104" s="152" t="str">
        <f>IFERROR(__xludf.DUMMYFUNCTION("if(A104="""","""",iferror(filter(Schedule!$V:$V&amp;""-""&amp;Schedule!$W:$W,Schedule!$L:$L=A104,(Schedule!$J:$J="""")+(Schedule!$J:$J=B104),(Schedule!$K:$K=""b"")+(Schedule!$K:$K=""""),Schedule!$V:$V&lt;&gt;""""),""""))"),"PE 6-3")</f>
        <v>PE 6-3</v>
      </c>
      <c r="G104" s="152" t="str">
        <f>IFERROR(__xludf.DUMMYFUNCTION("if(A104="""","""",iferror(filter(Schedule!$AB:$AB&amp;""-""&amp;Schedule!$AC:$AC,Schedule!$L:$L=A104,(Schedule!$J:$J="""")+(Schedule!$J:$J=B104),(Schedule!$K:$K=""b"")+(Schedule!$K:$K=""""),Schedule!$AB:$AB&lt;&gt;""""),""""))"),"PE 6-6")</f>
        <v>PE 6-6</v>
      </c>
      <c r="H104" s="152" t="str">
        <f>IFERROR(__xludf.DUMMYFUNCTION("if(A104="""","""",iferror(filter(Schedule!$M:$M&amp;""-""&amp;Schedule!$N:$N,Schedule!$L:$L=A104,(Schedule!$J:$J="""")+(Schedule!$J:$J=B104),(Schedule!$K:$K=""b"")+(Schedule!$K:$K=""""),Schedule!$M:$M&lt;&gt;""""),""""))"),"PE 7A-2")</f>
        <v>PE 7A-2</v>
      </c>
      <c r="I104" s="64"/>
      <c r="J104" s="154"/>
      <c r="K104" s="151" t="str">
        <f>M98</f>
        <v/>
      </c>
      <c r="L104" s="151" t="str">
        <f>S98</f>
        <v/>
      </c>
      <c r="M104" s="147">
        <v>5.0</v>
      </c>
      <c r="N104" s="152" t="str">
        <f>IFERROR(__xludf.DUMMYFUNCTION("if(K104="""","""",iferror(filter(Schedule!$Y:$Y&amp;""-""&amp;Schedule!$Z:$Z,Schedule!$L:$L=K104,(Schedule!$J:$J="""")+(Schedule!$J:$J=L104),(Schedule!$K:$K=""a"")+(Schedule!$K:$K=""""),Schedule!$Y:$Y&lt;&gt;""""),""""))"),"")</f>
        <v/>
      </c>
      <c r="O104" s="152" t="str">
        <f>IFERROR(__xludf.DUMMYFUNCTION("if(K104="""","""",iferror(filter(Schedule!$P:$P&amp;""-""&amp;Schedule!$Q:$Q,Schedule!$L:$L=K104,(Schedule!$J:$J="""")+(Schedule!$J:$J=L104),(Schedule!$K:$K=""b"")+(Schedule!$K:$K=""""),Schedule!$P:$P&lt;&gt;""""),""""))"),"")</f>
        <v/>
      </c>
      <c r="P104" s="152" t="str">
        <f>IFERROR(__xludf.DUMMYFUNCTION("if(K104="""","""",iferror(filter(Schedule!$V:$V&amp;""-""&amp;Schedule!$W:$W,Schedule!$L:$L=K104,(Schedule!$J:$J="""")+(Schedule!$J:$J=L104),(Schedule!$K:$K=""b"")+(Schedule!$K:$K=""""),Schedule!$V:$V&lt;&gt;""""),""""))"),"")</f>
        <v/>
      </c>
      <c r="Q104" s="152" t="str">
        <f>IFERROR(__xludf.DUMMYFUNCTION("if(K104="""","""",iferror(filter(Schedule!$AB:$AB&amp;""-""&amp;Schedule!$AC:$AC,Schedule!$L:$L=K104,(Schedule!$J:$J="""")+(Schedule!$J:$J=L104),(Schedule!$K:$K=""b"")+(Schedule!$K:$K=""""),Schedule!$AB:$AB&lt;&gt;""""),""""))"),"")</f>
        <v/>
      </c>
      <c r="R104" s="152" t="str">
        <f>IFERROR(__xludf.DUMMYFUNCTION("if(K104="""","""",iferror(filter(Schedule!$M:$M&amp;""-""&amp;Schedule!$N:$N,Schedule!$L:$L=K104,(Schedule!$J:$J="""")+(Schedule!$J:$J=L104),(Schedule!$K:$K=""b"")+(Schedule!$K:$K=""""),Schedule!$M:$M&lt;&gt;""""),""""))"),"")</f>
        <v/>
      </c>
      <c r="S104" s="64"/>
      <c r="T104" s="155"/>
      <c r="U104" s="155" t="str">
        <f>W98</f>
        <v/>
      </c>
      <c r="V104" s="151" t="str">
        <f>AC98</f>
        <v/>
      </c>
      <c r="W104" s="147">
        <v>5.0</v>
      </c>
      <c r="X104" s="152" t="str">
        <f>IFERROR(__xludf.DUMMYFUNCTION("if(U104="""","""",iferror(filter(Schedule!$Y:$Y&amp;""-""&amp;Schedule!$Z:$Z,Schedule!$L:$L=U104,(Schedule!$J:$J="""")+(Schedule!$J:$J=V104),(Schedule!$K:$K=""a"")+(Schedule!$K:$K=""""),Schedule!$Y:$Y&lt;&gt;""""),""""))"),"")</f>
        <v/>
      </c>
      <c r="Y104" s="152" t="str">
        <f>IFERROR(__xludf.DUMMYFUNCTION("if(U104="""","""",iferror(filter(Schedule!$P:$P&amp;""-""&amp;Schedule!$Q:$Q,Schedule!$L:$L=U104,(Schedule!$J:$J="""")+(Schedule!$J:$J=V104),(Schedule!$K:$K=""b"")+(Schedule!$K:$K=""""),Schedule!$P:$P&lt;&gt;""""),""""))"),"")</f>
        <v/>
      </c>
      <c r="Z104" s="152" t="str">
        <f>IFERROR(__xludf.DUMMYFUNCTION("if(U104="""","""",iferror(filter(Schedule!$V:$V&amp;""-""&amp;Schedule!$W:$W,Schedule!$L:$L=U104,(Schedule!$J:$J="""")+(Schedule!$J:$J=V104),(Schedule!$K:$K=""b"")+(Schedule!$K:$K=""""),Schedule!$V:$V&lt;&gt;""""),""""))"),"")</f>
        <v/>
      </c>
      <c r="AA104" s="152" t="str">
        <f>IFERROR(__xludf.DUMMYFUNCTION("if(U104="""","""",iferror(filter(Schedule!$AB:$AB&amp;""-""&amp;Schedule!$AC:$AC,Schedule!$L:$L=U104,(Schedule!$J:$J="""")+(Schedule!$J:$J=V104),(Schedule!$K:$K=""b"")+(Schedule!$K:$K=""""),Schedule!$AB:$AB&lt;&gt;""""),""""))"),"")</f>
        <v/>
      </c>
      <c r="AB104" s="152" t="str">
        <f>IFERROR(__xludf.DUMMYFUNCTION("if(U104="""","""",iferror(filter(Schedule!$M:$M&amp;""-""&amp;Schedule!$N:$N,Schedule!$L:$L=U104,(Schedule!$J:$J="""")+(Schedule!$J:$J=V104),(Schedule!$K:$K=""b"")+(Schedule!$K:$K=""""),Schedule!$M:$M&lt;&gt;""""),""""))"),"")</f>
        <v/>
      </c>
      <c r="AC104" s="64"/>
      <c r="AD104" s="155"/>
      <c r="AE104" s="155" t="str">
        <f>AG98</f>
        <v/>
      </c>
      <c r="AF104" s="151" t="str">
        <f>AM98</f>
        <v/>
      </c>
      <c r="AG104" s="147">
        <v>5.0</v>
      </c>
      <c r="AH104" s="152" t="str">
        <f>IFERROR(__xludf.DUMMYFUNCTION("if(AE104="""","""",iferror(filter(Schedule!$Y:$Y&amp;""-""&amp;Schedule!$Z:$Z,Schedule!$L:$L=AE104,(Schedule!$J:$J="""")+(Schedule!$J:$J=AF104),(Schedule!$K:$K=""a"")+(Schedule!$K:$K=""""),Schedule!$Y:$Y&lt;&gt;""""),""""))"),"")</f>
        <v/>
      </c>
      <c r="AI104" s="152" t="str">
        <f>IFERROR(__xludf.DUMMYFUNCTION("if(AE104="""","""",iferror(filter(Schedule!$P:$P&amp;""-""&amp;Schedule!$Q:$Q,Schedule!$L:$L=AE104,(Schedule!$J:$J="""")+(Schedule!$J:$J=AF104),(Schedule!$K:$K=""b"")+(Schedule!$K:$K=""""),Schedule!$P:$P&lt;&gt;""""),""""))"),"")</f>
        <v/>
      </c>
      <c r="AJ104" s="152" t="str">
        <f>IFERROR(__xludf.DUMMYFUNCTION("if(AE104="""","""",iferror(filter(Schedule!$V:$V&amp;""-""&amp;Schedule!$W:$W,Schedule!$L:$L=AE104,(Schedule!$J:$J="""")+(Schedule!$J:$J=AF104),(Schedule!$K:$K=""b"")+(Schedule!$K:$K=""""),Schedule!$V:$V&lt;&gt;""""),""""))"),"")</f>
        <v/>
      </c>
      <c r="AK104" s="152" t="str">
        <f>IFERROR(__xludf.DUMMYFUNCTION("if(AE104="""","""",iferror(filter(Schedule!$AB:$AB&amp;""-""&amp;Schedule!$AC:$AC,Schedule!$L:$L=AE104,(Schedule!$J:$J="""")+(Schedule!$J:$J=AF104),(Schedule!$K:$K=""b"")+(Schedule!$K:$K=""""),Schedule!$AB:$AB&lt;&gt;""""),""""))"),"")</f>
        <v/>
      </c>
      <c r="AL104" s="152" t="str">
        <f>IFERROR(__xludf.DUMMYFUNCTION("if(AE104="""","""",iferror(filter(Schedule!$M:$M&amp;""-""&amp;Schedule!$N:$N,Schedule!$L:$L=AE104,(Schedule!$J:$J="""")+(Schedule!$J:$J=AF104),(Schedule!$K:$K=""b"")+(Schedule!$K:$K=""""),Schedule!$M:$M&lt;&gt;""""),""""))"),"")</f>
        <v/>
      </c>
      <c r="AM104" s="64"/>
    </row>
    <row r="105">
      <c r="A105" s="11"/>
      <c r="B105" s="11"/>
      <c r="C105" s="156"/>
      <c r="D105" s="156"/>
      <c r="E105" s="156"/>
      <c r="F105" s="156"/>
      <c r="G105" s="156"/>
      <c r="H105" s="156"/>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c r="A106" s="5"/>
      <c r="B106" s="5"/>
      <c r="C106" s="140" t="str">
        <f>Teachers!A14</f>
        <v>Luisa</v>
      </c>
      <c r="D106" s="141"/>
      <c r="E106" s="141"/>
      <c r="F106" s="141"/>
      <c r="G106" s="141"/>
      <c r="H106" s="142"/>
      <c r="I106" s="143" t="str">
        <f>IFERROR(__xludf.DUMMYFUNCTION("if(C106="""","""", iferror(unique(filter(Schedule!$J:$J,Schedule!$L:$L=$C106,Schedule!$J:$J=""Q1"")),iferror(unique(filter(Schedule!$J:$J,Schedule!$L:$L=$C106,Schedule!$J:$J=""S1"")),""Y"")))"),"S1")</f>
        <v>S1</v>
      </c>
      <c r="J106" s="11"/>
      <c r="K106" s="11"/>
      <c r="L106" s="11"/>
      <c r="M106" s="140" t="str">
        <f>if(S106="","",C106)</f>
        <v>Luisa</v>
      </c>
      <c r="N106" s="141"/>
      <c r="O106" s="141"/>
      <c r="P106" s="141"/>
      <c r="Q106" s="141"/>
      <c r="R106" s="142"/>
      <c r="S106" s="143" t="str">
        <f>if($I106="Q1","Q2",if($I106="S1","S2",""))</f>
        <v>S2</v>
      </c>
      <c r="T106" s="144"/>
      <c r="U106" s="144"/>
      <c r="V106" s="145"/>
      <c r="W106" s="140" t="str">
        <f>if(AC106="","",M106)</f>
        <v/>
      </c>
      <c r="X106" s="141"/>
      <c r="Y106" s="141"/>
      <c r="Z106" s="141"/>
      <c r="AA106" s="141"/>
      <c r="AB106" s="142"/>
      <c r="AC106" s="143" t="str">
        <f>if($I106="Q1","Q3","")</f>
        <v/>
      </c>
      <c r="AD106" s="144"/>
      <c r="AE106" s="144"/>
      <c r="AF106" s="145"/>
      <c r="AG106" s="140" t="str">
        <f>if(AC106="","",W106)</f>
        <v/>
      </c>
      <c r="AH106" s="141"/>
      <c r="AI106" s="141"/>
      <c r="AJ106" s="141"/>
      <c r="AK106" s="141"/>
      <c r="AL106" s="142"/>
      <c r="AM106" s="143" t="str">
        <f>if($I106="Q1","Q4","")</f>
        <v/>
      </c>
    </row>
    <row r="107">
      <c r="A107" s="146"/>
      <c r="B107" s="146"/>
      <c r="C107" s="147" t="s">
        <v>94</v>
      </c>
      <c r="D107" s="148" t="s">
        <v>95</v>
      </c>
      <c r="E107" s="148" t="s">
        <v>96</v>
      </c>
      <c r="F107" s="148" t="s">
        <v>97</v>
      </c>
      <c r="G107" s="148" t="s">
        <v>98</v>
      </c>
      <c r="H107" s="148" t="s">
        <v>99</v>
      </c>
      <c r="I107" s="148" t="s">
        <v>651</v>
      </c>
      <c r="J107" s="146"/>
      <c r="K107" s="146"/>
      <c r="L107" s="146"/>
      <c r="M107" s="147" t="s">
        <v>94</v>
      </c>
      <c r="N107" s="148" t="s">
        <v>95</v>
      </c>
      <c r="O107" s="148" t="s">
        <v>96</v>
      </c>
      <c r="P107" s="148" t="s">
        <v>97</v>
      </c>
      <c r="Q107" s="148" t="s">
        <v>98</v>
      </c>
      <c r="R107" s="148" t="s">
        <v>99</v>
      </c>
      <c r="S107" s="148" t="s">
        <v>651</v>
      </c>
      <c r="T107" s="149"/>
      <c r="U107" s="149"/>
      <c r="V107" s="150"/>
      <c r="W107" s="147" t="s">
        <v>94</v>
      </c>
      <c r="X107" s="148" t="s">
        <v>95</v>
      </c>
      <c r="Y107" s="148" t="s">
        <v>96</v>
      </c>
      <c r="Z107" s="148" t="s">
        <v>97</v>
      </c>
      <c r="AA107" s="148" t="s">
        <v>98</v>
      </c>
      <c r="AB107" s="148" t="s">
        <v>99</v>
      </c>
      <c r="AC107" s="148" t="s">
        <v>651</v>
      </c>
      <c r="AD107" s="149"/>
      <c r="AE107" s="149"/>
      <c r="AF107" s="150"/>
      <c r="AG107" s="147" t="s">
        <v>94</v>
      </c>
      <c r="AH107" s="148" t="s">
        <v>95</v>
      </c>
      <c r="AI107" s="148" t="s">
        <v>96</v>
      </c>
      <c r="AJ107" s="148" t="s">
        <v>97</v>
      </c>
      <c r="AK107" s="148" t="s">
        <v>98</v>
      </c>
      <c r="AL107" s="148" t="s">
        <v>99</v>
      </c>
      <c r="AM107" s="148" t="s">
        <v>651</v>
      </c>
    </row>
    <row r="108">
      <c r="A108" s="151" t="str">
        <f>C106</f>
        <v>Luisa</v>
      </c>
      <c r="B108" s="151" t="str">
        <f>I106</f>
        <v>S1</v>
      </c>
      <c r="C108" s="147">
        <v>1.0</v>
      </c>
      <c r="D108" s="152" t="str">
        <f>IFERROR(__xludf.DUMMYFUNCTION("if(A108="""","""",iferror(filter(Schedule!$M:$M&amp;""-""&amp;Schedule!$N:$N,Schedule!$L:$L=A108,(Schedule!$J:$J="""")+(Schedule!$J:$J=B108),(Schedule!$K:$K=""a"")+(Schedule!$K:$K=""""),Schedule!$M:$M&lt;&gt;""""),""""))"),"Tech 7-1")</f>
        <v>Tech 7-1</v>
      </c>
      <c r="E108" s="152" t="str">
        <f>IFERROR(__xludf.DUMMYFUNCTION("if(A108="""","""",iferror(filter(Schedule!$AB:$AB&amp;""-""&amp;Schedule!$AC:$AC,Schedule!$L:$L=A108,(Schedule!$J:$J="""")+(Schedule!$J:$J=B108),(Schedule!$K:$K=""b"")+(Schedule!$K:$K=""""),Schedule!$AB:$AB&lt;&gt;""""),""""))"),"Tech 6-7")</f>
        <v>Tech 6-7</v>
      </c>
      <c r="F108" s="152" t="str">
        <f>IFERROR(__xludf.DUMMYFUNCTION("if(A108="""","""",iferror(filter(Schedule!$S:$S&amp;""-""&amp;Schedule!$T:$T,Schedule!$L:$L=A108,(Schedule!$J:$J="""")+(Schedule!$J:$J=B108),(Schedule!$K:$K=""a"")+(Schedule!$K:$K=""""),Schedule!$S:$S&lt;&gt;""""),""""))"),"")</f>
        <v/>
      </c>
      <c r="G108" s="152" t="str">
        <f>IFERROR(__xludf.DUMMYFUNCTION("if(A108="""","""",iferror(filter(Schedule!$V:$V&amp;""-""&amp;Schedule!$W:$W,Schedule!$L:$L=A108,(Schedule!$J:$J="""")+(Schedule!$J:$J=B108),(Schedule!$K:$K=""a"")+(Schedule!$K:$K=""""),Schedule!$V:$V&lt;&gt;""""),""""))"),"Tech 6-5")</f>
        <v>Tech 6-5</v>
      </c>
      <c r="H108" s="152" t="str">
        <f>IFERROR(__xludf.DUMMYFUNCTION("if(A108="""","""",iferror(filter(Schedule!$Y:$Y&amp;""-""&amp;Schedule!$Z:$Z,Schedule!$L:$L=A108,(Schedule!$J:$J="""")+(Schedule!$J:$J=B108),(Schedule!$K:$K=""b"")+(Schedule!$K:$K=""""),Schedule!$Y:$Y&lt;&gt;""""),""""))"),"")</f>
        <v/>
      </c>
      <c r="I108" s="153">
        <f>if(C106="","", 24-countifs(D108:H112,""))</f>
        <v>16</v>
      </c>
      <c r="J108" s="154"/>
      <c r="K108" s="151" t="str">
        <f>M106</f>
        <v>Luisa</v>
      </c>
      <c r="L108" s="151" t="str">
        <f>S106</f>
        <v>S2</v>
      </c>
      <c r="M108" s="147">
        <v>1.0</v>
      </c>
      <c r="N108" s="152" t="str">
        <f>IFERROR(__xludf.DUMMYFUNCTION("if(K108="""","""",iferror(filter(Schedule!$M:$M&amp;""-""&amp;Schedule!$N:$N,Schedule!$L:$L=K108,(Schedule!$J:$J="""")+(Schedule!$J:$J=L108),(Schedule!$K:$K=""a"")+(Schedule!$K:$K=""""),Schedule!$M:$M&lt;&gt;""""),""""))"),"Tech 7-2")</f>
        <v>Tech 7-2</v>
      </c>
      <c r="O108" s="152" t="str">
        <f>IFERROR(__xludf.DUMMYFUNCTION("if(K108="""","""",iferror(filter(Schedule!$AB:$AB&amp;""-""&amp;Schedule!$AC:$AC,Schedule!$L:$L=K108,(Schedule!$J:$J="""")+(Schedule!$J:$J=L108),(Schedule!$K:$K=""b"")+(Schedule!$K:$K=""""),Schedule!$AB:$AB&lt;&gt;""""),""""))"),"Tech 6-8")</f>
        <v>Tech 6-8</v>
      </c>
      <c r="P108" s="152" t="str">
        <f>IFERROR(__xludf.DUMMYFUNCTION("if(K108="""","""",iferror(filter(Schedule!$S:$S&amp;""-""&amp;Schedule!$T:$T,Schedule!$L:$L=K108,(Schedule!$J:$J="""")+(Schedule!$J:$J=L108),(Schedule!$K:$K=""a"")+(Schedule!$K:$K=""""),Schedule!$S:$S&lt;&gt;""""),""""))"),"")</f>
        <v/>
      </c>
      <c r="Q108" s="152" t="str">
        <f>IFERROR(__xludf.DUMMYFUNCTION("if(K108="""","""",iferror(filter(Schedule!$V:$V&amp;""-""&amp;Schedule!$W:$W,Schedule!$L:$L=K108,(Schedule!$J:$J="""")+(Schedule!$J:$J=L108),(Schedule!$K:$K=""a"")+(Schedule!$K:$K=""""),Schedule!$V:$V&lt;&gt;""""),""""))"),"Tech 6-6")</f>
        <v>Tech 6-6</v>
      </c>
      <c r="R108" s="152" t="str">
        <f>IFERROR(__xludf.DUMMYFUNCTION("if(K108="""","""",iferror(filter(Schedule!$Y:$Y&amp;""-""&amp;Schedule!$Z:$Z,Schedule!$L:$L=K108,(Schedule!$J:$J="""")+(Schedule!$J:$J=L108),(Schedule!$K:$K=""b"")+(Schedule!$K:$K=""""),Schedule!$Y:$Y&lt;&gt;""""),""""))"),"")</f>
        <v/>
      </c>
      <c r="S108" s="153">
        <f>if(K108="","", 24-countifs(N108:R112,""))</f>
        <v>16</v>
      </c>
      <c r="T108" s="155"/>
      <c r="U108" s="155" t="str">
        <f>W106</f>
        <v/>
      </c>
      <c r="V108" s="151" t="str">
        <f>AC106</f>
        <v/>
      </c>
      <c r="W108" s="147">
        <v>1.0</v>
      </c>
      <c r="X108" s="152" t="str">
        <f>IFERROR(__xludf.DUMMYFUNCTION("if(U108="""","""",iferror(filter(Schedule!$M:$M&amp;""-""&amp;Schedule!$N:$N,Schedule!$L:$L=U108,(Schedule!$J:$J="""")+(Schedule!$J:$J=V108),(Schedule!$K:$K=""a"")+(Schedule!$K:$K=""""),Schedule!$M:$M&lt;&gt;""""),""""))"),"")</f>
        <v/>
      </c>
      <c r="Y108" s="152" t="str">
        <f>IFERROR(__xludf.DUMMYFUNCTION("if(U108="""","""",iferror(filter(Schedule!$AB:$AB&amp;""-""&amp;Schedule!$AC:$AC,Schedule!$L:$L=U108,(Schedule!$J:$J="""")+(Schedule!$J:$J=V108),(Schedule!$K:$K=""b"")+(Schedule!$K:$K=""""),Schedule!$AB:$AB&lt;&gt;""""),""""))"),"")</f>
        <v/>
      </c>
      <c r="Z108" s="152" t="str">
        <f>IFERROR(__xludf.DUMMYFUNCTION("if(U108="""","""",iferror(filter(Schedule!$S:$S&amp;""-""&amp;Schedule!$T:$T,Schedule!$L:$L=U108,(Schedule!$J:$J="""")+(Schedule!$J:$J=V108),(Schedule!$K:$K=""a"")+(Schedule!$K:$K=""""),Schedule!$S:$S&lt;&gt;""""),""""))"),"")</f>
        <v/>
      </c>
      <c r="AA108" s="152" t="str">
        <f>IFERROR(__xludf.DUMMYFUNCTION("if(U108="""","""",iferror(filter(Schedule!$V:$V&amp;""-""&amp;Schedule!$W:$W,Schedule!$L:$L=U108,(Schedule!$J:$J="""")+(Schedule!$J:$J=V108),(Schedule!$K:$K=""a"")+(Schedule!$K:$K=""""),Schedule!$V:$V&lt;&gt;""""),""""))"),"")</f>
        <v/>
      </c>
      <c r="AB108" s="152" t="str">
        <f>IFERROR(__xludf.DUMMYFUNCTION("if(U108="""","""",iferror(filter(Schedule!$Y:$Y&amp;""-""&amp;Schedule!$Z:$Z,Schedule!$L:$L=U108,(Schedule!$J:$J="""")+(Schedule!$J:$J=V108),(Schedule!$K:$K=""b"")+(Schedule!$K:$K=""""),Schedule!$Y:$Y&lt;&gt;""""),""""))"),"")</f>
        <v/>
      </c>
      <c r="AC108" s="153" t="str">
        <f>if(U108="","", 24-countifs(X108:AB112,""))</f>
        <v/>
      </c>
      <c r="AD108" s="155"/>
      <c r="AE108" s="155" t="str">
        <f>AG106</f>
        <v/>
      </c>
      <c r="AF108" s="151" t="str">
        <f>AM106</f>
        <v/>
      </c>
      <c r="AG108" s="147">
        <v>1.0</v>
      </c>
      <c r="AH108" s="152" t="str">
        <f>IFERROR(__xludf.DUMMYFUNCTION("if(AE108="""","""",iferror(filter(Schedule!$M:$M&amp;""-""&amp;Schedule!$N:$N,Schedule!$L:$L=AE108,(Schedule!$J:$J="""")+(Schedule!$J:$J=AF108),(Schedule!$K:$K=""a"")+(Schedule!$K:$K=""""),Schedule!$M:$M&lt;&gt;""""),""""))"),"")</f>
        <v/>
      </c>
      <c r="AI108" s="152" t="str">
        <f>IFERROR(__xludf.DUMMYFUNCTION("if(AE108="""","""",iferror(filter(Schedule!$AB:$AB&amp;""-""&amp;Schedule!$AC:$AC,Schedule!$L:$L=AE108,(Schedule!$J:$J="""")+(Schedule!$J:$J=AF108),(Schedule!$K:$K=""b"")+(Schedule!$K:$K=""""),Schedule!$AB:$AB&lt;&gt;""""),""""))"),"")</f>
        <v/>
      </c>
      <c r="AJ108" s="152" t="str">
        <f>IFERROR(__xludf.DUMMYFUNCTION("if(AE108="""","""",iferror(filter(Schedule!$S:$S&amp;""-""&amp;Schedule!$T:$T,Schedule!$L:$L=AE108,(Schedule!$J:$J="""")+(Schedule!$J:$J=AF108),(Schedule!$K:$K=""a"")+(Schedule!$K:$K=""""),Schedule!$S:$S&lt;&gt;""""),""""))"),"")</f>
        <v/>
      </c>
      <c r="AK108" s="152" t="str">
        <f>IFERROR(__xludf.DUMMYFUNCTION("if(AE108="""","""",iferror(filter(Schedule!$V:$V&amp;""-""&amp;Schedule!$W:$W,Schedule!$L:$L=AE108,(Schedule!$J:$J="""")+(Schedule!$J:$J=AF108),(Schedule!$K:$K=""a"")+(Schedule!$K:$K=""""),Schedule!$V:$V&lt;&gt;""""),""""))"),"")</f>
        <v/>
      </c>
      <c r="AL108" s="152" t="str">
        <f>IFERROR(__xludf.DUMMYFUNCTION("if(AE108="""","""",iferror(filter(Schedule!$Y:$Y&amp;""-""&amp;Schedule!$Z:$Z,Schedule!$L:$L=AE108,(Schedule!$J:$J="""")+(Schedule!$J:$J=AF108),(Schedule!$K:$K=""b"")+(Schedule!$K:$K=""""),Schedule!$Y:$Y&lt;&gt;""""),""""))"),"")</f>
        <v/>
      </c>
      <c r="AM108" s="153" t="str">
        <f>if(AE108="","", 24-countifs(AH108:AL112,""))</f>
        <v/>
      </c>
    </row>
    <row r="109">
      <c r="A109" s="151" t="str">
        <f>C106</f>
        <v>Luisa</v>
      </c>
      <c r="B109" s="151" t="str">
        <f>I106</f>
        <v>S1</v>
      </c>
      <c r="C109" s="147">
        <v>2.0</v>
      </c>
      <c r="D109" s="152" t="str">
        <f>IFERROR(__xludf.DUMMYFUNCTION("if(A109="""","""",iferror(filter(Schedule!$P:$P&amp;""-""&amp;Schedule!$Q:$Q,Schedule!$L:$L=A109,(Schedule!$J:$J="""")+(Schedule!$J:$J=B109),(Schedule!$K:$K=""a"")+(Schedule!$K:$K=""""),Schedule!$P:$P&lt;&gt;""""),""""))"),"Tech 6-3")</f>
        <v>Tech 6-3</v>
      </c>
      <c r="E109" s="152" t="str">
        <f>IFERROR(__xludf.DUMMYFUNCTION("if(A109="""","""",iferror(filter(Schedule!$Y:$Y&amp;""-""&amp;Schedule!$Z:$Z,Schedule!$L:$L=A109,(Schedule!$J:$J="""")+(Schedule!$J:$J=B109),(Schedule!$K:$K=""b"")+(Schedule!$K:$K=""""),Schedule!$Y:$Y&lt;&gt;""""),""""))"),"")</f>
        <v/>
      </c>
      <c r="F109" s="152" t="str">
        <f>IFERROR(__xludf.DUMMYFUNCTION("if(A109="""","""",iferror(filter(Schedule!$P:$P&amp;""-""&amp;Schedule!$Q:$Q,Schedule!$L:$L=A109,(Schedule!$J:$J="""")+(Schedule!$J:$J=B109),(Schedule!$K:$K=""a"")+(Schedule!$K:$K=""""),Schedule!$P:$P&lt;&gt;""""),""""))"),"Tech 6-3")</f>
        <v>Tech 6-3</v>
      </c>
      <c r="G109" s="152" t="str">
        <f>IFERROR(__xludf.DUMMYFUNCTION("if(A109="""","""",iferror(filter(Schedule!$M:$M&amp;""-""&amp;Schedule!$N:$N,Schedule!$L:$L=A109,(Schedule!$J:$J="""")+(Schedule!$J:$J=B109),(Schedule!$K:$K=""a"")+(Schedule!$K:$K=""""),Schedule!$M:$M&lt;&gt;""""),""""))"),"Tech 7-1")</f>
        <v>Tech 7-1</v>
      </c>
      <c r="H109" s="152" t="str">
        <f>IFERROR(__xludf.DUMMYFUNCTION("if(A109="""","""",iferror(filter(Schedule!$AB:$AB&amp;""-""&amp;Schedule!$AC:$AC,Schedule!$L:$L=A109,(Schedule!$J:$J="""")+(Schedule!$J:$J=B109),(Schedule!$K:$K=""a"")+(Schedule!$K:$K=""""),Schedule!$AB:$AB&lt;&gt;""""),""""))"),"")</f>
        <v/>
      </c>
      <c r="I109" s="60"/>
      <c r="J109" s="154"/>
      <c r="K109" s="151" t="str">
        <f>M106</f>
        <v>Luisa</v>
      </c>
      <c r="L109" s="151" t="str">
        <f>S106</f>
        <v>S2</v>
      </c>
      <c r="M109" s="147">
        <v>2.0</v>
      </c>
      <c r="N109" s="152" t="str">
        <f>IFERROR(__xludf.DUMMYFUNCTION("if(K109="""","""",iferror(filter(Schedule!$P:$P&amp;""-""&amp;Schedule!$Q:$Q,Schedule!$L:$L=K109,(Schedule!$J:$J="""")+(Schedule!$J:$J=L109),(Schedule!$K:$K=""a"")+(Schedule!$K:$K=""""),Schedule!$P:$P&lt;&gt;""""),""""))"),"Tech 6-4")</f>
        <v>Tech 6-4</v>
      </c>
      <c r="O109" s="152" t="str">
        <f>IFERROR(__xludf.DUMMYFUNCTION("if(K109="""","""",iferror(filter(Schedule!$Y:$Y&amp;""-""&amp;Schedule!$Z:$Z,Schedule!$L:$L=K109,(Schedule!$J:$J="""")+(Schedule!$J:$J=L109),(Schedule!$K:$K=""b"")+(Schedule!$K:$K=""""),Schedule!$Y:$Y&lt;&gt;""""),""""))"),"")</f>
        <v/>
      </c>
      <c r="P109" s="152" t="str">
        <f>IFERROR(__xludf.DUMMYFUNCTION("if(K109="""","""",iferror(filter(Schedule!$P:$P&amp;""-""&amp;Schedule!$Q:$Q,Schedule!$L:$L=K109,(Schedule!$J:$J="""")+(Schedule!$J:$J=L109),(Schedule!$K:$K=""a"")+(Schedule!$K:$K=""""),Schedule!$P:$P&lt;&gt;""""),""""))"),"Tech 6-4")</f>
        <v>Tech 6-4</v>
      </c>
      <c r="Q109" s="152" t="str">
        <f>IFERROR(__xludf.DUMMYFUNCTION("if(K109="""","""",iferror(filter(Schedule!$M:$M&amp;""-""&amp;Schedule!$N:$N,Schedule!$L:$L=K109,(Schedule!$J:$J="""")+(Schedule!$J:$J=L109),(Schedule!$K:$K=""a"")+(Schedule!$K:$K=""""),Schedule!$M:$M&lt;&gt;""""),""""))"),"Tech 7-2")</f>
        <v>Tech 7-2</v>
      </c>
      <c r="R109" s="152" t="str">
        <f>IFERROR(__xludf.DUMMYFUNCTION("if(K109="""","""",iferror(filter(Schedule!$AB:$AB&amp;""-""&amp;Schedule!$AC:$AC,Schedule!$L:$L=K109,(Schedule!$J:$J="""")+(Schedule!$J:$J=L109),(Schedule!$K:$K=""a"")+(Schedule!$K:$K=""""),Schedule!$AB:$AB&lt;&gt;""""),""""))"),"Tech 7-5")</f>
        <v>Tech 7-5</v>
      </c>
      <c r="S109" s="60"/>
      <c r="T109" s="155"/>
      <c r="U109" s="155" t="str">
        <f>W106</f>
        <v/>
      </c>
      <c r="V109" s="151" t="str">
        <f>AC106</f>
        <v/>
      </c>
      <c r="W109" s="147">
        <v>2.0</v>
      </c>
      <c r="X109" s="152" t="str">
        <f>IFERROR(__xludf.DUMMYFUNCTION("if(U109="""","""",iferror(filter(Schedule!$P:$P&amp;""-""&amp;Schedule!$Q:$Q,Schedule!$L:$L=U109,(Schedule!$J:$J="""")+(Schedule!$J:$J=V109),(Schedule!$K:$K=""a"")+(Schedule!$K:$K=""""),Schedule!$P:$P&lt;&gt;""""),""""))"),"")</f>
        <v/>
      </c>
      <c r="Y109" s="152" t="str">
        <f>IFERROR(__xludf.DUMMYFUNCTION("if(U109="""","""",iferror(filter(Schedule!$Y:$Y&amp;""-""&amp;Schedule!$Z:$Z,Schedule!$L:$L=U109,(Schedule!$J:$J="""")+(Schedule!$J:$J=V109),(Schedule!$K:$K=""b"")+(Schedule!$K:$K=""""),Schedule!$Y:$Y&lt;&gt;""""),""""))"),"")</f>
        <v/>
      </c>
      <c r="Z109" s="152" t="str">
        <f>IFERROR(__xludf.DUMMYFUNCTION("if(U109="""","""",iferror(filter(Schedule!$P:$P&amp;""-""&amp;Schedule!$Q:$Q,Schedule!$L:$L=U109,(Schedule!$J:$J="""")+(Schedule!$J:$J=V109),(Schedule!$K:$K=""a"")+(Schedule!$K:$K=""""),Schedule!$P:$P&lt;&gt;""""),""""))"),"")</f>
        <v/>
      </c>
      <c r="AA109" s="152" t="str">
        <f>IFERROR(__xludf.DUMMYFUNCTION("if(U109="""","""",iferror(filter(Schedule!$M:$M&amp;""-""&amp;Schedule!$N:$N,Schedule!$L:$L=U109,(Schedule!$J:$J="""")+(Schedule!$J:$J=V109),(Schedule!$K:$K=""a"")+(Schedule!$K:$K=""""),Schedule!$M:$M&lt;&gt;""""),""""))"),"")</f>
        <v/>
      </c>
      <c r="AB109" s="152" t="str">
        <f>IFERROR(__xludf.DUMMYFUNCTION("if(U109="""","""",iferror(filter(Schedule!$AB:$AB&amp;""-""&amp;Schedule!$AC:$AC,Schedule!$L:$L=U109,(Schedule!$J:$J="""")+(Schedule!$J:$J=V109),(Schedule!$K:$K=""a"")+(Schedule!$K:$K=""""),Schedule!$AB:$AB&lt;&gt;""""),""""))"),"")</f>
        <v/>
      </c>
      <c r="AC109" s="60"/>
      <c r="AD109" s="155"/>
      <c r="AE109" s="155" t="str">
        <f>AG106</f>
        <v/>
      </c>
      <c r="AF109" s="151" t="str">
        <f>AM106</f>
        <v/>
      </c>
      <c r="AG109" s="147">
        <v>2.0</v>
      </c>
      <c r="AH109" s="152" t="str">
        <f>IFERROR(__xludf.DUMMYFUNCTION("if(AE109="""","""",iferror(filter(Schedule!$P:$P&amp;""-""&amp;Schedule!$Q:$Q,Schedule!$L:$L=AE109,(Schedule!$J:$J="""")+(Schedule!$J:$J=AF109),(Schedule!$K:$K=""a"")+(Schedule!$K:$K=""""),Schedule!$P:$P&lt;&gt;""""),""""))"),"")</f>
        <v/>
      </c>
      <c r="AI109" s="152" t="str">
        <f>IFERROR(__xludf.DUMMYFUNCTION("if(AE109="""","""",iferror(filter(Schedule!$Y:$Y&amp;""-""&amp;Schedule!$Z:$Z,Schedule!$L:$L=AE109,(Schedule!$J:$J="""")+(Schedule!$J:$J=AF109),(Schedule!$K:$K=""b"")+(Schedule!$K:$K=""""),Schedule!$Y:$Y&lt;&gt;""""),""""))"),"")</f>
        <v/>
      </c>
      <c r="AJ109" s="152" t="str">
        <f>IFERROR(__xludf.DUMMYFUNCTION("if(AE109="""","""",iferror(filter(Schedule!$P:$P&amp;""-""&amp;Schedule!$Q:$Q,Schedule!$L:$L=AE109,(Schedule!$J:$J="""")+(Schedule!$J:$J=AF109),(Schedule!$K:$K=""a"")+(Schedule!$K:$K=""""),Schedule!$P:$P&lt;&gt;""""),""""))"),"")</f>
        <v/>
      </c>
      <c r="AK109" s="152" t="str">
        <f>IFERROR(__xludf.DUMMYFUNCTION("if(AE109="""","""",iferror(filter(Schedule!$M:$M&amp;""-""&amp;Schedule!$N:$N,Schedule!$L:$L=AE109,(Schedule!$J:$J="""")+(Schedule!$J:$J=AF109),(Schedule!$K:$K=""a"")+(Schedule!$K:$K=""""),Schedule!$M:$M&lt;&gt;""""),""""))"),"")</f>
        <v/>
      </c>
      <c r="AL109" s="152" t="str">
        <f>IFERROR(__xludf.DUMMYFUNCTION("if(AE109="""","""",iferror(filter(Schedule!$AB:$AB&amp;""-""&amp;Schedule!$AC:$AC,Schedule!$L:$L=AE109,(Schedule!$J:$J="""")+(Schedule!$J:$J=AF109),(Schedule!$K:$K=""a"")+(Schedule!$K:$K=""""),Schedule!$AB:$AB&lt;&gt;""""),""""))"),"")</f>
        <v/>
      </c>
      <c r="AM109" s="60"/>
    </row>
    <row r="110">
      <c r="A110" s="151" t="str">
        <f>C106</f>
        <v>Luisa</v>
      </c>
      <c r="B110" s="151" t="str">
        <f>I106</f>
        <v>S1</v>
      </c>
      <c r="C110" s="147">
        <v>3.0</v>
      </c>
      <c r="D110" s="152" t="str">
        <f>IFERROR(__xludf.DUMMYFUNCTION("if(A110="""","""",iferror(filter(Schedule!$S:$S&amp;""-""&amp;Schedule!$T:$T,Schedule!$L:$L=A110,(Schedule!$J:$J="""")+(Schedule!$J:$J=B110),(Schedule!$K:$K=""a"")+(Schedule!$K:$K=""""),Schedule!$S:$S&lt;&gt;""""),""""))"),"")</f>
        <v/>
      </c>
      <c r="E110" s="152" t="str">
        <f>IFERROR(__xludf.DUMMYFUNCTION("if(A110="""","""",iferror(filter(Schedule!$S:$S&amp;""-""&amp;Schedule!$T:$T,Schedule!$L:$L=A110,(Schedule!$J:$J="""")+(Schedule!$J:$J=B110),(Schedule!$K:$K=""b"")+(Schedule!$K:$K=""""),Schedule!$S:$S&lt;&gt;""""),""""))"),"")</f>
        <v/>
      </c>
      <c r="F110" s="152" t="str">
        <f>IFERROR(__xludf.DUMMYFUNCTION("if(A110="""","""",iferror(filter(Schedule!$Y:$Y&amp;""-""&amp;Schedule!$Z:$Z,Schedule!$L:$L=A110,(Schedule!$J:$J="""")+(Schedule!$J:$J=B110),(Schedule!$K:$K=""a"")+(Schedule!$K:$K=""""),Schedule!$Y:$Y&lt;&gt;""""),""""))"),"Tech 8-2")</f>
        <v>Tech 8-2</v>
      </c>
      <c r="G110" s="152" t="str">
        <f>IFERROR(__xludf.DUMMYFUNCTION("if(A110="""","""",iferror(filter(Schedule!$P:$P&amp;""-""&amp;Schedule!$Q:$Q,Schedule!$L:$L=A110,(Schedule!$J:$J="""")+(Schedule!$J:$J=B110),(Schedule!$K:$K=""b"")+(Schedule!$K:$K=""""),Schedule!$P:$P&lt;&gt;""""),""""))"),"Tech 7-3")</f>
        <v>Tech 7-3</v>
      </c>
      <c r="H110" s="152" t="str">
        <f>if(C106="","","X-Block")</f>
        <v>X-Block</v>
      </c>
      <c r="I110" s="60"/>
      <c r="J110" s="154"/>
      <c r="K110" s="151" t="str">
        <f>M106</f>
        <v>Luisa</v>
      </c>
      <c r="L110" s="151" t="str">
        <f>S106</f>
        <v>S2</v>
      </c>
      <c r="M110" s="147">
        <v>3.0</v>
      </c>
      <c r="N110" s="152" t="str">
        <f>IFERROR(__xludf.DUMMYFUNCTION("if(K110="""","""",iferror(filter(Schedule!$S:$S&amp;""-""&amp;Schedule!$T:$T,Schedule!$L:$L=K110,(Schedule!$J:$J="""")+(Schedule!$J:$J=L110),(Schedule!$K:$K=""a"")+(Schedule!$K:$K=""""),Schedule!$S:$S&lt;&gt;""""),""""))"),"")</f>
        <v/>
      </c>
      <c r="O110" s="152" t="str">
        <f>IFERROR(__xludf.DUMMYFUNCTION("if(K110="""","""",iferror(filter(Schedule!$S:$S&amp;""-""&amp;Schedule!$T:$T,Schedule!$L:$L=K110,(Schedule!$J:$J="""")+(Schedule!$J:$J=L110),(Schedule!$K:$K=""b"")+(Schedule!$K:$K=""""),Schedule!$S:$S&lt;&gt;""""),""""))"),"")</f>
        <v/>
      </c>
      <c r="P110" s="152" t="str">
        <f>IFERROR(__xludf.DUMMYFUNCTION("if(K110="""","""",iferror(filter(Schedule!$Y:$Y&amp;""-""&amp;Schedule!$Z:$Z,Schedule!$L:$L=K110,(Schedule!$J:$J="""")+(Schedule!$J:$J=L110),(Schedule!$K:$K=""a"")+(Schedule!$K:$K=""""),Schedule!$Y:$Y&lt;&gt;""""),""""))"),"Tech 8-3")</f>
        <v>Tech 8-3</v>
      </c>
      <c r="Q110" s="152" t="str">
        <f>IFERROR(__xludf.DUMMYFUNCTION("if(K110="""","""",iferror(filter(Schedule!$P:$P&amp;""-""&amp;Schedule!$Q:$Q,Schedule!$L:$L=K110,(Schedule!$J:$J="""")+(Schedule!$J:$J=L110),(Schedule!$K:$K=""b"")+(Schedule!$K:$K=""""),Schedule!$P:$P&lt;&gt;""""),""""))"),"Tech 7-4")</f>
        <v>Tech 7-4</v>
      </c>
      <c r="R110" s="152" t="str">
        <f>if(M106="","","X-Block")</f>
        <v>X-Block</v>
      </c>
      <c r="S110" s="60"/>
      <c r="T110" s="155"/>
      <c r="U110" s="155" t="str">
        <f>W106</f>
        <v/>
      </c>
      <c r="V110" s="151" t="str">
        <f>AC106</f>
        <v/>
      </c>
      <c r="W110" s="147">
        <v>3.0</v>
      </c>
      <c r="X110" s="152" t="str">
        <f>IFERROR(__xludf.DUMMYFUNCTION("if(U110="""","""",iferror(filter(Schedule!$S:$S&amp;""-""&amp;Schedule!$T:$T,Schedule!$L:$L=U110,(Schedule!$J:$J="""")+(Schedule!$J:$J=V110),(Schedule!$K:$K=""a"")+(Schedule!$K:$K=""""),Schedule!$S:$S&lt;&gt;""""),""""))"),"")</f>
        <v/>
      </c>
      <c r="Y110" s="152" t="str">
        <f>IFERROR(__xludf.DUMMYFUNCTION("if(U110="""","""",iferror(filter(Schedule!$S:$S&amp;""-""&amp;Schedule!$T:$T,Schedule!$L:$L=U110,(Schedule!$J:$J="""")+(Schedule!$J:$J=V110),(Schedule!$K:$K=""b"")+(Schedule!$K:$K=""""),Schedule!$S:$S&lt;&gt;""""),""""))"),"")</f>
        <v/>
      </c>
      <c r="Z110" s="152" t="str">
        <f>IFERROR(__xludf.DUMMYFUNCTION("if(U110="""","""",iferror(filter(Schedule!$Y:$Y&amp;""-""&amp;Schedule!$Z:$Z,Schedule!$L:$L=U110,(Schedule!$J:$J="""")+(Schedule!$J:$J=V110),(Schedule!$K:$K=""a"")+(Schedule!$K:$K=""""),Schedule!$Y:$Y&lt;&gt;""""),""""))"),"")</f>
        <v/>
      </c>
      <c r="AA110" s="152" t="str">
        <f>IFERROR(__xludf.DUMMYFUNCTION("if(U110="""","""",iferror(filter(Schedule!$P:$P&amp;""-""&amp;Schedule!$Q:$Q,Schedule!$L:$L=U110,(Schedule!$J:$J="""")+(Schedule!$J:$J=V110),(Schedule!$K:$K=""b"")+(Schedule!$K:$K=""""),Schedule!$P:$P&lt;&gt;""""),""""))"),"")</f>
        <v/>
      </c>
      <c r="AB110" s="152" t="str">
        <f>if(W106="","","X-Block")</f>
        <v/>
      </c>
      <c r="AC110" s="60"/>
      <c r="AD110" s="155"/>
      <c r="AE110" s="155" t="str">
        <f>AG106</f>
        <v/>
      </c>
      <c r="AF110" s="151" t="str">
        <f>AM106</f>
        <v/>
      </c>
      <c r="AG110" s="147">
        <v>3.0</v>
      </c>
      <c r="AH110" s="152" t="str">
        <f>IFERROR(__xludf.DUMMYFUNCTION("if(AE110="""","""",iferror(filter(Schedule!$S:$S&amp;""-""&amp;Schedule!$T:$T,Schedule!$L:$L=AE110,(Schedule!$J:$J="""")+(Schedule!$J:$J=AF110),(Schedule!$K:$K=""a"")+(Schedule!$K:$K=""""),Schedule!$S:$S&lt;&gt;""""),""""))"),"")</f>
        <v/>
      </c>
      <c r="AI110" s="152" t="str">
        <f>IFERROR(__xludf.DUMMYFUNCTION("if(AE110="""","""",iferror(filter(Schedule!$S:$S&amp;""-""&amp;Schedule!$T:$T,Schedule!$L:$L=AE110,(Schedule!$J:$J="""")+(Schedule!$J:$J=AF110),(Schedule!$K:$K=""b"")+(Schedule!$K:$K=""""),Schedule!$S:$S&lt;&gt;""""),""""))"),"")</f>
        <v/>
      </c>
      <c r="AJ110" s="152" t="str">
        <f>IFERROR(__xludf.DUMMYFUNCTION("if(AE110="""","""",iferror(filter(Schedule!$Y:$Y&amp;""-""&amp;Schedule!$Z:$Z,Schedule!$L:$L=AE110,(Schedule!$J:$J="""")+(Schedule!$J:$J=AF110),(Schedule!$K:$K=""a"")+(Schedule!$K:$K=""""),Schedule!$Y:$Y&lt;&gt;""""),""""))"),"")</f>
        <v/>
      </c>
      <c r="AK110" s="152" t="str">
        <f>IFERROR(__xludf.DUMMYFUNCTION("if(AE110="""","""",iferror(filter(Schedule!$P:$P&amp;""-""&amp;Schedule!$Q:$Q,Schedule!$L:$L=AE110,(Schedule!$J:$J="""")+(Schedule!$J:$J=AF110),(Schedule!$K:$K=""b"")+(Schedule!$K:$K=""""),Schedule!$P:$P&lt;&gt;""""),""""))"),"")</f>
        <v/>
      </c>
      <c r="AL110" s="152" t="str">
        <f>if(AG106="","","X-Block")</f>
        <v/>
      </c>
      <c r="AM110" s="60"/>
    </row>
    <row r="111">
      <c r="A111" s="151" t="str">
        <f>C106</f>
        <v>Luisa</v>
      </c>
      <c r="B111" s="151" t="str">
        <f>I106</f>
        <v>S1</v>
      </c>
      <c r="C111" s="147">
        <v>4.0</v>
      </c>
      <c r="D111" s="152" t="str">
        <f>IFERROR(__xludf.DUMMYFUNCTION("if(A111="""","""",iferror(filter(Schedule!$V:$V&amp;""-""&amp;Schedule!$W:$W,Schedule!$L:$L=A111,(Schedule!$J:$J="""")+(Schedule!$J:$J=B111),(Schedule!$K:$K=""a"")+(Schedule!$K:$K=""""),Schedule!$V:$V&lt;&gt;""""),""""))"),"Tech 6-5")</f>
        <v>Tech 6-5</v>
      </c>
      <c r="E111" s="152" t="str">
        <f>IFERROR(__xludf.DUMMYFUNCTION("if(A111="""","""",iferror(filter(Schedule!$M:$M&amp;""-""&amp;Schedule!$N:$N,Schedule!$L:$L=A111,(Schedule!$J:$J="""")+(Schedule!$J:$J=B111),(Schedule!$K:$K=""b"")+(Schedule!$K:$K=""""),Schedule!$M:$M&lt;&gt;""""),""""))"),"Tech 6-1")</f>
        <v>Tech 6-1</v>
      </c>
      <c r="F111" s="152" t="str">
        <f>IFERROR(__xludf.DUMMYFUNCTION("if(A111="""","""",iferror(filter(Schedule!$AB:$AB&amp;""-""&amp;Schedule!$AC:$AC,Schedule!$L:$L=A111,(Schedule!$J:$J="""")+(Schedule!$J:$J=B111),(Schedule!$K:$K=""a"")+(Schedule!$K:$K=""""),Schedule!$AB:$AB&lt;&gt;""""),""""))"),"")</f>
        <v/>
      </c>
      <c r="G111" s="152" t="str">
        <f>IFERROR(__xludf.DUMMYFUNCTION("if(A111="""","""",iferror(filter(Schedule!$S:$S&amp;""-""&amp;Schedule!$T:$T,Schedule!$L:$L=A111,(Schedule!$J:$J="""")+(Schedule!$J:$J=B111),(Schedule!$K:$K=""b"")+(Schedule!$K:$K=""""),Schedule!$S:$S&lt;&gt;""""),""""))"),"")</f>
        <v/>
      </c>
      <c r="H111" s="152" t="str">
        <f>IFERROR(__xludf.DUMMYFUNCTION("if(A111="""","""",iferror(filter(Schedule!$V:$V&amp;""-""&amp;Schedule!$W:$W,Schedule!$L:$L=A111,(Schedule!$J:$J="""")+(Schedule!$J:$J=B111),(Schedule!$K:$K=""b"")+(Schedule!$K:$K=""""),Schedule!$V:$V&lt;&gt;""""),""""))"),"Tech 8-1")</f>
        <v>Tech 8-1</v>
      </c>
      <c r="I111" s="60"/>
      <c r="J111" s="154"/>
      <c r="K111" s="151" t="str">
        <f>M106</f>
        <v>Luisa</v>
      </c>
      <c r="L111" s="151" t="str">
        <f>S106</f>
        <v>S2</v>
      </c>
      <c r="M111" s="147">
        <v>4.0</v>
      </c>
      <c r="N111" s="152" t="str">
        <f>IFERROR(__xludf.DUMMYFUNCTION("if(K111="""","""",iferror(filter(Schedule!$V:$V&amp;""-""&amp;Schedule!$W:$W,Schedule!$L:$L=K111,(Schedule!$J:$J="""")+(Schedule!$J:$J=L111),(Schedule!$K:$K=""a"")+(Schedule!$K:$K=""""),Schedule!$V:$V&lt;&gt;""""),""""))"),"Tech 6-6")</f>
        <v>Tech 6-6</v>
      </c>
      <c r="O111" s="152" t="str">
        <f>IFERROR(__xludf.DUMMYFUNCTION("if(K111="""","""",iferror(filter(Schedule!$M:$M&amp;""-""&amp;Schedule!$N:$N,Schedule!$L:$L=K111,(Schedule!$J:$J="""")+(Schedule!$J:$J=L111),(Schedule!$K:$K=""b"")+(Schedule!$K:$K=""""),Schedule!$M:$M&lt;&gt;""""),""""))"),"Tech 6-2")</f>
        <v>Tech 6-2</v>
      </c>
      <c r="P111" s="152" t="str">
        <f>IFERROR(__xludf.DUMMYFUNCTION("if(K111="""","""",iferror(filter(Schedule!$AB:$AB&amp;""-""&amp;Schedule!$AC:$AC,Schedule!$L:$L=K111,(Schedule!$J:$J="""")+(Schedule!$J:$J=L111),(Schedule!$K:$K=""a"")+(Schedule!$K:$K=""""),Schedule!$AB:$AB&lt;&gt;""""),""""))"),"Tech 7-5")</f>
        <v>Tech 7-5</v>
      </c>
      <c r="Q111" s="152" t="str">
        <f>IFERROR(__xludf.DUMMYFUNCTION("if(K111="""","""",iferror(filter(Schedule!$S:$S&amp;""-""&amp;Schedule!$T:$T,Schedule!$L:$L=K111,(Schedule!$J:$J="""")+(Schedule!$J:$J=L111),(Schedule!$K:$K=""b"")+(Schedule!$K:$K=""""),Schedule!$S:$S&lt;&gt;""""),""""))"),"")</f>
        <v/>
      </c>
      <c r="R111" s="152" t="str">
        <f>IFERROR(__xludf.DUMMYFUNCTION("if(K111="""","""",iferror(filter(Schedule!$V:$V&amp;""-""&amp;Schedule!$W:$W,Schedule!$L:$L=K111,(Schedule!$J:$J="""")+(Schedule!$J:$J=L111),(Schedule!$K:$K=""b"")+(Schedule!$K:$K=""""),Schedule!$V:$V&lt;&gt;""""),""""))"),"")</f>
        <v/>
      </c>
      <c r="S111" s="60"/>
      <c r="T111" s="155"/>
      <c r="U111" s="155" t="str">
        <f>W106</f>
        <v/>
      </c>
      <c r="V111" s="151" t="str">
        <f>AC106</f>
        <v/>
      </c>
      <c r="W111" s="147">
        <v>4.0</v>
      </c>
      <c r="X111" s="152" t="str">
        <f>IFERROR(__xludf.DUMMYFUNCTION("if(U111="""","""",iferror(filter(Schedule!$V:$V&amp;""-""&amp;Schedule!$W:$W,Schedule!$L:$L=U111,(Schedule!$J:$J="""")+(Schedule!$J:$J=V111),(Schedule!$K:$K=""a"")+(Schedule!$K:$K=""""),Schedule!$V:$V&lt;&gt;""""),""""))"),"")</f>
        <v/>
      </c>
      <c r="Y111" s="152" t="str">
        <f>IFERROR(__xludf.DUMMYFUNCTION("if(U111="""","""",iferror(filter(Schedule!$M:$M&amp;""-""&amp;Schedule!$N:$N,Schedule!$L:$L=U111,(Schedule!$J:$J="""")+(Schedule!$J:$J=V111),(Schedule!$K:$K=""b"")+(Schedule!$K:$K=""""),Schedule!$M:$M&lt;&gt;""""),""""))"),"")</f>
        <v/>
      </c>
      <c r="Z111" s="152" t="str">
        <f>IFERROR(__xludf.DUMMYFUNCTION("if(U111="""","""",iferror(filter(Schedule!$AB:$AB&amp;""-""&amp;Schedule!$AC:$AC,Schedule!$L:$L=U111,(Schedule!$J:$J="""")+(Schedule!$J:$J=V111),(Schedule!$K:$K=""a"")+(Schedule!$K:$K=""""),Schedule!$AB:$AB&lt;&gt;""""),""""))"),"")</f>
        <v/>
      </c>
      <c r="AA111" s="152" t="str">
        <f>IFERROR(__xludf.DUMMYFUNCTION("if(U111="""","""",iferror(filter(Schedule!$S:$S&amp;""-""&amp;Schedule!$T:$T,Schedule!$L:$L=U111,(Schedule!$J:$J="""")+(Schedule!$J:$J=V111),(Schedule!$K:$K=""b"")+(Schedule!$K:$K=""""),Schedule!$S:$S&lt;&gt;""""),""""))"),"")</f>
        <v/>
      </c>
      <c r="AB111" s="152" t="str">
        <f>IFERROR(__xludf.DUMMYFUNCTION("if(U111="""","""",iferror(filter(Schedule!$V:$V&amp;""-""&amp;Schedule!$W:$W,Schedule!$L:$L=U111,(Schedule!$J:$J="""")+(Schedule!$J:$J=V111),(Schedule!$K:$K=""b"")+(Schedule!$K:$K=""""),Schedule!$V:$V&lt;&gt;""""),""""))"),"")</f>
        <v/>
      </c>
      <c r="AC111" s="60"/>
      <c r="AD111" s="155"/>
      <c r="AE111" s="155" t="str">
        <f>AG106</f>
        <v/>
      </c>
      <c r="AF111" s="151" t="str">
        <f>AM106</f>
        <v/>
      </c>
      <c r="AG111" s="147">
        <v>4.0</v>
      </c>
      <c r="AH111" s="152" t="str">
        <f>IFERROR(__xludf.DUMMYFUNCTION("if(AE111="""","""",iferror(filter(Schedule!$V:$V&amp;""-""&amp;Schedule!$W:$W,Schedule!$L:$L=AE111,(Schedule!$J:$J="""")+(Schedule!$J:$J=AF111),(Schedule!$K:$K=""a"")+(Schedule!$K:$K=""""),Schedule!$V:$V&lt;&gt;""""),""""))"),"")</f>
        <v/>
      </c>
      <c r="AI111" s="152" t="str">
        <f>IFERROR(__xludf.DUMMYFUNCTION("if(AE111="""","""",iferror(filter(Schedule!$M:$M&amp;""-""&amp;Schedule!$N:$N,Schedule!$L:$L=AE111,(Schedule!$J:$J="""")+(Schedule!$J:$J=AF111),(Schedule!$K:$K=""b"")+(Schedule!$K:$K=""""),Schedule!$M:$M&lt;&gt;""""),""""))"),"")</f>
        <v/>
      </c>
      <c r="AJ111" s="152" t="str">
        <f>IFERROR(__xludf.DUMMYFUNCTION("if(AE111="""","""",iferror(filter(Schedule!$AB:$AB&amp;""-""&amp;Schedule!$AC:$AC,Schedule!$L:$L=AE111,(Schedule!$J:$J="""")+(Schedule!$J:$J=AF111),(Schedule!$K:$K=""a"")+(Schedule!$K:$K=""""),Schedule!$AB:$AB&lt;&gt;""""),""""))"),"")</f>
        <v/>
      </c>
      <c r="AK111" s="152" t="str">
        <f>IFERROR(__xludf.DUMMYFUNCTION("if(AE111="""","""",iferror(filter(Schedule!$S:$S&amp;""-""&amp;Schedule!$T:$T,Schedule!$L:$L=AE111,(Schedule!$J:$J="""")+(Schedule!$J:$J=AF111),(Schedule!$K:$K=""b"")+(Schedule!$K:$K=""""),Schedule!$S:$S&lt;&gt;""""),""""))"),"")</f>
        <v/>
      </c>
      <c r="AL111" s="152" t="str">
        <f>IFERROR(__xludf.DUMMYFUNCTION("if(AE111="""","""",iferror(filter(Schedule!$V:$V&amp;""-""&amp;Schedule!$W:$W,Schedule!$L:$L=AE111,(Schedule!$J:$J="""")+(Schedule!$J:$J=AF111),(Schedule!$K:$K=""b"")+(Schedule!$K:$K=""""),Schedule!$V:$V&lt;&gt;""""),""""))"),"")</f>
        <v/>
      </c>
      <c r="AM111" s="60"/>
    </row>
    <row r="112">
      <c r="A112" s="151" t="str">
        <f>C106</f>
        <v>Luisa</v>
      </c>
      <c r="B112" s="151" t="str">
        <f>I106</f>
        <v>S1</v>
      </c>
      <c r="C112" s="147">
        <v>5.0</v>
      </c>
      <c r="D112" s="152" t="str">
        <f>IFERROR(__xludf.DUMMYFUNCTION("if(A112="""","""",iferror(filter(Schedule!$Y:$Y&amp;""-""&amp;Schedule!$Z:$Z,Schedule!$L:$L=A112,(Schedule!$J:$J="""")+(Schedule!$J:$J=B112),(Schedule!$K:$K=""a"")+(Schedule!$K:$K=""""),Schedule!$Y:$Y&lt;&gt;""""),""""))"),"Tech 8-2")</f>
        <v>Tech 8-2</v>
      </c>
      <c r="E112" s="152" t="str">
        <f>IFERROR(__xludf.DUMMYFUNCTION("if(A112="""","""",iferror(filter(Schedule!$P:$P&amp;""-""&amp;Schedule!$Q:$Q,Schedule!$L:$L=A112,(Schedule!$J:$J="""")+(Schedule!$J:$J=B112),(Schedule!$K:$K=""b"")+(Schedule!$K:$K=""""),Schedule!$P:$P&lt;&gt;""""),""""))"),"Tech 7-3")</f>
        <v>Tech 7-3</v>
      </c>
      <c r="F112" s="152" t="str">
        <f>IFERROR(__xludf.DUMMYFUNCTION("if(A112="""","""",iferror(filter(Schedule!$V:$V&amp;""-""&amp;Schedule!$W:$W,Schedule!$L:$L=A112,(Schedule!$J:$J="""")+(Schedule!$J:$J=B112),(Schedule!$K:$K=""b"")+(Schedule!$K:$K=""""),Schedule!$V:$V&lt;&gt;""""),""""))"),"Tech 8-1")</f>
        <v>Tech 8-1</v>
      </c>
      <c r="G112" s="152" t="str">
        <f>IFERROR(__xludf.DUMMYFUNCTION("if(A112="""","""",iferror(filter(Schedule!$AB:$AB&amp;""-""&amp;Schedule!$AC:$AC,Schedule!$L:$L=A112,(Schedule!$J:$J="""")+(Schedule!$J:$J=B112),(Schedule!$K:$K=""b"")+(Schedule!$K:$K=""""),Schedule!$AB:$AB&lt;&gt;""""),""""))"),"Tech 6-7")</f>
        <v>Tech 6-7</v>
      </c>
      <c r="H112" s="152" t="str">
        <f>IFERROR(__xludf.DUMMYFUNCTION("if(A112="""","""",iferror(filter(Schedule!$M:$M&amp;""-""&amp;Schedule!$N:$N,Schedule!$L:$L=A112,(Schedule!$J:$J="""")+(Schedule!$J:$J=B112),(Schedule!$K:$K=""b"")+(Schedule!$K:$K=""""),Schedule!$M:$M&lt;&gt;""""),""""))"),"Tech 6-1")</f>
        <v>Tech 6-1</v>
      </c>
      <c r="I112" s="64"/>
      <c r="J112" s="154"/>
      <c r="K112" s="151" t="str">
        <f>M106</f>
        <v>Luisa</v>
      </c>
      <c r="L112" s="151" t="str">
        <f>S106</f>
        <v>S2</v>
      </c>
      <c r="M112" s="147">
        <v>5.0</v>
      </c>
      <c r="N112" s="152" t="str">
        <f>IFERROR(__xludf.DUMMYFUNCTION("if(K112="""","""",iferror(filter(Schedule!$Y:$Y&amp;""-""&amp;Schedule!$Z:$Z,Schedule!$L:$L=K112,(Schedule!$J:$J="""")+(Schedule!$J:$J=L112),(Schedule!$K:$K=""a"")+(Schedule!$K:$K=""""),Schedule!$Y:$Y&lt;&gt;""""),""""))"),"Tech 8-3")</f>
        <v>Tech 8-3</v>
      </c>
      <c r="O112" s="152" t="str">
        <f>IFERROR(__xludf.DUMMYFUNCTION("if(K112="""","""",iferror(filter(Schedule!$P:$P&amp;""-""&amp;Schedule!$Q:$Q,Schedule!$L:$L=K112,(Schedule!$J:$J="""")+(Schedule!$J:$J=L112),(Schedule!$K:$K=""b"")+(Schedule!$K:$K=""""),Schedule!$P:$P&lt;&gt;""""),""""))"),"Tech 7-4")</f>
        <v>Tech 7-4</v>
      </c>
      <c r="P112" s="152" t="str">
        <f>IFERROR(__xludf.DUMMYFUNCTION("if(K112="""","""",iferror(filter(Schedule!$V:$V&amp;""-""&amp;Schedule!$W:$W,Schedule!$L:$L=K112,(Schedule!$J:$J="""")+(Schedule!$J:$J=L112),(Schedule!$K:$K=""b"")+(Schedule!$K:$K=""""),Schedule!$V:$V&lt;&gt;""""),""""))"),"")</f>
        <v/>
      </c>
      <c r="Q112" s="152" t="str">
        <f>IFERROR(__xludf.DUMMYFUNCTION("if(K112="""","""",iferror(filter(Schedule!$AB:$AB&amp;""-""&amp;Schedule!$AC:$AC,Schedule!$L:$L=K112,(Schedule!$J:$J="""")+(Schedule!$J:$J=L112),(Schedule!$K:$K=""b"")+(Schedule!$K:$K=""""),Schedule!$AB:$AB&lt;&gt;""""),""""))"),"Tech 6-8")</f>
        <v>Tech 6-8</v>
      </c>
      <c r="R112" s="152" t="str">
        <f>IFERROR(__xludf.DUMMYFUNCTION("if(K112="""","""",iferror(filter(Schedule!$M:$M&amp;""-""&amp;Schedule!$N:$N,Schedule!$L:$L=K112,(Schedule!$J:$J="""")+(Schedule!$J:$J=L112),(Schedule!$K:$K=""b"")+(Schedule!$K:$K=""""),Schedule!$M:$M&lt;&gt;""""),""""))"),"Tech 6-2")</f>
        <v>Tech 6-2</v>
      </c>
      <c r="S112" s="64"/>
      <c r="T112" s="155"/>
      <c r="U112" s="155" t="str">
        <f>W106</f>
        <v/>
      </c>
      <c r="V112" s="151" t="str">
        <f>AC106</f>
        <v/>
      </c>
      <c r="W112" s="147">
        <v>5.0</v>
      </c>
      <c r="X112" s="152" t="str">
        <f>IFERROR(__xludf.DUMMYFUNCTION("if(U112="""","""",iferror(filter(Schedule!$Y:$Y&amp;""-""&amp;Schedule!$Z:$Z,Schedule!$L:$L=U112,(Schedule!$J:$J="""")+(Schedule!$J:$J=V112),(Schedule!$K:$K=""a"")+(Schedule!$K:$K=""""),Schedule!$Y:$Y&lt;&gt;""""),""""))"),"")</f>
        <v/>
      </c>
      <c r="Y112" s="152" t="str">
        <f>IFERROR(__xludf.DUMMYFUNCTION("if(U112="""","""",iferror(filter(Schedule!$P:$P&amp;""-""&amp;Schedule!$Q:$Q,Schedule!$L:$L=U112,(Schedule!$J:$J="""")+(Schedule!$J:$J=V112),(Schedule!$K:$K=""b"")+(Schedule!$K:$K=""""),Schedule!$P:$P&lt;&gt;""""),""""))"),"")</f>
        <v/>
      </c>
      <c r="Z112" s="152" t="str">
        <f>IFERROR(__xludf.DUMMYFUNCTION("if(U112="""","""",iferror(filter(Schedule!$V:$V&amp;""-""&amp;Schedule!$W:$W,Schedule!$L:$L=U112,(Schedule!$J:$J="""")+(Schedule!$J:$J=V112),(Schedule!$K:$K=""b"")+(Schedule!$K:$K=""""),Schedule!$V:$V&lt;&gt;""""),""""))"),"")</f>
        <v/>
      </c>
      <c r="AA112" s="152" t="str">
        <f>IFERROR(__xludf.DUMMYFUNCTION("if(U112="""","""",iferror(filter(Schedule!$AB:$AB&amp;""-""&amp;Schedule!$AC:$AC,Schedule!$L:$L=U112,(Schedule!$J:$J="""")+(Schedule!$J:$J=V112),(Schedule!$K:$K=""b"")+(Schedule!$K:$K=""""),Schedule!$AB:$AB&lt;&gt;""""),""""))"),"")</f>
        <v/>
      </c>
      <c r="AB112" s="152" t="str">
        <f>IFERROR(__xludf.DUMMYFUNCTION("if(U112="""","""",iferror(filter(Schedule!$M:$M&amp;""-""&amp;Schedule!$N:$N,Schedule!$L:$L=U112,(Schedule!$J:$J="""")+(Schedule!$J:$J=V112),(Schedule!$K:$K=""b"")+(Schedule!$K:$K=""""),Schedule!$M:$M&lt;&gt;""""),""""))"),"")</f>
        <v/>
      </c>
      <c r="AC112" s="64"/>
      <c r="AD112" s="155"/>
      <c r="AE112" s="155" t="str">
        <f>AG106</f>
        <v/>
      </c>
      <c r="AF112" s="151" t="str">
        <f>AM106</f>
        <v/>
      </c>
      <c r="AG112" s="147">
        <v>5.0</v>
      </c>
      <c r="AH112" s="152" t="str">
        <f>IFERROR(__xludf.DUMMYFUNCTION("if(AE112="""","""",iferror(filter(Schedule!$Y:$Y&amp;""-""&amp;Schedule!$Z:$Z,Schedule!$L:$L=AE112,(Schedule!$J:$J="""")+(Schedule!$J:$J=AF112),(Schedule!$K:$K=""a"")+(Schedule!$K:$K=""""),Schedule!$Y:$Y&lt;&gt;""""),""""))"),"")</f>
        <v/>
      </c>
      <c r="AI112" s="152" t="str">
        <f>IFERROR(__xludf.DUMMYFUNCTION("if(AE112="""","""",iferror(filter(Schedule!$P:$P&amp;""-""&amp;Schedule!$Q:$Q,Schedule!$L:$L=AE112,(Schedule!$J:$J="""")+(Schedule!$J:$J=AF112),(Schedule!$K:$K=""b"")+(Schedule!$K:$K=""""),Schedule!$P:$P&lt;&gt;""""),""""))"),"")</f>
        <v/>
      </c>
      <c r="AJ112" s="152" t="str">
        <f>IFERROR(__xludf.DUMMYFUNCTION("if(AE112="""","""",iferror(filter(Schedule!$V:$V&amp;""-""&amp;Schedule!$W:$W,Schedule!$L:$L=AE112,(Schedule!$J:$J="""")+(Schedule!$J:$J=AF112),(Schedule!$K:$K=""b"")+(Schedule!$K:$K=""""),Schedule!$V:$V&lt;&gt;""""),""""))"),"")</f>
        <v/>
      </c>
      <c r="AK112" s="152" t="str">
        <f>IFERROR(__xludf.DUMMYFUNCTION("if(AE112="""","""",iferror(filter(Schedule!$AB:$AB&amp;""-""&amp;Schedule!$AC:$AC,Schedule!$L:$L=AE112,(Schedule!$J:$J="""")+(Schedule!$J:$J=AF112),(Schedule!$K:$K=""b"")+(Schedule!$K:$K=""""),Schedule!$AB:$AB&lt;&gt;""""),""""))"),"")</f>
        <v/>
      </c>
      <c r="AL112" s="152" t="str">
        <f>IFERROR(__xludf.DUMMYFUNCTION("if(AE112="""","""",iferror(filter(Schedule!$M:$M&amp;""-""&amp;Schedule!$N:$N,Schedule!$L:$L=AE112,(Schedule!$J:$J="""")+(Schedule!$J:$J=AF112),(Schedule!$K:$K=""b"")+(Schedule!$K:$K=""""),Schedule!$M:$M&lt;&gt;""""),""""))"),"")</f>
        <v/>
      </c>
      <c r="AM112" s="64"/>
    </row>
    <row r="113">
      <c r="A113" s="11"/>
      <c r="B113" s="11"/>
      <c r="C113" s="156"/>
      <c r="D113" s="156"/>
      <c r="E113" s="156"/>
      <c r="F113" s="156"/>
      <c r="G113" s="156"/>
      <c r="H113" s="156"/>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c r="A114" s="5"/>
      <c r="B114" s="5"/>
      <c r="C114" s="140" t="str">
        <f>Teachers!A15</f>
        <v>Manuela Castaño</v>
      </c>
      <c r="D114" s="141"/>
      <c r="E114" s="141"/>
      <c r="F114" s="141"/>
      <c r="G114" s="141"/>
      <c r="H114" s="142"/>
      <c r="I114" s="143" t="str">
        <f>IFERROR(__xludf.DUMMYFUNCTION("if(C114="""","""", iferror(unique(filter(Schedule!$J:$J,Schedule!$L:$L=$C114,Schedule!$J:$J=""Q1"")),iferror(unique(filter(Schedule!$J:$J,Schedule!$L:$L=$C114,Schedule!$J:$J=""S1"")),""Y"")))"),"Y")</f>
        <v>Y</v>
      </c>
      <c r="J114" s="11"/>
      <c r="K114" s="11"/>
      <c r="L114" s="11"/>
      <c r="M114" s="140" t="str">
        <f>if(S114="","",C114)</f>
        <v/>
      </c>
      <c r="N114" s="141"/>
      <c r="O114" s="141"/>
      <c r="P114" s="141"/>
      <c r="Q114" s="141"/>
      <c r="R114" s="142"/>
      <c r="S114" s="143" t="str">
        <f>if($I114="Q1","Q2",if($I114="S1","S2",""))</f>
        <v/>
      </c>
      <c r="T114" s="144"/>
      <c r="U114" s="144"/>
      <c r="V114" s="145"/>
      <c r="W114" s="140" t="str">
        <f>if(AC114="","",M114)</f>
        <v/>
      </c>
      <c r="X114" s="141"/>
      <c r="Y114" s="141"/>
      <c r="Z114" s="141"/>
      <c r="AA114" s="141"/>
      <c r="AB114" s="142"/>
      <c r="AC114" s="143" t="str">
        <f>if($I114="Q1","Q3","")</f>
        <v/>
      </c>
      <c r="AD114" s="144"/>
      <c r="AE114" s="144"/>
      <c r="AF114" s="145"/>
      <c r="AG114" s="140" t="str">
        <f>if(AC114="","",W114)</f>
        <v/>
      </c>
      <c r="AH114" s="141"/>
      <c r="AI114" s="141"/>
      <c r="AJ114" s="141"/>
      <c r="AK114" s="141"/>
      <c r="AL114" s="142"/>
      <c r="AM114" s="143" t="str">
        <f>if($I114="Q1","Q4","")</f>
        <v/>
      </c>
    </row>
    <row r="115">
      <c r="A115" s="146"/>
      <c r="B115" s="146"/>
      <c r="C115" s="147" t="s">
        <v>94</v>
      </c>
      <c r="D115" s="148" t="s">
        <v>95</v>
      </c>
      <c r="E115" s="148" t="s">
        <v>96</v>
      </c>
      <c r="F115" s="148" t="s">
        <v>97</v>
      </c>
      <c r="G115" s="148" t="s">
        <v>98</v>
      </c>
      <c r="H115" s="148" t="s">
        <v>99</v>
      </c>
      <c r="I115" s="148" t="s">
        <v>651</v>
      </c>
      <c r="J115" s="146"/>
      <c r="K115" s="146"/>
      <c r="L115" s="146"/>
      <c r="M115" s="147" t="s">
        <v>94</v>
      </c>
      <c r="N115" s="148" t="s">
        <v>95</v>
      </c>
      <c r="O115" s="148" t="s">
        <v>96</v>
      </c>
      <c r="P115" s="148" t="s">
        <v>97</v>
      </c>
      <c r="Q115" s="148" t="s">
        <v>98</v>
      </c>
      <c r="R115" s="148" t="s">
        <v>99</v>
      </c>
      <c r="S115" s="148" t="s">
        <v>651</v>
      </c>
      <c r="T115" s="149"/>
      <c r="U115" s="149"/>
      <c r="V115" s="150"/>
      <c r="W115" s="147" t="s">
        <v>94</v>
      </c>
      <c r="X115" s="148" t="s">
        <v>95</v>
      </c>
      <c r="Y115" s="148" t="s">
        <v>96</v>
      </c>
      <c r="Z115" s="148" t="s">
        <v>97</v>
      </c>
      <c r="AA115" s="148" t="s">
        <v>98</v>
      </c>
      <c r="AB115" s="148" t="s">
        <v>99</v>
      </c>
      <c r="AC115" s="148" t="s">
        <v>651</v>
      </c>
      <c r="AD115" s="149"/>
      <c r="AE115" s="149"/>
      <c r="AF115" s="150"/>
      <c r="AG115" s="147" t="s">
        <v>94</v>
      </c>
      <c r="AH115" s="148" t="s">
        <v>95</v>
      </c>
      <c r="AI115" s="148" t="s">
        <v>96</v>
      </c>
      <c r="AJ115" s="148" t="s">
        <v>97</v>
      </c>
      <c r="AK115" s="148" t="s">
        <v>98</v>
      </c>
      <c r="AL115" s="148" t="s">
        <v>99</v>
      </c>
      <c r="AM115" s="148" t="s">
        <v>651</v>
      </c>
    </row>
    <row r="116">
      <c r="A116" s="151" t="str">
        <f>C114</f>
        <v>Manuela Castaño</v>
      </c>
      <c r="B116" s="151" t="str">
        <f>I114</f>
        <v>Y</v>
      </c>
      <c r="C116" s="147">
        <v>1.0</v>
      </c>
      <c r="D116" s="152" t="str">
        <f>IFERROR(__xludf.DUMMYFUNCTION("if(A116="""","""",iferror(filter(Schedule!$M:$M&amp;""-""&amp;Schedule!$N:$N,Schedule!$L:$L=A116,(Schedule!$J:$J="""")+(Schedule!$J:$J=B116),(Schedule!$K:$K=""a"")+(Schedule!$K:$K=""""),Schedule!$M:$M&lt;&gt;""""),""""))"),"")</f>
        <v/>
      </c>
      <c r="E116" s="152" t="str">
        <f>IFERROR(__xludf.DUMMYFUNCTION("if(A116="""","""",iferror(filter(Schedule!$AB:$AB&amp;""-""&amp;Schedule!$AC:$AC,Schedule!$L:$L=A116,(Schedule!$J:$J="""")+(Schedule!$J:$J=B116),(Schedule!$K:$K=""b"")+(Schedule!$K:$K=""""),Schedule!$AB:$AB&lt;&gt;""""),""""))"),"Spanish 8-6")</f>
        <v>Spanish 8-6</v>
      </c>
      <c r="F116" s="152" t="str">
        <f>IFERROR(__xludf.DUMMYFUNCTION("if(A116="""","""",iferror(filter(Schedule!$S:$S&amp;""-""&amp;Schedule!$T:$T,Schedule!$L:$L=A116,(Schedule!$J:$J="""")+(Schedule!$J:$J=B116),(Schedule!$K:$K=""a"")+(Schedule!$K:$K=""""),Schedule!$S:$S&lt;&gt;""""),""""))"),"Spanish 8-4")</f>
        <v>Spanish 8-4</v>
      </c>
      <c r="G116" s="152" t="str">
        <f>IFERROR(__xludf.DUMMYFUNCTION("if(A116="""","""",iferror(filter(Schedule!$V:$V&amp;""-""&amp;Schedule!$W:$W,Schedule!$L:$L=A116,(Schedule!$J:$J="""")+(Schedule!$J:$J=B116),(Schedule!$K:$K=""a"")+(Schedule!$K:$K=""""),Schedule!$V:$V&lt;&gt;""""),""""))"),"Spanish 8-5")</f>
        <v>Spanish 8-5</v>
      </c>
      <c r="H116" s="152" t="str">
        <f>IFERROR(__xludf.DUMMYFUNCTION("if(A116="""","""",iferror(filter(Schedule!$Y:$Y&amp;""-""&amp;Schedule!$Z:$Z,Schedule!$L:$L=A116,(Schedule!$J:$J="""")+(Schedule!$J:$J=B116),(Schedule!$K:$K=""b"")+(Schedule!$K:$K=""""),Schedule!$Y:$Y&lt;&gt;""""),""""))"),"")</f>
        <v/>
      </c>
      <c r="I116" s="153">
        <f>if(C114="","", 24-countifs(D116:H120,""))</f>
        <v>16</v>
      </c>
      <c r="J116" s="154"/>
      <c r="K116" s="151" t="str">
        <f>M114</f>
        <v/>
      </c>
      <c r="L116" s="151" t="str">
        <f>S114</f>
        <v/>
      </c>
      <c r="M116" s="147">
        <v>1.0</v>
      </c>
      <c r="N116" s="152" t="str">
        <f>IFERROR(__xludf.DUMMYFUNCTION("if(K116="""","""",iferror(filter(Schedule!$M:$M&amp;""-""&amp;Schedule!$N:$N,Schedule!$L:$L=K116,(Schedule!$J:$J="""")+(Schedule!$J:$J=L116),(Schedule!$K:$K=""a"")+(Schedule!$K:$K=""""),Schedule!$M:$M&lt;&gt;""""),""""))"),"")</f>
        <v/>
      </c>
      <c r="O116" s="152" t="str">
        <f>IFERROR(__xludf.DUMMYFUNCTION("if(K116="""","""",iferror(filter(Schedule!$AB:$AB&amp;""-""&amp;Schedule!$AC:$AC,Schedule!$L:$L=K116,(Schedule!$J:$J="""")+(Schedule!$J:$J=L116),(Schedule!$K:$K=""b"")+(Schedule!$K:$K=""""),Schedule!$AB:$AB&lt;&gt;""""),""""))"),"")</f>
        <v/>
      </c>
      <c r="P116" s="152" t="str">
        <f>IFERROR(__xludf.DUMMYFUNCTION("if(K116="""","""",iferror(filter(Schedule!$S:$S&amp;""-""&amp;Schedule!$T:$T,Schedule!$L:$L=K116,(Schedule!$J:$J="""")+(Schedule!$J:$J=L116),(Schedule!$K:$K=""a"")+(Schedule!$K:$K=""""),Schedule!$S:$S&lt;&gt;""""),""""))"),"")</f>
        <v/>
      </c>
      <c r="Q116" s="152" t="str">
        <f>IFERROR(__xludf.DUMMYFUNCTION("if(K116="""","""",iferror(filter(Schedule!$V:$V&amp;""-""&amp;Schedule!$W:$W,Schedule!$L:$L=K116,(Schedule!$J:$J="""")+(Schedule!$J:$J=L116),(Schedule!$K:$K=""a"")+(Schedule!$K:$K=""""),Schedule!$V:$V&lt;&gt;""""),""""))"),"")</f>
        <v/>
      </c>
      <c r="R116" s="152" t="str">
        <f>IFERROR(__xludf.DUMMYFUNCTION("if(K116="""","""",iferror(filter(Schedule!$Y:$Y&amp;""-""&amp;Schedule!$Z:$Z,Schedule!$L:$L=K116,(Schedule!$J:$J="""")+(Schedule!$J:$J=L116),(Schedule!$K:$K=""b"")+(Schedule!$K:$K=""""),Schedule!$Y:$Y&lt;&gt;""""),""""))"),"")</f>
        <v/>
      </c>
      <c r="S116" s="153" t="str">
        <f>if(K116="","", 24-countifs(N116:R120,""))</f>
        <v/>
      </c>
      <c r="T116" s="155"/>
      <c r="U116" s="155" t="str">
        <f>W114</f>
        <v/>
      </c>
      <c r="V116" s="151" t="str">
        <f>AC114</f>
        <v/>
      </c>
      <c r="W116" s="147">
        <v>1.0</v>
      </c>
      <c r="X116" s="152" t="str">
        <f>IFERROR(__xludf.DUMMYFUNCTION("if(U116="""","""",iferror(filter(Schedule!$M:$M&amp;""-""&amp;Schedule!$N:$N,Schedule!$L:$L=U116,(Schedule!$J:$J="""")+(Schedule!$J:$J=V116),(Schedule!$K:$K=""a"")+(Schedule!$K:$K=""""),Schedule!$M:$M&lt;&gt;""""),""""))"),"")</f>
        <v/>
      </c>
      <c r="Y116" s="152" t="str">
        <f>IFERROR(__xludf.DUMMYFUNCTION("if(U116="""","""",iferror(filter(Schedule!$AB:$AB&amp;""-""&amp;Schedule!$AC:$AC,Schedule!$L:$L=U116,(Schedule!$J:$J="""")+(Schedule!$J:$J=V116),(Schedule!$K:$K=""b"")+(Schedule!$K:$K=""""),Schedule!$AB:$AB&lt;&gt;""""),""""))"),"")</f>
        <v/>
      </c>
      <c r="Z116" s="152" t="str">
        <f>IFERROR(__xludf.DUMMYFUNCTION("if(U116="""","""",iferror(filter(Schedule!$S:$S&amp;""-""&amp;Schedule!$T:$T,Schedule!$L:$L=U116,(Schedule!$J:$J="""")+(Schedule!$J:$J=V116),(Schedule!$K:$K=""a"")+(Schedule!$K:$K=""""),Schedule!$S:$S&lt;&gt;""""),""""))"),"")</f>
        <v/>
      </c>
      <c r="AA116" s="152" t="str">
        <f>IFERROR(__xludf.DUMMYFUNCTION("if(U116="""","""",iferror(filter(Schedule!$V:$V&amp;""-""&amp;Schedule!$W:$W,Schedule!$L:$L=U116,(Schedule!$J:$J="""")+(Schedule!$J:$J=V116),(Schedule!$K:$K=""a"")+(Schedule!$K:$K=""""),Schedule!$V:$V&lt;&gt;""""),""""))"),"")</f>
        <v/>
      </c>
      <c r="AB116" s="152" t="str">
        <f>IFERROR(__xludf.DUMMYFUNCTION("if(U116="""","""",iferror(filter(Schedule!$Y:$Y&amp;""-""&amp;Schedule!$Z:$Z,Schedule!$L:$L=U116,(Schedule!$J:$J="""")+(Schedule!$J:$J=V116),(Schedule!$K:$K=""b"")+(Schedule!$K:$K=""""),Schedule!$Y:$Y&lt;&gt;""""),""""))"),"")</f>
        <v/>
      </c>
      <c r="AC116" s="153" t="str">
        <f>if(U116="","", 24-countifs(X116:AB120,""))</f>
        <v/>
      </c>
      <c r="AD116" s="155"/>
      <c r="AE116" s="155" t="str">
        <f>AG114</f>
        <v/>
      </c>
      <c r="AF116" s="151" t="str">
        <f>AM114</f>
        <v/>
      </c>
      <c r="AG116" s="147">
        <v>1.0</v>
      </c>
      <c r="AH116" s="152" t="str">
        <f>IFERROR(__xludf.DUMMYFUNCTION("if(AE116="""","""",iferror(filter(Schedule!$M:$M&amp;""-""&amp;Schedule!$N:$N,Schedule!$L:$L=AE116,(Schedule!$J:$J="""")+(Schedule!$J:$J=AF116),(Schedule!$K:$K=""a"")+(Schedule!$K:$K=""""),Schedule!$M:$M&lt;&gt;""""),""""))"),"")</f>
        <v/>
      </c>
      <c r="AI116" s="152" t="str">
        <f>IFERROR(__xludf.DUMMYFUNCTION("if(AE116="""","""",iferror(filter(Schedule!$AB:$AB&amp;""-""&amp;Schedule!$AC:$AC,Schedule!$L:$L=AE116,(Schedule!$J:$J="""")+(Schedule!$J:$J=AF116),(Schedule!$K:$K=""b"")+(Schedule!$K:$K=""""),Schedule!$AB:$AB&lt;&gt;""""),""""))"),"")</f>
        <v/>
      </c>
      <c r="AJ116" s="152" t="str">
        <f>IFERROR(__xludf.DUMMYFUNCTION("if(AE116="""","""",iferror(filter(Schedule!$S:$S&amp;""-""&amp;Schedule!$T:$T,Schedule!$L:$L=AE116,(Schedule!$J:$J="""")+(Schedule!$J:$J=AF116),(Schedule!$K:$K=""a"")+(Schedule!$K:$K=""""),Schedule!$S:$S&lt;&gt;""""),""""))"),"")</f>
        <v/>
      </c>
      <c r="AK116" s="152" t="str">
        <f>IFERROR(__xludf.DUMMYFUNCTION("if(AE116="""","""",iferror(filter(Schedule!$V:$V&amp;""-""&amp;Schedule!$W:$W,Schedule!$L:$L=AE116,(Schedule!$J:$J="""")+(Schedule!$J:$J=AF116),(Schedule!$K:$K=""a"")+(Schedule!$K:$K=""""),Schedule!$V:$V&lt;&gt;""""),""""))"),"")</f>
        <v/>
      </c>
      <c r="AL116" s="152" t="str">
        <f>IFERROR(__xludf.DUMMYFUNCTION("if(AE116="""","""",iferror(filter(Schedule!$Y:$Y&amp;""-""&amp;Schedule!$Z:$Z,Schedule!$L:$L=AE116,(Schedule!$J:$J="""")+(Schedule!$J:$J=AF116),(Schedule!$K:$K=""b"")+(Schedule!$K:$K=""""),Schedule!$Y:$Y&lt;&gt;""""),""""))"),"")</f>
        <v/>
      </c>
      <c r="AM116" s="153" t="str">
        <f>if(AE116="","", 24-countifs(AH116:AL120,""))</f>
        <v/>
      </c>
    </row>
    <row r="117">
      <c r="A117" s="151" t="str">
        <f>C114</f>
        <v>Manuela Castaño</v>
      </c>
      <c r="B117" s="151" t="str">
        <f>I114</f>
        <v>Y</v>
      </c>
      <c r="C117" s="147">
        <v>2.0</v>
      </c>
      <c r="D117" s="152" t="str">
        <f>IFERROR(__xludf.DUMMYFUNCTION("if(A117="""","""",iferror(filter(Schedule!$P:$P&amp;""-""&amp;Schedule!$Q:$Q,Schedule!$L:$L=A117,(Schedule!$J:$J="""")+(Schedule!$J:$J=B117),(Schedule!$K:$K=""a"")+(Schedule!$K:$K=""""),Schedule!$P:$P&lt;&gt;""""),""""))"),"Spanish 8-3")</f>
        <v>Spanish 8-3</v>
      </c>
      <c r="E117" s="152" t="str">
        <f>IFERROR(__xludf.DUMMYFUNCTION("if(A117="""","""",iferror(filter(Schedule!$Y:$Y&amp;""-""&amp;Schedule!$Z:$Z,Schedule!$L:$L=A117,(Schedule!$J:$J="""")+(Schedule!$J:$J=B117),(Schedule!$K:$K=""b"")+(Schedule!$K:$K=""""),Schedule!$Y:$Y&lt;&gt;""""),""""))"),"")</f>
        <v/>
      </c>
      <c r="F117" s="152" t="str">
        <f>IFERROR(__xludf.DUMMYFUNCTION("if(A117="""","""",iferror(filter(Schedule!$P:$P&amp;""-""&amp;Schedule!$Q:$Q,Schedule!$L:$L=A117,(Schedule!$J:$J="""")+(Schedule!$J:$J=B117),(Schedule!$K:$K=""a"")+(Schedule!$K:$K=""""),Schedule!$P:$P&lt;&gt;""""),""""))"),"Spanish 8-3")</f>
        <v>Spanish 8-3</v>
      </c>
      <c r="G117" s="152" t="str">
        <f>IFERROR(__xludf.DUMMYFUNCTION("if(A117="""","""",iferror(filter(Schedule!$M:$M&amp;""-""&amp;Schedule!$N:$N,Schedule!$L:$L=A117,(Schedule!$J:$J="""")+(Schedule!$J:$J=B117),(Schedule!$K:$K=""a"")+(Schedule!$K:$K=""""),Schedule!$M:$M&lt;&gt;""""),""""))"),"")</f>
        <v/>
      </c>
      <c r="H117" s="152" t="str">
        <f>IFERROR(__xludf.DUMMYFUNCTION("if(A117="""","""",iferror(filter(Schedule!$AB:$AB&amp;""-""&amp;Schedule!$AC:$AC,Schedule!$L:$L=A117,(Schedule!$J:$J="""")+(Schedule!$J:$J=B117),(Schedule!$K:$K=""a"")+(Schedule!$K:$K=""""),Schedule!$AB:$AB&lt;&gt;""""),""""))"),"Spanish 8-6")</f>
        <v>Spanish 8-6</v>
      </c>
      <c r="I117" s="60"/>
      <c r="J117" s="154"/>
      <c r="K117" s="151" t="str">
        <f>M114</f>
        <v/>
      </c>
      <c r="L117" s="151" t="str">
        <f>S114</f>
        <v/>
      </c>
      <c r="M117" s="147">
        <v>2.0</v>
      </c>
      <c r="N117" s="152" t="str">
        <f>IFERROR(__xludf.DUMMYFUNCTION("if(K117="""","""",iferror(filter(Schedule!$P:$P&amp;""-""&amp;Schedule!$Q:$Q,Schedule!$L:$L=K117,(Schedule!$J:$J="""")+(Schedule!$J:$J=L117),(Schedule!$K:$K=""a"")+(Schedule!$K:$K=""""),Schedule!$P:$P&lt;&gt;""""),""""))"),"")</f>
        <v/>
      </c>
      <c r="O117" s="152" t="str">
        <f>IFERROR(__xludf.DUMMYFUNCTION("if(K117="""","""",iferror(filter(Schedule!$Y:$Y&amp;""-""&amp;Schedule!$Z:$Z,Schedule!$L:$L=K117,(Schedule!$J:$J="""")+(Schedule!$J:$J=L117),(Schedule!$K:$K=""b"")+(Schedule!$K:$K=""""),Schedule!$Y:$Y&lt;&gt;""""),""""))"),"")</f>
        <v/>
      </c>
      <c r="P117" s="152" t="str">
        <f>IFERROR(__xludf.DUMMYFUNCTION("if(K117="""","""",iferror(filter(Schedule!$P:$P&amp;""-""&amp;Schedule!$Q:$Q,Schedule!$L:$L=K117,(Schedule!$J:$J="""")+(Schedule!$J:$J=L117),(Schedule!$K:$K=""a"")+(Schedule!$K:$K=""""),Schedule!$P:$P&lt;&gt;""""),""""))"),"")</f>
        <v/>
      </c>
      <c r="Q117" s="152" t="str">
        <f>IFERROR(__xludf.DUMMYFUNCTION("if(K117="""","""",iferror(filter(Schedule!$M:$M&amp;""-""&amp;Schedule!$N:$N,Schedule!$L:$L=K117,(Schedule!$J:$J="""")+(Schedule!$J:$J=L117),(Schedule!$K:$K=""a"")+(Schedule!$K:$K=""""),Schedule!$M:$M&lt;&gt;""""),""""))"),"")</f>
        <v/>
      </c>
      <c r="R117" s="152" t="str">
        <f>IFERROR(__xludf.DUMMYFUNCTION("if(K117="""","""",iferror(filter(Schedule!$AB:$AB&amp;""-""&amp;Schedule!$AC:$AC,Schedule!$L:$L=K117,(Schedule!$J:$J="""")+(Schedule!$J:$J=L117),(Schedule!$K:$K=""a"")+(Schedule!$K:$K=""""),Schedule!$AB:$AB&lt;&gt;""""),""""))"),"")</f>
        <v/>
      </c>
      <c r="S117" s="60"/>
      <c r="T117" s="155"/>
      <c r="U117" s="155" t="str">
        <f>W114</f>
        <v/>
      </c>
      <c r="V117" s="151" t="str">
        <f>AC114</f>
        <v/>
      </c>
      <c r="W117" s="147">
        <v>2.0</v>
      </c>
      <c r="X117" s="152" t="str">
        <f>IFERROR(__xludf.DUMMYFUNCTION("if(U117="""","""",iferror(filter(Schedule!$P:$P&amp;""-""&amp;Schedule!$Q:$Q,Schedule!$L:$L=U117,(Schedule!$J:$J="""")+(Schedule!$J:$J=V117),(Schedule!$K:$K=""a"")+(Schedule!$K:$K=""""),Schedule!$P:$P&lt;&gt;""""),""""))"),"")</f>
        <v/>
      </c>
      <c r="Y117" s="152" t="str">
        <f>IFERROR(__xludf.DUMMYFUNCTION("if(U117="""","""",iferror(filter(Schedule!$Y:$Y&amp;""-""&amp;Schedule!$Z:$Z,Schedule!$L:$L=U117,(Schedule!$J:$J="""")+(Schedule!$J:$J=V117),(Schedule!$K:$K=""b"")+(Schedule!$K:$K=""""),Schedule!$Y:$Y&lt;&gt;""""),""""))"),"")</f>
        <v/>
      </c>
      <c r="Z117" s="152" t="str">
        <f>IFERROR(__xludf.DUMMYFUNCTION("if(U117="""","""",iferror(filter(Schedule!$P:$P&amp;""-""&amp;Schedule!$Q:$Q,Schedule!$L:$L=U117,(Schedule!$J:$J="""")+(Schedule!$J:$J=V117),(Schedule!$K:$K=""a"")+(Schedule!$K:$K=""""),Schedule!$P:$P&lt;&gt;""""),""""))"),"")</f>
        <v/>
      </c>
      <c r="AA117" s="152" t="str">
        <f>IFERROR(__xludf.DUMMYFUNCTION("if(U117="""","""",iferror(filter(Schedule!$M:$M&amp;""-""&amp;Schedule!$N:$N,Schedule!$L:$L=U117,(Schedule!$J:$J="""")+(Schedule!$J:$J=V117),(Schedule!$K:$K=""a"")+(Schedule!$K:$K=""""),Schedule!$M:$M&lt;&gt;""""),""""))"),"")</f>
        <v/>
      </c>
      <c r="AB117" s="152" t="str">
        <f>IFERROR(__xludf.DUMMYFUNCTION("if(U117="""","""",iferror(filter(Schedule!$AB:$AB&amp;""-""&amp;Schedule!$AC:$AC,Schedule!$L:$L=U117,(Schedule!$J:$J="""")+(Schedule!$J:$J=V117),(Schedule!$K:$K=""a"")+(Schedule!$K:$K=""""),Schedule!$AB:$AB&lt;&gt;""""),""""))"),"")</f>
        <v/>
      </c>
      <c r="AC117" s="60"/>
      <c r="AD117" s="155"/>
      <c r="AE117" s="155" t="str">
        <f>AG114</f>
        <v/>
      </c>
      <c r="AF117" s="151" t="str">
        <f>AM114</f>
        <v/>
      </c>
      <c r="AG117" s="147">
        <v>2.0</v>
      </c>
      <c r="AH117" s="152" t="str">
        <f>IFERROR(__xludf.DUMMYFUNCTION("if(AE117="""","""",iferror(filter(Schedule!$P:$P&amp;""-""&amp;Schedule!$Q:$Q,Schedule!$L:$L=AE117,(Schedule!$J:$J="""")+(Schedule!$J:$J=AF117),(Schedule!$K:$K=""a"")+(Schedule!$K:$K=""""),Schedule!$P:$P&lt;&gt;""""),""""))"),"")</f>
        <v/>
      </c>
      <c r="AI117" s="152" t="str">
        <f>IFERROR(__xludf.DUMMYFUNCTION("if(AE117="""","""",iferror(filter(Schedule!$Y:$Y&amp;""-""&amp;Schedule!$Z:$Z,Schedule!$L:$L=AE117,(Schedule!$J:$J="""")+(Schedule!$J:$J=AF117),(Schedule!$K:$K=""b"")+(Schedule!$K:$K=""""),Schedule!$Y:$Y&lt;&gt;""""),""""))"),"")</f>
        <v/>
      </c>
      <c r="AJ117" s="152" t="str">
        <f>IFERROR(__xludf.DUMMYFUNCTION("if(AE117="""","""",iferror(filter(Schedule!$P:$P&amp;""-""&amp;Schedule!$Q:$Q,Schedule!$L:$L=AE117,(Schedule!$J:$J="""")+(Schedule!$J:$J=AF117),(Schedule!$K:$K=""a"")+(Schedule!$K:$K=""""),Schedule!$P:$P&lt;&gt;""""),""""))"),"")</f>
        <v/>
      </c>
      <c r="AK117" s="152" t="str">
        <f>IFERROR(__xludf.DUMMYFUNCTION("if(AE117="""","""",iferror(filter(Schedule!$M:$M&amp;""-""&amp;Schedule!$N:$N,Schedule!$L:$L=AE117,(Schedule!$J:$J="""")+(Schedule!$J:$J=AF117),(Schedule!$K:$K=""a"")+(Schedule!$K:$K=""""),Schedule!$M:$M&lt;&gt;""""),""""))"),"")</f>
        <v/>
      </c>
      <c r="AL117" s="152" t="str">
        <f>IFERROR(__xludf.DUMMYFUNCTION("if(AE117="""","""",iferror(filter(Schedule!$AB:$AB&amp;""-""&amp;Schedule!$AC:$AC,Schedule!$L:$L=AE117,(Schedule!$J:$J="""")+(Schedule!$J:$J=AF117),(Schedule!$K:$K=""a"")+(Schedule!$K:$K=""""),Schedule!$AB:$AB&lt;&gt;""""),""""))"),"")</f>
        <v/>
      </c>
      <c r="AM117" s="60"/>
    </row>
    <row r="118">
      <c r="A118" s="151" t="str">
        <f>C114</f>
        <v>Manuela Castaño</v>
      </c>
      <c r="B118" s="151" t="str">
        <f>I114</f>
        <v>Y</v>
      </c>
      <c r="C118" s="147">
        <v>3.0</v>
      </c>
      <c r="D118" s="152" t="str">
        <f>IFERROR(__xludf.DUMMYFUNCTION("if(A118="""","""",iferror(filter(Schedule!$S:$S&amp;""-""&amp;Schedule!$T:$T,Schedule!$L:$L=A118,(Schedule!$J:$J="""")+(Schedule!$J:$J=B118),(Schedule!$K:$K=""a"")+(Schedule!$K:$K=""""),Schedule!$S:$S&lt;&gt;""""),""""))"),"Spanish 8-4")</f>
        <v>Spanish 8-4</v>
      </c>
      <c r="E118" s="152" t="str">
        <f>IFERROR(__xludf.DUMMYFUNCTION("if(A118="""","""",iferror(filter(Schedule!$S:$S&amp;""-""&amp;Schedule!$T:$T,Schedule!$L:$L=A118,(Schedule!$J:$J="""")+(Schedule!$J:$J=B118),(Schedule!$K:$K=""b"")+(Schedule!$K:$K=""""),Schedule!$S:$S&lt;&gt;""""),""""))"),"Spanish 8-4")</f>
        <v>Spanish 8-4</v>
      </c>
      <c r="F118" s="152" t="str">
        <f>IFERROR(__xludf.DUMMYFUNCTION("if(A118="""","""",iferror(filter(Schedule!$Y:$Y&amp;""-""&amp;Schedule!$Z:$Z,Schedule!$L:$L=A118,(Schedule!$J:$J="""")+(Schedule!$J:$J=B118),(Schedule!$K:$K=""a"")+(Schedule!$K:$K=""""),Schedule!$Y:$Y&lt;&gt;""""),""""))"),"")</f>
        <v/>
      </c>
      <c r="G118" s="152" t="str">
        <f>IFERROR(__xludf.DUMMYFUNCTION("if(A118="""","""",iferror(filter(Schedule!$P:$P&amp;""-""&amp;Schedule!$Q:$Q,Schedule!$L:$L=A118,(Schedule!$J:$J="""")+(Schedule!$J:$J=B118),(Schedule!$K:$K=""b"")+(Schedule!$K:$K=""""),Schedule!$P:$P&lt;&gt;""""),""""))"),"Spanish 8-3")</f>
        <v>Spanish 8-3</v>
      </c>
      <c r="H118" s="152" t="str">
        <f>if(C114="","","X-Block")</f>
        <v>X-Block</v>
      </c>
      <c r="I118" s="60"/>
      <c r="J118" s="154"/>
      <c r="K118" s="151" t="str">
        <f>M114</f>
        <v/>
      </c>
      <c r="L118" s="151" t="str">
        <f>S114</f>
        <v/>
      </c>
      <c r="M118" s="147">
        <v>3.0</v>
      </c>
      <c r="N118" s="152" t="str">
        <f>IFERROR(__xludf.DUMMYFUNCTION("if(K118="""","""",iferror(filter(Schedule!$S:$S&amp;""-""&amp;Schedule!$T:$T,Schedule!$L:$L=K118,(Schedule!$J:$J="""")+(Schedule!$J:$J=L118),(Schedule!$K:$K=""a"")+(Schedule!$K:$K=""""),Schedule!$S:$S&lt;&gt;""""),""""))"),"")</f>
        <v/>
      </c>
      <c r="O118" s="152" t="str">
        <f>IFERROR(__xludf.DUMMYFUNCTION("if(K118="""","""",iferror(filter(Schedule!$S:$S&amp;""-""&amp;Schedule!$T:$T,Schedule!$L:$L=K118,(Schedule!$J:$J="""")+(Schedule!$J:$J=L118),(Schedule!$K:$K=""b"")+(Schedule!$K:$K=""""),Schedule!$S:$S&lt;&gt;""""),""""))"),"")</f>
        <v/>
      </c>
      <c r="P118" s="152" t="str">
        <f>IFERROR(__xludf.DUMMYFUNCTION("if(K118="""","""",iferror(filter(Schedule!$Y:$Y&amp;""-""&amp;Schedule!$Z:$Z,Schedule!$L:$L=K118,(Schedule!$J:$J="""")+(Schedule!$J:$J=L118),(Schedule!$K:$K=""a"")+(Schedule!$K:$K=""""),Schedule!$Y:$Y&lt;&gt;""""),""""))"),"")</f>
        <v/>
      </c>
      <c r="Q118" s="152" t="str">
        <f>IFERROR(__xludf.DUMMYFUNCTION("if(K118="""","""",iferror(filter(Schedule!$P:$P&amp;""-""&amp;Schedule!$Q:$Q,Schedule!$L:$L=K118,(Schedule!$J:$J="""")+(Schedule!$J:$J=L118),(Schedule!$K:$K=""b"")+(Schedule!$K:$K=""""),Schedule!$P:$P&lt;&gt;""""),""""))"),"")</f>
        <v/>
      </c>
      <c r="R118" s="152" t="str">
        <f>if(M114="","","X-Block")</f>
        <v/>
      </c>
      <c r="S118" s="60"/>
      <c r="T118" s="155"/>
      <c r="U118" s="155" t="str">
        <f>W114</f>
        <v/>
      </c>
      <c r="V118" s="151" t="str">
        <f>AC114</f>
        <v/>
      </c>
      <c r="W118" s="147">
        <v>3.0</v>
      </c>
      <c r="X118" s="152" t="str">
        <f>IFERROR(__xludf.DUMMYFUNCTION("if(U118="""","""",iferror(filter(Schedule!$S:$S&amp;""-""&amp;Schedule!$T:$T,Schedule!$L:$L=U118,(Schedule!$J:$J="""")+(Schedule!$J:$J=V118),(Schedule!$K:$K=""a"")+(Schedule!$K:$K=""""),Schedule!$S:$S&lt;&gt;""""),""""))"),"")</f>
        <v/>
      </c>
      <c r="Y118" s="152" t="str">
        <f>IFERROR(__xludf.DUMMYFUNCTION("if(U118="""","""",iferror(filter(Schedule!$S:$S&amp;""-""&amp;Schedule!$T:$T,Schedule!$L:$L=U118,(Schedule!$J:$J="""")+(Schedule!$J:$J=V118),(Schedule!$K:$K=""b"")+(Schedule!$K:$K=""""),Schedule!$S:$S&lt;&gt;""""),""""))"),"")</f>
        <v/>
      </c>
      <c r="Z118" s="152" t="str">
        <f>IFERROR(__xludf.DUMMYFUNCTION("if(U118="""","""",iferror(filter(Schedule!$Y:$Y&amp;""-""&amp;Schedule!$Z:$Z,Schedule!$L:$L=U118,(Schedule!$J:$J="""")+(Schedule!$J:$J=V118),(Schedule!$K:$K=""a"")+(Schedule!$K:$K=""""),Schedule!$Y:$Y&lt;&gt;""""),""""))"),"")</f>
        <v/>
      </c>
      <c r="AA118" s="152" t="str">
        <f>IFERROR(__xludf.DUMMYFUNCTION("if(U118="""","""",iferror(filter(Schedule!$P:$P&amp;""-""&amp;Schedule!$Q:$Q,Schedule!$L:$L=U118,(Schedule!$J:$J="""")+(Schedule!$J:$J=V118),(Schedule!$K:$K=""b"")+(Schedule!$K:$K=""""),Schedule!$P:$P&lt;&gt;""""),""""))"),"")</f>
        <v/>
      </c>
      <c r="AB118" s="152" t="str">
        <f>if(W114="","","X-Block")</f>
        <v/>
      </c>
      <c r="AC118" s="60"/>
      <c r="AD118" s="155"/>
      <c r="AE118" s="155" t="str">
        <f>AG114</f>
        <v/>
      </c>
      <c r="AF118" s="151" t="str">
        <f>AM114</f>
        <v/>
      </c>
      <c r="AG118" s="147">
        <v>3.0</v>
      </c>
      <c r="AH118" s="152" t="str">
        <f>IFERROR(__xludf.DUMMYFUNCTION("if(AE118="""","""",iferror(filter(Schedule!$S:$S&amp;""-""&amp;Schedule!$T:$T,Schedule!$L:$L=AE118,(Schedule!$J:$J="""")+(Schedule!$J:$J=AF118),(Schedule!$K:$K=""a"")+(Schedule!$K:$K=""""),Schedule!$S:$S&lt;&gt;""""),""""))"),"")</f>
        <v/>
      </c>
      <c r="AI118" s="152" t="str">
        <f>IFERROR(__xludf.DUMMYFUNCTION("if(AE118="""","""",iferror(filter(Schedule!$S:$S&amp;""-""&amp;Schedule!$T:$T,Schedule!$L:$L=AE118,(Schedule!$J:$J="""")+(Schedule!$J:$J=AF118),(Schedule!$K:$K=""b"")+(Schedule!$K:$K=""""),Schedule!$S:$S&lt;&gt;""""),""""))"),"")</f>
        <v/>
      </c>
      <c r="AJ118" s="152" t="str">
        <f>IFERROR(__xludf.DUMMYFUNCTION("if(AE118="""","""",iferror(filter(Schedule!$Y:$Y&amp;""-""&amp;Schedule!$Z:$Z,Schedule!$L:$L=AE118,(Schedule!$J:$J="""")+(Schedule!$J:$J=AF118),(Schedule!$K:$K=""a"")+(Schedule!$K:$K=""""),Schedule!$Y:$Y&lt;&gt;""""),""""))"),"")</f>
        <v/>
      </c>
      <c r="AK118" s="152" t="str">
        <f>IFERROR(__xludf.DUMMYFUNCTION("if(AE118="""","""",iferror(filter(Schedule!$P:$P&amp;""-""&amp;Schedule!$Q:$Q,Schedule!$L:$L=AE118,(Schedule!$J:$J="""")+(Schedule!$J:$J=AF118),(Schedule!$K:$K=""b"")+(Schedule!$K:$K=""""),Schedule!$P:$P&lt;&gt;""""),""""))"),"")</f>
        <v/>
      </c>
      <c r="AL118" s="152" t="str">
        <f>if(AG114="","","X-Block")</f>
        <v/>
      </c>
      <c r="AM118" s="60"/>
    </row>
    <row r="119">
      <c r="A119" s="151" t="str">
        <f>C114</f>
        <v>Manuela Castaño</v>
      </c>
      <c r="B119" s="151" t="str">
        <f>I114</f>
        <v>Y</v>
      </c>
      <c r="C119" s="147">
        <v>4.0</v>
      </c>
      <c r="D119" s="152" t="str">
        <f>IFERROR(__xludf.DUMMYFUNCTION("if(A119="""","""",iferror(filter(Schedule!$V:$V&amp;""-""&amp;Schedule!$W:$W,Schedule!$L:$L=A119,(Schedule!$J:$J="""")+(Schedule!$J:$J=B119),(Schedule!$K:$K=""a"")+(Schedule!$K:$K=""""),Schedule!$V:$V&lt;&gt;""""),""""))"),"Spanish 8-5")</f>
        <v>Spanish 8-5</v>
      </c>
      <c r="E119" s="152" t="str">
        <f>IFERROR(__xludf.DUMMYFUNCTION("if(A119="""","""",iferror(filter(Schedule!$M:$M&amp;""-""&amp;Schedule!$N:$N,Schedule!$L:$L=A119,(Schedule!$J:$J="""")+(Schedule!$J:$J=B119),(Schedule!$K:$K=""b"")+(Schedule!$K:$K=""""),Schedule!$M:$M&lt;&gt;""""),""""))"),"")</f>
        <v/>
      </c>
      <c r="F119" s="152" t="str">
        <f>IFERROR(__xludf.DUMMYFUNCTION("if(A119="""","""",iferror(filter(Schedule!$AB:$AB&amp;""-""&amp;Schedule!$AC:$AC,Schedule!$L:$L=A119,(Schedule!$J:$J="""")+(Schedule!$J:$J=B119),(Schedule!$K:$K=""a"")+(Schedule!$K:$K=""""),Schedule!$AB:$AB&lt;&gt;""""),""""))"),"Spanish 8-6")</f>
        <v>Spanish 8-6</v>
      </c>
      <c r="G119" s="152" t="str">
        <f>IFERROR(__xludf.DUMMYFUNCTION("if(A119="""","""",iferror(filter(Schedule!$S:$S&amp;""-""&amp;Schedule!$T:$T,Schedule!$L:$L=A119,(Schedule!$J:$J="""")+(Schedule!$J:$J=B119),(Schedule!$K:$K=""b"")+(Schedule!$K:$K=""""),Schedule!$S:$S&lt;&gt;""""),""""))"),"Spanish 8-4")</f>
        <v>Spanish 8-4</v>
      </c>
      <c r="H119" s="152" t="str">
        <f>IFERROR(__xludf.DUMMYFUNCTION("if(A119="""","""",iferror(filter(Schedule!$V:$V&amp;""-""&amp;Schedule!$W:$W,Schedule!$L:$L=A119,(Schedule!$J:$J="""")+(Schedule!$J:$J=B119),(Schedule!$K:$K=""b"")+(Schedule!$K:$K=""""),Schedule!$V:$V&lt;&gt;""""),""""))"),"Spanish 8-5")</f>
        <v>Spanish 8-5</v>
      </c>
      <c r="I119" s="60"/>
      <c r="J119" s="154"/>
      <c r="K119" s="151" t="str">
        <f>M114</f>
        <v/>
      </c>
      <c r="L119" s="151" t="str">
        <f>S114</f>
        <v/>
      </c>
      <c r="M119" s="147">
        <v>4.0</v>
      </c>
      <c r="N119" s="152" t="str">
        <f>IFERROR(__xludf.DUMMYFUNCTION("if(K119="""","""",iferror(filter(Schedule!$V:$V&amp;""-""&amp;Schedule!$W:$W,Schedule!$L:$L=K119,(Schedule!$J:$J="""")+(Schedule!$J:$J=L119),(Schedule!$K:$K=""a"")+(Schedule!$K:$K=""""),Schedule!$V:$V&lt;&gt;""""),""""))"),"")</f>
        <v/>
      </c>
      <c r="O119" s="152" t="str">
        <f>IFERROR(__xludf.DUMMYFUNCTION("if(K119="""","""",iferror(filter(Schedule!$M:$M&amp;""-""&amp;Schedule!$N:$N,Schedule!$L:$L=K119,(Schedule!$J:$J="""")+(Schedule!$J:$J=L119),(Schedule!$K:$K=""b"")+(Schedule!$K:$K=""""),Schedule!$M:$M&lt;&gt;""""),""""))"),"")</f>
        <v/>
      </c>
      <c r="P119" s="152" t="str">
        <f>IFERROR(__xludf.DUMMYFUNCTION("if(K119="""","""",iferror(filter(Schedule!$AB:$AB&amp;""-""&amp;Schedule!$AC:$AC,Schedule!$L:$L=K119,(Schedule!$J:$J="""")+(Schedule!$J:$J=L119),(Schedule!$K:$K=""a"")+(Schedule!$K:$K=""""),Schedule!$AB:$AB&lt;&gt;""""),""""))"),"")</f>
        <v/>
      </c>
      <c r="Q119" s="152" t="str">
        <f>IFERROR(__xludf.DUMMYFUNCTION("if(K119="""","""",iferror(filter(Schedule!$S:$S&amp;""-""&amp;Schedule!$T:$T,Schedule!$L:$L=K119,(Schedule!$J:$J="""")+(Schedule!$J:$J=L119),(Schedule!$K:$K=""b"")+(Schedule!$K:$K=""""),Schedule!$S:$S&lt;&gt;""""),""""))"),"")</f>
        <v/>
      </c>
      <c r="R119" s="152" t="str">
        <f>IFERROR(__xludf.DUMMYFUNCTION("if(K119="""","""",iferror(filter(Schedule!$V:$V&amp;""-""&amp;Schedule!$W:$W,Schedule!$L:$L=K119,(Schedule!$J:$J="""")+(Schedule!$J:$J=L119),(Schedule!$K:$K=""b"")+(Schedule!$K:$K=""""),Schedule!$V:$V&lt;&gt;""""),""""))"),"")</f>
        <v/>
      </c>
      <c r="S119" s="60"/>
      <c r="T119" s="155"/>
      <c r="U119" s="155" t="str">
        <f>W114</f>
        <v/>
      </c>
      <c r="V119" s="151" t="str">
        <f>AC114</f>
        <v/>
      </c>
      <c r="W119" s="147">
        <v>4.0</v>
      </c>
      <c r="X119" s="152" t="str">
        <f>IFERROR(__xludf.DUMMYFUNCTION("if(U119="""","""",iferror(filter(Schedule!$V:$V&amp;""-""&amp;Schedule!$W:$W,Schedule!$L:$L=U119,(Schedule!$J:$J="""")+(Schedule!$J:$J=V119),(Schedule!$K:$K=""a"")+(Schedule!$K:$K=""""),Schedule!$V:$V&lt;&gt;""""),""""))"),"")</f>
        <v/>
      </c>
      <c r="Y119" s="152" t="str">
        <f>IFERROR(__xludf.DUMMYFUNCTION("if(U119="""","""",iferror(filter(Schedule!$M:$M&amp;""-""&amp;Schedule!$N:$N,Schedule!$L:$L=U119,(Schedule!$J:$J="""")+(Schedule!$J:$J=V119),(Schedule!$K:$K=""b"")+(Schedule!$K:$K=""""),Schedule!$M:$M&lt;&gt;""""),""""))"),"")</f>
        <v/>
      </c>
      <c r="Z119" s="152" t="str">
        <f>IFERROR(__xludf.DUMMYFUNCTION("if(U119="""","""",iferror(filter(Schedule!$AB:$AB&amp;""-""&amp;Schedule!$AC:$AC,Schedule!$L:$L=U119,(Schedule!$J:$J="""")+(Schedule!$J:$J=V119),(Schedule!$K:$K=""a"")+(Schedule!$K:$K=""""),Schedule!$AB:$AB&lt;&gt;""""),""""))"),"")</f>
        <v/>
      </c>
      <c r="AA119" s="152" t="str">
        <f>IFERROR(__xludf.DUMMYFUNCTION("if(U119="""","""",iferror(filter(Schedule!$S:$S&amp;""-""&amp;Schedule!$T:$T,Schedule!$L:$L=U119,(Schedule!$J:$J="""")+(Schedule!$J:$J=V119),(Schedule!$K:$K=""b"")+(Schedule!$K:$K=""""),Schedule!$S:$S&lt;&gt;""""),""""))"),"")</f>
        <v/>
      </c>
      <c r="AB119" s="152" t="str">
        <f>IFERROR(__xludf.DUMMYFUNCTION("if(U119="""","""",iferror(filter(Schedule!$V:$V&amp;""-""&amp;Schedule!$W:$W,Schedule!$L:$L=U119,(Schedule!$J:$J="""")+(Schedule!$J:$J=V119),(Schedule!$K:$K=""b"")+(Schedule!$K:$K=""""),Schedule!$V:$V&lt;&gt;""""),""""))"),"")</f>
        <v/>
      </c>
      <c r="AC119" s="60"/>
      <c r="AD119" s="155"/>
      <c r="AE119" s="155" t="str">
        <f>AG114</f>
        <v/>
      </c>
      <c r="AF119" s="151" t="str">
        <f>AM114</f>
        <v/>
      </c>
      <c r="AG119" s="147">
        <v>4.0</v>
      </c>
      <c r="AH119" s="152" t="str">
        <f>IFERROR(__xludf.DUMMYFUNCTION("if(AE119="""","""",iferror(filter(Schedule!$V:$V&amp;""-""&amp;Schedule!$W:$W,Schedule!$L:$L=AE119,(Schedule!$J:$J="""")+(Schedule!$J:$J=AF119),(Schedule!$K:$K=""a"")+(Schedule!$K:$K=""""),Schedule!$V:$V&lt;&gt;""""),""""))"),"")</f>
        <v/>
      </c>
      <c r="AI119" s="152" t="str">
        <f>IFERROR(__xludf.DUMMYFUNCTION("if(AE119="""","""",iferror(filter(Schedule!$M:$M&amp;""-""&amp;Schedule!$N:$N,Schedule!$L:$L=AE119,(Schedule!$J:$J="""")+(Schedule!$J:$J=AF119),(Schedule!$K:$K=""b"")+(Schedule!$K:$K=""""),Schedule!$M:$M&lt;&gt;""""),""""))"),"")</f>
        <v/>
      </c>
      <c r="AJ119" s="152" t="str">
        <f>IFERROR(__xludf.DUMMYFUNCTION("if(AE119="""","""",iferror(filter(Schedule!$AB:$AB&amp;""-""&amp;Schedule!$AC:$AC,Schedule!$L:$L=AE119,(Schedule!$J:$J="""")+(Schedule!$J:$J=AF119),(Schedule!$K:$K=""a"")+(Schedule!$K:$K=""""),Schedule!$AB:$AB&lt;&gt;""""),""""))"),"")</f>
        <v/>
      </c>
      <c r="AK119" s="152" t="str">
        <f>IFERROR(__xludf.DUMMYFUNCTION("if(AE119="""","""",iferror(filter(Schedule!$S:$S&amp;""-""&amp;Schedule!$T:$T,Schedule!$L:$L=AE119,(Schedule!$J:$J="""")+(Schedule!$J:$J=AF119),(Schedule!$K:$K=""b"")+(Schedule!$K:$K=""""),Schedule!$S:$S&lt;&gt;""""),""""))"),"")</f>
        <v/>
      </c>
      <c r="AL119" s="152" t="str">
        <f>IFERROR(__xludf.DUMMYFUNCTION("if(AE119="""","""",iferror(filter(Schedule!$V:$V&amp;""-""&amp;Schedule!$W:$W,Schedule!$L:$L=AE119,(Schedule!$J:$J="""")+(Schedule!$J:$J=AF119),(Schedule!$K:$K=""b"")+(Schedule!$K:$K=""""),Schedule!$V:$V&lt;&gt;""""),""""))"),"")</f>
        <v/>
      </c>
      <c r="AM119" s="60"/>
    </row>
    <row r="120">
      <c r="A120" s="151" t="str">
        <f>C114</f>
        <v>Manuela Castaño</v>
      </c>
      <c r="B120" s="151" t="str">
        <f>I114</f>
        <v>Y</v>
      </c>
      <c r="C120" s="147">
        <v>5.0</v>
      </c>
      <c r="D120" s="152" t="str">
        <f>IFERROR(__xludf.DUMMYFUNCTION("if(A120="""","""",iferror(filter(Schedule!$Y:$Y&amp;""-""&amp;Schedule!$Z:$Z,Schedule!$L:$L=A120,(Schedule!$J:$J="""")+(Schedule!$J:$J=B120),(Schedule!$K:$K=""a"")+(Schedule!$K:$K=""""),Schedule!$Y:$Y&lt;&gt;""""),""""))"),"")</f>
        <v/>
      </c>
      <c r="E120" s="152" t="str">
        <f>IFERROR(__xludf.DUMMYFUNCTION("if(A120="""","""",iferror(filter(Schedule!$P:$P&amp;""-""&amp;Schedule!$Q:$Q,Schedule!$L:$L=A120,(Schedule!$J:$J="""")+(Schedule!$J:$J=B120),(Schedule!$K:$K=""b"")+(Schedule!$K:$K=""""),Schedule!$P:$P&lt;&gt;""""),""""))"),"Spanish 8-3")</f>
        <v>Spanish 8-3</v>
      </c>
      <c r="F120" s="152" t="str">
        <f>IFERROR(__xludf.DUMMYFUNCTION("if(A120="""","""",iferror(filter(Schedule!$V:$V&amp;""-""&amp;Schedule!$W:$W,Schedule!$L:$L=A120,(Schedule!$J:$J="""")+(Schedule!$J:$J=B120),(Schedule!$K:$K=""b"")+(Schedule!$K:$K=""""),Schedule!$V:$V&lt;&gt;""""),""""))"),"Spanish 8-5")</f>
        <v>Spanish 8-5</v>
      </c>
      <c r="G120" s="152" t="str">
        <f>IFERROR(__xludf.DUMMYFUNCTION("if(A120="""","""",iferror(filter(Schedule!$AB:$AB&amp;""-""&amp;Schedule!$AC:$AC,Schedule!$L:$L=A120,(Schedule!$J:$J="""")+(Schedule!$J:$J=B120),(Schedule!$K:$K=""b"")+(Schedule!$K:$K=""""),Schedule!$AB:$AB&lt;&gt;""""),""""))"),"Spanish 8-6")</f>
        <v>Spanish 8-6</v>
      </c>
      <c r="H120" s="152" t="str">
        <f>IFERROR(__xludf.DUMMYFUNCTION("if(A120="""","""",iferror(filter(Schedule!$M:$M&amp;""-""&amp;Schedule!$N:$N,Schedule!$L:$L=A120,(Schedule!$J:$J="""")+(Schedule!$J:$J=B120),(Schedule!$K:$K=""b"")+(Schedule!$K:$K=""""),Schedule!$M:$M&lt;&gt;""""),""""))"),"")</f>
        <v/>
      </c>
      <c r="I120" s="64"/>
      <c r="J120" s="154"/>
      <c r="K120" s="151" t="str">
        <f>M114</f>
        <v/>
      </c>
      <c r="L120" s="151" t="str">
        <f>S114</f>
        <v/>
      </c>
      <c r="M120" s="147">
        <v>5.0</v>
      </c>
      <c r="N120" s="152" t="str">
        <f>IFERROR(__xludf.DUMMYFUNCTION("if(K120="""","""",iferror(filter(Schedule!$Y:$Y&amp;""-""&amp;Schedule!$Z:$Z,Schedule!$L:$L=K120,(Schedule!$J:$J="""")+(Schedule!$J:$J=L120),(Schedule!$K:$K=""a"")+(Schedule!$K:$K=""""),Schedule!$Y:$Y&lt;&gt;""""),""""))"),"")</f>
        <v/>
      </c>
      <c r="O120" s="152" t="str">
        <f>IFERROR(__xludf.DUMMYFUNCTION("if(K120="""","""",iferror(filter(Schedule!$P:$P&amp;""-""&amp;Schedule!$Q:$Q,Schedule!$L:$L=K120,(Schedule!$J:$J="""")+(Schedule!$J:$J=L120),(Schedule!$K:$K=""b"")+(Schedule!$K:$K=""""),Schedule!$P:$P&lt;&gt;""""),""""))"),"")</f>
        <v/>
      </c>
      <c r="P120" s="152" t="str">
        <f>IFERROR(__xludf.DUMMYFUNCTION("if(K120="""","""",iferror(filter(Schedule!$V:$V&amp;""-""&amp;Schedule!$W:$W,Schedule!$L:$L=K120,(Schedule!$J:$J="""")+(Schedule!$J:$J=L120),(Schedule!$K:$K=""b"")+(Schedule!$K:$K=""""),Schedule!$V:$V&lt;&gt;""""),""""))"),"")</f>
        <v/>
      </c>
      <c r="Q120" s="152" t="str">
        <f>IFERROR(__xludf.DUMMYFUNCTION("if(K120="""","""",iferror(filter(Schedule!$AB:$AB&amp;""-""&amp;Schedule!$AC:$AC,Schedule!$L:$L=K120,(Schedule!$J:$J="""")+(Schedule!$J:$J=L120),(Schedule!$K:$K=""b"")+(Schedule!$K:$K=""""),Schedule!$AB:$AB&lt;&gt;""""),""""))"),"")</f>
        <v/>
      </c>
      <c r="R120" s="152" t="str">
        <f>IFERROR(__xludf.DUMMYFUNCTION("if(K120="""","""",iferror(filter(Schedule!$M:$M&amp;""-""&amp;Schedule!$N:$N,Schedule!$L:$L=K120,(Schedule!$J:$J="""")+(Schedule!$J:$J=L120),(Schedule!$K:$K=""b"")+(Schedule!$K:$K=""""),Schedule!$M:$M&lt;&gt;""""),""""))"),"")</f>
        <v/>
      </c>
      <c r="S120" s="64"/>
      <c r="T120" s="155"/>
      <c r="U120" s="155" t="str">
        <f>W114</f>
        <v/>
      </c>
      <c r="V120" s="151" t="str">
        <f>AC114</f>
        <v/>
      </c>
      <c r="W120" s="147">
        <v>5.0</v>
      </c>
      <c r="X120" s="152" t="str">
        <f>IFERROR(__xludf.DUMMYFUNCTION("if(U120="""","""",iferror(filter(Schedule!$Y:$Y&amp;""-""&amp;Schedule!$Z:$Z,Schedule!$L:$L=U120,(Schedule!$J:$J="""")+(Schedule!$J:$J=V120),(Schedule!$K:$K=""a"")+(Schedule!$K:$K=""""),Schedule!$Y:$Y&lt;&gt;""""),""""))"),"")</f>
        <v/>
      </c>
      <c r="Y120" s="152" t="str">
        <f>IFERROR(__xludf.DUMMYFUNCTION("if(U120="""","""",iferror(filter(Schedule!$P:$P&amp;""-""&amp;Schedule!$Q:$Q,Schedule!$L:$L=U120,(Schedule!$J:$J="""")+(Schedule!$J:$J=V120),(Schedule!$K:$K=""b"")+(Schedule!$K:$K=""""),Schedule!$P:$P&lt;&gt;""""),""""))"),"")</f>
        <v/>
      </c>
      <c r="Z120" s="152" t="str">
        <f>IFERROR(__xludf.DUMMYFUNCTION("if(U120="""","""",iferror(filter(Schedule!$V:$V&amp;""-""&amp;Schedule!$W:$W,Schedule!$L:$L=U120,(Schedule!$J:$J="""")+(Schedule!$J:$J=V120),(Schedule!$K:$K=""b"")+(Schedule!$K:$K=""""),Schedule!$V:$V&lt;&gt;""""),""""))"),"")</f>
        <v/>
      </c>
      <c r="AA120" s="152" t="str">
        <f>IFERROR(__xludf.DUMMYFUNCTION("if(U120="""","""",iferror(filter(Schedule!$AB:$AB&amp;""-""&amp;Schedule!$AC:$AC,Schedule!$L:$L=U120,(Schedule!$J:$J="""")+(Schedule!$J:$J=V120),(Schedule!$K:$K=""b"")+(Schedule!$K:$K=""""),Schedule!$AB:$AB&lt;&gt;""""),""""))"),"")</f>
        <v/>
      </c>
      <c r="AB120" s="152" t="str">
        <f>IFERROR(__xludf.DUMMYFUNCTION("if(U120="""","""",iferror(filter(Schedule!$M:$M&amp;""-""&amp;Schedule!$N:$N,Schedule!$L:$L=U120,(Schedule!$J:$J="""")+(Schedule!$J:$J=V120),(Schedule!$K:$K=""b"")+(Schedule!$K:$K=""""),Schedule!$M:$M&lt;&gt;""""),""""))"),"")</f>
        <v/>
      </c>
      <c r="AC120" s="64"/>
      <c r="AD120" s="155"/>
      <c r="AE120" s="155" t="str">
        <f>AG114</f>
        <v/>
      </c>
      <c r="AF120" s="151" t="str">
        <f>AM114</f>
        <v/>
      </c>
      <c r="AG120" s="147">
        <v>5.0</v>
      </c>
      <c r="AH120" s="152" t="str">
        <f>IFERROR(__xludf.DUMMYFUNCTION("if(AE120="""","""",iferror(filter(Schedule!$Y:$Y&amp;""-""&amp;Schedule!$Z:$Z,Schedule!$L:$L=AE120,(Schedule!$J:$J="""")+(Schedule!$J:$J=AF120),(Schedule!$K:$K=""a"")+(Schedule!$K:$K=""""),Schedule!$Y:$Y&lt;&gt;""""),""""))"),"")</f>
        <v/>
      </c>
      <c r="AI120" s="152" t="str">
        <f>IFERROR(__xludf.DUMMYFUNCTION("if(AE120="""","""",iferror(filter(Schedule!$P:$P&amp;""-""&amp;Schedule!$Q:$Q,Schedule!$L:$L=AE120,(Schedule!$J:$J="""")+(Schedule!$J:$J=AF120),(Schedule!$K:$K=""b"")+(Schedule!$K:$K=""""),Schedule!$P:$P&lt;&gt;""""),""""))"),"")</f>
        <v/>
      </c>
      <c r="AJ120" s="152" t="str">
        <f>IFERROR(__xludf.DUMMYFUNCTION("if(AE120="""","""",iferror(filter(Schedule!$V:$V&amp;""-""&amp;Schedule!$W:$W,Schedule!$L:$L=AE120,(Schedule!$J:$J="""")+(Schedule!$J:$J=AF120),(Schedule!$K:$K=""b"")+(Schedule!$K:$K=""""),Schedule!$V:$V&lt;&gt;""""),""""))"),"")</f>
        <v/>
      </c>
      <c r="AK120" s="152" t="str">
        <f>IFERROR(__xludf.DUMMYFUNCTION("if(AE120="""","""",iferror(filter(Schedule!$AB:$AB&amp;""-""&amp;Schedule!$AC:$AC,Schedule!$L:$L=AE120,(Schedule!$J:$J="""")+(Schedule!$J:$J=AF120),(Schedule!$K:$K=""b"")+(Schedule!$K:$K=""""),Schedule!$AB:$AB&lt;&gt;""""),""""))"),"")</f>
        <v/>
      </c>
      <c r="AL120" s="152" t="str">
        <f>IFERROR(__xludf.DUMMYFUNCTION("if(AE120="""","""",iferror(filter(Schedule!$M:$M&amp;""-""&amp;Schedule!$N:$N,Schedule!$L:$L=AE120,(Schedule!$J:$J="""")+(Schedule!$J:$J=AF120),(Schedule!$K:$K=""b"")+(Schedule!$K:$K=""""),Schedule!$M:$M&lt;&gt;""""),""""))"),"")</f>
        <v/>
      </c>
      <c r="AM120" s="64"/>
    </row>
    <row r="121">
      <c r="A121" s="11"/>
      <c r="B121" s="11"/>
      <c r="C121" s="156"/>
      <c r="D121" s="156"/>
      <c r="E121" s="156"/>
      <c r="F121" s="156"/>
      <c r="G121" s="156"/>
      <c r="H121" s="156"/>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c r="A122" s="5"/>
      <c r="B122" s="5"/>
      <c r="C122" s="140" t="str">
        <f>Teachers!A16</f>
        <v>Mateo</v>
      </c>
      <c r="D122" s="141"/>
      <c r="E122" s="141"/>
      <c r="F122" s="141"/>
      <c r="G122" s="141"/>
      <c r="H122" s="142"/>
      <c r="I122" s="143" t="str">
        <f>IFERROR(__xludf.DUMMYFUNCTION("if(C122="""","""", iferror(unique(filter(Schedule!$J:$J,Schedule!$L:$L=$C122,Schedule!$J:$J=""Q1"")),iferror(unique(filter(Schedule!$J:$J,Schedule!$L:$L=$C122,Schedule!$J:$J=""S1"")),""Y"")))"),"Y")</f>
        <v>Y</v>
      </c>
      <c r="J122" s="11"/>
      <c r="K122" s="11"/>
      <c r="L122" s="11"/>
      <c r="M122" s="140" t="str">
        <f>if(S122="","",C122)</f>
        <v/>
      </c>
      <c r="N122" s="141"/>
      <c r="O122" s="141"/>
      <c r="P122" s="141"/>
      <c r="Q122" s="141"/>
      <c r="R122" s="142"/>
      <c r="S122" s="143" t="str">
        <f>if($I122="Q1","Q2",if($I122="S1","S2",""))</f>
        <v/>
      </c>
      <c r="T122" s="144"/>
      <c r="U122" s="144"/>
      <c r="V122" s="145"/>
      <c r="W122" s="140" t="str">
        <f>if(AC122="","",M122)</f>
        <v/>
      </c>
      <c r="X122" s="141"/>
      <c r="Y122" s="141"/>
      <c r="Z122" s="141"/>
      <c r="AA122" s="141"/>
      <c r="AB122" s="142"/>
      <c r="AC122" s="143" t="str">
        <f>if($I122="Q1","Q3","")</f>
        <v/>
      </c>
      <c r="AD122" s="144"/>
      <c r="AE122" s="144"/>
      <c r="AF122" s="145"/>
      <c r="AG122" s="140" t="str">
        <f>if(AC122="","",W122)</f>
        <v/>
      </c>
      <c r="AH122" s="141"/>
      <c r="AI122" s="141"/>
      <c r="AJ122" s="141"/>
      <c r="AK122" s="141"/>
      <c r="AL122" s="142"/>
      <c r="AM122" s="143" t="str">
        <f>if($I122="Q1","Q4","")</f>
        <v/>
      </c>
    </row>
    <row r="123">
      <c r="A123" s="146"/>
      <c r="B123" s="146"/>
      <c r="C123" s="147" t="s">
        <v>94</v>
      </c>
      <c r="D123" s="148" t="s">
        <v>95</v>
      </c>
      <c r="E123" s="148" t="s">
        <v>96</v>
      </c>
      <c r="F123" s="148" t="s">
        <v>97</v>
      </c>
      <c r="G123" s="148" t="s">
        <v>98</v>
      </c>
      <c r="H123" s="148" t="s">
        <v>99</v>
      </c>
      <c r="I123" s="148" t="s">
        <v>651</v>
      </c>
      <c r="J123" s="146"/>
      <c r="K123" s="146"/>
      <c r="L123" s="146"/>
      <c r="M123" s="147" t="s">
        <v>94</v>
      </c>
      <c r="N123" s="148" t="s">
        <v>95</v>
      </c>
      <c r="O123" s="148" t="s">
        <v>96</v>
      </c>
      <c r="P123" s="148" t="s">
        <v>97</v>
      </c>
      <c r="Q123" s="148" t="s">
        <v>98</v>
      </c>
      <c r="R123" s="148" t="s">
        <v>99</v>
      </c>
      <c r="S123" s="148" t="s">
        <v>651</v>
      </c>
      <c r="T123" s="149"/>
      <c r="U123" s="149"/>
      <c r="V123" s="150"/>
      <c r="W123" s="147" t="s">
        <v>94</v>
      </c>
      <c r="X123" s="148" t="s">
        <v>95</v>
      </c>
      <c r="Y123" s="148" t="s">
        <v>96</v>
      </c>
      <c r="Z123" s="148" t="s">
        <v>97</v>
      </c>
      <c r="AA123" s="148" t="s">
        <v>98</v>
      </c>
      <c r="AB123" s="148" t="s">
        <v>99</v>
      </c>
      <c r="AC123" s="148" t="s">
        <v>651</v>
      </c>
      <c r="AD123" s="149"/>
      <c r="AE123" s="149"/>
      <c r="AF123" s="150"/>
      <c r="AG123" s="147" t="s">
        <v>94</v>
      </c>
      <c r="AH123" s="148" t="s">
        <v>95</v>
      </c>
      <c r="AI123" s="148" t="s">
        <v>96</v>
      </c>
      <c r="AJ123" s="148" t="s">
        <v>97</v>
      </c>
      <c r="AK123" s="148" t="s">
        <v>98</v>
      </c>
      <c r="AL123" s="148" t="s">
        <v>99</v>
      </c>
      <c r="AM123" s="148" t="s">
        <v>651</v>
      </c>
    </row>
    <row r="124">
      <c r="A124" s="151" t="str">
        <f>C122</f>
        <v>Mateo</v>
      </c>
      <c r="B124" s="151" t="str">
        <f>I122</f>
        <v>Y</v>
      </c>
      <c r="C124" s="147">
        <v>1.0</v>
      </c>
      <c r="D124" s="152" t="str">
        <f>IFERROR(__xludf.DUMMYFUNCTION("if(A124="""","""",iferror(filter(Schedule!$M:$M&amp;""-""&amp;Schedule!$N:$N,Schedule!$L:$L=A124,(Schedule!$J:$J="""")+(Schedule!$J:$J=B124),(Schedule!$K:$K=""a"")+(Schedule!$K:$K=""""),Schedule!$M:$M&lt;&gt;""""),""""))"),"Math 8-1")</f>
        <v>Math 8-1</v>
      </c>
      <c r="E124" s="152" t="str">
        <f>IFERROR(__xludf.DUMMYFUNCTION("if(A124="""","""",iferror(filter(Schedule!$AB:$AB&amp;""-""&amp;Schedule!$AC:$AC,Schedule!$L:$L=A124,(Schedule!$J:$J="""")+(Schedule!$J:$J=B124),(Schedule!$K:$K=""b"")+(Schedule!$K:$K=""""),Schedule!$AB:$AB&lt;&gt;""""),""""))"),"")</f>
        <v/>
      </c>
      <c r="F124" s="152" t="str">
        <f>IFERROR(__xludf.DUMMYFUNCTION("if(A124="""","""",iferror(filter(Schedule!$S:$S&amp;""-""&amp;Schedule!$T:$T,Schedule!$L:$L=A124,(Schedule!$J:$J="""")+(Schedule!$J:$J=B124),(Schedule!$K:$K=""a"")+(Schedule!$K:$K=""""),Schedule!$S:$S&lt;&gt;""""),""""))"),"")</f>
        <v/>
      </c>
      <c r="G124" s="152" t="str">
        <f>IFERROR(__xludf.DUMMYFUNCTION("if(A124="""","""",iferror(filter(Schedule!$V:$V&amp;""-""&amp;Schedule!$W:$W,Schedule!$L:$L=A124,(Schedule!$J:$J="""")+(Schedule!$J:$J=B124),(Schedule!$K:$K=""a"")+(Schedule!$K:$K=""""),Schedule!$V:$V&lt;&gt;""""),""""))"),"Math 7-3")</f>
        <v>Math 7-3</v>
      </c>
      <c r="H124" s="152" t="str">
        <f>IFERROR(__xludf.DUMMYFUNCTION("if(A124="""","""",iferror(filter(Schedule!$Y:$Y&amp;""-""&amp;Schedule!$Z:$Z,Schedule!$L:$L=A124,(Schedule!$J:$J="""")+(Schedule!$J:$J=B124),(Schedule!$K:$K=""b"")+(Schedule!$K:$K=""""),Schedule!$Y:$Y&lt;&gt;""""),""""))"),"Math 6A-4")</f>
        <v>Math 6A-4</v>
      </c>
      <c r="I124" s="153">
        <f>if(C122="","", 24-countifs(D124:H128,""))</f>
        <v>12</v>
      </c>
      <c r="J124" s="154"/>
      <c r="K124" s="151" t="str">
        <f>M122</f>
        <v/>
      </c>
      <c r="L124" s="151" t="str">
        <f>S122</f>
        <v/>
      </c>
      <c r="M124" s="147">
        <v>1.0</v>
      </c>
      <c r="N124" s="152" t="str">
        <f>IFERROR(__xludf.DUMMYFUNCTION("if(K124="""","""",iferror(filter(Schedule!$M:$M&amp;""-""&amp;Schedule!$N:$N,Schedule!$L:$L=K124,(Schedule!$J:$J="""")+(Schedule!$J:$J=L124),(Schedule!$K:$K=""a"")+(Schedule!$K:$K=""""),Schedule!$M:$M&lt;&gt;""""),""""))"),"")</f>
        <v/>
      </c>
      <c r="O124" s="152" t="str">
        <f>IFERROR(__xludf.DUMMYFUNCTION("if(K124="""","""",iferror(filter(Schedule!$AB:$AB&amp;""-""&amp;Schedule!$AC:$AC,Schedule!$L:$L=K124,(Schedule!$J:$J="""")+(Schedule!$J:$J=L124),(Schedule!$K:$K=""b"")+(Schedule!$K:$K=""""),Schedule!$AB:$AB&lt;&gt;""""),""""))"),"")</f>
        <v/>
      </c>
      <c r="P124" s="152" t="str">
        <f>IFERROR(__xludf.DUMMYFUNCTION("if(K124="""","""",iferror(filter(Schedule!$S:$S&amp;""-""&amp;Schedule!$T:$T,Schedule!$L:$L=K124,(Schedule!$J:$J="""")+(Schedule!$J:$J=L124),(Schedule!$K:$K=""a"")+(Schedule!$K:$K=""""),Schedule!$S:$S&lt;&gt;""""),""""))"),"")</f>
        <v/>
      </c>
      <c r="Q124" s="152" t="str">
        <f>IFERROR(__xludf.DUMMYFUNCTION("if(K124="""","""",iferror(filter(Schedule!$V:$V&amp;""-""&amp;Schedule!$W:$W,Schedule!$L:$L=K124,(Schedule!$J:$J="""")+(Schedule!$J:$J=L124),(Schedule!$K:$K=""a"")+(Schedule!$K:$K=""""),Schedule!$V:$V&lt;&gt;""""),""""))"),"")</f>
        <v/>
      </c>
      <c r="R124" s="152" t="str">
        <f>IFERROR(__xludf.DUMMYFUNCTION("if(K124="""","""",iferror(filter(Schedule!$Y:$Y&amp;""-""&amp;Schedule!$Z:$Z,Schedule!$L:$L=K124,(Schedule!$J:$J="""")+(Schedule!$J:$J=L124),(Schedule!$K:$K=""b"")+(Schedule!$K:$K=""""),Schedule!$Y:$Y&lt;&gt;""""),""""))"),"")</f>
        <v/>
      </c>
      <c r="S124" s="153" t="str">
        <f>if(K124="","", 24-countifs(N124:R128,""))</f>
        <v/>
      </c>
      <c r="T124" s="155"/>
      <c r="U124" s="155" t="str">
        <f>W122</f>
        <v/>
      </c>
      <c r="V124" s="151" t="str">
        <f>AC122</f>
        <v/>
      </c>
      <c r="W124" s="147">
        <v>1.0</v>
      </c>
      <c r="X124" s="152" t="str">
        <f>IFERROR(__xludf.DUMMYFUNCTION("if(U124="""","""",iferror(filter(Schedule!$M:$M&amp;""-""&amp;Schedule!$N:$N,Schedule!$L:$L=U124,(Schedule!$J:$J="""")+(Schedule!$J:$J=V124),(Schedule!$K:$K=""a"")+(Schedule!$K:$K=""""),Schedule!$M:$M&lt;&gt;""""),""""))"),"")</f>
        <v/>
      </c>
      <c r="Y124" s="152" t="str">
        <f>IFERROR(__xludf.DUMMYFUNCTION("if(U124="""","""",iferror(filter(Schedule!$AB:$AB&amp;""-""&amp;Schedule!$AC:$AC,Schedule!$L:$L=U124,(Schedule!$J:$J="""")+(Schedule!$J:$J=V124),(Schedule!$K:$K=""b"")+(Schedule!$K:$K=""""),Schedule!$AB:$AB&lt;&gt;""""),""""))"),"")</f>
        <v/>
      </c>
      <c r="Z124" s="152" t="str">
        <f>IFERROR(__xludf.DUMMYFUNCTION("if(U124="""","""",iferror(filter(Schedule!$S:$S&amp;""-""&amp;Schedule!$T:$T,Schedule!$L:$L=U124,(Schedule!$J:$J="""")+(Schedule!$J:$J=V124),(Schedule!$K:$K=""a"")+(Schedule!$K:$K=""""),Schedule!$S:$S&lt;&gt;""""),""""))"),"")</f>
        <v/>
      </c>
      <c r="AA124" s="152" t="str">
        <f>IFERROR(__xludf.DUMMYFUNCTION("if(U124="""","""",iferror(filter(Schedule!$V:$V&amp;""-""&amp;Schedule!$W:$W,Schedule!$L:$L=U124,(Schedule!$J:$J="""")+(Schedule!$J:$J=V124),(Schedule!$K:$K=""a"")+(Schedule!$K:$K=""""),Schedule!$V:$V&lt;&gt;""""),""""))"),"")</f>
        <v/>
      </c>
      <c r="AB124" s="152" t="str">
        <f>IFERROR(__xludf.DUMMYFUNCTION("if(U124="""","""",iferror(filter(Schedule!$Y:$Y&amp;""-""&amp;Schedule!$Z:$Z,Schedule!$L:$L=U124,(Schedule!$J:$J="""")+(Schedule!$J:$J=V124),(Schedule!$K:$K=""b"")+(Schedule!$K:$K=""""),Schedule!$Y:$Y&lt;&gt;""""),""""))"),"")</f>
        <v/>
      </c>
      <c r="AC124" s="153" t="str">
        <f>if(U124="","", 24-countifs(X124:AB128,""))</f>
        <v/>
      </c>
      <c r="AD124" s="155"/>
      <c r="AE124" s="155" t="str">
        <f>AG122</f>
        <v/>
      </c>
      <c r="AF124" s="151" t="str">
        <f>AM122</f>
        <v/>
      </c>
      <c r="AG124" s="147">
        <v>1.0</v>
      </c>
      <c r="AH124" s="152" t="str">
        <f>IFERROR(__xludf.DUMMYFUNCTION("if(AE124="""","""",iferror(filter(Schedule!$M:$M&amp;""-""&amp;Schedule!$N:$N,Schedule!$L:$L=AE124,(Schedule!$J:$J="""")+(Schedule!$J:$J=AF124),(Schedule!$K:$K=""a"")+(Schedule!$K:$K=""""),Schedule!$M:$M&lt;&gt;""""),""""))"),"")</f>
        <v/>
      </c>
      <c r="AI124" s="152" t="str">
        <f>IFERROR(__xludf.DUMMYFUNCTION("if(AE124="""","""",iferror(filter(Schedule!$AB:$AB&amp;""-""&amp;Schedule!$AC:$AC,Schedule!$L:$L=AE124,(Schedule!$J:$J="""")+(Schedule!$J:$J=AF124),(Schedule!$K:$K=""b"")+(Schedule!$K:$K=""""),Schedule!$AB:$AB&lt;&gt;""""),""""))"),"")</f>
        <v/>
      </c>
      <c r="AJ124" s="152" t="str">
        <f>IFERROR(__xludf.DUMMYFUNCTION("if(AE124="""","""",iferror(filter(Schedule!$S:$S&amp;""-""&amp;Schedule!$T:$T,Schedule!$L:$L=AE124,(Schedule!$J:$J="""")+(Schedule!$J:$J=AF124),(Schedule!$K:$K=""a"")+(Schedule!$K:$K=""""),Schedule!$S:$S&lt;&gt;""""),""""))"),"")</f>
        <v/>
      </c>
      <c r="AK124" s="152" t="str">
        <f>IFERROR(__xludf.DUMMYFUNCTION("if(AE124="""","""",iferror(filter(Schedule!$V:$V&amp;""-""&amp;Schedule!$W:$W,Schedule!$L:$L=AE124,(Schedule!$J:$J="""")+(Schedule!$J:$J=AF124),(Schedule!$K:$K=""a"")+(Schedule!$K:$K=""""),Schedule!$V:$V&lt;&gt;""""),""""))"),"")</f>
        <v/>
      </c>
      <c r="AL124" s="152" t="str">
        <f>IFERROR(__xludf.DUMMYFUNCTION("if(AE124="""","""",iferror(filter(Schedule!$Y:$Y&amp;""-""&amp;Schedule!$Z:$Z,Schedule!$L:$L=AE124,(Schedule!$J:$J="""")+(Schedule!$J:$J=AF124),(Schedule!$K:$K=""b"")+(Schedule!$K:$K=""""),Schedule!$Y:$Y&lt;&gt;""""),""""))"),"")</f>
        <v/>
      </c>
      <c r="AM124" s="153" t="str">
        <f>if(AE124="","", 24-countifs(AH124:AL128,""))</f>
        <v/>
      </c>
    </row>
    <row r="125">
      <c r="A125" s="151" t="str">
        <f>C122</f>
        <v>Mateo</v>
      </c>
      <c r="B125" s="151" t="str">
        <f>I122</f>
        <v>Y</v>
      </c>
      <c r="C125" s="147">
        <v>2.0</v>
      </c>
      <c r="D125" s="152" t="str">
        <f>IFERROR(__xludf.DUMMYFUNCTION("if(A125="""","""",iferror(filter(Schedule!$P:$P&amp;""-""&amp;Schedule!$Q:$Q,Schedule!$L:$L=A125,(Schedule!$J:$J="""")+(Schedule!$J:$J=B125),(Schedule!$K:$K=""a"")+(Schedule!$K:$K=""""),Schedule!$P:$P&lt;&gt;""""),""""))"),"")</f>
        <v/>
      </c>
      <c r="E125" s="152" t="str">
        <f>IFERROR(__xludf.DUMMYFUNCTION("if(A125="""","""",iferror(filter(Schedule!$Y:$Y&amp;""-""&amp;Schedule!$Z:$Z,Schedule!$L:$L=A125,(Schedule!$J:$J="""")+(Schedule!$J:$J=B125),(Schedule!$K:$K=""b"")+(Schedule!$K:$K=""""),Schedule!$Y:$Y&lt;&gt;""""),""""))"),"Math 6A-4")</f>
        <v>Math 6A-4</v>
      </c>
      <c r="F125" s="152" t="str">
        <f>IFERROR(__xludf.DUMMYFUNCTION("if(A125="""","""",iferror(filter(Schedule!$P:$P&amp;""-""&amp;Schedule!$Q:$Q,Schedule!$L:$L=A125,(Schedule!$J:$J="""")+(Schedule!$J:$J=B125),(Schedule!$K:$K=""a"")+(Schedule!$K:$K=""""),Schedule!$P:$P&lt;&gt;""""),""""))"),"")</f>
        <v/>
      </c>
      <c r="G125" s="152" t="str">
        <f>IFERROR(__xludf.DUMMYFUNCTION("if(A125="""","""",iferror(filter(Schedule!$M:$M&amp;""-""&amp;Schedule!$N:$N,Schedule!$L:$L=A125,(Schedule!$J:$J="""")+(Schedule!$J:$J=B125),(Schedule!$K:$K=""a"")+(Schedule!$K:$K=""""),Schedule!$M:$M&lt;&gt;""""),""""))"),"Math 8-1")</f>
        <v>Math 8-1</v>
      </c>
      <c r="H125" s="152" t="str">
        <f>IFERROR(__xludf.DUMMYFUNCTION("if(A125="""","""",iferror(filter(Schedule!$AB:$AB&amp;""-""&amp;Schedule!$AC:$AC,Schedule!$L:$L=A125,(Schedule!$J:$J="""")+(Schedule!$J:$J=B125),(Schedule!$K:$K=""a"")+(Schedule!$K:$K=""""),Schedule!$AB:$AB&lt;&gt;""""),""""))"),"")</f>
        <v/>
      </c>
      <c r="I125" s="60"/>
      <c r="J125" s="154"/>
      <c r="K125" s="151" t="str">
        <f>M122</f>
        <v/>
      </c>
      <c r="L125" s="151" t="str">
        <f>S122</f>
        <v/>
      </c>
      <c r="M125" s="147">
        <v>2.0</v>
      </c>
      <c r="N125" s="152" t="str">
        <f>IFERROR(__xludf.DUMMYFUNCTION("if(K125="""","""",iferror(filter(Schedule!$P:$P&amp;""-""&amp;Schedule!$Q:$Q,Schedule!$L:$L=K125,(Schedule!$J:$J="""")+(Schedule!$J:$J=L125),(Schedule!$K:$K=""a"")+(Schedule!$K:$K=""""),Schedule!$P:$P&lt;&gt;""""),""""))"),"")</f>
        <v/>
      </c>
      <c r="O125" s="152" t="str">
        <f>IFERROR(__xludf.DUMMYFUNCTION("if(K125="""","""",iferror(filter(Schedule!$Y:$Y&amp;""-""&amp;Schedule!$Z:$Z,Schedule!$L:$L=K125,(Schedule!$J:$J="""")+(Schedule!$J:$J=L125),(Schedule!$K:$K=""b"")+(Schedule!$K:$K=""""),Schedule!$Y:$Y&lt;&gt;""""),""""))"),"")</f>
        <v/>
      </c>
      <c r="P125" s="152" t="str">
        <f>IFERROR(__xludf.DUMMYFUNCTION("if(K125="""","""",iferror(filter(Schedule!$P:$P&amp;""-""&amp;Schedule!$Q:$Q,Schedule!$L:$L=K125,(Schedule!$J:$J="""")+(Schedule!$J:$J=L125),(Schedule!$K:$K=""a"")+(Schedule!$K:$K=""""),Schedule!$P:$P&lt;&gt;""""),""""))"),"")</f>
        <v/>
      </c>
      <c r="Q125" s="152" t="str">
        <f>IFERROR(__xludf.DUMMYFUNCTION("if(K125="""","""",iferror(filter(Schedule!$M:$M&amp;""-""&amp;Schedule!$N:$N,Schedule!$L:$L=K125,(Schedule!$J:$J="""")+(Schedule!$J:$J=L125),(Schedule!$K:$K=""a"")+(Schedule!$K:$K=""""),Schedule!$M:$M&lt;&gt;""""),""""))"),"")</f>
        <v/>
      </c>
      <c r="R125" s="152" t="str">
        <f>IFERROR(__xludf.DUMMYFUNCTION("if(K125="""","""",iferror(filter(Schedule!$AB:$AB&amp;""-""&amp;Schedule!$AC:$AC,Schedule!$L:$L=K125,(Schedule!$J:$J="""")+(Schedule!$J:$J=L125),(Schedule!$K:$K=""a"")+(Schedule!$K:$K=""""),Schedule!$AB:$AB&lt;&gt;""""),""""))"),"")</f>
        <v/>
      </c>
      <c r="S125" s="60"/>
      <c r="T125" s="155"/>
      <c r="U125" s="155" t="str">
        <f>W122</f>
        <v/>
      </c>
      <c r="V125" s="151" t="str">
        <f>AC122</f>
        <v/>
      </c>
      <c r="W125" s="147">
        <v>2.0</v>
      </c>
      <c r="X125" s="152" t="str">
        <f>IFERROR(__xludf.DUMMYFUNCTION("if(U125="""","""",iferror(filter(Schedule!$P:$P&amp;""-""&amp;Schedule!$Q:$Q,Schedule!$L:$L=U125,(Schedule!$J:$J="""")+(Schedule!$J:$J=V125),(Schedule!$K:$K=""a"")+(Schedule!$K:$K=""""),Schedule!$P:$P&lt;&gt;""""),""""))"),"")</f>
        <v/>
      </c>
      <c r="Y125" s="152" t="str">
        <f>IFERROR(__xludf.DUMMYFUNCTION("if(U125="""","""",iferror(filter(Schedule!$Y:$Y&amp;""-""&amp;Schedule!$Z:$Z,Schedule!$L:$L=U125,(Schedule!$J:$J="""")+(Schedule!$J:$J=V125),(Schedule!$K:$K=""b"")+(Schedule!$K:$K=""""),Schedule!$Y:$Y&lt;&gt;""""),""""))"),"")</f>
        <v/>
      </c>
      <c r="Z125" s="152" t="str">
        <f>IFERROR(__xludf.DUMMYFUNCTION("if(U125="""","""",iferror(filter(Schedule!$P:$P&amp;""-""&amp;Schedule!$Q:$Q,Schedule!$L:$L=U125,(Schedule!$J:$J="""")+(Schedule!$J:$J=V125),(Schedule!$K:$K=""a"")+(Schedule!$K:$K=""""),Schedule!$P:$P&lt;&gt;""""),""""))"),"")</f>
        <v/>
      </c>
      <c r="AA125" s="152" t="str">
        <f>IFERROR(__xludf.DUMMYFUNCTION("if(U125="""","""",iferror(filter(Schedule!$M:$M&amp;""-""&amp;Schedule!$N:$N,Schedule!$L:$L=U125,(Schedule!$J:$J="""")+(Schedule!$J:$J=V125),(Schedule!$K:$K=""a"")+(Schedule!$K:$K=""""),Schedule!$M:$M&lt;&gt;""""),""""))"),"")</f>
        <v/>
      </c>
      <c r="AB125" s="152" t="str">
        <f>IFERROR(__xludf.DUMMYFUNCTION("if(U125="""","""",iferror(filter(Schedule!$AB:$AB&amp;""-""&amp;Schedule!$AC:$AC,Schedule!$L:$L=U125,(Schedule!$J:$J="""")+(Schedule!$J:$J=V125),(Schedule!$K:$K=""a"")+(Schedule!$K:$K=""""),Schedule!$AB:$AB&lt;&gt;""""),""""))"),"")</f>
        <v/>
      </c>
      <c r="AC125" s="60"/>
      <c r="AD125" s="155"/>
      <c r="AE125" s="155" t="str">
        <f>AG122</f>
        <v/>
      </c>
      <c r="AF125" s="151" t="str">
        <f>AM122</f>
        <v/>
      </c>
      <c r="AG125" s="147">
        <v>2.0</v>
      </c>
      <c r="AH125" s="152" t="str">
        <f>IFERROR(__xludf.DUMMYFUNCTION("if(AE125="""","""",iferror(filter(Schedule!$P:$P&amp;""-""&amp;Schedule!$Q:$Q,Schedule!$L:$L=AE125,(Schedule!$J:$J="""")+(Schedule!$J:$J=AF125),(Schedule!$K:$K=""a"")+(Schedule!$K:$K=""""),Schedule!$P:$P&lt;&gt;""""),""""))"),"")</f>
        <v/>
      </c>
      <c r="AI125" s="152" t="str">
        <f>IFERROR(__xludf.DUMMYFUNCTION("if(AE125="""","""",iferror(filter(Schedule!$Y:$Y&amp;""-""&amp;Schedule!$Z:$Z,Schedule!$L:$L=AE125,(Schedule!$J:$J="""")+(Schedule!$J:$J=AF125),(Schedule!$K:$K=""b"")+(Schedule!$K:$K=""""),Schedule!$Y:$Y&lt;&gt;""""),""""))"),"")</f>
        <v/>
      </c>
      <c r="AJ125" s="152" t="str">
        <f>IFERROR(__xludf.DUMMYFUNCTION("if(AE125="""","""",iferror(filter(Schedule!$P:$P&amp;""-""&amp;Schedule!$Q:$Q,Schedule!$L:$L=AE125,(Schedule!$J:$J="""")+(Schedule!$J:$J=AF125),(Schedule!$K:$K=""a"")+(Schedule!$K:$K=""""),Schedule!$P:$P&lt;&gt;""""),""""))"),"")</f>
        <v/>
      </c>
      <c r="AK125" s="152" t="str">
        <f>IFERROR(__xludf.DUMMYFUNCTION("if(AE125="""","""",iferror(filter(Schedule!$M:$M&amp;""-""&amp;Schedule!$N:$N,Schedule!$L:$L=AE125,(Schedule!$J:$J="""")+(Schedule!$J:$J=AF125),(Schedule!$K:$K=""a"")+(Schedule!$K:$K=""""),Schedule!$M:$M&lt;&gt;""""),""""))"),"")</f>
        <v/>
      </c>
      <c r="AL125" s="152" t="str">
        <f>IFERROR(__xludf.DUMMYFUNCTION("if(AE125="""","""",iferror(filter(Schedule!$AB:$AB&amp;""-""&amp;Schedule!$AC:$AC,Schedule!$L:$L=AE125,(Schedule!$J:$J="""")+(Schedule!$J:$J=AF125),(Schedule!$K:$K=""a"")+(Schedule!$K:$K=""""),Schedule!$AB:$AB&lt;&gt;""""),""""))"),"")</f>
        <v/>
      </c>
      <c r="AM125" s="60"/>
    </row>
    <row r="126">
      <c r="A126" s="151" t="str">
        <f>C122</f>
        <v>Mateo</v>
      </c>
      <c r="B126" s="151" t="str">
        <f>I122</f>
        <v>Y</v>
      </c>
      <c r="C126" s="147">
        <v>3.0</v>
      </c>
      <c r="D126" s="152" t="str">
        <f>IFERROR(__xludf.DUMMYFUNCTION("if(A126="""","""",iferror(filter(Schedule!$S:$S&amp;""-""&amp;Schedule!$T:$T,Schedule!$L:$L=A126,(Schedule!$J:$J="""")+(Schedule!$J:$J=B126),(Schedule!$K:$K=""a"")+(Schedule!$K:$K=""""),Schedule!$S:$S&lt;&gt;""""),""""))"),"")</f>
        <v/>
      </c>
      <c r="E126" s="152" t="str">
        <f>IFERROR(__xludf.DUMMYFUNCTION("if(A126="""","""",iferror(filter(Schedule!$S:$S&amp;""-""&amp;Schedule!$T:$T,Schedule!$L:$L=A126,(Schedule!$J:$J="""")+(Schedule!$J:$J=B126),(Schedule!$K:$K=""b"")+(Schedule!$K:$K=""""),Schedule!$S:$S&lt;&gt;""""),""""))"),"")</f>
        <v/>
      </c>
      <c r="F126" s="152" t="str">
        <f>IFERROR(__xludf.DUMMYFUNCTION("if(A126="""","""",iferror(filter(Schedule!$Y:$Y&amp;""-""&amp;Schedule!$Z:$Z,Schedule!$L:$L=A126,(Schedule!$J:$J="""")+(Schedule!$J:$J=B126),(Schedule!$K:$K=""a"")+(Schedule!$K:$K=""""),Schedule!$Y:$Y&lt;&gt;""""),""""))"),"Math 6A-4")</f>
        <v>Math 6A-4</v>
      </c>
      <c r="G126" s="152" t="str">
        <f>IFERROR(__xludf.DUMMYFUNCTION("if(A126="""","""",iferror(filter(Schedule!$P:$P&amp;""-""&amp;Schedule!$Q:$Q,Schedule!$L:$L=A126,(Schedule!$J:$J="""")+(Schedule!$J:$J=B126),(Schedule!$K:$K=""b"")+(Schedule!$K:$K=""""),Schedule!$P:$P&lt;&gt;""""),""""))"),"")</f>
        <v/>
      </c>
      <c r="H126" s="152" t="str">
        <f>if(C122="","","X-Block")</f>
        <v>X-Block</v>
      </c>
      <c r="I126" s="60"/>
      <c r="J126" s="154"/>
      <c r="K126" s="151" t="str">
        <f>M122</f>
        <v/>
      </c>
      <c r="L126" s="151" t="str">
        <f>S122</f>
        <v/>
      </c>
      <c r="M126" s="147">
        <v>3.0</v>
      </c>
      <c r="N126" s="152" t="str">
        <f>IFERROR(__xludf.DUMMYFUNCTION("if(K126="""","""",iferror(filter(Schedule!$S:$S&amp;""-""&amp;Schedule!$T:$T,Schedule!$L:$L=K126,(Schedule!$J:$J="""")+(Schedule!$J:$J=L126),(Schedule!$K:$K=""a"")+(Schedule!$K:$K=""""),Schedule!$S:$S&lt;&gt;""""),""""))"),"")</f>
        <v/>
      </c>
      <c r="O126" s="152" t="str">
        <f>IFERROR(__xludf.DUMMYFUNCTION("if(K126="""","""",iferror(filter(Schedule!$S:$S&amp;""-""&amp;Schedule!$T:$T,Schedule!$L:$L=K126,(Schedule!$J:$J="""")+(Schedule!$J:$J=L126),(Schedule!$K:$K=""b"")+(Schedule!$K:$K=""""),Schedule!$S:$S&lt;&gt;""""),""""))"),"")</f>
        <v/>
      </c>
      <c r="P126" s="152" t="str">
        <f>IFERROR(__xludf.DUMMYFUNCTION("if(K126="""","""",iferror(filter(Schedule!$Y:$Y&amp;""-""&amp;Schedule!$Z:$Z,Schedule!$L:$L=K126,(Schedule!$J:$J="""")+(Schedule!$J:$J=L126),(Schedule!$K:$K=""a"")+(Schedule!$K:$K=""""),Schedule!$Y:$Y&lt;&gt;""""),""""))"),"")</f>
        <v/>
      </c>
      <c r="Q126" s="152" t="str">
        <f>IFERROR(__xludf.DUMMYFUNCTION("if(K126="""","""",iferror(filter(Schedule!$P:$P&amp;""-""&amp;Schedule!$Q:$Q,Schedule!$L:$L=K126,(Schedule!$J:$J="""")+(Schedule!$J:$J=L126),(Schedule!$K:$K=""b"")+(Schedule!$K:$K=""""),Schedule!$P:$P&lt;&gt;""""),""""))"),"")</f>
        <v/>
      </c>
      <c r="R126" s="152" t="str">
        <f>if(M122="","","X-Block")</f>
        <v/>
      </c>
      <c r="S126" s="60"/>
      <c r="T126" s="155"/>
      <c r="U126" s="155" t="str">
        <f>W122</f>
        <v/>
      </c>
      <c r="V126" s="151" t="str">
        <f>AC122</f>
        <v/>
      </c>
      <c r="W126" s="147">
        <v>3.0</v>
      </c>
      <c r="X126" s="152" t="str">
        <f>IFERROR(__xludf.DUMMYFUNCTION("if(U126="""","""",iferror(filter(Schedule!$S:$S&amp;""-""&amp;Schedule!$T:$T,Schedule!$L:$L=U126,(Schedule!$J:$J="""")+(Schedule!$J:$J=V126),(Schedule!$K:$K=""a"")+(Schedule!$K:$K=""""),Schedule!$S:$S&lt;&gt;""""),""""))"),"")</f>
        <v/>
      </c>
      <c r="Y126" s="152" t="str">
        <f>IFERROR(__xludf.DUMMYFUNCTION("if(U126="""","""",iferror(filter(Schedule!$S:$S&amp;""-""&amp;Schedule!$T:$T,Schedule!$L:$L=U126,(Schedule!$J:$J="""")+(Schedule!$J:$J=V126),(Schedule!$K:$K=""b"")+(Schedule!$K:$K=""""),Schedule!$S:$S&lt;&gt;""""),""""))"),"")</f>
        <v/>
      </c>
      <c r="Z126" s="152" t="str">
        <f>IFERROR(__xludf.DUMMYFUNCTION("if(U126="""","""",iferror(filter(Schedule!$Y:$Y&amp;""-""&amp;Schedule!$Z:$Z,Schedule!$L:$L=U126,(Schedule!$J:$J="""")+(Schedule!$J:$J=V126),(Schedule!$K:$K=""a"")+(Schedule!$K:$K=""""),Schedule!$Y:$Y&lt;&gt;""""),""""))"),"")</f>
        <v/>
      </c>
      <c r="AA126" s="152" t="str">
        <f>IFERROR(__xludf.DUMMYFUNCTION("if(U126="""","""",iferror(filter(Schedule!$P:$P&amp;""-""&amp;Schedule!$Q:$Q,Schedule!$L:$L=U126,(Schedule!$J:$J="""")+(Schedule!$J:$J=V126),(Schedule!$K:$K=""b"")+(Schedule!$K:$K=""""),Schedule!$P:$P&lt;&gt;""""),""""))"),"")</f>
        <v/>
      </c>
      <c r="AB126" s="152" t="str">
        <f>if(W122="","","X-Block")</f>
        <v/>
      </c>
      <c r="AC126" s="60"/>
      <c r="AD126" s="155"/>
      <c r="AE126" s="155" t="str">
        <f>AG122</f>
        <v/>
      </c>
      <c r="AF126" s="151" t="str">
        <f>AM122</f>
        <v/>
      </c>
      <c r="AG126" s="147">
        <v>3.0</v>
      </c>
      <c r="AH126" s="152" t="str">
        <f>IFERROR(__xludf.DUMMYFUNCTION("if(AE126="""","""",iferror(filter(Schedule!$S:$S&amp;""-""&amp;Schedule!$T:$T,Schedule!$L:$L=AE126,(Schedule!$J:$J="""")+(Schedule!$J:$J=AF126),(Schedule!$K:$K=""a"")+(Schedule!$K:$K=""""),Schedule!$S:$S&lt;&gt;""""),""""))"),"")</f>
        <v/>
      </c>
      <c r="AI126" s="152" t="str">
        <f>IFERROR(__xludf.DUMMYFUNCTION("if(AE126="""","""",iferror(filter(Schedule!$S:$S&amp;""-""&amp;Schedule!$T:$T,Schedule!$L:$L=AE126,(Schedule!$J:$J="""")+(Schedule!$J:$J=AF126),(Schedule!$K:$K=""b"")+(Schedule!$K:$K=""""),Schedule!$S:$S&lt;&gt;""""),""""))"),"")</f>
        <v/>
      </c>
      <c r="AJ126" s="152" t="str">
        <f>IFERROR(__xludf.DUMMYFUNCTION("if(AE126="""","""",iferror(filter(Schedule!$Y:$Y&amp;""-""&amp;Schedule!$Z:$Z,Schedule!$L:$L=AE126,(Schedule!$J:$J="""")+(Schedule!$J:$J=AF126),(Schedule!$K:$K=""a"")+(Schedule!$K:$K=""""),Schedule!$Y:$Y&lt;&gt;""""),""""))"),"")</f>
        <v/>
      </c>
      <c r="AK126" s="152" t="str">
        <f>IFERROR(__xludf.DUMMYFUNCTION("if(AE126="""","""",iferror(filter(Schedule!$P:$P&amp;""-""&amp;Schedule!$Q:$Q,Schedule!$L:$L=AE126,(Schedule!$J:$J="""")+(Schedule!$J:$J=AF126),(Schedule!$K:$K=""b"")+(Schedule!$K:$K=""""),Schedule!$P:$P&lt;&gt;""""),""""))"),"")</f>
        <v/>
      </c>
      <c r="AL126" s="152" t="str">
        <f>if(AG122="","","X-Block")</f>
        <v/>
      </c>
      <c r="AM126" s="60"/>
    </row>
    <row r="127">
      <c r="A127" s="151" t="str">
        <f>C122</f>
        <v>Mateo</v>
      </c>
      <c r="B127" s="151" t="str">
        <f>I122</f>
        <v>Y</v>
      </c>
      <c r="C127" s="147">
        <v>4.0</v>
      </c>
      <c r="D127" s="152" t="str">
        <f>IFERROR(__xludf.DUMMYFUNCTION("if(A127="""","""",iferror(filter(Schedule!$V:$V&amp;""-""&amp;Schedule!$W:$W,Schedule!$L:$L=A127,(Schedule!$J:$J="""")+(Schedule!$J:$J=B127),(Schedule!$K:$K=""a"")+(Schedule!$K:$K=""""),Schedule!$V:$V&lt;&gt;""""),""""))"),"Math 7-3")</f>
        <v>Math 7-3</v>
      </c>
      <c r="E127" s="152" t="str">
        <f>IFERROR(__xludf.DUMMYFUNCTION("if(A127="""","""",iferror(filter(Schedule!$M:$M&amp;""-""&amp;Schedule!$N:$N,Schedule!$L:$L=A127,(Schedule!$J:$J="""")+(Schedule!$J:$J=B127),(Schedule!$K:$K=""b"")+(Schedule!$K:$K=""""),Schedule!$M:$M&lt;&gt;""""),""""))"),"Math 8-1")</f>
        <v>Math 8-1</v>
      </c>
      <c r="F127" s="152" t="str">
        <f>IFERROR(__xludf.DUMMYFUNCTION("if(A127="""","""",iferror(filter(Schedule!$AB:$AB&amp;""-""&amp;Schedule!$AC:$AC,Schedule!$L:$L=A127,(Schedule!$J:$J="""")+(Schedule!$J:$J=B127),(Schedule!$K:$K=""a"")+(Schedule!$K:$K=""""),Schedule!$AB:$AB&lt;&gt;""""),""""))"),"")</f>
        <v/>
      </c>
      <c r="G127" s="152" t="str">
        <f>IFERROR(__xludf.DUMMYFUNCTION("if(A127="""","""",iferror(filter(Schedule!$S:$S&amp;""-""&amp;Schedule!$T:$T,Schedule!$L:$L=A127,(Schedule!$J:$J="""")+(Schedule!$J:$J=B127),(Schedule!$K:$K=""b"")+(Schedule!$K:$K=""""),Schedule!$S:$S&lt;&gt;""""),""""))"),"")</f>
        <v/>
      </c>
      <c r="H127" s="152" t="str">
        <f>IFERROR(__xludf.DUMMYFUNCTION("if(A127="""","""",iferror(filter(Schedule!$V:$V&amp;""-""&amp;Schedule!$W:$W,Schedule!$L:$L=A127,(Schedule!$J:$J="""")+(Schedule!$J:$J=B127),(Schedule!$K:$K=""b"")+(Schedule!$K:$K=""""),Schedule!$V:$V&lt;&gt;""""),""""))"),"Math 7-3")</f>
        <v>Math 7-3</v>
      </c>
      <c r="I127" s="60"/>
      <c r="J127" s="154"/>
      <c r="K127" s="151" t="str">
        <f>M122</f>
        <v/>
      </c>
      <c r="L127" s="151" t="str">
        <f>S122</f>
        <v/>
      </c>
      <c r="M127" s="147">
        <v>4.0</v>
      </c>
      <c r="N127" s="152" t="str">
        <f>IFERROR(__xludf.DUMMYFUNCTION("if(K127="""","""",iferror(filter(Schedule!$V:$V&amp;""-""&amp;Schedule!$W:$W,Schedule!$L:$L=K127,(Schedule!$J:$J="""")+(Schedule!$J:$J=L127),(Schedule!$K:$K=""a"")+(Schedule!$K:$K=""""),Schedule!$V:$V&lt;&gt;""""),""""))"),"")</f>
        <v/>
      </c>
      <c r="O127" s="152" t="str">
        <f>IFERROR(__xludf.DUMMYFUNCTION("if(K127="""","""",iferror(filter(Schedule!$M:$M&amp;""-""&amp;Schedule!$N:$N,Schedule!$L:$L=K127,(Schedule!$J:$J="""")+(Schedule!$J:$J=L127),(Schedule!$K:$K=""b"")+(Schedule!$K:$K=""""),Schedule!$M:$M&lt;&gt;""""),""""))"),"")</f>
        <v/>
      </c>
      <c r="P127" s="152" t="str">
        <f>IFERROR(__xludf.DUMMYFUNCTION("if(K127="""","""",iferror(filter(Schedule!$AB:$AB&amp;""-""&amp;Schedule!$AC:$AC,Schedule!$L:$L=K127,(Schedule!$J:$J="""")+(Schedule!$J:$J=L127),(Schedule!$K:$K=""a"")+(Schedule!$K:$K=""""),Schedule!$AB:$AB&lt;&gt;""""),""""))"),"")</f>
        <v/>
      </c>
      <c r="Q127" s="152" t="str">
        <f>IFERROR(__xludf.DUMMYFUNCTION("if(K127="""","""",iferror(filter(Schedule!$S:$S&amp;""-""&amp;Schedule!$T:$T,Schedule!$L:$L=K127,(Schedule!$J:$J="""")+(Schedule!$J:$J=L127),(Schedule!$K:$K=""b"")+(Schedule!$K:$K=""""),Schedule!$S:$S&lt;&gt;""""),""""))"),"")</f>
        <v/>
      </c>
      <c r="R127" s="152" t="str">
        <f>IFERROR(__xludf.DUMMYFUNCTION("if(K127="""","""",iferror(filter(Schedule!$V:$V&amp;""-""&amp;Schedule!$W:$W,Schedule!$L:$L=K127,(Schedule!$J:$J="""")+(Schedule!$J:$J=L127),(Schedule!$K:$K=""b"")+(Schedule!$K:$K=""""),Schedule!$V:$V&lt;&gt;""""),""""))"),"")</f>
        <v/>
      </c>
      <c r="S127" s="60"/>
      <c r="T127" s="155"/>
      <c r="U127" s="155" t="str">
        <f>W122</f>
        <v/>
      </c>
      <c r="V127" s="151" t="str">
        <f>AC122</f>
        <v/>
      </c>
      <c r="W127" s="147">
        <v>4.0</v>
      </c>
      <c r="X127" s="152" t="str">
        <f>IFERROR(__xludf.DUMMYFUNCTION("if(U127="""","""",iferror(filter(Schedule!$V:$V&amp;""-""&amp;Schedule!$W:$W,Schedule!$L:$L=U127,(Schedule!$J:$J="""")+(Schedule!$J:$J=V127),(Schedule!$K:$K=""a"")+(Schedule!$K:$K=""""),Schedule!$V:$V&lt;&gt;""""),""""))"),"")</f>
        <v/>
      </c>
      <c r="Y127" s="152" t="str">
        <f>IFERROR(__xludf.DUMMYFUNCTION("if(U127="""","""",iferror(filter(Schedule!$M:$M&amp;""-""&amp;Schedule!$N:$N,Schedule!$L:$L=U127,(Schedule!$J:$J="""")+(Schedule!$J:$J=V127),(Schedule!$K:$K=""b"")+(Schedule!$K:$K=""""),Schedule!$M:$M&lt;&gt;""""),""""))"),"")</f>
        <v/>
      </c>
      <c r="Z127" s="152" t="str">
        <f>IFERROR(__xludf.DUMMYFUNCTION("if(U127="""","""",iferror(filter(Schedule!$AB:$AB&amp;""-""&amp;Schedule!$AC:$AC,Schedule!$L:$L=U127,(Schedule!$J:$J="""")+(Schedule!$J:$J=V127),(Schedule!$K:$K=""a"")+(Schedule!$K:$K=""""),Schedule!$AB:$AB&lt;&gt;""""),""""))"),"")</f>
        <v/>
      </c>
      <c r="AA127" s="152" t="str">
        <f>IFERROR(__xludf.DUMMYFUNCTION("if(U127="""","""",iferror(filter(Schedule!$S:$S&amp;""-""&amp;Schedule!$T:$T,Schedule!$L:$L=U127,(Schedule!$J:$J="""")+(Schedule!$J:$J=V127),(Schedule!$K:$K=""b"")+(Schedule!$K:$K=""""),Schedule!$S:$S&lt;&gt;""""),""""))"),"")</f>
        <v/>
      </c>
      <c r="AB127" s="152" t="str">
        <f>IFERROR(__xludf.DUMMYFUNCTION("if(U127="""","""",iferror(filter(Schedule!$V:$V&amp;""-""&amp;Schedule!$W:$W,Schedule!$L:$L=U127,(Schedule!$J:$J="""")+(Schedule!$J:$J=V127),(Schedule!$K:$K=""b"")+(Schedule!$K:$K=""""),Schedule!$V:$V&lt;&gt;""""),""""))"),"")</f>
        <v/>
      </c>
      <c r="AC127" s="60"/>
      <c r="AD127" s="155"/>
      <c r="AE127" s="155" t="str">
        <f>AG122</f>
        <v/>
      </c>
      <c r="AF127" s="151" t="str">
        <f>AM122</f>
        <v/>
      </c>
      <c r="AG127" s="147">
        <v>4.0</v>
      </c>
      <c r="AH127" s="152" t="str">
        <f>IFERROR(__xludf.DUMMYFUNCTION("if(AE127="""","""",iferror(filter(Schedule!$V:$V&amp;""-""&amp;Schedule!$W:$W,Schedule!$L:$L=AE127,(Schedule!$J:$J="""")+(Schedule!$J:$J=AF127),(Schedule!$K:$K=""a"")+(Schedule!$K:$K=""""),Schedule!$V:$V&lt;&gt;""""),""""))"),"")</f>
        <v/>
      </c>
      <c r="AI127" s="152" t="str">
        <f>IFERROR(__xludf.DUMMYFUNCTION("if(AE127="""","""",iferror(filter(Schedule!$M:$M&amp;""-""&amp;Schedule!$N:$N,Schedule!$L:$L=AE127,(Schedule!$J:$J="""")+(Schedule!$J:$J=AF127),(Schedule!$K:$K=""b"")+(Schedule!$K:$K=""""),Schedule!$M:$M&lt;&gt;""""),""""))"),"")</f>
        <v/>
      </c>
      <c r="AJ127" s="152" t="str">
        <f>IFERROR(__xludf.DUMMYFUNCTION("if(AE127="""","""",iferror(filter(Schedule!$AB:$AB&amp;""-""&amp;Schedule!$AC:$AC,Schedule!$L:$L=AE127,(Schedule!$J:$J="""")+(Schedule!$J:$J=AF127),(Schedule!$K:$K=""a"")+(Schedule!$K:$K=""""),Schedule!$AB:$AB&lt;&gt;""""),""""))"),"")</f>
        <v/>
      </c>
      <c r="AK127" s="152" t="str">
        <f>IFERROR(__xludf.DUMMYFUNCTION("if(AE127="""","""",iferror(filter(Schedule!$S:$S&amp;""-""&amp;Schedule!$T:$T,Schedule!$L:$L=AE127,(Schedule!$J:$J="""")+(Schedule!$J:$J=AF127),(Schedule!$K:$K=""b"")+(Schedule!$K:$K=""""),Schedule!$S:$S&lt;&gt;""""),""""))"),"")</f>
        <v/>
      </c>
      <c r="AL127" s="152" t="str">
        <f>IFERROR(__xludf.DUMMYFUNCTION("if(AE127="""","""",iferror(filter(Schedule!$V:$V&amp;""-""&amp;Schedule!$W:$W,Schedule!$L:$L=AE127,(Schedule!$J:$J="""")+(Schedule!$J:$J=AF127),(Schedule!$K:$K=""b"")+(Schedule!$K:$K=""""),Schedule!$V:$V&lt;&gt;""""),""""))"),"")</f>
        <v/>
      </c>
      <c r="AM127" s="60"/>
    </row>
    <row r="128">
      <c r="A128" s="151" t="str">
        <f>C122</f>
        <v>Mateo</v>
      </c>
      <c r="B128" s="151" t="str">
        <f>I122</f>
        <v>Y</v>
      </c>
      <c r="C128" s="147">
        <v>5.0</v>
      </c>
      <c r="D128" s="152" t="str">
        <f>IFERROR(__xludf.DUMMYFUNCTION("if(A128="""","""",iferror(filter(Schedule!$Y:$Y&amp;""-""&amp;Schedule!$Z:$Z,Schedule!$L:$L=A128,(Schedule!$J:$J="""")+(Schedule!$J:$J=B128),(Schedule!$K:$K=""a"")+(Schedule!$K:$K=""""),Schedule!$Y:$Y&lt;&gt;""""),""""))"),"Math 6A-4")</f>
        <v>Math 6A-4</v>
      </c>
      <c r="E128" s="152" t="str">
        <f>IFERROR(__xludf.DUMMYFUNCTION("if(A128="""","""",iferror(filter(Schedule!$P:$P&amp;""-""&amp;Schedule!$Q:$Q,Schedule!$L:$L=A128,(Schedule!$J:$J="""")+(Schedule!$J:$J=B128),(Schedule!$K:$K=""b"")+(Schedule!$K:$K=""""),Schedule!$P:$P&lt;&gt;""""),""""))"),"")</f>
        <v/>
      </c>
      <c r="F128" s="152" t="str">
        <f>IFERROR(__xludf.DUMMYFUNCTION("if(A128="""","""",iferror(filter(Schedule!$V:$V&amp;""-""&amp;Schedule!$W:$W,Schedule!$L:$L=A128,(Schedule!$J:$J="""")+(Schedule!$J:$J=B128),(Schedule!$K:$K=""b"")+(Schedule!$K:$K=""""),Schedule!$V:$V&lt;&gt;""""),""""))"),"Math 7-3")</f>
        <v>Math 7-3</v>
      </c>
      <c r="G128" s="152" t="str">
        <f>IFERROR(__xludf.DUMMYFUNCTION("if(A128="""","""",iferror(filter(Schedule!$AB:$AB&amp;""-""&amp;Schedule!$AC:$AC,Schedule!$L:$L=A128,(Schedule!$J:$J="""")+(Schedule!$J:$J=B128),(Schedule!$K:$K=""b"")+(Schedule!$K:$K=""""),Schedule!$AB:$AB&lt;&gt;""""),""""))"),"")</f>
        <v/>
      </c>
      <c r="H128" s="152" t="str">
        <f>IFERROR(__xludf.DUMMYFUNCTION("if(A128="""","""",iferror(filter(Schedule!$M:$M&amp;""-""&amp;Schedule!$N:$N,Schedule!$L:$L=A128,(Schedule!$J:$J="""")+(Schedule!$J:$J=B128),(Schedule!$K:$K=""b"")+(Schedule!$K:$K=""""),Schedule!$M:$M&lt;&gt;""""),""""))"),"Math 8-1")</f>
        <v>Math 8-1</v>
      </c>
      <c r="I128" s="64"/>
      <c r="J128" s="154"/>
      <c r="K128" s="151" t="str">
        <f>M122</f>
        <v/>
      </c>
      <c r="L128" s="151" t="str">
        <f>S122</f>
        <v/>
      </c>
      <c r="M128" s="147">
        <v>5.0</v>
      </c>
      <c r="N128" s="152" t="str">
        <f>IFERROR(__xludf.DUMMYFUNCTION("if(K128="""","""",iferror(filter(Schedule!$Y:$Y&amp;""-""&amp;Schedule!$Z:$Z,Schedule!$L:$L=K128,(Schedule!$J:$J="""")+(Schedule!$J:$J=L128),(Schedule!$K:$K=""a"")+(Schedule!$K:$K=""""),Schedule!$Y:$Y&lt;&gt;""""),""""))"),"")</f>
        <v/>
      </c>
      <c r="O128" s="152" t="str">
        <f>IFERROR(__xludf.DUMMYFUNCTION("if(K128="""","""",iferror(filter(Schedule!$P:$P&amp;""-""&amp;Schedule!$Q:$Q,Schedule!$L:$L=K128,(Schedule!$J:$J="""")+(Schedule!$J:$J=L128),(Schedule!$K:$K=""b"")+(Schedule!$K:$K=""""),Schedule!$P:$P&lt;&gt;""""),""""))"),"")</f>
        <v/>
      </c>
      <c r="P128" s="152" t="str">
        <f>IFERROR(__xludf.DUMMYFUNCTION("if(K128="""","""",iferror(filter(Schedule!$V:$V&amp;""-""&amp;Schedule!$W:$W,Schedule!$L:$L=K128,(Schedule!$J:$J="""")+(Schedule!$J:$J=L128),(Schedule!$K:$K=""b"")+(Schedule!$K:$K=""""),Schedule!$V:$V&lt;&gt;""""),""""))"),"")</f>
        <v/>
      </c>
      <c r="Q128" s="152" t="str">
        <f>IFERROR(__xludf.DUMMYFUNCTION("if(K128="""","""",iferror(filter(Schedule!$AB:$AB&amp;""-""&amp;Schedule!$AC:$AC,Schedule!$L:$L=K128,(Schedule!$J:$J="""")+(Schedule!$J:$J=L128),(Schedule!$K:$K=""b"")+(Schedule!$K:$K=""""),Schedule!$AB:$AB&lt;&gt;""""),""""))"),"")</f>
        <v/>
      </c>
      <c r="R128" s="152" t="str">
        <f>IFERROR(__xludf.DUMMYFUNCTION("if(K128="""","""",iferror(filter(Schedule!$M:$M&amp;""-""&amp;Schedule!$N:$N,Schedule!$L:$L=K128,(Schedule!$J:$J="""")+(Schedule!$J:$J=L128),(Schedule!$K:$K=""b"")+(Schedule!$K:$K=""""),Schedule!$M:$M&lt;&gt;""""),""""))"),"")</f>
        <v/>
      </c>
      <c r="S128" s="64"/>
      <c r="T128" s="155"/>
      <c r="U128" s="155" t="str">
        <f>W122</f>
        <v/>
      </c>
      <c r="V128" s="151" t="str">
        <f>AC122</f>
        <v/>
      </c>
      <c r="W128" s="147">
        <v>5.0</v>
      </c>
      <c r="X128" s="152" t="str">
        <f>IFERROR(__xludf.DUMMYFUNCTION("if(U128="""","""",iferror(filter(Schedule!$Y:$Y&amp;""-""&amp;Schedule!$Z:$Z,Schedule!$L:$L=U128,(Schedule!$J:$J="""")+(Schedule!$J:$J=V128),(Schedule!$K:$K=""a"")+(Schedule!$K:$K=""""),Schedule!$Y:$Y&lt;&gt;""""),""""))"),"")</f>
        <v/>
      </c>
      <c r="Y128" s="152" t="str">
        <f>IFERROR(__xludf.DUMMYFUNCTION("if(U128="""","""",iferror(filter(Schedule!$P:$P&amp;""-""&amp;Schedule!$Q:$Q,Schedule!$L:$L=U128,(Schedule!$J:$J="""")+(Schedule!$J:$J=V128),(Schedule!$K:$K=""b"")+(Schedule!$K:$K=""""),Schedule!$P:$P&lt;&gt;""""),""""))"),"")</f>
        <v/>
      </c>
      <c r="Z128" s="152" t="str">
        <f>IFERROR(__xludf.DUMMYFUNCTION("if(U128="""","""",iferror(filter(Schedule!$V:$V&amp;""-""&amp;Schedule!$W:$W,Schedule!$L:$L=U128,(Schedule!$J:$J="""")+(Schedule!$J:$J=V128),(Schedule!$K:$K=""b"")+(Schedule!$K:$K=""""),Schedule!$V:$V&lt;&gt;""""),""""))"),"")</f>
        <v/>
      </c>
      <c r="AA128" s="152" t="str">
        <f>IFERROR(__xludf.DUMMYFUNCTION("if(U128="""","""",iferror(filter(Schedule!$AB:$AB&amp;""-""&amp;Schedule!$AC:$AC,Schedule!$L:$L=U128,(Schedule!$J:$J="""")+(Schedule!$J:$J=V128),(Schedule!$K:$K=""b"")+(Schedule!$K:$K=""""),Schedule!$AB:$AB&lt;&gt;""""),""""))"),"")</f>
        <v/>
      </c>
      <c r="AB128" s="152" t="str">
        <f>IFERROR(__xludf.DUMMYFUNCTION("if(U128="""","""",iferror(filter(Schedule!$M:$M&amp;""-""&amp;Schedule!$N:$N,Schedule!$L:$L=U128,(Schedule!$J:$J="""")+(Schedule!$J:$J=V128),(Schedule!$K:$K=""b"")+(Schedule!$K:$K=""""),Schedule!$M:$M&lt;&gt;""""),""""))"),"")</f>
        <v/>
      </c>
      <c r="AC128" s="64"/>
      <c r="AD128" s="155"/>
      <c r="AE128" s="155" t="str">
        <f>AG122</f>
        <v/>
      </c>
      <c r="AF128" s="151" t="str">
        <f>AM122</f>
        <v/>
      </c>
      <c r="AG128" s="147">
        <v>5.0</v>
      </c>
      <c r="AH128" s="152" t="str">
        <f>IFERROR(__xludf.DUMMYFUNCTION("if(AE128="""","""",iferror(filter(Schedule!$Y:$Y&amp;""-""&amp;Schedule!$Z:$Z,Schedule!$L:$L=AE128,(Schedule!$J:$J="""")+(Schedule!$J:$J=AF128),(Schedule!$K:$K=""a"")+(Schedule!$K:$K=""""),Schedule!$Y:$Y&lt;&gt;""""),""""))"),"")</f>
        <v/>
      </c>
      <c r="AI128" s="152" t="str">
        <f>IFERROR(__xludf.DUMMYFUNCTION("if(AE128="""","""",iferror(filter(Schedule!$P:$P&amp;""-""&amp;Schedule!$Q:$Q,Schedule!$L:$L=AE128,(Schedule!$J:$J="""")+(Schedule!$J:$J=AF128),(Schedule!$K:$K=""b"")+(Schedule!$K:$K=""""),Schedule!$P:$P&lt;&gt;""""),""""))"),"")</f>
        <v/>
      </c>
      <c r="AJ128" s="152" t="str">
        <f>IFERROR(__xludf.DUMMYFUNCTION("if(AE128="""","""",iferror(filter(Schedule!$V:$V&amp;""-""&amp;Schedule!$W:$W,Schedule!$L:$L=AE128,(Schedule!$J:$J="""")+(Schedule!$J:$J=AF128),(Schedule!$K:$K=""b"")+(Schedule!$K:$K=""""),Schedule!$V:$V&lt;&gt;""""),""""))"),"")</f>
        <v/>
      </c>
      <c r="AK128" s="152" t="str">
        <f>IFERROR(__xludf.DUMMYFUNCTION("if(AE128="""","""",iferror(filter(Schedule!$AB:$AB&amp;""-""&amp;Schedule!$AC:$AC,Schedule!$L:$L=AE128,(Schedule!$J:$J="""")+(Schedule!$J:$J=AF128),(Schedule!$K:$K=""b"")+(Schedule!$K:$K=""""),Schedule!$AB:$AB&lt;&gt;""""),""""))"),"")</f>
        <v/>
      </c>
      <c r="AL128" s="152" t="str">
        <f>IFERROR(__xludf.DUMMYFUNCTION("if(AE128="""","""",iferror(filter(Schedule!$M:$M&amp;""-""&amp;Schedule!$N:$N,Schedule!$L:$L=AE128,(Schedule!$J:$J="""")+(Schedule!$J:$J=AF128),(Schedule!$K:$K=""b"")+(Schedule!$K:$K=""""),Schedule!$M:$M&lt;&gt;""""),""""))"),"")</f>
        <v/>
      </c>
      <c r="AM128" s="64"/>
    </row>
    <row r="129">
      <c r="A129" s="11"/>
      <c r="B129" s="11"/>
      <c r="C129" s="156"/>
      <c r="D129" s="156"/>
      <c r="E129" s="156"/>
      <c r="F129" s="156"/>
      <c r="G129" s="156"/>
      <c r="H129" s="156"/>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c r="A130" s="5"/>
      <c r="B130" s="5"/>
      <c r="C130" s="140" t="str">
        <f>Teachers!A17</f>
        <v>Maxine McKinnon</v>
      </c>
      <c r="D130" s="141"/>
      <c r="E130" s="141"/>
      <c r="F130" s="141"/>
      <c r="G130" s="141"/>
      <c r="H130" s="142"/>
      <c r="I130" s="143" t="str">
        <f>IFERROR(__xludf.DUMMYFUNCTION("if(C130="""","""", iferror(unique(filter(Schedule!$J:$J,Schedule!$L:$L=$C130,Schedule!$J:$J=""Q1"")),iferror(unique(filter(Schedule!$J:$J,Schedule!$L:$L=$C130,Schedule!$J:$J=""S1"")),""Y"")))"),"Y")</f>
        <v>Y</v>
      </c>
      <c r="J130" s="11"/>
      <c r="K130" s="11"/>
      <c r="L130" s="11"/>
      <c r="M130" s="140" t="str">
        <f>if(S130="","",C130)</f>
        <v/>
      </c>
      <c r="N130" s="141"/>
      <c r="O130" s="141"/>
      <c r="P130" s="141"/>
      <c r="Q130" s="141"/>
      <c r="R130" s="142"/>
      <c r="S130" s="143" t="str">
        <f>if($I130="Q1","Q2",if($I130="S1","S2",""))</f>
        <v/>
      </c>
      <c r="T130" s="144"/>
      <c r="U130" s="144"/>
      <c r="V130" s="145"/>
      <c r="W130" s="140" t="str">
        <f>if(AC130="","",M130)</f>
        <v/>
      </c>
      <c r="X130" s="141"/>
      <c r="Y130" s="141"/>
      <c r="Z130" s="141"/>
      <c r="AA130" s="141"/>
      <c r="AB130" s="142"/>
      <c r="AC130" s="143" t="str">
        <f>if($I130="Q1","Q3","")</f>
        <v/>
      </c>
      <c r="AD130" s="144"/>
      <c r="AE130" s="144"/>
      <c r="AF130" s="145"/>
      <c r="AG130" s="140" t="str">
        <f>if(AC130="","",W130)</f>
        <v/>
      </c>
      <c r="AH130" s="141"/>
      <c r="AI130" s="141"/>
      <c r="AJ130" s="141"/>
      <c r="AK130" s="141"/>
      <c r="AL130" s="142"/>
      <c r="AM130" s="143" t="str">
        <f>if($I130="Q1","Q4","")</f>
        <v/>
      </c>
    </row>
    <row r="131">
      <c r="A131" s="146"/>
      <c r="B131" s="146"/>
      <c r="C131" s="147" t="s">
        <v>94</v>
      </c>
      <c r="D131" s="148" t="s">
        <v>95</v>
      </c>
      <c r="E131" s="148" t="s">
        <v>96</v>
      </c>
      <c r="F131" s="148" t="s">
        <v>97</v>
      </c>
      <c r="G131" s="148" t="s">
        <v>98</v>
      </c>
      <c r="H131" s="148" t="s">
        <v>99</v>
      </c>
      <c r="I131" s="148" t="s">
        <v>651</v>
      </c>
      <c r="J131" s="146"/>
      <c r="K131" s="146"/>
      <c r="L131" s="146"/>
      <c r="M131" s="147" t="s">
        <v>94</v>
      </c>
      <c r="N131" s="148" t="s">
        <v>95</v>
      </c>
      <c r="O131" s="148" t="s">
        <v>96</v>
      </c>
      <c r="P131" s="148" t="s">
        <v>97</v>
      </c>
      <c r="Q131" s="148" t="s">
        <v>98</v>
      </c>
      <c r="R131" s="148" t="s">
        <v>99</v>
      </c>
      <c r="S131" s="148" t="s">
        <v>651</v>
      </c>
      <c r="T131" s="149"/>
      <c r="U131" s="149"/>
      <c r="V131" s="150"/>
      <c r="W131" s="147" t="s">
        <v>94</v>
      </c>
      <c r="X131" s="148" t="s">
        <v>95</v>
      </c>
      <c r="Y131" s="148" t="s">
        <v>96</v>
      </c>
      <c r="Z131" s="148" t="s">
        <v>97</v>
      </c>
      <c r="AA131" s="148" t="s">
        <v>98</v>
      </c>
      <c r="AB131" s="148" t="s">
        <v>99</v>
      </c>
      <c r="AC131" s="148" t="s">
        <v>651</v>
      </c>
      <c r="AD131" s="149"/>
      <c r="AE131" s="149"/>
      <c r="AF131" s="150"/>
      <c r="AG131" s="147" t="s">
        <v>94</v>
      </c>
      <c r="AH131" s="148" t="s">
        <v>95</v>
      </c>
      <c r="AI131" s="148" t="s">
        <v>96</v>
      </c>
      <c r="AJ131" s="148" t="s">
        <v>97</v>
      </c>
      <c r="AK131" s="148" t="s">
        <v>98</v>
      </c>
      <c r="AL131" s="148" t="s">
        <v>99</v>
      </c>
      <c r="AM131" s="148" t="s">
        <v>651</v>
      </c>
    </row>
    <row r="132">
      <c r="A132" s="151" t="str">
        <f>C130</f>
        <v>Maxine McKinnon</v>
      </c>
      <c r="B132" s="151" t="str">
        <f>I130</f>
        <v>Y</v>
      </c>
      <c r="C132" s="147">
        <v>1.0</v>
      </c>
      <c r="D132" s="152" t="str">
        <f>IFERROR(__xludf.DUMMYFUNCTION("if(A132="""","""",iferror(filter(Schedule!$M:$M&amp;""-""&amp;Schedule!$N:$N,Schedule!$L:$L=A132,(Schedule!$J:$J="""")+(Schedule!$J:$J=B132),(Schedule!$K:$K=""a"")+(Schedule!$K:$K=""""),Schedule!$M:$M&lt;&gt;""""),""""))"),"English 6A-1")</f>
        <v>English 6A-1</v>
      </c>
      <c r="E132" s="152" t="str">
        <f>IFERROR(__xludf.DUMMYFUNCTION("if(A132="""","""",iferror(filter(Schedule!$AB:$AB&amp;""-""&amp;Schedule!$AC:$AC,Schedule!$L:$L=A132,(Schedule!$J:$J="""")+(Schedule!$J:$J=B132),(Schedule!$K:$K=""b"")+(Schedule!$K:$K=""""),Schedule!$AB:$AB&lt;&gt;""""),""""))"),"English 6-6")</f>
        <v>English 6-6</v>
      </c>
      <c r="F132" s="152" t="str">
        <f>IFERROR(__xludf.DUMMYFUNCTION("if(A132="""","""",iferror(filter(Schedule!$S:$S&amp;""-""&amp;Schedule!$T:$T,Schedule!$L:$L=A132,(Schedule!$J:$J="""")+(Schedule!$J:$J=B132),(Schedule!$K:$K=""a"")+(Schedule!$K:$K=""""),Schedule!$S:$S&lt;&gt;""""),""""))"),"English 6-4")</f>
        <v>English 6-4</v>
      </c>
      <c r="G132" s="152" t="str">
        <f>IFERROR(__xludf.DUMMYFUNCTION("if(A132="""","""",iferror(filter(Schedule!$V:$V&amp;""-""&amp;Schedule!$W:$W,Schedule!$L:$L=A132,(Schedule!$J:$J="""")+(Schedule!$J:$J=B132),(Schedule!$K:$K=""a"")+(Schedule!$K:$K=""""),Schedule!$V:$V&lt;&gt;""""),""""))"),"")</f>
        <v/>
      </c>
      <c r="H132" s="152" t="str">
        <f>IFERROR(__xludf.DUMMYFUNCTION("if(A132="""","""",iferror(filter(Schedule!$Y:$Y&amp;""-""&amp;Schedule!$Z:$Z,Schedule!$L:$L=A132,(Schedule!$J:$J="""")+(Schedule!$J:$J=B132),(Schedule!$K:$K=""b"")+(Schedule!$K:$K=""""),Schedule!$Y:$Y&lt;&gt;""""),""""))"),"")</f>
        <v/>
      </c>
      <c r="I132" s="153">
        <f>if(C130="","", 24-countifs(D132:H136,""))</f>
        <v>16</v>
      </c>
      <c r="J132" s="154"/>
      <c r="K132" s="151" t="str">
        <f>M130</f>
        <v/>
      </c>
      <c r="L132" s="151" t="str">
        <f>S130</f>
        <v/>
      </c>
      <c r="M132" s="147">
        <v>1.0</v>
      </c>
      <c r="N132" s="152" t="str">
        <f>IFERROR(__xludf.DUMMYFUNCTION("if(K132="""","""",iferror(filter(Schedule!$M:$M&amp;""-""&amp;Schedule!$N:$N,Schedule!$L:$L=K132,(Schedule!$J:$J="""")+(Schedule!$J:$J=L132),(Schedule!$K:$K=""a"")+(Schedule!$K:$K=""""),Schedule!$M:$M&lt;&gt;""""),""""))"),"")</f>
        <v/>
      </c>
      <c r="O132" s="152" t="str">
        <f>IFERROR(__xludf.DUMMYFUNCTION("if(K132="""","""",iferror(filter(Schedule!$AB:$AB&amp;""-""&amp;Schedule!$AC:$AC,Schedule!$L:$L=K132,(Schedule!$J:$J="""")+(Schedule!$J:$J=L132),(Schedule!$K:$K=""b"")+(Schedule!$K:$K=""""),Schedule!$AB:$AB&lt;&gt;""""),""""))"),"")</f>
        <v/>
      </c>
      <c r="P132" s="152" t="str">
        <f>IFERROR(__xludf.DUMMYFUNCTION("if(K132="""","""",iferror(filter(Schedule!$S:$S&amp;""-""&amp;Schedule!$T:$T,Schedule!$L:$L=K132,(Schedule!$J:$J="""")+(Schedule!$J:$J=L132),(Schedule!$K:$K=""a"")+(Schedule!$K:$K=""""),Schedule!$S:$S&lt;&gt;""""),""""))"),"")</f>
        <v/>
      </c>
      <c r="Q132" s="152" t="str">
        <f>IFERROR(__xludf.DUMMYFUNCTION("if(K132="""","""",iferror(filter(Schedule!$V:$V&amp;""-""&amp;Schedule!$W:$W,Schedule!$L:$L=K132,(Schedule!$J:$J="""")+(Schedule!$J:$J=L132),(Schedule!$K:$K=""a"")+(Schedule!$K:$K=""""),Schedule!$V:$V&lt;&gt;""""),""""))"),"")</f>
        <v/>
      </c>
      <c r="R132" s="152" t="str">
        <f>IFERROR(__xludf.DUMMYFUNCTION("if(K132="""","""",iferror(filter(Schedule!$Y:$Y&amp;""-""&amp;Schedule!$Z:$Z,Schedule!$L:$L=K132,(Schedule!$J:$J="""")+(Schedule!$J:$J=L132),(Schedule!$K:$K=""b"")+(Schedule!$K:$K=""""),Schedule!$Y:$Y&lt;&gt;""""),""""))"),"")</f>
        <v/>
      </c>
      <c r="S132" s="153" t="str">
        <f>if(K132="","", 24-countifs(N132:R136,""))</f>
        <v/>
      </c>
      <c r="T132" s="155"/>
      <c r="U132" s="155" t="str">
        <f>W130</f>
        <v/>
      </c>
      <c r="V132" s="151" t="str">
        <f>AC130</f>
        <v/>
      </c>
      <c r="W132" s="147">
        <v>1.0</v>
      </c>
      <c r="X132" s="152" t="str">
        <f>IFERROR(__xludf.DUMMYFUNCTION("if(U132="""","""",iferror(filter(Schedule!$M:$M&amp;""-""&amp;Schedule!$N:$N,Schedule!$L:$L=U132,(Schedule!$J:$J="""")+(Schedule!$J:$J=V132),(Schedule!$K:$K=""a"")+(Schedule!$K:$K=""""),Schedule!$M:$M&lt;&gt;""""),""""))"),"")</f>
        <v/>
      </c>
      <c r="Y132" s="152" t="str">
        <f>IFERROR(__xludf.DUMMYFUNCTION("if(U132="""","""",iferror(filter(Schedule!$AB:$AB&amp;""-""&amp;Schedule!$AC:$AC,Schedule!$L:$L=U132,(Schedule!$J:$J="""")+(Schedule!$J:$J=V132),(Schedule!$K:$K=""b"")+(Schedule!$K:$K=""""),Schedule!$AB:$AB&lt;&gt;""""),""""))"),"")</f>
        <v/>
      </c>
      <c r="Z132" s="152" t="str">
        <f>IFERROR(__xludf.DUMMYFUNCTION("if(U132="""","""",iferror(filter(Schedule!$S:$S&amp;""-""&amp;Schedule!$T:$T,Schedule!$L:$L=U132,(Schedule!$J:$J="""")+(Schedule!$J:$J=V132),(Schedule!$K:$K=""a"")+(Schedule!$K:$K=""""),Schedule!$S:$S&lt;&gt;""""),""""))"),"")</f>
        <v/>
      </c>
      <c r="AA132" s="152" t="str">
        <f>IFERROR(__xludf.DUMMYFUNCTION("if(U132="""","""",iferror(filter(Schedule!$V:$V&amp;""-""&amp;Schedule!$W:$W,Schedule!$L:$L=U132,(Schedule!$J:$J="""")+(Schedule!$J:$J=V132),(Schedule!$K:$K=""a"")+(Schedule!$K:$K=""""),Schedule!$V:$V&lt;&gt;""""),""""))"),"")</f>
        <v/>
      </c>
      <c r="AB132" s="152" t="str">
        <f>IFERROR(__xludf.DUMMYFUNCTION("if(U132="""","""",iferror(filter(Schedule!$Y:$Y&amp;""-""&amp;Schedule!$Z:$Z,Schedule!$L:$L=U132,(Schedule!$J:$J="""")+(Schedule!$J:$J=V132),(Schedule!$K:$K=""b"")+(Schedule!$K:$K=""""),Schedule!$Y:$Y&lt;&gt;""""),""""))"),"")</f>
        <v/>
      </c>
      <c r="AC132" s="153" t="str">
        <f>if(U132="","", 24-countifs(X132:AB136,""))</f>
        <v/>
      </c>
      <c r="AD132" s="155"/>
      <c r="AE132" s="155" t="str">
        <f>AG130</f>
        <v/>
      </c>
      <c r="AF132" s="151" t="str">
        <f>AM130</f>
        <v/>
      </c>
      <c r="AG132" s="147">
        <v>1.0</v>
      </c>
      <c r="AH132" s="152" t="str">
        <f>IFERROR(__xludf.DUMMYFUNCTION("if(AE132="""","""",iferror(filter(Schedule!$M:$M&amp;""-""&amp;Schedule!$N:$N,Schedule!$L:$L=AE132,(Schedule!$J:$J="""")+(Schedule!$J:$J=AF132),(Schedule!$K:$K=""a"")+(Schedule!$K:$K=""""),Schedule!$M:$M&lt;&gt;""""),""""))"),"")</f>
        <v/>
      </c>
      <c r="AI132" s="152" t="str">
        <f>IFERROR(__xludf.DUMMYFUNCTION("if(AE132="""","""",iferror(filter(Schedule!$AB:$AB&amp;""-""&amp;Schedule!$AC:$AC,Schedule!$L:$L=AE132,(Schedule!$J:$J="""")+(Schedule!$J:$J=AF132),(Schedule!$K:$K=""b"")+(Schedule!$K:$K=""""),Schedule!$AB:$AB&lt;&gt;""""),""""))"),"")</f>
        <v/>
      </c>
      <c r="AJ132" s="152" t="str">
        <f>IFERROR(__xludf.DUMMYFUNCTION("if(AE132="""","""",iferror(filter(Schedule!$S:$S&amp;""-""&amp;Schedule!$T:$T,Schedule!$L:$L=AE132,(Schedule!$J:$J="""")+(Schedule!$J:$J=AF132),(Schedule!$K:$K=""a"")+(Schedule!$K:$K=""""),Schedule!$S:$S&lt;&gt;""""),""""))"),"")</f>
        <v/>
      </c>
      <c r="AK132" s="152" t="str">
        <f>IFERROR(__xludf.DUMMYFUNCTION("if(AE132="""","""",iferror(filter(Schedule!$V:$V&amp;""-""&amp;Schedule!$W:$W,Schedule!$L:$L=AE132,(Schedule!$J:$J="""")+(Schedule!$J:$J=AF132),(Schedule!$K:$K=""a"")+(Schedule!$K:$K=""""),Schedule!$V:$V&lt;&gt;""""),""""))"),"")</f>
        <v/>
      </c>
      <c r="AL132" s="152" t="str">
        <f>IFERROR(__xludf.DUMMYFUNCTION("if(AE132="""","""",iferror(filter(Schedule!$Y:$Y&amp;""-""&amp;Schedule!$Z:$Z,Schedule!$L:$L=AE132,(Schedule!$J:$J="""")+(Schedule!$J:$J=AF132),(Schedule!$K:$K=""b"")+(Schedule!$K:$K=""""),Schedule!$Y:$Y&lt;&gt;""""),""""))"),"")</f>
        <v/>
      </c>
      <c r="AM132" s="153" t="str">
        <f>if(AE132="","", 24-countifs(AH132:AL136,""))</f>
        <v/>
      </c>
    </row>
    <row r="133">
      <c r="A133" s="151" t="str">
        <f>C130</f>
        <v>Maxine McKinnon</v>
      </c>
      <c r="B133" s="151" t="str">
        <f>I130</f>
        <v>Y</v>
      </c>
      <c r="C133" s="147">
        <v>2.0</v>
      </c>
      <c r="D133" s="152" t="str">
        <f>IFERROR(__xludf.DUMMYFUNCTION("if(A133="""","""",iferror(filter(Schedule!$P:$P&amp;""-""&amp;Schedule!$Q:$Q,Schedule!$L:$L=A133,(Schedule!$J:$J="""")+(Schedule!$J:$J=B133),(Schedule!$K:$K=""a"")+(Schedule!$K:$K=""""),Schedule!$P:$P&lt;&gt;""""),""""))"),"English 6-3")</f>
        <v>English 6-3</v>
      </c>
      <c r="E133" s="152" t="str">
        <f>IFERROR(__xludf.DUMMYFUNCTION("if(A133="""","""",iferror(filter(Schedule!$Y:$Y&amp;""-""&amp;Schedule!$Z:$Z,Schedule!$L:$L=A133,(Schedule!$J:$J="""")+(Schedule!$J:$J=B133),(Schedule!$K:$K=""b"")+(Schedule!$K:$K=""""),Schedule!$Y:$Y&lt;&gt;""""),""""))"),"")</f>
        <v/>
      </c>
      <c r="F133" s="152" t="str">
        <f>IFERROR(__xludf.DUMMYFUNCTION("if(A133="""","""",iferror(filter(Schedule!$P:$P&amp;""-""&amp;Schedule!$Q:$Q,Schedule!$L:$L=A133,(Schedule!$J:$J="""")+(Schedule!$J:$J=B133),(Schedule!$K:$K=""a"")+(Schedule!$K:$K=""""),Schedule!$P:$P&lt;&gt;""""),""""))"),"English 6-3")</f>
        <v>English 6-3</v>
      </c>
      <c r="G133" s="152" t="str">
        <f>IFERROR(__xludf.DUMMYFUNCTION("if(A133="""","""",iferror(filter(Schedule!$M:$M&amp;""-""&amp;Schedule!$N:$N,Schedule!$L:$L=A133,(Schedule!$J:$J="""")+(Schedule!$J:$J=B133),(Schedule!$K:$K=""a"")+(Schedule!$K:$K=""""),Schedule!$M:$M&lt;&gt;""""),""""))"),"English 6A-1")</f>
        <v>English 6A-1</v>
      </c>
      <c r="H133" s="152" t="str">
        <f>IFERROR(__xludf.DUMMYFUNCTION("if(A133="""","""",iferror(filter(Schedule!$AB:$AB&amp;""-""&amp;Schedule!$AC:$AC,Schedule!$L:$L=A133,(Schedule!$J:$J="""")+(Schedule!$J:$J=B133),(Schedule!$K:$K=""a"")+(Schedule!$K:$K=""""),Schedule!$AB:$AB&lt;&gt;""""),""""))"),"English 6-6")</f>
        <v>English 6-6</v>
      </c>
      <c r="I133" s="60"/>
      <c r="J133" s="154"/>
      <c r="K133" s="151" t="str">
        <f>M130</f>
        <v/>
      </c>
      <c r="L133" s="151" t="str">
        <f>S130</f>
        <v/>
      </c>
      <c r="M133" s="147">
        <v>2.0</v>
      </c>
      <c r="N133" s="152" t="str">
        <f>IFERROR(__xludf.DUMMYFUNCTION("if(K133="""","""",iferror(filter(Schedule!$P:$P&amp;""-""&amp;Schedule!$Q:$Q,Schedule!$L:$L=K133,(Schedule!$J:$J="""")+(Schedule!$J:$J=L133),(Schedule!$K:$K=""a"")+(Schedule!$K:$K=""""),Schedule!$P:$P&lt;&gt;""""),""""))"),"")</f>
        <v/>
      </c>
      <c r="O133" s="152" t="str">
        <f>IFERROR(__xludf.DUMMYFUNCTION("if(K133="""","""",iferror(filter(Schedule!$Y:$Y&amp;""-""&amp;Schedule!$Z:$Z,Schedule!$L:$L=K133,(Schedule!$J:$J="""")+(Schedule!$J:$J=L133),(Schedule!$K:$K=""b"")+(Schedule!$K:$K=""""),Schedule!$Y:$Y&lt;&gt;""""),""""))"),"")</f>
        <v/>
      </c>
      <c r="P133" s="152" t="str">
        <f>IFERROR(__xludf.DUMMYFUNCTION("if(K133="""","""",iferror(filter(Schedule!$P:$P&amp;""-""&amp;Schedule!$Q:$Q,Schedule!$L:$L=K133,(Schedule!$J:$J="""")+(Schedule!$J:$J=L133),(Schedule!$K:$K=""a"")+(Schedule!$K:$K=""""),Schedule!$P:$P&lt;&gt;""""),""""))"),"")</f>
        <v/>
      </c>
      <c r="Q133" s="152" t="str">
        <f>IFERROR(__xludf.DUMMYFUNCTION("if(K133="""","""",iferror(filter(Schedule!$M:$M&amp;""-""&amp;Schedule!$N:$N,Schedule!$L:$L=K133,(Schedule!$J:$J="""")+(Schedule!$J:$J=L133),(Schedule!$K:$K=""a"")+(Schedule!$K:$K=""""),Schedule!$M:$M&lt;&gt;""""),""""))"),"")</f>
        <v/>
      </c>
      <c r="R133" s="152" t="str">
        <f>IFERROR(__xludf.DUMMYFUNCTION("if(K133="""","""",iferror(filter(Schedule!$AB:$AB&amp;""-""&amp;Schedule!$AC:$AC,Schedule!$L:$L=K133,(Schedule!$J:$J="""")+(Schedule!$J:$J=L133),(Schedule!$K:$K=""a"")+(Schedule!$K:$K=""""),Schedule!$AB:$AB&lt;&gt;""""),""""))"),"")</f>
        <v/>
      </c>
      <c r="S133" s="60"/>
      <c r="T133" s="155"/>
      <c r="U133" s="155" t="str">
        <f>W130</f>
        <v/>
      </c>
      <c r="V133" s="151" t="str">
        <f>AC130</f>
        <v/>
      </c>
      <c r="W133" s="147">
        <v>2.0</v>
      </c>
      <c r="X133" s="152" t="str">
        <f>IFERROR(__xludf.DUMMYFUNCTION("if(U133="""","""",iferror(filter(Schedule!$P:$P&amp;""-""&amp;Schedule!$Q:$Q,Schedule!$L:$L=U133,(Schedule!$J:$J="""")+(Schedule!$J:$J=V133),(Schedule!$K:$K=""a"")+(Schedule!$K:$K=""""),Schedule!$P:$P&lt;&gt;""""),""""))"),"")</f>
        <v/>
      </c>
      <c r="Y133" s="152" t="str">
        <f>IFERROR(__xludf.DUMMYFUNCTION("if(U133="""","""",iferror(filter(Schedule!$Y:$Y&amp;""-""&amp;Schedule!$Z:$Z,Schedule!$L:$L=U133,(Schedule!$J:$J="""")+(Schedule!$J:$J=V133),(Schedule!$K:$K=""b"")+(Schedule!$K:$K=""""),Schedule!$Y:$Y&lt;&gt;""""),""""))"),"")</f>
        <v/>
      </c>
      <c r="Z133" s="152" t="str">
        <f>IFERROR(__xludf.DUMMYFUNCTION("if(U133="""","""",iferror(filter(Schedule!$P:$P&amp;""-""&amp;Schedule!$Q:$Q,Schedule!$L:$L=U133,(Schedule!$J:$J="""")+(Schedule!$J:$J=V133),(Schedule!$K:$K=""a"")+(Schedule!$K:$K=""""),Schedule!$P:$P&lt;&gt;""""),""""))"),"")</f>
        <v/>
      </c>
      <c r="AA133" s="152" t="str">
        <f>IFERROR(__xludf.DUMMYFUNCTION("if(U133="""","""",iferror(filter(Schedule!$M:$M&amp;""-""&amp;Schedule!$N:$N,Schedule!$L:$L=U133,(Schedule!$J:$J="""")+(Schedule!$J:$J=V133),(Schedule!$K:$K=""a"")+(Schedule!$K:$K=""""),Schedule!$M:$M&lt;&gt;""""),""""))"),"")</f>
        <v/>
      </c>
      <c r="AB133" s="152" t="str">
        <f>IFERROR(__xludf.DUMMYFUNCTION("if(U133="""","""",iferror(filter(Schedule!$AB:$AB&amp;""-""&amp;Schedule!$AC:$AC,Schedule!$L:$L=U133,(Schedule!$J:$J="""")+(Schedule!$J:$J=V133),(Schedule!$K:$K=""a"")+(Schedule!$K:$K=""""),Schedule!$AB:$AB&lt;&gt;""""),""""))"),"")</f>
        <v/>
      </c>
      <c r="AC133" s="60"/>
      <c r="AD133" s="155"/>
      <c r="AE133" s="155" t="str">
        <f>AG130</f>
        <v/>
      </c>
      <c r="AF133" s="151" t="str">
        <f>AM130</f>
        <v/>
      </c>
      <c r="AG133" s="147">
        <v>2.0</v>
      </c>
      <c r="AH133" s="152" t="str">
        <f>IFERROR(__xludf.DUMMYFUNCTION("if(AE133="""","""",iferror(filter(Schedule!$P:$P&amp;""-""&amp;Schedule!$Q:$Q,Schedule!$L:$L=AE133,(Schedule!$J:$J="""")+(Schedule!$J:$J=AF133),(Schedule!$K:$K=""a"")+(Schedule!$K:$K=""""),Schedule!$P:$P&lt;&gt;""""),""""))"),"")</f>
        <v/>
      </c>
      <c r="AI133" s="152" t="str">
        <f>IFERROR(__xludf.DUMMYFUNCTION("if(AE133="""","""",iferror(filter(Schedule!$Y:$Y&amp;""-""&amp;Schedule!$Z:$Z,Schedule!$L:$L=AE133,(Schedule!$J:$J="""")+(Schedule!$J:$J=AF133),(Schedule!$K:$K=""b"")+(Schedule!$K:$K=""""),Schedule!$Y:$Y&lt;&gt;""""),""""))"),"")</f>
        <v/>
      </c>
      <c r="AJ133" s="152" t="str">
        <f>IFERROR(__xludf.DUMMYFUNCTION("if(AE133="""","""",iferror(filter(Schedule!$P:$P&amp;""-""&amp;Schedule!$Q:$Q,Schedule!$L:$L=AE133,(Schedule!$J:$J="""")+(Schedule!$J:$J=AF133),(Schedule!$K:$K=""a"")+(Schedule!$K:$K=""""),Schedule!$P:$P&lt;&gt;""""),""""))"),"")</f>
        <v/>
      </c>
      <c r="AK133" s="152" t="str">
        <f>IFERROR(__xludf.DUMMYFUNCTION("if(AE133="""","""",iferror(filter(Schedule!$M:$M&amp;""-""&amp;Schedule!$N:$N,Schedule!$L:$L=AE133,(Schedule!$J:$J="""")+(Schedule!$J:$J=AF133),(Schedule!$K:$K=""a"")+(Schedule!$K:$K=""""),Schedule!$M:$M&lt;&gt;""""),""""))"),"")</f>
        <v/>
      </c>
      <c r="AL133" s="152" t="str">
        <f>IFERROR(__xludf.DUMMYFUNCTION("if(AE133="""","""",iferror(filter(Schedule!$AB:$AB&amp;""-""&amp;Schedule!$AC:$AC,Schedule!$L:$L=AE133,(Schedule!$J:$J="""")+(Schedule!$J:$J=AF133),(Schedule!$K:$K=""a"")+(Schedule!$K:$K=""""),Schedule!$AB:$AB&lt;&gt;""""),""""))"),"")</f>
        <v/>
      </c>
      <c r="AM133" s="60"/>
    </row>
    <row r="134">
      <c r="A134" s="151" t="str">
        <f>C130</f>
        <v>Maxine McKinnon</v>
      </c>
      <c r="B134" s="151" t="str">
        <f>I130</f>
        <v>Y</v>
      </c>
      <c r="C134" s="147">
        <v>3.0</v>
      </c>
      <c r="D134" s="152" t="str">
        <f>IFERROR(__xludf.DUMMYFUNCTION("if(A134="""","""",iferror(filter(Schedule!$S:$S&amp;""-""&amp;Schedule!$T:$T,Schedule!$L:$L=A134,(Schedule!$J:$J="""")+(Schedule!$J:$J=B134),(Schedule!$K:$K=""a"")+(Schedule!$K:$K=""""),Schedule!$S:$S&lt;&gt;""""),""""))"),"English 6-4")</f>
        <v>English 6-4</v>
      </c>
      <c r="E134" s="152" t="str">
        <f>IFERROR(__xludf.DUMMYFUNCTION("if(A134="""","""",iferror(filter(Schedule!$S:$S&amp;""-""&amp;Schedule!$T:$T,Schedule!$L:$L=A134,(Schedule!$J:$J="""")+(Schedule!$J:$J=B134),(Schedule!$K:$K=""b"")+(Schedule!$K:$K=""""),Schedule!$S:$S&lt;&gt;""""),""""))"),"English 6-4")</f>
        <v>English 6-4</v>
      </c>
      <c r="F134" s="152" t="str">
        <f>IFERROR(__xludf.DUMMYFUNCTION("if(A134="""","""",iferror(filter(Schedule!$Y:$Y&amp;""-""&amp;Schedule!$Z:$Z,Schedule!$L:$L=A134,(Schedule!$J:$J="""")+(Schedule!$J:$J=B134),(Schedule!$K:$K=""a"")+(Schedule!$K:$K=""""),Schedule!$Y:$Y&lt;&gt;""""),""""))"),"")</f>
        <v/>
      </c>
      <c r="G134" s="152" t="str">
        <f>IFERROR(__xludf.DUMMYFUNCTION("if(A134="""","""",iferror(filter(Schedule!$P:$P&amp;""-""&amp;Schedule!$Q:$Q,Schedule!$L:$L=A134,(Schedule!$J:$J="""")+(Schedule!$J:$J=B134),(Schedule!$K:$K=""b"")+(Schedule!$K:$K=""""),Schedule!$P:$P&lt;&gt;""""),""""))"),"English 6-3")</f>
        <v>English 6-3</v>
      </c>
      <c r="H134" s="152" t="str">
        <f>if(C130="","","X-Block")</f>
        <v>X-Block</v>
      </c>
      <c r="I134" s="60"/>
      <c r="J134" s="154"/>
      <c r="K134" s="151" t="str">
        <f>M130</f>
        <v/>
      </c>
      <c r="L134" s="151" t="str">
        <f>S130</f>
        <v/>
      </c>
      <c r="M134" s="147">
        <v>3.0</v>
      </c>
      <c r="N134" s="152" t="str">
        <f>IFERROR(__xludf.DUMMYFUNCTION("if(K134="""","""",iferror(filter(Schedule!$S:$S&amp;""-""&amp;Schedule!$T:$T,Schedule!$L:$L=K134,(Schedule!$J:$J="""")+(Schedule!$J:$J=L134),(Schedule!$K:$K=""a"")+(Schedule!$K:$K=""""),Schedule!$S:$S&lt;&gt;""""),""""))"),"")</f>
        <v/>
      </c>
      <c r="O134" s="152" t="str">
        <f>IFERROR(__xludf.DUMMYFUNCTION("if(K134="""","""",iferror(filter(Schedule!$S:$S&amp;""-""&amp;Schedule!$T:$T,Schedule!$L:$L=K134,(Schedule!$J:$J="""")+(Schedule!$J:$J=L134),(Schedule!$K:$K=""b"")+(Schedule!$K:$K=""""),Schedule!$S:$S&lt;&gt;""""),""""))"),"")</f>
        <v/>
      </c>
      <c r="P134" s="152" t="str">
        <f>IFERROR(__xludf.DUMMYFUNCTION("if(K134="""","""",iferror(filter(Schedule!$Y:$Y&amp;""-""&amp;Schedule!$Z:$Z,Schedule!$L:$L=K134,(Schedule!$J:$J="""")+(Schedule!$J:$J=L134),(Schedule!$K:$K=""a"")+(Schedule!$K:$K=""""),Schedule!$Y:$Y&lt;&gt;""""),""""))"),"")</f>
        <v/>
      </c>
      <c r="Q134" s="152" t="str">
        <f>IFERROR(__xludf.DUMMYFUNCTION("if(K134="""","""",iferror(filter(Schedule!$P:$P&amp;""-""&amp;Schedule!$Q:$Q,Schedule!$L:$L=K134,(Schedule!$J:$J="""")+(Schedule!$J:$J=L134),(Schedule!$K:$K=""b"")+(Schedule!$K:$K=""""),Schedule!$P:$P&lt;&gt;""""),""""))"),"")</f>
        <v/>
      </c>
      <c r="R134" s="152" t="str">
        <f>if(M130="","","X-Block")</f>
        <v/>
      </c>
      <c r="S134" s="60"/>
      <c r="T134" s="155"/>
      <c r="U134" s="155" t="str">
        <f>W130</f>
        <v/>
      </c>
      <c r="V134" s="151" t="str">
        <f>AC130</f>
        <v/>
      </c>
      <c r="W134" s="147">
        <v>3.0</v>
      </c>
      <c r="X134" s="152" t="str">
        <f>IFERROR(__xludf.DUMMYFUNCTION("if(U134="""","""",iferror(filter(Schedule!$S:$S&amp;""-""&amp;Schedule!$T:$T,Schedule!$L:$L=U134,(Schedule!$J:$J="""")+(Schedule!$J:$J=V134),(Schedule!$K:$K=""a"")+(Schedule!$K:$K=""""),Schedule!$S:$S&lt;&gt;""""),""""))"),"")</f>
        <v/>
      </c>
      <c r="Y134" s="152" t="str">
        <f>IFERROR(__xludf.DUMMYFUNCTION("if(U134="""","""",iferror(filter(Schedule!$S:$S&amp;""-""&amp;Schedule!$T:$T,Schedule!$L:$L=U134,(Schedule!$J:$J="""")+(Schedule!$J:$J=V134),(Schedule!$K:$K=""b"")+(Schedule!$K:$K=""""),Schedule!$S:$S&lt;&gt;""""),""""))"),"")</f>
        <v/>
      </c>
      <c r="Z134" s="152" t="str">
        <f>IFERROR(__xludf.DUMMYFUNCTION("if(U134="""","""",iferror(filter(Schedule!$Y:$Y&amp;""-""&amp;Schedule!$Z:$Z,Schedule!$L:$L=U134,(Schedule!$J:$J="""")+(Schedule!$J:$J=V134),(Schedule!$K:$K=""a"")+(Schedule!$K:$K=""""),Schedule!$Y:$Y&lt;&gt;""""),""""))"),"")</f>
        <v/>
      </c>
      <c r="AA134" s="152" t="str">
        <f>IFERROR(__xludf.DUMMYFUNCTION("if(U134="""","""",iferror(filter(Schedule!$P:$P&amp;""-""&amp;Schedule!$Q:$Q,Schedule!$L:$L=U134,(Schedule!$J:$J="""")+(Schedule!$J:$J=V134),(Schedule!$K:$K=""b"")+(Schedule!$K:$K=""""),Schedule!$P:$P&lt;&gt;""""),""""))"),"")</f>
        <v/>
      </c>
      <c r="AB134" s="152" t="str">
        <f>if(W130="","","X-Block")</f>
        <v/>
      </c>
      <c r="AC134" s="60"/>
      <c r="AD134" s="155"/>
      <c r="AE134" s="155" t="str">
        <f>AG130</f>
        <v/>
      </c>
      <c r="AF134" s="151" t="str">
        <f>AM130</f>
        <v/>
      </c>
      <c r="AG134" s="147">
        <v>3.0</v>
      </c>
      <c r="AH134" s="152" t="str">
        <f>IFERROR(__xludf.DUMMYFUNCTION("if(AE134="""","""",iferror(filter(Schedule!$S:$S&amp;""-""&amp;Schedule!$T:$T,Schedule!$L:$L=AE134,(Schedule!$J:$J="""")+(Schedule!$J:$J=AF134),(Schedule!$K:$K=""a"")+(Schedule!$K:$K=""""),Schedule!$S:$S&lt;&gt;""""),""""))"),"")</f>
        <v/>
      </c>
      <c r="AI134" s="152" t="str">
        <f>IFERROR(__xludf.DUMMYFUNCTION("if(AE134="""","""",iferror(filter(Schedule!$S:$S&amp;""-""&amp;Schedule!$T:$T,Schedule!$L:$L=AE134,(Schedule!$J:$J="""")+(Schedule!$J:$J=AF134),(Schedule!$K:$K=""b"")+(Schedule!$K:$K=""""),Schedule!$S:$S&lt;&gt;""""),""""))"),"")</f>
        <v/>
      </c>
      <c r="AJ134" s="152" t="str">
        <f>IFERROR(__xludf.DUMMYFUNCTION("if(AE134="""","""",iferror(filter(Schedule!$Y:$Y&amp;""-""&amp;Schedule!$Z:$Z,Schedule!$L:$L=AE134,(Schedule!$J:$J="""")+(Schedule!$J:$J=AF134),(Schedule!$K:$K=""a"")+(Schedule!$K:$K=""""),Schedule!$Y:$Y&lt;&gt;""""),""""))"),"")</f>
        <v/>
      </c>
      <c r="AK134" s="152" t="str">
        <f>IFERROR(__xludf.DUMMYFUNCTION("if(AE134="""","""",iferror(filter(Schedule!$P:$P&amp;""-""&amp;Schedule!$Q:$Q,Schedule!$L:$L=AE134,(Schedule!$J:$J="""")+(Schedule!$J:$J=AF134),(Schedule!$K:$K=""b"")+(Schedule!$K:$K=""""),Schedule!$P:$P&lt;&gt;""""),""""))"),"")</f>
        <v/>
      </c>
      <c r="AL134" s="152" t="str">
        <f>if(AG130="","","X-Block")</f>
        <v/>
      </c>
      <c r="AM134" s="60"/>
    </row>
    <row r="135">
      <c r="A135" s="151" t="str">
        <f>C130</f>
        <v>Maxine McKinnon</v>
      </c>
      <c r="B135" s="151" t="str">
        <f>I130</f>
        <v>Y</v>
      </c>
      <c r="C135" s="147">
        <v>4.0</v>
      </c>
      <c r="D135" s="152" t="str">
        <f>IFERROR(__xludf.DUMMYFUNCTION("if(A135="""","""",iferror(filter(Schedule!$V:$V&amp;""-""&amp;Schedule!$W:$W,Schedule!$L:$L=A135,(Schedule!$J:$J="""")+(Schedule!$J:$J=B135),(Schedule!$K:$K=""a"")+(Schedule!$K:$K=""""),Schedule!$V:$V&lt;&gt;""""),""""))"),"")</f>
        <v/>
      </c>
      <c r="E135" s="152" t="str">
        <f>IFERROR(__xludf.DUMMYFUNCTION("if(A135="""","""",iferror(filter(Schedule!$M:$M&amp;""-""&amp;Schedule!$N:$N,Schedule!$L:$L=A135,(Schedule!$J:$J="""")+(Schedule!$J:$J=B135),(Schedule!$K:$K=""b"")+(Schedule!$K:$K=""""),Schedule!$M:$M&lt;&gt;""""),""""))"),"English 6A-1")</f>
        <v>English 6A-1</v>
      </c>
      <c r="F135" s="152" t="str">
        <f>IFERROR(__xludf.DUMMYFUNCTION("if(A135="""","""",iferror(filter(Schedule!$AB:$AB&amp;""-""&amp;Schedule!$AC:$AC,Schedule!$L:$L=A135,(Schedule!$J:$J="""")+(Schedule!$J:$J=B135),(Schedule!$K:$K=""a"")+(Schedule!$K:$K=""""),Schedule!$AB:$AB&lt;&gt;""""),""""))"),"English 6-6")</f>
        <v>English 6-6</v>
      </c>
      <c r="G135" s="152" t="str">
        <f>IFERROR(__xludf.DUMMYFUNCTION("if(A135="""","""",iferror(filter(Schedule!$S:$S&amp;""-""&amp;Schedule!$T:$T,Schedule!$L:$L=A135,(Schedule!$J:$J="""")+(Schedule!$J:$J=B135),(Schedule!$K:$K=""b"")+(Schedule!$K:$K=""""),Schedule!$S:$S&lt;&gt;""""),""""))"),"English 6-4")</f>
        <v>English 6-4</v>
      </c>
      <c r="H135" s="152" t="str">
        <f>IFERROR(__xludf.DUMMYFUNCTION("if(A135="""","""",iferror(filter(Schedule!$V:$V&amp;""-""&amp;Schedule!$W:$W,Schedule!$L:$L=A135,(Schedule!$J:$J="""")+(Schedule!$J:$J=B135),(Schedule!$K:$K=""b"")+(Schedule!$K:$K=""""),Schedule!$V:$V&lt;&gt;""""),""""))"),"")</f>
        <v/>
      </c>
      <c r="I135" s="60"/>
      <c r="J135" s="154"/>
      <c r="K135" s="151" t="str">
        <f>M130</f>
        <v/>
      </c>
      <c r="L135" s="151" t="str">
        <f>S130</f>
        <v/>
      </c>
      <c r="M135" s="147">
        <v>4.0</v>
      </c>
      <c r="N135" s="152" t="str">
        <f>IFERROR(__xludf.DUMMYFUNCTION("if(K135="""","""",iferror(filter(Schedule!$V:$V&amp;""-""&amp;Schedule!$W:$W,Schedule!$L:$L=K135,(Schedule!$J:$J="""")+(Schedule!$J:$J=L135),(Schedule!$K:$K=""a"")+(Schedule!$K:$K=""""),Schedule!$V:$V&lt;&gt;""""),""""))"),"")</f>
        <v/>
      </c>
      <c r="O135" s="152" t="str">
        <f>IFERROR(__xludf.DUMMYFUNCTION("if(K135="""","""",iferror(filter(Schedule!$M:$M&amp;""-""&amp;Schedule!$N:$N,Schedule!$L:$L=K135,(Schedule!$J:$J="""")+(Schedule!$J:$J=L135),(Schedule!$K:$K=""b"")+(Schedule!$K:$K=""""),Schedule!$M:$M&lt;&gt;""""),""""))"),"")</f>
        <v/>
      </c>
      <c r="P135" s="152" t="str">
        <f>IFERROR(__xludf.DUMMYFUNCTION("if(K135="""","""",iferror(filter(Schedule!$AB:$AB&amp;""-""&amp;Schedule!$AC:$AC,Schedule!$L:$L=K135,(Schedule!$J:$J="""")+(Schedule!$J:$J=L135),(Schedule!$K:$K=""a"")+(Schedule!$K:$K=""""),Schedule!$AB:$AB&lt;&gt;""""),""""))"),"")</f>
        <v/>
      </c>
      <c r="Q135" s="152" t="str">
        <f>IFERROR(__xludf.DUMMYFUNCTION("if(K135="""","""",iferror(filter(Schedule!$S:$S&amp;""-""&amp;Schedule!$T:$T,Schedule!$L:$L=K135,(Schedule!$J:$J="""")+(Schedule!$J:$J=L135),(Schedule!$K:$K=""b"")+(Schedule!$K:$K=""""),Schedule!$S:$S&lt;&gt;""""),""""))"),"")</f>
        <v/>
      </c>
      <c r="R135" s="152" t="str">
        <f>IFERROR(__xludf.DUMMYFUNCTION("if(K135="""","""",iferror(filter(Schedule!$V:$V&amp;""-""&amp;Schedule!$W:$W,Schedule!$L:$L=K135,(Schedule!$J:$J="""")+(Schedule!$J:$J=L135),(Schedule!$K:$K=""b"")+(Schedule!$K:$K=""""),Schedule!$V:$V&lt;&gt;""""),""""))"),"")</f>
        <v/>
      </c>
      <c r="S135" s="60"/>
      <c r="T135" s="155"/>
      <c r="U135" s="155" t="str">
        <f>W130</f>
        <v/>
      </c>
      <c r="V135" s="151" t="str">
        <f>AC130</f>
        <v/>
      </c>
      <c r="W135" s="147">
        <v>4.0</v>
      </c>
      <c r="X135" s="152" t="str">
        <f>IFERROR(__xludf.DUMMYFUNCTION("if(U135="""","""",iferror(filter(Schedule!$V:$V&amp;""-""&amp;Schedule!$W:$W,Schedule!$L:$L=U135,(Schedule!$J:$J="""")+(Schedule!$J:$J=V135),(Schedule!$K:$K=""a"")+(Schedule!$K:$K=""""),Schedule!$V:$V&lt;&gt;""""),""""))"),"")</f>
        <v/>
      </c>
      <c r="Y135" s="152" t="str">
        <f>IFERROR(__xludf.DUMMYFUNCTION("if(U135="""","""",iferror(filter(Schedule!$M:$M&amp;""-""&amp;Schedule!$N:$N,Schedule!$L:$L=U135,(Schedule!$J:$J="""")+(Schedule!$J:$J=V135),(Schedule!$K:$K=""b"")+(Schedule!$K:$K=""""),Schedule!$M:$M&lt;&gt;""""),""""))"),"")</f>
        <v/>
      </c>
      <c r="Z135" s="152" t="str">
        <f>IFERROR(__xludf.DUMMYFUNCTION("if(U135="""","""",iferror(filter(Schedule!$AB:$AB&amp;""-""&amp;Schedule!$AC:$AC,Schedule!$L:$L=U135,(Schedule!$J:$J="""")+(Schedule!$J:$J=V135),(Schedule!$K:$K=""a"")+(Schedule!$K:$K=""""),Schedule!$AB:$AB&lt;&gt;""""),""""))"),"")</f>
        <v/>
      </c>
      <c r="AA135" s="152" t="str">
        <f>IFERROR(__xludf.DUMMYFUNCTION("if(U135="""","""",iferror(filter(Schedule!$S:$S&amp;""-""&amp;Schedule!$T:$T,Schedule!$L:$L=U135,(Schedule!$J:$J="""")+(Schedule!$J:$J=V135),(Schedule!$K:$K=""b"")+(Schedule!$K:$K=""""),Schedule!$S:$S&lt;&gt;""""),""""))"),"")</f>
        <v/>
      </c>
      <c r="AB135" s="152" t="str">
        <f>IFERROR(__xludf.DUMMYFUNCTION("if(U135="""","""",iferror(filter(Schedule!$V:$V&amp;""-""&amp;Schedule!$W:$W,Schedule!$L:$L=U135,(Schedule!$J:$J="""")+(Schedule!$J:$J=V135),(Schedule!$K:$K=""b"")+(Schedule!$K:$K=""""),Schedule!$V:$V&lt;&gt;""""),""""))"),"")</f>
        <v/>
      </c>
      <c r="AC135" s="60"/>
      <c r="AD135" s="155"/>
      <c r="AE135" s="155" t="str">
        <f>AG130</f>
        <v/>
      </c>
      <c r="AF135" s="151" t="str">
        <f>AM130</f>
        <v/>
      </c>
      <c r="AG135" s="147">
        <v>4.0</v>
      </c>
      <c r="AH135" s="152" t="str">
        <f>IFERROR(__xludf.DUMMYFUNCTION("if(AE135="""","""",iferror(filter(Schedule!$V:$V&amp;""-""&amp;Schedule!$W:$W,Schedule!$L:$L=AE135,(Schedule!$J:$J="""")+(Schedule!$J:$J=AF135),(Schedule!$K:$K=""a"")+(Schedule!$K:$K=""""),Schedule!$V:$V&lt;&gt;""""),""""))"),"")</f>
        <v/>
      </c>
      <c r="AI135" s="152" t="str">
        <f>IFERROR(__xludf.DUMMYFUNCTION("if(AE135="""","""",iferror(filter(Schedule!$M:$M&amp;""-""&amp;Schedule!$N:$N,Schedule!$L:$L=AE135,(Schedule!$J:$J="""")+(Schedule!$J:$J=AF135),(Schedule!$K:$K=""b"")+(Schedule!$K:$K=""""),Schedule!$M:$M&lt;&gt;""""),""""))"),"")</f>
        <v/>
      </c>
      <c r="AJ135" s="152" t="str">
        <f>IFERROR(__xludf.DUMMYFUNCTION("if(AE135="""","""",iferror(filter(Schedule!$AB:$AB&amp;""-""&amp;Schedule!$AC:$AC,Schedule!$L:$L=AE135,(Schedule!$J:$J="""")+(Schedule!$J:$J=AF135),(Schedule!$K:$K=""a"")+(Schedule!$K:$K=""""),Schedule!$AB:$AB&lt;&gt;""""),""""))"),"")</f>
        <v/>
      </c>
      <c r="AK135" s="152" t="str">
        <f>IFERROR(__xludf.DUMMYFUNCTION("if(AE135="""","""",iferror(filter(Schedule!$S:$S&amp;""-""&amp;Schedule!$T:$T,Schedule!$L:$L=AE135,(Schedule!$J:$J="""")+(Schedule!$J:$J=AF135),(Schedule!$K:$K=""b"")+(Schedule!$K:$K=""""),Schedule!$S:$S&lt;&gt;""""),""""))"),"")</f>
        <v/>
      </c>
      <c r="AL135" s="152" t="str">
        <f>IFERROR(__xludf.DUMMYFUNCTION("if(AE135="""","""",iferror(filter(Schedule!$V:$V&amp;""-""&amp;Schedule!$W:$W,Schedule!$L:$L=AE135,(Schedule!$J:$J="""")+(Schedule!$J:$J=AF135),(Schedule!$K:$K=""b"")+(Schedule!$K:$K=""""),Schedule!$V:$V&lt;&gt;""""),""""))"),"")</f>
        <v/>
      </c>
      <c r="AM135" s="60"/>
    </row>
    <row r="136">
      <c r="A136" s="151" t="str">
        <f>C130</f>
        <v>Maxine McKinnon</v>
      </c>
      <c r="B136" s="151" t="str">
        <f>I130</f>
        <v>Y</v>
      </c>
      <c r="C136" s="147">
        <v>5.0</v>
      </c>
      <c r="D136" s="152" t="str">
        <f>IFERROR(__xludf.DUMMYFUNCTION("if(A136="""","""",iferror(filter(Schedule!$Y:$Y&amp;""-""&amp;Schedule!$Z:$Z,Schedule!$L:$L=A136,(Schedule!$J:$J="""")+(Schedule!$J:$J=B136),(Schedule!$K:$K=""a"")+(Schedule!$K:$K=""""),Schedule!$Y:$Y&lt;&gt;""""),""""))"),"")</f>
        <v/>
      </c>
      <c r="E136" s="152" t="str">
        <f>IFERROR(__xludf.DUMMYFUNCTION("if(A136="""","""",iferror(filter(Schedule!$P:$P&amp;""-""&amp;Schedule!$Q:$Q,Schedule!$L:$L=A136,(Schedule!$J:$J="""")+(Schedule!$J:$J=B136),(Schedule!$K:$K=""b"")+(Schedule!$K:$K=""""),Schedule!$P:$P&lt;&gt;""""),""""))"),"English 6-3")</f>
        <v>English 6-3</v>
      </c>
      <c r="F136" s="152" t="str">
        <f>IFERROR(__xludf.DUMMYFUNCTION("if(A136="""","""",iferror(filter(Schedule!$V:$V&amp;""-""&amp;Schedule!$W:$W,Schedule!$L:$L=A136,(Schedule!$J:$J="""")+(Schedule!$J:$J=B136),(Schedule!$K:$K=""b"")+(Schedule!$K:$K=""""),Schedule!$V:$V&lt;&gt;""""),""""))"),"")</f>
        <v/>
      </c>
      <c r="G136" s="152" t="str">
        <f>IFERROR(__xludf.DUMMYFUNCTION("if(A136="""","""",iferror(filter(Schedule!$AB:$AB&amp;""-""&amp;Schedule!$AC:$AC,Schedule!$L:$L=A136,(Schedule!$J:$J="""")+(Schedule!$J:$J=B136),(Schedule!$K:$K=""b"")+(Schedule!$K:$K=""""),Schedule!$AB:$AB&lt;&gt;""""),""""))"),"English 6-6")</f>
        <v>English 6-6</v>
      </c>
      <c r="H136" s="152" t="str">
        <f>IFERROR(__xludf.DUMMYFUNCTION("if(A136="""","""",iferror(filter(Schedule!$M:$M&amp;""-""&amp;Schedule!$N:$N,Schedule!$L:$L=A136,(Schedule!$J:$J="""")+(Schedule!$J:$J=B136),(Schedule!$K:$K=""b"")+(Schedule!$K:$K=""""),Schedule!$M:$M&lt;&gt;""""),""""))"),"English 6A-1")</f>
        <v>English 6A-1</v>
      </c>
      <c r="I136" s="64"/>
      <c r="J136" s="154"/>
      <c r="K136" s="151" t="str">
        <f>M130</f>
        <v/>
      </c>
      <c r="L136" s="151" t="str">
        <f>S130</f>
        <v/>
      </c>
      <c r="M136" s="147">
        <v>5.0</v>
      </c>
      <c r="N136" s="152" t="str">
        <f>IFERROR(__xludf.DUMMYFUNCTION("if(K136="""","""",iferror(filter(Schedule!$Y:$Y&amp;""-""&amp;Schedule!$Z:$Z,Schedule!$L:$L=K136,(Schedule!$J:$J="""")+(Schedule!$J:$J=L136),(Schedule!$K:$K=""a"")+(Schedule!$K:$K=""""),Schedule!$Y:$Y&lt;&gt;""""),""""))"),"")</f>
        <v/>
      </c>
      <c r="O136" s="152" t="str">
        <f>IFERROR(__xludf.DUMMYFUNCTION("if(K136="""","""",iferror(filter(Schedule!$P:$P&amp;""-""&amp;Schedule!$Q:$Q,Schedule!$L:$L=K136,(Schedule!$J:$J="""")+(Schedule!$J:$J=L136),(Schedule!$K:$K=""b"")+(Schedule!$K:$K=""""),Schedule!$P:$P&lt;&gt;""""),""""))"),"")</f>
        <v/>
      </c>
      <c r="P136" s="152" t="str">
        <f>IFERROR(__xludf.DUMMYFUNCTION("if(K136="""","""",iferror(filter(Schedule!$V:$V&amp;""-""&amp;Schedule!$W:$W,Schedule!$L:$L=K136,(Schedule!$J:$J="""")+(Schedule!$J:$J=L136),(Schedule!$K:$K=""b"")+(Schedule!$K:$K=""""),Schedule!$V:$V&lt;&gt;""""),""""))"),"")</f>
        <v/>
      </c>
      <c r="Q136" s="152" t="str">
        <f>IFERROR(__xludf.DUMMYFUNCTION("if(K136="""","""",iferror(filter(Schedule!$AB:$AB&amp;""-""&amp;Schedule!$AC:$AC,Schedule!$L:$L=K136,(Schedule!$J:$J="""")+(Schedule!$J:$J=L136),(Schedule!$K:$K=""b"")+(Schedule!$K:$K=""""),Schedule!$AB:$AB&lt;&gt;""""),""""))"),"")</f>
        <v/>
      </c>
      <c r="R136" s="152" t="str">
        <f>IFERROR(__xludf.DUMMYFUNCTION("if(K136="""","""",iferror(filter(Schedule!$M:$M&amp;""-""&amp;Schedule!$N:$N,Schedule!$L:$L=K136,(Schedule!$J:$J="""")+(Schedule!$J:$J=L136),(Schedule!$K:$K=""b"")+(Schedule!$K:$K=""""),Schedule!$M:$M&lt;&gt;""""),""""))"),"")</f>
        <v/>
      </c>
      <c r="S136" s="64"/>
      <c r="T136" s="155"/>
      <c r="U136" s="155" t="str">
        <f>W130</f>
        <v/>
      </c>
      <c r="V136" s="151" t="str">
        <f>AC130</f>
        <v/>
      </c>
      <c r="W136" s="147">
        <v>5.0</v>
      </c>
      <c r="X136" s="152" t="str">
        <f>IFERROR(__xludf.DUMMYFUNCTION("if(U136="""","""",iferror(filter(Schedule!$Y:$Y&amp;""-""&amp;Schedule!$Z:$Z,Schedule!$L:$L=U136,(Schedule!$J:$J="""")+(Schedule!$J:$J=V136),(Schedule!$K:$K=""a"")+(Schedule!$K:$K=""""),Schedule!$Y:$Y&lt;&gt;""""),""""))"),"")</f>
        <v/>
      </c>
      <c r="Y136" s="152" t="str">
        <f>IFERROR(__xludf.DUMMYFUNCTION("if(U136="""","""",iferror(filter(Schedule!$P:$P&amp;""-""&amp;Schedule!$Q:$Q,Schedule!$L:$L=U136,(Schedule!$J:$J="""")+(Schedule!$J:$J=V136),(Schedule!$K:$K=""b"")+(Schedule!$K:$K=""""),Schedule!$P:$P&lt;&gt;""""),""""))"),"")</f>
        <v/>
      </c>
      <c r="Z136" s="152" t="str">
        <f>IFERROR(__xludf.DUMMYFUNCTION("if(U136="""","""",iferror(filter(Schedule!$V:$V&amp;""-""&amp;Schedule!$W:$W,Schedule!$L:$L=U136,(Schedule!$J:$J="""")+(Schedule!$J:$J=V136),(Schedule!$K:$K=""b"")+(Schedule!$K:$K=""""),Schedule!$V:$V&lt;&gt;""""),""""))"),"")</f>
        <v/>
      </c>
      <c r="AA136" s="152" t="str">
        <f>IFERROR(__xludf.DUMMYFUNCTION("if(U136="""","""",iferror(filter(Schedule!$AB:$AB&amp;""-""&amp;Schedule!$AC:$AC,Schedule!$L:$L=U136,(Schedule!$J:$J="""")+(Schedule!$J:$J=V136),(Schedule!$K:$K=""b"")+(Schedule!$K:$K=""""),Schedule!$AB:$AB&lt;&gt;""""),""""))"),"")</f>
        <v/>
      </c>
      <c r="AB136" s="152" t="str">
        <f>IFERROR(__xludf.DUMMYFUNCTION("if(U136="""","""",iferror(filter(Schedule!$M:$M&amp;""-""&amp;Schedule!$N:$N,Schedule!$L:$L=U136,(Schedule!$J:$J="""")+(Schedule!$J:$J=V136),(Schedule!$K:$K=""b"")+(Schedule!$K:$K=""""),Schedule!$M:$M&lt;&gt;""""),""""))"),"")</f>
        <v/>
      </c>
      <c r="AC136" s="64"/>
      <c r="AD136" s="155"/>
      <c r="AE136" s="155" t="str">
        <f>AG130</f>
        <v/>
      </c>
      <c r="AF136" s="151" t="str">
        <f>AM130</f>
        <v/>
      </c>
      <c r="AG136" s="147">
        <v>5.0</v>
      </c>
      <c r="AH136" s="152" t="str">
        <f>IFERROR(__xludf.DUMMYFUNCTION("if(AE136="""","""",iferror(filter(Schedule!$Y:$Y&amp;""-""&amp;Schedule!$Z:$Z,Schedule!$L:$L=AE136,(Schedule!$J:$J="""")+(Schedule!$J:$J=AF136),(Schedule!$K:$K=""a"")+(Schedule!$K:$K=""""),Schedule!$Y:$Y&lt;&gt;""""),""""))"),"")</f>
        <v/>
      </c>
      <c r="AI136" s="152" t="str">
        <f>IFERROR(__xludf.DUMMYFUNCTION("if(AE136="""","""",iferror(filter(Schedule!$P:$P&amp;""-""&amp;Schedule!$Q:$Q,Schedule!$L:$L=AE136,(Schedule!$J:$J="""")+(Schedule!$J:$J=AF136),(Schedule!$K:$K=""b"")+(Schedule!$K:$K=""""),Schedule!$P:$P&lt;&gt;""""),""""))"),"")</f>
        <v/>
      </c>
      <c r="AJ136" s="152" t="str">
        <f>IFERROR(__xludf.DUMMYFUNCTION("if(AE136="""","""",iferror(filter(Schedule!$V:$V&amp;""-""&amp;Schedule!$W:$W,Schedule!$L:$L=AE136,(Schedule!$J:$J="""")+(Schedule!$J:$J=AF136),(Schedule!$K:$K=""b"")+(Schedule!$K:$K=""""),Schedule!$V:$V&lt;&gt;""""),""""))"),"")</f>
        <v/>
      </c>
      <c r="AK136" s="152" t="str">
        <f>IFERROR(__xludf.DUMMYFUNCTION("if(AE136="""","""",iferror(filter(Schedule!$AB:$AB&amp;""-""&amp;Schedule!$AC:$AC,Schedule!$L:$L=AE136,(Schedule!$J:$J="""")+(Schedule!$J:$J=AF136),(Schedule!$K:$K=""b"")+(Schedule!$K:$K=""""),Schedule!$AB:$AB&lt;&gt;""""),""""))"),"")</f>
        <v/>
      </c>
      <c r="AL136" s="152" t="str">
        <f>IFERROR(__xludf.DUMMYFUNCTION("if(AE136="""","""",iferror(filter(Schedule!$M:$M&amp;""-""&amp;Schedule!$N:$N,Schedule!$L:$L=AE136,(Schedule!$J:$J="""")+(Schedule!$J:$J=AF136),(Schedule!$K:$K=""b"")+(Schedule!$K:$K=""""),Schedule!$M:$M&lt;&gt;""""),""""))"),"")</f>
        <v/>
      </c>
      <c r="AM136" s="64"/>
    </row>
    <row r="137">
      <c r="A137" s="11"/>
      <c r="B137" s="11"/>
      <c r="C137" s="156"/>
      <c r="D137" s="156"/>
      <c r="E137" s="156"/>
      <c r="F137" s="156"/>
      <c r="G137" s="156"/>
      <c r="H137" s="156"/>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c r="A138" s="5"/>
      <c r="B138" s="5"/>
      <c r="C138" s="140" t="str">
        <f>Teachers!A18</f>
        <v>Michael Landecker </v>
      </c>
      <c r="D138" s="141"/>
      <c r="E138" s="141"/>
      <c r="F138" s="141"/>
      <c r="G138" s="141"/>
      <c r="H138" s="142"/>
      <c r="I138" s="143" t="str">
        <f>IFERROR(__xludf.DUMMYFUNCTION("if(C138="""","""", iferror(unique(filter(Schedule!$J:$J,Schedule!$L:$L=$C138,Schedule!$J:$J=""Q1"")),iferror(unique(filter(Schedule!$J:$J,Schedule!$L:$L=$C138,Schedule!$J:$J=""S1"")),""Y"")))"),"Y")</f>
        <v>Y</v>
      </c>
      <c r="J138" s="11"/>
      <c r="K138" s="11"/>
      <c r="L138" s="11"/>
      <c r="M138" s="140" t="str">
        <f>if(S138="","",C138)</f>
        <v/>
      </c>
      <c r="N138" s="141"/>
      <c r="O138" s="141"/>
      <c r="P138" s="141"/>
      <c r="Q138" s="141"/>
      <c r="R138" s="142"/>
      <c r="S138" s="143" t="str">
        <f>if($I138="Q1","Q2",if($I138="S1","S2",""))</f>
        <v/>
      </c>
      <c r="T138" s="144"/>
      <c r="U138" s="144"/>
      <c r="V138" s="145"/>
      <c r="W138" s="140" t="str">
        <f>if(AC138="","",M138)</f>
        <v/>
      </c>
      <c r="X138" s="141"/>
      <c r="Y138" s="141"/>
      <c r="Z138" s="141"/>
      <c r="AA138" s="141"/>
      <c r="AB138" s="142"/>
      <c r="AC138" s="143" t="str">
        <f>if($I138="Q1","Q3","")</f>
        <v/>
      </c>
      <c r="AD138" s="144"/>
      <c r="AE138" s="144"/>
      <c r="AF138" s="145"/>
      <c r="AG138" s="140" t="str">
        <f>if(AC138="","",W138)</f>
        <v/>
      </c>
      <c r="AH138" s="141"/>
      <c r="AI138" s="141"/>
      <c r="AJ138" s="141"/>
      <c r="AK138" s="141"/>
      <c r="AL138" s="142"/>
      <c r="AM138" s="143" t="str">
        <f>if($I138="Q1","Q4","")</f>
        <v/>
      </c>
    </row>
    <row r="139">
      <c r="A139" s="146"/>
      <c r="B139" s="146"/>
      <c r="C139" s="147" t="s">
        <v>94</v>
      </c>
      <c r="D139" s="148" t="s">
        <v>95</v>
      </c>
      <c r="E139" s="148" t="s">
        <v>96</v>
      </c>
      <c r="F139" s="148" t="s">
        <v>97</v>
      </c>
      <c r="G139" s="148" t="s">
        <v>98</v>
      </c>
      <c r="H139" s="148" t="s">
        <v>99</v>
      </c>
      <c r="I139" s="148" t="s">
        <v>651</v>
      </c>
      <c r="J139" s="146"/>
      <c r="K139" s="146"/>
      <c r="L139" s="146"/>
      <c r="M139" s="147" t="s">
        <v>94</v>
      </c>
      <c r="N139" s="148" t="s">
        <v>95</v>
      </c>
      <c r="O139" s="148" t="s">
        <v>96</v>
      </c>
      <c r="P139" s="148" t="s">
        <v>97</v>
      </c>
      <c r="Q139" s="148" t="s">
        <v>98</v>
      </c>
      <c r="R139" s="148" t="s">
        <v>99</v>
      </c>
      <c r="S139" s="148" t="s">
        <v>651</v>
      </c>
      <c r="T139" s="149"/>
      <c r="U139" s="149"/>
      <c r="V139" s="150"/>
      <c r="W139" s="147" t="s">
        <v>94</v>
      </c>
      <c r="X139" s="148" t="s">
        <v>95</v>
      </c>
      <c r="Y139" s="148" t="s">
        <v>96</v>
      </c>
      <c r="Z139" s="148" t="s">
        <v>97</v>
      </c>
      <c r="AA139" s="148" t="s">
        <v>98</v>
      </c>
      <c r="AB139" s="148" t="s">
        <v>99</v>
      </c>
      <c r="AC139" s="148" t="s">
        <v>651</v>
      </c>
      <c r="AD139" s="149"/>
      <c r="AE139" s="149"/>
      <c r="AF139" s="150"/>
      <c r="AG139" s="147" t="s">
        <v>94</v>
      </c>
      <c r="AH139" s="148" t="s">
        <v>95</v>
      </c>
      <c r="AI139" s="148" t="s">
        <v>96</v>
      </c>
      <c r="AJ139" s="148" t="s">
        <v>97</v>
      </c>
      <c r="AK139" s="148" t="s">
        <v>98</v>
      </c>
      <c r="AL139" s="148" t="s">
        <v>99</v>
      </c>
      <c r="AM139" s="148" t="s">
        <v>651</v>
      </c>
    </row>
    <row r="140">
      <c r="A140" s="151" t="str">
        <f>C138</f>
        <v>Michael Landecker </v>
      </c>
      <c r="B140" s="151" t="str">
        <f>I138</f>
        <v>Y</v>
      </c>
      <c r="C140" s="147">
        <v>1.0</v>
      </c>
      <c r="D140" s="152" t="str">
        <f>IFERROR(__xludf.DUMMYFUNCTION("if(A140="""","""",iferror(filter(Schedule!$M:$M&amp;""-""&amp;Schedule!$N:$N,Schedule!$L:$L=A140,(Schedule!$J:$J="""")+(Schedule!$J:$J=B140),(Schedule!$K:$K=""a"")+(Schedule!$K:$K=""""),Schedule!$M:$M&lt;&gt;""""),""""))"),"Math 6-1")</f>
        <v>Math 6-1</v>
      </c>
      <c r="E140" s="152" t="str">
        <f>IFERROR(__xludf.DUMMYFUNCTION("if(A140="""","""",iferror(filter(Schedule!$AB:$AB&amp;""-""&amp;Schedule!$AC:$AC,Schedule!$L:$L=A140,(Schedule!$J:$J="""")+(Schedule!$J:$J=B140),(Schedule!$K:$K=""b"")+(Schedule!$K:$K=""""),Schedule!$AB:$AB&lt;&gt;""""),""""))"),"Math 6-6")</f>
        <v>Math 6-6</v>
      </c>
      <c r="F140" s="152" t="str">
        <f>IFERROR(__xludf.DUMMYFUNCTION("if(A140="""","""",iferror(filter(Schedule!$S:$S&amp;""-""&amp;Schedule!$T:$T,Schedule!$L:$L=A140,(Schedule!$J:$J="""")+(Schedule!$J:$J=B140),(Schedule!$K:$K=""a"")+(Schedule!$K:$K=""""),Schedule!$S:$S&lt;&gt;""""),""""))"),"Math 6-2")</f>
        <v>Math 6-2</v>
      </c>
      <c r="G140" s="152" t="str">
        <f>IFERROR(__xludf.DUMMYFUNCTION("if(A140="""","""",iferror(filter(Schedule!$V:$V&amp;""-""&amp;Schedule!$W:$W,Schedule!$L:$L=A140,(Schedule!$J:$J="""")+(Schedule!$J:$J=B140),(Schedule!$K:$K=""a"")+(Schedule!$K:$K=""""),Schedule!$V:$V&lt;&gt;""""),""""))"),"")</f>
        <v/>
      </c>
      <c r="H140" s="152" t="str">
        <f>IFERROR(__xludf.DUMMYFUNCTION("if(A140="""","""",iferror(filter(Schedule!$Y:$Y&amp;""-""&amp;Schedule!$Z:$Z,Schedule!$L:$L=A140,(Schedule!$J:$J="""")+(Schedule!$J:$J=B140),(Schedule!$K:$K=""b"")+(Schedule!$K:$K=""""),Schedule!$Y:$Y&lt;&gt;""""),""""))"),"Math 6A-4")</f>
        <v>Math 6A-4</v>
      </c>
      <c r="I140" s="153">
        <f>if(C138="","", 24-countifs(D140:H144,""))</f>
        <v>16</v>
      </c>
      <c r="J140" s="154"/>
      <c r="K140" s="151" t="str">
        <f>M138</f>
        <v/>
      </c>
      <c r="L140" s="151" t="str">
        <f>S138</f>
        <v/>
      </c>
      <c r="M140" s="147">
        <v>1.0</v>
      </c>
      <c r="N140" s="152" t="str">
        <f>IFERROR(__xludf.DUMMYFUNCTION("if(K140="""","""",iferror(filter(Schedule!$M:$M&amp;""-""&amp;Schedule!$N:$N,Schedule!$L:$L=K140,(Schedule!$J:$J="""")+(Schedule!$J:$J=L140),(Schedule!$K:$K=""a"")+(Schedule!$K:$K=""""),Schedule!$M:$M&lt;&gt;""""),""""))"),"")</f>
        <v/>
      </c>
      <c r="O140" s="152" t="str">
        <f>IFERROR(__xludf.DUMMYFUNCTION("if(K140="""","""",iferror(filter(Schedule!$AB:$AB&amp;""-""&amp;Schedule!$AC:$AC,Schedule!$L:$L=K140,(Schedule!$J:$J="""")+(Schedule!$J:$J=L140),(Schedule!$K:$K=""b"")+(Schedule!$K:$K=""""),Schedule!$AB:$AB&lt;&gt;""""),""""))"),"")</f>
        <v/>
      </c>
      <c r="P140" s="152" t="str">
        <f>IFERROR(__xludf.DUMMYFUNCTION("if(K140="""","""",iferror(filter(Schedule!$S:$S&amp;""-""&amp;Schedule!$T:$T,Schedule!$L:$L=K140,(Schedule!$J:$J="""")+(Schedule!$J:$J=L140),(Schedule!$K:$K=""a"")+(Schedule!$K:$K=""""),Schedule!$S:$S&lt;&gt;""""),""""))"),"")</f>
        <v/>
      </c>
      <c r="Q140" s="152" t="str">
        <f>IFERROR(__xludf.DUMMYFUNCTION("if(K140="""","""",iferror(filter(Schedule!$V:$V&amp;""-""&amp;Schedule!$W:$W,Schedule!$L:$L=K140,(Schedule!$J:$J="""")+(Schedule!$J:$J=L140),(Schedule!$K:$K=""a"")+(Schedule!$K:$K=""""),Schedule!$V:$V&lt;&gt;""""),""""))"),"")</f>
        <v/>
      </c>
      <c r="R140" s="152" t="str">
        <f>IFERROR(__xludf.DUMMYFUNCTION("if(K140="""","""",iferror(filter(Schedule!$Y:$Y&amp;""-""&amp;Schedule!$Z:$Z,Schedule!$L:$L=K140,(Schedule!$J:$J="""")+(Schedule!$J:$J=L140),(Schedule!$K:$K=""b"")+(Schedule!$K:$K=""""),Schedule!$Y:$Y&lt;&gt;""""),""""))"),"")</f>
        <v/>
      </c>
      <c r="S140" s="153" t="str">
        <f>if(K140="","", 24-countifs(N140:R144,""))</f>
        <v/>
      </c>
      <c r="T140" s="155"/>
      <c r="U140" s="155" t="str">
        <f>W138</f>
        <v/>
      </c>
      <c r="V140" s="151" t="str">
        <f>AC138</f>
        <v/>
      </c>
      <c r="W140" s="147">
        <v>1.0</v>
      </c>
      <c r="X140" s="152" t="str">
        <f>IFERROR(__xludf.DUMMYFUNCTION("if(U140="""","""",iferror(filter(Schedule!$M:$M&amp;""-""&amp;Schedule!$N:$N,Schedule!$L:$L=U140,(Schedule!$J:$J="""")+(Schedule!$J:$J=V140),(Schedule!$K:$K=""a"")+(Schedule!$K:$K=""""),Schedule!$M:$M&lt;&gt;""""),""""))"),"")</f>
        <v/>
      </c>
      <c r="Y140" s="152" t="str">
        <f>IFERROR(__xludf.DUMMYFUNCTION("if(U140="""","""",iferror(filter(Schedule!$AB:$AB&amp;""-""&amp;Schedule!$AC:$AC,Schedule!$L:$L=U140,(Schedule!$J:$J="""")+(Schedule!$J:$J=V140),(Schedule!$K:$K=""b"")+(Schedule!$K:$K=""""),Schedule!$AB:$AB&lt;&gt;""""),""""))"),"")</f>
        <v/>
      </c>
      <c r="Z140" s="152" t="str">
        <f>IFERROR(__xludf.DUMMYFUNCTION("if(U140="""","""",iferror(filter(Schedule!$S:$S&amp;""-""&amp;Schedule!$T:$T,Schedule!$L:$L=U140,(Schedule!$J:$J="""")+(Schedule!$J:$J=V140),(Schedule!$K:$K=""a"")+(Schedule!$K:$K=""""),Schedule!$S:$S&lt;&gt;""""),""""))"),"")</f>
        <v/>
      </c>
      <c r="AA140" s="152" t="str">
        <f>IFERROR(__xludf.DUMMYFUNCTION("if(U140="""","""",iferror(filter(Schedule!$V:$V&amp;""-""&amp;Schedule!$W:$W,Schedule!$L:$L=U140,(Schedule!$J:$J="""")+(Schedule!$J:$J=V140),(Schedule!$K:$K=""a"")+(Schedule!$K:$K=""""),Schedule!$V:$V&lt;&gt;""""),""""))"),"")</f>
        <v/>
      </c>
      <c r="AB140" s="152" t="str">
        <f>IFERROR(__xludf.DUMMYFUNCTION("if(U140="""","""",iferror(filter(Schedule!$Y:$Y&amp;""-""&amp;Schedule!$Z:$Z,Schedule!$L:$L=U140,(Schedule!$J:$J="""")+(Schedule!$J:$J=V140),(Schedule!$K:$K=""b"")+(Schedule!$K:$K=""""),Schedule!$Y:$Y&lt;&gt;""""),""""))"),"")</f>
        <v/>
      </c>
      <c r="AC140" s="153" t="str">
        <f>if(U140="","", 24-countifs(X140:AB144,""))</f>
        <v/>
      </c>
      <c r="AD140" s="155"/>
      <c r="AE140" s="155" t="str">
        <f>AG138</f>
        <v/>
      </c>
      <c r="AF140" s="151" t="str">
        <f>AM138</f>
        <v/>
      </c>
      <c r="AG140" s="147">
        <v>1.0</v>
      </c>
      <c r="AH140" s="152" t="str">
        <f>IFERROR(__xludf.DUMMYFUNCTION("if(AE140="""","""",iferror(filter(Schedule!$M:$M&amp;""-""&amp;Schedule!$N:$N,Schedule!$L:$L=AE140,(Schedule!$J:$J="""")+(Schedule!$J:$J=AF140),(Schedule!$K:$K=""a"")+(Schedule!$K:$K=""""),Schedule!$M:$M&lt;&gt;""""),""""))"),"")</f>
        <v/>
      </c>
      <c r="AI140" s="152" t="str">
        <f>IFERROR(__xludf.DUMMYFUNCTION("if(AE140="""","""",iferror(filter(Schedule!$AB:$AB&amp;""-""&amp;Schedule!$AC:$AC,Schedule!$L:$L=AE140,(Schedule!$J:$J="""")+(Schedule!$J:$J=AF140),(Schedule!$K:$K=""b"")+(Schedule!$K:$K=""""),Schedule!$AB:$AB&lt;&gt;""""),""""))"),"")</f>
        <v/>
      </c>
      <c r="AJ140" s="152" t="str">
        <f>IFERROR(__xludf.DUMMYFUNCTION("if(AE140="""","""",iferror(filter(Schedule!$S:$S&amp;""-""&amp;Schedule!$T:$T,Schedule!$L:$L=AE140,(Schedule!$J:$J="""")+(Schedule!$J:$J=AF140),(Schedule!$K:$K=""a"")+(Schedule!$K:$K=""""),Schedule!$S:$S&lt;&gt;""""),""""))"),"")</f>
        <v/>
      </c>
      <c r="AK140" s="152" t="str">
        <f>IFERROR(__xludf.DUMMYFUNCTION("if(AE140="""","""",iferror(filter(Schedule!$V:$V&amp;""-""&amp;Schedule!$W:$W,Schedule!$L:$L=AE140,(Schedule!$J:$J="""")+(Schedule!$J:$J=AF140),(Schedule!$K:$K=""a"")+(Schedule!$K:$K=""""),Schedule!$V:$V&lt;&gt;""""),""""))"),"")</f>
        <v/>
      </c>
      <c r="AL140" s="152" t="str">
        <f>IFERROR(__xludf.DUMMYFUNCTION("if(AE140="""","""",iferror(filter(Schedule!$Y:$Y&amp;""-""&amp;Schedule!$Z:$Z,Schedule!$L:$L=AE140,(Schedule!$J:$J="""")+(Schedule!$J:$J=AF140),(Schedule!$K:$K=""b"")+(Schedule!$K:$K=""""),Schedule!$Y:$Y&lt;&gt;""""),""""))"),"")</f>
        <v/>
      </c>
      <c r="AM140" s="153" t="str">
        <f>if(AE140="","", 24-countifs(AH140:AL144,""))</f>
        <v/>
      </c>
    </row>
    <row r="141">
      <c r="A141" s="151" t="str">
        <f>C138</f>
        <v>Michael Landecker </v>
      </c>
      <c r="B141" s="151" t="str">
        <f>I138</f>
        <v>Y</v>
      </c>
      <c r="C141" s="147">
        <v>2.0</v>
      </c>
      <c r="D141" s="152" t="str">
        <f>IFERROR(__xludf.DUMMYFUNCTION("if(A141="""","""",iferror(filter(Schedule!$P:$P&amp;""-""&amp;Schedule!$Q:$Q,Schedule!$L:$L=A141,(Schedule!$J:$J="""")+(Schedule!$J:$J=B141),(Schedule!$K:$K=""a"")+(Schedule!$K:$K=""""),Schedule!$P:$P&lt;&gt;""""),""""))"),"")</f>
        <v/>
      </c>
      <c r="E141" s="152" t="str">
        <f>IFERROR(__xludf.DUMMYFUNCTION("if(A141="""","""",iferror(filter(Schedule!$Y:$Y&amp;""-""&amp;Schedule!$Z:$Z,Schedule!$L:$L=A141,(Schedule!$J:$J="""")+(Schedule!$J:$J=B141),(Schedule!$K:$K=""b"")+(Schedule!$K:$K=""""),Schedule!$Y:$Y&lt;&gt;""""),""""))"),"Math 6A-4")</f>
        <v>Math 6A-4</v>
      </c>
      <c r="F141" s="152" t="str">
        <f>IFERROR(__xludf.DUMMYFUNCTION("if(A141="""","""",iferror(filter(Schedule!$P:$P&amp;""-""&amp;Schedule!$Q:$Q,Schedule!$L:$L=A141,(Schedule!$J:$J="""")+(Schedule!$J:$J=B141),(Schedule!$K:$K=""a"")+(Schedule!$K:$K=""""),Schedule!$P:$P&lt;&gt;""""),""""))"),"")</f>
        <v/>
      </c>
      <c r="G141" s="152" t="str">
        <f>IFERROR(__xludf.DUMMYFUNCTION("if(A141="""","""",iferror(filter(Schedule!$M:$M&amp;""-""&amp;Schedule!$N:$N,Schedule!$L:$L=A141,(Schedule!$J:$J="""")+(Schedule!$J:$J=B141),(Schedule!$K:$K=""a"")+(Schedule!$K:$K=""""),Schedule!$M:$M&lt;&gt;""""),""""))"),"Math 6-1")</f>
        <v>Math 6-1</v>
      </c>
      <c r="H141" s="152" t="str">
        <f>IFERROR(__xludf.DUMMYFUNCTION("if(A141="""","""",iferror(filter(Schedule!$AB:$AB&amp;""-""&amp;Schedule!$AC:$AC,Schedule!$L:$L=A141,(Schedule!$J:$J="""")+(Schedule!$J:$J=B141),(Schedule!$K:$K=""a"")+(Schedule!$K:$K=""""),Schedule!$AB:$AB&lt;&gt;""""),""""))"),"Math 6-6")</f>
        <v>Math 6-6</v>
      </c>
      <c r="I141" s="60"/>
      <c r="J141" s="154"/>
      <c r="K141" s="151" t="str">
        <f>M138</f>
        <v/>
      </c>
      <c r="L141" s="151" t="str">
        <f>S138</f>
        <v/>
      </c>
      <c r="M141" s="147">
        <v>2.0</v>
      </c>
      <c r="N141" s="152" t="str">
        <f>IFERROR(__xludf.DUMMYFUNCTION("if(K141="""","""",iferror(filter(Schedule!$P:$P&amp;""-""&amp;Schedule!$Q:$Q,Schedule!$L:$L=K141,(Schedule!$J:$J="""")+(Schedule!$J:$J=L141),(Schedule!$K:$K=""a"")+(Schedule!$K:$K=""""),Schedule!$P:$P&lt;&gt;""""),""""))"),"")</f>
        <v/>
      </c>
      <c r="O141" s="152" t="str">
        <f>IFERROR(__xludf.DUMMYFUNCTION("if(K141="""","""",iferror(filter(Schedule!$Y:$Y&amp;""-""&amp;Schedule!$Z:$Z,Schedule!$L:$L=K141,(Schedule!$J:$J="""")+(Schedule!$J:$J=L141),(Schedule!$K:$K=""b"")+(Schedule!$K:$K=""""),Schedule!$Y:$Y&lt;&gt;""""),""""))"),"")</f>
        <v/>
      </c>
      <c r="P141" s="152" t="str">
        <f>IFERROR(__xludf.DUMMYFUNCTION("if(K141="""","""",iferror(filter(Schedule!$P:$P&amp;""-""&amp;Schedule!$Q:$Q,Schedule!$L:$L=K141,(Schedule!$J:$J="""")+(Schedule!$J:$J=L141),(Schedule!$K:$K=""a"")+(Schedule!$K:$K=""""),Schedule!$P:$P&lt;&gt;""""),""""))"),"")</f>
        <v/>
      </c>
      <c r="Q141" s="152" t="str">
        <f>IFERROR(__xludf.DUMMYFUNCTION("if(K141="""","""",iferror(filter(Schedule!$M:$M&amp;""-""&amp;Schedule!$N:$N,Schedule!$L:$L=K141,(Schedule!$J:$J="""")+(Schedule!$J:$J=L141),(Schedule!$K:$K=""a"")+(Schedule!$K:$K=""""),Schedule!$M:$M&lt;&gt;""""),""""))"),"")</f>
        <v/>
      </c>
      <c r="R141" s="152" t="str">
        <f>IFERROR(__xludf.DUMMYFUNCTION("if(K141="""","""",iferror(filter(Schedule!$AB:$AB&amp;""-""&amp;Schedule!$AC:$AC,Schedule!$L:$L=K141,(Schedule!$J:$J="""")+(Schedule!$J:$J=L141),(Schedule!$K:$K=""a"")+(Schedule!$K:$K=""""),Schedule!$AB:$AB&lt;&gt;""""),""""))"),"")</f>
        <v/>
      </c>
      <c r="S141" s="60"/>
      <c r="T141" s="155"/>
      <c r="U141" s="155" t="str">
        <f>W138</f>
        <v/>
      </c>
      <c r="V141" s="151" t="str">
        <f>AC138</f>
        <v/>
      </c>
      <c r="W141" s="147">
        <v>2.0</v>
      </c>
      <c r="X141" s="152" t="str">
        <f>IFERROR(__xludf.DUMMYFUNCTION("if(U141="""","""",iferror(filter(Schedule!$P:$P&amp;""-""&amp;Schedule!$Q:$Q,Schedule!$L:$L=U141,(Schedule!$J:$J="""")+(Schedule!$J:$J=V141),(Schedule!$K:$K=""a"")+(Schedule!$K:$K=""""),Schedule!$P:$P&lt;&gt;""""),""""))"),"")</f>
        <v/>
      </c>
      <c r="Y141" s="152" t="str">
        <f>IFERROR(__xludf.DUMMYFUNCTION("if(U141="""","""",iferror(filter(Schedule!$Y:$Y&amp;""-""&amp;Schedule!$Z:$Z,Schedule!$L:$L=U141,(Schedule!$J:$J="""")+(Schedule!$J:$J=V141),(Schedule!$K:$K=""b"")+(Schedule!$K:$K=""""),Schedule!$Y:$Y&lt;&gt;""""),""""))"),"")</f>
        <v/>
      </c>
      <c r="Z141" s="152" t="str">
        <f>IFERROR(__xludf.DUMMYFUNCTION("if(U141="""","""",iferror(filter(Schedule!$P:$P&amp;""-""&amp;Schedule!$Q:$Q,Schedule!$L:$L=U141,(Schedule!$J:$J="""")+(Schedule!$J:$J=V141),(Schedule!$K:$K=""a"")+(Schedule!$K:$K=""""),Schedule!$P:$P&lt;&gt;""""),""""))"),"")</f>
        <v/>
      </c>
      <c r="AA141" s="152" t="str">
        <f>IFERROR(__xludf.DUMMYFUNCTION("if(U141="""","""",iferror(filter(Schedule!$M:$M&amp;""-""&amp;Schedule!$N:$N,Schedule!$L:$L=U141,(Schedule!$J:$J="""")+(Schedule!$J:$J=V141),(Schedule!$K:$K=""a"")+(Schedule!$K:$K=""""),Schedule!$M:$M&lt;&gt;""""),""""))"),"")</f>
        <v/>
      </c>
      <c r="AB141" s="152" t="str">
        <f>IFERROR(__xludf.DUMMYFUNCTION("if(U141="""","""",iferror(filter(Schedule!$AB:$AB&amp;""-""&amp;Schedule!$AC:$AC,Schedule!$L:$L=U141,(Schedule!$J:$J="""")+(Schedule!$J:$J=V141),(Schedule!$K:$K=""a"")+(Schedule!$K:$K=""""),Schedule!$AB:$AB&lt;&gt;""""),""""))"),"")</f>
        <v/>
      </c>
      <c r="AC141" s="60"/>
      <c r="AD141" s="155"/>
      <c r="AE141" s="155" t="str">
        <f>AG138</f>
        <v/>
      </c>
      <c r="AF141" s="151" t="str">
        <f>AM138</f>
        <v/>
      </c>
      <c r="AG141" s="147">
        <v>2.0</v>
      </c>
      <c r="AH141" s="152" t="str">
        <f>IFERROR(__xludf.DUMMYFUNCTION("if(AE141="""","""",iferror(filter(Schedule!$P:$P&amp;""-""&amp;Schedule!$Q:$Q,Schedule!$L:$L=AE141,(Schedule!$J:$J="""")+(Schedule!$J:$J=AF141),(Schedule!$K:$K=""a"")+(Schedule!$K:$K=""""),Schedule!$P:$P&lt;&gt;""""),""""))"),"")</f>
        <v/>
      </c>
      <c r="AI141" s="152" t="str">
        <f>IFERROR(__xludf.DUMMYFUNCTION("if(AE141="""","""",iferror(filter(Schedule!$Y:$Y&amp;""-""&amp;Schedule!$Z:$Z,Schedule!$L:$L=AE141,(Schedule!$J:$J="""")+(Schedule!$J:$J=AF141),(Schedule!$K:$K=""b"")+(Schedule!$K:$K=""""),Schedule!$Y:$Y&lt;&gt;""""),""""))"),"")</f>
        <v/>
      </c>
      <c r="AJ141" s="152" t="str">
        <f>IFERROR(__xludf.DUMMYFUNCTION("if(AE141="""","""",iferror(filter(Schedule!$P:$P&amp;""-""&amp;Schedule!$Q:$Q,Schedule!$L:$L=AE141,(Schedule!$J:$J="""")+(Schedule!$J:$J=AF141),(Schedule!$K:$K=""a"")+(Schedule!$K:$K=""""),Schedule!$P:$P&lt;&gt;""""),""""))"),"")</f>
        <v/>
      </c>
      <c r="AK141" s="152" t="str">
        <f>IFERROR(__xludf.DUMMYFUNCTION("if(AE141="""","""",iferror(filter(Schedule!$M:$M&amp;""-""&amp;Schedule!$N:$N,Schedule!$L:$L=AE141,(Schedule!$J:$J="""")+(Schedule!$J:$J=AF141),(Schedule!$K:$K=""a"")+(Schedule!$K:$K=""""),Schedule!$M:$M&lt;&gt;""""),""""))"),"")</f>
        <v/>
      </c>
      <c r="AL141" s="152" t="str">
        <f>IFERROR(__xludf.DUMMYFUNCTION("if(AE141="""","""",iferror(filter(Schedule!$AB:$AB&amp;""-""&amp;Schedule!$AC:$AC,Schedule!$L:$L=AE141,(Schedule!$J:$J="""")+(Schedule!$J:$J=AF141),(Schedule!$K:$K=""a"")+(Schedule!$K:$K=""""),Schedule!$AB:$AB&lt;&gt;""""),""""))"),"")</f>
        <v/>
      </c>
      <c r="AM141" s="60"/>
    </row>
    <row r="142">
      <c r="A142" s="151" t="str">
        <f>C138</f>
        <v>Michael Landecker </v>
      </c>
      <c r="B142" s="151" t="str">
        <f>I138</f>
        <v>Y</v>
      </c>
      <c r="C142" s="147">
        <v>3.0</v>
      </c>
      <c r="D142" s="152" t="str">
        <f>IFERROR(__xludf.DUMMYFUNCTION("if(A142="""","""",iferror(filter(Schedule!$S:$S&amp;""-""&amp;Schedule!$T:$T,Schedule!$L:$L=A142,(Schedule!$J:$J="""")+(Schedule!$J:$J=B142),(Schedule!$K:$K=""a"")+(Schedule!$K:$K=""""),Schedule!$S:$S&lt;&gt;""""),""""))"),"Math 6-2")</f>
        <v>Math 6-2</v>
      </c>
      <c r="E142" s="152" t="str">
        <f>IFERROR(__xludf.DUMMYFUNCTION("if(A142="""","""",iferror(filter(Schedule!$S:$S&amp;""-""&amp;Schedule!$T:$T,Schedule!$L:$L=A142,(Schedule!$J:$J="""")+(Schedule!$J:$J=B142),(Schedule!$K:$K=""b"")+(Schedule!$K:$K=""""),Schedule!$S:$S&lt;&gt;""""),""""))"),"Math 6-2")</f>
        <v>Math 6-2</v>
      </c>
      <c r="F142" s="152" t="str">
        <f>IFERROR(__xludf.DUMMYFUNCTION("if(A142="""","""",iferror(filter(Schedule!$Y:$Y&amp;""-""&amp;Schedule!$Z:$Z,Schedule!$L:$L=A142,(Schedule!$J:$J="""")+(Schedule!$J:$J=B142),(Schedule!$K:$K=""a"")+(Schedule!$K:$K=""""),Schedule!$Y:$Y&lt;&gt;""""),""""))"),"Math 6A-4")</f>
        <v>Math 6A-4</v>
      </c>
      <c r="G142" s="152" t="str">
        <f>IFERROR(__xludf.DUMMYFUNCTION("if(A142="""","""",iferror(filter(Schedule!$P:$P&amp;""-""&amp;Schedule!$Q:$Q,Schedule!$L:$L=A142,(Schedule!$J:$J="""")+(Schedule!$J:$J=B142),(Schedule!$K:$K=""b"")+(Schedule!$K:$K=""""),Schedule!$P:$P&lt;&gt;""""),""""))"),"")</f>
        <v/>
      </c>
      <c r="H142" s="152" t="str">
        <f>if(C138="","","X-Block")</f>
        <v>X-Block</v>
      </c>
      <c r="I142" s="60"/>
      <c r="J142" s="154"/>
      <c r="K142" s="151" t="str">
        <f>M138</f>
        <v/>
      </c>
      <c r="L142" s="151" t="str">
        <f>S138</f>
        <v/>
      </c>
      <c r="M142" s="147">
        <v>3.0</v>
      </c>
      <c r="N142" s="152" t="str">
        <f>IFERROR(__xludf.DUMMYFUNCTION("if(K142="""","""",iferror(filter(Schedule!$S:$S&amp;""-""&amp;Schedule!$T:$T,Schedule!$L:$L=K142,(Schedule!$J:$J="""")+(Schedule!$J:$J=L142),(Schedule!$K:$K=""a"")+(Schedule!$K:$K=""""),Schedule!$S:$S&lt;&gt;""""),""""))"),"")</f>
        <v/>
      </c>
      <c r="O142" s="152" t="str">
        <f>IFERROR(__xludf.DUMMYFUNCTION("if(K142="""","""",iferror(filter(Schedule!$S:$S&amp;""-""&amp;Schedule!$T:$T,Schedule!$L:$L=K142,(Schedule!$J:$J="""")+(Schedule!$J:$J=L142),(Schedule!$K:$K=""b"")+(Schedule!$K:$K=""""),Schedule!$S:$S&lt;&gt;""""),""""))"),"")</f>
        <v/>
      </c>
      <c r="P142" s="152" t="str">
        <f>IFERROR(__xludf.DUMMYFUNCTION("if(K142="""","""",iferror(filter(Schedule!$Y:$Y&amp;""-""&amp;Schedule!$Z:$Z,Schedule!$L:$L=K142,(Schedule!$J:$J="""")+(Schedule!$J:$J=L142),(Schedule!$K:$K=""a"")+(Schedule!$K:$K=""""),Schedule!$Y:$Y&lt;&gt;""""),""""))"),"")</f>
        <v/>
      </c>
      <c r="Q142" s="152" t="str">
        <f>IFERROR(__xludf.DUMMYFUNCTION("if(K142="""","""",iferror(filter(Schedule!$P:$P&amp;""-""&amp;Schedule!$Q:$Q,Schedule!$L:$L=K142,(Schedule!$J:$J="""")+(Schedule!$J:$J=L142),(Schedule!$K:$K=""b"")+(Schedule!$K:$K=""""),Schedule!$P:$P&lt;&gt;""""),""""))"),"")</f>
        <v/>
      </c>
      <c r="R142" s="152" t="str">
        <f>if(M138="","","X-Block")</f>
        <v/>
      </c>
      <c r="S142" s="60"/>
      <c r="T142" s="155"/>
      <c r="U142" s="155" t="str">
        <f>W138</f>
        <v/>
      </c>
      <c r="V142" s="151" t="str">
        <f>AC138</f>
        <v/>
      </c>
      <c r="W142" s="147">
        <v>3.0</v>
      </c>
      <c r="X142" s="152" t="str">
        <f>IFERROR(__xludf.DUMMYFUNCTION("if(U142="""","""",iferror(filter(Schedule!$S:$S&amp;""-""&amp;Schedule!$T:$T,Schedule!$L:$L=U142,(Schedule!$J:$J="""")+(Schedule!$J:$J=V142),(Schedule!$K:$K=""a"")+(Schedule!$K:$K=""""),Schedule!$S:$S&lt;&gt;""""),""""))"),"")</f>
        <v/>
      </c>
      <c r="Y142" s="152" t="str">
        <f>IFERROR(__xludf.DUMMYFUNCTION("if(U142="""","""",iferror(filter(Schedule!$S:$S&amp;""-""&amp;Schedule!$T:$T,Schedule!$L:$L=U142,(Schedule!$J:$J="""")+(Schedule!$J:$J=V142),(Schedule!$K:$K=""b"")+(Schedule!$K:$K=""""),Schedule!$S:$S&lt;&gt;""""),""""))"),"")</f>
        <v/>
      </c>
      <c r="Z142" s="152" t="str">
        <f>IFERROR(__xludf.DUMMYFUNCTION("if(U142="""","""",iferror(filter(Schedule!$Y:$Y&amp;""-""&amp;Schedule!$Z:$Z,Schedule!$L:$L=U142,(Schedule!$J:$J="""")+(Schedule!$J:$J=V142),(Schedule!$K:$K=""a"")+(Schedule!$K:$K=""""),Schedule!$Y:$Y&lt;&gt;""""),""""))"),"")</f>
        <v/>
      </c>
      <c r="AA142" s="152" t="str">
        <f>IFERROR(__xludf.DUMMYFUNCTION("if(U142="""","""",iferror(filter(Schedule!$P:$P&amp;""-""&amp;Schedule!$Q:$Q,Schedule!$L:$L=U142,(Schedule!$J:$J="""")+(Schedule!$J:$J=V142),(Schedule!$K:$K=""b"")+(Schedule!$K:$K=""""),Schedule!$P:$P&lt;&gt;""""),""""))"),"")</f>
        <v/>
      </c>
      <c r="AB142" s="152" t="str">
        <f>if(W138="","","X-Block")</f>
        <v/>
      </c>
      <c r="AC142" s="60"/>
      <c r="AD142" s="155"/>
      <c r="AE142" s="155" t="str">
        <f>AG138</f>
        <v/>
      </c>
      <c r="AF142" s="151" t="str">
        <f>AM138</f>
        <v/>
      </c>
      <c r="AG142" s="147">
        <v>3.0</v>
      </c>
      <c r="AH142" s="152" t="str">
        <f>IFERROR(__xludf.DUMMYFUNCTION("if(AE142="""","""",iferror(filter(Schedule!$S:$S&amp;""-""&amp;Schedule!$T:$T,Schedule!$L:$L=AE142,(Schedule!$J:$J="""")+(Schedule!$J:$J=AF142),(Schedule!$K:$K=""a"")+(Schedule!$K:$K=""""),Schedule!$S:$S&lt;&gt;""""),""""))"),"")</f>
        <v/>
      </c>
      <c r="AI142" s="152" t="str">
        <f>IFERROR(__xludf.DUMMYFUNCTION("if(AE142="""","""",iferror(filter(Schedule!$S:$S&amp;""-""&amp;Schedule!$T:$T,Schedule!$L:$L=AE142,(Schedule!$J:$J="""")+(Schedule!$J:$J=AF142),(Schedule!$K:$K=""b"")+(Schedule!$K:$K=""""),Schedule!$S:$S&lt;&gt;""""),""""))"),"")</f>
        <v/>
      </c>
      <c r="AJ142" s="152" t="str">
        <f>IFERROR(__xludf.DUMMYFUNCTION("if(AE142="""","""",iferror(filter(Schedule!$Y:$Y&amp;""-""&amp;Schedule!$Z:$Z,Schedule!$L:$L=AE142,(Schedule!$J:$J="""")+(Schedule!$J:$J=AF142),(Schedule!$K:$K=""a"")+(Schedule!$K:$K=""""),Schedule!$Y:$Y&lt;&gt;""""),""""))"),"")</f>
        <v/>
      </c>
      <c r="AK142" s="152" t="str">
        <f>IFERROR(__xludf.DUMMYFUNCTION("if(AE142="""","""",iferror(filter(Schedule!$P:$P&amp;""-""&amp;Schedule!$Q:$Q,Schedule!$L:$L=AE142,(Schedule!$J:$J="""")+(Schedule!$J:$J=AF142),(Schedule!$K:$K=""b"")+(Schedule!$K:$K=""""),Schedule!$P:$P&lt;&gt;""""),""""))"),"")</f>
        <v/>
      </c>
      <c r="AL142" s="152" t="str">
        <f>if(AG138="","","X-Block")</f>
        <v/>
      </c>
      <c r="AM142" s="60"/>
    </row>
    <row r="143">
      <c r="A143" s="151" t="str">
        <f>C138</f>
        <v>Michael Landecker </v>
      </c>
      <c r="B143" s="151" t="str">
        <f>I138</f>
        <v>Y</v>
      </c>
      <c r="C143" s="147">
        <v>4.0</v>
      </c>
      <c r="D143" s="152" t="str">
        <f>IFERROR(__xludf.DUMMYFUNCTION("if(A143="""","""",iferror(filter(Schedule!$V:$V&amp;""-""&amp;Schedule!$W:$W,Schedule!$L:$L=A143,(Schedule!$J:$J="""")+(Schedule!$J:$J=B143),(Schedule!$K:$K=""a"")+(Schedule!$K:$K=""""),Schedule!$V:$V&lt;&gt;""""),""""))"),"")</f>
        <v/>
      </c>
      <c r="E143" s="152" t="str">
        <f>IFERROR(__xludf.DUMMYFUNCTION("if(A143="""","""",iferror(filter(Schedule!$M:$M&amp;""-""&amp;Schedule!$N:$N,Schedule!$L:$L=A143,(Schedule!$J:$J="""")+(Schedule!$J:$J=B143),(Schedule!$K:$K=""b"")+(Schedule!$K:$K=""""),Schedule!$M:$M&lt;&gt;""""),""""))"),"Math 6-1")</f>
        <v>Math 6-1</v>
      </c>
      <c r="F143" s="152" t="str">
        <f>IFERROR(__xludf.DUMMYFUNCTION("if(A143="""","""",iferror(filter(Schedule!$AB:$AB&amp;""-""&amp;Schedule!$AC:$AC,Schedule!$L:$L=A143,(Schedule!$J:$J="""")+(Schedule!$J:$J=B143),(Schedule!$K:$K=""a"")+(Schedule!$K:$K=""""),Schedule!$AB:$AB&lt;&gt;""""),""""))"),"Math 6-6")</f>
        <v>Math 6-6</v>
      </c>
      <c r="G143" s="152" t="str">
        <f>IFERROR(__xludf.DUMMYFUNCTION("if(A143="""","""",iferror(filter(Schedule!$S:$S&amp;""-""&amp;Schedule!$T:$T,Schedule!$L:$L=A143,(Schedule!$J:$J="""")+(Schedule!$J:$J=B143),(Schedule!$K:$K=""b"")+(Schedule!$K:$K=""""),Schedule!$S:$S&lt;&gt;""""),""""))"),"Math 6-2")</f>
        <v>Math 6-2</v>
      </c>
      <c r="H143" s="152" t="str">
        <f>IFERROR(__xludf.DUMMYFUNCTION("if(A143="""","""",iferror(filter(Schedule!$V:$V&amp;""-""&amp;Schedule!$W:$W,Schedule!$L:$L=A143,(Schedule!$J:$J="""")+(Schedule!$J:$J=B143),(Schedule!$K:$K=""b"")+(Schedule!$K:$K=""""),Schedule!$V:$V&lt;&gt;""""),""""))"),"")</f>
        <v/>
      </c>
      <c r="I143" s="60"/>
      <c r="J143" s="154"/>
      <c r="K143" s="151" t="str">
        <f>M138</f>
        <v/>
      </c>
      <c r="L143" s="151" t="str">
        <f>S138</f>
        <v/>
      </c>
      <c r="M143" s="147">
        <v>4.0</v>
      </c>
      <c r="N143" s="152" t="str">
        <f>IFERROR(__xludf.DUMMYFUNCTION("if(K143="""","""",iferror(filter(Schedule!$V:$V&amp;""-""&amp;Schedule!$W:$W,Schedule!$L:$L=K143,(Schedule!$J:$J="""")+(Schedule!$J:$J=L143),(Schedule!$K:$K=""a"")+(Schedule!$K:$K=""""),Schedule!$V:$V&lt;&gt;""""),""""))"),"")</f>
        <v/>
      </c>
      <c r="O143" s="152" t="str">
        <f>IFERROR(__xludf.DUMMYFUNCTION("if(K143="""","""",iferror(filter(Schedule!$M:$M&amp;""-""&amp;Schedule!$N:$N,Schedule!$L:$L=K143,(Schedule!$J:$J="""")+(Schedule!$J:$J=L143),(Schedule!$K:$K=""b"")+(Schedule!$K:$K=""""),Schedule!$M:$M&lt;&gt;""""),""""))"),"")</f>
        <v/>
      </c>
      <c r="P143" s="152" t="str">
        <f>IFERROR(__xludf.DUMMYFUNCTION("if(K143="""","""",iferror(filter(Schedule!$AB:$AB&amp;""-""&amp;Schedule!$AC:$AC,Schedule!$L:$L=K143,(Schedule!$J:$J="""")+(Schedule!$J:$J=L143),(Schedule!$K:$K=""a"")+(Schedule!$K:$K=""""),Schedule!$AB:$AB&lt;&gt;""""),""""))"),"")</f>
        <v/>
      </c>
      <c r="Q143" s="152" t="str">
        <f>IFERROR(__xludf.DUMMYFUNCTION("if(K143="""","""",iferror(filter(Schedule!$S:$S&amp;""-""&amp;Schedule!$T:$T,Schedule!$L:$L=K143,(Schedule!$J:$J="""")+(Schedule!$J:$J=L143),(Schedule!$K:$K=""b"")+(Schedule!$K:$K=""""),Schedule!$S:$S&lt;&gt;""""),""""))"),"")</f>
        <v/>
      </c>
      <c r="R143" s="152" t="str">
        <f>IFERROR(__xludf.DUMMYFUNCTION("if(K143="""","""",iferror(filter(Schedule!$V:$V&amp;""-""&amp;Schedule!$W:$W,Schedule!$L:$L=K143,(Schedule!$J:$J="""")+(Schedule!$J:$J=L143),(Schedule!$K:$K=""b"")+(Schedule!$K:$K=""""),Schedule!$V:$V&lt;&gt;""""),""""))"),"")</f>
        <v/>
      </c>
      <c r="S143" s="60"/>
      <c r="T143" s="155"/>
      <c r="U143" s="155" t="str">
        <f>W138</f>
        <v/>
      </c>
      <c r="V143" s="151" t="str">
        <f>AC138</f>
        <v/>
      </c>
      <c r="W143" s="147">
        <v>4.0</v>
      </c>
      <c r="X143" s="152" t="str">
        <f>IFERROR(__xludf.DUMMYFUNCTION("if(U143="""","""",iferror(filter(Schedule!$V:$V&amp;""-""&amp;Schedule!$W:$W,Schedule!$L:$L=U143,(Schedule!$J:$J="""")+(Schedule!$J:$J=V143),(Schedule!$K:$K=""a"")+(Schedule!$K:$K=""""),Schedule!$V:$V&lt;&gt;""""),""""))"),"")</f>
        <v/>
      </c>
      <c r="Y143" s="152" t="str">
        <f>IFERROR(__xludf.DUMMYFUNCTION("if(U143="""","""",iferror(filter(Schedule!$M:$M&amp;""-""&amp;Schedule!$N:$N,Schedule!$L:$L=U143,(Schedule!$J:$J="""")+(Schedule!$J:$J=V143),(Schedule!$K:$K=""b"")+(Schedule!$K:$K=""""),Schedule!$M:$M&lt;&gt;""""),""""))"),"")</f>
        <v/>
      </c>
      <c r="Z143" s="152" t="str">
        <f>IFERROR(__xludf.DUMMYFUNCTION("if(U143="""","""",iferror(filter(Schedule!$AB:$AB&amp;""-""&amp;Schedule!$AC:$AC,Schedule!$L:$L=U143,(Schedule!$J:$J="""")+(Schedule!$J:$J=V143),(Schedule!$K:$K=""a"")+(Schedule!$K:$K=""""),Schedule!$AB:$AB&lt;&gt;""""),""""))"),"")</f>
        <v/>
      </c>
      <c r="AA143" s="152" t="str">
        <f>IFERROR(__xludf.DUMMYFUNCTION("if(U143="""","""",iferror(filter(Schedule!$S:$S&amp;""-""&amp;Schedule!$T:$T,Schedule!$L:$L=U143,(Schedule!$J:$J="""")+(Schedule!$J:$J=V143),(Schedule!$K:$K=""b"")+(Schedule!$K:$K=""""),Schedule!$S:$S&lt;&gt;""""),""""))"),"")</f>
        <v/>
      </c>
      <c r="AB143" s="152" t="str">
        <f>IFERROR(__xludf.DUMMYFUNCTION("if(U143="""","""",iferror(filter(Schedule!$V:$V&amp;""-""&amp;Schedule!$W:$W,Schedule!$L:$L=U143,(Schedule!$J:$J="""")+(Schedule!$J:$J=V143),(Schedule!$K:$K=""b"")+(Schedule!$K:$K=""""),Schedule!$V:$V&lt;&gt;""""),""""))"),"")</f>
        <v/>
      </c>
      <c r="AC143" s="60"/>
      <c r="AD143" s="155"/>
      <c r="AE143" s="155" t="str">
        <f>AG138</f>
        <v/>
      </c>
      <c r="AF143" s="151" t="str">
        <f>AM138</f>
        <v/>
      </c>
      <c r="AG143" s="147">
        <v>4.0</v>
      </c>
      <c r="AH143" s="152" t="str">
        <f>IFERROR(__xludf.DUMMYFUNCTION("if(AE143="""","""",iferror(filter(Schedule!$V:$V&amp;""-""&amp;Schedule!$W:$W,Schedule!$L:$L=AE143,(Schedule!$J:$J="""")+(Schedule!$J:$J=AF143),(Schedule!$K:$K=""a"")+(Schedule!$K:$K=""""),Schedule!$V:$V&lt;&gt;""""),""""))"),"")</f>
        <v/>
      </c>
      <c r="AI143" s="152" t="str">
        <f>IFERROR(__xludf.DUMMYFUNCTION("if(AE143="""","""",iferror(filter(Schedule!$M:$M&amp;""-""&amp;Schedule!$N:$N,Schedule!$L:$L=AE143,(Schedule!$J:$J="""")+(Schedule!$J:$J=AF143),(Schedule!$K:$K=""b"")+(Schedule!$K:$K=""""),Schedule!$M:$M&lt;&gt;""""),""""))"),"")</f>
        <v/>
      </c>
      <c r="AJ143" s="152" t="str">
        <f>IFERROR(__xludf.DUMMYFUNCTION("if(AE143="""","""",iferror(filter(Schedule!$AB:$AB&amp;""-""&amp;Schedule!$AC:$AC,Schedule!$L:$L=AE143,(Schedule!$J:$J="""")+(Schedule!$J:$J=AF143),(Schedule!$K:$K=""a"")+(Schedule!$K:$K=""""),Schedule!$AB:$AB&lt;&gt;""""),""""))"),"")</f>
        <v/>
      </c>
      <c r="AK143" s="152" t="str">
        <f>IFERROR(__xludf.DUMMYFUNCTION("if(AE143="""","""",iferror(filter(Schedule!$S:$S&amp;""-""&amp;Schedule!$T:$T,Schedule!$L:$L=AE143,(Schedule!$J:$J="""")+(Schedule!$J:$J=AF143),(Schedule!$K:$K=""b"")+(Schedule!$K:$K=""""),Schedule!$S:$S&lt;&gt;""""),""""))"),"")</f>
        <v/>
      </c>
      <c r="AL143" s="152" t="str">
        <f>IFERROR(__xludf.DUMMYFUNCTION("if(AE143="""","""",iferror(filter(Schedule!$V:$V&amp;""-""&amp;Schedule!$W:$W,Schedule!$L:$L=AE143,(Schedule!$J:$J="""")+(Schedule!$J:$J=AF143),(Schedule!$K:$K=""b"")+(Schedule!$K:$K=""""),Schedule!$V:$V&lt;&gt;""""),""""))"),"")</f>
        <v/>
      </c>
      <c r="AM143" s="60"/>
    </row>
    <row r="144">
      <c r="A144" s="151" t="str">
        <f>C138</f>
        <v>Michael Landecker </v>
      </c>
      <c r="B144" s="151" t="str">
        <f>I138</f>
        <v>Y</v>
      </c>
      <c r="C144" s="147">
        <v>5.0</v>
      </c>
      <c r="D144" s="152" t="str">
        <f>IFERROR(__xludf.DUMMYFUNCTION("if(A144="""","""",iferror(filter(Schedule!$Y:$Y&amp;""-""&amp;Schedule!$Z:$Z,Schedule!$L:$L=A144,(Schedule!$J:$J="""")+(Schedule!$J:$J=B144),(Schedule!$K:$K=""a"")+(Schedule!$K:$K=""""),Schedule!$Y:$Y&lt;&gt;""""),""""))"),"Math 6A-4")</f>
        <v>Math 6A-4</v>
      </c>
      <c r="E144" s="152" t="str">
        <f>IFERROR(__xludf.DUMMYFUNCTION("if(A144="""","""",iferror(filter(Schedule!$P:$P&amp;""-""&amp;Schedule!$Q:$Q,Schedule!$L:$L=A144,(Schedule!$J:$J="""")+(Schedule!$J:$J=B144),(Schedule!$K:$K=""b"")+(Schedule!$K:$K=""""),Schedule!$P:$P&lt;&gt;""""),""""))"),"")</f>
        <v/>
      </c>
      <c r="F144" s="152" t="str">
        <f>IFERROR(__xludf.DUMMYFUNCTION("if(A144="""","""",iferror(filter(Schedule!$V:$V&amp;""-""&amp;Schedule!$W:$W,Schedule!$L:$L=A144,(Schedule!$J:$J="""")+(Schedule!$J:$J=B144),(Schedule!$K:$K=""b"")+(Schedule!$K:$K=""""),Schedule!$V:$V&lt;&gt;""""),""""))"),"")</f>
        <v/>
      </c>
      <c r="G144" s="152" t="str">
        <f>IFERROR(__xludf.DUMMYFUNCTION("if(A144="""","""",iferror(filter(Schedule!$AB:$AB&amp;""-""&amp;Schedule!$AC:$AC,Schedule!$L:$L=A144,(Schedule!$J:$J="""")+(Schedule!$J:$J=B144),(Schedule!$K:$K=""b"")+(Schedule!$K:$K=""""),Schedule!$AB:$AB&lt;&gt;""""),""""))"),"Math 6-6")</f>
        <v>Math 6-6</v>
      </c>
      <c r="H144" s="152" t="str">
        <f>IFERROR(__xludf.DUMMYFUNCTION("if(A144="""","""",iferror(filter(Schedule!$M:$M&amp;""-""&amp;Schedule!$N:$N,Schedule!$L:$L=A144,(Schedule!$J:$J="""")+(Schedule!$J:$J=B144),(Schedule!$K:$K=""b"")+(Schedule!$K:$K=""""),Schedule!$M:$M&lt;&gt;""""),""""))"),"Math 6-1")</f>
        <v>Math 6-1</v>
      </c>
      <c r="I144" s="64"/>
      <c r="J144" s="154"/>
      <c r="K144" s="151" t="str">
        <f>M138</f>
        <v/>
      </c>
      <c r="L144" s="151" t="str">
        <f>S138</f>
        <v/>
      </c>
      <c r="M144" s="147">
        <v>5.0</v>
      </c>
      <c r="N144" s="152" t="str">
        <f>IFERROR(__xludf.DUMMYFUNCTION("if(K144="""","""",iferror(filter(Schedule!$Y:$Y&amp;""-""&amp;Schedule!$Z:$Z,Schedule!$L:$L=K144,(Schedule!$J:$J="""")+(Schedule!$J:$J=L144),(Schedule!$K:$K=""a"")+(Schedule!$K:$K=""""),Schedule!$Y:$Y&lt;&gt;""""),""""))"),"")</f>
        <v/>
      </c>
      <c r="O144" s="152" t="str">
        <f>IFERROR(__xludf.DUMMYFUNCTION("if(K144="""","""",iferror(filter(Schedule!$P:$P&amp;""-""&amp;Schedule!$Q:$Q,Schedule!$L:$L=K144,(Schedule!$J:$J="""")+(Schedule!$J:$J=L144),(Schedule!$K:$K=""b"")+(Schedule!$K:$K=""""),Schedule!$P:$P&lt;&gt;""""),""""))"),"")</f>
        <v/>
      </c>
      <c r="P144" s="152" t="str">
        <f>IFERROR(__xludf.DUMMYFUNCTION("if(K144="""","""",iferror(filter(Schedule!$V:$V&amp;""-""&amp;Schedule!$W:$W,Schedule!$L:$L=K144,(Schedule!$J:$J="""")+(Schedule!$J:$J=L144),(Schedule!$K:$K=""b"")+(Schedule!$K:$K=""""),Schedule!$V:$V&lt;&gt;""""),""""))"),"")</f>
        <v/>
      </c>
      <c r="Q144" s="152" t="str">
        <f>IFERROR(__xludf.DUMMYFUNCTION("if(K144="""","""",iferror(filter(Schedule!$AB:$AB&amp;""-""&amp;Schedule!$AC:$AC,Schedule!$L:$L=K144,(Schedule!$J:$J="""")+(Schedule!$J:$J=L144),(Schedule!$K:$K=""b"")+(Schedule!$K:$K=""""),Schedule!$AB:$AB&lt;&gt;""""),""""))"),"")</f>
        <v/>
      </c>
      <c r="R144" s="152" t="str">
        <f>IFERROR(__xludf.DUMMYFUNCTION("if(K144="""","""",iferror(filter(Schedule!$M:$M&amp;""-""&amp;Schedule!$N:$N,Schedule!$L:$L=K144,(Schedule!$J:$J="""")+(Schedule!$J:$J=L144),(Schedule!$K:$K=""b"")+(Schedule!$K:$K=""""),Schedule!$M:$M&lt;&gt;""""),""""))"),"")</f>
        <v/>
      </c>
      <c r="S144" s="64"/>
      <c r="T144" s="155"/>
      <c r="U144" s="155" t="str">
        <f>W138</f>
        <v/>
      </c>
      <c r="V144" s="151" t="str">
        <f>AC138</f>
        <v/>
      </c>
      <c r="W144" s="147">
        <v>5.0</v>
      </c>
      <c r="X144" s="152" t="str">
        <f>IFERROR(__xludf.DUMMYFUNCTION("if(U144="""","""",iferror(filter(Schedule!$Y:$Y&amp;""-""&amp;Schedule!$Z:$Z,Schedule!$L:$L=U144,(Schedule!$J:$J="""")+(Schedule!$J:$J=V144),(Schedule!$K:$K=""a"")+(Schedule!$K:$K=""""),Schedule!$Y:$Y&lt;&gt;""""),""""))"),"")</f>
        <v/>
      </c>
      <c r="Y144" s="152" t="str">
        <f>IFERROR(__xludf.DUMMYFUNCTION("if(U144="""","""",iferror(filter(Schedule!$P:$P&amp;""-""&amp;Schedule!$Q:$Q,Schedule!$L:$L=U144,(Schedule!$J:$J="""")+(Schedule!$J:$J=V144),(Schedule!$K:$K=""b"")+(Schedule!$K:$K=""""),Schedule!$P:$P&lt;&gt;""""),""""))"),"")</f>
        <v/>
      </c>
      <c r="Z144" s="152" t="str">
        <f>IFERROR(__xludf.DUMMYFUNCTION("if(U144="""","""",iferror(filter(Schedule!$V:$V&amp;""-""&amp;Schedule!$W:$W,Schedule!$L:$L=U144,(Schedule!$J:$J="""")+(Schedule!$J:$J=V144),(Schedule!$K:$K=""b"")+(Schedule!$K:$K=""""),Schedule!$V:$V&lt;&gt;""""),""""))"),"")</f>
        <v/>
      </c>
      <c r="AA144" s="152" t="str">
        <f>IFERROR(__xludf.DUMMYFUNCTION("if(U144="""","""",iferror(filter(Schedule!$AB:$AB&amp;""-""&amp;Schedule!$AC:$AC,Schedule!$L:$L=U144,(Schedule!$J:$J="""")+(Schedule!$J:$J=V144),(Schedule!$K:$K=""b"")+(Schedule!$K:$K=""""),Schedule!$AB:$AB&lt;&gt;""""),""""))"),"")</f>
        <v/>
      </c>
      <c r="AB144" s="152" t="str">
        <f>IFERROR(__xludf.DUMMYFUNCTION("if(U144="""","""",iferror(filter(Schedule!$M:$M&amp;""-""&amp;Schedule!$N:$N,Schedule!$L:$L=U144,(Schedule!$J:$J="""")+(Schedule!$J:$J=V144),(Schedule!$K:$K=""b"")+(Schedule!$K:$K=""""),Schedule!$M:$M&lt;&gt;""""),""""))"),"")</f>
        <v/>
      </c>
      <c r="AC144" s="64"/>
      <c r="AD144" s="155"/>
      <c r="AE144" s="155" t="str">
        <f>AG138</f>
        <v/>
      </c>
      <c r="AF144" s="151" t="str">
        <f>AM138</f>
        <v/>
      </c>
      <c r="AG144" s="147">
        <v>5.0</v>
      </c>
      <c r="AH144" s="152" t="str">
        <f>IFERROR(__xludf.DUMMYFUNCTION("if(AE144="""","""",iferror(filter(Schedule!$Y:$Y&amp;""-""&amp;Schedule!$Z:$Z,Schedule!$L:$L=AE144,(Schedule!$J:$J="""")+(Schedule!$J:$J=AF144),(Schedule!$K:$K=""a"")+(Schedule!$K:$K=""""),Schedule!$Y:$Y&lt;&gt;""""),""""))"),"")</f>
        <v/>
      </c>
      <c r="AI144" s="152" t="str">
        <f>IFERROR(__xludf.DUMMYFUNCTION("if(AE144="""","""",iferror(filter(Schedule!$P:$P&amp;""-""&amp;Schedule!$Q:$Q,Schedule!$L:$L=AE144,(Schedule!$J:$J="""")+(Schedule!$J:$J=AF144),(Schedule!$K:$K=""b"")+(Schedule!$K:$K=""""),Schedule!$P:$P&lt;&gt;""""),""""))"),"")</f>
        <v/>
      </c>
      <c r="AJ144" s="152" t="str">
        <f>IFERROR(__xludf.DUMMYFUNCTION("if(AE144="""","""",iferror(filter(Schedule!$V:$V&amp;""-""&amp;Schedule!$W:$W,Schedule!$L:$L=AE144,(Schedule!$J:$J="""")+(Schedule!$J:$J=AF144),(Schedule!$K:$K=""b"")+(Schedule!$K:$K=""""),Schedule!$V:$V&lt;&gt;""""),""""))"),"")</f>
        <v/>
      </c>
      <c r="AK144" s="152" t="str">
        <f>IFERROR(__xludf.DUMMYFUNCTION("if(AE144="""","""",iferror(filter(Schedule!$AB:$AB&amp;""-""&amp;Schedule!$AC:$AC,Schedule!$L:$L=AE144,(Schedule!$J:$J="""")+(Schedule!$J:$J=AF144),(Schedule!$K:$K=""b"")+(Schedule!$K:$K=""""),Schedule!$AB:$AB&lt;&gt;""""),""""))"),"")</f>
        <v/>
      </c>
      <c r="AL144" s="152" t="str">
        <f>IFERROR(__xludf.DUMMYFUNCTION("if(AE144="""","""",iferror(filter(Schedule!$M:$M&amp;""-""&amp;Schedule!$N:$N,Schedule!$L:$L=AE144,(Schedule!$J:$J="""")+(Schedule!$J:$J=AF144),(Schedule!$K:$K=""b"")+(Schedule!$K:$K=""""),Schedule!$M:$M&lt;&gt;""""),""""))"),"")</f>
        <v/>
      </c>
      <c r="AM144" s="64"/>
    </row>
    <row r="145">
      <c r="A145" s="11"/>
      <c r="B145" s="11"/>
      <c r="C145" s="156"/>
      <c r="D145" s="156"/>
      <c r="E145" s="156"/>
      <c r="F145" s="156"/>
      <c r="G145" s="156"/>
      <c r="H145" s="156"/>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c r="A146" s="5"/>
      <c r="B146" s="5"/>
      <c r="C146" s="140" t="str">
        <f>Teachers!A19</f>
        <v>Michael Ramires</v>
      </c>
      <c r="D146" s="141"/>
      <c r="E146" s="141"/>
      <c r="F146" s="141"/>
      <c r="G146" s="141"/>
      <c r="H146" s="142"/>
      <c r="I146" s="143" t="str">
        <f>IFERROR(__xludf.DUMMYFUNCTION("if(C146="""","""", iferror(unique(filter(Schedule!$J:$J,Schedule!$L:$L=$C146,Schedule!$J:$J=""Q1"")),iferror(unique(filter(Schedule!$J:$J,Schedule!$L:$L=$C146,Schedule!$J:$J=""S1"")),""Y"")))"),"Y")</f>
        <v>Y</v>
      </c>
      <c r="J146" s="11"/>
      <c r="K146" s="11"/>
      <c r="L146" s="11"/>
      <c r="M146" s="140" t="str">
        <f>if(S146="","",C146)</f>
        <v/>
      </c>
      <c r="N146" s="141"/>
      <c r="O146" s="141"/>
      <c r="P146" s="141"/>
      <c r="Q146" s="141"/>
      <c r="R146" s="142"/>
      <c r="S146" s="143" t="str">
        <f>if($I146="Q1","Q2",if($I146="S1","S2",""))</f>
        <v/>
      </c>
      <c r="T146" s="144"/>
      <c r="U146" s="144"/>
      <c r="V146" s="145"/>
      <c r="W146" s="140" t="str">
        <f>if(AC146="","",M146)</f>
        <v/>
      </c>
      <c r="X146" s="141"/>
      <c r="Y146" s="141"/>
      <c r="Z146" s="141"/>
      <c r="AA146" s="141"/>
      <c r="AB146" s="142"/>
      <c r="AC146" s="143" t="str">
        <f>if($I146="Q1","Q3","")</f>
        <v/>
      </c>
      <c r="AD146" s="144"/>
      <c r="AE146" s="144"/>
      <c r="AF146" s="145"/>
      <c r="AG146" s="140" t="str">
        <f>if(AC146="","",W146)</f>
        <v/>
      </c>
      <c r="AH146" s="141"/>
      <c r="AI146" s="141"/>
      <c r="AJ146" s="141"/>
      <c r="AK146" s="141"/>
      <c r="AL146" s="142"/>
      <c r="AM146" s="143" t="str">
        <f>if($I146="Q1","Q4","")</f>
        <v/>
      </c>
    </row>
    <row r="147">
      <c r="A147" s="146"/>
      <c r="B147" s="146"/>
      <c r="C147" s="147" t="s">
        <v>94</v>
      </c>
      <c r="D147" s="148" t="s">
        <v>95</v>
      </c>
      <c r="E147" s="148" t="s">
        <v>96</v>
      </c>
      <c r="F147" s="148" t="s">
        <v>97</v>
      </c>
      <c r="G147" s="148" t="s">
        <v>98</v>
      </c>
      <c r="H147" s="148" t="s">
        <v>99</v>
      </c>
      <c r="I147" s="148" t="s">
        <v>651</v>
      </c>
      <c r="J147" s="146"/>
      <c r="K147" s="146"/>
      <c r="L147" s="146"/>
      <c r="M147" s="147" t="s">
        <v>94</v>
      </c>
      <c r="N147" s="148" t="s">
        <v>95</v>
      </c>
      <c r="O147" s="148" t="s">
        <v>96</v>
      </c>
      <c r="P147" s="148" t="s">
        <v>97</v>
      </c>
      <c r="Q147" s="148" t="s">
        <v>98</v>
      </c>
      <c r="R147" s="148" t="s">
        <v>99</v>
      </c>
      <c r="S147" s="148" t="s">
        <v>651</v>
      </c>
      <c r="T147" s="149"/>
      <c r="U147" s="149"/>
      <c r="V147" s="150"/>
      <c r="W147" s="147" t="s">
        <v>94</v>
      </c>
      <c r="X147" s="148" t="s">
        <v>95</v>
      </c>
      <c r="Y147" s="148" t="s">
        <v>96</v>
      </c>
      <c r="Z147" s="148" t="s">
        <v>97</v>
      </c>
      <c r="AA147" s="148" t="s">
        <v>98</v>
      </c>
      <c r="AB147" s="148" t="s">
        <v>99</v>
      </c>
      <c r="AC147" s="148" t="s">
        <v>651</v>
      </c>
      <c r="AD147" s="149"/>
      <c r="AE147" s="149"/>
      <c r="AF147" s="150"/>
      <c r="AG147" s="147" t="s">
        <v>94</v>
      </c>
      <c r="AH147" s="148" t="s">
        <v>95</v>
      </c>
      <c r="AI147" s="148" t="s">
        <v>96</v>
      </c>
      <c r="AJ147" s="148" t="s">
        <v>97</v>
      </c>
      <c r="AK147" s="148" t="s">
        <v>98</v>
      </c>
      <c r="AL147" s="148" t="s">
        <v>99</v>
      </c>
      <c r="AM147" s="148" t="s">
        <v>651</v>
      </c>
    </row>
    <row r="148">
      <c r="A148" s="151" t="str">
        <f>C146</f>
        <v>Michael Ramires</v>
      </c>
      <c r="B148" s="151" t="str">
        <f>I146</f>
        <v>Y</v>
      </c>
      <c r="C148" s="147">
        <v>1.0</v>
      </c>
      <c r="D148" s="152" t="str">
        <f>IFERROR(__xludf.DUMMYFUNCTION("if(A148="""","""",iferror(filter(Schedule!$M:$M&amp;""-""&amp;Schedule!$N:$N,Schedule!$L:$L=A148,(Schedule!$J:$J="""")+(Schedule!$J:$J=B148),(Schedule!$K:$K=""a"")+(Schedule!$K:$K=""""),Schedule!$M:$M&lt;&gt;""""),""""))"),"")</f>
        <v/>
      </c>
      <c r="E148" s="152" t="str">
        <f>IFERROR(__xludf.DUMMYFUNCTION("if(A148="""","""",iferror(filter(Schedule!$AB:$AB&amp;""-""&amp;Schedule!$AC:$AC,Schedule!$L:$L=A148,(Schedule!$J:$J="""")+(Schedule!$J:$J=B148),(Schedule!$K:$K=""b"")+(Schedule!$K:$K=""""),Schedule!$AB:$AB&lt;&gt;""""),""""))"),"Science 8-6")</f>
        <v>Science 8-6</v>
      </c>
      <c r="F148" s="152" t="str">
        <f>IFERROR(__xludf.DUMMYFUNCTION("if(A148="""","""",iferror(filter(Schedule!$S:$S&amp;""-""&amp;Schedule!$T:$T,Schedule!$L:$L=A148,(Schedule!$J:$J="""")+(Schedule!$J:$J=B148),(Schedule!$K:$K=""a"")+(Schedule!$K:$K=""""),Schedule!$S:$S&lt;&gt;""""),""""))"),"Science 8-2")</f>
        <v>Science 8-2</v>
      </c>
      <c r="G148" s="152" t="str">
        <f>IFERROR(__xludf.DUMMYFUNCTION("if(A148="""","""",iferror(filter(Schedule!$V:$V&amp;""-""&amp;Schedule!$W:$W,Schedule!$L:$L=A148,(Schedule!$J:$J="""")+(Schedule!$J:$J=B148),(Schedule!$K:$K=""a"")+(Schedule!$K:$K=""""),Schedule!$V:$V&lt;&gt;""""),""""))"),"Science 8A-4")</f>
        <v>Science 8A-4</v>
      </c>
      <c r="H148" s="152" t="str">
        <f>IFERROR(__xludf.DUMMYFUNCTION("if(A148="""","""",iferror(filter(Schedule!$Y:$Y&amp;""-""&amp;Schedule!$Z:$Z,Schedule!$L:$L=A148,(Schedule!$J:$J="""")+(Schedule!$J:$J=B148),(Schedule!$K:$K=""b"")+(Schedule!$K:$K=""""),Schedule!$Y:$Y&lt;&gt;""""),""""))"),"")</f>
        <v/>
      </c>
      <c r="I148" s="153">
        <f>if(C146="","", 24-countifs(D148:H152,""))</f>
        <v>16</v>
      </c>
      <c r="J148" s="154"/>
      <c r="K148" s="151" t="str">
        <f>M146</f>
        <v/>
      </c>
      <c r="L148" s="151" t="str">
        <f>S146</f>
        <v/>
      </c>
      <c r="M148" s="147">
        <v>1.0</v>
      </c>
      <c r="N148" s="152" t="str">
        <f>IFERROR(__xludf.DUMMYFUNCTION("if(K148="""","""",iferror(filter(Schedule!$M:$M&amp;""-""&amp;Schedule!$N:$N,Schedule!$L:$L=K148,(Schedule!$J:$J="""")+(Schedule!$J:$J=L148),(Schedule!$K:$K=""a"")+(Schedule!$K:$K=""""),Schedule!$M:$M&lt;&gt;""""),""""))"),"")</f>
        <v/>
      </c>
      <c r="O148" s="152" t="str">
        <f>IFERROR(__xludf.DUMMYFUNCTION("if(K148="""","""",iferror(filter(Schedule!$AB:$AB&amp;""-""&amp;Schedule!$AC:$AC,Schedule!$L:$L=K148,(Schedule!$J:$J="""")+(Schedule!$J:$J=L148),(Schedule!$K:$K=""b"")+(Schedule!$K:$K=""""),Schedule!$AB:$AB&lt;&gt;""""),""""))"),"")</f>
        <v/>
      </c>
      <c r="P148" s="152" t="str">
        <f>IFERROR(__xludf.DUMMYFUNCTION("if(K148="""","""",iferror(filter(Schedule!$S:$S&amp;""-""&amp;Schedule!$T:$T,Schedule!$L:$L=K148,(Schedule!$J:$J="""")+(Schedule!$J:$J=L148),(Schedule!$K:$K=""a"")+(Schedule!$K:$K=""""),Schedule!$S:$S&lt;&gt;""""),""""))"),"")</f>
        <v/>
      </c>
      <c r="Q148" s="152" t="str">
        <f>IFERROR(__xludf.DUMMYFUNCTION("if(K148="""","""",iferror(filter(Schedule!$V:$V&amp;""-""&amp;Schedule!$W:$W,Schedule!$L:$L=K148,(Schedule!$J:$J="""")+(Schedule!$J:$J=L148),(Schedule!$K:$K=""a"")+(Schedule!$K:$K=""""),Schedule!$V:$V&lt;&gt;""""),""""))"),"")</f>
        <v/>
      </c>
      <c r="R148" s="152" t="str">
        <f>IFERROR(__xludf.DUMMYFUNCTION("if(K148="""","""",iferror(filter(Schedule!$Y:$Y&amp;""-""&amp;Schedule!$Z:$Z,Schedule!$L:$L=K148,(Schedule!$J:$J="""")+(Schedule!$J:$J=L148),(Schedule!$K:$K=""b"")+(Schedule!$K:$K=""""),Schedule!$Y:$Y&lt;&gt;""""),""""))"),"")</f>
        <v/>
      </c>
      <c r="S148" s="153" t="str">
        <f>if(K148="","", 24-countifs(N148:R152,""))</f>
        <v/>
      </c>
      <c r="T148" s="155"/>
      <c r="U148" s="155" t="str">
        <f>W146</f>
        <v/>
      </c>
      <c r="V148" s="151" t="str">
        <f>AC146</f>
        <v/>
      </c>
      <c r="W148" s="147">
        <v>1.0</v>
      </c>
      <c r="X148" s="152" t="str">
        <f>IFERROR(__xludf.DUMMYFUNCTION("if(U148="""","""",iferror(filter(Schedule!$M:$M&amp;""-""&amp;Schedule!$N:$N,Schedule!$L:$L=U148,(Schedule!$J:$J="""")+(Schedule!$J:$J=V148),(Schedule!$K:$K=""a"")+(Schedule!$K:$K=""""),Schedule!$M:$M&lt;&gt;""""),""""))"),"")</f>
        <v/>
      </c>
      <c r="Y148" s="152" t="str">
        <f>IFERROR(__xludf.DUMMYFUNCTION("if(U148="""","""",iferror(filter(Schedule!$AB:$AB&amp;""-""&amp;Schedule!$AC:$AC,Schedule!$L:$L=U148,(Schedule!$J:$J="""")+(Schedule!$J:$J=V148),(Schedule!$K:$K=""b"")+(Schedule!$K:$K=""""),Schedule!$AB:$AB&lt;&gt;""""),""""))"),"")</f>
        <v/>
      </c>
      <c r="Z148" s="152" t="str">
        <f>IFERROR(__xludf.DUMMYFUNCTION("if(U148="""","""",iferror(filter(Schedule!$S:$S&amp;""-""&amp;Schedule!$T:$T,Schedule!$L:$L=U148,(Schedule!$J:$J="""")+(Schedule!$J:$J=V148),(Schedule!$K:$K=""a"")+(Schedule!$K:$K=""""),Schedule!$S:$S&lt;&gt;""""),""""))"),"")</f>
        <v/>
      </c>
      <c r="AA148" s="152" t="str">
        <f>IFERROR(__xludf.DUMMYFUNCTION("if(U148="""","""",iferror(filter(Schedule!$V:$V&amp;""-""&amp;Schedule!$W:$W,Schedule!$L:$L=U148,(Schedule!$J:$J="""")+(Schedule!$J:$J=V148),(Schedule!$K:$K=""a"")+(Schedule!$K:$K=""""),Schedule!$V:$V&lt;&gt;""""),""""))"),"")</f>
        <v/>
      </c>
      <c r="AB148" s="152" t="str">
        <f>IFERROR(__xludf.DUMMYFUNCTION("if(U148="""","""",iferror(filter(Schedule!$Y:$Y&amp;""-""&amp;Schedule!$Z:$Z,Schedule!$L:$L=U148,(Schedule!$J:$J="""")+(Schedule!$J:$J=V148),(Schedule!$K:$K=""b"")+(Schedule!$K:$K=""""),Schedule!$Y:$Y&lt;&gt;""""),""""))"),"")</f>
        <v/>
      </c>
      <c r="AC148" s="153" t="str">
        <f>if(U148="","", 24-countifs(X148:AB152,""))</f>
        <v/>
      </c>
      <c r="AD148" s="155"/>
      <c r="AE148" s="155" t="str">
        <f>AG146</f>
        <v/>
      </c>
      <c r="AF148" s="151" t="str">
        <f>AM146</f>
        <v/>
      </c>
      <c r="AG148" s="147">
        <v>1.0</v>
      </c>
      <c r="AH148" s="152" t="str">
        <f>IFERROR(__xludf.DUMMYFUNCTION("if(AE148="""","""",iferror(filter(Schedule!$M:$M&amp;""-""&amp;Schedule!$N:$N,Schedule!$L:$L=AE148,(Schedule!$J:$J="""")+(Schedule!$J:$J=AF148),(Schedule!$K:$K=""a"")+(Schedule!$K:$K=""""),Schedule!$M:$M&lt;&gt;""""),""""))"),"")</f>
        <v/>
      </c>
      <c r="AI148" s="152" t="str">
        <f>IFERROR(__xludf.DUMMYFUNCTION("if(AE148="""","""",iferror(filter(Schedule!$AB:$AB&amp;""-""&amp;Schedule!$AC:$AC,Schedule!$L:$L=AE148,(Schedule!$J:$J="""")+(Schedule!$J:$J=AF148),(Schedule!$K:$K=""b"")+(Schedule!$K:$K=""""),Schedule!$AB:$AB&lt;&gt;""""),""""))"),"")</f>
        <v/>
      </c>
      <c r="AJ148" s="152" t="str">
        <f>IFERROR(__xludf.DUMMYFUNCTION("if(AE148="""","""",iferror(filter(Schedule!$S:$S&amp;""-""&amp;Schedule!$T:$T,Schedule!$L:$L=AE148,(Schedule!$J:$J="""")+(Schedule!$J:$J=AF148),(Schedule!$K:$K=""a"")+(Schedule!$K:$K=""""),Schedule!$S:$S&lt;&gt;""""),""""))"),"")</f>
        <v/>
      </c>
      <c r="AK148" s="152" t="str">
        <f>IFERROR(__xludf.DUMMYFUNCTION("if(AE148="""","""",iferror(filter(Schedule!$V:$V&amp;""-""&amp;Schedule!$W:$W,Schedule!$L:$L=AE148,(Schedule!$J:$J="""")+(Schedule!$J:$J=AF148),(Schedule!$K:$K=""a"")+(Schedule!$K:$K=""""),Schedule!$V:$V&lt;&gt;""""),""""))"),"")</f>
        <v/>
      </c>
      <c r="AL148" s="152" t="str">
        <f>IFERROR(__xludf.DUMMYFUNCTION("if(AE148="""","""",iferror(filter(Schedule!$Y:$Y&amp;""-""&amp;Schedule!$Z:$Z,Schedule!$L:$L=AE148,(Schedule!$J:$J="""")+(Schedule!$J:$J=AF148),(Schedule!$K:$K=""b"")+(Schedule!$K:$K=""""),Schedule!$Y:$Y&lt;&gt;""""),""""))"),"")</f>
        <v/>
      </c>
      <c r="AM148" s="153" t="str">
        <f>if(AE148="","", 24-countifs(AH148:AL152,""))</f>
        <v/>
      </c>
    </row>
    <row r="149">
      <c r="A149" s="151" t="str">
        <f>C146</f>
        <v>Michael Ramires</v>
      </c>
      <c r="B149" s="151" t="str">
        <f>I146</f>
        <v>Y</v>
      </c>
      <c r="C149" s="147">
        <v>2.0</v>
      </c>
      <c r="D149" s="152" t="str">
        <f>IFERROR(__xludf.DUMMYFUNCTION("if(A149="""","""",iferror(filter(Schedule!$P:$P&amp;""-""&amp;Schedule!$Q:$Q,Schedule!$L:$L=A149,(Schedule!$J:$J="""")+(Schedule!$J:$J=B149),(Schedule!$K:$K=""a"")+(Schedule!$K:$K=""""),Schedule!$P:$P&lt;&gt;""""),""""))"),"Science 8-1")</f>
        <v>Science 8-1</v>
      </c>
      <c r="E149" s="152" t="str">
        <f>IFERROR(__xludf.DUMMYFUNCTION("if(A149="""","""",iferror(filter(Schedule!$Y:$Y&amp;""-""&amp;Schedule!$Z:$Z,Schedule!$L:$L=A149,(Schedule!$J:$J="""")+(Schedule!$J:$J=B149),(Schedule!$K:$K=""b"")+(Schedule!$K:$K=""""),Schedule!$Y:$Y&lt;&gt;""""),""""))"),"")</f>
        <v/>
      </c>
      <c r="F149" s="152" t="str">
        <f>IFERROR(__xludf.DUMMYFUNCTION("if(A149="""","""",iferror(filter(Schedule!$P:$P&amp;""-""&amp;Schedule!$Q:$Q,Schedule!$L:$L=A149,(Schedule!$J:$J="""")+(Schedule!$J:$J=B149),(Schedule!$K:$K=""a"")+(Schedule!$K:$K=""""),Schedule!$P:$P&lt;&gt;""""),""""))"),"Science 8-1")</f>
        <v>Science 8-1</v>
      </c>
      <c r="G149" s="152" t="str">
        <f>IFERROR(__xludf.DUMMYFUNCTION("if(A149="""","""",iferror(filter(Schedule!$M:$M&amp;""-""&amp;Schedule!$N:$N,Schedule!$L:$L=A149,(Schedule!$J:$J="""")+(Schedule!$J:$J=B149),(Schedule!$K:$K=""a"")+(Schedule!$K:$K=""""),Schedule!$M:$M&lt;&gt;""""),""""))"),"")</f>
        <v/>
      </c>
      <c r="H149" s="152" t="str">
        <f>IFERROR(__xludf.DUMMYFUNCTION("if(A149="""","""",iferror(filter(Schedule!$AB:$AB&amp;""-""&amp;Schedule!$AC:$AC,Schedule!$L:$L=A149,(Schedule!$J:$J="""")+(Schedule!$J:$J=B149),(Schedule!$K:$K=""a"")+(Schedule!$K:$K=""""),Schedule!$AB:$AB&lt;&gt;""""),""""))"),"Science 8-6")</f>
        <v>Science 8-6</v>
      </c>
      <c r="I149" s="60"/>
      <c r="J149" s="154"/>
      <c r="K149" s="151" t="str">
        <f>M146</f>
        <v/>
      </c>
      <c r="L149" s="151" t="str">
        <f>S146</f>
        <v/>
      </c>
      <c r="M149" s="147">
        <v>2.0</v>
      </c>
      <c r="N149" s="152" t="str">
        <f>IFERROR(__xludf.DUMMYFUNCTION("if(K149="""","""",iferror(filter(Schedule!$P:$P&amp;""-""&amp;Schedule!$Q:$Q,Schedule!$L:$L=K149,(Schedule!$J:$J="""")+(Schedule!$J:$J=L149),(Schedule!$K:$K=""a"")+(Schedule!$K:$K=""""),Schedule!$P:$P&lt;&gt;""""),""""))"),"")</f>
        <v/>
      </c>
      <c r="O149" s="152" t="str">
        <f>IFERROR(__xludf.DUMMYFUNCTION("if(K149="""","""",iferror(filter(Schedule!$Y:$Y&amp;""-""&amp;Schedule!$Z:$Z,Schedule!$L:$L=K149,(Schedule!$J:$J="""")+(Schedule!$J:$J=L149),(Schedule!$K:$K=""b"")+(Schedule!$K:$K=""""),Schedule!$Y:$Y&lt;&gt;""""),""""))"),"")</f>
        <v/>
      </c>
      <c r="P149" s="152" t="str">
        <f>IFERROR(__xludf.DUMMYFUNCTION("if(K149="""","""",iferror(filter(Schedule!$P:$P&amp;""-""&amp;Schedule!$Q:$Q,Schedule!$L:$L=K149,(Schedule!$J:$J="""")+(Schedule!$J:$J=L149),(Schedule!$K:$K=""a"")+(Schedule!$K:$K=""""),Schedule!$P:$P&lt;&gt;""""),""""))"),"")</f>
        <v/>
      </c>
      <c r="Q149" s="152" t="str">
        <f>IFERROR(__xludf.DUMMYFUNCTION("if(K149="""","""",iferror(filter(Schedule!$M:$M&amp;""-""&amp;Schedule!$N:$N,Schedule!$L:$L=K149,(Schedule!$J:$J="""")+(Schedule!$J:$J=L149),(Schedule!$K:$K=""a"")+(Schedule!$K:$K=""""),Schedule!$M:$M&lt;&gt;""""),""""))"),"")</f>
        <v/>
      </c>
      <c r="R149" s="152" t="str">
        <f>IFERROR(__xludf.DUMMYFUNCTION("if(K149="""","""",iferror(filter(Schedule!$AB:$AB&amp;""-""&amp;Schedule!$AC:$AC,Schedule!$L:$L=K149,(Schedule!$J:$J="""")+(Schedule!$J:$J=L149),(Schedule!$K:$K=""a"")+(Schedule!$K:$K=""""),Schedule!$AB:$AB&lt;&gt;""""),""""))"),"")</f>
        <v/>
      </c>
      <c r="S149" s="60"/>
      <c r="T149" s="155"/>
      <c r="U149" s="155" t="str">
        <f>W146</f>
        <v/>
      </c>
      <c r="V149" s="151" t="str">
        <f>AC146</f>
        <v/>
      </c>
      <c r="W149" s="147">
        <v>2.0</v>
      </c>
      <c r="X149" s="152" t="str">
        <f>IFERROR(__xludf.DUMMYFUNCTION("if(U149="""","""",iferror(filter(Schedule!$P:$P&amp;""-""&amp;Schedule!$Q:$Q,Schedule!$L:$L=U149,(Schedule!$J:$J="""")+(Schedule!$J:$J=V149),(Schedule!$K:$K=""a"")+(Schedule!$K:$K=""""),Schedule!$P:$P&lt;&gt;""""),""""))"),"")</f>
        <v/>
      </c>
      <c r="Y149" s="152" t="str">
        <f>IFERROR(__xludf.DUMMYFUNCTION("if(U149="""","""",iferror(filter(Schedule!$Y:$Y&amp;""-""&amp;Schedule!$Z:$Z,Schedule!$L:$L=U149,(Schedule!$J:$J="""")+(Schedule!$J:$J=V149),(Schedule!$K:$K=""b"")+(Schedule!$K:$K=""""),Schedule!$Y:$Y&lt;&gt;""""),""""))"),"")</f>
        <v/>
      </c>
      <c r="Z149" s="152" t="str">
        <f>IFERROR(__xludf.DUMMYFUNCTION("if(U149="""","""",iferror(filter(Schedule!$P:$P&amp;""-""&amp;Schedule!$Q:$Q,Schedule!$L:$L=U149,(Schedule!$J:$J="""")+(Schedule!$J:$J=V149),(Schedule!$K:$K=""a"")+(Schedule!$K:$K=""""),Schedule!$P:$P&lt;&gt;""""),""""))"),"")</f>
        <v/>
      </c>
      <c r="AA149" s="152" t="str">
        <f>IFERROR(__xludf.DUMMYFUNCTION("if(U149="""","""",iferror(filter(Schedule!$M:$M&amp;""-""&amp;Schedule!$N:$N,Schedule!$L:$L=U149,(Schedule!$J:$J="""")+(Schedule!$J:$J=V149),(Schedule!$K:$K=""a"")+(Schedule!$K:$K=""""),Schedule!$M:$M&lt;&gt;""""),""""))"),"")</f>
        <v/>
      </c>
      <c r="AB149" s="152" t="str">
        <f>IFERROR(__xludf.DUMMYFUNCTION("if(U149="""","""",iferror(filter(Schedule!$AB:$AB&amp;""-""&amp;Schedule!$AC:$AC,Schedule!$L:$L=U149,(Schedule!$J:$J="""")+(Schedule!$J:$J=V149),(Schedule!$K:$K=""a"")+(Schedule!$K:$K=""""),Schedule!$AB:$AB&lt;&gt;""""),""""))"),"")</f>
        <v/>
      </c>
      <c r="AC149" s="60"/>
      <c r="AD149" s="155"/>
      <c r="AE149" s="155" t="str">
        <f>AG146</f>
        <v/>
      </c>
      <c r="AF149" s="151" t="str">
        <f>AM146</f>
        <v/>
      </c>
      <c r="AG149" s="147">
        <v>2.0</v>
      </c>
      <c r="AH149" s="152" t="str">
        <f>IFERROR(__xludf.DUMMYFUNCTION("if(AE149="""","""",iferror(filter(Schedule!$P:$P&amp;""-""&amp;Schedule!$Q:$Q,Schedule!$L:$L=AE149,(Schedule!$J:$J="""")+(Schedule!$J:$J=AF149),(Schedule!$K:$K=""a"")+(Schedule!$K:$K=""""),Schedule!$P:$P&lt;&gt;""""),""""))"),"")</f>
        <v/>
      </c>
      <c r="AI149" s="152" t="str">
        <f>IFERROR(__xludf.DUMMYFUNCTION("if(AE149="""","""",iferror(filter(Schedule!$Y:$Y&amp;""-""&amp;Schedule!$Z:$Z,Schedule!$L:$L=AE149,(Schedule!$J:$J="""")+(Schedule!$J:$J=AF149),(Schedule!$K:$K=""b"")+(Schedule!$K:$K=""""),Schedule!$Y:$Y&lt;&gt;""""),""""))"),"")</f>
        <v/>
      </c>
      <c r="AJ149" s="152" t="str">
        <f>IFERROR(__xludf.DUMMYFUNCTION("if(AE149="""","""",iferror(filter(Schedule!$P:$P&amp;""-""&amp;Schedule!$Q:$Q,Schedule!$L:$L=AE149,(Schedule!$J:$J="""")+(Schedule!$J:$J=AF149),(Schedule!$K:$K=""a"")+(Schedule!$K:$K=""""),Schedule!$P:$P&lt;&gt;""""),""""))"),"")</f>
        <v/>
      </c>
      <c r="AK149" s="152" t="str">
        <f>IFERROR(__xludf.DUMMYFUNCTION("if(AE149="""","""",iferror(filter(Schedule!$M:$M&amp;""-""&amp;Schedule!$N:$N,Schedule!$L:$L=AE149,(Schedule!$J:$J="""")+(Schedule!$J:$J=AF149),(Schedule!$K:$K=""a"")+(Schedule!$K:$K=""""),Schedule!$M:$M&lt;&gt;""""),""""))"),"")</f>
        <v/>
      </c>
      <c r="AL149" s="152" t="str">
        <f>IFERROR(__xludf.DUMMYFUNCTION("if(AE149="""","""",iferror(filter(Schedule!$AB:$AB&amp;""-""&amp;Schedule!$AC:$AC,Schedule!$L:$L=AE149,(Schedule!$J:$J="""")+(Schedule!$J:$J=AF149),(Schedule!$K:$K=""a"")+(Schedule!$K:$K=""""),Schedule!$AB:$AB&lt;&gt;""""),""""))"),"")</f>
        <v/>
      </c>
      <c r="AM149" s="60"/>
    </row>
    <row r="150">
      <c r="A150" s="151" t="str">
        <f>C146</f>
        <v>Michael Ramires</v>
      </c>
      <c r="B150" s="151" t="str">
        <f>I146</f>
        <v>Y</v>
      </c>
      <c r="C150" s="147">
        <v>3.0</v>
      </c>
      <c r="D150" s="152" t="str">
        <f>IFERROR(__xludf.DUMMYFUNCTION("if(A150="""","""",iferror(filter(Schedule!$S:$S&amp;""-""&amp;Schedule!$T:$T,Schedule!$L:$L=A150,(Schedule!$J:$J="""")+(Schedule!$J:$J=B150),(Schedule!$K:$K=""a"")+(Schedule!$K:$K=""""),Schedule!$S:$S&lt;&gt;""""),""""))"),"Science 8-2")</f>
        <v>Science 8-2</v>
      </c>
      <c r="E150" s="152" t="str">
        <f>IFERROR(__xludf.DUMMYFUNCTION("if(A150="""","""",iferror(filter(Schedule!$S:$S&amp;""-""&amp;Schedule!$T:$T,Schedule!$L:$L=A150,(Schedule!$J:$J="""")+(Schedule!$J:$J=B150),(Schedule!$K:$K=""b"")+(Schedule!$K:$K=""""),Schedule!$S:$S&lt;&gt;""""),""""))"),"Science 8-2")</f>
        <v>Science 8-2</v>
      </c>
      <c r="F150" s="152" t="str">
        <f>IFERROR(__xludf.DUMMYFUNCTION("if(A150="""","""",iferror(filter(Schedule!$Y:$Y&amp;""-""&amp;Schedule!$Z:$Z,Schedule!$L:$L=A150,(Schedule!$J:$J="""")+(Schedule!$J:$J=B150),(Schedule!$K:$K=""a"")+(Schedule!$K:$K=""""),Schedule!$Y:$Y&lt;&gt;""""),""""))"),"")</f>
        <v/>
      </c>
      <c r="G150" s="152" t="str">
        <f>IFERROR(__xludf.DUMMYFUNCTION("if(A150="""","""",iferror(filter(Schedule!$P:$P&amp;""-""&amp;Schedule!$Q:$Q,Schedule!$L:$L=A150,(Schedule!$J:$J="""")+(Schedule!$J:$J=B150),(Schedule!$K:$K=""b"")+(Schedule!$K:$K=""""),Schedule!$P:$P&lt;&gt;""""),""""))"),"Science 8-1")</f>
        <v>Science 8-1</v>
      </c>
      <c r="H150" s="152" t="str">
        <f>if(C146="","","X-Block")</f>
        <v>X-Block</v>
      </c>
      <c r="I150" s="60"/>
      <c r="J150" s="154"/>
      <c r="K150" s="151" t="str">
        <f>M146</f>
        <v/>
      </c>
      <c r="L150" s="151" t="str">
        <f>S146</f>
        <v/>
      </c>
      <c r="M150" s="147">
        <v>3.0</v>
      </c>
      <c r="N150" s="152" t="str">
        <f>IFERROR(__xludf.DUMMYFUNCTION("if(K150="""","""",iferror(filter(Schedule!$S:$S&amp;""-""&amp;Schedule!$T:$T,Schedule!$L:$L=K150,(Schedule!$J:$J="""")+(Schedule!$J:$J=L150),(Schedule!$K:$K=""a"")+(Schedule!$K:$K=""""),Schedule!$S:$S&lt;&gt;""""),""""))"),"")</f>
        <v/>
      </c>
      <c r="O150" s="152" t="str">
        <f>IFERROR(__xludf.DUMMYFUNCTION("if(K150="""","""",iferror(filter(Schedule!$S:$S&amp;""-""&amp;Schedule!$T:$T,Schedule!$L:$L=K150,(Schedule!$J:$J="""")+(Schedule!$J:$J=L150),(Schedule!$K:$K=""b"")+(Schedule!$K:$K=""""),Schedule!$S:$S&lt;&gt;""""),""""))"),"")</f>
        <v/>
      </c>
      <c r="P150" s="152" t="str">
        <f>IFERROR(__xludf.DUMMYFUNCTION("if(K150="""","""",iferror(filter(Schedule!$Y:$Y&amp;""-""&amp;Schedule!$Z:$Z,Schedule!$L:$L=K150,(Schedule!$J:$J="""")+(Schedule!$J:$J=L150),(Schedule!$K:$K=""a"")+(Schedule!$K:$K=""""),Schedule!$Y:$Y&lt;&gt;""""),""""))"),"")</f>
        <v/>
      </c>
      <c r="Q150" s="152" t="str">
        <f>IFERROR(__xludf.DUMMYFUNCTION("if(K150="""","""",iferror(filter(Schedule!$P:$P&amp;""-""&amp;Schedule!$Q:$Q,Schedule!$L:$L=K150,(Schedule!$J:$J="""")+(Schedule!$J:$J=L150),(Schedule!$K:$K=""b"")+(Schedule!$K:$K=""""),Schedule!$P:$P&lt;&gt;""""),""""))"),"")</f>
        <v/>
      </c>
      <c r="R150" s="152" t="str">
        <f>if(M146="","","X-Block")</f>
        <v/>
      </c>
      <c r="S150" s="60"/>
      <c r="T150" s="155"/>
      <c r="U150" s="155" t="str">
        <f>W146</f>
        <v/>
      </c>
      <c r="V150" s="151" t="str">
        <f>AC146</f>
        <v/>
      </c>
      <c r="W150" s="147">
        <v>3.0</v>
      </c>
      <c r="X150" s="152" t="str">
        <f>IFERROR(__xludf.DUMMYFUNCTION("if(U150="""","""",iferror(filter(Schedule!$S:$S&amp;""-""&amp;Schedule!$T:$T,Schedule!$L:$L=U150,(Schedule!$J:$J="""")+(Schedule!$J:$J=V150),(Schedule!$K:$K=""a"")+(Schedule!$K:$K=""""),Schedule!$S:$S&lt;&gt;""""),""""))"),"")</f>
        <v/>
      </c>
      <c r="Y150" s="152" t="str">
        <f>IFERROR(__xludf.DUMMYFUNCTION("if(U150="""","""",iferror(filter(Schedule!$S:$S&amp;""-""&amp;Schedule!$T:$T,Schedule!$L:$L=U150,(Schedule!$J:$J="""")+(Schedule!$J:$J=V150),(Schedule!$K:$K=""b"")+(Schedule!$K:$K=""""),Schedule!$S:$S&lt;&gt;""""),""""))"),"")</f>
        <v/>
      </c>
      <c r="Z150" s="152" t="str">
        <f>IFERROR(__xludf.DUMMYFUNCTION("if(U150="""","""",iferror(filter(Schedule!$Y:$Y&amp;""-""&amp;Schedule!$Z:$Z,Schedule!$L:$L=U150,(Schedule!$J:$J="""")+(Schedule!$J:$J=V150),(Schedule!$K:$K=""a"")+(Schedule!$K:$K=""""),Schedule!$Y:$Y&lt;&gt;""""),""""))"),"")</f>
        <v/>
      </c>
      <c r="AA150" s="152" t="str">
        <f>IFERROR(__xludf.DUMMYFUNCTION("if(U150="""","""",iferror(filter(Schedule!$P:$P&amp;""-""&amp;Schedule!$Q:$Q,Schedule!$L:$L=U150,(Schedule!$J:$J="""")+(Schedule!$J:$J=V150),(Schedule!$K:$K=""b"")+(Schedule!$K:$K=""""),Schedule!$P:$P&lt;&gt;""""),""""))"),"")</f>
        <v/>
      </c>
      <c r="AB150" s="152" t="str">
        <f>if(W146="","","X-Block")</f>
        <v/>
      </c>
      <c r="AC150" s="60"/>
      <c r="AD150" s="155"/>
      <c r="AE150" s="155" t="str">
        <f>AG146</f>
        <v/>
      </c>
      <c r="AF150" s="151" t="str">
        <f>AM146</f>
        <v/>
      </c>
      <c r="AG150" s="147">
        <v>3.0</v>
      </c>
      <c r="AH150" s="152" t="str">
        <f>IFERROR(__xludf.DUMMYFUNCTION("if(AE150="""","""",iferror(filter(Schedule!$S:$S&amp;""-""&amp;Schedule!$T:$T,Schedule!$L:$L=AE150,(Schedule!$J:$J="""")+(Schedule!$J:$J=AF150),(Schedule!$K:$K=""a"")+(Schedule!$K:$K=""""),Schedule!$S:$S&lt;&gt;""""),""""))"),"")</f>
        <v/>
      </c>
      <c r="AI150" s="152" t="str">
        <f>IFERROR(__xludf.DUMMYFUNCTION("if(AE150="""","""",iferror(filter(Schedule!$S:$S&amp;""-""&amp;Schedule!$T:$T,Schedule!$L:$L=AE150,(Schedule!$J:$J="""")+(Schedule!$J:$J=AF150),(Schedule!$K:$K=""b"")+(Schedule!$K:$K=""""),Schedule!$S:$S&lt;&gt;""""),""""))"),"")</f>
        <v/>
      </c>
      <c r="AJ150" s="152" t="str">
        <f>IFERROR(__xludf.DUMMYFUNCTION("if(AE150="""","""",iferror(filter(Schedule!$Y:$Y&amp;""-""&amp;Schedule!$Z:$Z,Schedule!$L:$L=AE150,(Schedule!$J:$J="""")+(Schedule!$J:$J=AF150),(Schedule!$K:$K=""a"")+(Schedule!$K:$K=""""),Schedule!$Y:$Y&lt;&gt;""""),""""))"),"")</f>
        <v/>
      </c>
      <c r="AK150" s="152" t="str">
        <f>IFERROR(__xludf.DUMMYFUNCTION("if(AE150="""","""",iferror(filter(Schedule!$P:$P&amp;""-""&amp;Schedule!$Q:$Q,Schedule!$L:$L=AE150,(Schedule!$J:$J="""")+(Schedule!$J:$J=AF150),(Schedule!$K:$K=""b"")+(Schedule!$K:$K=""""),Schedule!$P:$P&lt;&gt;""""),""""))"),"")</f>
        <v/>
      </c>
      <c r="AL150" s="152" t="str">
        <f>if(AG146="","","X-Block")</f>
        <v/>
      </c>
      <c r="AM150" s="60"/>
    </row>
    <row r="151">
      <c r="A151" s="151" t="str">
        <f>C146</f>
        <v>Michael Ramires</v>
      </c>
      <c r="B151" s="151" t="str">
        <f>I146</f>
        <v>Y</v>
      </c>
      <c r="C151" s="147">
        <v>4.0</v>
      </c>
      <c r="D151" s="152" t="str">
        <f>IFERROR(__xludf.DUMMYFUNCTION("if(A151="""","""",iferror(filter(Schedule!$V:$V&amp;""-""&amp;Schedule!$W:$W,Schedule!$L:$L=A151,(Schedule!$J:$J="""")+(Schedule!$J:$J=B151),(Schedule!$K:$K=""a"")+(Schedule!$K:$K=""""),Schedule!$V:$V&lt;&gt;""""),""""))"),"Science 8A-4")</f>
        <v>Science 8A-4</v>
      </c>
      <c r="E151" s="152" t="str">
        <f>IFERROR(__xludf.DUMMYFUNCTION("if(A151="""","""",iferror(filter(Schedule!$M:$M&amp;""-""&amp;Schedule!$N:$N,Schedule!$L:$L=A151,(Schedule!$J:$J="""")+(Schedule!$J:$J=B151),(Schedule!$K:$K=""b"")+(Schedule!$K:$K=""""),Schedule!$M:$M&lt;&gt;""""),""""))"),"")</f>
        <v/>
      </c>
      <c r="F151" s="152" t="str">
        <f>IFERROR(__xludf.DUMMYFUNCTION("if(A151="""","""",iferror(filter(Schedule!$AB:$AB&amp;""-""&amp;Schedule!$AC:$AC,Schedule!$L:$L=A151,(Schedule!$J:$J="""")+(Schedule!$J:$J=B151),(Schedule!$K:$K=""a"")+(Schedule!$K:$K=""""),Schedule!$AB:$AB&lt;&gt;""""),""""))"),"Science 8-6")</f>
        <v>Science 8-6</v>
      </c>
      <c r="G151" s="152" t="str">
        <f>IFERROR(__xludf.DUMMYFUNCTION("if(A151="""","""",iferror(filter(Schedule!$S:$S&amp;""-""&amp;Schedule!$T:$T,Schedule!$L:$L=A151,(Schedule!$J:$J="""")+(Schedule!$J:$J=B151),(Schedule!$K:$K=""b"")+(Schedule!$K:$K=""""),Schedule!$S:$S&lt;&gt;""""),""""))"),"Science 8-2")</f>
        <v>Science 8-2</v>
      </c>
      <c r="H151" s="152" t="str">
        <f>IFERROR(__xludf.DUMMYFUNCTION("if(A151="""","""",iferror(filter(Schedule!$V:$V&amp;""-""&amp;Schedule!$W:$W,Schedule!$L:$L=A151,(Schedule!$J:$J="""")+(Schedule!$J:$J=B151),(Schedule!$K:$K=""b"")+(Schedule!$K:$K=""""),Schedule!$V:$V&lt;&gt;""""),""""))"),"Science 8A-4")</f>
        <v>Science 8A-4</v>
      </c>
      <c r="I151" s="60"/>
      <c r="J151" s="154"/>
      <c r="K151" s="151" t="str">
        <f>M146</f>
        <v/>
      </c>
      <c r="L151" s="151" t="str">
        <f>S146</f>
        <v/>
      </c>
      <c r="M151" s="147">
        <v>4.0</v>
      </c>
      <c r="N151" s="152" t="str">
        <f>IFERROR(__xludf.DUMMYFUNCTION("if(K151="""","""",iferror(filter(Schedule!$V:$V&amp;""-""&amp;Schedule!$W:$W,Schedule!$L:$L=K151,(Schedule!$J:$J="""")+(Schedule!$J:$J=L151),(Schedule!$K:$K=""a"")+(Schedule!$K:$K=""""),Schedule!$V:$V&lt;&gt;""""),""""))"),"")</f>
        <v/>
      </c>
      <c r="O151" s="152" t="str">
        <f>IFERROR(__xludf.DUMMYFUNCTION("if(K151="""","""",iferror(filter(Schedule!$M:$M&amp;""-""&amp;Schedule!$N:$N,Schedule!$L:$L=K151,(Schedule!$J:$J="""")+(Schedule!$J:$J=L151),(Schedule!$K:$K=""b"")+(Schedule!$K:$K=""""),Schedule!$M:$M&lt;&gt;""""),""""))"),"")</f>
        <v/>
      </c>
      <c r="P151" s="152" t="str">
        <f>IFERROR(__xludf.DUMMYFUNCTION("if(K151="""","""",iferror(filter(Schedule!$AB:$AB&amp;""-""&amp;Schedule!$AC:$AC,Schedule!$L:$L=K151,(Schedule!$J:$J="""")+(Schedule!$J:$J=L151),(Schedule!$K:$K=""a"")+(Schedule!$K:$K=""""),Schedule!$AB:$AB&lt;&gt;""""),""""))"),"")</f>
        <v/>
      </c>
      <c r="Q151" s="152" t="str">
        <f>IFERROR(__xludf.DUMMYFUNCTION("if(K151="""","""",iferror(filter(Schedule!$S:$S&amp;""-""&amp;Schedule!$T:$T,Schedule!$L:$L=K151,(Schedule!$J:$J="""")+(Schedule!$J:$J=L151),(Schedule!$K:$K=""b"")+(Schedule!$K:$K=""""),Schedule!$S:$S&lt;&gt;""""),""""))"),"")</f>
        <v/>
      </c>
      <c r="R151" s="152" t="str">
        <f>IFERROR(__xludf.DUMMYFUNCTION("if(K151="""","""",iferror(filter(Schedule!$V:$V&amp;""-""&amp;Schedule!$W:$W,Schedule!$L:$L=K151,(Schedule!$J:$J="""")+(Schedule!$J:$J=L151),(Schedule!$K:$K=""b"")+(Schedule!$K:$K=""""),Schedule!$V:$V&lt;&gt;""""),""""))"),"")</f>
        <v/>
      </c>
      <c r="S151" s="60"/>
      <c r="T151" s="155"/>
      <c r="U151" s="155" t="str">
        <f>W146</f>
        <v/>
      </c>
      <c r="V151" s="151" t="str">
        <f>AC146</f>
        <v/>
      </c>
      <c r="W151" s="147">
        <v>4.0</v>
      </c>
      <c r="X151" s="152" t="str">
        <f>IFERROR(__xludf.DUMMYFUNCTION("if(U151="""","""",iferror(filter(Schedule!$V:$V&amp;""-""&amp;Schedule!$W:$W,Schedule!$L:$L=U151,(Schedule!$J:$J="""")+(Schedule!$J:$J=V151),(Schedule!$K:$K=""a"")+(Schedule!$K:$K=""""),Schedule!$V:$V&lt;&gt;""""),""""))"),"")</f>
        <v/>
      </c>
      <c r="Y151" s="152" t="str">
        <f>IFERROR(__xludf.DUMMYFUNCTION("if(U151="""","""",iferror(filter(Schedule!$M:$M&amp;""-""&amp;Schedule!$N:$N,Schedule!$L:$L=U151,(Schedule!$J:$J="""")+(Schedule!$J:$J=V151),(Schedule!$K:$K=""b"")+(Schedule!$K:$K=""""),Schedule!$M:$M&lt;&gt;""""),""""))"),"")</f>
        <v/>
      </c>
      <c r="Z151" s="152" t="str">
        <f>IFERROR(__xludf.DUMMYFUNCTION("if(U151="""","""",iferror(filter(Schedule!$AB:$AB&amp;""-""&amp;Schedule!$AC:$AC,Schedule!$L:$L=U151,(Schedule!$J:$J="""")+(Schedule!$J:$J=V151),(Schedule!$K:$K=""a"")+(Schedule!$K:$K=""""),Schedule!$AB:$AB&lt;&gt;""""),""""))"),"")</f>
        <v/>
      </c>
      <c r="AA151" s="152" t="str">
        <f>IFERROR(__xludf.DUMMYFUNCTION("if(U151="""","""",iferror(filter(Schedule!$S:$S&amp;""-""&amp;Schedule!$T:$T,Schedule!$L:$L=U151,(Schedule!$J:$J="""")+(Schedule!$J:$J=V151),(Schedule!$K:$K=""b"")+(Schedule!$K:$K=""""),Schedule!$S:$S&lt;&gt;""""),""""))"),"")</f>
        <v/>
      </c>
      <c r="AB151" s="152" t="str">
        <f>IFERROR(__xludf.DUMMYFUNCTION("if(U151="""","""",iferror(filter(Schedule!$V:$V&amp;""-""&amp;Schedule!$W:$W,Schedule!$L:$L=U151,(Schedule!$J:$J="""")+(Schedule!$J:$J=V151),(Schedule!$K:$K=""b"")+(Schedule!$K:$K=""""),Schedule!$V:$V&lt;&gt;""""),""""))"),"")</f>
        <v/>
      </c>
      <c r="AC151" s="60"/>
      <c r="AD151" s="155"/>
      <c r="AE151" s="155" t="str">
        <f>AG146</f>
        <v/>
      </c>
      <c r="AF151" s="151" t="str">
        <f>AM146</f>
        <v/>
      </c>
      <c r="AG151" s="147">
        <v>4.0</v>
      </c>
      <c r="AH151" s="152" t="str">
        <f>IFERROR(__xludf.DUMMYFUNCTION("if(AE151="""","""",iferror(filter(Schedule!$V:$V&amp;""-""&amp;Schedule!$W:$W,Schedule!$L:$L=AE151,(Schedule!$J:$J="""")+(Schedule!$J:$J=AF151),(Schedule!$K:$K=""a"")+(Schedule!$K:$K=""""),Schedule!$V:$V&lt;&gt;""""),""""))"),"")</f>
        <v/>
      </c>
      <c r="AI151" s="152" t="str">
        <f>IFERROR(__xludf.DUMMYFUNCTION("if(AE151="""","""",iferror(filter(Schedule!$M:$M&amp;""-""&amp;Schedule!$N:$N,Schedule!$L:$L=AE151,(Schedule!$J:$J="""")+(Schedule!$J:$J=AF151),(Schedule!$K:$K=""b"")+(Schedule!$K:$K=""""),Schedule!$M:$M&lt;&gt;""""),""""))"),"")</f>
        <v/>
      </c>
      <c r="AJ151" s="152" t="str">
        <f>IFERROR(__xludf.DUMMYFUNCTION("if(AE151="""","""",iferror(filter(Schedule!$AB:$AB&amp;""-""&amp;Schedule!$AC:$AC,Schedule!$L:$L=AE151,(Schedule!$J:$J="""")+(Schedule!$J:$J=AF151),(Schedule!$K:$K=""a"")+(Schedule!$K:$K=""""),Schedule!$AB:$AB&lt;&gt;""""),""""))"),"")</f>
        <v/>
      </c>
      <c r="AK151" s="152" t="str">
        <f>IFERROR(__xludf.DUMMYFUNCTION("if(AE151="""","""",iferror(filter(Schedule!$S:$S&amp;""-""&amp;Schedule!$T:$T,Schedule!$L:$L=AE151,(Schedule!$J:$J="""")+(Schedule!$J:$J=AF151),(Schedule!$K:$K=""b"")+(Schedule!$K:$K=""""),Schedule!$S:$S&lt;&gt;""""),""""))"),"")</f>
        <v/>
      </c>
      <c r="AL151" s="152" t="str">
        <f>IFERROR(__xludf.DUMMYFUNCTION("if(AE151="""","""",iferror(filter(Schedule!$V:$V&amp;""-""&amp;Schedule!$W:$W,Schedule!$L:$L=AE151,(Schedule!$J:$J="""")+(Schedule!$J:$J=AF151),(Schedule!$K:$K=""b"")+(Schedule!$K:$K=""""),Schedule!$V:$V&lt;&gt;""""),""""))"),"")</f>
        <v/>
      </c>
      <c r="AM151" s="60"/>
    </row>
    <row r="152">
      <c r="A152" s="151" t="str">
        <f>C146</f>
        <v>Michael Ramires</v>
      </c>
      <c r="B152" s="151" t="str">
        <f>I146</f>
        <v>Y</v>
      </c>
      <c r="C152" s="147">
        <v>5.0</v>
      </c>
      <c r="D152" s="152" t="str">
        <f>IFERROR(__xludf.DUMMYFUNCTION("if(A152="""","""",iferror(filter(Schedule!$Y:$Y&amp;""-""&amp;Schedule!$Z:$Z,Schedule!$L:$L=A152,(Schedule!$J:$J="""")+(Schedule!$J:$J=B152),(Schedule!$K:$K=""a"")+(Schedule!$K:$K=""""),Schedule!$Y:$Y&lt;&gt;""""),""""))"),"")</f>
        <v/>
      </c>
      <c r="E152" s="152" t="str">
        <f>IFERROR(__xludf.DUMMYFUNCTION("if(A152="""","""",iferror(filter(Schedule!$P:$P&amp;""-""&amp;Schedule!$Q:$Q,Schedule!$L:$L=A152,(Schedule!$J:$J="""")+(Schedule!$J:$J=B152),(Schedule!$K:$K=""b"")+(Schedule!$K:$K=""""),Schedule!$P:$P&lt;&gt;""""),""""))"),"Science 8-1")</f>
        <v>Science 8-1</v>
      </c>
      <c r="F152" s="152" t="str">
        <f>IFERROR(__xludf.DUMMYFUNCTION("if(A152="""","""",iferror(filter(Schedule!$V:$V&amp;""-""&amp;Schedule!$W:$W,Schedule!$L:$L=A152,(Schedule!$J:$J="""")+(Schedule!$J:$J=B152),(Schedule!$K:$K=""b"")+(Schedule!$K:$K=""""),Schedule!$V:$V&lt;&gt;""""),""""))"),"Science 8A-4")</f>
        <v>Science 8A-4</v>
      </c>
      <c r="G152" s="152" t="str">
        <f>IFERROR(__xludf.DUMMYFUNCTION("if(A152="""","""",iferror(filter(Schedule!$AB:$AB&amp;""-""&amp;Schedule!$AC:$AC,Schedule!$L:$L=A152,(Schedule!$J:$J="""")+(Schedule!$J:$J=B152),(Schedule!$K:$K=""b"")+(Schedule!$K:$K=""""),Schedule!$AB:$AB&lt;&gt;""""),""""))"),"Science 8-6")</f>
        <v>Science 8-6</v>
      </c>
      <c r="H152" s="152" t="str">
        <f>IFERROR(__xludf.DUMMYFUNCTION("if(A152="""","""",iferror(filter(Schedule!$M:$M&amp;""-""&amp;Schedule!$N:$N,Schedule!$L:$L=A152,(Schedule!$J:$J="""")+(Schedule!$J:$J=B152),(Schedule!$K:$K=""b"")+(Schedule!$K:$K=""""),Schedule!$M:$M&lt;&gt;""""),""""))"),"")</f>
        <v/>
      </c>
      <c r="I152" s="64"/>
      <c r="J152" s="154"/>
      <c r="K152" s="151" t="str">
        <f>M146</f>
        <v/>
      </c>
      <c r="L152" s="151" t="str">
        <f>S146</f>
        <v/>
      </c>
      <c r="M152" s="147">
        <v>5.0</v>
      </c>
      <c r="N152" s="152" t="str">
        <f>IFERROR(__xludf.DUMMYFUNCTION("if(K152="""","""",iferror(filter(Schedule!$Y:$Y&amp;""-""&amp;Schedule!$Z:$Z,Schedule!$L:$L=K152,(Schedule!$J:$J="""")+(Schedule!$J:$J=L152),(Schedule!$K:$K=""a"")+(Schedule!$K:$K=""""),Schedule!$Y:$Y&lt;&gt;""""),""""))"),"")</f>
        <v/>
      </c>
      <c r="O152" s="152" t="str">
        <f>IFERROR(__xludf.DUMMYFUNCTION("if(K152="""","""",iferror(filter(Schedule!$P:$P&amp;""-""&amp;Schedule!$Q:$Q,Schedule!$L:$L=K152,(Schedule!$J:$J="""")+(Schedule!$J:$J=L152),(Schedule!$K:$K=""b"")+(Schedule!$K:$K=""""),Schedule!$P:$P&lt;&gt;""""),""""))"),"")</f>
        <v/>
      </c>
      <c r="P152" s="152" t="str">
        <f>IFERROR(__xludf.DUMMYFUNCTION("if(K152="""","""",iferror(filter(Schedule!$V:$V&amp;""-""&amp;Schedule!$W:$W,Schedule!$L:$L=K152,(Schedule!$J:$J="""")+(Schedule!$J:$J=L152),(Schedule!$K:$K=""b"")+(Schedule!$K:$K=""""),Schedule!$V:$V&lt;&gt;""""),""""))"),"")</f>
        <v/>
      </c>
      <c r="Q152" s="152" t="str">
        <f>IFERROR(__xludf.DUMMYFUNCTION("if(K152="""","""",iferror(filter(Schedule!$AB:$AB&amp;""-""&amp;Schedule!$AC:$AC,Schedule!$L:$L=K152,(Schedule!$J:$J="""")+(Schedule!$J:$J=L152),(Schedule!$K:$K=""b"")+(Schedule!$K:$K=""""),Schedule!$AB:$AB&lt;&gt;""""),""""))"),"")</f>
        <v/>
      </c>
      <c r="R152" s="152" t="str">
        <f>IFERROR(__xludf.DUMMYFUNCTION("if(K152="""","""",iferror(filter(Schedule!$M:$M&amp;""-""&amp;Schedule!$N:$N,Schedule!$L:$L=K152,(Schedule!$J:$J="""")+(Schedule!$J:$J=L152),(Schedule!$K:$K=""b"")+(Schedule!$K:$K=""""),Schedule!$M:$M&lt;&gt;""""),""""))"),"")</f>
        <v/>
      </c>
      <c r="S152" s="64"/>
      <c r="T152" s="155"/>
      <c r="U152" s="155" t="str">
        <f>W146</f>
        <v/>
      </c>
      <c r="V152" s="151" t="str">
        <f>AC146</f>
        <v/>
      </c>
      <c r="W152" s="147">
        <v>5.0</v>
      </c>
      <c r="X152" s="152" t="str">
        <f>IFERROR(__xludf.DUMMYFUNCTION("if(U152="""","""",iferror(filter(Schedule!$Y:$Y&amp;""-""&amp;Schedule!$Z:$Z,Schedule!$L:$L=U152,(Schedule!$J:$J="""")+(Schedule!$J:$J=V152),(Schedule!$K:$K=""a"")+(Schedule!$K:$K=""""),Schedule!$Y:$Y&lt;&gt;""""),""""))"),"")</f>
        <v/>
      </c>
      <c r="Y152" s="152" t="str">
        <f>IFERROR(__xludf.DUMMYFUNCTION("if(U152="""","""",iferror(filter(Schedule!$P:$P&amp;""-""&amp;Schedule!$Q:$Q,Schedule!$L:$L=U152,(Schedule!$J:$J="""")+(Schedule!$J:$J=V152),(Schedule!$K:$K=""b"")+(Schedule!$K:$K=""""),Schedule!$P:$P&lt;&gt;""""),""""))"),"")</f>
        <v/>
      </c>
      <c r="Z152" s="152" t="str">
        <f>IFERROR(__xludf.DUMMYFUNCTION("if(U152="""","""",iferror(filter(Schedule!$V:$V&amp;""-""&amp;Schedule!$W:$W,Schedule!$L:$L=U152,(Schedule!$J:$J="""")+(Schedule!$J:$J=V152),(Schedule!$K:$K=""b"")+(Schedule!$K:$K=""""),Schedule!$V:$V&lt;&gt;""""),""""))"),"")</f>
        <v/>
      </c>
      <c r="AA152" s="152" t="str">
        <f>IFERROR(__xludf.DUMMYFUNCTION("if(U152="""","""",iferror(filter(Schedule!$AB:$AB&amp;""-""&amp;Schedule!$AC:$AC,Schedule!$L:$L=U152,(Schedule!$J:$J="""")+(Schedule!$J:$J=V152),(Schedule!$K:$K=""b"")+(Schedule!$K:$K=""""),Schedule!$AB:$AB&lt;&gt;""""),""""))"),"")</f>
        <v/>
      </c>
      <c r="AB152" s="152" t="str">
        <f>IFERROR(__xludf.DUMMYFUNCTION("if(U152="""","""",iferror(filter(Schedule!$M:$M&amp;""-""&amp;Schedule!$N:$N,Schedule!$L:$L=U152,(Schedule!$J:$J="""")+(Schedule!$J:$J=V152),(Schedule!$K:$K=""b"")+(Schedule!$K:$K=""""),Schedule!$M:$M&lt;&gt;""""),""""))"),"")</f>
        <v/>
      </c>
      <c r="AC152" s="64"/>
      <c r="AD152" s="155"/>
      <c r="AE152" s="155" t="str">
        <f>AG146</f>
        <v/>
      </c>
      <c r="AF152" s="151" t="str">
        <f>AM146</f>
        <v/>
      </c>
      <c r="AG152" s="147">
        <v>5.0</v>
      </c>
      <c r="AH152" s="152" t="str">
        <f>IFERROR(__xludf.DUMMYFUNCTION("if(AE152="""","""",iferror(filter(Schedule!$Y:$Y&amp;""-""&amp;Schedule!$Z:$Z,Schedule!$L:$L=AE152,(Schedule!$J:$J="""")+(Schedule!$J:$J=AF152),(Schedule!$K:$K=""a"")+(Schedule!$K:$K=""""),Schedule!$Y:$Y&lt;&gt;""""),""""))"),"")</f>
        <v/>
      </c>
      <c r="AI152" s="152" t="str">
        <f>IFERROR(__xludf.DUMMYFUNCTION("if(AE152="""","""",iferror(filter(Schedule!$P:$P&amp;""-""&amp;Schedule!$Q:$Q,Schedule!$L:$L=AE152,(Schedule!$J:$J="""")+(Schedule!$J:$J=AF152),(Schedule!$K:$K=""b"")+(Schedule!$K:$K=""""),Schedule!$P:$P&lt;&gt;""""),""""))"),"")</f>
        <v/>
      </c>
      <c r="AJ152" s="152" t="str">
        <f>IFERROR(__xludf.DUMMYFUNCTION("if(AE152="""","""",iferror(filter(Schedule!$V:$V&amp;""-""&amp;Schedule!$W:$W,Schedule!$L:$L=AE152,(Schedule!$J:$J="""")+(Schedule!$J:$J=AF152),(Schedule!$K:$K=""b"")+(Schedule!$K:$K=""""),Schedule!$V:$V&lt;&gt;""""),""""))"),"")</f>
        <v/>
      </c>
      <c r="AK152" s="152" t="str">
        <f>IFERROR(__xludf.DUMMYFUNCTION("if(AE152="""","""",iferror(filter(Schedule!$AB:$AB&amp;""-""&amp;Schedule!$AC:$AC,Schedule!$L:$L=AE152,(Schedule!$J:$J="""")+(Schedule!$J:$J=AF152),(Schedule!$K:$K=""b"")+(Schedule!$K:$K=""""),Schedule!$AB:$AB&lt;&gt;""""),""""))"),"")</f>
        <v/>
      </c>
      <c r="AL152" s="152" t="str">
        <f>IFERROR(__xludf.DUMMYFUNCTION("if(AE152="""","""",iferror(filter(Schedule!$M:$M&amp;""-""&amp;Schedule!$N:$N,Schedule!$L:$L=AE152,(Schedule!$J:$J="""")+(Schedule!$J:$J=AF152),(Schedule!$K:$K=""b"")+(Schedule!$K:$K=""""),Schedule!$M:$M&lt;&gt;""""),""""))"),"")</f>
        <v/>
      </c>
      <c r="AM152" s="64"/>
    </row>
    <row r="153">
      <c r="A153" s="11"/>
      <c r="B153" s="11"/>
      <c r="C153" s="156"/>
      <c r="D153" s="156"/>
      <c r="E153" s="156"/>
      <c r="F153" s="156"/>
      <c r="G153" s="156"/>
      <c r="H153" s="156"/>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c r="A154" s="5"/>
      <c r="B154" s="5"/>
      <c r="C154" s="140" t="str">
        <f>Teachers!A20</f>
        <v>Miguel Muñoz Ruiz</v>
      </c>
      <c r="D154" s="141"/>
      <c r="E154" s="141"/>
      <c r="F154" s="141"/>
      <c r="G154" s="141"/>
      <c r="H154" s="142"/>
      <c r="I154" s="143" t="str">
        <f>IFERROR(__xludf.DUMMYFUNCTION("if(C154="""","""", iferror(unique(filter(Schedule!$J:$J,Schedule!$L:$L=$C154,Schedule!$J:$J=""Q1"")),iferror(unique(filter(Schedule!$J:$J,Schedule!$L:$L=$C154,Schedule!$J:$J=""S1"")),""Y"")))"),"Y")</f>
        <v>Y</v>
      </c>
      <c r="J154" s="11"/>
      <c r="K154" s="11"/>
      <c r="L154" s="11"/>
      <c r="M154" s="140" t="str">
        <f>if(S154="","",C154)</f>
        <v/>
      </c>
      <c r="N154" s="141"/>
      <c r="O154" s="141"/>
      <c r="P154" s="141"/>
      <c r="Q154" s="141"/>
      <c r="R154" s="142"/>
      <c r="S154" s="143" t="str">
        <f>if($I154="Q1","Q2",if($I154="S1","S2",""))</f>
        <v/>
      </c>
      <c r="T154" s="144"/>
      <c r="U154" s="144"/>
      <c r="V154" s="145"/>
      <c r="W154" s="140" t="str">
        <f>if(AC154="","",M154)</f>
        <v/>
      </c>
      <c r="X154" s="141"/>
      <c r="Y154" s="141"/>
      <c r="Z154" s="141"/>
      <c r="AA154" s="141"/>
      <c r="AB154" s="142"/>
      <c r="AC154" s="143" t="str">
        <f>if($I154="Q1","Q3","")</f>
        <v/>
      </c>
      <c r="AD154" s="144"/>
      <c r="AE154" s="144"/>
      <c r="AF154" s="145"/>
      <c r="AG154" s="140" t="str">
        <f>if(AC154="","",W154)</f>
        <v/>
      </c>
      <c r="AH154" s="141"/>
      <c r="AI154" s="141"/>
      <c r="AJ154" s="141"/>
      <c r="AK154" s="141"/>
      <c r="AL154" s="142"/>
      <c r="AM154" s="143" t="str">
        <f>if($I154="Q1","Q4","")</f>
        <v/>
      </c>
    </row>
    <row r="155">
      <c r="A155" s="146"/>
      <c r="B155" s="146"/>
      <c r="C155" s="147" t="s">
        <v>94</v>
      </c>
      <c r="D155" s="148" t="s">
        <v>95</v>
      </c>
      <c r="E155" s="148" t="s">
        <v>96</v>
      </c>
      <c r="F155" s="148" t="s">
        <v>97</v>
      </c>
      <c r="G155" s="148" t="s">
        <v>98</v>
      </c>
      <c r="H155" s="148" t="s">
        <v>99</v>
      </c>
      <c r="I155" s="148" t="s">
        <v>651</v>
      </c>
      <c r="J155" s="146"/>
      <c r="K155" s="146"/>
      <c r="L155" s="146"/>
      <c r="M155" s="147" t="s">
        <v>94</v>
      </c>
      <c r="N155" s="148" t="s">
        <v>95</v>
      </c>
      <c r="O155" s="148" t="s">
        <v>96</v>
      </c>
      <c r="P155" s="148" t="s">
        <v>97</v>
      </c>
      <c r="Q155" s="148" t="s">
        <v>98</v>
      </c>
      <c r="R155" s="148" t="s">
        <v>99</v>
      </c>
      <c r="S155" s="148" t="s">
        <v>651</v>
      </c>
      <c r="T155" s="149"/>
      <c r="U155" s="149"/>
      <c r="V155" s="150"/>
      <c r="W155" s="147" t="s">
        <v>94</v>
      </c>
      <c r="X155" s="148" t="s">
        <v>95</v>
      </c>
      <c r="Y155" s="148" t="s">
        <v>96</v>
      </c>
      <c r="Z155" s="148" t="s">
        <v>97</v>
      </c>
      <c r="AA155" s="148" t="s">
        <v>98</v>
      </c>
      <c r="AB155" s="148" t="s">
        <v>99</v>
      </c>
      <c r="AC155" s="148" t="s">
        <v>651</v>
      </c>
      <c r="AD155" s="149"/>
      <c r="AE155" s="149"/>
      <c r="AF155" s="150"/>
      <c r="AG155" s="147" t="s">
        <v>94</v>
      </c>
      <c r="AH155" s="148" t="s">
        <v>95</v>
      </c>
      <c r="AI155" s="148" t="s">
        <v>96</v>
      </c>
      <c r="AJ155" s="148" t="s">
        <v>97</v>
      </c>
      <c r="AK155" s="148" t="s">
        <v>98</v>
      </c>
      <c r="AL155" s="148" t="s">
        <v>99</v>
      </c>
      <c r="AM155" s="148" t="s">
        <v>651</v>
      </c>
    </row>
    <row r="156">
      <c r="A156" s="151" t="str">
        <f>C154</f>
        <v>Miguel Muñoz Ruiz</v>
      </c>
      <c r="B156" s="151" t="str">
        <f>I154</f>
        <v>Y</v>
      </c>
      <c r="C156" s="147">
        <v>1.0</v>
      </c>
      <c r="D156" s="152" t="str">
        <f>IFERROR(__xludf.DUMMYFUNCTION("if(A156="""","""",iferror(filter(Schedule!$M:$M&amp;""-""&amp;Schedule!$N:$N,Schedule!$L:$L=A156,(Schedule!$J:$J="""")+(Schedule!$J:$J=B156),(Schedule!$K:$K=""a"")+(Schedule!$K:$K=""""),Schedule!$M:$M&lt;&gt;""""),""""))"),"")</f>
        <v/>
      </c>
      <c r="E156" s="152" t="str">
        <f>IFERROR(__xludf.DUMMYFUNCTION("if(A156="""","""",iferror(filter(Schedule!$AB:$AB&amp;""-""&amp;Schedule!$AC:$AC,Schedule!$L:$L=A156,(Schedule!$J:$J="""")+(Schedule!$J:$J=B156),(Schedule!$K:$K=""b"")+(Schedule!$K:$K=""""),Schedule!$AB:$AB&lt;&gt;""""),""""))"),"Science 7A-6")</f>
        <v>Science 7A-6</v>
      </c>
      <c r="F156" s="152" t="str">
        <f>IFERROR(__xludf.DUMMYFUNCTION("if(A156="""","""",iferror(filter(Schedule!$S:$S&amp;""-""&amp;Schedule!$T:$T,Schedule!$L:$L=A156,(Schedule!$J:$J="""")+(Schedule!$J:$J=B156),(Schedule!$K:$K=""a"")+(Schedule!$K:$K=""""),Schedule!$S:$S&lt;&gt;""""),""""))"),"")</f>
        <v/>
      </c>
      <c r="G156" s="152" t="str">
        <f>IFERROR(__xludf.DUMMYFUNCTION("if(A156="""","""",iferror(filter(Schedule!$V:$V&amp;""-""&amp;Schedule!$W:$W,Schedule!$L:$L=A156,(Schedule!$J:$J="""")+(Schedule!$J:$J=B156),(Schedule!$K:$K=""a"")+(Schedule!$K:$K=""""),Schedule!$V:$V&lt;&gt;""""),""""))"),"Science 8-3")</f>
        <v>Science 8-3</v>
      </c>
      <c r="H156" s="152" t="str">
        <f>IFERROR(__xludf.DUMMYFUNCTION("if(A156="""","""",iferror(filter(Schedule!$Y:$Y&amp;""-""&amp;Schedule!$Z:$Z,Schedule!$L:$L=A156,(Schedule!$J:$J="""")+(Schedule!$J:$J=B156),(Schedule!$K:$K=""b"")+(Schedule!$K:$K=""""),Schedule!$Y:$Y&lt;&gt;""""),""""))"),"Science 8-5")</f>
        <v>Science 8-5</v>
      </c>
      <c r="I156" s="153">
        <f>if(C154="","", 24-countifs(D156:H160,""))</f>
        <v>16</v>
      </c>
      <c r="J156" s="154"/>
      <c r="K156" s="151" t="str">
        <f>M154</f>
        <v/>
      </c>
      <c r="L156" s="151" t="str">
        <f>S154</f>
        <v/>
      </c>
      <c r="M156" s="147">
        <v>1.0</v>
      </c>
      <c r="N156" s="152" t="str">
        <f>IFERROR(__xludf.DUMMYFUNCTION("if(K156="""","""",iferror(filter(Schedule!$M:$M&amp;""-""&amp;Schedule!$N:$N,Schedule!$L:$L=K156,(Schedule!$J:$J="""")+(Schedule!$J:$J=L156),(Schedule!$K:$K=""a"")+(Schedule!$K:$K=""""),Schedule!$M:$M&lt;&gt;""""),""""))"),"")</f>
        <v/>
      </c>
      <c r="O156" s="152" t="str">
        <f>IFERROR(__xludf.DUMMYFUNCTION("if(K156="""","""",iferror(filter(Schedule!$AB:$AB&amp;""-""&amp;Schedule!$AC:$AC,Schedule!$L:$L=K156,(Schedule!$J:$J="""")+(Schedule!$J:$J=L156),(Schedule!$K:$K=""b"")+(Schedule!$K:$K=""""),Schedule!$AB:$AB&lt;&gt;""""),""""))"),"")</f>
        <v/>
      </c>
      <c r="P156" s="152" t="str">
        <f>IFERROR(__xludf.DUMMYFUNCTION("if(K156="""","""",iferror(filter(Schedule!$S:$S&amp;""-""&amp;Schedule!$T:$T,Schedule!$L:$L=K156,(Schedule!$J:$J="""")+(Schedule!$J:$J=L156),(Schedule!$K:$K=""a"")+(Schedule!$K:$K=""""),Schedule!$S:$S&lt;&gt;""""),""""))"),"")</f>
        <v/>
      </c>
      <c r="Q156" s="152" t="str">
        <f>IFERROR(__xludf.DUMMYFUNCTION("if(K156="""","""",iferror(filter(Schedule!$V:$V&amp;""-""&amp;Schedule!$W:$W,Schedule!$L:$L=K156,(Schedule!$J:$J="""")+(Schedule!$J:$J=L156),(Schedule!$K:$K=""a"")+(Schedule!$K:$K=""""),Schedule!$V:$V&lt;&gt;""""),""""))"),"")</f>
        <v/>
      </c>
      <c r="R156" s="152" t="str">
        <f>IFERROR(__xludf.DUMMYFUNCTION("if(K156="""","""",iferror(filter(Schedule!$Y:$Y&amp;""-""&amp;Schedule!$Z:$Z,Schedule!$L:$L=K156,(Schedule!$J:$J="""")+(Schedule!$J:$J=L156),(Schedule!$K:$K=""b"")+(Schedule!$K:$K=""""),Schedule!$Y:$Y&lt;&gt;""""),""""))"),"")</f>
        <v/>
      </c>
      <c r="S156" s="153" t="str">
        <f>if(K156="","", 24-countifs(N156:R160,""))</f>
        <v/>
      </c>
      <c r="T156" s="155"/>
      <c r="U156" s="155" t="str">
        <f>W154</f>
        <v/>
      </c>
      <c r="V156" s="151" t="str">
        <f>AC154</f>
        <v/>
      </c>
      <c r="W156" s="147">
        <v>1.0</v>
      </c>
      <c r="X156" s="152" t="str">
        <f>IFERROR(__xludf.DUMMYFUNCTION("if(U156="""","""",iferror(filter(Schedule!$M:$M&amp;""-""&amp;Schedule!$N:$N,Schedule!$L:$L=U156,(Schedule!$J:$J="""")+(Schedule!$J:$J=V156),(Schedule!$K:$K=""a"")+(Schedule!$K:$K=""""),Schedule!$M:$M&lt;&gt;""""),""""))"),"")</f>
        <v/>
      </c>
      <c r="Y156" s="152" t="str">
        <f>IFERROR(__xludf.DUMMYFUNCTION("if(U156="""","""",iferror(filter(Schedule!$AB:$AB&amp;""-""&amp;Schedule!$AC:$AC,Schedule!$L:$L=U156,(Schedule!$J:$J="""")+(Schedule!$J:$J=V156),(Schedule!$K:$K=""b"")+(Schedule!$K:$K=""""),Schedule!$AB:$AB&lt;&gt;""""),""""))"),"")</f>
        <v/>
      </c>
      <c r="Z156" s="152" t="str">
        <f>IFERROR(__xludf.DUMMYFUNCTION("if(U156="""","""",iferror(filter(Schedule!$S:$S&amp;""-""&amp;Schedule!$T:$T,Schedule!$L:$L=U156,(Schedule!$J:$J="""")+(Schedule!$J:$J=V156),(Schedule!$K:$K=""a"")+(Schedule!$K:$K=""""),Schedule!$S:$S&lt;&gt;""""),""""))"),"")</f>
        <v/>
      </c>
      <c r="AA156" s="152" t="str">
        <f>IFERROR(__xludf.DUMMYFUNCTION("if(U156="""","""",iferror(filter(Schedule!$V:$V&amp;""-""&amp;Schedule!$W:$W,Schedule!$L:$L=U156,(Schedule!$J:$J="""")+(Schedule!$J:$J=V156),(Schedule!$K:$K=""a"")+(Schedule!$K:$K=""""),Schedule!$V:$V&lt;&gt;""""),""""))"),"")</f>
        <v/>
      </c>
      <c r="AB156" s="152" t="str">
        <f>IFERROR(__xludf.DUMMYFUNCTION("if(U156="""","""",iferror(filter(Schedule!$Y:$Y&amp;""-""&amp;Schedule!$Z:$Z,Schedule!$L:$L=U156,(Schedule!$J:$J="""")+(Schedule!$J:$J=V156),(Schedule!$K:$K=""b"")+(Schedule!$K:$K=""""),Schedule!$Y:$Y&lt;&gt;""""),""""))"),"")</f>
        <v/>
      </c>
      <c r="AC156" s="153" t="str">
        <f>if(U156="","", 24-countifs(X156:AB160,""))</f>
        <v/>
      </c>
      <c r="AD156" s="155"/>
      <c r="AE156" s="155" t="str">
        <f>AG154</f>
        <v/>
      </c>
      <c r="AF156" s="151" t="str">
        <f>AM154</f>
        <v/>
      </c>
      <c r="AG156" s="147">
        <v>1.0</v>
      </c>
      <c r="AH156" s="152" t="str">
        <f>IFERROR(__xludf.DUMMYFUNCTION("if(AE156="""","""",iferror(filter(Schedule!$M:$M&amp;""-""&amp;Schedule!$N:$N,Schedule!$L:$L=AE156,(Schedule!$J:$J="""")+(Schedule!$J:$J=AF156),(Schedule!$K:$K=""a"")+(Schedule!$K:$K=""""),Schedule!$M:$M&lt;&gt;""""),""""))"),"")</f>
        <v/>
      </c>
      <c r="AI156" s="152" t="str">
        <f>IFERROR(__xludf.DUMMYFUNCTION("if(AE156="""","""",iferror(filter(Schedule!$AB:$AB&amp;""-""&amp;Schedule!$AC:$AC,Schedule!$L:$L=AE156,(Schedule!$J:$J="""")+(Schedule!$J:$J=AF156),(Schedule!$K:$K=""b"")+(Schedule!$K:$K=""""),Schedule!$AB:$AB&lt;&gt;""""),""""))"),"")</f>
        <v/>
      </c>
      <c r="AJ156" s="152" t="str">
        <f>IFERROR(__xludf.DUMMYFUNCTION("if(AE156="""","""",iferror(filter(Schedule!$S:$S&amp;""-""&amp;Schedule!$T:$T,Schedule!$L:$L=AE156,(Schedule!$J:$J="""")+(Schedule!$J:$J=AF156),(Schedule!$K:$K=""a"")+(Schedule!$K:$K=""""),Schedule!$S:$S&lt;&gt;""""),""""))"),"")</f>
        <v/>
      </c>
      <c r="AK156" s="152" t="str">
        <f>IFERROR(__xludf.DUMMYFUNCTION("if(AE156="""","""",iferror(filter(Schedule!$V:$V&amp;""-""&amp;Schedule!$W:$W,Schedule!$L:$L=AE156,(Schedule!$J:$J="""")+(Schedule!$J:$J=AF156),(Schedule!$K:$K=""a"")+(Schedule!$K:$K=""""),Schedule!$V:$V&lt;&gt;""""),""""))"),"")</f>
        <v/>
      </c>
      <c r="AL156" s="152" t="str">
        <f>IFERROR(__xludf.DUMMYFUNCTION("if(AE156="""","""",iferror(filter(Schedule!$Y:$Y&amp;""-""&amp;Schedule!$Z:$Z,Schedule!$L:$L=AE156,(Schedule!$J:$J="""")+(Schedule!$J:$J=AF156),(Schedule!$K:$K=""b"")+(Schedule!$K:$K=""""),Schedule!$Y:$Y&lt;&gt;""""),""""))"),"")</f>
        <v/>
      </c>
      <c r="AM156" s="153" t="str">
        <f>if(AE156="","", 24-countifs(AH156:AL160,""))</f>
        <v/>
      </c>
    </row>
    <row r="157">
      <c r="A157" s="151" t="str">
        <f>C154</f>
        <v>Miguel Muñoz Ruiz</v>
      </c>
      <c r="B157" s="151" t="str">
        <f>I154</f>
        <v>Y</v>
      </c>
      <c r="C157" s="147">
        <v>2.0</v>
      </c>
      <c r="D157" s="152" t="str">
        <f>IFERROR(__xludf.DUMMYFUNCTION("if(A157="""","""",iferror(filter(Schedule!$P:$P&amp;""-""&amp;Schedule!$Q:$Q,Schedule!$L:$L=A157,(Schedule!$J:$J="""")+(Schedule!$J:$J=B157),(Schedule!$K:$K=""a"")+(Schedule!$K:$K=""""),Schedule!$P:$P&lt;&gt;""""),""""))"),"Science 7-1")</f>
        <v>Science 7-1</v>
      </c>
      <c r="E157" s="152" t="str">
        <f>IFERROR(__xludf.DUMMYFUNCTION("if(A157="""","""",iferror(filter(Schedule!$Y:$Y&amp;""-""&amp;Schedule!$Z:$Z,Schedule!$L:$L=A157,(Schedule!$J:$J="""")+(Schedule!$J:$J=B157),(Schedule!$K:$K=""b"")+(Schedule!$K:$K=""""),Schedule!$Y:$Y&lt;&gt;""""),""""))"),"Science 8-5")</f>
        <v>Science 8-5</v>
      </c>
      <c r="F157" s="152" t="str">
        <f>IFERROR(__xludf.DUMMYFUNCTION("if(A157="""","""",iferror(filter(Schedule!$P:$P&amp;""-""&amp;Schedule!$Q:$Q,Schedule!$L:$L=A157,(Schedule!$J:$J="""")+(Schedule!$J:$J=B157),(Schedule!$K:$K=""a"")+(Schedule!$K:$K=""""),Schedule!$P:$P&lt;&gt;""""),""""))"),"Science 7-1")</f>
        <v>Science 7-1</v>
      </c>
      <c r="G157" s="152" t="str">
        <f>IFERROR(__xludf.DUMMYFUNCTION("if(A157="""","""",iferror(filter(Schedule!$M:$M&amp;""-""&amp;Schedule!$N:$N,Schedule!$L:$L=A157,(Schedule!$J:$J="""")+(Schedule!$J:$J=B157),(Schedule!$K:$K=""a"")+(Schedule!$K:$K=""""),Schedule!$M:$M&lt;&gt;""""),""""))"),"")</f>
        <v/>
      </c>
      <c r="H157" s="152" t="str">
        <f>IFERROR(__xludf.DUMMYFUNCTION("if(A157="""","""",iferror(filter(Schedule!$AB:$AB&amp;""-""&amp;Schedule!$AC:$AC,Schedule!$L:$L=A157,(Schedule!$J:$J="""")+(Schedule!$J:$J=B157),(Schedule!$K:$K=""a"")+(Schedule!$K:$K=""""),Schedule!$AB:$AB&lt;&gt;""""),""""))"),"Science 7A-6")</f>
        <v>Science 7A-6</v>
      </c>
      <c r="I157" s="60"/>
      <c r="J157" s="154"/>
      <c r="K157" s="151" t="str">
        <f>M154</f>
        <v/>
      </c>
      <c r="L157" s="151" t="str">
        <f>S154</f>
        <v/>
      </c>
      <c r="M157" s="147">
        <v>2.0</v>
      </c>
      <c r="N157" s="152" t="str">
        <f>IFERROR(__xludf.DUMMYFUNCTION("if(K157="""","""",iferror(filter(Schedule!$P:$P&amp;""-""&amp;Schedule!$Q:$Q,Schedule!$L:$L=K157,(Schedule!$J:$J="""")+(Schedule!$J:$J=L157),(Schedule!$K:$K=""a"")+(Schedule!$K:$K=""""),Schedule!$P:$P&lt;&gt;""""),""""))"),"")</f>
        <v/>
      </c>
      <c r="O157" s="152" t="str">
        <f>IFERROR(__xludf.DUMMYFUNCTION("if(K157="""","""",iferror(filter(Schedule!$Y:$Y&amp;""-""&amp;Schedule!$Z:$Z,Schedule!$L:$L=K157,(Schedule!$J:$J="""")+(Schedule!$J:$J=L157),(Schedule!$K:$K=""b"")+(Schedule!$K:$K=""""),Schedule!$Y:$Y&lt;&gt;""""),""""))"),"")</f>
        <v/>
      </c>
      <c r="P157" s="152" t="str">
        <f>IFERROR(__xludf.DUMMYFUNCTION("if(K157="""","""",iferror(filter(Schedule!$P:$P&amp;""-""&amp;Schedule!$Q:$Q,Schedule!$L:$L=K157,(Schedule!$J:$J="""")+(Schedule!$J:$J=L157),(Schedule!$K:$K=""a"")+(Schedule!$K:$K=""""),Schedule!$P:$P&lt;&gt;""""),""""))"),"")</f>
        <v/>
      </c>
      <c r="Q157" s="152" t="str">
        <f>IFERROR(__xludf.DUMMYFUNCTION("if(K157="""","""",iferror(filter(Schedule!$M:$M&amp;""-""&amp;Schedule!$N:$N,Schedule!$L:$L=K157,(Schedule!$J:$J="""")+(Schedule!$J:$J=L157),(Schedule!$K:$K=""a"")+(Schedule!$K:$K=""""),Schedule!$M:$M&lt;&gt;""""),""""))"),"")</f>
        <v/>
      </c>
      <c r="R157" s="152" t="str">
        <f>IFERROR(__xludf.DUMMYFUNCTION("if(K157="""","""",iferror(filter(Schedule!$AB:$AB&amp;""-""&amp;Schedule!$AC:$AC,Schedule!$L:$L=K157,(Schedule!$J:$J="""")+(Schedule!$J:$J=L157),(Schedule!$K:$K=""a"")+(Schedule!$K:$K=""""),Schedule!$AB:$AB&lt;&gt;""""),""""))"),"")</f>
        <v/>
      </c>
      <c r="S157" s="60"/>
      <c r="T157" s="155"/>
      <c r="U157" s="155" t="str">
        <f>W154</f>
        <v/>
      </c>
      <c r="V157" s="151" t="str">
        <f>AC154</f>
        <v/>
      </c>
      <c r="W157" s="147">
        <v>2.0</v>
      </c>
      <c r="X157" s="152" t="str">
        <f>IFERROR(__xludf.DUMMYFUNCTION("if(U157="""","""",iferror(filter(Schedule!$P:$P&amp;""-""&amp;Schedule!$Q:$Q,Schedule!$L:$L=U157,(Schedule!$J:$J="""")+(Schedule!$J:$J=V157),(Schedule!$K:$K=""a"")+(Schedule!$K:$K=""""),Schedule!$P:$P&lt;&gt;""""),""""))"),"")</f>
        <v/>
      </c>
      <c r="Y157" s="152" t="str">
        <f>IFERROR(__xludf.DUMMYFUNCTION("if(U157="""","""",iferror(filter(Schedule!$Y:$Y&amp;""-""&amp;Schedule!$Z:$Z,Schedule!$L:$L=U157,(Schedule!$J:$J="""")+(Schedule!$J:$J=V157),(Schedule!$K:$K=""b"")+(Schedule!$K:$K=""""),Schedule!$Y:$Y&lt;&gt;""""),""""))"),"")</f>
        <v/>
      </c>
      <c r="Z157" s="152" t="str">
        <f>IFERROR(__xludf.DUMMYFUNCTION("if(U157="""","""",iferror(filter(Schedule!$P:$P&amp;""-""&amp;Schedule!$Q:$Q,Schedule!$L:$L=U157,(Schedule!$J:$J="""")+(Schedule!$J:$J=V157),(Schedule!$K:$K=""a"")+(Schedule!$K:$K=""""),Schedule!$P:$P&lt;&gt;""""),""""))"),"")</f>
        <v/>
      </c>
      <c r="AA157" s="152" t="str">
        <f>IFERROR(__xludf.DUMMYFUNCTION("if(U157="""","""",iferror(filter(Schedule!$M:$M&amp;""-""&amp;Schedule!$N:$N,Schedule!$L:$L=U157,(Schedule!$J:$J="""")+(Schedule!$J:$J=V157),(Schedule!$K:$K=""a"")+(Schedule!$K:$K=""""),Schedule!$M:$M&lt;&gt;""""),""""))"),"")</f>
        <v/>
      </c>
      <c r="AB157" s="152" t="str">
        <f>IFERROR(__xludf.DUMMYFUNCTION("if(U157="""","""",iferror(filter(Schedule!$AB:$AB&amp;""-""&amp;Schedule!$AC:$AC,Schedule!$L:$L=U157,(Schedule!$J:$J="""")+(Schedule!$J:$J=V157),(Schedule!$K:$K=""a"")+(Schedule!$K:$K=""""),Schedule!$AB:$AB&lt;&gt;""""),""""))"),"")</f>
        <v/>
      </c>
      <c r="AC157" s="60"/>
      <c r="AD157" s="155"/>
      <c r="AE157" s="155" t="str">
        <f>AG154</f>
        <v/>
      </c>
      <c r="AF157" s="151" t="str">
        <f>AM154</f>
        <v/>
      </c>
      <c r="AG157" s="147">
        <v>2.0</v>
      </c>
      <c r="AH157" s="152" t="str">
        <f>IFERROR(__xludf.DUMMYFUNCTION("if(AE157="""","""",iferror(filter(Schedule!$P:$P&amp;""-""&amp;Schedule!$Q:$Q,Schedule!$L:$L=AE157,(Schedule!$J:$J="""")+(Schedule!$J:$J=AF157),(Schedule!$K:$K=""a"")+(Schedule!$K:$K=""""),Schedule!$P:$P&lt;&gt;""""),""""))"),"")</f>
        <v/>
      </c>
      <c r="AI157" s="152" t="str">
        <f>IFERROR(__xludf.DUMMYFUNCTION("if(AE157="""","""",iferror(filter(Schedule!$Y:$Y&amp;""-""&amp;Schedule!$Z:$Z,Schedule!$L:$L=AE157,(Schedule!$J:$J="""")+(Schedule!$J:$J=AF157),(Schedule!$K:$K=""b"")+(Schedule!$K:$K=""""),Schedule!$Y:$Y&lt;&gt;""""),""""))"),"")</f>
        <v/>
      </c>
      <c r="AJ157" s="152" t="str">
        <f>IFERROR(__xludf.DUMMYFUNCTION("if(AE157="""","""",iferror(filter(Schedule!$P:$P&amp;""-""&amp;Schedule!$Q:$Q,Schedule!$L:$L=AE157,(Schedule!$J:$J="""")+(Schedule!$J:$J=AF157),(Schedule!$K:$K=""a"")+(Schedule!$K:$K=""""),Schedule!$P:$P&lt;&gt;""""),""""))"),"")</f>
        <v/>
      </c>
      <c r="AK157" s="152" t="str">
        <f>IFERROR(__xludf.DUMMYFUNCTION("if(AE157="""","""",iferror(filter(Schedule!$M:$M&amp;""-""&amp;Schedule!$N:$N,Schedule!$L:$L=AE157,(Schedule!$J:$J="""")+(Schedule!$J:$J=AF157),(Schedule!$K:$K=""a"")+(Schedule!$K:$K=""""),Schedule!$M:$M&lt;&gt;""""),""""))"),"")</f>
        <v/>
      </c>
      <c r="AL157" s="152" t="str">
        <f>IFERROR(__xludf.DUMMYFUNCTION("if(AE157="""","""",iferror(filter(Schedule!$AB:$AB&amp;""-""&amp;Schedule!$AC:$AC,Schedule!$L:$L=AE157,(Schedule!$J:$J="""")+(Schedule!$J:$J=AF157),(Schedule!$K:$K=""a"")+(Schedule!$K:$K=""""),Schedule!$AB:$AB&lt;&gt;""""),""""))"),"")</f>
        <v/>
      </c>
      <c r="AM157" s="60"/>
    </row>
    <row r="158">
      <c r="A158" s="151" t="str">
        <f>C154</f>
        <v>Miguel Muñoz Ruiz</v>
      </c>
      <c r="B158" s="151" t="str">
        <f>I154</f>
        <v>Y</v>
      </c>
      <c r="C158" s="147">
        <v>3.0</v>
      </c>
      <c r="D158" s="152" t="str">
        <f>IFERROR(__xludf.DUMMYFUNCTION("if(A158="""","""",iferror(filter(Schedule!$S:$S&amp;""-""&amp;Schedule!$T:$T,Schedule!$L:$L=A158,(Schedule!$J:$J="""")+(Schedule!$J:$J=B158),(Schedule!$K:$K=""a"")+(Schedule!$K:$K=""""),Schedule!$S:$S&lt;&gt;""""),""""))"),"")</f>
        <v/>
      </c>
      <c r="E158" s="152" t="str">
        <f>IFERROR(__xludf.DUMMYFUNCTION("if(A158="""","""",iferror(filter(Schedule!$S:$S&amp;""-""&amp;Schedule!$T:$T,Schedule!$L:$L=A158,(Schedule!$J:$J="""")+(Schedule!$J:$J=B158),(Schedule!$K:$K=""b"")+(Schedule!$K:$K=""""),Schedule!$S:$S&lt;&gt;""""),""""))"),"")</f>
        <v/>
      </c>
      <c r="F158" s="152" t="str">
        <f>IFERROR(__xludf.DUMMYFUNCTION("if(A158="""","""",iferror(filter(Schedule!$Y:$Y&amp;""-""&amp;Schedule!$Z:$Z,Schedule!$L:$L=A158,(Schedule!$J:$J="""")+(Schedule!$J:$J=B158),(Schedule!$K:$K=""a"")+(Schedule!$K:$K=""""),Schedule!$Y:$Y&lt;&gt;""""),""""))"),"Science 8-5")</f>
        <v>Science 8-5</v>
      </c>
      <c r="G158" s="152" t="str">
        <f>IFERROR(__xludf.DUMMYFUNCTION("if(A158="""","""",iferror(filter(Schedule!$P:$P&amp;""-""&amp;Schedule!$Q:$Q,Schedule!$L:$L=A158,(Schedule!$J:$J="""")+(Schedule!$J:$J=B158),(Schedule!$K:$K=""b"")+(Schedule!$K:$K=""""),Schedule!$P:$P&lt;&gt;""""),""""))"),"Science 7-1")</f>
        <v>Science 7-1</v>
      </c>
      <c r="H158" s="152" t="str">
        <f>if(C154="","","X-Block")</f>
        <v>X-Block</v>
      </c>
      <c r="I158" s="60"/>
      <c r="J158" s="154"/>
      <c r="K158" s="151" t="str">
        <f>M154</f>
        <v/>
      </c>
      <c r="L158" s="151" t="str">
        <f>S154</f>
        <v/>
      </c>
      <c r="M158" s="147">
        <v>3.0</v>
      </c>
      <c r="N158" s="152" t="str">
        <f>IFERROR(__xludf.DUMMYFUNCTION("if(K158="""","""",iferror(filter(Schedule!$S:$S&amp;""-""&amp;Schedule!$T:$T,Schedule!$L:$L=K158,(Schedule!$J:$J="""")+(Schedule!$J:$J=L158),(Schedule!$K:$K=""a"")+(Schedule!$K:$K=""""),Schedule!$S:$S&lt;&gt;""""),""""))"),"")</f>
        <v/>
      </c>
      <c r="O158" s="152" t="str">
        <f>IFERROR(__xludf.DUMMYFUNCTION("if(K158="""","""",iferror(filter(Schedule!$S:$S&amp;""-""&amp;Schedule!$T:$T,Schedule!$L:$L=K158,(Schedule!$J:$J="""")+(Schedule!$J:$J=L158),(Schedule!$K:$K=""b"")+(Schedule!$K:$K=""""),Schedule!$S:$S&lt;&gt;""""),""""))"),"")</f>
        <v/>
      </c>
      <c r="P158" s="152" t="str">
        <f>IFERROR(__xludf.DUMMYFUNCTION("if(K158="""","""",iferror(filter(Schedule!$Y:$Y&amp;""-""&amp;Schedule!$Z:$Z,Schedule!$L:$L=K158,(Schedule!$J:$J="""")+(Schedule!$J:$J=L158),(Schedule!$K:$K=""a"")+(Schedule!$K:$K=""""),Schedule!$Y:$Y&lt;&gt;""""),""""))"),"")</f>
        <v/>
      </c>
      <c r="Q158" s="152" t="str">
        <f>IFERROR(__xludf.DUMMYFUNCTION("if(K158="""","""",iferror(filter(Schedule!$P:$P&amp;""-""&amp;Schedule!$Q:$Q,Schedule!$L:$L=K158,(Schedule!$J:$J="""")+(Schedule!$J:$J=L158),(Schedule!$K:$K=""b"")+(Schedule!$K:$K=""""),Schedule!$P:$P&lt;&gt;""""),""""))"),"")</f>
        <v/>
      </c>
      <c r="R158" s="152" t="str">
        <f>if(M154="","","X-Block")</f>
        <v/>
      </c>
      <c r="S158" s="60"/>
      <c r="T158" s="155"/>
      <c r="U158" s="155" t="str">
        <f>W154</f>
        <v/>
      </c>
      <c r="V158" s="151" t="str">
        <f>AC154</f>
        <v/>
      </c>
      <c r="W158" s="147">
        <v>3.0</v>
      </c>
      <c r="X158" s="152" t="str">
        <f>IFERROR(__xludf.DUMMYFUNCTION("if(U158="""","""",iferror(filter(Schedule!$S:$S&amp;""-""&amp;Schedule!$T:$T,Schedule!$L:$L=U158,(Schedule!$J:$J="""")+(Schedule!$J:$J=V158),(Schedule!$K:$K=""a"")+(Schedule!$K:$K=""""),Schedule!$S:$S&lt;&gt;""""),""""))"),"")</f>
        <v/>
      </c>
      <c r="Y158" s="152" t="str">
        <f>IFERROR(__xludf.DUMMYFUNCTION("if(U158="""","""",iferror(filter(Schedule!$S:$S&amp;""-""&amp;Schedule!$T:$T,Schedule!$L:$L=U158,(Schedule!$J:$J="""")+(Schedule!$J:$J=V158),(Schedule!$K:$K=""b"")+(Schedule!$K:$K=""""),Schedule!$S:$S&lt;&gt;""""),""""))"),"")</f>
        <v/>
      </c>
      <c r="Z158" s="152" t="str">
        <f>IFERROR(__xludf.DUMMYFUNCTION("if(U158="""","""",iferror(filter(Schedule!$Y:$Y&amp;""-""&amp;Schedule!$Z:$Z,Schedule!$L:$L=U158,(Schedule!$J:$J="""")+(Schedule!$J:$J=V158),(Schedule!$K:$K=""a"")+(Schedule!$K:$K=""""),Schedule!$Y:$Y&lt;&gt;""""),""""))"),"")</f>
        <v/>
      </c>
      <c r="AA158" s="152" t="str">
        <f>IFERROR(__xludf.DUMMYFUNCTION("if(U158="""","""",iferror(filter(Schedule!$P:$P&amp;""-""&amp;Schedule!$Q:$Q,Schedule!$L:$L=U158,(Schedule!$J:$J="""")+(Schedule!$J:$J=V158),(Schedule!$K:$K=""b"")+(Schedule!$K:$K=""""),Schedule!$P:$P&lt;&gt;""""),""""))"),"")</f>
        <v/>
      </c>
      <c r="AB158" s="152" t="str">
        <f>if(W154="","","X-Block")</f>
        <v/>
      </c>
      <c r="AC158" s="60"/>
      <c r="AD158" s="155"/>
      <c r="AE158" s="155" t="str">
        <f>AG154</f>
        <v/>
      </c>
      <c r="AF158" s="151" t="str">
        <f>AM154</f>
        <v/>
      </c>
      <c r="AG158" s="147">
        <v>3.0</v>
      </c>
      <c r="AH158" s="152" t="str">
        <f>IFERROR(__xludf.DUMMYFUNCTION("if(AE158="""","""",iferror(filter(Schedule!$S:$S&amp;""-""&amp;Schedule!$T:$T,Schedule!$L:$L=AE158,(Schedule!$J:$J="""")+(Schedule!$J:$J=AF158),(Schedule!$K:$K=""a"")+(Schedule!$K:$K=""""),Schedule!$S:$S&lt;&gt;""""),""""))"),"")</f>
        <v/>
      </c>
      <c r="AI158" s="152" t="str">
        <f>IFERROR(__xludf.DUMMYFUNCTION("if(AE158="""","""",iferror(filter(Schedule!$S:$S&amp;""-""&amp;Schedule!$T:$T,Schedule!$L:$L=AE158,(Schedule!$J:$J="""")+(Schedule!$J:$J=AF158),(Schedule!$K:$K=""b"")+(Schedule!$K:$K=""""),Schedule!$S:$S&lt;&gt;""""),""""))"),"")</f>
        <v/>
      </c>
      <c r="AJ158" s="152" t="str">
        <f>IFERROR(__xludf.DUMMYFUNCTION("if(AE158="""","""",iferror(filter(Schedule!$Y:$Y&amp;""-""&amp;Schedule!$Z:$Z,Schedule!$L:$L=AE158,(Schedule!$J:$J="""")+(Schedule!$J:$J=AF158),(Schedule!$K:$K=""a"")+(Schedule!$K:$K=""""),Schedule!$Y:$Y&lt;&gt;""""),""""))"),"")</f>
        <v/>
      </c>
      <c r="AK158" s="152" t="str">
        <f>IFERROR(__xludf.DUMMYFUNCTION("if(AE158="""","""",iferror(filter(Schedule!$P:$P&amp;""-""&amp;Schedule!$Q:$Q,Schedule!$L:$L=AE158,(Schedule!$J:$J="""")+(Schedule!$J:$J=AF158),(Schedule!$K:$K=""b"")+(Schedule!$K:$K=""""),Schedule!$P:$P&lt;&gt;""""),""""))"),"")</f>
        <v/>
      </c>
      <c r="AL158" s="152" t="str">
        <f>if(AG154="","","X-Block")</f>
        <v/>
      </c>
      <c r="AM158" s="60"/>
    </row>
    <row r="159">
      <c r="A159" s="151" t="str">
        <f>C154</f>
        <v>Miguel Muñoz Ruiz</v>
      </c>
      <c r="B159" s="151" t="str">
        <f>I154</f>
        <v>Y</v>
      </c>
      <c r="C159" s="147">
        <v>4.0</v>
      </c>
      <c r="D159" s="152" t="str">
        <f>IFERROR(__xludf.DUMMYFUNCTION("if(A159="""","""",iferror(filter(Schedule!$V:$V&amp;""-""&amp;Schedule!$W:$W,Schedule!$L:$L=A159,(Schedule!$J:$J="""")+(Schedule!$J:$J=B159),(Schedule!$K:$K=""a"")+(Schedule!$K:$K=""""),Schedule!$V:$V&lt;&gt;""""),""""))"),"Science 8-3")</f>
        <v>Science 8-3</v>
      </c>
      <c r="E159" s="152" t="str">
        <f>IFERROR(__xludf.DUMMYFUNCTION("if(A159="""","""",iferror(filter(Schedule!$M:$M&amp;""-""&amp;Schedule!$N:$N,Schedule!$L:$L=A159,(Schedule!$J:$J="""")+(Schedule!$J:$J=B159),(Schedule!$K:$K=""b"")+(Schedule!$K:$K=""""),Schedule!$M:$M&lt;&gt;""""),""""))"),"")</f>
        <v/>
      </c>
      <c r="F159" s="152" t="str">
        <f>IFERROR(__xludf.DUMMYFUNCTION("if(A159="""","""",iferror(filter(Schedule!$AB:$AB&amp;""-""&amp;Schedule!$AC:$AC,Schedule!$L:$L=A159,(Schedule!$J:$J="""")+(Schedule!$J:$J=B159),(Schedule!$K:$K=""a"")+(Schedule!$K:$K=""""),Schedule!$AB:$AB&lt;&gt;""""),""""))"),"Science 7A-6")</f>
        <v>Science 7A-6</v>
      </c>
      <c r="G159" s="152" t="str">
        <f>IFERROR(__xludf.DUMMYFUNCTION("if(A159="""","""",iferror(filter(Schedule!$S:$S&amp;""-""&amp;Schedule!$T:$T,Schedule!$L:$L=A159,(Schedule!$J:$J="""")+(Schedule!$J:$J=B159),(Schedule!$K:$K=""b"")+(Schedule!$K:$K=""""),Schedule!$S:$S&lt;&gt;""""),""""))"),"")</f>
        <v/>
      </c>
      <c r="H159" s="152" t="str">
        <f>IFERROR(__xludf.DUMMYFUNCTION("if(A159="""","""",iferror(filter(Schedule!$V:$V&amp;""-""&amp;Schedule!$W:$W,Schedule!$L:$L=A159,(Schedule!$J:$J="""")+(Schedule!$J:$J=B159),(Schedule!$K:$K=""b"")+(Schedule!$K:$K=""""),Schedule!$V:$V&lt;&gt;""""),""""))"),"Science 8-3")</f>
        <v>Science 8-3</v>
      </c>
      <c r="I159" s="60"/>
      <c r="J159" s="154"/>
      <c r="K159" s="151" t="str">
        <f>M154</f>
        <v/>
      </c>
      <c r="L159" s="151" t="str">
        <f>S154</f>
        <v/>
      </c>
      <c r="M159" s="147">
        <v>4.0</v>
      </c>
      <c r="N159" s="152" t="str">
        <f>IFERROR(__xludf.DUMMYFUNCTION("if(K159="""","""",iferror(filter(Schedule!$V:$V&amp;""-""&amp;Schedule!$W:$W,Schedule!$L:$L=K159,(Schedule!$J:$J="""")+(Schedule!$J:$J=L159),(Schedule!$K:$K=""a"")+(Schedule!$K:$K=""""),Schedule!$V:$V&lt;&gt;""""),""""))"),"")</f>
        <v/>
      </c>
      <c r="O159" s="152" t="str">
        <f>IFERROR(__xludf.DUMMYFUNCTION("if(K159="""","""",iferror(filter(Schedule!$M:$M&amp;""-""&amp;Schedule!$N:$N,Schedule!$L:$L=K159,(Schedule!$J:$J="""")+(Schedule!$J:$J=L159),(Schedule!$K:$K=""b"")+(Schedule!$K:$K=""""),Schedule!$M:$M&lt;&gt;""""),""""))"),"")</f>
        <v/>
      </c>
      <c r="P159" s="152" t="str">
        <f>IFERROR(__xludf.DUMMYFUNCTION("if(K159="""","""",iferror(filter(Schedule!$AB:$AB&amp;""-""&amp;Schedule!$AC:$AC,Schedule!$L:$L=K159,(Schedule!$J:$J="""")+(Schedule!$J:$J=L159),(Schedule!$K:$K=""a"")+(Schedule!$K:$K=""""),Schedule!$AB:$AB&lt;&gt;""""),""""))"),"")</f>
        <v/>
      </c>
      <c r="Q159" s="152" t="str">
        <f>IFERROR(__xludf.DUMMYFUNCTION("if(K159="""","""",iferror(filter(Schedule!$S:$S&amp;""-""&amp;Schedule!$T:$T,Schedule!$L:$L=K159,(Schedule!$J:$J="""")+(Schedule!$J:$J=L159),(Schedule!$K:$K=""b"")+(Schedule!$K:$K=""""),Schedule!$S:$S&lt;&gt;""""),""""))"),"")</f>
        <v/>
      </c>
      <c r="R159" s="152" t="str">
        <f>IFERROR(__xludf.DUMMYFUNCTION("if(K159="""","""",iferror(filter(Schedule!$V:$V&amp;""-""&amp;Schedule!$W:$W,Schedule!$L:$L=K159,(Schedule!$J:$J="""")+(Schedule!$J:$J=L159),(Schedule!$K:$K=""b"")+(Schedule!$K:$K=""""),Schedule!$V:$V&lt;&gt;""""),""""))"),"")</f>
        <v/>
      </c>
      <c r="S159" s="60"/>
      <c r="T159" s="155"/>
      <c r="U159" s="155" t="str">
        <f>W154</f>
        <v/>
      </c>
      <c r="V159" s="151" t="str">
        <f>AC154</f>
        <v/>
      </c>
      <c r="W159" s="147">
        <v>4.0</v>
      </c>
      <c r="X159" s="152" t="str">
        <f>IFERROR(__xludf.DUMMYFUNCTION("if(U159="""","""",iferror(filter(Schedule!$V:$V&amp;""-""&amp;Schedule!$W:$W,Schedule!$L:$L=U159,(Schedule!$J:$J="""")+(Schedule!$J:$J=V159),(Schedule!$K:$K=""a"")+(Schedule!$K:$K=""""),Schedule!$V:$V&lt;&gt;""""),""""))"),"")</f>
        <v/>
      </c>
      <c r="Y159" s="152" t="str">
        <f>IFERROR(__xludf.DUMMYFUNCTION("if(U159="""","""",iferror(filter(Schedule!$M:$M&amp;""-""&amp;Schedule!$N:$N,Schedule!$L:$L=U159,(Schedule!$J:$J="""")+(Schedule!$J:$J=V159),(Schedule!$K:$K=""b"")+(Schedule!$K:$K=""""),Schedule!$M:$M&lt;&gt;""""),""""))"),"")</f>
        <v/>
      </c>
      <c r="Z159" s="152" t="str">
        <f>IFERROR(__xludf.DUMMYFUNCTION("if(U159="""","""",iferror(filter(Schedule!$AB:$AB&amp;""-""&amp;Schedule!$AC:$AC,Schedule!$L:$L=U159,(Schedule!$J:$J="""")+(Schedule!$J:$J=V159),(Schedule!$K:$K=""a"")+(Schedule!$K:$K=""""),Schedule!$AB:$AB&lt;&gt;""""),""""))"),"")</f>
        <v/>
      </c>
      <c r="AA159" s="152" t="str">
        <f>IFERROR(__xludf.DUMMYFUNCTION("if(U159="""","""",iferror(filter(Schedule!$S:$S&amp;""-""&amp;Schedule!$T:$T,Schedule!$L:$L=U159,(Schedule!$J:$J="""")+(Schedule!$J:$J=V159),(Schedule!$K:$K=""b"")+(Schedule!$K:$K=""""),Schedule!$S:$S&lt;&gt;""""),""""))"),"")</f>
        <v/>
      </c>
      <c r="AB159" s="152" t="str">
        <f>IFERROR(__xludf.DUMMYFUNCTION("if(U159="""","""",iferror(filter(Schedule!$V:$V&amp;""-""&amp;Schedule!$W:$W,Schedule!$L:$L=U159,(Schedule!$J:$J="""")+(Schedule!$J:$J=V159),(Schedule!$K:$K=""b"")+(Schedule!$K:$K=""""),Schedule!$V:$V&lt;&gt;""""),""""))"),"")</f>
        <v/>
      </c>
      <c r="AC159" s="60"/>
      <c r="AD159" s="155"/>
      <c r="AE159" s="155" t="str">
        <f>AG154</f>
        <v/>
      </c>
      <c r="AF159" s="151" t="str">
        <f>AM154</f>
        <v/>
      </c>
      <c r="AG159" s="147">
        <v>4.0</v>
      </c>
      <c r="AH159" s="152" t="str">
        <f>IFERROR(__xludf.DUMMYFUNCTION("if(AE159="""","""",iferror(filter(Schedule!$V:$V&amp;""-""&amp;Schedule!$W:$W,Schedule!$L:$L=AE159,(Schedule!$J:$J="""")+(Schedule!$J:$J=AF159),(Schedule!$K:$K=""a"")+(Schedule!$K:$K=""""),Schedule!$V:$V&lt;&gt;""""),""""))"),"")</f>
        <v/>
      </c>
      <c r="AI159" s="152" t="str">
        <f>IFERROR(__xludf.DUMMYFUNCTION("if(AE159="""","""",iferror(filter(Schedule!$M:$M&amp;""-""&amp;Schedule!$N:$N,Schedule!$L:$L=AE159,(Schedule!$J:$J="""")+(Schedule!$J:$J=AF159),(Schedule!$K:$K=""b"")+(Schedule!$K:$K=""""),Schedule!$M:$M&lt;&gt;""""),""""))"),"")</f>
        <v/>
      </c>
      <c r="AJ159" s="152" t="str">
        <f>IFERROR(__xludf.DUMMYFUNCTION("if(AE159="""","""",iferror(filter(Schedule!$AB:$AB&amp;""-""&amp;Schedule!$AC:$AC,Schedule!$L:$L=AE159,(Schedule!$J:$J="""")+(Schedule!$J:$J=AF159),(Schedule!$K:$K=""a"")+(Schedule!$K:$K=""""),Schedule!$AB:$AB&lt;&gt;""""),""""))"),"")</f>
        <v/>
      </c>
      <c r="AK159" s="152" t="str">
        <f>IFERROR(__xludf.DUMMYFUNCTION("if(AE159="""","""",iferror(filter(Schedule!$S:$S&amp;""-""&amp;Schedule!$T:$T,Schedule!$L:$L=AE159,(Schedule!$J:$J="""")+(Schedule!$J:$J=AF159),(Schedule!$K:$K=""b"")+(Schedule!$K:$K=""""),Schedule!$S:$S&lt;&gt;""""),""""))"),"")</f>
        <v/>
      </c>
      <c r="AL159" s="152" t="str">
        <f>IFERROR(__xludf.DUMMYFUNCTION("if(AE159="""","""",iferror(filter(Schedule!$V:$V&amp;""-""&amp;Schedule!$W:$W,Schedule!$L:$L=AE159,(Schedule!$J:$J="""")+(Schedule!$J:$J=AF159),(Schedule!$K:$K=""b"")+(Schedule!$K:$K=""""),Schedule!$V:$V&lt;&gt;""""),""""))"),"")</f>
        <v/>
      </c>
      <c r="AM159" s="60"/>
    </row>
    <row r="160">
      <c r="A160" s="151" t="str">
        <f>C154</f>
        <v>Miguel Muñoz Ruiz</v>
      </c>
      <c r="B160" s="151" t="str">
        <f>I154</f>
        <v>Y</v>
      </c>
      <c r="C160" s="147">
        <v>5.0</v>
      </c>
      <c r="D160" s="152" t="str">
        <f>IFERROR(__xludf.DUMMYFUNCTION("if(A160="""","""",iferror(filter(Schedule!$Y:$Y&amp;""-""&amp;Schedule!$Z:$Z,Schedule!$L:$L=A160,(Schedule!$J:$J="""")+(Schedule!$J:$J=B160),(Schedule!$K:$K=""a"")+(Schedule!$K:$K=""""),Schedule!$Y:$Y&lt;&gt;""""),""""))"),"Science 8-5")</f>
        <v>Science 8-5</v>
      </c>
      <c r="E160" s="152" t="str">
        <f>IFERROR(__xludf.DUMMYFUNCTION("if(A160="""","""",iferror(filter(Schedule!$P:$P&amp;""-""&amp;Schedule!$Q:$Q,Schedule!$L:$L=A160,(Schedule!$J:$J="""")+(Schedule!$J:$J=B160),(Schedule!$K:$K=""b"")+(Schedule!$K:$K=""""),Schedule!$P:$P&lt;&gt;""""),""""))"),"Science 7-1")</f>
        <v>Science 7-1</v>
      </c>
      <c r="F160" s="152" t="str">
        <f>IFERROR(__xludf.DUMMYFUNCTION("if(A160="""","""",iferror(filter(Schedule!$V:$V&amp;""-""&amp;Schedule!$W:$W,Schedule!$L:$L=A160,(Schedule!$J:$J="""")+(Schedule!$J:$J=B160),(Schedule!$K:$K=""b"")+(Schedule!$K:$K=""""),Schedule!$V:$V&lt;&gt;""""),""""))"),"Science 8-3")</f>
        <v>Science 8-3</v>
      </c>
      <c r="G160" s="152" t="str">
        <f>IFERROR(__xludf.DUMMYFUNCTION("if(A160="""","""",iferror(filter(Schedule!$AB:$AB&amp;""-""&amp;Schedule!$AC:$AC,Schedule!$L:$L=A160,(Schedule!$J:$J="""")+(Schedule!$J:$J=B160),(Schedule!$K:$K=""b"")+(Schedule!$K:$K=""""),Schedule!$AB:$AB&lt;&gt;""""),""""))"),"Science 7A-6")</f>
        <v>Science 7A-6</v>
      </c>
      <c r="H160" s="152" t="str">
        <f>IFERROR(__xludf.DUMMYFUNCTION("if(A160="""","""",iferror(filter(Schedule!$M:$M&amp;""-""&amp;Schedule!$N:$N,Schedule!$L:$L=A160,(Schedule!$J:$J="""")+(Schedule!$J:$J=B160),(Schedule!$K:$K=""b"")+(Schedule!$K:$K=""""),Schedule!$M:$M&lt;&gt;""""),""""))"),"")</f>
        <v/>
      </c>
      <c r="I160" s="64"/>
      <c r="J160" s="154"/>
      <c r="K160" s="151" t="str">
        <f>M154</f>
        <v/>
      </c>
      <c r="L160" s="151" t="str">
        <f>S154</f>
        <v/>
      </c>
      <c r="M160" s="147">
        <v>5.0</v>
      </c>
      <c r="N160" s="152" t="str">
        <f>IFERROR(__xludf.DUMMYFUNCTION("if(K160="""","""",iferror(filter(Schedule!$Y:$Y&amp;""-""&amp;Schedule!$Z:$Z,Schedule!$L:$L=K160,(Schedule!$J:$J="""")+(Schedule!$J:$J=L160),(Schedule!$K:$K=""a"")+(Schedule!$K:$K=""""),Schedule!$Y:$Y&lt;&gt;""""),""""))"),"")</f>
        <v/>
      </c>
      <c r="O160" s="152" t="str">
        <f>IFERROR(__xludf.DUMMYFUNCTION("if(K160="""","""",iferror(filter(Schedule!$P:$P&amp;""-""&amp;Schedule!$Q:$Q,Schedule!$L:$L=K160,(Schedule!$J:$J="""")+(Schedule!$J:$J=L160),(Schedule!$K:$K=""b"")+(Schedule!$K:$K=""""),Schedule!$P:$P&lt;&gt;""""),""""))"),"")</f>
        <v/>
      </c>
      <c r="P160" s="152" t="str">
        <f>IFERROR(__xludf.DUMMYFUNCTION("if(K160="""","""",iferror(filter(Schedule!$V:$V&amp;""-""&amp;Schedule!$W:$W,Schedule!$L:$L=K160,(Schedule!$J:$J="""")+(Schedule!$J:$J=L160),(Schedule!$K:$K=""b"")+(Schedule!$K:$K=""""),Schedule!$V:$V&lt;&gt;""""),""""))"),"")</f>
        <v/>
      </c>
      <c r="Q160" s="152" t="str">
        <f>IFERROR(__xludf.DUMMYFUNCTION("if(K160="""","""",iferror(filter(Schedule!$AB:$AB&amp;""-""&amp;Schedule!$AC:$AC,Schedule!$L:$L=K160,(Schedule!$J:$J="""")+(Schedule!$J:$J=L160),(Schedule!$K:$K=""b"")+(Schedule!$K:$K=""""),Schedule!$AB:$AB&lt;&gt;""""),""""))"),"")</f>
        <v/>
      </c>
      <c r="R160" s="152" t="str">
        <f>IFERROR(__xludf.DUMMYFUNCTION("if(K160="""","""",iferror(filter(Schedule!$M:$M&amp;""-""&amp;Schedule!$N:$N,Schedule!$L:$L=K160,(Schedule!$J:$J="""")+(Schedule!$J:$J=L160),(Schedule!$K:$K=""b"")+(Schedule!$K:$K=""""),Schedule!$M:$M&lt;&gt;""""),""""))"),"")</f>
        <v/>
      </c>
      <c r="S160" s="64"/>
      <c r="T160" s="155"/>
      <c r="U160" s="155" t="str">
        <f>W154</f>
        <v/>
      </c>
      <c r="V160" s="151" t="str">
        <f>AC154</f>
        <v/>
      </c>
      <c r="W160" s="147">
        <v>5.0</v>
      </c>
      <c r="X160" s="152" t="str">
        <f>IFERROR(__xludf.DUMMYFUNCTION("if(U160="""","""",iferror(filter(Schedule!$Y:$Y&amp;""-""&amp;Schedule!$Z:$Z,Schedule!$L:$L=U160,(Schedule!$J:$J="""")+(Schedule!$J:$J=V160),(Schedule!$K:$K=""a"")+(Schedule!$K:$K=""""),Schedule!$Y:$Y&lt;&gt;""""),""""))"),"")</f>
        <v/>
      </c>
      <c r="Y160" s="152" t="str">
        <f>IFERROR(__xludf.DUMMYFUNCTION("if(U160="""","""",iferror(filter(Schedule!$P:$P&amp;""-""&amp;Schedule!$Q:$Q,Schedule!$L:$L=U160,(Schedule!$J:$J="""")+(Schedule!$J:$J=V160),(Schedule!$K:$K=""b"")+(Schedule!$K:$K=""""),Schedule!$P:$P&lt;&gt;""""),""""))"),"")</f>
        <v/>
      </c>
      <c r="Z160" s="152" t="str">
        <f>IFERROR(__xludf.DUMMYFUNCTION("if(U160="""","""",iferror(filter(Schedule!$V:$V&amp;""-""&amp;Schedule!$W:$W,Schedule!$L:$L=U160,(Schedule!$J:$J="""")+(Schedule!$J:$J=V160),(Schedule!$K:$K=""b"")+(Schedule!$K:$K=""""),Schedule!$V:$V&lt;&gt;""""),""""))"),"")</f>
        <v/>
      </c>
      <c r="AA160" s="152" t="str">
        <f>IFERROR(__xludf.DUMMYFUNCTION("if(U160="""","""",iferror(filter(Schedule!$AB:$AB&amp;""-""&amp;Schedule!$AC:$AC,Schedule!$L:$L=U160,(Schedule!$J:$J="""")+(Schedule!$J:$J=V160),(Schedule!$K:$K=""b"")+(Schedule!$K:$K=""""),Schedule!$AB:$AB&lt;&gt;""""),""""))"),"")</f>
        <v/>
      </c>
      <c r="AB160" s="152" t="str">
        <f>IFERROR(__xludf.DUMMYFUNCTION("if(U160="""","""",iferror(filter(Schedule!$M:$M&amp;""-""&amp;Schedule!$N:$N,Schedule!$L:$L=U160,(Schedule!$J:$J="""")+(Schedule!$J:$J=V160),(Schedule!$K:$K=""b"")+(Schedule!$K:$K=""""),Schedule!$M:$M&lt;&gt;""""),""""))"),"")</f>
        <v/>
      </c>
      <c r="AC160" s="64"/>
      <c r="AD160" s="155"/>
      <c r="AE160" s="155" t="str">
        <f>AG154</f>
        <v/>
      </c>
      <c r="AF160" s="151" t="str">
        <f>AM154</f>
        <v/>
      </c>
      <c r="AG160" s="147">
        <v>5.0</v>
      </c>
      <c r="AH160" s="152" t="str">
        <f>IFERROR(__xludf.DUMMYFUNCTION("if(AE160="""","""",iferror(filter(Schedule!$Y:$Y&amp;""-""&amp;Schedule!$Z:$Z,Schedule!$L:$L=AE160,(Schedule!$J:$J="""")+(Schedule!$J:$J=AF160),(Schedule!$K:$K=""a"")+(Schedule!$K:$K=""""),Schedule!$Y:$Y&lt;&gt;""""),""""))"),"")</f>
        <v/>
      </c>
      <c r="AI160" s="152" t="str">
        <f>IFERROR(__xludf.DUMMYFUNCTION("if(AE160="""","""",iferror(filter(Schedule!$P:$P&amp;""-""&amp;Schedule!$Q:$Q,Schedule!$L:$L=AE160,(Schedule!$J:$J="""")+(Schedule!$J:$J=AF160),(Schedule!$K:$K=""b"")+(Schedule!$K:$K=""""),Schedule!$P:$P&lt;&gt;""""),""""))"),"")</f>
        <v/>
      </c>
      <c r="AJ160" s="152" t="str">
        <f>IFERROR(__xludf.DUMMYFUNCTION("if(AE160="""","""",iferror(filter(Schedule!$V:$V&amp;""-""&amp;Schedule!$W:$W,Schedule!$L:$L=AE160,(Schedule!$J:$J="""")+(Schedule!$J:$J=AF160),(Schedule!$K:$K=""b"")+(Schedule!$K:$K=""""),Schedule!$V:$V&lt;&gt;""""),""""))"),"")</f>
        <v/>
      </c>
      <c r="AK160" s="152" t="str">
        <f>IFERROR(__xludf.DUMMYFUNCTION("if(AE160="""","""",iferror(filter(Schedule!$AB:$AB&amp;""-""&amp;Schedule!$AC:$AC,Schedule!$L:$L=AE160,(Schedule!$J:$J="""")+(Schedule!$J:$J=AF160),(Schedule!$K:$K=""b"")+(Schedule!$K:$K=""""),Schedule!$AB:$AB&lt;&gt;""""),""""))"),"")</f>
        <v/>
      </c>
      <c r="AL160" s="152" t="str">
        <f>IFERROR(__xludf.DUMMYFUNCTION("if(AE160="""","""",iferror(filter(Schedule!$M:$M&amp;""-""&amp;Schedule!$N:$N,Schedule!$L:$L=AE160,(Schedule!$J:$J="""")+(Schedule!$J:$J=AF160),(Schedule!$K:$K=""b"")+(Schedule!$K:$K=""""),Schedule!$M:$M&lt;&gt;""""),""""))"),"")</f>
        <v/>
      </c>
      <c r="AM160" s="64"/>
    </row>
    <row r="161">
      <c r="A161" s="11"/>
      <c r="B161" s="11"/>
      <c r="C161" s="156"/>
      <c r="D161" s="156"/>
      <c r="E161" s="156"/>
      <c r="F161" s="156"/>
      <c r="G161" s="156"/>
      <c r="H161" s="156"/>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c r="A162" s="5"/>
      <c r="B162" s="5"/>
      <c r="C162" s="140" t="str">
        <f>Teachers!A21</f>
        <v>Nando</v>
      </c>
      <c r="D162" s="141"/>
      <c r="E162" s="141"/>
      <c r="F162" s="141"/>
      <c r="G162" s="141"/>
      <c r="H162" s="142"/>
      <c r="I162" s="143" t="str">
        <f>IFERROR(__xludf.DUMMYFUNCTION("if(C162="""","""", iferror(unique(filter(Schedule!$J:$J,Schedule!$L:$L=$C162,Schedule!$J:$J=""Q1"")),iferror(unique(filter(Schedule!$J:$J,Schedule!$L:$L=$C162,Schedule!$J:$J=""S1"")),""Y"")))"),"Y")</f>
        <v>Y</v>
      </c>
      <c r="J162" s="11"/>
      <c r="K162" s="11"/>
      <c r="L162" s="11"/>
      <c r="M162" s="140" t="str">
        <f>if(S162="","",C162)</f>
        <v/>
      </c>
      <c r="N162" s="141"/>
      <c r="O162" s="141"/>
      <c r="P162" s="141"/>
      <c r="Q162" s="141"/>
      <c r="R162" s="142"/>
      <c r="S162" s="143" t="str">
        <f>if($I162="Q1","Q2",if($I162="S1","S2",""))</f>
        <v/>
      </c>
      <c r="T162" s="144"/>
      <c r="U162" s="144"/>
      <c r="V162" s="145"/>
      <c r="W162" s="140" t="str">
        <f>if(AC162="","",M162)</f>
        <v/>
      </c>
      <c r="X162" s="141"/>
      <c r="Y162" s="141"/>
      <c r="Z162" s="141"/>
      <c r="AA162" s="141"/>
      <c r="AB162" s="142"/>
      <c r="AC162" s="143" t="str">
        <f>if($I162="Q1","Q3","")</f>
        <v/>
      </c>
      <c r="AD162" s="144"/>
      <c r="AE162" s="144"/>
      <c r="AF162" s="145"/>
      <c r="AG162" s="140" t="str">
        <f>if(AC162="","",W162)</f>
        <v/>
      </c>
      <c r="AH162" s="141"/>
      <c r="AI162" s="141"/>
      <c r="AJ162" s="141"/>
      <c r="AK162" s="141"/>
      <c r="AL162" s="142"/>
      <c r="AM162" s="143" t="str">
        <f>if($I162="Q1","Q4","")</f>
        <v/>
      </c>
    </row>
    <row r="163">
      <c r="A163" s="146"/>
      <c r="B163" s="146"/>
      <c r="C163" s="147" t="s">
        <v>94</v>
      </c>
      <c r="D163" s="148" t="s">
        <v>95</v>
      </c>
      <c r="E163" s="148" t="s">
        <v>96</v>
      </c>
      <c r="F163" s="148" t="s">
        <v>97</v>
      </c>
      <c r="G163" s="148" t="s">
        <v>98</v>
      </c>
      <c r="H163" s="148" t="s">
        <v>99</v>
      </c>
      <c r="I163" s="148" t="s">
        <v>651</v>
      </c>
      <c r="J163" s="146"/>
      <c r="K163" s="146"/>
      <c r="L163" s="146"/>
      <c r="M163" s="147" t="s">
        <v>94</v>
      </c>
      <c r="N163" s="148" t="s">
        <v>95</v>
      </c>
      <c r="O163" s="148" t="s">
        <v>96</v>
      </c>
      <c r="P163" s="148" t="s">
        <v>97</v>
      </c>
      <c r="Q163" s="148" t="s">
        <v>98</v>
      </c>
      <c r="R163" s="148" t="s">
        <v>99</v>
      </c>
      <c r="S163" s="148" t="s">
        <v>651</v>
      </c>
      <c r="T163" s="149"/>
      <c r="U163" s="149"/>
      <c r="V163" s="150"/>
      <c r="W163" s="147" t="s">
        <v>94</v>
      </c>
      <c r="X163" s="148" t="s">
        <v>95</v>
      </c>
      <c r="Y163" s="148" t="s">
        <v>96</v>
      </c>
      <c r="Z163" s="148" t="s">
        <v>97</v>
      </c>
      <c r="AA163" s="148" t="s">
        <v>98</v>
      </c>
      <c r="AB163" s="148" t="s">
        <v>99</v>
      </c>
      <c r="AC163" s="148" t="s">
        <v>651</v>
      </c>
      <c r="AD163" s="149"/>
      <c r="AE163" s="149"/>
      <c r="AF163" s="150"/>
      <c r="AG163" s="147" t="s">
        <v>94</v>
      </c>
      <c r="AH163" s="148" t="s">
        <v>95</v>
      </c>
      <c r="AI163" s="148" t="s">
        <v>96</v>
      </c>
      <c r="AJ163" s="148" t="s">
        <v>97</v>
      </c>
      <c r="AK163" s="148" t="s">
        <v>98</v>
      </c>
      <c r="AL163" s="148" t="s">
        <v>99</v>
      </c>
      <c r="AM163" s="148" t="s">
        <v>651</v>
      </c>
    </row>
    <row r="164">
      <c r="A164" s="151" t="str">
        <f>C162</f>
        <v>Nando</v>
      </c>
      <c r="B164" s="151" t="str">
        <f>I162</f>
        <v>Y</v>
      </c>
      <c r="C164" s="147">
        <v>1.0</v>
      </c>
      <c r="D164" s="152" t="str">
        <f>IFERROR(__xludf.DUMMYFUNCTION("if(A164="""","""",iferror(filter(Schedule!$M:$M&amp;""-""&amp;Schedule!$N:$N,Schedule!$L:$L=A164,(Schedule!$J:$J="""")+(Schedule!$J:$J=B164),(Schedule!$K:$K=""a"")+(Schedule!$K:$K=""""),Schedule!$M:$M&lt;&gt;""""),""""))"),"PE 8-1")</f>
        <v>PE 8-1</v>
      </c>
      <c r="E164" s="152" t="str">
        <f>IFERROR(__xludf.DUMMYFUNCTION("if(A164="""","""",iferror(filter(Schedule!$AB:$AB&amp;""-""&amp;Schedule!$AC:$AC,Schedule!$L:$L=A164,(Schedule!$J:$J="""")+(Schedule!$J:$J=B164),(Schedule!$K:$K=""b"")+(Schedule!$K:$K=""""),Schedule!$AB:$AB&lt;&gt;""""),""""))"),"PE 7-6")</f>
        <v>PE 7-6</v>
      </c>
      <c r="F164" s="152" t="str">
        <f>IFERROR(__xludf.DUMMYFUNCTION("if(A164="""","""",iferror(filter(Schedule!$S:$S&amp;""-""&amp;Schedule!$T:$T,Schedule!$L:$L=A164,(Schedule!$J:$J="""")+(Schedule!$J:$J=B164),(Schedule!$K:$K=""a"")+(Schedule!$K:$K=""""),Schedule!$S:$S&lt;&gt;""""),""""))"),"")</f>
        <v/>
      </c>
      <c r="G164" s="152" t="str">
        <f>IFERROR(__xludf.DUMMYFUNCTION("if(A164="""","""",iferror(filter(Schedule!$V:$V&amp;""-""&amp;Schedule!$W:$W,Schedule!$L:$L=A164,(Schedule!$J:$J="""")+(Schedule!$J:$J=B164),(Schedule!$K:$K=""a"")+(Schedule!$K:$K=""""),Schedule!$V:$V&lt;&gt;""""),""""))"),"PE 8-3")</f>
        <v>PE 8-3</v>
      </c>
      <c r="H164" s="152" t="str">
        <f>IFERROR(__xludf.DUMMYFUNCTION("if(A164="""","""",iferror(filter(Schedule!$Y:$Y&amp;""-""&amp;Schedule!$Z:$Z,Schedule!$L:$L=A164,(Schedule!$J:$J="""")+(Schedule!$J:$J=B164),(Schedule!$K:$K=""b"")+(Schedule!$K:$K=""""),Schedule!$Y:$Y&lt;&gt;""""),""""))"),"PE 8-5")</f>
        <v>PE 8-5</v>
      </c>
      <c r="I164" s="153">
        <f>if(C162="","", 24-countifs(D164:H168,""))</f>
        <v>18</v>
      </c>
      <c r="J164" s="154"/>
      <c r="K164" s="151" t="str">
        <f>M162</f>
        <v/>
      </c>
      <c r="L164" s="151" t="str">
        <f>S162</f>
        <v/>
      </c>
      <c r="M164" s="147">
        <v>1.0</v>
      </c>
      <c r="N164" s="152" t="str">
        <f>IFERROR(__xludf.DUMMYFUNCTION("if(K164="""","""",iferror(filter(Schedule!$M:$M&amp;""-""&amp;Schedule!$N:$N,Schedule!$L:$L=K164,(Schedule!$J:$J="""")+(Schedule!$J:$J=L164),(Schedule!$K:$K=""a"")+(Schedule!$K:$K=""""),Schedule!$M:$M&lt;&gt;""""),""""))"),"")</f>
        <v/>
      </c>
      <c r="O164" s="152" t="str">
        <f>IFERROR(__xludf.DUMMYFUNCTION("if(K164="""","""",iferror(filter(Schedule!$AB:$AB&amp;""-""&amp;Schedule!$AC:$AC,Schedule!$L:$L=K164,(Schedule!$J:$J="""")+(Schedule!$J:$J=L164),(Schedule!$K:$K=""b"")+(Schedule!$K:$K=""""),Schedule!$AB:$AB&lt;&gt;""""),""""))"),"")</f>
        <v/>
      </c>
      <c r="P164" s="152" t="str">
        <f>IFERROR(__xludf.DUMMYFUNCTION("if(K164="""","""",iferror(filter(Schedule!$S:$S&amp;""-""&amp;Schedule!$T:$T,Schedule!$L:$L=K164,(Schedule!$J:$J="""")+(Schedule!$J:$J=L164),(Schedule!$K:$K=""a"")+(Schedule!$K:$K=""""),Schedule!$S:$S&lt;&gt;""""),""""))"),"")</f>
        <v/>
      </c>
      <c r="Q164" s="152" t="str">
        <f>IFERROR(__xludf.DUMMYFUNCTION("if(K164="""","""",iferror(filter(Schedule!$V:$V&amp;""-""&amp;Schedule!$W:$W,Schedule!$L:$L=K164,(Schedule!$J:$J="""")+(Schedule!$J:$J=L164),(Schedule!$K:$K=""a"")+(Schedule!$K:$K=""""),Schedule!$V:$V&lt;&gt;""""),""""))"),"")</f>
        <v/>
      </c>
      <c r="R164" s="152" t="str">
        <f>IFERROR(__xludf.DUMMYFUNCTION("if(K164="""","""",iferror(filter(Schedule!$Y:$Y&amp;""-""&amp;Schedule!$Z:$Z,Schedule!$L:$L=K164,(Schedule!$J:$J="""")+(Schedule!$J:$J=L164),(Schedule!$K:$K=""b"")+(Schedule!$K:$K=""""),Schedule!$Y:$Y&lt;&gt;""""),""""))"),"")</f>
        <v/>
      </c>
      <c r="S164" s="153" t="str">
        <f>if(K164="","", 24-countifs(N164:R168,""))</f>
        <v/>
      </c>
      <c r="T164" s="155"/>
      <c r="U164" s="155" t="str">
        <f>W162</f>
        <v/>
      </c>
      <c r="V164" s="151" t="str">
        <f>AC162</f>
        <v/>
      </c>
      <c r="W164" s="147">
        <v>1.0</v>
      </c>
      <c r="X164" s="152" t="str">
        <f>IFERROR(__xludf.DUMMYFUNCTION("if(U164="""","""",iferror(filter(Schedule!$M:$M&amp;""-""&amp;Schedule!$N:$N,Schedule!$L:$L=U164,(Schedule!$J:$J="""")+(Schedule!$J:$J=V164),(Schedule!$K:$K=""a"")+(Schedule!$K:$K=""""),Schedule!$M:$M&lt;&gt;""""),""""))"),"")</f>
        <v/>
      </c>
      <c r="Y164" s="152" t="str">
        <f>IFERROR(__xludf.DUMMYFUNCTION("if(U164="""","""",iferror(filter(Schedule!$AB:$AB&amp;""-""&amp;Schedule!$AC:$AC,Schedule!$L:$L=U164,(Schedule!$J:$J="""")+(Schedule!$J:$J=V164),(Schedule!$K:$K=""b"")+(Schedule!$K:$K=""""),Schedule!$AB:$AB&lt;&gt;""""),""""))"),"")</f>
        <v/>
      </c>
      <c r="Z164" s="152" t="str">
        <f>IFERROR(__xludf.DUMMYFUNCTION("if(U164="""","""",iferror(filter(Schedule!$S:$S&amp;""-""&amp;Schedule!$T:$T,Schedule!$L:$L=U164,(Schedule!$J:$J="""")+(Schedule!$J:$J=V164),(Schedule!$K:$K=""a"")+(Schedule!$K:$K=""""),Schedule!$S:$S&lt;&gt;""""),""""))"),"")</f>
        <v/>
      </c>
      <c r="AA164" s="152" t="str">
        <f>IFERROR(__xludf.DUMMYFUNCTION("if(U164="""","""",iferror(filter(Schedule!$V:$V&amp;""-""&amp;Schedule!$W:$W,Schedule!$L:$L=U164,(Schedule!$J:$J="""")+(Schedule!$J:$J=V164),(Schedule!$K:$K=""a"")+(Schedule!$K:$K=""""),Schedule!$V:$V&lt;&gt;""""),""""))"),"")</f>
        <v/>
      </c>
      <c r="AB164" s="152" t="str">
        <f>IFERROR(__xludf.DUMMYFUNCTION("if(U164="""","""",iferror(filter(Schedule!$Y:$Y&amp;""-""&amp;Schedule!$Z:$Z,Schedule!$L:$L=U164,(Schedule!$J:$J="""")+(Schedule!$J:$J=V164),(Schedule!$K:$K=""b"")+(Schedule!$K:$K=""""),Schedule!$Y:$Y&lt;&gt;""""),""""))"),"")</f>
        <v/>
      </c>
      <c r="AC164" s="153" t="str">
        <f>if(U164="","", 24-countifs(X164:AB168,""))</f>
        <v/>
      </c>
      <c r="AD164" s="155"/>
      <c r="AE164" s="155" t="str">
        <f>AG162</f>
        <v/>
      </c>
      <c r="AF164" s="151" t="str">
        <f>AM162</f>
        <v/>
      </c>
      <c r="AG164" s="147">
        <v>1.0</v>
      </c>
      <c r="AH164" s="152" t="str">
        <f>IFERROR(__xludf.DUMMYFUNCTION("if(AE164="""","""",iferror(filter(Schedule!$M:$M&amp;""-""&amp;Schedule!$N:$N,Schedule!$L:$L=AE164,(Schedule!$J:$J="""")+(Schedule!$J:$J=AF164),(Schedule!$K:$K=""a"")+(Schedule!$K:$K=""""),Schedule!$M:$M&lt;&gt;""""),""""))"),"")</f>
        <v/>
      </c>
      <c r="AI164" s="152" t="str">
        <f>IFERROR(__xludf.DUMMYFUNCTION("if(AE164="""","""",iferror(filter(Schedule!$AB:$AB&amp;""-""&amp;Schedule!$AC:$AC,Schedule!$L:$L=AE164,(Schedule!$J:$J="""")+(Schedule!$J:$J=AF164),(Schedule!$K:$K=""b"")+(Schedule!$K:$K=""""),Schedule!$AB:$AB&lt;&gt;""""),""""))"),"")</f>
        <v/>
      </c>
      <c r="AJ164" s="152" t="str">
        <f>IFERROR(__xludf.DUMMYFUNCTION("if(AE164="""","""",iferror(filter(Schedule!$S:$S&amp;""-""&amp;Schedule!$T:$T,Schedule!$L:$L=AE164,(Schedule!$J:$J="""")+(Schedule!$J:$J=AF164),(Schedule!$K:$K=""a"")+(Schedule!$K:$K=""""),Schedule!$S:$S&lt;&gt;""""),""""))"),"")</f>
        <v/>
      </c>
      <c r="AK164" s="152" t="str">
        <f>IFERROR(__xludf.DUMMYFUNCTION("if(AE164="""","""",iferror(filter(Schedule!$V:$V&amp;""-""&amp;Schedule!$W:$W,Schedule!$L:$L=AE164,(Schedule!$J:$J="""")+(Schedule!$J:$J=AF164),(Schedule!$K:$K=""a"")+(Schedule!$K:$K=""""),Schedule!$V:$V&lt;&gt;""""),""""))"),"")</f>
        <v/>
      </c>
      <c r="AL164" s="152" t="str">
        <f>IFERROR(__xludf.DUMMYFUNCTION("if(AE164="""","""",iferror(filter(Schedule!$Y:$Y&amp;""-""&amp;Schedule!$Z:$Z,Schedule!$L:$L=AE164,(Schedule!$J:$J="""")+(Schedule!$J:$J=AF164),(Schedule!$K:$K=""b"")+(Schedule!$K:$K=""""),Schedule!$Y:$Y&lt;&gt;""""),""""))"),"")</f>
        <v/>
      </c>
      <c r="AM164" s="153" t="str">
        <f>if(AE164="","", 24-countifs(AH164:AL168,""))</f>
        <v/>
      </c>
    </row>
    <row r="165">
      <c r="A165" s="151" t="str">
        <f>C162</f>
        <v>Nando</v>
      </c>
      <c r="B165" s="151" t="str">
        <f>I162</f>
        <v>Y</v>
      </c>
      <c r="C165" s="147">
        <v>2.0</v>
      </c>
      <c r="D165" s="152" t="str">
        <f>IFERROR(__xludf.DUMMYFUNCTION("if(A165="""","""",iferror(filter(Schedule!$P:$P&amp;""-""&amp;Schedule!$Q:$Q,Schedule!$L:$L=A165,(Schedule!$J:$J="""")+(Schedule!$J:$J=B165),(Schedule!$K:$K=""a"")+(Schedule!$K:$K=""""),Schedule!$P:$P&lt;&gt;""""),""""))"),"PE 7-3")</f>
        <v>PE 7-3</v>
      </c>
      <c r="E165" s="152" t="str">
        <f>IFERROR(__xludf.DUMMYFUNCTION("if(A165="""","""",iferror(filter(Schedule!$Y:$Y&amp;""-""&amp;Schedule!$Z:$Z,Schedule!$L:$L=A165,(Schedule!$J:$J="""")+(Schedule!$J:$J=B165),(Schedule!$K:$K=""b"")+(Schedule!$K:$K=""""),Schedule!$Y:$Y&lt;&gt;""""),""""))"),"PE 8-5")</f>
        <v>PE 8-5</v>
      </c>
      <c r="F165" s="152" t="str">
        <f>IFERROR(__xludf.DUMMYFUNCTION("if(A165="""","""",iferror(filter(Schedule!$P:$P&amp;""-""&amp;Schedule!$Q:$Q,Schedule!$L:$L=A165,(Schedule!$J:$J="""")+(Schedule!$J:$J=B165),(Schedule!$K:$K=""a"")+(Schedule!$K:$K=""""),Schedule!$P:$P&lt;&gt;""""),""""))"),"PE 7-3")</f>
        <v>PE 7-3</v>
      </c>
      <c r="G165" s="152" t="str">
        <f>IFERROR(__xludf.DUMMYFUNCTION("if(A165="""","""",iferror(filter(Schedule!$M:$M&amp;""-""&amp;Schedule!$N:$N,Schedule!$L:$L=A165,(Schedule!$J:$J="""")+(Schedule!$J:$J=B165),(Schedule!$K:$K=""a"")+(Schedule!$K:$K=""""),Schedule!$M:$M&lt;&gt;""""),""""))"),"PE 8-1")</f>
        <v>PE 8-1</v>
      </c>
      <c r="H165" s="152" t="str">
        <f>IFERROR(__xludf.DUMMYFUNCTION("if(A165="""","""",iferror(filter(Schedule!$AB:$AB&amp;""-""&amp;Schedule!$AC:$AC,Schedule!$L:$L=A165,(Schedule!$J:$J="""")+(Schedule!$J:$J=B165),(Schedule!$K:$K=""a"")+(Schedule!$K:$K=""""),Schedule!$AB:$AB&lt;&gt;""""),""""))"),"PE 8-6")</f>
        <v>PE 8-6</v>
      </c>
      <c r="I165" s="60"/>
      <c r="J165" s="154"/>
      <c r="K165" s="151" t="str">
        <f>M162</f>
        <v/>
      </c>
      <c r="L165" s="151" t="str">
        <f>S162</f>
        <v/>
      </c>
      <c r="M165" s="147">
        <v>2.0</v>
      </c>
      <c r="N165" s="152" t="str">
        <f>IFERROR(__xludf.DUMMYFUNCTION("if(K165="""","""",iferror(filter(Schedule!$P:$P&amp;""-""&amp;Schedule!$Q:$Q,Schedule!$L:$L=K165,(Schedule!$J:$J="""")+(Schedule!$J:$J=L165),(Schedule!$K:$K=""a"")+(Schedule!$K:$K=""""),Schedule!$P:$P&lt;&gt;""""),""""))"),"")</f>
        <v/>
      </c>
      <c r="O165" s="152" t="str">
        <f>IFERROR(__xludf.DUMMYFUNCTION("if(K165="""","""",iferror(filter(Schedule!$Y:$Y&amp;""-""&amp;Schedule!$Z:$Z,Schedule!$L:$L=K165,(Schedule!$J:$J="""")+(Schedule!$J:$J=L165),(Schedule!$K:$K=""b"")+(Schedule!$K:$K=""""),Schedule!$Y:$Y&lt;&gt;""""),""""))"),"")</f>
        <v/>
      </c>
      <c r="P165" s="152" t="str">
        <f>IFERROR(__xludf.DUMMYFUNCTION("if(K165="""","""",iferror(filter(Schedule!$P:$P&amp;""-""&amp;Schedule!$Q:$Q,Schedule!$L:$L=K165,(Schedule!$J:$J="""")+(Schedule!$J:$J=L165),(Schedule!$K:$K=""a"")+(Schedule!$K:$K=""""),Schedule!$P:$P&lt;&gt;""""),""""))"),"")</f>
        <v/>
      </c>
      <c r="Q165" s="152" t="str">
        <f>IFERROR(__xludf.DUMMYFUNCTION("if(K165="""","""",iferror(filter(Schedule!$M:$M&amp;""-""&amp;Schedule!$N:$N,Schedule!$L:$L=K165,(Schedule!$J:$J="""")+(Schedule!$J:$J=L165),(Schedule!$K:$K=""a"")+(Schedule!$K:$K=""""),Schedule!$M:$M&lt;&gt;""""),""""))"),"")</f>
        <v/>
      </c>
      <c r="R165" s="152" t="str">
        <f>IFERROR(__xludf.DUMMYFUNCTION("if(K165="""","""",iferror(filter(Schedule!$AB:$AB&amp;""-""&amp;Schedule!$AC:$AC,Schedule!$L:$L=K165,(Schedule!$J:$J="""")+(Schedule!$J:$J=L165),(Schedule!$K:$K=""a"")+(Schedule!$K:$K=""""),Schedule!$AB:$AB&lt;&gt;""""),""""))"),"")</f>
        <v/>
      </c>
      <c r="S165" s="60"/>
      <c r="T165" s="155"/>
      <c r="U165" s="155" t="str">
        <f>W162</f>
        <v/>
      </c>
      <c r="V165" s="151" t="str">
        <f>AC162</f>
        <v/>
      </c>
      <c r="W165" s="147">
        <v>2.0</v>
      </c>
      <c r="X165" s="152" t="str">
        <f>IFERROR(__xludf.DUMMYFUNCTION("if(U165="""","""",iferror(filter(Schedule!$P:$P&amp;""-""&amp;Schedule!$Q:$Q,Schedule!$L:$L=U165,(Schedule!$J:$J="""")+(Schedule!$J:$J=V165),(Schedule!$K:$K=""a"")+(Schedule!$K:$K=""""),Schedule!$P:$P&lt;&gt;""""),""""))"),"")</f>
        <v/>
      </c>
      <c r="Y165" s="152" t="str">
        <f>IFERROR(__xludf.DUMMYFUNCTION("if(U165="""","""",iferror(filter(Schedule!$Y:$Y&amp;""-""&amp;Schedule!$Z:$Z,Schedule!$L:$L=U165,(Schedule!$J:$J="""")+(Schedule!$J:$J=V165),(Schedule!$K:$K=""b"")+(Schedule!$K:$K=""""),Schedule!$Y:$Y&lt;&gt;""""),""""))"),"")</f>
        <v/>
      </c>
      <c r="Z165" s="152" t="str">
        <f>IFERROR(__xludf.DUMMYFUNCTION("if(U165="""","""",iferror(filter(Schedule!$P:$P&amp;""-""&amp;Schedule!$Q:$Q,Schedule!$L:$L=U165,(Schedule!$J:$J="""")+(Schedule!$J:$J=V165),(Schedule!$K:$K=""a"")+(Schedule!$K:$K=""""),Schedule!$P:$P&lt;&gt;""""),""""))"),"")</f>
        <v/>
      </c>
      <c r="AA165" s="152" t="str">
        <f>IFERROR(__xludf.DUMMYFUNCTION("if(U165="""","""",iferror(filter(Schedule!$M:$M&amp;""-""&amp;Schedule!$N:$N,Schedule!$L:$L=U165,(Schedule!$J:$J="""")+(Schedule!$J:$J=V165),(Schedule!$K:$K=""a"")+(Schedule!$K:$K=""""),Schedule!$M:$M&lt;&gt;""""),""""))"),"")</f>
        <v/>
      </c>
      <c r="AB165" s="152" t="str">
        <f>IFERROR(__xludf.DUMMYFUNCTION("if(U165="""","""",iferror(filter(Schedule!$AB:$AB&amp;""-""&amp;Schedule!$AC:$AC,Schedule!$L:$L=U165,(Schedule!$J:$J="""")+(Schedule!$J:$J=V165),(Schedule!$K:$K=""a"")+(Schedule!$K:$K=""""),Schedule!$AB:$AB&lt;&gt;""""),""""))"),"")</f>
        <v/>
      </c>
      <c r="AC165" s="60"/>
      <c r="AD165" s="155"/>
      <c r="AE165" s="155" t="str">
        <f>AG162</f>
        <v/>
      </c>
      <c r="AF165" s="151" t="str">
        <f>AM162</f>
        <v/>
      </c>
      <c r="AG165" s="147">
        <v>2.0</v>
      </c>
      <c r="AH165" s="152" t="str">
        <f>IFERROR(__xludf.DUMMYFUNCTION("if(AE165="""","""",iferror(filter(Schedule!$P:$P&amp;""-""&amp;Schedule!$Q:$Q,Schedule!$L:$L=AE165,(Schedule!$J:$J="""")+(Schedule!$J:$J=AF165),(Schedule!$K:$K=""a"")+(Schedule!$K:$K=""""),Schedule!$P:$P&lt;&gt;""""),""""))"),"")</f>
        <v/>
      </c>
      <c r="AI165" s="152" t="str">
        <f>IFERROR(__xludf.DUMMYFUNCTION("if(AE165="""","""",iferror(filter(Schedule!$Y:$Y&amp;""-""&amp;Schedule!$Z:$Z,Schedule!$L:$L=AE165,(Schedule!$J:$J="""")+(Schedule!$J:$J=AF165),(Schedule!$K:$K=""b"")+(Schedule!$K:$K=""""),Schedule!$Y:$Y&lt;&gt;""""),""""))"),"")</f>
        <v/>
      </c>
      <c r="AJ165" s="152" t="str">
        <f>IFERROR(__xludf.DUMMYFUNCTION("if(AE165="""","""",iferror(filter(Schedule!$P:$P&amp;""-""&amp;Schedule!$Q:$Q,Schedule!$L:$L=AE165,(Schedule!$J:$J="""")+(Schedule!$J:$J=AF165),(Schedule!$K:$K=""a"")+(Schedule!$K:$K=""""),Schedule!$P:$P&lt;&gt;""""),""""))"),"")</f>
        <v/>
      </c>
      <c r="AK165" s="152" t="str">
        <f>IFERROR(__xludf.DUMMYFUNCTION("if(AE165="""","""",iferror(filter(Schedule!$M:$M&amp;""-""&amp;Schedule!$N:$N,Schedule!$L:$L=AE165,(Schedule!$J:$J="""")+(Schedule!$J:$J=AF165),(Schedule!$K:$K=""a"")+(Schedule!$K:$K=""""),Schedule!$M:$M&lt;&gt;""""),""""))"),"")</f>
        <v/>
      </c>
      <c r="AL165" s="152" t="str">
        <f>IFERROR(__xludf.DUMMYFUNCTION("if(AE165="""","""",iferror(filter(Schedule!$AB:$AB&amp;""-""&amp;Schedule!$AC:$AC,Schedule!$L:$L=AE165,(Schedule!$J:$J="""")+(Schedule!$J:$J=AF165),(Schedule!$K:$K=""a"")+(Schedule!$K:$K=""""),Schedule!$AB:$AB&lt;&gt;""""),""""))"),"")</f>
        <v/>
      </c>
      <c r="AM165" s="60"/>
    </row>
    <row r="166">
      <c r="A166" s="151" t="str">
        <f>C162</f>
        <v>Nando</v>
      </c>
      <c r="B166" s="151" t="str">
        <f>I162</f>
        <v>Y</v>
      </c>
      <c r="C166" s="147">
        <v>3.0</v>
      </c>
      <c r="D166" s="152" t="str">
        <f>IFERROR(__xludf.DUMMYFUNCTION("if(A166="""","""",iferror(filter(Schedule!$S:$S&amp;""-""&amp;Schedule!$T:$T,Schedule!$L:$L=A166,(Schedule!$J:$J="""")+(Schedule!$J:$J=B166),(Schedule!$K:$K=""a"")+(Schedule!$K:$K=""""),Schedule!$S:$S&lt;&gt;""""),""""))"),"")</f>
        <v/>
      </c>
      <c r="E166" s="152" t="str">
        <f>IFERROR(__xludf.DUMMYFUNCTION("if(A166="""","""",iferror(filter(Schedule!$S:$S&amp;""-""&amp;Schedule!$T:$T,Schedule!$L:$L=A166,(Schedule!$J:$J="""")+(Schedule!$J:$J=B166),(Schedule!$K:$K=""b"")+(Schedule!$K:$K=""""),Schedule!$S:$S&lt;&gt;""""),""""))"),"")</f>
        <v/>
      </c>
      <c r="F166" s="152" t="str">
        <f>IFERROR(__xludf.DUMMYFUNCTION("if(A166="""","""",iferror(filter(Schedule!$Y:$Y&amp;""-""&amp;Schedule!$Z:$Z,Schedule!$L:$L=A166,(Schedule!$J:$J="""")+(Schedule!$J:$J=B166),(Schedule!$K:$K=""a"")+(Schedule!$K:$K=""""),Schedule!$Y:$Y&lt;&gt;""""),""""))"),"PE 8-4")</f>
        <v>PE 8-4</v>
      </c>
      <c r="G166" s="152" t="str">
        <f>IFERROR(__xludf.DUMMYFUNCTION("if(A166="""","""",iferror(filter(Schedule!$P:$P&amp;""-""&amp;Schedule!$Q:$Q,Schedule!$L:$L=A166,(Schedule!$J:$J="""")+(Schedule!$J:$J=B166),(Schedule!$K:$K=""b"")+(Schedule!$K:$K=""""),Schedule!$P:$P&lt;&gt;""""),""""))"),"PE 8-2")</f>
        <v>PE 8-2</v>
      </c>
      <c r="H166" s="152" t="str">
        <f>if(C162="","","X-Block")</f>
        <v>X-Block</v>
      </c>
      <c r="I166" s="60"/>
      <c r="J166" s="154"/>
      <c r="K166" s="151" t="str">
        <f>M162</f>
        <v/>
      </c>
      <c r="L166" s="151" t="str">
        <f>S162</f>
        <v/>
      </c>
      <c r="M166" s="147">
        <v>3.0</v>
      </c>
      <c r="N166" s="152" t="str">
        <f>IFERROR(__xludf.DUMMYFUNCTION("if(K166="""","""",iferror(filter(Schedule!$S:$S&amp;""-""&amp;Schedule!$T:$T,Schedule!$L:$L=K166,(Schedule!$J:$J="""")+(Schedule!$J:$J=L166),(Schedule!$K:$K=""a"")+(Schedule!$K:$K=""""),Schedule!$S:$S&lt;&gt;""""),""""))"),"")</f>
        <v/>
      </c>
      <c r="O166" s="152" t="str">
        <f>IFERROR(__xludf.DUMMYFUNCTION("if(K166="""","""",iferror(filter(Schedule!$S:$S&amp;""-""&amp;Schedule!$T:$T,Schedule!$L:$L=K166,(Schedule!$J:$J="""")+(Schedule!$J:$J=L166),(Schedule!$K:$K=""b"")+(Schedule!$K:$K=""""),Schedule!$S:$S&lt;&gt;""""),""""))"),"")</f>
        <v/>
      </c>
      <c r="P166" s="152" t="str">
        <f>IFERROR(__xludf.DUMMYFUNCTION("if(K166="""","""",iferror(filter(Schedule!$Y:$Y&amp;""-""&amp;Schedule!$Z:$Z,Schedule!$L:$L=K166,(Schedule!$J:$J="""")+(Schedule!$J:$J=L166),(Schedule!$K:$K=""a"")+(Schedule!$K:$K=""""),Schedule!$Y:$Y&lt;&gt;""""),""""))"),"")</f>
        <v/>
      </c>
      <c r="Q166" s="152" t="str">
        <f>IFERROR(__xludf.DUMMYFUNCTION("if(K166="""","""",iferror(filter(Schedule!$P:$P&amp;""-""&amp;Schedule!$Q:$Q,Schedule!$L:$L=K166,(Schedule!$J:$J="""")+(Schedule!$J:$J=L166),(Schedule!$K:$K=""b"")+(Schedule!$K:$K=""""),Schedule!$P:$P&lt;&gt;""""),""""))"),"")</f>
        <v/>
      </c>
      <c r="R166" s="152" t="str">
        <f>if(M162="","","X-Block")</f>
        <v/>
      </c>
      <c r="S166" s="60"/>
      <c r="T166" s="155"/>
      <c r="U166" s="155" t="str">
        <f>W162</f>
        <v/>
      </c>
      <c r="V166" s="151" t="str">
        <f>AC162</f>
        <v/>
      </c>
      <c r="W166" s="147">
        <v>3.0</v>
      </c>
      <c r="X166" s="152" t="str">
        <f>IFERROR(__xludf.DUMMYFUNCTION("if(U166="""","""",iferror(filter(Schedule!$S:$S&amp;""-""&amp;Schedule!$T:$T,Schedule!$L:$L=U166,(Schedule!$J:$J="""")+(Schedule!$J:$J=V166),(Schedule!$K:$K=""a"")+(Schedule!$K:$K=""""),Schedule!$S:$S&lt;&gt;""""),""""))"),"")</f>
        <v/>
      </c>
      <c r="Y166" s="152" t="str">
        <f>IFERROR(__xludf.DUMMYFUNCTION("if(U166="""","""",iferror(filter(Schedule!$S:$S&amp;""-""&amp;Schedule!$T:$T,Schedule!$L:$L=U166,(Schedule!$J:$J="""")+(Schedule!$J:$J=V166),(Schedule!$K:$K=""b"")+(Schedule!$K:$K=""""),Schedule!$S:$S&lt;&gt;""""),""""))"),"")</f>
        <v/>
      </c>
      <c r="Z166" s="152" t="str">
        <f>IFERROR(__xludf.DUMMYFUNCTION("if(U166="""","""",iferror(filter(Schedule!$Y:$Y&amp;""-""&amp;Schedule!$Z:$Z,Schedule!$L:$L=U166,(Schedule!$J:$J="""")+(Schedule!$J:$J=V166),(Schedule!$K:$K=""a"")+(Schedule!$K:$K=""""),Schedule!$Y:$Y&lt;&gt;""""),""""))"),"")</f>
        <v/>
      </c>
      <c r="AA166" s="152" t="str">
        <f>IFERROR(__xludf.DUMMYFUNCTION("if(U166="""","""",iferror(filter(Schedule!$P:$P&amp;""-""&amp;Schedule!$Q:$Q,Schedule!$L:$L=U166,(Schedule!$J:$J="""")+(Schedule!$J:$J=V166),(Schedule!$K:$K=""b"")+(Schedule!$K:$K=""""),Schedule!$P:$P&lt;&gt;""""),""""))"),"")</f>
        <v/>
      </c>
      <c r="AB166" s="152" t="str">
        <f>if(W162="","","X-Block")</f>
        <v/>
      </c>
      <c r="AC166" s="60"/>
      <c r="AD166" s="155"/>
      <c r="AE166" s="155" t="str">
        <f>AG162</f>
        <v/>
      </c>
      <c r="AF166" s="151" t="str">
        <f>AM162</f>
        <v/>
      </c>
      <c r="AG166" s="147">
        <v>3.0</v>
      </c>
      <c r="AH166" s="152" t="str">
        <f>IFERROR(__xludf.DUMMYFUNCTION("if(AE166="""","""",iferror(filter(Schedule!$S:$S&amp;""-""&amp;Schedule!$T:$T,Schedule!$L:$L=AE166,(Schedule!$J:$J="""")+(Schedule!$J:$J=AF166),(Schedule!$K:$K=""a"")+(Schedule!$K:$K=""""),Schedule!$S:$S&lt;&gt;""""),""""))"),"")</f>
        <v/>
      </c>
      <c r="AI166" s="152" t="str">
        <f>IFERROR(__xludf.DUMMYFUNCTION("if(AE166="""","""",iferror(filter(Schedule!$S:$S&amp;""-""&amp;Schedule!$T:$T,Schedule!$L:$L=AE166,(Schedule!$J:$J="""")+(Schedule!$J:$J=AF166),(Schedule!$K:$K=""b"")+(Schedule!$K:$K=""""),Schedule!$S:$S&lt;&gt;""""),""""))"),"")</f>
        <v/>
      </c>
      <c r="AJ166" s="152" t="str">
        <f>IFERROR(__xludf.DUMMYFUNCTION("if(AE166="""","""",iferror(filter(Schedule!$Y:$Y&amp;""-""&amp;Schedule!$Z:$Z,Schedule!$L:$L=AE166,(Schedule!$J:$J="""")+(Schedule!$J:$J=AF166),(Schedule!$K:$K=""a"")+(Schedule!$K:$K=""""),Schedule!$Y:$Y&lt;&gt;""""),""""))"),"")</f>
        <v/>
      </c>
      <c r="AK166" s="152" t="str">
        <f>IFERROR(__xludf.DUMMYFUNCTION("if(AE166="""","""",iferror(filter(Schedule!$P:$P&amp;""-""&amp;Schedule!$Q:$Q,Schedule!$L:$L=AE166,(Schedule!$J:$J="""")+(Schedule!$J:$J=AF166),(Schedule!$K:$K=""b"")+(Schedule!$K:$K=""""),Schedule!$P:$P&lt;&gt;""""),""""))"),"")</f>
        <v/>
      </c>
      <c r="AL166" s="152" t="str">
        <f>if(AG162="","","X-Block")</f>
        <v/>
      </c>
      <c r="AM166" s="60"/>
    </row>
    <row r="167">
      <c r="A167" s="151" t="str">
        <f>C162</f>
        <v>Nando</v>
      </c>
      <c r="B167" s="151" t="str">
        <f>I162</f>
        <v>Y</v>
      </c>
      <c r="C167" s="147">
        <v>4.0</v>
      </c>
      <c r="D167" s="152" t="str">
        <f>IFERROR(__xludf.DUMMYFUNCTION("if(A167="""","""",iferror(filter(Schedule!$V:$V&amp;""-""&amp;Schedule!$W:$W,Schedule!$L:$L=A167,(Schedule!$J:$J="""")+(Schedule!$J:$J=B167),(Schedule!$K:$K=""a"")+(Schedule!$K:$K=""""),Schedule!$V:$V&lt;&gt;""""),""""))"),"PE 8-3")</f>
        <v>PE 8-3</v>
      </c>
      <c r="E167" s="152" t="str">
        <f>IFERROR(__xludf.DUMMYFUNCTION("if(A167="""","""",iferror(filter(Schedule!$M:$M&amp;""-""&amp;Schedule!$N:$N,Schedule!$L:$L=A167,(Schedule!$J:$J="""")+(Schedule!$J:$J=B167),(Schedule!$K:$K=""b"")+(Schedule!$K:$K=""""),Schedule!$M:$M&lt;&gt;""""),""""))"),"PE 7-1")</f>
        <v>PE 7-1</v>
      </c>
      <c r="F167" s="152" t="str">
        <f>IFERROR(__xludf.DUMMYFUNCTION("if(A167="""","""",iferror(filter(Schedule!$AB:$AB&amp;""-""&amp;Schedule!$AC:$AC,Schedule!$L:$L=A167,(Schedule!$J:$J="""")+(Schedule!$J:$J=B167),(Schedule!$K:$K=""a"")+(Schedule!$K:$K=""""),Schedule!$AB:$AB&lt;&gt;""""),""""))"),"PE 8-6")</f>
        <v>PE 8-6</v>
      </c>
      <c r="G167" s="152" t="str">
        <f>IFERROR(__xludf.DUMMYFUNCTION("if(A167="""","""",iferror(filter(Schedule!$S:$S&amp;""-""&amp;Schedule!$T:$T,Schedule!$L:$L=A167,(Schedule!$J:$J="""")+(Schedule!$J:$J=B167),(Schedule!$K:$K=""b"")+(Schedule!$K:$K=""""),Schedule!$S:$S&lt;&gt;""""),""""))"),"")</f>
        <v/>
      </c>
      <c r="H167" s="152" t="str">
        <f>IFERROR(__xludf.DUMMYFUNCTION("if(A167="""","""",iferror(filter(Schedule!$V:$V&amp;""-""&amp;Schedule!$W:$W,Schedule!$L:$L=A167,(Schedule!$J:$J="""")+(Schedule!$J:$J=B167),(Schedule!$K:$K=""b"")+(Schedule!$K:$K=""""),Schedule!$V:$V&lt;&gt;""""),""""))"),"")</f>
        <v/>
      </c>
      <c r="I167" s="60"/>
      <c r="J167" s="154"/>
      <c r="K167" s="151" t="str">
        <f>M162</f>
        <v/>
      </c>
      <c r="L167" s="151" t="str">
        <f>S162</f>
        <v/>
      </c>
      <c r="M167" s="147">
        <v>4.0</v>
      </c>
      <c r="N167" s="152" t="str">
        <f>IFERROR(__xludf.DUMMYFUNCTION("if(K167="""","""",iferror(filter(Schedule!$V:$V&amp;""-""&amp;Schedule!$W:$W,Schedule!$L:$L=K167,(Schedule!$J:$J="""")+(Schedule!$J:$J=L167),(Schedule!$K:$K=""a"")+(Schedule!$K:$K=""""),Schedule!$V:$V&lt;&gt;""""),""""))"),"")</f>
        <v/>
      </c>
      <c r="O167" s="152" t="str">
        <f>IFERROR(__xludf.DUMMYFUNCTION("if(K167="""","""",iferror(filter(Schedule!$M:$M&amp;""-""&amp;Schedule!$N:$N,Schedule!$L:$L=K167,(Schedule!$J:$J="""")+(Schedule!$J:$J=L167),(Schedule!$K:$K=""b"")+(Schedule!$K:$K=""""),Schedule!$M:$M&lt;&gt;""""),""""))"),"")</f>
        <v/>
      </c>
      <c r="P167" s="152" t="str">
        <f>IFERROR(__xludf.DUMMYFUNCTION("if(K167="""","""",iferror(filter(Schedule!$AB:$AB&amp;""-""&amp;Schedule!$AC:$AC,Schedule!$L:$L=K167,(Schedule!$J:$J="""")+(Schedule!$J:$J=L167),(Schedule!$K:$K=""a"")+(Schedule!$K:$K=""""),Schedule!$AB:$AB&lt;&gt;""""),""""))"),"")</f>
        <v/>
      </c>
      <c r="Q167" s="152" t="str">
        <f>IFERROR(__xludf.DUMMYFUNCTION("if(K167="""","""",iferror(filter(Schedule!$S:$S&amp;""-""&amp;Schedule!$T:$T,Schedule!$L:$L=K167,(Schedule!$J:$J="""")+(Schedule!$J:$J=L167),(Schedule!$K:$K=""b"")+(Schedule!$K:$K=""""),Schedule!$S:$S&lt;&gt;""""),""""))"),"")</f>
        <v/>
      </c>
      <c r="R167" s="152" t="str">
        <f>IFERROR(__xludf.DUMMYFUNCTION("if(K167="""","""",iferror(filter(Schedule!$V:$V&amp;""-""&amp;Schedule!$W:$W,Schedule!$L:$L=K167,(Schedule!$J:$J="""")+(Schedule!$J:$J=L167),(Schedule!$K:$K=""b"")+(Schedule!$K:$K=""""),Schedule!$V:$V&lt;&gt;""""),""""))"),"")</f>
        <v/>
      </c>
      <c r="S167" s="60"/>
      <c r="T167" s="155"/>
      <c r="U167" s="155" t="str">
        <f>W162</f>
        <v/>
      </c>
      <c r="V167" s="151" t="str">
        <f>AC162</f>
        <v/>
      </c>
      <c r="W167" s="147">
        <v>4.0</v>
      </c>
      <c r="X167" s="152" t="str">
        <f>IFERROR(__xludf.DUMMYFUNCTION("if(U167="""","""",iferror(filter(Schedule!$V:$V&amp;""-""&amp;Schedule!$W:$W,Schedule!$L:$L=U167,(Schedule!$J:$J="""")+(Schedule!$J:$J=V167),(Schedule!$K:$K=""a"")+(Schedule!$K:$K=""""),Schedule!$V:$V&lt;&gt;""""),""""))"),"")</f>
        <v/>
      </c>
      <c r="Y167" s="152" t="str">
        <f>IFERROR(__xludf.DUMMYFUNCTION("if(U167="""","""",iferror(filter(Schedule!$M:$M&amp;""-""&amp;Schedule!$N:$N,Schedule!$L:$L=U167,(Schedule!$J:$J="""")+(Schedule!$J:$J=V167),(Schedule!$K:$K=""b"")+(Schedule!$K:$K=""""),Schedule!$M:$M&lt;&gt;""""),""""))"),"")</f>
        <v/>
      </c>
      <c r="Z167" s="152" t="str">
        <f>IFERROR(__xludf.DUMMYFUNCTION("if(U167="""","""",iferror(filter(Schedule!$AB:$AB&amp;""-""&amp;Schedule!$AC:$AC,Schedule!$L:$L=U167,(Schedule!$J:$J="""")+(Schedule!$J:$J=V167),(Schedule!$K:$K=""a"")+(Schedule!$K:$K=""""),Schedule!$AB:$AB&lt;&gt;""""),""""))"),"")</f>
        <v/>
      </c>
      <c r="AA167" s="152" t="str">
        <f>IFERROR(__xludf.DUMMYFUNCTION("if(U167="""","""",iferror(filter(Schedule!$S:$S&amp;""-""&amp;Schedule!$T:$T,Schedule!$L:$L=U167,(Schedule!$J:$J="""")+(Schedule!$J:$J=V167),(Schedule!$K:$K=""b"")+(Schedule!$K:$K=""""),Schedule!$S:$S&lt;&gt;""""),""""))"),"")</f>
        <v/>
      </c>
      <c r="AB167" s="152" t="str">
        <f>IFERROR(__xludf.DUMMYFUNCTION("if(U167="""","""",iferror(filter(Schedule!$V:$V&amp;""-""&amp;Schedule!$W:$W,Schedule!$L:$L=U167,(Schedule!$J:$J="""")+(Schedule!$J:$J=V167),(Schedule!$K:$K=""b"")+(Schedule!$K:$K=""""),Schedule!$V:$V&lt;&gt;""""),""""))"),"")</f>
        <v/>
      </c>
      <c r="AC167" s="60"/>
      <c r="AD167" s="155"/>
      <c r="AE167" s="155" t="str">
        <f>AG162</f>
        <v/>
      </c>
      <c r="AF167" s="151" t="str">
        <f>AM162</f>
        <v/>
      </c>
      <c r="AG167" s="147">
        <v>4.0</v>
      </c>
      <c r="AH167" s="152" t="str">
        <f>IFERROR(__xludf.DUMMYFUNCTION("if(AE167="""","""",iferror(filter(Schedule!$V:$V&amp;""-""&amp;Schedule!$W:$W,Schedule!$L:$L=AE167,(Schedule!$J:$J="""")+(Schedule!$J:$J=AF167),(Schedule!$K:$K=""a"")+(Schedule!$K:$K=""""),Schedule!$V:$V&lt;&gt;""""),""""))"),"")</f>
        <v/>
      </c>
      <c r="AI167" s="152" t="str">
        <f>IFERROR(__xludf.DUMMYFUNCTION("if(AE167="""","""",iferror(filter(Schedule!$M:$M&amp;""-""&amp;Schedule!$N:$N,Schedule!$L:$L=AE167,(Schedule!$J:$J="""")+(Schedule!$J:$J=AF167),(Schedule!$K:$K=""b"")+(Schedule!$K:$K=""""),Schedule!$M:$M&lt;&gt;""""),""""))"),"")</f>
        <v/>
      </c>
      <c r="AJ167" s="152" t="str">
        <f>IFERROR(__xludf.DUMMYFUNCTION("if(AE167="""","""",iferror(filter(Schedule!$AB:$AB&amp;""-""&amp;Schedule!$AC:$AC,Schedule!$L:$L=AE167,(Schedule!$J:$J="""")+(Schedule!$J:$J=AF167),(Schedule!$K:$K=""a"")+(Schedule!$K:$K=""""),Schedule!$AB:$AB&lt;&gt;""""),""""))"),"")</f>
        <v/>
      </c>
      <c r="AK167" s="152" t="str">
        <f>IFERROR(__xludf.DUMMYFUNCTION("if(AE167="""","""",iferror(filter(Schedule!$S:$S&amp;""-""&amp;Schedule!$T:$T,Schedule!$L:$L=AE167,(Schedule!$J:$J="""")+(Schedule!$J:$J=AF167),(Schedule!$K:$K=""b"")+(Schedule!$K:$K=""""),Schedule!$S:$S&lt;&gt;""""),""""))"),"")</f>
        <v/>
      </c>
      <c r="AL167" s="152" t="str">
        <f>IFERROR(__xludf.DUMMYFUNCTION("if(AE167="""","""",iferror(filter(Schedule!$V:$V&amp;""-""&amp;Schedule!$W:$W,Schedule!$L:$L=AE167,(Schedule!$J:$J="""")+(Schedule!$J:$J=AF167),(Schedule!$K:$K=""b"")+(Schedule!$K:$K=""""),Schedule!$V:$V&lt;&gt;""""),""""))"),"")</f>
        <v/>
      </c>
      <c r="AM167" s="60"/>
    </row>
    <row r="168">
      <c r="A168" s="151" t="str">
        <f>C162</f>
        <v>Nando</v>
      </c>
      <c r="B168" s="151" t="str">
        <f>I162</f>
        <v>Y</v>
      </c>
      <c r="C168" s="147">
        <v>5.0</v>
      </c>
      <c r="D168" s="152" t="str">
        <f>IFERROR(__xludf.DUMMYFUNCTION("if(A168="""","""",iferror(filter(Schedule!$Y:$Y&amp;""-""&amp;Schedule!$Z:$Z,Schedule!$L:$L=A168,(Schedule!$J:$J="""")+(Schedule!$J:$J=B168),(Schedule!$K:$K=""a"")+(Schedule!$K:$K=""""),Schedule!$Y:$Y&lt;&gt;""""),""""))"),"PE 8-4")</f>
        <v>PE 8-4</v>
      </c>
      <c r="E168" s="152" t="str">
        <f>IFERROR(__xludf.DUMMYFUNCTION("if(A168="""","""",iferror(filter(Schedule!$P:$P&amp;""-""&amp;Schedule!$Q:$Q,Schedule!$L:$L=A168,(Schedule!$J:$J="""")+(Schedule!$J:$J=B168),(Schedule!$K:$K=""b"")+(Schedule!$K:$K=""""),Schedule!$P:$P&lt;&gt;""""),""""))"),"PE 8-2")</f>
        <v>PE 8-2</v>
      </c>
      <c r="F168" s="152" t="str">
        <f>IFERROR(__xludf.DUMMYFUNCTION("if(A168="""","""",iferror(filter(Schedule!$V:$V&amp;""-""&amp;Schedule!$W:$W,Schedule!$L:$L=A168,(Schedule!$J:$J="""")+(Schedule!$J:$J=B168),(Schedule!$K:$K=""b"")+(Schedule!$K:$K=""""),Schedule!$V:$V&lt;&gt;""""),""""))"),"")</f>
        <v/>
      </c>
      <c r="G168" s="152" t="str">
        <f>IFERROR(__xludf.DUMMYFUNCTION("if(A168="""","""",iferror(filter(Schedule!$AB:$AB&amp;""-""&amp;Schedule!$AC:$AC,Schedule!$L:$L=A168,(Schedule!$J:$J="""")+(Schedule!$J:$J=B168),(Schedule!$K:$K=""b"")+(Schedule!$K:$K=""""),Schedule!$AB:$AB&lt;&gt;""""),""""))"),"PE 7-6")</f>
        <v>PE 7-6</v>
      </c>
      <c r="H168" s="152" t="str">
        <f>IFERROR(__xludf.DUMMYFUNCTION("if(A168="""","""",iferror(filter(Schedule!$M:$M&amp;""-""&amp;Schedule!$N:$N,Schedule!$L:$L=A168,(Schedule!$J:$J="""")+(Schedule!$J:$J=B168),(Schedule!$K:$K=""b"")+(Schedule!$K:$K=""""),Schedule!$M:$M&lt;&gt;""""),""""))"),"PE 7-1")</f>
        <v>PE 7-1</v>
      </c>
      <c r="I168" s="64"/>
      <c r="J168" s="154"/>
      <c r="K168" s="151" t="str">
        <f>M162</f>
        <v/>
      </c>
      <c r="L168" s="151" t="str">
        <f>S162</f>
        <v/>
      </c>
      <c r="M168" s="147">
        <v>5.0</v>
      </c>
      <c r="N168" s="152" t="str">
        <f>IFERROR(__xludf.DUMMYFUNCTION("if(K168="""","""",iferror(filter(Schedule!$Y:$Y&amp;""-""&amp;Schedule!$Z:$Z,Schedule!$L:$L=K168,(Schedule!$J:$J="""")+(Schedule!$J:$J=L168),(Schedule!$K:$K=""a"")+(Schedule!$K:$K=""""),Schedule!$Y:$Y&lt;&gt;""""),""""))"),"")</f>
        <v/>
      </c>
      <c r="O168" s="152" t="str">
        <f>IFERROR(__xludf.DUMMYFUNCTION("if(K168="""","""",iferror(filter(Schedule!$P:$P&amp;""-""&amp;Schedule!$Q:$Q,Schedule!$L:$L=K168,(Schedule!$J:$J="""")+(Schedule!$J:$J=L168),(Schedule!$K:$K=""b"")+(Schedule!$K:$K=""""),Schedule!$P:$P&lt;&gt;""""),""""))"),"")</f>
        <v/>
      </c>
      <c r="P168" s="152" t="str">
        <f>IFERROR(__xludf.DUMMYFUNCTION("if(K168="""","""",iferror(filter(Schedule!$V:$V&amp;""-""&amp;Schedule!$W:$W,Schedule!$L:$L=K168,(Schedule!$J:$J="""")+(Schedule!$J:$J=L168),(Schedule!$K:$K=""b"")+(Schedule!$K:$K=""""),Schedule!$V:$V&lt;&gt;""""),""""))"),"")</f>
        <v/>
      </c>
      <c r="Q168" s="152" t="str">
        <f>IFERROR(__xludf.DUMMYFUNCTION("if(K168="""","""",iferror(filter(Schedule!$AB:$AB&amp;""-""&amp;Schedule!$AC:$AC,Schedule!$L:$L=K168,(Schedule!$J:$J="""")+(Schedule!$J:$J=L168),(Schedule!$K:$K=""b"")+(Schedule!$K:$K=""""),Schedule!$AB:$AB&lt;&gt;""""),""""))"),"")</f>
        <v/>
      </c>
      <c r="R168" s="152" t="str">
        <f>IFERROR(__xludf.DUMMYFUNCTION("if(K168="""","""",iferror(filter(Schedule!$M:$M&amp;""-""&amp;Schedule!$N:$N,Schedule!$L:$L=K168,(Schedule!$J:$J="""")+(Schedule!$J:$J=L168),(Schedule!$K:$K=""b"")+(Schedule!$K:$K=""""),Schedule!$M:$M&lt;&gt;""""),""""))"),"")</f>
        <v/>
      </c>
      <c r="S168" s="64"/>
      <c r="T168" s="155"/>
      <c r="U168" s="155" t="str">
        <f>W162</f>
        <v/>
      </c>
      <c r="V168" s="151" t="str">
        <f>AC162</f>
        <v/>
      </c>
      <c r="W168" s="147">
        <v>5.0</v>
      </c>
      <c r="X168" s="152" t="str">
        <f>IFERROR(__xludf.DUMMYFUNCTION("if(U168="""","""",iferror(filter(Schedule!$Y:$Y&amp;""-""&amp;Schedule!$Z:$Z,Schedule!$L:$L=U168,(Schedule!$J:$J="""")+(Schedule!$J:$J=V168),(Schedule!$K:$K=""a"")+(Schedule!$K:$K=""""),Schedule!$Y:$Y&lt;&gt;""""),""""))"),"")</f>
        <v/>
      </c>
      <c r="Y168" s="152" t="str">
        <f>IFERROR(__xludf.DUMMYFUNCTION("if(U168="""","""",iferror(filter(Schedule!$P:$P&amp;""-""&amp;Schedule!$Q:$Q,Schedule!$L:$L=U168,(Schedule!$J:$J="""")+(Schedule!$J:$J=V168),(Schedule!$K:$K=""b"")+(Schedule!$K:$K=""""),Schedule!$P:$P&lt;&gt;""""),""""))"),"")</f>
        <v/>
      </c>
      <c r="Z168" s="152" t="str">
        <f>IFERROR(__xludf.DUMMYFUNCTION("if(U168="""","""",iferror(filter(Schedule!$V:$V&amp;""-""&amp;Schedule!$W:$W,Schedule!$L:$L=U168,(Schedule!$J:$J="""")+(Schedule!$J:$J=V168),(Schedule!$K:$K=""b"")+(Schedule!$K:$K=""""),Schedule!$V:$V&lt;&gt;""""),""""))"),"")</f>
        <v/>
      </c>
      <c r="AA168" s="152" t="str">
        <f>IFERROR(__xludf.DUMMYFUNCTION("if(U168="""","""",iferror(filter(Schedule!$AB:$AB&amp;""-""&amp;Schedule!$AC:$AC,Schedule!$L:$L=U168,(Schedule!$J:$J="""")+(Schedule!$J:$J=V168),(Schedule!$K:$K=""b"")+(Schedule!$K:$K=""""),Schedule!$AB:$AB&lt;&gt;""""),""""))"),"")</f>
        <v/>
      </c>
      <c r="AB168" s="152" t="str">
        <f>IFERROR(__xludf.DUMMYFUNCTION("if(U168="""","""",iferror(filter(Schedule!$M:$M&amp;""-""&amp;Schedule!$N:$N,Schedule!$L:$L=U168,(Schedule!$J:$J="""")+(Schedule!$J:$J=V168),(Schedule!$K:$K=""b"")+(Schedule!$K:$K=""""),Schedule!$M:$M&lt;&gt;""""),""""))"),"")</f>
        <v/>
      </c>
      <c r="AC168" s="64"/>
      <c r="AD168" s="155"/>
      <c r="AE168" s="155" t="str">
        <f>AG162</f>
        <v/>
      </c>
      <c r="AF168" s="151" t="str">
        <f>AM162</f>
        <v/>
      </c>
      <c r="AG168" s="147">
        <v>5.0</v>
      </c>
      <c r="AH168" s="152" t="str">
        <f>IFERROR(__xludf.DUMMYFUNCTION("if(AE168="""","""",iferror(filter(Schedule!$Y:$Y&amp;""-""&amp;Schedule!$Z:$Z,Schedule!$L:$L=AE168,(Schedule!$J:$J="""")+(Schedule!$J:$J=AF168),(Schedule!$K:$K=""a"")+(Schedule!$K:$K=""""),Schedule!$Y:$Y&lt;&gt;""""),""""))"),"")</f>
        <v/>
      </c>
      <c r="AI168" s="152" t="str">
        <f>IFERROR(__xludf.DUMMYFUNCTION("if(AE168="""","""",iferror(filter(Schedule!$P:$P&amp;""-""&amp;Schedule!$Q:$Q,Schedule!$L:$L=AE168,(Schedule!$J:$J="""")+(Schedule!$J:$J=AF168),(Schedule!$K:$K=""b"")+(Schedule!$K:$K=""""),Schedule!$P:$P&lt;&gt;""""),""""))"),"")</f>
        <v/>
      </c>
      <c r="AJ168" s="152" t="str">
        <f>IFERROR(__xludf.DUMMYFUNCTION("if(AE168="""","""",iferror(filter(Schedule!$V:$V&amp;""-""&amp;Schedule!$W:$W,Schedule!$L:$L=AE168,(Schedule!$J:$J="""")+(Schedule!$J:$J=AF168),(Schedule!$K:$K=""b"")+(Schedule!$K:$K=""""),Schedule!$V:$V&lt;&gt;""""),""""))"),"")</f>
        <v/>
      </c>
      <c r="AK168" s="152" t="str">
        <f>IFERROR(__xludf.DUMMYFUNCTION("if(AE168="""","""",iferror(filter(Schedule!$AB:$AB&amp;""-""&amp;Schedule!$AC:$AC,Schedule!$L:$L=AE168,(Schedule!$J:$J="""")+(Schedule!$J:$J=AF168),(Schedule!$K:$K=""b"")+(Schedule!$K:$K=""""),Schedule!$AB:$AB&lt;&gt;""""),""""))"),"")</f>
        <v/>
      </c>
      <c r="AL168" s="152" t="str">
        <f>IFERROR(__xludf.DUMMYFUNCTION("if(AE168="""","""",iferror(filter(Schedule!$M:$M&amp;""-""&amp;Schedule!$N:$N,Schedule!$L:$L=AE168,(Schedule!$J:$J="""")+(Schedule!$J:$J=AF168),(Schedule!$K:$K=""b"")+(Schedule!$K:$K=""""),Schedule!$M:$M&lt;&gt;""""),""""))"),"")</f>
        <v/>
      </c>
      <c r="AM168" s="64"/>
    </row>
    <row r="169">
      <c r="A169" s="11"/>
      <c r="B169" s="11"/>
      <c r="C169" s="156"/>
      <c r="D169" s="156"/>
      <c r="E169" s="156"/>
      <c r="F169" s="156"/>
      <c r="G169" s="156"/>
      <c r="H169" s="156"/>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c r="A170" s="5"/>
      <c r="B170" s="5"/>
      <c r="C170" s="140" t="str">
        <f>Teachers!A22</f>
        <v>Nasli Vargas</v>
      </c>
      <c r="D170" s="141"/>
      <c r="E170" s="141"/>
      <c r="F170" s="141"/>
      <c r="G170" s="141"/>
      <c r="H170" s="142"/>
      <c r="I170" s="143" t="str">
        <f>IFERROR(__xludf.DUMMYFUNCTION("if(C170="""","""", iferror(unique(filter(Schedule!$J:$J,Schedule!$L:$L=$C170,Schedule!$J:$J=""Q1"")),iferror(unique(filter(Schedule!$J:$J,Schedule!$L:$L=$C170,Schedule!$J:$J=""S1"")),""Y"")))"),"Y")</f>
        <v>Y</v>
      </c>
      <c r="J170" s="11"/>
      <c r="K170" s="11"/>
      <c r="L170" s="11"/>
      <c r="M170" s="140" t="str">
        <f>if(S170="","",C170)</f>
        <v/>
      </c>
      <c r="N170" s="141"/>
      <c r="O170" s="141"/>
      <c r="P170" s="141"/>
      <c r="Q170" s="141"/>
      <c r="R170" s="142"/>
      <c r="S170" s="143" t="str">
        <f>if($I170="Q1","Q2",if($I170="S1","S2",""))</f>
        <v/>
      </c>
      <c r="T170" s="144"/>
      <c r="U170" s="144"/>
      <c r="V170" s="145"/>
      <c r="W170" s="140" t="str">
        <f>if(AC170="","",M170)</f>
        <v/>
      </c>
      <c r="X170" s="141"/>
      <c r="Y170" s="141"/>
      <c r="Z170" s="141"/>
      <c r="AA170" s="141"/>
      <c r="AB170" s="142"/>
      <c r="AC170" s="143" t="str">
        <f>if($I170="Q1","Q3","")</f>
        <v/>
      </c>
      <c r="AD170" s="144"/>
      <c r="AE170" s="144"/>
      <c r="AF170" s="145"/>
      <c r="AG170" s="140" t="str">
        <f>if(AC170="","",W170)</f>
        <v/>
      </c>
      <c r="AH170" s="141"/>
      <c r="AI170" s="141"/>
      <c r="AJ170" s="141"/>
      <c r="AK170" s="141"/>
      <c r="AL170" s="142"/>
      <c r="AM170" s="143" t="str">
        <f>if($I170="Q1","Q4","")</f>
        <v/>
      </c>
    </row>
    <row r="171">
      <c r="A171" s="146"/>
      <c r="B171" s="146"/>
      <c r="C171" s="147" t="s">
        <v>94</v>
      </c>
      <c r="D171" s="148" t="s">
        <v>95</v>
      </c>
      <c r="E171" s="148" t="s">
        <v>96</v>
      </c>
      <c r="F171" s="148" t="s">
        <v>97</v>
      </c>
      <c r="G171" s="148" t="s">
        <v>98</v>
      </c>
      <c r="H171" s="148" t="s">
        <v>99</v>
      </c>
      <c r="I171" s="148" t="s">
        <v>651</v>
      </c>
      <c r="J171" s="146"/>
      <c r="K171" s="146"/>
      <c r="L171" s="146"/>
      <c r="M171" s="147" t="s">
        <v>94</v>
      </c>
      <c r="N171" s="148" t="s">
        <v>95</v>
      </c>
      <c r="O171" s="148" t="s">
        <v>96</v>
      </c>
      <c r="P171" s="148" t="s">
        <v>97</v>
      </c>
      <c r="Q171" s="148" t="s">
        <v>98</v>
      </c>
      <c r="R171" s="148" t="s">
        <v>99</v>
      </c>
      <c r="S171" s="148" t="s">
        <v>651</v>
      </c>
      <c r="T171" s="149"/>
      <c r="U171" s="149"/>
      <c r="V171" s="150"/>
      <c r="W171" s="147" t="s">
        <v>94</v>
      </c>
      <c r="X171" s="148" t="s">
        <v>95</v>
      </c>
      <c r="Y171" s="148" t="s">
        <v>96</v>
      </c>
      <c r="Z171" s="148" t="s">
        <v>97</v>
      </c>
      <c r="AA171" s="148" t="s">
        <v>98</v>
      </c>
      <c r="AB171" s="148" t="s">
        <v>99</v>
      </c>
      <c r="AC171" s="148" t="s">
        <v>651</v>
      </c>
      <c r="AD171" s="149"/>
      <c r="AE171" s="149"/>
      <c r="AF171" s="150"/>
      <c r="AG171" s="147" t="s">
        <v>94</v>
      </c>
      <c r="AH171" s="148" t="s">
        <v>95</v>
      </c>
      <c r="AI171" s="148" t="s">
        <v>96</v>
      </c>
      <c r="AJ171" s="148" t="s">
        <v>97</v>
      </c>
      <c r="AK171" s="148" t="s">
        <v>98</v>
      </c>
      <c r="AL171" s="148" t="s">
        <v>99</v>
      </c>
      <c r="AM171" s="148" t="s">
        <v>651</v>
      </c>
    </row>
    <row r="172">
      <c r="A172" s="151" t="str">
        <f>C170</f>
        <v>Nasli Vargas</v>
      </c>
      <c r="B172" s="151" t="str">
        <f>I170</f>
        <v>Y</v>
      </c>
      <c r="C172" s="147">
        <v>1.0</v>
      </c>
      <c r="D172" s="152" t="str">
        <f>IFERROR(__xludf.DUMMYFUNCTION("if(A172="""","""",iferror(filter(Schedule!$M:$M&amp;""-""&amp;Schedule!$N:$N,Schedule!$L:$L=A172,(Schedule!$J:$J="""")+(Schedule!$J:$J=B172),(Schedule!$K:$K=""a"")+(Schedule!$K:$K=""""),Schedule!$M:$M&lt;&gt;""""),""""))"),"Sociales 7A-1")</f>
        <v>Sociales 7A-1</v>
      </c>
      <c r="E172" s="152" t="str">
        <f>IFERROR(__xludf.DUMMYFUNCTION("if(A172="""","""",iferror(filter(Schedule!$AB:$AB&amp;""-""&amp;Schedule!$AC:$AC,Schedule!$L:$L=A172,(Schedule!$J:$J="""")+(Schedule!$J:$J=B172),(Schedule!$K:$K=""b"")+(Schedule!$K:$K=""""),Schedule!$AB:$AB&lt;&gt;""""),""""))"),"")</f>
        <v/>
      </c>
      <c r="F172" s="152" t="str">
        <f>IFERROR(__xludf.DUMMYFUNCTION("if(A172="""","""",iferror(filter(Schedule!$S:$S&amp;""-""&amp;Schedule!$T:$T,Schedule!$L:$L=A172,(Schedule!$J:$J="""")+(Schedule!$J:$J=B172),(Schedule!$K:$K=""a"")+(Schedule!$K:$K=""""),Schedule!$S:$S&lt;&gt;""""),""""))"),"Sociales 6-4")</f>
        <v>Sociales 6-4</v>
      </c>
      <c r="G172" s="152" t="str">
        <f>IFERROR(__xludf.DUMMYFUNCTION("if(A172="""","""",iferror(filter(Schedule!$V:$V&amp;""-""&amp;Schedule!$W:$W,Schedule!$L:$L=A172,(Schedule!$J:$J="""")+(Schedule!$J:$J=B172),(Schedule!$K:$K=""a"")+(Schedule!$K:$K=""""),Schedule!$V:$V&lt;&gt;""""),""""))"),"")</f>
        <v/>
      </c>
      <c r="H172" s="152" t="str">
        <f>IFERROR(__xludf.DUMMYFUNCTION("if(A172="""","""",iferror(filter(Schedule!$Y:$Y&amp;""-""&amp;Schedule!$Z:$Z,Schedule!$L:$L=A172,(Schedule!$J:$J="""")+(Schedule!$J:$J=B172),(Schedule!$K:$K=""b"")+(Schedule!$K:$K=""""),Schedule!$Y:$Y&lt;&gt;""""),""""))"),"Sociales 7A-5")</f>
        <v>Sociales 7A-5</v>
      </c>
      <c r="I172" s="153">
        <f>if(C170="","", 24-countifs(D172:H176,""))</f>
        <v>16</v>
      </c>
      <c r="J172" s="154"/>
      <c r="K172" s="151" t="str">
        <f>M170</f>
        <v/>
      </c>
      <c r="L172" s="151" t="str">
        <f>S170</f>
        <v/>
      </c>
      <c r="M172" s="147">
        <v>1.0</v>
      </c>
      <c r="N172" s="152" t="str">
        <f>IFERROR(__xludf.DUMMYFUNCTION("if(K172="""","""",iferror(filter(Schedule!$M:$M&amp;""-""&amp;Schedule!$N:$N,Schedule!$L:$L=K172,(Schedule!$J:$J="""")+(Schedule!$J:$J=L172),(Schedule!$K:$K=""a"")+(Schedule!$K:$K=""""),Schedule!$M:$M&lt;&gt;""""),""""))"),"")</f>
        <v/>
      </c>
      <c r="O172" s="152" t="str">
        <f>IFERROR(__xludf.DUMMYFUNCTION("if(K172="""","""",iferror(filter(Schedule!$AB:$AB&amp;""-""&amp;Schedule!$AC:$AC,Schedule!$L:$L=K172,(Schedule!$J:$J="""")+(Schedule!$J:$J=L172),(Schedule!$K:$K=""b"")+(Schedule!$K:$K=""""),Schedule!$AB:$AB&lt;&gt;""""),""""))"),"")</f>
        <v/>
      </c>
      <c r="P172" s="152" t="str">
        <f>IFERROR(__xludf.DUMMYFUNCTION("if(K172="""","""",iferror(filter(Schedule!$S:$S&amp;""-""&amp;Schedule!$T:$T,Schedule!$L:$L=K172,(Schedule!$J:$J="""")+(Schedule!$J:$J=L172),(Schedule!$K:$K=""a"")+(Schedule!$K:$K=""""),Schedule!$S:$S&lt;&gt;""""),""""))"),"")</f>
        <v/>
      </c>
      <c r="Q172" s="152" t="str">
        <f>IFERROR(__xludf.DUMMYFUNCTION("if(K172="""","""",iferror(filter(Schedule!$V:$V&amp;""-""&amp;Schedule!$W:$W,Schedule!$L:$L=K172,(Schedule!$J:$J="""")+(Schedule!$J:$J=L172),(Schedule!$K:$K=""a"")+(Schedule!$K:$K=""""),Schedule!$V:$V&lt;&gt;""""),""""))"),"")</f>
        <v/>
      </c>
      <c r="R172" s="152" t="str">
        <f>IFERROR(__xludf.DUMMYFUNCTION("if(K172="""","""",iferror(filter(Schedule!$Y:$Y&amp;""-""&amp;Schedule!$Z:$Z,Schedule!$L:$L=K172,(Schedule!$J:$J="""")+(Schedule!$J:$J=L172),(Schedule!$K:$K=""b"")+(Schedule!$K:$K=""""),Schedule!$Y:$Y&lt;&gt;""""),""""))"),"")</f>
        <v/>
      </c>
      <c r="S172" s="153" t="str">
        <f>if(K172="","", 24-countifs(N172:R176,""))</f>
        <v/>
      </c>
      <c r="T172" s="155"/>
      <c r="U172" s="155" t="str">
        <f>W170</f>
        <v/>
      </c>
      <c r="V172" s="151" t="str">
        <f>AC170</f>
        <v/>
      </c>
      <c r="W172" s="147">
        <v>1.0</v>
      </c>
      <c r="X172" s="152" t="str">
        <f>IFERROR(__xludf.DUMMYFUNCTION("if(U172="""","""",iferror(filter(Schedule!$M:$M&amp;""-""&amp;Schedule!$N:$N,Schedule!$L:$L=U172,(Schedule!$J:$J="""")+(Schedule!$J:$J=V172),(Schedule!$K:$K=""a"")+(Schedule!$K:$K=""""),Schedule!$M:$M&lt;&gt;""""),""""))"),"")</f>
        <v/>
      </c>
      <c r="Y172" s="152" t="str">
        <f>IFERROR(__xludf.DUMMYFUNCTION("if(U172="""","""",iferror(filter(Schedule!$AB:$AB&amp;""-""&amp;Schedule!$AC:$AC,Schedule!$L:$L=U172,(Schedule!$J:$J="""")+(Schedule!$J:$J=V172),(Schedule!$K:$K=""b"")+(Schedule!$K:$K=""""),Schedule!$AB:$AB&lt;&gt;""""),""""))"),"")</f>
        <v/>
      </c>
      <c r="Z172" s="152" t="str">
        <f>IFERROR(__xludf.DUMMYFUNCTION("if(U172="""","""",iferror(filter(Schedule!$S:$S&amp;""-""&amp;Schedule!$T:$T,Schedule!$L:$L=U172,(Schedule!$J:$J="""")+(Schedule!$J:$J=V172),(Schedule!$K:$K=""a"")+(Schedule!$K:$K=""""),Schedule!$S:$S&lt;&gt;""""),""""))"),"")</f>
        <v/>
      </c>
      <c r="AA172" s="152" t="str">
        <f>IFERROR(__xludf.DUMMYFUNCTION("if(U172="""","""",iferror(filter(Schedule!$V:$V&amp;""-""&amp;Schedule!$W:$W,Schedule!$L:$L=U172,(Schedule!$J:$J="""")+(Schedule!$J:$J=V172),(Schedule!$K:$K=""a"")+(Schedule!$K:$K=""""),Schedule!$V:$V&lt;&gt;""""),""""))"),"")</f>
        <v/>
      </c>
      <c r="AB172" s="152" t="str">
        <f>IFERROR(__xludf.DUMMYFUNCTION("if(U172="""","""",iferror(filter(Schedule!$Y:$Y&amp;""-""&amp;Schedule!$Z:$Z,Schedule!$L:$L=U172,(Schedule!$J:$J="""")+(Schedule!$J:$J=V172),(Schedule!$K:$K=""b"")+(Schedule!$K:$K=""""),Schedule!$Y:$Y&lt;&gt;""""),""""))"),"")</f>
        <v/>
      </c>
      <c r="AC172" s="153" t="str">
        <f>if(U172="","", 24-countifs(X172:AB176,""))</f>
        <v/>
      </c>
      <c r="AD172" s="155"/>
      <c r="AE172" s="155" t="str">
        <f>AG170</f>
        <v/>
      </c>
      <c r="AF172" s="151" t="str">
        <f>AM170</f>
        <v/>
      </c>
      <c r="AG172" s="147">
        <v>1.0</v>
      </c>
      <c r="AH172" s="152" t="str">
        <f>IFERROR(__xludf.DUMMYFUNCTION("if(AE172="""","""",iferror(filter(Schedule!$M:$M&amp;""-""&amp;Schedule!$N:$N,Schedule!$L:$L=AE172,(Schedule!$J:$J="""")+(Schedule!$J:$J=AF172),(Schedule!$K:$K=""a"")+(Schedule!$K:$K=""""),Schedule!$M:$M&lt;&gt;""""),""""))"),"")</f>
        <v/>
      </c>
      <c r="AI172" s="152" t="str">
        <f>IFERROR(__xludf.DUMMYFUNCTION("if(AE172="""","""",iferror(filter(Schedule!$AB:$AB&amp;""-""&amp;Schedule!$AC:$AC,Schedule!$L:$L=AE172,(Schedule!$J:$J="""")+(Schedule!$J:$J=AF172),(Schedule!$K:$K=""b"")+(Schedule!$K:$K=""""),Schedule!$AB:$AB&lt;&gt;""""),""""))"),"")</f>
        <v/>
      </c>
      <c r="AJ172" s="152" t="str">
        <f>IFERROR(__xludf.DUMMYFUNCTION("if(AE172="""","""",iferror(filter(Schedule!$S:$S&amp;""-""&amp;Schedule!$T:$T,Schedule!$L:$L=AE172,(Schedule!$J:$J="""")+(Schedule!$J:$J=AF172),(Schedule!$K:$K=""a"")+(Schedule!$K:$K=""""),Schedule!$S:$S&lt;&gt;""""),""""))"),"")</f>
        <v/>
      </c>
      <c r="AK172" s="152" t="str">
        <f>IFERROR(__xludf.DUMMYFUNCTION("if(AE172="""","""",iferror(filter(Schedule!$V:$V&amp;""-""&amp;Schedule!$W:$W,Schedule!$L:$L=AE172,(Schedule!$J:$J="""")+(Schedule!$J:$J=AF172),(Schedule!$K:$K=""a"")+(Schedule!$K:$K=""""),Schedule!$V:$V&lt;&gt;""""),""""))"),"")</f>
        <v/>
      </c>
      <c r="AL172" s="152" t="str">
        <f>IFERROR(__xludf.DUMMYFUNCTION("if(AE172="""","""",iferror(filter(Schedule!$Y:$Y&amp;""-""&amp;Schedule!$Z:$Z,Schedule!$L:$L=AE172,(Schedule!$J:$J="""")+(Schedule!$J:$J=AF172),(Schedule!$K:$K=""b"")+(Schedule!$K:$K=""""),Schedule!$Y:$Y&lt;&gt;""""),""""))"),"")</f>
        <v/>
      </c>
      <c r="AM172" s="153" t="str">
        <f>if(AE172="","", 24-countifs(AH172:AL176,""))</f>
        <v/>
      </c>
    </row>
    <row r="173">
      <c r="A173" s="151" t="str">
        <f>C170</f>
        <v>Nasli Vargas</v>
      </c>
      <c r="B173" s="151" t="str">
        <f>I170</f>
        <v>Y</v>
      </c>
      <c r="C173" s="147">
        <v>2.0</v>
      </c>
      <c r="D173" s="152" t="str">
        <f>IFERROR(__xludf.DUMMYFUNCTION("if(A173="""","""",iferror(filter(Schedule!$P:$P&amp;""-""&amp;Schedule!$Q:$Q,Schedule!$L:$L=A173,(Schedule!$J:$J="""")+(Schedule!$J:$J=B173),(Schedule!$K:$K=""a"")+(Schedule!$K:$K=""""),Schedule!$P:$P&lt;&gt;""""),""""))"),"Sociales 6A-3")</f>
        <v>Sociales 6A-3</v>
      </c>
      <c r="E173" s="152" t="str">
        <f>IFERROR(__xludf.DUMMYFUNCTION("if(A173="""","""",iferror(filter(Schedule!$Y:$Y&amp;""-""&amp;Schedule!$Z:$Z,Schedule!$L:$L=A173,(Schedule!$J:$J="""")+(Schedule!$J:$J=B173),(Schedule!$K:$K=""b"")+(Schedule!$K:$K=""""),Schedule!$Y:$Y&lt;&gt;""""),""""))"),"Sociales 7A-5")</f>
        <v>Sociales 7A-5</v>
      </c>
      <c r="F173" s="157" t="str">
        <f>IFERROR(__xludf.DUMMYFUNCTION("if(A173="""","""",iferror(filter(Schedule!$P:$P&amp;""-""&amp;Schedule!$Q:$Q,Schedule!$L:$L=A173,(Schedule!$J:$J="""")+(Schedule!$J:$J=B173),(Schedule!$K:$K=""a"")+(Schedule!$K:$K=""""),Schedule!$P:$P&lt;&gt;""""),""""))"),"Sociales 6A-3")</f>
        <v>Sociales 6A-3</v>
      </c>
      <c r="G173" s="152" t="str">
        <f>IFERROR(__xludf.DUMMYFUNCTION("if(A173="""","""",iferror(filter(Schedule!$M:$M&amp;""-""&amp;Schedule!$N:$N,Schedule!$L:$L=A173,(Schedule!$J:$J="""")+(Schedule!$J:$J=B173),(Schedule!$K:$K=""a"")+(Schedule!$K:$K=""""),Schedule!$M:$M&lt;&gt;""""),""""))"),"Sociales 7A-1")</f>
        <v>Sociales 7A-1</v>
      </c>
      <c r="H173" s="152" t="str">
        <f>IFERROR(__xludf.DUMMYFUNCTION("if(A173="""","""",iferror(filter(Schedule!$AB:$AB&amp;""-""&amp;Schedule!$AC:$AC,Schedule!$L:$L=A173,(Schedule!$J:$J="""")+(Schedule!$J:$J=B173),(Schedule!$K:$K=""a"")+(Schedule!$K:$K=""""),Schedule!$AB:$AB&lt;&gt;""""),""""))"),"")</f>
        <v/>
      </c>
      <c r="I173" s="60"/>
      <c r="J173" s="154"/>
      <c r="K173" s="151" t="str">
        <f>M170</f>
        <v/>
      </c>
      <c r="L173" s="151" t="str">
        <f>S170</f>
        <v/>
      </c>
      <c r="M173" s="147">
        <v>2.0</v>
      </c>
      <c r="N173" s="152" t="str">
        <f>IFERROR(__xludf.DUMMYFUNCTION("if(K173="""","""",iferror(filter(Schedule!$P:$P&amp;""-""&amp;Schedule!$Q:$Q,Schedule!$L:$L=K173,(Schedule!$J:$J="""")+(Schedule!$J:$J=L173),(Schedule!$K:$K=""a"")+(Schedule!$K:$K=""""),Schedule!$P:$P&lt;&gt;""""),""""))"),"")</f>
        <v/>
      </c>
      <c r="O173" s="152" t="str">
        <f>IFERROR(__xludf.DUMMYFUNCTION("if(K173="""","""",iferror(filter(Schedule!$Y:$Y&amp;""-""&amp;Schedule!$Z:$Z,Schedule!$L:$L=K173,(Schedule!$J:$J="""")+(Schedule!$J:$J=L173),(Schedule!$K:$K=""b"")+(Schedule!$K:$K=""""),Schedule!$Y:$Y&lt;&gt;""""),""""))"),"")</f>
        <v/>
      </c>
      <c r="P173" s="152" t="str">
        <f>IFERROR(__xludf.DUMMYFUNCTION("if(K173="""","""",iferror(filter(Schedule!$P:$P&amp;""-""&amp;Schedule!$Q:$Q,Schedule!$L:$L=K173,(Schedule!$J:$J="""")+(Schedule!$J:$J=L173),(Schedule!$K:$K=""a"")+(Schedule!$K:$K=""""),Schedule!$P:$P&lt;&gt;""""),""""))"),"")</f>
        <v/>
      </c>
      <c r="Q173" s="152" t="str">
        <f>IFERROR(__xludf.DUMMYFUNCTION("if(K173="""","""",iferror(filter(Schedule!$M:$M&amp;""-""&amp;Schedule!$N:$N,Schedule!$L:$L=K173,(Schedule!$J:$J="""")+(Schedule!$J:$J=L173),(Schedule!$K:$K=""a"")+(Schedule!$K:$K=""""),Schedule!$M:$M&lt;&gt;""""),""""))"),"")</f>
        <v/>
      </c>
      <c r="R173" s="152" t="str">
        <f>IFERROR(__xludf.DUMMYFUNCTION("if(K173="""","""",iferror(filter(Schedule!$AB:$AB&amp;""-""&amp;Schedule!$AC:$AC,Schedule!$L:$L=K173,(Schedule!$J:$J="""")+(Schedule!$J:$J=L173),(Schedule!$K:$K=""a"")+(Schedule!$K:$K=""""),Schedule!$AB:$AB&lt;&gt;""""),""""))"),"")</f>
        <v/>
      </c>
      <c r="S173" s="60"/>
      <c r="T173" s="155"/>
      <c r="U173" s="155" t="str">
        <f>W170</f>
        <v/>
      </c>
      <c r="V173" s="151" t="str">
        <f>AC170</f>
        <v/>
      </c>
      <c r="W173" s="147">
        <v>2.0</v>
      </c>
      <c r="X173" s="152" t="str">
        <f>IFERROR(__xludf.DUMMYFUNCTION("if(U173="""","""",iferror(filter(Schedule!$P:$P&amp;""-""&amp;Schedule!$Q:$Q,Schedule!$L:$L=U173,(Schedule!$J:$J="""")+(Schedule!$J:$J=V173),(Schedule!$K:$K=""a"")+(Schedule!$K:$K=""""),Schedule!$P:$P&lt;&gt;""""),""""))"),"")</f>
        <v/>
      </c>
      <c r="Y173" s="152" t="str">
        <f>IFERROR(__xludf.DUMMYFUNCTION("if(U173="""","""",iferror(filter(Schedule!$Y:$Y&amp;""-""&amp;Schedule!$Z:$Z,Schedule!$L:$L=U173,(Schedule!$J:$J="""")+(Schedule!$J:$J=V173),(Schedule!$K:$K=""b"")+(Schedule!$K:$K=""""),Schedule!$Y:$Y&lt;&gt;""""),""""))"),"")</f>
        <v/>
      </c>
      <c r="Z173" s="152" t="str">
        <f>IFERROR(__xludf.DUMMYFUNCTION("if(U173="""","""",iferror(filter(Schedule!$P:$P&amp;""-""&amp;Schedule!$Q:$Q,Schedule!$L:$L=U173,(Schedule!$J:$J="""")+(Schedule!$J:$J=V173),(Schedule!$K:$K=""a"")+(Schedule!$K:$K=""""),Schedule!$P:$P&lt;&gt;""""),""""))"),"")</f>
        <v/>
      </c>
      <c r="AA173" s="152" t="str">
        <f>IFERROR(__xludf.DUMMYFUNCTION("if(U173="""","""",iferror(filter(Schedule!$M:$M&amp;""-""&amp;Schedule!$N:$N,Schedule!$L:$L=U173,(Schedule!$J:$J="""")+(Schedule!$J:$J=V173),(Schedule!$K:$K=""a"")+(Schedule!$K:$K=""""),Schedule!$M:$M&lt;&gt;""""),""""))"),"")</f>
        <v/>
      </c>
      <c r="AB173" s="152" t="str">
        <f>IFERROR(__xludf.DUMMYFUNCTION("if(U173="""","""",iferror(filter(Schedule!$AB:$AB&amp;""-""&amp;Schedule!$AC:$AC,Schedule!$L:$L=U173,(Schedule!$J:$J="""")+(Schedule!$J:$J=V173),(Schedule!$K:$K=""a"")+(Schedule!$K:$K=""""),Schedule!$AB:$AB&lt;&gt;""""),""""))"),"")</f>
        <v/>
      </c>
      <c r="AC173" s="60"/>
      <c r="AD173" s="155"/>
      <c r="AE173" s="155" t="str">
        <f>AG170</f>
        <v/>
      </c>
      <c r="AF173" s="151" t="str">
        <f>AM170</f>
        <v/>
      </c>
      <c r="AG173" s="147">
        <v>2.0</v>
      </c>
      <c r="AH173" s="152" t="str">
        <f>IFERROR(__xludf.DUMMYFUNCTION("if(AE173="""","""",iferror(filter(Schedule!$P:$P&amp;""-""&amp;Schedule!$Q:$Q,Schedule!$L:$L=AE173,(Schedule!$J:$J="""")+(Schedule!$J:$J=AF173),(Schedule!$K:$K=""a"")+(Schedule!$K:$K=""""),Schedule!$P:$P&lt;&gt;""""),""""))"),"")</f>
        <v/>
      </c>
      <c r="AI173" s="152" t="str">
        <f>IFERROR(__xludf.DUMMYFUNCTION("if(AE173="""","""",iferror(filter(Schedule!$Y:$Y&amp;""-""&amp;Schedule!$Z:$Z,Schedule!$L:$L=AE173,(Schedule!$J:$J="""")+(Schedule!$J:$J=AF173),(Schedule!$K:$K=""b"")+(Schedule!$K:$K=""""),Schedule!$Y:$Y&lt;&gt;""""),""""))"),"")</f>
        <v/>
      </c>
      <c r="AJ173" s="152" t="str">
        <f>IFERROR(__xludf.DUMMYFUNCTION("if(AE173="""","""",iferror(filter(Schedule!$P:$P&amp;""-""&amp;Schedule!$Q:$Q,Schedule!$L:$L=AE173,(Schedule!$J:$J="""")+(Schedule!$J:$J=AF173),(Schedule!$K:$K=""a"")+(Schedule!$K:$K=""""),Schedule!$P:$P&lt;&gt;""""),""""))"),"")</f>
        <v/>
      </c>
      <c r="AK173" s="152" t="str">
        <f>IFERROR(__xludf.DUMMYFUNCTION("if(AE173="""","""",iferror(filter(Schedule!$M:$M&amp;""-""&amp;Schedule!$N:$N,Schedule!$L:$L=AE173,(Schedule!$J:$J="""")+(Schedule!$J:$J=AF173),(Schedule!$K:$K=""a"")+(Schedule!$K:$K=""""),Schedule!$M:$M&lt;&gt;""""),""""))"),"")</f>
        <v/>
      </c>
      <c r="AL173" s="152" t="str">
        <f>IFERROR(__xludf.DUMMYFUNCTION("if(AE173="""","""",iferror(filter(Schedule!$AB:$AB&amp;""-""&amp;Schedule!$AC:$AC,Schedule!$L:$L=AE173,(Schedule!$J:$J="""")+(Schedule!$J:$J=AF173),(Schedule!$K:$K=""a"")+(Schedule!$K:$K=""""),Schedule!$AB:$AB&lt;&gt;""""),""""))"),"")</f>
        <v/>
      </c>
      <c r="AM173" s="60"/>
    </row>
    <row r="174">
      <c r="A174" s="151" t="str">
        <f>C170</f>
        <v>Nasli Vargas</v>
      </c>
      <c r="B174" s="151" t="str">
        <f>I170</f>
        <v>Y</v>
      </c>
      <c r="C174" s="147">
        <v>3.0</v>
      </c>
      <c r="D174" s="152" t="str">
        <f>IFERROR(__xludf.DUMMYFUNCTION("if(A174="""","""",iferror(filter(Schedule!$S:$S&amp;""-""&amp;Schedule!$T:$T,Schedule!$L:$L=A174,(Schedule!$J:$J="""")+(Schedule!$J:$J=B174),(Schedule!$K:$K=""a"")+(Schedule!$K:$K=""""),Schedule!$S:$S&lt;&gt;""""),""""))"),"Sociales 6-4")</f>
        <v>Sociales 6-4</v>
      </c>
      <c r="E174" s="152" t="str">
        <f>IFERROR(__xludf.DUMMYFUNCTION("if(A174="""","""",iferror(filter(Schedule!$S:$S&amp;""-""&amp;Schedule!$T:$T,Schedule!$L:$L=A174,(Schedule!$J:$J="""")+(Schedule!$J:$J=B174),(Schedule!$K:$K=""b"")+(Schedule!$K:$K=""""),Schedule!$S:$S&lt;&gt;""""),""""))"),"Sociales 6-4")</f>
        <v>Sociales 6-4</v>
      </c>
      <c r="F174" s="152" t="str">
        <f>IFERROR(__xludf.DUMMYFUNCTION("if(A174="""","""",iferror(filter(Schedule!$Y:$Y&amp;""-""&amp;Schedule!$Z:$Z,Schedule!$L:$L=A174,(Schedule!$J:$J="""")+(Schedule!$J:$J=B174),(Schedule!$K:$K=""a"")+(Schedule!$K:$K=""""),Schedule!$Y:$Y&lt;&gt;""""),""""))"),"Sociales 7A-5")</f>
        <v>Sociales 7A-5</v>
      </c>
      <c r="G174" s="152" t="str">
        <f>IFERROR(__xludf.DUMMYFUNCTION("if(A174="""","""",iferror(filter(Schedule!$P:$P&amp;""-""&amp;Schedule!$Q:$Q,Schedule!$L:$L=A174,(Schedule!$J:$J="""")+(Schedule!$J:$J=B174),(Schedule!$K:$K=""b"")+(Schedule!$K:$K=""""),Schedule!$P:$P&lt;&gt;""""),""""))"),"Sociales 6A-3")</f>
        <v>Sociales 6A-3</v>
      </c>
      <c r="H174" s="152" t="str">
        <f>if(C170="","","X-Block")</f>
        <v>X-Block</v>
      </c>
      <c r="I174" s="60"/>
      <c r="J174" s="154"/>
      <c r="K174" s="151" t="str">
        <f>M170</f>
        <v/>
      </c>
      <c r="L174" s="151" t="str">
        <f>S170</f>
        <v/>
      </c>
      <c r="M174" s="147">
        <v>3.0</v>
      </c>
      <c r="N174" s="152" t="str">
        <f>IFERROR(__xludf.DUMMYFUNCTION("if(K174="""","""",iferror(filter(Schedule!$S:$S&amp;""-""&amp;Schedule!$T:$T,Schedule!$L:$L=K174,(Schedule!$J:$J="""")+(Schedule!$J:$J=L174),(Schedule!$K:$K=""a"")+(Schedule!$K:$K=""""),Schedule!$S:$S&lt;&gt;""""),""""))"),"")</f>
        <v/>
      </c>
      <c r="O174" s="152" t="str">
        <f>IFERROR(__xludf.DUMMYFUNCTION("if(K174="""","""",iferror(filter(Schedule!$S:$S&amp;""-""&amp;Schedule!$T:$T,Schedule!$L:$L=K174,(Schedule!$J:$J="""")+(Schedule!$J:$J=L174),(Schedule!$K:$K=""b"")+(Schedule!$K:$K=""""),Schedule!$S:$S&lt;&gt;""""),""""))"),"")</f>
        <v/>
      </c>
      <c r="P174" s="152" t="str">
        <f>IFERROR(__xludf.DUMMYFUNCTION("if(K174="""","""",iferror(filter(Schedule!$Y:$Y&amp;""-""&amp;Schedule!$Z:$Z,Schedule!$L:$L=K174,(Schedule!$J:$J="""")+(Schedule!$J:$J=L174),(Schedule!$K:$K=""a"")+(Schedule!$K:$K=""""),Schedule!$Y:$Y&lt;&gt;""""),""""))"),"")</f>
        <v/>
      </c>
      <c r="Q174" s="152" t="str">
        <f>IFERROR(__xludf.DUMMYFUNCTION("if(K174="""","""",iferror(filter(Schedule!$P:$P&amp;""-""&amp;Schedule!$Q:$Q,Schedule!$L:$L=K174,(Schedule!$J:$J="""")+(Schedule!$J:$J=L174),(Schedule!$K:$K=""b"")+(Schedule!$K:$K=""""),Schedule!$P:$P&lt;&gt;""""),""""))"),"")</f>
        <v/>
      </c>
      <c r="R174" s="152" t="str">
        <f>if(M170="","","X-Block")</f>
        <v/>
      </c>
      <c r="S174" s="60"/>
      <c r="T174" s="155"/>
      <c r="U174" s="155" t="str">
        <f>W170</f>
        <v/>
      </c>
      <c r="V174" s="151" t="str">
        <f>AC170</f>
        <v/>
      </c>
      <c r="W174" s="147">
        <v>3.0</v>
      </c>
      <c r="X174" s="152" t="str">
        <f>IFERROR(__xludf.DUMMYFUNCTION("if(U174="""","""",iferror(filter(Schedule!$S:$S&amp;""-""&amp;Schedule!$T:$T,Schedule!$L:$L=U174,(Schedule!$J:$J="""")+(Schedule!$J:$J=V174),(Schedule!$K:$K=""a"")+(Schedule!$K:$K=""""),Schedule!$S:$S&lt;&gt;""""),""""))"),"")</f>
        <v/>
      </c>
      <c r="Y174" s="152" t="str">
        <f>IFERROR(__xludf.DUMMYFUNCTION("if(U174="""","""",iferror(filter(Schedule!$S:$S&amp;""-""&amp;Schedule!$T:$T,Schedule!$L:$L=U174,(Schedule!$J:$J="""")+(Schedule!$J:$J=V174),(Schedule!$K:$K=""b"")+(Schedule!$K:$K=""""),Schedule!$S:$S&lt;&gt;""""),""""))"),"")</f>
        <v/>
      </c>
      <c r="Z174" s="152" t="str">
        <f>IFERROR(__xludf.DUMMYFUNCTION("if(U174="""","""",iferror(filter(Schedule!$Y:$Y&amp;""-""&amp;Schedule!$Z:$Z,Schedule!$L:$L=U174,(Schedule!$J:$J="""")+(Schedule!$J:$J=V174),(Schedule!$K:$K=""a"")+(Schedule!$K:$K=""""),Schedule!$Y:$Y&lt;&gt;""""),""""))"),"")</f>
        <v/>
      </c>
      <c r="AA174" s="152" t="str">
        <f>IFERROR(__xludf.DUMMYFUNCTION("if(U174="""","""",iferror(filter(Schedule!$P:$P&amp;""-""&amp;Schedule!$Q:$Q,Schedule!$L:$L=U174,(Schedule!$J:$J="""")+(Schedule!$J:$J=V174),(Schedule!$K:$K=""b"")+(Schedule!$K:$K=""""),Schedule!$P:$P&lt;&gt;""""),""""))"),"")</f>
        <v/>
      </c>
      <c r="AB174" s="152" t="str">
        <f>if(W170="","","X-Block")</f>
        <v/>
      </c>
      <c r="AC174" s="60"/>
      <c r="AD174" s="155"/>
      <c r="AE174" s="155" t="str">
        <f>AG170</f>
        <v/>
      </c>
      <c r="AF174" s="151" t="str">
        <f>AM170</f>
        <v/>
      </c>
      <c r="AG174" s="147">
        <v>3.0</v>
      </c>
      <c r="AH174" s="152" t="str">
        <f>IFERROR(__xludf.DUMMYFUNCTION("if(AE174="""","""",iferror(filter(Schedule!$S:$S&amp;""-""&amp;Schedule!$T:$T,Schedule!$L:$L=AE174,(Schedule!$J:$J="""")+(Schedule!$J:$J=AF174),(Schedule!$K:$K=""a"")+(Schedule!$K:$K=""""),Schedule!$S:$S&lt;&gt;""""),""""))"),"")</f>
        <v/>
      </c>
      <c r="AI174" s="152" t="str">
        <f>IFERROR(__xludf.DUMMYFUNCTION("if(AE174="""","""",iferror(filter(Schedule!$S:$S&amp;""-""&amp;Schedule!$T:$T,Schedule!$L:$L=AE174,(Schedule!$J:$J="""")+(Schedule!$J:$J=AF174),(Schedule!$K:$K=""b"")+(Schedule!$K:$K=""""),Schedule!$S:$S&lt;&gt;""""),""""))"),"")</f>
        <v/>
      </c>
      <c r="AJ174" s="152" t="str">
        <f>IFERROR(__xludf.DUMMYFUNCTION("if(AE174="""","""",iferror(filter(Schedule!$Y:$Y&amp;""-""&amp;Schedule!$Z:$Z,Schedule!$L:$L=AE174,(Schedule!$J:$J="""")+(Schedule!$J:$J=AF174),(Schedule!$K:$K=""a"")+(Schedule!$K:$K=""""),Schedule!$Y:$Y&lt;&gt;""""),""""))"),"")</f>
        <v/>
      </c>
      <c r="AK174" s="152" t="str">
        <f>IFERROR(__xludf.DUMMYFUNCTION("if(AE174="""","""",iferror(filter(Schedule!$P:$P&amp;""-""&amp;Schedule!$Q:$Q,Schedule!$L:$L=AE174,(Schedule!$J:$J="""")+(Schedule!$J:$J=AF174),(Schedule!$K:$K=""b"")+(Schedule!$K:$K=""""),Schedule!$P:$P&lt;&gt;""""),""""))"),"")</f>
        <v/>
      </c>
      <c r="AL174" s="152" t="str">
        <f>if(AG170="","","X-Block")</f>
        <v/>
      </c>
      <c r="AM174" s="60"/>
    </row>
    <row r="175">
      <c r="A175" s="151" t="str">
        <f>C170</f>
        <v>Nasli Vargas</v>
      </c>
      <c r="B175" s="151" t="str">
        <f>I170</f>
        <v>Y</v>
      </c>
      <c r="C175" s="147">
        <v>4.0</v>
      </c>
      <c r="D175" s="152" t="str">
        <f>IFERROR(__xludf.DUMMYFUNCTION("if(A175="""","""",iferror(filter(Schedule!$V:$V&amp;""-""&amp;Schedule!$W:$W,Schedule!$L:$L=A175,(Schedule!$J:$J="""")+(Schedule!$J:$J=B175),(Schedule!$K:$K=""a"")+(Schedule!$K:$K=""""),Schedule!$V:$V&lt;&gt;""""),""""))"),"")</f>
        <v/>
      </c>
      <c r="E175" s="152" t="str">
        <f>IFERROR(__xludf.DUMMYFUNCTION("if(A175="""","""",iferror(filter(Schedule!$M:$M&amp;""-""&amp;Schedule!$N:$N,Schedule!$L:$L=A175,(Schedule!$J:$J="""")+(Schedule!$J:$J=B175),(Schedule!$K:$K=""b"")+(Schedule!$K:$K=""""),Schedule!$M:$M&lt;&gt;""""),""""))"),"Sociales 7A-1")</f>
        <v>Sociales 7A-1</v>
      </c>
      <c r="F175" s="152" t="str">
        <f>IFERROR(__xludf.DUMMYFUNCTION("if(A175="""","""",iferror(filter(Schedule!$AB:$AB&amp;""-""&amp;Schedule!$AC:$AC,Schedule!$L:$L=A175,(Schedule!$J:$J="""")+(Schedule!$J:$J=B175),(Schedule!$K:$K=""a"")+(Schedule!$K:$K=""""),Schedule!$AB:$AB&lt;&gt;""""),""""))"),"")</f>
        <v/>
      </c>
      <c r="G175" s="152" t="str">
        <f>IFERROR(__xludf.DUMMYFUNCTION("if(A175="""","""",iferror(filter(Schedule!$S:$S&amp;""-""&amp;Schedule!$T:$T,Schedule!$L:$L=A175,(Schedule!$J:$J="""")+(Schedule!$J:$J=B175),(Schedule!$K:$K=""b"")+(Schedule!$K:$K=""""),Schedule!$S:$S&lt;&gt;""""),""""))"),"Sociales 6-4")</f>
        <v>Sociales 6-4</v>
      </c>
      <c r="H175" s="152" t="str">
        <f>IFERROR(__xludf.DUMMYFUNCTION("if(A175="""","""",iferror(filter(Schedule!$V:$V&amp;""-""&amp;Schedule!$W:$W,Schedule!$L:$L=A175,(Schedule!$J:$J="""")+(Schedule!$J:$J=B175),(Schedule!$K:$K=""b"")+(Schedule!$K:$K=""""),Schedule!$V:$V&lt;&gt;""""),""""))"),"")</f>
        <v/>
      </c>
      <c r="I175" s="60"/>
      <c r="J175" s="154"/>
      <c r="K175" s="151" t="str">
        <f>M170</f>
        <v/>
      </c>
      <c r="L175" s="151" t="str">
        <f>S170</f>
        <v/>
      </c>
      <c r="M175" s="147">
        <v>4.0</v>
      </c>
      <c r="N175" s="152" t="str">
        <f>IFERROR(__xludf.DUMMYFUNCTION("if(K175="""","""",iferror(filter(Schedule!$V:$V&amp;""-""&amp;Schedule!$W:$W,Schedule!$L:$L=K175,(Schedule!$J:$J="""")+(Schedule!$J:$J=L175),(Schedule!$K:$K=""a"")+(Schedule!$K:$K=""""),Schedule!$V:$V&lt;&gt;""""),""""))"),"")</f>
        <v/>
      </c>
      <c r="O175" s="152" t="str">
        <f>IFERROR(__xludf.DUMMYFUNCTION("if(K175="""","""",iferror(filter(Schedule!$M:$M&amp;""-""&amp;Schedule!$N:$N,Schedule!$L:$L=K175,(Schedule!$J:$J="""")+(Schedule!$J:$J=L175),(Schedule!$K:$K=""b"")+(Schedule!$K:$K=""""),Schedule!$M:$M&lt;&gt;""""),""""))"),"")</f>
        <v/>
      </c>
      <c r="P175" s="152" t="str">
        <f>IFERROR(__xludf.DUMMYFUNCTION("if(K175="""","""",iferror(filter(Schedule!$AB:$AB&amp;""-""&amp;Schedule!$AC:$AC,Schedule!$L:$L=K175,(Schedule!$J:$J="""")+(Schedule!$J:$J=L175),(Schedule!$K:$K=""a"")+(Schedule!$K:$K=""""),Schedule!$AB:$AB&lt;&gt;""""),""""))"),"")</f>
        <v/>
      </c>
      <c r="Q175" s="152" t="str">
        <f>IFERROR(__xludf.DUMMYFUNCTION("if(K175="""","""",iferror(filter(Schedule!$S:$S&amp;""-""&amp;Schedule!$T:$T,Schedule!$L:$L=K175,(Schedule!$J:$J="""")+(Schedule!$J:$J=L175),(Schedule!$K:$K=""b"")+(Schedule!$K:$K=""""),Schedule!$S:$S&lt;&gt;""""),""""))"),"")</f>
        <v/>
      </c>
      <c r="R175" s="152" t="str">
        <f>IFERROR(__xludf.DUMMYFUNCTION("if(K175="""","""",iferror(filter(Schedule!$V:$V&amp;""-""&amp;Schedule!$W:$W,Schedule!$L:$L=K175,(Schedule!$J:$J="""")+(Schedule!$J:$J=L175),(Schedule!$K:$K=""b"")+(Schedule!$K:$K=""""),Schedule!$V:$V&lt;&gt;""""),""""))"),"")</f>
        <v/>
      </c>
      <c r="S175" s="60"/>
      <c r="T175" s="155"/>
      <c r="U175" s="155" t="str">
        <f>W170</f>
        <v/>
      </c>
      <c r="V175" s="151" t="str">
        <f>AC170</f>
        <v/>
      </c>
      <c r="W175" s="147">
        <v>4.0</v>
      </c>
      <c r="X175" s="152" t="str">
        <f>IFERROR(__xludf.DUMMYFUNCTION("if(U175="""","""",iferror(filter(Schedule!$V:$V&amp;""-""&amp;Schedule!$W:$W,Schedule!$L:$L=U175,(Schedule!$J:$J="""")+(Schedule!$J:$J=V175),(Schedule!$K:$K=""a"")+(Schedule!$K:$K=""""),Schedule!$V:$V&lt;&gt;""""),""""))"),"")</f>
        <v/>
      </c>
      <c r="Y175" s="152" t="str">
        <f>IFERROR(__xludf.DUMMYFUNCTION("if(U175="""","""",iferror(filter(Schedule!$M:$M&amp;""-""&amp;Schedule!$N:$N,Schedule!$L:$L=U175,(Schedule!$J:$J="""")+(Schedule!$J:$J=V175),(Schedule!$K:$K=""b"")+(Schedule!$K:$K=""""),Schedule!$M:$M&lt;&gt;""""),""""))"),"")</f>
        <v/>
      </c>
      <c r="Z175" s="152" t="str">
        <f>IFERROR(__xludf.DUMMYFUNCTION("if(U175="""","""",iferror(filter(Schedule!$AB:$AB&amp;""-""&amp;Schedule!$AC:$AC,Schedule!$L:$L=U175,(Schedule!$J:$J="""")+(Schedule!$J:$J=V175),(Schedule!$K:$K=""a"")+(Schedule!$K:$K=""""),Schedule!$AB:$AB&lt;&gt;""""),""""))"),"")</f>
        <v/>
      </c>
      <c r="AA175" s="152" t="str">
        <f>IFERROR(__xludf.DUMMYFUNCTION("if(U175="""","""",iferror(filter(Schedule!$S:$S&amp;""-""&amp;Schedule!$T:$T,Schedule!$L:$L=U175,(Schedule!$J:$J="""")+(Schedule!$J:$J=V175),(Schedule!$K:$K=""b"")+(Schedule!$K:$K=""""),Schedule!$S:$S&lt;&gt;""""),""""))"),"")</f>
        <v/>
      </c>
      <c r="AB175" s="152" t="str">
        <f>IFERROR(__xludf.DUMMYFUNCTION("if(U175="""","""",iferror(filter(Schedule!$V:$V&amp;""-""&amp;Schedule!$W:$W,Schedule!$L:$L=U175,(Schedule!$J:$J="""")+(Schedule!$J:$J=V175),(Schedule!$K:$K=""b"")+(Schedule!$K:$K=""""),Schedule!$V:$V&lt;&gt;""""),""""))"),"")</f>
        <v/>
      </c>
      <c r="AC175" s="60"/>
      <c r="AD175" s="155"/>
      <c r="AE175" s="155" t="str">
        <f>AG170</f>
        <v/>
      </c>
      <c r="AF175" s="151" t="str">
        <f>AM170</f>
        <v/>
      </c>
      <c r="AG175" s="147">
        <v>4.0</v>
      </c>
      <c r="AH175" s="152" t="str">
        <f>IFERROR(__xludf.DUMMYFUNCTION("if(AE175="""","""",iferror(filter(Schedule!$V:$V&amp;""-""&amp;Schedule!$W:$W,Schedule!$L:$L=AE175,(Schedule!$J:$J="""")+(Schedule!$J:$J=AF175),(Schedule!$K:$K=""a"")+(Schedule!$K:$K=""""),Schedule!$V:$V&lt;&gt;""""),""""))"),"")</f>
        <v/>
      </c>
      <c r="AI175" s="152" t="str">
        <f>IFERROR(__xludf.DUMMYFUNCTION("if(AE175="""","""",iferror(filter(Schedule!$M:$M&amp;""-""&amp;Schedule!$N:$N,Schedule!$L:$L=AE175,(Schedule!$J:$J="""")+(Schedule!$J:$J=AF175),(Schedule!$K:$K=""b"")+(Schedule!$K:$K=""""),Schedule!$M:$M&lt;&gt;""""),""""))"),"")</f>
        <v/>
      </c>
      <c r="AJ175" s="152" t="str">
        <f>IFERROR(__xludf.DUMMYFUNCTION("if(AE175="""","""",iferror(filter(Schedule!$AB:$AB&amp;""-""&amp;Schedule!$AC:$AC,Schedule!$L:$L=AE175,(Schedule!$J:$J="""")+(Schedule!$J:$J=AF175),(Schedule!$K:$K=""a"")+(Schedule!$K:$K=""""),Schedule!$AB:$AB&lt;&gt;""""),""""))"),"")</f>
        <v/>
      </c>
      <c r="AK175" s="152" t="str">
        <f>IFERROR(__xludf.DUMMYFUNCTION("if(AE175="""","""",iferror(filter(Schedule!$S:$S&amp;""-""&amp;Schedule!$T:$T,Schedule!$L:$L=AE175,(Schedule!$J:$J="""")+(Schedule!$J:$J=AF175),(Schedule!$K:$K=""b"")+(Schedule!$K:$K=""""),Schedule!$S:$S&lt;&gt;""""),""""))"),"")</f>
        <v/>
      </c>
      <c r="AL175" s="152" t="str">
        <f>IFERROR(__xludf.DUMMYFUNCTION("if(AE175="""","""",iferror(filter(Schedule!$V:$V&amp;""-""&amp;Schedule!$W:$W,Schedule!$L:$L=AE175,(Schedule!$J:$J="""")+(Schedule!$J:$J=AF175),(Schedule!$K:$K=""b"")+(Schedule!$K:$K=""""),Schedule!$V:$V&lt;&gt;""""),""""))"),"")</f>
        <v/>
      </c>
      <c r="AM175" s="60"/>
    </row>
    <row r="176">
      <c r="A176" s="151" t="str">
        <f>C170</f>
        <v>Nasli Vargas</v>
      </c>
      <c r="B176" s="151" t="str">
        <f>I170</f>
        <v>Y</v>
      </c>
      <c r="C176" s="147">
        <v>5.0</v>
      </c>
      <c r="D176" s="152" t="str">
        <f>IFERROR(__xludf.DUMMYFUNCTION("if(A176="""","""",iferror(filter(Schedule!$Y:$Y&amp;""-""&amp;Schedule!$Z:$Z,Schedule!$L:$L=A176,(Schedule!$J:$J="""")+(Schedule!$J:$J=B176),(Schedule!$K:$K=""a"")+(Schedule!$K:$K=""""),Schedule!$Y:$Y&lt;&gt;""""),""""))"),"Sociales 7A-5")</f>
        <v>Sociales 7A-5</v>
      </c>
      <c r="E176" s="152" t="str">
        <f>IFERROR(__xludf.DUMMYFUNCTION("if(A176="""","""",iferror(filter(Schedule!$P:$P&amp;""-""&amp;Schedule!$Q:$Q,Schedule!$L:$L=A176,(Schedule!$J:$J="""")+(Schedule!$J:$J=B176),(Schedule!$K:$K=""b"")+(Schedule!$K:$K=""""),Schedule!$P:$P&lt;&gt;""""),""""))"),"Sociales 6A-3")</f>
        <v>Sociales 6A-3</v>
      </c>
      <c r="F176" s="152" t="str">
        <f>IFERROR(__xludf.DUMMYFUNCTION("if(A176="""","""",iferror(filter(Schedule!$V:$V&amp;""-""&amp;Schedule!$W:$W,Schedule!$L:$L=A176,(Schedule!$J:$J="""")+(Schedule!$J:$J=B176),(Schedule!$K:$K=""b"")+(Schedule!$K:$K=""""),Schedule!$V:$V&lt;&gt;""""),""""))"),"")</f>
        <v/>
      </c>
      <c r="G176" s="152" t="str">
        <f>IFERROR(__xludf.DUMMYFUNCTION("if(A176="""","""",iferror(filter(Schedule!$AB:$AB&amp;""-""&amp;Schedule!$AC:$AC,Schedule!$L:$L=A176,(Schedule!$J:$J="""")+(Schedule!$J:$J=B176),(Schedule!$K:$K=""b"")+(Schedule!$K:$K=""""),Schedule!$AB:$AB&lt;&gt;""""),""""))"),"")</f>
        <v/>
      </c>
      <c r="H176" s="152" t="str">
        <f>IFERROR(__xludf.DUMMYFUNCTION("if(A176="""","""",iferror(filter(Schedule!$M:$M&amp;""-""&amp;Schedule!$N:$N,Schedule!$L:$L=A176,(Schedule!$J:$J="""")+(Schedule!$J:$J=B176),(Schedule!$K:$K=""b"")+(Schedule!$K:$K=""""),Schedule!$M:$M&lt;&gt;""""),""""))"),"Sociales 7A-1")</f>
        <v>Sociales 7A-1</v>
      </c>
      <c r="I176" s="64"/>
      <c r="J176" s="154"/>
      <c r="K176" s="151" t="str">
        <f>M170</f>
        <v/>
      </c>
      <c r="L176" s="151" t="str">
        <f>S170</f>
        <v/>
      </c>
      <c r="M176" s="147">
        <v>5.0</v>
      </c>
      <c r="N176" s="152" t="str">
        <f>IFERROR(__xludf.DUMMYFUNCTION("if(K176="""","""",iferror(filter(Schedule!$Y:$Y&amp;""-""&amp;Schedule!$Z:$Z,Schedule!$L:$L=K176,(Schedule!$J:$J="""")+(Schedule!$J:$J=L176),(Schedule!$K:$K=""a"")+(Schedule!$K:$K=""""),Schedule!$Y:$Y&lt;&gt;""""),""""))"),"")</f>
        <v/>
      </c>
      <c r="O176" s="152" t="str">
        <f>IFERROR(__xludf.DUMMYFUNCTION("if(K176="""","""",iferror(filter(Schedule!$P:$P&amp;""-""&amp;Schedule!$Q:$Q,Schedule!$L:$L=K176,(Schedule!$J:$J="""")+(Schedule!$J:$J=L176),(Schedule!$K:$K=""b"")+(Schedule!$K:$K=""""),Schedule!$P:$P&lt;&gt;""""),""""))"),"")</f>
        <v/>
      </c>
      <c r="P176" s="152" t="str">
        <f>IFERROR(__xludf.DUMMYFUNCTION("if(K176="""","""",iferror(filter(Schedule!$V:$V&amp;""-""&amp;Schedule!$W:$W,Schedule!$L:$L=K176,(Schedule!$J:$J="""")+(Schedule!$J:$J=L176),(Schedule!$K:$K=""b"")+(Schedule!$K:$K=""""),Schedule!$V:$V&lt;&gt;""""),""""))"),"")</f>
        <v/>
      </c>
      <c r="Q176" s="152" t="str">
        <f>IFERROR(__xludf.DUMMYFUNCTION("if(K176="""","""",iferror(filter(Schedule!$AB:$AB&amp;""-""&amp;Schedule!$AC:$AC,Schedule!$L:$L=K176,(Schedule!$J:$J="""")+(Schedule!$J:$J=L176),(Schedule!$K:$K=""b"")+(Schedule!$K:$K=""""),Schedule!$AB:$AB&lt;&gt;""""),""""))"),"")</f>
        <v/>
      </c>
      <c r="R176" s="152" t="str">
        <f>IFERROR(__xludf.DUMMYFUNCTION("if(K176="""","""",iferror(filter(Schedule!$M:$M&amp;""-""&amp;Schedule!$N:$N,Schedule!$L:$L=K176,(Schedule!$J:$J="""")+(Schedule!$J:$J=L176),(Schedule!$K:$K=""b"")+(Schedule!$K:$K=""""),Schedule!$M:$M&lt;&gt;""""),""""))"),"")</f>
        <v/>
      </c>
      <c r="S176" s="64"/>
      <c r="T176" s="155"/>
      <c r="U176" s="155" t="str">
        <f>W170</f>
        <v/>
      </c>
      <c r="V176" s="151" t="str">
        <f>AC170</f>
        <v/>
      </c>
      <c r="W176" s="147">
        <v>5.0</v>
      </c>
      <c r="X176" s="152" t="str">
        <f>IFERROR(__xludf.DUMMYFUNCTION("if(U176="""","""",iferror(filter(Schedule!$Y:$Y&amp;""-""&amp;Schedule!$Z:$Z,Schedule!$L:$L=U176,(Schedule!$J:$J="""")+(Schedule!$J:$J=V176),(Schedule!$K:$K=""a"")+(Schedule!$K:$K=""""),Schedule!$Y:$Y&lt;&gt;""""),""""))"),"")</f>
        <v/>
      </c>
      <c r="Y176" s="152" t="str">
        <f>IFERROR(__xludf.DUMMYFUNCTION("if(U176="""","""",iferror(filter(Schedule!$P:$P&amp;""-""&amp;Schedule!$Q:$Q,Schedule!$L:$L=U176,(Schedule!$J:$J="""")+(Schedule!$J:$J=V176),(Schedule!$K:$K=""b"")+(Schedule!$K:$K=""""),Schedule!$P:$P&lt;&gt;""""),""""))"),"")</f>
        <v/>
      </c>
      <c r="Z176" s="152" t="str">
        <f>IFERROR(__xludf.DUMMYFUNCTION("if(U176="""","""",iferror(filter(Schedule!$V:$V&amp;""-""&amp;Schedule!$W:$W,Schedule!$L:$L=U176,(Schedule!$J:$J="""")+(Schedule!$J:$J=V176),(Schedule!$K:$K=""b"")+(Schedule!$K:$K=""""),Schedule!$V:$V&lt;&gt;""""),""""))"),"")</f>
        <v/>
      </c>
      <c r="AA176" s="152" t="str">
        <f>IFERROR(__xludf.DUMMYFUNCTION("if(U176="""","""",iferror(filter(Schedule!$AB:$AB&amp;""-""&amp;Schedule!$AC:$AC,Schedule!$L:$L=U176,(Schedule!$J:$J="""")+(Schedule!$J:$J=V176),(Schedule!$K:$K=""b"")+(Schedule!$K:$K=""""),Schedule!$AB:$AB&lt;&gt;""""),""""))"),"")</f>
        <v/>
      </c>
      <c r="AB176" s="152" t="str">
        <f>IFERROR(__xludf.DUMMYFUNCTION("if(U176="""","""",iferror(filter(Schedule!$M:$M&amp;""-""&amp;Schedule!$N:$N,Schedule!$L:$L=U176,(Schedule!$J:$J="""")+(Schedule!$J:$J=V176),(Schedule!$K:$K=""b"")+(Schedule!$K:$K=""""),Schedule!$M:$M&lt;&gt;""""),""""))"),"")</f>
        <v/>
      </c>
      <c r="AC176" s="64"/>
      <c r="AD176" s="155"/>
      <c r="AE176" s="155" t="str">
        <f>AG170</f>
        <v/>
      </c>
      <c r="AF176" s="151" t="str">
        <f>AM170</f>
        <v/>
      </c>
      <c r="AG176" s="147">
        <v>5.0</v>
      </c>
      <c r="AH176" s="152" t="str">
        <f>IFERROR(__xludf.DUMMYFUNCTION("if(AE176="""","""",iferror(filter(Schedule!$Y:$Y&amp;""-""&amp;Schedule!$Z:$Z,Schedule!$L:$L=AE176,(Schedule!$J:$J="""")+(Schedule!$J:$J=AF176),(Schedule!$K:$K=""a"")+(Schedule!$K:$K=""""),Schedule!$Y:$Y&lt;&gt;""""),""""))"),"")</f>
        <v/>
      </c>
      <c r="AI176" s="152" t="str">
        <f>IFERROR(__xludf.DUMMYFUNCTION("if(AE176="""","""",iferror(filter(Schedule!$P:$P&amp;""-""&amp;Schedule!$Q:$Q,Schedule!$L:$L=AE176,(Schedule!$J:$J="""")+(Schedule!$J:$J=AF176),(Schedule!$K:$K=""b"")+(Schedule!$K:$K=""""),Schedule!$P:$P&lt;&gt;""""),""""))"),"")</f>
        <v/>
      </c>
      <c r="AJ176" s="152" t="str">
        <f>IFERROR(__xludf.DUMMYFUNCTION("if(AE176="""","""",iferror(filter(Schedule!$V:$V&amp;""-""&amp;Schedule!$W:$W,Schedule!$L:$L=AE176,(Schedule!$J:$J="""")+(Schedule!$J:$J=AF176),(Schedule!$K:$K=""b"")+(Schedule!$K:$K=""""),Schedule!$V:$V&lt;&gt;""""),""""))"),"")</f>
        <v/>
      </c>
      <c r="AK176" s="152" t="str">
        <f>IFERROR(__xludf.DUMMYFUNCTION("if(AE176="""","""",iferror(filter(Schedule!$AB:$AB&amp;""-""&amp;Schedule!$AC:$AC,Schedule!$L:$L=AE176,(Schedule!$J:$J="""")+(Schedule!$J:$J=AF176),(Schedule!$K:$K=""b"")+(Schedule!$K:$K=""""),Schedule!$AB:$AB&lt;&gt;""""),""""))"),"")</f>
        <v/>
      </c>
      <c r="AL176" s="152" t="str">
        <f>IFERROR(__xludf.DUMMYFUNCTION("if(AE176="""","""",iferror(filter(Schedule!$M:$M&amp;""-""&amp;Schedule!$N:$N,Schedule!$L:$L=AE176,(Schedule!$J:$J="""")+(Schedule!$J:$J=AF176),(Schedule!$K:$K=""b"")+(Schedule!$K:$K=""""),Schedule!$M:$M&lt;&gt;""""),""""))"),"")</f>
        <v/>
      </c>
      <c r="AM176" s="64"/>
    </row>
    <row r="177">
      <c r="A177" s="11"/>
      <c r="B177" s="11"/>
      <c r="C177" s="156"/>
      <c r="D177" s="156"/>
      <c r="E177" s="156"/>
      <c r="F177" s="156"/>
      <c r="G177" s="156"/>
      <c r="H177" s="156"/>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c r="A178" s="5"/>
      <c r="B178" s="5"/>
      <c r="C178" s="140" t="str">
        <f>Teachers!A23</f>
        <v>Rachel McGarghan</v>
      </c>
      <c r="D178" s="141"/>
      <c r="E178" s="141"/>
      <c r="F178" s="141"/>
      <c r="G178" s="141"/>
      <c r="H178" s="142"/>
      <c r="I178" s="143" t="str">
        <f>IFERROR(__xludf.DUMMYFUNCTION("if(C178="""","""", iferror(unique(filter(Schedule!$J:$J,Schedule!$L:$L=$C178,Schedule!$J:$J=""Q1"")),iferror(unique(filter(Schedule!$J:$J,Schedule!$L:$L=$C178,Schedule!$J:$J=""S1"")),""Y"")))"),"Y")</f>
        <v>Y</v>
      </c>
      <c r="J178" s="11"/>
      <c r="K178" s="11"/>
      <c r="L178" s="11"/>
      <c r="M178" s="140" t="str">
        <f>if(S178="","",C178)</f>
        <v/>
      </c>
      <c r="N178" s="141"/>
      <c r="O178" s="141"/>
      <c r="P178" s="141"/>
      <c r="Q178" s="141"/>
      <c r="R178" s="142"/>
      <c r="S178" s="143" t="str">
        <f>if($I178="Q1","Q2",if($I178="S1","S2",""))</f>
        <v/>
      </c>
      <c r="T178" s="144"/>
      <c r="U178" s="144"/>
      <c r="V178" s="145"/>
      <c r="W178" s="140" t="str">
        <f>if(AC178="","",M178)</f>
        <v/>
      </c>
      <c r="X178" s="141"/>
      <c r="Y178" s="141"/>
      <c r="Z178" s="141"/>
      <c r="AA178" s="141"/>
      <c r="AB178" s="142"/>
      <c r="AC178" s="143" t="str">
        <f>if($I178="Q1","Q3","")</f>
        <v/>
      </c>
      <c r="AD178" s="144"/>
      <c r="AE178" s="144"/>
      <c r="AF178" s="145"/>
      <c r="AG178" s="140" t="str">
        <f>if(AC178="","",W178)</f>
        <v/>
      </c>
      <c r="AH178" s="141"/>
      <c r="AI178" s="141"/>
      <c r="AJ178" s="141"/>
      <c r="AK178" s="141"/>
      <c r="AL178" s="142"/>
      <c r="AM178" s="143" t="str">
        <f>if($I178="Q1","Q4","")</f>
        <v/>
      </c>
    </row>
    <row r="179">
      <c r="A179" s="146"/>
      <c r="B179" s="146"/>
      <c r="C179" s="147" t="s">
        <v>94</v>
      </c>
      <c r="D179" s="148" t="s">
        <v>95</v>
      </c>
      <c r="E179" s="148" t="s">
        <v>96</v>
      </c>
      <c r="F179" s="148" t="s">
        <v>97</v>
      </c>
      <c r="G179" s="148" t="s">
        <v>98</v>
      </c>
      <c r="H179" s="148" t="s">
        <v>99</v>
      </c>
      <c r="I179" s="148" t="s">
        <v>651</v>
      </c>
      <c r="J179" s="146"/>
      <c r="K179" s="146"/>
      <c r="L179" s="146"/>
      <c r="M179" s="147" t="s">
        <v>94</v>
      </c>
      <c r="N179" s="148" t="s">
        <v>95</v>
      </c>
      <c r="O179" s="148" t="s">
        <v>96</v>
      </c>
      <c r="P179" s="148" t="s">
        <v>97</v>
      </c>
      <c r="Q179" s="148" t="s">
        <v>98</v>
      </c>
      <c r="R179" s="148" t="s">
        <v>99</v>
      </c>
      <c r="S179" s="148" t="s">
        <v>651</v>
      </c>
      <c r="T179" s="149"/>
      <c r="U179" s="149"/>
      <c r="V179" s="150"/>
      <c r="W179" s="147" t="s">
        <v>94</v>
      </c>
      <c r="X179" s="148" t="s">
        <v>95</v>
      </c>
      <c r="Y179" s="148" t="s">
        <v>96</v>
      </c>
      <c r="Z179" s="148" t="s">
        <v>97</v>
      </c>
      <c r="AA179" s="148" t="s">
        <v>98</v>
      </c>
      <c r="AB179" s="148" t="s">
        <v>99</v>
      </c>
      <c r="AC179" s="148" t="s">
        <v>651</v>
      </c>
      <c r="AD179" s="149"/>
      <c r="AE179" s="149"/>
      <c r="AF179" s="150"/>
      <c r="AG179" s="147" t="s">
        <v>94</v>
      </c>
      <c r="AH179" s="148" t="s">
        <v>95</v>
      </c>
      <c r="AI179" s="148" t="s">
        <v>96</v>
      </c>
      <c r="AJ179" s="148" t="s">
        <v>97</v>
      </c>
      <c r="AK179" s="148" t="s">
        <v>98</v>
      </c>
      <c r="AL179" s="148" t="s">
        <v>99</v>
      </c>
      <c r="AM179" s="148" t="s">
        <v>651</v>
      </c>
    </row>
    <row r="180">
      <c r="A180" s="151" t="str">
        <f>C178</f>
        <v>Rachel McGarghan</v>
      </c>
      <c r="B180" s="151" t="str">
        <f>I178</f>
        <v>Y</v>
      </c>
      <c r="C180" s="147">
        <v>1.0</v>
      </c>
      <c r="D180" s="152" t="str">
        <f>IFERROR(__xludf.DUMMYFUNCTION("if(A180="""","""",iferror(filter(Schedule!$M:$M&amp;""-""&amp;Schedule!$N:$N,Schedule!$L:$L=A180,(Schedule!$J:$J="""")+(Schedule!$J:$J=B180),(Schedule!$K:$K=""a"")+(Schedule!$K:$K=""""),Schedule!$M:$M&lt;&gt;""""),""""))"),"Math 8-1")</f>
        <v>Math 8-1</v>
      </c>
      <c r="E180" s="152" t="str">
        <f>IFERROR(__xludf.DUMMYFUNCTION("if(A180="""","""",iferror(filter(Schedule!$AB:$AB&amp;""-""&amp;Schedule!$AC:$AC,Schedule!$L:$L=A180,(Schedule!$J:$J="""")+(Schedule!$J:$J=B180),(Schedule!$K:$K=""b"")+(Schedule!$K:$K=""""),Schedule!$AB:$AB&lt;&gt;""""),""""))"),"")</f>
        <v/>
      </c>
      <c r="F180" s="152" t="str">
        <f>IFERROR(__xludf.DUMMYFUNCTION("if(A180="""","""",iferror(filter(Schedule!$S:$S&amp;""-""&amp;Schedule!$T:$T,Schedule!$L:$L=A180,(Schedule!$J:$J="""")+(Schedule!$J:$J=B180),(Schedule!$K:$K=""a"")+(Schedule!$K:$K=""""),Schedule!$S:$S&lt;&gt;""""),""""))"),"Algebra-1")</f>
        <v>Algebra-1</v>
      </c>
      <c r="G180" s="152" t="str">
        <f>IFERROR(__xludf.DUMMYFUNCTION("if(A180="""","""",iferror(filter(Schedule!$V:$V&amp;""-""&amp;Schedule!$W:$W,Schedule!$L:$L=A180,(Schedule!$J:$J="""")+(Schedule!$J:$J=B180),(Schedule!$K:$K=""a"")+(Schedule!$K:$K=""""),Schedule!$V:$V&lt;&gt;""""),""""))"),"Algebra-2")</f>
        <v>Algebra-2</v>
      </c>
      <c r="H180" s="152" t="str">
        <f>IFERROR(__xludf.DUMMYFUNCTION("if(A180="""","""",iferror(filter(Schedule!$Y:$Y&amp;""-""&amp;Schedule!$Z:$Z,Schedule!$L:$L=A180,(Schedule!$J:$J="""")+(Schedule!$J:$J=B180),(Schedule!$K:$K=""b"")+(Schedule!$K:$K=""""),Schedule!$Y:$Y&lt;&gt;""""),""""))"),"Algebra-3")</f>
        <v>Algebra-3</v>
      </c>
      <c r="I180" s="153">
        <f>if(C178="","", 24-countifs(D180:H184,""))</f>
        <v>16</v>
      </c>
      <c r="J180" s="154"/>
      <c r="K180" s="151" t="str">
        <f>M178</f>
        <v/>
      </c>
      <c r="L180" s="151" t="str">
        <f>S178</f>
        <v/>
      </c>
      <c r="M180" s="147">
        <v>1.0</v>
      </c>
      <c r="N180" s="152" t="str">
        <f>IFERROR(__xludf.DUMMYFUNCTION("if(K180="""","""",iferror(filter(Schedule!$M:$M&amp;""-""&amp;Schedule!$N:$N,Schedule!$L:$L=K180,(Schedule!$J:$J="""")+(Schedule!$J:$J=L180),(Schedule!$K:$K=""a"")+(Schedule!$K:$K=""""),Schedule!$M:$M&lt;&gt;""""),""""))"),"")</f>
        <v/>
      </c>
      <c r="O180" s="152" t="str">
        <f>IFERROR(__xludf.DUMMYFUNCTION("if(K180="""","""",iferror(filter(Schedule!$AB:$AB&amp;""-""&amp;Schedule!$AC:$AC,Schedule!$L:$L=K180,(Schedule!$J:$J="""")+(Schedule!$J:$J=L180),(Schedule!$K:$K=""b"")+(Schedule!$K:$K=""""),Schedule!$AB:$AB&lt;&gt;""""),""""))"),"")</f>
        <v/>
      </c>
      <c r="P180" s="152" t="str">
        <f>IFERROR(__xludf.DUMMYFUNCTION("if(K180="""","""",iferror(filter(Schedule!$S:$S&amp;""-""&amp;Schedule!$T:$T,Schedule!$L:$L=K180,(Schedule!$J:$J="""")+(Schedule!$J:$J=L180),(Schedule!$K:$K=""a"")+(Schedule!$K:$K=""""),Schedule!$S:$S&lt;&gt;""""),""""))"),"")</f>
        <v/>
      </c>
      <c r="Q180" s="152" t="str">
        <f>IFERROR(__xludf.DUMMYFUNCTION("if(K180="""","""",iferror(filter(Schedule!$V:$V&amp;""-""&amp;Schedule!$W:$W,Schedule!$L:$L=K180,(Schedule!$J:$J="""")+(Schedule!$J:$J=L180),(Schedule!$K:$K=""a"")+(Schedule!$K:$K=""""),Schedule!$V:$V&lt;&gt;""""),""""))"),"")</f>
        <v/>
      </c>
      <c r="R180" s="152" t="str">
        <f>IFERROR(__xludf.DUMMYFUNCTION("if(K180="""","""",iferror(filter(Schedule!$Y:$Y&amp;""-""&amp;Schedule!$Z:$Z,Schedule!$L:$L=K180,(Schedule!$J:$J="""")+(Schedule!$J:$J=L180),(Schedule!$K:$K=""b"")+(Schedule!$K:$K=""""),Schedule!$Y:$Y&lt;&gt;""""),""""))"),"")</f>
        <v/>
      </c>
      <c r="S180" s="153" t="str">
        <f>if(K180="","", 24-countifs(N180:R184,""))</f>
        <v/>
      </c>
      <c r="T180" s="155"/>
      <c r="U180" s="155" t="str">
        <f>W178</f>
        <v/>
      </c>
      <c r="V180" s="151" t="str">
        <f>AC178</f>
        <v/>
      </c>
      <c r="W180" s="147">
        <v>1.0</v>
      </c>
      <c r="X180" s="152" t="str">
        <f>IFERROR(__xludf.DUMMYFUNCTION("if(U180="""","""",iferror(filter(Schedule!$M:$M&amp;""-""&amp;Schedule!$N:$N,Schedule!$L:$L=U180,(Schedule!$J:$J="""")+(Schedule!$J:$J=V180),(Schedule!$K:$K=""a"")+(Schedule!$K:$K=""""),Schedule!$M:$M&lt;&gt;""""),""""))"),"")</f>
        <v/>
      </c>
      <c r="Y180" s="152" t="str">
        <f>IFERROR(__xludf.DUMMYFUNCTION("if(U180="""","""",iferror(filter(Schedule!$AB:$AB&amp;""-""&amp;Schedule!$AC:$AC,Schedule!$L:$L=U180,(Schedule!$J:$J="""")+(Schedule!$J:$J=V180),(Schedule!$K:$K=""b"")+(Schedule!$K:$K=""""),Schedule!$AB:$AB&lt;&gt;""""),""""))"),"")</f>
        <v/>
      </c>
      <c r="Z180" s="152" t="str">
        <f>IFERROR(__xludf.DUMMYFUNCTION("if(U180="""","""",iferror(filter(Schedule!$S:$S&amp;""-""&amp;Schedule!$T:$T,Schedule!$L:$L=U180,(Schedule!$J:$J="""")+(Schedule!$J:$J=V180),(Schedule!$K:$K=""a"")+(Schedule!$K:$K=""""),Schedule!$S:$S&lt;&gt;""""),""""))"),"")</f>
        <v/>
      </c>
      <c r="AA180" s="152" t="str">
        <f>IFERROR(__xludf.DUMMYFUNCTION("if(U180="""","""",iferror(filter(Schedule!$V:$V&amp;""-""&amp;Schedule!$W:$W,Schedule!$L:$L=U180,(Schedule!$J:$J="""")+(Schedule!$J:$J=V180),(Schedule!$K:$K=""a"")+(Schedule!$K:$K=""""),Schedule!$V:$V&lt;&gt;""""),""""))"),"")</f>
        <v/>
      </c>
      <c r="AB180" s="152" t="str">
        <f>IFERROR(__xludf.DUMMYFUNCTION("if(U180="""","""",iferror(filter(Schedule!$Y:$Y&amp;""-""&amp;Schedule!$Z:$Z,Schedule!$L:$L=U180,(Schedule!$J:$J="""")+(Schedule!$J:$J=V180),(Schedule!$K:$K=""b"")+(Schedule!$K:$K=""""),Schedule!$Y:$Y&lt;&gt;""""),""""))"),"")</f>
        <v/>
      </c>
      <c r="AC180" s="153" t="str">
        <f>if(U180="","", 24-countifs(X180:AB184,""))</f>
        <v/>
      </c>
      <c r="AD180" s="155"/>
      <c r="AE180" s="155" t="str">
        <f>AG178</f>
        <v/>
      </c>
      <c r="AF180" s="151" t="str">
        <f>AM178</f>
        <v/>
      </c>
      <c r="AG180" s="147">
        <v>1.0</v>
      </c>
      <c r="AH180" s="152" t="str">
        <f>IFERROR(__xludf.DUMMYFUNCTION("if(AE180="""","""",iferror(filter(Schedule!$M:$M&amp;""-""&amp;Schedule!$N:$N,Schedule!$L:$L=AE180,(Schedule!$J:$J="""")+(Schedule!$J:$J=AF180),(Schedule!$K:$K=""a"")+(Schedule!$K:$K=""""),Schedule!$M:$M&lt;&gt;""""),""""))"),"")</f>
        <v/>
      </c>
      <c r="AI180" s="152" t="str">
        <f>IFERROR(__xludf.DUMMYFUNCTION("if(AE180="""","""",iferror(filter(Schedule!$AB:$AB&amp;""-""&amp;Schedule!$AC:$AC,Schedule!$L:$L=AE180,(Schedule!$J:$J="""")+(Schedule!$J:$J=AF180),(Schedule!$K:$K=""b"")+(Schedule!$K:$K=""""),Schedule!$AB:$AB&lt;&gt;""""),""""))"),"")</f>
        <v/>
      </c>
      <c r="AJ180" s="152" t="str">
        <f>IFERROR(__xludf.DUMMYFUNCTION("if(AE180="""","""",iferror(filter(Schedule!$S:$S&amp;""-""&amp;Schedule!$T:$T,Schedule!$L:$L=AE180,(Schedule!$J:$J="""")+(Schedule!$J:$J=AF180),(Schedule!$K:$K=""a"")+(Schedule!$K:$K=""""),Schedule!$S:$S&lt;&gt;""""),""""))"),"")</f>
        <v/>
      </c>
      <c r="AK180" s="152" t="str">
        <f>IFERROR(__xludf.DUMMYFUNCTION("if(AE180="""","""",iferror(filter(Schedule!$V:$V&amp;""-""&amp;Schedule!$W:$W,Schedule!$L:$L=AE180,(Schedule!$J:$J="""")+(Schedule!$J:$J=AF180),(Schedule!$K:$K=""a"")+(Schedule!$K:$K=""""),Schedule!$V:$V&lt;&gt;""""),""""))"),"")</f>
        <v/>
      </c>
      <c r="AL180" s="152" t="str">
        <f>IFERROR(__xludf.DUMMYFUNCTION("if(AE180="""","""",iferror(filter(Schedule!$Y:$Y&amp;""-""&amp;Schedule!$Z:$Z,Schedule!$L:$L=AE180,(Schedule!$J:$J="""")+(Schedule!$J:$J=AF180),(Schedule!$K:$K=""b"")+(Schedule!$K:$K=""""),Schedule!$Y:$Y&lt;&gt;""""),""""))"),"")</f>
        <v/>
      </c>
      <c r="AM180" s="153" t="str">
        <f>if(AE180="","", 24-countifs(AH180:AL184,""))</f>
        <v/>
      </c>
    </row>
    <row r="181">
      <c r="A181" s="151" t="str">
        <f>C178</f>
        <v>Rachel McGarghan</v>
      </c>
      <c r="B181" s="151" t="str">
        <f>I178</f>
        <v>Y</v>
      </c>
      <c r="C181" s="147">
        <v>2.0</v>
      </c>
      <c r="D181" s="152" t="str">
        <f>IFERROR(__xludf.DUMMYFUNCTION("if(A181="""","""",iferror(filter(Schedule!$P:$P&amp;""-""&amp;Schedule!$Q:$Q,Schedule!$L:$L=A181,(Schedule!$J:$J="""")+(Schedule!$J:$J=B181),(Schedule!$K:$K=""a"")+(Schedule!$K:$K=""""),Schedule!$P:$P&lt;&gt;""""),""""))"),"")</f>
        <v/>
      </c>
      <c r="E181" s="152" t="str">
        <f>IFERROR(__xludf.DUMMYFUNCTION("if(A181="""","""",iferror(filter(Schedule!$Y:$Y&amp;""-""&amp;Schedule!$Z:$Z,Schedule!$L:$L=A181,(Schedule!$J:$J="""")+(Schedule!$J:$J=B181),(Schedule!$K:$K=""b"")+(Schedule!$K:$K=""""),Schedule!$Y:$Y&lt;&gt;""""),""""))"),"Algebra-3")</f>
        <v>Algebra-3</v>
      </c>
      <c r="F181" s="152" t="str">
        <f>IFERROR(__xludf.DUMMYFUNCTION("if(A181="""","""",iferror(filter(Schedule!$P:$P&amp;""-""&amp;Schedule!$Q:$Q,Schedule!$L:$L=A181,(Schedule!$J:$J="""")+(Schedule!$J:$J=B181),(Schedule!$K:$K=""a"")+(Schedule!$K:$K=""""),Schedule!$P:$P&lt;&gt;""""),""""))"),"")</f>
        <v/>
      </c>
      <c r="G181" s="152" t="str">
        <f>IFERROR(__xludf.DUMMYFUNCTION("if(A181="""","""",iferror(filter(Schedule!$M:$M&amp;""-""&amp;Schedule!$N:$N,Schedule!$L:$L=A181,(Schedule!$J:$J="""")+(Schedule!$J:$J=B181),(Schedule!$K:$K=""a"")+(Schedule!$K:$K=""""),Schedule!$M:$M&lt;&gt;""""),""""))"),"Math 8-1")</f>
        <v>Math 8-1</v>
      </c>
      <c r="H181" s="152" t="str">
        <f>IFERROR(__xludf.DUMMYFUNCTION("if(A181="""","""",iferror(filter(Schedule!$AB:$AB&amp;""-""&amp;Schedule!$AC:$AC,Schedule!$L:$L=A181,(Schedule!$J:$J="""")+(Schedule!$J:$J=B181),(Schedule!$K:$K=""a"")+(Schedule!$K:$K=""""),Schedule!$AB:$AB&lt;&gt;""""),""""))"),"")</f>
        <v/>
      </c>
      <c r="I181" s="60"/>
      <c r="J181" s="154"/>
      <c r="K181" s="151" t="str">
        <f>M178</f>
        <v/>
      </c>
      <c r="L181" s="151" t="str">
        <f>S178</f>
        <v/>
      </c>
      <c r="M181" s="147">
        <v>2.0</v>
      </c>
      <c r="N181" s="152" t="str">
        <f>IFERROR(__xludf.DUMMYFUNCTION("if(K181="""","""",iferror(filter(Schedule!$P:$P&amp;""-""&amp;Schedule!$Q:$Q,Schedule!$L:$L=K181,(Schedule!$J:$J="""")+(Schedule!$J:$J=L181),(Schedule!$K:$K=""a"")+(Schedule!$K:$K=""""),Schedule!$P:$P&lt;&gt;""""),""""))"),"")</f>
        <v/>
      </c>
      <c r="O181" s="152" t="str">
        <f>IFERROR(__xludf.DUMMYFUNCTION("if(K181="""","""",iferror(filter(Schedule!$Y:$Y&amp;""-""&amp;Schedule!$Z:$Z,Schedule!$L:$L=K181,(Schedule!$J:$J="""")+(Schedule!$J:$J=L181),(Schedule!$K:$K=""b"")+(Schedule!$K:$K=""""),Schedule!$Y:$Y&lt;&gt;""""),""""))"),"")</f>
        <v/>
      </c>
      <c r="P181" s="152" t="str">
        <f>IFERROR(__xludf.DUMMYFUNCTION("if(K181="""","""",iferror(filter(Schedule!$P:$P&amp;""-""&amp;Schedule!$Q:$Q,Schedule!$L:$L=K181,(Schedule!$J:$J="""")+(Schedule!$J:$J=L181),(Schedule!$K:$K=""a"")+(Schedule!$K:$K=""""),Schedule!$P:$P&lt;&gt;""""),""""))"),"")</f>
        <v/>
      </c>
      <c r="Q181" s="152" t="str">
        <f>IFERROR(__xludf.DUMMYFUNCTION("if(K181="""","""",iferror(filter(Schedule!$M:$M&amp;""-""&amp;Schedule!$N:$N,Schedule!$L:$L=K181,(Schedule!$J:$J="""")+(Schedule!$J:$J=L181),(Schedule!$K:$K=""a"")+(Schedule!$K:$K=""""),Schedule!$M:$M&lt;&gt;""""),""""))"),"")</f>
        <v/>
      </c>
      <c r="R181" s="152" t="str">
        <f>IFERROR(__xludf.DUMMYFUNCTION("if(K181="""","""",iferror(filter(Schedule!$AB:$AB&amp;""-""&amp;Schedule!$AC:$AC,Schedule!$L:$L=K181,(Schedule!$J:$J="""")+(Schedule!$J:$J=L181),(Schedule!$K:$K=""a"")+(Schedule!$K:$K=""""),Schedule!$AB:$AB&lt;&gt;""""),""""))"),"")</f>
        <v/>
      </c>
      <c r="S181" s="60"/>
      <c r="T181" s="155"/>
      <c r="U181" s="155" t="str">
        <f>W178</f>
        <v/>
      </c>
      <c r="V181" s="151" t="str">
        <f>AC178</f>
        <v/>
      </c>
      <c r="W181" s="147">
        <v>2.0</v>
      </c>
      <c r="X181" s="152" t="str">
        <f>IFERROR(__xludf.DUMMYFUNCTION("if(U181="""","""",iferror(filter(Schedule!$P:$P&amp;""-""&amp;Schedule!$Q:$Q,Schedule!$L:$L=U181,(Schedule!$J:$J="""")+(Schedule!$J:$J=V181),(Schedule!$K:$K=""a"")+(Schedule!$K:$K=""""),Schedule!$P:$P&lt;&gt;""""),""""))"),"")</f>
        <v/>
      </c>
      <c r="Y181" s="152" t="str">
        <f>IFERROR(__xludf.DUMMYFUNCTION("if(U181="""","""",iferror(filter(Schedule!$Y:$Y&amp;""-""&amp;Schedule!$Z:$Z,Schedule!$L:$L=U181,(Schedule!$J:$J="""")+(Schedule!$J:$J=V181),(Schedule!$K:$K=""b"")+(Schedule!$K:$K=""""),Schedule!$Y:$Y&lt;&gt;""""),""""))"),"")</f>
        <v/>
      </c>
      <c r="Z181" s="152" t="str">
        <f>IFERROR(__xludf.DUMMYFUNCTION("if(U181="""","""",iferror(filter(Schedule!$P:$P&amp;""-""&amp;Schedule!$Q:$Q,Schedule!$L:$L=U181,(Schedule!$J:$J="""")+(Schedule!$J:$J=V181),(Schedule!$K:$K=""a"")+(Schedule!$K:$K=""""),Schedule!$P:$P&lt;&gt;""""),""""))"),"")</f>
        <v/>
      </c>
      <c r="AA181" s="152" t="str">
        <f>IFERROR(__xludf.DUMMYFUNCTION("if(U181="""","""",iferror(filter(Schedule!$M:$M&amp;""-""&amp;Schedule!$N:$N,Schedule!$L:$L=U181,(Schedule!$J:$J="""")+(Schedule!$J:$J=V181),(Schedule!$K:$K=""a"")+(Schedule!$K:$K=""""),Schedule!$M:$M&lt;&gt;""""),""""))"),"")</f>
        <v/>
      </c>
      <c r="AB181" s="152" t="str">
        <f>IFERROR(__xludf.DUMMYFUNCTION("if(U181="""","""",iferror(filter(Schedule!$AB:$AB&amp;""-""&amp;Schedule!$AC:$AC,Schedule!$L:$L=U181,(Schedule!$J:$J="""")+(Schedule!$J:$J=V181),(Schedule!$K:$K=""a"")+(Schedule!$K:$K=""""),Schedule!$AB:$AB&lt;&gt;""""),""""))"),"")</f>
        <v/>
      </c>
      <c r="AC181" s="60"/>
      <c r="AD181" s="155"/>
      <c r="AE181" s="155" t="str">
        <f>AG178</f>
        <v/>
      </c>
      <c r="AF181" s="151" t="str">
        <f>AM178</f>
        <v/>
      </c>
      <c r="AG181" s="147">
        <v>2.0</v>
      </c>
      <c r="AH181" s="152" t="str">
        <f>IFERROR(__xludf.DUMMYFUNCTION("if(AE181="""","""",iferror(filter(Schedule!$P:$P&amp;""-""&amp;Schedule!$Q:$Q,Schedule!$L:$L=AE181,(Schedule!$J:$J="""")+(Schedule!$J:$J=AF181),(Schedule!$K:$K=""a"")+(Schedule!$K:$K=""""),Schedule!$P:$P&lt;&gt;""""),""""))"),"")</f>
        <v/>
      </c>
      <c r="AI181" s="152" t="str">
        <f>IFERROR(__xludf.DUMMYFUNCTION("if(AE181="""","""",iferror(filter(Schedule!$Y:$Y&amp;""-""&amp;Schedule!$Z:$Z,Schedule!$L:$L=AE181,(Schedule!$J:$J="""")+(Schedule!$J:$J=AF181),(Schedule!$K:$K=""b"")+(Schedule!$K:$K=""""),Schedule!$Y:$Y&lt;&gt;""""),""""))"),"")</f>
        <v/>
      </c>
      <c r="AJ181" s="152" t="str">
        <f>IFERROR(__xludf.DUMMYFUNCTION("if(AE181="""","""",iferror(filter(Schedule!$P:$P&amp;""-""&amp;Schedule!$Q:$Q,Schedule!$L:$L=AE181,(Schedule!$J:$J="""")+(Schedule!$J:$J=AF181),(Schedule!$K:$K=""a"")+(Schedule!$K:$K=""""),Schedule!$P:$P&lt;&gt;""""),""""))"),"")</f>
        <v/>
      </c>
      <c r="AK181" s="152" t="str">
        <f>IFERROR(__xludf.DUMMYFUNCTION("if(AE181="""","""",iferror(filter(Schedule!$M:$M&amp;""-""&amp;Schedule!$N:$N,Schedule!$L:$L=AE181,(Schedule!$J:$J="""")+(Schedule!$J:$J=AF181),(Schedule!$K:$K=""a"")+(Schedule!$K:$K=""""),Schedule!$M:$M&lt;&gt;""""),""""))"),"")</f>
        <v/>
      </c>
      <c r="AL181" s="152" t="str">
        <f>IFERROR(__xludf.DUMMYFUNCTION("if(AE181="""","""",iferror(filter(Schedule!$AB:$AB&amp;""-""&amp;Schedule!$AC:$AC,Schedule!$L:$L=AE181,(Schedule!$J:$J="""")+(Schedule!$J:$J=AF181),(Schedule!$K:$K=""a"")+(Schedule!$K:$K=""""),Schedule!$AB:$AB&lt;&gt;""""),""""))"),"")</f>
        <v/>
      </c>
      <c r="AM181" s="60"/>
    </row>
    <row r="182">
      <c r="A182" s="151" t="str">
        <f>C178</f>
        <v>Rachel McGarghan</v>
      </c>
      <c r="B182" s="151" t="str">
        <f>I178</f>
        <v>Y</v>
      </c>
      <c r="C182" s="147">
        <v>3.0</v>
      </c>
      <c r="D182" s="152" t="str">
        <f>IFERROR(__xludf.DUMMYFUNCTION("if(A182="""","""",iferror(filter(Schedule!$S:$S&amp;""-""&amp;Schedule!$T:$T,Schedule!$L:$L=A182,(Schedule!$J:$J="""")+(Schedule!$J:$J=B182),(Schedule!$K:$K=""a"")+(Schedule!$K:$K=""""),Schedule!$S:$S&lt;&gt;""""),""""))"),"Algebra-1")</f>
        <v>Algebra-1</v>
      </c>
      <c r="E182" s="152" t="str">
        <f>IFERROR(__xludf.DUMMYFUNCTION("if(A182="""","""",iferror(filter(Schedule!$S:$S&amp;""-""&amp;Schedule!$T:$T,Schedule!$L:$L=A182,(Schedule!$J:$J="""")+(Schedule!$J:$J=B182),(Schedule!$K:$K=""b"")+(Schedule!$K:$K=""""),Schedule!$S:$S&lt;&gt;""""),""""))"),"Algebra-1")</f>
        <v>Algebra-1</v>
      </c>
      <c r="F182" s="152" t="str">
        <f>IFERROR(__xludf.DUMMYFUNCTION("if(A182="""","""",iferror(filter(Schedule!$Y:$Y&amp;""-""&amp;Schedule!$Z:$Z,Schedule!$L:$L=A182,(Schedule!$J:$J="""")+(Schedule!$J:$J=B182),(Schedule!$K:$K=""a"")+(Schedule!$K:$K=""""),Schedule!$Y:$Y&lt;&gt;""""),""""))"),"Algebra-3")</f>
        <v>Algebra-3</v>
      </c>
      <c r="G182" s="152" t="str">
        <f>IFERROR(__xludf.DUMMYFUNCTION("if(A182="""","""",iferror(filter(Schedule!$P:$P&amp;""-""&amp;Schedule!$Q:$Q,Schedule!$L:$L=A182,(Schedule!$J:$J="""")+(Schedule!$J:$J=B182),(Schedule!$K:$K=""b"")+(Schedule!$K:$K=""""),Schedule!$P:$P&lt;&gt;""""),""""))"),"")</f>
        <v/>
      </c>
      <c r="H182" s="152" t="str">
        <f>if(C178="","","X-Block")</f>
        <v>X-Block</v>
      </c>
      <c r="I182" s="60"/>
      <c r="J182" s="154"/>
      <c r="K182" s="151" t="str">
        <f>M178</f>
        <v/>
      </c>
      <c r="L182" s="151" t="str">
        <f>S178</f>
        <v/>
      </c>
      <c r="M182" s="147">
        <v>3.0</v>
      </c>
      <c r="N182" s="152" t="str">
        <f>IFERROR(__xludf.DUMMYFUNCTION("if(K182="""","""",iferror(filter(Schedule!$S:$S&amp;""-""&amp;Schedule!$T:$T,Schedule!$L:$L=K182,(Schedule!$J:$J="""")+(Schedule!$J:$J=L182),(Schedule!$K:$K=""a"")+(Schedule!$K:$K=""""),Schedule!$S:$S&lt;&gt;""""),""""))"),"")</f>
        <v/>
      </c>
      <c r="O182" s="152" t="str">
        <f>IFERROR(__xludf.DUMMYFUNCTION("if(K182="""","""",iferror(filter(Schedule!$S:$S&amp;""-""&amp;Schedule!$T:$T,Schedule!$L:$L=K182,(Schedule!$J:$J="""")+(Schedule!$J:$J=L182),(Schedule!$K:$K=""b"")+(Schedule!$K:$K=""""),Schedule!$S:$S&lt;&gt;""""),""""))"),"")</f>
        <v/>
      </c>
      <c r="P182" s="152" t="str">
        <f>IFERROR(__xludf.DUMMYFUNCTION("if(K182="""","""",iferror(filter(Schedule!$Y:$Y&amp;""-""&amp;Schedule!$Z:$Z,Schedule!$L:$L=K182,(Schedule!$J:$J="""")+(Schedule!$J:$J=L182),(Schedule!$K:$K=""a"")+(Schedule!$K:$K=""""),Schedule!$Y:$Y&lt;&gt;""""),""""))"),"")</f>
        <v/>
      </c>
      <c r="Q182" s="152" t="str">
        <f>IFERROR(__xludf.DUMMYFUNCTION("if(K182="""","""",iferror(filter(Schedule!$P:$P&amp;""-""&amp;Schedule!$Q:$Q,Schedule!$L:$L=K182,(Schedule!$J:$J="""")+(Schedule!$J:$J=L182),(Schedule!$K:$K=""b"")+(Schedule!$K:$K=""""),Schedule!$P:$P&lt;&gt;""""),""""))"),"")</f>
        <v/>
      </c>
      <c r="R182" s="152" t="str">
        <f>if(M178="","","X-Block")</f>
        <v/>
      </c>
      <c r="S182" s="60"/>
      <c r="T182" s="155"/>
      <c r="U182" s="155" t="str">
        <f>W178</f>
        <v/>
      </c>
      <c r="V182" s="151" t="str">
        <f>AC178</f>
        <v/>
      </c>
      <c r="W182" s="147">
        <v>3.0</v>
      </c>
      <c r="X182" s="152" t="str">
        <f>IFERROR(__xludf.DUMMYFUNCTION("if(U182="""","""",iferror(filter(Schedule!$S:$S&amp;""-""&amp;Schedule!$T:$T,Schedule!$L:$L=U182,(Schedule!$J:$J="""")+(Schedule!$J:$J=V182),(Schedule!$K:$K=""a"")+(Schedule!$K:$K=""""),Schedule!$S:$S&lt;&gt;""""),""""))"),"")</f>
        <v/>
      </c>
      <c r="Y182" s="152" t="str">
        <f>IFERROR(__xludf.DUMMYFUNCTION("if(U182="""","""",iferror(filter(Schedule!$S:$S&amp;""-""&amp;Schedule!$T:$T,Schedule!$L:$L=U182,(Schedule!$J:$J="""")+(Schedule!$J:$J=V182),(Schedule!$K:$K=""b"")+(Schedule!$K:$K=""""),Schedule!$S:$S&lt;&gt;""""),""""))"),"")</f>
        <v/>
      </c>
      <c r="Z182" s="152" t="str">
        <f>IFERROR(__xludf.DUMMYFUNCTION("if(U182="""","""",iferror(filter(Schedule!$Y:$Y&amp;""-""&amp;Schedule!$Z:$Z,Schedule!$L:$L=U182,(Schedule!$J:$J="""")+(Schedule!$J:$J=V182),(Schedule!$K:$K=""a"")+(Schedule!$K:$K=""""),Schedule!$Y:$Y&lt;&gt;""""),""""))"),"")</f>
        <v/>
      </c>
      <c r="AA182" s="152" t="str">
        <f>IFERROR(__xludf.DUMMYFUNCTION("if(U182="""","""",iferror(filter(Schedule!$P:$P&amp;""-""&amp;Schedule!$Q:$Q,Schedule!$L:$L=U182,(Schedule!$J:$J="""")+(Schedule!$J:$J=V182),(Schedule!$K:$K=""b"")+(Schedule!$K:$K=""""),Schedule!$P:$P&lt;&gt;""""),""""))"),"")</f>
        <v/>
      </c>
      <c r="AB182" s="152" t="str">
        <f>if(W178="","","X-Block")</f>
        <v/>
      </c>
      <c r="AC182" s="60"/>
      <c r="AD182" s="155"/>
      <c r="AE182" s="155" t="str">
        <f>AG178</f>
        <v/>
      </c>
      <c r="AF182" s="151" t="str">
        <f>AM178</f>
        <v/>
      </c>
      <c r="AG182" s="147">
        <v>3.0</v>
      </c>
      <c r="AH182" s="152" t="str">
        <f>IFERROR(__xludf.DUMMYFUNCTION("if(AE182="""","""",iferror(filter(Schedule!$S:$S&amp;""-""&amp;Schedule!$T:$T,Schedule!$L:$L=AE182,(Schedule!$J:$J="""")+(Schedule!$J:$J=AF182),(Schedule!$K:$K=""a"")+(Schedule!$K:$K=""""),Schedule!$S:$S&lt;&gt;""""),""""))"),"")</f>
        <v/>
      </c>
      <c r="AI182" s="152" t="str">
        <f>IFERROR(__xludf.DUMMYFUNCTION("if(AE182="""","""",iferror(filter(Schedule!$S:$S&amp;""-""&amp;Schedule!$T:$T,Schedule!$L:$L=AE182,(Schedule!$J:$J="""")+(Schedule!$J:$J=AF182),(Schedule!$K:$K=""b"")+(Schedule!$K:$K=""""),Schedule!$S:$S&lt;&gt;""""),""""))"),"")</f>
        <v/>
      </c>
      <c r="AJ182" s="152" t="str">
        <f>IFERROR(__xludf.DUMMYFUNCTION("if(AE182="""","""",iferror(filter(Schedule!$Y:$Y&amp;""-""&amp;Schedule!$Z:$Z,Schedule!$L:$L=AE182,(Schedule!$J:$J="""")+(Schedule!$J:$J=AF182),(Schedule!$K:$K=""a"")+(Schedule!$K:$K=""""),Schedule!$Y:$Y&lt;&gt;""""),""""))"),"")</f>
        <v/>
      </c>
      <c r="AK182" s="152" t="str">
        <f>IFERROR(__xludf.DUMMYFUNCTION("if(AE182="""","""",iferror(filter(Schedule!$P:$P&amp;""-""&amp;Schedule!$Q:$Q,Schedule!$L:$L=AE182,(Schedule!$J:$J="""")+(Schedule!$J:$J=AF182),(Schedule!$K:$K=""b"")+(Schedule!$K:$K=""""),Schedule!$P:$P&lt;&gt;""""),""""))"),"")</f>
        <v/>
      </c>
      <c r="AL182" s="152" t="str">
        <f>if(AG178="","","X-Block")</f>
        <v/>
      </c>
      <c r="AM182" s="60"/>
    </row>
    <row r="183">
      <c r="A183" s="151" t="str">
        <f>C178</f>
        <v>Rachel McGarghan</v>
      </c>
      <c r="B183" s="151" t="str">
        <f>I178</f>
        <v>Y</v>
      </c>
      <c r="C183" s="147">
        <v>4.0</v>
      </c>
      <c r="D183" s="152" t="str">
        <f>IFERROR(__xludf.DUMMYFUNCTION("if(A183="""","""",iferror(filter(Schedule!$V:$V&amp;""-""&amp;Schedule!$W:$W,Schedule!$L:$L=A183,(Schedule!$J:$J="""")+(Schedule!$J:$J=B183),(Schedule!$K:$K=""a"")+(Schedule!$K:$K=""""),Schedule!$V:$V&lt;&gt;""""),""""))"),"Algebra-2")</f>
        <v>Algebra-2</v>
      </c>
      <c r="E183" s="152" t="str">
        <f>IFERROR(__xludf.DUMMYFUNCTION("if(A183="""","""",iferror(filter(Schedule!$M:$M&amp;""-""&amp;Schedule!$N:$N,Schedule!$L:$L=A183,(Schedule!$J:$J="""")+(Schedule!$J:$J=B183),(Schedule!$K:$K=""b"")+(Schedule!$K:$K=""""),Schedule!$M:$M&lt;&gt;""""),""""))"),"Math 8-1")</f>
        <v>Math 8-1</v>
      </c>
      <c r="F183" s="152" t="str">
        <f>IFERROR(__xludf.DUMMYFUNCTION("if(A183="""","""",iferror(filter(Schedule!$AB:$AB&amp;""-""&amp;Schedule!$AC:$AC,Schedule!$L:$L=A183,(Schedule!$J:$J="""")+(Schedule!$J:$J=B183),(Schedule!$K:$K=""a"")+(Schedule!$K:$K=""""),Schedule!$AB:$AB&lt;&gt;""""),""""))"),"")</f>
        <v/>
      </c>
      <c r="G183" s="152" t="str">
        <f>IFERROR(__xludf.DUMMYFUNCTION("if(A183="""","""",iferror(filter(Schedule!$S:$S&amp;""-""&amp;Schedule!$T:$T,Schedule!$L:$L=A183,(Schedule!$J:$J="""")+(Schedule!$J:$J=B183),(Schedule!$K:$K=""b"")+(Schedule!$K:$K=""""),Schedule!$S:$S&lt;&gt;""""),""""))"),"Algebra-1")</f>
        <v>Algebra-1</v>
      </c>
      <c r="H183" s="152" t="str">
        <f>IFERROR(__xludf.DUMMYFUNCTION("if(A183="""","""",iferror(filter(Schedule!$V:$V&amp;""-""&amp;Schedule!$W:$W,Schedule!$L:$L=A183,(Schedule!$J:$J="""")+(Schedule!$J:$J=B183),(Schedule!$K:$K=""b"")+(Schedule!$K:$K=""""),Schedule!$V:$V&lt;&gt;""""),""""))"),"Algebra-2")</f>
        <v>Algebra-2</v>
      </c>
      <c r="I183" s="60"/>
      <c r="J183" s="154"/>
      <c r="K183" s="151" t="str">
        <f>M178</f>
        <v/>
      </c>
      <c r="L183" s="151" t="str">
        <f>S178</f>
        <v/>
      </c>
      <c r="M183" s="147">
        <v>4.0</v>
      </c>
      <c r="N183" s="152" t="str">
        <f>IFERROR(__xludf.DUMMYFUNCTION("if(K183="""","""",iferror(filter(Schedule!$V:$V&amp;""-""&amp;Schedule!$W:$W,Schedule!$L:$L=K183,(Schedule!$J:$J="""")+(Schedule!$J:$J=L183),(Schedule!$K:$K=""a"")+(Schedule!$K:$K=""""),Schedule!$V:$V&lt;&gt;""""),""""))"),"")</f>
        <v/>
      </c>
      <c r="O183" s="152" t="str">
        <f>IFERROR(__xludf.DUMMYFUNCTION("if(K183="""","""",iferror(filter(Schedule!$M:$M&amp;""-""&amp;Schedule!$N:$N,Schedule!$L:$L=K183,(Schedule!$J:$J="""")+(Schedule!$J:$J=L183),(Schedule!$K:$K=""b"")+(Schedule!$K:$K=""""),Schedule!$M:$M&lt;&gt;""""),""""))"),"")</f>
        <v/>
      </c>
      <c r="P183" s="152" t="str">
        <f>IFERROR(__xludf.DUMMYFUNCTION("if(K183="""","""",iferror(filter(Schedule!$AB:$AB&amp;""-""&amp;Schedule!$AC:$AC,Schedule!$L:$L=K183,(Schedule!$J:$J="""")+(Schedule!$J:$J=L183),(Schedule!$K:$K=""a"")+(Schedule!$K:$K=""""),Schedule!$AB:$AB&lt;&gt;""""),""""))"),"")</f>
        <v/>
      </c>
      <c r="Q183" s="152" t="str">
        <f>IFERROR(__xludf.DUMMYFUNCTION("if(K183="""","""",iferror(filter(Schedule!$S:$S&amp;""-""&amp;Schedule!$T:$T,Schedule!$L:$L=K183,(Schedule!$J:$J="""")+(Schedule!$J:$J=L183),(Schedule!$K:$K=""b"")+(Schedule!$K:$K=""""),Schedule!$S:$S&lt;&gt;""""),""""))"),"")</f>
        <v/>
      </c>
      <c r="R183" s="152" t="str">
        <f>IFERROR(__xludf.DUMMYFUNCTION("if(K183="""","""",iferror(filter(Schedule!$V:$V&amp;""-""&amp;Schedule!$W:$W,Schedule!$L:$L=K183,(Schedule!$J:$J="""")+(Schedule!$J:$J=L183),(Schedule!$K:$K=""b"")+(Schedule!$K:$K=""""),Schedule!$V:$V&lt;&gt;""""),""""))"),"")</f>
        <v/>
      </c>
      <c r="S183" s="60"/>
      <c r="T183" s="155"/>
      <c r="U183" s="155" t="str">
        <f>W178</f>
        <v/>
      </c>
      <c r="V183" s="151" t="str">
        <f>AC178</f>
        <v/>
      </c>
      <c r="W183" s="147">
        <v>4.0</v>
      </c>
      <c r="X183" s="152" t="str">
        <f>IFERROR(__xludf.DUMMYFUNCTION("if(U183="""","""",iferror(filter(Schedule!$V:$V&amp;""-""&amp;Schedule!$W:$W,Schedule!$L:$L=U183,(Schedule!$J:$J="""")+(Schedule!$J:$J=V183),(Schedule!$K:$K=""a"")+(Schedule!$K:$K=""""),Schedule!$V:$V&lt;&gt;""""),""""))"),"")</f>
        <v/>
      </c>
      <c r="Y183" s="152" t="str">
        <f>IFERROR(__xludf.DUMMYFUNCTION("if(U183="""","""",iferror(filter(Schedule!$M:$M&amp;""-""&amp;Schedule!$N:$N,Schedule!$L:$L=U183,(Schedule!$J:$J="""")+(Schedule!$J:$J=V183),(Schedule!$K:$K=""b"")+(Schedule!$K:$K=""""),Schedule!$M:$M&lt;&gt;""""),""""))"),"")</f>
        <v/>
      </c>
      <c r="Z183" s="152" t="str">
        <f>IFERROR(__xludf.DUMMYFUNCTION("if(U183="""","""",iferror(filter(Schedule!$AB:$AB&amp;""-""&amp;Schedule!$AC:$AC,Schedule!$L:$L=U183,(Schedule!$J:$J="""")+(Schedule!$J:$J=V183),(Schedule!$K:$K=""a"")+(Schedule!$K:$K=""""),Schedule!$AB:$AB&lt;&gt;""""),""""))"),"")</f>
        <v/>
      </c>
      <c r="AA183" s="152" t="str">
        <f>IFERROR(__xludf.DUMMYFUNCTION("if(U183="""","""",iferror(filter(Schedule!$S:$S&amp;""-""&amp;Schedule!$T:$T,Schedule!$L:$L=U183,(Schedule!$J:$J="""")+(Schedule!$J:$J=V183),(Schedule!$K:$K=""b"")+(Schedule!$K:$K=""""),Schedule!$S:$S&lt;&gt;""""),""""))"),"")</f>
        <v/>
      </c>
      <c r="AB183" s="152" t="str">
        <f>IFERROR(__xludf.DUMMYFUNCTION("if(U183="""","""",iferror(filter(Schedule!$V:$V&amp;""-""&amp;Schedule!$W:$W,Schedule!$L:$L=U183,(Schedule!$J:$J="""")+(Schedule!$J:$J=V183),(Schedule!$K:$K=""b"")+(Schedule!$K:$K=""""),Schedule!$V:$V&lt;&gt;""""),""""))"),"")</f>
        <v/>
      </c>
      <c r="AC183" s="60"/>
      <c r="AD183" s="155"/>
      <c r="AE183" s="155" t="str">
        <f>AG178</f>
        <v/>
      </c>
      <c r="AF183" s="151" t="str">
        <f>AM178</f>
        <v/>
      </c>
      <c r="AG183" s="147">
        <v>4.0</v>
      </c>
      <c r="AH183" s="152" t="str">
        <f>IFERROR(__xludf.DUMMYFUNCTION("if(AE183="""","""",iferror(filter(Schedule!$V:$V&amp;""-""&amp;Schedule!$W:$W,Schedule!$L:$L=AE183,(Schedule!$J:$J="""")+(Schedule!$J:$J=AF183),(Schedule!$K:$K=""a"")+(Schedule!$K:$K=""""),Schedule!$V:$V&lt;&gt;""""),""""))"),"")</f>
        <v/>
      </c>
      <c r="AI183" s="152" t="str">
        <f>IFERROR(__xludf.DUMMYFUNCTION("if(AE183="""","""",iferror(filter(Schedule!$M:$M&amp;""-""&amp;Schedule!$N:$N,Schedule!$L:$L=AE183,(Schedule!$J:$J="""")+(Schedule!$J:$J=AF183),(Schedule!$K:$K=""b"")+(Schedule!$K:$K=""""),Schedule!$M:$M&lt;&gt;""""),""""))"),"")</f>
        <v/>
      </c>
      <c r="AJ183" s="152" t="str">
        <f>IFERROR(__xludf.DUMMYFUNCTION("if(AE183="""","""",iferror(filter(Schedule!$AB:$AB&amp;""-""&amp;Schedule!$AC:$AC,Schedule!$L:$L=AE183,(Schedule!$J:$J="""")+(Schedule!$J:$J=AF183),(Schedule!$K:$K=""a"")+(Schedule!$K:$K=""""),Schedule!$AB:$AB&lt;&gt;""""),""""))"),"")</f>
        <v/>
      </c>
      <c r="AK183" s="152" t="str">
        <f>IFERROR(__xludf.DUMMYFUNCTION("if(AE183="""","""",iferror(filter(Schedule!$S:$S&amp;""-""&amp;Schedule!$T:$T,Schedule!$L:$L=AE183,(Schedule!$J:$J="""")+(Schedule!$J:$J=AF183),(Schedule!$K:$K=""b"")+(Schedule!$K:$K=""""),Schedule!$S:$S&lt;&gt;""""),""""))"),"")</f>
        <v/>
      </c>
      <c r="AL183" s="152" t="str">
        <f>IFERROR(__xludf.DUMMYFUNCTION("if(AE183="""","""",iferror(filter(Schedule!$V:$V&amp;""-""&amp;Schedule!$W:$W,Schedule!$L:$L=AE183,(Schedule!$J:$J="""")+(Schedule!$J:$J=AF183),(Schedule!$K:$K=""b"")+(Schedule!$K:$K=""""),Schedule!$V:$V&lt;&gt;""""),""""))"),"")</f>
        <v/>
      </c>
      <c r="AM183" s="60"/>
    </row>
    <row r="184">
      <c r="A184" s="151" t="str">
        <f>C178</f>
        <v>Rachel McGarghan</v>
      </c>
      <c r="B184" s="151" t="str">
        <f>I178</f>
        <v>Y</v>
      </c>
      <c r="C184" s="147">
        <v>5.0</v>
      </c>
      <c r="D184" s="152" t="str">
        <f>IFERROR(__xludf.DUMMYFUNCTION("if(A184="""","""",iferror(filter(Schedule!$Y:$Y&amp;""-""&amp;Schedule!$Z:$Z,Schedule!$L:$L=A184,(Schedule!$J:$J="""")+(Schedule!$J:$J=B184),(Schedule!$K:$K=""a"")+(Schedule!$K:$K=""""),Schedule!$Y:$Y&lt;&gt;""""),""""))"),"Algebra-3")</f>
        <v>Algebra-3</v>
      </c>
      <c r="E184" s="152" t="str">
        <f>IFERROR(__xludf.DUMMYFUNCTION("if(A184="""","""",iferror(filter(Schedule!$P:$P&amp;""-""&amp;Schedule!$Q:$Q,Schedule!$L:$L=A184,(Schedule!$J:$J="""")+(Schedule!$J:$J=B184),(Schedule!$K:$K=""b"")+(Schedule!$K:$K=""""),Schedule!$P:$P&lt;&gt;""""),""""))"),"")</f>
        <v/>
      </c>
      <c r="F184" s="152" t="str">
        <f>IFERROR(__xludf.DUMMYFUNCTION("if(A184="""","""",iferror(filter(Schedule!$V:$V&amp;""-""&amp;Schedule!$W:$W,Schedule!$L:$L=A184,(Schedule!$J:$J="""")+(Schedule!$J:$J=B184),(Schedule!$K:$K=""b"")+(Schedule!$K:$K=""""),Schedule!$V:$V&lt;&gt;""""),""""))"),"Algebra-2")</f>
        <v>Algebra-2</v>
      </c>
      <c r="G184" s="152" t="str">
        <f>IFERROR(__xludf.DUMMYFUNCTION("if(A184="""","""",iferror(filter(Schedule!$AB:$AB&amp;""-""&amp;Schedule!$AC:$AC,Schedule!$L:$L=A184,(Schedule!$J:$J="""")+(Schedule!$J:$J=B184),(Schedule!$K:$K=""b"")+(Schedule!$K:$K=""""),Schedule!$AB:$AB&lt;&gt;""""),""""))"),"")</f>
        <v/>
      </c>
      <c r="H184" s="152" t="str">
        <f>IFERROR(__xludf.DUMMYFUNCTION("if(A184="""","""",iferror(filter(Schedule!$M:$M&amp;""-""&amp;Schedule!$N:$N,Schedule!$L:$L=A184,(Schedule!$J:$J="""")+(Schedule!$J:$J=B184),(Schedule!$K:$K=""b"")+(Schedule!$K:$K=""""),Schedule!$M:$M&lt;&gt;""""),""""))"),"Math 8-1")</f>
        <v>Math 8-1</v>
      </c>
      <c r="I184" s="64"/>
      <c r="J184" s="154"/>
      <c r="K184" s="151" t="str">
        <f>M178</f>
        <v/>
      </c>
      <c r="L184" s="151" t="str">
        <f>S178</f>
        <v/>
      </c>
      <c r="M184" s="147">
        <v>5.0</v>
      </c>
      <c r="N184" s="152" t="str">
        <f>IFERROR(__xludf.DUMMYFUNCTION("if(K184="""","""",iferror(filter(Schedule!$Y:$Y&amp;""-""&amp;Schedule!$Z:$Z,Schedule!$L:$L=K184,(Schedule!$J:$J="""")+(Schedule!$J:$J=L184),(Schedule!$K:$K=""a"")+(Schedule!$K:$K=""""),Schedule!$Y:$Y&lt;&gt;""""),""""))"),"")</f>
        <v/>
      </c>
      <c r="O184" s="152" t="str">
        <f>IFERROR(__xludf.DUMMYFUNCTION("if(K184="""","""",iferror(filter(Schedule!$P:$P&amp;""-""&amp;Schedule!$Q:$Q,Schedule!$L:$L=K184,(Schedule!$J:$J="""")+(Schedule!$J:$J=L184),(Schedule!$K:$K=""b"")+(Schedule!$K:$K=""""),Schedule!$P:$P&lt;&gt;""""),""""))"),"")</f>
        <v/>
      </c>
      <c r="P184" s="152" t="str">
        <f>IFERROR(__xludf.DUMMYFUNCTION("if(K184="""","""",iferror(filter(Schedule!$V:$V&amp;""-""&amp;Schedule!$W:$W,Schedule!$L:$L=K184,(Schedule!$J:$J="""")+(Schedule!$J:$J=L184),(Schedule!$K:$K=""b"")+(Schedule!$K:$K=""""),Schedule!$V:$V&lt;&gt;""""),""""))"),"")</f>
        <v/>
      </c>
      <c r="Q184" s="152" t="str">
        <f>IFERROR(__xludf.DUMMYFUNCTION("if(K184="""","""",iferror(filter(Schedule!$AB:$AB&amp;""-""&amp;Schedule!$AC:$AC,Schedule!$L:$L=K184,(Schedule!$J:$J="""")+(Schedule!$J:$J=L184),(Schedule!$K:$K=""b"")+(Schedule!$K:$K=""""),Schedule!$AB:$AB&lt;&gt;""""),""""))"),"")</f>
        <v/>
      </c>
      <c r="R184" s="152" t="str">
        <f>IFERROR(__xludf.DUMMYFUNCTION("if(K184="""","""",iferror(filter(Schedule!$M:$M&amp;""-""&amp;Schedule!$N:$N,Schedule!$L:$L=K184,(Schedule!$J:$J="""")+(Schedule!$J:$J=L184),(Schedule!$K:$K=""b"")+(Schedule!$K:$K=""""),Schedule!$M:$M&lt;&gt;""""),""""))"),"")</f>
        <v/>
      </c>
      <c r="S184" s="64"/>
      <c r="T184" s="155"/>
      <c r="U184" s="155" t="str">
        <f>W178</f>
        <v/>
      </c>
      <c r="V184" s="151" t="str">
        <f>AC178</f>
        <v/>
      </c>
      <c r="W184" s="147">
        <v>5.0</v>
      </c>
      <c r="X184" s="152" t="str">
        <f>IFERROR(__xludf.DUMMYFUNCTION("if(U184="""","""",iferror(filter(Schedule!$Y:$Y&amp;""-""&amp;Schedule!$Z:$Z,Schedule!$L:$L=U184,(Schedule!$J:$J="""")+(Schedule!$J:$J=V184),(Schedule!$K:$K=""a"")+(Schedule!$K:$K=""""),Schedule!$Y:$Y&lt;&gt;""""),""""))"),"")</f>
        <v/>
      </c>
      <c r="Y184" s="152" t="str">
        <f>IFERROR(__xludf.DUMMYFUNCTION("if(U184="""","""",iferror(filter(Schedule!$P:$P&amp;""-""&amp;Schedule!$Q:$Q,Schedule!$L:$L=U184,(Schedule!$J:$J="""")+(Schedule!$J:$J=V184),(Schedule!$K:$K=""b"")+(Schedule!$K:$K=""""),Schedule!$P:$P&lt;&gt;""""),""""))"),"")</f>
        <v/>
      </c>
      <c r="Z184" s="152" t="str">
        <f>IFERROR(__xludf.DUMMYFUNCTION("if(U184="""","""",iferror(filter(Schedule!$V:$V&amp;""-""&amp;Schedule!$W:$W,Schedule!$L:$L=U184,(Schedule!$J:$J="""")+(Schedule!$J:$J=V184),(Schedule!$K:$K=""b"")+(Schedule!$K:$K=""""),Schedule!$V:$V&lt;&gt;""""),""""))"),"")</f>
        <v/>
      </c>
      <c r="AA184" s="152" t="str">
        <f>IFERROR(__xludf.DUMMYFUNCTION("if(U184="""","""",iferror(filter(Schedule!$AB:$AB&amp;""-""&amp;Schedule!$AC:$AC,Schedule!$L:$L=U184,(Schedule!$J:$J="""")+(Schedule!$J:$J=V184),(Schedule!$K:$K=""b"")+(Schedule!$K:$K=""""),Schedule!$AB:$AB&lt;&gt;""""),""""))"),"")</f>
        <v/>
      </c>
      <c r="AB184" s="152" t="str">
        <f>IFERROR(__xludf.DUMMYFUNCTION("if(U184="""","""",iferror(filter(Schedule!$M:$M&amp;""-""&amp;Schedule!$N:$N,Schedule!$L:$L=U184,(Schedule!$J:$J="""")+(Schedule!$J:$J=V184),(Schedule!$K:$K=""b"")+(Schedule!$K:$K=""""),Schedule!$M:$M&lt;&gt;""""),""""))"),"")</f>
        <v/>
      </c>
      <c r="AC184" s="64"/>
      <c r="AD184" s="155"/>
      <c r="AE184" s="155" t="str">
        <f>AG178</f>
        <v/>
      </c>
      <c r="AF184" s="151" t="str">
        <f>AM178</f>
        <v/>
      </c>
      <c r="AG184" s="147">
        <v>5.0</v>
      </c>
      <c r="AH184" s="152" t="str">
        <f>IFERROR(__xludf.DUMMYFUNCTION("if(AE184="""","""",iferror(filter(Schedule!$Y:$Y&amp;""-""&amp;Schedule!$Z:$Z,Schedule!$L:$L=AE184,(Schedule!$J:$J="""")+(Schedule!$J:$J=AF184),(Schedule!$K:$K=""a"")+(Schedule!$K:$K=""""),Schedule!$Y:$Y&lt;&gt;""""),""""))"),"")</f>
        <v/>
      </c>
      <c r="AI184" s="152" t="str">
        <f>IFERROR(__xludf.DUMMYFUNCTION("if(AE184="""","""",iferror(filter(Schedule!$P:$P&amp;""-""&amp;Schedule!$Q:$Q,Schedule!$L:$L=AE184,(Schedule!$J:$J="""")+(Schedule!$J:$J=AF184),(Schedule!$K:$K=""b"")+(Schedule!$K:$K=""""),Schedule!$P:$P&lt;&gt;""""),""""))"),"")</f>
        <v/>
      </c>
      <c r="AJ184" s="152" t="str">
        <f>IFERROR(__xludf.DUMMYFUNCTION("if(AE184="""","""",iferror(filter(Schedule!$V:$V&amp;""-""&amp;Schedule!$W:$W,Schedule!$L:$L=AE184,(Schedule!$J:$J="""")+(Schedule!$J:$J=AF184),(Schedule!$K:$K=""b"")+(Schedule!$K:$K=""""),Schedule!$V:$V&lt;&gt;""""),""""))"),"")</f>
        <v/>
      </c>
      <c r="AK184" s="152" t="str">
        <f>IFERROR(__xludf.DUMMYFUNCTION("if(AE184="""","""",iferror(filter(Schedule!$AB:$AB&amp;""-""&amp;Schedule!$AC:$AC,Schedule!$L:$L=AE184,(Schedule!$J:$J="""")+(Schedule!$J:$J=AF184),(Schedule!$K:$K=""b"")+(Schedule!$K:$K=""""),Schedule!$AB:$AB&lt;&gt;""""),""""))"),"")</f>
        <v/>
      </c>
      <c r="AL184" s="152" t="str">
        <f>IFERROR(__xludf.DUMMYFUNCTION("if(AE184="""","""",iferror(filter(Schedule!$M:$M&amp;""-""&amp;Schedule!$N:$N,Schedule!$L:$L=AE184,(Schedule!$J:$J="""")+(Schedule!$J:$J=AF184),(Schedule!$K:$K=""b"")+(Schedule!$K:$K=""""),Schedule!$M:$M&lt;&gt;""""),""""))"),"")</f>
        <v/>
      </c>
      <c r="AM184" s="64"/>
    </row>
    <row r="185">
      <c r="A185" s="11"/>
      <c r="B185" s="11"/>
      <c r="C185" s="156"/>
      <c r="D185" s="156"/>
      <c r="E185" s="156"/>
      <c r="F185" s="156"/>
      <c r="G185" s="156"/>
      <c r="H185" s="156"/>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c r="A186" s="5"/>
      <c r="B186" s="5"/>
      <c r="C186" s="140" t="str">
        <f>Teachers!A24</f>
        <v>Sara DeAses</v>
      </c>
      <c r="D186" s="141"/>
      <c r="E186" s="141"/>
      <c r="F186" s="141"/>
      <c r="G186" s="141"/>
      <c r="H186" s="142"/>
      <c r="I186" s="143" t="str">
        <f>IFERROR(__xludf.DUMMYFUNCTION("if(C186="""","""", iferror(unique(filter(Schedule!$J:$J,Schedule!$L:$L=$C186,Schedule!$J:$J=""Q1"")),iferror(unique(filter(Schedule!$J:$J,Schedule!$L:$L=$C186,Schedule!$J:$J=""S1"")),""Y"")))"),"Y")</f>
        <v>Y</v>
      </c>
      <c r="J186" s="11"/>
      <c r="K186" s="11"/>
      <c r="L186" s="11"/>
      <c r="M186" s="140" t="str">
        <f>if(S186="","",C186)</f>
        <v/>
      </c>
      <c r="N186" s="141"/>
      <c r="O186" s="141"/>
      <c r="P186" s="141"/>
      <c r="Q186" s="141"/>
      <c r="R186" s="142"/>
      <c r="S186" s="143" t="str">
        <f>if($I186="Q1","Q2",if($I186="S1","S2",""))</f>
        <v/>
      </c>
      <c r="T186" s="144"/>
      <c r="U186" s="144"/>
      <c r="V186" s="145"/>
      <c r="W186" s="140" t="str">
        <f>if(AC186="","",M186)</f>
        <v/>
      </c>
      <c r="X186" s="141"/>
      <c r="Y186" s="141"/>
      <c r="Z186" s="141"/>
      <c r="AA186" s="141"/>
      <c r="AB186" s="142"/>
      <c r="AC186" s="143" t="str">
        <f>if($I186="Q1","Q3","")</f>
        <v/>
      </c>
      <c r="AD186" s="144"/>
      <c r="AE186" s="144"/>
      <c r="AF186" s="145"/>
      <c r="AG186" s="140" t="str">
        <f>if(AC186="","",W186)</f>
        <v/>
      </c>
      <c r="AH186" s="141"/>
      <c r="AI186" s="141"/>
      <c r="AJ186" s="141"/>
      <c r="AK186" s="141"/>
      <c r="AL186" s="142"/>
      <c r="AM186" s="143" t="str">
        <f>if($I186="Q1","Q4","")</f>
        <v/>
      </c>
    </row>
    <row r="187">
      <c r="A187" s="146"/>
      <c r="B187" s="146"/>
      <c r="C187" s="147" t="s">
        <v>94</v>
      </c>
      <c r="D187" s="148" t="s">
        <v>95</v>
      </c>
      <c r="E187" s="148" t="s">
        <v>96</v>
      </c>
      <c r="F187" s="148" t="s">
        <v>97</v>
      </c>
      <c r="G187" s="148" t="s">
        <v>98</v>
      </c>
      <c r="H187" s="148" t="s">
        <v>99</v>
      </c>
      <c r="I187" s="148" t="s">
        <v>651</v>
      </c>
      <c r="J187" s="146"/>
      <c r="K187" s="146"/>
      <c r="L187" s="146"/>
      <c r="M187" s="147" t="s">
        <v>94</v>
      </c>
      <c r="N187" s="148" t="s">
        <v>95</v>
      </c>
      <c r="O187" s="148" t="s">
        <v>96</v>
      </c>
      <c r="P187" s="148" t="s">
        <v>97</v>
      </c>
      <c r="Q187" s="148" t="s">
        <v>98</v>
      </c>
      <c r="R187" s="148" t="s">
        <v>99</v>
      </c>
      <c r="S187" s="148" t="s">
        <v>651</v>
      </c>
      <c r="T187" s="149"/>
      <c r="U187" s="149"/>
      <c r="V187" s="150"/>
      <c r="W187" s="147" t="s">
        <v>94</v>
      </c>
      <c r="X187" s="148" t="s">
        <v>95</v>
      </c>
      <c r="Y187" s="148" t="s">
        <v>96</v>
      </c>
      <c r="Z187" s="148" t="s">
        <v>97</v>
      </c>
      <c r="AA187" s="148" t="s">
        <v>98</v>
      </c>
      <c r="AB187" s="148" t="s">
        <v>99</v>
      </c>
      <c r="AC187" s="148" t="s">
        <v>651</v>
      </c>
      <c r="AD187" s="149"/>
      <c r="AE187" s="149"/>
      <c r="AF187" s="150"/>
      <c r="AG187" s="147" t="s">
        <v>94</v>
      </c>
      <c r="AH187" s="148" t="s">
        <v>95</v>
      </c>
      <c r="AI187" s="148" t="s">
        <v>96</v>
      </c>
      <c r="AJ187" s="148" t="s">
        <v>97</v>
      </c>
      <c r="AK187" s="148" t="s">
        <v>98</v>
      </c>
      <c r="AL187" s="148" t="s">
        <v>99</v>
      </c>
      <c r="AM187" s="148" t="s">
        <v>651</v>
      </c>
    </row>
    <row r="188">
      <c r="A188" s="151" t="str">
        <f>C186</f>
        <v>Sara DeAses</v>
      </c>
      <c r="B188" s="151" t="str">
        <f>I186</f>
        <v>Y</v>
      </c>
      <c r="C188" s="147">
        <v>1.0</v>
      </c>
      <c r="D188" s="152" t="str">
        <f>IFERROR(__xludf.DUMMYFUNCTION("if(A188="""","""",iferror(filter(Schedule!$M:$M&amp;""-""&amp;Schedule!$N:$N,Schedule!$L:$L=A188,(Schedule!$J:$J="""")+(Schedule!$J:$J=B188),(Schedule!$K:$K=""a"")+(Schedule!$K:$K=""""),Schedule!$M:$M&lt;&gt;""""),""""))"),"")</f>
        <v/>
      </c>
      <c r="E188" s="152" t="str">
        <f>IFERROR(__xludf.DUMMYFUNCTION("if(A188="""","""",iferror(filter(Schedule!$AB:$AB&amp;""-""&amp;Schedule!$AC:$AC,Schedule!$L:$L=A188,(Schedule!$J:$J="""")+(Schedule!$J:$J=B188),(Schedule!$K:$K=""b"")+(Schedule!$K:$K=""""),Schedule!$AB:$AB&lt;&gt;""""),""""))"),"Science 7-5")</f>
        <v>Science 7-5</v>
      </c>
      <c r="F188" s="152" t="str">
        <f>IFERROR(__xludf.DUMMYFUNCTION("if(A188="""","""",iferror(filter(Schedule!$S:$S&amp;""-""&amp;Schedule!$T:$T,Schedule!$L:$L=A188,(Schedule!$J:$J="""")+(Schedule!$J:$J=B188),(Schedule!$K:$K=""a"")+(Schedule!$K:$K=""""),Schedule!$S:$S&lt;&gt;""""),""""))"),"Science 7-2")</f>
        <v>Science 7-2</v>
      </c>
      <c r="G188" s="152" t="str">
        <f>IFERROR(__xludf.DUMMYFUNCTION("if(A188="""","""",iferror(filter(Schedule!$V:$V&amp;""-""&amp;Schedule!$W:$W,Schedule!$L:$L=A188,(Schedule!$J:$J="""")+(Schedule!$J:$J=B188),(Schedule!$K:$K=""a"")+(Schedule!$K:$K=""""),Schedule!$V:$V&lt;&gt;""""),""""))"),"Science 7-3")</f>
        <v>Science 7-3</v>
      </c>
      <c r="H188" s="152" t="str">
        <f>IFERROR(__xludf.DUMMYFUNCTION("if(A188="""","""",iferror(filter(Schedule!$Y:$Y&amp;""-""&amp;Schedule!$Z:$Z,Schedule!$L:$L=A188,(Schedule!$J:$J="""")+(Schedule!$J:$J=B188),(Schedule!$K:$K=""b"")+(Schedule!$K:$K=""""),Schedule!$Y:$Y&lt;&gt;""""),""""))"),"Science 7-4")</f>
        <v>Science 7-4</v>
      </c>
      <c r="I188" s="153">
        <f>if(C186="","", 24-countifs(D188:H192,""))</f>
        <v>16</v>
      </c>
      <c r="J188" s="154"/>
      <c r="K188" s="151" t="str">
        <f>M186</f>
        <v/>
      </c>
      <c r="L188" s="151" t="str">
        <f>S186</f>
        <v/>
      </c>
      <c r="M188" s="147">
        <v>1.0</v>
      </c>
      <c r="N188" s="152" t="str">
        <f>IFERROR(__xludf.DUMMYFUNCTION("if(K188="""","""",iferror(filter(Schedule!$M:$M&amp;""-""&amp;Schedule!$N:$N,Schedule!$L:$L=K188,(Schedule!$J:$J="""")+(Schedule!$J:$J=L188),(Schedule!$K:$K=""a"")+(Schedule!$K:$K=""""),Schedule!$M:$M&lt;&gt;""""),""""))"),"")</f>
        <v/>
      </c>
      <c r="O188" s="152" t="str">
        <f>IFERROR(__xludf.DUMMYFUNCTION("if(K188="""","""",iferror(filter(Schedule!$AB:$AB&amp;""-""&amp;Schedule!$AC:$AC,Schedule!$L:$L=K188,(Schedule!$J:$J="""")+(Schedule!$J:$J=L188),(Schedule!$K:$K=""b"")+(Schedule!$K:$K=""""),Schedule!$AB:$AB&lt;&gt;""""),""""))"),"")</f>
        <v/>
      </c>
      <c r="P188" s="152" t="str">
        <f>IFERROR(__xludf.DUMMYFUNCTION("if(K188="""","""",iferror(filter(Schedule!$S:$S&amp;""-""&amp;Schedule!$T:$T,Schedule!$L:$L=K188,(Schedule!$J:$J="""")+(Schedule!$J:$J=L188),(Schedule!$K:$K=""a"")+(Schedule!$K:$K=""""),Schedule!$S:$S&lt;&gt;""""),""""))"),"")</f>
        <v/>
      </c>
      <c r="Q188" s="152" t="str">
        <f>IFERROR(__xludf.DUMMYFUNCTION("if(K188="""","""",iferror(filter(Schedule!$V:$V&amp;""-""&amp;Schedule!$W:$W,Schedule!$L:$L=K188,(Schedule!$J:$J="""")+(Schedule!$J:$J=L188),(Schedule!$K:$K=""a"")+(Schedule!$K:$K=""""),Schedule!$V:$V&lt;&gt;""""),""""))"),"")</f>
        <v/>
      </c>
      <c r="R188" s="152" t="str">
        <f>IFERROR(__xludf.DUMMYFUNCTION("if(K188="""","""",iferror(filter(Schedule!$Y:$Y&amp;""-""&amp;Schedule!$Z:$Z,Schedule!$L:$L=K188,(Schedule!$J:$J="""")+(Schedule!$J:$J=L188),(Schedule!$K:$K=""b"")+(Schedule!$K:$K=""""),Schedule!$Y:$Y&lt;&gt;""""),""""))"),"")</f>
        <v/>
      </c>
      <c r="S188" s="153" t="str">
        <f>if(K188="","", 24-countifs(N188:R192,""))</f>
        <v/>
      </c>
      <c r="T188" s="155"/>
      <c r="U188" s="155" t="str">
        <f>W186</f>
        <v/>
      </c>
      <c r="V188" s="151" t="str">
        <f>AC186</f>
        <v/>
      </c>
      <c r="W188" s="147">
        <v>1.0</v>
      </c>
      <c r="X188" s="152" t="str">
        <f>IFERROR(__xludf.DUMMYFUNCTION("if(U188="""","""",iferror(filter(Schedule!$M:$M&amp;""-""&amp;Schedule!$N:$N,Schedule!$L:$L=U188,(Schedule!$J:$J="""")+(Schedule!$J:$J=V188),(Schedule!$K:$K=""a"")+(Schedule!$K:$K=""""),Schedule!$M:$M&lt;&gt;""""),""""))"),"")</f>
        <v/>
      </c>
      <c r="Y188" s="152" t="str">
        <f>IFERROR(__xludf.DUMMYFUNCTION("if(U188="""","""",iferror(filter(Schedule!$AB:$AB&amp;""-""&amp;Schedule!$AC:$AC,Schedule!$L:$L=U188,(Schedule!$J:$J="""")+(Schedule!$J:$J=V188),(Schedule!$K:$K=""b"")+(Schedule!$K:$K=""""),Schedule!$AB:$AB&lt;&gt;""""),""""))"),"")</f>
        <v/>
      </c>
      <c r="Z188" s="152" t="str">
        <f>IFERROR(__xludf.DUMMYFUNCTION("if(U188="""","""",iferror(filter(Schedule!$S:$S&amp;""-""&amp;Schedule!$T:$T,Schedule!$L:$L=U188,(Schedule!$J:$J="""")+(Schedule!$J:$J=V188),(Schedule!$K:$K=""a"")+(Schedule!$K:$K=""""),Schedule!$S:$S&lt;&gt;""""),""""))"),"")</f>
        <v/>
      </c>
      <c r="AA188" s="152" t="str">
        <f>IFERROR(__xludf.DUMMYFUNCTION("if(U188="""","""",iferror(filter(Schedule!$V:$V&amp;""-""&amp;Schedule!$W:$W,Schedule!$L:$L=U188,(Schedule!$J:$J="""")+(Schedule!$J:$J=V188),(Schedule!$K:$K=""a"")+(Schedule!$K:$K=""""),Schedule!$V:$V&lt;&gt;""""),""""))"),"")</f>
        <v/>
      </c>
      <c r="AB188" s="152" t="str">
        <f>IFERROR(__xludf.DUMMYFUNCTION("if(U188="""","""",iferror(filter(Schedule!$Y:$Y&amp;""-""&amp;Schedule!$Z:$Z,Schedule!$L:$L=U188,(Schedule!$J:$J="""")+(Schedule!$J:$J=V188),(Schedule!$K:$K=""b"")+(Schedule!$K:$K=""""),Schedule!$Y:$Y&lt;&gt;""""),""""))"),"")</f>
        <v/>
      </c>
      <c r="AC188" s="153" t="str">
        <f>if(U188="","", 24-countifs(X188:AB192,""))</f>
        <v/>
      </c>
      <c r="AD188" s="155"/>
      <c r="AE188" s="155" t="str">
        <f>AG186</f>
        <v/>
      </c>
      <c r="AF188" s="151" t="str">
        <f>AM186</f>
        <v/>
      </c>
      <c r="AG188" s="147">
        <v>1.0</v>
      </c>
      <c r="AH188" s="152" t="str">
        <f>IFERROR(__xludf.DUMMYFUNCTION("if(AE188="""","""",iferror(filter(Schedule!$M:$M&amp;""-""&amp;Schedule!$N:$N,Schedule!$L:$L=AE188,(Schedule!$J:$J="""")+(Schedule!$J:$J=AF188),(Schedule!$K:$K=""a"")+(Schedule!$K:$K=""""),Schedule!$M:$M&lt;&gt;""""),""""))"),"")</f>
        <v/>
      </c>
      <c r="AI188" s="152" t="str">
        <f>IFERROR(__xludf.DUMMYFUNCTION("if(AE188="""","""",iferror(filter(Schedule!$AB:$AB&amp;""-""&amp;Schedule!$AC:$AC,Schedule!$L:$L=AE188,(Schedule!$J:$J="""")+(Schedule!$J:$J=AF188),(Schedule!$K:$K=""b"")+(Schedule!$K:$K=""""),Schedule!$AB:$AB&lt;&gt;""""),""""))"),"")</f>
        <v/>
      </c>
      <c r="AJ188" s="152" t="str">
        <f>IFERROR(__xludf.DUMMYFUNCTION("if(AE188="""","""",iferror(filter(Schedule!$S:$S&amp;""-""&amp;Schedule!$T:$T,Schedule!$L:$L=AE188,(Schedule!$J:$J="""")+(Schedule!$J:$J=AF188),(Schedule!$K:$K=""a"")+(Schedule!$K:$K=""""),Schedule!$S:$S&lt;&gt;""""),""""))"),"")</f>
        <v/>
      </c>
      <c r="AK188" s="152" t="str">
        <f>IFERROR(__xludf.DUMMYFUNCTION("if(AE188="""","""",iferror(filter(Schedule!$V:$V&amp;""-""&amp;Schedule!$W:$W,Schedule!$L:$L=AE188,(Schedule!$J:$J="""")+(Schedule!$J:$J=AF188),(Schedule!$K:$K=""a"")+(Schedule!$K:$K=""""),Schedule!$V:$V&lt;&gt;""""),""""))"),"")</f>
        <v/>
      </c>
      <c r="AL188" s="152" t="str">
        <f>IFERROR(__xludf.DUMMYFUNCTION("if(AE188="""","""",iferror(filter(Schedule!$Y:$Y&amp;""-""&amp;Schedule!$Z:$Z,Schedule!$L:$L=AE188,(Schedule!$J:$J="""")+(Schedule!$J:$J=AF188),(Schedule!$K:$K=""b"")+(Schedule!$K:$K=""""),Schedule!$Y:$Y&lt;&gt;""""),""""))"),"")</f>
        <v/>
      </c>
      <c r="AM188" s="153" t="str">
        <f>if(AE188="","", 24-countifs(AH188:AL192,""))</f>
        <v/>
      </c>
    </row>
    <row r="189">
      <c r="A189" s="151" t="str">
        <f>C186</f>
        <v>Sara DeAses</v>
      </c>
      <c r="B189" s="151" t="str">
        <f>I186</f>
        <v>Y</v>
      </c>
      <c r="C189" s="147">
        <v>2.0</v>
      </c>
      <c r="D189" s="152" t="str">
        <f>IFERROR(__xludf.DUMMYFUNCTION("if(A189="""","""",iferror(filter(Schedule!$P:$P&amp;""-""&amp;Schedule!$Q:$Q,Schedule!$L:$L=A189,(Schedule!$J:$J="""")+(Schedule!$J:$J=B189),(Schedule!$K:$K=""a"")+(Schedule!$K:$K=""""),Schedule!$P:$P&lt;&gt;""""),""""))"),"")</f>
        <v/>
      </c>
      <c r="E189" s="152" t="str">
        <f>IFERROR(__xludf.DUMMYFUNCTION("if(A189="""","""",iferror(filter(Schedule!$Y:$Y&amp;""-""&amp;Schedule!$Z:$Z,Schedule!$L:$L=A189,(Schedule!$J:$J="""")+(Schedule!$J:$J=B189),(Schedule!$K:$K=""b"")+(Schedule!$K:$K=""""),Schedule!$Y:$Y&lt;&gt;""""),""""))"),"Science 7-4")</f>
        <v>Science 7-4</v>
      </c>
      <c r="F189" s="152" t="str">
        <f>IFERROR(__xludf.DUMMYFUNCTION("if(A189="""","""",iferror(filter(Schedule!$P:$P&amp;""-""&amp;Schedule!$Q:$Q,Schedule!$L:$L=A189,(Schedule!$J:$J="""")+(Schedule!$J:$J=B189),(Schedule!$K:$K=""a"")+(Schedule!$K:$K=""""),Schedule!$P:$P&lt;&gt;""""),""""))"),"")</f>
        <v/>
      </c>
      <c r="G189" s="152" t="str">
        <f>IFERROR(__xludf.DUMMYFUNCTION("if(A189="""","""",iferror(filter(Schedule!$M:$M&amp;""-""&amp;Schedule!$N:$N,Schedule!$L:$L=A189,(Schedule!$J:$J="""")+(Schedule!$J:$J=B189),(Schedule!$K:$K=""a"")+(Schedule!$K:$K=""""),Schedule!$M:$M&lt;&gt;""""),""""))"),"")</f>
        <v/>
      </c>
      <c r="H189" s="152" t="str">
        <f>IFERROR(__xludf.DUMMYFUNCTION("if(A189="""","""",iferror(filter(Schedule!$AB:$AB&amp;""-""&amp;Schedule!$AC:$AC,Schedule!$L:$L=A189,(Schedule!$J:$J="""")+(Schedule!$J:$J=B189),(Schedule!$K:$K=""a"")+(Schedule!$K:$K=""""),Schedule!$AB:$AB&lt;&gt;""""),""""))"),"Science 7-5")</f>
        <v>Science 7-5</v>
      </c>
      <c r="I189" s="60"/>
      <c r="J189" s="154"/>
      <c r="K189" s="151" t="str">
        <f>M186</f>
        <v/>
      </c>
      <c r="L189" s="151" t="str">
        <f>S186</f>
        <v/>
      </c>
      <c r="M189" s="147">
        <v>2.0</v>
      </c>
      <c r="N189" s="152" t="str">
        <f>IFERROR(__xludf.DUMMYFUNCTION("if(K189="""","""",iferror(filter(Schedule!$P:$P&amp;""-""&amp;Schedule!$Q:$Q,Schedule!$L:$L=K189,(Schedule!$J:$J="""")+(Schedule!$J:$J=L189),(Schedule!$K:$K=""a"")+(Schedule!$K:$K=""""),Schedule!$P:$P&lt;&gt;""""),""""))"),"")</f>
        <v/>
      </c>
      <c r="O189" s="152" t="str">
        <f>IFERROR(__xludf.DUMMYFUNCTION("if(K189="""","""",iferror(filter(Schedule!$Y:$Y&amp;""-""&amp;Schedule!$Z:$Z,Schedule!$L:$L=K189,(Schedule!$J:$J="""")+(Schedule!$J:$J=L189),(Schedule!$K:$K=""b"")+(Schedule!$K:$K=""""),Schedule!$Y:$Y&lt;&gt;""""),""""))"),"")</f>
        <v/>
      </c>
      <c r="P189" s="152" t="str">
        <f>IFERROR(__xludf.DUMMYFUNCTION("if(K189="""","""",iferror(filter(Schedule!$P:$P&amp;""-""&amp;Schedule!$Q:$Q,Schedule!$L:$L=K189,(Schedule!$J:$J="""")+(Schedule!$J:$J=L189),(Schedule!$K:$K=""a"")+(Schedule!$K:$K=""""),Schedule!$P:$P&lt;&gt;""""),""""))"),"")</f>
        <v/>
      </c>
      <c r="Q189" s="152" t="str">
        <f>IFERROR(__xludf.DUMMYFUNCTION("if(K189="""","""",iferror(filter(Schedule!$M:$M&amp;""-""&amp;Schedule!$N:$N,Schedule!$L:$L=K189,(Schedule!$J:$J="""")+(Schedule!$J:$J=L189),(Schedule!$K:$K=""a"")+(Schedule!$K:$K=""""),Schedule!$M:$M&lt;&gt;""""),""""))"),"")</f>
        <v/>
      </c>
      <c r="R189" s="152" t="str">
        <f>IFERROR(__xludf.DUMMYFUNCTION("if(K189="""","""",iferror(filter(Schedule!$AB:$AB&amp;""-""&amp;Schedule!$AC:$AC,Schedule!$L:$L=K189,(Schedule!$J:$J="""")+(Schedule!$J:$J=L189),(Schedule!$K:$K=""a"")+(Schedule!$K:$K=""""),Schedule!$AB:$AB&lt;&gt;""""),""""))"),"")</f>
        <v/>
      </c>
      <c r="S189" s="60"/>
      <c r="T189" s="155"/>
      <c r="U189" s="155" t="str">
        <f>W186</f>
        <v/>
      </c>
      <c r="V189" s="151" t="str">
        <f>AC186</f>
        <v/>
      </c>
      <c r="W189" s="147">
        <v>2.0</v>
      </c>
      <c r="X189" s="152" t="str">
        <f>IFERROR(__xludf.DUMMYFUNCTION("if(U189="""","""",iferror(filter(Schedule!$P:$P&amp;""-""&amp;Schedule!$Q:$Q,Schedule!$L:$L=U189,(Schedule!$J:$J="""")+(Schedule!$J:$J=V189),(Schedule!$K:$K=""a"")+(Schedule!$K:$K=""""),Schedule!$P:$P&lt;&gt;""""),""""))"),"")</f>
        <v/>
      </c>
      <c r="Y189" s="152" t="str">
        <f>IFERROR(__xludf.DUMMYFUNCTION("if(U189="""","""",iferror(filter(Schedule!$Y:$Y&amp;""-""&amp;Schedule!$Z:$Z,Schedule!$L:$L=U189,(Schedule!$J:$J="""")+(Schedule!$J:$J=V189),(Schedule!$K:$K=""b"")+(Schedule!$K:$K=""""),Schedule!$Y:$Y&lt;&gt;""""),""""))"),"")</f>
        <v/>
      </c>
      <c r="Z189" s="152" t="str">
        <f>IFERROR(__xludf.DUMMYFUNCTION("if(U189="""","""",iferror(filter(Schedule!$P:$P&amp;""-""&amp;Schedule!$Q:$Q,Schedule!$L:$L=U189,(Schedule!$J:$J="""")+(Schedule!$J:$J=V189),(Schedule!$K:$K=""a"")+(Schedule!$K:$K=""""),Schedule!$P:$P&lt;&gt;""""),""""))"),"")</f>
        <v/>
      </c>
      <c r="AA189" s="152" t="str">
        <f>IFERROR(__xludf.DUMMYFUNCTION("if(U189="""","""",iferror(filter(Schedule!$M:$M&amp;""-""&amp;Schedule!$N:$N,Schedule!$L:$L=U189,(Schedule!$J:$J="""")+(Schedule!$J:$J=V189),(Schedule!$K:$K=""a"")+(Schedule!$K:$K=""""),Schedule!$M:$M&lt;&gt;""""),""""))"),"")</f>
        <v/>
      </c>
      <c r="AB189" s="152" t="str">
        <f>IFERROR(__xludf.DUMMYFUNCTION("if(U189="""","""",iferror(filter(Schedule!$AB:$AB&amp;""-""&amp;Schedule!$AC:$AC,Schedule!$L:$L=U189,(Schedule!$J:$J="""")+(Schedule!$J:$J=V189),(Schedule!$K:$K=""a"")+(Schedule!$K:$K=""""),Schedule!$AB:$AB&lt;&gt;""""),""""))"),"")</f>
        <v/>
      </c>
      <c r="AC189" s="60"/>
      <c r="AD189" s="155"/>
      <c r="AE189" s="155" t="str">
        <f>AG186</f>
        <v/>
      </c>
      <c r="AF189" s="151" t="str">
        <f>AM186</f>
        <v/>
      </c>
      <c r="AG189" s="147">
        <v>2.0</v>
      </c>
      <c r="AH189" s="152" t="str">
        <f>IFERROR(__xludf.DUMMYFUNCTION("if(AE189="""","""",iferror(filter(Schedule!$P:$P&amp;""-""&amp;Schedule!$Q:$Q,Schedule!$L:$L=AE189,(Schedule!$J:$J="""")+(Schedule!$J:$J=AF189),(Schedule!$K:$K=""a"")+(Schedule!$K:$K=""""),Schedule!$P:$P&lt;&gt;""""),""""))"),"")</f>
        <v/>
      </c>
      <c r="AI189" s="152" t="str">
        <f>IFERROR(__xludf.DUMMYFUNCTION("if(AE189="""","""",iferror(filter(Schedule!$Y:$Y&amp;""-""&amp;Schedule!$Z:$Z,Schedule!$L:$L=AE189,(Schedule!$J:$J="""")+(Schedule!$J:$J=AF189),(Schedule!$K:$K=""b"")+(Schedule!$K:$K=""""),Schedule!$Y:$Y&lt;&gt;""""),""""))"),"")</f>
        <v/>
      </c>
      <c r="AJ189" s="152" t="str">
        <f>IFERROR(__xludf.DUMMYFUNCTION("if(AE189="""","""",iferror(filter(Schedule!$P:$P&amp;""-""&amp;Schedule!$Q:$Q,Schedule!$L:$L=AE189,(Schedule!$J:$J="""")+(Schedule!$J:$J=AF189),(Schedule!$K:$K=""a"")+(Schedule!$K:$K=""""),Schedule!$P:$P&lt;&gt;""""),""""))"),"")</f>
        <v/>
      </c>
      <c r="AK189" s="152" t="str">
        <f>IFERROR(__xludf.DUMMYFUNCTION("if(AE189="""","""",iferror(filter(Schedule!$M:$M&amp;""-""&amp;Schedule!$N:$N,Schedule!$L:$L=AE189,(Schedule!$J:$J="""")+(Schedule!$J:$J=AF189),(Schedule!$K:$K=""a"")+(Schedule!$K:$K=""""),Schedule!$M:$M&lt;&gt;""""),""""))"),"")</f>
        <v/>
      </c>
      <c r="AL189" s="152" t="str">
        <f>IFERROR(__xludf.DUMMYFUNCTION("if(AE189="""","""",iferror(filter(Schedule!$AB:$AB&amp;""-""&amp;Schedule!$AC:$AC,Schedule!$L:$L=AE189,(Schedule!$J:$J="""")+(Schedule!$J:$J=AF189),(Schedule!$K:$K=""a"")+(Schedule!$K:$K=""""),Schedule!$AB:$AB&lt;&gt;""""),""""))"),"")</f>
        <v/>
      </c>
      <c r="AM189" s="60"/>
    </row>
    <row r="190">
      <c r="A190" s="151" t="str">
        <f>C186</f>
        <v>Sara DeAses</v>
      </c>
      <c r="B190" s="151" t="str">
        <f>I186</f>
        <v>Y</v>
      </c>
      <c r="C190" s="147">
        <v>3.0</v>
      </c>
      <c r="D190" s="152" t="str">
        <f>IFERROR(__xludf.DUMMYFUNCTION("if(A190="""","""",iferror(filter(Schedule!$S:$S&amp;""-""&amp;Schedule!$T:$T,Schedule!$L:$L=A190,(Schedule!$J:$J="""")+(Schedule!$J:$J=B190),(Schedule!$K:$K=""a"")+(Schedule!$K:$K=""""),Schedule!$S:$S&lt;&gt;""""),""""))"),"Science 7-2")</f>
        <v>Science 7-2</v>
      </c>
      <c r="E190" s="152" t="str">
        <f>IFERROR(__xludf.DUMMYFUNCTION("if(A190="""","""",iferror(filter(Schedule!$S:$S&amp;""-""&amp;Schedule!$T:$T,Schedule!$L:$L=A190,(Schedule!$J:$J="""")+(Schedule!$J:$J=B190),(Schedule!$K:$K=""b"")+(Schedule!$K:$K=""""),Schedule!$S:$S&lt;&gt;""""),""""))"),"Science 7-2")</f>
        <v>Science 7-2</v>
      </c>
      <c r="F190" s="152" t="str">
        <f>IFERROR(__xludf.DUMMYFUNCTION("if(A190="""","""",iferror(filter(Schedule!$Y:$Y&amp;""-""&amp;Schedule!$Z:$Z,Schedule!$L:$L=A190,(Schedule!$J:$J="""")+(Schedule!$J:$J=B190),(Schedule!$K:$K=""a"")+(Schedule!$K:$K=""""),Schedule!$Y:$Y&lt;&gt;""""),""""))"),"Science 7-4")</f>
        <v>Science 7-4</v>
      </c>
      <c r="G190" s="152" t="str">
        <f>IFERROR(__xludf.DUMMYFUNCTION("if(A190="""","""",iferror(filter(Schedule!$P:$P&amp;""-""&amp;Schedule!$Q:$Q,Schedule!$L:$L=A190,(Schedule!$J:$J="""")+(Schedule!$J:$J=B190),(Schedule!$K:$K=""b"")+(Schedule!$K:$K=""""),Schedule!$P:$P&lt;&gt;""""),""""))"),"")</f>
        <v/>
      </c>
      <c r="H190" s="152" t="str">
        <f>if(C186="","","X-Block")</f>
        <v>X-Block</v>
      </c>
      <c r="I190" s="60"/>
      <c r="J190" s="154"/>
      <c r="K190" s="151" t="str">
        <f>M186</f>
        <v/>
      </c>
      <c r="L190" s="151" t="str">
        <f>S186</f>
        <v/>
      </c>
      <c r="M190" s="147">
        <v>3.0</v>
      </c>
      <c r="N190" s="152" t="str">
        <f>IFERROR(__xludf.DUMMYFUNCTION("if(K190="""","""",iferror(filter(Schedule!$S:$S&amp;""-""&amp;Schedule!$T:$T,Schedule!$L:$L=K190,(Schedule!$J:$J="""")+(Schedule!$J:$J=L190),(Schedule!$K:$K=""a"")+(Schedule!$K:$K=""""),Schedule!$S:$S&lt;&gt;""""),""""))"),"")</f>
        <v/>
      </c>
      <c r="O190" s="152" t="str">
        <f>IFERROR(__xludf.DUMMYFUNCTION("if(K190="""","""",iferror(filter(Schedule!$S:$S&amp;""-""&amp;Schedule!$T:$T,Schedule!$L:$L=K190,(Schedule!$J:$J="""")+(Schedule!$J:$J=L190),(Schedule!$K:$K=""b"")+(Schedule!$K:$K=""""),Schedule!$S:$S&lt;&gt;""""),""""))"),"")</f>
        <v/>
      </c>
      <c r="P190" s="152" t="str">
        <f>IFERROR(__xludf.DUMMYFUNCTION("if(K190="""","""",iferror(filter(Schedule!$Y:$Y&amp;""-""&amp;Schedule!$Z:$Z,Schedule!$L:$L=K190,(Schedule!$J:$J="""")+(Schedule!$J:$J=L190),(Schedule!$K:$K=""a"")+(Schedule!$K:$K=""""),Schedule!$Y:$Y&lt;&gt;""""),""""))"),"")</f>
        <v/>
      </c>
      <c r="Q190" s="152" t="str">
        <f>IFERROR(__xludf.DUMMYFUNCTION("if(K190="""","""",iferror(filter(Schedule!$P:$P&amp;""-""&amp;Schedule!$Q:$Q,Schedule!$L:$L=K190,(Schedule!$J:$J="""")+(Schedule!$J:$J=L190),(Schedule!$K:$K=""b"")+(Schedule!$K:$K=""""),Schedule!$P:$P&lt;&gt;""""),""""))"),"")</f>
        <v/>
      </c>
      <c r="R190" s="152" t="str">
        <f>if(M186="","","X-Block")</f>
        <v/>
      </c>
      <c r="S190" s="60"/>
      <c r="T190" s="155"/>
      <c r="U190" s="155" t="str">
        <f>W186</f>
        <v/>
      </c>
      <c r="V190" s="151" t="str">
        <f>AC186</f>
        <v/>
      </c>
      <c r="W190" s="147">
        <v>3.0</v>
      </c>
      <c r="X190" s="152" t="str">
        <f>IFERROR(__xludf.DUMMYFUNCTION("if(U190="""","""",iferror(filter(Schedule!$S:$S&amp;""-""&amp;Schedule!$T:$T,Schedule!$L:$L=U190,(Schedule!$J:$J="""")+(Schedule!$J:$J=V190),(Schedule!$K:$K=""a"")+(Schedule!$K:$K=""""),Schedule!$S:$S&lt;&gt;""""),""""))"),"")</f>
        <v/>
      </c>
      <c r="Y190" s="152" t="str">
        <f>IFERROR(__xludf.DUMMYFUNCTION("if(U190="""","""",iferror(filter(Schedule!$S:$S&amp;""-""&amp;Schedule!$T:$T,Schedule!$L:$L=U190,(Schedule!$J:$J="""")+(Schedule!$J:$J=V190),(Schedule!$K:$K=""b"")+(Schedule!$K:$K=""""),Schedule!$S:$S&lt;&gt;""""),""""))"),"")</f>
        <v/>
      </c>
      <c r="Z190" s="152" t="str">
        <f>IFERROR(__xludf.DUMMYFUNCTION("if(U190="""","""",iferror(filter(Schedule!$Y:$Y&amp;""-""&amp;Schedule!$Z:$Z,Schedule!$L:$L=U190,(Schedule!$J:$J="""")+(Schedule!$J:$J=V190),(Schedule!$K:$K=""a"")+(Schedule!$K:$K=""""),Schedule!$Y:$Y&lt;&gt;""""),""""))"),"")</f>
        <v/>
      </c>
      <c r="AA190" s="152" t="str">
        <f>IFERROR(__xludf.DUMMYFUNCTION("if(U190="""","""",iferror(filter(Schedule!$P:$P&amp;""-""&amp;Schedule!$Q:$Q,Schedule!$L:$L=U190,(Schedule!$J:$J="""")+(Schedule!$J:$J=V190),(Schedule!$K:$K=""b"")+(Schedule!$K:$K=""""),Schedule!$P:$P&lt;&gt;""""),""""))"),"")</f>
        <v/>
      </c>
      <c r="AB190" s="152" t="str">
        <f>if(W186="","","X-Block")</f>
        <v/>
      </c>
      <c r="AC190" s="60"/>
      <c r="AD190" s="155"/>
      <c r="AE190" s="155" t="str">
        <f>AG186</f>
        <v/>
      </c>
      <c r="AF190" s="151" t="str">
        <f>AM186</f>
        <v/>
      </c>
      <c r="AG190" s="147">
        <v>3.0</v>
      </c>
      <c r="AH190" s="152" t="str">
        <f>IFERROR(__xludf.DUMMYFUNCTION("if(AE190="""","""",iferror(filter(Schedule!$S:$S&amp;""-""&amp;Schedule!$T:$T,Schedule!$L:$L=AE190,(Schedule!$J:$J="""")+(Schedule!$J:$J=AF190),(Schedule!$K:$K=""a"")+(Schedule!$K:$K=""""),Schedule!$S:$S&lt;&gt;""""),""""))"),"")</f>
        <v/>
      </c>
      <c r="AI190" s="152" t="str">
        <f>IFERROR(__xludf.DUMMYFUNCTION("if(AE190="""","""",iferror(filter(Schedule!$S:$S&amp;""-""&amp;Schedule!$T:$T,Schedule!$L:$L=AE190,(Schedule!$J:$J="""")+(Schedule!$J:$J=AF190),(Schedule!$K:$K=""b"")+(Schedule!$K:$K=""""),Schedule!$S:$S&lt;&gt;""""),""""))"),"")</f>
        <v/>
      </c>
      <c r="AJ190" s="152" t="str">
        <f>IFERROR(__xludf.DUMMYFUNCTION("if(AE190="""","""",iferror(filter(Schedule!$Y:$Y&amp;""-""&amp;Schedule!$Z:$Z,Schedule!$L:$L=AE190,(Schedule!$J:$J="""")+(Schedule!$J:$J=AF190),(Schedule!$K:$K=""a"")+(Schedule!$K:$K=""""),Schedule!$Y:$Y&lt;&gt;""""),""""))"),"")</f>
        <v/>
      </c>
      <c r="AK190" s="152" t="str">
        <f>IFERROR(__xludf.DUMMYFUNCTION("if(AE190="""","""",iferror(filter(Schedule!$P:$P&amp;""-""&amp;Schedule!$Q:$Q,Schedule!$L:$L=AE190,(Schedule!$J:$J="""")+(Schedule!$J:$J=AF190),(Schedule!$K:$K=""b"")+(Schedule!$K:$K=""""),Schedule!$P:$P&lt;&gt;""""),""""))"),"")</f>
        <v/>
      </c>
      <c r="AL190" s="152" t="str">
        <f>if(AG186="","","X-Block")</f>
        <v/>
      </c>
      <c r="AM190" s="60"/>
    </row>
    <row r="191">
      <c r="A191" s="151" t="str">
        <f>C186</f>
        <v>Sara DeAses</v>
      </c>
      <c r="B191" s="151" t="str">
        <f>I186</f>
        <v>Y</v>
      </c>
      <c r="C191" s="147">
        <v>4.0</v>
      </c>
      <c r="D191" s="152" t="str">
        <f>IFERROR(__xludf.DUMMYFUNCTION("if(A191="""","""",iferror(filter(Schedule!$V:$V&amp;""-""&amp;Schedule!$W:$W,Schedule!$L:$L=A191,(Schedule!$J:$J="""")+(Schedule!$J:$J=B191),(Schedule!$K:$K=""a"")+(Schedule!$K:$K=""""),Schedule!$V:$V&lt;&gt;""""),""""))"),"Science 7-3")</f>
        <v>Science 7-3</v>
      </c>
      <c r="E191" s="152" t="str">
        <f>IFERROR(__xludf.DUMMYFUNCTION("if(A191="""","""",iferror(filter(Schedule!$M:$M&amp;""-""&amp;Schedule!$N:$N,Schedule!$L:$L=A191,(Schedule!$J:$J="""")+(Schedule!$J:$J=B191),(Schedule!$K:$K=""b"")+(Schedule!$K:$K=""""),Schedule!$M:$M&lt;&gt;""""),""""))"),"")</f>
        <v/>
      </c>
      <c r="F191" s="152" t="str">
        <f>IFERROR(__xludf.DUMMYFUNCTION("if(A191="""","""",iferror(filter(Schedule!$AB:$AB&amp;""-""&amp;Schedule!$AC:$AC,Schedule!$L:$L=A191,(Schedule!$J:$J="""")+(Schedule!$J:$J=B191),(Schedule!$K:$K=""a"")+(Schedule!$K:$K=""""),Schedule!$AB:$AB&lt;&gt;""""),""""))"),"Science 7-5")</f>
        <v>Science 7-5</v>
      </c>
      <c r="G191" s="152" t="str">
        <f>IFERROR(__xludf.DUMMYFUNCTION("if(A191="""","""",iferror(filter(Schedule!$S:$S&amp;""-""&amp;Schedule!$T:$T,Schedule!$L:$L=A191,(Schedule!$J:$J="""")+(Schedule!$J:$J=B191),(Schedule!$K:$K=""b"")+(Schedule!$K:$K=""""),Schedule!$S:$S&lt;&gt;""""),""""))"),"Science 7-2")</f>
        <v>Science 7-2</v>
      </c>
      <c r="H191" s="152" t="str">
        <f>IFERROR(__xludf.DUMMYFUNCTION("if(A191="""","""",iferror(filter(Schedule!$V:$V&amp;""-""&amp;Schedule!$W:$W,Schedule!$L:$L=A191,(Schedule!$J:$J="""")+(Schedule!$J:$J=B191),(Schedule!$K:$K=""b"")+(Schedule!$K:$K=""""),Schedule!$V:$V&lt;&gt;""""),""""))"),"Science 7-3")</f>
        <v>Science 7-3</v>
      </c>
      <c r="I191" s="60"/>
      <c r="J191" s="154"/>
      <c r="K191" s="151" t="str">
        <f>M186</f>
        <v/>
      </c>
      <c r="L191" s="151" t="str">
        <f>S186</f>
        <v/>
      </c>
      <c r="M191" s="147">
        <v>4.0</v>
      </c>
      <c r="N191" s="152" t="str">
        <f>IFERROR(__xludf.DUMMYFUNCTION("if(K191="""","""",iferror(filter(Schedule!$V:$V&amp;""-""&amp;Schedule!$W:$W,Schedule!$L:$L=K191,(Schedule!$J:$J="""")+(Schedule!$J:$J=L191),(Schedule!$K:$K=""a"")+(Schedule!$K:$K=""""),Schedule!$V:$V&lt;&gt;""""),""""))"),"")</f>
        <v/>
      </c>
      <c r="O191" s="152" t="str">
        <f>IFERROR(__xludf.DUMMYFUNCTION("if(K191="""","""",iferror(filter(Schedule!$M:$M&amp;""-""&amp;Schedule!$N:$N,Schedule!$L:$L=K191,(Schedule!$J:$J="""")+(Schedule!$J:$J=L191),(Schedule!$K:$K=""b"")+(Schedule!$K:$K=""""),Schedule!$M:$M&lt;&gt;""""),""""))"),"")</f>
        <v/>
      </c>
      <c r="P191" s="152" t="str">
        <f>IFERROR(__xludf.DUMMYFUNCTION("if(K191="""","""",iferror(filter(Schedule!$AB:$AB&amp;""-""&amp;Schedule!$AC:$AC,Schedule!$L:$L=K191,(Schedule!$J:$J="""")+(Schedule!$J:$J=L191),(Schedule!$K:$K=""a"")+(Schedule!$K:$K=""""),Schedule!$AB:$AB&lt;&gt;""""),""""))"),"")</f>
        <v/>
      </c>
      <c r="Q191" s="152" t="str">
        <f>IFERROR(__xludf.DUMMYFUNCTION("if(K191="""","""",iferror(filter(Schedule!$S:$S&amp;""-""&amp;Schedule!$T:$T,Schedule!$L:$L=K191,(Schedule!$J:$J="""")+(Schedule!$J:$J=L191),(Schedule!$K:$K=""b"")+(Schedule!$K:$K=""""),Schedule!$S:$S&lt;&gt;""""),""""))"),"")</f>
        <v/>
      </c>
      <c r="R191" s="152" t="str">
        <f>IFERROR(__xludf.DUMMYFUNCTION("if(K191="""","""",iferror(filter(Schedule!$V:$V&amp;""-""&amp;Schedule!$W:$W,Schedule!$L:$L=K191,(Schedule!$J:$J="""")+(Schedule!$J:$J=L191),(Schedule!$K:$K=""b"")+(Schedule!$K:$K=""""),Schedule!$V:$V&lt;&gt;""""),""""))"),"")</f>
        <v/>
      </c>
      <c r="S191" s="60"/>
      <c r="T191" s="155"/>
      <c r="U191" s="155" t="str">
        <f>W186</f>
        <v/>
      </c>
      <c r="V191" s="151" t="str">
        <f>AC186</f>
        <v/>
      </c>
      <c r="W191" s="147">
        <v>4.0</v>
      </c>
      <c r="X191" s="152" t="str">
        <f>IFERROR(__xludf.DUMMYFUNCTION("if(U191="""","""",iferror(filter(Schedule!$V:$V&amp;""-""&amp;Schedule!$W:$W,Schedule!$L:$L=U191,(Schedule!$J:$J="""")+(Schedule!$J:$J=V191),(Schedule!$K:$K=""a"")+(Schedule!$K:$K=""""),Schedule!$V:$V&lt;&gt;""""),""""))"),"")</f>
        <v/>
      </c>
      <c r="Y191" s="152" t="str">
        <f>IFERROR(__xludf.DUMMYFUNCTION("if(U191="""","""",iferror(filter(Schedule!$M:$M&amp;""-""&amp;Schedule!$N:$N,Schedule!$L:$L=U191,(Schedule!$J:$J="""")+(Schedule!$J:$J=V191),(Schedule!$K:$K=""b"")+(Schedule!$K:$K=""""),Schedule!$M:$M&lt;&gt;""""),""""))"),"")</f>
        <v/>
      </c>
      <c r="Z191" s="152" t="str">
        <f>IFERROR(__xludf.DUMMYFUNCTION("if(U191="""","""",iferror(filter(Schedule!$AB:$AB&amp;""-""&amp;Schedule!$AC:$AC,Schedule!$L:$L=U191,(Schedule!$J:$J="""")+(Schedule!$J:$J=V191),(Schedule!$K:$K=""a"")+(Schedule!$K:$K=""""),Schedule!$AB:$AB&lt;&gt;""""),""""))"),"")</f>
        <v/>
      </c>
      <c r="AA191" s="152" t="str">
        <f>IFERROR(__xludf.DUMMYFUNCTION("if(U191="""","""",iferror(filter(Schedule!$S:$S&amp;""-""&amp;Schedule!$T:$T,Schedule!$L:$L=U191,(Schedule!$J:$J="""")+(Schedule!$J:$J=V191),(Schedule!$K:$K=""b"")+(Schedule!$K:$K=""""),Schedule!$S:$S&lt;&gt;""""),""""))"),"")</f>
        <v/>
      </c>
      <c r="AB191" s="152" t="str">
        <f>IFERROR(__xludf.DUMMYFUNCTION("if(U191="""","""",iferror(filter(Schedule!$V:$V&amp;""-""&amp;Schedule!$W:$W,Schedule!$L:$L=U191,(Schedule!$J:$J="""")+(Schedule!$J:$J=V191),(Schedule!$K:$K=""b"")+(Schedule!$K:$K=""""),Schedule!$V:$V&lt;&gt;""""),""""))"),"")</f>
        <v/>
      </c>
      <c r="AC191" s="60"/>
      <c r="AD191" s="155"/>
      <c r="AE191" s="155" t="str">
        <f>AG186</f>
        <v/>
      </c>
      <c r="AF191" s="151" t="str">
        <f>AM186</f>
        <v/>
      </c>
      <c r="AG191" s="147">
        <v>4.0</v>
      </c>
      <c r="AH191" s="152" t="str">
        <f>IFERROR(__xludf.DUMMYFUNCTION("if(AE191="""","""",iferror(filter(Schedule!$V:$V&amp;""-""&amp;Schedule!$W:$W,Schedule!$L:$L=AE191,(Schedule!$J:$J="""")+(Schedule!$J:$J=AF191),(Schedule!$K:$K=""a"")+(Schedule!$K:$K=""""),Schedule!$V:$V&lt;&gt;""""),""""))"),"")</f>
        <v/>
      </c>
      <c r="AI191" s="152" t="str">
        <f>IFERROR(__xludf.DUMMYFUNCTION("if(AE191="""","""",iferror(filter(Schedule!$M:$M&amp;""-""&amp;Schedule!$N:$N,Schedule!$L:$L=AE191,(Schedule!$J:$J="""")+(Schedule!$J:$J=AF191),(Schedule!$K:$K=""b"")+(Schedule!$K:$K=""""),Schedule!$M:$M&lt;&gt;""""),""""))"),"")</f>
        <v/>
      </c>
      <c r="AJ191" s="152" t="str">
        <f>IFERROR(__xludf.DUMMYFUNCTION("if(AE191="""","""",iferror(filter(Schedule!$AB:$AB&amp;""-""&amp;Schedule!$AC:$AC,Schedule!$L:$L=AE191,(Schedule!$J:$J="""")+(Schedule!$J:$J=AF191),(Schedule!$K:$K=""a"")+(Schedule!$K:$K=""""),Schedule!$AB:$AB&lt;&gt;""""),""""))"),"")</f>
        <v/>
      </c>
      <c r="AK191" s="152" t="str">
        <f>IFERROR(__xludf.DUMMYFUNCTION("if(AE191="""","""",iferror(filter(Schedule!$S:$S&amp;""-""&amp;Schedule!$T:$T,Schedule!$L:$L=AE191,(Schedule!$J:$J="""")+(Schedule!$J:$J=AF191),(Schedule!$K:$K=""b"")+(Schedule!$K:$K=""""),Schedule!$S:$S&lt;&gt;""""),""""))"),"")</f>
        <v/>
      </c>
      <c r="AL191" s="152" t="str">
        <f>IFERROR(__xludf.DUMMYFUNCTION("if(AE191="""","""",iferror(filter(Schedule!$V:$V&amp;""-""&amp;Schedule!$W:$W,Schedule!$L:$L=AE191,(Schedule!$J:$J="""")+(Schedule!$J:$J=AF191),(Schedule!$K:$K=""b"")+(Schedule!$K:$K=""""),Schedule!$V:$V&lt;&gt;""""),""""))"),"")</f>
        <v/>
      </c>
      <c r="AM191" s="60"/>
    </row>
    <row r="192">
      <c r="A192" s="151" t="str">
        <f>C186</f>
        <v>Sara DeAses</v>
      </c>
      <c r="B192" s="151" t="str">
        <f>I186</f>
        <v>Y</v>
      </c>
      <c r="C192" s="147">
        <v>5.0</v>
      </c>
      <c r="D192" s="152" t="str">
        <f>IFERROR(__xludf.DUMMYFUNCTION("if(A192="""","""",iferror(filter(Schedule!$Y:$Y&amp;""-""&amp;Schedule!$Z:$Z,Schedule!$L:$L=A192,(Schedule!$J:$J="""")+(Schedule!$J:$J=B192),(Schedule!$K:$K=""a"")+(Schedule!$K:$K=""""),Schedule!$Y:$Y&lt;&gt;""""),""""))"),"Science 7-4")</f>
        <v>Science 7-4</v>
      </c>
      <c r="E192" s="152" t="str">
        <f>IFERROR(__xludf.DUMMYFUNCTION("if(A192="""","""",iferror(filter(Schedule!$P:$P&amp;""-""&amp;Schedule!$Q:$Q,Schedule!$L:$L=A192,(Schedule!$J:$J="""")+(Schedule!$J:$J=B192),(Schedule!$K:$K=""b"")+(Schedule!$K:$K=""""),Schedule!$P:$P&lt;&gt;""""),""""))"),"")</f>
        <v/>
      </c>
      <c r="F192" s="152" t="str">
        <f>IFERROR(__xludf.DUMMYFUNCTION("if(A192="""","""",iferror(filter(Schedule!$V:$V&amp;""-""&amp;Schedule!$W:$W,Schedule!$L:$L=A192,(Schedule!$J:$J="""")+(Schedule!$J:$J=B192),(Schedule!$K:$K=""b"")+(Schedule!$K:$K=""""),Schedule!$V:$V&lt;&gt;""""),""""))"),"Science 7-3")</f>
        <v>Science 7-3</v>
      </c>
      <c r="G192" s="152" t="str">
        <f>IFERROR(__xludf.DUMMYFUNCTION("if(A192="""","""",iferror(filter(Schedule!$AB:$AB&amp;""-""&amp;Schedule!$AC:$AC,Schedule!$L:$L=A192,(Schedule!$J:$J="""")+(Schedule!$J:$J=B192),(Schedule!$K:$K=""b"")+(Schedule!$K:$K=""""),Schedule!$AB:$AB&lt;&gt;""""),""""))"),"Science 7-5")</f>
        <v>Science 7-5</v>
      </c>
      <c r="H192" s="152" t="str">
        <f>IFERROR(__xludf.DUMMYFUNCTION("if(A192="""","""",iferror(filter(Schedule!$M:$M&amp;""-""&amp;Schedule!$N:$N,Schedule!$L:$L=A192,(Schedule!$J:$J="""")+(Schedule!$J:$J=B192),(Schedule!$K:$K=""b"")+(Schedule!$K:$K=""""),Schedule!$M:$M&lt;&gt;""""),""""))"),"")</f>
        <v/>
      </c>
      <c r="I192" s="64"/>
      <c r="J192" s="154"/>
      <c r="K192" s="151" t="str">
        <f>M186</f>
        <v/>
      </c>
      <c r="L192" s="151" t="str">
        <f>S186</f>
        <v/>
      </c>
      <c r="M192" s="147">
        <v>5.0</v>
      </c>
      <c r="N192" s="152" t="str">
        <f>IFERROR(__xludf.DUMMYFUNCTION("if(K192="""","""",iferror(filter(Schedule!$Y:$Y&amp;""-""&amp;Schedule!$Z:$Z,Schedule!$L:$L=K192,(Schedule!$J:$J="""")+(Schedule!$J:$J=L192),(Schedule!$K:$K=""a"")+(Schedule!$K:$K=""""),Schedule!$Y:$Y&lt;&gt;""""),""""))"),"")</f>
        <v/>
      </c>
      <c r="O192" s="152" t="str">
        <f>IFERROR(__xludf.DUMMYFUNCTION("if(K192="""","""",iferror(filter(Schedule!$P:$P&amp;""-""&amp;Schedule!$Q:$Q,Schedule!$L:$L=K192,(Schedule!$J:$J="""")+(Schedule!$J:$J=L192),(Schedule!$K:$K=""b"")+(Schedule!$K:$K=""""),Schedule!$P:$P&lt;&gt;""""),""""))"),"")</f>
        <v/>
      </c>
      <c r="P192" s="152" t="str">
        <f>IFERROR(__xludf.DUMMYFUNCTION("if(K192="""","""",iferror(filter(Schedule!$V:$V&amp;""-""&amp;Schedule!$W:$W,Schedule!$L:$L=K192,(Schedule!$J:$J="""")+(Schedule!$J:$J=L192),(Schedule!$K:$K=""b"")+(Schedule!$K:$K=""""),Schedule!$V:$V&lt;&gt;""""),""""))"),"")</f>
        <v/>
      </c>
      <c r="Q192" s="152" t="str">
        <f>IFERROR(__xludf.DUMMYFUNCTION("if(K192="""","""",iferror(filter(Schedule!$AB:$AB&amp;""-""&amp;Schedule!$AC:$AC,Schedule!$L:$L=K192,(Schedule!$J:$J="""")+(Schedule!$J:$J=L192),(Schedule!$K:$K=""b"")+(Schedule!$K:$K=""""),Schedule!$AB:$AB&lt;&gt;""""),""""))"),"")</f>
        <v/>
      </c>
      <c r="R192" s="152" t="str">
        <f>IFERROR(__xludf.DUMMYFUNCTION("if(K192="""","""",iferror(filter(Schedule!$M:$M&amp;""-""&amp;Schedule!$N:$N,Schedule!$L:$L=K192,(Schedule!$J:$J="""")+(Schedule!$J:$J=L192),(Schedule!$K:$K=""b"")+(Schedule!$K:$K=""""),Schedule!$M:$M&lt;&gt;""""),""""))"),"")</f>
        <v/>
      </c>
      <c r="S192" s="64"/>
      <c r="T192" s="155"/>
      <c r="U192" s="155" t="str">
        <f>W186</f>
        <v/>
      </c>
      <c r="V192" s="151" t="str">
        <f>AC186</f>
        <v/>
      </c>
      <c r="W192" s="147">
        <v>5.0</v>
      </c>
      <c r="X192" s="152" t="str">
        <f>IFERROR(__xludf.DUMMYFUNCTION("if(U192="""","""",iferror(filter(Schedule!$Y:$Y&amp;""-""&amp;Schedule!$Z:$Z,Schedule!$L:$L=U192,(Schedule!$J:$J="""")+(Schedule!$J:$J=V192),(Schedule!$K:$K=""a"")+(Schedule!$K:$K=""""),Schedule!$Y:$Y&lt;&gt;""""),""""))"),"")</f>
        <v/>
      </c>
      <c r="Y192" s="152" t="str">
        <f>IFERROR(__xludf.DUMMYFUNCTION("if(U192="""","""",iferror(filter(Schedule!$P:$P&amp;""-""&amp;Schedule!$Q:$Q,Schedule!$L:$L=U192,(Schedule!$J:$J="""")+(Schedule!$J:$J=V192),(Schedule!$K:$K=""b"")+(Schedule!$K:$K=""""),Schedule!$P:$P&lt;&gt;""""),""""))"),"")</f>
        <v/>
      </c>
      <c r="Z192" s="152" t="str">
        <f>IFERROR(__xludf.DUMMYFUNCTION("if(U192="""","""",iferror(filter(Schedule!$V:$V&amp;""-""&amp;Schedule!$W:$W,Schedule!$L:$L=U192,(Schedule!$J:$J="""")+(Schedule!$J:$J=V192),(Schedule!$K:$K=""b"")+(Schedule!$K:$K=""""),Schedule!$V:$V&lt;&gt;""""),""""))"),"")</f>
        <v/>
      </c>
      <c r="AA192" s="152" t="str">
        <f>IFERROR(__xludf.DUMMYFUNCTION("if(U192="""","""",iferror(filter(Schedule!$AB:$AB&amp;""-""&amp;Schedule!$AC:$AC,Schedule!$L:$L=U192,(Schedule!$J:$J="""")+(Schedule!$J:$J=V192),(Schedule!$K:$K=""b"")+(Schedule!$K:$K=""""),Schedule!$AB:$AB&lt;&gt;""""),""""))"),"")</f>
        <v/>
      </c>
      <c r="AB192" s="152" t="str">
        <f>IFERROR(__xludf.DUMMYFUNCTION("if(U192="""","""",iferror(filter(Schedule!$M:$M&amp;""-""&amp;Schedule!$N:$N,Schedule!$L:$L=U192,(Schedule!$J:$J="""")+(Schedule!$J:$J=V192),(Schedule!$K:$K=""b"")+(Schedule!$K:$K=""""),Schedule!$M:$M&lt;&gt;""""),""""))"),"")</f>
        <v/>
      </c>
      <c r="AC192" s="64"/>
      <c r="AD192" s="155"/>
      <c r="AE192" s="155" t="str">
        <f>AG186</f>
        <v/>
      </c>
      <c r="AF192" s="151" t="str">
        <f>AM186</f>
        <v/>
      </c>
      <c r="AG192" s="147">
        <v>5.0</v>
      </c>
      <c r="AH192" s="152" t="str">
        <f>IFERROR(__xludf.DUMMYFUNCTION("if(AE192="""","""",iferror(filter(Schedule!$Y:$Y&amp;""-""&amp;Schedule!$Z:$Z,Schedule!$L:$L=AE192,(Schedule!$J:$J="""")+(Schedule!$J:$J=AF192),(Schedule!$K:$K=""a"")+(Schedule!$K:$K=""""),Schedule!$Y:$Y&lt;&gt;""""),""""))"),"")</f>
        <v/>
      </c>
      <c r="AI192" s="152" t="str">
        <f>IFERROR(__xludf.DUMMYFUNCTION("if(AE192="""","""",iferror(filter(Schedule!$P:$P&amp;""-""&amp;Schedule!$Q:$Q,Schedule!$L:$L=AE192,(Schedule!$J:$J="""")+(Schedule!$J:$J=AF192),(Schedule!$K:$K=""b"")+(Schedule!$K:$K=""""),Schedule!$P:$P&lt;&gt;""""),""""))"),"")</f>
        <v/>
      </c>
      <c r="AJ192" s="152" t="str">
        <f>IFERROR(__xludf.DUMMYFUNCTION("if(AE192="""","""",iferror(filter(Schedule!$V:$V&amp;""-""&amp;Schedule!$W:$W,Schedule!$L:$L=AE192,(Schedule!$J:$J="""")+(Schedule!$J:$J=AF192),(Schedule!$K:$K=""b"")+(Schedule!$K:$K=""""),Schedule!$V:$V&lt;&gt;""""),""""))"),"")</f>
        <v/>
      </c>
      <c r="AK192" s="152" t="str">
        <f>IFERROR(__xludf.DUMMYFUNCTION("if(AE192="""","""",iferror(filter(Schedule!$AB:$AB&amp;""-""&amp;Schedule!$AC:$AC,Schedule!$L:$L=AE192,(Schedule!$J:$J="""")+(Schedule!$J:$J=AF192),(Schedule!$K:$K=""b"")+(Schedule!$K:$K=""""),Schedule!$AB:$AB&lt;&gt;""""),""""))"),"")</f>
        <v/>
      </c>
      <c r="AL192" s="152" t="str">
        <f>IFERROR(__xludf.DUMMYFUNCTION("if(AE192="""","""",iferror(filter(Schedule!$M:$M&amp;""-""&amp;Schedule!$N:$N,Schedule!$L:$L=AE192,(Schedule!$J:$J="""")+(Schedule!$J:$J=AF192),(Schedule!$K:$K=""b"")+(Schedule!$K:$K=""""),Schedule!$M:$M&lt;&gt;""""),""""))"),"")</f>
        <v/>
      </c>
      <c r="AM192" s="64"/>
    </row>
    <row r="193">
      <c r="A193" s="11"/>
      <c r="B193" s="11"/>
      <c r="C193" s="156"/>
      <c r="D193" s="156"/>
      <c r="E193" s="156"/>
      <c r="F193" s="156"/>
      <c r="G193" s="156"/>
      <c r="H193" s="156"/>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c r="A194" s="5"/>
      <c r="B194" s="5"/>
      <c r="C194" s="140" t="str">
        <f>Teachers!A25</f>
        <v>Sebastian Guerra Cifuentes</v>
      </c>
      <c r="D194" s="141"/>
      <c r="E194" s="141"/>
      <c r="F194" s="141"/>
      <c r="G194" s="141"/>
      <c r="H194" s="142"/>
      <c r="I194" s="143" t="str">
        <f>IFERROR(__xludf.DUMMYFUNCTION("if(C194="""","""", iferror(unique(filter(Schedule!$J:$J,Schedule!$L:$L=$C194,Schedule!$J:$J=""Q1"")),iferror(unique(filter(Schedule!$J:$J,Schedule!$L:$L=$C194,Schedule!$J:$J=""S1"")),""Y"")))"),"Y")</f>
        <v>Y</v>
      </c>
      <c r="J194" s="11"/>
      <c r="K194" s="11"/>
      <c r="L194" s="11"/>
      <c r="M194" s="140" t="str">
        <f>if(S194="","",C194)</f>
        <v/>
      </c>
      <c r="N194" s="141"/>
      <c r="O194" s="141"/>
      <c r="P194" s="141"/>
      <c r="Q194" s="141"/>
      <c r="R194" s="142"/>
      <c r="S194" s="143" t="str">
        <f>if($I194="Q1","Q2",if($I194="S1","S2",""))</f>
        <v/>
      </c>
      <c r="T194" s="144"/>
      <c r="U194" s="144"/>
      <c r="V194" s="145"/>
      <c r="W194" s="140" t="str">
        <f>if(AC194="","",M194)</f>
        <v/>
      </c>
      <c r="X194" s="141"/>
      <c r="Y194" s="141"/>
      <c r="Z194" s="141"/>
      <c r="AA194" s="141"/>
      <c r="AB194" s="142"/>
      <c r="AC194" s="143" t="str">
        <f>if($I194="Q1","Q3","")</f>
        <v/>
      </c>
      <c r="AD194" s="144"/>
      <c r="AE194" s="144"/>
      <c r="AF194" s="145"/>
      <c r="AG194" s="140" t="str">
        <f>if(AC194="","",W194)</f>
        <v/>
      </c>
      <c r="AH194" s="141"/>
      <c r="AI194" s="141"/>
      <c r="AJ194" s="141"/>
      <c r="AK194" s="141"/>
      <c r="AL194" s="142"/>
      <c r="AM194" s="143" t="str">
        <f>if($I194="Q1","Q4","")</f>
        <v/>
      </c>
    </row>
    <row r="195">
      <c r="A195" s="146"/>
      <c r="B195" s="146"/>
      <c r="C195" s="147" t="s">
        <v>94</v>
      </c>
      <c r="D195" s="148" t="s">
        <v>95</v>
      </c>
      <c r="E195" s="148" t="s">
        <v>96</v>
      </c>
      <c r="F195" s="148" t="s">
        <v>97</v>
      </c>
      <c r="G195" s="148" t="s">
        <v>98</v>
      </c>
      <c r="H195" s="148" t="s">
        <v>99</v>
      </c>
      <c r="I195" s="148" t="s">
        <v>651</v>
      </c>
      <c r="J195" s="146"/>
      <c r="K195" s="146"/>
      <c r="L195" s="146"/>
      <c r="M195" s="147" t="s">
        <v>94</v>
      </c>
      <c r="N195" s="148" t="s">
        <v>95</v>
      </c>
      <c r="O195" s="148" t="s">
        <v>96</v>
      </c>
      <c r="P195" s="148" t="s">
        <v>97</v>
      </c>
      <c r="Q195" s="148" t="s">
        <v>98</v>
      </c>
      <c r="R195" s="148" t="s">
        <v>99</v>
      </c>
      <c r="S195" s="148" t="s">
        <v>651</v>
      </c>
      <c r="T195" s="149"/>
      <c r="U195" s="149"/>
      <c r="V195" s="150"/>
      <c r="W195" s="147" t="s">
        <v>94</v>
      </c>
      <c r="X195" s="148" t="s">
        <v>95</v>
      </c>
      <c r="Y195" s="148" t="s">
        <v>96</v>
      </c>
      <c r="Z195" s="148" t="s">
        <v>97</v>
      </c>
      <c r="AA195" s="148" t="s">
        <v>98</v>
      </c>
      <c r="AB195" s="148" t="s">
        <v>99</v>
      </c>
      <c r="AC195" s="148" t="s">
        <v>651</v>
      </c>
      <c r="AD195" s="149"/>
      <c r="AE195" s="149"/>
      <c r="AF195" s="150"/>
      <c r="AG195" s="147" t="s">
        <v>94</v>
      </c>
      <c r="AH195" s="148" t="s">
        <v>95</v>
      </c>
      <c r="AI195" s="148" t="s">
        <v>96</v>
      </c>
      <c r="AJ195" s="148" t="s">
        <v>97</v>
      </c>
      <c r="AK195" s="148" t="s">
        <v>98</v>
      </c>
      <c r="AL195" s="148" t="s">
        <v>99</v>
      </c>
      <c r="AM195" s="148" t="s">
        <v>651</v>
      </c>
    </row>
    <row r="196">
      <c r="A196" s="151" t="str">
        <f>C194</f>
        <v>Sebastian Guerra Cifuentes</v>
      </c>
      <c r="B196" s="151" t="str">
        <f>I194</f>
        <v>Y</v>
      </c>
      <c r="C196" s="147">
        <v>1.0</v>
      </c>
      <c r="D196" s="152" t="str">
        <f>IFERROR(__xludf.DUMMYFUNCTION("if(A196="""","""",iferror(filter(Schedule!$M:$M&amp;""-""&amp;Schedule!$N:$N,Schedule!$L:$L=A196,(Schedule!$J:$J="""")+(Schedule!$J:$J=B196),(Schedule!$K:$K=""a"")+(Schedule!$K:$K=""""),Schedule!$M:$M&lt;&gt;""""),""""))"),"Sociales 6-1")</f>
        <v>Sociales 6-1</v>
      </c>
      <c r="E196" s="152" t="str">
        <f>IFERROR(__xludf.DUMMYFUNCTION("if(A196="""","""",iferror(filter(Schedule!$AB:$AB&amp;""-""&amp;Schedule!$AC:$AC,Schedule!$L:$L=A196,(Schedule!$J:$J="""")+(Schedule!$J:$J=B196),(Schedule!$K:$K=""b"")+(Schedule!$K:$K=""""),Schedule!$AB:$AB&lt;&gt;""""),""""))"),"")</f>
        <v/>
      </c>
      <c r="F196" s="152" t="str">
        <f>IFERROR(__xludf.DUMMYFUNCTION("if(A196="""","""",iferror(filter(Schedule!$S:$S&amp;""-""&amp;Schedule!$T:$T,Schedule!$L:$L=A196,(Schedule!$J:$J="""")+(Schedule!$J:$J=B196),(Schedule!$K:$K=""a"")+(Schedule!$K:$K=""""),Schedule!$S:$S&lt;&gt;""""),""""))"),"")</f>
        <v/>
      </c>
      <c r="G196" s="152" t="str">
        <f>IFERROR(__xludf.DUMMYFUNCTION("if(A196="""","""",iferror(filter(Schedule!$V:$V&amp;""-""&amp;Schedule!$W:$W,Schedule!$L:$L=A196,(Schedule!$J:$J="""")+(Schedule!$J:$J=B196),(Schedule!$K:$K=""a"")+(Schedule!$K:$K=""""),Schedule!$V:$V&lt;&gt;""""),""""))"),"Sociales 6-5")</f>
        <v>Sociales 6-5</v>
      </c>
      <c r="H196" s="152" t="str">
        <f>IFERROR(__xludf.DUMMYFUNCTION("if(A196="""","""",iferror(filter(Schedule!$Y:$Y&amp;""-""&amp;Schedule!$Z:$Z,Schedule!$L:$L=A196,(Schedule!$J:$J="""")+(Schedule!$J:$J=B196),(Schedule!$K:$K=""b"")+(Schedule!$K:$K=""""),Schedule!$Y:$Y&lt;&gt;""""),""""))"),"Sociales 6-6")</f>
        <v>Sociales 6-6</v>
      </c>
      <c r="I196" s="153">
        <f>if(C194="","", 24-countifs(D196:H200,""))</f>
        <v>16</v>
      </c>
      <c r="J196" s="154"/>
      <c r="K196" s="151" t="str">
        <f>M194</f>
        <v/>
      </c>
      <c r="L196" s="151" t="str">
        <f>S194</f>
        <v/>
      </c>
      <c r="M196" s="147">
        <v>1.0</v>
      </c>
      <c r="N196" s="152" t="str">
        <f>IFERROR(__xludf.DUMMYFUNCTION("if(K196="""","""",iferror(filter(Schedule!$M:$M&amp;""-""&amp;Schedule!$N:$N,Schedule!$L:$L=K196,(Schedule!$J:$J="""")+(Schedule!$J:$J=L196),(Schedule!$K:$K=""a"")+(Schedule!$K:$K=""""),Schedule!$M:$M&lt;&gt;""""),""""))"),"")</f>
        <v/>
      </c>
      <c r="O196" s="152" t="str">
        <f>IFERROR(__xludf.DUMMYFUNCTION("if(K196="""","""",iferror(filter(Schedule!$AB:$AB&amp;""-""&amp;Schedule!$AC:$AC,Schedule!$L:$L=K196,(Schedule!$J:$J="""")+(Schedule!$J:$J=L196),(Schedule!$K:$K=""b"")+(Schedule!$K:$K=""""),Schedule!$AB:$AB&lt;&gt;""""),""""))"),"")</f>
        <v/>
      </c>
      <c r="P196" s="152" t="str">
        <f>IFERROR(__xludf.DUMMYFUNCTION("if(K196="""","""",iferror(filter(Schedule!$S:$S&amp;""-""&amp;Schedule!$T:$T,Schedule!$L:$L=K196,(Schedule!$J:$J="""")+(Schedule!$J:$J=L196),(Schedule!$K:$K=""a"")+(Schedule!$K:$K=""""),Schedule!$S:$S&lt;&gt;""""),""""))"),"")</f>
        <v/>
      </c>
      <c r="Q196" s="152" t="str">
        <f>IFERROR(__xludf.DUMMYFUNCTION("if(K196="""","""",iferror(filter(Schedule!$V:$V&amp;""-""&amp;Schedule!$W:$W,Schedule!$L:$L=K196,(Schedule!$J:$J="""")+(Schedule!$J:$J=L196),(Schedule!$K:$K=""a"")+(Schedule!$K:$K=""""),Schedule!$V:$V&lt;&gt;""""),""""))"),"")</f>
        <v/>
      </c>
      <c r="R196" s="152" t="str">
        <f>IFERROR(__xludf.DUMMYFUNCTION("if(K196="""","""",iferror(filter(Schedule!$Y:$Y&amp;""-""&amp;Schedule!$Z:$Z,Schedule!$L:$L=K196,(Schedule!$J:$J="""")+(Schedule!$J:$J=L196),(Schedule!$K:$K=""b"")+(Schedule!$K:$K=""""),Schedule!$Y:$Y&lt;&gt;""""),""""))"),"")</f>
        <v/>
      </c>
      <c r="S196" s="153" t="str">
        <f>if(K196="","", 24-countifs(N196:R200,""))</f>
        <v/>
      </c>
      <c r="T196" s="155"/>
      <c r="U196" s="155" t="str">
        <f>W194</f>
        <v/>
      </c>
      <c r="V196" s="151" t="str">
        <f>AC194</f>
        <v/>
      </c>
      <c r="W196" s="147">
        <v>1.0</v>
      </c>
      <c r="X196" s="152" t="str">
        <f>IFERROR(__xludf.DUMMYFUNCTION("if(U196="""","""",iferror(filter(Schedule!$M:$M&amp;""-""&amp;Schedule!$N:$N,Schedule!$L:$L=U196,(Schedule!$J:$J="""")+(Schedule!$J:$J=V196),(Schedule!$K:$K=""a"")+(Schedule!$K:$K=""""),Schedule!$M:$M&lt;&gt;""""),""""))"),"")</f>
        <v/>
      </c>
      <c r="Y196" s="152" t="str">
        <f>IFERROR(__xludf.DUMMYFUNCTION("if(U196="""","""",iferror(filter(Schedule!$AB:$AB&amp;""-""&amp;Schedule!$AC:$AC,Schedule!$L:$L=U196,(Schedule!$J:$J="""")+(Schedule!$J:$J=V196),(Schedule!$K:$K=""b"")+(Schedule!$K:$K=""""),Schedule!$AB:$AB&lt;&gt;""""),""""))"),"")</f>
        <v/>
      </c>
      <c r="Z196" s="152" t="str">
        <f>IFERROR(__xludf.DUMMYFUNCTION("if(U196="""","""",iferror(filter(Schedule!$S:$S&amp;""-""&amp;Schedule!$T:$T,Schedule!$L:$L=U196,(Schedule!$J:$J="""")+(Schedule!$J:$J=V196),(Schedule!$K:$K=""a"")+(Schedule!$K:$K=""""),Schedule!$S:$S&lt;&gt;""""),""""))"),"")</f>
        <v/>
      </c>
      <c r="AA196" s="152" t="str">
        <f>IFERROR(__xludf.DUMMYFUNCTION("if(U196="""","""",iferror(filter(Schedule!$V:$V&amp;""-""&amp;Schedule!$W:$W,Schedule!$L:$L=U196,(Schedule!$J:$J="""")+(Schedule!$J:$J=V196),(Schedule!$K:$K=""a"")+(Schedule!$K:$K=""""),Schedule!$V:$V&lt;&gt;""""),""""))"),"")</f>
        <v/>
      </c>
      <c r="AB196" s="152" t="str">
        <f>IFERROR(__xludf.DUMMYFUNCTION("if(U196="""","""",iferror(filter(Schedule!$Y:$Y&amp;""-""&amp;Schedule!$Z:$Z,Schedule!$L:$L=U196,(Schedule!$J:$J="""")+(Schedule!$J:$J=V196),(Schedule!$K:$K=""b"")+(Schedule!$K:$K=""""),Schedule!$Y:$Y&lt;&gt;""""),""""))"),"")</f>
        <v/>
      </c>
      <c r="AC196" s="153" t="str">
        <f>if(U196="","", 24-countifs(X196:AB200,""))</f>
        <v/>
      </c>
      <c r="AD196" s="155"/>
      <c r="AE196" s="155" t="str">
        <f>AG194</f>
        <v/>
      </c>
      <c r="AF196" s="151" t="str">
        <f>AM194</f>
        <v/>
      </c>
      <c r="AG196" s="147">
        <v>1.0</v>
      </c>
      <c r="AH196" s="152" t="str">
        <f>IFERROR(__xludf.DUMMYFUNCTION("if(AE196="""","""",iferror(filter(Schedule!$M:$M&amp;""-""&amp;Schedule!$N:$N,Schedule!$L:$L=AE196,(Schedule!$J:$J="""")+(Schedule!$J:$J=AF196),(Schedule!$K:$K=""a"")+(Schedule!$K:$K=""""),Schedule!$M:$M&lt;&gt;""""),""""))"),"")</f>
        <v/>
      </c>
      <c r="AI196" s="152" t="str">
        <f>IFERROR(__xludf.DUMMYFUNCTION("if(AE196="""","""",iferror(filter(Schedule!$AB:$AB&amp;""-""&amp;Schedule!$AC:$AC,Schedule!$L:$L=AE196,(Schedule!$J:$J="""")+(Schedule!$J:$J=AF196),(Schedule!$K:$K=""b"")+(Schedule!$K:$K=""""),Schedule!$AB:$AB&lt;&gt;""""),""""))"),"")</f>
        <v/>
      </c>
      <c r="AJ196" s="152" t="str">
        <f>IFERROR(__xludf.DUMMYFUNCTION("if(AE196="""","""",iferror(filter(Schedule!$S:$S&amp;""-""&amp;Schedule!$T:$T,Schedule!$L:$L=AE196,(Schedule!$J:$J="""")+(Schedule!$J:$J=AF196),(Schedule!$K:$K=""a"")+(Schedule!$K:$K=""""),Schedule!$S:$S&lt;&gt;""""),""""))"),"")</f>
        <v/>
      </c>
      <c r="AK196" s="152" t="str">
        <f>IFERROR(__xludf.DUMMYFUNCTION("if(AE196="""","""",iferror(filter(Schedule!$V:$V&amp;""-""&amp;Schedule!$W:$W,Schedule!$L:$L=AE196,(Schedule!$J:$J="""")+(Schedule!$J:$J=AF196),(Schedule!$K:$K=""a"")+(Schedule!$K:$K=""""),Schedule!$V:$V&lt;&gt;""""),""""))"),"")</f>
        <v/>
      </c>
      <c r="AL196" s="152" t="str">
        <f>IFERROR(__xludf.DUMMYFUNCTION("if(AE196="""","""",iferror(filter(Schedule!$Y:$Y&amp;""-""&amp;Schedule!$Z:$Z,Schedule!$L:$L=AE196,(Schedule!$J:$J="""")+(Schedule!$J:$J=AF196),(Schedule!$K:$K=""b"")+(Schedule!$K:$K=""""),Schedule!$Y:$Y&lt;&gt;""""),""""))"),"")</f>
        <v/>
      </c>
      <c r="AM196" s="153" t="str">
        <f>if(AE196="","", 24-countifs(AH196:AL200,""))</f>
        <v/>
      </c>
    </row>
    <row r="197">
      <c r="A197" s="151" t="str">
        <f>C194</f>
        <v>Sebastian Guerra Cifuentes</v>
      </c>
      <c r="B197" s="151" t="str">
        <f>I194</f>
        <v>Y</v>
      </c>
      <c r="C197" s="147">
        <v>2.0</v>
      </c>
      <c r="D197" s="152" t="str">
        <f>IFERROR(__xludf.DUMMYFUNCTION("if(A197="""","""",iferror(filter(Schedule!$P:$P&amp;""-""&amp;Schedule!$Q:$Q,Schedule!$L:$L=A197,(Schedule!$J:$J="""")+(Schedule!$J:$J=B197),(Schedule!$K:$K=""a"")+(Schedule!$K:$K=""""),Schedule!$P:$P&lt;&gt;""""),""""))"),"Sociales 6-2")</f>
        <v>Sociales 6-2</v>
      </c>
      <c r="E197" s="152" t="str">
        <f>IFERROR(__xludf.DUMMYFUNCTION("if(A197="""","""",iferror(filter(Schedule!$Y:$Y&amp;""-""&amp;Schedule!$Z:$Z,Schedule!$L:$L=A197,(Schedule!$J:$J="""")+(Schedule!$J:$J=B197),(Schedule!$K:$K=""b"")+(Schedule!$K:$K=""""),Schedule!$Y:$Y&lt;&gt;""""),""""))"),"Sociales 6-6")</f>
        <v>Sociales 6-6</v>
      </c>
      <c r="F197" s="152" t="str">
        <f>IFERROR(__xludf.DUMMYFUNCTION("if(A197="""","""",iferror(filter(Schedule!$P:$P&amp;""-""&amp;Schedule!$Q:$Q,Schedule!$L:$L=A197,(Schedule!$J:$J="""")+(Schedule!$J:$J=B197),(Schedule!$K:$K=""a"")+(Schedule!$K:$K=""""),Schedule!$P:$P&lt;&gt;""""),""""))"),"Sociales 6-2")</f>
        <v>Sociales 6-2</v>
      </c>
      <c r="G197" s="152" t="str">
        <f>IFERROR(__xludf.DUMMYFUNCTION("if(A197="""","""",iferror(filter(Schedule!$M:$M&amp;""-""&amp;Schedule!$N:$N,Schedule!$L:$L=A197,(Schedule!$J:$J="""")+(Schedule!$J:$J=B197),(Schedule!$K:$K=""a"")+(Schedule!$K:$K=""""),Schedule!$M:$M&lt;&gt;""""),""""))"),"Sociales 6-1")</f>
        <v>Sociales 6-1</v>
      </c>
      <c r="H197" s="152" t="str">
        <f>IFERROR(__xludf.DUMMYFUNCTION("if(A197="""","""",iferror(filter(Schedule!$AB:$AB&amp;""-""&amp;Schedule!$AC:$AC,Schedule!$L:$L=A197,(Schedule!$J:$J="""")+(Schedule!$J:$J=B197),(Schedule!$K:$K=""a"")+(Schedule!$K:$K=""""),Schedule!$AB:$AB&lt;&gt;""""),""""))"),"")</f>
        <v/>
      </c>
      <c r="I197" s="60"/>
      <c r="J197" s="154"/>
      <c r="K197" s="151" t="str">
        <f>M194</f>
        <v/>
      </c>
      <c r="L197" s="151" t="str">
        <f>S194</f>
        <v/>
      </c>
      <c r="M197" s="147">
        <v>2.0</v>
      </c>
      <c r="N197" s="152" t="str">
        <f>IFERROR(__xludf.DUMMYFUNCTION("if(K197="""","""",iferror(filter(Schedule!$P:$P&amp;""-""&amp;Schedule!$Q:$Q,Schedule!$L:$L=K197,(Schedule!$J:$J="""")+(Schedule!$J:$J=L197),(Schedule!$K:$K=""a"")+(Schedule!$K:$K=""""),Schedule!$P:$P&lt;&gt;""""),""""))"),"")</f>
        <v/>
      </c>
      <c r="O197" s="152" t="str">
        <f>IFERROR(__xludf.DUMMYFUNCTION("if(K197="""","""",iferror(filter(Schedule!$Y:$Y&amp;""-""&amp;Schedule!$Z:$Z,Schedule!$L:$L=K197,(Schedule!$J:$J="""")+(Schedule!$J:$J=L197),(Schedule!$K:$K=""b"")+(Schedule!$K:$K=""""),Schedule!$Y:$Y&lt;&gt;""""),""""))"),"")</f>
        <v/>
      </c>
      <c r="P197" s="152" t="str">
        <f>IFERROR(__xludf.DUMMYFUNCTION("if(K197="""","""",iferror(filter(Schedule!$P:$P&amp;""-""&amp;Schedule!$Q:$Q,Schedule!$L:$L=K197,(Schedule!$J:$J="""")+(Schedule!$J:$J=L197),(Schedule!$K:$K=""a"")+(Schedule!$K:$K=""""),Schedule!$P:$P&lt;&gt;""""),""""))"),"")</f>
        <v/>
      </c>
      <c r="Q197" s="152" t="str">
        <f>IFERROR(__xludf.DUMMYFUNCTION("if(K197="""","""",iferror(filter(Schedule!$M:$M&amp;""-""&amp;Schedule!$N:$N,Schedule!$L:$L=K197,(Schedule!$J:$J="""")+(Schedule!$J:$J=L197),(Schedule!$K:$K=""a"")+(Schedule!$K:$K=""""),Schedule!$M:$M&lt;&gt;""""),""""))"),"")</f>
        <v/>
      </c>
      <c r="R197" s="152" t="str">
        <f>IFERROR(__xludf.DUMMYFUNCTION("if(K197="""","""",iferror(filter(Schedule!$AB:$AB&amp;""-""&amp;Schedule!$AC:$AC,Schedule!$L:$L=K197,(Schedule!$J:$J="""")+(Schedule!$J:$J=L197),(Schedule!$K:$K=""a"")+(Schedule!$K:$K=""""),Schedule!$AB:$AB&lt;&gt;""""),""""))"),"")</f>
        <v/>
      </c>
      <c r="S197" s="60"/>
      <c r="T197" s="155"/>
      <c r="U197" s="155" t="str">
        <f>W194</f>
        <v/>
      </c>
      <c r="V197" s="151" t="str">
        <f>AC194</f>
        <v/>
      </c>
      <c r="W197" s="147">
        <v>2.0</v>
      </c>
      <c r="X197" s="152" t="str">
        <f>IFERROR(__xludf.DUMMYFUNCTION("if(U197="""","""",iferror(filter(Schedule!$P:$P&amp;""-""&amp;Schedule!$Q:$Q,Schedule!$L:$L=U197,(Schedule!$J:$J="""")+(Schedule!$J:$J=V197),(Schedule!$K:$K=""a"")+(Schedule!$K:$K=""""),Schedule!$P:$P&lt;&gt;""""),""""))"),"")</f>
        <v/>
      </c>
      <c r="Y197" s="152" t="str">
        <f>IFERROR(__xludf.DUMMYFUNCTION("if(U197="""","""",iferror(filter(Schedule!$Y:$Y&amp;""-""&amp;Schedule!$Z:$Z,Schedule!$L:$L=U197,(Schedule!$J:$J="""")+(Schedule!$J:$J=V197),(Schedule!$K:$K=""b"")+(Schedule!$K:$K=""""),Schedule!$Y:$Y&lt;&gt;""""),""""))"),"")</f>
        <v/>
      </c>
      <c r="Z197" s="152" t="str">
        <f>IFERROR(__xludf.DUMMYFUNCTION("if(U197="""","""",iferror(filter(Schedule!$P:$P&amp;""-""&amp;Schedule!$Q:$Q,Schedule!$L:$L=U197,(Schedule!$J:$J="""")+(Schedule!$J:$J=V197),(Schedule!$K:$K=""a"")+(Schedule!$K:$K=""""),Schedule!$P:$P&lt;&gt;""""),""""))"),"")</f>
        <v/>
      </c>
      <c r="AA197" s="152" t="str">
        <f>IFERROR(__xludf.DUMMYFUNCTION("if(U197="""","""",iferror(filter(Schedule!$M:$M&amp;""-""&amp;Schedule!$N:$N,Schedule!$L:$L=U197,(Schedule!$J:$J="""")+(Schedule!$J:$J=V197),(Schedule!$K:$K=""a"")+(Schedule!$K:$K=""""),Schedule!$M:$M&lt;&gt;""""),""""))"),"")</f>
        <v/>
      </c>
      <c r="AB197" s="152" t="str">
        <f>IFERROR(__xludf.DUMMYFUNCTION("if(U197="""","""",iferror(filter(Schedule!$AB:$AB&amp;""-""&amp;Schedule!$AC:$AC,Schedule!$L:$L=U197,(Schedule!$J:$J="""")+(Schedule!$J:$J=V197),(Schedule!$K:$K=""a"")+(Schedule!$K:$K=""""),Schedule!$AB:$AB&lt;&gt;""""),""""))"),"")</f>
        <v/>
      </c>
      <c r="AC197" s="60"/>
      <c r="AD197" s="155"/>
      <c r="AE197" s="155" t="str">
        <f>AG194</f>
        <v/>
      </c>
      <c r="AF197" s="151" t="str">
        <f>AM194</f>
        <v/>
      </c>
      <c r="AG197" s="147">
        <v>2.0</v>
      </c>
      <c r="AH197" s="152" t="str">
        <f>IFERROR(__xludf.DUMMYFUNCTION("if(AE197="""","""",iferror(filter(Schedule!$P:$P&amp;""-""&amp;Schedule!$Q:$Q,Schedule!$L:$L=AE197,(Schedule!$J:$J="""")+(Schedule!$J:$J=AF197),(Schedule!$K:$K=""a"")+(Schedule!$K:$K=""""),Schedule!$P:$P&lt;&gt;""""),""""))"),"")</f>
        <v/>
      </c>
      <c r="AI197" s="152" t="str">
        <f>IFERROR(__xludf.DUMMYFUNCTION("if(AE197="""","""",iferror(filter(Schedule!$Y:$Y&amp;""-""&amp;Schedule!$Z:$Z,Schedule!$L:$L=AE197,(Schedule!$J:$J="""")+(Schedule!$J:$J=AF197),(Schedule!$K:$K=""b"")+(Schedule!$K:$K=""""),Schedule!$Y:$Y&lt;&gt;""""),""""))"),"")</f>
        <v/>
      </c>
      <c r="AJ197" s="152" t="str">
        <f>IFERROR(__xludf.DUMMYFUNCTION("if(AE197="""","""",iferror(filter(Schedule!$P:$P&amp;""-""&amp;Schedule!$Q:$Q,Schedule!$L:$L=AE197,(Schedule!$J:$J="""")+(Schedule!$J:$J=AF197),(Schedule!$K:$K=""a"")+(Schedule!$K:$K=""""),Schedule!$P:$P&lt;&gt;""""),""""))"),"")</f>
        <v/>
      </c>
      <c r="AK197" s="152" t="str">
        <f>IFERROR(__xludf.DUMMYFUNCTION("if(AE197="""","""",iferror(filter(Schedule!$M:$M&amp;""-""&amp;Schedule!$N:$N,Schedule!$L:$L=AE197,(Schedule!$J:$J="""")+(Schedule!$J:$J=AF197),(Schedule!$K:$K=""a"")+(Schedule!$K:$K=""""),Schedule!$M:$M&lt;&gt;""""),""""))"),"")</f>
        <v/>
      </c>
      <c r="AL197" s="152" t="str">
        <f>IFERROR(__xludf.DUMMYFUNCTION("if(AE197="""","""",iferror(filter(Schedule!$AB:$AB&amp;""-""&amp;Schedule!$AC:$AC,Schedule!$L:$L=AE197,(Schedule!$J:$J="""")+(Schedule!$J:$J=AF197),(Schedule!$K:$K=""a"")+(Schedule!$K:$K=""""),Schedule!$AB:$AB&lt;&gt;""""),""""))"),"")</f>
        <v/>
      </c>
      <c r="AM197" s="60"/>
    </row>
    <row r="198">
      <c r="A198" s="151" t="str">
        <f>C194</f>
        <v>Sebastian Guerra Cifuentes</v>
      </c>
      <c r="B198" s="151" t="str">
        <f>I194</f>
        <v>Y</v>
      </c>
      <c r="C198" s="147">
        <v>3.0</v>
      </c>
      <c r="D198" s="152" t="str">
        <f>IFERROR(__xludf.DUMMYFUNCTION("if(A198="""","""",iferror(filter(Schedule!$S:$S&amp;""-""&amp;Schedule!$T:$T,Schedule!$L:$L=A198,(Schedule!$J:$J="""")+(Schedule!$J:$J=B198),(Schedule!$K:$K=""a"")+(Schedule!$K:$K=""""),Schedule!$S:$S&lt;&gt;""""),""""))"),"")</f>
        <v/>
      </c>
      <c r="E198" s="152" t="str">
        <f>IFERROR(__xludf.DUMMYFUNCTION("if(A198="""","""",iferror(filter(Schedule!$S:$S&amp;""-""&amp;Schedule!$T:$T,Schedule!$L:$L=A198,(Schedule!$J:$J="""")+(Schedule!$J:$J=B198),(Schedule!$K:$K=""b"")+(Schedule!$K:$K=""""),Schedule!$S:$S&lt;&gt;""""),""""))"),"")</f>
        <v/>
      </c>
      <c r="F198" s="152" t="str">
        <f>IFERROR(__xludf.DUMMYFUNCTION("if(A198="""","""",iferror(filter(Schedule!$Y:$Y&amp;""-""&amp;Schedule!$Z:$Z,Schedule!$L:$L=A198,(Schedule!$J:$J="""")+(Schedule!$J:$J=B198),(Schedule!$K:$K=""a"")+(Schedule!$K:$K=""""),Schedule!$Y:$Y&lt;&gt;""""),""""))"),"Sociales 6-6")</f>
        <v>Sociales 6-6</v>
      </c>
      <c r="G198" s="152" t="str">
        <f>IFERROR(__xludf.DUMMYFUNCTION("if(A198="""","""",iferror(filter(Schedule!$P:$P&amp;""-""&amp;Schedule!$Q:$Q,Schedule!$L:$L=A198,(Schedule!$J:$J="""")+(Schedule!$J:$J=B198),(Schedule!$K:$K=""b"")+(Schedule!$K:$K=""""),Schedule!$P:$P&lt;&gt;""""),""""))"),"Sociales 6-2")</f>
        <v>Sociales 6-2</v>
      </c>
      <c r="H198" s="152" t="str">
        <f>if(C194="","","X-Block")</f>
        <v>X-Block</v>
      </c>
      <c r="I198" s="60"/>
      <c r="J198" s="154"/>
      <c r="K198" s="151" t="str">
        <f>M194</f>
        <v/>
      </c>
      <c r="L198" s="151" t="str">
        <f>S194</f>
        <v/>
      </c>
      <c r="M198" s="147">
        <v>3.0</v>
      </c>
      <c r="N198" s="152" t="str">
        <f>IFERROR(__xludf.DUMMYFUNCTION("if(K198="""","""",iferror(filter(Schedule!$S:$S&amp;""-""&amp;Schedule!$T:$T,Schedule!$L:$L=K198,(Schedule!$J:$J="""")+(Schedule!$J:$J=L198),(Schedule!$K:$K=""a"")+(Schedule!$K:$K=""""),Schedule!$S:$S&lt;&gt;""""),""""))"),"")</f>
        <v/>
      </c>
      <c r="O198" s="152" t="str">
        <f>IFERROR(__xludf.DUMMYFUNCTION("if(K198="""","""",iferror(filter(Schedule!$S:$S&amp;""-""&amp;Schedule!$T:$T,Schedule!$L:$L=K198,(Schedule!$J:$J="""")+(Schedule!$J:$J=L198),(Schedule!$K:$K=""b"")+(Schedule!$K:$K=""""),Schedule!$S:$S&lt;&gt;""""),""""))"),"")</f>
        <v/>
      </c>
      <c r="P198" s="152" t="str">
        <f>IFERROR(__xludf.DUMMYFUNCTION("if(K198="""","""",iferror(filter(Schedule!$Y:$Y&amp;""-""&amp;Schedule!$Z:$Z,Schedule!$L:$L=K198,(Schedule!$J:$J="""")+(Schedule!$J:$J=L198),(Schedule!$K:$K=""a"")+(Schedule!$K:$K=""""),Schedule!$Y:$Y&lt;&gt;""""),""""))"),"")</f>
        <v/>
      </c>
      <c r="Q198" s="152" t="str">
        <f>IFERROR(__xludf.DUMMYFUNCTION("if(K198="""","""",iferror(filter(Schedule!$P:$P&amp;""-""&amp;Schedule!$Q:$Q,Schedule!$L:$L=K198,(Schedule!$J:$J="""")+(Schedule!$J:$J=L198),(Schedule!$K:$K=""b"")+(Schedule!$K:$K=""""),Schedule!$P:$P&lt;&gt;""""),""""))"),"")</f>
        <v/>
      </c>
      <c r="R198" s="152" t="str">
        <f>if(M194="","","X-Block")</f>
        <v/>
      </c>
      <c r="S198" s="60"/>
      <c r="T198" s="155"/>
      <c r="U198" s="155" t="str">
        <f>W194</f>
        <v/>
      </c>
      <c r="V198" s="151" t="str">
        <f>AC194</f>
        <v/>
      </c>
      <c r="W198" s="147">
        <v>3.0</v>
      </c>
      <c r="X198" s="152" t="str">
        <f>IFERROR(__xludf.DUMMYFUNCTION("if(U198="""","""",iferror(filter(Schedule!$S:$S&amp;""-""&amp;Schedule!$T:$T,Schedule!$L:$L=U198,(Schedule!$J:$J="""")+(Schedule!$J:$J=V198),(Schedule!$K:$K=""a"")+(Schedule!$K:$K=""""),Schedule!$S:$S&lt;&gt;""""),""""))"),"")</f>
        <v/>
      </c>
      <c r="Y198" s="152" t="str">
        <f>IFERROR(__xludf.DUMMYFUNCTION("if(U198="""","""",iferror(filter(Schedule!$S:$S&amp;""-""&amp;Schedule!$T:$T,Schedule!$L:$L=U198,(Schedule!$J:$J="""")+(Schedule!$J:$J=V198),(Schedule!$K:$K=""b"")+(Schedule!$K:$K=""""),Schedule!$S:$S&lt;&gt;""""),""""))"),"")</f>
        <v/>
      </c>
      <c r="Z198" s="152" t="str">
        <f>IFERROR(__xludf.DUMMYFUNCTION("if(U198="""","""",iferror(filter(Schedule!$Y:$Y&amp;""-""&amp;Schedule!$Z:$Z,Schedule!$L:$L=U198,(Schedule!$J:$J="""")+(Schedule!$J:$J=V198),(Schedule!$K:$K=""a"")+(Schedule!$K:$K=""""),Schedule!$Y:$Y&lt;&gt;""""),""""))"),"")</f>
        <v/>
      </c>
      <c r="AA198" s="152" t="str">
        <f>IFERROR(__xludf.DUMMYFUNCTION("if(U198="""","""",iferror(filter(Schedule!$P:$P&amp;""-""&amp;Schedule!$Q:$Q,Schedule!$L:$L=U198,(Schedule!$J:$J="""")+(Schedule!$J:$J=V198),(Schedule!$K:$K=""b"")+(Schedule!$K:$K=""""),Schedule!$P:$P&lt;&gt;""""),""""))"),"")</f>
        <v/>
      </c>
      <c r="AB198" s="152" t="str">
        <f>if(W194="","","X-Block")</f>
        <v/>
      </c>
      <c r="AC198" s="60"/>
      <c r="AD198" s="155"/>
      <c r="AE198" s="155" t="str">
        <f>AG194</f>
        <v/>
      </c>
      <c r="AF198" s="151" t="str">
        <f>AM194</f>
        <v/>
      </c>
      <c r="AG198" s="147">
        <v>3.0</v>
      </c>
      <c r="AH198" s="152" t="str">
        <f>IFERROR(__xludf.DUMMYFUNCTION("if(AE198="""","""",iferror(filter(Schedule!$S:$S&amp;""-""&amp;Schedule!$T:$T,Schedule!$L:$L=AE198,(Schedule!$J:$J="""")+(Schedule!$J:$J=AF198),(Schedule!$K:$K=""a"")+(Schedule!$K:$K=""""),Schedule!$S:$S&lt;&gt;""""),""""))"),"")</f>
        <v/>
      </c>
      <c r="AI198" s="152" t="str">
        <f>IFERROR(__xludf.DUMMYFUNCTION("if(AE198="""","""",iferror(filter(Schedule!$S:$S&amp;""-""&amp;Schedule!$T:$T,Schedule!$L:$L=AE198,(Schedule!$J:$J="""")+(Schedule!$J:$J=AF198),(Schedule!$K:$K=""b"")+(Schedule!$K:$K=""""),Schedule!$S:$S&lt;&gt;""""),""""))"),"")</f>
        <v/>
      </c>
      <c r="AJ198" s="152" t="str">
        <f>IFERROR(__xludf.DUMMYFUNCTION("if(AE198="""","""",iferror(filter(Schedule!$Y:$Y&amp;""-""&amp;Schedule!$Z:$Z,Schedule!$L:$L=AE198,(Schedule!$J:$J="""")+(Schedule!$J:$J=AF198),(Schedule!$K:$K=""a"")+(Schedule!$K:$K=""""),Schedule!$Y:$Y&lt;&gt;""""),""""))"),"")</f>
        <v/>
      </c>
      <c r="AK198" s="152" t="str">
        <f>IFERROR(__xludf.DUMMYFUNCTION("if(AE198="""","""",iferror(filter(Schedule!$P:$P&amp;""-""&amp;Schedule!$Q:$Q,Schedule!$L:$L=AE198,(Schedule!$J:$J="""")+(Schedule!$J:$J=AF198),(Schedule!$K:$K=""b"")+(Schedule!$K:$K=""""),Schedule!$P:$P&lt;&gt;""""),""""))"),"")</f>
        <v/>
      </c>
      <c r="AL198" s="152" t="str">
        <f>if(AG194="","","X-Block")</f>
        <v/>
      </c>
      <c r="AM198" s="60"/>
    </row>
    <row r="199">
      <c r="A199" s="151" t="str">
        <f>C194</f>
        <v>Sebastian Guerra Cifuentes</v>
      </c>
      <c r="B199" s="151" t="str">
        <f>I194</f>
        <v>Y</v>
      </c>
      <c r="C199" s="147">
        <v>4.0</v>
      </c>
      <c r="D199" s="152" t="str">
        <f>IFERROR(__xludf.DUMMYFUNCTION("if(A199="""","""",iferror(filter(Schedule!$V:$V&amp;""-""&amp;Schedule!$W:$W,Schedule!$L:$L=A199,(Schedule!$J:$J="""")+(Schedule!$J:$J=B199),(Schedule!$K:$K=""a"")+(Schedule!$K:$K=""""),Schedule!$V:$V&lt;&gt;""""),""""))"),"Sociales 6-5")</f>
        <v>Sociales 6-5</v>
      </c>
      <c r="E199" s="152" t="str">
        <f>IFERROR(__xludf.DUMMYFUNCTION("if(A199="""","""",iferror(filter(Schedule!$M:$M&amp;""-""&amp;Schedule!$N:$N,Schedule!$L:$L=A199,(Schedule!$J:$J="""")+(Schedule!$J:$J=B199),(Schedule!$K:$K=""b"")+(Schedule!$K:$K=""""),Schedule!$M:$M&lt;&gt;""""),""""))"),"Sociales 6-1")</f>
        <v>Sociales 6-1</v>
      </c>
      <c r="F199" s="152" t="str">
        <f>IFERROR(__xludf.DUMMYFUNCTION("if(A199="""","""",iferror(filter(Schedule!$AB:$AB&amp;""-""&amp;Schedule!$AC:$AC,Schedule!$L:$L=A199,(Schedule!$J:$J="""")+(Schedule!$J:$J=B199),(Schedule!$K:$K=""a"")+(Schedule!$K:$K=""""),Schedule!$AB:$AB&lt;&gt;""""),""""))"),"")</f>
        <v/>
      </c>
      <c r="G199" s="152" t="str">
        <f>IFERROR(__xludf.DUMMYFUNCTION("if(A199="""","""",iferror(filter(Schedule!$S:$S&amp;""-""&amp;Schedule!$T:$T,Schedule!$L:$L=A199,(Schedule!$J:$J="""")+(Schedule!$J:$J=B199),(Schedule!$K:$K=""b"")+(Schedule!$K:$K=""""),Schedule!$S:$S&lt;&gt;""""),""""))"),"")</f>
        <v/>
      </c>
      <c r="H199" s="152" t="str">
        <f>IFERROR(__xludf.DUMMYFUNCTION("if(A199="""","""",iferror(filter(Schedule!$V:$V&amp;""-""&amp;Schedule!$W:$W,Schedule!$L:$L=A199,(Schedule!$J:$J="""")+(Schedule!$J:$J=B199),(Schedule!$K:$K=""b"")+(Schedule!$K:$K=""""),Schedule!$V:$V&lt;&gt;""""),""""))"),"Sociales 6-5")</f>
        <v>Sociales 6-5</v>
      </c>
      <c r="I199" s="60"/>
      <c r="J199" s="154"/>
      <c r="K199" s="151" t="str">
        <f>M194</f>
        <v/>
      </c>
      <c r="L199" s="151" t="str">
        <f>S194</f>
        <v/>
      </c>
      <c r="M199" s="147">
        <v>4.0</v>
      </c>
      <c r="N199" s="152" t="str">
        <f>IFERROR(__xludf.DUMMYFUNCTION("if(K199="""","""",iferror(filter(Schedule!$V:$V&amp;""-""&amp;Schedule!$W:$W,Schedule!$L:$L=K199,(Schedule!$J:$J="""")+(Schedule!$J:$J=L199),(Schedule!$K:$K=""a"")+(Schedule!$K:$K=""""),Schedule!$V:$V&lt;&gt;""""),""""))"),"")</f>
        <v/>
      </c>
      <c r="O199" s="152" t="str">
        <f>IFERROR(__xludf.DUMMYFUNCTION("if(K199="""","""",iferror(filter(Schedule!$M:$M&amp;""-""&amp;Schedule!$N:$N,Schedule!$L:$L=K199,(Schedule!$J:$J="""")+(Schedule!$J:$J=L199),(Schedule!$K:$K=""b"")+(Schedule!$K:$K=""""),Schedule!$M:$M&lt;&gt;""""),""""))"),"")</f>
        <v/>
      </c>
      <c r="P199" s="152" t="str">
        <f>IFERROR(__xludf.DUMMYFUNCTION("if(K199="""","""",iferror(filter(Schedule!$AB:$AB&amp;""-""&amp;Schedule!$AC:$AC,Schedule!$L:$L=K199,(Schedule!$J:$J="""")+(Schedule!$J:$J=L199),(Schedule!$K:$K=""a"")+(Schedule!$K:$K=""""),Schedule!$AB:$AB&lt;&gt;""""),""""))"),"")</f>
        <v/>
      </c>
      <c r="Q199" s="152" t="str">
        <f>IFERROR(__xludf.DUMMYFUNCTION("if(K199="""","""",iferror(filter(Schedule!$S:$S&amp;""-""&amp;Schedule!$T:$T,Schedule!$L:$L=K199,(Schedule!$J:$J="""")+(Schedule!$J:$J=L199),(Schedule!$K:$K=""b"")+(Schedule!$K:$K=""""),Schedule!$S:$S&lt;&gt;""""),""""))"),"")</f>
        <v/>
      </c>
      <c r="R199" s="152" t="str">
        <f>IFERROR(__xludf.DUMMYFUNCTION("if(K199="""","""",iferror(filter(Schedule!$V:$V&amp;""-""&amp;Schedule!$W:$W,Schedule!$L:$L=K199,(Schedule!$J:$J="""")+(Schedule!$J:$J=L199),(Schedule!$K:$K=""b"")+(Schedule!$K:$K=""""),Schedule!$V:$V&lt;&gt;""""),""""))"),"")</f>
        <v/>
      </c>
      <c r="S199" s="60"/>
      <c r="T199" s="155"/>
      <c r="U199" s="155" t="str">
        <f>W194</f>
        <v/>
      </c>
      <c r="V199" s="151" t="str">
        <f>AC194</f>
        <v/>
      </c>
      <c r="W199" s="147">
        <v>4.0</v>
      </c>
      <c r="X199" s="152" t="str">
        <f>IFERROR(__xludf.DUMMYFUNCTION("if(U199="""","""",iferror(filter(Schedule!$V:$V&amp;""-""&amp;Schedule!$W:$W,Schedule!$L:$L=U199,(Schedule!$J:$J="""")+(Schedule!$J:$J=V199),(Schedule!$K:$K=""a"")+(Schedule!$K:$K=""""),Schedule!$V:$V&lt;&gt;""""),""""))"),"")</f>
        <v/>
      </c>
      <c r="Y199" s="152" t="str">
        <f>IFERROR(__xludf.DUMMYFUNCTION("if(U199="""","""",iferror(filter(Schedule!$M:$M&amp;""-""&amp;Schedule!$N:$N,Schedule!$L:$L=U199,(Schedule!$J:$J="""")+(Schedule!$J:$J=V199),(Schedule!$K:$K=""b"")+(Schedule!$K:$K=""""),Schedule!$M:$M&lt;&gt;""""),""""))"),"")</f>
        <v/>
      </c>
      <c r="Z199" s="152" t="str">
        <f>IFERROR(__xludf.DUMMYFUNCTION("if(U199="""","""",iferror(filter(Schedule!$AB:$AB&amp;""-""&amp;Schedule!$AC:$AC,Schedule!$L:$L=U199,(Schedule!$J:$J="""")+(Schedule!$J:$J=V199),(Schedule!$K:$K=""a"")+(Schedule!$K:$K=""""),Schedule!$AB:$AB&lt;&gt;""""),""""))"),"")</f>
        <v/>
      </c>
      <c r="AA199" s="152" t="str">
        <f>IFERROR(__xludf.DUMMYFUNCTION("if(U199="""","""",iferror(filter(Schedule!$S:$S&amp;""-""&amp;Schedule!$T:$T,Schedule!$L:$L=U199,(Schedule!$J:$J="""")+(Schedule!$J:$J=V199),(Schedule!$K:$K=""b"")+(Schedule!$K:$K=""""),Schedule!$S:$S&lt;&gt;""""),""""))"),"")</f>
        <v/>
      </c>
      <c r="AB199" s="152" t="str">
        <f>IFERROR(__xludf.DUMMYFUNCTION("if(U199="""","""",iferror(filter(Schedule!$V:$V&amp;""-""&amp;Schedule!$W:$W,Schedule!$L:$L=U199,(Schedule!$J:$J="""")+(Schedule!$J:$J=V199),(Schedule!$K:$K=""b"")+(Schedule!$K:$K=""""),Schedule!$V:$V&lt;&gt;""""),""""))"),"")</f>
        <v/>
      </c>
      <c r="AC199" s="60"/>
      <c r="AD199" s="155"/>
      <c r="AE199" s="155" t="str">
        <f>AG194</f>
        <v/>
      </c>
      <c r="AF199" s="151" t="str">
        <f>AM194</f>
        <v/>
      </c>
      <c r="AG199" s="147">
        <v>4.0</v>
      </c>
      <c r="AH199" s="152" t="str">
        <f>IFERROR(__xludf.DUMMYFUNCTION("if(AE199="""","""",iferror(filter(Schedule!$V:$V&amp;""-""&amp;Schedule!$W:$W,Schedule!$L:$L=AE199,(Schedule!$J:$J="""")+(Schedule!$J:$J=AF199),(Schedule!$K:$K=""a"")+(Schedule!$K:$K=""""),Schedule!$V:$V&lt;&gt;""""),""""))"),"")</f>
        <v/>
      </c>
      <c r="AI199" s="152" t="str">
        <f>IFERROR(__xludf.DUMMYFUNCTION("if(AE199="""","""",iferror(filter(Schedule!$M:$M&amp;""-""&amp;Schedule!$N:$N,Schedule!$L:$L=AE199,(Schedule!$J:$J="""")+(Schedule!$J:$J=AF199),(Schedule!$K:$K=""b"")+(Schedule!$K:$K=""""),Schedule!$M:$M&lt;&gt;""""),""""))"),"")</f>
        <v/>
      </c>
      <c r="AJ199" s="152" t="str">
        <f>IFERROR(__xludf.DUMMYFUNCTION("if(AE199="""","""",iferror(filter(Schedule!$AB:$AB&amp;""-""&amp;Schedule!$AC:$AC,Schedule!$L:$L=AE199,(Schedule!$J:$J="""")+(Schedule!$J:$J=AF199),(Schedule!$K:$K=""a"")+(Schedule!$K:$K=""""),Schedule!$AB:$AB&lt;&gt;""""),""""))"),"")</f>
        <v/>
      </c>
      <c r="AK199" s="152" t="str">
        <f>IFERROR(__xludf.DUMMYFUNCTION("if(AE199="""","""",iferror(filter(Schedule!$S:$S&amp;""-""&amp;Schedule!$T:$T,Schedule!$L:$L=AE199,(Schedule!$J:$J="""")+(Schedule!$J:$J=AF199),(Schedule!$K:$K=""b"")+(Schedule!$K:$K=""""),Schedule!$S:$S&lt;&gt;""""),""""))"),"")</f>
        <v/>
      </c>
      <c r="AL199" s="152" t="str">
        <f>IFERROR(__xludf.DUMMYFUNCTION("if(AE199="""","""",iferror(filter(Schedule!$V:$V&amp;""-""&amp;Schedule!$W:$W,Schedule!$L:$L=AE199,(Schedule!$J:$J="""")+(Schedule!$J:$J=AF199),(Schedule!$K:$K=""b"")+(Schedule!$K:$K=""""),Schedule!$V:$V&lt;&gt;""""),""""))"),"")</f>
        <v/>
      </c>
      <c r="AM199" s="60"/>
    </row>
    <row r="200">
      <c r="A200" s="151" t="str">
        <f>C194</f>
        <v>Sebastian Guerra Cifuentes</v>
      </c>
      <c r="B200" s="151" t="str">
        <f>I194</f>
        <v>Y</v>
      </c>
      <c r="C200" s="147">
        <v>5.0</v>
      </c>
      <c r="D200" s="152" t="str">
        <f>IFERROR(__xludf.DUMMYFUNCTION("if(A200="""","""",iferror(filter(Schedule!$Y:$Y&amp;""-""&amp;Schedule!$Z:$Z,Schedule!$L:$L=A200,(Schedule!$J:$J="""")+(Schedule!$J:$J=B200),(Schedule!$K:$K=""a"")+(Schedule!$K:$K=""""),Schedule!$Y:$Y&lt;&gt;""""),""""))"),"Sociales 6-6")</f>
        <v>Sociales 6-6</v>
      </c>
      <c r="E200" s="152" t="str">
        <f>IFERROR(__xludf.DUMMYFUNCTION("if(A200="""","""",iferror(filter(Schedule!$P:$P&amp;""-""&amp;Schedule!$Q:$Q,Schedule!$L:$L=A200,(Schedule!$J:$J="""")+(Schedule!$J:$J=B200),(Schedule!$K:$K=""b"")+(Schedule!$K:$K=""""),Schedule!$P:$P&lt;&gt;""""),""""))"),"Sociales 6-2")</f>
        <v>Sociales 6-2</v>
      </c>
      <c r="F200" s="152" t="str">
        <f>IFERROR(__xludf.DUMMYFUNCTION("if(A200="""","""",iferror(filter(Schedule!$V:$V&amp;""-""&amp;Schedule!$W:$W,Schedule!$L:$L=A200,(Schedule!$J:$J="""")+(Schedule!$J:$J=B200),(Schedule!$K:$K=""b"")+(Schedule!$K:$K=""""),Schedule!$V:$V&lt;&gt;""""),""""))"),"Sociales 6-5")</f>
        <v>Sociales 6-5</v>
      </c>
      <c r="G200" s="152" t="str">
        <f>IFERROR(__xludf.DUMMYFUNCTION("if(A200="""","""",iferror(filter(Schedule!$AB:$AB&amp;""-""&amp;Schedule!$AC:$AC,Schedule!$L:$L=A200,(Schedule!$J:$J="""")+(Schedule!$J:$J=B200),(Schedule!$K:$K=""b"")+(Schedule!$K:$K=""""),Schedule!$AB:$AB&lt;&gt;""""),""""))"),"")</f>
        <v/>
      </c>
      <c r="H200" s="152" t="str">
        <f>IFERROR(__xludf.DUMMYFUNCTION("if(A200="""","""",iferror(filter(Schedule!$M:$M&amp;""-""&amp;Schedule!$N:$N,Schedule!$L:$L=A200,(Schedule!$J:$J="""")+(Schedule!$J:$J=B200),(Schedule!$K:$K=""b"")+(Schedule!$K:$K=""""),Schedule!$M:$M&lt;&gt;""""),""""))"),"Sociales 6-1")</f>
        <v>Sociales 6-1</v>
      </c>
      <c r="I200" s="64"/>
      <c r="J200" s="154"/>
      <c r="K200" s="151" t="str">
        <f>M194</f>
        <v/>
      </c>
      <c r="L200" s="151" t="str">
        <f>S194</f>
        <v/>
      </c>
      <c r="M200" s="147">
        <v>5.0</v>
      </c>
      <c r="N200" s="152" t="str">
        <f>IFERROR(__xludf.DUMMYFUNCTION("if(K200="""","""",iferror(filter(Schedule!$Y:$Y&amp;""-""&amp;Schedule!$Z:$Z,Schedule!$L:$L=K200,(Schedule!$J:$J="""")+(Schedule!$J:$J=L200),(Schedule!$K:$K=""a"")+(Schedule!$K:$K=""""),Schedule!$Y:$Y&lt;&gt;""""),""""))"),"")</f>
        <v/>
      </c>
      <c r="O200" s="152" t="str">
        <f>IFERROR(__xludf.DUMMYFUNCTION("if(K200="""","""",iferror(filter(Schedule!$P:$P&amp;""-""&amp;Schedule!$Q:$Q,Schedule!$L:$L=K200,(Schedule!$J:$J="""")+(Schedule!$J:$J=L200),(Schedule!$K:$K=""b"")+(Schedule!$K:$K=""""),Schedule!$P:$P&lt;&gt;""""),""""))"),"")</f>
        <v/>
      </c>
      <c r="P200" s="152" t="str">
        <f>IFERROR(__xludf.DUMMYFUNCTION("if(K200="""","""",iferror(filter(Schedule!$V:$V&amp;""-""&amp;Schedule!$W:$W,Schedule!$L:$L=K200,(Schedule!$J:$J="""")+(Schedule!$J:$J=L200),(Schedule!$K:$K=""b"")+(Schedule!$K:$K=""""),Schedule!$V:$V&lt;&gt;""""),""""))"),"")</f>
        <v/>
      </c>
      <c r="Q200" s="152" t="str">
        <f>IFERROR(__xludf.DUMMYFUNCTION("if(K200="""","""",iferror(filter(Schedule!$AB:$AB&amp;""-""&amp;Schedule!$AC:$AC,Schedule!$L:$L=K200,(Schedule!$J:$J="""")+(Schedule!$J:$J=L200),(Schedule!$K:$K=""b"")+(Schedule!$K:$K=""""),Schedule!$AB:$AB&lt;&gt;""""),""""))"),"")</f>
        <v/>
      </c>
      <c r="R200" s="152" t="str">
        <f>IFERROR(__xludf.DUMMYFUNCTION("if(K200="""","""",iferror(filter(Schedule!$M:$M&amp;""-""&amp;Schedule!$N:$N,Schedule!$L:$L=K200,(Schedule!$J:$J="""")+(Schedule!$J:$J=L200),(Schedule!$K:$K=""b"")+(Schedule!$K:$K=""""),Schedule!$M:$M&lt;&gt;""""),""""))"),"")</f>
        <v/>
      </c>
      <c r="S200" s="64"/>
      <c r="T200" s="155"/>
      <c r="U200" s="155" t="str">
        <f>W194</f>
        <v/>
      </c>
      <c r="V200" s="151" t="str">
        <f>AC194</f>
        <v/>
      </c>
      <c r="W200" s="147">
        <v>5.0</v>
      </c>
      <c r="X200" s="152" t="str">
        <f>IFERROR(__xludf.DUMMYFUNCTION("if(U200="""","""",iferror(filter(Schedule!$Y:$Y&amp;""-""&amp;Schedule!$Z:$Z,Schedule!$L:$L=U200,(Schedule!$J:$J="""")+(Schedule!$J:$J=V200),(Schedule!$K:$K=""a"")+(Schedule!$K:$K=""""),Schedule!$Y:$Y&lt;&gt;""""),""""))"),"")</f>
        <v/>
      </c>
      <c r="Y200" s="152" t="str">
        <f>IFERROR(__xludf.DUMMYFUNCTION("if(U200="""","""",iferror(filter(Schedule!$P:$P&amp;""-""&amp;Schedule!$Q:$Q,Schedule!$L:$L=U200,(Schedule!$J:$J="""")+(Schedule!$J:$J=V200),(Schedule!$K:$K=""b"")+(Schedule!$K:$K=""""),Schedule!$P:$P&lt;&gt;""""),""""))"),"")</f>
        <v/>
      </c>
      <c r="Z200" s="152" t="str">
        <f>IFERROR(__xludf.DUMMYFUNCTION("if(U200="""","""",iferror(filter(Schedule!$V:$V&amp;""-""&amp;Schedule!$W:$W,Schedule!$L:$L=U200,(Schedule!$J:$J="""")+(Schedule!$J:$J=V200),(Schedule!$K:$K=""b"")+(Schedule!$K:$K=""""),Schedule!$V:$V&lt;&gt;""""),""""))"),"")</f>
        <v/>
      </c>
      <c r="AA200" s="152" t="str">
        <f>IFERROR(__xludf.DUMMYFUNCTION("if(U200="""","""",iferror(filter(Schedule!$AB:$AB&amp;""-""&amp;Schedule!$AC:$AC,Schedule!$L:$L=U200,(Schedule!$J:$J="""")+(Schedule!$J:$J=V200),(Schedule!$K:$K=""b"")+(Schedule!$K:$K=""""),Schedule!$AB:$AB&lt;&gt;""""),""""))"),"")</f>
        <v/>
      </c>
      <c r="AB200" s="152" t="str">
        <f>IFERROR(__xludf.DUMMYFUNCTION("if(U200="""","""",iferror(filter(Schedule!$M:$M&amp;""-""&amp;Schedule!$N:$N,Schedule!$L:$L=U200,(Schedule!$J:$J="""")+(Schedule!$J:$J=V200),(Schedule!$K:$K=""b"")+(Schedule!$K:$K=""""),Schedule!$M:$M&lt;&gt;""""),""""))"),"")</f>
        <v/>
      </c>
      <c r="AC200" s="64"/>
      <c r="AD200" s="155"/>
      <c r="AE200" s="155" t="str">
        <f>AG194</f>
        <v/>
      </c>
      <c r="AF200" s="151" t="str">
        <f>AM194</f>
        <v/>
      </c>
      <c r="AG200" s="147">
        <v>5.0</v>
      </c>
      <c r="AH200" s="152" t="str">
        <f>IFERROR(__xludf.DUMMYFUNCTION("if(AE200="""","""",iferror(filter(Schedule!$Y:$Y&amp;""-""&amp;Schedule!$Z:$Z,Schedule!$L:$L=AE200,(Schedule!$J:$J="""")+(Schedule!$J:$J=AF200),(Schedule!$K:$K=""a"")+(Schedule!$K:$K=""""),Schedule!$Y:$Y&lt;&gt;""""),""""))"),"")</f>
        <v/>
      </c>
      <c r="AI200" s="152" t="str">
        <f>IFERROR(__xludf.DUMMYFUNCTION("if(AE200="""","""",iferror(filter(Schedule!$P:$P&amp;""-""&amp;Schedule!$Q:$Q,Schedule!$L:$L=AE200,(Schedule!$J:$J="""")+(Schedule!$J:$J=AF200),(Schedule!$K:$K=""b"")+(Schedule!$K:$K=""""),Schedule!$P:$P&lt;&gt;""""),""""))"),"")</f>
        <v/>
      </c>
      <c r="AJ200" s="152" t="str">
        <f>IFERROR(__xludf.DUMMYFUNCTION("if(AE200="""","""",iferror(filter(Schedule!$V:$V&amp;""-""&amp;Schedule!$W:$W,Schedule!$L:$L=AE200,(Schedule!$J:$J="""")+(Schedule!$J:$J=AF200),(Schedule!$K:$K=""b"")+(Schedule!$K:$K=""""),Schedule!$V:$V&lt;&gt;""""),""""))"),"")</f>
        <v/>
      </c>
      <c r="AK200" s="152" t="str">
        <f>IFERROR(__xludf.DUMMYFUNCTION("if(AE200="""","""",iferror(filter(Schedule!$AB:$AB&amp;""-""&amp;Schedule!$AC:$AC,Schedule!$L:$L=AE200,(Schedule!$J:$J="""")+(Schedule!$J:$J=AF200),(Schedule!$K:$K=""b"")+(Schedule!$K:$K=""""),Schedule!$AB:$AB&lt;&gt;""""),""""))"),"")</f>
        <v/>
      </c>
      <c r="AL200" s="152" t="str">
        <f>IFERROR(__xludf.DUMMYFUNCTION("if(AE200="""","""",iferror(filter(Schedule!$M:$M&amp;""-""&amp;Schedule!$N:$N,Schedule!$L:$L=AE200,(Schedule!$J:$J="""")+(Schedule!$J:$J=AF200),(Schedule!$K:$K=""b"")+(Schedule!$K:$K=""""),Schedule!$M:$M&lt;&gt;""""),""""))"),"")</f>
        <v/>
      </c>
      <c r="AM200" s="64"/>
    </row>
    <row r="201">
      <c r="A201" s="11"/>
      <c r="B201" s="11"/>
      <c r="C201" s="156"/>
      <c r="D201" s="156"/>
      <c r="E201" s="156"/>
      <c r="F201" s="156"/>
      <c r="G201" s="156"/>
      <c r="H201" s="156"/>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c r="A202" s="5"/>
      <c r="B202" s="5"/>
      <c r="C202" s="140" t="str">
        <f>Teachers!A26</f>
        <v>Shaila Raen Nicholson</v>
      </c>
      <c r="D202" s="141"/>
      <c r="E202" s="141"/>
      <c r="F202" s="141"/>
      <c r="G202" s="141"/>
      <c r="H202" s="142"/>
      <c r="I202" s="143" t="str">
        <f>IFERROR(__xludf.DUMMYFUNCTION("if(C202="""","""", iferror(unique(filter(Schedule!$J:$J,Schedule!$L:$L=$C202,Schedule!$J:$J=""Q1"")),iferror(unique(filter(Schedule!$J:$J,Schedule!$L:$L=$C202,Schedule!$J:$J=""S1"")),""Y"")))"),"Y")</f>
        <v>Y</v>
      </c>
      <c r="J202" s="11"/>
      <c r="K202" s="11"/>
      <c r="L202" s="11"/>
      <c r="M202" s="140" t="str">
        <f>if(S202="","",C202)</f>
        <v/>
      </c>
      <c r="N202" s="141"/>
      <c r="O202" s="141"/>
      <c r="P202" s="141"/>
      <c r="Q202" s="141"/>
      <c r="R202" s="142"/>
      <c r="S202" s="143" t="str">
        <f>if($I202="Q1","Q2",if($I202="S1","S2",""))</f>
        <v/>
      </c>
      <c r="T202" s="144"/>
      <c r="U202" s="144"/>
      <c r="V202" s="145"/>
      <c r="W202" s="140" t="str">
        <f>if(AC202="","",M202)</f>
        <v/>
      </c>
      <c r="X202" s="141"/>
      <c r="Y202" s="141"/>
      <c r="Z202" s="141"/>
      <c r="AA202" s="141"/>
      <c r="AB202" s="142"/>
      <c r="AC202" s="143" t="str">
        <f>if($I202="Q1","Q3","")</f>
        <v/>
      </c>
      <c r="AD202" s="144"/>
      <c r="AE202" s="144"/>
      <c r="AF202" s="145"/>
      <c r="AG202" s="140" t="str">
        <f>if(AC202="","",W202)</f>
        <v/>
      </c>
      <c r="AH202" s="141"/>
      <c r="AI202" s="141"/>
      <c r="AJ202" s="141"/>
      <c r="AK202" s="141"/>
      <c r="AL202" s="142"/>
      <c r="AM202" s="143" t="str">
        <f>if($I202="Q1","Q4","")</f>
        <v/>
      </c>
    </row>
    <row r="203">
      <c r="A203" s="146"/>
      <c r="B203" s="146"/>
      <c r="C203" s="147" t="s">
        <v>94</v>
      </c>
      <c r="D203" s="148" t="s">
        <v>95</v>
      </c>
      <c r="E203" s="148" t="s">
        <v>96</v>
      </c>
      <c r="F203" s="148" t="s">
        <v>97</v>
      </c>
      <c r="G203" s="148" t="s">
        <v>98</v>
      </c>
      <c r="H203" s="148" t="s">
        <v>99</v>
      </c>
      <c r="I203" s="148" t="s">
        <v>651</v>
      </c>
      <c r="J203" s="146"/>
      <c r="K203" s="146"/>
      <c r="L203" s="146"/>
      <c r="M203" s="147" t="s">
        <v>94</v>
      </c>
      <c r="N203" s="148" t="s">
        <v>95</v>
      </c>
      <c r="O203" s="148" t="s">
        <v>96</v>
      </c>
      <c r="P203" s="148" t="s">
        <v>97</v>
      </c>
      <c r="Q203" s="148" t="s">
        <v>98</v>
      </c>
      <c r="R203" s="148" t="s">
        <v>99</v>
      </c>
      <c r="S203" s="148" t="s">
        <v>651</v>
      </c>
      <c r="T203" s="149"/>
      <c r="U203" s="149"/>
      <c r="V203" s="150"/>
      <c r="W203" s="147" t="s">
        <v>94</v>
      </c>
      <c r="X203" s="148" t="s">
        <v>95</v>
      </c>
      <c r="Y203" s="148" t="s">
        <v>96</v>
      </c>
      <c r="Z203" s="148" t="s">
        <v>97</v>
      </c>
      <c r="AA203" s="148" t="s">
        <v>98</v>
      </c>
      <c r="AB203" s="148" t="s">
        <v>99</v>
      </c>
      <c r="AC203" s="148" t="s">
        <v>651</v>
      </c>
      <c r="AD203" s="149"/>
      <c r="AE203" s="149"/>
      <c r="AF203" s="150"/>
      <c r="AG203" s="147" t="s">
        <v>94</v>
      </c>
      <c r="AH203" s="148" t="s">
        <v>95</v>
      </c>
      <c r="AI203" s="148" t="s">
        <v>96</v>
      </c>
      <c r="AJ203" s="148" t="s">
        <v>97</v>
      </c>
      <c r="AK203" s="148" t="s">
        <v>98</v>
      </c>
      <c r="AL203" s="148" t="s">
        <v>99</v>
      </c>
      <c r="AM203" s="148" t="s">
        <v>651</v>
      </c>
    </row>
    <row r="204">
      <c r="A204" s="151" t="str">
        <f>C202</f>
        <v>Shaila Raen Nicholson</v>
      </c>
      <c r="B204" s="151" t="str">
        <f>I202</f>
        <v>Y</v>
      </c>
      <c r="C204" s="147">
        <v>1.0</v>
      </c>
      <c r="D204" s="152" t="str">
        <f>IFERROR(__xludf.DUMMYFUNCTION("if(A204="""","""",iferror(filter(Schedule!$M:$M&amp;""-""&amp;Schedule!$N:$N,Schedule!$L:$L=A204,(Schedule!$J:$J="""")+(Schedule!$J:$J=B204),(Schedule!$K:$K=""a"")+(Schedule!$K:$K=""""),Schedule!$M:$M&lt;&gt;""""),""""))"),"English 8-1")</f>
        <v>English 8-1</v>
      </c>
      <c r="E204" s="152" t="str">
        <f>IFERROR(__xludf.DUMMYFUNCTION("if(A204="""","""",iferror(filter(Schedule!$AB:$AB&amp;""-""&amp;Schedule!$AC:$AC,Schedule!$L:$L=A204,(Schedule!$J:$J="""")+(Schedule!$J:$J=B204),(Schedule!$K:$K=""b"")+(Schedule!$K:$K=""""),Schedule!$AB:$AB&lt;&gt;""""),""""))"),"English 8-5")</f>
        <v>English 8-5</v>
      </c>
      <c r="F204" s="152" t="str">
        <f>IFERROR(__xludf.DUMMYFUNCTION("if(A204="""","""",iferror(filter(Schedule!$S:$S&amp;""-""&amp;Schedule!$T:$T,Schedule!$L:$L=A204,(Schedule!$J:$J="""")+(Schedule!$J:$J=B204),(Schedule!$K:$K=""a"")+(Schedule!$K:$K=""""),Schedule!$S:$S&lt;&gt;""""),""""))"),"")</f>
        <v/>
      </c>
      <c r="G204" s="152" t="str">
        <f>IFERROR(__xludf.DUMMYFUNCTION("if(A204="""","""",iferror(filter(Schedule!$V:$V&amp;""-""&amp;Schedule!$W:$W,Schedule!$L:$L=A204,(Schedule!$J:$J="""")+(Schedule!$J:$J=B204),(Schedule!$K:$K=""a"")+(Schedule!$K:$K=""""),Schedule!$V:$V&lt;&gt;""""),""""))"),"")</f>
        <v/>
      </c>
      <c r="H204" s="152" t="str">
        <f>IFERROR(__xludf.DUMMYFUNCTION("if(A204="""","""",iferror(filter(Schedule!$Y:$Y&amp;""-""&amp;Schedule!$Z:$Z,Schedule!$L:$L=A204,(Schedule!$J:$J="""")+(Schedule!$J:$J=B204),(Schedule!$K:$K=""b"")+(Schedule!$K:$K=""""),Schedule!$Y:$Y&lt;&gt;""""),""""))"),"English 8-4")</f>
        <v>English 8-4</v>
      </c>
      <c r="I204" s="153">
        <f>if(C202="","", 24-countifs(D204:H208,""))</f>
        <v>16</v>
      </c>
      <c r="J204" s="154"/>
      <c r="K204" s="151" t="str">
        <f>M202</f>
        <v/>
      </c>
      <c r="L204" s="151" t="str">
        <f>S202</f>
        <v/>
      </c>
      <c r="M204" s="147">
        <v>1.0</v>
      </c>
      <c r="N204" s="152" t="str">
        <f>IFERROR(__xludf.DUMMYFUNCTION("if(K204="""","""",iferror(filter(Schedule!$M:$M&amp;""-""&amp;Schedule!$N:$N,Schedule!$L:$L=K204,(Schedule!$J:$J="""")+(Schedule!$J:$J=L204),(Schedule!$K:$K=""a"")+(Schedule!$K:$K=""""),Schedule!$M:$M&lt;&gt;""""),""""))"),"")</f>
        <v/>
      </c>
      <c r="O204" s="152" t="str">
        <f>IFERROR(__xludf.DUMMYFUNCTION("if(K204="""","""",iferror(filter(Schedule!$AB:$AB&amp;""-""&amp;Schedule!$AC:$AC,Schedule!$L:$L=K204,(Schedule!$J:$J="""")+(Schedule!$J:$J=L204),(Schedule!$K:$K=""b"")+(Schedule!$K:$K=""""),Schedule!$AB:$AB&lt;&gt;""""),""""))"),"")</f>
        <v/>
      </c>
      <c r="P204" s="152" t="str">
        <f>IFERROR(__xludf.DUMMYFUNCTION("if(K204="""","""",iferror(filter(Schedule!$S:$S&amp;""-""&amp;Schedule!$T:$T,Schedule!$L:$L=K204,(Schedule!$J:$J="""")+(Schedule!$J:$J=L204),(Schedule!$K:$K=""a"")+(Schedule!$K:$K=""""),Schedule!$S:$S&lt;&gt;""""),""""))"),"")</f>
        <v/>
      </c>
      <c r="Q204" s="152" t="str">
        <f>IFERROR(__xludf.DUMMYFUNCTION("if(K204="""","""",iferror(filter(Schedule!$V:$V&amp;""-""&amp;Schedule!$W:$W,Schedule!$L:$L=K204,(Schedule!$J:$J="""")+(Schedule!$J:$J=L204),(Schedule!$K:$K=""a"")+(Schedule!$K:$K=""""),Schedule!$V:$V&lt;&gt;""""),""""))"),"")</f>
        <v/>
      </c>
      <c r="R204" s="152" t="str">
        <f>IFERROR(__xludf.DUMMYFUNCTION("if(K204="""","""",iferror(filter(Schedule!$Y:$Y&amp;""-""&amp;Schedule!$Z:$Z,Schedule!$L:$L=K204,(Schedule!$J:$J="""")+(Schedule!$J:$J=L204),(Schedule!$K:$K=""b"")+(Schedule!$K:$K=""""),Schedule!$Y:$Y&lt;&gt;""""),""""))"),"")</f>
        <v/>
      </c>
      <c r="S204" s="153" t="str">
        <f>if(K204="","", 24-countifs(N204:R208,""))</f>
        <v/>
      </c>
      <c r="T204" s="155"/>
      <c r="U204" s="155" t="str">
        <f>W202</f>
        <v/>
      </c>
      <c r="V204" s="151" t="str">
        <f>AC202</f>
        <v/>
      </c>
      <c r="W204" s="147">
        <v>1.0</v>
      </c>
      <c r="X204" s="152" t="str">
        <f>IFERROR(__xludf.DUMMYFUNCTION("if(U204="""","""",iferror(filter(Schedule!$M:$M&amp;""-""&amp;Schedule!$N:$N,Schedule!$L:$L=U204,(Schedule!$J:$J="""")+(Schedule!$J:$J=V204),(Schedule!$K:$K=""a"")+(Schedule!$K:$K=""""),Schedule!$M:$M&lt;&gt;""""),""""))"),"")</f>
        <v/>
      </c>
      <c r="Y204" s="152" t="str">
        <f>IFERROR(__xludf.DUMMYFUNCTION("if(U204="""","""",iferror(filter(Schedule!$AB:$AB&amp;""-""&amp;Schedule!$AC:$AC,Schedule!$L:$L=U204,(Schedule!$J:$J="""")+(Schedule!$J:$J=V204),(Schedule!$K:$K=""b"")+(Schedule!$K:$K=""""),Schedule!$AB:$AB&lt;&gt;""""),""""))"),"")</f>
        <v/>
      </c>
      <c r="Z204" s="152" t="str">
        <f>IFERROR(__xludf.DUMMYFUNCTION("if(U204="""","""",iferror(filter(Schedule!$S:$S&amp;""-""&amp;Schedule!$T:$T,Schedule!$L:$L=U204,(Schedule!$J:$J="""")+(Schedule!$J:$J=V204),(Schedule!$K:$K=""a"")+(Schedule!$K:$K=""""),Schedule!$S:$S&lt;&gt;""""),""""))"),"")</f>
        <v/>
      </c>
      <c r="AA204" s="152" t="str">
        <f>IFERROR(__xludf.DUMMYFUNCTION("if(U204="""","""",iferror(filter(Schedule!$V:$V&amp;""-""&amp;Schedule!$W:$W,Schedule!$L:$L=U204,(Schedule!$J:$J="""")+(Schedule!$J:$J=V204),(Schedule!$K:$K=""a"")+(Schedule!$K:$K=""""),Schedule!$V:$V&lt;&gt;""""),""""))"),"")</f>
        <v/>
      </c>
      <c r="AB204" s="152" t="str">
        <f>IFERROR(__xludf.DUMMYFUNCTION("if(U204="""","""",iferror(filter(Schedule!$Y:$Y&amp;""-""&amp;Schedule!$Z:$Z,Schedule!$L:$L=U204,(Schedule!$J:$J="""")+(Schedule!$J:$J=V204),(Schedule!$K:$K=""b"")+(Schedule!$K:$K=""""),Schedule!$Y:$Y&lt;&gt;""""),""""))"),"")</f>
        <v/>
      </c>
      <c r="AC204" s="153" t="str">
        <f>if(U204="","", 24-countifs(X204:AB208,""))</f>
        <v/>
      </c>
      <c r="AD204" s="155"/>
      <c r="AE204" s="155" t="str">
        <f>AG202</f>
        <v/>
      </c>
      <c r="AF204" s="151" t="str">
        <f>AM202</f>
        <v/>
      </c>
      <c r="AG204" s="147">
        <v>1.0</v>
      </c>
      <c r="AH204" s="152" t="str">
        <f>IFERROR(__xludf.DUMMYFUNCTION("if(AE204="""","""",iferror(filter(Schedule!$M:$M&amp;""-""&amp;Schedule!$N:$N,Schedule!$L:$L=AE204,(Schedule!$J:$J="""")+(Schedule!$J:$J=AF204),(Schedule!$K:$K=""a"")+(Schedule!$K:$K=""""),Schedule!$M:$M&lt;&gt;""""),""""))"),"")</f>
        <v/>
      </c>
      <c r="AI204" s="152" t="str">
        <f>IFERROR(__xludf.DUMMYFUNCTION("if(AE204="""","""",iferror(filter(Schedule!$AB:$AB&amp;""-""&amp;Schedule!$AC:$AC,Schedule!$L:$L=AE204,(Schedule!$J:$J="""")+(Schedule!$J:$J=AF204),(Schedule!$K:$K=""b"")+(Schedule!$K:$K=""""),Schedule!$AB:$AB&lt;&gt;""""),""""))"),"")</f>
        <v/>
      </c>
      <c r="AJ204" s="152" t="str">
        <f>IFERROR(__xludf.DUMMYFUNCTION("if(AE204="""","""",iferror(filter(Schedule!$S:$S&amp;""-""&amp;Schedule!$T:$T,Schedule!$L:$L=AE204,(Schedule!$J:$J="""")+(Schedule!$J:$J=AF204),(Schedule!$K:$K=""a"")+(Schedule!$K:$K=""""),Schedule!$S:$S&lt;&gt;""""),""""))"),"")</f>
        <v/>
      </c>
      <c r="AK204" s="152" t="str">
        <f>IFERROR(__xludf.DUMMYFUNCTION("if(AE204="""","""",iferror(filter(Schedule!$V:$V&amp;""-""&amp;Schedule!$W:$W,Schedule!$L:$L=AE204,(Schedule!$J:$J="""")+(Schedule!$J:$J=AF204),(Schedule!$K:$K=""a"")+(Schedule!$K:$K=""""),Schedule!$V:$V&lt;&gt;""""),""""))"),"")</f>
        <v/>
      </c>
      <c r="AL204" s="152" t="str">
        <f>IFERROR(__xludf.DUMMYFUNCTION("if(AE204="""","""",iferror(filter(Schedule!$Y:$Y&amp;""-""&amp;Schedule!$Z:$Z,Schedule!$L:$L=AE204,(Schedule!$J:$J="""")+(Schedule!$J:$J=AF204),(Schedule!$K:$K=""b"")+(Schedule!$K:$K=""""),Schedule!$Y:$Y&lt;&gt;""""),""""))"),"")</f>
        <v/>
      </c>
      <c r="AM204" s="153" t="str">
        <f>if(AE204="","", 24-countifs(AH204:AL208,""))</f>
        <v/>
      </c>
    </row>
    <row r="205">
      <c r="A205" s="151" t="str">
        <f>C202</f>
        <v>Shaila Raen Nicholson</v>
      </c>
      <c r="B205" s="151" t="str">
        <f>I202</f>
        <v>Y</v>
      </c>
      <c r="C205" s="147">
        <v>2.0</v>
      </c>
      <c r="D205" s="152" t="str">
        <f>IFERROR(__xludf.DUMMYFUNCTION("if(A205="""","""",iferror(filter(Schedule!$P:$P&amp;""-""&amp;Schedule!$Q:$Q,Schedule!$L:$L=A205,(Schedule!$J:$J="""")+(Schedule!$J:$J=B205),(Schedule!$K:$K=""a"")+(Schedule!$K:$K=""""),Schedule!$P:$P&lt;&gt;""""),""""))"),"English 8-2")</f>
        <v>English 8-2</v>
      </c>
      <c r="E205" s="152" t="str">
        <f>IFERROR(__xludf.DUMMYFUNCTION("if(A205="""","""",iferror(filter(Schedule!$Y:$Y&amp;""-""&amp;Schedule!$Z:$Z,Schedule!$L:$L=A205,(Schedule!$J:$J="""")+(Schedule!$J:$J=B205),(Schedule!$K:$K=""b"")+(Schedule!$K:$K=""""),Schedule!$Y:$Y&lt;&gt;""""),""""))"),"English 8-4")</f>
        <v>English 8-4</v>
      </c>
      <c r="F205" s="152" t="str">
        <f>IFERROR(__xludf.DUMMYFUNCTION("if(A205="""","""",iferror(filter(Schedule!$P:$P&amp;""-""&amp;Schedule!$Q:$Q,Schedule!$L:$L=A205,(Schedule!$J:$J="""")+(Schedule!$J:$J=B205),(Schedule!$K:$K=""a"")+(Schedule!$K:$K=""""),Schedule!$P:$P&lt;&gt;""""),""""))"),"English 8-2")</f>
        <v>English 8-2</v>
      </c>
      <c r="G205" s="152" t="str">
        <f>IFERROR(__xludf.DUMMYFUNCTION("if(A205="""","""",iferror(filter(Schedule!$M:$M&amp;""-""&amp;Schedule!$N:$N,Schedule!$L:$L=A205,(Schedule!$J:$J="""")+(Schedule!$J:$J=B205),(Schedule!$K:$K=""a"")+(Schedule!$K:$K=""""),Schedule!$M:$M&lt;&gt;""""),""""))"),"English 8-1")</f>
        <v>English 8-1</v>
      </c>
      <c r="H205" s="152" t="str">
        <f>IFERROR(__xludf.DUMMYFUNCTION("if(A205="""","""",iferror(filter(Schedule!$AB:$AB&amp;""-""&amp;Schedule!$AC:$AC,Schedule!$L:$L=A205,(Schedule!$J:$J="""")+(Schedule!$J:$J=B205),(Schedule!$K:$K=""a"")+(Schedule!$K:$K=""""),Schedule!$AB:$AB&lt;&gt;""""),""""))"),"English 8-5")</f>
        <v>English 8-5</v>
      </c>
      <c r="I205" s="60"/>
      <c r="J205" s="154"/>
      <c r="K205" s="151" t="str">
        <f>M202</f>
        <v/>
      </c>
      <c r="L205" s="151" t="str">
        <f>S202</f>
        <v/>
      </c>
      <c r="M205" s="147">
        <v>2.0</v>
      </c>
      <c r="N205" s="152" t="str">
        <f>IFERROR(__xludf.DUMMYFUNCTION("if(K205="""","""",iferror(filter(Schedule!$P:$P&amp;""-""&amp;Schedule!$Q:$Q,Schedule!$L:$L=K205,(Schedule!$J:$J="""")+(Schedule!$J:$J=L205),(Schedule!$K:$K=""a"")+(Schedule!$K:$K=""""),Schedule!$P:$P&lt;&gt;""""),""""))"),"")</f>
        <v/>
      </c>
      <c r="O205" s="152" t="str">
        <f>IFERROR(__xludf.DUMMYFUNCTION("if(K205="""","""",iferror(filter(Schedule!$Y:$Y&amp;""-""&amp;Schedule!$Z:$Z,Schedule!$L:$L=K205,(Schedule!$J:$J="""")+(Schedule!$J:$J=L205),(Schedule!$K:$K=""b"")+(Schedule!$K:$K=""""),Schedule!$Y:$Y&lt;&gt;""""),""""))"),"")</f>
        <v/>
      </c>
      <c r="P205" s="152" t="str">
        <f>IFERROR(__xludf.DUMMYFUNCTION("if(K205="""","""",iferror(filter(Schedule!$P:$P&amp;""-""&amp;Schedule!$Q:$Q,Schedule!$L:$L=K205,(Schedule!$J:$J="""")+(Schedule!$J:$J=L205),(Schedule!$K:$K=""a"")+(Schedule!$K:$K=""""),Schedule!$P:$P&lt;&gt;""""),""""))"),"")</f>
        <v/>
      </c>
      <c r="Q205" s="152" t="str">
        <f>IFERROR(__xludf.DUMMYFUNCTION("if(K205="""","""",iferror(filter(Schedule!$M:$M&amp;""-""&amp;Schedule!$N:$N,Schedule!$L:$L=K205,(Schedule!$J:$J="""")+(Schedule!$J:$J=L205),(Schedule!$K:$K=""a"")+(Schedule!$K:$K=""""),Schedule!$M:$M&lt;&gt;""""),""""))"),"")</f>
        <v/>
      </c>
      <c r="R205" s="152" t="str">
        <f>IFERROR(__xludf.DUMMYFUNCTION("if(K205="""","""",iferror(filter(Schedule!$AB:$AB&amp;""-""&amp;Schedule!$AC:$AC,Schedule!$L:$L=K205,(Schedule!$J:$J="""")+(Schedule!$J:$J=L205),(Schedule!$K:$K=""a"")+(Schedule!$K:$K=""""),Schedule!$AB:$AB&lt;&gt;""""),""""))"),"")</f>
        <v/>
      </c>
      <c r="S205" s="60"/>
      <c r="T205" s="155"/>
      <c r="U205" s="155" t="str">
        <f>W202</f>
        <v/>
      </c>
      <c r="V205" s="151" t="str">
        <f>AC202</f>
        <v/>
      </c>
      <c r="W205" s="147">
        <v>2.0</v>
      </c>
      <c r="X205" s="152" t="str">
        <f>IFERROR(__xludf.DUMMYFUNCTION("if(U205="""","""",iferror(filter(Schedule!$P:$P&amp;""-""&amp;Schedule!$Q:$Q,Schedule!$L:$L=U205,(Schedule!$J:$J="""")+(Schedule!$J:$J=V205),(Schedule!$K:$K=""a"")+(Schedule!$K:$K=""""),Schedule!$P:$P&lt;&gt;""""),""""))"),"")</f>
        <v/>
      </c>
      <c r="Y205" s="152" t="str">
        <f>IFERROR(__xludf.DUMMYFUNCTION("if(U205="""","""",iferror(filter(Schedule!$Y:$Y&amp;""-""&amp;Schedule!$Z:$Z,Schedule!$L:$L=U205,(Schedule!$J:$J="""")+(Schedule!$J:$J=V205),(Schedule!$K:$K=""b"")+(Schedule!$K:$K=""""),Schedule!$Y:$Y&lt;&gt;""""),""""))"),"")</f>
        <v/>
      </c>
      <c r="Z205" s="152" t="str">
        <f>IFERROR(__xludf.DUMMYFUNCTION("if(U205="""","""",iferror(filter(Schedule!$P:$P&amp;""-""&amp;Schedule!$Q:$Q,Schedule!$L:$L=U205,(Schedule!$J:$J="""")+(Schedule!$J:$J=V205),(Schedule!$K:$K=""a"")+(Schedule!$K:$K=""""),Schedule!$P:$P&lt;&gt;""""),""""))"),"")</f>
        <v/>
      </c>
      <c r="AA205" s="152" t="str">
        <f>IFERROR(__xludf.DUMMYFUNCTION("if(U205="""","""",iferror(filter(Schedule!$M:$M&amp;""-""&amp;Schedule!$N:$N,Schedule!$L:$L=U205,(Schedule!$J:$J="""")+(Schedule!$J:$J=V205),(Schedule!$K:$K=""a"")+(Schedule!$K:$K=""""),Schedule!$M:$M&lt;&gt;""""),""""))"),"")</f>
        <v/>
      </c>
      <c r="AB205" s="152" t="str">
        <f>IFERROR(__xludf.DUMMYFUNCTION("if(U205="""","""",iferror(filter(Schedule!$AB:$AB&amp;""-""&amp;Schedule!$AC:$AC,Schedule!$L:$L=U205,(Schedule!$J:$J="""")+(Schedule!$J:$J=V205),(Schedule!$K:$K=""a"")+(Schedule!$K:$K=""""),Schedule!$AB:$AB&lt;&gt;""""),""""))"),"")</f>
        <v/>
      </c>
      <c r="AC205" s="60"/>
      <c r="AD205" s="155"/>
      <c r="AE205" s="155" t="str">
        <f>AG202</f>
        <v/>
      </c>
      <c r="AF205" s="151" t="str">
        <f>AM202</f>
        <v/>
      </c>
      <c r="AG205" s="147">
        <v>2.0</v>
      </c>
      <c r="AH205" s="152" t="str">
        <f>IFERROR(__xludf.DUMMYFUNCTION("if(AE205="""","""",iferror(filter(Schedule!$P:$P&amp;""-""&amp;Schedule!$Q:$Q,Schedule!$L:$L=AE205,(Schedule!$J:$J="""")+(Schedule!$J:$J=AF205),(Schedule!$K:$K=""a"")+(Schedule!$K:$K=""""),Schedule!$P:$P&lt;&gt;""""),""""))"),"")</f>
        <v/>
      </c>
      <c r="AI205" s="152" t="str">
        <f>IFERROR(__xludf.DUMMYFUNCTION("if(AE205="""","""",iferror(filter(Schedule!$Y:$Y&amp;""-""&amp;Schedule!$Z:$Z,Schedule!$L:$L=AE205,(Schedule!$J:$J="""")+(Schedule!$J:$J=AF205),(Schedule!$K:$K=""b"")+(Schedule!$K:$K=""""),Schedule!$Y:$Y&lt;&gt;""""),""""))"),"")</f>
        <v/>
      </c>
      <c r="AJ205" s="152" t="str">
        <f>IFERROR(__xludf.DUMMYFUNCTION("if(AE205="""","""",iferror(filter(Schedule!$P:$P&amp;""-""&amp;Schedule!$Q:$Q,Schedule!$L:$L=AE205,(Schedule!$J:$J="""")+(Schedule!$J:$J=AF205),(Schedule!$K:$K=""a"")+(Schedule!$K:$K=""""),Schedule!$P:$P&lt;&gt;""""),""""))"),"")</f>
        <v/>
      </c>
      <c r="AK205" s="152" t="str">
        <f>IFERROR(__xludf.DUMMYFUNCTION("if(AE205="""","""",iferror(filter(Schedule!$M:$M&amp;""-""&amp;Schedule!$N:$N,Schedule!$L:$L=AE205,(Schedule!$J:$J="""")+(Schedule!$J:$J=AF205),(Schedule!$K:$K=""a"")+(Schedule!$K:$K=""""),Schedule!$M:$M&lt;&gt;""""),""""))"),"")</f>
        <v/>
      </c>
      <c r="AL205" s="152" t="str">
        <f>IFERROR(__xludf.DUMMYFUNCTION("if(AE205="""","""",iferror(filter(Schedule!$AB:$AB&amp;""-""&amp;Schedule!$AC:$AC,Schedule!$L:$L=AE205,(Schedule!$J:$J="""")+(Schedule!$J:$J=AF205),(Schedule!$K:$K=""a"")+(Schedule!$K:$K=""""),Schedule!$AB:$AB&lt;&gt;""""),""""))"),"")</f>
        <v/>
      </c>
      <c r="AM205" s="60"/>
    </row>
    <row r="206">
      <c r="A206" s="151" t="str">
        <f>C202</f>
        <v>Shaila Raen Nicholson</v>
      </c>
      <c r="B206" s="151" t="str">
        <f>I202</f>
        <v>Y</v>
      </c>
      <c r="C206" s="147">
        <v>3.0</v>
      </c>
      <c r="D206" s="152" t="str">
        <f>IFERROR(__xludf.DUMMYFUNCTION("if(A206="""","""",iferror(filter(Schedule!$S:$S&amp;""-""&amp;Schedule!$T:$T,Schedule!$L:$L=A206,(Schedule!$J:$J="""")+(Schedule!$J:$J=B206),(Schedule!$K:$K=""a"")+(Schedule!$K:$K=""""),Schedule!$S:$S&lt;&gt;""""),""""))"),"")</f>
        <v/>
      </c>
      <c r="E206" s="152" t="str">
        <f>IFERROR(__xludf.DUMMYFUNCTION("if(A206="""","""",iferror(filter(Schedule!$S:$S&amp;""-""&amp;Schedule!$T:$T,Schedule!$L:$L=A206,(Schedule!$J:$J="""")+(Schedule!$J:$J=B206),(Schedule!$K:$K=""b"")+(Schedule!$K:$K=""""),Schedule!$S:$S&lt;&gt;""""),""""))"),"")</f>
        <v/>
      </c>
      <c r="F206" s="152" t="str">
        <f>IFERROR(__xludf.DUMMYFUNCTION("if(A206="""","""",iferror(filter(Schedule!$Y:$Y&amp;""-""&amp;Schedule!$Z:$Z,Schedule!$L:$L=A206,(Schedule!$J:$J="""")+(Schedule!$J:$J=B206),(Schedule!$K:$K=""a"")+(Schedule!$K:$K=""""),Schedule!$Y:$Y&lt;&gt;""""),""""))"),"English 8-4")</f>
        <v>English 8-4</v>
      </c>
      <c r="G206" s="152" t="str">
        <f>IFERROR(__xludf.DUMMYFUNCTION("if(A206="""","""",iferror(filter(Schedule!$P:$P&amp;""-""&amp;Schedule!$Q:$Q,Schedule!$L:$L=A206,(Schedule!$J:$J="""")+(Schedule!$J:$J=B206),(Schedule!$K:$K=""b"")+(Schedule!$K:$K=""""),Schedule!$P:$P&lt;&gt;""""),""""))"),"English 8-2")</f>
        <v>English 8-2</v>
      </c>
      <c r="H206" s="152" t="str">
        <f>if(C202="","","X-Block")</f>
        <v>X-Block</v>
      </c>
      <c r="I206" s="60"/>
      <c r="J206" s="154"/>
      <c r="K206" s="151" t="str">
        <f>M202</f>
        <v/>
      </c>
      <c r="L206" s="151" t="str">
        <f>S202</f>
        <v/>
      </c>
      <c r="M206" s="147">
        <v>3.0</v>
      </c>
      <c r="N206" s="152" t="str">
        <f>IFERROR(__xludf.DUMMYFUNCTION("if(K206="""","""",iferror(filter(Schedule!$S:$S&amp;""-""&amp;Schedule!$T:$T,Schedule!$L:$L=K206,(Schedule!$J:$J="""")+(Schedule!$J:$J=L206),(Schedule!$K:$K=""a"")+(Schedule!$K:$K=""""),Schedule!$S:$S&lt;&gt;""""),""""))"),"")</f>
        <v/>
      </c>
      <c r="O206" s="152" t="str">
        <f>IFERROR(__xludf.DUMMYFUNCTION("if(K206="""","""",iferror(filter(Schedule!$S:$S&amp;""-""&amp;Schedule!$T:$T,Schedule!$L:$L=K206,(Schedule!$J:$J="""")+(Schedule!$J:$J=L206),(Schedule!$K:$K=""b"")+(Schedule!$K:$K=""""),Schedule!$S:$S&lt;&gt;""""),""""))"),"")</f>
        <v/>
      </c>
      <c r="P206" s="152" t="str">
        <f>IFERROR(__xludf.DUMMYFUNCTION("if(K206="""","""",iferror(filter(Schedule!$Y:$Y&amp;""-""&amp;Schedule!$Z:$Z,Schedule!$L:$L=K206,(Schedule!$J:$J="""")+(Schedule!$J:$J=L206),(Schedule!$K:$K=""a"")+(Schedule!$K:$K=""""),Schedule!$Y:$Y&lt;&gt;""""),""""))"),"")</f>
        <v/>
      </c>
      <c r="Q206" s="152" t="str">
        <f>IFERROR(__xludf.DUMMYFUNCTION("if(K206="""","""",iferror(filter(Schedule!$P:$P&amp;""-""&amp;Schedule!$Q:$Q,Schedule!$L:$L=K206,(Schedule!$J:$J="""")+(Schedule!$J:$J=L206),(Schedule!$K:$K=""b"")+(Schedule!$K:$K=""""),Schedule!$P:$P&lt;&gt;""""),""""))"),"")</f>
        <v/>
      </c>
      <c r="R206" s="152" t="str">
        <f>if(M202="","","X-Block")</f>
        <v/>
      </c>
      <c r="S206" s="60"/>
      <c r="T206" s="155"/>
      <c r="U206" s="155" t="str">
        <f>W202</f>
        <v/>
      </c>
      <c r="V206" s="151" t="str">
        <f>AC202</f>
        <v/>
      </c>
      <c r="W206" s="147">
        <v>3.0</v>
      </c>
      <c r="X206" s="152" t="str">
        <f>IFERROR(__xludf.DUMMYFUNCTION("if(U206="""","""",iferror(filter(Schedule!$S:$S&amp;""-""&amp;Schedule!$T:$T,Schedule!$L:$L=U206,(Schedule!$J:$J="""")+(Schedule!$J:$J=V206),(Schedule!$K:$K=""a"")+(Schedule!$K:$K=""""),Schedule!$S:$S&lt;&gt;""""),""""))"),"")</f>
        <v/>
      </c>
      <c r="Y206" s="152" t="str">
        <f>IFERROR(__xludf.DUMMYFUNCTION("if(U206="""","""",iferror(filter(Schedule!$S:$S&amp;""-""&amp;Schedule!$T:$T,Schedule!$L:$L=U206,(Schedule!$J:$J="""")+(Schedule!$J:$J=V206),(Schedule!$K:$K=""b"")+(Schedule!$K:$K=""""),Schedule!$S:$S&lt;&gt;""""),""""))"),"")</f>
        <v/>
      </c>
      <c r="Z206" s="152" t="str">
        <f>IFERROR(__xludf.DUMMYFUNCTION("if(U206="""","""",iferror(filter(Schedule!$Y:$Y&amp;""-""&amp;Schedule!$Z:$Z,Schedule!$L:$L=U206,(Schedule!$J:$J="""")+(Schedule!$J:$J=V206),(Schedule!$K:$K=""a"")+(Schedule!$K:$K=""""),Schedule!$Y:$Y&lt;&gt;""""),""""))"),"")</f>
        <v/>
      </c>
      <c r="AA206" s="152" t="str">
        <f>IFERROR(__xludf.DUMMYFUNCTION("if(U206="""","""",iferror(filter(Schedule!$P:$P&amp;""-""&amp;Schedule!$Q:$Q,Schedule!$L:$L=U206,(Schedule!$J:$J="""")+(Schedule!$J:$J=V206),(Schedule!$K:$K=""b"")+(Schedule!$K:$K=""""),Schedule!$P:$P&lt;&gt;""""),""""))"),"")</f>
        <v/>
      </c>
      <c r="AB206" s="152" t="str">
        <f>if(W202="","","X-Block")</f>
        <v/>
      </c>
      <c r="AC206" s="60"/>
      <c r="AD206" s="155"/>
      <c r="AE206" s="155" t="str">
        <f>AG202</f>
        <v/>
      </c>
      <c r="AF206" s="151" t="str">
        <f>AM202</f>
        <v/>
      </c>
      <c r="AG206" s="147">
        <v>3.0</v>
      </c>
      <c r="AH206" s="152" t="str">
        <f>IFERROR(__xludf.DUMMYFUNCTION("if(AE206="""","""",iferror(filter(Schedule!$S:$S&amp;""-""&amp;Schedule!$T:$T,Schedule!$L:$L=AE206,(Schedule!$J:$J="""")+(Schedule!$J:$J=AF206),(Schedule!$K:$K=""a"")+(Schedule!$K:$K=""""),Schedule!$S:$S&lt;&gt;""""),""""))"),"")</f>
        <v/>
      </c>
      <c r="AI206" s="152" t="str">
        <f>IFERROR(__xludf.DUMMYFUNCTION("if(AE206="""","""",iferror(filter(Schedule!$S:$S&amp;""-""&amp;Schedule!$T:$T,Schedule!$L:$L=AE206,(Schedule!$J:$J="""")+(Schedule!$J:$J=AF206),(Schedule!$K:$K=""b"")+(Schedule!$K:$K=""""),Schedule!$S:$S&lt;&gt;""""),""""))"),"")</f>
        <v/>
      </c>
      <c r="AJ206" s="152" t="str">
        <f>IFERROR(__xludf.DUMMYFUNCTION("if(AE206="""","""",iferror(filter(Schedule!$Y:$Y&amp;""-""&amp;Schedule!$Z:$Z,Schedule!$L:$L=AE206,(Schedule!$J:$J="""")+(Schedule!$J:$J=AF206),(Schedule!$K:$K=""a"")+(Schedule!$K:$K=""""),Schedule!$Y:$Y&lt;&gt;""""),""""))"),"")</f>
        <v/>
      </c>
      <c r="AK206" s="152" t="str">
        <f>IFERROR(__xludf.DUMMYFUNCTION("if(AE206="""","""",iferror(filter(Schedule!$P:$P&amp;""-""&amp;Schedule!$Q:$Q,Schedule!$L:$L=AE206,(Schedule!$J:$J="""")+(Schedule!$J:$J=AF206),(Schedule!$K:$K=""b"")+(Schedule!$K:$K=""""),Schedule!$P:$P&lt;&gt;""""),""""))"),"")</f>
        <v/>
      </c>
      <c r="AL206" s="152" t="str">
        <f>if(AG202="","","X-Block")</f>
        <v/>
      </c>
      <c r="AM206" s="60"/>
    </row>
    <row r="207">
      <c r="A207" s="151" t="str">
        <f>C202</f>
        <v>Shaila Raen Nicholson</v>
      </c>
      <c r="B207" s="151" t="str">
        <f>I202</f>
        <v>Y</v>
      </c>
      <c r="C207" s="147">
        <v>4.0</v>
      </c>
      <c r="D207" s="152" t="str">
        <f>IFERROR(__xludf.DUMMYFUNCTION("if(A207="""","""",iferror(filter(Schedule!$V:$V&amp;""-""&amp;Schedule!$W:$W,Schedule!$L:$L=A207,(Schedule!$J:$J="""")+(Schedule!$J:$J=B207),(Schedule!$K:$K=""a"")+(Schedule!$K:$K=""""),Schedule!$V:$V&lt;&gt;""""),""""))"),"")</f>
        <v/>
      </c>
      <c r="E207" s="152" t="str">
        <f>IFERROR(__xludf.DUMMYFUNCTION("if(A207="""","""",iferror(filter(Schedule!$M:$M&amp;""-""&amp;Schedule!$N:$N,Schedule!$L:$L=A207,(Schedule!$J:$J="""")+(Schedule!$J:$J=B207),(Schedule!$K:$K=""b"")+(Schedule!$K:$K=""""),Schedule!$M:$M&lt;&gt;""""),""""))"),"English 8-1")</f>
        <v>English 8-1</v>
      </c>
      <c r="F207" s="152" t="str">
        <f>IFERROR(__xludf.DUMMYFUNCTION("if(A207="""","""",iferror(filter(Schedule!$AB:$AB&amp;""-""&amp;Schedule!$AC:$AC,Schedule!$L:$L=A207,(Schedule!$J:$J="""")+(Schedule!$J:$J=B207),(Schedule!$K:$K=""a"")+(Schedule!$K:$K=""""),Schedule!$AB:$AB&lt;&gt;""""),""""))"),"English 8-5")</f>
        <v>English 8-5</v>
      </c>
      <c r="G207" s="152" t="str">
        <f>IFERROR(__xludf.DUMMYFUNCTION("if(A207="""","""",iferror(filter(Schedule!$S:$S&amp;""-""&amp;Schedule!$T:$T,Schedule!$L:$L=A207,(Schedule!$J:$J="""")+(Schedule!$J:$J=B207),(Schedule!$K:$K=""b"")+(Schedule!$K:$K=""""),Schedule!$S:$S&lt;&gt;""""),""""))"),"")</f>
        <v/>
      </c>
      <c r="H207" s="152" t="str">
        <f>IFERROR(__xludf.DUMMYFUNCTION("if(A207="""","""",iferror(filter(Schedule!$V:$V&amp;""-""&amp;Schedule!$W:$W,Schedule!$L:$L=A207,(Schedule!$J:$J="""")+(Schedule!$J:$J=B207),(Schedule!$K:$K=""b"")+(Schedule!$K:$K=""""),Schedule!$V:$V&lt;&gt;""""),""""))"),"")</f>
        <v/>
      </c>
      <c r="I207" s="60"/>
      <c r="J207" s="154"/>
      <c r="K207" s="151" t="str">
        <f>M202</f>
        <v/>
      </c>
      <c r="L207" s="151" t="str">
        <f>S202</f>
        <v/>
      </c>
      <c r="M207" s="147">
        <v>4.0</v>
      </c>
      <c r="N207" s="152" t="str">
        <f>IFERROR(__xludf.DUMMYFUNCTION("if(K207="""","""",iferror(filter(Schedule!$V:$V&amp;""-""&amp;Schedule!$W:$W,Schedule!$L:$L=K207,(Schedule!$J:$J="""")+(Schedule!$J:$J=L207),(Schedule!$K:$K=""a"")+(Schedule!$K:$K=""""),Schedule!$V:$V&lt;&gt;""""),""""))"),"")</f>
        <v/>
      </c>
      <c r="O207" s="152" t="str">
        <f>IFERROR(__xludf.DUMMYFUNCTION("if(K207="""","""",iferror(filter(Schedule!$M:$M&amp;""-""&amp;Schedule!$N:$N,Schedule!$L:$L=K207,(Schedule!$J:$J="""")+(Schedule!$J:$J=L207),(Schedule!$K:$K=""b"")+(Schedule!$K:$K=""""),Schedule!$M:$M&lt;&gt;""""),""""))"),"")</f>
        <v/>
      </c>
      <c r="P207" s="152" t="str">
        <f>IFERROR(__xludf.DUMMYFUNCTION("if(K207="""","""",iferror(filter(Schedule!$AB:$AB&amp;""-""&amp;Schedule!$AC:$AC,Schedule!$L:$L=K207,(Schedule!$J:$J="""")+(Schedule!$J:$J=L207),(Schedule!$K:$K=""a"")+(Schedule!$K:$K=""""),Schedule!$AB:$AB&lt;&gt;""""),""""))"),"")</f>
        <v/>
      </c>
      <c r="Q207" s="152" t="str">
        <f>IFERROR(__xludf.DUMMYFUNCTION("if(K207="""","""",iferror(filter(Schedule!$S:$S&amp;""-""&amp;Schedule!$T:$T,Schedule!$L:$L=K207,(Schedule!$J:$J="""")+(Schedule!$J:$J=L207),(Schedule!$K:$K=""b"")+(Schedule!$K:$K=""""),Schedule!$S:$S&lt;&gt;""""),""""))"),"")</f>
        <v/>
      </c>
      <c r="R207" s="152" t="str">
        <f>IFERROR(__xludf.DUMMYFUNCTION("if(K207="""","""",iferror(filter(Schedule!$V:$V&amp;""-""&amp;Schedule!$W:$W,Schedule!$L:$L=K207,(Schedule!$J:$J="""")+(Schedule!$J:$J=L207),(Schedule!$K:$K=""b"")+(Schedule!$K:$K=""""),Schedule!$V:$V&lt;&gt;""""),""""))"),"")</f>
        <v/>
      </c>
      <c r="S207" s="60"/>
      <c r="T207" s="155"/>
      <c r="U207" s="155" t="str">
        <f>W202</f>
        <v/>
      </c>
      <c r="V207" s="151" t="str">
        <f>AC202</f>
        <v/>
      </c>
      <c r="W207" s="147">
        <v>4.0</v>
      </c>
      <c r="X207" s="152" t="str">
        <f>IFERROR(__xludf.DUMMYFUNCTION("if(U207="""","""",iferror(filter(Schedule!$V:$V&amp;""-""&amp;Schedule!$W:$W,Schedule!$L:$L=U207,(Schedule!$J:$J="""")+(Schedule!$J:$J=V207),(Schedule!$K:$K=""a"")+(Schedule!$K:$K=""""),Schedule!$V:$V&lt;&gt;""""),""""))"),"")</f>
        <v/>
      </c>
      <c r="Y207" s="152" t="str">
        <f>IFERROR(__xludf.DUMMYFUNCTION("if(U207="""","""",iferror(filter(Schedule!$M:$M&amp;""-""&amp;Schedule!$N:$N,Schedule!$L:$L=U207,(Schedule!$J:$J="""")+(Schedule!$J:$J=V207),(Schedule!$K:$K=""b"")+(Schedule!$K:$K=""""),Schedule!$M:$M&lt;&gt;""""),""""))"),"")</f>
        <v/>
      </c>
      <c r="Z207" s="152" t="str">
        <f>IFERROR(__xludf.DUMMYFUNCTION("if(U207="""","""",iferror(filter(Schedule!$AB:$AB&amp;""-""&amp;Schedule!$AC:$AC,Schedule!$L:$L=U207,(Schedule!$J:$J="""")+(Schedule!$J:$J=V207),(Schedule!$K:$K=""a"")+(Schedule!$K:$K=""""),Schedule!$AB:$AB&lt;&gt;""""),""""))"),"")</f>
        <v/>
      </c>
      <c r="AA207" s="152" t="str">
        <f>IFERROR(__xludf.DUMMYFUNCTION("if(U207="""","""",iferror(filter(Schedule!$S:$S&amp;""-""&amp;Schedule!$T:$T,Schedule!$L:$L=U207,(Schedule!$J:$J="""")+(Schedule!$J:$J=V207),(Schedule!$K:$K=""b"")+(Schedule!$K:$K=""""),Schedule!$S:$S&lt;&gt;""""),""""))"),"")</f>
        <v/>
      </c>
      <c r="AB207" s="152" t="str">
        <f>IFERROR(__xludf.DUMMYFUNCTION("if(U207="""","""",iferror(filter(Schedule!$V:$V&amp;""-""&amp;Schedule!$W:$W,Schedule!$L:$L=U207,(Schedule!$J:$J="""")+(Schedule!$J:$J=V207),(Schedule!$K:$K=""b"")+(Schedule!$K:$K=""""),Schedule!$V:$V&lt;&gt;""""),""""))"),"")</f>
        <v/>
      </c>
      <c r="AC207" s="60"/>
      <c r="AD207" s="155"/>
      <c r="AE207" s="155" t="str">
        <f>AG202</f>
        <v/>
      </c>
      <c r="AF207" s="151" t="str">
        <f>AM202</f>
        <v/>
      </c>
      <c r="AG207" s="147">
        <v>4.0</v>
      </c>
      <c r="AH207" s="152" t="str">
        <f>IFERROR(__xludf.DUMMYFUNCTION("if(AE207="""","""",iferror(filter(Schedule!$V:$V&amp;""-""&amp;Schedule!$W:$W,Schedule!$L:$L=AE207,(Schedule!$J:$J="""")+(Schedule!$J:$J=AF207),(Schedule!$K:$K=""a"")+(Schedule!$K:$K=""""),Schedule!$V:$V&lt;&gt;""""),""""))"),"")</f>
        <v/>
      </c>
      <c r="AI207" s="152" t="str">
        <f>IFERROR(__xludf.DUMMYFUNCTION("if(AE207="""","""",iferror(filter(Schedule!$M:$M&amp;""-""&amp;Schedule!$N:$N,Schedule!$L:$L=AE207,(Schedule!$J:$J="""")+(Schedule!$J:$J=AF207),(Schedule!$K:$K=""b"")+(Schedule!$K:$K=""""),Schedule!$M:$M&lt;&gt;""""),""""))"),"")</f>
        <v/>
      </c>
      <c r="AJ207" s="152" t="str">
        <f>IFERROR(__xludf.DUMMYFUNCTION("if(AE207="""","""",iferror(filter(Schedule!$AB:$AB&amp;""-""&amp;Schedule!$AC:$AC,Schedule!$L:$L=AE207,(Schedule!$J:$J="""")+(Schedule!$J:$J=AF207),(Schedule!$K:$K=""a"")+(Schedule!$K:$K=""""),Schedule!$AB:$AB&lt;&gt;""""),""""))"),"")</f>
        <v/>
      </c>
      <c r="AK207" s="152" t="str">
        <f>IFERROR(__xludf.DUMMYFUNCTION("if(AE207="""","""",iferror(filter(Schedule!$S:$S&amp;""-""&amp;Schedule!$T:$T,Schedule!$L:$L=AE207,(Schedule!$J:$J="""")+(Schedule!$J:$J=AF207),(Schedule!$K:$K=""b"")+(Schedule!$K:$K=""""),Schedule!$S:$S&lt;&gt;""""),""""))"),"")</f>
        <v/>
      </c>
      <c r="AL207" s="152" t="str">
        <f>IFERROR(__xludf.DUMMYFUNCTION("if(AE207="""","""",iferror(filter(Schedule!$V:$V&amp;""-""&amp;Schedule!$W:$W,Schedule!$L:$L=AE207,(Schedule!$J:$J="""")+(Schedule!$J:$J=AF207),(Schedule!$K:$K=""b"")+(Schedule!$K:$K=""""),Schedule!$V:$V&lt;&gt;""""),""""))"),"")</f>
        <v/>
      </c>
      <c r="AM207" s="60"/>
    </row>
    <row r="208">
      <c r="A208" s="151" t="str">
        <f>C202</f>
        <v>Shaila Raen Nicholson</v>
      </c>
      <c r="B208" s="151" t="str">
        <f>I202</f>
        <v>Y</v>
      </c>
      <c r="C208" s="147">
        <v>5.0</v>
      </c>
      <c r="D208" s="152" t="str">
        <f>IFERROR(__xludf.DUMMYFUNCTION("if(A208="""","""",iferror(filter(Schedule!$Y:$Y&amp;""-""&amp;Schedule!$Z:$Z,Schedule!$L:$L=A208,(Schedule!$J:$J="""")+(Schedule!$J:$J=B208),(Schedule!$K:$K=""a"")+(Schedule!$K:$K=""""),Schedule!$Y:$Y&lt;&gt;""""),""""))"),"English 8-4")</f>
        <v>English 8-4</v>
      </c>
      <c r="E208" s="152" t="str">
        <f>IFERROR(__xludf.DUMMYFUNCTION("if(A208="""","""",iferror(filter(Schedule!$P:$P&amp;""-""&amp;Schedule!$Q:$Q,Schedule!$L:$L=A208,(Schedule!$J:$J="""")+(Schedule!$J:$J=B208),(Schedule!$K:$K=""b"")+(Schedule!$K:$K=""""),Schedule!$P:$P&lt;&gt;""""),""""))"),"English 8-2")</f>
        <v>English 8-2</v>
      </c>
      <c r="F208" s="152" t="str">
        <f>IFERROR(__xludf.DUMMYFUNCTION("if(A208="""","""",iferror(filter(Schedule!$V:$V&amp;""-""&amp;Schedule!$W:$W,Schedule!$L:$L=A208,(Schedule!$J:$J="""")+(Schedule!$J:$J=B208),(Schedule!$K:$K=""b"")+(Schedule!$K:$K=""""),Schedule!$V:$V&lt;&gt;""""),""""))"),"")</f>
        <v/>
      </c>
      <c r="G208" s="152" t="str">
        <f>IFERROR(__xludf.DUMMYFUNCTION("if(A208="""","""",iferror(filter(Schedule!$AB:$AB&amp;""-""&amp;Schedule!$AC:$AC,Schedule!$L:$L=A208,(Schedule!$J:$J="""")+(Schedule!$J:$J=B208),(Schedule!$K:$K=""b"")+(Schedule!$K:$K=""""),Schedule!$AB:$AB&lt;&gt;""""),""""))"),"English 8-5")</f>
        <v>English 8-5</v>
      </c>
      <c r="H208" s="152" t="str">
        <f>IFERROR(__xludf.DUMMYFUNCTION("if(A208="""","""",iferror(filter(Schedule!$M:$M&amp;""-""&amp;Schedule!$N:$N,Schedule!$L:$L=A208,(Schedule!$J:$J="""")+(Schedule!$J:$J=B208),(Schedule!$K:$K=""b"")+(Schedule!$K:$K=""""),Schedule!$M:$M&lt;&gt;""""),""""))"),"English 8-1")</f>
        <v>English 8-1</v>
      </c>
      <c r="I208" s="64"/>
      <c r="J208" s="154"/>
      <c r="K208" s="151" t="str">
        <f>M202</f>
        <v/>
      </c>
      <c r="L208" s="151" t="str">
        <f>S202</f>
        <v/>
      </c>
      <c r="M208" s="147">
        <v>5.0</v>
      </c>
      <c r="N208" s="152" t="str">
        <f>IFERROR(__xludf.DUMMYFUNCTION("if(K208="""","""",iferror(filter(Schedule!$Y:$Y&amp;""-""&amp;Schedule!$Z:$Z,Schedule!$L:$L=K208,(Schedule!$J:$J="""")+(Schedule!$J:$J=L208),(Schedule!$K:$K=""a"")+(Schedule!$K:$K=""""),Schedule!$Y:$Y&lt;&gt;""""),""""))"),"")</f>
        <v/>
      </c>
      <c r="O208" s="152" t="str">
        <f>IFERROR(__xludf.DUMMYFUNCTION("if(K208="""","""",iferror(filter(Schedule!$P:$P&amp;""-""&amp;Schedule!$Q:$Q,Schedule!$L:$L=K208,(Schedule!$J:$J="""")+(Schedule!$J:$J=L208),(Schedule!$K:$K=""b"")+(Schedule!$K:$K=""""),Schedule!$P:$P&lt;&gt;""""),""""))"),"")</f>
        <v/>
      </c>
      <c r="P208" s="152" t="str">
        <f>IFERROR(__xludf.DUMMYFUNCTION("if(K208="""","""",iferror(filter(Schedule!$V:$V&amp;""-""&amp;Schedule!$W:$W,Schedule!$L:$L=K208,(Schedule!$J:$J="""")+(Schedule!$J:$J=L208),(Schedule!$K:$K=""b"")+(Schedule!$K:$K=""""),Schedule!$V:$V&lt;&gt;""""),""""))"),"")</f>
        <v/>
      </c>
      <c r="Q208" s="152" t="str">
        <f>IFERROR(__xludf.DUMMYFUNCTION("if(K208="""","""",iferror(filter(Schedule!$AB:$AB&amp;""-""&amp;Schedule!$AC:$AC,Schedule!$L:$L=K208,(Schedule!$J:$J="""")+(Schedule!$J:$J=L208),(Schedule!$K:$K=""b"")+(Schedule!$K:$K=""""),Schedule!$AB:$AB&lt;&gt;""""),""""))"),"")</f>
        <v/>
      </c>
      <c r="R208" s="152" t="str">
        <f>IFERROR(__xludf.DUMMYFUNCTION("if(K208="""","""",iferror(filter(Schedule!$M:$M&amp;""-""&amp;Schedule!$N:$N,Schedule!$L:$L=K208,(Schedule!$J:$J="""")+(Schedule!$J:$J=L208),(Schedule!$K:$K=""b"")+(Schedule!$K:$K=""""),Schedule!$M:$M&lt;&gt;""""),""""))"),"")</f>
        <v/>
      </c>
      <c r="S208" s="64"/>
      <c r="T208" s="155"/>
      <c r="U208" s="155" t="str">
        <f>W202</f>
        <v/>
      </c>
      <c r="V208" s="151" t="str">
        <f>AC202</f>
        <v/>
      </c>
      <c r="W208" s="147">
        <v>5.0</v>
      </c>
      <c r="X208" s="152" t="str">
        <f>IFERROR(__xludf.DUMMYFUNCTION("if(U208="""","""",iferror(filter(Schedule!$Y:$Y&amp;""-""&amp;Schedule!$Z:$Z,Schedule!$L:$L=U208,(Schedule!$J:$J="""")+(Schedule!$J:$J=V208),(Schedule!$K:$K=""a"")+(Schedule!$K:$K=""""),Schedule!$Y:$Y&lt;&gt;""""),""""))"),"")</f>
        <v/>
      </c>
      <c r="Y208" s="152" t="str">
        <f>IFERROR(__xludf.DUMMYFUNCTION("if(U208="""","""",iferror(filter(Schedule!$P:$P&amp;""-""&amp;Schedule!$Q:$Q,Schedule!$L:$L=U208,(Schedule!$J:$J="""")+(Schedule!$J:$J=V208),(Schedule!$K:$K=""b"")+(Schedule!$K:$K=""""),Schedule!$P:$P&lt;&gt;""""),""""))"),"")</f>
        <v/>
      </c>
      <c r="Z208" s="152" t="str">
        <f>IFERROR(__xludf.DUMMYFUNCTION("if(U208="""","""",iferror(filter(Schedule!$V:$V&amp;""-""&amp;Schedule!$W:$W,Schedule!$L:$L=U208,(Schedule!$J:$J="""")+(Schedule!$J:$J=V208),(Schedule!$K:$K=""b"")+(Schedule!$K:$K=""""),Schedule!$V:$V&lt;&gt;""""),""""))"),"")</f>
        <v/>
      </c>
      <c r="AA208" s="152" t="str">
        <f>IFERROR(__xludf.DUMMYFUNCTION("if(U208="""","""",iferror(filter(Schedule!$AB:$AB&amp;""-""&amp;Schedule!$AC:$AC,Schedule!$L:$L=U208,(Schedule!$J:$J="""")+(Schedule!$J:$J=V208),(Schedule!$K:$K=""b"")+(Schedule!$K:$K=""""),Schedule!$AB:$AB&lt;&gt;""""),""""))"),"")</f>
        <v/>
      </c>
      <c r="AB208" s="152" t="str">
        <f>IFERROR(__xludf.DUMMYFUNCTION("if(U208="""","""",iferror(filter(Schedule!$M:$M&amp;""-""&amp;Schedule!$N:$N,Schedule!$L:$L=U208,(Schedule!$J:$J="""")+(Schedule!$J:$J=V208),(Schedule!$K:$K=""b"")+(Schedule!$K:$K=""""),Schedule!$M:$M&lt;&gt;""""),""""))"),"")</f>
        <v/>
      </c>
      <c r="AC208" s="64"/>
      <c r="AD208" s="155"/>
      <c r="AE208" s="155" t="str">
        <f>AG202</f>
        <v/>
      </c>
      <c r="AF208" s="151" t="str">
        <f>AM202</f>
        <v/>
      </c>
      <c r="AG208" s="147">
        <v>5.0</v>
      </c>
      <c r="AH208" s="152" t="str">
        <f>IFERROR(__xludf.DUMMYFUNCTION("if(AE208="""","""",iferror(filter(Schedule!$Y:$Y&amp;""-""&amp;Schedule!$Z:$Z,Schedule!$L:$L=AE208,(Schedule!$J:$J="""")+(Schedule!$J:$J=AF208),(Schedule!$K:$K=""a"")+(Schedule!$K:$K=""""),Schedule!$Y:$Y&lt;&gt;""""),""""))"),"")</f>
        <v/>
      </c>
      <c r="AI208" s="152" t="str">
        <f>IFERROR(__xludf.DUMMYFUNCTION("if(AE208="""","""",iferror(filter(Schedule!$P:$P&amp;""-""&amp;Schedule!$Q:$Q,Schedule!$L:$L=AE208,(Schedule!$J:$J="""")+(Schedule!$J:$J=AF208),(Schedule!$K:$K=""b"")+(Schedule!$K:$K=""""),Schedule!$P:$P&lt;&gt;""""),""""))"),"")</f>
        <v/>
      </c>
      <c r="AJ208" s="152" t="str">
        <f>IFERROR(__xludf.DUMMYFUNCTION("if(AE208="""","""",iferror(filter(Schedule!$V:$V&amp;""-""&amp;Schedule!$W:$W,Schedule!$L:$L=AE208,(Schedule!$J:$J="""")+(Schedule!$J:$J=AF208),(Schedule!$K:$K=""b"")+(Schedule!$K:$K=""""),Schedule!$V:$V&lt;&gt;""""),""""))"),"")</f>
        <v/>
      </c>
      <c r="AK208" s="152" t="str">
        <f>IFERROR(__xludf.DUMMYFUNCTION("if(AE208="""","""",iferror(filter(Schedule!$AB:$AB&amp;""-""&amp;Schedule!$AC:$AC,Schedule!$L:$L=AE208,(Schedule!$J:$J="""")+(Schedule!$J:$J=AF208),(Schedule!$K:$K=""b"")+(Schedule!$K:$K=""""),Schedule!$AB:$AB&lt;&gt;""""),""""))"),"")</f>
        <v/>
      </c>
      <c r="AL208" s="152" t="str">
        <f>IFERROR(__xludf.DUMMYFUNCTION("if(AE208="""","""",iferror(filter(Schedule!$M:$M&amp;""-""&amp;Schedule!$N:$N,Schedule!$L:$L=AE208,(Schedule!$J:$J="""")+(Schedule!$J:$J=AF208),(Schedule!$K:$K=""b"")+(Schedule!$K:$K=""""),Schedule!$M:$M&lt;&gt;""""),""""))"),"")</f>
        <v/>
      </c>
      <c r="AM208" s="64"/>
    </row>
    <row r="209">
      <c r="A209" s="11"/>
      <c r="B209" s="11"/>
      <c r="C209" s="156"/>
      <c r="D209" s="156"/>
      <c r="E209" s="156"/>
      <c r="F209" s="156"/>
      <c r="G209" s="156"/>
      <c r="H209" s="156"/>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c r="A210" s="5"/>
      <c r="B210" s="5"/>
      <c r="C210" s="140" t="str">
        <f>Teachers!A27</f>
        <v>Taylor Nielson</v>
      </c>
      <c r="D210" s="141"/>
      <c r="E210" s="141"/>
      <c r="F210" s="141"/>
      <c r="G210" s="141"/>
      <c r="H210" s="142"/>
      <c r="I210" s="143" t="str">
        <f>IFERROR(__xludf.DUMMYFUNCTION("if(C210="""","""", iferror(unique(filter(Schedule!$J:$J,Schedule!$L:$L=$C210,Schedule!$J:$J=""Q1"")),iferror(unique(filter(Schedule!$J:$J,Schedule!$L:$L=$C210,Schedule!$J:$J=""S1"")),""Y"")))"),"Y")</f>
        <v>Y</v>
      </c>
      <c r="J210" s="11"/>
      <c r="K210" s="11"/>
      <c r="L210" s="11"/>
      <c r="M210" s="140" t="str">
        <f>if(S210="","",C210)</f>
        <v/>
      </c>
      <c r="N210" s="141"/>
      <c r="O210" s="141"/>
      <c r="P210" s="141"/>
      <c r="Q210" s="141"/>
      <c r="R210" s="142"/>
      <c r="S210" s="143" t="str">
        <f>if($I210="Q1","Q2",if($I210="S1","S2",""))</f>
        <v/>
      </c>
      <c r="T210" s="144"/>
      <c r="U210" s="144"/>
      <c r="V210" s="145"/>
      <c r="W210" s="140" t="str">
        <f>if(AC210="","",M210)</f>
        <v/>
      </c>
      <c r="X210" s="141"/>
      <c r="Y210" s="141"/>
      <c r="Z210" s="141"/>
      <c r="AA210" s="141"/>
      <c r="AB210" s="142"/>
      <c r="AC210" s="143" t="str">
        <f>if($I210="Q1","Q3","")</f>
        <v/>
      </c>
      <c r="AD210" s="144"/>
      <c r="AE210" s="144"/>
      <c r="AF210" s="145"/>
      <c r="AG210" s="140" t="str">
        <f>if(AC210="","",W210)</f>
        <v/>
      </c>
      <c r="AH210" s="141"/>
      <c r="AI210" s="141"/>
      <c r="AJ210" s="141"/>
      <c r="AK210" s="141"/>
      <c r="AL210" s="142"/>
      <c r="AM210" s="143" t="str">
        <f>if($I210="Q1","Q4","")</f>
        <v/>
      </c>
    </row>
    <row r="211">
      <c r="A211" s="146"/>
      <c r="B211" s="146"/>
      <c r="C211" s="147" t="s">
        <v>94</v>
      </c>
      <c r="D211" s="148" t="s">
        <v>95</v>
      </c>
      <c r="E211" s="148" t="s">
        <v>96</v>
      </c>
      <c r="F211" s="148" t="s">
        <v>97</v>
      </c>
      <c r="G211" s="148" t="s">
        <v>98</v>
      </c>
      <c r="H211" s="148" t="s">
        <v>99</v>
      </c>
      <c r="I211" s="148" t="s">
        <v>651</v>
      </c>
      <c r="J211" s="146"/>
      <c r="K211" s="146"/>
      <c r="L211" s="146"/>
      <c r="M211" s="147" t="s">
        <v>94</v>
      </c>
      <c r="N211" s="148" t="s">
        <v>95</v>
      </c>
      <c r="O211" s="148" t="s">
        <v>96</v>
      </c>
      <c r="P211" s="148" t="s">
        <v>97</v>
      </c>
      <c r="Q211" s="148" t="s">
        <v>98</v>
      </c>
      <c r="R211" s="148" t="s">
        <v>99</v>
      </c>
      <c r="S211" s="148" t="s">
        <v>651</v>
      </c>
      <c r="T211" s="149"/>
      <c r="U211" s="149"/>
      <c r="V211" s="150"/>
      <c r="W211" s="147" t="s">
        <v>94</v>
      </c>
      <c r="X211" s="148" t="s">
        <v>95</v>
      </c>
      <c r="Y211" s="148" t="s">
        <v>96</v>
      </c>
      <c r="Z211" s="148" t="s">
        <v>97</v>
      </c>
      <c r="AA211" s="148" t="s">
        <v>98</v>
      </c>
      <c r="AB211" s="148" t="s">
        <v>99</v>
      </c>
      <c r="AC211" s="148" t="s">
        <v>651</v>
      </c>
      <c r="AD211" s="149"/>
      <c r="AE211" s="149"/>
      <c r="AF211" s="150"/>
      <c r="AG211" s="147" t="s">
        <v>94</v>
      </c>
      <c r="AH211" s="148" t="s">
        <v>95</v>
      </c>
      <c r="AI211" s="148" t="s">
        <v>96</v>
      </c>
      <c r="AJ211" s="148" t="s">
        <v>97</v>
      </c>
      <c r="AK211" s="148" t="s">
        <v>98</v>
      </c>
      <c r="AL211" s="148" t="s">
        <v>99</v>
      </c>
      <c r="AM211" s="148" t="s">
        <v>651</v>
      </c>
    </row>
    <row r="212">
      <c r="A212" s="151" t="str">
        <f>C210</f>
        <v>Taylor Nielson</v>
      </c>
      <c r="B212" s="151" t="str">
        <f>I210</f>
        <v>Y</v>
      </c>
      <c r="C212" s="147">
        <v>1.0</v>
      </c>
      <c r="D212" s="152" t="str">
        <f>IFERROR(__xludf.DUMMYFUNCTION("if(A212="""","""",iferror(filter(Schedule!$M:$M&amp;""-""&amp;Schedule!$N:$N,Schedule!$L:$L=A212,(Schedule!$J:$J="""")+(Schedule!$J:$J=B212),(Schedule!$K:$K=""a"")+(Schedule!$K:$K=""""),Schedule!$M:$M&lt;&gt;""""),""""))"),"Math 8A-2")</f>
        <v>Math 8A-2</v>
      </c>
      <c r="E212" s="152" t="str">
        <f>IFERROR(__xludf.DUMMYFUNCTION("if(A212="""","""",iferror(filter(Schedule!$AB:$AB&amp;""-""&amp;Schedule!$AC:$AC,Schedule!$L:$L=A212,(Schedule!$J:$J="""")+(Schedule!$J:$J=B212),(Schedule!$K:$K=""b"")+(Schedule!$K:$K=""""),Schedule!$AB:$AB&lt;&gt;""""),""""))"),"Math 8-3")</f>
        <v>Math 8-3</v>
      </c>
      <c r="F212" s="152" t="str">
        <f>IFERROR(__xludf.DUMMYFUNCTION("if(A212="""","""",iferror(filter(Schedule!$S:$S&amp;""-""&amp;Schedule!$T:$T,Schedule!$L:$L=A212,(Schedule!$J:$J="""")+(Schedule!$J:$J=B212),(Schedule!$K:$K=""a"")+(Schedule!$K:$K=""""),Schedule!$S:$S&lt;&gt;""""),""""))"),"Math 7-2")</f>
        <v>Math 7-2</v>
      </c>
      <c r="G212" s="152" t="str">
        <f>IFERROR(__xludf.DUMMYFUNCTION("if(A212="""","""",iferror(filter(Schedule!$V:$V&amp;""-""&amp;Schedule!$W:$W,Schedule!$L:$L=A212,(Schedule!$J:$J="""")+(Schedule!$J:$J=B212),(Schedule!$K:$K=""a"")+(Schedule!$K:$K=""""),Schedule!$V:$V&lt;&gt;""""),""""))"),"Math 7A-4")</f>
        <v>Math 7A-4</v>
      </c>
      <c r="H212" s="152" t="str">
        <f>IFERROR(__xludf.DUMMYFUNCTION("if(A212="""","""",iferror(filter(Schedule!$Y:$Y&amp;""-""&amp;Schedule!$Z:$Z,Schedule!$L:$L=A212,(Schedule!$J:$J="""")+(Schedule!$J:$J=B212),(Schedule!$K:$K=""b"")+(Schedule!$K:$K=""""),Schedule!$Y:$Y&lt;&gt;""""),""""))"),"")</f>
        <v/>
      </c>
      <c r="I212" s="153">
        <f>if(C210="","", 24-countifs(D212:H216,""))</f>
        <v>16</v>
      </c>
      <c r="J212" s="154"/>
      <c r="K212" s="151" t="str">
        <f>M210</f>
        <v/>
      </c>
      <c r="L212" s="151" t="str">
        <f>S210</f>
        <v/>
      </c>
      <c r="M212" s="147">
        <v>1.0</v>
      </c>
      <c r="N212" s="152" t="str">
        <f>IFERROR(__xludf.DUMMYFUNCTION("if(K212="""","""",iferror(filter(Schedule!$M:$M&amp;""-""&amp;Schedule!$N:$N,Schedule!$L:$L=K212,(Schedule!$J:$J="""")+(Schedule!$J:$J=L212),(Schedule!$K:$K=""a"")+(Schedule!$K:$K=""""),Schedule!$M:$M&lt;&gt;""""),""""))"),"")</f>
        <v/>
      </c>
      <c r="O212" s="152" t="str">
        <f>IFERROR(__xludf.DUMMYFUNCTION("if(K212="""","""",iferror(filter(Schedule!$AB:$AB&amp;""-""&amp;Schedule!$AC:$AC,Schedule!$L:$L=K212,(Schedule!$J:$J="""")+(Schedule!$J:$J=L212),(Schedule!$K:$K=""b"")+(Schedule!$K:$K=""""),Schedule!$AB:$AB&lt;&gt;""""),""""))"),"")</f>
        <v/>
      </c>
      <c r="P212" s="152" t="str">
        <f>IFERROR(__xludf.DUMMYFUNCTION("if(K212="""","""",iferror(filter(Schedule!$S:$S&amp;""-""&amp;Schedule!$T:$T,Schedule!$L:$L=K212,(Schedule!$J:$J="""")+(Schedule!$J:$J=L212),(Schedule!$K:$K=""a"")+(Schedule!$K:$K=""""),Schedule!$S:$S&lt;&gt;""""),""""))"),"")</f>
        <v/>
      </c>
      <c r="Q212" s="152" t="str">
        <f>IFERROR(__xludf.DUMMYFUNCTION("if(K212="""","""",iferror(filter(Schedule!$V:$V&amp;""-""&amp;Schedule!$W:$W,Schedule!$L:$L=K212,(Schedule!$J:$J="""")+(Schedule!$J:$J=L212),(Schedule!$K:$K=""a"")+(Schedule!$K:$K=""""),Schedule!$V:$V&lt;&gt;""""),""""))"),"")</f>
        <v/>
      </c>
      <c r="R212" s="152" t="str">
        <f>IFERROR(__xludf.DUMMYFUNCTION("if(K212="""","""",iferror(filter(Schedule!$Y:$Y&amp;""-""&amp;Schedule!$Z:$Z,Schedule!$L:$L=K212,(Schedule!$J:$J="""")+(Schedule!$J:$J=L212),(Schedule!$K:$K=""b"")+(Schedule!$K:$K=""""),Schedule!$Y:$Y&lt;&gt;""""),""""))"),"")</f>
        <v/>
      </c>
      <c r="S212" s="153" t="str">
        <f>if(K212="","", 24-countifs(N212:R216,""))</f>
        <v/>
      </c>
      <c r="T212" s="155"/>
      <c r="U212" s="155" t="str">
        <f>W210</f>
        <v/>
      </c>
      <c r="V212" s="151" t="str">
        <f>AC210</f>
        <v/>
      </c>
      <c r="W212" s="147">
        <v>1.0</v>
      </c>
      <c r="X212" s="152" t="str">
        <f>IFERROR(__xludf.DUMMYFUNCTION("if(U212="""","""",iferror(filter(Schedule!$M:$M&amp;""-""&amp;Schedule!$N:$N,Schedule!$L:$L=U212,(Schedule!$J:$J="""")+(Schedule!$J:$J=V212),(Schedule!$K:$K=""a"")+(Schedule!$K:$K=""""),Schedule!$M:$M&lt;&gt;""""),""""))"),"")</f>
        <v/>
      </c>
      <c r="Y212" s="152" t="str">
        <f>IFERROR(__xludf.DUMMYFUNCTION("if(U212="""","""",iferror(filter(Schedule!$AB:$AB&amp;""-""&amp;Schedule!$AC:$AC,Schedule!$L:$L=U212,(Schedule!$J:$J="""")+(Schedule!$J:$J=V212),(Schedule!$K:$K=""b"")+(Schedule!$K:$K=""""),Schedule!$AB:$AB&lt;&gt;""""),""""))"),"")</f>
        <v/>
      </c>
      <c r="Z212" s="152" t="str">
        <f>IFERROR(__xludf.DUMMYFUNCTION("if(U212="""","""",iferror(filter(Schedule!$S:$S&amp;""-""&amp;Schedule!$T:$T,Schedule!$L:$L=U212,(Schedule!$J:$J="""")+(Schedule!$J:$J=V212),(Schedule!$K:$K=""a"")+(Schedule!$K:$K=""""),Schedule!$S:$S&lt;&gt;""""),""""))"),"")</f>
        <v/>
      </c>
      <c r="AA212" s="152" t="str">
        <f>IFERROR(__xludf.DUMMYFUNCTION("if(U212="""","""",iferror(filter(Schedule!$V:$V&amp;""-""&amp;Schedule!$W:$W,Schedule!$L:$L=U212,(Schedule!$J:$J="""")+(Schedule!$J:$J=V212),(Schedule!$K:$K=""a"")+(Schedule!$K:$K=""""),Schedule!$V:$V&lt;&gt;""""),""""))"),"")</f>
        <v/>
      </c>
      <c r="AB212" s="152" t="str">
        <f>IFERROR(__xludf.DUMMYFUNCTION("if(U212="""","""",iferror(filter(Schedule!$Y:$Y&amp;""-""&amp;Schedule!$Z:$Z,Schedule!$L:$L=U212,(Schedule!$J:$J="""")+(Schedule!$J:$J=V212),(Schedule!$K:$K=""b"")+(Schedule!$K:$K=""""),Schedule!$Y:$Y&lt;&gt;""""),""""))"),"")</f>
        <v/>
      </c>
      <c r="AC212" s="153" t="str">
        <f>if(U212="","", 24-countifs(X212:AB216,""))</f>
        <v/>
      </c>
      <c r="AD212" s="155"/>
      <c r="AE212" s="155" t="str">
        <f>AG210</f>
        <v/>
      </c>
      <c r="AF212" s="151" t="str">
        <f>AM210</f>
        <v/>
      </c>
      <c r="AG212" s="147">
        <v>1.0</v>
      </c>
      <c r="AH212" s="152" t="str">
        <f>IFERROR(__xludf.DUMMYFUNCTION("if(AE212="""","""",iferror(filter(Schedule!$M:$M&amp;""-""&amp;Schedule!$N:$N,Schedule!$L:$L=AE212,(Schedule!$J:$J="""")+(Schedule!$J:$J=AF212),(Schedule!$K:$K=""a"")+(Schedule!$K:$K=""""),Schedule!$M:$M&lt;&gt;""""),""""))"),"")</f>
        <v/>
      </c>
      <c r="AI212" s="152" t="str">
        <f>IFERROR(__xludf.DUMMYFUNCTION("if(AE212="""","""",iferror(filter(Schedule!$AB:$AB&amp;""-""&amp;Schedule!$AC:$AC,Schedule!$L:$L=AE212,(Schedule!$J:$J="""")+(Schedule!$J:$J=AF212),(Schedule!$K:$K=""b"")+(Schedule!$K:$K=""""),Schedule!$AB:$AB&lt;&gt;""""),""""))"),"")</f>
        <v/>
      </c>
      <c r="AJ212" s="152" t="str">
        <f>IFERROR(__xludf.DUMMYFUNCTION("if(AE212="""","""",iferror(filter(Schedule!$S:$S&amp;""-""&amp;Schedule!$T:$T,Schedule!$L:$L=AE212,(Schedule!$J:$J="""")+(Schedule!$J:$J=AF212),(Schedule!$K:$K=""a"")+(Schedule!$K:$K=""""),Schedule!$S:$S&lt;&gt;""""),""""))"),"")</f>
        <v/>
      </c>
      <c r="AK212" s="152" t="str">
        <f>IFERROR(__xludf.DUMMYFUNCTION("if(AE212="""","""",iferror(filter(Schedule!$V:$V&amp;""-""&amp;Schedule!$W:$W,Schedule!$L:$L=AE212,(Schedule!$J:$J="""")+(Schedule!$J:$J=AF212),(Schedule!$K:$K=""a"")+(Schedule!$K:$K=""""),Schedule!$V:$V&lt;&gt;""""),""""))"),"")</f>
        <v/>
      </c>
      <c r="AL212" s="152" t="str">
        <f>IFERROR(__xludf.DUMMYFUNCTION("if(AE212="""","""",iferror(filter(Schedule!$Y:$Y&amp;""-""&amp;Schedule!$Z:$Z,Schedule!$L:$L=AE212,(Schedule!$J:$J="""")+(Schedule!$J:$J=AF212),(Schedule!$K:$K=""b"")+(Schedule!$K:$K=""""),Schedule!$Y:$Y&lt;&gt;""""),""""))"),"")</f>
        <v/>
      </c>
      <c r="AM212" s="153" t="str">
        <f>if(AE212="","", 24-countifs(AH212:AL216,""))</f>
        <v/>
      </c>
    </row>
    <row r="213">
      <c r="A213" s="151" t="str">
        <f>C210</f>
        <v>Taylor Nielson</v>
      </c>
      <c r="B213" s="151" t="str">
        <f>I210</f>
        <v>Y</v>
      </c>
      <c r="C213" s="147">
        <v>2.0</v>
      </c>
      <c r="D213" s="152" t="str">
        <f>IFERROR(__xludf.DUMMYFUNCTION("if(A213="""","""",iferror(filter(Schedule!$P:$P&amp;""-""&amp;Schedule!$Q:$Q,Schedule!$L:$L=A213,(Schedule!$J:$J="""")+(Schedule!$J:$J=B213),(Schedule!$K:$K=""a"")+(Schedule!$K:$K=""""),Schedule!$P:$P&lt;&gt;""""),""""))"),"")</f>
        <v/>
      </c>
      <c r="E213" s="152" t="str">
        <f>IFERROR(__xludf.DUMMYFUNCTION("if(A213="""","""",iferror(filter(Schedule!$Y:$Y&amp;""-""&amp;Schedule!$Z:$Z,Schedule!$L:$L=A213,(Schedule!$J:$J="""")+(Schedule!$J:$J=B213),(Schedule!$K:$K=""b"")+(Schedule!$K:$K=""""),Schedule!$Y:$Y&lt;&gt;""""),""""))"),"")</f>
        <v/>
      </c>
      <c r="F213" s="152" t="str">
        <f>IFERROR(__xludf.DUMMYFUNCTION("if(A213="""","""",iferror(filter(Schedule!$P:$P&amp;""-""&amp;Schedule!$Q:$Q,Schedule!$L:$L=A213,(Schedule!$J:$J="""")+(Schedule!$J:$J=B213),(Schedule!$K:$K=""a"")+(Schedule!$K:$K=""""),Schedule!$P:$P&lt;&gt;""""),""""))"),"")</f>
        <v/>
      </c>
      <c r="G213" s="152" t="str">
        <f>IFERROR(__xludf.DUMMYFUNCTION("if(A213="""","""",iferror(filter(Schedule!$M:$M&amp;""-""&amp;Schedule!$N:$N,Schedule!$L:$L=A213,(Schedule!$J:$J="""")+(Schedule!$J:$J=B213),(Schedule!$K:$K=""a"")+(Schedule!$K:$K=""""),Schedule!$M:$M&lt;&gt;""""),""""))"),"Math 8A-2")</f>
        <v>Math 8A-2</v>
      </c>
      <c r="H213" s="152" t="str">
        <f>IFERROR(__xludf.DUMMYFUNCTION("if(A213="""","""",iferror(filter(Schedule!$AB:$AB&amp;""-""&amp;Schedule!$AC:$AC,Schedule!$L:$L=A213,(Schedule!$J:$J="""")+(Schedule!$J:$J=B213),(Schedule!$K:$K=""a"")+(Schedule!$K:$K=""""),Schedule!$AB:$AB&lt;&gt;""""),""""))"),"Math 8-3")</f>
        <v>Math 8-3</v>
      </c>
      <c r="I213" s="60"/>
      <c r="J213" s="154"/>
      <c r="K213" s="151" t="str">
        <f>M210</f>
        <v/>
      </c>
      <c r="L213" s="151" t="str">
        <f>S210</f>
        <v/>
      </c>
      <c r="M213" s="147">
        <v>2.0</v>
      </c>
      <c r="N213" s="152" t="str">
        <f>IFERROR(__xludf.DUMMYFUNCTION("if(K213="""","""",iferror(filter(Schedule!$P:$P&amp;""-""&amp;Schedule!$Q:$Q,Schedule!$L:$L=K213,(Schedule!$J:$J="""")+(Schedule!$J:$J=L213),(Schedule!$K:$K=""a"")+(Schedule!$K:$K=""""),Schedule!$P:$P&lt;&gt;""""),""""))"),"")</f>
        <v/>
      </c>
      <c r="O213" s="152" t="str">
        <f>IFERROR(__xludf.DUMMYFUNCTION("if(K213="""","""",iferror(filter(Schedule!$Y:$Y&amp;""-""&amp;Schedule!$Z:$Z,Schedule!$L:$L=K213,(Schedule!$J:$J="""")+(Schedule!$J:$J=L213),(Schedule!$K:$K=""b"")+(Schedule!$K:$K=""""),Schedule!$Y:$Y&lt;&gt;""""),""""))"),"")</f>
        <v/>
      </c>
      <c r="P213" s="152" t="str">
        <f>IFERROR(__xludf.DUMMYFUNCTION("if(K213="""","""",iferror(filter(Schedule!$P:$P&amp;""-""&amp;Schedule!$Q:$Q,Schedule!$L:$L=K213,(Schedule!$J:$J="""")+(Schedule!$J:$J=L213),(Schedule!$K:$K=""a"")+(Schedule!$K:$K=""""),Schedule!$P:$P&lt;&gt;""""),""""))"),"")</f>
        <v/>
      </c>
      <c r="Q213" s="152" t="str">
        <f>IFERROR(__xludf.DUMMYFUNCTION("if(K213="""","""",iferror(filter(Schedule!$M:$M&amp;""-""&amp;Schedule!$N:$N,Schedule!$L:$L=K213,(Schedule!$J:$J="""")+(Schedule!$J:$J=L213),(Schedule!$K:$K=""a"")+(Schedule!$K:$K=""""),Schedule!$M:$M&lt;&gt;""""),""""))"),"")</f>
        <v/>
      </c>
      <c r="R213" s="152" t="str">
        <f>IFERROR(__xludf.DUMMYFUNCTION("if(K213="""","""",iferror(filter(Schedule!$AB:$AB&amp;""-""&amp;Schedule!$AC:$AC,Schedule!$L:$L=K213,(Schedule!$J:$J="""")+(Schedule!$J:$J=L213),(Schedule!$K:$K=""a"")+(Schedule!$K:$K=""""),Schedule!$AB:$AB&lt;&gt;""""),""""))"),"")</f>
        <v/>
      </c>
      <c r="S213" s="60"/>
      <c r="T213" s="155"/>
      <c r="U213" s="155" t="str">
        <f>W210</f>
        <v/>
      </c>
      <c r="V213" s="151" t="str">
        <f>AC210</f>
        <v/>
      </c>
      <c r="W213" s="147">
        <v>2.0</v>
      </c>
      <c r="X213" s="152" t="str">
        <f>IFERROR(__xludf.DUMMYFUNCTION("if(U213="""","""",iferror(filter(Schedule!$P:$P&amp;""-""&amp;Schedule!$Q:$Q,Schedule!$L:$L=U213,(Schedule!$J:$J="""")+(Schedule!$J:$J=V213),(Schedule!$K:$K=""a"")+(Schedule!$K:$K=""""),Schedule!$P:$P&lt;&gt;""""),""""))"),"")</f>
        <v/>
      </c>
      <c r="Y213" s="152" t="str">
        <f>IFERROR(__xludf.DUMMYFUNCTION("if(U213="""","""",iferror(filter(Schedule!$Y:$Y&amp;""-""&amp;Schedule!$Z:$Z,Schedule!$L:$L=U213,(Schedule!$J:$J="""")+(Schedule!$J:$J=V213),(Schedule!$K:$K=""b"")+(Schedule!$K:$K=""""),Schedule!$Y:$Y&lt;&gt;""""),""""))"),"")</f>
        <v/>
      </c>
      <c r="Z213" s="152" t="str">
        <f>IFERROR(__xludf.DUMMYFUNCTION("if(U213="""","""",iferror(filter(Schedule!$P:$P&amp;""-""&amp;Schedule!$Q:$Q,Schedule!$L:$L=U213,(Schedule!$J:$J="""")+(Schedule!$J:$J=V213),(Schedule!$K:$K=""a"")+(Schedule!$K:$K=""""),Schedule!$P:$P&lt;&gt;""""),""""))"),"")</f>
        <v/>
      </c>
      <c r="AA213" s="152" t="str">
        <f>IFERROR(__xludf.DUMMYFUNCTION("if(U213="""","""",iferror(filter(Schedule!$M:$M&amp;""-""&amp;Schedule!$N:$N,Schedule!$L:$L=U213,(Schedule!$J:$J="""")+(Schedule!$J:$J=V213),(Schedule!$K:$K=""a"")+(Schedule!$K:$K=""""),Schedule!$M:$M&lt;&gt;""""),""""))"),"")</f>
        <v/>
      </c>
      <c r="AB213" s="152" t="str">
        <f>IFERROR(__xludf.DUMMYFUNCTION("if(U213="""","""",iferror(filter(Schedule!$AB:$AB&amp;""-""&amp;Schedule!$AC:$AC,Schedule!$L:$L=U213,(Schedule!$J:$J="""")+(Schedule!$J:$J=V213),(Schedule!$K:$K=""a"")+(Schedule!$K:$K=""""),Schedule!$AB:$AB&lt;&gt;""""),""""))"),"")</f>
        <v/>
      </c>
      <c r="AC213" s="60"/>
      <c r="AD213" s="155"/>
      <c r="AE213" s="155" t="str">
        <f>AG210</f>
        <v/>
      </c>
      <c r="AF213" s="151" t="str">
        <f>AM210</f>
        <v/>
      </c>
      <c r="AG213" s="147">
        <v>2.0</v>
      </c>
      <c r="AH213" s="152" t="str">
        <f>IFERROR(__xludf.DUMMYFUNCTION("if(AE213="""","""",iferror(filter(Schedule!$P:$P&amp;""-""&amp;Schedule!$Q:$Q,Schedule!$L:$L=AE213,(Schedule!$J:$J="""")+(Schedule!$J:$J=AF213),(Schedule!$K:$K=""a"")+(Schedule!$K:$K=""""),Schedule!$P:$P&lt;&gt;""""),""""))"),"")</f>
        <v/>
      </c>
      <c r="AI213" s="152" t="str">
        <f>IFERROR(__xludf.DUMMYFUNCTION("if(AE213="""","""",iferror(filter(Schedule!$Y:$Y&amp;""-""&amp;Schedule!$Z:$Z,Schedule!$L:$L=AE213,(Schedule!$J:$J="""")+(Schedule!$J:$J=AF213),(Schedule!$K:$K=""b"")+(Schedule!$K:$K=""""),Schedule!$Y:$Y&lt;&gt;""""),""""))"),"")</f>
        <v/>
      </c>
      <c r="AJ213" s="152" t="str">
        <f>IFERROR(__xludf.DUMMYFUNCTION("if(AE213="""","""",iferror(filter(Schedule!$P:$P&amp;""-""&amp;Schedule!$Q:$Q,Schedule!$L:$L=AE213,(Schedule!$J:$J="""")+(Schedule!$J:$J=AF213),(Schedule!$K:$K=""a"")+(Schedule!$K:$K=""""),Schedule!$P:$P&lt;&gt;""""),""""))"),"")</f>
        <v/>
      </c>
      <c r="AK213" s="152" t="str">
        <f>IFERROR(__xludf.DUMMYFUNCTION("if(AE213="""","""",iferror(filter(Schedule!$M:$M&amp;""-""&amp;Schedule!$N:$N,Schedule!$L:$L=AE213,(Schedule!$J:$J="""")+(Schedule!$J:$J=AF213),(Schedule!$K:$K=""a"")+(Schedule!$K:$K=""""),Schedule!$M:$M&lt;&gt;""""),""""))"),"")</f>
        <v/>
      </c>
      <c r="AL213" s="152" t="str">
        <f>IFERROR(__xludf.DUMMYFUNCTION("if(AE213="""","""",iferror(filter(Schedule!$AB:$AB&amp;""-""&amp;Schedule!$AC:$AC,Schedule!$L:$L=AE213,(Schedule!$J:$J="""")+(Schedule!$J:$J=AF213),(Schedule!$K:$K=""a"")+(Schedule!$K:$K=""""),Schedule!$AB:$AB&lt;&gt;""""),""""))"),"")</f>
        <v/>
      </c>
      <c r="AM213" s="60"/>
    </row>
    <row r="214">
      <c r="A214" s="151" t="str">
        <f>C210</f>
        <v>Taylor Nielson</v>
      </c>
      <c r="B214" s="151" t="str">
        <f>I210</f>
        <v>Y</v>
      </c>
      <c r="C214" s="147">
        <v>3.0</v>
      </c>
      <c r="D214" s="152" t="str">
        <f>IFERROR(__xludf.DUMMYFUNCTION("if(A214="""","""",iferror(filter(Schedule!$S:$S&amp;""-""&amp;Schedule!$T:$T,Schedule!$L:$L=A214,(Schedule!$J:$J="""")+(Schedule!$J:$J=B214),(Schedule!$K:$K=""a"")+(Schedule!$K:$K=""""),Schedule!$S:$S&lt;&gt;""""),""""))"),"Math 7-2")</f>
        <v>Math 7-2</v>
      </c>
      <c r="E214" s="152" t="str">
        <f>IFERROR(__xludf.DUMMYFUNCTION("if(A214="""","""",iferror(filter(Schedule!$S:$S&amp;""-""&amp;Schedule!$T:$T,Schedule!$L:$L=A214,(Schedule!$J:$J="""")+(Schedule!$J:$J=B214),(Schedule!$K:$K=""b"")+(Schedule!$K:$K=""""),Schedule!$S:$S&lt;&gt;""""),""""))"),"Math 7-2")</f>
        <v>Math 7-2</v>
      </c>
      <c r="F214" s="152" t="str">
        <f>IFERROR(__xludf.DUMMYFUNCTION("if(A214="""","""",iferror(filter(Schedule!$Y:$Y&amp;""-""&amp;Schedule!$Z:$Z,Schedule!$L:$L=A214,(Schedule!$J:$J="""")+(Schedule!$J:$J=B214),(Schedule!$K:$K=""a"")+(Schedule!$K:$K=""""),Schedule!$Y:$Y&lt;&gt;""""),""""))"),"")</f>
        <v/>
      </c>
      <c r="G214" s="152" t="str">
        <f>IFERROR(__xludf.DUMMYFUNCTION("if(A214="""","""",iferror(filter(Schedule!$P:$P&amp;""-""&amp;Schedule!$Q:$Q,Schedule!$L:$L=A214,(Schedule!$J:$J="""")+(Schedule!$J:$J=B214),(Schedule!$K:$K=""b"")+(Schedule!$K:$K=""""),Schedule!$P:$P&lt;&gt;""""),""""))"),"")</f>
        <v/>
      </c>
      <c r="H214" s="152" t="str">
        <f>if(C210="","","X-Block")</f>
        <v>X-Block</v>
      </c>
      <c r="I214" s="60"/>
      <c r="J214" s="154"/>
      <c r="K214" s="151" t="str">
        <f>M210</f>
        <v/>
      </c>
      <c r="L214" s="151" t="str">
        <f>S210</f>
        <v/>
      </c>
      <c r="M214" s="147">
        <v>3.0</v>
      </c>
      <c r="N214" s="152" t="str">
        <f>IFERROR(__xludf.DUMMYFUNCTION("if(K214="""","""",iferror(filter(Schedule!$S:$S&amp;""-""&amp;Schedule!$T:$T,Schedule!$L:$L=K214,(Schedule!$J:$J="""")+(Schedule!$J:$J=L214),(Schedule!$K:$K=""a"")+(Schedule!$K:$K=""""),Schedule!$S:$S&lt;&gt;""""),""""))"),"")</f>
        <v/>
      </c>
      <c r="O214" s="152" t="str">
        <f>IFERROR(__xludf.DUMMYFUNCTION("if(K214="""","""",iferror(filter(Schedule!$S:$S&amp;""-""&amp;Schedule!$T:$T,Schedule!$L:$L=K214,(Schedule!$J:$J="""")+(Schedule!$J:$J=L214),(Schedule!$K:$K=""b"")+(Schedule!$K:$K=""""),Schedule!$S:$S&lt;&gt;""""),""""))"),"")</f>
        <v/>
      </c>
      <c r="P214" s="152" t="str">
        <f>IFERROR(__xludf.DUMMYFUNCTION("if(K214="""","""",iferror(filter(Schedule!$Y:$Y&amp;""-""&amp;Schedule!$Z:$Z,Schedule!$L:$L=K214,(Schedule!$J:$J="""")+(Schedule!$J:$J=L214),(Schedule!$K:$K=""a"")+(Schedule!$K:$K=""""),Schedule!$Y:$Y&lt;&gt;""""),""""))"),"")</f>
        <v/>
      </c>
      <c r="Q214" s="152" t="str">
        <f>IFERROR(__xludf.DUMMYFUNCTION("if(K214="""","""",iferror(filter(Schedule!$P:$P&amp;""-""&amp;Schedule!$Q:$Q,Schedule!$L:$L=K214,(Schedule!$J:$J="""")+(Schedule!$J:$J=L214),(Schedule!$K:$K=""b"")+(Schedule!$K:$K=""""),Schedule!$P:$P&lt;&gt;""""),""""))"),"")</f>
        <v/>
      </c>
      <c r="R214" s="152" t="str">
        <f>if(M210="","","X-Block")</f>
        <v/>
      </c>
      <c r="S214" s="60"/>
      <c r="T214" s="155"/>
      <c r="U214" s="155" t="str">
        <f>W210</f>
        <v/>
      </c>
      <c r="V214" s="151" t="str">
        <f>AC210</f>
        <v/>
      </c>
      <c r="W214" s="147">
        <v>3.0</v>
      </c>
      <c r="X214" s="152" t="str">
        <f>IFERROR(__xludf.DUMMYFUNCTION("if(U214="""","""",iferror(filter(Schedule!$S:$S&amp;""-""&amp;Schedule!$T:$T,Schedule!$L:$L=U214,(Schedule!$J:$J="""")+(Schedule!$J:$J=V214),(Schedule!$K:$K=""a"")+(Schedule!$K:$K=""""),Schedule!$S:$S&lt;&gt;""""),""""))"),"")</f>
        <v/>
      </c>
      <c r="Y214" s="152" t="str">
        <f>IFERROR(__xludf.DUMMYFUNCTION("if(U214="""","""",iferror(filter(Schedule!$S:$S&amp;""-""&amp;Schedule!$T:$T,Schedule!$L:$L=U214,(Schedule!$J:$J="""")+(Schedule!$J:$J=V214),(Schedule!$K:$K=""b"")+(Schedule!$K:$K=""""),Schedule!$S:$S&lt;&gt;""""),""""))"),"")</f>
        <v/>
      </c>
      <c r="Z214" s="152" t="str">
        <f>IFERROR(__xludf.DUMMYFUNCTION("if(U214="""","""",iferror(filter(Schedule!$Y:$Y&amp;""-""&amp;Schedule!$Z:$Z,Schedule!$L:$L=U214,(Schedule!$J:$J="""")+(Schedule!$J:$J=V214),(Schedule!$K:$K=""a"")+(Schedule!$K:$K=""""),Schedule!$Y:$Y&lt;&gt;""""),""""))"),"")</f>
        <v/>
      </c>
      <c r="AA214" s="152" t="str">
        <f>IFERROR(__xludf.DUMMYFUNCTION("if(U214="""","""",iferror(filter(Schedule!$P:$P&amp;""-""&amp;Schedule!$Q:$Q,Schedule!$L:$L=U214,(Schedule!$J:$J="""")+(Schedule!$J:$J=V214),(Schedule!$K:$K=""b"")+(Schedule!$K:$K=""""),Schedule!$P:$P&lt;&gt;""""),""""))"),"")</f>
        <v/>
      </c>
      <c r="AB214" s="152" t="str">
        <f>if(W210="","","X-Block")</f>
        <v/>
      </c>
      <c r="AC214" s="60"/>
      <c r="AD214" s="155"/>
      <c r="AE214" s="155" t="str">
        <f>AG210</f>
        <v/>
      </c>
      <c r="AF214" s="151" t="str">
        <f>AM210</f>
        <v/>
      </c>
      <c r="AG214" s="147">
        <v>3.0</v>
      </c>
      <c r="AH214" s="152" t="str">
        <f>IFERROR(__xludf.DUMMYFUNCTION("if(AE214="""","""",iferror(filter(Schedule!$S:$S&amp;""-""&amp;Schedule!$T:$T,Schedule!$L:$L=AE214,(Schedule!$J:$J="""")+(Schedule!$J:$J=AF214),(Schedule!$K:$K=""a"")+(Schedule!$K:$K=""""),Schedule!$S:$S&lt;&gt;""""),""""))"),"")</f>
        <v/>
      </c>
      <c r="AI214" s="152" t="str">
        <f>IFERROR(__xludf.DUMMYFUNCTION("if(AE214="""","""",iferror(filter(Schedule!$S:$S&amp;""-""&amp;Schedule!$T:$T,Schedule!$L:$L=AE214,(Schedule!$J:$J="""")+(Schedule!$J:$J=AF214),(Schedule!$K:$K=""b"")+(Schedule!$K:$K=""""),Schedule!$S:$S&lt;&gt;""""),""""))"),"")</f>
        <v/>
      </c>
      <c r="AJ214" s="152" t="str">
        <f>IFERROR(__xludf.DUMMYFUNCTION("if(AE214="""","""",iferror(filter(Schedule!$Y:$Y&amp;""-""&amp;Schedule!$Z:$Z,Schedule!$L:$L=AE214,(Schedule!$J:$J="""")+(Schedule!$J:$J=AF214),(Schedule!$K:$K=""a"")+(Schedule!$K:$K=""""),Schedule!$Y:$Y&lt;&gt;""""),""""))"),"")</f>
        <v/>
      </c>
      <c r="AK214" s="152" t="str">
        <f>IFERROR(__xludf.DUMMYFUNCTION("if(AE214="""","""",iferror(filter(Schedule!$P:$P&amp;""-""&amp;Schedule!$Q:$Q,Schedule!$L:$L=AE214,(Schedule!$J:$J="""")+(Schedule!$J:$J=AF214),(Schedule!$K:$K=""b"")+(Schedule!$K:$K=""""),Schedule!$P:$P&lt;&gt;""""),""""))"),"")</f>
        <v/>
      </c>
      <c r="AL214" s="152" t="str">
        <f>if(AG210="","","X-Block")</f>
        <v/>
      </c>
      <c r="AM214" s="60"/>
    </row>
    <row r="215">
      <c r="A215" s="151" t="str">
        <f>C210</f>
        <v>Taylor Nielson</v>
      </c>
      <c r="B215" s="151" t="str">
        <f>I210</f>
        <v>Y</v>
      </c>
      <c r="C215" s="147">
        <v>4.0</v>
      </c>
      <c r="D215" s="152" t="str">
        <f>IFERROR(__xludf.DUMMYFUNCTION("if(A215="""","""",iferror(filter(Schedule!$V:$V&amp;""-""&amp;Schedule!$W:$W,Schedule!$L:$L=A215,(Schedule!$J:$J="""")+(Schedule!$J:$J=B215),(Schedule!$K:$K=""a"")+(Schedule!$K:$K=""""),Schedule!$V:$V&lt;&gt;""""),""""))"),"Math 7A-4")</f>
        <v>Math 7A-4</v>
      </c>
      <c r="E215" s="152" t="str">
        <f>IFERROR(__xludf.DUMMYFUNCTION("if(A215="""","""",iferror(filter(Schedule!$M:$M&amp;""-""&amp;Schedule!$N:$N,Schedule!$L:$L=A215,(Schedule!$J:$J="""")+(Schedule!$J:$J=B215),(Schedule!$K:$K=""b"")+(Schedule!$K:$K=""""),Schedule!$M:$M&lt;&gt;""""),""""))"),"Math 8A-2")</f>
        <v>Math 8A-2</v>
      </c>
      <c r="F215" s="152" t="str">
        <f>IFERROR(__xludf.DUMMYFUNCTION("if(A215="""","""",iferror(filter(Schedule!$AB:$AB&amp;""-""&amp;Schedule!$AC:$AC,Schedule!$L:$L=A215,(Schedule!$J:$J="""")+(Schedule!$J:$J=B215),(Schedule!$K:$K=""a"")+(Schedule!$K:$K=""""),Schedule!$AB:$AB&lt;&gt;""""),""""))"),"Math 8-3")</f>
        <v>Math 8-3</v>
      </c>
      <c r="G215" s="152" t="str">
        <f>IFERROR(__xludf.DUMMYFUNCTION("if(A215="""","""",iferror(filter(Schedule!$S:$S&amp;""-""&amp;Schedule!$T:$T,Schedule!$L:$L=A215,(Schedule!$J:$J="""")+(Schedule!$J:$J=B215),(Schedule!$K:$K=""b"")+(Schedule!$K:$K=""""),Schedule!$S:$S&lt;&gt;""""),""""))"),"Math 7-2")</f>
        <v>Math 7-2</v>
      </c>
      <c r="H215" s="152" t="str">
        <f>IFERROR(__xludf.DUMMYFUNCTION("if(A215="""","""",iferror(filter(Schedule!$V:$V&amp;""-""&amp;Schedule!$W:$W,Schedule!$L:$L=A215,(Schedule!$J:$J="""")+(Schedule!$J:$J=B215),(Schedule!$K:$K=""b"")+(Schedule!$K:$K=""""),Schedule!$V:$V&lt;&gt;""""),""""))"),"Math 7A-4")</f>
        <v>Math 7A-4</v>
      </c>
      <c r="I215" s="60"/>
      <c r="J215" s="154"/>
      <c r="K215" s="151" t="str">
        <f>M210</f>
        <v/>
      </c>
      <c r="L215" s="151" t="str">
        <f>S210</f>
        <v/>
      </c>
      <c r="M215" s="147">
        <v>4.0</v>
      </c>
      <c r="N215" s="152" t="str">
        <f>IFERROR(__xludf.DUMMYFUNCTION("if(K215="""","""",iferror(filter(Schedule!$V:$V&amp;""-""&amp;Schedule!$W:$W,Schedule!$L:$L=K215,(Schedule!$J:$J="""")+(Schedule!$J:$J=L215),(Schedule!$K:$K=""a"")+(Schedule!$K:$K=""""),Schedule!$V:$V&lt;&gt;""""),""""))"),"")</f>
        <v/>
      </c>
      <c r="O215" s="152" t="str">
        <f>IFERROR(__xludf.DUMMYFUNCTION("if(K215="""","""",iferror(filter(Schedule!$M:$M&amp;""-""&amp;Schedule!$N:$N,Schedule!$L:$L=K215,(Schedule!$J:$J="""")+(Schedule!$J:$J=L215),(Schedule!$K:$K=""b"")+(Schedule!$K:$K=""""),Schedule!$M:$M&lt;&gt;""""),""""))"),"")</f>
        <v/>
      </c>
      <c r="P215" s="152" t="str">
        <f>IFERROR(__xludf.DUMMYFUNCTION("if(K215="""","""",iferror(filter(Schedule!$AB:$AB&amp;""-""&amp;Schedule!$AC:$AC,Schedule!$L:$L=K215,(Schedule!$J:$J="""")+(Schedule!$J:$J=L215),(Schedule!$K:$K=""a"")+(Schedule!$K:$K=""""),Schedule!$AB:$AB&lt;&gt;""""),""""))"),"")</f>
        <v/>
      </c>
      <c r="Q215" s="152" t="str">
        <f>IFERROR(__xludf.DUMMYFUNCTION("if(K215="""","""",iferror(filter(Schedule!$S:$S&amp;""-""&amp;Schedule!$T:$T,Schedule!$L:$L=K215,(Schedule!$J:$J="""")+(Schedule!$J:$J=L215),(Schedule!$K:$K=""b"")+(Schedule!$K:$K=""""),Schedule!$S:$S&lt;&gt;""""),""""))"),"")</f>
        <v/>
      </c>
      <c r="R215" s="152" t="str">
        <f>IFERROR(__xludf.DUMMYFUNCTION("if(K215="""","""",iferror(filter(Schedule!$V:$V&amp;""-""&amp;Schedule!$W:$W,Schedule!$L:$L=K215,(Schedule!$J:$J="""")+(Schedule!$J:$J=L215),(Schedule!$K:$K=""b"")+(Schedule!$K:$K=""""),Schedule!$V:$V&lt;&gt;""""),""""))"),"")</f>
        <v/>
      </c>
      <c r="S215" s="60"/>
      <c r="T215" s="155"/>
      <c r="U215" s="155" t="str">
        <f>W210</f>
        <v/>
      </c>
      <c r="V215" s="151" t="str">
        <f>AC210</f>
        <v/>
      </c>
      <c r="W215" s="147">
        <v>4.0</v>
      </c>
      <c r="X215" s="152" t="str">
        <f>IFERROR(__xludf.DUMMYFUNCTION("if(U215="""","""",iferror(filter(Schedule!$V:$V&amp;""-""&amp;Schedule!$W:$W,Schedule!$L:$L=U215,(Schedule!$J:$J="""")+(Schedule!$J:$J=V215),(Schedule!$K:$K=""a"")+(Schedule!$K:$K=""""),Schedule!$V:$V&lt;&gt;""""),""""))"),"")</f>
        <v/>
      </c>
      <c r="Y215" s="152" t="str">
        <f>IFERROR(__xludf.DUMMYFUNCTION("if(U215="""","""",iferror(filter(Schedule!$M:$M&amp;""-""&amp;Schedule!$N:$N,Schedule!$L:$L=U215,(Schedule!$J:$J="""")+(Schedule!$J:$J=V215),(Schedule!$K:$K=""b"")+(Schedule!$K:$K=""""),Schedule!$M:$M&lt;&gt;""""),""""))"),"")</f>
        <v/>
      </c>
      <c r="Z215" s="152" t="str">
        <f>IFERROR(__xludf.DUMMYFUNCTION("if(U215="""","""",iferror(filter(Schedule!$AB:$AB&amp;""-""&amp;Schedule!$AC:$AC,Schedule!$L:$L=U215,(Schedule!$J:$J="""")+(Schedule!$J:$J=V215),(Schedule!$K:$K=""a"")+(Schedule!$K:$K=""""),Schedule!$AB:$AB&lt;&gt;""""),""""))"),"")</f>
        <v/>
      </c>
      <c r="AA215" s="152" t="str">
        <f>IFERROR(__xludf.DUMMYFUNCTION("if(U215="""","""",iferror(filter(Schedule!$S:$S&amp;""-""&amp;Schedule!$T:$T,Schedule!$L:$L=U215,(Schedule!$J:$J="""")+(Schedule!$J:$J=V215),(Schedule!$K:$K=""b"")+(Schedule!$K:$K=""""),Schedule!$S:$S&lt;&gt;""""),""""))"),"")</f>
        <v/>
      </c>
      <c r="AB215" s="152" t="str">
        <f>IFERROR(__xludf.DUMMYFUNCTION("if(U215="""","""",iferror(filter(Schedule!$V:$V&amp;""-""&amp;Schedule!$W:$W,Schedule!$L:$L=U215,(Schedule!$J:$J="""")+(Schedule!$J:$J=V215),(Schedule!$K:$K=""b"")+(Schedule!$K:$K=""""),Schedule!$V:$V&lt;&gt;""""),""""))"),"")</f>
        <v/>
      </c>
      <c r="AC215" s="60"/>
      <c r="AD215" s="155"/>
      <c r="AE215" s="155" t="str">
        <f>AG210</f>
        <v/>
      </c>
      <c r="AF215" s="151" t="str">
        <f>AM210</f>
        <v/>
      </c>
      <c r="AG215" s="147">
        <v>4.0</v>
      </c>
      <c r="AH215" s="152" t="str">
        <f>IFERROR(__xludf.DUMMYFUNCTION("if(AE215="""","""",iferror(filter(Schedule!$V:$V&amp;""-""&amp;Schedule!$W:$W,Schedule!$L:$L=AE215,(Schedule!$J:$J="""")+(Schedule!$J:$J=AF215),(Schedule!$K:$K=""a"")+(Schedule!$K:$K=""""),Schedule!$V:$V&lt;&gt;""""),""""))"),"")</f>
        <v/>
      </c>
      <c r="AI215" s="152" t="str">
        <f>IFERROR(__xludf.DUMMYFUNCTION("if(AE215="""","""",iferror(filter(Schedule!$M:$M&amp;""-""&amp;Schedule!$N:$N,Schedule!$L:$L=AE215,(Schedule!$J:$J="""")+(Schedule!$J:$J=AF215),(Schedule!$K:$K=""b"")+(Schedule!$K:$K=""""),Schedule!$M:$M&lt;&gt;""""),""""))"),"")</f>
        <v/>
      </c>
      <c r="AJ215" s="152" t="str">
        <f>IFERROR(__xludf.DUMMYFUNCTION("if(AE215="""","""",iferror(filter(Schedule!$AB:$AB&amp;""-""&amp;Schedule!$AC:$AC,Schedule!$L:$L=AE215,(Schedule!$J:$J="""")+(Schedule!$J:$J=AF215),(Schedule!$K:$K=""a"")+(Schedule!$K:$K=""""),Schedule!$AB:$AB&lt;&gt;""""),""""))"),"")</f>
        <v/>
      </c>
      <c r="AK215" s="152" t="str">
        <f>IFERROR(__xludf.DUMMYFUNCTION("if(AE215="""","""",iferror(filter(Schedule!$S:$S&amp;""-""&amp;Schedule!$T:$T,Schedule!$L:$L=AE215,(Schedule!$J:$J="""")+(Schedule!$J:$J=AF215),(Schedule!$K:$K=""b"")+(Schedule!$K:$K=""""),Schedule!$S:$S&lt;&gt;""""),""""))"),"")</f>
        <v/>
      </c>
      <c r="AL215" s="152" t="str">
        <f>IFERROR(__xludf.DUMMYFUNCTION("if(AE215="""","""",iferror(filter(Schedule!$V:$V&amp;""-""&amp;Schedule!$W:$W,Schedule!$L:$L=AE215,(Schedule!$J:$J="""")+(Schedule!$J:$J=AF215),(Schedule!$K:$K=""b"")+(Schedule!$K:$K=""""),Schedule!$V:$V&lt;&gt;""""),""""))"),"")</f>
        <v/>
      </c>
      <c r="AM215" s="60"/>
    </row>
    <row r="216">
      <c r="A216" s="151" t="str">
        <f>C210</f>
        <v>Taylor Nielson</v>
      </c>
      <c r="B216" s="151" t="str">
        <f>I210</f>
        <v>Y</v>
      </c>
      <c r="C216" s="147">
        <v>5.0</v>
      </c>
      <c r="D216" s="152" t="str">
        <f>IFERROR(__xludf.DUMMYFUNCTION("if(A216="""","""",iferror(filter(Schedule!$Y:$Y&amp;""-""&amp;Schedule!$Z:$Z,Schedule!$L:$L=A216,(Schedule!$J:$J="""")+(Schedule!$J:$J=B216),(Schedule!$K:$K=""a"")+(Schedule!$K:$K=""""),Schedule!$Y:$Y&lt;&gt;""""),""""))"),"")</f>
        <v/>
      </c>
      <c r="E216" s="152" t="str">
        <f>IFERROR(__xludf.DUMMYFUNCTION("if(A216="""","""",iferror(filter(Schedule!$P:$P&amp;""-""&amp;Schedule!$Q:$Q,Schedule!$L:$L=A216,(Schedule!$J:$J="""")+(Schedule!$J:$J=B216),(Schedule!$K:$K=""b"")+(Schedule!$K:$K=""""),Schedule!$P:$P&lt;&gt;""""),""""))"),"")</f>
        <v/>
      </c>
      <c r="F216" s="152" t="str">
        <f>IFERROR(__xludf.DUMMYFUNCTION("if(A216="""","""",iferror(filter(Schedule!$V:$V&amp;""-""&amp;Schedule!$W:$W,Schedule!$L:$L=A216,(Schedule!$J:$J="""")+(Schedule!$J:$J=B216),(Schedule!$K:$K=""b"")+(Schedule!$K:$K=""""),Schedule!$V:$V&lt;&gt;""""),""""))"),"Math 7A-4")</f>
        <v>Math 7A-4</v>
      </c>
      <c r="G216" s="152" t="str">
        <f>IFERROR(__xludf.DUMMYFUNCTION("if(A216="""","""",iferror(filter(Schedule!$AB:$AB&amp;""-""&amp;Schedule!$AC:$AC,Schedule!$L:$L=A216,(Schedule!$J:$J="""")+(Schedule!$J:$J=B216),(Schedule!$K:$K=""b"")+(Schedule!$K:$K=""""),Schedule!$AB:$AB&lt;&gt;""""),""""))"),"Math 8-3")</f>
        <v>Math 8-3</v>
      </c>
      <c r="H216" s="152" t="str">
        <f>IFERROR(__xludf.DUMMYFUNCTION("if(A216="""","""",iferror(filter(Schedule!$M:$M&amp;""-""&amp;Schedule!$N:$N,Schedule!$L:$L=A216,(Schedule!$J:$J="""")+(Schedule!$J:$J=B216),(Schedule!$K:$K=""b"")+(Schedule!$K:$K=""""),Schedule!$M:$M&lt;&gt;""""),""""))"),"Math 8A-2")</f>
        <v>Math 8A-2</v>
      </c>
      <c r="I216" s="64"/>
      <c r="J216" s="154"/>
      <c r="K216" s="151" t="str">
        <f>M210</f>
        <v/>
      </c>
      <c r="L216" s="151" t="str">
        <f>S210</f>
        <v/>
      </c>
      <c r="M216" s="147">
        <v>5.0</v>
      </c>
      <c r="N216" s="152" t="str">
        <f>IFERROR(__xludf.DUMMYFUNCTION("if(K216="""","""",iferror(filter(Schedule!$Y:$Y&amp;""-""&amp;Schedule!$Z:$Z,Schedule!$L:$L=K216,(Schedule!$J:$J="""")+(Schedule!$J:$J=L216),(Schedule!$K:$K=""a"")+(Schedule!$K:$K=""""),Schedule!$Y:$Y&lt;&gt;""""),""""))"),"")</f>
        <v/>
      </c>
      <c r="O216" s="152" t="str">
        <f>IFERROR(__xludf.DUMMYFUNCTION("if(K216="""","""",iferror(filter(Schedule!$P:$P&amp;""-""&amp;Schedule!$Q:$Q,Schedule!$L:$L=K216,(Schedule!$J:$J="""")+(Schedule!$J:$J=L216),(Schedule!$K:$K=""b"")+(Schedule!$K:$K=""""),Schedule!$P:$P&lt;&gt;""""),""""))"),"")</f>
        <v/>
      </c>
      <c r="P216" s="152" t="str">
        <f>IFERROR(__xludf.DUMMYFUNCTION("if(K216="""","""",iferror(filter(Schedule!$V:$V&amp;""-""&amp;Schedule!$W:$W,Schedule!$L:$L=K216,(Schedule!$J:$J="""")+(Schedule!$J:$J=L216),(Schedule!$K:$K=""b"")+(Schedule!$K:$K=""""),Schedule!$V:$V&lt;&gt;""""),""""))"),"")</f>
        <v/>
      </c>
      <c r="Q216" s="152" t="str">
        <f>IFERROR(__xludf.DUMMYFUNCTION("if(K216="""","""",iferror(filter(Schedule!$AB:$AB&amp;""-""&amp;Schedule!$AC:$AC,Schedule!$L:$L=K216,(Schedule!$J:$J="""")+(Schedule!$J:$J=L216),(Schedule!$K:$K=""b"")+(Schedule!$K:$K=""""),Schedule!$AB:$AB&lt;&gt;""""),""""))"),"")</f>
        <v/>
      </c>
      <c r="R216" s="152" t="str">
        <f>IFERROR(__xludf.DUMMYFUNCTION("if(K216="""","""",iferror(filter(Schedule!$M:$M&amp;""-""&amp;Schedule!$N:$N,Schedule!$L:$L=K216,(Schedule!$J:$J="""")+(Schedule!$J:$J=L216),(Schedule!$K:$K=""b"")+(Schedule!$K:$K=""""),Schedule!$M:$M&lt;&gt;""""),""""))"),"")</f>
        <v/>
      </c>
      <c r="S216" s="64"/>
      <c r="T216" s="155"/>
      <c r="U216" s="155" t="str">
        <f>W210</f>
        <v/>
      </c>
      <c r="V216" s="151" t="str">
        <f>AC210</f>
        <v/>
      </c>
      <c r="W216" s="147">
        <v>5.0</v>
      </c>
      <c r="X216" s="152" t="str">
        <f>IFERROR(__xludf.DUMMYFUNCTION("if(U216="""","""",iferror(filter(Schedule!$Y:$Y&amp;""-""&amp;Schedule!$Z:$Z,Schedule!$L:$L=U216,(Schedule!$J:$J="""")+(Schedule!$J:$J=V216),(Schedule!$K:$K=""a"")+(Schedule!$K:$K=""""),Schedule!$Y:$Y&lt;&gt;""""),""""))"),"")</f>
        <v/>
      </c>
      <c r="Y216" s="152" t="str">
        <f>IFERROR(__xludf.DUMMYFUNCTION("if(U216="""","""",iferror(filter(Schedule!$P:$P&amp;""-""&amp;Schedule!$Q:$Q,Schedule!$L:$L=U216,(Schedule!$J:$J="""")+(Schedule!$J:$J=V216),(Schedule!$K:$K=""b"")+(Schedule!$K:$K=""""),Schedule!$P:$P&lt;&gt;""""),""""))"),"")</f>
        <v/>
      </c>
      <c r="Z216" s="152" t="str">
        <f>IFERROR(__xludf.DUMMYFUNCTION("if(U216="""","""",iferror(filter(Schedule!$V:$V&amp;""-""&amp;Schedule!$W:$W,Schedule!$L:$L=U216,(Schedule!$J:$J="""")+(Schedule!$J:$J=V216),(Schedule!$K:$K=""b"")+(Schedule!$K:$K=""""),Schedule!$V:$V&lt;&gt;""""),""""))"),"")</f>
        <v/>
      </c>
      <c r="AA216" s="152" t="str">
        <f>IFERROR(__xludf.DUMMYFUNCTION("if(U216="""","""",iferror(filter(Schedule!$AB:$AB&amp;""-""&amp;Schedule!$AC:$AC,Schedule!$L:$L=U216,(Schedule!$J:$J="""")+(Schedule!$J:$J=V216),(Schedule!$K:$K=""b"")+(Schedule!$K:$K=""""),Schedule!$AB:$AB&lt;&gt;""""),""""))"),"")</f>
        <v/>
      </c>
      <c r="AB216" s="152" t="str">
        <f>IFERROR(__xludf.DUMMYFUNCTION("if(U216="""","""",iferror(filter(Schedule!$M:$M&amp;""-""&amp;Schedule!$N:$N,Schedule!$L:$L=U216,(Schedule!$J:$J="""")+(Schedule!$J:$J=V216),(Schedule!$K:$K=""b"")+(Schedule!$K:$K=""""),Schedule!$M:$M&lt;&gt;""""),""""))"),"")</f>
        <v/>
      </c>
      <c r="AC216" s="64"/>
      <c r="AD216" s="155"/>
      <c r="AE216" s="155" t="str">
        <f>AG210</f>
        <v/>
      </c>
      <c r="AF216" s="151" t="str">
        <f>AM210</f>
        <v/>
      </c>
      <c r="AG216" s="147">
        <v>5.0</v>
      </c>
      <c r="AH216" s="152" t="str">
        <f>IFERROR(__xludf.DUMMYFUNCTION("if(AE216="""","""",iferror(filter(Schedule!$Y:$Y&amp;""-""&amp;Schedule!$Z:$Z,Schedule!$L:$L=AE216,(Schedule!$J:$J="""")+(Schedule!$J:$J=AF216),(Schedule!$K:$K=""a"")+(Schedule!$K:$K=""""),Schedule!$Y:$Y&lt;&gt;""""),""""))"),"")</f>
        <v/>
      </c>
      <c r="AI216" s="152" t="str">
        <f>IFERROR(__xludf.DUMMYFUNCTION("if(AE216="""","""",iferror(filter(Schedule!$P:$P&amp;""-""&amp;Schedule!$Q:$Q,Schedule!$L:$L=AE216,(Schedule!$J:$J="""")+(Schedule!$J:$J=AF216),(Schedule!$K:$K=""b"")+(Schedule!$K:$K=""""),Schedule!$P:$P&lt;&gt;""""),""""))"),"")</f>
        <v/>
      </c>
      <c r="AJ216" s="152" t="str">
        <f>IFERROR(__xludf.DUMMYFUNCTION("if(AE216="""","""",iferror(filter(Schedule!$V:$V&amp;""-""&amp;Schedule!$W:$W,Schedule!$L:$L=AE216,(Schedule!$J:$J="""")+(Schedule!$J:$J=AF216),(Schedule!$K:$K=""b"")+(Schedule!$K:$K=""""),Schedule!$V:$V&lt;&gt;""""),""""))"),"")</f>
        <v/>
      </c>
      <c r="AK216" s="152" t="str">
        <f>IFERROR(__xludf.DUMMYFUNCTION("if(AE216="""","""",iferror(filter(Schedule!$AB:$AB&amp;""-""&amp;Schedule!$AC:$AC,Schedule!$L:$L=AE216,(Schedule!$J:$J="""")+(Schedule!$J:$J=AF216),(Schedule!$K:$K=""b"")+(Schedule!$K:$K=""""),Schedule!$AB:$AB&lt;&gt;""""),""""))"),"")</f>
        <v/>
      </c>
      <c r="AL216" s="152" t="str">
        <f>IFERROR(__xludf.DUMMYFUNCTION("if(AE216="""","""",iferror(filter(Schedule!$M:$M&amp;""-""&amp;Schedule!$N:$N,Schedule!$L:$L=AE216,(Schedule!$J:$J="""")+(Schedule!$J:$J=AF216),(Schedule!$K:$K=""b"")+(Schedule!$K:$K=""""),Schedule!$M:$M&lt;&gt;""""),""""))"),"")</f>
        <v/>
      </c>
      <c r="AM216" s="64"/>
    </row>
    <row r="217">
      <c r="A217" s="11"/>
      <c r="B217" s="11"/>
      <c r="C217" s="156"/>
      <c r="D217" s="156"/>
      <c r="E217" s="156"/>
      <c r="F217" s="156"/>
      <c r="G217" s="156"/>
      <c r="H217" s="156"/>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c r="A218" s="5"/>
      <c r="B218" s="5"/>
      <c r="C218" s="140" t="str">
        <f>Teachers!A28</f>
        <v>Vicente Miralles</v>
      </c>
      <c r="D218" s="141"/>
      <c r="E218" s="141"/>
      <c r="F218" s="141"/>
      <c r="G218" s="141"/>
      <c r="H218" s="142"/>
      <c r="I218" s="143" t="str">
        <f>IFERROR(__xludf.DUMMYFUNCTION("if(C218="""","""", iferror(unique(filter(Schedule!$J:$J,Schedule!$L:$L=$C218,Schedule!$J:$J=""Q1"")),iferror(unique(filter(Schedule!$J:$J,Schedule!$L:$L=$C218,Schedule!$J:$J=""S1"")),""Y"")))"),"Y")</f>
        <v>Y</v>
      </c>
      <c r="J218" s="11"/>
      <c r="K218" s="11"/>
      <c r="L218" s="11"/>
      <c r="M218" s="140" t="str">
        <f>if(S218="","",C218)</f>
        <v/>
      </c>
      <c r="N218" s="141"/>
      <c r="O218" s="141"/>
      <c r="P218" s="141"/>
      <c r="Q218" s="141"/>
      <c r="R218" s="142"/>
      <c r="S218" s="143" t="str">
        <f>if($I218="Q1","Q2",if($I218="S1","S2",""))</f>
        <v/>
      </c>
      <c r="T218" s="144"/>
      <c r="U218" s="144"/>
      <c r="V218" s="145"/>
      <c r="W218" s="140" t="str">
        <f>if(AC218="","",M218)</f>
        <v/>
      </c>
      <c r="X218" s="141"/>
      <c r="Y218" s="141"/>
      <c r="Z218" s="141"/>
      <c r="AA218" s="141"/>
      <c r="AB218" s="142"/>
      <c r="AC218" s="143" t="str">
        <f>if($I218="Q1","Q3","")</f>
        <v/>
      </c>
      <c r="AD218" s="144"/>
      <c r="AE218" s="144"/>
      <c r="AF218" s="145"/>
      <c r="AG218" s="140" t="str">
        <f>if(AC218="","",W218)</f>
        <v/>
      </c>
      <c r="AH218" s="141"/>
      <c r="AI218" s="141"/>
      <c r="AJ218" s="141"/>
      <c r="AK218" s="141"/>
      <c r="AL218" s="142"/>
      <c r="AM218" s="143" t="str">
        <f>if($I218="Q1","Q4","")</f>
        <v/>
      </c>
    </row>
    <row r="219">
      <c r="A219" s="146"/>
      <c r="B219" s="146"/>
      <c r="C219" s="147" t="s">
        <v>94</v>
      </c>
      <c r="D219" s="148" t="s">
        <v>95</v>
      </c>
      <c r="E219" s="148" t="s">
        <v>96</v>
      </c>
      <c r="F219" s="148" t="s">
        <v>97</v>
      </c>
      <c r="G219" s="148" t="s">
        <v>98</v>
      </c>
      <c r="H219" s="148" t="s">
        <v>99</v>
      </c>
      <c r="I219" s="148" t="s">
        <v>651</v>
      </c>
      <c r="J219" s="146"/>
      <c r="K219" s="146"/>
      <c r="L219" s="146"/>
      <c r="M219" s="147" t="s">
        <v>94</v>
      </c>
      <c r="N219" s="148" t="s">
        <v>95</v>
      </c>
      <c r="O219" s="148" t="s">
        <v>96</v>
      </c>
      <c r="P219" s="148" t="s">
        <v>97</v>
      </c>
      <c r="Q219" s="148" t="s">
        <v>98</v>
      </c>
      <c r="R219" s="148" t="s">
        <v>99</v>
      </c>
      <c r="S219" s="148" t="s">
        <v>651</v>
      </c>
      <c r="T219" s="149"/>
      <c r="U219" s="149"/>
      <c r="V219" s="150"/>
      <c r="W219" s="147" t="s">
        <v>94</v>
      </c>
      <c r="X219" s="148" t="s">
        <v>95</v>
      </c>
      <c r="Y219" s="148" t="s">
        <v>96</v>
      </c>
      <c r="Z219" s="148" t="s">
        <v>97</v>
      </c>
      <c r="AA219" s="148" t="s">
        <v>98</v>
      </c>
      <c r="AB219" s="148" t="s">
        <v>99</v>
      </c>
      <c r="AC219" s="148" t="s">
        <v>651</v>
      </c>
      <c r="AD219" s="149"/>
      <c r="AE219" s="149"/>
      <c r="AF219" s="150"/>
      <c r="AG219" s="147" t="s">
        <v>94</v>
      </c>
      <c r="AH219" s="148" t="s">
        <v>95</v>
      </c>
      <c r="AI219" s="148" t="s">
        <v>96</v>
      </c>
      <c r="AJ219" s="148" t="s">
        <v>97</v>
      </c>
      <c r="AK219" s="148" t="s">
        <v>98</v>
      </c>
      <c r="AL219" s="148" t="s">
        <v>99</v>
      </c>
      <c r="AM219" s="148" t="s">
        <v>651</v>
      </c>
    </row>
    <row r="220">
      <c r="A220" s="151" t="str">
        <f>C218</f>
        <v>Vicente Miralles</v>
      </c>
      <c r="B220" s="151" t="str">
        <f>I218</f>
        <v>Y</v>
      </c>
      <c r="C220" s="147">
        <v>1.0</v>
      </c>
      <c r="D220" s="152" t="str">
        <f>IFERROR(__xludf.DUMMYFUNCTION("if(A220="""","""",iferror(filter(Schedule!$M:$M&amp;""-""&amp;Schedule!$N:$N,Schedule!$L:$L=A220,(Schedule!$J:$J="""")+(Schedule!$J:$J=B220),(Schedule!$K:$K=""a"")+(Schedule!$K:$K=""""),Schedule!$M:$M&lt;&gt;""""),""""))"),"")</f>
        <v/>
      </c>
      <c r="E220" s="152" t="str">
        <f>IFERROR(__xludf.DUMMYFUNCTION("if(A220="""","""",iferror(filter(Schedule!$AB:$AB&amp;""-""&amp;Schedule!$AC:$AC,Schedule!$L:$L=A220,(Schedule!$J:$J="""")+(Schedule!$J:$J=B220),(Schedule!$K:$K=""b"")+(Schedule!$K:$K=""""),Schedule!$AB:$AB&lt;&gt;""""),""""))"),"Spanish 6-6")</f>
        <v>Spanish 6-6</v>
      </c>
      <c r="F220" s="152" t="str">
        <f>IFERROR(__xludf.DUMMYFUNCTION("if(A220="""","""",iferror(filter(Schedule!$S:$S&amp;""-""&amp;Schedule!$T:$T,Schedule!$L:$L=A220,(Schedule!$J:$J="""")+(Schedule!$J:$J=B220),(Schedule!$K:$K=""a"")+(Schedule!$K:$K=""""),Schedule!$S:$S&lt;&gt;""""),""""))"),"")</f>
        <v/>
      </c>
      <c r="G220" s="152" t="str">
        <f>IFERROR(__xludf.DUMMYFUNCTION("if(A220="""","""",iferror(filter(Schedule!$V:$V&amp;""-""&amp;Schedule!$W:$W,Schedule!$L:$L=A220,(Schedule!$J:$J="""")+(Schedule!$J:$J=B220),(Schedule!$K:$K=""a"")+(Schedule!$K:$K=""""),Schedule!$V:$V&lt;&gt;""""),""""))"),"Spanish 6A-5")</f>
        <v>Spanish 6A-5</v>
      </c>
      <c r="H220" s="152" t="str">
        <f>IFERROR(__xludf.DUMMYFUNCTION("if(A220="""","""",iferror(filter(Schedule!$Y:$Y&amp;""-""&amp;Schedule!$Z:$Z,Schedule!$L:$L=A220,(Schedule!$J:$J="""")+(Schedule!$J:$J=B220),(Schedule!$K:$K=""b"")+(Schedule!$K:$K=""""),Schedule!$Y:$Y&lt;&gt;""""),""""))"),"")</f>
        <v/>
      </c>
      <c r="I220" s="153">
        <f>if(C218="","", 24-countifs(D220:H224,""))</f>
        <v>12</v>
      </c>
      <c r="J220" s="154"/>
      <c r="K220" s="151" t="str">
        <f>M218</f>
        <v/>
      </c>
      <c r="L220" s="151" t="str">
        <f>S218</f>
        <v/>
      </c>
      <c r="M220" s="147">
        <v>1.0</v>
      </c>
      <c r="N220" s="152" t="str">
        <f>IFERROR(__xludf.DUMMYFUNCTION("if(K220="""","""",iferror(filter(Schedule!$M:$M&amp;""-""&amp;Schedule!$N:$N,Schedule!$L:$L=K220,(Schedule!$J:$J="""")+(Schedule!$J:$J=L220),(Schedule!$K:$K=""a"")+(Schedule!$K:$K=""""),Schedule!$M:$M&lt;&gt;""""),""""))"),"")</f>
        <v/>
      </c>
      <c r="O220" s="152" t="str">
        <f>IFERROR(__xludf.DUMMYFUNCTION("if(K220="""","""",iferror(filter(Schedule!$AB:$AB&amp;""-""&amp;Schedule!$AC:$AC,Schedule!$L:$L=K220,(Schedule!$J:$J="""")+(Schedule!$J:$J=L220),(Schedule!$K:$K=""b"")+(Schedule!$K:$K=""""),Schedule!$AB:$AB&lt;&gt;""""),""""))"),"")</f>
        <v/>
      </c>
      <c r="P220" s="152" t="str">
        <f>IFERROR(__xludf.DUMMYFUNCTION("if(K220="""","""",iferror(filter(Schedule!$S:$S&amp;""-""&amp;Schedule!$T:$T,Schedule!$L:$L=K220,(Schedule!$J:$J="""")+(Schedule!$J:$J=L220),(Schedule!$K:$K=""a"")+(Schedule!$K:$K=""""),Schedule!$S:$S&lt;&gt;""""),""""))"),"")</f>
        <v/>
      </c>
      <c r="Q220" s="152" t="str">
        <f>IFERROR(__xludf.DUMMYFUNCTION("if(K220="""","""",iferror(filter(Schedule!$V:$V&amp;""-""&amp;Schedule!$W:$W,Schedule!$L:$L=K220,(Schedule!$J:$J="""")+(Schedule!$J:$J=L220),(Schedule!$K:$K=""a"")+(Schedule!$K:$K=""""),Schedule!$V:$V&lt;&gt;""""),""""))"),"")</f>
        <v/>
      </c>
      <c r="R220" s="152" t="str">
        <f>IFERROR(__xludf.DUMMYFUNCTION("if(K220="""","""",iferror(filter(Schedule!$Y:$Y&amp;""-""&amp;Schedule!$Z:$Z,Schedule!$L:$L=K220,(Schedule!$J:$J="""")+(Schedule!$J:$J=L220),(Schedule!$K:$K=""b"")+(Schedule!$K:$K=""""),Schedule!$Y:$Y&lt;&gt;""""),""""))"),"")</f>
        <v/>
      </c>
      <c r="S220" s="153" t="str">
        <f>if(K220="","", 24-countifs(N220:R224,""))</f>
        <v/>
      </c>
      <c r="T220" s="155"/>
      <c r="U220" s="155" t="str">
        <f>W218</f>
        <v/>
      </c>
      <c r="V220" s="151" t="str">
        <f>AC218</f>
        <v/>
      </c>
      <c r="W220" s="147">
        <v>1.0</v>
      </c>
      <c r="X220" s="152" t="str">
        <f>IFERROR(__xludf.DUMMYFUNCTION("if(U220="""","""",iferror(filter(Schedule!$M:$M&amp;""-""&amp;Schedule!$N:$N,Schedule!$L:$L=U220,(Schedule!$J:$J="""")+(Schedule!$J:$J=V220),(Schedule!$K:$K=""a"")+(Schedule!$K:$K=""""),Schedule!$M:$M&lt;&gt;""""),""""))"),"")</f>
        <v/>
      </c>
      <c r="Y220" s="152" t="str">
        <f>IFERROR(__xludf.DUMMYFUNCTION("if(U220="""","""",iferror(filter(Schedule!$AB:$AB&amp;""-""&amp;Schedule!$AC:$AC,Schedule!$L:$L=U220,(Schedule!$J:$J="""")+(Schedule!$J:$J=V220),(Schedule!$K:$K=""b"")+(Schedule!$K:$K=""""),Schedule!$AB:$AB&lt;&gt;""""),""""))"),"")</f>
        <v/>
      </c>
      <c r="Z220" s="152" t="str">
        <f>IFERROR(__xludf.DUMMYFUNCTION("if(U220="""","""",iferror(filter(Schedule!$S:$S&amp;""-""&amp;Schedule!$T:$T,Schedule!$L:$L=U220,(Schedule!$J:$J="""")+(Schedule!$J:$J=V220),(Schedule!$K:$K=""a"")+(Schedule!$K:$K=""""),Schedule!$S:$S&lt;&gt;""""),""""))"),"")</f>
        <v/>
      </c>
      <c r="AA220" s="152" t="str">
        <f>IFERROR(__xludf.DUMMYFUNCTION("if(U220="""","""",iferror(filter(Schedule!$V:$V&amp;""-""&amp;Schedule!$W:$W,Schedule!$L:$L=U220,(Schedule!$J:$J="""")+(Schedule!$J:$J=V220),(Schedule!$K:$K=""a"")+(Schedule!$K:$K=""""),Schedule!$V:$V&lt;&gt;""""),""""))"),"")</f>
        <v/>
      </c>
      <c r="AB220" s="152" t="str">
        <f>IFERROR(__xludf.DUMMYFUNCTION("if(U220="""","""",iferror(filter(Schedule!$Y:$Y&amp;""-""&amp;Schedule!$Z:$Z,Schedule!$L:$L=U220,(Schedule!$J:$J="""")+(Schedule!$J:$J=V220),(Schedule!$K:$K=""b"")+(Schedule!$K:$K=""""),Schedule!$Y:$Y&lt;&gt;""""),""""))"),"")</f>
        <v/>
      </c>
      <c r="AC220" s="153" t="str">
        <f>if(U220="","", 24-countifs(X220:AB224,""))</f>
        <v/>
      </c>
      <c r="AD220" s="155"/>
      <c r="AE220" s="155" t="str">
        <f>AG218</f>
        <v/>
      </c>
      <c r="AF220" s="151" t="str">
        <f>AM218</f>
        <v/>
      </c>
      <c r="AG220" s="147">
        <v>1.0</v>
      </c>
      <c r="AH220" s="152" t="str">
        <f>IFERROR(__xludf.DUMMYFUNCTION("if(AE220="""","""",iferror(filter(Schedule!$M:$M&amp;""-""&amp;Schedule!$N:$N,Schedule!$L:$L=AE220,(Schedule!$J:$J="""")+(Schedule!$J:$J=AF220),(Schedule!$K:$K=""a"")+(Schedule!$K:$K=""""),Schedule!$M:$M&lt;&gt;""""),""""))"),"")</f>
        <v/>
      </c>
      <c r="AI220" s="152" t="str">
        <f>IFERROR(__xludf.DUMMYFUNCTION("if(AE220="""","""",iferror(filter(Schedule!$AB:$AB&amp;""-""&amp;Schedule!$AC:$AC,Schedule!$L:$L=AE220,(Schedule!$J:$J="""")+(Schedule!$J:$J=AF220),(Schedule!$K:$K=""b"")+(Schedule!$K:$K=""""),Schedule!$AB:$AB&lt;&gt;""""),""""))"),"")</f>
        <v/>
      </c>
      <c r="AJ220" s="152" t="str">
        <f>IFERROR(__xludf.DUMMYFUNCTION("if(AE220="""","""",iferror(filter(Schedule!$S:$S&amp;""-""&amp;Schedule!$T:$T,Schedule!$L:$L=AE220,(Schedule!$J:$J="""")+(Schedule!$J:$J=AF220),(Schedule!$K:$K=""a"")+(Schedule!$K:$K=""""),Schedule!$S:$S&lt;&gt;""""),""""))"),"")</f>
        <v/>
      </c>
      <c r="AK220" s="152" t="str">
        <f>IFERROR(__xludf.DUMMYFUNCTION("if(AE220="""","""",iferror(filter(Schedule!$V:$V&amp;""-""&amp;Schedule!$W:$W,Schedule!$L:$L=AE220,(Schedule!$J:$J="""")+(Schedule!$J:$J=AF220),(Schedule!$K:$K=""a"")+(Schedule!$K:$K=""""),Schedule!$V:$V&lt;&gt;""""),""""))"),"")</f>
        <v/>
      </c>
      <c r="AL220" s="152" t="str">
        <f>IFERROR(__xludf.DUMMYFUNCTION("if(AE220="""","""",iferror(filter(Schedule!$Y:$Y&amp;""-""&amp;Schedule!$Z:$Z,Schedule!$L:$L=AE220,(Schedule!$J:$J="""")+(Schedule!$J:$J=AF220),(Schedule!$K:$K=""b"")+(Schedule!$K:$K=""""),Schedule!$Y:$Y&lt;&gt;""""),""""))"),"")</f>
        <v/>
      </c>
      <c r="AM220" s="153" t="str">
        <f>if(AE220="","", 24-countifs(AH220:AL224,""))</f>
        <v/>
      </c>
    </row>
    <row r="221">
      <c r="A221" s="151" t="str">
        <f>C218</f>
        <v>Vicente Miralles</v>
      </c>
      <c r="B221" s="151" t="str">
        <f>I218</f>
        <v>Y</v>
      </c>
      <c r="C221" s="147">
        <v>2.0</v>
      </c>
      <c r="D221" s="152" t="str">
        <f>IFERROR(__xludf.DUMMYFUNCTION("if(A221="""","""",iferror(filter(Schedule!$P:$P&amp;""-""&amp;Schedule!$Q:$Q,Schedule!$L:$L=A221,(Schedule!$J:$J="""")+(Schedule!$J:$J=B221),(Schedule!$K:$K=""a"")+(Schedule!$K:$K=""""),Schedule!$P:$P&lt;&gt;""""),""""))"),"SAL-1")</f>
        <v>SAL-1</v>
      </c>
      <c r="E221" s="152" t="str">
        <f>IFERROR(__xludf.DUMMYFUNCTION("if(A221="""","""",iferror(filter(Schedule!$Y:$Y&amp;""-""&amp;Schedule!$Z:$Z,Schedule!$L:$L=A221,(Schedule!$J:$J="""")+(Schedule!$J:$J=B221),(Schedule!$K:$K=""b"")+(Schedule!$K:$K=""""),Schedule!$Y:$Y&lt;&gt;""""),""""))"),"")</f>
        <v/>
      </c>
      <c r="F221" s="152" t="str">
        <f>IFERROR(__xludf.DUMMYFUNCTION("if(A221="""","""",iferror(filter(Schedule!$P:$P&amp;""-""&amp;Schedule!$Q:$Q,Schedule!$L:$L=A221,(Schedule!$J:$J="""")+(Schedule!$J:$J=B221),(Schedule!$K:$K=""a"")+(Schedule!$K:$K=""""),Schedule!$P:$P&lt;&gt;""""),""""))"),"SAL-1")</f>
        <v>SAL-1</v>
      </c>
      <c r="G221" s="152" t="str">
        <f>IFERROR(__xludf.DUMMYFUNCTION("if(A221="""","""",iferror(filter(Schedule!$M:$M&amp;""-""&amp;Schedule!$N:$N,Schedule!$L:$L=A221,(Schedule!$J:$J="""")+(Schedule!$J:$J=B221),(Schedule!$K:$K=""a"")+(Schedule!$K:$K=""""),Schedule!$M:$M&lt;&gt;""""),""""))"),"")</f>
        <v/>
      </c>
      <c r="H221" s="152" t="str">
        <f>IFERROR(__xludf.DUMMYFUNCTION("if(A221="""","""",iferror(filter(Schedule!$AB:$AB&amp;""-""&amp;Schedule!$AC:$AC,Schedule!$L:$L=A221,(Schedule!$J:$J="""")+(Schedule!$J:$J=B221),(Schedule!$K:$K=""a"")+(Schedule!$K:$K=""""),Schedule!$AB:$AB&lt;&gt;""""),""""))"),"Spanish 6-6")</f>
        <v>Spanish 6-6</v>
      </c>
      <c r="I221" s="60"/>
      <c r="J221" s="154"/>
      <c r="K221" s="151" t="str">
        <f>M218</f>
        <v/>
      </c>
      <c r="L221" s="151" t="str">
        <f>S218</f>
        <v/>
      </c>
      <c r="M221" s="147">
        <v>2.0</v>
      </c>
      <c r="N221" s="152" t="str">
        <f>IFERROR(__xludf.DUMMYFUNCTION("if(K221="""","""",iferror(filter(Schedule!$P:$P&amp;""-""&amp;Schedule!$Q:$Q,Schedule!$L:$L=K221,(Schedule!$J:$J="""")+(Schedule!$J:$J=L221),(Schedule!$K:$K=""a"")+(Schedule!$K:$K=""""),Schedule!$P:$P&lt;&gt;""""),""""))"),"")</f>
        <v/>
      </c>
      <c r="O221" s="152" t="str">
        <f>IFERROR(__xludf.DUMMYFUNCTION("if(K221="""","""",iferror(filter(Schedule!$Y:$Y&amp;""-""&amp;Schedule!$Z:$Z,Schedule!$L:$L=K221,(Schedule!$J:$J="""")+(Schedule!$J:$J=L221),(Schedule!$K:$K=""b"")+(Schedule!$K:$K=""""),Schedule!$Y:$Y&lt;&gt;""""),""""))"),"")</f>
        <v/>
      </c>
      <c r="P221" s="152" t="str">
        <f>IFERROR(__xludf.DUMMYFUNCTION("if(K221="""","""",iferror(filter(Schedule!$P:$P&amp;""-""&amp;Schedule!$Q:$Q,Schedule!$L:$L=K221,(Schedule!$J:$J="""")+(Schedule!$J:$J=L221),(Schedule!$K:$K=""a"")+(Schedule!$K:$K=""""),Schedule!$P:$P&lt;&gt;""""),""""))"),"")</f>
        <v/>
      </c>
      <c r="Q221" s="152" t="str">
        <f>IFERROR(__xludf.DUMMYFUNCTION("if(K221="""","""",iferror(filter(Schedule!$M:$M&amp;""-""&amp;Schedule!$N:$N,Schedule!$L:$L=K221,(Schedule!$J:$J="""")+(Schedule!$J:$J=L221),(Schedule!$K:$K=""a"")+(Schedule!$K:$K=""""),Schedule!$M:$M&lt;&gt;""""),""""))"),"")</f>
        <v/>
      </c>
      <c r="R221" s="152" t="str">
        <f>IFERROR(__xludf.DUMMYFUNCTION("if(K221="""","""",iferror(filter(Schedule!$AB:$AB&amp;""-""&amp;Schedule!$AC:$AC,Schedule!$L:$L=K221,(Schedule!$J:$J="""")+(Schedule!$J:$J=L221),(Schedule!$K:$K=""a"")+(Schedule!$K:$K=""""),Schedule!$AB:$AB&lt;&gt;""""),""""))"),"")</f>
        <v/>
      </c>
      <c r="S221" s="60"/>
      <c r="T221" s="155"/>
      <c r="U221" s="155" t="str">
        <f>W218</f>
        <v/>
      </c>
      <c r="V221" s="151" t="str">
        <f>AC218</f>
        <v/>
      </c>
      <c r="W221" s="147">
        <v>2.0</v>
      </c>
      <c r="X221" s="152" t="str">
        <f>IFERROR(__xludf.DUMMYFUNCTION("if(U221="""","""",iferror(filter(Schedule!$P:$P&amp;""-""&amp;Schedule!$Q:$Q,Schedule!$L:$L=U221,(Schedule!$J:$J="""")+(Schedule!$J:$J=V221),(Schedule!$K:$K=""a"")+(Schedule!$K:$K=""""),Schedule!$P:$P&lt;&gt;""""),""""))"),"")</f>
        <v/>
      </c>
      <c r="Y221" s="152" t="str">
        <f>IFERROR(__xludf.DUMMYFUNCTION("if(U221="""","""",iferror(filter(Schedule!$Y:$Y&amp;""-""&amp;Schedule!$Z:$Z,Schedule!$L:$L=U221,(Schedule!$J:$J="""")+(Schedule!$J:$J=V221),(Schedule!$K:$K=""b"")+(Schedule!$K:$K=""""),Schedule!$Y:$Y&lt;&gt;""""),""""))"),"")</f>
        <v/>
      </c>
      <c r="Z221" s="152" t="str">
        <f>IFERROR(__xludf.DUMMYFUNCTION("if(U221="""","""",iferror(filter(Schedule!$P:$P&amp;""-""&amp;Schedule!$Q:$Q,Schedule!$L:$L=U221,(Schedule!$J:$J="""")+(Schedule!$J:$J=V221),(Schedule!$K:$K=""a"")+(Schedule!$K:$K=""""),Schedule!$P:$P&lt;&gt;""""),""""))"),"")</f>
        <v/>
      </c>
      <c r="AA221" s="152" t="str">
        <f>IFERROR(__xludf.DUMMYFUNCTION("if(U221="""","""",iferror(filter(Schedule!$M:$M&amp;""-""&amp;Schedule!$N:$N,Schedule!$L:$L=U221,(Schedule!$J:$J="""")+(Schedule!$J:$J=V221),(Schedule!$K:$K=""a"")+(Schedule!$K:$K=""""),Schedule!$M:$M&lt;&gt;""""),""""))"),"")</f>
        <v/>
      </c>
      <c r="AB221" s="152" t="str">
        <f>IFERROR(__xludf.DUMMYFUNCTION("if(U221="""","""",iferror(filter(Schedule!$AB:$AB&amp;""-""&amp;Schedule!$AC:$AC,Schedule!$L:$L=U221,(Schedule!$J:$J="""")+(Schedule!$J:$J=V221),(Schedule!$K:$K=""a"")+(Schedule!$K:$K=""""),Schedule!$AB:$AB&lt;&gt;""""),""""))"),"")</f>
        <v/>
      </c>
      <c r="AC221" s="60"/>
      <c r="AD221" s="155"/>
      <c r="AE221" s="155" t="str">
        <f>AG218</f>
        <v/>
      </c>
      <c r="AF221" s="151" t="str">
        <f>AM218</f>
        <v/>
      </c>
      <c r="AG221" s="147">
        <v>2.0</v>
      </c>
      <c r="AH221" s="152" t="str">
        <f>IFERROR(__xludf.DUMMYFUNCTION("if(AE221="""","""",iferror(filter(Schedule!$P:$P&amp;""-""&amp;Schedule!$Q:$Q,Schedule!$L:$L=AE221,(Schedule!$J:$J="""")+(Schedule!$J:$J=AF221),(Schedule!$K:$K=""a"")+(Schedule!$K:$K=""""),Schedule!$P:$P&lt;&gt;""""),""""))"),"")</f>
        <v/>
      </c>
      <c r="AI221" s="152" t="str">
        <f>IFERROR(__xludf.DUMMYFUNCTION("if(AE221="""","""",iferror(filter(Schedule!$Y:$Y&amp;""-""&amp;Schedule!$Z:$Z,Schedule!$L:$L=AE221,(Schedule!$J:$J="""")+(Schedule!$J:$J=AF221),(Schedule!$K:$K=""b"")+(Schedule!$K:$K=""""),Schedule!$Y:$Y&lt;&gt;""""),""""))"),"")</f>
        <v/>
      </c>
      <c r="AJ221" s="152" t="str">
        <f>IFERROR(__xludf.DUMMYFUNCTION("if(AE221="""","""",iferror(filter(Schedule!$P:$P&amp;""-""&amp;Schedule!$Q:$Q,Schedule!$L:$L=AE221,(Schedule!$J:$J="""")+(Schedule!$J:$J=AF221),(Schedule!$K:$K=""a"")+(Schedule!$K:$K=""""),Schedule!$P:$P&lt;&gt;""""),""""))"),"")</f>
        <v/>
      </c>
      <c r="AK221" s="152" t="str">
        <f>IFERROR(__xludf.DUMMYFUNCTION("if(AE221="""","""",iferror(filter(Schedule!$M:$M&amp;""-""&amp;Schedule!$N:$N,Schedule!$L:$L=AE221,(Schedule!$J:$J="""")+(Schedule!$J:$J=AF221),(Schedule!$K:$K=""a"")+(Schedule!$K:$K=""""),Schedule!$M:$M&lt;&gt;""""),""""))"),"")</f>
        <v/>
      </c>
      <c r="AL221" s="152" t="str">
        <f>IFERROR(__xludf.DUMMYFUNCTION("if(AE221="""","""",iferror(filter(Schedule!$AB:$AB&amp;""-""&amp;Schedule!$AC:$AC,Schedule!$L:$L=AE221,(Schedule!$J:$J="""")+(Schedule!$J:$J=AF221),(Schedule!$K:$K=""a"")+(Schedule!$K:$K=""""),Schedule!$AB:$AB&lt;&gt;""""),""""))"),"")</f>
        <v/>
      </c>
      <c r="AM221" s="60"/>
    </row>
    <row r="222">
      <c r="A222" s="151" t="str">
        <f>C218</f>
        <v>Vicente Miralles</v>
      </c>
      <c r="B222" s="151" t="str">
        <f>I218</f>
        <v>Y</v>
      </c>
      <c r="C222" s="147">
        <v>3.0</v>
      </c>
      <c r="D222" s="152" t="str">
        <f>IFERROR(__xludf.DUMMYFUNCTION("if(A222="""","""",iferror(filter(Schedule!$S:$S&amp;""-""&amp;Schedule!$T:$T,Schedule!$L:$L=A222,(Schedule!$J:$J="""")+(Schedule!$J:$J=B222),(Schedule!$K:$K=""a"")+(Schedule!$K:$K=""""),Schedule!$S:$S&lt;&gt;""""),""""))"),"")</f>
        <v/>
      </c>
      <c r="E222" s="152" t="str">
        <f>IFERROR(__xludf.DUMMYFUNCTION("if(A222="""","""",iferror(filter(Schedule!$S:$S&amp;""-""&amp;Schedule!$T:$T,Schedule!$L:$L=A222,(Schedule!$J:$J="""")+(Schedule!$J:$J=B222),(Schedule!$K:$K=""b"")+(Schedule!$K:$K=""""),Schedule!$S:$S&lt;&gt;""""),""""))"),"")</f>
        <v/>
      </c>
      <c r="F222" s="152" t="str">
        <f>IFERROR(__xludf.DUMMYFUNCTION("if(A222="""","""",iferror(filter(Schedule!$Y:$Y&amp;""-""&amp;Schedule!$Z:$Z,Schedule!$L:$L=A222,(Schedule!$J:$J="""")+(Schedule!$J:$J=B222),(Schedule!$K:$K=""a"")+(Schedule!$K:$K=""""),Schedule!$Y:$Y&lt;&gt;""""),""""))"),"")</f>
        <v/>
      </c>
      <c r="G222" s="152" t="str">
        <f>IFERROR(__xludf.DUMMYFUNCTION("if(A222="""","""",iferror(filter(Schedule!$P:$P&amp;""-""&amp;Schedule!$Q:$Q,Schedule!$L:$L=A222,(Schedule!$J:$J="""")+(Schedule!$J:$J=B222),(Schedule!$K:$K=""b"")+(Schedule!$K:$K=""""),Schedule!$P:$P&lt;&gt;""""),""""))"),"SAL-1")</f>
        <v>SAL-1</v>
      </c>
      <c r="H222" s="152" t="str">
        <f>if(C218="","","X-Block")</f>
        <v>X-Block</v>
      </c>
      <c r="I222" s="60"/>
      <c r="J222" s="154"/>
      <c r="K222" s="151" t="str">
        <f>M218</f>
        <v/>
      </c>
      <c r="L222" s="151" t="str">
        <f>S218</f>
        <v/>
      </c>
      <c r="M222" s="147">
        <v>3.0</v>
      </c>
      <c r="N222" s="152" t="str">
        <f>IFERROR(__xludf.DUMMYFUNCTION("if(K222="""","""",iferror(filter(Schedule!$S:$S&amp;""-""&amp;Schedule!$T:$T,Schedule!$L:$L=K222,(Schedule!$J:$J="""")+(Schedule!$J:$J=L222),(Schedule!$K:$K=""a"")+(Schedule!$K:$K=""""),Schedule!$S:$S&lt;&gt;""""),""""))"),"")</f>
        <v/>
      </c>
      <c r="O222" s="152" t="str">
        <f>IFERROR(__xludf.DUMMYFUNCTION("if(K222="""","""",iferror(filter(Schedule!$S:$S&amp;""-""&amp;Schedule!$T:$T,Schedule!$L:$L=K222,(Schedule!$J:$J="""")+(Schedule!$J:$J=L222),(Schedule!$K:$K=""b"")+(Schedule!$K:$K=""""),Schedule!$S:$S&lt;&gt;""""),""""))"),"")</f>
        <v/>
      </c>
      <c r="P222" s="152" t="str">
        <f>IFERROR(__xludf.DUMMYFUNCTION("if(K222="""","""",iferror(filter(Schedule!$Y:$Y&amp;""-""&amp;Schedule!$Z:$Z,Schedule!$L:$L=K222,(Schedule!$J:$J="""")+(Schedule!$J:$J=L222),(Schedule!$K:$K=""a"")+(Schedule!$K:$K=""""),Schedule!$Y:$Y&lt;&gt;""""),""""))"),"")</f>
        <v/>
      </c>
      <c r="Q222" s="152" t="str">
        <f>IFERROR(__xludf.DUMMYFUNCTION("if(K222="""","""",iferror(filter(Schedule!$P:$P&amp;""-""&amp;Schedule!$Q:$Q,Schedule!$L:$L=K222,(Schedule!$J:$J="""")+(Schedule!$J:$J=L222),(Schedule!$K:$K=""b"")+(Schedule!$K:$K=""""),Schedule!$P:$P&lt;&gt;""""),""""))"),"")</f>
        <v/>
      </c>
      <c r="R222" s="152" t="str">
        <f>if(M218="","","X-Block")</f>
        <v/>
      </c>
      <c r="S222" s="60"/>
      <c r="T222" s="155"/>
      <c r="U222" s="155" t="str">
        <f>W218</f>
        <v/>
      </c>
      <c r="V222" s="151" t="str">
        <f>AC218</f>
        <v/>
      </c>
      <c r="W222" s="147">
        <v>3.0</v>
      </c>
      <c r="X222" s="152" t="str">
        <f>IFERROR(__xludf.DUMMYFUNCTION("if(U222="""","""",iferror(filter(Schedule!$S:$S&amp;""-""&amp;Schedule!$T:$T,Schedule!$L:$L=U222,(Schedule!$J:$J="""")+(Schedule!$J:$J=V222),(Schedule!$K:$K=""a"")+(Schedule!$K:$K=""""),Schedule!$S:$S&lt;&gt;""""),""""))"),"")</f>
        <v/>
      </c>
      <c r="Y222" s="152" t="str">
        <f>IFERROR(__xludf.DUMMYFUNCTION("if(U222="""","""",iferror(filter(Schedule!$S:$S&amp;""-""&amp;Schedule!$T:$T,Schedule!$L:$L=U222,(Schedule!$J:$J="""")+(Schedule!$J:$J=V222),(Schedule!$K:$K=""b"")+(Schedule!$K:$K=""""),Schedule!$S:$S&lt;&gt;""""),""""))"),"")</f>
        <v/>
      </c>
      <c r="Z222" s="152" t="str">
        <f>IFERROR(__xludf.DUMMYFUNCTION("if(U222="""","""",iferror(filter(Schedule!$Y:$Y&amp;""-""&amp;Schedule!$Z:$Z,Schedule!$L:$L=U222,(Schedule!$J:$J="""")+(Schedule!$J:$J=V222),(Schedule!$K:$K=""a"")+(Schedule!$K:$K=""""),Schedule!$Y:$Y&lt;&gt;""""),""""))"),"")</f>
        <v/>
      </c>
      <c r="AA222" s="152" t="str">
        <f>IFERROR(__xludf.DUMMYFUNCTION("if(U222="""","""",iferror(filter(Schedule!$P:$P&amp;""-""&amp;Schedule!$Q:$Q,Schedule!$L:$L=U222,(Schedule!$J:$J="""")+(Schedule!$J:$J=V222),(Schedule!$K:$K=""b"")+(Schedule!$K:$K=""""),Schedule!$P:$P&lt;&gt;""""),""""))"),"")</f>
        <v/>
      </c>
      <c r="AB222" s="152" t="str">
        <f>if(W218="","","X-Block")</f>
        <v/>
      </c>
      <c r="AC222" s="60"/>
      <c r="AD222" s="155"/>
      <c r="AE222" s="155" t="str">
        <f>AG218</f>
        <v/>
      </c>
      <c r="AF222" s="151" t="str">
        <f>AM218</f>
        <v/>
      </c>
      <c r="AG222" s="147">
        <v>3.0</v>
      </c>
      <c r="AH222" s="152" t="str">
        <f>IFERROR(__xludf.DUMMYFUNCTION("if(AE222="""","""",iferror(filter(Schedule!$S:$S&amp;""-""&amp;Schedule!$T:$T,Schedule!$L:$L=AE222,(Schedule!$J:$J="""")+(Schedule!$J:$J=AF222),(Schedule!$K:$K=""a"")+(Schedule!$K:$K=""""),Schedule!$S:$S&lt;&gt;""""),""""))"),"")</f>
        <v/>
      </c>
      <c r="AI222" s="152" t="str">
        <f>IFERROR(__xludf.DUMMYFUNCTION("if(AE222="""","""",iferror(filter(Schedule!$S:$S&amp;""-""&amp;Schedule!$T:$T,Schedule!$L:$L=AE222,(Schedule!$J:$J="""")+(Schedule!$J:$J=AF222),(Schedule!$K:$K=""b"")+(Schedule!$K:$K=""""),Schedule!$S:$S&lt;&gt;""""),""""))"),"")</f>
        <v/>
      </c>
      <c r="AJ222" s="152" t="str">
        <f>IFERROR(__xludf.DUMMYFUNCTION("if(AE222="""","""",iferror(filter(Schedule!$Y:$Y&amp;""-""&amp;Schedule!$Z:$Z,Schedule!$L:$L=AE222,(Schedule!$J:$J="""")+(Schedule!$J:$J=AF222),(Schedule!$K:$K=""a"")+(Schedule!$K:$K=""""),Schedule!$Y:$Y&lt;&gt;""""),""""))"),"")</f>
        <v/>
      </c>
      <c r="AK222" s="152" t="str">
        <f>IFERROR(__xludf.DUMMYFUNCTION("if(AE222="""","""",iferror(filter(Schedule!$P:$P&amp;""-""&amp;Schedule!$Q:$Q,Schedule!$L:$L=AE222,(Schedule!$J:$J="""")+(Schedule!$J:$J=AF222),(Schedule!$K:$K=""b"")+(Schedule!$K:$K=""""),Schedule!$P:$P&lt;&gt;""""),""""))"),"")</f>
        <v/>
      </c>
      <c r="AL222" s="152" t="str">
        <f>if(AG218="","","X-Block")</f>
        <v/>
      </c>
      <c r="AM222" s="60"/>
    </row>
    <row r="223">
      <c r="A223" s="151" t="str">
        <f>C218</f>
        <v>Vicente Miralles</v>
      </c>
      <c r="B223" s="151" t="str">
        <f>I218</f>
        <v>Y</v>
      </c>
      <c r="C223" s="147">
        <v>4.0</v>
      </c>
      <c r="D223" s="152" t="str">
        <f>IFERROR(__xludf.DUMMYFUNCTION("if(A223="""","""",iferror(filter(Schedule!$V:$V&amp;""-""&amp;Schedule!$W:$W,Schedule!$L:$L=A223,(Schedule!$J:$J="""")+(Schedule!$J:$J=B223),(Schedule!$K:$K=""a"")+(Schedule!$K:$K=""""),Schedule!$V:$V&lt;&gt;""""),""""))"),"Spanish 6A-5")</f>
        <v>Spanish 6A-5</v>
      </c>
      <c r="E223" s="152" t="str">
        <f>IFERROR(__xludf.DUMMYFUNCTION("if(A223="""","""",iferror(filter(Schedule!$M:$M&amp;""-""&amp;Schedule!$N:$N,Schedule!$L:$L=A223,(Schedule!$J:$J="""")+(Schedule!$J:$J=B223),(Schedule!$K:$K=""b"")+(Schedule!$K:$K=""""),Schedule!$M:$M&lt;&gt;""""),""""))"),"")</f>
        <v/>
      </c>
      <c r="F223" s="152" t="str">
        <f>IFERROR(__xludf.DUMMYFUNCTION("if(A223="""","""",iferror(filter(Schedule!$AB:$AB&amp;""-""&amp;Schedule!$AC:$AC,Schedule!$L:$L=A223,(Schedule!$J:$J="""")+(Schedule!$J:$J=B223),(Schedule!$K:$K=""a"")+(Schedule!$K:$K=""""),Schedule!$AB:$AB&lt;&gt;""""),""""))"),"Spanish 6-6")</f>
        <v>Spanish 6-6</v>
      </c>
      <c r="G223" s="152" t="str">
        <f>IFERROR(__xludf.DUMMYFUNCTION("if(A223="""","""",iferror(filter(Schedule!$S:$S&amp;""-""&amp;Schedule!$T:$T,Schedule!$L:$L=A223,(Schedule!$J:$J="""")+(Schedule!$J:$J=B223),(Schedule!$K:$K=""b"")+(Schedule!$K:$K=""""),Schedule!$S:$S&lt;&gt;""""),""""))"),"")</f>
        <v/>
      </c>
      <c r="H223" s="152" t="str">
        <f>IFERROR(__xludf.DUMMYFUNCTION("if(A223="""","""",iferror(filter(Schedule!$V:$V&amp;""-""&amp;Schedule!$W:$W,Schedule!$L:$L=A223,(Schedule!$J:$J="""")+(Schedule!$J:$J=B223),(Schedule!$K:$K=""b"")+(Schedule!$K:$K=""""),Schedule!$V:$V&lt;&gt;""""),""""))"),"Spanish 6A-5")</f>
        <v>Spanish 6A-5</v>
      </c>
      <c r="I223" s="60"/>
      <c r="J223" s="154"/>
      <c r="K223" s="151" t="str">
        <f>M218</f>
        <v/>
      </c>
      <c r="L223" s="151" t="str">
        <f>S218</f>
        <v/>
      </c>
      <c r="M223" s="147">
        <v>4.0</v>
      </c>
      <c r="N223" s="152" t="str">
        <f>IFERROR(__xludf.DUMMYFUNCTION("if(K223="""","""",iferror(filter(Schedule!$V:$V&amp;""-""&amp;Schedule!$W:$W,Schedule!$L:$L=K223,(Schedule!$J:$J="""")+(Schedule!$J:$J=L223),(Schedule!$K:$K=""a"")+(Schedule!$K:$K=""""),Schedule!$V:$V&lt;&gt;""""),""""))"),"")</f>
        <v/>
      </c>
      <c r="O223" s="152" t="str">
        <f>IFERROR(__xludf.DUMMYFUNCTION("if(K223="""","""",iferror(filter(Schedule!$M:$M&amp;""-""&amp;Schedule!$N:$N,Schedule!$L:$L=K223,(Schedule!$J:$J="""")+(Schedule!$J:$J=L223),(Schedule!$K:$K=""b"")+(Schedule!$K:$K=""""),Schedule!$M:$M&lt;&gt;""""),""""))"),"")</f>
        <v/>
      </c>
      <c r="P223" s="152" t="str">
        <f>IFERROR(__xludf.DUMMYFUNCTION("if(K223="""","""",iferror(filter(Schedule!$AB:$AB&amp;""-""&amp;Schedule!$AC:$AC,Schedule!$L:$L=K223,(Schedule!$J:$J="""")+(Schedule!$J:$J=L223),(Schedule!$K:$K=""a"")+(Schedule!$K:$K=""""),Schedule!$AB:$AB&lt;&gt;""""),""""))"),"")</f>
        <v/>
      </c>
      <c r="Q223" s="152" t="str">
        <f>IFERROR(__xludf.DUMMYFUNCTION("if(K223="""","""",iferror(filter(Schedule!$S:$S&amp;""-""&amp;Schedule!$T:$T,Schedule!$L:$L=K223,(Schedule!$J:$J="""")+(Schedule!$J:$J=L223),(Schedule!$K:$K=""b"")+(Schedule!$K:$K=""""),Schedule!$S:$S&lt;&gt;""""),""""))"),"")</f>
        <v/>
      </c>
      <c r="R223" s="152" t="str">
        <f>IFERROR(__xludf.DUMMYFUNCTION("if(K223="""","""",iferror(filter(Schedule!$V:$V&amp;""-""&amp;Schedule!$W:$W,Schedule!$L:$L=K223,(Schedule!$J:$J="""")+(Schedule!$J:$J=L223),(Schedule!$K:$K=""b"")+(Schedule!$K:$K=""""),Schedule!$V:$V&lt;&gt;""""),""""))"),"")</f>
        <v/>
      </c>
      <c r="S223" s="60"/>
      <c r="T223" s="155"/>
      <c r="U223" s="155" t="str">
        <f>W218</f>
        <v/>
      </c>
      <c r="V223" s="151" t="str">
        <f>AC218</f>
        <v/>
      </c>
      <c r="W223" s="147">
        <v>4.0</v>
      </c>
      <c r="X223" s="152" t="str">
        <f>IFERROR(__xludf.DUMMYFUNCTION("if(U223="""","""",iferror(filter(Schedule!$V:$V&amp;""-""&amp;Schedule!$W:$W,Schedule!$L:$L=U223,(Schedule!$J:$J="""")+(Schedule!$J:$J=V223),(Schedule!$K:$K=""a"")+(Schedule!$K:$K=""""),Schedule!$V:$V&lt;&gt;""""),""""))"),"")</f>
        <v/>
      </c>
      <c r="Y223" s="152" t="str">
        <f>IFERROR(__xludf.DUMMYFUNCTION("if(U223="""","""",iferror(filter(Schedule!$M:$M&amp;""-""&amp;Schedule!$N:$N,Schedule!$L:$L=U223,(Schedule!$J:$J="""")+(Schedule!$J:$J=V223),(Schedule!$K:$K=""b"")+(Schedule!$K:$K=""""),Schedule!$M:$M&lt;&gt;""""),""""))"),"")</f>
        <v/>
      </c>
      <c r="Z223" s="152" t="str">
        <f>IFERROR(__xludf.DUMMYFUNCTION("if(U223="""","""",iferror(filter(Schedule!$AB:$AB&amp;""-""&amp;Schedule!$AC:$AC,Schedule!$L:$L=U223,(Schedule!$J:$J="""")+(Schedule!$J:$J=V223),(Schedule!$K:$K=""a"")+(Schedule!$K:$K=""""),Schedule!$AB:$AB&lt;&gt;""""),""""))"),"")</f>
        <v/>
      </c>
      <c r="AA223" s="152" t="str">
        <f>IFERROR(__xludf.DUMMYFUNCTION("if(U223="""","""",iferror(filter(Schedule!$S:$S&amp;""-""&amp;Schedule!$T:$T,Schedule!$L:$L=U223,(Schedule!$J:$J="""")+(Schedule!$J:$J=V223),(Schedule!$K:$K=""b"")+(Schedule!$K:$K=""""),Schedule!$S:$S&lt;&gt;""""),""""))"),"")</f>
        <v/>
      </c>
      <c r="AB223" s="152" t="str">
        <f>IFERROR(__xludf.DUMMYFUNCTION("if(U223="""","""",iferror(filter(Schedule!$V:$V&amp;""-""&amp;Schedule!$W:$W,Schedule!$L:$L=U223,(Schedule!$J:$J="""")+(Schedule!$J:$J=V223),(Schedule!$K:$K=""b"")+(Schedule!$K:$K=""""),Schedule!$V:$V&lt;&gt;""""),""""))"),"")</f>
        <v/>
      </c>
      <c r="AC223" s="60"/>
      <c r="AD223" s="155"/>
      <c r="AE223" s="155" t="str">
        <f>AG218</f>
        <v/>
      </c>
      <c r="AF223" s="151" t="str">
        <f>AM218</f>
        <v/>
      </c>
      <c r="AG223" s="147">
        <v>4.0</v>
      </c>
      <c r="AH223" s="152" t="str">
        <f>IFERROR(__xludf.DUMMYFUNCTION("if(AE223="""","""",iferror(filter(Schedule!$V:$V&amp;""-""&amp;Schedule!$W:$W,Schedule!$L:$L=AE223,(Schedule!$J:$J="""")+(Schedule!$J:$J=AF223),(Schedule!$K:$K=""a"")+(Schedule!$K:$K=""""),Schedule!$V:$V&lt;&gt;""""),""""))"),"")</f>
        <v/>
      </c>
      <c r="AI223" s="152" t="str">
        <f>IFERROR(__xludf.DUMMYFUNCTION("if(AE223="""","""",iferror(filter(Schedule!$M:$M&amp;""-""&amp;Schedule!$N:$N,Schedule!$L:$L=AE223,(Schedule!$J:$J="""")+(Schedule!$J:$J=AF223),(Schedule!$K:$K=""b"")+(Schedule!$K:$K=""""),Schedule!$M:$M&lt;&gt;""""),""""))"),"")</f>
        <v/>
      </c>
      <c r="AJ223" s="152" t="str">
        <f>IFERROR(__xludf.DUMMYFUNCTION("if(AE223="""","""",iferror(filter(Schedule!$AB:$AB&amp;""-""&amp;Schedule!$AC:$AC,Schedule!$L:$L=AE223,(Schedule!$J:$J="""")+(Schedule!$J:$J=AF223),(Schedule!$K:$K=""a"")+(Schedule!$K:$K=""""),Schedule!$AB:$AB&lt;&gt;""""),""""))"),"")</f>
        <v/>
      </c>
      <c r="AK223" s="152" t="str">
        <f>IFERROR(__xludf.DUMMYFUNCTION("if(AE223="""","""",iferror(filter(Schedule!$S:$S&amp;""-""&amp;Schedule!$T:$T,Schedule!$L:$L=AE223,(Schedule!$J:$J="""")+(Schedule!$J:$J=AF223),(Schedule!$K:$K=""b"")+(Schedule!$K:$K=""""),Schedule!$S:$S&lt;&gt;""""),""""))"),"")</f>
        <v/>
      </c>
      <c r="AL223" s="152" t="str">
        <f>IFERROR(__xludf.DUMMYFUNCTION("if(AE223="""","""",iferror(filter(Schedule!$V:$V&amp;""-""&amp;Schedule!$W:$W,Schedule!$L:$L=AE223,(Schedule!$J:$J="""")+(Schedule!$J:$J=AF223),(Schedule!$K:$K=""b"")+(Schedule!$K:$K=""""),Schedule!$V:$V&lt;&gt;""""),""""))"),"")</f>
        <v/>
      </c>
      <c r="AM223" s="60"/>
    </row>
    <row r="224">
      <c r="A224" s="151" t="str">
        <f>C218</f>
        <v>Vicente Miralles</v>
      </c>
      <c r="B224" s="151" t="str">
        <f>I218</f>
        <v>Y</v>
      </c>
      <c r="C224" s="147">
        <v>5.0</v>
      </c>
      <c r="D224" s="152" t="str">
        <f>IFERROR(__xludf.DUMMYFUNCTION("if(A224="""","""",iferror(filter(Schedule!$Y:$Y&amp;""-""&amp;Schedule!$Z:$Z,Schedule!$L:$L=A224,(Schedule!$J:$J="""")+(Schedule!$J:$J=B224),(Schedule!$K:$K=""a"")+(Schedule!$K:$K=""""),Schedule!$Y:$Y&lt;&gt;""""),""""))"),"")</f>
        <v/>
      </c>
      <c r="E224" s="152" t="str">
        <f>IFERROR(__xludf.DUMMYFUNCTION("if(A224="""","""",iferror(filter(Schedule!$P:$P&amp;""-""&amp;Schedule!$Q:$Q,Schedule!$L:$L=A224,(Schedule!$J:$J="""")+(Schedule!$J:$J=B224),(Schedule!$K:$K=""b"")+(Schedule!$K:$K=""""),Schedule!$P:$P&lt;&gt;""""),""""))"),"SAL-1")</f>
        <v>SAL-1</v>
      </c>
      <c r="F224" s="152" t="str">
        <f>IFERROR(__xludf.DUMMYFUNCTION("if(A224="""","""",iferror(filter(Schedule!$V:$V&amp;""-""&amp;Schedule!$W:$W,Schedule!$L:$L=A224,(Schedule!$J:$J="""")+(Schedule!$J:$J=B224),(Schedule!$K:$K=""b"")+(Schedule!$K:$K=""""),Schedule!$V:$V&lt;&gt;""""),""""))"),"Spanish 6A-5")</f>
        <v>Spanish 6A-5</v>
      </c>
      <c r="G224" s="152" t="str">
        <f>IFERROR(__xludf.DUMMYFUNCTION("if(A224="""","""",iferror(filter(Schedule!$AB:$AB&amp;""-""&amp;Schedule!$AC:$AC,Schedule!$L:$L=A224,(Schedule!$J:$J="""")+(Schedule!$J:$J=B224),(Schedule!$K:$K=""b"")+(Schedule!$K:$K=""""),Schedule!$AB:$AB&lt;&gt;""""),""""))"),"Spanish 6-6")</f>
        <v>Spanish 6-6</v>
      </c>
      <c r="H224" s="152" t="str">
        <f>IFERROR(__xludf.DUMMYFUNCTION("if(A224="""","""",iferror(filter(Schedule!$M:$M&amp;""-""&amp;Schedule!$N:$N,Schedule!$L:$L=A224,(Schedule!$J:$J="""")+(Schedule!$J:$J=B224),(Schedule!$K:$K=""b"")+(Schedule!$K:$K=""""),Schedule!$M:$M&lt;&gt;""""),""""))"),"")</f>
        <v/>
      </c>
      <c r="I224" s="64"/>
      <c r="J224" s="154"/>
      <c r="K224" s="151" t="str">
        <f>M218</f>
        <v/>
      </c>
      <c r="L224" s="151" t="str">
        <f>S218</f>
        <v/>
      </c>
      <c r="M224" s="147">
        <v>5.0</v>
      </c>
      <c r="N224" s="152" t="str">
        <f>IFERROR(__xludf.DUMMYFUNCTION("if(K224="""","""",iferror(filter(Schedule!$Y:$Y&amp;""-""&amp;Schedule!$Z:$Z,Schedule!$L:$L=K224,(Schedule!$J:$J="""")+(Schedule!$J:$J=L224),(Schedule!$K:$K=""a"")+(Schedule!$K:$K=""""),Schedule!$Y:$Y&lt;&gt;""""),""""))"),"")</f>
        <v/>
      </c>
      <c r="O224" s="152" t="str">
        <f>IFERROR(__xludf.DUMMYFUNCTION("if(K224="""","""",iferror(filter(Schedule!$P:$P&amp;""-""&amp;Schedule!$Q:$Q,Schedule!$L:$L=K224,(Schedule!$J:$J="""")+(Schedule!$J:$J=L224),(Schedule!$K:$K=""b"")+(Schedule!$K:$K=""""),Schedule!$P:$P&lt;&gt;""""),""""))"),"")</f>
        <v/>
      </c>
      <c r="P224" s="152" t="str">
        <f>IFERROR(__xludf.DUMMYFUNCTION("if(K224="""","""",iferror(filter(Schedule!$V:$V&amp;""-""&amp;Schedule!$W:$W,Schedule!$L:$L=K224,(Schedule!$J:$J="""")+(Schedule!$J:$J=L224),(Schedule!$K:$K=""b"")+(Schedule!$K:$K=""""),Schedule!$V:$V&lt;&gt;""""),""""))"),"")</f>
        <v/>
      </c>
      <c r="Q224" s="152" t="str">
        <f>IFERROR(__xludf.DUMMYFUNCTION("if(K224="""","""",iferror(filter(Schedule!$AB:$AB&amp;""-""&amp;Schedule!$AC:$AC,Schedule!$L:$L=K224,(Schedule!$J:$J="""")+(Schedule!$J:$J=L224),(Schedule!$K:$K=""b"")+(Schedule!$K:$K=""""),Schedule!$AB:$AB&lt;&gt;""""),""""))"),"")</f>
        <v/>
      </c>
      <c r="R224" s="152" t="str">
        <f>IFERROR(__xludf.DUMMYFUNCTION("if(K224="""","""",iferror(filter(Schedule!$M:$M&amp;""-""&amp;Schedule!$N:$N,Schedule!$L:$L=K224,(Schedule!$J:$J="""")+(Schedule!$J:$J=L224),(Schedule!$K:$K=""b"")+(Schedule!$K:$K=""""),Schedule!$M:$M&lt;&gt;""""),""""))"),"")</f>
        <v/>
      </c>
      <c r="S224" s="64"/>
      <c r="T224" s="155"/>
      <c r="U224" s="155" t="str">
        <f>W218</f>
        <v/>
      </c>
      <c r="V224" s="151" t="str">
        <f>AC218</f>
        <v/>
      </c>
      <c r="W224" s="147">
        <v>5.0</v>
      </c>
      <c r="X224" s="152" t="str">
        <f>IFERROR(__xludf.DUMMYFUNCTION("if(U224="""","""",iferror(filter(Schedule!$Y:$Y&amp;""-""&amp;Schedule!$Z:$Z,Schedule!$L:$L=U224,(Schedule!$J:$J="""")+(Schedule!$J:$J=V224),(Schedule!$K:$K=""a"")+(Schedule!$K:$K=""""),Schedule!$Y:$Y&lt;&gt;""""),""""))"),"")</f>
        <v/>
      </c>
      <c r="Y224" s="152" t="str">
        <f>IFERROR(__xludf.DUMMYFUNCTION("if(U224="""","""",iferror(filter(Schedule!$P:$P&amp;""-""&amp;Schedule!$Q:$Q,Schedule!$L:$L=U224,(Schedule!$J:$J="""")+(Schedule!$J:$J=V224),(Schedule!$K:$K=""b"")+(Schedule!$K:$K=""""),Schedule!$P:$P&lt;&gt;""""),""""))"),"")</f>
        <v/>
      </c>
      <c r="Z224" s="152" t="str">
        <f>IFERROR(__xludf.DUMMYFUNCTION("if(U224="""","""",iferror(filter(Schedule!$V:$V&amp;""-""&amp;Schedule!$W:$W,Schedule!$L:$L=U224,(Schedule!$J:$J="""")+(Schedule!$J:$J=V224),(Schedule!$K:$K=""b"")+(Schedule!$K:$K=""""),Schedule!$V:$V&lt;&gt;""""),""""))"),"")</f>
        <v/>
      </c>
      <c r="AA224" s="152" t="str">
        <f>IFERROR(__xludf.DUMMYFUNCTION("if(U224="""","""",iferror(filter(Schedule!$AB:$AB&amp;""-""&amp;Schedule!$AC:$AC,Schedule!$L:$L=U224,(Schedule!$J:$J="""")+(Schedule!$J:$J=V224),(Schedule!$K:$K=""b"")+(Schedule!$K:$K=""""),Schedule!$AB:$AB&lt;&gt;""""),""""))"),"")</f>
        <v/>
      </c>
      <c r="AB224" s="152" t="str">
        <f>IFERROR(__xludf.DUMMYFUNCTION("if(U224="""","""",iferror(filter(Schedule!$M:$M&amp;""-""&amp;Schedule!$N:$N,Schedule!$L:$L=U224,(Schedule!$J:$J="""")+(Schedule!$J:$J=V224),(Schedule!$K:$K=""b"")+(Schedule!$K:$K=""""),Schedule!$M:$M&lt;&gt;""""),""""))"),"")</f>
        <v/>
      </c>
      <c r="AC224" s="64"/>
      <c r="AD224" s="155"/>
      <c r="AE224" s="155" t="str">
        <f>AG218</f>
        <v/>
      </c>
      <c r="AF224" s="151" t="str">
        <f>AM218</f>
        <v/>
      </c>
      <c r="AG224" s="147">
        <v>5.0</v>
      </c>
      <c r="AH224" s="152" t="str">
        <f>IFERROR(__xludf.DUMMYFUNCTION("if(AE224="""","""",iferror(filter(Schedule!$Y:$Y&amp;""-""&amp;Schedule!$Z:$Z,Schedule!$L:$L=AE224,(Schedule!$J:$J="""")+(Schedule!$J:$J=AF224),(Schedule!$K:$K=""a"")+(Schedule!$K:$K=""""),Schedule!$Y:$Y&lt;&gt;""""),""""))"),"")</f>
        <v/>
      </c>
      <c r="AI224" s="152" t="str">
        <f>IFERROR(__xludf.DUMMYFUNCTION("if(AE224="""","""",iferror(filter(Schedule!$P:$P&amp;""-""&amp;Schedule!$Q:$Q,Schedule!$L:$L=AE224,(Schedule!$J:$J="""")+(Schedule!$J:$J=AF224),(Schedule!$K:$K=""b"")+(Schedule!$K:$K=""""),Schedule!$P:$P&lt;&gt;""""),""""))"),"")</f>
        <v/>
      </c>
      <c r="AJ224" s="152" t="str">
        <f>IFERROR(__xludf.DUMMYFUNCTION("if(AE224="""","""",iferror(filter(Schedule!$V:$V&amp;""-""&amp;Schedule!$W:$W,Schedule!$L:$L=AE224,(Schedule!$J:$J="""")+(Schedule!$J:$J=AF224),(Schedule!$K:$K=""b"")+(Schedule!$K:$K=""""),Schedule!$V:$V&lt;&gt;""""),""""))"),"")</f>
        <v/>
      </c>
      <c r="AK224" s="152" t="str">
        <f>IFERROR(__xludf.DUMMYFUNCTION("if(AE224="""","""",iferror(filter(Schedule!$AB:$AB&amp;""-""&amp;Schedule!$AC:$AC,Schedule!$L:$L=AE224,(Schedule!$J:$J="""")+(Schedule!$J:$J=AF224),(Schedule!$K:$K=""b"")+(Schedule!$K:$K=""""),Schedule!$AB:$AB&lt;&gt;""""),""""))"),"")</f>
        <v/>
      </c>
      <c r="AL224" s="152" t="str">
        <f>IFERROR(__xludf.DUMMYFUNCTION("if(AE224="""","""",iferror(filter(Schedule!$M:$M&amp;""-""&amp;Schedule!$N:$N,Schedule!$L:$L=AE224,(Schedule!$J:$J="""")+(Schedule!$J:$J=AF224),(Schedule!$K:$K=""b"")+(Schedule!$K:$K=""""),Schedule!$M:$M&lt;&gt;""""),""""))"),"")</f>
        <v/>
      </c>
      <c r="AM224" s="64"/>
    </row>
    <row r="225">
      <c r="A225" s="11"/>
      <c r="B225" s="11"/>
      <c r="C225" s="156"/>
      <c r="D225" s="156"/>
      <c r="E225" s="156"/>
      <c r="F225" s="156"/>
      <c r="G225" s="156"/>
      <c r="H225" s="156"/>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c r="A226" s="5"/>
      <c r="B226" s="5"/>
      <c r="C226" s="140" t="str">
        <f>Teachers!A29</f>
        <v>Viviana</v>
      </c>
      <c r="D226" s="141"/>
      <c r="E226" s="141"/>
      <c r="F226" s="141"/>
      <c r="G226" s="141"/>
      <c r="H226" s="142"/>
      <c r="I226" s="143" t="str">
        <f>IFERROR(__xludf.DUMMYFUNCTION("if(C226="""","""", iferror(unique(filter(Schedule!$J:$J,Schedule!$L:$L=$C226,Schedule!$J:$J=""Q1"")),iferror(unique(filter(Schedule!$J:$J,Schedule!$L:$L=$C226,Schedule!$J:$J=""S1"")),""Y"")))"),"Y")</f>
        <v>Y</v>
      </c>
      <c r="J226" s="11"/>
      <c r="K226" s="11"/>
      <c r="L226" s="11"/>
      <c r="M226" s="140" t="str">
        <f>if(S226="","",C226)</f>
        <v/>
      </c>
      <c r="N226" s="141"/>
      <c r="O226" s="141"/>
      <c r="P226" s="141"/>
      <c r="Q226" s="141"/>
      <c r="R226" s="142"/>
      <c r="S226" s="143" t="str">
        <f>if($I226="Q1","Q2",if($I226="S1","S2",""))</f>
        <v/>
      </c>
      <c r="T226" s="144"/>
      <c r="U226" s="144"/>
      <c r="V226" s="145"/>
      <c r="W226" s="140" t="str">
        <f>if(AC226="","",M226)</f>
        <v/>
      </c>
      <c r="X226" s="141"/>
      <c r="Y226" s="141"/>
      <c r="Z226" s="141"/>
      <c r="AA226" s="141"/>
      <c r="AB226" s="142"/>
      <c r="AC226" s="143" t="str">
        <f>if($I226="Q1","Q3","")</f>
        <v/>
      </c>
      <c r="AD226" s="144"/>
      <c r="AE226" s="144"/>
      <c r="AF226" s="145"/>
      <c r="AG226" s="140" t="str">
        <f>if(AC226="","",W226)</f>
        <v/>
      </c>
      <c r="AH226" s="141"/>
      <c r="AI226" s="141"/>
      <c r="AJ226" s="141"/>
      <c r="AK226" s="141"/>
      <c r="AL226" s="142"/>
      <c r="AM226" s="143" t="str">
        <f>if($I226="Q1","Q4","")</f>
        <v/>
      </c>
    </row>
    <row r="227">
      <c r="A227" s="146"/>
      <c r="B227" s="146"/>
      <c r="C227" s="147" t="s">
        <v>94</v>
      </c>
      <c r="D227" s="148" t="s">
        <v>95</v>
      </c>
      <c r="E227" s="148" t="s">
        <v>96</v>
      </c>
      <c r="F227" s="148" t="s">
        <v>97</v>
      </c>
      <c r="G227" s="148" t="s">
        <v>98</v>
      </c>
      <c r="H227" s="148" t="s">
        <v>99</v>
      </c>
      <c r="I227" s="148" t="s">
        <v>651</v>
      </c>
      <c r="J227" s="146"/>
      <c r="K227" s="146"/>
      <c r="L227" s="146"/>
      <c r="M227" s="147" t="s">
        <v>94</v>
      </c>
      <c r="N227" s="148" t="s">
        <v>95</v>
      </c>
      <c r="O227" s="148" t="s">
        <v>96</v>
      </c>
      <c r="P227" s="148" t="s">
        <v>97</v>
      </c>
      <c r="Q227" s="148" t="s">
        <v>98</v>
      </c>
      <c r="R227" s="148" t="s">
        <v>99</v>
      </c>
      <c r="S227" s="148" t="s">
        <v>651</v>
      </c>
      <c r="T227" s="149"/>
      <c r="U227" s="149"/>
      <c r="V227" s="150"/>
      <c r="W227" s="147" t="s">
        <v>94</v>
      </c>
      <c r="X227" s="148" t="s">
        <v>95</v>
      </c>
      <c r="Y227" s="148" t="s">
        <v>96</v>
      </c>
      <c r="Z227" s="148" t="s">
        <v>97</v>
      </c>
      <c r="AA227" s="148" t="s">
        <v>98</v>
      </c>
      <c r="AB227" s="148" t="s">
        <v>99</v>
      </c>
      <c r="AC227" s="148" t="s">
        <v>651</v>
      </c>
      <c r="AD227" s="149"/>
      <c r="AE227" s="149"/>
      <c r="AF227" s="150"/>
      <c r="AG227" s="147" t="s">
        <v>94</v>
      </c>
      <c r="AH227" s="148" t="s">
        <v>95</v>
      </c>
      <c r="AI227" s="148" t="s">
        <v>96</v>
      </c>
      <c r="AJ227" s="148" t="s">
        <v>97</v>
      </c>
      <c r="AK227" s="148" t="s">
        <v>98</v>
      </c>
      <c r="AL227" s="148" t="s">
        <v>99</v>
      </c>
      <c r="AM227" s="148" t="s">
        <v>651</v>
      </c>
    </row>
    <row r="228">
      <c r="A228" s="151" t="str">
        <f>C226</f>
        <v>Viviana</v>
      </c>
      <c r="B228" s="151" t="str">
        <f>I226</f>
        <v>Y</v>
      </c>
      <c r="C228" s="147">
        <v>1.0</v>
      </c>
      <c r="D228" s="152" t="str">
        <f>IFERROR(__xludf.DUMMYFUNCTION("if(A228="""","""",iferror(filter(Schedule!$M:$M&amp;""-""&amp;Schedule!$N:$N,Schedule!$L:$L=A228,(Schedule!$J:$J="""")+(Schedule!$J:$J=B228),(Schedule!$K:$K=""a"")+(Schedule!$K:$K=""""),Schedule!$M:$M&lt;&gt;""""),""""))"),"English 6A-1")</f>
        <v>English 6A-1</v>
      </c>
      <c r="E228" s="152" t="str">
        <f>IFERROR(__xludf.DUMMYFUNCTION("if(A228="""","""",iferror(filter(Schedule!$AB:$AB&amp;""-""&amp;Schedule!$AC:$AC,Schedule!$L:$L=A228,(Schedule!$J:$J="""")+(Schedule!$J:$J=B228),(Schedule!$K:$K=""b"")+(Schedule!$K:$K=""""),Schedule!$AB:$AB&lt;&gt;""""),""""))"),"English 8-5")</f>
        <v>English 8-5</v>
      </c>
      <c r="F228" s="152" t="str">
        <f>IFERROR(__xludf.DUMMYFUNCTION("if(A228="""","""",iferror(filter(Schedule!$S:$S&amp;""-""&amp;Schedule!$T:$T,Schedule!$L:$L=A228,(Schedule!$J:$J="""")+(Schedule!$J:$J=B228),(Schedule!$K:$K=""a"")+(Schedule!$K:$K=""""),Schedule!$S:$S&lt;&gt;""""),""""))"),"")</f>
        <v/>
      </c>
      <c r="G228" s="152" t="str">
        <f>IFERROR(__xludf.DUMMYFUNCTION("if(A228="""","""",iferror(filter(Schedule!$V:$V&amp;""-""&amp;Schedule!$W:$W,Schedule!$L:$L=A228,(Schedule!$J:$J="""")+(Schedule!$J:$J=B228),(Schedule!$K:$K=""a"")+(Schedule!$K:$K=""""),Schedule!$V:$V&lt;&gt;""""),""""))"),"")</f>
        <v/>
      </c>
      <c r="H228" s="152" t="str">
        <f>IFERROR(__xludf.DUMMYFUNCTION("if(A228="""","""",iferror(filter(Schedule!$Y:$Y&amp;""-""&amp;Schedule!$Z:$Z,Schedule!$L:$L=A228,(Schedule!$J:$J="""")+(Schedule!$J:$J=B228),(Schedule!$K:$K=""b"")+(Schedule!$K:$K=""""),Schedule!$Y:$Y&lt;&gt;""""),""""))"),"English 7-4")</f>
        <v>English 7-4</v>
      </c>
      <c r="I228" s="153">
        <f>if(C226="","", 24-countifs(D228:H232,""))</f>
        <v>12</v>
      </c>
      <c r="J228" s="154"/>
      <c r="K228" s="151" t="str">
        <f>M226</f>
        <v/>
      </c>
      <c r="L228" s="151" t="str">
        <f>S226</f>
        <v/>
      </c>
      <c r="M228" s="147">
        <v>1.0</v>
      </c>
      <c r="N228" s="152" t="str">
        <f>IFERROR(__xludf.DUMMYFUNCTION("if(K228="""","""",iferror(filter(Schedule!$M:$M&amp;""-""&amp;Schedule!$N:$N,Schedule!$L:$L=K228,(Schedule!$J:$J="""")+(Schedule!$J:$J=L228),(Schedule!$K:$K=""a"")+(Schedule!$K:$K=""""),Schedule!$M:$M&lt;&gt;""""),""""))"),"")</f>
        <v/>
      </c>
      <c r="O228" s="152" t="str">
        <f>IFERROR(__xludf.DUMMYFUNCTION("if(K228="""","""",iferror(filter(Schedule!$AB:$AB&amp;""-""&amp;Schedule!$AC:$AC,Schedule!$L:$L=K228,(Schedule!$J:$J="""")+(Schedule!$J:$J=L228),(Schedule!$K:$K=""b"")+(Schedule!$K:$K=""""),Schedule!$AB:$AB&lt;&gt;""""),""""))"),"")</f>
        <v/>
      </c>
      <c r="P228" s="152" t="str">
        <f>IFERROR(__xludf.DUMMYFUNCTION("if(K228="""","""",iferror(filter(Schedule!$S:$S&amp;""-""&amp;Schedule!$T:$T,Schedule!$L:$L=K228,(Schedule!$J:$J="""")+(Schedule!$J:$J=L228),(Schedule!$K:$K=""a"")+(Schedule!$K:$K=""""),Schedule!$S:$S&lt;&gt;""""),""""))"),"")</f>
        <v/>
      </c>
      <c r="Q228" s="152" t="str">
        <f>IFERROR(__xludf.DUMMYFUNCTION("if(K228="""","""",iferror(filter(Schedule!$V:$V&amp;""-""&amp;Schedule!$W:$W,Schedule!$L:$L=K228,(Schedule!$J:$J="""")+(Schedule!$J:$J=L228),(Schedule!$K:$K=""a"")+(Schedule!$K:$K=""""),Schedule!$V:$V&lt;&gt;""""),""""))"),"")</f>
        <v/>
      </c>
      <c r="R228" s="152" t="str">
        <f>IFERROR(__xludf.DUMMYFUNCTION("if(K228="""","""",iferror(filter(Schedule!$Y:$Y&amp;""-""&amp;Schedule!$Z:$Z,Schedule!$L:$L=K228,(Schedule!$J:$J="""")+(Schedule!$J:$J=L228),(Schedule!$K:$K=""b"")+(Schedule!$K:$K=""""),Schedule!$Y:$Y&lt;&gt;""""),""""))"),"")</f>
        <v/>
      </c>
      <c r="S228" s="153" t="str">
        <f>if(K228="","", 24-countifs(N228:R232,""))</f>
        <v/>
      </c>
      <c r="T228" s="155"/>
      <c r="U228" s="155" t="str">
        <f>W226</f>
        <v/>
      </c>
      <c r="V228" s="151" t="str">
        <f>AC226</f>
        <v/>
      </c>
      <c r="W228" s="147">
        <v>1.0</v>
      </c>
      <c r="X228" s="152" t="str">
        <f>IFERROR(__xludf.DUMMYFUNCTION("if(U228="""","""",iferror(filter(Schedule!$M:$M&amp;""-""&amp;Schedule!$N:$N,Schedule!$L:$L=U228,(Schedule!$J:$J="""")+(Schedule!$J:$J=V228),(Schedule!$K:$K=""a"")+(Schedule!$K:$K=""""),Schedule!$M:$M&lt;&gt;""""),""""))"),"")</f>
        <v/>
      </c>
      <c r="Y228" s="152" t="str">
        <f>IFERROR(__xludf.DUMMYFUNCTION("if(U228="""","""",iferror(filter(Schedule!$AB:$AB&amp;""-""&amp;Schedule!$AC:$AC,Schedule!$L:$L=U228,(Schedule!$J:$J="""")+(Schedule!$J:$J=V228),(Schedule!$K:$K=""b"")+(Schedule!$K:$K=""""),Schedule!$AB:$AB&lt;&gt;""""),""""))"),"")</f>
        <v/>
      </c>
      <c r="Z228" s="152" t="str">
        <f>IFERROR(__xludf.DUMMYFUNCTION("if(U228="""","""",iferror(filter(Schedule!$S:$S&amp;""-""&amp;Schedule!$T:$T,Schedule!$L:$L=U228,(Schedule!$J:$J="""")+(Schedule!$J:$J=V228),(Schedule!$K:$K=""a"")+(Schedule!$K:$K=""""),Schedule!$S:$S&lt;&gt;""""),""""))"),"")</f>
        <v/>
      </c>
      <c r="AA228" s="152" t="str">
        <f>IFERROR(__xludf.DUMMYFUNCTION("if(U228="""","""",iferror(filter(Schedule!$V:$V&amp;""-""&amp;Schedule!$W:$W,Schedule!$L:$L=U228,(Schedule!$J:$J="""")+(Schedule!$J:$J=V228),(Schedule!$K:$K=""a"")+(Schedule!$K:$K=""""),Schedule!$V:$V&lt;&gt;""""),""""))"),"")</f>
        <v/>
      </c>
      <c r="AB228" s="152" t="str">
        <f>IFERROR(__xludf.DUMMYFUNCTION("if(U228="""","""",iferror(filter(Schedule!$Y:$Y&amp;""-""&amp;Schedule!$Z:$Z,Schedule!$L:$L=U228,(Schedule!$J:$J="""")+(Schedule!$J:$J=V228),(Schedule!$K:$K=""b"")+(Schedule!$K:$K=""""),Schedule!$Y:$Y&lt;&gt;""""),""""))"),"")</f>
        <v/>
      </c>
      <c r="AC228" s="153" t="str">
        <f>if(U228="","", 24-countifs(X228:AB232,""))</f>
        <v/>
      </c>
      <c r="AD228" s="155"/>
      <c r="AE228" s="155" t="str">
        <f>AG226</f>
        <v/>
      </c>
      <c r="AF228" s="151" t="str">
        <f>AM226</f>
        <v/>
      </c>
      <c r="AG228" s="147">
        <v>1.0</v>
      </c>
      <c r="AH228" s="152" t="str">
        <f>IFERROR(__xludf.DUMMYFUNCTION("if(AE228="""","""",iferror(filter(Schedule!$M:$M&amp;""-""&amp;Schedule!$N:$N,Schedule!$L:$L=AE228,(Schedule!$J:$J="""")+(Schedule!$J:$J=AF228),(Schedule!$K:$K=""a"")+(Schedule!$K:$K=""""),Schedule!$M:$M&lt;&gt;""""),""""))"),"")</f>
        <v/>
      </c>
      <c r="AI228" s="152" t="str">
        <f>IFERROR(__xludf.DUMMYFUNCTION("if(AE228="""","""",iferror(filter(Schedule!$AB:$AB&amp;""-""&amp;Schedule!$AC:$AC,Schedule!$L:$L=AE228,(Schedule!$J:$J="""")+(Schedule!$J:$J=AF228),(Schedule!$K:$K=""b"")+(Schedule!$K:$K=""""),Schedule!$AB:$AB&lt;&gt;""""),""""))"),"")</f>
        <v/>
      </c>
      <c r="AJ228" s="152" t="str">
        <f>IFERROR(__xludf.DUMMYFUNCTION("if(AE228="""","""",iferror(filter(Schedule!$S:$S&amp;""-""&amp;Schedule!$T:$T,Schedule!$L:$L=AE228,(Schedule!$J:$J="""")+(Schedule!$J:$J=AF228),(Schedule!$K:$K=""a"")+(Schedule!$K:$K=""""),Schedule!$S:$S&lt;&gt;""""),""""))"),"")</f>
        <v/>
      </c>
      <c r="AK228" s="152" t="str">
        <f>IFERROR(__xludf.DUMMYFUNCTION("if(AE228="""","""",iferror(filter(Schedule!$V:$V&amp;""-""&amp;Schedule!$W:$W,Schedule!$L:$L=AE228,(Schedule!$J:$J="""")+(Schedule!$J:$J=AF228),(Schedule!$K:$K=""a"")+(Schedule!$K:$K=""""),Schedule!$V:$V&lt;&gt;""""),""""))"),"")</f>
        <v/>
      </c>
      <c r="AL228" s="152" t="str">
        <f>IFERROR(__xludf.DUMMYFUNCTION("if(AE228="""","""",iferror(filter(Schedule!$Y:$Y&amp;""-""&amp;Schedule!$Z:$Z,Schedule!$L:$L=AE228,(Schedule!$J:$J="""")+(Schedule!$J:$J=AF228),(Schedule!$K:$K=""b"")+(Schedule!$K:$K=""""),Schedule!$Y:$Y&lt;&gt;""""),""""))"),"")</f>
        <v/>
      </c>
      <c r="AM228" s="153" t="str">
        <f>if(AE228="","", 24-countifs(AH228:AL232,""))</f>
        <v/>
      </c>
    </row>
    <row r="229">
      <c r="A229" s="151" t="str">
        <f>C226</f>
        <v>Viviana</v>
      </c>
      <c r="B229" s="151" t="str">
        <f>I226</f>
        <v>Y</v>
      </c>
      <c r="C229" s="147">
        <v>2.0</v>
      </c>
      <c r="D229" s="152" t="str">
        <f>IFERROR(__xludf.DUMMYFUNCTION("if(A229="""","""",iferror(filter(Schedule!$P:$P&amp;""-""&amp;Schedule!$Q:$Q,Schedule!$L:$L=A229,(Schedule!$J:$J="""")+(Schedule!$J:$J=B229),(Schedule!$K:$K=""a"")+(Schedule!$K:$K=""""),Schedule!$P:$P&lt;&gt;""""),""""))"),"")</f>
        <v/>
      </c>
      <c r="E229" s="152" t="str">
        <f>IFERROR(__xludf.DUMMYFUNCTION("if(A229="""","""",iferror(filter(Schedule!$Y:$Y&amp;""-""&amp;Schedule!$Z:$Z,Schedule!$L:$L=A229,(Schedule!$J:$J="""")+(Schedule!$J:$J=B229),(Schedule!$K:$K=""b"")+(Schedule!$K:$K=""""),Schedule!$Y:$Y&lt;&gt;""""),""""))"),"English 7-4")</f>
        <v>English 7-4</v>
      </c>
      <c r="F229" s="152" t="str">
        <f>IFERROR(__xludf.DUMMYFUNCTION("if(A229="""","""",iferror(filter(Schedule!$P:$P&amp;""-""&amp;Schedule!$Q:$Q,Schedule!$L:$L=A229,(Schedule!$J:$J="""")+(Schedule!$J:$J=B229),(Schedule!$K:$K=""a"")+(Schedule!$K:$K=""""),Schedule!$P:$P&lt;&gt;""""),""""))"),"")</f>
        <v/>
      </c>
      <c r="G229" s="152" t="str">
        <f>IFERROR(__xludf.DUMMYFUNCTION("if(A229="""","""",iferror(filter(Schedule!$M:$M&amp;""-""&amp;Schedule!$N:$N,Schedule!$L:$L=A229,(Schedule!$J:$J="""")+(Schedule!$J:$J=B229),(Schedule!$K:$K=""a"")+(Schedule!$K:$K=""""),Schedule!$M:$M&lt;&gt;""""),""""))"),"English 6A-1")</f>
        <v>English 6A-1</v>
      </c>
      <c r="H229" s="152" t="str">
        <f>IFERROR(__xludf.DUMMYFUNCTION("if(A229="""","""",iferror(filter(Schedule!$AB:$AB&amp;""-""&amp;Schedule!$AC:$AC,Schedule!$L:$L=A229,(Schedule!$J:$J="""")+(Schedule!$J:$J=B229),(Schedule!$K:$K=""a"")+(Schedule!$K:$K=""""),Schedule!$AB:$AB&lt;&gt;""""),""""))"),"English 8-5")</f>
        <v>English 8-5</v>
      </c>
      <c r="I229" s="60"/>
      <c r="J229" s="154"/>
      <c r="K229" s="151" t="str">
        <f>M226</f>
        <v/>
      </c>
      <c r="L229" s="151" t="str">
        <f>S226</f>
        <v/>
      </c>
      <c r="M229" s="147">
        <v>2.0</v>
      </c>
      <c r="N229" s="152" t="str">
        <f>IFERROR(__xludf.DUMMYFUNCTION("if(K229="""","""",iferror(filter(Schedule!$P:$P&amp;""-""&amp;Schedule!$Q:$Q,Schedule!$L:$L=K229,(Schedule!$J:$J="""")+(Schedule!$J:$J=L229),(Schedule!$K:$K=""a"")+(Schedule!$K:$K=""""),Schedule!$P:$P&lt;&gt;""""),""""))"),"")</f>
        <v/>
      </c>
      <c r="O229" s="152" t="str">
        <f>IFERROR(__xludf.DUMMYFUNCTION("if(K229="""","""",iferror(filter(Schedule!$Y:$Y&amp;""-""&amp;Schedule!$Z:$Z,Schedule!$L:$L=K229,(Schedule!$J:$J="""")+(Schedule!$J:$J=L229),(Schedule!$K:$K=""b"")+(Schedule!$K:$K=""""),Schedule!$Y:$Y&lt;&gt;""""),""""))"),"")</f>
        <v/>
      </c>
      <c r="P229" s="152" t="str">
        <f>IFERROR(__xludf.DUMMYFUNCTION("if(K229="""","""",iferror(filter(Schedule!$P:$P&amp;""-""&amp;Schedule!$Q:$Q,Schedule!$L:$L=K229,(Schedule!$J:$J="""")+(Schedule!$J:$J=L229),(Schedule!$K:$K=""a"")+(Schedule!$K:$K=""""),Schedule!$P:$P&lt;&gt;""""),""""))"),"")</f>
        <v/>
      </c>
      <c r="Q229" s="152" t="str">
        <f>IFERROR(__xludf.DUMMYFUNCTION("if(K229="""","""",iferror(filter(Schedule!$M:$M&amp;""-""&amp;Schedule!$N:$N,Schedule!$L:$L=K229,(Schedule!$J:$J="""")+(Schedule!$J:$J=L229),(Schedule!$K:$K=""a"")+(Schedule!$K:$K=""""),Schedule!$M:$M&lt;&gt;""""),""""))"),"")</f>
        <v/>
      </c>
      <c r="R229" s="152" t="str">
        <f>IFERROR(__xludf.DUMMYFUNCTION("if(K229="""","""",iferror(filter(Schedule!$AB:$AB&amp;""-""&amp;Schedule!$AC:$AC,Schedule!$L:$L=K229,(Schedule!$J:$J="""")+(Schedule!$J:$J=L229),(Schedule!$K:$K=""a"")+(Schedule!$K:$K=""""),Schedule!$AB:$AB&lt;&gt;""""),""""))"),"")</f>
        <v/>
      </c>
      <c r="S229" s="60"/>
      <c r="T229" s="155"/>
      <c r="U229" s="155" t="str">
        <f>W226</f>
        <v/>
      </c>
      <c r="V229" s="151" t="str">
        <f>AC226</f>
        <v/>
      </c>
      <c r="W229" s="147">
        <v>2.0</v>
      </c>
      <c r="X229" s="152" t="str">
        <f>IFERROR(__xludf.DUMMYFUNCTION("if(U229="""","""",iferror(filter(Schedule!$P:$P&amp;""-""&amp;Schedule!$Q:$Q,Schedule!$L:$L=U229,(Schedule!$J:$J="""")+(Schedule!$J:$J=V229),(Schedule!$K:$K=""a"")+(Schedule!$K:$K=""""),Schedule!$P:$P&lt;&gt;""""),""""))"),"")</f>
        <v/>
      </c>
      <c r="Y229" s="152" t="str">
        <f>IFERROR(__xludf.DUMMYFUNCTION("if(U229="""","""",iferror(filter(Schedule!$Y:$Y&amp;""-""&amp;Schedule!$Z:$Z,Schedule!$L:$L=U229,(Schedule!$J:$J="""")+(Schedule!$J:$J=V229),(Schedule!$K:$K=""b"")+(Schedule!$K:$K=""""),Schedule!$Y:$Y&lt;&gt;""""),""""))"),"")</f>
        <v/>
      </c>
      <c r="Z229" s="152" t="str">
        <f>IFERROR(__xludf.DUMMYFUNCTION("if(U229="""","""",iferror(filter(Schedule!$P:$P&amp;""-""&amp;Schedule!$Q:$Q,Schedule!$L:$L=U229,(Schedule!$J:$J="""")+(Schedule!$J:$J=V229),(Schedule!$K:$K=""a"")+(Schedule!$K:$K=""""),Schedule!$P:$P&lt;&gt;""""),""""))"),"")</f>
        <v/>
      </c>
      <c r="AA229" s="152" t="str">
        <f>IFERROR(__xludf.DUMMYFUNCTION("if(U229="""","""",iferror(filter(Schedule!$M:$M&amp;""-""&amp;Schedule!$N:$N,Schedule!$L:$L=U229,(Schedule!$J:$J="""")+(Schedule!$J:$J=V229),(Schedule!$K:$K=""a"")+(Schedule!$K:$K=""""),Schedule!$M:$M&lt;&gt;""""),""""))"),"")</f>
        <v/>
      </c>
      <c r="AB229" s="152" t="str">
        <f>IFERROR(__xludf.DUMMYFUNCTION("if(U229="""","""",iferror(filter(Schedule!$AB:$AB&amp;""-""&amp;Schedule!$AC:$AC,Schedule!$L:$L=U229,(Schedule!$J:$J="""")+(Schedule!$J:$J=V229),(Schedule!$K:$K=""a"")+(Schedule!$K:$K=""""),Schedule!$AB:$AB&lt;&gt;""""),""""))"),"")</f>
        <v/>
      </c>
      <c r="AC229" s="60"/>
      <c r="AD229" s="155"/>
      <c r="AE229" s="155" t="str">
        <f>AG226</f>
        <v/>
      </c>
      <c r="AF229" s="151" t="str">
        <f>AM226</f>
        <v/>
      </c>
      <c r="AG229" s="147">
        <v>2.0</v>
      </c>
      <c r="AH229" s="152" t="str">
        <f>IFERROR(__xludf.DUMMYFUNCTION("if(AE229="""","""",iferror(filter(Schedule!$P:$P&amp;""-""&amp;Schedule!$Q:$Q,Schedule!$L:$L=AE229,(Schedule!$J:$J="""")+(Schedule!$J:$J=AF229),(Schedule!$K:$K=""a"")+(Schedule!$K:$K=""""),Schedule!$P:$P&lt;&gt;""""),""""))"),"")</f>
        <v/>
      </c>
      <c r="AI229" s="152" t="str">
        <f>IFERROR(__xludf.DUMMYFUNCTION("if(AE229="""","""",iferror(filter(Schedule!$Y:$Y&amp;""-""&amp;Schedule!$Z:$Z,Schedule!$L:$L=AE229,(Schedule!$J:$J="""")+(Schedule!$J:$J=AF229),(Schedule!$K:$K=""b"")+(Schedule!$K:$K=""""),Schedule!$Y:$Y&lt;&gt;""""),""""))"),"")</f>
        <v/>
      </c>
      <c r="AJ229" s="152" t="str">
        <f>IFERROR(__xludf.DUMMYFUNCTION("if(AE229="""","""",iferror(filter(Schedule!$P:$P&amp;""-""&amp;Schedule!$Q:$Q,Schedule!$L:$L=AE229,(Schedule!$J:$J="""")+(Schedule!$J:$J=AF229),(Schedule!$K:$K=""a"")+(Schedule!$K:$K=""""),Schedule!$P:$P&lt;&gt;""""),""""))"),"")</f>
        <v/>
      </c>
      <c r="AK229" s="152" t="str">
        <f>IFERROR(__xludf.DUMMYFUNCTION("if(AE229="""","""",iferror(filter(Schedule!$M:$M&amp;""-""&amp;Schedule!$N:$N,Schedule!$L:$L=AE229,(Schedule!$J:$J="""")+(Schedule!$J:$J=AF229),(Schedule!$K:$K=""a"")+(Schedule!$K:$K=""""),Schedule!$M:$M&lt;&gt;""""),""""))"),"")</f>
        <v/>
      </c>
      <c r="AL229" s="152" t="str">
        <f>IFERROR(__xludf.DUMMYFUNCTION("if(AE229="""","""",iferror(filter(Schedule!$AB:$AB&amp;""-""&amp;Schedule!$AC:$AC,Schedule!$L:$L=AE229,(Schedule!$J:$J="""")+(Schedule!$J:$J=AF229),(Schedule!$K:$K=""a"")+(Schedule!$K:$K=""""),Schedule!$AB:$AB&lt;&gt;""""),""""))"),"")</f>
        <v/>
      </c>
      <c r="AM229" s="60"/>
    </row>
    <row r="230">
      <c r="A230" s="151" t="str">
        <f>C226</f>
        <v>Viviana</v>
      </c>
      <c r="B230" s="151" t="str">
        <f>I226</f>
        <v>Y</v>
      </c>
      <c r="C230" s="147">
        <v>3.0</v>
      </c>
      <c r="D230" s="152" t="str">
        <f>IFERROR(__xludf.DUMMYFUNCTION("if(A230="""","""",iferror(filter(Schedule!$S:$S&amp;""-""&amp;Schedule!$T:$T,Schedule!$L:$L=A230,(Schedule!$J:$J="""")+(Schedule!$J:$J=B230),(Schedule!$K:$K=""a"")+(Schedule!$K:$K=""""),Schedule!$S:$S&lt;&gt;""""),""""))"),"")</f>
        <v/>
      </c>
      <c r="E230" s="152" t="str">
        <f>IFERROR(__xludf.DUMMYFUNCTION("if(A230="""","""",iferror(filter(Schedule!$S:$S&amp;""-""&amp;Schedule!$T:$T,Schedule!$L:$L=A230,(Schedule!$J:$J="""")+(Schedule!$J:$J=B230),(Schedule!$K:$K=""b"")+(Schedule!$K:$K=""""),Schedule!$S:$S&lt;&gt;""""),""""))"),"")</f>
        <v/>
      </c>
      <c r="F230" s="152" t="str">
        <f>IFERROR(__xludf.DUMMYFUNCTION("if(A230="""","""",iferror(filter(Schedule!$Y:$Y&amp;""-""&amp;Schedule!$Z:$Z,Schedule!$L:$L=A230,(Schedule!$J:$J="""")+(Schedule!$J:$J=B230),(Schedule!$K:$K=""a"")+(Schedule!$K:$K=""""),Schedule!$Y:$Y&lt;&gt;""""),""""))"),"English 7-4")</f>
        <v>English 7-4</v>
      </c>
      <c r="G230" s="152" t="str">
        <f>IFERROR(__xludf.DUMMYFUNCTION("if(A230="""","""",iferror(filter(Schedule!$P:$P&amp;""-""&amp;Schedule!$Q:$Q,Schedule!$L:$L=A230,(Schedule!$J:$J="""")+(Schedule!$J:$J=B230),(Schedule!$K:$K=""b"")+(Schedule!$K:$K=""""),Schedule!$P:$P&lt;&gt;""""),""""))"),"")</f>
        <v/>
      </c>
      <c r="H230" s="152" t="str">
        <f>if(C226="","","X-Block")</f>
        <v>X-Block</v>
      </c>
      <c r="I230" s="60"/>
      <c r="J230" s="154"/>
      <c r="K230" s="151" t="str">
        <f>M226</f>
        <v/>
      </c>
      <c r="L230" s="151" t="str">
        <f>S226</f>
        <v/>
      </c>
      <c r="M230" s="147">
        <v>3.0</v>
      </c>
      <c r="N230" s="152" t="str">
        <f>IFERROR(__xludf.DUMMYFUNCTION("if(K230="""","""",iferror(filter(Schedule!$S:$S&amp;""-""&amp;Schedule!$T:$T,Schedule!$L:$L=K230,(Schedule!$J:$J="""")+(Schedule!$J:$J=L230),(Schedule!$K:$K=""a"")+(Schedule!$K:$K=""""),Schedule!$S:$S&lt;&gt;""""),""""))"),"")</f>
        <v/>
      </c>
      <c r="O230" s="152" t="str">
        <f>IFERROR(__xludf.DUMMYFUNCTION("if(K230="""","""",iferror(filter(Schedule!$S:$S&amp;""-""&amp;Schedule!$T:$T,Schedule!$L:$L=K230,(Schedule!$J:$J="""")+(Schedule!$J:$J=L230),(Schedule!$K:$K=""b"")+(Schedule!$K:$K=""""),Schedule!$S:$S&lt;&gt;""""),""""))"),"")</f>
        <v/>
      </c>
      <c r="P230" s="152" t="str">
        <f>IFERROR(__xludf.DUMMYFUNCTION("if(K230="""","""",iferror(filter(Schedule!$Y:$Y&amp;""-""&amp;Schedule!$Z:$Z,Schedule!$L:$L=K230,(Schedule!$J:$J="""")+(Schedule!$J:$J=L230),(Schedule!$K:$K=""a"")+(Schedule!$K:$K=""""),Schedule!$Y:$Y&lt;&gt;""""),""""))"),"")</f>
        <v/>
      </c>
      <c r="Q230" s="152" t="str">
        <f>IFERROR(__xludf.DUMMYFUNCTION("if(K230="""","""",iferror(filter(Schedule!$P:$P&amp;""-""&amp;Schedule!$Q:$Q,Schedule!$L:$L=K230,(Schedule!$J:$J="""")+(Schedule!$J:$J=L230),(Schedule!$K:$K=""b"")+(Schedule!$K:$K=""""),Schedule!$P:$P&lt;&gt;""""),""""))"),"")</f>
        <v/>
      </c>
      <c r="R230" s="152" t="str">
        <f>if(M226="","","X-Block")</f>
        <v/>
      </c>
      <c r="S230" s="60"/>
      <c r="T230" s="155"/>
      <c r="U230" s="155" t="str">
        <f>W226</f>
        <v/>
      </c>
      <c r="V230" s="151" t="str">
        <f>AC226</f>
        <v/>
      </c>
      <c r="W230" s="147">
        <v>3.0</v>
      </c>
      <c r="X230" s="152" t="str">
        <f>IFERROR(__xludf.DUMMYFUNCTION("if(U230="""","""",iferror(filter(Schedule!$S:$S&amp;""-""&amp;Schedule!$T:$T,Schedule!$L:$L=U230,(Schedule!$J:$J="""")+(Schedule!$J:$J=V230),(Schedule!$K:$K=""a"")+(Schedule!$K:$K=""""),Schedule!$S:$S&lt;&gt;""""),""""))"),"")</f>
        <v/>
      </c>
      <c r="Y230" s="152" t="str">
        <f>IFERROR(__xludf.DUMMYFUNCTION("if(U230="""","""",iferror(filter(Schedule!$S:$S&amp;""-""&amp;Schedule!$T:$T,Schedule!$L:$L=U230,(Schedule!$J:$J="""")+(Schedule!$J:$J=V230),(Schedule!$K:$K=""b"")+(Schedule!$K:$K=""""),Schedule!$S:$S&lt;&gt;""""),""""))"),"")</f>
        <v/>
      </c>
      <c r="Z230" s="152" t="str">
        <f>IFERROR(__xludf.DUMMYFUNCTION("if(U230="""","""",iferror(filter(Schedule!$Y:$Y&amp;""-""&amp;Schedule!$Z:$Z,Schedule!$L:$L=U230,(Schedule!$J:$J="""")+(Schedule!$J:$J=V230),(Schedule!$K:$K=""a"")+(Schedule!$K:$K=""""),Schedule!$Y:$Y&lt;&gt;""""),""""))"),"")</f>
        <v/>
      </c>
      <c r="AA230" s="152" t="str">
        <f>IFERROR(__xludf.DUMMYFUNCTION("if(U230="""","""",iferror(filter(Schedule!$P:$P&amp;""-""&amp;Schedule!$Q:$Q,Schedule!$L:$L=U230,(Schedule!$J:$J="""")+(Schedule!$J:$J=V230),(Schedule!$K:$K=""b"")+(Schedule!$K:$K=""""),Schedule!$P:$P&lt;&gt;""""),""""))"),"")</f>
        <v/>
      </c>
      <c r="AB230" s="152" t="str">
        <f>if(W226="","","X-Block")</f>
        <v/>
      </c>
      <c r="AC230" s="60"/>
      <c r="AD230" s="155"/>
      <c r="AE230" s="155" t="str">
        <f>AG226</f>
        <v/>
      </c>
      <c r="AF230" s="151" t="str">
        <f>AM226</f>
        <v/>
      </c>
      <c r="AG230" s="147">
        <v>3.0</v>
      </c>
      <c r="AH230" s="152" t="str">
        <f>IFERROR(__xludf.DUMMYFUNCTION("if(AE230="""","""",iferror(filter(Schedule!$S:$S&amp;""-""&amp;Schedule!$T:$T,Schedule!$L:$L=AE230,(Schedule!$J:$J="""")+(Schedule!$J:$J=AF230),(Schedule!$K:$K=""a"")+(Schedule!$K:$K=""""),Schedule!$S:$S&lt;&gt;""""),""""))"),"")</f>
        <v/>
      </c>
      <c r="AI230" s="152" t="str">
        <f>IFERROR(__xludf.DUMMYFUNCTION("if(AE230="""","""",iferror(filter(Schedule!$S:$S&amp;""-""&amp;Schedule!$T:$T,Schedule!$L:$L=AE230,(Schedule!$J:$J="""")+(Schedule!$J:$J=AF230),(Schedule!$K:$K=""b"")+(Schedule!$K:$K=""""),Schedule!$S:$S&lt;&gt;""""),""""))"),"")</f>
        <v/>
      </c>
      <c r="AJ230" s="152" t="str">
        <f>IFERROR(__xludf.DUMMYFUNCTION("if(AE230="""","""",iferror(filter(Schedule!$Y:$Y&amp;""-""&amp;Schedule!$Z:$Z,Schedule!$L:$L=AE230,(Schedule!$J:$J="""")+(Schedule!$J:$J=AF230),(Schedule!$K:$K=""a"")+(Schedule!$K:$K=""""),Schedule!$Y:$Y&lt;&gt;""""),""""))"),"")</f>
        <v/>
      </c>
      <c r="AK230" s="152" t="str">
        <f>IFERROR(__xludf.DUMMYFUNCTION("if(AE230="""","""",iferror(filter(Schedule!$P:$P&amp;""-""&amp;Schedule!$Q:$Q,Schedule!$L:$L=AE230,(Schedule!$J:$J="""")+(Schedule!$J:$J=AF230),(Schedule!$K:$K=""b"")+(Schedule!$K:$K=""""),Schedule!$P:$P&lt;&gt;""""),""""))"),"")</f>
        <v/>
      </c>
      <c r="AL230" s="152" t="str">
        <f>if(AG226="","","X-Block")</f>
        <v/>
      </c>
      <c r="AM230" s="60"/>
    </row>
    <row r="231">
      <c r="A231" s="151" t="str">
        <f>C226</f>
        <v>Viviana</v>
      </c>
      <c r="B231" s="151" t="str">
        <f>I226</f>
        <v>Y</v>
      </c>
      <c r="C231" s="147">
        <v>4.0</v>
      </c>
      <c r="D231" s="152" t="str">
        <f>IFERROR(__xludf.DUMMYFUNCTION("if(A231="""","""",iferror(filter(Schedule!$V:$V&amp;""-""&amp;Schedule!$W:$W,Schedule!$L:$L=A231,(Schedule!$J:$J="""")+(Schedule!$J:$J=B231),(Schedule!$K:$K=""a"")+(Schedule!$K:$K=""""),Schedule!$V:$V&lt;&gt;""""),""""))"),"")</f>
        <v/>
      </c>
      <c r="E231" s="152" t="str">
        <f>IFERROR(__xludf.DUMMYFUNCTION("if(A231="""","""",iferror(filter(Schedule!$M:$M&amp;""-""&amp;Schedule!$N:$N,Schedule!$L:$L=A231,(Schedule!$J:$J="""")+(Schedule!$J:$J=B231),(Schedule!$K:$K=""b"")+(Schedule!$K:$K=""""),Schedule!$M:$M&lt;&gt;""""),""""))"),"English 6A-1")</f>
        <v>English 6A-1</v>
      </c>
      <c r="F231" s="152" t="str">
        <f>IFERROR(__xludf.DUMMYFUNCTION("if(A231="""","""",iferror(filter(Schedule!$AB:$AB&amp;""-""&amp;Schedule!$AC:$AC,Schedule!$L:$L=A231,(Schedule!$J:$J="""")+(Schedule!$J:$J=B231),(Schedule!$K:$K=""a"")+(Schedule!$K:$K=""""),Schedule!$AB:$AB&lt;&gt;""""),""""))"),"English 8-5")</f>
        <v>English 8-5</v>
      </c>
      <c r="G231" s="152" t="str">
        <f>IFERROR(__xludf.DUMMYFUNCTION("if(A231="""","""",iferror(filter(Schedule!$S:$S&amp;""-""&amp;Schedule!$T:$T,Schedule!$L:$L=A231,(Schedule!$J:$J="""")+(Schedule!$J:$J=B231),(Schedule!$K:$K=""b"")+(Schedule!$K:$K=""""),Schedule!$S:$S&lt;&gt;""""),""""))"),"")</f>
        <v/>
      </c>
      <c r="H231" s="152" t="str">
        <f>IFERROR(__xludf.DUMMYFUNCTION("if(A231="""","""",iferror(filter(Schedule!$V:$V&amp;""-""&amp;Schedule!$W:$W,Schedule!$L:$L=A231,(Schedule!$J:$J="""")+(Schedule!$J:$J=B231),(Schedule!$K:$K=""b"")+(Schedule!$K:$K=""""),Schedule!$V:$V&lt;&gt;""""),""""))"),"")</f>
        <v/>
      </c>
      <c r="I231" s="60"/>
      <c r="J231" s="154"/>
      <c r="K231" s="151" t="str">
        <f>M226</f>
        <v/>
      </c>
      <c r="L231" s="151" t="str">
        <f>S226</f>
        <v/>
      </c>
      <c r="M231" s="147">
        <v>4.0</v>
      </c>
      <c r="N231" s="152" t="str">
        <f>IFERROR(__xludf.DUMMYFUNCTION("if(K231="""","""",iferror(filter(Schedule!$V:$V&amp;""-""&amp;Schedule!$W:$W,Schedule!$L:$L=K231,(Schedule!$J:$J="""")+(Schedule!$J:$J=L231),(Schedule!$K:$K=""a"")+(Schedule!$K:$K=""""),Schedule!$V:$V&lt;&gt;""""),""""))"),"")</f>
        <v/>
      </c>
      <c r="O231" s="152" t="str">
        <f>IFERROR(__xludf.DUMMYFUNCTION("if(K231="""","""",iferror(filter(Schedule!$M:$M&amp;""-""&amp;Schedule!$N:$N,Schedule!$L:$L=K231,(Schedule!$J:$J="""")+(Schedule!$J:$J=L231),(Schedule!$K:$K=""b"")+(Schedule!$K:$K=""""),Schedule!$M:$M&lt;&gt;""""),""""))"),"")</f>
        <v/>
      </c>
      <c r="P231" s="152" t="str">
        <f>IFERROR(__xludf.DUMMYFUNCTION("if(K231="""","""",iferror(filter(Schedule!$AB:$AB&amp;""-""&amp;Schedule!$AC:$AC,Schedule!$L:$L=K231,(Schedule!$J:$J="""")+(Schedule!$J:$J=L231),(Schedule!$K:$K=""a"")+(Schedule!$K:$K=""""),Schedule!$AB:$AB&lt;&gt;""""),""""))"),"")</f>
        <v/>
      </c>
      <c r="Q231" s="152" t="str">
        <f>IFERROR(__xludf.DUMMYFUNCTION("if(K231="""","""",iferror(filter(Schedule!$S:$S&amp;""-""&amp;Schedule!$T:$T,Schedule!$L:$L=K231,(Schedule!$J:$J="""")+(Schedule!$J:$J=L231),(Schedule!$K:$K=""b"")+(Schedule!$K:$K=""""),Schedule!$S:$S&lt;&gt;""""),""""))"),"")</f>
        <v/>
      </c>
      <c r="R231" s="152" t="str">
        <f>IFERROR(__xludf.DUMMYFUNCTION("if(K231="""","""",iferror(filter(Schedule!$V:$V&amp;""-""&amp;Schedule!$W:$W,Schedule!$L:$L=K231,(Schedule!$J:$J="""")+(Schedule!$J:$J=L231),(Schedule!$K:$K=""b"")+(Schedule!$K:$K=""""),Schedule!$V:$V&lt;&gt;""""),""""))"),"")</f>
        <v/>
      </c>
      <c r="S231" s="60"/>
      <c r="T231" s="155"/>
      <c r="U231" s="155" t="str">
        <f>W226</f>
        <v/>
      </c>
      <c r="V231" s="151" t="str">
        <f>AC226</f>
        <v/>
      </c>
      <c r="W231" s="147">
        <v>4.0</v>
      </c>
      <c r="X231" s="152" t="str">
        <f>IFERROR(__xludf.DUMMYFUNCTION("if(U231="""","""",iferror(filter(Schedule!$V:$V&amp;""-""&amp;Schedule!$W:$W,Schedule!$L:$L=U231,(Schedule!$J:$J="""")+(Schedule!$J:$J=V231),(Schedule!$K:$K=""a"")+(Schedule!$K:$K=""""),Schedule!$V:$V&lt;&gt;""""),""""))"),"")</f>
        <v/>
      </c>
      <c r="Y231" s="152" t="str">
        <f>IFERROR(__xludf.DUMMYFUNCTION("if(U231="""","""",iferror(filter(Schedule!$M:$M&amp;""-""&amp;Schedule!$N:$N,Schedule!$L:$L=U231,(Schedule!$J:$J="""")+(Schedule!$J:$J=V231),(Schedule!$K:$K=""b"")+(Schedule!$K:$K=""""),Schedule!$M:$M&lt;&gt;""""),""""))"),"")</f>
        <v/>
      </c>
      <c r="Z231" s="152" t="str">
        <f>IFERROR(__xludf.DUMMYFUNCTION("if(U231="""","""",iferror(filter(Schedule!$AB:$AB&amp;""-""&amp;Schedule!$AC:$AC,Schedule!$L:$L=U231,(Schedule!$J:$J="""")+(Schedule!$J:$J=V231),(Schedule!$K:$K=""a"")+(Schedule!$K:$K=""""),Schedule!$AB:$AB&lt;&gt;""""),""""))"),"")</f>
        <v/>
      </c>
      <c r="AA231" s="152" t="str">
        <f>IFERROR(__xludf.DUMMYFUNCTION("if(U231="""","""",iferror(filter(Schedule!$S:$S&amp;""-""&amp;Schedule!$T:$T,Schedule!$L:$L=U231,(Schedule!$J:$J="""")+(Schedule!$J:$J=V231),(Schedule!$K:$K=""b"")+(Schedule!$K:$K=""""),Schedule!$S:$S&lt;&gt;""""),""""))"),"")</f>
        <v/>
      </c>
      <c r="AB231" s="152" t="str">
        <f>IFERROR(__xludf.DUMMYFUNCTION("if(U231="""","""",iferror(filter(Schedule!$V:$V&amp;""-""&amp;Schedule!$W:$W,Schedule!$L:$L=U231,(Schedule!$J:$J="""")+(Schedule!$J:$J=V231),(Schedule!$K:$K=""b"")+(Schedule!$K:$K=""""),Schedule!$V:$V&lt;&gt;""""),""""))"),"")</f>
        <v/>
      </c>
      <c r="AC231" s="60"/>
      <c r="AD231" s="155"/>
      <c r="AE231" s="155" t="str">
        <f>AG226</f>
        <v/>
      </c>
      <c r="AF231" s="151" t="str">
        <f>AM226</f>
        <v/>
      </c>
      <c r="AG231" s="147">
        <v>4.0</v>
      </c>
      <c r="AH231" s="152" t="str">
        <f>IFERROR(__xludf.DUMMYFUNCTION("if(AE231="""","""",iferror(filter(Schedule!$V:$V&amp;""-""&amp;Schedule!$W:$W,Schedule!$L:$L=AE231,(Schedule!$J:$J="""")+(Schedule!$J:$J=AF231),(Schedule!$K:$K=""a"")+(Schedule!$K:$K=""""),Schedule!$V:$V&lt;&gt;""""),""""))"),"")</f>
        <v/>
      </c>
      <c r="AI231" s="152" t="str">
        <f>IFERROR(__xludf.DUMMYFUNCTION("if(AE231="""","""",iferror(filter(Schedule!$M:$M&amp;""-""&amp;Schedule!$N:$N,Schedule!$L:$L=AE231,(Schedule!$J:$J="""")+(Schedule!$J:$J=AF231),(Schedule!$K:$K=""b"")+(Schedule!$K:$K=""""),Schedule!$M:$M&lt;&gt;""""),""""))"),"")</f>
        <v/>
      </c>
      <c r="AJ231" s="152" t="str">
        <f>IFERROR(__xludf.DUMMYFUNCTION("if(AE231="""","""",iferror(filter(Schedule!$AB:$AB&amp;""-""&amp;Schedule!$AC:$AC,Schedule!$L:$L=AE231,(Schedule!$J:$J="""")+(Schedule!$J:$J=AF231),(Schedule!$K:$K=""a"")+(Schedule!$K:$K=""""),Schedule!$AB:$AB&lt;&gt;""""),""""))"),"")</f>
        <v/>
      </c>
      <c r="AK231" s="152" t="str">
        <f>IFERROR(__xludf.DUMMYFUNCTION("if(AE231="""","""",iferror(filter(Schedule!$S:$S&amp;""-""&amp;Schedule!$T:$T,Schedule!$L:$L=AE231,(Schedule!$J:$J="""")+(Schedule!$J:$J=AF231),(Schedule!$K:$K=""b"")+(Schedule!$K:$K=""""),Schedule!$S:$S&lt;&gt;""""),""""))"),"")</f>
        <v/>
      </c>
      <c r="AL231" s="152" t="str">
        <f>IFERROR(__xludf.DUMMYFUNCTION("if(AE231="""","""",iferror(filter(Schedule!$V:$V&amp;""-""&amp;Schedule!$W:$W,Schedule!$L:$L=AE231,(Schedule!$J:$J="""")+(Schedule!$J:$J=AF231),(Schedule!$K:$K=""b"")+(Schedule!$K:$K=""""),Schedule!$V:$V&lt;&gt;""""),""""))"),"")</f>
        <v/>
      </c>
      <c r="AM231" s="60"/>
    </row>
    <row r="232">
      <c r="A232" s="151" t="str">
        <f>C226</f>
        <v>Viviana</v>
      </c>
      <c r="B232" s="151" t="str">
        <f>I226</f>
        <v>Y</v>
      </c>
      <c r="C232" s="147">
        <v>5.0</v>
      </c>
      <c r="D232" s="152" t="str">
        <f>IFERROR(__xludf.DUMMYFUNCTION("if(A232="""","""",iferror(filter(Schedule!$Y:$Y&amp;""-""&amp;Schedule!$Z:$Z,Schedule!$L:$L=A232,(Schedule!$J:$J="""")+(Schedule!$J:$J=B232),(Schedule!$K:$K=""a"")+(Schedule!$K:$K=""""),Schedule!$Y:$Y&lt;&gt;""""),""""))"),"English 7-4")</f>
        <v>English 7-4</v>
      </c>
      <c r="E232" s="152" t="str">
        <f>IFERROR(__xludf.DUMMYFUNCTION("if(A232="""","""",iferror(filter(Schedule!$P:$P&amp;""-""&amp;Schedule!$Q:$Q,Schedule!$L:$L=A232,(Schedule!$J:$J="""")+(Schedule!$J:$J=B232),(Schedule!$K:$K=""b"")+(Schedule!$K:$K=""""),Schedule!$P:$P&lt;&gt;""""),""""))"),"")</f>
        <v/>
      </c>
      <c r="F232" s="152" t="str">
        <f>IFERROR(__xludf.DUMMYFUNCTION("if(A232="""","""",iferror(filter(Schedule!$V:$V&amp;""-""&amp;Schedule!$W:$W,Schedule!$L:$L=A232,(Schedule!$J:$J="""")+(Schedule!$J:$J=B232),(Schedule!$K:$K=""b"")+(Schedule!$K:$K=""""),Schedule!$V:$V&lt;&gt;""""),""""))"),"")</f>
        <v/>
      </c>
      <c r="G232" s="152" t="str">
        <f>IFERROR(__xludf.DUMMYFUNCTION("if(A232="""","""",iferror(filter(Schedule!$AB:$AB&amp;""-""&amp;Schedule!$AC:$AC,Schedule!$L:$L=A232,(Schedule!$J:$J="""")+(Schedule!$J:$J=B232),(Schedule!$K:$K=""b"")+(Schedule!$K:$K=""""),Schedule!$AB:$AB&lt;&gt;""""),""""))"),"English 8-5")</f>
        <v>English 8-5</v>
      </c>
      <c r="H232" s="152" t="str">
        <f>IFERROR(__xludf.DUMMYFUNCTION("if(A232="""","""",iferror(filter(Schedule!$M:$M&amp;""-""&amp;Schedule!$N:$N,Schedule!$L:$L=A232,(Schedule!$J:$J="""")+(Schedule!$J:$J=B232),(Schedule!$K:$K=""b"")+(Schedule!$K:$K=""""),Schedule!$M:$M&lt;&gt;""""),""""))"),"English 6A-1")</f>
        <v>English 6A-1</v>
      </c>
      <c r="I232" s="64"/>
      <c r="J232" s="154"/>
      <c r="K232" s="151" t="str">
        <f>M226</f>
        <v/>
      </c>
      <c r="L232" s="151" t="str">
        <f>S226</f>
        <v/>
      </c>
      <c r="M232" s="147">
        <v>5.0</v>
      </c>
      <c r="N232" s="152" t="str">
        <f>IFERROR(__xludf.DUMMYFUNCTION("if(K232="""","""",iferror(filter(Schedule!$Y:$Y&amp;""-""&amp;Schedule!$Z:$Z,Schedule!$L:$L=K232,(Schedule!$J:$J="""")+(Schedule!$J:$J=L232),(Schedule!$K:$K=""a"")+(Schedule!$K:$K=""""),Schedule!$Y:$Y&lt;&gt;""""),""""))"),"")</f>
        <v/>
      </c>
      <c r="O232" s="152" t="str">
        <f>IFERROR(__xludf.DUMMYFUNCTION("if(K232="""","""",iferror(filter(Schedule!$P:$P&amp;""-""&amp;Schedule!$Q:$Q,Schedule!$L:$L=K232,(Schedule!$J:$J="""")+(Schedule!$J:$J=L232),(Schedule!$K:$K=""b"")+(Schedule!$K:$K=""""),Schedule!$P:$P&lt;&gt;""""),""""))"),"")</f>
        <v/>
      </c>
      <c r="P232" s="152" t="str">
        <f>IFERROR(__xludf.DUMMYFUNCTION("if(K232="""","""",iferror(filter(Schedule!$V:$V&amp;""-""&amp;Schedule!$W:$W,Schedule!$L:$L=K232,(Schedule!$J:$J="""")+(Schedule!$J:$J=L232),(Schedule!$K:$K=""b"")+(Schedule!$K:$K=""""),Schedule!$V:$V&lt;&gt;""""),""""))"),"")</f>
        <v/>
      </c>
      <c r="Q232" s="152" t="str">
        <f>IFERROR(__xludf.DUMMYFUNCTION("if(K232="""","""",iferror(filter(Schedule!$AB:$AB&amp;""-""&amp;Schedule!$AC:$AC,Schedule!$L:$L=K232,(Schedule!$J:$J="""")+(Schedule!$J:$J=L232),(Schedule!$K:$K=""b"")+(Schedule!$K:$K=""""),Schedule!$AB:$AB&lt;&gt;""""),""""))"),"")</f>
        <v/>
      </c>
      <c r="R232" s="152" t="str">
        <f>IFERROR(__xludf.DUMMYFUNCTION("if(K232="""","""",iferror(filter(Schedule!$M:$M&amp;""-""&amp;Schedule!$N:$N,Schedule!$L:$L=K232,(Schedule!$J:$J="""")+(Schedule!$J:$J=L232),(Schedule!$K:$K=""b"")+(Schedule!$K:$K=""""),Schedule!$M:$M&lt;&gt;""""),""""))"),"")</f>
        <v/>
      </c>
      <c r="S232" s="64"/>
      <c r="T232" s="155"/>
      <c r="U232" s="155" t="str">
        <f>W226</f>
        <v/>
      </c>
      <c r="V232" s="151" t="str">
        <f>AC226</f>
        <v/>
      </c>
      <c r="W232" s="147">
        <v>5.0</v>
      </c>
      <c r="X232" s="152" t="str">
        <f>IFERROR(__xludf.DUMMYFUNCTION("if(U232="""","""",iferror(filter(Schedule!$Y:$Y&amp;""-""&amp;Schedule!$Z:$Z,Schedule!$L:$L=U232,(Schedule!$J:$J="""")+(Schedule!$J:$J=V232),(Schedule!$K:$K=""a"")+(Schedule!$K:$K=""""),Schedule!$Y:$Y&lt;&gt;""""),""""))"),"")</f>
        <v/>
      </c>
      <c r="Y232" s="152" t="str">
        <f>IFERROR(__xludf.DUMMYFUNCTION("if(U232="""","""",iferror(filter(Schedule!$P:$P&amp;""-""&amp;Schedule!$Q:$Q,Schedule!$L:$L=U232,(Schedule!$J:$J="""")+(Schedule!$J:$J=V232),(Schedule!$K:$K=""b"")+(Schedule!$K:$K=""""),Schedule!$P:$P&lt;&gt;""""),""""))"),"")</f>
        <v/>
      </c>
      <c r="Z232" s="152" t="str">
        <f>IFERROR(__xludf.DUMMYFUNCTION("if(U232="""","""",iferror(filter(Schedule!$V:$V&amp;""-""&amp;Schedule!$W:$W,Schedule!$L:$L=U232,(Schedule!$J:$J="""")+(Schedule!$J:$J=V232),(Schedule!$K:$K=""b"")+(Schedule!$K:$K=""""),Schedule!$V:$V&lt;&gt;""""),""""))"),"")</f>
        <v/>
      </c>
      <c r="AA232" s="152" t="str">
        <f>IFERROR(__xludf.DUMMYFUNCTION("if(U232="""","""",iferror(filter(Schedule!$AB:$AB&amp;""-""&amp;Schedule!$AC:$AC,Schedule!$L:$L=U232,(Schedule!$J:$J="""")+(Schedule!$J:$J=V232),(Schedule!$K:$K=""b"")+(Schedule!$K:$K=""""),Schedule!$AB:$AB&lt;&gt;""""),""""))"),"")</f>
        <v/>
      </c>
      <c r="AB232" s="152" t="str">
        <f>IFERROR(__xludf.DUMMYFUNCTION("if(U232="""","""",iferror(filter(Schedule!$M:$M&amp;""-""&amp;Schedule!$N:$N,Schedule!$L:$L=U232,(Schedule!$J:$J="""")+(Schedule!$J:$J=V232),(Schedule!$K:$K=""b"")+(Schedule!$K:$K=""""),Schedule!$M:$M&lt;&gt;""""),""""))"),"")</f>
        <v/>
      </c>
      <c r="AC232" s="64"/>
      <c r="AD232" s="155"/>
      <c r="AE232" s="155" t="str">
        <f>AG226</f>
        <v/>
      </c>
      <c r="AF232" s="151" t="str">
        <f>AM226</f>
        <v/>
      </c>
      <c r="AG232" s="147">
        <v>5.0</v>
      </c>
      <c r="AH232" s="152" t="str">
        <f>IFERROR(__xludf.DUMMYFUNCTION("if(AE232="""","""",iferror(filter(Schedule!$Y:$Y&amp;""-""&amp;Schedule!$Z:$Z,Schedule!$L:$L=AE232,(Schedule!$J:$J="""")+(Schedule!$J:$J=AF232),(Schedule!$K:$K=""a"")+(Schedule!$K:$K=""""),Schedule!$Y:$Y&lt;&gt;""""),""""))"),"")</f>
        <v/>
      </c>
      <c r="AI232" s="152" t="str">
        <f>IFERROR(__xludf.DUMMYFUNCTION("if(AE232="""","""",iferror(filter(Schedule!$P:$P&amp;""-""&amp;Schedule!$Q:$Q,Schedule!$L:$L=AE232,(Schedule!$J:$J="""")+(Schedule!$J:$J=AF232),(Schedule!$K:$K=""b"")+(Schedule!$K:$K=""""),Schedule!$P:$P&lt;&gt;""""),""""))"),"")</f>
        <v/>
      </c>
      <c r="AJ232" s="152" t="str">
        <f>IFERROR(__xludf.DUMMYFUNCTION("if(AE232="""","""",iferror(filter(Schedule!$V:$V&amp;""-""&amp;Schedule!$W:$W,Schedule!$L:$L=AE232,(Schedule!$J:$J="""")+(Schedule!$J:$J=AF232),(Schedule!$K:$K=""b"")+(Schedule!$K:$K=""""),Schedule!$V:$V&lt;&gt;""""),""""))"),"")</f>
        <v/>
      </c>
      <c r="AK232" s="152" t="str">
        <f>IFERROR(__xludf.DUMMYFUNCTION("if(AE232="""","""",iferror(filter(Schedule!$AB:$AB&amp;""-""&amp;Schedule!$AC:$AC,Schedule!$L:$L=AE232,(Schedule!$J:$J="""")+(Schedule!$J:$J=AF232),(Schedule!$K:$K=""b"")+(Schedule!$K:$K=""""),Schedule!$AB:$AB&lt;&gt;""""),""""))"),"")</f>
        <v/>
      </c>
      <c r="AL232" s="152" t="str">
        <f>IFERROR(__xludf.DUMMYFUNCTION("if(AE232="""","""",iferror(filter(Schedule!$M:$M&amp;""-""&amp;Schedule!$N:$N,Schedule!$L:$L=AE232,(Schedule!$J:$J="""")+(Schedule!$J:$J=AF232),(Schedule!$K:$K=""b"")+(Schedule!$K:$K=""""),Schedule!$M:$M&lt;&gt;""""),""""))"),"")</f>
        <v/>
      </c>
      <c r="AM232" s="64"/>
    </row>
    <row r="233">
      <c r="A233" s="11"/>
      <c r="B233" s="11"/>
      <c r="C233" s="156"/>
      <c r="D233" s="156"/>
      <c r="E233" s="156"/>
      <c r="F233" s="156"/>
      <c r="G233" s="156"/>
      <c r="H233" s="156"/>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c r="A234" s="5"/>
      <c r="B234" s="5"/>
      <c r="C234" s="140" t="str">
        <f>Teachers!A30</f>
        <v>William Duque</v>
      </c>
      <c r="D234" s="141"/>
      <c r="E234" s="141"/>
      <c r="F234" s="141"/>
      <c r="G234" s="141"/>
      <c r="H234" s="142"/>
      <c r="I234" s="143" t="str">
        <f>IFERROR(__xludf.DUMMYFUNCTION("if(C234="""","""", iferror(unique(filter(Schedule!$J:$J,Schedule!$L:$L=$C234,Schedule!$J:$J=""Q1"")),iferror(unique(filter(Schedule!$J:$J,Schedule!$L:$L=$C234,Schedule!$J:$J=""S1"")),""Y"")))"),"Y")</f>
        <v>Y</v>
      </c>
      <c r="J234" s="11"/>
      <c r="K234" s="11"/>
      <c r="L234" s="11"/>
      <c r="M234" s="140" t="str">
        <f>if(S234="","",C234)</f>
        <v/>
      </c>
      <c r="N234" s="141"/>
      <c r="O234" s="141"/>
      <c r="P234" s="141"/>
      <c r="Q234" s="141"/>
      <c r="R234" s="142"/>
      <c r="S234" s="143" t="str">
        <f>if($I234="Q1","Q2",if($I234="S1","S2",""))</f>
        <v/>
      </c>
      <c r="T234" s="144"/>
      <c r="U234" s="144"/>
      <c r="V234" s="145"/>
      <c r="W234" s="140" t="str">
        <f>if(AC234="","",M234)</f>
        <v/>
      </c>
      <c r="X234" s="141"/>
      <c r="Y234" s="141"/>
      <c r="Z234" s="141"/>
      <c r="AA234" s="141"/>
      <c r="AB234" s="142"/>
      <c r="AC234" s="143" t="str">
        <f>if($I234="Q1","Q3","")</f>
        <v/>
      </c>
      <c r="AD234" s="144"/>
      <c r="AE234" s="144"/>
      <c r="AF234" s="145"/>
      <c r="AG234" s="140" t="str">
        <f>if(AC234="","",W234)</f>
        <v/>
      </c>
      <c r="AH234" s="141"/>
      <c r="AI234" s="141"/>
      <c r="AJ234" s="141"/>
      <c r="AK234" s="141"/>
      <c r="AL234" s="142"/>
      <c r="AM234" s="143" t="str">
        <f>if($I234="Q1","Q4","")</f>
        <v/>
      </c>
    </row>
    <row r="235">
      <c r="A235" s="146"/>
      <c r="B235" s="146"/>
      <c r="C235" s="147" t="s">
        <v>94</v>
      </c>
      <c r="D235" s="148" t="s">
        <v>95</v>
      </c>
      <c r="E235" s="148" t="s">
        <v>96</v>
      </c>
      <c r="F235" s="148" t="s">
        <v>97</v>
      </c>
      <c r="G235" s="148" t="s">
        <v>98</v>
      </c>
      <c r="H235" s="148" t="s">
        <v>99</v>
      </c>
      <c r="I235" s="148" t="s">
        <v>651</v>
      </c>
      <c r="J235" s="146"/>
      <c r="K235" s="146"/>
      <c r="L235" s="146"/>
      <c r="M235" s="147" t="s">
        <v>94</v>
      </c>
      <c r="N235" s="148" t="s">
        <v>95</v>
      </c>
      <c r="O235" s="148" t="s">
        <v>96</v>
      </c>
      <c r="P235" s="148" t="s">
        <v>97</v>
      </c>
      <c r="Q235" s="148" t="s">
        <v>98</v>
      </c>
      <c r="R235" s="148" t="s">
        <v>99</v>
      </c>
      <c r="S235" s="148" t="s">
        <v>651</v>
      </c>
      <c r="T235" s="149"/>
      <c r="U235" s="149"/>
      <c r="V235" s="150"/>
      <c r="W235" s="147" t="s">
        <v>94</v>
      </c>
      <c r="X235" s="148" t="s">
        <v>95</v>
      </c>
      <c r="Y235" s="148" t="s">
        <v>96</v>
      </c>
      <c r="Z235" s="148" t="s">
        <v>97</v>
      </c>
      <c r="AA235" s="148" t="s">
        <v>98</v>
      </c>
      <c r="AB235" s="148" t="s">
        <v>99</v>
      </c>
      <c r="AC235" s="148" t="s">
        <v>651</v>
      </c>
      <c r="AD235" s="149"/>
      <c r="AE235" s="149"/>
      <c r="AF235" s="150"/>
      <c r="AG235" s="147" t="s">
        <v>94</v>
      </c>
      <c r="AH235" s="148" t="s">
        <v>95</v>
      </c>
      <c r="AI235" s="148" t="s">
        <v>96</v>
      </c>
      <c r="AJ235" s="148" t="s">
        <v>97</v>
      </c>
      <c r="AK235" s="148" t="s">
        <v>98</v>
      </c>
      <c r="AL235" s="148" t="s">
        <v>99</v>
      </c>
      <c r="AM235" s="148" t="s">
        <v>651</v>
      </c>
    </row>
    <row r="236">
      <c r="A236" s="151" t="str">
        <f>C234</f>
        <v>William Duque</v>
      </c>
      <c r="B236" s="151" t="str">
        <f>I234</f>
        <v>Y</v>
      </c>
      <c r="C236" s="147">
        <v>1.0</v>
      </c>
      <c r="D236" s="152" t="str">
        <f>IFERROR(__xludf.DUMMYFUNCTION("if(A236="""","""",iferror(filter(Schedule!$M:$M&amp;""-""&amp;Schedule!$N:$N,Schedule!$L:$L=A236,(Schedule!$J:$J="""")+(Schedule!$J:$J=B236),(Schedule!$K:$K=""a"")+(Schedule!$K:$K=""""),Schedule!$M:$M&lt;&gt;""""),""""))"),"Sociales 7-2")</f>
        <v>Sociales 7-2</v>
      </c>
      <c r="E236" s="152" t="str">
        <f>IFERROR(__xludf.DUMMYFUNCTION("if(A236="""","""",iferror(filter(Schedule!$AB:$AB&amp;""-""&amp;Schedule!$AC:$AC,Schedule!$L:$L=A236,(Schedule!$J:$J="""")+(Schedule!$J:$J=B236),(Schedule!$K:$K=""b"")+(Schedule!$K:$K=""""),Schedule!$AB:$AB&lt;&gt;""""),""""))"),"")</f>
        <v/>
      </c>
      <c r="F236" s="152" t="str">
        <f>IFERROR(__xludf.DUMMYFUNCTION("if(A236="""","""",iferror(filter(Schedule!$S:$S&amp;""-""&amp;Schedule!$T:$T,Schedule!$L:$L=A236,(Schedule!$J:$J="""")+(Schedule!$J:$J=B236),(Schedule!$K:$K=""a"")+(Schedule!$K:$K=""""),Schedule!$S:$S&lt;&gt;""""),""""))"),"Sociales 7-4")</f>
        <v>Sociales 7-4</v>
      </c>
      <c r="G236" s="152" t="str">
        <f>IFERROR(__xludf.DUMMYFUNCTION("if(A236="""","""",iferror(filter(Schedule!$V:$V&amp;""-""&amp;Schedule!$W:$W,Schedule!$L:$L=A236,(Schedule!$J:$J="""")+(Schedule!$J:$J=B236),(Schedule!$K:$K=""a"")+(Schedule!$K:$K=""""),Schedule!$V:$V&lt;&gt;""""),""""))"),"")</f>
        <v/>
      </c>
      <c r="H236" s="152" t="str">
        <f>IFERROR(__xludf.DUMMYFUNCTION("if(A236="""","""",iferror(filter(Schedule!$Y:$Y&amp;""-""&amp;Schedule!$Z:$Z,Schedule!$L:$L=A236,(Schedule!$J:$J="""")+(Schedule!$J:$J=B236),(Schedule!$K:$K=""b"")+(Schedule!$K:$K=""""),Schedule!$Y:$Y&lt;&gt;""""),""""))"),"Sociales 7-6")</f>
        <v>Sociales 7-6</v>
      </c>
      <c r="I236" s="153">
        <f>if(C234="","", 24-countifs(D236:H240,""))</f>
        <v>16</v>
      </c>
      <c r="J236" s="154"/>
      <c r="K236" s="151" t="str">
        <f>M234</f>
        <v/>
      </c>
      <c r="L236" s="151" t="str">
        <f>S234</f>
        <v/>
      </c>
      <c r="M236" s="147">
        <v>1.0</v>
      </c>
      <c r="N236" s="152" t="str">
        <f>IFERROR(__xludf.DUMMYFUNCTION("if(K236="""","""",iferror(filter(Schedule!$M:$M&amp;""-""&amp;Schedule!$N:$N,Schedule!$L:$L=K236,(Schedule!$J:$J="""")+(Schedule!$J:$J=L236),(Schedule!$K:$K=""a"")+(Schedule!$K:$K=""""),Schedule!$M:$M&lt;&gt;""""),""""))"),"")</f>
        <v/>
      </c>
      <c r="O236" s="152" t="str">
        <f>IFERROR(__xludf.DUMMYFUNCTION("if(K236="""","""",iferror(filter(Schedule!$AB:$AB&amp;""-""&amp;Schedule!$AC:$AC,Schedule!$L:$L=K236,(Schedule!$J:$J="""")+(Schedule!$J:$J=L236),(Schedule!$K:$K=""b"")+(Schedule!$K:$K=""""),Schedule!$AB:$AB&lt;&gt;""""),""""))"),"")</f>
        <v/>
      </c>
      <c r="P236" s="152" t="str">
        <f>IFERROR(__xludf.DUMMYFUNCTION("if(K236="""","""",iferror(filter(Schedule!$S:$S&amp;""-""&amp;Schedule!$T:$T,Schedule!$L:$L=K236,(Schedule!$J:$J="""")+(Schedule!$J:$J=L236),(Schedule!$K:$K=""a"")+(Schedule!$K:$K=""""),Schedule!$S:$S&lt;&gt;""""),""""))"),"")</f>
        <v/>
      </c>
      <c r="Q236" s="152" t="str">
        <f>IFERROR(__xludf.DUMMYFUNCTION("if(K236="""","""",iferror(filter(Schedule!$V:$V&amp;""-""&amp;Schedule!$W:$W,Schedule!$L:$L=K236,(Schedule!$J:$J="""")+(Schedule!$J:$J=L236),(Schedule!$K:$K=""a"")+(Schedule!$K:$K=""""),Schedule!$V:$V&lt;&gt;""""),""""))"),"")</f>
        <v/>
      </c>
      <c r="R236" s="152" t="str">
        <f>IFERROR(__xludf.DUMMYFUNCTION("if(K236="""","""",iferror(filter(Schedule!$Y:$Y&amp;""-""&amp;Schedule!$Z:$Z,Schedule!$L:$L=K236,(Schedule!$J:$J="""")+(Schedule!$J:$J=L236),(Schedule!$K:$K=""b"")+(Schedule!$K:$K=""""),Schedule!$Y:$Y&lt;&gt;""""),""""))"),"")</f>
        <v/>
      </c>
      <c r="S236" s="153" t="str">
        <f>if(K236="","", 24-countifs(N236:R240,""))</f>
        <v/>
      </c>
      <c r="T236" s="155"/>
      <c r="U236" s="155" t="str">
        <f>W234</f>
        <v/>
      </c>
      <c r="V236" s="151" t="str">
        <f>AC234</f>
        <v/>
      </c>
      <c r="W236" s="147">
        <v>1.0</v>
      </c>
      <c r="X236" s="152" t="str">
        <f>IFERROR(__xludf.DUMMYFUNCTION("if(U236="""","""",iferror(filter(Schedule!$M:$M&amp;""-""&amp;Schedule!$N:$N,Schedule!$L:$L=U236,(Schedule!$J:$J="""")+(Schedule!$J:$J=V236),(Schedule!$K:$K=""a"")+(Schedule!$K:$K=""""),Schedule!$M:$M&lt;&gt;""""),""""))"),"")</f>
        <v/>
      </c>
      <c r="Y236" s="152" t="str">
        <f>IFERROR(__xludf.DUMMYFUNCTION("if(U236="""","""",iferror(filter(Schedule!$AB:$AB&amp;""-""&amp;Schedule!$AC:$AC,Schedule!$L:$L=U236,(Schedule!$J:$J="""")+(Schedule!$J:$J=V236),(Schedule!$K:$K=""b"")+(Schedule!$K:$K=""""),Schedule!$AB:$AB&lt;&gt;""""),""""))"),"")</f>
        <v/>
      </c>
      <c r="Z236" s="152" t="str">
        <f>IFERROR(__xludf.DUMMYFUNCTION("if(U236="""","""",iferror(filter(Schedule!$S:$S&amp;""-""&amp;Schedule!$T:$T,Schedule!$L:$L=U236,(Schedule!$J:$J="""")+(Schedule!$J:$J=V236),(Schedule!$K:$K=""a"")+(Schedule!$K:$K=""""),Schedule!$S:$S&lt;&gt;""""),""""))"),"")</f>
        <v/>
      </c>
      <c r="AA236" s="152" t="str">
        <f>IFERROR(__xludf.DUMMYFUNCTION("if(U236="""","""",iferror(filter(Schedule!$V:$V&amp;""-""&amp;Schedule!$W:$W,Schedule!$L:$L=U236,(Schedule!$J:$J="""")+(Schedule!$J:$J=V236),(Schedule!$K:$K=""a"")+(Schedule!$K:$K=""""),Schedule!$V:$V&lt;&gt;""""),""""))"),"")</f>
        <v/>
      </c>
      <c r="AB236" s="152" t="str">
        <f>IFERROR(__xludf.DUMMYFUNCTION("if(U236="""","""",iferror(filter(Schedule!$Y:$Y&amp;""-""&amp;Schedule!$Z:$Z,Schedule!$L:$L=U236,(Schedule!$J:$J="""")+(Schedule!$J:$J=V236),(Schedule!$K:$K=""b"")+(Schedule!$K:$K=""""),Schedule!$Y:$Y&lt;&gt;""""),""""))"),"")</f>
        <v/>
      </c>
      <c r="AC236" s="153" t="str">
        <f>if(U236="","", 24-countifs(X236:AB240,""))</f>
        <v/>
      </c>
      <c r="AD236" s="155"/>
      <c r="AE236" s="155" t="str">
        <f>AG234</f>
        <v/>
      </c>
      <c r="AF236" s="151" t="str">
        <f>AM234</f>
        <v/>
      </c>
      <c r="AG236" s="147">
        <v>1.0</v>
      </c>
      <c r="AH236" s="152" t="str">
        <f>IFERROR(__xludf.DUMMYFUNCTION("if(AE236="""","""",iferror(filter(Schedule!$M:$M&amp;""-""&amp;Schedule!$N:$N,Schedule!$L:$L=AE236,(Schedule!$J:$J="""")+(Schedule!$J:$J=AF236),(Schedule!$K:$K=""a"")+(Schedule!$K:$K=""""),Schedule!$M:$M&lt;&gt;""""),""""))"),"")</f>
        <v/>
      </c>
      <c r="AI236" s="152" t="str">
        <f>IFERROR(__xludf.DUMMYFUNCTION("if(AE236="""","""",iferror(filter(Schedule!$AB:$AB&amp;""-""&amp;Schedule!$AC:$AC,Schedule!$L:$L=AE236,(Schedule!$J:$J="""")+(Schedule!$J:$J=AF236),(Schedule!$K:$K=""b"")+(Schedule!$K:$K=""""),Schedule!$AB:$AB&lt;&gt;""""),""""))"),"")</f>
        <v/>
      </c>
      <c r="AJ236" s="152" t="str">
        <f>IFERROR(__xludf.DUMMYFUNCTION("if(AE236="""","""",iferror(filter(Schedule!$S:$S&amp;""-""&amp;Schedule!$T:$T,Schedule!$L:$L=AE236,(Schedule!$J:$J="""")+(Schedule!$J:$J=AF236),(Schedule!$K:$K=""a"")+(Schedule!$K:$K=""""),Schedule!$S:$S&lt;&gt;""""),""""))"),"")</f>
        <v/>
      </c>
      <c r="AK236" s="152" t="str">
        <f>IFERROR(__xludf.DUMMYFUNCTION("if(AE236="""","""",iferror(filter(Schedule!$V:$V&amp;""-""&amp;Schedule!$W:$W,Schedule!$L:$L=AE236,(Schedule!$J:$J="""")+(Schedule!$J:$J=AF236),(Schedule!$K:$K=""a"")+(Schedule!$K:$K=""""),Schedule!$V:$V&lt;&gt;""""),""""))"),"")</f>
        <v/>
      </c>
      <c r="AL236" s="152" t="str">
        <f>IFERROR(__xludf.DUMMYFUNCTION("if(AE236="""","""",iferror(filter(Schedule!$Y:$Y&amp;""-""&amp;Schedule!$Z:$Z,Schedule!$L:$L=AE236,(Schedule!$J:$J="""")+(Schedule!$J:$J=AF236),(Schedule!$K:$K=""b"")+(Schedule!$K:$K=""""),Schedule!$Y:$Y&lt;&gt;""""),""""))"),"")</f>
        <v/>
      </c>
      <c r="AM236" s="153" t="str">
        <f>if(AE236="","", 24-countifs(AH236:AL240,""))</f>
        <v/>
      </c>
    </row>
    <row r="237">
      <c r="A237" s="151" t="str">
        <f>C234</f>
        <v>William Duque</v>
      </c>
      <c r="B237" s="151" t="str">
        <f>I234</f>
        <v>Y</v>
      </c>
      <c r="C237" s="147">
        <v>2.0</v>
      </c>
      <c r="D237" s="152" t="str">
        <f>IFERROR(__xludf.DUMMYFUNCTION("if(A237="""","""",iferror(filter(Schedule!$P:$P&amp;""-""&amp;Schedule!$Q:$Q,Schedule!$L:$L=A237,(Schedule!$J:$J="""")+(Schedule!$J:$J=B237),(Schedule!$K:$K=""a"")+(Schedule!$K:$K=""""),Schedule!$P:$P&lt;&gt;""""),""""))"),"Sociales 7-3")</f>
        <v>Sociales 7-3</v>
      </c>
      <c r="E237" s="152" t="str">
        <f>IFERROR(__xludf.DUMMYFUNCTION("if(A237="""","""",iferror(filter(Schedule!$Y:$Y&amp;""-""&amp;Schedule!$Z:$Z,Schedule!$L:$L=A237,(Schedule!$J:$J="""")+(Schedule!$J:$J=B237),(Schedule!$K:$K=""b"")+(Schedule!$K:$K=""""),Schedule!$Y:$Y&lt;&gt;""""),""""))"),"Sociales 7-6")</f>
        <v>Sociales 7-6</v>
      </c>
      <c r="F237" s="152" t="str">
        <f>IFERROR(__xludf.DUMMYFUNCTION("if(A237="""","""",iferror(filter(Schedule!$P:$P&amp;""-""&amp;Schedule!$Q:$Q,Schedule!$L:$L=A237,(Schedule!$J:$J="""")+(Schedule!$J:$J=B237),(Schedule!$K:$K=""a"")+(Schedule!$K:$K=""""),Schedule!$P:$P&lt;&gt;""""),""""))"),"Sociales 7-3")</f>
        <v>Sociales 7-3</v>
      </c>
      <c r="G237" s="152" t="str">
        <f>IFERROR(__xludf.DUMMYFUNCTION("if(A237="""","""",iferror(filter(Schedule!$M:$M&amp;""-""&amp;Schedule!$N:$N,Schedule!$L:$L=A237,(Schedule!$J:$J="""")+(Schedule!$J:$J=B237),(Schedule!$K:$K=""a"")+(Schedule!$K:$K=""""),Schedule!$M:$M&lt;&gt;""""),""""))"),"Sociales 7-2")</f>
        <v>Sociales 7-2</v>
      </c>
      <c r="H237" s="152" t="str">
        <f>IFERROR(__xludf.DUMMYFUNCTION("if(A237="""","""",iferror(filter(Schedule!$AB:$AB&amp;""-""&amp;Schedule!$AC:$AC,Schedule!$L:$L=A237,(Schedule!$J:$J="""")+(Schedule!$J:$J=B237),(Schedule!$K:$K=""a"")+(Schedule!$K:$K=""""),Schedule!$AB:$AB&lt;&gt;""""),""""))"),"")</f>
        <v/>
      </c>
      <c r="I237" s="60"/>
      <c r="J237" s="154"/>
      <c r="K237" s="151" t="str">
        <f>M234</f>
        <v/>
      </c>
      <c r="L237" s="151" t="str">
        <f>S234</f>
        <v/>
      </c>
      <c r="M237" s="147">
        <v>2.0</v>
      </c>
      <c r="N237" s="152" t="str">
        <f>IFERROR(__xludf.DUMMYFUNCTION("if(K237="""","""",iferror(filter(Schedule!$P:$P&amp;""-""&amp;Schedule!$Q:$Q,Schedule!$L:$L=K237,(Schedule!$J:$J="""")+(Schedule!$J:$J=L237),(Schedule!$K:$K=""a"")+(Schedule!$K:$K=""""),Schedule!$P:$P&lt;&gt;""""),""""))"),"")</f>
        <v/>
      </c>
      <c r="O237" s="152" t="str">
        <f>IFERROR(__xludf.DUMMYFUNCTION("if(K237="""","""",iferror(filter(Schedule!$Y:$Y&amp;""-""&amp;Schedule!$Z:$Z,Schedule!$L:$L=K237,(Schedule!$J:$J="""")+(Schedule!$J:$J=L237),(Schedule!$K:$K=""b"")+(Schedule!$K:$K=""""),Schedule!$Y:$Y&lt;&gt;""""),""""))"),"")</f>
        <v/>
      </c>
      <c r="P237" s="152" t="str">
        <f>IFERROR(__xludf.DUMMYFUNCTION("if(K237="""","""",iferror(filter(Schedule!$P:$P&amp;""-""&amp;Schedule!$Q:$Q,Schedule!$L:$L=K237,(Schedule!$J:$J="""")+(Schedule!$J:$J=L237),(Schedule!$K:$K=""a"")+(Schedule!$K:$K=""""),Schedule!$P:$P&lt;&gt;""""),""""))"),"")</f>
        <v/>
      </c>
      <c r="Q237" s="152" t="str">
        <f>IFERROR(__xludf.DUMMYFUNCTION("if(K237="""","""",iferror(filter(Schedule!$M:$M&amp;""-""&amp;Schedule!$N:$N,Schedule!$L:$L=K237,(Schedule!$J:$J="""")+(Schedule!$J:$J=L237),(Schedule!$K:$K=""a"")+(Schedule!$K:$K=""""),Schedule!$M:$M&lt;&gt;""""),""""))"),"")</f>
        <v/>
      </c>
      <c r="R237" s="152" t="str">
        <f>IFERROR(__xludf.DUMMYFUNCTION("if(K237="""","""",iferror(filter(Schedule!$AB:$AB&amp;""-""&amp;Schedule!$AC:$AC,Schedule!$L:$L=K237,(Schedule!$J:$J="""")+(Schedule!$J:$J=L237),(Schedule!$K:$K=""a"")+(Schedule!$K:$K=""""),Schedule!$AB:$AB&lt;&gt;""""),""""))"),"")</f>
        <v/>
      </c>
      <c r="S237" s="60"/>
      <c r="T237" s="155"/>
      <c r="U237" s="155" t="str">
        <f>W234</f>
        <v/>
      </c>
      <c r="V237" s="151" t="str">
        <f>AC234</f>
        <v/>
      </c>
      <c r="W237" s="147">
        <v>2.0</v>
      </c>
      <c r="X237" s="152" t="str">
        <f>IFERROR(__xludf.DUMMYFUNCTION("if(U237="""","""",iferror(filter(Schedule!$P:$P&amp;""-""&amp;Schedule!$Q:$Q,Schedule!$L:$L=U237,(Schedule!$J:$J="""")+(Schedule!$J:$J=V237),(Schedule!$K:$K=""a"")+(Schedule!$K:$K=""""),Schedule!$P:$P&lt;&gt;""""),""""))"),"")</f>
        <v/>
      </c>
      <c r="Y237" s="152" t="str">
        <f>IFERROR(__xludf.DUMMYFUNCTION("if(U237="""","""",iferror(filter(Schedule!$Y:$Y&amp;""-""&amp;Schedule!$Z:$Z,Schedule!$L:$L=U237,(Schedule!$J:$J="""")+(Schedule!$J:$J=V237),(Schedule!$K:$K=""b"")+(Schedule!$K:$K=""""),Schedule!$Y:$Y&lt;&gt;""""),""""))"),"")</f>
        <v/>
      </c>
      <c r="Z237" s="152" t="str">
        <f>IFERROR(__xludf.DUMMYFUNCTION("if(U237="""","""",iferror(filter(Schedule!$P:$P&amp;""-""&amp;Schedule!$Q:$Q,Schedule!$L:$L=U237,(Schedule!$J:$J="""")+(Schedule!$J:$J=V237),(Schedule!$K:$K=""a"")+(Schedule!$K:$K=""""),Schedule!$P:$P&lt;&gt;""""),""""))"),"")</f>
        <v/>
      </c>
      <c r="AA237" s="152" t="str">
        <f>IFERROR(__xludf.DUMMYFUNCTION("if(U237="""","""",iferror(filter(Schedule!$M:$M&amp;""-""&amp;Schedule!$N:$N,Schedule!$L:$L=U237,(Schedule!$J:$J="""")+(Schedule!$J:$J=V237),(Schedule!$K:$K=""a"")+(Schedule!$K:$K=""""),Schedule!$M:$M&lt;&gt;""""),""""))"),"")</f>
        <v/>
      </c>
      <c r="AB237" s="152" t="str">
        <f>IFERROR(__xludf.DUMMYFUNCTION("if(U237="""","""",iferror(filter(Schedule!$AB:$AB&amp;""-""&amp;Schedule!$AC:$AC,Schedule!$L:$L=U237,(Schedule!$J:$J="""")+(Schedule!$J:$J=V237),(Schedule!$K:$K=""a"")+(Schedule!$K:$K=""""),Schedule!$AB:$AB&lt;&gt;""""),""""))"),"")</f>
        <v/>
      </c>
      <c r="AC237" s="60"/>
      <c r="AD237" s="155"/>
      <c r="AE237" s="155" t="str">
        <f>AG234</f>
        <v/>
      </c>
      <c r="AF237" s="151" t="str">
        <f>AM234</f>
        <v/>
      </c>
      <c r="AG237" s="147">
        <v>2.0</v>
      </c>
      <c r="AH237" s="152" t="str">
        <f>IFERROR(__xludf.DUMMYFUNCTION("if(AE237="""","""",iferror(filter(Schedule!$P:$P&amp;""-""&amp;Schedule!$Q:$Q,Schedule!$L:$L=AE237,(Schedule!$J:$J="""")+(Schedule!$J:$J=AF237),(Schedule!$K:$K=""a"")+(Schedule!$K:$K=""""),Schedule!$P:$P&lt;&gt;""""),""""))"),"")</f>
        <v/>
      </c>
      <c r="AI237" s="152" t="str">
        <f>IFERROR(__xludf.DUMMYFUNCTION("if(AE237="""","""",iferror(filter(Schedule!$Y:$Y&amp;""-""&amp;Schedule!$Z:$Z,Schedule!$L:$L=AE237,(Schedule!$J:$J="""")+(Schedule!$J:$J=AF237),(Schedule!$K:$K=""b"")+(Schedule!$K:$K=""""),Schedule!$Y:$Y&lt;&gt;""""),""""))"),"")</f>
        <v/>
      </c>
      <c r="AJ237" s="152" t="str">
        <f>IFERROR(__xludf.DUMMYFUNCTION("if(AE237="""","""",iferror(filter(Schedule!$P:$P&amp;""-""&amp;Schedule!$Q:$Q,Schedule!$L:$L=AE237,(Schedule!$J:$J="""")+(Schedule!$J:$J=AF237),(Schedule!$K:$K=""a"")+(Schedule!$K:$K=""""),Schedule!$P:$P&lt;&gt;""""),""""))"),"")</f>
        <v/>
      </c>
      <c r="AK237" s="152" t="str">
        <f>IFERROR(__xludf.DUMMYFUNCTION("if(AE237="""","""",iferror(filter(Schedule!$M:$M&amp;""-""&amp;Schedule!$N:$N,Schedule!$L:$L=AE237,(Schedule!$J:$J="""")+(Schedule!$J:$J=AF237),(Schedule!$K:$K=""a"")+(Schedule!$K:$K=""""),Schedule!$M:$M&lt;&gt;""""),""""))"),"")</f>
        <v/>
      </c>
      <c r="AL237" s="152" t="str">
        <f>IFERROR(__xludf.DUMMYFUNCTION("if(AE237="""","""",iferror(filter(Schedule!$AB:$AB&amp;""-""&amp;Schedule!$AC:$AC,Schedule!$L:$L=AE237,(Schedule!$J:$J="""")+(Schedule!$J:$J=AF237),(Schedule!$K:$K=""a"")+(Schedule!$K:$K=""""),Schedule!$AB:$AB&lt;&gt;""""),""""))"),"")</f>
        <v/>
      </c>
      <c r="AM237" s="60"/>
    </row>
    <row r="238">
      <c r="A238" s="151" t="str">
        <f>C234</f>
        <v>William Duque</v>
      </c>
      <c r="B238" s="151" t="str">
        <f>I234</f>
        <v>Y</v>
      </c>
      <c r="C238" s="147">
        <v>3.0</v>
      </c>
      <c r="D238" s="152" t="str">
        <f>IFERROR(__xludf.DUMMYFUNCTION("if(A238="""","""",iferror(filter(Schedule!$S:$S&amp;""-""&amp;Schedule!$T:$T,Schedule!$L:$L=A238,(Schedule!$J:$J="""")+(Schedule!$J:$J=B238),(Schedule!$K:$K=""a"")+(Schedule!$K:$K=""""),Schedule!$S:$S&lt;&gt;""""),""""))"),"Sociales 7-4")</f>
        <v>Sociales 7-4</v>
      </c>
      <c r="E238" s="152" t="str">
        <f>IFERROR(__xludf.DUMMYFUNCTION("if(A238="""","""",iferror(filter(Schedule!$S:$S&amp;""-""&amp;Schedule!$T:$T,Schedule!$L:$L=A238,(Schedule!$J:$J="""")+(Schedule!$J:$J=B238),(Schedule!$K:$K=""b"")+(Schedule!$K:$K=""""),Schedule!$S:$S&lt;&gt;""""),""""))"),"Sociales 7-4")</f>
        <v>Sociales 7-4</v>
      </c>
      <c r="F238" s="152" t="str">
        <f>IFERROR(__xludf.DUMMYFUNCTION("if(A238="""","""",iferror(filter(Schedule!$Y:$Y&amp;""-""&amp;Schedule!$Z:$Z,Schedule!$L:$L=A238,(Schedule!$J:$J="""")+(Schedule!$J:$J=B238),(Schedule!$K:$K=""a"")+(Schedule!$K:$K=""""),Schedule!$Y:$Y&lt;&gt;""""),""""))"),"Sociales 7-6")</f>
        <v>Sociales 7-6</v>
      </c>
      <c r="G238" s="152" t="str">
        <f>IFERROR(__xludf.DUMMYFUNCTION("if(A238="""","""",iferror(filter(Schedule!$P:$P&amp;""-""&amp;Schedule!$Q:$Q,Schedule!$L:$L=A238,(Schedule!$J:$J="""")+(Schedule!$J:$J=B238),(Schedule!$K:$K=""b"")+(Schedule!$K:$K=""""),Schedule!$P:$P&lt;&gt;""""),""""))"),"Sociales 7-3")</f>
        <v>Sociales 7-3</v>
      </c>
      <c r="H238" s="152" t="str">
        <f>if(C234="","","X-Block")</f>
        <v>X-Block</v>
      </c>
      <c r="I238" s="60"/>
      <c r="J238" s="154"/>
      <c r="K238" s="151" t="str">
        <f>M234</f>
        <v/>
      </c>
      <c r="L238" s="151" t="str">
        <f>S234</f>
        <v/>
      </c>
      <c r="M238" s="147">
        <v>3.0</v>
      </c>
      <c r="N238" s="152" t="str">
        <f>IFERROR(__xludf.DUMMYFUNCTION("if(K238="""","""",iferror(filter(Schedule!$S:$S&amp;""-""&amp;Schedule!$T:$T,Schedule!$L:$L=K238,(Schedule!$J:$J="""")+(Schedule!$J:$J=L238),(Schedule!$K:$K=""a"")+(Schedule!$K:$K=""""),Schedule!$S:$S&lt;&gt;""""),""""))"),"")</f>
        <v/>
      </c>
      <c r="O238" s="152" t="str">
        <f>IFERROR(__xludf.DUMMYFUNCTION("if(K238="""","""",iferror(filter(Schedule!$S:$S&amp;""-""&amp;Schedule!$T:$T,Schedule!$L:$L=K238,(Schedule!$J:$J="""")+(Schedule!$J:$J=L238),(Schedule!$K:$K=""b"")+(Schedule!$K:$K=""""),Schedule!$S:$S&lt;&gt;""""),""""))"),"")</f>
        <v/>
      </c>
      <c r="P238" s="152" t="str">
        <f>IFERROR(__xludf.DUMMYFUNCTION("if(K238="""","""",iferror(filter(Schedule!$Y:$Y&amp;""-""&amp;Schedule!$Z:$Z,Schedule!$L:$L=K238,(Schedule!$J:$J="""")+(Schedule!$J:$J=L238),(Schedule!$K:$K=""a"")+(Schedule!$K:$K=""""),Schedule!$Y:$Y&lt;&gt;""""),""""))"),"")</f>
        <v/>
      </c>
      <c r="Q238" s="152" t="str">
        <f>IFERROR(__xludf.DUMMYFUNCTION("if(K238="""","""",iferror(filter(Schedule!$P:$P&amp;""-""&amp;Schedule!$Q:$Q,Schedule!$L:$L=K238,(Schedule!$J:$J="""")+(Schedule!$J:$J=L238),(Schedule!$K:$K=""b"")+(Schedule!$K:$K=""""),Schedule!$P:$P&lt;&gt;""""),""""))"),"")</f>
        <v/>
      </c>
      <c r="R238" s="152" t="str">
        <f>if(M234="","","X-Block")</f>
        <v/>
      </c>
      <c r="S238" s="60"/>
      <c r="T238" s="155"/>
      <c r="U238" s="155" t="str">
        <f>W234</f>
        <v/>
      </c>
      <c r="V238" s="151" t="str">
        <f>AC234</f>
        <v/>
      </c>
      <c r="W238" s="147">
        <v>3.0</v>
      </c>
      <c r="X238" s="152" t="str">
        <f>IFERROR(__xludf.DUMMYFUNCTION("if(U238="""","""",iferror(filter(Schedule!$S:$S&amp;""-""&amp;Schedule!$T:$T,Schedule!$L:$L=U238,(Schedule!$J:$J="""")+(Schedule!$J:$J=V238),(Schedule!$K:$K=""a"")+(Schedule!$K:$K=""""),Schedule!$S:$S&lt;&gt;""""),""""))"),"")</f>
        <v/>
      </c>
      <c r="Y238" s="152" t="str">
        <f>IFERROR(__xludf.DUMMYFUNCTION("if(U238="""","""",iferror(filter(Schedule!$S:$S&amp;""-""&amp;Schedule!$T:$T,Schedule!$L:$L=U238,(Schedule!$J:$J="""")+(Schedule!$J:$J=V238),(Schedule!$K:$K=""b"")+(Schedule!$K:$K=""""),Schedule!$S:$S&lt;&gt;""""),""""))"),"")</f>
        <v/>
      </c>
      <c r="Z238" s="152" t="str">
        <f>IFERROR(__xludf.DUMMYFUNCTION("if(U238="""","""",iferror(filter(Schedule!$Y:$Y&amp;""-""&amp;Schedule!$Z:$Z,Schedule!$L:$L=U238,(Schedule!$J:$J="""")+(Schedule!$J:$J=V238),(Schedule!$K:$K=""a"")+(Schedule!$K:$K=""""),Schedule!$Y:$Y&lt;&gt;""""),""""))"),"")</f>
        <v/>
      </c>
      <c r="AA238" s="152" t="str">
        <f>IFERROR(__xludf.DUMMYFUNCTION("if(U238="""","""",iferror(filter(Schedule!$P:$P&amp;""-""&amp;Schedule!$Q:$Q,Schedule!$L:$L=U238,(Schedule!$J:$J="""")+(Schedule!$J:$J=V238),(Schedule!$K:$K=""b"")+(Schedule!$K:$K=""""),Schedule!$P:$P&lt;&gt;""""),""""))"),"")</f>
        <v/>
      </c>
      <c r="AB238" s="152" t="str">
        <f>if(W234="","","X-Block")</f>
        <v/>
      </c>
      <c r="AC238" s="60"/>
      <c r="AD238" s="155"/>
      <c r="AE238" s="155" t="str">
        <f>AG234</f>
        <v/>
      </c>
      <c r="AF238" s="151" t="str">
        <f>AM234</f>
        <v/>
      </c>
      <c r="AG238" s="147">
        <v>3.0</v>
      </c>
      <c r="AH238" s="152" t="str">
        <f>IFERROR(__xludf.DUMMYFUNCTION("if(AE238="""","""",iferror(filter(Schedule!$S:$S&amp;""-""&amp;Schedule!$T:$T,Schedule!$L:$L=AE238,(Schedule!$J:$J="""")+(Schedule!$J:$J=AF238),(Schedule!$K:$K=""a"")+(Schedule!$K:$K=""""),Schedule!$S:$S&lt;&gt;""""),""""))"),"")</f>
        <v/>
      </c>
      <c r="AI238" s="152" t="str">
        <f>IFERROR(__xludf.DUMMYFUNCTION("if(AE238="""","""",iferror(filter(Schedule!$S:$S&amp;""-""&amp;Schedule!$T:$T,Schedule!$L:$L=AE238,(Schedule!$J:$J="""")+(Schedule!$J:$J=AF238),(Schedule!$K:$K=""b"")+(Schedule!$K:$K=""""),Schedule!$S:$S&lt;&gt;""""),""""))"),"")</f>
        <v/>
      </c>
      <c r="AJ238" s="152" t="str">
        <f>IFERROR(__xludf.DUMMYFUNCTION("if(AE238="""","""",iferror(filter(Schedule!$Y:$Y&amp;""-""&amp;Schedule!$Z:$Z,Schedule!$L:$L=AE238,(Schedule!$J:$J="""")+(Schedule!$J:$J=AF238),(Schedule!$K:$K=""a"")+(Schedule!$K:$K=""""),Schedule!$Y:$Y&lt;&gt;""""),""""))"),"")</f>
        <v/>
      </c>
      <c r="AK238" s="152" t="str">
        <f>IFERROR(__xludf.DUMMYFUNCTION("if(AE238="""","""",iferror(filter(Schedule!$P:$P&amp;""-""&amp;Schedule!$Q:$Q,Schedule!$L:$L=AE238,(Schedule!$J:$J="""")+(Schedule!$J:$J=AF238),(Schedule!$K:$K=""b"")+(Schedule!$K:$K=""""),Schedule!$P:$P&lt;&gt;""""),""""))"),"")</f>
        <v/>
      </c>
      <c r="AL238" s="152" t="str">
        <f>if(AG234="","","X-Block")</f>
        <v/>
      </c>
      <c r="AM238" s="60"/>
    </row>
    <row r="239">
      <c r="A239" s="151" t="str">
        <f>C234</f>
        <v>William Duque</v>
      </c>
      <c r="B239" s="151" t="str">
        <f>I234</f>
        <v>Y</v>
      </c>
      <c r="C239" s="147">
        <v>4.0</v>
      </c>
      <c r="D239" s="152" t="str">
        <f>IFERROR(__xludf.DUMMYFUNCTION("if(A239="""","""",iferror(filter(Schedule!$V:$V&amp;""-""&amp;Schedule!$W:$W,Schedule!$L:$L=A239,(Schedule!$J:$J="""")+(Schedule!$J:$J=B239),(Schedule!$K:$K=""a"")+(Schedule!$K:$K=""""),Schedule!$V:$V&lt;&gt;""""),""""))"),"")</f>
        <v/>
      </c>
      <c r="E239" s="152" t="str">
        <f>IFERROR(__xludf.DUMMYFUNCTION("if(A239="""","""",iferror(filter(Schedule!$M:$M&amp;""-""&amp;Schedule!$N:$N,Schedule!$L:$L=A239,(Schedule!$J:$J="""")+(Schedule!$J:$J=B239),(Schedule!$K:$K=""b"")+(Schedule!$K:$K=""""),Schedule!$M:$M&lt;&gt;""""),""""))"),"Sociales 7-2")</f>
        <v>Sociales 7-2</v>
      </c>
      <c r="F239" s="152" t="str">
        <f>IFERROR(__xludf.DUMMYFUNCTION("if(A239="""","""",iferror(filter(Schedule!$AB:$AB&amp;""-""&amp;Schedule!$AC:$AC,Schedule!$L:$L=A239,(Schedule!$J:$J="""")+(Schedule!$J:$J=B239),(Schedule!$K:$K=""a"")+(Schedule!$K:$K=""""),Schedule!$AB:$AB&lt;&gt;""""),""""))"),"")</f>
        <v/>
      </c>
      <c r="G239" s="152" t="str">
        <f>IFERROR(__xludf.DUMMYFUNCTION("if(A239="""","""",iferror(filter(Schedule!$S:$S&amp;""-""&amp;Schedule!$T:$T,Schedule!$L:$L=A239,(Schedule!$J:$J="""")+(Schedule!$J:$J=B239),(Schedule!$K:$K=""b"")+(Schedule!$K:$K=""""),Schedule!$S:$S&lt;&gt;""""),""""))"),"Sociales 7-4")</f>
        <v>Sociales 7-4</v>
      </c>
      <c r="H239" s="152" t="str">
        <f>IFERROR(__xludf.DUMMYFUNCTION("if(A239="""","""",iferror(filter(Schedule!$V:$V&amp;""-""&amp;Schedule!$W:$W,Schedule!$L:$L=A239,(Schedule!$J:$J="""")+(Schedule!$J:$J=B239),(Schedule!$K:$K=""b"")+(Schedule!$K:$K=""""),Schedule!$V:$V&lt;&gt;""""),""""))"),"")</f>
        <v/>
      </c>
      <c r="I239" s="60"/>
      <c r="J239" s="154"/>
      <c r="K239" s="151" t="str">
        <f>M234</f>
        <v/>
      </c>
      <c r="L239" s="151" t="str">
        <f>S234</f>
        <v/>
      </c>
      <c r="M239" s="147">
        <v>4.0</v>
      </c>
      <c r="N239" s="152" t="str">
        <f>IFERROR(__xludf.DUMMYFUNCTION("if(K239="""","""",iferror(filter(Schedule!$V:$V&amp;""-""&amp;Schedule!$W:$W,Schedule!$L:$L=K239,(Schedule!$J:$J="""")+(Schedule!$J:$J=L239),(Schedule!$K:$K=""a"")+(Schedule!$K:$K=""""),Schedule!$V:$V&lt;&gt;""""),""""))"),"")</f>
        <v/>
      </c>
      <c r="O239" s="152" t="str">
        <f>IFERROR(__xludf.DUMMYFUNCTION("if(K239="""","""",iferror(filter(Schedule!$M:$M&amp;""-""&amp;Schedule!$N:$N,Schedule!$L:$L=K239,(Schedule!$J:$J="""")+(Schedule!$J:$J=L239),(Schedule!$K:$K=""b"")+(Schedule!$K:$K=""""),Schedule!$M:$M&lt;&gt;""""),""""))"),"")</f>
        <v/>
      </c>
      <c r="P239" s="152" t="str">
        <f>IFERROR(__xludf.DUMMYFUNCTION("if(K239="""","""",iferror(filter(Schedule!$AB:$AB&amp;""-""&amp;Schedule!$AC:$AC,Schedule!$L:$L=K239,(Schedule!$J:$J="""")+(Schedule!$J:$J=L239),(Schedule!$K:$K=""a"")+(Schedule!$K:$K=""""),Schedule!$AB:$AB&lt;&gt;""""),""""))"),"")</f>
        <v/>
      </c>
      <c r="Q239" s="152" t="str">
        <f>IFERROR(__xludf.DUMMYFUNCTION("if(K239="""","""",iferror(filter(Schedule!$S:$S&amp;""-""&amp;Schedule!$T:$T,Schedule!$L:$L=K239,(Schedule!$J:$J="""")+(Schedule!$J:$J=L239),(Schedule!$K:$K=""b"")+(Schedule!$K:$K=""""),Schedule!$S:$S&lt;&gt;""""),""""))"),"")</f>
        <v/>
      </c>
      <c r="R239" s="152" t="str">
        <f>IFERROR(__xludf.DUMMYFUNCTION("if(K239="""","""",iferror(filter(Schedule!$V:$V&amp;""-""&amp;Schedule!$W:$W,Schedule!$L:$L=K239,(Schedule!$J:$J="""")+(Schedule!$J:$J=L239),(Schedule!$K:$K=""b"")+(Schedule!$K:$K=""""),Schedule!$V:$V&lt;&gt;""""),""""))"),"")</f>
        <v/>
      </c>
      <c r="S239" s="60"/>
      <c r="T239" s="155"/>
      <c r="U239" s="155" t="str">
        <f>W234</f>
        <v/>
      </c>
      <c r="V239" s="151" t="str">
        <f>AC234</f>
        <v/>
      </c>
      <c r="W239" s="147">
        <v>4.0</v>
      </c>
      <c r="X239" s="152" t="str">
        <f>IFERROR(__xludf.DUMMYFUNCTION("if(U239="""","""",iferror(filter(Schedule!$V:$V&amp;""-""&amp;Schedule!$W:$W,Schedule!$L:$L=U239,(Schedule!$J:$J="""")+(Schedule!$J:$J=V239),(Schedule!$K:$K=""a"")+(Schedule!$K:$K=""""),Schedule!$V:$V&lt;&gt;""""),""""))"),"")</f>
        <v/>
      </c>
      <c r="Y239" s="152" t="str">
        <f>IFERROR(__xludf.DUMMYFUNCTION("if(U239="""","""",iferror(filter(Schedule!$M:$M&amp;""-""&amp;Schedule!$N:$N,Schedule!$L:$L=U239,(Schedule!$J:$J="""")+(Schedule!$J:$J=V239),(Schedule!$K:$K=""b"")+(Schedule!$K:$K=""""),Schedule!$M:$M&lt;&gt;""""),""""))"),"")</f>
        <v/>
      </c>
      <c r="Z239" s="152" t="str">
        <f>IFERROR(__xludf.DUMMYFUNCTION("if(U239="""","""",iferror(filter(Schedule!$AB:$AB&amp;""-""&amp;Schedule!$AC:$AC,Schedule!$L:$L=U239,(Schedule!$J:$J="""")+(Schedule!$J:$J=V239),(Schedule!$K:$K=""a"")+(Schedule!$K:$K=""""),Schedule!$AB:$AB&lt;&gt;""""),""""))"),"")</f>
        <v/>
      </c>
      <c r="AA239" s="152" t="str">
        <f>IFERROR(__xludf.DUMMYFUNCTION("if(U239="""","""",iferror(filter(Schedule!$S:$S&amp;""-""&amp;Schedule!$T:$T,Schedule!$L:$L=U239,(Schedule!$J:$J="""")+(Schedule!$J:$J=V239),(Schedule!$K:$K=""b"")+(Schedule!$K:$K=""""),Schedule!$S:$S&lt;&gt;""""),""""))"),"")</f>
        <v/>
      </c>
      <c r="AB239" s="152" t="str">
        <f>IFERROR(__xludf.DUMMYFUNCTION("if(U239="""","""",iferror(filter(Schedule!$V:$V&amp;""-""&amp;Schedule!$W:$W,Schedule!$L:$L=U239,(Schedule!$J:$J="""")+(Schedule!$J:$J=V239),(Schedule!$K:$K=""b"")+(Schedule!$K:$K=""""),Schedule!$V:$V&lt;&gt;""""),""""))"),"")</f>
        <v/>
      </c>
      <c r="AC239" s="60"/>
      <c r="AD239" s="155"/>
      <c r="AE239" s="155" t="str">
        <f>AG234</f>
        <v/>
      </c>
      <c r="AF239" s="151" t="str">
        <f>AM234</f>
        <v/>
      </c>
      <c r="AG239" s="147">
        <v>4.0</v>
      </c>
      <c r="AH239" s="152" t="str">
        <f>IFERROR(__xludf.DUMMYFUNCTION("if(AE239="""","""",iferror(filter(Schedule!$V:$V&amp;""-""&amp;Schedule!$W:$W,Schedule!$L:$L=AE239,(Schedule!$J:$J="""")+(Schedule!$J:$J=AF239),(Schedule!$K:$K=""a"")+(Schedule!$K:$K=""""),Schedule!$V:$V&lt;&gt;""""),""""))"),"")</f>
        <v/>
      </c>
      <c r="AI239" s="152" t="str">
        <f>IFERROR(__xludf.DUMMYFUNCTION("if(AE239="""","""",iferror(filter(Schedule!$M:$M&amp;""-""&amp;Schedule!$N:$N,Schedule!$L:$L=AE239,(Schedule!$J:$J="""")+(Schedule!$J:$J=AF239),(Schedule!$K:$K=""b"")+(Schedule!$K:$K=""""),Schedule!$M:$M&lt;&gt;""""),""""))"),"")</f>
        <v/>
      </c>
      <c r="AJ239" s="152" t="str">
        <f>IFERROR(__xludf.DUMMYFUNCTION("if(AE239="""","""",iferror(filter(Schedule!$AB:$AB&amp;""-""&amp;Schedule!$AC:$AC,Schedule!$L:$L=AE239,(Schedule!$J:$J="""")+(Schedule!$J:$J=AF239),(Schedule!$K:$K=""a"")+(Schedule!$K:$K=""""),Schedule!$AB:$AB&lt;&gt;""""),""""))"),"")</f>
        <v/>
      </c>
      <c r="AK239" s="152" t="str">
        <f>IFERROR(__xludf.DUMMYFUNCTION("if(AE239="""","""",iferror(filter(Schedule!$S:$S&amp;""-""&amp;Schedule!$T:$T,Schedule!$L:$L=AE239,(Schedule!$J:$J="""")+(Schedule!$J:$J=AF239),(Schedule!$K:$K=""b"")+(Schedule!$K:$K=""""),Schedule!$S:$S&lt;&gt;""""),""""))"),"")</f>
        <v/>
      </c>
      <c r="AL239" s="152" t="str">
        <f>IFERROR(__xludf.DUMMYFUNCTION("if(AE239="""","""",iferror(filter(Schedule!$V:$V&amp;""-""&amp;Schedule!$W:$W,Schedule!$L:$L=AE239,(Schedule!$J:$J="""")+(Schedule!$J:$J=AF239),(Schedule!$K:$K=""b"")+(Schedule!$K:$K=""""),Schedule!$V:$V&lt;&gt;""""),""""))"),"")</f>
        <v/>
      </c>
      <c r="AM239" s="60"/>
    </row>
    <row r="240">
      <c r="A240" s="151" t="str">
        <f>C234</f>
        <v>William Duque</v>
      </c>
      <c r="B240" s="151" t="str">
        <f>I234</f>
        <v>Y</v>
      </c>
      <c r="C240" s="147">
        <v>5.0</v>
      </c>
      <c r="D240" s="152" t="str">
        <f>IFERROR(__xludf.DUMMYFUNCTION("if(A240="""","""",iferror(filter(Schedule!$Y:$Y&amp;""-""&amp;Schedule!$Z:$Z,Schedule!$L:$L=A240,(Schedule!$J:$J="""")+(Schedule!$J:$J=B240),(Schedule!$K:$K=""a"")+(Schedule!$K:$K=""""),Schedule!$Y:$Y&lt;&gt;""""),""""))"),"Sociales 7-6")</f>
        <v>Sociales 7-6</v>
      </c>
      <c r="E240" s="152" t="str">
        <f>IFERROR(__xludf.DUMMYFUNCTION("if(A240="""","""",iferror(filter(Schedule!$P:$P&amp;""-""&amp;Schedule!$Q:$Q,Schedule!$L:$L=A240,(Schedule!$J:$J="""")+(Schedule!$J:$J=B240),(Schedule!$K:$K=""b"")+(Schedule!$K:$K=""""),Schedule!$P:$P&lt;&gt;""""),""""))"),"Sociales 7-3")</f>
        <v>Sociales 7-3</v>
      </c>
      <c r="F240" s="152" t="str">
        <f>IFERROR(__xludf.DUMMYFUNCTION("if(A240="""","""",iferror(filter(Schedule!$V:$V&amp;""-""&amp;Schedule!$W:$W,Schedule!$L:$L=A240,(Schedule!$J:$J="""")+(Schedule!$J:$J=B240),(Schedule!$K:$K=""b"")+(Schedule!$K:$K=""""),Schedule!$V:$V&lt;&gt;""""),""""))"),"")</f>
        <v/>
      </c>
      <c r="G240" s="152" t="str">
        <f>IFERROR(__xludf.DUMMYFUNCTION("if(A240="""","""",iferror(filter(Schedule!$AB:$AB&amp;""-""&amp;Schedule!$AC:$AC,Schedule!$L:$L=A240,(Schedule!$J:$J="""")+(Schedule!$J:$J=B240),(Schedule!$K:$K=""b"")+(Schedule!$K:$K=""""),Schedule!$AB:$AB&lt;&gt;""""),""""))"),"")</f>
        <v/>
      </c>
      <c r="H240" s="152" t="str">
        <f>IFERROR(__xludf.DUMMYFUNCTION("if(A240="""","""",iferror(filter(Schedule!$M:$M&amp;""-""&amp;Schedule!$N:$N,Schedule!$L:$L=A240,(Schedule!$J:$J="""")+(Schedule!$J:$J=B240),(Schedule!$K:$K=""b"")+(Schedule!$K:$K=""""),Schedule!$M:$M&lt;&gt;""""),""""))"),"Sociales 7-2")</f>
        <v>Sociales 7-2</v>
      </c>
      <c r="I240" s="64"/>
      <c r="J240" s="154"/>
      <c r="K240" s="151" t="str">
        <f>M234</f>
        <v/>
      </c>
      <c r="L240" s="151" t="str">
        <f>S234</f>
        <v/>
      </c>
      <c r="M240" s="147">
        <v>5.0</v>
      </c>
      <c r="N240" s="152" t="str">
        <f>IFERROR(__xludf.DUMMYFUNCTION("if(K240="""","""",iferror(filter(Schedule!$Y:$Y&amp;""-""&amp;Schedule!$Z:$Z,Schedule!$L:$L=K240,(Schedule!$J:$J="""")+(Schedule!$J:$J=L240),(Schedule!$K:$K=""a"")+(Schedule!$K:$K=""""),Schedule!$Y:$Y&lt;&gt;""""),""""))"),"")</f>
        <v/>
      </c>
      <c r="O240" s="152" t="str">
        <f>IFERROR(__xludf.DUMMYFUNCTION("if(K240="""","""",iferror(filter(Schedule!$P:$P&amp;""-""&amp;Schedule!$Q:$Q,Schedule!$L:$L=K240,(Schedule!$J:$J="""")+(Schedule!$J:$J=L240),(Schedule!$K:$K=""b"")+(Schedule!$K:$K=""""),Schedule!$P:$P&lt;&gt;""""),""""))"),"")</f>
        <v/>
      </c>
      <c r="P240" s="152" t="str">
        <f>IFERROR(__xludf.DUMMYFUNCTION("if(K240="""","""",iferror(filter(Schedule!$V:$V&amp;""-""&amp;Schedule!$W:$W,Schedule!$L:$L=K240,(Schedule!$J:$J="""")+(Schedule!$J:$J=L240),(Schedule!$K:$K=""b"")+(Schedule!$K:$K=""""),Schedule!$V:$V&lt;&gt;""""),""""))"),"")</f>
        <v/>
      </c>
      <c r="Q240" s="152" t="str">
        <f>IFERROR(__xludf.DUMMYFUNCTION("if(K240="""","""",iferror(filter(Schedule!$AB:$AB&amp;""-""&amp;Schedule!$AC:$AC,Schedule!$L:$L=K240,(Schedule!$J:$J="""")+(Schedule!$J:$J=L240),(Schedule!$K:$K=""b"")+(Schedule!$K:$K=""""),Schedule!$AB:$AB&lt;&gt;""""),""""))"),"")</f>
        <v/>
      </c>
      <c r="R240" s="152" t="str">
        <f>IFERROR(__xludf.DUMMYFUNCTION("if(K240="""","""",iferror(filter(Schedule!$M:$M&amp;""-""&amp;Schedule!$N:$N,Schedule!$L:$L=K240,(Schedule!$J:$J="""")+(Schedule!$J:$J=L240),(Schedule!$K:$K=""b"")+(Schedule!$K:$K=""""),Schedule!$M:$M&lt;&gt;""""),""""))"),"")</f>
        <v/>
      </c>
      <c r="S240" s="64"/>
      <c r="T240" s="155"/>
      <c r="U240" s="155" t="str">
        <f>W234</f>
        <v/>
      </c>
      <c r="V240" s="151" t="str">
        <f>AC234</f>
        <v/>
      </c>
      <c r="W240" s="147">
        <v>5.0</v>
      </c>
      <c r="X240" s="152" t="str">
        <f>IFERROR(__xludf.DUMMYFUNCTION("if(U240="""","""",iferror(filter(Schedule!$Y:$Y&amp;""-""&amp;Schedule!$Z:$Z,Schedule!$L:$L=U240,(Schedule!$J:$J="""")+(Schedule!$J:$J=V240),(Schedule!$K:$K=""a"")+(Schedule!$K:$K=""""),Schedule!$Y:$Y&lt;&gt;""""),""""))"),"")</f>
        <v/>
      </c>
      <c r="Y240" s="152" t="str">
        <f>IFERROR(__xludf.DUMMYFUNCTION("if(U240="""","""",iferror(filter(Schedule!$P:$P&amp;""-""&amp;Schedule!$Q:$Q,Schedule!$L:$L=U240,(Schedule!$J:$J="""")+(Schedule!$J:$J=V240),(Schedule!$K:$K=""b"")+(Schedule!$K:$K=""""),Schedule!$P:$P&lt;&gt;""""),""""))"),"")</f>
        <v/>
      </c>
      <c r="Z240" s="152" t="str">
        <f>IFERROR(__xludf.DUMMYFUNCTION("if(U240="""","""",iferror(filter(Schedule!$V:$V&amp;""-""&amp;Schedule!$W:$W,Schedule!$L:$L=U240,(Schedule!$J:$J="""")+(Schedule!$J:$J=V240),(Schedule!$K:$K=""b"")+(Schedule!$K:$K=""""),Schedule!$V:$V&lt;&gt;""""),""""))"),"")</f>
        <v/>
      </c>
      <c r="AA240" s="152" t="str">
        <f>IFERROR(__xludf.DUMMYFUNCTION("if(U240="""","""",iferror(filter(Schedule!$AB:$AB&amp;""-""&amp;Schedule!$AC:$AC,Schedule!$L:$L=U240,(Schedule!$J:$J="""")+(Schedule!$J:$J=V240),(Schedule!$K:$K=""b"")+(Schedule!$K:$K=""""),Schedule!$AB:$AB&lt;&gt;""""),""""))"),"")</f>
        <v/>
      </c>
      <c r="AB240" s="152" t="str">
        <f>IFERROR(__xludf.DUMMYFUNCTION("if(U240="""","""",iferror(filter(Schedule!$M:$M&amp;""-""&amp;Schedule!$N:$N,Schedule!$L:$L=U240,(Schedule!$J:$J="""")+(Schedule!$J:$J=V240),(Schedule!$K:$K=""b"")+(Schedule!$K:$K=""""),Schedule!$M:$M&lt;&gt;""""),""""))"),"")</f>
        <v/>
      </c>
      <c r="AC240" s="64"/>
      <c r="AD240" s="155"/>
      <c r="AE240" s="155" t="str">
        <f>AG234</f>
        <v/>
      </c>
      <c r="AF240" s="151" t="str">
        <f>AM234</f>
        <v/>
      </c>
      <c r="AG240" s="147">
        <v>5.0</v>
      </c>
      <c r="AH240" s="152" t="str">
        <f>IFERROR(__xludf.DUMMYFUNCTION("if(AE240="""","""",iferror(filter(Schedule!$Y:$Y&amp;""-""&amp;Schedule!$Z:$Z,Schedule!$L:$L=AE240,(Schedule!$J:$J="""")+(Schedule!$J:$J=AF240),(Schedule!$K:$K=""a"")+(Schedule!$K:$K=""""),Schedule!$Y:$Y&lt;&gt;""""),""""))"),"")</f>
        <v/>
      </c>
      <c r="AI240" s="152" t="str">
        <f>IFERROR(__xludf.DUMMYFUNCTION("if(AE240="""","""",iferror(filter(Schedule!$P:$P&amp;""-""&amp;Schedule!$Q:$Q,Schedule!$L:$L=AE240,(Schedule!$J:$J="""")+(Schedule!$J:$J=AF240),(Schedule!$K:$K=""b"")+(Schedule!$K:$K=""""),Schedule!$P:$P&lt;&gt;""""),""""))"),"")</f>
        <v/>
      </c>
      <c r="AJ240" s="152" t="str">
        <f>IFERROR(__xludf.DUMMYFUNCTION("if(AE240="""","""",iferror(filter(Schedule!$V:$V&amp;""-""&amp;Schedule!$W:$W,Schedule!$L:$L=AE240,(Schedule!$J:$J="""")+(Schedule!$J:$J=AF240),(Schedule!$K:$K=""b"")+(Schedule!$K:$K=""""),Schedule!$V:$V&lt;&gt;""""),""""))"),"")</f>
        <v/>
      </c>
      <c r="AK240" s="152" t="str">
        <f>IFERROR(__xludf.DUMMYFUNCTION("if(AE240="""","""",iferror(filter(Schedule!$AB:$AB&amp;""-""&amp;Schedule!$AC:$AC,Schedule!$L:$L=AE240,(Schedule!$J:$J="""")+(Schedule!$J:$J=AF240),(Schedule!$K:$K=""b"")+(Schedule!$K:$K=""""),Schedule!$AB:$AB&lt;&gt;""""),""""))"),"")</f>
        <v/>
      </c>
      <c r="AL240" s="152" t="str">
        <f>IFERROR(__xludf.DUMMYFUNCTION("if(AE240="""","""",iferror(filter(Schedule!$M:$M&amp;""-""&amp;Schedule!$N:$N,Schedule!$L:$L=AE240,(Schedule!$J:$J="""")+(Schedule!$J:$J=AF240),(Schedule!$K:$K=""b"")+(Schedule!$K:$K=""""),Schedule!$M:$M&lt;&gt;""""),""""))"),"")</f>
        <v/>
      </c>
      <c r="AM240" s="64"/>
    </row>
    <row r="241">
      <c r="A241" s="11"/>
      <c r="B241" s="11"/>
      <c r="C241" s="156"/>
      <c r="D241" s="156"/>
      <c r="E241" s="156"/>
      <c r="F241" s="156"/>
      <c r="G241" s="156"/>
      <c r="H241" s="156"/>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c r="A242" s="5"/>
      <c r="B242" s="5"/>
      <c r="C242" s="140" t="str">
        <f>Teachers!A31</f>
        <v/>
      </c>
      <c r="D242" s="141"/>
      <c r="E242" s="141"/>
      <c r="F242" s="141"/>
      <c r="G242" s="141"/>
      <c r="H242" s="142"/>
      <c r="I242" s="143" t="str">
        <f>IFERROR(__xludf.DUMMYFUNCTION("if(C242="""","""", iferror(unique(filter(Schedule!$J:$J,Schedule!$L:$L=$C242,Schedule!$J:$J=""Q1"")),iferror(unique(filter(Schedule!$J:$J,Schedule!$L:$L=$C242,Schedule!$J:$J=""S1"")),""Y"")))"),"")</f>
        <v/>
      </c>
      <c r="J242" s="11"/>
      <c r="K242" s="11"/>
      <c r="L242" s="11"/>
      <c r="M242" s="140" t="str">
        <f>if(S242="","",C242)</f>
        <v/>
      </c>
      <c r="N242" s="141"/>
      <c r="O242" s="141"/>
      <c r="P242" s="141"/>
      <c r="Q242" s="141"/>
      <c r="R242" s="142"/>
      <c r="S242" s="143" t="str">
        <f>if($I242="Q1","Q2",if($I242="S1","S2",""))</f>
        <v/>
      </c>
      <c r="T242" s="144"/>
      <c r="U242" s="144"/>
      <c r="V242" s="145"/>
      <c r="W242" s="140" t="str">
        <f>if(AC242="","",M242)</f>
        <v/>
      </c>
      <c r="X242" s="141"/>
      <c r="Y242" s="141"/>
      <c r="Z242" s="141"/>
      <c r="AA242" s="141"/>
      <c r="AB242" s="142"/>
      <c r="AC242" s="143" t="str">
        <f>if($I242="Q1","Q3","")</f>
        <v/>
      </c>
      <c r="AD242" s="144"/>
      <c r="AE242" s="144"/>
      <c r="AF242" s="145"/>
      <c r="AG242" s="140" t="str">
        <f>if(AC242="","",W242)</f>
        <v/>
      </c>
      <c r="AH242" s="141"/>
      <c r="AI242" s="141"/>
      <c r="AJ242" s="141"/>
      <c r="AK242" s="141"/>
      <c r="AL242" s="142"/>
      <c r="AM242" s="143" t="str">
        <f>if($I242="Q1","Q4","")</f>
        <v/>
      </c>
    </row>
    <row r="243">
      <c r="A243" s="146"/>
      <c r="B243" s="146"/>
      <c r="C243" s="147" t="s">
        <v>94</v>
      </c>
      <c r="D243" s="148" t="s">
        <v>95</v>
      </c>
      <c r="E243" s="148" t="s">
        <v>96</v>
      </c>
      <c r="F243" s="148" t="s">
        <v>97</v>
      </c>
      <c r="G243" s="148" t="s">
        <v>98</v>
      </c>
      <c r="H243" s="148" t="s">
        <v>99</v>
      </c>
      <c r="I243" s="148" t="s">
        <v>651</v>
      </c>
      <c r="J243" s="146"/>
      <c r="K243" s="146"/>
      <c r="L243" s="146"/>
      <c r="M243" s="147" t="s">
        <v>94</v>
      </c>
      <c r="N243" s="148" t="s">
        <v>95</v>
      </c>
      <c r="O243" s="148" t="s">
        <v>96</v>
      </c>
      <c r="P243" s="148" t="s">
        <v>97</v>
      </c>
      <c r="Q243" s="148" t="s">
        <v>98</v>
      </c>
      <c r="R243" s="148" t="s">
        <v>99</v>
      </c>
      <c r="S243" s="148" t="s">
        <v>651</v>
      </c>
      <c r="T243" s="149"/>
      <c r="U243" s="149"/>
      <c r="V243" s="150"/>
      <c r="W243" s="147" t="s">
        <v>94</v>
      </c>
      <c r="X243" s="148" t="s">
        <v>95</v>
      </c>
      <c r="Y243" s="148" t="s">
        <v>96</v>
      </c>
      <c r="Z243" s="148" t="s">
        <v>97</v>
      </c>
      <c r="AA243" s="148" t="s">
        <v>98</v>
      </c>
      <c r="AB243" s="148" t="s">
        <v>99</v>
      </c>
      <c r="AC243" s="148" t="s">
        <v>651</v>
      </c>
      <c r="AD243" s="149"/>
      <c r="AE243" s="149"/>
      <c r="AF243" s="150"/>
      <c r="AG243" s="147" t="s">
        <v>94</v>
      </c>
      <c r="AH243" s="148" t="s">
        <v>95</v>
      </c>
      <c r="AI243" s="148" t="s">
        <v>96</v>
      </c>
      <c r="AJ243" s="148" t="s">
        <v>97</v>
      </c>
      <c r="AK243" s="148" t="s">
        <v>98</v>
      </c>
      <c r="AL243" s="148" t="s">
        <v>99</v>
      </c>
      <c r="AM243" s="148" t="s">
        <v>651</v>
      </c>
    </row>
    <row r="244">
      <c r="A244" s="151" t="str">
        <f>C242</f>
        <v/>
      </c>
      <c r="B244" s="151" t="str">
        <f>I242</f>
        <v/>
      </c>
      <c r="C244" s="147">
        <v>1.0</v>
      </c>
      <c r="D244" s="152" t="str">
        <f>IFERROR(__xludf.DUMMYFUNCTION("if(A244="""","""",iferror(filter(Schedule!$M:$M&amp;""-""&amp;Schedule!$N:$N,Schedule!$L:$L=A244,(Schedule!$J:$J="""")+(Schedule!$J:$J=B244),(Schedule!$K:$K=""a"")+(Schedule!$K:$K=""""),Schedule!$M:$M&lt;&gt;""""),""""))"),"")</f>
        <v/>
      </c>
      <c r="E244" s="152" t="str">
        <f>IFERROR(__xludf.DUMMYFUNCTION("if(A244="""","""",iferror(filter(Schedule!$AB:$AB&amp;""-""&amp;Schedule!$AC:$AC,Schedule!$L:$L=A244,(Schedule!$J:$J="""")+(Schedule!$J:$J=B244),(Schedule!$K:$K=""b"")+(Schedule!$K:$K=""""),Schedule!$AB:$AB&lt;&gt;""""),""""))"),"")</f>
        <v/>
      </c>
      <c r="F244" s="152" t="str">
        <f>IFERROR(__xludf.DUMMYFUNCTION("if(A244="""","""",iferror(filter(Schedule!$S:$S&amp;""-""&amp;Schedule!$T:$T,Schedule!$L:$L=A244,(Schedule!$J:$J="""")+(Schedule!$J:$J=B244),(Schedule!$K:$K=""a"")+(Schedule!$K:$K=""""),Schedule!$S:$S&lt;&gt;""""),""""))"),"")</f>
        <v/>
      </c>
      <c r="G244" s="152" t="str">
        <f>IFERROR(__xludf.DUMMYFUNCTION("if(A244="""","""",iferror(filter(Schedule!$V:$V&amp;""-""&amp;Schedule!$W:$W,Schedule!$L:$L=A244,(Schedule!$J:$J="""")+(Schedule!$J:$J=B244),(Schedule!$K:$K=""a"")+(Schedule!$K:$K=""""),Schedule!$V:$V&lt;&gt;""""),""""))"),"")</f>
        <v/>
      </c>
      <c r="H244" s="152" t="str">
        <f>IFERROR(__xludf.DUMMYFUNCTION("if(A244="""","""",iferror(filter(Schedule!$Y:$Y&amp;""-""&amp;Schedule!$Z:$Z,Schedule!$L:$L=A244,(Schedule!$J:$J="""")+(Schedule!$J:$J=B244),(Schedule!$K:$K=""b"")+(Schedule!$K:$K=""""),Schedule!$Y:$Y&lt;&gt;""""),""""))"),"")</f>
        <v/>
      </c>
      <c r="I244" s="153" t="str">
        <f>if(C242="","", 24-countifs(D244:H248,""))</f>
        <v/>
      </c>
      <c r="J244" s="154"/>
      <c r="K244" s="151" t="str">
        <f>M242</f>
        <v/>
      </c>
      <c r="L244" s="151" t="str">
        <f>S242</f>
        <v/>
      </c>
      <c r="M244" s="147">
        <v>1.0</v>
      </c>
      <c r="N244" s="152" t="str">
        <f>IFERROR(__xludf.DUMMYFUNCTION("if(K244="""","""",iferror(filter(Schedule!$M:$M&amp;""-""&amp;Schedule!$N:$N,Schedule!$L:$L=K244,(Schedule!$J:$J="""")+(Schedule!$J:$J=L244),(Schedule!$K:$K=""a"")+(Schedule!$K:$K=""""),Schedule!$M:$M&lt;&gt;""""),""""))"),"")</f>
        <v/>
      </c>
      <c r="O244" s="152" t="str">
        <f>IFERROR(__xludf.DUMMYFUNCTION("if(K244="""","""",iferror(filter(Schedule!$AB:$AB&amp;""-""&amp;Schedule!$AC:$AC,Schedule!$L:$L=K244,(Schedule!$J:$J="""")+(Schedule!$J:$J=L244),(Schedule!$K:$K=""b"")+(Schedule!$K:$K=""""),Schedule!$AB:$AB&lt;&gt;""""),""""))"),"")</f>
        <v/>
      </c>
      <c r="P244" s="152" t="str">
        <f>IFERROR(__xludf.DUMMYFUNCTION("if(K244="""","""",iferror(filter(Schedule!$S:$S&amp;""-""&amp;Schedule!$T:$T,Schedule!$L:$L=K244,(Schedule!$J:$J="""")+(Schedule!$J:$J=L244),(Schedule!$K:$K=""a"")+(Schedule!$K:$K=""""),Schedule!$S:$S&lt;&gt;""""),""""))"),"")</f>
        <v/>
      </c>
      <c r="Q244" s="152" t="str">
        <f>IFERROR(__xludf.DUMMYFUNCTION("if(K244="""","""",iferror(filter(Schedule!$V:$V&amp;""-""&amp;Schedule!$W:$W,Schedule!$L:$L=K244,(Schedule!$J:$J="""")+(Schedule!$J:$J=L244),(Schedule!$K:$K=""a"")+(Schedule!$K:$K=""""),Schedule!$V:$V&lt;&gt;""""),""""))"),"")</f>
        <v/>
      </c>
      <c r="R244" s="152" t="str">
        <f>IFERROR(__xludf.DUMMYFUNCTION("if(K244="""","""",iferror(filter(Schedule!$Y:$Y&amp;""-""&amp;Schedule!$Z:$Z,Schedule!$L:$L=K244,(Schedule!$J:$J="""")+(Schedule!$J:$J=L244),(Schedule!$K:$K=""b"")+(Schedule!$K:$K=""""),Schedule!$Y:$Y&lt;&gt;""""),""""))"),"")</f>
        <v/>
      </c>
      <c r="S244" s="153" t="str">
        <f>if(K244="","", 24-countifs(N244:R248,""))</f>
        <v/>
      </c>
      <c r="T244" s="155"/>
      <c r="U244" s="155" t="str">
        <f>W242</f>
        <v/>
      </c>
      <c r="V244" s="151" t="str">
        <f>AC242</f>
        <v/>
      </c>
      <c r="W244" s="147">
        <v>1.0</v>
      </c>
      <c r="X244" s="152" t="str">
        <f>IFERROR(__xludf.DUMMYFUNCTION("if(U244="""","""",iferror(filter(Schedule!$M:$M&amp;""-""&amp;Schedule!$N:$N,Schedule!$L:$L=U244,(Schedule!$J:$J="""")+(Schedule!$J:$J=V244),(Schedule!$K:$K=""a"")+(Schedule!$K:$K=""""),Schedule!$M:$M&lt;&gt;""""),""""))"),"")</f>
        <v/>
      </c>
      <c r="Y244" s="152" t="str">
        <f>IFERROR(__xludf.DUMMYFUNCTION("if(U244="""","""",iferror(filter(Schedule!$AB:$AB&amp;""-""&amp;Schedule!$AC:$AC,Schedule!$L:$L=U244,(Schedule!$J:$J="""")+(Schedule!$J:$J=V244),(Schedule!$K:$K=""b"")+(Schedule!$K:$K=""""),Schedule!$AB:$AB&lt;&gt;""""),""""))"),"")</f>
        <v/>
      </c>
      <c r="Z244" s="152" t="str">
        <f>IFERROR(__xludf.DUMMYFUNCTION("if(U244="""","""",iferror(filter(Schedule!$S:$S&amp;""-""&amp;Schedule!$T:$T,Schedule!$L:$L=U244,(Schedule!$J:$J="""")+(Schedule!$J:$J=V244),(Schedule!$K:$K=""a"")+(Schedule!$K:$K=""""),Schedule!$S:$S&lt;&gt;""""),""""))"),"")</f>
        <v/>
      </c>
      <c r="AA244" s="152" t="str">
        <f>IFERROR(__xludf.DUMMYFUNCTION("if(U244="""","""",iferror(filter(Schedule!$V:$V&amp;""-""&amp;Schedule!$W:$W,Schedule!$L:$L=U244,(Schedule!$J:$J="""")+(Schedule!$J:$J=V244),(Schedule!$K:$K=""a"")+(Schedule!$K:$K=""""),Schedule!$V:$V&lt;&gt;""""),""""))"),"")</f>
        <v/>
      </c>
      <c r="AB244" s="152" t="str">
        <f>IFERROR(__xludf.DUMMYFUNCTION("if(U244="""","""",iferror(filter(Schedule!$Y:$Y&amp;""-""&amp;Schedule!$Z:$Z,Schedule!$L:$L=U244,(Schedule!$J:$J="""")+(Schedule!$J:$J=V244),(Schedule!$K:$K=""b"")+(Schedule!$K:$K=""""),Schedule!$Y:$Y&lt;&gt;""""),""""))"),"")</f>
        <v/>
      </c>
      <c r="AC244" s="153" t="str">
        <f>if(U244="","", 24-countifs(X244:AB248,""))</f>
        <v/>
      </c>
      <c r="AD244" s="155"/>
      <c r="AE244" s="155" t="str">
        <f>AG242</f>
        <v/>
      </c>
      <c r="AF244" s="151" t="str">
        <f>AM242</f>
        <v/>
      </c>
      <c r="AG244" s="147">
        <v>1.0</v>
      </c>
      <c r="AH244" s="152" t="str">
        <f>IFERROR(__xludf.DUMMYFUNCTION("if(AE244="""","""",iferror(filter(Schedule!$M:$M&amp;""-""&amp;Schedule!$N:$N,Schedule!$L:$L=AE244,(Schedule!$J:$J="""")+(Schedule!$J:$J=AF244),(Schedule!$K:$K=""a"")+(Schedule!$K:$K=""""),Schedule!$M:$M&lt;&gt;""""),""""))"),"")</f>
        <v/>
      </c>
      <c r="AI244" s="152" t="str">
        <f>IFERROR(__xludf.DUMMYFUNCTION("if(AE244="""","""",iferror(filter(Schedule!$AB:$AB&amp;""-""&amp;Schedule!$AC:$AC,Schedule!$L:$L=AE244,(Schedule!$J:$J="""")+(Schedule!$J:$J=AF244),(Schedule!$K:$K=""b"")+(Schedule!$K:$K=""""),Schedule!$AB:$AB&lt;&gt;""""),""""))"),"")</f>
        <v/>
      </c>
      <c r="AJ244" s="152" t="str">
        <f>IFERROR(__xludf.DUMMYFUNCTION("if(AE244="""","""",iferror(filter(Schedule!$S:$S&amp;""-""&amp;Schedule!$T:$T,Schedule!$L:$L=AE244,(Schedule!$J:$J="""")+(Schedule!$J:$J=AF244),(Schedule!$K:$K=""a"")+(Schedule!$K:$K=""""),Schedule!$S:$S&lt;&gt;""""),""""))"),"")</f>
        <v/>
      </c>
      <c r="AK244" s="152" t="str">
        <f>IFERROR(__xludf.DUMMYFUNCTION("if(AE244="""","""",iferror(filter(Schedule!$V:$V&amp;""-""&amp;Schedule!$W:$W,Schedule!$L:$L=AE244,(Schedule!$J:$J="""")+(Schedule!$J:$J=AF244),(Schedule!$K:$K=""a"")+(Schedule!$K:$K=""""),Schedule!$V:$V&lt;&gt;""""),""""))"),"")</f>
        <v/>
      </c>
      <c r="AL244" s="152" t="str">
        <f>IFERROR(__xludf.DUMMYFUNCTION("if(AE244="""","""",iferror(filter(Schedule!$Y:$Y&amp;""-""&amp;Schedule!$Z:$Z,Schedule!$L:$L=AE244,(Schedule!$J:$J="""")+(Schedule!$J:$J=AF244),(Schedule!$K:$K=""b"")+(Schedule!$K:$K=""""),Schedule!$Y:$Y&lt;&gt;""""),""""))"),"")</f>
        <v/>
      </c>
      <c r="AM244" s="153" t="str">
        <f>if(AE244="","", 24-countifs(AH244:AL248,""))</f>
        <v/>
      </c>
    </row>
    <row r="245">
      <c r="A245" s="151" t="str">
        <f>C242</f>
        <v/>
      </c>
      <c r="B245" s="151" t="str">
        <f>I242</f>
        <v/>
      </c>
      <c r="C245" s="147">
        <v>2.0</v>
      </c>
      <c r="D245" s="152" t="str">
        <f>IFERROR(__xludf.DUMMYFUNCTION("if(A245="""","""",iferror(filter(Schedule!$P:$P&amp;""-""&amp;Schedule!$Q:$Q,Schedule!$L:$L=A245,(Schedule!$J:$J="""")+(Schedule!$J:$J=B245),(Schedule!$K:$K=""a"")+(Schedule!$K:$K=""""),Schedule!$P:$P&lt;&gt;""""),""""))"),"")</f>
        <v/>
      </c>
      <c r="E245" s="152" t="str">
        <f>IFERROR(__xludf.DUMMYFUNCTION("if(A245="""","""",iferror(filter(Schedule!$Y:$Y&amp;""-""&amp;Schedule!$Z:$Z,Schedule!$L:$L=A245,(Schedule!$J:$J="""")+(Schedule!$J:$J=B245),(Schedule!$K:$K=""b"")+(Schedule!$K:$K=""""),Schedule!$Y:$Y&lt;&gt;""""),""""))"),"")</f>
        <v/>
      </c>
      <c r="F245" s="152" t="str">
        <f>IFERROR(__xludf.DUMMYFUNCTION("if(A245="""","""",iferror(filter(Schedule!$P:$P&amp;""-""&amp;Schedule!$Q:$Q,Schedule!$L:$L=A245,(Schedule!$J:$J="""")+(Schedule!$J:$J=B245),(Schedule!$K:$K=""a"")+(Schedule!$K:$K=""""),Schedule!$P:$P&lt;&gt;""""),""""))"),"")</f>
        <v/>
      </c>
      <c r="G245" s="152" t="str">
        <f>IFERROR(__xludf.DUMMYFUNCTION("if(A245="""","""",iferror(filter(Schedule!$M:$M&amp;""-""&amp;Schedule!$N:$N,Schedule!$L:$L=A245,(Schedule!$J:$J="""")+(Schedule!$J:$J=B245),(Schedule!$K:$K=""a"")+(Schedule!$K:$K=""""),Schedule!$M:$M&lt;&gt;""""),""""))"),"")</f>
        <v/>
      </c>
      <c r="H245" s="152" t="str">
        <f>IFERROR(__xludf.DUMMYFUNCTION("if(A245="""","""",iferror(filter(Schedule!$AB:$AB&amp;""-""&amp;Schedule!$AC:$AC,Schedule!$L:$L=A245,(Schedule!$J:$J="""")+(Schedule!$J:$J=B245),(Schedule!$K:$K=""a"")+(Schedule!$K:$K=""""),Schedule!$AB:$AB&lt;&gt;""""),""""))"),"")</f>
        <v/>
      </c>
      <c r="I245" s="60"/>
      <c r="J245" s="154"/>
      <c r="K245" s="151" t="str">
        <f>M242</f>
        <v/>
      </c>
      <c r="L245" s="151" t="str">
        <f>S242</f>
        <v/>
      </c>
      <c r="M245" s="147">
        <v>2.0</v>
      </c>
      <c r="N245" s="152" t="str">
        <f>IFERROR(__xludf.DUMMYFUNCTION("if(K245="""","""",iferror(filter(Schedule!$P:$P&amp;""-""&amp;Schedule!$Q:$Q,Schedule!$L:$L=K245,(Schedule!$J:$J="""")+(Schedule!$J:$J=L245),(Schedule!$K:$K=""a"")+(Schedule!$K:$K=""""),Schedule!$P:$P&lt;&gt;""""),""""))"),"")</f>
        <v/>
      </c>
      <c r="O245" s="152" t="str">
        <f>IFERROR(__xludf.DUMMYFUNCTION("if(K245="""","""",iferror(filter(Schedule!$Y:$Y&amp;""-""&amp;Schedule!$Z:$Z,Schedule!$L:$L=K245,(Schedule!$J:$J="""")+(Schedule!$J:$J=L245),(Schedule!$K:$K=""b"")+(Schedule!$K:$K=""""),Schedule!$Y:$Y&lt;&gt;""""),""""))"),"")</f>
        <v/>
      </c>
      <c r="P245" s="152" t="str">
        <f>IFERROR(__xludf.DUMMYFUNCTION("if(K245="""","""",iferror(filter(Schedule!$P:$P&amp;""-""&amp;Schedule!$Q:$Q,Schedule!$L:$L=K245,(Schedule!$J:$J="""")+(Schedule!$J:$J=L245),(Schedule!$K:$K=""a"")+(Schedule!$K:$K=""""),Schedule!$P:$P&lt;&gt;""""),""""))"),"")</f>
        <v/>
      </c>
      <c r="Q245" s="152" t="str">
        <f>IFERROR(__xludf.DUMMYFUNCTION("if(K245="""","""",iferror(filter(Schedule!$M:$M&amp;""-""&amp;Schedule!$N:$N,Schedule!$L:$L=K245,(Schedule!$J:$J="""")+(Schedule!$J:$J=L245),(Schedule!$K:$K=""a"")+(Schedule!$K:$K=""""),Schedule!$M:$M&lt;&gt;""""),""""))"),"")</f>
        <v/>
      </c>
      <c r="R245" s="152" t="str">
        <f>IFERROR(__xludf.DUMMYFUNCTION("if(K245="""","""",iferror(filter(Schedule!$AB:$AB&amp;""-""&amp;Schedule!$AC:$AC,Schedule!$L:$L=K245,(Schedule!$J:$J="""")+(Schedule!$J:$J=L245),(Schedule!$K:$K=""a"")+(Schedule!$K:$K=""""),Schedule!$AB:$AB&lt;&gt;""""),""""))"),"")</f>
        <v/>
      </c>
      <c r="S245" s="60"/>
      <c r="T245" s="155"/>
      <c r="U245" s="155" t="str">
        <f>W242</f>
        <v/>
      </c>
      <c r="V245" s="151" t="str">
        <f>AC242</f>
        <v/>
      </c>
      <c r="W245" s="147">
        <v>2.0</v>
      </c>
      <c r="X245" s="152" t="str">
        <f>IFERROR(__xludf.DUMMYFUNCTION("if(U245="""","""",iferror(filter(Schedule!$P:$P&amp;""-""&amp;Schedule!$Q:$Q,Schedule!$L:$L=U245,(Schedule!$J:$J="""")+(Schedule!$J:$J=V245),(Schedule!$K:$K=""a"")+(Schedule!$K:$K=""""),Schedule!$P:$P&lt;&gt;""""),""""))"),"")</f>
        <v/>
      </c>
      <c r="Y245" s="152" t="str">
        <f>IFERROR(__xludf.DUMMYFUNCTION("if(U245="""","""",iferror(filter(Schedule!$Y:$Y&amp;""-""&amp;Schedule!$Z:$Z,Schedule!$L:$L=U245,(Schedule!$J:$J="""")+(Schedule!$J:$J=V245),(Schedule!$K:$K=""b"")+(Schedule!$K:$K=""""),Schedule!$Y:$Y&lt;&gt;""""),""""))"),"")</f>
        <v/>
      </c>
      <c r="Z245" s="152" t="str">
        <f>IFERROR(__xludf.DUMMYFUNCTION("if(U245="""","""",iferror(filter(Schedule!$P:$P&amp;""-""&amp;Schedule!$Q:$Q,Schedule!$L:$L=U245,(Schedule!$J:$J="""")+(Schedule!$J:$J=V245),(Schedule!$K:$K=""a"")+(Schedule!$K:$K=""""),Schedule!$P:$P&lt;&gt;""""),""""))"),"")</f>
        <v/>
      </c>
      <c r="AA245" s="152" t="str">
        <f>IFERROR(__xludf.DUMMYFUNCTION("if(U245="""","""",iferror(filter(Schedule!$M:$M&amp;""-""&amp;Schedule!$N:$N,Schedule!$L:$L=U245,(Schedule!$J:$J="""")+(Schedule!$J:$J=V245),(Schedule!$K:$K=""a"")+(Schedule!$K:$K=""""),Schedule!$M:$M&lt;&gt;""""),""""))"),"")</f>
        <v/>
      </c>
      <c r="AB245" s="152" t="str">
        <f>IFERROR(__xludf.DUMMYFUNCTION("if(U245="""","""",iferror(filter(Schedule!$AB:$AB&amp;""-""&amp;Schedule!$AC:$AC,Schedule!$L:$L=U245,(Schedule!$J:$J="""")+(Schedule!$J:$J=V245),(Schedule!$K:$K=""a"")+(Schedule!$K:$K=""""),Schedule!$AB:$AB&lt;&gt;""""),""""))"),"")</f>
        <v/>
      </c>
      <c r="AC245" s="60"/>
      <c r="AD245" s="155"/>
      <c r="AE245" s="155" t="str">
        <f>AG242</f>
        <v/>
      </c>
      <c r="AF245" s="151" t="str">
        <f>AM242</f>
        <v/>
      </c>
      <c r="AG245" s="147">
        <v>2.0</v>
      </c>
      <c r="AH245" s="152" t="str">
        <f>IFERROR(__xludf.DUMMYFUNCTION("if(AE245="""","""",iferror(filter(Schedule!$P:$P&amp;""-""&amp;Schedule!$Q:$Q,Schedule!$L:$L=AE245,(Schedule!$J:$J="""")+(Schedule!$J:$J=AF245),(Schedule!$K:$K=""a"")+(Schedule!$K:$K=""""),Schedule!$P:$P&lt;&gt;""""),""""))"),"")</f>
        <v/>
      </c>
      <c r="AI245" s="152" t="str">
        <f>IFERROR(__xludf.DUMMYFUNCTION("if(AE245="""","""",iferror(filter(Schedule!$Y:$Y&amp;""-""&amp;Schedule!$Z:$Z,Schedule!$L:$L=AE245,(Schedule!$J:$J="""")+(Schedule!$J:$J=AF245),(Schedule!$K:$K=""b"")+(Schedule!$K:$K=""""),Schedule!$Y:$Y&lt;&gt;""""),""""))"),"")</f>
        <v/>
      </c>
      <c r="AJ245" s="152" t="str">
        <f>IFERROR(__xludf.DUMMYFUNCTION("if(AE245="""","""",iferror(filter(Schedule!$P:$P&amp;""-""&amp;Schedule!$Q:$Q,Schedule!$L:$L=AE245,(Schedule!$J:$J="""")+(Schedule!$J:$J=AF245),(Schedule!$K:$K=""a"")+(Schedule!$K:$K=""""),Schedule!$P:$P&lt;&gt;""""),""""))"),"")</f>
        <v/>
      </c>
      <c r="AK245" s="152" t="str">
        <f>IFERROR(__xludf.DUMMYFUNCTION("if(AE245="""","""",iferror(filter(Schedule!$M:$M&amp;""-""&amp;Schedule!$N:$N,Schedule!$L:$L=AE245,(Schedule!$J:$J="""")+(Schedule!$J:$J=AF245),(Schedule!$K:$K=""a"")+(Schedule!$K:$K=""""),Schedule!$M:$M&lt;&gt;""""),""""))"),"")</f>
        <v/>
      </c>
      <c r="AL245" s="152" t="str">
        <f>IFERROR(__xludf.DUMMYFUNCTION("if(AE245="""","""",iferror(filter(Schedule!$AB:$AB&amp;""-""&amp;Schedule!$AC:$AC,Schedule!$L:$L=AE245,(Schedule!$J:$J="""")+(Schedule!$J:$J=AF245),(Schedule!$K:$K=""a"")+(Schedule!$K:$K=""""),Schedule!$AB:$AB&lt;&gt;""""),""""))"),"")</f>
        <v/>
      </c>
      <c r="AM245" s="60"/>
    </row>
    <row r="246">
      <c r="A246" s="151" t="str">
        <f>C242</f>
        <v/>
      </c>
      <c r="B246" s="151" t="str">
        <f>I242</f>
        <v/>
      </c>
      <c r="C246" s="147">
        <v>3.0</v>
      </c>
      <c r="D246" s="152" t="str">
        <f>IFERROR(__xludf.DUMMYFUNCTION("if(A246="""","""",iferror(filter(Schedule!$S:$S&amp;""-""&amp;Schedule!$T:$T,Schedule!$L:$L=A246,(Schedule!$J:$J="""")+(Schedule!$J:$J=B246),(Schedule!$K:$K=""a"")+(Schedule!$K:$K=""""),Schedule!$S:$S&lt;&gt;""""),""""))"),"")</f>
        <v/>
      </c>
      <c r="E246" s="152" t="str">
        <f>IFERROR(__xludf.DUMMYFUNCTION("if(A246="""","""",iferror(filter(Schedule!$S:$S&amp;""-""&amp;Schedule!$T:$T,Schedule!$L:$L=A246,(Schedule!$J:$J="""")+(Schedule!$J:$J=B246),(Schedule!$K:$K=""b"")+(Schedule!$K:$K=""""),Schedule!$S:$S&lt;&gt;""""),""""))"),"")</f>
        <v/>
      </c>
      <c r="F246" s="152" t="str">
        <f>IFERROR(__xludf.DUMMYFUNCTION("if(A246="""","""",iferror(filter(Schedule!$Y:$Y&amp;""-""&amp;Schedule!$Z:$Z,Schedule!$L:$L=A246,(Schedule!$J:$J="""")+(Schedule!$J:$J=B246),(Schedule!$K:$K=""a"")+(Schedule!$K:$K=""""),Schedule!$Y:$Y&lt;&gt;""""),""""))"),"")</f>
        <v/>
      </c>
      <c r="G246" s="152" t="str">
        <f>IFERROR(__xludf.DUMMYFUNCTION("if(A246="""","""",iferror(filter(Schedule!$P:$P&amp;""-""&amp;Schedule!$Q:$Q,Schedule!$L:$L=A246,(Schedule!$J:$J="""")+(Schedule!$J:$J=B246),(Schedule!$K:$K=""b"")+(Schedule!$K:$K=""""),Schedule!$P:$P&lt;&gt;""""),""""))"),"")</f>
        <v/>
      </c>
      <c r="H246" s="152" t="str">
        <f>if(C242="","","X-Block")</f>
        <v/>
      </c>
      <c r="I246" s="60"/>
      <c r="J246" s="154"/>
      <c r="K246" s="151" t="str">
        <f>M242</f>
        <v/>
      </c>
      <c r="L246" s="151" t="str">
        <f>S242</f>
        <v/>
      </c>
      <c r="M246" s="147">
        <v>3.0</v>
      </c>
      <c r="N246" s="152" t="str">
        <f>IFERROR(__xludf.DUMMYFUNCTION("if(K246="""","""",iferror(filter(Schedule!$S:$S&amp;""-""&amp;Schedule!$T:$T,Schedule!$L:$L=K246,(Schedule!$J:$J="""")+(Schedule!$J:$J=L246),(Schedule!$K:$K=""a"")+(Schedule!$K:$K=""""),Schedule!$S:$S&lt;&gt;""""),""""))"),"")</f>
        <v/>
      </c>
      <c r="O246" s="152" t="str">
        <f>IFERROR(__xludf.DUMMYFUNCTION("if(K246="""","""",iferror(filter(Schedule!$S:$S&amp;""-""&amp;Schedule!$T:$T,Schedule!$L:$L=K246,(Schedule!$J:$J="""")+(Schedule!$J:$J=L246),(Schedule!$K:$K=""b"")+(Schedule!$K:$K=""""),Schedule!$S:$S&lt;&gt;""""),""""))"),"")</f>
        <v/>
      </c>
      <c r="P246" s="152" t="str">
        <f>IFERROR(__xludf.DUMMYFUNCTION("if(K246="""","""",iferror(filter(Schedule!$Y:$Y&amp;""-""&amp;Schedule!$Z:$Z,Schedule!$L:$L=K246,(Schedule!$J:$J="""")+(Schedule!$J:$J=L246),(Schedule!$K:$K=""a"")+(Schedule!$K:$K=""""),Schedule!$Y:$Y&lt;&gt;""""),""""))"),"")</f>
        <v/>
      </c>
      <c r="Q246" s="152" t="str">
        <f>IFERROR(__xludf.DUMMYFUNCTION("if(K246="""","""",iferror(filter(Schedule!$P:$P&amp;""-""&amp;Schedule!$Q:$Q,Schedule!$L:$L=K246,(Schedule!$J:$J="""")+(Schedule!$J:$J=L246),(Schedule!$K:$K=""b"")+(Schedule!$K:$K=""""),Schedule!$P:$P&lt;&gt;""""),""""))"),"")</f>
        <v/>
      </c>
      <c r="R246" s="152" t="str">
        <f>if(M242="","","X-Block")</f>
        <v/>
      </c>
      <c r="S246" s="60"/>
      <c r="T246" s="155"/>
      <c r="U246" s="155" t="str">
        <f>W242</f>
        <v/>
      </c>
      <c r="V246" s="151" t="str">
        <f>AC242</f>
        <v/>
      </c>
      <c r="W246" s="147">
        <v>3.0</v>
      </c>
      <c r="X246" s="152" t="str">
        <f>IFERROR(__xludf.DUMMYFUNCTION("if(U246="""","""",iferror(filter(Schedule!$S:$S&amp;""-""&amp;Schedule!$T:$T,Schedule!$L:$L=U246,(Schedule!$J:$J="""")+(Schedule!$J:$J=V246),(Schedule!$K:$K=""a"")+(Schedule!$K:$K=""""),Schedule!$S:$S&lt;&gt;""""),""""))"),"")</f>
        <v/>
      </c>
      <c r="Y246" s="152" t="str">
        <f>IFERROR(__xludf.DUMMYFUNCTION("if(U246="""","""",iferror(filter(Schedule!$S:$S&amp;""-""&amp;Schedule!$T:$T,Schedule!$L:$L=U246,(Schedule!$J:$J="""")+(Schedule!$J:$J=V246),(Schedule!$K:$K=""b"")+(Schedule!$K:$K=""""),Schedule!$S:$S&lt;&gt;""""),""""))"),"")</f>
        <v/>
      </c>
      <c r="Z246" s="152" t="str">
        <f>IFERROR(__xludf.DUMMYFUNCTION("if(U246="""","""",iferror(filter(Schedule!$Y:$Y&amp;""-""&amp;Schedule!$Z:$Z,Schedule!$L:$L=U246,(Schedule!$J:$J="""")+(Schedule!$J:$J=V246),(Schedule!$K:$K=""a"")+(Schedule!$K:$K=""""),Schedule!$Y:$Y&lt;&gt;""""),""""))"),"")</f>
        <v/>
      </c>
      <c r="AA246" s="152" t="str">
        <f>IFERROR(__xludf.DUMMYFUNCTION("if(U246="""","""",iferror(filter(Schedule!$P:$P&amp;""-""&amp;Schedule!$Q:$Q,Schedule!$L:$L=U246,(Schedule!$J:$J="""")+(Schedule!$J:$J=V246),(Schedule!$K:$K=""b"")+(Schedule!$K:$K=""""),Schedule!$P:$P&lt;&gt;""""),""""))"),"")</f>
        <v/>
      </c>
      <c r="AB246" s="152" t="str">
        <f>if(W242="","","X-Block")</f>
        <v/>
      </c>
      <c r="AC246" s="60"/>
      <c r="AD246" s="155"/>
      <c r="AE246" s="155" t="str">
        <f>AG242</f>
        <v/>
      </c>
      <c r="AF246" s="151" t="str">
        <f>AM242</f>
        <v/>
      </c>
      <c r="AG246" s="147">
        <v>3.0</v>
      </c>
      <c r="AH246" s="152" t="str">
        <f>IFERROR(__xludf.DUMMYFUNCTION("if(AE246="""","""",iferror(filter(Schedule!$S:$S&amp;""-""&amp;Schedule!$T:$T,Schedule!$L:$L=AE246,(Schedule!$J:$J="""")+(Schedule!$J:$J=AF246),(Schedule!$K:$K=""a"")+(Schedule!$K:$K=""""),Schedule!$S:$S&lt;&gt;""""),""""))"),"")</f>
        <v/>
      </c>
      <c r="AI246" s="152" t="str">
        <f>IFERROR(__xludf.DUMMYFUNCTION("if(AE246="""","""",iferror(filter(Schedule!$S:$S&amp;""-""&amp;Schedule!$T:$T,Schedule!$L:$L=AE246,(Schedule!$J:$J="""")+(Schedule!$J:$J=AF246),(Schedule!$K:$K=""b"")+(Schedule!$K:$K=""""),Schedule!$S:$S&lt;&gt;""""),""""))"),"")</f>
        <v/>
      </c>
      <c r="AJ246" s="152" t="str">
        <f>IFERROR(__xludf.DUMMYFUNCTION("if(AE246="""","""",iferror(filter(Schedule!$Y:$Y&amp;""-""&amp;Schedule!$Z:$Z,Schedule!$L:$L=AE246,(Schedule!$J:$J="""")+(Schedule!$J:$J=AF246),(Schedule!$K:$K=""a"")+(Schedule!$K:$K=""""),Schedule!$Y:$Y&lt;&gt;""""),""""))"),"")</f>
        <v/>
      </c>
      <c r="AK246" s="152" t="str">
        <f>IFERROR(__xludf.DUMMYFUNCTION("if(AE246="""","""",iferror(filter(Schedule!$P:$P&amp;""-""&amp;Schedule!$Q:$Q,Schedule!$L:$L=AE246,(Schedule!$J:$J="""")+(Schedule!$J:$J=AF246),(Schedule!$K:$K=""b"")+(Schedule!$K:$K=""""),Schedule!$P:$P&lt;&gt;""""),""""))"),"")</f>
        <v/>
      </c>
      <c r="AL246" s="152" t="str">
        <f>if(AG242="","","X-Block")</f>
        <v/>
      </c>
      <c r="AM246" s="60"/>
    </row>
    <row r="247">
      <c r="A247" s="151" t="str">
        <f>C242</f>
        <v/>
      </c>
      <c r="B247" s="151" t="str">
        <f>I242</f>
        <v/>
      </c>
      <c r="C247" s="147">
        <v>4.0</v>
      </c>
      <c r="D247" s="152" t="str">
        <f>IFERROR(__xludf.DUMMYFUNCTION("if(A247="""","""",iferror(filter(Schedule!$V:$V&amp;""-""&amp;Schedule!$W:$W,Schedule!$L:$L=A247,(Schedule!$J:$J="""")+(Schedule!$J:$J=B247),(Schedule!$K:$K=""a"")+(Schedule!$K:$K=""""),Schedule!$V:$V&lt;&gt;""""),""""))"),"")</f>
        <v/>
      </c>
      <c r="E247" s="152" t="str">
        <f>IFERROR(__xludf.DUMMYFUNCTION("if(A247="""","""",iferror(filter(Schedule!$M:$M&amp;""-""&amp;Schedule!$N:$N,Schedule!$L:$L=A247,(Schedule!$J:$J="""")+(Schedule!$J:$J=B247),(Schedule!$K:$K=""b"")+(Schedule!$K:$K=""""),Schedule!$M:$M&lt;&gt;""""),""""))"),"")</f>
        <v/>
      </c>
      <c r="F247" s="152" t="str">
        <f>IFERROR(__xludf.DUMMYFUNCTION("if(A247="""","""",iferror(filter(Schedule!$AB:$AB&amp;""-""&amp;Schedule!$AC:$AC,Schedule!$L:$L=A247,(Schedule!$J:$J="""")+(Schedule!$J:$J=B247),(Schedule!$K:$K=""a"")+(Schedule!$K:$K=""""),Schedule!$AB:$AB&lt;&gt;""""),""""))"),"")</f>
        <v/>
      </c>
      <c r="G247" s="152" t="str">
        <f>IFERROR(__xludf.DUMMYFUNCTION("if(A247="""","""",iferror(filter(Schedule!$S:$S&amp;""-""&amp;Schedule!$T:$T,Schedule!$L:$L=A247,(Schedule!$J:$J="""")+(Schedule!$J:$J=B247),(Schedule!$K:$K=""b"")+(Schedule!$K:$K=""""),Schedule!$S:$S&lt;&gt;""""),""""))"),"")</f>
        <v/>
      </c>
      <c r="H247" s="152" t="str">
        <f>IFERROR(__xludf.DUMMYFUNCTION("if(A247="""","""",iferror(filter(Schedule!$V:$V&amp;""-""&amp;Schedule!$W:$W,Schedule!$L:$L=A247,(Schedule!$J:$J="""")+(Schedule!$J:$J=B247),(Schedule!$K:$K=""b"")+(Schedule!$K:$K=""""),Schedule!$V:$V&lt;&gt;""""),""""))"),"")</f>
        <v/>
      </c>
      <c r="I247" s="60"/>
      <c r="J247" s="154"/>
      <c r="K247" s="151" t="str">
        <f>M242</f>
        <v/>
      </c>
      <c r="L247" s="151" t="str">
        <f>S242</f>
        <v/>
      </c>
      <c r="M247" s="147">
        <v>4.0</v>
      </c>
      <c r="N247" s="152" t="str">
        <f>IFERROR(__xludf.DUMMYFUNCTION("if(K247="""","""",iferror(filter(Schedule!$V:$V&amp;""-""&amp;Schedule!$W:$W,Schedule!$L:$L=K247,(Schedule!$J:$J="""")+(Schedule!$J:$J=L247),(Schedule!$K:$K=""a"")+(Schedule!$K:$K=""""),Schedule!$V:$V&lt;&gt;""""),""""))"),"")</f>
        <v/>
      </c>
      <c r="O247" s="152" t="str">
        <f>IFERROR(__xludf.DUMMYFUNCTION("if(K247="""","""",iferror(filter(Schedule!$M:$M&amp;""-""&amp;Schedule!$N:$N,Schedule!$L:$L=K247,(Schedule!$J:$J="""")+(Schedule!$J:$J=L247),(Schedule!$K:$K=""b"")+(Schedule!$K:$K=""""),Schedule!$M:$M&lt;&gt;""""),""""))"),"")</f>
        <v/>
      </c>
      <c r="P247" s="152" t="str">
        <f>IFERROR(__xludf.DUMMYFUNCTION("if(K247="""","""",iferror(filter(Schedule!$AB:$AB&amp;""-""&amp;Schedule!$AC:$AC,Schedule!$L:$L=K247,(Schedule!$J:$J="""")+(Schedule!$J:$J=L247),(Schedule!$K:$K=""a"")+(Schedule!$K:$K=""""),Schedule!$AB:$AB&lt;&gt;""""),""""))"),"")</f>
        <v/>
      </c>
      <c r="Q247" s="152" t="str">
        <f>IFERROR(__xludf.DUMMYFUNCTION("if(K247="""","""",iferror(filter(Schedule!$S:$S&amp;""-""&amp;Schedule!$T:$T,Schedule!$L:$L=K247,(Schedule!$J:$J="""")+(Schedule!$J:$J=L247),(Schedule!$K:$K=""b"")+(Schedule!$K:$K=""""),Schedule!$S:$S&lt;&gt;""""),""""))"),"")</f>
        <v/>
      </c>
      <c r="R247" s="152" t="str">
        <f>IFERROR(__xludf.DUMMYFUNCTION("if(K247="""","""",iferror(filter(Schedule!$V:$V&amp;""-""&amp;Schedule!$W:$W,Schedule!$L:$L=K247,(Schedule!$J:$J="""")+(Schedule!$J:$J=L247),(Schedule!$K:$K=""b"")+(Schedule!$K:$K=""""),Schedule!$V:$V&lt;&gt;""""),""""))"),"")</f>
        <v/>
      </c>
      <c r="S247" s="60"/>
      <c r="T247" s="155"/>
      <c r="U247" s="155" t="str">
        <f>W242</f>
        <v/>
      </c>
      <c r="V247" s="151" t="str">
        <f>AC242</f>
        <v/>
      </c>
      <c r="W247" s="147">
        <v>4.0</v>
      </c>
      <c r="X247" s="152" t="str">
        <f>IFERROR(__xludf.DUMMYFUNCTION("if(U247="""","""",iferror(filter(Schedule!$V:$V&amp;""-""&amp;Schedule!$W:$W,Schedule!$L:$L=U247,(Schedule!$J:$J="""")+(Schedule!$J:$J=V247),(Schedule!$K:$K=""a"")+(Schedule!$K:$K=""""),Schedule!$V:$V&lt;&gt;""""),""""))"),"")</f>
        <v/>
      </c>
      <c r="Y247" s="152" t="str">
        <f>IFERROR(__xludf.DUMMYFUNCTION("if(U247="""","""",iferror(filter(Schedule!$M:$M&amp;""-""&amp;Schedule!$N:$N,Schedule!$L:$L=U247,(Schedule!$J:$J="""")+(Schedule!$J:$J=V247),(Schedule!$K:$K=""b"")+(Schedule!$K:$K=""""),Schedule!$M:$M&lt;&gt;""""),""""))"),"")</f>
        <v/>
      </c>
      <c r="Z247" s="152" t="str">
        <f>IFERROR(__xludf.DUMMYFUNCTION("if(U247="""","""",iferror(filter(Schedule!$AB:$AB&amp;""-""&amp;Schedule!$AC:$AC,Schedule!$L:$L=U247,(Schedule!$J:$J="""")+(Schedule!$J:$J=V247),(Schedule!$K:$K=""a"")+(Schedule!$K:$K=""""),Schedule!$AB:$AB&lt;&gt;""""),""""))"),"")</f>
        <v/>
      </c>
      <c r="AA247" s="152" t="str">
        <f>IFERROR(__xludf.DUMMYFUNCTION("if(U247="""","""",iferror(filter(Schedule!$S:$S&amp;""-""&amp;Schedule!$T:$T,Schedule!$L:$L=U247,(Schedule!$J:$J="""")+(Schedule!$J:$J=V247),(Schedule!$K:$K=""b"")+(Schedule!$K:$K=""""),Schedule!$S:$S&lt;&gt;""""),""""))"),"")</f>
        <v/>
      </c>
      <c r="AB247" s="152" t="str">
        <f>IFERROR(__xludf.DUMMYFUNCTION("if(U247="""","""",iferror(filter(Schedule!$V:$V&amp;""-""&amp;Schedule!$W:$W,Schedule!$L:$L=U247,(Schedule!$J:$J="""")+(Schedule!$J:$J=V247),(Schedule!$K:$K=""b"")+(Schedule!$K:$K=""""),Schedule!$V:$V&lt;&gt;""""),""""))"),"")</f>
        <v/>
      </c>
      <c r="AC247" s="60"/>
      <c r="AD247" s="155"/>
      <c r="AE247" s="155" t="str">
        <f>AG242</f>
        <v/>
      </c>
      <c r="AF247" s="151" t="str">
        <f>AM242</f>
        <v/>
      </c>
      <c r="AG247" s="147">
        <v>4.0</v>
      </c>
      <c r="AH247" s="152" t="str">
        <f>IFERROR(__xludf.DUMMYFUNCTION("if(AE247="""","""",iferror(filter(Schedule!$V:$V&amp;""-""&amp;Schedule!$W:$W,Schedule!$L:$L=AE247,(Schedule!$J:$J="""")+(Schedule!$J:$J=AF247),(Schedule!$K:$K=""a"")+(Schedule!$K:$K=""""),Schedule!$V:$V&lt;&gt;""""),""""))"),"")</f>
        <v/>
      </c>
      <c r="AI247" s="152" t="str">
        <f>IFERROR(__xludf.DUMMYFUNCTION("if(AE247="""","""",iferror(filter(Schedule!$M:$M&amp;""-""&amp;Schedule!$N:$N,Schedule!$L:$L=AE247,(Schedule!$J:$J="""")+(Schedule!$J:$J=AF247),(Schedule!$K:$K=""b"")+(Schedule!$K:$K=""""),Schedule!$M:$M&lt;&gt;""""),""""))"),"")</f>
        <v/>
      </c>
      <c r="AJ247" s="152" t="str">
        <f>IFERROR(__xludf.DUMMYFUNCTION("if(AE247="""","""",iferror(filter(Schedule!$AB:$AB&amp;""-""&amp;Schedule!$AC:$AC,Schedule!$L:$L=AE247,(Schedule!$J:$J="""")+(Schedule!$J:$J=AF247),(Schedule!$K:$K=""a"")+(Schedule!$K:$K=""""),Schedule!$AB:$AB&lt;&gt;""""),""""))"),"")</f>
        <v/>
      </c>
      <c r="AK247" s="152" t="str">
        <f>IFERROR(__xludf.DUMMYFUNCTION("if(AE247="""","""",iferror(filter(Schedule!$S:$S&amp;""-""&amp;Schedule!$T:$T,Schedule!$L:$L=AE247,(Schedule!$J:$J="""")+(Schedule!$J:$J=AF247),(Schedule!$K:$K=""b"")+(Schedule!$K:$K=""""),Schedule!$S:$S&lt;&gt;""""),""""))"),"")</f>
        <v/>
      </c>
      <c r="AL247" s="152" t="str">
        <f>IFERROR(__xludf.DUMMYFUNCTION("if(AE247="""","""",iferror(filter(Schedule!$V:$V&amp;""-""&amp;Schedule!$W:$W,Schedule!$L:$L=AE247,(Schedule!$J:$J="""")+(Schedule!$J:$J=AF247),(Schedule!$K:$K=""b"")+(Schedule!$K:$K=""""),Schedule!$V:$V&lt;&gt;""""),""""))"),"")</f>
        <v/>
      </c>
      <c r="AM247" s="60"/>
    </row>
    <row r="248">
      <c r="A248" s="151" t="str">
        <f>C242</f>
        <v/>
      </c>
      <c r="B248" s="151" t="str">
        <f>I242</f>
        <v/>
      </c>
      <c r="C248" s="147">
        <v>5.0</v>
      </c>
      <c r="D248" s="152" t="str">
        <f>IFERROR(__xludf.DUMMYFUNCTION("if(A248="""","""",iferror(filter(Schedule!$Y:$Y&amp;""-""&amp;Schedule!$Z:$Z,Schedule!$L:$L=A248,(Schedule!$J:$J="""")+(Schedule!$J:$J=B248),(Schedule!$K:$K=""a"")+(Schedule!$K:$K=""""),Schedule!$Y:$Y&lt;&gt;""""),""""))"),"")</f>
        <v/>
      </c>
      <c r="E248" s="152" t="str">
        <f>IFERROR(__xludf.DUMMYFUNCTION("if(A248="""","""",iferror(filter(Schedule!$P:$P&amp;""-""&amp;Schedule!$Q:$Q,Schedule!$L:$L=A248,(Schedule!$J:$J="""")+(Schedule!$J:$J=B248),(Schedule!$K:$K=""b"")+(Schedule!$K:$K=""""),Schedule!$P:$P&lt;&gt;""""),""""))"),"")</f>
        <v/>
      </c>
      <c r="F248" s="152" t="str">
        <f>IFERROR(__xludf.DUMMYFUNCTION("if(A248="""","""",iferror(filter(Schedule!$V:$V&amp;""-""&amp;Schedule!$W:$W,Schedule!$L:$L=A248,(Schedule!$J:$J="""")+(Schedule!$J:$J=B248),(Schedule!$K:$K=""b"")+(Schedule!$K:$K=""""),Schedule!$V:$V&lt;&gt;""""),""""))"),"")</f>
        <v/>
      </c>
      <c r="G248" s="152" t="str">
        <f>IFERROR(__xludf.DUMMYFUNCTION("if(A248="""","""",iferror(filter(Schedule!$AB:$AB&amp;""-""&amp;Schedule!$AC:$AC,Schedule!$L:$L=A248,(Schedule!$J:$J="""")+(Schedule!$J:$J=B248),(Schedule!$K:$K=""b"")+(Schedule!$K:$K=""""),Schedule!$AB:$AB&lt;&gt;""""),""""))"),"")</f>
        <v/>
      </c>
      <c r="H248" s="152" t="str">
        <f>IFERROR(__xludf.DUMMYFUNCTION("if(A248="""","""",iferror(filter(Schedule!$M:$M&amp;""-""&amp;Schedule!$N:$N,Schedule!$L:$L=A248,(Schedule!$J:$J="""")+(Schedule!$J:$J=B248),(Schedule!$K:$K=""b"")+(Schedule!$K:$K=""""),Schedule!$M:$M&lt;&gt;""""),""""))"),"")</f>
        <v/>
      </c>
      <c r="I248" s="64"/>
      <c r="J248" s="154"/>
      <c r="K248" s="151" t="str">
        <f>M242</f>
        <v/>
      </c>
      <c r="L248" s="151" t="str">
        <f>S242</f>
        <v/>
      </c>
      <c r="M248" s="147">
        <v>5.0</v>
      </c>
      <c r="N248" s="152" t="str">
        <f>IFERROR(__xludf.DUMMYFUNCTION("if(K248="""","""",iferror(filter(Schedule!$Y:$Y&amp;""-""&amp;Schedule!$Z:$Z,Schedule!$L:$L=K248,(Schedule!$J:$J="""")+(Schedule!$J:$J=L248),(Schedule!$K:$K=""a"")+(Schedule!$K:$K=""""),Schedule!$Y:$Y&lt;&gt;""""),""""))"),"")</f>
        <v/>
      </c>
      <c r="O248" s="152" t="str">
        <f>IFERROR(__xludf.DUMMYFUNCTION("if(K248="""","""",iferror(filter(Schedule!$P:$P&amp;""-""&amp;Schedule!$Q:$Q,Schedule!$L:$L=K248,(Schedule!$J:$J="""")+(Schedule!$J:$J=L248),(Schedule!$K:$K=""b"")+(Schedule!$K:$K=""""),Schedule!$P:$P&lt;&gt;""""),""""))"),"")</f>
        <v/>
      </c>
      <c r="P248" s="152" t="str">
        <f>IFERROR(__xludf.DUMMYFUNCTION("if(K248="""","""",iferror(filter(Schedule!$V:$V&amp;""-""&amp;Schedule!$W:$W,Schedule!$L:$L=K248,(Schedule!$J:$J="""")+(Schedule!$J:$J=L248),(Schedule!$K:$K=""b"")+(Schedule!$K:$K=""""),Schedule!$V:$V&lt;&gt;""""),""""))"),"")</f>
        <v/>
      </c>
      <c r="Q248" s="152" t="str">
        <f>IFERROR(__xludf.DUMMYFUNCTION("if(K248="""","""",iferror(filter(Schedule!$AB:$AB&amp;""-""&amp;Schedule!$AC:$AC,Schedule!$L:$L=K248,(Schedule!$J:$J="""")+(Schedule!$J:$J=L248),(Schedule!$K:$K=""b"")+(Schedule!$K:$K=""""),Schedule!$AB:$AB&lt;&gt;""""),""""))"),"")</f>
        <v/>
      </c>
      <c r="R248" s="152" t="str">
        <f>IFERROR(__xludf.DUMMYFUNCTION("if(K248="""","""",iferror(filter(Schedule!$M:$M&amp;""-""&amp;Schedule!$N:$N,Schedule!$L:$L=K248,(Schedule!$J:$J="""")+(Schedule!$J:$J=L248),(Schedule!$K:$K=""b"")+(Schedule!$K:$K=""""),Schedule!$M:$M&lt;&gt;""""),""""))"),"")</f>
        <v/>
      </c>
      <c r="S248" s="64"/>
      <c r="T248" s="155"/>
      <c r="U248" s="155" t="str">
        <f>W242</f>
        <v/>
      </c>
      <c r="V248" s="151" t="str">
        <f>AC242</f>
        <v/>
      </c>
      <c r="W248" s="147">
        <v>5.0</v>
      </c>
      <c r="X248" s="152" t="str">
        <f>IFERROR(__xludf.DUMMYFUNCTION("if(U248="""","""",iferror(filter(Schedule!$Y:$Y&amp;""-""&amp;Schedule!$Z:$Z,Schedule!$L:$L=U248,(Schedule!$J:$J="""")+(Schedule!$J:$J=V248),(Schedule!$K:$K=""a"")+(Schedule!$K:$K=""""),Schedule!$Y:$Y&lt;&gt;""""),""""))"),"")</f>
        <v/>
      </c>
      <c r="Y248" s="152" t="str">
        <f>IFERROR(__xludf.DUMMYFUNCTION("if(U248="""","""",iferror(filter(Schedule!$P:$P&amp;""-""&amp;Schedule!$Q:$Q,Schedule!$L:$L=U248,(Schedule!$J:$J="""")+(Schedule!$J:$J=V248),(Schedule!$K:$K=""b"")+(Schedule!$K:$K=""""),Schedule!$P:$P&lt;&gt;""""),""""))"),"")</f>
        <v/>
      </c>
      <c r="Z248" s="152" t="str">
        <f>IFERROR(__xludf.DUMMYFUNCTION("if(U248="""","""",iferror(filter(Schedule!$V:$V&amp;""-""&amp;Schedule!$W:$W,Schedule!$L:$L=U248,(Schedule!$J:$J="""")+(Schedule!$J:$J=V248),(Schedule!$K:$K=""b"")+(Schedule!$K:$K=""""),Schedule!$V:$V&lt;&gt;""""),""""))"),"")</f>
        <v/>
      </c>
      <c r="AA248" s="152" t="str">
        <f>IFERROR(__xludf.DUMMYFUNCTION("if(U248="""","""",iferror(filter(Schedule!$AB:$AB&amp;""-""&amp;Schedule!$AC:$AC,Schedule!$L:$L=U248,(Schedule!$J:$J="""")+(Schedule!$J:$J=V248),(Schedule!$K:$K=""b"")+(Schedule!$K:$K=""""),Schedule!$AB:$AB&lt;&gt;""""),""""))"),"")</f>
        <v/>
      </c>
      <c r="AB248" s="152" t="str">
        <f>IFERROR(__xludf.DUMMYFUNCTION("if(U248="""","""",iferror(filter(Schedule!$M:$M&amp;""-""&amp;Schedule!$N:$N,Schedule!$L:$L=U248,(Schedule!$J:$J="""")+(Schedule!$J:$J=V248),(Schedule!$K:$K=""b"")+(Schedule!$K:$K=""""),Schedule!$M:$M&lt;&gt;""""),""""))"),"")</f>
        <v/>
      </c>
      <c r="AC248" s="64"/>
      <c r="AD248" s="155"/>
      <c r="AE248" s="155" t="str">
        <f>AG242</f>
        <v/>
      </c>
      <c r="AF248" s="151" t="str">
        <f>AM242</f>
        <v/>
      </c>
      <c r="AG248" s="147">
        <v>5.0</v>
      </c>
      <c r="AH248" s="152" t="str">
        <f>IFERROR(__xludf.DUMMYFUNCTION("if(AE248="""","""",iferror(filter(Schedule!$Y:$Y&amp;""-""&amp;Schedule!$Z:$Z,Schedule!$L:$L=AE248,(Schedule!$J:$J="""")+(Schedule!$J:$J=AF248),(Schedule!$K:$K=""a"")+(Schedule!$K:$K=""""),Schedule!$Y:$Y&lt;&gt;""""),""""))"),"")</f>
        <v/>
      </c>
      <c r="AI248" s="152" t="str">
        <f>IFERROR(__xludf.DUMMYFUNCTION("if(AE248="""","""",iferror(filter(Schedule!$P:$P&amp;""-""&amp;Schedule!$Q:$Q,Schedule!$L:$L=AE248,(Schedule!$J:$J="""")+(Schedule!$J:$J=AF248),(Schedule!$K:$K=""b"")+(Schedule!$K:$K=""""),Schedule!$P:$P&lt;&gt;""""),""""))"),"")</f>
        <v/>
      </c>
      <c r="AJ248" s="152" t="str">
        <f>IFERROR(__xludf.DUMMYFUNCTION("if(AE248="""","""",iferror(filter(Schedule!$V:$V&amp;""-""&amp;Schedule!$W:$W,Schedule!$L:$L=AE248,(Schedule!$J:$J="""")+(Schedule!$J:$J=AF248),(Schedule!$K:$K=""b"")+(Schedule!$K:$K=""""),Schedule!$V:$V&lt;&gt;""""),""""))"),"")</f>
        <v/>
      </c>
      <c r="AK248" s="152" t="str">
        <f>IFERROR(__xludf.DUMMYFUNCTION("if(AE248="""","""",iferror(filter(Schedule!$AB:$AB&amp;""-""&amp;Schedule!$AC:$AC,Schedule!$L:$L=AE248,(Schedule!$J:$J="""")+(Schedule!$J:$J=AF248),(Schedule!$K:$K=""b"")+(Schedule!$K:$K=""""),Schedule!$AB:$AB&lt;&gt;""""),""""))"),"")</f>
        <v/>
      </c>
      <c r="AL248" s="152" t="str">
        <f>IFERROR(__xludf.DUMMYFUNCTION("if(AE248="""","""",iferror(filter(Schedule!$M:$M&amp;""-""&amp;Schedule!$N:$N,Schedule!$L:$L=AE248,(Schedule!$J:$J="""")+(Schedule!$J:$J=AF248),(Schedule!$K:$K=""b"")+(Schedule!$K:$K=""""),Schedule!$M:$M&lt;&gt;""""),""""))"),"")</f>
        <v/>
      </c>
      <c r="AM248" s="64"/>
    </row>
    <row r="249">
      <c r="A249" s="11"/>
      <c r="B249" s="11"/>
      <c r="C249" s="156"/>
      <c r="D249" s="156"/>
      <c r="E249" s="156"/>
      <c r="F249" s="156"/>
      <c r="G249" s="156"/>
      <c r="H249" s="156"/>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c r="A250" s="5"/>
      <c r="B250" s="5"/>
      <c r="C250" s="140" t="str">
        <f>Teachers!A32</f>
        <v/>
      </c>
      <c r="D250" s="141"/>
      <c r="E250" s="141"/>
      <c r="F250" s="141"/>
      <c r="G250" s="141"/>
      <c r="H250" s="142"/>
      <c r="I250" s="143" t="str">
        <f>IFERROR(__xludf.DUMMYFUNCTION("if(C250="""","""", iferror(unique(filter(Schedule!$J:$J,Schedule!$L:$L=$C250,Schedule!$J:$J=""Q1"")),iferror(unique(filter(Schedule!$J:$J,Schedule!$L:$L=$C250,Schedule!$J:$J=""S1"")),""Y"")))"),"")</f>
        <v/>
      </c>
      <c r="J250" s="11"/>
      <c r="K250" s="11"/>
      <c r="L250" s="11"/>
      <c r="M250" s="140" t="str">
        <f>if(S250="","",C250)</f>
        <v/>
      </c>
      <c r="N250" s="141"/>
      <c r="O250" s="141"/>
      <c r="P250" s="141"/>
      <c r="Q250" s="141"/>
      <c r="R250" s="142"/>
      <c r="S250" s="143" t="str">
        <f>if($I250="Q1","Q2",if($I250="S1","S2",""))</f>
        <v/>
      </c>
      <c r="T250" s="144"/>
      <c r="U250" s="144"/>
      <c r="V250" s="145"/>
      <c r="W250" s="140" t="str">
        <f>if(AC250="","",M250)</f>
        <v/>
      </c>
      <c r="X250" s="141"/>
      <c r="Y250" s="141"/>
      <c r="Z250" s="141"/>
      <c r="AA250" s="141"/>
      <c r="AB250" s="142"/>
      <c r="AC250" s="143" t="str">
        <f>if($I250="Q1","Q3","")</f>
        <v/>
      </c>
      <c r="AD250" s="144"/>
      <c r="AE250" s="144"/>
      <c r="AF250" s="145"/>
      <c r="AG250" s="140" t="str">
        <f>if(AC250="","",W250)</f>
        <v/>
      </c>
      <c r="AH250" s="141"/>
      <c r="AI250" s="141"/>
      <c r="AJ250" s="141"/>
      <c r="AK250" s="141"/>
      <c r="AL250" s="142"/>
      <c r="AM250" s="143" t="str">
        <f>if($I250="Q1","Q4","")</f>
        <v/>
      </c>
    </row>
    <row r="251">
      <c r="A251" s="146"/>
      <c r="B251" s="146"/>
      <c r="C251" s="147" t="s">
        <v>94</v>
      </c>
      <c r="D251" s="148" t="s">
        <v>95</v>
      </c>
      <c r="E251" s="148" t="s">
        <v>96</v>
      </c>
      <c r="F251" s="148" t="s">
        <v>97</v>
      </c>
      <c r="G251" s="148" t="s">
        <v>98</v>
      </c>
      <c r="H251" s="148" t="s">
        <v>99</v>
      </c>
      <c r="I251" s="148" t="s">
        <v>651</v>
      </c>
      <c r="J251" s="146"/>
      <c r="K251" s="146"/>
      <c r="L251" s="146"/>
      <c r="M251" s="147" t="s">
        <v>94</v>
      </c>
      <c r="N251" s="148" t="s">
        <v>95</v>
      </c>
      <c r="O251" s="148" t="s">
        <v>96</v>
      </c>
      <c r="P251" s="148" t="s">
        <v>97</v>
      </c>
      <c r="Q251" s="148" t="s">
        <v>98</v>
      </c>
      <c r="R251" s="148" t="s">
        <v>99</v>
      </c>
      <c r="S251" s="148" t="s">
        <v>651</v>
      </c>
      <c r="T251" s="149"/>
      <c r="U251" s="149"/>
      <c r="V251" s="150"/>
      <c r="W251" s="147" t="s">
        <v>94</v>
      </c>
      <c r="X251" s="148" t="s">
        <v>95</v>
      </c>
      <c r="Y251" s="148" t="s">
        <v>96</v>
      </c>
      <c r="Z251" s="148" t="s">
        <v>97</v>
      </c>
      <c r="AA251" s="148" t="s">
        <v>98</v>
      </c>
      <c r="AB251" s="148" t="s">
        <v>99</v>
      </c>
      <c r="AC251" s="148" t="s">
        <v>651</v>
      </c>
      <c r="AD251" s="149"/>
      <c r="AE251" s="149"/>
      <c r="AF251" s="150"/>
      <c r="AG251" s="147" t="s">
        <v>94</v>
      </c>
      <c r="AH251" s="148" t="s">
        <v>95</v>
      </c>
      <c r="AI251" s="148" t="s">
        <v>96</v>
      </c>
      <c r="AJ251" s="148" t="s">
        <v>97</v>
      </c>
      <c r="AK251" s="148" t="s">
        <v>98</v>
      </c>
      <c r="AL251" s="148" t="s">
        <v>99</v>
      </c>
      <c r="AM251" s="148" t="s">
        <v>651</v>
      </c>
    </row>
    <row r="252">
      <c r="A252" s="151" t="str">
        <f>C250</f>
        <v/>
      </c>
      <c r="B252" s="151" t="str">
        <f>I250</f>
        <v/>
      </c>
      <c r="C252" s="147">
        <v>1.0</v>
      </c>
      <c r="D252" s="152" t="str">
        <f>IFERROR(__xludf.DUMMYFUNCTION("if(A252="""","""",iferror(filter(Schedule!$M:$M&amp;""-""&amp;Schedule!$N:$N,Schedule!$L:$L=A252,(Schedule!$J:$J="""")+(Schedule!$J:$J=B252),(Schedule!$K:$K=""a"")+(Schedule!$K:$K=""""),Schedule!$M:$M&lt;&gt;""""),""""))"),"")</f>
        <v/>
      </c>
      <c r="E252" s="152" t="str">
        <f>IFERROR(__xludf.DUMMYFUNCTION("if(A252="""","""",iferror(filter(Schedule!$AB:$AB&amp;""-""&amp;Schedule!$AC:$AC,Schedule!$L:$L=A252,(Schedule!$J:$J="""")+(Schedule!$J:$J=B252),(Schedule!$K:$K=""b"")+(Schedule!$K:$K=""""),Schedule!$AB:$AB&lt;&gt;""""),""""))"),"")</f>
        <v/>
      </c>
      <c r="F252" s="152" t="str">
        <f>IFERROR(__xludf.DUMMYFUNCTION("if(A252="""","""",iferror(filter(Schedule!$S:$S&amp;""-""&amp;Schedule!$T:$T,Schedule!$L:$L=A252,(Schedule!$J:$J="""")+(Schedule!$J:$J=B252),(Schedule!$K:$K=""a"")+(Schedule!$K:$K=""""),Schedule!$S:$S&lt;&gt;""""),""""))"),"")</f>
        <v/>
      </c>
      <c r="G252" s="152" t="str">
        <f>IFERROR(__xludf.DUMMYFUNCTION("if(A252="""","""",iferror(filter(Schedule!$V:$V&amp;""-""&amp;Schedule!$W:$W,Schedule!$L:$L=A252,(Schedule!$J:$J="""")+(Schedule!$J:$J=B252),(Schedule!$K:$K=""a"")+(Schedule!$K:$K=""""),Schedule!$V:$V&lt;&gt;""""),""""))"),"")</f>
        <v/>
      </c>
      <c r="H252" s="152" t="str">
        <f>IFERROR(__xludf.DUMMYFUNCTION("if(A252="""","""",iferror(filter(Schedule!$Y:$Y&amp;""-""&amp;Schedule!$Z:$Z,Schedule!$L:$L=A252,(Schedule!$J:$J="""")+(Schedule!$J:$J=B252),(Schedule!$K:$K=""b"")+(Schedule!$K:$K=""""),Schedule!$Y:$Y&lt;&gt;""""),""""))"),"")</f>
        <v/>
      </c>
      <c r="I252" s="153" t="str">
        <f>if(C250="","", 24-countifs(D252:H256,""))</f>
        <v/>
      </c>
      <c r="J252" s="154"/>
      <c r="K252" s="151" t="str">
        <f>M250</f>
        <v/>
      </c>
      <c r="L252" s="151" t="str">
        <f>S250</f>
        <v/>
      </c>
      <c r="M252" s="147">
        <v>1.0</v>
      </c>
      <c r="N252" s="152" t="str">
        <f>IFERROR(__xludf.DUMMYFUNCTION("if(K252="""","""",iferror(filter(Schedule!$M:$M&amp;""-""&amp;Schedule!$N:$N,Schedule!$L:$L=K252,(Schedule!$J:$J="""")+(Schedule!$J:$J=L252),(Schedule!$K:$K=""a"")+(Schedule!$K:$K=""""),Schedule!$M:$M&lt;&gt;""""),""""))"),"")</f>
        <v/>
      </c>
      <c r="O252" s="152" t="str">
        <f>IFERROR(__xludf.DUMMYFUNCTION("if(K252="""","""",iferror(filter(Schedule!$AB:$AB&amp;""-""&amp;Schedule!$AC:$AC,Schedule!$L:$L=K252,(Schedule!$J:$J="""")+(Schedule!$J:$J=L252),(Schedule!$K:$K=""b"")+(Schedule!$K:$K=""""),Schedule!$AB:$AB&lt;&gt;""""),""""))"),"")</f>
        <v/>
      </c>
      <c r="P252" s="152" t="str">
        <f>IFERROR(__xludf.DUMMYFUNCTION("if(K252="""","""",iferror(filter(Schedule!$S:$S&amp;""-""&amp;Schedule!$T:$T,Schedule!$L:$L=K252,(Schedule!$J:$J="""")+(Schedule!$J:$J=L252),(Schedule!$K:$K=""a"")+(Schedule!$K:$K=""""),Schedule!$S:$S&lt;&gt;""""),""""))"),"")</f>
        <v/>
      </c>
      <c r="Q252" s="152" t="str">
        <f>IFERROR(__xludf.DUMMYFUNCTION("if(K252="""","""",iferror(filter(Schedule!$V:$V&amp;""-""&amp;Schedule!$W:$W,Schedule!$L:$L=K252,(Schedule!$J:$J="""")+(Schedule!$J:$J=L252),(Schedule!$K:$K=""a"")+(Schedule!$K:$K=""""),Schedule!$V:$V&lt;&gt;""""),""""))"),"")</f>
        <v/>
      </c>
      <c r="R252" s="152" t="str">
        <f>IFERROR(__xludf.DUMMYFUNCTION("if(K252="""","""",iferror(filter(Schedule!$Y:$Y&amp;""-""&amp;Schedule!$Z:$Z,Schedule!$L:$L=K252,(Schedule!$J:$J="""")+(Schedule!$J:$J=L252),(Schedule!$K:$K=""b"")+(Schedule!$K:$K=""""),Schedule!$Y:$Y&lt;&gt;""""),""""))"),"")</f>
        <v/>
      </c>
      <c r="S252" s="153" t="str">
        <f>if(K252="","", 24-countifs(N252:R256,""))</f>
        <v/>
      </c>
      <c r="T252" s="155"/>
      <c r="U252" s="155" t="str">
        <f>W250</f>
        <v/>
      </c>
      <c r="V252" s="151" t="str">
        <f>AC250</f>
        <v/>
      </c>
      <c r="W252" s="147">
        <v>1.0</v>
      </c>
      <c r="X252" s="152" t="str">
        <f>IFERROR(__xludf.DUMMYFUNCTION("if(U252="""","""",iferror(filter(Schedule!$M:$M&amp;""-""&amp;Schedule!$N:$N,Schedule!$L:$L=U252,(Schedule!$J:$J="""")+(Schedule!$J:$J=V252),(Schedule!$K:$K=""a"")+(Schedule!$K:$K=""""),Schedule!$M:$M&lt;&gt;""""),""""))"),"")</f>
        <v/>
      </c>
      <c r="Y252" s="152" t="str">
        <f>IFERROR(__xludf.DUMMYFUNCTION("if(U252="""","""",iferror(filter(Schedule!$AB:$AB&amp;""-""&amp;Schedule!$AC:$AC,Schedule!$L:$L=U252,(Schedule!$J:$J="""")+(Schedule!$J:$J=V252),(Schedule!$K:$K=""b"")+(Schedule!$K:$K=""""),Schedule!$AB:$AB&lt;&gt;""""),""""))"),"")</f>
        <v/>
      </c>
      <c r="Z252" s="152" t="str">
        <f>IFERROR(__xludf.DUMMYFUNCTION("if(U252="""","""",iferror(filter(Schedule!$S:$S&amp;""-""&amp;Schedule!$T:$T,Schedule!$L:$L=U252,(Schedule!$J:$J="""")+(Schedule!$J:$J=V252),(Schedule!$K:$K=""a"")+(Schedule!$K:$K=""""),Schedule!$S:$S&lt;&gt;""""),""""))"),"")</f>
        <v/>
      </c>
      <c r="AA252" s="152" t="str">
        <f>IFERROR(__xludf.DUMMYFUNCTION("if(U252="""","""",iferror(filter(Schedule!$V:$V&amp;""-""&amp;Schedule!$W:$W,Schedule!$L:$L=U252,(Schedule!$J:$J="""")+(Schedule!$J:$J=V252),(Schedule!$K:$K=""a"")+(Schedule!$K:$K=""""),Schedule!$V:$V&lt;&gt;""""),""""))"),"")</f>
        <v/>
      </c>
      <c r="AB252" s="152" t="str">
        <f>IFERROR(__xludf.DUMMYFUNCTION("if(U252="""","""",iferror(filter(Schedule!$Y:$Y&amp;""-""&amp;Schedule!$Z:$Z,Schedule!$L:$L=U252,(Schedule!$J:$J="""")+(Schedule!$J:$J=V252),(Schedule!$K:$K=""b"")+(Schedule!$K:$K=""""),Schedule!$Y:$Y&lt;&gt;""""),""""))"),"")</f>
        <v/>
      </c>
      <c r="AC252" s="153" t="str">
        <f>if(U252="","", 24-countifs(X252:AB256,""))</f>
        <v/>
      </c>
      <c r="AD252" s="155"/>
      <c r="AE252" s="155" t="str">
        <f>AG250</f>
        <v/>
      </c>
      <c r="AF252" s="151" t="str">
        <f>AM250</f>
        <v/>
      </c>
      <c r="AG252" s="147">
        <v>1.0</v>
      </c>
      <c r="AH252" s="152" t="str">
        <f>IFERROR(__xludf.DUMMYFUNCTION("if(AE252="""","""",iferror(filter(Schedule!$M:$M&amp;""-""&amp;Schedule!$N:$N,Schedule!$L:$L=AE252,(Schedule!$J:$J="""")+(Schedule!$J:$J=AF252),(Schedule!$K:$K=""a"")+(Schedule!$K:$K=""""),Schedule!$M:$M&lt;&gt;""""),""""))"),"")</f>
        <v/>
      </c>
      <c r="AI252" s="152" t="str">
        <f>IFERROR(__xludf.DUMMYFUNCTION("if(AE252="""","""",iferror(filter(Schedule!$AB:$AB&amp;""-""&amp;Schedule!$AC:$AC,Schedule!$L:$L=AE252,(Schedule!$J:$J="""")+(Schedule!$J:$J=AF252),(Schedule!$K:$K=""b"")+(Schedule!$K:$K=""""),Schedule!$AB:$AB&lt;&gt;""""),""""))"),"")</f>
        <v/>
      </c>
      <c r="AJ252" s="152" t="str">
        <f>IFERROR(__xludf.DUMMYFUNCTION("if(AE252="""","""",iferror(filter(Schedule!$S:$S&amp;""-""&amp;Schedule!$T:$T,Schedule!$L:$L=AE252,(Schedule!$J:$J="""")+(Schedule!$J:$J=AF252),(Schedule!$K:$K=""a"")+(Schedule!$K:$K=""""),Schedule!$S:$S&lt;&gt;""""),""""))"),"")</f>
        <v/>
      </c>
      <c r="AK252" s="152" t="str">
        <f>IFERROR(__xludf.DUMMYFUNCTION("if(AE252="""","""",iferror(filter(Schedule!$V:$V&amp;""-""&amp;Schedule!$W:$W,Schedule!$L:$L=AE252,(Schedule!$J:$J="""")+(Schedule!$J:$J=AF252),(Schedule!$K:$K=""a"")+(Schedule!$K:$K=""""),Schedule!$V:$V&lt;&gt;""""),""""))"),"")</f>
        <v/>
      </c>
      <c r="AL252" s="152" t="str">
        <f>IFERROR(__xludf.DUMMYFUNCTION("if(AE252="""","""",iferror(filter(Schedule!$Y:$Y&amp;""-""&amp;Schedule!$Z:$Z,Schedule!$L:$L=AE252,(Schedule!$J:$J="""")+(Schedule!$J:$J=AF252),(Schedule!$K:$K=""b"")+(Schedule!$K:$K=""""),Schedule!$Y:$Y&lt;&gt;""""),""""))"),"")</f>
        <v/>
      </c>
      <c r="AM252" s="153" t="str">
        <f>if(AE252="","", 24-countifs(AH252:AL256,""))</f>
        <v/>
      </c>
    </row>
    <row r="253">
      <c r="A253" s="151" t="str">
        <f>C250</f>
        <v/>
      </c>
      <c r="B253" s="151" t="str">
        <f>I250</f>
        <v/>
      </c>
      <c r="C253" s="147">
        <v>2.0</v>
      </c>
      <c r="D253" s="152" t="str">
        <f>IFERROR(__xludf.DUMMYFUNCTION("if(A253="""","""",iferror(filter(Schedule!$P:$P&amp;""-""&amp;Schedule!$Q:$Q,Schedule!$L:$L=A253,(Schedule!$J:$J="""")+(Schedule!$J:$J=B253),(Schedule!$K:$K=""a"")+(Schedule!$K:$K=""""),Schedule!$P:$P&lt;&gt;""""),""""))"),"")</f>
        <v/>
      </c>
      <c r="E253" s="152" t="str">
        <f>IFERROR(__xludf.DUMMYFUNCTION("if(A253="""","""",iferror(filter(Schedule!$Y:$Y&amp;""-""&amp;Schedule!$Z:$Z,Schedule!$L:$L=A253,(Schedule!$J:$J="""")+(Schedule!$J:$J=B253),(Schedule!$K:$K=""b"")+(Schedule!$K:$K=""""),Schedule!$Y:$Y&lt;&gt;""""),""""))"),"")</f>
        <v/>
      </c>
      <c r="F253" s="152" t="str">
        <f>IFERROR(__xludf.DUMMYFUNCTION("if(A253="""","""",iferror(filter(Schedule!$P:$P&amp;""-""&amp;Schedule!$Q:$Q,Schedule!$L:$L=A253,(Schedule!$J:$J="""")+(Schedule!$J:$J=B253),(Schedule!$K:$K=""a"")+(Schedule!$K:$K=""""),Schedule!$P:$P&lt;&gt;""""),""""))"),"")</f>
        <v/>
      </c>
      <c r="G253" s="152" t="str">
        <f>IFERROR(__xludf.DUMMYFUNCTION("if(A253="""","""",iferror(filter(Schedule!$M:$M&amp;""-""&amp;Schedule!$N:$N,Schedule!$L:$L=A253,(Schedule!$J:$J="""")+(Schedule!$J:$J=B253),(Schedule!$K:$K=""a"")+(Schedule!$K:$K=""""),Schedule!$M:$M&lt;&gt;""""),""""))"),"")</f>
        <v/>
      </c>
      <c r="H253" s="152" t="str">
        <f>IFERROR(__xludf.DUMMYFUNCTION("if(A253="""","""",iferror(filter(Schedule!$AB:$AB&amp;""-""&amp;Schedule!$AC:$AC,Schedule!$L:$L=A253,(Schedule!$J:$J="""")+(Schedule!$J:$J=B253),(Schedule!$K:$K=""a"")+(Schedule!$K:$K=""""),Schedule!$AB:$AB&lt;&gt;""""),""""))"),"")</f>
        <v/>
      </c>
      <c r="I253" s="60"/>
      <c r="J253" s="154"/>
      <c r="K253" s="151" t="str">
        <f>M250</f>
        <v/>
      </c>
      <c r="L253" s="151" t="str">
        <f>S250</f>
        <v/>
      </c>
      <c r="M253" s="147">
        <v>2.0</v>
      </c>
      <c r="N253" s="152" t="str">
        <f>IFERROR(__xludf.DUMMYFUNCTION("if(K253="""","""",iferror(filter(Schedule!$P:$P&amp;""-""&amp;Schedule!$Q:$Q,Schedule!$L:$L=K253,(Schedule!$J:$J="""")+(Schedule!$J:$J=L253),(Schedule!$K:$K=""a"")+(Schedule!$K:$K=""""),Schedule!$P:$P&lt;&gt;""""),""""))"),"")</f>
        <v/>
      </c>
      <c r="O253" s="152" t="str">
        <f>IFERROR(__xludf.DUMMYFUNCTION("if(K253="""","""",iferror(filter(Schedule!$Y:$Y&amp;""-""&amp;Schedule!$Z:$Z,Schedule!$L:$L=K253,(Schedule!$J:$J="""")+(Schedule!$J:$J=L253),(Schedule!$K:$K=""b"")+(Schedule!$K:$K=""""),Schedule!$Y:$Y&lt;&gt;""""),""""))"),"")</f>
        <v/>
      </c>
      <c r="P253" s="152" t="str">
        <f>IFERROR(__xludf.DUMMYFUNCTION("if(K253="""","""",iferror(filter(Schedule!$P:$P&amp;""-""&amp;Schedule!$Q:$Q,Schedule!$L:$L=K253,(Schedule!$J:$J="""")+(Schedule!$J:$J=L253),(Schedule!$K:$K=""a"")+(Schedule!$K:$K=""""),Schedule!$P:$P&lt;&gt;""""),""""))"),"")</f>
        <v/>
      </c>
      <c r="Q253" s="152" t="str">
        <f>IFERROR(__xludf.DUMMYFUNCTION("if(K253="""","""",iferror(filter(Schedule!$M:$M&amp;""-""&amp;Schedule!$N:$N,Schedule!$L:$L=K253,(Schedule!$J:$J="""")+(Schedule!$J:$J=L253),(Schedule!$K:$K=""a"")+(Schedule!$K:$K=""""),Schedule!$M:$M&lt;&gt;""""),""""))"),"")</f>
        <v/>
      </c>
      <c r="R253" s="152" t="str">
        <f>IFERROR(__xludf.DUMMYFUNCTION("if(K253="""","""",iferror(filter(Schedule!$AB:$AB&amp;""-""&amp;Schedule!$AC:$AC,Schedule!$L:$L=K253,(Schedule!$J:$J="""")+(Schedule!$J:$J=L253),(Schedule!$K:$K=""a"")+(Schedule!$K:$K=""""),Schedule!$AB:$AB&lt;&gt;""""),""""))"),"")</f>
        <v/>
      </c>
      <c r="S253" s="60"/>
      <c r="T253" s="155"/>
      <c r="U253" s="155" t="str">
        <f>W250</f>
        <v/>
      </c>
      <c r="V253" s="151" t="str">
        <f>AC250</f>
        <v/>
      </c>
      <c r="W253" s="147">
        <v>2.0</v>
      </c>
      <c r="X253" s="152" t="str">
        <f>IFERROR(__xludf.DUMMYFUNCTION("if(U253="""","""",iferror(filter(Schedule!$P:$P&amp;""-""&amp;Schedule!$Q:$Q,Schedule!$L:$L=U253,(Schedule!$J:$J="""")+(Schedule!$J:$J=V253),(Schedule!$K:$K=""a"")+(Schedule!$K:$K=""""),Schedule!$P:$P&lt;&gt;""""),""""))"),"")</f>
        <v/>
      </c>
      <c r="Y253" s="152" t="str">
        <f>IFERROR(__xludf.DUMMYFUNCTION("if(U253="""","""",iferror(filter(Schedule!$Y:$Y&amp;""-""&amp;Schedule!$Z:$Z,Schedule!$L:$L=U253,(Schedule!$J:$J="""")+(Schedule!$J:$J=V253),(Schedule!$K:$K=""b"")+(Schedule!$K:$K=""""),Schedule!$Y:$Y&lt;&gt;""""),""""))"),"")</f>
        <v/>
      </c>
      <c r="Z253" s="152" t="str">
        <f>IFERROR(__xludf.DUMMYFUNCTION("if(U253="""","""",iferror(filter(Schedule!$P:$P&amp;""-""&amp;Schedule!$Q:$Q,Schedule!$L:$L=U253,(Schedule!$J:$J="""")+(Schedule!$J:$J=V253),(Schedule!$K:$K=""a"")+(Schedule!$K:$K=""""),Schedule!$P:$P&lt;&gt;""""),""""))"),"")</f>
        <v/>
      </c>
      <c r="AA253" s="152" t="str">
        <f>IFERROR(__xludf.DUMMYFUNCTION("if(U253="""","""",iferror(filter(Schedule!$M:$M&amp;""-""&amp;Schedule!$N:$N,Schedule!$L:$L=U253,(Schedule!$J:$J="""")+(Schedule!$J:$J=V253),(Schedule!$K:$K=""a"")+(Schedule!$K:$K=""""),Schedule!$M:$M&lt;&gt;""""),""""))"),"")</f>
        <v/>
      </c>
      <c r="AB253" s="152" t="str">
        <f>IFERROR(__xludf.DUMMYFUNCTION("if(U253="""","""",iferror(filter(Schedule!$AB:$AB&amp;""-""&amp;Schedule!$AC:$AC,Schedule!$L:$L=U253,(Schedule!$J:$J="""")+(Schedule!$J:$J=V253),(Schedule!$K:$K=""a"")+(Schedule!$K:$K=""""),Schedule!$AB:$AB&lt;&gt;""""),""""))"),"")</f>
        <v/>
      </c>
      <c r="AC253" s="60"/>
      <c r="AD253" s="155"/>
      <c r="AE253" s="155" t="str">
        <f>AG250</f>
        <v/>
      </c>
      <c r="AF253" s="151" t="str">
        <f>AM250</f>
        <v/>
      </c>
      <c r="AG253" s="147">
        <v>2.0</v>
      </c>
      <c r="AH253" s="152" t="str">
        <f>IFERROR(__xludf.DUMMYFUNCTION("if(AE253="""","""",iferror(filter(Schedule!$P:$P&amp;""-""&amp;Schedule!$Q:$Q,Schedule!$L:$L=AE253,(Schedule!$J:$J="""")+(Schedule!$J:$J=AF253),(Schedule!$K:$K=""a"")+(Schedule!$K:$K=""""),Schedule!$P:$P&lt;&gt;""""),""""))"),"")</f>
        <v/>
      </c>
      <c r="AI253" s="152" t="str">
        <f>IFERROR(__xludf.DUMMYFUNCTION("if(AE253="""","""",iferror(filter(Schedule!$Y:$Y&amp;""-""&amp;Schedule!$Z:$Z,Schedule!$L:$L=AE253,(Schedule!$J:$J="""")+(Schedule!$J:$J=AF253),(Schedule!$K:$K=""b"")+(Schedule!$K:$K=""""),Schedule!$Y:$Y&lt;&gt;""""),""""))"),"")</f>
        <v/>
      </c>
      <c r="AJ253" s="152" t="str">
        <f>IFERROR(__xludf.DUMMYFUNCTION("if(AE253="""","""",iferror(filter(Schedule!$P:$P&amp;""-""&amp;Schedule!$Q:$Q,Schedule!$L:$L=AE253,(Schedule!$J:$J="""")+(Schedule!$J:$J=AF253),(Schedule!$K:$K=""a"")+(Schedule!$K:$K=""""),Schedule!$P:$P&lt;&gt;""""),""""))"),"")</f>
        <v/>
      </c>
      <c r="AK253" s="152" t="str">
        <f>IFERROR(__xludf.DUMMYFUNCTION("if(AE253="""","""",iferror(filter(Schedule!$M:$M&amp;""-""&amp;Schedule!$N:$N,Schedule!$L:$L=AE253,(Schedule!$J:$J="""")+(Schedule!$J:$J=AF253),(Schedule!$K:$K=""a"")+(Schedule!$K:$K=""""),Schedule!$M:$M&lt;&gt;""""),""""))"),"")</f>
        <v/>
      </c>
      <c r="AL253" s="152" t="str">
        <f>IFERROR(__xludf.DUMMYFUNCTION("if(AE253="""","""",iferror(filter(Schedule!$AB:$AB&amp;""-""&amp;Schedule!$AC:$AC,Schedule!$L:$L=AE253,(Schedule!$J:$J="""")+(Schedule!$J:$J=AF253),(Schedule!$K:$K=""a"")+(Schedule!$K:$K=""""),Schedule!$AB:$AB&lt;&gt;""""),""""))"),"")</f>
        <v/>
      </c>
      <c r="AM253" s="60"/>
    </row>
    <row r="254">
      <c r="A254" s="151" t="str">
        <f>C250</f>
        <v/>
      </c>
      <c r="B254" s="151" t="str">
        <f>I250</f>
        <v/>
      </c>
      <c r="C254" s="147">
        <v>3.0</v>
      </c>
      <c r="D254" s="152" t="str">
        <f>IFERROR(__xludf.DUMMYFUNCTION("if(A254="""","""",iferror(filter(Schedule!$S:$S&amp;""-""&amp;Schedule!$T:$T,Schedule!$L:$L=A254,(Schedule!$J:$J="""")+(Schedule!$J:$J=B254),(Schedule!$K:$K=""a"")+(Schedule!$K:$K=""""),Schedule!$S:$S&lt;&gt;""""),""""))"),"")</f>
        <v/>
      </c>
      <c r="E254" s="152" t="str">
        <f>IFERROR(__xludf.DUMMYFUNCTION("if(A254="""","""",iferror(filter(Schedule!$S:$S&amp;""-""&amp;Schedule!$T:$T,Schedule!$L:$L=A254,(Schedule!$J:$J="""")+(Schedule!$J:$J=B254),(Schedule!$K:$K=""b"")+(Schedule!$K:$K=""""),Schedule!$S:$S&lt;&gt;""""),""""))"),"")</f>
        <v/>
      </c>
      <c r="F254" s="152" t="str">
        <f>IFERROR(__xludf.DUMMYFUNCTION("if(A254="""","""",iferror(filter(Schedule!$Y:$Y&amp;""-""&amp;Schedule!$Z:$Z,Schedule!$L:$L=A254,(Schedule!$J:$J="""")+(Schedule!$J:$J=B254),(Schedule!$K:$K=""a"")+(Schedule!$K:$K=""""),Schedule!$Y:$Y&lt;&gt;""""),""""))"),"")</f>
        <v/>
      </c>
      <c r="G254" s="152" t="str">
        <f>IFERROR(__xludf.DUMMYFUNCTION("if(A254="""","""",iferror(filter(Schedule!$P:$P&amp;""-""&amp;Schedule!$Q:$Q,Schedule!$L:$L=A254,(Schedule!$J:$J="""")+(Schedule!$J:$J=B254),(Schedule!$K:$K=""b"")+(Schedule!$K:$K=""""),Schedule!$P:$P&lt;&gt;""""),""""))"),"")</f>
        <v/>
      </c>
      <c r="H254" s="152" t="str">
        <f>if(C250="","","X-Block")</f>
        <v/>
      </c>
      <c r="I254" s="60"/>
      <c r="J254" s="154"/>
      <c r="K254" s="151" t="str">
        <f>M250</f>
        <v/>
      </c>
      <c r="L254" s="151" t="str">
        <f>S250</f>
        <v/>
      </c>
      <c r="M254" s="147">
        <v>3.0</v>
      </c>
      <c r="N254" s="152" t="str">
        <f>IFERROR(__xludf.DUMMYFUNCTION("if(K254="""","""",iferror(filter(Schedule!$S:$S&amp;""-""&amp;Schedule!$T:$T,Schedule!$L:$L=K254,(Schedule!$J:$J="""")+(Schedule!$J:$J=L254),(Schedule!$K:$K=""a"")+(Schedule!$K:$K=""""),Schedule!$S:$S&lt;&gt;""""),""""))"),"")</f>
        <v/>
      </c>
      <c r="O254" s="152" t="str">
        <f>IFERROR(__xludf.DUMMYFUNCTION("if(K254="""","""",iferror(filter(Schedule!$S:$S&amp;""-""&amp;Schedule!$T:$T,Schedule!$L:$L=K254,(Schedule!$J:$J="""")+(Schedule!$J:$J=L254),(Schedule!$K:$K=""b"")+(Schedule!$K:$K=""""),Schedule!$S:$S&lt;&gt;""""),""""))"),"")</f>
        <v/>
      </c>
      <c r="P254" s="152" t="str">
        <f>IFERROR(__xludf.DUMMYFUNCTION("if(K254="""","""",iferror(filter(Schedule!$Y:$Y&amp;""-""&amp;Schedule!$Z:$Z,Schedule!$L:$L=K254,(Schedule!$J:$J="""")+(Schedule!$J:$J=L254),(Schedule!$K:$K=""a"")+(Schedule!$K:$K=""""),Schedule!$Y:$Y&lt;&gt;""""),""""))"),"")</f>
        <v/>
      </c>
      <c r="Q254" s="152" t="str">
        <f>IFERROR(__xludf.DUMMYFUNCTION("if(K254="""","""",iferror(filter(Schedule!$P:$P&amp;""-""&amp;Schedule!$Q:$Q,Schedule!$L:$L=K254,(Schedule!$J:$J="""")+(Schedule!$J:$J=L254),(Schedule!$K:$K=""b"")+(Schedule!$K:$K=""""),Schedule!$P:$P&lt;&gt;""""),""""))"),"")</f>
        <v/>
      </c>
      <c r="R254" s="152" t="str">
        <f>if(M250="","","X-Block")</f>
        <v/>
      </c>
      <c r="S254" s="60"/>
      <c r="T254" s="155"/>
      <c r="U254" s="155" t="str">
        <f>W250</f>
        <v/>
      </c>
      <c r="V254" s="151" t="str">
        <f>AC250</f>
        <v/>
      </c>
      <c r="W254" s="147">
        <v>3.0</v>
      </c>
      <c r="X254" s="152" t="str">
        <f>IFERROR(__xludf.DUMMYFUNCTION("if(U254="""","""",iferror(filter(Schedule!$S:$S&amp;""-""&amp;Schedule!$T:$T,Schedule!$L:$L=U254,(Schedule!$J:$J="""")+(Schedule!$J:$J=V254),(Schedule!$K:$K=""a"")+(Schedule!$K:$K=""""),Schedule!$S:$S&lt;&gt;""""),""""))"),"")</f>
        <v/>
      </c>
      <c r="Y254" s="152" t="str">
        <f>IFERROR(__xludf.DUMMYFUNCTION("if(U254="""","""",iferror(filter(Schedule!$S:$S&amp;""-""&amp;Schedule!$T:$T,Schedule!$L:$L=U254,(Schedule!$J:$J="""")+(Schedule!$J:$J=V254),(Schedule!$K:$K=""b"")+(Schedule!$K:$K=""""),Schedule!$S:$S&lt;&gt;""""),""""))"),"")</f>
        <v/>
      </c>
      <c r="Z254" s="152" t="str">
        <f>IFERROR(__xludf.DUMMYFUNCTION("if(U254="""","""",iferror(filter(Schedule!$Y:$Y&amp;""-""&amp;Schedule!$Z:$Z,Schedule!$L:$L=U254,(Schedule!$J:$J="""")+(Schedule!$J:$J=V254),(Schedule!$K:$K=""a"")+(Schedule!$K:$K=""""),Schedule!$Y:$Y&lt;&gt;""""),""""))"),"")</f>
        <v/>
      </c>
      <c r="AA254" s="152" t="str">
        <f>IFERROR(__xludf.DUMMYFUNCTION("if(U254="""","""",iferror(filter(Schedule!$P:$P&amp;""-""&amp;Schedule!$Q:$Q,Schedule!$L:$L=U254,(Schedule!$J:$J="""")+(Schedule!$J:$J=V254),(Schedule!$K:$K=""b"")+(Schedule!$K:$K=""""),Schedule!$P:$P&lt;&gt;""""),""""))"),"")</f>
        <v/>
      </c>
      <c r="AB254" s="152" t="str">
        <f>if(W250="","","X-Block")</f>
        <v/>
      </c>
      <c r="AC254" s="60"/>
      <c r="AD254" s="155"/>
      <c r="AE254" s="155" t="str">
        <f>AG250</f>
        <v/>
      </c>
      <c r="AF254" s="151" t="str">
        <f>AM250</f>
        <v/>
      </c>
      <c r="AG254" s="147">
        <v>3.0</v>
      </c>
      <c r="AH254" s="152" t="str">
        <f>IFERROR(__xludf.DUMMYFUNCTION("if(AE254="""","""",iferror(filter(Schedule!$S:$S&amp;""-""&amp;Schedule!$T:$T,Schedule!$L:$L=AE254,(Schedule!$J:$J="""")+(Schedule!$J:$J=AF254),(Schedule!$K:$K=""a"")+(Schedule!$K:$K=""""),Schedule!$S:$S&lt;&gt;""""),""""))"),"")</f>
        <v/>
      </c>
      <c r="AI254" s="152" t="str">
        <f>IFERROR(__xludf.DUMMYFUNCTION("if(AE254="""","""",iferror(filter(Schedule!$S:$S&amp;""-""&amp;Schedule!$T:$T,Schedule!$L:$L=AE254,(Schedule!$J:$J="""")+(Schedule!$J:$J=AF254),(Schedule!$K:$K=""b"")+(Schedule!$K:$K=""""),Schedule!$S:$S&lt;&gt;""""),""""))"),"")</f>
        <v/>
      </c>
      <c r="AJ254" s="152" t="str">
        <f>IFERROR(__xludf.DUMMYFUNCTION("if(AE254="""","""",iferror(filter(Schedule!$Y:$Y&amp;""-""&amp;Schedule!$Z:$Z,Schedule!$L:$L=AE254,(Schedule!$J:$J="""")+(Schedule!$J:$J=AF254),(Schedule!$K:$K=""a"")+(Schedule!$K:$K=""""),Schedule!$Y:$Y&lt;&gt;""""),""""))"),"")</f>
        <v/>
      </c>
      <c r="AK254" s="152" t="str">
        <f>IFERROR(__xludf.DUMMYFUNCTION("if(AE254="""","""",iferror(filter(Schedule!$P:$P&amp;""-""&amp;Schedule!$Q:$Q,Schedule!$L:$L=AE254,(Schedule!$J:$J="""")+(Schedule!$J:$J=AF254),(Schedule!$K:$K=""b"")+(Schedule!$K:$K=""""),Schedule!$P:$P&lt;&gt;""""),""""))"),"")</f>
        <v/>
      </c>
      <c r="AL254" s="152" t="str">
        <f>if(AG250="","","X-Block")</f>
        <v/>
      </c>
      <c r="AM254" s="60"/>
    </row>
    <row r="255">
      <c r="A255" s="151" t="str">
        <f>C250</f>
        <v/>
      </c>
      <c r="B255" s="151" t="str">
        <f>I250</f>
        <v/>
      </c>
      <c r="C255" s="147">
        <v>4.0</v>
      </c>
      <c r="D255" s="152" t="str">
        <f>IFERROR(__xludf.DUMMYFUNCTION("if(A255="""","""",iferror(filter(Schedule!$V:$V&amp;""-""&amp;Schedule!$W:$W,Schedule!$L:$L=A255,(Schedule!$J:$J="""")+(Schedule!$J:$J=B255),(Schedule!$K:$K=""a"")+(Schedule!$K:$K=""""),Schedule!$V:$V&lt;&gt;""""),""""))"),"")</f>
        <v/>
      </c>
      <c r="E255" s="152" t="str">
        <f>IFERROR(__xludf.DUMMYFUNCTION("if(A255="""","""",iferror(filter(Schedule!$M:$M&amp;""-""&amp;Schedule!$N:$N,Schedule!$L:$L=A255,(Schedule!$J:$J="""")+(Schedule!$J:$J=B255),(Schedule!$K:$K=""b"")+(Schedule!$K:$K=""""),Schedule!$M:$M&lt;&gt;""""),""""))"),"")</f>
        <v/>
      </c>
      <c r="F255" s="152" t="str">
        <f>IFERROR(__xludf.DUMMYFUNCTION("if(A255="""","""",iferror(filter(Schedule!$AB:$AB&amp;""-""&amp;Schedule!$AC:$AC,Schedule!$L:$L=A255,(Schedule!$J:$J="""")+(Schedule!$J:$J=B255),(Schedule!$K:$K=""a"")+(Schedule!$K:$K=""""),Schedule!$AB:$AB&lt;&gt;""""),""""))"),"")</f>
        <v/>
      </c>
      <c r="G255" s="152" t="str">
        <f>IFERROR(__xludf.DUMMYFUNCTION("if(A255="""","""",iferror(filter(Schedule!$S:$S&amp;""-""&amp;Schedule!$T:$T,Schedule!$L:$L=A255,(Schedule!$J:$J="""")+(Schedule!$J:$J=B255),(Schedule!$K:$K=""b"")+(Schedule!$K:$K=""""),Schedule!$S:$S&lt;&gt;""""),""""))"),"")</f>
        <v/>
      </c>
      <c r="H255" s="152" t="str">
        <f>IFERROR(__xludf.DUMMYFUNCTION("if(A255="""","""",iferror(filter(Schedule!$V:$V&amp;""-""&amp;Schedule!$W:$W,Schedule!$L:$L=A255,(Schedule!$J:$J="""")+(Schedule!$J:$J=B255),(Schedule!$K:$K=""b"")+(Schedule!$K:$K=""""),Schedule!$V:$V&lt;&gt;""""),""""))"),"")</f>
        <v/>
      </c>
      <c r="I255" s="60"/>
      <c r="J255" s="154"/>
      <c r="K255" s="151" t="str">
        <f>M250</f>
        <v/>
      </c>
      <c r="L255" s="151" t="str">
        <f>S250</f>
        <v/>
      </c>
      <c r="M255" s="147">
        <v>4.0</v>
      </c>
      <c r="N255" s="152" t="str">
        <f>IFERROR(__xludf.DUMMYFUNCTION("if(K255="""","""",iferror(filter(Schedule!$V:$V&amp;""-""&amp;Schedule!$W:$W,Schedule!$L:$L=K255,(Schedule!$J:$J="""")+(Schedule!$J:$J=L255),(Schedule!$K:$K=""a"")+(Schedule!$K:$K=""""),Schedule!$V:$V&lt;&gt;""""),""""))"),"")</f>
        <v/>
      </c>
      <c r="O255" s="152" t="str">
        <f>IFERROR(__xludf.DUMMYFUNCTION("if(K255="""","""",iferror(filter(Schedule!$M:$M&amp;""-""&amp;Schedule!$N:$N,Schedule!$L:$L=K255,(Schedule!$J:$J="""")+(Schedule!$J:$J=L255),(Schedule!$K:$K=""b"")+(Schedule!$K:$K=""""),Schedule!$M:$M&lt;&gt;""""),""""))"),"")</f>
        <v/>
      </c>
      <c r="P255" s="152" t="str">
        <f>IFERROR(__xludf.DUMMYFUNCTION("if(K255="""","""",iferror(filter(Schedule!$AB:$AB&amp;""-""&amp;Schedule!$AC:$AC,Schedule!$L:$L=K255,(Schedule!$J:$J="""")+(Schedule!$J:$J=L255),(Schedule!$K:$K=""a"")+(Schedule!$K:$K=""""),Schedule!$AB:$AB&lt;&gt;""""),""""))"),"")</f>
        <v/>
      </c>
      <c r="Q255" s="152" t="str">
        <f>IFERROR(__xludf.DUMMYFUNCTION("if(K255="""","""",iferror(filter(Schedule!$S:$S&amp;""-""&amp;Schedule!$T:$T,Schedule!$L:$L=K255,(Schedule!$J:$J="""")+(Schedule!$J:$J=L255),(Schedule!$K:$K=""b"")+(Schedule!$K:$K=""""),Schedule!$S:$S&lt;&gt;""""),""""))"),"")</f>
        <v/>
      </c>
      <c r="R255" s="152" t="str">
        <f>IFERROR(__xludf.DUMMYFUNCTION("if(K255="""","""",iferror(filter(Schedule!$V:$V&amp;""-""&amp;Schedule!$W:$W,Schedule!$L:$L=K255,(Schedule!$J:$J="""")+(Schedule!$J:$J=L255),(Schedule!$K:$K=""b"")+(Schedule!$K:$K=""""),Schedule!$V:$V&lt;&gt;""""),""""))"),"")</f>
        <v/>
      </c>
      <c r="S255" s="60"/>
      <c r="T255" s="155"/>
      <c r="U255" s="155" t="str">
        <f>W250</f>
        <v/>
      </c>
      <c r="V255" s="151" t="str">
        <f>AC250</f>
        <v/>
      </c>
      <c r="W255" s="147">
        <v>4.0</v>
      </c>
      <c r="X255" s="152" t="str">
        <f>IFERROR(__xludf.DUMMYFUNCTION("if(U255="""","""",iferror(filter(Schedule!$V:$V&amp;""-""&amp;Schedule!$W:$W,Schedule!$L:$L=U255,(Schedule!$J:$J="""")+(Schedule!$J:$J=V255),(Schedule!$K:$K=""a"")+(Schedule!$K:$K=""""),Schedule!$V:$V&lt;&gt;""""),""""))"),"")</f>
        <v/>
      </c>
      <c r="Y255" s="152" t="str">
        <f>IFERROR(__xludf.DUMMYFUNCTION("if(U255="""","""",iferror(filter(Schedule!$M:$M&amp;""-""&amp;Schedule!$N:$N,Schedule!$L:$L=U255,(Schedule!$J:$J="""")+(Schedule!$J:$J=V255),(Schedule!$K:$K=""b"")+(Schedule!$K:$K=""""),Schedule!$M:$M&lt;&gt;""""),""""))"),"")</f>
        <v/>
      </c>
      <c r="Z255" s="152" t="str">
        <f>IFERROR(__xludf.DUMMYFUNCTION("if(U255="""","""",iferror(filter(Schedule!$AB:$AB&amp;""-""&amp;Schedule!$AC:$AC,Schedule!$L:$L=U255,(Schedule!$J:$J="""")+(Schedule!$J:$J=V255),(Schedule!$K:$K=""a"")+(Schedule!$K:$K=""""),Schedule!$AB:$AB&lt;&gt;""""),""""))"),"")</f>
        <v/>
      </c>
      <c r="AA255" s="152" t="str">
        <f>IFERROR(__xludf.DUMMYFUNCTION("if(U255="""","""",iferror(filter(Schedule!$S:$S&amp;""-""&amp;Schedule!$T:$T,Schedule!$L:$L=U255,(Schedule!$J:$J="""")+(Schedule!$J:$J=V255),(Schedule!$K:$K=""b"")+(Schedule!$K:$K=""""),Schedule!$S:$S&lt;&gt;""""),""""))"),"")</f>
        <v/>
      </c>
      <c r="AB255" s="152" t="str">
        <f>IFERROR(__xludf.DUMMYFUNCTION("if(U255="""","""",iferror(filter(Schedule!$V:$V&amp;""-""&amp;Schedule!$W:$W,Schedule!$L:$L=U255,(Schedule!$J:$J="""")+(Schedule!$J:$J=V255),(Schedule!$K:$K=""b"")+(Schedule!$K:$K=""""),Schedule!$V:$V&lt;&gt;""""),""""))"),"")</f>
        <v/>
      </c>
      <c r="AC255" s="60"/>
      <c r="AD255" s="155"/>
      <c r="AE255" s="155" t="str">
        <f>AG250</f>
        <v/>
      </c>
      <c r="AF255" s="151" t="str">
        <f>AM250</f>
        <v/>
      </c>
      <c r="AG255" s="147">
        <v>4.0</v>
      </c>
      <c r="AH255" s="152" t="str">
        <f>IFERROR(__xludf.DUMMYFUNCTION("if(AE255="""","""",iferror(filter(Schedule!$V:$V&amp;""-""&amp;Schedule!$W:$W,Schedule!$L:$L=AE255,(Schedule!$J:$J="""")+(Schedule!$J:$J=AF255),(Schedule!$K:$K=""a"")+(Schedule!$K:$K=""""),Schedule!$V:$V&lt;&gt;""""),""""))"),"")</f>
        <v/>
      </c>
      <c r="AI255" s="152" t="str">
        <f>IFERROR(__xludf.DUMMYFUNCTION("if(AE255="""","""",iferror(filter(Schedule!$M:$M&amp;""-""&amp;Schedule!$N:$N,Schedule!$L:$L=AE255,(Schedule!$J:$J="""")+(Schedule!$J:$J=AF255),(Schedule!$K:$K=""b"")+(Schedule!$K:$K=""""),Schedule!$M:$M&lt;&gt;""""),""""))"),"")</f>
        <v/>
      </c>
      <c r="AJ255" s="152" t="str">
        <f>IFERROR(__xludf.DUMMYFUNCTION("if(AE255="""","""",iferror(filter(Schedule!$AB:$AB&amp;""-""&amp;Schedule!$AC:$AC,Schedule!$L:$L=AE255,(Schedule!$J:$J="""")+(Schedule!$J:$J=AF255),(Schedule!$K:$K=""a"")+(Schedule!$K:$K=""""),Schedule!$AB:$AB&lt;&gt;""""),""""))"),"")</f>
        <v/>
      </c>
      <c r="AK255" s="152" t="str">
        <f>IFERROR(__xludf.DUMMYFUNCTION("if(AE255="""","""",iferror(filter(Schedule!$S:$S&amp;""-""&amp;Schedule!$T:$T,Schedule!$L:$L=AE255,(Schedule!$J:$J="""")+(Schedule!$J:$J=AF255),(Schedule!$K:$K=""b"")+(Schedule!$K:$K=""""),Schedule!$S:$S&lt;&gt;""""),""""))"),"")</f>
        <v/>
      </c>
      <c r="AL255" s="152" t="str">
        <f>IFERROR(__xludf.DUMMYFUNCTION("if(AE255="""","""",iferror(filter(Schedule!$V:$V&amp;""-""&amp;Schedule!$W:$W,Schedule!$L:$L=AE255,(Schedule!$J:$J="""")+(Schedule!$J:$J=AF255),(Schedule!$K:$K=""b"")+(Schedule!$K:$K=""""),Schedule!$V:$V&lt;&gt;""""),""""))"),"")</f>
        <v/>
      </c>
      <c r="AM255" s="60"/>
    </row>
    <row r="256">
      <c r="A256" s="151" t="str">
        <f>C250</f>
        <v/>
      </c>
      <c r="B256" s="151" t="str">
        <f>I250</f>
        <v/>
      </c>
      <c r="C256" s="147">
        <v>5.0</v>
      </c>
      <c r="D256" s="152" t="str">
        <f>IFERROR(__xludf.DUMMYFUNCTION("if(A256="""","""",iferror(filter(Schedule!$Y:$Y&amp;""-""&amp;Schedule!$Z:$Z,Schedule!$L:$L=A256,(Schedule!$J:$J="""")+(Schedule!$J:$J=B256),(Schedule!$K:$K=""a"")+(Schedule!$K:$K=""""),Schedule!$Y:$Y&lt;&gt;""""),""""))"),"")</f>
        <v/>
      </c>
      <c r="E256" s="152" t="str">
        <f>IFERROR(__xludf.DUMMYFUNCTION("if(A256="""","""",iferror(filter(Schedule!$P:$P&amp;""-""&amp;Schedule!$Q:$Q,Schedule!$L:$L=A256,(Schedule!$J:$J="""")+(Schedule!$J:$J=B256),(Schedule!$K:$K=""b"")+(Schedule!$K:$K=""""),Schedule!$P:$P&lt;&gt;""""),""""))"),"")</f>
        <v/>
      </c>
      <c r="F256" s="152" t="str">
        <f>IFERROR(__xludf.DUMMYFUNCTION("if(A256="""","""",iferror(filter(Schedule!$V:$V&amp;""-""&amp;Schedule!$W:$W,Schedule!$L:$L=A256,(Schedule!$J:$J="""")+(Schedule!$J:$J=B256),(Schedule!$K:$K=""b"")+(Schedule!$K:$K=""""),Schedule!$V:$V&lt;&gt;""""),""""))"),"")</f>
        <v/>
      </c>
      <c r="G256" s="152" t="str">
        <f>IFERROR(__xludf.DUMMYFUNCTION("if(A256="""","""",iferror(filter(Schedule!$AB:$AB&amp;""-""&amp;Schedule!$AC:$AC,Schedule!$L:$L=A256,(Schedule!$J:$J="""")+(Schedule!$J:$J=B256),(Schedule!$K:$K=""b"")+(Schedule!$K:$K=""""),Schedule!$AB:$AB&lt;&gt;""""),""""))"),"")</f>
        <v/>
      </c>
      <c r="H256" s="152" t="str">
        <f>IFERROR(__xludf.DUMMYFUNCTION("if(A256="""","""",iferror(filter(Schedule!$M:$M&amp;""-""&amp;Schedule!$N:$N,Schedule!$L:$L=A256,(Schedule!$J:$J="""")+(Schedule!$J:$J=B256),(Schedule!$K:$K=""b"")+(Schedule!$K:$K=""""),Schedule!$M:$M&lt;&gt;""""),""""))"),"")</f>
        <v/>
      </c>
      <c r="I256" s="64"/>
      <c r="J256" s="154"/>
      <c r="K256" s="151" t="str">
        <f>M250</f>
        <v/>
      </c>
      <c r="L256" s="151" t="str">
        <f>S250</f>
        <v/>
      </c>
      <c r="M256" s="147">
        <v>5.0</v>
      </c>
      <c r="N256" s="152" t="str">
        <f>IFERROR(__xludf.DUMMYFUNCTION("if(K256="""","""",iferror(filter(Schedule!$Y:$Y&amp;""-""&amp;Schedule!$Z:$Z,Schedule!$L:$L=K256,(Schedule!$J:$J="""")+(Schedule!$J:$J=L256),(Schedule!$K:$K=""a"")+(Schedule!$K:$K=""""),Schedule!$Y:$Y&lt;&gt;""""),""""))"),"")</f>
        <v/>
      </c>
      <c r="O256" s="152" t="str">
        <f>IFERROR(__xludf.DUMMYFUNCTION("if(K256="""","""",iferror(filter(Schedule!$P:$P&amp;""-""&amp;Schedule!$Q:$Q,Schedule!$L:$L=K256,(Schedule!$J:$J="""")+(Schedule!$J:$J=L256),(Schedule!$K:$K=""b"")+(Schedule!$K:$K=""""),Schedule!$P:$P&lt;&gt;""""),""""))"),"")</f>
        <v/>
      </c>
      <c r="P256" s="152" t="str">
        <f>IFERROR(__xludf.DUMMYFUNCTION("if(K256="""","""",iferror(filter(Schedule!$V:$V&amp;""-""&amp;Schedule!$W:$W,Schedule!$L:$L=K256,(Schedule!$J:$J="""")+(Schedule!$J:$J=L256),(Schedule!$K:$K=""b"")+(Schedule!$K:$K=""""),Schedule!$V:$V&lt;&gt;""""),""""))"),"")</f>
        <v/>
      </c>
      <c r="Q256" s="152" t="str">
        <f>IFERROR(__xludf.DUMMYFUNCTION("if(K256="""","""",iferror(filter(Schedule!$AB:$AB&amp;""-""&amp;Schedule!$AC:$AC,Schedule!$L:$L=K256,(Schedule!$J:$J="""")+(Schedule!$J:$J=L256),(Schedule!$K:$K=""b"")+(Schedule!$K:$K=""""),Schedule!$AB:$AB&lt;&gt;""""),""""))"),"")</f>
        <v/>
      </c>
      <c r="R256" s="152" t="str">
        <f>IFERROR(__xludf.DUMMYFUNCTION("if(K256="""","""",iferror(filter(Schedule!$M:$M&amp;""-""&amp;Schedule!$N:$N,Schedule!$L:$L=K256,(Schedule!$J:$J="""")+(Schedule!$J:$J=L256),(Schedule!$K:$K=""b"")+(Schedule!$K:$K=""""),Schedule!$M:$M&lt;&gt;""""),""""))"),"")</f>
        <v/>
      </c>
      <c r="S256" s="64"/>
      <c r="T256" s="155"/>
      <c r="U256" s="155" t="str">
        <f>W250</f>
        <v/>
      </c>
      <c r="V256" s="151" t="str">
        <f>AC250</f>
        <v/>
      </c>
      <c r="W256" s="147">
        <v>5.0</v>
      </c>
      <c r="X256" s="152" t="str">
        <f>IFERROR(__xludf.DUMMYFUNCTION("if(U256="""","""",iferror(filter(Schedule!$Y:$Y&amp;""-""&amp;Schedule!$Z:$Z,Schedule!$L:$L=U256,(Schedule!$J:$J="""")+(Schedule!$J:$J=V256),(Schedule!$K:$K=""a"")+(Schedule!$K:$K=""""),Schedule!$Y:$Y&lt;&gt;""""),""""))"),"")</f>
        <v/>
      </c>
      <c r="Y256" s="152" t="str">
        <f>IFERROR(__xludf.DUMMYFUNCTION("if(U256="""","""",iferror(filter(Schedule!$P:$P&amp;""-""&amp;Schedule!$Q:$Q,Schedule!$L:$L=U256,(Schedule!$J:$J="""")+(Schedule!$J:$J=V256),(Schedule!$K:$K=""b"")+(Schedule!$K:$K=""""),Schedule!$P:$P&lt;&gt;""""),""""))"),"")</f>
        <v/>
      </c>
      <c r="Z256" s="152" t="str">
        <f>IFERROR(__xludf.DUMMYFUNCTION("if(U256="""","""",iferror(filter(Schedule!$V:$V&amp;""-""&amp;Schedule!$W:$W,Schedule!$L:$L=U256,(Schedule!$J:$J="""")+(Schedule!$J:$J=V256),(Schedule!$K:$K=""b"")+(Schedule!$K:$K=""""),Schedule!$V:$V&lt;&gt;""""),""""))"),"")</f>
        <v/>
      </c>
      <c r="AA256" s="152" t="str">
        <f>IFERROR(__xludf.DUMMYFUNCTION("if(U256="""","""",iferror(filter(Schedule!$AB:$AB&amp;""-""&amp;Schedule!$AC:$AC,Schedule!$L:$L=U256,(Schedule!$J:$J="""")+(Schedule!$J:$J=V256),(Schedule!$K:$K=""b"")+(Schedule!$K:$K=""""),Schedule!$AB:$AB&lt;&gt;""""),""""))"),"")</f>
        <v/>
      </c>
      <c r="AB256" s="152" t="str">
        <f>IFERROR(__xludf.DUMMYFUNCTION("if(U256="""","""",iferror(filter(Schedule!$M:$M&amp;""-""&amp;Schedule!$N:$N,Schedule!$L:$L=U256,(Schedule!$J:$J="""")+(Schedule!$J:$J=V256),(Schedule!$K:$K=""b"")+(Schedule!$K:$K=""""),Schedule!$M:$M&lt;&gt;""""),""""))"),"")</f>
        <v/>
      </c>
      <c r="AC256" s="64"/>
      <c r="AD256" s="155"/>
      <c r="AE256" s="155" t="str">
        <f>AG250</f>
        <v/>
      </c>
      <c r="AF256" s="151" t="str">
        <f>AM250</f>
        <v/>
      </c>
      <c r="AG256" s="147">
        <v>5.0</v>
      </c>
      <c r="AH256" s="152" t="str">
        <f>IFERROR(__xludf.DUMMYFUNCTION("if(AE256="""","""",iferror(filter(Schedule!$Y:$Y&amp;""-""&amp;Schedule!$Z:$Z,Schedule!$L:$L=AE256,(Schedule!$J:$J="""")+(Schedule!$J:$J=AF256),(Schedule!$K:$K=""a"")+(Schedule!$K:$K=""""),Schedule!$Y:$Y&lt;&gt;""""),""""))"),"")</f>
        <v/>
      </c>
      <c r="AI256" s="152" t="str">
        <f>IFERROR(__xludf.DUMMYFUNCTION("if(AE256="""","""",iferror(filter(Schedule!$P:$P&amp;""-""&amp;Schedule!$Q:$Q,Schedule!$L:$L=AE256,(Schedule!$J:$J="""")+(Schedule!$J:$J=AF256),(Schedule!$K:$K=""b"")+(Schedule!$K:$K=""""),Schedule!$P:$P&lt;&gt;""""),""""))"),"")</f>
        <v/>
      </c>
      <c r="AJ256" s="152" t="str">
        <f>IFERROR(__xludf.DUMMYFUNCTION("if(AE256="""","""",iferror(filter(Schedule!$V:$V&amp;""-""&amp;Schedule!$W:$W,Schedule!$L:$L=AE256,(Schedule!$J:$J="""")+(Schedule!$J:$J=AF256),(Schedule!$K:$K=""b"")+(Schedule!$K:$K=""""),Schedule!$V:$V&lt;&gt;""""),""""))"),"")</f>
        <v/>
      </c>
      <c r="AK256" s="152" t="str">
        <f>IFERROR(__xludf.DUMMYFUNCTION("if(AE256="""","""",iferror(filter(Schedule!$AB:$AB&amp;""-""&amp;Schedule!$AC:$AC,Schedule!$L:$L=AE256,(Schedule!$J:$J="""")+(Schedule!$J:$J=AF256),(Schedule!$K:$K=""b"")+(Schedule!$K:$K=""""),Schedule!$AB:$AB&lt;&gt;""""),""""))"),"")</f>
        <v/>
      </c>
      <c r="AL256" s="152" t="str">
        <f>IFERROR(__xludf.DUMMYFUNCTION("if(AE256="""","""",iferror(filter(Schedule!$M:$M&amp;""-""&amp;Schedule!$N:$N,Schedule!$L:$L=AE256,(Schedule!$J:$J="""")+(Schedule!$J:$J=AF256),(Schedule!$K:$K=""b"")+(Schedule!$K:$K=""""),Schedule!$M:$M&lt;&gt;""""),""""))"),"")</f>
        <v/>
      </c>
      <c r="AM256" s="64"/>
    </row>
    <row r="257">
      <c r="A257" s="11"/>
      <c r="B257" s="11"/>
      <c r="C257" s="156"/>
      <c r="D257" s="156"/>
      <c r="E257" s="156"/>
      <c r="F257" s="156"/>
      <c r="G257" s="156"/>
      <c r="H257" s="156"/>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c r="A258" s="5"/>
      <c r="B258" s="5"/>
      <c r="C258" s="140" t="str">
        <f>Teachers!A33</f>
        <v/>
      </c>
      <c r="D258" s="141"/>
      <c r="E258" s="141"/>
      <c r="F258" s="141"/>
      <c r="G258" s="141"/>
      <c r="H258" s="142"/>
      <c r="I258" s="143" t="str">
        <f>IFERROR(__xludf.DUMMYFUNCTION("if(C258="""","""", iferror(unique(filter(Schedule!$J:$J,Schedule!$L:$L=$C258,Schedule!$J:$J=""Q1"")),iferror(unique(filter(Schedule!$J:$J,Schedule!$L:$L=$C258,Schedule!$J:$J=""S1"")),""Y"")))"),"")</f>
        <v/>
      </c>
      <c r="J258" s="11"/>
      <c r="K258" s="11"/>
      <c r="L258" s="11"/>
      <c r="M258" s="140" t="str">
        <f>if(S258="","",C258)</f>
        <v/>
      </c>
      <c r="N258" s="141"/>
      <c r="O258" s="141"/>
      <c r="P258" s="141"/>
      <c r="Q258" s="141"/>
      <c r="R258" s="142"/>
      <c r="S258" s="143" t="str">
        <f>if($I258="Q1","Q2",if($I258="S1","S2",""))</f>
        <v/>
      </c>
      <c r="T258" s="144"/>
      <c r="U258" s="144"/>
      <c r="V258" s="145"/>
      <c r="W258" s="140" t="str">
        <f>if(AC258="","",M258)</f>
        <v/>
      </c>
      <c r="X258" s="141"/>
      <c r="Y258" s="141"/>
      <c r="Z258" s="141"/>
      <c r="AA258" s="141"/>
      <c r="AB258" s="142"/>
      <c r="AC258" s="143" t="str">
        <f>if($I258="Q1","Q3","")</f>
        <v/>
      </c>
      <c r="AD258" s="144"/>
      <c r="AE258" s="144"/>
      <c r="AF258" s="145"/>
      <c r="AG258" s="140" t="str">
        <f>if(AC258="","",W258)</f>
        <v/>
      </c>
      <c r="AH258" s="141"/>
      <c r="AI258" s="141"/>
      <c r="AJ258" s="141"/>
      <c r="AK258" s="141"/>
      <c r="AL258" s="142"/>
      <c r="AM258" s="143" t="str">
        <f>if($I258="Q1","Q4","")</f>
        <v/>
      </c>
    </row>
    <row r="259">
      <c r="A259" s="146"/>
      <c r="B259" s="146"/>
      <c r="C259" s="147" t="s">
        <v>94</v>
      </c>
      <c r="D259" s="148" t="s">
        <v>95</v>
      </c>
      <c r="E259" s="148" t="s">
        <v>96</v>
      </c>
      <c r="F259" s="148" t="s">
        <v>97</v>
      </c>
      <c r="G259" s="148" t="s">
        <v>98</v>
      </c>
      <c r="H259" s="148" t="s">
        <v>99</v>
      </c>
      <c r="I259" s="148" t="s">
        <v>651</v>
      </c>
      <c r="J259" s="146"/>
      <c r="K259" s="146"/>
      <c r="L259" s="146"/>
      <c r="M259" s="147" t="s">
        <v>94</v>
      </c>
      <c r="N259" s="148" t="s">
        <v>95</v>
      </c>
      <c r="O259" s="148" t="s">
        <v>96</v>
      </c>
      <c r="P259" s="148" t="s">
        <v>97</v>
      </c>
      <c r="Q259" s="148" t="s">
        <v>98</v>
      </c>
      <c r="R259" s="148" t="s">
        <v>99</v>
      </c>
      <c r="S259" s="148" t="s">
        <v>651</v>
      </c>
      <c r="T259" s="149"/>
      <c r="U259" s="149"/>
      <c r="V259" s="150"/>
      <c r="W259" s="147" t="s">
        <v>94</v>
      </c>
      <c r="X259" s="148" t="s">
        <v>95</v>
      </c>
      <c r="Y259" s="148" t="s">
        <v>96</v>
      </c>
      <c r="Z259" s="148" t="s">
        <v>97</v>
      </c>
      <c r="AA259" s="148" t="s">
        <v>98</v>
      </c>
      <c r="AB259" s="148" t="s">
        <v>99</v>
      </c>
      <c r="AC259" s="148" t="s">
        <v>651</v>
      </c>
      <c r="AD259" s="149"/>
      <c r="AE259" s="149"/>
      <c r="AF259" s="150"/>
      <c r="AG259" s="147" t="s">
        <v>94</v>
      </c>
      <c r="AH259" s="148" t="s">
        <v>95</v>
      </c>
      <c r="AI259" s="148" t="s">
        <v>96</v>
      </c>
      <c r="AJ259" s="148" t="s">
        <v>97</v>
      </c>
      <c r="AK259" s="148" t="s">
        <v>98</v>
      </c>
      <c r="AL259" s="148" t="s">
        <v>99</v>
      </c>
      <c r="AM259" s="148" t="s">
        <v>651</v>
      </c>
    </row>
    <row r="260">
      <c r="A260" s="151" t="str">
        <f>C258</f>
        <v/>
      </c>
      <c r="B260" s="151" t="str">
        <f>I258</f>
        <v/>
      </c>
      <c r="C260" s="147">
        <v>1.0</v>
      </c>
      <c r="D260" s="152" t="str">
        <f>IFERROR(__xludf.DUMMYFUNCTION("if(A260="""","""",iferror(filter(Schedule!$M:$M&amp;""-""&amp;Schedule!$N:$N,Schedule!$L:$L=A260,(Schedule!$J:$J="""")+(Schedule!$J:$J=B260),(Schedule!$K:$K=""a"")+(Schedule!$K:$K=""""),Schedule!$M:$M&lt;&gt;""""),""""))"),"")</f>
        <v/>
      </c>
      <c r="E260" s="152" t="str">
        <f>IFERROR(__xludf.DUMMYFUNCTION("if(A260="""","""",iferror(filter(Schedule!$AB:$AB&amp;""-""&amp;Schedule!$AC:$AC,Schedule!$L:$L=A260,(Schedule!$J:$J="""")+(Schedule!$J:$J=B260),(Schedule!$K:$K=""b"")+(Schedule!$K:$K=""""),Schedule!$AB:$AB&lt;&gt;""""),""""))"),"")</f>
        <v/>
      </c>
      <c r="F260" s="152" t="str">
        <f>IFERROR(__xludf.DUMMYFUNCTION("if(A260="""","""",iferror(filter(Schedule!$S:$S&amp;""-""&amp;Schedule!$T:$T,Schedule!$L:$L=A260,(Schedule!$J:$J="""")+(Schedule!$J:$J=B260),(Schedule!$K:$K=""a"")+(Schedule!$K:$K=""""),Schedule!$S:$S&lt;&gt;""""),""""))"),"")</f>
        <v/>
      </c>
      <c r="G260" s="152" t="str">
        <f>IFERROR(__xludf.DUMMYFUNCTION("if(A260="""","""",iferror(filter(Schedule!$V:$V&amp;""-""&amp;Schedule!$W:$W,Schedule!$L:$L=A260,(Schedule!$J:$J="""")+(Schedule!$J:$J=B260),(Schedule!$K:$K=""a"")+(Schedule!$K:$K=""""),Schedule!$V:$V&lt;&gt;""""),""""))"),"")</f>
        <v/>
      </c>
      <c r="H260" s="152" t="str">
        <f>IFERROR(__xludf.DUMMYFUNCTION("if(A260="""","""",iferror(filter(Schedule!$Y:$Y&amp;""-""&amp;Schedule!$Z:$Z,Schedule!$L:$L=A260,(Schedule!$J:$J="""")+(Schedule!$J:$J=B260),(Schedule!$K:$K=""b"")+(Schedule!$K:$K=""""),Schedule!$Y:$Y&lt;&gt;""""),""""))"),"")</f>
        <v/>
      </c>
      <c r="I260" s="153" t="str">
        <f>if(C258="","", 24-countifs(D260:H264,""))</f>
        <v/>
      </c>
      <c r="J260" s="154"/>
      <c r="K260" s="151" t="str">
        <f>M258</f>
        <v/>
      </c>
      <c r="L260" s="151" t="str">
        <f>S258</f>
        <v/>
      </c>
      <c r="M260" s="147">
        <v>1.0</v>
      </c>
      <c r="N260" s="152" t="str">
        <f>IFERROR(__xludf.DUMMYFUNCTION("if(K260="""","""",iferror(filter(Schedule!$M:$M&amp;""-""&amp;Schedule!$N:$N,Schedule!$L:$L=K260,(Schedule!$J:$J="""")+(Schedule!$J:$J=L260),(Schedule!$K:$K=""a"")+(Schedule!$K:$K=""""),Schedule!$M:$M&lt;&gt;""""),""""))"),"")</f>
        <v/>
      </c>
      <c r="O260" s="152" t="str">
        <f>IFERROR(__xludf.DUMMYFUNCTION("if(K260="""","""",iferror(filter(Schedule!$AB:$AB&amp;""-""&amp;Schedule!$AC:$AC,Schedule!$L:$L=K260,(Schedule!$J:$J="""")+(Schedule!$J:$J=L260),(Schedule!$K:$K=""b"")+(Schedule!$K:$K=""""),Schedule!$AB:$AB&lt;&gt;""""),""""))"),"")</f>
        <v/>
      </c>
      <c r="P260" s="152" t="str">
        <f>IFERROR(__xludf.DUMMYFUNCTION("if(K260="""","""",iferror(filter(Schedule!$S:$S&amp;""-""&amp;Schedule!$T:$T,Schedule!$L:$L=K260,(Schedule!$J:$J="""")+(Schedule!$J:$J=L260),(Schedule!$K:$K=""a"")+(Schedule!$K:$K=""""),Schedule!$S:$S&lt;&gt;""""),""""))"),"")</f>
        <v/>
      </c>
      <c r="Q260" s="152" t="str">
        <f>IFERROR(__xludf.DUMMYFUNCTION("if(K260="""","""",iferror(filter(Schedule!$V:$V&amp;""-""&amp;Schedule!$W:$W,Schedule!$L:$L=K260,(Schedule!$J:$J="""")+(Schedule!$J:$J=L260),(Schedule!$K:$K=""a"")+(Schedule!$K:$K=""""),Schedule!$V:$V&lt;&gt;""""),""""))"),"")</f>
        <v/>
      </c>
      <c r="R260" s="152" t="str">
        <f>IFERROR(__xludf.DUMMYFUNCTION("if(K260="""","""",iferror(filter(Schedule!$Y:$Y&amp;""-""&amp;Schedule!$Z:$Z,Schedule!$L:$L=K260,(Schedule!$J:$J="""")+(Schedule!$J:$J=L260),(Schedule!$K:$K=""b"")+(Schedule!$K:$K=""""),Schedule!$Y:$Y&lt;&gt;""""),""""))"),"")</f>
        <v/>
      </c>
      <c r="S260" s="153" t="str">
        <f>if(K260="","", 24-countifs(N260:R264,""))</f>
        <v/>
      </c>
      <c r="T260" s="155"/>
      <c r="U260" s="155" t="str">
        <f>W258</f>
        <v/>
      </c>
      <c r="V260" s="151" t="str">
        <f>AC258</f>
        <v/>
      </c>
      <c r="W260" s="147">
        <v>1.0</v>
      </c>
      <c r="X260" s="152" t="str">
        <f>IFERROR(__xludf.DUMMYFUNCTION("if(U260="""","""",iferror(filter(Schedule!$M:$M&amp;""-""&amp;Schedule!$N:$N,Schedule!$L:$L=U260,(Schedule!$J:$J="""")+(Schedule!$J:$J=V260),(Schedule!$K:$K=""a"")+(Schedule!$K:$K=""""),Schedule!$M:$M&lt;&gt;""""),""""))"),"")</f>
        <v/>
      </c>
      <c r="Y260" s="152" t="str">
        <f>IFERROR(__xludf.DUMMYFUNCTION("if(U260="""","""",iferror(filter(Schedule!$AB:$AB&amp;""-""&amp;Schedule!$AC:$AC,Schedule!$L:$L=U260,(Schedule!$J:$J="""")+(Schedule!$J:$J=V260),(Schedule!$K:$K=""b"")+(Schedule!$K:$K=""""),Schedule!$AB:$AB&lt;&gt;""""),""""))"),"")</f>
        <v/>
      </c>
      <c r="Z260" s="152" t="str">
        <f>IFERROR(__xludf.DUMMYFUNCTION("if(U260="""","""",iferror(filter(Schedule!$S:$S&amp;""-""&amp;Schedule!$T:$T,Schedule!$L:$L=U260,(Schedule!$J:$J="""")+(Schedule!$J:$J=V260),(Schedule!$K:$K=""a"")+(Schedule!$K:$K=""""),Schedule!$S:$S&lt;&gt;""""),""""))"),"")</f>
        <v/>
      </c>
      <c r="AA260" s="152" t="str">
        <f>IFERROR(__xludf.DUMMYFUNCTION("if(U260="""","""",iferror(filter(Schedule!$V:$V&amp;""-""&amp;Schedule!$W:$W,Schedule!$L:$L=U260,(Schedule!$J:$J="""")+(Schedule!$J:$J=V260),(Schedule!$K:$K=""a"")+(Schedule!$K:$K=""""),Schedule!$V:$V&lt;&gt;""""),""""))"),"")</f>
        <v/>
      </c>
      <c r="AB260" s="152" t="str">
        <f>IFERROR(__xludf.DUMMYFUNCTION("if(U260="""","""",iferror(filter(Schedule!$Y:$Y&amp;""-""&amp;Schedule!$Z:$Z,Schedule!$L:$L=U260,(Schedule!$J:$J="""")+(Schedule!$J:$J=V260),(Schedule!$K:$K=""b"")+(Schedule!$K:$K=""""),Schedule!$Y:$Y&lt;&gt;""""),""""))"),"")</f>
        <v/>
      </c>
      <c r="AC260" s="153" t="str">
        <f>if(U260="","", 24-countifs(X260:AB264,""))</f>
        <v/>
      </c>
      <c r="AD260" s="155"/>
      <c r="AE260" s="155" t="str">
        <f>AG258</f>
        <v/>
      </c>
      <c r="AF260" s="151" t="str">
        <f>AM258</f>
        <v/>
      </c>
      <c r="AG260" s="147">
        <v>1.0</v>
      </c>
      <c r="AH260" s="152" t="str">
        <f>IFERROR(__xludf.DUMMYFUNCTION("if(AE260="""","""",iferror(filter(Schedule!$M:$M&amp;""-""&amp;Schedule!$N:$N,Schedule!$L:$L=AE260,(Schedule!$J:$J="""")+(Schedule!$J:$J=AF260),(Schedule!$K:$K=""a"")+(Schedule!$K:$K=""""),Schedule!$M:$M&lt;&gt;""""),""""))"),"")</f>
        <v/>
      </c>
      <c r="AI260" s="152" t="str">
        <f>IFERROR(__xludf.DUMMYFUNCTION("if(AE260="""","""",iferror(filter(Schedule!$AB:$AB&amp;""-""&amp;Schedule!$AC:$AC,Schedule!$L:$L=AE260,(Schedule!$J:$J="""")+(Schedule!$J:$J=AF260),(Schedule!$K:$K=""b"")+(Schedule!$K:$K=""""),Schedule!$AB:$AB&lt;&gt;""""),""""))"),"")</f>
        <v/>
      </c>
      <c r="AJ260" s="152" t="str">
        <f>IFERROR(__xludf.DUMMYFUNCTION("if(AE260="""","""",iferror(filter(Schedule!$S:$S&amp;""-""&amp;Schedule!$T:$T,Schedule!$L:$L=AE260,(Schedule!$J:$J="""")+(Schedule!$J:$J=AF260),(Schedule!$K:$K=""a"")+(Schedule!$K:$K=""""),Schedule!$S:$S&lt;&gt;""""),""""))"),"")</f>
        <v/>
      </c>
      <c r="AK260" s="152" t="str">
        <f>IFERROR(__xludf.DUMMYFUNCTION("if(AE260="""","""",iferror(filter(Schedule!$V:$V&amp;""-""&amp;Schedule!$W:$W,Schedule!$L:$L=AE260,(Schedule!$J:$J="""")+(Schedule!$J:$J=AF260),(Schedule!$K:$K=""a"")+(Schedule!$K:$K=""""),Schedule!$V:$V&lt;&gt;""""),""""))"),"")</f>
        <v/>
      </c>
      <c r="AL260" s="152" t="str">
        <f>IFERROR(__xludf.DUMMYFUNCTION("if(AE260="""","""",iferror(filter(Schedule!$Y:$Y&amp;""-""&amp;Schedule!$Z:$Z,Schedule!$L:$L=AE260,(Schedule!$J:$J="""")+(Schedule!$J:$J=AF260),(Schedule!$K:$K=""b"")+(Schedule!$K:$K=""""),Schedule!$Y:$Y&lt;&gt;""""),""""))"),"")</f>
        <v/>
      </c>
      <c r="AM260" s="153" t="str">
        <f>if(AE260="","", 24-countifs(AH260:AL264,""))</f>
        <v/>
      </c>
    </row>
    <row r="261">
      <c r="A261" s="151" t="str">
        <f>C258</f>
        <v/>
      </c>
      <c r="B261" s="151" t="str">
        <f>I258</f>
        <v/>
      </c>
      <c r="C261" s="147">
        <v>2.0</v>
      </c>
      <c r="D261" s="152" t="str">
        <f>IFERROR(__xludf.DUMMYFUNCTION("if(A261="""","""",iferror(filter(Schedule!$P:$P&amp;""-""&amp;Schedule!$Q:$Q,Schedule!$L:$L=A261,(Schedule!$J:$J="""")+(Schedule!$J:$J=B261),(Schedule!$K:$K=""a"")+(Schedule!$K:$K=""""),Schedule!$P:$P&lt;&gt;""""),""""))"),"")</f>
        <v/>
      </c>
      <c r="E261" s="152" t="str">
        <f>IFERROR(__xludf.DUMMYFUNCTION("if(A261="""","""",iferror(filter(Schedule!$Y:$Y&amp;""-""&amp;Schedule!$Z:$Z,Schedule!$L:$L=A261,(Schedule!$J:$J="""")+(Schedule!$J:$J=B261),(Schedule!$K:$K=""b"")+(Schedule!$K:$K=""""),Schedule!$Y:$Y&lt;&gt;""""),""""))"),"")</f>
        <v/>
      </c>
      <c r="F261" s="152" t="str">
        <f>IFERROR(__xludf.DUMMYFUNCTION("if(A261="""","""",iferror(filter(Schedule!$P:$P&amp;""-""&amp;Schedule!$Q:$Q,Schedule!$L:$L=A261,(Schedule!$J:$J="""")+(Schedule!$J:$J=B261),(Schedule!$K:$K=""a"")+(Schedule!$K:$K=""""),Schedule!$P:$P&lt;&gt;""""),""""))"),"")</f>
        <v/>
      </c>
      <c r="G261" s="152" t="str">
        <f>IFERROR(__xludf.DUMMYFUNCTION("if(A261="""","""",iferror(filter(Schedule!$M:$M&amp;""-""&amp;Schedule!$N:$N,Schedule!$L:$L=A261,(Schedule!$J:$J="""")+(Schedule!$J:$J=B261),(Schedule!$K:$K=""a"")+(Schedule!$K:$K=""""),Schedule!$M:$M&lt;&gt;""""),""""))"),"")</f>
        <v/>
      </c>
      <c r="H261" s="152" t="str">
        <f>IFERROR(__xludf.DUMMYFUNCTION("if(A261="""","""",iferror(filter(Schedule!$AB:$AB&amp;""-""&amp;Schedule!$AC:$AC,Schedule!$L:$L=A261,(Schedule!$J:$J="""")+(Schedule!$J:$J=B261),(Schedule!$K:$K=""a"")+(Schedule!$K:$K=""""),Schedule!$AB:$AB&lt;&gt;""""),""""))"),"")</f>
        <v/>
      </c>
      <c r="I261" s="60"/>
      <c r="J261" s="154"/>
      <c r="K261" s="151" t="str">
        <f>M258</f>
        <v/>
      </c>
      <c r="L261" s="151" t="str">
        <f>S258</f>
        <v/>
      </c>
      <c r="M261" s="147">
        <v>2.0</v>
      </c>
      <c r="N261" s="152" t="str">
        <f>IFERROR(__xludf.DUMMYFUNCTION("if(K261="""","""",iferror(filter(Schedule!$P:$P&amp;""-""&amp;Schedule!$Q:$Q,Schedule!$L:$L=K261,(Schedule!$J:$J="""")+(Schedule!$J:$J=L261),(Schedule!$K:$K=""a"")+(Schedule!$K:$K=""""),Schedule!$P:$P&lt;&gt;""""),""""))"),"")</f>
        <v/>
      </c>
      <c r="O261" s="152" t="str">
        <f>IFERROR(__xludf.DUMMYFUNCTION("if(K261="""","""",iferror(filter(Schedule!$Y:$Y&amp;""-""&amp;Schedule!$Z:$Z,Schedule!$L:$L=K261,(Schedule!$J:$J="""")+(Schedule!$J:$J=L261),(Schedule!$K:$K=""b"")+(Schedule!$K:$K=""""),Schedule!$Y:$Y&lt;&gt;""""),""""))"),"")</f>
        <v/>
      </c>
      <c r="P261" s="152" t="str">
        <f>IFERROR(__xludf.DUMMYFUNCTION("if(K261="""","""",iferror(filter(Schedule!$P:$P&amp;""-""&amp;Schedule!$Q:$Q,Schedule!$L:$L=K261,(Schedule!$J:$J="""")+(Schedule!$J:$J=L261),(Schedule!$K:$K=""a"")+(Schedule!$K:$K=""""),Schedule!$P:$P&lt;&gt;""""),""""))"),"")</f>
        <v/>
      </c>
      <c r="Q261" s="152" t="str">
        <f>IFERROR(__xludf.DUMMYFUNCTION("if(K261="""","""",iferror(filter(Schedule!$M:$M&amp;""-""&amp;Schedule!$N:$N,Schedule!$L:$L=K261,(Schedule!$J:$J="""")+(Schedule!$J:$J=L261),(Schedule!$K:$K=""a"")+(Schedule!$K:$K=""""),Schedule!$M:$M&lt;&gt;""""),""""))"),"")</f>
        <v/>
      </c>
      <c r="R261" s="152" t="str">
        <f>IFERROR(__xludf.DUMMYFUNCTION("if(K261="""","""",iferror(filter(Schedule!$AB:$AB&amp;""-""&amp;Schedule!$AC:$AC,Schedule!$L:$L=K261,(Schedule!$J:$J="""")+(Schedule!$J:$J=L261),(Schedule!$K:$K=""a"")+(Schedule!$K:$K=""""),Schedule!$AB:$AB&lt;&gt;""""),""""))"),"")</f>
        <v/>
      </c>
      <c r="S261" s="60"/>
      <c r="T261" s="155"/>
      <c r="U261" s="155" t="str">
        <f>W258</f>
        <v/>
      </c>
      <c r="V261" s="151" t="str">
        <f>AC258</f>
        <v/>
      </c>
      <c r="W261" s="147">
        <v>2.0</v>
      </c>
      <c r="X261" s="152" t="str">
        <f>IFERROR(__xludf.DUMMYFUNCTION("if(U261="""","""",iferror(filter(Schedule!$P:$P&amp;""-""&amp;Schedule!$Q:$Q,Schedule!$L:$L=U261,(Schedule!$J:$J="""")+(Schedule!$J:$J=V261),(Schedule!$K:$K=""a"")+(Schedule!$K:$K=""""),Schedule!$P:$P&lt;&gt;""""),""""))"),"")</f>
        <v/>
      </c>
      <c r="Y261" s="152" t="str">
        <f>IFERROR(__xludf.DUMMYFUNCTION("if(U261="""","""",iferror(filter(Schedule!$Y:$Y&amp;""-""&amp;Schedule!$Z:$Z,Schedule!$L:$L=U261,(Schedule!$J:$J="""")+(Schedule!$J:$J=V261),(Schedule!$K:$K=""b"")+(Schedule!$K:$K=""""),Schedule!$Y:$Y&lt;&gt;""""),""""))"),"")</f>
        <v/>
      </c>
      <c r="Z261" s="152" t="str">
        <f>IFERROR(__xludf.DUMMYFUNCTION("if(U261="""","""",iferror(filter(Schedule!$P:$P&amp;""-""&amp;Schedule!$Q:$Q,Schedule!$L:$L=U261,(Schedule!$J:$J="""")+(Schedule!$J:$J=V261),(Schedule!$K:$K=""a"")+(Schedule!$K:$K=""""),Schedule!$P:$P&lt;&gt;""""),""""))"),"")</f>
        <v/>
      </c>
      <c r="AA261" s="152" t="str">
        <f>IFERROR(__xludf.DUMMYFUNCTION("if(U261="""","""",iferror(filter(Schedule!$M:$M&amp;""-""&amp;Schedule!$N:$N,Schedule!$L:$L=U261,(Schedule!$J:$J="""")+(Schedule!$J:$J=V261),(Schedule!$K:$K=""a"")+(Schedule!$K:$K=""""),Schedule!$M:$M&lt;&gt;""""),""""))"),"")</f>
        <v/>
      </c>
      <c r="AB261" s="152" t="str">
        <f>IFERROR(__xludf.DUMMYFUNCTION("if(U261="""","""",iferror(filter(Schedule!$AB:$AB&amp;""-""&amp;Schedule!$AC:$AC,Schedule!$L:$L=U261,(Schedule!$J:$J="""")+(Schedule!$J:$J=V261),(Schedule!$K:$K=""a"")+(Schedule!$K:$K=""""),Schedule!$AB:$AB&lt;&gt;""""),""""))"),"")</f>
        <v/>
      </c>
      <c r="AC261" s="60"/>
      <c r="AD261" s="155"/>
      <c r="AE261" s="155" t="str">
        <f>AG258</f>
        <v/>
      </c>
      <c r="AF261" s="151" t="str">
        <f>AM258</f>
        <v/>
      </c>
      <c r="AG261" s="147">
        <v>2.0</v>
      </c>
      <c r="AH261" s="152" t="str">
        <f>IFERROR(__xludf.DUMMYFUNCTION("if(AE261="""","""",iferror(filter(Schedule!$P:$P&amp;""-""&amp;Schedule!$Q:$Q,Schedule!$L:$L=AE261,(Schedule!$J:$J="""")+(Schedule!$J:$J=AF261),(Schedule!$K:$K=""a"")+(Schedule!$K:$K=""""),Schedule!$P:$P&lt;&gt;""""),""""))"),"")</f>
        <v/>
      </c>
      <c r="AI261" s="152" t="str">
        <f>IFERROR(__xludf.DUMMYFUNCTION("if(AE261="""","""",iferror(filter(Schedule!$Y:$Y&amp;""-""&amp;Schedule!$Z:$Z,Schedule!$L:$L=AE261,(Schedule!$J:$J="""")+(Schedule!$J:$J=AF261),(Schedule!$K:$K=""b"")+(Schedule!$K:$K=""""),Schedule!$Y:$Y&lt;&gt;""""),""""))"),"")</f>
        <v/>
      </c>
      <c r="AJ261" s="152" t="str">
        <f>IFERROR(__xludf.DUMMYFUNCTION("if(AE261="""","""",iferror(filter(Schedule!$P:$P&amp;""-""&amp;Schedule!$Q:$Q,Schedule!$L:$L=AE261,(Schedule!$J:$J="""")+(Schedule!$J:$J=AF261),(Schedule!$K:$K=""a"")+(Schedule!$K:$K=""""),Schedule!$P:$P&lt;&gt;""""),""""))"),"")</f>
        <v/>
      </c>
      <c r="AK261" s="152" t="str">
        <f>IFERROR(__xludf.DUMMYFUNCTION("if(AE261="""","""",iferror(filter(Schedule!$M:$M&amp;""-""&amp;Schedule!$N:$N,Schedule!$L:$L=AE261,(Schedule!$J:$J="""")+(Schedule!$J:$J=AF261),(Schedule!$K:$K=""a"")+(Schedule!$K:$K=""""),Schedule!$M:$M&lt;&gt;""""),""""))"),"")</f>
        <v/>
      </c>
      <c r="AL261" s="152" t="str">
        <f>IFERROR(__xludf.DUMMYFUNCTION("if(AE261="""","""",iferror(filter(Schedule!$AB:$AB&amp;""-""&amp;Schedule!$AC:$AC,Schedule!$L:$L=AE261,(Schedule!$J:$J="""")+(Schedule!$J:$J=AF261),(Schedule!$K:$K=""a"")+(Schedule!$K:$K=""""),Schedule!$AB:$AB&lt;&gt;""""),""""))"),"")</f>
        <v/>
      </c>
      <c r="AM261" s="60"/>
    </row>
    <row r="262">
      <c r="A262" s="151" t="str">
        <f>C258</f>
        <v/>
      </c>
      <c r="B262" s="151" t="str">
        <f>I258</f>
        <v/>
      </c>
      <c r="C262" s="147">
        <v>3.0</v>
      </c>
      <c r="D262" s="152" t="str">
        <f>IFERROR(__xludf.DUMMYFUNCTION("if(A262="""","""",iferror(filter(Schedule!$S:$S&amp;""-""&amp;Schedule!$T:$T,Schedule!$L:$L=A262,(Schedule!$J:$J="""")+(Schedule!$J:$J=B262),(Schedule!$K:$K=""a"")+(Schedule!$K:$K=""""),Schedule!$S:$S&lt;&gt;""""),""""))"),"")</f>
        <v/>
      </c>
      <c r="E262" s="152" t="str">
        <f>IFERROR(__xludf.DUMMYFUNCTION("if(A262="""","""",iferror(filter(Schedule!$S:$S&amp;""-""&amp;Schedule!$T:$T,Schedule!$L:$L=A262,(Schedule!$J:$J="""")+(Schedule!$J:$J=B262),(Schedule!$K:$K=""b"")+(Schedule!$K:$K=""""),Schedule!$S:$S&lt;&gt;""""),""""))"),"")</f>
        <v/>
      </c>
      <c r="F262" s="152" t="str">
        <f>IFERROR(__xludf.DUMMYFUNCTION("if(A262="""","""",iferror(filter(Schedule!$Y:$Y&amp;""-""&amp;Schedule!$Z:$Z,Schedule!$L:$L=A262,(Schedule!$J:$J="""")+(Schedule!$J:$J=B262),(Schedule!$K:$K=""a"")+(Schedule!$K:$K=""""),Schedule!$Y:$Y&lt;&gt;""""),""""))"),"")</f>
        <v/>
      </c>
      <c r="G262" s="152" t="str">
        <f>IFERROR(__xludf.DUMMYFUNCTION("if(A262="""","""",iferror(filter(Schedule!$P:$P&amp;""-""&amp;Schedule!$Q:$Q,Schedule!$L:$L=A262,(Schedule!$J:$J="""")+(Schedule!$J:$J=B262),(Schedule!$K:$K=""b"")+(Schedule!$K:$K=""""),Schedule!$P:$P&lt;&gt;""""),""""))"),"")</f>
        <v/>
      </c>
      <c r="H262" s="152" t="str">
        <f>if(C258="","","X-Block")</f>
        <v/>
      </c>
      <c r="I262" s="60"/>
      <c r="J262" s="154"/>
      <c r="K262" s="151" t="str">
        <f>M258</f>
        <v/>
      </c>
      <c r="L262" s="151" t="str">
        <f>S258</f>
        <v/>
      </c>
      <c r="M262" s="147">
        <v>3.0</v>
      </c>
      <c r="N262" s="152" t="str">
        <f>IFERROR(__xludf.DUMMYFUNCTION("if(K262="""","""",iferror(filter(Schedule!$S:$S&amp;""-""&amp;Schedule!$T:$T,Schedule!$L:$L=K262,(Schedule!$J:$J="""")+(Schedule!$J:$J=L262),(Schedule!$K:$K=""a"")+(Schedule!$K:$K=""""),Schedule!$S:$S&lt;&gt;""""),""""))"),"")</f>
        <v/>
      </c>
      <c r="O262" s="152" t="str">
        <f>IFERROR(__xludf.DUMMYFUNCTION("if(K262="""","""",iferror(filter(Schedule!$S:$S&amp;""-""&amp;Schedule!$T:$T,Schedule!$L:$L=K262,(Schedule!$J:$J="""")+(Schedule!$J:$J=L262),(Schedule!$K:$K=""b"")+(Schedule!$K:$K=""""),Schedule!$S:$S&lt;&gt;""""),""""))"),"")</f>
        <v/>
      </c>
      <c r="P262" s="152" t="str">
        <f>IFERROR(__xludf.DUMMYFUNCTION("if(K262="""","""",iferror(filter(Schedule!$Y:$Y&amp;""-""&amp;Schedule!$Z:$Z,Schedule!$L:$L=K262,(Schedule!$J:$J="""")+(Schedule!$J:$J=L262),(Schedule!$K:$K=""a"")+(Schedule!$K:$K=""""),Schedule!$Y:$Y&lt;&gt;""""),""""))"),"")</f>
        <v/>
      </c>
      <c r="Q262" s="152" t="str">
        <f>IFERROR(__xludf.DUMMYFUNCTION("if(K262="""","""",iferror(filter(Schedule!$P:$P&amp;""-""&amp;Schedule!$Q:$Q,Schedule!$L:$L=K262,(Schedule!$J:$J="""")+(Schedule!$J:$J=L262),(Schedule!$K:$K=""b"")+(Schedule!$K:$K=""""),Schedule!$P:$P&lt;&gt;""""),""""))"),"")</f>
        <v/>
      </c>
      <c r="R262" s="152" t="str">
        <f>if(M258="","","X-Block")</f>
        <v/>
      </c>
      <c r="S262" s="60"/>
      <c r="T262" s="155"/>
      <c r="U262" s="155" t="str">
        <f>W258</f>
        <v/>
      </c>
      <c r="V262" s="151" t="str">
        <f>AC258</f>
        <v/>
      </c>
      <c r="W262" s="147">
        <v>3.0</v>
      </c>
      <c r="X262" s="152" t="str">
        <f>IFERROR(__xludf.DUMMYFUNCTION("if(U262="""","""",iferror(filter(Schedule!$S:$S&amp;""-""&amp;Schedule!$T:$T,Schedule!$L:$L=U262,(Schedule!$J:$J="""")+(Schedule!$J:$J=V262),(Schedule!$K:$K=""a"")+(Schedule!$K:$K=""""),Schedule!$S:$S&lt;&gt;""""),""""))"),"")</f>
        <v/>
      </c>
      <c r="Y262" s="152" t="str">
        <f>IFERROR(__xludf.DUMMYFUNCTION("if(U262="""","""",iferror(filter(Schedule!$S:$S&amp;""-""&amp;Schedule!$T:$T,Schedule!$L:$L=U262,(Schedule!$J:$J="""")+(Schedule!$J:$J=V262),(Schedule!$K:$K=""b"")+(Schedule!$K:$K=""""),Schedule!$S:$S&lt;&gt;""""),""""))"),"")</f>
        <v/>
      </c>
      <c r="Z262" s="152" t="str">
        <f>IFERROR(__xludf.DUMMYFUNCTION("if(U262="""","""",iferror(filter(Schedule!$Y:$Y&amp;""-""&amp;Schedule!$Z:$Z,Schedule!$L:$L=U262,(Schedule!$J:$J="""")+(Schedule!$J:$J=V262),(Schedule!$K:$K=""a"")+(Schedule!$K:$K=""""),Schedule!$Y:$Y&lt;&gt;""""),""""))"),"")</f>
        <v/>
      </c>
      <c r="AA262" s="152" t="str">
        <f>IFERROR(__xludf.DUMMYFUNCTION("if(U262="""","""",iferror(filter(Schedule!$P:$P&amp;""-""&amp;Schedule!$Q:$Q,Schedule!$L:$L=U262,(Schedule!$J:$J="""")+(Schedule!$J:$J=V262),(Schedule!$K:$K=""b"")+(Schedule!$K:$K=""""),Schedule!$P:$P&lt;&gt;""""),""""))"),"")</f>
        <v/>
      </c>
      <c r="AB262" s="152" t="str">
        <f>if(W258="","","X-Block")</f>
        <v/>
      </c>
      <c r="AC262" s="60"/>
      <c r="AD262" s="155"/>
      <c r="AE262" s="155" t="str">
        <f>AG258</f>
        <v/>
      </c>
      <c r="AF262" s="151" t="str">
        <f>AM258</f>
        <v/>
      </c>
      <c r="AG262" s="147">
        <v>3.0</v>
      </c>
      <c r="AH262" s="152" t="str">
        <f>IFERROR(__xludf.DUMMYFUNCTION("if(AE262="""","""",iferror(filter(Schedule!$S:$S&amp;""-""&amp;Schedule!$T:$T,Schedule!$L:$L=AE262,(Schedule!$J:$J="""")+(Schedule!$J:$J=AF262),(Schedule!$K:$K=""a"")+(Schedule!$K:$K=""""),Schedule!$S:$S&lt;&gt;""""),""""))"),"")</f>
        <v/>
      </c>
      <c r="AI262" s="152" t="str">
        <f>IFERROR(__xludf.DUMMYFUNCTION("if(AE262="""","""",iferror(filter(Schedule!$S:$S&amp;""-""&amp;Schedule!$T:$T,Schedule!$L:$L=AE262,(Schedule!$J:$J="""")+(Schedule!$J:$J=AF262),(Schedule!$K:$K=""b"")+(Schedule!$K:$K=""""),Schedule!$S:$S&lt;&gt;""""),""""))"),"")</f>
        <v/>
      </c>
      <c r="AJ262" s="152" t="str">
        <f>IFERROR(__xludf.DUMMYFUNCTION("if(AE262="""","""",iferror(filter(Schedule!$Y:$Y&amp;""-""&amp;Schedule!$Z:$Z,Schedule!$L:$L=AE262,(Schedule!$J:$J="""")+(Schedule!$J:$J=AF262),(Schedule!$K:$K=""a"")+(Schedule!$K:$K=""""),Schedule!$Y:$Y&lt;&gt;""""),""""))"),"")</f>
        <v/>
      </c>
      <c r="AK262" s="152" t="str">
        <f>IFERROR(__xludf.DUMMYFUNCTION("if(AE262="""","""",iferror(filter(Schedule!$P:$P&amp;""-""&amp;Schedule!$Q:$Q,Schedule!$L:$L=AE262,(Schedule!$J:$J="""")+(Schedule!$J:$J=AF262),(Schedule!$K:$K=""b"")+(Schedule!$K:$K=""""),Schedule!$P:$P&lt;&gt;""""),""""))"),"")</f>
        <v/>
      </c>
      <c r="AL262" s="152" t="str">
        <f>if(AG258="","","X-Block")</f>
        <v/>
      </c>
      <c r="AM262" s="60"/>
    </row>
    <row r="263">
      <c r="A263" s="151" t="str">
        <f>C258</f>
        <v/>
      </c>
      <c r="B263" s="151" t="str">
        <f>I258</f>
        <v/>
      </c>
      <c r="C263" s="147">
        <v>4.0</v>
      </c>
      <c r="D263" s="152" t="str">
        <f>IFERROR(__xludf.DUMMYFUNCTION("if(A263="""","""",iferror(filter(Schedule!$V:$V&amp;""-""&amp;Schedule!$W:$W,Schedule!$L:$L=A263,(Schedule!$J:$J="""")+(Schedule!$J:$J=B263),(Schedule!$K:$K=""a"")+(Schedule!$K:$K=""""),Schedule!$V:$V&lt;&gt;""""),""""))"),"")</f>
        <v/>
      </c>
      <c r="E263" s="152" t="str">
        <f>IFERROR(__xludf.DUMMYFUNCTION("if(A263="""","""",iferror(filter(Schedule!$M:$M&amp;""-""&amp;Schedule!$N:$N,Schedule!$L:$L=A263,(Schedule!$J:$J="""")+(Schedule!$J:$J=B263),(Schedule!$K:$K=""b"")+(Schedule!$K:$K=""""),Schedule!$M:$M&lt;&gt;""""),""""))"),"")</f>
        <v/>
      </c>
      <c r="F263" s="152" t="str">
        <f>IFERROR(__xludf.DUMMYFUNCTION("if(A263="""","""",iferror(filter(Schedule!$AB:$AB&amp;""-""&amp;Schedule!$AC:$AC,Schedule!$L:$L=A263,(Schedule!$J:$J="""")+(Schedule!$J:$J=B263),(Schedule!$K:$K=""a"")+(Schedule!$K:$K=""""),Schedule!$AB:$AB&lt;&gt;""""),""""))"),"")</f>
        <v/>
      </c>
      <c r="G263" s="152" t="str">
        <f>IFERROR(__xludf.DUMMYFUNCTION("if(A263="""","""",iferror(filter(Schedule!$S:$S&amp;""-""&amp;Schedule!$T:$T,Schedule!$L:$L=A263,(Schedule!$J:$J="""")+(Schedule!$J:$J=B263),(Schedule!$K:$K=""b"")+(Schedule!$K:$K=""""),Schedule!$S:$S&lt;&gt;""""),""""))"),"")</f>
        <v/>
      </c>
      <c r="H263" s="152" t="str">
        <f>IFERROR(__xludf.DUMMYFUNCTION("if(A263="""","""",iferror(filter(Schedule!$V:$V&amp;""-""&amp;Schedule!$W:$W,Schedule!$L:$L=A263,(Schedule!$J:$J="""")+(Schedule!$J:$J=B263),(Schedule!$K:$K=""b"")+(Schedule!$K:$K=""""),Schedule!$V:$V&lt;&gt;""""),""""))"),"")</f>
        <v/>
      </c>
      <c r="I263" s="60"/>
      <c r="J263" s="154"/>
      <c r="K263" s="151" t="str">
        <f>M258</f>
        <v/>
      </c>
      <c r="L263" s="151" t="str">
        <f>S258</f>
        <v/>
      </c>
      <c r="M263" s="147">
        <v>4.0</v>
      </c>
      <c r="N263" s="152" t="str">
        <f>IFERROR(__xludf.DUMMYFUNCTION("if(K263="""","""",iferror(filter(Schedule!$V:$V&amp;""-""&amp;Schedule!$W:$W,Schedule!$L:$L=K263,(Schedule!$J:$J="""")+(Schedule!$J:$J=L263),(Schedule!$K:$K=""a"")+(Schedule!$K:$K=""""),Schedule!$V:$V&lt;&gt;""""),""""))"),"")</f>
        <v/>
      </c>
      <c r="O263" s="152" t="str">
        <f>IFERROR(__xludf.DUMMYFUNCTION("if(K263="""","""",iferror(filter(Schedule!$M:$M&amp;""-""&amp;Schedule!$N:$N,Schedule!$L:$L=K263,(Schedule!$J:$J="""")+(Schedule!$J:$J=L263),(Schedule!$K:$K=""b"")+(Schedule!$K:$K=""""),Schedule!$M:$M&lt;&gt;""""),""""))"),"")</f>
        <v/>
      </c>
      <c r="P263" s="152" t="str">
        <f>IFERROR(__xludf.DUMMYFUNCTION("if(K263="""","""",iferror(filter(Schedule!$AB:$AB&amp;""-""&amp;Schedule!$AC:$AC,Schedule!$L:$L=K263,(Schedule!$J:$J="""")+(Schedule!$J:$J=L263),(Schedule!$K:$K=""a"")+(Schedule!$K:$K=""""),Schedule!$AB:$AB&lt;&gt;""""),""""))"),"")</f>
        <v/>
      </c>
      <c r="Q263" s="152" t="str">
        <f>IFERROR(__xludf.DUMMYFUNCTION("if(K263="""","""",iferror(filter(Schedule!$S:$S&amp;""-""&amp;Schedule!$T:$T,Schedule!$L:$L=K263,(Schedule!$J:$J="""")+(Schedule!$J:$J=L263),(Schedule!$K:$K=""b"")+(Schedule!$K:$K=""""),Schedule!$S:$S&lt;&gt;""""),""""))"),"")</f>
        <v/>
      </c>
      <c r="R263" s="152" t="str">
        <f>IFERROR(__xludf.DUMMYFUNCTION("if(K263="""","""",iferror(filter(Schedule!$V:$V&amp;""-""&amp;Schedule!$W:$W,Schedule!$L:$L=K263,(Schedule!$J:$J="""")+(Schedule!$J:$J=L263),(Schedule!$K:$K=""b"")+(Schedule!$K:$K=""""),Schedule!$V:$V&lt;&gt;""""),""""))"),"")</f>
        <v/>
      </c>
      <c r="S263" s="60"/>
      <c r="T263" s="155"/>
      <c r="U263" s="155" t="str">
        <f>W258</f>
        <v/>
      </c>
      <c r="V263" s="151" t="str">
        <f>AC258</f>
        <v/>
      </c>
      <c r="W263" s="147">
        <v>4.0</v>
      </c>
      <c r="X263" s="152" t="str">
        <f>IFERROR(__xludf.DUMMYFUNCTION("if(U263="""","""",iferror(filter(Schedule!$V:$V&amp;""-""&amp;Schedule!$W:$W,Schedule!$L:$L=U263,(Schedule!$J:$J="""")+(Schedule!$J:$J=V263),(Schedule!$K:$K=""a"")+(Schedule!$K:$K=""""),Schedule!$V:$V&lt;&gt;""""),""""))"),"")</f>
        <v/>
      </c>
      <c r="Y263" s="152" t="str">
        <f>IFERROR(__xludf.DUMMYFUNCTION("if(U263="""","""",iferror(filter(Schedule!$M:$M&amp;""-""&amp;Schedule!$N:$N,Schedule!$L:$L=U263,(Schedule!$J:$J="""")+(Schedule!$J:$J=V263),(Schedule!$K:$K=""b"")+(Schedule!$K:$K=""""),Schedule!$M:$M&lt;&gt;""""),""""))"),"")</f>
        <v/>
      </c>
      <c r="Z263" s="152" t="str">
        <f>IFERROR(__xludf.DUMMYFUNCTION("if(U263="""","""",iferror(filter(Schedule!$AB:$AB&amp;""-""&amp;Schedule!$AC:$AC,Schedule!$L:$L=U263,(Schedule!$J:$J="""")+(Schedule!$J:$J=V263),(Schedule!$K:$K=""a"")+(Schedule!$K:$K=""""),Schedule!$AB:$AB&lt;&gt;""""),""""))"),"")</f>
        <v/>
      </c>
      <c r="AA263" s="152" t="str">
        <f>IFERROR(__xludf.DUMMYFUNCTION("if(U263="""","""",iferror(filter(Schedule!$S:$S&amp;""-""&amp;Schedule!$T:$T,Schedule!$L:$L=U263,(Schedule!$J:$J="""")+(Schedule!$J:$J=V263),(Schedule!$K:$K=""b"")+(Schedule!$K:$K=""""),Schedule!$S:$S&lt;&gt;""""),""""))"),"")</f>
        <v/>
      </c>
      <c r="AB263" s="152" t="str">
        <f>IFERROR(__xludf.DUMMYFUNCTION("if(U263="""","""",iferror(filter(Schedule!$V:$V&amp;""-""&amp;Schedule!$W:$W,Schedule!$L:$L=U263,(Schedule!$J:$J="""")+(Schedule!$J:$J=V263),(Schedule!$K:$K=""b"")+(Schedule!$K:$K=""""),Schedule!$V:$V&lt;&gt;""""),""""))"),"")</f>
        <v/>
      </c>
      <c r="AC263" s="60"/>
      <c r="AD263" s="155"/>
      <c r="AE263" s="155" t="str">
        <f>AG258</f>
        <v/>
      </c>
      <c r="AF263" s="151" t="str">
        <f>AM258</f>
        <v/>
      </c>
      <c r="AG263" s="147">
        <v>4.0</v>
      </c>
      <c r="AH263" s="152" t="str">
        <f>IFERROR(__xludf.DUMMYFUNCTION("if(AE263="""","""",iferror(filter(Schedule!$V:$V&amp;""-""&amp;Schedule!$W:$W,Schedule!$L:$L=AE263,(Schedule!$J:$J="""")+(Schedule!$J:$J=AF263),(Schedule!$K:$K=""a"")+(Schedule!$K:$K=""""),Schedule!$V:$V&lt;&gt;""""),""""))"),"")</f>
        <v/>
      </c>
      <c r="AI263" s="152" t="str">
        <f>IFERROR(__xludf.DUMMYFUNCTION("if(AE263="""","""",iferror(filter(Schedule!$M:$M&amp;""-""&amp;Schedule!$N:$N,Schedule!$L:$L=AE263,(Schedule!$J:$J="""")+(Schedule!$J:$J=AF263),(Schedule!$K:$K=""b"")+(Schedule!$K:$K=""""),Schedule!$M:$M&lt;&gt;""""),""""))"),"")</f>
        <v/>
      </c>
      <c r="AJ263" s="152" t="str">
        <f>IFERROR(__xludf.DUMMYFUNCTION("if(AE263="""","""",iferror(filter(Schedule!$AB:$AB&amp;""-""&amp;Schedule!$AC:$AC,Schedule!$L:$L=AE263,(Schedule!$J:$J="""")+(Schedule!$J:$J=AF263),(Schedule!$K:$K=""a"")+(Schedule!$K:$K=""""),Schedule!$AB:$AB&lt;&gt;""""),""""))"),"")</f>
        <v/>
      </c>
      <c r="AK263" s="152" t="str">
        <f>IFERROR(__xludf.DUMMYFUNCTION("if(AE263="""","""",iferror(filter(Schedule!$S:$S&amp;""-""&amp;Schedule!$T:$T,Schedule!$L:$L=AE263,(Schedule!$J:$J="""")+(Schedule!$J:$J=AF263),(Schedule!$K:$K=""b"")+(Schedule!$K:$K=""""),Schedule!$S:$S&lt;&gt;""""),""""))"),"")</f>
        <v/>
      </c>
      <c r="AL263" s="152" t="str">
        <f>IFERROR(__xludf.DUMMYFUNCTION("if(AE263="""","""",iferror(filter(Schedule!$V:$V&amp;""-""&amp;Schedule!$W:$W,Schedule!$L:$L=AE263,(Schedule!$J:$J="""")+(Schedule!$J:$J=AF263),(Schedule!$K:$K=""b"")+(Schedule!$K:$K=""""),Schedule!$V:$V&lt;&gt;""""),""""))"),"")</f>
        <v/>
      </c>
      <c r="AM263" s="60"/>
    </row>
    <row r="264">
      <c r="A264" s="151" t="str">
        <f>C258</f>
        <v/>
      </c>
      <c r="B264" s="151" t="str">
        <f>I258</f>
        <v/>
      </c>
      <c r="C264" s="147">
        <v>5.0</v>
      </c>
      <c r="D264" s="152" t="str">
        <f>IFERROR(__xludf.DUMMYFUNCTION("if(A264="""","""",iferror(filter(Schedule!$Y:$Y&amp;""-""&amp;Schedule!$Z:$Z,Schedule!$L:$L=A264,(Schedule!$J:$J="""")+(Schedule!$J:$J=B264),(Schedule!$K:$K=""a"")+(Schedule!$K:$K=""""),Schedule!$Y:$Y&lt;&gt;""""),""""))"),"")</f>
        <v/>
      </c>
      <c r="E264" s="152" t="str">
        <f>IFERROR(__xludf.DUMMYFUNCTION("if(A264="""","""",iferror(filter(Schedule!$P:$P&amp;""-""&amp;Schedule!$Q:$Q,Schedule!$L:$L=A264,(Schedule!$J:$J="""")+(Schedule!$J:$J=B264),(Schedule!$K:$K=""b"")+(Schedule!$K:$K=""""),Schedule!$P:$P&lt;&gt;""""),""""))"),"")</f>
        <v/>
      </c>
      <c r="F264" s="152" t="str">
        <f>IFERROR(__xludf.DUMMYFUNCTION("if(A264="""","""",iferror(filter(Schedule!$V:$V&amp;""-""&amp;Schedule!$W:$W,Schedule!$L:$L=A264,(Schedule!$J:$J="""")+(Schedule!$J:$J=B264),(Schedule!$K:$K=""b"")+(Schedule!$K:$K=""""),Schedule!$V:$V&lt;&gt;""""),""""))"),"")</f>
        <v/>
      </c>
      <c r="G264" s="152" t="str">
        <f>IFERROR(__xludf.DUMMYFUNCTION("if(A264="""","""",iferror(filter(Schedule!$AB:$AB&amp;""-""&amp;Schedule!$AC:$AC,Schedule!$L:$L=A264,(Schedule!$J:$J="""")+(Schedule!$J:$J=B264),(Schedule!$K:$K=""b"")+(Schedule!$K:$K=""""),Schedule!$AB:$AB&lt;&gt;""""),""""))"),"")</f>
        <v/>
      </c>
      <c r="H264" s="152" t="str">
        <f>IFERROR(__xludf.DUMMYFUNCTION("if(A264="""","""",iferror(filter(Schedule!$M:$M&amp;""-""&amp;Schedule!$N:$N,Schedule!$L:$L=A264,(Schedule!$J:$J="""")+(Schedule!$J:$J=B264),(Schedule!$K:$K=""b"")+(Schedule!$K:$K=""""),Schedule!$M:$M&lt;&gt;""""),""""))"),"")</f>
        <v/>
      </c>
      <c r="I264" s="64"/>
      <c r="J264" s="154"/>
      <c r="K264" s="151" t="str">
        <f>M258</f>
        <v/>
      </c>
      <c r="L264" s="151" t="str">
        <f>S258</f>
        <v/>
      </c>
      <c r="M264" s="147">
        <v>5.0</v>
      </c>
      <c r="N264" s="152" t="str">
        <f>IFERROR(__xludf.DUMMYFUNCTION("if(K264="""","""",iferror(filter(Schedule!$Y:$Y&amp;""-""&amp;Schedule!$Z:$Z,Schedule!$L:$L=K264,(Schedule!$J:$J="""")+(Schedule!$J:$J=L264),(Schedule!$K:$K=""a"")+(Schedule!$K:$K=""""),Schedule!$Y:$Y&lt;&gt;""""),""""))"),"")</f>
        <v/>
      </c>
      <c r="O264" s="152" t="str">
        <f>IFERROR(__xludf.DUMMYFUNCTION("if(K264="""","""",iferror(filter(Schedule!$P:$P&amp;""-""&amp;Schedule!$Q:$Q,Schedule!$L:$L=K264,(Schedule!$J:$J="""")+(Schedule!$J:$J=L264),(Schedule!$K:$K=""b"")+(Schedule!$K:$K=""""),Schedule!$P:$P&lt;&gt;""""),""""))"),"")</f>
        <v/>
      </c>
      <c r="P264" s="152" t="str">
        <f>IFERROR(__xludf.DUMMYFUNCTION("if(K264="""","""",iferror(filter(Schedule!$V:$V&amp;""-""&amp;Schedule!$W:$W,Schedule!$L:$L=K264,(Schedule!$J:$J="""")+(Schedule!$J:$J=L264),(Schedule!$K:$K=""b"")+(Schedule!$K:$K=""""),Schedule!$V:$V&lt;&gt;""""),""""))"),"")</f>
        <v/>
      </c>
      <c r="Q264" s="152" t="str">
        <f>IFERROR(__xludf.DUMMYFUNCTION("if(K264="""","""",iferror(filter(Schedule!$AB:$AB&amp;""-""&amp;Schedule!$AC:$AC,Schedule!$L:$L=K264,(Schedule!$J:$J="""")+(Schedule!$J:$J=L264),(Schedule!$K:$K=""b"")+(Schedule!$K:$K=""""),Schedule!$AB:$AB&lt;&gt;""""),""""))"),"")</f>
        <v/>
      </c>
      <c r="R264" s="152" t="str">
        <f>IFERROR(__xludf.DUMMYFUNCTION("if(K264="""","""",iferror(filter(Schedule!$M:$M&amp;""-""&amp;Schedule!$N:$N,Schedule!$L:$L=K264,(Schedule!$J:$J="""")+(Schedule!$J:$J=L264),(Schedule!$K:$K=""b"")+(Schedule!$K:$K=""""),Schedule!$M:$M&lt;&gt;""""),""""))"),"")</f>
        <v/>
      </c>
      <c r="S264" s="64"/>
      <c r="T264" s="155"/>
      <c r="U264" s="155" t="str">
        <f>W258</f>
        <v/>
      </c>
      <c r="V264" s="151" t="str">
        <f>AC258</f>
        <v/>
      </c>
      <c r="W264" s="147">
        <v>5.0</v>
      </c>
      <c r="X264" s="152" t="str">
        <f>IFERROR(__xludf.DUMMYFUNCTION("if(U264="""","""",iferror(filter(Schedule!$Y:$Y&amp;""-""&amp;Schedule!$Z:$Z,Schedule!$L:$L=U264,(Schedule!$J:$J="""")+(Schedule!$J:$J=V264),(Schedule!$K:$K=""a"")+(Schedule!$K:$K=""""),Schedule!$Y:$Y&lt;&gt;""""),""""))"),"")</f>
        <v/>
      </c>
      <c r="Y264" s="152" t="str">
        <f>IFERROR(__xludf.DUMMYFUNCTION("if(U264="""","""",iferror(filter(Schedule!$P:$P&amp;""-""&amp;Schedule!$Q:$Q,Schedule!$L:$L=U264,(Schedule!$J:$J="""")+(Schedule!$J:$J=V264),(Schedule!$K:$K=""b"")+(Schedule!$K:$K=""""),Schedule!$P:$P&lt;&gt;""""),""""))"),"")</f>
        <v/>
      </c>
      <c r="Z264" s="152" t="str">
        <f>IFERROR(__xludf.DUMMYFUNCTION("if(U264="""","""",iferror(filter(Schedule!$V:$V&amp;""-""&amp;Schedule!$W:$W,Schedule!$L:$L=U264,(Schedule!$J:$J="""")+(Schedule!$J:$J=V264),(Schedule!$K:$K=""b"")+(Schedule!$K:$K=""""),Schedule!$V:$V&lt;&gt;""""),""""))"),"")</f>
        <v/>
      </c>
      <c r="AA264" s="152" t="str">
        <f>IFERROR(__xludf.DUMMYFUNCTION("if(U264="""","""",iferror(filter(Schedule!$AB:$AB&amp;""-""&amp;Schedule!$AC:$AC,Schedule!$L:$L=U264,(Schedule!$J:$J="""")+(Schedule!$J:$J=V264),(Schedule!$K:$K=""b"")+(Schedule!$K:$K=""""),Schedule!$AB:$AB&lt;&gt;""""),""""))"),"")</f>
        <v/>
      </c>
      <c r="AB264" s="152" t="str">
        <f>IFERROR(__xludf.DUMMYFUNCTION("if(U264="""","""",iferror(filter(Schedule!$M:$M&amp;""-""&amp;Schedule!$N:$N,Schedule!$L:$L=U264,(Schedule!$J:$J="""")+(Schedule!$J:$J=V264),(Schedule!$K:$K=""b"")+(Schedule!$K:$K=""""),Schedule!$M:$M&lt;&gt;""""),""""))"),"")</f>
        <v/>
      </c>
      <c r="AC264" s="64"/>
      <c r="AD264" s="155"/>
      <c r="AE264" s="155" t="str">
        <f>AG258</f>
        <v/>
      </c>
      <c r="AF264" s="151" t="str">
        <f>AM258</f>
        <v/>
      </c>
      <c r="AG264" s="147">
        <v>5.0</v>
      </c>
      <c r="AH264" s="152" t="str">
        <f>IFERROR(__xludf.DUMMYFUNCTION("if(AE264="""","""",iferror(filter(Schedule!$Y:$Y&amp;""-""&amp;Schedule!$Z:$Z,Schedule!$L:$L=AE264,(Schedule!$J:$J="""")+(Schedule!$J:$J=AF264),(Schedule!$K:$K=""a"")+(Schedule!$K:$K=""""),Schedule!$Y:$Y&lt;&gt;""""),""""))"),"")</f>
        <v/>
      </c>
      <c r="AI264" s="152" t="str">
        <f>IFERROR(__xludf.DUMMYFUNCTION("if(AE264="""","""",iferror(filter(Schedule!$P:$P&amp;""-""&amp;Schedule!$Q:$Q,Schedule!$L:$L=AE264,(Schedule!$J:$J="""")+(Schedule!$J:$J=AF264),(Schedule!$K:$K=""b"")+(Schedule!$K:$K=""""),Schedule!$P:$P&lt;&gt;""""),""""))"),"")</f>
        <v/>
      </c>
      <c r="AJ264" s="152" t="str">
        <f>IFERROR(__xludf.DUMMYFUNCTION("if(AE264="""","""",iferror(filter(Schedule!$V:$V&amp;""-""&amp;Schedule!$W:$W,Schedule!$L:$L=AE264,(Schedule!$J:$J="""")+(Schedule!$J:$J=AF264),(Schedule!$K:$K=""b"")+(Schedule!$K:$K=""""),Schedule!$V:$V&lt;&gt;""""),""""))"),"")</f>
        <v/>
      </c>
      <c r="AK264" s="152" t="str">
        <f>IFERROR(__xludf.DUMMYFUNCTION("if(AE264="""","""",iferror(filter(Schedule!$AB:$AB&amp;""-""&amp;Schedule!$AC:$AC,Schedule!$L:$L=AE264,(Schedule!$J:$J="""")+(Schedule!$J:$J=AF264),(Schedule!$K:$K=""b"")+(Schedule!$K:$K=""""),Schedule!$AB:$AB&lt;&gt;""""),""""))"),"")</f>
        <v/>
      </c>
      <c r="AL264" s="152" t="str">
        <f>IFERROR(__xludf.DUMMYFUNCTION("if(AE264="""","""",iferror(filter(Schedule!$M:$M&amp;""-""&amp;Schedule!$N:$N,Schedule!$L:$L=AE264,(Schedule!$J:$J="""")+(Schedule!$J:$J=AF264),(Schedule!$K:$K=""b"")+(Schedule!$K:$K=""""),Schedule!$M:$M&lt;&gt;""""),""""))"),"")</f>
        <v/>
      </c>
      <c r="AM264" s="64"/>
    </row>
    <row r="265">
      <c r="A265" s="11"/>
      <c r="B265" s="11"/>
      <c r="C265" s="156"/>
      <c r="D265" s="156"/>
      <c r="E265" s="156"/>
      <c r="F265" s="156"/>
      <c r="G265" s="156"/>
      <c r="H265" s="156"/>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c r="A266" s="5"/>
      <c r="B266" s="5"/>
      <c r="C266" s="140" t="str">
        <f>Teachers!A34</f>
        <v/>
      </c>
      <c r="D266" s="141"/>
      <c r="E266" s="141"/>
      <c r="F266" s="141"/>
      <c r="G266" s="141"/>
      <c r="H266" s="142"/>
      <c r="I266" s="143" t="str">
        <f>IFERROR(__xludf.DUMMYFUNCTION("if(C266="""","""", iferror(unique(filter(Schedule!$J:$J,Schedule!$L:$L=$C266,Schedule!$J:$J=""Q1"")),iferror(unique(filter(Schedule!$J:$J,Schedule!$L:$L=$C266,Schedule!$J:$J=""S1"")),""Y"")))"),"")</f>
        <v/>
      </c>
      <c r="J266" s="11"/>
      <c r="K266" s="11"/>
      <c r="L266" s="11"/>
      <c r="M266" s="140" t="str">
        <f>if(S266="","",C266)</f>
        <v/>
      </c>
      <c r="N266" s="141"/>
      <c r="O266" s="141"/>
      <c r="P266" s="141"/>
      <c r="Q266" s="141"/>
      <c r="R266" s="142"/>
      <c r="S266" s="143" t="str">
        <f>if($I266="Q1","Q2",if($I266="S1","S2",""))</f>
        <v/>
      </c>
      <c r="T266" s="144"/>
      <c r="U266" s="144"/>
      <c r="V266" s="145"/>
      <c r="W266" s="140" t="str">
        <f>if(AC266="","",M266)</f>
        <v/>
      </c>
      <c r="X266" s="141"/>
      <c r="Y266" s="141"/>
      <c r="Z266" s="141"/>
      <c r="AA266" s="141"/>
      <c r="AB266" s="142"/>
      <c r="AC266" s="143" t="str">
        <f>if($I266="Q1","Q3","")</f>
        <v/>
      </c>
      <c r="AD266" s="144"/>
      <c r="AE266" s="144"/>
      <c r="AF266" s="145"/>
      <c r="AG266" s="140" t="str">
        <f>if(AC266="","",W266)</f>
        <v/>
      </c>
      <c r="AH266" s="141"/>
      <c r="AI266" s="141"/>
      <c r="AJ266" s="141"/>
      <c r="AK266" s="141"/>
      <c r="AL266" s="142"/>
      <c r="AM266" s="143" t="str">
        <f>if($I266="Q1","Q4","")</f>
        <v/>
      </c>
    </row>
    <row r="267">
      <c r="A267" s="146"/>
      <c r="B267" s="146"/>
      <c r="C267" s="147" t="s">
        <v>94</v>
      </c>
      <c r="D267" s="148" t="s">
        <v>95</v>
      </c>
      <c r="E267" s="148" t="s">
        <v>96</v>
      </c>
      <c r="F267" s="148" t="s">
        <v>97</v>
      </c>
      <c r="G267" s="148" t="s">
        <v>98</v>
      </c>
      <c r="H267" s="148" t="s">
        <v>99</v>
      </c>
      <c r="I267" s="148" t="s">
        <v>651</v>
      </c>
      <c r="J267" s="146"/>
      <c r="K267" s="146"/>
      <c r="L267" s="146"/>
      <c r="M267" s="147" t="s">
        <v>94</v>
      </c>
      <c r="N267" s="148" t="s">
        <v>95</v>
      </c>
      <c r="O267" s="148" t="s">
        <v>96</v>
      </c>
      <c r="P267" s="148" t="s">
        <v>97</v>
      </c>
      <c r="Q267" s="148" t="s">
        <v>98</v>
      </c>
      <c r="R267" s="148" t="s">
        <v>99</v>
      </c>
      <c r="S267" s="148" t="s">
        <v>651</v>
      </c>
      <c r="T267" s="149"/>
      <c r="U267" s="149"/>
      <c r="V267" s="150"/>
      <c r="W267" s="147" t="s">
        <v>94</v>
      </c>
      <c r="X267" s="148" t="s">
        <v>95</v>
      </c>
      <c r="Y267" s="148" t="s">
        <v>96</v>
      </c>
      <c r="Z267" s="148" t="s">
        <v>97</v>
      </c>
      <c r="AA267" s="148" t="s">
        <v>98</v>
      </c>
      <c r="AB267" s="148" t="s">
        <v>99</v>
      </c>
      <c r="AC267" s="148" t="s">
        <v>651</v>
      </c>
      <c r="AD267" s="149"/>
      <c r="AE267" s="149"/>
      <c r="AF267" s="150"/>
      <c r="AG267" s="147" t="s">
        <v>94</v>
      </c>
      <c r="AH267" s="148" t="s">
        <v>95</v>
      </c>
      <c r="AI267" s="148" t="s">
        <v>96</v>
      </c>
      <c r="AJ267" s="148" t="s">
        <v>97</v>
      </c>
      <c r="AK267" s="148" t="s">
        <v>98</v>
      </c>
      <c r="AL267" s="148" t="s">
        <v>99</v>
      </c>
      <c r="AM267" s="148" t="s">
        <v>651</v>
      </c>
    </row>
    <row r="268">
      <c r="A268" s="151" t="str">
        <f>C266</f>
        <v/>
      </c>
      <c r="B268" s="151" t="str">
        <f>I266</f>
        <v/>
      </c>
      <c r="C268" s="147">
        <v>1.0</v>
      </c>
      <c r="D268" s="152" t="str">
        <f>IFERROR(__xludf.DUMMYFUNCTION("if(A268="""","""",iferror(filter(Schedule!$M:$M&amp;""-""&amp;Schedule!$N:$N,Schedule!$L:$L=A268,(Schedule!$J:$J="""")+(Schedule!$J:$J=B268),(Schedule!$K:$K=""a"")+(Schedule!$K:$K=""""),Schedule!$M:$M&lt;&gt;""""),""""))"),"")</f>
        <v/>
      </c>
      <c r="E268" s="152" t="str">
        <f>IFERROR(__xludf.DUMMYFUNCTION("if(A268="""","""",iferror(filter(Schedule!$AB:$AB&amp;""-""&amp;Schedule!$AC:$AC,Schedule!$L:$L=A268,(Schedule!$J:$J="""")+(Schedule!$J:$J=B268),(Schedule!$K:$K=""b"")+(Schedule!$K:$K=""""),Schedule!$AB:$AB&lt;&gt;""""),""""))"),"")</f>
        <v/>
      </c>
      <c r="F268" s="152" t="str">
        <f>IFERROR(__xludf.DUMMYFUNCTION("if(A268="""","""",iferror(filter(Schedule!$S:$S&amp;""-""&amp;Schedule!$T:$T,Schedule!$L:$L=A268,(Schedule!$J:$J="""")+(Schedule!$J:$J=B268),(Schedule!$K:$K=""a"")+(Schedule!$K:$K=""""),Schedule!$S:$S&lt;&gt;""""),""""))"),"")</f>
        <v/>
      </c>
      <c r="G268" s="152" t="str">
        <f>IFERROR(__xludf.DUMMYFUNCTION("if(A268="""","""",iferror(filter(Schedule!$V:$V&amp;""-""&amp;Schedule!$W:$W,Schedule!$L:$L=A268,(Schedule!$J:$J="""")+(Schedule!$J:$J=B268),(Schedule!$K:$K=""a"")+(Schedule!$K:$K=""""),Schedule!$V:$V&lt;&gt;""""),""""))"),"")</f>
        <v/>
      </c>
      <c r="H268" s="152" t="str">
        <f>IFERROR(__xludf.DUMMYFUNCTION("if(A268="""","""",iferror(filter(Schedule!$Y:$Y&amp;""-""&amp;Schedule!$Z:$Z,Schedule!$L:$L=A268,(Schedule!$J:$J="""")+(Schedule!$J:$J=B268),(Schedule!$K:$K=""b"")+(Schedule!$K:$K=""""),Schedule!$Y:$Y&lt;&gt;""""),""""))"),"")</f>
        <v/>
      </c>
      <c r="I268" s="153" t="str">
        <f>if(C266="","", 24-countifs(D268:H272,""))</f>
        <v/>
      </c>
      <c r="J268" s="154"/>
      <c r="K268" s="151" t="str">
        <f>M266</f>
        <v/>
      </c>
      <c r="L268" s="151" t="str">
        <f>S266</f>
        <v/>
      </c>
      <c r="M268" s="147">
        <v>1.0</v>
      </c>
      <c r="N268" s="152" t="str">
        <f>IFERROR(__xludf.DUMMYFUNCTION("if(K268="""","""",iferror(filter(Schedule!$M:$M&amp;""-""&amp;Schedule!$N:$N,Schedule!$L:$L=K268,(Schedule!$J:$J="""")+(Schedule!$J:$J=L268),(Schedule!$K:$K=""a"")+(Schedule!$K:$K=""""),Schedule!$M:$M&lt;&gt;""""),""""))"),"")</f>
        <v/>
      </c>
      <c r="O268" s="152" t="str">
        <f>IFERROR(__xludf.DUMMYFUNCTION("if(K268="""","""",iferror(filter(Schedule!$AB:$AB&amp;""-""&amp;Schedule!$AC:$AC,Schedule!$L:$L=K268,(Schedule!$J:$J="""")+(Schedule!$J:$J=L268),(Schedule!$K:$K=""b"")+(Schedule!$K:$K=""""),Schedule!$AB:$AB&lt;&gt;""""),""""))"),"")</f>
        <v/>
      </c>
      <c r="P268" s="152" t="str">
        <f>IFERROR(__xludf.DUMMYFUNCTION("if(K268="""","""",iferror(filter(Schedule!$S:$S&amp;""-""&amp;Schedule!$T:$T,Schedule!$L:$L=K268,(Schedule!$J:$J="""")+(Schedule!$J:$J=L268),(Schedule!$K:$K=""a"")+(Schedule!$K:$K=""""),Schedule!$S:$S&lt;&gt;""""),""""))"),"")</f>
        <v/>
      </c>
      <c r="Q268" s="152" t="str">
        <f>IFERROR(__xludf.DUMMYFUNCTION("if(K268="""","""",iferror(filter(Schedule!$V:$V&amp;""-""&amp;Schedule!$W:$W,Schedule!$L:$L=K268,(Schedule!$J:$J="""")+(Schedule!$J:$J=L268),(Schedule!$K:$K=""a"")+(Schedule!$K:$K=""""),Schedule!$V:$V&lt;&gt;""""),""""))"),"")</f>
        <v/>
      </c>
      <c r="R268" s="152" t="str">
        <f>IFERROR(__xludf.DUMMYFUNCTION("if(K268="""","""",iferror(filter(Schedule!$Y:$Y&amp;""-""&amp;Schedule!$Z:$Z,Schedule!$L:$L=K268,(Schedule!$J:$J="""")+(Schedule!$J:$J=L268),(Schedule!$K:$K=""b"")+(Schedule!$K:$K=""""),Schedule!$Y:$Y&lt;&gt;""""),""""))"),"")</f>
        <v/>
      </c>
      <c r="S268" s="153" t="str">
        <f>if(K268="","", 24-countifs(N268:R272,""))</f>
        <v/>
      </c>
      <c r="T268" s="155"/>
      <c r="U268" s="155" t="str">
        <f>W266</f>
        <v/>
      </c>
      <c r="V268" s="151" t="str">
        <f>AC266</f>
        <v/>
      </c>
      <c r="W268" s="147">
        <v>1.0</v>
      </c>
      <c r="X268" s="152" t="str">
        <f>IFERROR(__xludf.DUMMYFUNCTION("if(U268="""","""",iferror(filter(Schedule!$M:$M&amp;""-""&amp;Schedule!$N:$N,Schedule!$L:$L=U268,(Schedule!$J:$J="""")+(Schedule!$J:$J=V268),(Schedule!$K:$K=""a"")+(Schedule!$K:$K=""""),Schedule!$M:$M&lt;&gt;""""),""""))"),"")</f>
        <v/>
      </c>
      <c r="Y268" s="152" t="str">
        <f>IFERROR(__xludf.DUMMYFUNCTION("if(U268="""","""",iferror(filter(Schedule!$AB:$AB&amp;""-""&amp;Schedule!$AC:$AC,Schedule!$L:$L=U268,(Schedule!$J:$J="""")+(Schedule!$J:$J=V268),(Schedule!$K:$K=""b"")+(Schedule!$K:$K=""""),Schedule!$AB:$AB&lt;&gt;""""),""""))"),"")</f>
        <v/>
      </c>
      <c r="Z268" s="152" t="str">
        <f>IFERROR(__xludf.DUMMYFUNCTION("if(U268="""","""",iferror(filter(Schedule!$S:$S&amp;""-""&amp;Schedule!$T:$T,Schedule!$L:$L=U268,(Schedule!$J:$J="""")+(Schedule!$J:$J=V268),(Schedule!$K:$K=""a"")+(Schedule!$K:$K=""""),Schedule!$S:$S&lt;&gt;""""),""""))"),"")</f>
        <v/>
      </c>
      <c r="AA268" s="152" t="str">
        <f>IFERROR(__xludf.DUMMYFUNCTION("if(U268="""","""",iferror(filter(Schedule!$V:$V&amp;""-""&amp;Schedule!$W:$W,Schedule!$L:$L=U268,(Schedule!$J:$J="""")+(Schedule!$J:$J=V268),(Schedule!$K:$K=""a"")+(Schedule!$K:$K=""""),Schedule!$V:$V&lt;&gt;""""),""""))"),"")</f>
        <v/>
      </c>
      <c r="AB268" s="152" t="str">
        <f>IFERROR(__xludf.DUMMYFUNCTION("if(U268="""","""",iferror(filter(Schedule!$Y:$Y&amp;""-""&amp;Schedule!$Z:$Z,Schedule!$L:$L=U268,(Schedule!$J:$J="""")+(Schedule!$J:$J=V268),(Schedule!$K:$K=""b"")+(Schedule!$K:$K=""""),Schedule!$Y:$Y&lt;&gt;""""),""""))"),"")</f>
        <v/>
      </c>
      <c r="AC268" s="153" t="str">
        <f>if(U268="","", 24-countifs(X268:AB272,""))</f>
        <v/>
      </c>
      <c r="AD268" s="155"/>
      <c r="AE268" s="155" t="str">
        <f>AG266</f>
        <v/>
      </c>
      <c r="AF268" s="151" t="str">
        <f>AM266</f>
        <v/>
      </c>
      <c r="AG268" s="147">
        <v>1.0</v>
      </c>
      <c r="AH268" s="152" t="str">
        <f>IFERROR(__xludf.DUMMYFUNCTION("if(AE268="""","""",iferror(filter(Schedule!$M:$M&amp;""-""&amp;Schedule!$N:$N,Schedule!$L:$L=AE268,(Schedule!$J:$J="""")+(Schedule!$J:$J=AF268),(Schedule!$K:$K=""a"")+(Schedule!$K:$K=""""),Schedule!$M:$M&lt;&gt;""""),""""))"),"")</f>
        <v/>
      </c>
      <c r="AI268" s="152" t="str">
        <f>IFERROR(__xludf.DUMMYFUNCTION("if(AE268="""","""",iferror(filter(Schedule!$AB:$AB&amp;""-""&amp;Schedule!$AC:$AC,Schedule!$L:$L=AE268,(Schedule!$J:$J="""")+(Schedule!$J:$J=AF268),(Schedule!$K:$K=""b"")+(Schedule!$K:$K=""""),Schedule!$AB:$AB&lt;&gt;""""),""""))"),"")</f>
        <v/>
      </c>
      <c r="AJ268" s="152" t="str">
        <f>IFERROR(__xludf.DUMMYFUNCTION("if(AE268="""","""",iferror(filter(Schedule!$S:$S&amp;""-""&amp;Schedule!$T:$T,Schedule!$L:$L=AE268,(Schedule!$J:$J="""")+(Schedule!$J:$J=AF268),(Schedule!$K:$K=""a"")+(Schedule!$K:$K=""""),Schedule!$S:$S&lt;&gt;""""),""""))"),"")</f>
        <v/>
      </c>
      <c r="AK268" s="152" t="str">
        <f>IFERROR(__xludf.DUMMYFUNCTION("if(AE268="""","""",iferror(filter(Schedule!$V:$V&amp;""-""&amp;Schedule!$W:$W,Schedule!$L:$L=AE268,(Schedule!$J:$J="""")+(Schedule!$J:$J=AF268),(Schedule!$K:$K=""a"")+(Schedule!$K:$K=""""),Schedule!$V:$V&lt;&gt;""""),""""))"),"")</f>
        <v/>
      </c>
      <c r="AL268" s="152" t="str">
        <f>IFERROR(__xludf.DUMMYFUNCTION("if(AE268="""","""",iferror(filter(Schedule!$Y:$Y&amp;""-""&amp;Schedule!$Z:$Z,Schedule!$L:$L=AE268,(Schedule!$J:$J="""")+(Schedule!$J:$J=AF268),(Schedule!$K:$K=""b"")+(Schedule!$K:$K=""""),Schedule!$Y:$Y&lt;&gt;""""),""""))"),"")</f>
        <v/>
      </c>
      <c r="AM268" s="153" t="str">
        <f>if(AE268="","", 24-countifs(AH268:AL272,""))</f>
        <v/>
      </c>
    </row>
    <row r="269">
      <c r="A269" s="151" t="str">
        <f>C266</f>
        <v/>
      </c>
      <c r="B269" s="151" t="str">
        <f>I266</f>
        <v/>
      </c>
      <c r="C269" s="147">
        <v>2.0</v>
      </c>
      <c r="D269" s="152" t="str">
        <f>IFERROR(__xludf.DUMMYFUNCTION("if(A269="""","""",iferror(filter(Schedule!$P:$P&amp;""-""&amp;Schedule!$Q:$Q,Schedule!$L:$L=A269,(Schedule!$J:$J="""")+(Schedule!$J:$J=B269),(Schedule!$K:$K=""a"")+(Schedule!$K:$K=""""),Schedule!$P:$P&lt;&gt;""""),""""))"),"")</f>
        <v/>
      </c>
      <c r="E269" s="152" t="str">
        <f>IFERROR(__xludf.DUMMYFUNCTION("if(A269="""","""",iferror(filter(Schedule!$Y:$Y&amp;""-""&amp;Schedule!$Z:$Z,Schedule!$L:$L=A269,(Schedule!$J:$J="""")+(Schedule!$J:$J=B269),(Schedule!$K:$K=""b"")+(Schedule!$K:$K=""""),Schedule!$Y:$Y&lt;&gt;""""),""""))"),"")</f>
        <v/>
      </c>
      <c r="F269" s="152" t="str">
        <f>IFERROR(__xludf.DUMMYFUNCTION("if(A269="""","""",iferror(filter(Schedule!$P:$P&amp;""-""&amp;Schedule!$Q:$Q,Schedule!$L:$L=A269,(Schedule!$J:$J="""")+(Schedule!$J:$J=B269),(Schedule!$K:$K=""a"")+(Schedule!$K:$K=""""),Schedule!$P:$P&lt;&gt;""""),""""))"),"")</f>
        <v/>
      </c>
      <c r="G269" s="152" t="str">
        <f>IFERROR(__xludf.DUMMYFUNCTION("if(A269="""","""",iferror(filter(Schedule!$M:$M&amp;""-""&amp;Schedule!$N:$N,Schedule!$L:$L=A269,(Schedule!$J:$J="""")+(Schedule!$J:$J=B269),(Schedule!$K:$K=""a"")+(Schedule!$K:$K=""""),Schedule!$M:$M&lt;&gt;""""),""""))"),"")</f>
        <v/>
      </c>
      <c r="H269" s="152" t="str">
        <f>IFERROR(__xludf.DUMMYFUNCTION("if(A269="""","""",iferror(filter(Schedule!$AB:$AB&amp;""-""&amp;Schedule!$AC:$AC,Schedule!$L:$L=A269,(Schedule!$J:$J="""")+(Schedule!$J:$J=B269),(Schedule!$K:$K=""a"")+(Schedule!$K:$K=""""),Schedule!$AB:$AB&lt;&gt;""""),""""))"),"")</f>
        <v/>
      </c>
      <c r="I269" s="60"/>
      <c r="J269" s="154"/>
      <c r="K269" s="151" t="str">
        <f>M266</f>
        <v/>
      </c>
      <c r="L269" s="151" t="str">
        <f>S266</f>
        <v/>
      </c>
      <c r="M269" s="147">
        <v>2.0</v>
      </c>
      <c r="N269" s="152" t="str">
        <f>IFERROR(__xludf.DUMMYFUNCTION("if(K269="""","""",iferror(filter(Schedule!$P:$P&amp;""-""&amp;Schedule!$Q:$Q,Schedule!$L:$L=K269,(Schedule!$J:$J="""")+(Schedule!$J:$J=L269),(Schedule!$K:$K=""a"")+(Schedule!$K:$K=""""),Schedule!$P:$P&lt;&gt;""""),""""))"),"")</f>
        <v/>
      </c>
      <c r="O269" s="152" t="str">
        <f>IFERROR(__xludf.DUMMYFUNCTION("if(K269="""","""",iferror(filter(Schedule!$Y:$Y&amp;""-""&amp;Schedule!$Z:$Z,Schedule!$L:$L=K269,(Schedule!$J:$J="""")+(Schedule!$J:$J=L269),(Schedule!$K:$K=""b"")+(Schedule!$K:$K=""""),Schedule!$Y:$Y&lt;&gt;""""),""""))"),"")</f>
        <v/>
      </c>
      <c r="P269" s="152" t="str">
        <f>IFERROR(__xludf.DUMMYFUNCTION("if(K269="""","""",iferror(filter(Schedule!$P:$P&amp;""-""&amp;Schedule!$Q:$Q,Schedule!$L:$L=K269,(Schedule!$J:$J="""")+(Schedule!$J:$J=L269),(Schedule!$K:$K=""a"")+(Schedule!$K:$K=""""),Schedule!$P:$P&lt;&gt;""""),""""))"),"")</f>
        <v/>
      </c>
      <c r="Q269" s="152" t="str">
        <f>IFERROR(__xludf.DUMMYFUNCTION("if(K269="""","""",iferror(filter(Schedule!$M:$M&amp;""-""&amp;Schedule!$N:$N,Schedule!$L:$L=K269,(Schedule!$J:$J="""")+(Schedule!$J:$J=L269),(Schedule!$K:$K=""a"")+(Schedule!$K:$K=""""),Schedule!$M:$M&lt;&gt;""""),""""))"),"")</f>
        <v/>
      </c>
      <c r="R269" s="152" t="str">
        <f>IFERROR(__xludf.DUMMYFUNCTION("if(K269="""","""",iferror(filter(Schedule!$AB:$AB&amp;""-""&amp;Schedule!$AC:$AC,Schedule!$L:$L=K269,(Schedule!$J:$J="""")+(Schedule!$J:$J=L269),(Schedule!$K:$K=""a"")+(Schedule!$K:$K=""""),Schedule!$AB:$AB&lt;&gt;""""),""""))"),"")</f>
        <v/>
      </c>
      <c r="S269" s="60"/>
      <c r="T269" s="155"/>
      <c r="U269" s="155" t="str">
        <f>W266</f>
        <v/>
      </c>
      <c r="V269" s="151" t="str">
        <f>AC266</f>
        <v/>
      </c>
      <c r="W269" s="147">
        <v>2.0</v>
      </c>
      <c r="X269" s="152" t="str">
        <f>IFERROR(__xludf.DUMMYFUNCTION("if(U269="""","""",iferror(filter(Schedule!$P:$P&amp;""-""&amp;Schedule!$Q:$Q,Schedule!$L:$L=U269,(Schedule!$J:$J="""")+(Schedule!$J:$J=V269),(Schedule!$K:$K=""a"")+(Schedule!$K:$K=""""),Schedule!$P:$P&lt;&gt;""""),""""))"),"")</f>
        <v/>
      </c>
      <c r="Y269" s="152" t="str">
        <f>IFERROR(__xludf.DUMMYFUNCTION("if(U269="""","""",iferror(filter(Schedule!$Y:$Y&amp;""-""&amp;Schedule!$Z:$Z,Schedule!$L:$L=U269,(Schedule!$J:$J="""")+(Schedule!$J:$J=V269),(Schedule!$K:$K=""b"")+(Schedule!$K:$K=""""),Schedule!$Y:$Y&lt;&gt;""""),""""))"),"")</f>
        <v/>
      </c>
      <c r="Z269" s="152" t="str">
        <f>IFERROR(__xludf.DUMMYFUNCTION("if(U269="""","""",iferror(filter(Schedule!$P:$P&amp;""-""&amp;Schedule!$Q:$Q,Schedule!$L:$L=U269,(Schedule!$J:$J="""")+(Schedule!$J:$J=V269),(Schedule!$K:$K=""a"")+(Schedule!$K:$K=""""),Schedule!$P:$P&lt;&gt;""""),""""))"),"")</f>
        <v/>
      </c>
      <c r="AA269" s="152" t="str">
        <f>IFERROR(__xludf.DUMMYFUNCTION("if(U269="""","""",iferror(filter(Schedule!$M:$M&amp;""-""&amp;Schedule!$N:$N,Schedule!$L:$L=U269,(Schedule!$J:$J="""")+(Schedule!$J:$J=V269),(Schedule!$K:$K=""a"")+(Schedule!$K:$K=""""),Schedule!$M:$M&lt;&gt;""""),""""))"),"")</f>
        <v/>
      </c>
      <c r="AB269" s="152" t="str">
        <f>IFERROR(__xludf.DUMMYFUNCTION("if(U269="""","""",iferror(filter(Schedule!$AB:$AB&amp;""-""&amp;Schedule!$AC:$AC,Schedule!$L:$L=U269,(Schedule!$J:$J="""")+(Schedule!$J:$J=V269),(Schedule!$K:$K=""a"")+(Schedule!$K:$K=""""),Schedule!$AB:$AB&lt;&gt;""""),""""))"),"")</f>
        <v/>
      </c>
      <c r="AC269" s="60"/>
      <c r="AD269" s="155"/>
      <c r="AE269" s="155" t="str">
        <f>AG266</f>
        <v/>
      </c>
      <c r="AF269" s="151" t="str">
        <f>AM266</f>
        <v/>
      </c>
      <c r="AG269" s="147">
        <v>2.0</v>
      </c>
      <c r="AH269" s="152" t="str">
        <f>IFERROR(__xludf.DUMMYFUNCTION("if(AE269="""","""",iferror(filter(Schedule!$P:$P&amp;""-""&amp;Schedule!$Q:$Q,Schedule!$L:$L=AE269,(Schedule!$J:$J="""")+(Schedule!$J:$J=AF269),(Schedule!$K:$K=""a"")+(Schedule!$K:$K=""""),Schedule!$P:$P&lt;&gt;""""),""""))"),"")</f>
        <v/>
      </c>
      <c r="AI269" s="152" t="str">
        <f>IFERROR(__xludf.DUMMYFUNCTION("if(AE269="""","""",iferror(filter(Schedule!$Y:$Y&amp;""-""&amp;Schedule!$Z:$Z,Schedule!$L:$L=AE269,(Schedule!$J:$J="""")+(Schedule!$J:$J=AF269),(Schedule!$K:$K=""b"")+(Schedule!$K:$K=""""),Schedule!$Y:$Y&lt;&gt;""""),""""))"),"")</f>
        <v/>
      </c>
      <c r="AJ269" s="152" t="str">
        <f>IFERROR(__xludf.DUMMYFUNCTION("if(AE269="""","""",iferror(filter(Schedule!$P:$P&amp;""-""&amp;Schedule!$Q:$Q,Schedule!$L:$L=AE269,(Schedule!$J:$J="""")+(Schedule!$J:$J=AF269),(Schedule!$K:$K=""a"")+(Schedule!$K:$K=""""),Schedule!$P:$P&lt;&gt;""""),""""))"),"")</f>
        <v/>
      </c>
      <c r="AK269" s="152" t="str">
        <f>IFERROR(__xludf.DUMMYFUNCTION("if(AE269="""","""",iferror(filter(Schedule!$M:$M&amp;""-""&amp;Schedule!$N:$N,Schedule!$L:$L=AE269,(Schedule!$J:$J="""")+(Schedule!$J:$J=AF269),(Schedule!$K:$K=""a"")+(Schedule!$K:$K=""""),Schedule!$M:$M&lt;&gt;""""),""""))"),"")</f>
        <v/>
      </c>
      <c r="AL269" s="152" t="str">
        <f>IFERROR(__xludf.DUMMYFUNCTION("if(AE269="""","""",iferror(filter(Schedule!$AB:$AB&amp;""-""&amp;Schedule!$AC:$AC,Schedule!$L:$L=AE269,(Schedule!$J:$J="""")+(Schedule!$J:$J=AF269),(Schedule!$K:$K=""a"")+(Schedule!$K:$K=""""),Schedule!$AB:$AB&lt;&gt;""""),""""))"),"")</f>
        <v/>
      </c>
      <c r="AM269" s="60"/>
    </row>
    <row r="270">
      <c r="A270" s="151" t="str">
        <f>C266</f>
        <v/>
      </c>
      <c r="B270" s="151" t="str">
        <f>I266</f>
        <v/>
      </c>
      <c r="C270" s="147">
        <v>3.0</v>
      </c>
      <c r="D270" s="152" t="str">
        <f>IFERROR(__xludf.DUMMYFUNCTION("if(A270="""","""",iferror(filter(Schedule!$S:$S&amp;""-""&amp;Schedule!$T:$T,Schedule!$L:$L=A270,(Schedule!$J:$J="""")+(Schedule!$J:$J=B270),(Schedule!$K:$K=""a"")+(Schedule!$K:$K=""""),Schedule!$S:$S&lt;&gt;""""),""""))"),"")</f>
        <v/>
      </c>
      <c r="E270" s="152" t="str">
        <f>IFERROR(__xludf.DUMMYFUNCTION("if(A270="""","""",iferror(filter(Schedule!$S:$S&amp;""-""&amp;Schedule!$T:$T,Schedule!$L:$L=A270,(Schedule!$J:$J="""")+(Schedule!$J:$J=B270),(Schedule!$K:$K=""b"")+(Schedule!$K:$K=""""),Schedule!$S:$S&lt;&gt;""""),""""))"),"")</f>
        <v/>
      </c>
      <c r="F270" s="152" t="str">
        <f>IFERROR(__xludf.DUMMYFUNCTION("if(A270="""","""",iferror(filter(Schedule!$Y:$Y&amp;""-""&amp;Schedule!$Z:$Z,Schedule!$L:$L=A270,(Schedule!$J:$J="""")+(Schedule!$J:$J=B270),(Schedule!$K:$K=""a"")+(Schedule!$K:$K=""""),Schedule!$Y:$Y&lt;&gt;""""),""""))"),"")</f>
        <v/>
      </c>
      <c r="G270" s="152" t="str">
        <f>IFERROR(__xludf.DUMMYFUNCTION("if(A270="""","""",iferror(filter(Schedule!$P:$P&amp;""-""&amp;Schedule!$Q:$Q,Schedule!$L:$L=A270,(Schedule!$J:$J="""")+(Schedule!$J:$J=B270),(Schedule!$K:$K=""b"")+(Schedule!$K:$K=""""),Schedule!$P:$P&lt;&gt;""""),""""))"),"")</f>
        <v/>
      </c>
      <c r="H270" s="152" t="str">
        <f>if(C266="","","X-Block")</f>
        <v/>
      </c>
      <c r="I270" s="60"/>
      <c r="J270" s="154"/>
      <c r="K270" s="151" t="str">
        <f>M266</f>
        <v/>
      </c>
      <c r="L270" s="151" t="str">
        <f>S266</f>
        <v/>
      </c>
      <c r="M270" s="147">
        <v>3.0</v>
      </c>
      <c r="N270" s="152" t="str">
        <f>IFERROR(__xludf.DUMMYFUNCTION("if(K270="""","""",iferror(filter(Schedule!$S:$S&amp;""-""&amp;Schedule!$T:$T,Schedule!$L:$L=K270,(Schedule!$J:$J="""")+(Schedule!$J:$J=L270),(Schedule!$K:$K=""a"")+(Schedule!$K:$K=""""),Schedule!$S:$S&lt;&gt;""""),""""))"),"")</f>
        <v/>
      </c>
      <c r="O270" s="152" t="str">
        <f>IFERROR(__xludf.DUMMYFUNCTION("if(K270="""","""",iferror(filter(Schedule!$S:$S&amp;""-""&amp;Schedule!$T:$T,Schedule!$L:$L=K270,(Schedule!$J:$J="""")+(Schedule!$J:$J=L270),(Schedule!$K:$K=""b"")+(Schedule!$K:$K=""""),Schedule!$S:$S&lt;&gt;""""),""""))"),"")</f>
        <v/>
      </c>
      <c r="P270" s="152" t="str">
        <f>IFERROR(__xludf.DUMMYFUNCTION("if(K270="""","""",iferror(filter(Schedule!$Y:$Y&amp;""-""&amp;Schedule!$Z:$Z,Schedule!$L:$L=K270,(Schedule!$J:$J="""")+(Schedule!$J:$J=L270),(Schedule!$K:$K=""a"")+(Schedule!$K:$K=""""),Schedule!$Y:$Y&lt;&gt;""""),""""))"),"")</f>
        <v/>
      </c>
      <c r="Q270" s="152" t="str">
        <f>IFERROR(__xludf.DUMMYFUNCTION("if(K270="""","""",iferror(filter(Schedule!$P:$P&amp;""-""&amp;Schedule!$Q:$Q,Schedule!$L:$L=K270,(Schedule!$J:$J="""")+(Schedule!$J:$J=L270),(Schedule!$K:$K=""b"")+(Schedule!$K:$K=""""),Schedule!$P:$P&lt;&gt;""""),""""))"),"")</f>
        <v/>
      </c>
      <c r="R270" s="152" t="str">
        <f>if(M266="","","X-Block")</f>
        <v/>
      </c>
      <c r="S270" s="60"/>
      <c r="T270" s="155"/>
      <c r="U270" s="155" t="str">
        <f>W266</f>
        <v/>
      </c>
      <c r="V270" s="151" t="str">
        <f>AC266</f>
        <v/>
      </c>
      <c r="W270" s="147">
        <v>3.0</v>
      </c>
      <c r="X270" s="152" t="str">
        <f>IFERROR(__xludf.DUMMYFUNCTION("if(U270="""","""",iferror(filter(Schedule!$S:$S&amp;""-""&amp;Schedule!$T:$T,Schedule!$L:$L=U270,(Schedule!$J:$J="""")+(Schedule!$J:$J=V270),(Schedule!$K:$K=""a"")+(Schedule!$K:$K=""""),Schedule!$S:$S&lt;&gt;""""),""""))"),"")</f>
        <v/>
      </c>
      <c r="Y270" s="152" t="str">
        <f>IFERROR(__xludf.DUMMYFUNCTION("if(U270="""","""",iferror(filter(Schedule!$S:$S&amp;""-""&amp;Schedule!$T:$T,Schedule!$L:$L=U270,(Schedule!$J:$J="""")+(Schedule!$J:$J=V270),(Schedule!$K:$K=""b"")+(Schedule!$K:$K=""""),Schedule!$S:$S&lt;&gt;""""),""""))"),"")</f>
        <v/>
      </c>
      <c r="Z270" s="152" t="str">
        <f>IFERROR(__xludf.DUMMYFUNCTION("if(U270="""","""",iferror(filter(Schedule!$Y:$Y&amp;""-""&amp;Schedule!$Z:$Z,Schedule!$L:$L=U270,(Schedule!$J:$J="""")+(Schedule!$J:$J=V270),(Schedule!$K:$K=""a"")+(Schedule!$K:$K=""""),Schedule!$Y:$Y&lt;&gt;""""),""""))"),"")</f>
        <v/>
      </c>
      <c r="AA270" s="152" t="str">
        <f>IFERROR(__xludf.DUMMYFUNCTION("if(U270="""","""",iferror(filter(Schedule!$P:$P&amp;""-""&amp;Schedule!$Q:$Q,Schedule!$L:$L=U270,(Schedule!$J:$J="""")+(Schedule!$J:$J=V270),(Schedule!$K:$K=""b"")+(Schedule!$K:$K=""""),Schedule!$P:$P&lt;&gt;""""),""""))"),"")</f>
        <v/>
      </c>
      <c r="AB270" s="152" t="str">
        <f>if(W266="","","X-Block")</f>
        <v/>
      </c>
      <c r="AC270" s="60"/>
      <c r="AD270" s="155"/>
      <c r="AE270" s="155" t="str">
        <f>AG266</f>
        <v/>
      </c>
      <c r="AF270" s="151" t="str">
        <f>AM266</f>
        <v/>
      </c>
      <c r="AG270" s="147">
        <v>3.0</v>
      </c>
      <c r="AH270" s="152" t="str">
        <f>IFERROR(__xludf.DUMMYFUNCTION("if(AE270="""","""",iferror(filter(Schedule!$S:$S&amp;""-""&amp;Schedule!$T:$T,Schedule!$L:$L=AE270,(Schedule!$J:$J="""")+(Schedule!$J:$J=AF270),(Schedule!$K:$K=""a"")+(Schedule!$K:$K=""""),Schedule!$S:$S&lt;&gt;""""),""""))"),"")</f>
        <v/>
      </c>
      <c r="AI270" s="152" t="str">
        <f>IFERROR(__xludf.DUMMYFUNCTION("if(AE270="""","""",iferror(filter(Schedule!$S:$S&amp;""-""&amp;Schedule!$T:$T,Schedule!$L:$L=AE270,(Schedule!$J:$J="""")+(Schedule!$J:$J=AF270),(Schedule!$K:$K=""b"")+(Schedule!$K:$K=""""),Schedule!$S:$S&lt;&gt;""""),""""))"),"")</f>
        <v/>
      </c>
      <c r="AJ270" s="152" t="str">
        <f>IFERROR(__xludf.DUMMYFUNCTION("if(AE270="""","""",iferror(filter(Schedule!$Y:$Y&amp;""-""&amp;Schedule!$Z:$Z,Schedule!$L:$L=AE270,(Schedule!$J:$J="""")+(Schedule!$J:$J=AF270),(Schedule!$K:$K=""a"")+(Schedule!$K:$K=""""),Schedule!$Y:$Y&lt;&gt;""""),""""))"),"")</f>
        <v/>
      </c>
      <c r="AK270" s="152" t="str">
        <f>IFERROR(__xludf.DUMMYFUNCTION("if(AE270="""","""",iferror(filter(Schedule!$P:$P&amp;""-""&amp;Schedule!$Q:$Q,Schedule!$L:$L=AE270,(Schedule!$J:$J="""")+(Schedule!$J:$J=AF270),(Schedule!$K:$K=""b"")+(Schedule!$K:$K=""""),Schedule!$P:$P&lt;&gt;""""),""""))"),"")</f>
        <v/>
      </c>
      <c r="AL270" s="152" t="str">
        <f>if(AG266="","","X-Block")</f>
        <v/>
      </c>
      <c r="AM270" s="60"/>
    </row>
    <row r="271">
      <c r="A271" s="151" t="str">
        <f>C266</f>
        <v/>
      </c>
      <c r="B271" s="151" t="str">
        <f>I266</f>
        <v/>
      </c>
      <c r="C271" s="147">
        <v>4.0</v>
      </c>
      <c r="D271" s="152" t="str">
        <f>IFERROR(__xludf.DUMMYFUNCTION("if(A271="""","""",iferror(filter(Schedule!$V:$V&amp;""-""&amp;Schedule!$W:$W,Schedule!$L:$L=A271,(Schedule!$J:$J="""")+(Schedule!$J:$J=B271),(Schedule!$K:$K=""a"")+(Schedule!$K:$K=""""),Schedule!$V:$V&lt;&gt;""""),""""))"),"")</f>
        <v/>
      </c>
      <c r="E271" s="152" t="str">
        <f>IFERROR(__xludf.DUMMYFUNCTION("if(A271="""","""",iferror(filter(Schedule!$M:$M&amp;""-""&amp;Schedule!$N:$N,Schedule!$L:$L=A271,(Schedule!$J:$J="""")+(Schedule!$J:$J=B271),(Schedule!$K:$K=""b"")+(Schedule!$K:$K=""""),Schedule!$M:$M&lt;&gt;""""),""""))"),"")</f>
        <v/>
      </c>
      <c r="F271" s="152" t="str">
        <f>IFERROR(__xludf.DUMMYFUNCTION("if(A271="""","""",iferror(filter(Schedule!$AB:$AB&amp;""-""&amp;Schedule!$AC:$AC,Schedule!$L:$L=A271,(Schedule!$J:$J="""")+(Schedule!$J:$J=B271),(Schedule!$K:$K=""a"")+(Schedule!$K:$K=""""),Schedule!$AB:$AB&lt;&gt;""""),""""))"),"")</f>
        <v/>
      </c>
      <c r="G271" s="152" t="str">
        <f>IFERROR(__xludf.DUMMYFUNCTION("if(A271="""","""",iferror(filter(Schedule!$S:$S&amp;""-""&amp;Schedule!$T:$T,Schedule!$L:$L=A271,(Schedule!$J:$J="""")+(Schedule!$J:$J=B271),(Schedule!$K:$K=""b"")+(Schedule!$K:$K=""""),Schedule!$S:$S&lt;&gt;""""),""""))"),"")</f>
        <v/>
      </c>
      <c r="H271" s="152" t="str">
        <f>IFERROR(__xludf.DUMMYFUNCTION("if(A271="""","""",iferror(filter(Schedule!$V:$V&amp;""-""&amp;Schedule!$W:$W,Schedule!$L:$L=A271,(Schedule!$J:$J="""")+(Schedule!$J:$J=B271),(Schedule!$K:$K=""b"")+(Schedule!$K:$K=""""),Schedule!$V:$V&lt;&gt;""""),""""))"),"")</f>
        <v/>
      </c>
      <c r="I271" s="60"/>
      <c r="J271" s="154"/>
      <c r="K271" s="151" t="str">
        <f>M266</f>
        <v/>
      </c>
      <c r="L271" s="151" t="str">
        <f>S266</f>
        <v/>
      </c>
      <c r="M271" s="147">
        <v>4.0</v>
      </c>
      <c r="N271" s="152" t="str">
        <f>IFERROR(__xludf.DUMMYFUNCTION("if(K271="""","""",iferror(filter(Schedule!$V:$V&amp;""-""&amp;Schedule!$W:$W,Schedule!$L:$L=K271,(Schedule!$J:$J="""")+(Schedule!$J:$J=L271),(Schedule!$K:$K=""a"")+(Schedule!$K:$K=""""),Schedule!$V:$V&lt;&gt;""""),""""))"),"")</f>
        <v/>
      </c>
      <c r="O271" s="152" t="str">
        <f>IFERROR(__xludf.DUMMYFUNCTION("if(K271="""","""",iferror(filter(Schedule!$M:$M&amp;""-""&amp;Schedule!$N:$N,Schedule!$L:$L=K271,(Schedule!$J:$J="""")+(Schedule!$J:$J=L271),(Schedule!$K:$K=""b"")+(Schedule!$K:$K=""""),Schedule!$M:$M&lt;&gt;""""),""""))"),"")</f>
        <v/>
      </c>
      <c r="P271" s="152" t="str">
        <f>IFERROR(__xludf.DUMMYFUNCTION("if(K271="""","""",iferror(filter(Schedule!$AB:$AB&amp;""-""&amp;Schedule!$AC:$AC,Schedule!$L:$L=K271,(Schedule!$J:$J="""")+(Schedule!$J:$J=L271),(Schedule!$K:$K=""a"")+(Schedule!$K:$K=""""),Schedule!$AB:$AB&lt;&gt;""""),""""))"),"")</f>
        <v/>
      </c>
      <c r="Q271" s="152" t="str">
        <f>IFERROR(__xludf.DUMMYFUNCTION("if(K271="""","""",iferror(filter(Schedule!$S:$S&amp;""-""&amp;Schedule!$T:$T,Schedule!$L:$L=K271,(Schedule!$J:$J="""")+(Schedule!$J:$J=L271),(Schedule!$K:$K=""b"")+(Schedule!$K:$K=""""),Schedule!$S:$S&lt;&gt;""""),""""))"),"")</f>
        <v/>
      </c>
      <c r="R271" s="152" t="str">
        <f>IFERROR(__xludf.DUMMYFUNCTION("if(K271="""","""",iferror(filter(Schedule!$V:$V&amp;""-""&amp;Schedule!$W:$W,Schedule!$L:$L=K271,(Schedule!$J:$J="""")+(Schedule!$J:$J=L271),(Schedule!$K:$K=""b"")+(Schedule!$K:$K=""""),Schedule!$V:$V&lt;&gt;""""),""""))"),"")</f>
        <v/>
      </c>
      <c r="S271" s="60"/>
      <c r="T271" s="155"/>
      <c r="U271" s="155" t="str">
        <f>W266</f>
        <v/>
      </c>
      <c r="V271" s="151" t="str">
        <f>AC266</f>
        <v/>
      </c>
      <c r="W271" s="147">
        <v>4.0</v>
      </c>
      <c r="X271" s="152" t="str">
        <f>IFERROR(__xludf.DUMMYFUNCTION("if(U271="""","""",iferror(filter(Schedule!$V:$V&amp;""-""&amp;Schedule!$W:$W,Schedule!$L:$L=U271,(Schedule!$J:$J="""")+(Schedule!$J:$J=V271),(Schedule!$K:$K=""a"")+(Schedule!$K:$K=""""),Schedule!$V:$V&lt;&gt;""""),""""))"),"")</f>
        <v/>
      </c>
      <c r="Y271" s="152" t="str">
        <f>IFERROR(__xludf.DUMMYFUNCTION("if(U271="""","""",iferror(filter(Schedule!$M:$M&amp;""-""&amp;Schedule!$N:$N,Schedule!$L:$L=U271,(Schedule!$J:$J="""")+(Schedule!$J:$J=V271),(Schedule!$K:$K=""b"")+(Schedule!$K:$K=""""),Schedule!$M:$M&lt;&gt;""""),""""))"),"")</f>
        <v/>
      </c>
      <c r="Z271" s="152" t="str">
        <f>IFERROR(__xludf.DUMMYFUNCTION("if(U271="""","""",iferror(filter(Schedule!$AB:$AB&amp;""-""&amp;Schedule!$AC:$AC,Schedule!$L:$L=U271,(Schedule!$J:$J="""")+(Schedule!$J:$J=V271),(Schedule!$K:$K=""a"")+(Schedule!$K:$K=""""),Schedule!$AB:$AB&lt;&gt;""""),""""))"),"")</f>
        <v/>
      </c>
      <c r="AA271" s="152" t="str">
        <f>IFERROR(__xludf.DUMMYFUNCTION("if(U271="""","""",iferror(filter(Schedule!$S:$S&amp;""-""&amp;Schedule!$T:$T,Schedule!$L:$L=U271,(Schedule!$J:$J="""")+(Schedule!$J:$J=V271),(Schedule!$K:$K=""b"")+(Schedule!$K:$K=""""),Schedule!$S:$S&lt;&gt;""""),""""))"),"")</f>
        <v/>
      </c>
      <c r="AB271" s="152" t="str">
        <f>IFERROR(__xludf.DUMMYFUNCTION("if(U271="""","""",iferror(filter(Schedule!$V:$V&amp;""-""&amp;Schedule!$W:$W,Schedule!$L:$L=U271,(Schedule!$J:$J="""")+(Schedule!$J:$J=V271),(Schedule!$K:$K=""b"")+(Schedule!$K:$K=""""),Schedule!$V:$V&lt;&gt;""""),""""))"),"")</f>
        <v/>
      </c>
      <c r="AC271" s="60"/>
      <c r="AD271" s="155"/>
      <c r="AE271" s="155" t="str">
        <f>AG266</f>
        <v/>
      </c>
      <c r="AF271" s="151" t="str">
        <f>AM266</f>
        <v/>
      </c>
      <c r="AG271" s="147">
        <v>4.0</v>
      </c>
      <c r="AH271" s="152" t="str">
        <f>IFERROR(__xludf.DUMMYFUNCTION("if(AE271="""","""",iferror(filter(Schedule!$V:$V&amp;""-""&amp;Schedule!$W:$W,Schedule!$L:$L=AE271,(Schedule!$J:$J="""")+(Schedule!$J:$J=AF271),(Schedule!$K:$K=""a"")+(Schedule!$K:$K=""""),Schedule!$V:$V&lt;&gt;""""),""""))"),"")</f>
        <v/>
      </c>
      <c r="AI271" s="152" t="str">
        <f>IFERROR(__xludf.DUMMYFUNCTION("if(AE271="""","""",iferror(filter(Schedule!$M:$M&amp;""-""&amp;Schedule!$N:$N,Schedule!$L:$L=AE271,(Schedule!$J:$J="""")+(Schedule!$J:$J=AF271),(Schedule!$K:$K=""b"")+(Schedule!$K:$K=""""),Schedule!$M:$M&lt;&gt;""""),""""))"),"")</f>
        <v/>
      </c>
      <c r="AJ271" s="152" t="str">
        <f>IFERROR(__xludf.DUMMYFUNCTION("if(AE271="""","""",iferror(filter(Schedule!$AB:$AB&amp;""-""&amp;Schedule!$AC:$AC,Schedule!$L:$L=AE271,(Schedule!$J:$J="""")+(Schedule!$J:$J=AF271),(Schedule!$K:$K=""a"")+(Schedule!$K:$K=""""),Schedule!$AB:$AB&lt;&gt;""""),""""))"),"")</f>
        <v/>
      </c>
      <c r="AK271" s="152" t="str">
        <f>IFERROR(__xludf.DUMMYFUNCTION("if(AE271="""","""",iferror(filter(Schedule!$S:$S&amp;""-""&amp;Schedule!$T:$T,Schedule!$L:$L=AE271,(Schedule!$J:$J="""")+(Schedule!$J:$J=AF271),(Schedule!$K:$K=""b"")+(Schedule!$K:$K=""""),Schedule!$S:$S&lt;&gt;""""),""""))"),"")</f>
        <v/>
      </c>
      <c r="AL271" s="152" t="str">
        <f>IFERROR(__xludf.DUMMYFUNCTION("if(AE271="""","""",iferror(filter(Schedule!$V:$V&amp;""-""&amp;Schedule!$W:$W,Schedule!$L:$L=AE271,(Schedule!$J:$J="""")+(Schedule!$J:$J=AF271),(Schedule!$K:$K=""b"")+(Schedule!$K:$K=""""),Schedule!$V:$V&lt;&gt;""""),""""))"),"")</f>
        <v/>
      </c>
      <c r="AM271" s="60"/>
    </row>
    <row r="272">
      <c r="A272" s="151" t="str">
        <f>C266</f>
        <v/>
      </c>
      <c r="B272" s="151" t="str">
        <f>I266</f>
        <v/>
      </c>
      <c r="C272" s="147">
        <v>5.0</v>
      </c>
      <c r="D272" s="152" t="str">
        <f>IFERROR(__xludf.DUMMYFUNCTION("if(A272="""","""",iferror(filter(Schedule!$Y:$Y&amp;""-""&amp;Schedule!$Z:$Z,Schedule!$L:$L=A272,(Schedule!$J:$J="""")+(Schedule!$J:$J=B272),(Schedule!$K:$K=""a"")+(Schedule!$K:$K=""""),Schedule!$Y:$Y&lt;&gt;""""),""""))"),"")</f>
        <v/>
      </c>
      <c r="E272" s="152" t="str">
        <f>IFERROR(__xludf.DUMMYFUNCTION("if(A272="""","""",iferror(filter(Schedule!$P:$P&amp;""-""&amp;Schedule!$Q:$Q,Schedule!$L:$L=A272,(Schedule!$J:$J="""")+(Schedule!$J:$J=B272),(Schedule!$K:$K=""b"")+(Schedule!$K:$K=""""),Schedule!$P:$P&lt;&gt;""""),""""))"),"")</f>
        <v/>
      </c>
      <c r="F272" s="152" t="str">
        <f>IFERROR(__xludf.DUMMYFUNCTION("if(A272="""","""",iferror(filter(Schedule!$V:$V&amp;""-""&amp;Schedule!$W:$W,Schedule!$L:$L=A272,(Schedule!$J:$J="""")+(Schedule!$J:$J=B272),(Schedule!$K:$K=""b"")+(Schedule!$K:$K=""""),Schedule!$V:$V&lt;&gt;""""),""""))"),"")</f>
        <v/>
      </c>
      <c r="G272" s="152" t="str">
        <f>IFERROR(__xludf.DUMMYFUNCTION("if(A272="""","""",iferror(filter(Schedule!$AB:$AB&amp;""-""&amp;Schedule!$AC:$AC,Schedule!$L:$L=A272,(Schedule!$J:$J="""")+(Schedule!$J:$J=B272),(Schedule!$K:$K=""b"")+(Schedule!$K:$K=""""),Schedule!$AB:$AB&lt;&gt;""""),""""))"),"")</f>
        <v/>
      </c>
      <c r="H272" s="152" t="str">
        <f>IFERROR(__xludf.DUMMYFUNCTION("if(A272="""","""",iferror(filter(Schedule!$M:$M&amp;""-""&amp;Schedule!$N:$N,Schedule!$L:$L=A272,(Schedule!$J:$J="""")+(Schedule!$J:$J=B272),(Schedule!$K:$K=""b"")+(Schedule!$K:$K=""""),Schedule!$M:$M&lt;&gt;""""),""""))"),"")</f>
        <v/>
      </c>
      <c r="I272" s="64"/>
      <c r="J272" s="154"/>
      <c r="K272" s="151" t="str">
        <f>M266</f>
        <v/>
      </c>
      <c r="L272" s="151" t="str">
        <f>S266</f>
        <v/>
      </c>
      <c r="M272" s="147">
        <v>5.0</v>
      </c>
      <c r="N272" s="152" t="str">
        <f>IFERROR(__xludf.DUMMYFUNCTION("if(K272="""","""",iferror(filter(Schedule!$Y:$Y&amp;""-""&amp;Schedule!$Z:$Z,Schedule!$L:$L=K272,(Schedule!$J:$J="""")+(Schedule!$J:$J=L272),(Schedule!$K:$K=""a"")+(Schedule!$K:$K=""""),Schedule!$Y:$Y&lt;&gt;""""),""""))"),"")</f>
        <v/>
      </c>
      <c r="O272" s="152" t="str">
        <f>IFERROR(__xludf.DUMMYFUNCTION("if(K272="""","""",iferror(filter(Schedule!$P:$P&amp;""-""&amp;Schedule!$Q:$Q,Schedule!$L:$L=K272,(Schedule!$J:$J="""")+(Schedule!$J:$J=L272),(Schedule!$K:$K=""b"")+(Schedule!$K:$K=""""),Schedule!$P:$P&lt;&gt;""""),""""))"),"")</f>
        <v/>
      </c>
      <c r="P272" s="152" t="str">
        <f>IFERROR(__xludf.DUMMYFUNCTION("if(K272="""","""",iferror(filter(Schedule!$V:$V&amp;""-""&amp;Schedule!$W:$W,Schedule!$L:$L=K272,(Schedule!$J:$J="""")+(Schedule!$J:$J=L272),(Schedule!$K:$K=""b"")+(Schedule!$K:$K=""""),Schedule!$V:$V&lt;&gt;""""),""""))"),"")</f>
        <v/>
      </c>
      <c r="Q272" s="152" t="str">
        <f>IFERROR(__xludf.DUMMYFUNCTION("if(K272="""","""",iferror(filter(Schedule!$AB:$AB&amp;""-""&amp;Schedule!$AC:$AC,Schedule!$L:$L=K272,(Schedule!$J:$J="""")+(Schedule!$J:$J=L272),(Schedule!$K:$K=""b"")+(Schedule!$K:$K=""""),Schedule!$AB:$AB&lt;&gt;""""),""""))"),"")</f>
        <v/>
      </c>
      <c r="R272" s="152" t="str">
        <f>IFERROR(__xludf.DUMMYFUNCTION("if(K272="""","""",iferror(filter(Schedule!$M:$M&amp;""-""&amp;Schedule!$N:$N,Schedule!$L:$L=K272,(Schedule!$J:$J="""")+(Schedule!$J:$J=L272),(Schedule!$K:$K=""b"")+(Schedule!$K:$K=""""),Schedule!$M:$M&lt;&gt;""""),""""))"),"")</f>
        <v/>
      </c>
      <c r="S272" s="64"/>
      <c r="T272" s="155"/>
      <c r="U272" s="155" t="str">
        <f>W266</f>
        <v/>
      </c>
      <c r="V272" s="151" t="str">
        <f>AC266</f>
        <v/>
      </c>
      <c r="W272" s="147">
        <v>5.0</v>
      </c>
      <c r="X272" s="152" t="str">
        <f>IFERROR(__xludf.DUMMYFUNCTION("if(U272="""","""",iferror(filter(Schedule!$Y:$Y&amp;""-""&amp;Schedule!$Z:$Z,Schedule!$L:$L=U272,(Schedule!$J:$J="""")+(Schedule!$J:$J=V272),(Schedule!$K:$K=""a"")+(Schedule!$K:$K=""""),Schedule!$Y:$Y&lt;&gt;""""),""""))"),"")</f>
        <v/>
      </c>
      <c r="Y272" s="152" t="str">
        <f>IFERROR(__xludf.DUMMYFUNCTION("if(U272="""","""",iferror(filter(Schedule!$P:$P&amp;""-""&amp;Schedule!$Q:$Q,Schedule!$L:$L=U272,(Schedule!$J:$J="""")+(Schedule!$J:$J=V272),(Schedule!$K:$K=""b"")+(Schedule!$K:$K=""""),Schedule!$P:$P&lt;&gt;""""),""""))"),"")</f>
        <v/>
      </c>
      <c r="Z272" s="152" t="str">
        <f>IFERROR(__xludf.DUMMYFUNCTION("if(U272="""","""",iferror(filter(Schedule!$V:$V&amp;""-""&amp;Schedule!$W:$W,Schedule!$L:$L=U272,(Schedule!$J:$J="""")+(Schedule!$J:$J=V272),(Schedule!$K:$K=""b"")+(Schedule!$K:$K=""""),Schedule!$V:$V&lt;&gt;""""),""""))"),"")</f>
        <v/>
      </c>
      <c r="AA272" s="152" t="str">
        <f>IFERROR(__xludf.DUMMYFUNCTION("if(U272="""","""",iferror(filter(Schedule!$AB:$AB&amp;""-""&amp;Schedule!$AC:$AC,Schedule!$L:$L=U272,(Schedule!$J:$J="""")+(Schedule!$J:$J=V272),(Schedule!$K:$K=""b"")+(Schedule!$K:$K=""""),Schedule!$AB:$AB&lt;&gt;""""),""""))"),"")</f>
        <v/>
      </c>
      <c r="AB272" s="152" t="str">
        <f>IFERROR(__xludf.DUMMYFUNCTION("if(U272="""","""",iferror(filter(Schedule!$M:$M&amp;""-""&amp;Schedule!$N:$N,Schedule!$L:$L=U272,(Schedule!$J:$J="""")+(Schedule!$J:$J=V272),(Schedule!$K:$K=""b"")+(Schedule!$K:$K=""""),Schedule!$M:$M&lt;&gt;""""),""""))"),"")</f>
        <v/>
      </c>
      <c r="AC272" s="64"/>
      <c r="AD272" s="155"/>
      <c r="AE272" s="155" t="str">
        <f>AG266</f>
        <v/>
      </c>
      <c r="AF272" s="151" t="str">
        <f>AM266</f>
        <v/>
      </c>
      <c r="AG272" s="147">
        <v>5.0</v>
      </c>
      <c r="AH272" s="152" t="str">
        <f>IFERROR(__xludf.DUMMYFUNCTION("if(AE272="""","""",iferror(filter(Schedule!$Y:$Y&amp;""-""&amp;Schedule!$Z:$Z,Schedule!$L:$L=AE272,(Schedule!$J:$J="""")+(Schedule!$J:$J=AF272),(Schedule!$K:$K=""a"")+(Schedule!$K:$K=""""),Schedule!$Y:$Y&lt;&gt;""""),""""))"),"")</f>
        <v/>
      </c>
      <c r="AI272" s="152" t="str">
        <f>IFERROR(__xludf.DUMMYFUNCTION("if(AE272="""","""",iferror(filter(Schedule!$P:$P&amp;""-""&amp;Schedule!$Q:$Q,Schedule!$L:$L=AE272,(Schedule!$J:$J="""")+(Schedule!$J:$J=AF272),(Schedule!$K:$K=""b"")+(Schedule!$K:$K=""""),Schedule!$P:$P&lt;&gt;""""),""""))"),"")</f>
        <v/>
      </c>
      <c r="AJ272" s="152" t="str">
        <f>IFERROR(__xludf.DUMMYFUNCTION("if(AE272="""","""",iferror(filter(Schedule!$V:$V&amp;""-""&amp;Schedule!$W:$W,Schedule!$L:$L=AE272,(Schedule!$J:$J="""")+(Schedule!$J:$J=AF272),(Schedule!$K:$K=""b"")+(Schedule!$K:$K=""""),Schedule!$V:$V&lt;&gt;""""),""""))"),"")</f>
        <v/>
      </c>
      <c r="AK272" s="152" t="str">
        <f>IFERROR(__xludf.DUMMYFUNCTION("if(AE272="""","""",iferror(filter(Schedule!$AB:$AB&amp;""-""&amp;Schedule!$AC:$AC,Schedule!$L:$L=AE272,(Schedule!$J:$J="""")+(Schedule!$J:$J=AF272),(Schedule!$K:$K=""b"")+(Schedule!$K:$K=""""),Schedule!$AB:$AB&lt;&gt;""""),""""))"),"")</f>
        <v/>
      </c>
      <c r="AL272" s="152" t="str">
        <f>IFERROR(__xludf.DUMMYFUNCTION("if(AE272="""","""",iferror(filter(Schedule!$M:$M&amp;""-""&amp;Schedule!$N:$N,Schedule!$L:$L=AE272,(Schedule!$J:$J="""")+(Schedule!$J:$J=AF272),(Schedule!$K:$K=""b"")+(Schedule!$K:$K=""""),Schedule!$M:$M&lt;&gt;""""),""""))"),"")</f>
        <v/>
      </c>
      <c r="AM272" s="64"/>
    </row>
    <row r="273">
      <c r="A273" s="11"/>
      <c r="B273" s="11"/>
      <c r="C273" s="156"/>
      <c r="D273" s="156"/>
      <c r="E273" s="156"/>
      <c r="F273" s="156"/>
      <c r="G273" s="156"/>
      <c r="H273" s="156"/>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c r="A274" s="5"/>
      <c r="B274" s="5"/>
      <c r="C274" s="140" t="str">
        <f>Teachers!A35</f>
        <v/>
      </c>
      <c r="D274" s="141"/>
      <c r="E274" s="141"/>
      <c r="F274" s="141"/>
      <c r="G274" s="141"/>
      <c r="H274" s="142"/>
      <c r="I274" s="143" t="str">
        <f>IFERROR(__xludf.DUMMYFUNCTION("if(C274="""","""", iferror(unique(filter(Schedule!$J:$J,Schedule!$L:$L=$C274,Schedule!$J:$J=""Q1"")),iferror(unique(filter(Schedule!$J:$J,Schedule!$L:$L=$C274,Schedule!$J:$J=""S1"")),""Y"")))"),"")</f>
        <v/>
      </c>
      <c r="J274" s="11"/>
      <c r="K274" s="11"/>
      <c r="L274" s="11"/>
      <c r="M274" s="140" t="str">
        <f>if(S274="","",C274)</f>
        <v/>
      </c>
      <c r="N274" s="141"/>
      <c r="O274" s="141"/>
      <c r="P274" s="141"/>
      <c r="Q274" s="141"/>
      <c r="R274" s="142"/>
      <c r="S274" s="143" t="str">
        <f>if($I274="Q1","Q2",if($I274="S1","S2",""))</f>
        <v/>
      </c>
      <c r="T274" s="144"/>
      <c r="U274" s="144"/>
      <c r="V274" s="145"/>
      <c r="W274" s="140" t="str">
        <f>if(AC274="","",M274)</f>
        <v/>
      </c>
      <c r="X274" s="141"/>
      <c r="Y274" s="141"/>
      <c r="Z274" s="141"/>
      <c r="AA274" s="141"/>
      <c r="AB274" s="142"/>
      <c r="AC274" s="143" t="str">
        <f>if($I274="Q1","Q3","")</f>
        <v/>
      </c>
      <c r="AD274" s="144"/>
      <c r="AE274" s="144"/>
      <c r="AF274" s="145"/>
      <c r="AG274" s="140" t="str">
        <f>if(AC274="","",W274)</f>
        <v/>
      </c>
      <c r="AH274" s="141"/>
      <c r="AI274" s="141"/>
      <c r="AJ274" s="141"/>
      <c r="AK274" s="141"/>
      <c r="AL274" s="142"/>
      <c r="AM274" s="143" t="str">
        <f>if($I274="Q1","Q4","")</f>
        <v/>
      </c>
    </row>
    <row r="275">
      <c r="A275" s="146"/>
      <c r="B275" s="146"/>
      <c r="C275" s="147" t="s">
        <v>94</v>
      </c>
      <c r="D275" s="148" t="s">
        <v>95</v>
      </c>
      <c r="E275" s="148" t="s">
        <v>96</v>
      </c>
      <c r="F275" s="148" t="s">
        <v>97</v>
      </c>
      <c r="G275" s="148" t="s">
        <v>98</v>
      </c>
      <c r="H275" s="148" t="s">
        <v>99</v>
      </c>
      <c r="I275" s="148" t="s">
        <v>651</v>
      </c>
      <c r="J275" s="146"/>
      <c r="K275" s="146"/>
      <c r="L275" s="146"/>
      <c r="M275" s="147" t="s">
        <v>94</v>
      </c>
      <c r="N275" s="148" t="s">
        <v>95</v>
      </c>
      <c r="O275" s="148" t="s">
        <v>96</v>
      </c>
      <c r="P275" s="148" t="s">
        <v>97</v>
      </c>
      <c r="Q275" s="148" t="s">
        <v>98</v>
      </c>
      <c r="R275" s="148" t="s">
        <v>99</v>
      </c>
      <c r="S275" s="148" t="s">
        <v>651</v>
      </c>
      <c r="T275" s="149"/>
      <c r="U275" s="149"/>
      <c r="V275" s="150"/>
      <c r="W275" s="147" t="s">
        <v>94</v>
      </c>
      <c r="X275" s="148" t="s">
        <v>95</v>
      </c>
      <c r="Y275" s="148" t="s">
        <v>96</v>
      </c>
      <c r="Z275" s="148" t="s">
        <v>97</v>
      </c>
      <c r="AA275" s="148" t="s">
        <v>98</v>
      </c>
      <c r="AB275" s="148" t="s">
        <v>99</v>
      </c>
      <c r="AC275" s="148" t="s">
        <v>651</v>
      </c>
      <c r="AD275" s="149"/>
      <c r="AE275" s="149"/>
      <c r="AF275" s="150"/>
      <c r="AG275" s="147" t="s">
        <v>94</v>
      </c>
      <c r="AH275" s="148" t="s">
        <v>95</v>
      </c>
      <c r="AI275" s="148" t="s">
        <v>96</v>
      </c>
      <c r="AJ275" s="148" t="s">
        <v>97</v>
      </c>
      <c r="AK275" s="148" t="s">
        <v>98</v>
      </c>
      <c r="AL275" s="148" t="s">
        <v>99</v>
      </c>
      <c r="AM275" s="148" t="s">
        <v>651</v>
      </c>
    </row>
    <row r="276">
      <c r="A276" s="151" t="str">
        <f>C274</f>
        <v/>
      </c>
      <c r="B276" s="151" t="str">
        <f>I274</f>
        <v/>
      </c>
      <c r="C276" s="147">
        <v>1.0</v>
      </c>
      <c r="D276" s="152" t="str">
        <f>IFERROR(__xludf.DUMMYFUNCTION("if(A276="""","""",iferror(filter(Schedule!$M:$M&amp;""-""&amp;Schedule!$N:$N,Schedule!$L:$L=A276,(Schedule!$J:$J="""")+(Schedule!$J:$J=B276),(Schedule!$K:$K=""a"")+(Schedule!$K:$K=""""),Schedule!$M:$M&lt;&gt;""""),""""))"),"")</f>
        <v/>
      </c>
      <c r="E276" s="152" t="str">
        <f>IFERROR(__xludf.DUMMYFUNCTION("if(A276="""","""",iferror(filter(Schedule!$AB:$AB&amp;""-""&amp;Schedule!$AC:$AC,Schedule!$L:$L=A276,(Schedule!$J:$J="""")+(Schedule!$J:$J=B276),(Schedule!$K:$K=""b"")+(Schedule!$K:$K=""""),Schedule!$AB:$AB&lt;&gt;""""),""""))"),"")</f>
        <v/>
      </c>
      <c r="F276" s="152" t="str">
        <f>IFERROR(__xludf.DUMMYFUNCTION("if(A276="""","""",iferror(filter(Schedule!$S:$S&amp;""-""&amp;Schedule!$T:$T,Schedule!$L:$L=A276,(Schedule!$J:$J="""")+(Schedule!$J:$J=B276),(Schedule!$K:$K=""a"")+(Schedule!$K:$K=""""),Schedule!$S:$S&lt;&gt;""""),""""))"),"")</f>
        <v/>
      </c>
      <c r="G276" s="152" t="str">
        <f>IFERROR(__xludf.DUMMYFUNCTION("if(A276="""","""",iferror(filter(Schedule!$V:$V&amp;""-""&amp;Schedule!$W:$W,Schedule!$L:$L=A276,(Schedule!$J:$J="""")+(Schedule!$J:$J=B276),(Schedule!$K:$K=""a"")+(Schedule!$K:$K=""""),Schedule!$V:$V&lt;&gt;""""),""""))"),"")</f>
        <v/>
      </c>
      <c r="H276" s="152" t="str">
        <f>IFERROR(__xludf.DUMMYFUNCTION("if(A276="""","""",iferror(filter(Schedule!$Y:$Y&amp;""-""&amp;Schedule!$Z:$Z,Schedule!$L:$L=A276,(Schedule!$J:$J="""")+(Schedule!$J:$J=B276),(Schedule!$K:$K=""b"")+(Schedule!$K:$K=""""),Schedule!$Y:$Y&lt;&gt;""""),""""))"),"")</f>
        <v/>
      </c>
      <c r="I276" s="153" t="str">
        <f>if(C274="","", 24-countifs(D276:H280,""))</f>
        <v/>
      </c>
      <c r="J276" s="154"/>
      <c r="K276" s="151" t="str">
        <f>M274</f>
        <v/>
      </c>
      <c r="L276" s="151" t="str">
        <f>S274</f>
        <v/>
      </c>
      <c r="M276" s="147">
        <v>1.0</v>
      </c>
      <c r="N276" s="152" t="str">
        <f>IFERROR(__xludf.DUMMYFUNCTION("if(K276="""","""",iferror(filter(Schedule!$M:$M&amp;""-""&amp;Schedule!$N:$N,Schedule!$L:$L=K276,(Schedule!$J:$J="""")+(Schedule!$J:$J=L276),(Schedule!$K:$K=""a"")+(Schedule!$K:$K=""""),Schedule!$M:$M&lt;&gt;""""),""""))"),"")</f>
        <v/>
      </c>
      <c r="O276" s="152" t="str">
        <f>IFERROR(__xludf.DUMMYFUNCTION("if(K276="""","""",iferror(filter(Schedule!$AB:$AB&amp;""-""&amp;Schedule!$AC:$AC,Schedule!$L:$L=K276,(Schedule!$J:$J="""")+(Schedule!$J:$J=L276),(Schedule!$K:$K=""b"")+(Schedule!$K:$K=""""),Schedule!$AB:$AB&lt;&gt;""""),""""))"),"")</f>
        <v/>
      </c>
      <c r="P276" s="152" t="str">
        <f>IFERROR(__xludf.DUMMYFUNCTION("if(K276="""","""",iferror(filter(Schedule!$S:$S&amp;""-""&amp;Schedule!$T:$T,Schedule!$L:$L=K276,(Schedule!$J:$J="""")+(Schedule!$J:$J=L276),(Schedule!$K:$K=""a"")+(Schedule!$K:$K=""""),Schedule!$S:$S&lt;&gt;""""),""""))"),"")</f>
        <v/>
      </c>
      <c r="Q276" s="152" t="str">
        <f>IFERROR(__xludf.DUMMYFUNCTION("if(K276="""","""",iferror(filter(Schedule!$V:$V&amp;""-""&amp;Schedule!$W:$W,Schedule!$L:$L=K276,(Schedule!$J:$J="""")+(Schedule!$J:$J=L276),(Schedule!$K:$K=""a"")+(Schedule!$K:$K=""""),Schedule!$V:$V&lt;&gt;""""),""""))"),"")</f>
        <v/>
      </c>
      <c r="R276" s="152" t="str">
        <f>IFERROR(__xludf.DUMMYFUNCTION("if(K276="""","""",iferror(filter(Schedule!$Y:$Y&amp;""-""&amp;Schedule!$Z:$Z,Schedule!$L:$L=K276,(Schedule!$J:$J="""")+(Schedule!$J:$J=L276),(Schedule!$K:$K=""b"")+(Schedule!$K:$K=""""),Schedule!$Y:$Y&lt;&gt;""""),""""))"),"")</f>
        <v/>
      </c>
      <c r="S276" s="153" t="str">
        <f>if(K276="","", 24-countifs(N276:R280,""))</f>
        <v/>
      </c>
      <c r="T276" s="155"/>
      <c r="U276" s="155" t="str">
        <f>W274</f>
        <v/>
      </c>
      <c r="V276" s="151" t="str">
        <f>AC274</f>
        <v/>
      </c>
      <c r="W276" s="147">
        <v>1.0</v>
      </c>
      <c r="X276" s="152" t="str">
        <f>IFERROR(__xludf.DUMMYFUNCTION("if(U276="""","""",iferror(filter(Schedule!$M:$M&amp;""-""&amp;Schedule!$N:$N,Schedule!$L:$L=U276,(Schedule!$J:$J="""")+(Schedule!$J:$J=V276),(Schedule!$K:$K=""a"")+(Schedule!$K:$K=""""),Schedule!$M:$M&lt;&gt;""""),""""))"),"")</f>
        <v/>
      </c>
      <c r="Y276" s="152" t="str">
        <f>IFERROR(__xludf.DUMMYFUNCTION("if(U276="""","""",iferror(filter(Schedule!$AB:$AB&amp;""-""&amp;Schedule!$AC:$AC,Schedule!$L:$L=U276,(Schedule!$J:$J="""")+(Schedule!$J:$J=V276),(Schedule!$K:$K=""b"")+(Schedule!$K:$K=""""),Schedule!$AB:$AB&lt;&gt;""""),""""))"),"")</f>
        <v/>
      </c>
      <c r="Z276" s="152" t="str">
        <f>IFERROR(__xludf.DUMMYFUNCTION("if(U276="""","""",iferror(filter(Schedule!$S:$S&amp;""-""&amp;Schedule!$T:$T,Schedule!$L:$L=U276,(Schedule!$J:$J="""")+(Schedule!$J:$J=V276),(Schedule!$K:$K=""a"")+(Schedule!$K:$K=""""),Schedule!$S:$S&lt;&gt;""""),""""))"),"")</f>
        <v/>
      </c>
      <c r="AA276" s="152" t="str">
        <f>IFERROR(__xludf.DUMMYFUNCTION("if(U276="""","""",iferror(filter(Schedule!$V:$V&amp;""-""&amp;Schedule!$W:$W,Schedule!$L:$L=U276,(Schedule!$J:$J="""")+(Schedule!$J:$J=V276),(Schedule!$K:$K=""a"")+(Schedule!$K:$K=""""),Schedule!$V:$V&lt;&gt;""""),""""))"),"")</f>
        <v/>
      </c>
      <c r="AB276" s="152" t="str">
        <f>IFERROR(__xludf.DUMMYFUNCTION("if(U276="""","""",iferror(filter(Schedule!$Y:$Y&amp;""-""&amp;Schedule!$Z:$Z,Schedule!$L:$L=U276,(Schedule!$J:$J="""")+(Schedule!$J:$J=V276),(Schedule!$K:$K=""b"")+(Schedule!$K:$K=""""),Schedule!$Y:$Y&lt;&gt;""""),""""))"),"")</f>
        <v/>
      </c>
      <c r="AC276" s="153" t="str">
        <f>if(U276="","", 24-countifs(X276:AB280,""))</f>
        <v/>
      </c>
      <c r="AD276" s="155"/>
      <c r="AE276" s="155" t="str">
        <f>AG274</f>
        <v/>
      </c>
      <c r="AF276" s="151" t="str">
        <f>AM274</f>
        <v/>
      </c>
      <c r="AG276" s="147">
        <v>1.0</v>
      </c>
      <c r="AH276" s="152" t="str">
        <f>IFERROR(__xludf.DUMMYFUNCTION("if(AE276="""","""",iferror(filter(Schedule!$M:$M&amp;""-""&amp;Schedule!$N:$N,Schedule!$L:$L=AE276,(Schedule!$J:$J="""")+(Schedule!$J:$J=AF276),(Schedule!$K:$K=""a"")+(Schedule!$K:$K=""""),Schedule!$M:$M&lt;&gt;""""),""""))"),"")</f>
        <v/>
      </c>
      <c r="AI276" s="152" t="str">
        <f>IFERROR(__xludf.DUMMYFUNCTION("if(AE276="""","""",iferror(filter(Schedule!$AB:$AB&amp;""-""&amp;Schedule!$AC:$AC,Schedule!$L:$L=AE276,(Schedule!$J:$J="""")+(Schedule!$J:$J=AF276),(Schedule!$K:$K=""b"")+(Schedule!$K:$K=""""),Schedule!$AB:$AB&lt;&gt;""""),""""))"),"")</f>
        <v/>
      </c>
      <c r="AJ276" s="152" t="str">
        <f>IFERROR(__xludf.DUMMYFUNCTION("if(AE276="""","""",iferror(filter(Schedule!$S:$S&amp;""-""&amp;Schedule!$T:$T,Schedule!$L:$L=AE276,(Schedule!$J:$J="""")+(Schedule!$J:$J=AF276),(Schedule!$K:$K=""a"")+(Schedule!$K:$K=""""),Schedule!$S:$S&lt;&gt;""""),""""))"),"")</f>
        <v/>
      </c>
      <c r="AK276" s="152" t="str">
        <f>IFERROR(__xludf.DUMMYFUNCTION("if(AE276="""","""",iferror(filter(Schedule!$V:$V&amp;""-""&amp;Schedule!$W:$W,Schedule!$L:$L=AE276,(Schedule!$J:$J="""")+(Schedule!$J:$J=AF276),(Schedule!$K:$K=""a"")+(Schedule!$K:$K=""""),Schedule!$V:$V&lt;&gt;""""),""""))"),"")</f>
        <v/>
      </c>
      <c r="AL276" s="152" t="str">
        <f>IFERROR(__xludf.DUMMYFUNCTION("if(AE276="""","""",iferror(filter(Schedule!$Y:$Y&amp;""-""&amp;Schedule!$Z:$Z,Schedule!$L:$L=AE276,(Schedule!$J:$J="""")+(Schedule!$J:$J=AF276),(Schedule!$K:$K=""b"")+(Schedule!$K:$K=""""),Schedule!$Y:$Y&lt;&gt;""""),""""))"),"")</f>
        <v/>
      </c>
      <c r="AM276" s="153" t="str">
        <f>if(AE276="","", 24-countifs(AH276:AL280,""))</f>
        <v/>
      </c>
    </row>
    <row r="277">
      <c r="A277" s="151" t="str">
        <f>C274</f>
        <v/>
      </c>
      <c r="B277" s="151" t="str">
        <f>I274</f>
        <v/>
      </c>
      <c r="C277" s="147">
        <v>2.0</v>
      </c>
      <c r="D277" s="152" t="str">
        <f>IFERROR(__xludf.DUMMYFUNCTION("if(A277="""","""",iferror(filter(Schedule!$P:$P&amp;""-""&amp;Schedule!$Q:$Q,Schedule!$L:$L=A277,(Schedule!$J:$J="""")+(Schedule!$J:$J=B277),(Schedule!$K:$K=""a"")+(Schedule!$K:$K=""""),Schedule!$P:$P&lt;&gt;""""),""""))"),"")</f>
        <v/>
      </c>
      <c r="E277" s="152" t="str">
        <f>IFERROR(__xludf.DUMMYFUNCTION("if(A277="""","""",iferror(filter(Schedule!$Y:$Y&amp;""-""&amp;Schedule!$Z:$Z,Schedule!$L:$L=A277,(Schedule!$J:$J="""")+(Schedule!$J:$J=B277),(Schedule!$K:$K=""b"")+(Schedule!$K:$K=""""),Schedule!$Y:$Y&lt;&gt;""""),""""))"),"")</f>
        <v/>
      </c>
      <c r="F277" s="152" t="str">
        <f>IFERROR(__xludf.DUMMYFUNCTION("if(A277="""","""",iferror(filter(Schedule!$P:$P&amp;""-""&amp;Schedule!$Q:$Q,Schedule!$L:$L=A277,(Schedule!$J:$J="""")+(Schedule!$J:$J=B277),(Schedule!$K:$K=""a"")+(Schedule!$K:$K=""""),Schedule!$P:$P&lt;&gt;""""),""""))"),"")</f>
        <v/>
      </c>
      <c r="G277" s="152" t="str">
        <f>IFERROR(__xludf.DUMMYFUNCTION("if(A277="""","""",iferror(filter(Schedule!$M:$M&amp;""-""&amp;Schedule!$N:$N,Schedule!$L:$L=A277,(Schedule!$J:$J="""")+(Schedule!$J:$J=B277),(Schedule!$K:$K=""a"")+(Schedule!$K:$K=""""),Schedule!$M:$M&lt;&gt;""""),""""))"),"")</f>
        <v/>
      </c>
      <c r="H277" s="152" t="str">
        <f>IFERROR(__xludf.DUMMYFUNCTION("if(A277="""","""",iferror(filter(Schedule!$AB:$AB&amp;""-""&amp;Schedule!$AC:$AC,Schedule!$L:$L=A277,(Schedule!$J:$J="""")+(Schedule!$J:$J=B277),(Schedule!$K:$K=""a"")+(Schedule!$K:$K=""""),Schedule!$AB:$AB&lt;&gt;""""),""""))"),"")</f>
        <v/>
      </c>
      <c r="I277" s="60"/>
      <c r="J277" s="154"/>
      <c r="K277" s="151" t="str">
        <f>M274</f>
        <v/>
      </c>
      <c r="L277" s="151" t="str">
        <f>S274</f>
        <v/>
      </c>
      <c r="M277" s="147">
        <v>2.0</v>
      </c>
      <c r="N277" s="152" t="str">
        <f>IFERROR(__xludf.DUMMYFUNCTION("if(K277="""","""",iferror(filter(Schedule!$P:$P&amp;""-""&amp;Schedule!$Q:$Q,Schedule!$L:$L=K277,(Schedule!$J:$J="""")+(Schedule!$J:$J=L277),(Schedule!$K:$K=""a"")+(Schedule!$K:$K=""""),Schedule!$P:$P&lt;&gt;""""),""""))"),"")</f>
        <v/>
      </c>
      <c r="O277" s="152" t="str">
        <f>IFERROR(__xludf.DUMMYFUNCTION("if(K277="""","""",iferror(filter(Schedule!$Y:$Y&amp;""-""&amp;Schedule!$Z:$Z,Schedule!$L:$L=K277,(Schedule!$J:$J="""")+(Schedule!$J:$J=L277),(Schedule!$K:$K=""b"")+(Schedule!$K:$K=""""),Schedule!$Y:$Y&lt;&gt;""""),""""))"),"")</f>
        <v/>
      </c>
      <c r="P277" s="152" t="str">
        <f>IFERROR(__xludf.DUMMYFUNCTION("if(K277="""","""",iferror(filter(Schedule!$P:$P&amp;""-""&amp;Schedule!$Q:$Q,Schedule!$L:$L=K277,(Schedule!$J:$J="""")+(Schedule!$J:$J=L277),(Schedule!$K:$K=""a"")+(Schedule!$K:$K=""""),Schedule!$P:$P&lt;&gt;""""),""""))"),"")</f>
        <v/>
      </c>
      <c r="Q277" s="152" t="str">
        <f>IFERROR(__xludf.DUMMYFUNCTION("if(K277="""","""",iferror(filter(Schedule!$M:$M&amp;""-""&amp;Schedule!$N:$N,Schedule!$L:$L=K277,(Schedule!$J:$J="""")+(Schedule!$J:$J=L277),(Schedule!$K:$K=""a"")+(Schedule!$K:$K=""""),Schedule!$M:$M&lt;&gt;""""),""""))"),"")</f>
        <v/>
      </c>
      <c r="R277" s="152" t="str">
        <f>IFERROR(__xludf.DUMMYFUNCTION("if(K277="""","""",iferror(filter(Schedule!$AB:$AB&amp;""-""&amp;Schedule!$AC:$AC,Schedule!$L:$L=K277,(Schedule!$J:$J="""")+(Schedule!$J:$J=L277),(Schedule!$K:$K=""a"")+(Schedule!$K:$K=""""),Schedule!$AB:$AB&lt;&gt;""""),""""))"),"")</f>
        <v/>
      </c>
      <c r="S277" s="60"/>
      <c r="T277" s="155"/>
      <c r="U277" s="155" t="str">
        <f>W274</f>
        <v/>
      </c>
      <c r="V277" s="151" t="str">
        <f>AC274</f>
        <v/>
      </c>
      <c r="W277" s="147">
        <v>2.0</v>
      </c>
      <c r="X277" s="152" t="str">
        <f>IFERROR(__xludf.DUMMYFUNCTION("if(U277="""","""",iferror(filter(Schedule!$P:$P&amp;""-""&amp;Schedule!$Q:$Q,Schedule!$L:$L=U277,(Schedule!$J:$J="""")+(Schedule!$J:$J=V277),(Schedule!$K:$K=""a"")+(Schedule!$K:$K=""""),Schedule!$P:$P&lt;&gt;""""),""""))"),"")</f>
        <v/>
      </c>
      <c r="Y277" s="152" t="str">
        <f>IFERROR(__xludf.DUMMYFUNCTION("if(U277="""","""",iferror(filter(Schedule!$Y:$Y&amp;""-""&amp;Schedule!$Z:$Z,Schedule!$L:$L=U277,(Schedule!$J:$J="""")+(Schedule!$J:$J=V277),(Schedule!$K:$K=""b"")+(Schedule!$K:$K=""""),Schedule!$Y:$Y&lt;&gt;""""),""""))"),"")</f>
        <v/>
      </c>
      <c r="Z277" s="152" t="str">
        <f>IFERROR(__xludf.DUMMYFUNCTION("if(U277="""","""",iferror(filter(Schedule!$P:$P&amp;""-""&amp;Schedule!$Q:$Q,Schedule!$L:$L=U277,(Schedule!$J:$J="""")+(Schedule!$J:$J=V277),(Schedule!$K:$K=""a"")+(Schedule!$K:$K=""""),Schedule!$P:$P&lt;&gt;""""),""""))"),"")</f>
        <v/>
      </c>
      <c r="AA277" s="152" t="str">
        <f>IFERROR(__xludf.DUMMYFUNCTION("if(U277="""","""",iferror(filter(Schedule!$M:$M&amp;""-""&amp;Schedule!$N:$N,Schedule!$L:$L=U277,(Schedule!$J:$J="""")+(Schedule!$J:$J=V277),(Schedule!$K:$K=""a"")+(Schedule!$K:$K=""""),Schedule!$M:$M&lt;&gt;""""),""""))"),"")</f>
        <v/>
      </c>
      <c r="AB277" s="152" t="str">
        <f>IFERROR(__xludf.DUMMYFUNCTION("if(U277="""","""",iferror(filter(Schedule!$AB:$AB&amp;""-""&amp;Schedule!$AC:$AC,Schedule!$L:$L=U277,(Schedule!$J:$J="""")+(Schedule!$J:$J=V277),(Schedule!$K:$K=""a"")+(Schedule!$K:$K=""""),Schedule!$AB:$AB&lt;&gt;""""),""""))"),"")</f>
        <v/>
      </c>
      <c r="AC277" s="60"/>
      <c r="AD277" s="155"/>
      <c r="AE277" s="155" t="str">
        <f>AG274</f>
        <v/>
      </c>
      <c r="AF277" s="151" t="str">
        <f>AM274</f>
        <v/>
      </c>
      <c r="AG277" s="147">
        <v>2.0</v>
      </c>
      <c r="AH277" s="152" t="str">
        <f>IFERROR(__xludf.DUMMYFUNCTION("if(AE277="""","""",iferror(filter(Schedule!$P:$P&amp;""-""&amp;Schedule!$Q:$Q,Schedule!$L:$L=AE277,(Schedule!$J:$J="""")+(Schedule!$J:$J=AF277),(Schedule!$K:$K=""a"")+(Schedule!$K:$K=""""),Schedule!$P:$P&lt;&gt;""""),""""))"),"")</f>
        <v/>
      </c>
      <c r="AI277" s="152" t="str">
        <f>IFERROR(__xludf.DUMMYFUNCTION("if(AE277="""","""",iferror(filter(Schedule!$Y:$Y&amp;""-""&amp;Schedule!$Z:$Z,Schedule!$L:$L=AE277,(Schedule!$J:$J="""")+(Schedule!$J:$J=AF277),(Schedule!$K:$K=""b"")+(Schedule!$K:$K=""""),Schedule!$Y:$Y&lt;&gt;""""),""""))"),"")</f>
        <v/>
      </c>
      <c r="AJ277" s="152" t="str">
        <f>IFERROR(__xludf.DUMMYFUNCTION("if(AE277="""","""",iferror(filter(Schedule!$P:$P&amp;""-""&amp;Schedule!$Q:$Q,Schedule!$L:$L=AE277,(Schedule!$J:$J="""")+(Schedule!$J:$J=AF277),(Schedule!$K:$K=""a"")+(Schedule!$K:$K=""""),Schedule!$P:$P&lt;&gt;""""),""""))"),"")</f>
        <v/>
      </c>
      <c r="AK277" s="152" t="str">
        <f>IFERROR(__xludf.DUMMYFUNCTION("if(AE277="""","""",iferror(filter(Schedule!$M:$M&amp;""-""&amp;Schedule!$N:$N,Schedule!$L:$L=AE277,(Schedule!$J:$J="""")+(Schedule!$J:$J=AF277),(Schedule!$K:$K=""a"")+(Schedule!$K:$K=""""),Schedule!$M:$M&lt;&gt;""""),""""))"),"")</f>
        <v/>
      </c>
      <c r="AL277" s="152" t="str">
        <f>IFERROR(__xludf.DUMMYFUNCTION("if(AE277="""","""",iferror(filter(Schedule!$AB:$AB&amp;""-""&amp;Schedule!$AC:$AC,Schedule!$L:$L=AE277,(Schedule!$J:$J="""")+(Schedule!$J:$J=AF277),(Schedule!$K:$K=""a"")+(Schedule!$K:$K=""""),Schedule!$AB:$AB&lt;&gt;""""),""""))"),"")</f>
        <v/>
      </c>
      <c r="AM277" s="60"/>
    </row>
    <row r="278">
      <c r="A278" s="151" t="str">
        <f>C274</f>
        <v/>
      </c>
      <c r="B278" s="151" t="str">
        <f>I274</f>
        <v/>
      </c>
      <c r="C278" s="147">
        <v>3.0</v>
      </c>
      <c r="D278" s="152" t="str">
        <f>IFERROR(__xludf.DUMMYFUNCTION("if(A278="""","""",iferror(filter(Schedule!$S:$S&amp;""-""&amp;Schedule!$T:$T,Schedule!$L:$L=A278,(Schedule!$J:$J="""")+(Schedule!$J:$J=B278),(Schedule!$K:$K=""a"")+(Schedule!$K:$K=""""),Schedule!$S:$S&lt;&gt;""""),""""))"),"")</f>
        <v/>
      </c>
      <c r="E278" s="152" t="str">
        <f>IFERROR(__xludf.DUMMYFUNCTION("if(A278="""","""",iferror(filter(Schedule!$S:$S&amp;""-""&amp;Schedule!$T:$T,Schedule!$L:$L=A278,(Schedule!$J:$J="""")+(Schedule!$J:$J=B278),(Schedule!$K:$K=""b"")+(Schedule!$K:$K=""""),Schedule!$S:$S&lt;&gt;""""),""""))"),"")</f>
        <v/>
      </c>
      <c r="F278" s="152" t="str">
        <f>IFERROR(__xludf.DUMMYFUNCTION("if(A278="""","""",iferror(filter(Schedule!$Y:$Y&amp;""-""&amp;Schedule!$Z:$Z,Schedule!$L:$L=A278,(Schedule!$J:$J="""")+(Schedule!$J:$J=B278),(Schedule!$K:$K=""a"")+(Schedule!$K:$K=""""),Schedule!$Y:$Y&lt;&gt;""""),""""))"),"")</f>
        <v/>
      </c>
      <c r="G278" s="152" t="str">
        <f>IFERROR(__xludf.DUMMYFUNCTION("if(A278="""","""",iferror(filter(Schedule!$P:$P&amp;""-""&amp;Schedule!$Q:$Q,Schedule!$L:$L=A278,(Schedule!$J:$J="""")+(Schedule!$J:$J=B278),(Schedule!$K:$K=""b"")+(Schedule!$K:$K=""""),Schedule!$P:$P&lt;&gt;""""),""""))"),"")</f>
        <v/>
      </c>
      <c r="H278" s="152" t="str">
        <f>if(C274="","","X-Block")</f>
        <v/>
      </c>
      <c r="I278" s="60"/>
      <c r="J278" s="154"/>
      <c r="K278" s="151" t="str">
        <f>M274</f>
        <v/>
      </c>
      <c r="L278" s="151" t="str">
        <f>S274</f>
        <v/>
      </c>
      <c r="M278" s="147">
        <v>3.0</v>
      </c>
      <c r="N278" s="152" t="str">
        <f>IFERROR(__xludf.DUMMYFUNCTION("if(K278="""","""",iferror(filter(Schedule!$S:$S&amp;""-""&amp;Schedule!$T:$T,Schedule!$L:$L=K278,(Schedule!$J:$J="""")+(Schedule!$J:$J=L278),(Schedule!$K:$K=""a"")+(Schedule!$K:$K=""""),Schedule!$S:$S&lt;&gt;""""),""""))"),"")</f>
        <v/>
      </c>
      <c r="O278" s="152" t="str">
        <f>IFERROR(__xludf.DUMMYFUNCTION("if(K278="""","""",iferror(filter(Schedule!$S:$S&amp;""-""&amp;Schedule!$T:$T,Schedule!$L:$L=K278,(Schedule!$J:$J="""")+(Schedule!$J:$J=L278),(Schedule!$K:$K=""b"")+(Schedule!$K:$K=""""),Schedule!$S:$S&lt;&gt;""""),""""))"),"")</f>
        <v/>
      </c>
      <c r="P278" s="152" t="str">
        <f>IFERROR(__xludf.DUMMYFUNCTION("if(K278="""","""",iferror(filter(Schedule!$Y:$Y&amp;""-""&amp;Schedule!$Z:$Z,Schedule!$L:$L=K278,(Schedule!$J:$J="""")+(Schedule!$J:$J=L278),(Schedule!$K:$K=""a"")+(Schedule!$K:$K=""""),Schedule!$Y:$Y&lt;&gt;""""),""""))"),"")</f>
        <v/>
      </c>
      <c r="Q278" s="152" t="str">
        <f>IFERROR(__xludf.DUMMYFUNCTION("if(K278="""","""",iferror(filter(Schedule!$P:$P&amp;""-""&amp;Schedule!$Q:$Q,Schedule!$L:$L=K278,(Schedule!$J:$J="""")+(Schedule!$J:$J=L278),(Schedule!$K:$K=""b"")+(Schedule!$K:$K=""""),Schedule!$P:$P&lt;&gt;""""),""""))"),"")</f>
        <v/>
      </c>
      <c r="R278" s="152" t="str">
        <f>if(M274="","","X-Block")</f>
        <v/>
      </c>
      <c r="S278" s="60"/>
      <c r="T278" s="155"/>
      <c r="U278" s="155" t="str">
        <f>W274</f>
        <v/>
      </c>
      <c r="V278" s="151" t="str">
        <f>AC274</f>
        <v/>
      </c>
      <c r="W278" s="147">
        <v>3.0</v>
      </c>
      <c r="X278" s="152" t="str">
        <f>IFERROR(__xludf.DUMMYFUNCTION("if(U278="""","""",iferror(filter(Schedule!$S:$S&amp;""-""&amp;Schedule!$T:$T,Schedule!$L:$L=U278,(Schedule!$J:$J="""")+(Schedule!$J:$J=V278),(Schedule!$K:$K=""a"")+(Schedule!$K:$K=""""),Schedule!$S:$S&lt;&gt;""""),""""))"),"")</f>
        <v/>
      </c>
      <c r="Y278" s="152" t="str">
        <f>IFERROR(__xludf.DUMMYFUNCTION("if(U278="""","""",iferror(filter(Schedule!$S:$S&amp;""-""&amp;Schedule!$T:$T,Schedule!$L:$L=U278,(Schedule!$J:$J="""")+(Schedule!$J:$J=V278),(Schedule!$K:$K=""b"")+(Schedule!$K:$K=""""),Schedule!$S:$S&lt;&gt;""""),""""))"),"")</f>
        <v/>
      </c>
      <c r="Z278" s="152" t="str">
        <f>IFERROR(__xludf.DUMMYFUNCTION("if(U278="""","""",iferror(filter(Schedule!$Y:$Y&amp;""-""&amp;Schedule!$Z:$Z,Schedule!$L:$L=U278,(Schedule!$J:$J="""")+(Schedule!$J:$J=V278),(Schedule!$K:$K=""a"")+(Schedule!$K:$K=""""),Schedule!$Y:$Y&lt;&gt;""""),""""))"),"")</f>
        <v/>
      </c>
      <c r="AA278" s="152" t="str">
        <f>IFERROR(__xludf.DUMMYFUNCTION("if(U278="""","""",iferror(filter(Schedule!$P:$P&amp;""-""&amp;Schedule!$Q:$Q,Schedule!$L:$L=U278,(Schedule!$J:$J="""")+(Schedule!$J:$J=V278),(Schedule!$K:$K=""b"")+(Schedule!$K:$K=""""),Schedule!$P:$P&lt;&gt;""""),""""))"),"")</f>
        <v/>
      </c>
      <c r="AB278" s="152" t="str">
        <f>if(W274="","","X-Block")</f>
        <v/>
      </c>
      <c r="AC278" s="60"/>
      <c r="AD278" s="155"/>
      <c r="AE278" s="155" t="str">
        <f>AG274</f>
        <v/>
      </c>
      <c r="AF278" s="151" t="str">
        <f>AM274</f>
        <v/>
      </c>
      <c r="AG278" s="147">
        <v>3.0</v>
      </c>
      <c r="AH278" s="152" t="str">
        <f>IFERROR(__xludf.DUMMYFUNCTION("if(AE278="""","""",iferror(filter(Schedule!$S:$S&amp;""-""&amp;Schedule!$T:$T,Schedule!$L:$L=AE278,(Schedule!$J:$J="""")+(Schedule!$J:$J=AF278),(Schedule!$K:$K=""a"")+(Schedule!$K:$K=""""),Schedule!$S:$S&lt;&gt;""""),""""))"),"")</f>
        <v/>
      </c>
      <c r="AI278" s="152" t="str">
        <f>IFERROR(__xludf.DUMMYFUNCTION("if(AE278="""","""",iferror(filter(Schedule!$S:$S&amp;""-""&amp;Schedule!$T:$T,Schedule!$L:$L=AE278,(Schedule!$J:$J="""")+(Schedule!$J:$J=AF278),(Schedule!$K:$K=""b"")+(Schedule!$K:$K=""""),Schedule!$S:$S&lt;&gt;""""),""""))"),"")</f>
        <v/>
      </c>
      <c r="AJ278" s="152" t="str">
        <f>IFERROR(__xludf.DUMMYFUNCTION("if(AE278="""","""",iferror(filter(Schedule!$Y:$Y&amp;""-""&amp;Schedule!$Z:$Z,Schedule!$L:$L=AE278,(Schedule!$J:$J="""")+(Schedule!$J:$J=AF278),(Schedule!$K:$K=""a"")+(Schedule!$K:$K=""""),Schedule!$Y:$Y&lt;&gt;""""),""""))"),"")</f>
        <v/>
      </c>
      <c r="AK278" s="152" t="str">
        <f>IFERROR(__xludf.DUMMYFUNCTION("if(AE278="""","""",iferror(filter(Schedule!$P:$P&amp;""-""&amp;Schedule!$Q:$Q,Schedule!$L:$L=AE278,(Schedule!$J:$J="""")+(Schedule!$J:$J=AF278),(Schedule!$K:$K=""b"")+(Schedule!$K:$K=""""),Schedule!$P:$P&lt;&gt;""""),""""))"),"")</f>
        <v/>
      </c>
      <c r="AL278" s="152" t="str">
        <f>if(AG274="","","X-Block")</f>
        <v/>
      </c>
      <c r="AM278" s="60"/>
    </row>
    <row r="279">
      <c r="A279" s="151" t="str">
        <f>C274</f>
        <v/>
      </c>
      <c r="B279" s="151" t="str">
        <f>I274</f>
        <v/>
      </c>
      <c r="C279" s="147">
        <v>4.0</v>
      </c>
      <c r="D279" s="152" t="str">
        <f>IFERROR(__xludf.DUMMYFUNCTION("if(A279="""","""",iferror(filter(Schedule!$V:$V&amp;""-""&amp;Schedule!$W:$W,Schedule!$L:$L=A279,(Schedule!$J:$J="""")+(Schedule!$J:$J=B279),(Schedule!$K:$K=""a"")+(Schedule!$K:$K=""""),Schedule!$V:$V&lt;&gt;""""),""""))"),"")</f>
        <v/>
      </c>
      <c r="E279" s="152" t="str">
        <f>IFERROR(__xludf.DUMMYFUNCTION("if(A279="""","""",iferror(filter(Schedule!$M:$M&amp;""-""&amp;Schedule!$N:$N,Schedule!$L:$L=A279,(Schedule!$J:$J="""")+(Schedule!$J:$J=B279),(Schedule!$K:$K=""b"")+(Schedule!$K:$K=""""),Schedule!$M:$M&lt;&gt;""""),""""))"),"")</f>
        <v/>
      </c>
      <c r="F279" s="152" t="str">
        <f>IFERROR(__xludf.DUMMYFUNCTION("if(A279="""","""",iferror(filter(Schedule!$AB:$AB&amp;""-""&amp;Schedule!$AC:$AC,Schedule!$L:$L=A279,(Schedule!$J:$J="""")+(Schedule!$J:$J=B279),(Schedule!$K:$K=""a"")+(Schedule!$K:$K=""""),Schedule!$AB:$AB&lt;&gt;""""),""""))"),"")</f>
        <v/>
      </c>
      <c r="G279" s="152" t="str">
        <f>IFERROR(__xludf.DUMMYFUNCTION("if(A279="""","""",iferror(filter(Schedule!$S:$S&amp;""-""&amp;Schedule!$T:$T,Schedule!$L:$L=A279,(Schedule!$J:$J="""")+(Schedule!$J:$J=B279),(Schedule!$K:$K=""b"")+(Schedule!$K:$K=""""),Schedule!$S:$S&lt;&gt;""""),""""))"),"")</f>
        <v/>
      </c>
      <c r="H279" s="152" t="str">
        <f>IFERROR(__xludf.DUMMYFUNCTION("if(A279="""","""",iferror(filter(Schedule!$V:$V&amp;""-""&amp;Schedule!$W:$W,Schedule!$L:$L=A279,(Schedule!$J:$J="""")+(Schedule!$J:$J=B279),(Schedule!$K:$K=""b"")+(Schedule!$K:$K=""""),Schedule!$V:$V&lt;&gt;""""),""""))"),"")</f>
        <v/>
      </c>
      <c r="I279" s="60"/>
      <c r="J279" s="154"/>
      <c r="K279" s="151" t="str">
        <f>M274</f>
        <v/>
      </c>
      <c r="L279" s="151" t="str">
        <f>S274</f>
        <v/>
      </c>
      <c r="M279" s="147">
        <v>4.0</v>
      </c>
      <c r="N279" s="152" t="str">
        <f>IFERROR(__xludf.DUMMYFUNCTION("if(K279="""","""",iferror(filter(Schedule!$V:$V&amp;""-""&amp;Schedule!$W:$W,Schedule!$L:$L=K279,(Schedule!$J:$J="""")+(Schedule!$J:$J=L279),(Schedule!$K:$K=""a"")+(Schedule!$K:$K=""""),Schedule!$V:$V&lt;&gt;""""),""""))"),"")</f>
        <v/>
      </c>
      <c r="O279" s="152" t="str">
        <f>IFERROR(__xludf.DUMMYFUNCTION("if(K279="""","""",iferror(filter(Schedule!$M:$M&amp;""-""&amp;Schedule!$N:$N,Schedule!$L:$L=K279,(Schedule!$J:$J="""")+(Schedule!$J:$J=L279),(Schedule!$K:$K=""b"")+(Schedule!$K:$K=""""),Schedule!$M:$M&lt;&gt;""""),""""))"),"")</f>
        <v/>
      </c>
      <c r="P279" s="152" t="str">
        <f>IFERROR(__xludf.DUMMYFUNCTION("if(K279="""","""",iferror(filter(Schedule!$AB:$AB&amp;""-""&amp;Schedule!$AC:$AC,Schedule!$L:$L=K279,(Schedule!$J:$J="""")+(Schedule!$J:$J=L279),(Schedule!$K:$K=""a"")+(Schedule!$K:$K=""""),Schedule!$AB:$AB&lt;&gt;""""),""""))"),"")</f>
        <v/>
      </c>
      <c r="Q279" s="152" t="str">
        <f>IFERROR(__xludf.DUMMYFUNCTION("if(K279="""","""",iferror(filter(Schedule!$S:$S&amp;""-""&amp;Schedule!$T:$T,Schedule!$L:$L=K279,(Schedule!$J:$J="""")+(Schedule!$J:$J=L279),(Schedule!$K:$K=""b"")+(Schedule!$K:$K=""""),Schedule!$S:$S&lt;&gt;""""),""""))"),"")</f>
        <v/>
      </c>
      <c r="R279" s="152" t="str">
        <f>IFERROR(__xludf.DUMMYFUNCTION("if(K279="""","""",iferror(filter(Schedule!$V:$V&amp;""-""&amp;Schedule!$W:$W,Schedule!$L:$L=K279,(Schedule!$J:$J="""")+(Schedule!$J:$J=L279),(Schedule!$K:$K=""b"")+(Schedule!$K:$K=""""),Schedule!$V:$V&lt;&gt;""""),""""))"),"")</f>
        <v/>
      </c>
      <c r="S279" s="60"/>
      <c r="T279" s="155"/>
      <c r="U279" s="155" t="str">
        <f>W274</f>
        <v/>
      </c>
      <c r="V279" s="151" t="str">
        <f>AC274</f>
        <v/>
      </c>
      <c r="W279" s="147">
        <v>4.0</v>
      </c>
      <c r="X279" s="152" t="str">
        <f>IFERROR(__xludf.DUMMYFUNCTION("if(U279="""","""",iferror(filter(Schedule!$V:$V&amp;""-""&amp;Schedule!$W:$W,Schedule!$L:$L=U279,(Schedule!$J:$J="""")+(Schedule!$J:$J=V279),(Schedule!$K:$K=""a"")+(Schedule!$K:$K=""""),Schedule!$V:$V&lt;&gt;""""),""""))"),"")</f>
        <v/>
      </c>
      <c r="Y279" s="152" t="str">
        <f>IFERROR(__xludf.DUMMYFUNCTION("if(U279="""","""",iferror(filter(Schedule!$M:$M&amp;""-""&amp;Schedule!$N:$N,Schedule!$L:$L=U279,(Schedule!$J:$J="""")+(Schedule!$J:$J=V279),(Schedule!$K:$K=""b"")+(Schedule!$K:$K=""""),Schedule!$M:$M&lt;&gt;""""),""""))"),"")</f>
        <v/>
      </c>
      <c r="Z279" s="152" t="str">
        <f>IFERROR(__xludf.DUMMYFUNCTION("if(U279="""","""",iferror(filter(Schedule!$AB:$AB&amp;""-""&amp;Schedule!$AC:$AC,Schedule!$L:$L=U279,(Schedule!$J:$J="""")+(Schedule!$J:$J=V279),(Schedule!$K:$K=""a"")+(Schedule!$K:$K=""""),Schedule!$AB:$AB&lt;&gt;""""),""""))"),"")</f>
        <v/>
      </c>
      <c r="AA279" s="152" t="str">
        <f>IFERROR(__xludf.DUMMYFUNCTION("if(U279="""","""",iferror(filter(Schedule!$S:$S&amp;""-""&amp;Schedule!$T:$T,Schedule!$L:$L=U279,(Schedule!$J:$J="""")+(Schedule!$J:$J=V279),(Schedule!$K:$K=""b"")+(Schedule!$K:$K=""""),Schedule!$S:$S&lt;&gt;""""),""""))"),"")</f>
        <v/>
      </c>
      <c r="AB279" s="152" t="str">
        <f>IFERROR(__xludf.DUMMYFUNCTION("if(U279="""","""",iferror(filter(Schedule!$V:$V&amp;""-""&amp;Schedule!$W:$W,Schedule!$L:$L=U279,(Schedule!$J:$J="""")+(Schedule!$J:$J=V279),(Schedule!$K:$K=""b"")+(Schedule!$K:$K=""""),Schedule!$V:$V&lt;&gt;""""),""""))"),"")</f>
        <v/>
      </c>
      <c r="AC279" s="60"/>
      <c r="AD279" s="155"/>
      <c r="AE279" s="155" t="str">
        <f>AG274</f>
        <v/>
      </c>
      <c r="AF279" s="151" t="str">
        <f>AM274</f>
        <v/>
      </c>
      <c r="AG279" s="147">
        <v>4.0</v>
      </c>
      <c r="AH279" s="152" t="str">
        <f>IFERROR(__xludf.DUMMYFUNCTION("if(AE279="""","""",iferror(filter(Schedule!$V:$V&amp;""-""&amp;Schedule!$W:$W,Schedule!$L:$L=AE279,(Schedule!$J:$J="""")+(Schedule!$J:$J=AF279),(Schedule!$K:$K=""a"")+(Schedule!$K:$K=""""),Schedule!$V:$V&lt;&gt;""""),""""))"),"")</f>
        <v/>
      </c>
      <c r="AI279" s="152" t="str">
        <f>IFERROR(__xludf.DUMMYFUNCTION("if(AE279="""","""",iferror(filter(Schedule!$M:$M&amp;""-""&amp;Schedule!$N:$N,Schedule!$L:$L=AE279,(Schedule!$J:$J="""")+(Schedule!$J:$J=AF279),(Schedule!$K:$K=""b"")+(Schedule!$K:$K=""""),Schedule!$M:$M&lt;&gt;""""),""""))"),"")</f>
        <v/>
      </c>
      <c r="AJ279" s="152" t="str">
        <f>IFERROR(__xludf.DUMMYFUNCTION("if(AE279="""","""",iferror(filter(Schedule!$AB:$AB&amp;""-""&amp;Schedule!$AC:$AC,Schedule!$L:$L=AE279,(Schedule!$J:$J="""")+(Schedule!$J:$J=AF279),(Schedule!$K:$K=""a"")+(Schedule!$K:$K=""""),Schedule!$AB:$AB&lt;&gt;""""),""""))"),"")</f>
        <v/>
      </c>
      <c r="AK279" s="152" t="str">
        <f>IFERROR(__xludf.DUMMYFUNCTION("if(AE279="""","""",iferror(filter(Schedule!$S:$S&amp;""-""&amp;Schedule!$T:$T,Schedule!$L:$L=AE279,(Schedule!$J:$J="""")+(Schedule!$J:$J=AF279),(Schedule!$K:$K=""b"")+(Schedule!$K:$K=""""),Schedule!$S:$S&lt;&gt;""""),""""))"),"")</f>
        <v/>
      </c>
      <c r="AL279" s="152" t="str">
        <f>IFERROR(__xludf.DUMMYFUNCTION("if(AE279="""","""",iferror(filter(Schedule!$V:$V&amp;""-""&amp;Schedule!$W:$W,Schedule!$L:$L=AE279,(Schedule!$J:$J="""")+(Schedule!$J:$J=AF279),(Schedule!$K:$K=""b"")+(Schedule!$K:$K=""""),Schedule!$V:$V&lt;&gt;""""),""""))"),"")</f>
        <v/>
      </c>
      <c r="AM279" s="60"/>
    </row>
    <row r="280">
      <c r="A280" s="151" t="str">
        <f>C274</f>
        <v/>
      </c>
      <c r="B280" s="151" t="str">
        <f>I274</f>
        <v/>
      </c>
      <c r="C280" s="147">
        <v>5.0</v>
      </c>
      <c r="D280" s="152" t="str">
        <f>IFERROR(__xludf.DUMMYFUNCTION("if(A280="""","""",iferror(filter(Schedule!$Y:$Y&amp;""-""&amp;Schedule!$Z:$Z,Schedule!$L:$L=A280,(Schedule!$J:$J="""")+(Schedule!$J:$J=B280),(Schedule!$K:$K=""a"")+(Schedule!$K:$K=""""),Schedule!$Y:$Y&lt;&gt;""""),""""))"),"")</f>
        <v/>
      </c>
      <c r="E280" s="152" t="str">
        <f>IFERROR(__xludf.DUMMYFUNCTION("if(A280="""","""",iferror(filter(Schedule!$P:$P&amp;""-""&amp;Schedule!$Q:$Q,Schedule!$L:$L=A280,(Schedule!$J:$J="""")+(Schedule!$J:$J=B280),(Schedule!$K:$K=""b"")+(Schedule!$K:$K=""""),Schedule!$P:$P&lt;&gt;""""),""""))"),"")</f>
        <v/>
      </c>
      <c r="F280" s="152" t="str">
        <f>IFERROR(__xludf.DUMMYFUNCTION("if(A280="""","""",iferror(filter(Schedule!$V:$V&amp;""-""&amp;Schedule!$W:$W,Schedule!$L:$L=A280,(Schedule!$J:$J="""")+(Schedule!$J:$J=B280),(Schedule!$K:$K=""b"")+(Schedule!$K:$K=""""),Schedule!$V:$V&lt;&gt;""""),""""))"),"")</f>
        <v/>
      </c>
      <c r="G280" s="152" t="str">
        <f>IFERROR(__xludf.DUMMYFUNCTION("if(A280="""","""",iferror(filter(Schedule!$AB:$AB&amp;""-""&amp;Schedule!$AC:$AC,Schedule!$L:$L=A280,(Schedule!$J:$J="""")+(Schedule!$J:$J=B280),(Schedule!$K:$K=""b"")+(Schedule!$K:$K=""""),Schedule!$AB:$AB&lt;&gt;""""),""""))"),"")</f>
        <v/>
      </c>
      <c r="H280" s="152" t="str">
        <f>IFERROR(__xludf.DUMMYFUNCTION("if(A280="""","""",iferror(filter(Schedule!$M:$M&amp;""-""&amp;Schedule!$N:$N,Schedule!$L:$L=A280,(Schedule!$J:$J="""")+(Schedule!$J:$J=B280),(Schedule!$K:$K=""b"")+(Schedule!$K:$K=""""),Schedule!$M:$M&lt;&gt;""""),""""))"),"")</f>
        <v/>
      </c>
      <c r="I280" s="64"/>
      <c r="J280" s="154"/>
      <c r="K280" s="151" t="str">
        <f>M274</f>
        <v/>
      </c>
      <c r="L280" s="151" t="str">
        <f>S274</f>
        <v/>
      </c>
      <c r="M280" s="147">
        <v>5.0</v>
      </c>
      <c r="N280" s="152" t="str">
        <f>IFERROR(__xludf.DUMMYFUNCTION("if(K280="""","""",iferror(filter(Schedule!$Y:$Y&amp;""-""&amp;Schedule!$Z:$Z,Schedule!$L:$L=K280,(Schedule!$J:$J="""")+(Schedule!$J:$J=L280),(Schedule!$K:$K=""a"")+(Schedule!$K:$K=""""),Schedule!$Y:$Y&lt;&gt;""""),""""))"),"")</f>
        <v/>
      </c>
      <c r="O280" s="152" t="str">
        <f>IFERROR(__xludf.DUMMYFUNCTION("if(K280="""","""",iferror(filter(Schedule!$P:$P&amp;""-""&amp;Schedule!$Q:$Q,Schedule!$L:$L=K280,(Schedule!$J:$J="""")+(Schedule!$J:$J=L280),(Schedule!$K:$K=""b"")+(Schedule!$K:$K=""""),Schedule!$P:$P&lt;&gt;""""),""""))"),"")</f>
        <v/>
      </c>
      <c r="P280" s="152" t="str">
        <f>IFERROR(__xludf.DUMMYFUNCTION("if(K280="""","""",iferror(filter(Schedule!$V:$V&amp;""-""&amp;Schedule!$W:$W,Schedule!$L:$L=K280,(Schedule!$J:$J="""")+(Schedule!$J:$J=L280),(Schedule!$K:$K=""b"")+(Schedule!$K:$K=""""),Schedule!$V:$V&lt;&gt;""""),""""))"),"")</f>
        <v/>
      </c>
      <c r="Q280" s="152" t="str">
        <f>IFERROR(__xludf.DUMMYFUNCTION("if(K280="""","""",iferror(filter(Schedule!$AB:$AB&amp;""-""&amp;Schedule!$AC:$AC,Schedule!$L:$L=K280,(Schedule!$J:$J="""")+(Schedule!$J:$J=L280),(Schedule!$K:$K=""b"")+(Schedule!$K:$K=""""),Schedule!$AB:$AB&lt;&gt;""""),""""))"),"")</f>
        <v/>
      </c>
      <c r="R280" s="152" t="str">
        <f>IFERROR(__xludf.DUMMYFUNCTION("if(K280="""","""",iferror(filter(Schedule!$M:$M&amp;""-""&amp;Schedule!$N:$N,Schedule!$L:$L=K280,(Schedule!$J:$J="""")+(Schedule!$J:$J=L280),(Schedule!$K:$K=""b"")+(Schedule!$K:$K=""""),Schedule!$M:$M&lt;&gt;""""),""""))"),"")</f>
        <v/>
      </c>
      <c r="S280" s="64"/>
      <c r="T280" s="155"/>
      <c r="U280" s="155" t="str">
        <f>W274</f>
        <v/>
      </c>
      <c r="V280" s="151" t="str">
        <f>AC274</f>
        <v/>
      </c>
      <c r="W280" s="147">
        <v>5.0</v>
      </c>
      <c r="X280" s="152" t="str">
        <f>IFERROR(__xludf.DUMMYFUNCTION("if(U280="""","""",iferror(filter(Schedule!$Y:$Y&amp;""-""&amp;Schedule!$Z:$Z,Schedule!$L:$L=U280,(Schedule!$J:$J="""")+(Schedule!$J:$J=V280),(Schedule!$K:$K=""a"")+(Schedule!$K:$K=""""),Schedule!$Y:$Y&lt;&gt;""""),""""))"),"")</f>
        <v/>
      </c>
      <c r="Y280" s="152" t="str">
        <f>IFERROR(__xludf.DUMMYFUNCTION("if(U280="""","""",iferror(filter(Schedule!$P:$P&amp;""-""&amp;Schedule!$Q:$Q,Schedule!$L:$L=U280,(Schedule!$J:$J="""")+(Schedule!$J:$J=V280),(Schedule!$K:$K=""b"")+(Schedule!$K:$K=""""),Schedule!$P:$P&lt;&gt;""""),""""))"),"")</f>
        <v/>
      </c>
      <c r="Z280" s="152" t="str">
        <f>IFERROR(__xludf.DUMMYFUNCTION("if(U280="""","""",iferror(filter(Schedule!$V:$V&amp;""-""&amp;Schedule!$W:$W,Schedule!$L:$L=U280,(Schedule!$J:$J="""")+(Schedule!$J:$J=V280),(Schedule!$K:$K=""b"")+(Schedule!$K:$K=""""),Schedule!$V:$V&lt;&gt;""""),""""))"),"")</f>
        <v/>
      </c>
      <c r="AA280" s="152" t="str">
        <f>IFERROR(__xludf.DUMMYFUNCTION("if(U280="""","""",iferror(filter(Schedule!$AB:$AB&amp;""-""&amp;Schedule!$AC:$AC,Schedule!$L:$L=U280,(Schedule!$J:$J="""")+(Schedule!$J:$J=V280),(Schedule!$K:$K=""b"")+(Schedule!$K:$K=""""),Schedule!$AB:$AB&lt;&gt;""""),""""))"),"")</f>
        <v/>
      </c>
      <c r="AB280" s="152" t="str">
        <f>IFERROR(__xludf.DUMMYFUNCTION("if(U280="""","""",iferror(filter(Schedule!$M:$M&amp;""-""&amp;Schedule!$N:$N,Schedule!$L:$L=U280,(Schedule!$J:$J="""")+(Schedule!$J:$J=V280),(Schedule!$K:$K=""b"")+(Schedule!$K:$K=""""),Schedule!$M:$M&lt;&gt;""""),""""))"),"")</f>
        <v/>
      </c>
      <c r="AC280" s="64"/>
      <c r="AD280" s="155"/>
      <c r="AE280" s="155" t="str">
        <f>AG274</f>
        <v/>
      </c>
      <c r="AF280" s="151" t="str">
        <f>AM274</f>
        <v/>
      </c>
      <c r="AG280" s="147">
        <v>5.0</v>
      </c>
      <c r="AH280" s="152" t="str">
        <f>IFERROR(__xludf.DUMMYFUNCTION("if(AE280="""","""",iferror(filter(Schedule!$Y:$Y&amp;""-""&amp;Schedule!$Z:$Z,Schedule!$L:$L=AE280,(Schedule!$J:$J="""")+(Schedule!$J:$J=AF280),(Schedule!$K:$K=""a"")+(Schedule!$K:$K=""""),Schedule!$Y:$Y&lt;&gt;""""),""""))"),"")</f>
        <v/>
      </c>
      <c r="AI280" s="152" t="str">
        <f>IFERROR(__xludf.DUMMYFUNCTION("if(AE280="""","""",iferror(filter(Schedule!$P:$P&amp;""-""&amp;Schedule!$Q:$Q,Schedule!$L:$L=AE280,(Schedule!$J:$J="""")+(Schedule!$J:$J=AF280),(Schedule!$K:$K=""b"")+(Schedule!$K:$K=""""),Schedule!$P:$P&lt;&gt;""""),""""))"),"")</f>
        <v/>
      </c>
      <c r="AJ280" s="152" t="str">
        <f>IFERROR(__xludf.DUMMYFUNCTION("if(AE280="""","""",iferror(filter(Schedule!$V:$V&amp;""-""&amp;Schedule!$W:$W,Schedule!$L:$L=AE280,(Schedule!$J:$J="""")+(Schedule!$J:$J=AF280),(Schedule!$K:$K=""b"")+(Schedule!$K:$K=""""),Schedule!$V:$V&lt;&gt;""""),""""))"),"")</f>
        <v/>
      </c>
      <c r="AK280" s="152" t="str">
        <f>IFERROR(__xludf.DUMMYFUNCTION("if(AE280="""","""",iferror(filter(Schedule!$AB:$AB&amp;""-""&amp;Schedule!$AC:$AC,Schedule!$L:$L=AE280,(Schedule!$J:$J="""")+(Schedule!$J:$J=AF280),(Schedule!$K:$K=""b"")+(Schedule!$K:$K=""""),Schedule!$AB:$AB&lt;&gt;""""),""""))"),"")</f>
        <v/>
      </c>
      <c r="AL280" s="152" t="str">
        <f>IFERROR(__xludf.DUMMYFUNCTION("if(AE280="""","""",iferror(filter(Schedule!$M:$M&amp;""-""&amp;Schedule!$N:$N,Schedule!$L:$L=AE280,(Schedule!$J:$J="""")+(Schedule!$J:$J=AF280),(Schedule!$K:$K=""b"")+(Schedule!$K:$K=""""),Schedule!$M:$M&lt;&gt;""""),""""))"),"")</f>
        <v/>
      </c>
      <c r="AM280" s="64"/>
    </row>
    <row r="281">
      <c r="A281" s="11"/>
      <c r="B281" s="11"/>
      <c r="C281" s="156"/>
      <c r="D281" s="156"/>
      <c r="E281" s="156"/>
      <c r="F281" s="156"/>
      <c r="G281" s="156"/>
      <c r="H281" s="156"/>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sheetData>
  <mergeCells count="280">
    <mergeCell ref="C2:H2"/>
    <mergeCell ref="M2:R2"/>
    <mergeCell ref="W2:AB2"/>
    <mergeCell ref="AG2:AL2"/>
    <mergeCell ref="S4:S8"/>
    <mergeCell ref="AC4:AC8"/>
    <mergeCell ref="AM4:AM8"/>
    <mergeCell ref="C18:H18"/>
    <mergeCell ref="M18:R18"/>
    <mergeCell ref="W18:AB18"/>
    <mergeCell ref="AG18:AL18"/>
    <mergeCell ref="S12:S16"/>
    <mergeCell ref="S20:S24"/>
    <mergeCell ref="S28:S32"/>
    <mergeCell ref="M26:R26"/>
    <mergeCell ref="W26:AB26"/>
    <mergeCell ref="AG26:AL26"/>
    <mergeCell ref="I4:I8"/>
    <mergeCell ref="C10:H10"/>
    <mergeCell ref="M10:R10"/>
    <mergeCell ref="W10:AB10"/>
    <mergeCell ref="I12:I16"/>
    <mergeCell ref="AC12:AC16"/>
    <mergeCell ref="AC20:AC24"/>
    <mergeCell ref="W34:AB34"/>
    <mergeCell ref="AC36:AC40"/>
    <mergeCell ref="W42:AB42"/>
    <mergeCell ref="AC44:AC48"/>
    <mergeCell ref="W50:AB50"/>
    <mergeCell ref="AC52:AC56"/>
    <mergeCell ref="W58:AB58"/>
    <mergeCell ref="W146:AB146"/>
    <mergeCell ref="AG146:AL146"/>
    <mergeCell ref="I20:I24"/>
    <mergeCell ref="C26:H26"/>
    <mergeCell ref="I28:I32"/>
    <mergeCell ref="C34:H34"/>
    <mergeCell ref="M34:R34"/>
    <mergeCell ref="I36:I40"/>
    <mergeCell ref="S36:S40"/>
    <mergeCell ref="C42:H42"/>
    <mergeCell ref="M42:R42"/>
    <mergeCell ref="I44:I48"/>
    <mergeCell ref="S44:S48"/>
    <mergeCell ref="C50:H50"/>
    <mergeCell ref="M50:R50"/>
    <mergeCell ref="M58:R58"/>
    <mergeCell ref="I52:I56"/>
    <mergeCell ref="C58:H58"/>
    <mergeCell ref="I60:I64"/>
    <mergeCell ref="C66:H66"/>
    <mergeCell ref="I68:I72"/>
    <mergeCell ref="C74:H74"/>
    <mergeCell ref="C82:H82"/>
    <mergeCell ref="I164:I168"/>
    <mergeCell ref="I172:I176"/>
    <mergeCell ref="I180:I184"/>
    <mergeCell ref="I188:I192"/>
    <mergeCell ref="I76:I80"/>
    <mergeCell ref="I84:I88"/>
    <mergeCell ref="I92:I96"/>
    <mergeCell ref="I100:I104"/>
    <mergeCell ref="I108:I112"/>
    <mergeCell ref="I116:I120"/>
    <mergeCell ref="I124:I128"/>
    <mergeCell ref="M178:R178"/>
    <mergeCell ref="S180:S184"/>
    <mergeCell ref="M186:R186"/>
    <mergeCell ref="S188:S192"/>
    <mergeCell ref="M122:R122"/>
    <mergeCell ref="M130:R130"/>
    <mergeCell ref="M138:R138"/>
    <mergeCell ref="M146:R146"/>
    <mergeCell ref="M154:R154"/>
    <mergeCell ref="M162:R162"/>
    <mergeCell ref="M170:R170"/>
    <mergeCell ref="AG98:AL98"/>
    <mergeCell ref="AG106:AL106"/>
    <mergeCell ref="AM36:AM40"/>
    <mergeCell ref="AM44:AM48"/>
    <mergeCell ref="AM52:AM56"/>
    <mergeCell ref="AG66:AL66"/>
    <mergeCell ref="AG74:AL74"/>
    <mergeCell ref="AG82:AL82"/>
    <mergeCell ref="AG90:AL90"/>
    <mergeCell ref="S52:S56"/>
    <mergeCell ref="S60:S64"/>
    <mergeCell ref="M66:R66"/>
    <mergeCell ref="S68:S72"/>
    <mergeCell ref="M74:R74"/>
    <mergeCell ref="S76:S80"/>
    <mergeCell ref="M82:R82"/>
    <mergeCell ref="S84:S88"/>
    <mergeCell ref="M90:R90"/>
    <mergeCell ref="S92:S96"/>
    <mergeCell ref="M98:R98"/>
    <mergeCell ref="S100:S104"/>
    <mergeCell ref="M106:R106"/>
    <mergeCell ref="M114:R114"/>
    <mergeCell ref="W66:AB66"/>
    <mergeCell ref="W74:AB74"/>
    <mergeCell ref="W82:AB82"/>
    <mergeCell ref="W90:AB90"/>
    <mergeCell ref="W98:AB98"/>
    <mergeCell ref="W106:AB106"/>
    <mergeCell ref="AG114:AL114"/>
    <mergeCell ref="W114:AB114"/>
    <mergeCell ref="W122:AB122"/>
    <mergeCell ref="AG122:AL122"/>
    <mergeCell ref="W130:AB130"/>
    <mergeCell ref="AG130:AL130"/>
    <mergeCell ref="W138:AB138"/>
    <mergeCell ref="AG138:AL138"/>
    <mergeCell ref="W154:AB154"/>
    <mergeCell ref="AG154:AL154"/>
    <mergeCell ref="W162:AB162"/>
    <mergeCell ref="AG162:AL162"/>
    <mergeCell ref="W170:AB170"/>
    <mergeCell ref="AG170:AL170"/>
    <mergeCell ref="AG178:AL178"/>
    <mergeCell ref="W178:AB178"/>
    <mergeCell ref="W186:AB186"/>
    <mergeCell ref="AG186:AL186"/>
    <mergeCell ref="W194:AB194"/>
    <mergeCell ref="AG194:AL194"/>
    <mergeCell ref="W202:AB202"/>
    <mergeCell ref="AG202:AL202"/>
    <mergeCell ref="W210:AB210"/>
    <mergeCell ref="AG210:AL210"/>
    <mergeCell ref="W218:AB218"/>
    <mergeCell ref="AG218:AL218"/>
    <mergeCell ref="W226:AB226"/>
    <mergeCell ref="AG226:AL226"/>
    <mergeCell ref="AG234:AL234"/>
    <mergeCell ref="W266:AB266"/>
    <mergeCell ref="AG266:AL266"/>
    <mergeCell ref="W274:AB274"/>
    <mergeCell ref="AG274:AL274"/>
    <mergeCell ref="W234:AB234"/>
    <mergeCell ref="W242:AB242"/>
    <mergeCell ref="AG242:AL242"/>
    <mergeCell ref="W250:AB250"/>
    <mergeCell ref="AG250:AL250"/>
    <mergeCell ref="W258:AB258"/>
    <mergeCell ref="AG258:AL258"/>
    <mergeCell ref="C146:H146"/>
    <mergeCell ref="C154:H154"/>
    <mergeCell ref="C90:H90"/>
    <mergeCell ref="C98:H98"/>
    <mergeCell ref="C106:H106"/>
    <mergeCell ref="C114:H114"/>
    <mergeCell ref="C122:H122"/>
    <mergeCell ref="C130:H130"/>
    <mergeCell ref="C138:H138"/>
    <mergeCell ref="S108:S112"/>
    <mergeCell ref="S116:S120"/>
    <mergeCell ref="S124:S128"/>
    <mergeCell ref="S132:S136"/>
    <mergeCell ref="S140:S144"/>
    <mergeCell ref="S148:S152"/>
    <mergeCell ref="S156:S160"/>
    <mergeCell ref="M234:R234"/>
    <mergeCell ref="M242:R242"/>
    <mergeCell ref="M250:R250"/>
    <mergeCell ref="M258:R258"/>
    <mergeCell ref="M266:R266"/>
    <mergeCell ref="M274:R274"/>
    <mergeCell ref="S164:S168"/>
    <mergeCell ref="S172:S176"/>
    <mergeCell ref="M194:R194"/>
    <mergeCell ref="M202:R202"/>
    <mergeCell ref="M210:R210"/>
    <mergeCell ref="M218:R218"/>
    <mergeCell ref="M226:R226"/>
    <mergeCell ref="S252:S256"/>
    <mergeCell ref="S260:S264"/>
    <mergeCell ref="S268:S272"/>
    <mergeCell ref="S276:S280"/>
    <mergeCell ref="S196:S200"/>
    <mergeCell ref="S204:S208"/>
    <mergeCell ref="S212:S216"/>
    <mergeCell ref="S220:S224"/>
    <mergeCell ref="S228:S232"/>
    <mergeCell ref="S236:S240"/>
    <mergeCell ref="S244:S248"/>
    <mergeCell ref="I132:I136"/>
    <mergeCell ref="I140:I144"/>
    <mergeCell ref="I148:I152"/>
    <mergeCell ref="I156:I160"/>
    <mergeCell ref="C162:H162"/>
    <mergeCell ref="C170:H170"/>
    <mergeCell ref="C178:H178"/>
    <mergeCell ref="C226:H226"/>
    <mergeCell ref="C234:H234"/>
    <mergeCell ref="C242:H242"/>
    <mergeCell ref="C250:H250"/>
    <mergeCell ref="C258:H258"/>
    <mergeCell ref="C266:H266"/>
    <mergeCell ref="C274:H274"/>
    <mergeCell ref="C186:H186"/>
    <mergeCell ref="C194:H194"/>
    <mergeCell ref="I196:I200"/>
    <mergeCell ref="C202:H202"/>
    <mergeCell ref="I204:I208"/>
    <mergeCell ref="C210:H210"/>
    <mergeCell ref="C218:H218"/>
    <mergeCell ref="I268:I272"/>
    <mergeCell ref="I276:I280"/>
    <mergeCell ref="I212:I216"/>
    <mergeCell ref="I220:I224"/>
    <mergeCell ref="I228:I232"/>
    <mergeCell ref="I236:I240"/>
    <mergeCell ref="I244:I248"/>
    <mergeCell ref="I252:I256"/>
    <mergeCell ref="I260:I264"/>
    <mergeCell ref="AC244:AC248"/>
    <mergeCell ref="AC252:AC256"/>
    <mergeCell ref="AC260:AC264"/>
    <mergeCell ref="AC268:AC272"/>
    <mergeCell ref="AC276:AC280"/>
    <mergeCell ref="AC188:AC192"/>
    <mergeCell ref="AC196:AC200"/>
    <mergeCell ref="AC204:AC208"/>
    <mergeCell ref="AC212:AC216"/>
    <mergeCell ref="AC220:AC224"/>
    <mergeCell ref="AC228:AC232"/>
    <mergeCell ref="AC236:AC240"/>
    <mergeCell ref="AG10:AL10"/>
    <mergeCell ref="AM12:AM16"/>
    <mergeCell ref="AM20:AM24"/>
    <mergeCell ref="AC28:AC32"/>
    <mergeCell ref="AM28:AM32"/>
    <mergeCell ref="AG34:AL34"/>
    <mergeCell ref="AG42:AL42"/>
    <mergeCell ref="AG50:AL50"/>
    <mergeCell ref="AG58:AL58"/>
    <mergeCell ref="AC60:AC64"/>
    <mergeCell ref="AM60:AM64"/>
    <mergeCell ref="AC68:AC72"/>
    <mergeCell ref="AM68:AM72"/>
    <mergeCell ref="AM76:AM80"/>
    <mergeCell ref="AC76:AC80"/>
    <mergeCell ref="AC84:AC88"/>
    <mergeCell ref="AC92:AC96"/>
    <mergeCell ref="AC100:AC104"/>
    <mergeCell ref="AC108:AC112"/>
    <mergeCell ref="AC116:AC120"/>
    <mergeCell ref="AC124:AC128"/>
    <mergeCell ref="AM84:AM88"/>
    <mergeCell ref="AM92:AM96"/>
    <mergeCell ref="AM100:AM104"/>
    <mergeCell ref="AM108:AM112"/>
    <mergeCell ref="AM116:AM120"/>
    <mergeCell ref="AM124:AM128"/>
    <mergeCell ref="AM132:AM136"/>
    <mergeCell ref="AC132:AC136"/>
    <mergeCell ref="AC140:AC144"/>
    <mergeCell ref="AC148:AC152"/>
    <mergeCell ref="AC156:AC160"/>
    <mergeCell ref="AC164:AC168"/>
    <mergeCell ref="AC172:AC176"/>
    <mergeCell ref="AC180:AC184"/>
    <mergeCell ref="AM140:AM144"/>
    <mergeCell ref="AM148:AM152"/>
    <mergeCell ref="AM156:AM160"/>
    <mergeCell ref="AM164:AM168"/>
    <mergeCell ref="AM172:AM176"/>
    <mergeCell ref="AM180:AM184"/>
    <mergeCell ref="AM188:AM192"/>
    <mergeCell ref="AM252:AM256"/>
    <mergeCell ref="AM260:AM264"/>
    <mergeCell ref="AM268:AM272"/>
    <mergeCell ref="AM276:AM280"/>
    <mergeCell ref="AM196:AM200"/>
    <mergeCell ref="AM204:AM208"/>
    <mergeCell ref="AM212:AM216"/>
    <mergeCell ref="AM220:AM224"/>
    <mergeCell ref="AM228:AM232"/>
    <mergeCell ref="AM236:AM240"/>
    <mergeCell ref="AM244:AM248"/>
  </mergeCells>
  <conditionalFormatting sqref="D4 N4 X4 AH4 G5 Q5 AA5 AK5 E7 O7 Y7 AI7 H8 R8 AB8 AL8 D12 N12 X12 AH12 G13 Q13 AA13 AK13 E15 O15 Y15 AI15 H16 R16 AB16 AL16 D20 N20 X20 AH20 G21 Q21 AA21 AK21 E23 O23 Y23 AI23 H24 R24 AB24 AL24 D28 N28 X28 AH28 G29 Q29 AA29 AK29 E31 O31 Y31 AI31 H32 R32 AB32 AL32 D36 N36 X36 AH36 G37 Q37 AA37 AK37 E39 O39 Y39 AI39 H40 R40 AB40 AL40 D44 N44 X44 AH44 G45 Q45 AA45 AK45 E47 O47 Y47 AI47 H48 R48 AB48 AL48 D52 N52 X52 AH52 G53 Q53 AA53 AK53 E55 O55 Y55 AI55 H56 R56 AB56 AL56 D60 N60 X60 AH60 G61 Q61 AA61 AK61 E63 O63 Y63 AI63 H64 R64 AB64 AL64 D68 N68 X68 AH68 G69 Q69 AA69 AK69 E71 O71 Y71 AI71 H72 R72 AB72 AL72 D76 N76 X76 AH76 G77 Q77 AA77 AK77 E79 O79 Y79 AI79 H80 R80 AB80 AL80 D84 N84 X84 AH84 G85 Q85 AA85 AK85 E87 O87 Y87 AI87 H88 R88 AB88 AL88 D92 N92 X92 AH92 G93 Q93 AA93 AK93 E95 O95 Y95 AI95 H96 R96 AB96 AL96 D100 N100 X100 AH100 G101 Q101 AA101 AK101 E103 O103 Y103 AI103 H104 R104 AB104 AL104 D108 N108 X108 AH108 G109 Q109 AA109 AK109 E111 O111 Y111 AI111 H112 R112 AB112 AL112 D116 N116 X116 AH116 G117 Q117 AA117 AK117 E119 O119 Y119 AI119 H120 R120 AB120 AL120 D124 N124 X124 AH124 G125 Q125 AA125 AK125 E127 O127 Y127 AI127 H128 R128 AB128 AL128 D132 N132 X132 AH132 G133 Q133 AA133 AK133 E135 O135 Y135 AI135 H136 R136 AB136 AL136 D140 N140 X140 AH140 G141 Q141 AA141 AK141 E143 O143 Y143 AI143 H144 R144 AB144 AL144 D148 N148 X148 AH148 G149 Q149 AA149 AK149 E151 O151 Y151 AI151 H152 R152 AB152 AL152 D156 N156 X156 AH156 G157 Q157 AA157 AK157 E159 O159 Y159 AI159 H160 R160 AB160 AL160 D164 N164 X164 AH164 G165 Q165 AA165 AK165 E167 O167 Y167 AI167 H168 R168 AB168 AL168 D172 N172 X172 AH172 G173 Q173 AA173 AK173 E175 O175 Y175 AI175 H176 R176 AB176 AL176 D180 N180 X180 AH180 G181 Q181 AA181 AK181 E183 O183 Y183 AI183 H184 R184 AB184 AL184 D188 N188 X188 AH188 G189 Q189 AA189 AK189 E191 O191 Y191 AI191 H192 R192 AB192 AL192 D196 N196 X196 AH196 G197 Q197 AA197 AK197 E199 O199 Y199 AI199 H200 R200 AB200 AL200 D204 N204 X204 AH204 G205 Q205 AA205 AK205 E207 O207 Y207 AI207 H208 R208 AB208 AL208 D212 N212 X212 AH212 G213 Q213 AA213 AK213 E215 O215 Y215 AI215 H216 R216 AB216 AL216 D220 N220 X220 AH220 G221 Q221 AA221 AK221 E223 O223 Y223 AI223 H224 R224 AB224 AL224 D228 N228 X228 AH228 G229 Q229 AA229 AK229 E231 O231 Y231 AI231 H232 R232 AB232 AL232 D236 N236 X236 AH236 G237 Q237 AA237 AK237 E239 O239 Y239 AI239 H240 R240 AB240 AL240 D244 N244 X244 AH244 G245 Q245 AA245 AK245 E247 O247 Y247 AI247 H248 R248 AB248 AL248 D252 N252 X252 AH252 G253 Q253 AA253 AK253 E255 O255 Y255 AI255 H256 R256 AB256 AL256 D260 N260 X260 AH260 G261 Q261 AA261 AK261 E263 O263 Y263 AI263 H264 R264 AB264 AL264 D268 N268 X268 AH268 G269 Q269 AA269 AK269 E271 O271 Y271 AI271 H272 R272 AB272 AL272 D276 N276 X276 AH276 G277 Q277 AA277 AK277 E279 O279 Y279 AI279 H280 R280 AB280 AL280">
    <cfRule type="notContainsBlanks" dxfId="5" priority="1">
      <formula>LEN(TRIM(D4))&gt;0</formula>
    </cfRule>
  </conditionalFormatting>
  <conditionalFormatting sqref="E4 O4 Y4 AI4 H5 R5 AB5 AL5 F7 P7 Z7 AJ7 G8 Q8 AA8 AK8 E12 O12 Y12 AI12 H13 R13 AB13 AL13 F15 P15 Z15 AJ15 G16 Q16 AA16 AK16 E20 O20 Y20 AI20 H21 R21 AB21 AL21 F23 P23 Z23 AJ23 G24 Q24 AA24 AK24 E28 O28 Y28 AI28 H29 R29 AB29 AL29 F31 P31 Z31 AJ31 G32 Q32 AA32 AK32 E36 O36 Y36 AI36 H37 R37 AB37 AL37 F39 P39 Z39 AJ39 G40 Q40 AA40 AK40 E44 O44 Y44 AI44 H45 R45 AB45 AL45 F47 P47 Z47 AJ47 G48 Q48 AA48 AK48 E52 O52 Y52 AI52 H53 R53 AB53 AL53 F55 P55 Z55 AJ55 G56 Q56 AA56 AK56 E60 O60 Y60 AI60 H61 R61 AB61 AL61 F63 P63 Z63 AJ63 G64 Q64 AA64 AK64 E68 O68 Y68 AI68 H69 R69 AB69 AL69 F71 P71 Z71 AJ71 G72 Q72 AA72 AK72 E76 O76 Y76 AI76 H77 R77 AB77 AL77 F79 P79 Z79 AJ79 G80 Q80 AA80 AK80 E84 O84 Y84 AI84 H85 R85 AB85 AL85 F87 P87 Z87 AJ87 G88 Q88 AA88 AK88 E92 O92 Y92 AI92 H93 R93 AB93 AL93 F95 P95 Z95 AJ95 G96 Q96 AA96 AK96 E100 O100 Y100 AI100 H101 R101 AB101 AL101 F103 P103 Z103 AJ103 G104 Q104 AA104 AK104 E108 O108 Y108 AI108 H109 R109 AB109 AL109 F111 P111 Z111 AJ111 G112 Q112 AA112 AK112 E116 O116 Y116 AI116 H117 R117 AB117 AL117 F119 P119 Z119 AJ119 G120 Q120 AA120 AK120 E124 O124 Y124 AI124 H125 R125 AB125 AL125 F127 P127 Z127 AJ127 G128 Q128 AA128 AK128 E132 O132 Y132 AI132 H133 R133 AB133 AL133 F135 P135 Z135 AJ135 G136 Q136 AA136 AK136 E140 O140 Y140 AI140 H141 R141 AB141 AL141 F143 P143 Z143 AJ143 G144 Q144 AA144 AK144 E148 O148 Y148 AI148 H149 R149 AB149 AL149 F151 P151 Z151 AJ151 G152 Q152 AA152 AK152 E156 O156 Y156 AI156 H157 R157 AB157 AL157 F159 P159 Z159 AJ159 G160 Q160 AA160 AK160 E164 O164 Y164 AI164 H165 R165 AB165 AL165 F167 P167 Z167 AJ167 G168 Q168 AA168 AK168 E172 O172 Y172 AI172 H173 R173 AB173 AL173 F175 P175 Z175 AJ175 G176 Q176 AA176 AK176 E180 O180 Y180 AI180 H181 R181 AB181 AL181 F183 P183 Z183 AJ183 G184 Q184 AA184 AK184 E188 O188 Y188 AI188 H189 R189 AB189 AL189 F191 P191 Z191 AJ191 G192 Q192 AA192 AK192 E196 O196 Y196 AI196 H197 R197 AB197 AL197 F199 P199 Z199 AJ199 G200 Q200 AA200 AK200 E204 O204 Y204 AI204 H205 R205 AB205 AL205 F207 P207 Z207 AJ207 G208 Q208 AA208 AK208 E212 O212 Y212 AI212 H213 R213 AB213 AL213 F215 P215 Z215 AJ215 G216 Q216 AA216 AK216 E220 O220 Y220 AI220 H221 R221 AB221 AL221 F223 P223 Z223 AJ223 G224 Q224 AA224 AK224 E228 O228 Y228 AI228 H229 R229 AB229 AL229 F231 P231 Z231 AJ231 G232 Q232 AA232 AK232 E236 O236 Y236 AI236 H237 R237 AB237 AL237 F239 P239 Z239 AJ239 G240 Q240 AA240 AK240 E244 O244 Y244 AI244 H245 R245 AB245 AL245 F247 P247 Z247 AJ247 G248 Q248 AA248 AK248 E252 O252 Y252 AI252 H253 R253 AB253 AL253 F255 P255 Z255 AJ255 G256 Q256 AA256 AK256 E260 O260 Y260 AI260 H261 R261 AB261 AL261 F263 P263 Z263 AJ263 G264 Q264 AA264 AK264 E268 O268 Y268 AI268 H269 R269 AB269 AL269 F271 P271 Z271 AJ271 G272 Q272 AA272 AK272 E276 O276 Y276 AI276 H277 R277 AB277 AL277 F279 P279 Z279 AJ279 G280 Q280 AA280 AK280">
    <cfRule type="notContainsBlanks" dxfId="6" priority="2">
      <formula>LEN(TRIM(E4))&gt;0</formula>
    </cfRule>
  </conditionalFormatting>
  <conditionalFormatting sqref="F4 P4 Z4 AJ4 D6:E6 N6:O6 X6:Y6 AH6:AI6 G7 Q7 AA7 AK7 F12 P12 Z12 AJ12 D14:E14 N14:O14 X14:Y14 AH14:AI14 G15 Q15 AA15 AK15 F20 P20 Z20 AJ20 D22:E22 N22:O22 X22:Y22 AH22:AI22 G23 Q23 AA23 AK23 F28 P28 Z28 AJ28 D30:E30 N30:O30 X30:Y30 AH30:AI30 G31 Q31 AA31 AK31 F36 P36 Z36 AJ36 D38:E38 N38:O38 X38:Y38 AH38:AI38 G39 Q39 AA39 AK39 F44 P44 Z44 AJ44 D46:E46 N46:O46 X46:Y46 AH46:AI46 G47 Q47 AA47 AK47 F52 P52 Z52 AJ52 D54:E54 N54:O54 X54:Y54 AH54:AI54 G55 Q55 AA55 AK55 F60 P60 Z60 AJ60 D62:E62 N62:O62 X62:Y62 AH62:AI62 G63 Q63 AA63 AK63 F68 P68 Z68 AJ68 D70:E70 N70:O70 X70:Y70 AH70:AI70 G71 Q71 AA71 AK71 F76 P76 Z76 AJ76 D78:E78 N78:O78 X78:Y78 AH78:AI78 G79 Q79 AA79 AK79 F84 P84 Z84 AJ84 D86:E86 N86:O86 X86:Y86 AH86:AI86 G87 Q87 AA87 AK87 F92 P92 Z92 AJ92 D94:E94 N94:O94 X94:Y94 AH94:AI94 G95 Q95 AA95 AK95 F100 P100 Z100 AJ100 D102:E102 N102:O102 X102:Y102 AH102:AI102 G103 Q103 AA103 AK103 F108 P108 Z108 AJ108 D110:E110 N110:O110 X110:Y110 AH110:AI110 G111 Q111 AA111 AK111 F116 P116 Z116 AJ116 D118:E118 N118:O118 X118:Y118 AH118:AI118 G119 Q119 AA119 AK119 F124 P124 Z124 AJ124 D126:E126 N126:O126 X126:Y126 AH126:AI126 G127 Q127 AA127 AK127 F132 P132 Z132 AJ132 D134:E134 N134:O134 X134:Y134 AH134:AI134 G135 Q135 AA135 AK135 F140 P140 Z140 AJ140 D142:E142 N142:O142 X142:Y142 AH142:AI142 G143 Q143 AA143 AK143 F148 P148 Z148 AJ148 D150:E150 N150:O150 X150:Y150 AH150:AI150 G151 Q151 AA151 AK151 F156 P156 Z156 AJ156 D158:E158 N158:O158 X158:Y158 AH158:AI158 G159 Q159 AA159 AK159 F164 P164 Z164 AJ164 D166:E166 N166:O166 X166:Y166 AH166:AI166 G167 Q167 AA167 AK167 F172 P172 Z172 AJ172 D174:E174 N174:O174 X174:Y174 AH174:AI174 G175 Q175 AA175 AK175 F180 P180 Z180 AJ180 D182:E182 N182:O182 X182:Y182 AH182:AI182 G183 Q183 AA183 AK183 F188 P188 Z188 AJ188 D190:E190 N190:O190 X190:Y190 AH190:AI190 G191 Q191 AA191 AK191 F196 P196 Z196 AJ196 D198:E198 N198:O198 X198:Y198 AH198:AI198 G199 Q199 AA199 AK199 F204 P204 Z204 AJ204 D206:E206 N206:O206 X206:Y206 AH206:AI206 G207 Q207 AA207 AK207 F212 P212 Z212 AJ212 D214:E214 N214:O214 X214:Y214 AH214:AI214 G215 Q215 AA215 AK215 F220 P220 Z220 AJ220 D222:E222 N222:O222 X222:Y222 AH222:AI222 G223 Q223 AA223 AK223 F228 P228 Z228 AJ228 D230:E230 N230:O230 X230:Y230 AH230:AI230 G231 Q231 AA231 AK231 F236 P236 Z236 AJ236 D238:E238 N238:O238 X238:Y238 AH238:AI238 G239 Q239 AA239 AK239 F244 P244 Z244 AJ244 D246:E246 N246:O246 X246:Y246 AH246:AI246 G247 Q247 AA247 AK247 F252 P252 Z252 AJ252 D254:E254 N254:O254 X254:Y254 AH254:AI254 G255 Q255 AA255 AK255 F260 P260 Z260 AJ260 D262:E262 N262:O262 X262:Y262 AH262:AI262 G263 Q263 AA263 AK263 F268 P268 Z268 AJ268 D270:E270 N270:O270 X270:Y270 AH270:AI270 G271 Q271 AA271 AK271 F276 P276 Z276 AJ276 D278:E278 N278:O278 X278:Y278 AH278:AI278 G279 Q279 AA279 AK279">
    <cfRule type="notContainsBlanks" dxfId="7" priority="3">
      <formula>LEN(TRIM(F4))&gt;0</formula>
    </cfRule>
  </conditionalFormatting>
  <conditionalFormatting sqref="D5 F5 N5 P5 X5 Z5 AH5 AJ5 G6 Q6 AA6 AK6 E8 O8 Y8 AI8 D13 F13 N13 P13 X13 Z13 AH13 AJ13 G14 Q14 AA14 AK14 E16 O16 Y16 AI16 D21 F21 N21 P21 X21 Z21 AH21 AJ21 G22 Q22 AA22 AK22 E24 O24 Y24 AI24 D29 F29 N29 P29 X29 Z29 AH29 AJ29 G30 Q30 AA30 AK30 E32 O32 Y32 AI32 D37 F37 N37 P37 X37 Z37 AH37 AJ37 G38 Q38 AA38 AK38 E40 O40 Y40 AI40 D45 F45 N45 P45 X45 Z45 AH45 AJ45 G46 Q46 AA46 AK46 E48 O48 Y48 AI48 D53 F53 N53 P53 X53 Z53 AH53 AJ53 G54 Q54 AA54 AK54 E56 O56 Y56 AI56 D61 F61 N61 P61 X61 Z61 AH61 AJ61 G62 Q62 AA62 AK62 E64 O64 Y64 AI64 D69 F69 N69 P69 X69 Z69 AH69 AJ69 G70 Q70 AA70 AK70 E72 O72 Y72 AI72 D77 F77 N77 P77 X77 Z77 AH77 AJ77 G78 Q78 AA78 AK78 E80 O80 Y80 AI80 D85 F85 N85 P85 X85 Z85 AH85 AJ85 G86 Q86 AA86 AK86 E88 O88 Y88 AI88 D93 F93 N93 P93 X93 Z93 AH93 AJ93 G94 Q94 AA94 AK94 E96 O96 Y96 AI96 D101 F101 N101 P101 X101 Z101 AH101 AJ101 G102 Q102 AA102 AK102 E104 O104 Y104 AI104 D109 F109 N109 P109 X109 Z109 AH109 AJ109 G110 Q110 AA110 AK110 E112 O112 Y112 AI112 D117 F117 N117 P117 X117 Z117 AH117 AJ117 G118 Q118 AA118 AK118 E120 O120 Y120 AI120 D125 F125 N125 P125 X125 Z125 AH125 AJ125 G126 Q126 AA126 AK126 E128 O128 Y128 AI128 D133 F133 N133 P133 X133 Z133 AH133 AJ133 G134 Q134 AA134 AK134 E136 O136 Y136 AI136 D141 F141 N141 P141 X141 Z141 AH141 AJ141 G142 Q142 AA142 AK142 E144 O144 Y144 AI144 D149 F149 N149 P149 X149 Z149 AH149 AJ149 G150 Q150 AA150 AK150 E152 O152 Y152 AI152 D157 F157 N157 P157 X157 Z157 AH157 AJ157 G158 Q158 AA158 AK158 E160 O160 Y160 AI160 D165 F165 N165 P165 X165 Z165 AH165 AJ165 G166 Q166 AA166 AK166 E168 O168 Y168 AI168 D173 F173 N173 P173 X173 Z173 AH173 AJ173 G174 Q174 AA174 AK174 E176 O176 Y176 AI176 D181 F181 N181 P181 X181 Z181 AH181 AJ181 G182 Q182 AA182 AK182 E184 O184 Y184 AI184 D189 F189 N189 P189 X189 Z189 AH189 AJ189 G190 Q190 AA190 AK190 E192 O192 Y192 AI192 D197 F197 N197 P197 X197 Z197 AH197 AJ197 G198 Q198 AA198 AK198 E200 O200 Y200 AI200 D205 F205 N205 P205 X205 Z205 AH205 AJ205 G206 Q206 AA206 AK206 E208 O208 Y208 AI208 D213 F213 N213 P213 X213 Z213 AH213 AJ213 G214 Q214 AA214 AK214 E216 O216 Y216 AI216 D221 F221 N221 P221 X221 Z221 AH221 AJ221 G222 Q222 AA222 AK222 E224 O224 Y224 AI224 D229 F229 N229 P229 X229 Z229 AH229 AJ229 G230 Q230 AA230 AK230 E232 O232 Y232 AI232 D237 F237 N237 P237 X237 Z237 AH237 AJ237 G238 Q238 AA238 AK238 E240 O240 Y240 AI240 D245 F245 N245 P245 X245 Z245 AH245 AJ245 G246 Q246 AA246 AK246 E248 O248 Y248 AI248 D253 F253 N253 P253 X253 Z253 AH253 AJ253 G254 Q254 AA254 AK254 E256 O256 Y256 AI256 D261 F261 N261 P261 X261 Z261 AH261 AJ261 G262 Q262 AA262 AK262 E264 O264 Y264 AI264 D269 F269 N269 P269 X269 Z269 AH269 AJ269 G270 Q270 AA270 AK270 E272 O272 Y272 AI272 D277 F277 N277 P277 X277 Z277 AH277 AJ277 G278 Q278 AA278 AK278 E280 O280 Y280 AI280">
    <cfRule type="notContainsBlanks" dxfId="8" priority="4">
      <formula>LEN(TRIM(D5))&gt;0</formula>
    </cfRule>
  </conditionalFormatting>
  <conditionalFormatting sqref="H4 R4 AB4 AL4 E5 O5 Y5 AI5 F6 P6 Z6 AJ6 D8 N8 X8 AH8 H12 R12 AB12 AL12 E13 O13 Y13 AI13 F14 P14 Z14 AJ14 D16 N16 X16 AH16 H20 R20 AB20 AL20 E21 O21 Y21 AI21 F22 P22 Z22 AJ22 D24 N24 X24 AH24 H28 R28 AB28 AL28 E29 O29 Y29 AI29 F30 P30 Z30 AJ30 D32 N32 X32 AH32 H36 R36 AB36 AL36 E37 O37 Y37 AI37 F38 P38 Z38 AJ38 D40 N40 X40 AH40 H44 R44 AB44 AL44 E45 O45 Y45 AI45 F46 P46 Z46 AJ46 D48 N48 X48 AH48 H52 R52 AB52 AL52 E53 O53 Y53 AI53 F54 P54 Z54 AJ54 D56 N56 X56 AH56 H60 R60 AB60 AL60 E61 O61 Y61 AI61 F62 P62 Z62 AJ62 D64 N64 X64 AH64 H68 R68 AB68 AL68 E69 O69 Y69 AI69 F70 P70 Z70 AJ70 D72 N72 X72 AH72 H76 R76 AB76 AL76 E77 O77 Y77 AI77 F78 P78 Z78 AJ78 D80 N80 X80 AH80 H84 R84 AB84 AL84 E85 O85 Y85 AI85 F86 P86 Z86 AJ86 D88 N88 X88 AH88 H92 R92 AB92 AL92 E93 O93 Y93 AI93 F94 P94 Z94 AJ94 D96 N96 X96 AH96 H100 R100 AB100 AL100 E101 O101 Y101 AI101 F102 P102 Z102 AJ102 D104 N104 X104 AH104 H108 R108 AB108 AL108 E109 O109 Y109 AI109 F110 P110 Z110 AJ110 D112 N112 X112 AH112 H116 R116 AB116 AL116 E117 O117 Y117 AI117 F118 P118 Z118 AJ118 D120 N120 X120 AH120 H124 R124 AB124 AL124 E125 O125 Y125 AI125 F126 P126 Z126 AJ126 D128 N128 X128 AH128 H132 R132 AB132 AL132 E133 O133 Y133 AI133 F134 P134 Z134 AJ134 D136 N136 X136 AH136 H140 R140 AB140 AL140 E141 O141 Y141 AI141 F142 P142 Z142 AJ142 D144 N144 X144 AH144 H148 R148 AB148 AL148 E149 O149 Y149 AI149 F150 P150 Z150 AJ150 D152 N152 X152 AH152 H156 R156 AB156 AL156 E157 O157 Y157 AI157 F158 P158 Z158 AJ158 D160 N160 X160 AH160 H164 R164 AB164 AL164 E165 O165 Y165 AI165 F166 P166 Z166 AJ166 D168 N168 X168 AH168 H172 R172 AB172 AL172 E173 O173 Y173 AI173 F174 P174 Z174 AJ174 D176 N176 X176 AH176 H180 R180 AB180 AL180 E181 O181 Y181 AI181 F182 P182 Z182 AJ182 D184 N184 X184 AH184 H188 R188 AB188 AL188 E189 O189 Y189 AI189 F190 P190 Z190 AJ190 D192 N192 X192 AH192 H196 R196 AB196 AL196 E197 O197 Y197 AI197 F198 P198 Z198 AJ198 D200 N200 X200 AH200 H204 R204 AB204 AL204 E205 O205 Y205 AI205 F206 P206 Z206 AJ206 D208 N208 X208 AH208 H212 R212 AB212 AL212 E213 O213 Y213 AI213 F214 P214 Z214 AJ214 D216 N216 X216 AH216 H220 R220 AB220 AL220 E221 O221 Y221 AI221 F222 P222 Z222 AJ222 D224 N224 X224 AH224 H228 R228 AB228 AL228 E229 O229 Y229 AI229 F230 P230 Z230 AJ230 D232 N232 X232 AH232 H236 R236 AB236 AL236 E237 O237 Y237 AI237 F238 P238 Z238 AJ238 D240 N240 X240 AH240 H244 R244 AB244 AL244 E245 O245 Y245 AI245 F246 P246 Z246 AJ246 D248 N248 X248 AH248 H252 R252 AB252 AL252 E253 O253 Y253 AI253 F254 P254 Z254 AJ254 D256 N256 X256 AH256 H260 R260 AB260 AL260 E261 O261 Y261 AI261 F262 P262 Z262 AJ262 D264 N264 X264 AH264 H268 R268 AB268 AL268 E269 O269 Y269 AI269 F270 P270 Z270 AJ270 D272 N272 X272 AH272 H276 R276 AB276 AL276 E277 O277 Y277 AI277 F278 P278 Z278 AJ278 D280 N280 X280 AH280">
    <cfRule type="notContainsBlanks" dxfId="9" priority="5">
      <formula>LEN(TRIM(H4))&gt;0</formula>
    </cfRule>
  </conditionalFormatting>
  <conditionalFormatting sqref="H6 R6 AB6 AL6 H14 R14 AB14 AL14 H22 R22 AB22 AL22 H30 R30 AB30 AL30 H38 R38 AB38 AL38 H46 R46 AB46 AL46 H54 R54 AB54 AL54 H62 R62 AB62 AL62 H70 R70 AB70 AL70 H78 R78 AB78 AL78 H86 R86 AB86 AL86 H94 R94 AB94 AL94 H102 R102 AB102 AL102 H110 R110 AB110 AL110 H118 R118 AB118 AL118 H126 R126 AB126 AL126 H134 R134 AB134 AL134 H142 R142 AB142 AL142 H150 R150 AB150 AL150 H158 R158 AB158 AL158 H166 R166 AB166 AL166 H174 R174 AB174 AL174 H182 R182 AB182 AL182 H190 R190 AB190 AL190 H198 R198 AB198 AL198 H206 R206 AB206 AL206 H214 R214 AB214 AL214 H222 R222 AB222 AL222 H230 R230 AB230 AL230 H238 R238 AB238 AL238 H246 R246 AB246 AL246 H254 R254 AB254 AL254 H262 R262 AB262 AL262 H270 R270 AB270 AL270 H278 R278 AB278 AL278">
    <cfRule type="containsBlanks" dxfId="10" priority="6">
      <formula>LEN(TRIM(H6))=0</formula>
    </cfRule>
  </conditionalFormatting>
  <conditionalFormatting sqref="H6 R6 AB6 AL6 H14 R14 AB14 AL14 H22 R22 AB22 AL22 H30 R30 AB30 AL30 H38 R38 AB38 AL38 H46 R46 AB46 AL46 H54 R54 AB54 AL54 H62 R62 AB62 AL62 H70 R70 AB70 AL70 H78 R78 AB78 AL78 H86 R86 AB86 AL86 H94 R94 AB94 AL94 H102 R102 AB102 AL102 H110 R110 AB110 AL110 H118 R118 AB118 AL118 H126 R126 AB126 AL126 H134 R134 AB134 AL134 H142 R142 AB142 AL142 H150 R150 AB150 AL150 H158 R158 AB158 AL158 H166 R166 AB166 AL166 H174 R174 AB174 AL174 H182 R182 AB182 AL182 H190 R190 AB190 AL190 H198 R198 AB198 AL198 H206 R206 AB206 AL206 H214 R214 AB214 AL214 H222 R222 AB222 AL222 H230 R230 AB230 AL230 H238 R238 AB238 AL238 H246 R246 AB246 AL246 H254 R254 AB254 AL254 H262 R262 AB262 AL262 H270 R270 AB270 AL270 H278 R278 AB278 AL278">
    <cfRule type="notContainsBlanks" dxfId="3" priority="7">
      <formula>LEN(TRIM(H6))&gt;0</formula>
    </cfRule>
  </conditionalFormatting>
  <printOptions gridLines="1" horizontalCentered="1"/>
  <pageMargins bottom="0.75" footer="0.0" header="0.0" left="0.7" right="0.7" top="0.75"/>
  <pageSetup fitToHeight="0" cellComments="atEnd" orientation="landscape" pageOrder="overThenDown"/>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hidden="1" min="2" max="2" width="22.38"/>
    <col hidden="1" min="3" max="3" width="12.63"/>
    <col customWidth="1" min="5" max="5" width="21.25"/>
  </cols>
  <sheetData>
    <row r="1">
      <c r="A1" s="128" t="s">
        <v>103</v>
      </c>
      <c r="B1" s="158" t="s">
        <v>858</v>
      </c>
      <c r="C1" s="159"/>
      <c r="D1" s="160" t="str">
        <f>IFERROR(__xludf.DUMMYFUNCTION("sort(filter(A:B,A:A&lt;&gt;""""),2,false)"),"Teacher")</f>
        <v>Teacher</v>
      </c>
      <c r="E1" s="161" t="str">
        <f>IFERROR(__xludf.DUMMYFUNCTION("""COMPUTED_VALUE"""),"Avg Students per Term")</f>
        <v>Avg Students per Term</v>
      </c>
    </row>
    <row r="2">
      <c r="A2" s="132" t="str">
        <f t="array" ref="A2:A32">sort(unique(Schedule!L3:L50))</f>
        <v>Adriana RamIrez</v>
      </c>
      <c r="B2" s="162">
        <f>if(A2="","",(
sumifs(Schedule!O:O,Schedule!L:L,A2,Schedule!J:J,"&lt;&gt;"&amp;"Q1",Schedule!J:J,"&lt;&gt;"&amp;"Q2",Schedule!J:J,"&lt;&gt;"&amp;"Q3",Schedule!J:J,"&lt;&gt;"&amp;"Q4")+
sumifs(Schedule!R:R,Schedule!L:L,A2,Schedule!J:J,"&lt;&gt;"&amp;"Q1",Schedule!J:J,"&lt;&gt;"&amp;"Q2",Schedule!J:J,"&lt;&gt;"&amp;"Q3",Schedule!J:J,"&lt;&gt;"&amp;"Q4")+
sumifs(Schedule!U:U,Schedule!L:L,A2,Schedule!J:J,"&lt;&gt;"&amp;"Q1",Schedule!J:J,"&lt;&gt;"&amp;"Q2",Schedule!J:J,"&lt;&gt;"&amp;"Q3",Schedule!J:J,"&lt;&gt;"&amp;"Q4")+
sumifs(Schedule!X:X,Schedule!L:L,A2,Schedule!J:J,"&lt;&gt;"&amp;"Q1",Schedule!J:J,"&lt;&gt;"&amp;"Q2",Schedule!J:J,"&lt;&gt;"&amp;"Q3",Schedule!J:J,"&lt;&gt;"&amp;"Q4")+
sumifs(Schedule!AA:AA,Schedule!L:L,A2,Schedule!J:J,"&lt;&gt;"&amp;"Q1",Schedule!J:J,"&lt;&gt;"&amp;"Q2",Schedule!J:J,"&lt;&gt;"&amp;"Q3",Schedule!J:J,"&lt;&gt;"&amp;"Q4")+
sumifs(Schedule!AD:AD,Schedule!L:L,A2,Schedule!J:J,"&lt;&gt;"&amp;"Q1",Schedule!J:J,"&lt;&gt;"&amp;"Q2",Schedule!J:J,"&lt;&gt;"&amp;"Q3",Schedule!J:J,"&lt;&gt;"&amp;"Q4")+
(sumifs(Schedule!O:O,Schedule!L:L,A2,Schedule!J:J,"&lt;&gt;"&amp;"",Schedule!J:J,"&lt;&gt;"&amp;"Y")+
sumifs(Schedule!R:R,Schedule!L:L,A2,Schedule!J:J,"&lt;&gt;"&amp;"",Schedule!J:J,"&lt;&gt;"&amp;"Y")+
sumifs(Schedule!U:U,Schedule!L:L,A2,Schedule!J:J,"&lt;&gt;"&amp;"",Schedule!J:J,"&lt;&gt;"&amp;"Y")+
sumifs(Schedule!X:X,Schedule!L:L,A2,Schedule!J:J,"&lt;&gt;"&amp;"",Schedule!J:J,"&lt;&gt;"&amp;"Y")+
sumifs(Schedule!AA:AA,Schedule!L:L,A2,Schedule!J:J,"&lt;&gt;"&amp;"",Schedule!J:J,"&lt;&gt;"&amp;"Y")+
sumifs(Schedule!AD:AD,Schedule!L:L,A2,Schedule!J:J,"&lt;&gt;"&amp;"",Schedule!J:J,"&lt;&gt;"&amp;"Y"))/4))</f>
        <v>88</v>
      </c>
      <c r="D2" t="str">
        <f>IFERROR(__xludf.DUMMYFUNCTION("""COMPUTED_VALUE"""),"Giovany")</f>
        <v>Giovany</v>
      </c>
      <c r="E2" s="162">
        <f>IFERROR(__xludf.DUMMYFUNCTION("""COMPUTED_VALUE"""),527.5)</f>
        <v>527.5</v>
      </c>
    </row>
    <row r="3">
      <c r="A3" t="s">
        <v>122</v>
      </c>
      <c r="B3" s="162">
        <f>if(A3="","",(
sumifs(Schedule!O:O,Schedule!L:L,A3,Schedule!J:J,"&lt;&gt;"&amp;"Q1",Schedule!J:J,"&lt;&gt;"&amp;"Q2",Schedule!J:J,"&lt;&gt;"&amp;"Q3",Schedule!J:J,"&lt;&gt;"&amp;"Q4")+
sumifs(Schedule!R:R,Schedule!L:L,A3,Schedule!J:J,"&lt;&gt;"&amp;"Q1",Schedule!J:J,"&lt;&gt;"&amp;"Q2",Schedule!J:J,"&lt;&gt;"&amp;"Q3",Schedule!J:J,"&lt;&gt;"&amp;"Q4")+
sumifs(Schedule!U:U,Schedule!L:L,A3,Schedule!J:J,"&lt;&gt;"&amp;"Q1",Schedule!J:J,"&lt;&gt;"&amp;"Q2",Schedule!J:J,"&lt;&gt;"&amp;"Q3",Schedule!J:J,"&lt;&gt;"&amp;"Q4")+
sumifs(Schedule!X:X,Schedule!L:L,A3,Schedule!J:J,"&lt;&gt;"&amp;"Q1",Schedule!J:J,"&lt;&gt;"&amp;"Q2",Schedule!J:J,"&lt;&gt;"&amp;"Q3",Schedule!J:J,"&lt;&gt;"&amp;"Q4")+
sumifs(Schedule!AA:AA,Schedule!L:L,A3,Schedule!J:J,"&lt;&gt;"&amp;"Q1",Schedule!J:J,"&lt;&gt;"&amp;"Q2",Schedule!J:J,"&lt;&gt;"&amp;"Q3",Schedule!J:J,"&lt;&gt;"&amp;"Q4")+
sumifs(Schedule!AD:AD,Schedule!L:L,A3,Schedule!J:J,"&lt;&gt;"&amp;"Q1",Schedule!J:J,"&lt;&gt;"&amp;"Q2",Schedule!J:J,"&lt;&gt;"&amp;"Q3",Schedule!J:J,"&lt;&gt;"&amp;"Q4")+
(sumifs(Schedule!O:O,Schedule!L:L,A3,Schedule!J:J,"&lt;&gt;"&amp;"",Schedule!J:J,"&lt;&gt;"&amp;"Y")+
sumifs(Schedule!R:R,Schedule!L:L,A3,Schedule!J:J,"&lt;&gt;"&amp;"",Schedule!J:J,"&lt;&gt;"&amp;"Y")+
sumifs(Schedule!U:U,Schedule!L:L,A3,Schedule!J:J,"&lt;&gt;"&amp;"",Schedule!J:J,"&lt;&gt;"&amp;"Y")+
sumifs(Schedule!X:X,Schedule!L:L,A3,Schedule!J:J,"&lt;&gt;"&amp;"",Schedule!J:J,"&lt;&gt;"&amp;"Y")+
sumifs(Schedule!AA:AA,Schedule!L:L,A3,Schedule!J:J,"&lt;&gt;"&amp;"",Schedule!J:J,"&lt;&gt;"&amp;"Y")+
sumifs(Schedule!AD:AD,Schedule!L:L,A3,Schedule!J:J,"&lt;&gt;"&amp;"",Schedule!J:J,"&lt;&gt;"&amp;"Y"))/4))</f>
        <v>87</v>
      </c>
      <c r="D3" s="87" t="str">
        <f>IFERROR(__xludf.DUMMYFUNCTION("""COMPUTED_VALUE"""),"Dioger")</f>
        <v>Dioger</v>
      </c>
      <c r="E3" s="162">
        <f>IFERROR(__xludf.DUMMYFUNCTION("""COMPUTED_VALUE"""),257.5)</f>
        <v>257.5</v>
      </c>
    </row>
    <row r="4">
      <c r="A4" t="s">
        <v>128</v>
      </c>
      <c r="B4" s="162">
        <f>if(A4="","",(
sumifs(Schedule!O:O,Schedule!L:L,A4,Schedule!J:J,"&lt;&gt;"&amp;"Q1",Schedule!J:J,"&lt;&gt;"&amp;"Q2",Schedule!J:J,"&lt;&gt;"&amp;"Q3",Schedule!J:J,"&lt;&gt;"&amp;"Q4")+
sumifs(Schedule!R:R,Schedule!L:L,A4,Schedule!J:J,"&lt;&gt;"&amp;"Q1",Schedule!J:J,"&lt;&gt;"&amp;"Q2",Schedule!J:J,"&lt;&gt;"&amp;"Q3",Schedule!J:J,"&lt;&gt;"&amp;"Q4")+
sumifs(Schedule!U:U,Schedule!L:L,A4,Schedule!J:J,"&lt;&gt;"&amp;"Q1",Schedule!J:J,"&lt;&gt;"&amp;"Q2",Schedule!J:J,"&lt;&gt;"&amp;"Q3",Schedule!J:J,"&lt;&gt;"&amp;"Q4")+
sumifs(Schedule!X:X,Schedule!L:L,A4,Schedule!J:J,"&lt;&gt;"&amp;"Q1",Schedule!J:J,"&lt;&gt;"&amp;"Q2",Schedule!J:J,"&lt;&gt;"&amp;"Q3",Schedule!J:J,"&lt;&gt;"&amp;"Q4")+
sumifs(Schedule!AA:AA,Schedule!L:L,A4,Schedule!J:J,"&lt;&gt;"&amp;"Q1",Schedule!J:J,"&lt;&gt;"&amp;"Q2",Schedule!J:J,"&lt;&gt;"&amp;"Q3",Schedule!J:J,"&lt;&gt;"&amp;"Q4")+
sumifs(Schedule!AD:AD,Schedule!L:L,A4,Schedule!J:J,"&lt;&gt;"&amp;"Q1",Schedule!J:J,"&lt;&gt;"&amp;"Q2",Schedule!J:J,"&lt;&gt;"&amp;"Q3",Schedule!J:J,"&lt;&gt;"&amp;"Q4")+
(sumifs(Schedule!O:O,Schedule!L:L,A4,Schedule!J:J,"&lt;&gt;"&amp;"",Schedule!J:J,"&lt;&gt;"&amp;"Y")+
sumifs(Schedule!R:R,Schedule!L:L,A4,Schedule!J:J,"&lt;&gt;"&amp;"",Schedule!J:J,"&lt;&gt;"&amp;"Y")+
sumifs(Schedule!U:U,Schedule!L:L,A4,Schedule!J:J,"&lt;&gt;"&amp;"",Schedule!J:J,"&lt;&gt;"&amp;"Y")+
sumifs(Schedule!X:X,Schedule!L:L,A4,Schedule!J:J,"&lt;&gt;"&amp;"",Schedule!J:J,"&lt;&gt;"&amp;"Y")+
sumifs(Schedule!AA:AA,Schedule!L:L,A4,Schedule!J:J,"&lt;&gt;"&amp;"",Schedule!J:J,"&lt;&gt;"&amp;"Y")+
sumifs(Schedule!AD:AD,Schedule!L:L,A4,Schedule!J:J,"&lt;&gt;"&amp;"",Schedule!J:J,"&lt;&gt;"&amp;"Y"))/4))</f>
        <v>90</v>
      </c>
      <c r="D4" s="87" t="str">
        <f>IFERROR(__xludf.DUMMYFUNCTION("""COMPUTED_VALUE"""),"Luisa")</f>
        <v>Luisa</v>
      </c>
      <c r="E4" s="162">
        <f>IFERROR(__xludf.DUMMYFUNCTION("""COMPUTED_VALUE"""),257.5)</f>
        <v>257.5</v>
      </c>
    </row>
    <row r="5">
      <c r="A5" t="s">
        <v>131</v>
      </c>
      <c r="B5" s="162">
        <f>if(A5="","",(
sumifs(Schedule!O:O,Schedule!L:L,A5,Schedule!J:J,"&lt;&gt;"&amp;"Q1",Schedule!J:J,"&lt;&gt;"&amp;"Q2",Schedule!J:J,"&lt;&gt;"&amp;"Q3",Schedule!J:J,"&lt;&gt;"&amp;"Q4")+
sumifs(Schedule!R:R,Schedule!L:L,A5,Schedule!J:J,"&lt;&gt;"&amp;"Q1",Schedule!J:J,"&lt;&gt;"&amp;"Q2",Schedule!J:J,"&lt;&gt;"&amp;"Q3",Schedule!J:J,"&lt;&gt;"&amp;"Q4")+
sumifs(Schedule!U:U,Schedule!L:L,A5,Schedule!J:J,"&lt;&gt;"&amp;"Q1",Schedule!J:J,"&lt;&gt;"&amp;"Q2",Schedule!J:J,"&lt;&gt;"&amp;"Q3",Schedule!J:J,"&lt;&gt;"&amp;"Q4")+
sumifs(Schedule!X:X,Schedule!L:L,A5,Schedule!J:J,"&lt;&gt;"&amp;"Q1",Schedule!J:J,"&lt;&gt;"&amp;"Q2",Schedule!J:J,"&lt;&gt;"&amp;"Q3",Schedule!J:J,"&lt;&gt;"&amp;"Q4")+
sumifs(Schedule!AA:AA,Schedule!L:L,A5,Schedule!J:J,"&lt;&gt;"&amp;"Q1",Schedule!J:J,"&lt;&gt;"&amp;"Q2",Schedule!J:J,"&lt;&gt;"&amp;"Q3",Schedule!J:J,"&lt;&gt;"&amp;"Q4")+
sumifs(Schedule!AD:AD,Schedule!L:L,A5,Schedule!J:J,"&lt;&gt;"&amp;"Q1",Schedule!J:J,"&lt;&gt;"&amp;"Q2",Schedule!J:J,"&lt;&gt;"&amp;"Q3",Schedule!J:J,"&lt;&gt;"&amp;"Q4")+
(sumifs(Schedule!O:O,Schedule!L:L,A5,Schedule!J:J,"&lt;&gt;"&amp;"",Schedule!J:J,"&lt;&gt;"&amp;"Y")+
sumifs(Schedule!R:R,Schedule!L:L,A5,Schedule!J:J,"&lt;&gt;"&amp;"",Schedule!J:J,"&lt;&gt;"&amp;"Y")+
sumifs(Schedule!U:U,Schedule!L:L,A5,Schedule!J:J,"&lt;&gt;"&amp;"",Schedule!J:J,"&lt;&gt;"&amp;"Y")+
sumifs(Schedule!X:X,Schedule!L:L,A5,Schedule!J:J,"&lt;&gt;"&amp;"",Schedule!J:J,"&lt;&gt;"&amp;"Y")+
sumifs(Schedule!AA:AA,Schedule!L:L,A5,Schedule!J:J,"&lt;&gt;"&amp;"",Schedule!J:J,"&lt;&gt;"&amp;"Y")+
sumifs(Schedule!AD:AD,Schedule!L:L,A5,Schedule!J:J,"&lt;&gt;"&amp;"",Schedule!J:J,"&lt;&gt;"&amp;"Y"))/4))</f>
        <v>96</v>
      </c>
      <c r="D5" s="87" t="str">
        <f>IFERROR(__xludf.DUMMYFUNCTION("""COMPUTED_VALUE"""),"Juan Pablo")</f>
        <v>Juan Pablo</v>
      </c>
      <c r="E5" s="162">
        <f>IFERROR(__xludf.DUMMYFUNCTION("""COMPUTED_VALUE"""),209.0)</f>
        <v>209</v>
      </c>
    </row>
    <row r="6">
      <c r="A6" t="s">
        <v>136</v>
      </c>
      <c r="B6" s="162">
        <f>if(A6="","",(
sumifs(Schedule!O:O,Schedule!L:L,A6,Schedule!J:J,"&lt;&gt;"&amp;"Q1",Schedule!J:J,"&lt;&gt;"&amp;"Q2",Schedule!J:J,"&lt;&gt;"&amp;"Q3",Schedule!J:J,"&lt;&gt;"&amp;"Q4")+
sumifs(Schedule!R:R,Schedule!L:L,A6,Schedule!J:J,"&lt;&gt;"&amp;"Q1",Schedule!J:J,"&lt;&gt;"&amp;"Q2",Schedule!J:J,"&lt;&gt;"&amp;"Q3",Schedule!J:J,"&lt;&gt;"&amp;"Q4")+
sumifs(Schedule!U:U,Schedule!L:L,A6,Schedule!J:J,"&lt;&gt;"&amp;"Q1",Schedule!J:J,"&lt;&gt;"&amp;"Q2",Schedule!J:J,"&lt;&gt;"&amp;"Q3",Schedule!J:J,"&lt;&gt;"&amp;"Q4")+
sumifs(Schedule!X:X,Schedule!L:L,A6,Schedule!J:J,"&lt;&gt;"&amp;"Q1",Schedule!J:J,"&lt;&gt;"&amp;"Q2",Schedule!J:J,"&lt;&gt;"&amp;"Q3",Schedule!J:J,"&lt;&gt;"&amp;"Q4")+
sumifs(Schedule!AA:AA,Schedule!L:L,A6,Schedule!J:J,"&lt;&gt;"&amp;"Q1",Schedule!J:J,"&lt;&gt;"&amp;"Q2",Schedule!J:J,"&lt;&gt;"&amp;"Q3",Schedule!J:J,"&lt;&gt;"&amp;"Q4")+
sumifs(Schedule!AD:AD,Schedule!L:L,A6,Schedule!J:J,"&lt;&gt;"&amp;"Q1",Schedule!J:J,"&lt;&gt;"&amp;"Q2",Schedule!J:J,"&lt;&gt;"&amp;"Q3",Schedule!J:J,"&lt;&gt;"&amp;"Q4")+
(sumifs(Schedule!O:O,Schedule!L:L,A6,Schedule!J:J,"&lt;&gt;"&amp;"",Schedule!J:J,"&lt;&gt;"&amp;"Y")+
sumifs(Schedule!R:R,Schedule!L:L,A6,Schedule!J:J,"&lt;&gt;"&amp;"",Schedule!J:J,"&lt;&gt;"&amp;"Y")+
sumifs(Schedule!U:U,Schedule!L:L,A6,Schedule!J:J,"&lt;&gt;"&amp;"",Schedule!J:J,"&lt;&gt;"&amp;"Y")+
sumifs(Schedule!X:X,Schedule!L:L,A6,Schedule!J:J,"&lt;&gt;"&amp;"",Schedule!J:J,"&lt;&gt;"&amp;"Y")+
sumifs(Schedule!AA:AA,Schedule!L:L,A6,Schedule!J:J,"&lt;&gt;"&amp;"",Schedule!J:J,"&lt;&gt;"&amp;"Y")+
sumifs(Schedule!AD:AD,Schedule!L:L,A6,Schedule!J:J,"&lt;&gt;"&amp;"",Schedule!J:J,"&lt;&gt;"&amp;"Y"))/4))</f>
        <v>97</v>
      </c>
      <c r="D6" s="87" t="str">
        <f>IFERROR(__xludf.DUMMYFUNCTION("""COMPUTED_VALUE"""),"Nando")</f>
        <v>Nando</v>
      </c>
      <c r="E6" s="162">
        <f>IFERROR(__xludf.DUMMYFUNCTION("""COMPUTED_VALUE"""),208.0)</f>
        <v>208</v>
      </c>
    </row>
    <row r="7">
      <c r="A7" t="s">
        <v>137</v>
      </c>
      <c r="B7" s="162">
        <f>if(A7="","",(
sumifs(Schedule!O:O,Schedule!L:L,A7,Schedule!J:J,"&lt;&gt;"&amp;"Q1",Schedule!J:J,"&lt;&gt;"&amp;"Q2",Schedule!J:J,"&lt;&gt;"&amp;"Q3",Schedule!J:J,"&lt;&gt;"&amp;"Q4")+
sumifs(Schedule!R:R,Schedule!L:L,A7,Schedule!J:J,"&lt;&gt;"&amp;"Q1",Schedule!J:J,"&lt;&gt;"&amp;"Q2",Schedule!J:J,"&lt;&gt;"&amp;"Q3",Schedule!J:J,"&lt;&gt;"&amp;"Q4")+
sumifs(Schedule!U:U,Schedule!L:L,A7,Schedule!J:J,"&lt;&gt;"&amp;"Q1",Schedule!J:J,"&lt;&gt;"&amp;"Q2",Schedule!J:J,"&lt;&gt;"&amp;"Q3",Schedule!J:J,"&lt;&gt;"&amp;"Q4")+
sumifs(Schedule!X:X,Schedule!L:L,A7,Schedule!J:J,"&lt;&gt;"&amp;"Q1",Schedule!J:J,"&lt;&gt;"&amp;"Q2",Schedule!J:J,"&lt;&gt;"&amp;"Q3",Schedule!J:J,"&lt;&gt;"&amp;"Q4")+
sumifs(Schedule!AA:AA,Schedule!L:L,A7,Schedule!J:J,"&lt;&gt;"&amp;"Q1",Schedule!J:J,"&lt;&gt;"&amp;"Q2",Schedule!J:J,"&lt;&gt;"&amp;"Q3",Schedule!J:J,"&lt;&gt;"&amp;"Q4")+
sumifs(Schedule!AD:AD,Schedule!L:L,A7,Schedule!J:J,"&lt;&gt;"&amp;"Q1",Schedule!J:J,"&lt;&gt;"&amp;"Q2",Schedule!J:J,"&lt;&gt;"&amp;"Q3",Schedule!J:J,"&lt;&gt;"&amp;"Q4")+
(sumifs(Schedule!O:O,Schedule!L:L,A7,Schedule!J:J,"&lt;&gt;"&amp;"",Schedule!J:J,"&lt;&gt;"&amp;"Y")+
sumifs(Schedule!R:R,Schedule!L:L,A7,Schedule!J:J,"&lt;&gt;"&amp;"",Schedule!J:J,"&lt;&gt;"&amp;"Y")+
sumifs(Schedule!U:U,Schedule!L:L,A7,Schedule!J:J,"&lt;&gt;"&amp;"",Schedule!J:J,"&lt;&gt;"&amp;"Y")+
sumifs(Schedule!X:X,Schedule!L:L,A7,Schedule!J:J,"&lt;&gt;"&amp;"",Schedule!J:J,"&lt;&gt;"&amp;"Y")+
sumifs(Schedule!AA:AA,Schedule!L:L,A7,Schedule!J:J,"&lt;&gt;"&amp;"",Schedule!J:J,"&lt;&gt;"&amp;"Y")+
sumifs(Schedule!AD:AD,Schedule!L:L,A7,Schedule!J:J,"&lt;&gt;"&amp;"",Schedule!J:J,"&lt;&gt;"&amp;"Y"))/4))</f>
        <v>88</v>
      </c>
      <c r="D7" s="87" t="str">
        <f>IFERROR(__xludf.DUMMYFUNCTION("""COMPUTED_VALUE"""),"Brandon Berry")</f>
        <v>Brandon Berry</v>
      </c>
      <c r="E7" s="162">
        <f>IFERROR(__xludf.DUMMYFUNCTION("""COMPUTED_VALUE"""),97.0)</f>
        <v>97</v>
      </c>
    </row>
    <row r="8">
      <c r="A8" t="s">
        <v>115</v>
      </c>
      <c r="B8" s="162">
        <f>if(A8="","",(
sumifs(Schedule!O:O,Schedule!L:L,A8,Schedule!J:J,"&lt;&gt;"&amp;"Q1",Schedule!J:J,"&lt;&gt;"&amp;"Q2",Schedule!J:J,"&lt;&gt;"&amp;"Q3",Schedule!J:J,"&lt;&gt;"&amp;"Q4")+
sumifs(Schedule!R:R,Schedule!L:L,A8,Schedule!J:J,"&lt;&gt;"&amp;"Q1",Schedule!J:J,"&lt;&gt;"&amp;"Q2",Schedule!J:J,"&lt;&gt;"&amp;"Q3",Schedule!J:J,"&lt;&gt;"&amp;"Q4")+
sumifs(Schedule!U:U,Schedule!L:L,A8,Schedule!J:J,"&lt;&gt;"&amp;"Q1",Schedule!J:J,"&lt;&gt;"&amp;"Q2",Schedule!J:J,"&lt;&gt;"&amp;"Q3",Schedule!J:J,"&lt;&gt;"&amp;"Q4")+
sumifs(Schedule!X:X,Schedule!L:L,A8,Schedule!J:J,"&lt;&gt;"&amp;"Q1",Schedule!J:J,"&lt;&gt;"&amp;"Q2",Schedule!J:J,"&lt;&gt;"&amp;"Q3",Schedule!J:J,"&lt;&gt;"&amp;"Q4")+
sumifs(Schedule!AA:AA,Schedule!L:L,A8,Schedule!J:J,"&lt;&gt;"&amp;"Q1",Schedule!J:J,"&lt;&gt;"&amp;"Q2",Schedule!J:J,"&lt;&gt;"&amp;"Q3",Schedule!J:J,"&lt;&gt;"&amp;"Q4")+
sumifs(Schedule!AD:AD,Schedule!L:L,A8,Schedule!J:J,"&lt;&gt;"&amp;"Q1",Schedule!J:J,"&lt;&gt;"&amp;"Q2",Schedule!J:J,"&lt;&gt;"&amp;"Q3",Schedule!J:J,"&lt;&gt;"&amp;"Q4")+
(sumifs(Schedule!O:O,Schedule!L:L,A8,Schedule!J:J,"&lt;&gt;"&amp;"",Schedule!J:J,"&lt;&gt;"&amp;"Y")+
sumifs(Schedule!R:R,Schedule!L:L,A8,Schedule!J:J,"&lt;&gt;"&amp;"",Schedule!J:J,"&lt;&gt;"&amp;"Y")+
sumifs(Schedule!U:U,Schedule!L:L,A8,Schedule!J:J,"&lt;&gt;"&amp;"",Schedule!J:J,"&lt;&gt;"&amp;"Y")+
sumifs(Schedule!X:X,Schedule!L:L,A8,Schedule!J:J,"&lt;&gt;"&amp;"",Schedule!J:J,"&lt;&gt;"&amp;"Y")+
sumifs(Schedule!AA:AA,Schedule!L:L,A8,Schedule!J:J,"&lt;&gt;"&amp;"",Schedule!J:J,"&lt;&gt;"&amp;"Y")+
sumifs(Schedule!AD:AD,Schedule!L:L,A8,Schedule!J:J,"&lt;&gt;"&amp;"",Schedule!J:J,"&lt;&gt;"&amp;"Y"))/4))</f>
        <v>257.5</v>
      </c>
      <c r="D8" s="87" t="str">
        <f>IFERROR(__xludf.DUMMYFUNCTION("""COMPUTED_VALUE"""),"Michael Landecker ")</f>
        <v>Michael Landecker </v>
      </c>
      <c r="E8" s="162">
        <f>IFERROR(__xludf.DUMMYFUNCTION("""COMPUTED_VALUE"""),97.0)</f>
        <v>97</v>
      </c>
    </row>
    <row r="9">
      <c r="A9" t="s">
        <v>138</v>
      </c>
      <c r="B9" s="162">
        <f>if(A9="","",(
sumifs(Schedule!O:O,Schedule!L:L,A9,Schedule!J:J,"&lt;&gt;"&amp;"Q1",Schedule!J:J,"&lt;&gt;"&amp;"Q2",Schedule!J:J,"&lt;&gt;"&amp;"Q3",Schedule!J:J,"&lt;&gt;"&amp;"Q4")+
sumifs(Schedule!R:R,Schedule!L:L,A9,Schedule!J:J,"&lt;&gt;"&amp;"Q1",Schedule!J:J,"&lt;&gt;"&amp;"Q2",Schedule!J:J,"&lt;&gt;"&amp;"Q3",Schedule!J:J,"&lt;&gt;"&amp;"Q4")+
sumifs(Schedule!U:U,Schedule!L:L,A9,Schedule!J:J,"&lt;&gt;"&amp;"Q1",Schedule!J:J,"&lt;&gt;"&amp;"Q2",Schedule!J:J,"&lt;&gt;"&amp;"Q3",Schedule!J:J,"&lt;&gt;"&amp;"Q4")+
sumifs(Schedule!X:X,Schedule!L:L,A9,Schedule!J:J,"&lt;&gt;"&amp;"Q1",Schedule!J:J,"&lt;&gt;"&amp;"Q2",Schedule!J:J,"&lt;&gt;"&amp;"Q3",Schedule!J:J,"&lt;&gt;"&amp;"Q4")+
sumifs(Schedule!AA:AA,Schedule!L:L,A9,Schedule!J:J,"&lt;&gt;"&amp;"Q1",Schedule!J:J,"&lt;&gt;"&amp;"Q2",Schedule!J:J,"&lt;&gt;"&amp;"Q3",Schedule!J:J,"&lt;&gt;"&amp;"Q4")+
sumifs(Schedule!AD:AD,Schedule!L:L,A9,Schedule!J:J,"&lt;&gt;"&amp;"Q1",Schedule!J:J,"&lt;&gt;"&amp;"Q2",Schedule!J:J,"&lt;&gt;"&amp;"Q3",Schedule!J:J,"&lt;&gt;"&amp;"Q4")+
(sumifs(Schedule!O:O,Schedule!L:L,A9,Schedule!J:J,"&lt;&gt;"&amp;"",Schedule!J:J,"&lt;&gt;"&amp;"Y")+
sumifs(Schedule!R:R,Schedule!L:L,A9,Schedule!J:J,"&lt;&gt;"&amp;"",Schedule!J:J,"&lt;&gt;"&amp;"Y")+
sumifs(Schedule!U:U,Schedule!L:L,A9,Schedule!J:J,"&lt;&gt;"&amp;"",Schedule!J:J,"&lt;&gt;"&amp;"Y")+
sumifs(Schedule!X:X,Schedule!L:L,A9,Schedule!J:J,"&lt;&gt;"&amp;"",Schedule!J:J,"&lt;&gt;"&amp;"Y")+
sumifs(Schedule!AA:AA,Schedule!L:L,A9,Schedule!J:J,"&lt;&gt;"&amp;"",Schedule!J:J,"&lt;&gt;"&amp;"Y")+
sumifs(Schedule!AD:AD,Schedule!L:L,A9,Schedule!J:J,"&lt;&gt;"&amp;"",Schedule!J:J,"&lt;&gt;"&amp;"Y"))/4))</f>
        <v>91</v>
      </c>
      <c r="D9" s="87" t="str">
        <f>IFERROR(__xludf.DUMMYFUNCTION("""COMPUTED_VALUE"""),"Ben Light")</f>
        <v>Ben Light</v>
      </c>
      <c r="E9" s="162">
        <f>IFERROR(__xludf.DUMMYFUNCTION("""COMPUTED_VALUE"""),96.0)</f>
        <v>96</v>
      </c>
    </row>
    <row r="10">
      <c r="A10" t="s">
        <v>139</v>
      </c>
      <c r="B10" s="162">
        <f>if(A10="","",(
sumifs(Schedule!O:O,Schedule!L:L,A10,Schedule!J:J,"&lt;&gt;"&amp;"Q1",Schedule!J:J,"&lt;&gt;"&amp;"Q2",Schedule!J:J,"&lt;&gt;"&amp;"Q3",Schedule!J:J,"&lt;&gt;"&amp;"Q4")+
sumifs(Schedule!R:R,Schedule!L:L,A10,Schedule!J:J,"&lt;&gt;"&amp;"Q1",Schedule!J:J,"&lt;&gt;"&amp;"Q2",Schedule!J:J,"&lt;&gt;"&amp;"Q3",Schedule!J:J,"&lt;&gt;"&amp;"Q4")+
sumifs(Schedule!U:U,Schedule!L:L,A10,Schedule!J:J,"&lt;&gt;"&amp;"Q1",Schedule!J:J,"&lt;&gt;"&amp;"Q2",Schedule!J:J,"&lt;&gt;"&amp;"Q3",Schedule!J:J,"&lt;&gt;"&amp;"Q4")+
sumifs(Schedule!X:X,Schedule!L:L,A10,Schedule!J:J,"&lt;&gt;"&amp;"Q1",Schedule!J:J,"&lt;&gt;"&amp;"Q2",Schedule!J:J,"&lt;&gt;"&amp;"Q3",Schedule!J:J,"&lt;&gt;"&amp;"Q4")+
sumifs(Schedule!AA:AA,Schedule!L:L,A10,Schedule!J:J,"&lt;&gt;"&amp;"Q1",Schedule!J:J,"&lt;&gt;"&amp;"Q2",Schedule!J:J,"&lt;&gt;"&amp;"Q3",Schedule!J:J,"&lt;&gt;"&amp;"Q4")+
sumifs(Schedule!AD:AD,Schedule!L:L,A10,Schedule!J:J,"&lt;&gt;"&amp;"Q1",Schedule!J:J,"&lt;&gt;"&amp;"Q2",Schedule!J:J,"&lt;&gt;"&amp;"Q3",Schedule!J:J,"&lt;&gt;"&amp;"Q4")+
(sumifs(Schedule!O:O,Schedule!L:L,A10,Schedule!J:J,"&lt;&gt;"&amp;"",Schedule!J:J,"&lt;&gt;"&amp;"Y")+
sumifs(Schedule!R:R,Schedule!L:L,A10,Schedule!J:J,"&lt;&gt;"&amp;"",Schedule!J:J,"&lt;&gt;"&amp;"Y")+
sumifs(Schedule!U:U,Schedule!L:L,A10,Schedule!J:J,"&lt;&gt;"&amp;"",Schedule!J:J,"&lt;&gt;"&amp;"Y")+
sumifs(Schedule!X:X,Schedule!L:L,A10,Schedule!J:J,"&lt;&gt;"&amp;"",Schedule!J:J,"&lt;&gt;"&amp;"Y")+
sumifs(Schedule!AA:AA,Schedule!L:L,A10,Schedule!J:J,"&lt;&gt;"&amp;"",Schedule!J:J,"&lt;&gt;"&amp;"Y")+
sumifs(Schedule!AD:AD,Schedule!L:L,A10,Schedule!J:J,"&lt;&gt;"&amp;"",Schedule!J:J,"&lt;&gt;"&amp;"Y"))/4))</f>
        <v>527.5</v>
      </c>
      <c r="D10" s="87" t="str">
        <f>IFERROR(__xludf.DUMMYFUNCTION("""COMPUTED_VALUE"""),"Joshua Vissers")</f>
        <v>Joshua Vissers</v>
      </c>
      <c r="E10" s="162">
        <f>IFERROR(__xludf.DUMMYFUNCTION("""COMPUTED_VALUE"""),96.0)</f>
        <v>96</v>
      </c>
    </row>
    <row r="11">
      <c r="A11" t="s">
        <v>144</v>
      </c>
      <c r="B11" s="162">
        <f>if(A11="","",(
sumifs(Schedule!O:O,Schedule!L:L,A11,Schedule!J:J,"&lt;&gt;"&amp;"Q1",Schedule!J:J,"&lt;&gt;"&amp;"Q2",Schedule!J:J,"&lt;&gt;"&amp;"Q3",Schedule!J:J,"&lt;&gt;"&amp;"Q4")+
sumifs(Schedule!R:R,Schedule!L:L,A11,Schedule!J:J,"&lt;&gt;"&amp;"Q1",Schedule!J:J,"&lt;&gt;"&amp;"Q2",Schedule!J:J,"&lt;&gt;"&amp;"Q3",Schedule!J:J,"&lt;&gt;"&amp;"Q4")+
sumifs(Schedule!U:U,Schedule!L:L,A11,Schedule!J:J,"&lt;&gt;"&amp;"Q1",Schedule!J:J,"&lt;&gt;"&amp;"Q2",Schedule!J:J,"&lt;&gt;"&amp;"Q3",Schedule!J:J,"&lt;&gt;"&amp;"Q4")+
sumifs(Schedule!X:X,Schedule!L:L,A11,Schedule!J:J,"&lt;&gt;"&amp;"Q1",Schedule!J:J,"&lt;&gt;"&amp;"Q2",Schedule!J:J,"&lt;&gt;"&amp;"Q3",Schedule!J:J,"&lt;&gt;"&amp;"Q4")+
sumifs(Schedule!AA:AA,Schedule!L:L,A11,Schedule!J:J,"&lt;&gt;"&amp;"Q1",Schedule!J:J,"&lt;&gt;"&amp;"Q2",Schedule!J:J,"&lt;&gt;"&amp;"Q3",Schedule!J:J,"&lt;&gt;"&amp;"Q4")+
sumifs(Schedule!AD:AD,Schedule!L:L,A11,Schedule!J:J,"&lt;&gt;"&amp;"Q1",Schedule!J:J,"&lt;&gt;"&amp;"Q2",Schedule!J:J,"&lt;&gt;"&amp;"Q3",Schedule!J:J,"&lt;&gt;"&amp;"Q4")+
(sumifs(Schedule!O:O,Schedule!L:L,A11,Schedule!J:J,"&lt;&gt;"&amp;"",Schedule!J:J,"&lt;&gt;"&amp;"Y")+
sumifs(Schedule!R:R,Schedule!L:L,A11,Schedule!J:J,"&lt;&gt;"&amp;"",Schedule!J:J,"&lt;&gt;"&amp;"Y")+
sumifs(Schedule!U:U,Schedule!L:L,A11,Schedule!J:J,"&lt;&gt;"&amp;"",Schedule!J:J,"&lt;&gt;"&amp;"Y")+
sumifs(Schedule!X:X,Schedule!L:L,A11,Schedule!J:J,"&lt;&gt;"&amp;"",Schedule!J:J,"&lt;&gt;"&amp;"Y")+
sumifs(Schedule!AA:AA,Schedule!L:L,A11,Schedule!J:J,"&lt;&gt;"&amp;"",Schedule!J:J,"&lt;&gt;"&amp;"Y")+
sumifs(Schedule!AD:AD,Schedule!L:L,A11,Schedule!J:J,"&lt;&gt;"&amp;"",Schedule!J:J,"&lt;&gt;"&amp;"Y"))/4))</f>
        <v>95</v>
      </c>
      <c r="D11" t="str">
        <f>IFERROR(__xludf.DUMMYFUNCTION("""COMPUTED_VALUE"""),"Manuela Castaño")</f>
        <v>Manuela Castaño</v>
      </c>
      <c r="E11" s="162">
        <f>IFERROR(__xludf.DUMMYFUNCTION("""COMPUTED_VALUE"""),96.0)</f>
        <v>96</v>
      </c>
    </row>
    <row r="12">
      <c r="A12" t="s">
        <v>145</v>
      </c>
      <c r="B12" s="162">
        <f>if(A12="","",(
sumifs(Schedule!O:O,Schedule!L:L,A12,Schedule!J:J,"&lt;&gt;"&amp;"Q1",Schedule!J:J,"&lt;&gt;"&amp;"Q2",Schedule!J:J,"&lt;&gt;"&amp;"Q3",Schedule!J:J,"&lt;&gt;"&amp;"Q4")+
sumifs(Schedule!R:R,Schedule!L:L,A12,Schedule!J:J,"&lt;&gt;"&amp;"Q1",Schedule!J:J,"&lt;&gt;"&amp;"Q2",Schedule!J:J,"&lt;&gt;"&amp;"Q3",Schedule!J:J,"&lt;&gt;"&amp;"Q4")+
sumifs(Schedule!U:U,Schedule!L:L,A12,Schedule!J:J,"&lt;&gt;"&amp;"Q1",Schedule!J:J,"&lt;&gt;"&amp;"Q2",Schedule!J:J,"&lt;&gt;"&amp;"Q3",Schedule!J:J,"&lt;&gt;"&amp;"Q4")+
sumifs(Schedule!X:X,Schedule!L:L,A12,Schedule!J:J,"&lt;&gt;"&amp;"Q1",Schedule!J:J,"&lt;&gt;"&amp;"Q2",Schedule!J:J,"&lt;&gt;"&amp;"Q3",Schedule!J:J,"&lt;&gt;"&amp;"Q4")+
sumifs(Schedule!AA:AA,Schedule!L:L,A12,Schedule!J:J,"&lt;&gt;"&amp;"Q1",Schedule!J:J,"&lt;&gt;"&amp;"Q2",Schedule!J:J,"&lt;&gt;"&amp;"Q3",Schedule!J:J,"&lt;&gt;"&amp;"Q4")+
sumifs(Schedule!AD:AD,Schedule!L:L,A12,Schedule!J:J,"&lt;&gt;"&amp;"Q1",Schedule!J:J,"&lt;&gt;"&amp;"Q2",Schedule!J:J,"&lt;&gt;"&amp;"Q3",Schedule!J:J,"&lt;&gt;"&amp;"Q4")+
(sumifs(Schedule!O:O,Schedule!L:L,A12,Schedule!J:J,"&lt;&gt;"&amp;"",Schedule!J:J,"&lt;&gt;"&amp;"Y")+
sumifs(Schedule!R:R,Schedule!L:L,A12,Schedule!J:J,"&lt;&gt;"&amp;"",Schedule!J:J,"&lt;&gt;"&amp;"Y")+
sumifs(Schedule!U:U,Schedule!L:L,A12,Schedule!J:J,"&lt;&gt;"&amp;"",Schedule!J:J,"&lt;&gt;"&amp;"Y")+
sumifs(Schedule!X:X,Schedule!L:L,A12,Schedule!J:J,"&lt;&gt;"&amp;"",Schedule!J:J,"&lt;&gt;"&amp;"Y")+
sumifs(Schedule!AA:AA,Schedule!L:L,A12,Schedule!J:J,"&lt;&gt;"&amp;"",Schedule!J:J,"&lt;&gt;"&amp;"Y")+
sumifs(Schedule!AD:AD,Schedule!L:L,A12,Schedule!J:J,"&lt;&gt;"&amp;"",Schedule!J:J,"&lt;&gt;"&amp;"Y"))/4))</f>
        <v>87</v>
      </c>
      <c r="D12" t="str">
        <f>IFERROR(__xludf.DUMMYFUNCTION("""COMPUTED_VALUE"""),"Maxine McKinnon")</f>
        <v>Maxine McKinnon</v>
      </c>
      <c r="E12" s="162">
        <f>IFERROR(__xludf.DUMMYFUNCTION("""COMPUTED_VALUE"""),96.0)</f>
        <v>96</v>
      </c>
    </row>
    <row r="13">
      <c r="A13" t="s">
        <v>146</v>
      </c>
      <c r="B13" s="162">
        <f>if(A13="","",(
sumifs(Schedule!O:O,Schedule!L:L,A13,Schedule!J:J,"&lt;&gt;"&amp;"Q1",Schedule!J:J,"&lt;&gt;"&amp;"Q2",Schedule!J:J,"&lt;&gt;"&amp;"Q3",Schedule!J:J,"&lt;&gt;"&amp;"Q4")+
sumifs(Schedule!R:R,Schedule!L:L,A13,Schedule!J:J,"&lt;&gt;"&amp;"Q1",Schedule!J:J,"&lt;&gt;"&amp;"Q2",Schedule!J:J,"&lt;&gt;"&amp;"Q3",Schedule!J:J,"&lt;&gt;"&amp;"Q4")+
sumifs(Schedule!U:U,Schedule!L:L,A13,Schedule!J:J,"&lt;&gt;"&amp;"Q1",Schedule!J:J,"&lt;&gt;"&amp;"Q2",Schedule!J:J,"&lt;&gt;"&amp;"Q3",Schedule!J:J,"&lt;&gt;"&amp;"Q4")+
sumifs(Schedule!X:X,Schedule!L:L,A13,Schedule!J:J,"&lt;&gt;"&amp;"Q1",Schedule!J:J,"&lt;&gt;"&amp;"Q2",Schedule!J:J,"&lt;&gt;"&amp;"Q3",Schedule!J:J,"&lt;&gt;"&amp;"Q4")+
sumifs(Schedule!AA:AA,Schedule!L:L,A13,Schedule!J:J,"&lt;&gt;"&amp;"Q1",Schedule!J:J,"&lt;&gt;"&amp;"Q2",Schedule!J:J,"&lt;&gt;"&amp;"Q3",Schedule!J:J,"&lt;&gt;"&amp;"Q4")+
sumifs(Schedule!AD:AD,Schedule!L:L,A13,Schedule!J:J,"&lt;&gt;"&amp;"Q1",Schedule!J:J,"&lt;&gt;"&amp;"Q2",Schedule!J:J,"&lt;&gt;"&amp;"Q3",Schedule!J:J,"&lt;&gt;"&amp;"Q4")+
(sumifs(Schedule!O:O,Schedule!L:L,A13,Schedule!J:J,"&lt;&gt;"&amp;"",Schedule!J:J,"&lt;&gt;"&amp;"Y")+
sumifs(Schedule!R:R,Schedule!L:L,A13,Schedule!J:J,"&lt;&gt;"&amp;"",Schedule!J:J,"&lt;&gt;"&amp;"Y")+
sumifs(Schedule!U:U,Schedule!L:L,A13,Schedule!J:J,"&lt;&gt;"&amp;"",Schedule!J:J,"&lt;&gt;"&amp;"Y")+
sumifs(Schedule!X:X,Schedule!L:L,A13,Schedule!J:J,"&lt;&gt;"&amp;"",Schedule!J:J,"&lt;&gt;"&amp;"Y")+
sumifs(Schedule!AA:AA,Schedule!L:L,A13,Schedule!J:J,"&lt;&gt;"&amp;"",Schedule!J:J,"&lt;&gt;"&amp;"Y")+
sumifs(Schedule!AD:AD,Schedule!L:L,A13,Schedule!J:J,"&lt;&gt;"&amp;"",Schedule!J:J,"&lt;&gt;"&amp;"Y"))/4))</f>
        <v>96</v>
      </c>
      <c r="D13" t="str">
        <f>IFERROR(__xludf.DUMMYFUNCTION("""COMPUTED_VALUE"""),"Rachel McGarghan")</f>
        <v>Rachel McGarghan</v>
      </c>
      <c r="E13" s="162">
        <f>IFERROR(__xludf.DUMMYFUNCTION("""COMPUTED_VALUE"""),96.0)</f>
        <v>96</v>
      </c>
    </row>
    <row r="14">
      <c r="A14" t="s">
        <v>151</v>
      </c>
      <c r="B14" s="162">
        <f>if(A14="","",(
sumifs(Schedule!O:O,Schedule!L:L,A14,Schedule!J:J,"&lt;&gt;"&amp;"Q1",Schedule!J:J,"&lt;&gt;"&amp;"Q2",Schedule!J:J,"&lt;&gt;"&amp;"Q3",Schedule!J:J,"&lt;&gt;"&amp;"Q4")+
sumifs(Schedule!R:R,Schedule!L:L,A14,Schedule!J:J,"&lt;&gt;"&amp;"Q1",Schedule!J:J,"&lt;&gt;"&amp;"Q2",Schedule!J:J,"&lt;&gt;"&amp;"Q3",Schedule!J:J,"&lt;&gt;"&amp;"Q4")+
sumifs(Schedule!U:U,Schedule!L:L,A14,Schedule!J:J,"&lt;&gt;"&amp;"Q1",Schedule!J:J,"&lt;&gt;"&amp;"Q2",Schedule!J:J,"&lt;&gt;"&amp;"Q3",Schedule!J:J,"&lt;&gt;"&amp;"Q4")+
sumifs(Schedule!X:X,Schedule!L:L,A14,Schedule!J:J,"&lt;&gt;"&amp;"Q1",Schedule!J:J,"&lt;&gt;"&amp;"Q2",Schedule!J:J,"&lt;&gt;"&amp;"Q3",Schedule!J:J,"&lt;&gt;"&amp;"Q4")+
sumifs(Schedule!AA:AA,Schedule!L:L,A14,Schedule!J:J,"&lt;&gt;"&amp;"Q1",Schedule!J:J,"&lt;&gt;"&amp;"Q2",Schedule!J:J,"&lt;&gt;"&amp;"Q3",Schedule!J:J,"&lt;&gt;"&amp;"Q4")+
sumifs(Schedule!AD:AD,Schedule!L:L,A14,Schedule!J:J,"&lt;&gt;"&amp;"Q1",Schedule!J:J,"&lt;&gt;"&amp;"Q2",Schedule!J:J,"&lt;&gt;"&amp;"Q3",Schedule!J:J,"&lt;&gt;"&amp;"Q4")+
(sumifs(Schedule!O:O,Schedule!L:L,A14,Schedule!J:J,"&lt;&gt;"&amp;"",Schedule!J:J,"&lt;&gt;"&amp;"Y")+
sumifs(Schedule!R:R,Schedule!L:L,A14,Schedule!J:J,"&lt;&gt;"&amp;"",Schedule!J:J,"&lt;&gt;"&amp;"Y")+
sumifs(Schedule!U:U,Schedule!L:L,A14,Schedule!J:J,"&lt;&gt;"&amp;"",Schedule!J:J,"&lt;&gt;"&amp;"Y")+
sumifs(Schedule!X:X,Schedule!L:L,A14,Schedule!J:J,"&lt;&gt;"&amp;"",Schedule!J:J,"&lt;&gt;"&amp;"Y")+
sumifs(Schedule!AA:AA,Schedule!L:L,A14,Schedule!J:J,"&lt;&gt;"&amp;"",Schedule!J:J,"&lt;&gt;"&amp;"Y")+
sumifs(Schedule!AD:AD,Schedule!L:L,A14,Schedule!J:J,"&lt;&gt;"&amp;"",Schedule!J:J,"&lt;&gt;"&amp;"Y"))/4))</f>
        <v>209</v>
      </c>
      <c r="D14" t="str">
        <f>IFERROR(__xludf.DUMMYFUNCTION("""COMPUTED_VALUE"""),"Sebastian Guerra Cifuentes")</f>
        <v>Sebastian Guerra Cifuentes</v>
      </c>
      <c r="E14" s="162">
        <f>IFERROR(__xludf.DUMMYFUNCTION("""COMPUTED_VALUE"""),96.0)</f>
        <v>96</v>
      </c>
    </row>
    <row r="15">
      <c r="A15" t="s">
        <v>132</v>
      </c>
      <c r="B15" s="162">
        <f>if(A15="","",(
sumifs(Schedule!O:O,Schedule!L:L,A15,Schedule!J:J,"&lt;&gt;"&amp;"Q1",Schedule!J:J,"&lt;&gt;"&amp;"Q2",Schedule!J:J,"&lt;&gt;"&amp;"Q3",Schedule!J:J,"&lt;&gt;"&amp;"Q4")+
sumifs(Schedule!R:R,Schedule!L:L,A15,Schedule!J:J,"&lt;&gt;"&amp;"Q1",Schedule!J:J,"&lt;&gt;"&amp;"Q2",Schedule!J:J,"&lt;&gt;"&amp;"Q3",Schedule!J:J,"&lt;&gt;"&amp;"Q4")+
sumifs(Schedule!U:U,Schedule!L:L,A15,Schedule!J:J,"&lt;&gt;"&amp;"Q1",Schedule!J:J,"&lt;&gt;"&amp;"Q2",Schedule!J:J,"&lt;&gt;"&amp;"Q3",Schedule!J:J,"&lt;&gt;"&amp;"Q4")+
sumifs(Schedule!X:X,Schedule!L:L,A15,Schedule!J:J,"&lt;&gt;"&amp;"Q1",Schedule!J:J,"&lt;&gt;"&amp;"Q2",Schedule!J:J,"&lt;&gt;"&amp;"Q3",Schedule!J:J,"&lt;&gt;"&amp;"Q4")+
sumifs(Schedule!AA:AA,Schedule!L:L,A15,Schedule!J:J,"&lt;&gt;"&amp;"Q1",Schedule!J:J,"&lt;&gt;"&amp;"Q2",Schedule!J:J,"&lt;&gt;"&amp;"Q3",Schedule!J:J,"&lt;&gt;"&amp;"Q4")+
sumifs(Schedule!AD:AD,Schedule!L:L,A15,Schedule!J:J,"&lt;&gt;"&amp;"Q1",Schedule!J:J,"&lt;&gt;"&amp;"Q2",Schedule!J:J,"&lt;&gt;"&amp;"Q3",Schedule!J:J,"&lt;&gt;"&amp;"Q4")+
(sumifs(Schedule!O:O,Schedule!L:L,A15,Schedule!J:J,"&lt;&gt;"&amp;"",Schedule!J:J,"&lt;&gt;"&amp;"Y")+
sumifs(Schedule!R:R,Schedule!L:L,A15,Schedule!J:J,"&lt;&gt;"&amp;"",Schedule!J:J,"&lt;&gt;"&amp;"Y")+
sumifs(Schedule!U:U,Schedule!L:L,A15,Schedule!J:J,"&lt;&gt;"&amp;"",Schedule!J:J,"&lt;&gt;"&amp;"Y")+
sumifs(Schedule!X:X,Schedule!L:L,A15,Schedule!J:J,"&lt;&gt;"&amp;"",Schedule!J:J,"&lt;&gt;"&amp;"Y")+
sumifs(Schedule!AA:AA,Schedule!L:L,A15,Schedule!J:J,"&lt;&gt;"&amp;"",Schedule!J:J,"&lt;&gt;"&amp;"Y")+
sumifs(Schedule!AD:AD,Schedule!L:L,A15,Schedule!J:J,"&lt;&gt;"&amp;"",Schedule!J:J,"&lt;&gt;"&amp;"Y"))/4))</f>
        <v>257.5</v>
      </c>
      <c r="D15" t="str">
        <f>IFERROR(__xludf.DUMMYFUNCTION("""COMPUTED_VALUE"""),"John Jensen")</f>
        <v>John Jensen</v>
      </c>
      <c r="E15" s="162">
        <f>IFERROR(__xludf.DUMMYFUNCTION("""COMPUTED_VALUE"""),95.0)</f>
        <v>95</v>
      </c>
    </row>
    <row r="16">
      <c r="A16" t="s">
        <v>155</v>
      </c>
      <c r="B16" s="162">
        <f>if(A16="","",(
sumifs(Schedule!O:O,Schedule!L:L,A16,Schedule!J:J,"&lt;&gt;"&amp;"Q1",Schedule!J:J,"&lt;&gt;"&amp;"Q2",Schedule!J:J,"&lt;&gt;"&amp;"Q3",Schedule!J:J,"&lt;&gt;"&amp;"Q4")+
sumifs(Schedule!R:R,Schedule!L:L,A16,Schedule!J:J,"&lt;&gt;"&amp;"Q1",Schedule!J:J,"&lt;&gt;"&amp;"Q2",Schedule!J:J,"&lt;&gt;"&amp;"Q3",Schedule!J:J,"&lt;&gt;"&amp;"Q4")+
sumifs(Schedule!U:U,Schedule!L:L,A16,Schedule!J:J,"&lt;&gt;"&amp;"Q1",Schedule!J:J,"&lt;&gt;"&amp;"Q2",Schedule!J:J,"&lt;&gt;"&amp;"Q3",Schedule!J:J,"&lt;&gt;"&amp;"Q4")+
sumifs(Schedule!X:X,Schedule!L:L,A16,Schedule!J:J,"&lt;&gt;"&amp;"Q1",Schedule!J:J,"&lt;&gt;"&amp;"Q2",Schedule!J:J,"&lt;&gt;"&amp;"Q3",Schedule!J:J,"&lt;&gt;"&amp;"Q4")+
sumifs(Schedule!AA:AA,Schedule!L:L,A16,Schedule!J:J,"&lt;&gt;"&amp;"Q1",Schedule!J:J,"&lt;&gt;"&amp;"Q2",Schedule!J:J,"&lt;&gt;"&amp;"Q3",Schedule!J:J,"&lt;&gt;"&amp;"Q4")+
sumifs(Schedule!AD:AD,Schedule!L:L,A16,Schedule!J:J,"&lt;&gt;"&amp;"Q1",Schedule!J:J,"&lt;&gt;"&amp;"Q2",Schedule!J:J,"&lt;&gt;"&amp;"Q3",Schedule!J:J,"&lt;&gt;"&amp;"Q4")+
(sumifs(Schedule!O:O,Schedule!L:L,A16,Schedule!J:J,"&lt;&gt;"&amp;"",Schedule!J:J,"&lt;&gt;"&amp;"Y")+
sumifs(Schedule!R:R,Schedule!L:L,A16,Schedule!J:J,"&lt;&gt;"&amp;"",Schedule!J:J,"&lt;&gt;"&amp;"Y")+
sumifs(Schedule!U:U,Schedule!L:L,A16,Schedule!J:J,"&lt;&gt;"&amp;"",Schedule!J:J,"&lt;&gt;"&amp;"Y")+
sumifs(Schedule!X:X,Schedule!L:L,A16,Schedule!J:J,"&lt;&gt;"&amp;"",Schedule!J:J,"&lt;&gt;"&amp;"Y")+
sumifs(Schedule!AA:AA,Schedule!L:L,A16,Schedule!J:J,"&lt;&gt;"&amp;"",Schedule!J:J,"&lt;&gt;"&amp;"Y")+
sumifs(Schedule!AD:AD,Schedule!L:L,A16,Schedule!J:J,"&lt;&gt;"&amp;"",Schedule!J:J,"&lt;&gt;"&amp;"Y"))/4))</f>
        <v>96</v>
      </c>
      <c r="D16" t="str">
        <f>IFERROR(__xludf.DUMMYFUNCTION("""COMPUTED_VALUE"""),"Michael Ramires")</f>
        <v>Michael Ramires</v>
      </c>
      <c r="E16" s="162">
        <f>IFERROR(__xludf.DUMMYFUNCTION("""COMPUTED_VALUE"""),94.0)</f>
        <v>94</v>
      </c>
    </row>
    <row r="17">
      <c r="A17" t="s">
        <v>156</v>
      </c>
      <c r="B17" s="162">
        <f>if(A17="","",(
sumifs(Schedule!O:O,Schedule!L:L,A17,Schedule!J:J,"&lt;&gt;"&amp;"Q1",Schedule!J:J,"&lt;&gt;"&amp;"Q2",Schedule!J:J,"&lt;&gt;"&amp;"Q3",Schedule!J:J,"&lt;&gt;"&amp;"Q4")+
sumifs(Schedule!R:R,Schedule!L:L,A17,Schedule!J:J,"&lt;&gt;"&amp;"Q1",Schedule!J:J,"&lt;&gt;"&amp;"Q2",Schedule!J:J,"&lt;&gt;"&amp;"Q3",Schedule!J:J,"&lt;&gt;"&amp;"Q4")+
sumifs(Schedule!U:U,Schedule!L:L,A17,Schedule!J:J,"&lt;&gt;"&amp;"Q1",Schedule!J:J,"&lt;&gt;"&amp;"Q2",Schedule!J:J,"&lt;&gt;"&amp;"Q3",Schedule!J:J,"&lt;&gt;"&amp;"Q4")+
sumifs(Schedule!X:X,Schedule!L:L,A17,Schedule!J:J,"&lt;&gt;"&amp;"Q1",Schedule!J:J,"&lt;&gt;"&amp;"Q2",Schedule!J:J,"&lt;&gt;"&amp;"Q3",Schedule!J:J,"&lt;&gt;"&amp;"Q4")+
sumifs(Schedule!AA:AA,Schedule!L:L,A17,Schedule!J:J,"&lt;&gt;"&amp;"Q1",Schedule!J:J,"&lt;&gt;"&amp;"Q2",Schedule!J:J,"&lt;&gt;"&amp;"Q3",Schedule!J:J,"&lt;&gt;"&amp;"Q4")+
sumifs(Schedule!AD:AD,Schedule!L:L,A17,Schedule!J:J,"&lt;&gt;"&amp;"Q1",Schedule!J:J,"&lt;&gt;"&amp;"Q2",Schedule!J:J,"&lt;&gt;"&amp;"Q3",Schedule!J:J,"&lt;&gt;"&amp;"Q4")+
(sumifs(Schedule!O:O,Schedule!L:L,A17,Schedule!J:J,"&lt;&gt;"&amp;"",Schedule!J:J,"&lt;&gt;"&amp;"Y")+
sumifs(Schedule!R:R,Schedule!L:L,A17,Schedule!J:J,"&lt;&gt;"&amp;"",Schedule!J:J,"&lt;&gt;"&amp;"Y")+
sumifs(Schedule!U:U,Schedule!L:L,A17,Schedule!J:J,"&lt;&gt;"&amp;"",Schedule!J:J,"&lt;&gt;"&amp;"Y")+
sumifs(Schedule!X:X,Schedule!L:L,A17,Schedule!J:J,"&lt;&gt;"&amp;"",Schedule!J:J,"&lt;&gt;"&amp;"Y")+
sumifs(Schedule!AA:AA,Schedule!L:L,A17,Schedule!J:J,"&lt;&gt;"&amp;"",Schedule!J:J,"&lt;&gt;"&amp;"Y")+
sumifs(Schedule!AD:AD,Schedule!L:L,A17,Schedule!J:J,"&lt;&gt;"&amp;"",Schedule!J:J,"&lt;&gt;"&amp;"Y"))/4))</f>
        <v>67</v>
      </c>
      <c r="D17" t="str">
        <f>IFERROR(__xludf.DUMMYFUNCTION("""COMPUTED_VALUE"""),"Shaila Raen Nicholson")</f>
        <v>Shaila Raen Nicholson</v>
      </c>
      <c r="E17" s="162">
        <f>IFERROR(__xludf.DUMMYFUNCTION("""COMPUTED_VALUE"""),93.0)</f>
        <v>93</v>
      </c>
    </row>
    <row r="18">
      <c r="A18" t="s">
        <v>160</v>
      </c>
      <c r="B18" s="162">
        <f>if(A18="","",(
sumifs(Schedule!O:O,Schedule!L:L,A18,Schedule!J:J,"&lt;&gt;"&amp;"Q1",Schedule!J:J,"&lt;&gt;"&amp;"Q2",Schedule!J:J,"&lt;&gt;"&amp;"Q3",Schedule!J:J,"&lt;&gt;"&amp;"Q4")+
sumifs(Schedule!R:R,Schedule!L:L,A18,Schedule!J:J,"&lt;&gt;"&amp;"Q1",Schedule!J:J,"&lt;&gt;"&amp;"Q2",Schedule!J:J,"&lt;&gt;"&amp;"Q3",Schedule!J:J,"&lt;&gt;"&amp;"Q4")+
sumifs(Schedule!U:U,Schedule!L:L,A18,Schedule!J:J,"&lt;&gt;"&amp;"Q1",Schedule!J:J,"&lt;&gt;"&amp;"Q2",Schedule!J:J,"&lt;&gt;"&amp;"Q3",Schedule!J:J,"&lt;&gt;"&amp;"Q4")+
sumifs(Schedule!X:X,Schedule!L:L,A18,Schedule!J:J,"&lt;&gt;"&amp;"Q1",Schedule!J:J,"&lt;&gt;"&amp;"Q2",Schedule!J:J,"&lt;&gt;"&amp;"Q3",Schedule!J:J,"&lt;&gt;"&amp;"Q4")+
sumifs(Schedule!AA:AA,Schedule!L:L,A18,Schedule!J:J,"&lt;&gt;"&amp;"Q1",Schedule!J:J,"&lt;&gt;"&amp;"Q2",Schedule!J:J,"&lt;&gt;"&amp;"Q3",Schedule!J:J,"&lt;&gt;"&amp;"Q4")+
sumifs(Schedule!AD:AD,Schedule!L:L,A18,Schedule!J:J,"&lt;&gt;"&amp;"Q1",Schedule!J:J,"&lt;&gt;"&amp;"Q2",Schedule!J:J,"&lt;&gt;"&amp;"Q3",Schedule!J:J,"&lt;&gt;"&amp;"Q4")+
(sumifs(Schedule!O:O,Schedule!L:L,A18,Schedule!J:J,"&lt;&gt;"&amp;"",Schedule!J:J,"&lt;&gt;"&amp;"Y")+
sumifs(Schedule!R:R,Schedule!L:L,A18,Schedule!J:J,"&lt;&gt;"&amp;"",Schedule!J:J,"&lt;&gt;"&amp;"Y")+
sumifs(Schedule!U:U,Schedule!L:L,A18,Schedule!J:J,"&lt;&gt;"&amp;"",Schedule!J:J,"&lt;&gt;"&amp;"Y")+
sumifs(Schedule!X:X,Schedule!L:L,A18,Schedule!J:J,"&lt;&gt;"&amp;"",Schedule!J:J,"&lt;&gt;"&amp;"Y")+
sumifs(Schedule!AA:AA,Schedule!L:L,A18,Schedule!J:J,"&lt;&gt;"&amp;"",Schedule!J:J,"&lt;&gt;"&amp;"Y")+
sumifs(Schedule!AD:AD,Schedule!L:L,A18,Schedule!J:J,"&lt;&gt;"&amp;"",Schedule!J:J,"&lt;&gt;"&amp;"Y"))/4))</f>
        <v>96</v>
      </c>
      <c r="D18" t="str">
        <f>IFERROR(__xludf.DUMMYFUNCTION("""COMPUTED_VALUE"""),"Nasli Vargas")</f>
        <v>Nasli Vargas</v>
      </c>
      <c r="E18" s="162">
        <f>IFERROR(__xludf.DUMMYFUNCTION("""COMPUTED_VALUE"""),92.0)</f>
        <v>92</v>
      </c>
    </row>
    <row r="19">
      <c r="A19" t="s">
        <v>157</v>
      </c>
      <c r="B19" s="162">
        <f>if(A19="","",(
sumifs(Schedule!O:O,Schedule!L:L,A19,Schedule!J:J,"&lt;&gt;"&amp;"Q1",Schedule!J:J,"&lt;&gt;"&amp;"Q2",Schedule!J:J,"&lt;&gt;"&amp;"Q3",Schedule!J:J,"&lt;&gt;"&amp;"Q4")+
sumifs(Schedule!R:R,Schedule!L:L,A19,Schedule!J:J,"&lt;&gt;"&amp;"Q1",Schedule!J:J,"&lt;&gt;"&amp;"Q2",Schedule!J:J,"&lt;&gt;"&amp;"Q3",Schedule!J:J,"&lt;&gt;"&amp;"Q4")+
sumifs(Schedule!U:U,Schedule!L:L,A19,Schedule!J:J,"&lt;&gt;"&amp;"Q1",Schedule!J:J,"&lt;&gt;"&amp;"Q2",Schedule!J:J,"&lt;&gt;"&amp;"Q3",Schedule!J:J,"&lt;&gt;"&amp;"Q4")+
sumifs(Schedule!X:X,Schedule!L:L,A19,Schedule!J:J,"&lt;&gt;"&amp;"Q1",Schedule!J:J,"&lt;&gt;"&amp;"Q2",Schedule!J:J,"&lt;&gt;"&amp;"Q3",Schedule!J:J,"&lt;&gt;"&amp;"Q4")+
sumifs(Schedule!AA:AA,Schedule!L:L,A19,Schedule!J:J,"&lt;&gt;"&amp;"Q1",Schedule!J:J,"&lt;&gt;"&amp;"Q2",Schedule!J:J,"&lt;&gt;"&amp;"Q3",Schedule!J:J,"&lt;&gt;"&amp;"Q4")+
sumifs(Schedule!AD:AD,Schedule!L:L,A19,Schedule!J:J,"&lt;&gt;"&amp;"Q1",Schedule!J:J,"&lt;&gt;"&amp;"Q2",Schedule!J:J,"&lt;&gt;"&amp;"Q3",Schedule!J:J,"&lt;&gt;"&amp;"Q4")+
(sumifs(Schedule!O:O,Schedule!L:L,A19,Schedule!J:J,"&lt;&gt;"&amp;"",Schedule!J:J,"&lt;&gt;"&amp;"Y")+
sumifs(Schedule!R:R,Schedule!L:L,A19,Schedule!J:J,"&lt;&gt;"&amp;"",Schedule!J:J,"&lt;&gt;"&amp;"Y")+
sumifs(Schedule!U:U,Schedule!L:L,A19,Schedule!J:J,"&lt;&gt;"&amp;"",Schedule!J:J,"&lt;&gt;"&amp;"Y")+
sumifs(Schedule!X:X,Schedule!L:L,A19,Schedule!J:J,"&lt;&gt;"&amp;"",Schedule!J:J,"&lt;&gt;"&amp;"Y")+
sumifs(Schedule!AA:AA,Schedule!L:L,A19,Schedule!J:J,"&lt;&gt;"&amp;"",Schedule!J:J,"&lt;&gt;"&amp;"Y")+
sumifs(Schedule!AD:AD,Schedule!L:L,A19,Schedule!J:J,"&lt;&gt;"&amp;"",Schedule!J:J,"&lt;&gt;"&amp;"Y"))/4))</f>
        <v>97</v>
      </c>
      <c r="D19" t="str">
        <f>IFERROR(__xludf.DUMMYFUNCTION("""COMPUTED_VALUE"""),"Geraldin Salazar")</f>
        <v>Geraldin Salazar</v>
      </c>
      <c r="E19" s="162">
        <f>IFERROR(__xludf.DUMMYFUNCTION("""COMPUTED_VALUE"""),91.0)</f>
        <v>91</v>
      </c>
    </row>
    <row r="20">
      <c r="A20" t="s">
        <v>165</v>
      </c>
      <c r="B20" s="162">
        <f>if(A20="","",(
sumifs(Schedule!O:O,Schedule!L:L,A20,Schedule!J:J,"&lt;&gt;"&amp;"Q1",Schedule!J:J,"&lt;&gt;"&amp;"Q2",Schedule!J:J,"&lt;&gt;"&amp;"Q3",Schedule!J:J,"&lt;&gt;"&amp;"Q4")+
sumifs(Schedule!R:R,Schedule!L:L,A20,Schedule!J:J,"&lt;&gt;"&amp;"Q1",Schedule!J:J,"&lt;&gt;"&amp;"Q2",Schedule!J:J,"&lt;&gt;"&amp;"Q3",Schedule!J:J,"&lt;&gt;"&amp;"Q4")+
sumifs(Schedule!U:U,Schedule!L:L,A20,Schedule!J:J,"&lt;&gt;"&amp;"Q1",Schedule!J:J,"&lt;&gt;"&amp;"Q2",Schedule!J:J,"&lt;&gt;"&amp;"Q3",Schedule!J:J,"&lt;&gt;"&amp;"Q4")+
sumifs(Schedule!X:X,Schedule!L:L,A20,Schedule!J:J,"&lt;&gt;"&amp;"Q1",Schedule!J:J,"&lt;&gt;"&amp;"Q2",Schedule!J:J,"&lt;&gt;"&amp;"Q3",Schedule!J:J,"&lt;&gt;"&amp;"Q4")+
sumifs(Schedule!AA:AA,Schedule!L:L,A20,Schedule!J:J,"&lt;&gt;"&amp;"Q1",Schedule!J:J,"&lt;&gt;"&amp;"Q2",Schedule!J:J,"&lt;&gt;"&amp;"Q3",Schedule!J:J,"&lt;&gt;"&amp;"Q4")+
sumifs(Schedule!AD:AD,Schedule!L:L,A20,Schedule!J:J,"&lt;&gt;"&amp;"Q1",Schedule!J:J,"&lt;&gt;"&amp;"Q2",Schedule!J:J,"&lt;&gt;"&amp;"Q3",Schedule!J:J,"&lt;&gt;"&amp;"Q4")+
(sumifs(Schedule!O:O,Schedule!L:L,A20,Schedule!J:J,"&lt;&gt;"&amp;"",Schedule!J:J,"&lt;&gt;"&amp;"Y")+
sumifs(Schedule!R:R,Schedule!L:L,A20,Schedule!J:J,"&lt;&gt;"&amp;"",Schedule!J:J,"&lt;&gt;"&amp;"Y")+
sumifs(Schedule!U:U,Schedule!L:L,A20,Schedule!J:J,"&lt;&gt;"&amp;"",Schedule!J:J,"&lt;&gt;"&amp;"Y")+
sumifs(Schedule!X:X,Schedule!L:L,A20,Schedule!J:J,"&lt;&gt;"&amp;"",Schedule!J:J,"&lt;&gt;"&amp;"Y")+
sumifs(Schedule!AA:AA,Schedule!L:L,A20,Schedule!J:J,"&lt;&gt;"&amp;"",Schedule!J:J,"&lt;&gt;"&amp;"Y")+
sumifs(Schedule!AD:AD,Schedule!L:L,A20,Schedule!J:J,"&lt;&gt;"&amp;"",Schedule!J:J,"&lt;&gt;"&amp;"Y"))/4))</f>
        <v>94</v>
      </c>
      <c r="D20" t="str">
        <f>IFERROR(__xludf.DUMMYFUNCTION("""COMPUTED_VALUE"""),"Miguel Muñoz Ruiz")</f>
        <v>Miguel Muñoz Ruiz</v>
      </c>
      <c r="E20" s="162">
        <f>IFERROR(__xludf.DUMMYFUNCTION("""COMPUTED_VALUE"""),91.0)</f>
        <v>91</v>
      </c>
    </row>
    <row r="21">
      <c r="A21" t="s">
        <v>168</v>
      </c>
      <c r="B21" s="162">
        <f>if(A21="","",(
sumifs(Schedule!O:O,Schedule!L:L,A21,Schedule!J:J,"&lt;&gt;"&amp;"Q1",Schedule!J:J,"&lt;&gt;"&amp;"Q2",Schedule!J:J,"&lt;&gt;"&amp;"Q3",Schedule!J:J,"&lt;&gt;"&amp;"Q4")+
sumifs(Schedule!R:R,Schedule!L:L,A21,Schedule!J:J,"&lt;&gt;"&amp;"Q1",Schedule!J:J,"&lt;&gt;"&amp;"Q2",Schedule!J:J,"&lt;&gt;"&amp;"Q3",Schedule!J:J,"&lt;&gt;"&amp;"Q4")+
sumifs(Schedule!U:U,Schedule!L:L,A21,Schedule!J:J,"&lt;&gt;"&amp;"Q1",Schedule!J:J,"&lt;&gt;"&amp;"Q2",Schedule!J:J,"&lt;&gt;"&amp;"Q3",Schedule!J:J,"&lt;&gt;"&amp;"Q4")+
sumifs(Schedule!X:X,Schedule!L:L,A21,Schedule!J:J,"&lt;&gt;"&amp;"Q1",Schedule!J:J,"&lt;&gt;"&amp;"Q2",Schedule!J:J,"&lt;&gt;"&amp;"Q3",Schedule!J:J,"&lt;&gt;"&amp;"Q4")+
sumifs(Schedule!AA:AA,Schedule!L:L,A21,Schedule!J:J,"&lt;&gt;"&amp;"Q1",Schedule!J:J,"&lt;&gt;"&amp;"Q2",Schedule!J:J,"&lt;&gt;"&amp;"Q3",Schedule!J:J,"&lt;&gt;"&amp;"Q4")+
sumifs(Schedule!AD:AD,Schedule!L:L,A21,Schedule!J:J,"&lt;&gt;"&amp;"Q1",Schedule!J:J,"&lt;&gt;"&amp;"Q2",Schedule!J:J,"&lt;&gt;"&amp;"Q3",Schedule!J:J,"&lt;&gt;"&amp;"Q4")+
(sumifs(Schedule!O:O,Schedule!L:L,A21,Schedule!J:J,"&lt;&gt;"&amp;"",Schedule!J:J,"&lt;&gt;"&amp;"Y")+
sumifs(Schedule!R:R,Schedule!L:L,A21,Schedule!J:J,"&lt;&gt;"&amp;"",Schedule!J:J,"&lt;&gt;"&amp;"Y")+
sumifs(Schedule!U:U,Schedule!L:L,A21,Schedule!J:J,"&lt;&gt;"&amp;"",Schedule!J:J,"&lt;&gt;"&amp;"Y")+
sumifs(Schedule!X:X,Schedule!L:L,A21,Schedule!J:J,"&lt;&gt;"&amp;"",Schedule!J:J,"&lt;&gt;"&amp;"Y")+
sumifs(Schedule!AA:AA,Schedule!L:L,A21,Schedule!J:J,"&lt;&gt;"&amp;"",Schedule!J:J,"&lt;&gt;"&amp;"Y")+
sumifs(Schedule!AD:AD,Schedule!L:L,A21,Schedule!J:J,"&lt;&gt;"&amp;"",Schedule!J:J,"&lt;&gt;"&amp;"Y"))/4))</f>
        <v>91</v>
      </c>
      <c r="D21" t="str">
        <f>IFERROR(__xludf.DUMMYFUNCTION("""COMPUTED_VALUE"""),"Andrea Gil")</f>
        <v>Andrea Gil</v>
      </c>
      <c r="E21" s="162">
        <f>IFERROR(__xludf.DUMMYFUNCTION("""COMPUTED_VALUE"""),90.0)</f>
        <v>90</v>
      </c>
    </row>
    <row r="22">
      <c r="A22" t="s">
        <v>148</v>
      </c>
      <c r="B22" s="162">
        <f>if(A22="","",(
sumifs(Schedule!O:O,Schedule!L:L,A22,Schedule!J:J,"&lt;&gt;"&amp;"Q1",Schedule!J:J,"&lt;&gt;"&amp;"Q2",Schedule!J:J,"&lt;&gt;"&amp;"Q3",Schedule!J:J,"&lt;&gt;"&amp;"Q4")+
sumifs(Schedule!R:R,Schedule!L:L,A22,Schedule!J:J,"&lt;&gt;"&amp;"Q1",Schedule!J:J,"&lt;&gt;"&amp;"Q2",Schedule!J:J,"&lt;&gt;"&amp;"Q3",Schedule!J:J,"&lt;&gt;"&amp;"Q4")+
sumifs(Schedule!U:U,Schedule!L:L,A22,Schedule!J:J,"&lt;&gt;"&amp;"Q1",Schedule!J:J,"&lt;&gt;"&amp;"Q2",Schedule!J:J,"&lt;&gt;"&amp;"Q3",Schedule!J:J,"&lt;&gt;"&amp;"Q4")+
sumifs(Schedule!X:X,Schedule!L:L,A22,Schedule!J:J,"&lt;&gt;"&amp;"Q1",Schedule!J:J,"&lt;&gt;"&amp;"Q2",Schedule!J:J,"&lt;&gt;"&amp;"Q3",Schedule!J:J,"&lt;&gt;"&amp;"Q4")+
sumifs(Schedule!AA:AA,Schedule!L:L,A22,Schedule!J:J,"&lt;&gt;"&amp;"Q1",Schedule!J:J,"&lt;&gt;"&amp;"Q2",Schedule!J:J,"&lt;&gt;"&amp;"Q3",Schedule!J:J,"&lt;&gt;"&amp;"Q4")+
sumifs(Schedule!AD:AD,Schedule!L:L,A22,Schedule!J:J,"&lt;&gt;"&amp;"Q1",Schedule!J:J,"&lt;&gt;"&amp;"Q2",Schedule!J:J,"&lt;&gt;"&amp;"Q3",Schedule!J:J,"&lt;&gt;"&amp;"Q4")+
(sumifs(Schedule!O:O,Schedule!L:L,A22,Schedule!J:J,"&lt;&gt;"&amp;"",Schedule!J:J,"&lt;&gt;"&amp;"Y")+
sumifs(Schedule!R:R,Schedule!L:L,A22,Schedule!J:J,"&lt;&gt;"&amp;"",Schedule!J:J,"&lt;&gt;"&amp;"Y")+
sumifs(Schedule!U:U,Schedule!L:L,A22,Schedule!J:J,"&lt;&gt;"&amp;"",Schedule!J:J,"&lt;&gt;"&amp;"Y")+
sumifs(Schedule!X:X,Schedule!L:L,A22,Schedule!J:J,"&lt;&gt;"&amp;"",Schedule!J:J,"&lt;&gt;"&amp;"Y")+
sumifs(Schedule!AA:AA,Schedule!L:L,A22,Schedule!J:J,"&lt;&gt;"&amp;"",Schedule!J:J,"&lt;&gt;"&amp;"Y")+
sumifs(Schedule!AD:AD,Schedule!L:L,A22,Schedule!J:J,"&lt;&gt;"&amp;"",Schedule!J:J,"&lt;&gt;"&amp;"Y"))/4))</f>
        <v>208</v>
      </c>
      <c r="D22" t="str">
        <f>IFERROR(__xludf.DUMMYFUNCTION("""COMPUTED_VALUE"""),"Taylor Nielson")</f>
        <v>Taylor Nielson</v>
      </c>
      <c r="E22" s="162">
        <f>IFERROR(__xludf.DUMMYFUNCTION("""COMPUTED_VALUE"""),89.0)</f>
        <v>89</v>
      </c>
    </row>
    <row r="23">
      <c r="A23" t="s">
        <v>172</v>
      </c>
      <c r="B23" s="162">
        <f>if(A23="","",(
sumifs(Schedule!O:O,Schedule!L:L,A23,Schedule!J:J,"&lt;&gt;"&amp;"Q1",Schedule!J:J,"&lt;&gt;"&amp;"Q2",Schedule!J:J,"&lt;&gt;"&amp;"Q3",Schedule!J:J,"&lt;&gt;"&amp;"Q4")+
sumifs(Schedule!R:R,Schedule!L:L,A23,Schedule!J:J,"&lt;&gt;"&amp;"Q1",Schedule!J:J,"&lt;&gt;"&amp;"Q2",Schedule!J:J,"&lt;&gt;"&amp;"Q3",Schedule!J:J,"&lt;&gt;"&amp;"Q4")+
sumifs(Schedule!U:U,Schedule!L:L,A23,Schedule!J:J,"&lt;&gt;"&amp;"Q1",Schedule!J:J,"&lt;&gt;"&amp;"Q2",Schedule!J:J,"&lt;&gt;"&amp;"Q3",Schedule!J:J,"&lt;&gt;"&amp;"Q4")+
sumifs(Schedule!X:X,Schedule!L:L,A23,Schedule!J:J,"&lt;&gt;"&amp;"Q1",Schedule!J:J,"&lt;&gt;"&amp;"Q2",Schedule!J:J,"&lt;&gt;"&amp;"Q3",Schedule!J:J,"&lt;&gt;"&amp;"Q4")+
sumifs(Schedule!AA:AA,Schedule!L:L,A23,Schedule!J:J,"&lt;&gt;"&amp;"Q1",Schedule!J:J,"&lt;&gt;"&amp;"Q2",Schedule!J:J,"&lt;&gt;"&amp;"Q3",Schedule!J:J,"&lt;&gt;"&amp;"Q4")+
sumifs(Schedule!AD:AD,Schedule!L:L,A23,Schedule!J:J,"&lt;&gt;"&amp;"Q1",Schedule!J:J,"&lt;&gt;"&amp;"Q2",Schedule!J:J,"&lt;&gt;"&amp;"Q3",Schedule!J:J,"&lt;&gt;"&amp;"Q4")+
(sumifs(Schedule!O:O,Schedule!L:L,A23,Schedule!J:J,"&lt;&gt;"&amp;"",Schedule!J:J,"&lt;&gt;"&amp;"Y")+
sumifs(Schedule!R:R,Schedule!L:L,A23,Schedule!J:J,"&lt;&gt;"&amp;"",Schedule!J:J,"&lt;&gt;"&amp;"Y")+
sumifs(Schedule!U:U,Schedule!L:L,A23,Schedule!J:J,"&lt;&gt;"&amp;"",Schedule!J:J,"&lt;&gt;"&amp;"Y")+
sumifs(Schedule!X:X,Schedule!L:L,A23,Schedule!J:J,"&lt;&gt;"&amp;"",Schedule!J:J,"&lt;&gt;"&amp;"Y")+
sumifs(Schedule!AA:AA,Schedule!L:L,A23,Schedule!J:J,"&lt;&gt;"&amp;"",Schedule!J:J,"&lt;&gt;"&amp;"Y")+
sumifs(Schedule!AD:AD,Schedule!L:L,A23,Schedule!J:J,"&lt;&gt;"&amp;"",Schedule!J:J,"&lt;&gt;"&amp;"Y"))/4))</f>
        <v>92</v>
      </c>
      <c r="D23" t="str">
        <f>IFERROR(__xludf.DUMMYFUNCTION("""COMPUTED_VALUE"""),"Adriana RamIrez")</f>
        <v>Adriana RamIrez</v>
      </c>
      <c r="E23" s="162">
        <f>IFERROR(__xludf.DUMMYFUNCTION("""COMPUTED_VALUE"""),88.0)</f>
        <v>88</v>
      </c>
    </row>
    <row r="24">
      <c r="A24" t="s">
        <v>166</v>
      </c>
      <c r="B24" s="162">
        <f>if(A24="","",(
sumifs(Schedule!O:O,Schedule!L:L,A24,Schedule!J:J,"&lt;&gt;"&amp;"Q1",Schedule!J:J,"&lt;&gt;"&amp;"Q2",Schedule!J:J,"&lt;&gt;"&amp;"Q3",Schedule!J:J,"&lt;&gt;"&amp;"Q4")+
sumifs(Schedule!R:R,Schedule!L:L,A24,Schedule!J:J,"&lt;&gt;"&amp;"Q1",Schedule!J:J,"&lt;&gt;"&amp;"Q2",Schedule!J:J,"&lt;&gt;"&amp;"Q3",Schedule!J:J,"&lt;&gt;"&amp;"Q4")+
sumifs(Schedule!U:U,Schedule!L:L,A24,Schedule!J:J,"&lt;&gt;"&amp;"Q1",Schedule!J:J,"&lt;&gt;"&amp;"Q2",Schedule!J:J,"&lt;&gt;"&amp;"Q3",Schedule!J:J,"&lt;&gt;"&amp;"Q4")+
sumifs(Schedule!X:X,Schedule!L:L,A24,Schedule!J:J,"&lt;&gt;"&amp;"Q1",Schedule!J:J,"&lt;&gt;"&amp;"Q2",Schedule!J:J,"&lt;&gt;"&amp;"Q3",Schedule!J:J,"&lt;&gt;"&amp;"Q4")+
sumifs(Schedule!AA:AA,Schedule!L:L,A24,Schedule!J:J,"&lt;&gt;"&amp;"Q1",Schedule!J:J,"&lt;&gt;"&amp;"Q2",Schedule!J:J,"&lt;&gt;"&amp;"Q3",Schedule!J:J,"&lt;&gt;"&amp;"Q4")+
sumifs(Schedule!AD:AD,Schedule!L:L,A24,Schedule!J:J,"&lt;&gt;"&amp;"Q1",Schedule!J:J,"&lt;&gt;"&amp;"Q2",Schedule!J:J,"&lt;&gt;"&amp;"Q3",Schedule!J:J,"&lt;&gt;"&amp;"Q4")+
(sumifs(Schedule!O:O,Schedule!L:L,A24,Schedule!J:J,"&lt;&gt;"&amp;"",Schedule!J:J,"&lt;&gt;"&amp;"Y")+
sumifs(Schedule!R:R,Schedule!L:L,A24,Schedule!J:J,"&lt;&gt;"&amp;"",Schedule!J:J,"&lt;&gt;"&amp;"Y")+
sumifs(Schedule!U:U,Schedule!L:L,A24,Schedule!J:J,"&lt;&gt;"&amp;"",Schedule!J:J,"&lt;&gt;"&amp;"Y")+
sumifs(Schedule!X:X,Schedule!L:L,A24,Schedule!J:J,"&lt;&gt;"&amp;"",Schedule!J:J,"&lt;&gt;"&amp;"Y")+
sumifs(Schedule!AA:AA,Schedule!L:L,A24,Schedule!J:J,"&lt;&gt;"&amp;"",Schedule!J:J,"&lt;&gt;"&amp;"Y")+
sumifs(Schedule!AD:AD,Schedule!L:L,A24,Schedule!J:J,"&lt;&gt;"&amp;"",Schedule!J:J,"&lt;&gt;"&amp;"Y"))/4))</f>
        <v>96</v>
      </c>
      <c r="D24" t="str">
        <f>IFERROR(__xludf.DUMMYFUNCTION("""COMPUTED_VALUE"""),"Chris Matthews")</f>
        <v>Chris Matthews</v>
      </c>
      <c r="E24" s="162">
        <f>IFERROR(__xludf.DUMMYFUNCTION("""COMPUTED_VALUE"""),88.0)</f>
        <v>88</v>
      </c>
    </row>
    <row r="25">
      <c r="A25" t="s">
        <v>174</v>
      </c>
      <c r="B25" s="162">
        <f>if(A25="","",(
sumifs(Schedule!O:O,Schedule!L:L,A25,Schedule!J:J,"&lt;&gt;"&amp;"Q1",Schedule!J:J,"&lt;&gt;"&amp;"Q2",Schedule!J:J,"&lt;&gt;"&amp;"Q3",Schedule!J:J,"&lt;&gt;"&amp;"Q4")+
sumifs(Schedule!R:R,Schedule!L:L,A25,Schedule!J:J,"&lt;&gt;"&amp;"Q1",Schedule!J:J,"&lt;&gt;"&amp;"Q2",Schedule!J:J,"&lt;&gt;"&amp;"Q3",Schedule!J:J,"&lt;&gt;"&amp;"Q4")+
sumifs(Schedule!U:U,Schedule!L:L,A25,Schedule!J:J,"&lt;&gt;"&amp;"Q1",Schedule!J:J,"&lt;&gt;"&amp;"Q2",Schedule!J:J,"&lt;&gt;"&amp;"Q3",Schedule!J:J,"&lt;&gt;"&amp;"Q4")+
sumifs(Schedule!X:X,Schedule!L:L,A25,Schedule!J:J,"&lt;&gt;"&amp;"Q1",Schedule!J:J,"&lt;&gt;"&amp;"Q2",Schedule!J:J,"&lt;&gt;"&amp;"Q3",Schedule!J:J,"&lt;&gt;"&amp;"Q4")+
sumifs(Schedule!AA:AA,Schedule!L:L,A25,Schedule!J:J,"&lt;&gt;"&amp;"Q1",Schedule!J:J,"&lt;&gt;"&amp;"Q2",Schedule!J:J,"&lt;&gt;"&amp;"Q3",Schedule!J:J,"&lt;&gt;"&amp;"Q4")+
sumifs(Schedule!AD:AD,Schedule!L:L,A25,Schedule!J:J,"&lt;&gt;"&amp;"Q1",Schedule!J:J,"&lt;&gt;"&amp;"Q2",Schedule!J:J,"&lt;&gt;"&amp;"Q3",Schedule!J:J,"&lt;&gt;"&amp;"Q4")+
(sumifs(Schedule!O:O,Schedule!L:L,A25,Schedule!J:J,"&lt;&gt;"&amp;"",Schedule!J:J,"&lt;&gt;"&amp;"Y")+
sumifs(Schedule!R:R,Schedule!L:L,A25,Schedule!J:J,"&lt;&gt;"&amp;"",Schedule!J:J,"&lt;&gt;"&amp;"Y")+
sumifs(Schedule!U:U,Schedule!L:L,A25,Schedule!J:J,"&lt;&gt;"&amp;"",Schedule!J:J,"&lt;&gt;"&amp;"Y")+
sumifs(Schedule!X:X,Schedule!L:L,A25,Schedule!J:J,"&lt;&gt;"&amp;"",Schedule!J:J,"&lt;&gt;"&amp;"Y")+
sumifs(Schedule!AA:AA,Schedule!L:L,A25,Schedule!J:J,"&lt;&gt;"&amp;"",Schedule!J:J,"&lt;&gt;"&amp;"Y")+
sumifs(Schedule!AD:AD,Schedule!L:L,A25,Schedule!J:J,"&lt;&gt;"&amp;"",Schedule!J:J,"&lt;&gt;"&amp;"Y"))/4))</f>
        <v>88</v>
      </c>
      <c r="D25" t="str">
        <f>IFERROR(__xludf.DUMMYFUNCTION("""COMPUTED_VALUE"""),"Sara DeAses")</f>
        <v>Sara DeAses</v>
      </c>
      <c r="E25" s="162">
        <f>IFERROR(__xludf.DUMMYFUNCTION("""COMPUTED_VALUE"""),88.0)</f>
        <v>88</v>
      </c>
    </row>
    <row r="26">
      <c r="A26" t="s">
        <v>178</v>
      </c>
      <c r="B26" s="162">
        <f>if(A26="","",(
sumifs(Schedule!O:O,Schedule!L:L,A26,Schedule!J:J,"&lt;&gt;"&amp;"Q1",Schedule!J:J,"&lt;&gt;"&amp;"Q2",Schedule!J:J,"&lt;&gt;"&amp;"Q3",Schedule!J:J,"&lt;&gt;"&amp;"Q4")+
sumifs(Schedule!R:R,Schedule!L:L,A26,Schedule!J:J,"&lt;&gt;"&amp;"Q1",Schedule!J:J,"&lt;&gt;"&amp;"Q2",Schedule!J:J,"&lt;&gt;"&amp;"Q3",Schedule!J:J,"&lt;&gt;"&amp;"Q4")+
sumifs(Schedule!U:U,Schedule!L:L,A26,Schedule!J:J,"&lt;&gt;"&amp;"Q1",Schedule!J:J,"&lt;&gt;"&amp;"Q2",Schedule!J:J,"&lt;&gt;"&amp;"Q3",Schedule!J:J,"&lt;&gt;"&amp;"Q4")+
sumifs(Schedule!X:X,Schedule!L:L,A26,Schedule!J:J,"&lt;&gt;"&amp;"Q1",Schedule!J:J,"&lt;&gt;"&amp;"Q2",Schedule!J:J,"&lt;&gt;"&amp;"Q3",Schedule!J:J,"&lt;&gt;"&amp;"Q4")+
sumifs(Schedule!AA:AA,Schedule!L:L,A26,Schedule!J:J,"&lt;&gt;"&amp;"Q1",Schedule!J:J,"&lt;&gt;"&amp;"Q2",Schedule!J:J,"&lt;&gt;"&amp;"Q3",Schedule!J:J,"&lt;&gt;"&amp;"Q4")+
sumifs(Schedule!AD:AD,Schedule!L:L,A26,Schedule!J:J,"&lt;&gt;"&amp;"Q1",Schedule!J:J,"&lt;&gt;"&amp;"Q2",Schedule!J:J,"&lt;&gt;"&amp;"Q3",Schedule!J:J,"&lt;&gt;"&amp;"Q4")+
(sumifs(Schedule!O:O,Schedule!L:L,A26,Schedule!J:J,"&lt;&gt;"&amp;"",Schedule!J:J,"&lt;&gt;"&amp;"Y")+
sumifs(Schedule!R:R,Schedule!L:L,A26,Schedule!J:J,"&lt;&gt;"&amp;"",Schedule!J:J,"&lt;&gt;"&amp;"Y")+
sumifs(Schedule!U:U,Schedule!L:L,A26,Schedule!J:J,"&lt;&gt;"&amp;"",Schedule!J:J,"&lt;&gt;"&amp;"Y")+
sumifs(Schedule!X:X,Schedule!L:L,A26,Schedule!J:J,"&lt;&gt;"&amp;"",Schedule!J:J,"&lt;&gt;"&amp;"Y")+
sumifs(Schedule!AA:AA,Schedule!L:L,A26,Schedule!J:J,"&lt;&gt;"&amp;"",Schedule!J:J,"&lt;&gt;"&amp;"Y")+
sumifs(Schedule!AD:AD,Schedule!L:L,A26,Schedule!J:J,"&lt;&gt;"&amp;"",Schedule!J:J,"&lt;&gt;"&amp;"Y"))/4))</f>
        <v>96</v>
      </c>
      <c r="D26" t="str">
        <f>IFERROR(__xludf.DUMMYFUNCTION("""COMPUTED_VALUE"""),"Ana MarIa Rincon")</f>
        <v>Ana MarIa Rincon</v>
      </c>
      <c r="E26" s="162">
        <f>IFERROR(__xludf.DUMMYFUNCTION("""COMPUTED_VALUE"""),87.0)</f>
        <v>87</v>
      </c>
    </row>
    <row r="27">
      <c r="A27" t="s">
        <v>180</v>
      </c>
      <c r="B27" s="162">
        <f>if(A27="","",(
sumifs(Schedule!O:O,Schedule!L:L,A27,Schedule!J:J,"&lt;&gt;"&amp;"Q1",Schedule!J:J,"&lt;&gt;"&amp;"Q2",Schedule!J:J,"&lt;&gt;"&amp;"Q3",Schedule!J:J,"&lt;&gt;"&amp;"Q4")+
sumifs(Schedule!R:R,Schedule!L:L,A27,Schedule!J:J,"&lt;&gt;"&amp;"Q1",Schedule!J:J,"&lt;&gt;"&amp;"Q2",Schedule!J:J,"&lt;&gt;"&amp;"Q3",Schedule!J:J,"&lt;&gt;"&amp;"Q4")+
sumifs(Schedule!U:U,Schedule!L:L,A27,Schedule!J:J,"&lt;&gt;"&amp;"Q1",Schedule!J:J,"&lt;&gt;"&amp;"Q2",Schedule!J:J,"&lt;&gt;"&amp;"Q3",Schedule!J:J,"&lt;&gt;"&amp;"Q4")+
sumifs(Schedule!X:X,Schedule!L:L,A27,Schedule!J:J,"&lt;&gt;"&amp;"Q1",Schedule!J:J,"&lt;&gt;"&amp;"Q2",Schedule!J:J,"&lt;&gt;"&amp;"Q3",Schedule!J:J,"&lt;&gt;"&amp;"Q4")+
sumifs(Schedule!AA:AA,Schedule!L:L,A27,Schedule!J:J,"&lt;&gt;"&amp;"Q1",Schedule!J:J,"&lt;&gt;"&amp;"Q2",Schedule!J:J,"&lt;&gt;"&amp;"Q3",Schedule!J:J,"&lt;&gt;"&amp;"Q4")+
sumifs(Schedule!AD:AD,Schedule!L:L,A27,Schedule!J:J,"&lt;&gt;"&amp;"Q1",Schedule!J:J,"&lt;&gt;"&amp;"Q2",Schedule!J:J,"&lt;&gt;"&amp;"Q3",Schedule!J:J,"&lt;&gt;"&amp;"Q4")+
(sumifs(Schedule!O:O,Schedule!L:L,A27,Schedule!J:J,"&lt;&gt;"&amp;"",Schedule!J:J,"&lt;&gt;"&amp;"Y")+
sumifs(Schedule!R:R,Schedule!L:L,A27,Schedule!J:J,"&lt;&gt;"&amp;"",Schedule!J:J,"&lt;&gt;"&amp;"Y")+
sumifs(Schedule!U:U,Schedule!L:L,A27,Schedule!J:J,"&lt;&gt;"&amp;"",Schedule!J:J,"&lt;&gt;"&amp;"Y")+
sumifs(Schedule!X:X,Schedule!L:L,A27,Schedule!J:J,"&lt;&gt;"&amp;"",Schedule!J:J,"&lt;&gt;"&amp;"Y")+
sumifs(Schedule!AA:AA,Schedule!L:L,A27,Schedule!J:J,"&lt;&gt;"&amp;"",Schedule!J:J,"&lt;&gt;"&amp;"Y")+
sumifs(Schedule!AD:AD,Schedule!L:L,A27,Schedule!J:J,"&lt;&gt;"&amp;"",Schedule!J:J,"&lt;&gt;"&amp;"Y"))/4))</f>
        <v>93</v>
      </c>
      <c r="D27" t="str">
        <f>IFERROR(__xludf.DUMMYFUNCTION("""COMPUTED_VALUE"""),"Jordi Tur tur")</f>
        <v>Jordi Tur tur</v>
      </c>
      <c r="E27" s="162">
        <f>IFERROR(__xludf.DUMMYFUNCTION("""COMPUTED_VALUE"""),87.0)</f>
        <v>87</v>
      </c>
    </row>
    <row r="28">
      <c r="A28" t="s">
        <v>169</v>
      </c>
      <c r="B28" s="162">
        <f>if(A28="","",(
sumifs(Schedule!O:O,Schedule!L:L,A28,Schedule!J:J,"&lt;&gt;"&amp;"Q1",Schedule!J:J,"&lt;&gt;"&amp;"Q2",Schedule!J:J,"&lt;&gt;"&amp;"Q3",Schedule!J:J,"&lt;&gt;"&amp;"Q4")+
sumifs(Schedule!R:R,Schedule!L:L,A28,Schedule!J:J,"&lt;&gt;"&amp;"Q1",Schedule!J:J,"&lt;&gt;"&amp;"Q2",Schedule!J:J,"&lt;&gt;"&amp;"Q3",Schedule!J:J,"&lt;&gt;"&amp;"Q4")+
sumifs(Schedule!U:U,Schedule!L:L,A28,Schedule!J:J,"&lt;&gt;"&amp;"Q1",Schedule!J:J,"&lt;&gt;"&amp;"Q2",Schedule!J:J,"&lt;&gt;"&amp;"Q3",Schedule!J:J,"&lt;&gt;"&amp;"Q4")+
sumifs(Schedule!X:X,Schedule!L:L,A28,Schedule!J:J,"&lt;&gt;"&amp;"Q1",Schedule!J:J,"&lt;&gt;"&amp;"Q2",Schedule!J:J,"&lt;&gt;"&amp;"Q3",Schedule!J:J,"&lt;&gt;"&amp;"Q4")+
sumifs(Schedule!AA:AA,Schedule!L:L,A28,Schedule!J:J,"&lt;&gt;"&amp;"Q1",Schedule!J:J,"&lt;&gt;"&amp;"Q2",Schedule!J:J,"&lt;&gt;"&amp;"Q3",Schedule!J:J,"&lt;&gt;"&amp;"Q4")+
sumifs(Schedule!AD:AD,Schedule!L:L,A28,Schedule!J:J,"&lt;&gt;"&amp;"Q1",Schedule!J:J,"&lt;&gt;"&amp;"Q2",Schedule!J:J,"&lt;&gt;"&amp;"Q3",Schedule!J:J,"&lt;&gt;"&amp;"Q4")+
(sumifs(Schedule!O:O,Schedule!L:L,A28,Schedule!J:J,"&lt;&gt;"&amp;"",Schedule!J:J,"&lt;&gt;"&amp;"Y")+
sumifs(Schedule!R:R,Schedule!L:L,A28,Schedule!J:J,"&lt;&gt;"&amp;"",Schedule!J:J,"&lt;&gt;"&amp;"Y")+
sumifs(Schedule!U:U,Schedule!L:L,A28,Schedule!J:J,"&lt;&gt;"&amp;"",Schedule!J:J,"&lt;&gt;"&amp;"Y")+
sumifs(Schedule!X:X,Schedule!L:L,A28,Schedule!J:J,"&lt;&gt;"&amp;"",Schedule!J:J,"&lt;&gt;"&amp;"Y")+
sumifs(Schedule!AA:AA,Schedule!L:L,A28,Schedule!J:J,"&lt;&gt;"&amp;"",Schedule!J:J,"&lt;&gt;"&amp;"Y")+
sumifs(Schedule!AD:AD,Schedule!L:L,A28,Schedule!J:J,"&lt;&gt;"&amp;"",Schedule!J:J,"&lt;&gt;"&amp;"Y"))/4))</f>
        <v>89</v>
      </c>
      <c r="D28" t="str">
        <f>IFERROR(__xludf.DUMMYFUNCTION("""COMPUTED_VALUE"""),"William Duque")</f>
        <v>William Duque</v>
      </c>
      <c r="E28" s="162">
        <f>IFERROR(__xludf.DUMMYFUNCTION("""COMPUTED_VALUE"""),87.0)</f>
        <v>87</v>
      </c>
    </row>
    <row r="29">
      <c r="A29" t="s">
        <v>186</v>
      </c>
      <c r="B29" s="162">
        <f>if(A29="","",(
sumifs(Schedule!O:O,Schedule!L:L,A29,Schedule!J:J,"&lt;&gt;"&amp;"Q1",Schedule!J:J,"&lt;&gt;"&amp;"Q2",Schedule!J:J,"&lt;&gt;"&amp;"Q3",Schedule!J:J,"&lt;&gt;"&amp;"Q4")+
sumifs(Schedule!R:R,Schedule!L:L,A29,Schedule!J:J,"&lt;&gt;"&amp;"Q1",Schedule!J:J,"&lt;&gt;"&amp;"Q2",Schedule!J:J,"&lt;&gt;"&amp;"Q3",Schedule!J:J,"&lt;&gt;"&amp;"Q4")+
sumifs(Schedule!U:U,Schedule!L:L,A29,Schedule!J:J,"&lt;&gt;"&amp;"Q1",Schedule!J:J,"&lt;&gt;"&amp;"Q2",Schedule!J:J,"&lt;&gt;"&amp;"Q3",Schedule!J:J,"&lt;&gt;"&amp;"Q4")+
sumifs(Schedule!X:X,Schedule!L:L,A29,Schedule!J:J,"&lt;&gt;"&amp;"Q1",Schedule!J:J,"&lt;&gt;"&amp;"Q2",Schedule!J:J,"&lt;&gt;"&amp;"Q3",Schedule!J:J,"&lt;&gt;"&amp;"Q4")+
sumifs(Schedule!AA:AA,Schedule!L:L,A29,Schedule!J:J,"&lt;&gt;"&amp;"Q1",Schedule!J:J,"&lt;&gt;"&amp;"Q2",Schedule!J:J,"&lt;&gt;"&amp;"Q3",Schedule!J:J,"&lt;&gt;"&amp;"Q4")+
sumifs(Schedule!AD:AD,Schedule!L:L,A29,Schedule!J:J,"&lt;&gt;"&amp;"Q1",Schedule!J:J,"&lt;&gt;"&amp;"Q2",Schedule!J:J,"&lt;&gt;"&amp;"Q3",Schedule!J:J,"&lt;&gt;"&amp;"Q4")+
(sumifs(Schedule!O:O,Schedule!L:L,A29,Schedule!J:J,"&lt;&gt;"&amp;"",Schedule!J:J,"&lt;&gt;"&amp;"Y")+
sumifs(Schedule!R:R,Schedule!L:L,A29,Schedule!J:J,"&lt;&gt;"&amp;"",Schedule!J:J,"&lt;&gt;"&amp;"Y")+
sumifs(Schedule!U:U,Schedule!L:L,A29,Schedule!J:J,"&lt;&gt;"&amp;"",Schedule!J:J,"&lt;&gt;"&amp;"Y")+
sumifs(Schedule!X:X,Schedule!L:L,A29,Schedule!J:J,"&lt;&gt;"&amp;"",Schedule!J:J,"&lt;&gt;"&amp;"Y")+
sumifs(Schedule!AA:AA,Schedule!L:L,A29,Schedule!J:J,"&lt;&gt;"&amp;"",Schedule!J:J,"&lt;&gt;"&amp;"Y")+
sumifs(Schedule!AD:AD,Schedule!L:L,A29,Schedule!J:J,"&lt;&gt;"&amp;"",Schedule!J:J,"&lt;&gt;"&amp;"Y"))/4))</f>
        <v>55</v>
      </c>
      <c r="D29" t="str">
        <f>IFERROR(__xludf.DUMMYFUNCTION("""COMPUTED_VALUE"""),"Viviana")</f>
        <v>Viviana</v>
      </c>
      <c r="E29" s="162">
        <f>IFERROR(__xludf.DUMMYFUNCTION("""COMPUTED_VALUE"""),69.0)</f>
        <v>69</v>
      </c>
    </row>
    <row r="30">
      <c r="A30" t="s">
        <v>183</v>
      </c>
      <c r="B30" s="162">
        <f>if(A30="","",(
sumifs(Schedule!O:O,Schedule!L:L,A30,Schedule!J:J,"&lt;&gt;"&amp;"Q1",Schedule!J:J,"&lt;&gt;"&amp;"Q2",Schedule!J:J,"&lt;&gt;"&amp;"Q3",Schedule!J:J,"&lt;&gt;"&amp;"Q4")+
sumifs(Schedule!R:R,Schedule!L:L,A30,Schedule!J:J,"&lt;&gt;"&amp;"Q1",Schedule!J:J,"&lt;&gt;"&amp;"Q2",Schedule!J:J,"&lt;&gt;"&amp;"Q3",Schedule!J:J,"&lt;&gt;"&amp;"Q4")+
sumifs(Schedule!U:U,Schedule!L:L,A30,Schedule!J:J,"&lt;&gt;"&amp;"Q1",Schedule!J:J,"&lt;&gt;"&amp;"Q2",Schedule!J:J,"&lt;&gt;"&amp;"Q3",Schedule!J:J,"&lt;&gt;"&amp;"Q4")+
sumifs(Schedule!X:X,Schedule!L:L,A30,Schedule!J:J,"&lt;&gt;"&amp;"Q1",Schedule!J:J,"&lt;&gt;"&amp;"Q2",Schedule!J:J,"&lt;&gt;"&amp;"Q3",Schedule!J:J,"&lt;&gt;"&amp;"Q4")+
sumifs(Schedule!AA:AA,Schedule!L:L,A30,Schedule!J:J,"&lt;&gt;"&amp;"Q1",Schedule!J:J,"&lt;&gt;"&amp;"Q2",Schedule!J:J,"&lt;&gt;"&amp;"Q3",Schedule!J:J,"&lt;&gt;"&amp;"Q4")+
sumifs(Schedule!AD:AD,Schedule!L:L,A30,Schedule!J:J,"&lt;&gt;"&amp;"Q1",Schedule!J:J,"&lt;&gt;"&amp;"Q2",Schedule!J:J,"&lt;&gt;"&amp;"Q3",Schedule!J:J,"&lt;&gt;"&amp;"Q4")+
(sumifs(Schedule!O:O,Schedule!L:L,A30,Schedule!J:J,"&lt;&gt;"&amp;"",Schedule!J:J,"&lt;&gt;"&amp;"Y")+
sumifs(Schedule!R:R,Schedule!L:L,A30,Schedule!J:J,"&lt;&gt;"&amp;"",Schedule!J:J,"&lt;&gt;"&amp;"Y")+
sumifs(Schedule!U:U,Schedule!L:L,A30,Schedule!J:J,"&lt;&gt;"&amp;"",Schedule!J:J,"&lt;&gt;"&amp;"Y")+
sumifs(Schedule!X:X,Schedule!L:L,A30,Schedule!J:J,"&lt;&gt;"&amp;"",Schedule!J:J,"&lt;&gt;"&amp;"Y")+
sumifs(Schedule!AA:AA,Schedule!L:L,A30,Schedule!J:J,"&lt;&gt;"&amp;"",Schedule!J:J,"&lt;&gt;"&amp;"Y")+
sumifs(Schedule!AD:AD,Schedule!L:L,A30,Schedule!J:J,"&lt;&gt;"&amp;"",Schedule!J:J,"&lt;&gt;"&amp;"Y"))/4))</f>
        <v>69</v>
      </c>
      <c r="D30" t="str">
        <f>IFERROR(__xludf.DUMMYFUNCTION("""COMPUTED_VALUE"""),"Mateo")</f>
        <v>Mateo</v>
      </c>
      <c r="E30" s="162">
        <f>IFERROR(__xludf.DUMMYFUNCTION("""COMPUTED_VALUE"""),67.0)</f>
        <v>67</v>
      </c>
    </row>
    <row r="31">
      <c r="A31" t="s">
        <v>189</v>
      </c>
      <c r="B31" s="162">
        <f>if(A31="","",(
sumifs(Schedule!O:O,Schedule!L:L,A31,Schedule!J:J,"&lt;&gt;"&amp;"Q1",Schedule!J:J,"&lt;&gt;"&amp;"Q2",Schedule!J:J,"&lt;&gt;"&amp;"Q3",Schedule!J:J,"&lt;&gt;"&amp;"Q4")+
sumifs(Schedule!R:R,Schedule!L:L,A31,Schedule!J:J,"&lt;&gt;"&amp;"Q1",Schedule!J:J,"&lt;&gt;"&amp;"Q2",Schedule!J:J,"&lt;&gt;"&amp;"Q3",Schedule!J:J,"&lt;&gt;"&amp;"Q4")+
sumifs(Schedule!U:U,Schedule!L:L,A31,Schedule!J:J,"&lt;&gt;"&amp;"Q1",Schedule!J:J,"&lt;&gt;"&amp;"Q2",Schedule!J:J,"&lt;&gt;"&amp;"Q3",Schedule!J:J,"&lt;&gt;"&amp;"Q4")+
sumifs(Schedule!X:X,Schedule!L:L,A31,Schedule!J:J,"&lt;&gt;"&amp;"Q1",Schedule!J:J,"&lt;&gt;"&amp;"Q2",Schedule!J:J,"&lt;&gt;"&amp;"Q3",Schedule!J:J,"&lt;&gt;"&amp;"Q4")+
sumifs(Schedule!AA:AA,Schedule!L:L,A31,Schedule!J:J,"&lt;&gt;"&amp;"Q1",Schedule!J:J,"&lt;&gt;"&amp;"Q2",Schedule!J:J,"&lt;&gt;"&amp;"Q3",Schedule!J:J,"&lt;&gt;"&amp;"Q4")+
sumifs(Schedule!AD:AD,Schedule!L:L,A31,Schedule!J:J,"&lt;&gt;"&amp;"Q1",Schedule!J:J,"&lt;&gt;"&amp;"Q2",Schedule!J:J,"&lt;&gt;"&amp;"Q3",Schedule!J:J,"&lt;&gt;"&amp;"Q4")+
(sumifs(Schedule!O:O,Schedule!L:L,A31,Schedule!J:J,"&lt;&gt;"&amp;"",Schedule!J:J,"&lt;&gt;"&amp;"Y")+
sumifs(Schedule!R:R,Schedule!L:L,A31,Schedule!J:J,"&lt;&gt;"&amp;"",Schedule!J:J,"&lt;&gt;"&amp;"Y")+
sumifs(Schedule!U:U,Schedule!L:L,A31,Schedule!J:J,"&lt;&gt;"&amp;"",Schedule!J:J,"&lt;&gt;"&amp;"Y")+
sumifs(Schedule!X:X,Schedule!L:L,A31,Schedule!J:J,"&lt;&gt;"&amp;"",Schedule!J:J,"&lt;&gt;"&amp;"Y")+
sumifs(Schedule!AA:AA,Schedule!L:L,A31,Schedule!J:J,"&lt;&gt;"&amp;"",Schedule!J:J,"&lt;&gt;"&amp;"Y")+
sumifs(Schedule!AD:AD,Schedule!L:L,A31,Schedule!J:J,"&lt;&gt;"&amp;"",Schedule!J:J,"&lt;&gt;"&amp;"Y"))/4))</f>
        <v>87</v>
      </c>
      <c r="D31" t="str">
        <f>IFERROR(__xludf.DUMMYFUNCTION("""COMPUTED_VALUE"""),"Vicente Miralles")</f>
        <v>Vicente Miralles</v>
      </c>
      <c r="E31" s="162">
        <f>IFERROR(__xludf.DUMMYFUNCTION("""COMPUTED_VALUE"""),55.0)</f>
        <v>55</v>
      </c>
    </row>
    <row r="32">
      <c r="B32" s="162" t="str">
        <f>if(A32="","",(
sumifs(Schedule!O:O,Schedule!L:L,A32,Schedule!J:J,"&lt;&gt;"&amp;"Q1",Schedule!J:J,"&lt;&gt;"&amp;"Q2",Schedule!J:J,"&lt;&gt;"&amp;"Q3",Schedule!J:J,"&lt;&gt;"&amp;"Q4")+
sumifs(Schedule!R:R,Schedule!L:L,A32,Schedule!J:J,"&lt;&gt;"&amp;"Q1",Schedule!J:J,"&lt;&gt;"&amp;"Q2",Schedule!J:J,"&lt;&gt;"&amp;"Q3",Schedule!J:J,"&lt;&gt;"&amp;"Q4")+
sumifs(Schedule!U:U,Schedule!L:L,A32,Schedule!J:J,"&lt;&gt;"&amp;"Q1",Schedule!J:J,"&lt;&gt;"&amp;"Q2",Schedule!J:J,"&lt;&gt;"&amp;"Q3",Schedule!J:J,"&lt;&gt;"&amp;"Q4")+
sumifs(Schedule!X:X,Schedule!L:L,A32,Schedule!J:J,"&lt;&gt;"&amp;"Q1",Schedule!J:J,"&lt;&gt;"&amp;"Q2",Schedule!J:J,"&lt;&gt;"&amp;"Q3",Schedule!J:J,"&lt;&gt;"&amp;"Q4")+
sumifs(Schedule!AA:AA,Schedule!L:L,A32,Schedule!J:J,"&lt;&gt;"&amp;"Q1",Schedule!J:J,"&lt;&gt;"&amp;"Q2",Schedule!J:J,"&lt;&gt;"&amp;"Q3",Schedule!J:J,"&lt;&gt;"&amp;"Q4")+
sumifs(Schedule!AD:AD,Schedule!L:L,A32,Schedule!J:J,"&lt;&gt;"&amp;"Q1",Schedule!J:J,"&lt;&gt;"&amp;"Q2",Schedule!J:J,"&lt;&gt;"&amp;"Q3",Schedule!J:J,"&lt;&gt;"&amp;"Q4")+
(sumifs(Schedule!O:O,Schedule!L:L,A32,Schedule!J:J,"&lt;&gt;"&amp;"",Schedule!J:J,"&lt;&gt;"&amp;"Y")+
sumifs(Schedule!R:R,Schedule!L:L,A32,Schedule!J:J,"&lt;&gt;"&amp;"",Schedule!J:J,"&lt;&gt;"&amp;"Y")+
sumifs(Schedule!U:U,Schedule!L:L,A32,Schedule!J:J,"&lt;&gt;"&amp;"",Schedule!J:J,"&lt;&gt;"&amp;"Y")+
sumifs(Schedule!X:X,Schedule!L:L,A32,Schedule!J:J,"&lt;&gt;"&amp;"",Schedule!J:J,"&lt;&gt;"&amp;"Y")+
sumifs(Schedule!AA:AA,Schedule!L:L,A32,Schedule!J:J,"&lt;&gt;"&amp;"",Schedule!J:J,"&lt;&gt;"&amp;"Y")+
sumifs(Schedule!AD:AD,Schedule!L:L,A32,Schedule!J:J,"&lt;&gt;"&amp;"",Schedule!J:J,"&lt;&gt;"&amp;"Y"))/4))</f>
        <v/>
      </c>
      <c r="E32" s="31"/>
    </row>
    <row r="33">
      <c r="B33" s="162" t="str">
        <f>if(A33="","",(
sumifs(Schedule!O:O,Schedule!L:L,A33,Schedule!J:J,"&lt;&gt;"&amp;"Q1",Schedule!J:J,"&lt;&gt;"&amp;"Q2",Schedule!J:J,"&lt;&gt;"&amp;"Q3",Schedule!J:J,"&lt;&gt;"&amp;"Q4")+
sumifs(Schedule!R:R,Schedule!L:L,A33,Schedule!J:J,"&lt;&gt;"&amp;"Q1",Schedule!J:J,"&lt;&gt;"&amp;"Q2",Schedule!J:J,"&lt;&gt;"&amp;"Q3",Schedule!J:J,"&lt;&gt;"&amp;"Q4")+
sumifs(Schedule!U:U,Schedule!L:L,A33,Schedule!J:J,"&lt;&gt;"&amp;"Q1",Schedule!J:J,"&lt;&gt;"&amp;"Q2",Schedule!J:J,"&lt;&gt;"&amp;"Q3",Schedule!J:J,"&lt;&gt;"&amp;"Q4")+
sumifs(Schedule!X:X,Schedule!L:L,A33,Schedule!J:J,"&lt;&gt;"&amp;"Q1",Schedule!J:J,"&lt;&gt;"&amp;"Q2",Schedule!J:J,"&lt;&gt;"&amp;"Q3",Schedule!J:J,"&lt;&gt;"&amp;"Q4")+
sumifs(Schedule!AA:AA,Schedule!L:L,A33,Schedule!J:J,"&lt;&gt;"&amp;"Q1",Schedule!J:J,"&lt;&gt;"&amp;"Q2",Schedule!J:J,"&lt;&gt;"&amp;"Q3",Schedule!J:J,"&lt;&gt;"&amp;"Q4")+
sumifs(Schedule!AD:AD,Schedule!L:L,A33,Schedule!J:J,"&lt;&gt;"&amp;"Q1",Schedule!J:J,"&lt;&gt;"&amp;"Q2",Schedule!J:J,"&lt;&gt;"&amp;"Q3",Schedule!J:J,"&lt;&gt;"&amp;"Q4")+
(sumifs(Schedule!O:O,Schedule!L:L,A33,Schedule!J:J,"&lt;&gt;"&amp;"",Schedule!J:J,"&lt;&gt;"&amp;"Y")+
sumifs(Schedule!R:R,Schedule!L:L,A33,Schedule!J:J,"&lt;&gt;"&amp;"",Schedule!J:J,"&lt;&gt;"&amp;"Y")+
sumifs(Schedule!U:U,Schedule!L:L,A33,Schedule!J:J,"&lt;&gt;"&amp;"",Schedule!J:J,"&lt;&gt;"&amp;"Y")+
sumifs(Schedule!X:X,Schedule!L:L,A33,Schedule!J:J,"&lt;&gt;"&amp;"",Schedule!J:J,"&lt;&gt;"&amp;"Y")+
sumifs(Schedule!AA:AA,Schedule!L:L,A33,Schedule!J:J,"&lt;&gt;"&amp;"",Schedule!J:J,"&lt;&gt;"&amp;"Y")+
sumifs(Schedule!AD:AD,Schedule!L:L,A33,Schedule!J:J,"&lt;&gt;"&amp;"",Schedule!J:J,"&lt;&gt;"&amp;"Y"))/4))</f>
        <v/>
      </c>
      <c r="E33" s="31"/>
    </row>
    <row r="34">
      <c r="B34" s="162" t="str">
        <f>if(A34="","",(
sumifs(Schedule!O:O,Schedule!L:L,A34,Schedule!J:J,"&lt;&gt;"&amp;"Q1",Schedule!J:J,"&lt;&gt;"&amp;"Q2",Schedule!J:J,"&lt;&gt;"&amp;"Q3",Schedule!J:J,"&lt;&gt;"&amp;"Q4")+
sumifs(Schedule!R:R,Schedule!L:L,A34,Schedule!J:J,"&lt;&gt;"&amp;"Q1",Schedule!J:J,"&lt;&gt;"&amp;"Q2",Schedule!J:J,"&lt;&gt;"&amp;"Q3",Schedule!J:J,"&lt;&gt;"&amp;"Q4")+
sumifs(Schedule!U:U,Schedule!L:L,A34,Schedule!J:J,"&lt;&gt;"&amp;"Q1",Schedule!J:J,"&lt;&gt;"&amp;"Q2",Schedule!J:J,"&lt;&gt;"&amp;"Q3",Schedule!J:J,"&lt;&gt;"&amp;"Q4")+
sumifs(Schedule!X:X,Schedule!L:L,A34,Schedule!J:J,"&lt;&gt;"&amp;"Q1",Schedule!J:J,"&lt;&gt;"&amp;"Q2",Schedule!J:J,"&lt;&gt;"&amp;"Q3",Schedule!J:J,"&lt;&gt;"&amp;"Q4")+
sumifs(Schedule!AA:AA,Schedule!L:L,A34,Schedule!J:J,"&lt;&gt;"&amp;"Q1",Schedule!J:J,"&lt;&gt;"&amp;"Q2",Schedule!J:J,"&lt;&gt;"&amp;"Q3",Schedule!J:J,"&lt;&gt;"&amp;"Q4")+
sumifs(Schedule!AD:AD,Schedule!L:L,A34,Schedule!J:J,"&lt;&gt;"&amp;"Q1",Schedule!J:J,"&lt;&gt;"&amp;"Q2",Schedule!J:J,"&lt;&gt;"&amp;"Q3",Schedule!J:J,"&lt;&gt;"&amp;"Q4")+
(sumifs(Schedule!O:O,Schedule!L:L,A34,Schedule!J:J,"&lt;&gt;"&amp;"",Schedule!J:J,"&lt;&gt;"&amp;"Y")+
sumifs(Schedule!R:R,Schedule!L:L,A34,Schedule!J:J,"&lt;&gt;"&amp;"",Schedule!J:J,"&lt;&gt;"&amp;"Y")+
sumifs(Schedule!U:U,Schedule!L:L,A34,Schedule!J:J,"&lt;&gt;"&amp;"",Schedule!J:J,"&lt;&gt;"&amp;"Y")+
sumifs(Schedule!X:X,Schedule!L:L,A34,Schedule!J:J,"&lt;&gt;"&amp;"",Schedule!J:J,"&lt;&gt;"&amp;"Y")+
sumifs(Schedule!AA:AA,Schedule!L:L,A34,Schedule!J:J,"&lt;&gt;"&amp;"",Schedule!J:J,"&lt;&gt;"&amp;"Y")+
sumifs(Schedule!AD:AD,Schedule!L:L,A34,Schedule!J:J,"&lt;&gt;"&amp;"",Schedule!J:J,"&lt;&gt;"&amp;"Y"))/4))</f>
        <v/>
      </c>
      <c r="E34" s="31"/>
    </row>
    <row r="35">
      <c r="B35" s="162" t="str">
        <f>if(A35="","",(
sumifs(Schedule!O:O,Schedule!L:L,A35,Schedule!J:J,"&lt;&gt;"&amp;"Q1",Schedule!J:J,"&lt;&gt;"&amp;"Q2",Schedule!J:J,"&lt;&gt;"&amp;"Q3",Schedule!J:J,"&lt;&gt;"&amp;"Q4")+
sumifs(Schedule!R:R,Schedule!L:L,A35,Schedule!J:J,"&lt;&gt;"&amp;"Q1",Schedule!J:J,"&lt;&gt;"&amp;"Q2",Schedule!J:J,"&lt;&gt;"&amp;"Q3",Schedule!J:J,"&lt;&gt;"&amp;"Q4")+
sumifs(Schedule!U:U,Schedule!L:L,A35,Schedule!J:J,"&lt;&gt;"&amp;"Q1",Schedule!J:J,"&lt;&gt;"&amp;"Q2",Schedule!J:J,"&lt;&gt;"&amp;"Q3",Schedule!J:J,"&lt;&gt;"&amp;"Q4")+
sumifs(Schedule!X:X,Schedule!L:L,A35,Schedule!J:J,"&lt;&gt;"&amp;"Q1",Schedule!J:J,"&lt;&gt;"&amp;"Q2",Schedule!J:J,"&lt;&gt;"&amp;"Q3",Schedule!J:J,"&lt;&gt;"&amp;"Q4")+
sumifs(Schedule!AA:AA,Schedule!L:L,A35,Schedule!J:J,"&lt;&gt;"&amp;"Q1",Schedule!J:J,"&lt;&gt;"&amp;"Q2",Schedule!J:J,"&lt;&gt;"&amp;"Q3",Schedule!J:J,"&lt;&gt;"&amp;"Q4")+
sumifs(Schedule!AD:AD,Schedule!L:L,A35,Schedule!J:J,"&lt;&gt;"&amp;"Q1",Schedule!J:J,"&lt;&gt;"&amp;"Q2",Schedule!J:J,"&lt;&gt;"&amp;"Q3",Schedule!J:J,"&lt;&gt;"&amp;"Q4")+
(sumifs(Schedule!O:O,Schedule!L:L,A35,Schedule!J:J,"&lt;&gt;"&amp;"",Schedule!J:J,"&lt;&gt;"&amp;"Y")+
sumifs(Schedule!R:R,Schedule!L:L,A35,Schedule!J:J,"&lt;&gt;"&amp;"",Schedule!J:J,"&lt;&gt;"&amp;"Y")+
sumifs(Schedule!U:U,Schedule!L:L,A35,Schedule!J:J,"&lt;&gt;"&amp;"",Schedule!J:J,"&lt;&gt;"&amp;"Y")+
sumifs(Schedule!X:X,Schedule!L:L,A35,Schedule!J:J,"&lt;&gt;"&amp;"",Schedule!J:J,"&lt;&gt;"&amp;"Y")+
sumifs(Schedule!AA:AA,Schedule!L:L,A35,Schedule!J:J,"&lt;&gt;"&amp;"",Schedule!J:J,"&lt;&gt;"&amp;"Y")+
sumifs(Schedule!AD:AD,Schedule!L:L,A35,Schedule!J:J,"&lt;&gt;"&amp;"",Schedule!J:J,"&lt;&gt;"&amp;"Y"))/4))</f>
        <v/>
      </c>
      <c r="E35" s="31"/>
    </row>
    <row r="36">
      <c r="B36" s="162" t="str">
        <f>if(A36="","",(
sumifs(Schedule!O:O,Schedule!L:L,A36,Schedule!J:J,"&lt;&gt;"&amp;"Q1",Schedule!J:J,"&lt;&gt;"&amp;"Q2",Schedule!J:J,"&lt;&gt;"&amp;"Q3",Schedule!J:J,"&lt;&gt;"&amp;"Q4")+
sumifs(Schedule!R:R,Schedule!L:L,A36,Schedule!J:J,"&lt;&gt;"&amp;"Q1",Schedule!J:J,"&lt;&gt;"&amp;"Q2",Schedule!J:J,"&lt;&gt;"&amp;"Q3",Schedule!J:J,"&lt;&gt;"&amp;"Q4")+
sumifs(Schedule!U:U,Schedule!L:L,A36,Schedule!J:J,"&lt;&gt;"&amp;"Q1",Schedule!J:J,"&lt;&gt;"&amp;"Q2",Schedule!J:J,"&lt;&gt;"&amp;"Q3",Schedule!J:J,"&lt;&gt;"&amp;"Q4")+
sumifs(Schedule!X:X,Schedule!L:L,A36,Schedule!J:J,"&lt;&gt;"&amp;"Q1",Schedule!J:J,"&lt;&gt;"&amp;"Q2",Schedule!J:J,"&lt;&gt;"&amp;"Q3",Schedule!J:J,"&lt;&gt;"&amp;"Q4")+
sumifs(Schedule!AA:AA,Schedule!L:L,A36,Schedule!J:J,"&lt;&gt;"&amp;"Q1",Schedule!J:J,"&lt;&gt;"&amp;"Q2",Schedule!J:J,"&lt;&gt;"&amp;"Q3",Schedule!J:J,"&lt;&gt;"&amp;"Q4")+
sumifs(Schedule!AD:AD,Schedule!L:L,A36,Schedule!J:J,"&lt;&gt;"&amp;"Q1",Schedule!J:J,"&lt;&gt;"&amp;"Q2",Schedule!J:J,"&lt;&gt;"&amp;"Q3",Schedule!J:J,"&lt;&gt;"&amp;"Q4")+
(sumifs(Schedule!O:O,Schedule!L:L,A36,Schedule!J:J,"&lt;&gt;"&amp;"",Schedule!J:J,"&lt;&gt;"&amp;"Y")+
sumifs(Schedule!R:R,Schedule!L:L,A36,Schedule!J:J,"&lt;&gt;"&amp;"",Schedule!J:J,"&lt;&gt;"&amp;"Y")+
sumifs(Schedule!U:U,Schedule!L:L,A36,Schedule!J:J,"&lt;&gt;"&amp;"",Schedule!J:J,"&lt;&gt;"&amp;"Y")+
sumifs(Schedule!X:X,Schedule!L:L,A36,Schedule!J:J,"&lt;&gt;"&amp;"",Schedule!J:J,"&lt;&gt;"&amp;"Y")+
sumifs(Schedule!AA:AA,Schedule!L:L,A36,Schedule!J:J,"&lt;&gt;"&amp;"",Schedule!J:J,"&lt;&gt;"&amp;"Y")+
sumifs(Schedule!AD:AD,Schedule!L:L,A36,Schedule!J:J,"&lt;&gt;"&amp;"",Schedule!J:J,"&lt;&gt;"&amp;"Y"))/4))</f>
        <v/>
      </c>
      <c r="E36" s="31"/>
    </row>
    <row r="37">
      <c r="B37" s="162" t="str">
        <f>if(A37="","",(
sumifs(Schedule!O:O,Schedule!L:L,A37,Schedule!J:J,"&lt;&gt;"&amp;"Q1",Schedule!J:J,"&lt;&gt;"&amp;"Q2",Schedule!J:J,"&lt;&gt;"&amp;"Q3",Schedule!J:J,"&lt;&gt;"&amp;"Q4")+
sumifs(Schedule!R:R,Schedule!L:L,A37,Schedule!J:J,"&lt;&gt;"&amp;"Q1",Schedule!J:J,"&lt;&gt;"&amp;"Q2",Schedule!J:J,"&lt;&gt;"&amp;"Q3",Schedule!J:J,"&lt;&gt;"&amp;"Q4")+
sumifs(Schedule!U:U,Schedule!L:L,A37,Schedule!J:J,"&lt;&gt;"&amp;"Q1",Schedule!J:J,"&lt;&gt;"&amp;"Q2",Schedule!J:J,"&lt;&gt;"&amp;"Q3",Schedule!J:J,"&lt;&gt;"&amp;"Q4")+
sumifs(Schedule!X:X,Schedule!L:L,A37,Schedule!J:J,"&lt;&gt;"&amp;"Q1",Schedule!J:J,"&lt;&gt;"&amp;"Q2",Schedule!J:J,"&lt;&gt;"&amp;"Q3",Schedule!J:J,"&lt;&gt;"&amp;"Q4")+
sumifs(Schedule!AA:AA,Schedule!L:L,A37,Schedule!J:J,"&lt;&gt;"&amp;"Q1",Schedule!J:J,"&lt;&gt;"&amp;"Q2",Schedule!J:J,"&lt;&gt;"&amp;"Q3",Schedule!J:J,"&lt;&gt;"&amp;"Q4")+
sumifs(Schedule!AD:AD,Schedule!L:L,A37,Schedule!J:J,"&lt;&gt;"&amp;"Q1",Schedule!J:J,"&lt;&gt;"&amp;"Q2",Schedule!J:J,"&lt;&gt;"&amp;"Q3",Schedule!J:J,"&lt;&gt;"&amp;"Q4")+
(sumifs(Schedule!O:O,Schedule!L:L,A37,Schedule!J:J,"&lt;&gt;"&amp;"",Schedule!J:J,"&lt;&gt;"&amp;"Y")+
sumifs(Schedule!R:R,Schedule!L:L,A37,Schedule!J:J,"&lt;&gt;"&amp;"",Schedule!J:J,"&lt;&gt;"&amp;"Y")+
sumifs(Schedule!U:U,Schedule!L:L,A37,Schedule!J:J,"&lt;&gt;"&amp;"",Schedule!J:J,"&lt;&gt;"&amp;"Y")+
sumifs(Schedule!X:X,Schedule!L:L,A37,Schedule!J:J,"&lt;&gt;"&amp;"",Schedule!J:J,"&lt;&gt;"&amp;"Y")+
sumifs(Schedule!AA:AA,Schedule!L:L,A37,Schedule!J:J,"&lt;&gt;"&amp;"",Schedule!J:J,"&lt;&gt;"&amp;"Y")+
sumifs(Schedule!AD:AD,Schedule!L:L,A37,Schedule!J:J,"&lt;&gt;"&amp;"",Schedule!J:J,"&lt;&gt;"&amp;"Y"))/4))</f>
        <v/>
      </c>
      <c r="E37" s="31"/>
    </row>
    <row r="38">
      <c r="B38" s="162" t="str">
        <f>if(A38="","",(
sumifs(Schedule!O:O,Schedule!L:L,A38,Schedule!J:J,"&lt;&gt;"&amp;"Q1",Schedule!J:J,"&lt;&gt;"&amp;"Q2",Schedule!J:J,"&lt;&gt;"&amp;"Q3",Schedule!J:J,"&lt;&gt;"&amp;"Q4")+
sumifs(Schedule!R:R,Schedule!L:L,A38,Schedule!J:J,"&lt;&gt;"&amp;"Q1",Schedule!J:J,"&lt;&gt;"&amp;"Q2",Schedule!J:J,"&lt;&gt;"&amp;"Q3",Schedule!J:J,"&lt;&gt;"&amp;"Q4")+
sumifs(Schedule!U:U,Schedule!L:L,A38,Schedule!J:J,"&lt;&gt;"&amp;"Q1",Schedule!J:J,"&lt;&gt;"&amp;"Q2",Schedule!J:J,"&lt;&gt;"&amp;"Q3",Schedule!J:J,"&lt;&gt;"&amp;"Q4")+
sumifs(Schedule!X:X,Schedule!L:L,A38,Schedule!J:J,"&lt;&gt;"&amp;"Q1",Schedule!J:J,"&lt;&gt;"&amp;"Q2",Schedule!J:J,"&lt;&gt;"&amp;"Q3",Schedule!J:J,"&lt;&gt;"&amp;"Q4")+
sumifs(Schedule!AA:AA,Schedule!L:L,A38,Schedule!J:J,"&lt;&gt;"&amp;"Q1",Schedule!J:J,"&lt;&gt;"&amp;"Q2",Schedule!J:J,"&lt;&gt;"&amp;"Q3",Schedule!J:J,"&lt;&gt;"&amp;"Q4")+
sumifs(Schedule!AD:AD,Schedule!L:L,A38,Schedule!J:J,"&lt;&gt;"&amp;"Q1",Schedule!J:J,"&lt;&gt;"&amp;"Q2",Schedule!J:J,"&lt;&gt;"&amp;"Q3",Schedule!J:J,"&lt;&gt;"&amp;"Q4")+
(sumifs(Schedule!O:O,Schedule!L:L,A38,Schedule!J:J,"&lt;&gt;"&amp;"",Schedule!J:J,"&lt;&gt;"&amp;"Y")+
sumifs(Schedule!R:R,Schedule!L:L,A38,Schedule!J:J,"&lt;&gt;"&amp;"",Schedule!J:J,"&lt;&gt;"&amp;"Y")+
sumifs(Schedule!U:U,Schedule!L:L,A38,Schedule!J:J,"&lt;&gt;"&amp;"",Schedule!J:J,"&lt;&gt;"&amp;"Y")+
sumifs(Schedule!X:X,Schedule!L:L,A38,Schedule!J:J,"&lt;&gt;"&amp;"",Schedule!J:J,"&lt;&gt;"&amp;"Y")+
sumifs(Schedule!AA:AA,Schedule!L:L,A38,Schedule!J:J,"&lt;&gt;"&amp;"",Schedule!J:J,"&lt;&gt;"&amp;"Y")+
sumifs(Schedule!AD:AD,Schedule!L:L,A38,Schedule!J:J,"&lt;&gt;"&amp;"",Schedule!J:J,"&lt;&gt;"&amp;"Y"))/4))</f>
        <v/>
      </c>
      <c r="E38" s="31"/>
    </row>
    <row r="39">
      <c r="B39" s="162" t="str">
        <f>if(A39="","",(
sumifs(Schedule!O:O,Schedule!L:L,A39,Schedule!J:J,"&lt;&gt;"&amp;"Q1",Schedule!J:J,"&lt;&gt;"&amp;"Q2",Schedule!J:J,"&lt;&gt;"&amp;"Q3",Schedule!J:J,"&lt;&gt;"&amp;"Q4")+
sumifs(Schedule!R:R,Schedule!L:L,A39,Schedule!J:J,"&lt;&gt;"&amp;"Q1",Schedule!J:J,"&lt;&gt;"&amp;"Q2",Schedule!J:J,"&lt;&gt;"&amp;"Q3",Schedule!J:J,"&lt;&gt;"&amp;"Q4")+
sumifs(Schedule!U:U,Schedule!L:L,A39,Schedule!J:J,"&lt;&gt;"&amp;"Q1",Schedule!J:J,"&lt;&gt;"&amp;"Q2",Schedule!J:J,"&lt;&gt;"&amp;"Q3",Schedule!J:J,"&lt;&gt;"&amp;"Q4")+
sumifs(Schedule!X:X,Schedule!L:L,A39,Schedule!J:J,"&lt;&gt;"&amp;"Q1",Schedule!J:J,"&lt;&gt;"&amp;"Q2",Schedule!J:J,"&lt;&gt;"&amp;"Q3",Schedule!J:J,"&lt;&gt;"&amp;"Q4")+
sumifs(Schedule!AA:AA,Schedule!L:L,A39,Schedule!J:J,"&lt;&gt;"&amp;"Q1",Schedule!J:J,"&lt;&gt;"&amp;"Q2",Schedule!J:J,"&lt;&gt;"&amp;"Q3",Schedule!J:J,"&lt;&gt;"&amp;"Q4")+
sumifs(Schedule!AD:AD,Schedule!L:L,A39,Schedule!J:J,"&lt;&gt;"&amp;"Q1",Schedule!J:J,"&lt;&gt;"&amp;"Q2",Schedule!J:J,"&lt;&gt;"&amp;"Q3",Schedule!J:J,"&lt;&gt;"&amp;"Q4")+
(sumifs(Schedule!O:O,Schedule!L:L,A39,Schedule!J:J,"&lt;&gt;"&amp;"",Schedule!J:J,"&lt;&gt;"&amp;"Y")+
sumifs(Schedule!R:R,Schedule!L:L,A39,Schedule!J:J,"&lt;&gt;"&amp;"",Schedule!J:J,"&lt;&gt;"&amp;"Y")+
sumifs(Schedule!U:U,Schedule!L:L,A39,Schedule!J:J,"&lt;&gt;"&amp;"",Schedule!J:J,"&lt;&gt;"&amp;"Y")+
sumifs(Schedule!X:X,Schedule!L:L,A39,Schedule!J:J,"&lt;&gt;"&amp;"",Schedule!J:J,"&lt;&gt;"&amp;"Y")+
sumifs(Schedule!AA:AA,Schedule!L:L,A39,Schedule!J:J,"&lt;&gt;"&amp;"",Schedule!J:J,"&lt;&gt;"&amp;"Y")+
sumifs(Schedule!AD:AD,Schedule!L:L,A39,Schedule!J:J,"&lt;&gt;"&amp;"",Schedule!J:J,"&lt;&gt;"&amp;"Y"))/4))</f>
        <v/>
      </c>
      <c r="E39" s="31"/>
    </row>
    <row r="40">
      <c r="B40" s="162" t="str">
        <f>if(A40="","",(
sumifs(Schedule!O:O,Schedule!L:L,A40,Schedule!J:J,"&lt;&gt;"&amp;"Q1",Schedule!J:J,"&lt;&gt;"&amp;"Q2",Schedule!J:J,"&lt;&gt;"&amp;"Q3",Schedule!J:J,"&lt;&gt;"&amp;"Q4")+
sumifs(Schedule!R:R,Schedule!L:L,A40,Schedule!J:J,"&lt;&gt;"&amp;"Q1",Schedule!J:J,"&lt;&gt;"&amp;"Q2",Schedule!J:J,"&lt;&gt;"&amp;"Q3",Schedule!J:J,"&lt;&gt;"&amp;"Q4")+
sumifs(Schedule!U:U,Schedule!L:L,A40,Schedule!J:J,"&lt;&gt;"&amp;"Q1",Schedule!J:J,"&lt;&gt;"&amp;"Q2",Schedule!J:J,"&lt;&gt;"&amp;"Q3",Schedule!J:J,"&lt;&gt;"&amp;"Q4")+
sumifs(Schedule!X:X,Schedule!L:L,A40,Schedule!J:J,"&lt;&gt;"&amp;"Q1",Schedule!J:J,"&lt;&gt;"&amp;"Q2",Schedule!J:J,"&lt;&gt;"&amp;"Q3",Schedule!J:J,"&lt;&gt;"&amp;"Q4")+
sumifs(Schedule!AA:AA,Schedule!L:L,A40,Schedule!J:J,"&lt;&gt;"&amp;"Q1",Schedule!J:J,"&lt;&gt;"&amp;"Q2",Schedule!J:J,"&lt;&gt;"&amp;"Q3",Schedule!J:J,"&lt;&gt;"&amp;"Q4")+
sumifs(Schedule!AD:AD,Schedule!L:L,A40,Schedule!J:J,"&lt;&gt;"&amp;"Q1",Schedule!J:J,"&lt;&gt;"&amp;"Q2",Schedule!J:J,"&lt;&gt;"&amp;"Q3",Schedule!J:J,"&lt;&gt;"&amp;"Q4")+
(sumifs(Schedule!O:O,Schedule!L:L,A40,Schedule!J:J,"&lt;&gt;"&amp;"",Schedule!J:J,"&lt;&gt;"&amp;"Y")+
sumifs(Schedule!R:R,Schedule!L:L,A40,Schedule!J:J,"&lt;&gt;"&amp;"",Schedule!J:J,"&lt;&gt;"&amp;"Y")+
sumifs(Schedule!U:U,Schedule!L:L,A40,Schedule!J:J,"&lt;&gt;"&amp;"",Schedule!J:J,"&lt;&gt;"&amp;"Y")+
sumifs(Schedule!X:X,Schedule!L:L,A40,Schedule!J:J,"&lt;&gt;"&amp;"",Schedule!J:J,"&lt;&gt;"&amp;"Y")+
sumifs(Schedule!AA:AA,Schedule!L:L,A40,Schedule!J:J,"&lt;&gt;"&amp;"",Schedule!J:J,"&lt;&gt;"&amp;"Y")+
sumifs(Schedule!AD:AD,Schedule!L:L,A40,Schedule!J:J,"&lt;&gt;"&amp;"",Schedule!J:J,"&lt;&gt;"&amp;"Y"))/4))</f>
        <v/>
      </c>
      <c r="E40" s="31"/>
    </row>
    <row r="41">
      <c r="B41" s="162" t="str">
        <f>if(A41="","",(
sumifs(Schedule!O:O,Schedule!L:L,A41,Schedule!J:J,"&lt;&gt;"&amp;"Q1",Schedule!J:J,"&lt;&gt;"&amp;"Q2",Schedule!J:J,"&lt;&gt;"&amp;"Q3",Schedule!J:J,"&lt;&gt;"&amp;"Q4")+
sumifs(Schedule!R:R,Schedule!L:L,A41,Schedule!J:J,"&lt;&gt;"&amp;"Q1",Schedule!J:J,"&lt;&gt;"&amp;"Q2",Schedule!J:J,"&lt;&gt;"&amp;"Q3",Schedule!J:J,"&lt;&gt;"&amp;"Q4")+
sumifs(Schedule!U:U,Schedule!L:L,A41,Schedule!J:J,"&lt;&gt;"&amp;"Q1",Schedule!J:J,"&lt;&gt;"&amp;"Q2",Schedule!J:J,"&lt;&gt;"&amp;"Q3",Schedule!J:J,"&lt;&gt;"&amp;"Q4")+
sumifs(Schedule!X:X,Schedule!L:L,A41,Schedule!J:J,"&lt;&gt;"&amp;"Q1",Schedule!J:J,"&lt;&gt;"&amp;"Q2",Schedule!J:J,"&lt;&gt;"&amp;"Q3",Schedule!J:J,"&lt;&gt;"&amp;"Q4")+
sumifs(Schedule!AA:AA,Schedule!L:L,A41,Schedule!J:J,"&lt;&gt;"&amp;"Q1",Schedule!J:J,"&lt;&gt;"&amp;"Q2",Schedule!J:J,"&lt;&gt;"&amp;"Q3",Schedule!J:J,"&lt;&gt;"&amp;"Q4")+
sumifs(Schedule!AD:AD,Schedule!L:L,A41,Schedule!J:J,"&lt;&gt;"&amp;"Q1",Schedule!J:J,"&lt;&gt;"&amp;"Q2",Schedule!J:J,"&lt;&gt;"&amp;"Q3",Schedule!J:J,"&lt;&gt;"&amp;"Q4")+
(sumifs(Schedule!O:O,Schedule!L:L,A41,Schedule!J:J,"&lt;&gt;"&amp;"",Schedule!J:J,"&lt;&gt;"&amp;"Y")+
sumifs(Schedule!R:R,Schedule!L:L,A41,Schedule!J:J,"&lt;&gt;"&amp;"",Schedule!J:J,"&lt;&gt;"&amp;"Y")+
sumifs(Schedule!U:U,Schedule!L:L,A41,Schedule!J:J,"&lt;&gt;"&amp;"",Schedule!J:J,"&lt;&gt;"&amp;"Y")+
sumifs(Schedule!X:X,Schedule!L:L,A41,Schedule!J:J,"&lt;&gt;"&amp;"",Schedule!J:J,"&lt;&gt;"&amp;"Y")+
sumifs(Schedule!AA:AA,Schedule!L:L,A41,Schedule!J:J,"&lt;&gt;"&amp;"",Schedule!J:J,"&lt;&gt;"&amp;"Y")+
sumifs(Schedule!AD:AD,Schedule!L:L,A41,Schedule!J:J,"&lt;&gt;"&amp;"",Schedule!J:J,"&lt;&gt;"&amp;"Y"))/4))</f>
        <v/>
      </c>
      <c r="E41" s="31"/>
    </row>
    <row r="42">
      <c r="B42" s="162" t="str">
        <f>if(A42="","",(
sumifs(Schedule!O:O,Schedule!L:L,A42,Schedule!J:J,"&lt;&gt;"&amp;"Q1",Schedule!J:J,"&lt;&gt;"&amp;"Q2",Schedule!J:J,"&lt;&gt;"&amp;"Q3",Schedule!J:J,"&lt;&gt;"&amp;"Q4")+
sumifs(Schedule!R:R,Schedule!L:L,A42,Schedule!J:J,"&lt;&gt;"&amp;"Q1",Schedule!J:J,"&lt;&gt;"&amp;"Q2",Schedule!J:J,"&lt;&gt;"&amp;"Q3",Schedule!J:J,"&lt;&gt;"&amp;"Q4")+
sumifs(Schedule!U:U,Schedule!L:L,A42,Schedule!J:J,"&lt;&gt;"&amp;"Q1",Schedule!J:J,"&lt;&gt;"&amp;"Q2",Schedule!J:J,"&lt;&gt;"&amp;"Q3",Schedule!J:J,"&lt;&gt;"&amp;"Q4")+
sumifs(Schedule!X:X,Schedule!L:L,A42,Schedule!J:J,"&lt;&gt;"&amp;"Q1",Schedule!J:J,"&lt;&gt;"&amp;"Q2",Schedule!J:J,"&lt;&gt;"&amp;"Q3",Schedule!J:J,"&lt;&gt;"&amp;"Q4")+
sumifs(Schedule!AA:AA,Schedule!L:L,A42,Schedule!J:J,"&lt;&gt;"&amp;"Q1",Schedule!J:J,"&lt;&gt;"&amp;"Q2",Schedule!J:J,"&lt;&gt;"&amp;"Q3",Schedule!J:J,"&lt;&gt;"&amp;"Q4")+
sumifs(Schedule!AD:AD,Schedule!L:L,A42,Schedule!J:J,"&lt;&gt;"&amp;"Q1",Schedule!J:J,"&lt;&gt;"&amp;"Q2",Schedule!J:J,"&lt;&gt;"&amp;"Q3",Schedule!J:J,"&lt;&gt;"&amp;"Q4")+
(sumifs(Schedule!O:O,Schedule!L:L,A42,Schedule!J:J,"&lt;&gt;"&amp;"",Schedule!J:J,"&lt;&gt;"&amp;"Y")+
sumifs(Schedule!R:R,Schedule!L:L,A42,Schedule!J:J,"&lt;&gt;"&amp;"",Schedule!J:J,"&lt;&gt;"&amp;"Y")+
sumifs(Schedule!U:U,Schedule!L:L,A42,Schedule!J:J,"&lt;&gt;"&amp;"",Schedule!J:J,"&lt;&gt;"&amp;"Y")+
sumifs(Schedule!X:X,Schedule!L:L,A42,Schedule!J:J,"&lt;&gt;"&amp;"",Schedule!J:J,"&lt;&gt;"&amp;"Y")+
sumifs(Schedule!AA:AA,Schedule!L:L,A42,Schedule!J:J,"&lt;&gt;"&amp;"",Schedule!J:J,"&lt;&gt;"&amp;"Y")+
sumifs(Schedule!AD:AD,Schedule!L:L,A42,Schedule!J:J,"&lt;&gt;"&amp;"",Schedule!J:J,"&lt;&gt;"&amp;"Y"))/4))</f>
        <v/>
      </c>
      <c r="E42" s="31"/>
    </row>
    <row r="43">
      <c r="B43" s="162" t="str">
        <f>if(A43="","",(
sumifs(Schedule!O:O,Schedule!L:L,A43,Schedule!J:J,"&lt;&gt;"&amp;"Q1",Schedule!J:J,"&lt;&gt;"&amp;"Q2",Schedule!J:J,"&lt;&gt;"&amp;"Q3",Schedule!J:J,"&lt;&gt;"&amp;"Q4")+
sumifs(Schedule!R:R,Schedule!L:L,A43,Schedule!J:J,"&lt;&gt;"&amp;"Q1",Schedule!J:J,"&lt;&gt;"&amp;"Q2",Schedule!J:J,"&lt;&gt;"&amp;"Q3",Schedule!J:J,"&lt;&gt;"&amp;"Q4")+
sumifs(Schedule!U:U,Schedule!L:L,A43,Schedule!J:J,"&lt;&gt;"&amp;"Q1",Schedule!J:J,"&lt;&gt;"&amp;"Q2",Schedule!J:J,"&lt;&gt;"&amp;"Q3",Schedule!J:J,"&lt;&gt;"&amp;"Q4")+
sumifs(Schedule!X:X,Schedule!L:L,A43,Schedule!J:J,"&lt;&gt;"&amp;"Q1",Schedule!J:J,"&lt;&gt;"&amp;"Q2",Schedule!J:J,"&lt;&gt;"&amp;"Q3",Schedule!J:J,"&lt;&gt;"&amp;"Q4")+
sumifs(Schedule!AA:AA,Schedule!L:L,A43,Schedule!J:J,"&lt;&gt;"&amp;"Q1",Schedule!J:J,"&lt;&gt;"&amp;"Q2",Schedule!J:J,"&lt;&gt;"&amp;"Q3",Schedule!J:J,"&lt;&gt;"&amp;"Q4")+
sumifs(Schedule!AD:AD,Schedule!L:L,A43,Schedule!J:J,"&lt;&gt;"&amp;"Q1",Schedule!J:J,"&lt;&gt;"&amp;"Q2",Schedule!J:J,"&lt;&gt;"&amp;"Q3",Schedule!J:J,"&lt;&gt;"&amp;"Q4")+
(sumifs(Schedule!O:O,Schedule!L:L,A43,Schedule!J:J,"&lt;&gt;"&amp;"",Schedule!J:J,"&lt;&gt;"&amp;"Y")+
sumifs(Schedule!R:R,Schedule!L:L,A43,Schedule!J:J,"&lt;&gt;"&amp;"",Schedule!J:J,"&lt;&gt;"&amp;"Y")+
sumifs(Schedule!U:U,Schedule!L:L,A43,Schedule!J:J,"&lt;&gt;"&amp;"",Schedule!J:J,"&lt;&gt;"&amp;"Y")+
sumifs(Schedule!X:X,Schedule!L:L,A43,Schedule!J:J,"&lt;&gt;"&amp;"",Schedule!J:J,"&lt;&gt;"&amp;"Y")+
sumifs(Schedule!AA:AA,Schedule!L:L,A43,Schedule!J:J,"&lt;&gt;"&amp;"",Schedule!J:J,"&lt;&gt;"&amp;"Y")+
sumifs(Schedule!AD:AD,Schedule!L:L,A43,Schedule!J:J,"&lt;&gt;"&amp;"",Schedule!J:J,"&lt;&gt;"&amp;"Y"))/4))</f>
        <v/>
      </c>
      <c r="E43" s="31"/>
    </row>
    <row r="44">
      <c r="B44" s="162" t="str">
        <f>if(A44="","",(
sumifs(Schedule!O:O,Schedule!L:L,A44,Schedule!J:J,"&lt;&gt;"&amp;"Q1",Schedule!J:J,"&lt;&gt;"&amp;"Q2",Schedule!J:J,"&lt;&gt;"&amp;"Q3",Schedule!J:J,"&lt;&gt;"&amp;"Q4")+
sumifs(Schedule!R:R,Schedule!L:L,A44,Schedule!J:J,"&lt;&gt;"&amp;"Q1",Schedule!J:J,"&lt;&gt;"&amp;"Q2",Schedule!J:J,"&lt;&gt;"&amp;"Q3",Schedule!J:J,"&lt;&gt;"&amp;"Q4")+
sumifs(Schedule!U:U,Schedule!L:L,A44,Schedule!J:J,"&lt;&gt;"&amp;"Q1",Schedule!J:J,"&lt;&gt;"&amp;"Q2",Schedule!J:J,"&lt;&gt;"&amp;"Q3",Schedule!J:J,"&lt;&gt;"&amp;"Q4")+
sumifs(Schedule!X:X,Schedule!L:L,A44,Schedule!J:J,"&lt;&gt;"&amp;"Q1",Schedule!J:J,"&lt;&gt;"&amp;"Q2",Schedule!J:J,"&lt;&gt;"&amp;"Q3",Schedule!J:J,"&lt;&gt;"&amp;"Q4")+
sumifs(Schedule!AA:AA,Schedule!L:L,A44,Schedule!J:J,"&lt;&gt;"&amp;"Q1",Schedule!J:J,"&lt;&gt;"&amp;"Q2",Schedule!J:J,"&lt;&gt;"&amp;"Q3",Schedule!J:J,"&lt;&gt;"&amp;"Q4")+
sumifs(Schedule!AD:AD,Schedule!L:L,A44,Schedule!J:J,"&lt;&gt;"&amp;"Q1",Schedule!J:J,"&lt;&gt;"&amp;"Q2",Schedule!J:J,"&lt;&gt;"&amp;"Q3",Schedule!J:J,"&lt;&gt;"&amp;"Q4")+
(sumifs(Schedule!O:O,Schedule!L:L,A44,Schedule!J:J,"&lt;&gt;"&amp;"",Schedule!J:J,"&lt;&gt;"&amp;"Y")+
sumifs(Schedule!R:R,Schedule!L:L,A44,Schedule!J:J,"&lt;&gt;"&amp;"",Schedule!J:J,"&lt;&gt;"&amp;"Y")+
sumifs(Schedule!U:U,Schedule!L:L,A44,Schedule!J:J,"&lt;&gt;"&amp;"",Schedule!J:J,"&lt;&gt;"&amp;"Y")+
sumifs(Schedule!X:X,Schedule!L:L,A44,Schedule!J:J,"&lt;&gt;"&amp;"",Schedule!J:J,"&lt;&gt;"&amp;"Y")+
sumifs(Schedule!AA:AA,Schedule!L:L,A44,Schedule!J:J,"&lt;&gt;"&amp;"",Schedule!J:J,"&lt;&gt;"&amp;"Y")+
sumifs(Schedule!AD:AD,Schedule!L:L,A44,Schedule!J:J,"&lt;&gt;"&amp;"",Schedule!J:J,"&lt;&gt;"&amp;"Y"))/4))</f>
        <v/>
      </c>
      <c r="E44" s="31"/>
    </row>
    <row r="45">
      <c r="B45" s="162" t="str">
        <f>if(A45="","",(
sumifs(Schedule!O:O,Schedule!L:L,A45,Schedule!J:J,"&lt;&gt;"&amp;"Q1",Schedule!J:J,"&lt;&gt;"&amp;"Q2",Schedule!J:J,"&lt;&gt;"&amp;"Q3",Schedule!J:J,"&lt;&gt;"&amp;"Q4")+
sumifs(Schedule!R:R,Schedule!L:L,A45,Schedule!J:J,"&lt;&gt;"&amp;"Q1",Schedule!J:J,"&lt;&gt;"&amp;"Q2",Schedule!J:J,"&lt;&gt;"&amp;"Q3",Schedule!J:J,"&lt;&gt;"&amp;"Q4")+
sumifs(Schedule!U:U,Schedule!L:L,A45,Schedule!J:J,"&lt;&gt;"&amp;"Q1",Schedule!J:J,"&lt;&gt;"&amp;"Q2",Schedule!J:J,"&lt;&gt;"&amp;"Q3",Schedule!J:J,"&lt;&gt;"&amp;"Q4")+
sumifs(Schedule!X:X,Schedule!L:L,A45,Schedule!J:J,"&lt;&gt;"&amp;"Q1",Schedule!J:J,"&lt;&gt;"&amp;"Q2",Schedule!J:J,"&lt;&gt;"&amp;"Q3",Schedule!J:J,"&lt;&gt;"&amp;"Q4")+
sumifs(Schedule!AA:AA,Schedule!L:L,A45,Schedule!J:J,"&lt;&gt;"&amp;"Q1",Schedule!J:J,"&lt;&gt;"&amp;"Q2",Schedule!J:J,"&lt;&gt;"&amp;"Q3",Schedule!J:J,"&lt;&gt;"&amp;"Q4")+
sumifs(Schedule!AD:AD,Schedule!L:L,A45,Schedule!J:J,"&lt;&gt;"&amp;"Q1",Schedule!J:J,"&lt;&gt;"&amp;"Q2",Schedule!J:J,"&lt;&gt;"&amp;"Q3",Schedule!J:J,"&lt;&gt;"&amp;"Q4")+
(sumifs(Schedule!O:O,Schedule!L:L,A45,Schedule!J:J,"&lt;&gt;"&amp;"",Schedule!J:J,"&lt;&gt;"&amp;"Y")+
sumifs(Schedule!R:R,Schedule!L:L,A45,Schedule!J:J,"&lt;&gt;"&amp;"",Schedule!J:J,"&lt;&gt;"&amp;"Y")+
sumifs(Schedule!U:U,Schedule!L:L,A45,Schedule!J:J,"&lt;&gt;"&amp;"",Schedule!J:J,"&lt;&gt;"&amp;"Y")+
sumifs(Schedule!X:X,Schedule!L:L,A45,Schedule!J:J,"&lt;&gt;"&amp;"",Schedule!J:J,"&lt;&gt;"&amp;"Y")+
sumifs(Schedule!AA:AA,Schedule!L:L,A45,Schedule!J:J,"&lt;&gt;"&amp;"",Schedule!J:J,"&lt;&gt;"&amp;"Y")+
sumifs(Schedule!AD:AD,Schedule!L:L,A45,Schedule!J:J,"&lt;&gt;"&amp;"",Schedule!J:J,"&lt;&gt;"&amp;"Y"))/4))</f>
        <v/>
      </c>
      <c r="E45" s="31"/>
    </row>
    <row r="46">
      <c r="B46" s="162" t="str">
        <f>if(A46="","",(
sumifs(Schedule!O:O,Schedule!L:L,A46,Schedule!J:J,"&lt;&gt;"&amp;"Q1",Schedule!J:J,"&lt;&gt;"&amp;"Q2",Schedule!J:J,"&lt;&gt;"&amp;"Q3",Schedule!J:J,"&lt;&gt;"&amp;"Q4")+
sumifs(Schedule!R:R,Schedule!L:L,A46,Schedule!J:J,"&lt;&gt;"&amp;"Q1",Schedule!J:J,"&lt;&gt;"&amp;"Q2",Schedule!J:J,"&lt;&gt;"&amp;"Q3",Schedule!J:J,"&lt;&gt;"&amp;"Q4")+
sumifs(Schedule!U:U,Schedule!L:L,A46,Schedule!J:J,"&lt;&gt;"&amp;"Q1",Schedule!J:J,"&lt;&gt;"&amp;"Q2",Schedule!J:J,"&lt;&gt;"&amp;"Q3",Schedule!J:J,"&lt;&gt;"&amp;"Q4")+
sumifs(Schedule!X:X,Schedule!L:L,A46,Schedule!J:J,"&lt;&gt;"&amp;"Q1",Schedule!J:J,"&lt;&gt;"&amp;"Q2",Schedule!J:J,"&lt;&gt;"&amp;"Q3",Schedule!J:J,"&lt;&gt;"&amp;"Q4")+
sumifs(Schedule!AA:AA,Schedule!L:L,A46,Schedule!J:J,"&lt;&gt;"&amp;"Q1",Schedule!J:J,"&lt;&gt;"&amp;"Q2",Schedule!J:J,"&lt;&gt;"&amp;"Q3",Schedule!J:J,"&lt;&gt;"&amp;"Q4")+
sumifs(Schedule!AD:AD,Schedule!L:L,A46,Schedule!J:J,"&lt;&gt;"&amp;"Q1",Schedule!J:J,"&lt;&gt;"&amp;"Q2",Schedule!J:J,"&lt;&gt;"&amp;"Q3",Schedule!J:J,"&lt;&gt;"&amp;"Q4")+
(sumifs(Schedule!O:O,Schedule!L:L,A46,Schedule!J:J,"&lt;&gt;"&amp;"",Schedule!J:J,"&lt;&gt;"&amp;"Y")+
sumifs(Schedule!R:R,Schedule!L:L,A46,Schedule!J:J,"&lt;&gt;"&amp;"",Schedule!J:J,"&lt;&gt;"&amp;"Y")+
sumifs(Schedule!U:U,Schedule!L:L,A46,Schedule!J:J,"&lt;&gt;"&amp;"",Schedule!J:J,"&lt;&gt;"&amp;"Y")+
sumifs(Schedule!X:X,Schedule!L:L,A46,Schedule!J:J,"&lt;&gt;"&amp;"",Schedule!J:J,"&lt;&gt;"&amp;"Y")+
sumifs(Schedule!AA:AA,Schedule!L:L,A46,Schedule!J:J,"&lt;&gt;"&amp;"",Schedule!J:J,"&lt;&gt;"&amp;"Y")+
sumifs(Schedule!AD:AD,Schedule!L:L,A46,Schedule!J:J,"&lt;&gt;"&amp;"",Schedule!J:J,"&lt;&gt;"&amp;"Y"))/4))</f>
        <v/>
      </c>
      <c r="E46" s="31"/>
    </row>
    <row r="47">
      <c r="B47" s="162" t="str">
        <f>if(A47="","",(
sumifs(Schedule!O:O,Schedule!L:L,A47,Schedule!J:J,"&lt;&gt;"&amp;"Q1",Schedule!J:J,"&lt;&gt;"&amp;"Q2",Schedule!J:J,"&lt;&gt;"&amp;"Q3",Schedule!J:J,"&lt;&gt;"&amp;"Q4")+
sumifs(Schedule!R:R,Schedule!L:L,A47,Schedule!J:J,"&lt;&gt;"&amp;"Q1",Schedule!J:J,"&lt;&gt;"&amp;"Q2",Schedule!J:J,"&lt;&gt;"&amp;"Q3",Schedule!J:J,"&lt;&gt;"&amp;"Q4")+
sumifs(Schedule!U:U,Schedule!L:L,A47,Schedule!J:J,"&lt;&gt;"&amp;"Q1",Schedule!J:J,"&lt;&gt;"&amp;"Q2",Schedule!J:J,"&lt;&gt;"&amp;"Q3",Schedule!J:J,"&lt;&gt;"&amp;"Q4")+
sumifs(Schedule!X:X,Schedule!L:L,A47,Schedule!J:J,"&lt;&gt;"&amp;"Q1",Schedule!J:J,"&lt;&gt;"&amp;"Q2",Schedule!J:J,"&lt;&gt;"&amp;"Q3",Schedule!J:J,"&lt;&gt;"&amp;"Q4")+
sumifs(Schedule!AA:AA,Schedule!L:L,A47,Schedule!J:J,"&lt;&gt;"&amp;"Q1",Schedule!J:J,"&lt;&gt;"&amp;"Q2",Schedule!J:J,"&lt;&gt;"&amp;"Q3",Schedule!J:J,"&lt;&gt;"&amp;"Q4")+
sumifs(Schedule!AD:AD,Schedule!L:L,A47,Schedule!J:J,"&lt;&gt;"&amp;"Q1",Schedule!J:J,"&lt;&gt;"&amp;"Q2",Schedule!J:J,"&lt;&gt;"&amp;"Q3",Schedule!J:J,"&lt;&gt;"&amp;"Q4")+
(sumifs(Schedule!O:O,Schedule!L:L,A47,Schedule!J:J,"&lt;&gt;"&amp;"",Schedule!J:J,"&lt;&gt;"&amp;"Y")+
sumifs(Schedule!R:R,Schedule!L:L,A47,Schedule!J:J,"&lt;&gt;"&amp;"",Schedule!J:J,"&lt;&gt;"&amp;"Y")+
sumifs(Schedule!U:U,Schedule!L:L,A47,Schedule!J:J,"&lt;&gt;"&amp;"",Schedule!J:J,"&lt;&gt;"&amp;"Y")+
sumifs(Schedule!X:X,Schedule!L:L,A47,Schedule!J:J,"&lt;&gt;"&amp;"",Schedule!J:J,"&lt;&gt;"&amp;"Y")+
sumifs(Schedule!AA:AA,Schedule!L:L,A47,Schedule!J:J,"&lt;&gt;"&amp;"",Schedule!J:J,"&lt;&gt;"&amp;"Y")+
sumifs(Schedule!AD:AD,Schedule!L:L,A47,Schedule!J:J,"&lt;&gt;"&amp;"",Schedule!J:J,"&lt;&gt;"&amp;"Y"))/4))</f>
        <v/>
      </c>
      <c r="E47" s="31"/>
    </row>
    <row r="48">
      <c r="B48" s="162" t="str">
        <f>if(A48="","",(
sumifs(Schedule!O:O,Schedule!L:L,A48,Schedule!J:J,"&lt;&gt;"&amp;"Q1",Schedule!J:J,"&lt;&gt;"&amp;"Q2",Schedule!J:J,"&lt;&gt;"&amp;"Q3",Schedule!J:J,"&lt;&gt;"&amp;"Q4")+
sumifs(Schedule!R:R,Schedule!L:L,A48,Schedule!J:J,"&lt;&gt;"&amp;"Q1",Schedule!J:J,"&lt;&gt;"&amp;"Q2",Schedule!J:J,"&lt;&gt;"&amp;"Q3",Schedule!J:J,"&lt;&gt;"&amp;"Q4")+
sumifs(Schedule!U:U,Schedule!L:L,A48,Schedule!J:J,"&lt;&gt;"&amp;"Q1",Schedule!J:J,"&lt;&gt;"&amp;"Q2",Schedule!J:J,"&lt;&gt;"&amp;"Q3",Schedule!J:J,"&lt;&gt;"&amp;"Q4")+
sumifs(Schedule!X:X,Schedule!L:L,A48,Schedule!J:J,"&lt;&gt;"&amp;"Q1",Schedule!J:J,"&lt;&gt;"&amp;"Q2",Schedule!J:J,"&lt;&gt;"&amp;"Q3",Schedule!J:J,"&lt;&gt;"&amp;"Q4")+
sumifs(Schedule!AA:AA,Schedule!L:L,A48,Schedule!J:J,"&lt;&gt;"&amp;"Q1",Schedule!J:J,"&lt;&gt;"&amp;"Q2",Schedule!J:J,"&lt;&gt;"&amp;"Q3",Schedule!J:J,"&lt;&gt;"&amp;"Q4")+
sumifs(Schedule!AD:AD,Schedule!L:L,A48,Schedule!J:J,"&lt;&gt;"&amp;"Q1",Schedule!J:J,"&lt;&gt;"&amp;"Q2",Schedule!J:J,"&lt;&gt;"&amp;"Q3",Schedule!J:J,"&lt;&gt;"&amp;"Q4")+
(sumifs(Schedule!O:O,Schedule!L:L,A48,Schedule!J:J,"&lt;&gt;"&amp;"",Schedule!J:J,"&lt;&gt;"&amp;"Y")+
sumifs(Schedule!R:R,Schedule!L:L,A48,Schedule!J:J,"&lt;&gt;"&amp;"",Schedule!J:J,"&lt;&gt;"&amp;"Y")+
sumifs(Schedule!U:U,Schedule!L:L,A48,Schedule!J:J,"&lt;&gt;"&amp;"",Schedule!J:J,"&lt;&gt;"&amp;"Y")+
sumifs(Schedule!X:X,Schedule!L:L,A48,Schedule!J:J,"&lt;&gt;"&amp;"",Schedule!J:J,"&lt;&gt;"&amp;"Y")+
sumifs(Schedule!AA:AA,Schedule!L:L,A48,Schedule!J:J,"&lt;&gt;"&amp;"",Schedule!J:J,"&lt;&gt;"&amp;"Y")+
sumifs(Schedule!AD:AD,Schedule!L:L,A48,Schedule!J:J,"&lt;&gt;"&amp;"",Schedule!J:J,"&lt;&gt;"&amp;"Y"))/4))</f>
        <v/>
      </c>
      <c r="E48" s="31"/>
    </row>
    <row r="49">
      <c r="B49" s="162" t="str">
        <f>if(A49="","",(
sumifs(Schedule!O:O,Schedule!L:L,A49,Schedule!J:J,"&lt;&gt;"&amp;"Q1",Schedule!J:J,"&lt;&gt;"&amp;"Q2",Schedule!J:J,"&lt;&gt;"&amp;"Q3",Schedule!J:J,"&lt;&gt;"&amp;"Q4")+
sumifs(Schedule!R:R,Schedule!L:L,A49,Schedule!J:J,"&lt;&gt;"&amp;"Q1",Schedule!J:J,"&lt;&gt;"&amp;"Q2",Schedule!J:J,"&lt;&gt;"&amp;"Q3",Schedule!J:J,"&lt;&gt;"&amp;"Q4")+
sumifs(Schedule!U:U,Schedule!L:L,A49,Schedule!J:J,"&lt;&gt;"&amp;"Q1",Schedule!J:J,"&lt;&gt;"&amp;"Q2",Schedule!J:J,"&lt;&gt;"&amp;"Q3",Schedule!J:J,"&lt;&gt;"&amp;"Q4")+
sumifs(Schedule!X:X,Schedule!L:L,A49,Schedule!J:J,"&lt;&gt;"&amp;"Q1",Schedule!J:J,"&lt;&gt;"&amp;"Q2",Schedule!J:J,"&lt;&gt;"&amp;"Q3",Schedule!J:J,"&lt;&gt;"&amp;"Q4")+
sumifs(Schedule!AA:AA,Schedule!L:L,A49,Schedule!J:J,"&lt;&gt;"&amp;"Q1",Schedule!J:J,"&lt;&gt;"&amp;"Q2",Schedule!J:J,"&lt;&gt;"&amp;"Q3",Schedule!J:J,"&lt;&gt;"&amp;"Q4")+
sumifs(Schedule!AD:AD,Schedule!L:L,A49,Schedule!J:J,"&lt;&gt;"&amp;"Q1",Schedule!J:J,"&lt;&gt;"&amp;"Q2",Schedule!J:J,"&lt;&gt;"&amp;"Q3",Schedule!J:J,"&lt;&gt;"&amp;"Q4")+
(sumifs(Schedule!O:O,Schedule!L:L,A49,Schedule!J:J,"&lt;&gt;"&amp;"",Schedule!J:J,"&lt;&gt;"&amp;"Y")+
sumifs(Schedule!R:R,Schedule!L:L,A49,Schedule!J:J,"&lt;&gt;"&amp;"",Schedule!J:J,"&lt;&gt;"&amp;"Y")+
sumifs(Schedule!U:U,Schedule!L:L,A49,Schedule!J:J,"&lt;&gt;"&amp;"",Schedule!J:J,"&lt;&gt;"&amp;"Y")+
sumifs(Schedule!X:X,Schedule!L:L,A49,Schedule!J:J,"&lt;&gt;"&amp;"",Schedule!J:J,"&lt;&gt;"&amp;"Y")+
sumifs(Schedule!AA:AA,Schedule!L:L,A49,Schedule!J:J,"&lt;&gt;"&amp;"",Schedule!J:J,"&lt;&gt;"&amp;"Y")+
sumifs(Schedule!AD:AD,Schedule!L:L,A49,Schedule!J:J,"&lt;&gt;"&amp;"",Schedule!J:J,"&lt;&gt;"&amp;"Y"))/4))</f>
        <v/>
      </c>
      <c r="E49" s="31"/>
    </row>
    <row r="50">
      <c r="B50" s="162" t="str">
        <f>if(A50="","",(
sumifs(Schedule!O:O,Schedule!L:L,A50,Schedule!J:J,"&lt;&gt;"&amp;"Q1",Schedule!J:J,"&lt;&gt;"&amp;"Q2",Schedule!J:J,"&lt;&gt;"&amp;"Q3",Schedule!J:J,"&lt;&gt;"&amp;"Q4")+
sumifs(Schedule!R:R,Schedule!L:L,A50,Schedule!J:J,"&lt;&gt;"&amp;"Q1",Schedule!J:J,"&lt;&gt;"&amp;"Q2",Schedule!J:J,"&lt;&gt;"&amp;"Q3",Schedule!J:J,"&lt;&gt;"&amp;"Q4")+
sumifs(Schedule!U:U,Schedule!L:L,A50,Schedule!J:J,"&lt;&gt;"&amp;"Q1",Schedule!J:J,"&lt;&gt;"&amp;"Q2",Schedule!J:J,"&lt;&gt;"&amp;"Q3",Schedule!J:J,"&lt;&gt;"&amp;"Q4")+
sumifs(Schedule!X:X,Schedule!L:L,A50,Schedule!J:J,"&lt;&gt;"&amp;"Q1",Schedule!J:J,"&lt;&gt;"&amp;"Q2",Schedule!J:J,"&lt;&gt;"&amp;"Q3",Schedule!J:J,"&lt;&gt;"&amp;"Q4")+
sumifs(Schedule!AA:AA,Schedule!L:L,A50,Schedule!J:J,"&lt;&gt;"&amp;"Q1",Schedule!J:J,"&lt;&gt;"&amp;"Q2",Schedule!J:J,"&lt;&gt;"&amp;"Q3",Schedule!J:J,"&lt;&gt;"&amp;"Q4")+
sumifs(Schedule!AD:AD,Schedule!L:L,A50,Schedule!J:J,"&lt;&gt;"&amp;"Q1",Schedule!J:J,"&lt;&gt;"&amp;"Q2",Schedule!J:J,"&lt;&gt;"&amp;"Q3",Schedule!J:J,"&lt;&gt;"&amp;"Q4")+
(sumifs(Schedule!O:O,Schedule!L:L,A50,Schedule!J:J,"&lt;&gt;"&amp;"",Schedule!J:J,"&lt;&gt;"&amp;"Y")+
sumifs(Schedule!R:R,Schedule!L:L,A50,Schedule!J:J,"&lt;&gt;"&amp;"",Schedule!J:J,"&lt;&gt;"&amp;"Y")+
sumifs(Schedule!U:U,Schedule!L:L,A50,Schedule!J:J,"&lt;&gt;"&amp;"",Schedule!J:J,"&lt;&gt;"&amp;"Y")+
sumifs(Schedule!X:X,Schedule!L:L,A50,Schedule!J:J,"&lt;&gt;"&amp;"",Schedule!J:J,"&lt;&gt;"&amp;"Y")+
sumifs(Schedule!AA:AA,Schedule!L:L,A50,Schedule!J:J,"&lt;&gt;"&amp;"",Schedule!J:J,"&lt;&gt;"&amp;"Y")+
sumifs(Schedule!AD:AD,Schedule!L:L,A50,Schedule!J:J,"&lt;&gt;"&amp;"",Schedule!J:J,"&lt;&gt;"&amp;"Y"))/4))</f>
        <v/>
      </c>
      <c r="E50" s="3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 customWidth="1" min="5" max="5" width="23.25"/>
    <col customWidth="1" min="7" max="7" width="16.25"/>
    <col customWidth="1" min="8" max="8" width="17.0"/>
  </cols>
  <sheetData>
    <row r="1">
      <c r="A1" s="12" t="s">
        <v>695</v>
      </c>
      <c r="B1" s="163" t="str">
        <f t="array" ref="B1:B959">if(ROW(B:B)=1,"Esquema 1",if($A:$A="","",iferror(iferror(xlookup($A:$A&amp;1,'Students (Vertical)'!$B:$B&amp;'Students (Vertical)'!$E:$E,'Students (Vertical)'!$D:$D),xlookup($A:$A&amp;"1a",'Students (Vertical)'!$B:$B&amp;'Students (Vertical)'!$E:$E,'Students (Vertical)'!$D:$D)),"")))</f>
        <v>Esquema 1</v>
      </c>
      <c r="C1" s="163" t="str">
        <f t="array" ref="C1:C959">if(ROW(C:C)=1,"Esquema 2",if($A:$A="","",iferror(iferror(xlookup($A:$A&amp;2,'Students (Vertical)'!$B:$B&amp;'Students (Vertical)'!$E:$E,'Students (Vertical)'!$D:$D),xlookup($A:$A&amp;"2a",'Students (Vertical)'!$B:$B&amp;'Students (Vertical)'!$E:$E,'Students (Vertical)'!$D:$D)),"")))</f>
        <v>Esquema 2</v>
      </c>
      <c r="D1" s="163" t="str">
        <f t="array" ref="D1:D959">if(ROW(D:D)=1,"Esquema 3",if($A:$A="","",iferror(iferror(xlookup($A:$A&amp;3,'Students (Vertical)'!$B:$B&amp;'Students (Vertical)'!$E:$E,'Students (Vertical)'!$D:$D),xlookup($A:$A&amp;"3a",'Students (Vertical)'!$B:$B&amp;'Students (Vertical)'!$E:$E,'Students (Vertical)'!$D:$D)),"")))</f>
        <v>Esquema 3</v>
      </c>
      <c r="E1" s="163" t="str">
        <f t="array" ref="E1:E959">if(ROW(E:E)=1,"Esquema 4",if($A:$A="","",iferror(iferror(xlookup($A:$A&amp;4,'Students (Vertical)'!$B:$B&amp;'Students (Vertical)'!$E:$E,'Students (Vertical)'!$D:$D),xlookup($A:$A&amp;"4a",'Students (Vertical)'!$B:$B&amp;'Students (Vertical)'!$E:$E,'Students (Vertical)'!$D:$D)),"")))</f>
        <v>Esquema 4</v>
      </c>
      <c r="F1" s="163" t="str">
        <f t="array" ref="F1:F959">if(ROW(F:F)=1,"Esquema 5",if($A:$A="","",iferror(iferror(xlookup($A:$A&amp;5,'Students (Vertical)'!$B:$B&amp;'Students (Vertical)'!$E:$E,'Students (Vertical)'!$D:$D),xlookup($A:$A&amp;"5a",'Students (Vertical)'!$B:$B&amp;'Students (Vertical)'!$E:$E,'Students (Vertical)'!$D:$D)),"")))</f>
        <v>Esquema 5</v>
      </c>
      <c r="G1" s="163" t="str">
        <f t="array" ref="G1:G959">if(ROW(G:G)=1,"Esquema 6",if($A:$A="","",iferror(iferror(xlookup($A:$A&amp;6,'Students (Vertical)'!$B:$B&amp;'Students (Vertical)'!$E:$E,'Students (Vertical)'!$D:$D),xlookup($A:$A&amp;"6a",'Students (Vertical)'!$B:$B&amp;'Students (Vertical)'!$E:$E,'Students (Vertical)'!$D:$D)),"")))</f>
        <v>Esquema 6</v>
      </c>
      <c r="H1" s="163" t="str">
        <f t="array" ref="H1:H959">if(ROW(H:H)=1,"Separate codes",if(A:A="","",xlookup(A:A,Students!B:B,Students!AD:AD)))</f>
        <v>Separate codes</v>
      </c>
    </row>
    <row r="2">
      <c r="A2" s="164"/>
      <c r="B2" s="165" t="s">
        <v>8</v>
      </c>
      <c r="C2" s="165" t="s">
        <v>8</v>
      </c>
      <c r="D2" s="165" t="s">
        <v>8</v>
      </c>
      <c r="E2" s="165" t="s">
        <v>8</v>
      </c>
      <c r="F2" s="165" t="s">
        <v>8</v>
      </c>
      <c r="G2" s="165" t="s">
        <v>8</v>
      </c>
      <c r="H2" s="165" t="s">
        <v>8</v>
      </c>
    </row>
    <row r="3">
      <c r="A3" s="166"/>
      <c r="B3" s="165" t="s">
        <v>8</v>
      </c>
      <c r="C3" s="165" t="s">
        <v>8</v>
      </c>
      <c r="D3" s="165" t="s">
        <v>8</v>
      </c>
      <c r="E3" s="165" t="s">
        <v>8</v>
      </c>
      <c r="F3" s="165" t="s">
        <v>8</v>
      </c>
      <c r="G3" s="165" t="s">
        <v>8</v>
      </c>
      <c r="H3" s="165" t="s">
        <v>8</v>
      </c>
    </row>
    <row r="4">
      <c r="A4" s="167"/>
      <c r="B4" s="165" t="s">
        <v>8</v>
      </c>
      <c r="C4" s="165" t="s">
        <v>8</v>
      </c>
      <c r="D4" s="165" t="s">
        <v>8</v>
      </c>
      <c r="E4" s="165" t="s">
        <v>8</v>
      </c>
      <c r="F4" s="165" t="s">
        <v>8</v>
      </c>
      <c r="G4" s="165" t="s">
        <v>8</v>
      </c>
      <c r="H4" s="165" t="s">
        <v>8</v>
      </c>
    </row>
    <row r="5">
      <c r="A5" s="168"/>
      <c r="B5" s="165" t="s">
        <v>8</v>
      </c>
      <c r="C5" s="165" t="s">
        <v>8</v>
      </c>
      <c r="D5" s="165" t="s">
        <v>8</v>
      </c>
      <c r="E5" s="165" t="s">
        <v>8</v>
      </c>
      <c r="F5" s="165" t="s">
        <v>8</v>
      </c>
      <c r="G5" s="165" t="s">
        <v>8</v>
      </c>
      <c r="H5" s="165" t="s">
        <v>8</v>
      </c>
    </row>
    <row r="6">
      <c r="A6" s="87"/>
      <c r="B6" s="165" t="s">
        <v>8</v>
      </c>
      <c r="C6" s="165" t="s">
        <v>8</v>
      </c>
      <c r="D6" s="165" t="s">
        <v>8</v>
      </c>
      <c r="E6" s="165" t="s">
        <v>8</v>
      </c>
      <c r="F6" s="165" t="s">
        <v>8</v>
      </c>
      <c r="G6" s="165" t="s">
        <v>8</v>
      </c>
      <c r="H6" s="165" t="s">
        <v>8</v>
      </c>
    </row>
    <row r="7">
      <c r="A7" s="87"/>
      <c r="B7" s="165" t="s">
        <v>8</v>
      </c>
      <c r="C7" s="165" t="s">
        <v>8</v>
      </c>
      <c r="D7" s="165" t="s">
        <v>8</v>
      </c>
      <c r="E7" s="165" t="s">
        <v>8</v>
      </c>
      <c r="F7" s="165" t="s">
        <v>8</v>
      </c>
      <c r="G7" s="165" t="s">
        <v>8</v>
      </c>
      <c r="H7" s="165" t="s">
        <v>8</v>
      </c>
    </row>
    <row r="8">
      <c r="B8" s="165" t="s">
        <v>8</v>
      </c>
      <c r="C8" s="165" t="s">
        <v>8</v>
      </c>
      <c r="D8" s="165" t="s">
        <v>8</v>
      </c>
      <c r="E8" s="165" t="s">
        <v>8</v>
      </c>
      <c r="F8" s="165" t="s">
        <v>8</v>
      </c>
      <c r="G8" s="165" t="s">
        <v>8</v>
      </c>
      <c r="H8" s="165" t="s">
        <v>8</v>
      </c>
    </row>
    <row r="9">
      <c r="B9" s="165" t="s">
        <v>8</v>
      </c>
      <c r="C9" s="165" t="s">
        <v>8</v>
      </c>
      <c r="D9" s="165" t="s">
        <v>8</v>
      </c>
      <c r="E9" s="165" t="s">
        <v>8</v>
      </c>
      <c r="F9" s="165" t="s">
        <v>8</v>
      </c>
      <c r="G9" s="165" t="s">
        <v>8</v>
      </c>
      <c r="H9" s="165" t="s">
        <v>8</v>
      </c>
    </row>
    <row r="10">
      <c r="B10" s="165" t="s">
        <v>8</v>
      </c>
      <c r="C10" s="165" t="s">
        <v>8</v>
      </c>
      <c r="D10" s="165" t="s">
        <v>8</v>
      </c>
      <c r="E10" s="165" t="s">
        <v>8</v>
      </c>
      <c r="F10" s="165" t="s">
        <v>8</v>
      </c>
      <c r="G10" s="165" t="s">
        <v>8</v>
      </c>
      <c r="H10" s="165" t="s">
        <v>8</v>
      </c>
    </row>
    <row r="11">
      <c r="B11" s="165" t="s">
        <v>8</v>
      </c>
      <c r="C11" s="165" t="s">
        <v>8</v>
      </c>
      <c r="D11" s="165" t="s">
        <v>8</v>
      </c>
      <c r="E11" s="165" t="s">
        <v>8</v>
      </c>
      <c r="F11" s="165" t="s">
        <v>8</v>
      </c>
      <c r="G11" s="165" t="s">
        <v>8</v>
      </c>
      <c r="H11" s="165" t="s">
        <v>8</v>
      </c>
    </row>
    <row r="12">
      <c r="B12" s="165" t="s">
        <v>8</v>
      </c>
      <c r="C12" s="165" t="s">
        <v>8</v>
      </c>
      <c r="D12" s="165" t="s">
        <v>8</v>
      </c>
      <c r="E12" s="165" t="s">
        <v>8</v>
      </c>
      <c r="F12" s="165" t="s">
        <v>8</v>
      </c>
      <c r="G12" s="165" t="s">
        <v>8</v>
      </c>
      <c r="H12" s="165" t="s">
        <v>8</v>
      </c>
    </row>
    <row r="13">
      <c r="B13" s="165" t="s">
        <v>8</v>
      </c>
      <c r="C13" s="165" t="s">
        <v>8</v>
      </c>
      <c r="D13" s="165" t="s">
        <v>8</v>
      </c>
      <c r="E13" s="165" t="s">
        <v>8</v>
      </c>
      <c r="F13" s="165" t="s">
        <v>8</v>
      </c>
      <c r="G13" s="165" t="s">
        <v>8</v>
      </c>
      <c r="H13" s="165" t="s">
        <v>8</v>
      </c>
    </row>
    <row r="14">
      <c r="B14" s="165" t="s">
        <v>8</v>
      </c>
      <c r="C14" s="165" t="s">
        <v>8</v>
      </c>
      <c r="D14" s="165" t="s">
        <v>8</v>
      </c>
      <c r="E14" s="165" t="s">
        <v>8</v>
      </c>
      <c r="F14" s="165" t="s">
        <v>8</v>
      </c>
      <c r="G14" s="165" t="s">
        <v>8</v>
      </c>
      <c r="H14" s="165" t="s">
        <v>8</v>
      </c>
    </row>
    <row r="15">
      <c r="B15" s="165" t="s">
        <v>8</v>
      </c>
      <c r="C15" s="165" t="s">
        <v>8</v>
      </c>
      <c r="D15" s="165" t="s">
        <v>8</v>
      </c>
      <c r="E15" s="165" t="s">
        <v>8</v>
      </c>
      <c r="F15" s="165" t="s">
        <v>8</v>
      </c>
      <c r="G15" s="165" t="s">
        <v>8</v>
      </c>
      <c r="H15" s="165" t="s">
        <v>8</v>
      </c>
    </row>
    <row r="16">
      <c r="B16" s="165" t="s">
        <v>8</v>
      </c>
      <c r="C16" s="165" t="s">
        <v>8</v>
      </c>
      <c r="D16" s="165" t="s">
        <v>8</v>
      </c>
      <c r="E16" s="165" t="s">
        <v>8</v>
      </c>
      <c r="F16" s="165" t="s">
        <v>8</v>
      </c>
      <c r="G16" s="165" t="s">
        <v>8</v>
      </c>
      <c r="H16" s="165" t="s">
        <v>8</v>
      </c>
    </row>
    <row r="17">
      <c r="B17" s="165" t="s">
        <v>8</v>
      </c>
      <c r="C17" s="165" t="s">
        <v>8</v>
      </c>
      <c r="D17" s="165" t="s">
        <v>8</v>
      </c>
      <c r="E17" s="165" t="s">
        <v>8</v>
      </c>
      <c r="F17" s="165" t="s">
        <v>8</v>
      </c>
      <c r="G17" s="165" t="s">
        <v>8</v>
      </c>
      <c r="H17" s="165" t="s">
        <v>8</v>
      </c>
    </row>
    <row r="18">
      <c r="B18" s="165" t="s">
        <v>8</v>
      </c>
      <c r="C18" s="165" t="s">
        <v>8</v>
      </c>
      <c r="D18" s="165" t="s">
        <v>8</v>
      </c>
      <c r="E18" s="165" t="s">
        <v>8</v>
      </c>
      <c r="F18" s="165" t="s">
        <v>8</v>
      </c>
      <c r="G18" s="165" t="s">
        <v>8</v>
      </c>
      <c r="H18" s="165" t="s">
        <v>8</v>
      </c>
    </row>
    <row r="19">
      <c r="B19" s="165" t="s">
        <v>8</v>
      </c>
      <c r="C19" s="165" t="s">
        <v>8</v>
      </c>
      <c r="D19" s="165" t="s">
        <v>8</v>
      </c>
      <c r="E19" s="165" t="s">
        <v>8</v>
      </c>
      <c r="F19" s="165" t="s">
        <v>8</v>
      </c>
      <c r="G19" s="165" t="s">
        <v>8</v>
      </c>
      <c r="H19" s="165" t="s">
        <v>8</v>
      </c>
    </row>
    <row r="20">
      <c r="B20" s="165" t="s">
        <v>8</v>
      </c>
      <c r="C20" s="165" t="s">
        <v>8</v>
      </c>
      <c r="D20" s="165" t="s">
        <v>8</v>
      </c>
      <c r="E20" s="165" t="s">
        <v>8</v>
      </c>
      <c r="F20" s="165" t="s">
        <v>8</v>
      </c>
      <c r="G20" s="165" t="s">
        <v>8</v>
      </c>
      <c r="H20" s="165" t="s">
        <v>8</v>
      </c>
    </row>
    <row r="21">
      <c r="B21" s="165" t="s">
        <v>8</v>
      </c>
      <c r="C21" s="165" t="s">
        <v>8</v>
      </c>
      <c r="D21" s="165" t="s">
        <v>8</v>
      </c>
      <c r="E21" s="165" t="s">
        <v>8</v>
      </c>
      <c r="F21" s="165" t="s">
        <v>8</v>
      </c>
      <c r="G21" s="165" t="s">
        <v>8</v>
      </c>
      <c r="H21" s="165" t="s">
        <v>8</v>
      </c>
    </row>
    <row r="22">
      <c r="B22" s="165" t="s">
        <v>8</v>
      </c>
      <c r="C22" s="165" t="s">
        <v>8</v>
      </c>
      <c r="D22" s="165" t="s">
        <v>8</v>
      </c>
      <c r="E22" s="165" t="s">
        <v>8</v>
      </c>
      <c r="F22" s="165" t="s">
        <v>8</v>
      </c>
      <c r="G22" s="165" t="s">
        <v>8</v>
      </c>
      <c r="H22" s="165" t="s">
        <v>8</v>
      </c>
    </row>
    <row r="23">
      <c r="B23" s="165" t="s">
        <v>8</v>
      </c>
      <c r="C23" s="165" t="s">
        <v>8</v>
      </c>
      <c r="D23" s="165" t="s">
        <v>8</v>
      </c>
      <c r="E23" s="165" t="s">
        <v>8</v>
      </c>
      <c r="F23" s="165" t="s">
        <v>8</v>
      </c>
      <c r="G23" s="165" t="s">
        <v>8</v>
      </c>
      <c r="H23" s="165" t="s">
        <v>8</v>
      </c>
    </row>
    <row r="24">
      <c r="B24" s="165" t="s">
        <v>8</v>
      </c>
      <c r="C24" s="165" t="s">
        <v>8</v>
      </c>
      <c r="D24" s="165" t="s">
        <v>8</v>
      </c>
      <c r="E24" s="165" t="s">
        <v>8</v>
      </c>
      <c r="F24" s="165" t="s">
        <v>8</v>
      </c>
      <c r="G24" s="165" t="s">
        <v>8</v>
      </c>
      <c r="H24" s="165" t="s">
        <v>8</v>
      </c>
    </row>
    <row r="25">
      <c r="B25" s="165" t="s">
        <v>8</v>
      </c>
      <c r="C25" s="165" t="s">
        <v>8</v>
      </c>
      <c r="D25" s="165" t="s">
        <v>8</v>
      </c>
      <c r="E25" s="165" t="s">
        <v>8</v>
      </c>
      <c r="F25" s="165" t="s">
        <v>8</v>
      </c>
      <c r="G25" s="165" t="s">
        <v>8</v>
      </c>
      <c r="H25" s="165" t="s">
        <v>8</v>
      </c>
    </row>
    <row r="26">
      <c r="B26" s="165" t="s">
        <v>8</v>
      </c>
      <c r="C26" s="165" t="s">
        <v>8</v>
      </c>
      <c r="D26" s="165" t="s">
        <v>8</v>
      </c>
      <c r="E26" s="165" t="s">
        <v>8</v>
      </c>
      <c r="F26" s="165" t="s">
        <v>8</v>
      </c>
      <c r="G26" s="165" t="s">
        <v>8</v>
      </c>
      <c r="H26" s="165" t="s">
        <v>8</v>
      </c>
    </row>
    <row r="27">
      <c r="B27" s="165" t="s">
        <v>8</v>
      </c>
      <c r="C27" s="165" t="s">
        <v>8</v>
      </c>
      <c r="D27" s="165" t="s">
        <v>8</v>
      </c>
      <c r="E27" s="165" t="s">
        <v>8</v>
      </c>
      <c r="F27" s="165" t="s">
        <v>8</v>
      </c>
      <c r="G27" s="165" t="s">
        <v>8</v>
      </c>
      <c r="H27" s="165" t="s">
        <v>8</v>
      </c>
    </row>
    <row r="28">
      <c r="B28" s="165" t="s">
        <v>8</v>
      </c>
      <c r="C28" s="165" t="s">
        <v>8</v>
      </c>
      <c r="D28" s="165" t="s">
        <v>8</v>
      </c>
      <c r="E28" s="165" t="s">
        <v>8</v>
      </c>
      <c r="F28" s="165" t="s">
        <v>8</v>
      </c>
      <c r="G28" s="165" t="s">
        <v>8</v>
      </c>
      <c r="H28" s="165" t="s">
        <v>8</v>
      </c>
    </row>
    <row r="29">
      <c r="B29" s="165" t="s">
        <v>8</v>
      </c>
      <c r="C29" s="165" t="s">
        <v>8</v>
      </c>
      <c r="D29" s="165" t="s">
        <v>8</v>
      </c>
      <c r="E29" s="165" t="s">
        <v>8</v>
      </c>
      <c r="F29" s="165" t="s">
        <v>8</v>
      </c>
      <c r="G29" s="165" t="s">
        <v>8</v>
      </c>
      <c r="H29" s="165" t="s">
        <v>8</v>
      </c>
    </row>
    <row r="30">
      <c r="B30" s="165" t="s">
        <v>8</v>
      </c>
      <c r="C30" s="165" t="s">
        <v>8</v>
      </c>
      <c r="D30" s="165" t="s">
        <v>8</v>
      </c>
      <c r="E30" s="165" t="s">
        <v>8</v>
      </c>
      <c r="F30" s="165" t="s">
        <v>8</v>
      </c>
      <c r="G30" s="165" t="s">
        <v>8</v>
      </c>
      <c r="H30" s="165" t="s">
        <v>8</v>
      </c>
    </row>
    <row r="31">
      <c r="B31" s="165" t="s">
        <v>8</v>
      </c>
      <c r="C31" s="165" t="s">
        <v>8</v>
      </c>
      <c r="D31" s="165" t="s">
        <v>8</v>
      </c>
      <c r="E31" s="165" t="s">
        <v>8</v>
      </c>
      <c r="F31" s="165" t="s">
        <v>8</v>
      </c>
      <c r="G31" s="165" t="s">
        <v>8</v>
      </c>
      <c r="H31" s="165" t="s">
        <v>8</v>
      </c>
    </row>
    <row r="32">
      <c r="B32" s="165" t="s">
        <v>8</v>
      </c>
      <c r="C32" s="165" t="s">
        <v>8</v>
      </c>
      <c r="D32" s="165" t="s">
        <v>8</v>
      </c>
      <c r="E32" s="165" t="s">
        <v>8</v>
      </c>
      <c r="F32" s="165" t="s">
        <v>8</v>
      </c>
      <c r="G32" s="165" t="s">
        <v>8</v>
      </c>
      <c r="H32" s="165" t="s">
        <v>8</v>
      </c>
    </row>
    <row r="33">
      <c r="B33" s="165" t="s">
        <v>8</v>
      </c>
      <c r="C33" s="165" t="s">
        <v>8</v>
      </c>
      <c r="D33" s="165" t="s">
        <v>8</v>
      </c>
      <c r="E33" s="165" t="s">
        <v>8</v>
      </c>
      <c r="F33" s="165" t="s">
        <v>8</v>
      </c>
      <c r="G33" s="165" t="s">
        <v>8</v>
      </c>
      <c r="H33" s="165" t="s">
        <v>8</v>
      </c>
    </row>
    <row r="34">
      <c r="B34" s="165" t="s">
        <v>8</v>
      </c>
      <c r="C34" s="165" t="s">
        <v>8</v>
      </c>
      <c r="D34" s="165" t="s">
        <v>8</v>
      </c>
      <c r="E34" s="165" t="s">
        <v>8</v>
      </c>
      <c r="F34" s="165" t="s">
        <v>8</v>
      </c>
      <c r="G34" s="165" t="s">
        <v>8</v>
      </c>
      <c r="H34" s="165" t="s">
        <v>8</v>
      </c>
    </row>
    <row r="35">
      <c r="B35" s="165" t="s">
        <v>8</v>
      </c>
      <c r="C35" s="165" t="s">
        <v>8</v>
      </c>
      <c r="D35" s="165" t="s">
        <v>8</v>
      </c>
      <c r="E35" s="165" t="s">
        <v>8</v>
      </c>
      <c r="F35" s="165" t="s">
        <v>8</v>
      </c>
      <c r="G35" s="165" t="s">
        <v>8</v>
      </c>
      <c r="H35" s="165" t="s">
        <v>8</v>
      </c>
    </row>
    <row r="36">
      <c r="B36" s="165" t="s">
        <v>8</v>
      </c>
      <c r="C36" s="165" t="s">
        <v>8</v>
      </c>
      <c r="D36" s="165" t="s">
        <v>8</v>
      </c>
      <c r="E36" s="165" t="s">
        <v>8</v>
      </c>
      <c r="F36" s="165" t="s">
        <v>8</v>
      </c>
      <c r="G36" s="165" t="s">
        <v>8</v>
      </c>
      <c r="H36" s="165" t="s">
        <v>8</v>
      </c>
    </row>
    <row r="37">
      <c r="B37" s="165" t="s">
        <v>8</v>
      </c>
      <c r="C37" s="165" t="s">
        <v>8</v>
      </c>
      <c r="D37" s="165" t="s">
        <v>8</v>
      </c>
      <c r="E37" s="165" t="s">
        <v>8</v>
      </c>
      <c r="F37" s="165" t="s">
        <v>8</v>
      </c>
      <c r="G37" s="165" t="s">
        <v>8</v>
      </c>
      <c r="H37" s="165" t="s">
        <v>8</v>
      </c>
    </row>
    <row r="38">
      <c r="B38" s="165" t="s">
        <v>8</v>
      </c>
      <c r="C38" s="165" t="s">
        <v>8</v>
      </c>
      <c r="D38" s="165" t="s">
        <v>8</v>
      </c>
      <c r="E38" s="165" t="s">
        <v>8</v>
      </c>
      <c r="F38" s="165" t="s">
        <v>8</v>
      </c>
      <c r="G38" s="165" t="s">
        <v>8</v>
      </c>
      <c r="H38" s="165" t="s">
        <v>8</v>
      </c>
    </row>
    <row r="39">
      <c r="B39" s="165" t="s">
        <v>8</v>
      </c>
      <c r="C39" s="165" t="s">
        <v>8</v>
      </c>
      <c r="D39" s="165" t="s">
        <v>8</v>
      </c>
      <c r="E39" s="165" t="s">
        <v>8</v>
      </c>
      <c r="F39" s="165" t="s">
        <v>8</v>
      </c>
      <c r="G39" s="165" t="s">
        <v>8</v>
      </c>
      <c r="H39" s="165" t="s">
        <v>8</v>
      </c>
    </row>
    <row r="40">
      <c r="B40" s="165" t="s">
        <v>8</v>
      </c>
      <c r="C40" s="165" t="s">
        <v>8</v>
      </c>
      <c r="D40" s="165" t="s">
        <v>8</v>
      </c>
      <c r="E40" s="165" t="s">
        <v>8</v>
      </c>
      <c r="F40" s="165" t="s">
        <v>8</v>
      </c>
      <c r="G40" s="165" t="s">
        <v>8</v>
      </c>
      <c r="H40" s="165" t="s">
        <v>8</v>
      </c>
    </row>
    <row r="41">
      <c r="B41" s="165" t="s">
        <v>8</v>
      </c>
      <c r="C41" s="165" t="s">
        <v>8</v>
      </c>
      <c r="D41" s="165" t="s">
        <v>8</v>
      </c>
      <c r="E41" s="165" t="s">
        <v>8</v>
      </c>
      <c r="F41" s="165" t="s">
        <v>8</v>
      </c>
      <c r="G41" s="165" t="s">
        <v>8</v>
      </c>
      <c r="H41" s="165" t="s">
        <v>8</v>
      </c>
    </row>
    <row r="42">
      <c r="B42" s="165" t="s">
        <v>8</v>
      </c>
      <c r="C42" s="165" t="s">
        <v>8</v>
      </c>
      <c r="D42" s="165" t="s">
        <v>8</v>
      </c>
      <c r="E42" s="165" t="s">
        <v>8</v>
      </c>
      <c r="F42" s="165" t="s">
        <v>8</v>
      </c>
      <c r="G42" s="165" t="s">
        <v>8</v>
      </c>
      <c r="H42" s="165" t="s">
        <v>8</v>
      </c>
    </row>
    <row r="43">
      <c r="B43" s="165" t="s">
        <v>8</v>
      </c>
      <c r="C43" s="165" t="s">
        <v>8</v>
      </c>
      <c r="D43" s="165" t="s">
        <v>8</v>
      </c>
      <c r="E43" s="165" t="s">
        <v>8</v>
      </c>
      <c r="F43" s="165" t="s">
        <v>8</v>
      </c>
      <c r="G43" s="165" t="s">
        <v>8</v>
      </c>
      <c r="H43" s="165" t="s">
        <v>8</v>
      </c>
    </row>
    <row r="44">
      <c r="B44" s="165" t="s">
        <v>8</v>
      </c>
      <c r="C44" s="165" t="s">
        <v>8</v>
      </c>
      <c r="D44" s="165" t="s">
        <v>8</v>
      </c>
      <c r="E44" s="165" t="s">
        <v>8</v>
      </c>
      <c r="F44" s="165" t="s">
        <v>8</v>
      </c>
      <c r="G44" s="165" t="s">
        <v>8</v>
      </c>
      <c r="H44" s="165" t="s">
        <v>8</v>
      </c>
    </row>
    <row r="45">
      <c r="B45" s="165" t="s">
        <v>8</v>
      </c>
      <c r="C45" s="165" t="s">
        <v>8</v>
      </c>
      <c r="D45" s="165" t="s">
        <v>8</v>
      </c>
      <c r="E45" s="165" t="s">
        <v>8</v>
      </c>
      <c r="F45" s="165" t="s">
        <v>8</v>
      </c>
      <c r="G45" s="165" t="s">
        <v>8</v>
      </c>
      <c r="H45" s="165" t="s">
        <v>8</v>
      </c>
    </row>
    <row r="46">
      <c r="B46" s="165" t="s">
        <v>8</v>
      </c>
      <c r="C46" s="165" t="s">
        <v>8</v>
      </c>
      <c r="D46" s="165" t="s">
        <v>8</v>
      </c>
      <c r="E46" s="165" t="s">
        <v>8</v>
      </c>
      <c r="F46" s="165" t="s">
        <v>8</v>
      </c>
      <c r="G46" s="165" t="s">
        <v>8</v>
      </c>
      <c r="H46" s="165" t="s">
        <v>8</v>
      </c>
    </row>
    <row r="47">
      <c r="B47" s="165" t="s">
        <v>8</v>
      </c>
      <c r="C47" s="165" t="s">
        <v>8</v>
      </c>
      <c r="D47" s="165" t="s">
        <v>8</v>
      </c>
      <c r="E47" s="165" t="s">
        <v>8</v>
      </c>
      <c r="F47" s="165" t="s">
        <v>8</v>
      </c>
      <c r="G47" s="165" t="s">
        <v>8</v>
      </c>
      <c r="H47" s="165" t="s">
        <v>8</v>
      </c>
    </row>
    <row r="48">
      <c r="B48" s="165" t="s">
        <v>8</v>
      </c>
      <c r="C48" s="165" t="s">
        <v>8</v>
      </c>
      <c r="D48" s="165" t="s">
        <v>8</v>
      </c>
      <c r="E48" s="165" t="s">
        <v>8</v>
      </c>
      <c r="F48" s="165" t="s">
        <v>8</v>
      </c>
      <c r="G48" s="165" t="s">
        <v>8</v>
      </c>
      <c r="H48" s="165" t="s">
        <v>8</v>
      </c>
    </row>
    <row r="49">
      <c r="B49" s="165" t="s">
        <v>8</v>
      </c>
      <c r="C49" s="165" t="s">
        <v>8</v>
      </c>
      <c r="D49" s="165" t="s">
        <v>8</v>
      </c>
      <c r="E49" s="165" t="s">
        <v>8</v>
      </c>
      <c r="F49" s="165" t="s">
        <v>8</v>
      </c>
      <c r="G49" s="165" t="s">
        <v>8</v>
      </c>
      <c r="H49" s="165" t="s">
        <v>8</v>
      </c>
    </row>
    <row r="50">
      <c r="B50" s="165" t="s">
        <v>8</v>
      </c>
      <c r="C50" s="165" t="s">
        <v>8</v>
      </c>
      <c r="D50" s="165" t="s">
        <v>8</v>
      </c>
      <c r="E50" s="165" t="s">
        <v>8</v>
      </c>
      <c r="F50" s="165" t="s">
        <v>8</v>
      </c>
      <c r="G50" s="165" t="s">
        <v>8</v>
      </c>
      <c r="H50" s="165" t="s">
        <v>8</v>
      </c>
    </row>
    <row r="51">
      <c r="B51" s="165" t="s">
        <v>8</v>
      </c>
      <c r="C51" s="165" t="s">
        <v>8</v>
      </c>
      <c r="D51" s="165" t="s">
        <v>8</v>
      </c>
      <c r="E51" s="165" t="s">
        <v>8</v>
      </c>
      <c r="F51" s="165" t="s">
        <v>8</v>
      </c>
      <c r="G51" s="165" t="s">
        <v>8</v>
      </c>
      <c r="H51" s="165" t="s">
        <v>8</v>
      </c>
    </row>
    <row r="52">
      <c r="B52" s="165" t="s">
        <v>8</v>
      </c>
      <c r="C52" s="165" t="s">
        <v>8</v>
      </c>
      <c r="D52" s="165" t="s">
        <v>8</v>
      </c>
      <c r="E52" s="165" t="s">
        <v>8</v>
      </c>
      <c r="F52" s="165" t="s">
        <v>8</v>
      </c>
      <c r="G52" s="165" t="s">
        <v>8</v>
      </c>
      <c r="H52" s="165" t="s">
        <v>8</v>
      </c>
    </row>
    <row r="53">
      <c r="B53" s="165" t="s">
        <v>8</v>
      </c>
      <c r="C53" s="165" t="s">
        <v>8</v>
      </c>
      <c r="D53" s="165" t="s">
        <v>8</v>
      </c>
      <c r="E53" s="165" t="s">
        <v>8</v>
      </c>
      <c r="F53" s="165" t="s">
        <v>8</v>
      </c>
      <c r="G53" s="165" t="s">
        <v>8</v>
      </c>
      <c r="H53" s="165" t="s">
        <v>8</v>
      </c>
    </row>
    <row r="54">
      <c r="B54" s="165" t="s">
        <v>8</v>
      </c>
      <c r="C54" s="165" t="s">
        <v>8</v>
      </c>
      <c r="D54" s="165" t="s">
        <v>8</v>
      </c>
      <c r="E54" s="165" t="s">
        <v>8</v>
      </c>
      <c r="F54" s="165" t="s">
        <v>8</v>
      </c>
      <c r="G54" s="165" t="s">
        <v>8</v>
      </c>
      <c r="H54" s="165" t="s">
        <v>8</v>
      </c>
    </row>
    <row r="55">
      <c r="B55" s="165" t="s">
        <v>8</v>
      </c>
      <c r="C55" s="165" t="s">
        <v>8</v>
      </c>
      <c r="D55" s="165" t="s">
        <v>8</v>
      </c>
      <c r="E55" s="165" t="s">
        <v>8</v>
      </c>
      <c r="F55" s="165" t="s">
        <v>8</v>
      </c>
      <c r="G55" s="165" t="s">
        <v>8</v>
      </c>
      <c r="H55" s="165" t="s">
        <v>8</v>
      </c>
    </row>
    <row r="56">
      <c r="B56" s="165" t="s">
        <v>8</v>
      </c>
      <c r="C56" s="165" t="s">
        <v>8</v>
      </c>
      <c r="D56" s="165" t="s">
        <v>8</v>
      </c>
      <c r="E56" s="165" t="s">
        <v>8</v>
      </c>
      <c r="F56" s="165" t="s">
        <v>8</v>
      </c>
      <c r="G56" s="165" t="s">
        <v>8</v>
      </c>
      <c r="H56" s="165" t="s">
        <v>8</v>
      </c>
    </row>
    <row r="57">
      <c r="B57" s="165" t="s">
        <v>8</v>
      </c>
      <c r="C57" s="165" t="s">
        <v>8</v>
      </c>
      <c r="D57" s="165" t="s">
        <v>8</v>
      </c>
      <c r="E57" s="165" t="s">
        <v>8</v>
      </c>
      <c r="F57" s="165" t="s">
        <v>8</v>
      </c>
      <c r="G57" s="165" t="s">
        <v>8</v>
      </c>
      <c r="H57" s="165" t="s">
        <v>8</v>
      </c>
    </row>
    <row r="58">
      <c r="B58" s="165" t="s">
        <v>8</v>
      </c>
      <c r="C58" s="165" t="s">
        <v>8</v>
      </c>
      <c r="D58" s="165" t="s">
        <v>8</v>
      </c>
      <c r="E58" s="165" t="s">
        <v>8</v>
      </c>
      <c r="F58" s="165" t="s">
        <v>8</v>
      </c>
      <c r="G58" s="165" t="s">
        <v>8</v>
      </c>
      <c r="H58" s="165" t="s">
        <v>8</v>
      </c>
    </row>
    <row r="59">
      <c r="B59" s="165" t="s">
        <v>8</v>
      </c>
      <c r="C59" s="165" t="s">
        <v>8</v>
      </c>
      <c r="D59" s="165" t="s">
        <v>8</v>
      </c>
      <c r="E59" s="165" t="s">
        <v>8</v>
      </c>
      <c r="F59" s="165" t="s">
        <v>8</v>
      </c>
      <c r="G59" s="165" t="s">
        <v>8</v>
      </c>
      <c r="H59" s="165" t="s">
        <v>8</v>
      </c>
    </row>
    <row r="60">
      <c r="B60" s="165" t="s">
        <v>8</v>
      </c>
      <c r="C60" s="165" t="s">
        <v>8</v>
      </c>
      <c r="D60" s="165" t="s">
        <v>8</v>
      </c>
      <c r="E60" s="165" t="s">
        <v>8</v>
      </c>
      <c r="F60" s="165" t="s">
        <v>8</v>
      </c>
      <c r="G60" s="165" t="s">
        <v>8</v>
      </c>
      <c r="H60" s="165" t="s">
        <v>8</v>
      </c>
    </row>
    <row r="61">
      <c r="B61" s="165" t="s">
        <v>8</v>
      </c>
      <c r="C61" s="165" t="s">
        <v>8</v>
      </c>
      <c r="D61" s="165" t="s">
        <v>8</v>
      </c>
      <c r="E61" s="165" t="s">
        <v>8</v>
      </c>
      <c r="F61" s="165" t="s">
        <v>8</v>
      </c>
      <c r="G61" s="165" t="s">
        <v>8</v>
      </c>
      <c r="H61" s="165" t="s">
        <v>8</v>
      </c>
    </row>
    <row r="62">
      <c r="B62" s="165" t="s">
        <v>8</v>
      </c>
      <c r="C62" s="165" t="s">
        <v>8</v>
      </c>
      <c r="D62" s="165" t="s">
        <v>8</v>
      </c>
      <c r="E62" s="165" t="s">
        <v>8</v>
      </c>
      <c r="F62" s="165" t="s">
        <v>8</v>
      </c>
      <c r="G62" s="165" t="s">
        <v>8</v>
      </c>
      <c r="H62" s="165" t="s">
        <v>8</v>
      </c>
    </row>
    <row r="63">
      <c r="B63" s="165" t="s">
        <v>8</v>
      </c>
      <c r="C63" s="165" t="s">
        <v>8</v>
      </c>
      <c r="D63" s="165" t="s">
        <v>8</v>
      </c>
      <c r="E63" s="165" t="s">
        <v>8</v>
      </c>
      <c r="F63" s="165" t="s">
        <v>8</v>
      </c>
      <c r="G63" s="165" t="s">
        <v>8</v>
      </c>
      <c r="H63" s="165" t="s">
        <v>8</v>
      </c>
    </row>
    <row r="64">
      <c r="B64" s="165" t="s">
        <v>8</v>
      </c>
      <c r="C64" s="165" t="s">
        <v>8</v>
      </c>
      <c r="D64" s="165" t="s">
        <v>8</v>
      </c>
      <c r="E64" s="165" t="s">
        <v>8</v>
      </c>
      <c r="F64" s="165" t="s">
        <v>8</v>
      </c>
      <c r="G64" s="165" t="s">
        <v>8</v>
      </c>
      <c r="H64" s="165" t="s">
        <v>8</v>
      </c>
    </row>
    <row r="65">
      <c r="B65" s="165" t="s">
        <v>8</v>
      </c>
      <c r="C65" s="165" t="s">
        <v>8</v>
      </c>
      <c r="D65" s="165" t="s">
        <v>8</v>
      </c>
      <c r="E65" s="165" t="s">
        <v>8</v>
      </c>
      <c r="F65" s="165" t="s">
        <v>8</v>
      </c>
      <c r="G65" s="165" t="s">
        <v>8</v>
      </c>
      <c r="H65" s="165" t="s">
        <v>8</v>
      </c>
    </row>
    <row r="66">
      <c r="B66" s="165" t="s">
        <v>8</v>
      </c>
      <c r="C66" s="165" t="s">
        <v>8</v>
      </c>
      <c r="D66" s="165" t="s">
        <v>8</v>
      </c>
      <c r="E66" s="165" t="s">
        <v>8</v>
      </c>
      <c r="F66" s="165" t="s">
        <v>8</v>
      </c>
      <c r="G66" s="165" t="s">
        <v>8</v>
      </c>
      <c r="H66" s="165" t="s">
        <v>8</v>
      </c>
    </row>
    <row r="67">
      <c r="B67" s="165" t="s">
        <v>8</v>
      </c>
      <c r="C67" s="165" t="s">
        <v>8</v>
      </c>
      <c r="D67" s="165" t="s">
        <v>8</v>
      </c>
      <c r="E67" s="165" t="s">
        <v>8</v>
      </c>
      <c r="F67" s="165" t="s">
        <v>8</v>
      </c>
      <c r="G67" s="165" t="s">
        <v>8</v>
      </c>
      <c r="H67" s="165" t="s">
        <v>8</v>
      </c>
    </row>
    <row r="68">
      <c r="B68" s="165" t="s">
        <v>8</v>
      </c>
      <c r="C68" s="165" t="s">
        <v>8</v>
      </c>
      <c r="D68" s="165" t="s">
        <v>8</v>
      </c>
      <c r="E68" s="165" t="s">
        <v>8</v>
      </c>
      <c r="F68" s="165" t="s">
        <v>8</v>
      </c>
      <c r="G68" s="165" t="s">
        <v>8</v>
      </c>
      <c r="H68" s="165" t="s">
        <v>8</v>
      </c>
    </row>
    <row r="69">
      <c r="B69" s="165" t="s">
        <v>8</v>
      </c>
      <c r="C69" s="165" t="s">
        <v>8</v>
      </c>
      <c r="D69" s="165" t="s">
        <v>8</v>
      </c>
      <c r="E69" s="165" t="s">
        <v>8</v>
      </c>
      <c r="F69" s="165" t="s">
        <v>8</v>
      </c>
      <c r="G69" s="165" t="s">
        <v>8</v>
      </c>
      <c r="H69" s="165" t="s">
        <v>8</v>
      </c>
    </row>
    <row r="70">
      <c r="B70" s="165" t="s">
        <v>8</v>
      </c>
      <c r="C70" s="165" t="s">
        <v>8</v>
      </c>
      <c r="D70" s="165" t="s">
        <v>8</v>
      </c>
      <c r="E70" s="165" t="s">
        <v>8</v>
      </c>
      <c r="F70" s="165" t="s">
        <v>8</v>
      </c>
      <c r="G70" s="165" t="s">
        <v>8</v>
      </c>
      <c r="H70" s="165" t="s">
        <v>8</v>
      </c>
    </row>
    <row r="71">
      <c r="B71" s="165" t="s">
        <v>8</v>
      </c>
      <c r="C71" s="165" t="s">
        <v>8</v>
      </c>
      <c r="D71" s="165" t="s">
        <v>8</v>
      </c>
      <c r="E71" s="165" t="s">
        <v>8</v>
      </c>
      <c r="F71" s="165" t="s">
        <v>8</v>
      </c>
      <c r="G71" s="165" t="s">
        <v>8</v>
      </c>
      <c r="H71" s="165" t="s">
        <v>8</v>
      </c>
    </row>
    <row r="72">
      <c r="B72" s="165" t="s">
        <v>8</v>
      </c>
      <c r="C72" s="165" t="s">
        <v>8</v>
      </c>
      <c r="D72" s="165" t="s">
        <v>8</v>
      </c>
      <c r="E72" s="165" t="s">
        <v>8</v>
      </c>
      <c r="F72" s="165" t="s">
        <v>8</v>
      </c>
      <c r="G72" s="165" t="s">
        <v>8</v>
      </c>
      <c r="H72" s="165" t="s">
        <v>8</v>
      </c>
    </row>
    <row r="73">
      <c r="B73" s="165" t="s">
        <v>8</v>
      </c>
      <c r="C73" s="165" t="s">
        <v>8</v>
      </c>
      <c r="D73" s="165" t="s">
        <v>8</v>
      </c>
      <c r="E73" s="165" t="s">
        <v>8</v>
      </c>
      <c r="F73" s="165" t="s">
        <v>8</v>
      </c>
      <c r="G73" s="165" t="s">
        <v>8</v>
      </c>
      <c r="H73" s="165" t="s">
        <v>8</v>
      </c>
    </row>
    <row r="74">
      <c r="B74" s="165" t="s">
        <v>8</v>
      </c>
      <c r="C74" s="165" t="s">
        <v>8</v>
      </c>
      <c r="D74" s="165" t="s">
        <v>8</v>
      </c>
      <c r="E74" s="165" t="s">
        <v>8</v>
      </c>
      <c r="F74" s="165" t="s">
        <v>8</v>
      </c>
      <c r="G74" s="165" t="s">
        <v>8</v>
      </c>
      <c r="H74" s="165" t="s">
        <v>8</v>
      </c>
    </row>
    <row r="75">
      <c r="B75" s="165" t="s">
        <v>8</v>
      </c>
      <c r="C75" s="165" t="s">
        <v>8</v>
      </c>
      <c r="D75" s="165" t="s">
        <v>8</v>
      </c>
      <c r="E75" s="165" t="s">
        <v>8</v>
      </c>
      <c r="F75" s="165" t="s">
        <v>8</v>
      </c>
      <c r="G75" s="165" t="s">
        <v>8</v>
      </c>
      <c r="H75" s="165" t="s">
        <v>8</v>
      </c>
    </row>
    <row r="76">
      <c r="B76" s="165" t="s">
        <v>8</v>
      </c>
      <c r="C76" s="165" t="s">
        <v>8</v>
      </c>
      <c r="D76" s="165" t="s">
        <v>8</v>
      </c>
      <c r="E76" s="165" t="s">
        <v>8</v>
      </c>
      <c r="F76" s="165" t="s">
        <v>8</v>
      </c>
      <c r="G76" s="165" t="s">
        <v>8</v>
      </c>
      <c r="H76" s="165" t="s">
        <v>8</v>
      </c>
    </row>
    <row r="77">
      <c r="B77" s="165" t="s">
        <v>8</v>
      </c>
      <c r="C77" s="165" t="s">
        <v>8</v>
      </c>
      <c r="D77" s="165" t="s">
        <v>8</v>
      </c>
      <c r="E77" s="165" t="s">
        <v>8</v>
      </c>
      <c r="F77" s="165" t="s">
        <v>8</v>
      </c>
      <c r="G77" s="165" t="s">
        <v>8</v>
      </c>
      <c r="H77" s="165" t="s">
        <v>8</v>
      </c>
    </row>
    <row r="78">
      <c r="B78" s="165" t="s">
        <v>8</v>
      </c>
      <c r="C78" s="165" t="s">
        <v>8</v>
      </c>
      <c r="D78" s="165" t="s">
        <v>8</v>
      </c>
      <c r="E78" s="165" t="s">
        <v>8</v>
      </c>
      <c r="F78" s="165" t="s">
        <v>8</v>
      </c>
      <c r="G78" s="165" t="s">
        <v>8</v>
      </c>
      <c r="H78" s="165" t="s">
        <v>8</v>
      </c>
    </row>
    <row r="79">
      <c r="B79" s="165" t="s">
        <v>8</v>
      </c>
      <c r="C79" s="165" t="s">
        <v>8</v>
      </c>
      <c r="D79" s="165" t="s">
        <v>8</v>
      </c>
      <c r="E79" s="165" t="s">
        <v>8</v>
      </c>
      <c r="F79" s="165" t="s">
        <v>8</v>
      </c>
      <c r="G79" s="165" t="s">
        <v>8</v>
      </c>
      <c r="H79" s="165" t="s">
        <v>8</v>
      </c>
    </row>
    <row r="80">
      <c r="B80" s="165" t="s">
        <v>8</v>
      </c>
      <c r="C80" s="165" t="s">
        <v>8</v>
      </c>
      <c r="D80" s="165" t="s">
        <v>8</v>
      </c>
      <c r="E80" s="165" t="s">
        <v>8</v>
      </c>
      <c r="F80" s="165" t="s">
        <v>8</v>
      </c>
      <c r="G80" s="165" t="s">
        <v>8</v>
      </c>
      <c r="H80" s="165" t="s">
        <v>8</v>
      </c>
    </row>
    <row r="81">
      <c r="B81" s="165" t="s">
        <v>8</v>
      </c>
      <c r="C81" s="165" t="s">
        <v>8</v>
      </c>
      <c r="D81" s="165" t="s">
        <v>8</v>
      </c>
      <c r="E81" s="165" t="s">
        <v>8</v>
      </c>
      <c r="F81" s="165" t="s">
        <v>8</v>
      </c>
      <c r="G81" s="165" t="s">
        <v>8</v>
      </c>
      <c r="H81" s="165" t="s">
        <v>8</v>
      </c>
    </row>
    <row r="82">
      <c r="B82" s="165" t="s">
        <v>8</v>
      </c>
      <c r="C82" s="165" t="s">
        <v>8</v>
      </c>
      <c r="D82" s="165" t="s">
        <v>8</v>
      </c>
      <c r="E82" s="165" t="s">
        <v>8</v>
      </c>
      <c r="F82" s="165" t="s">
        <v>8</v>
      </c>
      <c r="G82" s="165" t="s">
        <v>8</v>
      </c>
      <c r="H82" s="165" t="s">
        <v>8</v>
      </c>
    </row>
    <row r="83">
      <c r="B83" s="165" t="s">
        <v>8</v>
      </c>
      <c r="C83" s="165" t="s">
        <v>8</v>
      </c>
      <c r="D83" s="165" t="s">
        <v>8</v>
      </c>
      <c r="E83" s="165" t="s">
        <v>8</v>
      </c>
      <c r="F83" s="165" t="s">
        <v>8</v>
      </c>
      <c r="G83" s="165" t="s">
        <v>8</v>
      </c>
      <c r="H83" s="165" t="s">
        <v>8</v>
      </c>
    </row>
    <row r="84">
      <c r="B84" s="165" t="s">
        <v>8</v>
      </c>
      <c r="C84" s="165" t="s">
        <v>8</v>
      </c>
      <c r="D84" s="165" t="s">
        <v>8</v>
      </c>
      <c r="E84" s="165" t="s">
        <v>8</v>
      </c>
      <c r="F84" s="165" t="s">
        <v>8</v>
      </c>
      <c r="G84" s="165" t="s">
        <v>8</v>
      </c>
      <c r="H84" s="165" t="s">
        <v>8</v>
      </c>
    </row>
    <row r="85">
      <c r="B85" s="165" t="s">
        <v>8</v>
      </c>
      <c r="C85" s="165" t="s">
        <v>8</v>
      </c>
      <c r="D85" s="165" t="s">
        <v>8</v>
      </c>
      <c r="E85" s="165" t="s">
        <v>8</v>
      </c>
      <c r="F85" s="165" t="s">
        <v>8</v>
      </c>
      <c r="G85" s="165" t="s">
        <v>8</v>
      </c>
      <c r="H85" s="165" t="s">
        <v>8</v>
      </c>
    </row>
    <row r="86">
      <c r="B86" s="165" t="s">
        <v>8</v>
      </c>
      <c r="C86" s="165" t="s">
        <v>8</v>
      </c>
      <c r="D86" s="165" t="s">
        <v>8</v>
      </c>
      <c r="E86" s="165" t="s">
        <v>8</v>
      </c>
      <c r="F86" s="165" t="s">
        <v>8</v>
      </c>
      <c r="G86" s="165" t="s">
        <v>8</v>
      </c>
      <c r="H86" s="165" t="s">
        <v>8</v>
      </c>
    </row>
    <row r="87">
      <c r="B87" s="165" t="s">
        <v>8</v>
      </c>
      <c r="C87" s="165" t="s">
        <v>8</v>
      </c>
      <c r="D87" s="165" t="s">
        <v>8</v>
      </c>
      <c r="E87" s="165" t="s">
        <v>8</v>
      </c>
      <c r="F87" s="165" t="s">
        <v>8</v>
      </c>
      <c r="G87" s="165" t="s">
        <v>8</v>
      </c>
      <c r="H87" s="165" t="s">
        <v>8</v>
      </c>
    </row>
    <row r="88">
      <c r="B88" s="165" t="s">
        <v>8</v>
      </c>
      <c r="C88" s="165" t="s">
        <v>8</v>
      </c>
      <c r="D88" s="165" t="s">
        <v>8</v>
      </c>
      <c r="E88" s="165" t="s">
        <v>8</v>
      </c>
      <c r="F88" s="165" t="s">
        <v>8</v>
      </c>
      <c r="G88" s="165" t="s">
        <v>8</v>
      </c>
      <c r="H88" s="165" t="s">
        <v>8</v>
      </c>
    </row>
    <row r="89">
      <c r="B89" s="165" t="s">
        <v>8</v>
      </c>
      <c r="C89" s="165" t="s">
        <v>8</v>
      </c>
      <c r="D89" s="165" t="s">
        <v>8</v>
      </c>
      <c r="E89" s="165" t="s">
        <v>8</v>
      </c>
      <c r="F89" s="165" t="s">
        <v>8</v>
      </c>
      <c r="G89" s="165" t="s">
        <v>8</v>
      </c>
      <c r="H89" s="165" t="s">
        <v>8</v>
      </c>
    </row>
    <row r="90">
      <c r="B90" s="165" t="s">
        <v>8</v>
      </c>
      <c r="C90" s="165" t="s">
        <v>8</v>
      </c>
      <c r="D90" s="165" t="s">
        <v>8</v>
      </c>
      <c r="E90" s="165" t="s">
        <v>8</v>
      </c>
      <c r="F90" s="165" t="s">
        <v>8</v>
      </c>
      <c r="G90" s="165" t="s">
        <v>8</v>
      </c>
      <c r="H90" s="165" t="s">
        <v>8</v>
      </c>
    </row>
    <row r="91">
      <c r="B91" s="165" t="s">
        <v>8</v>
      </c>
      <c r="C91" s="165" t="s">
        <v>8</v>
      </c>
      <c r="D91" s="165" t="s">
        <v>8</v>
      </c>
      <c r="E91" s="165" t="s">
        <v>8</v>
      </c>
      <c r="F91" s="165" t="s">
        <v>8</v>
      </c>
      <c r="G91" s="165" t="s">
        <v>8</v>
      </c>
      <c r="H91" s="165" t="s">
        <v>8</v>
      </c>
    </row>
    <row r="92">
      <c r="B92" s="165" t="s">
        <v>8</v>
      </c>
      <c r="C92" s="165" t="s">
        <v>8</v>
      </c>
      <c r="D92" s="165" t="s">
        <v>8</v>
      </c>
      <c r="E92" s="165" t="s">
        <v>8</v>
      </c>
      <c r="F92" s="165" t="s">
        <v>8</v>
      </c>
      <c r="G92" s="165" t="s">
        <v>8</v>
      </c>
      <c r="H92" s="165" t="s">
        <v>8</v>
      </c>
    </row>
    <row r="93">
      <c r="B93" s="165" t="s">
        <v>8</v>
      </c>
      <c r="C93" s="165" t="s">
        <v>8</v>
      </c>
      <c r="D93" s="165" t="s">
        <v>8</v>
      </c>
      <c r="E93" s="165" t="s">
        <v>8</v>
      </c>
      <c r="F93" s="165" t="s">
        <v>8</v>
      </c>
      <c r="G93" s="165" t="s">
        <v>8</v>
      </c>
      <c r="H93" s="165" t="s">
        <v>8</v>
      </c>
    </row>
    <row r="94">
      <c r="B94" s="165" t="s">
        <v>8</v>
      </c>
      <c r="C94" s="165" t="s">
        <v>8</v>
      </c>
      <c r="D94" s="165" t="s">
        <v>8</v>
      </c>
      <c r="E94" s="165" t="s">
        <v>8</v>
      </c>
      <c r="F94" s="165" t="s">
        <v>8</v>
      </c>
      <c r="G94" s="165" t="s">
        <v>8</v>
      </c>
      <c r="H94" s="165" t="s">
        <v>8</v>
      </c>
    </row>
    <row r="95">
      <c r="B95" s="165" t="s">
        <v>8</v>
      </c>
      <c r="C95" s="165" t="s">
        <v>8</v>
      </c>
      <c r="D95" s="165" t="s">
        <v>8</v>
      </c>
      <c r="E95" s="165" t="s">
        <v>8</v>
      </c>
      <c r="F95" s="165" t="s">
        <v>8</v>
      </c>
      <c r="G95" s="165" t="s">
        <v>8</v>
      </c>
      <c r="H95" s="165" t="s">
        <v>8</v>
      </c>
    </row>
    <row r="96">
      <c r="B96" s="165" t="s">
        <v>8</v>
      </c>
      <c r="C96" s="165" t="s">
        <v>8</v>
      </c>
      <c r="D96" s="165" t="s">
        <v>8</v>
      </c>
      <c r="E96" s="165" t="s">
        <v>8</v>
      </c>
      <c r="F96" s="165" t="s">
        <v>8</v>
      </c>
      <c r="G96" s="165" t="s">
        <v>8</v>
      </c>
      <c r="H96" s="165" t="s">
        <v>8</v>
      </c>
    </row>
    <row r="97">
      <c r="B97" s="165" t="s">
        <v>8</v>
      </c>
      <c r="C97" s="165" t="s">
        <v>8</v>
      </c>
      <c r="D97" s="165" t="s">
        <v>8</v>
      </c>
      <c r="E97" s="165" t="s">
        <v>8</v>
      </c>
      <c r="F97" s="165" t="s">
        <v>8</v>
      </c>
      <c r="G97" s="165" t="s">
        <v>8</v>
      </c>
      <c r="H97" s="165" t="s">
        <v>8</v>
      </c>
    </row>
    <row r="98">
      <c r="B98" s="165" t="s">
        <v>8</v>
      </c>
      <c r="C98" s="165" t="s">
        <v>8</v>
      </c>
      <c r="D98" s="165" t="s">
        <v>8</v>
      </c>
      <c r="E98" s="165" t="s">
        <v>8</v>
      </c>
      <c r="F98" s="165" t="s">
        <v>8</v>
      </c>
      <c r="G98" s="165" t="s">
        <v>8</v>
      </c>
      <c r="H98" s="165" t="s">
        <v>8</v>
      </c>
    </row>
    <row r="99">
      <c r="B99" s="165" t="s">
        <v>8</v>
      </c>
      <c r="C99" s="165" t="s">
        <v>8</v>
      </c>
      <c r="D99" s="165" t="s">
        <v>8</v>
      </c>
      <c r="E99" s="165" t="s">
        <v>8</v>
      </c>
      <c r="F99" s="165" t="s">
        <v>8</v>
      </c>
      <c r="G99" s="165" t="s">
        <v>8</v>
      </c>
      <c r="H99" s="165" t="s">
        <v>8</v>
      </c>
    </row>
    <row r="100">
      <c r="B100" s="165" t="s">
        <v>8</v>
      </c>
      <c r="C100" s="165" t="s">
        <v>8</v>
      </c>
      <c r="D100" s="165" t="s">
        <v>8</v>
      </c>
      <c r="E100" s="165" t="s">
        <v>8</v>
      </c>
      <c r="F100" s="165" t="s">
        <v>8</v>
      </c>
      <c r="G100" s="165" t="s">
        <v>8</v>
      </c>
      <c r="H100" s="165" t="s">
        <v>8</v>
      </c>
    </row>
    <row r="101">
      <c r="B101" s="165" t="s">
        <v>8</v>
      </c>
      <c r="C101" s="165" t="s">
        <v>8</v>
      </c>
      <c r="D101" s="165" t="s">
        <v>8</v>
      </c>
      <c r="E101" s="165" t="s">
        <v>8</v>
      </c>
      <c r="F101" s="165" t="s">
        <v>8</v>
      </c>
      <c r="G101" s="165" t="s">
        <v>8</v>
      </c>
      <c r="H101" s="165" t="s">
        <v>8</v>
      </c>
    </row>
    <row r="102">
      <c r="B102" s="165" t="s">
        <v>8</v>
      </c>
      <c r="C102" s="165" t="s">
        <v>8</v>
      </c>
      <c r="D102" s="165" t="s">
        <v>8</v>
      </c>
      <c r="E102" s="165" t="s">
        <v>8</v>
      </c>
      <c r="F102" s="165" t="s">
        <v>8</v>
      </c>
      <c r="G102" s="165" t="s">
        <v>8</v>
      </c>
      <c r="H102" s="165" t="s">
        <v>8</v>
      </c>
    </row>
    <row r="103">
      <c r="B103" s="165" t="s">
        <v>8</v>
      </c>
      <c r="C103" s="165" t="s">
        <v>8</v>
      </c>
      <c r="D103" s="165" t="s">
        <v>8</v>
      </c>
      <c r="E103" s="165" t="s">
        <v>8</v>
      </c>
      <c r="F103" s="165" t="s">
        <v>8</v>
      </c>
      <c r="G103" s="165" t="s">
        <v>8</v>
      </c>
      <c r="H103" s="165" t="s">
        <v>8</v>
      </c>
    </row>
    <row r="104">
      <c r="B104" s="165" t="s">
        <v>8</v>
      </c>
      <c r="C104" s="165" t="s">
        <v>8</v>
      </c>
      <c r="D104" s="165" t="s">
        <v>8</v>
      </c>
      <c r="E104" s="165" t="s">
        <v>8</v>
      </c>
      <c r="F104" s="165" t="s">
        <v>8</v>
      </c>
      <c r="G104" s="165" t="s">
        <v>8</v>
      </c>
      <c r="H104" s="165" t="s">
        <v>8</v>
      </c>
    </row>
    <row r="105">
      <c r="B105" s="165" t="s">
        <v>8</v>
      </c>
      <c r="C105" s="165" t="s">
        <v>8</v>
      </c>
      <c r="D105" s="165" t="s">
        <v>8</v>
      </c>
      <c r="E105" s="165" t="s">
        <v>8</v>
      </c>
      <c r="F105" s="165" t="s">
        <v>8</v>
      </c>
      <c r="G105" s="165" t="s">
        <v>8</v>
      </c>
      <c r="H105" s="165" t="s">
        <v>8</v>
      </c>
    </row>
    <row r="106">
      <c r="B106" s="165" t="s">
        <v>8</v>
      </c>
      <c r="C106" s="165" t="s">
        <v>8</v>
      </c>
      <c r="D106" s="165" t="s">
        <v>8</v>
      </c>
      <c r="E106" s="165" t="s">
        <v>8</v>
      </c>
      <c r="F106" s="165" t="s">
        <v>8</v>
      </c>
      <c r="G106" s="165" t="s">
        <v>8</v>
      </c>
      <c r="H106" s="165" t="s">
        <v>8</v>
      </c>
    </row>
    <row r="107">
      <c r="B107" s="165" t="s">
        <v>8</v>
      </c>
      <c r="C107" s="165" t="s">
        <v>8</v>
      </c>
      <c r="D107" s="165" t="s">
        <v>8</v>
      </c>
      <c r="E107" s="165" t="s">
        <v>8</v>
      </c>
      <c r="F107" s="165" t="s">
        <v>8</v>
      </c>
      <c r="G107" s="165" t="s">
        <v>8</v>
      </c>
      <c r="H107" s="165" t="s">
        <v>8</v>
      </c>
    </row>
    <row r="108">
      <c r="B108" s="165" t="s">
        <v>8</v>
      </c>
      <c r="C108" s="165" t="s">
        <v>8</v>
      </c>
      <c r="D108" s="165" t="s">
        <v>8</v>
      </c>
      <c r="E108" s="165" t="s">
        <v>8</v>
      </c>
      <c r="F108" s="165" t="s">
        <v>8</v>
      </c>
      <c r="G108" s="165" t="s">
        <v>8</v>
      </c>
      <c r="H108" s="165" t="s">
        <v>8</v>
      </c>
    </row>
    <row r="109">
      <c r="B109" s="165" t="s">
        <v>8</v>
      </c>
      <c r="C109" s="165" t="s">
        <v>8</v>
      </c>
      <c r="D109" s="165" t="s">
        <v>8</v>
      </c>
      <c r="E109" s="165" t="s">
        <v>8</v>
      </c>
      <c r="F109" s="165" t="s">
        <v>8</v>
      </c>
      <c r="G109" s="165" t="s">
        <v>8</v>
      </c>
      <c r="H109" s="165" t="s">
        <v>8</v>
      </c>
    </row>
    <row r="110">
      <c r="B110" s="165" t="s">
        <v>8</v>
      </c>
      <c r="C110" s="165" t="s">
        <v>8</v>
      </c>
      <c r="D110" s="165" t="s">
        <v>8</v>
      </c>
      <c r="E110" s="165" t="s">
        <v>8</v>
      </c>
      <c r="F110" s="165" t="s">
        <v>8</v>
      </c>
      <c r="G110" s="165" t="s">
        <v>8</v>
      </c>
      <c r="H110" s="165" t="s">
        <v>8</v>
      </c>
    </row>
    <row r="111">
      <c r="B111" s="165" t="s">
        <v>8</v>
      </c>
      <c r="C111" s="165" t="s">
        <v>8</v>
      </c>
      <c r="D111" s="165" t="s">
        <v>8</v>
      </c>
      <c r="E111" s="165" t="s">
        <v>8</v>
      </c>
      <c r="F111" s="165" t="s">
        <v>8</v>
      </c>
      <c r="G111" s="165" t="s">
        <v>8</v>
      </c>
      <c r="H111" s="165" t="s">
        <v>8</v>
      </c>
    </row>
    <row r="112">
      <c r="B112" s="165" t="s">
        <v>8</v>
      </c>
      <c r="C112" s="165" t="s">
        <v>8</v>
      </c>
      <c r="D112" s="165" t="s">
        <v>8</v>
      </c>
      <c r="E112" s="165" t="s">
        <v>8</v>
      </c>
      <c r="F112" s="165" t="s">
        <v>8</v>
      </c>
      <c r="G112" s="165" t="s">
        <v>8</v>
      </c>
      <c r="H112" s="165" t="s">
        <v>8</v>
      </c>
    </row>
    <row r="113">
      <c r="B113" s="165" t="s">
        <v>8</v>
      </c>
      <c r="C113" s="165" t="s">
        <v>8</v>
      </c>
      <c r="D113" s="165" t="s">
        <v>8</v>
      </c>
      <c r="E113" s="165" t="s">
        <v>8</v>
      </c>
      <c r="F113" s="165" t="s">
        <v>8</v>
      </c>
      <c r="G113" s="165" t="s">
        <v>8</v>
      </c>
      <c r="H113" s="165" t="s">
        <v>8</v>
      </c>
    </row>
    <row r="114">
      <c r="B114" s="165" t="s">
        <v>8</v>
      </c>
      <c r="C114" s="165" t="s">
        <v>8</v>
      </c>
      <c r="D114" s="165" t="s">
        <v>8</v>
      </c>
      <c r="E114" s="165" t="s">
        <v>8</v>
      </c>
      <c r="F114" s="165" t="s">
        <v>8</v>
      </c>
      <c r="G114" s="165" t="s">
        <v>8</v>
      </c>
      <c r="H114" s="165" t="s">
        <v>8</v>
      </c>
    </row>
    <row r="115">
      <c r="B115" s="165" t="s">
        <v>8</v>
      </c>
      <c r="C115" s="165" t="s">
        <v>8</v>
      </c>
      <c r="D115" s="165" t="s">
        <v>8</v>
      </c>
      <c r="E115" s="165" t="s">
        <v>8</v>
      </c>
      <c r="F115" s="165" t="s">
        <v>8</v>
      </c>
      <c r="G115" s="165" t="s">
        <v>8</v>
      </c>
      <c r="H115" s="165" t="s">
        <v>8</v>
      </c>
    </row>
    <row r="116">
      <c r="B116" s="165" t="s">
        <v>8</v>
      </c>
      <c r="C116" s="165" t="s">
        <v>8</v>
      </c>
      <c r="D116" s="165" t="s">
        <v>8</v>
      </c>
      <c r="E116" s="165" t="s">
        <v>8</v>
      </c>
      <c r="F116" s="165" t="s">
        <v>8</v>
      </c>
      <c r="G116" s="165" t="s">
        <v>8</v>
      </c>
      <c r="H116" s="165" t="s">
        <v>8</v>
      </c>
    </row>
    <row r="117">
      <c r="B117" s="165" t="s">
        <v>8</v>
      </c>
      <c r="C117" s="165" t="s">
        <v>8</v>
      </c>
      <c r="D117" s="165" t="s">
        <v>8</v>
      </c>
      <c r="E117" s="165" t="s">
        <v>8</v>
      </c>
      <c r="F117" s="165" t="s">
        <v>8</v>
      </c>
      <c r="G117" s="165" t="s">
        <v>8</v>
      </c>
      <c r="H117" s="165" t="s">
        <v>8</v>
      </c>
    </row>
    <row r="118">
      <c r="B118" s="165" t="s">
        <v>8</v>
      </c>
      <c r="C118" s="165" t="s">
        <v>8</v>
      </c>
      <c r="D118" s="165" t="s">
        <v>8</v>
      </c>
      <c r="E118" s="165" t="s">
        <v>8</v>
      </c>
      <c r="F118" s="165" t="s">
        <v>8</v>
      </c>
      <c r="G118" s="165" t="s">
        <v>8</v>
      </c>
      <c r="H118" s="165" t="s">
        <v>8</v>
      </c>
    </row>
    <row r="119">
      <c r="B119" s="165" t="s">
        <v>8</v>
      </c>
      <c r="C119" s="165" t="s">
        <v>8</v>
      </c>
      <c r="D119" s="165" t="s">
        <v>8</v>
      </c>
      <c r="E119" s="165" t="s">
        <v>8</v>
      </c>
      <c r="F119" s="165" t="s">
        <v>8</v>
      </c>
      <c r="G119" s="165" t="s">
        <v>8</v>
      </c>
      <c r="H119" s="165" t="s">
        <v>8</v>
      </c>
    </row>
    <row r="120">
      <c r="B120" s="165" t="s">
        <v>8</v>
      </c>
      <c r="C120" s="165" t="s">
        <v>8</v>
      </c>
      <c r="D120" s="165" t="s">
        <v>8</v>
      </c>
      <c r="E120" s="165" t="s">
        <v>8</v>
      </c>
      <c r="F120" s="165" t="s">
        <v>8</v>
      </c>
      <c r="G120" s="165" t="s">
        <v>8</v>
      </c>
      <c r="H120" s="165" t="s">
        <v>8</v>
      </c>
    </row>
    <row r="121">
      <c r="B121" s="165" t="s">
        <v>8</v>
      </c>
      <c r="C121" s="165" t="s">
        <v>8</v>
      </c>
      <c r="D121" s="165" t="s">
        <v>8</v>
      </c>
      <c r="E121" s="165" t="s">
        <v>8</v>
      </c>
      <c r="F121" s="165" t="s">
        <v>8</v>
      </c>
      <c r="G121" s="165" t="s">
        <v>8</v>
      </c>
      <c r="H121" s="165" t="s">
        <v>8</v>
      </c>
    </row>
    <row r="122">
      <c r="B122" s="165" t="s">
        <v>8</v>
      </c>
      <c r="C122" s="165" t="s">
        <v>8</v>
      </c>
      <c r="D122" s="165" t="s">
        <v>8</v>
      </c>
      <c r="E122" s="165" t="s">
        <v>8</v>
      </c>
      <c r="F122" s="165" t="s">
        <v>8</v>
      </c>
      <c r="G122" s="165" t="s">
        <v>8</v>
      </c>
      <c r="H122" s="165" t="s">
        <v>8</v>
      </c>
    </row>
    <row r="123">
      <c r="B123" s="165" t="s">
        <v>8</v>
      </c>
      <c r="C123" s="165" t="s">
        <v>8</v>
      </c>
      <c r="D123" s="165" t="s">
        <v>8</v>
      </c>
      <c r="E123" s="165" t="s">
        <v>8</v>
      </c>
      <c r="F123" s="165" t="s">
        <v>8</v>
      </c>
      <c r="G123" s="165" t="s">
        <v>8</v>
      </c>
      <c r="H123" s="165" t="s">
        <v>8</v>
      </c>
    </row>
    <row r="124">
      <c r="B124" s="165" t="s">
        <v>8</v>
      </c>
      <c r="C124" s="165" t="s">
        <v>8</v>
      </c>
      <c r="D124" s="165" t="s">
        <v>8</v>
      </c>
      <c r="E124" s="165" t="s">
        <v>8</v>
      </c>
      <c r="F124" s="165" t="s">
        <v>8</v>
      </c>
      <c r="G124" s="165" t="s">
        <v>8</v>
      </c>
      <c r="H124" s="165" t="s">
        <v>8</v>
      </c>
    </row>
    <row r="125">
      <c r="B125" s="165" t="s">
        <v>8</v>
      </c>
      <c r="C125" s="165" t="s">
        <v>8</v>
      </c>
      <c r="D125" s="165" t="s">
        <v>8</v>
      </c>
      <c r="E125" s="165" t="s">
        <v>8</v>
      </c>
      <c r="F125" s="165" t="s">
        <v>8</v>
      </c>
      <c r="G125" s="165" t="s">
        <v>8</v>
      </c>
      <c r="H125" s="165" t="s">
        <v>8</v>
      </c>
    </row>
    <row r="126">
      <c r="B126" s="165" t="s">
        <v>8</v>
      </c>
      <c r="C126" s="165" t="s">
        <v>8</v>
      </c>
      <c r="D126" s="165" t="s">
        <v>8</v>
      </c>
      <c r="E126" s="165" t="s">
        <v>8</v>
      </c>
      <c r="F126" s="165" t="s">
        <v>8</v>
      </c>
      <c r="G126" s="165" t="s">
        <v>8</v>
      </c>
      <c r="H126" s="165" t="s">
        <v>8</v>
      </c>
    </row>
    <row r="127">
      <c r="B127" s="165" t="s">
        <v>8</v>
      </c>
      <c r="C127" s="165" t="s">
        <v>8</v>
      </c>
      <c r="D127" s="165" t="s">
        <v>8</v>
      </c>
      <c r="E127" s="165" t="s">
        <v>8</v>
      </c>
      <c r="F127" s="165" t="s">
        <v>8</v>
      </c>
      <c r="G127" s="165" t="s">
        <v>8</v>
      </c>
      <c r="H127" s="165" t="s">
        <v>8</v>
      </c>
    </row>
    <row r="128">
      <c r="B128" s="165" t="s">
        <v>8</v>
      </c>
      <c r="C128" s="165" t="s">
        <v>8</v>
      </c>
      <c r="D128" s="165" t="s">
        <v>8</v>
      </c>
      <c r="E128" s="165" t="s">
        <v>8</v>
      </c>
      <c r="F128" s="165" t="s">
        <v>8</v>
      </c>
      <c r="G128" s="165" t="s">
        <v>8</v>
      </c>
      <c r="H128" s="165" t="s">
        <v>8</v>
      </c>
    </row>
    <row r="129">
      <c r="B129" s="165" t="s">
        <v>8</v>
      </c>
      <c r="C129" s="165" t="s">
        <v>8</v>
      </c>
      <c r="D129" s="165" t="s">
        <v>8</v>
      </c>
      <c r="E129" s="165" t="s">
        <v>8</v>
      </c>
      <c r="F129" s="165" t="s">
        <v>8</v>
      </c>
      <c r="G129" s="165" t="s">
        <v>8</v>
      </c>
      <c r="H129" s="165" t="s">
        <v>8</v>
      </c>
    </row>
    <row r="130">
      <c r="B130" s="165" t="s">
        <v>8</v>
      </c>
      <c r="C130" s="165" t="s">
        <v>8</v>
      </c>
      <c r="D130" s="165" t="s">
        <v>8</v>
      </c>
      <c r="E130" s="165" t="s">
        <v>8</v>
      </c>
      <c r="F130" s="165" t="s">
        <v>8</v>
      </c>
      <c r="G130" s="165" t="s">
        <v>8</v>
      </c>
      <c r="H130" s="165" t="s">
        <v>8</v>
      </c>
    </row>
    <row r="131">
      <c r="B131" s="165" t="s">
        <v>8</v>
      </c>
      <c r="C131" s="165" t="s">
        <v>8</v>
      </c>
      <c r="D131" s="165" t="s">
        <v>8</v>
      </c>
      <c r="E131" s="165" t="s">
        <v>8</v>
      </c>
      <c r="F131" s="165" t="s">
        <v>8</v>
      </c>
      <c r="G131" s="165" t="s">
        <v>8</v>
      </c>
      <c r="H131" s="165" t="s">
        <v>8</v>
      </c>
    </row>
    <row r="132">
      <c r="B132" s="165" t="s">
        <v>8</v>
      </c>
      <c r="C132" s="165" t="s">
        <v>8</v>
      </c>
      <c r="D132" s="165" t="s">
        <v>8</v>
      </c>
      <c r="E132" s="165" t="s">
        <v>8</v>
      </c>
      <c r="F132" s="165" t="s">
        <v>8</v>
      </c>
      <c r="G132" s="165" t="s">
        <v>8</v>
      </c>
      <c r="H132" s="165" t="s">
        <v>8</v>
      </c>
    </row>
    <row r="133">
      <c r="B133" s="165" t="s">
        <v>8</v>
      </c>
      <c r="C133" s="165" t="s">
        <v>8</v>
      </c>
      <c r="D133" s="165" t="s">
        <v>8</v>
      </c>
      <c r="E133" s="165" t="s">
        <v>8</v>
      </c>
      <c r="F133" s="165" t="s">
        <v>8</v>
      </c>
      <c r="G133" s="165" t="s">
        <v>8</v>
      </c>
      <c r="H133" s="165" t="s">
        <v>8</v>
      </c>
    </row>
    <row r="134">
      <c r="B134" s="165" t="s">
        <v>8</v>
      </c>
      <c r="C134" s="165" t="s">
        <v>8</v>
      </c>
      <c r="D134" s="165" t="s">
        <v>8</v>
      </c>
      <c r="E134" s="165" t="s">
        <v>8</v>
      </c>
      <c r="F134" s="165" t="s">
        <v>8</v>
      </c>
      <c r="G134" s="165" t="s">
        <v>8</v>
      </c>
      <c r="H134" s="165" t="s">
        <v>8</v>
      </c>
    </row>
    <row r="135">
      <c r="B135" s="165" t="s">
        <v>8</v>
      </c>
      <c r="C135" s="165" t="s">
        <v>8</v>
      </c>
      <c r="D135" s="165" t="s">
        <v>8</v>
      </c>
      <c r="E135" s="165" t="s">
        <v>8</v>
      </c>
      <c r="F135" s="165" t="s">
        <v>8</v>
      </c>
      <c r="G135" s="165" t="s">
        <v>8</v>
      </c>
      <c r="H135" s="165" t="s">
        <v>8</v>
      </c>
    </row>
    <row r="136">
      <c r="B136" s="165" t="s">
        <v>8</v>
      </c>
      <c r="C136" s="165" t="s">
        <v>8</v>
      </c>
      <c r="D136" s="165" t="s">
        <v>8</v>
      </c>
      <c r="E136" s="165" t="s">
        <v>8</v>
      </c>
      <c r="F136" s="165" t="s">
        <v>8</v>
      </c>
      <c r="G136" s="165" t="s">
        <v>8</v>
      </c>
      <c r="H136" s="165" t="s">
        <v>8</v>
      </c>
    </row>
    <row r="137">
      <c r="B137" s="165" t="s">
        <v>8</v>
      </c>
      <c r="C137" s="165" t="s">
        <v>8</v>
      </c>
      <c r="D137" s="165" t="s">
        <v>8</v>
      </c>
      <c r="E137" s="165" t="s">
        <v>8</v>
      </c>
      <c r="F137" s="165" t="s">
        <v>8</v>
      </c>
      <c r="G137" s="165" t="s">
        <v>8</v>
      </c>
      <c r="H137" s="165" t="s">
        <v>8</v>
      </c>
    </row>
    <row r="138">
      <c r="B138" s="165" t="s">
        <v>8</v>
      </c>
      <c r="C138" s="165" t="s">
        <v>8</v>
      </c>
      <c r="D138" s="165" t="s">
        <v>8</v>
      </c>
      <c r="E138" s="165" t="s">
        <v>8</v>
      </c>
      <c r="F138" s="165" t="s">
        <v>8</v>
      </c>
      <c r="G138" s="165" t="s">
        <v>8</v>
      </c>
      <c r="H138" s="165" t="s">
        <v>8</v>
      </c>
    </row>
    <row r="139">
      <c r="B139" s="165" t="s">
        <v>8</v>
      </c>
      <c r="C139" s="165" t="s">
        <v>8</v>
      </c>
      <c r="D139" s="165" t="s">
        <v>8</v>
      </c>
      <c r="E139" s="165" t="s">
        <v>8</v>
      </c>
      <c r="F139" s="165" t="s">
        <v>8</v>
      </c>
      <c r="G139" s="165" t="s">
        <v>8</v>
      </c>
      <c r="H139" s="165" t="s">
        <v>8</v>
      </c>
    </row>
    <row r="140">
      <c r="B140" s="165" t="s">
        <v>8</v>
      </c>
      <c r="C140" s="165" t="s">
        <v>8</v>
      </c>
      <c r="D140" s="165" t="s">
        <v>8</v>
      </c>
      <c r="E140" s="165" t="s">
        <v>8</v>
      </c>
      <c r="F140" s="165" t="s">
        <v>8</v>
      </c>
      <c r="G140" s="165" t="s">
        <v>8</v>
      </c>
      <c r="H140" s="165" t="s">
        <v>8</v>
      </c>
    </row>
    <row r="141">
      <c r="B141" s="165" t="s">
        <v>8</v>
      </c>
      <c r="C141" s="165" t="s">
        <v>8</v>
      </c>
      <c r="D141" s="165" t="s">
        <v>8</v>
      </c>
      <c r="E141" s="165" t="s">
        <v>8</v>
      </c>
      <c r="F141" s="165" t="s">
        <v>8</v>
      </c>
      <c r="G141" s="165" t="s">
        <v>8</v>
      </c>
      <c r="H141" s="165" t="s">
        <v>8</v>
      </c>
    </row>
    <row r="142">
      <c r="B142" s="165" t="s">
        <v>8</v>
      </c>
      <c r="C142" s="165" t="s">
        <v>8</v>
      </c>
      <c r="D142" s="165" t="s">
        <v>8</v>
      </c>
      <c r="E142" s="165" t="s">
        <v>8</v>
      </c>
      <c r="F142" s="165" t="s">
        <v>8</v>
      </c>
      <c r="G142" s="165" t="s">
        <v>8</v>
      </c>
      <c r="H142" s="165" t="s">
        <v>8</v>
      </c>
    </row>
    <row r="143">
      <c r="B143" s="165" t="s">
        <v>8</v>
      </c>
      <c r="C143" s="165" t="s">
        <v>8</v>
      </c>
      <c r="D143" s="165" t="s">
        <v>8</v>
      </c>
      <c r="E143" s="165" t="s">
        <v>8</v>
      </c>
      <c r="F143" s="165" t="s">
        <v>8</v>
      </c>
      <c r="G143" s="165" t="s">
        <v>8</v>
      </c>
      <c r="H143" s="165" t="s">
        <v>8</v>
      </c>
    </row>
    <row r="144">
      <c r="B144" s="165" t="s">
        <v>8</v>
      </c>
      <c r="C144" s="165" t="s">
        <v>8</v>
      </c>
      <c r="D144" s="165" t="s">
        <v>8</v>
      </c>
      <c r="E144" s="165" t="s">
        <v>8</v>
      </c>
      <c r="F144" s="165" t="s">
        <v>8</v>
      </c>
      <c r="G144" s="165" t="s">
        <v>8</v>
      </c>
      <c r="H144" s="165" t="s">
        <v>8</v>
      </c>
    </row>
    <row r="145">
      <c r="B145" s="165" t="s">
        <v>8</v>
      </c>
      <c r="C145" s="165" t="s">
        <v>8</v>
      </c>
      <c r="D145" s="165" t="s">
        <v>8</v>
      </c>
      <c r="E145" s="165" t="s">
        <v>8</v>
      </c>
      <c r="F145" s="165" t="s">
        <v>8</v>
      </c>
      <c r="G145" s="165" t="s">
        <v>8</v>
      </c>
      <c r="H145" s="165" t="s">
        <v>8</v>
      </c>
    </row>
    <row r="146">
      <c r="B146" s="165" t="s">
        <v>8</v>
      </c>
      <c r="C146" s="165" t="s">
        <v>8</v>
      </c>
      <c r="D146" s="165" t="s">
        <v>8</v>
      </c>
      <c r="E146" s="165" t="s">
        <v>8</v>
      </c>
      <c r="F146" s="165" t="s">
        <v>8</v>
      </c>
      <c r="G146" s="165" t="s">
        <v>8</v>
      </c>
      <c r="H146" s="165" t="s">
        <v>8</v>
      </c>
    </row>
    <row r="147">
      <c r="B147" s="165" t="s">
        <v>8</v>
      </c>
      <c r="C147" s="165" t="s">
        <v>8</v>
      </c>
      <c r="D147" s="165" t="s">
        <v>8</v>
      </c>
      <c r="E147" s="165" t="s">
        <v>8</v>
      </c>
      <c r="F147" s="165" t="s">
        <v>8</v>
      </c>
      <c r="G147" s="165" t="s">
        <v>8</v>
      </c>
      <c r="H147" s="165" t="s">
        <v>8</v>
      </c>
    </row>
    <row r="148">
      <c r="B148" s="165" t="s">
        <v>8</v>
      </c>
      <c r="C148" s="165" t="s">
        <v>8</v>
      </c>
      <c r="D148" s="165" t="s">
        <v>8</v>
      </c>
      <c r="E148" s="165" t="s">
        <v>8</v>
      </c>
      <c r="F148" s="165" t="s">
        <v>8</v>
      </c>
      <c r="G148" s="165" t="s">
        <v>8</v>
      </c>
      <c r="H148" s="165" t="s">
        <v>8</v>
      </c>
    </row>
    <row r="149">
      <c r="B149" s="165" t="s">
        <v>8</v>
      </c>
      <c r="C149" s="165" t="s">
        <v>8</v>
      </c>
      <c r="D149" s="165" t="s">
        <v>8</v>
      </c>
      <c r="E149" s="165" t="s">
        <v>8</v>
      </c>
      <c r="F149" s="165" t="s">
        <v>8</v>
      </c>
      <c r="G149" s="165" t="s">
        <v>8</v>
      </c>
      <c r="H149" s="165" t="s">
        <v>8</v>
      </c>
    </row>
    <row r="150">
      <c r="B150" s="165" t="s">
        <v>8</v>
      </c>
      <c r="C150" s="165" t="s">
        <v>8</v>
      </c>
      <c r="D150" s="165" t="s">
        <v>8</v>
      </c>
      <c r="E150" s="165" t="s">
        <v>8</v>
      </c>
      <c r="F150" s="165" t="s">
        <v>8</v>
      </c>
      <c r="G150" s="165" t="s">
        <v>8</v>
      </c>
      <c r="H150" s="165" t="s">
        <v>8</v>
      </c>
    </row>
    <row r="151">
      <c r="B151" s="165" t="s">
        <v>8</v>
      </c>
      <c r="C151" s="165" t="s">
        <v>8</v>
      </c>
      <c r="D151" s="165" t="s">
        <v>8</v>
      </c>
      <c r="E151" s="165" t="s">
        <v>8</v>
      </c>
      <c r="F151" s="165" t="s">
        <v>8</v>
      </c>
      <c r="G151" s="165" t="s">
        <v>8</v>
      </c>
      <c r="H151" s="165" t="s">
        <v>8</v>
      </c>
    </row>
    <row r="152">
      <c r="B152" s="165" t="s">
        <v>8</v>
      </c>
      <c r="C152" s="165" t="s">
        <v>8</v>
      </c>
      <c r="D152" s="165" t="s">
        <v>8</v>
      </c>
      <c r="E152" s="165" t="s">
        <v>8</v>
      </c>
      <c r="F152" s="165" t="s">
        <v>8</v>
      </c>
      <c r="G152" s="165" t="s">
        <v>8</v>
      </c>
      <c r="H152" s="165" t="s">
        <v>8</v>
      </c>
    </row>
    <row r="153">
      <c r="B153" s="165" t="s">
        <v>8</v>
      </c>
      <c r="C153" s="165" t="s">
        <v>8</v>
      </c>
      <c r="D153" s="165" t="s">
        <v>8</v>
      </c>
      <c r="E153" s="165" t="s">
        <v>8</v>
      </c>
      <c r="F153" s="165" t="s">
        <v>8</v>
      </c>
      <c r="G153" s="165" t="s">
        <v>8</v>
      </c>
      <c r="H153" s="165" t="s">
        <v>8</v>
      </c>
    </row>
    <row r="154">
      <c r="B154" s="165" t="s">
        <v>8</v>
      </c>
      <c r="C154" s="165" t="s">
        <v>8</v>
      </c>
      <c r="D154" s="165" t="s">
        <v>8</v>
      </c>
      <c r="E154" s="165" t="s">
        <v>8</v>
      </c>
      <c r="F154" s="165" t="s">
        <v>8</v>
      </c>
      <c r="G154" s="165" t="s">
        <v>8</v>
      </c>
      <c r="H154" s="165" t="s">
        <v>8</v>
      </c>
    </row>
    <row r="155">
      <c r="B155" s="165" t="s">
        <v>8</v>
      </c>
      <c r="C155" s="165" t="s">
        <v>8</v>
      </c>
      <c r="D155" s="165" t="s">
        <v>8</v>
      </c>
      <c r="E155" s="165" t="s">
        <v>8</v>
      </c>
      <c r="F155" s="165" t="s">
        <v>8</v>
      </c>
      <c r="G155" s="165" t="s">
        <v>8</v>
      </c>
      <c r="H155" s="165" t="s">
        <v>8</v>
      </c>
    </row>
    <row r="156">
      <c r="B156" s="165" t="s">
        <v>8</v>
      </c>
      <c r="C156" s="165" t="s">
        <v>8</v>
      </c>
      <c r="D156" s="165" t="s">
        <v>8</v>
      </c>
      <c r="E156" s="165" t="s">
        <v>8</v>
      </c>
      <c r="F156" s="165" t="s">
        <v>8</v>
      </c>
      <c r="G156" s="165" t="s">
        <v>8</v>
      </c>
      <c r="H156" s="165" t="s">
        <v>8</v>
      </c>
    </row>
    <row r="157">
      <c r="B157" s="165" t="s">
        <v>8</v>
      </c>
      <c r="C157" s="165" t="s">
        <v>8</v>
      </c>
      <c r="D157" s="165" t="s">
        <v>8</v>
      </c>
      <c r="E157" s="165" t="s">
        <v>8</v>
      </c>
      <c r="F157" s="165" t="s">
        <v>8</v>
      </c>
      <c r="G157" s="165" t="s">
        <v>8</v>
      </c>
      <c r="H157" s="165" t="s">
        <v>8</v>
      </c>
    </row>
    <row r="158">
      <c r="B158" s="165" t="s">
        <v>8</v>
      </c>
      <c r="C158" s="165" t="s">
        <v>8</v>
      </c>
      <c r="D158" s="165" t="s">
        <v>8</v>
      </c>
      <c r="E158" s="165" t="s">
        <v>8</v>
      </c>
      <c r="F158" s="165" t="s">
        <v>8</v>
      </c>
      <c r="G158" s="165" t="s">
        <v>8</v>
      </c>
      <c r="H158" s="165" t="s">
        <v>8</v>
      </c>
    </row>
    <row r="159">
      <c r="B159" s="165" t="s">
        <v>8</v>
      </c>
      <c r="C159" s="165" t="s">
        <v>8</v>
      </c>
      <c r="D159" s="165" t="s">
        <v>8</v>
      </c>
      <c r="E159" s="165" t="s">
        <v>8</v>
      </c>
      <c r="F159" s="165" t="s">
        <v>8</v>
      </c>
      <c r="G159" s="165" t="s">
        <v>8</v>
      </c>
      <c r="H159" s="165" t="s">
        <v>8</v>
      </c>
    </row>
    <row r="160">
      <c r="B160" s="165" t="s">
        <v>8</v>
      </c>
      <c r="C160" s="165" t="s">
        <v>8</v>
      </c>
      <c r="D160" s="165" t="s">
        <v>8</v>
      </c>
      <c r="E160" s="165" t="s">
        <v>8</v>
      </c>
      <c r="F160" s="165" t="s">
        <v>8</v>
      </c>
      <c r="G160" s="165" t="s">
        <v>8</v>
      </c>
      <c r="H160" s="165" t="s">
        <v>8</v>
      </c>
    </row>
    <row r="161">
      <c r="B161" s="165" t="s">
        <v>8</v>
      </c>
      <c r="C161" s="165" t="s">
        <v>8</v>
      </c>
      <c r="D161" s="165" t="s">
        <v>8</v>
      </c>
      <c r="E161" s="165" t="s">
        <v>8</v>
      </c>
      <c r="F161" s="165" t="s">
        <v>8</v>
      </c>
      <c r="G161" s="165" t="s">
        <v>8</v>
      </c>
      <c r="H161" s="165" t="s">
        <v>8</v>
      </c>
    </row>
    <row r="162">
      <c r="B162" s="165" t="s">
        <v>8</v>
      </c>
      <c r="C162" s="165" t="s">
        <v>8</v>
      </c>
      <c r="D162" s="165" t="s">
        <v>8</v>
      </c>
      <c r="E162" s="165" t="s">
        <v>8</v>
      </c>
      <c r="F162" s="165" t="s">
        <v>8</v>
      </c>
      <c r="G162" s="165" t="s">
        <v>8</v>
      </c>
      <c r="H162" s="165" t="s">
        <v>8</v>
      </c>
    </row>
    <row r="163">
      <c r="B163" s="165" t="s">
        <v>8</v>
      </c>
      <c r="C163" s="165" t="s">
        <v>8</v>
      </c>
      <c r="D163" s="165" t="s">
        <v>8</v>
      </c>
      <c r="E163" s="165" t="s">
        <v>8</v>
      </c>
      <c r="F163" s="165" t="s">
        <v>8</v>
      </c>
      <c r="G163" s="165" t="s">
        <v>8</v>
      </c>
      <c r="H163" s="165" t="s">
        <v>8</v>
      </c>
    </row>
    <row r="164">
      <c r="B164" s="165" t="s">
        <v>8</v>
      </c>
      <c r="C164" s="165" t="s">
        <v>8</v>
      </c>
      <c r="D164" s="165" t="s">
        <v>8</v>
      </c>
      <c r="E164" s="165" t="s">
        <v>8</v>
      </c>
      <c r="F164" s="165" t="s">
        <v>8</v>
      </c>
      <c r="G164" s="165" t="s">
        <v>8</v>
      </c>
      <c r="H164" s="165" t="s">
        <v>8</v>
      </c>
    </row>
    <row r="165">
      <c r="B165" s="165" t="s">
        <v>8</v>
      </c>
      <c r="C165" s="165" t="s">
        <v>8</v>
      </c>
      <c r="D165" s="165" t="s">
        <v>8</v>
      </c>
      <c r="E165" s="165" t="s">
        <v>8</v>
      </c>
      <c r="F165" s="165" t="s">
        <v>8</v>
      </c>
      <c r="G165" s="165" t="s">
        <v>8</v>
      </c>
      <c r="H165" s="165" t="s">
        <v>8</v>
      </c>
    </row>
    <row r="166">
      <c r="B166" s="165" t="s">
        <v>8</v>
      </c>
      <c r="C166" s="165" t="s">
        <v>8</v>
      </c>
      <c r="D166" s="165" t="s">
        <v>8</v>
      </c>
      <c r="E166" s="165" t="s">
        <v>8</v>
      </c>
      <c r="F166" s="165" t="s">
        <v>8</v>
      </c>
      <c r="G166" s="165" t="s">
        <v>8</v>
      </c>
      <c r="H166" s="165" t="s">
        <v>8</v>
      </c>
    </row>
    <row r="167">
      <c r="B167" s="165" t="s">
        <v>8</v>
      </c>
      <c r="C167" s="165" t="s">
        <v>8</v>
      </c>
      <c r="D167" s="165" t="s">
        <v>8</v>
      </c>
      <c r="E167" s="165" t="s">
        <v>8</v>
      </c>
      <c r="F167" s="165" t="s">
        <v>8</v>
      </c>
      <c r="G167" s="165" t="s">
        <v>8</v>
      </c>
      <c r="H167" s="165" t="s">
        <v>8</v>
      </c>
    </row>
    <row r="168">
      <c r="B168" s="165" t="s">
        <v>8</v>
      </c>
      <c r="C168" s="165" t="s">
        <v>8</v>
      </c>
      <c r="D168" s="165" t="s">
        <v>8</v>
      </c>
      <c r="E168" s="165" t="s">
        <v>8</v>
      </c>
      <c r="F168" s="165" t="s">
        <v>8</v>
      </c>
      <c r="G168" s="165" t="s">
        <v>8</v>
      </c>
      <c r="H168" s="165" t="s">
        <v>8</v>
      </c>
    </row>
    <row r="169">
      <c r="B169" s="165" t="s">
        <v>8</v>
      </c>
      <c r="C169" s="165" t="s">
        <v>8</v>
      </c>
      <c r="D169" s="165" t="s">
        <v>8</v>
      </c>
      <c r="E169" s="165" t="s">
        <v>8</v>
      </c>
      <c r="F169" s="165" t="s">
        <v>8</v>
      </c>
      <c r="G169" s="165" t="s">
        <v>8</v>
      </c>
      <c r="H169" s="165" t="s">
        <v>8</v>
      </c>
    </row>
    <row r="170">
      <c r="B170" s="165" t="s">
        <v>8</v>
      </c>
      <c r="C170" s="165" t="s">
        <v>8</v>
      </c>
      <c r="D170" s="165" t="s">
        <v>8</v>
      </c>
      <c r="E170" s="165" t="s">
        <v>8</v>
      </c>
      <c r="F170" s="165" t="s">
        <v>8</v>
      </c>
      <c r="G170" s="165" t="s">
        <v>8</v>
      </c>
      <c r="H170" s="165" t="s">
        <v>8</v>
      </c>
    </row>
    <row r="171">
      <c r="B171" s="165" t="s">
        <v>8</v>
      </c>
      <c r="C171" s="165" t="s">
        <v>8</v>
      </c>
      <c r="D171" s="165" t="s">
        <v>8</v>
      </c>
      <c r="E171" s="165" t="s">
        <v>8</v>
      </c>
      <c r="F171" s="165" t="s">
        <v>8</v>
      </c>
      <c r="G171" s="165" t="s">
        <v>8</v>
      </c>
      <c r="H171" s="165" t="s">
        <v>8</v>
      </c>
    </row>
    <row r="172">
      <c r="B172" s="165" t="s">
        <v>8</v>
      </c>
      <c r="C172" s="165" t="s">
        <v>8</v>
      </c>
      <c r="D172" s="165" t="s">
        <v>8</v>
      </c>
      <c r="E172" s="165" t="s">
        <v>8</v>
      </c>
      <c r="F172" s="165" t="s">
        <v>8</v>
      </c>
      <c r="G172" s="165" t="s">
        <v>8</v>
      </c>
      <c r="H172" s="165" t="s">
        <v>8</v>
      </c>
    </row>
    <row r="173">
      <c r="B173" s="165" t="s">
        <v>8</v>
      </c>
      <c r="C173" s="165" t="s">
        <v>8</v>
      </c>
      <c r="D173" s="165" t="s">
        <v>8</v>
      </c>
      <c r="E173" s="165" t="s">
        <v>8</v>
      </c>
      <c r="F173" s="165" t="s">
        <v>8</v>
      </c>
      <c r="G173" s="165" t="s">
        <v>8</v>
      </c>
      <c r="H173" s="165" t="s">
        <v>8</v>
      </c>
    </row>
    <row r="174">
      <c r="B174" s="165" t="s">
        <v>8</v>
      </c>
      <c r="C174" s="165" t="s">
        <v>8</v>
      </c>
      <c r="D174" s="165" t="s">
        <v>8</v>
      </c>
      <c r="E174" s="165" t="s">
        <v>8</v>
      </c>
      <c r="F174" s="165" t="s">
        <v>8</v>
      </c>
      <c r="G174" s="165" t="s">
        <v>8</v>
      </c>
      <c r="H174" s="165" t="s">
        <v>8</v>
      </c>
    </row>
    <row r="175">
      <c r="B175" s="165" t="s">
        <v>8</v>
      </c>
      <c r="C175" s="165" t="s">
        <v>8</v>
      </c>
      <c r="D175" s="165" t="s">
        <v>8</v>
      </c>
      <c r="E175" s="165" t="s">
        <v>8</v>
      </c>
      <c r="F175" s="165" t="s">
        <v>8</v>
      </c>
      <c r="G175" s="165" t="s">
        <v>8</v>
      </c>
      <c r="H175" s="165" t="s">
        <v>8</v>
      </c>
    </row>
    <row r="176">
      <c r="B176" s="165" t="s">
        <v>8</v>
      </c>
      <c r="C176" s="165" t="s">
        <v>8</v>
      </c>
      <c r="D176" s="165" t="s">
        <v>8</v>
      </c>
      <c r="E176" s="165" t="s">
        <v>8</v>
      </c>
      <c r="F176" s="165" t="s">
        <v>8</v>
      </c>
      <c r="G176" s="165" t="s">
        <v>8</v>
      </c>
      <c r="H176" s="165" t="s">
        <v>8</v>
      </c>
    </row>
    <row r="177">
      <c r="B177" s="165" t="s">
        <v>8</v>
      </c>
      <c r="C177" s="165" t="s">
        <v>8</v>
      </c>
      <c r="D177" s="165" t="s">
        <v>8</v>
      </c>
      <c r="E177" s="165" t="s">
        <v>8</v>
      </c>
      <c r="F177" s="165" t="s">
        <v>8</v>
      </c>
      <c r="G177" s="165" t="s">
        <v>8</v>
      </c>
      <c r="H177" s="165" t="s">
        <v>8</v>
      </c>
    </row>
    <row r="178">
      <c r="B178" s="165" t="s">
        <v>8</v>
      </c>
      <c r="C178" s="165" t="s">
        <v>8</v>
      </c>
      <c r="D178" s="165" t="s">
        <v>8</v>
      </c>
      <c r="E178" s="165" t="s">
        <v>8</v>
      </c>
      <c r="F178" s="165" t="s">
        <v>8</v>
      </c>
      <c r="G178" s="165" t="s">
        <v>8</v>
      </c>
      <c r="H178" s="165" t="s">
        <v>8</v>
      </c>
    </row>
    <row r="179">
      <c r="B179" s="165" t="s">
        <v>8</v>
      </c>
      <c r="C179" s="165" t="s">
        <v>8</v>
      </c>
      <c r="D179" s="165" t="s">
        <v>8</v>
      </c>
      <c r="E179" s="165" t="s">
        <v>8</v>
      </c>
      <c r="F179" s="165" t="s">
        <v>8</v>
      </c>
      <c r="G179" s="165" t="s">
        <v>8</v>
      </c>
      <c r="H179" s="165" t="s">
        <v>8</v>
      </c>
    </row>
    <row r="180">
      <c r="B180" s="165" t="s">
        <v>8</v>
      </c>
      <c r="C180" s="165" t="s">
        <v>8</v>
      </c>
      <c r="D180" s="165" t="s">
        <v>8</v>
      </c>
      <c r="E180" s="165" t="s">
        <v>8</v>
      </c>
      <c r="F180" s="165" t="s">
        <v>8</v>
      </c>
      <c r="G180" s="165" t="s">
        <v>8</v>
      </c>
      <c r="H180" s="165" t="s">
        <v>8</v>
      </c>
    </row>
    <row r="181">
      <c r="B181" s="165" t="s">
        <v>8</v>
      </c>
      <c r="C181" s="165" t="s">
        <v>8</v>
      </c>
      <c r="D181" s="165" t="s">
        <v>8</v>
      </c>
      <c r="E181" s="165" t="s">
        <v>8</v>
      </c>
      <c r="F181" s="165" t="s">
        <v>8</v>
      </c>
      <c r="G181" s="165" t="s">
        <v>8</v>
      </c>
      <c r="H181" s="165" t="s">
        <v>8</v>
      </c>
    </row>
    <row r="182">
      <c r="B182" s="165" t="s">
        <v>8</v>
      </c>
      <c r="C182" s="165" t="s">
        <v>8</v>
      </c>
      <c r="D182" s="165" t="s">
        <v>8</v>
      </c>
      <c r="E182" s="165" t="s">
        <v>8</v>
      </c>
      <c r="F182" s="165" t="s">
        <v>8</v>
      </c>
      <c r="G182" s="165" t="s">
        <v>8</v>
      </c>
      <c r="H182" s="165" t="s">
        <v>8</v>
      </c>
    </row>
    <row r="183">
      <c r="B183" s="165" t="s">
        <v>8</v>
      </c>
      <c r="C183" s="165" t="s">
        <v>8</v>
      </c>
      <c r="D183" s="165" t="s">
        <v>8</v>
      </c>
      <c r="E183" s="165" t="s">
        <v>8</v>
      </c>
      <c r="F183" s="165" t="s">
        <v>8</v>
      </c>
      <c r="G183" s="165" t="s">
        <v>8</v>
      </c>
      <c r="H183" s="165" t="s">
        <v>8</v>
      </c>
    </row>
    <row r="184">
      <c r="B184" s="165" t="s">
        <v>8</v>
      </c>
      <c r="C184" s="165" t="s">
        <v>8</v>
      </c>
      <c r="D184" s="165" t="s">
        <v>8</v>
      </c>
      <c r="E184" s="165" t="s">
        <v>8</v>
      </c>
      <c r="F184" s="165" t="s">
        <v>8</v>
      </c>
      <c r="G184" s="165" t="s">
        <v>8</v>
      </c>
      <c r="H184" s="165" t="s">
        <v>8</v>
      </c>
    </row>
    <row r="185">
      <c r="B185" s="165" t="s">
        <v>8</v>
      </c>
      <c r="C185" s="165" t="s">
        <v>8</v>
      </c>
      <c r="D185" s="165" t="s">
        <v>8</v>
      </c>
      <c r="E185" s="165" t="s">
        <v>8</v>
      </c>
      <c r="F185" s="165" t="s">
        <v>8</v>
      </c>
      <c r="G185" s="165" t="s">
        <v>8</v>
      </c>
      <c r="H185" s="165" t="s">
        <v>8</v>
      </c>
    </row>
    <row r="186">
      <c r="B186" s="165" t="s">
        <v>8</v>
      </c>
      <c r="C186" s="165" t="s">
        <v>8</v>
      </c>
      <c r="D186" s="165" t="s">
        <v>8</v>
      </c>
      <c r="E186" s="165" t="s">
        <v>8</v>
      </c>
      <c r="F186" s="165" t="s">
        <v>8</v>
      </c>
      <c r="G186" s="165" t="s">
        <v>8</v>
      </c>
      <c r="H186" s="165" t="s">
        <v>8</v>
      </c>
    </row>
    <row r="187">
      <c r="B187" s="165" t="s">
        <v>8</v>
      </c>
      <c r="C187" s="165" t="s">
        <v>8</v>
      </c>
      <c r="D187" s="165" t="s">
        <v>8</v>
      </c>
      <c r="E187" s="165" t="s">
        <v>8</v>
      </c>
      <c r="F187" s="165" t="s">
        <v>8</v>
      </c>
      <c r="G187" s="165" t="s">
        <v>8</v>
      </c>
      <c r="H187" s="165" t="s">
        <v>8</v>
      </c>
    </row>
    <row r="188">
      <c r="B188" s="165" t="s">
        <v>8</v>
      </c>
      <c r="C188" s="165" t="s">
        <v>8</v>
      </c>
      <c r="D188" s="165" t="s">
        <v>8</v>
      </c>
      <c r="E188" s="165" t="s">
        <v>8</v>
      </c>
      <c r="F188" s="165" t="s">
        <v>8</v>
      </c>
      <c r="G188" s="165" t="s">
        <v>8</v>
      </c>
      <c r="H188" s="165" t="s">
        <v>8</v>
      </c>
    </row>
    <row r="189">
      <c r="B189" s="165" t="s">
        <v>8</v>
      </c>
      <c r="C189" s="165" t="s">
        <v>8</v>
      </c>
      <c r="D189" s="165" t="s">
        <v>8</v>
      </c>
      <c r="E189" s="165" t="s">
        <v>8</v>
      </c>
      <c r="F189" s="165" t="s">
        <v>8</v>
      </c>
      <c r="G189" s="165" t="s">
        <v>8</v>
      </c>
      <c r="H189" s="165" t="s">
        <v>8</v>
      </c>
    </row>
    <row r="190">
      <c r="B190" s="165" t="s">
        <v>8</v>
      </c>
      <c r="C190" s="165" t="s">
        <v>8</v>
      </c>
      <c r="D190" s="165" t="s">
        <v>8</v>
      </c>
      <c r="E190" s="165" t="s">
        <v>8</v>
      </c>
      <c r="F190" s="165" t="s">
        <v>8</v>
      </c>
      <c r="G190" s="165" t="s">
        <v>8</v>
      </c>
      <c r="H190" s="165" t="s">
        <v>8</v>
      </c>
    </row>
    <row r="191">
      <c r="B191" s="165" t="s">
        <v>8</v>
      </c>
      <c r="C191" s="165" t="s">
        <v>8</v>
      </c>
      <c r="D191" s="165" t="s">
        <v>8</v>
      </c>
      <c r="E191" s="165" t="s">
        <v>8</v>
      </c>
      <c r="F191" s="165" t="s">
        <v>8</v>
      </c>
      <c r="G191" s="165" t="s">
        <v>8</v>
      </c>
      <c r="H191" s="165" t="s">
        <v>8</v>
      </c>
    </row>
    <row r="192">
      <c r="B192" s="165" t="s">
        <v>8</v>
      </c>
      <c r="C192" s="165" t="s">
        <v>8</v>
      </c>
      <c r="D192" s="165" t="s">
        <v>8</v>
      </c>
      <c r="E192" s="165" t="s">
        <v>8</v>
      </c>
      <c r="F192" s="165" t="s">
        <v>8</v>
      </c>
      <c r="G192" s="165" t="s">
        <v>8</v>
      </c>
      <c r="H192" s="165" t="s">
        <v>8</v>
      </c>
    </row>
    <row r="193">
      <c r="B193" s="165" t="s">
        <v>8</v>
      </c>
      <c r="C193" s="165" t="s">
        <v>8</v>
      </c>
      <c r="D193" s="165" t="s">
        <v>8</v>
      </c>
      <c r="E193" s="165" t="s">
        <v>8</v>
      </c>
      <c r="F193" s="165" t="s">
        <v>8</v>
      </c>
      <c r="G193" s="165" t="s">
        <v>8</v>
      </c>
      <c r="H193" s="165" t="s">
        <v>8</v>
      </c>
    </row>
    <row r="194">
      <c r="B194" s="165" t="s">
        <v>8</v>
      </c>
      <c r="C194" s="165" t="s">
        <v>8</v>
      </c>
      <c r="D194" s="165" t="s">
        <v>8</v>
      </c>
      <c r="E194" s="165" t="s">
        <v>8</v>
      </c>
      <c r="F194" s="165" t="s">
        <v>8</v>
      </c>
      <c r="G194" s="165" t="s">
        <v>8</v>
      </c>
      <c r="H194" s="165" t="s">
        <v>8</v>
      </c>
    </row>
    <row r="195">
      <c r="B195" s="165" t="s">
        <v>8</v>
      </c>
      <c r="C195" s="165" t="s">
        <v>8</v>
      </c>
      <c r="D195" s="165" t="s">
        <v>8</v>
      </c>
      <c r="E195" s="165" t="s">
        <v>8</v>
      </c>
      <c r="F195" s="165" t="s">
        <v>8</v>
      </c>
      <c r="G195" s="165" t="s">
        <v>8</v>
      </c>
      <c r="H195" s="165" t="s">
        <v>8</v>
      </c>
    </row>
    <row r="196">
      <c r="B196" s="165" t="s">
        <v>8</v>
      </c>
      <c r="C196" s="165" t="s">
        <v>8</v>
      </c>
      <c r="D196" s="165" t="s">
        <v>8</v>
      </c>
      <c r="E196" s="165" t="s">
        <v>8</v>
      </c>
      <c r="F196" s="165" t="s">
        <v>8</v>
      </c>
      <c r="G196" s="165" t="s">
        <v>8</v>
      </c>
      <c r="H196" s="165" t="s">
        <v>8</v>
      </c>
    </row>
    <row r="197">
      <c r="B197" s="165" t="s">
        <v>8</v>
      </c>
      <c r="C197" s="165" t="s">
        <v>8</v>
      </c>
      <c r="D197" s="165" t="s">
        <v>8</v>
      </c>
      <c r="E197" s="165" t="s">
        <v>8</v>
      </c>
      <c r="F197" s="165" t="s">
        <v>8</v>
      </c>
      <c r="G197" s="165" t="s">
        <v>8</v>
      </c>
      <c r="H197" s="165" t="s">
        <v>8</v>
      </c>
    </row>
    <row r="198">
      <c r="B198" s="165" t="s">
        <v>8</v>
      </c>
      <c r="C198" s="165" t="s">
        <v>8</v>
      </c>
      <c r="D198" s="165" t="s">
        <v>8</v>
      </c>
      <c r="E198" s="165" t="s">
        <v>8</v>
      </c>
      <c r="F198" s="165" t="s">
        <v>8</v>
      </c>
      <c r="G198" s="165" t="s">
        <v>8</v>
      </c>
      <c r="H198" s="165" t="s">
        <v>8</v>
      </c>
    </row>
    <row r="199">
      <c r="B199" s="165" t="s">
        <v>8</v>
      </c>
      <c r="C199" s="165" t="s">
        <v>8</v>
      </c>
      <c r="D199" s="165" t="s">
        <v>8</v>
      </c>
      <c r="E199" s="165" t="s">
        <v>8</v>
      </c>
      <c r="F199" s="165" t="s">
        <v>8</v>
      </c>
      <c r="G199" s="165" t="s">
        <v>8</v>
      </c>
      <c r="H199" s="165" t="s">
        <v>8</v>
      </c>
    </row>
    <row r="200">
      <c r="B200" s="165" t="s">
        <v>8</v>
      </c>
      <c r="C200" s="165" t="s">
        <v>8</v>
      </c>
      <c r="D200" s="165" t="s">
        <v>8</v>
      </c>
      <c r="E200" s="165" t="s">
        <v>8</v>
      </c>
      <c r="F200" s="165" t="s">
        <v>8</v>
      </c>
      <c r="G200" s="165" t="s">
        <v>8</v>
      </c>
      <c r="H200" s="165" t="s">
        <v>8</v>
      </c>
    </row>
    <row r="201">
      <c r="B201" s="165" t="s">
        <v>8</v>
      </c>
      <c r="C201" s="165" t="s">
        <v>8</v>
      </c>
      <c r="D201" s="165" t="s">
        <v>8</v>
      </c>
      <c r="E201" s="165" t="s">
        <v>8</v>
      </c>
      <c r="F201" s="165" t="s">
        <v>8</v>
      </c>
      <c r="G201" s="165" t="s">
        <v>8</v>
      </c>
      <c r="H201" s="165" t="s">
        <v>8</v>
      </c>
    </row>
    <row r="202">
      <c r="B202" s="165" t="s">
        <v>8</v>
      </c>
      <c r="C202" s="165" t="s">
        <v>8</v>
      </c>
      <c r="D202" s="165" t="s">
        <v>8</v>
      </c>
      <c r="E202" s="165" t="s">
        <v>8</v>
      </c>
      <c r="F202" s="165" t="s">
        <v>8</v>
      </c>
      <c r="G202" s="165" t="s">
        <v>8</v>
      </c>
      <c r="H202" s="165" t="s">
        <v>8</v>
      </c>
    </row>
    <row r="203">
      <c r="B203" s="165" t="s">
        <v>8</v>
      </c>
      <c r="C203" s="165" t="s">
        <v>8</v>
      </c>
      <c r="D203" s="165" t="s">
        <v>8</v>
      </c>
      <c r="E203" s="165" t="s">
        <v>8</v>
      </c>
      <c r="F203" s="165" t="s">
        <v>8</v>
      </c>
      <c r="G203" s="165" t="s">
        <v>8</v>
      </c>
      <c r="H203" s="165" t="s">
        <v>8</v>
      </c>
    </row>
    <row r="204">
      <c r="B204" s="165" t="s">
        <v>8</v>
      </c>
      <c r="C204" s="165" t="s">
        <v>8</v>
      </c>
      <c r="D204" s="165" t="s">
        <v>8</v>
      </c>
      <c r="E204" s="165" t="s">
        <v>8</v>
      </c>
      <c r="F204" s="165" t="s">
        <v>8</v>
      </c>
      <c r="G204" s="165" t="s">
        <v>8</v>
      </c>
      <c r="H204" s="165" t="s">
        <v>8</v>
      </c>
    </row>
    <row r="205">
      <c r="B205" s="165" t="s">
        <v>8</v>
      </c>
      <c r="C205" s="165" t="s">
        <v>8</v>
      </c>
      <c r="D205" s="165" t="s">
        <v>8</v>
      </c>
      <c r="E205" s="165" t="s">
        <v>8</v>
      </c>
      <c r="F205" s="165" t="s">
        <v>8</v>
      </c>
      <c r="G205" s="165" t="s">
        <v>8</v>
      </c>
      <c r="H205" s="165" t="s">
        <v>8</v>
      </c>
    </row>
    <row r="206">
      <c r="B206" s="165" t="s">
        <v>8</v>
      </c>
      <c r="C206" s="165" t="s">
        <v>8</v>
      </c>
      <c r="D206" s="165" t="s">
        <v>8</v>
      </c>
      <c r="E206" s="165" t="s">
        <v>8</v>
      </c>
      <c r="F206" s="165" t="s">
        <v>8</v>
      </c>
      <c r="G206" s="165" t="s">
        <v>8</v>
      </c>
      <c r="H206" s="165" t="s">
        <v>8</v>
      </c>
    </row>
    <row r="207">
      <c r="B207" s="165" t="s">
        <v>8</v>
      </c>
      <c r="C207" s="165" t="s">
        <v>8</v>
      </c>
      <c r="D207" s="165" t="s">
        <v>8</v>
      </c>
      <c r="E207" s="165" t="s">
        <v>8</v>
      </c>
      <c r="F207" s="165" t="s">
        <v>8</v>
      </c>
      <c r="G207" s="165" t="s">
        <v>8</v>
      </c>
      <c r="H207" s="165" t="s">
        <v>8</v>
      </c>
    </row>
    <row r="208">
      <c r="B208" s="165" t="s">
        <v>8</v>
      </c>
      <c r="C208" s="165" t="s">
        <v>8</v>
      </c>
      <c r="D208" s="165" t="s">
        <v>8</v>
      </c>
      <c r="E208" s="165" t="s">
        <v>8</v>
      </c>
      <c r="F208" s="165" t="s">
        <v>8</v>
      </c>
      <c r="G208" s="165" t="s">
        <v>8</v>
      </c>
      <c r="H208" s="165" t="s">
        <v>8</v>
      </c>
    </row>
    <row r="209">
      <c r="B209" s="165" t="s">
        <v>8</v>
      </c>
      <c r="C209" s="165" t="s">
        <v>8</v>
      </c>
      <c r="D209" s="165" t="s">
        <v>8</v>
      </c>
      <c r="E209" s="165" t="s">
        <v>8</v>
      </c>
      <c r="F209" s="165" t="s">
        <v>8</v>
      </c>
      <c r="G209" s="165" t="s">
        <v>8</v>
      </c>
      <c r="H209" s="165" t="s">
        <v>8</v>
      </c>
    </row>
    <row r="210">
      <c r="B210" s="165" t="s">
        <v>8</v>
      </c>
      <c r="C210" s="165" t="s">
        <v>8</v>
      </c>
      <c r="D210" s="165" t="s">
        <v>8</v>
      </c>
      <c r="E210" s="165" t="s">
        <v>8</v>
      </c>
      <c r="F210" s="165" t="s">
        <v>8</v>
      </c>
      <c r="G210" s="165" t="s">
        <v>8</v>
      </c>
      <c r="H210" s="165" t="s">
        <v>8</v>
      </c>
    </row>
    <row r="211">
      <c r="B211" s="165" t="s">
        <v>8</v>
      </c>
      <c r="C211" s="165" t="s">
        <v>8</v>
      </c>
      <c r="D211" s="165" t="s">
        <v>8</v>
      </c>
      <c r="E211" s="165" t="s">
        <v>8</v>
      </c>
      <c r="F211" s="165" t="s">
        <v>8</v>
      </c>
      <c r="G211" s="165" t="s">
        <v>8</v>
      </c>
      <c r="H211" s="165" t="s">
        <v>8</v>
      </c>
    </row>
    <row r="212">
      <c r="B212" s="165" t="s">
        <v>8</v>
      </c>
      <c r="C212" s="165" t="s">
        <v>8</v>
      </c>
      <c r="D212" s="165" t="s">
        <v>8</v>
      </c>
      <c r="E212" s="165" t="s">
        <v>8</v>
      </c>
      <c r="F212" s="165" t="s">
        <v>8</v>
      </c>
      <c r="G212" s="165" t="s">
        <v>8</v>
      </c>
      <c r="H212" s="165" t="s">
        <v>8</v>
      </c>
    </row>
    <row r="213">
      <c r="B213" s="165" t="s">
        <v>8</v>
      </c>
      <c r="C213" s="165" t="s">
        <v>8</v>
      </c>
      <c r="D213" s="165" t="s">
        <v>8</v>
      </c>
      <c r="E213" s="165" t="s">
        <v>8</v>
      </c>
      <c r="F213" s="165" t="s">
        <v>8</v>
      </c>
      <c r="G213" s="165" t="s">
        <v>8</v>
      </c>
      <c r="H213" s="165" t="s">
        <v>8</v>
      </c>
    </row>
    <row r="214">
      <c r="B214" s="165" t="s">
        <v>8</v>
      </c>
      <c r="C214" s="165" t="s">
        <v>8</v>
      </c>
      <c r="D214" s="165" t="s">
        <v>8</v>
      </c>
      <c r="E214" s="165" t="s">
        <v>8</v>
      </c>
      <c r="F214" s="165" t="s">
        <v>8</v>
      </c>
      <c r="G214" s="165" t="s">
        <v>8</v>
      </c>
      <c r="H214" s="165" t="s">
        <v>8</v>
      </c>
    </row>
    <row r="215">
      <c r="B215" s="165" t="s">
        <v>8</v>
      </c>
      <c r="C215" s="165" t="s">
        <v>8</v>
      </c>
      <c r="D215" s="165" t="s">
        <v>8</v>
      </c>
      <c r="E215" s="165" t="s">
        <v>8</v>
      </c>
      <c r="F215" s="165" t="s">
        <v>8</v>
      </c>
      <c r="G215" s="165" t="s">
        <v>8</v>
      </c>
      <c r="H215" s="165" t="s">
        <v>8</v>
      </c>
    </row>
    <row r="216">
      <c r="B216" s="165" t="s">
        <v>8</v>
      </c>
      <c r="C216" s="165" t="s">
        <v>8</v>
      </c>
      <c r="D216" s="165" t="s">
        <v>8</v>
      </c>
      <c r="E216" s="165" t="s">
        <v>8</v>
      </c>
      <c r="F216" s="165" t="s">
        <v>8</v>
      </c>
      <c r="G216" s="165" t="s">
        <v>8</v>
      </c>
      <c r="H216" s="165" t="s">
        <v>8</v>
      </c>
    </row>
    <row r="217">
      <c r="B217" s="165" t="s">
        <v>8</v>
      </c>
      <c r="C217" s="165" t="s">
        <v>8</v>
      </c>
      <c r="D217" s="165" t="s">
        <v>8</v>
      </c>
      <c r="E217" s="165" t="s">
        <v>8</v>
      </c>
      <c r="F217" s="165" t="s">
        <v>8</v>
      </c>
      <c r="G217" s="165" t="s">
        <v>8</v>
      </c>
      <c r="H217" s="165" t="s">
        <v>8</v>
      </c>
    </row>
    <row r="218">
      <c r="B218" s="165" t="s">
        <v>8</v>
      </c>
      <c r="C218" s="165" t="s">
        <v>8</v>
      </c>
      <c r="D218" s="165" t="s">
        <v>8</v>
      </c>
      <c r="E218" s="165" t="s">
        <v>8</v>
      </c>
      <c r="F218" s="165" t="s">
        <v>8</v>
      </c>
      <c r="G218" s="165" t="s">
        <v>8</v>
      </c>
      <c r="H218" s="165" t="s">
        <v>8</v>
      </c>
    </row>
    <row r="219">
      <c r="B219" s="165" t="s">
        <v>8</v>
      </c>
      <c r="C219" s="165" t="s">
        <v>8</v>
      </c>
      <c r="D219" s="165" t="s">
        <v>8</v>
      </c>
      <c r="E219" s="165" t="s">
        <v>8</v>
      </c>
      <c r="F219" s="165" t="s">
        <v>8</v>
      </c>
      <c r="G219" s="165" t="s">
        <v>8</v>
      </c>
      <c r="H219" s="165" t="s">
        <v>8</v>
      </c>
    </row>
    <row r="220">
      <c r="B220" s="165" t="s">
        <v>8</v>
      </c>
      <c r="C220" s="165" t="s">
        <v>8</v>
      </c>
      <c r="D220" s="165" t="s">
        <v>8</v>
      </c>
      <c r="E220" s="165" t="s">
        <v>8</v>
      </c>
      <c r="F220" s="165" t="s">
        <v>8</v>
      </c>
      <c r="G220" s="165" t="s">
        <v>8</v>
      </c>
      <c r="H220" s="165" t="s">
        <v>8</v>
      </c>
    </row>
    <row r="221">
      <c r="B221" s="165" t="s">
        <v>8</v>
      </c>
      <c r="C221" s="165" t="s">
        <v>8</v>
      </c>
      <c r="D221" s="165" t="s">
        <v>8</v>
      </c>
      <c r="E221" s="165" t="s">
        <v>8</v>
      </c>
      <c r="F221" s="165" t="s">
        <v>8</v>
      </c>
      <c r="G221" s="165" t="s">
        <v>8</v>
      </c>
      <c r="H221" s="165" t="s">
        <v>8</v>
      </c>
    </row>
    <row r="222">
      <c r="B222" s="165" t="s">
        <v>8</v>
      </c>
      <c r="C222" s="165" t="s">
        <v>8</v>
      </c>
      <c r="D222" s="165" t="s">
        <v>8</v>
      </c>
      <c r="E222" s="165" t="s">
        <v>8</v>
      </c>
      <c r="F222" s="165" t="s">
        <v>8</v>
      </c>
      <c r="G222" s="165" t="s">
        <v>8</v>
      </c>
      <c r="H222" s="165" t="s">
        <v>8</v>
      </c>
    </row>
    <row r="223">
      <c r="B223" s="165" t="s">
        <v>8</v>
      </c>
      <c r="C223" s="165" t="s">
        <v>8</v>
      </c>
      <c r="D223" s="165" t="s">
        <v>8</v>
      </c>
      <c r="E223" s="165" t="s">
        <v>8</v>
      </c>
      <c r="F223" s="165" t="s">
        <v>8</v>
      </c>
      <c r="G223" s="165" t="s">
        <v>8</v>
      </c>
      <c r="H223" s="165" t="s">
        <v>8</v>
      </c>
    </row>
    <row r="224">
      <c r="B224" s="165" t="s">
        <v>8</v>
      </c>
      <c r="C224" s="165" t="s">
        <v>8</v>
      </c>
      <c r="D224" s="165" t="s">
        <v>8</v>
      </c>
      <c r="E224" s="165" t="s">
        <v>8</v>
      </c>
      <c r="F224" s="165" t="s">
        <v>8</v>
      </c>
      <c r="G224" s="165" t="s">
        <v>8</v>
      </c>
      <c r="H224" s="165" t="s">
        <v>8</v>
      </c>
    </row>
    <row r="225">
      <c r="B225" s="165" t="s">
        <v>8</v>
      </c>
      <c r="C225" s="165" t="s">
        <v>8</v>
      </c>
      <c r="D225" s="165" t="s">
        <v>8</v>
      </c>
      <c r="E225" s="165" t="s">
        <v>8</v>
      </c>
      <c r="F225" s="165" t="s">
        <v>8</v>
      </c>
      <c r="G225" s="165" t="s">
        <v>8</v>
      </c>
      <c r="H225" s="165" t="s">
        <v>8</v>
      </c>
    </row>
    <row r="226">
      <c r="B226" s="165" t="s">
        <v>8</v>
      </c>
      <c r="C226" s="165" t="s">
        <v>8</v>
      </c>
      <c r="D226" s="165" t="s">
        <v>8</v>
      </c>
      <c r="E226" s="165" t="s">
        <v>8</v>
      </c>
      <c r="F226" s="165" t="s">
        <v>8</v>
      </c>
      <c r="G226" s="165" t="s">
        <v>8</v>
      </c>
      <c r="H226" s="165" t="s">
        <v>8</v>
      </c>
    </row>
    <row r="227">
      <c r="B227" s="165" t="s">
        <v>8</v>
      </c>
      <c r="C227" s="165" t="s">
        <v>8</v>
      </c>
      <c r="D227" s="165" t="s">
        <v>8</v>
      </c>
      <c r="E227" s="165" t="s">
        <v>8</v>
      </c>
      <c r="F227" s="165" t="s">
        <v>8</v>
      </c>
      <c r="G227" s="165" t="s">
        <v>8</v>
      </c>
      <c r="H227" s="165" t="s">
        <v>8</v>
      </c>
    </row>
    <row r="228">
      <c r="B228" s="165" t="s">
        <v>8</v>
      </c>
      <c r="C228" s="165" t="s">
        <v>8</v>
      </c>
      <c r="D228" s="165" t="s">
        <v>8</v>
      </c>
      <c r="E228" s="165" t="s">
        <v>8</v>
      </c>
      <c r="F228" s="165" t="s">
        <v>8</v>
      </c>
      <c r="G228" s="165" t="s">
        <v>8</v>
      </c>
      <c r="H228" s="165" t="s">
        <v>8</v>
      </c>
    </row>
    <row r="229">
      <c r="B229" s="165" t="s">
        <v>8</v>
      </c>
      <c r="C229" s="165" t="s">
        <v>8</v>
      </c>
      <c r="D229" s="165" t="s">
        <v>8</v>
      </c>
      <c r="E229" s="165" t="s">
        <v>8</v>
      </c>
      <c r="F229" s="165" t="s">
        <v>8</v>
      </c>
      <c r="G229" s="165" t="s">
        <v>8</v>
      </c>
      <c r="H229" s="165" t="s">
        <v>8</v>
      </c>
    </row>
    <row r="230">
      <c r="B230" s="165" t="s">
        <v>8</v>
      </c>
      <c r="C230" s="165" t="s">
        <v>8</v>
      </c>
      <c r="D230" s="165" t="s">
        <v>8</v>
      </c>
      <c r="E230" s="165" t="s">
        <v>8</v>
      </c>
      <c r="F230" s="165" t="s">
        <v>8</v>
      </c>
      <c r="G230" s="165" t="s">
        <v>8</v>
      </c>
      <c r="H230" s="165" t="s">
        <v>8</v>
      </c>
    </row>
    <row r="231">
      <c r="B231" s="165" t="s">
        <v>8</v>
      </c>
      <c r="C231" s="165" t="s">
        <v>8</v>
      </c>
      <c r="D231" s="165" t="s">
        <v>8</v>
      </c>
      <c r="E231" s="165" t="s">
        <v>8</v>
      </c>
      <c r="F231" s="165" t="s">
        <v>8</v>
      </c>
      <c r="G231" s="165" t="s">
        <v>8</v>
      </c>
      <c r="H231" s="165" t="s">
        <v>8</v>
      </c>
    </row>
    <row r="232">
      <c r="B232" s="165" t="s">
        <v>8</v>
      </c>
      <c r="C232" s="165" t="s">
        <v>8</v>
      </c>
      <c r="D232" s="165" t="s">
        <v>8</v>
      </c>
      <c r="E232" s="165" t="s">
        <v>8</v>
      </c>
      <c r="F232" s="165" t="s">
        <v>8</v>
      </c>
      <c r="G232" s="165" t="s">
        <v>8</v>
      </c>
      <c r="H232" s="165" t="s">
        <v>8</v>
      </c>
    </row>
    <row r="233">
      <c r="B233" s="165" t="s">
        <v>8</v>
      </c>
      <c r="C233" s="165" t="s">
        <v>8</v>
      </c>
      <c r="D233" s="165" t="s">
        <v>8</v>
      </c>
      <c r="E233" s="165" t="s">
        <v>8</v>
      </c>
      <c r="F233" s="165" t="s">
        <v>8</v>
      </c>
      <c r="G233" s="165" t="s">
        <v>8</v>
      </c>
      <c r="H233" s="165" t="s">
        <v>8</v>
      </c>
    </row>
    <row r="234">
      <c r="B234" s="165" t="s">
        <v>8</v>
      </c>
      <c r="C234" s="165" t="s">
        <v>8</v>
      </c>
      <c r="D234" s="165" t="s">
        <v>8</v>
      </c>
      <c r="E234" s="165" t="s">
        <v>8</v>
      </c>
      <c r="F234" s="165" t="s">
        <v>8</v>
      </c>
      <c r="G234" s="165" t="s">
        <v>8</v>
      </c>
      <c r="H234" s="165" t="s">
        <v>8</v>
      </c>
    </row>
    <row r="235">
      <c r="B235" s="165" t="s">
        <v>8</v>
      </c>
      <c r="C235" s="165" t="s">
        <v>8</v>
      </c>
      <c r="D235" s="165" t="s">
        <v>8</v>
      </c>
      <c r="E235" s="165" t="s">
        <v>8</v>
      </c>
      <c r="F235" s="165" t="s">
        <v>8</v>
      </c>
      <c r="G235" s="165" t="s">
        <v>8</v>
      </c>
      <c r="H235" s="165" t="s">
        <v>8</v>
      </c>
    </row>
    <row r="236">
      <c r="B236" s="165" t="s">
        <v>8</v>
      </c>
      <c r="C236" s="165" t="s">
        <v>8</v>
      </c>
      <c r="D236" s="165" t="s">
        <v>8</v>
      </c>
      <c r="E236" s="165" t="s">
        <v>8</v>
      </c>
      <c r="F236" s="165" t="s">
        <v>8</v>
      </c>
      <c r="G236" s="165" t="s">
        <v>8</v>
      </c>
      <c r="H236" s="165" t="s">
        <v>8</v>
      </c>
    </row>
    <row r="237">
      <c r="B237" s="165" t="s">
        <v>8</v>
      </c>
      <c r="C237" s="165" t="s">
        <v>8</v>
      </c>
      <c r="D237" s="165" t="s">
        <v>8</v>
      </c>
      <c r="E237" s="165" t="s">
        <v>8</v>
      </c>
      <c r="F237" s="165" t="s">
        <v>8</v>
      </c>
      <c r="G237" s="165" t="s">
        <v>8</v>
      </c>
      <c r="H237" s="165" t="s">
        <v>8</v>
      </c>
    </row>
    <row r="238">
      <c r="B238" s="165" t="s">
        <v>8</v>
      </c>
      <c r="C238" s="165" t="s">
        <v>8</v>
      </c>
      <c r="D238" s="165" t="s">
        <v>8</v>
      </c>
      <c r="E238" s="165" t="s">
        <v>8</v>
      </c>
      <c r="F238" s="165" t="s">
        <v>8</v>
      </c>
      <c r="G238" s="165" t="s">
        <v>8</v>
      </c>
      <c r="H238" s="165" t="s">
        <v>8</v>
      </c>
    </row>
    <row r="239">
      <c r="B239" s="165" t="s">
        <v>8</v>
      </c>
      <c r="C239" s="165" t="s">
        <v>8</v>
      </c>
      <c r="D239" s="165" t="s">
        <v>8</v>
      </c>
      <c r="E239" s="165" t="s">
        <v>8</v>
      </c>
      <c r="F239" s="165" t="s">
        <v>8</v>
      </c>
      <c r="G239" s="165" t="s">
        <v>8</v>
      </c>
      <c r="H239" s="165" t="s">
        <v>8</v>
      </c>
    </row>
    <row r="240">
      <c r="B240" s="165" t="s">
        <v>8</v>
      </c>
      <c r="C240" s="165" t="s">
        <v>8</v>
      </c>
      <c r="D240" s="165" t="s">
        <v>8</v>
      </c>
      <c r="E240" s="165" t="s">
        <v>8</v>
      </c>
      <c r="F240" s="165" t="s">
        <v>8</v>
      </c>
      <c r="G240" s="165" t="s">
        <v>8</v>
      </c>
      <c r="H240" s="165" t="s">
        <v>8</v>
      </c>
    </row>
    <row r="241">
      <c r="B241" s="165" t="s">
        <v>8</v>
      </c>
      <c r="C241" s="165" t="s">
        <v>8</v>
      </c>
      <c r="D241" s="165" t="s">
        <v>8</v>
      </c>
      <c r="E241" s="165" t="s">
        <v>8</v>
      </c>
      <c r="F241" s="165" t="s">
        <v>8</v>
      </c>
      <c r="G241" s="165" t="s">
        <v>8</v>
      </c>
      <c r="H241" s="165" t="s">
        <v>8</v>
      </c>
    </row>
    <row r="242">
      <c r="B242" s="165" t="s">
        <v>8</v>
      </c>
      <c r="C242" s="165" t="s">
        <v>8</v>
      </c>
      <c r="D242" s="165" t="s">
        <v>8</v>
      </c>
      <c r="E242" s="165" t="s">
        <v>8</v>
      </c>
      <c r="F242" s="165" t="s">
        <v>8</v>
      </c>
      <c r="G242" s="165" t="s">
        <v>8</v>
      </c>
      <c r="H242" s="165" t="s">
        <v>8</v>
      </c>
    </row>
    <row r="243">
      <c r="B243" s="165" t="s">
        <v>8</v>
      </c>
      <c r="C243" s="165" t="s">
        <v>8</v>
      </c>
      <c r="D243" s="165" t="s">
        <v>8</v>
      </c>
      <c r="E243" s="165" t="s">
        <v>8</v>
      </c>
      <c r="F243" s="165" t="s">
        <v>8</v>
      </c>
      <c r="G243" s="165" t="s">
        <v>8</v>
      </c>
      <c r="H243" s="165" t="s">
        <v>8</v>
      </c>
    </row>
    <row r="244">
      <c r="B244" s="165" t="s">
        <v>8</v>
      </c>
      <c r="C244" s="165" t="s">
        <v>8</v>
      </c>
      <c r="D244" s="165" t="s">
        <v>8</v>
      </c>
      <c r="E244" s="165" t="s">
        <v>8</v>
      </c>
      <c r="F244" s="165" t="s">
        <v>8</v>
      </c>
      <c r="G244" s="165" t="s">
        <v>8</v>
      </c>
      <c r="H244" s="165" t="s">
        <v>8</v>
      </c>
    </row>
    <row r="245">
      <c r="B245" s="165" t="s">
        <v>8</v>
      </c>
      <c r="C245" s="165" t="s">
        <v>8</v>
      </c>
      <c r="D245" s="165" t="s">
        <v>8</v>
      </c>
      <c r="E245" s="165" t="s">
        <v>8</v>
      </c>
      <c r="F245" s="165" t="s">
        <v>8</v>
      </c>
      <c r="G245" s="165" t="s">
        <v>8</v>
      </c>
      <c r="H245" s="165" t="s">
        <v>8</v>
      </c>
    </row>
    <row r="246">
      <c r="B246" s="165" t="s">
        <v>8</v>
      </c>
      <c r="C246" s="165" t="s">
        <v>8</v>
      </c>
      <c r="D246" s="165" t="s">
        <v>8</v>
      </c>
      <c r="E246" s="165" t="s">
        <v>8</v>
      </c>
      <c r="F246" s="165" t="s">
        <v>8</v>
      </c>
      <c r="G246" s="165" t="s">
        <v>8</v>
      </c>
      <c r="H246" s="165" t="s">
        <v>8</v>
      </c>
    </row>
    <row r="247">
      <c r="B247" s="165" t="s">
        <v>8</v>
      </c>
      <c r="C247" s="165" t="s">
        <v>8</v>
      </c>
      <c r="D247" s="165" t="s">
        <v>8</v>
      </c>
      <c r="E247" s="165" t="s">
        <v>8</v>
      </c>
      <c r="F247" s="165" t="s">
        <v>8</v>
      </c>
      <c r="G247" s="165" t="s">
        <v>8</v>
      </c>
      <c r="H247" s="165" t="s">
        <v>8</v>
      </c>
    </row>
    <row r="248">
      <c r="B248" s="165" t="s">
        <v>8</v>
      </c>
      <c r="C248" s="165" t="s">
        <v>8</v>
      </c>
      <c r="D248" s="165" t="s">
        <v>8</v>
      </c>
      <c r="E248" s="165" t="s">
        <v>8</v>
      </c>
      <c r="F248" s="165" t="s">
        <v>8</v>
      </c>
      <c r="G248" s="165" t="s">
        <v>8</v>
      </c>
      <c r="H248" s="165" t="s">
        <v>8</v>
      </c>
    </row>
    <row r="249">
      <c r="B249" s="165" t="s">
        <v>8</v>
      </c>
      <c r="C249" s="165" t="s">
        <v>8</v>
      </c>
      <c r="D249" s="165" t="s">
        <v>8</v>
      </c>
      <c r="E249" s="165" t="s">
        <v>8</v>
      </c>
      <c r="F249" s="165" t="s">
        <v>8</v>
      </c>
      <c r="G249" s="165" t="s">
        <v>8</v>
      </c>
      <c r="H249" s="165" t="s">
        <v>8</v>
      </c>
    </row>
    <row r="250">
      <c r="B250" s="165" t="s">
        <v>8</v>
      </c>
      <c r="C250" s="165" t="s">
        <v>8</v>
      </c>
      <c r="D250" s="165" t="s">
        <v>8</v>
      </c>
      <c r="E250" s="165" t="s">
        <v>8</v>
      </c>
      <c r="F250" s="165" t="s">
        <v>8</v>
      </c>
      <c r="G250" s="165" t="s">
        <v>8</v>
      </c>
      <c r="H250" s="165" t="s">
        <v>8</v>
      </c>
    </row>
    <row r="251">
      <c r="B251" s="165" t="s">
        <v>8</v>
      </c>
      <c r="C251" s="165" t="s">
        <v>8</v>
      </c>
      <c r="D251" s="165" t="s">
        <v>8</v>
      </c>
      <c r="E251" s="165" t="s">
        <v>8</v>
      </c>
      <c r="F251" s="165" t="s">
        <v>8</v>
      </c>
      <c r="G251" s="165" t="s">
        <v>8</v>
      </c>
      <c r="H251" s="165" t="s">
        <v>8</v>
      </c>
    </row>
    <row r="252">
      <c r="B252" s="165" t="s">
        <v>8</v>
      </c>
      <c r="C252" s="165" t="s">
        <v>8</v>
      </c>
      <c r="D252" s="165" t="s">
        <v>8</v>
      </c>
      <c r="E252" s="165" t="s">
        <v>8</v>
      </c>
      <c r="F252" s="165" t="s">
        <v>8</v>
      </c>
      <c r="G252" s="165" t="s">
        <v>8</v>
      </c>
      <c r="H252" s="165" t="s">
        <v>8</v>
      </c>
    </row>
    <row r="253">
      <c r="B253" s="165" t="s">
        <v>8</v>
      </c>
      <c r="C253" s="165" t="s">
        <v>8</v>
      </c>
      <c r="D253" s="165" t="s">
        <v>8</v>
      </c>
      <c r="E253" s="165" t="s">
        <v>8</v>
      </c>
      <c r="F253" s="165" t="s">
        <v>8</v>
      </c>
      <c r="G253" s="165" t="s">
        <v>8</v>
      </c>
      <c r="H253" s="165" t="s">
        <v>8</v>
      </c>
    </row>
    <row r="254">
      <c r="B254" s="165" t="s">
        <v>8</v>
      </c>
      <c r="C254" s="165" t="s">
        <v>8</v>
      </c>
      <c r="D254" s="165" t="s">
        <v>8</v>
      </c>
      <c r="E254" s="165" t="s">
        <v>8</v>
      </c>
      <c r="F254" s="165" t="s">
        <v>8</v>
      </c>
      <c r="G254" s="165" t="s">
        <v>8</v>
      </c>
      <c r="H254" s="165" t="s">
        <v>8</v>
      </c>
    </row>
    <row r="255">
      <c r="B255" s="165" t="s">
        <v>8</v>
      </c>
      <c r="C255" s="165" t="s">
        <v>8</v>
      </c>
      <c r="D255" s="165" t="s">
        <v>8</v>
      </c>
      <c r="E255" s="165" t="s">
        <v>8</v>
      </c>
      <c r="F255" s="165" t="s">
        <v>8</v>
      </c>
      <c r="G255" s="165" t="s">
        <v>8</v>
      </c>
      <c r="H255" s="165" t="s">
        <v>8</v>
      </c>
    </row>
    <row r="256">
      <c r="B256" s="165" t="s">
        <v>8</v>
      </c>
      <c r="C256" s="165" t="s">
        <v>8</v>
      </c>
      <c r="D256" s="165" t="s">
        <v>8</v>
      </c>
      <c r="E256" s="165" t="s">
        <v>8</v>
      </c>
      <c r="F256" s="165" t="s">
        <v>8</v>
      </c>
      <c r="G256" s="165" t="s">
        <v>8</v>
      </c>
      <c r="H256" s="165" t="s">
        <v>8</v>
      </c>
    </row>
    <row r="257">
      <c r="B257" s="165" t="s">
        <v>8</v>
      </c>
      <c r="C257" s="165" t="s">
        <v>8</v>
      </c>
      <c r="D257" s="165" t="s">
        <v>8</v>
      </c>
      <c r="E257" s="165" t="s">
        <v>8</v>
      </c>
      <c r="F257" s="165" t="s">
        <v>8</v>
      </c>
      <c r="G257" s="165" t="s">
        <v>8</v>
      </c>
      <c r="H257" s="165" t="s">
        <v>8</v>
      </c>
    </row>
    <row r="258">
      <c r="B258" s="165" t="s">
        <v>8</v>
      </c>
      <c r="C258" s="165" t="s">
        <v>8</v>
      </c>
      <c r="D258" s="165" t="s">
        <v>8</v>
      </c>
      <c r="E258" s="165" t="s">
        <v>8</v>
      </c>
      <c r="F258" s="165" t="s">
        <v>8</v>
      </c>
      <c r="G258" s="165" t="s">
        <v>8</v>
      </c>
      <c r="H258" s="165" t="s">
        <v>8</v>
      </c>
    </row>
    <row r="259">
      <c r="B259" s="165" t="s">
        <v>8</v>
      </c>
      <c r="C259" s="165" t="s">
        <v>8</v>
      </c>
      <c r="D259" s="165" t="s">
        <v>8</v>
      </c>
      <c r="E259" s="165" t="s">
        <v>8</v>
      </c>
      <c r="F259" s="165" t="s">
        <v>8</v>
      </c>
      <c r="G259" s="165" t="s">
        <v>8</v>
      </c>
      <c r="H259" s="165" t="s">
        <v>8</v>
      </c>
    </row>
    <row r="260">
      <c r="B260" s="165" t="s">
        <v>8</v>
      </c>
      <c r="C260" s="165" t="s">
        <v>8</v>
      </c>
      <c r="D260" s="165" t="s">
        <v>8</v>
      </c>
      <c r="E260" s="165" t="s">
        <v>8</v>
      </c>
      <c r="F260" s="165" t="s">
        <v>8</v>
      </c>
      <c r="G260" s="165" t="s">
        <v>8</v>
      </c>
      <c r="H260" s="165" t="s">
        <v>8</v>
      </c>
    </row>
    <row r="261">
      <c r="B261" s="165" t="s">
        <v>8</v>
      </c>
      <c r="C261" s="165" t="s">
        <v>8</v>
      </c>
      <c r="D261" s="165" t="s">
        <v>8</v>
      </c>
      <c r="E261" s="165" t="s">
        <v>8</v>
      </c>
      <c r="F261" s="165" t="s">
        <v>8</v>
      </c>
      <c r="G261" s="165" t="s">
        <v>8</v>
      </c>
      <c r="H261" s="165" t="s">
        <v>8</v>
      </c>
    </row>
    <row r="262">
      <c r="B262" s="165" t="s">
        <v>8</v>
      </c>
      <c r="C262" s="165" t="s">
        <v>8</v>
      </c>
      <c r="D262" s="165" t="s">
        <v>8</v>
      </c>
      <c r="E262" s="165" t="s">
        <v>8</v>
      </c>
      <c r="F262" s="165" t="s">
        <v>8</v>
      </c>
      <c r="G262" s="165" t="s">
        <v>8</v>
      </c>
      <c r="H262" s="165" t="s">
        <v>8</v>
      </c>
    </row>
    <row r="263">
      <c r="B263" s="165" t="s">
        <v>8</v>
      </c>
      <c r="C263" s="165" t="s">
        <v>8</v>
      </c>
      <c r="D263" s="165" t="s">
        <v>8</v>
      </c>
      <c r="E263" s="165" t="s">
        <v>8</v>
      </c>
      <c r="F263" s="165" t="s">
        <v>8</v>
      </c>
      <c r="G263" s="165" t="s">
        <v>8</v>
      </c>
      <c r="H263" s="165" t="s">
        <v>8</v>
      </c>
    </row>
    <row r="264">
      <c r="B264" s="165" t="s">
        <v>8</v>
      </c>
      <c r="C264" s="165" t="s">
        <v>8</v>
      </c>
      <c r="D264" s="165" t="s">
        <v>8</v>
      </c>
      <c r="E264" s="165" t="s">
        <v>8</v>
      </c>
      <c r="F264" s="165" t="s">
        <v>8</v>
      </c>
      <c r="G264" s="165" t="s">
        <v>8</v>
      </c>
      <c r="H264" s="165" t="s">
        <v>8</v>
      </c>
    </row>
    <row r="265">
      <c r="B265" s="165" t="s">
        <v>8</v>
      </c>
      <c r="C265" s="165" t="s">
        <v>8</v>
      </c>
      <c r="D265" s="165" t="s">
        <v>8</v>
      </c>
      <c r="E265" s="165" t="s">
        <v>8</v>
      </c>
      <c r="F265" s="165" t="s">
        <v>8</v>
      </c>
      <c r="G265" s="165" t="s">
        <v>8</v>
      </c>
      <c r="H265" s="165" t="s">
        <v>8</v>
      </c>
    </row>
    <row r="266">
      <c r="B266" s="165" t="s">
        <v>8</v>
      </c>
      <c r="C266" s="165" t="s">
        <v>8</v>
      </c>
      <c r="D266" s="165" t="s">
        <v>8</v>
      </c>
      <c r="E266" s="165" t="s">
        <v>8</v>
      </c>
      <c r="F266" s="165" t="s">
        <v>8</v>
      </c>
      <c r="G266" s="165" t="s">
        <v>8</v>
      </c>
      <c r="H266" s="165" t="s">
        <v>8</v>
      </c>
    </row>
    <row r="267">
      <c r="B267" s="165" t="s">
        <v>8</v>
      </c>
      <c r="C267" s="165" t="s">
        <v>8</v>
      </c>
      <c r="D267" s="165" t="s">
        <v>8</v>
      </c>
      <c r="E267" s="165" t="s">
        <v>8</v>
      </c>
      <c r="F267" s="165" t="s">
        <v>8</v>
      </c>
      <c r="G267" s="165" t="s">
        <v>8</v>
      </c>
      <c r="H267" s="165" t="s">
        <v>8</v>
      </c>
    </row>
    <row r="268">
      <c r="B268" s="165" t="s">
        <v>8</v>
      </c>
      <c r="C268" s="165" t="s">
        <v>8</v>
      </c>
      <c r="D268" s="165" t="s">
        <v>8</v>
      </c>
      <c r="E268" s="165" t="s">
        <v>8</v>
      </c>
      <c r="F268" s="165" t="s">
        <v>8</v>
      </c>
      <c r="G268" s="165" t="s">
        <v>8</v>
      </c>
      <c r="H268" s="165" t="s">
        <v>8</v>
      </c>
    </row>
    <row r="269">
      <c r="B269" s="165" t="s">
        <v>8</v>
      </c>
      <c r="C269" s="165" t="s">
        <v>8</v>
      </c>
      <c r="D269" s="165" t="s">
        <v>8</v>
      </c>
      <c r="E269" s="165" t="s">
        <v>8</v>
      </c>
      <c r="F269" s="165" t="s">
        <v>8</v>
      </c>
      <c r="G269" s="165" t="s">
        <v>8</v>
      </c>
      <c r="H269" s="165" t="s">
        <v>8</v>
      </c>
    </row>
    <row r="270">
      <c r="B270" s="165" t="s">
        <v>8</v>
      </c>
      <c r="C270" s="165" t="s">
        <v>8</v>
      </c>
      <c r="D270" s="165" t="s">
        <v>8</v>
      </c>
      <c r="E270" s="165" t="s">
        <v>8</v>
      </c>
      <c r="F270" s="165" t="s">
        <v>8</v>
      </c>
      <c r="G270" s="165" t="s">
        <v>8</v>
      </c>
      <c r="H270" s="165" t="s">
        <v>8</v>
      </c>
    </row>
    <row r="271">
      <c r="B271" s="165" t="s">
        <v>8</v>
      </c>
      <c r="C271" s="165" t="s">
        <v>8</v>
      </c>
      <c r="D271" s="165" t="s">
        <v>8</v>
      </c>
      <c r="E271" s="165" t="s">
        <v>8</v>
      </c>
      <c r="F271" s="165" t="s">
        <v>8</v>
      </c>
      <c r="G271" s="165" t="s">
        <v>8</v>
      </c>
      <c r="H271" s="165" t="s">
        <v>8</v>
      </c>
    </row>
    <row r="272">
      <c r="B272" s="165" t="s">
        <v>8</v>
      </c>
      <c r="C272" s="165" t="s">
        <v>8</v>
      </c>
      <c r="D272" s="165" t="s">
        <v>8</v>
      </c>
      <c r="E272" s="165" t="s">
        <v>8</v>
      </c>
      <c r="F272" s="165" t="s">
        <v>8</v>
      </c>
      <c r="G272" s="165" t="s">
        <v>8</v>
      </c>
      <c r="H272" s="165" t="s">
        <v>8</v>
      </c>
    </row>
    <row r="273">
      <c r="B273" s="165" t="s">
        <v>8</v>
      </c>
      <c r="C273" s="165" t="s">
        <v>8</v>
      </c>
      <c r="D273" s="165" t="s">
        <v>8</v>
      </c>
      <c r="E273" s="165" t="s">
        <v>8</v>
      </c>
      <c r="F273" s="165" t="s">
        <v>8</v>
      </c>
      <c r="G273" s="165" t="s">
        <v>8</v>
      </c>
      <c r="H273" s="165" t="s">
        <v>8</v>
      </c>
    </row>
    <row r="274">
      <c r="B274" s="165" t="s">
        <v>8</v>
      </c>
      <c r="C274" s="165" t="s">
        <v>8</v>
      </c>
      <c r="D274" s="165" t="s">
        <v>8</v>
      </c>
      <c r="E274" s="165" t="s">
        <v>8</v>
      </c>
      <c r="F274" s="165" t="s">
        <v>8</v>
      </c>
      <c r="G274" s="165" t="s">
        <v>8</v>
      </c>
      <c r="H274" s="165" t="s">
        <v>8</v>
      </c>
    </row>
    <row r="275">
      <c r="B275" s="165" t="s">
        <v>8</v>
      </c>
      <c r="C275" s="165" t="s">
        <v>8</v>
      </c>
      <c r="D275" s="165" t="s">
        <v>8</v>
      </c>
      <c r="E275" s="165" t="s">
        <v>8</v>
      </c>
      <c r="F275" s="165" t="s">
        <v>8</v>
      </c>
      <c r="G275" s="165" t="s">
        <v>8</v>
      </c>
      <c r="H275" s="165" t="s">
        <v>8</v>
      </c>
    </row>
    <row r="276">
      <c r="B276" s="165" t="s">
        <v>8</v>
      </c>
      <c r="C276" s="165" t="s">
        <v>8</v>
      </c>
      <c r="D276" s="165" t="s">
        <v>8</v>
      </c>
      <c r="E276" s="165" t="s">
        <v>8</v>
      </c>
      <c r="F276" s="165" t="s">
        <v>8</v>
      </c>
      <c r="G276" s="165" t="s">
        <v>8</v>
      </c>
      <c r="H276" s="165" t="s">
        <v>8</v>
      </c>
    </row>
    <row r="277">
      <c r="B277" s="165" t="s">
        <v>8</v>
      </c>
      <c r="C277" s="165" t="s">
        <v>8</v>
      </c>
      <c r="D277" s="165" t="s">
        <v>8</v>
      </c>
      <c r="E277" s="165" t="s">
        <v>8</v>
      </c>
      <c r="F277" s="165" t="s">
        <v>8</v>
      </c>
      <c r="G277" s="165" t="s">
        <v>8</v>
      </c>
      <c r="H277" s="165" t="s">
        <v>8</v>
      </c>
    </row>
    <row r="278">
      <c r="B278" s="165" t="s">
        <v>8</v>
      </c>
      <c r="C278" s="165" t="s">
        <v>8</v>
      </c>
      <c r="D278" s="165" t="s">
        <v>8</v>
      </c>
      <c r="E278" s="165" t="s">
        <v>8</v>
      </c>
      <c r="F278" s="165" t="s">
        <v>8</v>
      </c>
      <c r="G278" s="165" t="s">
        <v>8</v>
      </c>
      <c r="H278" s="165" t="s">
        <v>8</v>
      </c>
    </row>
    <row r="279">
      <c r="B279" s="165" t="s">
        <v>8</v>
      </c>
      <c r="C279" s="165" t="s">
        <v>8</v>
      </c>
      <c r="D279" s="165" t="s">
        <v>8</v>
      </c>
      <c r="E279" s="165" t="s">
        <v>8</v>
      </c>
      <c r="F279" s="165" t="s">
        <v>8</v>
      </c>
      <c r="G279" s="165" t="s">
        <v>8</v>
      </c>
      <c r="H279" s="165" t="s">
        <v>8</v>
      </c>
    </row>
    <row r="280">
      <c r="B280" s="165" t="s">
        <v>8</v>
      </c>
      <c r="C280" s="165" t="s">
        <v>8</v>
      </c>
      <c r="D280" s="165" t="s">
        <v>8</v>
      </c>
      <c r="E280" s="165" t="s">
        <v>8</v>
      </c>
      <c r="F280" s="165" t="s">
        <v>8</v>
      </c>
      <c r="G280" s="165" t="s">
        <v>8</v>
      </c>
      <c r="H280" s="165" t="s">
        <v>8</v>
      </c>
    </row>
    <row r="281">
      <c r="B281" s="165" t="s">
        <v>8</v>
      </c>
      <c r="C281" s="165" t="s">
        <v>8</v>
      </c>
      <c r="D281" s="165" t="s">
        <v>8</v>
      </c>
      <c r="E281" s="165" t="s">
        <v>8</v>
      </c>
      <c r="F281" s="165" t="s">
        <v>8</v>
      </c>
      <c r="G281" s="165" t="s">
        <v>8</v>
      </c>
      <c r="H281" s="165" t="s">
        <v>8</v>
      </c>
    </row>
    <row r="282">
      <c r="B282" s="165" t="s">
        <v>8</v>
      </c>
      <c r="C282" s="165" t="s">
        <v>8</v>
      </c>
      <c r="D282" s="165" t="s">
        <v>8</v>
      </c>
      <c r="E282" s="165" t="s">
        <v>8</v>
      </c>
      <c r="F282" s="165" t="s">
        <v>8</v>
      </c>
      <c r="G282" s="165" t="s">
        <v>8</v>
      </c>
      <c r="H282" s="165" t="s">
        <v>8</v>
      </c>
    </row>
    <row r="283">
      <c r="B283" s="165" t="s">
        <v>8</v>
      </c>
      <c r="C283" s="165" t="s">
        <v>8</v>
      </c>
      <c r="D283" s="165" t="s">
        <v>8</v>
      </c>
      <c r="E283" s="165" t="s">
        <v>8</v>
      </c>
      <c r="F283" s="165" t="s">
        <v>8</v>
      </c>
      <c r="G283" s="165" t="s">
        <v>8</v>
      </c>
      <c r="H283" s="165" t="s">
        <v>8</v>
      </c>
    </row>
    <row r="284">
      <c r="B284" s="165" t="s">
        <v>8</v>
      </c>
      <c r="C284" s="165" t="s">
        <v>8</v>
      </c>
      <c r="D284" s="165" t="s">
        <v>8</v>
      </c>
      <c r="E284" s="165" t="s">
        <v>8</v>
      </c>
      <c r="F284" s="165" t="s">
        <v>8</v>
      </c>
      <c r="G284" s="165" t="s">
        <v>8</v>
      </c>
      <c r="H284" s="165" t="s">
        <v>8</v>
      </c>
    </row>
    <row r="285">
      <c r="B285" s="165" t="s">
        <v>8</v>
      </c>
      <c r="C285" s="165" t="s">
        <v>8</v>
      </c>
      <c r="D285" s="165" t="s">
        <v>8</v>
      </c>
      <c r="E285" s="165" t="s">
        <v>8</v>
      </c>
      <c r="F285" s="165" t="s">
        <v>8</v>
      </c>
      <c r="G285" s="165" t="s">
        <v>8</v>
      </c>
      <c r="H285" s="165" t="s">
        <v>8</v>
      </c>
    </row>
    <row r="286">
      <c r="B286" s="165" t="s">
        <v>8</v>
      </c>
      <c r="C286" s="165" t="s">
        <v>8</v>
      </c>
      <c r="D286" s="165" t="s">
        <v>8</v>
      </c>
      <c r="E286" s="165" t="s">
        <v>8</v>
      </c>
      <c r="F286" s="165" t="s">
        <v>8</v>
      </c>
      <c r="G286" s="165" t="s">
        <v>8</v>
      </c>
      <c r="H286" s="165" t="s">
        <v>8</v>
      </c>
    </row>
    <row r="287">
      <c r="B287" s="165" t="s">
        <v>8</v>
      </c>
      <c r="C287" s="165" t="s">
        <v>8</v>
      </c>
      <c r="D287" s="165" t="s">
        <v>8</v>
      </c>
      <c r="E287" s="165" t="s">
        <v>8</v>
      </c>
      <c r="F287" s="165" t="s">
        <v>8</v>
      </c>
      <c r="G287" s="165" t="s">
        <v>8</v>
      </c>
      <c r="H287" s="165" t="s">
        <v>8</v>
      </c>
    </row>
    <row r="288">
      <c r="B288" s="165" t="s">
        <v>8</v>
      </c>
      <c r="C288" s="165" t="s">
        <v>8</v>
      </c>
      <c r="D288" s="165" t="s">
        <v>8</v>
      </c>
      <c r="E288" s="165" t="s">
        <v>8</v>
      </c>
      <c r="F288" s="165" t="s">
        <v>8</v>
      </c>
      <c r="G288" s="165" t="s">
        <v>8</v>
      </c>
      <c r="H288" s="165" t="s">
        <v>8</v>
      </c>
    </row>
    <row r="289">
      <c r="B289" s="165" t="s">
        <v>8</v>
      </c>
      <c r="C289" s="165" t="s">
        <v>8</v>
      </c>
      <c r="D289" s="165" t="s">
        <v>8</v>
      </c>
      <c r="E289" s="165" t="s">
        <v>8</v>
      </c>
      <c r="F289" s="165" t="s">
        <v>8</v>
      </c>
      <c r="G289" s="165" t="s">
        <v>8</v>
      </c>
      <c r="H289" s="165" t="s">
        <v>8</v>
      </c>
    </row>
    <row r="290">
      <c r="B290" s="165" t="s">
        <v>8</v>
      </c>
      <c r="C290" s="165" t="s">
        <v>8</v>
      </c>
      <c r="D290" s="165" t="s">
        <v>8</v>
      </c>
      <c r="E290" s="165" t="s">
        <v>8</v>
      </c>
      <c r="F290" s="165" t="s">
        <v>8</v>
      </c>
      <c r="G290" s="165" t="s">
        <v>8</v>
      </c>
      <c r="H290" s="165" t="s">
        <v>8</v>
      </c>
    </row>
    <row r="291">
      <c r="B291" s="165" t="s">
        <v>8</v>
      </c>
      <c r="C291" s="165" t="s">
        <v>8</v>
      </c>
      <c r="D291" s="165" t="s">
        <v>8</v>
      </c>
      <c r="E291" s="165" t="s">
        <v>8</v>
      </c>
      <c r="F291" s="165" t="s">
        <v>8</v>
      </c>
      <c r="G291" s="165" t="s">
        <v>8</v>
      </c>
      <c r="H291" s="165" t="s">
        <v>8</v>
      </c>
    </row>
    <row r="292">
      <c r="B292" s="165" t="s">
        <v>8</v>
      </c>
      <c r="C292" s="165" t="s">
        <v>8</v>
      </c>
      <c r="D292" s="165" t="s">
        <v>8</v>
      </c>
      <c r="E292" s="165" t="s">
        <v>8</v>
      </c>
      <c r="F292" s="165" t="s">
        <v>8</v>
      </c>
      <c r="G292" s="165" t="s">
        <v>8</v>
      </c>
      <c r="H292" s="165" t="s">
        <v>8</v>
      </c>
    </row>
    <row r="293">
      <c r="B293" s="165" t="s">
        <v>8</v>
      </c>
      <c r="C293" s="165" t="s">
        <v>8</v>
      </c>
      <c r="D293" s="165" t="s">
        <v>8</v>
      </c>
      <c r="E293" s="165" t="s">
        <v>8</v>
      </c>
      <c r="F293" s="165" t="s">
        <v>8</v>
      </c>
      <c r="G293" s="165" t="s">
        <v>8</v>
      </c>
      <c r="H293" s="165" t="s">
        <v>8</v>
      </c>
    </row>
    <row r="294">
      <c r="B294" s="165" t="s">
        <v>8</v>
      </c>
      <c r="C294" s="165" t="s">
        <v>8</v>
      </c>
      <c r="D294" s="165" t="s">
        <v>8</v>
      </c>
      <c r="E294" s="165" t="s">
        <v>8</v>
      </c>
      <c r="F294" s="165" t="s">
        <v>8</v>
      </c>
      <c r="G294" s="165" t="s">
        <v>8</v>
      </c>
      <c r="H294" s="165" t="s">
        <v>8</v>
      </c>
    </row>
    <row r="295">
      <c r="B295" s="165" t="s">
        <v>8</v>
      </c>
      <c r="C295" s="165" t="s">
        <v>8</v>
      </c>
      <c r="D295" s="165" t="s">
        <v>8</v>
      </c>
      <c r="E295" s="165" t="s">
        <v>8</v>
      </c>
      <c r="F295" s="165" t="s">
        <v>8</v>
      </c>
      <c r="G295" s="165" t="s">
        <v>8</v>
      </c>
      <c r="H295" s="165" t="s">
        <v>8</v>
      </c>
    </row>
    <row r="296">
      <c r="B296" s="165" t="s">
        <v>8</v>
      </c>
      <c r="C296" s="165" t="s">
        <v>8</v>
      </c>
      <c r="D296" s="165" t="s">
        <v>8</v>
      </c>
      <c r="E296" s="165" t="s">
        <v>8</v>
      </c>
      <c r="F296" s="165" t="s">
        <v>8</v>
      </c>
      <c r="G296" s="165" t="s">
        <v>8</v>
      </c>
      <c r="H296" s="165" t="s">
        <v>8</v>
      </c>
    </row>
    <row r="297">
      <c r="B297" s="165" t="s">
        <v>8</v>
      </c>
      <c r="C297" s="165" t="s">
        <v>8</v>
      </c>
      <c r="D297" s="165" t="s">
        <v>8</v>
      </c>
      <c r="E297" s="165" t="s">
        <v>8</v>
      </c>
      <c r="F297" s="165" t="s">
        <v>8</v>
      </c>
      <c r="G297" s="165" t="s">
        <v>8</v>
      </c>
      <c r="H297" s="165" t="s">
        <v>8</v>
      </c>
    </row>
    <row r="298">
      <c r="B298" s="165" t="s">
        <v>8</v>
      </c>
      <c r="C298" s="165" t="s">
        <v>8</v>
      </c>
      <c r="D298" s="165" t="s">
        <v>8</v>
      </c>
      <c r="E298" s="165" t="s">
        <v>8</v>
      </c>
      <c r="F298" s="165" t="s">
        <v>8</v>
      </c>
      <c r="G298" s="165" t="s">
        <v>8</v>
      </c>
      <c r="H298" s="165" t="s">
        <v>8</v>
      </c>
    </row>
    <row r="299">
      <c r="B299" s="165" t="s">
        <v>8</v>
      </c>
      <c r="C299" s="165" t="s">
        <v>8</v>
      </c>
      <c r="D299" s="165" t="s">
        <v>8</v>
      </c>
      <c r="E299" s="165" t="s">
        <v>8</v>
      </c>
      <c r="F299" s="165" t="s">
        <v>8</v>
      </c>
      <c r="G299" s="165" t="s">
        <v>8</v>
      </c>
      <c r="H299" s="165" t="s">
        <v>8</v>
      </c>
    </row>
    <row r="300">
      <c r="B300" s="165" t="s">
        <v>8</v>
      </c>
      <c r="C300" s="165" t="s">
        <v>8</v>
      </c>
      <c r="D300" s="165" t="s">
        <v>8</v>
      </c>
      <c r="E300" s="165" t="s">
        <v>8</v>
      </c>
      <c r="F300" s="165" t="s">
        <v>8</v>
      </c>
      <c r="G300" s="165" t="s">
        <v>8</v>
      </c>
      <c r="H300" s="165" t="s">
        <v>8</v>
      </c>
    </row>
    <row r="301">
      <c r="B301" s="165" t="s">
        <v>8</v>
      </c>
      <c r="C301" s="165" t="s">
        <v>8</v>
      </c>
      <c r="D301" s="165" t="s">
        <v>8</v>
      </c>
      <c r="E301" s="165" t="s">
        <v>8</v>
      </c>
      <c r="F301" s="165" t="s">
        <v>8</v>
      </c>
      <c r="G301" s="165" t="s">
        <v>8</v>
      </c>
      <c r="H301" s="165" t="s">
        <v>8</v>
      </c>
    </row>
    <row r="302">
      <c r="B302" s="165" t="s">
        <v>8</v>
      </c>
      <c r="C302" s="165" t="s">
        <v>8</v>
      </c>
      <c r="D302" s="165" t="s">
        <v>8</v>
      </c>
      <c r="E302" s="165" t="s">
        <v>8</v>
      </c>
      <c r="F302" s="165" t="s">
        <v>8</v>
      </c>
      <c r="G302" s="165" t="s">
        <v>8</v>
      </c>
      <c r="H302" s="165" t="s">
        <v>8</v>
      </c>
    </row>
    <row r="303">
      <c r="B303" s="165" t="s">
        <v>8</v>
      </c>
      <c r="C303" s="165" t="s">
        <v>8</v>
      </c>
      <c r="D303" s="165" t="s">
        <v>8</v>
      </c>
      <c r="E303" s="165" t="s">
        <v>8</v>
      </c>
      <c r="F303" s="165" t="s">
        <v>8</v>
      </c>
      <c r="G303" s="165" t="s">
        <v>8</v>
      </c>
      <c r="H303" s="165" t="s">
        <v>8</v>
      </c>
    </row>
    <row r="304">
      <c r="B304" s="165" t="s">
        <v>8</v>
      </c>
      <c r="C304" s="165" t="s">
        <v>8</v>
      </c>
      <c r="D304" s="165" t="s">
        <v>8</v>
      </c>
      <c r="E304" s="165" t="s">
        <v>8</v>
      </c>
      <c r="F304" s="165" t="s">
        <v>8</v>
      </c>
      <c r="G304" s="165" t="s">
        <v>8</v>
      </c>
      <c r="H304" s="165" t="s">
        <v>8</v>
      </c>
    </row>
    <row r="305">
      <c r="B305" s="165" t="s">
        <v>8</v>
      </c>
      <c r="C305" s="165" t="s">
        <v>8</v>
      </c>
      <c r="D305" s="165" t="s">
        <v>8</v>
      </c>
      <c r="E305" s="165" t="s">
        <v>8</v>
      </c>
      <c r="F305" s="165" t="s">
        <v>8</v>
      </c>
      <c r="G305" s="165" t="s">
        <v>8</v>
      </c>
      <c r="H305" s="165" t="s">
        <v>8</v>
      </c>
    </row>
    <row r="306">
      <c r="B306" s="165" t="s">
        <v>8</v>
      </c>
      <c r="C306" s="165" t="s">
        <v>8</v>
      </c>
      <c r="D306" s="165" t="s">
        <v>8</v>
      </c>
      <c r="E306" s="165" t="s">
        <v>8</v>
      </c>
      <c r="F306" s="165" t="s">
        <v>8</v>
      </c>
      <c r="G306" s="165" t="s">
        <v>8</v>
      </c>
      <c r="H306" s="165" t="s">
        <v>8</v>
      </c>
    </row>
    <row r="307">
      <c r="B307" s="165" t="s">
        <v>8</v>
      </c>
      <c r="C307" s="165" t="s">
        <v>8</v>
      </c>
      <c r="D307" s="165" t="s">
        <v>8</v>
      </c>
      <c r="E307" s="165" t="s">
        <v>8</v>
      </c>
      <c r="F307" s="165" t="s">
        <v>8</v>
      </c>
      <c r="G307" s="165" t="s">
        <v>8</v>
      </c>
      <c r="H307" s="165" t="s">
        <v>8</v>
      </c>
    </row>
    <row r="308">
      <c r="B308" s="165" t="s">
        <v>8</v>
      </c>
      <c r="C308" s="165" t="s">
        <v>8</v>
      </c>
      <c r="D308" s="165" t="s">
        <v>8</v>
      </c>
      <c r="E308" s="165" t="s">
        <v>8</v>
      </c>
      <c r="F308" s="165" t="s">
        <v>8</v>
      </c>
      <c r="G308" s="165" t="s">
        <v>8</v>
      </c>
      <c r="H308" s="165" t="s">
        <v>8</v>
      </c>
    </row>
    <row r="309">
      <c r="B309" s="165" t="s">
        <v>8</v>
      </c>
      <c r="C309" s="165" t="s">
        <v>8</v>
      </c>
      <c r="D309" s="165" t="s">
        <v>8</v>
      </c>
      <c r="E309" s="165" t="s">
        <v>8</v>
      </c>
      <c r="F309" s="165" t="s">
        <v>8</v>
      </c>
      <c r="G309" s="165" t="s">
        <v>8</v>
      </c>
      <c r="H309" s="165" t="s">
        <v>8</v>
      </c>
    </row>
    <row r="310">
      <c r="B310" s="165" t="s">
        <v>8</v>
      </c>
      <c r="C310" s="165" t="s">
        <v>8</v>
      </c>
      <c r="D310" s="165" t="s">
        <v>8</v>
      </c>
      <c r="E310" s="165" t="s">
        <v>8</v>
      </c>
      <c r="F310" s="165" t="s">
        <v>8</v>
      </c>
      <c r="G310" s="165" t="s">
        <v>8</v>
      </c>
      <c r="H310" s="165" t="s">
        <v>8</v>
      </c>
    </row>
    <row r="311">
      <c r="B311" s="165" t="s">
        <v>8</v>
      </c>
      <c r="C311" s="165" t="s">
        <v>8</v>
      </c>
      <c r="D311" s="165" t="s">
        <v>8</v>
      </c>
      <c r="E311" s="165" t="s">
        <v>8</v>
      </c>
      <c r="F311" s="165" t="s">
        <v>8</v>
      </c>
      <c r="G311" s="165" t="s">
        <v>8</v>
      </c>
      <c r="H311" s="165" t="s">
        <v>8</v>
      </c>
    </row>
    <row r="312">
      <c r="B312" s="165" t="s">
        <v>8</v>
      </c>
      <c r="C312" s="165" t="s">
        <v>8</v>
      </c>
      <c r="D312" s="165" t="s">
        <v>8</v>
      </c>
      <c r="E312" s="165" t="s">
        <v>8</v>
      </c>
      <c r="F312" s="165" t="s">
        <v>8</v>
      </c>
      <c r="G312" s="165" t="s">
        <v>8</v>
      </c>
      <c r="H312" s="165" t="s">
        <v>8</v>
      </c>
    </row>
    <row r="313">
      <c r="B313" s="165" t="s">
        <v>8</v>
      </c>
      <c r="C313" s="165" t="s">
        <v>8</v>
      </c>
      <c r="D313" s="165" t="s">
        <v>8</v>
      </c>
      <c r="E313" s="165" t="s">
        <v>8</v>
      </c>
      <c r="F313" s="165" t="s">
        <v>8</v>
      </c>
      <c r="G313" s="165" t="s">
        <v>8</v>
      </c>
      <c r="H313" s="165" t="s">
        <v>8</v>
      </c>
    </row>
    <row r="314">
      <c r="B314" s="165" t="s">
        <v>8</v>
      </c>
      <c r="C314" s="165" t="s">
        <v>8</v>
      </c>
      <c r="D314" s="165" t="s">
        <v>8</v>
      </c>
      <c r="E314" s="165" t="s">
        <v>8</v>
      </c>
      <c r="F314" s="165" t="s">
        <v>8</v>
      </c>
      <c r="G314" s="165" t="s">
        <v>8</v>
      </c>
      <c r="H314" s="165" t="s">
        <v>8</v>
      </c>
    </row>
    <row r="315">
      <c r="B315" s="165" t="s">
        <v>8</v>
      </c>
      <c r="C315" s="165" t="s">
        <v>8</v>
      </c>
      <c r="D315" s="165" t="s">
        <v>8</v>
      </c>
      <c r="E315" s="165" t="s">
        <v>8</v>
      </c>
      <c r="F315" s="165" t="s">
        <v>8</v>
      </c>
      <c r="G315" s="165" t="s">
        <v>8</v>
      </c>
      <c r="H315" s="165" t="s">
        <v>8</v>
      </c>
    </row>
    <row r="316">
      <c r="B316" s="165" t="s">
        <v>8</v>
      </c>
      <c r="C316" s="165" t="s">
        <v>8</v>
      </c>
      <c r="D316" s="165" t="s">
        <v>8</v>
      </c>
      <c r="E316" s="165" t="s">
        <v>8</v>
      </c>
      <c r="F316" s="165" t="s">
        <v>8</v>
      </c>
      <c r="G316" s="165" t="s">
        <v>8</v>
      </c>
      <c r="H316" s="165" t="s">
        <v>8</v>
      </c>
    </row>
    <row r="317">
      <c r="B317" s="165" t="s">
        <v>8</v>
      </c>
      <c r="C317" s="165" t="s">
        <v>8</v>
      </c>
      <c r="D317" s="165" t="s">
        <v>8</v>
      </c>
      <c r="E317" s="165" t="s">
        <v>8</v>
      </c>
      <c r="F317" s="165" t="s">
        <v>8</v>
      </c>
      <c r="G317" s="165" t="s">
        <v>8</v>
      </c>
      <c r="H317" s="165" t="s">
        <v>8</v>
      </c>
    </row>
    <row r="318">
      <c r="B318" s="165" t="s">
        <v>8</v>
      </c>
      <c r="C318" s="165" t="s">
        <v>8</v>
      </c>
      <c r="D318" s="165" t="s">
        <v>8</v>
      </c>
      <c r="E318" s="165" t="s">
        <v>8</v>
      </c>
      <c r="F318" s="165" t="s">
        <v>8</v>
      </c>
      <c r="G318" s="165" t="s">
        <v>8</v>
      </c>
      <c r="H318" s="165" t="s">
        <v>8</v>
      </c>
    </row>
    <row r="319">
      <c r="B319" s="165" t="s">
        <v>8</v>
      </c>
      <c r="C319" s="165" t="s">
        <v>8</v>
      </c>
      <c r="D319" s="165" t="s">
        <v>8</v>
      </c>
      <c r="E319" s="165" t="s">
        <v>8</v>
      </c>
      <c r="F319" s="165" t="s">
        <v>8</v>
      </c>
      <c r="G319" s="165" t="s">
        <v>8</v>
      </c>
      <c r="H319" s="165" t="s">
        <v>8</v>
      </c>
    </row>
    <row r="320">
      <c r="B320" s="165" t="s">
        <v>8</v>
      </c>
      <c r="C320" s="165" t="s">
        <v>8</v>
      </c>
      <c r="D320" s="165" t="s">
        <v>8</v>
      </c>
      <c r="E320" s="165" t="s">
        <v>8</v>
      </c>
      <c r="F320" s="165" t="s">
        <v>8</v>
      </c>
      <c r="G320" s="165" t="s">
        <v>8</v>
      </c>
      <c r="H320" s="165" t="s">
        <v>8</v>
      </c>
    </row>
    <row r="321">
      <c r="B321" s="165" t="s">
        <v>8</v>
      </c>
      <c r="C321" s="165" t="s">
        <v>8</v>
      </c>
      <c r="D321" s="165" t="s">
        <v>8</v>
      </c>
      <c r="E321" s="165" t="s">
        <v>8</v>
      </c>
      <c r="F321" s="165" t="s">
        <v>8</v>
      </c>
      <c r="G321" s="165" t="s">
        <v>8</v>
      </c>
      <c r="H321" s="165" t="s">
        <v>8</v>
      </c>
    </row>
    <row r="322">
      <c r="B322" s="165" t="s">
        <v>8</v>
      </c>
      <c r="C322" s="165" t="s">
        <v>8</v>
      </c>
      <c r="D322" s="165" t="s">
        <v>8</v>
      </c>
      <c r="E322" s="165" t="s">
        <v>8</v>
      </c>
      <c r="F322" s="165" t="s">
        <v>8</v>
      </c>
      <c r="G322" s="165" t="s">
        <v>8</v>
      </c>
      <c r="H322" s="165" t="s">
        <v>8</v>
      </c>
    </row>
    <row r="323">
      <c r="B323" s="165" t="s">
        <v>8</v>
      </c>
      <c r="C323" s="165" t="s">
        <v>8</v>
      </c>
      <c r="D323" s="165" t="s">
        <v>8</v>
      </c>
      <c r="E323" s="165" t="s">
        <v>8</v>
      </c>
      <c r="F323" s="165" t="s">
        <v>8</v>
      </c>
      <c r="G323" s="165" t="s">
        <v>8</v>
      </c>
      <c r="H323" s="165" t="s">
        <v>8</v>
      </c>
    </row>
    <row r="324">
      <c r="B324" s="165" t="s">
        <v>8</v>
      </c>
      <c r="C324" s="165" t="s">
        <v>8</v>
      </c>
      <c r="D324" s="165" t="s">
        <v>8</v>
      </c>
      <c r="E324" s="165" t="s">
        <v>8</v>
      </c>
      <c r="F324" s="165" t="s">
        <v>8</v>
      </c>
      <c r="G324" s="165" t="s">
        <v>8</v>
      </c>
      <c r="H324" s="165" t="s">
        <v>8</v>
      </c>
    </row>
    <row r="325">
      <c r="B325" s="165" t="s">
        <v>8</v>
      </c>
      <c r="C325" s="165" t="s">
        <v>8</v>
      </c>
      <c r="D325" s="165" t="s">
        <v>8</v>
      </c>
      <c r="E325" s="165" t="s">
        <v>8</v>
      </c>
      <c r="F325" s="165" t="s">
        <v>8</v>
      </c>
      <c r="G325" s="165" t="s">
        <v>8</v>
      </c>
      <c r="H325" s="165" t="s">
        <v>8</v>
      </c>
    </row>
    <row r="326">
      <c r="B326" s="165" t="s">
        <v>8</v>
      </c>
      <c r="C326" s="165" t="s">
        <v>8</v>
      </c>
      <c r="D326" s="165" t="s">
        <v>8</v>
      </c>
      <c r="E326" s="165" t="s">
        <v>8</v>
      </c>
      <c r="F326" s="165" t="s">
        <v>8</v>
      </c>
      <c r="G326" s="165" t="s">
        <v>8</v>
      </c>
      <c r="H326" s="165" t="s">
        <v>8</v>
      </c>
    </row>
    <row r="327">
      <c r="B327" s="165" t="s">
        <v>8</v>
      </c>
      <c r="C327" s="165" t="s">
        <v>8</v>
      </c>
      <c r="D327" s="165" t="s">
        <v>8</v>
      </c>
      <c r="E327" s="165" t="s">
        <v>8</v>
      </c>
      <c r="F327" s="165" t="s">
        <v>8</v>
      </c>
      <c r="G327" s="165" t="s">
        <v>8</v>
      </c>
      <c r="H327" s="165" t="s">
        <v>8</v>
      </c>
    </row>
    <row r="328">
      <c r="B328" s="165" t="s">
        <v>8</v>
      </c>
      <c r="C328" s="165" t="s">
        <v>8</v>
      </c>
      <c r="D328" s="165" t="s">
        <v>8</v>
      </c>
      <c r="E328" s="165" t="s">
        <v>8</v>
      </c>
      <c r="F328" s="165" t="s">
        <v>8</v>
      </c>
      <c r="G328" s="165" t="s">
        <v>8</v>
      </c>
      <c r="H328" s="165" t="s">
        <v>8</v>
      </c>
    </row>
    <row r="329">
      <c r="B329" s="165" t="s">
        <v>8</v>
      </c>
      <c r="C329" s="165" t="s">
        <v>8</v>
      </c>
      <c r="D329" s="165" t="s">
        <v>8</v>
      </c>
      <c r="E329" s="165" t="s">
        <v>8</v>
      </c>
      <c r="F329" s="165" t="s">
        <v>8</v>
      </c>
      <c r="G329" s="165" t="s">
        <v>8</v>
      </c>
      <c r="H329" s="165" t="s">
        <v>8</v>
      </c>
    </row>
    <row r="330">
      <c r="B330" s="165" t="s">
        <v>8</v>
      </c>
      <c r="C330" s="165" t="s">
        <v>8</v>
      </c>
      <c r="D330" s="165" t="s">
        <v>8</v>
      </c>
      <c r="E330" s="165" t="s">
        <v>8</v>
      </c>
      <c r="F330" s="165" t="s">
        <v>8</v>
      </c>
      <c r="G330" s="165" t="s">
        <v>8</v>
      </c>
      <c r="H330" s="165" t="s">
        <v>8</v>
      </c>
    </row>
    <row r="331">
      <c r="B331" s="165" t="s">
        <v>8</v>
      </c>
      <c r="C331" s="165" t="s">
        <v>8</v>
      </c>
      <c r="D331" s="165" t="s">
        <v>8</v>
      </c>
      <c r="E331" s="165" t="s">
        <v>8</v>
      </c>
      <c r="F331" s="165" t="s">
        <v>8</v>
      </c>
      <c r="G331" s="165" t="s">
        <v>8</v>
      </c>
      <c r="H331" s="165" t="s">
        <v>8</v>
      </c>
    </row>
    <row r="332">
      <c r="B332" s="165" t="s">
        <v>8</v>
      </c>
      <c r="C332" s="165" t="s">
        <v>8</v>
      </c>
      <c r="D332" s="165" t="s">
        <v>8</v>
      </c>
      <c r="E332" s="165" t="s">
        <v>8</v>
      </c>
      <c r="F332" s="165" t="s">
        <v>8</v>
      </c>
      <c r="G332" s="165" t="s">
        <v>8</v>
      </c>
      <c r="H332" s="165" t="s">
        <v>8</v>
      </c>
    </row>
    <row r="333">
      <c r="B333" s="165" t="s">
        <v>8</v>
      </c>
      <c r="C333" s="165" t="s">
        <v>8</v>
      </c>
      <c r="D333" s="165" t="s">
        <v>8</v>
      </c>
      <c r="E333" s="165" t="s">
        <v>8</v>
      </c>
      <c r="F333" s="165" t="s">
        <v>8</v>
      </c>
      <c r="G333" s="165" t="s">
        <v>8</v>
      </c>
      <c r="H333" s="165" t="s">
        <v>8</v>
      </c>
    </row>
    <row r="334">
      <c r="B334" s="165" t="s">
        <v>8</v>
      </c>
      <c r="C334" s="165" t="s">
        <v>8</v>
      </c>
      <c r="D334" s="165" t="s">
        <v>8</v>
      </c>
      <c r="E334" s="165" t="s">
        <v>8</v>
      </c>
      <c r="F334" s="165" t="s">
        <v>8</v>
      </c>
      <c r="G334" s="165" t="s">
        <v>8</v>
      </c>
      <c r="H334" s="165" t="s">
        <v>8</v>
      </c>
    </row>
    <row r="335">
      <c r="B335" s="165" t="s">
        <v>8</v>
      </c>
      <c r="C335" s="165" t="s">
        <v>8</v>
      </c>
      <c r="D335" s="165" t="s">
        <v>8</v>
      </c>
      <c r="E335" s="165" t="s">
        <v>8</v>
      </c>
      <c r="F335" s="165" t="s">
        <v>8</v>
      </c>
      <c r="G335" s="165" t="s">
        <v>8</v>
      </c>
      <c r="H335" s="165" t="s">
        <v>8</v>
      </c>
    </row>
    <row r="336">
      <c r="B336" s="165" t="s">
        <v>8</v>
      </c>
      <c r="C336" s="165" t="s">
        <v>8</v>
      </c>
      <c r="D336" s="165" t="s">
        <v>8</v>
      </c>
      <c r="E336" s="165" t="s">
        <v>8</v>
      </c>
      <c r="F336" s="165" t="s">
        <v>8</v>
      </c>
      <c r="G336" s="165" t="s">
        <v>8</v>
      </c>
      <c r="H336" s="165" t="s">
        <v>8</v>
      </c>
    </row>
    <row r="337">
      <c r="B337" s="165" t="s">
        <v>8</v>
      </c>
      <c r="C337" s="165" t="s">
        <v>8</v>
      </c>
      <c r="D337" s="165" t="s">
        <v>8</v>
      </c>
      <c r="E337" s="165" t="s">
        <v>8</v>
      </c>
      <c r="F337" s="165" t="s">
        <v>8</v>
      </c>
      <c r="G337" s="165" t="s">
        <v>8</v>
      </c>
      <c r="H337" s="165" t="s">
        <v>8</v>
      </c>
    </row>
    <row r="338">
      <c r="B338" s="165" t="s">
        <v>8</v>
      </c>
      <c r="C338" s="165" t="s">
        <v>8</v>
      </c>
      <c r="D338" s="165" t="s">
        <v>8</v>
      </c>
      <c r="E338" s="165" t="s">
        <v>8</v>
      </c>
      <c r="F338" s="165" t="s">
        <v>8</v>
      </c>
      <c r="G338" s="165" t="s">
        <v>8</v>
      </c>
      <c r="H338" s="165" t="s">
        <v>8</v>
      </c>
    </row>
    <row r="339">
      <c r="B339" s="165" t="s">
        <v>8</v>
      </c>
      <c r="C339" s="165" t="s">
        <v>8</v>
      </c>
      <c r="D339" s="165" t="s">
        <v>8</v>
      </c>
      <c r="E339" s="165" t="s">
        <v>8</v>
      </c>
      <c r="F339" s="165" t="s">
        <v>8</v>
      </c>
      <c r="G339" s="165" t="s">
        <v>8</v>
      </c>
      <c r="H339" s="165" t="s">
        <v>8</v>
      </c>
    </row>
    <row r="340">
      <c r="B340" s="165" t="s">
        <v>8</v>
      </c>
      <c r="C340" s="165" t="s">
        <v>8</v>
      </c>
      <c r="D340" s="165" t="s">
        <v>8</v>
      </c>
      <c r="E340" s="165" t="s">
        <v>8</v>
      </c>
      <c r="F340" s="165" t="s">
        <v>8</v>
      </c>
      <c r="G340" s="165" t="s">
        <v>8</v>
      </c>
      <c r="H340" s="165" t="s">
        <v>8</v>
      </c>
    </row>
    <row r="341">
      <c r="B341" s="165" t="s">
        <v>8</v>
      </c>
      <c r="C341" s="165" t="s">
        <v>8</v>
      </c>
      <c r="D341" s="165" t="s">
        <v>8</v>
      </c>
      <c r="E341" s="165" t="s">
        <v>8</v>
      </c>
      <c r="F341" s="165" t="s">
        <v>8</v>
      </c>
      <c r="G341" s="165" t="s">
        <v>8</v>
      </c>
      <c r="H341" s="165" t="s">
        <v>8</v>
      </c>
    </row>
    <row r="342">
      <c r="B342" s="165" t="s">
        <v>8</v>
      </c>
      <c r="C342" s="165" t="s">
        <v>8</v>
      </c>
      <c r="D342" s="165" t="s">
        <v>8</v>
      </c>
      <c r="E342" s="165" t="s">
        <v>8</v>
      </c>
      <c r="F342" s="165" t="s">
        <v>8</v>
      </c>
      <c r="G342" s="165" t="s">
        <v>8</v>
      </c>
      <c r="H342" s="165" t="s">
        <v>8</v>
      </c>
    </row>
    <row r="343">
      <c r="B343" s="165" t="s">
        <v>8</v>
      </c>
      <c r="C343" s="165" t="s">
        <v>8</v>
      </c>
      <c r="D343" s="165" t="s">
        <v>8</v>
      </c>
      <c r="E343" s="165" t="s">
        <v>8</v>
      </c>
      <c r="F343" s="165" t="s">
        <v>8</v>
      </c>
      <c r="G343" s="165" t="s">
        <v>8</v>
      </c>
      <c r="H343" s="165" t="s">
        <v>8</v>
      </c>
    </row>
    <row r="344">
      <c r="B344" s="165" t="s">
        <v>8</v>
      </c>
      <c r="C344" s="165" t="s">
        <v>8</v>
      </c>
      <c r="D344" s="165" t="s">
        <v>8</v>
      </c>
      <c r="E344" s="165" t="s">
        <v>8</v>
      </c>
      <c r="F344" s="165" t="s">
        <v>8</v>
      </c>
      <c r="G344" s="165" t="s">
        <v>8</v>
      </c>
      <c r="H344" s="165" t="s">
        <v>8</v>
      </c>
    </row>
    <row r="345">
      <c r="B345" s="165" t="s">
        <v>8</v>
      </c>
      <c r="C345" s="165" t="s">
        <v>8</v>
      </c>
      <c r="D345" s="165" t="s">
        <v>8</v>
      </c>
      <c r="E345" s="165" t="s">
        <v>8</v>
      </c>
      <c r="F345" s="165" t="s">
        <v>8</v>
      </c>
      <c r="G345" s="165" t="s">
        <v>8</v>
      </c>
      <c r="H345" s="165" t="s">
        <v>8</v>
      </c>
    </row>
    <row r="346">
      <c r="B346" s="165" t="s">
        <v>8</v>
      </c>
      <c r="C346" s="165" t="s">
        <v>8</v>
      </c>
      <c r="D346" s="165" t="s">
        <v>8</v>
      </c>
      <c r="E346" s="165" t="s">
        <v>8</v>
      </c>
      <c r="F346" s="165" t="s">
        <v>8</v>
      </c>
      <c r="G346" s="165" t="s">
        <v>8</v>
      </c>
      <c r="H346" s="165" t="s">
        <v>8</v>
      </c>
    </row>
    <row r="347">
      <c r="B347" s="165" t="s">
        <v>8</v>
      </c>
      <c r="C347" s="165" t="s">
        <v>8</v>
      </c>
      <c r="D347" s="165" t="s">
        <v>8</v>
      </c>
      <c r="E347" s="165" t="s">
        <v>8</v>
      </c>
      <c r="F347" s="165" t="s">
        <v>8</v>
      </c>
      <c r="G347" s="165" t="s">
        <v>8</v>
      </c>
      <c r="H347" s="165" t="s">
        <v>8</v>
      </c>
    </row>
    <row r="348">
      <c r="B348" s="165" t="s">
        <v>8</v>
      </c>
      <c r="C348" s="165" t="s">
        <v>8</v>
      </c>
      <c r="D348" s="165" t="s">
        <v>8</v>
      </c>
      <c r="E348" s="165" t="s">
        <v>8</v>
      </c>
      <c r="F348" s="165" t="s">
        <v>8</v>
      </c>
      <c r="G348" s="165" t="s">
        <v>8</v>
      </c>
      <c r="H348" s="165" t="s">
        <v>8</v>
      </c>
    </row>
    <row r="349">
      <c r="B349" s="165" t="s">
        <v>8</v>
      </c>
      <c r="C349" s="165" t="s">
        <v>8</v>
      </c>
      <c r="D349" s="165" t="s">
        <v>8</v>
      </c>
      <c r="E349" s="165" t="s">
        <v>8</v>
      </c>
      <c r="F349" s="165" t="s">
        <v>8</v>
      </c>
      <c r="G349" s="165" t="s">
        <v>8</v>
      </c>
      <c r="H349" s="165" t="s">
        <v>8</v>
      </c>
    </row>
    <row r="350">
      <c r="B350" s="165" t="s">
        <v>8</v>
      </c>
      <c r="C350" s="165" t="s">
        <v>8</v>
      </c>
      <c r="D350" s="165" t="s">
        <v>8</v>
      </c>
      <c r="E350" s="165" t="s">
        <v>8</v>
      </c>
      <c r="F350" s="165" t="s">
        <v>8</v>
      </c>
      <c r="G350" s="165" t="s">
        <v>8</v>
      </c>
      <c r="H350" s="165" t="s">
        <v>8</v>
      </c>
    </row>
    <row r="351">
      <c r="B351" s="165" t="s">
        <v>8</v>
      </c>
      <c r="C351" s="165" t="s">
        <v>8</v>
      </c>
      <c r="D351" s="165" t="s">
        <v>8</v>
      </c>
      <c r="E351" s="165" t="s">
        <v>8</v>
      </c>
      <c r="F351" s="165" t="s">
        <v>8</v>
      </c>
      <c r="G351" s="165" t="s">
        <v>8</v>
      </c>
      <c r="H351" s="165" t="s">
        <v>8</v>
      </c>
    </row>
    <row r="352">
      <c r="B352" s="165" t="s">
        <v>8</v>
      </c>
      <c r="C352" s="165" t="s">
        <v>8</v>
      </c>
      <c r="D352" s="165" t="s">
        <v>8</v>
      </c>
      <c r="E352" s="165" t="s">
        <v>8</v>
      </c>
      <c r="F352" s="165" t="s">
        <v>8</v>
      </c>
      <c r="G352" s="165" t="s">
        <v>8</v>
      </c>
      <c r="H352" s="165" t="s">
        <v>8</v>
      </c>
    </row>
    <row r="353">
      <c r="B353" s="165" t="s">
        <v>8</v>
      </c>
      <c r="C353" s="165" t="s">
        <v>8</v>
      </c>
      <c r="D353" s="165" t="s">
        <v>8</v>
      </c>
      <c r="E353" s="165" t="s">
        <v>8</v>
      </c>
      <c r="F353" s="165" t="s">
        <v>8</v>
      </c>
      <c r="G353" s="165" t="s">
        <v>8</v>
      </c>
      <c r="H353" s="165" t="s">
        <v>8</v>
      </c>
    </row>
    <row r="354">
      <c r="B354" s="165" t="s">
        <v>8</v>
      </c>
      <c r="C354" s="165" t="s">
        <v>8</v>
      </c>
      <c r="D354" s="165" t="s">
        <v>8</v>
      </c>
      <c r="E354" s="165" t="s">
        <v>8</v>
      </c>
      <c r="F354" s="165" t="s">
        <v>8</v>
      </c>
      <c r="G354" s="165" t="s">
        <v>8</v>
      </c>
      <c r="H354" s="165" t="s">
        <v>8</v>
      </c>
    </row>
    <row r="355">
      <c r="B355" s="165" t="s">
        <v>8</v>
      </c>
      <c r="C355" s="165" t="s">
        <v>8</v>
      </c>
      <c r="D355" s="165" t="s">
        <v>8</v>
      </c>
      <c r="E355" s="165" t="s">
        <v>8</v>
      </c>
      <c r="F355" s="165" t="s">
        <v>8</v>
      </c>
      <c r="G355" s="165" t="s">
        <v>8</v>
      </c>
      <c r="H355" s="165" t="s">
        <v>8</v>
      </c>
    </row>
    <row r="356">
      <c r="B356" s="165" t="s">
        <v>8</v>
      </c>
      <c r="C356" s="165" t="s">
        <v>8</v>
      </c>
      <c r="D356" s="165" t="s">
        <v>8</v>
      </c>
      <c r="E356" s="165" t="s">
        <v>8</v>
      </c>
      <c r="F356" s="165" t="s">
        <v>8</v>
      </c>
      <c r="G356" s="165" t="s">
        <v>8</v>
      </c>
      <c r="H356" s="165" t="s">
        <v>8</v>
      </c>
    </row>
    <row r="357">
      <c r="B357" s="165" t="s">
        <v>8</v>
      </c>
      <c r="C357" s="165" t="s">
        <v>8</v>
      </c>
      <c r="D357" s="165" t="s">
        <v>8</v>
      </c>
      <c r="E357" s="165" t="s">
        <v>8</v>
      </c>
      <c r="F357" s="165" t="s">
        <v>8</v>
      </c>
      <c r="G357" s="165" t="s">
        <v>8</v>
      </c>
      <c r="H357" s="165" t="s">
        <v>8</v>
      </c>
    </row>
    <row r="358">
      <c r="B358" s="165" t="s">
        <v>8</v>
      </c>
      <c r="C358" s="165" t="s">
        <v>8</v>
      </c>
      <c r="D358" s="165" t="s">
        <v>8</v>
      </c>
      <c r="E358" s="165" t="s">
        <v>8</v>
      </c>
      <c r="F358" s="165" t="s">
        <v>8</v>
      </c>
      <c r="G358" s="165" t="s">
        <v>8</v>
      </c>
      <c r="H358" s="165" t="s">
        <v>8</v>
      </c>
    </row>
    <row r="359">
      <c r="B359" s="165" t="s">
        <v>8</v>
      </c>
      <c r="C359" s="165" t="s">
        <v>8</v>
      </c>
      <c r="D359" s="165" t="s">
        <v>8</v>
      </c>
      <c r="E359" s="165" t="s">
        <v>8</v>
      </c>
      <c r="F359" s="165" t="s">
        <v>8</v>
      </c>
      <c r="G359" s="165" t="s">
        <v>8</v>
      </c>
      <c r="H359" s="165" t="s">
        <v>8</v>
      </c>
    </row>
    <row r="360">
      <c r="B360" s="165" t="s">
        <v>8</v>
      </c>
      <c r="C360" s="165" t="s">
        <v>8</v>
      </c>
      <c r="D360" s="165" t="s">
        <v>8</v>
      </c>
      <c r="E360" s="165" t="s">
        <v>8</v>
      </c>
      <c r="F360" s="165" t="s">
        <v>8</v>
      </c>
      <c r="G360" s="165" t="s">
        <v>8</v>
      </c>
      <c r="H360" s="165" t="s">
        <v>8</v>
      </c>
    </row>
    <row r="361">
      <c r="B361" s="165" t="s">
        <v>8</v>
      </c>
      <c r="C361" s="165" t="s">
        <v>8</v>
      </c>
      <c r="D361" s="165" t="s">
        <v>8</v>
      </c>
      <c r="E361" s="165" t="s">
        <v>8</v>
      </c>
      <c r="F361" s="165" t="s">
        <v>8</v>
      </c>
      <c r="G361" s="165" t="s">
        <v>8</v>
      </c>
      <c r="H361" s="165" t="s">
        <v>8</v>
      </c>
    </row>
    <row r="362">
      <c r="B362" s="165" t="s">
        <v>8</v>
      </c>
      <c r="C362" s="165" t="s">
        <v>8</v>
      </c>
      <c r="D362" s="165" t="s">
        <v>8</v>
      </c>
      <c r="E362" s="165" t="s">
        <v>8</v>
      </c>
      <c r="F362" s="165" t="s">
        <v>8</v>
      </c>
      <c r="G362" s="165" t="s">
        <v>8</v>
      </c>
      <c r="H362" s="165" t="s">
        <v>8</v>
      </c>
    </row>
    <row r="363">
      <c r="B363" s="165" t="s">
        <v>8</v>
      </c>
      <c r="C363" s="165" t="s">
        <v>8</v>
      </c>
      <c r="D363" s="165" t="s">
        <v>8</v>
      </c>
      <c r="E363" s="165" t="s">
        <v>8</v>
      </c>
      <c r="F363" s="165" t="s">
        <v>8</v>
      </c>
      <c r="G363" s="165" t="s">
        <v>8</v>
      </c>
      <c r="H363" s="165" t="s">
        <v>8</v>
      </c>
    </row>
    <row r="364">
      <c r="B364" s="165" t="s">
        <v>8</v>
      </c>
      <c r="C364" s="165" t="s">
        <v>8</v>
      </c>
      <c r="D364" s="165" t="s">
        <v>8</v>
      </c>
      <c r="E364" s="165" t="s">
        <v>8</v>
      </c>
      <c r="F364" s="165" t="s">
        <v>8</v>
      </c>
      <c r="G364" s="165" t="s">
        <v>8</v>
      </c>
      <c r="H364" s="165" t="s">
        <v>8</v>
      </c>
    </row>
    <row r="365">
      <c r="B365" s="165" t="s">
        <v>8</v>
      </c>
      <c r="C365" s="165" t="s">
        <v>8</v>
      </c>
      <c r="D365" s="165" t="s">
        <v>8</v>
      </c>
      <c r="E365" s="165" t="s">
        <v>8</v>
      </c>
      <c r="F365" s="165" t="s">
        <v>8</v>
      </c>
      <c r="G365" s="165" t="s">
        <v>8</v>
      </c>
      <c r="H365" s="165" t="s">
        <v>8</v>
      </c>
    </row>
    <row r="366">
      <c r="B366" s="165" t="s">
        <v>8</v>
      </c>
      <c r="C366" s="165" t="s">
        <v>8</v>
      </c>
      <c r="D366" s="165" t="s">
        <v>8</v>
      </c>
      <c r="E366" s="165" t="s">
        <v>8</v>
      </c>
      <c r="F366" s="165" t="s">
        <v>8</v>
      </c>
      <c r="G366" s="165" t="s">
        <v>8</v>
      </c>
      <c r="H366" s="165" t="s">
        <v>8</v>
      </c>
    </row>
    <row r="367">
      <c r="B367" s="165" t="s">
        <v>8</v>
      </c>
      <c r="C367" s="165" t="s">
        <v>8</v>
      </c>
      <c r="D367" s="165" t="s">
        <v>8</v>
      </c>
      <c r="E367" s="165" t="s">
        <v>8</v>
      </c>
      <c r="F367" s="165" t="s">
        <v>8</v>
      </c>
      <c r="G367" s="165" t="s">
        <v>8</v>
      </c>
      <c r="H367" s="165" t="s">
        <v>8</v>
      </c>
    </row>
    <row r="368">
      <c r="B368" s="165" t="s">
        <v>8</v>
      </c>
      <c r="C368" s="165" t="s">
        <v>8</v>
      </c>
      <c r="D368" s="165" t="s">
        <v>8</v>
      </c>
      <c r="E368" s="165" t="s">
        <v>8</v>
      </c>
      <c r="F368" s="165" t="s">
        <v>8</v>
      </c>
      <c r="G368" s="165" t="s">
        <v>8</v>
      </c>
      <c r="H368" s="165" t="s">
        <v>8</v>
      </c>
    </row>
    <row r="369">
      <c r="B369" s="165" t="s">
        <v>8</v>
      </c>
      <c r="C369" s="165" t="s">
        <v>8</v>
      </c>
      <c r="D369" s="165" t="s">
        <v>8</v>
      </c>
      <c r="E369" s="165" t="s">
        <v>8</v>
      </c>
      <c r="F369" s="165" t="s">
        <v>8</v>
      </c>
      <c r="G369" s="165" t="s">
        <v>8</v>
      </c>
      <c r="H369" s="165" t="s">
        <v>8</v>
      </c>
    </row>
    <row r="370">
      <c r="B370" s="165" t="s">
        <v>8</v>
      </c>
      <c r="C370" s="165" t="s">
        <v>8</v>
      </c>
      <c r="D370" s="165" t="s">
        <v>8</v>
      </c>
      <c r="E370" s="165" t="s">
        <v>8</v>
      </c>
      <c r="F370" s="165" t="s">
        <v>8</v>
      </c>
      <c r="G370" s="165" t="s">
        <v>8</v>
      </c>
      <c r="H370" s="165" t="s">
        <v>8</v>
      </c>
    </row>
    <row r="371">
      <c r="B371" s="165" t="s">
        <v>8</v>
      </c>
      <c r="C371" s="165" t="s">
        <v>8</v>
      </c>
      <c r="D371" s="165" t="s">
        <v>8</v>
      </c>
      <c r="E371" s="165" t="s">
        <v>8</v>
      </c>
      <c r="F371" s="165" t="s">
        <v>8</v>
      </c>
      <c r="G371" s="165" t="s">
        <v>8</v>
      </c>
      <c r="H371" s="165" t="s">
        <v>8</v>
      </c>
    </row>
    <row r="372">
      <c r="B372" s="165" t="s">
        <v>8</v>
      </c>
      <c r="C372" s="165" t="s">
        <v>8</v>
      </c>
      <c r="D372" s="165" t="s">
        <v>8</v>
      </c>
      <c r="E372" s="165" t="s">
        <v>8</v>
      </c>
      <c r="F372" s="165" t="s">
        <v>8</v>
      </c>
      <c r="G372" s="165" t="s">
        <v>8</v>
      </c>
      <c r="H372" s="165" t="s">
        <v>8</v>
      </c>
    </row>
    <row r="373">
      <c r="B373" s="165" t="s">
        <v>8</v>
      </c>
      <c r="C373" s="165" t="s">
        <v>8</v>
      </c>
      <c r="D373" s="165" t="s">
        <v>8</v>
      </c>
      <c r="E373" s="165" t="s">
        <v>8</v>
      </c>
      <c r="F373" s="165" t="s">
        <v>8</v>
      </c>
      <c r="G373" s="165" t="s">
        <v>8</v>
      </c>
      <c r="H373" s="165" t="s">
        <v>8</v>
      </c>
    </row>
    <row r="374">
      <c r="B374" s="165" t="s">
        <v>8</v>
      </c>
      <c r="C374" s="165" t="s">
        <v>8</v>
      </c>
      <c r="D374" s="165" t="s">
        <v>8</v>
      </c>
      <c r="E374" s="165" t="s">
        <v>8</v>
      </c>
      <c r="F374" s="165" t="s">
        <v>8</v>
      </c>
      <c r="G374" s="165" t="s">
        <v>8</v>
      </c>
      <c r="H374" s="165" t="s">
        <v>8</v>
      </c>
    </row>
    <row r="375">
      <c r="B375" s="165" t="s">
        <v>8</v>
      </c>
      <c r="C375" s="165" t="s">
        <v>8</v>
      </c>
      <c r="D375" s="165" t="s">
        <v>8</v>
      </c>
      <c r="E375" s="165" t="s">
        <v>8</v>
      </c>
      <c r="F375" s="165" t="s">
        <v>8</v>
      </c>
      <c r="G375" s="165" t="s">
        <v>8</v>
      </c>
      <c r="H375" s="165" t="s">
        <v>8</v>
      </c>
    </row>
    <row r="376">
      <c r="B376" s="165" t="s">
        <v>8</v>
      </c>
      <c r="C376" s="165" t="s">
        <v>8</v>
      </c>
      <c r="D376" s="165" t="s">
        <v>8</v>
      </c>
      <c r="E376" s="165" t="s">
        <v>8</v>
      </c>
      <c r="F376" s="165" t="s">
        <v>8</v>
      </c>
      <c r="G376" s="165" t="s">
        <v>8</v>
      </c>
      <c r="H376" s="165" t="s">
        <v>8</v>
      </c>
    </row>
    <row r="377">
      <c r="B377" s="165" t="s">
        <v>8</v>
      </c>
      <c r="C377" s="165" t="s">
        <v>8</v>
      </c>
      <c r="D377" s="165" t="s">
        <v>8</v>
      </c>
      <c r="E377" s="165" t="s">
        <v>8</v>
      </c>
      <c r="F377" s="165" t="s">
        <v>8</v>
      </c>
      <c r="G377" s="165" t="s">
        <v>8</v>
      </c>
      <c r="H377" s="165" t="s">
        <v>8</v>
      </c>
    </row>
    <row r="378">
      <c r="B378" s="165" t="s">
        <v>8</v>
      </c>
      <c r="C378" s="165" t="s">
        <v>8</v>
      </c>
      <c r="D378" s="165" t="s">
        <v>8</v>
      </c>
      <c r="E378" s="165" t="s">
        <v>8</v>
      </c>
      <c r="F378" s="165" t="s">
        <v>8</v>
      </c>
      <c r="G378" s="165" t="s">
        <v>8</v>
      </c>
      <c r="H378" s="165" t="s">
        <v>8</v>
      </c>
    </row>
    <row r="379">
      <c r="B379" s="165" t="s">
        <v>8</v>
      </c>
      <c r="C379" s="165" t="s">
        <v>8</v>
      </c>
      <c r="D379" s="165" t="s">
        <v>8</v>
      </c>
      <c r="E379" s="165" t="s">
        <v>8</v>
      </c>
      <c r="F379" s="165" t="s">
        <v>8</v>
      </c>
      <c r="G379" s="165" t="s">
        <v>8</v>
      </c>
      <c r="H379" s="165" t="s">
        <v>8</v>
      </c>
    </row>
    <row r="380">
      <c r="B380" s="165" t="s">
        <v>8</v>
      </c>
      <c r="C380" s="165" t="s">
        <v>8</v>
      </c>
      <c r="D380" s="165" t="s">
        <v>8</v>
      </c>
      <c r="E380" s="165" t="s">
        <v>8</v>
      </c>
      <c r="F380" s="165" t="s">
        <v>8</v>
      </c>
      <c r="G380" s="165" t="s">
        <v>8</v>
      </c>
      <c r="H380" s="165" t="s">
        <v>8</v>
      </c>
    </row>
    <row r="381">
      <c r="B381" s="165" t="s">
        <v>8</v>
      </c>
      <c r="C381" s="165" t="s">
        <v>8</v>
      </c>
      <c r="D381" s="165" t="s">
        <v>8</v>
      </c>
      <c r="E381" s="165" t="s">
        <v>8</v>
      </c>
      <c r="F381" s="165" t="s">
        <v>8</v>
      </c>
      <c r="G381" s="165" t="s">
        <v>8</v>
      </c>
      <c r="H381" s="165" t="s">
        <v>8</v>
      </c>
    </row>
    <row r="382">
      <c r="B382" s="165" t="s">
        <v>8</v>
      </c>
      <c r="C382" s="165" t="s">
        <v>8</v>
      </c>
      <c r="D382" s="165" t="s">
        <v>8</v>
      </c>
      <c r="E382" s="165" t="s">
        <v>8</v>
      </c>
      <c r="F382" s="165" t="s">
        <v>8</v>
      </c>
      <c r="G382" s="165" t="s">
        <v>8</v>
      </c>
      <c r="H382" s="165" t="s">
        <v>8</v>
      </c>
    </row>
    <row r="383">
      <c r="B383" s="165" t="s">
        <v>8</v>
      </c>
      <c r="C383" s="165" t="s">
        <v>8</v>
      </c>
      <c r="D383" s="165" t="s">
        <v>8</v>
      </c>
      <c r="E383" s="165" t="s">
        <v>8</v>
      </c>
      <c r="F383" s="165" t="s">
        <v>8</v>
      </c>
      <c r="G383" s="165" t="s">
        <v>8</v>
      </c>
      <c r="H383" s="165" t="s">
        <v>8</v>
      </c>
    </row>
    <row r="384">
      <c r="B384" s="165" t="s">
        <v>8</v>
      </c>
      <c r="C384" s="165" t="s">
        <v>8</v>
      </c>
      <c r="D384" s="165" t="s">
        <v>8</v>
      </c>
      <c r="E384" s="165" t="s">
        <v>8</v>
      </c>
      <c r="F384" s="165" t="s">
        <v>8</v>
      </c>
      <c r="G384" s="165" t="s">
        <v>8</v>
      </c>
      <c r="H384" s="165" t="s">
        <v>8</v>
      </c>
    </row>
    <row r="385">
      <c r="B385" s="165" t="s">
        <v>8</v>
      </c>
      <c r="C385" s="165" t="s">
        <v>8</v>
      </c>
      <c r="D385" s="165" t="s">
        <v>8</v>
      </c>
      <c r="E385" s="165" t="s">
        <v>8</v>
      </c>
      <c r="F385" s="165" t="s">
        <v>8</v>
      </c>
      <c r="G385" s="165" t="s">
        <v>8</v>
      </c>
      <c r="H385" s="165" t="s">
        <v>8</v>
      </c>
    </row>
    <row r="386">
      <c r="B386" s="165" t="s">
        <v>8</v>
      </c>
      <c r="C386" s="165" t="s">
        <v>8</v>
      </c>
      <c r="D386" s="165" t="s">
        <v>8</v>
      </c>
      <c r="E386" s="165" t="s">
        <v>8</v>
      </c>
      <c r="F386" s="165" t="s">
        <v>8</v>
      </c>
      <c r="G386" s="165" t="s">
        <v>8</v>
      </c>
      <c r="H386" s="165" t="s">
        <v>8</v>
      </c>
    </row>
    <row r="387">
      <c r="B387" s="165" t="s">
        <v>8</v>
      </c>
      <c r="C387" s="165" t="s">
        <v>8</v>
      </c>
      <c r="D387" s="165" t="s">
        <v>8</v>
      </c>
      <c r="E387" s="165" t="s">
        <v>8</v>
      </c>
      <c r="F387" s="165" t="s">
        <v>8</v>
      </c>
      <c r="G387" s="165" t="s">
        <v>8</v>
      </c>
      <c r="H387" s="165" t="s">
        <v>8</v>
      </c>
    </row>
    <row r="388">
      <c r="B388" s="165" t="s">
        <v>8</v>
      </c>
      <c r="C388" s="165" t="s">
        <v>8</v>
      </c>
      <c r="D388" s="165" t="s">
        <v>8</v>
      </c>
      <c r="E388" s="165" t="s">
        <v>8</v>
      </c>
      <c r="F388" s="165" t="s">
        <v>8</v>
      </c>
      <c r="G388" s="165" t="s">
        <v>8</v>
      </c>
      <c r="H388" s="165" t="s">
        <v>8</v>
      </c>
    </row>
    <row r="389">
      <c r="B389" s="165" t="s">
        <v>8</v>
      </c>
      <c r="C389" s="165" t="s">
        <v>8</v>
      </c>
      <c r="D389" s="165" t="s">
        <v>8</v>
      </c>
      <c r="E389" s="165" t="s">
        <v>8</v>
      </c>
      <c r="F389" s="165" t="s">
        <v>8</v>
      </c>
      <c r="G389" s="165" t="s">
        <v>8</v>
      </c>
      <c r="H389" s="165" t="s">
        <v>8</v>
      </c>
    </row>
    <row r="390">
      <c r="B390" s="165" t="s">
        <v>8</v>
      </c>
      <c r="C390" s="165" t="s">
        <v>8</v>
      </c>
      <c r="D390" s="165" t="s">
        <v>8</v>
      </c>
      <c r="E390" s="165" t="s">
        <v>8</v>
      </c>
      <c r="F390" s="165" t="s">
        <v>8</v>
      </c>
      <c r="G390" s="165" t="s">
        <v>8</v>
      </c>
      <c r="H390" s="165" t="s">
        <v>8</v>
      </c>
    </row>
    <row r="391">
      <c r="B391" s="165" t="s">
        <v>8</v>
      </c>
      <c r="C391" s="165" t="s">
        <v>8</v>
      </c>
      <c r="D391" s="165" t="s">
        <v>8</v>
      </c>
      <c r="E391" s="165" t="s">
        <v>8</v>
      </c>
      <c r="F391" s="165" t="s">
        <v>8</v>
      </c>
      <c r="G391" s="165" t="s">
        <v>8</v>
      </c>
      <c r="H391" s="165" t="s">
        <v>8</v>
      </c>
    </row>
    <row r="392">
      <c r="B392" s="165" t="s">
        <v>8</v>
      </c>
      <c r="C392" s="165" t="s">
        <v>8</v>
      </c>
      <c r="D392" s="165" t="s">
        <v>8</v>
      </c>
      <c r="E392" s="165" t="s">
        <v>8</v>
      </c>
      <c r="F392" s="165" t="s">
        <v>8</v>
      </c>
      <c r="G392" s="165" t="s">
        <v>8</v>
      </c>
      <c r="H392" s="165" t="s">
        <v>8</v>
      </c>
    </row>
    <row r="393">
      <c r="B393" s="165" t="s">
        <v>8</v>
      </c>
      <c r="C393" s="165" t="s">
        <v>8</v>
      </c>
      <c r="D393" s="165" t="s">
        <v>8</v>
      </c>
      <c r="E393" s="165" t="s">
        <v>8</v>
      </c>
      <c r="F393" s="165" t="s">
        <v>8</v>
      </c>
      <c r="G393" s="165" t="s">
        <v>8</v>
      </c>
      <c r="H393" s="165" t="s">
        <v>8</v>
      </c>
    </row>
    <row r="394">
      <c r="B394" s="165" t="s">
        <v>8</v>
      </c>
      <c r="C394" s="165" t="s">
        <v>8</v>
      </c>
      <c r="D394" s="165" t="s">
        <v>8</v>
      </c>
      <c r="E394" s="165" t="s">
        <v>8</v>
      </c>
      <c r="F394" s="165" t="s">
        <v>8</v>
      </c>
      <c r="G394" s="165" t="s">
        <v>8</v>
      </c>
      <c r="H394" s="165" t="s">
        <v>8</v>
      </c>
    </row>
    <row r="395">
      <c r="B395" s="165" t="s">
        <v>8</v>
      </c>
      <c r="C395" s="165" t="s">
        <v>8</v>
      </c>
      <c r="D395" s="165" t="s">
        <v>8</v>
      </c>
      <c r="E395" s="165" t="s">
        <v>8</v>
      </c>
      <c r="F395" s="165" t="s">
        <v>8</v>
      </c>
      <c r="G395" s="165" t="s">
        <v>8</v>
      </c>
      <c r="H395" s="165" t="s">
        <v>8</v>
      </c>
    </row>
    <row r="396">
      <c r="B396" s="165" t="s">
        <v>8</v>
      </c>
      <c r="C396" s="165" t="s">
        <v>8</v>
      </c>
      <c r="D396" s="165" t="s">
        <v>8</v>
      </c>
      <c r="E396" s="165" t="s">
        <v>8</v>
      </c>
      <c r="F396" s="165" t="s">
        <v>8</v>
      </c>
      <c r="G396" s="165" t="s">
        <v>8</v>
      </c>
      <c r="H396" s="165" t="s">
        <v>8</v>
      </c>
    </row>
    <row r="397">
      <c r="B397" s="165" t="s">
        <v>8</v>
      </c>
      <c r="C397" s="165" t="s">
        <v>8</v>
      </c>
      <c r="D397" s="165" t="s">
        <v>8</v>
      </c>
      <c r="E397" s="165" t="s">
        <v>8</v>
      </c>
      <c r="F397" s="165" t="s">
        <v>8</v>
      </c>
      <c r="G397" s="165" t="s">
        <v>8</v>
      </c>
      <c r="H397" s="165" t="s">
        <v>8</v>
      </c>
    </row>
    <row r="398">
      <c r="B398" s="165" t="s">
        <v>8</v>
      </c>
      <c r="C398" s="165" t="s">
        <v>8</v>
      </c>
      <c r="D398" s="165" t="s">
        <v>8</v>
      </c>
      <c r="E398" s="165" t="s">
        <v>8</v>
      </c>
      <c r="F398" s="165" t="s">
        <v>8</v>
      </c>
      <c r="G398" s="165" t="s">
        <v>8</v>
      </c>
      <c r="H398" s="165" t="s">
        <v>8</v>
      </c>
    </row>
    <row r="399">
      <c r="B399" s="165" t="s">
        <v>8</v>
      </c>
      <c r="C399" s="165" t="s">
        <v>8</v>
      </c>
      <c r="D399" s="165" t="s">
        <v>8</v>
      </c>
      <c r="E399" s="165" t="s">
        <v>8</v>
      </c>
      <c r="F399" s="165" t="s">
        <v>8</v>
      </c>
      <c r="G399" s="165" t="s">
        <v>8</v>
      </c>
      <c r="H399" s="165" t="s">
        <v>8</v>
      </c>
    </row>
    <row r="400">
      <c r="B400" s="165" t="s">
        <v>8</v>
      </c>
      <c r="C400" s="165" t="s">
        <v>8</v>
      </c>
      <c r="D400" s="165" t="s">
        <v>8</v>
      </c>
      <c r="E400" s="165" t="s">
        <v>8</v>
      </c>
      <c r="F400" s="165" t="s">
        <v>8</v>
      </c>
      <c r="G400" s="165" t="s">
        <v>8</v>
      </c>
      <c r="H400" s="165" t="s">
        <v>8</v>
      </c>
    </row>
    <row r="401">
      <c r="B401" s="165" t="s">
        <v>8</v>
      </c>
      <c r="C401" s="165" t="s">
        <v>8</v>
      </c>
      <c r="D401" s="165" t="s">
        <v>8</v>
      </c>
      <c r="E401" s="165" t="s">
        <v>8</v>
      </c>
      <c r="F401" s="165" t="s">
        <v>8</v>
      </c>
      <c r="G401" s="165" t="s">
        <v>8</v>
      </c>
      <c r="H401" s="165" t="s">
        <v>8</v>
      </c>
    </row>
    <row r="402">
      <c r="B402" s="165" t="s">
        <v>8</v>
      </c>
      <c r="C402" s="165" t="s">
        <v>8</v>
      </c>
      <c r="D402" s="165" t="s">
        <v>8</v>
      </c>
      <c r="E402" s="165" t="s">
        <v>8</v>
      </c>
      <c r="F402" s="165" t="s">
        <v>8</v>
      </c>
      <c r="G402" s="165" t="s">
        <v>8</v>
      </c>
      <c r="H402" s="165" t="s">
        <v>8</v>
      </c>
    </row>
    <row r="403">
      <c r="B403" s="165" t="s">
        <v>8</v>
      </c>
      <c r="C403" s="165" t="s">
        <v>8</v>
      </c>
      <c r="D403" s="165" t="s">
        <v>8</v>
      </c>
      <c r="E403" s="165" t="s">
        <v>8</v>
      </c>
      <c r="F403" s="165" t="s">
        <v>8</v>
      </c>
      <c r="G403" s="165" t="s">
        <v>8</v>
      </c>
      <c r="H403" s="165" t="s">
        <v>8</v>
      </c>
    </row>
    <row r="404">
      <c r="B404" s="165" t="s">
        <v>8</v>
      </c>
      <c r="C404" s="165" t="s">
        <v>8</v>
      </c>
      <c r="D404" s="165" t="s">
        <v>8</v>
      </c>
      <c r="E404" s="165" t="s">
        <v>8</v>
      </c>
      <c r="F404" s="165" t="s">
        <v>8</v>
      </c>
      <c r="G404" s="165" t="s">
        <v>8</v>
      </c>
      <c r="H404" s="165" t="s">
        <v>8</v>
      </c>
    </row>
    <row r="405">
      <c r="B405" s="165" t="s">
        <v>8</v>
      </c>
      <c r="C405" s="165" t="s">
        <v>8</v>
      </c>
      <c r="D405" s="165" t="s">
        <v>8</v>
      </c>
      <c r="E405" s="165" t="s">
        <v>8</v>
      </c>
      <c r="F405" s="165" t="s">
        <v>8</v>
      </c>
      <c r="G405" s="165" t="s">
        <v>8</v>
      </c>
      <c r="H405" s="165" t="s">
        <v>8</v>
      </c>
    </row>
    <row r="406">
      <c r="B406" s="165" t="s">
        <v>8</v>
      </c>
      <c r="C406" s="165" t="s">
        <v>8</v>
      </c>
      <c r="D406" s="165" t="s">
        <v>8</v>
      </c>
      <c r="E406" s="165" t="s">
        <v>8</v>
      </c>
      <c r="F406" s="165" t="s">
        <v>8</v>
      </c>
      <c r="G406" s="165" t="s">
        <v>8</v>
      </c>
      <c r="H406" s="165" t="s">
        <v>8</v>
      </c>
    </row>
    <row r="407">
      <c r="B407" s="165" t="s">
        <v>8</v>
      </c>
      <c r="C407" s="165" t="s">
        <v>8</v>
      </c>
      <c r="D407" s="165" t="s">
        <v>8</v>
      </c>
      <c r="E407" s="165" t="s">
        <v>8</v>
      </c>
      <c r="F407" s="165" t="s">
        <v>8</v>
      </c>
      <c r="G407" s="165" t="s">
        <v>8</v>
      </c>
      <c r="H407" s="165" t="s">
        <v>8</v>
      </c>
    </row>
    <row r="408">
      <c r="B408" s="165" t="s">
        <v>8</v>
      </c>
      <c r="C408" s="165" t="s">
        <v>8</v>
      </c>
      <c r="D408" s="165" t="s">
        <v>8</v>
      </c>
      <c r="E408" s="165" t="s">
        <v>8</v>
      </c>
      <c r="F408" s="165" t="s">
        <v>8</v>
      </c>
      <c r="G408" s="165" t="s">
        <v>8</v>
      </c>
      <c r="H408" s="165" t="s">
        <v>8</v>
      </c>
    </row>
    <row r="409">
      <c r="B409" s="165" t="s">
        <v>8</v>
      </c>
      <c r="C409" s="165" t="s">
        <v>8</v>
      </c>
      <c r="D409" s="165" t="s">
        <v>8</v>
      </c>
      <c r="E409" s="165" t="s">
        <v>8</v>
      </c>
      <c r="F409" s="165" t="s">
        <v>8</v>
      </c>
      <c r="G409" s="165" t="s">
        <v>8</v>
      </c>
      <c r="H409" s="165" t="s">
        <v>8</v>
      </c>
    </row>
    <row r="410">
      <c r="B410" s="165" t="s">
        <v>8</v>
      </c>
      <c r="C410" s="165" t="s">
        <v>8</v>
      </c>
      <c r="D410" s="165" t="s">
        <v>8</v>
      </c>
      <c r="E410" s="165" t="s">
        <v>8</v>
      </c>
      <c r="F410" s="165" t="s">
        <v>8</v>
      </c>
      <c r="G410" s="165" t="s">
        <v>8</v>
      </c>
      <c r="H410" s="165" t="s">
        <v>8</v>
      </c>
    </row>
    <row r="411">
      <c r="B411" s="165" t="s">
        <v>8</v>
      </c>
      <c r="C411" s="165" t="s">
        <v>8</v>
      </c>
      <c r="D411" s="165" t="s">
        <v>8</v>
      </c>
      <c r="E411" s="165" t="s">
        <v>8</v>
      </c>
      <c r="F411" s="165" t="s">
        <v>8</v>
      </c>
      <c r="G411" s="165" t="s">
        <v>8</v>
      </c>
      <c r="H411" s="165" t="s">
        <v>8</v>
      </c>
    </row>
    <row r="412">
      <c r="B412" s="165" t="s">
        <v>8</v>
      </c>
      <c r="C412" s="165" t="s">
        <v>8</v>
      </c>
      <c r="D412" s="165" t="s">
        <v>8</v>
      </c>
      <c r="E412" s="165" t="s">
        <v>8</v>
      </c>
      <c r="F412" s="165" t="s">
        <v>8</v>
      </c>
      <c r="G412" s="165" t="s">
        <v>8</v>
      </c>
      <c r="H412" s="165" t="s">
        <v>8</v>
      </c>
    </row>
    <row r="413">
      <c r="B413" s="165" t="s">
        <v>8</v>
      </c>
      <c r="C413" s="165" t="s">
        <v>8</v>
      </c>
      <c r="D413" s="165" t="s">
        <v>8</v>
      </c>
      <c r="E413" s="165" t="s">
        <v>8</v>
      </c>
      <c r="F413" s="165" t="s">
        <v>8</v>
      </c>
      <c r="G413" s="165" t="s">
        <v>8</v>
      </c>
      <c r="H413" s="165" t="s">
        <v>8</v>
      </c>
    </row>
    <row r="414">
      <c r="B414" s="165" t="s">
        <v>8</v>
      </c>
      <c r="C414" s="165" t="s">
        <v>8</v>
      </c>
      <c r="D414" s="165" t="s">
        <v>8</v>
      </c>
      <c r="E414" s="165" t="s">
        <v>8</v>
      </c>
      <c r="F414" s="165" t="s">
        <v>8</v>
      </c>
      <c r="G414" s="165" t="s">
        <v>8</v>
      </c>
      <c r="H414" s="165" t="s">
        <v>8</v>
      </c>
    </row>
    <row r="415">
      <c r="B415" s="165" t="s">
        <v>8</v>
      </c>
      <c r="C415" s="165" t="s">
        <v>8</v>
      </c>
      <c r="D415" s="165" t="s">
        <v>8</v>
      </c>
      <c r="E415" s="165" t="s">
        <v>8</v>
      </c>
      <c r="F415" s="165" t="s">
        <v>8</v>
      </c>
      <c r="G415" s="165" t="s">
        <v>8</v>
      </c>
      <c r="H415" s="165" t="s">
        <v>8</v>
      </c>
    </row>
    <row r="416">
      <c r="B416" s="165" t="s">
        <v>8</v>
      </c>
      <c r="C416" s="165" t="s">
        <v>8</v>
      </c>
      <c r="D416" s="165" t="s">
        <v>8</v>
      </c>
      <c r="E416" s="165" t="s">
        <v>8</v>
      </c>
      <c r="F416" s="165" t="s">
        <v>8</v>
      </c>
      <c r="G416" s="165" t="s">
        <v>8</v>
      </c>
      <c r="H416" s="165" t="s">
        <v>8</v>
      </c>
    </row>
    <row r="417">
      <c r="B417" s="165" t="s">
        <v>8</v>
      </c>
      <c r="C417" s="165" t="s">
        <v>8</v>
      </c>
      <c r="D417" s="165" t="s">
        <v>8</v>
      </c>
      <c r="E417" s="165" t="s">
        <v>8</v>
      </c>
      <c r="F417" s="165" t="s">
        <v>8</v>
      </c>
      <c r="G417" s="165" t="s">
        <v>8</v>
      </c>
      <c r="H417" s="165" t="s">
        <v>8</v>
      </c>
    </row>
    <row r="418">
      <c r="B418" s="165" t="s">
        <v>8</v>
      </c>
      <c r="C418" s="165" t="s">
        <v>8</v>
      </c>
      <c r="D418" s="165" t="s">
        <v>8</v>
      </c>
      <c r="E418" s="165" t="s">
        <v>8</v>
      </c>
      <c r="F418" s="165" t="s">
        <v>8</v>
      </c>
      <c r="G418" s="165" t="s">
        <v>8</v>
      </c>
      <c r="H418" s="165" t="s">
        <v>8</v>
      </c>
    </row>
    <row r="419">
      <c r="B419" s="165" t="s">
        <v>8</v>
      </c>
      <c r="C419" s="165" t="s">
        <v>8</v>
      </c>
      <c r="D419" s="165" t="s">
        <v>8</v>
      </c>
      <c r="E419" s="165" t="s">
        <v>8</v>
      </c>
      <c r="F419" s="165" t="s">
        <v>8</v>
      </c>
      <c r="G419" s="165" t="s">
        <v>8</v>
      </c>
      <c r="H419" s="165" t="s">
        <v>8</v>
      </c>
    </row>
    <row r="420">
      <c r="B420" s="165" t="s">
        <v>8</v>
      </c>
      <c r="C420" s="165" t="s">
        <v>8</v>
      </c>
      <c r="D420" s="165" t="s">
        <v>8</v>
      </c>
      <c r="E420" s="165" t="s">
        <v>8</v>
      </c>
      <c r="F420" s="165" t="s">
        <v>8</v>
      </c>
      <c r="G420" s="165" t="s">
        <v>8</v>
      </c>
      <c r="H420" s="165" t="s">
        <v>8</v>
      </c>
    </row>
    <row r="421">
      <c r="B421" s="165" t="s">
        <v>8</v>
      </c>
      <c r="C421" s="165" t="s">
        <v>8</v>
      </c>
      <c r="D421" s="165" t="s">
        <v>8</v>
      </c>
      <c r="E421" s="165" t="s">
        <v>8</v>
      </c>
      <c r="F421" s="165" t="s">
        <v>8</v>
      </c>
      <c r="G421" s="165" t="s">
        <v>8</v>
      </c>
      <c r="H421" s="165" t="s">
        <v>8</v>
      </c>
    </row>
    <row r="422">
      <c r="B422" s="165" t="s">
        <v>8</v>
      </c>
      <c r="C422" s="165" t="s">
        <v>8</v>
      </c>
      <c r="D422" s="165" t="s">
        <v>8</v>
      </c>
      <c r="E422" s="165" t="s">
        <v>8</v>
      </c>
      <c r="F422" s="165" t="s">
        <v>8</v>
      </c>
      <c r="G422" s="165" t="s">
        <v>8</v>
      </c>
      <c r="H422" s="165" t="s">
        <v>8</v>
      </c>
    </row>
    <row r="423">
      <c r="B423" s="165" t="s">
        <v>8</v>
      </c>
      <c r="C423" s="165" t="s">
        <v>8</v>
      </c>
      <c r="D423" s="165" t="s">
        <v>8</v>
      </c>
      <c r="E423" s="165" t="s">
        <v>8</v>
      </c>
      <c r="F423" s="165" t="s">
        <v>8</v>
      </c>
      <c r="G423" s="165" t="s">
        <v>8</v>
      </c>
      <c r="H423" s="165" t="s">
        <v>8</v>
      </c>
    </row>
    <row r="424">
      <c r="B424" s="165" t="s">
        <v>8</v>
      </c>
      <c r="C424" s="165" t="s">
        <v>8</v>
      </c>
      <c r="D424" s="165" t="s">
        <v>8</v>
      </c>
      <c r="E424" s="165" t="s">
        <v>8</v>
      </c>
      <c r="F424" s="165" t="s">
        <v>8</v>
      </c>
      <c r="G424" s="165" t="s">
        <v>8</v>
      </c>
      <c r="H424" s="165" t="s">
        <v>8</v>
      </c>
    </row>
    <row r="425">
      <c r="B425" s="165" t="s">
        <v>8</v>
      </c>
      <c r="C425" s="165" t="s">
        <v>8</v>
      </c>
      <c r="D425" s="165" t="s">
        <v>8</v>
      </c>
      <c r="E425" s="165" t="s">
        <v>8</v>
      </c>
      <c r="F425" s="165" t="s">
        <v>8</v>
      </c>
      <c r="G425" s="165" t="s">
        <v>8</v>
      </c>
      <c r="H425" s="165" t="s">
        <v>8</v>
      </c>
    </row>
    <row r="426">
      <c r="B426" s="165" t="s">
        <v>8</v>
      </c>
      <c r="C426" s="165" t="s">
        <v>8</v>
      </c>
      <c r="D426" s="165" t="s">
        <v>8</v>
      </c>
      <c r="E426" s="165" t="s">
        <v>8</v>
      </c>
      <c r="F426" s="165" t="s">
        <v>8</v>
      </c>
      <c r="G426" s="165" t="s">
        <v>8</v>
      </c>
      <c r="H426" s="165" t="s">
        <v>8</v>
      </c>
    </row>
    <row r="427">
      <c r="B427" s="165" t="s">
        <v>8</v>
      </c>
      <c r="C427" s="165" t="s">
        <v>8</v>
      </c>
      <c r="D427" s="165" t="s">
        <v>8</v>
      </c>
      <c r="E427" s="165" t="s">
        <v>8</v>
      </c>
      <c r="F427" s="165" t="s">
        <v>8</v>
      </c>
      <c r="G427" s="165" t="s">
        <v>8</v>
      </c>
      <c r="H427" s="165" t="s">
        <v>8</v>
      </c>
    </row>
    <row r="428">
      <c r="B428" s="165" t="s">
        <v>8</v>
      </c>
      <c r="C428" s="165" t="s">
        <v>8</v>
      </c>
      <c r="D428" s="165" t="s">
        <v>8</v>
      </c>
      <c r="E428" s="165" t="s">
        <v>8</v>
      </c>
      <c r="F428" s="165" t="s">
        <v>8</v>
      </c>
      <c r="G428" s="165" t="s">
        <v>8</v>
      </c>
      <c r="H428" s="165" t="s">
        <v>8</v>
      </c>
    </row>
    <row r="429">
      <c r="B429" s="165" t="s">
        <v>8</v>
      </c>
      <c r="C429" s="165" t="s">
        <v>8</v>
      </c>
      <c r="D429" s="165" t="s">
        <v>8</v>
      </c>
      <c r="E429" s="165" t="s">
        <v>8</v>
      </c>
      <c r="F429" s="165" t="s">
        <v>8</v>
      </c>
      <c r="G429" s="165" t="s">
        <v>8</v>
      </c>
      <c r="H429" s="165" t="s">
        <v>8</v>
      </c>
    </row>
    <row r="430">
      <c r="B430" s="165" t="s">
        <v>8</v>
      </c>
      <c r="C430" s="165" t="s">
        <v>8</v>
      </c>
      <c r="D430" s="165" t="s">
        <v>8</v>
      </c>
      <c r="E430" s="165" t="s">
        <v>8</v>
      </c>
      <c r="F430" s="165" t="s">
        <v>8</v>
      </c>
      <c r="G430" s="165" t="s">
        <v>8</v>
      </c>
      <c r="H430" s="165" t="s">
        <v>8</v>
      </c>
    </row>
    <row r="431">
      <c r="B431" s="165" t="s">
        <v>8</v>
      </c>
      <c r="C431" s="165" t="s">
        <v>8</v>
      </c>
      <c r="D431" s="165" t="s">
        <v>8</v>
      </c>
      <c r="E431" s="165" t="s">
        <v>8</v>
      </c>
      <c r="F431" s="165" t="s">
        <v>8</v>
      </c>
      <c r="G431" s="165" t="s">
        <v>8</v>
      </c>
      <c r="H431" s="165" t="s">
        <v>8</v>
      </c>
    </row>
    <row r="432">
      <c r="B432" s="165" t="s">
        <v>8</v>
      </c>
      <c r="C432" s="165" t="s">
        <v>8</v>
      </c>
      <c r="D432" s="165" t="s">
        <v>8</v>
      </c>
      <c r="E432" s="165" t="s">
        <v>8</v>
      </c>
      <c r="F432" s="165" t="s">
        <v>8</v>
      </c>
      <c r="G432" s="165" t="s">
        <v>8</v>
      </c>
      <c r="H432" s="165" t="s">
        <v>8</v>
      </c>
    </row>
    <row r="433">
      <c r="B433" s="165" t="s">
        <v>8</v>
      </c>
      <c r="C433" s="165" t="s">
        <v>8</v>
      </c>
      <c r="D433" s="165" t="s">
        <v>8</v>
      </c>
      <c r="E433" s="165" t="s">
        <v>8</v>
      </c>
      <c r="F433" s="165" t="s">
        <v>8</v>
      </c>
      <c r="G433" s="165" t="s">
        <v>8</v>
      </c>
      <c r="H433" s="165" t="s">
        <v>8</v>
      </c>
    </row>
    <row r="434">
      <c r="B434" s="165" t="s">
        <v>8</v>
      </c>
      <c r="C434" s="165" t="s">
        <v>8</v>
      </c>
      <c r="D434" s="165" t="s">
        <v>8</v>
      </c>
      <c r="E434" s="165" t="s">
        <v>8</v>
      </c>
      <c r="F434" s="165" t="s">
        <v>8</v>
      </c>
      <c r="G434" s="165" t="s">
        <v>8</v>
      </c>
      <c r="H434" s="165" t="s">
        <v>8</v>
      </c>
    </row>
    <row r="435">
      <c r="B435" s="165" t="s">
        <v>8</v>
      </c>
      <c r="C435" s="165" t="s">
        <v>8</v>
      </c>
      <c r="D435" s="165" t="s">
        <v>8</v>
      </c>
      <c r="E435" s="165" t="s">
        <v>8</v>
      </c>
      <c r="F435" s="165" t="s">
        <v>8</v>
      </c>
      <c r="G435" s="165" t="s">
        <v>8</v>
      </c>
      <c r="H435" s="165" t="s">
        <v>8</v>
      </c>
    </row>
    <row r="436">
      <c r="B436" s="165" t="s">
        <v>8</v>
      </c>
      <c r="C436" s="165" t="s">
        <v>8</v>
      </c>
      <c r="D436" s="165" t="s">
        <v>8</v>
      </c>
      <c r="E436" s="165" t="s">
        <v>8</v>
      </c>
      <c r="F436" s="165" t="s">
        <v>8</v>
      </c>
      <c r="G436" s="165" t="s">
        <v>8</v>
      </c>
      <c r="H436" s="165" t="s">
        <v>8</v>
      </c>
    </row>
    <row r="437">
      <c r="B437" s="165" t="s">
        <v>8</v>
      </c>
      <c r="C437" s="165" t="s">
        <v>8</v>
      </c>
      <c r="D437" s="165" t="s">
        <v>8</v>
      </c>
      <c r="E437" s="165" t="s">
        <v>8</v>
      </c>
      <c r="F437" s="165" t="s">
        <v>8</v>
      </c>
      <c r="G437" s="165" t="s">
        <v>8</v>
      </c>
      <c r="H437" s="165" t="s">
        <v>8</v>
      </c>
    </row>
    <row r="438">
      <c r="B438" s="165" t="s">
        <v>8</v>
      </c>
      <c r="C438" s="165" t="s">
        <v>8</v>
      </c>
      <c r="D438" s="165" t="s">
        <v>8</v>
      </c>
      <c r="E438" s="165" t="s">
        <v>8</v>
      </c>
      <c r="F438" s="165" t="s">
        <v>8</v>
      </c>
      <c r="G438" s="165" t="s">
        <v>8</v>
      </c>
      <c r="H438" s="165" t="s">
        <v>8</v>
      </c>
    </row>
    <row r="439">
      <c r="B439" s="165" t="s">
        <v>8</v>
      </c>
      <c r="C439" s="165" t="s">
        <v>8</v>
      </c>
      <c r="D439" s="165" t="s">
        <v>8</v>
      </c>
      <c r="E439" s="165" t="s">
        <v>8</v>
      </c>
      <c r="F439" s="165" t="s">
        <v>8</v>
      </c>
      <c r="G439" s="165" t="s">
        <v>8</v>
      </c>
      <c r="H439" s="165" t="s">
        <v>8</v>
      </c>
    </row>
    <row r="440">
      <c r="B440" s="165" t="s">
        <v>8</v>
      </c>
      <c r="C440" s="165" t="s">
        <v>8</v>
      </c>
      <c r="D440" s="165" t="s">
        <v>8</v>
      </c>
      <c r="E440" s="165" t="s">
        <v>8</v>
      </c>
      <c r="F440" s="165" t="s">
        <v>8</v>
      </c>
      <c r="G440" s="165" t="s">
        <v>8</v>
      </c>
      <c r="H440" s="165" t="s">
        <v>8</v>
      </c>
    </row>
    <row r="441">
      <c r="B441" s="165" t="s">
        <v>8</v>
      </c>
      <c r="C441" s="165" t="s">
        <v>8</v>
      </c>
      <c r="D441" s="165" t="s">
        <v>8</v>
      </c>
      <c r="E441" s="165" t="s">
        <v>8</v>
      </c>
      <c r="F441" s="165" t="s">
        <v>8</v>
      </c>
      <c r="G441" s="165" t="s">
        <v>8</v>
      </c>
      <c r="H441" s="165" t="s">
        <v>8</v>
      </c>
    </row>
    <row r="442">
      <c r="B442" s="165" t="s">
        <v>8</v>
      </c>
      <c r="C442" s="165" t="s">
        <v>8</v>
      </c>
      <c r="D442" s="165" t="s">
        <v>8</v>
      </c>
      <c r="E442" s="165" t="s">
        <v>8</v>
      </c>
      <c r="F442" s="165" t="s">
        <v>8</v>
      </c>
      <c r="G442" s="165" t="s">
        <v>8</v>
      </c>
      <c r="H442" s="165" t="s">
        <v>8</v>
      </c>
    </row>
    <row r="443">
      <c r="B443" s="165" t="s">
        <v>8</v>
      </c>
      <c r="C443" s="165" t="s">
        <v>8</v>
      </c>
      <c r="D443" s="165" t="s">
        <v>8</v>
      </c>
      <c r="E443" s="165" t="s">
        <v>8</v>
      </c>
      <c r="F443" s="165" t="s">
        <v>8</v>
      </c>
      <c r="G443" s="165" t="s">
        <v>8</v>
      </c>
      <c r="H443" s="165" t="s">
        <v>8</v>
      </c>
    </row>
    <row r="444">
      <c r="B444" s="165" t="s">
        <v>8</v>
      </c>
      <c r="C444" s="165" t="s">
        <v>8</v>
      </c>
      <c r="D444" s="165" t="s">
        <v>8</v>
      </c>
      <c r="E444" s="165" t="s">
        <v>8</v>
      </c>
      <c r="F444" s="165" t="s">
        <v>8</v>
      </c>
      <c r="G444" s="165" t="s">
        <v>8</v>
      </c>
      <c r="H444" s="165" t="s">
        <v>8</v>
      </c>
    </row>
    <row r="445">
      <c r="B445" s="165" t="s">
        <v>8</v>
      </c>
      <c r="C445" s="165" t="s">
        <v>8</v>
      </c>
      <c r="D445" s="165" t="s">
        <v>8</v>
      </c>
      <c r="E445" s="165" t="s">
        <v>8</v>
      </c>
      <c r="F445" s="165" t="s">
        <v>8</v>
      </c>
      <c r="G445" s="165" t="s">
        <v>8</v>
      </c>
      <c r="H445" s="165" t="s">
        <v>8</v>
      </c>
    </row>
    <row r="446">
      <c r="B446" s="165" t="s">
        <v>8</v>
      </c>
      <c r="C446" s="165" t="s">
        <v>8</v>
      </c>
      <c r="D446" s="165" t="s">
        <v>8</v>
      </c>
      <c r="E446" s="165" t="s">
        <v>8</v>
      </c>
      <c r="F446" s="165" t="s">
        <v>8</v>
      </c>
      <c r="G446" s="165" t="s">
        <v>8</v>
      </c>
      <c r="H446" s="165" t="s">
        <v>8</v>
      </c>
    </row>
    <row r="447">
      <c r="B447" s="165" t="s">
        <v>8</v>
      </c>
      <c r="C447" s="165" t="s">
        <v>8</v>
      </c>
      <c r="D447" s="165" t="s">
        <v>8</v>
      </c>
      <c r="E447" s="165" t="s">
        <v>8</v>
      </c>
      <c r="F447" s="165" t="s">
        <v>8</v>
      </c>
      <c r="G447" s="165" t="s">
        <v>8</v>
      </c>
      <c r="H447" s="165" t="s">
        <v>8</v>
      </c>
    </row>
    <row r="448">
      <c r="B448" s="165" t="s">
        <v>8</v>
      </c>
      <c r="C448" s="165" t="s">
        <v>8</v>
      </c>
      <c r="D448" s="165" t="s">
        <v>8</v>
      </c>
      <c r="E448" s="165" t="s">
        <v>8</v>
      </c>
      <c r="F448" s="165" t="s">
        <v>8</v>
      </c>
      <c r="G448" s="165" t="s">
        <v>8</v>
      </c>
      <c r="H448" s="165" t="s">
        <v>8</v>
      </c>
    </row>
    <row r="449">
      <c r="B449" s="165" t="s">
        <v>8</v>
      </c>
      <c r="C449" s="165" t="s">
        <v>8</v>
      </c>
      <c r="D449" s="165" t="s">
        <v>8</v>
      </c>
      <c r="E449" s="165" t="s">
        <v>8</v>
      </c>
      <c r="F449" s="165" t="s">
        <v>8</v>
      </c>
      <c r="G449" s="165" t="s">
        <v>8</v>
      </c>
      <c r="H449" s="165" t="s">
        <v>8</v>
      </c>
    </row>
    <row r="450">
      <c r="B450" s="165" t="s">
        <v>8</v>
      </c>
      <c r="C450" s="165" t="s">
        <v>8</v>
      </c>
      <c r="D450" s="165" t="s">
        <v>8</v>
      </c>
      <c r="E450" s="165" t="s">
        <v>8</v>
      </c>
      <c r="F450" s="165" t="s">
        <v>8</v>
      </c>
      <c r="G450" s="165" t="s">
        <v>8</v>
      </c>
      <c r="H450" s="165" t="s">
        <v>8</v>
      </c>
    </row>
    <row r="451">
      <c r="B451" s="165" t="s">
        <v>8</v>
      </c>
      <c r="C451" s="165" t="s">
        <v>8</v>
      </c>
      <c r="D451" s="165" t="s">
        <v>8</v>
      </c>
      <c r="E451" s="165" t="s">
        <v>8</v>
      </c>
      <c r="F451" s="165" t="s">
        <v>8</v>
      </c>
      <c r="G451" s="165" t="s">
        <v>8</v>
      </c>
      <c r="H451" s="165" t="s">
        <v>8</v>
      </c>
    </row>
    <row r="452">
      <c r="B452" s="165" t="s">
        <v>8</v>
      </c>
      <c r="C452" s="165" t="s">
        <v>8</v>
      </c>
      <c r="D452" s="165" t="s">
        <v>8</v>
      </c>
      <c r="E452" s="165" t="s">
        <v>8</v>
      </c>
      <c r="F452" s="165" t="s">
        <v>8</v>
      </c>
      <c r="G452" s="165" t="s">
        <v>8</v>
      </c>
      <c r="H452" s="165" t="s">
        <v>8</v>
      </c>
    </row>
    <row r="453">
      <c r="B453" s="165" t="s">
        <v>8</v>
      </c>
      <c r="C453" s="165" t="s">
        <v>8</v>
      </c>
      <c r="D453" s="165" t="s">
        <v>8</v>
      </c>
      <c r="E453" s="165" t="s">
        <v>8</v>
      </c>
      <c r="F453" s="165" t="s">
        <v>8</v>
      </c>
      <c r="G453" s="165" t="s">
        <v>8</v>
      </c>
      <c r="H453" s="165" t="s">
        <v>8</v>
      </c>
    </row>
    <row r="454">
      <c r="B454" s="165" t="s">
        <v>8</v>
      </c>
      <c r="C454" s="165" t="s">
        <v>8</v>
      </c>
      <c r="D454" s="165" t="s">
        <v>8</v>
      </c>
      <c r="E454" s="165" t="s">
        <v>8</v>
      </c>
      <c r="F454" s="165" t="s">
        <v>8</v>
      </c>
      <c r="G454" s="165" t="s">
        <v>8</v>
      </c>
      <c r="H454" s="165" t="s">
        <v>8</v>
      </c>
    </row>
    <row r="455">
      <c r="B455" s="165" t="s">
        <v>8</v>
      </c>
      <c r="C455" s="165" t="s">
        <v>8</v>
      </c>
      <c r="D455" s="165" t="s">
        <v>8</v>
      </c>
      <c r="E455" s="165" t="s">
        <v>8</v>
      </c>
      <c r="F455" s="165" t="s">
        <v>8</v>
      </c>
      <c r="G455" s="165" t="s">
        <v>8</v>
      </c>
      <c r="H455" s="165" t="s">
        <v>8</v>
      </c>
    </row>
    <row r="456">
      <c r="B456" s="165" t="s">
        <v>8</v>
      </c>
      <c r="C456" s="165" t="s">
        <v>8</v>
      </c>
      <c r="D456" s="165" t="s">
        <v>8</v>
      </c>
      <c r="E456" s="165" t="s">
        <v>8</v>
      </c>
      <c r="F456" s="165" t="s">
        <v>8</v>
      </c>
      <c r="G456" s="165" t="s">
        <v>8</v>
      </c>
      <c r="H456" s="165" t="s">
        <v>8</v>
      </c>
    </row>
    <row r="457">
      <c r="B457" s="165" t="s">
        <v>8</v>
      </c>
      <c r="C457" s="165" t="s">
        <v>8</v>
      </c>
      <c r="D457" s="165" t="s">
        <v>8</v>
      </c>
      <c r="E457" s="165" t="s">
        <v>8</v>
      </c>
      <c r="F457" s="165" t="s">
        <v>8</v>
      </c>
      <c r="G457" s="165" t="s">
        <v>8</v>
      </c>
      <c r="H457" s="165" t="s">
        <v>8</v>
      </c>
    </row>
    <row r="458">
      <c r="B458" s="165" t="s">
        <v>8</v>
      </c>
      <c r="C458" s="165" t="s">
        <v>8</v>
      </c>
      <c r="D458" s="165" t="s">
        <v>8</v>
      </c>
      <c r="E458" s="165" t="s">
        <v>8</v>
      </c>
      <c r="F458" s="165" t="s">
        <v>8</v>
      </c>
      <c r="G458" s="165" t="s">
        <v>8</v>
      </c>
      <c r="H458" s="165" t="s">
        <v>8</v>
      </c>
    </row>
    <row r="459">
      <c r="B459" s="165" t="s">
        <v>8</v>
      </c>
      <c r="C459" s="165" t="s">
        <v>8</v>
      </c>
      <c r="D459" s="165" t="s">
        <v>8</v>
      </c>
      <c r="E459" s="165" t="s">
        <v>8</v>
      </c>
      <c r="F459" s="165" t="s">
        <v>8</v>
      </c>
      <c r="G459" s="165" t="s">
        <v>8</v>
      </c>
      <c r="H459" s="165" t="s">
        <v>8</v>
      </c>
    </row>
    <row r="460">
      <c r="B460" s="165" t="s">
        <v>8</v>
      </c>
      <c r="C460" s="165" t="s">
        <v>8</v>
      </c>
      <c r="D460" s="165" t="s">
        <v>8</v>
      </c>
      <c r="E460" s="165" t="s">
        <v>8</v>
      </c>
      <c r="F460" s="165" t="s">
        <v>8</v>
      </c>
      <c r="G460" s="165" t="s">
        <v>8</v>
      </c>
      <c r="H460" s="165" t="s">
        <v>8</v>
      </c>
    </row>
    <row r="461">
      <c r="B461" s="165" t="s">
        <v>8</v>
      </c>
      <c r="C461" s="165" t="s">
        <v>8</v>
      </c>
      <c r="D461" s="165" t="s">
        <v>8</v>
      </c>
      <c r="E461" s="165" t="s">
        <v>8</v>
      </c>
      <c r="F461" s="165" t="s">
        <v>8</v>
      </c>
      <c r="G461" s="165" t="s">
        <v>8</v>
      </c>
      <c r="H461" s="165" t="s">
        <v>8</v>
      </c>
    </row>
    <row r="462">
      <c r="B462" s="165" t="s">
        <v>8</v>
      </c>
      <c r="C462" s="165" t="s">
        <v>8</v>
      </c>
      <c r="D462" s="165" t="s">
        <v>8</v>
      </c>
      <c r="E462" s="165" t="s">
        <v>8</v>
      </c>
      <c r="F462" s="165" t="s">
        <v>8</v>
      </c>
      <c r="G462" s="165" t="s">
        <v>8</v>
      </c>
      <c r="H462" s="165" t="s">
        <v>8</v>
      </c>
    </row>
    <row r="463">
      <c r="B463" s="165" t="s">
        <v>8</v>
      </c>
      <c r="C463" s="165" t="s">
        <v>8</v>
      </c>
      <c r="D463" s="165" t="s">
        <v>8</v>
      </c>
      <c r="E463" s="165" t="s">
        <v>8</v>
      </c>
      <c r="F463" s="165" t="s">
        <v>8</v>
      </c>
      <c r="G463" s="165" t="s">
        <v>8</v>
      </c>
      <c r="H463" s="165" t="s">
        <v>8</v>
      </c>
    </row>
    <row r="464">
      <c r="B464" s="165" t="s">
        <v>8</v>
      </c>
      <c r="C464" s="165" t="s">
        <v>8</v>
      </c>
      <c r="D464" s="165" t="s">
        <v>8</v>
      </c>
      <c r="E464" s="165" t="s">
        <v>8</v>
      </c>
      <c r="F464" s="165" t="s">
        <v>8</v>
      </c>
      <c r="G464" s="165" t="s">
        <v>8</v>
      </c>
      <c r="H464" s="165" t="s">
        <v>8</v>
      </c>
    </row>
    <row r="465">
      <c r="B465" s="165" t="s">
        <v>8</v>
      </c>
      <c r="C465" s="165" t="s">
        <v>8</v>
      </c>
      <c r="D465" s="165" t="s">
        <v>8</v>
      </c>
      <c r="E465" s="165" t="s">
        <v>8</v>
      </c>
      <c r="F465" s="165" t="s">
        <v>8</v>
      </c>
      <c r="G465" s="165" t="s">
        <v>8</v>
      </c>
      <c r="H465" s="165" t="s">
        <v>8</v>
      </c>
    </row>
    <row r="466">
      <c r="B466" s="165" t="s">
        <v>8</v>
      </c>
      <c r="C466" s="165" t="s">
        <v>8</v>
      </c>
      <c r="D466" s="165" t="s">
        <v>8</v>
      </c>
      <c r="E466" s="165" t="s">
        <v>8</v>
      </c>
      <c r="F466" s="165" t="s">
        <v>8</v>
      </c>
      <c r="G466" s="165" t="s">
        <v>8</v>
      </c>
      <c r="H466" s="165" t="s">
        <v>8</v>
      </c>
    </row>
    <row r="467">
      <c r="B467" s="165" t="s">
        <v>8</v>
      </c>
      <c r="C467" s="165" t="s">
        <v>8</v>
      </c>
      <c r="D467" s="165" t="s">
        <v>8</v>
      </c>
      <c r="E467" s="165" t="s">
        <v>8</v>
      </c>
      <c r="F467" s="165" t="s">
        <v>8</v>
      </c>
      <c r="G467" s="165" t="s">
        <v>8</v>
      </c>
      <c r="H467" s="165" t="s">
        <v>8</v>
      </c>
    </row>
    <row r="468">
      <c r="B468" s="165" t="s">
        <v>8</v>
      </c>
      <c r="C468" s="165" t="s">
        <v>8</v>
      </c>
      <c r="D468" s="165" t="s">
        <v>8</v>
      </c>
      <c r="E468" s="165" t="s">
        <v>8</v>
      </c>
      <c r="F468" s="165" t="s">
        <v>8</v>
      </c>
      <c r="G468" s="165" t="s">
        <v>8</v>
      </c>
      <c r="H468" s="165" t="s">
        <v>8</v>
      </c>
    </row>
    <row r="469">
      <c r="B469" s="165" t="s">
        <v>8</v>
      </c>
      <c r="C469" s="165" t="s">
        <v>8</v>
      </c>
      <c r="D469" s="165" t="s">
        <v>8</v>
      </c>
      <c r="E469" s="165" t="s">
        <v>8</v>
      </c>
      <c r="F469" s="165" t="s">
        <v>8</v>
      </c>
      <c r="G469" s="165" t="s">
        <v>8</v>
      </c>
      <c r="H469" s="165" t="s">
        <v>8</v>
      </c>
    </row>
    <row r="470">
      <c r="B470" s="165" t="s">
        <v>8</v>
      </c>
      <c r="C470" s="165" t="s">
        <v>8</v>
      </c>
      <c r="D470" s="165" t="s">
        <v>8</v>
      </c>
      <c r="E470" s="165" t="s">
        <v>8</v>
      </c>
      <c r="F470" s="165" t="s">
        <v>8</v>
      </c>
      <c r="G470" s="165" t="s">
        <v>8</v>
      </c>
      <c r="H470" s="165" t="s">
        <v>8</v>
      </c>
    </row>
    <row r="471">
      <c r="B471" s="165" t="s">
        <v>8</v>
      </c>
      <c r="C471" s="165" t="s">
        <v>8</v>
      </c>
      <c r="D471" s="165" t="s">
        <v>8</v>
      </c>
      <c r="E471" s="165" t="s">
        <v>8</v>
      </c>
      <c r="F471" s="165" t="s">
        <v>8</v>
      </c>
      <c r="G471" s="165" t="s">
        <v>8</v>
      </c>
      <c r="H471" s="165" t="s">
        <v>8</v>
      </c>
    </row>
    <row r="472">
      <c r="B472" s="165" t="s">
        <v>8</v>
      </c>
      <c r="C472" s="165" t="s">
        <v>8</v>
      </c>
      <c r="D472" s="165" t="s">
        <v>8</v>
      </c>
      <c r="E472" s="165" t="s">
        <v>8</v>
      </c>
      <c r="F472" s="165" t="s">
        <v>8</v>
      </c>
      <c r="G472" s="165" t="s">
        <v>8</v>
      </c>
      <c r="H472" s="165" t="s">
        <v>8</v>
      </c>
    </row>
    <row r="473">
      <c r="B473" s="165" t="s">
        <v>8</v>
      </c>
      <c r="C473" s="165" t="s">
        <v>8</v>
      </c>
      <c r="D473" s="165" t="s">
        <v>8</v>
      </c>
      <c r="E473" s="165" t="s">
        <v>8</v>
      </c>
      <c r="F473" s="165" t="s">
        <v>8</v>
      </c>
      <c r="G473" s="165" t="s">
        <v>8</v>
      </c>
      <c r="H473" s="165" t="s">
        <v>8</v>
      </c>
    </row>
    <row r="474">
      <c r="B474" s="165" t="s">
        <v>8</v>
      </c>
      <c r="C474" s="165" t="s">
        <v>8</v>
      </c>
      <c r="D474" s="165" t="s">
        <v>8</v>
      </c>
      <c r="E474" s="165" t="s">
        <v>8</v>
      </c>
      <c r="F474" s="165" t="s">
        <v>8</v>
      </c>
      <c r="G474" s="165" t="s">
        <v>8</v>
      </c>
      <c r="H474" s="165" t="s">
        <v>8</v>
      </c>
    </row>
    <row r="475">
      <c r="B475" s="165" t="s">
        <v>8</v>
      </c>
      <c r="C475" s="165" t="s">
        <v>8</v>
      </c>
      <c r="D475" s="165" t="s">
        <v>8</v>
      </c>
      <c r="E475" s="165" t="s">
        <v>8</v>
      </c>
      <c r="F475" s="165" t="s">
        <v>8</v>
      </c>
      <c r="G475" s="165" t="s">
        <v>8</v>
      </c>
      <c r="H475" s="165" t="s">
        <v>8</v>
      </c>
    </row>
    <row r="476">
      <c r="B476" s="165" t="s">
        <v>8</v>
      </c>
      <c r="C476" s="165" t="s">
        <v>8</v>
      </c>
      <c r="D476" s="165" t="s">
        <v>8</v>
      </c>
      <c r="E476" s="165" t="s">
        <v>8</v>
      </c>
      <c r="F476" s="165" t="s">
        <v>8</v>
      </c>
      <c r="G476" s="165" t="s">
        <v>8</v>
      </c>
      <c r="H476" s="165" t="s">
        <v>8</v>
      </c>
    </row>
    <row r="477">
      <c r="B477" s="165" t="s">
        <v>8</v>
      </c>
      <c r="C477" s="165" t="s">
        <v>8</v>
      </c>
      <c r="D477" s="165" t="s">
        <v>8</v>
      </c>
      <c r="E477" s="165" t="s">
        <v>8</v>
      </c>
      <c r="F477" s="165" t="s">
        <v>8</v>
      </c>
      <c r="G477" s="165" t="s">
        <v>8</v>
      </c>
      <c r="H477" s="165" t="s">
        <v>8</v>
      </c>
    </row>
    <row r="478">
      <c r="B478" s="165" t="s">
        <v>8</v>
      </c>
      <c r="C478" s="165" t="s">
        <v>8</v>
      </c>
      <c r="D478" s="165" t="s">
        <v>8</v>
      </c>
      <c r="E478" s="165" t="s">
        <v>8</v>
      </c>
      <c r="F478" s="165" t="s">
        <v>8</v>
      </c>
      <c r="G478" s="165" t="s">
        <v>8</v>
      </c>
      <c r="H478" s="165" t="s">
        <v>8</v>
      </c>
    </row>
    <row r="479">
      <c r="B479" s="165" t="s">
        <v>8</v>
      </c>
      <c r="C479" s="165" t="s">
        <v>8</v>
      </c>
      <c r="D479" s="165" t="s">
        <v>8</v>
      </c>
      <c r="E479" s="165" t="s">
        <v>8</v>
      </c>
      <c r="F479" s="165" t="s">
        <v>8</v>
      </c>
      <c r="G479" s="165" t="s">
        <v>8</v>
      </c>
      <c r="H479" s="165" t="s">
        <v>8</v>
      </c>
    </row>
    <row r="480">
      <c r="B480" s="165" t="s">
        <v>8</v>
      </c>
      <c r="C480" s="165" t="s">
        <v>8</v>
      </c>
      <c r="D480" s="165" t="s">
        <v>8</v>
      </c>
      <c r="E480" s="165" t="s">
        <v>8</v>
      </c>
      <c r="F480" s="165" t="s">
        <v>8</v>
      </c>
      <c r="G480" s="165" t="s">
        <v>8</v>
      </c>
      <c r="H480" s="165" t="s">
        <v>8</v>
      </c>
    </row>
    <row r="481">
      <c r="B481" s="165" t="s">
        <v>8</v>
      </c>
      <c r="C481" s="165" t="s">
        <v>8</v>
      </c>
      <c r="D481" s="165" t="s">
        <v>8</v>
      </c>
      <c r="E481" s="165" t="s">
        <v>8</v>
      </c>
      <c r="F481" s="165" t="s">
        <v>8</v>
      </c>
      <c r="G481" s="165" t="s">
        <v>8</v>
      </c>
      <c r="H481" s="165" t="s">
        <v>8</v>
      </c>
    </row>
    <row r="482">
      <c r="B482" s="165" t="s">
        <v>8</v>
      </c>
      <c r="C482" s="165" t="s">
        <v>8</v>
      </c>
      <c r="D482" s="165" t="s">
        <v>8</v>
      </c>
      <c r="E482" s="165" t="s">
        <v>8</v>
      </c>
      <c r="F482" s="165" t="s">
        <v>8</v>
      </c>
      <c r="G482" s="165" t="s">
        <v>8</v>
      </c>
      <c r="H482" s="165" t="s">
        <v>8</v>
      </c>
    </row>
    <row r="483">
      <c r="B483" s="165" t="s">
        <v>8</v>
      </c>
      <c r="C483" s="165" t="s">
        <v>8</v>
      </c>
      <c r="D483" s="165" t="s">
        <v>8</v>
      </c>
      <c r="E483" s="165" t="s">
        <v>8</v>
      </c>
      <c r="F483" s="165" t="s">
        <v>8</v>
      </c>
      <c r="G483" s="165" t="s">
        <v>8</v>
      </c>
      <c r="H483" s="165" t="s">
        <v>8</v>
      </c>
    </row>
    <row r="484">
      <c r="B484" s="165" t="s">
        <v>8</v>
      </c>
      <c r="C484" s="165" t="s">
        <v>8</v>
      </c>
      <c r="D484" s="165" t="s">
        <v>8</v>
      </c>
      <c r="E484" s="165" t="s">
        <v>8</v>
      </c>
      <c r="F484" s="165" t="s">
        <v>8</v>
      </c>
      <c r="G484" s="165" t="s">
        <v>8</v>
      </c>
      <c r="H484" s="165" t="s">
        <v>8</v>
      </c>
    </row>
    <row r="485">
      <c r="B485" s="165" t="s">
        <v>8</v>
      </c>
      <c r="C485" s="165" t="s">
        <v>8</v>
      </c>
      <c r="D485" s="165" t="s">
        <v>8</v>
      </c>
      <c r="E485" s="165" t="s">
        <v>8</v>
      </c>
      <c r="F485" s="165" t="s">
        <v>8</v>
      </c>
      <c r="G485" s="165" t="s">
        <v>8</v>
      </c>
      <c r="H485" s="165" t="s">
        <v>8</v>
      </c>
    </row>
    <row r="486">
      <c r="B486" s="165" t="s">
        <v>8</v>
      </c>
      <c r="C486" s="165" t="s">
        <v>8</v>
      </c>
      <c r="D486" s="165" t="s">
        <v>8</v>
      </c>
      <c r="E486" s="165" t="s">
        <v>8</v>
      </c>
      <c r="F486" s="165" t="s">
        <v>8</v>
      </c>
      <c r="G486" s="165" t="s">
        <v>8</v>
      </c>
      <c r="H486" s="165" t="s">
        <v>8</v>
      </c>
    </row>
    <row r="487">
      <c r="B487" s="165" t="s">
        <v>8</v>
      </c>
      <c r="C487" s="165" t="s">
        <v>8</v>
      </c>
      <c r="D487" s="165" t="s">
        <v>8</v>
      </c>
      <c r="E487" s="165" t="s">
        <v>8</v>
      </c>
      <c r="F487" s="165" t="s">
        <v>8</v>
      </c>
      <c r="G487" s="165" t="s">
        <v>8</v>
      </c>
      <c r="H487" s="165" t="s">
        <v>8</v>
      </c>
    </row>
    <row r="488">
      <c r="B488" s="165" t="s">
        <v>8</v>
      </c>
      <c r="C488" s="165" t="s">
        <v>8</v>
      </c>
      <c r="D488" s="165" t="s">
        <v>8</v>
      </c>
      <c r="E488" s="165" t="s">
        <v>8</v>
      </c>
      <c r="F488" s="165" t="s">
        <v>8</v>
      </c>
      <c r="G488" s="165" t="s">
        <v>8</v>
      </c>
      <c r="H488" s="165" t="s">
        <v>8</v>
      </c>
    </row>
    <row r="489">
      <c r="B489" s="165" t="s">
        <v>8</v>
      </c>
      <c r="C489" s="165" t="s">
        <v>8</v>
      </c>
      <c r="D489" s="165" t="s">
        <v>8</v>
      </c>
      <c r="E489" s="165" t="s">
        <v>8</v>
      </c>
      <c r="F489" s="165" t="s">
        <v>8</v>
      </c>
      <c r="G489" s="165" t="s">
        <v>8</v>
      </c>
      <c r="H489" s="165" t="s">
        <v>8</v>
      </c>
    </row>
    <row r="490">
      <c r="B490" s="165" t="s">
        <v>8</v>
      </c>
      <c r="C490" s="165" t="s">
        <v>8</v>
      </c>
      <c r="D490" s="165" t="s">
        <v>8</v>
      </c>
      <c r="E490" s="165" t="s">
        <v>8</v>
      </c>
      <c r="F490" s="165" t="s">
        <v>8</v>
      </c>
      <c r="G490" s="165" t="s">
        <v>8</v>
      </c>
      <c r="H490" s="165" t="s">
        <v>8</v>
      </c>
    </row>
    <row r="491">
      <c r="B491" s="165" t="s">
        <v>8</v>
      </c>
      <c r="C491" s="165" t="s">
        <v>8</v>
      </c>
      <c r="D491" s="165" t="s">
        <v>8</v>
      </c>
      <c r="E491" s="165" t="s">
        <v>8</v>
      </c>
      <c r="F491" s="165" t="s">
        <v>8</v>
      </c>
      <c r="G491" s="165" t="s">
        <v>8</v>
      </c>
      <c r="H491" s="165" t="s">
        <v>8</v>
      </c>
    </row>
    <row r="492">
      <c r="B492" s="165" t="s">
        <v>8</v>
      </c>
      <c r="C492" s="165" t="s">
        <v>8</v>
      </c>
      <c r="D492" s="165" t="s">
        <v>8</v>
      </c>
      <c r="E492" s="165" t="s">
        <v>8</v>
      </c>
      <c r="F492" s="165" t="s">
        <v>8</v>
      </c>
      <c r="G492" s="165" t="s">
        <v>8</v>
      </c>
      <c r="H492" s="165" t="s">
        <v>8</v>
      </c>
    </row>
    <row r="493">
      <c r="B493" s="165" t="s">
        <v>8</v>
      </c>
      <c r="C493" s="165" t="s">
        <v>8</v>
      </c>
      <c r="D493" s="165" t="s">
        <v>8</v>
      </c>
      <c r="E493" s="165" t="s">
        <v>8</v>
      </c>
      <c r="F493" s="165" t="s">
        <v>8</v>
      </c>
      <c r="G493" s="165" t="s">
        <v>8</v>
      </c>
      <c r="H493" s="165" t="s">
        <v>8</v>
      </c>
    </row>
    <row r="494">
      <c r="B494" s="165" t="s">
        <v>8</v>
      </c>
      <c r="C494" s="165" t="s">
        <v>8</v>
      </c>
      <c r="D494" s="165" t="s">
        <v>8</v>
      </c>
      <c r="E494" s="165" t="s">
        <v>8</v>
      </c>
      <c r="F494" s="165" t="s">
        <v>8</v>
      </c>
      <c r="G494" s="165" t="s">
        <v>8</v>
      </c>
      <c r="H494" s="165" t="s">
        <v>8</v>
      </c>
    </row>
    <row r="495">
      <c r="B495" s="165" t="s">
        <v>8</v>
      </c>
      <c r="C495" s="165" t="s">
        <v>8</v>
      </c>
      <c r="D495" s="165" t="s">
        <v>8</v>
      </c>
      <c r="E495" s="165" t="s">
        <v>8</v>
      </c>
      <c r="F495" s="165" t="s">
        <v>8</v>
      </c>
      <c r="G495" s="165" t="s">
        <v>8</v>
      </c>
      <c r="H495" s="165" t="s">
        <v>8</v>
      </c>
    </row>
    <row r="496">
      <c r="B496" s="165" t="s">
        <v>8</v>
      </c>
      <c r="C496" s="165" t="s">
        <v>8</v>
      </c>
      <c r="D496" s="165" t="s">
        <v>8</v>
      </c>
      <c r="E496" s="165" t="s">
        <v>8</v>
      </c>
      <c r="F496" s="165" t="s">
        <v>8</v>
      </c>
      <c r="G496" s="165" t="s">
        <v>8</v>
      </c>
      <c r="H496" s="165" t="s">
        <v>8</v>
      </c>
    </row>
    <row r="497">
      <c r="B497" s="165" t="s">
        <v>8</v>
      </c>
      <c r="C497" s="165" t="s">
        <v>8</v>
      </c>
      <c r="D497" s="165" t="s">
        <v>8</v>
      </c>
      <c r="E497" s="165" t="s">
        <v>8</v>
      </c>
      <c r="F497" s="165" t="s">
        <v>8</v>
      </c>
      <c r="G497" s="165" t="s">
        <v>8</v>
      </c>
      <c r="H497" s="165" t="s">
        <v>8</v>
      </c>
    </row>
    <row r="498">
      <c r="B498" s="165" t="s">
        <v>8</v>
      </c>
      <c r="C498" s="165" t="s">
        <v>8</v>
      </c>
      <c r="D498" s="165" t="s">
        <v>8</v>
      </c>
      <c r="E498" s="165" t="s">
        <v>8</v>
      </c>
      <c r="F498" s="165" t="s">
        <v>8</v>
      </c>
      <c r="G498" s="165" t="s">
        <v>8</v>
      </c>
      <c r="H498" s="165" t="s">
        <v>8</v>
      </c>
    </row>
    <row r="499">
      <c r="B499" s="165" t="s">
        <v>8</v>
      </c>
      <c r="C499" s="165" t="s">
        <v>8</v>
      </c>
      <c r="D499" s="165" t="s">
        <v>8</v>
      </c>
      <c r="E499" s="165" t="s">
        <v>8</v>
      </c>
      <c r="F499" s="165" t="s">
        <v>8</v>
      </c>
      <c r="G499" s="165" t="s">
        <v>8</v>
      </c>
      <c r="H499" s="165" t="s">
        <v>8</v>
      </c>
    </row>
    <row r="500">
      <c r="B500" s="165" t="s">
        <v>8</v>
      </c>
      <c r="C500" s="165" t="s">
        <v>8</v>
      </c>
      <c r="D500" s="165" t="s">
        <v>8</v>
      </c>
      <c r="E500" s="165" t="s">
        <v>8</v>
      </c>
      <c r="F500" s="165" t="s">
        <v>8</v>
      </c>
      <c r="G500" s="165" t="s">
        <v>8</v>
      </c>
      <c r="H500" s="165" t="s">
        <v>8</v>
      </c>
    </row>
    <row r="501">
      <c r="B501" s="165" t="s">
        <v>8</v>
      </c>
      <c r="C501" s="165" t="s">
        <v>8</v>
      </c>
      <c r="D501" s="165" t="s">
        <v>8</v>
      </c>
      <c r="E501" s="165" t="s">
        <v>8</v>
      </c>
      <c r="F501" s="165" t="s">
        <v>8</v>
      </c>
      <c r="G501" s="165" t="s">
        <v>8</v>
      </c>
      <c r="H501" s="165" t="s">
        <v>8</v>
      </c>
    </row>
    <row r="502">
      <c r="B502" s="165" t="s">
        <v>8</v>
      </c>
      <c r="C502" s="165" t="s">
        <v>8</v>
      </c>
      <c r="D502" s="165" t="s">
        <v>8</v>
      </c>
      <c r="E502" s="165" t="s">
        <v>8</v>
      </c>
      <c r="F502" s="165" t="s">
        <v>8</v>
      </c>
      <c r="G502" s="165" t="s">
        <v>8</v>
      </c>
      <c r="H502" s="165" t="s">
        <v>8</v>
      </c>
    </row>
    <row r="503">
      <c r="B503" s="165" t="s">
        <v>8</v>
      </c>
      <c r="C503" s="165" t="s">
        <v>8</v>
      </c>
      <c r="D503" s="165" t="s">
        <v>8</v>
      </c>
      <c r="E503" s="165" t="s">
        <v>8</v>
      </c>
      <c r="F503" s="165" t="s">
        <v>8</v>
      </c>
      <c r="G503" s="165" t="s">
        <v>8</v>
      </c>
      <c r="H503" s="165" t="s">
        <v>8</v>
      </c>
    </row>
    <row r="504">
      <c r="B504" s="165" t="s">
        <v>8</v>
      </c>
      <c r="C504" s="165" t="s">
        <v>8</v>
      </c>
      <c r="D504" s="165" t="s">
        <v>8</v>
      </c>
      <c r="E504" s="165" t="s">
        <v>8</v>
      </c>
      <c r="F504" s="165" t="s">
        <v>8</v>
      </c>
      <c r="G504" s="165" t="s">
        <v>8</v>
      </c>
      <c r="H504" s="165" t="s">
        <v>8</v>
      </c>
    </row>
    <row r="505">
      <c r="B505" s="165" t="s">
        <v>8</v>
      </c>
      <c r="C505" s="165" t="s">
        <v>8</v>
      </c>
      <c r="D505" s="165" t="s">
        <v>8</v>
      </c>
      <c r="E505" s="165" t="s">
        <v>8</v>
      </c>
      <c r="F505" s="165" t="s">
        <v>8</v>
      </c>
      <c r="G505" s="165" t="s">
        <v>8</v>
      </c>
      <c r="H505" s="165" t="s">
        <v>8</v>
      </c>
    </row>
    <row r="506">
      <c r="B506" s="165" t="s">
        <v>8</v>
      </c>
      <c r="C506" s="165" t="s">
        <v>8</v>
      </c>
      <c r="D506" s="165" t="s">
        <v>8</v>
      </c>
      <c r="E506" s="165" t="s">
        <v>8</v>
      </c>
      <c r="F506" s="165" t="s">
        <v>8</v>
      </c>
      <c r="G506" s="165" t="s">
        <v>8</v>
      </c>
      <c r="H506" s="165" t="s">
        <v>8</v>
      </c>
    </row>
    <row r="507">
      <c r="B507" s="165" t="s">
        <v>8</v>
      </c>
      <c r="C507" s="165" t="s">
        <v>8</v>
      </c>
      <c r="D507" s="165" t="s">
        <v>8</v>
      </c>
      <c r="E507" s="165" t="s">
        <v>8</v>
      </c>
      <c r="F507" s="165" t="s">
        <v>8</v>
      </c>
      <c r="G507" s="165" t="s">
        <v>8</v>
      </c>
      <c r="H507" s="165" t="s">
        <v>8</v>
      </c>
    </row>
    <row r="508">
      <c r="B508" s="165" t="s">
        <v>8</v>
      </c>
      <c r="C508" s="165" t="s">
        <v>8</v>
      </c>
      <c r="D508" s="165" t="s">
        <v>8</v>
      </c>
      <c r="E508" s="165" t="s">
        <v>8</v>
      </c>
      <c r="F508" s="165" t="s">
        <v>8</v>
      </c>
      <c r="G508" s="165" t="s">
        <v>8</v>
      </c>
      <c r="H508" s="165" t="s">
        <v>8</v>
      </c>
    </row>
    <row r="509">
      <c r="B509" s="165" t="s">
        <v>8</v>
      </c>
      <c r="C509" s="165" t="s">
        <v>8</v>
      </c>
      <c r="D509" s="165" t="s">
        <v>8</v>
      </c>
      <c r="E509" s="165" t="s">
        <v>8</v>
      </c>
      <c r="F509" s="165" t="s">
        <v>8</v>
      </c>
      <c r="G509" s="165" t="s">
        <v>8</v>
      </c>
      <c r="H509" s="165" t="s">
        <v>8</v>
      </c>
    </row>
    <row r="510">
      <c r="B510" s="165" t="s">
        <v>8</v>
      </c>
      <c r="C510" s="165" t="s">
        <v>8</v>
      </c>
      <c r="D510" s="165" t="s">
        <v>8</v>
      </c>
      <c r="E510" s="165" t="s">
        <v>8</v>
      </c>
      <c r="F510" s="165" t="s">
        <v>8</v>
      </c>
      <c r="G510" s="165" t="s">
        <v>8</v>
      </c>
      <c r="H510" s="165" t="s">
        <v>8</v>
      </c>
    </row>
    <row r="511">
      <c r="B511" s="165" t="s">
        <v>8</v>
      </c>
      <c r="C511" s="165" t="s">
        <v>8</v>
      </c>
      <c r="D511" s="165" t="s">
        <v>8</v>
      </c>
      <c r="E511" s="165" t="s">
        <v>8</v>
      </c>
      <c r="F511" s="165" t="s">
        <v>8</v>
      </c>
      <c r="G511" s="165" t="s">
        <v>8</v>
      </c>
      <c r="H511" s="165" t="s">
        <v>8</v>
      </c>
    </row>
    <row r="512">
      <c r="B512" s="165" t="s">
        <v>8</v>
      </c>
      <c r="C512" s="165" t="s">
        <v>8</v>
      </c>
      <c r="D512" s="165" t="s">
        <v>8</v>
      </c>
      <c r="E512" s="165" t="s">
        <v>8</v>
      </c>
      <c r="F512" s="165" t="s">
        <v>8</v>
      </c>
      <c r="G512" s="165" t="s">
        <v>8</v>
      </c>
      <c r="H512" s="165" t="s">
        <v>8</v>
      </c>
    </row>
    <row r="513">
      <c r="B513" s="165" t="s">
        <v>8</v>
      </c>
      <c r="C513" s="165" t="s">
        <v>8</v>
      </c>
      <c r="D513" s="165" t="s">
        <v>8</v>
      </c>
      <c r="E513" s="165" t="s">
        <v>8</v>
      </c>
      <c r="F513" s="165" t="s">
        <v>8</v>
      </c>
      <c r="G513" s="165" t="s">
        <v>8</v>
      </c>
      <c r="H513" s="165" t="s">
        <v>8</v>
      </c>
    </row>
    <row r="514">
      <c r="B514" s="165" t="s">
        <v>8</v>
      </c>
      <c r="C514" s="165" t="s">
        <v>8</v>
      </c>
      <c r="D514" s="165" t="s">
        <v>8</v>
      </c>
      <c r="E514" s="165" t="s">
        <v>8</v>
      </c>
      <c r="F514" s="165" t="s">
        <v>8</v>
      </c>
      <c r="G514" s="165" t="s">
        <v>8</v>
      </c>
      <c r="H514" s="165" t="s">
        <v>8</v>
      </c>
    </row>
    <row r="515">
      <c r="B515" s="165" t="s">
        <v>8</v>
      </c>
      <c r="C515" s="165" t="s">
        <v>8</v>
      </c>
      <c r="D515" s="165" t="s">
        <v>8</v>
      </c>
      <c r="E515" s="165" t="s">
        <v>8</v>
      </c>
      <c r="F515" s="165" t="s">
        <v>8</v>
      </c>
      <c r="G515" s="165" t="s">
        <v>8</v>
      </c>
      <c r="H515" s="165" t="s">
        <v>8</v>
      </c>
    </row>
    <row r="516">
      <c r="B516" s="165" t="s">
        <v>8</v>
      </c>
      <c r="C516" s="165" t="s">
        <v>8</v>
      </c>
      <c r="D516" s="165" t="s">
        <v>8</v>
      </c>
      <c r="E516" s="165" t="s">
        <v>8</v>
      </c>
      <c r="F516" s="165" t="s">
        <v>8</v>
      </c>
      <c r="G516" s="165" t="s">
        <v>8</v>
      </c>
      <c r="H516" s="165" t="s">
        <v>8</v>
      </c>
    </row>
    <row r="517">
      <c r="B517" s="165" t="s">
        <v>8</v>
      </c>
      <c r="C517" s="165" t="s">
        <v>8</v>
      </c>
      <c r="D517" s="165" t="s">
        <v>8</v>
      </c>
      <c r="E517" s="165" t="s">
        <v>8</v>
      </c>
      <c r="F517" s="165" t="s">
        <v>8</v>
      </c>
      <c r="G517" s="165" t="s">
        <v>8</v>
      </c>
      <c r="H517" s="165" t="s">
        <v>8</v>
      </c>
    </row>
    <row r="518">
      <c r="B518" s="165" t="s">
        <v>8</v>
      </c>
      <c r="C518" s="165" t="s">
        <v>8</v>
      </c>
      <c r="D518" s="165" t="s">
        <v>8</v>
      </c>
      <c r="E518" s="165" t="s">
        <v>8</v>
      </c>
      <c r="F518" s="165" t="s">
        <v>8</v>
      </c>
      <c r="G518" s="165" t="s">
        <v>8</v>
      </c>
      <c r="H518" s="165" t="s">
        <v>8</v>
      </c>
    </row>
    <row r="519">
      <c r="B519" s="165" t="s">
        <v>8</v>
      </c>
      <c r="C519" s="165" t="s">
        <v>8</v>
      </c>
      <c r="D519" s="165" t="s">
        <v>8</v>
      </c>
      <c r="E519" s="165" t="s">
        <v>8</v>
      </c>
      <c r="F519" s="165" t="s">
        <v>8</v>
      </c>
      <c r="G519" s="165" t="s">
        <v>8</v>
      </c>
      <c r="H519" s="165" t="s">
        <v>8</v>
      </c>
    </row>
    <row r="520">
      <c r="B520" s="165" t="s">
        <v>8</v>
      </c>
      <c r="C520" s="165" t="s">
        <v>8</v>
      </c>
      <c r="D520" s="165" t="s">
        <v>8</v>
      </c>
      <c r="E520" s="165" t="s">
        <v>8</v>
      </c>
      <c r="F520" s="165" t="s">
        <v>8</v>
      </c>
      <c r="G520" s="165" t="s">
        <v>8</v>
      </c>
      <c r="H520" s="165" t="s">
        <v>8</v>
      </c>
    </row>
    <row r="521">
      <c r="B521" s="165" t="s">
        <v>8</v>
      </c>
      <c r="C521" s="165" t="s">
        <v>8</v>
      </c>
      <c r="D521" s="165" t="s">
        <v>8</v>
      </c>
      <c r="E521" s="165" t="s">
        <v>8</v>
      </c>
      <c r="F521" s="165" t="s">
        <v>8</v>
      </c>
      <c r="G521" s="165" t="s">
        <v>8</v>
      </c>
      <c r="H521" s="165" t="s">
        <v>8</v>
      </c>
    </row>
    <row r="522">
      <c r="B522" s="165" t="s">
        <v>8</v>
      </c>
      <c r="C522" s="165" t="s">
        <v>8</v>
      </c>
      <c r="D522" s="165" t="s">
        <v>8</v>
      </c>
      <c r="E522" s="165" t="s">
        <v>8</v>
      </c>
      <c r="F522" s="165" t="s">
        <v>8</v>
      </c>
      <c r="G522" s="165" t="s">
        <v>8</v>
      </c>
      <c r="H522" s="165" t="s">
        <v>8</v>
      </c>
    </row>
    <row r="523">
      <c r="B523" s="165" t="s">
        <v>8</v>
      </c>
      <c r="C523" s="165" t="s">
        <v>8</v>
      </c>
      <c r="D523" s="165" t="s">
        <v>8</v>
      </c>
      <c r="E523" s="165" t="s">
        <v>8</v>
      </c>
      <c r="F523" s="165" t="s">
        <v>8</v>
      </c>
      <c r="G523" s="165" t="s">
        <v>8</v>
      </c>
      <c r="H523" s="165" t="s">
        <v>8</v>
      </c>
    </row>
    <row r="524">
      <c r="B524" s="165" t="s">
        <v>8</v>
      </c>
      <c r="C524" s="165" t="s">
        <v>8</v>
      </c>
      <c r="D524" s="165" t="s">
        <v>8</v>
      </c>
      <c r="E524" s="165" t="s">
        <v>8</v>
      </c>
      <c r="F524" s="165" t="s">
        <v>8</v>
      </c>
      <c r="G524" s="165" t="s">
        <v>8</v>
      </c>
      <c r="H524" s="165" t="s">
        <v>8</v>
      </c>
    </row>
    <row r="525">
      <c r="B525" s="165" t="s">
        <v>8</v>
      </c>
      <c r="C525" s="165" t="s">
        <v>8</v>
      </c>
      <c r="D525" s="165" t="s">
        <v>8</v>
      </c>
      <c r="E525" s="165" t="s">
        <v>8</v>
      </c>
      <c r="F525" s="165" t="s">
        <v>8</v>
      </c>
      <c r="G525" s="165" t="s">
        <v>8</v>
      </c>
      <c r="H525" s="165" t="s">
        <v>8</v>
      </c>
    </row>
    <row r="526">
      <c r="B526" s="165" t="s">
        <v>8</v>
      </c>
      <c r="C526" s="165" t="s">
        <v>8</v>
      </c>
      <c r="D526" s="165" t="s">
        <v>8</v>
      </c>
      <c r="E526" s="165" t="s">
        <v>8</v>
      </c>
      <c r="F526" s="165" t="s">
        <v>8</v>
      </c>
      <c r="G526" s="165" t="s">
        <v>8</v>
      </c>
      <c r="H526" s="165" t="s">
        <v>8</v>
      </c>
    </row>
    <row r="527">
      <c r="B527" s="165" t="s">
        <v>8</v>
      </c>
      <c r="C527" s="165" t="s">
        <v>8</v>
      </c>
      <c r="D527" s="165" t="s">
        <v>8</v>
      </c>
      <c r="E527" s="165" t="s">
        <v>8</v>
      </c>
      <c r="F527" s="165" t="s">
        <v>8</v>
      </c>
      <c r="G527" s="165" t="s">
        <v>8</v>
      </c>
      <c r="H527" s="165" t="s">
        <v>8</v>
      </c>
    </row>
    <row r="528">
      <c r="B528" s="165" t="s">
        <v>8</v>
      </c>
      <c r="C528" s="165" t="s">
        <v>8</v>
      </c>
      <c r="D528" s="165" t="s">
        <v>8</v>
      </c>
      <c r="E528" s="165" t="s">
        <v>8</v>
      </c>
      <c r="F528" s="165" t="s">
        <v>8</v>
      </c>
      <c r="G528" s="165" t="s">
        <v>8</v>
      </c>
      <c r="H528" s="165" t="s">
        <v>8</v>
      </c>
    </row>
    <row r="529">
      <c r="B529" s="165" t="s">
        <v>8</v>
      </c>
      <c r="C529" s="165" t="s">
        <v>8</v>
      </c>
      <c r="D529" s="165" t="s">
        <v>8</v>
      </c>
      <c r="E529" s="165" t="s">
        <v>8</v>
      </c>
      <c r="F529" s="165" t="s">
        <v>8</v>
      </c>
      <c r="G529" s="165" t="s">
        <v>8</v>
      </c>
      <c r="H529" s="165" t="s">
        <v>8</v>
      </c>
    </row>
    <row r="530">
      <c r="B530" s="165" t="s">
        <v>8</v>
      </c>
      <c r="C530" s="165" t="s">
        <v>8</v>
      </c>
      <c r="D530" s="165" t="s">
        <v>8</v>
      </c>
      <c r="E530" s="165" t="s">
        <v>8</v>
      </c>
      <c r="F530" s="165" t="s">
        <v>8</v>
      </c>
      <c r="G530" s="165" t="s">
        <v>8</v>
      </c>
      <c r="H530" s="165" t="s">
        <v>8</v>
      </c>
    </row>
    <row r="531">
      <c r="B531" s="165" t="s">
        <v>8</v>
      </c>
      <c r="C531" s="165" t="s">
        <v>8</v>
      </c>
      <c r="D531" s="165" t="s">
        <v>8</v>
      </c>
      <c r="E531" s="165" t="s">
        <v>8</v>
      </c>
      <c r="F531" s="165" t="s">
        <v>8</v>
      </c>
      <c r="G531" s="165" t="s">
        <v>8</v>
      </c>
      <c r="H531" s="165" t="s">
        <v>8</v>
      </c>
    </row>
    <row r="532">
      <c r="B532" s="165" t="s">
        <v>8</v>
      </c>
      <c r="C532" s="165" t="s">
        <v>8</v>
      </c>
      <c r="D532" s="165" t="s">
        <v>8</v>
      </c>
      <c r="E532" s="165" t="s">
        <v>8</v>
      </c>
      <c r="F532" s="165" t="s">
        <v>8</v>
      </c>
      <c r="G532" s="165" t="s">
        <v>8</v>
      </c>
      <c r="H532" s="165" t="s">
        <v>8</v>
      </c>
    </row>
    <row r="533">
      <c r="B533" s="165" t="s">
        <v>8</v>
      </c>
      <c r="C533" s="165" t="s">
        <v>8</v>
      </c>
      <c r="D533" s="165" t="s">
        <v>8</v>
      </c>
      <c r="E533" s="165" t="s">
        <v>8</v>
      </c>
      <c r="F533" s="165" t="s">
        <v>8</v>
      </c>
      <c r="G533" s="165" t="s">
        <v>8</v>
      </c>
      <c r="H533" s="165" t="s">
        <v>8</v>
      </c>
    </row>
    <row r="534">
      <c r="B534" s="165" t="s">
        <v>8</v>
      </c>
      <c r="C534" s="165" t="s">
        <v>8</v>
      </c>
      <c r="D534" s="165" t="s">
        <v>8</v>
      </c>
      <c r="E534" s="165" t="s">
        <v>8</v>
      </c>
      <c r="F534" s="165" t="s">
        <v>8</v>
      </c>
      <c r="G534" s="165" t="s">
        <v>8</v>
      </c>
      <c r="H534" s="165" t="s">
        <v>8</v>
      </c>
    </row>
    <row r="535">
      <c r="B535" s="165" t="s">
        <v>8</v>
      </c>
      <c r="C535" s="165" t="s">
        <v>8</v>
      </c>
      <c r="D535" s="165" t="s">
        <v>8</v>
      </c>
      <c r="E535" s="165" t="s">
        <v>8</v>
      </c>
      <c r="F535" s="165" t="s">
        <v>8</v>
      </c>
      <c r="G535" s="165" t="s">
        <v>8</v>
      </c>
      <c r="H535" s="165" t="s">
        <v>8</v>
      </c>
    </row>
    <row r="536">
      <c r="B536" s="165" t="s">
        <v>8</v>
      </c>
      <c r="C536" s="165" t="s">
        <v>8</v>
      </c>
      <c r="D536" s="165" t="s">
        <v>8</v>
      </c>
      <c r="E536" s="165" t="s">
        <v>8</v>
      </c>
      <c r="F536" s="165" t="s">
        <v>8</v>
      </c>
      <c r="G536" s="165" t="s">
        <v>8</v>
      </c>
      <c r="H536" s="165" t="s">
        <v>8</v>
      </c>
    </row>
    <row r="537">
      <c r="B537" s="165" t="s">
        <v>8</v>
      </c>
      <c r="C537" s="165" t="s">
        <v>8</v>
      </c>
      <c r="D537" s="165" t="s">
        <v>8</v>
      </c>
      <c r="E537" s="165" t="s">
        <v>8</v>
      </c>
      <c r="F537" s="165" t="s">
        <v>8</v>
      </c>
      <c r="G537" s="165" t="s">
        <v>8</v>
      </c>
      <c r="H537" s="165" t="s">
        <v>8</v>
      </c>
    </row>
    <row r="538">
      <c r="B538" s="165" t="s">
        <v>8</v>
      </c>
      <c r="C538" s="165" t="s">
        <v>8</v>
      </c>
      <c r="D538" s="165" t="s">
        <v>8</v>
      </c>
      <c r="E538" s="165" t="s">
        <v>8</v>
      </c>
      <c r="F538" s="165" t="s">
        <v>8</v>
      </c>
      <c r="G538" s="165" t="s">
        <v>8</v>
      </c>
      <c r="H538" s="165" t="s">
        <v>8</v>
      </c>
    </row>
    <row r="539">
      <c r="B539" s="165" t="s">
        <v>8</v>
      </c>
      <c r="C539" s="165" t="s">
        <v>8</v>
      </c>
      <c r="D539" s="165" t="s">
        <v>8</v>
      </c>
      <c r="E539" s="165" t="s">
        <v>8</v>
      </c>
      <c r="F539" s="165" t="s">
        <v>8</v>
      </c>
      <c r="G539" s="165" t="s">
        <v>8</v>
      </c>
      <c r="H539" s="165" t="s">
        <v>8</v>
      </c>
    </row>
    <row r="540">
      <c r="B540" s="165" t="s">
        <v>8</v>
      </c>
      <c r="C540" s="165" t="s">
        <v>8</v>
      </c>
      <c r="D540" s="165" t="s">
        <v>8</v>
      </c>
      <c r="E540" s="165" t="s">
        <v>8</v>
      </c>
      <c r="F540" s="165" t="s">
        <v>8</v>
      </c>
      <c r="G540" s="165" t="s">
        <v>8</v>
      </c>
      <c r="H540" s="165" t="s">
        <v>8</v>
      </c>
    </row>
    <row r="541">
      <c r="B541" s="165" t="s">
        <v>8</v>
      </c>
      <c r="C541" s="165" t="s">
        <v>8</v>
      </c>
      <c r="D541" s="165" t="s">
        <v>8</v>
      </c>
      <c r="E541" s="165" t="s">
        <v>8</v>
      </c>
      <c r="F541" s="165" t="s">
        <v>8</v>
      </c>
      <c r="G541" s="165" t="s">
        <v>8</v>
      </c>
      <c r="H541" s="165" t="s">
        <v>8</v>
      </c>
    </row>
    <row r="542">
      <c r="B542" s="165" t="s">
        <v>8</v>
      </c>
      <c r="C542" s="165" t="s">
        <v>8</v>
      </c>
      <c r="D542" s="165" t="s">
        <v>8</v>
      </c>
      <c r="E542" s="165" t="s">
        <v>8</v>
      </c>
      <c r="F542" s="165" t="s">
        <v>8</v>
      </c>
      <c r="G542" s="165" t="s">
        <v>8</v>
      </c>
      <c r="H542" s="165" t="s">
        <v>8</v>
      </c>
    </row>
    <row r="543">
      <c r="B543" s="165" t="s">
        <v>8</v>
      </c>
      <c r="C543" s="165" t="s">
        <v>8</v>
      </c>
      <c r="D543" s="165" t="s">
        <v>8</v>
      </c>
      <c r="E543" s="165" t="s">
        <v>8</v>
      </c>
      <c r="F543" s="165" t="s">
        <v>8</v>
      </c>
      <c r="G543" s="165" t="s">
        <v>8</v>
      </c>
      <c r="H543" s="165" t="s">
        <v>8</v>
      </c>
    </row>
    <row r="544">
      <c r="B544" s="165" t="s">
        <v>8</v>
      </c>
      <c r="C544" s="165" t="s">
        <v>8</v>
      </c>
      <c r="D544" s="165" t="s">
        <v>8</v>
      </c>
      <c r="E544" s="165" t="s">
        <v>8</v>
      </c>
      <c r="F544" s="165" t="s">
        <v>8</v>
      </c>
      <c r="G544" s="165" t="s">
        <v>8</v>
      </c>
      <c r="H544" s="165" t="s">
        <v>8</v>
      </c>
    </row>
    <row r="545">
      <c r="B545" s="165" t="s">
        <v>8</v>
      </c>
      <c r="C545" s="165" t="s">
        <v>8</v>
      </c>
      <c r="D545" s="165" t="s">
        <v>8</v>
      </c>
      <c r="E545" s="165" t="s">
        <v>8</v>
      </c>
      <c r="F545" s="165" t="s">
        <v>8</v>
      </c>
      <c r="G545" s="165" t="s">
        <v>8</v>
      </c>
      <c r="H545" s="165" t="s">
        <v>8</v>
      </c>
    </row>
    <row r="546">
      <c r="B546" s="165" t="s">
        <v>8</v>
      </c>
      <c r="C546" s="165" t="s">
        <v>8</v>
      </c>
      <c r="D546" s="165" t="s">
        <v>8</v>
      </c>
      <c r="E546" s="165" t="s">
        <v>8</v>
      </c>
      <c r="F546" s="165" t="s">
        <v>8</v>
      </c>
      <c r="G546" s="165" t="s">
        <v>8</v>
      </c>
      <c r="H546" s="165" t="s">
        <v>8</v>
      </c>
    </row>
    <row r="547">
      <c r="B547" s="165" t="s">
        <v>8</v>
      </c>
      <c r="C547" s="165" t="s">
        <v>8</v>
      </c>
      <c r="D547" s="165" t="s">
        <v>8</v>
      </c>
      <c r="E547" s="165" t="s">
        <v>8</v>
      </c>
      <c r="F547" s="165" t="s">
        <v>8</v>
      </c>
      <c r="G547" s="165" t="s">
        <v>8</v>
      </c>
      <c r="H547" s="165" t="s">
        <v>8</v>
      </c>
    </row>
    <row r="548">
      <c r="B548" s="165" t="s">
        <v>8</v>
      </c>
      <c r="C548" s="165" t="s">
        <v>8</v>
      </c>
      <c r="D548" s="165" t="s">
        <v>8</v>
      </c>
      <c r="E548" s="165" t="s">
        <v>8</v>
      </c>
      <c r="F548" s="165" t="s">
        <v>8</v>
      </c>
      <c r="G548" s="165" t="s">
        <v>8</v>
      </c>
      <c r="H548" s="165" t="s">
        <v>8</v>
      </c>
    </row>
    <row r="549">
      <c r="B549" s="165" t="s">
        <v>8</v>
      </c>
      <c r="C549" s="165" t="s">
        <v>8</v>
      </c>
      <c r="D549" s="165" t="s">
        <v>8</v>
      </c>
      <c r="E549" s="165" t="s">
        <v>8</v>
      </c>
      <c r="F549" s="165" t="s">
        <v>8</v>
      </c>
      <c r="G549" s="165" t="s">
        <v>8</v>
      </c>
      <c r="H549" s="165" t="s">
        <v>8</v>
      </c>
    </row>
    <row r="550">
      <c r="B550" s="165" t="s">
        <v>8</v>
      </c>
      <c r="C550" s="165" t="s">
        <v>8</v>
      </c>
      <c r="D550" s="165" t="s">
        <v>8</v>
      </c>
      <c r="E550" s="165" t="s">
        <v>8</v>
      </c>
      <c r="F550" s="165" t="s">
        <v>8</v>
      </c>
      <c r="G550" s="165" t="s">
        <v>8</v>
      </c>
      <c r="H550" s="165" t="s">
        <v>8</v>
      </c>
    </row>
    <row r="551">
      <c r="B551" s="165" t="s">
        <v>8</v>
      </c>
      <c r="C551" s="165" t="s">
        <v>8</v>
      </c>
      <c r="D551" s="165" t="s">
        <v>8</v>
      </c>
      <c r="E551" s="165" t="s">
        <v>8</v>
      </c>
      <c r="F551" s="165" t="s">
        <v>8</v>
      </c>
      <c r="G551" s="165" t="s">
        <v>8</v>
      </c>
      <c r="H551" s="165" t="s">
        <v>8</v>
      </c>
    </row>
    <row r="552">
      <c r="B552" s="165" t="s">
        <v>8</v>
      </c>
      <c r="C552" s="165" t="s">
        <v>8</v>
      </c>
      <c r="D552" s="165" t="s">
        <v>8</v>
      </c>
      <c r="E552" s="165" t="s">
        <v>8</v>
      </c>
      <c r="F552" s="165" t="s">
        <v>8</v>
      </c>
      <c r="G552" s="165" t="s">
        <v>8</v>
      </c>
      <c r="H552" s="165" t="s">
        <v>8</v>
      </c>
    </row>
    <row r="553">
      <c r="B553" s="165" t="s">
        <v>8</v>
      </c>
      <c r="C553" s="165" t="s">
        <v>8</v>
      </c>
      <c r="D553" s="165" t="s">
        <v>8</v>
      </c>
      <c r="E553" s="165" t="s">
        <v>8</v>
      </c>
      <c r="F553" s="165" t="s">
        <v>8</v>
      </c>
      <c r="G553" s="165" t="s">
        <v>8</v>
      </c>
      <c r="H553" s="165" t="s">
        <v>8</v>
      </c>
    </row>
    <row r="554">
      <c r="B554" s="165" t="s">
        <v>8</v>
      </c>
      <c r="C554" s="165" t="s">
        <v>8</v>
      </c>
      <c r="D554" s="165" t="s">
        <v>8</v>
      </c>
      <c r="E554" s="165" t="s">
        <v>8</v>
      </c>
      <c r="F554" s="165" t="s">
        <v>8</v>
      </c>
      <c r="G554" s="165" t="s">
        <v>8</v>
      </c>
      <c r="H554" s="165" t="s">
        <v>8</v>
      </c>
    </row>
    <row r="555">
      <c r="B555" s="165" t="s">
        <v>8</v>
      </c>
      <c r="C555" s="165" t="s">
        <v>8</v>
      </c>
      <c r="D555" s="165" t="s">
        <v>8</v>
      </c>
      <c r="E555" s="165" t="s">
        <v>8</v>
      </c>
      <c r="F555" s="165" t="s">
        <v>8</v>
      </c>
      <c r="G555" s="165" t="s">
        <v>8</v>
      </c>
      <c r="H555" s="165" t="s">
        <v>8</v>
      </c>
    </row>
    <row r="556">
      <c r="B556" s="165" t="s">
        <v>8</v>
      </c>
      <c r="C556" s="165" t="s">
        <v>8</v>
      </c>
      <c r="D556" s="165" t="s">
        <v>8</v>
      </c>
      <c r="E556" s="165" t="s">
        <v>8</v>
      </c>
      <c r="F556" s="165" t="s">
        <v>8</v>
      </c>
      <c r="G556" s="165" t="s">
        <v>8</v>
      </c>
      <c r="H556" s="165" t="s">
        <v>8</v>
      </c>
    </row>
    <row r="557">
      <c r="B557" s="165" t="s">
        <v>8</v>
      </c>
      <c r="C557" s="165" t="s">
        <v>8</v>
      </c>
      <c r="D557" s="165" t="s">
        <v>8</v>
      </c>
      <c r="E557" s="165" t="s">
        <v>8</v>
      </c>
      <c r="F557" s="165" t="s">
        <v>8</v>
      </c>
      <c r="G557" s="165" t="s">
        <v>8</v>
      </c>
      <c r="H557" s="165" t="s">
        <v>8</v>
      </c>
    </row>
    <row r="558">
      <c r="B558" s="165" t="s">
        <v>8</v>
      </c>
      <c r="C558" s="165" t="s">
        <v>8</v>
      </c>
      <c r="D558" s="165" t="s">
        <v>8</v>
      </c>
      <c r="E558" s="165" t="s">
        <v>8</v>
      </c>
      <c r="F558" s="165" t="s">
        <v>8</v>
      </c>
      <c r="G558" s="165" t="s">
        <v>8</v>
      </c>
      <c r="H558" s="165" t="s">
        <v>8</v>
      </c>
    </row>
    <row r="559">
      <c r="B559" s="165" t="s">
        <v>8</v>
      </c>
      <c r="C559" s="165" t="s">
        <v>8</v>
      </c>
      <c r="D559" s="165" t="s">
        <v>8</v>
      </c>
      <c r="E559" s="165" t="s">
        <v>8</v>
      </c>
      <c r="F559" s="165" t="s">
        <v>8</v>
      </c>
      <c r="G559" s="165" t="s">
        <v>8</v>
      </c>
      <c r="H559" s="165" t="s">
        <v>8</v>
      </c>
    </row>
    <row r="560">
      <c r="B560" s="165" t="s">
        <v>8</v>
      </c>
      <c r="C560" s="165" t="s">
        <v>8</v>
      </c>
      <c r="D560" s="165" t="s">
        <v>8</v>
      </c>
      <c r="E560" s="165" t="s">
        <v>8</v>
      </c>
      <c r="F560" s="165" t="s">
        <v>8</v>
      </c>
      <c r="G560" s="165" t="s">
        <v>8</v>
      </c>
      <c r="H560" s="165" t="s">
        <v>8</v>
      </c>
    </row>
    <row r="561">
      <c r="B561" s="165" t="s">
        <v>8</v>
      </c>
      <c r="C561" s="165" t="s">
        <v>8</v>
      </c>
      <c r="D561" s="165" t="s">
        <v>8</v>
      </c>
      <c r="E561" s="165" t="s">
        <v>8</v>
      </c>
      <c r="F561" s="165" t="s">
        <v>8</v>
      </c>
      <c r="G561" s="165" t="s">
        <v>8</v>
      </c>
      <c r="H561" s="165" t="s">
        <v>8</v>
      </c>
    </row>
    <row r="562">
      <c r="B562" s="165" t="s">
        <v>8</v>
      </c>
      <c r="C562" s="165" t="s">
        <v>8</v>
      </c>
      <c r="D562" s="165" t="s">
        <v>8</v>
      </c>
      <c r="E562" s="165" t="s">
        <v>8</v>
      </c>
      <c r="F562" s="165" t="s">
        <v>8</v>
      </c>
      <c r="G562" s="165" t="s">
        <v>8</v>
      </c>
      <c r="H562" s="165" t="s">
        <v>8</v>
      </c>
    </row>
    <row r="563">
      <c r="B563" s="165" t="s">
        <v>8</v>
      </c>
      <c r="C563" s="165" t="s">
        <v>8</v>
      </c>
      <c r="D563" s="165" t="s">
        <v>8</v>
      </c>
      <c r="E563" s="165" t="s">
        <v>8</v>
      </c>
      <c r="F563" s="165" t="s">
        <v>8</v>
      </c>
      <c r="G563" s="165" t="s">
        <v>8</v>
      </c>
      <c r="H563" s="165" t="s">
        <v>8</v>
      </c>
    </row>
    <row r="564">
      <c r="B564" s="165" t="s">
        <v>8</v>
      </c>
      <c r="C564" s="165" t="s">
        <v>8</v>
      </c>
      <c r="D564" s="165" t="s">
        <v>8</v>
      </c>
      <c r="E564" s="165" t="s">
        <v>8</v>
      </c>
      <c r="F564" s="165" t="s">
        <v>8</v>
      </c>
      <c r="G564" s="165" t="s">
        <v>8</v>
      </c>
      <c r="H564" s="165" t="s">
        <v>8</v>
      </c>
    </row>
    <row r="565">
      <c r="B565" s="165" t="s">
        <v>8</v>
      </c>
      <c r="C565" s="165" t="s">
        <v>8</v>
      </c>
      <c r="D565" s="165" t="s">
        <v>8</v>
      </c>
      <c r="E565" s="165" t="s">
        <v>8</v>
      </c>
      <c r="F565" s="165" t="s">
        <v>8</v>
      </c>
      <c r="G565" s="165" t="s">
        <v>8</v>
      </c>
      <c r="H565" s="165" t="s">
        <v>8</v>
      </c>
    </row>
    <row r="566">
      <c r="B566" s="165" t="s">
        <v>8</v>
      </c>
      <c r="C566" s="165" t="s">
        <v>8</v>
      </c>
      <c r="D566" s="165" t="s">
        <v>8</v>
      </c>
      <c r="E566" s="165" t="s">
        <v>8</v>
      </c>
      <c r="F566" s="165" t="s">
        <v>8</v>
      </c>
      <c r="G566" s="165" t="s">
        <v>8</v>
      </c>
      <c r="H566" s="165" t="s">
        <v>8</v>
      </c>
    </row>
    <row r="567">
      <c r="B567" s="165" t="s">
        <v>8</v>
      </c>
      <c r="C567" s="165" t="s">
        <v>8</v>
      </c>
      <c r="D567" s="165" t="s">
        <v>8</v>
      </c>
      <c r="E567" s="165" t="s">
        <v>8</v>
      </c>
      <c r="F567" s="165" t="s">
        <v>8</v>
      </c>
      <c r="G567" s="165" t="s">
        <v>8</v>
      </c>
      <c r="H567" s="165" t="s">
        <v>8</v>
      </c>
    </row>
    <row r="568">
      <c r="B568" s="165" t="s">
        <v>8</v>
      </c>
      <c r="C568" s="165" t="s">
        <v>8</v>
      </c>
      <c r="D568" s="165" t="s">
        <v>8</v>
      </c>
      <c r="E568" s="165" t="s">
        <v>8</v>
      </c>
      <c r="F568" s="165" t="s">
        <v>8</v>
      </c>
      <c r="G568" s="165" t="s">
        <v>8</v>
      </c>
      <c r="H568" s="165" t="s">
        <v>8</v>
      </c>
    </row>
    <row r="569">
      <c r="B569" s="165" t="s">
        <v>8</v>
      </c>
      <c r="C569" s="165" t="s">
        <v>8</v>
      </c>
      <c r="D569" s="165" t="s">
        <v>8</v>
      </c>
      <c r="E569" s="165" t="s">
        <v>8</v>
      </c>
      <c r="F569" s="165" t="s">
        <v>8</v>
      </c>
      <c r="G569" s="165" t="s">
        <v>8</v>
      </c>
      <c r="H569" s="165" t="s">
        <v>8</v>
      </c>
    </row>
    <row r="570">
      <c r="B570" s="165" t="s">
        <v>8</v>
      </c>
      <c r="C570" s="165" t="s">
        <v>8</v>
      </c>
      <c r="D570" s="165" t="s">
        <v>8</v>
      </c>
      <c r="E570" s="165" t="s">
        <v>8</v>
      </c>
      <c r="F570" s="165" t="s">
        <v>8</v>
      </c>
      <c r="G570" s="165" t="s">
        <v>8</v>
      </c>
      <c r="H570" s="165" t="s">
        <v>8</v>
      </c>
    </row>
    <row r="571">
      <c r="B571" s="165" t="s">
        <v>8</v>
      </c>
      <c r="C571" s="165" t="s">
        <v>8</v>
      </c>
      <c r="D571" s="165" t="s">
        <v>8</v>
      </c>
      <c r="E571" s="165" t="s">
        <v>8</v>
      </c>
      <c r="F571" s="165" t="s">
        <v>8</v>
      </c>
      <c r="G571" s="165" t="s">
        <v>8</v>
      </c>
      <c r="H571" s="165" t="s">
        <v>8</v>
      </c>
    </row>
    <row r="572">
      <c r="B572" s="165" t="s">
        <v>8</v>
      </c>
      <c r="C572" s="165" t="s">
        <v>8</v>
      </c>
      <c r="D572" s="165" t="s">
        <v>8</v>
      </c>
      <c r="E572" s="165" t="s">
        <v>8</v>
      </c>
      <c r="F572" s="165" t="s">
        <v>8</v>
      </c>
      <c r="G572" s="165" t="s">
        <v>8</v>
      </c>
      <c r="H572" s="165" t="s">
        <v>8</v>
      </c>
    </row>
    <row r="573">
      <c r="B573" s="165" t="s">
        <v>8</v>
      </c>
      <c r="C573" s="165" t="s">
        <v>8</v>
      </c>
      <c r="D573" s="165" t="s">
        <v>8</v>
      </c>
      <c r="E573" s="165" t="s">
        <v>8</v>
      </c>
      <c r="F573" s="165" t="s">
        <v>8</v>
      </c>
      <c r="G573" s="165" t="s">
        <v>8</v>
      </c>
      <c r="H573" s="165" t="s">
        <v>8</v>
      </c>
    </row>
    <row r="574">
      <c r="B574" s="165" t="s">
        <v>8</v>
      </c>
      <c r="C574" s="165" t="s">
        <v>8</v>
      </c>
      <c r="D574" s="165" t="s">
        <v>8</v>
      </c>
      <c r="E574" s="165" t="s">
        <v>8</v>
      </c>
      <c r="F574" s="165" t="s">
        <v>8</v>
      </c>
      <c r="G574" s="165" t="s">
        <v>8</v>
      </c>
      <c r="H574" s="165" t="s">
        <v>8</v>
      </c>
    </row>
    <row r="575">
      <c r="B575" s="165" t="s">
        <v>8</v>
      </c>
      <c r="C575" s="165" t="s">
        <v>8</v>
      </c>
      <c r="D575" s="165" t="s">
        <v>8</v>
      </c>
      <c r="E575" s="165" t="s">
        <v>8</v>
      </c>
      <c r="F575" s="165" t="s">
        <v>8</v>
      </c>
      <c r="G575" s="165" t="s">
        <v>8</v>
      </c>
      <c r="H575" s="165" t="s">
        <v>8</v>
      </c>
    </row>
    <row r="576">
      <c r="B576" s="165" t="s">
        <v>8</v>
      </c>
      <c r="C576" s="165" t="s">
        <v>8</v>
      </c>
      <c r="D576" s="165" t="s">
        <v>8</v>
      </c>
      <c r="E576" s="165" t="s">
        <v>8</v>
      </c>
      <c r="F576" s="165" t="s">
        <v>8</v>
      </c>
      <c r="G576" s="165" t="s">
        <v>8</v>
      </c>
      <c r="H576" s="165" t="s">
        <v>8</v>
      </c>
    </row>
    <row r="577">
      <c r="B577" s="165" t="s">
        <v>8</v>
      </c>
      <c r="C577" s="165" t="s">
        <v>8</v>
      </c>
      <c r="D577" s="165" t="s">
        <v>8</v>
      </c>
      <c r="E577" s="165" t="s">
        <v>8</v>
      </c>
      <c r="F577" s="165" t="s">
        <v>8</v>
      </c>
      <c r="G577" s="165" t="s">
        <v>8</v>
      </c>
      <c r="H577" s="165" t="s">
        <v>8</v>
      </c>
    </row>
    <row r="578">
      <c r="B578" s="165" t="s">
        <v>8</v>
      </c>
      <c r="C578" s="165" t="s">
        <v>8</v>
      </c>
      <c r="D578" s="165" t="s">
        <v>8</v>
      </c>
      <c r="E578" s="165" t="s">
        <v>8</v>
      </c>
      <c r="F578" s="165" t="s">
        <v>8</v>
      </c>
      <c r="G578" s="165" t="s">
        <v>8</v>
      </c>
      <c r="H578" s="165" t="s">
        <v>8</v>
      </c>
    </row>
    <row r="579">
      <c r="B579" s="165" t="s">
        <v>8</v>
      </c>
      <c r="C579" s="165" t="s">
        <v>8</v>
      </c>
      <c r="D579" s="165" t="s">
        <v>8</v>
      </c>
      <c r="E579" s="165" t="s">
        <v>8</v>
      </c>
      <c r="F579" s="165" t="s">
        <v>8</v>
      </c>
      <c r="G579" s="165" t="s">
        <v>8</v>
      </c>
      <c r="H579" s="165" t="s">
        <v>8</v>
      </c>
    </row>
    <row r="580">
      <c r="B580" s="165" t="s">
        <v>8</v>
      </c>
      <c r="C580" s="165" t="s">
        <v>8</v>
      </c>
      <c r="D580" s="165" t="s">
        <v>8</v>
      </c>
      <c r="E580" s="165" t="s">
        <v>8</v>
      </c>
      <c r="F580" s="165" t="s">
        <v>8</v>
      </c>
      <c r="G580" s="165" t="s">
        <v>8</v>
      </c>
      <c r="H580" s="165" t="s">
        <v>8</v>
      </c>
    </row>
    <row r="581">
      <c r="B581" s="165" t="s">
        <v>8</v>
      </c>
      <c r="C581" s="165" t="s">
        <v>8</v>
      </c>
      <c r="D581" s="165" t="s">
        <v>8</v>
      </c>
      <c r="E581" s="165" t="s">
        <v>8</v>
      </c>
      <c r="F581" s="165" t="s">
        <v>8</v>
      </c>
      <c r="G581" s="165" t="s">
        <v>8</v>
      </c>
      <c r="H581" s="165" t="s">
        <v>8</v>
      </c>
    </row>
    <row r="582">
      <c r="B582" s="165" t="s">
        <v>8</v>
      </c>
      <c r="C582" s="165" t="s">
        <v>8</v>
      </c>
      <c r="D582" s="165" t="s">
        <v>8</v>
      </c>
      <c r="E582" s="165" t="s">
        <v>8</v>
      </c>
      <c r="F582" s="165" t="s">
        <v>8</v>
      </c>
      <c r="G582" s="165" t="s">
        <v>8</v>
      </c>
      <c r="H582" s="165" t="s">
        <v>8</v>
      </c>
    </row>
    <row r="583">
      <c r="B583" s="165" t="s">
        <v>8</v>
      </c>
      <c r="C583" s="165" t="s">
        <v>8</v>
      </c>
      <c r="D583" s="165" t="s">
        <v>8</v>
      </c>
      <c r="E583" s="165" t="s">
        <v>8</v>
      </c>
      <c r="F583" s="165" t="s">
        <v>8</v>
      </c>
      <c r="G583" s="165" t="s">
        <v>8</v>
      </c>
      <c r="H583" s="165" t="s">
        <v>8</v>
      </c>
    </row>
    <row r="584">
      <c r="B584" s="165" t="s">
        <v>8</v>
      </c>
      <c r="C584" s="165" t="s">
        <v>8</v>
      </c>
      <c r="D584" s="165" t="s">
        <v>8</v>
      </c>
      <c r="E584" s="165" t="s">
        <v>8</v>
      </c>
      <c r="F584" s="165" t="s">
        <v>8</v>
      </c>
      <c r="G584" s="165" t="s">
        <v>8</v>
      </c>
      <c r="H584" s="165" t="s">
        <v>8</v>
      </c>
    </row>
    <row r="585">
      <c r="B585" s="165" t="s">
        <v>8</v>
      </c>
      <c r="C585" s="165" t="s">
        <v>8</v>
      </c>
      <c r="D585" s="165" t="s">
        <v>8</v>
      </c>
      <c r="E585" s="165" t="s">
        <v>8</v>
      </c>
      <c r="F585" s="165" t="s">
        <v>8</v>
      </c>
      <c r="G585" s="165" t="s">
        <v>8</v>
      </c>
      <c r="H585" s="165" t="s">
        <v>8</v>
      </c>
    </row>
    <row r="586">
      <c r="B586" s="165" t="s">
        <v>8</v>
      </c>
      <c r="C586" s="165" t="s">
        <v>8</v>
      </c>
      <c r="D586" s="165" t="s">
        <v>8</v>
      </c>
      <c r="E586" s="165" t="s">
        <v>8</v>
      </c>
      <c r="F586" s="165" t="s">
        <v>8</v>
      </c>
      <c r="G586" s="165" t="s">
        <v>8</v>
      </c>
      <c r="H586" s="165" t="s">
        <v>8</v>
      </c>
    </row>
    <row r="587">
      <c r="B587" s="165" t="s">
        <v>8</v>
      </c>
      <c r="C587" s="165" t="s">
        <v>8</v>
      </c>
      <c r="D587" s="165" t="s">
        <v>8</v>
      </c>
      <c r="E587" s="165" t="s">
        <v>8</v>
      </c>
      <c r="F587" s="165" t="s">
        <v>8</v>
      </c>
      <c r="G587" s="165" t="s">
        <v>8</v>
      </c>
      <c r="H587" s="165" t="s">
        <v>8</v>
      </c>
    </row>
    <row r="588">
      <c r="B588" s="165" t="s">
        <v>8</v>
      </c>
      <c r="C588" s="165" t="s">
        <v>8</v>
      </c>
      <c r="D588" s="165" t="s">
        <v>8</v>
      </c>
      <c r="E588" s="165" t="s">
        <v>8</v>
      </c>
      <c r="F588" s="165" t="s">
        <v>8</v>
      </c>
      <c r="G588" s="165" t="s">
        <v>8</v>
      </c>
      <c r="H588" s="165" t="s">
        <v>8</v>
      </c>
    </row>
    <row r="589">
      <c r="B589" s="165" t="s">
        <v>8</v>
      </c>
      <c r="C589" s="165" t="s">
        <v>8</v>
      </c>
      <c r="D589" s="165" t="s">
        <v>8</v>
      </c>
      <c r="E589" s="165" t="s">
        <v>8</v>
      </c>
      <c r="F589" s="165" t="s">
        <v>8</v>
      </c>
      <c r="G589" s="165" t="s">
        <v>8</v>
      </c>
      <c r="H589" s="165" t="s">
        <v>8</v>
      </c>
    </row>
    <row r="590">
      <c r="B590" s="165" t="s">
        <v>8</v>
      </c>
      <c r="C590" s="165" t="s">
        <v>8</v>
      </c>
      <c r="D590" s="165" t="s">
        <v>8</v>
      </c>
      <c r="E590" s="165" t="s">
        <v>8</v>
      </c>
      <c r="F590" s="165" t="s">
        <v>8</v>
      </c>
      <c r="G590" s="165" t="s">
        <v>8</v>
      </c>
      <c r="H590" s="165" t="s">
        <v>8</v>
      </c>
    </row>
    <row r="591">
      <c r="B591" s="165" t="s">
        <v>8</v>
      </c>
      <c r="C591" s="165" t="s">
        <v>8</v>
      </c>
      <c r="D591" s="165" t="s">
        <v>8</v>
      </c>
      <c r="E591" s="165" t="s">
        <v>8</v>
      </c>
      <c r="F591" s="165" t="s">
        <v>8</v>
      </c>
      <c r="G591" s="165" t="s">
        <v>8</v>
      </c>
      <c r="H591" s="165" t="s">
        <v>8</v>
      </c>
    </row>
    <row r="592">
      <c r="B592" s="165" t="s">
        <v>8</v>
      </c>
      <c r="C592" s="165" t="s">
        <v>8</v>
      </c>
      <c r="D592" s="165" t="s">
        <v>8</v>
      </c>
      <c r="E592" s="165" t="s">
        <v>8</v>
      </c>
      <c r="F592" s="165" t="s">
        <v>8</v>
      </c>
      <c r="G592" s="165" t="s">
        <v>8</v>
      </c>
      <c r="H592" s="165" t="s">
        <v>8</v>
      </c>
    </row>
    <row r="593">
      <c r="B593" s="165" t="s">
        <v>8</v>
      </c>
      <c r="C593" s="165" t="s">
        <v>8</v>
      </c>
      <c r="D593" s="165" t="s">
        <v>8</v>
      </c>
      <c r="E593" s="165" t="s">
        <v>8</v>
      </c>
      <c r="F593" s="165" t="s">
        <v>8</v>
      </c>
      <c r="G593" s="165" t="s">
        <v>8</v>
      </c>
      <c r="H593" s="165" t="s">
        <v>8</v>
      </c>
    </row>
    <row r="594">
      <c r="B594" s="165" t="s">
        <v>8</v>
      </c>
      <c r="C594" s="165" t="s">
        <v>8</v>
      </c>
      <c r="D594" s="165" t="s">
        <v>8</v>
      </c>
      <c r="E594" s="165" t="s">
        <v>8</v>
      </c>
      <c r="F594" s="165" t="s">
        <v>8</v>
      </c>
      <c r="G594" s="165" t="s">
        <v>8</v>
      </c>
      <c r="H594" s="165" t="s">
        <v>8</v>
      </c>
    </row>
    <row r="595">
      <c r="B595" s="165" t="s">
        <v>8</v>
      </c>
      <c r="C595" s="165" t="s">
        <v>8</v>
      </c>
      <c r="D595" s="165" t="s">
        <v>8</v>
      </c>
      <c r="E595" s="165" t="s">
        <v>8</v>
      </c>
      <c r="F595" s="165" t="s">
        <v>8</v>
      </c>
      <c r="G595" s="165" t="s">
        <v>8</v>
      </c>
      <c r="H595" s="165" t="s">
        <v>8</v>
      </c>
    </row>
    <row r="596">
      <c r="B596" s="165" t="s">
        <v>8</v>
      </c>
      <c r="C596" s="165" t="s">
        <v>8</v>
      </c>
      <c r="D596" s="165" t="s">
        <v>8</v>
      </c>
      <c r="E596" s="165" t="s">
        <v>8</v>
      </c>
      <c r="F596" s="165" t="s">
        <v>8</v>
      </c>
      <c r="G596" s="165" t="s">
        <v>8</v>
      </c>
      <c r="H596" s="165" t="s">
        <v>8</v>
      </c>
    </row>
    <row r="597">
      <c r="B597" s="165" t="s">
        <v>8</v>
      </c>
      <c r="C597" s="165" t="s">
        <v>8</v>
      </c>
      <c r="D597" s="165" t="s">
        <v>8</v>
      </c>
      <c r="E597" s="165" t="s">
        <v>8</v>
      </c>
      <c r="F597" s="165" t="s">
        <v>8</v>
      </c>
      <c r="G597" s="165" t="s">
        <v>8</v>
      </c>
      <c r="H597" s="165" t="s">
        <v>8</v>
      </c>
    </row>
    <row r="598">
      <c r="B598" s="165" t="s">
        <v>8</v>
      </c>
      <c r="C598" s="165" t="s">
        <v>8</v>
      </c>
      <c r="D598" s="165" t="s">
        <v>8</v>
      </c>
      <c r="E598" s="165" t="s">
        <v>8</v>
      </c>
      <c r="F598" s="165" t="s">
        <v>8</v>
      </c>
      <c r="G598" s="165" t="s">
        <v>8</v>
      </c>
      <c r="H598" s="165" t="s">
        <v>8</v>
      </c>
    </row>
    <row r="599">
      <c r="B599" s="165" t="s">
        <v>8</v>
      </c>
      <c r="C599" s="165" t="s">
        <v>8</v>
      </c>
      <c r="D599" s="165" t="s">
        <v>8</v>
      </c>
      <c r="E599" s="165" t="s">
        <v>8</v>
      </c>
      <c r="F599" s="165" t="s">
        <v>8</v>
      </c>
      <c r="G599" s="165" t="s">
        <v>8</v>
      </c>
      <c r="H599" s="165" t="s">
        <v>8</v>
      </c>
    </row>
    <row r="600">
      <c r="B600" s="165" t="s">
        <v>8</v>
      </c>
      <c r="C600" s="165" t="s">
        <v>8</v>
      </c>
      <c r="D600" s="165" t="s">
        <v>8</v>
      </c>
      <c r="E600" s="165" t="s">
        <v>8</v>
      </c>
      <c r="F600" s="165" t="s">
        <v>8</v>
      </c>
      <c r="G600" s="165" t="s">
        <v>8</v>
      </c>
      <c r="H600" s="165" t="s">
        <v>8</v>
      </c>
    </row>
    <row r="601">
      <c r="B601" s="165" t="s">
        <v>8</v>
      </c>
      <c r="C601" s="165" t="s">
        <v>8</v>
      </c>
      <c r="D601" s="165" t="s">
        <v>8</v>
      </c>
      <c r="E601" s="165" t="s">
        <v>8</v>
      </c>
      <c r="F601" s="165" t="s">
        <v>8</v>
      </c>
      <c r="G601" s="165" t="s">
        <v>8</v>
      </c>
      <c r="H601" s="165" t="s">
        <v>8</v>
      </c>
    </row>
    <row r="602">
      <c r="B602" s="165" t="s">
        <v>8</v>
      </c>
      <c r="C602" s="165" t="s">
        <v>8</v>
      </c>
      <c r="D602" s="165" t="s">
        <v>8</v>
      </c>
      <c r="E602" s="165" t="s">
        <v>8</v>
      </c>
      <c r="F602" s="165" t="s">
        <v>8</v>
      </c>
      <c r="G602" s="165" t="s">
        <v>8</v>
      </c>
      <c r="H602" s="165" t="s">
        <v>8</v>
      </c>
    </row>
    <row r="603">
      <c r="B603" s="165" t="s">
        <v>8</v>
      </c>
      <c r="C603" s="165" t="s">
        <v>8</v>
      </c>
      <c r="D603" s="165" t="s">
        <v>8</v>
      </c>
      <c r="E603" s="165" t="s">
        <v>8</v>
      </c>
      <c r="F603" s="165" t="s">
        <v>8</v>
      </c>
      <c r="G603" s="165" t="s">
        <v>8</v>
      </c>
      <c r="H603" s="165" t="s">
        <v>8</v>
      </c>
    </row>
    <row r="604">
      <c r="B604" s="165" t="s">
        <v>8</v>
      </c>
      <c r="C604" s="165" t="s">
        <v>8</v>
      </c>
      <c r="D604" s="165" t="s">
        <v>8</v>
      </c>
      <c r="E604" s="165" t="s">
        <v>8</v>
      </c>
      <c r="F604" s="165" t="s">
        <v>8</v>
      </c>
      <c r="G604" s="165" t="s">
        <v>8</v>
      </c>
      <c r="H604" s="165" t="s">
        <v>8</v>
      </c>
    </row>
    <row r="605">
      <c r="B605" s="165" t="s">
        <v>8</v>
      </c>
      <c r="C605" s="165" t="s">
        <v>8</v>
      </c>
      <c r="D605" s="165" t="s">
        <v>8</v>
      </c>
      <c r="E605" s="165" t="s">
        <v>8</v>
      </c>
      <c r="F605" s="165" t="s">
        <v>8</v>
      </c>
      <c r="G605" s="165" t="s">
        <v>8</v>
      </c>
      <c r="H605" s="165" t="s">
        <v>8</v>
      </c>
    </row>
    <row r="606">
      <c r="B606" s="165" t="s">
        <v>8</v>
      </c>
      <c r="C606" s="165" t="s">
        <v>8</v>
      </c>
      <c r="D606" s="165" t="s">
        <v>8</v>
      </c>
      <c r="E606" s="165" t="s">
        <v>8</v>
      </c>
      <c r="F606" s="165" t="s">
        <v>8</v>
      </c>
      <c r="G606" s="165" t="s">
        <v>8</v>
      </c>
      <c r="H606" s="165" t="s">
        <v>8</v>
      </c>
    </row>
    <row r="607">
      <c r="B607" s="165" t="s">
        <v>8</v>
      </c>
      <c r="C607" s="165" t="s">
        <v>8</v>
      </c>
      <c r="D607" s="165" t="s">
        <v>8</v>
      </c>
      <c r="E607" s="165" t="s">
        <v>8</v>
      </c>
      <c r="F607" s="165" t="s">
        <v>8</v>
      </c>
      <c r="G607" s="165" t="s">
        <v>8</v>
      </c>
      <c r="H607" s="165" t="s">
        <v>8</v>
      </c>
    </row>
    <row r="608">
      <c r="B608" s="165" t="s">
        <v>8</v>
      </c>
      <c r="C608" s="165" t="s">
        <v>8</v>
      </c>
      <c r="D608" s="165" t="s">
        <v>8</v>
      </c>
      <c r="E608" s="165" t="s">
        <v>8</v>
      </c>
      <c r="F608" s="165" t="s">
        <v>8</v>
      </c>
      <c r="G608" s="165" t="s">
        <v>8</v>
      </c>
      <c r="H608" s="165" t="s">
        <v>8</v>
      </c>
    </row>
    <row r="609">
      <c r="B609" s="165" t="s">
        <v>8</v>
      </c>
      <c r="C609" s="165" t="s">
        <v>8</v>
      </c>
      <c r="D609" s="165" t="s">
        <v>8</v>
      </c>
      <c r="E609" s="165" t="s">
        <v>8</v>
      </c>
      <c r="F609" s="165" t="s">
        <v>8</v>
      </c>
      <c r="G609" s="165" t="s">
        <v>8</v>
      </c>
      <c r="H609" s="165" t="s">
        <v>8</v>
      </c>
    </row>
    <row r="610">
      <c r="B610" s="165" t="s">
        <v>8</v>
      </c>
      <c r="C610" s="165" t="s">
        <v>8</v>
      </c>
      <c r="D610" s="165" t="s">
        <v>8</v>
      </c>
      <c r="E610" s="165" t="s">
        <v>8</v>
      </c>
      <c r="F610" s="165" t="s">
        <v>8</v>
      </c>
      <c r="G610" s="165" t="s">
        <v>8</v>
      </c>
      <c r="H610" s="165" t="s">
        <v>8</v>
      </c>
    </row>
    <row r="611">
      <c r="B611" s="165" t="s">
        <v>8</v>
      </c>
      <c r="C611" s="165" t="s">
        <v>8</v>
      </c>
      <c r="D611" s="165" t="s">
        <v>8</v>
      </c>
      <c r="E611" s="165" t="s">
        <v>8</v>
      </c>
      <c r="F611" s="165" t="s">
        <v>8</v>
      </c>
      <c r="G611" s="165" t="s">
        <v>8</v>
      </c>
      <c r="H611" s="165" t="s">
        <v>8</v>
      </c>
    </row>
    <row r="612">
      <c r="B612" s="165" t="s">
        <v>8</v>
      </c>
      <c r="C612" s="165" t="s">
        <v>8</v>
      </c>
      <c r="D612" s="165" t="s">
        <v>8</v>
      </c>
      <c r="E612" s="165" t="s">
        <v>8</v>
      </c>
      <c r="F612" s="165" t="s">
        <v>8</v>
      </c>
      <c r="G612" s="165" t="s">
        <v>8</v>
      </c>
      <c r="H612" s="165" t="s">
        <v>8</v>
      </c>
    </row>
    <row r="613">
      <c r="B613" s="165" t="s">
        <v>8</v>
      </c>
      <c r="C613" s="165" t="s">
        <v>8</v>
      </c>
      <c r="D613" s="165" t="s">
        <v>8</v>
      </c>
      <c r="E613" s="165" t="s">
        <v>8</v>
      </c>
      <c r="F613" s="165" t="s">
        <v>8</v>
      </c>
      <c r="G613" s="165" t="s">
        <v>8</v>
      </c>
      <c r="H613" s="165" t="s">
        <v>8</v>
      </c>
    </row>
    <row r="614">
      <c r="B614" s="165" t="s">
        <v>8</v>
      </c>
      <c r="C614" s="165" t="s">
        <v>8</v>
      </c>
      <c r="D614" s="165" t="s">
        <v>8</v>
      </c>
      <c r="E614" s="165" t="s">
        <v>8</v>
      </c>
      <c r="F614" s="165" t="s">
        <v>8</v>
      </c>
      <c r="G614" s="165" t="s">
        <v>8</v>
      </c>
      <c r="H614" s="165" t="s">
        <v>8</v>
      </c>
    </row>
    <row r="615">
      <c r="B615" s="165" t="s">
        <v>8</v>
      </c>
      <c r="C615" s="165" t="s">
        <v>8</v>
      </c>
      <c r="D615" s="165" t="s">
        <v>8</v>
      </c>
      <c r="E615" s="165" t="s">
        <v>8</v>
      </c>
      <c r="F615" s="165" t="s">
        <v>8</v>
      </c>
      <c r="G615" s="165" t="s">
        <v>8</v>
      </c>
      <c r="H615" s="165" t="s">
        <v>8</v>
      </c>
    </row>
    <row r="616">
      <c r="B616" s="165" t="s">
        <v>8</v>
      </c>
      <c r="C616" s="165" t="s">
        <v>8</v>
      </c>
      <c r="D616" s="165" t="s">
        <v>8</v>
      </c>
      <c r="E616" s="165" t="s">
        <v>8</v>
      </c>
      <c r="F616" s="165" t="s">
        <v>8</v>
      </c>
      <c r="G616" s="165" t="s">
        <v>8</v>
      </c>
      <c r="H616" s="165" t="s">
        <v>8</v>
      </c>
    </row>
    <row r="617">
      <c r="B617" s="165" t="s">
        <v>8</v>
      </c>
      <c r="C617" s="165" t="s">
        <v>8</v>
      </c>
      <c r="D617" s="165" t="s">
        <v>8</v>
      </c>
      <c r="E617" s="165" t="s">
        <v>8</v>
      </c>
      <c r="F617" s="165" t="s">
        <v>8</v>
      </c>
      <c r="G617" s="165" t="s">
        <v>8</v>
      </c>
      <c r="H617" s="165" t="s">
        <v>8</v>
      </c>
    </row>
    <row r="618">
      <c r="B618" s="165" t="s">
        <v>8</v>
      </c>
      <c r="C618" s="165" t="s">
        <v>8</v>
      </c>
      <c r="D618" s="165" t="s">
        <v>8</v>
      </c>
      <c r="E618" s="165" t="s">
        <v>8</v>
      </c>
      <c r="F618" s="165" t="s">
        <v>8</v>
      </c>
      <c r="G618" s="165" t="s">
        <v>8</v>
      </c>
      <c r="H618" s="165" t="s">
        <v>8</v>
      </c>
    </row>
    <row r="619">
      <c r="B619" s="165" t="s">
        <v>8</v>
      </c>
      <c r="C619" s="165" t="s">
        <v>8</v>
      </c>
      <c r="D619" s="165" t="s">
        <v>8</v>
      </c>
      <c r="E619" s="165" t="s">
        <v>8</v>
      </c>
      <c r="F619" s="165" t="s">
        <v>8</v>
      </c>
      <c r="G619" s="165" t="s">
        <v>8</v>
      </c>
      <c r="H619" s="165" t="s">
        <v>8</v>
      </c>
    </row>
    <row r="620">
      <c r="B620" s="165" t="s">
        <v>8</v>
      </c>
      <c r="C620" s="165" t="s">
        <v>8</v>
      </c>
      <c r="D620" s="165" t="s">
        <v>8</v>
      </c>
      <c r="E620" s="165" t="s">
        <v>8</v>
      </c>
      <c r="F620" s="165" t="s">
        <v>8</v>
      </c>
      <c r="G620" s="165" t="s">
        <v>8</v>
      </c>
      <c r="H620" s="165" t="s">
        <v>8</v>
      </c>
    </row>
    <row r="621">
      <c r="B621" s="165" t="s">
        <v>8</v>
      </c>
      <c r="C621" s="165" t="s">
        <v>8</v>
      </c>
      <c r="D621" s="165" t="s">
        <v>8</v>
      </c>
      <c r="E621" s="165" t="s">
        <v>8</v>
      </c>
      <c r="F621" s="165" t="s">
        <v>8</v>
      </c>
      <c r="G621" s="165" t="s">
        <v>8</v>
      </c>
      <c r="H621" s="165" t="s">
        <v>8</v>
      </c>
    </row>
    <row r="622">
      <c r="B622" s="165" t="s">
        <v>8</v>
      </c>
      <c r="C622" s="165" t="s">
        <v>8</v>
      </c>
      <c r="D622" s="165" t="s">
        <v>8</v>
      </c>
      <c r="E622" s="165" t="s">
        <v>8</v>
      </c>
      <c r="F622" s="165" t="s">
        <v>8</v>
      </c>
      <c r="G622" s="165" t="s">
        <v>8</v>
      </c>
      <c r="H622" s="165" t="s">
        <v>8</v>
      </c>
    </row>
    <row r="623">
      <c r="B623" s="165" t="s">
        <v>8</v>
      </c>
      <c r="C623" s="165" t="s">
        <v>8</v>
      </c>
      <c r="D623" s="165" t="s">
        <v>8</v>
      </c>
      <c r="E623" s="165" t="s">
        <v>8</v>
      </c>
      <c r="F623" s="165" t="s">
        <v>8</v>
      </c>
      <c r="G623" s="165" t="s">
        <v>8</v>
      </c>
      <c r="H623" s="165" t="s">
        <v>8</v>
      </c>
    </row>
    <row r="624">
      <c r="B624" s="165" t="s">
        <v>8</v>
      </c>
      <c r="C624" s="165" t="s">
        <v>8</v>
      </c>
      <c r="D624" s="165" t="s">
        <v>8</v>
      </c>
      <c r="E624" s="165" t="s">
        <v>8</v>
      </c>
      <c r="F624" s="165" t="s">
        <v>8</v>
      </c>
      <c r="G624" s="165" t="s">
        <v>8</v>
      </c>
      <c r="H624" s="165" t="s">
        <v>8</v>
      </c>
    </row>
    <row r="625">
      <c r="B625" s="165" t="s">
        <v>8</v>
      </c>
      <c r="C625" s="165" t="s">
        <v>8</v>
      </c>
      <c r="D625" s="165" t="s">
        <v>8</v>
      </c>
      <c r="E625" s="165" t="s">
        <v>8</v>
      </c>
      <c r="F625" s="165" t="s">
        <v>8</v>
      </c>
      <c r="G625" s="165" t="s">
        <v>8</v>
      </c>
      <c r="H625" s="165" t="s">
        <v>8</v>
      </c>
    </row>
    <row r="626">
      <c r="B626" s="165" t="s">
        <v>8</v>
      </c>
      <c r="C626" s="165" t="s">
        <v>8</v>
      </c>
      <c r="D626" s="165" t="s">
        <v>8</v>
      </c>
      <c r="E626" s="165" t="s">
        <v>8</v>
      </c>
      <c r="F626" s="165" t="s">
        <v>8</v>
      </c>
      <c r="G626" s="165" t="s">
        <v>8</v>
      </c>
      <c r="H626" s="165" t="s">
        <v>8</v>
      </c>
    </row>
    <row r="627">
      <c r="B627" s="165" t="s">
        <v>8</v>
      </c>
      <c r="C627" s="165" t="s">
        <v>8</v>
      </c>
      <c r="D627" s="165" t="s">
        <v>8</v>
      </c>
      <c r="E627" s="165" t="s">
        <v>8</v>
      </c>
      <c r="F627" s="165" t="s">
        <v>8</v>
      </c>
      <c r="G627" s="165" t="s">
        <v>8</v>
      </c>
      <c r="H627" s="165" t="s">
        <v>8</v>
      </c>
    </row>
    <row r="628">
      <c r="B628" s="165" t="s">
        <v>8</v>
      </c>
      <c r="C628" s="165" t="s">
        <v>8</v>
      </c>
      <c r="D628" s="165" t="s">
        <v>8</v>
      </c>
      <c r="E628" s="165" t="s">
        <v>8</v>
      </c>
      <c r="F628" s="165" t="s">
        <v>8</v>
      </c>
      <c r="G628" s="165" t="s">
        <v>8</v>
      </c>
      <c r="H628" s="165" t="s">
        <v>8</v>
      </c>
    </row>
    <row r="629">
      <c r="B629" s="165" t="s">
        <v>8</v>
      </c>
      <c r="C629" s="165" t="s">
        <v>8</v>
      </c>
      <c r="D629" s="165" t="s">
        <v>8</v>
      </c>
      <c r="E629" s="165" t="s">
        <v>8</v>
      </c>
      <c r="F629" s="165" t="s">
        <v>8</v>
      </c>
      <c r="G629" s="165" t="s">
        <v>8</v>
      </c>
      <c r="H629" s="165" t="s">
        <v>8</v>
      </c>
    </row>
    <row r="630">
      <c r="B630" s="165" t="s">
        <v>8</v>
      </c>
      <c r="C630" s="165" t="s">
        <v>8</v>
      </c>
      <c r="D630" s="165" t="s">
        <v>8</v>
      </c>
      <c r="E630" s="165" t="s">
        <v>8</v>
      </c>
      <c r="F630" s="165" t="s">
        <v>8</v>
      </c>
      <c r="G630" s="165" t="s">
        <v>8</v>
      </c>
      <c r="H630" s="165" t="s">
        <v>8</v>
      </c>
    </row>
    <row r="631">
      <c r="B631" s="165" t="s">
        <v>8</v>
      </c>
      <c r="C631" s="165" t="s">
        <v>8</v>
      </c>
      <c r="D631" s="165" t="s">
        <v>8</v>
      </c>
      <c r="E631" s="165" t="s">
        <v>8</v>
      </c>
      <c r="F631" s="165" t="s">
        <v>8</v>
      </c>
      <c r="G631" s="165" t="s">
        <v>8</v>
      </c>
      <c r="H631" s="165" t="s">
        <v>8</v>
      </c>
    </row>
    <row r="632">
      <c r="B632" s="165" t="s">
        <v>8</v>
      </c>
      <c r="C632" s="165" t="s">
        <v>8</v>
      </c>
      <c r="D632" s="165" t="s">
        <v>8</v>
      </c>
      <c r="E632" s="165" t="s">
        <v>8</v>
      </c>
      <c r="F632" s="165" t="s">
        <v>8</v>
      </c>
      <c r="G632" s="165" t="s">
        <v>8</v>
      </c>
      <c r="H632" s="165" t="s">
        <v>8</v>
      </c>
    </row>
    <row r="633">
      <c r="B633" s="165" t="s">
        <v>8</v>
      </c>
      <c r="C633" s="165" t="s">
        <v>8</v>
      </c>
      <c r="D633" s="165" t="s">
        <v>8</v>
      </c>
      <c r="E633" s="165" t="s">
        <v>8</v>
      </c>
      <c r="F633" s="165" t="s">
        <v>8</v>
      </c>
      <c r="G633" s="165" t="s">
        <v>8</v>
      </c>
      <c r="H633" s="165" t="s">
        <v>8</v>
      </c>
    </row>
    <row r="634">
      <c r="B634" s="165" t="s">
        <v>8</v>
      </c>
      <c r="C634" s="165" t="s">
        <v>8</v>
      </c>
      <c r="D634" s="165" t="s">
        <v>8</v>
      </c>
      <c r="E634" s="165" t="s">
        <v>8</v>
      </c>
      <c r="F634" s="165" t="s">
        <v>8</v>
      </c>
      <c r="G634" s="165" t="s">
        <v>8</v>
      </c>
      <c r="H634" s="165" t="s">
        <v>8</v>
      </c>
    </row>
    <row r="635">
      <c r="B635" s="165" t="s">
        <v>8</v>
      </c>
      <c r="C635" s="165" t="s">
        <v>8</v>
      </c>
      <c r="D635" s="165" t="s">
        <v>8</v>
      </c>
      <c r="E635" s="165" t="s">
        <v>8</v>
      </c>
      <c r="F635" s="165" t="s">
        <v>8</v>
      </c>
      <c r="G635" s="165" t="s">
        <v>8</v>
      </c>
      <c r="H635" s="165" t="s">
        <v>8</v>
      </c>
    </row>
    <row r="636">
      <c r="B636" s="165" t="s">
        <v>8</v>
      </c>
      <c r="C636" s="165" t="s">
        <v>8</v>
      </c>
      <c r="D636" s="165" t="s">
        <v>8</v>
      </c>
      <c r="E636" s="165" t="s">
        <v>8</v>
      </c>
      <c r="F636" s="165" t="s">
        <v>8</v>
      </c>
      <c r="G636" s="165" t="s">
        <v>8</v>
      </c>
      <c r="H636" s="165" t="s">
        <v>8</v>
      </c>
    </row>
    <row r="637">
      <c r="B637" s="165" t="s">
        <v>8</v>
      </c>
      <c r="C637" s="165" t="s">
        <v>8</v>
      </c>
      <c r="D637" s="165" t="s">
        <v>8</v>
      </c>
      <c r="E637" s="165" t="s">
        <v>8</v>
      </c>
      <c r="F637" s="165" t="s">
        <v>8</v>
      </c>
      <c r="G637" s="165" t="s">
        <v>8</v>
      </c>
      <c r="H637" s="165" t="s">
        <v>8</v>
      </c>
    </row>
    <row r="638">
      <c r="B638" s="165" t="s">
        <v>8</v>
      </c>
      <c r="C638" s="165" t="s">
        <v>8</v>
      </c>
      <c r="D638" s="165" t="s">
        <v>8</v>
      </c>
      <c r="E638" s="165" t="s">
        <v>8</v>
      </c>
      <c r="F638" s="165" t="s">
        <v>8</v>
      </c>
      <c r="G638" s="165" t="s">
        <v>8</v>
      </c>
      <c r="H638" s="165" t="s">
        <v>8</v>
      </c>
    </row>
    <row r="639">
      <c r="B639" s="165" t="s">
        <v>8</v>
      </c>
      <c r="C639" s="165" t="s">
        <v>8</v>
      </c>
      <c r="D639" s="165" t="s">
        <v>8</v>
      </c>
      <c r="E639" s="165" t="s">
        <v>8</v>
      </c>
      <c r="F639" s="165" t="s">
        <v>8</v>
      </c>
      <c r="G639" s="165" t="s">
        <v>8</v>
      </c>
      <c r="H639" s="165" t="s">
        <v>8</v>
      </c>
    </row>
    <row r="640">
      <c r="B640" s="165" t="s">
        <v>8</v>
      </c>
      <c r="C640" s="165" t="s">
        <v>8</v>
      </c>
      <c r="D640" s="165" t="s">
        <v>8</v>
      </c>
      <c r="E640" s="165" t="s">
        <v>8</v>
      </c>
      <c r="F640" s="165" t="s">
        <v>8</v>
      </c>
      <c r="G640" s="165" t="s">
        <v>8</v>
      </c>
      <c r="H640" s="165" t="s">
        <v>8</v>
      </c>
    </row>
    <row r="641">
      <c r="B641" s="165" t="s">
        <v>8</v>
      </c>
      <c r="C641" s="165" t="s">
        <v>8</v>
      </c>
      <c r="D641" s="165" t="s">
        <v>8</v>
      </c>
      <c r="E641" s="165" t="s">
        <v>8</v>
      </c>
      <c r="F641" s="165" t="s">
        <v>8</v>
      </c>
      <c r="G641" s="165" t="s">
        <v>8</v>
      </c>
      <c r="H641" s="165" t="s">
        <v>8</v>
      </c>
    </row>
    <row r="642">
      <c r="B642" s="165" t="s">
        <v>8</v>
      </c>
      <c r="C642" s="165" t="s">
        <v>8</v>
      </c>
      <c r="D642" s="165" t="s">
        <v>8</v>
      </c>
      <c r="E642" s="165" t="s">
        <v>8</v>
      </c>
      <c r="F642" s="165" t="s">
        <v>8</v>
      </c>
      <c r="G642" s="165" t="s">
        <v>8</v>
      </c>
      <c r="H642" s="165" t="s">
        <v>8</v>
      </c>
    </row>
    <row r="643">
      <c r="B643" s="165" t="s">
        <v>8</v>
      </c>
      <c r="C643" s="165" t="s">
        <v>8</v>
      </c>
      <c r="D643" s="165" t="s">
        <v>8</v>
      </c>
      <c r="E643" s="165" t="s">
        <v>8</v>
      </c>
      <c r="F643" s="165" t="s">
        <v>8</v>
      </c>
      <c r="G643" s="165" t="s">
        <v>8</v>
      </c>
      <c r="H643" s="165" t="s">
        <v>8</v>
      </c>
    </row>
    <row r="644">
      <c r="B644" s="165" t="s">
        <v>8</v>
      </c>
      <c r="C644" s="165" t="s">
        <v>8</v>
      </c>
      <c r="D644" s="165" t="s">
        <v>8</v>
      </c>
      <c r="E644" s="165" t="s">
        <v>8</v>
      </c>
      <c r="F644" s="165" t="s">
        <v>8</v>
      </c>
      <c r="G644" s="165" t="s">
        <v>8</v>
      </c>
      <c r="H644" s="165" t="s">
        <v>8</v>
      </c>
    </row>
    <row r="645">
      <c r="B645" s="165" t="s">
        <v>8</v>
      </c>
      <c r="C645" s="165" t="s">
        <v>8</v>
      </c>
      <c r="D645" s="165" t="s">
        <v>8</v>
      </c>
      <c r="E645" s="165" t="s">
        <v>8</v>
      </c>
      <c r="F645" s="165" t="s">
        <v>8</v>
      </c>
      <c r="G645" s="165" t="s">
        <v>8</v>
      </c>
      <c r="H645" s="165" t="s">
        <v>8</v>
      </c>
    </row>
    <row r="646">
      <c r="B646" s="165" t="s">
        <v>8</v>
      </c>
      <c r="C646" s="165" t="s">
        <v>8</v>
      </c>
      <c r="D646" s="165" t="s">
        <v>8</v>
      </c>
      <c r="E646" s="165" t="s">
        <v>8</v>
      </c>
      <c r="F646" s="165" t="s">
        <v>8</v>
      </c>
      <c r="G646" s="165" t="s">
        <v>8</v>
      </c>
      <c r="H646" s="165" t="s">
        <v>8</v>
      </c>
    </row>
    <row r="647">
      <c r="B647" s="165" t="s">
        <v>8</v>
      </c>
      <c r="C647" s="165" t="s">
        <v>8</v>
      </c>
      <c r="D647" s="165" t="s">
        <v>8</v>
      </c>
      <c r="E647" s="165" t="s">
        <v>8</v>
      </c>
      <c r="F647" s="165" t="s">
        <v>8</v>
      </c>
      <c r="G647" s="165" t="s">
        <v>8</v>
      </c>
      <c r="H647" s="165" t="s">
        <v>8</v>
      </c>
    </row>
    <row r="648">
      <c r="B648" s="165" t="s">
        <v>8</v>
      </c>
      <c r="C648" s="165" t="s">
        <v>8</v>
      </c>
      <c r="D648" s="165" t="s">
        <v>8</v>
      </c>
      <c r="E648" s="165" t="s">
        <v>8</v>
      </c>
      <c r="F648" s="165" t="s">
        <v>8</v>
      </c>
      <c r="G648" s="165" t="s">
        <v>8</v>
      </c>
      <c r="H648" s="165" t="s">
        <v>8</v>
      </c>
    </row>
    <row r="649">
      <c r="B649" s="165" t="s">
        <v>8</v>
      </c>
      <c r="C649" s="165" t="s">
        <v>8</v>
      </c>
      <c r="D649" s="165" t="s">
        <v>8</v>
      </c>
      <c r="E649" s="165" t="s">
        <v>8</v>
      </c>
      <c r="F649" s="165" t="s">
        <v>8</v>
      </c>
      <c r="G649" s="165" t="s">
        <v>8</v>
      </c>
      <c r="H649" s="165" t="s">
        <v>8</v>
      </c>
    </row>
    <row r="650">
      <c r="B650" s="165" t="s">
        <v>8</v>
      </c>
      <c r="C650" s="165" t="s">
        <v>8</v>
      </c>
      <c r="D650" s="165" t="s">
        <v>8</v>
      </c>
      <c r="E650" s="165" t="s">
        <v>8</v>
      </c>
      <c r="F650" s="165" t="s">
        <v>8</v>
      </c>
      <c r="G650" s="165" t="s">
        <v>8</v>
      </c>
      <c r="H650" s="165" t="s">
        <v>8</v>
      </c>
    </row>
    <row r="651">
      <c r="B651" s="165" t="s">
        <v>8</v>
      </c>
      <c r="C651" s="165" t="s">
        <v>8</v>
      </c>
      <c r="D651" s="165" t="s">
        <v>8</v>
      </c>
      <c r="E651" s="165" t="s">
        <v>8</v>
      </c>
      <c r="F651" s="165" t="s">
        <v>8</v>
      </c>
      <c r="G651" s="165" t="s">
        <v>8</v>
      </c>
      <c r="H651" s="165" t="s">
        <v>8</v>
      </c>
    </row>
    <row r="652">
      <c r="B652" s="165" t="s">
        <v>8</v>
      </c>
      <c r="C652" s="165" t="s">
        <v>8</v>
      </c>
      <c r="D652" s="165" t="s">
        <v>8</v>
      </c>
      <c r="E652" s="165" t="s">
        <v>8</v>
      </c>
      <c r="F652" s="165" t="s">
        <v>8</v>
      </c>
      <c r="G652" s="165" t="s">
        <v>8</v>
      </c>
      <c r="H652" s="165" t="s">
        <v>8</v>
      </c>
    </row>
    <row r="653">
      <c r="B653" s="165" t="s">
        <v>8</v>
      </c>
      <c r="C653" s="165" t="s">
        <v>8</v>
      </c>
      <c r="D653" s="165" t="s">
        <v>8</v>
      </c>
      <c r="E653" s="165" t="s">
        <v>8</v>
      </c>
      <c r="F653" s="165" t="s">
        <v>8</v>
      </c>
      <c r="G653" s="165" t="s">
        <v>8</v>
      </c>
      <c r="H653" s="165" t="s">
        <v>8</v>
      </c>
    </row>
    <row r="654">
      <c r="B654" s="165" t="s">
        <v>8</v>
      </c>
      <c r="C654" s="165" t="s">
        <v>8</v>
      </c>
      <c r="D654" s="165" t="s">
        <v>8</v>
      </c>
      <c r="E654" s="165" t="s">
        <v>8</v>
      </c>
      <c r="F654" s="165" t="s">
        <v>8</v>
      </c>
      <c r="G654" s="165" t="s">
        <v>8</v>
      </c>
      <c r="H654" s="165" t="s">
        <v>8</v>
      </c>
    </row>
    <row r="655">
      <c r="B655" s="165" t="s">
        <v>8</v>
      </c>
      <c r="C655" s="165" t="s">
        <v>8</v>
      </c>
      <c r="D655" s="165" t="s">
        <v>8</v>
      </c>
      <c r="E655" s="165" t="s">
        <v>8</v>
      </c>
      <c r="F655" s="165" t="s">
        <v>8</v>
      </c>
      <c r="G655" s="165" t="s">
        <v>8</v>
      </c>
      <c r="H655" s="165" t="s">
        <v>8</v>
      </c>
    </row>
    <row r="656">
      <c r="B656" s="165" t="s">
        <v>8</v>
      </c>
      <c r="C656" s="165" t="s">
        <v>8</v>
      </c>
      <c r="D656" s="165" t="s">
        <v>8</v>
      </c>
      <c r="E656" s="165" t="s">
        <v>8</v>
      </c>
      <c r="F656" s="165" t="s">
        <v>8</v>
      </c>
      <c r="G656" s="165" t="s">
        <v>8</v>
      </c>
      <c r="H656" s="165" t="s">
        <v>8</v>
      </c>
    </row>
    <row r="657">
      <c r="B657" s="165" t="s">
        <v>8</v>
      </c>
      <c r="C657" s="165" t="s">
        <v>8</v>
      </c>
      <c r="D657" s="165" t="s">
        <v>8</v>
      </c>
      <c r="E657" s="165" t="s">
        <v>8</v>
      </c>
      <c r="F657" s="165" t="s">
        <v>8</v>
      </c>
      <c r="G657" s="165" t="s">
        <v>8</v>
      </c>
      <c r="H657" s="165" t="s">
        <v>8</v>
      </c>
    </row>
    <row r="658">
      <c r="B658" s="165" t="s">
        <v>8</v>
      </c>
      <c r="C658" s="165" t="s">
        <v>8</v>
      </c>
      <c r="D658" s="165" t="s">
        <v>8</v>
      </c>
      <c r="E658" s="165" t="s">
        <v>8</v>
      </c>
      <c r="F658" s="165" t="s">
        <v>8</v>
      </c>
      <c r="G658" s="165" t="s">
        <v>8</v>
      </c>
      <c r="H658" s="165" t="s">
        <v>8</v>
      </c>
    </row>
    <row r="659">
      <c r="B659" s="165" t="s">
        <v>8</v>
      </c>
      <c r="C659" s="165" t="s">
        <v>8</v>
      </c>
      <c r="D659" s="165" t="s">
        <v>8</v>
      </c>
      <c r="E659" s="165" t="s">
        <v>8</v>
      </c>
      <c r="F659" s="165" t="s">
        <v>8</v>
      </c>
      <c r="G659" s="165" t="s">
        <v>8</v>
      </c>
      <c r="H659" s="165" t="s">
        <v>8</v>
      </c>
    </row>
    <row r="660">
      <c r="B660" s="165" t="s">
        <v>8</v>
      </c>
      <c r="C660" s="165" t="s">
        <v>8</v>
      </c>
      <c r="D660" s="165" t="s">
        <v>8</v>
      </c>
      <c r="E660" s="165" t="s">
        <v>8</v>
      </c>
      <c r="F660" s="165" t="s">
        <v>8</v>
      </c>
      <c r="G660" s="165" t="s">
        <v>8</v>
      </c>
      <c r="H660" s="165" t="s">
        <v>8</v>
      </c>
    </row>
    <row r="661">
      <c r="B661" s="165" t="s">
        <v>8</v>
      </c>
      <c r="C661" s="165" t="s">
        <v>8</v>
      </c>
      <c r="D661" s="165" t="s">
        <v>8</v>
      </c>
      <c r="E661" s="165" t="s">
        <v>8</v>
      </c>
      <c r="F661" s="165" t="s">
        <v>8</v>
      </c>
      <c r="G661" s="165" t="s">
        <v>8</v>
      </c>
      <c r="H661" s="165" t="s">
        <v>8</v>
      </c>
    </row>
    <row r="662">
      <c r="B662" s="165" t="s">
        <v>8</v>
      </c>
      <c r="C662" s="165" t="s">
        <v>8</v>
      </c>
      <c r="D662" s="165" t="s">
        <v>8</v>
      </c>
      <c r="E662" s="165" t="s">
        <v>8</v>
      </c>
      <c r="F662" s="165" t="s">
        <v>8</v>
      </c>
      <c r="G662" s="165" t="s">
        <v>8</v>
      </c>
      <c r="H662" s="165" t="s">
        <v>8</v>
      </c>
    </row>
    <row r="663">
      <c r="B663" s="165" t="s">
        <v>8</v>
      </c>
      <c r="C663" s="165" t="s">
        <v>8</v>
      </c>
      <c r="D663" s="165" t="s">
        <v>8</v>
      </c>
      <c r="E663" s="165" t="s">
        <v>8</v>
      </c>
      <c r="F663" s="165" t="s">
        <v>8</v>
      </c>
      <c r="G663" s="165" t="s">
        <v>8</v>
      </c>
      <c r="H663" s="165" t="s">
        <v>8</v>
      </c>
    </row>
    <row r="664">
      <c r="B664" s="165" t="s">
        <v>8</v>
      </c>
      <c r="C664" s="165" t="s">
        <v>8</v>
      </c>
      <c r="D664" s="165" t="s">
        <v>8</v>
      </c>
      <c r="E664" s="165" t="s">
        <v>8</v>
      </c>
      <c r="F664" s="165" t="s">
        <v>8</v>
      </c>
      <c r="G664" s="165" t="s">
        <v>8</v>
      </c>
      <c r="H664" s="165" t="s">
        <v>8</v>
      </c>
    </row>
    <row r="665">
      <c r="B665" s="165" t="s">
        <v>8</v>
      </c>
      <c r="C665" s="165" t="s">
        <v>8</v>
      </c>
      <c r="D665" s="165" t="s">
        <v>8</v>
      </c>
      <c r="E665" s="165" t="s">
        <v>8</v>
      </c>
      <c r="F665" s="165" t="s">
        <v>8</v>
      </c>
      <c r="G665" s="165" t="s">
        <v>8</v>
      </c>
      <c r="H665" s="165" t="s">
        <v>8</v>
      </c>
    </row>
    <row r="666">
      <c r="B666" s="165" t="s">
        <v>8</v>
      </c>
      <c r="C666" s="165" t="s">
        <v>8</v>
      </c>
      <c r="D666" s="165" t="s">
        <v>8</v>
      </c>
      <c r="E666" s="165" t="s">
        <v>8</v>
      </c>
      <c r="F666" s="165" t="s">
        <v>8</v>
      </c>
      <c r="G666" s="165" t="s">
        <v>8</v>
      </c>
      <c r="H666" s="165" t="s">
        <v>8</v>
      </c>
    </row>
    <row r="667">
      <c r="B667" s="165" t="s">
        <v>8</v>
      </c>
      <c r="C667" s="165" t="s">
        <v>8</v>
      </c>
      <c r="D667" s="165" t="s">
        <v>8</v>
      </c>
      <c r="E667" s="165" t="s">
        <v>8</v>
      </c>
      <c r="F667" s="165" t="s">
        <v>8</v>
      </c>
      <c r="G667" s="165" t="s">
        <v>8</v>
      </c>
      <c r="H667" s="165" t="s">
        <v>8</v>
      </c>
    </row>
    <row r="668">
      <c r="B668" s="165" t="s">
        <v>8</v>
      </c>
      <c r="C668" s="165" t="s">
        <v>8</v>
      </c>
      <c r="D668" s="165" t="s">
        <v>8</v>
      </c>
      <c r="E668" s="165" t="s">
        <v>8</v>
      </c>
      <c r="F668" s="165" t="s">
        <v>8</v>
      </c>
      <c r="G668" s="165" t="s">
        <v>8</v>
      </c>
      <c r="H668" s="165" t="s">
        <v>8</v>
      </c>
    </row>
    <row r="669">
      <c r="B669" s="165" t="s">
        <v>8</v>
      </c>
      <c r="C669" s="165" t="s">
        <v>8</v>
      </c>
      <c r="D669" s="165" t="s">
        <v>8</v>
      </c>
      <c r="E669" s="165" t="s">
        <v>8</v>
      </c>
      <c r="F669" s="165" t="s">
        <v>8</v>
      </c>
      <c r="G669" s="165" t="s">
        <v>8</v>
      </c>
      <c r="H669" s="165" t="s">
        <v>8</v>
      </c>
    </row>
    <row r="670">
      <c r="B670" s="165" t="s">
        <v>8</v>
      </c>
      <c r="C670" s="165" t="s">
        <v>8</v>
      </c>
      <c r="D670" s="165" t="s">
        <v>8</v>
      </c>
      <c r="E670" s="165" t="s">
        <v>8</v>
      </c>
      <c r="F670" s="165" t="s">
        <v>8</v>
      </c>
      <c r="G670" s="165" t="s">
        <v>8</v>
      </c>
      <c r="H670" s="165" t="s">
        <v>8</v>
      </c>
    </row>
    <row r="671">
      <c r="B671" s="165" t="s">
        <v>8</v>
      </c>
      <c r="C671" s="165" t="s">
        <v>8</v>
      </c>
      <c r="D671" s="165" t="s">
        <v>8</v>
      </c>
      <c r="E671" s="165" t="s">
        <v>8</v>
      </c>
      <c r="F671" s="165" t="s">
        <v>8</v>
      </c>
      <c r="G671" s="165" t="s">
        <v>8</v>
      </c>
      <c r="H671" s="165" t="s">
        <v>8</v>
      </c>
    </row>
    <row r="672">
      <c r="B672" s="165" t="s">
        <v>8</v>
      </c>
      <c r="C672" s="165" t="s">
        <v>8</v>
      </c>
      <c r="D672" s="165" t="s">
        <v>8</v>
      </c>
      <c r="E672" s="165" t="s">
        <v>8</v>
      </c>
      <c r="F672" s="165" t="s">
        <v>8</v>
      </c>
      <c r="G672" s="165" t="s">
        <v>8</v>
      </c>
      <c r="H672" s="165" t="s">
        <v>8</v>
      </c>
    </row>
    <row r="673">
      <c r="B673" s="165" t="s">
        <v>8</v>
      </c>
      <c r="C673" s="165" t="s">
        <v>8</v>
      </c>
      <c r="D673" s="165" t="s">
        <v>8</v>
      </c>
      <c r="E673" s="165" t="s">
        <v>8</v>
      </c>
      <c r="F673" s="165" t="s">
        <v>8</v>
      </c>
      <c r="G673" s="165" t="s">
        <v>8</v>
      </c>
      <c r="H673" s="165" t="s">
        <v>8</v>
      </c>
    </row>
    <row r="674">
      <c r="B674" s="165" t="s">
        <v>8</v>
      </c>
      <c r="C674" s="165" t="s">
        <v>8</v>
      </c>
      <c r="D674" s="165" t="s">
        <v>8</v>
      </c>
      <c r="E674" s="165" t="s">
        <v>8</v>
      </c>
      <c r="F674" s="165" t="s">
        <v>8</v>
      </c>
      <c r="G674" s="165" t="s">
        <v>8</v>
      </c>
      <c r="H674" s="165" t="s">
        <v>8</v>
      </c>
    </row>
    <row r="675">
      <c r="B675" s="165" t="s">
        <v>8</v>
      </c>
      <c r="C675" s="165" t="s">
        <v>8</v>
      </c>
      <c r="D675" s="165" t="s">
        <v>8</v>
      </c>
      <c r="E675" s="165" t="s">
        <v>8</v>
      </c>
      <c r="F675" s="165" t="s">
        <v>8</v>
      </c>
      <c r="G675" s="165" t="s">
        <v>8</v>
      </c>
      <c r="H675" s="165" t="s">
        <v>8</v>
      </c>
    </row>
    <row r="676">
      <c r="B676" s="165" t="s">
        <v>8</v>
      </c>
      <c r="C676" s="165" t="s">
        <v>8</v>
      </c>
      <c r="D676" s="165" t="s">
        <v>8</v>
      </c>
      <c r="E676" s="165" t="s">
        <v>8</v>
      </c>
      <c r="F676" s="165" t="s">
        <v>8</v>
      </c>
      <c r="G676" s="165" t="s">
        <v>8</v>
      </c>
      <c r="H676" s="165" t="s">
        <v>8</v>
      </c>
    </row>
    <row r="677">
      <c r="B677" s="165" t="s">
        <v>8</v>
      </c>
      <c r="C677" s="165" t="s">
        <v>8</v>
      </c>
      <c r="D677" s="165" t="s">
        <v>8</v>
      </c>
      <c r="E677" s="165" t="s">
        <v>8</v>
      </c>
      <c r="F677" s="165" t="s">
        <v>8</v>
      </c>
      <c r="G677" s="165" t="s">
        <v>8</v>
      </c>
      <c r="H677" s="165" t="s">
        <v>8</v>
      </c>
    </row>
    <row r="678">
      <c r="B678" s="165" t="s">
        <v>8</v>
      </c>
      <c r="C678" s="165" t="s">
        <v>8</v>
      </c>
      <c r="D678" s="165" t="s">
        <v>8</v>
      </c>
      <c r="E678" s="165" t="s">
        <v>8</v>
      </c>
      <c r="F678" s="165" t="s">
        <v>8</v>
      </c>
      <c r="G678" s="165" t="s">
        <v>8</v>
      </c>
      <c r="H678" s="165" t="s">
        <v>8</v>
      </c>
    </row>
    <row r="679">
      <c r="B679" s="165" t="s">
        <v>8</v>
      </c>
      <c r="C679" s="165" t="s">
        <v>8</v>
      </c>
      <c r="D679" s="165" t="s">
        <v>8</v>
      </c>
      <c r="E679" s="165" t="s">
        <v>8</v>
      </c>
      <c r="F679" s="165" t="s">
        <v>8</v>
      </c>
      <c r="G679" s="165" t="s">
        <v>8</v>
      </c>
      <c r="H679" s="165" t="s">
        <v>8</v>
      </c>
    </row>
    <row r="680">
      <c r="B680" s="165" t="s">
        <v>8</v>
      </c>
      <c r="C680" s="165" t="s">
        <v>8</v>
      </c>
      <c r="D680" s="165" t="s">
        <v>8</v>
      </c>
      <c r="E680" s="165" t="s">
        <v>8</v>
      </c>
      <c r="F680" s="165" t="s">
        <v>8</v>
      </c>
      <c r="G680" s="165" t="s">
        <v>8</v>
      </c>
      <c r="H680" s="165" t="s">
        <v>8</v>
      </c>
    </row>
    <row r="681">
      <c r="B681" s="165" t="s">
        <v>8</v>
      </c>
      <c r="C681" s="165" t="s">
        <v>8</v>
      </c>
      <c r="D681" s="165" t="s">
        <v>8</v>
      </c>
      <c r="E681" s="165" t="s">
        <v>8</v>
      </c>
      <c r="F681" s="165" t="s">
        <v>8</v>
      </c>
      <c r="G681" s="165" t="s">
        <v>8</v>
      </c>
      <c r="H681" s="165" t="s">
        <v>8</v>
      </c>
    </row>
    <row r="682">
      <c r="B682" s="165" t="s">
        <v>8</v>
      </c>
      <c r="C682" s="165" t="s">
        <v>8</v>
      </c>
      <c r="D682" s="165" t="s">
        <v>8</v>
      </c>
      <c r="E682" s="165" t="s">
        <v>8</v>
      </c>
      <c r="F682" s="165" t="s">
        <v>8</v>
      </c>
      <c r="G682" s="165" t="s">
        <v>8</v>
      </c>
      <c r="H682" s="165" t="s">
        <v>8</v>
      </c>
    </row>
    <row r="683">
      <c r="B683" s="165" t="s">
        <v>8</v>
      </c>
      <c r="C683" s="165" t="s">
        <v>8</v>
      </c>
      <c r="D683" s="165" t="s">
        <v>8</v>
      </c>
      <c r="E683" s="165" t="s">
        <v>8</v>
      </c>
      <c r="F683" s="165" t="s">
        <v>8</v>
      </c>
      <c r="G683" s="165" t="s">
        <v>8</v>
      </c>
      <c r="H683" s="165" t="s">
        <v>8</v>
      </c>
    </row>
    <row r="684">
      <c r="B684" s="165" t="s">
        <v>8</v>
      </c>
      <c r="C684" s="165" t="s">
        <v>8</v>
      </c>
      <c r="D684" s="165" t="s">
        <v>8</v>
      </c>
      <c r="E684" s="165" t="s">
        <v>8</v>
      </c>
      <c r="F684" s="165" t="s">
        <v>8</v>
      </c>
      <c r="G684" s="165" t="s">
        <v>8</v>
      </c>
      <c r="H684" s="165" t="s">
        <v>8</v>
      </c>
    </row>
    <row r="685">
      <c r="B685" s="165" t="s">
        <v>8</v>
      </c>
      <c r="C685" s="165" t="s">
        <v>8</v>
      </c>
      <c r="D685" s="165" t="s">
        <v>8</v>
      </c>
      <c r="E685" s="165" t="s">
        <v>8</v>
      </c>
      <c r="F685" s="165" t="s">
        <v>8</v>
      </c>
      <c r="G685" s="165" t="s">
        <v>8</v>
      </c>
      <c r="H685" s="165" t="s">
        <v>8</v>
      </c>
    </row>
    <row r="686">
      <c r="B686" s="165" t="s">
        <v>8</v>
      </c>
      <c r="C686" s="165" t="s">
        <v>8</v>
      </c>
      <c r="D686" s="165" t="s">
        <v>8</v>
      </c>
      <c r="E686" s="165" t="s">
        <v>8</v>
      </c>
      <c r="F686" s="165" t="s">
        <v>8</v>
      </c>
      <c r="G686" s="165" t="s">
        <v>8</v>
      </c>
      <c r="H686" s="165" t="s">
        <v>8</v>
      </c>
    </row>
    <row r="687">
      <c r="B687" s="165" t="s">
        <v>8</v>
      </c>
      <c r="C687" s="165" t="s">
        <v>8</v>
      </c>
      <c r="D687" s="165" t="s">
        <v>8</v>
      </c>
      <c r="E687" s="165" t="s">
        <v>8</v>
      </c>
      <c r="F687" s="165" t="s">
        <v>8</v>
      </c>
      <c r="G687" s="165" t="s">
        <v>8</v>
      </c>
      <c r="H687" s="165" t="s">
        <v>8</v>
      </c>
    </row>
    <row r="688">
      <c r="B688" s="165" t="s">
        <v>8</v>
      </c>
      <c r="C688" s="165" t="s">
        <v>8</v>
      </c>
      <c r="D688" s="165" t="s">
        <v>8</v>
      </c>
      <c r="E688" s="165" t="s">
        <v>8</v>
      </c>
      <c r="F688" s="165" t="s">
        <v>8</v>
      </c>
      <c r="G688" s="165" t="s">
        <v>8</v>
      </c>
      <c r="H688" s="165" t="s">
        <v>8</v>
      </c>
    </row>
    <row r="689">
      <c r="B689" s="165" t="s">
        <v>8</v>
      </c>
      <c r="C689" s="165" t="s">
        <v>8</v>
      </c>
      <c r="D689" s="165" t="s">
        <v>8</v>
      </c>
      <c r="E689" s="165" t="s">
        <v>8</v>
      </c>
      <c r="F689" s="165" t="s">
        <v>8</v>
      </c>
      <c r="G689" s="165" t="s">
        <v>8</v>
      </c>
      <c r="H689" s="165" t="s">
        <v>8</v>
      </c>
    </row>
    <row r="690">
      <c r="B690" s="165" t="s">
        <v>8</v>
      </c>
      <c r="C690" s="165" t="s">
        <v>8</v>
      </c>
      <c r="D690" s="165" t="s">
        <v>8</v>
      </c>
      <c r="E690" s="165" t="s">
        <v>8</v>
      </c>
      <c r="F690" s="165" t="s">
        <v>8</v>
      </c>
      <c r="G690" s="165" t="s">
        <v>8</v>
      </c>
      <c r="H690" s="165" t="s">
        <v>8</v>
      </c>
    </row>
    <row r="691">
      <c r="B691" s="165" t="s">
        <v>8</v>
      </c>
      <c r="C691" s="165" t="s">
        <v>8</v>
      </c>
      <c r="D691" s="165" t="s">
        <v>8</v>
      </c>
      <c r="E691" s="165" t="s">
        <v>8</v>
      </c>
      <c r="F691" s="165" t="s">
        <v>8</v>
      </c>
      <c r="G691" s="165" t="s">
        <v>8</v>
      </c>
      <c r="H691" s="165" t="s">
        <v>8</v>
      </c>
    </row>
    <row r="692">
      <c r="B692" s="165" t="s">
        <v>8</v>
      </c>
      <c r="C692" s="165" t="s">
        <v>8</v>
      </c>
      <c r="D692" s="165" t="s">
        <v>8</v>
      </c>
      <c r="E692" s="165" t="s">
        <v>8</v>
      </c>
      <c r="F692" s="165" t="s">
        <v>8</v>
      </c>
      <c r="G692" s="165" t="s">
        <v>8</v>
      </c>
      <c r="H692" s="165" t="s">
        <v>8</v>
      </c>
    </row>
    <row r="693">
      <c r="B693" s="165" t="s">
        <v>8</v>
      </c>
      <c r="C693" s="165" t="s">
        <v>8</v>
      </c>
      <c r="D693" s="165" t="s">
        <v>8</v>
      </c>
      <c r="E693" s="165" t="s">
        <v>8</v>
      </c>
      <c r="F693" s="165" t="s">
        <v>8</v>
      </c>
      <c r="G693" s="165" t="s">
        <v>8</v>
      </c>
      <c r="H693" s="165" t="s">
        <v>8</v>
      </c>
    </row>
    <row r="694">
      <c r="B694" s="165" t="s">
        <v>8</v>
      </c>
      <c r="C694" s="165" t="s">
        <v>8</v>
      </c>
      <c r="D694" s="165" t="s">
        <v>8</v>
      </c>
      <c r="E694" s="165" t="s">
        <v>8</v>
      </c>
      <c r="F694" s="165" t="s">
        <v>8</v>
      </c>
      <c r="G694" s="165" t="s">
        <v>8</v>
      </c>
      <c r="H694" s="165" t="s">
        <v>8</v>
      </c>
    </row>
    <row r="695">
      <c r="B695" s="165" t="s">
        <v>8</v>
      </c>
      <c r="C695" s="165" t="s">
        <v>8</v>
      </c>
      <c r="D695" s="165" t="s">
        <v>8</v>
      </c>
      <c r="E695" s="165" t="s">
        <v>8</v>
      </c>
      <c r="F695" s="165" t="s">
        <v>8</v>
      </c>
      <c r="G695" s="165" t="s">
        <v>8</v>
      </c>
      <c r="H695" s="165" t="s">
        <v>8</v>
      </c>
    </row>
    <row r="696">
      <c r="B696" s="165" t="s">
        <v>8</v>
      </c>
      <c r="C696" s="165" t="s">
        <v>8</v>
      </c>
      <c r="D696" s="165" t="s">
        <v>8</v>
      </c>
      <c r="E696" s="165" t="s">
        <v>8</v>
      </c>
      <c r="F696" s="165" t="s">
        <v>8</v>
      </c>
      <c r="G696" s="165" t="s">
        <v>8</v>
      </c>
      <c r="H696" s="165" t="s">
        <v>8</v>
      </c>
    </row>
    <row r="697">
      <c r="B697" s="165" t="s">
        <v>8</v>
      </c>
      <c r="C697" s="165" t="s">
        <v>8</v>
      </c>
      <c r="D697" s="165" t="s">
        <v>8</v>
      </c>
      <c r="E697" s="165" t="s">
        <v>8</v>
      </c>
      <c r="F697" s="165" t="s">
        <v>8</v>
      </c>
      <c r="G697" s="165" t="s">
        <v>8</v>
      </c>
      <c r="H697" s="165" t="s">
        <v>8</v>
      </c>
    </row>
    <row r="698">
      <c r="B698" s="165" t="s">
        <v>8</v>
      </c>
      <c r="C698" s="165" t="s">
        <v>8</v>
      </c>
      <c r="D698" s="165" t="s">
        <v>8</v>
      </c>
      <c r="E698" s="165" t="s">
        <v>8</v>
      </c>
      <c r="F698" s="165" t="s">
        <v>8</v>
      </c>
      <c r="G698" s="165" t="s">
        <v>8</v>
      </c>
      <c r="H698" s="165" t="s">
        <v>8</v>
      </c>
    </row>
    <row r="699">
      <c r="B699" s="165" t="s">
        <v>8</v>
      </c>
      <c r="C699" s="165" t="s">
        <v>8</v>
      </c>
      <c r="D699" s="165" t="s">
        <v>8</v>
      </c>
      <c r="E699" s="165" t="s">
        <v>8</v>
      </c>
      <c r="F699" s="165" t="s">
        <v>8</v>
      </c>
      <c r="G699" s="165" t="s">
        <v>8</v>
      </c>
      <c r="H699" s="165" t="s">
        <v>8</v>
      </c>
    </row>
    <row r="700">
      <c r="B700" s="165" t="s">
        <v>8</v>
      </c>
      <c r="C700" s="165" t="s">
        <v>8</v>
      </c>
      <c r="D700" s="165" t="s">
        <v>8</v>
      </c>
      <c r="E700" s="165" t="s">
        <v>8</v>
      </c>
      <c r="F700" s="165" t="s">
        <v>8</v>
      </c>
      <c r="G700" s="165" t="s">
        <v>8</v>
      </c>
      <c r="H700" s="165" t="s">
        <v>8</v>
      </c>
    </row>
    <row r="701">
      <c r="B701" s="165" t="s">
        <v>8</v>
      </c>
      <c r="C701" s="165" t="s">
        <v>8</v>
      </c>
      <c r="D701" s="165" t="s">
        <v>8</v>
      </c>
      <c r="E701" s="165" t="s">
        <v>8</v>
      </c>
      <c r="F701" s="165" t="s">
        <v>8</v>
      </c>
      <c r="G701" s="165" t="s">
        <v>8</v>
      </c>
      <c r="H701" s="165" t="s">
        <v>8</v>
      </c>
    </row>
    <row r="702">
      <c r="B702" s="165" t="s">
        <v>8</v>
      </c>
      <c r="C702" s="165" t="s">
        <v>8</v>
      </c>
      <c r="D702" s="165" t="s">
        <v>8</v>
      </c>
      <c r="E702" s="165" t="s">
        <v>8</v>
      </c>
      <c r="F702" s="165" t="s">
        <v>8</v>
      </c>
      <c r="G702" s="165" t="s">
        <v>8</v>
      </c>
      <c r="H702" s="165" t="s">
        <v>8</v>
      </c>
    </row>
    <row r="703">
      <c r="B703" s="165" t="s">
        <v>8</v>
      </c>
      <c r="C703" s="165" t="s">
        <v>8</v>
      </c>
      <c r="D703" s="165" t="s">
        <v>8</v>
      </c>
      <c r="E703" s="165" t="s">
        <v>8</v>
      </c>
      <c r="F703" s="165" t="s">
        <v>8</v>
      </c>
      <c r="G703" s="165" t="s">
        <v>8</v>
      </c>
      <c r="H703" s="165" t="s">
        <v>8</v>
      </c>
    </row>
    <row r="704">
      <c r="B704" s="165" t="s">
        <v>8</v>
      </c>
      <c r="C704" s="165" t="s">
        <v>8</v>
      </c>
      <c r="D704" s="165" t="s">
        <v>8</v>
      </c>
      <c r="E704" s="165" t="s">
        <v>8</v>
      </c>
      <c r="F704" s="165" t="s">
        <v>8</v>
      </c>
      <c r="G704" s="165" t="s">
        <v>8</v>
      </c>
      <c r="H704" s="165" t="s">
        <v>8</v>
      </c>
    </row>
    <row r="705">
      <c r="B705" s="165" t="s">
        <v>8</v>
      </c>
      <c r="C705" s="165" t="s">
        <v>8</v>
      </c>
      <c r="D705" s="165" t="s">
        <v>8</v>
      </c>
      <c r="E705" s="165" t="s">
        <v>8</v>
      </c>
      <c r="F705" s="165" t="s">
        <v>8</v>
      </c>
      <c r="G705" s="165" t="s">
        <v>8</v>
      </c>
      <c r="H705" s="165" t="s">
        <v>8</v>
      </c>
    </row>
    <row r="706">
      <c r="B706" s="165" t="s">
        <v>8</v>
      </c>
      <c r="C706" s="165" t="s">
        <v>8</v>
      </c>
      <c r="D706" s="165" t="s">
        <v>8</v>
      </c>
      <c r="E706" s="165" t="s">
        <v>8</v>
      </c>
      <c r="F706" s="165" t="s">
        <v>8</v>
      </c>
      <c r="G706" s="165" t="s">
        <v>8</v>
      </c>
      <c r="H706" s="165" t="s">
        <v>8</v>
      </c>
    </row>
    <row r="707">
      <c r="B707" s="165" t="s">
        <v>8</v>
      </c>
      <c r="C707" s="165" t="s">
        <v>8</v>
      </c>
      <c r="D707" s="165" t="s">
        <v>8</v>
      </c>
      <c r="E707" s="165" t="s">
        <v>8</v>
      </c>
      <c r="F707" s="165" t="s">
        <v>8</v>
      </c>
      <c r="G707" s="165" t="s">
        <v>8</v>
      </c>
      <c r="H707" s="165" t="s">
        <v>8</v>
      </c>
    </row>
    <row r="708">
      <c r="B708" s="165" t="s">
        <v>8</v>
      </c>
      <c r="C708" s="165" t="s">
        <v>8</v>
      </c>
      <c r="D708" s="165" t="s">
        <v>8</v>
      </c>
      <c r="E708" s="165" t="s">
        <v>8</v>
      </c>
      <c r="F708" s="165" t="s">
        <v>8</v>
      </c>
      <c r="G708" s="165" t="s">
        <v>8</v>
      </c>
      <c r="H708" s="165" t="s">
        <v>8</v>
      </c>
    </row>
    <row r="709">
      <c r="B709" s="165" t="s">
        <v>8</v>
      </c>
      <c r="C709" s="165" t="s">
        <v>8</v>
      </c>
      <c r="D709" s="165" t="s">
        <v>8</v>
      </c>
      <c r="E709" s="165" t="s">
        <v>8</v>
      </c>
      <c r="F709" s="165" t="s">
        <v>8</v>
      </c>
      <c r="G709" s="165" t="s">
        <v>8</v>
      </c>
      <c r="H709" s="165" t="s">
        <v>8</v>
      </c>
    </row>
    <row r="710">
      <c r="B710" s="165" t="s">
        <v>8</v>
      </c>
      <c r="C710" s="165" t="s">
        <v>8</v>
      </c>
      <c r="D710" s="165" t="s">
        <v>8</v>
      </c>
      <c r="E710" s="165" t="s">
        <v>8</v>
      </c>
      <c r="F710" s="165" t="s">
        <v>8</v>
      </c>
      <c r="G710" s="165" t="s">
        <v>8</v>
      </c>
      <c r="H710" s="165" t="s">
        <v>8</v>
      </c>
    </row>
    <row r="711">
      <c r="B711" s="165" t="s">
        <v>8</v>
      </c>
      <c r="C711" s="165" t="s">
        <v>8</v>
      </c>
      <c r="D711" s="165" t="s">
        <v>8</v>
      </c>
      <c r="E711" s="165" t="s">
        <v>8</v>
      </c>
      <c r="F711" s="165" t="s">
        <v>8</v>
      </c>
      <c r="G711" s="165" t="s">
        <v>8</v>
      </c>
      <c r="H711" s="165" t="s">
        <v>8</v>
      </c>
    </row>
    <row r="712">
      <c r="B712" s="165" t="s">
        <v>8</v>
      </c>
      <c r="C712" s="165" t="s">
        <v>8</v>
      </c>
      <c r="D712" s="165" t="s">
        <v>8</v>
      </c>
      <c r="E712" s="165" t="s">
        <v>8</v>
      </c>
      <c r="F712" s="165" t="s">
        <v>8</v>
      </c>
      <c r="G712" s="165" t="s">
        <v>8</v>
      </c>
      <c r="H712" s="165" t="s">
        <v>8</v>
      </c>
    </row>
    <row r="713">
      <c r="B713" s="165" t="s">
        <v>8</v>
      </c>
      <c r="C713" s="165" t="s">
        <v>8</v>
      </c>
      <c r="D713" s="165" t="s">
        <v>8</v>
      </c>
      <c r="E713" s="165" t="s">
        <v>8</v>
      </c>
      <c r="F713" s="165" t="s">
        <v>8</v>
      </c>
      <c r="G713" s="165" t="s">
        <v>8</v>
      </c>
      <c r="H713" s="165" t="s">
        <v>8</v>
      </c>
    </row>
    <row r="714">
      <c r="B714" s="165" t="s">
        <v>8</v>
      </c>
      <c r="C714" s="165" t="s">
        <v>8</v>
      </c>
      <c r="D714" s="165" t="s">
        <v>8</v>
      </c>
      <c r="E714" s="165" t="s">
        <v>8</v>
      </c>
      <c r="F714" s="165" t="s">
        <v>8</v>
      </c>
      <c r="G714" s="165" t="s">
        <v>8</v>
      </c>
      <c r="H714" s="165" t="s">
        <v>8</v>
      </c>
    </row>
    <row r="715">
      <c r="B715" s="165" t="s">
        <v>8</v>
      </c>
      <c r="C715" s="165" t="s">
        <v>8</v>
      </c>
      <c r="D715" s="165" t="s">
        <v>8</v>
      </c>
      <c r="E715" s="165" t="s">
        <v>8</v>
      </c>
      <c r="F715" s="165" t="s">
        <v>8</v>
      </c>
      <c r="G715" s="165" t="s">
        <v>8</v>
      </c>
      <c r="H715" s="165" t="s">
        <v>8</v>
      </c>
    </row>
    <row r="716">
      <c r="B716" s="165" t="s">
        <v>8</v>
      </c>
      <c r="C716" s="165" t="s">
        <v>8</v>
      </c>
      <c r="D716" s="165" t="s">
        <v>8</v>
      </c>
      <c r="E716" s="165" t="s">
        <v>8</v>
      </c>
      <c r="F716" s="165" t="s">
        <v>8</v>
      </c>
      <c r="G716" s="165" t="s">
        <v>8</v>
      </c>
      <c r="H716" s="165" t="s">
        <v>8</v>
      </c>
    </row>
    <row r="717">
      <c r="B717" s="165" t="s">
        <v>8</v>
      </c>
      <c r="C717" s="165" t="s">
        <v>8</v>
      </c>
      <c r="D717" s="165" t="s">
        <v>8</v>
      </c>
      <c r="E717" s="165" t="s">
        <v>8</v>
      </c>
      <c r="F717" s="165" t="s">
        <v>8</v>
      </c>
      <c r="G717" s="165" t="s">
        <v>8</v>
      </c>
      <c r="H717" s="165" t="s">
        <v>8</v>
      </c>
    </row>
    <row r="718">
      <c r="B718" s="165" t="s">
        <v>8</v>
      </c>
      <c r="C718" s="165" t="s">
        <v>8</v>
      </c>
      <c r="D718" s="165" t="s">
        <v>8</v>
      </c>
      <c r="E718" s="165" t="s">
        <v>8</v>
      </c>
      <c r="F718" s="165" t="s">
        <v>8</v>
      </c>
      <c r="G718" s="165" t="s">
        <v>8</v>
      </c>
      <c r="H718" s="165" t="s">
        <v>8</v>
      </c>
    </row>
    <row r="719">
      <c r="B719" s="165" t="s">
        <v>8</v>
      </c>
      <c r="C719" s="165" t="s">
        <v>8</v>
      </c>
      <c r="D719" s="165" t="s">
        <v>8</v>
      </c>
      <c r="E719" s="165" t="s">
        <v>8</v>
      </c>
      <c r="F719" s="165" t="s">
        <v>8</v>
      </c>
      <c r="G719" s="165" t="s">
        <v>8</v>
      </c>
      <c r="H719" s="165" t="s">
        <v>8</v>
      </c>
    </row>
    <row r="720">
      <c r="B720" s="165" t="s">
        <v>8</v>
      </c>
      <c r="C720" s="165" t="s">
        <v>8</v>
      </c>
      <c r="D720" s="165" t="s">
        <v>8</v>
      </c>
      <c r="E720" s="165" t="s">
        <v>8</v>
      </c>
      <c r="F720" s="165" t="s">
        <v>8</v>
      </c>
      <c r="G720" s="165" t="s">
        <v>8</v>
      </c>
      <c r="H720" s="165" t="s">
        <v>8</v>
      </c>
    </row>
    <row r="721">
      <c r="B721" s="165" t="s">
        <v>8</v>
      </c>
      <c r="C721" s="165" t="s">
        <v>8</v>
      </c>
      <c r="D721" s="165" t="s">
        <v>8</v>
      </c>
      <c r="E721" s="165" t="s">
        <v>8</v>
      </c>
      <c r="F721" s="165" t="s">
        <v>8</v>
      </c>
      <c r="G721" s="165" t="s">
        <v>8</v>
      </c>
      <c r="H721" s="165" t="s">
        <v>8</v>
      </c>
    </row>
    <row r="722">
      <c r="B722" s="165" t="s">
        <v>8</v>
      </c>
      <c r="C722" s="165" t="s">
        <v>8</v>
      </c>
      <c r="D722" s="165" t="s">
        <v>8</v>
      </c>
      <c r="E722" s="165" t="s">
        <v>8</v>
      </c>
      <c r="F722" s="165" t="s">
        <v>8</v>
      </c>
      <c r="G722" s="165" t="s">
        <v>8</v>
      </c>
      <c r="H722" s="165" t="s">
        <v>8</v>
      </c>
    </row>
    <row r="723">
      <c r="B723" s="165" t="s">
        <v>8</v>
      </c>
      <c r="C723" s="165" t="s">
        <v>8</v>
      </c>
      <c r="D723" s="165" t="s">
        <v>8</v>
      </c>
      <c r="E723" s="165" t="s">
        <v>8</v>
      </c>
      <c r="F723" s="165" t="s">
        <v>8</v>
      </c>
      <c r="G723" s="165" t="s">
        <v>8</v>
      </c>
      <c r="H723" s="165" t="s">
        <v>8</v>
      </c>
    </row>
    <row r="724">
      <c r="B724" s="165" t="s">
        <v>8</v>
      </c>
      <c r="C724" s="165" t="s">
        <v>8</v>
      </c>
      <c r="D724" s="165" t="s">
        <v>8</v>
      </c>
      <c r="E724" s="165" t="s">
        <v>8</v>
      </c>
      <c r="F724" s="165" t="s">
        <v>8</v>
      </c>
      <c r="G724" s="165" t="s">
        <v>8</v>
      </c>
      <c r="H724" s="165" t="s">
        <v>8</v>
      </c>
    </row>
    <row r="725">
      <c r="B725" s="165" t="s">
        <v>8</v>
      </c>
      <c r="C725" s="165" t="s">
        <v>8</v>
      </c>
      <c r="D725" s="165" t="s">
        <v>8</v>
      </c>
      <c r="E725" s="165" t="s">
        <v>8</v>
      </c>
      <c r="F725" s="165" t="s">
        <v>8</v>
      </c>
      <c r="G725" s="165" t="s">
        <v>8</v>
      </c>
      <c r="H725" s="165" t="s">
        <v>8</v>
      </c>
    </row>
    <row r="726">
      <c r="B726" s="165" t="s">
        <v>8</v>
      </c>
      <c r="C726" s="165" t="s">
        <v>8</v>
      </c>
      <c r="D726" s="165" t="s">
        <v>8</v>
      </c>
      <c r="E726" s="165" t="s">
        <v>8</v>
      </c>
      <c r="F726" s="165" t="s">
        <v>8</v>
      </c>
      <c r="G726" s="165" t="s">
        <v>8</v>
      </c>
      <c r="H726" s="165" t="s">
        <v>8</v>
      </c>
    </row>
    <row r="727">
      <c r="B727" s="165" t="s">
        <v>8</v>
      </c>
      <c r="C727" s="165" t="s">
        <v>8</v>
      </c>
      <c r="D727" s="165" t="s">
        <v>8</v>
      </c>
      <c r="E727" s="165" t="s">
        <v>8</v>
      </c>
      <c r="F727" s="165" t="s">
        <v>8</v>
      </c>
      <c r="G727" s="165" t="s">
        <v>8</v>
      </c>
      <c r="H727" s="165" t="s">
        <v>8</v>
      </c>
    </row>
    <row r="728">
      <c r="B728" s="165" t="s">
        <v>8</v>
      </c>
      <c r="C728" s="165" t="s">
        <v>8</v>
      </c>
      <c r="D728" s="165" t="s">
        <v>8</v>
      </c>
      <c r="E728" s="165" t="s">
        <v>8</v>
      </c>
      <c r="F728" s="165" t="s">
        <v>8</v>
      </c>
      <c r="G728" s="165" t="s">
        <v>8</v>
      </c>
      <c r="H728" s="165" t="s">
        <v>8</v>
      </c>
    </row>
    <row r="729">
      <c r="B729" s="165" t="s">
        <v>8</v>
      </c>
      <c r="C729" s="165" t="s">
        <v>8</v>
      </c>
      <c r="D729" s="165" t="s">
        <v>8</v>
      </c>
      <c r="E729" s="165" t="s">
        <v>8</v>
      </c>
      <c r="F729" s="165" t="s">
        <v>8</v>
      </c>
      <c r="G729" s="165" t="s">
        <v>8</v>
      </c>
      <c r="H729" s="165" t="s">
        <v>8</v>
      </c>
    </row>
    <row r="730">
      <c r="B730" s="165" t="s">
        <v>8</v>
      </c>
      <c r="C730" s="165" t="s">
        <v>8</v>
      </c>
      <c r="D730" s="165" t="s">
        <v>8</v>
      </c>
      <c r="E730" s="165" t="s">
        <v>8</v>
      </c>
      <c r="F730" s="165" t="s">
        <v>8</v>
      </c>
      <c r="G730" s="165" t="s">
        <v>8</v>
      </c>
      <c r="H730" s="165" t="s">
        <v>8</v>
      </c>
    </row>
    <row r="731">
      <c r="B731" s="165" t="s">
        <v>8</v>
      </c>
      <c r="C731" s="165" t="s">
        <v>8</v>
      </c>
      <c r="D731" s="165" t="s">
        <v>8</v>
      </c>
      <c r="E731" s="165" t="s">
        <v>8</v>
      </c>
      <c r="F731" s="165" t="s">
        <v>8</v>
      </c>
      <c r="G731" s="165" t="s">
        <v>8</v>
      </c>
      <c r="H731" s="165" t="s">
        <v>8</v>
      </c>
    </row>
    <row r="732">
      <c r="B732" s="165" t="s">
        <v>8</v>
      </c>
      <c r="C732" s="165" t="s">
        <v>8</v>
      </c>
      <c r="D732" s="165" t="s">
        <v>8</v>
      </c>
      <c r="E732" s="165" t="s">
        <v>8</v>
      </c>
      <c r="F732" s="165" t="s">
        <v>8</v>
      </c>
      <c r="G732" s="165" t="s">
        <v>8</v>
      </c>
      <c r="H732" s="165" t="s">
        <v>8</v>
      </c>
    </row>
    <row r="733">
      <c r="B733" s="165" t="s">
        <v>8</v>
      </c>
      <c r="C733" s="165" t="s">
        <v>8</v>
      </c>
      <c r="D733" s="165" t="s">
        <v>8</v>
      </c>
      <c r="E733" s="165" t="s">
        <v>8</v>
      </c>
      <c r="F733" s="165" t="s">
        <v>8</v>
      </c>
      <c r="G733" s="165" t="s">
        <v>8</v>
      </c>
      <c r="H733" s="165" t="s">
        <v>8</v>
      </c>
    </row>
    <row r="734">
      <c r="B734" s="165" t="s">
        <v>8</v>
      </c>
      <c r="C734" s="165" t="s">
        <v>8</v>
      </c>
      <c r="D734" s="165" t="s">
        <v>8</v>
      </c>
      <c r="E734" s="165" t="s">
        <v>8</v>
      </c>
      <c r="F734" s="165" t="s">
        <v>8</v>
      </c>
      <c r="G734" s="165" t="s">
        <v>8</v>
      </c>
      <c r="H734" s="165" t="s">
        <v>8</v>
      </c>
    </row>
    <row r="735">
      <c r="B735" s="165" t="s">
        <v>8</v>
      </c>
      <c r="C735" s="165" t="s">
        <v>8</v>
      </c>
      <c r="D735" s="165" t="s">
        <v>8</v>
      </c>
      <c r="E735" s="165" t="s">
        <v>8</v>
      </c>
      <c r="F735" s="165" t="s">
        <v>8</v>
      </c>
      <c r="G735" s="165" t="s">
        <v>8</v>
      </c>
      <c r="H735" s="165" t="s">
        <v>8</v>
      </c>
    </row>
    <row r="736">
      <c r="B736" s="165" t="s">
        <v>8</v>
      </c>
      <c r="C736" s="165" t="s">
        <v>8</v>
      </c>
      <c r="D736" s="165" t="s">
        <v>8</v>
      </c>
      <c r="E736" s="165" t="s">
        <v>8</v>
      </c>
      <c r="F736" s="165" t="s">
        <v>8</v>
      </c>
      <c r="G736" s="165" t="s">
        <v>8</v>
      </c>
      <c r="H736" s="165" t="s">
        <v>8</v>
      </c>
    </row>
    <row r="737">
      <c r="B737" s="165" t="s">
        <v>8</v>
      </c>
      <c r="C737" s="165" t="s">
        <v>8</v>
      </c>
      <c r="D737" s="165" t="s">
        <v>8</v>
      </c>
      <c r="E737" s="165" t="s">
        <v>8</v>
      </c>
      <c r="F737" s="165" t="s">
        <v>8</v>
      </c>
      <c r="G737" s="165" t="s">
        <v>8</v>
      </c>
      <c r="H737" s="165" t="s">
        <v>8</v>
      </c>
    </row>
    <row r="738">
      <c r="B738" s="165" t="s">
        <v>8</v>
      </c>
      <c r="C738" s="165" t="s">
        <v>8</v>
      </c>
      <c r="D738" s="165" t="s">
        <v>8</v>
      </c>
      <c r="E738" s="165" t="s">
        <v>8</v>
      </c>
      <c r="F738" s="165" t="s">
        <v>8</v>
      </c>
      <c r="G738" s="165" t="s">
        <v>8</v>
      </c>
      <c r="H738" s="165" t="s">
        <v>8</v>
      </c>
    </row>
    <row r="739">
      <c r="B739" s="165" t="s">
        <v>8</v>
      </c>
      <c r="C739" s="165" t="s">
        <v>8</v>
      </c>
      <c r="D739" s="165" t="s">
        <v>8</v>
      </c>
      <c r="E739" s="165" t="s">
        <v>8</v>
      </c>
      <c r="F739" s="165" t="s">
        <v>8</v>
      </c>
      <c r="G739" s="165" t="s">
        <v>8</v>
      </c>
      <c r="H739" s="165" t="s">
        <v>8</v>
      </c>
    </row>
    <row r="740">
      <c r="B740" s="165" t="s">
        <v>8</v>
      </c>
      <c r="C740" s="165" t="s">
        <v>8</v>
      </c>
      <c r="D740" s="165" t="s">
        <v>8</v>
      </c>
      <c r="E740" s="165" t="s">
        <v>8</v>
      </c>
      <c r="F740" s="165" t="s">
        <v>8</v>
      </c>
      <c r="G740" s="165" t="s">
        <v>8</v>
      </c>
      <c r="H740" s="165" t="s">
        <v>8</v>
      </c>
    </row>
    <row r="741">
      <c r="B741" s="165" t="s">
        <v>8</v>
      </c>
      <c r="C741" s="165" t="s">
        <v>8</v>
      </c>
      <c r="D741" s="165" t="s">
        <v>8</v>
      </c>
      <c r="E741" s="165" t="s">
        <v>8</v>
      </c>
      <c r="F741" s="165" t="s">
        <v>8</v>
      </c>
      <c r="G741" s="165" t="s">
        <v>8</v>
      </c>
      <c r="H741" s="165" t="s">
        <v>8</v>
      </c>
    </row>
    <row r="742">
      <c r="B742" s="165" t="s">
        <v>8</v>
      </c>
      <c r="C742" s="165" t="s">
        <v>8</v>
      </c>
      <c r="D742" s="165" t="s">
        <v>8</v>
      </c>
      <c r="E742" s="165" t="s">
        <v>8</v>
      </c>
      <c r="F742" s="165" t="s">
        <v>8</v>
      </c>
      <c r="G742" s="165" t="s">
        <v>8</v>
      </c>
      <c r="H742" s="165" t="s">
        <v>8</v>
      </c>
    </row>
    <row r="743">
      <c r="B743" s="165" t="s">
        <v>8</v>
      </c>
      <c r="C743" s="165" t="s">
        <v>8</v>
      </c>
      <c r="D743" s="165" t="s">
        <v>8</v>
      </c>
      <c r="E743" s="165" t="s">
        <v>8</v>
      </c>
      <c r="F743" s="165" t="s">
        <v>8</v>
      </c>
      <c r="G743" s="165" t="s">
        <v>8</v>
      </c>
      <c r="H743" s="165" t="s">
        <v>8</v>
      </c>
    </row>
    <row r="744">
      <c r="B744" s="165" t="s">
        <v>8</v>
      </c>
      <c r="C744" s="165" t="s">
        <v>8</v>
      </c>
      <c r="D744" s="165" t="s">
        <v>8</v>
      </c>
      <c r="E744" s="165" t="s">
        <v>8</v>
      </c>
      <c r="F744" s="165" t="s">
        <v>8</v>
      </c>
      <c r="G744" s="165" t="s">
        <v>8</v>
      </c>
      <c r="H744" s="165" t="s">
        <v>8</v>
      </c>
    </row>
    <row r="745">
      <c r="B745" s="165" t="s">
        <v>8</v>
      </c>
      <c r="C745" s="165" t="s">
        <v>8</v>
      </c>
      <c r="D745" s="165" t="s">
        <v>8</v>
      </c>
      <c r="E745" s="165" t="s">
        <v>8</v>
      </c>
      <c r="F745" s="165" t="s">
        <v>8</v>
      </c>
      <c r="G745" s="165" t="s">
        <v>8</v>
      </c>
      <c r="H745" s="165" t="s">
        <v>8</v>
      </c>
    </row>
    <row r="746">
      <c r="B746" s="165" t="s">
        <v>8</v>
      </c>
      <c r="C746" s="165" t="s">
        <v>8</v>
      </c>
      <c r="D746" s="165" t="s">
        <v>8</v>
      </c>
      <c r="E746" s="165" t="s">
        <v>8</v>
      </c>
      <c r="F746" s="165" t="s">
        <v>8</v>
      </c>
      <c r="G746" s="165" t="s">
        <v>8</v>
      </c>
      <c r="H746" s="165" t="s">
        <v>8</v>
      </c>
    </row>
    <row r="747">
      <c r="B747" s="165" t="s">
        <v>8</v>
      </c>
      <c r="C747" s="165" t="s">
        <v>8</v>
      </c>
      <c r="D747" s="165" t="s">
        <v>8</v>
      </c>
      <c r="E747" s="165" t="s">
        <v>8</v>
      </c>
      <c r="F747" s="165" t="s">
        <v>8</v>
      </c>
      <c r="G747" s="165" t="s">
        <v>8</v>
      </c>
      <c r="H747" s="165" t="s">
        <v>8</v>
      </c>
    </row>
    <row r="748">
      <c r="B748" s="165" t="s">
        <v>8</v>
      </c>
      <c r="C748" s="165" t="s">
        <v>8</v>
      </c>
      <c r="D748" s="165" t="s">
        <v>8</v>
      </c>
      <c r="E748" s="165" t="s">
        <v>8</v>
      </c>
      <c r="F748" s="165" t="s">
        <v>8</v>
      </c>
      <c r="G748" s="165" t="s">
        <v>8</v>
      </c>
      <c r="H748" s="165" t="s">
        <v>8</v>
      </c>
    </row>
    <row r="749">
      <c r="B749" s="165" t="s">
        <v>8</v>
      </c>
      <c r="C749" s="165" t="s">
        <v>8</v>
      </c>
      <c r="D749" s="165" t="s">
        <v>8</v>
      </c>
      <c r="E749" s="165" t="s">
        <v>8</v>
      </c>
      <c r="F749" s="165" t="s">
        <v>8</v>
      </c>
      <c r="G749" s="165" t="s">
        <v>8</v>
      </c>
      <c r="H749" s="165" t="s">
        <v>8</v>
      </c>
    </row>
    <row r="750">
      <c r="B750" s="165" t="s">
        <v>8</v>
      </c>
      <c r="C750" s="165" t="s">
        <v>8</v>
      </c>
      <c r="D750" s="165" t="s">
        <v>8</v>
      </c>
      <c r="E750" s="165" t="s">
        <v>8</v>
      </c>
      <c r="F750" s="165" t="s">
        <v>8</v>
      </c>
      <c r="G750" s="165" t="s">
        <v>8</v>
      </c>
      <c r="H750" s="165" t="s">
        <v>8</v>
      </c>
    </row>
    <row r="751">
      <c r="B751" s="165" t="s">
        <v>8</v>
      </c>
      <c r="C751" s="165" t="s">
        <v>8</v>
      </c>
      <c r="D751" s="165" t="s">
        <v>8</v>
      </c>
      <c r="E751" s="165" t="s">
        <v>8</v>
      </c>
      <c r="F751" s="165" t="s">
        <v>8</v>
      </c>
      <c r="G751" s="165" t="s">
        <v>8</v>
      </c>
      <c r="H751" s="165" t="s">
        <v>8</v>
      </c>
    </row>
    <row r="752">
      <c r="B752" s="165" t="s">
        <v>8</v>
      </c>
      <c r="C752" s="165" t="s">
        <v>8</v>
      </c>
      <c r="D752" s="165" t="s">
        <v>8</v>
      </c>
      <c r="E752" s="165" t="s">
        <v>8</v>
      </c>
      <c r="F752" s="165" t="s">
        <v>8</v>
      </c>
      <c r="G752" s="165" t="s">
        <v>8</v>
      </c>
      <c r="H752" s="165" t="s">
        <v>8</v>
      </c>
    </row>
    <row r="753">
      <c r="B753" s="165" t="s">
        <v>8</v>
      </c>
      <c r="C753" s="165" t="s">
        <v>8</v>
      </c>
      <c r="D753" s="165" t="s">
        <v>8</v>
      </c>
      <c r="E753" s="165" t="s">
        <v>8</v>
      </c>
      <c r="F753" s="165" t="s">
        <v>8</v>
      </c>
      <c r="G753" s="165" t="s">
        <v>8</v>
      </c>
      <c r="H753" s="165" t="s">
        <v>8</v>
      </c>
    </row>
    <row r="754">
      <c r="B754" s="165" t="s">
        <v>8</v>
      </c>
      <c r="C754" s="165" t="s">
        <v>8</v>
      </c>
      <c r="D754" s="165" t="s">
        <v>8</v>
      </c>
      <c r="E754" s="165" t="s">
        <v>8</v>
      </c>
      <c r="F754" s="165" t="s">
        <v>8</v>
      </c>
      <c r="G754" s="165" t="s">
        <v>8</v>
      </c>
      <c r="H754" s="165" t="s">
        <v>8</v>
      </c>
    </row>
    <row r="755">
      <c r="B755" s="165" t="s">
        <v>8</v>
      </c>
      <c r="C755" s="165" t="s">
        <v>8</v>
      </c>
      <c r="D755" s="165" t="s">
        <v>8</v>
      </c>
      <c r="E755" s="165" t="s">
        <v>8</v>
      </c>
      <c r="F755" s="165" t="s">
        <v>8</v>
      </c>
      <c r="G755" s="165" t="s">
        <v>8</v>
      </c>
      <c r="H755" s="165" t="s">
        <v>8</v>
      </c>
    </row>
    <row r="756">
      <c r="B756" s="165" t="s">
        <v>8</v>
      </c>
      <c r="C756" s="165" t="s">
        <v>8</v>
      </c>
      <c r="D756" s="165" t="s">
        <v>8</v>
      </c>
      <c r="E756" s="165" t="s">
        <v>8</v>
      </c>
      <c r="F756" s="165" t="s">
        <v>8</v>
      </c>
      <c r="G756" s="165" t="s">
        <v>8</v>
      </c>
      <c r="H756" s="165" t="s">
        <v>8</v>
      </c>
    </row>
    <row r="757">
      <c r="B757" s="165" t="s">
        <v>8</v>
      </c>
      <c r="C757" s="165" t="s">
        <v>8</v>
      </c>
      <c r="D757" s="165" t="s">
        <v>8</v>
      </c>
      <c r="E757" s="165" t="s">
        <v>8</v>
      </c>
      <c r="F757" s="165" t="s">
        <v>8</v>
      </c>
      <c r="G757" s="165" t="s">
        <v>8</v>
      </c>
      <c r="H757" s="165" t="s">
        <v>8</v>
      </c>
    </row>
    <row r="758">
      <c r="B758" s="165" t="s">
        <v>8</v>
      </c>
      <c r="C758" s="165" t="s">
        <v>8</v>
      </c>
      <c r="D758" s="165" t="s">
        <v>8</v>
      </c>
      <c r="E758" s="165" t="s">
        <v>8</v>
      </c>
      <c r="F758" s="165" t="s">
        <v>8</v>
      </c>
      <c r="G758" s="165" t="s">
        <v>8</v>
      </c>
      <c r="H758" s="165" t="s">
        <v>8</v>
      </c>
    </row>
    <row r="759">
      <c r="B759" s="165" t="s">
        <v>8</v>
      </c>
      <c r="C759" s="165" t="s">
        <v>8</v>
      </c>
      <c r="D759" s="165" t="s">
        <v>8</v>
      </c>
      <c r="E759" s="165" t="s">
        <v>8</v>
      </c>
      <c r="F759" s="165" t="s">
        <v>8</v>
      </c>
      <c r="G759" s="165" t="s">
        <v>8</v>
      </c>
      <c r="H759" s="165" t="s">
        <v>8</v>
      </c>
    </row>
    <row r="760">
      <c r="B760" s="165" t="s">
        <v>8</v>
      </c>
      <c r="C760" s="165" t="s">
        <v>8</v>
      </c>
      <c r="D760" s="165" t="s">
        <v>8</v>
      </c>
      <c r="E760" s="165" t="s">
        <v>8</v>
      </c>
      <c r="F760" s="165" t="s">
        <v>8</v>
      </c>
      <c r="G760" s="165" t="s">
        <v>8</v>
      </c>
      <c r="H760" s="165" t="s">
        <v>8</v>
      </c>
    </row>
    <row r="761">
      <c r="B761" s="165" t="s">
        <v>8</v>
      </c>
      <c r="C761" s="165" t="s">
        <v>8</v>
      </c>
      <c r="D761" s="165" t="s">
        <v>8</v>
      </c>
      <c r="E761" s="165" t="s">
        <v>8</v>
      </c>
      <c r="F761" s="165" t="s">
        <v>8</v>
      </c>
      <c r="G761" s="165" t="s">
        <v>8</v>
      </c>
      <c r="H761" s="165" t="s">
        <v>8</v>
      </c>
    </row>
    <row r="762">
      <c r="B762" s="165" t="s">
        <v>8</v>
      </c>
      <c r="C762" s="165" t="s">
        <v>8</v>
      </c>
      <c r="D762" s="165" t="s">
        <v>8</v>
      </c>
      <c r="E762" s="165" t="s">
        <v>8</v>
      </c>
      <c r="F762" s="165" t="s">
        <v>8</v>
      </c>
      <c r="G762" s="165" t="s">
        <v>8</v>
      </c>
      <c r="H762" s="165" t="s">
        <v>8</v>
      </c>
    </row>
    <row r="763">
      <c r="B763" s="165" t="s">
        <v>8</v>
      </c>
      <c r="C763" s="165" t="s">
        <v>8</v>
      </c>
      <c r="D763" s="165" t="s">
        <v>8</v>
      </c>
      <c r="E763" s="165" t="s">
        <v>8</v>
      </c>
      <c r="F763" s="165" t="s">
        <v>8</v>
      </c>
      <c r="G763" s="165" t="s">
        <v>8</v>
      </c>
      <c r="H763" s="165" t="s">
        <v>8</v>
      </c>
    </row>
    <row r="764">
      <c r="B764" s="165" t="s">
        <v>8</v>
      </c>
      <c r="C764" s="165" t="s">
        <v>8</v>
      </c>
      <c r="D764" s="165" t="s">
        <v>8</v>
      </c>
      <c r="E764" s="165" t="s">
        <v>8</v>
      </c>
      <c r="F764" s="165" t="s">
        <v>8</v>
      </c>
      <c r="G764" s="165" t="s">
        <v>8</v>
      </c>
      <c r="H764" s="165" t="s">
        <v>8</v>
      </c>
    </row>
    <row r="765">
      <c r="B765" s="165" t="s">
        <v>8</v>
      </c>
      <c r="C765" s="165" t="s">
        <v>8</v>
      </c>
      <c r="D765" s="165" t="s">
        <v>8</v>
      </c>
      <c r="E765" s="165" t="s">
        <v>8</v>
      </c>
      <c r="F765" s="165" t="s">
        <v>8</v>
      </c>
      <c r="G765" s="165" t="s">
        <v>8</v>
      </c>
      <c r="H765" s="165" t="s">
        <v>8</v>
      </c>
    </row>
    <row r="766">
      <c r="B766" s="165" t="s">
        <v>8</v>
      </c>
      <c r="C766" s="165" t="s">
        <v>8</v>
      </c>
      <c r="D766" s="165" t="s">
        <v>8</v>
      </c>
      <c r="E766" s="165" t="s">
        <v>8</v>
      </c>
      <c r="F766" s="165" t="s">
        <v>8</v>
      </c>
      <c r="G766" s="165" t="s">
        <v>8</v>
      </c>
      <c r="H766" s="165" t="s">
        <v>8</v>
      </c>
    </row>
    <row r="767">
      <c r="B767" s="165" t="s">
        <v>8</v>
      </c>
      <c r="C767" s="165" t="s">
        <v>8</v>
      </c>
      <c r="D767" s="165" t="s">
        <v>8</v>
      </c>
      <c r="E767" s="165" t="s">
        <v>8</v>
      </c>
      <c r="F767" s="165" t="s">
        <v>8</v>
      </c>
      <c r="G767" s="165" t="s">
        <v>8</v>
      </c>
      <c r="H767" s="165" t="s">
        <v>8</v>
      </c>
    </row>
    <row r="768">
      <c r="B768" s="165" t="s">
        <v>8</v>
      </c>
      <c r="C768" s="165" t="s">
        <v>8</v>
      </c>
      <c r="D768" s="165" t="s">
        <v>8</v>
      </c>
      <c r="E768" s="165" t="s">
        <v>8</v>
      </c>
      <c r="F768" s="165" t="s">
        <v>8</v>
      </c>
      <c r="G768" s="165" t="s">
        <v>8</v>
      </c>
      <c r="H768" s="165" t="s">
        <v>8</v>
      </c>
    </row>
    <row r="769">
      <c r="B769" s="165" t="s">
        <v>8</v>
      </c>
      <c r="C769" s="165" t="s">
        <v>8</v>
      </c>
      <c r="D769" s="165" t="s">
        <v>8</v>
      </c>
      <c r="E769" s="165" t="s">
        <v>8</v>
      </c>
      <c r="F769" s="165" t="s">
        <v>8</v>
      </c>
      <c r="G769" s="165" t="s">
        <v>8</v>
      </c>
      <c r="H769" s="165" t="s">
        <v>8</v>
      </c>
    </row>
    <row r="770">
      <c r="B770" s="165" t="s">
        <v>8</v>
      </c>
      <c r="C770" s="165" t="s">
        <v>8</v>
      </c>
      <c r="D770" s="165" t="s">
        <v>8</v>
      </c>
      <c r="E770" s="165" t="s">
        <v>8</v>
      </c>
      <c r="F770" s="165" t="s">
        <v>8</v>
      </c>
      <c r="G770" s="165" t="s">
        <v>8</v>
      </c>
      <c r="H770" s="165" t="s">
        <v>8</v>
      </c>
    </row>
    <row r="771">
      <c r="B771" s="165" t="s">
        <v>8</v>
      </c>
      <c r="C771" s="165" t="s">
        <v>8</v>
      </c>
      <c r="D771" s="165" t="s">
        <v>8</v>
      </c>
      <c r="E771" s="165" t="s">
        <v>8</v>
      </c>
      <c r="F771" s="165" t="s">
        <v>8</v>
      </c>
      <c r="G771" s="165" t="s">
        <v>8</v>
      </c>
      <c r="H771" s="165" t="s">
        <v>8</v>
      </c>
    </row>
    <row r="772">
      <c r="B772" s="165" t="s">
        <v>8</v>
      </c>
      <c r="C772" s="165" t="s">
        <v>8</v>
      </c>
      <c r="D772" s="165" t="s">
        <v>8</v>
      </c>
      <c r="E772" s="165" t="s">
        <v>8</v>
      </c>
      <c r="F772" s="165" t="s">
        <v>8</v>
      </c>
      <c r="G772" s="165" t="s">
        <v>8</v>
      </c>
      <c r="H772" s="165" t="s">
        <v>8</v>
      </c>
    </row>
    <row r="773">
      <c r="B773" s="165" t="s">
        <v>8</v>
      </c>
      <c r="C773" s="165" t="s">
        <v>8</v>
      </c>
      <c r="D773" s="165" t="s">
        <v>8</v>
      </c>
      <c r="E773" s="165" t="s">
        <v>8</v>
      </c>
      <c r="F773" s="165" t="s">
        <v>8</v>
      </c>
      <c r="G773" s="165" t="s">
        <v>8</v>
      </c>
      <c r="H773" s="165" t="s">
        <v>8</v>
      </c>
    </row>
    <row r="774">
      <c r="B774" s="165" t="s">
        <v>8</v>
      </c>
      <c r="C774" s="165" t="s">
        <v>8</v>
      </c>
      <c r="D774" s="165" t="s">
        <v>8</v>
      </c>
      <c r="E774" s="165" t="s">
        <v>8</v>
      </c>
      <c r="F774" s="165" t="s">
        <v>8</v>
      </c>
      <c r="G774" s="165" t="s">
        <v>8</v>
      </c>
      <c r="H774" s="165" t="s">
        <v>8</v>
      </c>
    </row>
    <row r="775">
      <c r="B775" s="165" t="s">
        <v>8</v>
      </c>
      <c r="C775" s="165" t="s">
        <v>8</v>
      </c>
      <c r="D775" s="165" t="s">
        <v>8</v>
      </c>
      <c r="E775" s="165" t="s">
        <v>8</v>
      </c>
      <c r="F775" s="165" t="s">
        <v>8</v>
      </c>
      <c r="G775" s="165" t="s">
        <v>8</v>
      </c>
      <c r="H775" s="165" t="s">
        <v>8</v>
      </c>
    </row>
    <row r="776">
      <c r="B776" s="165" t="s">
        <v>8</v>
      </c>
      <c r="C776" s="165" t="s">
        <v>8</v>
      </c>
      <c r="D776" s="165" t="s">
        <v>8</v>
      </c>
      <c r="E776" s="165" t="s">
        <v>8</v>
      </c>
      <c r="F776" s="165" t="s">
        <v>8</v>
      </c>
      <c r="G776" s="165" t="s">
        <v>8</v>
      </c>
      <c r="H776" s="165" t="s">
        <v>8</v>
      </c>
    </row>
    <row r="777">
      <c r="B777" s="165" t="s">
        <v>8</v>
      </c>
      <c r="C777" s="165" t="s">
        <v>8</v>
      </c>
      <c r="D777" s="165" t="s">
        <v>8</v>
      </c>
      <c r="E777" s="165" t="s">
        <v>8</v>
      </c>
      <c r="F777" s="165" t="s">
        <v>8</v>
      </c>
      <c r="G777" s="165" t="s">
        <v>8</v>
      </c>
      <c r="H777" s="165" t="s">
        <v>8</v>
      </c>
    </row>
    <row r="778">
      <c r="B778" s="165" t="s">
        <v>8</v>
      </c>
      <c r="C778" s="165" t="s">
        <v>8</v>
      </c>
      <c r="D778" s="165" t="s">
        <v>8</v>
      </c>
      <c r="E778" s="165" t="s">
        <v>8</v>
      </c>
      <c r="F778" s="165" t="s">
        <v>8</v>
      </c>
      <c r="G778" s="165" t="s">
        <v>8</v>
      </c>
      <c r="H778" s="165" t="s">
        <v>8</v>
      </c>
    </row>
    <row r="779">
      <c r="B779" s="165" t="s">
        <v>8</v>
      </c>
      <c r="C779" s="165" t="s">
        <v>8</v>
      </c>
      <c r="D779" s="165" t="s">
        <v>8</v>
      </c>
      <c r="E779" s="165" t="s">
        <v>8</v>
      </c>
      <c r="F779" s="165" t="s">
        <v>8</v>
      </c>
      <c r="G779" s="165" t="s">
        <v>8</v>
      </c>
      <c r="H779" s="165" t="s">
        <v>8</v>
      </c>
    </row>
    <row r="780">
      <c r="B780" s="165" t="s">
        <v>8</v>
      </c>
      <c r="C780" s="165" t="s">
        <v>8</v>
      </c>
      <c r="D780" s="165" t="s">
        <v>8</v>
      </c>
      <c r="E780" s="165" t="s">
        <v>8</v>
      </c>
      <c r="F780" s="165" t="s">
        <v>8</v>
      </c>
      <c r="G780" s="165" t="s">
        <v>8</v>
      </c>
      <c r="H780" s="165" t="s">
        <v>8</v>
      </c>
    </row>
    <row r="781">
      <c r="B781" s="165" t="s">
        <v>8</v>
      </c>
      <c r="C781" s="165" t="s">
        <v>8</v>
      </c>
      <c r="D781" s="165" t="s">
        <v>8</v>
      </c>
      <c r="E781" s="165" t="s">
        <v>8</v>
      </c>
      <c r="F781" s="165" t="s">
        <v>8</v>
      </c>
      <c r="G781" s="165" t="s">
        <v>8</v>
      </c>
      <c r="H781" s="165" t="s">
        <v>8</v>
      </c>
    </row>
    <row r="782">
      <c r="B782" s="165" t="s">
        <v>8</v>
      </c>
      <c r="C782" s="165" t="s">
        <v>8</v>
      </c>
      <c r="D782" s="165" t="s">
        <v>8</v>
      </c>
      <c r="E782" s="165" t="s">
        <v>8</v>
      </c>
      <c r="F782" s="165" t="s">
        <v>8</v>
      </c>
      <c r="G782" s="165" t="s">
        <v>8</v>
      </c>
      <c r="H782" s="165" t="s">
        <v>8</v>
      </c>
    </row>
    <row r="783">
      <c r="B783" s="165" t="s">
        <v>8</v>
      </c>
      <c r="C783" s="165" t="s">
        <v>8</v>
      </c>
      <c r="D783" s="165" t="s">
        <v>8</v>
      </c>
      <c r="E783" s="165" t="s">
        <v>8</v>
      </c>
      <c r="F783" s="165" t="s">
        <v>8</v>
      </c>
      <c r="G783" s="165" t="s">
        <v>8</v>
      </c>
      <c r="H783" s="165" t="s">
        <v>8</v>
      </c>
    </row>
    <row r="784">
      <c r="B784" s="165" t="s">
        <v>8</v>
      </c>
      <c r="C784" s="165" t="s">
        <v>8</v>
      </c>
      <c r="D784" s="165" t="s">
        <v>8</v>
      </c>
      <c r="E784" s="165" t="s">
        <v>8</v>
      </c>
      <c r="F784" s="165" t="s">
        <v>8</v>
      </c>
      <c r="G784" s="165" t="s">
        <v>8</v>
      </c>
      <c r="H784" s="165" t="s">
        <v>8</v>
      </c>
    </row>
    <row r="785">
      <c r="B785" s="165" t="s">
        <v>8</v>
      </c>
      <c r="C785" s="165" t="s">
        <v>8</v>
      </c>
      <c r="D785" s="165" t="s">
        <v>8</v>
      </c>
      <c r="E785" s="165" t="s">
        <v>8</v>
      </c>
      <c r="F785" s="165" t="s">
        <v>8</v>
      </c>
      <c r="G785" s="165" t="s">
        <v>8</v>
      </c>
      <c r="H785" s="165" t="s">
        <v>8</v>
      </c>
    </row>
    <row r="786">
      <c r="B786" s="165" t="s">
        <v>8</v>
      </c>
      <c r="C786" s="165" t="s">
        <v>8</v>
      </c>
      <c r="D786" s="165" t="s">
        <v>8</v>
      </c>
      <c r="E786" s="165" t="s">
        <v>8</v>
      </c>
      <c r="F786" s="165" t="s">
        <v>8</v>
      </c>
      <c r="G786" s="165" t="s">
        <v>8</v>
      </c>
      <c r="H786" s="165" t="s">
        <v>8</v>
      </c>
    </row>
    <row r="787">
      <c r="B787" s="165" t="s">
        <v>8</v>
      </c>
      <c r="C787" s="165" t="s">
        <v>8</v>
      </c>
      <c r="D787" s="165" t="s">
        <v>8</v>
      </c>
      <c r="E787" s="165" t="s">
        <v>8</v>
      </c>
      <c r="F787" s="165" t="s">
        <v>8</v>
      </c>
      <c r="G787" s="165" t="s">
        <v>8</v>
      </c>
      <c r="H787" s="165" t="s">
        <v>8</v>
      </c>
    </row>
    <row r="788">
      <c r="B788" s="165" t="s">
        <v>8</v>
      </c>
      <c r="C788" s="165" t="s">
        <v>8</v>
      </c>
      <c r="D788" s="165" t="s">
        <v>8</v>
      </c>
      <c r="E788" s="165" t="s">
        <v>8</v>
      </c>
      <c r="F788" s="165" t="s">
        <v>8</v>
      </c>
      <c r="G788" s="165" t="s">
        <v>8</v>
      </c>
      <c r="H788" s="165" t="s">
        <v>8</v>
      </c>
    </row>
    <row r="789">
      <c r="B789" s="165" t="s">
        <v>8</v>
      </c>
      <c r="C789" s="165" t="s">
        <v>8</v>
      </c>
      <c r="D789" s="165" t="s">
        <v>8</v>
      </c>
      <c r="E789" s="165" t="s">
        <v>8</v>
      </c>
      <c r="F789" s="165" t="s">
        <v>8</v>
      </c>
      <c r="G789" s="165" t="s">
        <v>8</v>
      </c>
      <c r="H789" s="165" t="s">
        <v>8</v>
      </c>
    </row>
    <row r="790">
      <c r="B790" s="165" t="s">
        <v>8</v>
      </c>
      <c r="C790" s="165" t="s">
        <v>8</v>
      </c>
      <c r="D790" s="165" t="s">
        <v>8</v>
      </c>
      <c r="E790" s="165" t="s">
        <v>8</v>
      </c>
      <c r="F790" s="165" t="s">
        <v>8</v>
      </c>
      <c r="G790" s="165" t="s">
        <v>8</v>
      </c>
      <c r="H790" s="165" t="s">
        <v>8</v>
      </c>
    </row>
    <row r="791">
      <c r="B791" s="165" t="s">
        <v>8</v>
      </c>
      <c r="C791" s="165" t="s">
        <v>8</v>
      </c>
      <c r="D791" s="165" t="s">
        <v>8</v>
      </c>
      <c r="E791" s="165" t="s">
        <v>8</v>
      </c>
      <c r="F791" s="165" t="s">
        <v>8</v>
      </c>
      <c r="G791" s="165" t="s">
        <v>8</v>
      </c>
      <c r="H791" s="165" t="s">
        <v>8</v>
      </c>
    </row>
    <row r="792">
      <c r="B792" s="165" t="s">
        <v>8</v>
      </c>
      <c r="C792" s="165" t="s">
        <v>8</v>
      </c>
      <c r="D792" s="165" t="s">
        <v>8</v>
      </c>
      <c r="E792" s="165" t="s">
        <v>8</v>
      </c>
      <c r="F792" s="165" t="s">
        <v>8</v>
      </c>
      <c r="G792" s="165" t="s">
        <v>8</v>
      </c>
      <c r="H792" s="165" t="s">
        <v>8</v>
      </c>
    </row>
    <row r="793">
      <c r="B793" s="165" t="s">
        <v>8</v>
      </c>
      <c r="C793" s="165" t="s">
        <v>8</v>
      </c>
      <c r="D793" s="165" t="s">
        <v>8</v>
      </c>
      <c r="E793" s="165" t="s">
        <v>8</v>
      </c>
      <c r="F793" s="165" t="s">
        <v>8</v>
      </c>
      <c r="G793" s="165" t="s">
        <v>8</v>
      </c>
      <c r="H793" s="165" t="s">
        <v>8</v>
      </c>
    </row>
    <row r="794">
      <c r="B794" s="165" t="s">
        <v>8</v>
      </c>
      <c r="C794" s="165" t="s">
        <v>8</v>
      </c>
      <c r="D794" s="165" t="s">
        <v>8</v>
      </c>
      <c r="E794" s="165" t="s">
        <v>8</v>
      </c>
      <c r="F794" s="165" t="s">
        <v>8</v>
      </c>
      <c r="G794" s="165" t="s">
        <v>8</v>
      </c>
      <c r="H794" s="165" t="s">
        <v>8</v>
      </c>
    </row>
    <row r="795">
      <c r="B795" s="165" t="s">
        <v>8</v>
      </c>
      <c r="C795" s="165" t="s">
        <v>8</v>
      </c>
      <c r="D795" s="165" t="s">
        <v>8</v>
      </c>
      <c r="E795" s="165" t="s">
        <v>8</v>
      </c>
      <c r="F795" s="165" t="s">
        <v>8</v>
      </c>
      <c r="G795" s="165" t="s">
        <v>8</v>
      </c>
      <c r="H795" s="165" t="s">
        <v>8</v>
      </c>
    </row>
    <row r="796">
      <c r="B796" s="165" t="s">
        <v>8</v>
      </c>
      <c r="C796" s="165" t="s">
        <v>8</v>
      </c>
      <c r="D796" s="165" t="s">
        <v>8</v>
      </c>
      <c r="E796" s="165" t="s">
        <v>8</v>
      </c>
      <c r="F796" s="165" t="s">
        <v>8</v>
      </c>
      <c r="G796" s="165" t="s">
        <v>8</v>
      </c>
      <c r="H796" s="165" t="s">
        <v>8</v>
      </c>
    </row>
    <row r="797">
      <c r="B797" s="165" t="s">
        <v>8</v>
      </c>
      <c r="C797" s="165" t="s">
        <v>8</v>
      </c>
      <c r="D797" s="165" t="s">
        <v>8</v>
      </c>
      <c r="E797" s="165" t="s">
        <v>8</v>
      </c>
      <c r="F797" s="165" t="s">
        <v>8</v>
      </c>
      <c r="G797" s="165" t="s">
        <v>8</v>
      </c>
      <c r="H797" s="165" t="s">
        <v>8</v>
      </c>
    </row>
    <row r="798">
      <c r="B798" s="165" t="s">
        <v>8</v>
      </c>
      <c r="C798" s="165" t="s">
        <v>8</v>
      </c>
      <c r="D798" s="165" t="s">
        <v>8</v>
      </c>
      <c r="E798" s="165" t="s">
        <v>8</v>
      </c>
      <c r="F798" s="165" t="s">
        <v>8</v>
      </c>
      <c r="G798" s="165" t="s">
        <v>8</v>
      </c>
      <c r="H798" s="165" t="s">
        <v>8</v>
      </c>
    </row>
    <row r="799">
      <c r="B799" s="165" t="s">
        <v>8</v>
      </c>
      <c r="C799" s="165" t="s">
        <v>8</v>
      </c>
      <c r="D799" s="165" t="s">
        <v>8</v>
      </c>
      <c r="E799" s="165" t="s">
        <v>8</v>
      </c>
      <c r="F799" s="165" t="s">
        <v>8</v>
      </c>
      <c r="G799" s="165" t="s">
        <v>8</v>
      </c>
      <c r="H799" s="165" t="s">
        <v>8</v>
      </c>
    </row>
    <row r="800">
      <c r="B800" s="165" t="s">
        <v>8</v>
      </c>
      <c r="C800" s="165" t="s">
        <v>8</v>
      </c>
      <c r="D800" s="165" t="s">
        <v>8</v>
      </c>
      <c r="E800" s="165" t="s">
        <v>8</v>
      </c>
      <c r="F800" s="165" t="s">
        <v>8</v>
      </c>
      <c r="G800" s="165" t="s">
        <v>8</v>
      </c>
      <c r="H800" s="165" t="s">
        <v>8</v>
      </c>
    </row>
    <row r="801">
      <c r="B801" s="165" t="s">
        <v>8</v>
      </c>
      <c r="C801" s="165" t="s">
        <v>8</v>
      </c>
      <c r="D801" s="165" t="s">
        <v>8</v>
      </c>
      <c r="E801" s="165" t="s">
        <v>8</v>
      </c>
      <c r="F801" s="165" t="s">
        <v>8</v>
      </c>
      <c r="G801" s="165" t="s">
        <v>8</v>
      </c>
      <c r="H801" s="165" t="s">
        <v>8</v>
      </c>
    </row>
    <row r="802">
      <c r="B802" s="165" t="s">
        <v>8</v>
      </c>
      <c r="C802" s="165" t="s">
        <v>8</v>
      </c>
      <c r="D802" s="165" t="s">
        <v>8</v>
      </c>
      <c r="E802" s="165" t="s">
        <v>8</v>
      </c>
      <c r="F802" s="165" t="s">
        <v>8</v>
      </c>
      <c r="G802" s="165" t="s">
        <v>8</v>
      </c>
      <c r="H802" s="165" t="s">
        <v>8</v>
      </c>
    </row>
    <row r="803">
      <c r="B803" s="165" t="s">
        <v>8</v>
      </c>
      <c r="C803" s="165" t="s">
        <v>8</v>
      </c>
      <c r="D803" s="165" t="s">
        <v>8</v>
      </c>
      <c r="E803" s="165" t="s">
        <v>8</v>
      </c>
      <c r="F803" s="165" t="s">
        <v>8</v>
      </c>
      <c r="G803" s="165" t="s">
        <v>8</v>
      </c>
      <c r="H803" s="165" t="s">
        <v>8</v>
      </c>
    </row>
    <row r="804">
      <c r="B804" s="165" t="s">
        <v>8</v>
      </c>
      <c r="C804" s="165" t="s">
        <v>8</v>
      </c>
      <c r="D804" s="165" t="s">
        <v>8</v>
      </c>
      <c r="E804" s="165" t="s">
        <v>8</v>
      </c>
      <c r="F804" s="165" t="s">
        <v>8</v>
      </c>
      <c r="G804" s="165" t="s">
        <v>8</v>
      </c>
      <c r="H804" s="165" t="s">
        <v>8</v>
      </c>
    </row>
    <row r="805">
      <c r="B805" s="165" t="s">
        <v>8</v>
      </c>
      <c r="C805" s="165" t="s">
        <v>8</v>
      </c>
      <c r="D805" s="165" t="s">
        <v>8</v>
      </c>
      <c r="E805" s="165" t="s">
        <v>8</v>
      </c>
      <c r="F805" s="165" t="s">
        <v>8</v>
      </c>
      <c r="G805" s="165" t="s">
        <v>8</v>
      </c>
      <c r="H805" s="165" t="s">
        <v>8</v>
      </c>
    </row>
    <row r="806">
      <c r="B806" s="165" t="s">
        <v>8</v>
      </c>
      <c r="C806" s="165" t="s">
        <v>8</v>
      </c>
      <c r="D806" s="165" t="s">
        <v>8</v>
      </c>
      <c r="E806" s="165" t="s">
        <v>8</v>
      </c>
      <c r="F806" s="165" t="s">
        <v>8</v>
      </c>
      <c r="G806" s="165" t="s">
        <v>8</v>
      </c>
      <c r="H806" s="165" t="s">
        <v>8</v>
      </c>
    </row>
    <row r="807">
      <c r="B807" s="165" t="s">
        <v>8</v>
      </c>
      <c r="C807" s="165" t="s">
        <v>8</v>
      </c>
      <c r="D807" s="165" t="s">
        <v>8</v>
      </c>
      <c r="E807" s="165" t="s">
        <v>8</v>
      </c>
      <c r="F807" s="165" t="s">
        <v>8</v>
      </c>
      <c r="G807" s="165" t="s">
        <v>8</v>
      </c>
      <c r="H807" s="165" t="s">
        <v>8</v>
      </c>
    </row>
    <row r="808">
      <c r="B808" s="165" t="s">
        <v>8</v>
      </c>
      <c r="C808" s="165" t="s">
        <v>8</v>
      </c>
      <c r="D808" s="165" t="s">
        <v>8</v>
      </c>
      <c r="E808" s="165" t="s">
        <v>8</v>
      </c>
      <c r="F808" s="165" t="s">
        <v>8</v>
      </c>
      <c r="G808" s="165" t="s">
        <v>8</v>
      </c>
      <c r="H808" s="165" t="s">
        <v>8</v>
      </c>
    </row>
    <row r="809">
      <c r="B809" s="165" t="s">
        <v>8</v>
      </c>
      <c r="C809" s="165" t="s">
        <v>8</v>
      </c>
      <c r="D809" s="165" t="s">
        <v>8</v>
      </c>
      <c r="E809" s="165" t="s">
        <v>8</v>
      </c>
      <c r="F809" s="165" t="s">
        <v>8</v>
      </c>
      <c r="G809" s="165" t="s">
        <v>8</v>
      </c>
      <c r="H809" s="165" t="s">
        <v>8</v>
      </c>
    </row>
    <row r="810">
      <c r="B810" s="165" t="s">
        <v>8</v>
      </c>
      <c r="C810" s="165" t="s">
        <v>8</v>
      </c>
      <c r="D810" s="165" t="s">
        <v>8</v>
      </c>
      <c r="E810" s="165" t="s">
        <v>8</v>
      </c>
      <c r="F810" s="165" t="s">
        <v>8</v>
      </c>
      <c r="G810" s="165" t="s">
        <v>8</v>
      </c>
      <c r="H810" s="165" t="s">
        <v>8</v>
      </c>
    </row>
    <row r="811">
      <c r="B811" s="165" t="s">
        <v>8</v>
      </c>
      <c r="C811" s="165" t="s">
        <v>8</v>
      </c>
      <c r="D811" s="165" t="s">
        <v>8</v>
      </c>
      <c r="E811" s="165" t="s">
        <v>8</v>
      </c>
      <c r="F811" s="165" t="s">
        <v>8</v>
      </c>
      <c r="G811" s="165" t="s">
        <v>8</v>
      </c>
      <c r="H811" s="165" t="s">
        <v>8</v>
      </c>
    </row>
    <row r="812">
      <c r="B812" s="165" t="s">
        <v>8</v>
      </c>
      <c r="C812" s="165" t="s">
        <v>8</v>
      </c>
      <c r="D812" s="165" t="s">
        <v>8</v>
      </c>
      <c r="E812" s="165" t="s">
        <v>8</v>
      </c>
      <c r="F812" s="165" t="s">
        <v>8</v>
      </c>
      <c r="G812" s="165" t="s">
        <v>8</v>
      </c>
      <c r="H812" s="165" t="s">
        <v>8</v>
      </c>
    </row>
    <row r="813">
      <c r="B813" s="165" t="s">
        <v>8</v>
      </c>
      <c r="C813" s="165" t="s">
        <v>8</v>
      </c>
      <c r="D813" s="165" t="s">
        <v>8</v>
      </c>
      <c r="E813" s="165" t="s">
        <v>8</v>
      </c>
      <c r="F813" s="165" t="s">
        <v>8</v>
      </c>
      <c r="G813" s="165" t="s">
        <v>8</v>
      </c>
      <c r="H813" s="165" t="s">
        <v>8</v>
      </c>
    </row>
    <row r="814">
      <c r="B814" s="165" t="s">
        <v>8</v>
      </c>
      <c r="C814" s="165" t="s">
        <v>8</v>
      </c>
      <c r="D814" s="165" t="s">
        <v>8</v>
      </c>
      <c r="E814" s="165" t="s">
        <v>8</v>
      </c>
      <c r="F814" s="165" t="s">
        <v>8</v>
      </c>
      <c r="G814" s="165" t="s">
        <v>8</v>
      </c>
      <c r="H814" s="165" t="s">
        <v>8</v>
      </c>
    </row>
    <row r="815">
      <c r="B815" s="165" t="s">
        <v>8</v>
      </c>
      <c r="C815" s="165" t="s">
        <v>8</v>
      </c>
      <c r="D815" s="165" t="s">
        <v>8</v>
      </c>
      <c r="E815" s="165" t="s">
        <v>8</v>
      </c>
      <c r="F815" s="165" t="s">
        <v>8</v>
      </c>
      <c r="G815" s="165" t="s">
        <v>8</v>
      </c>
      <c r="H815" s="165" t="s">
        <v>8</v>
      </c>
    </row>
    <row r="816">
      <c r="B816" s="165" t="s">
        <v>8</v>
      </c>
      <c r="C816" s="165" t="s">
        <v>8</v>
      </c>
      <c r="D816" s="165" t="s">
        <v>8</v>
      </c>
      <c r="E816" s="165" t="s">
        <v>8</v>
      </c>
      <c r="F816" s="165" t="s">
        <v>8</v>
      </c>
      <c r="G816" s="165" t="s">
        <v>8</v>
      </c>
      <c r="H816" s="165" t="s">
        <v>8</v>
      </c>
    </row>
    <row r="817">
      <c r="B817" s="165" t="s">
        <v>8</v>
      </c>
      <c r="C817" s="165" t="s">
        <v>8</v>
      </c>
      <c r="D817" s="165" t="s">
        <v>8</v>
      </c>
      <c r="E817" s="165" t="s">
        <v>8</v>
      </c>
      <c r="F817" s="165" t="s">
        <v>8</v>
      </c>
      <c r="G817" s="165" t="s">
        <v>8</v>
      </c>
      <c r="H817" s="165" t="s">
        <v>8</v>
      </c>
    </row>
    <row r="818">
      <c r="B818" s="165" t="s">
        <v>8</v>
      </c>
      <c r="C818" s="165" t="s">
        <v>8</v>
      </c>
      <c r="D818" s="165" t="s">
        <v>8</v>
      </c>
      <c r="E818" s="165" t="s">
        <v>8</v>
      </c>
      <c r="F818" s="165" t="s">
        <v>8</v>
      </c>
      <c r="G818" s="165" t="s">
        <v>8</v>
      </c>
      <c r="H818" s="165" t="s">
        <v>8</v>
      </c>
    </row>
    <row r="819">
      <c r="B819" s="165" t="s">
        <v>8</v>
      </c>
      <c r="C819" s="165" t="s">
        <v>8</v>
      </c>
      <c r="D819" s="165" t="s">
        <v>8</v>
      </c>
      <c r="E819" s="165" t="s">
        <v>8</v>
      </c>
      <c r="F819" s="165" t="s">
        <v>8</v>
      </c>
      <c r="G819" s="165" t="s">
        <v>8</v>
      </c>
      <c r="H819" s="165" t="s">
        <v>8</v>
      </c>
    </row>
    <row r="820">
      <c r="B820" s="165" t="s">
        <v>8</v>
      </c>
      <c r="C820" s="165" t="s">
        <v>8</v>
      </c>
      <c r="D820" s="165" t="s">
        <v>8</v>
      </c>
      <c r="E820" s="165" t="s">
        <v>8</v>
      </c>
      <c r="F820" s="165" t="s">
        <v>8</v>
      </c>
      <c r="G820" s="165" t="s">
        <v>8</v>
      </c>
      <c r="H820" s="165" t="s">
        <v>8</v>
      </c>
    </row>
    <row r="821">
      <c r="B821" s="165" t="s">
        <v>8</v>
      </c>
      <c r="C821" s="165" t="s">
        <v>8</v>
      </c>
      <c r="D821" s="165" t="s">
        <v>8</v>
      </c>
      <c r="E821" s="165" t="s">
        <v>8</v>
      </c>
      <c r="F821" s="165" t="s">
        <v>8</v>
      </c>
      <c r="G821" s="165" t="s">
        <v>8</v>
      </c>
      <c r="H821" s="165" t="s">
        <v>8</v>
      </c>
    </row>
    <row r="822">
      <c r="B822" s="165" t="s">
        <v>8</v>
      </c>
      <c r="C822" s="165" t="s">
        <v>8</v>
      </c>
      <c r="D822" s="165" t="s">
        <v>8</v>
      </c>
      <c r="E822" s="165" t="s">
        <v>8</v>
      </c>
      <c r="F822" s="165" t="s">
        <v>8</v>
      </c>
      <c r="G822" s="165" t="s">
        <v>8</v>
      </c>
      <c r="H822" s="165" t="s">
        <v>8</v>
      </c>
    </row>
    <row r="823">
      <c r="B823" s="165" t="s">
        <v>8</v>
      </c>
      <c r="C823" s="165" t="s">
        <v>8</v>
      </c>
      <c r="D823" s="165" t="s">
        <v>8</v>
      </c>
      <c r="E823" s="165" t="s">
        <v>8</v>
      </c>
      <c r="F823" s="165" t="s">
        <v>8</v>
      </c>
      <c r="G823" s="165" t="s">
        <v>8</v>
      </c>
      <c r="H823" s="165" t="s">
        <v>8</v>
      </c>
    </row>
    <row r="824">
      <c r="B824" s="165" t="s">
        <v>8</v>
      </c>
      <c r="C824" s="165" t="s">
        <v>8</v>
      </c>
      <c r="D824" s="165" t="s">
        <v>8</v>
      </c>
      <c r="E824" s="165" t="s">
        <v>8</v>
      </c>
      <c r="F824" s="165" t="s">
        <v>8</v>
      </c>
      <c r="G824" s="165" t="s">
        <v>8</v>
      </c>
      <c r="H824" s="165" t="s">
        <v>8</v>
      </c>
    </row>
    <row r="825">
      <c r="B825" s="165" t="s">
        <v>8</v>
      </c>
      <c r="C825" s="165" t="s">
        <v>8</v>
      </c>
      <c r="D825" s="165" t="s">
        <v>8</v>
      </c>
      <c r="E825" s="165" t="s">
        <v>8</v>
      </c>
      <c r="F825" s="165" t="s">
        <v>8</v>
      </c>
      <c r="G825" s="165" t="s">
        <v>8</v>
      </c>
      <c r="H825" s="165" t="s">
        <v>8</v>
      </c>
    </row>
    <row r="826">
      <c r="B826" s="165" t="s">
        <v>8</v>
      </c>
      <c r="C826" s="165" t="s">
        <v>8</v>
      </c>
      <c r="D826" s="165" t="s">
        <v>8</v>
      </c>
      <c r="E826" s="165" t="s">
        <v>8</v>
      </c>
      <c r="F826" s="165" t="s">
        <v>8</v>
      </c>
      <c r="G826" s="165" t="s">
        <v>8</v>
      </c>
      <c r="H826" s="165" t="s">
        <v>8</v>
      </c>
    </row>
    <row r="827">
      <c r="B827" s="165" t="s">
        <v>8</v>
      </c>
      <c r="C827" s="165" t="s">
        <v>8</v>
      </c>
      <c r="D827" s="165" t="s">
        <v>8</v>
      </c>
      <c r="E827" s="165" t="s">
        <v>8</v>
      </c>
      <c r="F827" s="165" t="s">
        <v>8</v>
      </c>
      <c r="G827" s="165" t="s">
        <v>8</v>
      </c>
      <c r="H827" s="165" t="s">
        <v>8</v>
      </c>
    </row>
    <row r="828">
      <c r="B828" s="165" t="s">
        <v>8</v>
      </c>
      <c r="C828" s="165" t="s">
        <v>8</v>
      </c>
      <c r="D828" s="165" t="s">
        <v>8</v>
      </c>
      <c r="E828" s="165" t="s">
        <v>8</v>
      </c>
      <c r="F828" s="165" t="s">
        <v>8</v>
      </c>
      <c r="G828" s="165" t="s">
        <v>8</v>
      </c>
      <c r="H828" s="165" t="s">
        <v>8</v>
      </c>
    </row>
    <row r="829">
      <c r="B829" s="165" t="s">
        <v>8</v>
      </c>
      <c r="C829" s="165" t="s">
        <v>8</v>
      </c>
      <c r="D829" s="165" t="s">
        <v>8</v>
      </c>
      <c r="E829" s="165" t="s">
        <v>8</v>
      </c>
      <c r="F829" s="165" t="s">
        <v>8</v>
      </c>
      <c r="G829" s="165" t="s">
        <v>8</v>
      </c>
      <c r="H829" s="165" t="s">
        <v>8</v>
      </c>
    </row>
    <row r="830">
      <c r="B830" s="165" t="s">
        <v>8</v>
      </c>
      <c r="C830" s="165" t="s">
        <v>8</v>
      </c>
      <c r="D830" s="165" t="s">
        <v>8</v>
      </c>
      <c r="E830" s="165" t="s">
        <v>8</v>
      </c>
      <c r="F830" s="165" t="s">
        <v>8</v>
      </c>
      <c r="G830" s="165" t="s">
        <v>8</v>
      </c>
      <c r="H830" s="165" t="s">
        <v>8</v>
      </c>
    </row>
    <row r="831">
      <c r="B831" s="165" t="s">
        <v>8</v>
      </c>
      <c r="C831" s="165" t="s">
        <v>8</v>
      </c>
      <c r="D831" s="165" t="s">
        <v>8</v>
      </c>
      <c r="E831" s="165" t="s">
        <v>8</v>
      </c>
      <c r="F831" s="165" t="s">
        <v>8</v>
      </c>
      <c r="G831" s="165" t="s">
        <v>8</v>
      </c>
      <c r="H831" s="165" t="s">
        <v>8</v>
      </c>
    </row>
    <row r="832">
      <c r="B832" s="165" t="s">
        <v>8</v>
      </c>
      <c r="C832" s="165" t="s">
        <v>8</v>
      </c>
      <c r="D832" s="165" t="s">
        <v>8</v>
      </c>
      <c r="E832" s="165" t="s">
        <v>8</v>
      </c>
      <c r="F832" s="165" t="s">
        <v>8</v>
      </c>
      <c r="G832" s="165" t="s">
        <v>8</v>
      </c>
      <c r="H832" s="165" t="s">
        <v>8</v>
      </c>
    </row>
    <row r="833">
      <c r="B833" s="165" t="s">
        <v>8</v>
      </c>
      <c r="C833" s="165" t="s">
        <v>8</v>
      </c>
      <c r="D833" s="165" t="s">
        <v>8</v>
      </c>
      <c r="E833" s="165" t="s">
        <v>8</v>
      </c>
      <c r="F833" s="165" t="s">
        <v>8</v>
      </c>
      <c r="G833" s="165" t="s">
        <v>8</v>
      </c>
      <c r="H833" s="165" t="s">
        <v>8</v>
      </c>
    </row>
    <row r="834">
      <c r="B834" s="165" t="s">
        <v>8</v>
      </c>
      <c r="C834" s="165" t="s">
        <v>8</v>
      </c>
      <c r="D834" s="165" t="s">
        <v>8</v>
      </c>
      <c r="E834" s="165" t="s">
        <v>8</v>
      </c>
      <c r="F834" s="165" t="s">
        <v>8</v>
      </c>
      <c r="G834" s="165" t="s">
        <v>8</v>
      </c>
      <c r="H834" s="165" t="s">
        <v>8</v>
      </c>
    </row>
    <row r="835">
      <c r="B835" s="165" t="s">
        <v>8</v>
      </c>
      <c r="C835" s="165" t="s">
        <v>8</v>
      </c>
      <c r="D835" s="165" t="s">
        <v>8</v>
      </c>
      <c r="E835" s="165" t="s">
        <v>8</v>
      </c>
      <c r="F835" s="165" t="s">
        <v>8</v>
      </c>
      <c r="G835" s="165" t="s">
        <v>8</v>
      </c>
      <c r="H835" s="165" t="s">
        <v>8</v>
      </c>
    </row>
    <row r="836">
      <c r="B836" s="165" t="s">
        <v>8</v>
      </c>
      <c r="C836" s="165" t="s">
        <v>8</v>
      </c>
      <c r="D836" s="165" t="s">
        <v>8</v>
      </c>
      <c r="E836" s="165" t="s">
        <v>8</v>
      </c>
      <c r="F836" s="165" t="s">
        <v>8</v>
      </c>
      <c r="G836" s="165" t="s">
        <v>8</v>
      </c>
      <c r="H836" s="165" t="s">
        <v>8</v>
      </c>
    </row>
    <row r="837">
      <c r="B837" s="165" t="s">
        <v>8</v>
      </c>
      <c r="C837" s="165" t="s">
        <v>8</v>
      </c>
      <c r="D837" s="165" t="s">
        <v>8</v>
      </c>
      <c r="E837" s="165" t="s">
        <v>8</v>
      </c>
      <c r="F837" s="165" t="s">
        <v>8</v>
      </c>
      <c r="G837" s="165" t="s">
        <v>8</v>
      </c>
      <c r="H837" s="165" t="s">
        <v>8</v>
      </c>
    </row>
    <row r="838">
      <c r="B838" s="165" t="s">
        <v>8</v>
      </c>
      <c r="C838" s="165" t="s">
        <v>8</v>
      </c>
      <c r="D838" s="165" t="s">
        <v>8</v>
      </c>
      <c r="E838" s="165" t="s">
        <v>8</v>
      </c>
      <c r="F838" s="165" t="s">
        <v>8</v>
      </c>
      <c r="G838" s="165" t="s">
        <v>8</v>
      </c>
      <c r="H838" s="165" t="s">
        <v>8</v>
      </c>
    </row>
    <row r="839">
      <c r="B839" s="165" t="s">
        <v>8</v>
      </c>
      <c r="C839" s="165" t="s">
        <v>8</v>
      </c>
      <c r="D839" s="165" t="s">
        <v>8</v>
      </c>
      <c r="E839" s="165" t="s">
        <v>8</v>
      </c>
      <c r="F839" s="165" t="s">
        <v>8</v>
      </c>
      <c r="G839" s="165" t="s">
        <v>8</v>
      </c>
      <c r="H839" s="165" t="s">
        <v>8</v>
      </c>
    </row>
    <row r="840">
      <c r="B840" s="165" t="s">
        <v>8</v>
      </c>
      <c r="C840" s="165" t="s">
        <v>8</v>
      </c>
      <c r="D840" s="165" t="s">
        <v>8</v>
      </c>
      <c r="E840" s="165" t="s">
        <v>8</v>
      </c>
      <c r="F840" s="165" t="s">
        <v>8</v>
      </c>
      <c r="G840" s="165" t="s">
        <v>8</v>
      </c>
      <c r="H840" s="165" t="s">
        <v>8</v>
      </c>
    </row>
    <row r="841">
      <c r="B841" s="165" t="s">
        <v>8</v>
      </c>
      <c r="C841" s="165" t="s">
        <v>8</v>
      </c>
      <c r="D841" s="165" t="s">
        <v>8</v>
      </c>
      <c r="E841" s="165" t="s">
        <v>8</v>
      </c>
      <c r="F841" s="165" t="s">
        <v>8</v>
      </c>
      <c r="G841" s="165" t="s">
        <v>8</v>
      </c>
      <c r="H841" s="165" t="s">
        <v>8</v>
      </c>
    </row>
    <row r="842">
      <c r="B842" s="165" t="s">
        <v>8</v>
      </c>
      <c r="C842" s="165" t="s">
        <v>8</v>
      </c>
      <c r="D842" s="165" t="s">
        <v>8</v>
      </c>
      <c r="E842" s="165" t="s">
        <v>8</v>
      </c>
      <c r="F842" s="165" t="s">
        <v>8</v>
      </c>
      <c r="G842" s="165" t="s">
        <v>8</v>
      </c>
      <c r="H842" s="165" t="s">
        <v>8</v>
      </c>
    </row>
    <row r="843">
      <c r="B843" s="165" t="s">
        <v>8</v>
      </c>
      <c r="C843" s="165" t="s">
        <v>8</v>
      </c>
      <c r="D843" s="165" t="s">
        <v>8</v>
      </c>
      <c r="E843" s="165" t="s">
        <v>8</v>
      </c>
      <c r="F843" s="165" t="s">
        <v>8</v>
      </c>
      <c r="G843" s="165" t="s">
        <v>8</v>
      </c>
      <c r="H843" s="165" t="s">
        <v>8</v>
      </c>
    </row>
    <row r="844">
      <c r="B844" s="165" t="s">
        <v>8</v>
      </c>
      <c r="C844" s="165" t="s">
        <v>8</v>
      </c>
      <c r="D844" s="165" t="s">
        <v>8</v>
      </c>
      <c r="E844" s="165" t="s">
        <v>8</v>
      </c>
      <c r="F844" s="165" t="s">
        <v>8</v>
      </c>
      <c r="G844" s="165" t="s">
        <v>8</v>
      </c>
      <c r="H844" s="165" t="s">
        <v>8</v>
      </c>
    </row>
    <row r="845">
      <c r="B845" s="165" t="s">
        <v>8</v>
      </c>
      <c r="C845" s="165" t="s">
        <v>8</v>
      </c>
      <c r="D845" s="165" t="s">
        <v>8</v>
      </c>
      <c r="E845" s="165" t="s">
        <v>8</v>
      </c>
      <c r="F845" s="165" t="s">
        <v>8</v>
      </c>
      <c r="G845" s="165" t="s">
        <v>8</v>
      </c>
      <c r="H845" s="165" t="s">
        <v>8</v>
      </c>
    </row>
    <row r="846">
      <c r="B846" s="165" t="s">
        <v>8</v>
      </c>
      <c r="C846" s="165" t="s">
        <v>8</v>
      </c>
      <c r="D846" s="165" t="s">
        <v>8</v>
      </c>
      <c r="E846" s="165" t="s">
        <v>8</v>
      </c>
      <c r="F846" s="165" t="s">
        <v>8</v>
      </c>
      <c r="G846" s="165" t="s">
        <v>8</v>
      </c>
      <c r="H846" s="165" t="s">
        <v>8</v>
      </c>
    </row>
    <row r="847">
      <c r="B847" s="165" t="s">
        <v>8</v>
      </c>
      <c r="C847" s="165" t="s">
        <v>8</v>
      </c>
      <c r="D847" s="165" t="s">
        <v>8</v>
      </c>
      <c r="E847" s="165" t="s">
        <v>8</v>
      </c>
      <c r="F847" s="165" t="s">
        <v>8</v>
      </c>
      <c r="G847" s="165" t="s">
        <v>8</v>
      </c>
      <c r="H847" s="165" t="s">
        <v>8</v>
      </c>
    </row>
    <row r="848">
      <c r="B848" s="165" t="s">
        <v>8</v>
      </c>
      <c r="C848" s="165" t="s">
        <v>8</v>
      </c>
      <c r="D848" s="165" t="s">
        <v>8</v>
      </c>
      <c r="E848" s="165" t="s">
        <v>8</v>
      </c>
      <c r="F848" s="165" t="s">
        <v>8</v>
      </c>
      <c r="G848" s="165" t="s">
        <v>8</v>
      </c>
      <c r="H848" s="165" t="s">
        <v>8</v>
      </c>
    </row>
    <row r="849">
      <c r="B849" s="165" t="s">
        <v>8</v>
      </c>
      <c r="C849" s="165" t="s">
        <v>8</v>
      </c>
      <c r="D849" s="165" t="s">
        <v>8</v>
      </c>
      <c r="E849" s="165" t="s">
        <v>8</v>
      </c>
      <c r="F849" s="165" t="s">
        <v>8</v>
      </c>
      <c r="G849" s="165" t="s">
        <v>8</v>
      </c>
      <c r="H849" s="165" t="s">
        <v>8</v>
      </c>
    </row>
    <row r="850">
      <c r="B850" s="165" t="s">
        <v>8</v>
      </c>
      <c r="C850" s="165" t="s">
        <v>8</v>
      </c>
      <c r="D850" s="165" t="s">
        <v>8</v>
      </c>
      <c r="E850" s="165" t="s">
        <v>8</v>
      </c>
      <c r="F850" s="165" t="s">
        <v>8</v>
      </c>
      <c r="G850" s="165" t="s">
        <v>8</v>
      </c>
      <c r="H850" s="165" t="s">
        <v>8</v>
      </c>
    </row>
    <row r="851">
      <c r="B851" s="165" t="s">
        <v>8</v>
      </c>
      <c r="C851" s="165" t="s">
        <v>8</v>
      </c>
      <c r="D851" s="165" t="s">
        <v>8</v>
      </c>
      <c r="E851" s="165" t="s">
        <v>8</v>
      </c>
      <c r="F851" s="165" t="s">
        <v>8</v>
      </c>
      <c r="G851" s="165" t="s">
        <v>8</v>
      </c>
      <c r="H851" s="165" t="s">
        <v>8</v>
      </c>
    </row>
    <row r="852">
      <c r="B852" s="165" t="s">
        <v>8</v>
      </c>
      <c r="C852" s="165" t="s">
        <v>8</v>
      </c>
      <c r="D852" s="165" t="s">
        <v>8</v>
      </c>
      <c r="E852" s="165" t="s">
        <v>8</v>
      </c>
      <c r="F852" s="165" t="s">
        <v>8</v>
      </c>
      <c r="G852" s="165" t="s">
        <v>8</v>
      </c>
      <c r="H852" s="165" t="s">
        <v>8</v>
      </c>
    </row>
    <row r="853">
      <c r="B853" s="165" t="s">
        <v>8</v>
      </c>
      <c r="C853" s="165" t="s">
        <v>8</v>
      </c>
      <c r="D853" s="165" t="s">
        <v>8</v>
      </c>
      <c r="E853" s="165" t="s">
        <v>8</v>
      </c>
      <c r="F853" s="165" t="s">
        <v>8</v>
      </c>
      <c r="G853" s="165" t="s">
        <v>8</v>
      </c>
      <c r="H853" s="165" t="s">
        <v>8</v>
      </c>
    </row>
    <row r="854">
      <c r="B854" s="165" t="s">
        <v>8</v>
      </c>
      <c r="C854" s="165" t="s">
        <v>8</v>
      </c>
      <c r="D854" s="165" t="s">
        <v>8</v>
      </c>
      <c r="E854" s="165" t="s">
        <v>8</v>
      </c>
      <c r="F854" s="165" t="s">
        <v>8</v>
      </c>
      <c r="G854" s="165" t="s">
        <v>8</v>
      </c>
      <c r="H854" s="165" t="s">
        <v>8</v>
      </c>
    </row>
    <row r="855">
      <c r="B855" s="165" t="s">
        <v>8</v>
      </c>
      <c r="C855" s="165" t="s">
        <v>8</v>
      </c>
      <c r="D855" s="165" t="s">
        <v>8</v>
      </c>
      <c r="E855" s="165" t="s">
        <v>8</v>
      </c>
      <c r="F855" s="165" t="s">
        <v>8</v>
      </c>
      <c r="G855" s="165" t="s">
        <v>8</v>
      </c>
      <c r="H855" s="165" t="s">
        <v>8</v>
      </c>
    </row>
    <row r="856">
      <c r="B856" s="165" t="s">
        <v>8</v>
      </c>
      <c r="C856" s="165" t="s">
        <v>8</v>
      </c>
      <c r="D856" s="165" t="s">
        <v>8</v>
      </c>
      <c r="E856" s="165" t="s">
        <v>8</v>
      </c>
      <c r="F856" s="165" t="s">
        <v>8</v>
      </c>
      <c r="G856" s="165" t="s">
        <v>8</v>
      </c>
      <c r="H856" s="165" t="s">
        <v>8</v>
      </c>
    </row>
    <row r="857">
      <c r="B857" s="165" t="s">
        <v>8</v>
      </c>
      <c r="C857" s="165" t="s">
        <v>8</v>
      </c>
      <c r="D857" s="165" t="s">
        <v>8</v>
      </c>
      <c r="E857" s="165" t="s">
        <v>8</v>
      </c>
      <c r="F857" s="165" t="s">
        <v>8</v>
      </c>
      <c r="G857" s="165" t="s">
        <v>8</v>
      </c>
      <c r="H857" s="165" t="s">
        <v>8</v>
      </c>
    </row>
    <row r="858">
      <c r="B858" s="165" t="s">
        <v>8</v>
      </c>
      <c r="C858" s="165" t="s">
        <v>8</v>
      </c>
      <c r="D858" s="165" t="s">
        <v>8</v>
      </c>
      <c r="E858" s="165" t="s">
        <v>8</v>
      </c>
      <c r="F858" s="165" t="s">
        <v>8</v>
      </c>
      <c r="G858" s="165" t="s">
        <v>8</v>
      </c>
      <c r="H858" s="165" t="s">
        <v>8</v>
      </c>
    </row>
    <row r="859">
      <c r="B859" s="165" t="s">
        <v>8</v>
      </c>
      <c r="C859" s="165" t="s">
        <v>8</v>
      </c>
      <c r="D859" s="165" t="s">
        <v>8</v>
      </c>
      <c r="E859" s="165" t="s">
        <v>8</v>
      </c>
      <c r="F859" s="165" t="s">
        <v>8</v>
      </c>
      <c r="G859" s="165" t="s">
        <v>8</v>
      </c>
      <c r="H859" s="165" t="s">
        <v>8</v>
      </c>
    </row>
    <row r="860">
      <c r="B860" s="165" t="s">
        <v>8</v>
      </c>
      <c r="C860" s="165" t="s">
        <v>8</v>
      </c>
      <c r="D860" s="165" t="s">
        <v>8</v>
      </c>
      <c r="E860" s="165" t="s">
        <v>8</v>
      </c>
      <c r="F860" s="165" t="s">
        <v>8</v>
      </c>
      <c r="G860" s="165" t="s">
        <v>8</v>
      </c>
      <c r="H860" s="165" t="s">
        <v>8</v>
      </c>
    </row>
    <row r="861">
      <c r="B861" s="165" t="s">
        <v>8</v>
      </c>
      <c r="C861" s="165" t="s">
        <v>8</v>
      </c>
      <c r="D861" s="165" t="s">
        <v>8</v>
      </c>
      <c r="E861" s="165" t="s">
        <v>8</v>
      </c>
      <c r="F861" s="165" t="s">
        <v>8</v>
      </c>
      <c r="G861" s="165" t="s">
        <v>8</v>
      </c>
      <c r="H861" s="165" t="s">
        <v>8</v>
      </c>
    </row>
    <row r="862">
      <c r="B862" s="165" t="s">
        <v>8</v>
      </c>
      <c r="C862" s="165" t="s">
        <v>8</v>
      </c>
      <c r="D862" s="165" t="s">
        <v>8</v>
      </c>
      <c r="E862" s="165" t="s">
        <v>8</v>
      </c>
      <c r="F862" s="165" t="s">
        <v>8</v>
      </c>
      <c r="G862" s="165" t="s">
        <v>8</v>
      </c>
      <c r="H862" s="165" t="s">
        <v>8</v>
      </c>
    </row>
    <row r="863">
      <c r="B863" s="165" t="s">
        <v>8</v>
      </c>
      <c r="C863" s="165" t="s">
        <v>8</v>
      </c>
      <c r="D863" s="165" t="s">
        <v>8</v>
      </c>
      <c r="E863" s="165" t="s">
        <v>8</v>
      </c>
      <c r="F863" s="165" t="s">
        <v>8</v>
      </c>
      <c r="G863" s="165" t="s">
        <v>8</v>
      </c>
      <c r="H863" s="165" t="s">
        <v>8</v>
      </c>
    </row>
    <row r="864">
      <c r="B864" s="165" t="s">
        <v>8</v>
      </c>
      <c r="C864" s="165" t="s">
        <v>8</v>
      </c>
      <c r="D864" s="165" t="s">
        <v>8</v>
      </c>
      <c r="E864" s="165" t="s">
        <v>8</v>
      </c>
      <c r="F864" s="165" t="s">
        <v>8</v>
      </c>
      <c r="G864" s="165" t="s">
        <v>8</v>
      </c>
      <c r="H864" s="165" t="s">
        <v>8</v>
      </c>
    </row>
    <row r="865">
      <c r="B865" s="165" t="s">
        <v>8</v>
      </c>
      <c r="C865" s="165" t="s">
        <v>8</v>
      </c>
      <c r="D865" s="165" t="s">
        <v>8</v>
      </c>
      <c r="E865" s="165" t="s">
        <v>8</v>
      </c>
      <c r="F865" s="165" t="s">
        <v>8</v>
      </c>
      <c r="G865" s="165" t="s">
        <v>8</v>
      </c>
      <c r="H865" s="165" t="s">
        <v>8</v>
      </c>
    </row>
    <row r="866">
      <c r="B866" s="165" t="s">
        <v>8</v>
      </c>
      <c r="C866" s="165" t="s">
        <v>8</v>
      </c>
      <c r="D866" s="165" t="s">
        <v>8</v>
      </c>
      <c r="E866" s="165" t="s">
        <v>8</v>
      </c>
      <c r="F866" s="165" t="s">
        <v>8</v>
      </c>
      <c r="G866" s="165" t="s">
        <v>8</v>
      </c>
      <c r="H866" s="165" t="s">
        <v>8</v>
      </c>
    </row>
    <row r="867">
      <c r="B867" s="165" t="s">
        <v>8</v>
      </c>
      <c r="C867" s="165" t="s">
        <v>8</v>
      </c>
      <c r="D867" s="165" t="s">
        <v>8</v>
      </c>
      <c r="E867" s="165" t="s">
        <v>8</v>
      </c>
      <c r="F867" s="165" t="s">
        <v>8</v>
      </c>
      <c r="G867" s="165" t="s">
        <v>8</v>
      </c>
      <c r="H867" s="165" t="s">
        <v>8</v>
      </c>
    </row>
    <row r="868">
      <c r="B868" s="165" t="s">
        <v>8</v>
      </c>
      <c r="C868" s="165" t="s">
        <v>8</v>
      </c>
      <c r="D868" s="165" t="s">
        <v>8</v>
      </c>
      <c r="E868" s="165" t="s">
        <v>8</v>
      </c>
      <c r="F868" s="165" t="s">
        <v>8</v>
      </c>
      <c r="G868" s="165" t="s">
        <v>8</v>
      </c>
      <c r="H868" s="165" t="s">
        <v>8</v>
      </c>
    </row>
    <row r="869">
      <c r="B869" s="165" t="s">
        <v>8</v>
      </c>
      <c r="C869" s="165" t="s">
        <v>8</v>
      </c>
      <c r="D869" s="165" t="s">
        <v>8</v>
      </c>
      <c r="E869" s="165" t="s">
        <v>8</v>
      </c>
      <c r="F869" s="165" t="s">
        <v>8</v>
      </c>
      <c r="G869" s="165" t="s">
        <v>8</v>
      </c>
      <c r="H869" s="165" t="s">
        <v>8</v>
      </c>
    </row>
    <row r="870">
      <c r="B870" s="165" t="s">
        <v>8</v>
      </c>
      <c r="C870" s="165" t="s">
        <v>8</v>
      </c>
      <c r="D870" s="165" t="s">
        <v>8</v>
      </c>
      <c r="E870" s="165" t="s">
        <v>8</v>
      </c>
      <c r="F870" s="165" t="s">
        <v>8</v>
      </c>
      <c r="G870" s="165" t="s">
        <v>8</v>
      </c>
      <c r="H870" s="165" t="s">
        <v>8</v>
      </c>
    </row>
    <row r="871">
      <c r="B871" s="165" t="s">
        <v>8</v>
      </c>
      <c r="C871" s="165" t="s">
        <v>8</v>
      </c>
      <c r="D871" s="165" t="s">
        <v>8</v>
      </c>
      <c r="E871" s="165" t="s">
        <v>8</v>
      </c>
      <c r="F871" s="165" t="s">
        <v>8</v>
      </c>
      <c r="G871" s="165" t="s">
        <v>8</v>
      </c>
      <c r="H871" s="165" t="s">
        <v>8</v>
      </c>
    </row>
    <row r="872">
      <c r="B872" s="165" t="s">
        <v>8</v>
      </c>
      <c r="C872" s="165" t="s">
        <v>8</v>
      </c>
      <c r="D872" s="165" t="s">
        <v>8</v>
      </c>
      <c r="E872" s="165" t="s">
        <v>8</v>
      </c>
      <c r="F872" s="165" t="s">
        <v>8</v>
      </c>
      <c r="G872" s="165" t="s">
        <v>8</v>
      </c>
      <c r="H872" s="165" t="s">
        <v>8</v>
      </c>
    </row>
    <row r="873">
      <c r="B873" s="165" t="s">
        <v>8</v>
      </c>
      <c r="C873" s="165" t="s">
        <v>8</v>
      </c>
      <c r="D873" s="165" t="s">
        <v>8</v>
      </c>
      <c r="E873" s="165" t="s">
        <v>8</v>
      </c>
      <c r="F873" s="165" t="s">
        <v>8</v>
      </c>
      <c r="G873" s="165" t="s">
        <v>8</v>
      </c>
      <c r="H873" s="165" t="s">
        <v>8</v>
      </c>
    </row>
    <row r="874">
      <c r="B874" s="165" t="s">
        <v>8</v>
      </c>
      <c r="C874" s="165" t="s">
        <v>8</v>
      </c>
      <c r="D874" s="165" t="s">
        <v>8</v>
      </c>
      <c r="E874" s="165" t="s">
        <v>8</v>
      </c>
      <c r="F874" s="165" t="s">
        <v>8</v>
      </c>
      <c r="G874" s="165" t="s">
        <v>8</v>
      </c>
      <c r="H874" s="165" t="s">
        <v>8</v>
      </c>
    </row>
    <row r="875">
      <c r="B875" s="165" t="s">
        <v>8</v>
      </c>
      <c r="C875" s="165" t="s">
        <v>8</v>
      </c>
      <c r="D875" s="165" t="s">
        <v>8</v>
      </c>
      <c r="E875" s="165" t="s">
        <v>8</v>
      </c>
      <c r="F875" s="165" t="s">
        <v>8</v>
      </c>
      <c r="G875" s="165" t="s">
        <v>8</v>
      </c>
      <c r="H875" s="165" t="s">
        <v>8</v>
      </c>
    </row>
    <row r="876">
      <c r="B876" s="165" t="s">
        <v>8</v>
      </c>
      <c r="C876" s="165" t="s">
        <v>8</v>
      </c>
      <c r="D876" s="165" t="s">
        <v>8</v>
      </c>
      <c r="E876" s="165" t="s">
        <v>8</v>
      </c>
      <c r="F876" s="165" t="s">
        <v>8</v>
      </c>
      <c r="G876" s="165" t="s">
        <v>8</v>
      </c>
      <c r="H876" s="165" t="s">
        <v>8</v>
      </c>
    </row>
    <row r="877">
      <c r="B877" s="165" t="s">
        <v>8</v>
      </c>
      <c r="C877" s="165" t="s">
        <v>8</v>
      </c>
      <c r="D877" s="165" t="s">
        <v>8</v>
      </c>
      <c r="E877" s="165" t="s">
        <v>8</v>
      </c>
      <c r="F877" s="165" t="s">
        <v>8</v>
      </c>
      <c r="G877" s="165" t="s">
        <v>8</v>
      </c>
      <c r="H877" s="165" t="s">
        <v>8</v>
      </c>
    </row>
    <row r="878">
      <c r="B878" s="165" t="s">
        <v>8</v>
      </c>
      <c r="C878" s="165" t="s">
        <v>8</v>
      </c>
      <c r="D878" s="165" t="s">
        <v>8</v>
      </c>
      <c r="E878" s="165" t="s">
        <v>8</v>
      </c>
      <c r="F878" s="165" t="s">
        <v>8</v>
      </c>
      <c r="G878" s="165" t="s">
        <v>8</v>
      </c>
      <c r="H878" s="165" t="s">
        <v>8</v>
      </c>
    </row>
    <row r="879">
      <c r="B879" s="165" t="s">
        <v>8</v>
      </c>
      <c r="C879" s="165" t="s">
        <v>8</v>
      </c>
      <c r="D879" s="165" t="s">
        <v>8</v>
      </c>
      <c r="E879" s="165" t="s">
        <v>8</v>
      </c>
      <c r="F879" s="165" t="s">
        <v>8</v>
      </c>
      <c r="G879" s="165" t="s">
        <v>8</v>
      </c>
      <c r="H879" s="165" t="s">
        <v>8</v>
      </c>
    </row>
    <row r="880">
      <c r="B880" s="165" t="s">
        <v>8</v>
      </c>
      <c r="C880" s="165" t="s">
        <v>8</v>
      </c>
      <c r="D880" s="165" t="s">
        <v>8</v>
      </c>
      <c r="E880" s="165" t="s">
        <v>8</v>
      </c>
      <c r="F880" s="165" t="s">
        <v>8</v>
      </c>
      <c r="G880" s="165" t="s">
        <v>8</v>
      </c>
      <c r="H880" s="165" t="s">
        <v>8</v>
      </c>
    </row>
    <row r="881">
      <c r="B881" s="165" t="s">
        <v>8</v>
      </c>
      <c r="C881" s="165" t="s">
        <v>8</v>
      </c>
      <c r="D881" s="165" t="s">
        <v>8</v>
      </c>
      <c r="E881" s="165" t="s">
        <v>8</v>
      </c>
      <c r="F881" s="165" t="s">
        <v>8</v>
      </c>
      <c r="G881" s="165" t="s">
        <v>8</v>
      </c>
      <c r="H881" s="165" t="s">
        <v>8</v>
      </c>
    </row>
    <row r="882">
      <c r="B882" s="165" t="s">
        <v>8</v>
      </c>
      <c r="C882" s="165" t="s">
        <v>8</v>
      </c>
      <c r="D882" s="165" t="s">
        <v>8</v>
      </c>
      <c r="E882" s="165" t="s">
        <v>8</v>
      </c>
      <c r="F882" s="165" t="s">
        <v>8</v>
      </c>
      <c r="G882" s="165" t="s">
        <v>8</v>
      </c>
      <c r="H882" s="165" t="s">
        <v>8</v>
      </c>
    </row>
    <row r="883">
      <c r="B883" s="165" t="s">
        <v>8</v>
      </c>
      <c r="C883" s="165" t="s">
        <v>8</v>
      </c>
      <c r="D883" s="165" t="s">
        <v>8</v>
      </c>
      <c r="E883" s="165" t="s">
        <v>8</v>
      </c>
      <c r="F883" s="165" t="s">
        <v>8</v>
      </c>
      <c r="G883" s="165" t="s">
        <v>8</v>
      </c>
      <c r="H883" s="165" t="s">
        <v>8</v>
      </c>
    </row>
    <row r="884">
      <c r="B884" s="165" t="s">
        <v>8</v>
      </c>
      <c r="C884" s="165" t="s">
        <v>8</v>
      </c>
      <c r="D884" s="165" t="s">
        <v>8</v>
      </c>
      <c r="E884" s="165" t="s">
        <v>8</v>
      </c>
      <c r="F884" s="165" t="s">
        <v>8</v>
      </c>
      <c r="G884" s="165" t="s">
        <v>8</v>
      </c>
      <c r="H884" s="165" t="s">
        <v>8</v>
      </c>
    </row>
    <row r="885">
      <c r="B885" s="165" t="s">
        <v>8</v>
      </c>
      <c r="C885" s="165" t="s">
        <v>8</v>
      </c>
      <c r="D885" s="165" t="s">
        <v>8</v>
      </c>
      <c r="E885" s="165" t="s">
        <v>8</v>
      </c>
      <c r="F885" s="165" t="s">
        <v>8</v>
      </c>
      <c r="G885" s="165" t="s">
        <v>8</v>
      </c>
      <c r="H885" s="165" t="s">
        <v>8</v>
      </c>
    </row>
    <row r="886">
      <c r="B886" s="165" t="s">
        <v>8</v>
      </c>
      <c r="C886" s="165" t="s">
        <v>8</v>
      </c>
      <c r="D886" s="165" t="s">
        <v>8</v>
      </c>
      <c r="E886" s="165" t="s">
        <v>8</v>
      </c>
      <c r="F886" s="165" t="s">
        <v>8</v>
      </c>
      <c r="G886" s="165" t="s">
        <v>8</v>
      </c>
      <c r="H886" s="165" t="s">
        <v>8</v>
      </c>
    </row>
    <row r="887">
      <c r="B887" s="165" t="s">
        <v>8</v>
      </c>
      <c r="C887" s="165" t="s">
        <v>8</v>
      </c>
      <c r="D887" s="165" t="s">
        <v>8</v>
      </c>
      <c r="E887" s="165" t="s">
        <v>8</v>
      </c>
      <c r="F887" s="165" t="s">
        <v>8</v>
      </c>
      <c r="G887" s="165" t="s">
        <v>8</v>
      </c>
      <c r="H887" s="165" t="s">
        <v>8</v>
      </c>
    </row>
    <row r="888">
      <c r="B888" s="165" t="s">
        <v>8</v>
      </c>
      <c r="C888" s="165" t="s">
        <v>8</v>
      </c>
      <c r="D888" s="165" t="s">
        <v>8</v>
      </c>
      <c r="E888" s="165" t="s">
        <v>8</v>
      </c>
      <c r="F888" s="165" t="s">
        <v>8</v>
      </c>
      <c r="G888" s="165" t="s">
        <v>8</v>
      </c>
      <c r="H888" s="165" t="s">
        <v>8</v>
      </c>
    </row>
    <row r="889">
      <c r="B889" s="165" t="s">
        <v>8</v>
      </c>
      <c r="C889" s="165" t="s">
        <v>8</v>
      </c>
      <c r="D889" s="165" t="s">
        <v>8</v>
      </c>
      <c r="E889" s="165" t="s">
        <v>8</v>
      </c>
      <c r="F889" s="165" t="s">
        <v>8</v>
      </c>
      <c r="G889" s="165" t="s">
        <v>8</v>
      </c>
      <c r="H889" s="165" t="s">
        <v>8</v>
      </c>
    </row>
    <row r="890">
      <c r="B890" s="165" t="s">
        <v>8</v>
      </c>
      <c r="C890" s="165" t="s">
        <v>8</v>
      </c>
      <c r="D890" s="165" t="s">
        <v>8</v>
      </c>
      <c r="E890" s="165" t="s">
        <v>8</v>
      </c>
      <c r="F890" s="165" t="s">
        <v>8</v>
      </c>
      <c r="G890" s="165" t="s">
        <v>8</v>
      </c>
      <c r="H890" s="165" t="s">
        <v>8</v>
      </c>
    </row>
    <row r="891">
      <c r="B891" s="165" t="s">
        <v>8</v>
      </c>
      <c r="C891" s="165" t="s">
        <v>8</v>
      </c>
      <c r="D891" s="165" t="s">
        <v>8</v>
      </c>
      <c r="E891" s="165" t="s">
        <v>8</v>
      </c>
      <c r="F891" s="165" t="s">
        <v>8</v>
      </c>
      <c r="G891" s="165" t="s">
        <v>8</v>
      </c>
      <c r="H891" s="165" t="s">
        <v>8</v>
      </c>
    </row>
    <row r="892">
      <c r="B892" s="165" t="s">
        <v>8</v>
      </c>
      <c r="C892" s="165" t="s">
        <v>8</v>
      </c>
      <c r="D892" s="165" t="s">
        <v>8</v>
      </c>
      <c r="E892" s="165" t="s">
        <v>8</v>
      </c>
      <c r="F892" s="165" t="s">
        <v>8</v>
      </c>
      <c r="G892" s="165" t="s">
        <v>8</v>
      </c>
      <c r="H892" s="165" t="s">
        <v>8</v>
      </c>
    </row>
    <row r="893">
      <c r="B893" s="165" t="s">
        <v>8</v>
      </c>
      <c r="C893" s="165" t="s">
        <v>8</v>
      </c>
      <c r="D893" s="165" t="s">
        <v>8</v>
      </c>
      <c r="E893" s="165" t="s">
        <v>8</v>
      </c>
      <c r="F893" s="165" t="s">
        <v>8</v>
      </c>
      <c r="G893" s="165" t="s">
        <v>8</v>
      </c>
      <c r="H893" s="165" t="s">
        <v>8</v>
      </c>
    </row>
    <row r="894">
      <c r="B894" s="165" t="s">
        <v>8</v>
      </c>
      <c r="C894" s="165" t="s">
        <v>8</v>
      </c>
      <c r="D894" s="165" t="s">
        <v>8</v>
      </c>
      <c r="E894" s="165" t="s">
        <v>8</v>
      </c>
      <c r="F894" s="165" t="s">
        <v>8</v>
      </c>
      <c r="G894" s="165" t="s">
        <v>8</v>
      </c>
      <c r="H894" s="165" t="s">
        <v>8</v>
      </c>
    </row>
    <row r="895">
      <c r="B895" s="165" t="s">
        <v>8</v>
      </c>
      <c r="C895" s="165" t="s">
        <v>8</v>
      </c>
      <c r="D895" s="165" t="s">
        <v>8</v>
      </c>
      <c r="E895" s="165" t="s">
        <v>8</v>
      </c>
      <c r="F895" s="165" t="s">
        <v>8</v>
      </c>
      <c r="G895" s="165" t="s">
        <v>8</v>
      </c>
      <c r="H895" s="165" t="s">
        <v>8</v>
      </c>
    </row>
    <row r="896">
      <c r="B896" s="165" t="s">
        <v>8</v>
      </c>
      <c r="C896" s="165" t="s">
        <v>8</v>
      </c>
      <c r="D896" s="165" t="s">
        <v>8</v>
      </c>
      <c r="E896" s="165" t="s">
        <v>8</v>
      </c>
      <c r="F896" s="165" t="s">
        <v>8</v>
      </c>
      <c r="G896" s="165" t="s">
        <v>8</v>
      </c>
      <c r="H896" s="165" t="s">
        <v>8</v>
      </c>
    </row>
    <row r="897">
      <c r="B897" s="165" t="s">
        <v>8</v>
      </c>
      <c r="C897" s="165" t="s">
        <v>8</v>
      </c>
      <c r="D897" s="165" t="s">
        <v>8</v>
      </c>
      <c r="E897" s="165" t="s">
        <v>8</v>
      </c>
      <c r="F897" s="165" t="s">
        <v>8</v>
      </c>
      <c r="G897" s="165" t="s">
        <v>8</v>
      </c>
      <c r="H897" s="165" t="s">
        <v>8</v>
      </c>
    </row>
    <row r="898">
      <c r="B898" s="165" t="s">
        <v>8</v>
      </c>
      <c r="C898" s="165" t="s">
        <v>8</v>
      </c>
      <c r="D898" s="165" t="s">
        <v>8</v>
      </c>
      <c r="E898" s="165" t="s">
        <v>8</v>
      </c>
      <c r="F898" s="165" t="s">
        <v>8</v>
      </c>
      <c r="G898" s="165" t="s">
        <v>8</v>
      </c>
      <c r="H898" s="165" t="s">
        <v>8</v>
      </c>
    </row>
    <row r="899">
      <c r="B899" s="165" t="s">
        <v>8</v>
      </c>
      <c r="C899" s="165" t="s">
        <v>8</v>
      </c>
      <c r="D899" s="165" t="s">
        <v>8</v>
      </c>
      <c r="E899" s="165" t="s">
        <v>8</v>
      </c>
      <c r="F899" s="165" t="s">
        <v>8</v>
      </c>
      <c r="G899" s="165" t="s">
        <v>8</v>
      </c>
      <c r="H899" s="165" t="s">
        <v>8</v>
      </c>
    </row>
    <row r="900">
      <c r="B900" s="165" t="s">
        <v>8</v>
      </c>
      <c r="C900" s="165" t="s">
        <v>8</v>
      </c>
      <c r="D900" s="165" t="s">
        <v>8</v>
      </c>
      <c r="E900" s="165" t="s">
        <v>8</v>
      </c>
      <c r="F900" s="165" t="s">
        <v>8</v>
      </c>
      <c r="G900" s="165" t="s">
        <v>8</v>
      </c>
      <c r="H900" s="165" t="s">
        <v>8</v>
      </c>
    </row>
    <row r="901">
      <c r="B901" s="165" t="s">
        <v>8</v>
      </c>
      <c r="C901" s="165" t="s">
        <v>8</v>
      </c>
      <c r="D901" s="165" t="s">
        <v>8</v>
      </c>
      <c r="E901" s="165" t="s">
        <v>8</v>
      </c>
      <c r="F901" s="165" t="s">
        <v>8</v>
      </c>
      <c r="G901" s="165" t="s">
        <v>8</v>
      </c>
      <c r="H901" s="165" t="s">
        <v>8</v>
      </c>
    </row>
    <row r="902">
      <c r="B902" s="165" t="s">
        <v>8</v>
      </c>
      <c r="C902" s="165" t="s">
        <v>8</v>
      </c>
      <c r="D902" s="165" t="s">
        <v>8</v>
      </c>
      <c r="E902" s="165" t="s">
        <v>8</v>
      </c>
      <c r="F902" s="165" t="s">
        <v>8</v>
      </c>
      <c r="G902" s="165" t="s">
        <v>8</v>
      </c>
      <c r="H902" s="165" t="s">
        <v>8</v>
      </c>
    </row>
    <row r="903">
      <c r="B903" s="165" t="s">
        <v>8</v>
      </c>
      <c r="C903" s="165" t="s">
        <v>8</v>
      </c>
      <c r="D903" s="165" t="s">
        <v>8</v>
      </c>
      <c r="E903" s="165" t="s">
        <v>8</v>
      </c>
      <c r="F903" s="165" t="s">
        <v>8</v>
      </c>
      <c r="G903" s="165" t="s">
        <v>8</v>
      </c>
      <c r="H903" s="165" t="s">
        <v>8</v>
      </c>
    </row>
    <row r="904">
      <c r="B904" s="165" t="s">
        <v>8</v>
      </c>
      <c r="C904" s="165" t="s">
        <v>8</v>
      </c>
      <c r="D904" s="165" t="s">
        <v>8</v>
      </c>
      <c r="E904" s="165" t="s">
        <v>8</v>
      </c>
      <c r="F904" s="165" t="s">
        <v>8</v>
      </c>
      <c r="G904" s="165" t="s">
        <v>8</v>
      </c>
      <c r="H904" s="165" t="s">
        <v>8</v>
      </c>
    </row>
    <row r="905">
      <c r="B905" s="165" t="s">
        <v>8</v>
      </c>
      <c r="C905" s="165" t="s">
        <v>8</v>
      </c>
      <c r="D905" s="165" t="s">
        <v>8</v>
      </c>
      <c r="E905" s="165" t="s">
        <v>8</v>
      </c>
      <c r="F905" s="165" t="s">
        <v>8</v>
      </c>
      <c r="G905" s="165" t="s">
        <v>8</v>
      </c>
      <c r="H905" s="165" t="s">
        <v>8</v>
      </c>
    </row>
    <row r="906">
      <c r="B906" s="165" t="s">
        <v>8</v>
      </c>
      <c r="C906" s="165" t="s">
        <v>8</v>
      </c>
      <c r="D906" s="165" t="s">
        <v>8</v>
      </c>
      <c r="E906" s="165" t="s">
        <v>8</v>
      </c>
      <c r="F906" s="165" t="s">
        <v>8</v>
      </c>
      <c r="G906" s="165" t="s">
        <v>8</v>
      </c>
      <c r="H906" s="165" t="s">
        <v>8</v>
      </c>
    </row>
    <row r="907">
      <c r="B907" s="165" t="s">
        <v>8</v>
      </c>
      <c r="C907" s="165" t="s">
        <v>8</v>
      </c>
      <c r="D907" s="165" t="s">
        <v>8</v>
      </c>
      <c r="E907" s="165" t="s">
        <v>8</v>
      </c>
      <c r="F907" s="165" t="s">
        <v>8</v>
      </c>
      <c r="G907" s="165" t="s">
        <v>8</v>
      </c>
      <c r="H907" s="165" t="s">
        <v>8</v>
      </c>
    </row>
    <row r="908">
      <c r="B908" s="165" t="s">
        <v>8</v>
      </c>
      <c r="C908" s="165" t="s">
        <v>8</v>
      </c>
      <c r="D908" s="165" t="s">
        <v>8</v>
      </c>
      <c r="E908" s="165" t="s">
        <v>8</v>
      </c>
      <c r="F908" s="165" t="s">
        <v>8</v>
      </c>
      <c r="G908" s="165" t="s">
        <v>8</v>
      </c>
      <c r="H908" s="165" t="s">
        <v>8</v>
      </c>
    </row>
    <row r="909">
      <c r="B909" s="165" t="s">
        <v>8</v>
      </c>
      <c r="C909" s="165" t="s">
        <v>8</v>
      </c>
      <c r="D909" s="165" t="s">
        <v>8</v>
      </c>
      <c r="E909" s="165" t="s">
        <v>8</v>
      </c>
      <c r="F909" s="165" t="s">
        <v>8</v>
      </c>
      <c r="G909" s="165" t="s">
        <v>8</v>
      </c>
      <c r="H909" s="165" t="s">
        <v>8</v>
      </c>
    </row>
    <row r="910">
      <c r="B910" s="165" t="s">
        <v>8</v>
      </c>
      <c r="C910" s="165" t="s">
        <v>8</v>
      </c>
      <c r="D910" s="165" t="s">
        <v>8</v>
      </c>
      <c r="E910" s="165" t="s">
        <v>8</v>
      </c>
      <c r="F910" s="165" t="s">
        <v>8</v>
      </c>
      <c r="G910" s="165" t="s">
        <v>8</v>
      </c>
      <c r="H910" s="165" t="s">
        <v>8</v>
      </c>
    </row>
    <row r="911">
      <c r="B911" s="165" t="s">
        <v>8</v>
      </c>
      <c r="C911" s="165" t="s">
        <v>8</v>
      </c>
      <c r="D911" s="165" t="s">
        <v>8</v>
      </c>
      <c r="E911" s="165" t="s">
        <v>8</v>
      </c>
      <c r="F911" s="165" t="s">
        <v>8</v>
      </c>
      <c r="G911" s="165" t="s">
        <v>8</v>
      </c>
      <c r="H911" s="165" t="s">
        <v>8</v>
      </c>
    </row>
    <row r="912">
      <c r="B912" s="165" t="s">
        <v>8</v>
      </c>
      <c r="C912" s="165" t="s">
        <v>8</v>
      </c>
      <c r="D912" s="165" t="s">
        <v>8</v>
      </c>
      <c r="E912" s="165" t="s">
        <v>8</v>
      </c>
      <c r="F912" s="165" t="s">
        <v>8</v>
      </c>
      <c r="G912" s="165" t="s">
        <v>8</v>
      </c>
      <c r="H912" s="165" t="s">
        <v>8</v>
      </c>
    </row>
    <row r="913">
      <c r="B913" s="165" t="s">
        <v>8</v>
      </c>
      <c r="C913" s="165" t="s">
        <v>8</v>
      </c>
      <c r="D913" s="165" t="s">
        <v>8</v>
      </c>
      <c r="E913" s="165" t="s">
        <v>8</v>
      </c>
      <c r="F913" s="165" t="s">
        <v>8</v>
      </c>
      <c r="G913" s="165" t="s">
        <v>8</v>
      </c>
      <c r="H913" s="165" t="s">
        <v>8</v>
      </c>
    </row>
    <row r="914">
      <c r="B914" s="165" t="s">
        <v>8</v>
      </c>
      <c r="C914" s="165" t="s">
        <v>8</v>
      </c>
      <c r="D914" s="165" t="s">
        <v>8</v>
      </c>
      <c r="E914" s="165" t="s">
        <v>8</v>
      </c>
      <c r="F914" s="165" t="s">
        <v>8</v>
      </c>
      <c r="G914" s="165" t="s">
        <v>8</v>
      </c>
      <c r="H914" s="165" t="s">
        <v>8</v>
      </c>
    </row>
    <row r="915">
      <c r="B915" s="165" t="s">
        <v>8</v>
      </c>
      <c r="C915" s="165" t="s">
        <v>8</v>
      </c>
      <c r="D915" s="165" t="s">
        <v>8</v>
      </c>
      <c r="E915" s="165" t="s">
        <v>8</v>
      </c>
      <c r="F915" s="165" t="s">
        <v>8</v>
      </c>
      <c r="G915" s="165" t="s">
        <v>8</v>
      </c>
      <c r="H915" s="165" t="s">
        <v>8</v>
      </c>
    </row>
    <row r="916">
      <c r="B916" s="165" t="s">
        <v>8</v>
      </c>
      <c r="C916" s="165" t="s">
        <v>8</v>
      </c>
      <c r="D916" s="165" t="s">
        <v>8</v>
      </c>
      <c r="E916" s="165" t="s">
        <v>8</v>
      </c>
      <c r="F916" s="165" t="s">
        <v>8</v>
      </c>
      <c r="G916" s="165" t="s">
        <v>8</v>
      </c>
      <c r="H916" s="165" t="s">
        <v>8</v>
      </c>
    </row>
    <row r="917">
      <c r="B917" s="165" t="s">
        <v>8</v>
      </c>
      <c r="C917" s="165" t="s">
        <v>8</v>
      </c>
      <c r="D917" s="165" t="s">
        <v>8</v>
      </c>
      <c r="E917" s="165" t="s">
        <v>8</v>
      </c>
      <c r="F917" s="165" t="s">
        <v>8</v>
      </c>
      <c r="G917" s="165" t="s">
        <v>8</v>
      </c>
      <c r="H917" s="165" t="s">
        <v>8</v>
      </c>
    </row>
    <row r="918">
      <c r="B918" s="165" t="s">
        <v>8</v>
      </c>
      <c r="C918" s="165" t="s">
        <v>8</v>
      </c>
      <c r="D918" s="165" t="s">
        <v>8</v>
      </c>
      <c r="E918" s="165" t="s">
        <v>8</v>
      </c>
      <c r="F918" s="165" t="s">
        <v>8</v>
      </c>
      <c r="G918" s="165" t="s">
        <v>8</v>
      </c>
      <c r="H918" s="165" t="s">
        <v>8</v>
      </c>
    </row>
    <row r="919">
      <c r="B919" s="165" t="s">
        <v>8</v>
      </c>
      <c r="C919" s="165" t="s">
        <v>8</v>
      </c>
      <c r="D919" s="165" t="s">
        <v>8</v>
      </c>
      <c r="E919" s="165" t="s">
        <v>8</v>
      </c>
      <c r="F919" s="165" t="s">
        <v>8</v>
      </c>
      <c r="G919" s="165" t="s">
        <v>8</v>
      </c>
      <c r="H919" s="165" t="s">
        <v>8</v>
      </c>
    </row>
    <row r="920">
      <c r="B920" s="165" t="s">
        <v>8</v>
      </c>
      <c r="C920" s="165" t="s">
        <v>8</v>
      </c>
      <c r="D920" s="165" t="s">
        <v>8</v>
      </c>
      <c r="E920" s="165" t="s">
        <v>8</v>
      </c>
      <c r="F920" s="165" t="s">
        <v>8</v>
      </c>
      <c r="G920" s="165" t="s">
        <v>8</v>
      </c>
      <c r="H920" s="165" t="s">
        <v>8</v>
      </c>
    </row>
    <row r="921">
      <c r="B921" s="165" t="s">
        <v>8</v>
      </c>
      <c r="C921" s="165" t="s">
        <v>8</v>
      </c>
      <c r="D921" s="165" t="s">
        <v>8</v>
      </c>
      <c r="E921" s="165" t="s">
        <v>8</v>
      </c>
      <c r="F921" s="165" t="s">
        <v>8</v>
      </c>
      <c r="G921" s="165" t="s">
        <v>8</v>
      </c>
      <c r="H921" s="165" t="s">
        <v>8</v>
      </c>
    </row>
    <row r="922">
      <c r="B922" s="165" t="s">
        <v>8</v>
      </c>
      <c r="C922" s="165" t="s">
        <v>8</v>
      </c>
      <c r="D922" s="165" t="s">
        <v>8</v>
      </c>
      <c r="E922" s="165" t="s">
        <v>8</v>
      </c>
      <c r="F922" s="165" t="s">
        <v>8</v>
      </c>
      <c r="G922" s="165" t="s">
        <v>8</v>
      </c>
      <c r="H922" s="165" t="s">
        <v>8</v>
      </c>
    </row>
    <row r="923">
      <c r="B923" s="165" t="s">
        <v>8</v>
      </c>
      <c r="C923" s="165" t="s">
        <v>8</v>
      </c>
      <c r="D923" s="165" t="s">
        <v>8</v>
      </c>
      <c r="E923" s="165" t="s">
        <v>8</v>
      </c>
      <c r="F923" s="165" t="s">
        <v>8</v>
      </c>
      <c r="G923" s="165" t="s">
        <v>8</v>
      </c>
      <c r="H923" s="165" t="s">
        <v>8</v>
      </c>
    </row>
    <row r="924">
      <c r="B924" s="165" t="s">
        <v>8</v>
      </c>
      <c r="C924" s="165" t="s">
        <v>8</v>
      </c>
      <c r="D924" s="165" t="s">
        <v>8</v>
      </c>
      <c r="E924" s="165" t="s">
        <v>8</v>
      </c>
      <c r="F924" s="165" t="s">
        <v>8</v>
      </c>
      <c r="G924" s="165" t="s">
        <v>8</v>
      </c>
      <c r="H924" s="165" t="s">
        <v>8</v>
      </c>
    </row>
    <row r="925">
      <c r="B925" s="165" t="s">
        <v>8</v>
      </c>
      <c r="C925" s="165" t="s">
        <v>8</v>
      </c>
      <c r="D925" s="165" t="s">
        <v>8</v>
      </c>
      <c r="E925" s="165" t="s">
        <v>8</v>
      </c>
      <c r="F925" s="165" t="s">
        <v>8</v>
      </c>
      <c r="G925" s="165" t="s">
        <v>8</v>
      </c>
      <c r="H925" s="165" t="s">
        <v>8</v>
      </c>
    </row>
    <row r="926">
      <c r="B926" s="165" t="s">
        <v>8</v>
      </c>
      <c r="C926" s="165" t="s">
        <v>8</v>
      </c>
      <c r="D926" s="165" t="s">
        <v>8</v>
      </c>
      <c r="E926" s="165" t="s">
        <v>8</v>
      </c>
      <c r="F926" s="165" t="s">
        <v>8</v>
      </c>
      <c r="G926" s="165" t="s">
        <v>8</v>
      </c>
      <c r="H926" s="165" t="s">
        <v>8</v>
      </c>
    </row>
    <row r="927">
      <c r="B927" s="165" t="s">
        <v>8</v>
      </c>
      <c r="C927" s="165" t="s">
        <v>8</v>
      </c>
      <c r="D927" s="165" t="s">
        <v>8</v>
      </c>
      <c r="E927" s="165" t="s">
        <v>8</v>
      </c>
      <c r="F927" s="165" t="s">
        <v>8</v>
      </c>
      <c r="G927" s="165" t="s">
        <v>8</v>
      </c>
      <c r="H927" s="165" t="s">
        <v>8</v>
      </c>
    </row>
    <row r="928">
      <c r="B928" s="165" t="s">
        <v>8</v>
      </c>
      <c r="C928" s="165" t="s">
        <v>8</v>
      </c>
      <c r="D928" s="165" t="s">
        <v>8</v>
      </c>
      <c r="E928" s="165" t="s">
        <v>8</v>
      </c>
      <c r="F928" s="165" t="s">
        <v>8</v>
      </c>
      <c r="G928" s="165" t="s">
        <v>8</v>
      </c>
      <c r="H928" s="165" t="s">
        <v>8</v>
      </c>
    </row>
    <row r="929">
      <c r="B929" s="165" t="s">
        <v>8</v>
      </c>
      <c r="C929" s="165" t="s">
        <v>8</v>
      </c>
      <c r="D929" s="165" t="s">
        <v>8</v>
      </c>
      <c r="E929" s="165" t="s">
        <v>8</v>
      </c>
      <c r="F929" s="165" t="s">
        <v>8</v>
      </c>
      <c r="G929" s="165" t="s">
        <v>8</v>
      </c>
      <c r="H929" s="165" t="s">
        <v>8</v>
      </c>
    </row>
    <row r="930">
      <c r="B930" s="165" t="s">
        <v>8</v>
      </c>
      <c r="C930" s="165" t="s">
        <v>8</v>
      </c>
      <c r="D930" s="165" t="s">
        <v>8</v>
      </c>
      <c r="E930" s="165" t="s">
        <v>8</v>
      </c>
      <c r="F930" s="165" t="s">
        <v>8</v>
      </c>
      <c r="G930" s="165" t="s">
        <v>8</v>
      </c>
      <c r="H930" s="165" t="s">
        <v>8</v>
      </c>
    </row>
    <row r="931">
      <c r="B931" s="165" t="s">
        <v>8</v>
      </c>
      <c r="C931" s="165" t="s">
        <v>8</v>
      </c>
      <c r="D931" s="165" t="s">
        <v>8</v>
      </c>
      <c r="E931" s="165" t="s">
        <v>8</v>
      </c>
      <c r="F931" s="165" t="s">
        <v>8</v>
      </c>
      <c r="G931" s="165" t="s">
        <v>8</v>
      </c>
      <c r="H931" s="165" t="s">
        <v>8</v>
      </c>
    </row>
    <row r="932">
      <c r="B932" s="165" t="s">
        <v>8</v>
      </c>
      <c r="C932" s="165" t="s">
        <v>8</v>
      </c>
      <c r="D932" s="165" t="s">
        <v>8</v>
      </c>
      <c r="E932" s="165" t="s">
        <v>8</v>
      </c>
      <c r="F932" s="165" t="s">
        <v>8</v>
      </c>
      <c r="G932" s="165" t="s">
        <v>8</v>
      </c>
      <c r="H932" s="165" t="s">
        <v>8</v>
      </c>
    </row>
    <row r="933">
      <c r="B933" s="165" t="s">
        <v>8</v>
      </c>
      <c r="C933" s="165" t="s">
        <v>8</v>
      </c>
      <c r="D933" s="165" t="s">
        <v>8</v>
      </c>
      <c r="E933" s="165" t="s">
        <v>8</v>
      </c>
      <c r="F933" s="165" t="s">
        <v>8</v>
      </c>
      <c r="G933" s="165" t="s">
        <v>8</v>
      </c>
      <c r="H933" s="165" t="s">
        <v>8</v>
      </c>
    </row>
    <row r="934">
      <c r="B934" s="165" t="s">
        <v>8</v>
      </c>
      <c r="C934" s="165" t="s">
        <v>8</v>
      </c>
      <c r="D934" s="165" t="s">
        <v>8</v>
      </c>
      <c r="E934" s="165" t="s">
        <v>8</v>
      </c>
      <c r="F934" s="165" t="s">
        <v>8</v>
      </c>
      <c r="G934" s="165" t="s">
        <v>8</v>
      </c>
      <c r="H934" s="165" t="s">
        <v>8</v>
      </c>
    </row>
    <row r="935">
      <c r="B935" s="165" t="s">
        <v>8</v>
      </c>
      <c r="C935" s="165" t="s">
        <v>8</v>
      </c>
      <c r="D935" s="165" t="s">
        <v>8</v>
      </c>
      <c r="E935" s="165" t="s">
        <v>8</v>
      </c>
      <c r="F935" s="165" t="s">
        <v>8</v>
      </c>
      <c r="G935" s="165" t="s">
        <v>8</v>
      </c>
      <c r="H935" s="165" t="s">
        <v>8</v>
      </c>
    </row>
    <row r="936">
      <c r="B936" s="165" t="s">
        <v>8</v>
      </c>
      <c r="C936" s="165" t="s">
        <v>8</v>
      </c>
      <c r="D936" s="165" t="s">
        <v>8</v>
      </c>
      <c r="E936" s="165" t="s">
        <v>8</v>
      </c>
      <c r="F936" s="165" t="s">
        <v>8</v>
      </c>
      <c r="G936" s="165" t="s">
        <v>8</v>
      </c>
      <c r="H936" s="165" t="s">
        <v>8</v>
      </c>
    </row>
    <row r="937">
      <c r="B937" s="165" t="s">
        <v>8</v>
      </c>
      <c r="C937" s="165" t="s">
        <v>8</v>
      </c>
      <c r="D937" s="165" t="s">
        <v>8</v>
      </c>
      <c r="E937" s="165" t="s">
        <v>8</v>
      </c>
      <c r="F937" s="165" t="s">
        <v>8</v>
      </c>
      <c r="G937" s="165" t="s">
        <v>8</v>
      </c>
      <c r="H937" s="165" t="s">
        <v>8</v>
      </c>
    </row>
    <row r="938">
      <c r="B938" s="165" t="s">
        <v>8</v>
      </c>
      <c r="C938" s="165" t="s">
        <v>8</v>
      </c>
      <c r="D938" s="165" t="s">
        <v>8</v>
      </c>
      <c r="E938" s="165" t="s">
        <v>8</v>
      </c>
      <c r="F938" s="165" t="s">
        <v>8</v>
      </c>
      <c r="G938" s="165" t="s">
        <v>8</v>
      </c>
      <c r="H938" s="165" t="s">
        <v>8</v>
      </c>
    </row>
    <row r="939">
      <c r="B939" s="165" t="s">
        <v>8</v>
      </c>
      <c r="C939" s="165" t="s">
        <v>8</v>
      </c>
      <c r="D939" s="165" t="s">
        <v>8</v>
      </c>
      <c r="E939" s="165" t="s">
        <v>8</v>
      </c>
      <c r="F939" s="165" t="s">
        <v>8</v>
      </c>
      <c r="G939" s="165" t="s">
        <v>8</v>
      </c>
      <c r="H939" s="165" t="s">
        <v>8</v>
      </c>
    </row>
    <row r="940">
      <c r="B940" s="165" t="s">
        <v>8</v>
      </c>
      <c r="C940" s="165" t="s">
        <v>8</v>
      </c>
      <c r="D940" s="165" t="s">
        <v>8</v>
      </c>
      <c r="E940" s="165" t="s">
        <v>8</v>
      </c>
      <c r="F940" s="165" t="s">
        <v>8</v>
      </c>
      <c r="G940" s="165" t="s">
        <v>8</v>
      </c>
      <c r="H940" s="165" t="s">
        <v>8</v>
      </c>
    </row>
    <row r="941">
      <c r="B941" s="165" t="s">
        <v>8</v>
      </c>
      <c r="C941" s="165" t="s">
        <v>8</v>
      </c>
      <c r="D941" s="165" t="s">
        <v>8</v>
      </c>
      <c r="E941" s="165" t="s">
        <v>8</v>
      </c>
      <c r="F941" s="165" t="s">
        <v>8</v>
      </c>
      <c r="G941" s="165" t="s">
        <v>8</v>
      </c>
      <c r="H941" s="165" t="s">
        <v>8</v>
      </c>
    </row>
    <row r="942">
      <c r="B942" s="165" t="s">
        <v>8</v>
      </c>
      <c r="C942" s="165" t="s">
        <v>8</v>
      </c>
      <c r="D942" s="165" t="s">
        <v>8</v>
      </c>
      <c r="E942" s="165" t="s">
        <v>8</v>
      </c>
      <c r="F942" s="165" t="s">
        <v>8</v>
      </c>
      <c r="G942" s="165" t="s">
        <v>8</v>
      </c>
      <c r="H942" s="165" t="s">
        <v>8</v>
      </c>
    </row>
    <row r="943">
      <c r="B943" s="165" t="s">
        <v>8</v>
      </c>
      <c r="C943" s="165" t="s">
        <v>8</v>
      </c>
      <c r="D943" s="165" t="s">
        <v>8</v>
      </c>
      <c r="E943" s="165" t="s">
        <v>8</v>
      </c>
      <c r="F943" s="165" t="s">
        <v>8</v>
      </c>
      <c r="G943" s="165" t="s">
        <v>8</v>
      </c>
      <c r="H943" s="165" t="s">
        <v>8</v>
      </c>
    </row>
    <row r="944">
      <c r="B944" s="165" t="s">
        <v>8</v>
      </c>
      <c r="C944" s="165" t="s">
        <v>8</v>
      </c>
      <c r="D944" s="165" t="s">
        <v>8</v>
      </c>
      <c r="E944" s="165" t="s">
        <v>8</v>
      </c>
      <c r="F944" s="165" t="s">
        <v>8</v>
      </c>
      <c r="G944" s="165" t="s">
        <v>8</v>
      </c>
      <c r="H944" s="165" t="s">
        <v>8</v>
      </c>
    </row>
    <row r="945">
      <c r="B945" s="165" t="s">
        <v>8</v>
      </c>
      <c r="C945" s="165" t="s">
        <v>8</v>
      </c>
      <c r="D945" s="165" t="s">
        <v>8</v>
      </c>
      <c r="E945" s="165" t="s">
        <v>8</v>
      </c>
      <c r="F945" s="165" t="s">
        <v>8</v>
      </c>
      <c r="G945" s="165" t="s">
        <v>8</v>
      </c>
      <c r="H945" s="165" t="s">
        <v>8</v>
      </c>
    </row>
    <row r="946">
      <c r="B946" s="165" t="s">
        <v>8</v>
      </c>
      <c r="C946" s="165" t="s">
        <v>8</v>
      </c>
      <c r="D946" s="165" t="s">
        <v>8</v>
      </c>
      <c r="E946" s="165" t="s">
        <v>8</v>
      </c>
      <c r="F946" s="165" t="s">
        <v>8</v>
      </c>
      <c r="G946" s="165" t="s">
        <v>8</v>
      </c>
      <c r="H946" s="165" t="s">
        <v>8</v>
      </c>
    </row>
    <row r="947">
      <c r="B947" s="165" t="s">
        <v>8</v>
      </c>
      <c r="C947" s="165" t="s">
        <v>8</v>
      </c>
      <c r="D947" s="165" t="s">
        <v>8</v>
      </c>
      <c r="E947" s="165" t="s">
        <v>8</v>
      </c>
      <c r="F947" s="165" t="s">
        <v>8</v>
      </c>
      <c r="G947" s="165" t="s">
        <v>8</v>
      </c>
      <c r="H947" s="165" t="s">
        <v>8</v>
      </c>
    </row>
    <row r="948">
      <c r="B948" s="165" t="s">
        <v>8</v>
      </c>
      <c r="C948" s="165" t="s">
        <v>8</v>
      </c>
      <c r="D948" s="165" t="s">
        <v>8</v>
      </c>
      <c r="E948" s="165" t="s">
        <v>8</v>
      </c>
      <c r="F948" s="165" t="s">
        <v>8</v>
      </c>
      <c r="G948" s="165" t="s">
        <v>8</v>
      </c>
      <c r="H948" s="165" t="s">
        <v>8</v>
      </c>
    </row>
    <row r="949">
      <c r="B949" s="165" t="s">
        <v>8</v>
      </c>
      <c r="C949" s="165" t="s">
        <v>8</v>
      </c>
      <c r="D949" s="165" t="s">
        <v>8</v>
      </c>
      <c r="E949" s="165" t="s">
        <v>8</v>
      </c>
      <c r="F949" s="165" t="s">
        <v>8</v>
      </c>
      <c r="G949" s="165" t="s">
        <v>8</v>
      </c>
      <c r="H949" s="165" t="s">
        <v>8</v>
      </c>
    </row>
    <row r="950">
      <c r="B950" s="165" t="s">
        <v>8</v>
      </c>
      <c r="C950" s="165" t="s">
        <v>8</v>
      </c>
      <c r="D950" s="165" t="s">
        <v>8</v>
      </c>
      <c r="E950" s="165" t="s">
        <v>8</v>
      </c>
      <c r="F950" s="165" t="s">
        <v>8</v>
      </c>
      <c r="G950" s="165" t="s">
        <v>8</v>
      </c>
      <c r="H950" s="165" t="s">
        <v>8</v>
      </c>
    </row>
    <row r="951">
      <c r="B951" s="165" t="s">
        <v>8</v>
      </c>
      <c r="C951" s="165" t="s">
        <v>8</v>
      </c>
      <c r="D951" s="165" t="s">
        <v>8</v>
      </c>
      <c r="E951" s="165" t="s">
        <v>8</v>
      </c>
      <c r="F951" s="165" t="s">
        <v>8</v>
      </c>
      <c r="G951" s="165" t="s">
        <v>8</v>
      </c>
      <c r="H951" s="165" t="s">
        <v>8</v>
      </c>
    </row>
    <row r="952">
      <c r="B952" s="165" t="s">
        <v>8</v>
      </c>
      <c r="C952" s="165" t="s">
        <v>8</v>
      </c>
      <c r="D952" s="165" t="s">
        <v>8</v>
      </c>
      <c r="E952" s="165" t="s">
        <v>8</v>
      </c>
      <c r="F952" s="165" t="s">
        <v>8</v>
      </c>
      <c r="G952" s="165" t="s">
        <v>8</v>
      </c>
      <c r="H952" s="165" t="s">
        <v>8</v>
      </c>
    </row>
    <row r="953">
      <c r="B953" s="165" t="s">
        <v>8</v>
      </c>
      <c r="C953" s="165" t="s">
        <v>8</v>
      </c>
      <c r="D953" s="165" t="s">
        <v>8</v>
      </c>
      <c r="E953" s="165" t="s">
        <v>8</v>
      </c>
      <c r="F953" s="165" t="s">
        <v>8</v>
      </c>
      <c r="G953" s="165" t="s">
        <v>8</v>
      </c>
      <c r="H953" s="165" t="s">
        <v>8</v>
      </c>
    </row>
    <row r="954">
      <c r="B954" s="165" t="s">
        <v>8</v>
      </c>
      <c r="C954" s="165" t="s">
        <v>8</v>
      </c>
      <c r="D954" s="165" t="s">
        <v>8</v>
      </c>
      <c r="E954" s="165" t="s">
        <v>8</v>
      </c>
      <c r="F954" s="165" t="s">
        <v>8</v>
      </c>
      <c r="G954" s="165" t="s">
        <v>8</v>
      </c>
      <c r="H954" s="165" t="s">
        <v>8</v>
      </c>
    </row>
    <row r="955">
      <c r="B955" s="165" t="s">
        <v>8</v>
      </c>
      <c r="C955" s="165" t="s">
        <v>8</v>
      </c>
      <c r="D955" s="165" t="s">
        <v>8</v>
      </c>
      <c r="E955" s="165" t="s">
        <v>8</v>
      </c>
      <c r="F955" s="165" t="s">
        <v>8</v>
      </c>
      <c r="G955" s="165" t="s">
        <v>8</v>
      </c>
      <c r="H955" s="165" t="s">
        <v>8</v>
      </c>
    </row>
    <row r="956">
      <c r="B956" s="165" t="s">
        <v>8</v>
      </c>
      <c r="C956" s="165" t="s">
        <v>8</v>
      </c>
      <c r="D956" s="165" t="s">
        <v>8</v>
      </c>
      <c r="E956" s="165" t="s">
        <v>8</v>
      </c>
      <c r="F956" s="165" t="s">
        <v>8</v>
      </c>
      <c r="G956" s="165" t="s">
        <v>8</v>
      </c>
      <c r="H956" s="165" t="s">
        <v>8</v>
      </c>
    </row>
    <row r="957">
      <c r="B957" s="165" t="s">
        <v>8</v>
      </c>
      <c r="C957" s="165" t="s">
        <v>8</v>
      </c>
      <c r="D957" s="165" t="s">
        <v>8</v>
      </c>
      <c r="E957" s="165" t="s">
        <v>8</v>
      </c>
      <c r="F957" s="165" t="s">
        <v>8</v>
      </c>
      <c r="G957" s="165" t="s">
        <v>8</v>
      </c>
      <c r="H957" s="165" t="s">
        <v>8</v>
      </c>
    </row>
    <row r="958">
      <c r="B958" s="165" t="s">
        <v>8</v>
      </c>
      <c r="C958" s="165" t="s">
        <v>8</v>
      </c>
      <c r="D958" s="165" t="s">
        <v>8</v>
      </c>
      <c r="E958" s="165" t="s">
        <v>8</v>
      </c>
      <c r="F958" s="165" t="s">
        <v>8</v>
      </c>
      <c r="G958" s="165" t="s">
        <v>8</v>
      </c>
      <c r="H958" s="165" t="s">
        <v>8</v>
      </c>
    </row>
    <row r="959">
      <c r="B959" s="165" t="s">
        <v>8</v>
      </c>
      <c r="C959" s="165" t="s">
        <v>8</v>
      </c>
      <c r="D959" s="165" t="s">
        <v>8</v>
      </c>
      <c r="E959" s="165" t="s">
        <v>8</v>
      </c>
      <c r="F959" s="165" t="s">
        <v>8</v>
      </c>
      <c r="G959" s="165" t="s">
        <v>8</v>
      </c>
      <c r="H959" s="165" t="s">
        <v>8</v>
      </c>
    </row>
  </sheetData>
  <autoFilter ref="$A$1:$H$959"/>
  <conditionalFormatting sqref="A2">
    <cfRule type="expression" dxfId="2" priority="1">
      <formula>AND($AF2&lt;&gt;"",$AG2&lt;&gt;"")</formula>
    </cfRule>
  </conditionalFormatting>
  <conditionalFormatting sqref="A2">
    <cfRule type="expression" dxfId="3" priority="2">
      <formula>AND($AF2&lt;&gt;"")</formula>
    </cfRule>
  </conditionalFormatting>
  <conditionalFormatting sqref="A2">
    <cfRule type="expression" dxfId="4" priority="3">
      <formula>AND($AG2&lt;&gt;"")</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7.88"/>
  </cols>
  <sheetData>
    <row r="1">
      <c r="A1" s="128" t="s">
        <v>859</v>
      </c>
      <c r="B1" s="128" t="s">
        <v>860</v>
      </c>
    </row>
    <row r="2">
      <c r="A2" s="12">
        <v>31039.0</v>
      </c>
      <c r="B2" s="12" t="s">
        <v>143</v>
      </c>
    </row>
    <row r="3">
      <c r="A3" s="12">
        <v>31107.0</v>
      </c>
      <c r="B3" s="12" t="s">
        <v>143</v>
      </c>
    </row>
    <row r="4">
      <c r="A4" s="12">
        <v>31117.0</v>
      </c>
      <c r="B4" s="12" t="s">
        <v>143</v>
      </c>
    </row>
    <row r="5">
      <c r="A5" s="12">
        <v>31090.0</v>
      </c>
      <c r="B5" s="12" t="s">
        <v>143</v>
      </c>
    </row>
    <row r="6">
      <c r="A6" s="12">
        <v>31137.0</v>
      </c>
      <c r="B6" s="12" t="s">
        <v>143</v>
      </c>
    </row>
    <row r="7">
      <c r="A7" s="12">
        <v>31125.0</v>
      </c>
      <c r="B7" s="12" t="s">
        <v>143</v>
      </c>
    </row>
    <row r="8">
      <c r="A8" s="12">
        <v>31128.0</v>
      </c>
      <c r="B8" s="12" t="s">
        <v>143</v>
      </c>
    </row>
    <row r="9">
      <c r="A9" s="12">
        <v>31078.0</v>
      </c>
      <c r="B9" s="12" t="s">
        <v>143</v>
      </c>
    </row>
    <row r="10">
      <c r="A10" s="12">
        <v>31046.0</v>
      </c>
      <c r="B10" s="12" t="s">
        <v>143</v>
      </c>
    </row>
    <row r="11">
      <c r="A11" s="12">
        <v>31007.0</v>
      </c>
      <c r="B11" s="12" t="s">
        <v>143</v>
      </c>
    </row>
    <row r="12">
      <c r="A12" s="12">
        <v>30159.0</v>
      </c>
      <c r="B12" s="12" t="s">
        <v>143</v>
      </c>
    </row>
    <row r="13">
      <c r="A13" s="12">
        <v>31029.0</v>
      </c>
      <c r="B13" s="12" t="s">
        <v>143</v>
      </c>
    </row>
    <row r="14">
      <c r="A14" s="12">
        <v>31061.0</v>
      </c>
      <c r="B14" s="12" t="s">
        <v>143</v>
      </c>
    </row>
    <row r="15">
      <c r="A15" s="12">
        <v>31004.0</v>
      </c>
      <c r="B15" s="12" t="s">
        <v>143</v>
      </c>
    </row>
    <row r="16">
      <c r="A16" s="12">
        <v>31006.0</v>
      </c>
      <c r="B16" s="12" t="s">
        <v>143</v>
      </c>
    </row>
    <row r="17">
      <c r="A17" s="12">
        <v>31049.0</v>
      </c>
      <c r="B17" s="12" t="s">
        <v>143</v>
      </c>
    </row>
    <row r="18">
      <c r="A18" s="12">
        <v>31076.0</v>
      </c>
      <c r="B18" s="12" t="s">
        <v>143</v>
      </c>
    </row>
    <row r="19">
      <c r="A19" s="12">
        <v>31045.0</v>
      </c>
      <c r="B19" s="12" t="s">
        <v>143</v>
      </c>
    </row>
    <row r="20">
      <c r="A20" s="12">
        <v>30157.0</v>
      </c>
      <c r="B20" s="12" t="s">
        <v>143</v>
      </c>
    </row>
    <row r="21">
      <c r="A21" s="12">
        <v>31074.0</v>
      </c>
      <c r="B21" s="12" t="s">
        <v>143</v>
      </c>
    </row>
    <row r="22">
      <c r="A22" s="12">
        <v>31023.0</v>
      </c>
      <c r="B22" s="12" t="s">
        <v>143</v>
      </c>
    </row>
    <row r="23">
      <c r="A23" s="12">
        <v>31092.0</v>
      </c>
      <c r="B23" s="12" t="s">
        <v>143</v>
      </c>
    </row>
    <row r="24">
      <c r="A24" s="12">
        <v>31047.0</v>
      </c>
      <c r="B24" s="12" t="s">
        <v>143</v>
      </c>
    </row>
    <row r="25">
      <c r="A25" s="12">
        <v>31030.0</v>
      </c>
      <c r="B25" s="12" t="s">
        <v>142</v>
      </c>
    </row>
    <row r="26">
      <c r="A26" s="12">
        <v>31031.0</v>
      </c>
      <c r="B26" s="12" t="s">
        <v>142</v>
      </c>
    </row>
    <row r="27">
      <c r="A27" s="12">
        <v>31013.0</v>
      </c>
      <c r="B27" s="12" t="s">
        <v>142</v>
      </c>
    </row>
    <row r="28">
      <c r="A28" s="12">
        <v>31025.0</v>
      </c>
      <c r="B28" s="12" t="s">
        <v>142</v>
      </c>
    </row>
    <row r="29">
      <c r="A29" s="12">
        <v>31060.0</v>
      </c>
      <c r="B29" s="12" t="s">
        <v>142</v>
      </c>
    </row>
    <row r="30">
      <c r="A30" s="12">
        <v>31106.0</v>
      </c>
      <c r="B30" s="12" t="s">
        <v>142</v>
      </c>
    </row>
    <row r="31">
      <c r="A31" s="12">
        <v>31070.0</v>
      </c>
      <c r="B31" s="12" t="s">
        <v>142</v>
      </c>
    </row>
    <row r="32">
      <c r="A32" s="12">
        <v>31116.0</v>
      </c>
      <c r="B32" s="12" t="s">
        <v>142</v>
      </c>
    </row>
    <row r="33">
      <c r="A33" s="12">
        <v>31119.0</v>
      </c>
      <c r="B33" s="12" t="s">
        <v>142</v>
      </c>
    </row>
    <row r="34">
      <c r="A34" s="12">
        <v>31149.0</v>
      </c>
      <c r="B34" s="12" t="s">
        <v>142</v>
      </c>
    </row>
    <row r="35">
      <c r="A35" s="12">
        <v>31059.0</v>
      </c>
      <c r="B35" s="12" t="s">
        <v>142</v>
      </c>
    </row>
    <row r="36">
      <c r="A36" s="12">
        <v>31152.0</v>
      </c>
      <c r="B36" s="12" t="s">
        <v>142</v>
      </c>
    </row>
    <row r="37">
      <c r="A37" s="12">
        <v>31008.0</v>
      </c>
      <c r="B37" s="12" t="s">
        <v>142</v>
      </c>
    </row>
    <row r="38">
      <c r="A38" s="12">
        <v>31112.0</v>
      </c>
      <c r="B38" s="12" t="s">
        <v>142</v>
      </c>
    </row>
    <row r="39">
      <c r="A39" s="12">
        <v>31048.0</v>
      </c>
      <c r="B39" s="12" t="s">
        <v>142</v>
      </c>
    </row>
    <row r="40">
      <c r="A40" s="12">
        <v>31124.0</v>
      </c>
      <c r="B40" s="12" t="s">
        <v>142</v>
      </c>
    </row>
    <row r="41">
      <c r="A41" s="12">
        <v>31115.0</v>
      </c>
      <c r="B41" s="12" t="s">
        <v>142</v>
      </c>
    </row>
    <row r="42">
      <c r="A42" s="12">
        <v>31052.0</v>
      </c>
      <c r="B42" s="12" t="s">
        <v>142</v>
      </c>
    </row>
    <row r="43">
      <c r="A43" s="12">
        <v>31003.0</v>
      </c>
      <c r="B43" s="12" t="s">
        <v>142</v>
      </c>
    </row>
    <row r="44">
      <c r="A44" s="12">
        <v>31109.0</v>
      </c>
      <c r="B44" s="12" t="s">
        <v>142</v>
      </c>
    </row>
    <row r="45">
      <c r="A45" s="12">
        <v>31017.0</v>
      </c>
      <c r="B45" s="12" t="s">
        <v>142</v>
      </c>
    </row>
    <row r="46">
      <c r="A46" s="12">
        <v>31032.0</v>
      </c>
      <c r="B46" s="12" t="s">
        <v>142</v>
      </c>
    </row>
    <row r="47">
      <c r="A47" s="12">
        <v>31079.0</v>
      </c>
      <c r="B47" s="12" t="s">
        <v>142</v>
      </c>
    </row>
    <row r="48">
      <c r="A48" s="12">
        <v>31015.0</v>
      </c>
      <c r="B48" s="12" t="s">
        <v>142</v>
      </c>
    </row>
    <row r="49">
      <c r="A49" s="12">
        <v>31018.0</v>
      </c>
      <c r="B49" s="12" t="s">
        <v>142</v>
      </c>
    </row>
    <row r="50">
      <c r="A50" s="12">
        <v>31151.0</v>
      </c>
      <c r="B50" s="12" t="s">
        <v>142</v>
      </c>
    </row>
    <row r="51">
      <c r="A51" s="12">
        <v>31077.0</v>
      </c>
      <c r="B51" s="12" t="s">
        <v>27</v>
      </c>
    </row>
    <row r="52">
      <c r="A52" s="12">
        <v>31098.0</v>
      </c>
      <c r="B52" s="12" t="s">
        <v>27</v>
      </c>
    </row>
    <row r="53">
      <c r="A53" s="12">
        <v>31164.0</v>
      </c>
      <c r="B53" s="12" t="s">
        <v>27</v>
      </c>
    </row>
    <row r="54">
      <c r="A54" s="12">
        <v>32076.0</v>
      </c>
      <c r="B54" s="12" t="s">
        <v>27</v>
      </c>
    </row>
    <row r="55">
      <c r="A55" s="12">
        <v>31103.0</v>
      </c>
      <c r="B55" s="12" t="s">
        <v>27</v>
      </c>
    </row>
    <row r="56">
      <c r="A56" s="12">
        <v>31100.0</v>
      </c>
      <c r="B56" s="12" t="s">
        <v>27</v>
      </c>
    </row>
    <row r="57">
      <c r="A57" s="12">
        <v>31064.0</v>
      </c>
      <c r="B57" s="12" t="s">
        <v>27</v>
      </c>
    </row>
    <row r="58">
      <c r="A58" s="12">
        <v>31136.0</v>
      </c>
      <c r="B58" s="12" t="s">
        <v>27</v>
      </c>
    </row>
    <row r="59">
      <c r="A59" s="12">
        <v>31002.0</v>
      </c>
      <c r="B59" s="12" t="s">
        <v>27</v>
      </c>
    </row>
    <row r="60">
      <c r="A60" s="12">
        <v>31101.0</v>
      </c>
      <c r="B60" s="12" t="s">
        <v>27</v>
      </c>
    </row>
    <row r="61">
      <c r="A61" s="12">
        <v>31172.0</v>
      </c>
      <c r="B61" s="12" t="s">
        <v>27</v>
      </c>
    </row>
    <row r="62">
      <c r="A62" s="12">
        <v>31087.0</v>
      </c>
      <c r="B62" s="12" t="s">
        <v>27</v>
      </c>
    </row>
    <row r="63">
      <c r="A63" s="12">
        <v>31158.0</v>
      </c>
      <c r="B63" s="12" t="s">
        <v>27</v>
      </c>
    </row>
    <row r="64">
      <c r="A64" s="12">
        <v>31118.0</v>
      </c>
      <c r="B64" s="12" t="s">
        <v>27</v>
      </c>
    </row>
    <row r="65">
      <c r="A65" s="12">
        <v>31134.0</v>
      </c>
      <c r="B65" s="12" t="s">
        <v>27</v>
      </c>
    </row>
    <row r="66">
      <c r="A66" s="12">
        <v>31054.0</v>
      </c>
      <c r="B66" s="12" t="s">
        <v>27</v>
      </c>
    </row>
    <row r="67">
      <c r="A67" s="12">
        <v>31014.0</v>
      </c>
      <c r="B67" s="12" t="s">
        <v>27</v>
      </c>
    </row>
    <row r="68">
      <c r="A68" s="12">
        <v>31022.0</v>
      </c>
      <c r="B68" s="12" t="s">
        <v>27</v>
      </c>
    </row>
    <row r="69">
      <c r="A69" s="12">
        <v>31055.0</v>
      </c>
      <c r="B69" s="12" t="s">
        <v>27</v>
      </c>
    </row>
    <row r="70">
      <c r="A70" s="12">
        <v>31084.0</v>
      </c>
      <c r="B70" s="12" t="s">
        <v>27</v>
      </c>
    </row>
    <row r="71">
      <c r="A71" s="12">
        <v>31063.0</v>
      </c>
      <c r="B71" s="12" t="s">
        <v>27</v>
      </c>
    </row>
    <row r="72">
      <c r="A72" s="12">
        <v>31083.0</v>
      </c>
      <c r="B72" s="12" t="s">
        <v>27</v>
      </c>
    </row>
    <row r="73">
      <c r="A73" s="12">
        <v>31091.0</v>
      </c>
      <c r="B73" s="12" t="s">
        <v>27</v>
      </c>
    </row>
    <row r="74">
      <c r="A74" s="12">
        <v>31168.0</v>
      </c>
      <c r="B74" s="12" t="s">
        <v>27</v>
      </c>
    </row>
    <row r="75">
      <c r="A75" s="12">
        <v>31123.0</v>
      </c>
      <c r="B75" s="12" t="s">
        <v>27</v>
      </c>
    </row>
    <row r="76">
      <c r="A76" s="12">
        <v>31072.0</v>
      </c>
      <c r="B76" s="12" t="s">
        <v>27</v>
      </c>
    </row>
    <row r="77">
      <c r="A77" s="12">
        <v>31034.0</v>
      </c>
      <c r="B77" s="12" t="s">
        <v>27</v>
      </c>
    </row>
    <row r="78">
      <c r="A78" s="12">
        <v>31153.0</v>
      </c>
      <c r="B78" s="12" t="s">
        <v>27</v>
      </c>
    </row>
    <row r="79">
      <c r="A79" s="12">
        <v>31126.0</v>
      </c>
      <c r="B79" s="12" t="s">
        <v>27</v>
      </c>
    </row>
    <row r="80">
      <c r="A80" s="12">
        <v>31132.0</v>
      </c>
      <c r="B80" s="12" t="s">
        <v>27</v>
      </c>
    </row>
    <row r="81">
      <c r="A81" s="12">
        <v>31080.0</v>
      </c>
      <c r="B81" s="12" t="s">
        <v>27</v>
      </c>
    </row>
    <row r="82">
      <c r="A82" s="12">
        <v>31010.0</v>
      </c>
      <c r="B82" s="12" t="s">
        <v>27</v>
      </c>
    </row>
    <row r="83">
      <c r="A83" s="12">
        <v>31085.0</v>
      </c>
      <c r="B83" s="12" t="s">
        <v>27</v>
      </c>
    </row>
    <row r="84">
      <c r="A84" s="12">
        <v>31062.0</v>
      </c>
      <c r="B84" s="12" t="s">
        <v>27</v>
      </c>
    </row>
    <row r="85">
      <c r="A85" s="12">
        <v>31088.0</v>
      </c>
      <c r="B85" s="12" t="s">
        <v>27</v>
      </c>
    </row>
    <row r="86">
      <c r="A86" s="12">
        <v>31019.0</v>
      </c>
      <c r="B86" s="12" t="s">
        <v>27</v>
      </c>
    </row>
    <row r="87">
      <c r="A87" s="12">
        <v>31157.0</v>
      </c>
      <c r="B87" s="12" t="s">
        <v>27</v>
      </c>
    </row>
    <row r="88">
      <c r="A88" s="12">
        <v>31095.0</v>
      </c>
      <c r="B88" s="12" t="s">
        <v>27</v>
      </c>
    </row>
    <row r="89">
      <c r="A89" s="12">
        <v>31170.0</v>
      </c>
      <c r="B89" s="12" t="s">
        <v>27</v>
      </c>
    </row>
    <row r="90">
      <c r="A90" s="12">
        <v>31037.0</v>
      </c>
      <c r="B90" s="12" t="s">
        <v>27</v>
      </c>
    </row>
    <row r="91">
      <c r="A91" s="12">
        <v>31082.0</v>
      </c>
      <c r="B91" s="12" t="s">
        <v>27</v>
      </c>
    </row>
    <row r="92">
      <c r="A92" s="12">
        <v>30118.0</v>
      </c>
      <c r="B92" s="12" t="s">
        <v>27</v>
      </c>
    </row>
    <row r="93">
      <c r="A93" s="12">
        <v>31165.0</v>
      </c>
      <c r="B93" s="12" t="s">
        <v>27</v>
      </c>
    </row>
    <row r="94">
      <c r="A94" s="12">
        <v>31016.0</v>
      </c>
      <c r="B94" s="12" t="s">
        <v>27</v>
      </c>
    </row>
    <row r="95">
      <c r="A95" s="12">
        <v>31005.0</v>
      </c>
      <c r="B95" s="12" t="s">
        <v>27</v>
      </c>
    </row>
    <row r="96">
      <c r="A96" s="12">
        <v>31067.0</v>
      </c>
      <c r="B96" s="12" t="s">
        <v>27</v>
      </c>
    </row>
    <row r="97">
      <c r="A97" s="12">
        <v>31009.0</v>
      </c>
      <c r="B97" s="12" t="s">
        <v>27</v>
      </c>
    </row>
    <row r="98">
      <c r="A98" s="12">
        <v>31011.0</v>
      </c>
      <c r="B98" s="12" t="s">
        <v>27</v>
      </c>
    </row>
    <row r="99">
      <c r="A99" s="12">
        <v>30041.0</v>
      </c>
      <c r="B99" s="12" t="s">
        <v>27</v>
      </c>
    </row>
    <row r="100">
      <c r="A100" s="12">
        <v>31104.0</v>
      </c>
      <c r="B100" s="12" t="s">
        <v>27</v>
      </c>
    </row>
    <row r="101">
      <c r="A101" s="12">
        <v>31065.0</v>
      </c>
      <c r="B101" s="12" t="s">
        <v>27</v>
      </c>
    </row>
    <row r="102">
      <c r="A102" s="12">
        <v>31066.0</v>
      </c>
      <c r="B102" s="12" t="s">
        <v>27</v>
      </c>
    </row>
    <row r="103">
      <c r="A103" s="12">
        <v>31096.0</v>
      </c>
      <c r="B103" s="12" t="s">
        <v>27</v>
      </c>
    </row>
    <row r="104">
      <c r="A104" s="12">
        <v>31110.0</v>
      </c>
      <c r="B104" s="12" t="s">
        <v>27</v>
      </c>
    </row>
    <row r="105">
      <c r="A105" s="12">
        <v>31129.0</v>
      </c>
      <c r="B105" s="12" t="s">
        <v>27</v>
      </c>
    </row>
    <row r="106">
      <c r="A106" s="12">
        <v>31120.0</v>
      </c>
      <c r="B106" s="12" t="s">
        <v>27</v>
      </c>
    </row>
    <row r="107">
      <c r="A107" s="12">
        <v>31097.0</v>
      </c>
      <c r="B107" s="12" t="s">
        <v>27</v>
      </c>
    </row>
    <row r="108">
      <c r="A108" s="12">
        <v>31089.0</v>
      </c>
      <c r="B108" s="12" t="s">
        <v>27</v>
      </c>
    </row>
    <row r="109">
      <c r="A109" s="12">
        <v>31058.0</v>
      </c>
      <c r="B109" s="12" t="s">
        <v>27</v>
      </c>
    </row>
    <row r="110">
      <c r="A110" s="12">
        <v>31122.0</v>
      </c>
      <c r="B110" s="12" t="s">
        <v>27</v>
      </c>
    </row>
    <row r="111">
      <c r="A111" s="12">
        <v>31099.0</v>
      </c>
      <c r="B111" s="12" t="s">
        <v>27</v>
      </c>
    </row>
    <row r="112">
      <c r="A112" s="12">
        <v>31042.0</v>
      </c>
      <c r="B112" s="12" t="s">
        <v>27</v>
      </c>
    </row>
    <row r="113">
      <c r="A113" s="12">
        <v>31073.0</v>
      </c>
      <c r="B113" s="12" t="s">
        <v>27</v>
      </c>
    </row>
    <row r="114">
      <c r="A114" s="12">
        <v>31105.0</v>
      </c>
      <c r="B114" s="12" t="s">
        <v>27</v>
      </c>
    </row>
    <row r="115">
      <c r="A115" s="12">
        <v>31111.0</v>
      </c>
      <c r="B115" s="12" t="s">
        <v>27</v>
      </c>
    </row>
    <row r="116">
      <c r="A116" s="12">
        <v>31075.0</v>
      </c>
      <c r="B116" s="12" t="s">
        <v>27</v>
      </c>
    </row>
    <row r="117">
      <c r="A117" s="12">
        <v>31024.0</v>
      </c>
      <c r="B117" s="12" t="s">
        <v>27</v>
      </c>
    </row>
    <row r="118">
      <c r="A118" s="12">
        <v>31113.0</v>
      </c>
      <c r="B118" s="12" t="s">
        <v>27</v>
      </c>
    </row>
    <row r="119">
      <c r="A119" s="12">
        <v>31167.0</v>
      </c>
      <c r="B119" s="12" t="s">
        <v>27</v>
      </c>
    </row>
    <row r="120">
      <c r="A120" s="12">
        <v>31044.0</v>
      </c>
      <c r="B120" s="12" t="s">
        <v>27</v>
      </c>
    </row>
    <row r="121">
      <c r="A121" s="12">
        <v>31027.0</v>
      </c>
      <c r="B121" s="12" t="s">
        <v>27</v>
      </c>
    </row>
    <row r="122">
      <c r="A122" s="12">
        <v>31093.0</v>
      </c>
      <c r="B122" s="12" t="s">
        <v>27</v>
      </c>
    </row>
    <row r="123">
      <c r="A123" s="12">
        <v>31053.0</v>
      </c>
      <c r="B123" s="12" t="s">
        <v>27</v>
      </c>
    </row>
    <row r="124">
      <c r="A124" s="12">
        <v>31020.0</v>
      </c>
      <c r="B124" s="12" t="s">
        <v>27</v>
      </c>
    </row>
    <row r="125">
      <c r="A125" s="12">
        <v>31121.0</v>
      </c>
      <c r="B125" s="12" t="s">
        <v>27</v>
      </c>
    </row>
    <row r="126">
      <c r="A126" s="12">
        <v>31114.0</v>
      </c>
      <c r="B126" s="12" t="s">
        <v>27</v>
      </c>
    </row>
    <row r="127">
      <c r="A127" s="12">
        <v>31071.0</v>
      </c>
      <c r="B127" s="12" t="s">
        <v>27</v>
      </c>
    </row>
    <row r="128">
      <c r="A128" s="12">
        <v>31086.0</v>
      </c>
      <c r="B128" s="12" t="s">
        <v>27</v>
      </c>
    </row>
    <row r="129">
      <c r="A129" s="12">
        <v>31026.0</v>
      </c>
      <c r="B129" s="12" t="s">
        <v>27</v>
      </c>
    </row>
    <row r="130">
      <c r="A130" s="12">
        <v>31057.0</v>
      </c>
      <c r="B130" s="12" t="s">
        <v>27</v>
      </c>
    </row>
    <row r="131">
      <c r="A131" s="12">
        <v>31040.0</v>
      </c>
      <c r="B131" s="12" t="s">
        <v>27</v>
      </c>
    </row>
    <row r="132">
      <c r="A132" s="12">
        <v>31127.0</v>
      </c>
      <c r="B132" s="12" t="s">
        <v>27</v>
      </c>
    </row>
    <row r="133">
      <c r="A133" s="12">
        <v>31012.0</v>
      </c>
      <c r="B133" s="12" t="s">
        <v>27</v>
      </c>
    </row>
    <row r="134">
      <c r="A134" s="12">
        <v>30095.0</v>
      </c>
      <c r="B134" s="12" t="s">
        <v>27</v>
      </c>
    </row>
    <row r="135">
      <c r="A135" s="12">
        <v>30059.0</v>
      </c>
      <c r="B135" s="12" t="s">
        <v>27</v>
      </c>
    </row>
    <row r="136">
      <c r="A136" s="12">
        <v>30058.0</v>
      </c>
      <c r="B136" s="12" t="s">
        <v>27</v>
      </c>
    </row>
    <row r="137">
      <c r="A137" s="12">
        <v>30120.0</v>
      </c>
      <c r="B137" s="12" t="s">
        <v>27</v>
      </c>
    </row>
    <row r="138">
      <c r="A138" s="12">
        <v>30109.0</v>
      </c>
      <c r="B138" s="12" t="s">
        <v>27</v>
      </c>
    </row>
    <row r="139">
      <c r="A139" s="12">
        <v>30082.0</v>
      </c>
      <c r="B139" s="12" t="s">
        <v>27</v>
      </c>
    </row>
    <row r="140">
      <c r="A140" s="12">
        <v>30051.0</v>
      </c>
      <c r="B140" s="12" t="s">
        <v>27</v>
      </c>
    </row>
    <row r="141">
      <c r="A141" s="12">
        <v>30085.0</v>
      </c>
      <c r="B141" s="12" t="s">
        <v>27</v>
      </c>
    </row>
    <row r="142">
      <c r="A142" s="12">
        <v>30087.0</v>
      </c>
      <c r="B142" s="12" t="s">
        <v>27</v>
      </c>
    </row>
    <row r="143">
      <c r="A143" s="12">
        <v>30052.0</v>
      </c>
      <c r="B143" s="12" t="s">
        <v>27</v>
      </c>
    </row>
    <row r="144">
      <c r="A144" s="12">
        <v>30097.0</v>
      </c>
      <c r="B144" s="12" t="s">
        <v>27</v>
      </c>
    </row>
    <row r="145">
      <c r="A145" s="12">
        <v>30080.0</v>
      </c>
      <c r="B145" s="12" t="s">
        <v>27</v>
      </c>
    </row>
    <row r="146">
      <c r="A146" s="12">
        <v>29014.0</v>
      </c>
      <c r="B146" s="12" t="s">
        <v>27</v>
      </c>
    </row>
    <row r="147">
      <c r="A147" s="12">
        <v>30112.0</v>
      </c>
      <c r="B147" s="12" t="s">
        <v>27</v>
      </c>
    </row>
    <row r="148">
      <c r="A148" s="12">
        <v>30028.0</v>
      </c>
      <c r="B148" s="12" t="s">
        <v>27</v>
      </c>
    </row>
    <row r="149">
      <c r="A149" s="12">
        <v>30117.0</v>
      </c>
      <c r="B149" s="12" t="s">
        <v>27</v>
      </c>
    </row>
    <row r="150">
      <c r="A150" s="12">
        <v>30142.0</v>
      </c>
      <c r="B150" s="12" t="s">
        <v>27</v>
      </c>
    </row>
    <row r="151">
      <c r="A151" s="12">
        <v>30008.0</v>
      </c>
      <c r="B151" s="12" t="s">
        <v>27</v>
      </c>
    </row>
    <row r="152">
      <c r="A152" s="12">
        <v>30024.0</v>
      </c>
      <c r="B152" s="12" t="s">
        <v>27</v>
      </c>
    </row>
    <row r="153">
      <c r="A153" s="12">
        <v>30162.0</v>
      </c>
      <c r="B153" s="12" t="s">
        <v>27</v>
      </c>
    </row>
    <row r="154">
      <c r="A154" s="12">
        <v>30012.0</v>
      </c>
      <c r="B154" s="12" t="s">
        <v>27</v>
      </c>
    </row>
    <row r="155">
      <c r="A155" s="12">
        <v>30039.0</v>
      </c>
      <c r="B155" s="12" t="s">
        <v>27</v>
      </c>
    </row>
    <row r="156">
      <c r="A156" s="12">
        <v>30034.0</v>
      </c>
      <c r="B156" s="12" t="s">
        <v>27</v>
      </c>
    </row>
    <row r="157">
      <c r="A157" s="12">
        <v>30090.0</v>
      </c>
      <c r="B157" s="12" t="s">
        <v>27</v>
      </c>
    </row>
    <row r="158">
      <c r="A158" s="12">
        <v>30076.0</v>
      </c>
      <c r="B158" s="12" t="s">
        <v>27</v>
      </c>
    </row>
    <row r="159">
      <c r="A159" s="12">
        <v>30119.0</v>
      </c>
      <c r="B159" s="12" t="s">
        <v>27</v>
      </c>
    </row>
    <row r="160">
      <c r="A160" s="12">
        <v>30038.0</v>
      </c>
      <c r="B160" s="12" t="s">
        <v>27</v>
      </c>
    </row>
    <row r="161">
      <c r="A161" s="12">
        <v>30126.0</v>
      </c>
      <c r="B161" s="12" t="s">
        <v>27</v>
      </c>
    </row>
    <row r="162">
      <c r="A162" s="12">
        <v>30107.0</v>
      </c>
      <c r="B162" s="12" t="s">
        <v>27</v>
      </c>
    </row>
    <row r="163">
      <c r="A163" s="12">
        <v>30075.0</v>
      </c>
      <c r="B163" s="12" t="s">
        <v>27</v>
      </c>
    </row>
    <row r="164">
      <c r="A164" s="12">
        <v>30023.0</v>
      </c>
      <c r="B164" s="12" t="s">
        <v>27</v>
      </c>
    </row>
    <row r="165">
      <c r="A165" s="12">
        <v>30084.0</v>
      </c>
      <c r="B165" s="12" t="s">
        <v>27</v>
      </c>
    </row>
    <row r="166">
      <c r="A166" s="12">
        <v>30158.0</v>
      </c>
      <c r="B166" s="12" t="s">
        <v>27</v>
      </c>
    </row>
    <row r="167">
      <c r="A167" s="12">
        <v>30054.0</v>
      </c>
      <c r="B167" s="12" t="s">
        <v>27</v>
      </c>
    </row>
    <row r="168">
      <c r="A168" s="12">
        <v>30032.0</v>
      </c>
      <c r="B168" s="12" t="s">
        <v>27</v>
      </c>
    </row>
    <row r="169">
      <c r="A169" s="12">
        <v>30146.0</v>
      </c>
      <c r="B169" s="12" t="s">
        <v>27</v>
      </c>
    </row>
    <row r="170">
      <c r="A170" s="12">
        <v>30027.0</v>
      </c>
      <c r="B170" s="12" t="s">
        <v>27</v>
      </c>
    </row>
    <row r="171">
      <c r="A171" s="12">
        <v>30056.0</v>
      </c>
      <c r="B171" s="12" t="s">
        <v>27</v>
      </c>
    </row>
    <row r="172">
      <c r="A172" s="12">
        <v>30135.0</v>
      </c>
      <c r="B172" s="12" t="s">
        <v>27</v>
      </c>
    </row>
    <row r="173">
      <c r="A173" s="12">
        <v>30062.0</v>
      </c>
      <c r="B173" s="12" t="s">
        <v>27</v>
      </c>
    </row>
    <row r="174">
      <c r="A174" s="12">
        <v>30057.0</v>
      </c>
      <c r="B174" s="12" t="s">
        <v>27</v>
      </c>
    </row>
    <row r="175">
      <c r="A175" s="12">
        <v>29090.0</v>
      </c>
      <c r="B175" s="12" t="s">
        <v>27</v>
      </c>
    </row>
    <row r="176">
      <c r="A176" s="12">
        <v>30086.0</v>
      </c>
      <c r="B176" s="12" t="s">
        <v>27</v>
      </c>
    </row>
    <row r="177">
      <c r="A177" s="12">
        <v>30169.0</v>
      </c>
      <c r="B177" s="12" t="s">
        <v>27</v>
      </c>
    </row>
    <row r="178">
      <c r="A178" s="12">
        <v>30040.0</v>
      </c>
      <c r="B178" s="12" t="s">
        <v>27</v>
      </c>
    </row>
    <row r="179">
      <c r="A179" s="12">
        <v>30166.0</v>
      </c>
      <c r="B179" s="12" t="s">
        <v>27</v>
      </c>
    </row>
    <row r="180">
      <c r="A180" s="12">
        <v>30048.0</v>
      </c>
      <c r="B180" s="12" t="s">
        <v>27</v>
      </c>
    </row>
    <row r="181">
      <c r="A181" s="12">
        <v>30147.0</v>
      </c>
      <c r="B181" s="12" t="s">
        <v>27</v>
      </c>
    </row>
    <row r="182">
      <c r="A182" s="12">
        <v>30025.0</v>
      </c>
      <c r="B182" s="12" t="s">
        <v>27</v>
      </c>
    </row>
    <row r="183">
      <c r="A183" s="12">
        <v>30002.0</v>
      </c>
      <c r="B183" s="12" t="s">
        <v>27</v>
      </c>
    </row>
    <row r="184">
      <c r="A184" s="12">
        <v>30050.0</v>
      </c>
      <c r="B184" s="12" t="s">
        <v>27</v>
      </c>
    </row>
    <row r="185">
      <c r="A185" s="12">
        <v>30021.0</v>
      </c>
      <c r="B185" s="12" t="s">
        <v>27</v>
      </c>
    </row>
    <row r="186">
      <c r="A186" s="12">
        <v>30148.0</v>
      </c>
      <c r="B186" s="12" t="s">
        <v>27</v>
      </c>
    </row>
    <row r="187">
      <c r="A187" s="12">
        <v>30026.0</v>
      </c>
      <c r="B187" s="12" t="s">
        <v>27</v>
      </c>
    </row>
    <row r="188">
      <c r="A188" s="12">
        <v>30047.0</v>
      </c>
      <c r="B188" s="12" t="s">
        <v>27</v>
      </c>
    </row>
    <row r="189">
      <c r="A189" s="12">
        <v>30011.0</v>
      </c>
      <c r="B189" s="12" t="s">
        <v>27</v>
      </c>
    </row>
    <row r="190">
      <c r="A190" s="12">
        <v>30154.0</v>
      </c>
      <c r="B190" s="12" t="s">
        <v>30</v>
      </c>
    </row>
    <row r="191">
      <c r="A191" s="12">
        <v>30122.0</v>
      </c>
      <c r="B191" s="12" t="s">
        <v>30</v>
      </c>
    </row>
    <row r="192">
      <c r="A192" s="12">
        <v>30049.0</v>
      </c>
      <c r="B192" s="12" t="s">
        <v>30</v>
      </c>
    </row>
    <row r="193">
      <c r="A193" s="12">
        <v>30139.0</v>
      </c>
      <c r="B193" s="12" t="s">
        <v>30</v>
      </c>
    </row>
    <row r="194">
      <c r="A194" s="12">
        <v>30098.0</v>
      </c>
      <c r="B194" s="12" t="s">
        <v>30</v>
      </c>
    </row>
    <row r="195">
      <c r="A195" s="12">
        <v>30043.0</v>
      </c>
      <c r="B195" s="12" t="s">
        <v>30</v>
      </c>
    </row>
    <row r="196">
      <c r="A196" s="12">
        <v>30010.0</v>
      </c>
      <c r="B196" s="12" t="s">
        <v>30</v>
      </c>
    </row>
    <row r="197">
      <c r="A197" s="12">
        <v>30114.0</v>
      </c>
      <c r="B197" s="12" t="s">
        <v>30</v>
      </c>
    </row>
    <row r="198">
      <c r="A198" s="12">
        <v>30065.0</v>
      </c>
      <c r="B198" s="12" t="s">
        <v>30</v>
      </c>
    </row>
    <row r="199">
      <c r="A199" s="12">
        <v>30066.0</v>
      </c>
      <c r="B199" s="12" t="s">
        <v>30</v>
      </c>
    </row>
    <row r="200">
      <c r="A200" s="12">
        <v>30069.0</v>
      </c>
      <c r="B200" s="12" t="s">
        <v>30</v>
      </c>
    </row>
    <row r="201">
      <c r="A201" s="12">
        <v>30079.0</v>
      </c>
      <c r="B201" s="12" t="s">
        <v>30</v>
      </c>
    </row>
    <row r="202">
      <c r="A202" s="12">
        <v>30093.0</v>
      </c>
      <c r="B202" s="12" t="s">
        <v>30</v>
      </c>
    </row>
    <row r="203">
      <c r="A203" s="12">
        <v>30161.0</v>
      </c>
      <c r="B203" s="12" t="s">
        <v>30</v>
      </c>
    </row>
    <row r="204">
      <c r="A204" s="12">
        <v>30074.0</v>
      </c>
      <c r="B204" s="12" t="s">
        <v>30</v>
      </c>
    </row>
    <row r="205">
      <c r="A205" s="12">
        <v>30141.0</v>
      </c>
      <c r="B205" s="12" t="s">
        <v>30</v>
      </c>
    </row>
    <row r="206">
      <c r="A206" s="12">
        <v>30153.0</v>
      </c>
      <c r="B206" s="12" t="s">
        <v>30</v>
      </c>
    </row>
    <row r="207">
      <c r="A207" s="12">
        <v>30111.0</v>
      </c>
      <c r="B207" s="12" t="s">
        <v>30</v>
      </c>
    </row>
    <row r="208">
      <c r="A208" s="12">
        <v>30092.0</v>
      </c>
      <c r="B208" s="12" t="s">
        <v>30</v>
      </c>
    </row>
    <row r="209">
      <c r="A209" s="12">
        <v>30031.0</v>
      </c>
      <c r="B209" s="12" t="s">
        <v>30</v>
      </c>
    </row>
    <row r="210">
      <c r="A210" s="12">
        <v>30137.0</v>
      </c>
      <c r="B210" s="12" t="s">
        <v>30</v>
      </c>
    </row>
    <row r="211">
      <c r="A211" s="12">
        <v>30100.0</v>
      </c>
      <c r="B211" s="12" t="s">
        <v>30</v>
      </c>
    </row>
    <row r="212">
      <c r="A212" s="12">
        <v>30036.0</v>
      </c>
      <c r="B212" s="12" t="s">
        <v>30</v>
      </c>
    </row>
    <row r="213">
      <c r="A213" s="12">
        <v>30030.0</v>
      </c>
      <c r="B213" s="12" t="s">
        <v>30</v>
      </c>
    </row>
    <row r="214">
      <c r="A214" s="12">
        <v>29102.0</v>
      </c>
      <c r="B214" s="12" t="s">
        <v>30</v>
      </c>
    </row>
    <row r="215">
      <c r="A215" s="12">
        <v>30009.0</v>
      </c>
      <c r="B215" s="12" t="s">
        <v>30</v>
      </c>
    </row>
    <row r="216">
      <c r="A216" s="12">
        <v>30015.0</v>
      </c>
      <c r="B216" s="12" t="s">
        <v>30</v>
      </c>
    </row>
    <row r="217">
      <c r="A217" s="12">
        <v>30094.0</v>
      </c>
      <c r="B217" s="12" t="s">
        <v>30</v>
      </c>
    </row>
    <row r="218">
      <c r="A218" s="12">
        <v>30018.0</v>
      </c>
      <c r="B218" s="12" t="s">
        <v>30</v>
      </c>
    </row>
    <row r="219">
      <c r="A219" s="12">
        <v>30037.0</v>
      </c>
      <c r="B219" s="12" t="s">
        <v>30</v>
      </c>
    </row>
    <row r="220">
      <c r="A220" s="12">
        <v>30164.0</v>
      </c>
      <c r="B220" s="12" t="s">
        <v>30</v>
      </c>
    </row>
    <row r="221">
      <c r="A221" s="12">
        <v>30106.0</v>
      </c>
      <c r="B221" s="12" t="s">
        <v>30</v>
      </c>
    </row>
    <row r="222">
      <c r="A222" s="12">
        <v>30033.0</v>
      </c>
      <c r="B222" s="12" t="s">
        <v>30</v>
      </c>
    </row>
    <row r="223">
      <c r="A223" s="12">
        <v>30172.0</v>
      </c>
      <c r="B223" s="12" t="s">
        <v>30</v>
      </c>
    </row>
    <row r="224">
      <c r="A224" s="12">
        <v>30163.0</v>
      </c>
      <c r="B224" s="12" t="s">
        <v>30</v>
      </c>
    </row>
    <row r="225">
      <c r="A225" s="12">
        <v>30104.0</v>
      </c>
      <c r="B225" s="12" t="s">
        <v>30</v>
      </c>
    </row>
    <row r="226">
      <c r="A226" s="12">
        <v>30102.0</v>
      </c>
      <c r="B226" s="12" t="s">
        <v>30</v>
      </c>
    </row>
    <row r="227">
      <c r="A227" s="12">
        <v>30103.0</v>
      </c>
      <c r="B227" s="12" t="s">
        <v>30</v>
      </c>
    </row>
    <row r="228">
      <c r="A228" s="12">
        <v>30125.0</v>
      </c>
      <c r="B228" s="12" t="s">
        <v>30</v>
      </c>
    </row>
    <row r="229">
      <c r="A229" s="12">
        <v>30014.0</v>
      </c>
      <c r="B229" s="12" t="s">
        <v>30</v>
      </c>
    </row>
    <row r="230">
      <c r="A230" s="12">
        <v>30081.0</v>
      </c>
      <c r="B230" s="12" t="s">
        <v>30</v>
      </c>
    </row>
    <row r="231">
      <c r="A231" s="12">
        <v>30045.0</v>
      </c>
      <c r="B231" s="12" t="s">
        <v>30</v>
      </c>
    </row>
    <row r="232">
      <c r="A232" s="12">
        <v>30124.0</v>
      </c>
      <c r="B232" s="12" t="s">
        <v>30</v>
      </c>
    </row>
    <row r="233">
      <c r="A233" s="12">
        <v>30127.0</v>
      </c>
      <c r="B233" s="12" t="s">
        <v>30</v>
      </c>
    </row>
    <row r="234">
      <c r="A234" s="12">
        <v>30001.0</v>
      </c>
      <c r="B234" s="12" t="s">
        <v>30</v>
      </c>
    </row>
    <row r="235">
      <c r="A235" s="12">
        <v>29017.0</v>
      </c>
      <c r="B235" s="12" t="s">
        <v>30</v>
      </c>
    </row>
    <row r="236">
      <c r="A236" s="12">
        <v>30064.0</v>
      </c>
      <c r="B236" s="12" t="s">
        <v>30</v>
      </c>
    </row>
    <row r="237">
      <c r="A237" s="12">
        <v>30155.0</v>
      </c>
      <c r="B237" s="12" t="s">
        <v>30</v>
      </c>
    </row>
    <row r="238">
      <c r="A238" s="12">
        <v>30077.0</v>
      </c>
      <c r="B238" s="12" t="s">
        <v>30</v>
      </c>
    </row>
    <row r="239">
      <c r="A239" s="12">
        <v>30029.0</v>
      </c>
      <c r="B239" s="12" t="s">
        <v>30</v>
      </c>
    </row>
    <row r="240">
      <c r="A240" s="12">
        <v>30072.0</v>
      </c>
      <c r="B240" s="12" t="s">
        <v>30</v>
      </c>
    </row>
    <row r="241">
      <c r="A241" s="12">
        <v>30089.0</v>
      </c>
      <c r="B241" s="12" t="s">
        <v>30</v>
      </c>
    </row>
    <row r="242">
      <c r="A242" s="12">
        <v>30121.0</v>
      </c>
      <c r="B242" s="12" t="s">
        <v>30</v>
      </c>
    </row>
    <row r="243">
      <c r="A243" s="12">
        <v>30046.0</v>
      </c>
      <c r="B243" s="12" t="s">
        <v>30</v>
      </c>
    </row>
    <row r="244">
      <c r="A244" s="12">
        <v>30070.0</v>
      </c>
      <c r="B244" s="12" t="s">
        <v>30</v>
      </c>
    </row>
    <row r="245">
      <c r="A245" s="12">
        <v>30013.0</v>
      </c>
      <c r="B245" s="12" t="s">
        <v>30</v>
      </c>
    </row>
    <row r="246">
      <c r="A246" s="12">
        <v>30019.0</v>
      </c>
      <c r="B246" s="12" t="s">
        <v>30</v>
      </c>
    </row>
    <row r="247">
      <c r="A247" s="12">
        <v>30006.0</v>
      </c>
      <c r="B247" s="12" t="s">
        <v>30</v>
      </c>
    </row>
    <row r="248">
      <c r="A248" s="12">
        <v>30005.0</v>
      </c>
      <c r="B248" s="12" t="s">
        <v>30</v>
      </c>
    </row>
    <row r="249">
      <c r="A249" s="12">
        <v>30007.0</v>
      </c>
      <c r="B249" s="12" t="s">
        <v>30</v>
      </c>
    </row>
    <row r="250">
      <c r="A250" s="12">
        <v>30105.0</v>
      </c>
      <c r="B250" s="12" t="s">
        <v>30</v>
      </c>
    </row>
    <row r="251">
      <c r="A251" s="12">
        <v>30101.0</v>
      </c>
      <c r="B251" s="12" t="s">
        <v>30</v>
      </c>
    </row>
    <row r="252">
      <c r="A252" s="12">
        <v>30003.0</v>
      </c>
      <c r="B252" s="12" t="s">
        <v>30</v>
      </c>
    </row>
    <row r="253">
      <c r="A253" s="12">
        <v>30022.0</v>
      </c>
      <c r="B253" s="12" t="s">
        <v>30</v>
      </c>
    </row>
    <row r="254">
      <c r="A254" s="12">
        <v>29001.0</v>
      </c>
      <c r="B254" s="12" t="s">
        <v>27</v>
      </c>
    </row>
    <row r="255">
      <c r="A255" s="12">
        <v>29052.0</v>
      </c>
      <c r="B255" s="12" t="s">
        <v>27</v>
      </c>
    </row>
    <row r="256">
      <c r="A256" s="12">
        <v>29035.0</v>
      </c>
      <c r="B256" s="12" t="s">
        <v>27</v>
      </c>
    </row>
    <row r="257">
      <c r="A257" s="12">
        <v>29023.0</v>
      </c>
      <c r="B257" s="12" t="s">
        <v>27</v>
      </c>
    </row>
    <row r="258">
      <c r="A258" s="12">
        <v>29064.0</v>
      </c>
      <c r="B258" s="12" t="s">
        <v>27</v>
      </c>
    </row>
    <row r="259">
      <c r="A259" s="12">
        <v>29076.0</v>
      </c>
      <c r="B259" s="12" t="s">
        <v>27</v>
      </c>
    </row>
    <row r="260">
      <c r="A260" s="12">
        <v>29129.0</v>
      </c>
      <c r="B260" s="12" t="s">
        <v>27</v>
      </c>
    </row>
    <row r="261">
      <c r="A261" s="12">
        <v>29089.0</v>
      </c>
      <c r="B261" s="12" t="s">
        <v>27</v>
      </c>
    </row>
    <row r="262">
      <c r="A262" s="12">
        <v>29010.0</v>
      </c>
      <c r="B262" s="12" t="s">
        <v>27</v>
      </c>
    </row>
    <row r="263">
      <c r="A263" s="12">
        <v>29109.0</v>
      </c>
      <c r="B263" s="12" t="s">
        <v>27</v>
      </c>
    </row>
    <row r="264">
      <c r="A264" s="12">
        <v>29126.0</v>
      </c>
      <c r="B264" s="12" t="s">
        <v>27</v>
      </c>
    </row>
    <row r="265">
      <c r="A265" s="12">
        <v>28077.0</v>
      </c>
      <c r="B265" s="12" t="s">
        <v>27</v>
      </c>
    </row>
    <row r="266">
      <c r="A266" s="12">
        <v>29053.0</v>
      </c>
      <c r="B266" s="12" t="s">
        <v>27</v>
      </c>
    </row>
    <row r="267">
      <c r="A267" s="12">
        <v>29070.0</v>
      </c>
      <c r="B267" s="12" t="s">
        <v>27</v>
      </c>
    </row>
    <row r="268">
      <c r="A268" s="12">
        <v>29153.0</v>
      </c>
      <c r="B268" s="12" t="s">
        <v>27</v>
      </c>
    </row>
    <row r="269">
      <c r="A269" s="12">
        <v>29039.0</v>
      </c>
      <c r="B269" s="12" t="s">
        <v>27</v>
      </c>
    </row>
    <row r="270">
      <c r="A270" s="12">
        <v>29108.0</v>
      </c>
      <c r="B270" s="12" t="s">
        <v>27</v>
      </c>
    </row>
    <row r="271">
      <c r="A271" s="12">
        <v>29155.0</v>
      </c>
      <c r="B271" s="12" t="s">
        <v>27</v>
      </c>
    </row>
    <row r="272">
      <c r="A272" s="12">
        <v>29150.0</v>
      </c>
      <c r="B272" s="12" t="s">
        <v>27</v>
      </c>
    </row>
    <row r="273">
      <c r="A273" s="12">
        <v>29079.0</v>
      </c>
      <c r="B273" s="12" t="s">
        <v>27</v>
      </c>
    </row>
    <row r="274">
      <c r="A274" s="12">
        <v>29143.0</v>
      </c>
      <c r="B274" s="12" t="s">
        <v>27</v>
      </c>
    </row>
    <row r="275">
      <c r="A275" s="12">
        <v>29115.0</v>
      </c>
      <c r="B275" s="12" t="s">
        <v>27</v>
      </c>
    </row>
    <row r="276">
      <c r="A276" s="12">
        <v>29075.0</v>
      </c>
      <c r="B276" s="12" t="s">
        <v>27</v>
      </c>
    </row>
    <row r="277">
      <c r="A277" s="12">
        <v>29114.0</v>
      </c>
      <c r="B277" s="12" t="s">
        <v>27</v>
      </c>
    </row>
    <row r="278">
      <c r="A278" s="12">
        <v>29149.0</v>
      </c>
      <c r="B278" s="12" t="s">
        <v>27</v>
      </c>
    </row>
    <row r="279">
      <c r="A279" s="12">
        <v>29157.0</v>
      </c>
      <c r="B279" s="12" t="s">
        <v>27</v>
      </c>
    </row>
    <row r="280">
      <c r="A280" s="12">
        <v>29081.0</v>
      </c>
      <c r="B280" s="12" t="s">
        <v>27</v>
      </c>
    </row>
    <row r="281">
      <c r="A281" s="12">
        <v>29135.0</v>
      </c>
      <c r="B281" s="12" t="s">
        <v>27</v>
      </c>
    </row>
    <row r="282">
      <c r="A282" s="12">
        <v>29124.0</v>
      </c>
      <c r="B282" s="12" t="s">
        <v>27</v>
      </c>
    </row>
    <row r="283">
      <c r="A283" s="12">
        <v>29131.0</v>
      </c>
      <c r="B283" s="12" t="s">
        <v>27</v>
      </c>
    </row>
    <row r="284">
      <c r="A284" s="12">
        <v>29077.0</v>
      </c>
      <c r="B284" s="12" t="s">
        <v>27</v>
      </c>
    </row>
    <row r="285">
      <c r="A285" s="12">
        <v>29091.0</v>
      </c>
      <c r="B285" s="12" t="s">
        <v>27</v>
      </c>
    </row>
    <row r="286">
      <c r="A286" s="12">
        <v>29048.0</v>
      </c>
      <c r="B286" s="12" t="s">
        <v>27</v>
      </c>
    </row>
    <row r="287">
      <c r="A287" s="12">
        <v>29003.0</v>
      </c>
      <c r="B287" s="12" t="s">
        <v>27</v>
      </c>
    </row>
    <row r="288">
      <c r="A288" s="12">
        <v>29016.0</v>
      </c>
      <c r="B288" s="12" t="s">
        <v>27</v>
      </c>
    </row>
    <row r="289">
      <c r="A289" s="12">
        <v>29038.0</v>
      </c>
      <c r="B289" s="12" t="s">
        <v>27</v>
      </c>
    </row>
    <row r="290">
      <c r="A290" s="12">
        <v>29111.0</v>
      </c>
      <c r="B290" s="12" t="s">
        <v>27</v>
      </c>
    </row>
    <row r="291">
      <c r="A291" s="12">
        <v>29019.0</v>
      </c>
      <c r="B291" s="12" t="s">
        <v>27</v>
      </c>
    </row>
    <row r="292">
      <c r="A292" s="12">
        <v>29160.0</v>
      </c>
      <c r="B292" s="12" t="s">
        <v>27</v>
      </c>
    </row>
    <row r="293">
      <c r="A293" s="12">
        <v>29037.0</v>
      </c>
      <c r="B293" s="12" t="s">
        <v>27</v>
      </c>
    </row>
    <row r="294">
      <c r="A294" s="12">
        <v>29113.0</v>
      </c>
      <c r="B294" s="12" t="s">
        <v>27</v>
      </c>
    </row>
    <row r="295">
      <c r="A295" s="12">
        <v>29043.0</v>
      </c>
      <c r="B295" s="12" t="s">
        <v>27</v>
      </c>
    </row>
    <row r="296">
      <c r="A296" s="12">
        <v>29041.0</v>
      </c>
      <c r="B296" s="12" t="s">
        <v>27</v>
      </c>
    </row>
    <row r="297">
      <c r="A297" s="12">
        <v>29024.0</v>
      </c>
      <c r="B297" s="12" t="s">
        <v>30</v>
      </c>
    </row>
    <row r="298">
      <c r="A298" s="12">
        <v>29116.0</v>
      </c>
      <c r="B298" s="12" t="s">
        <v>30</v>
      </c>
    </row>
    <row r="299">
      <c r="A299" s="12">
        <v>29088.0</v>
      </c>
      <c r="B299" s="12" t="s">
        <v>30</v>
      </c>
    </row>
    <row r="300">
      <c r="A300" s="12">
        <v>29040.0</v>
      </c>
      <c r="B300" s="12" t="s">
        <v>30</v>
      </c>
    </row>
    <row r="301">
      <c r="A301" s="12">
        <v>29027.0</v>
      </c>
      <c r="B301" s="12" t="s">
        <v>30</v>
      </c>
    </row>
    <row r="302">
      <c r="A302" s="12">
        <v>29138.0</v>
      </c>
      <c r="B302" s="12" t="s">
        <v>30</v>
      </c>
    </row>
    <row r="303">
      <c r="A303" s="12">
        <v>29100.0</v>
      </c>
      <c r="B303" s="12" t="s">
        <v>30</v>
      </c>
    </row>
    <row r="304">
      <c r="A304" s="12">
        <v>29085.0</v>
      </c>
      <c r="B304" s="12" t="s">
        <v>30</v>
      </c>
    </row>
    <row r="305">
      <c r="A305" s="12">
        <v>29015.0</v>
      </c>
      <c r="B305" s="12" t="s">
        <v>30</v>
      </c>
    </row>
    <row r="306">
      <c r="A306" s="12">
        <v>29120.0</v>
      </c>
      <c r="B306" s="12" t="s">
        <v>30</v>
      </c>
    </row>
    <row r="307">
      <c r="A307" s="12">
        <v>29118.0</v>
      </c>
      <c r="B307" s="12" t="s">
        <v>30</v>
      </c>
    </row>
    <row r="308">
      <c r="A308" s="12">
        <v>29083.0</v>
      </c>
      <c r="B308" s="12" t="s">
        <v>30</v>
      </c>
    </row>
    <row r="309">
      <c r="A309" s="12">
        <v>29046.0</v>
      </c>
      <c r="B309" s="12" t="s">
        <v>30</v>
      </c>
    </row>
    <row r="310">
      <c r="A310" s="12">
        <v>29060.0</v>
      </c>
      <c r="B310" s="12" t="s">
        <v>30</v>
      </c>
    </row>
    <row r="311">
      <c r="A311" s="12">
        <v>29159.0</v>
      </c>
      <c r="B311" s="12" t="s">
        <v>30</v>
      </c>
    </row>
    <row r="312">
      <c r="A312" s="12">
        <v>29074.0</v>
      </c>
      <c r="B312" s="12" t="s">
        <v>30</v>
      </c>
    </row>
    <row r="313">
      <c r="A313" s="12">
        <v>29057.0</v>
      </c>
      <c r="B313" s="12" t="s">
        <v>30</v>
      </c>
    </row>
    <row r="314">
      <c r="A314" s="12">
        <v>29062.0</v>
      </c>
      <c r="B314" s="12" t="s">
        <v>30</v>
      </c>
    </row>
    <row r="315">
      <c r="A315" s="12">
        <v>29125.0</v>
      </c>
      <c r="B315" s="12" t="s">
        <v>30</v>
      </c>
    </row>
    <row r="316">
      <c r="A316" s="12">
        <v>29004.0</v>
      </c>
      <c r="B316" s="12" t="s">
        <v>30</v>
      </c>
    </row>
    <row r="317">
      <c r="A317" s="12">
        <v>29161.0</v>
      </c>
      <c r="B317" s="12" t="s">
        <v>30</v>
      </c>
    </row>
    <row r="318">
      <c r="A318" s="12">
        <v>29128.0</v>
      </c>
      <c r="B318" s="12" t="s">
        <v>30</v>
      </c>
    </row>
    <row r="319">
      <c r="A319" s="12">
        <v>29119.0</v>
      </c>
      <c r="B319" s="12" t="s">
        <v>30</v>
      </c>
    </row>
    <row r="320">
      <c r="A320" s="12">
        <v>29145.0</v>
      </c>
      <c r="B320" s="12" t="s">
        <v>30</v>
      </c>
    </row>
    <row r="321">
      <c r="A321" s="12">
        <v>29008.0</v>
      </c>
      <c r="B321" s="12" t="s">
        <v>30</v>
      </c>
    </row>
    <row r="322">
      <c r="A322" s="12">
        <v>29080.0</v>
      </c>
      <c r="B322" s="12" t="s">
        <v>30</v>
      </c>
    </row>
    <row r="323">
      <c r="A323" s="12">
        <v>29065.0</v>
      </c>
      <c r="B323" s="12" t="s">
        <v>30</v>
      </c>
    </row>
    <row r="324">
      <c r="A324" s="12">
        <v>29020.0</v>
      </c>
      <c r="B324" s="12" t="s">
        <v>30</v>
      </c>
    </row>
    <row r="325">
      <c r="A325" s="12">
        <v>29058.0</v>
      </c>
      <c r="B325" s="12" t="s">
        <v>30</v>
      </c>
    </row>
    <row r="326">
      <c r="A326" s="12">
        <v>29056.0</v>
      </c>
      <c r="B326" s="12" t="s">
        <v>30</v>
      </c>
    </row>
    <row r="327">
      <c r="A327" s="12">
        <v>29163.0</v>
      </c>
      <c r="B327" s="12" t="s">
        <v>30</v>
      </c>
    </row>
    <row r="328">
      <c r="A328" s="12">
        <v>29092.0</v>
      </c>
      <c r="B328" s="12" t="s">
        <v>30</v>
      </c>
    </row>
    <row r="329">
      <c r="A329" s="12">
        <v>29087.0</v>
      </c>
      <c r="B329" s="12" t="s">
        <v>30</v>
      </c>
    </row>
    <row r="330">
      <c r="A330" s="12">
        <v>28144.0</v>
      </c>
      <c r="B330" s="12" t="s">
        <v>30</v>
      </c>
    </row>
    <row r="331">
      <c r="A331" s="12">
        <v>29029.0</v>
      </c>
      <c r="B331" s="12" t="s">
        <v>30</v>
      </c>
    </row>
    <row r="332">
      <c r="A332" s="12">
        <v>29099.0</v>
      </c>
      <c r="B332" s="12" t="s">
        <v>30</v>
      </c>
    </row>
    <row r="333">
      <c r="A333" s="12">
        <v>29072.0</v>
      </c>
      <c r="B333" s="12" t="s">
        <v>30</v>
      </c>
    </row>
    <row r="334">
      <c r="A334" s="12">
        <v>29011.0</v>
      </c>
      <c r="B334" s="12" t="s">
        <v>30</v>
      </c>
    </row>
    <row r="335">
      <c r="A335" s="12">
        <v>29032.0</v>
      </c>
      <c r="B335" s="12" t="s">
        <v>30</v>
      </c>
    </row>
    <row r="336">
      <c r="A336" s="12">
        <v>29066.0</v>
      </c>
      <c r="B336" s="12" t="s">
        <v>30</v>
      </c>
    </row>
    <row r="337">
      <c r="A337" s="12">
        <v>29069.0</v>
      </c>
      <c r="B337" s="12" t="s">
        <v>30</v>
      </c>
    </row>
    <row r="338">
      <c r="A338" s="12">
        <v>29165.0</v>
      </c>
      <c r="B338" s="12" t="s">
        <v>30</v>
      </c>
    </row>
    <row r="339">
      <c r="A339" s="12">
        <v>29136.0</v>
      </c>
      <c r="B339" s="12" t="s">
        <v>30</v>
      </c>
    </row>
    <row r="340">
      <c r="A340" s="12">
        <v>29022.0</v>
      </c>
      <c r="B340" s="12" t="s">
        <v>30</v>
      </c>
    </row>
    <row r="341">
      <c r="A341" s="12">
        <v>29036.0</v>
      </c>
      <c r="B341" s="12" t="s">
        <v>30</v>
      </c>
    </row>
    <row r="342">
      <c r="A342" s="12">
        <v>29156.0</v>
      </c>
      <c r="B342" s="12" t="s">
        <v>30</v>
      </c>
    </row>
    <row r="343">
      <c r="A343" s="12">
        <v>29030.0</v>
      </c>
      <c r="B343" s="12" t="s">
        <v>30</v>
      </c>
    </row>
    <row r="344">
      <c r="A344" s="12">
        <v>29101.0</v>
      </c>
      <c r="B344" s="12" t="s">
        <v>30</v>
      </c>
    </row>
    <row r="345">
      <c r="A345" s="12">
        <v>29103.0</v>
      </c>
      <c r="B345" s="12" t="s">
        <v>30</v>
      </c>
    </row>
    <row r="346">
      <c r="A346" s="12">
        <v>29107.0</v>
      </c>
      <c r="B346" s="12" t="s">
        <v>30</v>
      </c>
    </row>
    <row r="347">
      <c r="A347" s="12">
        <v>29133.0</v>
      </c>
      <c r="B347" s="12" t="s">
        <v>30</v>
      </c>
    </row>
    <row r="348">
      <c r="A348" s="12">
        <v>27128.0</v>
      </c>
      <c r="B348" s="12" t="s">
        <v>30</v>
      </c>
    </row>
    <row r="349">
      <c r="A349" s="12">
        <v>29025.0</v>
      </c>
      <c r="B349" s="12" t="s">
        <v>30</v>
      </c>
    </row>
    <row r="350">
      <c r="A350" s="12">
        <v>29012.0</v>
      </c>
      <c r="B350" s="12" t="s">
        <v>30</v>
      </c>
    </row>
    <row r="351">
      <c r="A351" s="12">
        <v>29164.0</v>
      </c>
      <c r="B351" s="12" t="s">
        <v>30</v>
      </c>
    </row>
    <row r="352">
      <c r="A352" s="12">
        <v>29169.0</v>
      </c>
      <c r="B352" s="12" t="s">
        <v>30</v>
      </c>
    </row>
    <row r="353">
      <c r="A353" s="12">
        <v>29167.0</v>
      </c>
      <c r="B353" s="12" t="s">
        <v>30</v>
      </c>
    </row>
    <row r="354">
      <c r="A354" s="12">
        <v>29002.0</v>
      </c>
      <c r="B354" s="12" t="s">
        <v>30</v>
      </c>
    </row>
    <row r="355">
      <c r="A355" s="12">
        <v>29096.0</v>
      </c>
      <c r="B355" s="12" t="s">
        <v>30</v>
      </c>
    </row>
    <row r="356">
      <c r="A356" s="12">
        <v>29110.0</v>
      </c>
      <c r="B356" s="12" t="s">
        <v>30</v>
      </c>
    </row>
    <row r="357">
      <c r="A357" s="12">
        <v>29132.0</v>
      </c>
      <c r="B357" s="12" t="s">
        <v>30</v>
      </c>
    </row>
    <row r="358">
      <c r="A358" s="12">
        <v>29142.0</v>
      </c>
      <c r="B358" s="12" t="s">
        <v>30</v>
      </c>
    </row>
    <row r="359">
      <c r="A359" s="12">
        <v>29028.0</v>
      </c>
      <c r="B359" s="12" t="s">
        <v>30</v>
      </c>
    </row>
    <row r="360">
      <c r="A360" s="12">
        <v>29059.0</v>
      </c>
      <c r="B360" s="12" t="s">
        <v>30</v>
      </c>
    </row>
    <row r="361">
      <c r="A361" s="12">
        <v>29117.0</v>
      </c>
      <c r="B361" s="12" t="s">
        <v>30</v>
      </c>
    </row>
    <row r="362">
      <c r="A362" s="12">
        <v>28023.0</v>
      </c>
      <c r="B362" s="12" t="s">
        <v>30</v>
      </c>
    </row>
    <row r="363">
      <c r="A363" s="12">
        <v>29148.0</v>
      </c>
      <c r="B363" s="12" t="s">
        <v>30</v>
      </c>
    </row>
    <row r="364">
      <c r="A364" s="12">
        <v>29106.0</v>
      </c>
      <c r="B364" s="12" t="s">
        <v>30</v>
      </c>
    </row>
    <row r="365">
      <c r="A365" s="12">
        <v>29042.0</v>
      </c>
      <c r="B365" s="12" t="s">
        <v>30</v>
      </c>
    </row>
    <row r="366">
      <c r="A366" s="12">
        <v>28160.0</v>
      </c>
      <c r="B366" s="12" t="s">
        <v>30</v>
      </c>
    </row>
    <row r="367">
      <c r="A367" s="12">
        <v>29105.0</v>
      </c>
      <c r="B367" s="12" t="s">
        <v>30</v>
      </c>
    </row>
    <row r="368">
      <c r="A368" s="12">
        <v>28087.0</v>
      </c>
      <c r="B368" s="12" t="s">
        <v>30</v>
      </c>
    </row>
    <row r="369">
      <c r="A369" s="12">
        <v>29158.0</v>
      </c>
      <c r="B369" s="12" t="s">
        <v>30</v>
      </c>
    </row>
    <row r="370">
      <c r="A370" s="12">
        <v>29098.0</v>
      </c>
      <c r="B370" s="12" t="s">
        <v>30</v>
      </c>
    </row>
    <row r="371">
      <c r="A371" s="12">
        <v>29007.0</v>
      </c>
      <c r="B371" s="12" t="s">
        <v>30</v>
      </c>
    </row>
    <row r="372">
      <c r="A372" s="12">
        <v>29021.0</v>
      </c>
      <c r="B372" s="12" t="s">
        <v>30</v>
      </c>
    </row>
    <row r="373">
      <c r="A373" s="12">
        <v>29049.0</v>
      </c>
      <c r="B373" s="12" t="s">
        <v>30</v>
      </c>
    </row>
    <row r="374">
      <c r="A374" s="12">
        <v>28046.0</v>
      </c>
      <c r="B374" s="12" t="s">
        <v>30</v>
      </c>
    </row>
    <row r="375">
      <c r="A375" s="12">
        <v>29137.0</v>
      </c>
      <c r="B375" s="12" t="s">
        <v>30</v>
      </c>
    </row>
    <row r="376">
      <c r="A376" s="12">
        <v>29123.0</v>
      </c>
      <c r="B376" s="12" t="s">
        <v>30</v>
      </c>
    </row>
    <row r="377">
      <c r="A377" s="12">
        <v>28006.0</v>
      </c>
      <c r="B377" s="12" t="s">
        <v>30</v>
      </c>
    </row>
    <row r="378">
      <c r="A378" s="12">
        <v>28032.0</v>
      </c>
      <c r="B378" s="12" t="s">
        <v>30</v>
      </c>
    </row>
    <row r="379">
      <c r="A379" s="12">
        <v>29061.0</v>
      </c>
      <c r="B379" s="12" t="s">
        <v>30</v>
      </c>
    </row>
    <row r="380">
      <c r="A380" s="12">
        <v>29034.0</v>
      </c>
      <c r="B380" s="12" t="s">
        <v>30</v>
      </c>
    </row>
    <row r="381">
      <c r="A381" s="12">
        <v>29068.0</v>
      </c>
      <c r="B381" s="12" t="s">
        <v>30</v>
      </c>
    </row>
    <row r="382">
      <c r="A382" s="12">
        <v>29018.0</v>
      </c>
      <c r="B382" s="12" t="s">
        <v>30</v>
      </c>
    </row>
    <row r="383">
      <c r="A383" s="12">
        <v>29093.0</v>
      </c>
      <c r="B383" s="12" t="s">
        <v>30</v>
      </c>
    </row>
    <row r="384">
      <c r="A384" s="12">
        <v>29050.0</v>
      </c>
      <c r="B384" s="12" t="s">
        <v>30</v>
      </c>
    </row>
    <row r="385">
      <c r="A385" s="12">
        <v>29097.0</v>
      </c>
      <c r="B385" s="12" t="s">
        <v>30</v>
      </c>
    </row>
    <row r="386">
      <c r="A386" s="12">
        <v>29073.0</v>
      </c>
      <c r="B386" s="12" t="s">
        <v>30</v>
      </c>
    </row>
  </sheetData>
  <autoFilter ref="$A$1:$B$1000"/>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38"/>
    <col customWidth="1" min="5" max="5" width="11.25"/>
    <col customWidth="1" min="6" max="6" width="11.88"/>
    <col customWidth="1" min="7" max="7" width="11.63"/>
    <col customWidth="1" min="8" max="8" width="9.88"/>
    <col customWidth="1" min="9" max="9" width="10.5"/>
  </cols>
  <sheetData>
    <row r="1">
      <c r="A1" s="169" t="s">
        <v>861</v>
      </c>
      <c r="B1" s="170">
        <v>6.0</v>
      </c>
      <c r="C1" s="170">
        <v>7.0</v>
      </c>
      <c r="D1" s="170">
        <v>8.0</v>
      </c>
      <c r="E1" s="171" t="s">
        <v>862</v>
      </c>
      <c r="F1" s="171" t="s">
        <v>863</v>
      </c>
      <c r="G1" s="171" t="s">
        <v>864</v>
      </c>
      <c r="H1" s="171" t="s">
        <v>865</v>
      </c>
      <c r="I1" s="172" t="s">
        <v>866</v>
      </c>
    </row>
    <row r="2">
      <c r="A2" s="173" t="str">
        <f t="array" ref="A2:A48">sort(unique({Students!D4:D618;Students!F4:F618;Students!H4:H618;Students!J4:J618;Students!L4:L618;Students!N4:N618;#REF!;#REF!;Students!P4:P618;Students!R4:R618}))</f>
        <v>Algebra</v>
      </c>
      <c r="B2" s="174" t="str">
        <f>if($A2="","",COUNTIFS(Students!$A:$A,B$1,Students!$D:$D,$A2)+COUNTIFS(Students!$A:$A,B$1,Students!$F:$F,$A2)+COUNTIFS(Students!$A:$A,B$1,Students!$H:$H,$A2)+COUNTIFS(Students!$A:$A,B$1,Students!$J:$J,$A2)+COUNTIFS(Students!$A:$A,B$1,Students!$L:$L,$A2)+COUNTIFS(Students!$A:$A,B$1,Students!$N:$N,$A2)+COUNTIFS(Students!$A:$A,B$1,#REF!,$A2)+COUNTIFS(Students!$A:$A,B$1,#REF!,$A2)+COUNTIFS(Students!$A:$A,B$1,Students!$P:$P,$A2)+COUNTIFS(Students!$A:$A,B$1,Students!$R:$R,$A2))</f>
        <v>#VALUE!</v>
      </c>
      <c r="C2" s="174" t="str">
        <f>if($A2="","",COUNTIFS(Students!$A:$A,C$1,Students!$D:$D,$A2)+COUNTIFS(Students!$A:$A,C$1,Students!$F:$F,$A2)+COUNTIFS(Students!$A:$A,C$1,Students!$H:$H,$A2)+COUNTIFS(Students!$A:$A,C$1,Students!$J:$J,$A2)+COUNTIFS(Students!$A:$A,C$1,Students!$L:$L,$A2)+COUNTIFS(Students!$A:$A,C$1,Students!$N:$N,$A2)+COUNTIFS(Students!$A:$A,C$1,#REF!,$A2)+COUNTIFS(Students!$A:$A,C$1,#REF!,$A2)+COUNTIFS(Students!$A:$A,C$1,Students!$P:$P,$A2)+COUNTIFS(Students!$A:$A,C$1,Students!$R:$R,$A2))</f>
        <v>#VALUE!</v>
      </c>
      <c r="D2" s="174" t="str">
        <f>if($A2="","",COUNTIFS(Students!$A:$A,D$1,Students!$D:$D,$A2)+COUNTIFS(Students!$A:$A,D$1,Students!$F:$F,$A2)+COUNTIFS(Students!$A:$A,D$1,Students!$H:$H,$A2)+COUNTIFS(Students!$A:$A,D$1,Students!$J:$J,$A2)+COUNTIFS(Students!$A:$A,D$1,Students!$L:$L,$A2)+COUNTIFS(Students!$A:$A,D$1,Students!$N:$N,$A2)+COUNTIFS(Students!$A:$A,D$1,#REF!,$A2)+COUNTIFS(Students!$A:$A,D$1,#REF!,$A2)+COUNTIFS(Students!$A:$A,D$1,Students!$P:$P,$A2)+COUNTIFS(Students!$A:$A,D$1,Students!$R:$R,$A2))</f>
        <v>#VALUE!</v>
      </c>
      <c r="E2" s="175" t="str">
        <f t="shared" ref="E2:E88" si="1">if($A2="","",sum(A2:D2))</f>
        <v>#VALUE!</v>
      </c>
      <c r="F2" s="175">
        <f>if($A2="","",sumifs(Schedule!$O:$O,Schedule!$M:$M,$A2)+sumifs(Schedule!$R:$R,Schedule!$P:$P,$A2)+sumifs(Schedule!$U:$U,Schedule!$S:$S,$A2)+sumifs(Schedule!$X:$X,Schedule!$V:$V,$A2)+sumifs(Schedule!$AA:$AA,Schedule!$Y:$Y,$A2)+sumifs(Schedule!$AD:$AD,Schedule!$AB:$AB,$A2))</f>
        <v>75</v>
      </c>
      <c r="G2" s="175" t="str">
        <f t="shared" ref="G2:G88" si="2">if($A2="","",F2-E2)</f>
        <v>#VALUE!</v>
      </c>
      <c r="H2" s="176">
        <f>if(A2="","",countifs(Schedule!M$1:AB618,A2))</f>
        <v>3</v>
      </c>
      <c r="I2" s="177" t="str">
        <f t="shared" ref="I2:I88" si="3">if($A2="","",iferror(E2/H2,""))</f>
        <v/>
      </c>
    </row>
    <row r="3">
      <c r="A3" s="178" t="s">
        <v>117</v>
      </c>
      <c r="B3" s="174" t="str">
        <f>if($A3="","",COUNTIFS(Students!$A:$A,B$1,Students!$D:$D,$A3)+COUNTIFS(Students!$A:$A,B$1,Students!$F:$F,$A3)+COUNTIFS(Students!$A:$A,B$1,Students!$H:$H,$A3)+COUNTIFS(Students!$A:$A,B$1,Students!$J:$J,$A3)+COUNTIFS(Students!$A:$A,B$1,Students!$L:$L,$A3)+COUNTIFS(Students!$A:$A,B$1,Students!$N:$N,$A3)+COUNTIFS(Students!$A:$A,B$1,#REF!,$A3)+COUNTIFS(Students!$A:$A,B$1,#REF!,$A3)+COUNTIFS(Students!$A:$A,B$1,Students!$P:$P,$A3)+COUNTIFS(Students!$A:$A,B$1,Students!$R:$R,$A3))</f>
        <v>#VALUE!</v>
      </c>
      <c r="C3" s="174" t="str">
        <f>if($A3="","",COUNTIFS(Students!$A:$A,C$1,Students!$D:$D,$A3)+COUNTIFS(Students!$A:$A,C$1,Students!$F:$F,$A3)+COUNTIFS(Students!$A:$A,C$1,Students!$H:$H,$A3)+COUNTIFS(Students!$A:$A,C$1,Students!$J:$J,$A3)+COUNTIFS(Students!$A:$A,C$1,Students!$L:$L,$A3)+COUNTIFS(Students!$A:$A,C$1,Students!$N:$N,$A3)+COUNTIFS(Students!$A:$A,C$1,#REF!,$A3)+COUNTIFS(Students!$A:$A,C$1,#REF!,$A3)+COUNTIFS(Students!$A:$A,C$1,Students!$P:$P,$A3)+COUNTIFS(Students!$A:$A,C$1,Students!$R:$R,$A3))</f>
        <v>#VALUE!</v>
      </c>
      <c r="D3" s="174" t="str">
        <f>if($A3="","",COUNTIFS(Students!$A:$A,D$1,Students!$D:$D,$A3)+COUNTIFS(Students!$A:$A,D$1,Students!$F:$F,$A3)+COUNTIFS(Students!$A:$A,D$1,Students!$H:$H,$A3)+COUNTIFS(Students!$A:$A,D$1,Students!$J:$J,$A3)+COUNTIFS(Students!$A:$A,D$1,Students!$L:$L,$A3)+COUNTIFS(Students!$A:$A,D$1,Students!$N:$N,$A3)+COUNTIFS(Students!$A:$A,D$1,#REF!,$A3)+COUNTIFS(Students!$A:$A,D$1,#REF!,$A3)+COUNTIFS(Students!$A:$A,D$1,Students!$P:$P,$A3)+COUNTIFS(Students!$A:$A,D$1,Students!$R:$R,$A3))</f>
        <v>#VALUE!</v>
      </c>
      <c r="E3" s="175" t="str">
        <f t="shared" si="1"/>
        <v>#VALUE!</v>
      </c>
      <c r="F3" s="175">
        <f>if($A3="","",sumifs(Schedule!$O:$O,Schedule!$M:$M,$A3)+sumifs(Schedule!$R:$R,Schedule!$P:$P,$A3)+sumifs(Schedule!$U:$U,Schedule!$S:$S,$A3)+sumifs(Schedule!$X:$X,Schedule!$V:$V,$A3)+sumifs(Schedule!$AA:$AA,Schedule!$Y:$Y,$A3)+sumifs(Schedule!$AD:$AD,Schedule!$AB:$AB,$A3))</f>
        <v>95</v>
      </c>
      <c r="G3" s="175" t="str">
        <f t="shared" si="2"/>
        <v>#VALUE!</v>
      </c>
      <c r="H3" s="176">
        <f>if(A3="","",countifs(Schedule!M$1:AB618,A3))</f>
        <v>8</v>
      </c>
      <c r="I3" s="177" t="str">
        <f t="shared" si="3"/>
        <v/>
      </c>
    </row>
    <row r="4">
      <c r="A4" s="178" t="s">
        <v>116</v>
      </c>
      <c r="B4" s="174" t="str">
        <f>if($A4="","",COUNTIFS(Students!$A:$A,B$1,Students!$D:$D,$A4)+COUNTIFS(Students!$A:$A,B$1,Students!$F:$F,$A4)+COUNTIFS(Students!$A:$A,B$1,Students!$H:$H,$A4)+COUNTIFS(Students!$A:$A,B$1,Students!$J:$J,$A4)+COUNTIFS(Students!$A:$A,B$1,Students!$L:$L,$A4)+COUNTIFS(Students!$A:$A,B$1,Students!$N:$N,$A4)+COUNTIFS(Students!$A:$A,B$1,#REF!,$A4)+COUNTIFS(Students!$A:$A,B$1,#REF!,$A4)+COUNTIFS(Students!$A:$A,B$1,Students!$P:$P,$A4)+COUNTIFS(Students!$A:$A,B$1,Students!$R:$R,$A4))</f>
        <v>#VALUE!</v>
      </c>
      <c r="C4" s="174" t="str">
        <f>if($A4="","",COUNTIFS(Students!$A:$A,C$1,Students!$D:$D,$A4)+COUNTIFS(Students!$A:$A,C$1,Students!$F:$F,$A4)+COUNTIFS(Students!$A:$A,C$1,Students!$H:$H,$A4)+COUNTIFS(Students!$A:$A,C$1,Students!$J:$J,$A4)+COUNTIFS(Students!$A:$A,C$1,Students!$L:$L,$A4)+COUNTIFS(Students!$A:$A,C$1,Students!$N:$N,$A4)+COUNTIFS(Students!$A:$A,C$1,#REF!,$A4)+COUNTIFS(Students!$A:$A,C$1,#REF!,$A4)+COUNTIFS(Students!$A:$A,C$1,Students!$P:$P,$A4)+COUNTIFS(Students!$A:$A,C$1,Students!$R:$R,$A4))</f>
        <v>#VALUE!</v>
      </c>
      <c r="D4" s="174" t="str">
        <f>if($A4="","",COUNTIFS(Students!$A:$A,D$1,Students!$D:$D,$A4)+COUNTIFS(Students!$A:$A,D$1,Students!$F:$F,$A4)+COUNTIFS(Students!$A:$A,D$1,Students!$H:$H,$A4)+COUNTIFS(Students!$A:$A,D$1,Students!$J:$J,$A4)+COUNTIFS(Students!$A:$A,D$1,Students!$L:$L,$A4)+COUNTIFS(Students!$A:$A,D$1,Students!$N:$N,$A4)+COUNTIFS(Students!$A:$A,D$1,#REF!,$A4)+COUNTIFS(Students!$A:$A,D$1,#REF!,$A4)+COUNTIFS(Students!$A:$A,D$1,Students!$P:$P,$A4)+COUNTIFS(Students!$A:$A,D$1,Students!$R:$R,$A4))</f>
        <v>#VALUE!</v>
      </c>
      <c r="E4" s="175" t="str">
        <f t="shared" si="1"/>
        <v>#VALUE!</v>
      </c>
      <c r="F4" s="175">
        <f>if($A4="","",sumifs(Schedule!$O:$O,Schedule!$M:$M,$A4)+sumifs(Schedule!$R:$R,Schedule!$P:$P,$A4)+sumifs(Schedule!$U:$U,Schedule!$S:$S,$A4)+sumifs(Schedule!$X:$X,Schedule!$V:$V,$A4)+sumifs(Schedule!$AA:$AA,Schedule!$Y:$Y,$A4)+sumifs(Schedule!$AD:$AD,Schedule!$AB:$AB,$A4))</f>
        <v>66</v>
      </c>
      <c r="G4" s="175" t="str">
        <f t="shared" si="2"/>
        <v>#VALUE!</v>
      </c>
      <c r="H4" s="176">
        <f>if(A4="","",countifs(Schedule!M$1:AB618,A4))</f>
        <v>5</v>
      </c>
      <c r="I4" s="177" t="str">
        <f t="shared" si="3"/>
        <v/>
      </c>
    </row>
    <row r="5">
      <c r="A5" s="179" t="s">
        <v>118</v>
      </c>
      <c r="B5" s="174" t="str">
        <f>if($A5="","",COUNTIFS(Students!$A:$A,B$1,Students!$D:$D,$A5)+COUNTIFS(Students!$A:$A,B$1,Students!$F:$F,$A5)+COUNTIFS(Students!$A:$A,B$1,Students!$H:$H,$A5)+COUNTIFS(Students!$A:$A,B$1,Students!$J:$J,$A5)+COUNTIFS(Students!$A:$A,B$1,Students!$L:$L,$A5)+COUNTIFS(Students!$A:$A,B$1,Students!$N:$N,$A5)+COUNTIFS(Students!$A:$A,B$1,#REF!,$A5)+COUNTIFS(Students!$A:$A,B$1,#REF!,$A5)+COUNTIFS(Students!$A:$A,B$1,Students!$P:$P,$A5)+COUNTIFS(Students!$A:$A,B$1,Students!$R:$R,$A5))</f>
        <v>#VALUE!</v>
      </c>
      <c r="C5" s="174" t="str">
        <f>if($A5="","",COUNTIFS(Students!$A:$A,C$1,Students!$D:$D,$A5)+COUNTIFS(Students!$A:$A,C$1,Students!$F:$F,$A5)+COUNTIFS(Students!$A:$A,C$1,Students!$H:$H,$A5)+COUNTIFS(Students!$A:$A,C$1,Students!$J:$J,$A5)+COUNTIFS(Students!$A:$A,C$1,Students!$L:$L,$A5)+COUNTIFS(Students!$A:$A,C$1,Students!$N:$N,$A5)+COUNTIFS(Students!$A:$A,C$1,#REF!,$A5)+COUNTIFS(Students!$A:$A,C$1,#REF!,$A5)+COUNTIFS(Students!$A:$A,C$1,Students!$P:$P,$A5)+COUNTIFS(Students!$A:$A,C$1,Students!$R:$R,$A5))</f>
        <v>#VALUE!</v>
      </c>
      <c r="D5" s="174" t="str">
        <f>if($A5="","",COUNTIFS(Students!$A:$A,D$1,Students!$D:$D,$A5)+COUNTIFS(Students!$A:$A,D$1,Students!$F:$F,$A5)+COUNTIFS(Students!$A:$A,D$1,Students!$H:$H,$A5)+COUNTIFS(Students!$A:$A,D$1,Students!$J:$J,$A5)+COUNTIFS(Students!$A:$A,D$1,Students!$L:$L,$A5)+COUNTIFS(Students!$A:$A,D$1,Students!$N:$N,$A5)+COUNTIFS(Students!$A:$A,D$1,#REF!,$A5)+COUNTIFS(Students!$A:$A,D$1,#REF!,$A5)+COUNTIFS(Students!$A:$A,D$1,Students!$P:$P,$A5)+COUNTIFS(Students!$A:$A,D$1,Students!$R:$R,$A5))</f>
        <v>#VALUE!</v>
      </c>
      <c r="E5" s="175" t="str">
        <f t="shared" si="1"/>
        <v>#VALUE!</v>
      </c>
      <c r="F5" s="175">
        <f>if($A5="","",sumifs(Schedule!$O:$O,Schedule!$M:$M,$A5)+sumifs(Schedule!$R:$R,Schedule!$P:$P,$A5)+sumifs(Schedule!$U:$U,Schedule!$S:$S,$A5)+sumifs(Schedule!$X:$X,Schedule!$V:$V,$A5)+sumifs(Schedule!$AA:$AA,Schedule!$Y:$Y,$A5)+sumifs(Schedule!$AD:$AD,Schedule!$AB:$AB,$A5))</f>
        <v>45</v>
      </c>
      <c r="G5" s="175" t="str">
        <f t="shared" si="2"/>
        <v>#VALUE!</v>
      </c>
      <c r="H5" s="176">
        <f>if(A5="","",countifs(Schedule!M$1:AB618,A5))</f>
        <v>3</v>
      </c>
      <c r="I5" s="177" t="str">
        <f t="shared" si="3"/>
        <v/>
      </c>
    </row>
    <row r="6">
      <c r="A6" s="179" t="s">
        <v>140</v>
      </c>
      <c r="B6" s="174" t="str">
        <f>if($A6="","",COUNTIFS(Students!$A:$A,B$1,Students!$D:$D,$A6)+COUNTIFS(Students!$A:$A,B$1,Students!$F:$F,$A6)+COUNTIFS(Students!$A:$A,B$1,Students!$H:$H,$A6)+COUNTIFS(Students!$A:$A,B$1,Students!$J:$J,$A6)+COUNTIFS(Students!$A:$A,B$1,Students!$L:$L,$A6)+COUNTIFS(Students!$A:$A,B$1,Students!$N:$N,$A6)+COUNTIFS(Students!$A:$A,B$1,#REF!,$A6)+COUNTIFS(Students!$A:$A,B$1,#REF!,$A6)+COUNTIFS(Students!$A:$A,B$1,Students!$P:$P,$A6)+COUNTIFS(Students!$A:$A,B$1,Students!$R:$R,$A6))</f>
        <v>#VALUE!</v>
      </c>
      <c r="C6" s="174" t="str">
        <f>if($A6="","",COUNTIFS(Students!$A:$A,C$1,Students!$D:$D,$A6)+COUNTIFS(Students!$A:$A,C$1,Students!$F:$F,$A6)+COUNTIFS(Students!$A:$A,C$1,Students!$H:$H,$A6)+COUNTIFS(Students!$A:$A,C$1,Students!$J:$J,$A6)+COUNTIFS(Students!$A:$A,C$1,Students!$L:$L,$A6)+COUNTIFS(Students!$A:$A,C$1,Students!$N:$N,$A6)+COUNTIFS(Students!$A:$A,C$1,#REF!,$A6)+COUNTIFS(Students!$A:$A,C$1,#REF!,$A6)+COUNTIFS(Students!$A:$A,C$1,Students!$P:$P,$A6)+COUNTIFS(Students!$A:$A,C$1,Students!$R:$R,$A6))</f>
        <v>#VALUE!</v>
      </c>
      <c r="D6" s="174" t="str">
        <f>if($A6="","",COUNTIFS(Students!$A:$A,D$1,Students!$D:$D,$A6)+COUNTIFS(Students!$A:$A,D$1,Students!$F:$F,$A6)+COUNTIFS(Students!$A:$A,D$1,Students!$H:$H,$A6)+COUNTIFS(Students!$A:$A,D$1,Students!$J:$J,$A6)+COUNTIFS(Students!$A:$A,D$1,Students!$L:$L,$A6)+COUNTIFS(Students!$A:$A,D$1,Students!$N:$N,$A6)+COUNTIFS(Students!$A:$A,D$1,#REF!,$A6)+COUNTIFS(Students!$A:$A,D$1,#REF!,$A6)+COUNTIFS(Students!$A:$A,D$1,Students!$P:$P,$A6)+COUNTIFS(Students!$A:$A,D$1,Students!$R:$R,$A6))</f>
        <v>#VALUE!</v>
      </c>
      <c r="E6" s="175" t="str">
        <f t="shared" si="1"/>
        <v>#VALUE!</v>
      </c>
      <c r="F6" s="175">
        <f>if($A6="","",sumifs(Schedule!$O:$O,Schedule!$M:$M,$A6)+sumifs(Schedule!$R:$R,Schedule!$P:$P,$A6)+sumifs(Schedule!$U:$U,Schedule!$S:$S,$A6)+sumifs(Schedule!$X:$X,Schedule!$V:$V,$A6)+sumifs(Schedule!$AA:$AA,Schedule!$Y:$Y,$A6)+sumifs(Schedule!$AD:$AD,Schedule!$AB:$AB,$A6))</f>
        <v>130</v>
      </c>
      <c r="G6" s="175" t="str">
        <f t="shared" si="2"/>
        <v>#VALUE!</v>
      </c>
      <c r="H6" s="176">
        <f>if(A6="","",countifs(Schedule!M$1:AB618,A6))</f>
        <v>6</v>
      </c>
      <c r="I6" s="177" t="str">
        <f t="shared" si="3"/>
        <v/>
      </c>
    </row>
    <row r="7">
      <c r="A7" s="179" t="s">
        <v>141</v>
      </c>
      <c r="B7" s="174" t="str">
        <f>if($A7="","",COUNTIFS(Students!$A:$A,B$1,Students!$D:$D,$A7)+COUNTIFS(Students!$A:$A,B$1,Students!$F:$F,$A7)+COUNTIFS(Students!$A:$A,B$1,Students!$H:$H,$A7)+COUNTIFS(Students!$A:$A,B$1,Students!$J:$J,$A7)+COUNTIFS(Students!$A:$A,B$1,Students!$L:$L,$A7)+COUNTIFS(Students!$A:$A,B$1,Students!$N:$N,$A7)+COUNTIFS(Students!$A:$A,B$1,#REF!,$A7)+COUNTIFS(Students!$A:$A,B$1,#REF!,$A7)+COUNTIFS(Students!$A:$A,B$1,Students!$P:$P,$A7)+COUNTIFS(Students!$A:$A,B$1,Students!$R:$R,$A7))</f>
        <v>#VALUE!</v>
      </c>
      <c r="C7" s="174" t="str">
        <f>if($A7="","",COUNTIFS(Students!$A:$A,C$1,Students!$D:$D,$A7)+COUNTIFS(Students!$A:$A,C$1,Students!$F:$F,$A7)+COUNTIFS(Students!$A:$A,C$1,Students!$H:$H,$A7)+COUNTIFS(Students!$A:$A,C$1,Students!$J:$J,$A7)+COUNTIFS(Students!$A:$A,C$1,Students!$L:$L,$A7)+COUNTIFS(Students!$A:$A,C$1,Students!$N:$N,$A7)+COUNTIFS(Students!$A:$A,C$1,#REF!,$A7)+COUNTIFS(Students!$A:$A,C$1,#REF!,$A7)+COUNTIFS(Students!$A:$A,C$1,Students!$P:$P,$A7)+COUNTIFS(Students!$A:$A,C$1,Students!$R:$R,$A7))</f>
        <v>#VALUE!</v>
      </c>
      <c r="D7" s="174" t="str">
        <f>if($A7="","",COUNTIFS(Students!$A:$A,D$1,Students!$D:$D,$A7)+COUNTIFS(Students!$A:$A,D$1,Students!$F:$F,$A7)+COUNTIFS(Students!$A:$A,D$1,Students!$H:$H,$A7)+COUNTIFS(Students!$A:$A,D$1,Students!$J:$J,$A7)+COUNTIFS(Students!$A:$A,D$1,Students!$L:$L,$A7)+COUNTIFS(Students!$A:$A,D$1,Students!$N:$N,$A7)+COUNTIFS(Students!$A:$A,D$1,#REF!,$A7)+COUNTIFS(Students!$A:$A,D$1,#REF!,$A7)+COUNTIFS(Students!$A:$A,D$1,Students!$P:$P,$A7)+COUNTIFS(Students!$A:$A,D$1,Students!$R:$R,$A7))</f>
        <v>#VALUE!</v>
      </c>
      <c r="E7" s="175" t="str">
        <f t="shared" si="1"/>
        <v>#VALUE!</v>
      </c>
      <c r="F7" s="175">
        <f>if($A7="","",sumifs(Schedule!$O:$O,Schedule!$M:$M,$A7)+sumifs(Schedule!$R:$R,Schedule!$P:$P,$A7)+sumifs(Schedule!$U:$U,Schedule!$S:$S,$A7)+sumifs(Schedule!$X:$X,Schedule!$V:$V,$A7)+sumifs(Schedule!$AA:$AA,Schedule!$Y:$Y,$A7)+sumifs(Schedule!$AD:$AD,Schedule!$AB:$AB,$A7))</f>
        <v>194</v>
      </c>
      <c r="G7" s="175" t="str">
        <f t="shared" si="2"/>
        <v>#VALUE!</v>
      </c>
      <c r="H7" s="176">
        <f>if(A7="","",countifs(Schedule!M$1:AB618,A7))</f>
        <v>8</v>
      </c>
      <c r="I7" s="177" t="str">
        <f t="shared" si="3"/>
        <v/>
      </c>
    </row>
    <row r="8">
      <c r="A8" s="179" t="s">
        <v>182</v>
      </c>
      <c r="B8" s="174" t="str">
        <f>if($A8="","",COUNTIFS(Students!$A:$A,B$1,Students!$D:$D,$A8)+COUNTIFS(Students!$A:$A,B$1,Students!$F:$F,$A8)+COUNTIFS(Students!$A:$A,B$1,Students!$H:$H,$A8)+COUNTIFS(Students!$A:$A,B$1,Students!$J:$J,$A8)+COUNTIFS(Students!$A:$A,B$1,Students!$L:$L,$A8)+COUNTIFS(Students!$A:$A,B$1,Students!$N:$N,$A8)+COUNTIFS(Students!$A:$A,B$1,#REF!,$A8)+COUNTIFS(Students!$A:$A,B$1,#REF!,$A8)+COUNTIFS(Students!$A:$A,B$1,Students!$P:$P,$A8)+COUNTIFS(Students!$A:$A,B$1,Students!$R:$R,$A8))</f>
        <v>#VALUE!</v>
      </c>
      <c r="C8" s="174" t="str">
        <f>if($A8="","",COUNTIFS(Students!$A:$A,C$1,Students!$D:$D,$A8)+COUNTIFS(Students!$A:$A,C$1,Students!$F:$F,$A8)+COUNTIFS(Students!$A:$A,C$1,Students!$H:$H,$A8)+COUNTIFS(Students!$A:$A,C$1,Students!$J:$J,$A8)+COUNTIFS(Students!$A:$A,C$1,Students!$L:$L,$A8)+COUNTIFS(Students!$A:$A,C$1,Students!$N:$N,$A8)+COUNTIFS(Students!$A:$A,C$1,#REF!,$A8)+COUNTIFS(Students!$A:$A,C$1,#REF!,$A8)+COUNTIFS(Students!$A:$A,C$1,Students!$P:$P,$A8)+COUNTIFS(Students!$A:$A,C$1,Students!$R:$R,$A8))</f>
        <v>#VALUE!</v>
      </c>
      <c r="D8" s="174" t="str">
        <f>if($A8="","",COUNTIFS(Students!$A:$A,D$1,Students!$D:$D,$A8)+COUNTIFS(Students!$A:$A,D$1,Students!$F:$F,$A8)+COUNTIFS(Students!$A:$A,D$1,Students!$H:$H,$A8)+COUNTIFS(Students!$A:$A,D$1,Students!$J:$J,$A8)+COUNTIFS(Students!$A:$A,D$1,Students!$L:$L,$A8)+COUNTIFS(Students!$A:$A,D$1,Students!$N:$N,$A8)+COUNTIFS(Students!$A:$A,D$1,#REF!,$A8)+COUNTIFS(Students!$A:$A,D$1,#REF!,$A8)+COUNTIFS(Students!$A:$A,D$1,Students!$P:$P,$A8)+COUNTIFS(Students!$A:$A,D$1,Students!$R:$R,$A8))</f>
        <v>#VALUE!</v>
      </c>
      <c r="E8" s="175" t="str">
        <f t="shared" si="1"/>
        <v>#VALUE!</v>
      </c>
      <c r="F8" s="175">
        <f>if($A8="","",sumifs(Schedule!$O:$O,Schedule!$M:$M,$A8)+sumifs(Schedule!$R:$R,Schedule!$P:$P,$A8)+sumifs(Schedule!$U:$U,Schedule!$S:$S,$A8)+sumifs(Schedule!$X:$X,Schedule!$V:$V,$A8)+sumifs(Schedule!$AA:$AA,Schedule!$Y:$Y,$A8)+sumifs(Schedule!$AD:$AD,Schedule!$AB:$AB,$A8))</f>
        <v>120</v>
      </c>
      <c r="G8" s="175" t="str">
        <f t="shared" si="2"/>
        <v>#VALUE!</v>
      </c>
      <c r="H8" s="176">
        <f>if(A8="","",countifs(Schedule!M$1:AB618,A8))</f>
        <v>5</v>
      </c>
      <c r="I8" s="177" t="str">
        <f t="shared" si="3"/>
        <v/>
      </c>
    </row>
    <row r="9">
      <c r="A9" s="179" t="s">
        <v>181</v>
      </c>
      <c r="B9" s="174" t="str">
        <f>if($A9="","",COUNTIFS(Students!$A:$A,B$1,Students!$D:$D,$A9)+COUNTIFS(Students!$A:$A,B$1,Students!$F:$F,$A9)+COUNTIFS(Students!$A:$A,B$1,Students!$H:$H,$A9)+COUNTIFS(Students!$A:$A,B$1,Students!$J:$J,$A9)+COUNTIFS(Students!$A:$A,B$1,Students!$L:$L,$A9)+COUNTIFS(Students!$A:$A,B$1,Students!$N:$N,$A9)+COUNTIFS(Students!$A:$A,B$1,#REF!,$A9)+COUNTIFS(Students!$A:$A,B$1,#REF!,$A9)+COUNTIFS(Students!$A:$A,B$1,Students!$P:$P,$A9)+COUNTIFS(Students!$A:$A,B$1,Students!$R:$R,$A9))</f>
        <v>#VALUE!</v>
      </c>
      <c r="C9" s="174" t="str">
        <f>if($A9="","",COUNTIFS(Students!$A:$A,C$1,Students!$D:$D,$A9)+COUNTIFS(Students!$A:$A,C$1,Students!$F:$F,$A9)+COUNTIFS(Students!$A:$A,C$1,Students!$H:$H,$A9)+COUNTIFS(Students!$A:$A,C$1,Students!$J:$J,$A9)+COUNTIFS(Students!$A:$A,C$1,Students!$L:$L,$A9)+COUNTIFS(Students!$A:$A,C$1,Students!$N:$N,$A9)+COUNTIFS(Students!$A:$A,C$1,#REF!,$A9)+COUNTIFS(Students!$A:$A,C$1,#REF!,$A9)+COUNTIFS(Students!$A:$A,C$1,Students!$P:$P,$A9)+COUNTIFS(Students!$A:$A,C$1,Students!$R:$R,$A9))</f>
        <v>#VALUE!</v>
      </c>
      <c r="D9" s="174" t="str">
        <f>if($A9="","",COUNTIFS(Students!$A:$A,D$1,Students!$D:$D,$A9)+COUNTIFS(Students!$A:$A,D$1,Students!$F:$F,$A9)+COUNTIFS(Students!$A:$A,D$1,Students!$H:$H,$A9)+COUNTIFS(Students!$A:$A,D$1,Students!$J:$J,$A9)+COUNTIFS(Students!$A:$A,D$1,Students!$L:$L,$A9)+COUNTIFS(Students!$A:$A,D$1,Students!$N:$N,$A9)+COUNTIFS(Students!$A:$A,D$1,#REF!,$A9)+COUNTIFS(Students!$A:$A,D$1,#REF!,$A9)+COUNTIFS(Students!$A:$A,D$1,Students!$P:$P,$A9)+COUNTIFS(Students!$A:$A,D$1,Students!$R:$R,$A9))</f>
        <v>#VALUE!</v>
      </c>
      <c r="E9" s="175" t="str">
        <f t="shared" si="1"/>
        <v>#VALUE!</v>
      </c>
      <c r="F9" s="175">
        <f>if($A9="","",sumifs(Schedule!$O:$O,Schedule!$M:$M,$A9)+sumifs(Schedule!$R:$R,Schedule!$P:$P,$A9)+sumifs(Schedule!$U:$U,Schedule!$S:$S,$A9)+sumifs(Schedule!$X:$X,Schedule!$V:$V,$A9)+sumifs(Schedule!$AA:$AA,Schedule!$Y:$Y,$A9)+sumifs(Schedule!$AD:$AD,Schedule!$AB:$AB,$A9))</f>
        <v>48</v>
      </c>
      <c r="G9" s="175" t="str">
        <f t="shared" si="2"/>
        <v>#VALUE!</v>
      </c>
      <c r="H9" s="176">
        <f>if(A9="","",countifs(Schedule!M$1:AB618,A9))</f>
        <v>2</v>
      </c>
      <c r="I9" s="177" t="str">
        <f t="shared" si="3"/>
        <v/>
      </c>
    </row>
    <row r="10">
      <c r="A10" s="179" t="s">
        <v>184</v>
      </c>
      <c r="B10" s="174" t="str">
        <f>if($A10="","",COUNTIFS(Students!$A:$A,B$1,Students!$D:$D,$A10)+COUNTIFS(Students!$A:$A,B$1,Students!$F:$F,$A10)+COUNTIFS(Students!$A:$A,B$1,Students!$H:$H,$A10)+COUNTIFS(Students!$A:$A,B$1,Students!$J:$J,$A10)+COUNTIFS(Students!$A:$A,B$1,Students!$L:$L,$A10)+COUNTIFS(Students!$A:$A,B$1,Students!$N:$N,$A10)+COUNTIFS(Students!$A:$A,B$1,#REF!,$A10)+COUNTIFS(Students!$A:$A,B$1,#REF!,$A10)+COUNTIFS(Students!$A:$A,B$1,Students!$P:$P,$A10)+COUNTIFS(Students!$A:$A,B$1,Students!$R:$R,$A10))</f>
        <v>#VALUE!</v>
      </c>
      <c r="C10" s="174" t="str">
        <f>if($A10="","",COUNTIFS(Students!$A:$A,C$1,Students!$D:$D,$A10)+COUNTIFS(Students!$A:$A,C$1,Students!$F:$F,$A10)+COUNTIFS(Students!$A:$A,C$1,Students!$H:$H,$A10)+COUNTIFS(Students!$A:$A,C$1,Students!$J:$J,$A10)+COUNTIFS(Students!$A:$A,C$1,Students!$L:$L,$A10)+COUNTIFS(Students!$A:$A,C$1,Students!$N:$N,$A10)+COUNTIFS(Students!$A:$A,C$1,#REF!,$A10)+COUNTIFS(Students!$A:$A,C$1,#REF!,$A10)+COUNTIFS(Students!$A:$A,C$1,Students!$P:$P,$A10)+COUNTIFS(Students!$A:$A,C$1,Students!$R:$R,$A10))</f>
        <v>#VALUE!</v>
      </c>
      <c r="D10" s="174" t="str">
        <f>if($A10="","",COUNTIFS(Students!$A:$A,D$1,Students!$D:$D,$A10)+COUNTIFS(Students!$A:$A,D$1,Students!$F:$F,$A10)+COUNTIFS(Students!$A:$A,D$1,Students!$H:$H,$A10)+COUNTIFS(Students!$A:$A,D$1,Students!$J:$J,$A10)+COUNTIFS(Students!$A:$A,D$1,Students!$L:$L,$A10)+COUNTIFS(Students!$A:$A,D$1,Students!$N:$N,$A10)+COUNTIFS(Students!$A:$A,D$1,#REF!,$A10)+COUNTIFS(Students!$A:$A,D$1,#REF!,$A10)+COUNTIFS(Students!$A:$A,D$1,Students!$P:$P,$A10)+COUNTIFS(Students!$A:$A,D$1,Students!$R:$R,$A10))</f>
        <v>#VALUE!</v>
      </c>
      <c r="E10" s="175" t="str">
        <f t="shared" si="1"/>
        <v>#VALUE!</v>
      </c>
      <c r="F10" s="175">
        <f>if($A10="","",sumifs(Schedule!$O:$O,Schedule!$M:$M,$A10)+sumifs(Schedule!$R:$R,Schedule!$P:$P,$A10)+sumifs(Schedule!$U:$U,Schedule!$S:$S,$A10)+sumifs(Schedule!$X:$X,Schedule!$V:$V,$A10)+sumifs(Schedule!$AA:$AA,Schedule!$Y:$Y,$A10)+sumifs(Schedule!$AD:$AD,Schedule!$AB:$AB,$A10))</f>
        <v>131</v>
      </c>
      <c r="G10" s="175" t="str">
        <f t="shared" si="2"/>
        <v>#VALUE!</v>
      </c>
      <c r="H10" s="176">
        <f>if(A10="","",countifs(Schedule!M$1:AB618,A10))</f>
        <v>6</v>
      </c>
      <c r="I10" s="177" t="str">
        <f t="shared" si="3"/>
        <v/>
      </c>
    </row>
    <row r="11">
      <c r="A11" s="179" t="s">
        <v>188</v>
      </c>
      <c r="B11" s="174" t="str">
        <f>if($A11="","",COUNTIFS(Students!$A:$A,B$1,Students!$D:$D,$A11)+COUNTIFS(Students!$A:$A,B$1,Students!$F:$F,$A11)+COUNTIFS(Students!$A:$A,B$1,Students!$H:$H,$A11)+COUNTIFS(Students!$A:$A,B$1,Students!$J:$J,$A11)+COUNTIFS(Students!$A:$A,B$1,Students!$L:$L,$A11)+COUNTIFS(Students!$A:$A,B$1,Students!$N:$N,$A11)+COUNTIFS(Students!$A:$A,B$1,#REF!,$A11)+COUNTIFS(Students!$A:$A,B$1,#REF!,$A11)+COUNTIFS(Students!$A:$A,B$1,Students!$P:$P,$A11)+COUNTIFS(Students!$A:$A,B$1,Students!$R:$R,$A11))</f>
        <v>#VALUE!</v>
      </c>
      <c r="C11" s="174" t="str">
        <f>if($A11="","",COUNTIFS(Students!$A:$A,C$1,Students!$D:$D,$A11)+COUNTIFS(Students!$A:$A,C$1,Students!$F:$F,$A11)+COUNTIFS(Students!$A:$A,C$1,Students!$H:$H,$A11)+COUNTIFS(Students!$A:$A,C$1,Students!$J:$J,$A11)+COUNTIFS(Students!$A:$A,C$1,Students!$L:$L,$A11)+COUNTIFS(Students!$A:$A,C$1,Students!$N:$N,$A11)+COUNTIFS(Students!$A:$A,C$1,#REF!,$A11)+COUNTIFS(Students!$A:$A,C$1,#REF!,$A11)+COUNTIFS(Students!$A:$A,C$1,Students!$P:$P,$A11)+COUNTIFS(Students!$A:$A,C$1,Students!$R:$R,$A11))</f>
        <v>#VALUE!</v>
      </c>
      <c r="D11" s="174" t="str">
        <f>if($A11="","",COUNTIFS(Students!$A:$A,D$1,Students!$D:$D,$A11)+COUNTIFS(Students!$A:$A,D$1,Students!$F:$F,$A11)+COUNTIFS(Students!$A:$A,D$1,Students!$H:$H,$A11)+COUNTIFS(Students!$A:$A,D$1,Students!$J:$J,$A11)+COUNTIFS(Students!$A:$A,D$1,Students!$L:$L,$A11)+COUNTIFS(Students!$A:$A,D$1,Students!$N:$N,$A11)+COUNTIFS(Students!$A:$A,D$1,#REF!,$A11)+COUNTIFS(Students!$A:$A,D$1,#REF!,$A11)+COUNTIFS(Students!$A:$A,D$1,Students!$P:$P,$A11)+COUNTIFS(Students!$A:$A,D$1,Students!$R:$R,$A11))</f>
        <v>#VALUE!</v>
      </c>
      <c r="E11" s="175" t="str">
        <f t="shared" si="1"/>
        <v>#VALUE!</v>
      </c>
      <c r="F11" s="175">
        <f>if($A11="","",sumifs(Schedule!$O:$O,Schedule!$M:$M,$A11)+sumifs(Schedule!$R:$R,Schedule!$P:$P,$A11)+sumifs(Schedule!$U:$U,Schedule!$S:$S,$A11)+sumifs(Schedule!$X:$X,Schedule!$V:$V,$A11)+sumifs(Schedule!$AA:$AA,Schedule!$Y:$Y,$A11)+sumifs(Schedule!$AD:$AD,Schedule!$AB:$AB,$A11))</f>
        <v>22</v>
      </c>
      <c r="G11" s="175" t="str">
        <f t="shared" si="2"/>
        <v>#VALUE!</v>
      </c>
      <c r="H11" s="176">
        <f>if(A11="","",countifs(Schedule!M$1:AB618,A11))</f>
        <v>1</v>
      </c>
      <c r="I11" s="177" t="str">
        <f t="shared" si="3"/>
        <v/>
      </c>
    </row>
    <row r="12">
      <c r="A12" s="179" t="s">
        <v>185</v>
      </c>
      <c r="B12" s="174" t="str">
        <f>if($A12="","",COUNTIFS(Students!$A:$A,B$1,Students!$D:$D,$A12)+COUNTIFS(Students!$A:$A,B$1,Students!$F:$F,$A12)+COUNTIFS(Students!$A:$A,B$1,Students!$H:$H,$A12)+COUNTIFS(Students!$A:$A,B$1,Students!$J:$J,$A12)+COUNTIFS(Students!$A:$A,B$1,Students!$L:$L,$A12)+COUNTIFS(Students!$A:$A,B$1,Students!$N:$N,$A12)+COUNTIFS(Students!$A:$A,B$1,#REF!,$A12)+COUNTIFS(Students!$A:$A,B$1,#REF!,$A12)+COUNTIFS(Students!$A:$A,B$1,Students!$P:$P,$A12)+COUNTIFS(Students!$A:$A,B$1,Students!$R:$R,$A12))</f>
        <v>#VALUE!</v>
      </c>
      <c r="C12" s="174" t="str">
        <f>if($A12="","",COUNTIFS(Students!$A:$A,C$1,Students!$D:$D,$A12)+COUNTIFS(Students!$A:$A,C$1,Students!$F:$F,$A12)+COUNTIFS(Students!$A:$A,C$1,Students!$H:$H,$A12)+COUNTIFS(Students!$A:$A,C$1,Students!$J:$J,$A12)+COUNTIFS(Students!$A:$A,C$1,Students!$L:$L,$A12)+COUNTIFS(Students!$A:$A,C$1,Students!$N:$N,$A12)+COUNTIFS(Students!$A:$A,C$1,#REF!,$A12)+COUNTIFS(Students!$A:$A,C$1,#REF!,$A12)+COUNTIFS(Students!$A:$A,C$1,Students!$P:$P,$A12)+COUNTIFS(Students!$A:$A,C$1,Students!$R:$R,$A12))</f>
        <v>#VALUE!</v>
      </c>
      <c r="D12" s="174" t="str">
        <f>if($A12="","",COUNTIFS(Students!$A:$A,D$1,Students!$D:$D,$A12)+COUNTIFS(Students!$A:$A,D$1,Students!$F:$F,$A12)+COUNTIFS(Students!$A:$A,D$1,Students!$H:$H,$A12)+COUNTIFS(Students!$A:$A,D$1,Students!$J:$J,$A12)+COUNTIFS(Students!$A:$A,D$1,Students!$L:$L,$A12)+COUNTIFS(Students!$A:$A,D$1,Students!$N:$N,$A12)+COUNTIFS(Students!$A:$A,D$1,#REF!,$A12)+COUNTIFS(Students!$A:$A,D$1,#REF!,$A12)+COUNTIFS(Students!$A:$A,D$1,Students!$P:$P,$A12)+COUNTIFS(Students!$A:$A,D$1,Students!$R:$R,$A12))</f>
        <v>#VALUE!</v>
      </c>
      <c r="E12" s="175" t="str">
        <f t="shared" si="1"/>
        <v>#VALUE!</v>
      </c>
      <c r="F12" s="175">
        <f>if($A12="","",sumifs(Schedule!$O:$O,Schedule!$M:$M,$A12)+sumifs(Schedule!$R:$R,Schedule!$P:$P,$A12)+sumifs(Schedule!$U:$U,Schedule!$S:$S,$A12)+sumifs(Schedule!$X:$X,Schedule!$V:$V,$A12)+sumifs(Schedule!$AA:$AA,Schedule!$Y:$Y,$A12)+sumifs(Schedule!$AD:$AD,Schedule!$AB:$AB,$A12))</f>
        <v>141</v>
      </c>
      <c r="G12" s="175" t="str">
        <f t="shared" si="2"/>
        <v>#VALUE!</v>
      </c>
      <c r="H12" s="176">
        <f>if(A12="","",countifs(Schedule!M$1:AB618,A12))</f>
        <v>6</v>
      </c>
      <c r="I12" s="177" t="str">
        <f t="shared" si="3"/>
        <v/>
      </c>
    </row>
    <row r="13">
      <c r="A13" s="179" t="s">
        <v>187</v>
      </c>
      <c r="B13" s="174" t="str">
        <f>if($A13="","",COUNTIFS(Students!$A:$A,B$1,Students!$D:$D,$A13)+COUNTIFS(Students!$A:$A,B$1,Students!$F:$F,$A13)+COUNTIFS(Students!$A:$A,B$1,Students!$H:$H,$A13)+COUNTIFS(Students!$A:$A,B$1,Students!$J:$J,$A13)+COUNTIFS(Students!$A:$A,B$1,Students!$L:$L,$A13)+COUNTIFS(Students!$A:$A,B$1,Students!$N:$N,$A13)+COUNTIFS(Students!$A:$A,B$1,#REF!,$A13)+COUNTIFS(Students!$A:$A,B$1,#REF!,$A13)+COUNTIFS(Students!$A:$A,B$1,Students!$P:$P,$A13)+COUNTIFS(Students!$A:$A,B$1,Students!$R:$R,$A13))</f>
        <v>#VALUE!</v>
      </c>
      <c r="C13" s="174" t="str">
        <f>if($A13="","",COUNTIFS(Students!$A:$A,C$1,Students!$D:$D,$A13)+COUNTIFS(Students!$A:$A,C$1,Students!$F:$F,$A13)+COUNTIFS(Students!$A:$A,C$1,Students!$H:$H,$A13)+COUNTIFS(Students!$A:$A,C$1,Students!$J:$J,$A13)+COUNTIFS(Students!$A:$A,C$1,Students!$L:$L,$A13)+COUNTIFS(Students!$A:$A,C$1,Students!$N:$N,$A13)+COUNTIFS(Students!$A:$A,C$1,#REF!,$A13)+COUNTIFS(Students!$A:$A,C$1,#REF!,$A13)+COUNTIFS(Students!$A:$A,C$1,Students!$P:$P,$A13)+COUNTIFS(Students!$A:$A,C$1,Students!$R:$R,$A13))</f>
        <v>#VALUE!</v>
      </c>
      <c r="D13" s="174" t="str">
        <f>if($A13="","",COUNTIFS(Students!$A:$A,D$1,Students!$D:$D,$A13)+COUNTIFS(Students!$A:$A,D$1,Students!$F:$F,$A13)+COUNTIFS(Students!$A:$A,D$1,Students!$H:$H,$A13)+COUNTIFS(Students!$A:$A,D$1,Students!$J:$J,$A13)+COUNTIFS(Students!$A:$A,D$1,Students!$L:$L,$A13)+COUNTIFS(Students!$A:$A,D$1,Students!$N:$N,$A13)+COUNTIFS(Students!$A:$A,D$1,#REF!,$A13)+COUNTIFS(Students!$A:$A,D$1,#REF!,$A13)+COUNTIFS(Students!$A:$A,D$1,Students!$P:$P,$A13)+COUNTIFS(Students!$A:$A,D$1,Students!$R:$R,$A13))</f>
        <v>#VALUE!</v>
      </c>
      <c r="E13" s="175" t="str">
        <f t="shared" si="1"/>
        <v>#VALUE!</v>
      </c>
      <c r="F13" s="175">
        <f>if($A13="","",sumifs(Schedule!$O:$O,Schedule!$M:$M,$A13)+sumifs(Schedule!$R:$R,Schedule!$P:$P,$A13)+sumifs(Schedule!$U:$U,Schedule!$S:$S,$A13)+sumifs(Schedule!$X:$X,Schedule!$V:$V,$A13)+sumifs(Schedule!$AA:$AA,Schedule!$Y:$Y,$A13)+sumifs(Schedule!$AD:$AD,Schedule!$AB:$AB,$A13))</f>
        <v>24</v>
      </c>
      <c r="G13" s="175" t="str">
        <f t="shared" si="2"/>
        <v>#VALUE!</v>
      </c>
      <c r="H13" s="176">
        <f>if(A13="","",countifs(Schedule!M$1:AB618,A13))</f>
        <v>1</v>
      </c>
      <c r="I13" s="177" t="str">
        <f t="shared" si="3"/>
        <v/>
      </c>
    </row>
    <row r="14">
      <c r="A14" s="180" t="s">
        <v>158</v>
      </c>
      <c r="B14" s="174" t="str">
        <f>if($A14="","",COUNTIFS(Students!$A:$A,B$1,Students!$D:$D,$A14)+COUNTIFS(Students!$A:$A,B$1,Students!$F:$F,$A14)+COUNTIFS(Students!$A:$A,B$1,Students!$H:$H,$A14)+COUNTIFS(Students!$A:$A,B$1,Students!$J:$J,$A14)+COUNTIFS(Students!$A:$A,B$1,Students!$L:$L,$A14)+COUNTIFS(Students!$A:$A,B$1,Students!$N:$N,$A14)+COUNTIFS(Students!$A:$A,B$1,#REF!,$A14)+COUNTIFS(Students!$A:$A,B$1,#REF!,$A14)+COUNTIFS(Students!$A:$A,B$1,Students!$P:$P,$A14)+COUNTIFS(Students!$A:$A,B$1,Students!$R:$R,$A14))</f>
        <v>#VALUE!</v>
      </c>
      <c r="C14" s="174" t="str">
        <f>if($A14="","",COUNTIFS(Students!$A:$A,C$1,Students!$D:$D,$A14)+COUNTIFS(Students!$A:$A,C$1,Students!$F:$F,$A14)+COUNTIFS(Students!$A:$A,C$1,Students!$H:$H,$A14)+COUNTIFS(Students!$A:$A,C$1,Students!$J:$J,$A14)+COUNTIFS(Students!$A:$A,C$1,Students!$L:$L,$A14)+COUNTIFS(Students!$A:$A,C$1,Students!$N:$N,$A14)+COUNTIFS(Students!$A:$A,C$1,#REF!,$A14)+COUNTIFS(Students!$A:$A,C$1,#REF!,$A14)+COUNTIFS(Students!$A:$A,C$1,Students!$P:$P,$A14)+COUNTIFS(Students!$A:$A,C$1,Students!$R:$R,$A14))</f>
        <v>#VALUE!</v>
      </c>
      <c r="D14" s="174" t="str">
        <f>if($A14="","",COUNTIFS(Students!$A:$A,D$1,Students!$D:$D,$A14)+COUNTIFS(Students!$A:$A,D$1,Students!$F:$F,$A14)+COUNTIFS(Students!$A:$A,D$1,Students!$H:$H,$A14)+COUNTIFS(Students!$A:$A,D$1,Students!$J:$J,$A14)+COUNTIFS(Students!$A:$A,D$1,Students!$L:$L,$A14)+COUNTIFS(Students!$A:$A,D$1,Students!$N:$N,$A14)+COUNTIFS(Students!$A:$A,D$1,#REF!,$A14)+COUNTIFS(Students!$A:$A,D$1,#REF!,$A14)+COUNTIFS(Students!$A:$A,D$1,Students!$P:$P,$A14)+COUNTIFS(Students!$A:$A,D$1,Students!$R:$R,$A14))</f>
        <v>#VALUE!</v>
      </c>
      <c r="E14" s="175" t="str">
        <f t="shared" si="1"/>
        <v>#VALUE!</v>
      </c>
      <c r="F14" s="175">
        <f>if($A14="","",sumifs(Schedule!$O:$O,Schedule!$M:$M,$A14)+sumifs(Schedule!$R:$R,Schedule!$P:$P,$A14)+sumifs(Schedule!$U:$U,Schedule!$S:$S,$A14)+sumifs(Schedule!$X:$X,Schedule!$V:$V,$A14)+sumifs(Schedule!$AA:$AA,Schedule!$Y:$Y,$A14)+sumifs(Schedule!$AD:$AD,Schedule!$AB:$AB,$A14))</f>
        <v>120</v>
      </c>
      <c r="G14" s="175" t="str">
        <f t="shared" si="2"/>
        <v>#VALUE!</v>
      </c>
      <c r="H14" s="176">
        <f>if(A14="","",countifs(Schedule!M$1:AB618,A14))</f>
        <v>5</v>
      </c>
      <c r="I14" s="177" t="str">
        <f t="shared" si="3"/>
        <v/>
      </c>
    </row>
    <row r="15">
      <c r="A15" s="180" t="s">
        <v>159</v>
      </c>
      <c r="B15" s="174" t="str">
        <f>if($A15="","",COUNTIFS(Students!$A:$A,B$1,Students!$D:$D,$A15)+COUNTIFS(Students!$A:$A,B$1,Students!$F:$F,$A15)+COUNTIFS(Students!$A:$A,B$1,Students!$H:$H,$A15)+COUNTIFS(Students!$A:$A,B$1,Students!$J:$J,$A15)+COUNTIFS(Students!$A:$A,B$1,Students!$L:$L,$A15)+COUNTIFS(Students!$A:$A,B$1,Students!$N:$N,$A15)+COUNTIFS(Students!$A:$A,B$1,#REF!,$A15)+COUNTIFS(Students!$A:$A,B$1,#REF!,$A15)+COUNTIFS(Students!$A:$A,B$1,Students!$P:$P,$A15)+COUNTIFS(Students!$A:$A,B$1,Students!$R:$R,$A15))</f>
        <v>#VALUE!</v>
      </c>
      <c r="C15" s="174" t="str">
        <f>if($A15="","",COUNTIFS(Students!$A:$A,C$1,Students!$D:$D,$A15)+COUNTIFS(Students!$A:$A,C$1,Students!$F:$F,$A15)+COUNTIFS(Students!$A:$A,C$1,Students!$H:$H,$A15)+COUNTIFS(Students!$A:$A,C$1,Students!$J:$J,$A15)+COUNTIFS(Students!$A:$A,C$1,Students!$L:$L,$A15)+COUNTIFS(Students!$A:$A,C$1,Students!$N:$N,$A15)+COUNTIFS(Students!$A:$A,C$1,#REF!,$A15)+COUNTIFS(Students!$A:$A,C$1,#REF!,$A15)+COUNTIFS(Students!$A:$A,C$1,Students!$P:$P,$A15)+COUNTIFS(Students!$A:$A,C$1,Students!$R:$R,$A15))</f>
        <v>#VALUE!</v>
      </c>
      <c r="D15" s="174" t="str">
        <f>if($A15="","",COUNTIFS(Students!$A:$A,D$1,Students!$D:$D,$A15)+COUNTIFS(Students!$A:$A,D$1,Students!$F:$F,$A15)+COUNTIFS(Students!$A:$A,D$1,Students!$H:$H,$A15)+COUNTIFS(Students!$A:$A,D$1,Students!$J:$J,$A15)+COUNTIFS(Students!$A:$A,D$1,Students!$L:$L,$A15)+COUNTIFS(Students!$A:$A,D$1,Students!$N:$N,$A15)+COUNTIFS(Students!$A:$A,D$1,#REF!,$A15)+COUNTIFS(Students!$A:$A,D$1,#REF!,$A15)+COUNTIFS(Students!$A:$A,D$1,Students!$P:$P,$A15)+COUNTIFS(Students!$A:$A,D$1,Students!$R:$R,$A15))</f>
        <v>#VALUE!</v>
      </c>
      <c r="E15" s="175" t="str">
        <f t="shared" si="1"/>
        <v>#VALUE!</v>
      </c>
      <c r="F15" s="175">
        <f>if($A15="","",sumifs(Schedule!$O:$O,Schedule!$M:$M,$A15)+sumifs(Schedule!$R:$R,Schedule!$P:$P,$A15)+sumifs(Schedule!$U:$U,Schedule!$S:$S,$A15)+sumifs(Schedule!$X:$X,Schedule!$V:$V,$A15)+sumifs(Schedule!$AA:$AA,Schedule!$Y:$Y,$A15)+sumifs(Schedule!$AD:$AD,Schedule!$AB:$AB,$A15))</f>
        <v>48</v>
      </c>
      <c r="G15" s="175" t="str">
        <f t="shared" si="2"/>
        <v>#VALUE!</v>
      </c>
      <c r="H15" s="176">
        <f>if(A15="","",countifs(Schedule!M$1:AB618,A15))</f>
        <v>2</v>
      </c>
      <c r="I15" s="177" t="str">
        <f t="shared" si="3"/>
        <v/>
      </c>
    </row>
    <row r="16">
      <c r="A16" s="179" t="s">
        <v>163</v>
      </c>
      <c r="B16" s="174" t="str">
        <f>if($A16="","",COUNTIFS(Students!$A:$A,B$1,Students!$D:$D,$A16)+COUNTIFS(Students!$A:$A,B$1,Students!$F:$F,$A16)+COUNTIFS(Students!$A:$A,B$1,Students!$H:$H,$A16)+COUNTIFS(Students!$A:$A,B$1,Students!$J:$J,$A16)+COUNTIFS(Students!$A:$A,B$1,Students!$L:$L,$A16)+COUNTIFS(Students!$A:$A,B$1,Students!$N:$N,$A16)+COUNTIFS(Students!$A:$A,B$1,#REF!,$A16)+COUNTIFS(Students!$A:$A,B$1,#REF!,$A16)+COUNTIFS(Students!$A:$A,B$1,Students!$P:$P,$A16)+COUNTIFS(Students!$A:$A,B$1,Students!$R:$R,$A16))</f>
        <v>#VALUE!</v>
      </c>
      <c r="C16" s="174" t="str">
        <f>if($A16="","",COUNTIFS(Students!$A:$A,C$1,Students!$D:$D,$A16)+COUNTIFS(Students!$A:$A,C$1,Students!$F:$F,$A16)+COUNTIFS(Students!$A:$A,C$1,Students!$H:$H,$A16)+COUNTIFS(Students!$A:$A,C$1,Students!$J:$J,$A16)+COUNTIFS(Students!$A:$A,C$1,Students!$L:$L,$A16)+COUNTIFS(Students!$A:$A,C$1,Students!$N:$N,$A16)+COUNTIFS(Students!$A:$A,C$1,#REF!,$A16)+COUNTIFS(Students!$A:$A,C$1,#REF!,$A16)+COUNTIFS(Students!$A:$A,C$1,Students!$P:$P,$A16)+COUNTIFS(Students!$A:$A,C$1,Students!$R:$R,$A16))</f>
        <v>#VALUE!</v>
      </c>
      <c r="D16" s="174" t="str">
        <f>if($A16="","",COUNTIFS(Students!$A:$A,D$1,Students!$D:$D,$A16)+COUNTIFS(Students!$A:$A,D$1,Students!$F:$F,$A16)+COUNTIFS(Students!$A:$A,D$1,Students!$H:$H,$A16)+COUNTIFS(Students!$A:$A,D$1,Students!$J:$J,$A16)+COUNTIFS(Students!$A:$A,D$1,Students!$L:$L,$A16)+COUNTIFS(Students!$A:$A,D$1,Students!$N:$N,$A16)+COUNTIFS(Students!$A:$A,D$1,#REF!,$A16)+COUNTIFS(Students!$A:$A,D$1,#REF!,$A16)+COUNTIFS(Students!$A:$A,D$1,Students!$P:$P,$A16)+COUNTIFS(Students!$A:$A,D$1,Students!$R:$R,$A16))</f>
        <v>#VALUE!</v>
      </c>
      <c r="E16" s="175" t="str">
        <f t="shared" si="1"/>
        <v>#VALUE!</v>
      </c>
      <c r="F16" s="175">
        <f>if($A16="","",sumifs(Schedule!$O:$O,Schedule!$M:$M,$A16)+sumifs(Schedule!$R:$R,Schedule!$P:$P,$A16)+sumifs(Schedule!$U:$U,Schedule!$S:$S,$A16)+sumifs(Schedule!$X:$X,Schedule!$V:$V,$A16)+sumifs(Schedule!$AA:$AA,Schedule!$Y:$Y,$A16)+sumifs(Schedule!$AD:$AD,Schedule!$AB:$AB,$A16))</f>
        <v>108</v>
      </c>
      <c r="G16" s="175" t="str">
        <f t="shared" si="2"/>
        <v>#VALUE!</v>
      </c>
      <c r="H16" s="176">
        <f>if(A16="","",countifs(Schedule!M$1:AB618,A16))</f>
        <v>5</v>
      </c>
      <c r="I16" s="177" t="str">
        <f t="shared" si="3"/>
        <v/>
      </c>
    </row>
    <row r="17">
      <c r="A17" s="179" t="s">
        <v>164</v>
      </c>
      <c r="B17" s="174" t="str">
        <f>if($A17="","",COUNTIFS(Students!$A:$A,B$1,Students!$D:$D,$A17)+COUNTIFS(Students!$A:$A,B$1,Students!$F:$F,$A17)+COUNTIFS(Students!$A:$A,B$1,Students!$H:$H,$A17)+COUNTIFS(Students!$A:$A,B$1,Students!$J:$J,$A17)+COUNTIFS(Students!$A:$A,B$1,Students!$L:$L,$A17)+COUNTIFS(Students!$A:$A,B$1,Students!$N:$N,$A17)+COUNTIFS(Students!$A:$A,B$1,#REF!,$A17)+COUNTIFS(Students!$A:$A,B$1,#REF!,$A17)+COUNTIFS(Students!$A:$A,B$1,Students!$P:$P,$A17)+COUNTIFS(Students!$A:$A,B$1,Students!$R:$R,$A17))</f>
        <v>#VALUE!</v>
      </c>
      <c r="C17" s="174" t="str">
        <f>if($A17="","",COUNTIFS(Students!$A:$A,C$1,Students!$D:$D,$A17)+COUNTIFS(Students!$A:$A,C$1,Students!$F:$F,$A17)+COUNTIFS(Students!$A:$A,C$1,Students!$H:$H,$A17)+COUNTIFS(Students!$A:$A,C$1,Students!$J:$J,$A17)+COUNTIFS(Students!$A:$A,C$1,Students!$L:$L,$A17)+COUNTIFS(Students!$A:$A,C$1,Students!$N:$N,$A17)+COUNTIFS(Students!$A:$A,C$1,#REF!,$A17)+COUNTIFS(Students!$A:$A,C$1,#REF!,$A17)+COUNTIFS(Students!$A:$A,C$1,Students!$P:$P,$A17)+COUNTIFS(Students!$A:$A,C$1,Students!$R:$R,$A17))</f>
        <v>#VALUE!</v>
      </c>
      <c r="D17" s="174" t="str">
        <f>if($A17="","",COUNTIFS(Students!$A:$A,D$1,Students!$D:$D,$A17)+COUNTIFS(Students!$A:$A,D$1,Students!$F:$F,$A17)+COUNTIFS(Students!$A:$A,D$1,Students!$H:$H,$A17)+COUNTIFS(Students!$A:$A,D$1,Students!$J:$J,$A17)+COUNTIFS(Students!$A:$A,D$1,Students!$L:$L,$A17)+COUNTIFS(Students!$A:$A,D$1,Students!$N:$N,$A17)+COUNTIFS(Students!$A:$A,D$1,#REF!,$A17)+COUNTIFS(Students!$A:$A,D$1,#REF!,$A17)+COUNTIFS(Students!$A:$A,D$1,Students!$P:$P,$A17)+COUNTIFS(Students!$A:$A,D$1,Students!$R:$R,$A17))</f>
        <v>#VALUE!</v>
      </c>
      <c r="E17" s="175" t="str">
        <f t="shared" si="1"/>
        <v>#VALUE!</v>
      </c>
      <c r="F17" s="175">
        <f>if($A17="","",sumifs(Schedule!$O:$O,Schedule!$M:$M,$A17)+sumifs(Schedule!$R:$R,Schedule!$P:$P,$A17)+sumifs(Schedule!$U:$U,Schedule!$S:$S,$A17)+sumifs(Schedule!$X:$X,Schedule!$V:$V,$A17)+sumifs(Schedule!$AA:$AA,Schedule!$Y:$Y,$A17)+sumifs(Schedule!$AD:$AD,Schedule!$AB:$AB,$A17))</f>
        <v>45</v>
      </c>
      <c r="G17" s="175" t="str">
        <f t="shared" si="2"/>
        <v>#VALUE!</v>
      </c>
      <c r="H17" s="176">
        <f>if(A17="","",countifs(Schedule!M$1:AB618,A17))</f>
        <v>2</v>
      </c>
      <c r="I17" s="177" t="str">
        <f t="shared" si="3"/>
        <v/>
      </c>
    </row>
    <row r="18">
      <c r="A18" s="179" t="s">
        <v>162</v>
      </c>
      <c r="B18" s="174" t="str">
        <f>if($A18="","",COUNTIFS(Students!$A:$A,B$1,Students!$D:$D,$A18)+COUNTIFS(Students!$A:$A,B$1,Students!$F:$F,$A18)+COUNTIFS(Students!$A:$A,B$1,Students!$H:$H,$A18)+COUNTIFS(Students!$A:$A,B$1,Students!$J:$J,$A18)+COUNTIFS(Students!$A:$A,B$1,Students!$L:$L,$A18)+COUNTIFS(Students!$A:$A,B$1,Students!$N:$N,$A18)+COUNTIFS(Students!$A:$A,B$1,#REF!,$A18)+COUNTIFS(Students!$A:$A,B$1,#REF!,$A18)+COUNTIFS(Students!$A:$A,B$1,Students!$P:$P,$A18)+COUNTIFS(Students!$A:$A,B$1,Students!$R:$R,$A18))</f>
        <v>#VALUE!</v>
      </c>
      <c r="C18" s="174" t="str">
        <f>if($A18="","",COUNTIFS(Students!$A:$A,C$1,Students!$D:$D,$A18)+COUNTIFS(Students!$A:$A,C$1,Students!$F:$F,$A18)+COUNTIFS(Students!$A:$A,C$1,Students!$H:$H,$A18)+COUNTIFS(Students!$A:$A,C$1,Students!$J:$J,$A18)+COUNTIFS(Students!$A:$A,C$1,Students!$L:$L,$A18)+COUNTIFS(Students!$A:$A,C$1,Students!$N:$N,$A18)+COUNTIFS(Students!$A:$A,C$1,#REF!,$A18)+COUNTIFS(Students!$A:$A,C$1,#REF!,$A18)+COUNTIFS(Students!$A:$A,C$1,Students!$P:$P,$A18)+COUNTIFS(Students!$A:$A,C$1,Students!$R:$R,$A18))</f>
        <v>#VALUE!</v>
      </c>
      <c r="D18" s="174" t="str">
        <f>if($A18="","",COUNTIFS(Students!$A:$A,D$1,Students!$D:$D,$A18)+COUNTIFS(Students!$A:$A,D$1,Students!$F:$F,$A18)+COUNTIFS(Students!$A:$A,D$1,Students!$H:$H,$A18)+COUNTIFS(Students!$A:$A,D$1,Students!$J:$J,$A18)+COUNTIFS(Students!$A:$A,D$1,Students!$L:$L,$A18)+COUNTIFS(Students!$A:$A,D$1,Students!$N:$N,$A18)+COUNTIFS(Students!$A:$A,D$1,#REF!,$A18)+COUNTIFS(Students!$A:$A,D$1,#REF!,$A18)+COUNTIFS(Students!$A:$A,D$1,Students!$P:$P,$A18)+COUNTIFS(Students!$A:$A,D$1,Students!$R:$R,$A18))</f>
        <v>#VALUE!</v>
      </c>
      <c r="E18" s="175" t="str">
        <f t="shared" si="1"/>
        <v>#VALUE!</v>
      </c>
      <c r="F18" s="175">
        <f>if($A18="","",sumifs(Schedule!$O:$O,Schedule!$M:$M,$A18)+sumifs(Schedule!$R:$R,Schedule!$P:$P,$A18)+sumifs(Schedule!$U:$U,Schedule!$S:$S,$A18)+sumifs(Schedule!$X:$X,Schedule!$V:$V,$A18)+sumifs(Schedule!$AA:$AA,Schedule!$Y:$Y,$A18)+sumifs(Schedule!$AD:$AD,Schedule!$AB:$AB,$A18))</f>
        <v>64</v>
      </c>
      <c r="G18" s="175" t="str">
        <f t="shared" si="2"/>
        <v>#VALUE!</v>
      </c>
      <c r="H18" s="176">
        <f>if(A18="","",countifs(Schedule!M$1:AB618,A18))</f>
        <v>3</v>
      </c>
      <c r="I18" s="177" t="str">
        <f t="shared" si="3"/>
        <v/>
      </c>
    </row>
    <row r="19">
      <c r="A19" s="179" t="s">
        <v>170</v>
      </c>
      <c r="B19" s="174" t="str">
        <f>if($A19="","",COUNTIFS(Students!$A:$A,B$1,Students!$D:$D,$A19)+COUNTIFS(Students!$A:$A,B$1,Students!$F:$F,$A19)+COUNTIFS(Students!$A:$A,B$1,Students!$H:$H,$A19)+COUNTIFS(Students!$A:$A,B$1,Students!$J:$J,$A19)+COUNTIFS(Students!$A:$A,B$1,Students!$L:$L,$A19)+COUNTIFS(Students!$A:$A,B$1,Students!$N:$N,$A19)+COUNTIFS(Students!$A:$A,B$1,#REF!,$A19)+COUNTIFS(Students!$A:$A,B$1,#REF!,$A19)+COUNTIFS(Students!$A:$A,B$1,Students!$P:$P,$A19)+COUNTIFS(Students!$A:$A,B$1,Students!$R:$R,$A19))</f>
        <v>#VALUE!</v>
      </c>
      <c r="C19" s="174" t="str">
        <f>if($A19="","",COUNTIFS(Students!$A:$A,C$1,Students!$D:$D,$A19)+COUNTIFS(Students!$A:$A,C$1,Students!$F:$F,$A19)+COUNTIFS(Students!$A:$A,C$1,Students!$H:$H,$A19)+COUNTIFS(Students!$A:$A,C$1,Students!$J:$J,$A19)+COUNTIFS(Students!$A:$A,C$1,Students!$L:$L,$A19)+COUNTIFS(Students!$A:$A,C$1,Students!$N:$N,$A19)+COUNTIFS(Students!$A:$A,C$1,#REF!,$A19)+COUNTIFS(Students!$A:$A,C$1,#REF!,$A19)+COUNTIFS(Students!$A:$A,C$1,Students!$P:$P,$A19)+COUNTIFS(Students!$A:$A,C$1,Students!$R:$R,$A19))</f>
        <v>#VALUE!</v>
      </c>
      <c r="D19" s="174" t="str">
        <f>if($A19="","",COUNTIFS(Students!$A:$A,D$1,Students!$D:$D,$A19)+COUNTIFS(Students!$A:$A,D$1,Students!$F:$F,$A19)+COUNTIFS(Students!$A:$A,D$1,Students!$H:$H,$A19)+COUNTIFS(Students!$A:$A,D$1,Students!$J:$J,$A19)+COUNTIFS(Students!$A:$A,D$1,Students!$L:$L,$A19)+COUNTIFS(Students!$A:$A,D$1,Students!$N:$N,$A19)+COUNTIFS(Students!$A:$A,D$1,#REF!,$A19)+COUNTIFS(Students!$A:$A,D$1,#REF!,$A19)+COUNTIFS(Students!$A:$A,D$1,Students!$P:$P,$A19)+COUNTIFS(Students!$A:$A,D$1,Students!$R:$R,$A19))</f>
        <v>#VALUE!</v>
      </c>
      <c r="E19" s="175" t="str">
        <f t="shared" si="1"/>
        <v>#VALUE!</v>
      </c>
      <c r="F19" s="175">
        <f>if($A19="","",sumifs(Schedule!$O:$O,Schedule!$M:$M,$A19)+sumifs(Schedule!$R:$R,Schedule!$P:$P,$A19)+sumifs(Schedule!$U:$U,Schedule!$S:$S,$A19)+sumifs(Schedule!$X:$X,Schedule!$V:$V,$A19)+sumifs(Schedule!$AA:$AA,Schedule!$Y:$Y,$A19)+sumifs(Schedule!$AD:$AD,Schedule!$AB:$AB,$A19))</f>
        <v>24</v>
      </c>
      <c r="G19" s="175" t="str">
        <f t="shared" si="2"/>
        <v>#VALUE!</v>
      </c>
      <c r="H19" s="176">
        <f>if(A19="","",countifs(Schedule!M$1:AB618,A19))</f>
        <v>1</v>
      </c>
      <c r="I19" s="177" t="str">
        <f t="shared" si="3"/>
        <v/>
      </c>
    </row>
    <row r="20">
      <c r="A20" s="179" t="s">
        <v>153</v>
      </c>
      <c r="B20" s="174" t="str">
        <f>if($A20="","",COUNTIFS(Students!$A:$A,B$1,Students!$D:$D,$A20)+COUNTIFS(Students!$A:$A,B$1,Students!$F:$F,$A20)+COUNTIFS(Students!$A:$A,B$1,Students!$H:$H,$A20)+COUNTIFS(Students!$A:$A,B$1,Students!$J:$J,$A20)+COUNTIFS(Students!$A:$A,B$1,Students!$L:$L,$A20)+COUNTIFS(Students!$A:$A,B$1,Students!$N:$N,$A20)+COUNTIFS(Students!$A:$A,B$1,#REF!,$A20)+COUNTIFS(Students!$A:$A,B$1,#REF!,$A20)+COUNTIFS(Students!$A:$A,B$1,Students!$P:$P,$A20)+COUNTIFS(Students!$A:$A,B$1,Students!$R:$R,$A20))</f>
        <v>#VALUE!</v>
      </c>
      <c r="C20" s="174" t="str">
        <f>if($A20="","",COUNTIFS(Students!$A:$A,C$1,Students!$D:$D,$A20)+COUNTIFS(Students!$A:$A,C$1,Students!$F:$F,$A20)+COUNTIFS(Students!$A:$A,C$1,Students!$H:$H,$A20)+COUNTIFS(Students!$A:$A,C$1,Students!$J:$J,$A20)+COUNTIFS(Students!$A:$A,C$1,Students!$L:$L,$A20)+COUNTIFS(Students!$A:$A,C$1,Students!$N:$N,$A20)+COUNTIFS(Students!$A:$A,C$1,#REF!,$A20)+COUNTIFS(Students!$A:$A,C$1,#REF!,$A20)+COUNTIFS(Students!$A:$A,C$1,Students!$P:$P,$A20)+COUNTIFS(Students!$A:$A,C$1,Students!$R:$R,$A20))</f>
        <v>#VALUE!</v>
      </c>
      <c r="D20" s="174" t="str">
        <f>if($A20="","",COUNTIFS(Students!$A:$A,D$1,Students!$D:$D,$A20)+COUNTIFS(Students!$A:$A,D$1,Students!$F:$F,$A20)+COUNTIFS(Students!$A:$A,D$1,Students!$H:$H,$A20)+COUNTIFS(Students!$A:$A,D$1,Students!$J:$J,$A20)+COUNTIFS(Students!$A:$A,D$1,Students!$L:$L,$A20)+COUNTIFS(Students!$A:$A,D$1,Students!$N:$N,$A20)+COUNTIFS(Students!$A:$A,D$1,#REF!,$A20)+COUNTIFS(Students!$A:$A,D$1,#REF!,$A20)+COUNTIFS(Students!$A:$A,D$1,Students!$P:$P,$A20)+COUNTIFS(Students!$A:$A,D$1,Students!$R:$R,$A20))</f>
        <v>#VALUE!</v>
      </c>
      <c r="E20" s="175" t="str">
        <f t="shared" si="1"/>
        <v>#VALUE!</v>
      </c>
      <c r="F20" s="175">
        <f>if($A20="","",sumifs(Schedule!$O:$O,Schedule!$M:$M,$A20)+sumifs(Schedule!$R:$R,Schedule!$P:$P,$A20)+sumifs(Schedule!$U:$U,Schedule!$S:$S,$A20)+sumifs(Schedule!$X:$X,Schedule!$V:$V,$A20)+sumifs(Schedule!$AA:$AA,Schedule!$Y:$Y,$A20)+sumifs(Schedule!$AD:$AD,Schedule!$AB:$AB,$A20))</f>
        <v>144</v>
      </c>
      <c r="G20" s="175" t="str">
        <f t="shared" si="2"/>
        <v>#VALUE!</v>
      </c>
      <c r="H20" s="176">
        <f>if(A20="","",countifs(Schedule!M$1:AB618,A20))</f>
        <v>6</v>
      </c>
      <c r="I20" s="177" t="str">
        <f t="shared" si="3"/>
        <v/>
      </c>
    </row>
    <row r="21">
      <c r="A21" s="179" t="s">
        <v>150</v>
      </c>
      <c r="B21" s="174" t="str">
        <f>if($A21="","",COUNTIFS(Students!$A:$A,B$1,Students!$D:$D,$A21)+COUNTIFS(Students!$A:$A,B$1,Students!$F:$F,$A21)+COUNTIFS(Students!$A:$A,B$1,Students!$H:$H,$A21)+COUNTIFS(Students!$A:$A,B$1,Students!$J:$J,$A21)+COUNTIFS(Students!$A:$A,B$1,Students!$L:$L,$A21)+COUNTIFS(Students!$A:$A,B$1,Students!$N:$N,$A21)+COUNTIFS(Students!$A:$A,B$1,#REF!,$A21)+COUNTIFS(Students!$A:$A,B$1,#REF!,$A21)+COUNTIFS(Students!$A:$A,B$1,Students!$P:$P,$A21)+COUNTIFS(Students!$A:$A,B$1,Students!$R:$R,$A21))</f>
        <v>#VALUE!</v>
      </c>
      <c r="C21" s="174" t="str">
        <f>if($A21="","",COUNTIFS(Students!$A:$A,C$1,Students!$D:$D,$A21)+COUNTIFS(Students!$A:$A,C$1,Students!$F:$F,$A21)+COUNTIFS(Students!$A:$A,C$1,Students!$H:$H,$A21)+COUNTIFS(Students!$A:$A,C$1,Students!$J:$J,$A21)+COUNTIFS(Students!$A:$A,C$1,Students!$L:$L,$A21)+COUNTIFS(Students!$A:$A,C$1,Students!$N:$N,$A21)+COUNTIFS(Students!$A:$A,C$1,#REF!,$A21)+COUNTIFS(Students!$A:$A,C$1,#REF!,$A21)+COUNTIFS(Students!$A:$A,C$1,Students!$P:$P,$A21)+COUNTIFS(Students!$A:$A,C$1,Students!$R:$R,$A21))</f>
        <v>#VALUE!</v>
      </c>
      <c r="D21" s="174" t="str">
        <f>if($A21="","",COUNTIFS(Students!$A:$A,D$1,Students!$D:$D,$A21)+COUNTIFS(Students!$A:$A,D$1,Students!$F:$F,$A21)+COUNTIFS(Students!$A:$A,D$1,Students!$H:$H,$A21)+COUNTIFS(Students!$A:$A,D$1,Students!$J:$J,$A21)+COUNTIFS(Students!$A:$A,D$1,Students!$L:$L,$A21)+COUNTIFS(Students!$A:$A,D$1,Students!$N:$N,$A21)+COUNTIFS(Students!$A:$A,D$1,#REF!,$A21)+COUNTIFS(Students!$A:$A,D$1,#REF!,$A21)+COUNTIFS(Students!$A:$A,D$1,Students!$P:$P,$A21)+COUNTIFS(Students!$A:$A,D$1,Students!$R:$R,$A21))</f>
        <v>#VALUE!</v>
      </c>
      <c r="E21" s="175" t="str">
        <f t="shared" si="1"/>
        <v>#VALUE!</v>
      </c>
      <c r="F21" s="175">
        <f>if($A21="","",sumifs(Schedule!$O:$O,Schedule!$M:$M,$A21)+sumifs(Schedule!$R:$R,Schedule!$P:$P,$A21)+sumifs(Schedule!$U:$U,Schedule!$S:$S,$A21)+sumifs(Schedule!$X:$X,Schedule!$V:$V,$A21)+sumifs(Schedule!$AA:$AA,Schedule!$Y:$Y,$A21)+sumifs(Schedule!$AD:$AD,Schedule!$AB:$AB,$A21))</f>
        <v>88</v>
      </c>
      <c r="G21" s="175" t="str">
        <f t="shared" si="2"/>
        <v>#VALUE!</v>
      </c>
      <c r="H21" s="176">
        <f>if(A21="","",countifs(Schedule!M$1:AB618,A21))</f>
        <v>4</v>
      </c>
      <c r="I21" s="177" t="str">
        <f t="shared" si="3"/>
        <v/>
      </c>
    </row>
    <row r="22">
      <c r="A22" s="179" t="s">
        <v>154</v>
      </c>
      <c r="B22" s="174" t="str">
        <f>if($A22="","",COUNTIFS(Students!$A:$A,B$1,Students!$D:$D,$A22)+COUNTIFS(Students!$A:$A,B$1,Students!$F:$F,$A22)+COUNTIFS(Students!$A:$A,B$1,Students!$H:$H,$A22)+COUNTIFS(Students!$A:$A,B$1,Students!$J:$J,$A22)+COUNTIFS(Students!$A:$A,B$1,Students!$L:$L,$A22)+COUNTIFS(Students!$A:$A,B$1,Students!$N:$N,$A22)+COUNTIFS(Students!$A:$A,B$1,#REF!,$A22)+COUNTIFS(Students!$A:$A,B$1,#REF!,$A22)+COUNTIFS(Students!$A:$A,B$1,Students!$P:$P,$A22)+COUNTIFS(Students!$A:$A,B$1,Students!$R:$R,$A22))</f>
        <v>#VALUE!</v>
      </c>
      <c r="C22" s="174" t="str">
        <f>if($A22="","",COUNTIFS(Students!$A:$A,C$1,Students!$D:$D,$A22)+COUNTIFS(Students!$A:$A,C$1,Students!$F:$F,$A22)+COUNTIFS(Students!$A:$A,C$1,Students!$H:$H,$A22)+COUNTIFS(Students!$A:$A,C$1,Students!$J:$J,$A22)+COUNTIFS(Students!$A:$A,C$1,Students!$L:$L,$A22)+COUNTIFS(Students!$A:$A,C$1,Students!$N:$N,$A22)+COUNTIFS(Students!$A:$A,C$1,#REF!,$A22)+COUNTIFS(Students!$A:$A,C$1,#REF!,$A22)+COUNTIFS(Students!$A:$A,C$1,Students!$P:$P,$A22)+COUNTIFS(Students!$A:$A,C$1,Students!$R:$R,$A22))</f>
        <v>#VALUE!</v>
      </c>
      <c r="D22" s="174" t="str">
        <f>if($A22="","",COUNTIFS(Students!$A:$A,D$1,Students!$D:$D,$A22)+COUNTIFS(Students!$A:$A,D$1,Students!$F:$F,$A22)+COUNTIFS(Students!$A:$A,D$1,Students!$H:$H,$A22)+COUNTIFS(Students!$A:$A,D$1,Students!$J:$J,$A22)+COUNTIFS(Students!$A:$A,D$1,Students!$L:$L,$A22)+COUNTIFS(Students!$A:$A,D$1,Students!$N:$N,$A22)+COUNTIFS(Students!$A:$A,D$1,#REF!,$A22)+COUNTIFS(Students!$A:$A,D$1,#REF!,$A22)+COUNTIFS(Students!$A:$A,D$1,Students!$P:$P,$A22)+COUNTIFS(Students!$A:$A,D$1,Students!$R:$R,$A22))</f>
        <v>#VALUE!</v>
      </c>
      <c r="E22" s="175" t="str">
        <f t="shared" si="1"/>
        <v>#VALUE!</v>
      </c>
      <c r="F22" s="175">
        <f>if($A22="","",sumifs(Schedule!$O:$O,Schedule!$M:$M,$A22)+sumifs(Schedule!$R:$R,Schedule!$P:$P,$A22)+sumifs(Schedule!$U:$U,Schedule!$S:$S,$A22)+sumifs(Schedule!$X:$X,Schedule!$V:$V,$A22)+sumifs(Schedule!$AA:$AA,Schedule!$Y:$Y,$A22)+sumifs(Schedule!$AD:$AD,Schedule!$AB:$AB,$A22))</f>
        <v>43</v>
      </c>
      <c r="G22" s="175" t="str">
        <f t="shared" si="2"/>
        <v>#VALUE!</v>
      </c>
      <c r="H22" s="176">
        <f>if(A22="","",countifs(Schedule!M$1:AB618,A22))</f>
        <v>2</v>
      </c>
      <c r="I22" s="177" t="str">
        <f t="shared" si="3"/>
        <v/>
      </c>
    </row>
    <row r="23">
      <c r="A23" s="178" t="s">
        <v>149</v>
      </c>
      <c r="B23" s="174" t="str">
        <f>if($A23="","",COUNTIFS(Students!$A:$A,B$1,Students!$D:$D,$A23)+COUNTIFS(Students!$A:$A,B$1,Students!$F:$F,$A23)+COUNTIFS(Students!$A:$A,B$1,Students!$H:$H,$A23)+COUNTIFS(Students!$A:$A,B$1,Students!$J:$J,$A23)+COUNTIFS(Students!$A:$A,B$1,Students!$L:$L,$A23)+COUNTIFS(Students!$A:$A,B$1,Students!$N:$N,$A23)+COUNTIFS(Students!$A:$A,B$1,#REF!,$A23)+COUNTIFS(Students!$A:$A,B$1,#REF!,$A23)+COUNTIFS(Students!$A:$A,B$1,Students!$P:$P,$A23)+COUNTIFS(Students!$A:$A,B$1,Students!$R:$R,$A23))</f>
        <v>#VALUE!</v>
      </c>
      <c r="C23" s="174" t="str">
        <f>if($A23="","",COUNTIFS(Students!$A:$A,C$1,Students!$D:$D,$A23)+COUNTIFS(Students!$A:$A,C$1,Students!$F:$F,$A23)+COUNTIFS(Students!$A:$A,C$1,Students!$H:$H,$A23)+COUNTIFS(Students!$A:$A,C$1,Students!$J:$J,$A23)+COUNTIFS(Students!$A:$A,C$1,Students!$L:$L,$A23)+COUNTIFS(Students!$A:$A,C$1,Students!$N:$N,$A23)+COUNTIFS(Students!$A:$A,C$1,#REF!,$A23)+COUNTIFS(Students!$A:$A,C$1,#REF!,$A23)+COUNTIFS(Students!$A:$A,C$1,Students!$P:$P,$A23)+COUNTIFS(Students!$A:$A,C$1,Students!$R:$R,$A23))</f>
        <v>#VALUE!</v>
      </c>
      <c r="D23" s="174" t="str">
        <f>if($A23="","",COUNTIFS(Students!$A:$A,D$1,Students!$D:$D,$A23)+COUNTIFS(Students!$A:$A,D$1,Students!$F:$F,$A23)+COUNTIFS(Students!$A:$A,D$1,Students!$H:$H,$A23)+COUNTIFS(Students!$A:$A,D$1,Students!$J:$J,$A23)+COUNTIFS(Students!$A:$A,D$1,Students!$L:$L,$A23)+COUNTIFS(Students!$A:$A,D$1,Students!$N:$N,$A23)+COUNTIFS(Students!$A:$A,D$1,#REF!,$A23)+COUNTIFS(Students!$A:$A,D$1,#REF!,$A23)+COUNTIFS(Students!$A:$A,D$1,Students!$P:$P,$A23)+COUNTIFS(Students!$A:$A,D$1,Students!$R:$R,$A23))</f>
        <v>#VALUE!</v>
      </c>
      <c r="E23" s="175" t="str">
        <f t="shared" si="1"/>
        <v>#VALUE!</v>
      </c>
      <c r="F23" s="175">
        <f>if($A23="","",sumifs(Schedule!$O:$O,Schedule!$M:$M,$A23)+sumifs(Schedule!$R:$R,Schedule!$P:$P,$A23)+sumifs(Schedule!$U:$U,Schedule!$S:$S,$A23)+sumifs(Schedule!$X:$X,Schedule!$V:$V,$A23)+sumifs(Schedule!$AA:$AA,Schedule!$Y:$Y,$A23)+sumifs(Schedule!$AD:$AD,Schedule!$AB:$AB,$A23))</f>
        <v>142</v>
      </c>
      <c r="G23" s="175" t="str">
        <f t="shared" si="2"/>
        <v>#VALUE!</v>
      </c>
      <c r="H23" s="176">
        <f>if(A23="","",countifs(Schedule!M$1:AB618,A23))</f>
        <v>6</v>
      </c>
      <c r="I23" s="177" t="str">
        <f t="shared" si="3"/>
        <v/>
      </c>
    </row>
    <row r="24">
      <c r="A24" s="178" t="s">
        <v>143</v>
      </c>
      <c r="B24" s="174" t="str">
        <f>if($A24="","",COUNTIFS(Students!$A:$A,B$1,Students!$D:$D,$A24)+COUNTIFS(Students!$A:$A,B$1,Students!$F:$F,$A24)+COUNTIFS(Students!$A:$A,B$1,Students!$H:$H,$A24)+COUNTIFS(Students!$A:$A,B$1,Students!$J:$J,$A24)+COUNTIFS(Students!$A:$A,B$1,Students!$L:$L,$A24)+COUNTIFS(Students!$A:$A,B$1,Students!$N:$N,$A24)+COUNTIFS(Students!$A:$A,B$1,#REF!,$A24)+COUNTIFS(Students!$A:$A,B$1,#REF!,$A24)+COUNTIFS(Students!$A:$A,B$1,Students!$P:$P,$A24)+COUNTIFS(Students!$A:$A,B$1,Students!$R:$R,$A24))</f>
        <v>#VALUE!</v>
      </c>
      <c r="C24" s="174" t="str">
        <f>if($A24="","",COUNTIFS(Students!$A:$A,C$1,Students!$D:$D,$A24)+COUNTIFS(Students!$A:$A,C$1,Students!$F:$F,$A24)+COUNTIFS(Students!$A:$A,C$1,Students!$H:$H,$A24)+COUNTIFS(Students!$A:$A,C$1,Students!$J:$J,$A24)+COUNTIFS(Students!$A:$A,C$1,Students!$L:$L,$A24)+COUNTIFS(Students!$A:$A,C$1,Students!$N:$N,$A24)+COUNTIFS(Students!$A:$A,C$1,#REF!,$A24)+COUNTIFS(Students!$A:$A,C$1,#REF!,$A24)+COUNTIFS(Students!$A:$A,C$1,Students!$P:$P,$A24)+COUNTIFS(Students!$A:$A,C$1,Students!$R:$R,$A24))</f>
        <v>#VALUE!</v>
      </c>
      <c r="D24" s="174" t="str">
        <f>if($A24="","",COUNTIFS(Students!$A:$A,D$1,Students!$D:$D,$A24)+COUNTIFS(Students!$A:$A,D$1,Students!$F:$F,$A24)+COUNTIFS(Students!$A:$A,D$1,Students!$H:$H,$A24)+COUNTIFS(Students!$A:$A,D$1,Students!$J:$J,$A24)+COUNTIFS(Students!$A:$A,D$1,Students!$L:$L,$A24)+COUNTIFS(Students!$A:$A,D$1,Students!$N:$N,$A24)+COUNTIFS(Students!$A:$A,D$1,#REF!,$A24)+COUNTIFS(Students!$A:$A,D$1,#REF!,$A24)+COUNTIFS(Students!$A:$A,D$1,Students!$P:$P,$A24)+COUNTIFS(Students!$A:$A,D$1,Students!$R:$R,$A24))</f>
        <v>#VALUE!</v>
      </c>
      <c r="E24" s="175" t="str">
        <f t="shared" si="1"/>
        <v>#VALUE!</v>
      </c>
      <c r="F24" s="175">
        <f>if($A24="","",sumifs(Schedule!$O:$O,Schedule!$M:$M,$A24)+sumifs(Schedule!$R:$R,Schedule!$P:$P,$A24)+sumifs(Schedule!$U:$U,Schedule!$S:$S,$A24)+sumifs(Schedule!$X:$X,Schedule!$V:$V,$A24)+sumifs(Schedule!$AA:$AA,Schedule!$Y:$Y,$A24)+sumifs(Schedule!$AD:$AD,Schedule!$AB:$AB,$A24))</f>
        <v>46</v>
      </c>
      <c r="G24" s="175" t="str">
        <f t="shared" si="2"/>
        <v>#VALUE!</v>
      </c>
      <c r="H24" s="176">
        <f>if(A24="","",countifs(Schedule!M$1:AB618,A24))</f>
        <v>2</v>
      </c>
      <c r="I24" s="177" t="str">
        <f t="shared" si="3"/>
        <v/>
      </c>
    </row>
    <row r="25">
      <c r="A25" s="178" t="s">
        <v>197</v>
      </c>
      <c r="B25" s="174" t="str">
        <f>if($A25="","",COUNTIFS(Students!$A:$A,B$1,Students!$D:$D,$A25)+COUNTIFS(Students!$A:$A,B$1,Students!$F:$F,$A25)+COUNTIFS(Students!$A:$A,B$1,Students!$H:$H,$A25)+COUNTIFS(Students!$A:$A,B$1,Students!$J:$J,$A25)+COUNTIFS(Students!$A:$A,B$1,Students!$L:$L,$A25)+COUNTIFS(Students!$A:$A,B$1,Students!$N:$N,$A25)+COUNTIFS(Students!$A:$A,B$1,#REF!,$A25)+COUNTIFS(Students!$A:$A,B$1,#REF!,$A25)+COUNTIFS(Students!$A:$A,B$1,Students!$P:$P,$A25)+COUNTIFS(Students!$A:$A,B$1,Students!$R:$R,$A25))</f>
        <v>#VALUE!</v>
      </c>
      <c r="C25" s="174" t="str">
        <f>if($A25="","",COUNTIFS(Students!$A:$A,C$1,Students!$D:$D,$A25)+COUNTIFS(Students!$A:$A,C$1,Students!$F:$F,$A25)+COUNTIFS(Students!$A:$A,C$1,Students!$H:$H,$A25)+COUNTIFS(Students!$A:$A,C$1,Students!$J:$J,$A25)+COUNTIFS(Students!$A:$A,C$1,Students!$L:$L,$A25)+COUNTIFS(Students!$A:$A,C$1,Students!$N:$N,$A25)+COUNTIFS(Students!$A:$A,C$1,#REF!,$A25)+COUNTIFS(Students!$A:$A,C$1,#REF!,$A25)+COUNTIFS(Students!$A:$A,C$1,Students!$P:$P,$A25)+COUNTIFS(Students!$A:$A,C$1,Students!$R:$R,$A25))</f>
        <v>#VALUE!</v>
      </c>
      <c r="D25" s="174" t="str">
        <f>if($A25="","",COUNTIFS(Students!$A:$A,D$1,Students!$D:$D,$A25)+COUNTIFS(Students!$A:$A,D$1,Students!$F:$F,$A25)+COUNTIFS(Students!$A:$A,D$1,Students!$H:$H,$A25)+COUNTIFS(Students!$A:$A,D$1,Students!$J:$J,$A25)+COUNTIFS(Students!$A:$A,D$1,Students!$L:$L,$A25)+COUNTIFS(Students!$A:$A,D$1,Students!$N:$N,$A25)+COUNTIFS(Students!$A:$A,D$1,#REF!,$A25)+COUNTIFS(Students!$A:$A,D$1,#REF!,$A25)+COUNTIFS(Students!$A:$A,D$1,Students!$P:$P,$A25)+COUNTIFS(Students!$A:$A,D$1,Students!$R:$R,$A25))</f>
        <v>#VALUE!</v>
      </c>
      <c r="E25" s="175" t="str">
        <f t="shared" si="1"/>
        <v>#VALUE!</v>
      </c>
      <c r="F25" s="175">
        <f>if($A25="","",sumifs(Schedule!$O:$O,Schedule!$M:$M,$A25)+sumifs(Schedule!$R:$R,Schedule!$P:$P,$A25)+sumifs(Schedule!$U:$U,Schedule!$S:$S,$A25)+sumifs(Schedule!$X:$X,Schedule!$V:$V,$A25)+sumifs(Schedule!$AA:$AA,Schedule!$Y:$Y,$A25)+sumifs(Schedule!$AD:$AD,Schedule!$AB:$AB,$A25))</f>
        <v>7</v>
      </c>
      <c r="G25" s="175" t="str">
        <f t="shared" si="2"/>
        <v>#VALUE!</v>
      </c>
      <c r="H25" s="176">
        <f>if(A25="","",countifs(Schedule!M$1:AB618,A25))</f>
        <v>1</v>
      </c>
      <c r="I25" s="177" t="str">
        <f t="shared" si="3"/>
        <v/>
      </c>
    </row>
    <row r="26">
      <c r="A26" s="178" t="s">
        <v>171</v>
      </c>
      <c r="B26" s="174" t="str">
        <f>if($A26="","",COUNTIFS(Students!$A:$A,B$1,Students!$D:$D,$A26)+COUNTIFS(Students!$A:$A,B$1,Students!$F:$F,$A26)+COUNTIFS(Students!$A:$A,B$1,Students!$H:$H,$A26)+COUNTIFS(Students!$A:$A,B$1,Students!$J:$J,$A26)+COUNTIFS(Students!$A:$A,B$1,Students!$L:$L,$A26)+COUNTIFS(Students!$A:$A,B$1,Students!$N:$N,$A26)+COUNTIFS(Students!$A:$A,B$1,#REF!,$A26)+COUNTIFS(Students!$A:$A,B$1,#REF!,$A26)+COUNTIFS(Students!$A:$A,B$1,Students!$P:$P,$A26)+COUNTIFS(Students!$A:$A,B$1,Students!$R:$R,$A26))</f>
        <v>#VALUE!</v>
      </c>
      <c r="C26" s="174" t="str">
        <f>if($A26="","",COUNTIFS(Students!$A:$A,C$1,Students!$D:$D,$A26)+COUNTIFS(Students!$A:$A,C$1,Students!$F:$F,$A26)+COUNTIFS(Students!$A:$A,C$1,Students!$H:$H,$A26)+COUNTIFS(Students!$A:$A,C$1,Students!$J:$J,$A26)+COUNTIFS(Students!$A:$A,C$1,Students!$L:$L,$A26)+COUNTIFS(Students!$A:$A,C$1,Students!$N:$N,$A26)+COUNTIFS(Students!$A:$A,C$1,#REF!,$A26)+COUNTIFS(Students!$A:$A,C$1,#REF!,$A26)+COUNTIFS(Students!$A:$A,C$1,Students!$P:$P,$A26)+COUNTIFS(Students!$A:$A,C$1,Students!$R:$R,$A26))</f>
        <v>#VALUE!</v>
      </c>
      <c r="D26" s="174" t="str">
        <f>if($A26="","",COUNTIFS(Students!$A:$A,D$1,Students!$D:$D,$A26)+COUNTIFS(Students!$A:$A,D$1,Students!$F:$F,$A26)+COUNTIFS(Students!$A:$A,D$1,Students!$H:$H,$A26)+COUNTIFS(Students!$A:$A,D$1,Students!$J:$J,$A26)+COUNTIFS(Students!$A:$A,D$1,Students!$L:$L,$A26)+COUNTIFS(Students!$A:$A,D$1,Students!$N:$N,$A26)+COUNTIFS(Students!$A:$A,D$1,#REF!,$A26)+COUNTIFS(Students!$A:$A,D$1,#REF!,$A26)+COUNTIFS(Students!$A:$A,D$1,Students!$P:$P,$A26)+COUNTIFS(Students!$A:$A,D$1,Students!$R:$R,$A26))</f>
        <v>#VALUE!</v>
      </c>
      <c r="E26" s="175" t="str">
        <f t="shared" si="1"/>
        <v>#VALUE!</v>
      </c>
      <c r="F26" s="175">
        <f>if($A26="","",sumifs(Schedule!$O:$O,Schedule!$M:$M,$A26)+sumifs(Schedule!$R:$R,Schedule!$P:$P,$A26)+sumifs(Schedule!$U:$U,Schedule!$S:$S,$A26)+sumifs(Schedule!$X:$X,Schedule!$V:$V,$A26)+sumifs(Schedule!$AA:$AA,Schedule!$Y:$Y,$A26)+sumifs(Schedule!$AD:$AD,Schedule!$AB:$AB,$A26))</f>
        <v>120</v>
      </c>
      <c r="G26" s="175" t="str">
        <f t="shared" si="2"/>
        <v>#VALUE!</v>
      </c>
      <c r="H26" s="176">
        <f>if(A26="","",countifs(Schedule!M$1:AB618,A26))</f>
        <v>5</v>
      </c>
      <c r="I26" s="177" t="str">
        <f t="shared" si="3"/>
        <v/>
      </c>
    </row>
    <row r="27">
      <c r="A27" s="179" t="s">
        <v>173</v>
      </c>
      <c r="B27" s="174" t="str">
        <f>if($A27="","",COUNTIFS(Students!$A:$A,B$1,Students!$D:$D,$A27)+COUNTIFS(Students!$A:$A,B$1,Students!$F:$F,$A27)+COUNTIFS(Students!$A:$A,B$1,Students!$H:$H,$A27)+COUNTIFS(Students!$A:$A,B$1,Students!$J:$J,$A27)+COUNTIFS(Students!$A:$A,B$1,Students!$L:$L,$A27)+COUNTIFS(Students!$A:$A,B$1,Students!$N:$N,$A27)+COUNTIFS(Students!$A:$A,B$1,#REF!,$A27)+COUNTIFS(Students!$A:$A,B$1,#REF!,$A27)+COUNTIFS(Students!$A:$A,B$1,Students!$P:$P,$A27)+COUNTIFS(Students!$A:$A,B$1,Students!$R:$R,$A27))</f>
        <v>#VALUE!</v>
      </c>
      <c r="C27" s="174" t="str">
        <f>if($A27="","",COUNTIFS(Students!$A:$A,C$1,Students!$D:$D,$A27)+COUNTIFS(Students!$A:$A,C$1,Students!$F:$F,$A27)+COUNTIFS(Students!$A:$A,C$1,Students!$H:$H,$A27)+COUNTIFS(Students!$A:$A,C$1,Students!$J:$J,$A27)+COUNTIFS(Students!$A:$A,C$1,Students!$L:$L,$A27)+COUNTIFS(Students!$A:$A,C$1,Students!$N:$N,$A27)+COUNTIFS(Students!$A:$A,C$1,#REF!,$A27)+COUNTIFS(Students!$A:$A,C$1,#REF!,$A27)+COUNTIFS(Students!$A:$A,C$1,Students!$P:$P,$A27)+COUNTIFS(Students!$A:$A,C$1,Students!$R:$R,$A27))</f>
        <v>#VALUE!</v>
      </c>
      <c r="D27" s="174" t="str">
        <f>if($A27="","",COUNTIFS(Students!$A:$A,D$1,Students!$D:$D,$A27)+COUNTIFS(Students!$A:$A,D$1,Students!$F:$F,$A27)+COUNTIFS(Students!$A:$A,D$1,Students!$H:$H,$A27)+COUNTIFS(Students!$A:$A,D$1,Students!$J:$J,$A27)+COUNTIFS(Students!$A:$A,D$1,Students!$L:$L,$A27)+COUNTIFS(Students!$A:$A,D$1,Students!$N:$N,$A27)+COUNTIFS(Students!$A:$A,D$1,#REF!,$A27)+COUNTIFS(Students!$A:$A,D$1,#REF!,$A27)+COUNTIFS(Students!$A:$A,D$1,Students!$P:$P,$A27)+COUNTIFS(Students!$A:$A,D$1,Students!$R:$R,$A27))</f>
        <v>#VALUE!</v>
      </c>
      <c r="E27" s="175" t="str">
        <f t="shared" si="1"/>
        <v>#VALUE!</v>
      </c>
      <c r="F27" s="175">
        <f>if($A27="","",sumifs(Schedule!$O:$O,Schedule!$M:$M,$A27)+sumifs(Schedule!$R:$R,Schedule!$P:$P,$A27)+sumifs(Schedule!$U:$U,Schedule!$S:$S,$A27)+sumifs(Schedule!$X:$X,Schedule!$V:$V,$A27)+sumifs(Schedule!$AA:$AA,Schedule!$Y:$Y,$A27)+sumifs(Schedule!$AD:$AD,Schedule!$AB:$AB,$A27))</f>
        <v>24</v>
      </c>
      <c r="G27" s="175" t="str">
        <f t="shared" si="2"/>
        <v>#VALUE!</v>
      </c>
      <c r="H27" s="176">
        <f>if(A27="","",countifs(Schedule!M$1:AB618,A27))</f>
        <v>1</v>
      </c>
      <c r="I27" s="177" t="str">
        <f t="shared" si="3"/>
        <v/>
      </c>
    </row>
    <row r="28">
      <c r="A28" s="179" t="s">
        <v>175</v>
      </c>
      <c r="B28" s="174" t="str">
        <f>if($A28="","",COUNTIFS(Students!$A:$A,B$1,Students!$D:$D,$A28)+COUNTIFS(Students!$A:$A,B$1,Students!$F:$F,$A28)+COUNTIFS(Students!$A:$A,B$1,Students!$H:$H,$A28)+COUNTIFS(Students!$A:$A,B$1,Students!$J:$J,$A28)+COUNTIFS(Students!$A:$A,B$1,Students!$L:$L,$A28)+COUNTIFS(Students!$A:$A,B$1,Students!$N:$N,$A28)+COUNTIFS(Students!$A:$A,B$1,#REF!,$A28)+COUNTIFS(Students!$A:$A,B$1,#REF!,$A28)+COUNTIFS(Students!$A:$A,B$1,Students!$P:$P,$A28)+COUNTIFS(Students!$A:$A,B$1,Students!$R:$R,$A28))</f>
        <v>#VALUE!</v>
      </c>
      <c r="C28" s="174" t="str">
        <f>if($A28="","",COUNTIFS(Students!$A:$A,C$1,Students!$D:$D,$A28)+COUNTIFS(Students!$A:$A,C$1,Students!$F:$F,$A28)+COUNTIFS(Students!$A:$A,C$1,Students!$H:$H,$A28)+COUNTIFS(Students!$A:$A,C$1,Students!$J:$J,$A28)+COUNTIFS(Students!$A:$A,C$1,Students!$L:$L,$A28)+COUNTIFS(Students!$A:$A,C$1,Students!$N:$N,$A28)+COUNTIFS(Students!$A:$A,C$1,#REF!,$A28)+COUNTIFS(Students!$A:$A,C$1,#REF!,$A28)+COUNTIFS(Students!$A:$A,C$1,Students!$P:$P,$A28)+COUNTIFS(Students!$A:$A,C$1,Students!$R:$R,$A28))</f>
        <v>#VALUE!</v>
      </c>
      <c r="D28" s="174" t="str">
        <f>if($A28="","",COUNTIFS(Students!$A:$A,D$1,Students!$D:$D,$A28)+COUNTIFS(Students!$A:$A,D$1,Students!$F:$F,$A28)+COUNTIFS(Students!$A:$A,D$1,Students!$H:$H,$A28)+COUNTIFS(Students!$A:$A,D$1,Students!$J:$J,$A28)+COUNTIFS(Students!$A:$A,D$1,Students!$L:$L,$A28)+COUNTIFS(Students!$A:$A,D$1,Students!$N:$N,$A28)+COUNTIFS(Students!$A:$A,D$1,#REF!,$A28)+COUNTIFS(Students!$A:$A,D$1,#REF!,$A28)+COUNTIFS(Students!$A:$A,D$1,Students!$P:$P,$A28)+COUNTIFS(Students!$A:$A,D$1,Students!$R:$R,$A28))</f>
        <v>#VALUE!</v>
      </c>
      <c r="E28" s="175" t="str">
        <f t="shared" si="1"/>
        <v>#VALUE!</v>
      </c>
      <c r="F28" s="175">
        <f>if($A28="","",sumifs(Schedule!$O:$O,Schedule!$M:$M,$A28)+sumifs(Schedule!$R:$R,Schedule!$P:$P,$A28)+sumifs(Schedule!$U:$U,Schedule!$S:$S,$A28)+sumifs(Schedule!$X:$X,Schedule!$V:$V,$A28)+sumifs(Schedule!$AA:$AA,Schedule!$Y:$Y,$A28)+sumifs(Schedule!$AD:$AD,Schedule!$AB:$AB,$A28))</f>
        <v>109</v>
      </c>
      <c r="G28" s="175" t="str">
        <f t="shared" si="2"/>
        <v>#VALUE!</v>
      </c>
      <c r="H28" s="176">
        <f>if(A28="","",countifs(Schedule!M$1:AB618,A28))</f>
        <v>5</v>
      </c>
      <c r="I28" s="177" t="str">
        <f t="shared" si="3"/>
        <v/>
      </c>
    </row>
    <row r="29">
      <c r="A29" s="179" t="s">
        <v>179</v>
      </c>
      <c r="B29" s="174" t="str">
        <f>if($A29="","",COUNTIFS(Students!$A:$A,B$1,Students!$D:$D,$A29)+COUNTIFS(Students!$A:$A,B$1,Students!$F:$F,$A29)+COUNTIFS(Students!$A:$A,B$1,Students!$H:$H,$A29)+COUNTIFS(Students!$A:$A,B$1,Students!$J:$J,$A29)+COUNTIFS(Students!$A:$A,B$1,Students!$L:$L,$A29)+COUNTIFS(Students!$A:$A,B$1,Students!$N:$N,$A29)+COUNTIFS(Students!$A:$A,B$1,#REF!,$A29)+COUNTIFS(Students!$A:$A,B$1,#REF!,$A29)+COUNTIFS(Students!$A:$A,B$1,Students!$P:$P,$A29)+COUNTIFS(Students!$A:$A,B$1,Students!$R:$R,$A29))</f>
        <v>#VALUE!</v>
      </c>
      <c r="C29" s="174" t="str">
        <f>if($A29="","",COUNTIFS(Students!$A:$A,C$1,Students!$D:$D,$A29)+COUNTIFS(Students!$A:$A,C$1,Students!$F:$F,$A29)+COUNTIFS(Students!$A:$A,C$1,Students!$H:$H,$A29)+COUNTIFS(Students!$A:$A,C$1,Students!$J:$J,$A29)+COUNTIFS(Students!$A:$A,C$1,Students!$L:$L,$A29)+COUNTIFS(Students!$A:$A,C$1,Students!$N:$N,$A29)+COUNTIFS(Students!$A:$A,C$1,#REF!,$A29)+COUNTIFS(Students!$A:$A,C$1,#REF!,$A29)+COUNTIFS(Students!$A:$A,C$1,Students!$P:$P,$A29)+COUNTIFS(Students!$A:$A,C$1,Students!$R:$R,$A29))</f>
        <v>#VALUE!</v>
      </c>
      <c r="D29" s="174" t="str">
        <f>if($A29="","",COUNTIFS(Students!$A:$A,D$1,Students!$D:$D,$A29)+COUNTIFS(Students!$A:$A,D$1,Students!$F:$F,$A29)+COUNTIFS(Students!$A:$A,D$1,Students!$H:$H,$A29)+COUNTIFS(Students!$A:$A,D$1,Students!$J:$J,$A29)+COUNTIFS(Students!$A:$A,D$1,Students!$L:$L,$A29)+COUNTIFS(Students!$A:$A,D$1,Students!$N:$N,$A29)+COUNTIFS(Students!$A:$A,D$1,#REF!,$A29)+COUNTIFS(Students!$A:$A,D$1,#REF!,$A29)+COUNTIFS(Students!$A:$A,D$1,Students!$P:$P,$A29)+COUNTIFS(Students!$A:$A,D$1,Students!$R:$R,$A29))</f>
        <v>#VALUE!</v>
      </c>
      <c r="E29" s="175" t="str">
        <f t="shared" si="1"/>
        <v>#VALUE!</v>
      </c>
      <c r="F29" s="175">
        <f>if($A29="","",sumifs(Schedule!$O:$O,Schedule!$M:$M,$A29)+sumifs(Schedule!$R:$R,Schedule!$P:$P,$A29)+sumifs(Schedule!$U:$U,Schedule!$S:$S,$A29)+sumifs(Schedule!$X:$X,Schedule!$V:$V,$A29)+sumifs(Schedule!$AA:$AA,Schedule!$Y:$Y,$A29)+sumifs(Schedule!$AD:$AD,Schedule!$AB:$AB,$A29))</f>
        <v>22</v>
      </c>
      <c r="G29" s="175" t="str">
        <f t="shared" si="2"/>
        <v>#VALUE!</v>
      </c>
      <c r="H29" s="176">
        <f>if(A29="","",countifs(Schedule!M$1:AB618,A29))</f>
        <v>1</v>
      </c>
      <c r="I29" s="177" t="str">
        <f t="shared" si="3"/>
        <v/>
      </c>
    </row>
    <row r="30">
      <c r="A30" s="178" t="s">
        <v>176</v>
      </c>
      <c r="B30" s="174" t="str">
        <f>if($A30="","",COUNTIFS(Students!$A:$A,B$1,Students!$D:$D,$A30)+COUNTIFS(Students!$A:$A,B$1,Students!$F:$F,$A30)+COUNTIFS(Students!$A:$A,B$1,Students!$H:$H,$A30)+COUNTIFS(Students!$A:$A,B$1,Students!$J:$J,$A30)+COUNTIFS(Students!$A:$A,B$1,Students!$L:$L,$A30)+COUNTIFS(Students!$A:$A,B$1,Students!$N:$N,$A30)+COUNTIFS(Students!$A:$A,B$1,#REF!,$A30)+COUNTIFS(Students!$A:$A,B$1,#REF!,$A30)+COUNTIFS(Students!$A:$A,B$1,Students!$P:$P,$A30)+COUNTIFS(Students!$A:$A,B$1,Students!$R:$R,$A30))</f>
        <v>#VALUE!</v>
      </c>
      <c r="C30" s="174" t="str">
        <f>if($A30="","",COUNTIFS(Students!$A:$A,C$1,Students!$D:$D,$A30)+COUNTIFS(Students!$A:$A,C$1,Students!$F:$F,$A30)+COUNTIFS(Students!$A:$A,C$1,Students!$H:$H,$A30)+COUNTIFS(Students!$A:$A,C$1,Students!$J:$J,$A30)+COUNTIFS(Students!$A:$A,C$1,Students!$L:$L,$A30)+COUNTIFS(Students!$A:$A,C$1,Students!$N:$N,$A30)+COUNTIFS(Students!$A:$A,C$1,#REF!,$A30)+COUNTIFS(Students!$A:$A,C$1,#REF!,$A30)+COUNTIFS(Students!$A:$A,C$1,Students!$P:$P,$A30)+COUNTIFS(Students!$A:$A,C$1,Students!$R:$R,$A30))</f>
        <v>#VALUE!</v>
      </c>
      <c r="D30" s="174" t="str">
        <f>if($A30="","",COUNTIFS(Students!$A:$A,D$1,Students!$D:$D,$A30)+COUNTIFS(Students!$A:$A,D$1,Students!$F:$F,$A30)+COUNTIFS(Students!$A:$A,D$1,Students!$H:$H,$A30)+COUNTIFS(Students!$A:$A,D$1,Students!$J:$J,$A30)+COUNTIFS(Students!$A:$A,D$1,Students!$L:$L,$A30)+COUNTIFS(Students!$A:$A,D$1,Students!$N:$N,$A30)+COUNTIFS(Students!$A:$A,D$1,#REF!,$A30)+COUNTIFS(Students!$A:$A,D$1,#REF!,$A30)+COUNTIFS(Students!$A:$A,D$1,Students!$P:$P,$A30)+COUNTIFS(Students!$A:$A,D$1,Students!$R:$R,$A30))</f>
        <v>#VALUE!</v>
      </c>
      <c r="E30" s="175" t="str">
        <f t="shared" si="1"/>
        <v>#VALUE!</v>
      </c>
      <c r="F30" s="175">
        <f>if($A30="","",sumifs(Schedule!$O:$O,Schedule!$M:$M,$A30)+sumifs(Schedule!$R:$R,Schedule!$P:$P,$A30)+sumifs(Schedule!$U:$U,Schedule!$S:$S,$A30)+sumifs(Schedule!$X:$X,Schedule!$V:$V,$A30)+sumifs(Schedule!$AA:$AA,Schedule!$Y:$Y,$A30)+sumifs(Schedule!$AD:$AD,Schedule!$AB:$AB,$A30))</f>
        <v>121</v>
      </c>
      <c r="G30" s="175" t="str">
        <f t="shared" si="2"/>
        <v>#VALUE!</v>
      </c>
      <c r="H30" s="176">
        <f>if(A30="","",countifs(Schedule!M$1:AB618,A30))</f>
        <v>5</v>
      </c>
      <c r="I30" s="177" t="str">
        <f t="shared" si="3"/>
        <v/>
      </c>
    </row>
    <row r="31">
      <c r="A31" s="178" t="s">
        <v>177</v>
      </c>
      <c r="B31" s="174" t="str">
        <f>if($A31="","",COUNTIFS(Students!$A:$A,B$1,Students!$D:$D,$A31)+COUNTIFS(Students!$A:$A,B$1,Students!$F:$F,$A31)+COUNTIFS(Students!$A:$A,B$1,Students!$H:$H,$A31)+COUNTIFS(Students!$A:$A,B$1,Students!$J:$J,$A31)+COUNTIFS(Students!$A:$A,B$1,Students!$L:$L,$A31)+COUNTIFS(Students!$A:$A,B$1,Students!$N:$N,$A31)+COUNTIFS(Students!$A:$A,B$1,#REF!,$A31)+COUNTIFS(Students!$A:$A,B$1,#REF!,$A31)+COUNTIFS(Students!$A:$A,B$1,Students!$P:$P,$A31)+COUNTIFS(Students!$A:$A,B$1,Students!$R:$R,$A31))</f>
        <v>#VALUE!</v>
      </c>
      <c r="C31" s="174" t="str">
        <f>if($A31="","",COUNTIFS(Students!$A:$A,C$1,Students!$D:$D,$A31)+COUNTIFS(Students!$A:$A,C$1,Students!$F:$F,$A31)+COUNTIFS(Students!$A:$A,C$1,Students!$H:$H,$A31)+COUNTIFS(Students!$A:$A,C$1,Students!$J:$J,$A31)+COUNTIFS(Students!$A:$A,C$1,Students!$L:$L,$A31)+COUNTIFS(Students!$A:$A,C$1,Students!$N:$N,$A31)+COUNTIFS(Students!$A:$A,C$1,#REF!,$A31)+COUNTIFS(Students!$A:$A,C$1,#REF!,$A31)+COUNTIFS(Students!$A:$A,C$1,Students!$P:$P,$A31)+COUNTIFS(Students!$A:$A,C$1,Students!$R:$R,$A31))</f>
        <v>#VALUE!</v>
      </c>
      <c r="D31" s="174" t="str">
        <f>if($A31="","",COUNTIFS(Students!$A:$A,D$1,Students!$D:$D,$A31)+COUNTIFS(Students!$A:$A,D$1,Students!$F:$F,$A31)+COUNTIFS(Students!$A:$A,D$1,Students!$H:$H,$A31)+COUNTIFS(Students!$A:$A,D$1,Students!$J:$J,$A31)+COUNTIFS(Students!$A:$A,D$1,Students!$L:$L,$A31)+COUNTIFS(Students!$A:$A,D$1,Students!$N:$N,$A31)+COUNTIFS(Students!$A:$A,D$1,#REF!,$A31)+COUNTIFS(Students!$A:$A,D$1,#REF!,$A31)+COUNTIFS(Students!$A:$A,D$1,Students!$P:$P,$A31)+COUNTIFS(Students!$A:$A,D$1,Students!$R:$R,$A31))</f>
        <v>#VALUE!</v>
      </c>
      <c r="E31" s="175" t="str">
        <f t="shared" si="1"/>
        <v>#VALUE!</v>
      </c>
      <c r="F31" s="175">
        <f>if($A31="","",sumifs(Schedule!$O:$O,Schedule!$M:$M,$A31)+sumifs(Schedule!$R:$R,Schedule!$P:$P,$A31)+sumifs(Schedule!$U:$U,Schedule!$S:$S,$A31)+sumifs(Schedule!$X:$X,Schedule!$V:$V,$A31)+sumifs(Schedule!$AA:$AA,Schedule!$Y:$Y,$A31)+sumifs(Schedule!$AD:$AD,Schedule!$AB:$AB,$A31))</f>
        <v>21</v>
      </c>
      <c r="G31" s="175" t="str">
        <f t="shared" si="2"/>
        <v>#VALUE!</v>
      </c>
      <c r="H31" s="176">
        <f>if(A31="","",countifs(Schedule!M$1:AB618,A31))</f>
        <v>1</v>
      </c>
      <c r="I31" s="177" t="str">
        <f t="shared" si="3"/>
        <v/>
      </c>
    </row>
    <row r="32">
      <c r="A32" s="178" t="s">
        <v>192</v>
      </c>
      <c r="B32" s="174" t="str">
        <f>if($A32="","",COUNTIFS(Students!$A:$A,B$1,Students!$D:$D,$A32)+COUNTIFS(Students!$A:$A,B$1,Students!$F:$F,$A32)+COUNTIFS(Students!$A:$A,B$1,Students!$H:$H,$A32)+COUNTIFS(Students!$A:$A,B$1,Students!$J:$J,$A32)+COUNTIFS(Students!$A:$A,B$1,Students!$L:$L,$A32)+COUNTIFS(Students!$A:$A,B$1,Students!$N:$N,$A32)+COUNTIFS(Students!$A:$A,B$1,#REF!,$A32)+COUNTIFS(Students!$A:$A,B$1,#REF!,$A32)+COUNTIFS(Students!$A:$A,B$1,Students!$P:$P,$A32)+COUNTIFS(Students!$A:$A,B$1,Students!$R:$R,$A32))</f>
        <v>#VALUE!</v>
      </c>
      <c r="C32" s="174" t="str">
        <f>if($A32="","",COUNTIFS(Students!$A:$A,C$1,Students!$D:$D,$A32)+COUNTIFS(Students!$A:$A,C$1,Students!$F:$F,$A32)+COUNTIFS(Students!$A:$A,C$1,Students!$H:$H,$A32)+COUNTIFS(Students!$A:$A,C$1,Students!$J:$J,$A32)+COUNTIFS(Students!$A:$A,C$1,Students!$L:$L,$A32)+COUNTIFS(Students!$A:$A,C$1,Students!$N:$N,$A32)+COUNTIFS(Students!$A:$A,C$1,#REF!,$A32)+COUNTIFS(Students!$A:$A,C$1,#REF!,$A32)+COUNTIFS(Students!$A:$A,C$1,Students!$P:$P,$A32)+COUNTIFS(Students!$A:$A,C$1,Students!$R:$R,$A32))</f>
        <v>#VALUE!</v>
      </c>
      <c r="D32" s="174" t="str">
        <f>if($A32="","",COUNTIFS(Students!$A:$A,D$1,Students!$D:$D,$A32)+COUNTIFS(Students!$A:$A,D$1,Students!$F:$F,$A32)+COUNTIFS(Students!$A:$A,D$1,Students!$H:$H,$A32)+COUNTIFS(Students!$A:$A,D$1,Students!$J:$J,$A32)+COUNTIFS(Students!$A:$A,D$1,Students!$L:$L,$A32)+COUNTIFS(Students!$A:$A,D$1,Students!$N:$N,$A32)+COUNTIFS(Students!$A:$A,D$1,#REF!,$A32)+COUNTIFS(Students!$A:$A,D$1,#REF!,$A32)+COUNTIFS(Students!$A:$A,D$1,Students!$P:$P,$A32)+COUNTIFS(Students!$A:$A,D$1,Students!$R:$R,$A32))</f>
        <v>#VALUE!</v>
      </c>
      <c r="E32" s="175" t="str">
        <f t="shared" si="1"/>
        <v>#VALUE!</v>
      </c>
      <c r="F32" s="175">
        <f>if($A32="","",sumifs(Schedule!$O:$O,Schedule!$M:$M,$A32)+sumifs(Schedule!$R:$R,Schedule!$P:$P,$A32)+sumifs(Schedule!$U:$U,Schedule!$S:$S,$A32)+sumifs(Schedule!$X:$X,Schedule!$V:$V,$A32)+sumifs(Schedule!$AA:$AA,Schedule!$Y:$Y,$A32)+sumifs(Schedule!$AD:$AD,Schedule!$AB:$AB,$A32))</f>
        <v>120</v>
      </c>
      <c r="G32" s="175" t="str">
        <f t="shared" si="2"/>
        <v>#VALUE!</v>
      </c>
      <c r="H32" s="176">
        <f>if(A32="","",countifs(Schedule!M$1:AB618,A32))</f>
        <v>5</v>
      </c>
      <c r="I32" s="177" t="str">
        <f t="shared" si="3"/>
        <v/>
      </c>
    </row>
    <row r="33">
      <c r="A33" s="181" t="s">
        <v>194</v>
      </c>
      <c r="B33" s="174" t="str">
        <f>if($A33="","",COUNTIFS(Students!$A:$A,B$1,Students!$D:$D,$A33)+COUNTIFS(Students!$A:$A,B$1,Students!$F:$F,$A33)+COUNTIFS(Students!$A:$A,B$1,Students!$H:$H,$A33)+COUNTIFS(Students!$A:$A,B$1,Students!$J:$J,$A33)+COUNTIFS(Students!$A:$A,B$1,Students!$L:$L,$A33)+COUNTIFS(Students!$A:$A,B$1,Students!$N:$N,$A33)+COUNTIFS(Students!$A:$A,B$1,#REF!,$A33)+COUNTIFS(Students!$A:$A,B$1,#REF!,$A33)+COUNTIFS(Students!$A:$A,B$1,Students!$P:$P,$A33)+COUNTIFS(Students!$A:$A,B$1,Students!$R:$R,$A33))</f>
        <v>#VALUE!</v>
      </c>
      <c r="C33" s="174" t="str">
        <f>if($A33="","",COUNTIFS(Students!$A:$A,C$1,Students!$D:$D,$A33)+COUNTIFS(Students!$A:$A,C$1,Students!$F:$F,$A33)+COUNTIFS(Students!$A:$A,C$1,Students!$H:$H,$A33)+COUNTIFS(Students!$A:$A,C$1,Students!$J:$J,$A33)+COUNTIFS(Students!$A:$A,C$1,Students!$L:$L,$A33)+COUNTIFS(Students!$A:$A,C$1,Students!$N:$N,$A33)+COUNTIFS(Students!$A:$A,C$1,#REF!,$A33)+COUNTIFS(Students!$A:$A,C$1,#REF!,$A33)+COUNTIFS(Students!$A:$A,C$1,Students!$P:$P,$A33)+COUNTIFS(Students!$A:$A,C$1,Students!$R:$R,$A33))</f>
        <v>#VALUE!</v>
      </c>
      <c r="D33" s="174" t="str">
        <f>if($A33="","",COUNTIFS(Students!$A:$A,D$1,Students!$D:$D,$A33)+COUNTIFS(Students!$A:$A,D$1,Students!$F:$F,$A33)+COUNTIFS(Students!$A:$A,D$1,Students!$H:$H,$A33)+COUNTIFS(Students!$A:$A,D$1,Students!$J:$J,$A33)+COUNTIFS(Students!$A:$A,D$1,Students!$L:$L,$A33)+COUNTIFS(Students!$A:$A,D$1,Students!$N:$N,$A33)+COUNTIFS(Students!$A:$A,D$1,#REF!,$A33)+COUNTIFS(Students!$A:$A,D$1,#REF!,$A33)+COUNTIFS(Students!$A:$A,D$1,Students!$P:$P,$A33)+COUNTIFS(Students!$A:$A,D$1,Students!$R:$R,$A33))</f>
        <v>#VALUE!</v>
      </c>
      <c r="E33" s="175" t="str">
        <f t="shared" si="1"/>
        <v>#VALUE!</v>
      </c>
      <c r="F33" s="175">
        <f>if($A33="","",sumifs(Schedule!$O:$O,Schedule!$M:$M,$A33)+sumifs(Schedule!$R:$R,Schedule!$P:$P,$A33)+sumifs(Schedule!$U:$U,Schedule!$S:$S,$A33)+sumifs(Schedule!$X:$X,Schedule!$V:$V,$A33)+sumifs(Schedule!$AA:$AA,Schedule!$Y:$Y,$A33)+sumifs(Schedule!$AD:$AD,Schedule!$AB:$AB,$A33))</f>
        <v>24</v>
      </c>
      <c r="G33" s="175" t="str">
        <f t="shared" si="2"/>
        <v>#VALUE!</v>
      </c>
      <c r="H33" s="176">
        <f>if(A33="","",countifs(Schedule!M$1:AB618,A33))</f>
        <v>1</v>
      </c>
      <c r="I33" s="177" t="str">
        <f t="shared" si="3"/>
        <v/>
      </c>
    </row>
    <row r="34">
      <c r="A34" s="181" t="s">
        <v>195</v>
      </c>
      <c r="B34" s="174" t="str">
        <f>if($A34="","",COUNTIFS(Students!$A:$A,B$1,Students!$D:$D,$A34)+COUNTIFS(Students!$A:$A,B$1,Students!$F:$F,$A34)+COUNTIFS(Students!$A:$A,B$1,Students!$H:$H,$A34)+COUNTIFS(Students!$A:$A,B$1,Students!$J:$J,$A34)+COUNTIFS(Students!$A:$A,B$1,Students!$L:$L,$A34)+COUNTIFS(Students!$A:$A,B$1,Students!$N:$N,$A34)+COUNTIFS(Students!$A:$A,B$1,#REF!,$A34)+COUNTIFS(Students!$A:$A,B$1,#REF!,$A34)+COUNTIFS(Students!$A:$A,B$1,Students!$P:$P,$A34)+COUNTIFS(Students!$A:$A,B$1,Students!$R:$R,$A34))</f>
        <v>#VALUE!</v>
      </c>
      <c r="C34" s="174" t="str">
        <f>if($A34="","",COUNTIFS(Students!$A:$A,C$1,Students!$D:$D,$A34)+COUNTIFS(Students!$A:$A,C$1,Students!$F:$F,$A34)+COUNTIFS(Students!$A:$A,C$1,Students!$H:$H,$A34)+COUNTIFS(Students!$A:$A,C$1,Students!$J:$J,$A34)+COUNTIFS(Students!$A:$A,C$1,Students!$L:$L,$A34)+COUNTIFS(Students!$A:$A,C$1,Students!$N:$N,$A34)+COUNTIFS(Students!$A:$A,C$1,#REF!,$A34)+COUNTIFS(Students!$A:$A,C$1,#REF!,$A34)+COUNTIFS(Students!$A:$A,C$1,Students!$P:$P,$A34)+COUNTIFS(Students!$A:$A,C$1,Students!$R:$R,$A34))</f>
        <v>#VALUE!</v>
      </c>
      <c r="D34" s="174" t="str">
        <f>if($A34="","",COUNTIFS(Students!$A:$A,D$1,Students!$D:$D,$A34)+COUNTIFS(Students!$A:$A,D$1,Students!$F:$F,$A34)+COUNTIFS(Students!$A:$A,D$1,Students!$H:$H,$A34)+COUNTIFS(Students!$A:$A,D$1,Students!$J:$J,$A34)+COUNTIFS(Students!$A:$A,D$1,Students!$L:$L,$A34)+COUNTIFS(Students!$A:$A,D$1,Students!$N:$N,$A34)+COUNTIFS(Students!$A:$A,D$1,#REF!,$A34)+COUNTIFS(Students!$A:$A,D$1,#REF!,$A34)+COUNTIFS(Students!$A:$A,D$1,Students!$P:$P,$A34)+COUNTIFS(Students!$A:$A,D$1,Students!$R:$R,$A34))</f>
        <v>#VALUE!</v>
      </c>
      <c r="E34" s="175" t="str">
        <f t="shared" si="1"/>
        <v>#VALUE!</v>
      </c>
      <c r="F34" s="175">
        <f>if($A34="","",sumifs(Schedule!$O:$O,Schedule!$M:$M,$A34)+sumifs(Schedule!$R:$R,Schedule!$P:$P,$A34)+sumifs(Schedule!$U:$U,Schedule!$S:$S,$A34)+sumifs(Schedule!$X:$X,Schedule!$V:$V,$A34)+sumifs(Schedule!$AA:$AA,Schedule!$Y:$Y,$A34)+sumifs(Schedule!$AD:$AD,Schedule!$AB:$AB,$A34))</f>
        <v>87</v>
      </c>
      <c r="G34" s="175" t="str">
        <f t="shared" si="2"/>
        <v>#VALUE!</v>
      </c>
      <c r="H34" s="176">
        <f>if(A34="","",countifs(Schedule!M$1:AB618,A34))</f>
        <v>4</v>
      </c>
      <c r="I34" s="177" t="str">
        <f t="shared" si="3"/>
        <v/>
      </c>
    </row>
    <row r="35">
      <c r="A35" s="181" t="s">
        <v>193</v>
      </c>
      <c r="B35" s="174" t="str">
        <f>if($A35="","",COUNTIFS(Students!$A:$A,B$1,Students!$D:$D,$A35)+COUNTIFS(Students!$A:$A,B$1,Students!$F:$F,$A35)+COUNTIFS(Students!$A:$A,B$1,Students!$H:$H,$A35)+COUNTIFS(Students!$A:$A,B$1,Students!$J:$J,$A35)+COUNTIFS(Students!$A:$A,B$1,Students!$L:$L,$A35)+COUNTIFS(Students!$A:$A,B$1,Students!$N:$N,$A35)+COUNTIFS(Students!$A:$A,B$1,#REF!,$A35)+COUNTIFS(Students!$A:$A,B$1,#REF!,$A35)+COUNTIFS(Students!$A:$A,B$1,Students!$P:$P,$A35)+COUNTIFS(Students!$A:$A,B$1,Students!$R:$R,$A35))</f>
        <v>#VALUE!</v>
      </c>
      <c r="C35" s="174" t="str">
        <f>if($A35="","",COUNTIFS(Students!$A:$A,C$1,Students!$D:$D,$A35)+COUNTIFS(Students!$A:$A,C$1,Students!$F:$F,$A35)+COUNTIFS(Students!$A:$A,C$1,Students!$H:$H,$A35)+COUNTIFS(Students!$A:$A,C$1,Students!$J:$J,$A35)+COUNTIFS(Students!$A:$A,C$1,Students!$L:$L,$A35)+COUNTIFS(Students!$A:$A,C$1,Students!$N:$N,$A35)+COUNTIFS(Students!$A:$A,C$1,#REF!,$A35)+COUNTIFS(Students!$A:$A,C$1,#REF!,$A35)+COUNTIFS(Students!$A:$A,C$1,Students!$P:$P,$A35)+COUNTIFS(Students!$A:$A,C$1,Students!$R:$R,$A35))</f>
        <v>#VALUE!</v>
      </c>
      <c r="D35" s="174" t="str">
        <f>if($A35="","",COUNTIFS(Students!$A:$A,D$1,Students!$D:$D,$A35)+COUNTIFS(Students!$A:$A,D$1,Students!$F:$F,$A35)+COUNTIFS(Students!$A:$A,D$1,Students!$H:$H,$A35)+COUNTIFS(Students!$A:$A,D$1,Students!$J:$J,$A35)+COUNTIFS(Students!$A:$A,D$1,Students!$L:$L,$A35)+COUNTIFS(Students!$A:$A,D$1,Students!$N:$N,$A35)+COUNTIFS(Students!$A:$A,D$1,#REF!,$A35)+COUNTIFS(Students!$A:$A,D$1,#REF!,$A35)+COUNTIFS(Students!$A:$A,D$1,Students!$P:$P,$A35)+COUNTIFS(Students!$A:$A,D$1,Students!$R:$R,$A35))</f>
        <v>#VALUE!</v>
      </c>
      <c r="E35" s="175" t="str">
        <f t="shared" si="1"/>
        <v>#VALUE!</v>
      </c>
      <c r="F35" s="175">
        <f>if($A35="","",sumifs(Schedule!$O:$O,Schedule!$M:$M,$A35)+sumifs(Schedule!$R:$R,Schedule!$P:$P,$A35)+sumifs(Schedule!$U:$U,Schedule!$S:$S,$A35)+sumifs(Schedule!$X:$X,Schedule!$V:$V,$A35)+sumifs(Schedule!$AA:$AA,Schedule!$Y:$Y,$A35)+sumifs(Schedule!$AD:$AD,Schedule!$AB:$AB,$A35))</f>
        <v>44</v>
      </c>
      <c r="G35" s="175" t="str">
        <f t="shared" si="2"/>
        <v>#VALUE!</v>
      </c>
      <c r="H35" s="176">
        <f>if(A35="","",countifs(Schedule!M$1:AB618,A35))</f>
        <v>2</v>
      </c>
      <c r="I35" s="177" t="str">
        <f t="shared" si="3"/>
        <v/>
      </c>
    </row>
    <row r="36">
      <c r="A36" s="179" t="s">
        <v>190</v>
      </c>
      <c r="B36" s="174" t="str">
        <f>if($A36="","",COUNTIFS(Students!$A:$A,B$1,Students!$D:$D,$A36)+COUNTIFS(Students!$A:$A,B$1,Students!$F:$F,$A36)+COUNTIFS(Students!$A:$A,B$1,Students!$H:$H,$A36)+COUNTIFS(Students!$A:$A,B$1,Students!$J:$J,$A36)+COUNTIFS(Students!$A:$A,B$1,Students!$L:$L,$A36)+COUNTIFS(Students!$A:$A,B$1,Students!$N:$N,$A36)+COUNTIFS(Students!$A:$A,B$1,#REF!,$A36)+COUNTIFS(Students!$A:$A,B$1,#REF!,$A36)+COUNTIFS(Students!$A:$A,B$1,Students!$P:$P,$A36)+COUNTIFS(Students!$A:$A,B$1,Students!$R:$R,$A36))</f>
        <v>#VALUE!</v>
      </c>
      <c r="C36" s="174" t="str">
        <f>if($A36="","",COUNTIFS(Students!$A:$A,C$1,Students!$D:$D,$A36)+COUNTIFS(Students!$A:$A,C$1,Students!$F:$F,$A36)+COUNTIFS(Students!$A:$A,C$1,Students!$H:$H,$A36)+COUNTIFS(Students!$A:$A,C$1,Students!$J:$J,$A36)+COUNTIFS(Students!$A:$A,C$1,Students!$L:$L,$A36)+COUNTIFS(Students!$A:$A,C$1,Students!$N:$N,$A36)+COUNTIFS(Students!$A:$A,C$1,#REF!,$A36)+COUNTIFS(Students!$A:$A,C$1,#REF!,$A36)+COUNTIFS(Students!$A:$A,C$1,Students!$P:$P,$A36)+COUNTIFS(Students!$A:$A,C$1,Students!$R:$R,$A36))</f>
        <v>#VALUE!</v>
      </c>
      <c r="D36" s="174" t="str">
        <f>if($A36="","",COUNTIFS(Students!$A:$A,D$1,Students!$D:$D,$A36)+COUNTIFS(Students!$A:$A,D$1,Students!$F:$F,$A36)+COUNTIFS(Students!$A:$A,D$1,Students!$H:$H,$A36)+COUNTIFS(Students!$A:$A,D$1,Students!$J:$J,$A36)+COUNTIFS(Students!$A:$A,D$1,Students!$L:$L,$A36)+COUNTIFS(Students!$A:$A,D$1,Students!$N:$N,$A36)+COUNTIFS(Students!$A:$A,D$1,#REF!,$A36)+COUNTIFS(Students!$A:$A,D$1,#REF!,$A36)+COUNTIFS(Students!$A:$A,D$1,Students!$P:$P,$A36)+COUNTIFS(Students!$A:$A,D$1,Students!$R:$R,$A36))</f>
        <v>#VALUE!</v>
      </c>
      <c r="E36" s="175" t="str">
        <f t="shared" si="1"/>
        <v>#VALUE!</v>
      </c>
      <c r="F36" s="175">
        <f>if($A36="","",sumifs(Schedule!$O:$O,Schedule!$M:$M,$A36)+sumifs(Schedule!$R:$R,Schedule!$P:$P,$A36)+sumifs(Schedule!$U:$U,Schedule!$S:$S,$A36)+sumifs(Schedule!$X:$X,Schedule!$V:$V,$A36)+sumifs(Schedule!$AA:$AA,Schedule!$Y:$Y,$A36)+sumifs(Schedule!$AD:$AD,Schedule!$AB:$AB,$A36))</f>
        <v>121</v>
      </c>
      <c r="G36" s="175" t="str">
        <f t="shared" si="2"/>
        <v>#VALUE!</v>
      </c>
      <c r="H36" s="176">
        <f>if(A36="","",countifs(Schedule!M$1:AB618,A36))</f>
        <v>5</v>
      </c>
      <c r="I36" s="177" t="str">
        <f t="shared" si="3"/>
        <v/>
      </c>
    </row>
    <row r="37">
      <c r="A37" s="179" t="s">
        <v>191</v>
      </c>
      <c r="B37" s="174" t="str">
        <f>if($A37="","",COUNTIFS(Students!$A:$A,B$1,Students!$D:$D,$A37)+COUNTIFS(Students!$A:$A,B$1,Students!$F:$F,$A37)+COUNTIFS(Students!$A:$A,B$1,Students!$H:$H,$A37)+COUNTIFS(Students!$A:$A,B$1,Students!$J:$J,$A37)+COUNTIFS(Students!$A:$A,B$1,Students!$L:$L,$A37)+COUNTIFS(Students!$A:$A,B$1,Students!$N:$N,$A37)+COUNTIFS(Students!$A:$A,B$1,#REF!,$A37)+COUNTIFS(Students!$A:$A,B$1,#REF!,$A37)+COUNTIFS(Students!$A:$A,B$1,Students!$P:$P,$A37)+COUNTIFS(Students!$A:$A,B$1,Students!$R:$R,$A37))</f>
        <v>#VALUE!</v>
      </c>
      <c r="C37" s="174" t="str">
        <f>if($A37="","",COUNTIFS(Students!$A:$A,C$1,Students!$D:$D,$A37)+COUNTIFS(Students!$A:$A,C$1,Students!$F:$F,$A37)+COUNTIFS(Students!$A:$A,C$1,Students!$H:$H,$A37)+COUNTIFS(Students!$A:$A,C$1,Students!$J:$J,$A37)+COUNTIFS(Students!$A:$A,C$1,Students!$L:$L,$A37)+COUNTIFS(Students!$A:$A,C$1,Students!$N:$N,$A37)+COUNTIFS(Students!$A:$A,C$1,#REF!,$A37)+COUNTIFS(Students!$A:$A,C$1,#REF!,$A37)+COUNTIFS(Students!$A:$A,C$1,Students!$P:$P,$A37)+COUNTIFS(Students!$A:$A,C$1,Students!$R:$R,$A37))</f>
        <v>#VALUE!</v>
      </c>
      <c r="D37" s="174" t="str">
        <f>if($A37="","",COUNTIFS(Students!$A:$A,D$1,Students!$D:$D,$A37)+COUNTIFS(Students!$A:$A,D$1,Students!$F:$F,$A37)+COUNTIFS(Students!$A:$A,D$1,Students!$H:$H,$A37)+COUNTIFS(Students!$A:$A,D$1,Students!$J:$J,$A37)+COUNTIFS(Students!$A:$A,D$1,Students!$L:$L,$A37)+COUNTIFS(Students!$A:$A,D$1,Students!$N:$N,$A37)+COUNTIFS(Students!$A:$A,D$1,#REF!,$A37)+COUNTIFS(Students!$A:$A,D$1,#REF!,$A37)+COUNTIFS(Students!$A:$A,D$1,Students!$P:$P,$A37)+COUNTIFS(Students!$A:$A,D$1,Students!$R:$R,$A37))</f>
        <v>#VALUE!</v>
      </c>
      <c r="E37" s="175" t="str">
        <f t="shared" si="1"/>
        <v>#VALUE!</v>
      </c>
      <c r="F37" s="175">
        <f>if($A37="","",sumifs(Schedule!$O:$O,Schedule!$M:$M,$A37)+sumifs(Schedule!$R:$R,Schedule!$P:$P,$A37)+sumifs(Schedule!$U:$U,Schedule!$S:$S,$A37)+sumifs(Schedule!$X:$X,Schedule!$V:$V,$A37)+sumifs(Schedule!$AA:$AA,Schedule!$Y:$Y,$A37)+sumifs(Schedule!$AD:$AD,Schedule!$AB:$AB,$A37))</f>
        <v>21</v>
      </c>
      <c r="G37" s="175" t="str">
        <f t="shared" si="2"/>
        <v>#VALUE!</v>
      </c>
      <c r="H37" s="176">
        <f>if(A37="","",countifs(Schedule!M$1:AB618,A37))</f>
        <v>1</v>
      </c>
      <c r="I37" s="177" t="str">
        <f t="shared" si="3"/>
        <v/>
      </c>
    </row>
    <row r="38">
      <c r="A38" s="179" t="s">
        <v>196</v>
      </c>
      <c r="B38" s="174" t="str">
        <f>if($A38="","",COUNTIFS(Students!$A:$A,B$1,Students!$D:$D,$A38)+COUNTIFS(Students!$A:$A,B$1,Students!$F:$F,$A38)+COUNTIFS(Students!$A:$A,B$1,Students!$H:$H,$A38)+COUNTIFS(Students!$A:$A,B$1,Students!$J:$J,$A38)+COUNTIFS(Students!$A:$A,B$1,Students!$L:$L,$A38)+COUNTIFS(Students!$A:$A,B$1,Students!$N:$N,$A38)+COUNTIFS(Students!$A:$A,B$1,#REF!,$A38)+COUNTIFS(Students!$A:$A,B$1,#REF!,$A38)+COUNTIFS(Students!$A:$A,B$1,Students!$P:$P,$A38)+COUNTIFS(Students!$A:$A,B$1,Students!$R:$R,$A38))</f>
        <v>#VALUE!</v>
      </c>
      <c r="C38" s="174" t="str">
        <f>if($A38="","",COUNTIFS(Students!$A:$A,C$1,Students!$D:$D,$A38)+COUNTIFS(Students!$A:$A,C$1,Students!$F:$F,$A38)+COUNTIFS(Students!$A:$A,C$1,Students!$H:$H,$A38)+COUNTIFS(Students!$A:$A,C$1,Students!$J:$J,$A38)+COUNTIFS(Students!$A:$A,C$1,Students!$L:$L,$A38)+COUNTIFS(Students!$A:$A,C$1,Students!$N:$N,$A38)+COUNTIFS(Students!$A:$A,C$1,#REF!,$A38)+COUNTIFS(Students!$A:$A,C$1,#REF!,$A38)+COUNTIFS(Students!$A:$A,C$1,Students!$P:$P,$A38)+COUNTIFS(Students!$A:$A,C$1,Students!$R:$R,$A38))</f>
        <v>#VALUE!</v>
      </c>
      <c r="D38" s="174" t="str">
        <f>if($A38="","",COUNTIFS(Students!$A:$A,D$1,Students!$D:$D,$A38)+COUNTIFS(Students!$A:$A,D$1,Students!$F:$F,$A38)+COUNTIFS(Students!$A:$A,D$1,Students!$H:$H,$A38)+COUNTIFS(Students!$A:$A,D$1,Students!$J:$J,$A38)+COUNTIFS(Students!$A:$A,D$1,Students!$L:$L,$A38)+COUNTIFS(Students!$A:$A,D$1,Students!$N:$N,$A38)+COUNTIFS(Students!$A:$A,D$1,#REF!,$A38)+COUNTIFS(Students!$A:$A,D$1,#REF!,$A38)+COUNTIFS(Students!$A:$A,D$1,Students!$P:$P,$A38)+COUNTIFS(Students!$A:$A,D$1,Students!$R:$R,$A38))</f>
        <v>#VALUE!</v>
      </c>
      <c r="E38" s="175" t="str">
        <f t="shared" si="1"/>
        <v>#VALUE!</v>
      </c>
      <c r="F38" s="175">
        <f>if($A38="","",sumifs(Schedule!$O:$O,Schedule!$M:$M,$A38)+sumifs(Schedule!$R:$R,Schedule!$P:$P,$A38)+sumifs(Schedule!$U:$U,Schedule!$S:$S,$A38)+sumifs(Schedule!$X:$X,Schedule!$V:$V,$A38)+sumifs(Schedule!$AA:$AA,Schedule!$Y:$Y,$A38)+sumifs(Schedule!$AD:$AD,Schedule!$AB:$AB,$A38))</f>
        <v>115</v>
      </c>
      <c r="G38" s="175" t="str">
        <f t="shared" si="2"/>
        <v>#VALUE!</v>
      </c>
      <c r="H38" s="176">
        <f>if(A38="","",countifs(Schedule!M$1:AB618,A38))</f>
        <v>5</v>
      </c>
      <c r="I38" s="177" t="str">
        <f t="shared" si="3"/>
        <v/>
      </c>
    </row>
    <row r="39">
      <c r="A39" s="179" t="s">
        <v>198</v>
      </c>
      <c r="B39" s="174" t="str">
        <f>if($A39="","",COUNTIFS(Students!$A:$A,B$1,Students!$D:$D,$A39)+COUNTIFS(Students!$A:$A,B$1,Students!$F:$F,$A39)+COUNTIFS(Students!$A:$A,B$1,Students!$H:$H,$A39)+COUNTIFS(Students!$A:$A,B$1,Students!$J:$J,$A39)+COUNTIFS(Students!$A:$A,B$1,Students!$L:$L,$A39)+COUNTIFS(Students!$A:$A,B$1,Students!$N:$N,$A39)+COUNTIFS(Students!$A:$A,B$1,#REF!,$A39)+COUNTIFS(Students!$A:$A,B$1,#REF!,$A39)+COUNTIFS(Students!$A:$A,B$1,Students!$P:$P,$A39)+COUNTIFS(Students!$A:$A,B$1,Students!$R:$R,$A39))</f>
        <v>#VALUE!</v>
      </c>
      <c r="C39" s="174" t="str">
        <f>if($A39="","",COUNTIFS(Students!$A:$A,C$1,Students!$D:$D,$A39)+COUNTIFS(Students!$A:$A,C$1,Students!$F:$F,$A39)+COUNTIFS(Students!$A:$A,C$1,Students!$H:$H,$A39)+COUNTIFS(Students!$A:$A,C$1,Students!$J:$J,$A39)+COUNTIFS(Students!$A:$A,C$1,Students!$L:$L,$A39)+COUNTIFS(Students!$A:$A,C$1,Students!$N:$N,$A39)+COUNTIFS(Students!$A:$A,C$1,#REF!,$A39)+COUNTIFS(Students!$A:$A,C$1,#REF!,$A39)+COUNTIFS(Students!$A:$A,C$1,Students!$P:$P,$A39)+COUNTIFS(Students!$A:$A,C$1,Students!$R:$R,$A39))</f>
        <v>#VALUE!</v>
      </c>
      <c r="D39" s="174" t="str">
        <f>if($A39="","",COUNTIFS(Students!$A:$A,D$1,Students!$D:$D,$A39)+COUNTIFS(Students!$A:$A,D$1,Students!$F:$F,$A39)+COUNTIFS(Students!$A:$A,D$1,Students!$H:$H,$A39)+COUNTIFS(Students!$A:$A,D$1,Students!$J:$J,$A39)+COUNTIFS(Students!$A:$A,D$1,Students!$L:$L,$A39)+COUNTIFS(Students!$A:$A,D$1,Students!$N:$N,$A39)+COUNTIFS(Students!$A:$A,D$1,#REF!,$A39)+COUNTIFS(Students!$A:$A,D$1,#REF!,$A39)+COUNTIFS(Students!$A:$A,D$1,Students!$P:$P,$A39)+COUNTIFS(Students!$A:$A,D$1,Students!$R:$R,$A39))</f>
        <v>#VALUE!</v>
      </c>
      <c r="E39" s="175" t="str">
        <f t="shared" si="1"/>
        <v>#VALUE!</v>
      </c>
      <c r="F39" s="175">
        <f>if($A39="","",sumifs(Schedule!$O:$O,Schedule!$M:$M,$A39)+sumifs(Schedule!$R:$R,Schedule!$P:$P,$A39)+sumifs(Schedule!$U:$U,Schedule!$S:$S,$A39)+sumifs(Schedule!$X:$X,Schedule!$V:$V,$A39)+sumifs(Schedule!$AA:$AA,Schedule!$Y:$Y,$A39)+sumifs(Schedule!$AD:$AD,Schedule!$AB:$AB,$A39))</f>
        <v>24</v>
      </c>
      <c r="G39" s="175" t="str">
        <f t="shared" si="2"/>
        <v>#VALUE!</v>
      </c>
      <c r="H39" s="176">
        <f>if(A39="","",countifs(Schedule!M$1:AB618,A39))</f>
        <v>1</v>
      </c>
      <c r="I39" s="177" t="str">
        <f t="shared" si="3"/>
        <v/>
      </c>
    </row>
    <row r="40">
      <c r="A40" s="179" t="s">
        <v>200</v>
      </c>
      <c r="B40" s="174" t="str">
        <f>if($A40="","",COUNTIFS(Students!$A:$A,B$1,Students!$D:$D,$A40)+COUNTIFS(Students!$A:$A,B$1,Students!$F:$F,$A40)+COUNTIFS(Students!$A:$A,B$1,Students!$H:$H,$A40)+COUNTIFS(Students!$A:$A,B$1,Students!$J:$J,$A40)+COUNTIFS(Students!$A:$A,B$1,Students!$L:$L,$A40)+COUNTIFS(Students!$A:$A,B$1,Students!$N:$N,$A40)+COUNTIFS(Students!$A:$A,B$1,#REF!,$A40)+COUNTIFS(Students!$A:$A,B$1,#REF!,$A40)+COUNTIFS(Students!$A:$A,B$1,Students!$P:$P,$A40)+COUNTIFS(Students!$A:$A,B$1,Students!$R:$R,$A40))</f>
        <v>#VALUE!</v>
      </c>
      <c r="C40" s="174" t="str">
        <f>if($A40="","",COUNTIFS(Students!$A:$A,C$1,Students!$D:$D,$A40)+COUNTIFS(Students!$A:$A,C$1,Students!$F:$F,$A40)+COUNTIFS(Students!$A:$A,C$1,Students!$H:$H,$A40)+COUNTIFS(Students!$A:$A,C$1,Students!$J:$J,$A40)+COUNTIFS(Students!$A:$A,C$1,Students!$L:$L,$A40)+COUNTIFS(Students!$A:$A,C$1,Students!$N:$N,$A40)+COUNTIFS(Students!$A:$A,C$1,#REF!,$A40)+COUNTIFS(Students!$A:$A,C$1,#REF!,$A40)+COUNTIFS(Students!$A:$A,C$1,Students!$P:$P,$A40)+COUNTIFS(Students!$A:$A,C$1,Students!$R:$R,$A40))</f>
        <v>#VALUE!</v>
      </c>
      <c r="D40" s="174" t="str">
        <f>if($A40="","",COUNTIFS(Students!$A:$A,D$1,Students!$D:$D,$A40)+COUNTIFS(Students!$A:$A,D$1,Students!$F:$F,$A40)+COUNTIFS(Students!$A:$A,D$1,Students!$H:$H,$A40)+COUNTIFS(Students!$A:$A,D$1,Students!$J:$J,$A40)+COUNTIFS(Students!$A:$A,D$1,Students!$L:$L,$A40)+COUNTIFS(Students!$A:$A,D$1,Students!$N:$N,$A40)+COUNTIFS(Students!$A:$A,D$1,#REF!,$A40)+COUNTIFS(Students!$A:$A,D$1,#REF!,$A40)+COUNTIFS(Students!$A:$A,D$1,Students!$P:$P,$A40)+COUNTIFS(Students!$A:$A,D$1,Students!$R:$R,$A40))</f>
        <v>#VALUE!</v>
      </c>
      <c r="E40" s="175" t="str">
        <f t="shared" si="1"/>
        <v>#VALUE!</v>
      </c>
      <c r="F40" s="175">
        <f>if($A40="","",sumifs(Schedule!$O:$O,Schedule!$M:$M,$A40)+sumifs(Schedule!$R:$R,Schedule!$P:$P,$A40)+sumifs(Schedule!$U:$U,Schedule!$S:$S,$A40)+sumifs(Schedule!$X:$X,Schedule!$V:$V,$A40)+sumifs(Schedule!$AA:$AA,Schedule!$Y:$Y,$A40)+sumifs(Schedule!$AD:$AD,Schedule!$AB:$AB,$A40))</f>
        <v>110</v>
      </c>
      <c r="G40" s="175" t="str">
        <f t="shared" si="2"/>
        <v>#VALUE!</v>
      </c>
      <c r="H40" s="176">
        <f>if(A40="","",countifs(Schedule!M$1:AB618,A40))</f>
        <v>5</v>
      </c>
      <c r="I40" s="177" t="str">
        <f t="shared" si="3"/>
        <v/>
      </c>
    </row>
    <row r="41">
      <c r="A41" s="179" t="s">
        <v>203</v>
      </c>
      <c r="B41" s="174" t="str">
        <f>if($A41="","",COUNTIFS(Students!$A:$A,B$1,Students!$D:$D,$A41)+COUNTIFS(Students!$A:$A,B$1,Students!$F:$F,$A41)+COUNTIFS(Students!$A:$A,B$1,Students!$H:$H,$A41)+COUNTIFS(Students!$A:$A,B$1,Students!$J:$J,$A41)+COUNTIFS(Students!$A:$A,B$1,Students!$L:$L,$A41)+COUNTIFS(Students!$A:$A,B$1,Students!$N:$N,$A41)+COUNTIFS(Students!$A:$A,B$1,#REF!,$A41)+COUNTIFS(Students!$A:$A,B$1,#REF!,$A41)+COUNTIFS(Students!$A:$A,B$1,Students!$P:$P,$A41)+COUNTIFS(Students!$A:$A,B$1,Students!$R:$R,$A41))</f>
        <v>#VALUE!</v>
      </c>
      <c r="C41" s="174" t="str">
        <f>if($A41="","",COUNTIFS(Students!$A:$A,C$1,Students!$D:$D,$A41)+COUNTIFS(Students!$A:$A,C$1,Students!$F:$F,$A41)+COUNTIFS(Students!$A:$A,C$1,Students!$H:$H,$A41)+COUNTIFS(Students!$A:$A,C$1,Students!$J:$J,$A41)+COUNTIFS(Students!$A:$A,C$1,Students!$L:$L,$A41)+COUNTIFS(Students!$A:$A,C$1,Students!$N:$N,$A41)+COUNTIFS(Students!$A:$A,C$1,#REF!,$A41)+COUNTIFS(Students!$A:$A,C$1,#REF!,$A41)+COUNTIFS(Students!$A:$A,C$1,Students!$P:$P,$A41)+COUNTIFS(Students!$A:$A,C$1,Students!$R:$R,$A41))</f>
        <v>#VALUE!</v>
      </c>
      <c r="D41" s="174" t="str">
        <f>if($A41="","",COUNTIFS(Students!$A:$A,D$1,Students!$D:$D,$A41)+COUNTIFS(Students!$A:$A,D$1,Students!$F:$F,$A41)+COUNTIFS(Students!$A:$A,D$1,Students!$H:$H,$A41)+COUNTIFS(Students!$A:$A,D$1,Students!$J:$J,$A41)+COUNTIFS(Students!$A:$A,D$1,Students!$L:$L,$A41)+COUNTIFS(Students!$A:$A,D$1,Students!$N:$N,$A41)+COUNTIFS(Students!$A:$A,D$1,#REF!,$A41)+COUNTIFS(Students!$A:$A,D$1,#REF!,$A41)+COUNTIFS(Students!$A:$A,D$1,Students!$P:$P,$A41)+COUNTIFS(Students!$A:$A,D$1,Students!$R:$R,$A41))</f>
        <v>#VALUE!</v>
      </c>
      <c r="E41" s="175" t="str">
        <f t="shared" si="1"/>
        <v>#VALUE!</v>
      </c>
      <c r="F41" s="175">
        <f>if($A41="","",sumifs(Schedule!$O:$O,Schedule!$M:$M,$A41)+sumifs(Schedule!$R:$R,Schedule!$P:$P,$A41)+sumifs(Schedule!$U:$U,Schedule!$S:$S,$A41)+sumifs(Schedule!$X:$X,Schedule!$V:$V,$A41)+sumifs(Schedule!$AA:$AA,Schedule!$Y:$Y,$A41)+sumifs(Schedule!$AD:$AD,Schedule!$AB:$AB,$A41))</f>
        <v>21</v>
      </c>
      <c r="G41" s="175" t="str">
        <f t="shared" si="2"/>
        <v>#VALUE!</v>
      </c>
      <c r="H41" s="176">
        <f>if(A41="","",countifs(Schedule!M$1:AB618,A41))</f>
        <v>1</v>
      </c>
      <c r="I41" s="177" t="str">
        <f t="shared" si="3"/>
        <v/>
      </c>
    </row>
    <row r="42">
      <c r="A42" s="179" t="s">
        <v>201</v>
      </c>
      <c r="B42" s="174" t="str">
        <f>if($A42="","",COUNTIFS(Students!$A:$A,B$1,Students!$D:$D,$A42)+COUNTIFS(Students!$A:$A,B$1,Students!$F:$F,$A42)+COUNTIFS(Students!$A:$A,B$1,Students!$H:$H,$A42)+COUNTIFS(Students!$A:$A,B$1,Students!$J:$J,$A42)+COUNTIFS(Students!$A:$A,B$1,Students!$L:$L,$A42)+COUNTIFS(Students!$A:$A,B$1,Students!$N:$N,$A42)+COUNTIFS(Students!$A:$A,B$1,#REF!,$A42)+COUNTIFS(Students!$A:$A,B$1,#REF!,$A42)+COUNTIFS(Students!$A:$A,B$1,Students!$P:$P,$A42)+COUNTIFS(Students!$A:$A,B$1,Students!$R:$R,$A42))</f>
        <v>#VALUE!</v>
      </c>
      <c r="C42" s="174" t="str">
        <f>if($A42="","",COUNTIFS(Students!$A:$A,C$1,Students!$D:$D,$A42)+COUNTIFS(Students!$A:$A,C$1,Students!$F:$F,$A42)+COUNTIFS(Students!$A:$A,C$1,Students!$H:$H,$A42)+COUNTIFS(Students!$A:$A,C$1,Students!$J:$J,$A42)+COUNTIFS(Students!$A:$A,C$1,Students!$L:$L,$A42)+COUNTIFS(Students!$A:$A,C$1,Students!$N:$N,$A42)+COUNTIFS(Students!$A:$A,C$1,#REF!,$A42)+COUNTIFS(Students!$A:$A,C$1,#REF!,$A42)+COUNTIFS(Students!$A:$A,C$1,Students!$P:$P,$A42)+COUNTIFS(Students!$A:$A,C$1,Students!$R:$R,$A42))</f>
        <v>#VALUE!</v>
      </c>
      <c r="D42" s="174" t="str">
        <f>if($A42="","",COUNTIFS(Students!$A:$A,D$1,Students!$D:$D,$A42)+COUNTIFS(Students!$A:$A,D$1,Students!$F:$F,$A42)+COUNTIFS(Students!$A:$A,D$1,Students!$H:$H,$A42)+COUNTIFS(Students!$A:$A,D$1,Students!$J:$J,$A42)+COUNTIFS(Students!$A:$A,D$1,Students!$L:$L,$A42)+COUNTIFS(Students!$A:$A,D$1,Students!$N:$N,$A42)+COUNTIFS(Students!$A:$A,D$1,#REF!,$A42)+COUNTIFS(Students!$A:$A,D$1,#REF!,$A42)+COUNTIFS(Students!$A:$A,D$1,Students!$P:$P,$A42)+COUNTIFS(Students!$A:$A,D$1,Students!$R:$R,$A42))</f>
        <v>#VALUE!</v>
      </c>
      <c r="E42" s="175" t="str">
        <f t="shared" si="1"/>
        <v>#VALUE!</v>
      </c>
      <c r="F42" s="175">
        <f>if($A42="","",sumifs(Schedule!$O:$O,Schedule!$M:$M,$A42)+sumifs(Schedule!$R:$R,Schedule!$P:$P,$A42)+sumifs(Schedule!$U:$U,Schedule!$S:$S,$A42)+sumifs(Schedule!$X:$X,Schedule!$V:$V,$A42)+sumifs(Schedule!$AA:$AA,Schedule!$Y:$Y,$A42)+sumifs(Schedule!$AD:$AD,Schedule!$AB:$AB,$A42))</f>
        <v>121</v>
      </c>
      <c r="G42" s="175" t="str">
        <f t="shared" si="2"/>
        <v>#VALUE!</v>
      </c>
      <c r="H42" s="176">
        <f>if(A42="","",countifs(Schedule!M$1:AB618,A42))</f>
        <v>5</v>
      </c>
      <c r="I42" s="177" t="str">
        <f t="shared" si="3"/>
        <v/>
      </c>
    </row>
    <row r="43">
      <c r="A43" s="179" t="s">
        <v>202</v>
      </c>
      <c r="B43" s="174" t="str">
        <f>if($A43="","",COUNTIFS(Students!$A:$A,B$1,Students!$D:$D,$A43)+COUNTIFS(Students!$A:$A,B$1,Students!$F:$F,$A43)+COUNTIFS(Students!$A:$A,B$1,Students!$H:$H,$A43)+COUNTIFS(Students!$A:$A,B$1,Students!$J:$J,$A43)+COUNTIFS(Students!$A:$A,B$1,Students!$L:$L,$A43)+COUNTIFS(Students!$A:$A,B$1,Students!$N:$N,$A43)+COUNTIFS(Students!$A:$A,B$1,#REF!,$A43)+COUNTIFS(Students!$A:$A,B$1,#REF!,$A43)+COUNTIFS(Students!$A:$A,B$1,Students!$P:$P,$A43)+COUNTIFS(Students!$A:$A,B$1,Students!$R:$R,$A43))</f>
        <v>#VALUE!</v>
      </c>
      <c r="C43" s="174" t="str">
        <f>if($A43="","",COUNTIFS(Students!$A:$A,C$1,Students!$D:$D,$A43)+COUNTIFS(Students!$A:$A,C$1,Students!$F:$F,$A43)+COUNTIFS(Students!$A:$A,C$1,Students!$H:$H,$A43)+COUNTIFS(Students!$A:$A,C$1,Students!$J:$J,$A43)+COUNTIFS(Students!$A:$A,C$1,Students!$L:$L,$A43)+COUNTIFS(Students!$A:$A,C$1,Students!$N:$N,$A43)+COUNTIFS(Students!$A:$A,C$1,#REF!,$A43)+COUNTIFS(Students!$A:$A,C$1,#REF!,$A43)+COUNTIFS(Students!$A:$A,C$1,Students!$P:$P,$A43)+COUNTIFS(Students!$A:$A,C$1,Students!$R:$R,$A43))</f>
        <v>#VALUE!</v>
      </c>
      <c r="D43" s="174" t="str">
        <f>if($A43="","",COUNTIFS(Students!$A:$A,D$1,Students!$D:$D,$A43)+COUNTIFS(Students!$A:$A,D$1,Students!$F:$F,$A43)+COUNTIFS(Students!$A:$A,D$1,Students!$H:$H,$A43)+COUNTIFS(Students!$A:$A,D$1,Students!$J:$J,$A43)+COUNTIFS(Students!$A:$A,D$1,Students!$L:$L,$A43)+COUNTIFS(Students!$A:$A,D$1,Students!$N:$N,$A43)+COUNTIFS(Students!$A:$A,D$1,#REF!,$A43)+COUNTIFS(Students!$A:$A,D$1,#REF!,$A43)+COUNTIFS(Students!$A:$A,D$1,Students!$P:$P,$A43)+COUNTIFS(Students!$A:$A,D$1,Students!$R:$R,$A43))</f>
        <v>#VALUE!</v>
      </c>
      <c r="E43" s="175" t="str">
        <f t="shared" si="1"/>
        <v>#VALUE!</v>
      </c>
      <c r="F43" s="175">
        <f>if($A43="","",sumifs(Schedule!$O:$O,Schedule!$M:$M,$A43)+sumifs(Schedule!$R:$R,Schedule!$P:$P,$A43)+sumifs(Schedule!$U:$U,Schedule!$S:$S,$A43)+sumifs(Schedule!$X:$X,Schedule!$V:$V,$A43)+sumifs(Schedule!$AA:$AA,Schedule!$Y:$Y,$A43)+sumifs(Schedule!$AD:$AD,Schedule!$AB:$AB,$A43))</f>
        <v>19</v>
      </c>
      <c r="G43" s="175" t="str">
        <f t="shared" si="2"/>
        <v>#VALUE!</v>
      </c>
      <c r="H43" s="176">
        <f>if(A43="","",countifs(Schedule!M$1:AB618,A43))</f>
        <v>1</v>
      </c>
      <c r="I43" s="177" t="str">
        <f t="shared" si="3"/>
        <v/>
      </c>
    </row>
    <row r="44">
      <c r="A44" s="179" t="s">
        <v>142</v>
      </c>
      <c r="B44" s="174" t="str">
        <f>if($A44="","",COUNTIFS(Students!$A:$A,B$1,Students!$D:$D,$A44)+COUNTIFS(Students!$A:$A,B$1,Students!$F:$F,$A44)+COUNTIFS(Students!$A:$A,B$1,Students!$H:$H,$A44)+COUNTIFS(Students!$A:$A,B$1,Students!$J:$J,$A44)+COUNTIFS(Students!$A:$A,B$1,Students!$L:$L,$A44)+COUNTIFS(Students!$A:$A,B$1,Students!$N:$N,$A44)+COUNTIFS(Students!$A:$A,B$1,#REF!,$A44)+COUNTIFS(Students!$A:$A,B$1,#REF!,$A44)+COUNTIFS(Students!$A:$A,B$1,Students!$P:$P,$A44)+COUNTIFS(Students!$A:$A,B$1,Students!$R:$R,$A44))</f>
        <v>#VALUE!</v>
      </c>
      <c r="C44" s="174" t="str">
        <f>if($A44="","",COUNTIFS(Students!$A:$A,C$1,Students!$D:$D,$A44)+COUNTIFS(Students!$A:$A,C$1,Students!$F:$F,$A44)+COUNTIFS(Students!$A:$A,C$1,Students!$H:$H,$A44)+COUNTIFS(Students!$A:$A,C$1,Students!$J:$J,$A44)+COUNTIFS(Students!$A:$A,C$1,Students!$L:$L,$A44)+COUNTIFS(Students!$A:$A,C$1,Students!$N:$N,$A44)+COUNTIFS(Students!$A:$A,C$1,#REF!,$A44)+COUNTIFS(Students!$A:$A,C$1,#REF!,$A44)+COUNTIFS(Students!$A:$A,C$1,Students!$P:$P,$A44)+COUNTIFS(Students!$A:$A,C$1,Students!$R:$R,$A44))</f>
        <v>#VALUE!</v>
      </c>
      <c r="D44" s="174" t="str">
        <f>if($A44="","",COUNTIFS(Students!$A:$A,D$1,Students!$D:$D,$A44)+COUNTIFS(Students!$A:$A,D$1,Students!$F:$F,$A44)+COUNTIFS(Students!$A:$A,D$1,Students!$H:$H,$A44)+COUNTIFS(Students!$A:$A,D$1,Students!$J:$J,$A44)+COUNTIFS(Students!$A:$A,D$1,Students!$L:$L,$A44)+COUNTIFS(Students!$A:$A,D$1,Students!$N:$N,$A44)+COUNTIFS(Students!$A:$A,D$1,#REF!,$A44)+COUNTIFS(Students!$A:$A,D$1,#REF!,$A44)+COUNTIFS(Students!$A:$A,D$1,Students!$P:$P,$A44)+COUNTIFS(Students!$A:$A,D$1,Students!$R:$R,$A44))</f>
        <v>#VALUE!</v>
      </c>
      <c r="E44" s="175" t="str">
        <f t="shared" si="1"/>
        <v>#VALUE!</v>
      </c>
      <c r="F44" s="175">
        <f>if($A44="","",sumifs(Schedule!$O:$O,Schedule!$M:$M,$A44)+sumifs(Schedule!$R:$R,Schedule!$P:$P,$A44)+sumifs(Schedule!$U:$U,Schedule!$S:$S,$A44)+sumifs(Schedule!$X:$X,Schedule!$V:$V,$A44)+sumifs(Schedule!$AA:$AA,Schedule!$Y:$Y,$A44)+sumifs(Schedule!$AD:$AD,Schedule!$AB:$AB,$A44))</f>
        <v>52</v>
      </c>
      <c r="G44" s="175" t="str">
        <f t="shared" si="2"/>
        <v>#VALUE!</v>
      </c>
      <c r="H44" s="176">
        <f>if(A44="","",countifs(Schedule!M$1:AB618,A44))</f>
        <v>2</v>
      </c>
      <c r="I44" s="177" t="str">
        <f t="shared" si="3"/>
        <v/>
      </c>
    </row>
    <row r="45">
      <c r="A45" s="179" t="s">
        <v>134</v>
      </c>
      <c r="B45" s="174" t="str">
        <f>if($A45="","",COUNTIFS(Students!$A:$A,B$1,Students!$D:$D,$A45)+COUNTIFS(Students!$A:$A,B$1,Students!$F:$F,$A45)+COUNTIFS(Students!$A:$A,B$1,Students!$H:$H,$A45)+COUNTIFS(Students!$A:$A,B$1,Students!$J:$J,$A45)+COUNTIFS(Students!$A:$A,B$1,Students!$L:$L,$A45)+COUNTIFS(Students!$A:$A,B$1,Students!$N:$N,$A45)+COUNTIFS(Students!$A:$A,B$1,#REF!,$A45)+COUNTIFS(Students!$A:$A,B$1,#REF!,$A45)+COUNTIFS(Students!$A:$A,B$1,Students!$P:$P,$A45)+COUNTIFS(Students!$A:$A,B$1,Students!$R:$R,$A45))</f>
        <v>#VALUE!</v>
      </c>
      <c r="C45" s="174" t="str">
        <f>if($A45="","",COUNTIFS(Students!$A:$A,C$1,Students!$D:$D,$A45)+COUNTIFS(Students!$A:$A,C$1,Students!$F:$F,$A45)+COUNTIFS(Students!$A:$A,C$1,Students!$H:$H,$A45)+COUNTIFS(Students!$A:$A,C$1,Students!$J:$J,$A45)+COUNTIFS(Students!$A:$A,C$1,Students!$L:$L,$A45)+COUNTIFS(Students!$A:$A,C$1,Students!$N:$N,$A45)+COUNTIFS(Students!$A:$A,C$1,#REF!,$A45)+COUNTIFS(Students!$A:$A,C$1,#REF!,$A45)+COUNTIFS(Students!$A:$A,C$1,Students!$P:$P,$A45)+COUNTIFS(Students!$A:$A,C$1,Students!$R:$R,$A45))</f>
        <v>#VALUE!</v>
      </c>
      <c r="D45" s="174" t="str">
        <f>if($A45="","",COUNTIFS(Students!$A:$A,D$1,Students!$D:$D,$A45)+COUNTIFS(Students!$A:$A,D$1,Students!$F:$F,$A45)+COUNTIFS(Students!$A:$A,D$1,Students!$H:$H,$A45)+COUNTIFS(Students!$A:$A,D$1,Students!$J:$J,$A45)+COUNTIFS(Students!$A:$A,D$1,Students!$L:$L,$A45)+COUNTIFS(Students!$A:$A,D$1,Students!$N:$N,$A45)+COUNTIFS(Students!$A:$A,D$1,#REF!,$A45)+COUNTIFS(Students!$A:$A,D$1,#REF!,$A45)+COUNTIFS(Students!$A:$A,D$1,Students!$P:$P,$A45)+COUNTIFS(Students!$A:$A,D$1,Students!$R:$R,$A45))</f>
        <v>#VALUE!</v>
      </c>
      <c r="E45" s="175" t="str">
        <f t="shared" si="1"/>
        <v>#VALUE!</v>
      </c>
      <c r="F45" s="175">
        <f>if($A45="","",sumifs(Schedule!$O:$O,Schedule!$M:$M,$A45)+sumifs(Schedule!$R:$R,Schedule!$P:$P,$A45)+sumifs(Schedule!$U:$U,Schedule!$S:$S,$A45)+sumifs(Schedule!$X:$X,Schedule!$V:$V,$A45)+sumifs(Schedule!$AA:$AA,Schedule!$Y:$Y,$A45)+sumifs(Schedule!$AD:$AD,Schedule!$AB:$AB,$A45))</f>
        <v>95</v>
      </c>
      <c r="G45" s="175" t="str">
        <f t="shared" si="2"/>
        <v>#VALUE!</v>
      </c>
      <c r="H45" s="176">
        <f>if(A45="","",countifs(Schedule!M$1:AB618,A45))</f>
        <v>8</v>
      </c>
      <c r="I45" s="177" t="str">
        <f t="shared" si="3"/>
        <v/>
      </c>
    </row>
    <row r="46">
      <c r="A46" s="179" t="s">
        <v>133</v>
      </c>
      <c r="B46" s="174" t="str">
        <f>if($A46="","",COUNTIFS(Students!$A:$A,B$1,Students!$D:$D,$A46)+COUNTIFS(Students!$A:$A,B$1,Students!$F:$F,$A46)+COUNTIFS(Students!$A:$A,B$1,Students!$H:$H,$A46)+COUNTIFS(Students!$A:$A,B$1,Students!$J:$J,$A46)+COUNTIFS(Students!$A:$A,B$1,Students!$L:$L,$A46)+COUNTIFS(Students!$A:$A,B$1,Students!$N:$N,$A46)+COUNTIFS(Students!$A:$A,B$1,#REF!,$A46)+COUNTIFS(Students!$A:$A,B$1,#REF!,$A46)+COUNTIFS(Students!$A:$A,B$1,Students!$P:$P,$A46)+COUNTIFS(Students!$A:$A,B$1,Students!$R:$R,$A46))</f>
        <v>#VALUE!</v>
      </c>
      <c r="C46" s="174" t="str">
        <f>if($A46="","",COUNTIFS(Students!$A:$A,C$1,Students!$D:$D,$A46)+COUNTIFS(Students!$A:$A,C$1,Students!$F:$F,$A46)+COUNTIFS(Students!$A:$A,C$1,Students!$H:$H,$A46)+COUNTIFS(Students!$A:$A,C$1,Students!$J:$J,$A46)+COUNTIFS(Students!$A:$A,C$1,Students!$L:$L,$A46)+COUNTIFS(Students!$A:$A,C$1,Students!$N:$N,$A46)+COUNTIFS(Students!$A:$A,C$1,#REF!,$A46)+COUNTIFS(Students!$A:$A,C$1,#REF!,$A46)+COUNTIFS(Students!$A:$A,C$1,Students!$P:$P,$A46)+COUNTIFS(Students!$A:$A,C$1,Students!$R:$R,$A46))</f>
        <v>#VALUE!</v>
      </c>
      <c r="D46" s="174" t="str">
        <f>if($A46="","",COUNTIFS(Students!$A:$A,D$1,Students!$D:$D,$A46)+COUNTIFS(Students!$A:$A,D$1,Students!$F:$F,$A46)+COUNTIFS(Students!$A:$A,D$1,Students!$H:$H,$A46)+COUNTIFS(Students!$A:$A,D$1,Students!$J:$J,$A46)+COUNTIFS(Students!$A:$A,D$1,Students!$L:$L,$A46)+COUNTIFS(Students!$A:$A,D$1,Students!$N:$N,$A46)+COUNTIFS(Students!$A:$A,D$1,#REF!,$A46)+COUNTIFS(Students!$A:$A,D$1,#REF!,$A46)+COUNTIFS(Students!$A:$A,D$1,Students!$P:$P,$A46)+COUNTIFS(Students!$A:$A,D$1,Students!$R:$R,$A46))</f>
        <v>#VALUE!</v>
      </c>
      <c r="E46" s="175" t="str">
        <f t="shared" si="1"/>
        <v>#VALUE!</v>
      </c>
      <c r="F46" s="175">
        <f>if($A46="","",sumifs(Schedule!$O:$O,Schedule!$M:$M,$A46)+sumifs(Schedule!$R:$R,Schedule!$P:$P,$A46)+sumifs(Schedule!$U:$U,Schedule!$S:$S,$A46)+sumifs(Schedule!$X:$X,Schedule!$V:$V,$A46)+sumifs(Schedule!$AA:$AA,Schedule!$Y:$Y,$A46)+sumifs(Schedule!$AD:$AD,Schedule!$AB:$AB,$A46))</f>
        <v>66</v>
      </c>
      <c r="G46" s="175" t="str">
        <f t="shared" si="2"/>
        <v>#VALUE!</v>
      </c>
      <c r="H46" s="176">
        <f>if(A46="","",countifs(Schedule!M$1:AB618,A46))</f>
        <v>5</v>
      </c>
      <c r="I46" s="177" t="str">
        <f t="shared" si="3"/>
        <v/>
      </c>
    </row>
    <row r="47">
      <c r="A47" s="179" t="s">
        <v>135</v>
      </c>
      <c r="B47" s="174" t="str">
        <f>if($A47="","",COUNTIFS(Students!$A:$A,B$1,Students!$D:$D,$A47)+COUNTIFS(Students!$A:$A,B$1,Students!$F:$F,$A47)+COUNTIFS(Students!$A:$A,B$1,Students!$H:$H,$A47)+COUNTIFS(Students!$A:$A,B$1,Students!$J:$J,$A47)+COUNTIFS(Students!$A:$A,B$1,Students!$L:$L,$A47)+COUNTIFS(Students!$A:$A,B$1,Students!$N:$N,$A47)+COUNTIFS(Students!$A:$A,B$1,#REF!,$A47)+COUNTIFS(Students!$A:$A,B$1,#REF!,$A47)+COUNTIFS(Students!$A:$A,B$1,Students!$P:$P,$A47)+COUNTIFS(Students!$A:$A,B$1,Students!$R:$R,$A47))</f>
        <v>#VALUE!</v>
      </c>
      <c r="C47" s="174" t="str">
        <f>if($A47="","",COUNTIFS(Students!$A:$A,C$1,Students!$D:$D,$A47)+COUNTIFS(Students!$A:$A,C$1,Students!$F:$F,$A47)+COUNTIFS(Students!$A:$A,C$1,Students!$H:$H,$A47)+COUNTIFS(Students!$A:$A,C$1,Students!$J:$J,$A47)+COUNTIFS(Students!$A:$A,C$1,Students!$L:$L,$A47)+COUNTIFS(Students!$A:$A,C$1,Students!$N:$N,$A47)+COUNTIFS(Students!$A:$A,C$1,#REF!,$A47)+COUNTIFS(Students!$A:$A,C$1,#REF!,$A47)+COUNTIFS(Students!$A:$A,C$1,Students!$P:$P,$A47)+COUNTIFS(Students!$A:$A,C$1,Students!$R:$R,$A47))</f>
        <v>#VALUE!</v>
      </c>
      <c r="D47" s="174" t="str">
        <f>if($A47="","",COUNTIFS(Students!$A:$A,D$1,Students!$D:$D,$A47)+COUNTIFS(Students!$A:$A,D$1,Students!$F:$F,$A47)+COUNTIFS(Students!$A:$A,D$1,Students!$H:$H,$A47)+COUNTIFS(Students!$A:$A,D$1,Students!$J:$J,$A47)+COUNTIFS(Students!$A:$A,D$1,Students!$L:$L,$A47)+COUNTIFS(Students!$A:$A,D$1,Students!$N:$N,$A47)+COUNTIFS(Students!$A:$A,D$1,#REF!,$A47)+COUNTIFS(Students!$A:$A,D$1,#REF!,$A47)+COUNTIFS(Students!$A:$A,D$1,Students!$P:$P,$A47)+COUNTIFS(Students!$A:$A,D$1,Students!$R:$R,$A47))</f>
        <v>#VALUE!</v>
      </c>
      <c r="E47" s="175" t="str">
        <f t="shared" si="1"/>
        <v>#VALUE!</v>
      </c>
      <c r="F47" s="175">
        <f>if($A47="","",sumifs(Schedule!$O:$O,Schedule!$M:$M,$A47)+sumifs(Schedule!$R:$R,Schedule!$P:$P,$A47)+sumifs(Schedule!$U:$U,Schedule!$S:$S,$A47)+sumifs(Schedule!$X:$X,Schedule!$V:$V,$A47)+sumifs(Schedule!$AA:$AA,Schedule!$Y:$Y,$A47)+sumifs(Schedule!$AD:$AD,Schedule!$AB:$AB,$A47))</f>
        <v>45</v>
      </c>
      <c r="G47" s="175" t="str">
        <f t="shared" si="2"/>
        <v>#VALUE!</v>
      </c>
      <c r="H47" s="176">
        <f>if(A47="","",countifs(Schedule!M$1:AB618,A47))</f>
        <v>3</v>
      </c>
      <c r="I47" s="177" t="str">
        <f t="shared" si="3"/>
        <v/>
      </c>
    </row>
    <row r="48">
      <c r="A48" s="179" t="e">
        <v>#REF!</v>
      </c>
      <c r="B48" s="174" t="str">
        <f>if($A48="","",COUNTIFS(Students!$A:$A,B$1,Students!$D:$D,$A48)+COUNTIFS(Students!$A:$A,B$1,Students!$F:$F,$A48)+COUNTIFS(Students!$A:$A,B$1,Students!$H:$H,$A48)+COUNTIFS(Students!$A:$A,B$1,Students!$J:$J,$A48)+COUNTIFS(Students!$A:$A,B$1,Students!$L:$L,$A48)+COUNTIFS(Students!$A:$A,B$1,Students!$N:$N,$A48)+COUNTIFS(Students!$A:$A,B$1,#REF!,$A48)+COUNTIFS(Students!$A:$A,B$1,#REF!,$A48)+COUNTIFS(Students!$A:$A,B$1,Students!$P:$P,$A48)+COUNTIFS(Students!$A:$A,B$1,Students!$R:$R,$A48))</f>
        <v>#REF!</v>
      </c>
      <c r="C48" s="174" t="str">
        <f>if($A48="","",COUNTIFS(Students!$A:$A,C$1,Students!$D:$D,$A48)+COUNTIFS(Students!$A:$A,C$1,Students!$F:$F,$A48)+COUNTIFS(Students!$A:$A,C$1,Students!$H:$H,$A48)+COUNTIFS(Students!$A:$A,C$1,Students!$J:$J,$A48)+COUNTIFS(Students!$A:$A,C$1,Students!$L:$L,$A48)+COUNTIFS(Students!$A:$A,C$1,Students!$N:$N,$A48)+COUNTIFS(Students!$A:$A,C$1,#REF!,$A48)+COUNTIFS(Students!$A:$A,C$1,#REF!,$A48)+COUNTIFS(Students!$A:$A,C$1,Students!$P:$P,$A48)+COUNTIFS(Students!$A:$A,C$1,Students!$R:$R,$A48))</f>
        <v>#REF!</v>
      </c>
      <c r="D48" s="174" t="str">
        <f>if($A48="","",COUNTIFS(Students!$A:$A,D$1,Students!$D:$D,$A48)+COUNTIFS(Students!$A:$A,D$1,Students!$F:$F,$A48)+COUNTIFS(Students!$A:$A,D$1,Students!$H:$H,$A48)+COUNTIFS(Students!$A:$A,D$1,Students!$J:$J,$A48)+COUNTIFS(Students!$A:$A,D$1,Students!$L:$L,$A48)+COUNTIFS(Students!$A:$A,D$1,Students!$N:$N,$A48)+COUNTIFS(Students!$A:$A,D$1,#REF!,$A48)+COUNTIFS(Students!$A:$A,D$1,#REF!,$A48)+COUNTIFS(Students!$A:$A,D$1,Students!$P:$P,$A48)+COUNTIFS(Students!$A:$A,D$1,Students!$R:$R,$A48))</f>
        <v>#REF!</v>
      </c>
      <c r="E48" s="175" t="str">
        <f t="shared" si="1"/>
        <v>#REF!</v>
      </c>
      <c r="F48" s="175" t="str">
        <f>if($A48="","",sumifs(Schedule!$O:$O,Schedule!$M:$M,$A48)+sumifs(Schedule!$R:$R,Schedule!$P:$P,$A48)+sumifs(Schedule!$U:$U,Schedule!$S:$S,$A48)+sumifs(Schedule!$X:$X,Schedule!$V:$V,$A48)+sumifs(Schedule!$AA:$AA,Schedule!$Y:$Y,$A48)+sumifs(Schedule!$AD:$AD,Schedule!$AB:$AB,$A48))</f>
        <v>#REF!</v>
      </c>
      <c r="G48" s="175" t="str">
        <f t="shared" si="2"/>
        <v>#REF!</v>
      </c>
      <c r="H48" s="176" t="str">
        <f>if(A48="","",countifs(Schedule!M$1:AB618,A48))</f>
        <v>#REF!</v>
      </c>
      <c r="I48" s="177" t="str">
        <f t="shared" si="3"/>
        <v>#REF!</v>
      </c>
    </row>
    <row r="49">
      <c r="A49" s="179"/>
      <c r="B49" s="174" t="str">
        <f>if($A49="","",COUNTIFS(Students!$A:$A,B$1,Students!$D:$D,$A49)+COUNTIFS(Students!$A:$A,B$1,Students!$F:$F,$A49)+COUNTIFS(Students!$A:$A,B$1,Students!$H:$H,$A49)+COUNTIFS(Students!$A:$A,B$1,Students!$J:$J,$A49)+COUNTIFS(Students!$A:$A,B$1,Students!$L:$L,$A49)+COUNTIFS(Students!$A:$A,B$1,Students!$N:$N,$A49)+COUNTIFS(Students!$A:$A,B$1,#REF!,$A49)+COUNTIFS(Students!$A:$A,B$1,#REF!,$A49)+COUNTIFS(Students!$A:$A,B$1,Students!$P:$P,$A49)+COUNTIFS(Students!$A:$A,B$1,Students!$R:$R,$A49))</f>
        <v/>
      </c>
      <c r="C49" s="174" t="str">
        <f>if($A49="","",COUNTIFS(Students!$A:$A,C$1,Students!$D:$D,$A49)+COUNTIFS(Students!$A:$A,C$1,Students!$F:$F,$A49)+COUNTIFS(Students!$A:$A,C$1,Students!$H:$H,$A49)+COUNTIFS(Students!$A:$A,C$1,Students!$J:$J,$A49)+COUNTIFS(Students!$A:$A,C$1,Students!$L:$L,$A49)+COUNTIFS(Students!$A:$A,C$1,Students!$N:$N,$A49)+COUNTIFS(Students!$A:$A,C$1,#REF!,$A49)+COUNTIFS(Students!$A:$A,C$1,#REF!,$A49)+COUNTIFS(Students!$A:$A,C$1,Students!$P:$P,$A49)+COUNTIFS(Students!$A:$A,C$1,Students!$R:$R,$A49))</f>
        <v/>
      </c>
      <c r="D49" s="174" t="str">
        <f>if($A49="","",COUNTIFS(Students!$A:$A,D$1,Students!$D:$D,$A49)+COUNTIFS(Students!$A:$A,D$1,Students!$F:$F,$A49)+COUNTIFS(Students!$A:$A,D$1,Students!$H:$H,$A49)+COUNTIFS(Students!$A:$A,D$1,Students!$J:$J,$A49)+COUNTIFS(Students!$A:$A,D$1,Students!$L:$L,$A49)+COUNTIFS(Students!$A:$A,D$1,Students!$N:$N,$A49)+COUNTIFS(Students!$A:$A,D$1,#REF!,$A49)+COUNTIFS(Students!$A:$A,D$1,#REF!,$A49)+COUNTIFS(Students!$A:$A,D$1,Students!$P:$P,$A49)+COUNTIFS(Students!$A:$A,D$1,Students!$R:$R,$A49))</f>
        <v/>
      </c>
      <c r="E49" s="175" t="str">
        <f t="shared" si="1"/>
        <v/>
      </c>
      <c r="F49" s="175" t="str">
        <f>if($A49="","",sumifs(Schedule!$O:$O,Schedule!$M:$M,$A49)+sumifs(Schedule!$R:$R,Schedule!$P:$P,$A49)+sumifs(Schedule!$U:$U,Schedule!$S:$S,$A49)+sumifs(Schedule!$X:$X,Schedule!$V:$V,$A49)+sumifs(Schedule!$AA:$AA,Schedule!$Y:$Y,$A49)+sumifs(Schedule!$AD:$AD,Schedule!$AB:$AB,$A49))</f>
        <v/>
      </c>
      <c r="G49" s="175" t="str">
        <f t="shared" si="2"/>
        <v/>
      </c>
      <c r="H49" s="176" t="str">
        <f>if(A49="","",countifs(Schedule!M$1:AB618,A49))</f>
        <v/>
      </c>
      <c r="I49" s="177" t="str">
        <f t="shared" si="3"/>
        <v/>
      </c>
    </row>
    <row r="50">
      <c r="A50" s="179"/>
      <c r="B50" s="174" t="str">
        <f>if($A50="","",COUNTIFS(Students!$A:$A,B$1,Students!$D:$D,$A50)+COUNTIFS(Students!$A:$A,B$1,Students!$F:$F,$A50)+COUNTIFS(Students!$A:$A,B$1,Students!$H:$H,$A50)+COUNTIFS(Students!$A:$A,B$1,Students!$J:$J,$A50)+COUNTIFS(Students!$A:$A,B$1,Students!$L:$L,$A50)+COUNTIFS(Students!$A:$A,B$1,Students!$N:$N,$A50)+COUNTIFS(Students!$A:$A,B$1,#REF!,$A50)+COUNTIFS(Students!$A:$A,B$1,#REF!,$A50)+COUNTIFS(Students!$A:$A,B$1,Students!$P:$P,$A50)+COUNTIFS(Students!$A:$A,B$1,Students!$R:$R,$A50))</f>
        <v/>
      </c>
      <c r="C50" s="174" t="str">
        <f>if($A50="","",COUNTIFS(Students!$A:$A,C$1,Students!$D:$D,$A50)+COUNTIFS(Students!$A:$A,C$1,Students!$F:$F,$A50)+COUNTIFS(Students!$A:$A,C$1,Students!$H:$H,$A50)+COUNTIFS(Students!$A:$A,C$1,Students!$J:$J,$A50)+COUNTIFS(Students!$A:$A,C$1,Students!$L:$L,$A50)+COUNTIFS(Students!$A:$A,C$1,Students!$N:$N,$A50)+COUNTIFS(Students!$A:$A,C$1,#REF!,$A50)+COUNTIFS(Students!$A:$A,C$1,#REF!,$A50)+COUNTIFS(Students!$A:$A,C$1,Students!$P:$P,$A50)+COUNTIFS(Students!$A:$A,C$1,Students!$R:$R,$A50))</f>
        <v/>
      </c>
      <c r="D50" s="174" t="str">
        <f>if($A50="","",COUNTIFS(Students!$A:$A,D$1,Students!$D:$D,$A50)+COUNTIFS(Students!$A:$A,D$1,Students!$F:$F,$A50)+COUNTIFS(Students!$A:$A,D$1,Students!$H:$H,$A50)+COUNTIFS(Students!$A:$A,D$1,Students!$J:$J,$A50)+COUNTIFS(Students!$A:$A,D$1,Students!$L:$L,$A50)+COUNTIFS(Students!$A:$A,D$1,Students!$N:$N,$A50)+COUNTIFS(Students!$A:$A,D$1,#REF!,$A50)+COUNTIFS(Students!$A:$A,D$1,#REF!,$A50)+COUNTIFS(Students!$A:$A,D$1,Students!$P:$P,$A50)+COUNTIFS(Students!$A:$A,D$1,Students!$R:$R,$A50))</f>
        <v/>
      </c>
      <c r="E50" s="175" t="str">
        <f t="shared" si="1"/>
        <v/>
      </c>
      <c r="F50" s="175" t="str">
        <f>if($A50="","",sumifs(Schedule!$O:$O,Schedule!$M:$M,$A50)+sumifs(Schedule!$R:$R,Schedule!$P:$P,$A50)+sumifs(Schedule!$U:$U,Schedule!$S:$S,$A50)+sumifs(Schedule!$X:$X,Schedule!$V:$V,$A50)+sumifs(Schedule!$AA:$AA,Schedule!$Y:$Y,$A50)+sumifs(Schedule!$AD:$AD,Schedule!$AB:$AB,$A50))</f>
        <v/>
      </c>
      <c r="G50" s="175" t="str">
        <f t="shared" si="2"/>
        <v/>
      </c>
      <c r="H50" s="176" t="str">
        <f>if(A50="","",countifs(Schedule!M$1:AB618,A50))</f>
        <v/>
      </c>
      <c r="I50" s="177" t="str">
        <f t="shared" si="3"/>
        <v/>
      </c>
    </row>
    <row r="51">
      <c r="A51" s="179"/>
      <c r="B51" s="174" t="str">
        <f>if($A51="","",COUNTIFS(Students!$A:$A,B$1,Students!$D:$D,$A51)+COUNTIFS(Students!$A:$A,B$1,Students!$F:$F,$A51)+COUNTIFS(Students!$A:$A,B$1,Students!$H:$H,$A51)+COUNTIFS(Students!$A:$A,B$1,Students!$J:$J,$A51)+COUNTIFS(Students!$A:$A,B$1,Students!$L:$L,$A51)+COUNTIFS(Students!$A:$A,B$1,Students!$N:$N,$A51)+COUNTIFS(Students!$A:$A,B$1,#REF!,$A51)+COUNTIFS(Students!$A:$A,B$1,#REF!,$A51)+COUNTIFS(Students!$A:$A,B$1,Students!$P:$P,$A51)+COUNTIFS(Students!$A:$A,B$1,Students!$R:$R,$A51))</f>
        <v/>
      </c>
      <c r="C51" s="174" t="str">
        <f>if($A51="","",COUNTIFS(Students!$A:$A,C$1,Students!$D:$D,$A51)+COUNTIFS(Students!$A:$A,C$1,Students!$F:$F,$A51)+COUNTIFS(Students!$A:$A,C$1,Students!$H:$H,$A51)+COUNTIFS(Students!$A:$A,C$1,Students!$J:$J,$A51)+COUNTIFS(Students!$A:$A,C$1,Students!$L:$L,$A51)+COUNTIFS(Students!$A:$A,C$1,Students!$N:$N,$A51)+COUNTIFS(Students!$A:$A,C$1,#REF!,$A51)+COUNTIFS(Students!$A:$A,C$1,#REF!,$A51)+COUNTIFS(Students!$A:$A,C$1,Students!$P:$P,$A51)+COUNTIFS(Students!$A:$A,C$1,Students!$R:$R,$A51))</f>
        <v/>
      </c>
      <c r="D51" s="174" t="str">
        <f>if($A51="","",COUNTIFS(Students!$A:$A,D$1,Students!$D:$D,$A51)+COUNTIFS(Students!$A:$A,D$1,Students!$F:$F,$A51)+COUNTIFS(Students!$A:$A,D$1,Students!$H:$H,$A51)+COUNTIFS(Students!$A:$A,D$1,Students!$J:$J,$A51)+COUNTIFS(Students!$A:$A,D$1,Students!$L:$L,$A51)+COUNTIFS(Students!$A:$A,D$1,Students!$N:$N,$A51)+COUNTIFS(Students!$A:$A,D$1,#REF!,$A51)+COUNTIFS(Students!$A:$A,D$1,#REF!,$A51)+COUNTIFS(Students!$A:$A,D$1,Students!$P:$P,$A51)+COUNTIFS(Students!$A:$A,D$1,Students!$R:$R,$A51))</f>
        <v/>
      </c>
      <c r="E51" s="175" t="str">
        <f t="shared" si="1"/>
        <v/>
      </c>
      <c r="F51" s="175" t="str">
        <f>if($A51="","",sumifs(Schedule!$O:$O,Schedule!$M:$M,$A51)+sumifs(Schedule!$R:$R,Schedule!$P:$P,$A51)+sumifs(Schedule!$U:$U,Schedule!$S:$S,$A51)+sumifs(Schedule!$X:$X,Schedule!$V:$V,$A51)+sumifs(Schedule!$AA:$AA,Schedule!$Y:$Y,$A51)+sumifs(Schedule!$AD:$AD,Schedule!$AB:$AB,$A51))</f>
        <v/>
      </c>
      <c r="G51" s="175" t="str">
        <f t="shared" si="2"/>
        <v/>
      </c>
      <c r="H51" s="176" t="str">
        <f>if(A51="","",countifs(Schedule!M$1:AB618,A51))</f>
        <v/>
      </c>
      <c r="I51" s="177" t="str">
        <f t="shared" si="3"/>
        <v/>
      </c>
    </row>
    <row r="52">
      <c r="A52" s="179"/>
      <c r="B52" s="174" t="str">
        <f>if($A52="","",COUNTIFS(Students!$A:$A,B$1,Students!$D:$D,$A52)+COUNTIFS(Students!$A:$A,B$1,Students!$F:$F,$A52)+COUNTIFS(Students!$A:$A,B$1,Students!$H:$H,$A52)+COUNTIFS(Students!$A:$A,B$1,Students!$J:$J,$A52)+COUNTIFS(Students!$A:$A,B$1,Students!$L:$L,$A52)+COUNTIFS(Students!$A:$A,B$1,Students!$N:$N,$A52)+COUNTIFS(Students!$A:$A,B$1,#REF!,$A52)+COUNTIFS(Students!$A:$A,B$1,#REF!,$A52)+COUNTIFS(Students!$A:$A,B$1,Students!$P:$P,$A52)+COUNTIFS(Students!$A:$A,B$1,Students!$R:$R,$A52))</f>
        <v/>
      </c>
      <c r="C52" s="174" t="str">
        <f>if($A52="","",COUNTIFS(Students!$A:$A,C$1,Students!$D:$D,$A52)+COUNTIFS(Students!$A:$A,C$1,Students!$F:$F,$A52)+COUNTIFS(Students!$A:$A,C$1,Students!$H:$H,$A52)+COUNTIFS(Students!$A:$A,C$1,Students!$J:$J,$A52)+COUNTIFS(Students!$A:$A,C$1,Students!$L:$L,$A52)+COUNTIFS(Students!$A:$A,C$1,Students!$N:$N,$A52)+COUNTIFS(Students!$A:$A,C$1,#REF!,$A52)+COUNTIFS(Students!$A:$A,C$1,#REF!,$A52)+COUNTIFS(Students!$A:$A,C$1,Students!$P:$P,$A52)+COUNTIFS(Students!$A:$A,C$1,Students!$R:$R,$A52))</f>
        <v/>
      </c>
      <c r="D52" s="174" t="str">
        <f>if($A52="","",COUNTIFS(Students!$A:$A,D$1,Students!$D:$D,$A52)+COUNTIFS(Students!$A:$A,D$1,Students!$F:$F,$A52)+COUNTIFS(Students!$A:$A,D$1,Students!$H:$H,$A52)+COUNTIFS(Students!$A:$A,D$1,Students!$J:$J,$A52)+COUNTIFS(Students!$A:$A,D$1,Students!$L:$L,$A52)+COUNTIFS(Students!$A:$A,D$1,Students!$N:$N,$A52)+COUNTIFS(Students!$A:$A,D$1,#REF!,$A52)+COUNTIFS(Students!$A:$A,D$1,#REF!,$A52)+COUNTIFS(Students!$A:$A,D$1,Students!$P:$P,$A52)+COUNTIFS(Students!$A:$A,D$1,Students!$R:$R,$A52))</f>
        <v/>
      </c>
      <c r="E52" s="175" t="str">
        <f t="shared" si="1"/>
        <v/>
      </c>
      <c r="F52" s="175" t="str">
        <f>if($A52="","",sumifs(Schedule!$O:$O,Schedule!$M:$M,$A52)+sumifs(Schedule!$R:$R,Schedule!$P:$P,$A52)+sumifs(Schedule!$U:$U,Schedule!$S:$S,$A52)+sumifs(Schedule!$X:$X,Schedule!$V:$V,$A52)+sumifs(Schedule!$AA:$AA,Schedule!$Y:$Y,$A52)+sumifs(Schedule!$AD:$AD,Schedule!$AB:$AB,$A52))</f>
        <v/>
      </c>
      <c r="G52" s="175" t="str">
        <f t="shared" si="2"/>
        <v/>
      </c>
      <c r="H52" s="176" t="str">
        <f>if(A52="","",countifs(Schedule!M$1:AB618,A52))</f>
        <v/>
      </c>
      <c r="I52" s="177" t="str">
        <f t="shared" si="3"/>
        <v/>
      </c>
    </row>
    <row r="53">
      <c r="A53" s="179"/>
      <c r="B53" s="174" t="str">
        <f>if($A53="","",COUNTIFS(Students!$A:$A,B$1,Students!$D:$D,$A53)+COUNTIFS(Students!$A:$A,B$1,Students!$F:$F,$A53)+COUNTIFS(Students!$A:$A,B$1,Students!$H:$H,$A53)+COUNTIFS(Students!$A:$A,B$1,Students!$J:$J,$A53)+COUNTIFS(Students!$A:$A,B$1,Students!$L:$L,$A53)+COUNTIFS(Students!$A:$A,B$1,Students!$N:$N,$A53)+COUNTIFS(Students!$A:$A,B$1,#REF!,$A53)+COUNTIFS(Students!$A:$A,B$1,#REF!,$A53)+COUNTIFS(Students!$A:$A,B$1,Students!$P:$P,$A53)+COUNTIFS(Students!$A:$A,B$1,Students!$R:$R,$A53))</f>
        <v/>
      </c>
      <c r="C53" s="174" t="str">
        <f>if($A53="","",COUNTIFS(Students!$A:$A,C$1,Students!$D:$D,$A53)+COUNTIFS(Students!$A:$A,C$1,Students!$F:$F,$A53)+COUNTIFS(Students!$A:$A,C$1,Students!$H:$H,$A53)+COUNTIFS(Students!$A:$A,C$1,Students!$J:$J,$A53)+COUNTIFS(Students!$A:$A,C$1,Students!$L:$L,$A53)+COUNTIFS(Students!$A:$A,C$1,Students!$N:$N,$A53)+COUNTIFS(Students!$A:$A,C$1,#REF!,$A53)+COUNTIFS(Students!$A:$A,C$1,#REF!,$A53)+COUNTIFS(Students!$A:$A,C$1,Students!$P:$P,$A53)+COUNTIFS(Students!$A:$A,C$1,Students!$R:$R,$A53))</f>
        <v/>
      </c>
      <c r="D53" s="174" t="str">
        <f>if($A53="","",COUNTIFS(Students!$A:$A,D$1,Students!$D:$D,$A53)+COUNTIFS(Students!$A:$A,D$1,Students!$F:$F,$A53)+COUNTIFS(Students!$A:$A,D$1,Students!$H:$H,$A53)+COUNTIFS(Students!$A:$A,D$1,Students!$J:$J,$A53)+COUNTIFS(Students!$A:$A,D$1,Students!$L:$L,$A53)+COUNTIFS(Students!$A:$A,D$1,Students!$N:$N,$A53)+COUNTIFS(Students!$A:$A,D$1,#REF!,$A53)+COUNTIFS(Students!$A:$A,D$1,#REF!,$A53)+COUNTIFS(Students!$A:$A,D$1,Students!$P:$P,$A53)+COUNTIFS(Students!$A:$A,D$1,Students!$R:$R,$A53))</f>
        <v/>
      </c>
      <c r="E53" s="175" t="str">
        <f t="shared" si="1"/>
        <v/>
      </c>
      <c r="F53" s="175" t="str">
        <f>if($A53="","",sumifs(Schedule!$O:$O,Schedule!$M:$M,$A53)+sumifs(Schedule!$R:$R,Schedule!$P:$P,$A53)+sumifs(Schedule!$U:$U,Schedule!$S:$S,$A53)+sumifs(Schedule!$X:$X,Schedule!$V:$V,$A53)+sumifs(Schedule!$AA:$AA,Schedule!$Y:$Y,$A53)+sumifs(Schedule!$AD:$AD,Schedule!$AB:$AB,$A53))</f>
        <v/>
      </c>
      <c r="G53" s="175" t="str">
        <f t="shared" si="2"/>
        <v/>
      </c>
      <c r="H53" s="176" t="str">
        <f>if(A53="","",countifs(Schedule!M$1:AB618,A53))</f>
        <v/>
      </c>
      <c r="I53" s="177" t="str">
        <f t="shared" si="3"/>
        <v/>
      </c>
    </row>
    <row r="54">
      <c r="A54" s="179"/>
      <c r="B54" s="174" t="str">
        <f>if($A54="","",COUNTIFS(Students!$A:$A,B$1,Students!$D:$D,$A54)+COUNTIFS(Students!$A:$A,B$1,Students!$F:$F,$A54)+COUNTIFS(Students!$A:$A,B$1,Students!$H:$H,$A54)+COUNTIFS(Students!$A:$A,B$1,Students!$J:$J,$A54)+COUNTIFS(Students!$A:$A,B$1,Students!$L:$L,$A54)+COUNTIFS(Students!$A:$A,B$1,Students!$N:$N,$A54)+COUNTIFS(Students!$A:$A,B$1,#REF!,$A54)+COUNTIFS(Students!$A:$A,B$1,#REF!,$A54)+COUNTIFS(Students!$A:$A,B$1,Students!$P:$P,$A54)+COUNTIFS(Students!$A:$A,B$1,Students!$R:$R,$A54))</f>
        <v/>
      </c>
      <c r="C54" s="174" t="str">
        <f>if($A54="","",COUNTIFS(Students!$A:$A,C$1,Students!$D:$D,$A54)+COUNTIFS(Students!$A:$A,C$1,Students!$F:$F,$A54)+COUNTIFS(Students!$A:$A,C$1,Students!$H:$H,$A54)+COUNTIFS(Students!$A:$A,C$1,Students!$J:$J,$A54)+COUNTIFS(Students!$A:$A,C$1,Students!$L:$L,$A54)+COUNTIFS(Students!$A:$A,C$1,Students!$N:$N,$A54)+COUNTIFS(Students!$A:$A,C$1,#REF!,$A54)+COUNTIFS(Students!$A:$A,C$1,#REF!,$A54)+COUNTIFS(Students!$A:$A,C$1,Students!$P:$P,$A54)+COUNTIFS(Students!$A:$A,C$1,Students!$R:$R,$A54))</f>
        <v/>
      </c>
      <c r="D54" s="174" t="str">
        <f>if($A54="","",COUNTIFS(Students!$A:$A,D$1,Students!$D:$D,$A54)+COUNTIFS(Students!$A:$A,D$1,Students!$F:$F,$A54)+COUNTIFS(Students!$A:$A,D$1,Students!$H:$H,$A54)+COUNTIFS(Students!$A:$A,D$1,Students!$J:$J,$A54)+COUNTIFS(Students!$A:$A,D$1,Students!$L:$L,$A54)+COUNTIFS(Students!$A:$A,D$1,Students!$N:$N,$A54)+COUNTIFS(Students!$A:$A,D$1,#REF!,$A54)+COUNTIFS(Students!$A:$A,D$1,#REF!,$A54)+COUNTIFS(Students!$A:$A,D$1,Students!$P:$P,$A54)+COUNTIFS(Students!$A:$A,D$1,Students!$R:$R,$A54))</f>
        <v/>
      </c>
      <c r="E54" s="175" t="str">
        <f t="shared" si="1"/>
        <v/>
      </c>
      <c r="F54" s="175" t="str">
        <f>if($A54="","",sumifs(Schedule!$O:$O,Schedule!$M:$M,$A54)+sumifs(Schedule!$R:$R,Schedule!$P:$P,$A54)+sumifs(Schedule!$U:$U,Schedule!$S:$S,$A54)+sumifs(Schedule!$X:$X,Schedule!$V:$V,$A54)+sumifs(Schedule!$AA:$AA,Schedule!$Y:$Y,$A54)+sumifs(Schedule!$AD:$AD,Schedule!$AB:$AB,$A54))</f>
        <v/>
      </c>
      <c r="G54" s="175" t="str">
        <f t="shared" si="2"/>
        <v/>
      </c>
      <c r="H54" s="176" t="str">
        <f>if(A54="","",countifs(Schedule!M$1:AB618,A54))</f>
        <v/>
      </c>
      <c r="I54" s="177" t="str">
        <f t="shared" si="3"/>
        <v/>
      </c>
    </row>
    <row r="55">
      <c r="A55" s="179"/>
      <c r="B55" s="174" t="str">
        <f>if($A55="","",COUNTIFS(Students!$A:$A,B$1,Students!$D:$D,$A55)+COUNTIFS(Students!$A:$A,B$1,Students!$F:$F,$A55)+COUNTIFS(Students!$A:$A,B$1,Students!$H:$H,$A55)+COUNTIFS(Students!$A:$A,B$1,Students!$J:$J,$A55)+COUNTIFS(Students!$A:$A,B$1,Students!$L:$L,$A55)+COUNTIFS(Students!$A:$A,B$1,Students!$N:$N,$A55)+COUNTIFS(Students!$A:$A,B$1,#REF!,$A55)+COUNTIFS(Students!$A:$A,B$1,#REF!,$A55)+COUNTIFS(Students!$A:$A,B$1,Students!$P:$P,$A55)+COUNTIFS(Students!$A:$A,B$1,Students!$R:$R,$A55))</f>
        <v/>
      </c>
      <c r="C55" s="174" t="str">
        <f>if($A55="","",COUNTIFS(Students!$A:$A,C$1,Students!$D:$D,$A55)+COUNTIFS(Students!$A:$A,C$1,Students!$F:$F,$A55)+COUNTIFS(Students!$A:$A,C$1,Students!$H:$H,$A55)+COUNTIFS(Students!$A:$A,C$1,Students!$J:$J,$A55)+COUNTIFS(Students!$A:$A,C$1,Students!$L:$L,$A55)+COUNTIFS(Students!$A:$A,C$1,Students!$N:$N,$A55)+COUNTIFS(Students!$A:$A,C$1,#REF!,$A55)+COUNTIFS(Students!$A:$A,C$1,#REF!,$A55)+COUNTIFS(Students!$A:$A,C$1,Students!$P:$P,$A55)+COUNTIFS(Students!$A:$A,C$1,Students!$R:$R,$A55))</f>
        <v/>
      </c>
      <c r="D55" s="174" t="str">
        <f>if($A55="","",COUNTIFS(Students!$A:$A,D$1,Students!$D:$D,$A55)+COUNTIFS(Students!$A:$A,D$1,Students!$F:$F,$A55)+COUNTIFS(Students!$A:$A,D$1,Students!$H:$H,$A55)+COUNTIFS(Students!$A:$A,D$1,Students!$J:$J,$A55)+COUNTIFS(Students!$A:$A,D$1,Students!$L:$L,$A55)+COUNTIFS(Students!$A:$A,D$1,Students!$N:$N,$A55)+COUNTIFS(Students!$A:$A,D$1,#REF!,$A55)+COUNTIFS(Students!$A:$A,D$1,#REF!,$A55)+COUNTIFS(Students!$A:$A,D$1,Students!$P:$P,$A55)+COUNTIFS(Students!$A:$A,D$1,Students!$R:$R,$A55))</f>
        <v/>
      </c>
      <c r="E55" s="175" t="str">
        <f t="shared" si="1"/>
        <v/>
      </c>
      <c r="F55" s="175" t="str">
        <f>if($A55="","",sumifs(Schedule!$O:$O,Schedule!$M:$M,$A55)+sumifs(Schedule!$R:$R,Schedule!$P:$P,$A55)+sumifs(Schedule!$U:$U,Schedule!$S:$S,$A55)+sumifs(Schedule!$X:$X,Schedule!$V:$V,$A55)+sumifs(Schedule!$AA:$AA,Schedule!$Y:$Y,$A55)+sumifs(Schedule!$AD:$AD,Schedule!$AB:$AB,$A55))</f>
        <v/>
      </c>
      <c r="G55" s="175" t="str">
        <f t="shared" si="2"/>
        <v/>
      </c>
      <c r="H55" s="176" t="str">
        <f>if(A55="","",countifs(Schedule!M$1:AB618,A55))</f>
        <v/>
      </c>
      <c r="I55" s="177" t="str">
        <f t="shared" si="3"/>
        <v/>
      </c>
    </row>
    <row r="56">
      <c r="A56" s="179"/>
      <c r="B56" s="174" t="str">
        <f>if($A56="","",COUNTIFS(Students!$A:$A,B$1,Students!$D:$D,$A56)+COUNTIFS(Students!$A:$A,B$1,Students!$F:$F,$A56)+COUNTIFS(Students!$A:$A,B$1,Students!$H:$H,$A56)+COUNTIFS(Students!$A:$A,B$1,Students!$J:$J,$A56)+COUNTIFS(Students!$A:$A,B$1,Students!$L:$L,$A56)+COUNTIFS(Students!$A:$A,B$1,Students!$N:$N,$A56)+COUNTIFS(Students!$A:$A,B$1,#REF!,$A56)+COUNTIFS(Students!$A:$A,B$1,#REF!,$A56)+COUNTIFS(Students!$A:$A,B$1,Students!$P:$P,$A56)+COUNTIFS(Students!$A:$A,B$1,Students!$R:$R,$A56))</f>
        <v/>
      </c>
      <c r="C56" s="174" t="str">
        <f>if($A56="","",COUNTIFS(Students!$A:$A,C$1,Students!$D:$D,$A56)+COUNTIFS(Students!$A:$A,C$1,Students!$F:$F,$A56)+COUNTIFS(Students!$A:$A,C$1,Students!$H:$H,$A56)+COUNTIFS(Students!$A:$A,C$1,Students!$J:$J,$A56)+COUNTIFS(Students!$A:$A,C$1,Students!$L:$L,$A56)+COUNTIFS(Students!$A:$A,C$1,Students!$N:$N,$A56)+COUNTIFS(Students!$A:$A,C$1,#REF!,$A56)+COUNTIFS(Students!$A:$A,C$1,#REF!,$A56)+COUNTIFS(Students!$A:$A,C$1,Students!$P:$P,$A56)+COUNTIFS(Students!$A:$A,C$1,Students!$R:$R,$A56))</f>
        <v/>
      </c>
      <c r="D56" s="174" t="str">
        <f>if($A56="","",COUNTIFS(Students!$A:$A,D$1,Students!$D:$D,$A56)+COUNTIFS(Students!$A:$A,D$1,Students!$F:$F,$A56)+COUNTIFS(Students!$A:$A,D$1,Students!$H:$H,$A56)+COUNTIFS(Students!$A:$A,D$1,Students!$J:$J,$A56)+COUNTIFS(Students!$A:$A,D$1,Students!$L:$L,$A56)+COUNTIFS(Students!$A:$A,D$1,Students!$N:$N,$A56)+COUNTIFS(Students!$A:$A,D$1,#REF!,$A56)+COUNTIFS(Students!$A:$A,D$1,#REF!,$A56)+COUNTIFS(Students!$A:$A,D$1,Students!$P:$P,$A56)+COUNTIFS(Students!$A:$A,D$1,Students!$R:$R,$A56))</f>
        <v/>
      </c>
      <c r="E56" s="175" t="str">
        <f t="shared" si="1"/>
        <v/>
      </c>
      <c r="F56" s="175" t="str">
        <f>if($A56="","",sumifs(Schedule!$O:$O,Schedule!$M:$M,$A56)+sumifs(Schedule!$R:$R,Schedule!$P:$P,$A56)+sumifs(Schedule!$U:$U,Schedule!$S:$S,$A56)+sumifs(Schedule!$X:$X,Schedule!$V:$V,$A56)+sumifs(Schedule!$AA:$AA,Schedule!$Y:$Y,$A56)+sumifs(Schedule!$AD:$AD,Schedule!$AB:$AB,$A56))</f>
        <v/>
      </c>
      <c r="G56" s="175" t="str">
        <f t="shared" si="2"/>
        <v/>
      </c>
      <c r="H56" s="176" t="str">
        <f>if(A56="","",countifs(Schedule!M$1:AB618,A56))</f>
        <v/>
      </c>
      <c r="I56" s="177" t="str">
        <f t="shared" si="3"/>
        <v/>
      </c>
    </row>
    <row r="57">
      <c r="A57" s="179"/>
      <c r="B57" s="174" t="str">
        <f>if($A57="","",COUNTIFS(Students!$A:$A,B$1,Students!$D:$D,$A57)+COUNTIFS(Students!$A:$A,B$1,Students!$F:$F,$A57)+COUNTIFS(Students!$A:$A,B$1,Students!$H:$H,$A57)+COUNTIFS(Students!$A:$A,B$1,Students!$J:$J,$A57)+COUNTIFS(Students!$A:$A,B$1,Students!$L:$L,$A57)+COUNTIFS(Students!$A:$A,B$1,Students!$N:$N,$A57)+COUNTIFS(Students!$A:$A,B$1,#REF!,$A57)+COUNTIFS(Students!$A:$A,B$1,#REF!,$A57)+COUNTIFS(Students!$A:$A,B$1,Students!$P:$P,$A57)+COUNTIFS(Students!$A:$A,B$1,Students!$R:$R,$A57))</f>
        <v/>
      </c>
      <c r="C57" s="174" t="str">
        <f>if($A57="","",COUNTIFS(Students!$A:$A,C$1,Students!$D:$D,$A57)+COUNTIFS(Students!$A:$A,C$1,Students!$F:$F,$A57)+COUNTIFS(Students!$A:$A,C$1,Students!$H:$H,$A57)+COUNTIFS(Students!$A:$A,C$1,Students!$J:$J,$A57)+COUNTIFS(Students!$A:$A,C$1,Students!$L:$L,$A57)+COUNTIFS(Students!$A:$A,C$1,Students!$N:$N,$A57)+COUNTIFS(Students!$A:$A,C$1,#REF!,$A57)+COUNTIFS(Students!$A:$A,C$1,#REF!,$A57)+COUNTIFS(Students!$A:$A,C$1,Students!$P:$P,$A57)+COUNTIFS(Students!$A:$A,C$1,Students!$R:$R,$A57))</f>
        <v/>
      </c>
      <c r="D57" s="174" t="str">
        <f>if($A57="","",COUNTIFS(Students!$A:$A,D$1,Students!$D:$D,$A57)+COUNTIFS(Students!$A:$A,D$1,Students!$F:$F,$A57)+COUNTIFS(Students!$A:$A,D$1,Students!$H:$H,$A57)+COUNTIFS(Students!$A:$A,D$1,Students!$J:$J,$A57)+COUNTIFS(Students!$A:$A,D$1,Students!$L:$L,$A57)+COUNTIFS(Students!$A:$A,D$1,Students!$N:$N,$A57)+COUNTIFS(Students!$A:$A,D$1,#REF!,$A57)+COUNTIFS(Students!$A:$A,D$1,#REF!,$A57)+COUNTIFS(Students!$A:$A,D$1,Students!$P:$P,$A57)+COUNTIFS(Students!$A:$A,D$1,Students!$R:$R,$A57))</f>
        <v/>
      </c>
      <c r="E57" s="175" t="str">
        <f t="shared" si="1"/>
        <v/>
      </c>
      <c r="F57" s="175" t="str">
        <f>if($A57="","",sumifs(Schedule!$O:$O,Schedule!$M:$M,$A57)+sumifs(Schedule!$R:$R,Schedule!$P:$P,$A57)+sumifs(Schedule!$U:$U,Schedule!$S:$S,$A57)+sumifs(Schedule!$X:$X,Schedule!$V:$V,$A57)+sumifs(Schedule!$AA:$AA,Schedule!$Y:$Y,$A57)+sumifs(Schedule!$AD:$AD,Schedule!$AB:$AB,$A57))</f>
        <v/>
      </c>
      <c r="G57" s="175" t="str">
        <f t="shared" si="2"/>
        <v/>
      </c>
      <c r="H57" s="176" t="str">
        <f>if(A57="","",countifs(Schedule!M$1:AB618,A57))</f>
        <v/>
      </c>
      <c r="I57" s="177" t="str">
        <f t="shared" si="3"/>
        <v/>
      </c>
    </row>
    <row r="58">
      <c r="A58" s="179"/>
      <c r="B58" s="174" t="str">
        <f>if($A58="","",COUNTIFS(Students!$A:$A,B$1,Students!$D:$D,$A58)+COUNTIFS(Students!$A:$A,B$1,Students!$F:$F,$A58)+COUNTIFS(Students!$A:$A,B$1,Students!$H:$H,$A58)+COUNTIFS(Students!$A:$A,B$1,Students!$J:$J,$A58)+COUNTIFS(Students!$A:$A,B$1,Students!$L:$L,$A58)+COUNTIFS(Students!$A:$A,B$1,Students!$N:$N,$A58)+COUNTIFS(Students!$A:$A,B$1,#REF!,$A58)+COUNTIFS(Students!$A:$A,B$1,#REF!,$A58)+COUNTIFS(Students!$A:$A,B$1,Students!$P:$P,$A58)+COUNTIFS(Students!$A:$A,B$1,Students!$R:$R,$A58))</f>
        <v/>
      </c>
      <c r="C58" s="174" t="str">
        <f>if($A58="","",COUNTIFS(Students!$A:$A,C$1,Students!$D:$D,$A58)+COUNTIFS(Students!$A:$A,C$1,Students!$F:$F,$A58)+COUNTIFS(Students!$A:$A,C$1,Students!$H:$H,$A58)+COUNTIFS(Students!$A:$A,C$1,Students!$J:$J,$A58)+COUNTIFS(Students!$A:$A,C$1,Students!$L:$L,$A58)+COUNTIFS(Students!$A:$A,C$1,Students!$N:$N,$A58)+COUNTIFS(Students!$A:$A,C$1,#REF!,$A58)+COUNTIFS(Students!$A:$A,C$1,#REF!,$A58)+COUNTIFS(Students!$A:$A,C$1,Students!$P:$P,$A58)+COUNTIFS(Students!$A:$A,C$1,Students!$R:$R,$A58))</f>
        <v/>
      </c>
      <c r="D58" s="174" t="str">
        <f>if($A58="","",COUNTIFS(Students!$A:$A,D$1,Students!$D:$D,$A58)+COUNTIFS(Students!$A:$A,D$1,Students!$F:$F,$A58)+COUNTIFS(Students!$A:$A,D$1,Students!$H:$H,$A58)+COUNTIFS(Students!$A:$A,D$1,Students!$J:$J,$A58)+COUNTIFS(Students!$A:$A,D$1,Students!$L:$L,$A58)+COUNTIFS(Students!$A:$A,D$1,Students!$N:$N,$A58)+COUNTIFS(Students!$A:$A,D$1,#REF!,$A58)+COUNTIFS(Students!$A:$A,D$1,#REF!,$A58)+COUNTIFS(Students!$A:$A,D$1,Students!$P:$P,$A58)+COUNTIFS(Students!$A:$A,D$1,Students!$R:$R,$A58))</f>
        <v/>
      </c>
      <c r="E58" s="175" t="str">
        <f t="shared" si="1"/>
        <v/>
      </c>
      <c r="F58" s="175" t="str">
        <f>if($A58="","",sumifs(Schedule!$O:$O,Schedule!$M:$M,$A58)+sumifs(Schedule!$R:$R,Schedule!$P:$P,$A58)+sumifs(Schedule!$U:$U,Schedule!$S:$S,$A58)+sumifs(Schedule!$X:$X,Schedule!$V:$V,$A58)+sumifs(Schedule!$AA:$AA,Schedule!$Y:$Y,$A58)+sumifs(Schedule!$AD:$AD,Schedule!$AB:$AB,$A58))</f>
        <v/>
      </c>
      <c r="G58" s="175" t="str">
        <f t="shared" si="2"/>
        <v/>
      </c>
      <c r="H58" s="176" t="str">
        <f>if(A58="","",countifs(Schedule!M$1:AB618,A58))</f>
        <v/>
      </c>
      <c r="I58" s="177" t="str">
        <f t="shared" si="3"/>
        <v/>
      </c>
    </row>
    <row r="59">
      <c r="A59" s="179"/>
      <c r="B59" s="174" t="str">
        <f>if($A59="","",COUNTIFS(Students!$A:$A,B$1,Students!$D:$D,$A59)+COUNTIFS(Students!$A:$A,B$1,Students!$F:$F,$A59)+COUNTIFS(Students!$A:$A,B$1,Students!$H:$H,$A59)+COUNTIFS(Students!$A:$A,B$1,Students!$J:$J,$A59)+COUNTIFS(Students!$A:$A,B$1,Students!$L:$L,$A59)+COUNTIFS(Students!$A:$A,B$1,Students!$N:$N,$A59)+COUNTIFS(Students!$A:$A,B$1,#REF!,$A59)+COUNTIFS(Students!$A:$A,B$1,#REF!,$A59)+COUNTIFS(Students!$A:$A,B$1,Students!$P:$P,$A59)+COUNTIFS(Students!$A:$A,B$1,Students!$R:$R,$A59))</f>
        <v/>
      </c>
      <c r="C59" s="174" t="str">
        <f>if($A59="","",COUNTIFS(Students!$A:$A,C$1,Students!$D:$D,$A59)+COUNTIFS(Students!$A:$A,C$1,Students!$F:$F,$A59)+COUNTIFS(Students!$A:$A,C$1,Students!$H:$H,$A59)+COUNTIFS(Students!$A:$A,C$1,Students!$J:$J,$A59)+COUNTIFS(Students!$A:$A,C$1,Students!$L:$L,$A59)+COUNTIFS(Students!$A:$A,C$1,Students!$N:$N,$A59)+COUNTIFS(Students!$A:$A,C$1,#REF!,$A59)+COUNTIFS(Students!$A:$A,C$1,#REF!,$A59)+COUNTIFS(Students!$A:$A,C$1,Students!$P:$P,$A59)+COUNTIFS(Students!$A:$A,C$1,Students!$R:$R,$A59))</f>
        <v/>
      </c>
      <c r="D59" s="174" t="str">
        <f>if($A59="","",COUNTIFS(Students!$A:$A,D$1,Students!$D:$D,$A59)+COUNTIFS(Students!$A:$A,D$1,Students!$F:$F,$A59)+COUNTIFS(Students!$A:$A,D$1,Students!$H:$H,$A59)+COUNTIFS(Students!$A:$A,D$1,Students!$J:$J,$A59)+COUNTIFS(Students!$A:$A,D$1,Students!$L:$L,$A59)+COUNTIFS(Students!$A:$A,D$1,Students!$N:$N,$A59)+COUNTIFS(Students!$A:$A,D$1,#REF!,$A59)+COUNTIFS(Students!$A:$A,D$1,#REF!,$A59)+COUNTIFS(Students!$A:$A,D$1,Students!$P:$P,$A59)+COUNTIFS(Students!$A:$A,D$1,Students!$R:$R,$A59))</f>
        <v/>
      </c>
      <c r="E59" s="175" t="str">
        <f t="shared" si="1"/>
        <v/>
      </c>
      <c r="F59" s="175" t="str">
        <f>if($A59="","",sumifs(Schedule!$O:$O,Schedule!$M:$M,$A59)+sumifs(Schedule!$R:$R,Schedule!$P:$P,$A59)+sumifs(Schedule!$U:$U,Schedule!$S:$S,$A59)+sumifs(Schedule!$X:$X,Schedule!$V:$V,$A59)+sumifs(Schedule!$AA:$AA,Schedule!$Y:$Y,$A59)+sumifs(Schedule!$AD:$AD,Schedule!$AB:$AB,$A59))</f>
        <v/>
      </c>
      <c r="G59" s="175" t="str">
        <f t="shared" si="2"/>
        <v/>
      </c>
      <c r="H59" s="176" t="str">
        <f>if(A59="","",countifs(Schedule!M$1:AB618,A59))</f>
        <v/>
      </c>
      <c r="I59" s="177" t="str">
        <f t="shared" si="3"/>
        <v/>
      </c>
    </row>
    <row r="60">
      <c r="A60" s="179"/>
      <c r="B60" s="174" t="str">
        <f>if($A60="","",COUNTIFS(Students!$A:$A,B$1,Students!$D:$D,$A60)+COUNTIFS(Students!$A:$A,B$1,Students!$F:$F,$A60)+COUNTIFS(Students!$A:$A,B$1,Students!$H:$H,$A60)+COUNTIFS(Students!$A:$A,B$1,Students!$J:$J,$A60)+COUNTIFS(Students!$A:$A,B$1,Students!$L:$L,$A60)+COUNTIFS(Students!$A:$A,B$1,Students!$N:$N,$A60)+COUNTIFS(Students!$A:$A,B$1,#REF!,$A60)+COUNTIFS(Students!$A:$A,B$1,#REF!,$A60)+COUNTIFS(Students!$A:$A,B$1,Students!$P:$P,$A60)+COUNTIFS(Students!$A:$A,B$1,Students!$R:$R,$A60))</f>
        <v/>
      </c>
      <c r="C60" s="174" t="str">
        <f>if($A60="","",COUNTIFS(Students!$A:$A,C$1,Students!$D:$D,$A60)+COUNTIFS(Students!$A:$A,C$1,Students!$F:$F,$A60)+COUNTIFS(Students!$A:$A,C$1,Students!$H:$H,$A60)+COUNTIFS(Students!$A:$A,C$1,Students!$J:$J,$A60)+COUNTIFS(Students!$A:$A,C$1,Students!$L:$L,$A60)+COUNTIFS(Students!$A:$A,C$1,Students!$N:$N,$A60)+COUNTIFS(Students!$A:$A,C$1,#REF!,$A60)+COUNTIFS(Students!$A:$A,C$1,#REF!,$A60)+COUNTIFS(Students!$A:$A,C$1,Students!$P:$P,$A60)+COUNTIFS(Students!$A:$A,C$1,Students!$R:$R,$A60))</f>
        <v/>
      </c>
      <c r="D60" s="174" t="str">
        <f>if($A60="","",COUNTIFS(Students!$A:$A,D$1,Students!$D:$D,$A60)+COUNTIFS(Students!$A:$A,D$1,Students!$F:$F,$A60)+COUNTIFS(Students!$A:$A,D$1,Students!$H:$H,$A60)+COUNTIFS(Students!$A:$A,D$1,Students!$J:$J,$A60)+COUNTIFS(Students!$A:$A,D$1,Students!$L:$L,$A60)+COUNTIFS(Students!$A:$A,D$1,Students!$N:$N,$A60)+COUNTIFS(Students!$A:$A,D$1,#REF!,$A60)+COUNTIFS(Students!$A:$A,D$1,#REF!,$A60)+COUNTIFS(Students!$A:$A,D$1,Students!$P:$P,$A60)+COUNTIFS(Students!$A:$A,D$1,Students!$R:$R,$A60))</f>
        <v/>
      </c>
      <c r="E60" s="175" t="str">
        <f t="shared" si="1"/>
        <v/>
      </c>
      <c r="F60" s="175" t="str">
        <f>if($A60="","",sumifs(Schedule!$O:$O,Schedule!$M:$M,$A60)+sumifs(Schedule!$R:$R,Schedule!$P:$P,$A60)+sumifs(Schedule!$U:$U,Schedule!$S:$S,$A60)+sumifs(Schedule!$X:$X,Schedule!$V:$V,$A60)+sumifs(Schedule!$AA:$AA,Schedule!$Y:$Y,$A60)+sumifs(Schedule!$AD:$AD,Schedule!$AB:$AB,$A60))</f>
        <v/>
      </c>
      <c r="G60" s="175" t="str">
        <f t="shared" si="2"/>
        <v/>
      </c>
      <c r="H60" s="176" t="str">
        <f>if(A60="","",countifs(Schedule!M$1:AB618,A60))</f>
        <v/>
      </c>
      <c r="I60" s="177" t="str">
        <f t="shared" si="3"/>
        <v/>
      </c>
    </row>
    <row r="61">
      <c r="A61" s="179"/>
      <c r="B61" s="174" t="str">
        <f>if($A61="","",COUNTIFS(Students!$A:$A,B$1,Students!$D:$D,$A61)+COUNTIFS(Students!$A:$A,B$1,Students!$F:$F,$A61)+COUNTIFS(Students!$A:$A,B$1,Students!$H:$H,$A61)+COUNTIFS(Students!$A:$A,B$1,Students!$J:$J,$A61)+COUNTIFS(Students!$A:$A,B$1,Students!$L:$L,$A61)+COUNTIFS(Students!$A:$A,B$1,Students!$N:$N,$A61)+COUNTIFS(Students!$A:$A,B$1,#REF!,$A61)+COUNTIFS(Students!$A:$A,B$1,#REF!,$A61)+COUNTIFS(Students!$A:$A,B$1,Students!$P:$P,$A61)+COUNTIFS(Students!$A:$A,B$1,Students!$R:$R,$A61))</f>
        <v/>
      </c>
      <c r="C61" s="174" t="str">
        <f>if($A61="","",COUNTIFS(Students!$A:$A,C$1,Students!$D:$D,$A61)+COUNTIFS(Students!$A:$A,C$1,Students!$F:$F,$A61)+COUNTIFS(Students!$A:$A,C$1,Students!$H:$H,$A61)+COUNTIFS(Students!$A:$A,C$1,Students!$J:$J,$A61)+COUNTIFS(Students!$A:$A,C$1,Students!$L:$L,$A61)+COUNTIFS(Students!$A:$A,C$1,Students!$N:$N,$A61)+COUNTIFS(Students!$A:$A,C$1,#REF!,$A61)+COUNTIFS(Students!$A:$A,C$1,#REF!,$A61)+COUNTIFS(Students!$A:$A,C$1,Students!$P:$P,$A61)+COUNTIFS(Students!$A:$A,C$1,Students!$R:$R,$A61))</f>
        <v/>
      </c>
      <c r="D61" s="174" t="str">
        <f>if($A61="","",COUNTIFS(Students!$A:$A,D$1,Students!$D:$D,$A61)+COUNTIFS(Students!$A:$A,D$1,Students!$F:$F,$A61)+COUNTIFS(Students!$A:$A,D$1,Students!$H:$H,$A61)+COUNTIFS(Students!$A:$A,D$1,Students!$J:$J,$A61)+COUNTIFS(Students!$A:$A,D$1,Students!$L:$L,$A61)+COUNTIFS(Students!$A:$A,D$1,Students!$N:$N,$A61)+COUNTIFS(Students!$A:$A,D$1,#REF!,$A61)+COUNTIFS(Students!$A:$A,D$1,#REF!,$A61)+COUNTIFS(Students!$A:$A,D$1,Students!$P:$P,$A61)+COUNTIFS(Students!$A:$A,D$1,Students!$R:$R,$A61))</f>
        <v/>
      </c>
      <c r="E61" s="175" t="str">
        <f t="shared" si="1"/>
        <v/>
      </c>
      <c r="F61" s="175" t="str">
        <f>if($A61="","",sumifs(Schedule!$O:$O,Schedule!$M:$M,$A61)+sumifs(Schedule!$R:$R,Schedule!$P:$P,$A61)+sumifs(Schedule!$U:$U,Schedule!$S:$S,$A61)+sumifs(Schedule!$X:$X,Schedule!$V:$V,$A61)+sumifs(Schedule!$AA:$AA,Schedule!$Y:$Y,$A61)+sumifs(Schedule!$AD:$AD,Schedule!$AB:$AB,$A61))</f>
        <v/>
      </c>
      <c r="G61" s="175" t="str">
        <f t="shared" si="2"/>
        <v/>
      </c>
      <c r="H61" s="176" t="str">
        <f>if(A61="","",countifs(Schedule!M$1:AB618,A61))</f>
        <v/>
      </c>
      <c r="I61" s="177" t="str">
        <f t="shared" si="3"/>
        <v/>
      </c>
    </row>
    <row r="62">
      <c r="A62" s="179"/>
      <c r="B62" s="174" t="str">
        <f>if($A62="","",COUNTIFS(Students!$A:$A,B$1,Students!$D:$D,$A62)+COUNTIFS(Students!$A:$A,B$1,Students!$F:$F,$A62)+COUNTIFS(Students!$A:$A,B$1,Students!$H:$H,$A62)+COUNTIFS(Students!$A:$A,B$1,Students!$J:$J,$A62)+COUNTIFS(Students!$A:$A,B$1,Students!$L:$L,$A62)+COUNTIFS(Students!$A:$A,B$1,Students!$N:$N,$A62)+COUNTIFS(Students!$A:$A,B$1,#REF!,$A62)+COUNTIFS(Students!$A:$A,B$1,#REF!,$A62)+COUNTIFS(Students!$A:$A,B$1,Students!$P:$P,$A62)+COUNTIFS(Students!$A:$A,B$1,Students!$R:$R,$A62))</f>
        <v/>
      </c>
      <c r="C62" s="174" t="str">
        <f>if($A62="","",COUNTIFS(Students!$A:$A,C$1,Students!$D:$D,$A62)+COUNTIFS(Students!$A:$A,C$1,Students!$F:$F,$A62)+COUNTIFS(Students!$A:$A,C$1,Students!$H:$H,$A62)+COUNTIFS(Students!$A:$A,C$1,Students!$J:$J,$A62)+COUNTIFS(Students!$A:$A,C$1,Students!$L:$L,$A62)+COUNTIFS(Students!$A:$A,C$1,Students!$N:$N,$A62)+COUNTIFS(Students!$A:$A,C$1,#REF!,$A62)+COUNTIFS(Students!$A:$A,C$1,#REF!,$A62)+COUNTIFS(Students!$A:$A,C$1,Students!$P:$P,$A62)+COUNTIFS(Students!$A:$A,C$1,Students!$R:$R,$A62))</f>
        <v/>
      </c>
      <c r="D62" s="174" t="str">
        <f>if($A62="","",COUNTIFS(Students!$A:$A,D$1,Students!$D:$D,$A62)+COUNTIFS(Students!$A:$A,D$1,Students!$F:$F,$A62)+COUNTIFS(Students!$A:$A,D$1,Students!$H:$H,$A62)+COUNTIFS(Students!$A:$A,D$1,Students!$J:$J,$A62)+COUNTIFS(Students!$A:$A,D$1,Students!$L:$L,$A62)+COUNTIFS(Students!$A:$A,D$1,Students!$N:$N,$A62)+COUNTIFS(Students!$A:$A,D$1,#REF!,$A62)+COUNTIFS(Students!$A:$A,D$1,#REF!,$A62)+COUNTIFS(Students!$A:$A,D$1,Students!$P:$P,$A62)+COUNTIFS(Students!$A:$A,D$1,Students!$R:$R,$A62))</f>
        <v/>
      </c>
      <c r="E62" s="175" t="str">
        <f t="shared" si="1"/>
        <v/>
      </c>
      <c r="F62" s="175" t="str">
        <f>if($A62="","",sumifs(Schedule!$O:$O,Schedule!$M:$M,$A62)+sumifs(Schedule!$R:$R,Schedule!$P:$P,$A62)+sumifs(Schedule!$U:$U,Schedule!$S:$S,$A62)+sumifs(Schedule!$X:$X,Schedule!$V:$V,$A62)+sumifs(Schedule!$AA:$AA,Schedule!$Y:$Y,$A62)+sumifs(Schedule!$AD:$AD,Schedule!$AB:$AB,$A62))</f>
        <v/>
      </c>
      <c r="G62" s="175" t="str">
        <f t="shared" si="2"/>
        <v/>
      </c>
      <c r="H62" s="176" t="str">
        <f>if(A62="","",countifs(Schedule!M$1:AB618,A62))</f>
        <v/>
      </c>
      <c r="I62" s="177" t="str">
        <f t="shared" si="3"/>
        <v/>
      </c>
    </row>
    <row r="63">
      <c r="A63" s="179"/>
      <c r="B63" s="174" t="str">
        <f>if($A63="","",COUNTIFS(Students!$A:$A,B$1,Students!$D:$D,$A63)+COUNTIFS(Students!$A:$A,B$1,Students!$F:$F,$A63)+COUNTIFS(Students!$A:$A,B$1,Students!$H:$H,$A63)+COUNTIFS(Students!$A:$A,B$1,Students!$J:$J,$A63)+COUNTIFS(Students!$A:$A,B$1,Students!$L:$L,$A63)+COUNTIFS(Students!$A:$A,B$1,Students!$N:$N,$A63)+COUNTIFS(Students!$A:$A,B$1,#REF!,$A63)+COUNTIFS(Students!$A:$A,B$1,#REF!,$A63)+COUNTIFS(Students!$A:$A,B$1,Students!$P:$P,$A63)+COUNTIFS(Students!$A:$A,B$1,Students!$R:$R,$A63))</f>
        <v/>
      </c>
      <c r="C63" s="174" t="str">
        <f>if($A63="","",COUNTIFS(Students!$A:$A,C$1,Students!$D:$D,$A63)+COUNTIFS(Students!$A:$A,C$1,Students!$F:$F,$A63)+COUNTIFS(Students!$A:$A,C$1,Students!$H:$H,$A63)+COUNTIFS(Students!$A:$A,C$1,Students!$J:$J,$A63)+COUNTIFS(Students!$A:$A,C$1,Students!$L:$L,$A63)+COUNTIFS(Students!$A:$A,C$1,Students!$N:$N,$A63)+COUNTIFS(Students!$A:$A,C$1,#REF!,$A63)+COUNTIFS(Students!$A:$A,C$1,#REF!,$A63)+COUNTIFS(Students!$A:$A,C$1,Students!$P:$P,$A63)+COUNTIFS(Students!$A:$A,C$1,Students!$R:$R,$A63))</f>
        <v/>
      </c>
      <c r="D63" s="174" t="str">
        <f>if($A63="","",COUNTIFS(Students!$A:$A,D$1,Students!$D:$D,$A63)+COUNTIFS(Students!$A:$A,D$1,Students!$F:$F,$A63)+COUNTIFS(Students!$A:$A,D$1,Students!$H:$H,$A63)+COUNTIFS(Students!$A:$A,D$1,Students!$J:$J,$A63)+COUNTIFS(Students!$A:$A,D$1,Students!$L:$L,$A63)+COUNTIFS(Students!$A:$A,D$1,Students!$N:$N,$A63)+COUNTIFS(Students!$A:$A,D$1,#REF!,$A63)+COUNTIFS(Students!$A:$A,D$1,#REF!,$A63)+COUNTIFS(Students!$A:$A,D$1,Students!$P:$P,$A63)+COUNTIFS(Students!$A:$A,D$1,Students!$R:$R,$A63))</f>
        <v/>
      </c>
      <c r="E63" s="175" t="str">
        <f t="shared" si="1"/>
        <v/>
      </c>
      <c r="F63" s="175" t="str">
        <f>if($A63="","",sumifs(Schedule!$O:$O,Schedule!$M:$M,$A63)+sumifs(Schedule!$R:$R,Schedule!$P:$P,$A63)+sumifs(Schedule!$U:$U,Schedule!$S:$S,$A63)+sumifs(Schedule!$X:$X,Schedule!$V:$V,$A63)+sumifs(Schedule!$AA:$AA,Schedule!$Y:$Y,$A63)+sumifs(Schedule!$AD:$AD,Schedule!$AB:$AB,$A63))</f>
        <v/>
      </c>
      <c r="G63" s="175" t="str">
        <f t="shared" si="2"/>
        <v/>
      </c>
      <c r="H63" s="176" t="str">
        <f>if(A63="","",countifs(Schedule!M$1:AB618,A63))</f>
        <v/>
      </c>
      <c r="I63" s="177" t="str">
        <f t="shared" si="3"/>
        <v/>
      </c>
    </row>
    <row r="64">
      <c r="A64" s="179"/>
      <c r="B64" s="174" t="str">
        <f>if($A64="","",COUNTIFS(Students!$A:$A,B$1,Students!$D:$D,$A64)+COUNTIFS(Students!$A:$A,B$1,Students!$F:$F,$A64)+COUNTIFS(Students!$A:$A,B$1,Students!$H:$H,$A64)+COUNTIFS(Students!$A:$A,B$1,Students!$J:$J,$A64)+COUNTIFS(Students!$A:$A,B$1,Students!$L:$L,$A64)+COUNTIFS(Students!$A:$A,B$1,Students!$N:$N,$A64)+COUNTIFS(Students!$A:$A,B$1,#REF!,$A64)+COUNTIFS(Students!$A:$A,B$1,#REF!,$A64)+COUNTIFS(Students!$A:$A,B$1,Students!$P:$P,$A64)+COUNTIFS(Students!$A:$A,B$1,Students!$R:$R,$A64))</f>
        <v/>
      </c>
      <c r="C64" s="174" t="str">
        <f>if($A64="","",COUNTIFS(Students!$A:$A,C$1,Students!$D:$D,$A64)+COUNTIFS(Students!$A:$A,C$1,Students!$F:$F,$A64)+COUNTIFS(Students!$A:$A,C$1,Students!$H:$H,$A64)+COUNTIFS(Students!$A:$A,C$1,Students!$J:$J,$A64)+COUNTIFS(Students!$A:$A,C$1,Students!$L:$L,$A64)+COUNTIFS(Students!$A:$A,C$1,Students!$N:$N,$A64)+COUNTIFS(Students!$A:$A,C$1,#REF!,$A64)+COUNTIFS(Students!$A:$A,C$1,#REF!,$A64)+COUNTIFS(Students!$A:$A,C$1,Students!$P:$P,$A64)+COUNTIFS(Students!$A:$A,C$1,Students!$R:$R,$A64))</f>
        <v/>
      </c>
      <c r="D64" s="174" t="str">
        <f>if($A64="","",COUNTIFS(Students!$A:$A,D$1,Students!$D:$D,$A64)+COUNTIFS(Students!$A:$A,D$1,Students!$F:$F,$A64)+COUNTIFS(Students!$A:$A,D$1,Students!$H:$H,$A64)+COUNTIFS(Students!$A:$A,D$1,Students!$J:$J,$A64)+COUNTIFS(Students!$A:$A,D$1,Students!$L:$L,$A64)+COUNTIFS(Students!$A:$A,D$1,Students!$N:$N,$A64)+COUNTIFS(Students!$A:$A,D$1,#REF!,$A64)+COUNTIFS(Students!$A:$A,D$1,#REF!,$A64)+COUNTIFS(Students!$A:$A,D$1,Students!$P:$P,$A64)+COUNTIFS(Students!$A:$A,D$1,Students!$R:$R,$A64))</f>
        <v/>
      </c>
      <c r="E64" s="175" t="str">
        <f t="shared" si="1"/>
        <v/>
      </c>
      <c r="F64" s="175" t="str">
        <f>if($A64="","",sumifs(Schedule!$O:$O,Schedule!$M:$M,$A64)+sumifs(Schedule!$R:$R,Schedule!$P:$P,$A64)+sumifs(Schedule!$U:$U,Schedule!$S:$S,$A64)+sumifs(Schedule!$X:$X,Schedule!$V:$V,$A64)+sumifs(Schedule!$AA:$AA,Schedule!$Y:$Y,$A64)+sumifs(Schedule!$AD:$AD,Schedule!$AB:$AB,$A64))</f>
        <v/>
      </c>
      <c r="G64" s="175" t="str">
        <f t="shared" si="2"/>
        <v/>
      </c>
      <c r="H64" s="176" t="str">
        <f>if(A64="","",countifs(Schedule!M$1:AB618,A64))</f>
        <v/>
      </c>
      <c r="I64" s="177" t="str">
        <f t="shared" si="3"/>
        <v/>
      </c>
    </row>
    <row r="65">
      <c r="A65" s="179"/>
      <c r="B65" s="174" t="str">
        <f>if($A65="","",COUNTIFS(Students!$A:$A,B$1,Students!$D:$D,$A65)+COUNTIFS(Students!$A:$A,B$1,Students!$F:$F,$A65)+COUNTIFS(Students!$A:$A,B$1,Students!$H:$H,$A65)+COUNTIFS(Students!$A:$A,B$1,Students!$J:$J,$A65)+COUNTIFS(Students!$A:$A,B$1,Students!$L:$L,$A65)+COUNTIFS(Students!$A:$A,B$1,Students!$N:$N,$A65)+COUNTIFS(Students!$A:$A,B$1,#REF!,$A65)+COUNTIFS(Students!$A:$A,B$1,#REF!,$A65)+COUNTIFS(Students!$A:$A,B$1,Students!$P:$P,$A65)+COUNTIFS(Students!$A:$A,B$1,Students!$R:$R,$A65))</f>
        <v/>
      </c>
      <c r="C65" s="174" t="str">
        <f>if($A65="","",COUNTIFS(Students!$A:$A,C$1,Students!$D:$D,$A65)+COUNTIFS(Students!$A:$A,C$1,Students!$F:$F,$A65)+COUNTIFS(Students!$A:$A,C$1,Students!$H:$H,$A65)+COUNTIFS(Students!$A:$A,C$1,Students!$J:$J,$A65)+COUNTIFS(Students!$A:$A,C$1,Students!$L:$L,$A65)+COUNTIFS(Students!$A:$A,C$1,Students!$N:$N,$A65)+COUNTIFS(Students!$A:$A,C$1,#REF!,$A65)+COUNTIFS(Students!$A:$A,C$1,#REF!,$A65)+COUNTIFS(Students!$A:$A,C$1,Students!$P:$P,$A65)+COUNTIFS(Students!$A:$A,C$1,Students!$R:$R,$A65))</f>
        <v/>
      </c>
      <c r="D65" s="174" t="str">
        <f>if($A65="","",COUNTIFS(Students!$A:$A,D$1,Students!$D:$D,$A65)+COUNTIFS(Students!$A:$A,D$1,Students!$F:$F,$A65)+COUNTIFS(Students!$A:$A,D$1,Students!$H:$H,$A65)+COUNTIFS(Students!$A:$A,D$1,Students!$J:$J,$A65)+COUNTIFS(Students!$A:$A,D$1,Students!$L:$L,$A65)+COUNTIFS(Students!$A:$A,D$1,Students!$N:$N,$A65)+COUNTIFS(Students!$A:$A,D$1,#REF!,$A65)+COUNTIFS(Students!$A:$A,D$1,#REF!,$A65)+COUNTIFS(Students!$A:$A,D$1,Students!$P:$P,$A65)+COUNTIFS(Students!$A:$A,D$1,Students!$R:$R,$A65))</f>
        <v/>
      </c>
      <c r="E65" s="175" t="str">
        <f t="shared" si="1"/>
        <v/>
      </c>
      <c r="F65" s="175" t="str">
        <f>if($A65="","",sumifs(Schedule!$O:$O,Schedule!$M:$M,$A65)+sumifs(Schedule!$R:$R,Schedule!$P:$P,$A65)+sumifs(Schedule!$U:$U,Schedule!$S:$S,$A65)+sumifs(Schedule!$X:$X,Schedule!$V:$V,$A65)+sumifs(Schedule!$AA:$AA,Schedule!$Y:$Y,$A65)+sumifs(Schedule!$AD:$AD,Schedule!$AB:$AB,$A65))</f>
        <v/>
      </c>
      <c r="G65" s="175" t="str">
        <f t="shared" si="2"/>
        <v/>
      </c>
      <c r="H65" s="176" t="str">
        <f>if(A65="","",countifs(Schedule!M$1:AB618,A65))</f>
        <v/>
      </c>
      <c r="I65" s="177" t="str">
        <f t="shared" si="3"/>
        <v/>
      </c>
    </row>
    <row r="66">
      <c r="A66" s="179"/>
      <c r="B66" s="174" t="str">
        <f>if($A66="","",COUNTIFS(Students!$A:$A,B$1,Students!$D:$D,$A66)+COUNTIFS(Students!$A:$A,B$1,Students!$F:$F,$A66)+COUNTIFS(Students!$A:$A,B$1,Students!$H:$H,$A66)+COUNTIFS(Students!$A:$A,B$1,Students!$J:$J,$A66)+COUNTIFS(Students!$A:$A,B$1,Students!$L:$L,$A66)+COUNTIFS(Students!$A:$A,B$1,Students!$N:$N,$A66)+COUNTIFS(Students!$A:$A,B$1,#REF!,$A66)+COUNTIFS(Students!$A:$A,B$1,#REF!,$A66)+COUNTIFS(Students!$A:$A,B$1,Students!$P:$P,$A66)+COUNTIFS(Students!$A:$A,B$1,Students!$R:$R,$A66))</f>
        <v/>
      </c>
      <c r="C66" s="174" t="str">
        <f>if($A66="","",COUNTIFS(Students!$A:$A,C$1,Students!$D:$D,$A66)+COUNTIFS(Students!$A:$A,C$1,Students!$F:$F,$A66)+COUNTIFS(Students!$A:$A,C$1,Students!$H:$H,$A66)+COUNTIFS(Students!$A:$A,C$1,Students!$J:$J,$A66)+COUNTIFS(Students!$A:$A,C$1,Students!$L:$L,$A66)+COUNTIFS(Students!$A:$A,C$1,Students!$N:$N,$A66)+COUNTIFS(Students!$A:$A,C$1,#REF!,$A66)+COUNTIFS(Students!$A:$A,C$1,#REF!,$A66)+COUNTIFS(Students!$A:$A,C$1,Students!$P:$P,$A66)+COUNTIFS(Students!$A:$A,C$1,Students!$R:$R,$A66))</f>
        <v/>
      </c>
      <c r="D66" s="174" t="str">
        <f>if($A66="","",COUNTIFS(Students!$A:$A,D$1,Students!$D:$D,$A66)+COUNTIFS(Students!$A:$A,D$1,Students!$F:$F,$A66)+COUNTIFS(Students!$A:$A,D$1,Students!$H:$H,$A66)+COUNTIFS(Students!$A:$A,D$1,Students!$J:$J,$A66)+COUNTIFS(Students!$A:$A,D$1,Students!$L:$L,$A66)+COUNTIFS(Students!$A:$A,D$1,Students!$N:$N,$A66)+COUNTIFS(Students!$A:$A,D$1,#REF!,$A66)+COUNTIFS(Students!$A:$A,D$1,#REF!,$A66)+COUNTIFS(Students!$A:$A,D$1,Students!$P:$P,$A66)+COUNTIFS(Students!$A:$A,D$1,Students!$R:$R,$A66))</f>
        <v/>
      </c>
      <c r="E66" s="175" t="str">
        <f t="shared" si="1"/>
        <v/>
      </c>
      <c r="F66" s="175" t="str">
        <f>if($A66="","",sumifs(Schedule!$O:$O,Schedule!$M:$M,$A66)+sumifs(Schedule!$R:$R,Schedule!$P:$P,$A66)+sumifs(Schedule!$U:$U,Schedule!$S:$S,$A66)+sumifs(Schedule!$X:$X,Schedule!$V:$V,$A66)+sumifs(Schedule!$AA:$AA,Schedule!$Y:$Y,$A66)+sumifs(Schedule!$AD:$AD,Schedule!$AB:$AB,$A66))</f>
        <v/>
      </c>
      <c r="G66" s="175" t="str">
        <f t="shared" si="2"/>
        <v/>
      </c>
      <c r="H66" s="176" t="str">
        <f>if(A66="","",countifs(Schedule!M$1:AB618,A66))</f>
        <v/>
      </c>
      <c r="I66" s="177" t="str">
        <f t="shared" si="3"/>
        <v/>
      </c>
    </row>
    <row r="67">
      <c r="A67" s="179"/>
      <c r="B67" s="174" t="str">
        <f>if($A67="","",COUNTIFS(Students!$A:$A,B$1,Students!$D:$D,$A67)+COUNTIFS(Students!$A:$A,B$1,Students!$F:$F,$A67)+COUNTIFS(Students!$A:$A,B$1,Students!$H:$H,$A67)+COUNTIFS(Students!$A:$A,B$1,Students!$J:$J,$A67)+COUNTIFS(Students!$A:$A,B$1,Students!$L:$L,$A67)+COUNTIFS(Students!$A:$A,B$1,Students!$N:$N,$A67)+COUNTIFS(Students!$A:$A,B$1,#REF!,$A67)+COUNTIFS(Students!$A:$A,B$1,#REF!,$A67)+COUNTIFS(Students!$A:$A,B$1,Students!$P:$P,$A67)+COUNTIFS(Students!$A:$A,B$1,Students!$R:$R,$A67))</f>
        <v/>
      </c>
      <c r="C67" s="174" t="str">
        <f>if($A67="","",COUNTIFS(Students!$A:$A,C$1,Students!$D:$D,$A67)+COUNTIFS(Students!$A:$A,C$1,Students!$F:$F,$A67)+COUNTIFS(Students!$A:$A,C$1,Students!$H:$H,$A67)+COUNTIFS(Students!$A:$A,C$1,Students!$J:$J,$A67)+COUNTIFS(Students!$A:$A,C$1,Students!$L:$L,$A67)+COUNTIFS(Students!$A:$A,C$1,Students!$N:$N,$A67)+COUNTIFS(Students!$A:$A,C$1,#REF!,$A67)+COUNTIFS(Students!$A:$A,C$1,#REF!,$A67)+COUNTIFS(Students!$A:$A,C$1,Students!$P:$P,$A67)+COUNTIFS(Students!$A:$A,C$1,Students!$R:$R,$A67))</f>
        <v/>
      </c>
      <c r="D67" s="174" t="str">
        <f>if($A67="","",COUNTIFS(Students!$A:$A,D$1,Students!$D:$D,$A67)+COUNTIFS(Students!$A:$A,D$1,Students!$F:$F,$A67)+COUNTIFS(Students!$A:$A,D$1,Students!$H:$H,$A67)+COUNTIFS(Students!$A:$A,D$1,Students!$J:$J,$A67)+COUNTIFS(Students!$A:$A,D$1,Students!$L:$L,$A67)+COUNTIFS(Students!$A:$A,D$1,Students!$N:$N,$A67)+COUNTIFS(Students!$A:$A,D$1,#REF!,$A67)+COUNTIFS(Students!$A:$A,D$1,#REF!,$A67)+COUNTIFS(Students!$A:$A,D$1,Students!$P:$P,$A67)+COUNTIFS(Students!$A:$A,D$1,Students!$R:$R,$A67))</f>
        <v/>
      </c>
      <c r="E67" s="175" t="str">
        <f t="shared" si="1"/>
        <v/>
      </c>
      <c r="F67" s="175" t="str">
        <f>if($A67="","",sumifs(Schedule!$O:$O,Schedule!$M:$M,$A67)+sumifs(Schedule!$R:$R,Schedule!$P:$P,$A67)+sumifs(Schedule!$U:$U,Schedule!$S:$S,$A67)+sumifs(Schedule!$X:$X,Schedule!$V:$V,$A67)+sumifs(Schedule!$AA:$AA,Schedule!$Y:$Y,$A67)+sumifs(Schedule!$AD:$AD,Schedule!$AB:$AB,$A67))</f>
        <v/>
      </c>
      <c r="G67" s="175" t="str">
        <f t="shared" si="2"/>
        <v/>
      </c>
      <c r="H67" s="176" t="str">
        <f>if(A67="","",countifs(Schedule!M$1:AB618,A67))</f>
        <v/>
      </c>
      <c r="I67" s="177" t="str">
        <f t="shared" si="3"/>
        <v/>
      </c>
    </row>
    <row r="68">
      <c r="A68" s="179"/>
      <c r="B68" s="174" t="str">
        <f>if($A68="","",COUNTIFS(Students!$A:$A,B$1,Students!$D:$D,$A68)+COUNTIFS(Students!$A:$A,B$1,Students!$F:$F,$A68)+COUNTIFS(Students!$A:$A,B$1,Students!$H:$H,$A68)+COUNTIFS(Students!$A:$A,B$1,Students!$J:$J,$A68)+COUNTIFS(Students!$A:$A,B$1,Students!$L:$L,$A68)+COUNTIFS(Students!$A:$A,B$1,Students!$N:$N,$A68)+COUNTIFS(Students!$A:$A,B$1,#REF!,$A68)+COUNTIFS(Students!$A:$A,B$1,#REF!,$A68)+COUNTIFS(Students!$A:$A,B$1,Students!$P:$P,$A68)+COUNTIFS(Students!$A:$A,B$1,Students!$R:$R,$A68))</f>
        <v/>
      </c>
      <c r="C68" s="174" t="str">
        <f>if($A68="","",COUNTIFS(Students!$A:$A,C$1,Students!$D:$D,$A68)+COUNTIFS(Students!$A:$A,C$1,Students!$F:$F,$A68)+COUNTIFS(Students!$A:$A,C$1,Students!$H:$H,$A68)+COUNTIFS(Students!$A:$A,C$1,Students!$J:$J,$A68)+COUNTIFS(Students!$A:$A,C$1,Students!$L:$L,$A68)+COUNTIFS(Students!$A:$A,C$1,Students!$N:$N,$A68)+COUNTIFS(Students!$A:$A,C$1,#REF!,$A68)+COUNTIFS(Students!$A:$A,C$1,#REF!,$A68)+COUNTIFS(Students!$A:$A,C$1,Students!$P:$P,$A68)+COUNTIFS(Students!$A:$A,C$1,Students!$R:$R,$A68))</f>
        <v/>
      </c>
      <c r="D68" s="174" t="str">
        <f>if($A68="","",COUNTIFS(Students!$A:$A,D$1,Students!$D:$D,$A68)+COUNTIFS(Students!$A:$A,D$1,Students!$F:$F,$A68)+COUNTIFS(Students!$A:$A,D$1,Students!$H:$H,$A68)+COUNTIFS(Students!$A:$A,D$1,Students!$J:$J,$A68)+COUNTIFS(Students!$A:$A,D$1,Students!$L:$L,$A68)+COUNTIFS(Students!$A:$A,D$1,Students!$N:$N,$A68)+COUNTIFS(Students!$A:$A,D$1,#REF!,$A68)+COUNTIFS(Students!$A:$A,D$1,#REF!,$A68)+COUNTIFS(Students!$A:$A,D$1,Students!$P:$P,$A68)+COUNTIFS(Students!$A:$A,D$1,Students!$R:$R,$A68))</f>
        <v/>
      </c>
      <c r="E68" s="175" t="str">
        <f t="shared" si="1"/>
        <v/>
      </c>
      <c r="F68" s="175" t="str">
        <f>if($A68="","",sumifs(Schedule!$O:$O,Schedule!$M:$M,$A68)+sumifs(Schedule!$R:$R,Schedule!$P:$P,$A68)+sumifs(Schedule!$U:$U,Schedule!$S:$S,$A68)+sumifs(Schedule!$X:$X,Schedule!$V:$V,$A68)+sumifs(Schedule!$AA:$AA,Schedule!$Y:$Y,$A68)+sumifs(Schedule!$AD:$AD,Schedule!$AB:$AB,$A68))</f>
        <v/>
      </c>
      <c r="G68" s="175" t="str">
        <f t="shared" si="2"/>
        <v/>
      </c>
      <c r="H68" s="176" t="str">
        <f>if(A68="","",countifs(Schedule!M$1:AB618,A68))</f>
        <v/>
      </c>
      <c r="I68" s="177" t="str">
        <f t="shared" si="3"/>
        <v/>
      </c>
    </row>
    <row r="69">
      <c r="A69" s="179"/>
      <c r="B69" s="174" t="str">
        <f>if($A69="","",COUNTIFS(Students!$A:$A,B$1,Students!$D:$D,$A69)+COUNTIFS(Students!$A:$A,B$1,Students!$F:$F,$A69)+COUNTIFS(Students!$A:$A,B$1,Students!$H:$H,$A69)+COUNTIFS(Students!$A:$A,B$1,Students!$J:$J,$A69)+COUNTIFS(Students!$A:$A,B$1,Students!$L:$L,$A69)+COUNTIFS(Students!$A:$A,B$1,Students!$N:$N,$A69)+COUNTIFS(Students!$A:$A,B$1,#REF!,$A69)+COUNTIFS(Students!$A:$A,B$1,#REF!,$A69)+COUNTIFS(Students!$A:$A,B$1,Students!$P:$P,$A69)+COUNTIFS(Students!$A:$A,B$1,Students!$R:$R,$A69))</f>
        <v/>
      </c>
      <c r="C69" s="174" t="str">
        <f>if($A69="","",COUNTIFS(Students!$A:$A,C$1,Students!$D:$D,$A69)+COUNTIFS(Students!$A:$A,C$1,Students!$F:$F,$A69)+COUNTIFS(Students!$A:$A,C$1,Students!$H:$H,$A69)+COUNTIFS(Students!$A:$A,C$1,Students!$J:$J,$A69)+COUNTIFS(Students!$A:$A,C$1,Students!$L:$L,$A69)+COUNTIFS(Students!$A:$A,C$1,Students!$N:$N,$A69)+COUNTIFS(Students!$A:$A,C$1,#REF!,$A69)+COUNTIFS(Students!$A:$A,C$1,#REF!,$A69)+COUNTIFS(Students!$A:$A,C$1,Students!$P:$P,$A69)+COUNTIFS(Students!$A:$A,C$1,Students!$R:$R,$A69))</f>
        <v/>
      </c>
      <c r="D69" s="174" t="str">
        <f>if($A69="","",COUNTIFS(Students!$A:$A,D$1,Students!$D:$D,$A69)+COUNTIFS(Students!$A:$A,D$1,Students!$F:$F,$A69)+COUNTIFS(Students!$A:$A,D$1,Students!$H:$H,$A69)+COUNTIFS(Students!$A:$A,D$1,Students!$J:$J,$A69)+COUNTIFS(Students!$A:$A,D$1,Students!$L:$L,$A69)+COUNTIFS(Students!$A:$A,D$1,Students!$N:$N,$A69)+COUNTIFS(Students!$A:$A,D$1,#REF!,$A69)+COUNTIFS(Students!$A:$A,D$1,#REF!,$A69)+COUNTIFS(Students!$A:$A,D$1,Students!$P:$P,$A69)+COUNTIFS(Students!$A:$A,D$1,Students!$R:$R,$A69))</f>
        <v/>
      </c>
      <c r="E69" s="175" t="str">
        <f t="shared" si="1"/>
        <v/>
      </c>
      <c r="F69" s="175" t="str">
        <f>if($A69="","",sumifs(Schedule!$O:$O,Schedule!$M:$M,$A69)+sumifs(Schedule!$R:$R,Schedule!$P:$P,$A69)+sumifs(Schedule!$U:$U,Schedule!$S:$S,$A69)+sumifs(Schedule!$X:$X,Schedule!$V:$V,$A69)+sumifs(Schedule!$AA:$AA,Schedule!$Y:$Y,$A69)+sumifs(Schedule!$AD:$AD,Schedule!$AB:$AB,$A69))</f>
        <v/>
      </c>
      <c r="G69" s="175" t="str">
        <f t="shared" si="2"/>
        <v/>
      </c>
      <c r="H69" s="176" t="str">
        <f>if(A69="","",countifs(Schedule!M$1:AB618,A69))</f>
        <v/>
      </c>
      <c r="I69" s="177" t="str">
        <f t="shared" si="3"/>
        <v/>
      </c>
    </row>
    <row r="70">
      <c r="A70" s="179"/>
      <c r="B70" s="174" t="str">
        <f>if($A70="","",COUNTIFS(Students!$A:$A,B$1,Students!$D:$D,$A70)+COUNTIFS(Students!$A:$A,B$1,Students!$F:$F,$A70)+COUNTIFS(Students!$A:$A,B$1,Students!$H:$H,$A70)+COUNTIFS(Students!$A:$A,B$1,Students!$J:$J,$A70)+COUNTIFS(Students!$A:$A,B$1,Students!$L:$L,$A70)+COUNTIFS(Students!$A:$A,B$1,Students!$N:$N,$A70)+COUNTIFS(Students!$A:$A,B$1,#REF!,$A70)+COUNTIFS(Students!$A:$A,B$1,#REF!,$A70)+COUNTIFS(Students!$A:$A,B$1,Students!$P:$P,$A70)+COUNTIFS(Students!$A:$A,B$1,Students!$R:$R,$A70))</f>
        <v/>
      </c>
      <c r="C70" s="174" t="str">
        <f>if($A70="","",COUNTIFS(Students!$A:$A,C$1,Students!$D:$D,$A70)+COUNTIFS(Students!$A:$A,C$1,Students!$F:$F,$A70)+COUNTIFS(Students!$A:$A,C$1,Students!$H:$H,$A70)+COUNTIFS(Students!$A:$A,C$1,Students!$J:$J,$A70)+COUNTIFS(Students!$A:$A,C$1,Students!$L:$L,$A70)+COUNTIFS(Students!$A:$A,C$1,Students!$N:$N,$A70)+COUNTIFS(Students!$A:$A,C$1,#REF!,$A70)+COUNTIFS(Students!$A:$A,C$1,#REF!,$A70)+COUNTIFS(Students!$A:$A,C$1,Students!$P:$P,$A70)+COUNTIFS(Students!$A:$A,C$1,Students!$R:$R,$A70))</f>
        <v/>
      </c>
      <c r="D70" s="174" t="str">
        <f>if($A70="","",COUNTIFS(Students!$A:$A,D$1,Students!$D:$D,$A70)+COUNTIFS(Students!$A:$A,D$1,Students!$F:$F,$A70)+COUNTIFS(Students!$A:$A,D$1,Students!$H:$H,$A70)+COUNTIFS(Students!$A:$A,D$1,Students!$J:$J,$A70)+COUNTIFS(Students!$A:$A,D$1,Students!$L:$L,$A70)+COUNTIFS(Students!$A:$A,D$1,Students!$N:$N,$A70)+COUNTIFS(Students!$A:$A,D$1,#REF!,$A70)+COUNTIFS(Students!$A:$A,D$1,#REF!,$A70)+COUNTIFS(Students!$A:$A,D$1,Students!$P:$P,$A70)+COUNTIFS(Students!$A:$A,D$1,Students!$R:$R,$A70))</f>
        <v/>
      </c>
      <c r="E70" s="175" t="str">
        <f t="shared" si="1"/>
        <v/>
      </c>
      <c r="F70" s="175" t="str">
        <f>if($A70="","",sumifs(Schedule!$O:$O,Schedule!$M:$M,$A70)+sumifs(Schedule!$R:$R,Schedule!$P:$P,$A70)+sumifs(Schedule!$U:$U,Schedule!$S:$S,$A70)+sumifs(Schedule!$X:$X,Schedule!$V:$V,$A70)+sumifs(Schedule!$AA:$AA,Schedule!$Y:$Y,$A70)+sumifs(Schedule!$AD:$AD,Schedule!$AB:$AB,$A70))</f>
        <v/>
      </c>
      <c r="G70" s="175" t="str">
        <f t="shared" si="2"/>
        <v/>
      </c>
      <c r="H70" s="176" t="str">
        <f>if(A70="","",countifs(Schedule!M$1:AB618,A70))</f>
        <v/>
      </c>
      <c r="I70" s="177" t="str">
        <f t="shared" si="3"/>
        <v/>
      </c>
    </row>
    <row r="71">
      <c r="A71" s="179"/>
      <c r="B71" s="174" t="str">
        <f>if($A71="","",COUNTIFS(Students!$A:$A,B$1,Students!$D:$D,$A71)+COUNTIFS(Students!$A:$A,B$1,Students!$F:$F,$A71)+COUNTIFS(Students!$A:$A,B$1,Students!$H:$H,$A71)+COUNTIFS(Students!$A:$A,B$1,Students!$J:$J,$A71)+COUNTIFS(Students!$A:$A,B$1,Students!$L:$L,$A71)+COUNTIFS(Students!$A:$A,B$1,Students!$N:$N,$A71)+COUNTIFS(Students!$A:$A,B$1,#REF!,$A71)+COUNTIFS(Students!$A:$A,B$1,#REF!,$A71)+COUNTIFS(Students!$A:$A,B$1,Students!$P:$P,$A71)+COUNTIFS(Students!$A:$A,B$1,Students!$R:$R,$A71))</f>
        <v/>
      </c>
      <c r="C71" s="174" t="str">
        <f>if($A71="","",COUNTIFS(Students!$A:$A,C$1,Students!$D:$D,$A71)+COUNTIFS(Students!$A:$A,C$1,Students!$F:$F,$A71)+COUNTIFS(Students!$A:$A,C$1,Students!$H:$H,$A71)+COUNTIFS(Students!$A:$A,C$1,Students!$J:$J,$A71)+COUNTIFS(Students!$A:$A,C$1,Students!$L:$L,$A71)+COUNTIFS(Students!$A:$A,C$1,Students!$N:$N,$A71)+COUNTIFS(Students!$A:$A,C$1,#REF!,$A71)+COUNTIFS(Students!$A:$A,C$1,#REF!,$A71)+COUNTIFS(Students!$A:$A,C$1,Students!$P:$P,$A71)+COUNTIFS(Students!$A:$A,C$1,Students!$R:$R,$A71))</f>
        <v/>
      </c>
      <c r="D71" s="174" t="str">
        <f>if($A71="","",COUNTIFS(Students!$A:$A,D$1,Students!$D:$D,$A71)+COUNTIFS(Students!$A:$A,D$1,Students!$F:$F,$A71)+COUNTIFS(Students!$A:$A,D$1,Students!$H:$H,$A71)+COUNTIFS(Students!$A:$A,D$1,Students!$J:$J,$A71)+COUNTIFS(Students!$A:$A,D$1,Students!$L:$L,$A71)+COUNTIFS(Students!$A:$A,D$1,Students!$N:$N,$A71)+COUNTIFS(Students!$A:$A,D$1,#REF!,$A71)+COUNTIFS(Students!$A:$A,D$1,#REF!,$A71)+COUNTIFS(Students!$A:$A,D$1,Students!$P:$P,$A71)+COUNTIFS(Students!$A:$A,D$1,Students!$R:$R,$A71))</f>
        <v/>
      </c>
      <c r="E71" s="175" t="str">
        <f t="shared" si="1"/>
        <v/>
      </c>
      <c r="F71" s="175" t="str">
        <f>if($A71="","",sumifs(Schedule!$O:$O,Schedule!$M:$M,$A71)+sumifs(Schedule!$R:$R,Schedule!$P:$P,$A71)+sumifs(Schedule!$U:$U,Schedule!$S:$S,$A71)+sumifs(Schedule!$X:$X,Schedule!$V:$V,$A71)+sumifs(Schedule!$AA:$AA,Schedule!$Y:$Y,$A71)+sumifs(Schedule!$AD:$AD,Schedule!$AB:$AB,$A71))</f>
        <v/>
      </c>
      <c r="G71" s="175" t="str">
        <f t="shared" si="2"/>
        <v/>
      </c>
      <c r="H71" s="176" t="str">
        <f>if(A71="","",countifs(Schedule!M$1:AB618,A71))</f>
        <v/>
      </c>
      <c r="I71" s="177" t="str">
        <f t="shared" si="3"/>
        <v/>
      </c>
    </row>
    <row r="72">
      <c r="A72" s="179"/>
      <c r="B72" s="174" t="str">
        <f>if($A72="","",COUNTIFS(Students!$A:$A,B$1,Students!$D:$D,$A72)+COUNTIFS(Students!$A:$A,B$1,Students!$F:$F,$A72)+COUNTIFS(Students!$A:$A,B$1,Students!$H:$H,$A72)+COUNTIFS(Students!$A:$A,B$1,Students!$J:$J,$A72)+COUNTIFS(Students!$A:$A,B$1,Students!$L:$L,$A72)+COUNTIFS(Students!$A:$A,B$1,Students!$N:$N,$A72)+COUNTIFS(Students!$A:$A,B$1,#REF!,$A72)+COUNTIFS(Students!$A:$A,B$1,#REF!,$A72)+COUNTIFS(Students!$A:$A,B$1,Students!$P:$P,$A72)+COUNTIFS(Students!$A:$A,B$1,Students!$R:$R,$A72))</f>
        <v/>
      </c>
      <c r="C72" s="174" t="str">
        <f>if($A72="","",COUNTIFS(Students!$A:$A,C$1,Students!$D:$D,$A72)+COUNTIFS(Students!$A:$A,C$1,Students!$F:$F,$A72)+COUNTIFS(Students!$A:$A,C$1,Students!$H:$H,$A72)+COUNTIFS(Students!$A:$A,C$1,Students!$J:$J,$A72)+COUNTIFS(Students!$A:$A,C$1,Students!$L:$L,$A72)+COUNTIFS(Students!$A:$A,C$1,Students!$N:$N,$A72)+COUNTIFS(Students!$A:$A,C$1,#REF!,$A72)+COUNTIFS(Students!$A:$A,C$1,#REF!,$A72)+COUNTIFS(Students!$A:$A,C$1,Students!$P:$P,$A72)+COUNTIFS(Students!$A:$A,C$1,Students!$R:$R,$A72))</f>
        <v/>
      </c>
      <c r="D72" s="174" t="str">
        <f>if($A72="","",COUNTIFS(Students!$A:$A,D$1,Students!$D:$D,$A72)+COUNTIFS(Students!$A:$A,D$1,Students!$F:$F,$A72)+COUNTIFS(Students!$A:$A,D$1,Students!$H:$H,$A72)+COUNTIFS(Students!$A:$A,D$1,Students!$J:$J,$A72)+COUNTIFS(Students!$A:$A,D$1,Students!$L:$L,$A72)+COUNTIFS(Students!$A:$A,D$1,Students!$N:$N,$A72)+COUNTIFS(Students!$A:$A,D$1,#REF!,$A72)+COUNTIFS(Students!$A:$A,D$1,#REF!,$A72)+COUNTIFS(Students!$A:$A,D$1,Students!$P:$P,$A72)+COUNTIFS(Students!$A:$A,D$1,Students!$R:$R,$A72))</f>
        <v/>
      </c>
      <c r="E72" s="175" t="str">
        <f t="shared" si="1"/>
        <v/>
      </c>
      <c r="F72" s="175" t="str">
        <f>if($A72="","",sumifs(Schedule!$O:$O,Schedule!$M:$M,$A72)+sumifs(Schedule!$R:$R,Schedule!$P:$P,$A72)+sumifs(Schedule!$U:$U,Schedule!$S:$S,$A72)+sumifs(Schedule!$X:$X,Schedule!$V:$V,$A72)+sumifs(Schedule!$AA:$AA,Schedule!$Y:$Y,$A72)+sumifs(Schedule!$AD:$AD,Schedule!$AB:$AB,$A72))</f>
        <v/>
      </c>
      <c r="G72" s="175" t="str">
        <f t="shared" si="2"/>
        <v/>
      </c>
      <c r="H72" s="176" t="str">
        <f>if(A72="","",countifs(Schedule!M$1:AB618,A72))</f>
        <v/>
      </c>
      <c r="I72" s="177" t="str">
        <f t="shared" si="3"/>
        <v/>
      </c>
    </row>
    <row r="73">
      <c r="A73" s="179"/>
      <c r="B73" s="174" t="str">
        <f>if($A73="","",COUNTIFS(Students!$A:$A,B$1,Students!$D:$D,$A73)+COUNTIFS(Students!$A:$A,B$1,Students!$F:$F,$A73)+COUNTIFS(Students!$A:$A,B$1,Students!$H:$H,$A73)+COUNTIFS(Students!$A:$A,B$1,Students!$J:$J,$A73)+COUNTIFS(Students!$A:$A,B$1,Students!$L:$L,$A73)+COUNTIFS(Students!$A:$A,B$1,Students!$N:$N,$A73)+COUNTIFS(Students!$A:$A,B$1,#REF!,$A73)+COUNTIFS(Students!$A:$A,B$1,#REF!,$A73)+COUNTIFS(Students!$A:$A,B$1,Students!$P:$P,$A73)+COUNTIFS(Students!$A:$A,B$1,Students!$R:$R,$A73))</f>
        <v/>
      </c>
      <c r="C73" s="174" t="str">
        <f>if($A73="","",COUNTIFS(Students!$A:$A,C$1,Students!$D:$D,$A73)+COUNTIFS(Students!$A:$A,C$1,Students!$F:$F,$A73)+COUNTIFS(Students!$A:$A,C$1,Students!$H:$H,$A73)+COUNTIFS(Students!$A:$A,C$1,Students!$J:$J,$A73)+COUNTIFS(Students!$A:$A,C$1,Students!$L:$L,$A73)+COUNTIFS(Students!$A:$A,C$1,Students!$N:$N,$A73)+COUNTIFS(Students!$A:$A,C$1,#REF!,$A73)+COUNTIFS(Students!$A:$A,C$1,#REF!,$A73)+COUNTIFS(Students!$A:$A,C$1,Students!$P:$P,$A73)+COUNTIFS(Students!$A:$A,C$1,Students!$R:$R,$A73))</f>
        <v/>
      </c>
      <c r="D73" s="174" t="str">
        <f>if($A73="","",COUNTIFS(Students!$A:$A,D$1,Students!$D:$D,$A73)+COUNTIFS(Students!$A:$A,D$1,Students!$F:$F,$A73)+COUNTIFS(Students!$A:$A,D$1,Students!$H:$H,$A73)+COUNTIFS(Students!$A:$A,D$1,Students!$J:$J,$A73)+COUNTIFS(Students!$A:$A,D$1,Students!$L:$L,$A73)+COUNTIFS(Students!$A:$A,D$1,Students!$N:$N,$A73)+COUNTIFS(Students!$A:$A,D$1,#REF!,$A73)+COUNTIFS(Students!$A:$A,D$1,#REF!,$A73)+COUNTIFS(Students!$A:$A,D$1,Students!$P:$P,$A73)+COUNTIFS(Students!$A:$A,D$1,Students!$R:$R,$A73))</f>
        <v/>
      </c>
      <c r="E73" s="175" t="str">
        <f t="shared" si="1"/>
        <v/>
      </c>
      <c r="F73" s="175" t="str">
        <f>if($A73="","",sumifs(Schedule!$O:$O,Schedule!$M:$M,$A73)+sumifs(Schedule!$R:$R,Schedule!$P:$P,$A73)+sumifs(Schedule!$U:$U,Schedule!$S:$S,$A73)+sumifs(Schedule!$X:$X,Schedule!$V:$V,$A73)+sumifs(Schedule!$AA:$AA,Schedule!$Y:$Y,$A73)+sumifs(Schedule!$AD:$AD,Schedule!$AB:$AB,$A73))</f>
        <v/>
      </c>
      <c r="G73" s="175" t="str">
        <f t="shared" si="2"/>
        <v/>
      </c>
      <c r="H73" s="176" t="str">
        <f>if(A73="","",countifs(Schedule!M$1:AB618,A73))</f>
        <v/>
      </c>
      <c r="I73" s="177" t="str">
        <f t="shared" si="3"/>
        <v/>
      </c>
    </row>
    <row r="74">
      <c r="A74" s="179"/>
      <c r="B74" s="174" t="str">
        <f>if($A74="","",COUNTIFS(Students!$A:$A,B$1,Students!$D:$D,$A74)+COUNTIFS(Students!$A:$A,B$1,Students!$F:$F,$A74)+COUNTIFS(Students!$A:$A,B$1,Students!$H:$H,$A74)+COUNTIFS(Students!$A:$A,B$1,Students!$J:$J,$A74)+COUNTIFS(Students!$A:$A,B$1,Students!$L:$L,$A74)+COUNTIFS(Students!$A:$A,B$1,Students!$N:$N,$A74)+COUNTIFS(Students!$A:$A,B$1,#REF!,$A74)+COUNTIFS(Students!$A:$A,B$1,#REF!,$A74)+COUNTIFS(Students!$A:$A,B$1,Students!$P:$P,$A74)+COUNTIFS(Students!$A:$A,B$1,Students!$R:$R,$A74))</f>
        <v/>
      </c>
      <c r="C74" s="174" t="str">
        <f>if($A74="","",COUNTIFS(Students!$A:$A,C$1,Students!$D:$D,$A74)+COUNTIFS(Students!$A:$A,C$1,Students!$F:$F,$A74)+COUNTIFS(Students!$A:$A,C$1,Students!$H:$H,$A74)+COUNTIFS(Students!$A:$A,C$1,Students!$J:$J,$A74)+COUNTIFS(Students!$A:$A,C$1,Students!$L:$L,$A74)+COUNTIFS(Students!$A:$A,C$1,Students!$N:$N,$A74)+COUNTIFS(Students!$A:$A,C$1,#REF!,$A74)+COUNTIFS(Students!$A:$A,C$1,#REF!,$A74)+COUNTIFS(Students!$A:$A,C$1,Students!$P:$P,$A74)+COUNTIFS(Students!$A:$A,C$1,Students!$R:$R,$A74))</f>
        <v/>
      </c>
      <c r="D74" s="174" t="str">
        <f>if($A74="","",COUNTIFS(Students!$A:$A,D$1,Students!$D:$D,$A74)+COUNTIFS(Students!$A:$A,D$1,Students!$F:$F,$A74)+COUNTIFS(Students!$A:$A,D$1,Students!$H:$H,$A74)+COUNTIFS(Students!$A:$A,D$1,Students!$J:$J,$A74)+COUNTIFS(Students!$A:$A,D$1,Students!$L:$L,$A74)+COUNTIFS(Students!$A:$A,D$1,Students!$N:$N,$A74)+COUNTIFS(Students!$A:$A,D$1,#REF!,$A74)+COUNTIFS(Students!$A:$A,D$1,#REF!,$A74)+COUNTIFS(Students!$A:$A,D$1,Students!$P:$P,$A74)+COUNTIFS(Students!$A:$A,D$1,Students!$R:$R,$A74))</f>
        <v/>
      </c>
      <c r="E74" s="175" t="str">
        <f t="shared" si="1"/>
        <v/>
      </c>
      <c r="F74" s="175" t="str">
        <f>if($A74="","",sumifs(Schedule!$O:$O,Schedule!$M:$M,$A74)+sumifs(Schedule!$R:$R,Schedule!$P:$P,$A74)+sumifs(Schedule!$U:$U,Schedule!$S:$S,$A74)+sumifs(Schedule!$X:$X,Schedule!$V:$V,$A74)+sumifs(Schedule!$AA:$AA,Schedule!$Y:$Y,$A74)+sumifs(Schedule!$AD:$AD,Schedule!$AB:$AB,$A74))</f>
        <v/>
      </c>
      <c r="G74" s="175" t="str">
        <f t="shared" si="2"/>
        <v/>
      </c>
      <c r="H74" s="176" t="str">
        <f>if(A74="","",countifs(Schedule!M$1:AB618,A74))</f>
        <v/>
      </c>
      <c r="I74" s="177" t="str">
        <f t="shared" si="3"/>
        <v/>
      </c>
    </row>
    <row r="75">
      <c r="A75" s="179"/>
      <c r="B75" s="174" t="str">
        <f>if($A75="","",COUNTIFS(Students!$A:$A,B$1,Students!$D:$D,$A75)+COUNTIFS(Students!$A:$A,B$1,Students!$F:$F,$A75)+COUNTIFS(Students!$A:$A,B$1,Students!$H:$H,$A75)+COUNTIFS(Students!$A:$A,B$1,Students!$J:$J,$A75)+COUNTIFS(Students!$A:$A,B$1,Students!$L:$L,$A75)+COUNTIFS(Students!$A:$A,B$1,Students!$N:$N,$A75)+COUNTIFS(Students!$A:$A,B$1,#REF!,$A75)+COUNTIFS(Students!$A:$A,B$1,#REF!,$A75)+COUNTIFS(Students!$A:$A,B$1,Students!$P:$P,$A75)+COUNTIFS(Students!$A:$A,B$1,Students!$R:$R,$A75))</f>
        <v/>
      </c>
      <c r="C75" s="174" t="str">
        <f>if($A75="","",COUNTIFS(Students!$A:$A,C$1,Students!$D:$D,$A75)+COUNTIFS(Students!$A:$A,C$1,Students!$F:$F,$A75)+COUNTIFS(Students!$A:$A,C$1,Students!$H:$H,$A75)+COUNTIFS(Students!$A:$A,C$1,Students!$J:$J,$A75)+COUNTIFS(Students!$A:$A,C$1,Students!$L:$L,$A75)+COUNTIFS(Students!$A:$A,C$1,Students!$N:$N,$A75)+COUNTIFS(Students!$A:$A,C$1,#REF!,$A75)+COUNTIFS(Students!$A:$A,C$1,#REF!,$A75)+COUNTIFS(Students!$A:$A,C$1,Students!$P:$P,$A75)+COUNTIFS(Students!$A:$A,C$1,Students!$R:$R,$A75))</f>
        <v/>
      </c>
      <c r="D75" s="174" t="str">
        <f>if($A75="","",COUNTIFS(Students!$A:$A,D$1,Students!$D:$D,$A75)+COUNTIFS(Students!$A:$A,D$1,Students!$F:$F,$A75)+COUNTIFS(Students!$A:$A,D$1,Students!$H:$H,$A75)+COUNTIFS(Students!$A:$A,D$1,Students!$J:$J,$A75)+COUNTIFS(Students!$A:$A,D$1,Students!$L:$L,$A75)+COUNTIFS(Students!$A:$A,D$1,Students!$N:$N,$A75)+COUNTIFS(Students!$A:$A,D$1,#REF!,$A75)+COUNTIFS(Students!$A:$A,D$1,#REF!,$A75)+COUNTIFS(Students!$A:$A,D$1,Students!$P:$P,$A75)+COUNTIFS(Students!$A:$A,D$1,Students!$R:$R,$A75))</f>
        <v/>
      </c>
      <c r="E75" s="175" t="str">
        <f t="shared" si="1"/>
        <v/>
      </c>
      <c r="F75" s="175" t="str">
        <f>if($A75="","",sumifs(Schedule!$O:$O,Schedule!$M:$M,$A75)+sumifs(Schedule!$R:$R,Schedule!$P:$P,$A75)+sumifs(Schedule!$U:$U,Schedule!$S:$S,$A75)+sumifs(Schedule!$X:$X,Schedule!$V:$V,$A75)+sumifs(Schedule!$AA:$AA,Schedule!$Y:$Y,$A75)+sumifs(Schedule!$AD:$AD,Schedule!$AB:$AB,$A75))</f>
        <v/>
      </c>
      <c r="G75" s="175" t="str">
        <f t="shared" si="2"/>
        <v/>
      </c>
      <c r="H75" s="176" t="str">
        <f>if(A75="","",countifs(Schedule!M$1:AB618,A75))</f>
        <v/>
      </c>
      <c r="I75" s="177" t="str">
        <f t="shared" si="3"/>
        <v/>
      </c>
    </row>
    <row r="76">
      <c r="A76" s="179"/>
      <c r="B76" s="174" t="str">
        <f>if($A76="","",COUNTIFS(Students!$A:$A,B$1,Students!$D:$D,$A76)+COUNTIFS(Students!$A:$A,B$1,Students!$F:$F,$A76)+COUNTIFS(Students!$A:$A,B$1,Students!$H:$H,$A76)+COUNTIFS(Students!$A:$A,B$1,Students!$J:$J,$A76)+COUNTIFS(Students!$A:$A,B$1,Students!$L:$L,$A76)+COUNTIFS(Students!$A:$A,B$1,Students!$N:$N,$A76)+COUNTIFS(Students!$A:$A,B$1,#REF!,$A76)+COUNTIFS(Students!$A:$A,B$1,#REF!,$A76)+COUNTIFS(Students!$A:$A,B$1,Students!$P:$P,$A76)+COUNTIFS(Students!$A:$A,B$1,Students!$R:$R,$A76))</f>
        <v/>
      </c>
      <c r="C76" s="174" t="str">
        <f>if($A76="","",COUNTIFS(Students!$A:$A,C$1,Students!$D:$D,$A76)+COUNTIFS(Students!$A:$A,C$1,Students!$F:$F,$A76)+COUNTIFS(Students!$A:$A,C$1,Students!$H:$H,$A76)+COUNTIFS(Students!$A:$A,C$1,Students!$J:$J,$A76)+COUNTIFS(Students!$A:$A,C$1,Students!$L:$L,$A76)+COUNTIFS(Students!$A:$A,C$1,Students!$N:$N,$A76)+COUNTIFS(Students!$A:$A,C$1,#REF!,$A76)+COUNTIFS(Students!$A:$A,C$1,#REF!,$A76)+COUNTIFS(Students!$A:$A,C$1,Students!$P:$P,$A76)+COUNTIFS(Students!$A:$A,C$1,Students!$R:$R,$A76))</f>
        <v/>
      </c>
      <c r="D76" s="174" t="str">
        <f>if($A76="","",COUNTIFS(Students!$A:$A,D$1,Students!$D:$D,$A76)+COUNTIFS(Students!$A:$A,D$1,Students!$F:$F,$A76)+COUNTIFS(Students!$A:$A,D$1,Students!$H:$H,$A76)+COUNTIFS(Students!$A:$A,D$1,Students!$J:$J,$A76)+COUNTIFS(Students!$A:$A,D$1,Students!$L:$L,$A76)+COUNTIFS(Students!$A:$A,D$1,Students!$N:$N,$A76)+COUNTIFS(Students!$A:$A,D$1,#REF!,$A76)+COUNTIFS(Students!$A:$A,D$1,#REF!,$A76)+COUNTIFS(Students!$A:$A,D$1,Students!$P:$P,$A76)+COUNTIFS(Students!$A:$A,D$1,Students!$R:$R,$A76))</f>
        <v/>
      </c>
      <c r="E76" s="175" t="str">
        <f t="shared" si="1"/>
        <v/>
      </c>
      <c r="F76" s="175" t="str">
        <f>if($A76="","",sumifs(Schedule!$O:$O,Schedule!$M:$M,$A76)+sumifs(Schedule!$R:$R,Schedule!$P:$P,$A76)+sumifs(Schedule!$U:$U,Schedule!$S:$S,$A76)+sumifs(Schedule!$X:$X,Schedule!$V:$V,$A76)+sumifs(Schedule!$AA:$AA,Schedule!$Y:$Y,$A76)+sumifs(Schedule!$AD:$AD,Schedule!$AB:$AB,$A76))</f>
        <v/>
      </c>
      <c r="G76" s="175" t="str">
        <f t="shared" si="2"/>
        <v/>
      </c>
      <c r="H76" s="176" t="str">
        <f>if(A76="","",countifs(Schedule!M$1:AB618,A76))</f>
        <v/>
      </c>
      <c r="I76" s="177" t="str">
        <f t="shared" si="3"/>
        <v/>
      </c>
    </row>
    <row r="77">
      <c r="A77" s="179"/>
      <c r="B77" s="174" t="str">
        <f>if($A77="","",COUNTIFS(Students!$A:$A,B$1,Students!$D:$D,$A77)+COUNTIFS(Students!$A:$A,B$1,Students!$F:$F,$A77)+COUNTIFS(Students!$A:$A,B$1,Students!$H:$H,$A77)+COUNTIFS(Students!$A:$A,B$1,Students!$J:$J,$A77)+COUNTIFS(Students!$A:$A,B$1,Students!$L:$L,$A77)+COUNTIFS(Students!$A:$A,B$1,Students!$N:$N,$A77)+COUNTIFS(Students!$A:$A,B$1,#REF!,$A77)+COUNTIFS(Students!$A:$A,B$1,#REF!,$A77)+COUNTIFS(Students!$A:$A,B$1,Students!$P:$P,$A77)+COUNTIFS(Students!$A:$A,B$1,Students!$R:$R,$A77))</f>
        <v/>
      </c>
      <c r="C77" s="174" t="str">
        <f>if($A77="","",COUNTIFS(Students!$A:$A,C$1,Students!$D:$D,$A77)+COUNTIFS(Students!$A:$A,C$1,Students!$F:$F,$A77)+COUNTIFS(Students!$A:$A,C$1,Students!$H:$H,$A77)+COUNTIFS(Students!$A:$A,C$1,Students!$J:$J,$A77)+COUNTIFS(Students!$A:$A,C$1,Students!$L:$L,$A77)+COUNTIFS(Students!$A:$A,C$1,Students!$N:$N,$A77)+COUNTIFS(Students!$A:$A,C$1,#REF!,$A77)+COUNTIFS(Students!$A:$A,C$1,#REF!,$A77)+COUNTIFS(Students!$A:$A,C$1,Students!$P:$P,$A77)+COUNTIFS(Students!$A:$A,C$1,Students!$R:$R,$A77))</f>
        <v/>
      </c>
      <c r="D77" s="174" t="str">
        <f>if($A77="","",COUNTIFS(Students!$A:$A,D$1,Students!$D:$D,$A77)+COUNTIFS(Students!$A:$A,D$1,Students!$F:$F,$A77)+COUNTIFS(Students!$A:$A,D$1,Students!$H:$H,$A77)+COUNTIFS(Students!$A:$A,D$1,Students!$J:$J,$A77)+COUNTIFS(Students!$A:$A,D$1,Students!$L:$L,$A77)+COUNTIFS(Students!$A:$A,D$1,Students!$N:$N,$A77)+COUNTIFS(Students!$A:$A,D$1,#REF!,$A77)+COUNTIFS(Students!$A:$A,D$1,#REF!,$A77)+COUNTIFS(Students!$A:$A,D$1,Students!$P:$P,$A77)+COUNTIFS(Students!$A:$A,D$1,Students!$R:$R,$A77))</f>
        <v/>
      </c>
      <c r="E77" s="175" t="str">
        <f t="shared" si="1"/>
        <v/>
      </c>
      <c r="F77" s="175" t="str">
        <f>if($A77="","",sumifs(Schedule!$O:$O,Schedule!$M:$M,$A77)+sumifs(Schedule!$R:$R,Schedule!$P:$P,$A77)+sumifs(Schedule!$U:$U,Schedule!$S:$S,$A77)+sumifs(Schedule!$X:$X,Schedule!$V:$V,$A77)+sumifs(Schedule!$AA:$AA,Schedule!$Y:$Y,$A77)+sumifs(Schedule!$AD:$AD,Schedule!$AB:$AB,$A77))</f>
        <v/>
      </c>
      <c r="G77" s="175" t="str">
        <f t="shared" si="2"/>
        <v/>
      </c>
      <c r="H77" s="176" t="str">
        <f>if(A77="","",countifs(Schedule!M$1:AB618,A77))</f>
        <v/>
      </c>
      <c r="I77" s="177" t="str">
        <f t="shared" si="3"/>
        <v/>
      </c>
    </row>
    <row r="78">
      <c r="A78" s="179"/>
      <c r="B78" s="174" t="str">
        <f>if($A78="","",COUNTIFS(Students!$A:$A,B$1,Students!$D:$D,$A78)+COUNTIFS(Students!$A:$A,B$1,Students!$F:$F,$A78)+COUNTIFS(Students!$A:$A,B$1,Students!$H:$H,$A78)+COUNTIFS(Students!$A:$A,B$1,Students!$J:$J,$A78)+COUNTIFS(Students!$A:$A,B$1,Students!$L:$L,$A78)+COUNTIFS(Students!$A:$A,B$1,Students!$N:$N,$A78)+COUNTIFS(Students!$A:$A,B$1,#REF!,$A78)+COUNTIFS(Students!$A:$A,B$1,#REF!,$A78)+COUNTIFS(Students!$A:$A,B$1,Students!$P:$P,$A78)+COUNTIFS(Students!$A:$A,B$1,Students!$R:$R,$A78))</f>
        <v/>
      </c>
      <c r="C78" s="174" t="str">
        <f>if($A78="","",COUNTIFS(Students!$A:$A,C$1,Students!$D:$D,$A78)+COUNTIFS(Students!$A:$A,C$1,Students!$F:$F,$A78)+COUNTIFS(Students!$A:$A,C$1,Students!$H:$H,$A78)+COUNTIFS(Students!$A:$A,C$1,Students!$J:$J,$A78)+COUNTIFS(Students!$A:$A,C$1,Students!$L:$L,$A78)+COUNTIFS(Students!$A:$A,C$1,Students!$N:$N,$A78)+COUNTIFS(Students!$A:$A,C$1,#REF!,$A78)+COUNTIFS(Students!$A:$A,C$1,#REF!,$A78)+COUNTIFS(Students!$A:$A,C$1,Students!$P:$P,$A78)+COUNTIFS(Students!$A:$A,C$1,Students!$R:$R,$A78))</f>
        <v/>
      </c>
      <c r="D78" s="174" t="str">
        <f>if($A78="","",COUNTIFS(Students!$A:$A,D$1,Students!$D:$D,$A78)+COUNTIFS(Students!$A:$A,D$1,Students!$F:$F,$A78)+COUNTIFS(Students!$A:$A,D$1,Students!$H:$H,$A78)+COUNTIFS(Students!$A:$A,D$1,Students!$J:$J,$A78)+COUNTIFS(Students!$A:$A,D$1,Students!$L:$L,$A78)+COUNTIFS(Students!$A:$A,D$1,Students!$N:$N,$A78)+COUNTIFS(Students!$A:$A,D$1,#REF!,$A78)+COUNTIFS(Students!$A:$A,D$1,#REF!,$A78)+COUNTIFS(Students!$A:$A,D$1,Students!$P:$P,$A78)+COUNTIFS(Students!$A:$A,D$1,Students!$R:$R,$A78))</f>
        <v/>
      </c>
      <c r="E78" s="175" t="str">
        <f t="shared" si="1"/>
        <v/>
      </c>
      <c r="F78" s="175" t="str">
        <f>if($A78="","",sumifs(Schedule!$O:$O,Schedule!$M:$M,$A78)+sumifs(Schedule!$R:$R,Schedule!$P:$P,$A78)+sumifs(Schedule!$U:$U,Schedule!$S:$S,$A78)+sumifs(Schedule!$X:$X,Schedule!$V:$V,$A78)+sumifs(Schedule!$AA:$AA,Schedule!$Y:$Y,$A78)+sumifs(Schedule!$AD:$AD,Schedule!$AB:$AB,$A78))</f>
        <v/>
      </c>
      <c r="G78" s="175" t="str">
        <f t="shared" si="2"/>
        <v/>
      </c>
      <c r="H78" s="176" t="str">
        <f>if(A78="","",countifs(Schedule!M$1:AB618,A78))</f>
        <v/>
      </c>
      <c r="I78" s="177" t="str">
        <f t="shared" si="3"/>
        <v/>
      </c>
    </row>
    <row r="79">
      <c r="A79" s="179"/>
      <c r="B79" s="174" t="str">
        <f>if($A79="","",COUNTIFS(Students!$A:$A,B$1,Students!$D:$D,$A79)+COUNTIFS(Students!$A:$A,B$1,Students!$F:$F,$A79)+COUNTIFS(Students!$A:$A,B$1,Students!$H:$H,$A79)+COUNTIFS(Students!$A:$A,B$1,Students!$J:$J,$A79)+COUNTIFS(Students!$A:$A,B$1,Students!$L:$L,$A79)+COUNTIFS(Students!$A:$A,B$1,Students!$N:$N,$A79)+COUNTIFS(Students!$A:$A,B$1,#REF!,$A79)+COUNTIFS(Students!$A:$A,B$1,#REF!,$A79)+COUNTIFS(Students!$A:$A,B$1,Students!$P:$P,$A79)+COUNTIFS(Students!$A:$A,B$1,Students!$R:$R,$A79))</f>
        <v/>
      </c>
      <c r="C79" s="174" t="str">
        <f>if($A79="","",COUNTIFS(Students!$A:$A,C$1,Students!$D:$D,$A79)+COUNTIFS(Students!$A:$A,C$1,Students!$F:$F,$A79)+COUNTIFS(Students!$A:$A,C$1,Students!$H:$H,$A79)+COUNTIFS(Students!$A:$A,C$1,Students!$J:$J,$A79)+COUNTIFS(Students!$A:$A,C$1,Students!$L:$L,$A79)+COUNTIFS(Students!$A:$A,C$1,Students!$N:$N,$A79)+COUNTIFS(Students!$A:$A,C$1,#REF!,$A79)+COUNTIFS(Students!$A:$A,C$1,#REF!,$A79)+COUNTIFS(Students!$A:$A,C$1,Students!$P:$P,$A79)+COUNTIFS(Students!$A:$A,C$1,Students!$R:$R,$A79))</f>
        <v/>
      </c>
      <c r="D79" s="174" t="str">
        <f>if($A79="","",COUNTIFS(Students!$A:$A,D$1,Students!$D:$D,$A79)+COUNTIFS(Students!$A:$A,D$1,Students!$F:$F,$A79)+COUNTIFS(Students!$A:$A,D$1,Students!$H:$H,$A79)+COUNTIFS(Students!$A:$A,D$1,Students!$J:$J,$A79)+COUNTIFS(Students!$A:$A,D$1,Students!$L:$L,$A79)+COUNTIFS(Students!$A:$A,D$1,Students!$N:$N,$A79)+COUNTIFS(Students!$A:$A,D$1,#REF!,$A79)+COUNTIFS(Students!$A:$A,D$1,#REF!,$A79)+COUNTIFS(Students!$A:$A,D$1,Students!$P:$P,$A79)+COUNTIFS(Students!$A:$A,D$1,Students!$R:$R,$A79))</f>
        <v/>
      </c>
      <c r="E79" s="175" t="str">
        <f t="shared" si="1"/>
        <v/>
      </c>
      <c r="F79" s="175" t="str">
        <f>if($A79="","",sumifs(Schedule!$O:$O,Schedule!$M:$M,$A79)+sumifs(Schedule!$R:$R,Schedule!$P:$P,$A79)+sumifs(Schedule!$U:$U,Schedule!$S:$S,$A79)+sumifs(Schedule!$X:$X,Schedule!$V:$V,$A79)+sumifs(Schedule!$AA:$AA,Schedule!$Y:$Y,$A79)+sumifs(Schedule!$AD:$AD,Schedule!$AB:$AB,$A79))</f>
        <v/>
      </c>
      <c r="G79" s="175" t="str">
        <f t="shared" si="2"/>
        <v/>
      </c>
      <c r="H79" s="176" t="str">
        <f>if(A79="","",countifs(Schedule!M$1:AB618,A79))</f>
        <v/>
      </c>
      <c r="I79" s="177" t="str">
        <f t="shared" si="3"/>
        <v/>
      </c>
    </row>
    <row r="80">
      <c r="A80" s="179"/>
      <c r="B80" s="174" t="str">
        <f>if($A80="","",COUNTIFS(Students!$A:$A,B$1,Students!$D:$D,$A80)+COUNTIFS(Students!$A:$A,B$1,Students!$F:$F,$A80)+COUNTIFS(Students!$A:$A,B$1,Students!$H:$H,$A80)+COUNTIFS(Students!$A:$A,B$1,Students!$J:$J,$A80)+COUNTIFS(Students!$A:$A,B$1,Students!$L:$L,$A80)+COUNTIFS(Students!$A:$A,B$1,Students!$N:$N,$A80)+COUNTIFS(Students!$A:$A,B$1,#REF!,$A80)+COUNTIFS(Students!$A:$A,B$1,#REF!,$A80)+COUNTIFS(Students!$A:$A,B$1,Students!$P:$P,$A80)+COUNTIFS(Students!$A:$A,B$1,Students!$R:$R,$A80))</f>
        <v/>
      </c>
      <c r="C80" s="174" t="str">
        <f>if($A80="","",COUNTIFS(Students!$A:$A,C$1,Students!$D:$D,$A80)+COUNTIFS(Students!$A:$A,C$1,Students!$F:$F,$A80)+COUNTIFS(Students!$A:$A,C$1,Students!$H:$H,$A80)+COUNTIFS(Students!$A:$A,C$1,Students!$J:$J,$A80)+COUNTIFS(Students!$A:$A,C$1,Students!$L:$L,$A80)+COUNTIFS(Students!$A:$A,C$1,Students!$N:$N,$A80)+COUNTIFS(Students!$A:$A,C$1,#REF!,$A80)+COUNTIFS(Students!$A:$A,C$1,#REF!,$A80)+COUNTIFS(Students!$A:$A,C$1,Students!$P:$P,$A80)+COUNTIFS(Students!$A:$A,C$1,Students!$R:$R,$A80))</f>
        <v/>
      </c>
      <c r="D80" s="174" t="str">
        <f>if($A80="","",COUNTIFS(Students!$A:$A,D$1,Students!$D:$D,$A80)+COUNTIFS(Students!$A:$A,D$1,Students!$F:$F,$A80)+COUNTIFS(Students!$A:$A,D$1,Students!$H:$H,$A80)+COUNTIFS(Students!$A:$A,D$1,Students!$J:$J,$A80)+COUNTIFS(Students!$A:$A,D$1,Students!$L:$L,$A80)+COUNTIFS(Students!$A:$A,D$1,Students!$N:$N,$A80)+COUNTIFS(Students!$A:$A,D$1,#REF!,$A80)+COUNTIFS(Students!$A:$A,D$1,#REF!,$A80)+COUNTIFS(Students!$A:$A,D$1,Students!$P:$P,$A80)+COUNTIFS(Students!$A:$A,D$1,Students!$R:$R,$A80))</f>
        <v/>
      </c>
      <c r="E80" s="175" t="str">
        <f t="shared" si="1"/>
        <v/>
      </c>
      <c r="F80" s="175" t="str">
        <f>if($A80="","",sumifs(Schedule!$O:$O,Schedule!$M:$M,$A80)+sumifs(Schedule!$R:$R,Schedule!$P:$P,$A80)+sumifs(Schedule!$U:$U,Schedule!$S:$S,$A80)+sumifs(Schedule!$X:$X,Schedule!$V:$V,$A80)+sumifs(Schedule!$AA:$AA,Schedule!$Y:$Y,$A80)+sumifs(Schedule!$AD:$AD,Schedule!$AB:$AB,$A80))</f>
        <v/>
      </c>
      <c r="G80" s="175" t="str">
        <f t="shared" si="2"/>
        <v/>
      </c>
      <c r="H80" s="176" t="str">
        <f>if(A80="","",countifs(Schedule!M$1:AB618,A80))</f>
        <v/>
      </c>
      <c r="I80" s="177" t="str">
        <f t="shared" si="3"/>
        <v/>
      </c>
    </row>
    <row r="81">
      <c r="A81" s="179"/>
      <c r="B81" s="174" t="str">
        <f>if($A81="","",COUNTIFS(Students!$A:$A,B$1,Students!$D:$D,$A81)+COUNTIFS(Students!$A:$A,B$1,Students!$F:$F,$A81)+COUNTIFS(Students!$A:$A,B$1,Students!$H:$H,$A81)+COUNTIFS(Students!$A:$A,B$1,Students!$J:$J,$A81)+COUNTIFS(Students!$A:$A,B$1,Students!$L:$L,$A81)+COUNTIFS(Students!$A:$A,B$1,Students!$N:$N,$A81)+COUNTIFS(Students!$A:$A,B$1,#REF!,$A81)+COUNTIFS(Students!$A:$A,B$1,#REF!,$A81)+COUNTIFS(Students!$A:$A,B$1,Students!$P:$P,$A81)+COUNTIFS(Students!$A:$A,B$1,Students!$R:$R,$A81))</f>
        <v/>
      </c>
      <c r="C81" s="174" t="str">
        <f>if($A81="","",COUNTIFS(Students!$A:$A,C$1,Students!$D:$D,$A81)+COUNTIFS(Students!$A:$A,C$1,Students!$F:$F,$A81)+COUNTIFS(Students!$A:$A,C$1,Students!$H:$H,$A81)+COUNTIFS(Students!$A:$A,C$1,Students!$J:$J,$A81)+COUNTIFS(Students!$A:$A,C$1,Students!$L:$L,$A81)+COUNTIFS(Students!$A:$A,C$1,Students!$N:$N,$A81)+COUNTIFS(Students!$A:$A,C$1,#REF!,$A81)+COUNTIFS(Students!$A:$A,C$1,#REF!,$A81)+COUNTIFS(Students!$A:$A,C$1,Students!$P:$P,$A81)+COUNTIFS(Students!$A:$A,C$1,Students!$R:$R,$A81))</f>
        <v/>
      </c>
      <c r="D81" s="174" t="str">
        <f>if($A81="","",COUNTIFS(Students!$A:$A,D$1,Students!$D:$D,$A81)+COUNTIFS(Students!$A:$A,D$1,Students!$F:$F,$A81)+COUNTIFS(Students!$A:$A,D$1,Students!$H:$H,$A81)+COUNTIFS(Students!$A:$A,D$1,Students!$J:$J,$A81)+COUNTIFS(Students!$A:$A,D$1,Students!$L:$L,$A81)+COUNTIFS(Students!$A:$A,D$1,Students!$N:$N,$A81)+COUNTIFS(Students!$A:$A,D$1,#REF!,$A81)+COUNTIFS(Students!$A:$A,D$1,#REF!,$A81)+COUNTIFS(Students!$A:$A,D$1,Students!$P:$P,$A81)+COUNTIFS(Students!$A:$A,D$1,Students!$R:$R,$A81))</f>
        <v/>
      </c>
      <c r="E81" s="175" t="str">
        <f t="shared" si="1"/>
        <v/>
      </c>
      <c r="F81" s="175" t="str">
        <f>if($A81="","",sumifs(Schedule!$O:$O,Schedule!$M:$M,$A81)+sumifs(Schedule!$R:$R,Schedule!$P:$P,$A81)+sumifs(Schedule!$U:$U,Schedule!$S:$S,$A81)+sumifs(Schedule!$X:$X,Schedule!$V:$V,$A81)+sumifs(Schedule!$AA:$AA,Schedule!$Y:$Y,$A81)+sumifs(Schedule!$AD:$AD,Schedule!$AB:$AB,$A81))</f>
        <v/>
      </c>
      <c r="G81" s="175" t="str">
        <f t="shared" si="2"/>
        <v/>
      </c>
      <c r="H81" s="176" t="str">
        <f>if(A81="","",countifs(Schedule!M$1:AB618,A81))</f>
        <v/>
      </c>
      <c r="I81" s="177" t="str">
        <f t="shared" si="3"/>
        <v/>
      </c>
    </row>
    <row r="82">
      <c r="A82" s="179"/>
      <c r="B82" s="174" t="str">
        <f>if($A82="","",COUNTIFS(Students!$A:$A,B$1,Students!$D:$D,$A82)+COUNTIFS(Students!$A:$A,B$1,Students!$F:$F,$A82)+COUNTIFS(Students!$A:$A,B$1,Students!$H:$H,$A82)+COUNTIFS(Students!$A:$A,B$1,Students!$J:$J,$A82)+COUNTIFS(Students!$A:$A,B$1,Students!$L:$L,$A82)+COUNTIFS(Students!$A:$A,B$1,Students!$N:$N,$A82)+COUNTIFS(Students!$A:$A,B$1,#REF!,$A82)+COUNTIFS(Students!$A:$A,B$1,#REF!,$A82)+COUNTIFS(Students!$A:$A,B$1,Students!$P:$P,$A82)+COUNTIFS(Students!$A:$A,B$1,Students!$R:$R,$A82))</f>
        <v/>
      </c>
      <c r="C82" s="174" t="str">
        <f>if($A82="","",COUNTIFS(Students!$A:$A,C$1,Students!$D:$D,$A82)+COUNTIFS(Students!$A:$A,C$1,Students!$F:$F,$A82)+COUNTIFS(Students!$A:$A,C$1,Students!$H:$H,$A82)+COUNTIFS(Students!$A:$A,C$1,Students!$J:$J,$A82)+COUNTIFS(Students!$A:$A,C$1,Students!$L:$L,$A82)+COUNTIFS(Students!$A:$A,C$1,Students!$N:$N,$A82)+COUNTIFS(Students!$A:$A,C$1,#REF!,$A82)+COUNTIFS(Students!$A:$A,C$1,#REF!,$A82)+COUNTIFS(Students!$A:$A,C$1,Students!$P:$P,$A82)+COUNTIFS(Students!$A:$A,C$1,Students!$R:$R,$A82))</f>
        <v/>
      </c>
      <c r="D82" s="174" t="str">
        <f>if($A82="","",COUNTIFS(Students!$A:$A,D$1,Students!$D:$D,$A82)+COUNTIFS(Students!$A:$A,D$1,Students!$F:$F,$A82)+COUNTIFS(Students!$A:$A,D$1,Students!$H:$H,$A82)+COUNTIFS(Students!$A:$A,D$1,Students!$J:$J,$A82)+COUNTIFS(Students!$A:$A,D$1,Students!$L:$L,$A82)+COUNTIFS(Students!$A:$A,D$1,Students!$N:$N,$A82)+COUNTIFS(Students!$A:$A,D$1,#REF!,$A82)+COUNTIFS(Students!$A:$A,D$1,#REF!,$A82)+COUNTIFS(Students!$A:$A,D$1,Students!$P:$P,$A82)+COUNTIFS(Students!$A:$A,D$1,Students!$R:$R,$A82))</f>
        <v/>
      </c>
      <c r="E82" s="175" t="str">
        <f t="shared" si="1"/>
        <v/>
      </c>
      <c r="F82" s="175" t="str">
        <f>if($A82="","",sumifs(Schedule!$O:$O,Schedule!$M:$M,$A82)+sumifs(Schedule!$R:$R,Schedule!$P:$P,$A82)+sumifs(Schedule!$U:$U,Schedule!$S:$S,$A82)+sumifs(Schedule!$X:$X,Schedule!$V:$V,$A82)+sumifs(Schedule!$AA:$AA,Schedule!$Y:$Y,$A82)+sumifs(Schedule!$AD:$AD,Schedule!$AB:$AB,$A82))</f>
        <v/>
      </c>
      <c r="G82" s="175" t="str">
        <f t="shared" si="2"/>
        <v/>
      </c>
      <c r="H82" s="176" t="str">
        <f>if(A82="","",countifs(Schedule!M$1:AB618,A82))</f>
        <v/>
      </c>
      <c r="I82" s="177" t="str">
        <f t="shared" si="3"/>
        <v/>
      </c>
    </row>
    <row r="83">
      <c r="A83" s="179"/>
      <c r="B83" s="174" t="str">
        <f>if($A83="","",COUNTIFS(Students!$A:$A,B$1,Students!$D:$D,$A83)+COUNTIFS(Students!$A:$A,B$1,Students!$F:$F,$A83)+COUNTIFS(Students!$A:$A,B$1,Students!$H:$H,$A83)+COUNTIFS(Students!$A:$A,B$1,Students!$J:$J,$A83)+COUNTIFS(Students!$A:$A,B$1,Students!$L:$L,$A83)+COUNTIFS(Students!$A:$A,B$1,Students!$N:$N,$A83)+COUNTIFS(Students!$A:$A,B$1,#REF!,$A83)+COUNTIFS(Students!$A:$A,B$1,#REF!,$A83)+COUNTIFS(Students!$A:$A,B$1,Students!$P:$P,$A83)+COUNTIFS(Students!$A:$A,B$1,Students!$R:$R,$A83))</f>
        <v/>
      </c>
      <c r="C83" s="174" t="str">
        <f>if($A83="","",COUNTIFS(Students!$A:$A,C$1,Students!$D:$D,$A83)+COUNTIFS(Students!$A:$A,C$1,Students!$F:$F,$A83)+COUNTIFS(Students!$A:$A,C$1,Students!$H:$H,$A83)+COUNTIFS(Students!$A:$A,C$1,Students!$J:$J,$A83)+COUNTIFS(Students!$A:$A,C$1,Students!$L:$L,$A83)+COUNTIFS(Students!$A:$A,C$1,Students!$N:$N,$A83)+COUNTIFS(Students!$A:$A,C$1,#REF!,$A83)+COUNTIFS(Students!$A:$A,C$1,#REF!,$A83)+COUNTIFS(Students!$A:$A,C$1,Students!$P:$P,$A83)+COUNTIFS(Students!$A:$A,C$1,Students!$R:$R,$A83))</f>
        <v/>
      </c>
      <c r="D83" s="174" t="str">
        <f>if($A83="","",COUNTIFS(Students!$A:$A,D$1,Students!$D:$D,$A83)+COUNTIFS(Students!$A:$A,D$1,Students!$F:$F,$A83)+COUNTIFS(Students!$A:$A,D$1,Students!$H:$H,$A83)+COUNTIFS(Students!$A:$A,D$1,Students!$J:$J,$A83)+COUNTIFS(Students!$A:$A,D$1,Students!$L:$L,$A83)+COUNTIFS(Students!$A:$A,D$1,Students!$N:$N,$A83)+COUNTIFS(Students!$A:$A,D$1,#REF!,$A83)+COUNTIFS(Students!$A:$A,D$1,#REF!,$A83)+COUNTIFS(Students!$A:$A,D$1,Students!$P:$P,$A83)+COUNTIFS(Students!$A:$A,D$1,Students!$R:$R,$A83))</f>
        <v/>
      </c>
      <c r="E83" s="175" t="str">
        <f t="shared" si="1"/>
        <v/>
      </c>
      <c r="F83" s="175" t="str">
        <f>if($A83="","",sumifs(Schedule!$O:$O,Schedule!$M:$M,$A83)+sumifs(Schedule!$R:$R,Schedule!$P:$P,$A83)+sumifs(Schedule!$U:$U,Schedule!$S:$S,$A83)+sumifs(Schedule!$X:$X,Schedule!$V:$V,$A83)+sumifs(Schedule!$AA:$AA,Schedule!$Y:$Y,$A83)+sumifs(Schedule!$AD:$AD,Schedule!$AB:$AB,$A83))</f>
        <v/>
      </c>
      <c r="G83" s="175" t="str">
        <f t="shared" si="2"/>
        <v/>
      </c>
      <c r="H83" s="176" t="str">
        <f>if(A83="","",countifs(Schedule!M$1:AB618,A83))</f>
        <v/>
      </c>
      <c r="I83" s="177" t="str">
        <f t="shared" si="3"/>
        <v/>
      </c>
    </row>
    <row r="84">
      <c r="A84" s="179"/>
      <c r="B84" s="174" t="str">
        <f>if($A84="","",COUNTIFS(Students!$A:$A,B$1,Students!$D:$D,$A84)+COUNTIFS(Students!$A:$A,B$1,Students!$F:$F,$A84)+COUNTIFS(Students!$A:$A,B$1,Students!$H:$H,$A84)+COUNTIFS(Students!$A:$A,B$1,Students!$J:$J,$A84)+COUNTIFS(Students!$A:$A,B$1,Students!$L:$L,$A84)+COUNTIFS(Students!$A:$A,B$1,Students!$N:$N,$A84)+COUNTIFS(Students!$A:$A,B$1,#REF!,$A84)+COUNTIFS(Students!$A:$A,B$1,#REF!,$A84)+COUNTIFS(Students!$A:$A,B$1,Students!$P:$P,$A84)+COUNTIFS(Students!$A:$A,B$1,Students!$R:$R,$A84))</f>
        <v/>
      </c>
      <c r="C84" s="174" t="str">
        <f>if($A84="","",COUNTIFS(Students!$A:$A,C$1,Students!$D:$D,$A84)+COUNTIFS(Students!$A:$A,C$1,Students!$F:$F,$A84)+COUNTIFS(Students!$A:$A,C$1,Students!$H:$H,$A84)+COUNTIFS(Students!$A:$A,C$1,Students!$J:$J,$A84)+COUNTIFS(Students!$A:$A,C$1,Students!$L:$L,$A84)+COUNTIFS(Students!$A:$A,C$1,Students!$N:$N,$A84)+COUNTIFS(Students!$A:$A,C$1,#REF!,$A84)+COUNTIFS(Students!$A:$A,C$1,#REF!,$A84)+COUNTIFS(Students!$A:$A,C$1,Students!$P:$P,$A84)+COUNTIFS(Students!$A:$A,C$1,Students!$R:$R,$A84))</f>
        <v/>
      </c>
      <c r="D84" s="174" t="str">
        <f>if($A84="","",COUNTIFS(Students!$A:$A,D$1,Students!$D:$D,$A84)+COUNTIFS(Students!$A:$A,D$1,Students!$F:$F,$A84)+COUNTIFS(Students!$A:$A,D$1,Students!$H:$H,$A84)+COUNTIFS(Students!$A:$A,D$1,Students!$J:$J,$A84)+COUNTIFS(Students!$A:$A,D$1,Students!$L:$L,$A84)+COUNTIFS(Students!$A:$A,D$1,Students!$N:$N,$A84)+COUNTIFS(Students!$A:$A,D$1,#REF!,$A84)+COUNTIFS(Students!$A:$A,D$1,#REF!,$A84)+COUNTIFS(Students!$A:$A,D$1,Students!$P:$P,$A84)+COUNTIFS(Students!$A:$A,D$1,Students!$R:$R,$A84))</f>
        <v/>
      </c>
      <c r="E84" s="175" t="str">
        <f t="shared" si="1"/>
        <v/>
      </c>
      <c r="F84" s="175" t="str">
        <f>if($A84="","",sumifs(Schedule!$O:$O,Schedule!$M:$M,$A84)+sumifs(Schedule!$R:$R,Schedule!$P:$P,$A84)+sumifs(Schedule!$U:$U,Schedule!$S:$S,$A84)+sumifs(Schedule!$X:$X,Schedule!$V:$V,$A84)+sumifs(Schedule!$AA:$AA,Schedule!$Y:$Y,$A84)+sumifs(Schedule!$AD:$AD,Schedule!$AB:$AB,$A84))</f>
        <v/>
      </c>
      <c r="G84" s="175" t="str">
        <f t="shared" si="2"/>
        <v/>
      </c>
      <c r="H84" s="176" t="str">
        <f>if(A84="","",countifs(Schedule!M$1:AB618,A84))</f>
        <v/>
      </c>
      <c r="I84" s="177" t="str">
        <f t="shared" si="3"/>
        <v/>
      </c>
    </row>
    <row r="85">
      <c r="A85" s="179"/>
      <c r="B85" s="174" t="str">
        <f>if($A85="","",COUNTIFS(Students!$A:$A,B$1,Students!$D:$D,$A85)+COUNTIFS(Students!$A:$A,B$1,Students!$F:$F,$A85)+COUNTIFS(Students!$A:$A,B$1,Students!$H:$H,$A85)+COUNTIFS(Students!$A:$A,B$1,Students!$J:$J,$A85)+COUNTIFS(Students!$A:$A,B$1,Students!$L:$L,$A85)+COUNTIFS(Students!$A:$A,B$1,Students!$N:$N,$A85)+COUNTIFS(Students!$A:$A,B$1,#REF!,$A85)+COUNTIFS(Students!$A:$A,B$1,#REF!,$A85)+COUNTIFS(Students!$A:$A,B$1,Students!$P:$P,$A85)+COUNTIFS(Students!$A:$A,B$1,Students!$R:$R,$A85))</f>
        <v/>
      </c>
      <c r="C85" s="174" t="str">
        <f>if($A85="","",COUNTIFS(Students!$A:$A,C$1,Students!$D:$D,$A85)+COUNTIFS(Students!$A:$A,C$1,Students!$F:$F,$A85)+COUNTIFS(Students!$A:$A,C$1,Students!$H:$H,$A85)+COUNTIFS(Students!$A:$A,C$1,Students!$J:$J,$A85)+COUNTIFS(Students!$A:$A,C$1,Students!$L:$L,$A85)+COUNTIFS(Students!$A:$A,C$1,Students!$N:$N,$A85)+COUNTIFS(Students!$A:$A,C$1,#REF!,$A85)+COUNTIFS(Students!$A:$A,C$1,#REF!,$A85)+COUNTIFS(Students!$A:$A,C$1,Students!$P:$P,$A85)+COUNTIFS(Students!$A:$A,C$1,Students!$R:$R,$A85))</f>
        <v/>
      </c>
      <c r="D85" s="174" t="str">
        <f>if($A85="","",COUNTIFS(Students!$A:$A,D$1,Students!$D:$D,$A85)+COUNTIFS(Students!$A:$A,D$1,Students!$F:$F,$A85)+COUNTIFS(Students!$A:$A,D$1,Students!$H:$H,$A85)+COUNTIFS(Students!$A:$A,D$1,Students!$J:$J,$A85)+COUNTIFS(Students!$A:$A,D$1,Students!$L:$L,$A85)+COUNTIFS(Students!$A:$A,D$1,Students!$N:$N,$A85)+COUNTIFS(Students!$A:$A,D$1,#REF!,$A85)+COUNTIFS(Students!$A:$A,D$1,#REF!,$A85)+COUNTIFS(Students!$A:$A,D$1,Students!$P:$P,$A85)+COUNTIFS(Students!$A:$A,D$1,Students!$R:$R,$A85))</f>
        <v/>
      </c>
      <c r="E85" s="175" t="str">
        <f t="shared" si="1"/>
        <v/>
      </c>
      <c r="F85" s="175" t="str">
        <f>if($A85="","",sumifs(Schedule!$O:$O,Schedule!$M:$M,$A85)+sumifs(Schedule!$R:$R,Schedule!$P:$P,$A85)+sumifs(Schedule!$U:$U,Schedule!$S:$S,$A85)+sumifs(Schedule!$X:$X,Schedule!$V:$V,$A85)+sumifs(Schedule!$AA:$AA,Schedule!$Y:$Y,$A85)+sumifs(Schedule!$AD:$AD,Schedule!$AB:$AB,$A85))</f>
        <v/>
      </c>
      <c r="G85" s="175" t="str">
        <f t="shared" si="2"/>
        <v/>
      </c>
      <c r="H85" s="176" t="str">
        <f>if(A85="","",countifs(Schedule!M$1:AB618,A85))</f>
        <v/>
      </c>
      <c r="I85" s="177" t="str">
        <f t="shared" si="3"/>
        <v/>
      </c>
    </row>
    <row r="86">
      <c r="A86" s="179"/>
      <c r="B86" s="174" t="str">
        <f>if($A86="","",COUNTIFS(Students!$A:$A,B$1,Students!$D:$D,$A86)+COUNTIFS(Students!$A:$A,B$1,Students!$F:$F,$A86)+COUNTIFS(Students!$A:$A,B$1,Students!$H:$H,$A86)+COUNTIFS(Students!$A:$A,B$1,Students!$J:$J,$A86)+COUNTIFS(Students!$A:$A,B$1,Students!$L:$L,$A86)+COUNTIFS(Students!$A:$A,B$1,Students!$N:$N,$A86)+COUNTIFS(Students!$A:$A,B$1,#REF!,$A86)+COUNTIFS(Students!$A:$A,B$1,#REF!,$A86)+COUNTIFS(Students!$A:$A,B$1,Students!$P:$P,$A86)+COUNTIFS(Students!$A:$A,B$1,Students!$R:$R,$A86))</f>
        <v/>
      </c>
      <c r="C86" s="174" t="str">
        <f>if($A86="","",COUNTIFS(Students!$A:$A,C$1,Students!$D:$D,$A86)+COUNTIFS(Students!$A:$A,C$1,Students!$F:$F,$A86)+COUNTIFS(Students!$A:$A,C$1,Students!$H:$H,$A86)+COUNTIFS(Students!$A:$A,C$1,Students!$J:$J,$A86)+COUNTIFS(Students!$A:$A,C$1,Students!$L:$L,$A86)+COUNTIFS(Students!$A:$A,C$1,Students!$N:$N,$A86)+COUNTIFS(Students!$A:$A,C$1,#REF!,$A86)+COUNTIFS(Students!$A:$A,C$1,#REF!,$A86)+COUNTIFS(Students!$A:$A,C$1,Students!$P:$P,$A86)+COUNTIFS(Students!$A:$A,C$1,Students!$R:$R,$A86))</f>
        <v/>
      </c>
      <c r="D86" s="174" t="str">
        <f>if($A86="","",COUNTIFS(Students!$A:$A,D$1,Students!$D:$D,$A86)+COUNTIFS(Students!$A:$A,D$1,Students!$F:$F,$A86)+COUNTIFS(Students!$A:$A,D$1,Students!$H:$H,$A86)+COUNTIFS(Students!$A:$A,D$1,Students!$J:$J,$A86)+COUNTIFS(Students!$A:$A,D$1,Students!$L:$L,$A86)+COUNTIFS(Students!$A:$A,D$1,Students!$N:$N,$A86)+COUNTIFS(Students!$A:$A,D$1,#REF!,$A86)+COUNTIFS(Students!$A:$A,D$1,#REF!,$A86)+COUNTIFS(Students!$A:$A,D$1,Students!$P:$P,$A86)+COUNTIFS(Students!$A:$A,D$1,Students!$R:$R,$A86))</f>
        <v/>
      </c>
      <c r="E86" s="175" t="str">
        <f t="shared" si="1"/>
        <v/>
      </c>
      <c r="F86" s="175" t="str">
        <f>if($A86="","",sumifs(Schedule!$O:$O,Schedule!$M:$M,$A86)+sumifs(Schedule!$R:$R,Schedule!$P:$P,$A86)+sumifs(Schedule!$U:$U,Schedule!$S:$S,$A86)+sumifs(Schedule!$X:$X,Schedule!$V:$V,$A86)+sumifs(Schedule!$AA:$AA,Schedule!$Y:$Y,$A86)+sumifs(Schedule!$AD:$AD,Schedule!$AB:$AB,$A86))</f>
        <v/>
      </c>
      <c r="G86" s="175" t="str">
        <f t="shared" si="2"/>
        <v/>
      </c>
      <c r="H86" s="176" t="str">
        <f>if(A86="","",countifs(Schedule!M$1:AB618,A86))</f>
        <v/>
      </c>
      <c r="I86" s="177" t="str">
        <f t="shared" si="3"/>
        <v/>
      </c>
    </row>
    <row r="87">
      <c r="A87" s="179"/>
      <c r="B87" s="174" t="str">
        <f>if($A87="","",COUNTIFS(Students!$A:$A,B$1,Students!$D:$D,$A87)+COUNTIFS(Students!$A:$A,B$1,Students!$F:$F,$A87)+COUNTIFS(Students!$A:$A,B$1,Students!$H:$H,$A87)+COUNTIFS(Students!$A:$A,B$1,Students!$J:$J,$A87)+COUNTIFS(Students!$A:$A,B$1,Students!$L:$L,$A87)+COUNTIFS(Students!$A:$A,B$1,Students!$N:$N,$A87)+COUNTIFS(Students!$A:$A,B$1,#REF!,$A87)+COUNTIFS(Students!$A:$A,B$1,#REF!,$A87)+COUNTIFS(Students!$A:$A,B$1,Students!$P:$P,$A87)+COUNTIFS(Students!$A:$A,B$1,Students!$R:$R,$A87))</f>
        <v/>
      </c>
      <c r="C87" s="174" t="str">
        <f>if($A87="","",COUNTIFS(Students!$A:$A,C$1,Students!$D:$D,$A87)+COUNTIFS(Students!$A:$A,C$1,Students!$F:$F,$A87)+COUNTIFS(Students!$A:$A,C$1,Students!$H:$H,$A87)+COUNTIFS(Students!$A:$A,C$1,Students!$J:$J,$A87)+COUNTIFS(Students!$A:$A,C$1,Students!$L:$L,$A87)+COUNTIFS(Students!$A:$A,C$1,Students!$N:$N,$A87)+COUNTIFS(Students!$A:$A,C$1,#REF!,$A87)+COUNTIFS(Students!$A:$A,C$1,#REF!,$A87)+COUNTIFS(Students!$A:$A,C$1,Students!$P:$P,$A87)+COUNTIFS(Students!$A:$A,C$1,Students!$R:$R,$A87))</f>
        <v/>
      </c>
      <c r="D87" s="174" t="str">
        <f>if($A87="","",COUNTIFS(Students!$A:$A,D$1,Students!$D:$D,$A87)+COUNTIFS(Students!$A:$A,D$1,Students!$F:$F,$A87)+COUNTIFS(Students!$A:$A,D$1,Students!$H:$H,$A87)+COUNTIFS(Students!$A:$A,D$1,Students!$J:$J,$A87)+COUNTIFS(Students!$A:$A,D$1,Students!$L:$L,$A87)+COUNTIFS(Students!$A:$A,D$1,Students!$N:$N,$A87)+COUNTIFS(Students!$A:$A,D$1,#REF!,$A87)+COUNTIFS(Students!$A:$A,D$1,#REF!,$A87)+COUNTIFS(Students!$A:$A,D$1,Students!$P:$P,$A87)+COUNTIFS(Students!$A:$A,D$1,Students!$R:$R,$A87))</f>
        <v/>
      </c>
      <c r="E87" s="175" t="str">
        <f t="shared" si="1"/>
        <v/>
      </c>
      <c r="F87" s="175" t="str">
        <f>if($A87="","",sumifs(Schedule!$O:$O,Schedule!$M:$M,$A87)+sumifs(Schedule!$R:$R,Schedule!$P:$P,$A87)+sumifs(Schedule!$U:$U,Schedule!$S:$S,$A87)+sumifs(Schedule!$X:$X,Schedule!$V:$V,$A87)+sumifs(Schedule!$AA:$AA,Schedule!$Y:$Y,$A87)+sumifs(Schedule!$AD:$AD,Schedule!$AB:$AB,$A87))</f>
        <v/>
      </c>
      <c r="G87" s="175" t="str">
        <f t="shared" si="2"/>
        <v/>
      </c>
      <c r="H87" s="176" t="str">
        <f>if(A87="","",countifs(Schedule!M$1:AB618,A87))</f>
        <v/>
      </c>
      <c r="I87" s="177" t="str">
        <f t="shared" si="3"/>
        <v/>
      </c>
    </row>
    <row r="88">
      <c r="A88" s="179"/>
      <c r="B88" s="174" t="str">
        <f>if($A88="","",COUNTIFS(Students!$A:$A,B$1,Students!$D:$D,$A88)+COUNTIFS(Students!$A:$A,B$1,Students!$F:$F,$A88)+COUNTIFS(Students!$A:$A,B$1,Students!$H:$H,$A88)+COUNTIFS(Students!$A:$A,B$1,Students!$J:$J,$A88)+COUNTIFS(Students!$A:$A,B$1,Students!$L:$L,$A88)+COUNTIFS(Students!$A:$A,B$1,Students!$N:$N,$A88)+COUNTIFS(Students!$A:$A,B$1,#REF!,$A88)+COUNTIFS(Students!$A:$A,B$1,#REF!,$A88)+COUNTIFS(Students!$A:$A,B$1,Students!$P:$P,$A88)+COUNTIFS(Students!$A:$A,B$1,Students!$R:$R,$A88))</f>
        <v/>
      </c>
      <c r="C88" s="174" t="str">
        <f>if($A88="","",COUNTIFS(Students!$A:$A,C$1,Students!$D:$D,$A88)+COUNTIFS(Students!$A:$A,C$1,Students!$F:$F,$A88)+COUNTIFS(Students!$A:$A,C$1,Students!$H:$H,$A88)+COUNTIFS(Students!$A:$A,C$1,Students!$J:$J,$A88)+COUNTIFS(Students!$A:$A,C$1,Students!$L:$L,$A88)+COUNTIFS(Students!$A:$A,C$1,Students!$N:$N,$A88)+COUNTIFS(Students!$A:$A,C$1,#REF!,$A88)+COUNTIFS(Students!$A:$A,C$1,#REF!,$A88)+COUNTIFS(Students!$A:$A,C$1,Students!$P:$P,$A88)+COUNTIFS(Students!$A:$A,C$1,Students!$R:$R,$A88))</f>
        <v/>
      </c>
      <c r="D88" s="174" t="str">
        <f>if($A88="","",COUNTIFS(Students!$A:$A,D$1,Students!$D:$D,$A88)+COUNTIFS(Students!$A:$A,D$1,Students!$F:$F,$A88)+COUNTIFS(Students!$A:$A,D$1,Students!$H:$H,$A88)+COUNTIFS(Students!$A:$A,D$1,Students!$J:$J,$A88)+COUNTIFS(Students!$A:$A,D$1,Students!$L:$L,$A88)+COUNTIFS(Students!$A:$A,D$1,Students!$N:$N,$A88)+COUNTIFS(Students!$A:$A,D$1,#REF!,$A88)+COUNTIFS(Students!$A:$A,D$1,#REF!,$A88)+COUNTIFS(Students!$A:$A,D$1,Students!$P:$P,$A88)+COUNTIFS(Students!$A:$A,D$1,Students!$R:$R,$A88))</f>
        <v/>
      </c>
      <c r="E88" s="175" t="str">
        <f t="shared" si="1"/>
        <v/>
      </c>
      <c r="F88" s="175" t="str">
        <f>if($A88="","",sumifs(Schedule!$O:$O,Schedule!$M:$M,$A88)+sumifs(Schedule!$R:$R,Schedule!$P:$P,$A88)+sumifs(Schedule!$U:$U,Schedule!$S:$S,$A88)+sumifs(Schedule!$X:$X,Schedule!$V:$V,$A88)+sumifs(Schedule!$AA:$AA,Schedule!$Y:$Y,$A88)+sumifs(Schedule!$AD:$AD,Schedule!$AB:$AB,$A88))</f>
        <v/>
      </c>
      <c r="G88" s="175" t="str">
        <f t="shared" si="2"/>
        <v/>
      </c>
      <c r="H88" s="176" t="str">
        <f>if(A88="","",countifs(Schedule!M$1:AB618,A88))</f>
        <v/>
      </c>
      <c r="I88" s="177" t="str">
        <f t="shared" si="3"/>
        <v/>
      </c>
    </row>
    <row r="89">
      <c r="A89" s="182"/>
      <c r="B89" s="183"/>
      <c r="C89" s="183"/>
      <c r="D89" s="183"/>
      <c r="E89" s="184"/>
      <c r="F89" s="184"/>
      <c r="G89" s="184"/>
      <c r="H89" s="185"/>
      <c r="I89" s="186"/>
    </row>
    <row r="90">
      <c r="A90" s="182"/>
      <c r="B90" s="183"/>
      <c r="C90" s="183"/>
      <c r="D90" s="183"/>
      <c r="E90" s="184"/>
      <c r="F90" s="184"/>
      <c r="G90" s="184"/>
      <c r="H90" s="185"/>
      <c r="I90" s="186"/>
    </row>
    <row r="91">
      <c r="A91" s="182"/>
      <c r="B91" s="183"/>
      <c r="C91" s="183"/>
      <c r="D91" s="183"/>
      <c r="E91" s="184"/>
      <c r="F91" s="184"/>
      <c r="G91" s="184"/>
      <c r="H91" s="185"/>
      <c r="I91" s="186"/>
    </row>
    <row r="92">
      <c r="A92" s="182"/>
      <c r="B92" s="183"/>
      <c r="C92" s="183"/>
      <c r="D92" s="183"/>
      <c r="E92" s="184"/>
      <c r="F92" s="184"/>
      <c r="G92" s="184"/>
      <c r="H92" s="185"/>
      <c r="I92" s="186"/>
    </row>
    <row r="93">
      <c r="A93" s="182"/>
      <c r="B93" s="183"/>
      <c r="C93" s="183"/>
      <c r="D93" s="183"/>
      <c r="E93" s="184"/>
      <c r="F93" s="184"/>
      <c r="G93" s="184"/>
      <c r="H93" s="185"/>
      <c r="I93" s="186"/>
    </row>
    <row r="94">
      <c r="A94" s="182"/>
      <c r="B94" s="183"/>
      <c r="C94" s="183"/>
      <c r="D94" s="183"/>
      <c r="E94" s="184"/>
      <c r="F94" s="184"/>
      <c r="G94" s="184"/>
      <c r="H94" s="185"/>
      <c r="I94" s="186"/>
    </row>
    <row r="95">
      <c r="A95" s="182"/>
      <c r="B95" s="183"/>
      <c r="C95" s="183"/>
      <c r="D95" s="183"/>
      <c r="E95" s="184"/>
      <c r="F95" s="184"/>
      <c r="G95" s="184"/>
      <c r="H95" s="185"/>
      <c r="I95" s="186"/>
    </row>
    <row r="96">
      <c r="A96" s="182"/>
      <c r="B96" s="183"/>
      <c r="C96" s="183"/>
      <c r="D96" s="183"/>
      <c r="E96" s="184"/>
      <c r="F96" s="184"/>
      <c r="G96" s="184"/>
      <c r="H96" s="185"/>
      <c r="I96" s="186"/>
    </row>
    <row r="97">
      <c r="A97" s="182"/>
      <c r="B97" s="183"/>
      <c r="C97" s="183"/>
      <c r="D97" s="183"/>
      <c r="E97" s="184"/>
      <c r="F97" s="184"/>
      <c r="G97" s="184"/>
      <c r="H97" s="185"/>
      <c r="I97" s="186"/>
    </row>
    <row r="98">
      <c r="A98" s="182"/>
      <c r="B98" s="183"/>
      <c r="C98" s="183"/>
      <c r="D98" s="183"/>
      <c r="E98" s="184"/>
      <c r="F98" s="184"/>
      <c r="G98" s="184"/>
      <c r="H98" s="185"/>
      <c r="I98" s="186"/>
    </row>
    <row r="99">
      <c r="A99" s="182"/>
      <c r="B99" s="183"/>
      <c r="C99" s="183"/>
      <c r="D99" s="183"/>
      <c r="E99" s="184"/>
      <c r="F99" s="184"/>
      <c r="G99" s="184"/>
      <c r="H99" s="185"/>
      <c r="I99" s="186"/>
    </row>
    <row r="100">
      <c r="A100" s="182"/>
      <c r="B100" s="183"/>
      <c r="C100" s="183"/>
      <c r="D100" s="183"/>
      <c r="E100" s="184"/>
      <c r="F100" s="184"/>
      <c r="G100" s="184"/>
      <c r="H100" s="185"/>
      <c r="I100" s="186"/>
    </row>
    <row r="101">
      <c r="A101" s="182"/>
      <c r="B101" s="183"/>
      <c r="C101" s="183"/>
      <c r="D101" s="183"/>
      <c r="E101" s="184"/>
      <c r="F101" s="184"/>
      <c r="G101" s="184"/>
      <c r="H101" s="185"/>
      <c r="I101" s="186"/>
    </row>
    <row r="102">
      <c r="A102" s="182"/>
      <c r="B102" s="183"/>
      <c r="C102" s="183"/>
      <c r="D102" s="183"/>
      <c r="E102" s="184"/>
      <c r="F102" s="184"/>
      <c r="G102" s="184"/>
      <c r="H102" s="185"/>
      <c r="I102" s="186"/>
    </row>
    <row r="103">
      <c r="A103" s="182"/>
      <c r="B103" s="183"/>
      <c r="C103" s="183"/>
      <c r="D103" s="183"/>
      <c r="E103" s="184"/>
      <c r="F103" s="184"/>
      <c r="G103" s="184"/>
      <c r="H103" s="185"/>
      <c r="I103" s="186"/>
    </row>
    <row r="104">
      <c r="A104" s="182"/>
      <c r="B104" s="183"/>
      <c r="C104" s="183"/>
      <c r="D104" s="183"/>
      <c r="E104" s="184"/>
      <c r="F104" s="184"/>
      <c r="G104" s="184"/>
      <c r="H104" s="185"/>
      <c r="I104" s="186"/>
    </row>
    <row r="105">
      <c r="A105" s="182"/>
      <c r="B105" s="183"/>
      <c r="C105" s="183"/>
      <c r="D105" s="183"/>
      <c r="E105" s="184"/>
      <c r="F105" s="184"/>
      <c r="G105" s="184"/>
      <c r="H105" s="185"/>
      <c r="I105" s="186"/>
    </row>
    <row r="106">
      <c r="A106" s="182"/>
      <c r="B106" s="183"/>
      <c r="C106" s="183"/>
      <c r="D106" s="183"/>
      <c r="E106" s="184"/>
      <c r="F106" s="184"/>
      <c r="G106" s="184"/>
      <c r="H106" s="185"/>
      <c r="I106" s="186"/>
    </row>
    <row r="107">
      <c r="A107" s="182"/>
      <c r="B107" s="183"/>
      <c r="C107" s="183"/>
      <c r="D107" s="183"/>
      <c r="E107" s="184"/>
      <c r="F107" s="184"/>
      <c r="G107" s="184"/>
      <c r="H107" s="185"/>
      <c r="I107" s="186"/>
    </row>
    <row r="108">
      <c r="A108" s="182"/>
      <c r="B108" s="183"/>
      <c r="C108" s="183"/>
      <c r="D108" s="183"/>
      <c r="E108" s="184"/>
      <c r="F108" s="184"/>
      <c r="G108" s="184"/>
      <c r="H108" s="185"/>
      <c r="I108" s="186"/>
    </row>
    <row r="109">
      <c r="A109" s="182"/>
      <c r="B109" s="183"/>
      <c r="C109" s="183"/>
      <c r="D109" s="183"/>
      <c r="E109" s="184"/>
      <c r="F109" s="184"/>
      <c r="G109" s="184"/>
      <c r="H109" s="185"/>
      <c r="I109" s="186"/>
    </row>
    <row r="110">
      <c r="A110" s="182"/>
      <c r="B110" s="183"/>
      <c r="C110" s="183"/>
      <c r="D110" s="183"/>
      <c r="E110" s="184"/>
      <c r="F110" s="184"/>
      <c r="G110" s="184"/>
      <c r="H110" s="185"/>
      <c r="I110" s="186"/>
    </row>
    <row r="111">
      <c r="A111" s="182"/>
      <c r="B111" s="183"/>
      <c r="C111" s="183"/>
      <c r="D111" s="183"/>
      <c r="E111" s="184"/>
      <c r="F111" s="184"/>
      <c r="G111" s="184"/>
      <c r="H111" s="185"/>
      <c r="I111" s="186"/>
    </row>
    <row r="112">
      <c r="A112" s="182"/>
      <c r="B112" s="183"/>
      <c r="C112" s="183"/>
      <c r="D112" s="183"/>
      <c r="E112" s="184"/>
      <c r="F112" s="184"/>
      <c r="G112" s="184"/>
      <c r="H112" s="185"/>
      <c r="I112" s="186"/>
    </row>
    <row r="113">
      <c r="A113" s="182"/>
      <c r="B113" s="183"/>
      <c r="C113" s="183"/>
      <c r="D113" s="183"/>
      <c r="E113" s="184"/>
      <c r="F113" s="184"/>
      <c r="G113" s="184"/>
      <c r="H113" s="185"/>
      <c r="I113" s="186"/>
    </row>
    <row r="114">
      <c r="A114" s="182"/>
      <c r="B114" s="183"/>
      <c r="C114" s="183"/>
      <c r="D114" s="183"/>
      <c r="E114" s="184"/>
      <c r="F114" s="184"/>
      <c r="G114" s="184"/>
      <c r="H114" s="185"/>
      <c r="I114" s="186"/>
    </row>
    <row r="115">
      <c r="A115" s="182"/>
      <c r="B115" s="183"/>
      <c r="C115" s="183"/>
      <c r="D115" s="183"/>
      <c r="E115" s="184"/>
      <c r="F115" s="184"/>
      <c r="G115" s="184"/>
      <c r="H115" s="185"/>
      <c r="I115" s="186"/>
    </row>
    <row r="116">
      <c r="A116" s="182"/>
      <c r="B116" s="183"/>
      <c r="C116" s="183"/>
      <c r="D116" s="183"/>
      <c r="E116" s="184"/>
      <c r="F116" s="184"/>
      <c r="G116" s="184"/>
      <c r="H116" s="185"/>
      <c r="I116" s="186"/>
    </row>
    <row r="117">
      <c r="A117" s="182"/>
      <c r="B117" s="183"/>
      <c r="C117" s="183"/>
      <c r="D117" s="183"/>
      <c r="E117" s="184"/>
      <c r="F117" s="184"/>
      <c r="G117" s="184"/>
      <c r="H117" s="185"/>
      <c r="I117" s="186"/>
    </row>
    <row r="118">
      <c r="A118" s="182"/>
      <c r="B118" s="183"/>
      <c r="C118" s="183"/>
      <c r="D118" s="183"/>
      <c r="E118" s="184"/>
      <c r="F118" s="184"/>
      <c r="G118" s="184"/>
      <c r="H118" s="185"/>
      <c r="I118" s="186"/>
    </row>
    <row r="119">
      <c r="A119" s="182"/>
      <c r="B119" s="183"/>
      <c r="C119" s="183"/>
      <c r="D119" s="183"/>
      <c r="E119" s="184"/>
      <c r="F119" s="184"/>
      <c r="G119" s="184"/>
      <c r="H119" s="185"/>
      <c r="I119" s="186"/>
    </row>
    <row r="120">
      <c r="A120" s="182"/>
      <c r="B120" s="183"/>
      <c r="C120" s="183"/>
      <c r="D120" s="183"/>
      <c r="E120" s="184"/>
      <c r="F120" s="184"/>
      <c r="G120" s="184"/>
      <c r="H120" s="185"/>
      <c r="I120" s="186"/>
    </row>
    <row r="121">
      <c r="A121" s="182"/>
      <c r="B121" s="183"/>
      <c r="C121" s="183"/>
      <c r="D121" s="183"/>
      <c r="E121" s="184"/>
      <c r="F121" s="184"/>
      <c r="G121" s="184"/>
      <c r="H121" s="185"/>
      <c r="I121" s="186"/>
    </row>
    <row r="122">
      <c r="A122" s="182"/>
      <c r="B122" s="183"/>
      <c r="C122" s="183"/>
      <c r="D122" s="183"/>
      <c r="E122" s="184"/>
      <c r="F122" s="184"/>
      <c r="G122" s="184"/>
      <c r="H122" s="185"/>
      <c r="I122" s="186"/>
    </row>
    <row r="123">
      <c r="A123" s="182"/>
      <c r="B123" s="183"/>
      <c r="C123" s="183"/>
      <c r="D123" s="183"/>
      <c r="E123" s="184"/>
      <c r="F123" s="184"/>
      <c r="G123" s="184"/>
      <c r="H123" s="185"/>
      <c r="I123" s="186"/>
    </row>
    <row r="124">
      <c r="A124" s="182"/>
      <c r="B124" s="183"/>
      <c r="C124" s="183"/>
      <c r="D124" s="183"/>
      <c r="E124" s="184"/>
      <c r="F124" s="184"/>
      <c r="G124" s="184"/>
      <c r="H124" s="185"/>
      <c r="I124" s="186"/>
    </row>
    <row r="125">
      <c r="A125" s="182"/>
      <c r="B125" s="183"/>
      <c r="C125" s="183"/>
      <c r="D125" s="183"/>
      <c r="E125" s="184"/>
      <c r="F125" s="184"/>
      <c r="G125" s="184"/>
      <c r="H125" s="185"/>
      <c r="I125" s="186"/>
    </row>
    <row r="126">
      <c r="A126" s="182"/>
      <c r="B126" s="183"/>
      <c r="C126" s="183"/>
      <c r="D126" s="183"/>
      <c r="E126" s="184"/>
      <c r="F126" s="184"/>
      <c r="G126" s="184"/>
      <c r="H126" s="185"/>
      <c r="I126" s="186"/>
    </row>
    <row r="127">
      <c r="A127" s="182"/>
      <c r="B127" s="183"/>
      <c r="C127" s="183"/>
      <c r="D127" s="183"/>
      <c r="E127" s="184"/>
      <c r="F127" s="184"/>
      <c r="G127" s="184"/>
      <c r="H127" s="185"/>
      <c r="I127" s="186"/>
    </row>
    <row r="128">
      <c r="A128" s="182"/>
      <c r="B128" s="183"/>
      <c r="C128" s="183"/>
      <c r="D128" s="183"/>
      <c r="E128" s="184"/>
      <c r="F128" s="184"/>
      <c r="G128" s="184"/>
      <c r="H128" s="185"/>
      <c r="I128" s="186"/>
    </row>
    <row r="129">
      <c r="A129" s="182"/>
      <c r="B129" s="183"/>
      <c r="C129" s="183"/>
      <c r="D129" s="183"/>
      <c r="E129" s="184"/>
      <c r="F129" s="184"/>
      <c r="G129" s="184"/>
      <c r="H129" s="185"/>
      <c r="I129" s="186"/>
    </row>
    <row r="130">
      <c r="A130" s="182"/>
      <c r="B130" s="183"/>
      <c r="C130" s="183"/>
      <c r="D130" s="183"/>
      <c r="E130" s="184"/>
      <c r="F130" s="184"/>
      <c r="G130" s="184"/>
      <c r="H130" s="185"/>
      <c r="I130" s="186"/>
    </row>
    <row r="131">
      <c r="A131" s="182"/>
      <c r="B131" s="183"/>
      <c r="C131" s="183"/>
      <c r="D131" s="183"/>
      <c r="E131" s="184"/>
      <c r="F131" s="184"/>
      <c r="G131" s="184"/>
      <c r="H131" s="185"/>
      <c r="I131" s="186"/>
    </row>
    <row r="132">
      <c r="A132" s="182"/>
      <c r="B132" s="183"/>
      <c r="C132" s="183"/>
      <c r="D132" s="183"/>
      <c r="E132" s="184"/>
      <c r="F132" s="184"/>
      <c r="G132" s="184"/>
      <c r="H132" s="185"/>
      <c r="I132" s="186"/>
    </row>
    <row r="133">
      <c r="A133" s="182"/>
      <c r="B133" s="183"/>
      <c r="C133" s="183"/>
      <c r="D133" s="183"/>
      <c r="E133" s="184"/>
      <c r="F133" s="184"/>
      <c r="G133" s="184"/>
      <c r="H133" s="185"/>
      <c r="I133" s="186"/>
    </row>
    <row r="134">
      <c r="A134" s="182"/>
      <c r="B134" s="183"/>
      <c r="C134" s="183"/>
      <c r="D134" s="183"/>
      <c r="E134" s="184"/>
      <c r="F134" s="184"/>
      <c r="G134" s="184"/>
      <c r="H134" s="185"/>
      <c r="I134" s="186"/>
    </row>
    <row r="135">
      <c r="A135" s="182"/>
      <c r="B135" s="183"/>
      <c r="C135" s="183"/>
      <c r="D135" s="183"/>
      <c r="E135" s="184"/>
      <c r="F135" s="184"/>
      <c r="G135" s="184"/>
      <c r="H135" s="185"/>
      <c r="I135" s="186"/>
    </row>
    <row r="136">
      <c r="A136" s="182"/>
      <c r="B136" s="183"/>
      <c r="C136" s="183"/>
      <c r="D136" s="183"/>
      <c r="E136" s="184"/>
      <c r="F136" s="184"/>
      <c r="G136" s="184"/>
      <c r="H136" s="185"/>
      <c r="I136" s="186"/>
    </row>
    <row r="137">
      <c r="A137" s="182"/>
      <c r="B137" s="183"/>
      <c r="C137" s="183"/>
      <c r="D137" s="183"/>
      <c r="E137" s="184"/>
      <c r="F137" s="184"/>
      <c r="G137" s="184"/>
      <c r="H137" s="185"/>
      <c r="I137" s="186"/>
    </row>
    <row r="138">
      <c r="A138" s="182"/>
      <c r="B138" s="183"/>
      <c r="C138" s="183"/>
      <c r="D138" s="183"/>
      <c r="E138" s="184"/>
      <c r="F138" s="184"/>
      <c r="G138" s="184"/>
      <c r="H138" s="185"/>
      <c r="I138" s="186"/>
    </row>
    <row r="139">
      <c r="A139" s="182"/>
      <c r="B139" s="183"/>
      <c r="C139" s="183"/>
      <c r="D139" s="183"/>
      <c r="E139" s="184"/>
      <c r="F139" s="184"/>
      <c r="G139" s="184"/>
      <c r="H139" s="185"/>
      <c r="I139" s="186"/>
    </row>
    <row r="140">
      <c r="A140" s="182"/>
      <c r="B140" s="183"/>
      <c r="C140" s="183"/>
      <c r="D140" s="183"/>
      <c r="E140" s="184"/>
      <c r="F140" s="184"/>
      <c r="G140" s="184"/>
      <c r="H140" s="185"/>
      <c r="I140" s="186"/>
    </row>
    <row r="141">
      <c r="A141" s="182"/>
      <c r="B141" s="183"/>
      <c r="C141" s="183"/>
      <c r="D141" s="183"/>
      <c r="E141" s="184"/>
      <c r="F141" s="184"/>
      <c r="G141" s="184"/>
      <c r="H141" s="185"/>
      <c r="I141" s="186"/>
    </row>
    <row r="142">
      <c r="A142" s="182"/>
      <c r="B142" s="183"/>
      <c r="C142" s="183"/>
      <c r="D142" s="183"/>
      <c r="E142" s="184"/>
      <c r="F142" s="184"/>
      <c r="G142" s="184"/>
      <c r="H142" s="185"/>
      <c r="I142" s="186"/>
    </row>
    <row r="143">
      <c r="A143" s="182"/>
      <c r="B143" s="183"/>
      <c r="C143" s="183"/>
      <c r="D143" s="183"/>
      <c r="E143" s="184"/>
      <c r="F143" s="184"/>
      <c r="G143" s="184"/>
      <c r="H143" s="185"/>
      <c r="I143" s="186"/>
    </row>
    <row r="144">
      <c r="A144" s="182"/>
      <c r="B144" s="183"/>
      <c r="C144" s="183"/>
      <c r="D144" s="183"/>
      <c r="E144" s="184"/>
      <c r="F144" s="184"/>
      <c r="G144" s="184"/>
      <c r="H144" s="185"/>
      <c r="I144" s="186"/>
    </row>
    <row r="145">
      <c r="A145" s="182"/>
      <c r="B145" s="183"/>
      <c r="C145" s="183"/>
      <c r="D145" s="183"/>
      <c r="E145" s="184"/>
      <c r="F145" s="184"/>
      <c r="G145" s="184"/>
      <c r="H145" s="185"/>
      <c r="I145" s="186"/>
    </row>
    <row r="146">
      <c r="A146" s="182"/>
      <c r="B146" s="183"/>
      <c r="C146" s="183"/>
      <c r="D146" s="183"/>
      <c r="E146" s="184"/>
      <c r="F146" s="184"/>
      <c r="G146" s="184"/>
      <c r="H146" s="185"/>
      <c r="I146" s="186"/>
    </row>
    <row r="147">
      <c r="A147" s="182"/>
      <c r="B147" s="183"/>
      <c r="C147" s="183"/>
      <c r="D147" s="183"/>
      <c r="E147" s="184"/>
      <c r="F147" s="184"/>
      <c r="G147" s="184"/>
      <c r="H147" s="185"/>
      <c r="I147" s="186"/>
    </row>
    <row r="148">
      <c r="A148" s="182"/>
      <c r="B148" s="183"/>
      <c r="C148" s="183"/>
      <c r="D148" s="183"/>
      <c r="E148" s="184"/>
      <c r="F148" s="184"/>
      <c r="G148" s="184"/>
      <c r="H148" s="185"/>
      <c r="I148" s="186"/>
    </row>
    <row r="149">
      <c r="A149" s="182"/>
      <c r="B149" s="183"/>
      <c r="C149" s="183"/>
      <c r="D149" s="183"/>
      <c r="E149" s="184"/>
      <c r="F149" s="184"/>
      <c r="G149" s="184"/>
      <c r="H149" s="185"/>
      <c r="I149" s="186"/>
    </row>
    <row r="150">
      <c r="A150" s="182"/>
      <c r="B150" s="183"/>
      <c r="C150" s="183"/>
      <c r="D150" s="183"/>
      <c r="E150" s="184"/>
      <c r="F150" s="184"/>
      <c r="G150" s="184"/>
      <c r="H150" s="185"/>
      <c r="I150" s="186"/>
    </row>
    <row r="151">
      <c r="A151" s="182"/>
      <c r="B151" s="183"/>
      <c r="C151" s="183"/>
      <c r="D151" s="183"/>
      <c r="E151" s="184"/>
      <c r="F151" s="184"/>
      <c r="G151" s="184"/>
      <c r="H151" s="185"/>
      <c r="I151" s="186"/>
    </row>
    <row r="152">
      <c r="A152" s="182"/>
      <c r="B152" s="183"/>
      <c r="C152" s="183"/>
      <c r="D152" s="183"/>
      <c r="E152" s="184"/>
      <c r="F152" s="184"/>
      <c r="G152" s="184"/>
      <c r="H152" s="185"/>
      <c r="I152" s="186"/>
    </row>
    <row r="153">
      <c r="A153" s="182"/>
      <c r="B153" s="183"/>
      <c r="C153" s="183"/>
      <c r="D153" s="183"/>
      <c r="E153" s="184"/>
      <c r="F153" s="184"/>
      <c r="G153" s="184"/>
      <c r="H153" s="185"/>
      <c r="I153" s="186"/>
    </row>
    <row r="154">
      <c r="A154" s="182"/>
      <c r="B154" s="183"/>
      <c r="C154" s="183"/>
      <c r="D154" s="183"/>
      <c r="E154" s="184"/>
      <c r="F154" s="184"/>
      <c r="G154" s="184"/>
      <c r="H154" s="185"/>
      <c r="I154" s="186"/>
    </row>
    <row r="155">
      <c r="A155" s="182"/>
      <c r="B155" s="183"/>
      <c r="C155" s="183"/>
      <c r="D155" s="183"/>
      <c r="E155" s="184"/>
      <c r="F155" s="184"/>
      <c r="G155" s="184"/>
      <c r="H155" s="185"/>
      <c r="I155" s="186"/>
    </row>
    <row r="156">
      <c r="A156" s="182"/>
      <c r="B156" s="183"/>
      <c r="C156" s="183"/>
      <c r="D156" s="183"/>
      <c r="E156" s="184"/>
      <c r="F156" s="184"/>
      <c r="G156" s="184"/>
      <c r="H156" s="185"/>
      <c r="I156" s="186"/>
    </row>
    <row r="157">
      <c r="A157" s="182"/>
      <c r="B157" s="183"/>
      <c r="C157" s="183"/>
      <c r="D157" s="183"/>
      <c r="E157" s="184"/>
      <c r="F157" s="184"/>
      <c r="G157" s="184"/>
      <c r="H157" s="185"/>
      <c r="I157" s="186"/>
    </row>
    <row r="158">
      <c r="A158" s="182"/>
      <c r="B158" s="183"/>
      <c r="C158" s="183"/>
      <c r="D158" s="183"/>
      <c r="E158" s="184"/>
      <c r="F158" s="184"/>
      <c r="G158" s="184"/>
      <c r="H158" s="185"/>
      <c r="I158" s="186"/>
    </row>
    <row r="159">
      <c r="A159" s="182"/>
      <c r="B159" s="183"/>
      <c r="C159" s="183"/>
      <c r="D159" s="183"/>
      <c r="E159" s="184"/>
      <c r="F159" s="184"/>
      <c r="G159" s="184"/>
      <c r="H159" s="185"/>
      <c r="I159" s="186"/>
    </row>
    <row r="160">
      <c r="A160" s="182"/>
      <c r="B160" s="183"/>
      <c r="C160" s="183"/>
      <c r="D160" s="183"/>
      <c r="E160" s="184"/>
      <c r="F160" s="184"/>
      <c r="G160" s="184"/>
      <c r="H160" s="185"/>
      <c r="I160" s="186"/>
    </row>
    <row r="161">
      <c r="A161" s="182"/>
      <c r="B161" s="183"/>
      <c r="C161" s="183"/>
      <c r="D161" s="183"/>
      <c r="E161" s="184"/>
      <c r="F161" s="184"/>
      <c r="G161" s="184"/>
      <c r="H161" s="185"/>
      <c r="I161" s="186"/>
    </row>
    <row r="162">
      <c r="A162" s="182"/>
      <c r="B162" s="183"/>
      <c r="C162" s="183"/>
      <c r="D162" s="183"/>
      <c r="E162" s="184"/>
      <c r="F162" s="184"/>
      <c r="G162" s="184"/>
      <c r="H162" s="185"/>
      <c r="I162" s="186"/>
    </row>
    <row r="163">
      <c r="A163" s="182"/>
      <c r="B163" s="183"/>
      <c r="C163" s="183"/>
      <c r="D163" s="183"/>
      <c r="E163" s="184"/>
      <c r="F163" s="184"/>
      <c r="G163" s="184"/>
      <c r="H163" s="185"/>
      <c r="I163" s="186"/>
    </row>
    <row r="164">
      <c r="A164" s="182"/>
      <c r="B164" s="183"/>
      <c r="C164" s="183"/>
      <c r="D164" s="183"/>
      <c r="E164" s="184"/>
      <c r="F164" s="184"/>
      <c r="G164" s="184"/>
      <c r="H164" s="185"/>
      <c r="I164" s="186"/>
    </row>
    <row r="165">
      <c r="A165" s="182"/>
      <c r="B165" s="183"/>
      <c r="C165" s="183"/>
      <c r="D165" s="183"/>
      <c r="E165" s="184"/>
      <c r="F165" s="184"/>
      <c r="G165" s="184"/>
      <c r="H165" s="185"/>
      <c r="I165" s="186"/>
    </row>
    <row r="166">
      <c r="A166" s="182"/>
      <c r="B166" s="183"/>
      <c r="C166" s="183"/>
      <c r="D166" s="183"/>
      <c r="E166" s="184"/>
      <c r="F166" s="184"/>
      <c r="G166" s="184"/>
      <c r="H166" s="185"/>
      <c r="I166" s="186"/>
    </row>
    <row r="167">
      <c r="A167" s="182"/>
      <c r="B167" s="183"/>
      <c r="C167" s="183"/>
      <c r="D167" s="183"/>
      <c r="E167" s="184"/>
      <c r="F167" s="184"/>
      <c r="G167" s="184"/>
      <c r="H167" s="185"/>
      <c r="I167" s="186"/>
    </row>
    <row r="168">
      <c r="A168" s="182"/>
      <c r="B168" s="183"/>
      <c r="C168" s="183"/>
      <c r="D168" s="183"/>
      <c r="E168" s="184"/>
      <c r="F168" s="184"/>
      <c r="G168" s="184"/>
      <c r="H168" s="185"/>
      <c r="I168" s="186"/>
    </row>
    <row r="169">
      <c r="A169" s="182"/>
      <c r="B169" s="183"/>
      <c r="C169" s="183"/>
      <c r="D169" s="183"/>
      <c r="E169" s="184"/>
      <c r="F169" s="184"/>
      <c r="G169" s="184"/>
      <c r="H169" s="185"/>
      <c r="I169" s="186"/>
    </row>
    <row r="170">
      <c r="A170" s="182"/>
      <c r="B170" s="183"/>
      <c r="C170" s="183"/>
      <c r="D170" s="183"/>
      <c r="E170" s="184"/>
      <c r="F170" s="184"/>
      <c r="G170" s="184"/>
      <c r="H170" s="185"/>
      <c r="I170" s="186"/>
    </row>
    <row r="171">
      <c r="A171" s="182"/>
      <c r="B171" s="183"/>
      <c r="C171" s="183"/>
      <c r="D171" s="183"/>
      <c r="E171" s="184"/>
      <c r="F171" s="184"/>
      <c r="G171" s="184"/>
      <c r="H171" s="185"/>
      <c r="I171" s="186"/>
    </row>
    <row r="172">
      <c r="A172" s="182"/>
      <c r="B172" s="183"/>
      <c r="C172" s="183"/>
      <c r="D172" s="183"/>
      <c r="E172" s="184"/>
      <c r="F172" s="184"/>
      <c r="G172" s="184"/>
      <c r="H172" s="185"/>
      <c r="I172" s="186"/>
    </row>
    <row r="173">
      <c r="A173" s="182"/>
      <c r="B173" s="183"/>
      <c r="C173" s="183"/>
      <c r="D173" s="183"/>
      <c r="E173" s="184"/>
      <c r="F173" s="184"/>
      <c r="G173" s="184"/>
      <c r="H173" s="185"/>
      <c r="I173" s="186"/>
    </row>
    <row r="174">
      <c r="A174" s="182"/>
      <c r="B174" s="183"/>
      <c r="C174" s="183"/>
      <c r="D174" s="183"/>
      <c r="E174" s="184"/>
      <c r="F174" s="184"/>
      <c r="G174" s="184"/>
      <c r="H174" s="185"/>
      <c r="I174" s="186"/>
    </row>
    <row r="175">
      <c r="A175" s="182"/>
      <c r="B175" s="183"/>
      <c r="C175" s="183"/>
      <c r="D175" s="183"/>
      <c r="E175" s="184"/>
      <c r="F175" s="184"/>
      <c r="G175" s="184"/>
      <c r="H175" s="185"/>
      <c r="I175" s="186"/>
    </row>
    <row r="176">
      <c r="A176" s="182"/>
      <c r="B176" s="183"/>
      <c r="C176" s="183"/>
      <c r="D176" s="183"/>
      <c r="E176" s="184"/>
      <c r="F176" s="184"/>
      <c r="G176" s="184"/>
      <c r="H176" s="185"/>
      <c r="I176" s="186"/>
    </row>
    <row r="177">
      <c r="A177" s="182"/>
      <c r="B177" s="183"/>
      <c r="C177" s="183"/>
      <c r="D177" s="183"/>
      <c r="E177" s="184"/>
      <c r="F177" s="184"/>
      <c r="G177" s="184"/>
      <c r="H177" s="185"/>
      <c r="I177" s="186"/>
    </row>
    <row r="178">
      <c r="A178" s="182"/>
      <c r="B178" s="183"/>
      <c r="C178" s="183"/>
      <c r="D178" s="183"/>
      <c r="E178" s="184"/>
      <c r="F178" s="184"/>
      <c r="G178" s="184"/>
      <c r="H178" s="185"/>
      <c r="I178" s="186"/>
    </row>
    <row r="179">
      <c r="A179" s="182"/>
      <c r="B179" s="183"/>
      <c r="C179" s="183"/>
      <c r="D179" s="183"/>
      <c r="E179" s="184"/>
      <c r="F179" s="184"/>
      <c r="G179" s="184"/>
      <c r="H179" s="185"/>
      <c r="I179" s="186"/>
    </row>
    <row r="180">
      <c r="A180" s="182"/>
      <c r="B180" s="183"/>
      <c r="C180" s="183"/>
      <c r="D180" s="183"/>
      <c r="E180" s="184"/>
      <c r="F180" s="184"/>
      <c r="G180" s="184"/>
      <c r="H180" s="185"/>
      <c r="I180" s="186"/>
    </row>
    <row r="181">
      <c r="A181" s="182"/>
      <c r="B181" s="183"/>
      <c r="C181" s="183"/>
      <c r="D181" s="183"/>
      <c r="E181" s="184"/>
      <c r="F181" s="184"/>
      <c r="G181" s="184"/>
      <c r="H181" s="185"/>
      <c r="I181" s="186"/>
    </row>
    <row r="182">
      <c r="A182" s="182"/>
      <c r="B182" s="183"/>
      <c r="C182" s="183"/>
      <c r="D182" s="183"/>
      <c r="E182" s="184"/>
      <c r="F182" s="184"/>
      <c r="G182" s="184"/>
      <c r="H182" s="185"/>
      <c r="I182" s="186"/>
    </row>
    <row r="183">
      <c r="A183" s="182"/>
      <c r="B183" s="183"/>
      <c r="C183" s="183"/>
      <c r="D183" s="183"/>
      <c r="E183" s="184"/>
      <c r="F183" s="184"/>
      <c r="G183" s="184"/>
      <c r="H183" s="185"/>
      <c r="I183" s="186"/>
    </row>
    <row r="184">
      <c r="A184" s="182"/>
      <c r="B184" s="183"/>
      <c r="C184" s="183"/>
      <c r="D184" s="183"/>
      <c r="E184" s="184"/>
      <c r="F184" s="184"/>
      <c r="G184" s="184"/>
      <c r="H184" s="185"/>
      <c r="I184" s="186"/>
    </row>
    <row r="185">
      <c r="A185" s="182"/>
      <c r="B185" s="183"/>
      <c r="C185" s="183"/>
      <c r="D185" s="183"/>
      <c r="E185" s="184"/>
      <c r="F185" s="184"/>
      <c r="G185" s="184"/>
      <c r="H185" s="185"/>
      <c r="I185" s="186"/>
    </row>
    <row r="186">
      <c r="A186" s="182"/>
      <c r="B186" s="183"/>
      <c r="C186" s="183"/>
      <c r="D186" s="183"/>
      <c r="E186" s="184"/>
      <c r="F186" s="184"/>
      <c r="G186" s="184"/>
      <c r="H186" s="185"/>
      <c r="I186" s="186"/>
    </row>
    <row r="187">
      <c r="A187" s="182"/>
      <c r="B187" s="183"/>
      <c r="C187" s="183"/>
      <c r="D187" s="183"/>
      <c r="E187" s="184"/>
      <c r="F187" s="184"/>
      <c r="G187" s="184"/>
      <c r="H187" s="185"/>
      <c r="I187" s="186"/>
    </row>
    <row r="188">
      <c r="A188" s="182"/>
      <c r="B188" s="183"/>
      <c r="C188" s="183"/>
      <c r="D188" s="183"/>
      <c r="E188" s="184"/>
      <c r="F188" s="184"/>
      <c r="G188" s="184"/>
      <c r="H188" s="185"/>
      <c r="I188" s="186"/>
    </row>
    <row r="189">
      <c r="A189" s="182"/>
      <c r="B189" s="183"/>
      <c r="C189" s="183"/>
      <c r="D189" s="183"/>
      <c r="E189" s="184"/>
      <c r="F189" s="184"/>
      <c r="G189" s="184"/>
      <c r="H189" s="185"/>
      <c r="I189" s="186"/>
    </row>
    <row r="190">
      <c r="A190" s="182"/>
      <c r="B190" s="183"/>
      <c r="C190" s="183"/>
      <c r="D190" s="183"/>
      <c r="E190" s="184"/>
      <c r="F190" s="184"/>
      <c r="G190" s="184"/>
      <c r="H190" s="185"/>
      <c r="I190" s="186"/>
    </row>
    <row r="191">
      <c r="A191" s="182"/>
      <c r="B191" s="183"/>
      <c r="C191" s="183"/>
      <c r="D191" s="183"/>
      <c r="E191" s="184"/>
      <c r="F191" s="184"/>
      <c r="G191" s="184"/>
      <c r="H191" s="185"/>
      <c r="I191" s="186"/>
    </row>
    <row r="192">
      <c r="A192" s="182"/>
      <c r="B192" s="183"/>
      <c r="C192" s="183"/>
      <c r="D192" s="183"/>
      <c r="E192" s="184"/>
      <c r="F192" s="184"/>
      <c r="G192" s="184"/>
      <c r="H192" s="185"/>
      <c r="I192" s="186"/>
    </row>
    <row r="193">
      <c r="A193" s="182"/>
      <c r="B193" s="183"/>
      <c r="C193" s="183"/>
      <c r="D193" s="183"/>
      <c r="E193" s="184"/>
      <c r="F193" s="184"/>
      <c r="G193" s="184"/>
      <c r="H193" s="185"/>
      <c r="I193" s="186"/>
    </row>
    <row r="194">
      <c r="A194" s="182"/>
      <c r="B194" s="183"/>
      <c r="C194" s="183"/>
      <c r="D194" s="183"/>
      <c r="E194" s="184"/>
      <c r="F194" s="184"/>
      <c r="G194" s="184"/>
      <c r="H194" s="185"/>
      <c r="I194" s="186"/>
    </row>
    <row r="195">
      <c r="A195" s="182"/>
      <c r="B195" s="183"/>
      <c r="C195" s="183"/>
      <c r="D195" s="183"/>
      <c r="E195" s="184"/>
      <c r="F195" s="184"/>
      <c r="G195" s="184"/>
      <c r="H195" s="185"/>
      <c r="I195" s="186"/>
    </row>
    <row r="196">
      <c r="A196" s="182"/>
      <c r="B196" s="183"/>
      <c r="C196" s="183"/>
      <c r="D196" s="183"/>
      <c r="E196" s="184"/>
      <c r="F196" s="184"/>
      <c r="G196" s="184"/>
      <c r="H196" s="185"/>
      <c r="I196" s="186"/>
    </row>
    <row r="197">
      <c r="A197" s="182"/>
      <c r="B197" s="183"/>
      <c r="C197" s="183"/>
      <c r="D197" s="183"/>
      <c r="E197" s="184"/>
      <c r="F197" s="184"/>
      <c r="G197" s="184"/>
      <c r="H197" s="185"/>
      <c r="I197" s="186"/>
    </row>
    <row r="198">
      <c r="A198" s="182"/>
      <c r="B198" s="183"/>
      <c r="C198" s="183"/>
      <c r="D198" s="183"/>
      <c r="E198" s="184"/>
      <c r="F198" s="184"/>
      <c r="G198" s="184"/>
      <c r="H198" s="185"/>
      <c r="I198" s="186"/>
    </row>
    <row r="199">
      <c r="A199" s="182"/>
      <c r="B199" s="183"/>
      <c r="C199" s="183"/>
      <c r="D199" s="183"/>
      <c r="E199" s="184"/>
      <c r="F199" s="184"/>
      <c r="G199" s="184"/>
      <c r="H199" s="185"/>
      <c r="I199" s="186"/>
    </row>
    <row r="200">
      <c r="A200" s="182"/>
      <c r="B200" s="183"/>
      <c r="C200" s="183"/>
      <c r="D200" s="183"/>
      <c r="E200" s="184"/>
      <c r="F200" s="184"/>
      <c r="G200" s="184"/>
      <c r="H200" s="185"/>
      <c r="I200" s="186"/>
    </row>
    <row r="201">
      <c r="A201" s="182"/>
      <c r="B201" s="183"/>
      <c r="C201" s="183"/>
      <c r="D201" s="183"/>
      <c r="E201" s="184"/>
      <c r="F201" s="184"/>
      <c r="G201" s="184"/>
      <c r="H201" s="185"/>
      <c r="I201" s="186"/>
    </row>
    <row r="202">
      <c r="A202" s="182"/>
      <c r="B202" s="183"/>
      <c r="C202" s="183"/>
      <c r="D202" s="183"/>
      <c r="E202" s="184"/>
      <c r="F202" s="184"/>
      <c r="G202" s="184"/>
      <c r="H202" s="185"/>
      <c r="I202" s="186"/>
    </row>
    <row r="203">
      <c r="A203" s="182"/>
      <c r="B203" s="183"/>
      <c r="C203" s="183"/>
      <c r="D203" s="183"/>
      <c r="E203" s="184"/>
      <c r="F203" s="184"/>
      <c r="G203" s="184"/>
      <c r="H203" s="185"/>
      <c r="I203" s="186"/>
    </row>
    <row r="204">
      <c r="A204" s="182"/>
      <c r="B204" s="183"/>
      <c r="C204" s="183"/>
      <c r="D204" s="183"/>
      <c r="E204" s="184"/>
      <c r="F204" s="184"/>
      <c r="G204" s="184"/>
      <c r="H204" s="185"/>
      <c r="I204" s="186"/>
    </row>
    <row r="205">
      <c r="A205" s="182"/>
      <c r="B205" s="183"/>
      <c r="C205" s="183"/>
      <c r="D205" s="183"/>
      <c r="E205" s="184"/>
      <c r="F205" s="184"/>
      <c r="G205" s="184"/>
      <c r="H205" s="185"/>
      <c r="I205" s="186"/>
    </row>
    <row r="206">
      <c r="A206" s="182"/>
      <c r="B206" s="183"/>
      <c r="C206" s="183"/>
      <c r="D206" s="183"/>
      <c r="E206" s="184"/>
      <c r="F206" s="184"/>
      <c r="G206" s="184"/>
      <c r="H206" s="185"/>
      <c r="I206" s="186"/>
    </row>
    <row r="207">
      <c r="A207" s="182"/>
      <c r="B207" s="183"/>
      <c r="C207" s="183"/>
      <c r="D207" s="183"/>
      <c r="E207" s="184"/>
      <c r="F207" s="184"/>
      <c r="G207" s="184"/>
      <c r="H207" s="185"/>
      <c r="I207" s="186"/>
    </row>
    <row r="208">
      <c r="A208" s="182"/>
      <c r="B208" s="183"/>
      <c r="C208" s="183"/>
      <c r="D208" s="183"/>
      <c r="E208" s="184"/>
      <c r="F208" s="184"/>
      <c r="G208" s="184"/>
      <c r="H208" s="185"/>
      <c r="I208" s="186"/>
    </row>
    <row r="209">
      <c r="A209" s="182"/>
      <c r="B209" s="183"/>
      <c r="C209" s="183"/>
      <c r="D209" s="183"/>
      <c r="E209" s="184"/>
      <c r="F209" s="184"/>
      <c r="G209" s="184"/>
      <c r="H209" s="185"/>
      <c r="I209" s="186"/>
    </row>
    <row r="210">
      <c r="A210" s="182"/>
      <c r="B210" s="183"/>
      <c r="C210" s="183"/>
      <c r="D210" s="183"/>
      <c r="E210" s="184"/>
      <c r="F210" s="184"/>
      <c r="G210" s="184"/>
      <c r="H210" s="185"/>
      <c r="I210" s="186"/>
    </row>
    <row r="211">
      <c r="A211" s="182"/>
      <c r="B211" s="183"/>
      <c r="C211" s="183"/>
      <c r="D211" s="183"/>
      <c r="E211" s="184"/>
      <c r="F211" s="184"/>
      <c r="G211" s="184"/>
      <c r="H211" s="185"/>
      <c r="I211" s="186"/>
    </row>
    <row r="212">
      <c r="A212" s="182"/>
      <c r="B212" s="183"/>
      <c r="C212" s="183"/>
      <c r="D212" s="183"/>
      <c r="E212" s="184"/>
      <c r="F212" s="184"/>
      <c r="G212" s="184"/>
      <c r="H212" s="185"/>
      <c r="I212" s="186"/>
    </row>
    <row r="213">
      <c r="A213" s="182"/>
      <c r="B213" s="183"/>
      <c r="C213" s="183"/>
      <c r="D213" s="183"/>
      <c r="E213" s="184"/>
      <c r="F213" s="184"/>
      <c r="G213" s="184"/>
      <c r="H213" s="185"/>
      <c r="I213" s="186"/>
    </row>
    <row r="214">
      <c r="A214" s="182"/>
      <c r="B214" s="183"/>
      <c r="C214" s="183"/>
      <c r="D214" s="183"/>
      <c r="E214" s="184"/>
      <c r="F214" s="184"/>
      <c r="G214" s="184"/>
      <c r="H214" s="185"/>
      <c r="I214" s="186"/>
    </row>
    <row r="215">
      <c r="A215" s="182"/>
      <c r="B215" s="183"/>
      <c r="C215" s="183"/>
      <c r="D215" s="183"/>
      <c r="E215" s="184"/>
      <c r="F215" s="184"/>
      <c r="G215" s="184"/>
      <c r="H215" s="185"/>
      <c r="I215" s="186"/>
    </row>
    <row r="216">
      <c r="A216" s="182"/>
      <c r="B216" s="183"/>
      <c r="C216" s="183"/>
      <c r="D216" s="183"/>
      <c r="E216" s="184"/>
      <c r="F216" s="184"/>
      <c r="G216" s="184"/>
      <c r="H216" s="185"/>
      <c r="I216" s="186"/>
    </row>
    <row r="217">
      <c r="A217" s="182"/>
      <c r="B217" s="183"/>
      <c r="C217" s="183"/>
      <c r="D217" s="183"/>
      <c r="E217" s="184"/>
      <c r="F217" s="184"/>
      <c r="G217" s="184"/>
      <c r="H217" s="185"/>
      <c r="I217" s="186"/>
    </row>
    <row r="218">
      <c r="A218" s="182"/>
      <c r="B218" s="183"/>
      <c r="C218" s="183"/>
      <c r="D218" s="183"/>
      <c r="E218" s="184"/>
      <c r="F218" s="184"/>
      <c r="G218" s="184"/>
      <c r="H218" s="185"/>
      <c r="I218" s="186"/>
    </row>
    <row r="219">
      <c r="A219" s="182"/>
      <c r="B219" s="183"/>
      <c r="C219" s="183"/>
      <c r="D219" s="183"/>
      <c r="E219" s="184"/>
      <c r="F219" s="184"/>
      <c r="G219" s="184"/>
      <c r="H219" s="185"/>
      <c r="I219" s="186"/>
    </row>
    <row r="220">
      <c r="A220" s="182"/>
      <c r="B220" s="183"/>
      <c r="C220" s="183"/>
      <c r="D220" s="183"/>
      <c r="E220" s="184"/>
      <c r="F220" s="184"/>
      <c r="G220" s="184"/>
      <c r="H220" s="185"/>
      <c r="I220" s="186"/>
    </row>
    <row r="221">
      <c r="A221" s="182"/>
      <c r="B221" s="183"/>
      <c r="C221" s="183"/>
      <c r="D221" s="183"/>
      <c r="E221" s="184"/>
      <c r="F221" s="184"/>
      <c r="G221" s="184"/>
      <c r="H221" s="185"/>
      <c r="I221" s="186"/>
    </row>
    <row r="222">
      <c r="A222" s="182"/>
      <c r="B222" s="183"/>
      <c r="C222" s="183"/>
      <c r="D222" s="183"/>
      <c r="E222" s="184"/>
      <c r="F222" s="184"/>
      <c r="G222" s="184"/>
      <c r="H222" s="185"/>
      <c r="I222" s="186"/>
    </row>
    <row r="223">
      <c r="A223" s="182"/>
      <c r="B223" s="183"/>
      <c r="C223" s="183"/>
      <c r="D223" s="183"/>
      <c r="E223" s="184"/>
      <c r="F223" s="184"/>
      <c r="G223" s="184"/>
      <c r="H223" s="185"/>
      <c r="I223" s="186"/>
    </row>
    <row r="224">
      <c r="A224" s="182"/>
      <c r="B224" s="183"/>
      <c r="C224" s="183"/>
      <c r="D224" s="183"/>
      <c r="E224" s="184"/>
      <c r="F224" s="184"/>
      <c r="G224" s="184"/>
      <c r="H224" s="185"/>
      <c r="I224" s="186"/>
    </row>
    <row r="225">
      <c r="A225" s="182"/>
      <c r="B225" s="183"/>
      <c r="C225" s="183"/>
      <c r="D225" s="183"/>
      <c r="E225" s="184"/>
      <c r="F225" s="184"/>
      <c r="G225" s="184"/>
      <c r="H225" s="185"/>
      <c r="I225" s="186"/>
    </row>
    <row r="226">
      <c r="A226" s="182"/>
      <c r="B226" s="183"/>
      <c r="C226" s="183"/>
      <c r="D226" s="183"/>
      <c r="E226" s="184"/>
      <c r="F226" s="184"/>
      <c r="G226" s="184"/>
      <c r="H226" s="185"/>
      <c r="I226" s="186"/>
    </row>
    <row r="227">
      <c r="A227" s="182"/>
      <c r="B227" s="183"/>
      <c r="C227" s="183"/>
      <c r="D227" s="183"/>
      <c r="E227" s="184"/>
      <c r="F227" s="184"/>
      <c r="G227" s="184"/>
      <c r="H227" s="185"/>
      <c r="I227" s="186"/>
    </row>
    <row r="228">
      <c r="A228" s="182"/>
      <c r="B228" s="183"/>
      <c r="C228" s="183"/>
      <c r="D228" s="183"/>
      <c r="E228" s="184"/>
      <c r="F228" s="184"/>
      <c r="G228" s="184"/>
      <c r="H228" s="185"/>
      <c r="I228" s="186"/>
    </row>
    <row r="229">
      <c r="A229" s="182"/>
      <c r="B229" s="183"/>
      <c r="C229" s="183"/>
      <c r="D229" s="183"/>
      <c r="E229" s="184"/>
      <c r="F229" s="184"/>
      <c r="G229" s="184"/>
      <c r="H229" s="185"/>
      <c r="I229" s="186"/>
    </row>
    <row r="230">
      <c r="A230" s="182"/>
      <c r="B230" s="183"/>
      <c r="C230" s="183"/>
      <c r="D230" s="183"/>
      <c r="E230" s="184"/>
      <c r="F230" s="184"/>
      <c r="G230" s="184"/>
      <c r="H230" s="185"/>
      <c r="I230" s="186"/>
    </row>
    <row r="231">
      <c r="A231" s="182"/>
      <c r="B231" s="183"/>
      <c r="C231" s="183"/>
      <c r="D231" s="183"/>
      <c r="E231" s="184"/>
      <c r="F231" s="184"/>
      <c r="G231" s="184"/>
      <c r="H231" s="185"/>
      <c r="I231" s="186"/>
    </row>
    <row r="232">
      <c r="A232" s="182"/>
      <c r="B232" s="183"/>
      <c r="C232" s="183"/>
      <c r="D232" s="183"/>
      <c r="E232" s="184"/>
      <c r="F232" s="184"/>
      <c r="G232" s="184"/>
      <c r="H232" s="185"/>
      <c r="I232" s="186"/>
    </row>
    <row r="233">
      <c r="A233" s="182"/>
      <c r="B233" s="183"/>
      <c r="C233" s="183"/>
      <c r="D233" s="183"/>
      <c r="E233" s="184"/>
      <c r="F233" s="184"/>
      <c r="G233" s="184"/>
      <c r="H233" s="185"/>
      <c r="I233" s="186"/>
    </row>
    <row r="234">
      <c r="A234" s="182"/>
      <c r="B234" s="183"/>
      <c r="C234" s="183"/>
      <c r="D234" s="183"/>
      <c r="E234" s="184"/>
      <c r="F234" s="184"/>
      <c r="G234" s="184"/>
      <c r="H234" s="185"/>
      <c r="I234" s="186"/>
    </row>
    <row r="235">
      <c r="A235" s="182"/>
      <c r="B235" s="183"/>
      <c r="C235" s="183"/>
      <c r="D235" s="183"/>
      <c r="E235" s="184"/>
      <c r="F235" s="184"/>
      <c r="G235" s="184"/>
      <c r="H235" s="185"/>
      <c r="I235" s="186"/>
    </row>
    <row r="236">
      <c r="A236" s="182"/>
      <c r="B236" s="183"/>
      <c r="C236" s="183"/>
      <c r="D236" s="183"/>
      <c r="E236" s="184"/>
      <c r="F236" s="184"/>
      <c r="G236" s="184"/>
      <c r="H236" s="185"/>
      <c r="I236" s="186"/>
    </row>
    <row r="237">
      <c r="A237" s="182"/>
      <c r="B237" s="183"/>
      <c r="C237" s="183"/>
      <c r="D237" s="183"/>
      <c r="E237" s="184"/>
      <c r="F237" s="184"/>
      <c r="G237" s="184"/>
      <c r="H237" s="185"/>
      <c r="I237" s="186"/>
    </row>
    <row r="238">
      <c r="A238" s="182"/>
      <c r="B238" s="183"/>
      <c r="C238" s="183"/>
      <c r="D238" s="183"/>
      <c r="E238" s="184"/>
      <c r="F238" s="184"/>
      <c r="G238" s="184"/>
      <c r="H238" s="185"/>
      <c r="I238" s="186"/>
    </row>
    <row r="239">
      <c r="A239" s="182"/>
      <c r="B239" s="183"/>
      <c r="C239" s="183"/>
      <c r="D239" s="183"/>
      <c r="E239" s="184"/>
      <c r="F239" s="184"/>
      <c r="G239" s="184"/>
      <c r="H239" s="185"/>
      <c r="I239" s="186"/>
    </row>
    <row r="240">
      <c r="A240" s="182"/>
      <c r="B240" s="183"/>
      <c r="C240" s="183"/>
      <c r="D240" s="183"/>
      <c r="E240" s="184"/>
      <c r="F240" s="184"/>
      <c r="G240" s="184"/>
      <c r="H240" s="185"/>
      <c r="I240" s="186"/>
    </row>
    <row r="241">
      <c r="A241" s="182"/>
      <c r="B241" s="183"/>
      <c r="C241" s="183"/>
      <c r="D241" s="183"/>
      <c r="E241" s="184"/>
      <c r="F241" s="184"/>
      <c r="G241" s="184"/>
      <c r="H241" s="185"/>
      <c r="I241" s="186"/>
    </row>
    <row r="242">
      <c r="A242" s="182"/>
      <c r="B242" s="183"/>
      <c r="C242" s="183"/>
      <c r="D242" s="183"/>
      <c r="E242" s="184"/>
      <c r="F242" s="184"/>
      <c r="G242" s="184"/>
      <c r="H242" s="185"/>
      <c r="I242" s="186"/>
    </row>
    <row r="243">
      <c r="A243" s="182"/>
      <c r="B243" s="183"/>
      <c r="C243" s="183"/>
      <c r="D243" s="183"/>
      <c r="E243" s="184"/>
      <c r="F243" s="184"/>
      <c r="G243" s="184"/>
      <c r="H243" s="185"/>
      <c r="I243" s="186"/>
    </row>
    <row r="244">
      <c r="A244" s="182"/>
      <c r="B244" s="183"/>
      <c r="C244" s="183"/>
      <c r="D244" s="183"/>
      <c r="E244" s="184"/>
      <c r="F244" s="184"/>
      <c r="G244" s="184"/>
      <c r="H244" s="185"/>
      <c r="I244" s="186"/>
    </row>
    <row r="245">
      <c r="A245" s="182"/>
      <c r="B245" s="183"/>
      <c r="C245" s="183"/>
      <c r="D245" s="183"/>
      <c r="E245" s="184"/>
      <c r="F245" s="184"/>
      <c r="G245" s="184"/>
      <c r="H245" s="185"/>
      <c r="I245" s="186"/>
    </row>
    <row r="246">
      <c r="A246" s="182"/>
      <c r="B246" s="183"/>
      <c r="C246" s="183"/>
      <c r="D246" s="183"/>
      <c r="E246" s="184"/>
      <c r="F246" s="184"/>
      <c r="G246" s="184"/>
      <c r="H246" s="185"/>
      <c r="I246" s="186"/>
    </row>
    <row r="247">
      <c r="A247" s="182"/>
      <c r="B247" s="183"/>
      <c r="C247" s="183"/>
      <c r="D247" s="183"/>
      <c r="E247" s="184"/>
      <c r="F247" s="184"/>
      <c r="G247" s="184"/>
      <c r="H247" s="185"/>
      <c r="I247" s="186"/>
    </row>
    <row r="248">
      <c r="A248" s="182"/>
      <c r="B248" s="183"/>
      <c r="C248" s="183"/>
      <c r="D248" s="183"/>
      <c r="E248" s="184"/>
      <c r="F248" s="184"/>
      <c r="G248" s="184"/>
      <c r="H248" s="185"/>
      <c r="I248" s="186"/>
    </row>
    <row r="249">
      <c r="A249" s="182"/>
      <c r="B249" s="183"/>
      <c r="C249" s="183"/>
      <c r="D249" s="183"/>
      <c r="E249" s="184"/>
      <c r="F249" s="184"/>
      <c r="G249" s="184"/>
      <c r="H249" s="185"/>
      <c r="I249" s="186"/>
    </row>
    <row r="250">
      <c r="A250" s="182"/>
      <c r="B250" s="183"/>
      <c r="C250" s="183"/>
      <c r="D250" s="183"/>
      <c r="E250" s="184"/>
      <c r="F250" s="184"/>
      <c r="G250" s="184"/>
      <c r="H250" s="185"/>
      <c r="I250" s="186"/>
    </row>
    <row r="251">
      <c r="A251" s="182"/>
      <c r="B251" s="183"/>
      <c r="C251" s="183"/>
      <c r="D251" s="183"/>
      <c r="E251" s="184"/>
      <c r="F251" s="184"/>
      <c r="G251" s="184"/>
      <c r="H251" s="185"/>
      <c r="I251" s="186"/>
    </row>
    <row r="252">
      <c r="A252" s="182"/>
      <c r="B252" s="183"/>
      <c r="C252" s="183"/>
      <c r="D252" s="183"/>
      <c r="E252" s="184"/>
      <c r="F252" s="184"/>
      <c r="G252" s="184"/>
      <c r="H252" s="185"/>
      <c r="I252" s="186"/>
    </row>
    <row r="253">
      <c r="A253" s="182"/>
      <c r="B253" s="183"/>
      <c r="C253" s="183"/>
      <c r="D253" s="183"/>
      <c r="E253" s="184"/>
      <c r="F253" s="184"/>
      <c r="G253" s="184"/>
      <c r="H253" s="185"/>
      <c r="I253" s="186"/>
    </row>
    <row r="254">
      <c r="A254" s="182"/>
      <c r="B254" s="183"/>
      <c r="C254" s="183"/>
      <c r="D254" s="183"/>
      <c r="E254" s="184"/>
      <c r="F254" s="184"/>
      <c r="G254" s="184"/>
      <c r="H254" s="185"/>
      <c r="I254" s="186"/>
    </row>
    <row r="255">
      <c r="A255" s="182"/>
      <c r="B255" s="183"/>
      <c r="C255" s="183"/>
      <c r="D255" s="183"/>
      <c r="E255" s="184"/>
      <c r="F255" s="184"/>
      <c r="G255" s="184"/>
      <c r="H255" s="185"/>
      <c r="I255" s="186"/>
    </row>
    <row r="256">
      <c r="A256" s="182"/>
      <c r="B256" s="183"/>
      <c r="C256" s="183"/>
      <c r="D256" s="183"/>
      <c r="E256" s="184"/>
      <c r="F256" s="184"/>
      <c r="G256" s="184"/>
      <c r="H256" s="185"/>
      <c r="I256" s="186"/>
    </row>
    <row r="257">
      <c r="A257" s="182"/>
      <c r="B257" s="183"/>
      <c r="C257" s="183"/>
      <c r="D257" s="183"/>
      <c r="E257" s="184"/>
      <c r="F257" s="184"/>
      <c r="G257" s="184"/>
      <c r="H257" s="185"/>
      <c r="I257" s="186"/>
    </row>
    <row r="258">
      <c r="A258" s="182"/>
      <c r="B258" s="183"/>
      <c r="C258" s="183"/>
      <c r="D258" s="183"/>
      <c r="E258" s="184"/>
      <c r="F258" s="184"/>
      <c r="G258" s="184"/>
      <c r="H258" s="185"/>
      <c r="I258" s="186"/>
    </row>
    <row r="259">
      <c r="A259" s="182"/>
      <c r="B259" s="183"/>
      <c r="C259" s="183"/>
      <c r="D259" s="183"/>
      <c r="E259" s="184"/>
      <c r="F259" s="184"/>
      <c r="G259" s="184"/>
      <c r="H259" s="185"/>
      <c r="I259" s="186"/>
    </row>
    <row r="260">
      <c r="A260" s="182"/>
      <c r="B260" s="183"/>
      <c r="C260" s="183"/>
      <c r="D260" s="183"/>
      <c r="E260" s="184"/>
      <c r="F260" s="184"/>
      <c r="G260" s="184"/>
      <c r="H260" s="185"/>
      <c r="I260" s="186"/>
    </row>
    <row r="261">
      <c r="A261" s="182"/>
      <c r="B261" s="183"/>
      <c r="C261" s="183"/>
      <c r="D261" s="183"/>
      <c r="E261" s="184"/>
      <c r="F261" s="184"/>
      <c r="G261" s="184"/>
      <c r="H261" s="185"/>
      <c r="I261" s="186"/>
    </row>
    <row r="262">
      <c r="A262" s="182"/>
      <c r="B262" s="183"/>
      <c r="C262" s="183"/>
      <c r="D262" s="183"/>
      <c r="E262" s="184"/>
      <c r="F262" s="184"/>
      <c r="G262" s="184"/>
      <c r="H262" s="185"/>
      <c r="I262" s="186"/>
    </row>
    <row r="263">
      <c r="A263" s="182"/>
      <c r="B263" s="183"/>
      <c r="C263" s="183"/>
      <c r="D263" s="183"/>
      <c r="E263" s="184"/>
      <c r="F263" s="184"/>
      <c r="G263" s="184"/>
      <c r="H263" s="185"/>
      <c r="I263" s="186"/>
    </row>
    <row r="264">
      <c r="A264" s="182"/>
      <c r="B264" s="183"/>
      <c r="C264" s="183"/>
      <c r="D264" s="183"/>
      <c r="E264" s="184"/>
      <c r="F264" s="184"/>
      <c r="G264" s="184"/>
      <c r="H264" s="185"/>
      <c r="I264" s="186"/>
    </row>
    <row r="265">
      <c r="A265" s="182"/>
      <c r="B265" s="183"/>
      <c r="C265" s="183"/>
      <c r="D265" s="183"/>
      <c r="E265" s="184"/>
      <c r="F265" s="184"/>
      <c r="G265" s="184"/>
      <c r="H265" s="185"/>
      <c r="I265" s="186"/>
    </row>
    <row r="266">
      <c r="A266" s="182"/>
      <c r="B266" s="183"/>
      <c r="C266" s="183"/>
      <c r="D266" s="183"/>
      <c r="E266" s="184"/>
      <c r="F266" s="184"/>
      <c r="G266" s="184"/>
      <c r="H266" s="185"/>
      <c r="I266" s="186"/>
    </row>
    <row r="267">
      <c r="A267" s="182"/>
      <c r="B267" s="183"/>
      <c r="C267" s="183"/>
      <c r="D267" s="183"/>
      <c r="E267" s="184"/>
      <c r="F267" s="184"/>
      <c r="G267" s="184"/>
      <c r="H267" s="185"/>
      <c r="I267" s="186"/>
    </row>
    <row r="268">
      <c r="A268" s="182"/>
      <c r="B268" s="183"/>
      <c r="C268" s="183"/>
      <c r="D268" s="183"/>
      <c r="E268" s="184"/>
      <c r="F268" s="184"/>
      <c r="G268" s="184"/>
      <c r="H268" s="185"/>
      <c r="I268" s="186"/>
    </row>
    <row r="269">
      <c r="A269" s="182"/>
      <c r="B269" s="183"/>
      <c r="C269" s="183"/>
      <c r="D269" s="183"/>
      <c r="E269" s="184"/>
      <c r="F269" s="184"/>
      <c r="G269" s="184"/>
      <c r="H269" s="185"/>
      <c r="I269" s="186"/>
    </row>
    <row r="270">
      <c r="A270" s="182"/>
      <c r="B270" s="183"/>
      <c r="C270" s="183"/>
      <c r="D270" s="183"/>
      <c r="E270" s="184"/>
      <c r="F270" s="184"/>
      <c r="G270" s="184"/>
      <c r="H270" s="185"/>
      <c r="I270" s="186"/>
    </row>
    <row r="271">
      <c r="A271" s="182"/>
      <c r="B271" s="183"/>
      <c r="C271" s="183"/>
      <c r="D271" s="183"/>
      <c r="E271" s="184"/>
      <c r="F271" s="184"/>
      <c r="G271" s="184"/>
      <c r="H271" s="185"/>
      <c r="I271" s="186"/>
    </row>
    <row r="272">
      <c r="A272" s="182"/>
      <c r="B272" s="183"/>
      <c r="C272" s="183"/>
      <c r="D272" s="183"/>
      <c r="E272" s="184"/>
      <c r="F272" s="184"/>
      <c r="G272" s="184"/>
      <c r="H272" s="185"/>
      <c r="I272" s="186"/>
    </row>
    <row r="273">
      <c r="A273" s="182"/>
      <c r="B273" s="183"/>
      <c r="C273" s="183"/>
      <c r="D273" s="183"/>
      <c r="E273" s="184"/>
      <c r="F273" s="184"/>
      <c r="G273" s="184"/>
      <c r="H273" s="185"/>
      <c r="I273" s="186"/>
    </row>
    <row r="274">
      <c r="A274" s="182"/>
      <c r="B274" s="183"/>
      <c r="C274" s="183"/>
      <c r="D274" s="183"/>
      <c r="E274" s="184"/>
      <c r="F274" s="184"/>
      <c r="G274" s="184"/>
      <c r="H274" s="185"/>
      <c r="I274" s="186"/>
    </row>
    <row r="275">
      <c r="A275" s="182"/>
      <c r="B275" s="183"/>
      <c r="C275" s="183"/>
      <c r="D275" s="183"/>
      <c r="E275" s="184"/>
      <c r="F275" s="184"/>
      <c r="G275" s="184"/>
      <c r="H275" s="185"/>
      <c r="I275" s="186"/>
    </row>
    <row r="276">
      <c r="A276" s="182"/>
      <c r="B276" s="183"/>
      <c r="C276" s="183"/>
      <c r="D276" s="183"/>
      <c r="E276" s="184"/>
      <c r="F276" s="184"/>
      <c r="G276" s="184"/>
      <c r="H276" s="185"/>
      <c r="I276" s="186"/>
    </row>
    <row r="277">
      <c r="A277" s="182"/>
      <c r="B277" s="183"/>
      <c r="C277" s="183"/>
      <c r="D277" s="183"/>
      <c r="E277" s="184"/>
      <c r="F277" s="184"/>
      <c r="G277" s="184"/>
      <c r="H277" s="185"/>
      <c r="I277" s="186"/>
    </row>
    <row r="278">
      <c r="A278" s="182"/>
      <c r="B278" s="183"/>
      <c r="C278" s="183"/>
      <c r="D278" s="183"/>
      <c r="E278" s="184"/>
      <c r="F278" s="184"/>
      <c r="G278" s="184"/>
      <c r="H278" s="185"/>
      <c r="I278" s="186"/>
    </row>
    <row r="279">
      <c r="A279" s="182"/>
      <c r="B279" s="183"/>
      <c r="C279" s="183"/>
      <c r="D279" s="183"/>
      <c r="E279" s="184"/>
      <c r="F279" s="184"/>
      <c r="G279" s="184"/>
      <c r="H279" s="185"/>
      <c r="I279" s="186"/>
    </row>
    <row r="280">
      <c r="A280" s="182"/>
      <c r="B280" s="183"/>
      <c r="C280" s="183"/>
      <c r="D280" s="183"/>
      <c r="E280" s="184"/>
      <c r="F280" s="184"/>
      <c r="G280" s="184"/>
      <c r="H280" s="185"/>
      <c r="I280" s="186"/>
    </row>
    <row r="281">
      <c r="A281" s="182"/>
      <c r="B281" s="183"/>
      <c r="C281" s="183"/>
      <c r="D281" s="183"/>
      <c r="E281" s="184"/>
      <c r="F281" s="184"/>
      <c r="G281" s="184"/>
      <c r="H281" s="185"/>
      <c r="I281" s="186"/>
    </row>
    <row r="282">
      <c r="A282" s="182"/>
      <c r="B282" s="183"/>
      <c r="C282" s="183"/>
      <c r="D282" s="183"/>
      <c r="E282" s="184"/>
      <c r="F282" s="184"/>
      <c r="G282" s="184"/>
      <c r="H282" s="185"/>
      <c r="I282" s="186"/>
    </row>
    <row r="283">
      <c r="A283" s="182"/>
      <c r="B283" s="183"/>
      <c r="C283" s="183"/>
      <c r="D283" s="183"/>
      <c r="E283" s="184"/>
      <c r="F283" s="184"/>
      <c r="G283" s="184"/>
      <c r="H283" s="185"/>
      <c r="I283" s="186"/>
    </row>
    <row r="284">
      <c r="A284" s="182"/>
      <c r="B284" s="183"/>
      <c r="C284" s="183"/>
      <c r="D284" s="183"/>
      <c r="E284" s="184"/>
      <c r="F284" s="184"/>
      <c r="G284" s="184"/>
      <c r="H284" s="185"/>
      <c r="I284" s="186"/>
    </row>
    <row r="285">
      <c r="A285" s="182"/>
      <c r="B285" s="183"/>
      <c r="C285" s="183"/>
      <c r="D285" s="183"/>
      <c r="E285" s="184"/>
      <c r="F285" s="184"/>
      <c r="G285" s="184"/>
      <c r="H285" s="185"/>
      <c r="I285" s="186"/>
    </row>
    <row r="286">
      <c r="A286" s="182"/>
      <c r="B286" s="183"/>
      <c r="C286" s="183"/>
      <c r="D286" s="183"/>
      <c r="E286" s="184"/>
      <c r="F286" s="184"/>
      <c r="G286" s="184"/>
      <c r="H286" s="185"/>
      <c r="I286" s="186"/>
    </row>
    <row r="287">
      <c r="A287" s="182"/>
      <c r="B287" s="183"/>
      <c r="C287" s="183"/>
      <c r="D287" s="183"/>
      <c r="E287" s="184"/>
      <c r="F287" s="184"/>
      <c r="G287" s="184"/>
      <c r="H287" s="185"/>
      <c r="I287" s="186"/>
    </row>
    <row r="288">
      <c r="A288" s="182"/>
      <c r="B288" s="183"/>
      <c r="C288" s="183"/>
      <c r="D288" s="183"/>
      <c r="E288" s="184"/>
      <c r="F288" s="184"/>
      <c r="G288" s="184"/>
      <c r="H288" s="185"/>
      <c r="I288" s="186"/>
    </row>
    <row r="289">
      <c r="A289" s="182"/>
      <c r="B289" s="183"/>
      <c r="C289" s="183"/>
      <c r="D289" s="183"/>
      <c r="E289" s="184"/>
      <c r="F289" s="184"/>
      <c r="G289" s="184"/>
      <c r="H289" s="185"/>
      <c r="I289" s="186"/>
    </row>
    <row r="290">
      <c r="A290" s="182"/>
      <c r="B290" s="183"/>
      <c r="C290" s="183"/>
      <c r="D290" s="183"/>
      <c r="E290" s="184"/>
      <c r="F290" s="184"/>
      <c r="G290" s="184"/>
      <c r="H290" s="185"/>
      <c r="I290" s="186"/>
    </row>
    <row r="291">
      <c r="A291" s="182"/>
      <c r="B291" s="183"/>
      <c r="C291" s="183"/>
      <c r="D291" s="183"/>
      <c r="E291" s="184"/>
      <c r="F291" s="184"/>
      <c r="G291" s="184"/>
      <c r="H291" s="185"/>
      <c r="I291" s="186"/>
    </row>
    <row r="292">
      <c r="A292" s="182"/>
      <c r="B292" s="183"/>
      <c r="C292" s="183"/>
      <c r="D292" s="183"/>
      <c r="E292" s="184"/>
      <c r="F292" s="184"/>
      <c r="G292" s="184"/>
      <c r="H292" s="185"/>
      <c r="I292" s="186"/>
    </row>
    <row r="293">
      <c r="A293" s="182"/>
      <c r="B293" s="183"/>
      <c r="C293" s="183"/>
      <c r="D293" s="183"/>
      <c r="E293" s="184"/>
      <c r="F293" s="184"/>
      <c r="G293" s="184"/>
      <c r="H293" s="185"/>
      <c r="I293" s="186"/>
    </row>
    <row r="294">
      <c r="A294" s="182"/>
      <c r="B294" s="183"/>
      <c r="C294" s="183"/>
      <c r="D294" s="183"/>
      <c r="E294" s="184"/>
      <c r="F294" s="184"/>
      <c r="G294" s="184"/>
      <c r="H294" s="185"/>
      <c r="I294" s="186"/>
    </row>
    <row r="295">
      <c r="A295" s="182"/>
      <c r="B295" s="183"/>
      <c r="C295" s="183"/>
      <c r="D295" s="183"/>
      <c r="E295" s="184"/>
      <c r="F295" s="184"/>
      <c r="G295" s="184"/>
      <c r="H295" s="185"/>
      <c r="I295" s="186"/>
    </row>
    <row r="296">
      <c r="A296" s="182"/>
      <c r="B296" s="183"/>
      <c r="C296" s="183"/>
      <c r="D296" s="183"/>
      <c r="E296" s="184"/>
      <c r="F296" s="184"/>
      <c r="G296" s="184"/>
      <c r="H296" s="185"/>
      <c r="I296" s="186"/>
    </row>
    <row r="297">
      <c r="A297" s="182"/>
      <c r="B297" s="183"/>
      <c r="C297" s="183"/>
      <c r="D297" s="183"/>
      <c r="E297" s="184"/>
      <c r="F297" s="184"/>
      <c r="G297" s="184"/>
      <c r="H297" s="185"/>
      <c r="I297" s="186"/>
    </row>
    <row r="298">
      <c r="A298" s="182"/>
      <c r="B298" s="183"/>
      <c r="C298" s="183"/>
      <c r="D298" s="183"/>
      <c r="E298" s="184"/>
      <c r="F298" s="184"/>
      <c r="G298" s="184"/>
      <c r="H298" s="185"/>
      <c r="I298" s="186"/>
    </row>
    <row r="299">
      <c r="A299" s="182"/>
      <c r="B299" s="183"/>
      <c r="C299" s="183"/>
      <c r="D299" s="183"/>
      <c r="E299" s="184"/>
      <c r="F299" s="184"/>
      <c r="G299" s="184"/>
      <c r="H299" s="185"/>
      <c r="I299" s="186"/>
    </row>
    <row r="300">
      <c r="A300" s="182"/>
      <c r="B300" s="183"/>
      <c r="C300" s="183"/>
      <c r="D300" s="183"/>
      <c r="E300" s="184"/>
      <c r="F300" s="184"/>
      <c r="G300" s="184"/>
      <c r="H300" s="185"/>
      <c r="I300" s="186"/>
    </row>
    <row r="301">
      <c r="A301" s="182"/>
      <c r="B301" s="183"/>
      <c r="C301" s="183"/>
      <c r="D301" s="183"/>
      <c r="E301" s="184"/>
      <c r="F301" s="184"/>
      <c r="G301" s="184"/>
      <c r="H301" s="185"/>
      <c r="I301" s="186"/>
    </row>
    <row r="302">
      <c r="A302" s="182"/>
      <c r="B302" s="183"/>
      <c r="C302" s="183"/>
      <c r="D302" s="183"/>
      <c r="E302" s="184"/>
      <c r="F302" s="184"/>
      <c r="G302" s="184"/>
      <c r="H302" s="185"/>
      <c r="I302" s="186"/>
    </row>
    <row r="303">
      <c r="A303" s="182"/>
      <c r="B303" s="183"/>
      <c r="C303" s="183"/>
      <c r="D303" s="183"/>
      <c r="E303" s="184"/>
      <c r="F303" s="184"/>
      <c r="G303" s="184"/>
      <c r="H303" s="185"/>
      <c r="I303" s="186"/>
    </row>
    <row r="304">
      <c r="A304" s="182"/>
      <c r="B304" s="183"/>
      <c r="C304" s="183"/>
      <c r="D304" s="183"/>
      <c r="E304" s="184"/>
      <c r="F304" s="184"/>
      <c r="G304" s="184"/>
      <c r="H304" s="185"/>
      <c r="I304" s="186"/>
    </row>
    <row r="305">
      <c r="A305" s="182"/>
      <c r="B305" s="183"/>
      <c r="C305" s="183"/>
      <c r="D305" s="183"/>
      <c r="E305" s="184"/>
      <c r="F305" s="184"/>
      <c r="G305" s="184"/>
      <c r="H305" s="185"/>
      <c r="I305" s="186"/>
    </row>
    <row r="306">
      <c r="A306" s="182"/>
      <c r="B306" s="183"/>
      <c r="C306" s="183"/>
      <c r="D306" s="183"/>
      <c r="E306" s="184"/>
      <c r="F306" s="184"/>
      <c r="G306" s="184"/>
      <c r="H306" s="185"/>
      <c r="I306" s="186"/>
    </row>
    <row r="307">
      <c r="A307" s="182"/>
      <c r="B307" s="183"/>
      <c r="C307" s="183"/>
      <c r="D307" s="183"/>
      <c r="E307" s="184"/>
      <c r="F307" s="184"/>
      <c r="G307" s="184"/>
      <c r="H307" s="185"/>
      <c r="I307" s="186"/>
    </row>
    <row r="308">
      <c r="A308" s="182"/>
      <c r="B308" s="183"/>
      <c r="C308" s="183"/>
      <c r="D308" s="183"/>
      <c r="E308" s="184"/>
      <c r="F308" s="184"/>
      <c r="G308" s="184"/>
      <c r="H308" s="185"/>
      <c r="I308" s="186"/>
    </row>
    <row r="309">
      <c r="A309" s="182"/>
      <c r="B309" s="183"/>
      <c r="C309" s="183"/>
      <c r="D309" s="183"/>
      <c r="E309" s="184"/>
      <c r="F309" s="184"/>
      <c r="G309" s="184"/>
      <c r="H309" s="185"/>
      <c r="I309" s="186"/>
    </row>
    <row r="310">
      <c r="A310" s="182"/>
      <c r="B310" s="183"/>
      <c r="C310" s="183"/>
      <c r="D310" s="183"/>
      <c r="E310" s="184"/>
      <c r="F310" s="184"/>
      <c r="G310" s="184"/>
      <c r="H310" s="185"/>
      <c r="I310" s="186"/>
    </row>
    <row r="311">
      <c r="A311" s="182"/>
      <c r="B311" s="183"/>
      <c r="C311" s="183"/>
      <c r="D311" s="183"/>
      <c r="E311" s="184"/>
      <c r="F311" s="184"/>
      <c r="G311" s="184"/>
      <c r="H311" s="185"/>
      <c r="I311" s="186"/>
    </row>
    <row r="312">
      <c r="A312" s="182"/>
      <c r="B312" s="183"/>
      <c r="C312" s="183"/>
      <c r="D312" s="183"/>
      <c r="E312" s="184"/>
      <c r="F312" s="184"/>
      <c r="G312" s="184"/>
      <c r="H312" s="185"/>
      <c r="I312" s="186"/>
    </row>
    <row r="313">
      <c r="A313" s="182"/>
      <c r="B313" s="183"/>
      <c r="C313" s="183"/>
      <c r="D313" s="183"/>
      <c r="E313" s="184"/>
      <c r="F313" s="184"/>
      <c r="G313" s="184"/>
      <c r="H313" s="185"/>
      <c r="I313" s="186"/>
    </row>
    <row r="314">
      <c r="A314" s="182"/>
      <c r="B314" s="183"/>
      <c r="C314" s="183"/>
      <c r="D314" s="183"/>
      <c r="E314" s="184"/>
      <c r="F314" s="184"/>
      <c r="G314" s="184"/>
      <c r="H314" s="185"/>
      <c r="I314" s="186"/>
    </row>
    <row r="315">
      <c r="A315" s="182"/>
      <c r="B315" s="183"/>
      <c r="C315" s="183"/>
      <c r="D315" s="183"/>
      <c r="E315" s="184"/>
      <c r="F315" s="184"/>
      <c r="G315" s="184"/>
      <c r="H315" s="185"/>
      <c r="I315" s="186"/>
    </row>
    <row r="316">
      <c r="A316" s="182"/>
      <c r="B316" s="183"/>
      <c r="C316" s="183"/>
      <c r="D316" s="183"/>
      <c r="E316" s="184"/>
      <c r="F316" s="184"/>
      <c r="G316" s="184"/>
      <c r="H316" s="185"/>
      <c r="I316" s="186"/>
    </row>
    <row r="317">
      <c r="A317" s="182"/>
      <c r="B317" s="183"/>
      <c r="C317" s="183"/>
      <c r="D317" s="183"/>
      <c r="E317" s="184"/>
      <c r="F317" s="184"/>
      <c r="G317" s="184"/>
      <c r="H317" s="185"/>
      <c r="I317" s="186"/>
    </row>
    <row r="318">
      <c r="A318" s="182"/>
      <c r="B318" s="183"/>
      <c r="C318" s="183"/>
      <c r="D318" s="183"/>
      <c r="E318" s="184"/>
      <c r="F318" s="184"/>
      <c r="G318" s="184"/>
      <c r="H318" s="185"/>
      <c r="I318" s="186"/>
    </row>
    <row r="319">
      <c r="A319" s="182"/>
      <c r="B319" s="183"/>
      <c r="C319" s="183"/>
      <c r="D319" s="183"/>
      <c r="E319" s="184"/>
      <c r="F319" s="184"/>
      <c r="G319" s="184"/>
      <c r="H319" s="185"/>
      <c r="I319" s="186"/>
    </row>
    <row r="320">
      <c r="A320" s="182"/>
      <c r="B320" s="183"/>
      <c r="C320" s="183"/>
      <c r="D320" s="183"/>
      <c r="E320" s="184"/>
      <c r="F320" s="184"/>
      <c r="G320" s="184"/>
      <c r="H320" s="185"/>
      <c r="I320" s="186"/>
    </row>
    <row r="321">
      <c r="A321" s="182"/>
      <c r="B321" s="183"/>
      <c r="C321" s="183"/>
      <c r="D321" s="183"/>
      <c r="E321" s="184"/>
      <c r="F321" s="184"/>
      <c r="G321" s="184"/>
      <c r="H321" s="185"/>
      <c r="I321" s="186"/>
    </row>
    <row r="322">
      <c r="A322" s="182"/>
      <c r="B322" s="183"/>
      <c r="C322" s="183"/>
      <c r="D322" s="183"/>
      <c r="E322" s="184"/>
      <c r="F322" s="184"/>
      <c r="G322" s="184"/>
      <c r="H322" s="185"/>
      <c r="I322" s="186"/>
    </row>
    <row r="323">
      <c r="A323" s="182"/>
      <c r="B323" s="183"/>
      <c r="C323" s="183"/>
      <c r="D323" s="183"/>
      <c r="E323" s="184"/>
      <c r="F323" s="184"/>
      <c r="G323" s="184"/>
      <c r="H323" s="185"/>
      <c r="I323" s="186"/>
    </row>
    <row r="324">
      <c r="A324" s="182"/>
      <c r="B324" s="183"/>
      <c r="C324" s="183"/>
      <c r="D324" s="183"/>
      <c r="E324" s="184"/>
      <c r="F324" s="184"/>
      <c r="G324" s="184"/>
      <c r="H324" s="185"/>
      <c r="I324" s="186"/>
    </row>
    <row r="325">
      <c r="A325" s="182"/>
      <c r="B325" s="183"/>
      <c r="C325" s="183"/>
      <c r="D325" s="183"/>
      <c r="E325" s="184"/>
      <c r="F325" s="184"/>
      <c r="G325" s="184"/>
      <c r="H325" s="185"/>
      <c r="I325" s="186"/>
    </row>
    <row r="326">
      <c r="A326" s="182"/>
      <c r="B326" s="183"/>
      <c r="C326" s="183"/>
      <c r="D326" s="183"/>
      <c r="E326" s="184"/>
      <c r="F326" s="184"/>
      <c r="G326" s="184"/>
      <c r="H326" s="185"/>
      <c r="I326" s="186"/>
    </row>
    <row r="327">
      <c r="A327" s="182"/>
      <c r="B327" s="183"/>
      <c r="C327" s="183"/>
      <c r="D327" s="183"/>
      <c r="E327" s="184"/>
      <c r="F327" s="184"/>
      <c r="G327" s="184"/>
      <c r="H327" s="185"/>
      <c r="I327" s="186"/>
    </row>
    <row r="328">
      <c r="A328" s="182"/>
      <c r="B328" s="183"/>
      <c r="C328" s="183"/>
      <c r="D328" s="183"/>
      <c r="E328" s="184"/>
      <c r="F328" s="184"/>
      <c r="G328" s="184"/>
      <c r="H328" s="185"/>
      <c r="I328" s="186"/>
    </row>
    <row r="329">
      <c r="A329" s="182"/>
      <c r="B329" s="183"/>
      <c r="C329" s="183"/>
      <c r="D329" s="183"/>
      <c r="E329" s="184"/>
      <c r="F329" s="184"/>
      <c r="G329" s="184"/>
      <c r="H329" s="185"/>
      <c r="I329" s="186"/>
    </row>
    <row r="330">
      <c r="A330" s="182"/>
      <c r="B330" s="183"/>
      <c r="C330" s="183"/>
      <c r="D330" s="183"/>
      <c r="E330" s="184"/>
      <c r="F330" s="184"/>
      <c r="G330" s="184"/>
      <c r="H330" s="185"/>
      <c r="I330" s="186"/>
    </row>
    <row r="331">
      <c r="A331" s="182"/>
      <c r="B331" s="183"/>
      <c r="C331" s="183"/>
      <c r="D331" s="183"/>
      <c r="E331" s="184"/>
      <c r="F331" s="184"/>
      <c r="G331" s="184"/>
      <c r="H331" s="185"/>
      <c r="I331" s="186"/>
    </row>
    <row r="332">
      <c r="A332" s="182"/>
      <c r="B332" s="183"/>
      <c r="C332" s="183"/>
      <c r="D332" s="183"/>
      <c r="E332" s="184"/>
      <c r="F332" s="184"/>
      <c r="G332" s="184"/>
      <c r="H332" s="185"/>
      <c r="I332" s="186"/>
    </row>
    <row r="333">
      <c r="A333" s="182"/>
      <c r="B333" s="183"/>
      <c r="C333" s="183"/>
      <c r="D333" s="183"/>
      <c r="E333" s="184"/>
      <c r="F333" s="184"/>
      <c r="G333" s="184"/>
      <c r="H333" s="185"/>
      <c r="I333" s="186"/>
    </row>
    <row r="334">
      <c r="A334" s="182"/>
      <c r="B334" s="183"/>
      <c r="C334" s="183"/>
      <c r="D334" s="183"/>
      <c r="E334" s="184"/>
      <c r="F334" s="184"/>
      <c r="G334" s="184"/>
      <c r="H334" s="185"/>
      <c r="I334" s="186"/>
    </row>
    <row r="335">
      <c r="A335" s="182"/>
      <c r="B335" s="183"/>
      <c r="C335" s="183"/>
      <c r="D335" s="183"/>
      <c r="E335" s="184"/>
      <c r="F335" s="184"/>
      <c r="G335" s="184"/>
      <c r="H335" s="185"/>
      <c r="I335" s="186"/>
    </row>
    <row r="336">
      <c r="A336" s="182"/>
      <c r="B336" s="183"/>
      <c r="C336" s="183"/>
      <c r="D336" s="183"/>
      <c r="E336" s="184"/>
      <c r="F336" s="184"/>
      <c r="G336" s="184"/>
      <c r="H336" s="185"/>
      <c r="I336" s="186"/>
    </row>
    <row r="337">
      <c r="A337" s="182"/>
      <c r="B337" s="183"/>
      <c r="C337" s="183"/>
      <c r="D337" s="183"/>
      <c r="E337" s="184"/>
      <c r="F337" s="184"/>
      <c r="G337" s="184"/>
      <c r="H337" s="185"/>
      <c r="I337" s="186"/>
    </row>
    <row r="338">
      <c r="A338" s="182"/>
      <c r="B338" s="183"/>
      <c r="C338" s="183"/>
      <c r="D338" s="183"/>
      <c r="E338" s="184"/>
      <c r="F338" s="184"/>
      <c r="G338" s="184"/>
      <c r="H338" s="185"/>
      <c r="I338" s="186"/>
    </row>
    <row r="339">
      <c r="A339" s="182"/>
      <c r="B339" s="183"/>
      <c r="C339" s="183"/>
      <c r="D339" s="183"/>
      <c r="E339" s="184"/>
      <c r="F339" s="184"/>
      <c r="G339" s="184"/>
      <c r="H339" s="185"/>
      <c r="I339" s="186"/>
    </row>
    <row r="340">
      <c r="A340" s="182"/>
      <c r="B340" s="183"/>
      <c r="C340" s="183"/>
      <c r="D340" s="183"/>
      <c r="E340" s="184"/>
      <c r="F340" s="184"/>
      <c r="G340" s="184"/>
      <c r="H340" s="185"/>
      <c r="I340" s="186"/>
    </row>
    <row r="341">
      <c r="A341" s="182"/>
      <c r="B341" s="183"/>
      <c r="C341" s="183"/>
      <c r="D341" s="183"/>
      <c r="E341" s="184"/>
      <c r="F341" s="184"/>
      <c r="G341" s="184"/>
      <c r="H341" s="185"/>
      <c r="I341" s="186"/>
    </row>
    <row r="342">
      <c r="A342" s="182"/>
      <c r="B342" s="183"/>
      <c r="C342" s="183"/>
      <c r="D342" s="183"/>
      <c r="E342" s="184"/>
      <c r="F342" s="184"/>
      <c r="G342" s="184"/>
      <c r="H342" s="185"/>
      <c r="I342" s="186"/>
    </row>
    <row r="343">
      <c r="A343" s="182"/>
      <c r="B343" s="183"/>
      <c r="C343" s="183"/>
      <c r="D343" s="183"/>
      <c r="E343" s="184"/>
      <c r="F343" s="184"/>
      <c r="G343" s="184"/>
      <c r="H343" s="185"/>
      <c r="I343" s="186"/>
    </row>
    <row r="344">
      <c r="A344" s="182"/>
      <c r="B344" s="183"/>
      <c r="C344" s="183"/>
      <c r="D344" s="183"/>
      <c r="E344" s="184"/>
      <c r="F344" s="184"/>
      <c r="G344" s="184"/>
      <c r="H344" s="185"/>
      <c r="I344" s="186"/>
    </row>
    <row r="345">
      <c r="A345" s="182"/>
      <c r="B345" s="183"/>
      <c r="C345" s="183"/>
      <c r="D345" s="183"/>
      <c r="E345" s="184"/>
      <c r="F345" s="184"/>
      <c r="G345" s="184"/>
      <c r="H345" s="185"/>
      <c r="I345" s="186"/>
    </row>
    <row r="346">
      <c r="A346" s="182"/>
      <c r="B346" s="183"/>
      <c r="C346" s="183"/>
      <c r="D346" s="183"/>
      <c r="E346" s="184"/>
      <c r="F346" s="184"/>
      <c r="G346" s="184"/>
      <c r="H346" s="185"/>
      <c r="I346" s="186"/>
    </row>
    <row r="347">
      <c r="A347" s="182"/>
      <c r="B347" s="183"/>
      <c r="C347" s="183"/>
      <c r="D347" s="183"/>
      <c r="E347" s="184"/>
      <c r="F347" s="184"/>
      <c r="G347" s="184"/>
      <c r="H347" s="185"/>
      <c r="I347" s="186"/>
    </row>
    <row r="348">
      <c r="A348" s="182"/>
      <c r="B348" s="183"/>
      <c r="C348" s="183"/>
      <c r="D348" s="183"/>
      <c r="E348" s="184"/>
      <c r="F348" s="184"/>
      <c r="G348" s="184"/>
      <c r="H348" s="185"/>
      <c r="I348" s="186"/>
    </row>
    <row r="349">
      <c r="A349" s="182"/>
      <c r="B349" s="183"/>
      <c r="C349" s="183"/>
      <c r="D349" s="183"/>
      <c r="E349" s="184"/>
      <c r="F349" s="184"/>
      <c r="G349" s="184"/>
      <c r="H349" s="185"/>
      <c r="I349" s="186"/>
    </row>
    <row r="350">
      <c r="A350" s="182"/>
      <c r="B350" s="183"/>
      <c r="C350" s="183"/>
      <c r="D350" s="183"/>
      <c r="E350" s="184"/>
      <c r="F350" s="184"/>
      <c r="G350" s="184"/>
      <c r="H350" s="185"/>
      <c r="I350" s="186"/>
    </row>
    <row r="351">
      <c r="A351" s="182"/>
      <c r="B351" s="183"/>
      <c r="C351" s="183"/>
      <c r="D351" s="183"/>
      <c r="E351" s="184"/>
      <c r="F351" s="184"/>
      <c r="G351" s="184"/>
      <c r="H351" s="185"/>
      <c r="I351" s="186"/>
    </row>
    <row r="352">
      <c r="A352" s="182"/>
      <c r="B352" s="183"/>
      <c r="C352" s="183"/>
      <c r="D352" s="183"/>
      <c r="E352" s="184"/>
      <c r="F352" s="184"/>
      <c r="G352" s="184"/>
      <c r="H352" s="185"/>
      <c r="I352" s="186"/>
    </row>
    <row r="353">
      <c r="A353" s="182"/>
      <c r="B353" s="183"/>
      <c r="C353" s="183"/>
      <c r="D353" s="183"/>
      <c r="E353" s="184"/>
      <c r="F353" s="184"/>
      <c r="G353" s="184"/>
      <c r="H353" s="185"/>
      <c r="I353" s="186"/>
    </row>
    <row r="354">
      <c r="A354" s="182"/>
      <c r="B354" s="183"/>
      <c r="C354" s="183"/>
      <c r="D354" s="183"/>
      <c r="E354" s="184"/>
      <c r="F354" s="184"/>
      <c r="G354" s="184"/>
      <c r="H354" s="185"/>
      <c r="I354" s="186"/>
    </row>
    <row r="355">
      <c r="A355" s="182"/>
      <c r="B355" s="183"/>
      <c r="C355" s="183"/>
      <c r="D355" s="183"/>
      <c r="E355" s="184"/>
      <c r="F355" s="184"/>
      <c r="G355" s="184"/>
      <c r="H355" s="185"/>
      <c r="I355" s="186"/>
    </row>
    <row r="356">
      <c r="A356" s="182"/>
      <c r="B356" s="183"/>
      <c r="C356" s="183"/>
      <c r="D356" s="183"/>
      <c r="E356" s="184"/>
      <c r="F356" s="184"/>
      <c r="G356" s="184"/>
      <c r="H356" s="185"/>
      <c r="I356" s="186"/>
    </row>
    <row r="357">
      <c r="A357" s="182"/>
      <c r="B357" s="183"/>
      <c r="C357" s="183"/>
      <c r="D357" s="183"/>
      <c r="E357" s="184"/>
      <c r="F357" s="184"/>
      <c r="G357" s="184"/>
      <c r="H357" s="185"/>
      <c r="I357" s="186"/>
    </row>
    <row r="358">
      <c r="A358" s="182"/>
      <c r="B358" s="183"/>
      <c r="C358" s="183"/>
      <c r="D358" s="183"/>
      <c r="E358" s="184"/>
      <c r="F358" s="184"/>
      <c r="G358" s="184"/>
      <c r="H358" s="185"/>
      <c r="I358" s="186"/>
    </row>
    <row r="359">
      <c r="A359" s="182"/>
      <c r="B359" s="183"/>
      <c r="C359" s="183"/>
      <c r="D359" s="183"/>
      <c r="E359" s="184"/>
      <c r="F359" s="184"/>
      <c r="G359" s="184"/>
      <c r="H359" s="185"/>
      <c r="I359" s="186"/>
    </row>
    <row r="360">
      <c r="A360" s="182"/>
      <c r="B360" s="183"/>
      <c r="C360" s="183"/>
      <c r="D360" s="183"/>
      <c r="E360" s="184"/>
      <c r="F360" s="184"/>
      <c r="G360" s="184"/>
      <c r="H360" s="185"/>
      <c r="I360" s="186"/>
    </row>
    <row r="361">
      <c r="A361" s="182"/>
      <c r="B361" s="183"/>
      <c r="C361" s="183"/>
      <c r="D361" s="183"/>
      <c r="E361" s="184"/>
      <c r="F361" s="184"/>
      <c r="G361" s="184"/>
      <c r="H361" s="185"/>
      <c r="I361" s="186"/>
    </row>
    <row r="362">
      <c r="A362" s="182"/>
      <c r="B362" s="183"/>
      <c r="C362" s="183"/>
      <c r="D362" s="183"/>
      <c r="E362" s="184"/>
      <c r="F362" s="184"/>
      <c r="G362" s="184"/>
      <c r="H362" s="185"/>
      <c r="I362" s="186"/>
    </row>
    <row r="363">
      <c r="A363" s="182"/>
      <c r="B363" s="183"/>
      <c r="C363" s="183"/>
      <c r="D363" s="183"/>
      <c r="E363" s="184"/>
      <c r="F363" s="184"/>
      <c r="G363" s="184"/>
      <c r="H363" s="185"/>
      <c r="I363" s="186"/>
    </row>
    <row r="364">
      <c r="A364" s="182"/>
      <c r="B364" s="183"/>
      <c r="C364" s="183"/>
      <c r="D364" s="183"/>
      <c r="E364" s="184"/>
      <c r="F364" s="184"/>
      <c r="G364" s="184"/>
      <c r="H364" s="185"/>
      <c r="I364" s="186"/>
    </row>
    <row r="365">
      <c r="A365" s="182"/>
      <c r="B365" s="183"/>
      <c r="C365" s="183"/>
      <c r="D365" s="183"/>
      <c r="E365" s="184"/>
      <c r="F365" s="184"/>
      <c r="G365" s="184"/>
      <c r="H365" s="185"/>
      <c r="I365" s="186"/>
    </row>
    <row r="366">
      <c r="A366" s="182"/>
      <c r="B366" s="183"/>
      <c r="C366" s="183"/>
      <c r="D366" s="183"/>
      <c r="E366" s="184"/>
      <c r="F366" s="184"/>
      <c r="G366" s="184"/>
      <c r="H366" s="185"/>
      <c r="I366" s="186"/>
    </row>
    <row r="367">
      <c r="A367" s="182"/>
      <c r="B367" s="183"/>
      <c r="C367" s="183"/>
      <c r="D367" s="183"/>
      <c r="E367" s="184"/>
      <c r="F367" s="184"/>
      <c r="G367" s="184"/>
      <c r="H367" s="185"/>
      <c r="I367" s="186"/>
    </row>
    <row r="368">
      <c r="A368" s="182"/>
      <c r="B368" s="183"/>
      <c r="C368" s="183"/>
      <c r="D368" s="183"/>
      <c r="E368" s="184"/>
      <c r="F368" s="184"/>
      <c r="G368" s="184"/>
      <c r="H368" s="185"/>
      <c r="I368" s="186"/>
    </row>
    <row r="369">
      <c r="A369" s="182"/>
      <c r="B369" s="183"/>
      <c r="C369" s="183"/>
      <c r="D369" s="183"/>
      <c r="E369" s="184"/>
      <c r="F369" s="184"/>
      <c r="G369" s="184"/>
      <c r="H369" s="185"/>
      <c r="I369" s="186"/>
    </row>
    <row r="370">
      <c r="A370" s="182"/>
      <c r="B370" s="183"/>
      <c r="C370" s="183"/>
      <c r="D370" s="183"/>
      <c r="E370" s="184"/>
      <c r="F370" s="184"/>
      <c r="G370" s="184"/>
      <c r="H370" s="185"/>
      <c r="I370" s="186"/>
    </row>
    <row r="371">
      <c r="A371" s="182"/>
      <c r="B371" s="183"/>
      <c r="C371" s="183"/>
      <c r="D371" s="183"/>
      <c r="E371" s="184"/>
      <c r="F371" s="184"/>
      <c r="G371" s="184"/>
      <c r="H371" s="185"/>
      <c r="I371" s="186"/>
    </row>
    <row r="372">
      <c r="A372" s="182"/>
      <c r="B372" s="183"/>
      <c r="C372" s="183"/>
      <c r="D372" s="183"/>
      <c r="E372" s="184"/>
      <c r="F372" s="184"/>
      <c r="G372" s="184"/>
      <c r="H372" s="185"/>
      <c r="I372" s="186"/>
    </row>
    <row r="373">
      <c r="A373" s="182"/>
      <c r="B373" s="183"/>
      <c r="C373" s="183"/>
      <c r="D373" s="183"/>
      <c r="E373" s="184"/>
      <c r="F373" s="184"/>
      <c r="G373" s="184"/>
      <c r="H373" s="185"/>
      <c r="I373" s="186"/>
    </row>
    <row r="374">
      <c r="A374" s="182"/>
      <c r="B374" s="183"/>
      <c r="C374" s="183"/>
      <c r="D374" s="183"/>
      <c r="E374" s="184"/>
      <c r="F374" s="184"/>
      <c r="G374" s="184"/>
      <c r="H374" s="185"/>
      <c r="I374" s="186"/>
    </row>
    <row r="375">
      <c r="A375" s="182"/>
      <c r="B375" s="183"/>
      <c r="C375" s="183"/>
      <c r="D375" s="183"/>
      <c r="E375" s="184"/>
      <c r="F375" s="184"/>
      <c r="G375" s="184"/>
      <c r="H375" s="185"/>
      <c r="I375" s="186"/>
    </row>
    <row r="376">
      <c r="A376" s="182"/>
      <c r="B376" s="183"/>
      <c r="C376" s="183"/>
      <c r="D376" s="183"/>
      <c r="E376" s="184"/>
      <c r="F376" s="184"/>
      <c r="G376" s="184"/>
      <c r="H376" s="185"/>
      <c r="I376" s="186"/>
    </row>
    <row r="377">
      <c r="A377" s="182"/>
      <c r="B377" s="183"/>
      <c r="C377" s="183"/>
      <c r="D377" s="183"/>
      <c r="E377" s="184"/>
      <c r="F377" s="184"/>
      <c r="G377" s="184"/>
      <c r="H377" s="185"/>
      <c r="I377" s="186"/>
    </row>
    <row r="378">
      <c r="A378" s="182"/>
      <c r="B378" s="183"/>
      <c r="C378" s="183"/>
      <c r="D378" s="183"/>
      <c r="E378" s="184"/>
      <c r="F378" s="184"/>
      <c r="G378" s="184"/>
      <c r="H378" s="185"/>
      <c r="I378" s="186"/>
    </row>
    <row r="379">
      <c r="A379" s="182"/>
      <c r="B379" s="183"/>
      <c r="C379" s="183"/>
      <c r="D379" s="183"/>
      <c r="E379" s="184"/>
      <c r="F379" s="184"/>
      <c r="G379" s="184"/>
      <c r="H379" s="185"/>
      <c r="I379" s="186"/>
    </row>
    <row r="380">
      <c r="A380" s="182"/>
      <c r="B380" s="183"/>
      <c r="C380" s="183"/>
      <c r="D380" s="183"/>
      <c r="E380" s="184"/>
      <c r="F380" s="184"/>
      <c r="G380" s="184"/>
      <c r="H380" s="185"/>
      <c r="I380" s="186"/>
    </row>
    <row r="381">
      <c r="A381" s="182"/>
      <c r="B381" s="183"/>
      <c r="C381" s="183"/>
      <c r="D381" s="183"/>
      <c r="E381" s="184"/>
      <c r="F381" s="184"/>
      <c r="G381" s="184"/>
      <c r="H381" s="185"/>
      <c r="I381" s="186"/>
    </row>
    <row r="382">
      <c r="A382" s="182"/>
      <c r="B382" s="183"/>
      <c r="C382" s="183"/>
      <c r="D382" s="183"/>
      <c r="E382" s="184"/>
      <c r="F382" s="184"/>
      <c r="G382" s="184"/>
      <c r="H382" s="185"/>
      <c r="I382" s="186"/>
    </row>
    <row r="383">
      <c r="A383" s="182"/>
      <c r="B383" s="183"/>
      <c r="C383" s="183"/>
      <c r="D383" s="183"/>
      <c r="E383" s="184"/>
      <c r="F383" s="184"/>
      <c r="G383" s="184"/>
      <c r="H383" s="185"/>
      <c r="I383" s="186"/>
    </row>
    <row r="384">
      <c r="A384" s="182"/>
      <c r="B384" s="183"/>
      <c r="C384" s="183"/>
      <c r="D384" s="183"/>
      <c r="E384" s="184"/>
      <c r="F384" s="184"/>
      <c r="G384" s="184"/>
      <c r="H384" s="185"/>
      <c r="I384" s="186"/>
    </row>
    <row r="385">
      <c r="A385" s="182"/>
      <c r="B385" s="183"/>
      <c r="C385" s="183"/>
      <c r="D385" s="183"/>
      <c r="E385" s="184"/>
      <c r="F385" s="184"/>
      <c r="G385" s="184"/>
      <c r="H385" s="185"/>
      <c r="I385" s="186"/>
    </row>
    <row r="386">
      <c r="A386" s="182"/>
      <c r="B386" s="183"/>
      <c r="C386" s="183"/>
      <c r="D386" s="183"/>
      <c r="E386" s="184"/>
      <c r="F386" s="184"/>
      <c r="G386" s="184"/>
      <c r="H386" s="185"/>
      <c r="I386" s="186"/>
    </row>
    <row r="387">
      <c r="A387" s="182"/>
      <c r="B387" s="183"/>
      <c r="C387" s="183"/>
      <c r="D387" s="183"/>
      <c r="E387" s="184"/>
      <c r="F387" s="184"/>
      <c r="G387" s="184"/>
      <c r="H387" s="185"/>
      <c r="I387" s="186"/>
    </row>
    <row r="388">
      <c r="A388" s="182"/>
      <c r="B388" s="183"/>
      <c r="C388" s="183"/>
      <c r="D388" s="183"/>
      <c r="E388" s="184"/>
      <c r="F388" s="184"/>
      <c r="G388" s="184"/>
      <c r="H388" s="185"/>
      <c r="I388" s="186"/>
    </row>
    <row r="389">
      <c r="A389" s="182"/>
      <c r="B389" s="183"/>
      <c r="C389" s="183"/>
      <c r="D389" s="183"/>
      <c r="E389" s="184"/>
      <c r="F389" s="184"/>
      <c r="G389" s="184"/>
      <c r="H389" s="185"/>
      <c r="I389" s="186"/>
    </row>
    <row r="390">
      <c r="A390" s="182"/>
      <c r="B390" s="183"/>
      <c r="C390" s="183"/>
      <c r="D390" s="183"/>
      <c r="E390" s="184"/>
      <c r="F390" s="184"/>
      <c r="G390" s="184"/>
      <c r="H390" s="185"/>
      <c r="I390" s="186"/>
    </row>
    <row r="391">
      <c r="A391" s="182"/>
      <c r="B391" s="183"/>
      <c r="C391" s="183"/>
      <c r="D391" s="183"/>
      <c r="E391" s="184"/>
      <c r="F391" s="184"/>
      <c r="G391" s="184"/>
      <c r="H391" s="185"/>
      <c r="I391" s="186"/>
    </row>
    <row r="392">
      <c r="A392" s="182"/>
      <c r="B392" s="183"/>
      <c r="C392" s="183"/>
      <c r="D392" s="183"/>
      <c r="E392" s="184"/>
      <c r="F392" s="184"/>
      <c r="G392" s="184"/>
      <c r="H392" s="185"/>
      <c r="I392" s="186"/>
    </row>
    <row r="393">
      <c r="A393" s="182"/>
      <c r="B393" s="183"/>
      <c r="C393" s="183"/>
      <c r="D393" s="183"/>
      <c r="E393" s="184"/>
      <c r="F393" s="184"/>
      <c r="G393" s="184"/>
      <c r="H393" s="185"/>
      <c r="I393" s="186"/>
    </row>
    <row r="394">
      <c r="A394" s="182"/>
      <c r="B394" s="183"/>
      <c r="C394" s="183"/>
      <c r="D394" s="183"/>
      <c r="E394" s="184"/>
      <c r="F394" s="184"/>
      <c r="G394" s="184"/>
      <c r="H394" s="185"/>
      <c r="I394" s="186"/>
    </row>
    <row r="395">
      <c r="A395" s="182"/>
      <c r="B395" s="183"/>
      <c r="C395" s="183"/>
      <c r="D395" s="183"/>
      <c r="E395" s="184"/>
      <c r="F395" s="184"/>
      <c r="G395" s="184"/>
      <c r="H395" s="185"/>
      <c r="I395" s="186"/>
    </row>
    <row r="396">
      <c r="A396" s="182"/>
      <c r="B396" s="183"/>
      <c r="C396" s="183"/>
      <c r="D396" s="183"/>
      <c r="E396" s="184"/>
      <c r="F396" s="184"/>
      <c r="G396" s="184"/>
      <c r="H396" s="185"/>
      <c r="I396" s="186"/>
    </row>
    <row r="397">
      <c r="A397" s="182"/>
      <c r="B397" s="183"/>
      <c r="C397" s="183"/>
      <c r="D397" s="183"/>
      <c r="E397" s="184"/>
      <c r="F397" s="184"/>
      <c r="G397" s="184"/>
      <c r="H397" s="185"/>
      <c r="I397" s="186"/>
    </row>
    <row r="398">
      <c r="A398" s="182"/>
      <c r="B398" s="183"/>
      <c r="C398" s="183"/>
      <c r="D398" s="183"/>
      <c r="E398" s="184"/>
      <c r="F398" s="184"/>
      <c r="G398" s="184"/>
      <c r="H398" s="185"/>
      <c r="I398" s="186"/>
    </row>
    <row r="399">
      <c r="A399" s="182"/>
      <c r="B399" s="183"/>
      <c r="C399" s="183"/>
      <c r="D399" s="183"/>
      <c r="E399" s="184"/>
      <c r="F399" s="184"/>
      <c r="G399" s="184"/>
      <c r="H399" s="185"/>
      <c r="I399" s="186"/>
    </row>
    <row r="400">
      <c r="A400" s="182"/>
      <c r="B400" s="183"/>
      <c r="C400" s="183"/>
      <c r="D400" s="183"/>
      <c r="E400" s="184"/>
      <c r="F400" s="184"/>
      <c r="G400" s="184"/>
      <c r="H400" s="185"/>
      <c r="I400" s="186"/>
    </row>
    <row r="401">
      <c r="A401" s="182"/>
      <c r="B401" s="183"/>
      <c r="C401" s="183"/>
      <c r="D401" s="183"/>
      <c r="E401" s="184"/>
      <c r="F401" s="184"/>
      <c r="G401" s="184"/>
      <c r="H401" s="185"/>
      <c r="I401" s="186"/>
    </row>
    <row r="402">
      <c r="A402" s="182"/>
      <c r="B402" s="183"/>
      <c r="C402" s="183"/>
      <c r="D402" s="183"/>
      <c r="E402" s="184"/>
      <c r="F402" s="184"/>
      <c r="G402" s="184"/>
      <c r="H402" s="185"/>
      <c r="I402" s="186"/>
    </row>
    <row r="403">
      <c r="A403" s="182"/>
      <c r="B403" s="183"/>
      <c r="C403" s="183"/>
      <c r="D403" s="183"/>
      <c r="E403" s="184"/>
      <c r="F403" s="184"/>
      <c r="G403" s="184"/>
      <c r="H403" s="185"/>
      <c r="I403" s="186"/>
    </row>
    <row r="404">
      <c r="A404" s="182"/>
      <c r="B404" s="183"/>
      <c r="C404" s="183"/>
      <c r="D404" s="183"/>
      <c r="E404" s="184"/>
      <c r="F404" s="184"/>
      <c r="G404" s="184"/>
      <c r="H404" s="185"/>
      <c r="I404" s="186"/>
    </row>
    <row r="405">
      <c r="A405" s="182"/>
      <c r="B405" s="183"/>
      <c r="C405" s="183"/>
      <c r="D405" s="183"/>
      <c r="E405" s="184"/>
      <c r="F405" s="184"/>
      <c r="G405" s="184"/>
      <c r="H405" s="185"/>
      <c r="I405" s="186"/>
    </row>
    <row r="406">
      <c r="A406" s="182"/>
      <c r="B406" s="183"/>
      <c r="C406" s="183"/>
      <c r="D406" s="183"/>
      <c r="E406" s="184"/>
      <c r="F406" s="184"/>
      <c r="G406" s="184"/>
      <c r="H406" s="185"/>
      <c r="I406" s="186"/>
    </row>
    <row r="407">
      <c r="A407" s="182"/>
      <c r="B407" s="183"/>
      <c r="C407" s="183"/>
      <c r="D407" s="183"/>
      <c r="E407" s="184"/>
      <c r="F407" s="184"/>
      <c r="G407" s="184"/>
      <c r="H407" s="185"/>
      <c r="I407" s="186"/>
    </row>
    <row r="408">
      <c r="A408" s="182"/>
      <c r="B408" s="183"/>
      <c r="C408" s="183"/>
      <c r="D408" s="183"/>
      <c r="E408" s="184"/>
      <c r="F408" s="184"/>
      <c r="G408" s="184"/>
      <c r="H408" s="185"/>
      <c r="I408" s="186"/>
    </row>
    <row r="409">
      <c r="A409" s="182"/>
      <c r="B409" s="183"/>
      <c r="C409" s="183"/>
      <c r="D409" s="183"/>
      <c r="E409" s="184"/>
      <c r="F409" s="184"/>
      <c r="G409" s="184"/>
      <c r="H409" s="185"/>
      <c r="I409" s="186"/>
    </row>
    <row r="410">
      <c r="A410" s="182"/>
      <c r="B410" s="183"/>
      <c r="C410" s="183"/>
      <c r="D410" s="183"/>
      <c r="E410" s="184"/>
      <c r="F410" s="184"/>
      <c r="G410" s="184"/>
      <c r="H410" s="185"/>
      <c r="I410" s="186"/>
    </row>
    <row r="411">
      <c r="A411" s="182"/>
      <c r="B411" s="183"/>
      <c r="C411" s="183"/>
      <c r="D411" s="183"/>
      <c r="E411" s="184"/>
      <c r="F411" s="184"/>
      <c r="G411" s="184"/>
      <c r="H411" s="185"/>
      <c r="I411" s="186"/>
    </row>
    <row r="412">
      <c r="A412" s="182"/>
      <c r="B412" s="183"/>
      <c r="C412" s="183"/>
      <c r="D412" s="183"/>
      <c r="E412" s="184"/>
      <c r="F412" s="184"/>
      <c r="G412" s="184"/>
      <c r="H412" s="185"/>
      <c r="I412" s="186"/>
    </row>
    <row r="413">
      <c r="A413" s="182"/>
      <c r="B413" s="183"/>
      <c r="C413" s="183"/>
      <c r="D413" s="183"/>
      <c r="E413" s="184"/>
      <c r="F413" s="184"/>
      <c r="G413" s="184"/>
      <c r="H413" s="185"/>
      <c r="I413" s="186"/>
    </row>
    <row r="414">
      <c r="A414" s="182"/>
      <c r="B414" s="183"/>
      <c r="C414" s="183"/>
      <c r="D414" s="183"/>
      <c r="E414" s="184"/>
      <c r="F414" s="184"/>
      <c r="G414" s="184"/>
      <c r="H414" s="185"/>
      <c r="I414" s="186"/>
    </row>
    <row r="415">
      <c r="A415" s="182"/>
      <c r="B415" s="183"/>
      <c r="C415" s="183"/>
      <c r="D415" s="183"/>
      <c r="E415" s="184"/>
      <c r="F415" s="184"/>
      <c r="G415" s="184"/>
      <c r="H415" s="185"/>
      <c r="I415" s="186"/>
    </row>
    <row r="416">
      <c r="A416" s="182"/>
      <c r="B416" s="183"/>
      <c r="C416" s="183"/>
      <c r="D416" s="183"/>
      <c r="E416" s="184"/>
      <c r="F416" s="184"/>
      <c r="G416" s="184"/>
      <c r="H416" s="185"/>
      <c r="I416" s="186"/>
    </row>
    <row r="417">
      <c r="A417" s="182"/>
      <c r="B417" s="183"/>
      <c r="C417" s="183"/>
      <c r="D417" s="183"/>
      <c r="E417" s="184"/>
      <c r="F417" s="184"/>
      <c r="G417" s="184"/>
      <c r="H417" s="185"/>
      <c r="I417" s="186"/>
    </row>
    <row r="418">
      <c r="A418" s="182"/>
      <c r="B418" s="183"/>
      <c r="C418" s="183"/>
      <c r="D418" s="183"/>
      <c r="E418" s="184"/>
      <c r="F418" s="184"/>
      <c r="G418" s="184"/>
      <c r="H418" s="185"/>
      <c r="I418" s="186"/>
    </row>
    <row r="419">
      <c r="A419" s="182"/>
      <c r="B419" s="183"/>
      <c r="C419" s="183"/>
      <c r="D419" s="183"/>
      <c r="E419" s="184"/>
      <c r="F419" s="184"/>
      <c r="G419" s="184"/>
      <c r="H419" s="185"/>
      <c r="I419" s="186"/>
    </row>
    <row r="420">
      <c r="A420" s="182"/>
      <c r="B420" s="183"/>
      <c r="C420" s="183"/>
      <c r="D420" s="183"/>
      <c r="E420" s="184"/>
      <c r="F420" s="184"/>
      <c r="G420" s="184"/>
      <c r="H420" s="185"/>
      <c r="I420" s="186"/>
    </row>
    <row r="421">
      <c r="A421" s="182"/>
      <c r="B421" s="183"/>
      <c r="C421" s="183"/>
      <c r="D421" s="183"/>
      <c r="E421" s="184"/>
      <c r="F421" s="184"/>
      <c r="G421" s="184"/>
      <c r="H421" s="185"/>
      <c r="I421" s="186"/>
    </row>
    <row r="422">
      <c r="A422" s="182"/>
      <c r="B422" s="183"/>
      <c r="C422" s="183"/>
      <c r="D422" s="183"/>
      <c r="E422" s="184"/>
      <c r="F422" s="184"/>
      <c r="G422" s="184"/>
      <c r="H422" s="185"/>
      <c r="I422" s="186"/>
    </row>
    <row r="423">
      <c r="A423" s="182"/>
      <c r="B423" s="183"/>
      <c r="C423" s="183"/>
      <c r="D423" s="183"/>
      <c r="E423" s="184"/>
      <c r="F423" s="184"/>
      <c r="G423" s="184"/>
      <c r="H423" s="185"/>
      <c r="I423" s="186"/>
    </row>
    <row r="424">
      <c r="A424" s="182"/>
      <c r="B424" s="183"/>
      <c r="C424" s="183"/>
      <c r="D424" s="183"/>
      <c r="E424" s="184"/>
      <c r="F424" s="184"/>
      <c r="G424" s="184"/>
      <c r="H424" s="185"/>
      <c r="I424" s="186"/>
    </row>
    <row r="425">
      <c r="A425" s="182"/>
      <c r="B425" s="183"/>
      <c r="C425" s="183"/>
      <c r="D425" s="183"/>
      <c r="E425" s="184"/>
      <c r="F425" s="184"/>
      <c r="G425" s="184"/>
      <c r="H425" s="185"/>
      <c r="I425" s="186"/>
    </row>
    <row r="426">
      <c r="A426" s="182"/>
      <c r="B426" s="183"/>
      <c r="C426" s="183"/>
      <c r="D426" s="183"/>
      <c r="E426" s="184"/>
      <c r="F426" s="184"/>
      <c r="G426" s="184"/>
      <c r="H426" s="185"/>
      <c r="I426" s="186"/>
    </row>
    <row r="427">
      <c r="A427" s="182"/>
      <c r="B427" s="183"/>
      <c r="C427" s="183"/>
      <c r="D427" s="183"/>
      <c r="E427" s="184"/>
      <c r="F427" s="184"/>
      <c r="G427" s="184"/>
      <c r="H427" s="185"/>
      <c r="I427" s="186"/>
    </row>
    <row r="428">
      <c r="A428" s="182"/>
      <c r="B428" s="183"/>
      <c r="C428" s="183"/>
      <c r="D428" s="183"/>
      <c r="E428" s="184"/>
      <c r="F428" s="184"/>
      <c r="G428" s="184"/>
      <c r="H428" s="185"/>
      <c r="I428" s="186"/>
    </row>
    <row r="429">
      <c r="A429" s="182"/>
      <c r="B429" s="183"/>
      <c r="C429" s="183"/>
      <c r="D429" s="183"/>
      <c r="E429" s="184"/>
      <c r="F429" s="184"/>
      <c r="G429" s="184"/>
      <c r="H429" s="185"/>
      <c r="I429" s="186"/>
    </row>
    <row r="430">
      <c r="A430" s="182"/>
      <c r="B430" s="183"/>
      <c r="C430" s="183"/>
      <c r="D430" s="183"/>
      <c r="E430" s="184"/>
      <c r="F430" s="184"/>
      <c r="G430" s="184"/>
      <c r="H430" s="185"/>
      <c r="I430" s="186"/>
    </row>
    <row r="431">
      <c r="A431" s="182"/>
      <c r="B431" s="183"/>
      <c r="C431" s="183"/>
      <c r="D431" s="183"/>
      <c r="E431" s="184"/>
      <c r="F431" s="184"/>
      <c r="G431" s="184"/>
      <c r="H431" s="185"/>
      <c r="I431" s="186"/>
    </row>
    <row r="432">
      <c r="A432" s="182"/>
      <c r="B432" s="183"/>
      <c r="C432" s="183"/>
      <c r="D432" s="183"/>
      <c r="E432" s="184"/>
      <c r="F432" s="184"/>
      <c r="G432" s="184"/>
      <c r="H432" s="185"/>
      <c r="I432" s="186"/>
    </row>
    <row r="433">
      <c r="A433" s="182"/>
      <c r="B433" s="183"/>
      <c r="C433" s="183"/>
      <c r="D433" s="183"/>
      <c r="E433" s="184"/>
      <c r="F433" s="184"/>
      <c r="G433" s="184"/>
      <c r="H433" s="185"/>
      <c r="I433" s="186"/>
    </row>
    <row r="434">
      <c r="A434" s="182"/>
      <c r="B434" s="183"/>
      <c r="C434" s="183"/>
      <c r="D434" s="183"/>
      <c r="E434" s="184"/>
      <c r="F434" s="184"/>
      <c r="G434" s="184"/>
      <c r="H434" s="185"/>
      <c r="I434" s="186"/>
    </row>
    <row r="435">
      <c r="A435" s="182"/>
      <c r="B435" s="183"/>
      <c r="C435" s="183"/>
      <c r="D435" s="183"/>
      <c r="E435" s="184"/>
      <c r="F435" s="184"/>
      <c r="G435" s="184"/>
      <c r="H435" s="185"/>
      <c r="I435" s="186"/>
    </row>
    <row r="436">
      <c r="A436" s="182"/>
      <c r="B436" s="183"/>
      <c r="C436" s="183"/>
      <c r="D436" s="183"/>
      <c r="E436" s="184"/>
      <c r="F436" s="184"/>
      <c r="G436" s="184"/>
      <c r="H436" s="185"/>
      <c r="I436" s="186"/>
    </row>
    <row r="437">
      <c r="A437" s="182"/>
      <c r="B437" s="183"/>
      <c r="C437" s="183"/>
      <c r="D437" s="183"/>
      <c r="E437" s="184"/>
      <c r="F437" s="184"/>
      <c r="G437" s="184"/>
      <c r="H437" s="185"/>
      <c r="I437" s="186"/>
    </row>
    <row r="438">
      <c r="A438" s="182"/>
      <c r="B438" s="183"/>
      <c r="C438" s="183"/>
      <c r="D438" s="183"/>
      <c r="E438" s="184"/>
      <c r="F438" s="184"/>
      <c r="G438" s="184"/>
      <c r="H438" s="185"/>
      <c r="I438" s="186"/>
    </row>
    <row r="439">
      <c r="A439" s="182"/>
      <c r="B439" s="183"/>
      <c r="C439" s="183"/>
      <c r="D439" s="183"/>
      <c r="E439" s="184"/>
      <c r="F439" s="184"/>
      <c r="G439" s="184"/>
      <c r="H439" s="185"/>
      <c r="I439" s="186"/>
    </row>
    <row r="440">
      <c r="A440" s="182"/>
      <c r="B440" s="183"/>
      <c r="C440" s="183"/>
      <c r="D440" s="183"/>
      <c r="E440" s="184"/>
      <c r="F440" s="184"/>
      <c r="G440" s="184"/>
      <c r="H440" s="185"/>
      <c r="I440" s="186"/>
    </row>
    <row r="441">
      <c r="A441" s="182"/>
      <c r="B441" s="183"/>
      <c r="C441" s="183"/>
      <c r="D441" s="183"/>
      <c r="E441" s="184"/>
      <c r="F441" s="184"/>
      <c r="G441" s="184"/>
      <c r="H441" s="185"/>
      <c r="I441" s="186"/>
    </row>
    <row r="442">
      <c r="A442" s="182"/>
      <c r="B442" s="183"/>
      <c r="C442" s="183"/>
      <c r="D442" s="183"/>
      <c r="E442" s="184"/>
      <c r="F442" s="184"/>
      <c r="G442" s="184"/>
      <c r="H442" s="185"/>
      <c r="I442" s="186"/>
    </row>
    <row r="443">
      <c r="A443" s="182"/>
      <c r="B443" s="183"/>
      <c r="C443" s="183"/>
      <c r="D443" s="183"/>
      <c r="E443" s="184"/>
      <c r="F443" s="184"/>
      <c r="G443" s="184"/>
      <c r="H443" s="185"/>
      <c r="I443" s="186"/>
    </row>
    <row r="444">
      <c r="A444" s="182"/>
      <c r="B444" s="183"/>
      <c r="C444" s="183"/>
      <c r="D444" s="183"/>
      <c r="E444" s="184"/>
      <c r="F444" s="184"/>
      <c r="G444" s="184"/>
      <c r="H444" s="185"/>
      <c r="I444" s="186"/>
    </row>
    <row r="445">
      <c r="A445" s="182"/>
      <c r="B445" s="183"/>
      <c r="C445" s="183"/>
      <c r="D445" s="183"/>
      <c r="E445" s="184"/>
      <c r="F445" s="184"/>
      <c r="G445" s="184"/>
      <c r="H445" s="185"/>
      <c r="I445" s="186"/>
    </row>
    <row r="446">
      <c r="A446" s="182"/>
      <c r="B446" s="183"/>
      <c r="C446" s="183"/>
      <c r="D446" s="183"/>
      <c r="E446" s="184"/>
      <c r="F446" s="184"/>
      <c r="G446" s="184"/>
      <c r="H446" s="185"/>
      <c r="I446" s="186"/>
    </row>
    <row r="447">
      <c r="A447" s="182"/>
      <c r="B447" s="183"/>
      <c r="C447" s="183"/>
      <c r="D447" s="183"/>
      <c r="E447" s="184"/>
      <c r="F447" s="184"/>
      <c r="G447" s="184"/>
      <c r="H447" s="185"/>
      <c r="I447" s="186"/>
    </row>
    <row r="448">
      <c r="A448" s="182"/>
      <c r="B448" s="183"/>
      <c r="C448" s="183"/>
      <c r="D448" s="183"/>
      <c r="E448" s="184"/>
      <c r="F448" s="184"/>
      <c r="G448" s="184"/>
      <c r="H448" s="185"/>
      <c r="I448" s="186"/>
    </row>
    <row r="449">
      <c r="A449" s="182"/>
      <c r="B449" s="183"/>
      <c r="C449" s="183"/>
      <c r="D449" s="183"/>
      <c r="E449" s="184"/>
      <c r="F449" s="184"/>
      <c r="G449" s="184"/>
      <c r="H449" s="185"/>
      <c r="I449" s="186"/>
    </row>
    <row r="450">
      <c r="A450" s="182"/>
      <c r="B450" s="183"/>
      <c r="C450" s="183"/>
      <c r="D450" s="183"/>
      <c r="E450" s="184"/>
      <c r="F450" s="184"/>
      <c r="G450" s="184"/>
      <c r="H450" s="185"/>
      <c r="I450" s="186"/>
    </row>
    <row r="451">
      <c r="A451" s="182"/>
      <c r="B451" s="183"/>
      <c r="C451" s="183"/>
      <c r="D451" s="183"/>
      <c r="E451" s="184"/>
      <c r="F451" s="184"/>
      <c r="G451" s="184"/>
      <c r="H451" s="185"/>
      <c r="I451" s="186"/>
    </row>
    <row r="452">
      <c r="A452" s="182"/>
      <c r="B452" s="183"/>
      <c r="C452" s="183"/>
      <c r="D452" s="183"/>
      <c r="E452" s="184"/>
      <c r="F452" s="184"/>
      <c r="G452" s="184"/>
      <c r="H452" s="185"/>
      <c r="I452" s="186"/>
    </row>
    <row r="453">
      <c r="A453" s="182"/>
      <c r="B453" s="183"/>
      <c r="C453" s="183"/>
      <c r="D453" s="183"/>
      <c r="E453" s="184"/>
      <c r="F453" s="184"/>
      <c r="G453" s="184"/>
      <c r="H453" s="185"/>
      <c r="I453" s="186"/>
    </row>
    <row r="454">
      <c r="A454" s="182"/>
      <c r="B454" s="183"/>
      <c r="C454" s="183"/>
      <c r="D454" s="183"/>
      <c r="E454" s="184"/>
      <c r="F454" s="184"/>
      <c r="G454" s="184"/>
      <c r="H454" s="185"/>
      <c r="I454" s="186"/>
    </row>
    <row r="455">
      <c r="A455" s="182"/>
      <c r="B455" s="183"/>
      <c r="C455" s="183"/>
      <c r="D455" s="183"/>
      <c r="E455" s="184"/>
      <c r="F455" s="184"/>
      <c r="G455" s="184"/>
      <c r="H455" s="185"/>
      <c r="I455" s="186"/>
    </row>
    <row r="456">
      <c r="A456" s="182"/>
      <c r="B456" s="183"/>
      <c r="C456" s="183"/>
      <c r="D456" s="183"/>
      <c r="E456" s="184"/>
      <c r="F456" s="184"/>
      <c r="G456" s="184"/>
      <c r="H456" s="185"/>
      <c r="I456" s="186"/>
    </row>
    <row r="457">
      <c r="A457" s="182"/>
      <c r="B457" s="183"/>
      <c r="C457" s="183"/>
      <c r="D457" s="183"/>
      <c r="E457" s="184"/>
      <c r="F457" s="184"/>
      <c r="G457" s="184"/>
      <c r="H457" s="185"/>
      <c r="I457" s="186"/>
    </row>
    <row r="458">
      <c r="A458" s="182"/>
      <c r="B458" s="183"/>
      <c r="C458" s="183"/>
      <c r="D458" s="183"/>
      <c r="E458" s="184"/>
      <c r="F458" s="184"/>
      <c r="G458" s="184"/>
      <c r="H458" s="185"/>
      <c r="I458" s="186"/>
    </row>
    <row r="459">
      <c r="A459" s="182"/>
      <c r="B459" s="183"/>
      <c r="C459" s="183"/>
      <c r="D459" s="183"/>
      <c r="E459" s="184"/>
      <c r="F459" s="184"/>
      <c r="G459" s="184"/>
      <c r="H459" s="185"/>
      <c r="I459" s="186"/>
    </row>
    <row r="460">
      <c r="A460" s="182"/>
      <c r="B460" s="183"/>
      <c r="C460" s="183"/>
      <c r="D460" s="183"/>
      <c r="E460" s="184"/>
      <c r="F460" s="184"/>
      <c r="G460" s="184"/>
      <c r="H460" s="185"/>
      <c r="I460" s="186"/>
    </row>
    <row r="461">
      <c r="A461" s="182"/>
      <c r="B461" s="183"/>
      <c r="C461" s="183"/>
      <c r="D461" s="183"/>
      <c r="E461" s="184"/>
      <c r="F461" s="184"/>
      <c r="G461" s="184"/>
      <c r="H461" s="185"/>
      <c r="I461" s="186"/>
    </row>
    <row r="462">
      <c r="A462" s="182"/>
      <c r="B462" s="183"/>
      <c r="C462" s="183"/>
      <c r="D462" s="183"/>
      <c r="E462" s="184"/>
      <c r="F462" s="184"/>
      <c r="G462" s="184"/>
      <c r="H462" s="185"/>
      <c r="I462" s="186"/>
    </row>
    <row r="463">
      <c r="A463" s="182"/>
      <c r="B463" s="183"/>
      <c r="C463" s="183"/>
      <c r="D463" s="183"/>
      <c r="E463" s="184"/>
      <c r="F463" s="184"/>
      <c r="G463" s="184"/>
      <c r="H463" s="185"/>
      <c r="I463" s="186"/>
    </row>
    <row r="464">
      <c r="A464" s="182"/>
      <c r="B464" s="183"/>
      <c r="C464" s="183"/>
      <c r="D464" s="183"/>
      <c r="E464" s="184"/>
      <c r="F464" s="184"/>
      <c r="G464" s="184"/>
      <c r="H464" s="185"/>
      <c r="I464" s="186"/>
    </row>
    <row r="465">
      <c r="A465" s="182"/>
      <c r="B465" s="183"/>
      <c r="C465" s="183"/>
      <c r="D465" s="183"/>
      <c r="E465" s="184"/>
      <c r="F465" s="184"/>
      <c r="G465" s="184"/>
      <c r="H465" s="185"/>
      <c r="I465" s="186"/>
    </row>
    <row r="466">
      <c r="A466" s="182"/>
      <c r="B466" s="183"/>
      <c r="C466" s="183"/>
      <c r="D466" s="183"/>
      <c r="E466" s="184"/>
      <c r="F466" s="184"/>
      <c r="G466" s="184"/>
      <c r="H466" s="185"/>
      <c r="I466" s="186"/>
    </row>
    <row r="467">
      <c r="A467" s="182"/>
      <c r="B467" s="183"/>
      <c r="C467" s="183"/>
      <c r="D467" s="183"/>
      <c r="E467" s="184"/>
      <c r="F467" s="184"/>
      <c r="G467" s="184"/>
      <c r="H467" s="185"/>
      <c r="I467" s="186"/>
    </row>
    <row r="468">
      <c r="A468" s="182"/>
      <c r="B468" s="183"/>
      <c r="C468" s="183"/>
      <c r="D468" s="183"/>
      <c r="E468" s="184"/>
      <c r="F468" s="184"/>
      <c r="G468" s="184"/>
      <c r="H468" s="185"/>
      <c r="I468" s="186"/>
    </row>
    <row r="469">
      <c r="A469" s="182"/>
      <c r="B469" s="183"/>
      <c r="C469" s="183"/>
      <c r="D469" s="183"/>
      <c r="E469" s="184"/>
      <c r="F469" s="184"/>
      <c r="G469" s="184"/>
      <c r="H469" s="185"/>
      <c r="I469" s="186"/>
    </row>
    <row r="470">
      <c r="A470" s="182"/>
      <c r="B470" s="183"/>
      <c r="C470" s="183"/>
      <c r="D470" s="183"/>
      <c r="E470" s="184"/>
      <c r="F470" s="184"/>
      <c r="G470" s="184"/>
      <c r="H470" s="185"/>
      <c r="I470" s="186"/>
    </row>
    <row r="471">
      <c r="A471" s="182"/>
      <c r="B471" s="183"/>
      <c r="C471" s="183"/>
      <c r="D471" s="183"/>
      <c r="E471" s="184"/>
      <c r="F471" s="184"/>
      <c r="G471" s="184"/>
      <c r="H471" s="185"/>
      <c r="I471" s="186"/>
    </row>
    <row r="472">
      <c r="A472" s="182"/>
      <c r="B472" s="183"/>
      <c r="C472" s="183"/>
      <c r="D472" s="183"/>
      <c r="E472" s="184"/>
      <c r="F472" s="184"/>
      <c r="G472" s="184"/>
      <c r="H472" s="185"/>
      <c r="I472" s="186"/>
    </row>
    <row r="473">
      <c r="A473" s="182"/>
      <c r="B473" s="183"/>
      <c r="C473" s="183"/>
      <c r="D473" s="183"/>
      <c r="E473" s="184"/>
      <c r="F473" s="184"/>
      <c r="G473" s="184"/>
      <c r="H473" s="185"/>
      <c r="I473" s="186"/>
    </row>
    <row r="474">
      <c r="A474" s="182"/>
      <c r="B474" s="183"/>
      <c r="C474" s="183"/>
      <c r="D474" s="183"/>
      <c r="E474" s="184"/>
      <c r="F474" s="184"/>
      <c r="G474" s="184"/>
      <c r="H474" s="185"/>
      <c r="I474" s="186"/>
    </row>
    <row r="475">
      <c r="A475" s="182"/>
      <c r="B475" s="183"/>
      <c r="C475" s="183"/>
      <c r="D475" s="183"/>
      <c r="E475" s="184"/>
      <c r="F475" s="184"/>
      <c r="G475" s="184"/>
      <c r="H475" s="185"/>
      <c r="I475" s="186"/>
    </row>
    <row r="476">
      <c r="A476" s="182"/>
      <c r="B476" s="183"/>
      <c r="C476" s="183"/>
      <c r="D476" s="183"/>
      <c r="E476" s="184"/>
      <c r="F476" s="184"/>
      <c r="G476" s="184"/>
      <c r="H476" s="185"/>
      <c r="I476" s="186"/>
    </row>
    <row r="477">
      <c r="A477" s="182"/>
      <c r="B477" s="183"/>
      <c r="C477" s="183"/>
      <c r="D477" s="183"/>
      <c r="E477" s="184"/>
      <c r="F477" s="184"/>
      <c r="G477" s="184"/>
      <c r="H477" s="185"/>
      <c r="I477" s="186"/>
    </row>
    <row r="478">
      <c r="A478" s="182"/>
      <c r="B478" s="183"/>
      <c r="C478" s="183"/>
      <c r="D478" s="183"/>
      <c r="E478" s="184"/>
      <c r="F478" s="184"/>
      <c r="G478" s="184"/>
      <c r="H478" s="185"/>
      <c r="I478" s="186"/>
    </row>
    <row r="479">
      <c r="A479" s="182"/>
      <c r="B479" s="183"/>
      <c r="C479" s="183"/>
      <c r="D479" s="183"/>
      <c r="E479" s="184"/>
      <c r="F479" s="184"/>
      <c r="G479" s="184"/>
      <c r="H479" s="185"/>
      <c r="I479" s="186"/>
    </row>
    <row r="480">
      <c r="A480" s="182"/>
      <c r="B480" s="183"/>
      <c r="C480" s="183"/>
      <c r="D480" s="183"/>
      <c r="E480" s="184"/>
      <c r="F480" s="184"/>
      <c r="G480" s="184"/>
      <c r="H480" s="185"/>
      <c r="I480" s="186"/>
    </row>
    <row r="481">
      <c r="A481" s="182"/>
      <c r="B481" s="183"/>
      <c r="C481" s="183"/>
      <c r="D481" s="183"/>
      <c r="E481" s="184"/>
      <c r="F481" s="184"/>
      <c r="G481" s="184"/>
      <c r="H481" s="185"/>
      <c r="I481" s="186"/>
    </row>
    <row r="482">
      <c r="A482" s="182"/>
      <c r="B482" s="183"/>
      <c r="C482" s="183"/>
      <c r="D482" s="183"/>
      <c r="E482" s="184"/>
      <c r="F482" s="184"/>
      <c r="G482" s="184"/>
      <c r="H482" s="185"/>
      <c r="I482" s="186"/>
    </row>
    <row r="483">
      <c r="A483" s="182"/>
      <c r="B483" s="183"/>
      <c r="C483" s="183"/>
      <c r="D483" s="183"/>
      <c r="E483" s="184"/>
      <c r="F483" s="184"/>
      <c r="G483" s="184"/>
      <c r="H483" s="185"/>
      <c r="I483" s="186"/>
    </row>
    <row r="484">
      <c r="A484" s="182"/>
      <c r="B484" s="183"/>
      <c r="C484" s="183"/>
      <c r="D484" s="183"/>
      <c r="E484" s="184"/>
      <c r="F484" s="184"/>
      <c r="G484" s="184"/>
      <c r="H484" s="185"/>
      <c r="I484" s="186"/>
    </row>
    <row r="485">
      <c r="A485" s="182"/>
      <c r="B485" s="183"/>
      <c r="C485" s="183"/>
      <c r="D485" s="183"/>
      <c r="E485" s="184"/>
      <c r="F485" s="184"/>
      <c r="G485" s="184"/>
      <c r="H485" s="185"/>
      <c r="I485" s="186"/>
    </row>
    <row r="486">
      <c r="A486" s="182"/>
      <c r="B486" s="183"/>
      <c r="C486" s="183"/>
      <c r="D486" s="183"/>
      <c r="E486" s="184"/>
      <c r="F486" s="184"/>
      <c r="G486" s="184"/>
      <c r="H486" s="185"/>
      <c r="I486" s="186"/>
    </row>
    <row r="487">
      <c r="A487" s="182"/>
      <c r="B487" s="183"/>
      <c r="C487" s="183"/>
      <c r="D487" s="183"/>
      <c r="E487" s="184"/>
      <c r="F487" s="184"/>
      <c r="G487" s="184"/>
      <c r="H487" s="185"/>
      <c r="I487" s="186"/>
    </row>
    <row r="488">
      <c r="A488" s="182"/>
      <c r="B488" s="183"/>
      <c r="C488" s="183"/>
      <c r="D488" s="183"/>
      <c r="E488" s="184"/>
      <c r="F488" s="184"/>
      <c r="G488" s="184"/>
      <c r="H488" s="185"/>
      <c r="I488" s="186"/>
    </row>
    <row r="489">
      <c r="A489" s="182"/>
      <c r="B489" s="183"/>
      <c r="C489" s="183"/>
      <c r="D489" s="183"/>
      <c r="E489" s="184"/>
      <c r="F489" s="184"/>
      <c r="G489" s="184"/>
      <c r="H489" s="185"/>
      <c r="I489" s="186"/>
    </row>
    <row r="490">
      <c r="A490" s="182"/>
      <c r="B490" s="183"/>
      <c r="C490" s="183"/>
      <c r="D490" s="183"/>
      <c r="E490" s="184"/>
      <c r="F490" s="184"/>
      <c r="G490" s="184"/>
      <c r="H490" s="185"/>
      <c r="I490" s="186"/>
    </row>
    <row r="491">
      <c r="A491" s="182"/>
      <c r="B491" s="183"/>
      <c r="C491" s="183"/>
      <c r="D491" s="183"/>
      <c r="E491" s="184"/>
      <c r="F491" s="184"/>
      <c r="G491" s="184"/>
      <c r="H491" s="185"/>
      <c r="I491" s="186"/>
    </row>
    <row r="492">
      <c r="A492" s="182"/>
      <c r="B492" s="183"/>
      <c r="C492" s="183"/>
      <c r="D492" s="183"/>
      <c r="E492" s="184"/>
      <c r="F492" s="184"/>
      <c r="G492" s="184"/>
      <c r="H492" s="185"/>
      <c r="I492" s="186"/>
    </row>
    <row r="493">
      <c r="A493" s="182"/>
      <c r="B493" s="183"/>
      <c r="C493" s="183"/>
      <c r="D493" s="183"/>
      <c r="E493" s="184"/>
      <c r="F493" s="184"/>
      <c r="G493" s="184"/>
      <c r="H493" s="185"/>
      <c r="I493" s="186"/>
    </row>
    <row r="494">
      <c r="A494" s="182"/>
      <c r="B494" s="183"/>
      <c r="C494" s="183"/>
      <c r="D494" s="183"/>
      <c r="E494" s="184"/>
      <c r="F494" s="184"/>
      <c r="G494" s="184"/>
      <c r="H494" s="185"/>
      <c r="I494" s="186"/>
    </row>
    <row r="495">
      <c r="A495" s="182"/>
      <c r="B495" s="183"/>
      <c r="C495" s="183"/>
      <c r="D495" s="183"/>
      <c r="E495" s="184"/>
      <c r="F495" s="184"/>
      <c r="G495" s="184"/>
      <c r="H495" s="185"/>
      <c r="I495" s="186"/>
    </row>
    <row r="496">
      <c r="A496" s="182"/>
      <c r="B496" s="183"/>
      <c r="C496" s="183"/>
      <c r="D496" s="183"/>
      <c r="E496" s="184"/>
      <c r="F496" s="184"/>
      <c r="G496" s="184"/>
      <c r="H496" s="185"/>
      <c r="I496" s="186"/>
    </row>
    <row r="497">
      <c r="A497" s="182"/>
      <c r="B497" s="183"/>
      <c r="C497" s="183"/>
      <c r="D497" s="183"/>
      <c r="E497" s="184"/>
      <c r="F497" s="184"/>
      <c r="G497" s="184"/>
      <c r="H497" s="185"/>
      <c r="I497" s="186"/>
    </row>
    <row r="498">
      <c r="A498" s="182"/>
      <c r="B498" s="183"/>
      <c r="C498" s="183"/>
      <c r="D498" s="183"/>
      <c r="E498" s="184"/>
      <c r="F498" s="184"/>
      <c r="G498" s="184"/>
      <c r="H498" s="185"/>
      <c r="I498" s="186"/>
    </row>
    <row r="499">
      <c r="A499" s="182"/>
      <c r="B499" s="183"/>
      <c r="C499" s="183"/>
      <c r="D499" s="183"/>
      <c r="E499" s="184"/>
      <c r="F499" s="184"/>
      <c r="G499" s="184"/>
      <c r="H499" s="185"/>
      <c r="I499" s="186"/>
    </row>
    <row r="500">
      <c r="A500" s="182"/>
      <c r="B500" s="183"/>
      <c r="C500" s="183"/>
      <c r="D500" s="183"/>
      <c r="E500" s="184"/>
      <c r="F500" s="184"/>
      <c r="G500" s="184"/>
      <c r="H500" s="185"/>
      <c r="I500" s="186"/>
    </row>
    <row r="501">
      <c r="A501" s="182"/>
      <c r="B501" s="183"/>
      <c r="C501" s="183"/>
      <c r="D501" s="183"/>
      <c r="E501" s="184"/>
      <c r="F501" s="184"/>
      <c r="G501" s="184"/>
      <c r="H501" s="185"/>
      <c r="I501" s="186"/>
    </row>
    <row r="502">
      <c r="A502" s="182"/>
      <c r="B502" s="183"/>
      <c r="C502" s="183"/>
      <c r="D502" s="183"/>
      <c r="E502" s="184"/>
      <c r="F502" s="184"/>
      <c r="G502" s="184"/>
      <c r="H502" s="185"/>
      <c r="I502" s="186"/>
    </row>
    <row r="503">
      <c r="A503" s="182"/>
      <c r="B503" s="183"/>
      <c r="C503" s="183"/>
      <c r="D503" s="183"/>
      <c r="E503" s="184"/>
      <c r="F503" s="184"/>
      <c r="G503" s="184"/>
      <c r="H503" s="185"/>
      <c r="I503" s="186"/>
    </row>
    <row r="504">
      <c r="A504" s="182"/>
      <c r="B504" s="183"/>
      <c r="C504" s="183"/>
      <c r="D504" s="183"/>
      <c r="E504" s="184"/>
      <c r="F504" s="184"/>
      <c r="G504" s="184"/>
      <c r="H504" s="185"/>
      <c r="I504" s="186"/>
    </row>
    <row r="505">
      <c r="A505" s="182"/>
      <c r="B505" s="183"/>
      <c r="C505" s="183"/>
      <c r="D505" s="183"/>
      <c r="E505" s="184"/>
      <c r="F505" s="184"/>
      <c r="G505" s="184"/>
      <c r="H505" s="185"/>
      <c r="I505" s="186"/>
    </row>
    <row r="506">
      <c r="A506" s="182"/>
      <c r="B506" s="183"/>
      <c r="C506" s="183"/>
      <c r="D506" s="183"/>
      <c r="E506" s="184"/>
      <c r="F506" s="184"/>
      <c r="G506" s="184"/>
      <c r="H506" s="185"/>
      <c r="I506" s="186"/>
    </row>
    <row r="507">
      <c r="A507" s="182"/>
      <c r="B507" s="183"/>
      <c r="C507" s="183"/>
      <c r="D507" s="183"/>
      <c r="E507" s="184"/>
      <c r="F507" s="184"/>
      <c r="G507" s="184"/>
      <c r="H507" s="185"/>
      <c r="I507" s="186"/>
    </row>
    <row r="508">
      <c r="A508" s="182"/>
      <c r="B508" s="183"/>
      <c r="C508" s="183"/>
      <c r="D508" s="183"/>
      <c r="E508" s="184"/>
      <c r="F508" s="184"/>
      <c r="G508" s="184"/>
      <c r="H508" s="185"/>
      <c r="I508" s="186"/>
    </row>
    <row r="509">
      <c r="A509" s="182"/>
      <c r="B509" s="183"/>
      <c r="C509" s="183"/>
      <c r="D509" s="183"/>
      <c r="E509" s="184"/>
      <c r="F509" s="184"/>
      <c r="G509" s="184"/>
      <c r="H509" s="185"/>
      <c r="I509" s="186"/>
    </row>
    <row r="510">
      <c r="A510" s="182"/>
      <c r="B510" s="183"/>
      <c r="C510" s="183"/>
      <c r="D510" s="183"/>
      <c r="E510" s="184"/>
      <c r="F510" s="184"/>
      <c r="G510" s="184"/>
      <c r="H510" s="185"/>
      <c r="I510" s="186"/>
    </row>
    <row r="511">
      <c r="A511" s="182"/>
      <c r="B511" s="183"/>
      <c r="C511" s="183"/>
      <c r="D511" s="183"/>
      <c r="E511" s="184"/>
      <c r="F511" s="184"/>
      <c r="G511" s="184"/>
      <c r="H511" s="185"/>
      <c r="I511" s="186"/>
    </row>
    <row r="512">
      <c r="A512" s="182"/>
      <c r="B512" s="183"/>
      <c r="C512" s="183"/>
      <c r="D512" s="183"/>
      <c r="E512" s="184"/>
      <c r="F512" s="184"/>
      <c r="G512" s="184"/>
      <c r="H512" s="185"/>
      <c r="I512" s="186"/>
    </row>
    <row r="513">
      <c r="A513" s="182"/>
      <c r="B513" s="183"/>
      <c r="C513" s="183"/>
      <c r="D513" s="183"/>
      <c r="E513" s="184"/>
      <c r="F513" s="184"/>
      <c r="G513" s="184"/>
      <c r="H513" s="185"/>
      <c r="I513" s="186"/>
    </row>
    <row r="514">
      <c r="A514" s="182"/>
      <c r="B514" s="183"/>
      <c r="C514" s="183"/>
      <c r="D514" s="183"/>
      <c r="E514" s="184"/>
      <c r="F514" s="184"/>
      <c r="G514" s="184"/>
      <c r="H514" s="185"/>
      <c r="I514" s="186"/>
    </row>
    <row r="515">
      <c r="A515" s="182"/>
      <c r="B515" s="183"/>
      <c r="C515" s="183"/>
      <c r="D515" s="183"/>
      <c r="E515" s="184"/>
      <c r="F515" s="184"/>
      <c r="G515" s="184"/>
      <c r="H515" s="185"/>
      <c r="I515" s="186"/>
    </row>
    <row r="516">
      <c r="A516" s="182"/>
      <c r="B516" s="183"/>
      <c r="C516" s="183"/>
      <c r="D516" s="183"/>
      <c r="E516" s="184"/>
      <c r="F516" s="184"/>
      <c r="G516" s="184"/>
      <c r="H516" s="185"/>
      <c r="I516" s="186"/>
    </row>
    <row r="517">
      <c r="A517" s="182"/>
      <c r="B517" s="183"/>
      <c r="C517" s="183"/>
      <c r="D517" s="183"/>
      <c r="E517" s="184"/>
      <c r="F517" s="184"/>
      <c r="G517" s="184"/>
      <c r="H517" s="185"/>
      <c r="I517" s="186"/>
    </row>
    <row r="518">
      <c r="A518" s="182"/>
      <c r="B518" s="183"/>
      <c r="C518" s="183"/>
      <c r="D518" s="183"/>
      <c r="E518" s="184"/>
      <c r="F518" s="184"/>
      <c r="G518" s="184"/>
      <c r="H518" s="185"/>
      <c r="I518" s="186"/>
    </row>
    <row r="519">
      <c r="A519" s="182"/>
      <c r="B519" s="183"/>
      <c r="C519" s="183"/>
      <c r="D519" s="183"/>
      <c r="E519" s="184"/>
      <c r="F519" s="184"/>
      <c r="G519" s="184"/>
      <c r="H519" s="185"/>
      <c r="I519" s="186"/>
    </row>
    <row r="520">
      <c r="A520" s="182"/>
      <c r="B520" s="183"/>
      <c r="C520" s="183"/>
      <c r="D520" s="183"/>
      <c r="E520" s="184"/>
      <c r="F520" s="184"/>
      <c r="G520" s="184"/>
      <c r="H520" s="185"/>
      <c r="I520" s="186"/>
    </row>
    <row r="521">
      <c r="A521" s="182"/>
      <c r="B521" s="183"/>
      <c r="C521" s="183"/>
      <c r="D521" s="183"/>
      <c r="E521" s="184"/>
      <c r="F521" s="184"/>
      <c r="G521" s="184"/>
      <c r="H521" s="185"/>
      <c r="I521" s="186"/>
    </row>
    <row r="522">
      <c r="A522" s="182"/>
      <c r="B522" s="183"/>
      <c r="C522" s="183"/>
      <c r="D522" s="183"/>
      <c r="E522" s="184"/>
      <c r="F522" s="184"/>
      <c r="G522" s="184"/>
      <c r="H522" s="185"/>
      <c r="I522" s="186"/>
    </row>
    <row r="523">
      <c r="A523" s="182"/>
      <c r="B523" s="183"/>
      <c r="C523" s="183"/>
      <c r="D523" s="183"/>
      <c r="E523" s="184"/>
      <c r="F523" s="184"/>
      <c r="G523" s="184"/>
      <c r="H523" s="185"/>
      <c r="I523" s="186"/>
    </row>
    <row r="524">
      <c r="A524" s="182"/>
      <c r="B524" s="183"/>
      <c r="C524" s="183"/>
      <c r="D524" s="183"/>
      <c r="E524" s="184"/>
      <c r="F524" s="184"/>
      <c r="G524" s="184"/>
      <c r="H524" s="185"/>
      <c r="I524" s="186"/>
    </row>
    <row r="525">
      <c r="A525" s="182"/>
      <c r="B525" s="183"/>
      <c r="C525" s="183"/>
      <c r="D525" s="183"/>
      <c r="E525" s="184"/>
      <c r="F525" s="184"/>
      <c r="G525" s="184"/>
      <c r="H525" s="185"/>
      <c r="I525" s="186"/>
    </row>
    <row r="526">
      <c r="A526" s="182"/>
      <c r="B526" s="183"/>
      <c r="C526" s="183"/>
      <c r="D526" s="183"/>
      <c r="E526" s="184"/>
      <c r="F526" s="184"/>
      <c r="G526" s="184"/>
      <c r="H526" s="185"/>
      <c r="I526" s="186"/>
    </row>
    <row r="527">
      <c r="A527" s="182"/>
      <c r="B527" s="183"/>
      <c r="C527" s="183"/>
      <c r="D527" s="183"/>
      <c r="E527" s="184"/>
      <c r="F527" s="184"/>
      <c r="G527" s="184"/>
      <c r="H527" s="185"/>
      <c r="I527" s="186"/>
    </row>
    <row r="528">
      <c r="A528" s="182"/>
      <c r="B528" s="183"/>
      <c r="C528" s="183"/>
      <c r="D528" s="183"/>
      <c r="E528" s="184"/>
      <c r="F528" s="184"/>
      <c r="G528" s="184"/>
      <c r="H528" s="185"/>
      <c r="I528" s="186"/>
    </row>
    <row r="529">
      <c r="A529" s="182"/>
      <c r="B529" s="183"/>
      <c r="C529" s="183"/>
      <c r="D529" s="183"/>
      <c r="E529" s="184"/>
      <c r="F529" s="184"/>
      <c r="G529" s="184"/>
      <c r="H529" s="185"/>
      <c r="I529" s="186"/>
    </row>
    <row r="530">
      <c r="A530" s="182"/>
      <c r="B530" s="183"/>
      <c r="C530" s="183"/>
      <c r="D530" s="183"/>
      <c r="E530" s="184"/>
      <c r="F530" s="184"/>
      <c r="G530" s="184"/>
      <c r="H530" s="185"/>
      <c r="I530" s="186"/>
    </row>
    <row r="531">
      <c r="A531" s="182"/>
      <c r="B531" s="183"/>
      <c r="C531" s="183"/>
      <c r="D531" s="183"/>
      <c r="E531" s="184"/>
      <c r="F531" s="184"/>
      <c r="G531" s="184"/>
      <c r="H531" s="185"/>
      <c r="I531" s="186"/>
    </row>
    <row r="532">
      <c r="A532" s="182"/>
      <c r="B532" s="183"/>
      <c r="C532" s="183"/>
      <c r="D532" s="183"/>
      <c r="E532" s="184"/>
      <c r="F532" s="184"/>
      <c r="G532" s="184"/>
      <c r="H532" s="185"/>
      <c r="I532" s="186"/>
    </row>
    <row r="533">
      <c r="A533" s="182"/>
      <c r="B533" s="183"/>
      <c r="C533" s="183"/>
      <c r="D533" s="183"/>
      <c r="E533" s="184"/>
      <c r="F533" s="184"/>
      <c r="G533" s="184"/>
      <c r="H533" s="185"/>
      <c r="I533" s="186"/>
    </row>
    <row r="534">
      <c r="A534" s="182"/>
      <c r="B534" s="183"/>
      <c r="C534" s="183"/>
      <c r="D534" s="183"/>
      <c r="E534" s="184"/>
      <c r="F534" s="184"/>
      <c r="G534" s="184"/>
      <c r="H534" s="185"/>
      <c r="I534" s="186"/>
    </row>
    <row r="535">
      <c r="A535" s="182"/>
      <c r="B535" s="183"/>
      <c r="C535" s="183"/>
      <c r="D535" s="183"/>
      <c r="E535" s="184"/>
      <c r="F535" s="184"/>
      <c r="G535" s="184"/>
      <c r="H535" s="185"/>
      <c r="I535" s="186"/>
    </row>
    <row r="536">
      <c r="A536" s="182"/>
      <c r="B536" s="183"/>
      <c r="C536" s="183"/>
      <c r="D536" s="183"/>
      <c r="E536" s="184"/>
      <c r="F536" s="184"/>
      <c r="G536" s="184"/>
      <c r="H536" s="185"/>
      <c r="I536" s="186"/>
    </row>
    <row r="537">
      <c r="A537" s="182"/>
      <c r="B537" s="183"/>
      <c r="C537" s="183"/>
      <c r="D537" s="183"/>
      <c r="E537" s="184"/>
      <c r="F537" s="184"/>
      <c r="G537" s="184"/>
      <c r="H537" s="185"/>
      <c r="I537" s="186"/>
    </row>
    <row r="538">
      <c r="A538" s="182"/>
      <c r="B538" s="183"/>
      <c r="C538" s="183"/>
      <c r="D538" s="183"/>
      <c r="E538" s="184"/>
      <c r="F538" s="184"/>
      <c r="G538" s="184"/>
      <c r="H538" s="185"/>
      <c r="I538" s="186"/>
    </row>
    <row r="539">
      <c r="A539" s="182"/>
      <c r="B539" s="183"/>
      <c r="C539" s="183"/>
      <c r="D539" s="183"/>
      <c r="E539" s="184"/>
      <c r="F539" s="184"/>
      <c r="G539" s="184"/>
      <c r="H539" s="185"/>
      <c r="I539" s="186"/>
    </row>
    <row r="540">
      <c r="A540" s="182"/>
      <c r="B540" s="183"/>
      <c r="C540" s="183"/>
      <c r="D540" s="183"/>
      <c r="E540" s="184"/>
      <c r="F540" s="184"/>
      <c r="G540" s="184"/>
      <c r="H540" s="185"/>
      <c r="I540" s="186"/>
    </row>
    <row r="541">
      <c r="A541" s="182"/>
      <c r="B541" s="183"/>
      <c r="C541" s="183"/>
      <c r="D541" s="183"/>
      <c r="E541" s="184"/>
      <c r="F541" s="184"/>
      <c r="G541" s="184"/>
      <c r="H541" s="185"/>
      <c r="I541" s="186"/>
    </row>
    <row r="542">
      <c r="A542" s="182"/>
      <c r="B542" s="183"/>
      <c r="C542" s="183"/>
      <c r="D542" s="183"/>
      <c r="E542" s="184"/>
      <c r="F542" s="184"/>
      <c r="G542" s="184"/>
      <c r="H542" s="185"/>
      <c r="I542" s="186"/>
    </row>
    <row r="543">
      <c r="A543" s="182"/>
      <c r="B543" s="183"/>
      <c r="C543" s="183"/>
      <c r="D543" s="183"/>
      <c r="E543" s="184"/>
      <c r="F543" s="184"/>
      <c r="G543" s="184"/>
      <c r="H543" s="185"/>
      <c r="I543" s="186"/>
    </row>
    <row r="544">
      <c r="A544" s="182"/>
      <c r="B544" s="183"/>
      <c r="C544" s="183"/>
      <c r="D544" s="183"/>
      <c r="E544" s="184"/>
      <c r="F544" s="184"/>
      <c r="G544" s="184"/>
      <c r="H544" s="185"/>
      <c r="I544" s="186"/>
    </row>
    <row r="545">
      <c r="A545" s="182"/>
      <c r="B545" s="183"/>
      <c r="C545" s="183"/>
      <c r="D545" s="183"/>
      <c r="E545" s="184"/>
      <c r="F545" s="184"/>
      <c r="G545" s="184"/>
      <c r="H545" s="185"/>
      <c r="I545" s="186"/>
    </row>
    <row r="546">
      <c r="A546" s="182"/>
      <c r="B546" s="183"/>
      <c r="C546" s="183"/>
      <c r="D546" s="183"/>
      <c r="E546" s="184"/>
      <c r="F546" s="184"/>
      <c r="G546" s="184"/>
      <c r="H546" s="185"/>
      <c r="I546" s="186"/>
    </row>
    <row r="547">
      <c r="A547" s="182"/>
      <c r="B547" s="183"/>
      <c r="C547" s="183"/>
      <c r="D547" s="183"/>
      <c r="E547" s="184"/>
      <c r="F547" s="184"/>
      <c r="G547" s="184"/>
      <c r="H547" s="185"/>
      <c r="I547" s="186"/>
    </row>
    <row r="548">
      <c r="A548" s="182"/>
      <c r="B548" s="183"/>
      <c r="C548" s="183"/>
      <c r="D548" s="183"/>
      <c r="E548" s="184"/>
      <c r="F548" s="184"/>
      <c r="G548" s="184"/>
      <c r="H548" s="185"/>
      <c r="I548" s="186"/>
    </row>
    <row r="549">
      <c r="A549" s="182"/>
      <c r="B549" s="183"/>
      <c r="C549" s="183"/>
      <c r="D549" s="183"/>
      <c r="E549" s="184"/>
      <c r="F549" s="184"/>
      <c r="G549" s="184"/>
      <c r="H549" s="185"/>
      <c r="I549" s="186"/>
    </row>
    <row r="550">
      <c r="A550" s="182"/>
      <c r="B550" s="183"/>
      <c r="C550" s="183"/>
      <c r="D550" s="183"/>
      <c r="E550" s="184"/>
      <c r="F550" s="184"/>
      <c r="G550" s="184"/>
      <c r="H550" s="185"/>
      <c r="I550" s="186"/>
    </row>
    <row r="551">
      <c r="A551" s="182"/>
      <c r="B551" s="183"/>
      <c r="C551" s="183"/>
      <c r="D551" s="183"/>
      <c r="E551" s="184"/>
      <c r="F551" s="184"/>
      <c r="G551" s="184"/>
      <c r="H551" s="185"/>
      <c r="I551" s="186"/>
    </row>
    <row r="552">
      <c r="A552" s="182"/>
      <c r="B552" s="183"/>
      <c r="C552" s="183"/>
      <c r="D552" s="183"/>
      <c r="E552" s="184"/>
      <c r="F552" s="184"/>
      <c r="G552" s="184"/>
      <c r="H552" s="185"/>
      <c r="I552" s="186"/>
    </row>
    <row r="553">
      <c r="A553" s="182"/>
      <c r="B553" s="183"/>
      <c r="C553" s="183"/>
      <c r="D553" s="183"/>
      <c r="E553" s="184"/>
      <c r="F553" s="184"/>
      <c r="G553" s="184"/>
      <c r="H553" s="185"/>
      <c r="I553" s="186"/>
    </row>
    <row r="554">
      <c r="A554" s="182"/>
      <c r="B554" s="183"/>
      <c r="C554" s="183"/>
      <c r="D554" s="183"/>
      <c r="E554" s="184"/>
      <c r="F554" s="184"/>
      <c r="G554" s="184"/>
      <c r="H554" s="185"/>
      <c r="I554" s="186"/>
    </row>
    <row r="555">
      <c r="A555" s="182"/>
      <c r="B555" s="183"/>
      <c r="C555" s="183"/>
      <c r="D555" s="183"/>
      <c r="E555" s="184"/>
      <c r="F555" s="184"/>
      <c r="G555" s="184"/>
      <c r="H555" s="185"/>
      <c r="I555" s="186"/>
    </row>
    <row r="556">
      <c r="A556" s="182"/>
      <c r="B556" s="183"/>
      <c r="C556" s="183"/>
      <c r="D556" s="183"/>
      <c r="E556" s="184"/>
      <c r="F556" s="184"/>
      <c r="G556" s="184"/>
      <c r="H556" s="185"/>
      <c r="I556" s="186"/>
    </row>
    <row r="557">
      <c r="A557" s="182"/>
      <c r="B557" s="183"/>
      <c r="C557" s="183"/>
      <c r="D557" s="183"/>
      <c r="E557" s="184"/>
      <c r="F557" s="184"/>
      <c r="G557" s="184"/>
      <c r="H557" s="185"/>
      <c r="I557" s="186"/>
    </row>
    <row r="558">
      <c r="A558" s="182"/>
      <c r="B558" s="183"/>
      <c r="C558" s="183"/>
      <c r="D558" s="183"/>
      <c r="E558" s="184"/>
      <c r="F558" s="184"/>
      <c r="G558" s="184"/>
      <c r="H558" s="185"/>
      <c r="I558" s="186"/>
    </row>
    <row r="559">
      <c r="A559" s="182"/>
      <c r="B559" s="183"/>
      <c r="C559" s="183"/>
      <c r="D559" s="183"/>
      <c r="E559" s="184"/>
      <c r="F559" s="184"/>
      <c r="G559" s="184"/>
      <c r="H559" s="185"/>
      <c r="I559" s="186"/>
    </row>
    <row r="560">
      <c r="A560" s="182"/>
      <c r="B560" s="183"/>
      <c r="C560" s="183"/>
      <c r="D560" s="183"/>
      <c r="E560" s="184"/>
      <c r="F560" s="184"/>
      <c r="G560" s="184"/>
      <c r="H560" s="185"/>
      <c r="I560" s="186"/>
    </row>
    <row r="561">
      <c r="A561" s="182"/>
      <c r="B561" s="183"/>
      <c r="C561" s="183"/>
      <c r="D561" s="183"/>
      <c r="E561" s="184"/>
      <c r="F561" s="184"/>
      <c r="G561" s="184"/>
      <c r="H561" s="185"/>
      <c r="I561" s="186"/>
    </row>
    <row r="562">
      <c r="A562" s="182"/>
      <c r="B562" s="183"/>
      <c r="C562" s="183"/>
      <c r="D562" s="183"/>
      <c r="E562" s="184"/>
      <c r="F562" s="184"/>
      <c r="G562" s="184"/>
      <c r="H562" s="185"/>
      <c r="I562" s="186"/>
    </row>
    <row r="563">
      <c r="A563" s="182"/>
      <c r="B563" s="183"/>
      <c r="C563" s="183"/>
      <c r="D563" s="183"/>
      <c r="E563" s="184"/>
      <c r="F563" s="184"/>
      <c r="G563" s="184"/>
      <c r="H563" s="185"/>
      <c r="I563" s="186"/>
    </row>
    <row r="564">
      <c r="A564" s="182"/>
      <c r="B564" s="183"/>
      <c r="C564" s="183"/>
      <c r="D564" s="183"/>
      <c r="E564" s="184"/>
      <c r="F564" s="184"/>
      <c r="G564" s="184"/>
      <c r="H564" s="185"/>
      <c r="I564" s="186"/>
    </row>
    <row r="565">
      <c r="A565" s="182"/>
      <c r="B565" s="183"/>
      <c r="C565" s="183"/>
      <c r="D565" s="183"/>
      <c r="E565" s="184"/>
      <c r="F565" s="184"/>
      <c r="G565" s="184"/>
      <c r="H565" s="185"/>
      <c r="I565" s="186"/>
    </row>
    <row r="566">
      <c r="A566" s="182"/>
      <c r="B566" s="183"/>
      <c r="C566" s="183"/>
      <c r="D566" s="183"/>
      <c r="E566" s="184"/>
      <c r="F566" s="184"/>
      <c r="G566" s="184"/>
      <c r="H566" s="185"/>
      <c r="I566" s="186"/>
    </row>
    <row r="567">
      <c r="A567" s="182"/>
      <c r="B567" s="183"/>
      <c r="C567" s="183"/>
      <c r="D567" s="183"/>
      <c r="E567" s="184"/>
      <c r="F567" s="184"/>
      <c r="G567" s="184"/>
      <c r="H567" s="185"/>
      <c r="I567" s="186"/>
    </row>
    <row r="568">
      <c r="A568" s="182"/>
      <c r="B568" s="183"/>
      <c r="C568" s="183"/>
      <c r="D568" s="183"/>
      <c r="E568" s="184"/>
      <c r="F568" s="184"/>
      <c r="G568" s="184"/>
      <c r="H568" s="185"/>
      <c r="I568" s="186"/>
    </row>
    <row r="569">
      <c r="A569" s="182"/>
      <c r="B569" s="183"/>
      <c r="C569" s="183"/>
      <c r="D569" s="183"/>
      <c r="E569" s="184"/>
      <c r="F569" s="184"/>
      <c r="G569" s="184"/>
      <c r="H569" s="185"/>
      <c r="I569" s="186"/>
    </row>
    <row r="570">
      <c r="A570" s="182"/>
      <c r="B570" s="183"/>
      <c r="C570" s="183"/>
      <c r="D570" s="183"/>
      <c r="E570" s="184"/>
      <c r="F570" s="184"/>
      <c r="G570" s="184"/>
      <c r="H570" s="185"/>
      <c r="I570" s="186"/>
    </row>
    <row r="571">
      <c r="A571" s="182"/>
      <c r="B571" s="183"/>
      <c r="C571" s="183"/>
      <c r="D571" s="183"/>
      <c r="E571" s="184"/>
      <c r="F571" s="184"/>
      <c r="G571" s="184"/>
      <c r="H571" s="185"/>
      <c r="I571" s="186"/>
    </row>
    <row r="572">
      <c r="A572" s="182"/>
      <c r="B572" s="183"/>
      <c r="C572" s="183"/>
      <c r="D572" s="183"/>
      <c r="E572" s="184"/>
      <c r="F572" s="184"/>
      <c r="G572" s="184"/>
      <c r="H572" s="185"/>
      <c r="I572" s="186"/>
    </row>
    <row r="573">
      <c r="A573" s="182"/>
      <c r="B573" s="183"/>
      <c r="C573" s="183"/>
      <c r="D573" s="183"/>
      <c r="E573" s="184"/>
      <c r="F573" s="184"/>
      <c r="G573" s="184"/>
      <c r="H573" s="185"/>
      <c r="I573" s="186"/>
    </row>
    <row r="574">
      <c r="A574" s="182"/>
      <c r="B574" s="183"/>
      <c r="C574" s="183"/>
      <c r="D574" s="183"/>
      <c r="E574" s="184"/>
      <c r="F574" s="184"/>
      <c r="G574" s="184"/>
      <c r="H574" s="185"/>
      <c r="I574" s="186"/>
    </row>
    <row r="575">
      <c r="A575" s="182"/>
      <c r="B575" s="183"/>
      <c r="C575" s="183"/>
      <c r="D575" s="183"/>
      <c r="E575" s="184"/>
      <c r="F575" s="184"/>
      <c r="G575" s="184"/>
      <c r="H575" s="185"/>
      <c r="I575" s="186"/>
    </row>
    <row r="576">
      <c r="A576" s="182"/>
      <c r="B576" s="183"/>
      <c r="C576" s="183"/>
      <c r="D576" s="183"/>
      <c r="E576" s="184"/>
      <c r="F576" s="184"/>
      <c r="G576" s="184"/>
      <c r="H576" s="185"/>
      <c r="I576" s="186"/>
    </row>
    <row r="577">
      <c r="A577" s="182"/>
      <c r="B577" s="183"/>
      <c r="C577" s="183"/>
      <c r="D577" s="183"/>
      <c r="E577" s="184"/>
      <c r="F577" s="184"/>
      <c r="G577" s="184"/>
      <c r="H577" s="185"/>
      <c r="I577" s="186"/>
    </row>
    <row r="578">
      <c r="A578" s="182"/>
      <c r="B578" s="183"/>
      <c r="C578" s="183"/>
      <c r="D578" s="183"/>
      <c r="E578" s="184"/>
      <c r="F578" s="184"/>
      <c r="G578" s="184"/>
      <c r="H578" s="185"/>
      <c r="I578" s="186"/>
    </row>
    <row r="579">
      <c r="A579" s="182"/>
      <c r="B579" s="183"/>
      <c r="C579" s="183"/>
      <c r="D579" s="183"/>
      <c r="E579" s="184"/>
      <c r="F579" s="184"/>
      <c r="G579" s="184"/>
      <c r="H579" s="185"/>
      <c r="I579" s="186"/>
    </row>
    <row r="580">
      <c r="A580" s="182"/>
      <c r="B580" s="183"/>
      <c r="C580" s="183"/>
      <c r="D580" s="183"/>
      <c r="E580" s="184"/>
      <c r="F580" s="184"/>
      <c r="G580" s="184"/>
      <c r="H580" s="185"/>
      <c r="I580" s="186"/>
    </row>
    <row r="581">
      <c r="A581" s="182"/>
      <c r="B581" s="183"/>
      <c r="C581" s="183"/>
      <c r="D581" s="183"/>
      <c r="E581" s="184"/>
      <c r="F581" s="184"/>
      <c r="G581" s="184"/>
      <c r="H581" s="185"/>
      <c r="I581" s="186"/>
    </row>
    <row r="582">
      <c r="A582" s="182"/>
      <c r="B582" s="183"/>
      <c r="C582" s="183"/>
      <c r="D582" s="183"/>
      <c r="E582" s="184"/>
      <c r="F582" s="184"/>
      <c r="G582" s="184"/>
      <c r="H582" s="185"/>
      <c r="I582" s="186"/>
    </row>
    <row r="583">
      <c r="A583" s="182"/>
      <c r="B583" s="183"/>
      <c r="C583" s="183"/>
      <c r="D583" s="183"/>
      <c r="E583" s="184"/>
      <c r="F583" s="184"/>
      <c r="G583" s="184"/>
      <c r="H583" s="185"/>
      <c r="I583" s="186"/>
    </row>
    <row r="584">
      <c r="A584" s="182"/>
      <c r="B584" s="183"/>
      <c r="C584" s="183"/>
      <c r="D584" s="183"/>
      <c r="E584" s="184"/>
      <c r="F584" s="184"/>
      <c r="G584" s="184"/>
      <c r="H584" s="185"/>
      <c r="I584" s="186"/>
    </row>
    <row r="585">
      <c r="A585" s="182"/>
      <c r="B585" s="183"/>
      <c r="C585" s="183"/>
      <c r="D585" s="183"/>
      <c r="E585" s="184"/>
      <c r="F585" s="184"/>
      <c r="G585" s="184"/>
      <c r="H585" s="185"/>
      <c r="I585" s="186"/>
    </row>
    <row r="586">
      <c r="A586" s="182"/>
      <c r="B586" s="183"/>
      <c r="C586" s="183"/>
      <c r="D586" s="183"/>
      <c r="E586" s="184"/>
      <c r="F586" s="184"/>
      <c r="G586" s="184"/>
      <c r="H586" s="185"/>
      <c r="I586" s="186"/>
    </row>
    <row r="587">
      <c r="A587" s="182"/>
      <c r="B587" s="183"/>
      <c r="C587" s="183"/>
      <c r="D587" s="183"/>
      <c r="E587" s="184"/>
      <c r="F587" s="184"/>
      <c r="G587" s="184"/>
      <c r="H587" s="185"/>
      <c r="I587" s="186"/>
    </row>
    <row r="588">
      <c r="A588" s="182"/>
      <c r="B588" s="183"/>
      <c r="C588" s="183"/>
      <c r="D588" s="183"/>
      <c r="E588" s="184"/>
      <c r="F588" s="184"/>
      <c r="G588" s="184"/>
      <c r="H588" s="185"/>
      <c r="I588" s="186"/>
    </row>
    <row r="589">
      <c r="A589" s="182"/>
      <c r="B589" s="183"/>
      <c r="C589" s="183"/>
      <c r="D589" s="183"/>
      <c r="E589" s="184"/>
      <c r="F589" s="184"/>
      <c r="G589" s="184"/>
      <c r="H589" s="185"/>
      <c r="I589" s="186"/>
    </row>
    <row r="590">
      <c r="A590" s="182"/>
      <c r="B590" s="183"/>
      <c r="C590" s="183"/>
      <c r="D590" s="183"/>
      <c r="E590" s="184"/>
      <c r="F590" s="184"/>
      <c r="G590" s="184"/>
      <c r="H590" s="185"/>
      <c r="I590" s="186"/>
    </row>
    <row r="591">
      <c r="A591" s="182"/>
      <c r="B591" s="183"/>
      <c r="C591" s="183"/>
      <c r="D591" s="183"/>
      <c r="E591" s="184"/>
      <c r="F591" s="184"/>
      <c r="G591" s="184"/>
      <c r="H591" s="185"/>
      <c r="I591" s="186"/>
    </row>
    <row r="592">
      <c r="A592" s="182"/>
      <c r="B592" s="183"/>
      <c r="C592" s="183"/>
      <c r="D592" s="183"/>
      <c r="E592" s="184"/>
      <c r="F592" s="184"/>
      <c r="G592" s="184"/>
      <c r="H592" s="185"/>
      <c r="I592" s="186"/>
    </row>
    <row r="593">
      <c r="A593" s="182"/>
      <c r="B593" s="183"/>
      <c r="C593" s="183"/>
      <c r="D593" s="183"/>
      <c r="E593" s="184"/>
      <c r="F593" s="184"/>
      <c r="G593" s="184"/>
      <c r="H593" s="185"/>
      <c r="I593" s="186"/>
    </row>
    <row r="594">
      <c r="A594" s="182"/>
      <c r="B594" s="183"/>
      <c r="C594" s="183"/>
      <c r="D594" s="183"/>
      <c r="E594" s="184"/>
      <c r="F594" s="184"/>
      <c r="G594" s="184"/>
      <c r="H594" s="185"/>
      <c r="I594" s="186"/>
    </row>
    <row r="595">
      <c r="A595" s="182"/>
      <c r="B595" s="183"/>
      <c r="C595" s="183"/>
      <c r="D595" s="183"/>
      <c r="E595" s="184"/>
      <c r="F595" s="184"/>
      <c r="G595" s="184"/>
      <c r="H595" s="185"/>
      <c r="I595" s="186"/>
    </row>
    <row r="596">
      <c r="A596" s="182"/>
      <c r="B596" s="183"/>
      <c r="C596" s="183"/>
      <c r="D596" s="183"/>
      <c r="E596" s="184"/>
      <c r="F596" s="184"/>
      <c r="G596" s="184"/>
      <c r="H596" s="185"/>
      <c r="I596" s="186"/>
    </row>
    <row r="597">
      <c r="A597" s="182"/>
      <c r="B597" s="183"/>
      <c r="C597" s="183"/>
      <c r="D597" s="183"/>
      <c r="E597" s="184"/>
      <c r="F597" s="184"/>
      <c r="G597" s="184"/>
      <c r="H597" s="185"/>
      <c r="I597" s="186"/>
    </row>
    <row r="598">
      <c r="A598" s="182"/>
      <c r="B598" s="183"/>
      <c r="C598" s="183"/>
      <c r="D598" s="183"/>
      <c r="E598" s="184"/>
      <c r="F598" s="184"/>
      <c r="G598" s="184"/>
      <c r="H598" s="185"/>
      <c r="I598" s="186"/>
    </row>
    <row r="599">
      <c r="A599" s="182"/>
      <c r="B599" s="183"/>
      <c r="C599" s="183"/>
      <c r="D599" s="183"/>
      <c r="E599" s="184"/>
      <c r="F599" s="184"/>
      <c r="G599" s="184"/>
      <c r="H599" s="185"/>
      <c r="I599" s="186"/>
    </row>
    <row r="600">
      <c r="A600" s="182"/>
      <c r="B600" s="183"/>
      <c r="C600" s="183"/>
      <c r="D600" s="183"/>
      <c r="E600" s="184"/>
      <c r="F600" s="184"/>
      <c r="G600" s="184"/>
      <c r="H600" s="185"/>
      <c r="I600" s="186"/>
    </row>
    <row r="601">
      <c r="A601" s="182"/>
      <c r="B601" s="183"/>
      <c r="C601" s="183"/>
      <c r="D601" s="183"/>
      <c r="E601" s="184"/>
      <c r="F601" s="184"/>
      <c r="G601" s="184"/>
      <c r="H601" s="185"/>
      <c r="I601" s="186"/>
    </row>
    <row r="602">
      <c r="A602" s="182"/>
      <c r="B602" s="183"/>
      <c r="C602" s="183"/>
      <c r="D602" s="183"/>
      <c r="E602" s="184"/>
      <c r="F602" s="184"/>
      <c r="G602" s="184"/>
      <c r="H602" s="185"/>
      <c r="I602" s="186"/>
    </row>
    <row r="603">
      <c r="A603" s="182"/>
      <c r="B603" s="183"/>
      <c r="C603" s="183"/>
      <c r="D603" s="183"/>
      <c r="E603" s="184"/>
      <c r="F603" s="184"/>
      <c r="G603" s="184"/>
      <c r="H603" s="185"/>
      <c r="I603" s="186"/>
    </row>
    <row r="604">
      <c r="A604" s="182"/>
      <c r="B604" s="183"/>
      <c r="C604" s="183"/>
      <c r="D604" s="183"/>
      <c r="E604" s="184"/>
      <c r="F604" s="184"/>
      <c r="G604" s="184"/>
      <c r="H604" s="185"/>
      <c r="I604" s="186"/>
    </row>
    <row r="605">
      <c r="A605" s="182"/>
      <c r="B605" s="183"/>
      <c r="C605" s="183"/>
      <c r="D605" s="183"/>
      <c r="E605" s="184"/>
      <c r="F605" s="184"/>
      <c r="G605" s="184"/>
      <c r="H605" s="185"/>
      <c r="I605" s="186"/>
    </row>
    <row r="606">
      <c r="A606" s="182"/>
      <c r="B606" s="183"/>
      <c r="C606" s="183"/>
      <c r="D606" s="183"/>
      <c r="E606" s="184"/>
      <c r="F606" s="184"/>
      <c r="G606" s="184"/>
      <c r="H606" s="185"/>
      <c r="I606" s="186"/>
    </row>
    <row r="607">
      <c r="A607" s="182"/>
      <c r="B607" s="183"/>
      <c r="C607" s="183"/>
      <c r="D607" s="183"/>
      <c r="E607" s="184"/>
      <c r="F607" s="184"/>
      <c r="G607" s="184"/>
      <c r="H607" s="185"/>
      <c r="I607" s="186"/>
    </row>
    <row r="608">
      <c r="A608" s="182"/>
      <c r="B608" s="183"/>
      <c r="C608" s="183"/>
      <c r="D608" s="183"/>
      <c r="E608" s="184"/>
      <c r="F608" s="184"/>
      <c r="G608" s="184"/>
      <c r="H608" s="185"/>
      <c r="I608" s="186"/>
    </row>
    <row r="609">
      <c r="A609" s="182"/>
      <c r="B609" s="183"/>
      <c r="C609" s="183"/>
      <c r="D609" s="183"/>
      <c r="E609" s="184"/>
      <c r="F609" s="184"/>
      <c r="G609" s="184"/>
      <c r="H609" s="185"/>
      <c r="I609" s="186"/>
    </row>
    <row r="610">
      <c r="A610" s="182"/>
      <c r="B610" s="183"/>
      <c r="C610" s="183"/>
      <c r="D610" s="183"/>
      <c r="E610" s="184"/>
      <c r="F610" s="184"/>
      <c r="G610" s="184"/>
      <c r="H610" s="185"/>
      <c r="I610" s="186"/>
    </row>
    <row r="611">
      <c r="A611" s="182"/>
      <c r="B611" s="183"/>
      <c r="C611" s="183"/>
      <c r="D611" s="183"/>
      <c r="E611" s="184"/>
      <c r="F611" s="184"/>
      <c r="G611" s="184"/>
      <c r="H611" s="185"/>
      <c r="I611" s="186"/>
    </row>
    <row r="612">
      <c r="A612" s="182"/>
      <c r="B612" s="183"/>
      <c r="C612" s="183"/>
      <c r="D612" s="183"/>
      <c r="E612" s="184"/>
      <c r="F612" s="184"/>
      <c r="G612" s="184"/>
      <c r="H612" s="185"/>
      <c r="I612" s="186"/>
    </row>
    <row r="613">
      <c r="A613" s="182"/>
      <c r="B613" s="183"/>
      <c r="C613" s="183"/>
      <c r="D613" s="183"/>
      <c r="E613" s="184"/>
      <c r="F613" s="184"/>
      <c r="G613" s="184"/>
      <c r="H613" s="185"/>
      <c r="I613" s="186"/>
    </row>
    <row r="614">
      <c r="A614" s="182"/>
      <c r="B614" s="183"/>
      <c r="C614" s="183"/>
      <c r="D614" s="183"/>
      <c r="E614" s="184"/>
      <c r="F614" s="184"/>
      <c r="G614" s="184"/>
      <c r="H614" s="185"/>
      <c r="I614" s="186"/>
    </row>
    <row r="615">
      <c r="A615" s="182"/>
      <c r="B615" s="183"/>
      <c r="C615" s="183"/>
      <c r="D615" s="183"/>
      <c r="E615" s="184"/>
      <c r="F615" s="184"/>
      <c r="G615" s="184"/>
      <c r="H615" s="185"/>
      <c r="I615" s="186"/>
    </row>
    <row r="616">
      <c r="A616" s="182"/>
      <c r="B616" s="183"/>
      <c r="C616" s="183"/>
      <c r="D616" s="183"/>
      <c r="E616" s="184"/>
      <c r="F616" s="184"/>
      <c r="G616" s="184"/>
      <c r="H616" s="185"/>
      <c r="I616" s="186"/>
    </row>
    <row r="617">
      <c r="A617" s="182"/>
      <c r="B617" s="183"/>
      <c r="C617" s="183"/>
      <c r="D617" s="183"/>
      <c r="E617" s="184"/>
      <c r="F617" s="184"/>
      <c r="G617" s="184"/>
      <c r="H617" s="185"/>
      <c r="I617" s="186"/>
    </row>
    <row r="618">
      <c r="A618" s="182"/>
      <c r="B618" s="183"/>
      <c r="C618" s="183"/>
      <c r="D618" s="183"/>
      <c r="E618" s="184"/>
      <c r="F618" s="184"/>
      <c r="G618" s="184"/>
      <c r="H618" s="185"/>
      <c r="I618" s="186"/>
    </row>
  </sheetData>
  <autoFilter ref="$A$1:$I$88"/>
  <conditionalFormatting sqref="F2:F618">
    <cfRule type="expression" dxfId="0" priority="1">
      <formula>AND(F2&lt;&gt;E2,E2&lt;&gt;"")</formula>
    </cfRule>
  </conditionalFormatting>
  <conditionalFormatting sqref="E1:F618">
    <cfRule type="expression" dxfId="11" priority="2">
      <formula>AND($E1=$F1,$E1&lt;&gt;"")</formula>
    </cfRule>
  </conditionalFormatting>
  <conditionalFormatting sqref="G2:G618">
    <cfRule type="expression" dxfId="0" priority="3">
      <formula>AND(G2&lt;&gt;"",G2&lt;&gt;0)</formula>
    </cfRule>
  </conditionalFormatting>
  <conditionalFormatting sqref="G2:G618">
    <cfRule type="cellIs" dxfId="11" priority="4" operator="equal">
      <formula>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6.25"/>
  </cols>
  <sheetData>
    <row r="1">
      <c r="A1" s="134" t="s">
        <v>695</v>
      </c>
      <c r="B1" s="134" t="s">
        <v>867</v>
      </c>
    </row>
    <row r="2">
      <c r="A2" s="134">
        <v>29125.0</v>
      </c>
      <c r="B2" s="134"/>
    </row>
    <row r="3">
      <c r="A3" s="134">
        <v>29021.0</v>
      </c>
      <c r="B3" s="134"/>
    </row>
    <row r="4">
      <c r="A4" s="134">
        <v>29012.0</v>
      </c>
      <c r="B4" s="134"/>
    </row>
    <row r="5">
      <c r="A5" s="134">
        <v>29101.0</v>
      </c>
      <c r="B5" s="134"/>
    </row>
    <row r="6">
      <c r="A6" s="134">
        <v>29069.0</v>
      </c>
      <c r="B6" s="134"/>
    </row>
    <row r="7">
      <c r="A7" s="134">
        <v>29098.0</v>
      </c>
      <c r="B7" s="134"/>
    </row>
    <row r="8">
      <c r="A8" s="134">
        <v>29045.0</v>
      </c>
      <c r="B8" s="134"/>
    </row>
    <row r="9">
      <c r="A9" s="134">
        <v>29064.0</v>
      </c>
      <c r="B9" s="134"/>
    </row>
    <row r="10">
      <c r="A10" s="134">
        <v>29034.0</v>
      </c>
      <c r="B10" s="134"/>
    </row>
    <row r="11">
      <c r="A11" s="134">
        <v>29136.0</v>
      </c>
      <c r="B11" s="134"/>
    </row>
    <row r="12">
      <c r="A12" s="134">
        <v>29117.0</v>
      </c>
      <c r="B12" s="134"/>
    </row>
    <row r="13">
      <c r="A13" s="134">
        <v>29118.0</v>
      </c>
      <c r="B13" s="134"/>
    </row>
    <row r="14">
      <c r="A14" s="134">
        <v>29080.0</v>
      </c>
      <c r="B14" s="134"/>
    </row>
    <row r="15">
      <c r="A15" s="134">
        <v>29156.0</v>
      </c>
      <c r="B15" s="134"/>
    </row>
    <row r="16">
      <c r="A16" s="134">
        <v>29138.0</v>
      </c>
      <c r="B16" s="134"/>
    </row>
    <row r="17">
      <c r="A17" s="134">
        <v>29131.0</v>
      </c>
      <c r="B17" s="134"/>
    </row>
    <row r="18">
      <c r="A18" s="134">
        <v>29106.0</v>
      </c>
      <c r="B18" s="134"/>
    </row>
    <row r="19">
      <c r="A19" s="134">
        <v>29001.0</v>
      </c>
      <c r="B19" s="134"/>
    </row>
    <row r="20">
      <c r="A20" s="134">
        <v>29043.0</v>
      </c>
      <c r="B20" s="134"/>
    </row>
    <row r="21">
      <c r="A21" s="134">
        <v>29157.0</v>
      </c>
      <c r="B21" s="134"/>
    </row>
    <row r="22">
      <c r="A22" s="134">
        <v>29084.0</v>
      </c>
      <c r="B22" s="134"/>
    </row>
    <row r="23">
      <c r="A23" s="134">
        <v>29053.0</v>
      </c>
      <c r="B23" s="134"/>
    </row>
    <row r="24">
      <c r="A24" s="134">
        <v>29019.0</v>
      </c>
      <c r="B24" s="134"/>
    </row>
    <row r="25">
      <c r="A25" s="134">
        <v>29023.0</v>
      </c>
      <c r="B25" s="134"/>
    </row>
    <row r="26">
      <c r="A26" s="134">
        <v>29037.0</v>
      </c>
      <c r="B26" s="134"/>
    </row>
    <row r="27">
      <c r="A27" s="134">
        <v>29075.0</v>
      </c>
      <c r="B27" s="134"/>
    </row>
    <row r="28">
      <c r="A28" s="134">
        <v>29112.0</v>
      </c>
      <c r="B28" s="134"/>
    </row>
    <row r="29">
      <c r="A29" s="134">
        <v>29048.0</v>
      </c>
      <c r="B29" s="134"/>
    </row>
    <row r="30">
      <c r="A30" s="134">
        <v>29002.0</v>
      </c>
      <c r="B30" s="134"/>
    </row>
    <row r="31">
      <c r="A31" s="134">
        <v>29077.0</v>
      </c>
      <c r="B31" s="134"/>
    </row>
    <row r="32">
      <c r="A32" s="134">
        <v>29040.0</v>
      </c>
      <c r="B32" s="134"/>
    </row>
    <row r="33">
      <c r="A33" s="134">
        <v>29119.0</v>
      </c>
      <c r="B33" s="134"/>
    </row>
    <row r="34">
      <c r="A34" s="134">
        <v>29079.0</v>
      </c>
      <c r="B34" s="134"/>
    </row>
    <row r="35">
      <c r="A35" s="134">
        <v>29132.0</v>
      </c>
      <c r="B35" s="134"/>
    </row>
    <row r="36">
      <c r="A36" s="134">
        <v>29074.0</v>
      </c>
      <c r="B36" s="134"/>
    </row>
    <row r="37">
      <c r="A37" s="134">
        <v>29096.0</v>
      </c>
      <c r="B37" s="134"/>
    </row>
    <row r="38">
      <c r="A38" s="134">
        <v>29089.0</v>
      </c>
      <c r="B38" s="134"/>
    </row>
    <row r="39">
      <c r="A39" s="134">
        <v>29071.0</v>
      </c>
      <c r="B39" s="134"/>
    </row>
    <row r="40">
      <c r="A40" s="134">
        <v>29065.0</v>
      </c>
      <c r="B40" s="134"/>
    </row>
    <row r="41">
      <c r="A41" s="134">
        <v>29093.0</v>
      </c>
      <c r="B41" s="134"/>
    </row>
    <row r="42">
      <c r="A42" s="134">
        <v>29066.0</v>
      </c>
      <c r="B42" s="134"/>
    </row>
    <row r="43">
      <c r="A43" s="134">
        <v>29057.0</v>
      </c>
      <c r="B43" s="134"/>
    </row>
    <row r="44">
      <c r="A44" s="134">
        <v>29058.0</v>
      </c>
      <c r="B44" s="134"/>
    </row>
    <row r="45">
      <c r="A45" s="134">
        <v>29010.0</v>
      </c>
      <c r="B45" s="134"/>
    </row>
    <row r="46">
      <c r="A46" s="134">
        <v>29073.0</v>
      </c>
      <c r="B46" s="134"/>
    </row>
    <row r="47">
      <c r="A47" s="134">
        <v>29123.0</v>
      </c>
      <c r="B47" s="134"/>
    </row>
    <row r="48">
      <c r="A48" s="134">
        <v>29011.0</v>
      </c>
      <c r="B48" s="134"/>
    </row>
    <row r="49">
      <c r="A49" s="101">
        <v>29088.0</v>
      </c>
      <c r="B49" s="134"/>
    </row>
    <row r="50">
      <c r="A50" s="134">
        <v>29030.0</v>
      </c>
      <c r="B50" s="134"/>
    </row>
    <row r="51">
      <c r="A51" s="134">
        <v>29135.0</v>
      </c>
      <c r="B51" s="134"/>
    </row>
    <row r="52">
      <c r="A52" s="134">
        <v>28006.0</v>
      </c>
      <c r="B52" s="134"/>
    </row>
    <row r="53">
      <c r="A53" s="134">
        <v>29153.0</v>
      </c>
      <c r="B53" s="134"/>
    </row>
    <row r="54">
      <c r="A54" s="134">
        <v>28144.0</v>
      </c>
      <c r="B54" s="134"/>
    </row>
    <row r="55">
      <c r="A55" s="134">
        <v>29161.0</v>
      </c>
      <c r="B55" s="134"/>
    </row>
    <row r="56">
      <c r="A56" s="134">
        <v>29149.0</v>
      </c>
      <c r="B56" s="134"/>
    </row>
    <row r="57">
      <c r="A57" s="134">
        <v>29061.0</v>
      </c>
      <c r="B57" s="134"/>
    </row>
    <row r="58">
      <c r="A58" s="134">
        <v>29016.0</v>
      </c>
      <c r="B58" s="134"/>
    </row>
    <row r="59">
      <c r="A59" s="134">
        <v>29159.0</v>
      </c>
      <c r="B59" s="134"/>
    </row>
    <row r="60">
      <c r="A60" s="134">
        <v>29124.0</v>
      </c>
      <c r="B60" s="134"/>
    </row>
    <row r="61">
      <c r="A61" s="134">
        <v>29113.0</v>
      </c>
      <c r="B61" s="134"/>
    </row>
    <row r="62">
      <c r="A62" s="134">
        <v>29027.0</v>
      </c>
      <c r="B62" s="134"/>
    </row>
    <row r="63">
      <c r="A63" s="134">
        <v>29110.0</v>
      </c>
      <c r="B63" s="134"/>
    </row>
    <row r="64">
      <c r="A64" s="134">
        <v>29092.0</v>
      </c>
      <c r="B64" s="134"/>
    </row>
    <row r="65">
      <c r="A65" s="134">
        <v>29114.0</v>
      </c>
      <c r="B65" s="134"/>
    </row>
    <row r="66">
      <c r="A66" s="134">
        <v>29091.0</v>
      </c>
      <c r="B66" s="134"/>
    </row>
    <row r="67">
      <c r="A67" s="134">
        <v>29107.0</v>
      </c>
      <c r="B67" s="134"/>
    </row>
    <row r="68">
      <c r="A68" s="134">
        <v>29072.0</v>
      </c>
      <c r="B68" s="134"/>
    </row>
    <row r="69">
      <c r="A69" s="134">
        <v>29062.0</v>
      </c>
      <c r="B69" s="134"/>
    </row>
    <row r="70">
      <c r="A70" s="134">
        <v>29097.0</v>
      </c>
      <c r="B70" s="134"/>
    </row>
    <row r="71">
      <c r="A71" s="134">
        <v>29148.0</v>
      </c>
      <c r="B71" s="134"/>
    </row>
    <row r="72">
      <c r="A72" s="134">
        <v>29004.0</v>
      </c>
      <c r="B72" s="134"/>
    </row>
    <row r="73">
      <c r="A73" s="134">
        <v>29070.0</v>
      </c>
      <c r="B73" s="134"/>
    </row>
    <row r="74">
      <c r="A74" s="134">
        <v>29028.0</v>
      </c>
      <c r="B74" s="134"/>
    </row>
    <row r="75">
      <c r="A75" s="134">
        <v>29022.0</v>
      </c>
      <c r="B75" s="134"/>
    </row>
    <row r="76">
      <c r="A76" s="134">
        <v>29008.0</v>
      </c>
      <c r="B76" s="134"/>
    </row>
    <row r="77">
      <c r="A77" s="134"/>
      <c r="B77" s="134"/>
    </row>
    <row r="78">
      <c r="A78" s="134"/>
      <c r="B78" s="134"/>
    </row>
    <row r="79">
      <c r="A79" s="134"/>
      <c r="B79" s="134"/>
    </row>
    <row r="80">
      <c r="A80" s="134"/>
      <c r="B80" s="134"/>
    </row>
    <row r="81">
      <c r="A81" s="134"/>
      <c r="B81" s="134"/>
    </row>
    <row r="82">
      <c r="A82" s="134"/>
      <c r="B82" s="134"/>
    </row>
    <row r="83">
      <c r="A83" s="134"/>
      <c r="B83" s="134"/>
    </row>
    <row r="84">
      <c r="A84" s="134"/>
      <c r="B84" s="134"/>
    </row>
    <row r="85">
      <c r="A85" s="134"/>
      <c r="B85" s="134"/>
    </row>
    <row r="86">
      <c r="A86" s="134"/>
      <c r="B86" s="134"/>
    </row>
    <row r="87">
      <c r="A87" s="134"/>
      <c r="B87" s="134"/>
    </row>
    <row r="88">
      <c r="A88" s="134"/>
      <c r="B88" s="134"/>
    </row>
    <row r="89">
      <c r="A89" s="134"/>
      <c r="B89" s="134"/>
    </row>
    <row r="90">
      <c r="A90" s="134"/>
      <c r="B90" s="134"/>
    </row>
    <row r="91">
      <c r="A91" s="134"/>
      <c r="B91" s="134"/>
    </row>
    <row r="92">
      <c r="A92" s="134"/>
      <c r="B92" s="134"/>
    </row>
    <row r="93">
      <c r="A93" s="134"/>
      <c r="B93" s="134"/>
    </row>
    <row r="94">
      <c r="A94" s="134"/>
      <c r="B94" s="134"/>
    </row>
    <row r="95">
      <c r="A95" s="134"/>
      <c r="B95" s="134"/>
    </row>
    <row r="96">
      <c r="A96" s="134"/>
      <c r="B96" s="134"/>
    </row>
    <row r="97">
      <c r="A97" s="134"/>
      <c r="B97" s="134"/>
    </row>
    <row r="98">
      <c r="A98" s="134"/>
      <c r="B98" s="134"/>
    </row>
    <row r="99">
      <c r="A99" s="134"/>
      <c r="B99" s="134"/>
    </row>
    <row r="100">
      <c r="A100" s="134"/>
      <c r="B100" s="134"/>
    </row>
    <row r="101">
      <c r="A101" s="134"/>
      <c r="B101" s="134"/>
    </row>
    <row r="102">
      <c r="A102" s="134"/>
      <c r="B102" s="134"/>
    </row>
    <row r="103">
      <c r="A103" s="134"/>
      <c r="B103" s="134"/>
    </row>
    <row r="104">
      <c r="A104" s="134"/>
      <c r="B104" s="134"/>
    </row>
    <row r="105">
      <c r="A105" s="134"/>
      <c r="B105" s="134"/>
    </row>
    <row r="106">
      <c r="A106" s="134"/>
      <c r="B106" s="134"/>
    </row>
    <row r="107">
      <c r="A107" s="134"/>
      <c r="B107" s="134"/>
    </row>
    <row r="108">
      <c r="A108" s="134"/>
      <c r="B108" s="134"/>
    </row>
    <row r="109">
      <c r="A109" s="134"/>
      <c r="B109" s="134"/>
    </row>
    <row r="110">
      <c r="A110" s="134"/>
      <c r="B110" s="134"/>
    </row>
    <row r="111">
      <c r="A111" s="134"/>
      <c r="B111" s="134"/>
    </row>
    <row r="112">
      <c r="A112" s="134"/>
      <c r="B112" s="134"/>
    </row>
    <row r="113">
      <c r="A113" s="134"/>
      <c r="B113" s="134"/>
    </row>
    <row r="114">
      <c r="A114" s="134"/>
      <c r="B114" s="134"/>
    </row>
    <row r="115">
      <c r="A115" s="134"/>
      <c r="B115" s="134"/>
    </row>
    <row r="116">
      <c r="A116" s="134"/>
      <c r="B116" s="134"/>
    </row>
    <row r="117">
      <c r="A117" s="134"/>
      <c r="B117" s="134"/>
    </row>
    <row r="118">
      <c r="A118" s="134"/>
      <c r="B118" s="134"/>
    </row>
    <row r="119">
      <c r="A119" s="134"/>
      <c r="B119" s="134"/>
    </row>
    <row r="120">
      <c r="A120" s="134"/>
      <c r="B120" s="134"/>
    </row>
    <row r="121">
      <c r="A121" s="134"/>
      <c r="B121" s="134"/>
    </row>
    <row r="122">
      <c r="A122" s="134"/>
      <c r="B122" s="134"/>
    </row>
    <row r="123">
      <c r="A123" s="134"/>
      <c r="B123" s="134"/>
    </row>
    <row r="124">
      <c r="A124" s="134"/>
      <c r="B124" s="134"/>
    </row>
    <row r="125">
      <c r="A125" s="134"/>
      <c r="B125" s="134"/>
    </row>
    <row r="126">
      <c r="A126" s="134"/>
      <c r="B126" s="134"/>
    </row>
    <row r="127">
      <c r="A127" s="134"/>
      <c r="B127" s="134"/>
    </row>
    <row r="128">
      <c r="A128" s="134"/>
      <c r="B128" s="134"/>
    </row>
    <row r="129">
      <c r="A129" s="134"/>
      <c r="B129" s="134"/>
    </row>
    <row r="130">
      <c r="A130" s="134"/>
      <c r="B130" s="134"/>
    </row>
    <row r="131">
      <c r="A131" s="134"/>
      <c r="B131" s="134"/>
    </row>
    <row r="132">
      <c r="A132" s="134"/>
      <c r="B132" s="134"/>
    </row>
    <row r="133">
      <c r="A133" s="134"/>
      <c r="B133" s="134"/>
    </row>
    <row r="134">
      <c r="A134" s="134"/>
      <c r="B134" s="134"/>
    </row>
    <row r="135">
      <c r="A135" s="134"/>
      <c r="B135" s="134"/>
    </row>
    <row r="136">
      <c r="A136" s="134"/>
      <c r="B136" s="134"/>
    </row>
    <row r="137">
      <c r="A137" s="134"/>
      <c r="B137" s="134"/>
    </row>
    <row r="138">
      <c r="A138" s="134"/>
      <c r="B138" s="134"/>
    </row>
    <row r="139">
      <c r="A139" s="134"/>
      <c r="B139" s="134"/>
    </row>
    <row r="140">
      <c r="A140" s="134"/>
      <c r="B140" s="134"/>
    </row>
    <row r="141">
      <c r="A141" s="134"/>
      <c r="B141" s="134"/>
    </row>
    <row r="142">
      <c r="A142" s="134"/>
      <c r="B142" s="134"/>
    </row>
    <row r="143">
      <c r="A143" s="134"/>
      <c r="B143" s="134"/>
    </row>
    <row r="144">
      <c r="A144" s="134"/>
      <c r="B144" s="134"/>
    </row>
    <row r="145">
      <c r="A145" s="134"/>
      <c r="B145" s="134"/>
    </row>
    <row r="146">
      <c r="A146" s="134"/>
      <c r="B146" s="134"/>
    </row>
    <row r="147">
      <c r="A147" s="134"/>
      <c r="B147" s="134"/>
    </row>
    <row r="148">
      <c r="A148" s="134"/>
      <c r="B148" s="134"/>
    </row>
    <row r="149">
      <c r="A149" s="134"/>
      <c r="B149" s="134"/>
    </row>
    <row r="150">
      <c r="A150" s="134"/>
      <c r="B150" s="134"/>
    </row>
    <row r="151">
      <c r="A151" s="134"/>
      <c r="B151" s="134"/>
    </row>
    <row r="152">
      <c r="A152" s="134"/>
      <c r="B152" s="134"/>
    </row>
    <row r="153">
      <c r="A153" s="134"/>
      <c r="B153" s="134"/>
    </row>
    <row r="154">
      <c r="A154" s="134"/>
      <c r="B154" s="134"/>
    </row>
    <row r="155">
      <c r="A155" s="134"/>
      <c r="B155" s="134"/>
    </row>
    <row r="156">
      <c r="A156" s="134"/>
      <c r="B156" s="134"/>
    </row>
    <row r="157">
      <c r="A157" s="134"/>
      <c r="B157" s="134"/>
    </row>
    <row r="158">
      <c r="A158" s="134"/>
      <c r="B158" s="134"/>
    </row>
    <row r="159">
      <c r="A159" s="134"/>
      <c r="B159" s="134"/>
    </row>
    <row r="160">
      <c r="A160" s="134"/>
      <c r="B160" s="134"/>
    </row>
    <row r="161">
      <c r="A161" s="134"/>
      <c r="B161" s="134"/>
    </row>
    <row r="162">
      <c r="A162" s="134"/>
      <c r="B162" s="134"/>
    </row>
    <row r="163">
      <c r="A163" s="134"/>
      <c r="B163" s="134"/>
    </row>
    <row r="164">
      <c r="A164" s="134"/>
      <c r="B164" s="134"/>
    </row>
    <row r="165">
      <c r="A165" s="134"/>
      <c r="B165" s="134"/>
    </row>
    <row r="166">
      <c r="A166" s="134"/>
      <c r="B166" s="134"/>
    </row>
    <row r="167">
      <c r="A167" s="134"/>
      <c r="B167" s="134"/>
    </row>
    <row r="168">
      <c r="A168" s="134"/>
      <c r="B168" s="134"/>
    </row>
    <row r="169">
      <c r="A169" s="134"/>
      <c r="B169" s="134"/>
    </row>
    <row r="170">
      <c r="A170" s="134"/>
      <c r="B170" s="134"/>
    </row>
    <row r="171">
      <c r="A171" s="134"/>
      <c r="B171" s="134"/>
    </row>
    <row r="172">
      <c r="A172" s="134"/>
      <c r="B172" s="134"/>
    </row>
    <row r="173">
      <c r="A173" s="134"/>
      <c r="B173" s="134"/>
    </row>
    <row r="174">
      <c r="A174" s="134"/>
      <c r="B174" s="134"/>
    </row>
    <row r="175">
      <c r="A175" s="134"/>
      <c r="B175" s="134"/>
    </row>
    <row r="176">
      <c r="A176" s="134"/>
      <c r="B176" s="134"/>
    </row>
    <row r="177">
      <c r="A177" s="134"/>
      <c r="B177" s="134"/>
    </row>
    <row r="178">
      <c r="A178" s="134"/>
      <c r="B178" s="134"/>
    </row>
    <row r="179">
      <c r="A179" s="134"/>
      <c r="B179" s="134"/>
    </row>
    <row r="180">
      <c r="A180" s="134"/>
      <c r="B180" s="134"/>
    </row>
    <row r="181">
      <c r="A181" s="134"/>
      <c r="B181" s="134"/>
    </row>
    <row r="182">
      <c r="A182" s="134"/>
      <c r="B182" s="134"/>
    </row>
    <row r="183">
      <c r="A183" s="134"/>
      <c r="B183" s="134"/>
    </row>
    <row r="184">
      <c r="A184" s="134"/>
      <c r="B184" s="134"/>
    </row>
    <row r="185">
      <c r="A185" s="134"/>
      <c r="B185" s="134"/>
    </row>
    <row r="186">
      <c r="A186" s="134"/>
      <c r="B186" s="134"/>
    </row>
    <row r="187">
      <c r="A187" s="134"/>
      <c r="B187" s="134"/>
    </row>
    <row r="188">
      <c r="A188" s="134"/>
      <c r="B188" s="134"/>
    </row>
    <row r="189">
      <c r="A189" s="134"/>
      <c r="B189" s="134"/>
    </row>
    <row r="190">
      <c r="A190" s="134"/>
      <c r="B190" s="134"/>
    </row>
    <row r="191">
      <c r="A191" s="134"/>
      <c r="B191" s="134"/>
    </row>
    <row r="192">
      <c r="A192" s="134"/>
      <c r="B192" s="134"/>
    </row>
    <row r="193">
      <c r="A193" s="134"/>
      <c r="B193" s="134"/>
    </row>
    <row r="194">
      <c r="A194" s="134"/>
      <c r="B194" s="134"/>
    </row>
    <row r="195">
      <c r="A195" s="134"/>
      <c r="B195" s="134"/>
    </row>
    <row r="196">
      <c r="A196" s="134"/>
      <c r="B196" s="134"/>
    </row>
    <row r="197">
      <c r="A197" s="134"/>
      <c r="B197" s="134"/>
    </row>
    <row r="198">
      <c r="A198" s="134"/>
      <c r="B198" s="134"/>
    </row>
    <row r="199">
      <c r="A199" s="134"/>
      <c r="B199" s="134"/>
    </row>
    <row r="200">
      <c r="A200" s="134"/>
      <c r="B200" s="134"/>
    </row>
    <row r="201">
      <c r="A201" s="134"/>
      <c r="B201" s="134"/>
    </row>
    <row r="202">
      <c r="A202" s="134"/>
      <c r="B202" s="134"/>
    </row>
    <row r="203">
      <c r="A203" s="134"/>
      <c r="B203" s="134"/>
    </row>
    <row r="204">
      <c r="A204" s="134"/>
      <c r="B204" s="134"/>
    </row>
    <row r="205">
      <c r="A205" s="134"/>
      <c r="B205" s="134"/>
    </row>
    <row r="206">
      <c r="A206" s="134"/>
      <c r="B206" s="134"/>
    </row>
    <row r="207">
      <c r="A207" s="134"/>
      <c r="B207" s="134"/>
    </row>
    <row r="208">
      <c r="A208" s="134"/>
      <c r="B208" s="134"/>
    </row>
    <row r="209">
      <c r="A209" s="134"/>
      <c r="B209" s="134"/>
    </row>
    <row r="210">
      <c r="A210" s="134"/>
      <c r="B210" s="134"/>
    </row>
    <row r="211">
      <c r="A211" s="134"/>
      <c r="B211" s="134"/>
    </row>
    <row r="212">
      <c r="A212" s="134"/>
      <c r="B212" s="134"/>
    </row>
    <row r="213">
      <c r="A213" s="134"/>
      <c r="B213" s="134"/>
    </row>
    <row r="214">
      <c r="A214" s="134"/>
      <c r="B214" s="134"/>
    </row>
    <row r="215">
      <c r="A215" s="134"/>
      <c r="B215" s="134"/>
    </row>
    <row r="216">
      <c r="A216" s="134"/>
      <c r="B216" s="134"/>
    </row>
    <row r="217">
      <c r="A217" s="134"/>
      <c r="B217" s="134"/>
    </row>
    <row r="218">
      <c r="A218" s="134"/>
      <c r="B218" s="134"/>
    </row>
    <row r="219">
      <c r="A219" s="134"/>
      <c r="B219" s="134"/>
    </row>
    <row r="220">
      <c r="A220" s="134"/>
      <c r="B220" s="134"/>
    </row>
    <row r="221">
      <c r="A221" s="134"/>
      <c r="B221" s="134"/>
    </row>
    <row r="222">
      <c r="A222" s="134"/>
      <c r="B222" s="134"/>
    </row>
    <row r="223">
      <c r="A223" s="134"/>
      <c r="B223" s="134"/>
    </row>
    <row r="224">
      <c r="A224" s="134"/>
      <c r="B224" s="134"/>
    </row>
    <row r="225">
      <c r="A225" s="134"/>
      <c r="B225" s="134"/>
    </row>
    <row r="226">
      <c r="A226" s="134"/>
      <c r="B226" s="134"/>
    </row>
    <row r="227">
      <c r="A227" s="134"/>
      <c r="B227" s="134"/>
    </row>
    <row r="228">
      <c r="A228" s="134"/>
      <c r="B228" s="134"/>
    </row>
    <row r="229">
      <c r="A229" s="134"/>
      <c r="B229" s="134"/>
    </row>
    <row r="230">
      <c r="A230" s="134"/>
      <c r="B230" s="134"/>
    </row>
    <row r="231">
      <c r="A231" s="134"/>
      <c r="B231" s="134"/>
    </row>
    <row r="232">
      <c r="A232" s="134"/>
      <c r="B232" s="134"/>
    </row>
    <row r="233">
      <c r="A233" s="134"/>
      <c r="B233" s="134"/>
    </row>
    <row r="234">
      <c r="A234" s="134"/>
      <c r="B234" s="134"/>
    </row>
    <row r="235">
      <c r="A235" s="134"/>
      <c r="B235" s="134"/>
    </row>
    <row r="236">
      <c r="A236" s="134"/>
      <c r="B236" s="134"/>
    </row>
    <row r="237">
      <c r="A237" s="134"/>
      <c r="B237" s="134"/>
    </row>
    <row r="238">
      <c r="A238" s="134"/>
      <c r="B238" s="134"/>
    </row>
    <row r="239">
      <c r="A239" s="134"/>
      <c r="B239" s="134"/>
    </row>
    <row r="240">
      <c r="A240" s="134"/>
      <c r="B240" s="134"/>
    </row>
    <row r="241">
      <c r="A241" s="134"/>
      <c r="B241" s="134"/>
    </row>
    <row r="242">
      <c r="A242" s="134"/>
      <c r="B242" s="134"/>
    </row>
    <row r="243">
      <c r="A243" s="134"/>
      <c r="B243" s="134"/>
    </row>
    <row r="244">
      <c r="A244" s="134"/>
      <c r="B244" s="134"/>
    </row>
    <row r="245">
      <c r="A245" s="134"/>
      <c r="B245" s="134"/>
    </row>
    <row r="246">
      <c r="A246" s="134"/>
      <c r="B246" s="134"/>
    </row>
    <row r="247">
      <c r="A247" s="134"/>
      <c r="B247" s="134"/>
    </row>
    <row r="248">
      <c r="A248" s="134"/>
      <c r="B248" s="134"/>
    </row>
    <row r="249">
      <c r="A249" s="134"/>
      <c r="B249" s="134"/>
    </row>
    <row r="250">
      <c r="A250" s="134"/>
      <c r="B250" s="134"/>
    </row>
    <row r="251">
      <c r="A251" s="134"/>
      <c r="B251" s="134"/>
    </row>
    <row r="252">
      <c r="A252" s="134"/>
      <c r="B252" s="134"/>
    </row>
    <row r="253">
      <c r="A253" s="134"/>
      <c r="B253" s="134"/>
    </row>
    <row r="254">
      <c r="A254" s="134"/>
      <c r="B254" s="134"/>
    </row>
    <row r="255">
      <c r="A255" s="134"/>
      <c r="B255" s="134"/>
    </row>
    <row r="256">
      <c r="A256" s="134"/>
      <c r="B256" s="134"/>
    </row>
    <row r="257">
      <c r="A257" s="134"/>
      <c r="B257" s="134"/>
    </row>
    <row r="258">
      <c r="A258" s="134"/>
      <c r="B258" s="134"/>
    </row>
    <row r="259">
      <c r="A259" s="134"/>
      <c r="B259" s="134"/>
    </row>
    <row r="260">
      <c r="A260" s="134"/>
      <c r="B260" s="134"/>
    </row>
    <row r="261">
      <c r="A261" s="134"/>
      <c r="B261" s="134"/>
    </row>
    <row r="262">
      <c r="A262" s="134"/>
      <c r="B262" s="134"/>
    </row>
    <row r="263">
      <c r="A263" s="134"/>
      <c r="B263" s="134"/>
    </row>
    <row r="264">
      <c r="A264" s="134"/>
      <c r="B264" s="134"/>
    </row>
    <row r="265">
      <c r="A265" s="134"/>
      <c r="B265" s="134"/>
    </row>
    <row r="266">
      <c r="A266" s="134"/>
      <c r="B266" s="134"/>
    </row>
    <row r="267">
      <c r="A267" s="134"/>
      <c r="B267" s="134"/>
    </row>
    <row r="268">
      <c r="A268" s="134"/>
      <c r="B268" s="134"/>
    </row>
    <row r="269">
      <c r="A269" s="134"/>
      <c r="B269" s="134"/>
    </row>
    <row r="270">
      <c r="A270" s="134"/>
      <c r="B270" s="134"/>
    </row>
    <row r="271">
      <c r="A271" s="134"/>
      <c r="B271" s="134"/>
    </row>
    <row r="272">
      <c r="A272" s="134"/>
      <c r="B272" s="134"/>
    </row>
    <row r="273">
      <c r="A273" s="134"/>
      <c r="B273" s="134"/>
    </row>
    <row r="274">
      <c r="A274" s="134"/>
      <c r="B274" s="134"/>
    </row>
    <row r="275">
      <c r="A275" s="134"/>
      <c r="B275" s="134"/>
    </row>
    <row r="276">
      <c r="A276" s="134"/>
      <c r="B276" s="134"/>
    </row>
    <row r="277">
      <c r="A277" s="134"/>
      <c r="B277" s="134"/>
    </row>
    <row r="278">
      <c r="A278" s="134"/>
      <c r="B278" s="134"/>
    </row>
    <row r="279">
      <c r="A279" s="134"/>
      <c r="B279" s="134"/>
    </row>
    <row r="280">
      <c r="A280" s="134"/>
      <c r="B280" s="134"/>
    </row>
    <row r="281">
      <c r="A281" s="134"/>
      <c r="B281" s="134"/>
    </row>
    <row r="282">
      <c r="A282" s="134"/>
      <c r="B282" s="134"/>
    </row>
    <row r="283">
      <c r="A283" s="134"/>
      <c r="B283" s="134"/>
    </row>
    <row r="284">
      <c r="A284" s="134"/>
      <c r="B284" s="134"/>
    </row>
    <row r="285">
      <c r="A285" s="134"/>
      <c r="B285" s="134"/>
    </row>
    <row r="286">
      <c r="A286" s="134"/>
      <c r="B286" s="134"/>
    </row>
    <row r="287">
      <c r="A287" s="134"/>
      <c r="B287" s="134"/>
    </row>
    <row r="288">
      <c r="A288" s="134"/>
      <c r="B288" s="134"/>
    </row>
    <row r="289">
      <c r="A289" s="134"/>
      <c r="B289" s="134"/>
    </row>
    <row r="290">
      <c r="A290" s="134"/>
      <c r="B290" s="134"/>
    </row>
    <row r="291">
      <c r="A291" s="134"/>
      <c r="B291" s="134"/>
    </row>
    <row r="292">
      <c r="A292" s="134"/>
      <c r="B292" s="134"/>
    </row>
    <row r="293">
      <c r="A293" s="134"/>
      <c r="B293" s="134"/>
    </row>
    <row r="294">
      <c r="A294" s="134"/>
      <c r="B294" s="134"/>
    </row>
    <row r="295">
      <c r="A295" s="134"/>
      <c r="B295" s="134"/>
    </row>
    <row r="296">
      <c r="A296" s="134"/>
      <c r="B296" s="134"/>
    </row>
    <row r="297">
      <c r="A297" s="134"/>
      <c r="B297" s="134"/>
    </row>
    <row r="298">
      <c r="A298" s="134"/>
      <c r="B298" s="134"/>
    </row>
    <row r="299">
      <c r="A299" s="134"/>
      <c r="B299" s="134"/>
    </row>
    <row r="300">
      <c r="A300" s="134"/>
      <c r="B300" s="134"/>
    </row>
    <row r="301">
      <c r="A301" s="134"/>
      <c r="B301" s="134"/>
    </row>
    <row r="302">
      <c r="A302" s="134"/>
      <c r="B302" s="134"/>
    </row>
    <row r="303">
      <c r="A303" s="134"/>
      <c r="B303" s="134"/>
    </row>
    <row r="304">
      <c r="A304" s="134"/>
      <c r="B304" s="134"/>
    </row>
    <row r="305">
      <c r="A305" s="134"/>
      <c r="B305" s="134"/>
    </row>
    <row r="306">
      <c r="A306" s="134"/>
      <c r="B306" s="134"/>
    </row>
    <row r="307">
      <c r="A307" s="134"/>
      <c r="B307" s="134"/>
    </row>
    <row r="308">
      <c r="A308" s="134"/>
      <c r="B308" s="134"/>
    </row>
    <row r="309">
      <c r="A309" s="134"/>
      <c r="B309" s="134"/>
    </row>
    <row r="310">
      <c r="A310" s="134"/>
      <c r="B310" s="134"/>
    </row>
    <row r="311">
      <c r="A311" s="134"/>
      <c r="B311" s="134"/>
    </row>
    <row r="312">
      <c r="A312" s="134"/>
      <c r="B312" s="134"/>
    </row>
    <row r="313">
      <c r="A313" s="134"/>
      <c r="B313" s="134"/>
    </row>
    <row r="314">
      <c r="A314" s="134"/>
      <c r="B314" s="134"/>
    </row>
    <row r="315">
      <c r="A315" s="134"/>
      <c r="B315" s="134"/>
    </row>
    <row r="316">
      <c r="A316" s="134"/>
      <c r="B316" s="134"/>
    </row>
    <row r="317">
      <c r="A317" s="134"/>
      <c r="B317" s="134"/>
    </row>
    <row r="318">
      <c r="A318" s="134"/>
      <c r="B318" s="134"/>
    </row>
    <row r="319">
      <c r="A319" s="134"/>
      <c r="B319" s="134"/>
    </row>
    <row r="320">
      <c r="A320" s="134"/>
      <c r="B320" s="134"/>
    </row>
    <row r="321">
      <c r="A321" s="134"/>
      <c r="B321" s="134"/>
    </row>
    <row r="322">
      <c r="A322" s="134"/>
      <c r="B322" s="134"/>
    </row>
    <row r="323">
      <c r="A323" s="134"/>
      <c r="B323" s="134"/>
    </row>
    <row r="324">
      <c r="A324" s="134"/>
      <c r="B324" s="134"/>
    </row>
    <row r="325">
      <c r="A325" s="134"/>
      <c r="B325" s="134"/>
    </row>
    <row r="326">
      <c r="A326" s="134"/>
      <c r="B326" s="134"/>
    </row>
    <row r="327">
      <c r="A327" s="134"/>
      <c r="B327" s="134"/>
    </row>
    <row r="328">
      <c r="A328" s="134"/>
      <c r="B328" s="134"/>
    </row>
    <row r="329">
      <c r="A329" s="134"/>
      <c r="B329" s="134"/>
    </row>
    <row r="330">
      <c r="A330" s="134"/>
      <c r="B330" s="134"/>
    </row>
    <row r="331">
      <c r="A331" s="134"/>
      <c r="B331" s="134"/>
    </row>
    <row r="332">
      <c r="A332" s="134"/>
      <c r="B332" s="134"/>
    </row>
    <row r="333">
      <c r="A333" s="134"/>
      <c r="B333" s="134"/>
    </row>
    <row r="334">
      <c r="A334" s="134"/>
      <c r="B334" s="134"/>
    </row>
    <row r="335">
      <c r="A335" s="134"/>
      <c r="B335" s="134"/>
    </row>
    <row r="336">
      <c r="A336" s="134"/>
      <c r="B336" s="134"/>
    </row>
    <row r="337">
      <c r="A337" s="134"/>
      <c r="B337" s="134"/>
    </row>
    <row r="338">
      <c r="A338" s="134"/>
      <c r="B338" s="134"/>
    </row>
    <row r="339">
      <c r="A339" s="134"/>
      <c r="B339" s="134"/>
    </row>
    <row r="340">
      <c r="A340" s="134"/>
      <c r="B340" s="134"/>
    </row>
    <row r="341">
      <c r="A341" s="134"/>
      <c r="B341" s="134"/>
    </row>
    <row r="342">
      <c r="A342" s="134"/>
      <c r="B342" s="134"/>
    </row>
    <row r="343">
      <c r="A343" s="134"/>
      <c r="B343" s="134"/>
    </row>
    <row r="344">
      <c r="A344" s="134"/>
      <c r="B344" s="134"/>
    </row>
    <row r="345">
      <c r="A345" s="134"/>
      <c r="B345" s="134"/>
    </row>
    <row r="346">
      <c r="A346" s="134"/>
      <c r="B346" s="134"/>
    </row>
    <row r="347">
      <c r="A347" s="134"/>
      <c r="B347" s="134"/>
    </row>
    <row r="348">
      <c r="A348" s="134"/>
      <c r="B348" s="134"/>
    </row>
    <row r="349">
      <c r="A349" s="134"/>
      <c r="B349" s="134"/>
    </row>
    <row r="350">
      <c r="A350" s="134"/>
      <c r="B350" s="134"/>
    </row>
    <row r="351">
      <c r="A351" s="134"/>
      <c r="B351" s="134"/>
    </row>
    <row r="352">
      <c r="A352" s="134"/>
      <c r="B352" s="134"/>
    </row>
    <row r="353">
      <c r="A353" s="134"/>
      <c r="B353" s="134"/>
    </row>
    <row r="354">
      <c r="A354" s="134"/>
      <c r="B354" s="134"/>
    </row>
    <row r="355">
      <c r="A355" s="134"/>
      <c r="B355" s="134"/>
    </row>
    <row r="356">
      <c r="A356" s="134"/>
      <c r="B356" s="134"/>
    </row>
    <row r="357">
      <c r="A357" s="134"/>
      <c r="B357" s="134"/>
    </row>
    <row r="358">
      <c r="A358" s="134"/>
      <c r="B358" s="134"/>
    </row>
    <row r="359">
      <c r="A359" s="134"/>
      <c r="B359" s="134"/>
    </row>
    <row r="360">
      <c r="A360" s="134"/>
      <c r="B360" s="134"/>
    </row>
    <row r="361">
      <c r="A361" s="134"/>
      <c r="B361" s="134"/>
    </row>
    <row r="362">
      <c r="A362" s="134"/>
      <c r="B362" s="134"/>
    </row>
    <row r="363">
      <c r="A363" s="134"/>
      <c r="B363" s="134"/>
    </row>
    <row r="364">
      <c r="A364" s="134"/>
      <c r="B364" s="134"/>
    </row>
    <row r="365">
      <c r="A365" s="134"/>
      <c r="B365" s="134"/>
    </row>
    <row r="366">
      <c r="A366" s="134"/>
      <c r="B366" s="134"/>
    </row>
    <row r="367">
      <c r="A367" s="134"/>
      <c r="B367" s="134"/>
    </row>
    <row r="368">
      <c r="A368" s="134"/>
      <c r="B368" s="134"/>
    </row>
    <row r="369">
      <c r="A369" s="134"/>
      <c r="B369" s="134"/>
    </row>
    <row r="370">
      <c r="A370" s="134"/>
      <c r="B370" s="134"/>
    </row>
    <row r="371">
      <c r="A371" s="134"/>
      <c r="B371" s="134"/>
    </row>
    <row r="372">
      <c r="A372" s="134"/>
      <c r="B372" s="134"/>
    </row>
    <row r="373">
      <c r="A373" s="134"/>
      <c r="B373" s="134"/>
    </row>
    <row r="374">
      <c r="A374" s="134"/>
      <c r="B374" s="134"/>
    </row>
    <row r="375">
      <c r="A375" s="134"/>
      <c r="B375" s="134"/>
    </row>
    <row r="376">
      <c r="A376" s="31"/>
      <c r="B376" s="31"/>
    </row>
    <row r="377">
      <c r="A377" s="31"/>
      <c r="B377" s="31"/>
    </row>
    <row r="378">
      <c r="A378" s="31"/>
      <c r="B378" s="31"/>
    </row>
    <row r="379">
      <c r="A379" s="31"/>
      <c r="B379" s="31"/>
    </row>
    <row r="380">
      <c r="A380" s="31"/>
      <c r="B380" s="31"/>
    </row>
    <row r="381">
      <c r="A381" s="31"/>
      <c r="B381" s="31"/>
    </row>
    <row r="382">
      <c r="A382" s="31"/>
      <c r="B382" s="31"/>
    </row>
    <row r="383">
      <c r="A383" s="31"/>
      <c r="B383" s="31"/>
    </row>
    <row r="384">
      <c r="A384" s="31"/>
      <c r="B384" s="31"/>
    </row>
    <row r="385">
      <c r="A385" s="31"/>
      <c r="B385" s="31"/>
    </row>
    <row r="386">
      <c r="A386" s="31"/>
      <c r="B386" s="31"/>
    </row>
    <row r="387">
      <c r="A387" s="31"/>
      <c r="B387" s="31"/>
    </row>
    <row r="388">
      <c r="A388" s="31"/>
      <c r="B388" s="31"/>
    </row>
    <row r="389">
      <c r="A389" s="31"/>
      <c r="B389" s="31"/>
    </row>
    <row r="390">
      <c r="A390" s="31"/>
      <c r="B390" s="31"/>
    </row>
    <row r="391">
      <c r="A391" s="31"/>
      <c r="B391" s="31"/>
    </row>
    <row r="392">
      <c r="A392" s="31"/>
      <c r="B392" s="31"/>
    </row>
    <row r="393">
      <c r="A393" s="31"/>
      <c r="B393" s="31"/>
    </row>
    <row r="394">
      <c r="A394" s="31"/>
      <c r="B394" s="31"/>
    </row>
    <row r="395">
      <c r="A395" s="31"/>
      <c r="B395" s="31"/>
    </row>
    <row r="396">
      <c r="A396" s="31"/>
      <c r="B396" s="31"/>
    </row>
    <row r="397">
      <c r="A397" s="31"/>
      <c r="B397" s="31"/>
    </row>
    <row r="398">
      <c r="A398" s="31"/>
      <c r="B398" s="31"/>
    </row>
    <row r="399">
      <c r="A399" s="31"/>
      <c r="B399" s="31"/>
    </row>
    <row r="400">
      <c r="A400" s="31"/>
      <c r="B400" s="31"/>
    </row>
    <row r="401">
      <c r="A401" s="31"/>
      <c r="B401" s="31"/>
    </row>
    <row r="402">
      <c r="A402" s="31"/>
      <c r="B402" s="31"/>
    </row>
    <row r="403">
      <c r="A403" s="31"/>
      <c r="B403" s="31"/>
    </row>
    <row r="404">
      <c r="A404" s="31"/>
      <c r="B404" s="31"/>
    </row>
    <row r="405">
      <c r="A405" s="31"/>
      <c r="B405" s="31"/>
    </row>
    <row r="406">
      <c r="A406" s="31"/>
      <c r="B406" s="31"/>
    </row>
    <row r="407">
      <c r="A407" s="31"/>
      <c r="B407" s="31"/>
    </row>
    <row r="408">
      <c r="A408" s="31"/>
      <c r="B408" s="31"/>
    </row>
    <row r="409">
      <c r="A409" s="31"/>
      <c r="B409" s="31"/>
    </row>
    <row r="410">
      <c r="A410" s="31"/>
      <c r="B410" s="31"/>
    </row>
    <row r="411">
      <c r="A411" s="31"/>
      <c r="B411" s="31"/>
    </row>
    <row r="412">
      <c r="A412" s="31"/>
      <c r="B412" s="31"/>
    </row>
    <row r="413">
      <c r="A413" s="31"/>
      <c r="B413" s="31"/>
    </row>
    <row r="414">
      <c r="A414" s="31"/>
      <c r="B414" s="31"/>
    </row>
    <row r="415">
      <c r="A415" s="31"/>
      <c r="B415" s="31"/>
    </row>
    <row r="416">
      <c r="A416" s="31"/>
      <c r="B416" s="31"/>
    </row>
    <row r="417">
      <c r="A417" s="31"/>
      <c r="B417" s="31"/>
    </row>
    <row r="418">
      <c r="A418" s="31"/>
      <c r="B418" s="31"/>
    </row>
    <row r="419">
      <c r="A419" s="31"/>
      <c r="B419" s="31"/>
    </row>
    <row r="420">
      <c r="A420" s="31"/>
      <c r="B420" s="31"/>
    </row>
    <row r="421">
      <c r="A421" s="31"/>
      <c r="B421" s="31"/>
    </row>
    <row r="422">
      <c r="A422" s="31"/>
      <c r="B422" s="31"/>
    </row>
    <row r="423">
      <c r="A423" s="31"/>
      <c r="B423" s="31"/>
    </row>
    <row r="424">
      <c r="A424" s="31"/>
      <c r="B424" s="31"/>
    </row>
    <row r="425">
      <c r="A425" s="31"/>
      <c r="B425" s="31"/>
    </row>
    <row r="426">
      <c r="A426" s="31"/>
      <c r="B426" s="31"/>
    </row>
    <row r="427">
      <c r="A427" s="31"/>
      <c r="B427" s="31"/>
    </row>
    <row r="428">
      <c r="A428" s="31"/>
      <c r="B428" s="31"/>
    </row>
    <row r="429">
      <c r="A429" s="31"/>
      <c r="B429" s="31"/>
    </row>
    <row r="430">
      <c r="A430" s="31"/>
      <c r="B430" s="31"/>
    </row>
    <row r="431">
      <c r="A431" s="31"/>
      <c r="B431" s="31"/>
    </row>
    <row r="432">
      <c r="A432" s="31"/>
      <c r="B432" s="31"/>
    </row>
    <row r="433">
      <c r="A433" s="31"/>
      <c r="B433" s="31"/>
    </row>
    <row r="434">
      <c r="A434" s="31"/>
      <c r="B434" s="31"/>
    </row>
    <row r="435">
      <c r="A435" s="31"/>
      <c r="B435" s="31"/>
    </row>
    <row r="436">
      <c r="A436" s="31"/>
      <c r="B436" s="31"/>
    </row>
    <row r="437">
      <c r="A437" s="31"/>
      <c r="B437" s="31"/>
    </row>
    <row r="438">
      <c r="A438" s="31"/>
      <c r="B438" s="31"/>
    </row>
    <row r="439">
      <c r="A439" s="31"/>
      <c r="B439" s="31"/>
    </row>
    <row r="440">
      <c r="A440" s="31"/>
      <c r="B440" s="31"/>
    </row>
    <row r="441">
      <c r="A441" s="31"/>
      <c r="B441" s="31"/>
    </row>
    <row r="442">
      <c r="A442" s="31"/>
      <c r="B442" s="31"/>
    </row>
    <row r="443">
      <c r="A443" s="31"/>
      <c r="B443" s="31"/>
    </row>
    <row r="444">
      <c r="A444" s="31"/>
      <c r="B444" s="31"/>
    </row>
    <row r="445">
      <c r="A445" s="31"/>
      <c r="B445" s="31"/>
    </row>
    <row r="446">
      <c r="A446" s="31"/>
      <c r="B446" s="31"/>
    </row>
    <row r="447">
      <c r="A447" s="31"/>
      <c r="B447" s="31"/>
    </row>
    <row r="448">
      <c r="A448" s="31"/>
      <c r="B448" s="31"/>
    </row>
    <row r="449">
      <c r="A449" s="31"/>
      <c r="B449" s="31"/>
    </row>
    <row r="450">
      <c r="A450" s="31"/>
      <c r="B450" s="31"/>
    </row>
    <row r="451">
      <c r="A451" s="31"/>
      <c r="B451" s="31"/>
    </row>
    <row r="452">
      <c r="A452" s="31"/>
      <c r="B452" s="31"/>
    </row>
    <row r="453">
      <c r="A453" s="31"/>
      <c r="B453" s="31"/>
    </row>
    <row r="454">
      <c r="A454" s="31"/>
      <c r="B454" s="31"/>
    </row>
    <row r="455">
      <c r="A455" s="31"/>
      <c r="B455" s="31"/>
    </row>
    <row r="456">
      <c r="A456" s="31"/>
      <c r="B456" s="31"/>
    </row>
    <row r="457">
      <c r="A457" s="31"/>
      <c r="B457" s="31"/>
    </row>
    <row r="458">
      <c r="A458" s="31"/>
      <c r="B458" s="31"/>
    </row>
    <row r="459">
      <c r="A459" s="31"/>
      <c r="B459" s="31"/>
    </row>
    <row r="460">
      <c r="A460" s="31"/>
      <c r="B460" s="31"/>
    </row>
    <row r="461">
      <c r="A461" s="31"/>
      <c r="B461" s="31"/>
    </row>
    <row r="462">
      <c r="A462" s="31"/>
      <c r="B462" s="31"/>
    </row>
    <row r="463">
      <c r="A463" s="31"/>
      <c r="B463" s="31"/>
    </row>
    <row r="464">
      <c r="A464" s="31"/>
      <c r="B464" s="31"/>
    </row>
    <row r="465">
      <c r="A465" s="31"/>
      <c r="B465" s="31"/>
    </row>
    <row r="466">
      <c r="A466" s="31"/>
      <c r="B466" s="31"/>
    </row>
    <row r="467">
      <c r="A467" s="31"/>
      <c r="B467" s="31"/>
    </row>
    <row r="468">
      <c r="A468" s="31"/>
      <c r="B468" s="31"/>
    </row>
    <row r="469">
      <c r="A469" s="31"/>
      <c r="B469" s="31"/>
    </row>
    <row r="470">
      <c r="A470" s="31"/>
      <c r="B470" s="31"/>
    </row>
    <row r="471">
      <c r="A471" s="31"/>
      <c r="B471" s="31"/>
    </row>
    <row r="472">
      <c r="A472" s="31"/>
      <c r="B472" s="31"/>
    </row>
    <row r="473">
      <c r="A473" s="31"/>
      <c r="B473" s="31"/>
    </row>
    <row r="474">
      <c r="A474" s="31"/>
      <c r="B474" s="31"/>
    </row>
    <row r="475">
      <c r="A475" s="31"/>
      <c r="B475" s="31"/>
    </row>
    <row r="476">
      <c r="A476" s="31"/>
      <c r="B476" s="31"/>
    </row>
    <row r="477">
      <c r="A477" s="31"/>
      <c r="B477" s="31"/>
    </row>
    <row r="478">
      <c r="A478" s="31"/>
      <c r="B478" s="31"/>
    </row>
    <row r="479">
      <c r="A479" s="31"/>
      <c r="B479" s="31"/>
    </row>
    <row r="480">
      <c r="A480" s="31"/>
      <c r="B480" s="31"/>
    </row>
    <row r="481">
      <c r="A481" s="31"/>
      <c r="B481" s="31"/>
    </row>
    <row r="482">
      <c r="A482" s="31"/>
      <c r="B482" s="31"/>
    </row>
    <row r="483">
      <c r="A483" s="31"/>
      <c r="B483" s="31"/>
    </row>
    <row r="484">
      <c r="A484" s="31"/>
      <c r="B484" s="31"/>
    </row>
    <row r="485">
      <c r="A485" s="31"/>
      <c r="B485" s="31"/>
    </row>
    <row r="486">
      <c r="A486" s="31"/>
      <c r="B486" s="31"/>
    </row>
    <row r="487">
      <c r="A487" s="31"/>
      <c r="B487" s="31"/>
    </row>
    <row r="488">
      <c r="A488" s="31"/>
      <c r="B488" s="31"/>
    </row>
    <row r="489">
      <c r="A489" s="31"/>
      <c r="B489" s="31"/>
    </row>
    <row r="490">
      <c r="A490" s="31"/>
      <c r="B490" s="31"/>
    </row>
    <row r="491">
      <c r="A491" s="31"/>
      <c r="B491" s="31"/>
    </row>
    <row r="492">
      <c r="A492" s="31"/>
      <c r="B492" s="31"/>
    </row>
    <row r="493">
      <c r="A493" s="31"/>
      <c r="B493" s="31"/>
    </row>
    <row r="494">
      <c r="A494" s="31"/>
      <c r="B494" s="31"/>
    </row>
    <row r="495">
      <c r="A495" s="31"/>
      <c r="B495" s="31"/>
    </row>
    <row r="496">
      <c r="A496" s="31"/>
      <c r="B496" s="31"/>
    </row>
    <row r="497">
      <c r="A497" s="31"/>
      <c r="B497" s="31"/>
    </row>
    <row r="498">
      <c r="A498" s="31"/>
      <c r="B498" s="31"/>
    </row>
    <row r="499">
      <c r="A499" s="31"/>
      <c r="B499" s="31"/>
    </row>
    <row r="500">
      <c r="A500" s="31"/>
      <c r="B500" s="31"/>
    </row>
    <row r="501">
      <c r="A501" s="31"/>
      <c r="B501" s="31"/>
    </row>
    <row r="502">
      <c r="A502" s="31"/>
      <c r="B502" s="31"/>
    </row>
    <row r="503">
      <c r="A503" s="31"/>
      <c r="B503" s="31"/>
    </row>
    <row r="504">
      <c r="A504" s="31"/>
      <c r="B504" s="31"/>
    </row>
    <row r="505">
      <c r="A505" s="31"/>
      <c r="B505" s="31"/>
    </row>
    <row r="506">
      <c r="A506" s="31"/>
      <c r="B506" s="31"/>
    </row>
    <row r="507">
      <c r="A507" s="31"/>
      <c r="B507" s="31"/>
    </row>
    <row r="508">
      <c r="A508" s="31"/>
      <c r="B508" s="31"/>
    </row>
    <row r="509">
      <c r="A509" s="31"/>
      <c r="B509" s="31"/>
    </row>
    <row r="510">
      <c r="A510" s="31"/>
      <c r="B510" s="31"/>
    </row>
    <row r="511">
      <c r="A511" s="31"/>
      <c r="B511" s="31"/>
    </row>
    <row r="512">
      <c r="A512" s="31"/>
      <c r="B512" s="31"/>
    </row>
    <row r="513">
      <c r="A513" s="31"/>
      <c r="B513" s="31"/>
    </row>
    <row r="514">
      <c r="A514" s="31"/>
      <c r="B514" s="31"/>
    </row>
    <row r="515">
      <c r="A515" s="31"/>
      <c r="B515" s="31"/>
    </row>
    <row r="516">
      <c r="A516" s="31"/>
      <c r="B516" s="31"/>
    </row>
    <row r="517">
      <c r="A517" s="31"/>
      <c r="B517" s="31"/>
    </row>
    <row r="518">
      <c r="A518" s="31"/>
      <c r="B518" s="31"/>
    </row>
    <row r="519">
      <c r="A519" s="31"/>
      <c r="B519" s="31"/>
    </row>
    <row r="520">
      <c r="A520" s="31"/>
      <c r="B520" s="31"/>
    </row>
    <row r="521">
      <c r="A521" s="31"/>
      <c r="B521" s="31"/>
    </row>
    <row r="522">
      <c r="A522" s="31"/>
      <c r="B522" s="31"/>
    </row>
    <row r="523">
      <c r="A523" s="31"/>
      <c r="B523" s="31"/>
    </row>
    <row r="524">
      <c r="A524" s="31"/>
      <c r="B524" s="31"/>
    </row>
    <row r="525">
      <c r="A525" s="31"/>
      <c r="B525" s="31"/>
    </row>
    <row r="526">
      <c r="A526" s="31"/>
      <c r="B526" s="31"/>
    </row>
    <row r="527">
      <c r="A527" s="31"/>
      <c r="B527" s="31"/>
    </row>
    <row r="528">
      <c r="A528" s="31"/>
      <c r="B528" s="31"/>
    </row>
    <row r="529">
      <c r="A529" s="31"/>
      <c r="B529" s="31"/>
    </row>
    <row r="530">
      <c r="A530" s="31"/>
      <c r="B530" s="31"/>
    </row>
    <row r="531">
      <c r="A531" s="31"/>
      <c r="B531" s="31"/>
    </row>
    <row r="532">
      <c r="A532" s="31"/>
      <c r="B532" s="31"/>
    </row>
    <row r="533">
      <c r="A533" s="31"/>
      <c r="B533" s="31"/>
    </row>
    <row r="534">
      <c r="A534" s="31"/>
      <c r="B534" s="31"/>
    </row>
    <row r="535">
      <c r="A535" s="31"/>
      <c r="B535" s="31"/>
    </row>
    <row r="536">
      <c r="A536" s="31"/>
      <c r="B536" s="31"/>
    </row>
    <row r="537">
      <c r="A537" s="31"/>
      <c r="B537" s="31"/>
    </row>
    <row r="538">
      <c r="A538" s="31"/>
      <c r="B538" s="31"/>
    </row>
    <row r="539">
      <c r="A539" s="31"/>
      <c r="B539" s="31"/>
    </row>
    <row r="540">
      <c r="A540" s="31"/>
      <c r="B540" s="31"/>
    </row>
    <row r="541">
      <c r="A541" s="31"/>
      <c r="B541" s="31"/>
    </row>
    <row r="542">
      <c r="A542" s="31"/>
      <c r="B542" s="31"/>
    </row>
    <row r="543">
      <c r="A543" s="31"/>
      <c r="B543" s="31"/>
    </row>
    <row r="544">
      <c r="A544" s="31"/>
      <c r="B544" s="31"/>
    </row>
    <row r="545">
      <c r="A545" s="31"/>
      <c r="B545" s="31"/>
    </row>
    <row r="546">
      <c r="A546" s="31"/>
      <c r="B546" s="31"/>
    </row>
    <row r="547">
      <c r="A547" s="31"/>
      <c r="B547" s="31"/>
    </row>
    <row r="548">
      <c r="A548" s="31"/>
      <c r="B548" s="31"/>
    </row>
    <row r="549">
      <c r="A549" s="31"/>
      <c r="B549" s="31"/>
    </row>
    <row r="550">
      <c r="A550" s="31"/>
      <c r="B550" s="31"/>
    </row>
    <row r="551">
      <c r="A551" s="31"/>
      <c r="B551" s="31"/>
    </row>
    <row r="552">
      <c r="A552" s="31"/>
      <c r="B552" s="31"/>
    </row>
    <row r="553">
      <c r="A553" s="31"/>
      <c r="B553" s="31"/>
    </row>
    <row r="554">
      <c r="A554" s="31"/>
      <c r="B554" s="31"/>
    </row>
    <row r="555">
      <c r="A555" s="31"/>
      <c r="B555" s="31"/>
    </row>
    <row r="556">
      <c r="A556" s="31"/>
      <c r="B556" s="31"/>
    </row>
    <row r="557">
      <c r="A557" s="31"/>
      <c r="B557" s="31"/>
    </row>
    <row r="558">
      <c r="A558" s="31"/>
      <c r="B558" s="31"/>
    </row>
    <row r="559">
      <c r="A559" s="31"/>
      <c r="B559" s="31"/>
    </row>
    <row r="560">
      <c r="A560" s="31"/>
      <c r="B560" s="31"/>
    </row>
    <row r="561">
      <c r="A561" s="31"/>
      <c r="B561" s="31"/>
    </row>
    <row r="562">
      <c r="A562" s="31"/>
      <c r="B562" s="31"/>
    </row>
    <row r="563">
      <c r="A563" s="31"/>
      <c r="B563" s="31"/>
    </row>
    <row r="564">
      <c r="A564" s="31"/>
      <c r="B564" s="31"/>
    </row>
    <row r="565">
      <c r="A565" s="31"/>
      <c r="B565" s="31"/>
    </row>
    <row r="566">
      <c r="A566" s="31"/>
      <c r="B566" s="31"/>
    </row>
    <row r="567">
      <c r="A567" s="31"/>
      <c r="B567" s="31"/>
    </row>
    <row r="568">
      <c r="A568" s="31"/>
      <c r="B568" s="31"/>
    </row>
    <row r="569">
      <c r="A569" s="31"/>
      <c r="B569" s="31"/>
    </row>
    <row r="570">
      <c r="A570" s="31"/>
      <c r="B570" s="31"/>
    </row>
    <row r="571">
      <c r="A571" s="31"/>
      <c r="B571" s="31"/>
    </row>
    <row r="572">
      <c r="A572" s="31"/>
      <c r="B572" s="31"/>
    </row>
    <row r="573">
      <c r="A573" s="31"/>
      <c r="B573" s="31"/>
    </row>
    <row r="574">
      <c r="A574" s="31"/>
      <c r="B574" s="31"/>
    </row>
    <row r="575">
      <c r="A575" s="31"/>
      <c r="B575" s="31"/>
    </row>
    <row r="576">
      <c r="A576" s="31"/>
      <c r="B576" s="31"/>
    </row>
    <row r="577">
      <c r="A577" s="31"/>
      <c r="B577" s="31"/>
    </row>
    <row r="578">
      <c r="A578" s="31"/>
      <c r="B578" s="31"/>
    </row>
    <row r="579">
      <c r="A579" s="31"/>
      <c r="B579" s="31"/>
    </row>
    <row r="580">
      <c r="A580" s="31"/>
      <c r="B580" s="31"/>
    </row>
    <row r="581">
      <c r="A581" s="31"/>
      <c r="B581" s="31"/>
    </row>
    <row r="582">
      <c r="A582" s="31"/>
      <c r="B582" s="31"/>
    </row>
    <row r="583">
      <c r="A583" s="31"/>
      <c r="B583" s="31"/>
    </row>
    <row r="584">
      <c r="A584" s="31"/>
      <c r="B584" s="31"/>
    </row>
    <row r="585">
      <c r="A585" s="31"/>
      <c r="B585" s="31"/>
    </row>
    <row r="586">
      <c r="A586" s="31"/>
      <c r="B586" s="31"/>
    </row>
    <row r="587">
      <c r="A587" s="31"/>
      <c r="B587" s="31"/>
    </row>
    <row r="588">
      <c r="A588" s="31"/>
      <c r="B588" s="31"/>
    </row>
    <row r="589">
      <c r="A589" s="31"/>
      <c r="B589" s="31"/>
    </row>
    <row r="590">
      <c r="A590" s="31"/>
      <c r="B590" s="31"/>
    </row>
    <row r="591">
      <c r="A591" s="31"/>
      <c r="B591" s="31"/>
    </row>
    <row r="592">
      <c r="A592" s="31"/>
      <c r="B592" s="31"/>
    </row>
    <row r="593">
      <c r="A593" s="31"/>
      <c r="B593" s="31"/>
    </row>
    <row r="594">
      <c r="A594" s="31"/>
      <c r="B594" s="31"/>
    </row>
    <row r="595">
      <c r="A595" s="31"/>
      <c r="B595" s="31"/>
    </row>
    <row r="596">
      <c r="A596" s="31"/>
      <c r="B596" s="31"/>
    </row>
    <row r="597">
      <c r="A597" s="31"/>
      <c r="B597" s="31"/>
    </row>
    <row r="598">
      <c r="A598" s="31"/>
      <c r="B598" s="31"/>
    </row>
    <row r="599">
      <c r="A599" s="31"/>
      <c r="B599" s="31"/>
    </row>
    <row r="600">
      <c r="A600" s="31"/>
      <c r="B600" s="31"/>
    </row>
    <row r="601">
      <c r="A601" s="31"/>
      <c r="B601" s="31"/>
    </row>
    <row r="602">
      <c r="A602" s="31"/>
      <c r="B602" s="31"/>
    </row>
    <row r="603">
      <c r="A603" s="31"/>
      <c r="B603" s="31"/>
    </row>
    <row r="604">
      <c r="A604" s="31"/>
      <c r="B604" s="31"/>
    </row>
    <row r="605">
      <c r="A605" s="31"/>
      <c r="B605" s="31"/>
    </row>
    <row r="606">
      <c r="A606" s="31"/>
      <c r="B606" s="31"/>
    </row>
    <row r="607">
      <c r="A607" s="31"/>
      <c r="B607" s="31"/>
    </row>
    <row r="608">
      <c r="A608" s="31"/>
      <c r="B608" s="31"/>
    </row>
    <row r="609">
      <c r="A609" s="31"/>
      <c r="B609" s="31"/>
    </row>
    <row r="610">
      <c r="A610" s="31"/>
      <c r="B610" s="31"/>
    </row>
    <row r="611">
      <c r="A611" s="31"/>
      <c r="B611" s="31"/>
    </row>
    <row r="612">
      <c r="A612" s="31"/>
      <c r="B612" s="31"/>
    </row>
    <row r="613">
      <c r="A613" s="31"/>
      <c r="B613" s="31"/>
    </row>
    <row r="614">
      <c r="A614" s="31"/>
      <c r="B614" s="31"/>
    </row>
    <row r="615">
      <c r="A615" s="31"/>
      <c r="B615" s="31"/>
    </row>
    <row r="616">
      <c r="A616" s="31"/>
      <c r="B616" s="31"/>
    </row>
    <row r="617">
      <c r="A617" s="31"/>
      <c r="B617" s="31"/>
    </row>
    <row r="618">
      <c r="A618" s="31"/>
      <c r="B618" s="31"/>
    </row>
    <row r="619">
      <c r="A619" s="31"/>
      <c r="B619" s="31"/>
    </row>
    <row r="620">
      <c r="A620" s="31"/>
      <c r="B620" s="31"/>
    </row>
    <row r="621">
      <c r="A621" s="31"/>
      <c r="B621" s="31"/>
    </row>
    <row r="622">
      <c r="A622" s="31"/>
      <c r="B622" s="31"/>
    </row>
    <row r="623">
      <c r="A623" s="31"/>
      <c r="B623" s="31"/>
    </row>
    <row r="624">
      <c r="A624" s="31"/>
      <c r="B624" s="31"/>
    </row>
    <row r="625">
      <c r="A625" s="31"/>
      <c r="B625" s="31"/>
    </row>
    <row r="626">
      <c r="A626" s="31"/>
      <c r="B626" s="31"/>
    </row>
    <row r="627">
      <c r="A627" s="31"/>
      <c r="B627" s="31"/>
    </row>
    <row r="628">
      <c r="A628" s="31"/>
      <c r="B628" s="31"/>
    </row>
    <row r="629">
      <c r="A629" s="31"/>
      <c r="B629" s="31"/>
    </row>
    <row r="630">
      <c r="A630" s="31"/>
      <c r="B630" s="31"/>
    </row>
    <row r="631">
      <c r="A631" s="31"/>
      <c r="B631" s="31"/>
    </row>
    <row r="632">
      <c r="A632" s="31"/>
      <c r="B632" s="31"/>
    </row>
    <row r="633">
      <c r="A633" s="31"/>
      <c r="B633" s="31"/>
    </row>
    <row r="634">
      <c r="A634" s="31"/>
      <c r="B634" s="31"/>
    </row>
    <row r="635">
      <c r="A635" s="31"/>
      <c r="B635" s="31"/>
    </row>
    <row r="636">
      <c r="A636" s="31"/>
      <c r="B636" s="31"/>
    </row>
    <row r="637">
      <c r="A637" s="31"/>
      <c r="B637" s="31"/>
    </row>
    <row r="638">
      <c r="A638" s="31"/>
      <c r="B638" s="31"/>
    </row>
    <row r="639">
      <c r="A639" s="31"/>
      <c r="B639" s="31"/>
    </row>
    <row r="640">
      <c r="A640" s="31"/>
      <c r="B640" s="31"/>
    </row>
    <row r="641">
      <c r="A641" s="31"/>
      <c r="B641" s="31"/>
    </row>
    <row r="642">
      <c r="A642" s="31"/>
      <c r="B642" s="31"/>
    </row>
    <row r="643">
      <c r="A643" s="31"/>
      <c r="B643" s="31"/>
    </row>
    <row r="644">
      <c r="A644" s="31"/>
      <c r="B644" s="31"/>
    </row>
    <row r="645">
      <c r="A645" s="31"/>
      <c r="B645" s="31"/>
    </row>
    <row r="646">
      <c r="A646" s="31"/>
      <c r="B646" s="31"/>
    </row>
    <row r="647">
      <c r="A647" s="31"/>
      <c r="B647" s="31"/>
    </row>
    <row r="648">
      <c r="A648" s="31"/>
      <c r="B648" s="31"/>
    </row>
    <row r="649">
      <c r="A649" s="31"/>
      <c r="B649" s="31"/>
    </row>
    <row r="650">
      <c r="A650" s="31"/>
      <c r="B650" s="31"/>
    </row>
    <row r="651">
      <c r="A651" s="31"/>
      <c r="B651" s="31"/>
    </row>
    <row r="652">
      <c r="A652" s="31"/>
      <c r="B652" s="31"/>
    </row>
    <row r="653">
      <c r="A653" s="31"/>
      <c r="B653" s="31"/>
    </row>
    <row r="654">
      <c r="A654" s="31"/>
      <c r="B654" s="31"/>
    </row>
    <row r="655">
      <c r="A655" s="31"/>
      <c r="B655" s="31"/>
    </row>
    <row r="656">
      <c r="A656" s="31"/>
      <c r="B656" s="31"/>
    </row>
    <row r="657">
      <c r="A657" s="31"/>
      <c r="B657" s="31"/>
    </row>
    <row r="658">
      <c r="A658" s="31"/>
      <c r="B658" s="31"/>
    </row>
    <row r="659">
      <c r="A659" s="31"/>
      <c r="B659" s="31"/>
    </row>
    <row r="660">
      <c r="A660" s="31"/>
      <c r="B660" s="31"/>
    </row>
    <row r="661">
      <c r="A661" s="31"/>
      <c r="B661" s="31"/>
    </row>
    <row r="662">
      <c r="A662" s="31"/>
      <c r="B662" s="31"/>
    </row>
    <row r="663">
      <c r="A663" s="31"/>
      <c r="B663" s="31"/>
    </row>
    <row r="664">
      <c r="A664" s="31"/>
      <c r="B664" s="31"/>
    </row>
    <row r="665">
      <c r="A665" s="31"/>
      <c r="B665" s="31"/>
    </row>
    <row r="666">
      <c r="A666" s="31"/>
      <c r="B666" s="31"/>
    </row>
    <row r="667">
      <c r="A667" s="31"/>
      <c r="B667" s="31"/>
    </row>
    <row r="668">
      <c r="A668" s="31"/>
      <c r="B668" s="31"/>
    </row>
    <row r="669">
      <c r="A669" s="31"/>
      <c r="B669" s="31"/>
    </row>
    <row r="670">
      <c r="A670" s="31"/>
      <c r="B670" s="31"/>
    </row>
    <row r="671">
      <c r="A671" s="31"/>
      <c r="B671" s="31"/>
    </row>
    <row r="672">
      <c r="A672" s="31"/>
      <c r="B672" s="31"/>
    </row>
    <row r="673">
      <c r="A673" s="31"/>
      <c r="B673" s="31"/>
    </row>
    <row r="674">
      <c r="A674" s="31"/>
      <c r="B674" s="31"/>
    </row>
    <row r="675">
      <c r="A675" s="31"/>
      <c r="B675" s="31"/>
    </row>
    <row r="676">
      <c r="A676" s="31"/>
      <c r="B676" s="31"/>
    </row>
    <row r="677">
      <c r="A677" s="31"/>
      <c r="B677" s="31"/>
    </row>
    <row r="678">
      <c r="A678" s="31"/>
      <c r="B678" s="31"/>
    </row>
    <row r="679">
      <c r="A679" s="31"/>
      <c r="B679" s="31"/>
    </row>
    <row r="680">
      <c r="A680" s="31"/>
      <c r="B680" s="31"/>
    </row>
    <row r="681">
      <c r="A681" s="31"/>
      <c r="B681" s="31"/>
    </row>
    <row r="682">
      <c r="A682" s="31"/>
      <c r="B682" s="31"/>
    </row>
    <row r="683">
      <c r="A683" s="31"/>
      <c r="B683" s="31"/>
    </row>
    <row r="684">
      <c r="A684" s="31"/>
      <c r="B684" s="31"/>
    </row>
    <row r="685">
      <c r="A685" s="31"/>
      <c r="B685" s="31"/>
    </row>
    <row r="686">
      <c r="A686" s="31"/>
      <c r="B686" s="31"/>
    </row>
    <row r="687">
      <c r="A687" s="31"/>
      <c r="B687" s="31"/>
    </row>
    <row r="688">
      <c r="A688" s="31"/>
      <c r="B688" s="31"/>
    </row>
    <row r="689">
      <c r="A689" s="31"/>
      <c r="B689" s="31"/>
    </row>
    <row r="690">
      <c r="A690" s="31"/>
      <c r="B690" s="31"/>
    </row>
    <row r="691">
      <c r="A691" s="31"/>
      <c r="B691" s="31"/>
    </row>
    <row r="692">
      <c r="A692" s="31"/>
      <c r="B692" s="31"/>
    </row>
    <row r="693">
      <c r="A693" s="31"/>
      <c r="B693" s="31"/>
    </row>
    <row r="694">
      <c r="A694" s="31"/>
      <c r="B694" s="31"/>
    </row>
    <row r="695">
      <c r="A695" s="31"/>
      <c r="B695" s="31"/>
    </row>
    <row r="696">
      <c r="A696" s="31"/>
      <c r="B696" s="31"/>
    </row>
    <row r="697">
      <c r="A697" s="31"/>
      <c r="B697" s="31"/>
    </row>
    <row r="698">
      <c r="A698" s="31"/>
      <c r="B698" s="31"/>
    </row>
    <row r="699">
      <c r="A699" s="31"/>
      <c r="B699" s="31"/>
    </row>
    <row r="700">
      <c r="A700" s="31"/>
      <c r="B700" s="31"/>
    </row>
    <row r="701">
      <c r="A701" s="31"/>
      <c r="B701" s="31"/>
    </row>
    <row r="702">
      <c r="A702" s="31"/>
      <c r="B702" s="31"/>
    </row>
    <row r="703">
      <c r="A703" s="31"/>
      <c r="B703" s="31"/>
    </row>
    <row r="704">
      <c r="A704" s="31"/>
      <c r="B704" s="31"/>
    </row>
    <row r="705">
      <c r="A705" s="31"/>
      <c r="B705" s="31"/>
    </row>
    <row r="706">
      <c r="A706" s="31"/>
      <c r="B706" s="31"/>
    </row>
    <row r="707">
      <c r="A707" s="31"/>
      <c r="B707" s="31"/>
    </row>
    <row r="708">
      <c r="A708" s="31"/>
      <c r="B708" s="31"/>
    </row>
    <row r="709">
      <c r="A709" s="31"/>
      <c r="B709" s="31"/>
    </row>
    <row r="710">
      <c r="A710" s="31"/>
      <c r="B710" s="31"/>
    </row>
    <row r="711">
      <c r="A711" s="31"/>
      <c r="B711" s="31"/>
    </row>
    <row r="712">
      <c r="A712" s="31"/>
      <c r="B712" s="31"/>
    </row>
    <row r="713">
      <c r="A713" s="31"/>
      <c r="B713" s="31"/>
    </row>
    <row r="714">
      <c r="A714" s="31"/>
      <c r="B714" s="31"/>
    </row>
    <row r="715">
      <c r="A715" s="31"/>
      <c r="B715" s="31"/>
    </row>
    <row r="716">
      <c r="A716" s="31"/>
      <c r="B716" s="31"/>
    </row>
    <row r="717">
      <c r="A717" s="31"/>
      <c r="B717" s="31"/>
    </row>
    <row r="718">
      <c r="A718" s="31"/>
      <c r="B718" s="31"/>
    </row>
    <row r="719">
      <c r="A719" s="31"/>
      <c r="B719" s="31"/>
    </row>
    <row r="720">
      <c r="A720" s="31"/>
      <c r="B720" s="31"/>
    </row>
    <row r="721">
      <c r="A721" s="31"/>
      <c r="B721" s="31"/>
    </row>
    <row r="722">
      <c r="A722" s="31"/>
      <c r="B722" s="31"/>
    </row>
    <row r="723">
      <c r="A723" s="31"/>
      <c r="B723" s="31"/>
    </row>
    <row r="724">
      <c r="A724" s="31"/>
      <c r="B724" s="31"/>
    </row>
    <row r="725">
      <c r="A725" s="31"/>
      <c r="B725" s="31"/>
    </row>
    <row r="726">
      <c r="A726" s="31"/>
      <c r="B726" s="31"/>
    </row>
    <row r="727">
      <c r="A727" s="31"/>
      <c r="B727" s="31"/>
    </row>
    <row r="728">
      <c r="A728" s="31"/>
      <c r="B728" s="31"/>
    </row>
    <row r="729">
      <c r="A729" s="31"/>
      <c r="B729" s="31"/>
    </row>
    <row r="730">
      <c r="A730" s="31"/>
      <c r="B730" s="31"/>
    </row>
    <row r="731">
      <c r="A731" s="31"/>
      <c r="B731" s="31"/>
    </row>
    <row r="732">
      <c r="A732" s="31"/>
      <c r="B732" s="31"/>
    </row>
    <row r="733">
      <c r="A733" s="31"/>
      <c r="B733" s="31"/>
    </row>
    <row r="734">
      <c r="A734" s="31"/>
      <c r="B734" s="31"/>
    </row>
    <row r="735">
      <c r="A735" s="31"/>
      <c r="B735" s="31"/>
    </row>
    <row r="736">
      <c r="A736" s="31"/>
      <c r="B736" s="31"/>
    </row>
    <row r="737">
      <c r="A737" s="31"/>
      <c r="B737" s="31"/>
    </row>
    <row r="738">
      <c r="A738" s="31"/>
      <c r="B738" s="31"/>
    </row>
    <row r="739">
      <c r="A739" s="31"/>
      <c r="B739" s="31"/>
    </row>
    <row r="740">
      <c r="A740" s="31"/>
      <c r="B740" s="31"/>
    </row>
    <row r="741">
      <c r="A741" s="31"/>
      <c r="B741" s="31"/>
    </row>
    <row r="742">
      <c r="A742" s="31"/>
      <c r="B742" s="31"/>
    </row>
    <row r="743">
      <c r="A743" s="31"/>
      <c r="B743" s="31"/>
    </row>
    <row r="744">
      <c r="A744" s="31"/>
      <c r="B744" s="31"/>
    </row>
    <row r="745">
      <c r="A745" s="31"/>
      <c r="B745" s="31"/>
    </row>
    <row r="746">
      <c r="A746" s="31"/>
      <c r="B746" s="31"/>
    </row>
    <row r="747">
      <c r="A747" s="31"/>
      <c r="B747" s="31"/>
    </row>
    <row r="748">
      <c r="A748" s="31"/>
      <c r="B748" s="31"/>
    </row>
    <row r="749">
      <c r="A749" s="31"/>
      <c r="B749" s="31"/>
    </row>
    <row r="750">
      <c r="A750" s="31"/>
      <c r="B750" s="31"/>
    </row>
    <row r="751">
      <c r="A751" s="31"/>
      <c r="B751" s="31"/>
    </row>
    <row r="752">
      <c r="A752" s="31"/>
      <c r="B752" s="31"/>
    </row>
    <row r="753">
      <c r="A753" s="31"/>
      <c r="B753" s="31"/>
    </row>
    <row r="754">
      <c r="A754" s="31"/>
      <c r="B754" s="31"/>
    </row>
    <row r="755">
      <c r="A755" s="31"/>
      <c r="B755" s="31"/>
    </row>
    <row r="756">
      <c r="A756" s="31"/>
      <c r="B756" s="31"/>
    </row>
    <row r="757">
      <c r="A757" s="31"/>
      <c r="B757" s="31"/>
    </row>
    <row r="758">
      <c r="A758" s="31"/>
      <c r="B758" s="31"/>
    </row>
    <row r="759">
      <c r="A759" s="31"/>
      <c r="B759" s="31"/>
    </row>
    <row r="760">
      <c r="A760" s="31"/>
      <c r="B760" s="31"/>
    </row>
    <row r="761">
      <c r="A761" s="31"/>
      <c r="B761" s="31"/>
    </row>
    <row r="762">
      <c r="A762" s="31"/>
      <c r="B762" s="31"/>
    </row>
    <row r="763">
      <c r="A763" s="31"/>
      <c r="B763" s="31"/>
    </row>
    <row r="764">
      <c r="A764" s="31"/>
      <c r="B764" s="31"/>
    </row>
    <row r="765">
      <c r="A765" s="31"/>
      <c r="B765" s="31"/>
    </row>
    <row r="766">
      <c r="A766" s="31"/>
      <c r="B766" s="31"/>
    </row>
    <row r="767">
      <c r="A767" s="31"/>
      <c r="B767" s="31"/>
    </row>
    <row r="768">
      <c r="A768" s="31"/>
      <c r="B768" s="31"/>
    </row>
    <row r="769">
      <c r="A769" s="31"/>
      <c r="B769" s="31"/>
    </row>
    <row r="770">
      <c r="A770" s="31"/>
      <c r="B770" s="31"/>
    </row>
    <row r="771">
      <c r="A771" s="31"/>
      <c r="B771" s="31"/>
    </row>
    <row r="772">
      <c r="A772" s="31"/>
      <c r="B772" s="31"/>
    </row>
    <row r="773">
      <c r="A773" s="31"/>
      <c r="B773" s="31"/>
    </row>
    <row r="774">
      <c r="A774" s="31"/>
      <c r="B774" s="31"/>
    </row>
    <row r="775">
      <c r="A775" s="31"/>
      <c r="B775" s="31"/>
    </row>
    <row r="776">
      <c r="A776" s="31"/>
      <c r="B776" s="31"/>
    </row>
    <row r="777">
      <c r="A777" s="31"/>
      <c r="B777" s="31"/>
    </row>
    <row r="778">
      <c r="A778" s="31"/>
      <c r="B778" s="31"/>
    </row>
    <row r="779">
      <c r="A779" s="31"/>
      <c r="B779" s="31"/>
    </row>
    <row r="780">
      <c r="A780" s="31"/>
      <c r="B780" s="31"/>
    </row>
    <row r="781">
      <c r="A781" s="31"/>
      <c r="B781" s="31"/>
    </row>
    <row r="782">
      <c r="A782" s="31"/>
      <c r="B782" s="31"/>
    </row>
    <row r="783">
      <c r="A783" s="31"/>
      <c r="B783" s="31"/>
    </row>
    <row r="784">
      <c r="A784" s="31"/>
      <c r="B784" s="31"/>
    </row>
    <row r="785">
      <c r="A785" s="31"/>
      <c r="B785" s="31"/>
    </row>
    <row r="786">
      <c r="A786" s="31"/>
      <c r="B786" s="31"/>
    </row>
    <row r="787">
      <c r="A787" s="31"/>
      <c r="B787" s="31"/>
    </row>
    <row r="788">
      <c r="A788" s="31"/>
      <c r="B788" s="31"/>
    </row>
    <row r="789">
      <c r="A789" s="31"/>
      <c r="B789" s="31"/>
    </row>
    <row r="790">
      <c r="A790" s="31"/>
      <c r="B790" s="31"/>
    </row>
    <row r="791">
      <c r="A791" s="31"/>
      <c r="B791" s="31"/>
    </row>
    <row r="792">
      <c r="A792" s="31"/>
      <c r="B792" s="31"/>
    </row>
    <row r="793">
      <c r="A793" s="31"/>
      <c r="B793" s="31"/>
    </row>
    <row r="794">
      <c r="A794" s="31"/>
      <c r="B794" s="31"/>
    </row>
    <row r="795">
      <c r="A795" s="31"/>
      <c r="B795" s="31"/>
    </row>
    <row r="796">
      <c r="A796" s="31"/>
      <c r="B796" s="31"/>
    </row>
    <row r="797">
      <c r="A797" s="31"/>
      <c r="B797" s="31"/>
    </row>
    <row r="798">
      <c r="A798" s="31"/>
      <c r="B798" s="31"/>
    </row>
    <row r="799">
      <c r="A799" s="31"/>
      <c r="B799" s="31"/>
    </row>
    <row r="800">
      <c r="A800" s="31"/>
      <c r="B800" s="31"/>
    </row>
    <row r="801">
      <c r="A801" s="31"/>
      <c r="B801" s="31"/>
    </row>
    <row r="802">
      <c r="A802" s="31"/>
      <c r="B802" s="31"/>
    </row>
    <row r="803">
      <c r="A803" s="31"/>
      <c r="B803" s="31"/>
    </row>
    <row r="804">
      <c r="A804" s="31"/>
      <c r="B804" s="31"/>
    </row>
    <row r="805">
      <c r="A805" s="31"/>
      <c r="B805" s="31"/>
    </row>
    <row r="806">
      <c r="A806" s="31"/>
      <c r="B806" s="31"/>
    </row>
    <row r="807">
      <c r="A807" s="31"/>
      <c r="B807" s="31"/>
    </row>
    <row r="808">
      <c r="A808" s="31"/>
      <c r="B808" s="31"/>
    </row>
    <row r="809">
      <c r="A809" s="31"/>
      <c r="B809" s="31"/>
    </row>
    <row r="810">
      <c r="A810" s="31"/>
      <c r="B810" s="31"/>
    </row>
    <row r="811">
      <c r="A811" s="31"/>
      <c r="B811" s="31"/>
    </row>
    <row r="812">
      <c r="A812" s="31"/>
      <c r="B812" s="31"/>
    </row>
    <row r="813">
      <c r="A813" s="31"/>
      <c r="B813" s="31"/>
    </row>
    <row r="814">
      <c r="A814" s="31"/>
      <c r="B814" s="31"/>
    </row>
    <row r="815">
      <c r="A815" s="31"/>
      <c r="B815" s="31"/>
    </row>
    <row r="816">
      <c r="A816" s="31"/>
      <c r="B816" s="31"/>
    </row>
    <row r="817">
      <c r="A817" s="31"/>
      <c r="B817" s="31"/>
    </row>
    <row r="818">
      <c r="A818" s="31"/>
      <c r="B818" s="31"/>
    </row>
    <row r="819">
      <c r="A819" s="31"/>
      <c r="B819" s="31"/>
    </row>
    <row r="820">
      <c r="A820" s="31"/>
      <c r="B820" s="31"/>
    </row>
    <row r="821">
      <c r="A821" s="31"/>
      <c r="B821" s="31"/>
    </row>
    <row r="822">
      <c r="A822" s="31"/>
      <c r="B822" s="31"/>
    </row>
    <row r="823">
      <c r="A823" s="31"/>
      <c r="B823" s="31"/>
    </row>
    <row r="824">
      <c r="A824" s="31"/>
      <c r="B824" s="31"/>
    </row>
    <row r="825">
      <c r="A825" s="31"/>
      <c r="B825" s="31"/>
    </row>
    <row r="826">
      <c r="A826" s="31"/>
      <c r="B826" s="31"/>
    </row>
    <row r="827">
      <c r="A827" s="31"/>
      <c r="B827" s="31"/>
    </row>
    <row r="828">
      <c r="A828" s="31"/>
      <c r="B828" s="31"/>
    </row>
    <row r="829">
      <c r="A829" s="31"/>
      <c r="B829" s="31"/>
    </row>
    <row r="830">
      <c r="A830" s="31"/>
      <c r="B830" s="31"/>
    </row>
    <row r="831">
      <c r="A831" s="31"/>
      <c r="B831" s="31"/>
    </row>
    <row r="832">
      <c r="A832" s="31"/>
      <c r="B832" s="31"/>
    </row>
    <row r="833">
      <c r="A833" s="31"/>
      <c r="B833" s="31"/>
    </row>
    <row r="834">
      <c r="A834" s="31"/>
      <c r="B834" s="31"/>
    </row>
    <row r="835">
      <c r="A835" s="31"/>
      <c r="B835" s="31"/>
    </row>
    <row r="836">
      <c r="A836" s="31"/>
      <c r="B836" s="31"/>
    </row>
    <row r="837">
      <c r="A837" s="31"/>
      <c r="B837" s="31"/>
    </row>
    <row r="838">
      <c r="A838" s="31"/>
      <c r="B838" s="31"/>
    </row>
    <row r="839">
      <c r="A839" s="31"/>
      <c r="B839" s="31"/>
    </row>
    <row r="840">
      <c r="A840" s="31"/>
      <c r="B840" s="31"/>
    </row>
    <row r="841">
      <c r="A841" s="31"/>
      <c r="B841" s="31"/>
    </row>
    <row r="842">
      <c r="A842" s="31"/>
      <c r="B842" s="31"/>
    </row>
    <row r="843">
      <c r="A843" s="31"/>
      <c r="B843" s="31"/>
    </row>
    <row r="844">
      <c r="A844" s="31"/>
      <c r="B844" s="31"/>
    </row>
    <row r="845">
      <c r="A845" s="31"/>
      <c r="B845" s="31"/>
    </row>
    <row r="846">
      <c r="A846" s="31"/>
      <c r="B846" s="31"/>
    </row>
    <row r="847">
      <c r="A847" s="31"/>
      <c r="B847" s="31"/>
    </row>
    <row r="848">
      <c r="A848" s="31"/>
      <c r="B848" s="31"/>
    </row>
    <row r="849">
      <c r="A849" s="31"/>
      <c r="B849" s="31"/>
    </row>
    <row r="850">
      <c r="A850" s="31"/>
      <c r="B850" s="31"/>
    </row>
    <row r="851">
      <c r="A851" s="31"/>
      <c r="B851" s="31"/>
    </row>
    <row r="852">
      <c r="A852" s="31"/>
      <c r="B852" s="31"/>
    </row>
    <row r="853">
      <c r="A853" s="31"/>
      <c r="B853" s="31"/>
    </row>
    <row r="854">
      <c r="A854" s="31"/>
      <c r="B854" s="31"/>
    </row>
    <row r="855">
      <c r="A855" s="31"/>
      <c r="B855" s="31"/>
    </row>
    <row r="856">
      <c r="A856" s="31"/>
      <c r="B856" s="31"/>
    </row>
    <row r="857">
      <c r="A857" s="31"/>
      <c r="B857" s="31"/>
    </row>
    <row r="858">
      <c r="A858" s="31"/>
      <c r="B858" s="31"/>
    </row>
    <row r="859">
      <c r="A859" s="31"/>
      <c r="B859" s="31"/>
    </row>
    <row r="860">
      <c r="A860" s="31"/>
      <c r="B860" s="31"/>
    </row>
    <row r="861">
      <c r="A861" s="31"/>
      <c r="B861" s="31"/>
    </row>
    <row r="862">
      <c r="A862" s="31"/>
      <c r="B862" s="31"/>
    </row>
    <row r="863">
      <c r="A863" s="31"/>
      <c r="B863" s="31"/>
    </row>
    <row r="864">
      <c r="A864" s="31"/>
      <c r="B864" s="31"/>
    </row>
    <row r="865">
      <c r="A865" s="31"/>
      <c r="B865" s="31"/>
    </row>
    <row r="866">
      <c r="A866" s="31"/>
      <c r="B866" s="31"/>
    </row>
    <row r="867">
      <c r="A867" s="31"/>
      <c r="B867" s="31"/>
    </row>
    <row r="868">
      <c r="A868" s="31"/>
      <c r="B868" s="31"/>
    </row>
    <row r="869">
      <c r="A869" s="31"/>
      <c r="B869" s="31"/>
    </row>
    <row r="870">
      <c r="A870" s="31"/>
      <c r="B870" s="31"/>
    </row>
    <row r="871">
      <c r="A871" s="31"/>
      <c r="B871" s="31"/>
    </row>
    <row r="872">
      <c r="A872" s="31"/>
      <c r="B872" s="31"/>
    </row>
    <row r="873">
      <c r="A873" s="31"/>
      <c r="B873" s="31"/>
    </row>
    <row r="874">
      <c r="A874" s="31"/>
      <c r="B874" s="31"/>
    </row>
    <row r="875">
      <c r="A875" s="31"/>
      <c r="B875" s="31"/>
    </row>
    <row r="876">
      <c r="A876" s="31"/>
      <c r="B876" s="31"/>
    </row>
    <row r="877">
      <c r="A877" s="31"/>
      <c r="B877" s="31"/>
    </row>
    <row r="878">
      <c r="A878" s="31"/>
      <c r="B878" s="31"/>
    </row>
    <row r="879">
      <c r="A879" s="31"/>
      <c r="B879" s="31"/>
    </row>
    <row r="880">
      <c r="A880" s="31"/>
      <c r="B880" s="31"/>
    </row>
    <row r="881">
      <c r="A881" s="31"/>
      <c r="B881" s="31"/>
    </row>
    <row r="882">
      <c r="A882" s="31"/>
      <c r="B882" s="31"/>
    </row>
    <row r="883">
      <c r="A883" s="31"/>
      <c r="B883" s="31"/>
    </row>
    <row r="884">
      <c r="A884" s="31"/>
      <c r="B884" s="31"/>
    </row>
    <row r="885">
      <c r="A885" s="31"/>
      <c r="B885" s="31"/>
    </row>
    <row r="886">
      <c r="A886" s="31"/>
      <c r="B886" s="31"/>
    </row>
    <row r="887">
      <c r="A887" s="31"/>
      <c r="B887" s="31"/>
    </row>
    <row r="888">
      <c r="A888" s="31"/>
      <c r="B888" s="31"/>
    </row>
    <row r="889">
      <c r="A889" s="31"/>
      <c r="B889" s="31"/>
    </row>
    <row r="890">
      <c r="A890" s="31"/>
      <c r="B890" s="31"/>
    </row>
    <row r="891">
      <c r="A891" s="31"/>
      <c r="B891" s="31"/>
    </row>
    <row r="892">
      <c r="A892" s="31"/>
      <c r="B892" s="31"/>
    </row>
    <row r="893">
      <c r="A893" s="31"/>
      <c r="B893" s="31"/>
    </row>
    <row r="894">
      <c r="A894" s="31"/>
      <c r="B894" s="31"/>
    </row>
    <row r="895">
      <c r="A895" s="31"/>
      <c r="B895" s="31"/>
    </row>
    <row r="896">
      <c r="A896" s="31"/>
      <c r="B896" s="31"/>
    </row>
    <row r="897">
      <c r="A897" s="31"/>
      <c r="B897" s="31"/>
    </row>
    <row r="898">
      <c r="A898" s="31"/>
      <c r="B898" s="31"/>
    </row>
    <row r="899">
      <c r="A899" s="31"/>
      <c r="B899" s="31"/>
    </row>
    <row r="900">
      <c r="A900" s="31"/>
      <c r="B900" s="31"/>
    </row>
    <row r="901">
      <c r="A901" s="31"/>
      <c r="B901" s="31"/>
    </row>
    <row r="902">
      <c r="A902" s="31"/>
      <c r="B902" s="31"/>
    </row>
    <row r="903">
      <c r="A903" s="31"/>
      <c r="B903" s="31"/>
    </row>
    <row r="904">
      <c r="A904" s="31"/>
      <c r="B904" s="31"/>
    </row>
    <row r="905">
      <c r="A905" s="31"/>
      <c r="B905" s="31"/>
    </row>
    <row r="906">
      <c r="A906" s="31"/>
      <c r="B906" s="31"/>
    </row>
    <row r="907">
      <c r="A907" s="31"/>
      <c r="B907" s="31"/>
    </row>
    <row r="908">
      <c r="A908" s="31"/>
      <c r="B908" s="31"/>
    </row>
    <row r="909">
      <c r="A909" s="31"/>
      <c r="B909" s="31"/>
    </row>
    <row r="910">
      <c r="A910" s="31"/>
      <c r="B910" s="31"/>
    </row>
    <row r="911">
      <c r="A911" s="31"/>
      <c r="B911" s="31"/>
    </row>
    <row r="912">
      <c r="A912" s="31"/>
      <c r="B912" s="31"/>
    </row>
    <row r="913">
      <c r="A913" s="31"/>
      <c r="B913" s="31"/>
    </row>
    <row r="914">
      <c r="A914" s="31"/>
      <c r="B914" s="31"/>
    </row>
    <row r="915">
      <c r="A915" s="31"/>
      <c r="B915" s="31"/>
    </row>
    <row r="916">
      <c r="A916" s="31"/>
      <c r="B916" s="31"/>
    </row>
    <row r="917">
      <c r="A917" s="31"/>
      <c r="B917" s="31"/>
    </row>
    <row r="918">
      <c r="A918" s="31"/>
      <c r="B918" s="31"/>
    </row>
    <row r="919">
      <c r="A919" s="31"/>
      <c r="B919" s="31"/>
    </row>
    <row r="920">
      <c r="A920" s="31"/>
      <c r="B920" s="31"/>
    </row>
    <row r="921">
      <c r="A921" s="31"/>
      <c r="B921" s="31"/>
    </row>
    <row r="922">
      <c r="A922" s="31"/>
      <c r="B922" s="31"/>
    </row>
    <row r="923">
      <c r="A923" s="31"/>
      <c r="B923" s="31"/>
    </row>
    <row r="924">
      <c r="A924" s="31"/>
      <c r="B924" s="31"/>
    </row>
    <row r="925">
      <c r="A925" s="31"/>
      <c r="B925" s="31"/>
    </row>
    <row r="926">
      <c r="A926" s="31"/>
      <c r="B926" s="31"/>
    </row>
    <row r="927">
      <c r="A927" s="31"/>
      <c r="B927" s="31"/>
    </row>
    <row r="928">
      <c r="A928" s="31"/>
      <c r="B928" s="31"/>
    </row>
    <row r="929">
      <c r="A929" s="31"/>
      <c r="B929" s="31"/>
    </row>
    <row r="930">
      <c r="A930" s="31"/>
      <c r="B930" s="31"/>
    </row>
    <row r="931">
      <c r="A931" s="31"/>
      <c r="B931" s="31"/>
    </row>
    <row r="932">
      <c r="A932" s="31"/>
      <c r="B932" s="31"/>
    </row>
    <row r="933">
      <c r="A933" s="31"/>
      <c r="B933" s="31"/>
    </row>
    <row r="934">
      <c r="A934" s="31"/>
      <c r="B934" s="31"/>
    </row>
    <row r="935">
      <c r="A935" s="31"/>
      <c r="B935" s="31"/>
    </row>
    <row r="936">
      <c r="A936" s="31"/>
      <c r="B936" s="31"/>
    </row>
    <row r="937">
      <c r="A937" s="31"/>
      <c r="B937" s="31"/>
    </row>
    <row r="938">
      <c r="A938" s="31"/>
      <c r="B938" s="31"/>
    </row>
    <row r="939">
      <c r="A939" s="31"/>
      <c r="B939" s="31"/>
    </row>
    <row r="940">
      <c r="A940" s="31"/>
      <c r="B940" s="31"/>
    </row>
    <row r="941">
      <c r="A941" s="31"/>
      <c r="B941" s="31"/>
    </row>
    <row r="942">
      <c r="A942" s="31"/>
      <c r="B942" s="31"/>
    </row>
    <row r="943">
      <c r="A943" s="31"/>
      <c r="B943" s="31"/>
    </row>
    <row r="944">
      <c r="A944" s="31"/>
      <c r="B944" s="31"/>
    </row>
    <row r="945">
      <c r="A945" s="31"/>
      <c r="B945" s="31"/>
    </row>
    <row r="946">
      <c r="A946" s="31"/>
      <c r="B946" s="31"/>
    </row>
    <row r="947">
      <c r="A947" s="31"/>
      <c r="B947" s="31"/>
    </row>
    <row r="948">
      <c r="A948" s="31"/>
      <c r="B948" s="31"/>
    </row>
    <row r="949">
      <c r="A949" s="31"/>
      <c r="B949" s="31"/>
    </row>
    <row r="950">
      <c r="A950" s="31"/>
      <c r="B950" s="31"/>
    </row>
    <row r="951">
      <c r="A951" s="31"/>
      <c r="B951" s="31"/>
    </row>
    <row r="952">
      <c r="A952" s="31"/>
      <c r="B952" s="31"/>
    </row>
    <row r="953">
      <c r="A953" s="31"/>
      <c r="B953" s="31"/>
    </row>
    <row r="954">
      <c r="A954" s="31"/>
      <c r="B954" s="31"/>
    </row>
    <row r="955">
      <c r="A955" s="31"/>
      <c r="B955" s="31"/>
    </row>
    <row r="956">
      <c r="A956" s="31"/>
      <c r="B956" s="31"/>
    </row>
    <row r="957">
      <c r="A957" s="31"/>
      <c r="B957" s="31"/>
    </row>
    <row r="958">
      <c r="A958" s="31"/>
      <c r="B958" s="31"/>
    </row>
    <row r="959">
      <c r="A959" s="31"/>
      <c r="B959" s="31"/>
    </row>
    <row r="960">
      <c r="A960" s="31"/>
      <c r="B960" s="31"/>
    </row>
    <row r="961">
      <c r="A961" s="31"/>
      <c r="B961" s="31"/>
    </row>
    <row r="962">
      <c r="A962" s="31"/>
      <c r="B962" s="31"/>
    </row>
    <row r="963">
      <c r="A963" s="31"/>
      <c r="B963" s="31"/>
    </row>
    <row r="964">
      <c r="A964" s="31"/>
      <c r="B964" s="31"/>
    </row>
    <row r="965">
      <c r="A965" s="31"/>
      <c r="B965" s="31"/>
    </row>
    <row r="966">
      <c r="A966" s="31"/>
      <c r="B966" s="31"/>
    </row>
    <row r="967">
      <c r="A967" s="31"/>
      <c r="B967" s="31"/>
    </row>
    <row r="968">
      <c r="A968" s="31"/>
      <c r="B968" s="31"/>
    </row>
    <row r="969">
      <c r="A969" s="31"/>
      <c r="B969" s="31"/>
    </row>
    <row r="970">
      <c r="A970" s="31"/>
      <c r="B970" s="31"/>
    </row>
    <row r="971">
      <c r="A971" s="31"/>
      <c r="B971" s="31"/>
    </row>
    <row r="972">
      <c r="A972" s="31"/>
      <c r="B972" s="31"/>
    </row>
    <row r="973">
      <c r="A973" s="31"/>
      <c r="B973" s="31"/>
    </row>
    <row r="974">
      <c r="A974" s="31"/>
      <c r="B974" s="31"/>
    </row>
    <row r="975">
      <c r="A975" s="31"/>
      <c r="B975" s="31"/>
    </row>
    <row r="976">
      <c r="A976" s="31"/>
      <c r="B976" s="31"/>
    </row>
    <row r="977">
      <c r="A977" s="31"/>
      <c r="B977" s="31"/>
    </row>
    <row r="978">
      <c r="A978" s="31"/>
      <c r="B978" s="31"/>
    </row>
    <row r="979">
      <c r="A979" s="31"/>
      <c r="B979" s="31"/>
    </row>
    <row r="980">
      <c r="A980" s="31"/>
      <c r="B980" s="31"/>
    </row>
    <row r="981">
      <c r="A981" s="31"/>
      <c r="B981" s="31"/>
    </row>
    <row r="982">
      <c r="A982" s="31"/>
      <c r="B982" s="31"/>
    </row>
    <row r="983">
      <c r="A983" s="31"/>
      <c r="B983" s="31"/>
    </row>
    <row r="984">
      <c r="A984" s="31"/>
      <c r="B984" s="31"/>
    </row>
    <row r="985">
      <c r="A985" s="31"/>
      <c r="B985" s="31"/>
    </row>
    <row r="986">
      <c r="A986" s="31"/>
      <c r="B986" s="31"/>
    </row>
    <row r="987">
      <c r="A987" s="31"/>
      <c r="B987" s="31"/>
    </row>
    <row r="988">
      <c r="A988" s="31"/>
      <c r="B988" s="31"/>
    </row>
    <row r="989">
      <c r="A989" s="31"/>
      <c r="B989" s="31"/>
    </row>
    <row r="990">
      <c r="A990" s="31"/>
      <c r="B990" s="31"/>
    </row>
    <row r="991">
      <c r="A991" s="31"/>
      <c r="B991" s="31"/>
    </row>
    <row r="992">
      <c r="A992" s="31"/>
      <c r="B992" s="31"/>
    </row>
    <row r="993">
      <c r="A993" s="31"/>
      <c r="B993" s="31"/>
    </row>
    <row r="994">
      <c r="A994" s="31"/>
      <c r="B994" s="31"/>
    </row>
    <row r="995">
      <c r="A995" s="31"/>
      <c r="B995" s="31"/>
    </row>
    <row r="996">
      <c r="A996" s="31"/>
      <c r="B996" s="31"/>
    </row>
    <row r="997">
      <c r="A997" s="31"/>
      <c r="B997" s="31"/>
    </row>
    <row r="998">
      <c r="A998" s="31"/>
      <c r="B998" s="31"/>
    </row>
    <row r="999">
      <c r="A999" s="31"/>
      <c r="B999" s="3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13"/>
  </cols>
  <sheetData>
    <row r="1">
      <c r="A1" s="12" t="s">
        <v>299</v>
      </c>
      <c r="B1" s="187" t="s">
        <v>695</v>
      </c>
      <c r="C1" s="12" t="s">
        <v>868</v>
      </c>
    </row>
    <row r="2">
      <c r="A2" s="12">
        <v>7.0</v>
      </c>
      <c r="B2" s="187" t="s">
        <v>869</v>
      </c>
      <c r="C2" s="12" t="s">
        <v>870</v>
      </c>
    </row>
    <row r="3">
      <c r="A3" s="12">
        <v>7.0</v>
      </c>
      <c r="B3" s="187" t="s">
        <v>871</v>
      </c>
      <c r="C3" s="12" t="s">
        <v>872</v>
      </c>
    </row>
    <row r="4">
      <c r="A4" s="12">
        <v>7.0</v>
      </c>
      <c r="B4" s="187" t="s">
        <v>873</v>
      </c>
      <c r="C4" s="12" t="s">
        <v>874</v>
      </c>
    </row>
    <row r="5">
      <c r="A5" s="12">
        <v>7.0</v>
      </c>
      <c r="B5" s="187" t="s">
        <v>875</v>
      </c>
      <c r="C5" s="12" t="s">
        <v>876</v>
      </c>
    </row>
    <row r="6">
      <c r="A6" s="12">
        <v>7.0</v>
      </c>
      <c r="B6" s="187" t="s">
        <v>877</v>
      </c>
      <c r="C6" s="12" t="s">
        <v>878</v>
      </c>
    </row>
    <row r="7">
      <c r="A7" s="12">
        <v>7.0</v>
      </c>
      <c r="B7" s="187" t="s">
        <v>879</v>
      </c>
      <c r="C7" s="12" t="s">
        <v>880</v>
      </c>
    </row>
    <row r="8">
      <c r="A8" s="12">
        <v>7.0</v>
      </c>
      <c r="B8" s="187" t="s">
        <v>881</v>
      </c>
      <c r="C8" s="12" t="s">
        <v>882</v>
      </c>
    </row>
    <row r="9">
      <c r="A9" s="12">
        <v>7.0</v>
      </c>
      <c r="B9" s="187" t="s">
        <v>883</v>
      </c>
      <c r="C9" s="12" t="s">
        <v>884</v>
      </c>
    </row>
    <row r="10">
      <c r="A10" s="12">
        <v>7.0</v>
      </c>
      <c r="B10" s="187" t="s">
        <v>885</v>
      </c>
      <c r="C10" s="12" t="s">
        <v>886</v>
      </c>
    </row>
    <row r="11">
      <c r="A11" s="12">
        <v>7.0</v>
      </c>
      <c r="B11" s="187" t="s">
        <v>887</v>
      </c>
      <c r="C11" s="12" t="s">
        <v>888</v>
      </c>
    </row>
    <row r="12">
      <c r="A12" s="12">
        <v>7.0</v>
      </c>
      <c r="B12" s="187" t="s">
        <v>889</v>
      </c>
      <c r="C12" s="12" t="s">
        <v>890</v>
      </c>
    </row>
    <row r="13">
      <c r="A13" s="12">
        <v>8.0</v>
      </c>
      <c r="B13" s="187" t="s">
        <v>891</v>
      </c>
      <c r="C13" s="12" t="s">
        <v>892</v>
      </c>
    </row>
    <row r="14">
      <c r="A14" s="12">
        <v>8.0</v>
      </c>
      <c r="B14" s="187" t="s">
        <v>893</v>
      </c>
      <c r="C14" s="12" t="s">
        <v>894</v>
      </c>
    </row>
    <row r="15">
      <c r="A15" s="12">
        <v>8.0</v>
      </c>
      <c r="B15" s="187" t="s">
        <v>895</v>
      </c>
      <c r="C15" s="12" t="s">
        <v>896</v>
      </c>
    </row>
    <row r="16">
      <c r="A16" s="12">
        <v>8.0</v>
      </c>
      <c r="B16" s="187" t="s">
        <v>897</v>
      </c>
      <c r="C16" s="12" t="s">
        <v>898</v>
      </c>
    </row>
    <row r="17">
      <c r="A17" s="12">
        <v>8.0</v>
      </c>
      <c r="B17" s="187" t="s">
        <v>899</v>
      </c>
      <c r="C17" s="12" t="s">
        <v>900</v>
      </c>
    </row>
    <row r="18">
      <c r="A18" s="12">
        <v>8.0</v>
      </c>
      <c r="B18" s="187" t="s">
        <v>901</v>
      </c>
      <c r="C18" s="12" t="s">
        <v>902</v>
      </c>
    </row>
    <row r="19">
      <c r="A19" s="12">
        <v>8.0</v>
      </c>
      <c r="B19" s="187" t="s">
        <v>903</v>
      </c>
      <c r="C19" s="12" t="s">
        <v>904</v>
      </c>
    </row>
    <row r="20">
      <c r="A20" s="12">
        <v>8.0</v>
      </c>
      <c r="B20" s="187" t="s">
        <v>905</v>
      </c>
      <c r="C20" s="12" t="s">
        <v>906</v>
      </c>
    </row>
    <row r="21">
      <c r="A21" s="12">
        <v>8.0</v>
      </c>
      <c r="B21" s="187" t="s">
        <v>907</v>
      </c>
      <c r="C21" s="12" t="s">
        <v>908</v>
      </c>
    </row>
    <row r="22">
      <c r="A22" s="12">
        <v>8.0</v>
      </c>
      <c r="B22" s="187" t="s">
        <v>909</v>
      </c>
      <c r="C22" s="12" t="s">
        <v>910</v>
      </c>
    </row>
    <row r="23">
      <c r="A23" s="12">
        <v>8.0</v>
      </c>
      <c r="B23" s="187" t="s">
        <v>911</v>
      </c>
      <c r="C23" s="12" t="s">
        <v>912</v>
      </c>
    </row>
    <row r="24">
      <c r="A24" s="12">
        <v>6.0</v>
      </c>
      <c r="B24" s="187" t="s">
        <v>913</v>
      </c>
      <c r="C24" s="12" t="s">
        <v>914</v>
      </c>
    </row>
    <row r="25">
      <c r="A25" s="12">
        <v>6.0</v>
      </c>
      <c r="B25" s="187" t="s">
        <v>915</v>
      </c>
      <c r="C25" s="12" t="s">
        <v>916</v>
      </c>
    </row>
    <row r="26">
      <c r="A26" s="12">
        <v>6.0</v>
      </c>
      <c r="B26" s="187" t="s">
        <v>917</v>
      </c>
      <c r="C26" s="12" t="s">
        <v>918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2" t="str">
        <f>IFERROR(__xludf.DUMMYFUNCTION("sort(unique(filter(Schedule!L3:L35,Schedule!L3:L35&lt;&gt;"""")))"),"Adriana RamIrez")</f>
        <v>Adriana RamIrez</v>
      </c>
      <c r="B1" s="165">
        <f t="array" ref="B1:B35">if(A:A="","",match(A:A,'Teachers sched'!C:C,0))</f>
        <v>2</v>
      </c>
    </row>
    <row r="2">
      <c r="A2" t="str">
        <f>IFERROR(__xludf.DUMMYFUNCTION("""COMPUTED_VALUE"""),"Ana MarIa Rincon")</f>
        <v>Ana MarIa Rincon</v>
      </c>
      <c r="B2" s="165">
        <v>10.0</v>
      </c>
    </row>
    <row r="3">
      <c r="A3" t="str">
        <f>IFERROR(__xludf.DUMMYFUNCTION("""COMPUTED_VALUE"""),"Andrea Gil")</f>
        <v>Andrea Gil</v>
      </c>
      <c r="B3" s="165">
        <v>18.0</v>
      </c>
    </row>
    <row r="4">
      <c r="A4" t="str">
        <f>IFERROR(__xludf.DUMMYFUNCTION("""COMPUTED_VALUE"""),"Ben Light")</f>
        <v>Ben Light</v>
      </c>
      <c r="B4" s="165">
        <v>26.0</v>
      </c>
    </row>
    <row r="5">
      <c r="A5" t="str">
        <f>IFERROR(__xludf.DUMMYFUNCTION("""COMPUTED_VALUE"""),"Brandon Berry")</f>
        <v>Brandon Berry</v>
      </c>
      <c r="B5" s="165">
        <v>34.0</v>
      </c>
    </row>
    <row r="6">
      <c r="A6" t="str">
        <f>IFERROR(__xludf.DUMMYFUNCTION("""COMPUTED_VALUE"""),"Chris Matthews")</f>
        <v>Chris Matthews</v>
      </c>
      <c r="B6" s="165">
        <v>42.0</v>
      </c>
    </row>
    <row r="7">
      <c r="A7" t="str">
        <f>IFERROR(__xludf.DUMMYFUNCTION("""COMPUTED_VALUE"""),"Dioger")</f>
        <v>Dioger</v>
      </c>
      <c r="B7" s="165">
        <v>50.0</v>
      </c>
    </row>
    <row r="8">
      <c r="A8" t="str">
        <f>IFERROR(__xludf.DUMMYFUNCTION("""COMPUTED_VALUE"""),"Geraldin Salazar")</f>
        <v>Geraldin Salazar</v>
      </c>
      <c r="B8" s="165">
        <v>58.0</v>
      </c>
    </row>
    <row r="9">
      <c r="A9" t="str">
        <f>IFERROR(__xludf.DUMMYFUNCTION("""COMPUTED_VALUE"""),"Giovany")</f>
        <v>Giovany</v>
      </c>
      <c r="B9" s="165">
        <v>66.0</v>
      </c>
    </row>
    <row r="10">
      <c r="A10" t="str">
        <f>IFERROR(__xludf.DUMMYFUNCTION("""COMPUTED_VALUE"""),"John Jensen")</f>
        <v>John Jensen</v>
      </c>
      <c r="B10" s="165">
        <v>74.0</v>
      </c>
    </row>
    <row r="11">
      <c r="A11" t="str">
        <f>IFERROR(__xludf.DUMMYFUNCTION("""COMPUTED_VALUE"""),"Jordi Tur tur")</f>
        <v>Jordi Tur tur</v>
      </c>
      <c r="B11" s="165">
        <v>82.0</v>
      </c>
    </row>
    <row r="12">
      <c r="A12" t="str">
        <f>IFERROR(__xludf.DUMMYFUNCTION("""COMPUTED_VALUE"""),"Joshua Vissers")</f>
        <v>Joshua Vissers</v>
      </c>
      <c r="B12" s="165">
        <v>90.0</v>
      </c>
    </row>
    <row r="13">
      <c r="A13" t="str">
        <f>IFERROR(__xludf.DUMMYFUNCTION("""COMPUTED_VALUE"""),"Juan Pablo")</f>
        <v>Juan Pablo</v>
      </c>
      <c r="B13" s="165">
        <v>98.0</v>
      </c>
    </row>
    <row r="14">
      <c r="A14" t="str">
        <f>IFERROR(__xludf.DUMMYFUNCTION("""COMPUTED_VALUE"""),"Luisa")</f>
        <v>Luisa</v>
      </c>
      <c r="B14" s="165">
        <v>106.0</v>
      </c>
    </row>
    <row r="15">
      <c r="A15" t="str">
        <f>IFERROR(__xludf.DUMMYFUNCTION("""COMPUTED_VALUE"""),"Manuela Castaño")</f>
        <v>Manuela Castaño</v>
      </c>
      <c r="B15" s="165">
        <v>114.0</v>
      </c>
    </row>
    <row r="16">
      <c r="A16" t="str">
        <f>IFERROR(__xludf.DUMMYFUNCTION("""COMPUTED_VALUE"""),"Mateo")</f>
        <v>Mateo</v>
      </c>
      <c r="B16" s="165">
        <v>122.0</v>
      </c>
    </row>
    <row r="17">
      <c r="A17" t="str">
        <f>IFERROR(__xludf.DUMMYFUNCTION("""COMPUTED_VALUE"""),"Maxine McKinnon")</f>
        <v>Maxine McKinnon</v>
      </c>
      <c r="B17" s="165">
        <v>130.0</v>
      </c>
    </row>
    <row r="18">
      <c r="A18" t="str">
        <f>IFERROR(__xludf.DUMMYFUNCTION("""COMPUTED_VALUE"""),"Michael Landecker ")</f>
        <v>Michael Landecker </v>
      </c>
      <c r="B18" s="165">
        <v>138.0</v>
      </c>
    </row>
    <row r="19">
      <c r="A19" t="str">
        <f>IFERROR(__xludf.DUMMYFUNCTION("""COMPUTED_VALUE"""),"Michael Ramires")</f>
        <v>Michael Ramires</v>
      </c>
      <c r="B19" s="165">
        <v>146.0</v>
      </c>
    </row>
    <row r="20">
      <c r="A20" t="str">
        <f>IFERROR(__xludf.DUMMYFUNCTION("""COMPUTED_VALUE"""),"Miguel Muñoz Ruiz")</f>
        <v>Miguel Muñoz Ruiz</v>
      </c>
      <c r="B20" s="165">
        <v>154.0</v>
      </c>
    </row>
    <row r="21">
      <c r="A21" t="str">
        <f>IFERROR(__xludf.DUMMYFUNCTION("""COMPUTED_VALUE"""),"Nando")</f>
        <v>Nando</v>
      </c>
      <c r="B21" s="165">
        <v>162.0</v>
      </c>
    </row>
    <row r="22">
      <c r="A22" t="str">
        <f>IFERROR(__xludf.DUMMYFUNCTION("""COMPUTED_VALUE"""),"Nasli Vargas")</f>
        <v>Nasli Vargas</v>
      </c>
      <c r="B22" s="165">
        <v>170.0</v>
      </c>
    </row>
    <row r="23">
      <c r="A23" t="str">
        <f>IFERROR(__xludf.DUMMYFUNCTION("""COMPUTED_VALUE"""),"Rachel McGarghan")</f>
        <v>Rachel McGarghan</v>
      </c>
      <c r="B23" s="165">
        <v>178.0</v>
      </c>
    </row>
    <row r="24">
      <c r="A24" t="str">
        <f>IFERROR(__xludf.DUMMYFUNCTION("""COMPUTED_VALUE"""),"Sara DeAses")</f>
        <v>Sara DeAses</v>
      </c>
      <c r="B24" s="165">
        <v>186.0</v>
      </c>
    </row>
    <row r="25">
      <c r="A25" t="str">
        <f>IFERROR(__xludf.DUMMYFUNCTION("""COMPUTED_VALUE"""),"Sebastian Guerra Cifuentes")</f>
        <v>Sebastian Guerra Cifuentes</v>
      </c>
      <c r="B25" s="165">
        <v>194.0</v>
      </c>
    </row>
    <row r="26">
      <c r="A26" t="str">
        <f>IFERROR(__xludf.DUMMYFUNCTION("""COMPUTED_VALUE"""),"Shaila Raen Nicholson")</f>
        <v>Shaila Raen Nicholson</v>
      </c>
      <c r="B26" s="165">
        <v>202.0</v>
      </c>
    </row>
    <row r="27">
      <c r="A27" t="str">
        <f>IFERROR(__xludf.DUMMYFUNCTION("""COMPUTED_VALUE"""),"Taylor Nielson")</f>
        <v>Taylor Nielson</v>
      </c>
      <c r="B27" s="165">
        <v>210.0</v>
      </c>
    </row>
    <row r="28">
      <c r="A28" t="str">
        <f>IFERROR(__xludf.DUMMYFUNCTION("""COMPUTED_VALUE"""),"Vicente Miralles")</f>
        <v>Vicente Miralles</v>
      </c>
      <c r="B28" s="165">
        <v>218.0</v>
      </c>
    </row>
    <row r="29">
      <c r="A29" t="str">
        <f>IFERROR(__xludf.DUMMYFUNCTION("""COMPUTED_VALUE"""),"Viviana")</f>
        <v>Viviana</v>
      </c>
      <c r="B29" s="165">
        <v>226.0</v>
      </c>
    </row>
    <row r="30">
      <c r="A30" t="str">
        <f>IFERROR(__xludf.DUMMYFUNCTION("""COMPUTED_VALUE"""),"William Duque")</f>
        <v>William Duque</v>
      </c>
      <c r="B30" s="165">
        <v>234.0</v>
      </c>
    </row>
    <row r="31">
      <c r="B31" s="165" t="s">
        <v>8</v>
      </c>
    </row>
    <row r="32">
      <c r="B32" s="165" t="s">
        <v>8</v>
      </c>
    </row>
    <row r="33">
      <c r="B33" s="165" t="s">
        <v>8</v>
      </c>
    </row>
    <row r="34">
      <c r="B34" s="165" t="s">
        <v>8</v>
      </c>
    </row>
    <row r="35">
      <c r="B35" s="165" t="s">
        <v>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0"/>
  </cols>
  <sheetData>
    <row r="1">
      <c r="A1" s="188" t="s">
        <v>299</v>
      </c>
      <c r="B1" s="188" t="s">
        <v>919</v>
      </c>
      <c r="C1" s="188" t="s">
        <v>696</v>
      </c>
      <c r="D1" s="189"/>
      <c r="E1" s="189"/>
      <c r="F1" s="189"/>
      <c r="G1" s="189"/>
      <c r="H1" s="189"/>
      <c r="I1" s="189"/>
      <c r="J1" s="189"/>
      <c r="K1" s="189"/>
      <c r="L1" s="189"/>
      <c r="M1" s="189"/>
      <c r="N1" s="189"/>
      <c r="O1" s="189"/>
      <c r="P1" s="189"/>
      <c r="Q1" s="189"/>
      <c r="R1" s="189"/>
      <c r="S1" s="189"/>
      <c r="T1" s="189"/>
      <c r="U1" s="189"/>
      <c r="V1" s="189"/>
      <c r="W1" s="189"/>
    </row>
    <row r="2">
      <c r="A2" s="190">
        <v>8.0</v>
      </c>
      <c r="B2" s="191">
        <v>23038.0</v>
      </c>
      <c r="C2" s="191" t="s">
        <v>920</v>
      </c>
      <c r="D2" s="189"/>
      <c r="E2" s="189"/>
      <c r="F2" s="189"/>
      <c r="G2" s="189"/>
      <c r="H2" s="189"/>
      <c r="I2" s="189"/>
      <c r="J2" s="189"/>
      <c r="K2" s="189"/>
      <c r="L2" s="189"/>
      <c r="M2" s="189"/>
      <c r="N2" s="189"/>
      <c r="O2" s="189"/>
      <c r="P2" s="189"/>
      <c r="Q2" s="189"/>
      <c r="R2" s="189"/>
      <c r="S2" s="189"/>
      <c r="T2" s="189"/>
      <c r="U2" s="189"/>
      <c r="V2" s="189"/>
      <c r="W2" s="189"/>
    </row>
    <row r="3">
      <c r="A3" s="192">
        <v>8.0</v>
      </c>
      <c r="B3" s="191">
        <v>23039.0</v>
      </c>
      <c r="C3" s="191" t="s">
        <v>921</v>
      </c>
      <c r="D3" s="189"/>
      <c r="E3" s="189"/>
      <c r="F3" s="189"/>
      <c r="G3" s="189"/>
      <c r="H3" s="189"/>
      <c r="I3" s="189"/>
      <c r="J3" s="189"/>
      <c r="K3" s="189"/>
      <c r="L3" s="189"/>
      <c r="M3" s="189"/>
      <c r="N3" s="189"/>
      <c r="O3" s="189"/>
      <c r="P3" s="189"/>
      <c r="Q3" s="189"/>
      <c r="R3" s="189"/>
      <c r="S3" s="189"/>
      <c r="T3" s="189"/>
      <c r="U3" s="189"/>
      <c r="V3" s="189"/>
      <c r="W3" s="189"/>
    </row>
    <row r="4">
      <c r="A4" s="192">
        <v>8.0</v>
      </c>
      <c r="B4" s="191">
        <v>23040.0</v>
      </c>
      <c r="C4" s="191" t="s">
        <v>922</v>
      </c>
      <c r="D4" s="189"/>
      <c r="E4" s="189"/>
      <c r="F4" s="189"/>
      <c r="G4" s="189"/>
      <c r="H4" s="189"/>
      <c r="I4" s="189"/>
      <c r="J4" s="189"/>
      <c r="K4" s="189"/>
      <c r="L4" s="189"/>
      <c r="M4" s="189"/>
      <c r="N4" s="189"/>
      <c r="O4" s="189"/>
      <c r="P4" s="189"/>
      <c r="Q4" s="189"/>
      <c r="R4" s="189"/>
      <c r="S4" s="189"/>
      <c r="T4" s="189"/>
      <c r="U4" s="189"/>
      <c r="V4" s="189"/>
      <c r="W4" s="189"/>
    </row>
    <row r="5">
      <c r="A5" s="192">
        <v>8.0</v>
      </c>
      <c r="B5" s="191">
        <v>23041.0</v>
      </c>
      <c r="C5" s="191" t="s">
        <v>923</v>
      </c>
      <c r="D5" s="189"/>
      <c r="E5" s="189"/>
      <c r="F5" s="189"/>
      <c r="G5" s="189"/>
      <c r="H5" s="189"/>
      <c r="I5" s="189"/>
      <c r="J5" s="189"/>
      <c r="K5" s="189"/>
      <c r="L5" s="189"/>
      <c r="M5" s="189"/>
      <c r="N5" s="189"/>
      <c r="O5" s="189"/>
      <c r="P5" s="189"/>
      <c r="Q5" s="189"/>
      <c r="R5" s="189"/>
      <c r="S5" s="189"/>
      <c r="T5" s="189"/>
      <c r="U5" s="189"/>
      <c r="V5" s="189"/>
      <c r="W5" s="189"/>
    </row>
    <row r="6">
      <c r="A6" s="192">
        <v>8.0</v>
      </c>
      <c r="B6" s="191">
        <v>23105.0</v>
      </c>
      <c r="C6" s="191" t="s">
        <v>924</v>
      </c>
      <c r="D6" s="189"/>
      <c r="E6" s="189"/>
      <c r="F6" s="189"/>
      <c r="G6" s="189"/>
      <c r="H6" s="189"/>
      <c r="I6" s="189"/>
      <c r="J6" s="189"/>
      <c r="K6" s="189"/>
      <c r="L6" s="189"/>
      <c r="M6" s="189"/>
      <c r="N6" s="189"/>
      <c r="O6" s="189"/>
      <c r="P6" s="189"/>
      <c r="Q6" s="189"/>
      <c r="R6" s="189"/>
      <c r="S6" s="189"/>
      <c r="T6" s="189"/>
      <c r="U6" s="189"/>
      <c r="V6" s="189"/>
      <c r="W6" s="189"/>
    </row>
    <row r="7">
      <c r="A7" s="192">
        <v>8.0</v>
      </c>
      <c r="B7" s="191">
        <v>22124.0</v>
      </c>
      <c r="C7" s="191" t="s">
        <v>925</v>
      </c>
      <c r="D7" s="189"/>
      <c r="E7" s="189"/>
      <c r="F7" s="189"/>
      <c r="G7" s="189"/>
      <c r="H7" s="189"/>
      <c r="I7" s="189"/>
      <c r="J7" s="189"/>
      <c r="K7" s="189"/>
      <c r="L7" s="189"/>
      <c r="M7" s="189"/>
      <c r="N7" s="189"/>
      <c r="O7" s="189"/>
      <c r="P7" s="189"/>
      <c r="Q7" s="189"/>
      <c r="R7" s="189"/>
      <c r="S7" s="189"/>
      <c r="T7" s="189"/>
      <c r="U7" s="189"/>
      <c r="V7" s="189"/>
      <c r="W7" s="189"/>
    </row>
    <row r="8">
      <c r="A8" s="192">
        <v>8.0</v>
      </c>
      <c r="B8" s="191">
        <v>23042.0</v>
      </c>
      <c r="C8" s="191" t="s">
        <v>926</v>
      </c>
      <c r="D8" s="189"/>
      <c r="E8" s="189"/>
      <c r="F8" s="189"/>
      <c r="G8" s="189"/>
      <c r="H8" s="189"/>
      <c r="I8" s="189"/>
      <c r="J8" s="189"/>
      <c r="K8" s="189"/>
      <c r="L8" s="189"/>
      <c r="M8" s="189"/>
      <c r="N8" s="189"/>
      <c r="O8" s="189"/>
      <c r="P8" s="189"/>
      <c r="Q8" s="189"/>
      <c r="R8" s="189"/>
      <c r="S8" s="189"/>
      <c r="T8" s="189"/>
      <c r="U8" s="189"/>
      <c r="V8" s="189"/>
      <c r="W8" s="189"/>
    </row>
    <row r="9">
      <c r="A9" s="192">
        <v>8.0</v>
      </c>
      <c r="B9" s="191">
        <v>23043.0</v>
      </c>
      <c r="C9" s="191" t="s">
        <v>927</v>
      </c>
      <c r="D9" s="189"/>
      <c r="E9" s="189"/>
      <c r="F9" s="189"/>
      <c r="G9" s="189"/>
      <c r="H9" s="189"/>
      <c r="I9" s="189"/>
      <c r="J9" s="189"/>
      <c r="K9" s="189"/>
      <c r="L9" s="189"/>
      <c r="M9" s="189"/>
      <c r="N9" s="189"/>
      <c r="O9" s="189"/>
      <c r="P9" s="189"/>
      <c r="Q9" s="189"/>
      <c r="R9" s="189"/>
      <c r="S9" s="189"/>
      <c r="T9" s="189"/>
      <c r="U9" s="189"/>
      <c r="V9" s="189"/>
      <c r="W9" s="189"/>
    </row>
    <row r="10">
      <c r="A10" s="192">
        <v>8.0</v>
      </c>
      <c r="B10" s="191">
        <v>23125.0</v>
      </c>
      <c r="C10" s="191" t="s">
        <v>928</v>
      </c>
      <c r="D10" s="189"/>
      <c r="E10" s="189"/>
      <c r="F10" s="189"/>
      <c r="G10" s="189"/>
      <c r="H10" s="189"/>
      <c r="I10" s="189"/>
      <c r="J10" s="189"/>
      <c r="K10" s="189"/>
      <c r="L10" s="189"/>
      <c r="M10" s="189"/>
      <c r="N10" s="189"/>
      <c r="O10" s="189"/>
      <c r="P10" s="189"/>
      <c r="Q10" s="189"/>
      <c r="R10" s="189"/>
      <c r="S10" s="189"/>
      <c r="T10" s="189"/>
      <c r="U10" s="189"/>
      <c r="V10" s="189"/>
      <c r="W10" s="189"/>
    </row>
    <row r="11">
      <c r="A11" s="192">
        <v>8.0</v>
      </c>
      <c r="B11" s="191">
        <v>23044.0</v>
      </c>
      <c r="C11" s="191" t="s">
        <v>929</v>
      </c>
      <c r="D11" s="189"/>
      <c r="E11" s="189"/>
      <c r="F11" s="189"/>
      <c r="G11" s="189"/>
      <c r="H11" s="189"/>
      <c r="I11" s="189"/>
      <c r="J11" s="189"/>
      <c r="K11" s="189"/>
      <c r="L11" s="189"/>
      <c r="M11" s="189"/>
      <c r="N11" s="189"/>
      <c r="O11" s="189"/>
      <c r="P11" s="189"/>
      <c r="Q11" s="189"/>
      <c r="R11" s="189"/>
      <c r="S11" s="189"/>
      <c r="T11" s="189"/>
      <c r="U11" s="189"/>
      <c r="V11" s="189"/>
      <c r="W11" s="189"/>
    </row>
    <row r="12">
      <c r="A12" s="192">
        <v>8.0</v>
      </c>
      <c r="B12" s="191">
        <v>23121.0</v>
      </c>
      <c r="C12" s="191" t="s">
        <v>930</v>
      </c>
      <c r="D12" s="189"/>
      <c r="E12" s="189"/>
      <c r="F12" s="189"/>
      <c r="G12" s="189"/>
      <c r="H12" s="189"/>
      <c r="I12" s="189"/>
      <c r="J12" s="189"/>
      <c r="K12" s="189"/>
      <c r="L12" s="189"/>
      <c r="M12" s="189"/>
      <c r="N12" s="189"/>
      <c r="O12" s="189"/>
      <c r="P12" s="189"/>
      <c r="Q12" s="189"/>
      <c r="R12" s="189"/>
      <c r="S12" s="189"/>
      <c r="T12" s="189"/>
      <c r="U12" s="189"/>
      <c r="V12" s="189"/>
      <c r="W12" s="189"/>
    </row>
    <row r="13">
      <c r="A13" s="192">
        <v>8.0</v>
      </c>
      <c r="B13" s="191">
        <v>23045.0</v>
      </c>
      <c r="C13" s="191" t="s">
        <v>931</v>
      </c>
      <c r="D13" s="189"/>
      <c r="E13" s="189"/>
      <c r="F13" s="189"/>
      <c r="G13" s="189"/>
      <c r="H13" s="189"/>
      <c r="I13" s="189"/>
      <c r="J13" s="189"/>
      <c r="K13" s="189"/>
      <c r="L13" s="189"/>
      <c r="M13" s="189"/>
      <c r="N13" s="189"/>
      <c r="O13" s="189"/>
      <c r="P13" s="189"/>
      <c r="Q13" s="189"/>
      <c r="R13" s="189"/>
      <c r="S13" s="189"/>
      <c r="T13" s="189"/>
      <c r="U13" s="189"/>
      <c r="V13" s="189"/>
      <c r="W13" s="189"/>
    </row>
    <row r="14">
      <c r="A14" s="192">
        <v>8.0</v>
      </c>
      <c r="B14" s="191">
        <v>23046.0</v>
      </c>
      <c r="C14" s="191" t="s">
        <v>932</v>
      </c>
      <c r="D14" s="189"/>
      <c r="E14" s="189"/>
      <c r="F14" s="189"/>
      <c r="G14" s="189"/>
      <c r="H14" s="189"/>
      <c r="I14" s="189"/>
      <c r="J14" s="189"/>
      <c r="K14" s="189"/>
      <c r="L14" s="189"/>
      <c r="M14" s="189"/>
      <c r="N14" s="189"/>
      <c r="O14" s="189"/>
      <c r="P14" s="189"/>
      <c r="Q14" s="189"/>
      <c r="R14" s="189"/>
      <c r="S14" s="189"/>
      <c r="T14" s="189"/>
      <c r="U14" s="189"/>
      <c r="V14" s="189"/>
      <c r="W14" s="189"/>
    </row>
    <row r="15">
      <c r="A15" s="192">
        <v>8.0</v>
      </c>
      <c r="B15" s="191">
        <v>22104.0</v>
      </c>
      <c r="C15" s="191" t="s">
        <v>933</v>
      </c>
      <c r="D15" s="189"/>
      <c r="E15" s="189"/>
      <c r="F15" s="189"/>
      <c r="G15" s="189"/>
      <c r="H15" s="189"/>
      <c r="I15" s="189"/>
      <c r="J15" s="189"/>
      <c r="K15" s="189"/>
      <c r="L15" s="189"/>
      <c r="M15" s="189"/>
      <c r="N15" s="189"/>
      <c r="O15" s="189"/>
      <c r="P15" s="189"/>
      <c r="Q15" s="189"/>
      <c r="R15" s="189"/>
      <c r="S15" s="189"/>
      <c r="T15" s="189"/>
      <c r="U15" s="189"/>
      <c r="V15" s="189"/>
      <c r="W15" s="189"/>
    </row>
    <row r="16">
      <c r="A16" s="192">
        <v>8.0</v>
      </c>
      <c r="B16" s="191">
        <v>23047.0</v>
      </c>
      <c r="C16" s="191" t="s">
        <v>934</v>
      </c>
      <c r="D16" s="189"/>
      <c r="E16" s="189"/>
      <c r="F16" s="189"/>
      <c r="G16" s="189"/>
      <c r="H16" s="189"/>
      <c r="I16" s="189"/>
      <c r="J16" s="189"/>
      <c r="K16" s="189"/>
      <c r="L16" s="189"/>
      <c r="M16" s="189"/>
      <c r="N16" s="189"/>
      <c r="O16" s="189"/>
      <c r="P16" s="189"/>
      <c r="Q16" s="189"/>
      <c r="R16" s="189"/>
      <c r="S16" s="189"/>
      <c r="T16" s="189"/>
      <c r="U16" s="189"/>
      <c r="V16" s="189"/>
      <c r="W16" s="189"/>
    </row>
    <row r="17">
      <c r="A17" s="192">
        <v>8.0</v>
      </c>
      <c r="B17" s="191">
        <v>23048.0</v>
      </c>
      <c r="C17" s="191" t="s">
        <v>935</v>
      </c>
      <c r="D17" s="189"/>
      <c r="E17" s="189"/>
      <c r="F17" s="189"/>
      <c r="G17" s="189"/>
      <c r="H17" s="189"/>
      <c r="I17" s="189"/>
      <c r="J17" s="189"/>
      <c r="K17" s="189"/>
      <c r="L17" s="189"/>
      <c r="M17" s="189"/>
      <c r="N17" s="189"/>
      <c r="O17" s="189"/>
      <c r="P17" s="189"/>
      <c r="Q17" s="189"/>
      <c r="R17" s="189"/>
      <c r="S17" s="189"/>
      <c r="T17" s="189"/>
      <c r="U17" s="189"/>
      <c r="V17" s="189"/>
      <c r="W17" s="189"/>
    </row>
    <row r="18">
      <c r="A18" s="192">
        <v>8.0</v>
      </c>
      <c r="B18" s="191">
        <v>23049.0</v>
      </c>
      <c r="C18" s="191" t="s">
        <v>936</v>
      </c>
      <c r="D18" s="189"/>
      <c r="E18" s="189"/>
      <c r="F18" s="189"/>
      <c r="G18" s="189"/>
      <c r="H18" s="189"/>
      <c r="I18" s="189"/>
      <c r="J18" s="189"/>
      <c r="K18" s="189"/>
      <c r="L18" s="189"/>
      <c r="M18" s="189"/>
      <c r="N18" s="189"/>
      <c r="O18" s="189"/>
      <c r="P18" s="189"/>
      <c r="Q18" s="189"/>
      <c r="R18" s="189"/>
      <c r="S18" s="189"/>
      <c r="T18" s="189"/>
      <c r="U18" s="189"/>
      <c r="V18" s="189"/>
      <c r="W18" s="189"/>
    </row>
    <row r="19">
      <c r="A19" s="192">
        <v>8.0</v>
      </c>
      <c r="B19" s="191">
        <v>23050.0</v>
      </c>
      <c r="C19" s="191" t="s">
        <v>937</v>
      </c>
      <c r="D19" s="189"/>
      <c r="E19" s="189"/>
      <c r="F19" s="189"/>
      <c r="G19" s="189"/>
      <c r="H19" s="189"/>
      <c r="I19" s="189"/>
      <c r="J19" s="189"/>
      <c r="K19" s="189"/>
      <c r="L19" s="189"/>
      <c r="M19" s="189"/>
      <c r="N19" s="189"/>
      <c r="O19" s="189"/>
      <c r="P19" s="189"/>
      <c r="Q19" s="189"/>
      <c r="R19" s="189"/>
      <c r="S19" s="189"/>
      <c r="T19" s="189"/>
      <c r="U19" s="189"/>
      <c r="V19" s="189"/>
      <c r="W19" s="189"/>
    </row>
    <row r="20">
      <c r="A20" s="192">
        <v>8.0</v>
      </c>
      <c r="B20" s="191">
        <v>23051.0</v>
      </c>
      <c r="C20" s="191" t="s">
        <v>938</v>
      </c>
      <c r="D20" s="189"/>
      <c r="E20" s="189"/>
      <c r="F20" s="189"/>
      <c r="G20" s="189"/>
      <c r="H20" s="189"/>
      <c r="I20" s="189"/>
      <c r="J20" s="189"/>
      <c r="K20" s="189"/>
      <c r="L20" s="189"/>
      <c r="M20" s="189"/>
      <c r="N20" s="189"/>
      <c r="O20" s="189"/>
      <c r="P20" s="189"/>
      <c r="Q20" s="189"/>
      <c r="R20" s="189"/>
      <c r="S20" s="189"/>
      <c r="T20" s="189"/>
      <c r="U20" s="189"/>
      <c r="V20" s="189"/>
      <c r="W20" s="189"/>
    </row>
    <row r="21">
      <c r="A21" s="192">
        <v>8.0</v>
      </c>
      <c r="B21" s="191">
        <v>23052.0</v>
      </c>
      <c r="C21" s="191" t="s">
        <v>939</v>
      </c>
      <c r="D21" s="189"/>
      <c r="E21" s="189"/>
      <c r="F21" s="189"/>
      <c r="G21" s="189"/>
      <c r="H21" s="189"/>
      <c r="I21" s="189"/>
      <c r="J21" s="189"/>
      <c r="K21" s="189"/>
      <c r="L21" s="189"/>
      <c r="M21" s="189"/>
      <c r="N21" s="189"/>
      <c r="O21" s="189"/>
      <c r="P21" s="189"/>
      <c r="Q21" s="189"/>
      <c r="R21" s="189"/>
      <c r="S21" s="189"/>
      <c r="T21" s="189"/>
      <c r="U21" s="189"/>
      <c r="V21" s="189"/>
      <c r="W21" s="189"/>
    </row>
    <row r="22">
      <c r="A22" s="192">
        <v>8.0</v>
      </c>
      <c r="B22" s="191">
        <v>23053.0</v>
      </c>
      <c r="C22" s="191" t="s">
        <v>940</v>
      </c>
      <c r="D22" s="189"/>
      <c r="E22" s="189"/>
      <c r="F22" s="189"/>
      <c r="G22" s="189"/>
      <c r="H22" s="189"/>
      <c r="I22" s="189"/>
      <c r="J22" s="189"/>
      <c r="K22" s="189"/>
      <c r="L22" s="189"/>
      <c r="M22" s="189"/>
      <c r="N22" s="189"/>
      <c r="O22" s="189"/>
      <c r="P22" s="189"/>
      <c r="Q22" s="189"/>
      <c r="R22" s="189"/>
      <c r="S22" s="189"/>
      <c r="T22" s="189"/>
      <c r="U22" s="189"/>
      <c r="V22" s="189"/>
      <c r="W22" s="189"/>
    </row>
    <row r="23">
      <c r="A23" s="192">
        <v>8.0</v>
      </c>
      <c r="B23" s="191">
        <v>23126.0</v>
      </c>
      <c r="C23" s="191" t="s">
        <v>941</v>
      </c>
      <c r="D23" s="189"/>
      <c r="E23" s="189"/>
      <c r="F23" s="189"/>
      <c r="G23" s="189"/>
      <c r="H23" s="189"/>
      <c r="I23" s="189"/>
      <c r="J23" s="189"/>
      <c r="K23" s="189"/>
      <c r="L23" s="189"/>
      <c r="M23" s="189"/>
      <c r="N23" s="189"/>
      <c r="O23" s="189"/>
      <c r="P23" s="189"/>
      <c r="Q23" s="189"/>
      <c r="R23" s="189"/>
      <c r="S23" s="189"/>
      <c r="T23" s="189"/>
      <c r="U23" s="189"/>
      <c r="V23" s="189"/>
      <c r="W23" s="189"/>
    </row>
    <row r="24">
      <c r="A24" s="192">
        <v>8.0</v>
      </c>
      <c r="B24" s="191">
        <v>23054.0</v>
      </c>
      <c r="C24" s="191" t="s">
        <v>942</v>
      </c>
      <c r="D24" s="189"/>
      <c r="E24" s="189"/>
      <c r="F24" s="189"/>
      <c r="G24" s="189"/>
      <c r="H24" s="189"/>
      <c r="I24" s="189"/>
      <c r="J24" s="189"/>
      <c r="K24" s="189"/>
      <c r="L24" s="189"/>
      <c r="M24" s="189"/>
      <c r="N24" s="189"/>
      <c r="O24" s="189"/>
      <c r="P24" s="189"/>
      <c r="Q24" s="189"/>
      <c r="R24" s="189"/>
      <c r="S24" s="189"/>
      <c r="T24" s="189"/>
      <c r="U24" s="189"/>
      <c r="V24" s="189"/>
      <c r="W24" s="189"/>
    </row>
    <row r="25">
      <c r="A25" s="192">
        <v>8.0</v>
      </c>
      <c r="B25" s="191">
        <v>23055.0</v>
      </c>
      <c r="C25" s="191" t="s">
        <v>943</v>
      </c>
      <c r="D25" s="189"/>
      <c r="E25" s="189"/>
      <c r="F25" s="189"/>
      <c r="G25" s="189"/>
      <c r="H25" s="189"/>
      <c r="I25" s="189"/>
      <c r="J25" s="189"/>
      <c r="K25" s="189"/>
      <c r="L25" s="189"/>
      <c r="M25" s="189"/>
      <c r="N25" s="189"/>
      <c r="O25" s="189"/>
      <c r="P25" s="189"/>
      <c r="Q25" s="189"/>
      <c r="R25" s="189"/>
      <c r="S25" s="189"/>
      <c r="T25" s="189"/>
      <c r="U25" s="189"/>
      <c r="V25" s="189"/>
      <c r="W25" s="189"/>
    </row>
    <row r="26">
      <c r="A26" s="192">
        <v>8.0</v>
      </c>
      <c r="B26" s="191">
        <v>23056.0</v>
      </c>
      <c r="C26" s="191" t="s">
        <v>944</v>
      </c>
      <c r="D26" s="189"/>
      <c r="E26" s="189"/>
      <c r="F26" s="189"/>
      <c r="G26" s="189"/>
      <c r="H26" s="189"/>
      <c r="I26" s="189"/>
      <c r="J26" s="189"/>
      <c r="K26" s="189"/>
      <c r="L26" s="189"/>
      <c r="M26" s="189"/>
      <c r="N26" s="189"/>
      <c r="O26" s="189"/>
      <c r="P26" s="189"/>
      <c r="Q26" s="189"/>
      <c r="R26" s="189"/>
      <c r="S26" s="189"/>
      <c r="T26" s="189"/>
      <c r="U26" s="189"/>
      <c r="V26" s="189"/>
      <c r="W26" s="189"/>
    </row>
    <row r="27">
      <c r="A27" s="192">
        <v>8.0</v>
      </c>
      <c r="B27" s="191">
        <v>23132.0</v>
      </c>
      <c r="C27" s="191" t="s">
        <v>945</v>
      </c>
      <c r="D27" s="189"/>
      <c r="E27" s="189"/>
      <c r="F27" s="189"/>
      <c r="G27" s="189"/>
      <c r="H27" s="189"/>
      <c r="I27" s="189"/>
      <c r="J27" s="189"/>
      <c r="K27" s="189"/>
      <c r="L27" s="189"/>
      <c r="M27" s="189"/>
      <c r="N27" s="189"/>
      <c r="O27" s="189"/>
      <c r="P27" s="189"/>
      <c r="Q27" s="189"/>
      <c r="R27" s="189"/>
      <c r="S27" s="189"/>
      <c r="T27" s="189"/>
      <c r="U27" s="189"/>
      <c r="V27" s="189"/>
      <c r="W27" s="189"/>
    </row>
    <row r="28">
      <c r="A28" s="192">
        <v>8.0</v>
      </c>
      <c r="B28" s="191">
        <v>23118.0</v>
      </c>
      <c r="C28" s="191" t="s">
        <v>946</v>
      </c>
      <c r="D28" s="189"/>
      <c r="E28" s="189"/>
      <c r="F28" s="189"/>
      <c r="G28" s="189"/>
      <c r="H28" s="189"/>
      <c r="I28" s="189"/>
      <c r="J28" s="189"/>
      <c r="K28" s="189"/>
      <c r="L28" s="189"/>
      <c r="M28" s="189"/>
      <c r="N28" s="189"/>
      <c r="O28" s="189"/>
      <c r="P28" s="189"/>
      <c r="Q28" s="189"/>
      <c r="R28" s="189"/>
      <c r="S28" s="189"/>
      <c r="T28" s="189"/>
      <c r="U28" s="189"/>
      <c r="V28" s="189"/>
      <c r="W28" s="189"/>
    </row>
    <row r="29">
      <c r="A29" s="192">
        <v>8.0</v>
      </c>
      <c r="B29" s="191">
        <v>23127.0</v>
      </c>
      <c r="C29" s="191" t="s">
        <v>947</v>
      </c>
      <c r="D29" s="189"/>
      <c r="E29" s="189"/>
      <c r="F29" s="189"/>
      <c r="G29" s="189"/>
      <c r="H29" s="189"/>
      <c r="I29" s="189"/>
      <c r="J29" s="189"/>
      <c r="K29" s="189"/>
      <c r="L29" s="189"/>
      <c r="M29" s="189"/>
      <c r="N29" s="189"/>
      <c r="O29" s="189"/>
      <c r="P29" s="189"/>
      <c r="Q29" s="189"/>
      <c r="R29" s="189"/>
      <c r="S29" s="189"/>
      <c r="T29" s="189"/>
      <c r="U29" s="189"/>
      <c r="V29" s="189"/>
      <c r="W29" s="189"/>
    </row>
    <row r="30">
      <c r="A30" s="192">
        <v>8.0</v>
      </c>
      <c r="B30" s="191">
        <v>23057.0</v>
      </c>
      <c r="C30" s="191" t="s">
        <v>948</v>
      </c>
      <c r="D30" s="189"/>
      <c r="E30" s="189"/>
      <c r="F30" s="189"/>
      <c r="G30" s="189"/>
      <c r="H30" s="189"/>
      <c r="I30" s="189"/>
      <c r="J30" s="189"/>
      <c r="K30" s="189"/>
      <c r="L30" s="189"/>
      <c r="M30" s="189"/>
      <c r="N30" s="189"/>
      <c r="O30" s="189"/>
      <c r="P30" s="189"/>
      <c r="Q30" s="189"/>
      <c r="R30" s="189"/>
      <c r="S30" s="189"/>
      <c r="T30" s="189"/>
      <c r="U30" s="189"/>
      <c r="V30" s="189"/>
      <c r="W30" s="189"/>
    </row>
    <row r="31">
      <c r="A31" s="192">
        <v>8.0</v>
      </c>
      <c r="B31" s="191">
        <v>23058.0</v>
      </c>
      <c r="C31" s="191" t="s">
        <v>949</v>
      </c>
      <c r="D31" s="189"/>
      <c r="E31" s="189"/>
      <c r="F31" s="189"/>
      <c r="G31" s="189"/>
      <c r="H31" s="189"/>
      <c r="I31" s="189"/>
      <c r="J31" s="189"/>
      <c r="K31" s="189"/>
      <c r="L31" s="189"/>
      <c r="M31" s="189"/>
      <c r="N31" s="189"/>
      <c r="O31" s="189"/>
      <c r="P31" s="189"/>
      <c r="Q31" s="189"/>
      <c r="R31" s="189"/>
      <c r="S31" s="189"/>
      <c r="T31" s="189"/>
      <c r="U31" s="189"/>
      <c r="V31" s="189"/>
      <c r="W31" s="189"/>
    </row>
    <row r="32">
      <c r="A32" s="192">
        <v>8.0</v>
      </c>
      <c r="B32" s="191">
        <v>23134.0</v>
      </c>
      <c r="C32" s="191" t="s">
        <v>950</v>
      </c>
      <c r="D32" s="189"/>
      <c r="E32" s="189"/>
      <c r="F32" s="189"/>
      <c r="G32" s="189"/>
      <c r="H32" s="189"/>
      <c r="I32" s="189"/>
      <c r="J32" s="189"/>
      <c r="K32" s="189"/>
      <c r="L32" s="189"/>
      <c r="M32" s="189"/>
      <c r="N32" s="189"/>
      <c r="O32" s="189"/>
      <c r="P32" s="189"/>
      <c r="Q32" s="189"/>
      <c r="R32" s="189"/>
      <c r="S32" s="189"/>
      <c r="T32" s="189"/>
      <c r="U32" s="189"/>
      <c r="V32" s="189"/>
      <c r="W32" s="189"/>
    </row>
    <row r="33">
      <c r="A33" s="192">
        <v>8.0</v>
      </c>
      <c r="B33" s="191">
        <v>23106.0</v>
      </c>
      <c r="C33" s="191" t="s">
        <v>951</v>
      </c>
      <c r="D33" s="189"/>
      <c r="E33" s="189"/>
      <c r="F33" s="189"/>
      <c r="G33" s="189"/>
      <c r="H33" s="189"/>
      <c r="I33" s="189"/>
      <c r="J33" s="189"/>
      <c r="K33" s="189"/>
      <c r="L33" s="189"/>
      <c r="M33" s="189"/>
      <c r="N33" s="189"/>
      <c r="O33" s="189"/>
      <c r="P33" s="189"/>
      <c r="Q33" s="189"/>
      <c r="R33" s="189"/>
      <c r="S33" s="189"/>
      <c r="T33" s="189"/>
      <c r="U33" s="189"/>
      <c r="V33" s="189"/>
      <c r="W33" s="189"/>
    </row>
    <row r="34">
      <c r="A34" s="192">
        <v>8.0</v>
      </c>
      <c r="B34" s="191">
        <v>23059.0</v>
      </c>
      <c r="C34" s="191" t="s">
        <v>952</v>
      </c>
      <c r="D34" s="189"/>
      <c r="E34" s="189"/>
      <c r="F34" s="189"/>
      <c r="G34" s="189"/>
      <c r="H34" s="189"/>
      <c r="I34" s="189"/>
      <c r="J34" s="189"/>
      <c r="K34" s="189"/>
      <c r="L34" s="189"/>
      <c r="M34" s="189"/>
      <c r="N34" s="189"/>
      <c r="O34" s="189"/>
      <c r="P34" s="189"/>
      <c r="Q34" s="189"/>
      <c r="R34" s="189"/>
      <c r="S34" s="189"/>
      <c r="T34" s="189"/>
      <c r="U34" s="189"/>
      <c r="V34" s="189"/>
      <c r="W34" s="189"/>
    </row>
    <row r="35">
      <c r="A35" s="192">
        <v>8.0</v>
      </c>
      <c r="B35" s="191">
        <v>23107.0</v>
      </c>
      <c r="C35" s="191" t="s">
        <v>953</v>
      </c>
      <c r="D35" s="189"/>
      <c r="E35" s="189"/>
      <c r="F35" s="189"/>
      <c r="G35" s="189"/>
      <c r="H35" s="189"/>
      <c r="I35" s="189"/>
      <c r="J35" s="189"/>
      <c r="K35" s="189"/>
      <c r="L35" s="189"/>
      <c r="M35" s="189"/>
      <c r="N35" s="189"/>
      <c r="O35" s="189"/>
      <c r="P35" s="189"/>
      <c r="Q35" s="189"/>
      <c r="R35" s="189"/>
      <c r="S35" s="189"/>
      <c r="T35" s="189"/>
      <c r="U35" s="189"/>
      <c r="V35" s="189"/>
      <c r="W35" s="189"/>
    </row>
    <row r="36">
      <c r="A36" s="192">
        <v>8.0</v>
      </c>
      <c r="B36" s="191">
        <v>23060.0</v>
      </c>
      <c r="C36" s="191" t="s">
        <v>954</v>
      </c>
      <c r="D36" s="189"/>
      <c r="E36" s="189"/>
      <c r="F36" s="189"/>
      <c r="G36" s="189"/>
      <c r="H36" s="189"/>
      <c r="I36" s="189"/>
      <c r="J36" s="189"/>
      <c r="K36" s="189"/>
      <c r="L36" s="189"/>
      <c r="M36" s="189"/>
      <c r="N36" s="189"/>
      <c r="O36" s="189"/>
      <c r="P36" s="189"/>
      <c r="Q36" s="189"/>
      <c r="R36" s="189"/>
      <c r="S36" s="189"/>
      <c r="T36" s="189"/>
      <c r="U36" s="189"/>
      <c r="V36" s="189"/>
      <c r="W36" s="189"/>
    </row>
    <row r="37">
      <c r="A37" s="192">
        <v>8.0</v>
      </c>
      <c r="B37" s="191">
        <v>23061.0</v>
      </c>
      <c r="C37" s="191" t="s">
        <v>955</v>
      </c>
      <c r="D37" s="189"/>
      <c r="E37" s="189"/>
      <c r="F37" s="189"/>
      <c r="G37" s="189"/>
      <c r="H37" s="189"/>
      <c r="I37" s="189"/>
      <c r="J37" s="189"/>
      <c r="K37" s="189"/>
      <c r="L37" s="189"/>
      <c r="M37" s="189"/>
      <c r="N37" s="189"/>
      <c r="O37" s="189"/>
      <c r="P37" s="189"/>
      <c r="Q37" s="189"/>
      <c r="R37" s="189"/>
      <c r="S37" s="189"/>
      <c r="T37" s="189"/>
      <c r="U37" s="189"/>
      <c r="V37" s="189"/>
      <c r="W37" s="189"/>
    </row>
    <row r="38">
      <c r="A38" s="192">
        <v>8.0</v>
      </c>
      <c r="B38" s="191">
        <v>23062.0</v>
      </c>
      <c r="C38" s="191" t="s">
        <v>956</v>
      </c>
      <c r="D38" s="189"/>
      <c r="E38" s="189"/>
      <c r="F38" s="189"/>
      <c r="G38" s="189"/>
      <c r="H38" s="189"/>
      <c r="I38" s="189"/>
      <c r="J38" s="189"/>
      <c r="K38" s="189"/>
      <c r="L38" s="189"/>
      <c r="M38" s="189"/>
      <c r="N38" s="189"/>
      <c r="O38" s="189"/>
      <c r="P38" s="189"/>
      <c r="Q38" s="189"/>
      <c r="R38" s="189"/>
      <c r="S38" s="189"/>
      <c r="T38" s="189"/>
      <c r="U38" s="189"/>
      <c r="V38" s="189"/>
      <c r="W38" s="189"/>
    </row>
    <row r="39">
      <c r="A39" s="192">
        <v>8.0</v>
      </c>
      <c r="B39" s="191">
        <v>23065.0</v>
      </c>
      <c r="C39" s="191" t="s">
        <v>957</v>
      </c>
      <c r="D39" s="189"/>
      <c r="E39" s="189"/>
      <c r="F39" s="189"/>
      <c r="G39" s="189"/>
      <c r="H39" s="189"/>
      <c r="I39" s="189"/>
      <c r="J39" s="189"/>
      <c r="K39" s="189"/>
      <c r="L39" s="189"/>
      <c r="M39" s="189"/>
      <c r="N39" s="189"/>
      <c r="O39" s="189"/>
      <c r="P39" s="189"/>
      <c r="Q39" s="189"/>
      <c r="R39" s="189"/>
      <c r="S39" s="189"/>
      <c r="T39" s="189"/>
      <c r="U39" s="189"/>
      <c r="V39" s="189"/>
      <c r="W39" s="189"/>
    </row>
    <row r="40">
      <c r="A40" s="192">
        <v>8.0</v>
      </c>
      <c r="B40" s="191">
        <v>23066.0</v>
      </c>
      <c r="C40" s="191" t="s">
        <v>958</v>
      </c>
      <c r="D40" s="189"/>
      <c r="E40" s="189"/>
      <c r="F40" s="189"/>
      <c r="G40" s="189"/>
      <c r="H40" s="189"/>
      <c r="I40" s="189"/>
      <c r="J40" s="189"/>
      <c r="K40" s="189"/>
      <c r="L40" s="189"/>
      <c r="M40" s="189"/>
      <c r="N40" s="189"/>
      <c r="O40" s="189"/>
      <c r="P40" s="189"/>
      <c r="Q40" s="189"/>
      <c r="R40" s="189"/>
      <c r="S40" s="189"/>
      <c r="T40" s="189"/>
      <c r="U40" s="189"/>
      <c r="V40" s="189"/>
      <c r="W40" s="189"/>
    </row>
    <row r="41">
      <c r="A41" s="192">
        <v>8.0</v>
      </c>
      <c r="B41" s="191">
        <v>23067.0</v>
      </c>
      <c r="C41" s="191" t="s">
        <v>959</v>
      </c>
      <c r="D41" s="189"/>
      <c r="E41" s="189"/>
      <c r="F41" s="189"/>
      <c r="G41" s="189"/>
      <c r="H41" s="189"/>
      <c r="I41" s="189"/>
      <c r="J41" s="189"/>
      <c r="K41" s="189"/>
      <c r="L41" s="189"/>
      <c r="M41" s="189"/>
      <c r="N41" s="189"/>
      <c r="O41" s="189"/>
      <c r="P41" s="189"/>
      <c r="Q41" s="189"/>
      <c r="R41" s="189"/>
      <c r="S41" s="189"/>
      <c r="T41" s="189"/>
      <c r="U41" s="189"/>
      <c r="V41" s="189"/>
      <c r="W41" s="189"/>
    </row>
    <row r="42">
      <c r="A42" s="192">
        <v>8.0</v>
      </c>
      <c r="B42" s="191">
        <v>23020.0</v>
      </c>
      <c r="C42" s="191" t="s">
        <v>960</v>
      </c>
      <c r="D42" s="189"/>
      <c r="E42" s="189"/>
      <c r="F42" s="189"/>
      <c r="G42" s="189"/>
      <c r="H42" s="189"/>
      <c r="I42" s="189"/>
      <c r="J42" s="189"/>
      <c r="K42" s="189"/>
      <c r="L42" s="189"/>
      <c r="M42" s="189"/>
      <c r="N42" s="189"/>
      <c r="O42" s="189"/>
      <c r="P42" s="189"/>
      <c r="Q42" s="189"/>
      <c r="R42" s="189"/>
      <c r="S42" s="189"/>
      <c r="T42" s="189"/>
      <c r="U42" s="189"/>
      <c r="V42" s="189"/>
      <c r="W42" s="189"/>
    </row>
    <row r="43">
      <c r="A43" s="192">
        <v>8.0</v>
      </c>
      <c r="B43" s="191">
        <v>23021.0</v>
      </c>
      <c r="C43" s="191" t="s">
        <v>961</v>
      </c>
      <c r="D43" s="189"/>
      <c r="E43" s="189"/>
      <c r="F43" s="189"/>
      <c r="G43" s="189"/>
      <c r="H43" s="189"/>
      <c r="I43" s="189"/>
      <c r="J43" s="189"/>
      <c r="K43" s="189"/>
      <c r="L43" s="189"/>
      <c r="M43" s="189"/>
      <c r="N43" s="189"/>
      <c r="O43" s="189"/>
      <c r="P43" s="189"/>
      <c r="Q43" s="189"/>
      <c r="R43" s="189"/>
      <c r="S43" s="189"/>
      <c r="T43" s="189"/>
      <c r="U43" s="189"/>
      <c r="V43" s="189"/>
      <c r="W43" s="189"/>
    </row>
    <row r="44">
      <c r="A44" s="192">
        <v>8.0</v>
      </c>
      <c r="B44" s="191">
        <v>23022.0</v>
      </c>
      <c r="C44" s="191" t="s">
        <v>962</v>
      </c>
      <c r="D44" s="189"/>
      <c r="E44" s="189"/>
      <c r="F44" s="189"/>
      <c r="G44" s="189"/>
      <c r="H44" s="189"/>
      <c r="I44" s="189"/>
      <c r="J44" s="189"/>
      <c r="K44" s="189"/>
      <c r="L44" s="189"/>
      <c r="M44" s="189"/>
      <c r="N44" s="189"/>
      <c r="O44" s="189"/>
      <c r="P44" s="189"/>
      <c r="Q44" s="189"/>
      <c r="R44" s="189"/>
      <c r="S44" s="189"/>
      <c r="T44" s="189"/>
      <c r="U44" s="189"/>
      <c r="V44" s="189"/>
      <c r="W44" s="189"/>
    </row>
    <row r="45">
      <c r="A45" s="192">
        <v>8.0</v>
      </c>
      <c r="B45" s="191">
        <v>23023.0</v>
      </c>
      <c r="C45" s="191" t="s">
        <v>963</v>
      </c>
      <c r="D45" s="189"/>
      <c r="E45" s="189"/>
      <c r="F45" s="189"/>
      <c r="G45" s="189"/>
      <c r="H45" s="189"/>
      <c r="I45" s="189"/>
      <c r="J45" s="189"/>
      <c r="K45" s="189"/>
      <c r="L45" s="189"/>
      <c r="M45" s="189"/>
      <c r="N45" s="189"/>
      <c r="O45" s="189"/>
      <c r="P45" s="189"/>
      <c r="Q45" s="189"/>
      <c r="R45" s="189"/>
      <c r="S45" s="189"/>
      <c r="T45" s="189"/>
      <c r="U45" s="189"/>
      <c r="V45" s="189"/>
      <c r="W45" s="189"/>
    </row>
    <row r="46">
      <c r="A46" s="192">
        <v>8.0</v>
      </c>
      <c r="B46" s="191">
        <v>23024.0</v>
      </c>
      <c r="C46" s="191" t="s">
        <v>964</v>
      </c>
      <c r="D46" s="189"/>
      <c r="E46" s="189"/>
      <c r="F46" s="189"/>
      <c r="G46" s="189"/>
      <c r="H46" s="189"/>
      <c r="I46" s="189"/>
      <c r="J46" s="189"/>
      <c r="K46" s="189"/>
      <c r="L46" s="189"/>
      <c r="M46" s="189"/>
      <c r="N46" s="189"/>
      <c r="O46" s="189"/>
      <c r="P46" s="189"/>
      <c r="Q46" s="189"/>
      <c r="R46" s="189"/>
      <c r="S46" s="189"/>
      <c r="T46" s="189"/>
      <c r="U46" s="189"/>
      <c r="V46" s="189"/>
      <c r="W46" s="189"/>
    </row>
    <row r="47">
      <c r="A47" s="192">
        <v>8.0</v>
      </c>
      <c r="B47" s="191">
        <v>23025.0</v>
      </c>
      <c r="C47" s="191" t="s">
        <v>965</v>
      </c>
      <c r="D47" s="189"/>
      <c r="E47" s="189"/>
      <c r="F47" s="189"/>
      <c r="G47" s="189"/>
      <c r="H47" s="189"/>
      <c r="I47" s="189"/>
      <c r="J47" s="189"/>
      <c r="K47" s="189"/>
      <c r="L47" s="189"/>
      <c r="M47" s="189"/>
      <c r="N47" s="189"/>
      <c r="O47" s="189"/>
      <c r="P47" s="189"/>
      <c r="Q47" s="189"/>
      <c r="R47" s="189"/>
      <c r="S47" s="189"/>
      <c r="T47" s="189"/>
      <c r="U47" s="189"/>
      <c r="V47" s="189"/>
      <c r="W47" s="189"/>
    </row>
    <row r="48">
      <c r="A48" s="192">
        <v>8.0</v>
      </c>
      <c r="B48" s="191">
        <v>23026.0</v>
      </c>
      <c r="C48" s="191" t="s">
        <v>966</v>
      </c>
      <c r="D48" s="189"/>
      <c r="E48" s="189"/>
      <c r="F48" s="189"/>
      <c r="G48" s="189"/>
      <c r="H48" s="189"/>
      <c r="I48" s="189"/>
      <c r="J48" s="189"/>
      <c r="K48" s="189"/>
      <c r="L48" s="189"/>
      <c r="M48" s="189"/>
      <c r="N48" s="189"/>
      <c r="O48" s="189"/>
      <c r="P48" s="189"/>
      <c r="Q48" s="189"/>
      <c r="R48" s="189"/>
      <c r="S48" s="189"/>
      <c r="T48" s="189"/>
      <c r="U48" s="189"/>
      <c r="V48" s="189"/>
      <c r="W48" s="189"/>
    </row>
    <row r="49">
      <c r="A49" s="192">
        <v>8.0</v>
      </c>
      <c r="B49" s="191">
        <v>23027.0</v>
      </c>
      <c r="C49" s="191" t="s">
        <v>967</v>
      </c>
      <c r="D49" s="189"/>
      <c r="E49" s="189"/>
      <c r="F49" s="189"/>
      <c r="G49" s="189"/>
      <c r="H49" s="189"/>
      <c r="I49" s="189"/>
      <c r="J49" s="189"/>
      <c r="K49" s="189"/>
      <c r="L49" s="189"/>
      <c r="M49" s="189"/>
      <c r="N49" s="189"/>
      <c r="O49" s="189"/>
      <c r="P49" s="189"/>
      <c r="Q49" s="189"/>
      <c r="R49" s="189"/>
      <c r="S49" s="189"/>
      <c r="T49" s="189"/>
      <c r="U49" s="189"/>
      <c r="V49" s="189"/>
      <c r="W49" s="189"/>
    </row>
    <row r="50">
      <c r="A50" s="192">
        <v>8.0</v>
      </c>
      <c r="B50" s="191">
        <v>23028.0</v>
      </c>
      <c r="C50" s="191" t="s">
        <v>968</v>
      </c>
      <c r="D50" s="189"/>
      <c r="E50" s="189"/>
      <c r="F50" s="189"/>
      <c r="G50" s="189"/>
      <c r="H50" s="189"/>
      <c r="I50" s="189"/>
      <c r="J50" s="189"/>
      <c r="K50" s="189"/>
      <c r="L50" s="189"/>
      <c r="M50" s="189"/>
      <c r="N50" s="189"/>
      <c r="O50" s="189"/>
      <c r="P50" s="189"/>
      <c r="Q50" s="189"/>
      <c r="R50" s="189"/>
      <c r="S50" s="189"/>
      <c r="T50" s="189"/>
      <c r="U50" s="189"/>
      <c r="V50" s="189"/>
      <c r="W50" s="189"/>
    </row>
    <row r="51">
      <c r="A51" s="192">
        <v>8.0</v>
      </c>
      <c r="B51" s="191">
        <v>23030.0</v>
      </c>
      <c r="C51" s="191" t="s">
        <v>969</v>
      </c>
      <c r="D51" s="189"/>
      <c r="E51" s="189"/>
      <c r="F51" s="189"/>
      <c r="G51" s="189"/>
      <c r="H51" s="189"/>
      <c r="I51" s="189"/>
      <c r="J51" s="189"/>
      <c r="K51" s="189"/>
      <c r="L51" s="189"/>
      <c r="M51" s="189"/>
      <c r="N51" s="189"/>
      <c r="O51" s="189"/>
      <c r="P51" s="189"/>
      <c r="Q51" s="189"/>
      <c r="R51" s="189"/>
      <c r="S51" s="189"/>
      <c r="T51" s="189"/>
      <c r="U51" s="189"/>
      <c r="V51" s="189"/>
      <c r="W51" s="189"/>
    </row>
    <row r="52">
      <c r="A52" s="192">
        <v>8.0</v>
      </c>
      <c r="B52" s="191">
        <v>23108.0</v>
      </c>
      <c r="C52" s="191" t="s">
        <v>970</v>
      </c>
      <c r="D52" s="189"/>
      <c r="E52" s="189"/>
      <c r="F52" s="189"/>
      <c r="G52" s="189"/>
      <c r="H52" s="189"/>
      <c r="I52" s="189"/>
      <c r="J52" s="189"/>
      <c r="K52" s="189"/>
      <c r="L52" s="189"/>
      <c r="M52" s="189"/>
      <c r="N52" s="189"/>
      <c r="O52" s="189"/>
      <c r="P52" s="189"/>
      <c r="Q52" s="189"/>
      <c r="R52" s="189"/>
      <c r="S52" s="189"/>
      <c r="T52" s="189"/>
      <c r="U52" s="189"/>
      <c r="V52" s="189"/>
      <c r="W52" s="189"/>
    </row>
    <row r="53">
      <c r="A53" s="192">
        <v>8.0</v>
      </c>
      <c r="B53" s="191">
        <v>23031.0</v>
      </c>
      <c r="C53" s="191" t="s">
        <v>971</v>
      </c>
      <c r="D53" s="189"/>
      <c r="E53" s="189"/>
      <c r="F53" s="189"/>
      <c r="G53" s="189"/>
      <c r="H53" s="189"/>
      <c r="I53" s="189"/>
      <c r="J53" s="189"/>
      <c r="K53" s="189"/>
      <c r="L53" s="189"/>
      <c r="M53" s="189"/>
      <c r="N53" s="189"/>
      <c r="O53" s="189"/>
      <c r="P53" s="189"/>
      <c r="Q53" s="189"/>
      <c r="R53" s="189"/>
      <c r="S53" s="189"/>
      <c r="T53" s="189"/>
      <c r="U53" s="189"/>
      <c r="V53" s="189"/>
      <c r="W53" s="189"/>
    </row>
    <row r="54">
      <c r="A54" s="192">
        <v>8.0</v>
      </c>
      <c r="B54" s="191">
        <v>23117.0</v>
      </c>
      <c r="C54" s="191" t="s">
        <v>972</v>
      </c>
      <c r="D54" s="189"/>
      <c r="E54" s="189"/>
      <c r="F54" s="189"/>
      <c r="G54" s="189"/>
      <c r="H54" s="189"/>
      <c r="I54" s="189"/>
      <c r="J54" s="189"/>
      <c r="K54" s="189"/>
      <c r="L54" s="189"/>
      <c r="M54" s="189"/>
      <c r="N54" s="189"/>
      <c r="O54" s="189"/>
      <c r="P54" s="189"/>
      <c r="Q54" s="189"/>
      <c r="R54" s="189"/>
      <c r="S54" s="189"/>
      <c r="T54" s="189"/>
      <c r="U54" s="189"/>
      <c r="V54" s="189"/>
      <c r="W54" s="189"/>
    </row>
    <row r="55">
      <c r="A55" s="192">
        <v>8.0</v>
      </c>
      <c r="B55" s="191">
        <v>23033.0</v>
      </c>
      <c r="C55" s="191" t="s">
        <v>973</v>
      </c>
      <c r="D55" s="189"/>
      <c r="E55" s="189"/>
      <c r="F55" s="189"/>
      <c r="G55" s="189"/>
      <c r="H55" s="189"/>
      <c r="I55" s="189"/>
      <c r="J55" s="189"/>
      <c r="K55" s="189"/>
      <c r="L55" s="189"/>
      <c r="M55" s="189"/>
      <c r="N55" s="189"/>
      <c r="O55" s="189"/>
      <c r="P55" s="189"/>
      <c r="Q55" s="189"/>
      <c r="R55" s="189"/>
      <c r="S55" s="189"/>
      <c r="T55" s="189"/>
      <c r="U55" s="189"/>
      <c r="V55" s="189"/>
      <c r="W55" s="189"/>
    </row>
    <row r="56">
      <c r="A56" s="192">
        <v>8.0</v>
      </c>
      <c r="B56" s="191">
        <v>23034.0</v>
      </c>
      <c r="C56" s="191" t="s">
        <v>974</v>
      </c>
      <c r="D56" s="189"/>
      <c r="E56" s="189"/>
      <c r="F56" s="189"/>
      <c r="G56" s="189"/>
      <c r="H56" s="189"/>
      <c r="I56" s="189"/>
      <c r="J56" s="189"/>
      <c r="K56" s="189"/>
      <c r="L56" s="189"/>
      <c r="M56" s="189"/>
      <c r="N56" s="189"/>
      <c r="O56" s="189"/>
      <c r="P56" s="189"/>
      <c r="Q56" s="189"/>
      <c r="R56" s="189"/>
      <c r="S56" s="189"/>
      <c r="T56" s="189"/>
      <c r="U56" s="189"/>
      <c r="V56" s="189"/>
      <c r="W56" s="189"/>
    </row>
    <row r="57">
      <c r="A57" s="192">
        <v>8.0</v>
      </c>
      <c r="B57" s="191">
        <v>23035.0</v>
      </c>
      <c r="C57" s="191" t="s">
        <v>975</v>
      </c>
      <c r="D57" s="189"/>
      <c r="E57" s="189"/>
      <c r="F57" s="189"/>
      <c r="G57" s="189"/>
      <c r="H57" s="189"/>
      <c r="I57" s="189"/>
      <c r="J57" s="189"/>
      <c r="K57" s="189"/>
      <c r="L57" s="189"/>
      <c r="M57" s="189"/>
      <c r="N57" s="189"/>
      <c r="O57" s="189"/>
      <c r="P57" s="189"/>
      <c r="Q57" s="189"/>
      <c r="R57" s="189"/>
      <c r="S57" s="189"/>
      <c r="T57" s="189"/>
      <c r="U57" s="189"/>
      <c r="V57" s="189"/>
      <c r="W57" s="189"/>
    </row>
    <row r="58">
      <c r="A58" s="192">
        <v>8.0</v>
      </c>
      <c r="B58" s="191">
        <v>23036.0</v>
      </c>
      <c r="C58" s="191" t="s">
        <v>976</v>
      </c>
      <c r="D58" s="189"/>
      <c r="E58" s="189"/>
      <c r="F58" s="189"/>
      <c r="G58" s="189"/>
      <c r="H58" s="189"/>
      <c r="I58" s="189"/>
      <c r="J58" s="189"/>
      <c r="K58" s="189"/>
      <c r="L58" s="189"/>
      <c r="M58" s="189"/>
      <c r="N58" s="189"/>
      <c r="O58" s="189"/>
      <c r="P58" s="189"/>
      <c r="Q58" s="189"/>
      <c r="R58" s="189"/>
      <c r="S58" s="189"/>
      <c r="T58" s="189"/>
      <c r="U58" s="189"/>
      <c r="V58" s="189"/>
      <c r="W58" s="189"/>
    </row>
    <row r="59">
      <c r="A59" s="192">
        <v>8.0</v>
      </c>
      <c r="B59" s="191">
        <v>23037.0</v>
      </c>
      <c r="C59" s="191" t="s">
        <v>977</v>
      </c>
      <c r="D59" s="189"/>
      <c r="E59" s="189"/>
      <c r="F59" s="189"/>
      <c r="G59" s="189"/>
      <c r="H59" s="189"/>
      <c r="I59" s="189"/>
      <c r="J59" s="189"/>
      <c r="K59" s="189"/>
      <c r="L59" s="189"/>
      <c r="M59" s="189"/>
      <c r="N59" s="189"/>
      <c r="O59" s="189"/>
      <c r="P59" s="189"/>
      <c r="Q59" s="189"/>
      <c r="R59" s="189"/>
      <c r="S59" s="189"/>
      <c r="T59" s="189"/>
      <c r="U59" s="189"/>
      <c r="V59" s="189"/>
      <c r="W59" s="189"/>
    </row>
    <row r="60">
      <c r="A60" s="192">
        <v>8.0</v>
      </c>
      <c r="B60" s="191">
        <v>23128.0</v>
      </c>
      <c r="C60" s="191" t="s">
        <v>978</v>
      </c>
      <c r="D60" s="189"/>
      <c r="E60" s="189"/>
      <c r="F60" s="189"/>
      <c r="G60" s="189"/>
      <c r="H60" s="189"/>
      <c r="I60" s="189"/>
      <c r="J60" s="189"/>
      <c r="K60" s="189"/>
      <c r="L60" s="189"/>
      <c r="M60" s="189"/>
      <c r="N60" s="189"/>
      <c r="O60" s="189"/>
      <c r="P60" s="189"/>
      <c r="Q60" s="189"/>
      <c r="R60" s="189"/>
      <c r="S60" s="189"/>
      <c r="T60" s="189"/>
      <c r="U60" s="189"/>
      <c r="V60" s="189"/>
      <c r="W60" s="189"/>
    </row>
    <row r="61">
      <c r="A61" s="192">
        <v>8.0</v>
      </c>
      <c r="B61" s="191">
        <v>23068.0</v>
      </c>
      <c r="C61" s="191" t="s">
        <v>979</v>
      </c>
      <c r="D61" s="189"/>
      <c r="E61" s="189"/>
      <c r="F61" s="189"/>
      <c r="G61" s="189"/>
      <c r="H61" s="189"/>
      <c r="I61" s="189"/>
      <c r="J61" s="189"/>
      <c r="K61" s="189"/>
      <c r="L61" s="189"/>
      <c r="M61" s="189"/>
      <c r="N61" s="189"/>
      <c r="O61" s="189"/>
      <c r="P61" s="189"/>
      <c r="Q61" s="189"/>
      <c r="R61" s="189"/>
      <c r="S61" s="189"/>
      <c r="T61" s="189"/>
      <c r="U61" s="189"/>
      <c r="V61" s="189"/>
      <c r="W61" s="189"/>
    </row>
    <row r="62">
      <c r="A62" s="192">
        <v>8.0</v>
      </c>
      <c r="B62" s="191">
        <v>23070.0</v>
      </c>
      <c r="C62" s="191" t="s">
        <v>980</v>
      </c>
      <c r="D62" s="189"/>
      <c r="E62" s="189"/>
      <c r="F62" s="189"/>
      <c r="G62" s="189"/>
      <c r="H62" s="189"/>
      <c r="I62" s="189"/>
      <c r="J62" s="189"/>
      <c r="K62" s="189"/>
      <c r="L62" s="189"/>
      <c r="M62" s="189"/>
      <c r="N62" s="189"/>
      <c r="O62" s="189"/>
      <c r="P62" s="189"/>
      <c r="Q62" s="189"/>
      <c r="R62" s="189"/>
      <c r="S62" s="189"/>
      <c r="T62" s="189"/>
      <c r="U62" s="189"/>
      <c r="V62" s="189"/>
      <c r="W62" s="189"/>
    </row>
    <row r="63">
      <c r="A63" s="192">
        <v>8.0</v>
      </c>
      <c r="B63" s="191">
        <v>23129.0</v>
      </c>
      <c r="C63" s="191" t="s">
        <v>981</v>
      </c>
      <c r="D63" s="189"/>
      <c r="E63" s="189"/>
      <c r="F63" s="189"/>
      <c r="G63" s="189"/>
      <c r="H63" s="189"/>
      <c r="I63" s="189"/>
      <c r="J63" s="189"/>
      <c r="K63" s="189"/>
      <c r="L63" s="189"/>
      <c r="M63" s="189"/>
      <c r="N63" s="189"/>
      <c r="O63" s="189"/>
      <c r="P63" s="189"/>
      <c r="Q63" s="189"/>
      <c r="R63" s="189"/>
      <c r="S63" s="189"/>
      <c r="T63" s="189"/>
      <c r="U63" s="189"/>
      <c r="V63" s="189"/>
      <c r="W63" s="189"/>
    </row>
    <row r="64">
      <c r="A64" s="192">
        <v>8.0</v>
      </c>
      <c r="B64" s="191">
        <v>23071.0</v>
      </c>
      <c r="C64" s="191" t="s">
        <v>982</v>
      </c>
      <c r="D64" s="189"/>
      <c r="E64" s="189"/>
      <c r="F64" s="189"/>
      <c r="G64" s="189"/>
      <c r="H64" s="189"/>
      <c r="I64" s="189"/>
      <c r="J64" s="189"/>
      <c r="K64" s="189"/>
      <c r="L64" s="189"/>
      <c r="M64" s="189"/>
      <c r="N64" s="189"/>
      <c r="O64" s="189"/>
      <c r="P64" s="189"/>
      <c r="Q64" s="189"/>
      <c r="R64" s="189"/>
      <c r="S64" s="189"/>
      <c r="T64" s="189"/>
      <c r="U64" s="189"/>
      <c r="V64" s="189"/>
      <c r="W64" s="189"/>
    </row>
    <row r="65">
      <c r="A65" s="192">
        <v>8.0</v>
      </c>
      <c r="B65" s="191">
        <v>23110.0</v>
      </c>
      <c r="C65" s="191" t="s">
        <v>983</v>
      </c>
      <c r="D65" s="189"/>
      <c r="E65" s="189"/>
      <c r="F65" s="189"/>
      <c r="G65" s="189"/>
      <c r="H65" s="189"/>
      <c r="I65" s="189"/>
      <c r="J65" s="189"/>
      <c r="K65" s="189"/>
      <c r="L65" s="189"/>
      <c r="M65" s="189"/>
      <c r="N65" s="189"/>
      <c r="O65" s="189"/>
      <c r="P65" s="189"/>
      <c r="Q65" s="189"/>
      <c r="R65" s="189"/>
      <c r="S65" s="189"/>
      <c r="T65" s="189"/>
      <c r="U65" s="189"/>
      <c r="V65" s="189"/>
      <c r="W65" s="189"/>
    </row>
    <row r="66">
      <c r="A66" s="192">
        <v>8.0</v>
      </c>
      <c r="B66" s="191">
        <v>23072.0</v>
      </c>
      <c r="C66" s="191" t="s">
        <v>984</v>
      </c>
      <c r="D66" s="189"/>
      <c r="E66" s="189"/>
      <c r="F66" s="189"/>
      <c r="G66" s="189"/>
      <c r="H66" s="189"/>
      <c r="I66" s="189"/>
      <c r="J66" s="189"/>
      <c r="K66" s="189"/>
      <c r="L66" s="189"/>
      <c r="M66" s="189"/>
      <c r="N66" s="189"/>
      <c r="O66" s="189"/>
      <c r="P66" s="189"/>
      <c r="Q66" s="189"/>
      <c r="R66" s="189"/>
      <c r="S66" s="189"/>
      <c r="T66" s="189"/>
      <c r="U66" s="189"/>
      <c r="V66" s="189"/>
      <c r="W66" s="189"/>
    </row>
    <row r="67">
      <c r="A67" s="192">
        <v>8.0</v>
      </c>
      <c r="B67" s="191">
        <v>23074.0</v>
      </c>
      <c r="C67" s="191" t="s">
        <v>985</v>
      </c>
      <c r="D67" s="189"/>
      <c r="E67" s="189"/>
      <c r="F67" s="189"/>
      <c r="G67" s="189"/>
      <c r="H67" s="189"/>
      <c r="I67" s="189"/>
      <c r="J67" s="189"/>
      <c r="K67" s="189"/>
      <c r="L67" s="189"/>
      <c r="M67" s="189"/>
      <c r="N67" s="189"/>
      <c r="O67" s="189"/>
      <c r="P67" s="189"/>
      <c r="Q67" s="189"/>
      <c r="R67" s="189"/>
      <c r="S67" s="189"/>
      <c r="T67" s="189"/>
      <c r="U67" s="189"/>
      <c r="V67" s="189"/>
      <c r="W67" s="189"/>
    </row>
    <row r="68">
      <c r="A68" s="192">
        <v>8.0</v>
      </c>
      <c r="B68" s="191">
        <v>23075.0</v>
      </c>
      <c r="C68" s="191" t="s">
        <v>986</v>
      </c>
      <c r="D68" s="189"/>
      <c r="E68" s="189"/>
      <c r="F68" s="189"/>
      <c r="G68" s="189"/>
      <c r="H68" s="189"/>
      <c r="I68" s="189"/>
      <c r="J68" s="189"/>
      <c r="K68" s="189"/>
      <c r="L68" s="189"/>
      <c r="M68" s="189"/>
      <c r="N68" s="189"/>
      <c r="O68" s="189"/>
      <c r="P68" s="189"/>
      <c r="Q68" s="189"/>
      <c r="R68" s="189"/>
      <c r="S68" s="189"/>
      <c r="T68" s="189"/>
      <c r="U68" s="189"/>
      <c r="V68" s="189"/>
      <c r="W68" s="189"/>
    </row>
    <row r="69">
      <c r="A69" s="192">
        <v>8.0</v>
      </c>
      <c r="B69" s="191">
        <v>23076.0</v>
      </c>
      <c r="C69" s="191" t="s">
        <v>987</v>
      </c>
      <c r="D69" s="189"/>
      <c r="E69" s="189"/>
      <c r="F69" s="189"/>
      <c r="G69" s="189"/>
      <c r="H69" s="189"/>
      <c r="I69" s="189"/>
      <c r="J69" s="189"/>
      <c r="K69" s="189"/>
      <c r="L69" s="189"/>
      <c r="M69" s="189"/>
      <c r="N69" s="189"/>
      <c r="O69" s="189"/>
      <c r="P69" s="189"/>
      <c r="Q69" s="189"/>
      <c r="R69" s="189"/>
      <c r="S69" s="189"/>
      <c r="T69" s="189"/>
      <c r="U69" s="189"/>
      <c r="V69" s="189"/>
      <c r="W69" s="189"/>
    </row>
    <row r="70">
      <c r="A70" s="192">
        <v>8.0</v>
      </c>
      <c r="B70" s="191">
        <v>23077.0</v>
      </c>
      <c r="C70" s="191" t="s">
        <v>988</v>
      </c>
      <c r="D70" s="189"/>
      <c r="E70" s="189"/>
      <c r="F70" s="189"/>
      <c r="G70" s="189"/>
      <c r="H70" s="189"/>
      <c r="I70" s="189"/>
      <c r="J70" s="189"/>
      <c r="K70" s="189"/>
      <c r="L70" s="189"/>
      <c r="M70" s="189"/>
      <c r="N70" s="189"/>
      <c r="O70" s="189"/>
      <c r="P70" s="189"/>
      <c r="Q70" s="189"/>
      <c r="R70" s="189"/>
      <c r="S70" s="189"/>
      <c r="T70" s="189"/>
      <c r="U70" s="189"/>
      <c r="V70" s="189"/>
      <c r="W70" s="189"/>
    </row>
    <row r="71">
      <c r="A71" s="192">
        <v>8.0</v>
      </c>
      <c r="B71" s="191">
        <v>23078.0</v>
      </c>
      <c r="C71" s="191" t="s">
        <v>989</v>
      </c>
      <c r="D71" s="189"/>
      <c r="E71" s="189"/>
      <c r="F71" s="189"/>
      <c r="G71" s="189"/>
      <c r="H71" s="189"/>
      <c r="I71" s="189"/>
      <c r="J71" s="189"/>
      <c r="K71" s="189"/>
      <c r="L71" s="189"/>
      <c r="M71" s="189"/>
      <c r="N71" s="189"/>
      <c r="O71" s="189"/>
      <c r="P71" s="189"/>
      <c r="Q71" s="189"/>
      <c r="R71" s="189"/>
      <c r="S71" s="189"/>
      <c r="T71" s="189"/>
      <c r="U71" s="189"/>
      <c r="V71" s="189"/>
      <c r="W71" s="189"/>
    </row>
    <row r="72">
      <c r="A72" s="192">
        <v>8.0</v>
      </c>
      <c r="B72" s="191">
        <v>23079.0</v>
      </c>
      <c r="C72" s="191" t="s">
        <v>990</v>
      </c>
      <c r="D72" s="189"/>
      <c r="E72" s="189"/>
      <c r="F72" s="189"/>
      <c r="G72" s="189"/>
      <c r="H72" s="189"/>
      <c r="I72" s="189"/>
      <c r="J72" s="189"/>
      <c r="K72" s="189"/>
      <c r="L72" s="189"/>
      <c r="M72" s="189"/>
      <c r="N72" s="189"/>
      <c r="O72" s="189"/>
      <c r="P72" s="189"/>
      <c r="Q72" s="189"/>
      <c r="R72" s="189"/>
      <c r="S72" s="189"/>
      <c r="T72" s="189"/>
      <c r="U72" s="189"/>
      <c r="V72" s="189"/>
      <c r="W72" s="189"/>
    </row>
    <row r="73">
      <c r="A73" s="192">
        <v>8.0</v>
      </c>
      <c r="B73" s="191">
        <v>23080.0</v>
      </c>
      <c r="C73" s="191" t="s">
        <v>991</v>
      </c>
      <c r="D73" s="189"/>
      <c r="E73" s="189"/>
      <c r="F73" s="189"/>
      <c r="G73" s="189"/>
      <c r="H73" s="189"/>
      <c r="I73" s="189"/>
      <c r="J73" s="189"/>
      <c r="K73" s="189"/>
      <c r="L73" s="189"/>
      <c r="M73" s="189"/>
      <c r="N73" s="189"/>
      <c r="O73" s="189"/>
      <c r="P73" s="189"/>
      <c r="Q73" s="189"/>
      <c r="R73" s="189"/>
      <c r="S73" s="189"/>
      <c r="T73" s="189"/>
      <c r="U73" s="189"/>
      <c r="V73" s="189"/>
      <c r="W73" s="189"/>
    </row>
    <row r="74">
      <c r="A74" s="192">
        <v>8.0</v>
      </c>
      <c r="B74" s="191">
        <v>23081.0</v>
      </c>
      <c r="C74" s="191" t="s">
        <v>992</v>
      </c>
      <c r="D74" s="189"/>
      <c r="E74" s="189"/>
      <c r="F74" s="189"/>
      <c r="G74" s="189"/>
      <c r="H74" s="189"/>
      <c r="I74" s="189"/>
      <c r="J74" s="189"/>
      <c r="K74" s="189"/>
      <c r="L74" s="189"/>
      <c r="M74" s="189"/>
      <c r="N74" s="189"/>
      <c r="O74" s="189"/>
      <c r="P74" s="189"/>
      <c r="Q74" s="189"/>
      <c r="R74" s="189"/>
      <c r="S74" s="189"/>
      <c r="T74" s="189"/>
      <c r="U74" s="189"/>
      <c r="V74" s="189"/>
      <c r="W74" s="189"/>
    </row>
    <row r="75">
      <c r="A75" s="192">
        <v>8.0</v>
      </c>
      <c r="B75" s="191">
        <v>23082.0</v>
      </c>
      <c r="C75" s="191" t="s">
        <v>993</v>
      </c>
      <c r="D75" s="189"/>
      <c r="E75" s="189"/>
      <c r="F75" s="189"/>
      <c r="G75" s="189"/>
      <c r="H75" s="189"/>
      <c r="I75" s="189"/>
      <c r="J75" s="189"/>
      <c r="K75" s="189"/>
      <c r="L75" s="189"/>
      <c r="M75" s="189"/>
      <c r="N75" s="189"/>
      <c r="O75" s="189"/>
      <c r="P75" s="189"/>
      <c r="Q75" s="189"/>
      <c r="R75" s="189"/>
      <c r="S75" s="189"/>
      <c r="T75" s="189"/>
      <c r="U75" s="189"/>
      <c r="V75" s="189"/>
      <c r="W75" s="189"/>
    </row>
    <row r="76">
      <c r="A76" s="192">
        <v>8.0</v>
      </c>
      <c r="B76" s="191">
        <v>23083.0</v>
      </c>
      <c r="C76" s="191" t="s">
        <v>994</v>
      </c>
      <c r="D76" s="189"/>
      <c r="E76" s="189"/>
      <c r="F76" s="189"/>
      <c r="G76" s="189"/>
      <c r="H76" s="189"/>
      <c r="I76" s="189"/>
      <c r="J76" s="189"/>
      <c r="K76" s="189"/>
      <c r="L76" s="189"/>
      <c r="M76" s="189"/>
      <c r="N76" s="189"/>
      <c r="O76" s="189"/>
      <c r="P76" s="189"/>
      <c r="Q76" s="189"/>
      <c r="R76" s="189"/>
      <c r="S76" s="189"/>
      <c r="T76" s="189"/>
      <c r="U76" s="189"/>
      <c r="V76" s="189"/>
      <c r="W76" s="189"/>
    </row>
    <row r="77">
      <c r="A77" s="192">
        <v>8.0</v>
      </c>
      <c r="B77" s="191">
        <v>23084.0</v>
      </c>
      <c r="C77" s="191" t="s">
        <v>995</v>
      </c>
      <c r="D77" s="189"/>
      <c r="E77" s="189"/>
      <c r="F77" s="189"/>
      <c r="G77" s="189"/>
      <c r="H77" s="189"/>
      <c r="I77" s="189"/>
      <c r="J77" s="189"/>
      <c r="K77" s="189"/>
      <c r="L77" s="189"/>
      <c r="M77" s="189"/>
      <c r="N77" s="189"/>
      <c r="O77" s="189"/>
      <c r="P77" s="189"/>
      <c r="Q77" s="189"/>
      <c r="R77" s="189"/>
      <c r="S77" s="189"/>
      <c r="T77" s="189"/>
      <c r="U77" s="189"/>
      <c r="V77" s="189"/>
      <c r="W77" s="189"/>
    </row>
    <row r="78">
      <c r="A78" s="192">
        <v>8.0</v>
      </c>
      <c r="B78" s="191">
        <v>23085.0</v>
      </c>
      <c r="C78" s="191" t="s">
        <v>996</v>
      </c>
      <c r="D78" s="189"/>
      <c r="E78" s="189"/>
      <c r="F78" s="189"/>
      <c r="G78" s="189"/>
      <c r="H78" s="189"/>
      <c r="I78" s="189"/>
      <c r="J78" s="189"/>
      <c r="K78" s="189"/>
      <c r="L78" s="189"/>
      <c r="M78" s="189"/>
      <c r="N78" s="189"/>
      <c r="O78" s="189"/>
      <c r="P78" s="189"/>
      <c r="Q78" s="189"/>
      <c r="R78" s="189"/>
      <c r="S78" s="189"/>
      <c r="T78" s="189"/>
      <c r="U78" s="189"/>
      <c r="V78" s="189"/>
      <c r="W78" s="189"/>
    </row>
    <row r="79">
      <c r="A79" s="192">
        <v>8.0</v>
      </c>
      <c r="B79" s="191">
        <v>23073.0</v>
      </c>
      <c r="C79" s="191" t="s">
        <v>997</v>
      </c>
      <c r="D79" s="189"/>
      <c r="E79" s="189"/>
      <c r="F79" s="189"/>
      <c r="G79" s="189"/>
      <c r="H79" s="189"/>
      <c r="I79" s="189"/>
      <c r="J79" s="189"/>
      <c r="K79" s="189"/>
      <c r="L79" s="189"/>
      <c r="M79" s="189"/>
      <c r="N79" s="189"/>
      <c r="O79" s="189"/>
      <c r="P79" s="189"/>
      <c r="Q79" s="189"/>
      <c r="R79" s="189"/>
      <c r="S79" s="189"/>
      <c r="T79" s="189"/>
      <c r="U79" s="189"/>
      <c r="V79" s="189"/>
      <c r="W79" s="189"/>
    </row>
    <row r="80">
      <c r="A80" s="192">
        <v>8.0</v>
      </c>
      <c r="B80" s="191">
        <v>23001.0</v>
      </c>
      <c r="C80" s="191" t="s">
        <v>998</v>
      </c>
      <c r="D80" s="189"/>
      <c r="E80" s="189"/>
      <c r="F80" s="189"/>
      <c r="G80" s="189"/>
      <c r="H80" s="189"/>
      <c r="I80" s="189"/>
      <c r="J80" s="189"/>
      <c r="K80" s="189"/>
      <c r="L80" s="189"/>
      <c r="M80" s="189"/>
      <c r="N80" s="189"/>
      <c r="O80" s="189"/>
      <c r="P80" s="189"/>
      <c r="Q80" s="189"/>
      <c r="R80" s="189"/>
      <c r="S80" s="189"/>
      <c r="T80" s="189"/>
      <c r="U80" s="189"/>
      <c r="V80" s="189"/>
      <c r="W80" s="189"/>
    </row>
    <row r="81">
      <c r="A81" s="192">
        <v>8.0</v>
      </c>
      <c r="B81" s="191">
        <v>23004.0</v>
      </c>
      <c r="C81" s="191" t="s">
        <v>999</v>
      </c>
      <c r="D81" s="189"/>
      <c r="E81" s="189"/>
      <c r="F81" s="189"/>
      <c r="G81" s="189"/>
      <c r="H81" s="189"/>
      <c r="I81" s="189"/>
      <c r="J81" s="189"/>
      <c r="K81" s="189"/>
      <c r="L81" s="189"/>
      <c r="M81" s="189"/>
      <c r="N81" s="189"/>
      <c r="O81" s="189"/>
      <c r="P81" s="189"/>
      <c r="Q81" s="189"/>
      <c r="R81" s="189"/>
      <c r="S81" s="189"/>
      <c r="T81" s="189"/>
      <c r="U81" s="189"/>
      <c r="V81" s="189"/>
      <c r="W81" s="189"/>
    </row>
    <row r="82">
      <c r="A82" s="192">
        <v>8.0</v>
      </c>
      <c r="B82" s="191">
        <v>23005.0</v>
      </c>
      <c r="C82" s="191" t="s">
        <v>1000</v>
      </c>
      <c r="D82" s="189"/>
      <c r="E82" s="189"/>
      <c r="F82" s="189"/>
      <c r="G82" s="189"/>
      <c r="H82" s="189"/>
      <c r="I82" s="189"/>
      <c r="J82" s="189"/>
      <c r="K82" s="189"/>
      <c r="L82" s="189"/>
      <c r="M82" s="189"/>
      <c r="N82" s="189"/>
      <c r="O82" s="189"/>
      <c r="P82" s="189"/>
      <c r="Q82" s="189"/>
      <c r="R82" s="189"/>
      <c r="S82" s="189"/>
      <c r="T82" s="189"/>
      <c r="U82" s="189"/>
      <c r="V82" s="189"/>
      <c r="W82" s="189"/>
    </row>
    <row r="83">
      <c r="A83" s="192">
        <v>8.0</v>
      </c>
      <c r="B83" s="191">
        <v>23006.0</v>
      </c>
      <c r="C83" s="191" t="s">
        <v>1001</v>
      </c>
      <c r="D83" s="189"/>
      <c r="E83" s="189"/>
      <c r="F83" s="189"/>
      <c r="G83" s="189"/>
      <c r="H83" s="189"/>
      <c r="I83" s="189"/>
      <c r="J83" s="189"/>
      <c r="K83" s="189"/>
      <c r="L83" s="189"/>
      <c r="M83" s="189"/>
      <c r="N83" s="189"/>
      <c r="O83" s="189"/>
      <c r="P83" s="189"/>
      <c r="Q83" s="189"/>
      <c r="R83" s="189"/>
      <c r="S83" s="189"/>
      <c r="T83" s="189"/>
      <c r="U83" s="189"/>
      <c r="V83" s="189"/>
      <c r="W83" s="189"/>
    </row>
    <row r="84">
      <c r="A84" s="192">
        <v>8.0</v>
      </c>
      <c r="B84" s="191">
        <v>23007.0</v>
      </c>
      <c r="C84" s="191" t="s">
        <v>1002</v>
      </c>
      <c r="D84" s="189"/>
      <c r="E84" s="189"/>
      <c r="F84" s="189"/>
      <c r="G84" s="189"/>
      <c r="H84" s="189"/>
      <c r="I84" s="189"/>
      <c r="J84" s="189"/>
      <c r="K84" s="189"/>
      <c r="L84" s="189"/>
      <c r="M84" s="189"/>
      <c r="N84" s="189"/>
      <c r="O84" s="189"/>
      <c r="P84" s="189"/>
      <c r="Q84" s="189"/>
      <c r="R84" s="189"/>
      <c r="S84" s="189"/>
      <c r="T84" s="189"/>
      <c r="U84" s="189"/>
      <c r="V84" s="189"/>
      <c r="W84" s="189"/>
    </row>
    <row r="85">
      <c r="A85" s="192">
        <v>8.0</v>
      </c>
      <c r="B85" s="191">
        <v>22006.0</v>
      </c>
      <c r="C85" s="191" t="s">
        <v>1003</v>
      </c>
      <c r="D85" s="189"/>
      <c r="E85" s="189"/>
      <c r="F85" s="189"/>
      <c r="G85" s="189"/>
      <c r="H85" s="189"/>
      <c r="I85" s="189"/>
      <c r="J85" s="189"/>
      <c r="K85" s="189"/>
      <c r="L85" s="189"/>
      <c r="M85" s="189"/>
      <c r="N85" s="189"/>
      <c r="O85" s="189"/>
      <c r="P85" s="189"/>
      <c r="Q85" s="189"/>
      <c r="R85" s="189"/>
      <c r="S85" s="189"/>
      <c r="T85" s="189"/>
      <c r="U85" s="189"/>
      <c r="V85" s="189"/>
      <c r="W85" s="189"/>
    </row>
    <row r="86">
      <c r="A86" s="192">
        <v>8.0</v>
      </c>
      <c r="B86" s="191">
        <v>23008.0</v>
      </c>
      <c r="C86" s="191" t="s">
        <v>1004</v>
      </c>
      <c r="D86" s="189"/>
      <c r="E86" s="189"/>
      <c r="F86" s="189"/>
      <c r="G86" s="189"/>
      <c r="H86" s="189"/>
      <c r="I86" s="189"/>
      <c r="J86" s="189"/>
      <c r="K86" s="189"/>
      <c r="L86" s="189"/>
      <c r="M86" s="189"/>
      <c r="N86" s="189"/>
      <c r="O86" s="189"/>
      <c r="P86" s="189"/>
      <c r="Q86" s="189"/>
      <c r="R86" s="189"/>
      <c r="S86" s="189"/>
      <c r="T86" s="189"/>
      <c r="U86" s="189"/>
      <c r="V86" s="189"/>
      <c r="W86" s="189"/>
    </row>
    <row r="87">
      <c r="A87" s="192">
        <v>8.0</v>
      </c>
      <c r="B87" s="191">
        <v>23010.0</v>
      </c>
      <c r="C87" s="191" t="s">
        <v>1005</v>
      </c>
      <c r="D87" s="189"/>
      <c r="E87" s="189"/>
      <c r="F87" s="189"/>
      <c r="G87" s="189"/>
      <c r="H87" s="189"/>
      <c r="I87" s="189"/>
      <c r="J87" s="189"/>
      <c r="K87" s="189"/>
      <c r="L87" s="189"/>
      <c r="M87" s="189"/>
      <c r="N87" s="189"/>
      <c r="O87" s="189"/>
      <c r="P87" s="189"/>
      <c r="Q87" s="189"/>
      <c r="R87" s="189"/>
      <c r="S87" s="189"/>
      <c r="T87" s="189"/>
      <c r="U87" s="189"/>
      <c r="V87" s="189"/>
      <c r="W87" s="189"/>
    </row>
    <row r="88">
      <c r="A88" s="192">
        <v>8.0</v>
      </c>
      <c r="B88" s="191">
        <v>23011.0</v>
      </c>
      <c r="C88" s="191" t="s">
        <v>1006</v>
      </c>
      <c r="D88" s="189"/>
      <c r="E88" s="189"/>
      <c r="F88" s="189"/>
      <c r="G88" s="189"/>
      <c r="H88" s="189"/>
      <c r="I88" s="189"/>
      <c r="J88" s="189"/>
      <c r="K88" s="189"/>
      <c r="L88" s="189"/>
      <c r="M88" s="189"/>
      <c r="N88" s="189"/>
      <c r="O88" s="189"/>
      <c r="P88" s="189"/>
      <c r="Q88" s="189"/>
      <c r="R88" s="189"/>
      <c r="S88" s="189"/>
      <c r="T88" s="189"/>
      <c r="U88" s="189"/>
      <c r="V88" s="189"/>
      <c r="W88" s="189"/>
    </row>
    <row r="89">
      <c r="A89" s="192">
        <v>8.0</v>
      </c>
      <c r="B89" s="191">
        <v>22012.0</v>
      </c>
      <c r="C89" s="191" t="s">
        <v>1007</v>
      </c>
      <c r="D89" s="189"/>
      <c r="E89" s="189"/>
      <c r="F89" s="189"/>
      <c r="G89" s="189"/>
      <c r="H89" s="189"/>
      <c r="I89" s="189"/>
      <c r="J89" s="189"/>
      <c r="K89" s="189"/>
      <c r="L89" s="189"/>
      <c r="M89" s="189"/>
      <c r="N89" s="189"/>
      <c r="O89" s="189"/>
      <c r="P89" s="189"/>
      <c r="Q89" s="189"/>
      <c r="R89" s="189"/>
      <c r="S89" s="189"/>
      <c r="T89" s="189"/>
      <c r="U89" s="189"/>
      <c r="V89" s="189"/>
      <c r="W89" s="189"/>
    </row>
    <row r="90">
      <c r="A90" s="192">
        <v>8.0</v>
      </c>
      <c r="B90" s="191">
        <v>23130.0</v>
      </c>
      <c r="C90" s="191" t="s">
        <v>1008</v>
      </c>
      <c r="D90" s="189"/>
      <c r="E90" s="189"/>
      <c r="F90" s="189"/>
      <c r="G90" s="189"/>
      <c r="H90" s="189"/>
      <c r="I90" s="189"/>
      <c r="J90" s="189"/>
      <c r="K90" s="189"/>
      <c r="L90" s="189"/>
      <c r="M90" s="189"/>
      <c r="N90" s="189"/>
      <c r="O90" s="189"/>
      <c r="P90" s="189"/>
      <c r="Q90" s="189"/>
      <c r="R90" s="189"/>
      <c r="S90" s="189"/>
      <c r="T90" s="189"/>
      <c r="U90" s="189"/>
      <c r="V90" s="189"/>
      <c r="W90" s="189"/>
    </row>
    <row r="91">
      <c r="A91" s="192">
        <v>8.0</v>
      </c>
      <c r="B91" s="191">
        <v>23012.0</v>
      </c>
      <c r="C91" s="191" t="s">
        <v>1009</v>
      </c>
      <c r="D91" s="189"/>
      <c r="E91" s="189"/>
      <c r="F91" s="189"/>
      <c r="G91" s="189"/>
      <c r="H91" s="189"/>
      <c r="I91" s="189"/>
      <c r="J91" s="189"/>
      <c r="K91" s="189"/>
      <c r="L91" s="189"/>
      <c r="M91" s="189"/>
      <c r="N91" s="189"/>
      <c r="O91" s="189"/>
      <c r="P91" s="189"/>
      <c r="Q91" s="189"/>
      <c r="R91" s="189"/>
      <c r="S91" s="189"/>
      <c r="T91" s="189"/>
      <c r="U91" s="189"/>
      <c r="V91" s="189"/>
      <c r="W91" s="189"/>
    </row>
    <row r="92">
      <c r="A92" s="192">
        <v>8.0</v>
      </c>
      <c r="B92" s="191">
        <v>23013.0</v>
      </c>
      <c r="C92" s="191" t="s">
        <v>1010</v>
      </c>
      <c r="D92" s="189"/>
      <c r="E92" s="189"/>
      <c r="F92" s="189"/>
      <c r="G92" s="189"/>
      <c r="H92" s="189"/>
      <c r="I92" s="189"/>
      <c r="J92" s="189"/>
      <c r="K92" s="189"/>
      <c r="L92" s="189"/>
      <c r="M92" s="189"/>
      <c r="N92" s="189"/>
      <c r="O92" s="189"/>
      <c r="P92" s="189"/>
      <c r="Q92" s="189"/>
      <c r="R92" s="189"/>
      <c r="S92" s="189"/>
      <c r="T92" s="189"/>
      <c r="U92" s="189"/>
      <c r="V92" s="189"/>
      <c r="W92" s="189"/>
    </row>
    <row r="93">
      <c r="A93" s="192">
        <v>8.0</v>
      </c>
      <c r="B93" s="191">
        <v>23015.0</v>
      </c>
      <c r="C93" s="191" t="s">
        <v>1011</v>
      </c>
      <c r="D93" s="189"/>
      <c r="E93" s="189"/>
      <c r="F93" s="189"/>
      <c r="G93" s="189"/>
      <c r="H93" s="189"/>
      <c r="I93" s="189"/>
      <c r="J93" s="189"/>
      <c r="K93" s="189"/>
      <c r="L93" s="189"/>
      <c r="M93" s="189"/>
      <c r="N93" s="189"/>
      <c r="O93" s="189"/>
      <c r="P93" s="189"/>
      <c r="Q93" s="189"/>
      <c r="R93" s="189"/>
      <c r="S93" s="189"/>
      <c r="T93" s="189"/>
      <c r="U93" s="189"/>
      <c r="V93" s="189"/>
      <c r="W93" s="189"/>
    </row>
    <row r="94">
      <c r="A94" s="192">
        <v>8.0</v>
      </c>
      <c r="B94" s="191">
        <v>23017.0</v>
      </c>
      <c r="C94" s="191" t="s">
        <v>1012</v>
      </c>
      <c r="D94" s="189"/>
      <c r="E94" s="189"/>
      <c r="F94" s="189"/>
      <c r="G94" s="189"/>
      <c r="H94" s="189"/>
      <c r="I94" s="189"/>
      <c r="J94" s="189"/>
      <c r="K94" s="189"/>
      <c r="L94" s="189"/>
      <c r="M94" s="189"/>
      <c r="N94" s="189"/>
      <c r="O94" s="189"/>
      <c r="P94" s="189"/>
      <c r="Q94" s="189"/>
      <c r="R94" s="189"/>
      <c r="S94" s="189"/>
      <c r="T94" s="189"/>
      <c r="U94" s="189"/>
      <c r="V94" s="189"/>
      <c r="W94" s="189"/>
    </row>
    <row r="95">
      <c r="A95" s="192">
        <v>8.0</v>
      </c>
      <c r="B95" s="191">
        <v>23018.0</v>
      </c>
      <c r="C95" s="191" t="s">
        <v>1013</v>
      </c>
      <c r="D95" s="189"/>
      <c r="E95" s="189"/>
      <c r="F95" s="189"/>
      <c r="G95" s="189"/>
      <c r="H95" s="189"/>
      <c r="I95" s="189"/>
      <c r="J95" s="189"/>
      <c r="K95" s="189"/>
      <c r="L95" s="189"/>
      <c r="M95" s="189"/>
      <c r="N95" s="189"/>
      <c r="O95" s="189"/>
      <c r="P95" s="189"/>
      <c r="Q95" s="189"/>
      <c r="R95" s="189"/>
      <c r="S95" s="189"/>
      <c r="T95" s="189"/>
      <c r="U95" s="189"/>
      <c r="V95" s="189"/>
      <c r="W95" s="189"/>
    </row>
    <row r="96">
      <c r="A96" s="192">
        <v>8.0</v>
      </c>
      <c r="B96" s="191">
        <v>23019.0</v>
      </c>
      <c r="C96" s="191" t="s">
        <v>1014</v>
      </c>
      <c r="D96" s="189"/>
      <c r="E96" s="189"/>
      <c r="F96" s="189"/>
      <c r="G96" s="189"/>
      <c r="H96" s="189"/>
      <c r="I96" s="189"/>
      <c r="J96" s="189"/>
      <c r="K96" s="189"/>
      <c r="L96" s="189"/>
      <c r="M96" s="189"/>
      <c r="N96" s="189"/>
      <c r="O96" s="189"/>
      <c r="P96" s="189"/>
      <c r="Q96" s="189"/>
      <c r="R96" s="189"/>
      <c r="S96" s="189"/>
      <c r="T96" s="189"/>
      <c r="U96" s="189"/>
      <c r="V96" s="189"/>
      <c r="W96" s="189"/>
    </row>
    <row r="97">
      <c r="A97" s="192">
        <v>8.0</v>
      </c>
      <c r="B97" s="191">
        <v>23002.0</v>
      </c>
      <c r="C97" s="191" t="s">
        <v>1015</v>
      </c>
      <c r="D97" s="189"/>
      <c r="E97" s="189"/>
      <c r="F97" s="189"/>
      <c r="G97" s="189"/>
      <c r="H97" s="189"/>
      <c r="I97" s="189"/>
      <c r="J97" s="189"/>
      <c r="K97" s="189"/>
      <c r="L97" s="189"/>
      <c r="M97" s="189"/>
      <c r="N97" s="189"/>
      <c r="O97" s="189"/>
      <c r="P97" s="189"/>
      <c r="Q97" s="189"/>
      <c r="R97" s="189"/>
      <c r="S97" s="189"/>
      <c r="T97" s="189"/>
      <c r="U97" s="189"/>
      <c r="V97" s="189"/>
      <c r="W97" s="189"/>
    </row>
    <row r="98">
      <c r="A98" s="192">
        <v>8.0</v>
      </c>
      <c r="B98" s="191">
        <v>23086.0</v>
      </c>
      <c r="C98" s="191" t="s">
        <v>1016</v>
      </c>
      <c r="D98" s="189"/>
      <c r="E98" s="189"/>
      <c r="F98" s="189"/>
      <c r="G98" s="189"/>
      <c r="H98" s="189"/>
      <c r="I98" s="189"/>
      <c r="J98" s="189"/>
      <c r="K98" s="189"/>
      <c r="L98" s="189"/>
      <c r="M98" s="189"/>
      <c r="N98" s="189"/>
      <c r="O98" s="189"/>
      <c r="P98" s="189"/>
      <c r="Q98" s="189"/>
      <c r="R98" s="189"/>
      <c r="S98" s="189"/>
      <c r="T98" s="189"/>
      <c r="U98" s="189"/>
      <c r="V98" s="189"/>
      <c r="W98" s="189"/>
    </row>
    <row r="99">
      <c r="A99" s="192">
        <v>8.0</v>
      </c>
      <c r="B99" s="191">
        <v>23087.0</v>
      </c>
      <c r="C99" s="191" t="s">
        <v>1017</v>
      </c>
      <c r="D99" s="189"/>
      <c r="E99" s="189"/>
      <c r="F99" s="189"/>
      <c r="G99" s="189"/>
      <c r="H99" s="189"/>
      <c r="I99" s="189"/>
      <c r="J99" s="189"/>
      <c r="K99" s="189"/>
      <c r="L99" s="189"/>
      <c r="M99" s="189"/>
      <c r="N99" s="189"/>
      <c r="O99" s="189"/>
      <c r="P99" s="189"/>
      <c r="Q99" s="189"/>
      <c r="R99" s="189"/>
      <c r="S99" s="189"/>
      <c r="T99" s="189"/>
      <c r="U99" s="189"/>
      <c r="V99" s="189"/>
      <c r="W99" s="189"/>
    </row>
    <row r="100">
      <c r="A100" s="192">
        <v>8.0</v>
      </c>
      <c r="B100" s="191">
        <v>23088.0</v>
      </c>
      <c r="C100" s="191" t="s">
        <v>1018</v>
      </c>
      <c r="D100" s="189"/>
      <c r="E100" s="189"/>
      <c r="F100" s="189"/>
      <c r="G100" s="189"/>
      <c r="H100" s="189"/>
      <c r="I100" s="189"/>
      <c r="J100" s="189"/>
      <c r="K100" s="189"/>
      <c r="L100" s="189"/>
      <c r="M100" s="189"/>
      <c r="N100" s="189"/>
      <c r="O100" s="189"/>
      <c r="P100" s="189"/>
      <c r="Q100" s="189"/>
      <c r="R100" s="189"/>
      <c r="S100" s="189"/>
      <c r="T100" s="189"/>
      <c r="U100" s="189"/>
      <c r="V100" s="189"/>
      <c r="W100" s="189"/>
    </row>
    <row r="101">
      <c r="A101" s="192">
        <v>8.0</v>
      </c>
      <c r="B101" s="191">
        <v>23089.0</v>
      </c>
      <c r="C101" s="191" t="s">
        <v>1019</v>
      </c>
      <c r="D101" s="189"/>
      <c r="E101" s="189"/>
      <c r="F101" s="189"/>
      <c r="G101" s="189"/>
      <c r="H101" s="189"/>
      <c r="I101" s="189"/>
      <c r="J101" s="189"/>
      <c r="K101" s="189"/>
      <c r="L101" s="189"/>
      <c r="M101" s="189"/>
      <c r="N101" s="189"/>
      <c r="O101" s="189"/>
      <c r="P101" s="189"/>
      <c r="Q101" s="189"/>
      <c r="R101" s="189"/>
      <c r="S101" s="189"/>
      <c r="T101" s="189"/>
      <c r="U101" s="189"/>
      <c r="V101" s="189"/>
      <c r="W101" s="189"/>
    </row>
    <row r="102">
      <c r="A102" s="192">
        <v>8.0</v>
      </c>
      <c r="B102" s="191">
        <v>23090.0</v>
      </c>
      <c r="C102" s="191" t="s">
        <v>1020</v>
      </c>
      <c r="D102" s="189"/>
      <c r="E102" s="189"/>
      <c r="F102" s="189"/>
      <c r="G102" s="189"/>
      <c r="H102" s="189"/>
      <c r="I102" s="189"/>
      <c r="J102" s="189"/>
      <c r="K102" s="189"/>
      <c r="L102" s="189"/>
      <c r="M102" s="189"/>
      <c r="N102" s="189"/>
      <c r="O102" s="189"/>
      <c r="P102" s="189"/>
      <c r="Q102" s="189"/>
      <c r="R102" s="189"/>
      <c r="S102" s="189"/>
      <c r="T102" s="189"/>
      <c r="U102" s="189"/>
      <c r="V102" s="189"/>
      <c r="W102" s="189"/>
    </row>
    <row r="103">
      <c r="A103" s="192">
        <v>8.0</v>
      </c>
      <c r="B103" s="191">
        <v>23133.0</v>
      </c>
      <c r="C103" s="191" t="s">
        <v>1021</v>
      </c>
      <c r="D103" s="189"/>
      <c r="E103" s="189"/>
      <c r="F103" s="189"/>
      <c r="G103" s="189"/>
      <c r="H103" s="189"/>
      <c r="I103" s="189"/>
      <c r="J103" s="189"/>
      <c r="K103" s="189"/>
      <c r="L103" s="189"/>
      <c r="M103" s="189"/>
      <c r="N103" s="189"/>
      <c r="O103" s="189"/>
      <c r="P103" s="189"/>
      <c r="Q103" s="189"/>
      <c r="R103" s="189"/>
      <c r="S103" s="189"/>
      <c r="T103" s="189"/>
      <c r="U103" s="189"/>
      <c r="V103" s="189"/>
      <c r="W103" s="189"/>
    </row>
    <row r="104">
      <c r="A104" s="192">
        <v>8.0</v>
      </c>
      <c r="B104" s="191">
        <v>23091.0</v>
      </c>
      <c r="C104" s="191" t="s">
        <v>1022</v>
      </c>
      <c r="D104" s="189"/>
      <c r="E104" s="189"/>
      <c r="F104" s="189"/>
      <c r="G104" s="189"/>
      <c r="H104" s="189"/>
      <c r="I104" s="189"/>
      <c r="J104" s="189"/>
      <c r="K104" s="189"/>
      <c r="L104" s="189"/>
      <c r="M104" s="189"/>
      <c r="N104" s="189"/>
      <c r="O104" s="189"/>
      <c r="P104" s="189"/>
      <c r="Q104" s="189"/>
      <c r="R104" s="189"/>
      <c r="S104" s="189"/>
      <c r="T104" s="189"/>
      <c r="U104" s="189"/>
      <c r="V104" s="189"/>
      <c r="W104" s="189"/>
    </row>
    <row r="105">
      <c r="A105" s="192">
        <v>8.0</v>
      </c>
      <c r="B105" s="191">
        <v>23092.0</v>
      </c>
      <c r="C105" s="191" t="s">
        <v>1023</v>
      </c>
      <c r="D105" s="189"/>
      <c r="E105" s="189"/>
      <c r="F105" s="189"/>
      <c r="G105" s="189"/>
      <c r="H105" s="189"/>
      <c r="I105" s="189"/>
      <c r="J105" s="189"/>
      <c r="K105" s="189"/>
      <c r="L105" s="189"/>
      <c r="M105" s="189"/>
      <c r="N105" s="189"/>
      <c r="O105" s="189"/>
      <c r="P105" s="189"/>
      <c r="Q105" s="189"/>
      <c r="R105" s="189"/>
      <c r="S105" s="189"/>
      <c r="T105" s="189"/>
      <c r="U105" s="189"/>
      <c r="V105" s="189"/>
      <c r="W105" s="189"/>
    </row>
    <row r="106">
      <c r="A106" s="192">
        <v>8.0</v>
      </c>
      <c r="B106" s="191">
        <v>23093.0</v>
      </c>
      <c r="C106" s="191" t="s">
        <v>1024</v>
      </c>
      <c r="D106" s="189"/>
      <c r="E106" s="189"/>
      <c r="F106" s="189"/>
      <c r="G106" s="189"/>
      <c r="H106" s="189"/>
      <c r="I106" s="189"/>
      <c r="J106" s="189"/>
      <c r="K106" s="189"/>
      <c r="L106" s="189"/>
      <c r="M106" s="189"/>
      <c r="N106" s="189"/>
      <c r="O106" s="189"/>
      <c r="P106" s="189"/>
      <c r="Q106" s="189"/>
      <c r="R106" s="189"/>
      <c r="S106" s="189"/>
      <c r="T106" s="189"/>
      <c r="U106" s="189"/>
      <c r="V106" s="189"/>
      <c r="W106" s="189"/>
    </row>
    <row r="107">
      <c r="A107" s="192">
        <v>8.0</v>
      </c>
      <c r="B107" s="191">
        <v>23095.0</v>
      </c>
      <c r="C107" s="191" t="s">
        <v>1025</v>
      </c>
      <c r="D107" s="189"/>
      <c r="E107" s="189"/>
      <c r="F107" s="189"/>
      <c r="G107" s="189"/>
      <c r="H107" s="189"/>
      <c r="I107" s="189"/>
      <c r="J107" s="189"/>
      <c r="K107" s="189"/>
      <c r="L107" s="189"/>
      <c r="M107" s="189"/>
      <c r="N107" s="189"/>
      <c r="O107" s="189"/>
      <c r="P107" s="189"/>
      <c r="Q107" s="189"/>
      <c r="R107" s="189"/>
      <c r="S107" s="189"/>
      <c r="T107" s="189"/>
      <c r="U107" s="189"/>
      <c r="V107" s="189"/>
      <c r="W107" s="189"/>
    </row>
    <row r="108">
      <c r="A108" s="192">
        <v>8.0</v>
      </c>
      <c r="B108" s="191">
        <v>23096.0</v>
      </c>
      <c r="C108" s="191" t="s">
        <v>1026</v>
      </c>
      <c r="D108" s="189"/>
      <c r="E108" s="189"/>
      <c r="F108" s="189"/>
      <c r="G108" s="189"/>
      <c r="H108" s="189"/>
      <c r="I108" s="189"/>
      <c r="J108" s="189"/>
      <c r="K108" s="189"/>
      <c r="L108" s="189"/>
      <c r="M108" s="189"/>
      <c r="N108" s="189"/>
      <c r="O108" s="189"/>
      <c r="P108" s="189"/>
      <c r="Q108" s="189"/>
      <c r="R108" s="189"/>
      <c r="S108" s="189"/>
      <c r="T108" s="189"/>
      <c r="U108" s="189"/>
      <c r="V108" s="189"/>
      <c r="W108" s="189"/>
    </row>
    <row r="109">
      <c r="A109" s="192">
        <v>8.0</v>
      </c>
      <c r="B109" s="191">
        <v>23097.0</v>
      </c>
      <c r="C109" s="191" t="s">
        <v>1027</v>
      </c>
      <c r="D109" s="189"/>
      <c r="E109" s="189"/>
      <c r="F109" s="189"/>
      <c r="G109" s="189"/>
      <c r="H109" s="189"/>
      <c r="I109" s="189"/>
      <c r="J109" s="189"/>
      <c r="K109" s="189"/>
      <c r="L109" s="189"/>
      <c r="M109" s="189"/>
      <c r="N109" s="189"/>
      <c r="O109" s="189"/>
      <c r="P109" s="189"/>
      <c r="Q109" s="189"/>
      <c r="R109" s="189"/>
      <c r="S109" s="189"/>
      <c r="T109" s="189"/>
      <c r="U109" s="189"/>
      <c r="V109" s="189"/>
      <c r="W109" s="189"/>
    </row>
    <row r="110">
      <c r="A110" s="192">
        <v>8.0</v>
      </c>
      <c r="B110" s="191">
        <v>23098.0</v>
      </c>
      <c r="C110" s="191" t="s">
        <v>1028</v>
      </c>
      <c r="D110" s="189"/>
      <c r="E110" s="189"/>
      <c r="F110" s="189"/>
      <c r="G110" s="189"/>
      <c r="H110" s="189"/>
      <c r="I110" s="189"/>
      <c r="J110" s="189"/>
      <c r="K110" s="189"/>
      <c r="L110" s="189"/>
      <c r="M110" s="189"/>
      <c r="N110" s="189"/>
      <c r="O110" s="189"/>
      <c r="P110" s="189"/>
      <c r="Q110" s="189"/>
      <c r="R110" s="189"/>
      <c r="S110" s="189"/>
      <c r="T110" s="189"/>
      <c r="U110" s="189"/>
      <c r="V110" s="189"/>
      <c r="W110" s="189"/>
    </row>
    <row r="111">
      <c r="A111" s="192">
        <v>8.0</v>
      </c>
      <c r="B111" s="191">
        <v>23100.0</v>
      </c>
      <c r="C111" s="191" t="s">
        <v>1029</v>
      </c>
      <c r="D111" s="189"/>
      <c r="E111" s="189"/>
      <c r="F111" s="189"/>
      <c r="G111" s="189"/>
      <c r="H111" s="189"/>
      <c r="I111" s="189"/>
      <c r="J111" s="189"/>
      <c r="K111" s="189"/>
      <c r="L111" s="189"/>
      <c r="M111" s="189"/>
      <c r="N111" s="189"/>
      <c r="O111" s="189"/>
      <c r="P111" s="189"/>
      <c r="Q111" s="189"/>
      <c r="R111" s="189"/>
      <c r="S111" s="189"/>
      <c r="T111" s="189"/>
      <c r="U111" s="189"/>
      <c r="V111" s="189"/>
      <c r="W111" s="189"/>
    </row>
    <row r="112">
      <c r="A112" s="192">
        <v>8.0</v>
      </c>
      <c r="B112" s="191">
        <v>23101.0</v>
      </c>
      <c r="C112" s="191" t="s">
        <v>1030</v>
      </c>
      <c r="D112" s="189"/>
      <c r="E112" s="189"/>
      <c r="F112" s="189"/>
      <c r="G112" s="189"/>
      <c r="H112" s="189"/>
      <c r="I112" s="189"/>
      <c r="J112" s="189"/>
      <c r="K112" s="189"/>
      <c r="L112" s="189"/>
      <c r="M112" s="189"/>
      <c r="N112" s="189"/>
      <c r="O112" s="189"/>
      <c r="P112" s="189"/>
      <c r="Q112" s="189"/>
      <c r="R112" s="189"/>
      <c r="S112" s="189"/>
      <c r="T112" s="189"/>
      <c r="U112" s="189"/>
      <c r="V112" s="189"/>
      <c r="W112" s="189"/>
    </row>
    <row r="113">
      <c r="A113" s="192">
        <v>8.0</v>
      </c>
      <c r="B113" s="191">
        <v>23102.0</v>
      </c>
      <c r="C113" s="191" t="s">
        <v>1031</v>
      </c>
      <c r="D113" s="189"/>
      <c r="E113" s="189"/>
      <c r="F113" s="189"/>
      <c r="G113" s="189"/>
      <c r="H113" s="189"/>
      <c r="I113" s="189"/>
      <c r="J113" s="189"/>
      <c r="K113" s="189"/>
      <c r="L113" s="189"/>
      <c r="M113" s="189"/>
      <c r="N113" s="189"/>
      <c r="O113" s="189"/>
      <c r="P113" s="189"/>
      <c r="Q113" s="189"/>
      <c r="R113" s="189"/>
      <c r="S113" s="189"/>
      <c r="T113" s="189"/>
      <c r="U113" s="189"/>
      <c r="V113" s="189"/>
      <c r="W113" s="189"/>
    </row>
    <row r="114">
      <c r="A114" s="192">
        <v>8.0</v>
      </c>
      <c r="B114" s="191">
        <v>23124.0</v>
      </c>
      <c r="C114" s="191" t="s">
        <v>1032</v>
      </c>
      <c r="D114" s="189"/>
      <c r="E114" s="189"/>
      <c r="F114" s="189"/>
      <c r="G114" s="189"/>
      <c r="H114" s="189"/>
      <c r="I114" s="189"/>
      <c r="J114" s="189"/>
      <c r="K114" s="189"/>
      <c r="L114" s="189"/>
      <c r="M114" s="189"/>
      <c r="N114" s="189"/>
      <c r="O114" s="189"/>
      <c r="P114" s="189"/>
      <c r="Q114" s="189"/>
      <c r="R114" s="189"/>
      <c r="S114" s="189"/>
      <c r="T114" s="189"/>
      <c r="U114" s="189"/>
      <c r="V114" s="189"/>
      <c r="W114" s="189"/>
    </row>
    <row r="115">
      <c r="A115" s="192">
        <v>8.0</v>
      </c>
      <c r="B115" s="191">
        <v>23103.0</v>
      </c>
      <c r="C115" s="191" t="s">
        <v>1033</v>
      </c>
      <c r="D115" s="189"/>
      <c r="E115" s="189"/>
      <c r="F115" s="189"/>
      <c r="G115" s="189"/>
      <c r="H115" s="189"/>
      <c r="I115" s="189"/>
      <c r="J115" s="189"/>
      <c r="K115" s="189"/>
      <c r="L115" s="189"/>
      <c r="M115" s="189"/>
      <c r="N115" s="189"/>
      <c r="O115" s="189"/>
      <c r="P115" s="189"/>
      <c r="Q115" s="189"/>
      <c r="R115" s="189"/>
      <c r="S115" s="189"/>
      <c r="T115" s="189"/>
      <c r="U115" s="189"/>
      <c r="V115" s="189"/>
      <c r="W115" s="189"/>
    </row>
    <row r="116">
      <c r="A116" s="192">
        <v>8.0</v>
      </c>
      <c r="B116" s="191">
        <v>23104.0</v>
      </c>
      <c r="C116" s="191" t="s">
        <v>1034</v>
      </c>
      <c r="D116" s="189"/>
      <c r="E116" s="189"/>
      <c r="F116" s="189"/>
      <c r="G116" s="189"/>
      <c r="H116" s="189"/>
      <c r="I116" s="189"/>
      <c r="J116" s="189"/>
      <c r="K116" s="189"/>
      <c r="L116" s="189"/>
      <c r="M116" s="189"/>
      <c r="N116" s="189"/>
      <c r="O116" s="189"/>
      <c r="P116" s="189"/>
      <c r="Q116" s="189"/>
      <c r="R116" s="189"/>
      <c r="S116" s="189"/>
      <c r="T116" s="189"/>
      <c r="U116" s="189"/>
      <c r="V116" s="189"/>
      <c r="W116" s="189"/>
    </row>
    <row r="117">
      <c r="A117" s="188">
        <v>9.0</v>
      </c>
      <c r="B117" s="188">
        <v>22001.0</v>
      </c>
      <c r="C117" s="193" t="s">
        <v>1035</v>
      </c>
      <c r="D117" s="189"/>
      <c r="E117" s="189"/>
      <c r="F117" s="189"/>
      <c r="G117" s="189"/>
      <c r="H117" s="189"/>
      <c r="I117" s="189"/>
      <c r="J117" s="189"/>
      <c r="K117" s="189"/>
      <c r="L117" s="189"/>
      <c r="M117" s="189"/>
      <c r="N117" s="189"/>
      <c r="O117" s="189"/>
      <c r="P117" s="189"/>
      <c r="Q117" s="189"/>
      <c r="R117" s="189"/>
      <c r="S117" s="189"/>
      <c r="T117" s="189"/>
      <c r="U117" s="189"/>
      <c r="V117" s="189"/>
      <c r="W117" s="189"/>
    </row>
    <row r="118">
      <c r="A118" s="188">
        <v>9.0</v>
      </c>
      <c r="B118" s="188">
        <v>22002.0</v>
      </c>
      <c r="C118" s="193" t="s">
        <v>1036</v>
      </c>
      <c r="D118" s="189"/>
      <c r="E118" s="189"/>
      <c r="F118" s="189"/>
      <c r="G118" s="189"/>
      <c r="H118" s="189"/>
      <c r="I118" s="189"/>
      <c r="J118" s="189"/>
      <c r="K118" s="189"/>
      <c r="L118" s="189"/>
      <c r="M118" s="189"/>
      <c r="N118" s="189"/>
      <c r="O118" s="189"/>
      <c r="P118" s="189"/>
      <c r="Q118" s="189"/>
      <c r="R118" s="189"/>
      <c r="S118" s="189"/>
      <c r="T118" s="189"/>
      <c r="U118" s="189"/>
      <c r="V118" s="189"/>
      <c r="W118" s="189"/>
    </row>
    <row r="119">
      <c r="A119" s="188">
        <v>9.0</v>
      </c>
      <c r="B119" s="188">
        <v>22120.0</v>
      </c>
      <c r="C119" s="193" t="s">
        <v>1037</v>
      </c>
      <c r="D119" s="189"/>
      <c r="E119" s="189"/>
      <c r="F119" s="189"/>
      <c r="G119" s="189"/>
      <c r="H119" s="189"/>
      <c r="I119" s="189"/>
      <c r="J119" s="189"/>
      <c r="K119" s="189"/>
      <c r="L119" s="189"/>
      <c r="M119" s="189"/>
      <c r="N119" s="189"/>
      <c r="O119" s="189"/>
      <c r="P119" s="189"/>
      <c r="Q119" s="189"/>
      <c r="R119" s="189"/>
      <c r="S119" s="189"/>
      <c r="T119" s="189"/>
      <c r="U119" s="189"/>
      <c r="V119" s="189"/>
      <c r="W119" s="189"/>
    </row>
    <row r="120">
      <c r="A120" s="188">
        <v>9.0</v>
      </c>
      <c r="B120" s="188">
        <v>23003.0</v>
      </c>
      <c r="C120" s="193" t="s">
        <v>1038</v>
      </c>
      <c r="D120" s="189"/>
      <c r="E120" s="189"/>
      <c r="F120" s="189"/>
      <c r="G120" s="189"/>
      <c r="H120" s="189"/>
      <c r="I120" s="189"/>
      <c r="J120" s="189"/>
      <c r="K120" s="189"/>
      <c r="L120" s="189"/>
      <c r="M120" s="189"/>
      <c r="N120" s="189"/>
      <c r="O120" s="189"/>
      <c r="P120" s="189"/>
      <c r="Q120" s="189"/>
      <c r="R120" s="189"/>
      <c r="S120" s="189"/>
      <c r="T120" s="189"/>
      <c r="U120" s="189"/>
      <c r="V120" s="189"/>
      <c r="W120" s="189"/>
    </row>
    <row r="121">
      <c r="A121" s="188">
        <v>9.0</v>
      </c>
      <c r="B121" s="188">
        <v>22005.0</v>
      </c>
      <c r="C121" s="193" t="s">
        <v>1039</v>
      </c>
      <c r="D121" s="189"/>
      <c r="E121" s="189"/>
      <c r="F121" s="189"/>
      <c r="G121" s="189"/>
      <c r="H121" s="189"/>
      <c r="I121" s="189"/>
      <c r="J121" s="189"/>
      <c r="K121" s="189"/>
      <c r="L121" s="189"/>
      <c r="M121" s="189"/>
      <c r="N121" s="189"/>
      <c r="O121" s="189"/>
      <c r="P121" s="189"/>
      <c r="Q121" s="189"/>
      <c r="R121" s="189"/>
      <c r="S121" s="189"/>
      <c r="T121" s="189"/>
      <c r="U121" s="189"/>
      <c r="V121" s="189"/>
      <c r="W121" s="189"/>
    </row>
    <row r="122">
      <c r="A122" s="188">
        <v>9.0</v>
      </c>
      <c r="B122" s="188">
        <v>22007.0</v>
      </c>
      <c r="C122" s="193" t="s">
        <v>1040</v>
      </c>
      <c r="D122" s="189"/>
      <c r="E122" s="189"/>
      <c r="F122" s="189"/>
      <c r="G122" s="189"/>
      <c r="H122" s="189"/>
      <c r="I122" s="189"/>
      <c r="J122" s="189"/>
      <c r="K122" s="189"/>
      <c r="L122" s="189"/>
      <c r="M122" s="189"/>
      <c r="N122" s="189"/>
      <c r="O122" s="189"/>
      <c r="P122" s="189"/>
      <c r="Q122" s="189"/>
      <c r="R122" s="189"/>
      <c r="S122" s="189"/>
      <c r="T122" s="189"/>
      <c r="U122" s="189"/>
      <c r="V122" s="189"/>
      <c r="W122" s="189"/>
    </row>
    <row r="123">
      <c r="A123" s="188">
        <v>9.0</v>
      </c>
      <c r="B123" s="188">
        <v>22008.0</v>
      </c>
      <c r="C123" s="193" t="s">
        <v>1041</v>
      </c>
      <c r="D123" s="189"/>
      <c r="E123" s="189"/>
      <c r="F123" s="189"/>
      <c r="G123" s="189"/>
      <c r="H123" s="189"/>
      <c r="I123" s="189"/>
      <c r="J123" s="189"/>
      <c r="K123" s="189"/>
      <c r="L123" s="189"/>
      <c r="M123" s="189"/>
      <c r="N123" s="189"/>
      <c r="O123" s="189"/>
      <c r="P123" s="189"/>
      <c r="Q123" s="189"/>
      <c r="R123" s="189"/>
      <c r="S123" s="189"/>
      <c r="T123" s="189"/>
      <c r="U123" s="189"/>
      <c r="V123" s="189"/>
      <c r="W123" s="189"/>
    </row>
    <row r="124">
      <c r="A124" s="188">
        <v>9.0</v>
      </c>
      <c r="B124" s="188">
        <v>22009.0</v>
      </c>
      <c r="C124" s="193" t="s">
        <v>1042</v>
      </c>
      <c r="D124" s="189"/>
      <c r="E124" s="189"/>
      <c r="F124" s="189"/>
      <c r="G124" s="189"/>
      <c r="H124" s="189"/>
      <c r="I124" s="189"/>
      <c r="J124" s="189"/>
      <c r="K124" s="189"/>
      <c r="L124" s="189"/>
      <c r="M124" s="189"/>
      <c r="N124" s="189"/>
      <c r="O124" s="189"/>
      <c r="P124" s="189"/>
      <c r="Q124" s="189"/>
      <c r="R124" s="189"/>
      <c r="S124" s="189"/>
      <c r="T124" s="189"/>
      <c r="U124" s="189"/>
      <c r="V124" s="189"/>
      <c r="W124" s="189"/>
    </row>
    <row r="125">
      <c r="A125" s="188">
        <v>9.0</v>
      </c>
      <c r="B125" s="188">
        <v>22010.0</v>
      </c>
      <c r="C125" s="193" t="s">
        <v>1043</v>
      </c>
      <c r="D125" s="189"/>
      <c r="E125" s="189"/>
      <c r="F125" s="189"/>
      <c r="G125" s="189"/>
      <c r="H125" s="189"/>
      <c r="I125" s="189"/>
      <c r="J125" s="189"/>
      <c r="K125" s="189"/>
      <c r="L125" s="189"/>
      <c r="M125" s="189"/>
      <c r="N125" s="189"/>
      <c r="O125" s="189"/>
      <c r="P125" s="189"/>
      <c r="Q125" s="189"/>
      <c r="R125" s="189"/>
      <c r="S125" s="189"/>
      <c r="T125" s="189"/>
      <c r="U125" s="189"/>
      <c r="V125" s="189"/>
      <c r="W125" s="189"/>
    </row>
    <row r="126">
      <c r="A126" s="188">
        <v>9.0</v>
      </c>
      <c r="B126" s="188">
        <v>22113.0</v>
      </c>
      <c r="C126" s="193" t="s">
        <v>1044</v>
      </c>
      <c r="D126" s="189"/>
      <c r="E126" s="189"/>
      <c r="F126" s="189"/>
      <c r="G126" s="189"/>
      <c r="H126" s="189"/>
      <c r="I126" s="189"/>
      <c r="J126" s="189"/>
      <c r="K126" s="189"/>
      <c r="L126" s="189"/>
      <c r="M126" s="189"/>
      <c r="N126" s="189"/>
      <c r="O126" s="189"/>
      <c r="P126" s="189"/>
      <c r="Q126" s="189"/>
      <c r="R126" s="189"/>
      <c r="S126" s="189"/>
      <c r="T126" s="189"/>
      <c r="U126" s="189"/>
      <c r="V126" s="189"/>
      <c r="W126" s="189"/>
    </row>
    <row r="127">
      <c r="A127" s="188">
        <v>9.0</v>
      </c>
      <c r="B127" s="188">
        <v>22011.0</v>
      </c>
      <c r="C127" s="193" t="s">
        <v>1045</v>
      </c>
      <c r="D127" s="189"/>
      <c r="E127" s="189"/>
      <c r="F127" s="189"/>
      <c r="G127" s="189"/>
      <c r="H127" s="189"/>
      <c r="I127" s="189"/>
      <c r="J127" s="189"/>
      <c r="K127" s="189"/>
      <c r="L127" s="189"/>
      <c r="M127" s="189"/>
      <c r="N127" s="189"/>
      <c r="O127" s="189"/>
      <c r="P127" s="189"/>
      <c r="Q127" s="189"/>
      <c r="R127" s="189"/>
      <c r="S127" s="189"/>
      <c r="T127" s="189"/>
      <c r="U127" s="189"/>
      <c r="V127" s="189"/>
      <c r="W127" s="189"/>
    </row>
    <row r="128">
      <c r="A128" s="188">
        <v>9.0</v>
      </c>
      <c r="B128" s="188">
        <v>22013.0</v>
      </c>
      <c r="C128" s="193" t="s">
        <v>1046</v>
      </c>
      <c r="D128" s="189"/>
      <c r="E128" s="189"/>
      <c r="F128" s="189"/>
      <c r="G128" s="189"/>
      <c r="H128" s="189"/>
      <c r="I128" s="189"/>
      <c r="J128" s="189"/>
      <c r="K128" s="189"/>
      <c r="L128" s="189"/>
      <c r="M128" s="189"/>
      <c r="N128" s="189"/>
      <c r="O128" s="189"/>
      <c r="P128" s="189"/>
      <c r="Q128" s="189"/>
      <c r="R128" s="189"/>
      <c r="S128" s="189"/>
      <c r="T128" s="189"/>
      <c r="U128" s="189"/>
      <c r="V128" s="189"/>
      <c r="W128" s="189"/>
    </row>
    <row r="129">
      <c r="A129" s="188">
        <v>9.0</v>
      </c>
      <c r="B129" s="188">
        <v>22014.0</v>
      </c>
      <c r="C129" s="193" t="s">
        <v>1047</v>
      </c>
      <c r="D129" s="189"/>
      <c r="E129" s="189"/>
      <c r="F129" s="189"/>
      <c r="G129" s="189"/>
      <c r="H129" s="189"/>
      <c r="I129" s="189"/>
      <c r="J129" s="189"/>
      <c r="K129" s="189"/>
      <c r="L129" s="189"/>
      <c r="M129" s="189"/>
      <c r="N129" s="189"/>
      <c r="O129" s="189"/>
      <c r="P129" s="189"/>
      <c r="Q129" s="189"/>
      <c r="R129" s="189"/>
      <c r="S129" s="189"/>
      <c r="T129" s="189"/>
      <c r="U129" s="189"/>
      <c r="V129" s="189"/>
      <c r="W129" s="189"/>
    </row>
    <row r="130">
      <c r="A130" s="188">
        <v>9.0</v>
      </c>
      <c r="B130" s="188">
        <v>22140.0</v>
      </c>
      <c r="C130" s="193" t="s">
        <v>1048</v>
      </c>
      <c r="D130" s="189"/>
      <c r="E130" s="189"/>
      <c r="F130" s="189"/>
      <c r="G130" s="189"/>
      <c r="H130" s="189"/>
      <c r="I130" s="189"/>
      <c r="J130" s="189"/>
      <c r="K130" s="189"/>
      <c r="L130" s="189"/>
      <c r="M130" s="189"/>
      <c r="N130" s="189"/>
      <c r="O130" s="189"/>
      <c r="P130" s="189"/>
      <c r="Q130" s="189"/>
      <c r="R130" s="189"/>
      <c r="S130" s="189"/>
      <c r="T130" s="189"/>
      <c r="U130" s="189"/>
      <c r="V130" s="189"/>
      <c r="W130" s="189"/>
    </row>
    <row r="131">
      <c r="A131" s="188">
        <v>9.0</v>
      </c>
      <c r="B131" s="188">
        <v>22132.0</v>
      </c>
      <c r="C131" s="193" t="s">
        <v>1049</v>
      </c>
      <c r="D131" s="189"/>
      <c r="E131" s="189"/>
      <c r="F131" s="189"/>
      <c r="G131" s="189"/>
      <c r="H131" s="189"/>
      <c r="I131" s="189"/>
      <c r="J131" s="189"/>
      <c r="K131" s="189"/>
      <c r="L131" s="189"/>
      <c r="M131" s="189"/>
      <c r="N131" s="189"/>
      <c r="O131" s="189"/>
      <c r="P131" s="189"/>
      <c r="Q131" s="189"/>
      <c r="R131" s="189"/>
      <c r="S131" s="189"/>
      <c r="T131" s="189"/>
      <c r="U131" s="189"/>
      <c r="V131" s="189"/>
      <c r="W131" s="189"/>
    </row>
    <row r="132">
      <c r="A132" s="188">
        <v>9.0</v>
      </c>
      <c r="B132" s="188">
        <v>22015.0</v>
      </c>
      <c r="C132" s="193" t="s">
        <v>1050</v>
      </c>
      <c r="D132" s="189"/>
      <c r="E132" s="189"/>
      <c r="F132" s="189"/>
      <c r="G132" s="189"/>
      <c r="H132" s="189"/>
      <c r="I132" s="189"/>
      <c r="J132" s="189"/>
      <c r="K132" s="189"/>
      <c r="L132" s="189"/>
      <c r="M132" s="189"/>
      <c r="N132" s="189"/>
      <c r="O132" s="189"/>
      <c r="P132" s="189"/>
      <c r="Q132" s="189"/>
      <c r="R132" s="189"/>
      <c r="S132" s="189"/>
      <c r="T132" s="189"/>
      <c r="U132" s="189"/>
      <c r="V132" s="189"/>
      <c r="W132" s="189"/>
    </row>
    <row r="133">
      <c r="A133" s="188">
        <v>9.0</v>
      </c>
      <c r="B133" s="188">
        <v>22016.0</v>
      </c>
      <c r="C133" s="193" t="s">
        <v>1051</v>
      </c>
      <c r="D133" s="189"/>
      <c r="E133" s="189"/>
      <c r="F133" s="189"/>
      <c r="G133" s="189"/>
      <c r="H133" s="189"/>
      <c r="I133" s="189"/>
      <c r="J133" s="189"/>
      <c r="K133" s="189"/>
      <c r="L133" s="189"/>
      <c r="M133" s="189"/>
      <c r="N133" s="189"/>
      <c r="O133" s="189"/>
      <c r="P133" s="189"/>
      <c r="Q133" s="189"/>
      <c r="R133" s="189"/>
      <c r="S133" s="189"/>
      <c r="T133" s="189"/>
      <c r="U133" s="189"/>
      <c r="V133" s="189"/>
      <c r="W133" s="189"/>
    </row>
    <row r="134">
      <c r="A134" s="188">
        <v>9.0</v>
      </c>
      <c r="B134" s="188">
        <v>22107.0</v>
      </c>
      <c r="C134" s="193" t="s">
        <v>1052</v>
      </c>
      <c r="D134" s="189"/>
      <c r="E134" s="189"/>
      <c r="F134" s="189"/>
      <c r="G134" s="189"/>
      <c r="H134" s="189"/>
      <c r="I134" s="189"/>
      <c r="J134" s="189"/>
      <c r="K134" s="189"/>
      <c r="L134" s="189"/>
      <c r="M134" s="189"/>
      <c r="N134" s="189"/>
      <c r="O134" s="189"/>
      <c r="P134" s="189"/>
      <c r="Q134" s="189"/>
      <c r="R134" s="189"/>
      <c r="S134" s="189"/>
      <c r="T134" s="189"/>
      <c r="U134" s="189"/>
      <c r="V134" s="189"/>
      <c r="W134" s="189"/>
    </row>
    <row r="135">
      <c r="A135" s="188">
        <v>9.0</v>
      </c>
      <c r="B135" s="188">
        <v>22018.0</v>
      </c>
      <c r="C135" s="193" t="s">
        <v>1053</v>
      </c>
      <c r="D135" s="189"/>
      <c r="E135" s="189"/>
      <c r="F135" s="189"/>
      <c r="G135" s="189"/>
      <c r="H135" s="189"/>
      <c r="I135" s="189"/>
      <c r="J135" s="189"/>
      <c r="K135" s="189"/>
      <c r="L135" s="189"/>
      <c r="M135" s="189"/>
      <c r="N135" s="189"/>
      <c r="O135" s="189"/>
      <c r="P135" s="189"/>
      <c r="Q135" s="189"/>
      <c r="R135" s="189"/>
      <c r="S135" s="189"/>
      <c r="T135" s="189"/>
      <c r="U135" s="189"/>
      <c r="V135" s="189"/>
      <c r="W135" s="189"/>
    </row>
    <row r="136">
      <c r="A136" s="188">
        <v>9.0</v>
      </c>
      <c r="B136" s="188">
        <v>22019.0</v>
      </c>
      <c r="C136" s="193" t="s">
        <v>1054</v>
      </c>
      <c r="D136" s="189"/>
      <c r="E136" s="189"/>
      <c r="F136" s="189"/>
      <c r="G136" s="189"/>
      <c r="H136" s="189"/>
      <c r="I136" s="189"/>
      <c r="J136" s="189"/>
      <c r="K136" s="189"/>
      <c r="L136" s="189"/>
      <c r="M136" s="189"/>
      <c r="N136" s="189"/>
      <c r="O136" s="189"/>
      <c r="P136" s="189"/>
      <c r="Q136" s="189"/>
      <c r="R136" s="189"/>
      <c r="S136" s="189"/>
      <c r="T136" s="189"/>
      <c r="U136" s="189"/>
      <c r="V136" s="189"/>
      <c r="W136" s="189"/>
    </row>
    <row r="137">
      <c r="A137" s="188">
        <v>9.0</v>
      </c>
      <c r="B137" s="188">
        <v>22147.0</v>
      </c>
      <c r="C137" s="193" t="s">
        <v>1055</v>
      </c>
      <c r="D137" s="189"/>
      <c r="E137" s="189"/>
      <c r="F137" s="189"/>
      <c r="G137" s="189"/>
      <c r="H137" s="189"/>
      <c r="I137" s="189"/>
      <c r="J137" s="189"/>
      <c r="K137" s="189"/>
      <c r="L137" s="189"/>
      <c r="M137" s="189"/>
      <c r="N137" s="189"/>
      <c r="O137" s="189"/>
      <c r="P137" s="189"/>
      <c r="Q137" s="189"/>
      <c r="R137" s="189"/>
      <c r="S137" s="189"/>
      <c r="T137" s="189"/>
      <c r="U137" s="189"/>
      <c r="V137" s="189"/>
      <c r="W137" s="189"/>
    </row>
    <row r="138">
      <c r="A138" s="188">
        <v>9.0</v>
      </c>
      <c r="B138" s="188">
        <v>22020.0</v>
      </c>
      <c r="C138" s="193" t="s">
        <v>1056</v>
      </c>
      <c r="D138" s="189"/>
      <c r="E138" s="189"/>
      <c r="F138" s="189"/>
      <c r="G138" s="189"/>
      <c r="H138" s="189"/>
      <c r="I138" s="189"/>
      <c r="J138" s="189"/>
      <c r="K138" s="189"/>
      <c r="L138" s="189"/>
      <c r="M138" s="189"/>
      <c r="N138" s="189"/>
      <c r="O138" s="189"/>
      <c r="P138" s="189"/>
      <c r="Q138" s="189"/>
      <c r="R138" s="189"/>
      <c r="S138" s="189"/>
      <c r="T138" s="189"/>
      <c r="U138" s="189"/>
      <c r="V138" s="189"/>
      <c r="W138" s="189"/>
    </row>
    <row r="139">
      <c r="A139" s="188">
        <v>9.0</v>
      </c>
      <c r="B139" s="188">
        <v>22021.0</v>
      </c>
      <c r="C139" s="193" t="s">
        <v>1057</v>
      </c>
      <c r="D139" s="189"/>
      <c r="E139" s="189"/>
      <c r="F139" s="189"/>
      <c r="G139" s="189"/>
      <c r="H139" s="189"/>
      <c r="I139" s="189"/>
      <c r="J139" s="189"/>
      <c r="K139" s="189"/>
      <c r="L139" s="189"/>
      <c r="M139" s="189"/>
      <c r="N139" s="189"/>
      <c r="O139" s="189"/>
      <c r="P139" s="189"/>
      <c r="Q139" s="189"/>
      <c r="R139" s="189"/>
      <c r="S139" s="189"/>
      <c r="T139" s="189"/>
      <c r="U139" s="189"/>
      <c r="V139" s="189"/>
      <c r="W139" s="189"/>
    </row>
    <row r="140">
      <c r="A140" s="188">
        <v>9.0</v>
      </c>
      <c r="B140" s="188">
        <v>22123.0</v>
      </c>
      <c r="C140" s="193" t="s">
        <v>1058</v>
      </c>
      <c r="D140" s="189"/>
      <c r="E140" s="189"/>
      <c r="F140" s="189"/>
      <c r="G140" s="189"/>
      <c r="H140" s="189"/>
      <c r="I140" s="189"/>
      <c r="J140" s="189"/>
      <c r="K140" s="189"/>
      <c r="L140" s="189"/>
      <c r="M140" s="189"/>
      <c r="N140" s="189"/>
      <c r="O140" s="189"/>
      <c r="P140" s="189"/>
      <c r="Q140" s="189"/>
      <c r="R140" s="189"/>
      <c r="S140" s="189"/>
      <c r="T140" s="189"/>
      <c r="U140" s="189"/>
      <c r="V140" s="189"/>
      <c r="W140" s="189"/>
    </row>
    <row r="141">
      <c r="A141" s="188">
        <v>9.0</v>
      </c>
      <c r="B141" s="188">
        <v>22022.0</v>
      </c>
      <c r="C141" s="193" t="s">
        <v>1059</v>
      </c>
      <c r="D141" s="189"/>
      <c r="E141" s="189"/>
      <c r="F141" s="189"/>
      <c r="G141" s="189"/>
      <c r="H141" s="189"/>
      <c r="I141" s="189"/>
      <c r="J141" s="189"/>
      <c r="K141" s="189"/>
      <c r="L141" s="189"/>
      <c r="M141" s="189"/>
      <c r="N141" s="189"/>
      <c r="O141" s="189"/>
      <c r="P141" s="189"/>
      <c r="Q141" s="189"/>
      <c r="R141" s="189"/>
      <c r="S141" s="189"/>
      <c r="T141" s="189"/>
      <c r="U141" s="189"/>
      <c r="V141" s="189"/>
      <c r="W141" s="189"/>
    </row>
    <row r="142">
      <c r="A142" s="188">
        <v>9.0</v>
      </c>
      <c r="B142" s="188">
        <v>22023.0</v>
      </c>
      <c r="C142" s="193" t="s">
        <v>1060</v>
      </c>
      <c r="D142" s="189"/>
      <c r="E142" s="189"/>
      <c r="F142" s="189"/>
      <c r="G142" s="189"/>
      <c r="H142" s="189"/>
      <c r="I142" s="189"/>
      <c r="J142" s="189"/>
      <c r="K142" s="189"/>
      <c r="L142" s="189"/>
      <c r="M142" s="189"/>
      <c r="N142" s="189"/>
      <c r="O142" s="189"/>
      <c r="P142" s="189"/>
      <c r="Q142" s="189"/>
      <c r="R142" s="189"/>
      <c r="S142" s="189"/>
      <c r="T142" s="189"/>
      <c r="U142" s="189"/>
      <c r="V142" s="189"/>
      <c r="W142" s="189"/>
    </row>
    <row r="143">
      <c r="A143" s="188">
        <v>9.0</v>
      </c>
      <c r="B143" s="188">
        <v>22024.0</v>
      </c>
      <c r="C143" s="193" t="s">
        <v>1061</v>
      </c>
      <c r="D143" s="189"/>
      <c r="E143" s="189"/>
      <c r="F143" s="189"/>
      <c r="G143" s="189"/>
      <c r="H143" s="189"/>
      <c r="I143" s="189"/>
      <c r="J143" s="189"/>
      <c r="K143" s="189"/>
      <c r="L143" s="189"/>
      <c r="M143" s="189"/>
      <c r="N143" s="189"/>
      <c r="O143" s="189"/>
      <c r="P143" s="189"/>
      <c r="Q143" s="189"/>
      <c r="R143" s="189"/>
      <c r="S143" s="189"/>
      <c r="T143" s="189"/>
      <c r="U143" s="189"/>
      <c r="V143" s="189"/>
      <c r="W143" s="189"/>
    </row>
    <row r="144">
      <c r="A144" s="188">
        <v>9.0</v>
      </c>
      <c r="B144" s="188">
        <v>22025.0</v>
      </c>
      <c r="C144" s="193" t="s">
        <v>1062</v>
      </c>
      <c r="D144" s="189"/>
      <c r="E144" s="189"/>
      <c r="F144" s="189"/>
      <c r="G144" s="189"/>
      <c r="H144" s="189"/>
      <c r="I144" s="189"/>
      <c r="J144" s="189"/>
      <c r="K144" s="189"/>
      <c r="L144" s="189"/>
      <c r="M144" s="189"/>
      <c r="N144" s="189"/>
      <c r="O144" s="189"/>
      <c r="P144" s="189"/>
      <c r="Q144" s="189"/>
      <c r="R144" s="189"/>
      <c r="S144" s="189"/>
      <c r="T144" s="189"/>
      <c r="U144" s="189"/>
      <c r="V144" s="189"/>
      <c r="W144" s="189"/>
    </row>
    <row r="145">
      <c r="A145" s="188">
        <v>9.0</v>
      </c>
      <c r="B145" s="188">
        <v>22026.0</v>
      </c>
      <c r="C145" s="193" t="s">
        <v>1063</v>
      </c>
      <c r="D145" s="189"/>
      <c r="E145" s="189"/>
      <c r="F145" s="189"/>
      <c r="G145" s="189"/>
      <c r="H145" s="189"/>
      <c r="I145" s="189"/>
      <c r="J145" s="189"/>
      <c r="K145" s="189"/>
      <c r="L145" s="189"/>
      <c r="M145" s="189"/>
      <c r="N145" s="189"/>
      <c r="O145" s="189"/>
      <c r="P145" s="189"/>
      <c r="Q145" s="189"/>
      <c r="R145" s="189"/>
      <c r="S145" s="189"/>
      <c r="T145" s="189"/>
      <c r="U145" s="189"/>
      <c r="V145" s="189"/>
      <c r="W145" s="189"/>
    </row>
    <row r="146">
      <c r="A146" s="188">
        <v>9.0</v>
      </c>
      <c r="B146" s="188">
        <v>22027.0</v>
      </c>
      <c r="C146" s="193" t="s">
        <v>1064</v>
      </c>
      <c r="D146" s="189"/>
      <c r="E146" s="189"/>
      <c r="F146" s="189"/>
      <c r="G146" s="189"/>
      <c r="H146" s="189"/>
      <c r="I146" s="189"/>
      <c r="J146" s="189"/>
      <c r="K146" s="189"/>
      <c r="L146" s="189"/>
      <c r="M146" s="189"/>
      <c r="N146" s="189"/>
      <c r="O146" s="189"/>
      <c r="P146" s="189"/>
      <c r="Q146" s="189"/>
      <c r="R146" s="189"/>
      <c r="S146" s="189"/>
      <c r="T146" s="189"/>
      <c r="U146" s="189"/>
      <c r="V146" s="189"/>
      <c r="W146" s="189"/>
    </row>
    <row r="147">
      <c r="A147" s="188">
        <v>9.0</v>
      </c>
      <c r="B147" s="188">
        <v>22028.0</v>
      </c>
      <c r="C147" s="193" t="s">
        <v>1065</v>
      </c>
      <c r="D147" s="189"/>
      <c r="E147" s="189"/>
      <c r="F147" s="189"/>
      <c r="G147" s="189"/>
      <c r="H147" s="189"/>
      <c r="I147" s="189"/>
      <c r="J147" s="189"/>
      <c r="K147" s="189"/>
      <c r="L147" s="189"/>
      <c r="M147" s="189"/>
      <c r="N147" s="189"/>
      <c r="O147" s="189"/>
      <c r="P147" s="189"/>
      <c r="Q147" s="189"/>
      <c r="R147" s="189"/>
      <c r="S147" s="189"/>
      <c r="T147" s="189"/>
      <c r="U147" s="189"/>
      <c r="V147" s="189"/>
      <c r="W147" s="189"/>
    </row>
    <row r="148">
      <c r="A148" s="188">
        <v>9.0</v>
      </c>
      <c r="B148" s="188">
        <v>22029.0</v>
      </c>
      <c r="C148" s="193" t="s">
        <v>1066</v>
      </c>
      <c r="D148" s="189"/>
      <c r="E148" s="189"/>
      <c r="F148" s="189"/>
      <c r="G148" s="189"/>
      <c r="H148" s="189"/>
      <c r="I148" s="189"/>
      <c r="J148" s="189"/>
      <c r="K148" s="189"/>
      <c r="L148" s="189"/>
      <c r="M148" s="189"/>
      <c r="N148" s="189"/>
      <c r="O148" s="189"/>
      <c r="P148" s="189"/>
      <c r="Q148" s="189"/>
      <c r="R148" s="189"/>
      <c r="S148" s="189"/>
      <c r="T148" s="189"/>
      <c r="U148" s="189"/>
      <c r="V148" s="189"/>
      <c r="W148" s="189"/>
    </row>
    <row r="149">
      <c r="A149" s="188">
        <v>9.0</v>
      </c>
      <c r="B149" s="188">
        <v>22031.0</v>
      </c>
      <c r="C149" s="193" t="s">
        <v>1067</v>
      </c>
      <c r="D149" s="189"/>
      <c r="E149" s="189"/>
      <c r="F149" s="189"/>
      <c r="G149" s="189"/>
      <c r="H149" s="189"/>
      <c r="I149" s="189"/>
      <c r="J149" s="189"/>
      <c r="K149" s="189"/>
      <c r="L149" s="189"/>
      <c r="M149" s="189"/>
      <c r="N149" s="189"/>
      <c r="O149" s="189"/>
      <c r="P149" s="189"/>
      <c r="Q149" s="189"/>
      <c r="R149" s="189"/>
      <c r="S149" s="189"/>
      <c r="T149" s="189"/>
      <c r="U149" s="189"/>
      <c r="V149" s="189"/>
      <c r="W149" s="189"/>
    </row>
    <row r="150">
      <c r="A150" s="188">
        <v>9.0</v>
      </c>
      <c r="B150" s="188">
        <v>22032.0</v>
      </c>
      <c r="C150" s="193" t="s">
        <v>1068</v>
      </c>
      <c r="D150" s="189"/>
      <c r="E150" s="189"/>
      <c r="F150" s="189"/>
      <c r="G150" s="189"/>
      <c r="H150" s="189"/>
      <c r="I150" s="189"/>
      <c r="J150" s="189"/>
      <c r="K150" s="189"/>
      <c r="L150" s="189"/>
      <c r="M150" s="189"/>
      <c r="N150" s="189"/>
      <c r="O150" s="189"/>
      <c r="P150" s="189"/>
      <c r="Q150" s="189"/>
      <c r="R150" s="189"/>
      <c r="S150" s="189"/>
      <c r="T150" s="189"/>
      <c r="U150" s="189"/>
      <c r="V150" s="189"/>
      <c r="W150" s="189"/>
    </row>
    <row r="151">
      <c r="A151" s="188">
        <v>9.0</v>
      </c>
      <c r="B151" s="188">
        <v>22150.0</v>
      </c>
      <c r="C151" s="193" t="s">
        <v>1069</v>
      </c>
      <c r="D151" s="189"/>
      <c r="E151" s="189"/>
      <c r="F151" s="189"/>
      <c r="G151" s="189"/>
      <c r="H151" s="189"/>
      <c r="I151" s="189"/>
      <c r="J151" s="189"/>
      <c r="K151" s="189"/>
      <c r="L151" s="189"/>
      <c r="M151" s="189"/>
      <c r="N151" s="189"/>
      <c r="O151" s="189"/>
      <c r="P151" s="189"/>
      <c r="Q151" s="189"/>
      <c r="R151" s="189"/>
      <c r="S151" s="189"/>
      <c r="T151" s="189"/>
      <c r="U151" s="189"/>
      <c r="V151" s="189"/>
      <c r="W151" s="189"/>
    </row>
    <row r="152">
      <c r="A152" s="188">
        <v>9.0</v>
      </c>
      <c r="B152" s="188">
        <v>22033.0</v>
      </c>
      <c r="C152" s="193" t="s">
        <v>1070</v>
      </c>
      <c r="D152" s="189"/>
      <c r="E152" s="189"/>
      <c r="F152" s="189"/>
      <c r="G152" s="189"/>
      <c r="H152" s="189"/>
      <c r="I152" s="189"/>
      <c r="J152" s="189"/>
      <c r="K152" s="189"/>
      <c r="L152" s="189"/>
      <c r="M152" s="189"/>
      <c r="N152" s="189"/>
      <c r="O152" s="189"/>
      <c r="P152" s="189"/>
      <c r="Q152" s="189"/>
      <c r="R152" s="189"/>
      <c r="S152" s="189"/>
      <c r="T152" s="189"/>
      <c r="U152" s="189"/>
      <c r="V152" s="189"/>
      <c r="W152" s="189"/>
    </row>
    <row r="153">
      <c r="A153" s="188">
        <v>9.0</v>
      </c>
      <c r="B153" s="188">
        <v>22034.0</v>
      </c>
      <c r="C153" s="193" t="s">
        <v>1071</v>
      </c>
      <c r="D153" s="189"/>
      <c r="E153" s="189"/>
      <c r="F153" s="189"/>
      <c r="G153" s="189"/>
      <c r="H153" s="189"/>
      <c r="I153" s="189"/>
      <c r="J153" s="189"/>
      <c r="K153" s="189"/>
      <c r="L153" s="189"/>
      <c r="M153" s="189"/>
      <c r="N153" s="189"/>
      <c r="O153" s="189"/>
      <c r="P153" s="189"/>
      <c r="Q153" s="189"/>
      <c r="R153" s="189"/>
      <c r="S153" s="189"/>
      <c r="T153" s="189"/>
      <c r="U153" s="189"/>
      <c r="V153" s="189"/>
      <c r="W153" s="189"/>
    </row>
    <row r="154">
      <c r="A154" s="188">
        <v>9.0</v>
      </c>
      <c r="B154" s="188">
        <v>22109.0</v>
      </c>
      <c r="C154" s="193" t="s">
        <v>1072</v>
      </c>
      <c r="D154" s="189"/>
      <c r="E154" s="189"/>
      <c r="F154" s="189"/>
      <c r="G154" s="189"/>
      <c r="H154" s="189"/>
      <c r="I154" s="189"/>
      <c r="J154" s="189"/>
      <c r="K154" s="189"/>
      <c r="L154" s="189"/>
      <c r="M154" s="189"/>
      <c r="N154" s="189"/>
      <c r="O154" s="189"/>
      <c r="P154" s="189"/>
      <c r="Q154" s="189"/>
      <c r="R154" s="189"/>
      <c r="S154" s="189"/>
      <c r="T154" s="189"/>
      <c r="U154" s="189"/>
      <c r="V154" s="189"/>
      <c r="W154" s="189"/>
    </row>
    <row r="155">
      <c r="A155" s="188">
        <v>9.0</v>
      </c>
      <c r="B155" s="188">
        <v>22036.0</v>
      </c>
      <c r="C155" s="193" t="s">
        <v>1073</v>
      </c>
      <c r="D155" s="189"/>
      <c r="E155" s="189"/>
      <c r="F155" s="189"/>
      <c r="G155" s="189"/>
      <c r="H155" s="189"/>
      <c r="I155" s="189"/>
      <c r="J155" s="189"/>
      <c r="K155" s="189"/>
      <c r="L155" s="189"/>
      <c r="M155" s="189"/>
      <c r="N155" s="189"/>
      <c r="O155" s="189"/>
      <c r="P155" s="189"/>
      <c r="Q155" s="189"/>
      <c r="R155" s="189"/>
      <c r="S155" s="189"/>
      <c r="T155" s="189"/>
      <c r="U155" s="189"/>
      <c r="V155" s="189"/>
      <c r="W155" s="189"/>
    </row>
    <row r="156">
      <c r="A156" s="188">
        <v>9.0</v>
      </c>
      <c r="B156" s="188">
        <v>22037.0</v>
      </c>
      <c r="C156" s="193" t="s">
        <v>1074</v>
      </c>
      <c r="D156" s="189"/>
      <c r="E156" s="189"/>
      <c r="F156" s="189"/>
      <c r="G156" s="189"/>
      <c r="H156" s="189"/>
      <c r="I156" s="189"/>
      <c r="J156" s="189"/>
      <c r="K156" s="189"/>
      <c r="L156" s="189"/>
      <c r="M156" s="189"/>
      <c r="N156" s="189"/>
      <c r="O156" s="189"/>
      <c r="P156" s="189"/>
      <c r="Q156" s="189"/>
      <c r="R156" s="189"/>
      <c r="S156" s="189"/>
      <c r="T156" s="189"/>
      <c r="U156" s="189"/>
      <c r="V156" s="189"/>
      <c r="W156" s="189"/>
    </row>
    <row r="157">
      <c r="A157" s="188">
        <v>9.0</v>
      </c>
      <c r="B157" s="188">
        <v>22038.0</v>
      </c>
      <c r="C157" s="193" t="s">
        <v>1075</v>
      </c>
      <c r="D157" s="189"/>
      <c r="E157" s="189"/>
      <c r="F157" s="189"/>
      <c r="G157" s="189"/>
      <c r="H157" s="189"/>
      <c r="I157" s="189"/>
      <c r="J157" s="189"/>
      <c r="K157" s="189"/>
      <c r="L157" s="189"/>
      <c r="M157" s="189"/>
      <c r="N157" s="189"/>
      <c r="O157" s="189"/>
      <c r="P157" s="189"/>
      <c r="Q157" s="189"/>
      <c r="R157" s="189"/>
      <c r="S157" s="189"/>
      <c r="T157" s="189"/>
      <c r="U157" s="189"/>
      <c r="V157" s="189"/>
      <c r="W157" s="189"/>
    </row>
    <row r="158">
      <c r="A158" s="188">
        <v>9.0</v>
      </c>
      <c r="B158" s="188">
        <v>22039.0</v>
      </c>
      <c r="C158" s="193" t="s">
        <v>1076</v>
      </c>
      <c r="D158" s="189"/>
      <c r="E158" s="189"/>
      <c r="F158" s="189"/>
      <c r="G158" s="189"/>
      <c r="H158" s="189"/>
      <c r="I158" s="189"/>
      <c r="J158" s="189"/>
      <c r="K158" s="189"/>
      <c r="L158" s="189"/>
      <c r="M158" s="189"/>
      <c r="N158" s="189"/>
      <c r="O158" s="189"/>
      <c r="P158" s="189"/>
      <c r="Q158" s="189"/>
      <c r="R158" s="189"/>
      <c r="S158" s="189"/>
      <c r="T158" s="189"/>
      <c r="U158" s="189"/>
      <c r="V158" s="189"/>
      <c r="W158" s="189"/>
    </row>
    <row r="159">
      <c r="A159" s="188">
        <v>9.0</v>
      </c>
      <c r="B159" s="188">
        <v>22040.0</v>
      </c>
      <c r="C159" s="193" t="s">
        <v>1077</v>
      </c>
      <c r="D159" s="189"/>
      <c r="E159" s="189"/>
      <c r="F159" s="189"/>
      <c r="G159" s="189"/>
      <c r="H159" s="189"/>
      <c r="I159" s="189"/>
      <c r="J159" s="189"/>
      <c r="K159" s="189"/>
      <c r="L159" s="189"/>
      <c r="M159" s="189"/>
      <c r="N159" s="189"/>
      <c r="O159" s="189"/>
      <c r="P159" s="189"/>
      <c r="Q159" s="189"/>
      <c r="R159" s="189"/>
      <c r="S159" s="189"/>
      <c r="T159" s="189"/>
      <c r="U159" s="189"/>
      <c r="V159" s="189"/>
      <c r="W159" s="189"/>
    </row>
    <row r="160">
      <c r="A160" s="188">
        <v>9.0</v>
      </c>
      <c r="B160" s="188">
        <v>21035.0</v>
      </c>
      <c r="C160" s="193" t="s">
        <v>1078</v>
      </c>
      <c r="D160" s="189"/>
      <c r="E160" s="189"/>
      <c r="F160" s="189"/>
      <c r="G160" s="189"/>
      <c r="H160" s="189"/>
      <c r="I160" s="189"/>
      <c r="J160" s="189"/>
      <c r="K160" s="189"/>
      <c r="L160" s="189"/>
      <c r="M160" s="189"/>
      <c r="N160" s="189"/>
      <c r="O160" s="189"/>
      <c r="P160" s="189"/>
      <c r="Q160" s="189"/>
      <c r="R160" s="189"/>
      <c r="S160" s="189"/>
      <c r="T160" s="189"/>
      <c r="U160" s="189"/>
      <c r="V160" s="189"/>
      <c r="W160" s="189"/>
    </row>
    <row r="161">
      <c r="A161" s="188">
        <v>9.0</v>
      </c>
      <c r="B161" s="188">
        <v>22042.0</v>
      </c>
      <c r="C161" s="193" t="s">
        <v>1079</v>
      </c>
      <c r="D161" s="189"/>
      <c r="E161" s="189"/>
      <c r="F161" s="189"/>
      <c r="G161" s="189"/>
      <c r="H161" s="189"/>
      <c r="I161" s="189"/>
      <c r="J161" s="189"/>
      <c r="K161" s="189"/>
      <c r="L161" s="189"/>
      <c r="M161" s="189"/>
      <c r="N161" s="189"/>
      <c r="O161" s="189"/>
      <c r="P161" s="189"/>
      <c r="Q161" s="189"/>
      <c r="R161" s="189"/>
      <c r="S161" s="189"/>
      <c r="T161" s="189"/>
      <c r="U161" s="189"/>
      <c r="V161" s="189"/>
      <c r="W161" s="189"/>
    </row>
    <row r="162">
      <c r="A162" s="188">
        <v>9.0</v>
      </c>
      <c r="B162" s="188">
        <v>22045.0</v>
      </c>
      <c r="C162" s="193" t="s">
        <v>1080</v>
      </c>
      <c r="D162" s="189"/>
      <c r="E162" s="189"/>
      <c r="F162" s="189"/>
      <c r="G162" s="189"/>
      <c r="H162" s="189"/>
      <c r="I162" s="189"/>
      <c r="J162" s="189"/>
      <c r="K162" s="189"/>
      <c r="L162" s="189"/>
      <c r="M162" s="189"/>
      <c r="N162" s="189"/>
      <c r="O162" s="189"/>
      <c r="P162" s="189"/>
      <c r="Q162" s="189"/>
      <c r="R162" s="189"/>
      <c r="S162" s="189"/>
      <c r="T162" s="189"/>
      <c r="U162" s="189"/>
      <c r="V162" s="189"/>
      <c r="W162" s="189"/>
    </row>
    <row r="163">
      <c r="A163" s="188">
        <v>9.0</v>
      </c>
      <c r="B163" s="188">
        <v>22047.0</v>
      </c>
      <c r="C163" s="193" t="s">
        <v>1081</v>
      </c>
      <c r="D163" s="189"/>
      <c r="E163" s="189"/>
      <c r="F163" s="189"/>
      <c r="G163" s="189"/>
      <c r="H163" s="189"/>
      <c r="I163" s="189"/>
      <c r="J163" s="189"/>
      <c r="K163" s="189"/>
      <c r="L163" s="189"/>
      <c r="M163" s="189"/>
      <c r="N163" s="189"/>
      <c r="O163" s="189"/>
      <c r="P163" s="189"/>
      <c r="Q163" s="189"/>
      <c r="R163" s="189"/>
      <c r="S163" s="189"/>
      <c r="T163" s="189"/>
      <c r="U163" s="189"/>
      <c r="V163" s="189"/>
      <c r="W163" s="189"/>
    </row>
    <row r="164">
      <c r="A164" s="188">
        <v>9.0</v>
      </c>
      <c r="B164" s="188">
        <v>22048.0</v>
      </c>
      <c r="C164" s="193" t="s">
        <v>1082</v>
      </c>
      <c r="D164" s="189"/>
      <c r="E164" s="189"/>
      <c r="F164" s="189"/>
      <c r="G164" s="189"/>
      <c r="H164" s="189"/>
      <c r="I164" s="189"/>
      <c r="J164" s="189"/>
      <c r="K164" s="189"/>
      <c r="L164" s="189"/>
      <c r="M164" s="189"/>
      <c r="N164" s="189"/>
      <c r="O164" s="189"/>
      <c r="P164" s="189"/>
      <c r="Q164" s="189"/>
      <c r="R164" s="189"/>
      <c r="S164" s="189"/>
      <c r="T164" s="189"/>
      <c r="U164" s="189"/>
      <c r="V164" s="189"/>
      <c r="W164" s="189"/>
    </row>
    <row r="165">
      <c r="A165" s="188">
        <v>9.0</v>
      </c>
      <c r="B165" s="188">
        <v>22049.0</v>
      </c>
      <c r="C165" s="193" t="s">
        <v>1083</v>
      </c>
      <c r="D165" s="189"/>
      <c r="E165" s="189"/>
      <c r="F165" s="189"/>
      <c r="G165" s="189"/>
      <c r="H165" s="189"/>
      <c r="I165" s="189"/>
      <c r="J165" s="189"/>
      <c r="K165" s="189"/>
      <c r="L165" s="189"/>
      <c r="M165" s="189"/>
      <c r="N165" s="189"/>
      <c r="O165" s="189"/>
      <c r="P165" s="189"/>
      <c r="Q165" s="189"/>
      <c r="R165" s="189"/>
      <c r="S165" s="189"/>
      <c r="T165" s="189"/>
      <c r="U165" s="189"/>
      <c r="V165" s="189"/>
      <c r="W165" s="189"/>
    </row>
    <row r="166">
      <c r="A166" s="188">
        <v>9.0</v>
      </c>
      <c r="B166" s="188">
        <v>22050.0</v>
      </c>
      <c r="C166" s="193" t="s">
        <v>1084</v>
      </c>
      <c r="D166" s="189"/>
      <c r="E166" s="189"/>
      <c r="F166" s="189"/>
      <c r="G166" s="189"/>
      <c r="H166" s="189"/>
      <c r="I166" s="189"/>
      <c r="J166" s="189"/>
      <c r="K166" s="189"/>
      <c r="L166" s="189"/>
      <c r="M166" s="189"/>
      <c r="N166" s="189"/>
      <c r="O166" s="189"/>
      <c r="P166" s="189"/>
      <c r="Q166" s="189"/>
      <c r="R166" s="189"/>
      <c r="S166" s="189"/>
      <c r="T166" s="189"/>
      <c r="U166" s="189"/>
      <c r="V166" s="189"/>
      <c r="W166" s="189"/>
    </row>
    <row r="167">
      <c r="A167" s="188">
        <v>9.0</v>
      </c>
      <c r="B167" s="188">
        <v>22101.0</v>
      </c>
      <c r="C167" s="193" t="s">
        <v>1085</v>
      </c>
      <c r="D167" s="189"/>
      <c r="E167" s="189"/>
      <c r="F167" s="189"/>
      <c r="G167" s="189"/>
      <c r="H167" s="189"/>
      <c r="I167" s="189"/>
      <c r="J167" s="189"/>
      <c r="K167" s="189"/>
      <c r="L167" s="189"/>
      <c r="M167" s="189"/>
      <c r="N167" s="189"/>
      <c r="O167" s="189"/>
      <c r="P167" s="189"/>
      <c r="Q167" s="189"/>
      <c r="R167" s="189"/>
      <c r="S167" s="189"/>
      <c r="T167" s="189"/>
      <c r="U167" s="189"/>
      <c r="V167" s="189"/>
      <c r="W167" s="189"/>
    </row>
    <row r="168">
      <c r="A168" s="188">
        <v>9.0</v>
      </c>
      <c r="B168" s="188">
        <v>22135.0</v>
      </c>
      <c r="C168" s="193" t="s">
        <v>1086</v>
      </c>
      <c r="D168" s="189"/>
      <c r="E168" s="189"/>
      <c r="F168" s="189"/>
      <c r="G168" s="189"/>
      <c r="H168" s="189"/>
      <c r="I168" s="189"/>
      <c r="J168" s="189"/>
      <c r="K168" s="189"/>
      <c r="L168" s="189"/>
      <c r="M168" s="189"/>
      <c r="N168" s="189"/>
      <c r="O168" s="189"/>
      <c r="P168" s="189"/>
      <c r="Q168" s="189"/>
      <c r="R168" s="189"/>
      <c r="S168" s="189"/>
      <c r="T168" s="189"/>
      <c r="U168" s="189"/>
      <c r="V168" s="189"/>
      <c r="W168" s="189"/>
    </row>
    <row r="169">
      <c r="A169" s="188">
        <v>9.0</v>
      </c>
      <c r="B169" s="188">
        <v>22052.0</v>
      </c>
      <c r="C169" s="193" t="s">
        <v>1087</v>
      </c>
      <c r="D169" s="189"/>
      <c r="E169" s="189"/>
      <c r="F169" s="189"/>
      <c r="G169" s="189"/>
      <c r="H169" s="189"/>
      <c r="I169" s="189"/>
      <c r="J169" s="189"/>
      <c r="K169" s="189"/>
      <c r="L169" s="189"/>
      <c r="M169" s="189"/>
      <c r="N169" s="189"/>
      <c r="O169" s="189"/>
      <c r="P169" s="189"/>
      <c r="Q169" s="189"/>
      <c r="R169" s="189"/>
      <c r="S169" s="189"/>
      <c r="T169" s="189"/>
      <c r="U169" s="189"/>
      <c r="V169" s="189"/>
      <c r="W169" s="189"/>
    </row>
    <row r="170">
      <c r="A170" s="188">
        <v>9.0</v>
      </c>
      <c r="B170" s="188">
        <v>22053.0</v>
      </c>
      <c r="C170" s="193" t="s">
        <v>1088</v>
      </c>
      <c r="D170" s="189"/>
      <c r="E170" s="189"/>
      <c r="F170" s="189"/>
      <c r="G170" s="189"/>
      <c r="H170" s="189"/>
      <c r="I170" s="189"/>
      <c r="J170" s="189"/>
      <c r="K170" s="189"/>
      <c r="L170" s="189"/>
      <c r="M170" s="189"/>
      <c r="N170" s="189"/>
      <c r="O170" s="189"/>
      <c r="P170" s="189"/>
      <c r="Q170" s="189"/>
      <c r="R170" s="189"/>
      <c r="S170" s="189"/>
      <c r="T170" s="189"/>
      <c r="U170" s="189"/>
      <c r="V170" s="189"/>
      <c r="W170" s="189"/>
    </row>
    <row r="171">
      <c r="A171" s="188">
        <v>9.0</v>
      </c>
      <c r="B171" s="188">
        <v>22054.0</v>
      </c>
      <c r="C171" s="193" t="s">
        <v>1089</v>
      </c>
      <c r="D171" s="189"/>
      <c r="E171" s="189"/>
      <c r="F171" s="189"/>
      <c r="G171" s="189"/>
      <c r="H171" s="189"/>
      <c r="I171" s="189"/>
      <c r="J171" s="189"/>
      <c r="K171" s="189"/>
      <c r="L171" s="189"/>
      <c r="M171" s="189"/>
      <c r="N171" s="189"/>
      <c r="O171" s="189"/>
      <c r="P171" s="189"/>
      <c r="Q171" s="189"/>
      <c r="R171" s="189"/>
      <c r="S171" s="189"/>
      <c r="T171" s="189"/>
      <c r="U171" s="189"/>
      <c r="V171" s="189"/>
      <c r="W171" s="189"/>
    </row>
    <row r="172">
      <c r="A172" s="188">
        <v>9.0</v>
      </c>
      <c r="B172" s="188">
        <v>22055.0</v>
      </c>
      <c r="C172" s="193" t="s">
        <v>1090</v>
      </c>
      <c r="D172" s="189"/>
      <c r="E172" s="189"/>
      <c r="F172" s="189"/>
      <c r="G172" s="189"/>
      <c r="H172" s="189"/>
      <c r="I172" s="189"/>
      <c r="J172" s="189"/>
      <c r="K172" s="189"/>
      <c r="L172" s="189"/>
      <c r="M172" s="189"/>
      <c r="N172" s="189"/>
      <c r="O172" s="189"/>
      <c r="P172" s="189"/>
      <c r="Q172" s="189"/>
      <c r="R172" s="189"/>
      <c r="S172" s="189"/>
      <c r="T172" s="189"/>
      <c r="U172" s="189"/>
      <c r="V172" s="189"/>
      <c r="W172" s="189"/>
    </row>
    <row r="173">
      <c r="A173" s="188">
        <v>9.0</v>
      </c>
      <c r="B173" s="188">
        <v>22103.0</v>
      </c>
      <c r="C173" s="193" t="s">
        <v>1091</v>
      </c>
      <c r="D173" s="189"/>
      <c r="E173" s="189"/>
      <c r="F173" s="189"/>
      <c r="G173" s="189"/>
      <c r="H173" s="189"/>
      <c r="I173" s="189"/>
      <c r="J173" s="189"/>
      <c r="K173" s="189"/>
      <c r="L173" s="189"/>
      <c r="M173" s="189"/>
      <c r="N173" s="189"/>
      <c r="O173" s="189"/>
      <c r="P173" s="189"/>
      <c r="Q173" s="189"/>
      <c r="R173" s="189"/>
      <c r="S173" s="189"/>
      <c r="T173" s="189"/>
      <c r="U173" s="189"/>
      <c r="V173" s="189"/>
      <c r="W173" s="189"/>
    </row>
    <row r="174">
      <c r="A174" s="188">
        <v>9.0</v>
      </c>
      <c r="B174" s="188">
        <v>22056.0</v>
      </c>
      <c r="C174" s="193" t="s">
        <v>1092</v>
      </c>
      <c r="D174" s="189"/>
      <c r="E174" s="189"/>
      <c r="F174" s="189"/>
      <c r="G174" s="189"/>
      <c r="H174" s="189"/>
      <c r="I174" s="189"/>
      <c r="J174" s="189"/>
      <c r="K174" s="189"/>
      <c r="L174" s="189"/>
      <c r="M174" s="189"/>
      <c r="N174" s="189"/>
      <c r="O174" s="189"/>
      <c r="P174" s="189"/>
      <c r="Q174" s="189"/>
      <c r="R174" s="189"/>
      <c r="S174" s="189"/>
      <c r="T174" s="189"/>
      <c r="U174" s="189"/>
      <c r="V174" s="189"/>
      <c r="W174" s="189"/>
    </row>
    <row r="175">
      <c r="A175" s="188">
        <v>9.0</v>
      </c>
      <c r="B175" s="188">
        <v>22057.0</v>
      </c>
      <c r="C175" s="193" t="s">
        <v>1093</v>
      </c>
      <c r="D175" s="189"/>
      <c r="E175" s="189"/>
      <c r="F175" s="189"/>
      <c r="G175" s="189"/>
      <c r="H175" s="189"/>
      <c r="I175" s="189"/>
      <c r="J175" s="189"/>
      <c r="K175" s="189"/>
      <c r="L175" s="189"/>
      <c r="M175" s="189"/>
      <c r="N175" s="189"/>
      <c r="O175" s="189"/>
      <c r="P175" s="189"/>
      <c r="Q175" s="189"/>
      <c r="R175" s="189"/>
      <c r="S175" s="189"/>
      <c r="T175" s="189"/>
      <c r="U175" s="189"/>
      <c r="V175" s="189"/>
      <c r="W175" s="189"/>
    </row>
    <row r="176">
      <c r="A176" s="188">
        <v>9.0</v>
      </c>
      <c r="B176" s="188">
        <v>22059.0</v>
      </c>
      <c r="C176" s="193" t="s">
        <v>1094</v>
      </c>
      <c r="D176" s="189"/>
      <c r="E176" s="189"/>
      <c r="F176" s="189"/>
      <c r="G176" s="189"/>
      <c r="H176" s="189"/>
      <c r="I176" s="189"/>
      <c r="J176" s="189"/>
      <c r="K176" s="189"/>
      <c r="L176" s="189"/>
      <c r="M176" s="189"/>
      <c r="N176" s="189"/>
      <c r="O176" s="189"/>
      <c r="P176" s="189"/>
      <c r="Q176" s="189"/>
      <c r="R176" s="189"/>
      <c r="S176" s="189"/>
      <c r="T176" s="189"/>
      <c r="U176" s="189"/>
      <c r="V176" s="189"/>
      <c r="W176" s="189"/>
    </row>
    <row r="177">
      <c r="A177" s="188">
        <v>9.0</v>
      </c>
      <c r="B177" s="188">
        <v>22060.0</v>
      </c>
      <c r="C177" s="193" t="s">
        <v>1095</v>
      </c>
      <c r="D177" s="189"/>
      <c r="E177" s="189"/>
      <c r="F177" s="189"/>
      <c r="G177" s="189"/>
      <c r="H177" s="189"/>
      <c r="I177" s="189"/>
      <c r="J177" s="189"/>
      <c r="K177" s="189"/>
      <c r="L177" s="189"/>
      <c r="M177" s="189"/>
      <c r="N177" s="189"/>
      <c r="O177" s="189"/>
      <c r="P177" s="189"/>
      <c r="Q177" s="189"/>
      <c r="R177" s="189"/>
      <c r="S177" s="189"/>
      <c r="T177" s="189"/>
      <c r="U177" s="189"/>
      <c r="V177" s="189"/>
      <c r="W177" s="189"/>
    </row>
    <row r="178">
      <c r="A178" s="188">
        <v>9.0</v>
      </c>
      <c r="B178" s="188">
        <v>22061.0</v>
      </c>
      <c r="C178" s="193" t="s">
        <v>1096</v>
      </c>
      <c r="D178" s="189"/>
      <c r="E178" s="189"/>
      <c r="F178" s="189"/>
      <c r="G178" s="189"/>
      <c r="H178" s="189"/>
      <c r="I178" s="189"/>
      <c r="J178" s="189"/>
      <c r="K178" s="189"/>
      <c r="L178" s="189"/>
      <c r="M178" s="189"/>
      <c r="N178" s="189"/>
      <c r="O178" s="189"/>
      <c r="P178" s="189"/>
      <c r="Q178" s="189"/>
      <c r="R178" s="189"/>
      <c r="S178" s="189"/>
      <c r="T178" s="189"/>
      <c r="U178" s="189"/>
      <c r="V178" s="189"/>
      <c r="W178" s="189"/>
    </row>
    <row r="179">
      <c r="A179" s="188">
        <v>9.0</v>
      </c>
      <c r="B179" s="188">
        <v>22062.0</v>
      </c>
      <c r="C179" s="193" t="s">
        <v>1097</v>
      </c>
      <c r="D179" s="189"/>
      <c r="E179" s="189"/>
      <c r="F179" s="189"/>
      <c r="G179" s="189"/>
      <c r="H179" s="189"/>
      <c r="I179" s="189"/>
      <c r="J179" s="189"/>
      <c r="K179" s="189"/>
      <c r="L179" s="189"/>
      <c r="M179" s="189"/>
      <c r="N179" s="189"/>
      <c r="O179" s="189"/>
      <c r="P179" s="189"/>
      <c r="Q179" s="189"/>
      <c r="R179" s="189"/>
      <c r="S179" s="189"/>
      <c r="T179" s="189"/>
      <c r="U179" s="189"/>
      <c r="V179" s="189"/>
      <c r="W179" s="189"/>
    </row>
    <row r="180">
      <c r="A180" s="188">
        <v>9.0</v>
      </c>
      <c r="B180" s="188">
        <v>22063.0</v>
      </c>
      <c r="C180" s="193" t="s">
        <v>1098</v>
      </c>
      <c r="D180" s="189"/>
      <c r="E180" s="189"/>
      <c r="F180" s="189"/>
      <c r="G180" s="189"/>
      <c r="H180" s="189"/>
      <c r="I180" s="189"/>
      <c r="J180" s="189"/>
      <c r="K180" s="189"/>
      <c r="L180" s="189"/>
      <c r="M180" s="189"/>
      <c r="N180" s="189"/>
      <c r="O180" s="189"/>
      <c r="P180" s="189"/>
      <c r="Q180" s="189"/>
      <c r="R180" s="189"/>
      <c r="S180" s="189"/>
      <c r="T180" s="189"/>
      <c r="U180" s="189"/>
      <c r="V180" s="189"/>
      <c r="W180" s="189"/>
    </row>
    <row r="181">
      <c r="A181" s="188">
        <v>9.0</v>
      </c>
      <c r="B181" s="188">
        <v>22064.0</v>
      </c>
      <c r="C181" s="193" t="s">
        <v>1099</v>
      </c>
      <c r="D181" s="189"/>
      <c r="E181" s="189"/>
      <c r="F181" s="189"/>
      <c r="G181" s="189"/>
      <c r="H181" s="189"/>
      <c r="I181" s="189"/>
      <c r="J181" s="189"/>
      <c r="K181" s="189"/>
      <c r="L181" s="189"/>
      <c r="M181" s="189"/>
      <c r="N181" s="189"/>
      <c r="O181" s="189"/>
      <c r="P181" s="189"/>
      <c r="Q181" s="189"/>
      <c r="R181" s="189"/>
      <c r="S181" s="189"/>
      <c r="T181" s="189"/>
      <c r="U181" s="189"/>
      <c r="V181" s="189"/>
      <c r="W181" s="189"/>
    </row>
    <row r="182">
      <c r="A182" s="188">
        <v>9.0</v>
      </c>
      <c r="B182" s="188">
        <v>22065.0</v>
      </c>
      <c r="C182" s="193" t="s">
        <v>1100</v>
      </c>
      <c r="D182" s="189"/>
      <c r="E182" s="189"/>
      <c r="F182" s="189"/>
      <c r="G182" s="189"/>
      <c r="H182" s="189"/>
      <c r="I182" s="189"/>
      <c r="J182" s="189"/>
      <c r="K182" s="189"/>
      <c r="L182" s="189"/>
      <c r="M182" s="189"/>
      <c r="N182" s="189"/>
      <c r="O182" s="189"/>
      <c r="P182" s="189"/>
      <c r="Q182" s="189"/>
      <c r="R182" s="189"/>
      <c r="S182" s="189"/>
      <c r="T182" s="189"/>
      <c r="U182" s="189"/>
      <c r="V182" s="189"/>
      <c r="W182" s="189"/>
    </row>
    <row r="183">
      <c r="A183" s="188">
        <v>9.0</v>
      </c>
      <c r="B183" s="188">
        <v>22066.0</v>
      </c>
      <c r="C183" s="193" t="s">
        <v>1101</v>
      </c>
      <c r="D183" s="189"/>
      <c r="E183" s="189"/>
      <c r="F183" s="189"/>
      <c r="G183" s="189"/>
      <c r="H183" s="189"/>
      <c r="I183" s="189"/>
      <c r="J183" s="189"/>
      <c r="K183" s="189"/>
      <c r="L183" s="189"/>
      <c r="M183" s="189"/>
      <c r="N183" s="189"/>
      <c r="O183" s="189"/>
      <c r="P183" s="189"/>
      <c r="Q183" s="189"/>
      <c r="R183" s="189"/>
      <c r="S183" s="189"/>
      <c r="T183" s="189"/>
      <c r="U183" s="189"/>
      <c r="V183" s="189"/>
      <c r="W183" s="189"/>
    </row>
    <row r="184">
      <c r="A184" s="188">
        <v>9.0</v>
      </c>
      <c r="B184" s="188">
        <v>22145.0</v>
      </c>
      <c r="C184" s="193" t="s">
        <v>1102</v>
      </c>
      <c r="D184" s="189"/>
      <c r="E184" s="189"/>
      <c r="F184" s="189"/>
      <c r="G184" s="189"/>
      <c r="H184" s="189"/>
      <c r="I184" s="189"/>
      <c r="J184" s="189"/>
      <c r="K184" s="189"/>
      <c r="L184" s="189"/>
      <c r="M184" s="189"/>
      <c r="N184" s="189"/>
      <c r="O184" s="189"/>
      <c r="P184" s="189"/>
      <c r="Q184" s="189"/>
      <c r="R184" s="189"/>
      <c r="S184" s="189"/>
      <c r="T184" s="189"/>
      <c r="U184" s="189"/>
      <c r="V184" s="189"/>
      <c r="W184" s="189"/>
    </row>
    <row r="185">
      <c r="A185" s="188">
        <v>9.0</v>
      </c>
      <c r="B185" s="188">
        <v>22125.0</v>
      </c>
      <c r="C185" s="193" t="s">
        <v>1103</v>
      </c>
      <c r="D185" s="189"/>
      <c r="E185" s="189"/>
      <c r="F185" s="189"/>
      <c r="G185" s="189"/>
      <c r="H185" s="189"/>
      <c r="I185" s="189"/>
      <c r="J185" s="189"/>
      <c r="K185" s="189"/>
      <c r="L185" s="189"/>
      <c r="M185" s="189"/>
      <c r="N185" s="189"/>
      <c r="O185" s="189"/>
      <c r="P185" s="189"/>
      <c r="Q185" s="189"/>
      <c r="R185" s="189"/>
      <c r="S185" s="189"/>
      <c r="T185" s="189"/>
      <c r="U185" s="189"/>
      <c r="V185" s="189"/>
      <c r="W185" s="189"/>
    </row>
    <row r="186">
      <c r="A186" s="188">
        <v>9.0</v>
      </c>
      <c r="B186" s="188">
        <v>22067.0</v>
      </c>
      <c r="C186" s="193" t="s">
        <v>1104</v>
      </c>
      <c r="D186" s="189"/>
      <c r="E186" s="189"/>
      <c r="F186" s="189"/>
      <c r="G186" s="189"/>
      <c r="H186" s="189"/>
      <c r="I186" s="189"/>
      <c r="J186" s="189"/>
      <c r="K186" s="189"/>
      <c r="L186" s="189"/>
      <c r="M186" s="189"/>
      <c r="N186" s="189"/>
      <c r="O186" s="189"/>
      <c r="P186" s="189"/>
      <c r="Q186" s="189"/>
      <c r="R186" s="189"/>
      <c r="S186" s="189"/>
      <c r="T186" s="189"/>
      <c r="U186" s="189"/>
      <c r="V186" s="189"/>
      <c r="W186" s="189"/>
    </row>
    <row r="187">
      <c r="A187" s="188">
        <v>9.0</v>
      </c>
      <c r="B187" s="188">
        <v>22068.0</v>
      </c>
      <c r="C187" s="193" t="s">
        <v>1105</v>
      </c>
      <c r="D187" s="189"/>
      <c r="E187" s="189"/>
      <c r="F187" s="189"/>
      <c r="G187" s="189"/>
      <c r="H187" s="189"/>
      <c r="I187" s="189"/>
      <c r="J187" s="189"/>
      <c r="K187" s="189"/>
      <c r="L187" s="189"/>
      <c r="M187" s="189"/>
      <c r="N187" s="189"/>
      <c r="O187" s="189"/>
      <c r="P187" s="189"/>
      <c r="Q187" s="189"/>
      <c r="R187" s="189"/>
      <c r="S187" s="189"/>
      <c r="T187" s="189"/>
      <c r="U187" s="189"/>
      <c r="V187" s="189"/>
      <c r="W187" s="189"/>
    </row>
    <row r="188">
      <c r="A188" s="188">
        <v>9.0</v>
      </c>
      <c r="B188" s="188">
        <v>22069.0</v>
      </c>
      <c r="C188" s="193" t="s">
        <v>1106</v>
      </c>
      <c r="D188" s="189"/>
      <c r="E188" s="189"/>
      <c r="F188" s="189"/>
      <c r="G188" s="189"/>
      <c r="H188" s="189"/>
      <c r="I188" s="189"/>
      <c r="J188" s="189"/>
      <c r="K188" s="189"/>
      <c r="L188" s="189"/>
      <c r="M188" s="189"/>
      <c r="N188" s="189"/>
      <c r="O188" s="189"/>
      <c r="P188" s="189"/>
      <c r="Q188" s="189"/>
      <c r="R188" s="189"/>
      <c r="S188" s="189"/>
      <c r="T188" s="189"/>
      <c r="U188" s="189"/>
      <c r="V188" s="189"/>
      <c r="W188" s="189"/>
    </row>
    <row r="189">
      <c r="A189" s="188">
        <v>9.0</v>
      </c>
      <c r="B189" s="188">
        <v>22071.0</v>
      </c>
      <c r="C189" s="193" t="s">
        <v>1107</v>
      </c>
      <c r="D189" s="189"/>
      <c r="E189" s="189"/>
      <c r="F189" s="189"/>
      <c r="G189" s="189"/>
      <c r="H189" s="189"/>
      <c r="I189" s="189"/>
      <c r="J189" s="189"/>
      <c r="K189" s="189"/>
      <c r="L189" s="189"/>
      <c r="M189" s="189"/>
      <c r="N189" s="189"/>
      <c r="O189" s="189"/>
      <c r="P189" s="189"/>
      <c r="Q189" s="189"/>
      <c r="R189" s="189"/>
      <c r="S189" s="189"/>
      <c r="T189" s="189"/>
      <c r="U189" s="189"/>
      <c r="V189" s="189"/>
      <c r="W189" s="189"/>
    </row>
    <row r="190">
      <c r="A190" s="188">
        <v>9.0</v>
      </c>
      <c r="B190" s="188">
        <v>22073.0</v>
      </c>
      <c r="C190" s="193" t="s">
        <v>1108</v>
      </c>
      <c r="D190" s="189"/>
      <c r="E190" s="189"/>
      <c r="F190" s="189"/>
      <c r="G190" s="189"/>
      <c r="H190" s="189"/>
      <c r="I190" s="189"/>
      <c r="J190" s="189"/>
      <c r="K190" s="189"/>
      <c r="L190" s="189"/>
      <c r="M190" s="189"/>
      <c r="N190" s="189"/>
      <c r="O190" s="189"/>
      <c r="P190" s="189"/>
      <c r="Q190" s="189"/>
      <c r="R190" s="189"/>
      <c r="S190" s="189"/>
      <c r="T190" s="189"/>
      <c r="U190" s="189"/>
      <c r="V190" s="189"/>
      <c r="W190" s="189"/>
    </row>
    <row r="191">
      <c r="A191" s="188">
        <v>9.0</v>
      </c>
      <c r="B191" s="188">
        <v>22074.0</v>
      </c>
      <c r="C191" s="193" t="s">
        <v>1109</v>
      </c>
      <c r="D191" s="189"/>
      <c r="E191" s="189"/>
      <c r="F191" s="189"/>
      <c r="G191" s="189"/>
      <c r="H191" s="189"/>
      <c r="I191" s="189"/>
      <c r="J191" s="189"/>
      <c r="K191" s="189"/>
      <c r="L191" s="189"/>
      <c r="M191" s="189"/>
      <c r="N191" s="189"/>
      <c r="O191" s="189"/>
      <c r="P191" s="189"/>
      <c r="Q191" s="189"/>
      <c r="R191" s="189"/>
      <c r="S191" s="189"/>
      <c r="T191" s="189"/>
      <c r="U191" s="189"/>
      <c r="V191" s="189"/>
      <c r="W191" s="189"/>
    </row>
    <row r="192">
      <c r="A192" s="188">
        <v>9.0</v>
      </c>
      <c r="B192" s="188">
        <v>22133.0</v>
      </c>
      <c r="C192" s="193" t="s">
        <v>1110</v>
      </c>
      <c r="D192" s="189"/>
      <c r="E192" s="189"/>
      <c r="F192" s="189"/>
      <c r="G192" s="189"/>
      <c r="H192" s="189"/>
      <c r="I192" s="189"/>
      <c r="J192" s="189"/>
      <c r="K192" s="189"/>
      <c r="L192" s="189"/>
      <c r="M192" s="189"/>
      <c r="N192" s="189"/>
      <c r="O192" s="189"/>
      <c r="P192" s="189"/>
      <c r="Q192" s="189"/>
      <c r="R192" s="189"/>
      <c r="S192" s="189"/>
      <c r="T192" s="189"/>
      <c r="U192" s="189"/>
      <c r="V192" s="189"/>
      <c r="W192" s="189"/>
    </row>
    <row r="193">
      <c r="A193" s="188">
        <v>9.0</v>
      </c>
      <c r="B193" s="188">
        <v>22075.0</v>
      </c>
      <c r="C193" s="193" t="s">
        <v>1111</v>
      </c>
      <c r="D193" s="189"/>
      <c r="E193" s="189"/>
      <c r="F193" s="189"/>
      <c r="G193" s="189"/>
      <c r="H193" s="189"/>
      <c r="I193" s="189"/>
      <c r="J193" s="189"/>
      <c r="K193" s="189"/>
      <c r="L193" s="189"/>
      <c r="M193" s="189"/>
      <c r="N193" s="189"/>
      <c r="O193" s="189"/>
      <c r="P193" s="189"/>
      <c r="Q193" s="189"/>
      <c r="R193" s="189"/>
      <c r="S193" s="189"/>
      <c r="T193" s="189"/>
      <c r="U193" s="189"/>
      <c r="V193" s="189"/>
      <c r="W193" s="189"/>
    </row>
    <row r="194">
      <c r="A194" s="188">
        <v>9.0</v>
      </c>
      <c r="B194" s="188">
        <v>22139.0</v>
      </c>
      <c r="C194" s="193" t="s">
        <v>1112</v>
      </c>
      <c r="D194" s="189"/>
      <c r="E194" s="189"/>
      <c r="F194" s="189"/>
      <c r="G194" s="189"/>
      <c r="H194" s="189"/>
      <c r="I194" s="189"/>
      <c r="J194" s="189"/>
      <c r="K194" s="189"/>
      <c r="L194" s="189"/>
      <c r="M194" s="189"/>
      <c r="N194" s="189"/>
      <c r="O194" s="189"/>
      <c r="P194" s="189"/>
      <c r="Q194" s="189"/>
      <c r="R194" s="189"/>
      <c r="S194" s="189"/>
      <c r="T194" s="189"/>
      <c r="U194" s="189"/>
      <c r="V194" s="189"/>
      <c r="W194" s="189"/>
    </row>
    <row r="195">
      <c r="A195" s="188">
        <v>9.0</v>
      </c>
      <c r="B195" s="188">
        <v>22076.0</v>
      </c>
      <c r="C195" s="193" t="s">
        <v>1113</v>
      </c>
      <c r="D195" s="189"/>
      <c r="E195" s="189"/>
      <c r="F195" s="189"/>
      <c r="G195" s="189"/>
      <c r="H195" s="189"/>
      <c r="I195" s="189"/>
      <c r="J195" s="189"/>
      <c r="K195" s="189"/>
      <c r="L195" s="189"/>
      <c r="M195" s="189"/>
      <c r="N195" s="189"/>
      <c r="O195" s="189"/>
      <c r="P195" s="189"/>
      <c r="Q195" s="189"/>
      <c r="R195" s="189"/>
      <c r="S195" s="189"/>
      <c r="T195" s="189"/>
      <c r="U195" s="189"/>
      <c r="V195" s="189"/>
      <c r="W195" s="189"/>
    </row>
    <row r="196">
      <c r="A196" s="188">
        <v>9.0</v>
      </c>
      <c r="B196" s="188">
        <v>22077.0</v>
      </c>
      <c r="C196" s="193" t="s">
        <v>1114</v>
      </c>
      <c r="D196" s="189"/>
      <c r="E196" s="189"/>
      <c r="F196" s="189"/>
      <c r="G196" s="189"/>
      <c r="H196" s="189"/>
      <c r="I196" s="189"/>
      <c r="J196" s="189"/>
      <c r="K196" s="189"/>
      <c r="L196" s="189"/>
      <c r="M196" s="189"/>
      <c r="N196" s="189"/>
      <c r="O196" s="189"/>
      <c r="P196" s="189"/>
      <c r="Q196" s="189"/>
      <c r="R196" s="189"/>
      <c r="S196" s="189"/>
      <c r="T196" s="189"/>
      <c r="U196" s="189"/>
      <c r="V196" s="189"/>
      <c r="W196" s="189"/>
    </row>
    <row r="197">
      <c r="A197" s="188">
        <v>9.0</v>
      </c>
      <c r="B197" s="188">
        <v>22149.0</v>
      </c>
      <c r="C197" s="193" t="s">
        <v>1115</v>
      </c>
      <c r="D197" s="189"/>
      <c r="E197" s="189"/>
      <c r="F197" s="189"/>
      <c r="G197" s="189"/>
      <c r="H197" s="189"/>
      <c r="I197" s="189"/>
      <c r="J197" s="189"/>
      <c r="K197" s="189"/>
      <c r="L197" s="189"/>
      <c r="M197" s="189"/>
      <c r="N197" s="189"/>
      <c r="O197" s="189"/>
      <c r="P197" s="189"/>
      <c r="Q197" s="189"/>
      <c r="R197" s="189"/>
      <c r="S197" s="189"/>
      <c r="T197" s="189"/>
      <c r="U197" s="189"/>
      <c r="V197" s="189"/>
      <c r="W197" s="189"/>
    </row>
    <row r="198">
      <c r="A198" s="188">
        <v>9.0</v>
      </c>
      <c r="B198" s="188">
        <v>22134.0</v>
      </c>
      <c r="C198" s="193" t="s">
        <v>1116</v>
      </c>
      <c r="D198" s="189"/>
      <c r="E198" s="189"/>
      <c r="F198" s="189"/>
      <c r="G198" s="189"/>
      <c r="H198" s="189"/>
      <c r="I198" s="189"/>
      <c r="J198" s="189"/>
      <c r="K198" s="189"/>
      <c r="L198" s="189"/>
      <c r="M198" s="189"/>
      <c r="N198" s="189"/>
      <c r="O198" s="189"/>
      <c r="P198" s="189"/>
      <c r="Q198" s="189"/>
      <c r="R198" s="189"/>
      <c r="S198" s="189"/>
      <c r="T198" s="189"/>
      <c r="U198" s="189"/>
      <c r="V198" s="189"/>
      <c r="W198" s="189"/>
    </row>
    <row r="199">
      <c r="A199" s="188">
        <v>9.0</v>
      </c>
      <c r="B199" s="188">
        <v>22078.0</v>
      </c>
      <c r="C199" s="193" t="s">
        <v>1117</v>
      </c>
      <c r="D199" s="189"/>
      <c r="E199" s="189"/>
      <c r="F199" s="189"/>
      <c r="G199" s="189"/>
      <c r="H199" s="189"/>
      <c r="I199" s="189"/>
      <c r="J199" s="189"/>
      <c r="K199" s="189"/>
      <c r="L199" s="189"/>
      <c r="M199" s="189"/>
      <c r="N199" s="189"/>
      <c r="O199" s="189"/>
      <c r="P199" s="189"/>
      <c r="Q199" s="189"/>
      <c r="R199" s="189"/>
      <c r="S199" s="189"/>
      <c r="T199" s="189"/>
      <c r="U199" s="189"/>
      <c r="V199" s="189"/>
      <c r="W199" s="189"/>
    </row>
    <row r="200">
      <c r="A200" s="188">
        <v>9.0</v>
      </c>
      <c r="B200" s="188">
        <v>22079.0</v>
      </c>
      <c r="C200" s="193" t="s">
        <v>1118</v>
      </c>
      <c r="D200" s="189"/>
      <c r="E200" s="189"/>
      <c r="F200" s="189"/>
      <c r="G200" s="189"/>
      <c r="H200" s="189"/>
      <c r="I200" s="189"/>
      <c r="J200" s="189"/>
      <c r="K200" s="189"/>
      <c r="L200" s="189"/>
      <c r="M200" s="189"/>
      <c r="N200" s="189"/>
      <c r="O200" s="189"/>
      <c r="P200" s="189"/>
      <c r="Q200" s="189"/>
      <c r="R200" s="189"/>
      <c r="S200" s="189"/>
      <c r="T200" s="189"/>
      <c r="U200" s="189"/>
      <c r="V200" s="189"/>
      <c r="W200" s="189"/>
    </row>
    <row r="201">
      <c r="A201" s="188">
        <v>9.0</v>
      </c>
      <c r="B201" s="188">
        <v>22121.0</v>
      </c>
      <c r="C201" s="193" t="s">
        <v>1119</v>
      </c>
      <c r="D201" s="189"/>
      <c r="E201" s="189"/>
      <c r="F201" s="189"/>
      <c r="G201" s="189"/>
      <c r="H201" s="189"/>
      <c r="I201" s="189"/>
      <c r="J201" s="189"/>
      <c r="K201" s="189"/>
      <c r="L201" s="189"/>
      <c r="M201" s="189"/>
      <c r="N201" s="189"/>
      <c r="O201" s="189"/>
      <c r="P201" s="189"/>
      <c r="Q201" s="189"/>
      <c r="R201" s="189"/>
      <c r="S201" s="189"/>
      <c r="T201" s="189"/>
      <c r="U201" s="189"/>
      <c r="V201" s="189"/>
      <c r="W201" s="189"/>
    </row>
    <row r="202">
      <c r="A202" s="188">
        <v>9.0</v>
      </c>
      <c r="B202" s="188">
        <v>22081.0</v>
      </c>
      <c r="C202" s="193" t="s">
        <v>1120</v>
      </c>
      <c r="D202" s="189"/>
      <c r="E202" s="189"/>
      <c r="F202" s="189"/>
      <c r="G202" s="189"/>
      <c r="H202" s="189"/>
      <c r="I202" s="189"/>
      <c r="J202" s="189"/>
      <c r="K202" s="189"/>
      <c r="L202" s="189"/>
      <c r="M202" s="189"/>
      <c r="N202" s="189"/>
      <c r="O202" s="189"/>
      <c r="P202" s="189"/>
      <c r="Q202" s="189"/>
      <c r="R202" s="189"/>
      <c r="S202" s="189"/>
      <c r="T202" s="189"/>
      <c r="U202" s="189"/>
      <c r="V202" s="189"/>
      <c r="W202" s="189"/>
    </row>
    <row r="203">
      <c r="A203" s="188">
        <v>9.0</v>
      </c>
      <c r="B203" s="188">
        <v>21059.0</v>
      </c>
      <c r="C203" s="193" t="s">
        <v>1121</v>
      </c>
      <c r="D203" s="189"/>
      <c r="E203" s="189"/>
      <c r="F203" s="189"/>
      <c r="G203" s="189"/>
      <c r="H203" s="189"/>
      <c r="I203" s="189"/>
      <c r="J203" s="189"/>
      <c r="K203" s="189"/>
      <c r="L203" s="189"/>
      <c r="M203" s="189"/>
      <c r="N203" s="189"/>
      <c r="O203" s="189"/>
      <c r="P203" s="189"/>
      <c r="Q203" s="189"/>
      <c r="R203" s="189"/>
      <c r="S203" s="189"/>
      <c r="T203" s="189"/>
      <c r="U203" s="189"/>
      <c r="V203" s="189"/>
      <c r="W203" s="189"/>
    </row>
    <row r="204">
      <c r="A204" s="188">
        <v>9.0</v>
      </c>
      <c r="B204" s="188">
        <v>22082.0</v>
      </c>
      <c r="C204" s="193" t="s">
        <v>1122</v>
      </c>
      <c r="D204" s="189"/>
      <c r="E204" s="189"/>
      <c r="F204" s="189"/>
      <c r="G204" s="189"/>
      <c r="H204" s="189"/>
      <c r="I204" s="189"/>
      <c r="J204" s="189"/>
      <c r="K204" s="189"/>
      <c r="L204" s="189"/>
      <c r="M204" s="189"/>
      <c r="N204" s="189"/>
      <c r="O204" s="189"/>
      <c r="P204" s="189"/>
      <c r="Q204" s="189"/>
      <c r="R204" s="189"/>
      <c r="S204" s="189"/>
      <c r="T204" s="189"/>
      <c r="U204" s="189"/>
      <c r="V204" s="189"/>
      <c r="W204" s="189"/>
    </row>
    <row r="205">
      <c r="A205" s="188">
        <v>9.0</v>
      </c>
      <c r="B205" s="188">
        <v>22083.0</v>
      </c>
      <c r="C205" s="193" t="s">
        <v>1123</v>
      </c>
      <c r="D205" s="189"/>
      <c r="E205" s="189"/>
      <c r="F205" s="189"/>
      <c r="G205" s="189"/>
      <c r="H205" s="189"/>
      <c r="I205" s="189"/>
      <c r="J205" s="189"/>
      <c r="K205" s="189"/>
      <c r="L205" s="189"/>
      <c r="M205" s="189"/>
      <c r="N205" s="189"/>
      <c r="O205" s="189"/>
      <c r="P205" s="189"/>
      <c r="Q205" s="189"/>
      <c r="R205" s="189"/>
      <c r="S205" s="189"/>
      <c r="T205" s="189"/>
      <c r="U205" s="189"/>
      <c r="V205" s="189"/>
      <c r="W205" s="189"/>
    </row>
    <row r="206">
      <c r="A206" s="188">
        <v>9.0</v>
      </c>
      <c r="B206" s="188">
        <v>22084.0</v>
      </c>
      <c r="C206" s="193" t="s">
        <v>1124</v>
      </c>
      <c r="D206" s="189"/>
      <c r="E206" s="189"/>
      <c r="F206" s="189"/>
      <c r="G206" s="189"/>
      <c r="H206" s="189"/>
      <c r="I206" s="189"/>
      <c r="J206" s="189"/>
      <c r="K206" s="189"/>
      <c r="L206" s="189"/>
      <c r="M206" s="189"/>
      <c r="N206" s="189"/>
      <c r="O206" s="189"/>
      <c r="P206" s="189"/>
      <c r="Q206" s="189"/>
      <c r="R206" s="189"/>
      <c r="S206" s="189"/>
      <c r="T206" s="189"/>
      <c r="U206" s="189"/>
      <c r="V206" s="189"/>
      <c r="W206" s="189"/>
    </row>
    <row r="207">
      <c r="A207" s="188">
        <v>9.0</v>
      </c>
      <c r="B207" s="188">
        <v>22085.0</v>
      </c>
      <c r="C207" s="193" t="s">
        <v>1125</v>
      </c>
      <c r="D207" s="189"/>
      <c r="E207" s="189"/>
      <c r="F207" s="189"/>
      <c r="G207" s="189"/>
      <c r="H207" s="189"/>
      <c r="I207" s="189"/>
      <c r="J207" s="189"/>
      <c r="K207" s="189"/>
      <c r="L207" s="189"/>
      <c r="M207" s="189"/>
      <c r="N207" s="189"/>
      <c r="O207" s="189"/>
      <c r="P207" s="189"/>
      <c r="Q207" s="189"/>
      <c r="R207" s="189"/>
      <c r="S207" s="189"/>
      <c r="T207" s="189"/>
      <c r="U207" s="189"/>
      <c r="V207" s="189"/>
      <c r="W207" s="189"/>
    </row>
    <row r="208">
      <c r="A208" s="188">
        <v>9.0</v>
      </c>
      <c r="B208" s="188">
        <v>22143.0</v>
      </c>
      <c r="C208" s="193" t="s">
        <v>1126</v>
      </c>
      <c r="D208" s="189"/>
      <c r="E208" s="189"/>
      <c r="F208" s="189"/>
      <c r="G208" s="189"/>
      <c r="H208" s="189"/>
      <c r="I208" s="189"/>
      <c r="J208" s="189"/>
      <c r="K208" s="189"/>
      <c r="L208" s="189"/>
      <c r="M208" s="189"/>
      <c r="N208" s="189"/>
      <c r="O208" s="189"/>
      <c r="P208" s="189"/>
      <c r="Q208" s="189"/>
      <c r="R208" s="189"/>
      <c r="S208" s="189"/>
      <c r="T208" s="189"/>
      <c r="U208" s="189"/>
      <c r="V208" s="189"/>
      <c r="W208" s="189"/>
    </row>
    <row r="209">
      <c r="A209" s="188">
        <v>9.0</v>
      </c>
      <c r="B209" s="188">
        <v>22111.0</v>
      </c>
      <c r="C209" s="193" t="s">
        <v>1127</v>
      </c>
      <c r="D209" s="189"/>
      <c r="E209" s="189"/>
      <c r="F209" s="189"/>
      <c r="G209" s="189"/>
      <c r="H209" s="189"/>
      <c r="I209" s="189"/>
      <c r="J209" s="189"/>
      <c r="K209" s="189"/>
      <c r="L209" s="189"/>
      <c r="M209" s="189"/>
      <c r="N209" s="189"/>
      <c r="O209" s="189"/>
      <c r="P209" s="189"/>
      <c r="Q209" s="189"/>
      <c r="R209" s="189"/>
      <c r="S209" s="189"/>
      <c r="T209" s="189"/>
      <c r="U209" s="189"/>
      <c r="V209" s="189"/>
      <c r="W209" s="189"/>
    </row>
    <row r="210">
      <c r="A210" s="188">
        <v>9.0</v>
      </c>
      <c r="B210" s="188">
        <v>22148.0</v>
      </c>
      <c r="C210" s="193" t="s">
        <v>1128</v>
      </c>
      <c r="D210" s="189"/>
      <c r="E210" s="189"/>
      <c r="F210" s="189"/>
      <c r="G210" s="189"/>
      <c r="H210" s="189"/>
      <c r="I210" s="189"/>
      <c r="J210" s="189"/>
      <c r="K210" s="189"/>
      <c r="L210" s="189"/>
      <c r="M210" s="189"/>
      <c r="N210" s="189"/>
      <c r="O210" s="189"/>
      <c r="P210" s="189"/>
      <c r="Q210" s="189"/>
      <c r="R210" s="189"/>
      <c r="S210" s="189"/>
      <c r="T210" s="189"/>
      <c r="U210" s="189"/>
      <c r="V210" s="189"/>
      <c r="W210" s="189"/>
    </row>
    <row r="211">
      <c r="A211" s="188">
        <v>9.0</v>
      </c>
      <c r="B211" s="188">
        <v>22086.0</v>
      </c>
      <c r="C211" s="193" t="s">
        <v>1129</v>
      </c>
      <c r="D211" s="189"/>
      <c r="E211" s="189"/>
      <c r="F211" s="189"/>
      <c r="G211" s="189"/>
      <c r="H211" s="189"/>
      <c r="I211" s="189"/>
      <c r="J211" s="189"/>
      <c r="K211" s="189"/>
      <c r="L211" s="189"/>
      <c r="M211" s="189"/>
      <c r="N211" s="189"/>
      <c r="O211" s="189"/>
      <c r="P211" s="189"/>
      <c r="Q211" s="189"/>
      <c r="R211" s="189"/>
      <c r="S211" s="189"/>
      <c r="T211" s="189"/>
      <c r="U211" s="189"/>
      <c r="V211" s="189"/>
      <c r="W211" s="189"/>
    </row>
    <row r="212">
      <c r="A212" s="188">
        <v>9.0</v>
      </c>
      <c r="B212" s="188">
        <v>22087.0</v>
      </c>
      <c r="C212" s="193" t="s">
        <v>1130</v>
      </c>
      <c r="D212" s="189"/>
      <c r="E212" s="189"/>
      <c r="F212" s="189"/>
      <c r="G212" s="189"/>
      <c r="H212" s="189"/>
      <c r="I212" s="189"/>
      <c r="J212" s="189"/>
      <c r="K212" s="189"/>
      <c r="L212" s="189"/>
      <c r="M212" s="189"/>
      <c r="N212" s="189"/>
      <c r="O212" s="189"/>
      <c r="P212" s="189"/>
      <c r="Q212" s="189"/>
      <c r="R212" s="189"/>
      <c r="S212" s="189"/>
      <c r="T212" s="189"/>
      <c r="U212" s="189"/>
      <c r="V212" s="189"/>
      <c r="W212" s="189"/>
    </row>
    <row r="213">
      <c r="A213" s="188">
        <v>9.0</v>
      </c>
      <c r="B213" s="188">
        <v>22089.0</v>
      </c>
      <c r="C213" s="193" t="s">
        <v>1131</v>
      </c>
      <c r="D213" s="189"/>
      <c r="E213" s="189"/>
      <c r="F213" s="189"/>
      <c r="G213" s="189"/>
      <c r="H213" s="189"/>
      <c r="I213" s="189"/>
      <c r="J213" s="189"/>
      <c r="K213" s="189"/>
      <c r="L213" s="189"/>
      <c r="M213" s="189"/>
      <c r="N213" s="189"/>
      <c r="O213" s="189"/>
      <c r="P213" s="189"/>
      <c r="Q213" s="189"/>
      <c r="R213" s="189"/>
      <c r="S213" s="189"/>
      <c r="T213" s="189"/>
      <c r="U213" s="189"/>
      <c r="V213" s="189"/>
      <c r="W213" s="189"/>
    </row>
    <row r="214">
      <c r="A214" s="188">
        <v>9.0</v>
      </c>
      <c r="B214" s="188">
        <v>22090.0</v>
      </c>
      <c r="C214" s="193" t="s">
        <v>1132</v>
      </c>
      <c r="D214" s="189"/>
      <c r="E214" s="189"/>
      <c r="F214" s="189"/>
      <c r="G214" s="189"/>
      <c r="H214" s="189"/>
      <c r="I214" s="189"/>
      <c r="J214" s="189"/>
      <c r="K214" s="189"/>
      <c r="L214" s="189"/>
      <c r="M214" s="189"/>
      <c r="N214" s="189"/>
      <c r="O214" s="189"/>
      <c r="P214" s="189"/>
      <c r="Q214" s="189"/>
      <c r="R214" s="189"/>
      <c r="S214" s="189"/>
      <c r="T214" s="189"/>
      <c r="U214" s="189"/>
      <c r="V214" s="189"/>
      <c r="W214" s="189"/>
    </row>
    <row r="215">
      <c r="A215" s="188">
        <v>9.0</v>
      </c>
      <c r="B215" s="188">
        <v>22091.0</v>
      </c>
      <c r="C215" s="193" t="s">
        <v>1133</v>
      </c>
      <c r="D215" s="189"/>
      <c r="E215" s="189"/>
      <c r="F215" s="189"/>
      <c r="G215" s="189"/>
      <c r="H215" s="189"/>
      <c r="I215" s="189"/>
      <c r="J215" s="189"/>
      <c r="K215" s="189"/>
      <c r="L215" s="189"/>
      <c r="M215" s="189"/>
      <c r="N215" s="189"/>
      <c r="O215" s="189"/>
      <c r="P215" s="189"/>
      <c r="Q215" s="189"/>
      <c r="R215" s="189"/>
      <c r="S215" s="189"/>
      <c r="T215" s="189"/>
      <c r="U215" s="189"/>
      <c r="V215" s="189"/>
      <c r="W215" s="189"/>
    </row>
    <row r="216">
      <c r="A216" s="188">
        <v>9.0</v>
      </c>
      <c r="B216" s="188">
        <v>22092.0</v>
      </c>
      <c r="C216" s="193" t="s">
        <v>1134</v>
      </c>
      <c r="D216" s="189"/>
      <c r="E216" s="189"/>
      <c r="F216" s="189"/>
      <c r="G216" s="189"/>
      <c r="H216" s="189"/>
      <c r="I216" s="189"/>
      <c r="J216" s="189"/>
      <c r="K216" s="189"/>
      <c r="L216" s="189"/>
      <c r="M216" s="189"/>
      <c r="N216" s="189"/>
      <c r="O216" s="189"/>
      <c r="P216" s="189"/>
      <c r="Q216" s="189"/>
      <c r="R216" s="189"/>
      <c r="S216" s="189"/>
      <c r="T216" s="189"/>
      <c r="U216" s="189"/>
      <c r="V216" s="189"/>
      <c r="W216" s="189"/>
    </row>
    <row r="217">
      <c r="A217" s="188">
        <v>9.0</v>
      </c>
      <c r="B217" s="188">
        <v>22093.0</v>
      </c>
      <c r="C217" s="193" t="s">
        <v>1135</v>
      </c>
      <c r="D217" s="189"/>
      <c r="E217" s="189"/>
      <c r="F217" s="189"/>
      <c r="G217" s="189"/>
      <c r="H217" s="189"/>
      <c r="I217" s="189"/>
      <c r="J217" s="189"/>
      <c r="K217" s="189"/>
      <c r="L217" s="189"/>
      <c r="M217" s="189"/>
      <c r="N217" s="189"/>
      <c r="O217" s="189"/>
      <c r="P217" s="189"/>
      <c r="Q217" s="189"/>
      <c r="R217" s="189"/>
      <c r="S217" s="189"/>
      <c r="T217" s="189"/>
      <c r="U217" s="189"/>
      <c r="V217" s="189"/>
      <c r="W217" s="189"/>
    </row>
    <row r="218">
      <c r="A218" s="188">
        <v>9.0</v>
      </c>
      <c r="B218" s="188">
        <v>22105.0</v>
      </c>
      <c r="C218" s="193" t="s">
        <v>1136</v>
      </c>
      <c r="D218" s="189"/>
      <c r="E218" s="189"/>
      <c r="F218" s="189"/>
      <c r="G218" s="189"/>
      <c r="H218" s="189"/>
      <c r="I218" s="189"/>
      <c r="J218" s="189"/>
      <c r="K218" s="189"/>
      <c r="L218" s="189"/>
      <c r="M218" s="189"/>
      <c r="N218" s="189"/>
      <c r="O218" s="189"/>
      <c r="P218" s="189"/>
      <c r="Q218" s="189"/>
      <c r="R218" s="189"/>
      <c r="S218" s="189"/>
      <c r="T218" s="189"/>
      <c r="U218" s="189"/>
      <c r="V218" s="189"/>
      <c r="W218" s="189"/>
    </row>
    <row r="219">
      <c r="A219" s="188">
        <v>9.0</v>
      </c>
      <c r="B219" s="188">
        <v>22106.0</v>
      </c>
      <c r="C219" s="193" t="s">
        <v>1137</v>
      </c>
      <c r="D219" s="189"/>
      <c r="E219" s="189"/>
      <c r="F219" s="189"/>
      <c r="G219" s="189"/>
      <c r="H219" s="189"/>
      <c r="I219" s="189"/>
      <c r="J219" s="189"/>
      <c r="K219" s="189"/>
      <c r="L219" s="189"/>
      <c r="M219" s="189"/>
      <c r="N219" s="189"/>
      <c r="O219" s="189"/>
      <c r="P219" s="189"/>
      <c r="Q219" s="189"/>
      <c r="R219" s="189"/>
      <c r="S219" s="189"/>
      <c r="T219" s="189"/>
      <c r="U219" s="189"/>
      <c r="V219" s="189"/>
      <c r="W219" s="189"/>
    </row>
    <row r="220">
      <c r="A220" s="188">
        <v>9.0</v>
      </c>
      <c r="B220" s="188">
        <v>22115.0</v>
      </c>
      <c r="C220" s="193" t="s">
        <v>1138</v>
      </c>
      <c r="D220" s="189"/>
      <c r="E220" s="189"/>
      <c r="F220" s="189"/>
      <c r="G220" s="189"/>
      <c r="H220" s="189"/>
      <c r="I220" s="189"/>
      <c r="J220" s="189"/>
      <c r="K220" s="189"/>
      <c r="L220" s="189"/>
      <c r="M220" s="189"/>
      <c r="N220" s="189"/>
      <c r="O220" s="189"/>
      <c r="P220" s="189"/>
      <c r="Q220" s="189"/>
      <c r="R220" s="189"/>
      <c r="S220" s="189"/>
      <c r="T220" s="189"/>
      <c r="U220" s="189"/>
      <c r="V220" s="189"/>
      <c r="W220" s="189"/>
    </row>
    <row r="221">
      <c r="A221" s="188">
        <v>9.0</v>
      </c>
      <c r="B221" s="188">
        <v>22094.0</v>
      </c>
      <c r="C221" s="193" t="s">
        <v>1139</v>
      </c>
      <c r="D221" s="189"/>
      <c r="E221" s="189"/>
      <c r="F221" s="189"/>
      <c r="G221" s="189"/>
      <c r="H221" s="189"/>
      <c r="I221" s="189"/>
      <c r="J221" s="189"/>
      <c r="K221" s="189"/>
      <c r="L221" s="189"/>
      <c r="M221" s="189"/>
      <c r="N221" s="189"/>
      <c r="O221" s="189"/>
      <c r="P221" s="189"/>
      <c r="Q221" s="189"/>
      <c r="R221" s="189"/>
      <c r="S221" s="189"/>
      <c r="T221" s="189"/>
      <c r="U221" s="189"/>
      <c r="V221" s="189"/>
      <c r="W221" s="189"/>
    </row>
    <row r="222">
      <c r="A222" s="188">
        <v>9.0</v>
      </c>
      <c r="B222" s="188">
        <v>22096.0</v>
      </c>
      <c r="C222" s="193" t="s">
        <v>1140</v>
      </c>
      <c r="D222" s="189"/>
      <c r="E222" s="189"/>
      <c r="F222" s="189"/>
      <c r="G222" s="189"/>
      <c r="H222" s="189"/>
      <c r="I222" s="189"/>
      <c r="J222" s="189"/>
      <c r="K222" s="189"/>
      <c r="L222" s="189"/>
      <c r="M222" s="189"/>
      <c r="N222" s="189"/>
      <c r="O222" s="189"/>
      <c r="P222" s="189"/>
      <c r="Q222" s="189"/>
      <c r="R222" s="189"/>
      <c r="S222" s="189"/>
      <c r="T222" s="189"/>
      <c r="U222" s="189"/>
      <c r="V222" s="189"/>
      <c r="W222" s="189"/>
    </row>
    <row r="223">
      <c r="A223" s="188">
        <v>9.0</v>
      </c>
      <c r="B223" s="188">
        <v>22097.0</v>
      </c>
      <c r="C223" s="193" t="s">
        <v>1141</v>
      </c>
      <c r="D223" s="189"/>
      <c r="E223" s="189"/>
      <c r="F223" s="189"/>
      <c r="G223" s="189"/>
      <c r="H223" s="189"/>
      <c r="I223" s="189"/>
      <c r="J223" s="189"/>
      <c r="K223" s="189"/>
      <c r="L223" s="189"/>
      <c r="M223" s="189"/>
      <c r="N223" s="189"/>
      <c r="O223" s="189"/>
      <c r="P223" s="189"/>
      <c r="Q223" s="189"/>
      <c r="R223" s="189"/>
      <c r="S223" s="189"/>
      <c r="T223" s="189"/>
      <c r="U223" s="189"/>
      <c r="V223" s="189"/>
      <c r="W223" s="189"/>
    </row>
    <row r="224">
      <c r="A224" s="188">
        <v>9.0</v>
      </c>
      <c r="B224" s="188">
        <v>22098.0</v>
      </c>
      <c r="C224" s="193" t="s">
        <v>1142</v>
      </c>
      <c r="D224" s="189"/>
      <c r="E224" s="189"/>
      <c r="F224" s="189"/>
      <c r="G224" s="189"/>
      <c r="H224" s="189"/>
      <c r="I224" s="189"/>
      <c r="J224" s="189"/>
      <c r="K224" s="189"/>
      <c r="L224" s="189"/>
      <c r="M224" s="189"/>
      <c r="N224" s="189"/>
      <c r="O224" s="189"/>
      <c r="P224" s="189"/>
      <c r="Q224" s="189"/>
      <c r="R224" s="189"/>
      <c r="S224" s="189"/>
      <c r="T224" s="189"/>
      <c r="U224" s="189"/>
      <c r="V224" s="189"/>
      <c r="W224" s="189"/>
    </row>
    <row r="225">
      <c r="A225" s="188">
        <v>9.0</v>
      </c>
      <c r="B225" s="188">
        <v>22099.0</v>
      </c>
      <c r="C225" s="193" t="s">
        <v>1143</v>
      </c>
      <c r="D225" s="189"/>
      <c r="E225" s="189"/>
      <c r="F225" s="189"/>
      <c r="G225" s="189"/>
      <c r="H225" s="189"/>
      <c r="I225" s="189"/>
      <c r="J225" s="189"/>
      <c r="K225" s="189"/>
      <c r="L225" s="189"/>
      <c r="M225" s="189"/>
      <c r="N225" s="189"/>
      <c r="O225" s="189"/>
      <c r="P225" s="189"/>
      <c r="Q225" s="189"/>
      <c r="R225" s="189"/>
      <c r="S225" s="189"/>
      <c r="T225" s="189"/>
      <c r="U225" s="189"/>
      <c r="V225" s="189"/>
      <c r="W225" s="189"/>
    </row>
    <row r="226">
      <c r="A226" s="188">
        <v>9.0</v>
      </c>
      <c r="B226" s="188">
        <v>22100.0</v>
      </c>
      <c r="C226" s="193" t="s">
        <v>1144</v>
      </c>
      <c r="D226" s="189"/>
      <c r="E226" s="189"/>
      <c r="F226" s="189"/>
      <c r="G226" s="189"/>
      <c r="H226" s="189"/>
      <c r="I226" s="189"/>
      <c r="J226" s="189"/>
      <c r="K226" s="189"/>
      <c r="L226" s="189"/>
      <c r="M226" s="189"/>
      <c r="N226" s="189"/>
      <c r="O226" s="189"/>
      <c r="P226" s="189"/>
      <c r="Q226" s="189"/>
      <c r="R226" s="189"/>
      <c r="S226" s="189"/>
      <c r="T226" s="189"/>
      <c r="U226" s="189"/>
      <c r="V226" s="189"/>
      <c r="W226" s="189"/>
    </row>
    <row r="227">
      <c r="A227" s="188">
        <v>10.0</v>
      </c>
      <c r="B227" s="188">
        <v>21001.0</v>
      </c>
      <c r="C227" s="193" t="s">
        <v>1145</v>
      </c>
      <c r="D227" s="189"/>
      <c r="E227" s="189"/>
      <c r="F227" s="189"/>
      <c r="G227" s="189"/>
      <c r="H227" s="189"/>
      <c r="I227" s="189"/>
      <c r="J227" s="189"/>
      <c r="K227" s="189"/>
      <c r="L227" s="189"/>
      <c r="M227" s="189"/>
      <c r="N227" s="189"/>
      <c r="O227" s="189"/>
      <c r="P227" s="189"/>
      <c r="Q227" s="189"/>
      <c r="R227" s="189"/>
      <c r="S227" s="189"/>
      <c r="T227" s="189"/>
      <c r="U227" s="189"/>
      <c r="V227" s="189"/>
      <c r="W227" s="189"/>
    </row>
    <row r="228">
      <c r="A228" s="188">
        <v>10.0</v>
      </c>
      <c r="B228" s="188">
        <v>21003.0</v>
      </c>
      <c r="C228" s="193" t="s">
        <v>1146</v>
      </c>
      <c r="D228" s="189"/>
      <c r="E228" s="189"/>
      <c r="F228" s="189"/>
      <c r="G228" s="189"/>
      <c r="H228" s="189"/>
      <c r="I228" s="189"/>
      <c r="J228" s="189"/>
      <c r="K228" s="189"/>
      <c r="L228" s="189"/>
      <c r="M228" s="189"/>
      <c r="N228" s="189"/>
      <c r="O228" s="189"/>
      <c r="P228" s="189"/>
      <c r="Q228" s="189"/>
      <c r="R228" s="189"/>
      <c r="S228" s="189"/>
      <c r="T228" s="189"/>
      <c r="U228" s="189"/>
      <c r="V228" s="189"/>
      <c r="W228" s="189"/>
    </row>
    <row r="229">
      <c r="A229" s="188">
        <v>10.0</v>
      </c>
      <c r="B229" s="188">
        <v>21090.0</v>
      </c>
      <c r="C229" s="193" t="s">
        <v>1147</v>
      </c>
      <c r="D229" s="189"/>
      <c r="E229" s="189"/>
      <c r="F229" s="189"/>
      <c r="G229" s="189"/>
      <c r="H229" s="189"/>
      <c r="I229" s="189"/>
      <c r="J229" s="189"/>
      <c r="K229" s="189"/>
      <c r="L229" s="189"/>
      <c r="M229" s="189"/>
      <c r="N229" s="189"/>
      <c r="O229" s="189"/>
      <c r="P229" s="189"/>
      <c r="Q229" s="189"/>
      <c r="R229" s="189"/>
      <c r="S229" s="189"/>
      <c r="T229" s="189"/>
      <c r="U229" s="189"/>
      <c r="V229" s="189"/>
      <c r="W229" s="189"/>
    </row>
    <row r="230">
      <c r="A230" s="188">
        <v>10.0</v>
      </c>
      <c r="B230" s="188">
        <v>21120.0</v>
      </c>
      <c r="C230" s="193" t="s">
        <v>1148</v>
      </c>
      <c r="D230" s="189"/>
      <c r="E230" s="189"/>
      <c r="F230" s="189"/>
      <c r="G230" s="189"/>
      <c r="H230" s="189"/>
      <c r="I230" s="189"/>
      <c r="J230" s="189"/>
      <c r="K230" s="189"/>
      <c r="L230" s="189"/>
      <c r="M230" s="189"/>
      <c r="N230" s="189"/>
      <c r="O230" s="189"/>
      <c r="P230" s="189"/>
      <c r="Q230" s="189"/>
      <c r="R230" s="189"/>
      <c r="S230" s="189"/>
      <c r="T230" s="189"/>
      <c r="U230" s="189"/>
      <c r="V230" s="189"/>
      <c r="W230" s="189"/>
    </row>
    <row r="231">
      <c r="A231" s="188">
        <v>10.0</v>
      </c>
      <c r="B231" s="188">
        <v>21004.0</v>
      </c>
      <c r="C231" s="193" t="s">
        <v>1149</v>
      </c>
      <c r="D231" s="189"/>
      <c r="E231" s="189"/>
      <c r="F231" s="189"/>
      <c r="G231" s="189"/>
      <c r="H231" s="189"/>
      <c r="I231" s="189"/>
      <c r="J231" s="189"/>
      <c r="K231" s="189"/>
      <c r="L231" s="189"/>
      <c r="M231" s="189"/>
      <c r="N231" s="189"/>
      <c r="O231" s="189"/>
      <c r="P231" s="189"/>
      <c r="Q231" s="189"/>
      <c r="R231" s="189"/>
      <c r="S231" s="189"/>
      <c r="T231" s="189"/>
      <c r="U231" s="189"/>
      <c r="V231" s="189"/>
      <c r="W231" s="189"/>
    </row>
    <row r="232">
      <c r="A232" s="188">
        <v>10.0</v>
      </c>
      <c r="B232" s="188">
        <v>21006.0</v>
      </c>
      <c r="C232" s="193" t="s">
        <v>1150</v>
      </c>
      <c r="D232" s="189"/>
      <c r="E232" s="189"/>
      <c r="F232" s="189"/>
      <c r="G232" s="189"/>
      <c r="H232" s="189"/>
      <c r="I232" s="189"/>
      <c r="J232" s="189"/>
      <c r="K232" s="189"/>
      <c r="L232" s="189"/>
      <c r="M232" s="189"/>
      <c r="N232" s="189"/>
      <c r="O232" s="189"/>
      <c r="P232" s="189"/>
      <c r="Q232" s="189"/>
      <c r="R232" s="189"/>
      <c r="S232" s="189"/>
      <c r="T232" s="189"/>
      <c r="U232" s="189"/>
      <c r="V232" s="189"/>
      <c r="W232" s="189"/>
    </row>
    <row r="233">
      <c r="A233" s="188">
        <v>10.0</v>
      </c>
      <c r="B233" s="188">
        <v>21007.0</v>
      </c>
      <c r="C233" s="193" t="s">
        <v>1151</v>
      </c>
      <c r="D233" s="189"/>
      <c r="E233" s="189"/>
      <c r="F233" s="189"/>
      <c r="G233" s="189"/>
      <c r="H233" s="189"/>
      <c r="I233" s="189"/>
      <c r="J233" s="189"/>
      <c r="K233" s="189"/>
      <c r="L233" s="189"/>
      <c r="M233" s="189"/>
      <c r="N233" s="189"/>
      <c r="O233" s="189"/>
      <c r="P233" s="189"/>
      <c r="Q233" s="189"/>
      <c r="R233" s="189"/>
      <c r="S233" s="189"/>
      <c r="T233" s="189"/>
      <c r="U233" s="189"/>
      <c r="V233" s="189"/>
      <c r="W233" s="189"/>
    </row>
    <row r="234">
      <c r="A234" s="188">
        <v>10.0</v>
      </c>
      <c r="B234" s="188">
        <v>21104.0</v>
      </c>
      <c r="C234" s="193" t="s">
        <v>1152</v>
      </c>
      <c r="D234" s="189"/>
      <c r="E234" s="189"/>
      <c r="F234" s="189"/>
      <c r="G234" s="189"/>
      <c r="H234" s="189"/>
      <c r="I234" s="189"/>
      <c r="J234" s="189"/>
      <c r="K234" s="189"/>
      <c r="L234" s="189"/>
      <c r="M234" s="189"/>
      <c r="N234" s="189"/>
      <c r="O234" s="189"/>
      <c r="P234" s="189"/>
      <c r="Q234" s="189"/>
      <c r="R234" s="189"/>
      <c r="S234" s="189"/>
      <c r="T234" s="189"/>
      <c r="U234" s="189"/>
      <c r="V234" s="189"/>
      <c r="W234" s="189"/>
    </row>
    <row r="235">
      <c r="A235" s="188">
        <v>10.0</v>
      </c>
      <c r="B235" s="188">
        <v>21008.0</v>
      </c>
      <c r="C235" s="193" t="s">
        <v>1153</v>
      </c>
      <c r="D235" s="189"/>
      <c r="E235" s="189"/>
      <c r="F235" s="189"/>
      <c r="G235" s="189"/>
      <c r="H235" s="189"/>
      <c r="I235" s="189"/>
      <c r="J235" s="189"/>
      <c r="K235" s="189"/>
      <c r="L235" s="189"/>
      <c r="M235" s="189"/>
      <c r="N235" s="189"/>
      <c r="O235" s="189"/>
      <c r="P235" s="189"/>
      <c r="Q235" s="189"/>
      <c r="R235" s="189"/>
      <c r="S235" s="189"/>
      <c r="T235" s="189"/>
      <c r="U235" s="189"/>
      <c r="V235" s="189"/>
      <c r="W235" s="189"/>
    </row>
    <row r="236">
      <c r="A236" s="188">
        <v>10.0</v>
      </c>
      <c r="B236" s="188">
        <v>21009.0</v>
      </c>
      <c r="C236" s="193" t="s">
        <v>1154</v>
      </c>
      <c r="D236" s="189"/>
      <c r="E236" s="189"/>
      <c r="F236" s="189"/>
      <c r="G236" s="189"/>
      <c r="H236" s="189"/>
      <c r="I236" s="189"/>
      <c r="J236" s="189"/>
      <c r="K236" s="189"/>
      <c r="L236" s="189"/>
      <c r="M236" s="189"/>
      <c r="N236" s="189"/>
      <c r="O236" s="189"/>
      <c r="P236" s="189"/>
      <c r="Q236" s="189"/>
      <c r="R236" s="189"/>
      <c r="S236" s="189"/>
      <c r="T236" s="189"/>
      <c r="U236" s="189"/>
      <c r="V236" s="189"/>
      <c r="W236" s="189"/>
    </row>
    <row r="237">
      <c r="A237" s="188">
        <v>10.0</v>
      </c>
      <c r="B237" s="188">
        <v>21010.0</v>
      </c>
      <c r="C237" s="193" t="s">
        <v>1155</v>
      </c>
      <c r="D237" s="189"/>
      <c r="E237" s="189"/>
      <c r="F237" s="189"/>
      <c r="G237" s="189"/>
      <c r="H237" s="189"/>
      <c r="I237" s="189"/>
      <c r="J237" s="189"/>
      <c r="K237" s="189"/>
      <c r="L237" s="189"/>
      <c r="M237" s="189"/>
      <c r="N237" s="189"/>
      <c r="O237" s="189"/>
      <c r="P237" s="189"/>
      <c r="Q237" s="189"/>
      <c r="R237" s="189"/>
      <c r="S237" s="189"/>
      <c r="T237" s="189"/>
      <c r="U237" s="189"/>
      <c r="V237" s="189"/>
      <c r="W237" s="189"/>
    </row>
    <row r="238">
      <c r="A238" s="188">
        <v>10.0</v>
      </c>
      <c r="B238" s="188">
        <v>21081.0</v>
      </c>
      <c r="C238" s="193" t="s">
        <v>1156</v>
      </c>
      <c r="D238" s="189"/>
      <c r="E238" s="189"/>
      <c r="F238" s="189"/>
      <c r="G238" s="189"/>
      <c r="H238" s="189"/>
      <c r="I238" s="189"/>
      <c r="J238" s="189"/>
      <c r="K238" s="189"/>
      <c r="L238" s="189"/>
      <c r="M238" s="189"/>
      <c r="N238" s="189"/>
      <c r="O238" s="189"/>
      <c r="P238" s="189"/>
      <c r="Q238" s="189"/>
      <c r="R238" s="189"/>
      <c r="S238" s="189"/>
      <c r="T238" s="189"/>
      <c r="U238" s="189"/>
      <c r="V238" s="189"/>
      <c r="W238" s="189"/>
    </row>
    <row r="239">
      <c r="A239" s="188">
        <v>10.0</v>
      </c>
      <c r="B239" s="188">
        <v>21099.0</v>
      </c>
      <c r="C239" s="193" t="s">
        <v>1157</v>
      </c>
      <c r="D239" s="189"/>
      <c r="E239" s="189"/>
      <c r="F239" s="189"/>
      <c r="G239" s="189"/>
      <c r="H239" s="189"/>
      <c r="I239" s="189"/>
      <c r="J239" s="189"/>
      <c r="K239" s="189"/>
      <c r="L239" s="189"/>
      <c r="M239" s="189"/>
      <c r="N239" s="189"/>
      <c r="O239" s="189"/>
      <c r="P239" s="189"/>
      <c r="Q239" s="189"/>
      <c r="R239" s="189"/>
      <c r="S239" s="189"/>
      <c r="T239" s="189"/>
      <c r="U239" s="189"/>
      <c r="V239" s="189"/>
      <c r="W239" s="189"/>
    </row>
    <row r="240">
      <c r="A240" s="188">
        <v>10.0</v>
      </c>
      <c r="B240" s="188">
        <v>21118.0</v>
      </c>
      <c r="C240" s="193" t="s">
        <v>1158</v>
      </c>
      <c r="D240" s="189"/>
      <c r="E240" s="189"/>
      <c r="F240" s="189"/>
      <c r="G240" s="189"/>
      <c r="H240" s="189"/>
      <c r="I240" s="189"/>
      <c r="J240" s="189"/>
      <c r="K240" s="189"/>
      <c r="L240" s="189"/>
      <c r="M240" s="189"/>
      <c r="N240" s="189"/>
      <c r="O240" s="189"/>
      <c r="P240" s="189"/>
      <c r="Q240" s="189"/>
      <c r="R240" s="189"/>
      <c r="S240" s="189"/>
      <c r="T240" s="189"/>
      <c r="U240" s="189"/>
      <c r="V240" s="189"/>
      <c r="W240" s="189"/>
    </row>
    <row r="241">
      <c r="A241" s="188">
        <v>10.0</v>
      </c>
      <c r="B241" s="188">
        <v>21012.0</v>
      </c>
      <c r="C241" s="193" t="s">
        <v>1159</v>
      </c>
      <c r="D241" s="189"/>
      <c r="E241" s="189"/>
      <c r="F241" s="189"/>
      <c r="G241" s="189"/>
      <c r="H241" s="189"/>
      <c r="I241" s="189"/>
      <c r="J241" s="189"/>
      <c r="K241" s="189"/>
      <c r="L241" s="189"/>
      <c r="M241" s="189"/>
      <c r="N241" s="189"/>
      <c r="O241" s="189"/>
      <c r="P241" s="189"/>
      <c r="Q241" s="189"/>
      <c r="R241" s="189"/>
      <c r="S241" s="189"/>
      <c r="T241" s="189"/>
      <c r="U241" s="189"/>
      <c r="V241" s="189"/>
      <c r="W241" s="189"/>
    </row>
    <row r="242">
      <c r="A242" s="188">
        <v>10.0</v>
      </c>
      <c r="B242" s="188">
        <v>21013.0</v>
      </c>
      <c r="C242" s="193" t="s">
        <v>1160</v>
      </c>
      <c r="D242" s="189"/>
      <c r="E242" s="189"/>
      <c r="F242" s="189"/>
      <c r="G242" s="189"/>
      <c r="H242" s="189"/>
      <c r="I242" s="189"/>
      <c r="J242" s="189"/>
      <c r="K242" s="189"/>
      <c r="L242" s="189"/>
      <c r="M242" s="189"/>
      <c r="N242" s="189"/>
      <c r="O242" s="189"/>
      <c r="P242" s="189"/>
      <c r="Q242" s="189"/>
      <c r="R242" s="189"/>
      <c r="S242" s="189"/>
      <c r="T242" s="189"/>
      <c r="U242" s="189"/>
      <c r="V242" s="189"/>
      <c r="W242" s="189"/>
    </row>
    <row r="243">
      <c r="A243" s="188">
        <v>10.0</v>
      </c>
      <c r="B243" s="188">
        <v>21087.0</v>
      </c>
      <c r="C243" s="193" t="s">
        <v>1161</v>
      </c>
      <c r="D243" s="189"/>
      <c r="E243" s="189"/>
      <c r="F243" s="189"/>
      <c r="G243" s="189"/>
      <c r="H243" s="189"/>
      <c r="I243" s="189"/>
      <c r="J243" s="189"/>
      <c r="K243" s="189"/>
      <c r="L243" s="189"/>
      <c r="M243" s="189"/>
      <c r="N243" s="189"/>
      <c r="O243" s="189"/>
      <c r="P243" s="189"/>
      <c r="Q243" s="189"/>
      <c r="R243" s="189"/>
      <c r="S243" s="189"/>
      <c r="T243" s="189"/>
      <c r="U243" s="189"/>
      <c r="V243" s="189"/>
      <c r="W243" s="189"/>
    </row>
    <row r="244">
      <c r="A244" s="188">
        <v>10.0</v>
      </c>
      <c r="B244" s="188">
        <v>21123.0</v>
      </c>
      <c r="C244" s="193" t="s">
        <v>1162</v>
      </c>
      <c r="D244" s="189"/>
      <c r="E244" s="189"/>
      <c r="F244" s="189"/>
      <c r="G244" s="189"/>
      <c r="H244" s="189"/>
      <c r="I244" s="189"/>
      <c r="J244" s="189"/>
      <c r="K244" s="189"/>
      <c r="L244" s="189"/>
      <c r="M244" s="189"/>
      <c r="N244" s="189"/>
      <c r="O244" s="189"/>
      <c r="P244" s="189"/>
      <c r="Q244" s="189"/>
      <c r="R244" s="189"/>
      <c r="S244" s="189"/>
      <c r="T244" s="189"/>
      <c r="U244" s="189"/>
      <c r="V244" s="189"/>
      <c r="W244" s="189"/>
    </row>
    <row r="245">
      <c r="A245" s="188">
        <v>10.0</v>
      </c>
      <c r="B245" s="188">
        <v>21015.0</v>
      </c>
      <c r="C245" s="193" t="s">
        <v>1163</v>
      </c>
      <c r="D245" s="189"/>
      <c r="E245" s="189"/>
      <c r="F245" s="189"/>
      <c r="G245" s="189"/>
      <c r="H245" s="189"/>
      <c r="I245" s="189"/>
      <c r="J245" s="189"/>
      <c r="K245" s="189"/>
      <c r="L245" s="189"/>
      <c r="M245" s="189"/>
      <c r="N245" s="189"/>
      <c r="O245" s="189"/>
      <c r="P245" s="189"/>
      <c r="Q245" s="189"/>
      <c r="R245" s="189"/>
      <c r="S245" s="189"/>
      <c r="T245" s="189"/>
      <c r="U245" s="189"/>
      <c r="V245" s="189"/>
      <c r="W245" s="189"/>
    </row>
    <row r="246">
      <c r="A246" s="188">
        <v>10.0</v>
      </c>
      <c r="B246" s="188">
        <v>21016.0</v>
      </c>
      <c r="C246" s="193" t="s">
        <v>1164</v>
      </c>
      <c r="D246" s="189"/>
      <c r="E246" s="189"/>
      <c r="F246" s="189"/>
      <c r="G246" s="189"/>
      <c r="H246" s="189"/>
      <c r="I246" s="189"/>
      <c r="J246" s="189"/>
      <c r="K246" s="189"/>
      <c r="L246" s="189"/>
      <c r="M246" s="189"/>
      <c r="N246" s="189"/>
      <c r="O246" s="189"/>
      <c r="P246" s="189"/>
      <c r="Q246" s="189"/>
      <c r="R246" s="189"/>
      <c r="S246" s="189"/>
      <c r="T246" s="189"/>
      <c r="U246" s="189"/>
      <c r="V246" s="189"/>
      <c r="W246" s="189"/>
    </row>
    <row r="247">
      <c r="A247" s="188">
        <v>10.0</v>
      </c>
      <c r="B247" s="188">
        <v>21017.0</v>
      </c>
      <c r="C247" s="193" t="s">
        <v>1165</v>
      </c>
      <c r="D247" s="189"/>
      <c r="E247" s="189"/>
      <c r="F247" s="189"/>
      <c r="G247" s="189"/>
      <c r="H247" s="189"/>
      <c r="I247" s="189"/>
      <c r="J247" s="189"/>
      <c r="K247" s="189"/>
      <c r="L247" s="189"/>
      <c r="M247" s="189"/>
      <c r="N247" s="189"/>
      <c r="O247" s="189"/>
      <c r="P247" s="189"/>
      <c r="Q247" s="189"/>
      <c r="R247" s="189"/>
      <c r="S247" s="189"/>
      <c r="T247" s="189"/>
      <c r="U247" s="189"/>
      <c r="V247" s="189"/>
      <c r="W247" s="189"/>
    </row>
    <row r="248">
      <c r="A248" s="188">
        <v>10.0</v>
      </c>
      <c r="B248" s="188">
        <v>21091.0</v>
      </c>
      <c r="C248" s="193" t="s">
        <v>1166</v>
      </c>
      <c r="D248" s="189"/>
      <c r="E248" s="189"/>
      <c r="F248" s="189"/>
      <c r="G248" s="189"/>
      <c r="H248" s="189"/>
      <c r="I248" s="189"/>
      <c r="J248" s="189"/>
      <c r="K248" s="189"/>
      <c r="L248" s="189"/>
      <c r="M248" s="189"/>
      <c r="N248" s="189"/>
      <c r="O248" s="189"/>
      <c r="P248" s="189"/>
      <c r="Q248" s="189"/>
      <c r="R248" s="189"/>
      <c r="S248" s="189"/>
      <c r="T248" s="189"/>
      <c r="U248" s="189"/>
      <c r="V248" s="189"/>
      <c r="W248" s="189"/>
    </row>
    <row r="249">
      <c r="A249" s="188">
        <v>10.0</v>
      </c>
      <c r="B249" s="188">
        <v>21018.0</v>
      </c>
      <c r="C249" s="193" t="s">
        <v>1167</v>
      </c>
      <c r="D249" s="189"/>
      <c r="E249" s="189"/>
      <c r="F249" s="189"/>
      <c r="G249" s="189"/>
      <c r="H249" s="189"/>
      <c r="I249" s="189"/>
      <c r="J249" s="189"/>
      <c r="K249" s="189"/>
      <c r="L249" s="189"/>
      <c r="M249" s="189"/>
      <c r="N249" s="189"/>
      <c r="O249" s="189"/>
      <c r="P249" s="189"/>
      <c r="Q249" s="189"/>
      <c r="R249" s="189"/>
      <c r="S249" s="189"/>
      <c r="T249" s="189"/>
      <c r="U249" s="189"/>
      <c r="V249" s="189"/>
      <c r="W249" s="189"/>
    </row>
    <row r="250">
      <c r="A250" s="188">
        <v>10.0</v>
      </c>
      <c r="B250" s="188">
        <v>21126.0</v>
      </c>
      <c r="C250" s="193" t="s">
        <v>1168</v>
      </c>
      <c r="D250" s="189"/>
      <c r="E250" s="189"/>
      <c r="F250" s="189"/>
      <c r="G250" s="189"/>
      <c r="H250" s="189"/>
      <c r="I250" s="189"/>
      <c r="J250" s="189"/>
      <c r="K250" s="189"/>
      <c r="L250" s="189"/>
      <c r="M250" s="189"/>
      <c r="N250" s="189"/>
      <c r="O250" s="189"/>
      <c r="P250" s="189"/>
      <c r="Q250" s="189"/>
      <c r="R250" s="189"/>
      <c r="S250" s="189"/>
      <c r="T250" s="189"/>
      <c r="U250" s="189"/>
      <c r="V250" s="189"/>
      <c r="W250" s="189"/>
    </row>
    <row r="251">
      <c r="A251" s="188">
        <v>10.0</v>
      </c>
      <c r="B251" s="188">
        <v>21116.0</v>
      </c>
      <c r="C251" s="193" t="s">
        <v>1169</v>
      </c>
      <c r="D251" s="189"/>
      <c r="E251" s="189"/>
      <c r="F251" s="189"/>
      <c r="G251" s="189"/>
      <c r="H251" s="189"/>
      <c r="I251" s="189"/>
      <c r="J251" s="189"/>
      <c r="K251" s="189"/>
      <c r="L251" s="189"/>
      <c r="M251" s="189"/>
      <c r="N251" s="189"/>
      <c r="O251" s="189"/>
      <c r="P251" s="189"/>
      <c r="Q251" s="189"/>
      <c r="R251" s="189"/>
      <c r="S251" s="189"/>
      <c r="T251" s="189"/>
      <c r="U251" s="189"/>
      <c r="V251" s="189"/>
      <c r="W251" s="189"/>
    </row>
    <row r="252">
      <c r="A252" s="188">
        <v>10.0</v>
      </c>
      <c r="B252" s="188">
        <v>20138.0</v>
      </c>
      <c r="C252" s="193" t="s">
        <v>1170</v>
      </c>
      <c r="D252" s="189"/>
      <c r="E252" s="189"/>
      <c r="F252" s="189"/>
      <c r="G252" s="189"/>
      <c r="H252" s="189"/>
      <c r="I252" s="189"/>
      <c r="J252" s="189"/>
      <c r="K252" s="189"/>
      <c r="L252" s="189"/>
      <c r="M252" s="189"/>
      <c r="N252" s="189"/>
      <c r="O252" s="189"/>
      <c r="P252" s="189"/>
      <c r="Q252" s="189"/>
      <c r="R252" s="189"/>
      <c r="S252" s="189"/>
      <c r="T252" s="189"/>
      <c r="U252" s="189"/>
      <c r="V252" s="189"/>
      <c r="W252" s="189"/>
    </row>
    <row r="253">
      <c r="A253" s="188">
        <v>10.0</v>
      </c>
      <c r="B253" s="188">
        <v>21019.0</v>
      </c>
      <c r="C253" s="193" t="s">
        <v>1171</v>
      </c>
      <c r="D253" s="189"/>
      <c r="E253" s="189"/>
      <c r="F253" s="189"/>
      <c r="G253" s="189"/>
      <c r="H253" s="189"/>
      <c r="I253" s="189"/>
      <c r="J253" s="189"/>
      <c r="K253" s="189"/>
      <c r="L253" s="189"/>
      <c r="M253" s="189"/>
      <c r="N253" s="189"/>
      <c r="O253" s="189"/>
      <c r="P253" s="189"/>
      <c r="Q253" s="189"/>
      <c r="R253" s="189"/>
      <c r="S253" s="189"/>
      <c r="T253" s="189"/>
      <c r="U253" s="189"/>
      <c r="V253" s="189"/>
      <c r="W253" s="189"/>
    </row>
    <row r="254">
      <c r="A254" s="188">
        <v>10.0</v>
      </c>
      <c r="B254" s="188">
        <v>21020.0</v>
      </c>
      <c r="C254" s="193" t="s">
        <v>1172</v>
      </c>
      <c r="D254" s="189"/>
      <c r="E254" s="189"/>
      <c r="F254" s="189"/>
      <c r="G254" s="189"/>
      <c r="H254" s="189"/>
      <c r="I254" s="189"/>
      <c r="J254" s="189"/>
      <c r="K254" s="189"/>
      <c r="L254" s="189"/>
      <c r="M254" s="189"/>
      <c r="N254" s="189"/>
      <c r="O254" s="189"/>
      <c r="P254" s="189"/>
      <c r="Q254" s="189"/>
      <c r="R254" s="189"/>
      <c r="S254" s="189"/>
      <c r="T254" s="189"/>
      <c r="U254" s="189"/>
      <c r="V254" s="189"/>
      <c r="W254" s="189"/>
    </row>
    <row r="255">
      <c r="A255" s="188">
        <v>10.0</v>
      </c>
      <c r="B255" s="188">
        <v>21022.0</v>
      </c>
      <c r="C255" s="193" t="s">
        <v>1173</v>
      </c>
      <c r="D255" s="189"/>
      <c r="E255" s="189"/>
      <c r="F255" s="189"/>
      <c r="G255" s="189"/>
      <c r="H255" s="189"/>
      <c r="I255" s="189"/>
      <c r="J255" s="189"/>
      <c r="K255" s="189"/>
      <c r="L255" s="189"/>
      <c r="M255" s="189"/>
      <c r="N255" s="189"/>
      <c r="O255" s="189"/>
      <c r="P255" s="189"/>
      <c r="Q255" s="189"/>
      <c r="R255" s="189"/>
      <c r="S255" s="189"/>
      <c r="T255" s="189"/>
      <c r="U255" s="189"/>
      <c r="V255" s="189"/>
      <c r="W255" s="189"/>
    </row>
    <row r="256">
      <c r="A256" s="188">
        <v>10.0</v>
      </c>
      <c r="B256" s="188">
        <v>20019.0</v>
      </c>
      <c r="C256" s="193" t="s">
        <v>1174</v>
      </c>
      <c r="D256" s="189"/>
      <c r="E256" s="189"/>
      <c r="F256" s="189"/>
      <c r="G256" s="189"/>
      <c r="H256" s="189"/>
      <c r="I256" s="189"/>
      <c r="J256" s="189"/>
      <c r="K256" s="189"/>
      <c r="L256" s="189"/>
      <c r="M256" s="189"/>
      <c r="N256" s="189"/>
      <c r="O256" s="189"/>
      <c r="P256" s="189"/>
      <c r="Q256" s="189"/>
      <c r="R256" s="189"/>
      <c r="S256" s="189"/>
      <c r="T256" s="189"/>
      <c r="U256" s="189"/>
      <c r="V256" s="189"/>
      <c r="W256" s="189"/>
    </row>
    <row r="257">
      <c r="A257" s="188">
        <v>10.0</v>
      </c>
      <c r="B257" s="188">
        <v>21023.0</v>
      </c>
      <c r="C257" s="193" t="s">
        <v>1175</v>
      </c>
      <c r="D257" s="189"/>
      <c r="E257" s="189"/>
      <c r="F257" s="189"/>
      <c r="G257" s="189"/>
      <c r="H257" s="189"/>
      <c r="I257" s="189"/>
      <c r="J257" s="189"/>
      <c r="K257" s="189"/>
      <c r="L257" s="189"/>
      <c r="M257" s="189"/>
      <c r="N257" s="189"/>
      <c r="O257" s="189"/>
      <c r="P257" s="189"/>
      <c r="Q257" s="189"/>
      <c r="R257" s="189"/>
      <c r="S257" s="189"/>
      <c r="T257" s="189"/>
      <c r="U257" s="189"/>
      <c r="V257" s="189"/>
      <c r="W257" s="189"/>
    </row>
    <row r="258">
      <c r="A258" s="188">
        <v>10.0</v>
      </c>
      <c r="B258" s="188">
        <v>21024.0</v>
      </c>
      <c r="C258" s="193" t="s">
        <v>1176</v>
      </c>
      <c r="D258" s="189"/>
      <c r="E258" s="189"/>
      <c r="F258" s="189"/>
      <c r="G258" s="189"/>
      <c r="H258" s="189"/>
      <c r="I258" s="189"/>
      <c r="J258" s="189"/>
      <c r="K258" s="189"/>
      <c r="L258" s="189"/>
      <c r="M258" s="189"/>
      <c r="N258" s="189"/>
      <c r="O258" s="189"/>
      <c r="P258" s="189"/>
      <c r="Q258" s="189"/>
      <c r="R258" s="189"/>
      <c r="S258" s="189"/>
      <c r="T258" s="189"/>
      <c r="U258" s="189"/>
      <c r="V258" s="189"/>
      <c r="W258" s="189"/>
    </row>
    <row r="259">
      <c r="A259" s="188">
        <v>10.0</v>
      </c>
      <c r="B259" s="188">
        <v>21097.0</v>
      </c>
      <c r="C259" s="193" t="s">
        <v>1177</v>
      </c>
      <c r="D259" s="189"/>
      <c r="E259" s="189"/>
      <c r="F259" s="189"/>
      <c r="G259" s="189"/>
      <c r="H259" s="189"/>
      <c r="I259" s="189"/>
      <c r="J259" s="189"/>
      <c r="K259" s="189"/>
      <c r="L259" s="189"/>
      <c r="M259" s="189"/>
      <c r="N259" s="189"/>
      <c r="O259" s="189"/>
      <c r="P259" s="189"/>
      <c r="Q259" s="189"/>
      <c r="R259" s="189"/>
      <c r="S259" s="189"/>
      <c r="T259" s="189"/>
      <c r="U259" s="189"/>
      <c r="V259" s="189"/>
      <c r="W259" s="189"/>
    </row>
    <row r="260">
      <c r="A260" s="188">
        <v>10.0</v>
      </c>
      <c r="B260" s="188">
        <v>20023.0</v>
      </c>
      <c r="C260" s="193" t="s">
        <v>1178</v>
      </c>
      <c r="D260" s="189"/>
      <c r="E260" s="189"/>
      <c r="F260" s="189"/>
      <c r="G260" s="189"/>
      <c r="H260" s="189"/>
      <c r="I260" s="189"/>
      <c r="J260" s="189"/>
      <c r="K260" s="189"/>
      <c r="L260" s="189"/>
      <c r="M260" s="189"/>
      <c r="N260" s="189"/>
      <c r="O260" s="189"/>
      <c r="P260" s="189"/>
      <c r="Q260" s="189"/>
      <c r="R260" s="189"/>
      <c r="S260" s="189"/>
      <c r="T260" s="189"/>
      <c r="U260" s="189"/>
      <c r="V260" s="189"/>
      <c r="W260" s="189"/>
    </row>
    <row r="261">
      <c r="A261" s="188">
        <v>10.0</v>
      </c>
      <c r="B261" s="188">
        <v>21025.0</v>
      </c>
      <c r="C261" s="193" t="s">
        <v>1179</v>
      </c>
      <c r="D261" s="189"/>
      <c r="E261" s="189"/>
      <c r="F261" s="189"/>
      <c r="G261" s="189"/>
      <c r="H261" s="189"/>
      <c r="I261" s="189"/>
      <c r="J261" s="189"/>
      <c r="K261" s="189"/>
      <c r="L261" s="189"/>
      <c r="M261" s="189"/>
      <c r="N261" s="189"/>
      <c r="O261" s="189"/>
      <c r="P261" s="189"/>
      <c r="Q261" s="189"/>
      <c r="R261" s="189"/>
      <c r="S261" s="189"/>
      <c r="T261" s="189"/>
      <c r="U261" s="189"/>
      <c r="V261" s="189"/>
      <c r="W261" s="189"/>
    </row>
    <row r="262">
      <c r="A262" s="188">
        <v>10.0</v>
      </c>
      <c r="B262" s="188">
        <v>21026.0</v>
      </c>
      <c r="C262" s="193" t="s">
        <v>1180</v>
      </c>
      <c r="D262" s="189"/>
      <c r="E262" s="189"/>
      <c r="F262" s="189"/>
      <c r="G262" s="189"/>
      <c r="H262" s="189"/>
      <c r="I262" s="189"/>
      <c r="J262" s="189"/>
      <c r="K262" s="189"/>
      <c r="L262" s="189"/>
      <c r="M262" s="189"/>
      <c r="N262" s="189"/>
      <c r="O262" s="189"/>
      <c r="P262" s="189"/>
      <c r="Q262" s="189"/>
      <c r="R262" s="189"/>
      <c r="S262" s="189"/>
      <c r="T262" s="189"/>
      <c r="U262" s="189"/>
      <c r="V262" s="189"/>
      <c r="W262" s="189"/>
    </row>
    <row r="263">
      <c r="A263" s="188">
        <v>10.0</v>
      </c>
      <c r="B263" s="188">
        <v>21119.0</v>
      </c>
      <c r="C263" s="193" t="s">
        <v>1181</v>
      </c>
      <c r="D263" s="189"/>
      <c r="E263" s="189"/>
      <c r="F263" s="189"/>
      <c r="G263" s="189"/>
      <c r="H263" s="189"/>
      <c r="I263" s="189"/>
      <c r="J263" s="189"/>
      <c r="K263" s="189"/>
      <c r="L263" s="189"/>
      <c r="M263" s="189"/>
      <c r="N263" s="189"/>
      <c r="O263" s="189"/>
      <c r="P263" s="189"/>
      <c r="Q263" s="189"/>
      <c r="R263" s="189"/>
      <c r="S263" s="189"/>
      <c r="T263" s="189"/>
      <c r="U263" s="189"/>
      <c r="V263" s="189"/>
      <c r="W263" s="189"/>
    </row>
    <row r="264">
      <c r="A264" s="188">
        <v>10.0</v>
      </c>
      <c r="B264" s="188">
        <v>21083.0</v>
      </c>
      <c r="C264" s="193" t="s">
        <v>1182</v>
      </c>
      <c r="D264" s="189"/>
      <c r="E264" s="189"/>
      <c r="F264" s="189"/>
      <c r="G264" s="189"/>
      <c r="H264" s="189"/>
      <c r="I264" s="189"/>
      <c r="J264" s="189"/>
      <c r="K264" s="189"/>
      <c r="L264" s="189"/>
      <c r="M264" s="189"/>
      <c r="N264" s="189"/>
      <c r="O264" s="189"/>
      <c r="P264" s="189"/>
      <c r="Q264" s="189"/>
      <c r="R264" s="189"/>
      <c r="S264" s="189"/>
      <c r="T264" s="189"/>
      <c r="U264" s="189"/>
      <c r="V264" s="189"/>
      <c r="W264" s="189"/>
    </row>
    <row r="265">
      <c r="A265" s="188">
        <v>10.0</v>
      </c>
      <c r="B265" s="188">
        <v>21027.0</v>
      </c>
      <c r="C265" s="193" t="s">
        <v>1183</v>
      </c>
      <c r="D265" s="189"/>
      <c r="E265" s="189"/>
      <c r="F265" s="189"/>
      <c r="G265" s="189"/>
      <c r="H265" s="189"/>
      <c r="I265" s="189"/>
      <c r="J265" s="189"/>
      <c r="K265" s="189"/>
      <c r="L265" s="189"/>
      <c r="M265" s="189"/>
      <c r="N265" s="189"/>
      <c r="O265" s="189"/>
      <c r="P265" s="189"/>
      <c r="Q265" s="189"/>
      <c r="R265" s="189"/>
      <c r="S265" s="189"/>
      <c r="T265" s="189"/>
      <c r="U265" s="189"/>
      <c r="V265" s="189"/>
      <c r="W265" s="189"/>
    </row>
    <row r="266">
      <c r="A266" s="188">
        <v>10.0</v>
      </c>
      <c r="B266" s="188">
        <v>21028.0</v>
      </c>
      <c r="C266" s="193" t="s">
        <v>1184</v>
      </c>
      <c r="D266" s="189"/>
      <c r="E266" s="189"/>
      <c r="F266" s="189"/>
      <c r="G266" s="189"/>
      <c r="H266" s="189"/>
      <c r="I266" s="189"/>
      <c r="J266" s="189"/>
      <c r="K266" s="189"/>
      <c r="L266" s="189"/>
      <c r="M266" s="189"/>
      <c r="N266" s="189"/>
      <c r="O266" s="189"/>
      <c r="P266" s="189"/>
      <c r="Q266" s="189"/>
      <c r="R266" s="189"/>
      <c r="S266" s="189"/>
      <c r="T266" s="189"/>
      <c r="U266" s="189"/>
      <c r="V266" s="189"/>
      <c r="W266" s="189"/>
    </row>
    <row r="267">
      <c r="A267" s="188">
        <v>10.0</v>
      </c>
      <c r="B267" s="188">
        <v>21029.0</v>
      </c>
      <c r="C267" s="193" t="s">
        <v>1185</v>
      </c>
      <c r="D267" s="189"/>
      <c r="E267" s="189"/>
      <c r="F267" s="189"/>
      <c r="G267" s="189"/>
      <c r="H267" s="189"/>
      <c r="I267" s="189"/>
      <c r="J267" s="189"/>
      <c r="K267" s="189"/>
      <c r="L267" s="189"/>
      <c r="M267" s="189"/>
      <c r="N267" s="189"/>
      <c r="O267" s="189"/>
      <c r="P267" s="189"/>
      <c r="Q267" s="189"/>
      <c r="R267" s="189"/>
      <c r="S267" s="189"/>
      <c r="T267" s="189"/>
      <c r="U267" s="189"/>
      <c r="V267" s="189"/>
      <c r="W267" s="189"/>
    </row>
    <row r="268">
      <c r="A268" s="188">
        <v>10.0</v>
      </c>
      <c r="B268" s="188">
        <v>21030.0</v>
      </c>
      <c r="C268" s="193" t="s">
        <v>1186</v>
      </c>
      <c r="D268" s="189"/>
      <c r="E268" s="189"/>
      <c r="F268" s="189"/>
      <c r="G268" s="189"/>
      <c r="H268" s="189"/>
      <c r="I268" s="189"/>
      <c r="J268" s="189"/>
      <c r="K268" s="189"/>
      <c r="L268" s="189"/>
      <c r="M268" s="189"/>
      <c r="N268" s="189"/>
      <c r="O268" s="189"/>
      <c r="P268" s="189"/>
      <c r="Q268" s="189"/>
      <c r="R268" s="189"/>
      <c r="S268" s="189"/>
      <c r="T268" s="189"/>
      <c r="U268" s="189"/>
      <c r="V268" s="189"/>
      <c r="W268" s="189"/>
    </row>
    <row r="269">
      <c r="A269" s="188">
        <v>10.0</v>
      </c>
      <c r="B269" s="188">
        <v>21031.0</v>
      </c>
      <c r="C269" s="193" t="s">
        <v>1187</v>
      </c>
      <c r="D269" s="189"/>
      <c r="E269" s="189"/>
      <c r="F269" s="189"/>
      <c r="G269" s="189"/>
      <c r="H269" s="189"/>
      <c r="I269" s="189"/>
      <c r="J269" s="189"/>
      <c r="K269" s="189"/>
      <c r="L269" s="189"/>
      <c r="M269" s="189"/>
      <c r="N269" s="189"/>
      <c r="O269" s="189"/>
      <c r="P269" s="189"/>
      <c r="Q269" s="189"/>
      <c r="R269" s="189"/>
      <c r="S269" s="189"/>
      <c r="T269" s="189"/>
      <c r="U269" s="189"/>
      <c r="V269" s="189"/>
      <c r="W269" s="189"/>
    </row>
    <row r="270">
      <c r="A270" s="188">
        <v>10.0</v>
      </c>
      <c r="B270" s="188">
        <v>21032.0</v>
      </c>
      <c r="C270" s="193" t="s">
        <v>1188</v>
      </c>
      <c r="D270" s="189"/>
      <c r="E270" s="189"/>
      <c r="F270" s="189"/>
      <c r="G270" s="189"/>
      <c r="H270" s="189"/>
      <c r="I270" s="189"/>
      <c r="J270" s="189"/>
      <c r="K270" s="189"/>
      <c r="L270" s="189"/>
      <c r="M270" s="189"/>
      <c r="N270" s="189"/>
      <c r="O270" s="189"/>
      <c r="P270" s="189"/>
      <c r="Q270" s="189"/>
      <c r="R270" s="189"/>
      <c r="S270" s="189"/>
      <c r="T270" s="189"/>
      <c r="U270" s="189"/>
      <c r="V270" s="189"/>
      <c r="W270" s="189"/>
    </row>
    <row r="271">
      <c r="A271" s="188">
        <v>10.0</v>
      </c>
      <c r="B271" s="188">
        <v>21094.0</v>
      </c>
      <c r="C271" s="193" t="s">
        <v>1189</v>
      </c>
      <c r="D271" s="189"/>
      <c r="E271" s="189"/>
      <c r="F271" s="189"/>
      <c r="G271" s="189"/>
      <c r="H271" s="189"/>
      <c r="I271" s="189"/>
      <c r="J271" s="189"/>
      <c r="K271" s="189"/>
      <c r="L271" s="189"/>
      <c r="M271" s="189"/>
      <c r="N271" s="189"/>
      <c r="O271" s="189"/>
      <c r="P271" s="189"/>
      <c r="Q271" s="189"/>
      <c r="R271" s="189"/>
      <c r="S271" s="189"/>
      <c r="T271" s="189"/>
      <c r="U271" s="189"/>
      <c r="V271" s="189"/>
      <c r="W271" s="189"/>
    </row>
    <row r="272">
      <c r="A272" s="188">
        <v>10.0</v>
      </c>
      <c r="B272" s="188">
        <v>21033.0</v>
      </c>
      <c r="C272" s="193" t="s">
        <v>1190</v>
      </c>
      <c r="D272" s="189"/>
      <c r="E272" s="189"/>
      <c r="F272" s="189"/>
      <c r="G272" s="189"/>
      <c r="H272" s="189"/>
      <c r="I272" s="189"/>
      <c r="J272" s="189"/>
      <c r="K272" s="189"/>
      <c r="L272" s="189"/>
      <c r="M272" s="189"/>
      <c r="N272" s="189"/>
      <c r="O272" s="189"/>
      <c r="P272" s="189"/>
      <c r="Q272" s="189"/>
      <c r="R272" s="189"/>
      <c r="S272" s="189"/>
      <c r="T272" s="189"/>
      <c r="U272" s="189"/>
      <c r="V272" s="189"/>
      <c r="W272" s="189"/>
    </row>
    <row r="273">
      <c r="A273" s="188">
        <v>10.0</v>
      </c>
      <c r="B273" s="188">
        <v>21130.0</v>
      </c>
      <c r="C273" s="193" t="s">
        <v>1191</v>
      </c>
      <c r="D273" s="189"/>
      <c r="E273" s="189"/>
      <c r="F273" s="189"/>
      <c r="G273" s="189"/>
      <c r="H273" s="189"/>
      <c r="I273" s="189"/>
      <c r="J273" s="189"/>
      <c r="K273" s="189"/>
      <c r="L273" s="189"/>
      <c r="M273" s="189"/>
      <c r="N273" s="189"/>
      <c r="O273" s="189"/>
      <c r="P273" s="189"/>
      <c r="Q273" s="189"/>
      <c r="R273" s="189"/>
      <c r="S273" s="189"/>
      <c r="T273" s="189"/>
      <c r="U273" s="189"/>
      <c r="V273" s="189"/>
      <c r="W273" s="189"/>
    </row>
    <row r="274">
      <c r="A274" s="188">
        <v>10.0</v>
      </c>
      <c r="B274" s="188">
        <v>21093.0</v>
      </c>
      <c r="C274" s="193" t="s">
        <v>1192</v>
      </c>
      <c r="D274" s="189"/>
      <c r="E274" s="189"/>
      <c r="F274" s="189"/>
      <c r="G274" s="189"/>
      <c r="H274" s="189"/>
      <c r="I274" s="189"/>
      <c r="J274" s="189"/>
      <c r="K274" s="189"/>
      <c r="L274" s="189"/>
      <c r="M274" s="189"/>
      <c r="N274" s="189"/>
      <c r="O274" s="189"/>
      <c r="P274" s="189"/>
      <c r="Q274" s="189"/>
      <c r="R274" s="189"/>
      <c r="S274" s="189"/>
      <c r="T274" s="189"/>
      <c r="U274" s="189"/>
      <c r="V274" s="189"/>
      <c r="W274" s="189"/>
    </row>
    <row r="275">
      <c r="A275" s="188">
        <v>10.0</v>
      </c>
      <c r="B275" s="188">
        <v>20029.0</v>
      </c>
      <c r="C275" s="193" t="s">
        <v>1193</v>
      </c>
      <c r="D275" s="189"/>
      <c r="E275" s="189"/>
      <c r="F275" s="189"/>
      <c r="G275" s="189"/>
      <c r="H275" s="189"/>
      <c r="I275" s="189"/>
      <c r="J275" s="189"/>
      <c r="K275" s="189"/>
      <c r="L275" s="189"/>
      <c r="M275" s="189"/>
      <c r="N275" s="189"/>
      <c r="O275" s="189"/>
      <c r="P275" s="189"/>
      <c r="Q275" s="189"/>
      <c r="R275" s="189"/>
      <c r="S275" s="189"/>
      <c r="T275" s="189"/>
      <c r="U275" s="189"/>
      <c r="V275" s="189"/>
      <c r="W275" s="189"/>
    </row>
    <row r="276">
      <c r="A276" s="188">
        <v>10.0</v>
      </c>
      <c r="B276" s="188">
        <v>20030.0</v>
      </c>
      <c r="C276" s="193" t="s">
        <v>1194</v>
      </c>
      <c r="D276" s="189"/>
      <c r="E276" s="189"/>
      <c r="F276" s="189"/>
      <c r="G276" s="189"/>
      <c r="H276" s="189"/>
      <c r="I276" s="189"/>
      <c r="J276" s="189"/>
      <c r="K276" s="189"/>
      <c r="L276" s="189"/>
      <c r="M276" s="189"/>
      <c r="N276" s="189"/>
      <c r="O276" s="189"/>
      <c r="P276" s="189"/>
      <c r="Q276" s="189"/>
      <c r="R276" s="189"/>
      <c r="S276" s="189"/>
      <c r="T276" s="189"/>
      <c r="U276" s="189"/>
      <c r="V276" s="189"/>
      <c r="W276" s="189"/>
    </row>
    <row r="277">
      <c r="A277" s="188">
        <v>10.0</v>
      </c>
      <c r="B277" s="188">
        <v>21036.0</v>
      </c>
      <c r="C277" s="193" t="s">
        <v>1195</v>
      </c>
      <c r="D277" s="189"/>
      <c r="E277" s="189"/>
      <c r="F277" s="189"/>
      <c r="G277" s="189"/>
      <c r="H277" s="189"/>
      <c r="I277" s="189"/>
      <c r="J277" s="189"/>
      <c r="K277" s="189"/>
      <c r="L277" s="189"/>
      <c r="M277" s="189"/>
      <c r="N277" s="189"/>
      <c r="O277" s="189"/>
      <c r="P277" s="189"/>
      <c r="Q277" s="189"/>
      <c r="R277" s="189"/>
      <c r="S277" s="189"/>
      <c r="T277" s="189"/>
      <c r="U277" s="189"/>
      <c r="V277" s="189"/>
      <c r="W277" s="189"/>
    </row>
    <row r="278">
      <c r="A278" s="188">
        <v>10.0</v>
      </c>
      <c r="B278" s="188">
        <v>21037.0</v>
      </c>
      <c r="C278" s="193" t="s">
        <v>1196</v>
      </c>
      <c r="D278" s="189"/>
      <c r="E278" s="189"/>
      <c r="F278" s="189"/>
      <c r="G278" s="189"/>
      <c r="H278" s="189"/>
      <c r="I278" s="189"/>
      <c r="J278" s="189"/>
      <c r="K278" s="189"/>
      <c r="L278" s="189"/>
      <c r="M278" s="189"/>
      <c r="N278" s="189"/>
      <c r="O278" s="189"/>
      <c r="P278" s="189"/>
      <c r="Q278" s="189"/>
      <c r="R278" s="189"/>
      <c r="S278" s="189"/>
      <c r="T278" s="189"/>
      <c r="U278" s="189"/>
      <c r="V278" s="189"/>
      <c r="W278" s="189"/>
    </row>
    <row r="279">
      <c r="A279" s="188">
        <v>10.0</v>
      </c>
      <c r="B279" s="188">
        <v>21038.0</v>
      </c>
      <c r="C279" s="193" t="s">
        <v>1197</v>
      </c>
      <c r="D279" s="189"/>
      <c r="E279" s="189"/>
      <c r="F279" s="189"/>
      <c r="G279" s="189"/>
      <c r="H279" s="189"/>
      <c r="I279" s="189"/>
      <c r="J279" s="189"/>
      <c r="K279" s="189"/>
      <c r="L279" s="189"/>
      <c r="M279" s="189"/>
      <c r="N279" s="189"/>
      <c r="O279" s="189"/>
      <c r="P279" s="189"/>
      <c r="Q279" s="189"/>
      <c r="R279" s="189"/>
      <c r="S279" s="189"/>
      <c r="T279" s="189"/>
      <c r="U279" s="189"/>
      <c r="V279" s="189"/>
      <c r="W279" s="189"/>
    </row>
    <row r="280">
      <c r="A280" s="188">
        <v>10.0</v>
      </c>
      <c r="B280" s="188">
        <v>21039.0</v>
      </c>
      <c r="C280" s="193" t="s">
        <v>1198</v>
      </c>
      <c r="D280" s="189"/>
      <c r="E280" s="189"/>
      <c r="F280" s="189"/>
      <c r="G280" s="189"/>
      <c r="H280" s="189"/>
      <c r="I280" s="189"/>
      <c r="J280" s="189"/>
      <c r="K280" s="189"/>
      <c r="L280" s="189"/>
      <c r="M280" s="189"/>
      <c r="N280" s="189"/>
      <c r="O280" s="189"/>
      <c r="P280" s="189"/>
      <c r="Q280" s="189"/>
      <c r="R280" s="189"/>
      <c r="S280" s="189"/>
      <c r="T280" s="189"/>
      <c r="U280" s="189"/>
      <c r="V280" s="189"/>
      <c r="W280" s="189"/>
    </row>
    <row r="281">
      <c r="A281" s="188">
        <v>10.0</v>
      </c>
      <c r="B281" s="188">
        <v>21124.0</v>
      </c>
      <c r="C281" s="193" t="s">
        <v>1199</v>
      </c>
      <c r="D281" s="189"/>
      <c r="E281" s="189"/>
      <c r="F281" s="189"/>
      <c r="G281" s="189"/>
      <c r="H281" s="189"/>
      <c r="I281" s="189"/>
      <c r="J281" s="189"/>
      <c r="K281" s="189"/>
      <c r="L281" s="189"/>
      <c r="M281" s="189"/>
      <c r="N281" s="189"/>
      <c r="O281" s="189"/>
      <c r="P281" s="189"/>
      <c r="Q281" s="189"/>
      <c r="R281" s="189"/>
      <c r="S281" s="189"/>
      <c r="T281" s="189"/>
      <c r="U281" s="189"/>
      <c r="V281" s="189"/>
      <c r="W281" s="189"/>
    </row>
    <row r="282">
      <c r="A282" s="188">
        <v>10.0</v>
      </c>
      <c r="B282" s="188">
        <v>21040.0</v>
      </c>
      <c r="C282" s="193" t="s">
        <v>1200</v>
      </c>
      <c r="D282" s="189"/>
      <c r="E282" s="189"/>
      <c r="F282" s="189"/>
      <c r="G282" s="189"/>
      <c r="H282" s="189"/>
      <c r="I282" s="189"/>
      <c r="J282" s="189"/>
      <c r="K282" s="189"/>
      <c r="L282" s="189"/>
      <c r="M282" s="189"/>
      <c r="N282" s="189"/>
      <c r="O282" s="189"/>
      <c r="P282" s="189"/>
      <c r="Q282" s="189"/>
      <c r="R282" s="189"/>
      <c r="S282" s="189"/>
      <c r="T282" s="189"/>
      <c r="U282" s="189"/>
      <c r="V282" s="189"/>
      <c r="W282" s="189"/>
    </row>
    <row r="283">
      <c r="A283" s="188">
        <v>10.0</v>
      </c>
      <c r="B283" s="188">
        <v>21041.0</v>
      </c>
      <c r="C283" s="193" t="s">
        <v>1201</v>
      </c>
      <c r="D283" s="189"/>
      <c r="E283" s="189"/>
      <c r="F283" s="189"/>
      <c r="G283" s="189"/>
      <c r="H283" s="189"/>
      <c r="I283" s="189"/>
      <c r="J283" s="189"/>
      <c r="K283" s="189"/>
      <c r="L283" s="189"/>
      <c r="M283" s="189"/>
      <c r="N283" s="189"/>
      <c r="O283" s="189"/>
      <c r="P283" s="189"/>
      <c r="Q283" s="189"/>
      <c r="R283" s="189"/>
      <c r="S283" s="189"/>
      <c r="T283" s="189"/>
      <c r="U283" s="189"/>
      <c r="V283" s="189"/>
      <c r="W283" s="189"/>
    </row>
    <row r="284">
      <c r="A284" s="188">
        <v>10.0</v>
      </c>
      <c r="B284" s="188">
        <v>21042.0</v>
      </c>
      <c r="C284" s="193" t="s">
        <v>1202</v>
      </c>
      <c r="D284" s="189"/>
      <c r="E284" s="189"/>
      <c r="F284" s="189"/>
      <c r="G284" s="189"/>
      <c r="H284" s="189"/>
      <c r="I284" s="189"/>
      <c r="J284" s="189"/>
      <c r="K284" s="189"/>
      <c r="L284" s="189"/>
      <c r="M284" s="189"/>
      <c r="N284" s="189"/>
      <c r="O284" s="189"/>
      <c r="P284" s="189"/>
      <c r="Q284" s="189"/>
      <c r="R284" s="189"/>
      <c r="S284" s="189"/>
      <c r="T284" s="189"/>
      <c r="U284" s="189"/>
      <c r="V284" s="189"/>
      <c r="W284" s="189"/>
    </row>
    <row r="285">
      <c r="A285" s="188">
        <v>10.0</v>
      </c>
      <c r="B285" s="188">
        <v>21128.0</v>
      </c>
      <c r="C285" s="193" t="s">
        <v>1203</v>
      </c>
      <c r="D285" s="189"/>
      <c r="E285" s="189"/>
      <c r="F285" s="189"/>
      <c r="G285" s="189"/>
      <c r="H285" s="189"/>
      <c r="I285" s="189"/>
      <c r="J285" s="189"/>
      <c r="K285" s="189"/>
      <c r="L285" s="189"/>
      <c r="M285" s="189"/>
      <c r="N285" s="189"/>
      <c r="O285" s="189"/>
      <c r="P285" s="189"/>
      <c r="Q285" s="189"/>
      <c r="R285" s="189"/>
      <c r="S285" s="189"/>
      <c r="T285" s="189"/>
      <c r="U285" s="189"/>
      <c r="V285" s="189"/>
      <c r="W285" s="189"/>
    </row>
    <row r="286">
      <c r="A286" s="188">
        <v>10.0</v>
      </c>
      <c r="B286" s="188">
        <v>21043.0</v>
      </c>
      <c r="C286" s="193" t="s">
        <v>1204</v>
      </c>
      <c r="D286" s="189"/>
      <c r="E286" s="189"/>
      <c r="F286" s="189"/>
      <c r="G286" s="189"/>
      <c r="H286" s="189"/>
      <c r="I286" s="189"/>
      <c r="J286" s="189"/>
      <c r="K286" s="189"/>
      <c r="L286" s="189"/>
      <c r="M286" s="189"/>
      <c r="N286" s="189"/>
      <c r="O286" s="189"/>
      <c r="P286" s="189"/>
      <c r="Q286" s="189"/>
      <c r="R286" s="189"/>
      <c r="S286" s="189"/>
      <c r="T286" s="189"/>
      <c r="U286" s="189"/>
      <c r="V286" s="189"/>
      <c r="W286" s="189"/>
    </row>
    <row r="287">
      <c r="A287" s="188">
        <v>10.0</v>
      </c>
      <c r="B287" s="188">
        <v>21044.0</v>
      </c>
      <c r="C287" s="193" t="s">
        <v>1205</v>
      </c>
      <c r="D287" s="189"/>
      <c r="E287" s="189"/>
      <c r="F287" s="189"/>
      <c r="G287" s="189"/>
      <c r="H287" s="189"/>
      <c r="I287" s="189"/>
      <c r="J287" s="189"/>
      <c r="K287" s="189"/>
      <c r="L287" s="189"/>
      <c r="M287" s="189"/>
      <c r="N287" s="189"/>
      <c r="O287" s="189"/>
      <c r="P287" s="189"/>
      <c r="Q287" s="189"/>
      <c r="R287" s="189"/>
      <c r="S287" s="189"/>
      <c r="T287" s="189"/>
      <c r="U287" s="189"/>
      <c r="V287" s="189"/>
      <c r="W287" s="189"/>
    </row>
    <row r="288">
      <c r="A288" s="188">
        <v>10.0</v>
      </c>
      <c r="B288" s="188">
        <v>21045.0</v>
      </c>
      <c r="C288" s="193" t="s">
        <v>1206</v>
      </c>
      <c r="D288" s="189"/>
      <c r="E288" s="189"/>
      <c r="F288" s="189"/>
      <c r="G288" s="189"/>
      <c r="H288" s="189"/>
      <c r="I288" s="189"/>
      <c r="J288" s="189"/>
      <c r="K288" s="189"/>
      <c r="L288" s="189"/>
      <c r="M288" s="189"/>
      <c r="N288" s="189"/>
      <c r="O288" s="189"/>
      <c r="P288" s="189"/>
      <c r="Q288" s="189"/>
      <c r="R288" s="189"/>
      <c r="S288" s="189"/>
      <c r="T288" s="189"/>
      <c r="U288" s="189"/>
      <c r="V288" s="189"/>
      <c r="W288" s="189"/>
    </row>
    <row r="289">
      <c r="A289" s="188">
        <v>10.0</v>
      </c>
      <c r="B289" s="188">
        <v>21046.0</v>
      </c>
      <c r="C289" s="193" t="s">
        <v>1207</v>
      </c>
      <c r="D289" s="189"/>
      <c r="E289" s="189"/>
      <c r="F289" s="189"/>
      <c r="G289" s="189"/>
      <c r="H289" s="189"/>
      <c r="I289" s="189"/>
      <c r="J289" s="189"/>
      <c r="K289" s="189"/>
      <c r="L289" s="189"/>
      <c r="M289" s="189"/>
      <c r="N289" s="189"/>
      <c r="O289" s="189"/>
      <c r="P289" s="189"/>
      <c r="Q289" s="189"/>
      <c r="R289" s="189"/>
      <c r="S289" s="189"/>
      <c r="T289" s="189"/>
      <c r="U289" s="189"/>
      <c r="V289" s="189"/>
      <c r="W289" s="189"/>
    </row>
    <row r="290">
      <c r="A290" s="188">
        <v>10.0</v>
      </c>
      <c r="B290" s="188">
        <v>21047.0</v>
      </c>
      <c r="C290" s="193" t="s">
        <v>1208</v>
      </c>
      <c r="D290" s="189"/>
      <c r="E290" s="189"/>
      <c r="F290" s="189"/>
      <c r="G290" s="189"/>
      <c r="H290" s="189"/>
      <c r="I290" s="189"/>
      <c r="J290" s="189"/>
      <c r="K290" s="189"/>
      <c r="L290" s="189"/>
      <c r="M290" s="189"/>
      <c r="N290" s="189"/>
      <c r="O290" s="189"/>
      <c r="P290" s="189"/>
      <c r="Q290" s="189"/>
      <c r="R290" s="189"/>
      <c r="S290" s="189"/>
      <c r="T290" s="189"/>
      <c r="U290" s="189"/>
      <c r="V290" s="189"/>
      <c r="W290" s="189"/>
    </row>
    <row r="291">
      <c r="A291" s="188">
        <v>10.0</v>
      </c>
      <c r="B291" s="188">
        <v>21048.0</v>
      </c>
      <c r="C291" s="193" t="s">
        <v>1209</v>
      </c>
      <c r="D291" s="189"/>
      <c r="E291" s="189"/>
      <c r="F291" s="189"/>
      <c r="G291" s="189"/>
      <c r="H291" s="189"/>
      <c r="I291" s="189"/>
      <c r="J291" s="189"/>
      <c r="K291" s="189"/>
      <c r="L291" s="189"/>
      <c r="M291" s="189"/>
      <c r="N291" s="189"/>
      <c r="O291" s="189"/>
      <c r="P291" s="189"/>
      <c r="Q291" s="189"/>
      <c r="R291" s="189"/>
      <c r="S291" s="189"/>
      <c r="T291" s="189"/>
      <c r="U291" s="189"/>
      <c r="V291" s="189"/>
      <c r="W291" s="189"/>
    </row>
    <row r="292">
      <c r="A292" s="188">
        <v>10.0</v>
      </c>
      <c r="B292" s="188">
        <v>21049.0</v>
      </c>
      <c r="C292" s="193" t="s">
        <v>1210</v>
      </c>
      <c r="D292" s="189"/>
      <c r="E292" s="189"/>
      <c r="F292" s="189"/>
      <c r="G292" s="189"/>
      <c r="H292" s="189"/>
      <c r="I292" s="189"/>
      <c r="J292" s="189"/>
      <c r="K292" s="189"/>
      <c r="L292" s="189"/>
      <c r="M292" s="189"/>
      <c r="N292" s="189"/>
      <c r="O292" s="189"/>
      <c r="P292" s="189"/>
      <c r="Q292" s="189"/>
      <c r="R292" s="189"/>
      <c r="S292" s="189"/>
      <c r="T292" s="189"/>
      <c r="U292" s="189"/>
      <c r="V292" s="189"/>
      <c r="W292" s="189"/>
    </row>
    <row r="293">
      <c r="A293" s="188">
        <v>10.0</v>
      </c>
      <c r="B293" s="188">
        <v>21103.0</v>
      </c>
      <c r="C293" s="193" t="s">
        <v>1211</v>
      </c>
      <c r="D293" s="189"/>
      <c r="E293" s="189"/>
      <c r="F293" s="189"/>
      <c r="G293" s="189"/>
      <c r="H293" s="189"/>
      <c r="I293" s="189"/>
      <c r="J293" s="189"/>
      <c r="K293" s="189"/>
      <c r="L293" s="189"/>
      <c r="M293" s="189"/>
      <c r="N293" s="189"/>
      <c r="O293" s="189"/>
      <c r="P293" s="189"/>
      <c r="Q293" s="189"/>
      <c r="R293" s="189"/>
      <c r="S293" s="189"/>
      <c r="T293" s="189"/>
      <c r="U293" s="189"/>
      <c r="V293" s="189"/>
      <c r="W293" s="189"/>
    </row>
    <row r="294">
      <c r="A294" s="188">
        <v>10.0</v>
      </c>
      <c r="B294" s="188">
        <v>21050.0</v>
      </c>
      <c r="C294" s="193" t="s">
        <v>1212</v>
      </c>
      <c r="D294" s="189"/>
      <c r="E294" s="189"/>
      <c r="F294" s="189"/>
      <c r="G294" s="189"/>
      <c r="H294" s="189"/>
      <c r="I294" s="189"/>
      <c r="J294" s="189"/>
      <c r="K294" s="189"/>
      <c r="L294" s="189"/>
      <c r="M294" s="189"/>
      <c r="N294" s="189"/>
      <c r="O294" s="189"/>
      <c r="P294" s="189"/>
      <c r="Q294" s="189"/>
      <c r="R294" s="189"/>
      <c r="S294" s="189"/>
      <c r="T294" s="189"/>
      <c r="U294" s="189"/>
      <c r="V294" s="189"/>
      <c r="W294" s="189"/>
    </row>
    <row r="295">
      <c r="A295" s="188">
        <v>10.0</v>
      </c>
      <c r="B295" s="188">
        <v>21051.0</v>
      </c>
      <c r="C295" s="193" t="s">
        <v>1213</v>
      </c>
      <c r="D295" s="189"/>
      <c r="E295" s="189"/>
      <c r="F295" s="189"/>
      <c r="G295" s="189"/>
      <c r="H295" s="189"/>
      <c r="I295" s="189"/>
      <c r="J295" s="189"/>
      <c r="K295" s="189"/>
      <c r="L295" s="189"/>
      <c r="M295" s="189"/>
      <c r="N295" s="189"/>
      <c r="O295" s="189"/>
      <c r="P295" s="189"/>
      <c r="Q295" s="189"/>
      <c r="R295" s="189"/>
      <c r="S295" s="189"/>
      <c r="T295" s="189"/>
      <c r="U295" s="189"/>
      <c r="V295" s="189"/>
      <c r="W295" s="189"/>
    </row>
    <row r="296">
      <c r="A296" s="188">
        <v>10.0</v>
      </c>
      <c r="B296" s="188">
        <v>21052.0</v>
      </c>
      <c r="C296" s="193" t="s">
        <v>1214</v>
      </c>
      <c r="D296" s="189"/>
      <c r="E296" s="189"/>
      <c r="F296" s="189"/>
      <c r="G296" s="189"/>
      <c r="H296" s="189"/>
      <c r="I296" s="189"/>
      <c r="J296" s="189"/>
      <c r="K296" s="189"/>
      <c r="L296" s="189"/>
      <c r="M296" s="189"/>
      <c r="N296" s="189"/>
      <c r="O296" s="189"/>
      <c r="P296" s="189"/>
      <c r="Q296" s="189"/>
      <c r="R296" s="189"/>
      <c r="S296" s="189"/>
      <c r="T296" s="189"/>
      <c r="U296" s="189"/>
      <c r="V296" s="189"/>
      <c r="W296" s="189"/>
    </row>
    <row r="297">
      <c r="A297" s="188">
        <v>10.0</v>
      </c>
      <c r="B297" s="188">
        <v>21053.0</v>
      </c>
      <c r="C297" s="193" t="s">
        <v>1215</v>
      </c>
      <c r="D297" s="189"/>
      <c r="E297" s="189"/>
      <c r="F297" s="189"/>
      <c r="G297" s="189"/>
      <c r="H297" s="189"/>
      <c r="I297" s="189"/>
      <c r="J297" s="189"/>
      <c r="K297" s="189"/>
      <c r="L297" s="189"/>
      <c r="M297" s="189"/>
      <c r="N297" s="189"/>
      <c r="O297" s="189"/>
      <c r="P297" s="189"/>
      <c r="Q297" s="189"/>
      <c r="R297" s="189"/>
      <c r="S297" s="189"/>
      <c r="T297" s="189"/>
      <c r="U297" s="189"/>
      <c r="V297" s="189"/>
      <c r="W297" s="189"/>
    </row>
    <row r="298">
      <c r="A298" s="188">
        <v>10.0</v>
      </c>
      <c r="B298" s="188">
        <v>21082.0</v>
      </c>
      <c r="C298" s="193" t="s">
        <v>1216</v>
      </c>
      <c r="D298" s="189"/>
      <c r="E298" s="189"/>
      <c r="F298" s="189"/>
      <c r="G298" s="189"/>
      <c r="H298" s="189"/>
      <c r="I298" s="189"/>
      <c r="J298" s="189"/>
      <c r="K298" s="189"/>
      <c r="L298" s="189"/>
      <c r="M298" s="189"/>
      <c r="N298" s="189"/>
      <c r="O298" s="189"/>
      <c r="P298" s="189"/>
      <c r="Q298" s="189"/>
      <c r="R298" s="189"/>
      <c r="S298" s="189"/>
      <c r="T298" s="189"/>
      <c r="U298" s="189"/>
      <c r="V298" s="189"/>
      <c r="W298" s="189"/>
    </row>
    <row r="299">
      <c r="A299" s="188">
        <v>10.0</v>
      </c>
      <c r="B299" s="188">
        <v>21054.0</v>
      </c>
      <c r="C299" s="193" t="s">
        <v>1217</v>
      </c>
      <c r="D299" s="189"/>
      <c r="E299" s="189"/>
      <c r="F299" s="189"/>
      <c r="G299" s="189"/>
      <c r="H299" s="189"/>
      <c r="I299" s="189"/>
      <c r="J299" s="189"/>
      <c r="K299" s="189"/>
      <c r="L299" s="189"/>
      <c r="M299" s="189"/>
      <c r="N299" s="189"/>
      <c r="O299" s="189"/>
      <c r="P299" s="189"/>
      <c r="Q299" s="189"/>
      <c r="R299" s="189"/>
      <c r="S299" s="189"/>
      <c r="T299" s="189"/>
      <c r="U299" s="189"/>
      <c r="V299" s="189"/>
      <c r="W299" s="189"/>
    </row>
    <row r="300">
      <c r="A300" s="188">
        <v>10.0</v>
      </c>
      <c r="B300" s="188">
        <v>21055.0</v>
      </c>
      <c r="C300" s="193" t="s">
        <v>1218</v>
      </c>
      <c r="D300" s="189"/>
      <c r="E300" s="189"/>
      <c r="F300" s="189"/>
      <c r="G300" s="189"/>
      <c r="H300" s="189"/>
      <c r="I300" s="189"/>
      <c r="J300" s="189"/>
      <c r="K300" s="189"/>
      <c r="L300" s="189"/>
      <c r="M300" s="189"/>
      <c r="N300" s="189"/>
      <c r="O300" s="189"/>
      <c r="P300" s="189"/>
      <c r="Q300" s="189"/>
      <c r="R300" s="189"/>
      <c r="S300" s="189"/>
      <c r="T300" s="189"/>
      <c r="U300" s="189"/>
      <c r="V300" s="189"/>
      <c r="W300" s="189"/>
    </row>
    <row r="301">
      <c r="A301" s="188">
        <v>10.0</v>
      </c>
      <c r="B301" s="188">
        <v>21056.0</v>
      </c>
      <c r="C301" s="193" t="s">
        <v>1219</v>
      </c>
      <c r="D301" s="189"/>
      <c r="E301" s="189"/>
      <c r="F301" s="189"/>
      <c r="G301" s="189"/>
      <c r="H301" s="189"/>
      <c r="I301" s="189"/>
      <c r="J301" s="189"/>
      <c r="K301" s="189"/>
      <c r="L301" s="189"/>
      <c r="M301" s="189"/>
      <c r="N301" s="189"/>
      <c r="O301" s="189"/>
      <c r="P301" s="189"/>
      <c r="Q301" s="189"/>
      <c r="R301" s="189"/>
      <c r="S301" s="189"/>
      <c r="T301" s="189"/>
      <c r="U301" s="189"/>
      <c r="V301" s="189"/>
      <c r="W301" s="189"/>
    </row>
    <row r="302">
      <c r="A302" s="188">
        <v>10.0</v>
      </c>
      <c r="B302" s="188">
        <v>21057.0</v>
      </c>
      <c r="C302" s="193" t="s">
        <v>1220</v>
      </c>
      <c r="D302" s="189"/>
      <c r="E302" s="189"/>
      <c r="F302" s="189"/>
      <c r="G302" s="189"/>
      <c r="H302" s="189"/>
      <c r="I302" s="189"/>
      <c r="J302" s="189"/>
      <c r="K302" s="189"/>
      <c r="L302" s="189"/>
      <c r="M302" s="189"/>
      <c r="N302" s="189"/>
      <c r="O302" s="189"/>
      <c r="P302" s="189"/>
      <c r="Q302" s="189"/>
      <c r="R302" s="189"/>
      <c r="S302" s="189"/>
      <c r="T302" s="189"/>
      <c r="U302" s="189"/>
      <c r="V302" s="189"/>
      <c r="W302" s="189"/>
    </row>
    <row r="303">
      <c r="A303" s="188">
        <v>10.0</v>
      </c>
      <c r="B303" s="188">
        <v>21058.0</v>
      </c>
      <c r="C303" s="193" t="s">
        <v>1221</v>
      </c>
      <c r="D303" s="189"/>
      <c r="E303" s="189"/>
      <c r="F303" s="189"/>
      <c r="G303" s="189"/>
      <c r="H303" s="189"/>
      <c r="I303" s="189"/>
      <c r="J303" s="189"/>
      <c r="K303" s="189"/>
      <c r="L303" s="189"/>
      <c r="M303" s="189"/>
      <c r="N303" s="189"/>
      <c r="O303" s="189"/>
      <c r="P303" s="189"/>
      <c r="Q303" s="189"/>
      <c r="R303" s="189"/>
      <c r="S303" s="189"/>
      <c r="T303" s="189"/>
      <c r="U303" s="189"/>
      <c r="V303" s="189"/>
      <c r="W303" s="189"/>
    </row>
    <row r="304">
      <c r="A304" s="188">
        <v>10.0</v>
      </c>
      <c r="B304" s="188">
        <v>21060.0</v>
      </c>
      <c r="C304" s="193" t="s">
        <v>1222</v>
      </c>
      <c r="D304" s="189"/>
      <c r="E304" s="189"/>
      <c r="F304" s="189"/>
      <c r="G304" s="189"/>
      <c r="H304" s="189"/>
      <c r="I304" s="189"/>
      <c r="J304" s="189"/>
      <c r="K304" s="189"/>
      <c r="L304" s="189"/>
      <c r="M304" s="189"/>
      <c r="N304" s="189"/>
      <c r="O304" s="189"/>
      <c r="P304" s="189"/>
      <c r="Q304" s="189"/>
      <c r="R304" s="189"/>
      <c r="S304" s="189"/>
      <c r="T304" s="189"/>
      <c r="U304" s="189"/>
      <c r="V304" s="189"/>
      <c r="W304" s="189"/>
    </row>
    <row r="305">
      <c r="A305" s="188">
        <v>10.0</v>
      </c>
      <c r="B305" s="188">
        <v>21061.0</v>
      </c>
      <c r="C305" s="193" t="s">
        <v>1223</v>
      </c>
      <c r="D305" s="189"/>
      <c r="E305" s="189"/>
      <c r="F305" s="189"/>
      <c r="G305" s="189"/>
      <c r="H305" s="189"/>
      <c r="I305" s="189"/>
      <c r="J305" s="189"/>
      <c r="K305" s="189"/>
      <c r="L305" s="189"/>
      <c r="M305" s="189"/>
      <c r="N305" s="189"/>
      <c r="O305" s="189"/>
      <c r="P305" s="189"/>
      <c r="Q305" s="189"/>
      <c r="R305" s="189"/>
      <c r="S305" s="189"/>
      <c r="T305" s="189"/>
      <c r="U305" s="189"/>
      <c r="V305" s="189"/>
      <c r="W305" s="189"/>
    </row>
    <row r="306">
      <c r="A306" s="188">
        <v>10.0</v>
      </c>
      <c r="B306" s="188">
        <v>21085.0</v>
      </c>
      <c r="C306" s="193" t="s">
        <v>1224</v>
      </c>
      <c r="D306" s="189"/>
      <c r="E306" s="189"/>
      <c r="F306" s="189"/>
      <c r="G306" s="189"/>
      <c r="H306" s="189"/>
      <c r="I306" s="189"/>
      <c r="J306" s="189"/>
      <c r="K306" s="189"/>
      <c r="L306" s="189"/>
      <c r="M306" s="189"/>
      <c r="N306" s="189"/>
      <c r="O306" s="189"/>
      <c r="P306" s="189"/>
      <c r="Q306" s="189"/>
      <c r="R306" s="189"/>
      <c r="S306" s="189"/>
      <c r="T306" s="189"/>
      <c r="U306" s="189"/>
      <c r="V306" s="189"/>
      <c r="W306" s="189"/>
    </row>
    <row r="307">
      <c r="A307" s="188">
        <v>10.0</v>
      </c>
      <c r="B307" s="188">
        <v>21062.0</v>
      </c>
      <c r="C307" s="193" t="s">
        <v>1225</v>
      </c>
      <c r="D307" s="189"/>
      <c r="E307" s="189"/>
      <c r="F307" s="189"/>
      <c r="G307" s="189"/>
      <c r="H307" s="189"/>
      <c r="I307" s="189"/>
      <c r="J307" s="189"/>
      <c r="K307" s="189"/>
      <c r="L307" s="189"/>
      <c r="M307" s="189"/>
      <c r="N307" s="189"/>
      <c r="O307" s="189"/>
      <c r="P307" s="189"/>
      <c r="Q307" s="189"/>
      <c r="R307" s="189"/>
      <c r="S307" s="189"/>
      <c r="T307" s="189"/>
      <c r="U307" s="189"/>
      <c r="V307" s="189"/>
      <c r="W307" s="189"/>
    </row>
    <row r="308">
      <c r="A308" s="188">
        <v>10.0</v>
      </c>
      <c r="B308" s="188">
        <v>21100.0</v>
      </c>
      <c r="C308" s="193" t="s">
        <v>1226</v>
      </c>
      <c r="D308" s="189"/>
      <c r="E308" s="189"/>
      <c r="F308" s="189"/>
      <c r="G308" s="189"/>
      <c r="H308" s="189"/>
      <c r="I308" s="189"/>
      <c r="J308" s="189"/>
      <c r="K308" s="189"/>
      <c r="L308" s="189"/>
      <c r="M308" s="189"/>
      <c r="N308" s="189"/>
      <c r="O308" s="189"/>
      <c r="P308" s="189"/>
      <c r="Q308" s="189"/>
      <c r="R308" s="189"/>
      <c r="S308" s="189"/>
      <c r="T308" s="189"/>
      <c r="U308" s="189"/>
      <c r="V308" s="189"/>
      <c r="W308" s="189"/>
    </row>
    <row r="309">
      <c r="A309" s="188">
        <v>10.0</v>
      </c>
      <c r="B309" s="188">
        <v>21063.0</v>
      </c>
      <c r="C309" s="193" t="s">
        <v>1227</v>
      </c>
      <c r="D309" s="189"/>
      <c r="E309" s="189"/>
      <c r="F309" s="189"/>
      <c r="G309" s="189"/>
      <c r="H309" s="189"/>
      <c r="I309" s="189"/>
      <c r="J309" s="189"/>
      <c r="K309" s="189"/>
      <c r="L309" s="189"/>
      <c r="M309" s="189"/>
      <c r="N309" s="189"/>
      <c r="O309" s="189"/>
      <c r="P309" s="189"/>
      <c r="Q309" s="189"/>
      <c r="R309" s="189"/>
      <c r="S309" s="189"/>
      <c r="T309" s="189"/>
      <c r="U309" s="189"/>
      <c r="V309" s="189"/>
      <c r="W309" s="189"/>
    </row>
    <row r="310">
      <c r="A310" s="188">
        <v>10.0</v>
      </c>
      <c r="B310" s="188">
        <v>21064.0</v>
      </c>
      <c r="C310" s="193" t="s">
        <v>1228</v>
      </c>
      <c r="D310" s="189"/>
      <c r="E310" s="189"/>
      <c r="F310" s="189"/>
      <c r="G310" s="189"/>
      <c r="H310" s="189"/>
      <c r="I310" s="189"/>
      <c r="J310" s="189"/>
      <c r="K310" s="189"/>
      <c r="L310" s="189"/>
      <c r="M310" s="189"/>
      <c r="N310" s="189"/>
      <c r="O310" s="189"/>
      <c r="P310" s="189"/>
      <c r="Q310" s="189"/>
      <c r="R310" s="189"/>
      <c r="S310" s="189"/>
      <c r="T310" s="189"/>
      <c r="U310" s="189"/>
      <c r="V310" s="189"/>
      <c r="W310" s="189"/>
    </row>
    <row r="311">
      <c r="A311" s="188">
        <v>10.0</v>
      </c>
      <c r="B311" s="188">
        <v>21065.0</v>
      </c>
      <c r="C311" s="193" t="s">
        <v>1229</v>
      </c>
      <c r="D311" s="189"/>
      <c r="E311" s="189"/>
      <c r="F311" s="189"/>
      <c r="G311" s="189"/>
      <c r="H311" s="189"/>
      <c r="I311" s="189"/>
      <c r="J311" s="189"/>
      <c r="K311" s="189"/>
      <c r="L311" s="189"/>
      <c r="M311" s="189"/>
      <c r="N311" s="189"/>
      <c r="O311" s="189"/>
      <c r="P311" s="189"/>
      <c r="Q311" s="189"/>
      <c r="R311" s="189"/>
      <c r="S311" s="189"/>
      <c r="T311" s="189"/>
      <c r="U311" s="189"/>
      <c r="V311" s="189"/>
      <c r="W311" s="189"/>
    </row>
    <row r="312">
      <c r="A312" s="188">
        <v>10.0</v>
      </c>
      <c r="B312" s="188">
        <v>21066.0</v>
      </c>
      <c r="C312" s="193" t="s">
        <v>1230</v>
      </c>
      <c r="D312" s="189"/>
      <c r="E312" s="189"/>
      <c r="F312" s="189"/>
      <c r="G312" s="189"/>
      <c r="H312" s="189"/>
      <c r="I312" s="189"/>
      <c r="J312" s="189"/>
      <c r="K312" s="189"/>
      <c r="L312" s="189"/>
      <c r="M312" s="189"/>
      <c r="N312" s="189"/>
      <c r="O312" s="189"/>
      <c r="P312" s="189"/>
      <c r="Q312" s="189"/>
      <c r="R312" s="189"/>
      <c r="S312" s="189"/>
      <c r="T312" s="189"/>
      <c r="U312" s="189"/>
      <c r="V312" s="189"/>
      <c r="W312" s="189"/>
    </row>
    <row r="313">
      <c r="A313" s="188">
        <v>10.0</v>
      </c>
      <c r="B313" s="188">
        <v>21101.0</v>
      </c>
      <c r="C313" s="193" t="s">
        <v>1231</v>
      </c>
      <c r="D313" s="189"/>
      <c r="E313" s="189"/>
      <c r="F313" s="189"/>
      <c r="G313" s="189"/>
      <c r="H313" s="189"/>
      <c r="I313" s="189"/>
      <c r="J313" s="189"/>
      <c r="K313" s="189"/>
      <c r="L313" s="189"/>
      <c r="M313" s="189"/>
      <c r="N313" s="189"/>
      <c r="O313" s="189"/>
      <c r="P313" s="189"/>
      <c r="Q313" s="189"/>
      <c r="R313" s="189"/>
      <c r="S313" s="189"/>
      <c r="T313" s="189"/>
      <c r="U313" s="189"/>
      <c r="V313" s="189"/>
      <c r="W313" s="189"/>
    </row>
    <row r="314">
      <c r="A314" s="188">
        <v>10.0</v>
      </c>
      <c r="B314" s="188">
        <v>21086.0</v>
      </c>
      <c r="C314" s="193" t="s">
        <v>1232</v>
      </c>
      <c r="D314" s="189"/>
      <c r="E314" s="189"/>
      <c r="F314" s="189"/>
      <c r="G314" s="189"/>
      <c r="H314" s="189"/>
      <c r="I314" s="189"/>
      <c r="J314" s="189"/>
      <c r="K314" s="189"/>
      <c r="L314" s="189"/>
      <c r="M314" s="189"/>
      <c r="N314" s="189"/>
      <c r="O314" s="189"/>
      <c r="P314" s="189"/>
      <c r="Q314" s="189"/>
      <c r="R314" s="189"/>
      <c r="S314" s="189"/>
      <c r="T314" s="189"/>
      <c r="U314" s="189"/>
      <c r="V314" s="189"/>
      <c r="W314" s="189"/>
    </row>
    <row r="315">
      <c r="A315" s="188">
        <v>10.0</v>
      </c>
      <c r="B315" s="188">
        <v>21067.0</v>
      </c>
      <c r="C315" s="193" t="s">
        <v>1233</v>
      </c>
      <c r="D315" s="189"/>
      <c r="E315" s="189"/>
      <c r="F315" s="189"/>
      <c r="G315" s="189"/>
      <c r="H315" s="189"/>
      <c r="I315" s="189"/>
      <c r="J315" s="189"/>
      <c r="K315" s="189"/>
      <c r="L315" s="189"/>
      <c r="M315" s="189"/>
      <c r="N315" s="189"/>
      <c r="O315" s="189"/>
      <c r="P315" s="189"/>
      <c r="Q315" s="189"/>
      <c r="R315" s="189"/>
      <c r="S315" s="189"/>
      <c r="T315" s="189"/>
      <c r="U315" s="189"/>
      <c r="V315" s="189"/>
      <c r="W315" s="189"/>
    </row>
    <row r="316">
      <c r="A316" s="188">
        <v>10.0</v>
      </c>
      <c r="B316" s="188">
        <v>21068.0</v>
      </c>
      <c r="C316" s="193" t="s">
        <v>1234</v>
      </c>
      <c r="D316" s="189"/>
      <c r="E316" s="189"/>
      <c r="F316" s="189"/>
      <c r="G316" s="189"/>
      <c r="H316" s="189"/>
      <c r="I316" s="189"/>
      <c r="J316" s="189"/>
      <c r="K316" s="189"/>
      <c r="L316" s="189"/>
      <c r="M316" s="189"/>
      <c r="N316" s="189"/>
      <c r="O316" s="189"/>
      <c r="P316" s="189"/>
      <c r="Q316" s="189"/>
      <c r="R316" s="189"/>
      <c r="S316" s="189"/>
      <c r="T316" s="189"/>
      <c r="U316" s="189"/>
      <c r="V316" s="189"/>
      <c r="W316" s="189"/>
    </row>
    <row r="317">
      <c r="A317" s="188">
        <v>10.0</v>
      </c>
      <c r="B317" s="188">
        <v>22144.0</v>
      </c>
      <c r="C317" s="193" t="s">
        <v>1235</v>
      </c>
      <c r="D317" s="189"/>
      <c r="E317" s="189"/>
      <c r="F317" s="189"/>
      <c r="G317" s="189"/>
      <c r="H317" s="189"/>
      <c r="I317" s="189"/>
      <c r="J317" s="189"/>
      <c r="K317" s="189"/>
      <c r="L317" s="189"/>
      <c r="M317" s="189"/>
      <c r="N317" s="189"/>
      <c r="O317" s="189"/>
      <c r="P317" s="189"/>
      <c r="Q317" s="189"/>
      <c r="R317" s="189"/>
      <c r="S317" s="189"/>
      <c r="T317" s="189"/>
      <c r="U317" s="189"/>
      <c r="V317" s="189"/>
      <c r="W317" s="189"/>
    </row>
    <row r="318">
      <c r="A318" s="188">
        <v>10.0</v>
      </c>
      <c r="B318" s="188">
        <v>21070.0</v>
      </c>
      <c r="C318" s="193" t="s">
        <v>1236</v>
      </c>
      <c r="D318" s="189"/>
      <c r="E318" s="189"/>
      <c r="F318" s="189"/>
      <c r="G318" s="189"/>
      <c r="H318" s="189"/>
      <c r="I318" s="189"/>
      <c r="J318" s="189"/>
      <c r="K318" s="189"/>
      <c r="L318" s="189"/>
      <c r="M318" s="189"/>
      <c r="N318" s="189"/>
      <c r="O318" s="189"/>
      <c r="P318" s="189"/>
      <c r="Q318" s="189"/>
      <c r="R318" s="189"/>
      <c r="S318" s="189"/>
      <c r="T318" s="189"/>
      <c r="U318" s="189"/>
      <c r="V318" s="189"/>
      <c r="W318" s="189"/>
    </row>
    <row r="319">
      <c r="A319" s="188">
        <v>10.0</v>
      </c>
      <c r="B319" s="188">
        <v>21071.0</v>
      </c>
      <c r="C319" s="193" t="s">
        <v>1237</v>
      </c>
      <c r="D319" s="189"/>
      <c r="E319" s="189"/>
      <c r="F319" s="189"/>
      <c r="G319" s="189"/>
      <c r="H319" s="189"/>
      <c r="I319" s="189"/>
      <c r="J319" s="189"/>
      <c r="K319" s="189"/>
      <c r="L319" s="189"/>
      <c r="M319" s="189"/>
      <c r="N319" s="189"/>
      <c r="O319" s="189"/>
      <c r="P319" s="189"/>
      <c r="Q319" s="189"/>
      <c r="R319" s="189"/>
      <c r="S319" s="189"/>
      <c r="T319" s="189"/>
      <c r="U319" s="189"/>
      <c r="V319" s="189"/>
      <c r="W319" s="189"/>
    </row>
    <row r="320">
      <c r="A320" s="188">
        <v>10.0</v>
      </c>
      <c r="B320" s="188">
        <v>21098.0</v>
      </c>
      <c r="C320" s="193" t="s">
        <v>1238</v>
      </c>
      <c r="D320" s="189"/>
      <c r="E320" s="189"/>
      <c r="F320" s="189"/>
      <c r="G320" s="189"/>
      <c r="H320" s="189"/>
      <c r="I320" s="189"/>
      <c r="J320" s="189"/>
      <c r="K320" s="189"/>
      <c r="L320" s="189"/>
      <c r="M320" s="189"/>
      <c r="N320" s="189"/>
      <c r="O320" s="189"/>
      <c r="P320" s="189"/>
      <c r="Q320" s="189"/>
      <c r="R320" s="189"/>
      <c r="S320" s="189"/>
      <c r="T320" s="189"/>
      <c r="U320" s="189"/>
      <c r="V320" s="189"/>
      <c r="W320" s="189"/>
    </row>
    <row r="321">
      <c r="A321" s="188">
        <v>10.0</v>
      </c>
      <c r="B321" s="188">
        <v>21072.0</v>
      </c>
      <c r="C321" s="193" t="s">
        <v>1239</v>
      </c>
      <c r="D321" s="189"/>
      <c r="E321" s="189"/>
      <c r="F321" s="189"/>
      <c r="G321" s="189"/>
      <c r="H321" s="189"/>
      <c r="I321" s="189"/>
      <c r="J321" s="189"/>
      <c r="K321" s="189"/>
      <c r="L321" s="189"/>
      <c r="M321" s="189"/>
      <c r="N321" s="189"/>
      <c r="O321" s="189"/>
      <c r="P321" s="189"/>
      <c r="Q321" s="189"/>
      <c r="R321" s="189"/>
      <c r="S321" s="189"/>
      <c r="T321" s="189"/>
      <c r="U321" s="189"/>
      <c r="V321" s="189"/>
      <c r="W321" s="189"/>
    </row>
    <row r="322">
      <c r="A322" s="188">
        <v>10.0</v>
      </c>
      <c r="B322" s="188">
        <v>21073.0</v>
      </c>
      <c r="C322" s="193" t="s">
        <v>1240</v>
      </c>
      <c r="D322" s="189"/>
      <c r="E322" s="189"/>
      <c r="F322" s="189"/>
      <c r="G322" s="189"/>
      <c r="H322" s="189"/>
      <c r="I322" s="189"/>
      <c r="J322" s="189"/>
      <c r="K322" s="189"/>
      <c r="L322" s="189"/>
      <c r="M322" s="189"/>
      <c r="N322" s="189"/>
      <c r="O322" s="189"/>
      <c r="P322" s="189"/>
      <c r="Q322" s="189"/>
      <c r="R322" s="189"/>
      <c r="S322" s="189"/>
      <c r="T322" s="189"/>
      <c r="U322" s="189"/>
      <c r="V322" s="189"/>
      <c r="W322" s="189"/>
    </row>
    <row r="323">
      <c r="A323" s="188">
        <v>10.0</v>
      </c>
      <c r="B323" s="188">
        <v>21074.0</v>
      </c>
      <c r="C323" s="193" t="s">
        <v>1241</v>
      </c>
      <c r="D323" s="189"/>
      <c r="E323" s="189"/>
      <c r="F323" s="189"/>
      <c r="G323" s="189"/>
      <c r="H323" s="189"/>
      <c r="I323" s="189"/>
      <c r="J323" s="189"/>
      <c r="K323" s="189"/>
      <c r="L323" s="189"/>
      <c r="M323" s="189"/>
      <c r="N323" s="189"/>
      <c r="O323" s="189"/>
      <c r="P323" s="189"/>
      <c r="Q323" s="189"/>
      <c r="R323" s="189"/>
      <c r="S323" s="189"/>
      <c r="T323" s="189"/>
      <c r="U323" s="189"/>
      <c r="V323" s="189"/>
      <c r="W323" s="189"/>
    </row>
    <row r="324">
      <c r="A324" s="188">
        <v>10.0</v>
      </c>
      <c r="B324" s="188">
        <v>21075.0</v>
      </c>
      <c r="C324" s="193" t="s">
        <v>1242</v>
      </c>
      <c r="D324" s="189"/>
      <c r="E324" s="189"/>
      <c r="F324" s="189"/>
      <c r="G324" s="189"/>
      <c r="H324" s="189"/>
      <c r="I324" s="189"/>
      <c r="J324" s="189"/>
      <c r="K324" s="189"/>
      <c r="L324" s="189"/>
      <c r="M324" s="189"/>
      <c r="N324" s="189"/>
      <c r="O324" s="189"/>
      <c r="P324" s="189"/>
      <c r="Q324" s="189"/>
      <c r="R324" s="189"/>
      <c r="S324" s="189"/>
      <c r="T324" s="189"/>
      <c r="U324" s="189"/>
      <c r="V324" s="189"/>
      <c r="W324" s="189"/>
    </row>
    <row r="325">
      <c r="A325" s="188">
        <v>10.0</v>
      </c>
      <c r="B325" s="188">
        <v>21102.0</v>
      </c>
      <c r="C325" s="193" t="s">
        <v>1243</v>
      </c>
      <c r="D325" s="189"/>
      <c r="E325" s="189"/>
      <c r="F325" s="189"/>
      <c r="G325" s="189"/>
      <c r="H325" s="189"/>
      <c r="I325" s="189"/>
      <c r="J325" s="189"/>
      <c r="K325" s="189"/>
      <c r="L325" s="189"/>
      <c r="M325" s="189"/>
      <c r="N325" s="189"/>
      <c r="O325" s="189"/>
      <c r="P325" s="189"/>
      <c r="Q325" s="189"/>
      <c r="R325" s="189"/>
      <c r="S325" s="189"/>
      <c r="T325" s="189"/>
      <c r="U325" s="189"/>
      <c r="V325" s="189"/>
      <c r="W325" s="189"/>
    </row>
    <row r="326">
      <c r="A326" s="188">
        <v>10.0</v>
      </c>
      <c r="B326" s="188">
        <v>21109.0</v>
      </c>
      <c r="C326" s="193" t="s">
        <v>1244</v>
      </c>
      <c r="D326" s="189"/>
      <c r="E326" s="189"/>
      <c r="F326" s="189"/>
      <c r="G326" s="189"/>
      <c r="H326" s="189"/>
      <c r="I326" s="189"/>
      <c r="J326" s="189"/>
      <c r="K326" s="189"/>
      <c r="L326" s="189"/>
      <c r="M326" s="189"/>
      <c r="N326" s="189"/>
      <c r="O326" s="189"/>
      <c r="P326" s="189"/>
      <c r="Q326" s="189"/>
      <c r="R326" s="189"/>
      <c r="S326" s="189"/>
      <c r="T326" s="189"/>
      <c r="U326" s="189"/>
      <c r="V326" s="189"/>
      <c r="W326" s="189"/>
    </row>
    <row r="327">
      <c r="A327" s="188">
        <v>10.0</v>
      </c>
      <c r="B327" s="188">
        <v>21076.0</v>
      </c>
      <c r="C327" s="193" t="s">
        <v>1245</v>
      </c>
      <c r="D327" s="189"/>
      <c r="E327" s="189"/>
      <c r="F327" s="189"/>
      <c r="G327" s="189"/>
      <c r="H327" s="189"/>
      <c r="I327" s="189"/>
      <c r="J327" s="189"/>
      <c r="K327" s="189"/>
      <c r="L327" s="189"/>
      <c r="M327" s="189"/>
      <c r="N327" s="189"/>
      <c r="O327" s="189"/>
      <c r="P327" s="189"/>
      <c r="Q327" s="189"/>
      <c r="R327" s="189"/>
      <c r="S327" s="189"/>
      <c r="T327" s="189"/>
      <c r="U327" s="189"/>
      <c r="V327" s="189"/>
      <c r="W327" s="189"/>
    </row>
    <row r="328">
      <c r="A328" s="188">
        <v>10.0</v>
      </c>
      <c r="B328" s="188">
        <v>21077.0</v>
      </c>
      <c r="C328" s="193" t="s">
        <v>1246</v>
      </c>
      <c r="D328" s="189"/>
      <c r="E328" s="189"/>
      <c r="F328" s="189"/>
      <c r="G328" s="189"/>
      <c r="H328" s="189"/>
      <c r="I328" s="189"/>
      <c r="J328" s="189"/>
      <c r="K328" s="189"/>
      <c r="L328" s="189"/>
      <c r="M328" s="189"/>
      <c r="N328" s="189"/>
      <c r="O328" s="189"/>
      <c r="P328" s="189"/>
      <c r="Q328" s="189"/>
      <c r="R328" s="189"/>
      <c r="S328" s="189"/>
      <c r="T328" s="189"/>
      <c r="U328" s="189"/>
      <c r="V328" s="189"/>
      <c r="W328" s="189"/>
    </row>
    <row r="329">
      <c r="A329" s="188">
        <v>10.0</v>
      </c>
      <c r="B329" s="188">
        <v>21078.0</v>
      </c>
      <c r="C329" s="193" t="s">
        <v>1247</v>
      </c>
      <c r="D329" s="189"/>
      <c r="E329" s="189"/>
      <c r="F329" s="189"/>
      <c r="G329" s="189"/>
      <c r="H329" s="189"/>
      <c r="I329" s="189"/>
      <c r="J329" s="189"/>
      <c r="K329" s="189"/>
      <c r="L329" s="189"/>
      <c r="M329" s="189"/>
      <c r="N329" s="189"/>
      <c r="O329" s="189"/>
      <c r="P329" s="189"/>
      <c r="Q329" s="189"/>
      <c r="R329" s="189"/>
      <c r="S329" s="189"/>
      <c r="T329" s="189"/>
      <c r="U329" s="189"/>
      <c r="V329" s="189"/>
      <c r="W329" s="189"/>
    </row>
    <row r="330">
      <c r="A330" s="188">
        <v>10.0</v>
      </c>
      <c r="B330" s="188">
        <v>21121.0</v>
      </c>
      <c r="C330" s="193" t="s">
        <v>1248</v>
      </c>
      <c r="D330" s="189"/>
      <c r="E330" s="189"/>
      <c r="F330" s="189"/>
      <c r="G330" s="189"/>
      <c r="H330" s="189"/>
      <c r="I330" s="189"/>
      <c r="J330" s="189"/>
      <c r="K330" s="189"/>
      <c r="L330" s="189"/>
      <c r="M330" s="189"/>
      <c r="N330" s="189"/>
      <c r="O330" s="189"/>
      <c r="P330" s="189"/>
      <c r="Q330" s="189"/>
      <c r="R330" s="189"/>
      <c r="S330" s="189"/>
      <c r="T330" s="189"/>
      <c r="U330" s="189"/>
      <c r="V330" s="189"/>
      <c r="W330" s="189"/>
    </row>
    <row r="331">
      <c r="A331" s="188">
        <v>10.0</v>
      </c>
      <c r="B331" s="188">
        <v>21079.0</v>
      </c>
      <c r="C331" s="193" t="s">
        <v>1249</v>
      </c>
      <c r="D331" s="189"/>
      <c r="E331" s="189"/>
      <c r="F331" s="189"/>
      <c r="G331" s="189"/>
      <c r="H331" s="189"/>
      <c r="I331" s="189"/>
      <c r="J331" s="189"/>
      <c r="K331" s="189"/>
      <c r="L331" s="189"/>
      <c r="M331" s="189"/>
      <c r="N331" s="189"/>
      <c r="O331" s="189"/>
      <c r="P331" s="189"/>
      <c r="Q331" s="189"/>
      <c r="R331" s="189"/>
      <c r="S331" s="189"/>
      <c r="T331" s="189"/>
      <c r="U331" s="189"/>
      <c r="V331" s="189"/>
      <c r="W331" s="189"/>
    </row>
    <row r="332">
      <c r="A332" s="188">
        <v>11.0</v>
      </c>
      <c r="B332" s="188">
        <v>20001.0</v>
      </c>
      <c r="C332" s="193" t="s">
        <v>1250</v>
      </c>
      <c r="D332" s="189"/>
      <c r="E332" s="189"/>
      <c r="F332" s="189"/>
      <c r="G332" s="189"/>
      <c r="H332" s="189"/>
      <c r="I332" s="189"/>
      <c r="J332" s="189"/>
      <c r="K332" s="189"/>
      <c r="L332" s="189"/>
      <c r="M332" s="189"/>
      <c r="N332" s="189"/>
      <c r="O332" s="189"/>
      <c r="P332" s="189"/>
      <c r="Q332" s="189"/>
      <c r="R332" s="189"/>
      <c r="S332" s="189"/>
      <c r="T332" s="189"/>
      <c r="U332" s="189"/>
      <c r="V332" s="189"/>
      <c r="W332" s="189"/>
    </row>
    <row r="333">
      <c r="A333" s="188">
        <v>11.0</v>
      </c>
      <c r="B333" s="188">
        <v>20004.0</v>
      </c>
      <c r="C333" s="193" t="s">
        <v>1251</v>
      </c>
      <c r="D333" s="189"/>
      <c r="E333" s="189"/>
      <c r="F333" s="189"/>
      <c r="G333" s="189"/>
      <c r="H333" s="189"/>
      <c r="I333" s="189"/>
      <c r="J333" s="189"/>
      <c r="K333" s="189"/>
      <c r="L333" s="189"/>
      <c r="M333" s="189"/>
      <c r="N333" s="189"/>
      <c r="O333" s="189"/>
      <c r="P333" s="189"/>
      <c r="Q333" s="189"/>
      <c r="R333" s="189"/>
      <c r="S333" s="189"/>
      <c r="T333" s="189"/>
      <c r="U333" s="189"/>
      <c r="V333" s="189"/>
      <c r="W333" s="189"/>
    </row>
    <row r="334">
      <c r="A334" s="188">
        <v>11.0</v>
      </c>
      <c r="B334" s="188">
        <v>20005.0</v>
      </c>
      <c r="C334" s="193" t="s">
        <v>1252</v>
      </c>
      <c r="D334" s="189"/>
      <c r="E334" s="189"/>
      <c r="F334" s="189"/>
      <c r="G334" s="189"/>
      <c r="H334" s="189"/>
      <c r="I334" s="189"/>
      <c r="J334" s="189"/>
      <c r="K334" s="189"/>
      <c r="L334" s="189"/>
      <c r="M334" s="189"/>
      <c r="N334" s="189"/>
      <c r="O334" s="189"/>
      <c r="P334" s="189"/>
      <c r="Q334" s="189"/>
      <c r="R334" s="189"/>
      <c r="S334" s="189"/>
      <c r="T334" s="189"/>
      <c r="U334" s="189"/>
      <c r="V334" s="189"/>
      <c r="W334" s="189"/>
    </row>
    <row r="335">
      <c r="A335" s="188">
        <v>11.0</v>
      </c>
      <c r="B335" s="188">
        <v>20006.0</v>
      </c>
      <c r="C335" s="193" t="s">
        <v>1253</v>
      </c>
      <c r="D335" s="189"/>
      <c r="E335" s="189"/>
      <c r="F335" s="189"/>
      <c r="G335" s="189"/>
      <c r="H335" s="189"/>
      <c r="I335" s="189"/>
      <c r="J335" s="189"/>
      <c r="K335" s="189"/>
      <c r="L335" s="189"/>
      <c r="M335" s="189"/>
      <c r="N335" s="189"/>
      <c r="O335" s="189"/>
      <c r="P335" s="189"/>
      <c r="Q335" s="189"/>
      <c r="R335" s="189"/>
      <c r="S335" s="189"/>
      <c r="T335" s="189"/>
      <c r="U335" s="189"/>
      <c r="V335" s="189"/>
      <c r="W335" s="189"/>
    </row>
    <row r="336">
      <c r="A336" s="188">
        <v>11.0</v>
      </c>
      <c r="B336" s="188">
        <v>19020.0</v>
      </c>
      <c r="C336" s="193" t="s">
        <v>1254</v>
      </c>
      <c r="D336" s="189"/>
      <c r="E336" s="189"/>
      <c r="F336" s="189"/>
      <c r="G336" s="189"/>
      <c r="H336" s="189"/>
      <c r="I336" s="189"/>
      <c r="J336" s="189"/>
      <c r="K336" s="189"/>
      <c r="L336" s="189"/>
      <c r="M336" s="189"/>
      <c r="N336" s="189"/>
      <c r="O336" s="189"/>
      <c r="P336" s="189"/>
      <c r="Q336" s="189"/>
      <c r="R336" s="189"/>
      <c r="S336" s="189"/>
      <c r="T336" s="189"/>
      <c r="U336" s="189"/>
      <c r="V336" s="189"/>
      <c r="W336" s="189"/>
    </row>
    <row r="337">
      <c r="A337" s="188">
        <v>11.0</v>
      </c>
      <c r="B337" s="188">
        <v>20007.0</v>
      </c>
      <c r="C337" s="193" t="s">
        <v>1255</v>
      </c>
      <c r="D337" s="189"/>
      <c r="E337" s="189"/>
      <c r="F337" s="189"/>
      <c r="G337" s="189"/>
      <c r="H337" s="189"/>
      <c r="I337" s="189"/>
      <c r="J337" s="189"/>
      <c r="K337" s="189"/>
      <c r="L337" s="189"/>
      <c r="M337" s="189"/>
      <c r="N337" s="189"/>
      <c r="O337" s="189"/>
      <c r="P337" s="189"/>
      <c r="Q337" s="189"/>
      <c r="R337" s="189"/>
      <c r="S337" s="189"/>
      <c r="T337" s="189"/>
      <c r="U337" s="189"/>
      <c r="V337" s="189"/>
      <c r="W337" s="189"/>
    </row>
    <row r="338">
      <c r="A338" s="188">
        <v>11.0</v>
      </c>
      <c r="B338" s="188">
        <v>20118.0</v>
      </c>
      <c r="C338" s="193" t="s">
        <v>1256</v>
      </c>
      <c r="D338" s="189"/>
      <c r="E338" s="189"/>
      <c r="F338" s="189"/>
      <c r="G338" s="189"/>
      <c r="H338" s="189"/>
      <c r="I338" s="189"/>
      <c r="J338" s="189"/>
      <c r="K338" s="189"/>
      <c r="L338" s="189"/>
      <c r="M338" s="189"/>
      <c r="N338" s="189"/>
      <c r="O338" s="189"/>
      <c r="P338" s="189"/>
      <c r="Q338" s="189"/>
      <c r="R338" s="189"/>
      <c r="S338" s="189"/>
      <c r="T338" s="189"/>
      <c r="U338" s="189"/>
      <c r="V338" s="189"/>
      <c r="W338" s="189"/>
    </row>
    <row r="339">
      <c r="A339" s="188">
        <v>11.0</v>
      </c>
      <c r="B339" s="188">
        <v>20009.0</v>
      </c>
      <c r="C339" s="193" t="s">
        <v>1257</v>
      </c>
      <c r="D339" s="189"/>
      <c r="E339" s="189"/>
      <c r="F339" s="189"/>
      <c r="G339" s="189"/>
      <c r="H339" s="189"/>
      <c r="I339" s="189"/>
      <c r="J339" s="189"/>
      <c r="K339" s="189"/>
      <c r="L339" s="189"/>
      <c r="M339" s="189"/>
      <c r="N339" s="189"/>
      <c r="O339" s="189"/>
      <c r="P339" s="189"/>
      <c r="Q339" s="189"/>
      <c r="R339" s="189"/>
      <c r="S339" s="189"/>
      <c r="T339" s="189"/>
      <c r="U339" s="189"/>
      <c r="V339" s="189"/>
      <c r="W339" s="189"/>
    </row>
    <row r="340">
      <c r="A340" s="188">
        <v>11.0</v>
      </c>
      <c r="B340" s="188">
        <v>20152.0</v>
      </c>
      <c r="C340" s="193" t="s">
        <v>1258</v>
      </c>
      <c r="D340" s="189"/>
      <c r="E340" s="189"/>
      <c r="F340" s="189"/>
      <c r="G340" s="189"/>
      <c r="H340" s="189"/>
      <c r="I340" s="189"/>
      <c r="J340" s="189"/>
      <c r="K340" s="189"/>
      <c r="L340" s="189"/>
      <c r="M340" s="189"/>
      <c r="N340" s="189"/>
      <c r="O340" s="189"/>
      <c r="P340" s="189"/>
      <c r="Q340" s="189"/>
      <c r="R340" s="189"/>
      <c r="S340" s="189"/>
      <c r="T340" s="189"/>
      <c r="U340" s="189"/>
      <c r="V340" s="189"/>
      <c r="W340" s="189"/>
    </row>
    <row r="341">
      <c r="A341" s="188">
        <v>11.0</v>
      </c>
      <c r="B341" s="188">
        <v>20011.0</v>
      </c>
      <c r="C341" s="193" t="s">
        <v>1259</v>
      </c>
      <c r="D341" s="189"/>
      <c r="E341" s="189"/>
      <c r="F341" s="189"/>
      <c r="G341" s="189"/>
      <c r="H341" s="189"/>
      <c r="I341" s="189"/>
      <c r="J341" s="189"/>
      <c r="K341" s="189"/>
      <c r="L341" s="189"/>
      <c r="M341" s="189"/>
      <c r="N341" s="189"/>
      <c r="O341" s="189"/>
      <c r="P341" s="189"/>
      <c r="Q341" s="189"/>
      <c r="R341" s="189"/>
      <c r="S341" s="189"/>
      <c r="T341" s="189"/>
      <c r="U341" s="189"/>
      <c r="V341" s="189"/>
      <c r="W341" s="189"/>
    </row>
    <row r="342">
      <c r="A342" s="188">
        <v>11.0</v>
      </c>
      <c r="B342" s="188">
        <v>20010.0</v>
      </c>
      <c r="C342" s="193" t="s">
        <v>1260</v>
      </c>
      <c r="D342" s="189"/>
      <c r="E342" s="189"/>
      <c r="F342" s="189"/>
      <c r="G342" s="189"/>
      <c r="H342" s="189"/>
      <c r="I342" s="189"/>
      <c r="J342" s="189"/>
      <c r="K342" s="189"/>
      <c r="L342" s="189"/>
      <c r="M342" s="189"/>
      <c r="N342" s="189"/>
      <c r="O342" s="189"/>
      <c r="P342" s="189"/>
      <c r="Q342" s="189"/>
      <c r="R342" s="189"/>
      <c r="S342" s="189"/>
      <c r="T342" s="189"/>
      <c r="U342" s="189"/>
      <c r="V342" s="189"/>
      <c r="W342" s="189"/>
    </row>
    <row r="343">
      <c r="A343" s="188">
        <v>11.0</v>
      </c>
      <c r="B343" s="188">
        <v>20012.0</v>
      </c>
      <c r="C343" s="193" t="s">
        <v>1261</v>
      </c>
      <c r="D343" s="189"/>
      <c r="E343" s="189"/>
      <c r="F343" s="189"/>
      <c r="G343" s="189"/>
      <c r="H343" s="189"/>
      <c r="I343" s="189"/>
      <c r="J343" s="189"/>
      <c r="K343" s="189"/>
      <c r="L343" s="189"/>
      <c r="M343" s="189"/>
      <c r="N343" s="189"/>
      <c r="O343" s="189"/>
      <c r="P343" s="189"/>
      <c r="Q343" s="189"/>
      <c r="R343" s="189"/>
      <c r="S343" s="189"/>
      <c r="T343" s="189"/>
      <c r="U343" s="189"/>
      <c r="V343" s="189"/>
      <c r="W343" s="189"/>
    </row>
    <row r="344">
      <c r="A344" s="188">
        <v>11.0</v>
      </c>
      <c r="B344" s="188">
        <v>20013.0</v>
      </c>
      <c r="C344" s="193" t="s">
        <v>1262</v>
      </c>
      <c r="D344" s="189"/>
      <c r="E344" s="189"/>
      <c r="F344" s="189"/>
      <c r="G344" s="189"/>
      <c r="H344" s="189"/>
      <c r="I344" s="189"/>
      <c r="J344" s="189"/>
      <c r="K344" s="189"/>
      <c r="L344" s="189"/>
      <c r="M344" s="189"/>
      <c r="N344" s="189"/>
      <c r="O344" s="189"/>
      <c r="P344" s="189"/>
      <c r="Q344" s="189"/>
      <c r="R344" s="189"/>
      <c r="S344" s="189"/>
      <c r="T344" s="189"/>
      <c r="U344" s="189"/>
      <c r="V344" s="189"/>
      <c r="W344" s="189"/>
    </row>
    <row r="345">
      <c r="A345" s="188">
        <v>11.0</v>
      </c>
      <c r="B345" s="188">
        <v>20153.0</v>
      </c>
      <c r="C345" s="193" t="s">
        <v>1263</v>
      </c>
      <c r="D345" s="189"/>
      <c r="E345" s="189"/>
      <c r="F345" s="189"/>
      <c r="G345" s="189"/>
      <c r="H345" s="189"/>
      <c r="I345" s="189"/>
      <c r="J345" s="189"/>
      <c r="K345" s="189"/>
      <c r="L345" s="189"/>
      <c r="M345" s="189"/>
      <c r="N345" s="189"/>
      <c r="O345" s="189"/>
      <c r="P345" s="189"/>
      <c r="Q345" s="189"/>
      <c r="R345" s="189"/>
      <c r="S345" s="189"/>
      <c r="T345" s="189"/>
      <c r="U345" s="189"/>
      <c r="V345" s="189"/>
      <c r="W345" s="189"/>
    </row>
    <row r="346">
      <c r="A346" s="188">
        <v>11.0</v>
      </c>
      <c r="B346" s="188">
        <v>20126.0</v>
      </c>
      <c r="C346" s="193" t="s">
        <v>1264</v>
      </c>
      <c r="D346" s="189"/>
      <c r="E346" s="189"/>
      <c r="F346" s="189"/>
      <c r="G346" s="189"/>
      <c r="H346" s="189"/>
      <c r="I346" s="189"/>
      <c r="J346" s="189"/>
      <c r="K346" s="189"/>
      <c r="L346" s="189"/>
      <c r="M346" s="189"/>
      <c r="N346" s="189"/>
      <c r="O346" s="189"/>
      <c r="P346" s="189"/>
      <c r="Q346" s="189"/>
      <c r="R346" s="189"/>
      <c r="S346" s="189"/>
      <c r="T346" s="189"/>
      <c r="U346" s="189"/>
      <c r="V346" s="189"/>
      <c r="W346" s="189"/>
    </row>
    <row r="347">
      <c r="A347" s="188">
        <v>11.0</v>
      </c>
      <c r="B347" s="188">
        <v>20016.0</v>
      </c>
      <c r="C347" s="193" t="s">
        <v>1265</v>
      </c>
      <c r="D347" s="189"/>
      <c r="E347" s="189"/>
      <c r="F347" s="189"/>
      <c r="G347" s="189"/>
      <c r="H347" s="189"/>
      <c r="I347" s="189"/>
      <c r="J347" s="189"/>
      <c r="K347" s="189"/>
      <c r="L347" s="189"/>
      <c r="M347" s="189"/>
      <c r="N347" s="189"/>
      <c r="O347" s="189"/>
      <c r="P347" s="189"/>
      <c r="Q347" s="189"/>
      <c r="R347" s="189"/>
      <c r="S347" s="189"/>
      <c r="T347" s="189"/>
      <c r="U347" s="189"/>
      <c r="V347" s="189"/>
      <c r="W347" s="189"/>
    </row>
    <row r="348">
      <c r="A348" s="188">
        <v>11.0</v>
      </c>
      <c r="B348" s="188">
        <v>20148.0</v>
      </c>
      <c r="C348" s="193" t="s">
        <v>1266</v>
      </c>
      <c r="D348" s="189"/>
      <c r="E348" s="189"/>
      <c r="F348" s="189"/>
      <c r="G348" s="189"/>
      <c r="H348" s="189"/>
      <c r="I348" s="189"/>
      <c r="J348" s="189"/>
      <c r="K348" s="189"/>
      <c r="L348" s="189"/>
      <c r="M348" s="189"/>
      <c r="N348" s="189"/>
      <c r="O348" s="189"/>
      <c r="P348" s="189"/>
      <c r="Q348" s="189"/>
      <c r="R348" s="189"/>
      <c r="S348" s="189"/>
      <c r="T348" s="189"/>
      <c r="U348" s="189"/>
      <c r="V348" s="189"/>
      <c r="W348" s="189"/>
    </row>
    <row r="349">
      <c r="A349" s="188">
        <v>11.0</v>
      </c>
      <c r="B349" s="188">
        <v>20017.0</v>
      </c>
      <c r="C349" s="193" t="s">
        <v>1267</v>
      </c>
      <c r="D349" s="189"/>
      <c r="E349" s="189"/>
      <c r="F349" s="189"/>
      <c r="G349" s="189"/>
      <c r="H349" s="189"/>
      <c r="I349" s="189"/>
      <c r="J349" s="189"/>
      <c r="K349" s="189"/>
      <c r="L349" s="189"/>
      <c r="M349" s="189"/>
      <c r="N349" s="189"/>
      <c r="O349" s="189"/>
      <c r="P349" s="189"/>
      <c r="Q349" s="189"/>
      <c r="R349" s="189"/>
      <c r="S349" s="189"/>
      <c r="T349" s="189"/>
      <c r="U349" s="189"/>
      <c r="V349" s="189"/>
      <c r="W349" s="189"/>
    </row>
    <row r="350">
      <c r="A350" s="188">
        <v>11.0</v>
      </c>
      <c r="B350" s="188">
        <v>20018.0</v>
      </c>
      <c r="C350" s="193" t="s">
        <v>1268</v>
      </c>
      <c r="D350" s="189"/>
      <c r="E350" s="189"/>
      <c r="F350" s="189"/>
      <c r="G350" s="189"/>
      <c r="H350" s="189"/>
      <c r="I350" s="189"/>
      <c r="J350" s="189"/>
      <c r="K350" s="189"/>
      <c r="L350" s="189"/>
      <c r="M350" s="189"/>
      <c r="N350" s="189"/>
      <c r="O350" s="189"/>
      <c r="P350" s="189"/>
      <c r="Q350" s="189"/>
      <c r="R350" s="189"/>
      <c r="S350" s="189"/>
      <c r="T350" s="189"/>
      <c r="U350" s="189"/>
      <c r="V350" s="189"/>
      <c r="W350" s="189"/>
    </row>
    <row r="351">
      <c r="A351" s="188">
        <v>11.0</v>
      </c>
      <c r="B351" s="188">
        <v>19030.0</v>
      </c>
      <c r="C351" s="193" t="s">
        <v>1269</v>
      </c>
      <c r="D351" s="189"/>
      <c r="E351" s="189"/>
      <c r="F351" s="189"/>
      <c r="G351" s="189"/>
      <c r="H351" s="189"/>
      <c r="I351" s="189"/>
      <c r="J351" s="189"/>
      <c r="K351" s="189"/>
      <c r="L351" s="189"/>
      <c r="M351" s="189"/>
      <c r="N351" s="189"/>
      <c r="O351" s="189"/>
      <c r="P351" s="189"/>
      <c r="Q351" s="189"/>
      <c r="R351" s="189"/>
      <c r="S351" s="189"/>
      <c r="T351" s="189"/>
      <c r="U351" s="189"/>
      <c r="V351" s="189"/>
      <c r="W351" s="189"/>
    </row>
    <row r="352">
      <c r="A352" s="188">
        <v>11.0</v>
      </c>
      <c r="B352" s="188">
        <v>20020.0</v>
      </c>
      <c r="C352" s="193" t="s">
        <v>1270</v>
      </c>
      <c r="D352" s="189"/>
      <c r="E352" s="189"/>
      <c r="F352" s="189"/>
      <c r="G352" s="189"/>
      <c r="H352" s="189"/>
      <c r="I352" s="189"/>
      <c r="J352" s="189"/>
      <c r="K352" s="189"/>
      <c r="L352" s="189"/>
      <c r="M352" s="189"/>
      <c r="N352" s="189"/>
      <c r="O352" s="189"/>
      <c r="P352" s="189"/>
      <c r="Q352" s="189"/>
      <c r="R352" s="189"/>
      <c r="S352" s="189"/>
      <c r="T352" s="189"/>
      <c r="U352" s="189"/>
      <c r="V352" s="189"/>
      <c r="W352" s="189"/>
    </row>
    <row r="353">
      <c r="A353" s="188">
        <v>11.0</v>
      </c>
      <c r="B353" s="188">
        <v>20112.0</v>
      </c>
      <c r="C353" s="193" t="s">
        <v>1271</v>
      </c>
      <c r="D353" s="189"/>
      <c r="E353" s="189"/>
      <c r="F353" s="189"/>
      <c r="G353" s="189"/>
      <c r="H353" s="189"/>
      <c r="I353" s="189"/>
      <c r="J353" s="189"/>
      <c r="K353" s="189"/>
      <c r="L353" s="189"/>
      <c r="M353" s="189"/>
      <c r="N353" s="189"/>
      <c r="O353" s="189"/>
      <c r="P353" s="189"/>
      <c r="Q353" s="189"/>
      <c r="R353" s="189"/>
      <c r="S353" s="189"/>
      <c r="T353" s="189"/>
      <c r="U353" s="189"/>
      <c r="V353" s="189"/>
      <c r="W353" s="189"/>
    </row>
    <row r="354">
      <c r="A354" s="188">
        <v>11.0</v>
      </c>
      <c r="B354" s="188">
        <v>20021.0</v>
      </c>
      <c r="C354" s="193" t="s">
        <v>1272</v>
      </c>
      <c r="D354" s="189"/>
      <c r="E354" s="189"/>
      <c r="F354" s="189"/>
      <c r="G354" s="189"/>
      <c r="H354" s="189"/>
      <c r="I354" s="189"/>
      <c r="J354" s="189"/>
      <c r="K354" s="189"/>
      <c r="L354" s="189"/>
      <c r="M354" s="189"/>
      <c r="N354" s="189"/>
      <c r="O354" s="189"/>
      <c r="P354" s="189"/>
      <c r="Q354" s="189"/>
      <c r="R354" s="189"/>
      <c r="S354" s="189"/>
      <c r="T354" s="189"/>
      <c r="U354" s="189"/>
      <c r="V354" s="189"/>
      <c r="W354" s="189"/>
    </row>
    <row r="355">
      <c r="A355" s="188">
        <v>11.0</v>
      </c>
      <c r="B355" s="188">
        <v>20124.0</v>
      </c>
      <c r="C355" s="193" t="s">
        <v>1273</v>
      </c>
      <c r="D355" s="189"/>
      <c r="E355" s="189"/>
      <c r="F355" s="189"/>
      <c r="G355" s="189"/>
      <c r="H355" s="189"/>
      <c r="I355" s="189"/>
      <c r="J355" s="189"/>
      <c r="K355" s="189"/>
      <c r="L355" s="189"/>
      <c r="M355" s="189"/>
      <c r="N355" s="189"/>
      <c r="O355" s="189"/>
      <c r="P355" s="189"/>
      <c r="Q355" s="189"/>
      <c r="R355" s="189"/>
      <c r="S355" s="189"/>
      <c r="T355" s="189"/>
      <c r="U355" s="189"/>
      <c r="V355" s="189"/>
      <c r="W355" s="189"/>
    </row>
    <row r="356">
      <c r="A356" s="188">
        <v>11.0</v>
      </c>
      <c r="B356" s="188">
        <v>20113.0</v>
      </c>
      <c r="C356" s="193" t="s">
        <v>1274</v>
      </c>
      <c r="D356" s="189"/>
      <c r="E356" s="189"/>
      <c r="F356" s="189"/>
      <c r="G356" s="189"/>
      <c r="H356" s="189"/>
      <c r="I356" s="189"/>
      <c r="J356" s="189"/>
      <c r="K356" s="189"/>
      <c r="L356" s="189"/>
      <c r="M356" s="189"/>
      <c r="N356" s="189"/>
      <c r="O356" s="189"/>
      <c r="P356" s="189"/>
      <c r="Q356" s="189"/>
      <c r="R356" s="189"/>
      <c r="S356" s="189"/>
      <c r="T356" s="189"/>
      <c r="U356" s="189"/>
      <c r="V356" s="189"/>
      <c r="W356" s="189"/>
    </row>
    <row r="357">
      <c r="A357" s="188">
        <v>11.0</v>
      </c>
      <c r="B357" s="188">
        <v>20024.0</v>
      </c>
      <c r="C357" s="193" t="s">
        <v>1275</v>
      </c>
      <c r="D357" s="189"/>
      <c r="E357" s="189"/>
      <c r="F357" s="189"/>
      <c r="G357" s="189"/>
      <c r="H357" s="189"/>
      <c r="I357" s="189"/>
      <c r="J357" s="189"/>
      <c r="K357" s="189"/>
      <c r="L357" s="189"/>
      <c r="M357" s="189"/>
      <c r="N357" s="189"/>
      <c r="O357" s="189"/>
      <c r="P357" s="189"/>
      <c r="Q357" s="189"/>
      <c r="R357" s="189"/>
      <c r="S357" s="189"/>
      <c r="T357" s="189"/>
      <c r="U357" s="189"/>
      <c r="V357" s="189"/>
      <c r="W357" s="189"/>
    </row>
    <row r="358">
      <c r="A358" s="188">
        <v>11.0</v>
      </c>
      <c r="B358" s="188">
        <v>20114.0</v>
      </c>
      <c r="C358" s="193" t="s">
        <v>1276</v>
      </c>
      <c r="D358" s="189"/>
      <c r="E358" s="189"/>
      <c r="F358" s="189"/>
      <c r="G358" s="189"/>
      <c r="H358" s="189"/>
      <c r="I358" s="189"/>
      <c r="J358" s="189"/>
      <c r="K358" s="189"/>
      <c r="L358" s="189"/>
      <c r="M358" s="189"/>
      <c r="N358" s="189"/>
      <c r="O358" s="189"/>
      <c r="P358" s="189"/>
      <c r="Q358" s="189"/>
      <c r="R358" s="189"/>
      <c r="S358" s="189"/>
      <c r="T358" s="189"/>
      <c r="U358" s="189"/>
      <c r="V358" s="189"/>
      <c r="W358" s="189"/>
    </row>
    <row r="359">
      <c r="A359" s="188">
        <v>11.0</v>
      </c>
      <c r="B359" s="188">
        <v>20025.0</v>
      </c>
      <c r="C359" s="193" t="s">
        <v>1277</v>
      </c>
      <c r="D359" s="189"/>
      <c r="E359" s="189"/>
      <c r="F359" s="189"/>
      <c r="G359" s="189"/>
      <c r="H359" s="189"/>
      <c r="I359" s="189"/>
      <c r="J359" s="189"/>
      <c r="K359" s="189"/>
      <c r="L359" s="189"/>
      <c r="M359" s="189"/>
      <c r="N359" s="189"/>
      <c r="O359" s="189"/>
      <c r="P359" s="189"/>
      <c r="Q359" s="189"/>
      <c r="R359" s="189"/>
      <c r="S359" s="189"/>
      <c r="T359" s="189"/>
      <c r="U359" s="189"/>
      <c r="V359" s="189"/>
      <c r="W359" s="189"/>
    </row>
    <row r="360">
      <c r="A360" s="188">
        <v>11.0</v>
      </c>
      <c r="B360" s="188">
        <v>20026.0</v>
      </c>
      <c r="C360" s="193" t="s">
        <v>1278</v>
      </c>
      <c r="D360" s="189"/>
      <c r="E360" s="189"/>
      <c r="F360" s="189"/>
      <c r="G360" s="189"/>
      <c r="H360" s="189"/>
      <c r="I360" s="189"/>
      <c r="J360" s="189"/>
      <c r="K360" s="189"/>
      <c r="L360" s="189"/>
      <c r="M360" s="189"/>
      <c r="N360" s="189"/>
      <c r="O360" s="189"/>
      <c r="P360" s="189"/>
      <c r="Q360" s="189"/>
      <c r="R360" s="189"/>
      <c r="S360" s="189"/>
      <c r="T360" s="189"/>
      <c r="U360" s="189"/>
      <c r="V360" s="189"/>
      <c r="W360" s="189"/>
    </row>
    <row r="361">
      <c r="A361" s="188">
        <v>11.0</v>
      </c>
      <c r="B361" s="188">
        <v>20027.0</v>
      </c>
      <c r="C361" s="193" t="s">
        <v>1279</v>
      </c>
      <c r="D361" s="189"/>
      <c r="E361" s="189"/>
      <c r="F361" s="189"/>
      <c r="G361" s="189"/>
      <c r="H361" s="189"/>
      <c r="I361" s="189"/>
      <c r="J361" s="189"/>
      <c r="K361" s="189"/>
      <c r="L361" s="189"/>
      <c r="M361" s="189"/>
      <c r="N361" s="189"/>
      <c r="O361" s="189"/>
      <c r="P361" s="189"/>
      <c r="Q361" s="189"/>
      <c r="R361" s="189"/>
      <c r="S361" s="189"/>
      <c r="T361" s="189"/>
      <c r="U361" s="189"/>
      <c r="V361" s="189"/>
      <c r="W361" s="189"/>
    </row>
    <row r="362">
      <c r="A362" s="188">
        <v>11.0</v>
      </c>
      <c r="B362" s="188">
        <v>20028.0</v>
      </c>
      <c r="C362" s="193" t="s">
        <v>1280</v>
      </c>
      <c r="D362" s="189"/>
      <c r="E362" s="189"/>
      <c r="F362" s="189"/>
      <c r="G362" s="189"/>
      <c r="H362" s="189"/>
      <c r="I362" s="189"/>
      <c r="J362" s="189"/>
      <c r="K362" s="189"/>
      <c r="L362" s="189"/>
      <c r="M362" s="189"/>
      <c r="N362" s="189"/>
      <c r="O362" s="189"/>
      <c r="P362" s="189"/>
      <c r="Q362" s="189"/>
      <c r="R362" s="189"/>
      <c r="S362" s="189"/>
      <c r="T362" s="189"/>
      <c r="U362" s="189"/>
      <c r="V362" s="189"/>
      <c r="W362" s="189"/>
    </row>
    <row r="363">
      <c r="A363" s="188">
        <v>11.0</v>
      </c>
      <c r="B363" s="188">
        <v>20115.0</v>
      </c>
      <c r="C363" s="193" t="s">
        <v>1281</v>
      </c>
      <c r="D363" s="189"/>
      <c r="E363" s="189"/>
      <c r="F363" s="189"/>
      <c r="G363" s="189"/>
      <c r="H363" s="189"/>
      <c r="I363" s="189"/>
      <c r="J363" s="189"/>
      <c r="K363" s="189"/>
      <c r="L363" s="189"/>
      <c r="M363" s="189"/>
      <c r="N363" s="189"/>
      <c r="O363" s="189"/>
      <c r="P363" s="189"/>
      <c r="Q363" s="189"/>
      <c r="R363" s="189"/>
      <c r="S363" s="189"/>
      <c r="T363" s="189"/>
      <c r="U363" s="189"/>
      <c r="V363" s="189"/>
      <c r="W363" s="189"/>
    </row>
    <row r="364">
      <c r="A364" s="188">
        <v>11.0</v>
      </c>
      <c r="B364" s="188">
        <v>20116.0</v>
      </c>
      <c r="C364" s="193" t="s">
        <v>1282</v>
      </c>
      <c r="D364" s="189"/>
      <c r="E364" s="189"/>
      <c r="F364" s="189"/>
      <c r="G364" s="189"/>
      <c r="H364" s="189"/>
      <c r="I364" s="189"/>
      <c r="J364" s="189"/>
      <c r="K364" s="189"/>
      <c r="L364" s="189"/>
      <c r="M364" s="189"/>
      <c r="N364" s="189"/>
      <c r="O364" s="189"/>
      <c r="P364" s="189"/>
      <c r="Q364" s="189"/>
      <c r="R364" s="189"/>
      <c r="S364" s="189"/>
      <c r="T364" s="189"/>
      <c r="U364" s="189"/>
      <c r="V364" s="189"/>
      <c r="W364" s="189"/>
    </row>
    <row r="365">
      <c r="A365" s="188">
        <v>11.0</v>
      </c>
      <c r="B365" s="188">
        <v>20117.0</v>
      </c>
      <c r="C365" s="193" t="s">
        <v>1283</v>
      </c>
      <c r="D365" s="189"/>
      <c r="E365" s="189"/>
      <c r="F365" s="189"/>
      <c r="G365" s="189"/>
      <c r="H365" s="189"/>
      <c r="I365" s="189"/>
      <c r="J365" s="189"/>
      <c r="K365" s="189"/>
      <c r="L365" s="189"/>
      <c r="M365" s="189"/>
      <c r="N365" s="189"/>
      <c r="O365" s="189"/>
      <c r="P365" s="189"/>
      <c r="Q365" s="189"/>
      <c r="R365" s="189"/>
      <c r="S365" s="189"/>
      <c r="T365" s="189"/>
      <c r="U365" s="189"/>
      <c r="V365" s="189"/>
      <c r="W365" s="189"/>
    </row>
    <row r="366">
      <c r="A366" s="188">
        <v>11.0</v>
      </c>
      <c r="B366" s="188">
        <v>20121.0</v>
      </c>
      <c r="C366" s="193" t="s">
        <v>1284</v>
      </c>
      <c r="D366" s="189"/>
      <c r="E366" s="189"/>
      <c r="F366" s="189"/>
      <c r="G366" s="189"/>
      <c r="H366" s="189"/>
      <c r="I366" s="189"/>
      <c r="J366" s="189"/>
      <c r="K366" s="189"/>
      <c r="L366" s="189"/>
      <c r="M366" s="189"/>
      <c r="N366" s="189"/>
      <c r="O366" s="189"/>
      <c r="P366" s="189"/>
      <c r="Q366" s="189"/>
      <c r="R366" s="189"/>
      <c r="S366" s="189"/>
      <c r="T366" s="189"/>
      <c r="U366" s="189"/>
      <c r="V366" s="189"/>
      <c r="W366" s="189"/>
    </row>
    <row r="367">
      <c r="A367" s="188">
        <v>11.0</v>
      </c>
      <c r="B367" s="188">
        <v>20135.0</v>
      </c>
      <c r="C367" s="193" t="s">
        <v>1285</v>
      </c>
      <c r="D367" s="189"/>
      <c r="E367" s="189"/>
      <c r="F367" s="189"/>
      <c r="G367" s="189"/>
      <c r="H367" s="189"/>
      <c r="I367" s="189"/>
      <c r="J367" s="189"/>
      <c r="K367" s="189"/>
      <c r="L367" s="189"/>
      <c r="M367" s="189"/>
      <c r="N367" s="189"/>
      <c r="O367" s="189"/>
      <c r="P367" s="189"/>
      <c r="Q367" s="189"/>
      <c r="R367" s="189"/>
      <c r="S367" s="189"/>
      <c r="T367" s="189"/>
      <c r="U367" s="189"/>
      <c r="V367" s="189"/>
      <c r="W367" s="189"/>
    </row>
    <row r="368">
      <c r="A368" s="188">
        <v>11.0</v>
      </c>
      <c r="B368" s="188">
        <v>20128.0</v>
      </c>
      <c r="C368" s="193" t="s">
        <v>1286</v>
      </c>
      <c r="D368" s="189"/>
      <c r="E368" s="189"/>
      <c r="F368" s="189"/>
      <c r="G368" s="189"/>
      <c r="H368" s="189"/>
      <c r="I368" s="189"/>
      <c r="J368" s="189"/>
      <c r="K368" s="189"/>
      <c r="L368" s="189"/>
      <c r="M368" s="189"/>
      <c r="N368" s="189"/>
      <c r="O368" s="189"/>
      <c r="P368" s="189"/>
      <c r="Q368" s="189"/>
      <c r="R368" s="189"/>
      <c r="S368" s="189"/>
      <c r="T368" s="189"/>
      <c r="U368" s="189"/>
      <c r="V368" s="189"/>
      <c r="W368" s="189"/>
    </row>
    <row r="369">
      <c r="A369" s="188">
        <v>11.0</v>
      </c>
      <c r="B369" s="188">
        <v>20032.0</v>
      </c>
      <c r="C369" s="193" t="s">
        <v>1287</v>
      </c>
      <c r="D369" s="189"/>
      <c r="E369" s="189"/>
      <c r="F369" s="189"/>
      <c r="G369" s="189"/>
      <c r="H369" s="189"/>
      <c r="I369" s="189"/>
      <c r="J369" s="189"/>
      <c r="K369" s="189"/>
      <c r="L369" s="189"/>
      <c r="M369" s="189"/>
      <c r="N369" s="189"/>
      <c r="O369" s="189"/>
      <c r="P369" s="189"/>
      <c r="Q369" s="189"/>
      <c r="R369" s="189"/>
      <c r="S369" s="189"/>
      <c r="T369" s="189"/>
      <c r="U369" s="189"/>
      <c r="V369" s="189"/>
      <c r="W369" s="189"/>
    </row>
    <row r="370">
      <c r="A370" s="188">
        <v>11.0</v>
      </c>
      <c r="B370" s="188">
        <v>20036.0</v>
      </c>
      <c r="C370" s="193" t="s">
        <v>1288</v>
      </c>
      <c r="D370" s="189"/>
      <c r="E370" s="189"/>
      <c r="F370" s="189"/>
      <c r="G370" s="189"/>
      <c r="H370" s="189"/>
      <c r="I370" s="189"/>
      <c r="J370" s="189"/>
      <c r="K370" s="189"/>
      <c r="L370" s="189"/>
      <c r="M370" s="189"/>
      <c r="N370" s="189"/>
      <c r="O370" s="189"/>
      <c r="P370" s="189"/>
      <c r="Q370" s="189"/>
      <c r="R370" s="189"/>
      <c r="S370" s="189"/>
      <c r="T370" s="189"/>
      <c r="U370" s="189"/>
      <c r="V370" s="189"/>
      <c r="W370" s="189"/>
    </row>
    <row r="371">
      <c r="A371" s="188">
        <v>11.0</v>
      </c>
      <c r="B371" s="188">
        <v>19058.0</v>
      </c>
      <c r="C371" s="193" t="s">
        <v>1289</v>
      </c>
      <c r="D371" s="189"/>
      <c r="E371" s="189"/>
      <c r="F371" s="189"/>
      <c r="G371" s="189"/>
      <c r="H371" s="189"/>
      <c r="I371" s="189"/>
      <c r="J371" s="189"/>
      <c r="K371" s="189"/>
      <c r="L371" s="189"/>
      <c r="M371" s="189"/>
      <c r="N371" s="189"/>
      <c r="O371" s="189"/>
      <c r="P371" s="189"/>
      <c r="Q371" s="189"/>
      <c r="R371" s="189"/>
      <c r="S371" s="189"/>
      <c r="T371" s="189"/>
      <c r="U371" s="189"/>
      <c r="V371" s="189"/>
      <c r="W371" s="189"/>
    </row>
    <row r="372">
      <c r="A372" s="188">
        <v>11.0</v>
      </c>
      <c r="B372" s="188">
        <v>20037.0</v>
      </c>
      <c r="C372" s="193" t="s">
        <v>1290</v>
      </c>
      <c r="D372" s="189"/>
      <c r="E372" s="189"/>
      <c r="F372" s="189"/>
      <c r="G372" s="189"/>
      <c r="H372" s="189"/>
      <c r="I372" s="189"/>
      <c r="J372" s="189"/>
      <c r="K372" s="189"/>
      <c r="L372" s="189"/>
      <c r="M372" s="189"/>
      <c r="N372" s="189"/>
      <c r="O372" s="189"/>
      <c r="P372" s="189"/>
      <c r="Q372" s="189"/>
      <c r="R372" s="189"/>
      <c r="S372" s="189"/>
      <c r="T372" s="189"/>
      <c r="U372" s="189"/>
      <c r="V372" s="189"/>
      <c r="W372" s="189"/>
    </row>
    <row r="373">
      <c r="A373" s="188">
        <v>11.0</v>
      </c>
      <c r="B373" s="188">
        <v>20038.0</v>
      </c>
      <c r="C373" s="193" t="s">
        <v>1291</v>
      </c>
      <c r="D373" s="189"/>
      <c r="E373" s="189"/>
      <c r="F373" s="189"/>
      <c r="G373" s="189"/>
      <c r="H373" s="189"/>
      <c r="I373" s="189"/>
      <c r="J373" s="189"/>
      <c r="K373" s="189"/>
      <c r="L373" s="189"/>
      <c r="M373" s="189"/>
      <c r="N373" s="189"/>
      <c r="O373" s="189"/>
      <c r="P373" s="189"/>
      <c r="Q373" s="189"/>
      <c r="R373" s="189"/>
      <c r="S373" s="189"/>
      <c r="T373" s="189"/>
      <c r="U373" s="189"/>
      <c r="V373" s="189"/>
      <c r="W373" s="189"/>
    </row>
    <row r="374">
      <c r="A374" s="188">
        <v>11.0</v>
      </c>
      <c r="B374" s="188">
        <v>20039.0</v>
      </c>
      <c r="C374" s="193" t="s">
        <v>1292</v>
      </c>
      <c r="D374" s="189"/>
      <c r="E374" s="189"/>
      <c r="F374" s="189"/>
      <c r="G374" s="189"/>
      <c r="H374" s="189"/>
      <c r="I374" s="189"/>
      <c r="J374" s="189"/>
      <c r="K374" s="189"/>
      <c r="L374" s="189"/>
      <c r="M374" s="189"/>
      <c r="N374" s="189"/>
      <c r="O374" s="189"/>
      <c r="P374" s="189"/>
      <c r="Q374" s="189"/>
      <c r="R374" s="189"/>
      <c r="S374" s="189"/>
      <c r="T374" s="189"/>
      <c r="U374" s="189"/>
      <c r="V374" s="189"/>
      <c r="W374" s="189"/>
    </row>
    <row r="375">
      <c r="A375" s="188">
        <v>11.0</v>
      </c>
      <c r="B375" s="188">
        <v>20040.0</v>
      </c>
      <c r="C375" s="193" t="s">
        <v>1293</v>
      </c>
      <c r="D375" s="189"/>
      <c r="E375" s="189"/>
      <c r="F375" s="189"/>
      <c r="G375" s="189"/>
      <c r="H375" s="189"/>
      <c r="I375" s="189"/>
      <c r="J375" s="189"/>
      <c r="K375" s="189"/>
      <c r="L375" s="189"/>
      <c r="M375" s="189"/>
      <c r="N375" s="189"/>
      <c r="O375" s="189"/>
      <c r="P375" s="189"/>
      <c r="Q375" s="189"/>
      <c r="R375" s="189"/>
      <c r="S375" s="189"/>
      <c r="T375" s="189"/>
      <c r="U375" s="189"/>
      <c r="V375" s="189"/>
      <c r="W375" s="189"/>
    </row>
    <row r="376">
      <c r="A376" s="188">
        <v>11.0</v>
      </c>
      <c r="B376" s="188">
        <v>20122.0</v>
      </c>
      <c r="C376" s="193" t="s">
        <v>1294</v>
      </c>
      <c r="D376" s="189"/>
      <c r="E376" s="189"/>
      <c r="F376" s="189"/>
      <c r="G376" s="189"/>
      <c r="H376" s="189"/>
      <c r="I376" s="189"/>
      <c r="J376" s="189"/>
      <c r="K376" s="189"/>
      <c r="L376" s="189"/>
      <c r="M376" s="189"/>
      <c r="N376" s="189"/>
      <c r="O376" s="189"/>
      <c r="P376" s="189"/>
      <c r="Q376" s="189"/>
      <c r="R376" s="189"/>
      <c r="S376" s="189"/>
      <c r="T376" s="189"/>
      <c r="U376" s="189"/>
      <c r="V376" s="189"/>
      <c r="W376" s="189"/>
    </row>
    <row r="377">
      <c r="A377" s="188">
        <v>11.0</v>
      </c>
      <c r="B377" s="188">
        <v>20130.0</v>
      </c>
      <c r="C377" s="193" t="s">
        <v>1295</v>
      </c>
      <c r="D377" s="189"/>
      <c r="E377" s="189"/>
      <c r="F377" s="189"/>
      <c r="G377" s="189"/>
      <c r="H377" s="189"/>
      <c r="I377" s="189"/>
      <c r="J377" s="189"/>
      <c r="K377" s="189"/>
      <c r="L377" s="189"/>
      <c r="M377" s="189"/>
      <c r="N377" s="189"/>
      <c r="O377" s="189"/>
      <c r="P377" s="189"/>
      <c r="Q377" s="189"/>
      <c r="R377" s="189"/>
      <c r="S377" s="189"/>
      <c r="T377" s="189"/>
      <c r="U377" s="189"/>
      <c r="V377" s="189"/>
      <c r="W377" s="189"/>
    </row>
    <row r="378">
      <c r="A378" s="188">
        <v>11.0</v>
      </c>
      <c r="B378" s="188">
        <v>20041.0</v>
      </c>
      <c r="C378" s="193" t="s">
        <v>1296</v>
      </c>
      <c r="D378" s="189"/>
      <c r="E378" s="189"/>
      <c r="F378" s="189"/>
      <c r="G378" s="189"/>
      <c r="H378" s="189"/>
      <c r="I378" s="189"/>
      <c r="J378" s="189"/>
      <c r="K378" s="189"/>
      <c r="L378" s="189"/>
      <c r="M378" s="189"/>
      <c r="N378" s="189"/>
      <c r="O378" s="189"/>
      <c r="P378" s="189"/>
      <c r="Q378" s="189"/>
      <c r="R378" s="189"/>
      <c r="S378" s="189"/>
      <c r="T378" s="189"/>
      <c r="U378" s="189"/>
      <c r="V378" s="189"/>
      <c r="W378" s="189"/>
    </row>
    <row r="379">
      <c r="A379" s="188">
        <v>11.0</v>
      </c>
      <c r="B379" s="188">
        <v>20042.0</v>
      </c>
      <c r="C379" s="193" t="s">
        <v>1297</v>
      </c>
      <c r="D379" s="189"/>
      <c r="E379" s="189"/>
      <c r="F379" s="189"/>
      <c r="G379" s="189"/>
      <c r="H379" s="189"/>
      <c r="I379" s="189"/>
      <c r="J379" s="189"/>
      <c r="K379" s="189"/>
      <c r="L379" s="189"/>
      <c r="M379" s="189"/>
      <c r="N379" s="189"/>
      <c r="O379" s="189"/>
      <c r="P379" s="189"/>
      <c r="Q379" s="189"/>
      <c r="R379" s="189"/>
      <c r="S379" s="189"/>
      <c r="T379" s="189"/>
      <c r="U379" s="189"/>
      <c r="V379" s="189"/>
      <c r="W379" s="189"/>
    </row>
    <row r="380">
      <c r="A380" s="188">
        <v>11.0</v>
      </c>
      <c r="B380" s="188">
        <v>20043.0</v>
      </c>
      <c r="C380" s="193" t="s">
        <v>1298</v>
      </c>
      <c r="D380" s="189"/>
      <c r="E380" s="189"/>
      <c r="F380" s="189"/>
      <c r="G380" s="189"/>
      <c r="H380" s="189"/>
      <c r="I380" s="189"/>
      <c r="J380" s="189"/>
      <c r="K380" s="189"/>
      <c r="L380" s="189"/>
      <c r="M380" s="189"/>
      <c r="N380" s="189"/>
      <c r="O380" s="189"/>
      <c r="P380" s="189"/>
      <c r="Q380" s="189"/>
      <c r="R380" s="189"/>
      <c r="S380" s="189"/>
      <c r="T380" s="189"/>
      <c r="U380" s="189"/>
      <c r="V380" s="189"/>
      <c r="W380" s="189"/>
    </row>
    <row r="381">
      <c r="A381" s="188">
        <v>11.0</v>
      </c>
      <c r="B381" s="188">
        <v>20044.0</v>
      </c>
      <c r="C381" s="193" t="s">
        <v>1299</v>
      </c>
      <c r="D381" s="189"/>
      <c r="E381" s="189"/>
      <c r="F381" s="189"/>
      <c r="G381" s="189"/>
      <c r="H381" s="189"/>
      <c r="I381" s="189"/>
      <c r="J381" s="189"/>
      <c r="K381" s="189"/>
      <c r="L381" s="189"/>
      <c r="M381" s="189"/>
      <c r="N381" s="189"/>
      <c r="O381" s="189"/>
      <c r="P381" s="189"/>
      <c r="Q381" s="189"/>
      <c r="R381" s="189"/>
      <c r="S381" s="189"/>
      <c r="T381" s="189"/>
      <c r="U381" s="189"/>
      <c r="V381" s="189"/>
      <c r="W381" s="189"/>
    </row>
    <row r="382">
      <c r="A382" s="188">
        <v>11.0</v>
      </c>
      <c r="B382" s="188">
        <v>20045.0</v>
      </c>
      <c r="C382" s="193" t="s">
        <v>1300</v>
      </c>
      <c r="D382" s="189"/>
      <c r="E382" s="189"/>
      <c r="F382" s="189"/>
      <c r="G382" s="189"/>
      <c r="H382" s="189"/>
      <c r="I382" s="189"/>
      <c r="J382" s="189"/>
      <c r="K382" s="189"/>
      <c r="L382" s="189"/>
      <c r="M382" s="189"/>
      <c r="N382" s="189"/>
      <c r="O382" s="189"/>
      <c r="P382" s="189"/>
      <c r="Q382" s="189"/>
      <c r="R382" s="189"/>
      <c r="S382" s="189"/>
      <c r="T382" s="189"/>
      <c r="U382" s="189"/>
      <c r="V382" s="189"/>
      <c r="W382" s="189"/>
    </row>
    <row r="383">
      <c r="A383" s="188">
        <v>11.0</v>
      </c>
      <c r="B383" s="188">
        <v>20046.0</v>
      </c>
      <c r="C383" s="193" t="s">
        <v>1301</v>
      </c>
      <c r="D383" s="189"/>
      <c r="E383" s="189"/>
      <c r="F383" s="189"/>
      <c r="G383" s="189"/>
      <c r="H383" s="189"/>
      <c r="I383" s="189"/>
      <c r="J383" s="189"/>
      <c r="K383" s="189"/>
      <c r="L383" s="189"/>
      <c r="M383" s="189"/>
      <c r="N383" s="189"/>
      <c r="O383" s="189"/>
      <c r="P383" s="189"/>
      <c r="Q383" s="189"/>
      <c r="R383" s="189"/>
      <c r="S383" s="189"/>
      <c r="T383" s="189"/>
      <c r="U383" s="189"/>
      <c r="V383" s="189"/>
      <c r="W383" s="189"/>
    </row>
    <row r="384">
      <c r="A384" s="188">
        <v>11.0</v>
      </c>
      <c r="B384" s="188">
        <v>20047.0</v>
      </c>
      <c r="C384" s="193" t="s">
        <v>1302</v>
      </c>
      <c r="D384" s="189"/>
      <c r="E384" s="189"/>
      <c r="F384" s="189"/>
      <c r="G384" s="189"/>
      <c r="H384" s="189"/>
      <c r="I384" s="189"/>
      <c r="J384" s="189"/>
      <c r="K384" s="189"/>
      <c r="L384" s="189"/>
      <c r="M384" s="189"/>
      <c r="N384" s="189"/>
      <c r="O384" s="189"/>
      <c r="P384" s="189"/>
      <c r="Q384" s="189"/>
      <c r="R384" s="189"/>
      <c r="S384" s="189"/>
      <c r="T384" s="189"/>
      <c r="U384" s="189"/>
      <c r="V384" s="189"/>
      <c r="W384" s="189"/>
    </row>
    <row r="385">
      <c r="A385" s="188">
        <v>11.0</v>
      </c>
      <c r="B385" s="188">
        <v>20048.0</v>
      </c>
      <c r="C385" s="193" t="s">
        <v>1303</v>
      </c>
      <c r="D385" s="189"/>
      <c r="E385" s="189"/>
      <c r="F385" s="189"/>
      <c r="G385" s="189"/>
      <c r="H385" s="189"/>
      <c r="I385" s="189"/>
      <c r="J385" s="189"/>
      <c r="K385" s="189"/>
      <c r="L385" s="189"/>
      <c r="M385" s="189"/>
      <c r="N385" s="189"/>
      <c r="O385" s="189"/>
      <c r="P385" s="189"/>
      <c r="Q385" s="189"/>
      <c r="R385" s="189"/>
      <c r="S385" s="189"/>
      <c r="T385" s="189"/>
      <c r="U385" s="189"/>
      <c r="V385" s="189"/>
      <c r="W385" s="189"/>
    </row>
    <row r="386">
      <c r="A386" s="188">
        <v>11.0</v>
      </c>
      <c r="B386" s="188">
        <v>20084.0</v>
      </c>
      <c r="C386" s="193" t="s">
        <v>1304</v>
      </c>
      <c r="D386" s="189"/>
      <c r="E386" s="189"/>
      <c r="F386" s="189"/>
      <c r="G386" s="189"/>
      <c r="H386" s="189"/>
      <c r="I386" s="189"/>
      <c r="J386" s="189"/>
      <c r="K386" s="189"/>
      <c r="L386" s="189"/>
      <c r="M386" s="189"/>
      <c r="N386" s="189"/>
      <c r="O386" s="189"/>
      <c r="P386" s="189"/>
      <c r="Q386" s="189"/>
      <c r="R386" s="189"/>
      <c r="S386" s="189"/>
      <c r="T386" s="189"/>
      <c r="U386" s="189"/>
      <c r="V386" s="189"/>
      <c r="W386" s="189"/>
    </row>
    <row r="387">
      <c r="A387" s="188">
        <v>11.0</v>
      </c>
      <c r="B387" s="188">
        <v>20051.0</v>
      </c>
      <c r="C387" s="193" t="s">
        <v>1305</v>
      </c>
      <c r="D387" s="189"/>
      <c r="E387" s="189"/>
      <c r="F387" s="189"/>
      <c r="G387" s="189"/>
      <c r="H387" s="189"/>
      <c r="I387" s="189"/>
      <c r="J387" s="189"/>
      <c r="K387" s="189"/>
      <c r="L387" s="189"/>
      <c r="M387" s="189"/>
      <c r="N387" s="189"/>
      <c r="O387" s="189"/>
      <c r="P387" s="189"/>
      <c r="Q387" s="189"/>
      <c r="R387" s="189"/>
      <c r="S387" s="189"/>
      <c r="T387" s="189"/>
      <c r="U387" s="189"/>
      <c r="V387" s="189"/>
      <c r="W387" s="189"/>
    </row>
    <row r="388">
      <c r="A388" s="188">
        <v>11.0</v>
      </c>
      <c r="B388" s="188">
        <v>20052.0</v>
      </c>
      <c r="C388" s="193" t="s">
        <v>1306</v>
      </c>
      <c r="D388" s="189"/>
      <c r="E388" s="189"/>
      <c r="F388" s="189"/>
      <c r="G388" s="189"/>
      <c r="H388" s="189"/>
      <c r="I388" s="189"/>
      <c r="J388" s="189"/>
      <c r="K388" s="189"/>
      <c r="L388" s="189"/>
      <c r="M388" s="189"/>
      <c r="N388" s="189"/>
      <c r="O388" s="189"/>
      <c r="P388" s="189"/>
      <c r="Q388" s="189"/>
      <c r="R388" s="189"/>
      <c r="S388" s="189"/>
      <c r="T388" s="189"/>
      <c r="U388" s="189"/>
      <c r="V388" s="189"/>
      <c r="W388" s="189"/>
    </row>
    <row r="389">
      <c r="A389" s="188">
        <v>11.0</v>
      </c>
      <c r="B389" s="188">
        <v>20053.0</v>
      </c>
      <c r="C389" s="193" t="s">
        <v>1307</v>
      </c>
      <c r="D389" s="189"/>
      <c r="E389" s="189"/>
      <c r="F389" s="189"/>
      <c r="G389" s="189"/>
      <c r="H389" s="189"/>
      <c r="I389" s="189"/>
      <c r="J389" s="189"/>
      <c r="K389" s="189"/>
      <c r="L389" s="189"/>
      <c r="M389" s="189"/>
      <c r="N389" s="189"/>
      <c r="O389" s="189"/>
      <c r="P389" s="189"/>
      <c r="Q389" s="189"/>
      <c r="R389" s="189"/>
      <c r="S389" s="189"/>
      <c r="T389" s="189"/>
      <c r="U389" s="189"/>
      <c r="V389" s="189"/>
      <c r="W389" s="189"/>
    </row>
    <row r="390">
      <c r="A390" s="188">
        <v>11.0</v>
      </c>
      <c r="B390" s="188">
        <v>20146.0</v>
      </c>
      <c r="C390" s="193" t="s">
        <v>1308</v>
      </c>
      <c r="D390" s="189"/>
      <c r="E390" s="189"/>
      <c r="F390" s="189"/>
      <c r="G390" s="189"/>
      <c r="H390" s="189"/>
      <c r="I390" s="189"/>
      <c r="J390" s="189"/>
      <c r="K390" s="189"/>
      <c r="L390" s="189"/>
      <c r="M390" s="189"/>
      <c r="N390" s="189"/>
      <c r="O390" s="189"/>
      <c r="P390" s="189"/>
      <c r="Q390" s="189"/>
      <c r="R390" s="189"/>
      <c r="S390" s="189"/>
      <c r="T390" s="189"/>
      <c r="U390" s="189"/>
      <c r="V390" s="189"/>
      <c r="W390" s="189"/>
    </row>
    <row r="391">
      <c r="A391" s="188">
        <v>11.0</v>
      </c>
      <c r="B391" s="188">
        <v>20055.0</v>
      </c>
      <c r="C391" s="193" t="s">
        <v>1309</v>
      </c>
      <c r="D391" s="189"/>
      <c r="E391" s="189"/>
      <c r="F391" s="189"/>
      <c r="G391" s="189"/>
      <c r="H391" s="189"/>
      <c r="I391" s="189"/>
      <c r="J391" s="189"/>
      <c r="K391" s="189"/>
      <c r="L391" s="189"/>
      <c r="M391" s="189"/>
      <c r="N391" s="189"/>
      <c r="O391" s="189"/>
      <c r="P391" s="189"/>
      <c r="Q391" s="189"/>
      <c r="R391" s="189"/>
      <c r="S391" s="189"/>
      <c r="T391" s="189"/>
      <c r="U391" s="189"/>
      <c r="V391" s="189"/>
      <c r="W391" s="189"/>
    </row>
    <row r="392">
      <c r="A392" s="188">
        <v>11.0</v>
      </c>
      <c r="B392" s="188">
        <v>20057.0</v>
      </c>
      <c r="C392" s="193" t="s">
        <v>1310</v>
      </c>
      <c r="D392" s="189"/>
      <c r="E392" s="189"/>
      <c r="F392" s="189"/>
      <c r="G392" s="189"/>
      <c r="H392" s="189"/>
      <c r="I392" s="189"/>
      <c r="J392" s="189"/>
      <c r="K392" s="189"/>
      <c r="L392" s="189"/>
      <c r="M392" s="189"/>
      <c r="N392" s="189"/>
      <c r="O392" s="189"/>
      <c r="P392" s="189"/>
      <c r="Q392" s="189"/>
      <c r="R392" s="189"/>
      <c r="S392" s="189"/>
      <c r="T392" s="189"/>
      <c r="U392" s="189"/>
      <c r="V392" s="189"/>
      <c r="W392" s="189"/>
    </row>
    <row r="393">
      <c r="A393" s="188">
        <v>11.0</v>
      </c>
      <c r="B393" s="188">
        <v>20058.0</v>
      </c>
      <c r="C393" s="193" t="s">
        <v>1311</v>
      </c>
      <c r="D393" s="189"/>
      <c r="E393" s="189"/>
      <c r="F393" s="189"/>
      <c r="G393" s="189"/>
      <c r="H393" s="189"/>
      <c r="I393" s="189"/>
      <c r="J393" s="189"/>
      <c r="K393" s="189"/>
      <c r="L393" s="189"/>
      <c r="M393" s="189"/>
      <c r="N393" s="189"/>
      <c r="O393" s="189"/>
      <c r="P393" s="189"/>
      <c r="Q393" s="189"/>
      <c r="R393" s="189"/>
      <c r="S393" s="189"/>
      <c r="T393" s="189"/>
      <c r="U393" s="189"/>
      <c r="V393" s="189"/>
      <c r="W393" s="189"/>
    </row>
    <row r="394">
      <c r="A394" s="188">
        <v>11.0</v>
      </c>
      <c r="B394" s="188">
        <v>20142.0</v>
      </c>
      <c r="C394" s="193" t="s">
        <v>1312</v>
      </c>
      <c r="D394" s="189"/>
      <c r="E394" s="189"/>
      <c r="F394" s="189"/>
      <c r="G394" s="189"/>
      <c r="H394" s="189"/>
      <c r="I394" s="189"/>
      <c r="J394" s="189"/>
      <c r="K394" s="189"/>
      <c r="L394" s="189"/>
      <c r="M394" s="189"/>
      <c r="N394" s="189"/>
      <c r="O394" s="189"/>
      <c r="P394" s="189"/>
      <c r="Q394" s="189"/>
      <c r="R394" s="189"/>
      <c r="S394" s="189"/>
      <c r="T394" s="189"/>
      <c r="U394" s="189"/>
      <c r="V394" s="189"/>
      <c r="W394" s="189"/>
    </row>
    <row r="395">
      <c r="A395" s="188">
        <v>11.0</v>
      </c>
      <c r="B395" s="188">
        <v>20059.0</v>
      </c>
      <c r="C395" s="193" t="s">
        <v>1313</v>
      </c>
      <c r="D395" s="189"/>
      <c r="E395" s="189"/>
      <c r="F395" s="189"/>
      <c r="G395" s="189"/>
      <c r="H395" s="189"/>
      <c r="I395" s="189"/>
      <c r="J395" s="189"/>
      <c r="K395" s="189"/>
      <c r="L395" s="189"/>
      <c r="M395" s="189"/>
      <c r="N395" s="189"/>
      <c r="O395" s="189"/>
      <c r="P395" s="189"/>
      <c r="Q395" s="189"/>
      <c r="R395" s="189"/>
      <c r="S395" s="189"/>
      <c r="T395" s="189"/>
      <c r="U395" s="189"/>
      <c r="V395" s="189"/>
      <c r="W395" s="189"/>
    </row>
    <row r="396">
      <c r="A396" s="188">
        <v>11.0</v>
      </c>
      <c r="B396" s="188">
        <v>20141.0</v>
      </c>
      <c r="C396" s="193" t="s">
        <v>1314</v>
      </c>
      <c r="D396" s="189"/>
      <c r="E396" s="189"/>
      <c r="F396" s="189"/>
      <c r="G396" s="189"/>
      <c r="H396" s="189"/>
      <c r="I396" s="189"/>
      <c r="J396" s="189"/>
      <c r="K396" s="189"/>
      <c r="L396" s="189"/>
      <c r="M396" s="189"/>
      <c r="N396" s="189"/>
      <c r="O396" s="189"/>
      <c r="P396" s="189"/>
      <c r="Q396" s="189"/>
      <c r="R396" s="189"/>
      <c r="S396" s="189"/>
      <c r="T396" s="189"/>
      <c r="U396" s="189"/>
      <c r="V396" s="189"/>
      <c r="W396" s="189"/>
    </row>
    <row r="397">
      <c r="A397" s="188">
        <v>11.0</v>
      </c>
      <c r="B397" s="188">
        <v>20062.0</v>
      </c>
      <c r="C397" s="193" t="s">
        <v>1315</v>
      </c>
      <c r="D397" s="189"/>
      <c r="E397" s="189"/>
      <c r="F397" s="189"/>
      <c r="G397" s="189"/>
      <c r="H397" s="189"/>
      <c r="I397" s="189"/>
      <c r="J397" s="189"/>
      <c r="K397" s="189"/>
      <c r="L397" s="189"/>
      <c r="M397" s="189"/>
      <c r="N397" s="189"/>
      <c r="O397" s="189"/>
      <c r="P397" s="189"/>
      <c r="Q397" s="189"/>
      <c r="R397" s="189"/>
      <c r="S397" s="189"/>
      <c r="T397" s="189"/>
      <c r="U397" s="189"/>
      <c r="V397" s="189"/>
      <c r="W397" s="189"/>
    </row>
    <row r="398">
      <c r="A398" s="188">
        <v>11.0</v>
      </c>
      <c r="B398" s="188">
        <v>20125.0</v>
      </c>
      <c r="C398" s="193" t="s">
        <v>1316</v>
      </c>
      <c r="D398" s="189"/>
      <c r="E398" s="189"/>
      <c r="F398" s="189"/>
      <c r="G398" s="189"/>
      <c r="H398" s="189"/>
      <c r="I398" s="189"/>
      <c r="J398" s="189"/>
      <c r="K398" s="189"/>
      <c r="L398" s="189"/>
      <c r="M398" s="189"/>
      <c r="N398" s="189"/>
      <c r="O398" s="189"/>
      <c r="P398" s="189"/>
      <c r="Q398" s="189"/>
      <c r="R398" s="189"/>
      <c r="S398" s="189"/>
      <c r="T398" s="189"/>
      <c r="U398" s="189"/>
      <c r="V398" s="189"/>
      <c r="W398" s="189"/>
    </row>
    <row r="399">
      <c r="A399" s="188">
        <v>11.0</v>
      </c>
      <c r="B399" s="188">
        <v>20064.0</v>
      </c>
      <c r="C399" s="193" t="s">
        <v>1317</v>
      </c>
      <c r="D399" s="189"/>
      <c r="E399" s="189"/>
      <c r="F399" s="189"/>
      <c r="G399" s="189"/>
      <c r="H399" s="189"/>
      <c r="I399" s="189"/>
      <c r="J399" s="189"/>
      <c r="K399" s="189"/>
      <c r="L399" s="189"/>
      <c r="M399" s="189"/>
      <c r="N399" s="189"/>
      <c r="O399" s="189"/>
      <c r="P399" s="189"/>
      <c r="Q399" s="189"/>
      <c r="R399" s="189"/>
      <c r="S399" s="189"/>
      <c r="T399" s="189"/>
      <c r="U399" s="189"/>
      <c r="V399" s="189"/>
      <c r="W399" s="189"/>
    </row>
    <row r="400">
      <c r="A400" s="188">
        <v>11.0</v>
      </c>
      <c r="B400" s="188">
        <v>20063.0</v>
      </c>
      <c r="C400" s="193" t="s">
        <v>1318</v>
      </c>
      <c r="D400" s="189"/>
      <c r="E400" s="189"/>
      <c r="F400" s="189"/>
      <c r="G400" s="189"/>
      <c r="H400" s="189"/>
      <c r="I400" s="189"/>
      <c r="J400" s="189"/>
      <c r="K400" s="189"/>
      <c r="L400" s="189"/>
      <c r="M400" s="189"/>
      <c r="N400" s="189"/>
      <c r="O400" s="189"/>
      <c r="P400" s="189"/>
      <c r="Q400" s="189"/>
      <c r="R400" s="189"/>
      <c r="S400" s="189"/>
      <c r="T400" s="189"/>
      <c r="U400" s="189"/>
      <c r="V400" s="189"/>
      <c r="W400" s="189"/>
    </row>
    <row r="401">
      <c r="A401" s="188">
        <v>11.0</v>
      </c>
      <c r="B401" s="188">
        <v>20065.0</v>
      </c>
      <c r="C401" s="193" t="s">
        <v>1319</v>
      </c>
      <c r="D401" s="189"/>
      <c r="E401" s="189"/>
      <c r="F401" s="189"/>
      <c r="G401" s="189"/>
      <c r="H401" s="189"/>
      <c r="I401" s="189"/>
      <c r="J401" s="189"/>
      <c r="K401" s="189"/>
      <c r="L401" s="189"/>
      <c r="M401" s="189"/>
      <c r="N401" s="189"/>
      <c r="O401" s="189"/>
      <c r="P401" s="189"/>
      <c r="Q401" s="189"/>
      <c r="R401" s="189"/>
      <c r="S401" s="189"/>
      <c r="T401" s="189"/>
      <c r="U401" s="189"/>
      <c r="V401" s="189"/>
      <c r="W401" s="189"/>
    </row>
    <row r="402">
      <c r="A402" s="188">
        <v>11.0</v>
      </c>
      <c r="B402" s="188">
        <v>20127.0</v>
      </c>
      <c r="C402" s="193" t="s">
        <v>1320</v>
      </c>
      <c r="D402" s="189"/>
      <c r="E402" s="189"/>
      <c r="F402" s="189"/>
      <c r="G402" s="189"/>
      <c r="H402" s="189"/>
      <c r="I402" s="189"/>
      <c r="J402" s="189"/>
      <c r="K402" s="189"/>
      <c r="L402" s="189"/>
      <c r="M402" s="189"/>
      <c r="N402" s="189"/>
      <c r="O402" s="189"/>
      <c r="P402" s="189"/>
      <c r="Q402" s="189"/>
      <c r="R402" s="189"/>
      <c r="S402" s="189"/>
      <c r="T402" s="189"/>
      <c r="U402" s="189"/>
      <c r="V402" s="189"/>
      <c r="W402" s="189"/>
    </row>
    <row r="403">
      <c r="A403" s="188">
        <v>11.0</v>
      </c>
      <c r="B403" s="188">
        <v>20066.0</v>
      </c>
      <c r="C403" s="193" t="s">
        <v>1321</v>
      </c>
      <c r="D403" s="189"/>
      <c r="E403" s="189"/>
      <c r="F403" s="189"/>
      <c r="G403" s="189"/>
      <c r="H403" s="189"/>
      <c r="I403" s="189"/>
      <c r="J403" s="189"/>
      <c r="K403" s="189"/>
      <c r="L403" s="189"/>
      <c r="M403" s="189"/>
      <c r="N403" s="189"/>
      <c r="O403" s="189"/>
      <c r="P403" s="189"/>
      <c r="Q403" s="189"/>
      <c r="R403" s="189"/>
      <c r="S403" s="189"/>
      <c r="T403" s="189"/>
      <c r="U403" s="189"/>
      <c r="V403" s="189"/>
      <c r="W403" s="189"/>
    </row>
    <row r="404">
      <c r="A404" s="188">
        <v>11.0</v>
      </c>
      <c r="B404" s="188">
        <v>20068.0</v>
      </c>
      <c r="C404" s="193" t="s">
        <v>1322</v>
      </c>
      <c r="D404" s="189"/>
      <c r="E404" s="189"/>
      <c r="F404" s="189"/>
      <c r="G404" s="189"/>
      <c r="H404" s="189"/>
      <c r="I404" s="189"/>
      <c r="J404" s="189"/>
      <c r="K404" s="189"/>
      <c r="L404" s="189"/>
      <c r="M404" s="189"/>
      <c r="N404" s="189"/>
      <c r="O404" s="189"/>
      <c r="P404" s="189"/>
      <c r="Q404" s="189"/>
      <c r="R404" s="189"/>
      <c r="S404" s="189"/>
      <c r="T404" s="189"/>
      <c r="U404" s="189"/>
      <c r="V404" s="189"/>
      <c r="W404" s="189"/>
    </row>
    <row r="405">
      <c r="A405" s="188">
        <v>11.0</v>
      </c>
      <c r="B405" s="188">
        <v>20123.0</v>
      </c>
      <c r="C405" s="193" t="s">
        <v>1323</v>
      </c>
      <c r="D405" s="189"/>
      <c r="E405" s="189"/>
      <c r="F405" s="189"/>
      <c r="G405" s="189"/>
      <c r="H405" s="189"/>
      <c r="I405" s="189"/>
      <c r="J405" s="189"/>
      <c r="K405" s="189"/>
      <c r="L405" s="189"/>
      <c r="M405" s="189"/>
      <c r="N405" s="189"/>
      <c r="O405" s="189"/>
      <c r="P405" s="189"/>
      <c r="Q405" s="189"/>
      <c r="R405" s="189"/>
      <c r="S405" s="189"/>
      <c r="T405" s="189"/>
      <c r="U405" s="189"/>
      <c r="V405" s="189"/>
      <c r="W405" s="189"/>
    </row>
    <row r="406">
      <c r="A406" s="188">
        <v>11.0</v>
      </c>
      <c r="B406" s="188">
        <v>20069.0</v>
      </c>
      <c r="C406" s="193" t="s">
        <v>1324</v>
      </c>
      <c r="D406" s="189"/>
      <c r="E406" s="189"/>
      <c r="F406" s="189"/>
      <c r="G406" s="189"/>
      <c r="H406" s="189"/>
      <c r="I406" s="189"/>
      <c r="J406" s="189"/>
      <c r="K406" s="189"/>
      <c r="L406" s="189"/>
      <c r="M406" s="189"/>
      <c r="N406" s="189"/>
      <c r="O406" s="189"/>
      <c r="P406" s="189"/>
      <c r="Q406" s="189"/>
      <c r="R406" s="189"/>
      <c r="S406" s="189"/>
      <c r="T406" s="189"/>
      <c r="U406" s="189"/>
      <c r="V406" s="189"/>
      <c r="W406" s="189"/>
    </row>
    <row r="407">
      <c r="A407" s="188">
        <v>11.0</v>
      </c>
      <c r="B407" s="188">
        <v>20070.0</v>
      </c>
      <c r="C407" s="193" t="s">
        <v>1325</v>
      </c>
      <c r="D407" s="189"/>
      <c r="E407" s="189"/>
      <c r="F407" s="189"/>
      <c r="G407" s="189"/>
      <c r="H407" s="189"/>
      <c r="I407" s="189"/>
      <c r="J407" s="189"/>
      <c r="K407" s="189"/>
      <c r="L407" s="189"/>
      <c r="M407" s="189"/>
      <c r="N407" s="189"/>
      <c r="O407" s="189"/>
      <c r="P407" s="189"/>
      <c r="Q407" s="189"/>
      <c r="R407" s="189"/>
      <c r="S407" s="189"/>
      <c r="T407" s="189"/>
      <c r="U407" s="189"/>
      <c r="V407" s="189"/>
      <c r="W407" s="189"/>
    </row>
    <row r="408">
      <c r="A408" s="188">
        <v>11.0</v>
      </c>
      <c r="B408" s="188">
        <v>20071.0</v>
      </c>
      <c r="C408" s="193" t="s">
        <v>1326</v>
      </c>
      <c r="D408" s="189"/>
      <c r="E408" s="189"/>
      <c r="F408" s="189"/>
      <c r="G408" s="189"/>
      <c r="H408" s="189"/>
      <c r="I408" s="189"/>
      <c r="J408" s="189"/>
      <c r="K408" s="189"/>
      <c r="L408" s="189"/>
      <c r="M408" s="189"/>
      <c r="N408" s="189"/>
      <c r="O408" s="189"/>
      <c r="P408" s="189"/>
      <c r="Q408" s="189"/>
      <c r="R408" s="189"/>
      <c r="S408" s="189"/>
      <c r="T408" s="189"/>
      <c r="U408" s="189"/>
      <c r="V408" s="189"/>
      <c r="W408" s="189"/>
    </row>
    <row r="409">
      <c r="A409" s="188">
        <v>11.0</v>
      </c>
      <c r="B409" s="188">
        <v>20072.0</v>
      </c>
      <c r="C409" s="193" t="s">
        <v>1327</v>
      </c>
      <c r="D409" s="189"/>
      <c r="E409" s="189"/>
      <c r="F409" s="189"/>
      <c r="G409" s="189"/>
      <c r="H409" s="189"/>
      <c r="I409" s="189"/>
      <c r="J409" s="189"/>
      <c r="K409" s="189"/>
      <c r="L409" s="189"/>
      <c r="M409" s="189"/>
      <c r="N409" s="189"/>
      <c r="O409" s="189"/>
      <c r="P409" s="189"/>
      <c r="Q409" s="189"/>
      <c r="R409" s="189"/>
      <c r="S409" s="189"/>
      <c r="T409" s="189"/>
      <c r="U409" s="189"/>
      <c r="V409" s="189"/>
      <c r="W409" s="189"/>
    </row>
    <row r="410">
      <c r="A410" s="188">
        <v>11.0</v>
      </c>
      <c r="B410" s="188">
        <v>20073.0</v>
      </c>
      <c r="C410" s="193" t="s">
        <v>1328</v>
      </c>
      <c r="D410" s="189"/>
      <c r="E410" s="189"/>
      <c r="F410" s="189"/>
      <c r="G410" s="189"/>
      <c r="H410" s="189"/>
      <c r="I410" s="189"/>
      <c r="J410" s="189"/>
      <c r="K410" s="189"/>
      <c r="L410" s="189"/>
      <c r="M410" s="189"/>
      <c r="N410" s="189"/>
      <c r="O410" s="189"/>
      <c r="P410" s="189"/>
      <c r="Q410" s="189"/>
      <c r="R410" s="189"/>
      <c r="S410" s="189"/>
      <c r="T410" s="189"/>
      <c r="U410" s="189"/>
      <c r="V410" s="189"/>
      <c r="W410" s="189"/>
    </row>
    <row r="411">
      <c r="A411" s="188">
        <v>11.0</v>
      </c>
      <c r="B411" s="188">
        <v>20074.0</v>
      </c>
      <c r="C411" s="193" t="s">
        <v>1329</v>
      </c>
      <c r="D411" s="189"/>
      <c r="E411" s="189"/>
      <c r="F411" s="189"/>
      <c r="G411" s="189"/>
      <c r="H411" s="189"/>
      <c r="I411" s="189"/>
      <c r="J411" s="189"/>
      <c r="K411" s="189"/>
      <c r="L411" s="189"/>
      <c r="M411" s="189"/>
      <c r="N411" s="189"/>
      <c r="O411" s="189"/>
      <c r="P411" s="189"/>
      <c r="Q411" s="189"/>
      <c r="R411" s="189"/>
      <c r="S411" s="189"/>
      <c r="T411" s="189"/>
      <c r="U411" s="189"/>
      <c r="V411" s="189"/>
      <c r="W411" s="189"/>
    </row>
    <row r="412">
      <c r="A412" s="188">
        <v>11.0</v>
      </c>
      <c r="B412" s="188">
        <v>20075.0</v>
      </c>
      <c r="C412" s="193" t="s">
        <v>1330</v>
      </c>
      <c r="D412" s="189"/>
      <c r="E412" s="189"/>
      <c r="F412" s="189"/>
      <c r="G412" s="189"/>
      <c r="H412" s="189"/>
      <c r="I412" s="189"/>
      <c r="J412" s="189"/>
      <c r="K412" s="189"/>
      <c r="L412" s="189"/>
      <c r="M412" s="189"/>
      <c r="N412" s="189"/>
      <c r="O412" s="189"/>
      <c r="P412" s="189"/>
      <c r="Q412" s="189"/>
      <c r="R412" s="189"/>
      <c r="S412" s="189"/>
      <c r="T412" s="189"/>
      <c r="U412" s="189"/>
      <c r="V412" s="189"/>
      <c r="W412" s="189"/>
    </row>
    <row r="413">
      <c r="A413" s="188">
        <v>11.0</v>
      </c>
      <c r="B413" s="188">
        <v>20147.0</v>
      </c>
      <c r="C413" s="193" t="s">
        <v>1331</v>
      </c>
      <c r="D413" s="189"/>
      <c r="E413" s="189"/>
      <c r="F413" s="189"/>
      <c r="G413" s="189"/>
      <c r="H413" s="189"/>
      <c r="I413" s="189"/>
      <c r="J413" s="189"/>
      <c r="K413" s="189"/>
      <c r="L413" s="189"/>
      <c r="M413" s="189"/>
      <c r="N413" s="189"/>
      <c r="O413" s="189"/>
      <c r="P413" s="189"/>
      <c r="Q413" s="189"/>
      <c r="R413" s="189"/>
      <c r="S413" s="189"/>
      <c r="T413" s="189"/>
      <c r="U413" s="189"/>
      <c r="V413" s="189"/>
      <c r="W413" s="189"/>
    </row>
    <row r="414">
      <c r="A414" s="188">
        <v>11.0</v>
      </c>
      <c r="B414" s="188">
        <v>20143.0</v>
      </c>
      <c r="C414" s="193" t="s">
        <v>1332</v>
      </c>
      <c r="D414" s="189"/>
      <c r="E414" s="189"/>
      <c r="F414" s="189"/>
      <c r="G414" s="189"/>
      <c r="H414" s="189"/>
      <c r="I414" s="189"/>
      <c r="J414" s="189"/>
      <c r="K414" s="189"/>
      <c r="L414" s="189"/>
      <c r="M414" s="189"/>
      <c r="N414" s="189"/>
      <c r="O414" s="189"/>
      <c r="P414" s="189"/>
      <c r="Q414" s="189"/>
      <c r="R414" s="189"/>
      <c r="S414" s="189"/>
      <c r="T414" s="189"/>
      <c r="U414" s="189"/>
      <c r="V414" s="189"/>
      <c r="W414" s="189"/>
    </row>
    <row r="415">
      <c r="A415" s="188">
        <v>11.0</v>
      </c>
      <c r="B415" s="188">
        <v>20076.0</v>
      </c>
      <c r="C415" s="193" t="s">
        <v>1333</v>
      </c>
      <c r="D415" s="189"/>
      <c r="E415" s="189"/>
      <c r="F415" s="189"/>
      <c r="G415" s="189"/>
      <c r="H415" s="189"/>
      <c r="I415" s="189"/>
      <c r="J415" s="189"/>
      <c r="K415" s="189"/>
      <c r="L415" s="189"/>
      <c r="M415" s="189"/>
      <c r="N415" s="189"/>
      <c r="O415" s="189"/>
      <c r="P415" s="189"/>
      <c r="Q415" s="189"/>
      <c r="R415" s="189"/>
      <c r="S415" s="189"/>
      <c r="T415" s="189"/>
      <c r="U415" s="189"/>
      <c r="V415" s="189"/>
      <c r="W415" s="189"/>
    </row>
    <row r="416">
      <c r="A416" s="188">
        <v>11.0</v>
      </c>
      <c r="B416" s="188">
        <v>20077.0</v>
      </c>
      <c r="C416" s="193" t="s">
        <v>1334</v>
      </c>
      <c r="D416" s="189"/>
      <c r="E416" s="189"/>
      <c r="F416" s="189"/>
      <c r="G416" s="189"/>
      <c r="H416" s="189"/>
      <c r="I416" s="189"/>
      <c r="J416" s="189"/>
      <c r="K416" s="189"/>
      <c r="L416" s="189"/>
      <c r="M416" s="189"/>
      <c r="N416" s="189"/>
      <c r="O416" s="189"/>
      <c r="P416" s="189"/>
      <c r="Q416" s="189"/>
      <c r="R416" s="189"/>
      <c r="S416" s="189"/>
      <c r="T416" s="189"/>
      <c r="U416" s="189"/>
      <c r="V416" s="189"/>
      <c r="W416" s="189"/>
    </row>
    <row r="417">
      <c r="A417" s="188">
        <v>11.0</v>
      </c>
      <c r="B417" s="188">
        <v>20078.0</v>
      </c>
      <c r="C417" s="193" t="s">
        <v>1335</v>
      </c>
      <c r="D417" s="189"/>
      <c r="E417" s="189"/>
      <c r="F417" s="189"/>
      <c r="G417" s="189"/>
      <c r="H417" s="189"/>
      <c r="I417" s="189"/>
      <c r="J417" s="189"/>
      <c r="K417" s="189"/>
      <c r="L417" s="189"/>
      <c r="M417" s="189"/>
      <c r="N417" s="189"/>
      <c r="O417" s="189"/>
      <c r="P417" s="189"/>
      <c r="Q417" s="189"/>
      <c r="R417" s="189"/>
      <c r="S417" s="189"/>
      <c r="T417" s="189"/>
      <c r="U417" s="189"/>
      <c r="V417" s="189"/>
      <c r="W417" s="189"/>
    </row>
    <row r="418">
      <c r="A418" s="188">
        <v>11.0</v>
      </c>
      <c r="B418" s="188">
        <v>20079.0</v>
      </c>
      <c r="C418" s="193" t="s">
        <v>1336</v>
      </c>
      <c r="D418" s="189"/>
      <c r="E418" s="189"/>
      <c r="F418" s="189"/>
      <c r="G418" s="189"/>
      <c r="H418" s="189"/>
      <c r="I418" s="189"/>
      <c r="J418" s="189"/>
      <c r="K418" s="189"/>
      <c r="L418" s="189"/>
      <c r="M418" s="189"/>
      <c r="N418" s="189"/>
      <c r="O418" s="189"/>
      <c r="P418" s="189"/>
      <c r="Q418" s="189"/>
      <c r="R418" s="189"/>
      <c r="S418" s="189"/>
      <c r="T418" s="189"/>
      <c r="U418" s="189"/>
      <c r="V418" s="189"/>
      <c r="W418" s="189"/>
    </row>
    <row r="419">
      <c r="A419" s="188">
        <v>11.0</v>
      </c>
      <c r="B419" s="188">
        <v>20081.0</v>
      </c>
      <c r="C419" s="193" t="s">
        <v>1337</v>
      </c>
      <c r="D419" s="189"/>
      <c r="E419" s="189"/>
      <c r="F419" s="189"/>
      <c r="G419" s="189"/>
      <c r="H419" s="189"/>
      <c r="I419" s="189"/>
      <c r="J419" s="189"/>
      <c r="K419" s="189"/>
      <c r="L419" s="189"/>
      <c r="M419" s="189"/>
      <c r="N419" s="189"/>
      <c r="O419" s="189"/>
      <c r="P419" s="189"/>
      <c r="Q419" s="189"/>
      <c r="R419" s="189"/>
      <c r="S419" s="189"/>
      <c r="T419" s="189"/>
      <c r="U419" s="189"/>
      <c r="V419" s="189"/>
      <c r="W419" s="189"/>
    </row>
    <row r="420">
      <c r="A420" s="188">
        <v>11.0</v>
      </c>
      <c r="B420" s="188">
        <v>20082.0</v>
      </c>
      <c r="C420" s="193" t="s">
        <v>1338</v>
      </c>
      <c r="D420" s="189"/>
      <c r="E420" s="189"/>
      <c r="F420" s="189"/>
      <c r="G420" s="189"/>
      <c r="H420" s="189"/>
      <c r="I420" s="189"/>
      <c r="J420" s="189"/>
      <c r="K420" s="189"/>
      <c r="L420" s="189"/>
      <c r="M420" s="189"/>
      <c r="N420" s="189"/>
      <c r="O420" s="189"/>
      <c r="P420" s="189"/>
      <c r="Q420" s="189"/>
      <c r="R420" s="189"/>
      <c r="S420" s="189"/>
      <c r="T420" s="189"/>
      <c r="U420" s="189"/>
      <c r="V420" s="189"/>
      <c r="W420" s="189"/>
    </row>
    <row r="421">
      <c r="A421" s="194"/>
      <c r="B421" s="194"/>
      <c r="C421" s="189"/>
      <c r="D421" s="189"/>
      <c r="E421" s="189"/>
      <c r="F421" s="189"/>
      <c r="G421" s="189"/>
      <c r="H421" s="189"/>
      <c r="I421" s="189"/>
      <c r="J421" s="189"/>
      <c r="K421" s="189"/>
      <c r="L421" s="189"/>
      <c r="M421" s="189"/>
      <c r="N421" s="189"/>
      <c r="O421" s="189"/>
      <c r="P421" s="189"/>
      <c r="Q421" s="189"/>
      <c r="R421" s="189"/>
      <c r="S421" s="189"/>
      <c r="T421" s="189"/>
      <c r="U421" s="189"/>
      <c r="V421" s="189"/>
      <c r="W421" s="189"/>
    </row>
    <row r="422">
      <c r="A422" s="194"/>
      <c r="B422" s="194"/>
      <c r="C422" s="189"/>
      <c r="D422" s="189"/>
      <c r="E422" s="189"/>
      <c r="F422" s="189"/>
      <c r="G422" s="189"/>
      <c r="H422" s="189"/>
      <c r="I422" s="189"/>
      <c r="J422" s="189"/>
      <c r="K422" s="189"/>
      <c r="L422" s="189"/>
      <c r="M422" s="189"/>
      <c r="N422" s="189"/>
      <c r="O422" s="189"/>
      <c r="P422" s="189"/>
      <c r="Q422" s="189"/>
      <c r="R422" s="189"/>
      <c r="S422" s="189"/>
      <c r="T422" s="189"/>
      <c r="U422" s="189"/>
      <c r="V422" s="189"/>
      <c r="W422" s="189"/>
    </row>
    <row r="423">
      <c r="A423" s="194"/>
      <c r="B423" s="194"/>
      <c r="C423" s="189"/>
      <c r="D423" s="189"/>
      <c r="E423" s="189"/>
      <c r="F423" s="189"/>
      <c r="G423" s="189"/>
      <c r="H423" s="189"/>
      <c r="I423" s="189"/>
      <c r="J423" s="189"/>
      <c r="K423" s="189"/>
      <c r="L423" s="189"/>
      <c r="M423" s="189"/>
      <c r="N423" s="189"/>
      <c r="O423" s="189"/>
      <c r="P423" s="189"/>
      <c r="Q423" s="189"/>
      <c r="R423" s="189"/>
      <c r="S423" s="189"/>
      <c r="T423" s="189"/>
      <c r="U423" s="189"/>
      <c r="V423" s="189"/>
      <c r="W423" s="189"/>
    </row>
    <row r="424">
      <c r="A424" s="194"/>
      <c r="B424" s="194"/>
      <c r="C424" s="189"/>
      <c r="D424" s="189"/>
      <c r="E424" s="189"/>
      <c r="F424" s="189"/>
      <c r="G424" s="189"/>
      <c r="H424" s="189"/>
      <c r="I424" s="189"/>
      <c r="J424" s="189"/>
      <c r="K424" s="189"/>
      <c r="L424" s="189"/>
      <c r="M424" s="189"/>
      <c r="N424" s="189"/>
      <c r="O424" s="189"/>
      <c r="P424" s="189"/>
      <c r="Q424" s="189"/>
      <c r="R424" s="189"/>
      <c r="S424" s="189"/>
      <c r="T424" s="189"/>
      <c r="U424" s="189"/>
      <c r="V424" s="189"/>
      <c r="W424" s="189"/>
    </row>
    <row r="425">
      <c r="A425" s="194"/>
      <c r="B425" s="194"/>
      <c r="C425" s="189"/>
      <c r="D425" s="189"/>
      <c r="E425" s="189"/>
      <c r="F425" s="189"/>
      <c r="G425" s="189"/>
      <c r="H425" s="189"/>
      <c r="I425" s="189"/>
      <c r="J425" s="189"/>
      <c r="K425" s="189"/>
      <c r="L425" s="189"/>
      <c r="M425" s="189"/>
      <c r="N425" s="189"/>
      <c r="O425" s="189"/>
      <c r="P425" s="189"/>
      <c r="Q425" s="189"/>
      <c r="R425" s="189"/>
      <c r="S425" s="189"/>
      <c r="T425" s="189"/>
      <c r="U425" s="189"/>
      <c r="V425" s="189"/>
      <c r="W425" s="189"/>
    </row>
    <row r="426">
      <c r="A426" s="194"/>
      <c r="B426" s="194"/>
      <c r="C426" s="189"/>
      <c r="D426" s="189"/>
      <c r="E426" s="189"/>
      <c r="F426" s="189"/>
      <c r="G426" s="189"/>
      <c r="H426" s="189"/>
      <c r="I426" s="189"/>
      <c r="J426" s="189"/>
      <c r="K426" s="189"/>
      <c r="L426" s="189"/>
      <c r="M426" s="189"/>
      <c r="N426" s="189"/>
      <c r="O426" s="189"/>
      <c r="P426" s="189"/>
      <c r="Q426" s="189"/>
      <c r="R426" s="189"/>
      <c r="S426" s="189"/>
      <c r="T426" s="189"/>
      <c r="U426" s="189"/>
      <c r="V426" s="189"/>
      <c r="W426" s="189"/>
    </row>
    <row r="427">
      <c r="A427" s="194"/>
      <c r="B427" s="194"/>
      <c r="C427" s="189"/>
      <c r="D427" s="189"/>
      <c r="E427" s="189"/>
      <c r="F427" s="189"/>
      <c r="G427" s="189"/>
      <c r="H427" s="189"/>
      <c r="I427" s="189"/>
      <c r="J427" s="189"/>
      <c r="K427" s="189"/>
      <c r="L427" s="189"/>
      <c r="M427" s="189"/>
      <c r="N427" s="189"/>
      <c r="O427" s="189"/>
      <c r="P427" s="189"/>
      <c r="Q427" s="189"/>
      <c r="R427" s="189"/>
      <c r="S427" s="189"/>
      <c r="T427" s="189"/>
      <c r="U427" s="189"/>
      <c r="V427" s="189"/>
      <c r="W427" s="189"/>
    </row>
    <row r="428">
      <c r="A428" s="194"/>
      <c r="B428" s="194"/>
      <c r="C428" s="189"/>
      <c r="D428" s="189"/>
      <c r="E428" s="189"/>
      <c r="F428" s="189"/>
      <c r="G428" s="189"/>
      <c r="H428" s="189"/>
      <c r="I428" s="189"/>
      <c r="J428" s="189"/>
      <c r="K428" s="189"/>
      <c r="L428" s="189"/>
      <c r="M428" s="189"/>
      <c r="N428" s="189"/>
      <c r="O428" s="189"/>
      <c r="P428" s="189"/>
      <c r="Q428" s="189"/>
      <c r="R428" s="189"/>
      <c r="S428" s="189"/>
      <c r="T428" s="189"/>
      <c r="U428" s="189"/>
      <c r="V428" s="189"/>
      <c r="W428" s="189"/>
    </row>
    <row r="429">
      <c r="A429" s="194"/>
      <c r="B429" s="194"/>
      <c r="C429" s="189"/>
      <c r="D429" s="189"/>
      <c r="E429" s="189"/>
      <c r="F429" s="189"/>
      <c r="G429" s="189"/>
      <c r="H429" s="189"/>
      <c r="I429" s="189"/>
      <c r="J429" s="189"/>
      <c r="K429" s="189"/>
      <c r="L429" s="189"/>
      <c r="M429" s="189"/>
      <c r="N429" s="189"/>
      <c r="O429" s="189"/>
      <c r="P429" s="189"/>
      <c r="Q429" s="189"/>
      <c r="R429" s="189"/>
      <c r="S429" s="189"/>
      <c r="T429" s="189"/>
      <c r="U429" s="189"/>
      <c r="V429" s="189"/>
      <c r="W429" s="189"/>
    </row>
    <row r="430">
      <c r="A430" s="194"/>
      <c r="B430" s="194"/>
      <c r="C430" s="189"/>
      <c r="D430" s="189"/>
      <c r="E430" s="189"/>
      <c r="F430" s="189"/>
      <c r="G430" s="189"/>
      <c r="H430" s="189"/>
      <c r="I430" s="189"/>
      <c r="J430" s="189"/>
      <c r="K430" s="189"/>
      <c r="L430" s="189"/>
      <c r="M430" s="189"/>
      <c r="N430" s="189"/>
      <c r="O430" s="189"/>
      <c r="P430" s="189"/>
      <c r="Q430" s="189"/>
      <c r="R430" s="189"/>
      <c r="S430" s="189"/>
      <c r="T430" s="189"/>
      <c r="U430" s="189"/>
      <c r="V430" s="189"/>
      <c r="W430" s="189"/>
    </row>
    <row r="431">
      <c r="A431" s="194"/>
      <c r="B431" s="194"/>
      <c r="C431" s="189"/>
      <c r="D431" s="189"/>
      <c r="E431" s="189"/>
      <c r="F431" s="189"/>
      <c r="G431" s="189"/>
      <c r="H431" s="189"/>
      <c r="I431" s="189"/>
      <c r="J431" s="189"/>
      <c r="K431" s="189"/>
      <c r="L431" s="189"/>
      <c r="M431" s="189"/>
      <c r="N431" s="189"/>
      <c r="O431" s="189"/>
      <c r="P431" s="189"/>
      <c r="Q431" s="189"/>
      <c r="R431" s="189"/>
      <c r="S431" s="189"/>
      <c r="T431" s="189"/>
      <c r="U431" s="189"/>
      <c r="V431" s="189"/>
      <c r="W431" s="189"/>
    </row>
    <row r="432">
      <c r="A432" s="194"/>
      <c r="B432" s="194"/>
      <c r="C432" s="189"/>
      <c r="D432" s="189"/>
      <c r="E432" s="189"/>
      <c r="F432" s="189"/>
      <c r="G432" s="189"/>
      <c r="H432" s="189"/>
      <c r="I432" s="189"/>
      <c r="J432" s="189"/>
      <c r="K432" s="189"/>
      <c r="L432" s="189"/>
      <c r="M432" s="189"/>
      <c r="N432" s="189"/>
      <c r="O432" s="189"/>
      <c r="P432" s="189"/>
      <c r="Q432" s="189"/>
      <c r="R432" s="189"/>
      <c r="S432" s="189"/>
      <c r="T432" s="189"/>
      <c r="U432" s="189"/>
      <c r="V432" s="189"/>
      <c r="W432" s="189"/>
    </row>
    <row r="433">
      <c r="A433" s="194"/>
      <c r="B433" s="194"/>
      <c r="C433" s="189"/>
      <c r="D433" s="189"/>
      <c r="E433" s="189"/>
      <c r="F433" s="189"/>
      <c r="G433" s="189"/>
      <c r="H433" s="189"/>
      <c r="I433" s="189"/>
      <c r="J433" s="189"/>
      <c r="K433" s="189"/>
      <c r="L433" s="189"/>
      <c r="M433" s="189"/>
      <c r="N433" s="189"/>
      <c r="O433" s="189"/>
      <c r="P433" s="189"/>
      <c r="Q433" s="189"/>
      <c r="R433" s="189"/>
      <c r="S433" s="189"/>
      <c r="T433" s="189"/>
      <c r="U433" s="189"/>
      <c r="V433" s="189"/>
      <c r="W433" s="189"/>
    </row>
    <row r="434">
      <c r="A434" s="194"/>
      <c r="B434" s="194"/>
      <c r="C434" s="189"/>
      <c r="D434" s="189"/>
      <c r="E434" s="189"/>
      <c r="F434" s="189"/>
      <c r="G434" s="189"/>
      <c r="H434" s="189"/>
      <c r="I434" s="189"/>
      <c r="J434" s="189"/>
      <c r="K434" s="189"/>
      <c r="L434" s="189"/>
      <c r="M434" s="189"/>
      <c r="N434" s="189"/>
      <c r="O434" s="189"/>
      <c r="P434" s="189"/>
      <c r="Q434" s="189"/>
      <c r="R434" s="189"/>
      <c r="S434" s="189"/>
      <c r="T434" s="189"/>
      <c r="U434" s="189"/>
      <c r="V434" s="189"/>
      <c r="W434" s="189"/>
    </row>
    <row r="435">
      <c r="A435" s="194"/>
      <c r="B435" s="194"/>
      <c r="C435" s="189"/>
      <c r="D435" s="189"/>
      <c r="E435" s="189"/>
      <c r="F435" s="189"/>
      <c r="G435" s="189"/>
      <c r="H435" s="189"/>
      <c r="I435" s="189"/>
      <c r="J435" s="189"/>
      <c r="K435" s="189"/>
      <c r="L435" s="189"/>
      <c r="M435" s="189"/>
      <c r="N435" s="189"/>
      <c r="O435" s="189"/>
      <c r="P435" s="189"/>
      <c r="Q435" s="189"/>
      <c r="R435" s="189"/>
      <c r="S435" s="189"/>
      <c r="T435" s="189"/>
      <c r="U435" s="189"/>
      <c r="V435" s="189"/>
      <c r="W435" s="189"/>
    </row>
    <row r="436">
      <c r="A436" s="194"/>
      <c r="B436" s="194"/>
      <c r="C436" s="189"/>
      <c r="D436" s="189"/>
      <c r="E436" s="189"/>
      <c r="F436" s="189"/>
      <c r="G436" s="189"/>
      <c r="H436" s="189"/>
      <c r="I436" s="189"/>
      <c r="J436" s="189"/>
      <c r="K436" s="189"/>
      <c r="L436" s="189"/>
      <c r="M436" s="189"/>
      <c r="N436" s="189"/>
      <c r="O436" s="189"/>
      <c r="P436" s="189"/>
      <c r="Q436" s="189"/>
      <c r="R436" s="189"/>
      <c r="S436" s="189"/>
      <c r="T436" s="189"/>
      <c r="U436" s="189"/>
      <c r="V436" s="189"/>
      <c r="W436" s="189"/>
    </row>
    <row r="437">
      <c r="A437" s="194"/>
      <c r="B437" s="194"/>
      <c r="C437" s="189"/>
      <c r="D437" s="189"/>
      <c r="E437" s="189"/>
      <c r="F437" s="189"/>
      <c r="G437" s="189"/>
      <c r="H437" s="189"/>
      <c r="I437" s="189"/>
      <c r="J437" s="189"/>
      <c r="K437" s="189"/>
      <c r="L437" s="189"/>
      <c r="M437" s="189"/>
      <c r="N437" s="189"/>
      <c r="O437" s="189"/>
      <c r="P437" s="189"/>
      <c r="Q437" s="189"/>
      <c r="R437" s="189"/>
      <c r="S437" s="189"/>
      <c r="T437" s="189"/>
      <c r="U437" s="189"/>
      <c r="V437" s="189"/>
      <c r="W437" s="189"/>
    </row>
    <row r="438">
      <c r="A438" s="194"/>
      <c r="B438" s="194"/>
      <c r="C438" s="189"/>
      <c r="D438" s="189"/>
      <c r="E438" s="189"/>
      <c r="F438" s="189"/>
      <c r="G438" s="189"/>
      <c r="H438" s="189"/>
      <c r="I438" s="189"/>
      <c r="J438" s="189"/>
      <c r="K438" s="189"/>
      <c r="L438" s="189"/>
      <c r="M438" s="189"/>
      <c r="N438" s="189"/>
      <c r="O438" s="189"/>
      <c r="P438" s="189"/>
      <c r="Q438" s="189"/>
      <c r="R438" s="189"/>
      <c r="S438" s="189"/>
      <c r="T438" s="189"/>
      <c r="U438" s="189"/>
      <c r="V438" s="189"/>
      <c r="W438" s="189"/>
    </row>
    <row r="439">
      <c r="A439" s="194"/>
      <c r="B439" s="194"/>
      <c r="C439" s="189"/>
      <c r="D439" s="189"/>
      <c r="E439" s="189"/>
      <c r="F439" s="189"/>
      <c r="G439" s="189"/>
      <c r="H439" s="189"/>
      <c r="I439" s="189"/>
      <c r="J439" s="189"/>
      <c r="K439" s="189"/>
      <c r="L439" s="189"/>
      <c r="M439" s="189"/>
      <c r="N439" s="189"/>
      <c r="O439" s="189"/>
      <c r="P439" s="189"/>
      <c r="Q439" s="189"/>
      <c r="R439" s="189"/>
      <c r="S439" s="189"/>
      <c r="T439" s="189"/>
      <c r="U439" s="189"/>
      <c r="V439" s="189"/>
      <c r="W439" s="189"/>
    </row>
    <row r="440">
      <c r="A440" s="194"/>
      <c r="B440" s="194"/>
      <c r="C440" s="189"/>
      <c r="D440" s="189"/>
      <c r="E440" s="189"/>
      <c r="F440" s="189"/>
      <c r="G440" s="189"/>
      <c r="H440" s="189"/>
      <c r="I440" s="189"/>
      <c r="J440" s="189"/>
      <c r="K440" s="189"/>
      <c r="L440" s="189"/>
      <c r="M440" s="189"/>
      <c r="N440" s="189"/>
      <c r="O440" s="189"/>
      <c r="P440" s="189"/>
      <c r="Q440" s="189"/>
      <c r="R440" s="189"/>
      <c r="S440" s="189"/>
      <c r="T440" s="189"/>
      <c r="U440" s="189"/>
      <c r="V440" s="189"/>
      <c r="W440" s="189"/>
    </row>
    <row r="441">
      <c r="A441" s="194"/>
      <c r="B441" s="194"/>
      <c r="C441" s="189"/>
      <c r="D441" s="189"/>
      <c r="E441" s="189"/>
      <c r="F441" s="189"/>
      <c r="G441" s="189"/>
      <c r="H441" s="189"/>
      <c r="I441" s="189"/>
      <c r="J441" s="189"/>
      <c r="K441" s="189"/>
      <c r="L441" s="189"/>
      <c r="M441" s="189"/>
      <c r="N441" s="189"/>
      <c r="O441" s="189"/>
      <c r="P441" s="189"/>
      <c r="Q441" s="189"/>
      <c r="R441" s="189"/>
      <c r="S441" s="189"/>
      <c r="T441" s="189"/>
      <c r="U441" s="189"/>
      <c r="V441" s="189"/>
      <c r="W441" s="189"/>
    </row>
    <row r="442">
      <c r="A442" s="194"/>
      <c r="B442" s="194"/>
      <c r="C442" s="189"/>
      <c r="D442" s="189"/>
      <c r="E442" s="189"/>
      <c r="F442" s="189"/>
      <c r="G442" s="189"/>
      <c r="H442" s="189"/>
      <c r="I442" s="189"/>
      <c r="J442" s="189"/>
      <c r="K442" s="189"/>
      <c r="L442" s="189"/>
      <c r="M442" s="189"/>
      <c r="N442" s="189"/>
      <c r="O442" s="189"/>
      <c r="P442" s="189"/>
      <c r="Q442" s="189"/>
      <c r="R442" s="189"/>
      <c r="S442" s="189"/>
      <c r="T442" s="189"/>
      <c r="U442" s="189"/>
      <c r="V442" s="189"/>
      <c r="W442" s="189"/>
    </row>
    <row r="443">
      <c r="A443" s="194"/>
      <c r="B443" s="194"/>
      <c r="C443" s="189"/>
      <c r="D443" s="189"/>
      <c r="E443" s="189"/>
      <c r="F443" s="189"/>
      <c r="G443" s="189"/>
      <c r="H443" s="189"/>
      <c r="I443" s="189"/>
      <c r="J443" s="189"/>
      <c r="K443" s="189"/>
      <c r="L443" s="189"/>
      <c r="M443" s="189"/>
      <c r="N443" s="189"/>
      <c r="O443" s="189"/>
      <c r="P443" s="189"/>
      <c r="Q443" s="189"/>
      <c r="R443" s="189"/>
      <c r="S443" s="189"/>
      <c r="T443" s="189"/>
      <c r="U443" s="189"/>
      <c r="V443" s="189"/>
      <c r="W443" s="189"/>
    </row>
    <row r="444">
      <c r="A444" s="194"/>
      <c r="B444" s="194"/>
      <c r="C444" s="189"/>
      <c r="D444" s="189"/>
      <c r="E444" s="189"/>
      <c r="F444" s="189"/>
      <c r="G444" s="189"/>
      <c r="H444" s="189"/>
      <c r="I444" s="189"/>
      <c r="J444" s="189"/>
      <c r="K444" s="189"/>
      <c r="L444" s="189"/>
      <c r="M444" s="189"/>
      <c r="N444" s="189"/>
      <c r="O444" s="189"/>
      <c r="P444" s="189"/>
      <c r="Q444" s="189"/>
      <c r="R444" s="189"/>
      <c r="S444" s="189"/>
      <c r="T444" s="189"/>
      <c r="U444" s="189"/>
      <c r="V444" s="189"/>
      <c r="W444" s="189"/>
    </row>
    <row r="445">
      <c r="A445" s="194"/>
      <c r="B445" s="194"/>
      <c r="C445" s="189"/>
      <c r="D445" s="189"/>
      <c r="E445" s="189"/>
      <c r="F445" s="189"/>
      <c r="G445" s="189"/>
      <c r="H445" s="189"/>
      <c r="I445" s="189"/>
      <c r="J445" s="189"/>
      <c r="K445" s="189"/>
      <c r="L445" s="189"/>
      <c r="M445" s="189"/>
      <c r="N445" s="189"/>
      <c r="O445" s="189"/>
      <c r="P445" s="189"/>
      <c r="Q445" s="189"/>
      <c r="R445" s="189"/>
      <c r="S445" s="189"/>
      <c r="T445" s="189"/>
      <c r="U445" s="189"/>
      <c r="V445" s="189"/>
      <c r="W445" s="189"/>
    </row>
    <row r="446">
      <c r="A446" s="194"/>
      <c r="B446" s="194"/>
      <c r="C446" s="189"/>
      <c r="D446" s="189"/>
      <c r="E446" s="189"/>
      <c r="F446" s="189"/>
      <c r="G446" s="189"/>
      <c r="H446" s="189"/>
      <c r="I446" s="189"/>
      <c r="J446" s="189"/>
      <c r="K446" s="189"/>
      <c r="L446" s="189"/>
      <c r="M446" s="189"/>
      <c r="N446" s="189"/>
      <c r="O446" s="189"/>
      <c r="P446" s="189"/>
      <c r="Q446" s="189"/>
      <c r="R446" s="189"/>
      <c r="S446" s="189"/>
      <c r="T446" s="189"/>
      <c r="U446" s="189"/>
      <c r="V446" s="189"/>
      <c r="W446" s="189"/>
    </row>
    <row r="447">
      <c r="A447" s="194"/>
      <c r="B447" s="194"/>
      <c r="C447" s="189"/>
      <c r="D447" s="189"/>
      <c r="E447" s="189"/>
      <c r="F447" s="189"/>
      <c r="G447" s="189"/>
      <c r="H447" s="189"/>
      <c r="I447" s="189"/>
      <c r="J447" s="189"/>
      <c r="K447" s="189"/>
      <c r="L447" s="189"/>
      <c r="M447" s="189"/>
      <c r="N447" s="189"/>
      <c r="O447" s="189"/>
      <c r="P447" s="189"/>
      <c r="Q447" s="189"/>
      <c r="R447" s="189"/>
      <c r="S447" s="189"/>
      <c r="T447" s="189"/>
      <c r="U447" s="189"/>
      <c r="V447" s="189"/>
      <c r="W447" s="189"/>
    </row>
    <row r="448">
      <c r="A448" s="194"/>
      <c r="B448" s="194"/>
      <c r="C448" s="189"/>
      <c r="D448" s="189"/>
      <c r="E448" s="189"/>
      <c r="F448" s="189"/>
      <c r="G448" s="189"/>
      <c r="H448" s="189"/>
      <c r="I448" s="189"/>
      <c r="J448" s="189"/>
      <c r="K448" s="189"/>
      <c r="L448" s="189"/>
      <c r="M448" s="189"/>
      <c r="N448" s="189"/>
      <c r="O448" s="189"/>
      <c r="P448" s="189"/>
      <c r="Q448" s="189"/>
      <c r="R448" s="189"/>
      <c r="S448" s="189"/>
      <c r="T448" s="189"/>
      <c r="U448" s="189"/>
      <c r="V448" s="189"/>
      <c r="W448" s="189"/>
    </row>
    <row r="449">
      <c r="A449" s="194"/>
      <c r="B449" s="194"/>
      <c r="C449" s="189"/>
      <c r="D449" s="189"/>
      <c r="E449" s="189"/>
      <c r="F449" s="189"/>
      <c r="G449" s="189"/>
      <c r="H449" s="189"/>
      <c r="I449" s="189"/>
      <c r="J449" s="189"/>
      <c r="K449" s="189"/>
      <c r="L449" s="189"/>
      <c r="M449" s="189"/>
      <c r="N449" s="189"/>
      <c r="O449" s="189"/>
      <c r="P449" s="189"/>
      <c r="Q449" s="189"/>
      <c r="R449" s="189"/>
      <c r="S449" s="189"/>
      <c r="T449" s="189"/>
      <c r="U449" s="189"/>
      <c r="V449" s="189"/>
      <c r="W449" s="189"/>
    </row>
    <row r="450">
      <c r="A450" s="194"/>
      <c r="B450" s="194"/>
      <c r="C450" s="189"/>
      <c r="D450" s="189"/>
      <c r="E450" s="189"/>
      <c r="F450" s="189"/>
      <c r="G450" s="189"/>
      <c r="H450" s="189"/>
      <c r="I450" s="189"/>
      <c r="J450" s="189"/>
      <c r="K450" s="189"/>
      <c r="L450" s="189"/>
      <c r="M450" s="189"/>
      <c r="N450" s="189"/>
      <c r="O450" s="189"/>
      <c r="P450" s="189"/>
      <c r="Q450" s="189"/>
      <c r="R450" s="189"/>
      <c r="S450" s="189"/>
      <c r="T450" s="189"/>
      <c r="U450" s="189"/>
      <c r="V450" s="189"/>
      <c r="W450" s="189"/>
    </row>
    <row r="451">
      <c r="A451" s="194"/>
      <c r="B451" s="194"/>
      <c r="C451" s="189"/>
      <c r="D451" s="189"/>
      <c r="E451" s="189"/>
      <c r="F451" s="189"/>
      <c r="G451" s="189"/>
      <c r="H451" s="189"/>
      <c r="I451" s="189"/>
      <c r="J451" s="189"/>
      <c r="K451" s="189"/>
      <c r="L451" s="189"/>
      <c r="M451" s="189"/>
      <c r="N451" s="189"/>
      <c r="O451" s="189"/>
      <c r="P451" s="189"/>
      <c r="Q451" s="189"/>
      <c r="R451" s="189"/>
      <c r="S451" s="189"/>
      <c r="T451" s="189"/>
      <c r="U451" s="189"/>
      <c r="V451" s="189"/>
      <c r="W451" s="189"/>
    </row>
    <row r="452">
      <c r="A452" s="194"/>
      <c r="B452" s="194"/>
      <c r="C452" s="189"/>
      <c r="D452" s="189"/>
      <c r="E452" s="189"/>
      <c r="F452" s="189"/>
      <c r="G452" s="189"/>
      <c r="H452" s="189"/>
      <c r="I452" s="189"/>
      <c r="J452" s="189"/>
      <c r="K452" s="189"/>
      <c r="L452" s="189"/>
      <c r="M452" s="189"/>
      <c r="N452" s="189"/>
      <c r="O452" s="189"/>
      <c r="P452" s="189"/>
      <c r="Q452" s="189"/>
      <c r="R452" s="189"/>
      <c r="S452" s="189"/>
      <c r="T452" s="189"/>
      <c r="U452" s="189"/>
      <c r="V452" s="189"/>
      <c r="W452" s="189"/>
    </row>
    <row r="453">
      <c r="A453" s="194"/>
      <c r="B453" s="194"/>
      <c r="C453" s="189"/>
      <c r="D453" s="189"/>
      <c r="E453" s="189"/>
      <c r="F453" s="189"/>
      <c r="G453" s="189"/>
      <c r="H453" s="189"/>
      <c r="I453" s="189"/>
      <c r="J453" s="189"/>
      <c r="K453" s="189"/>
      <c r="L453" s="189"/>
      <c r="M453" s="189"/>
      <c r="N453" s="189"/>
      <c r="O453" s="189"/>
      <c r="P453" s="189"/>
      <c r="Q453" s="189"/>
      <c r="R453" s="189"/>
      <c r="S453" s="189"/>
      <c r="T453" s="189"/>
      <c r="U453" s="189"/>
      <c r="V453" s="189"/>
      <c r="W453" s="189"/>
    </row>
    <row r="454">
      <c r="A454" s="194"/>
      <c r="B454" s="194"/>
      <c r="C454" s="189"/>
      <c r="D454" s="189"/>
      <c r="E454" s="189"/>
      <c r="F454" s="189"/>
      <c r="G454" s="189"/>
      <c r="H454" s="189"/>
      <c r="I454" s="189"/>
      <c r="J454" s="189"/>
      <c r="K454" s="189"/>
      <c r="L454" s="189"/>
      <c r="M454" s="189"/>
      <c r="N454" s="189"/>
      <c r="O454" s="189"/>
      <c r="P454" s="189"/>
      <c r="Q454" s="189"/>
      <c r="R454" s="189"/>
      <c r="S454" s="189"/>
      <c r="T454" s="189"/>
      <c r="U454" s="189"/>
      <c r="V454" s="189"/>
      <c r="W454" s="189"/>
    </row>
    <row r="455">
      <c r="A455" s="194"/>
      <c r="B455" s="194"/>
      <c r="C455" s="189"/>
      <c r="D455" s="189"/>
      <c r="E455" s="189"/>
      <c r="F455" s="189"/>
      <c r="G455" s="189"/>
      <c r="H455" s="189"/>
      <c r="I455" s="189"/>
      <c r="J455" s="189"/>
      <c r="K455" s="189"/>
      <c r="L455" s="189"/>
      <c r="M455" s="189"/>
      <c r="N455" s="189"/>
      <c r="O455" s="189"/>
      <c r="P455" s="189"/>
      <c r="Q455" s="189"/>
      <c r="R455" s="189"/>
      <c r="S455" s="189"/>
      <c r="T455" s="189"/>
      <c r="U455" s="189"/>
      <c r="V455" s="189"/>
      <c r="W455" s="189"/>
    </row>
    <row r="456">
      <c r="A456" s="194"/>
      <c r="B456" s="194"/>
      <c r="C456" s="189"/>
      <c r="D456" s="189"/>
      <c r="E456" s="189"/>
      <c r="F456" s="189"/>
      <c r="G456" s="189"/>
      <c r="H456" s="189"/>
      <c r="I456" s="189"/>
      <c r="J456" s="189"/>
      <c r="K456" s="189"/>
      <c r="L456" s="189"/>
      <c r="M456" s="189"/>
      <c r="N456" s="189"/>
      <c r="O456" s="189"/>
      <c r="P456" s="189"/>
      <c r="Q456" s="189"/>
      <c r="R456" s="189"/>
      <c r="S456" s="189"/>
      <c r="T456" s="189"/>
      <c r="U456" s="189"/>
      <c r="V456" s="189"/>
      <c r="W456" s="189"/>
    </row>
    <row r="457">
      <c r="A457" s="194"/>
      <c r="B457" s="194"/>
      <c r="C457" s="189"/>
      <c r="D457" s="189"/>
      <c r="E457" s="189"/>
      <c r="F457" s="189"/>
      <c r="G457" s="189"/>
      <c r="H457" s="189"/>
      <c r="I457" s="189"/>
      <c r="J457" s="189"/>
      <c r="K457" s="189"/>
      <c r="L457" s="189"/>
      <c r="M457" s="189"/>
      <c r="N457" s="189"/>
      <c r="O457" s="189"/>
      <c r="P457" s="189"/>
      <c r="Q457" s="189"/>
      <c r="R457" s="189"/>
      <c r="S457" s="189"/>
      <c r="T457" s="189"/>
      <c r="U457" s="189"/>
      <c r="V457" s="189"/>
      <c r="W457" s="189"/>
    </row>
    <row r="458">
      <c r="A458" s="194"/>
      <c r="B458" s="194"/>
      <c r="C458" s="189"/>
      <c r="D458" s="189"/>
      <c r="E458" s="189"/>
      <c r="F458" s="189"/>
      <c r="G458" s="189"/>
      <c r="H458" s="189"/>
      <c r="I458" s="189"/>
      <c r="J458" s="189"/>
      <c r="K458" s="189"/>
      <c r="L458" s="189"/>
      <c r="M458" s="189"/>
      <c r="N458" s="189"/>
      <c r="O458" s="189"/>
      <c r="P458" s="189"/>
      <c r="Q458" s="189"/>
      <c r="R458" s="189"/>
      <c r="S458" s="189"/>
      <c r="T458" s="189"/>
      <c r="U458" s="189"/>
      <c r="V458" s="189"/>
      <c r="W458" s="189"/>
    </row>
    <row r="459">
      <c r="A459" s="194"/>
      <c r="B459" s="194"/>
      <c r="C459" s="189"/>
      <c r="D459" s="189"/>
      <c r="E459" s="189"/>
      <c r="F459" s="189"/>
      <c r="G459" s="189"/>
      <c r="H459" s="189"/>
      <c r="I459" s="189"/>
      <c r="J459" s="189"/>
      <c r="K459" s="189"/>
      <c r="L459" s="189"/>
      <c r="M459" s="189"/>
      <c r="N459" s="189"/>
      <c r="O459" s="189"/>
      <c r="P459" s="189"/>
      <c r="Q459" s="189"/>
      <c r="R459" s="189"/>
      <c r="S459" s="189"/>
      <c r="T459" s="189"/>
      <c r="U459" s="189"/>
      <c r="V459" s="189"/>
      <c r="W459" s="189"/>
    </row>
    <row r="460">
      <c r="A460" s="194"/>
      <c r="B460" s="194"/>
      <c r="C460" s="189"/>
      <c r="D460" s="189"/>
      <c r="E460" s="189"/>
      <c r="F460" s="189"/>
      <c r="G460" s="189"/>
      <c r="H460" s="189"/>
      <c r="I460" s="189"/>
      <c r="J460" s="189"/>
      <c r="K460" s="189"/>
      <c r="L460" s="189"/>
      <c r="M460" s="189"/>
      <c r="N460" s="189"/>
      <c r="O460" s="189"/>
      <c r="P460" s="189"/>
      <c r="Q460" s="189"/>
      <c r="R460" s="189"/>
      <c r="S460" s="189"/>
      <c r="T460" s="189"/>
      <c r="U460" s="189"/>
      <c r="V460" s="189"/>
      <c r="W460" s="189"/>
    </row>
    <row r="461">
      <c r="A461" s="194"/>
      <c r="B461" s="194"/>
      <c r="C461" s="189"/>
      <c r="D461" s="189"/>
      <c r="E461" s="189"/>
      <c r="F461" s="189"/>
      <c r="G461" s="189"/>
      <c r="H461" s="189"/>
      <c r="I461" s="189"/>
      <c r="J461" s="189"/>
      <c r="K461" s="189"/>
      <c r="L461" s="189"/>
      <c r="M461" s="189"/>
      <c r="N461" s="189"/>
      <c r="O461" s="189"/>
      <c r="P461" s="189"/>
      <c r="Q461" s="189"/>
      <c r="R461" s="189"/>
      <c r="S461" s="189"/>
      <c r="T461" s="189"/>
      <c r="U461" s="189"/>
      <c r="V461" s="189"/>
      <c r="W461" s="189"/>
    </row>
    <row r="462">
      <c r="A462" s="194"/>
      <c r="B462" s="194"/>
      <c r="C462" s="189"/>
      <c r="D462" s="189"/>
      <c r="E462" s="189"/>
      <c r="F462" s="189"/>
      <c r="G462" s="189"/>
      <c r="H462" s="189"/>
      <c r="I462" s="189"/>
      <c r="J462" s="189"/>
      <c r="K462" s="189"/>
      <c r="L462" s="189"/>
      <c r="M462" s="189"/>
      <c r="N462" s="189"/>
      <c r="O462" s="189"/>
      <c r="P462" s="189"/>
      <c r="Q462" s="189"/>
      <c r="R462" s="189"/>
      <c r="S462" s="189"/>
      <c r="T462" s="189"/>
      <c r="U462" s="189"/>
      <c r="V462" s="189"/>
      <c r="W462" s="189"/>
    </row>
    <row r="463">
      <c r="A463" s="194"/>
      <c r="B463" s="194"/>
      <c r="C463" s="189"/>
      <c r="D463" s="189"/>
      <c r="E463" s="189"/>
      <c r="F463" s="189"/>
      <c r="G463" s="189"/>
      <c r="H463" s="189"/>
      <c r="I463" s="189"/>
      <c r="J463" s="189"/>
      <c r="K463" s="189"/>
      <c r="L463" s="189"/>
      <c r="M463" s="189"/>
      <c r="N463" s="189"/>
      <c r="O463" s="189"/>
      <c r="P463" s="189"/>
      <c r="Q463" s="189"/>
      <c r="R463" s="189"/>
      <c r="S463" s="189"/>
      <c r="T463" s="189"/>
      <c r="U463" s="189"/>
      <c r="V463" s="189"/>
      <c r="W463" s="189"/>
    </row>
    <row r="464">
      <c r="A464" s="194"/>
      <c r="B464" s="194"/>
      <c r="C464" s="189"/>
      <c r="D464" s="189"/>
      <c r="E464" s="189"/>
      <c r="F464" s="189"/>
      <c r="G464" s="189"/>
      <c r="H464" s="189"/>
      <c r="I464" s="189"/>
      <c r="J464" s="189"/>
      <c r="K464" s="189"/>
      <c r="L464" s="189"/>
      <c r="M464" s="189"/>
      <c r="N464" s="189"/>
      <c r="O464" s="189"/>
      <c r="P464" s="189"/>
      <c r="Q464" s="189"/>
      <c r="R464" s="189"/>
      <c r="S464" s="189"/>
      <c r="T464" s="189"/>
      <c r="U464" s="189"/>
      <c r="V464" s="189"/>
      <c r="W464" s="189"/>
    </row>
    <row r="465">
      <c r="A465" s="194"/>
      <c r="B465" s="194"/>
      <c r="C465" s="189"/>
      <c r="D465" s="189"/>
      <c r="E465" s="189"/>
      <c r="F465" s="189"/>
      <c r="G465" s="189"/>
      <c r="H465" s="189"/>
      <c r="I465" s="189"/>
      <c r="J465" s="189"/>
      <c r="K465" s="189"/>
      <c r="L465" s="189"/>
      <c r="M465" s="189"/>
      <c r="N465" s="189"/>
      <c r="O465" s="189"/>
      <c r="P465" s="189"/>
      <c r="Q465" s="189"/>
      <c r="R465" s="189"/>
      <c r="S465" s="189"/>
      <c r="T465" s="189"/>
      <c r="U465" s="189"/>
      <c r="V465" s="189"/>
      <c r="W465" s="189"/>
    </row>
    <row r="466">
      <c r="A466" s="194"/>
      <c r="B466" s="194"/>
      <c r="C466" s="189"/>
      <c r="D466" s="189"/>
      <c r="E466" s="189"/>
      <c r="F466" s="189"/>
      <c r="G466" s="189"/>
      <c r="H466" s="189"/>
      <c r="I466" s="189"/>
      <c r="J466" s="189"/>
      <c r="K466" s="189"/>
      <c r="L466" s="189"/>
      <c r="M466" s="189"/>
      <c r="N466" s="189"/>
      <c r="O466" s="189"/>
      <c r="P466" s="189"/>
      <c r="Q466" s="189"/>
      <c r="R466" s="189"/>
      <c r="S466" s="189"/>
      <c r="T466" s="189"/>
      <c r="U466" s="189"/>
      <c r="V466" s="189"/>
      <c r="W466" s="189"/>
    </row>
    <row r="467">
      <c r="A467" s="194"/>
      <c r="B467" s="194"/>
      <c r="C467" s="189"/>
      <c r="D467" s="189"/>
      <c r="E467" s="189"/>
      <c r="F467" s="189"/>
      <c r="G467" s="189"/>
      <c r="H467" s="189"/>
      <c r="I467" s="189"/>
      <c r="J467" s="189"/>
      <c r="K467" s="189"/>
      <c r="L467" s="189"/>
      <c r="M467" s="189"/>
      <c r="N467" s="189"/>
      <c r="O467" s="189"/>
      <c r="P467" s="189"/>
      <c r="Q467" s="189"/>
      <c r="R467" s="189"/>
      <c r="S467" s="189"/>
      <c r="T467" s="189"/>
      <c r="U467" s="189"/>
      <c r="V467" s="189"/>
      <c r="W467" s="189"/>
    </row>
    <row r="468">
      <c r="A468" s="194"/>
      <c r="B468" s="194"/>
      <c r="C468" s="189"/>
      <c r="D468" s="189"/>
      <c r="E468" s="189"/>
      <c r="F468" s="189"/>
      <c r="G468" s="189"/>
      <c r="H468" s="189"/>
      <c r="I468" s="189"/>
      <c r="J468" s="189"/>
      <c r="K468" s="189"/>
      <c r="L468" s="189"/>
      <c r="M468" s="189"/>
      <c r="N468" s="189"/>
      <c r="O468" s="189"/>
      <c r="P468" s="189"/>
      <c r="Q468" s="189"/>
      <c r="R468" s="189"/>
      <c r="S468" s="189"/>
      <c r="T468" s="189"/>
      <c r="U468" s="189"/>
      <c r="V468" s="189"/>
      <c r="W468" s="189"/>
    </row>
    <row r="469">
      <c r="A469" s="194"/>
      <c r="B469" s="194"/>
      <c r="C469" s="189"/>
      <c r="D469" s="189"/>
      <c r="E469" s="189"/>
      <c r="F469" s="189"/>
      <c r="G469" s="189"/>
      <c r="H469" s="189"/>
      <c r="I469" s="189"/>
      <c r="J469" s="189"/>
      <c r="K469" s="189"/>
      <c r="L469" s="189"/>
      <c r="M469" s="189"/>
      <c r="N469" s="189"/>
      <c r="O469" s="189"/>
      <c r="P469" s="189"/>
      <c r="Q469" s="189"/>
      <c r="R469" s="189"/>
      <c r="S469" s="189"/>
      <c r="T469" s="189"/>
      <c r="U469" s="189"/>
      <c r="V469" s="189"/>
      <c r="W469" s="189"/>
    </row>
    <row r="470">
      <c r="A470" s="194"/>
      <c r="B470" s="194"/>
      <c r="C470" s="189"/>
      <c r="D470" s="189"/>
      <c r="E470" s="189"/>
      <c r="F470" s="189"/>
      <c r="G470" s="189"/>
      <c r="H470" s="189"/>
      <c r="I470" s="189"/>
      <c r="J470" s="189"/>
      <c r="K470" s="189"/>
      <c r="L470" s="189"/>
      <c r="M470" s="189"/>
      <c r="N470" s="189"/>
      <c r="O470" s="189"/>
      <c r="P470" s="189"/>
      <c r="Q470" s="189"/>
      <c r="R470" s="189"/>
      <c r="S470" s="189"/>
      <c r="T470" s="189"/>
      <c r="U470" s="189"/>
      <c r="V470" s="189"/>
      <c r="W470" s="189"/>
    </row>
    <row r="471">
      <c r="A471" s="194"/>
      <c r="B471" s="194"/>
      <c r="C471" s="189"/>
      <c r="D471" s="189"/>
      <c r="E471" s="189"/>
      <c r="F471" s="189"/>
      <c r="G471" s="189"/>
      <c r="H471" s="189"/>
      <c r="I471" s="189"/>
      <c r="J471" s="189"/>
      <c r="K471" s="189"/>
      <c r="L471" s="189"/>
      <c r="M471" s="189"/>
      <c r="N471" s="189"/>
      <c r="O471" s="189"/>
      <c r="P471" s="189"/>
      <c r="Q471" s="189"/>
      <c r="R471" s="189"/>
      <c r="S471" s="189"/>
      <c r="T471" s="189"/>
      <c r="U471" s="189"/>
      <c r="V471" s="189"/>
      <c r="W471" s="189"/>
    </row>
    <row r="472">
      <c r="A472" s="194"/>
      <c r="B472" s="194"/>
      <c r="C472" s="189"/>
      <c r="D472" s="189"/>
      <c r="E472" s="189"/>
      <c r="F472" s="189"/>
      <c r="G472" s="189"/>
      <c r="H472" s="189"/>
      <c r="I472" s="189"/>
      <c r="J472" s="189"/>
      <c r="K472" s="189"/>
      <c r="L472" s="189"/>
      <c r="M472" s="189"/>
      <c r="N472" s="189"/>
      <c r="O472" s="189"/>
      <c r="P472" s="189"/>
      <c r="Q472" s="189"/>
      <c r="R472" s="189"/>
      <c r="S472" s="189"/>
      <c r="T472" s="189"/>
      <c r="U472" s="189"/>
      <c r="V472" s="189"/>
      <c r="W472" s="189"/>
    </row>
    <row r="473">
      <c r="A473" s="194"/>
      <c r="B473" s="194"/>
      <c r="C473" s="189"/>
      <c r="D473" s="189"/>
      <c r="E473" s="189"/>
      <c r="F473" s="189"/>
      <c r="G473" s="189"/>
      <c r="H473" s="189"/>
      <c r="I473" s="189"/>
      <c r="J473" s="189"/>
      <c r="K473" s="189"/>
      <c r="L473" s="189"/>
      <c r="M473" s="189"/>
      <c r="N473" s="189"/>
      <c r="O473" s="189"/>
      <c r="P473" s="189"/>
      <c r="Q473" s="189"/>
      <c r="R473" s="189"/>
      <c r="S473" s="189"/>
      <c r="T473" s="189"/>
      <c r="U473" s="189"/>
      <c r="V473" s="189"/>
      <c r="W473" s="189"/>
    </row>
    <row r="474">
      <c r="A474" s="194"/>
      <c r="B474" s="194"/>
      <c r="C474" s="189"/>
      <c r="D474" s="189"/>
      <c r="E474" s="189"/>
      <c r="F474" s="189"/>
      <c r="G474" s="189"/>
      <c r="H474" s="189"/>
      <c r="I474" s="189"/>
      <c r="J474" s="189"/>
      <c r="K474" s="189"/>
      <c r="L474" s="189"/>
      <c r="M474" s="189"/>
      <c r="N474" s="189"/>
      <c r="O474" s="189"/>
      <c r="P474" s="189"/>
      <c r="Q474" s="189"/>
      <c r="R474" s="189"/>
      <c r="S474" s="189"/>
      <c r="T474" s="189"/>
      <c r="U474" s="189"/>
      <c r="V474" s="189"/>
      <c r="W474" s="189"/>
    </row>
    <row r="475">
      <c r="A475" s="194"/>
      <c r="B475" s="194"/>
      <c r="C475" s="189"/>
      <c r="D475" s="189"/>
      <c r="E475" s="189"/>
      <c r="F475" s="189"/>
      <c r="G475" s="189"/>
      <c r="H475" s="189"/>
      <c r="I475" s="189"/>
      <c r="J475" s="189"/>
      <c r="K475" s="189"/>
      <c r="L475" s="189"/>
      <c r="M475" s="189"/>
      <c r="N475" s="189"/>
      <c r="O475" s="189"/>
      <c r="P475" s="189"/>
      <c r="Q475" s="189"/>
      <c r="R475" s="189"/>
      <c r="S475" s="189"/>
      <c r="T475" s="189"/>
      <c r="U475" s="189"/>
      <c r="V475" s="189"/>
      <c r="W475" s="189"/>
    </row>
    <row r="476">
      <c r="A476" s="194"/>
      <c r="B476" s="194"/>
      <c r="C476" s="189"/>
      <c r="D476" s="189"/>
      <c r="E476" s="189"/>
      <c r="F476" s="189"/>
      <c r="G476" s="189"/>
      <c r="H476" s="189"/>
      <c r="I476" s="189"/>
      <c r="J476" s="189"/>
      <c r="K476" s="189"/>
      <c r="L476" s="189"/>
      <c r="M476" s="189"/>
      <c r="N476" s="189"/>
      <c r="O476" s="189"/>
      <c r="P476" s="189"/>
      <c r="Q476" s="189"/>
      <c r="R476" s="189"/>
      <c r="S476" s="189"/>
      <c r="T476" s="189"/>
      <c r="U476" s="189"/>
      <c r="V476" s="189"/>
      <c r="W476" s="189"/>
    </row>
    <row r="477">
      <c r="A477" s="194"/>
      <c r="B477" s="194"/>
      <c r="C477" s="189"/>
      <c r="D477" s="189"/>
      <c r="E477" s="189"/>
      <c r="F477" s="189"/>
      <c r="G477" s="189"/>
      <c r="H477" s="189"/>
      <c r="I477" s="189"/>
      <c r="J477" s="189"/>
      <c r="K477" s="189"/>
      <c r="L477" s="189"/>
      <c r="M477" s="189"/>
      <c r="N477" s="189"/>
      <c r="O477" s="189"/>
      <c r="P477" s="189"/>
      <c r="Q477" s="189"/>
      <c r="R477" s="189"/>
      <c r="S477" s="189"/>
      <c r="T477" s="189"/>
      <c r="U477" s="189"/>
      <c r="V477" s="189"/>
      <c r="W477" s="189"/>
    </row>
    <row r="478">
      <c r="A478" s="194"/>
      <c r="B478" s="194"/>
      <c r="C478" s="189"/>
      <c r="D478" s="189"/>
      <c r="E478" s="189"/>
      <c r="F478" s="189"/>
      <c r="G478" s="189"/>
      <c r="H478" s="189"/>
      <c r="I478" s="189"/>
      <c r="J478" s="189"/>
      <c r="K478" s="189"/>
      <c r="L478" s="189"/>
      <c r="M478" s="189"/>
      <c r="N478" s="189"/>
      <c r="O478" s="189"/>
      <c r="P478" s="189"/>
      <c r="Q478" s="189"/>
      <c r="R478" s="189"/>
      <c r="S478" s="189"/>
      <c r="T478" s="189"/>
      <c r="U478" s="189"/>
      <c r="V478" s="189"/>
      <c r="W478" s="189"/>
    </row>
    <row r="479">
      <c r="A479" s="194"/>
      <c r="B479" s="194"/>
      <c r="C479" s="189"/>
      <c r="D479" s="189"/>
      <c r="E479" s="189"/>
      <c r="F479" s="189"/>
      <c r="G479" s="189"/>
      <c r="H479" s="189"/>
      <c r="I479" s="189"/>
      <c r="J479" s="189"/>
      <c r="K479" s="189"/>
      <c r="L479" s="189"/>
      <c r="M479" s="189"/>
      <c r="N479" s="189"/>
      <c r="O479" s="189"/>
      <c r="P479" s="189"/>
      <c r="Q479" s="189"/>
      <c r="R479" s="189"/>
      <c r="S479" s="189"/>
      <c r="T479" s="189"/>
      <c r="U479" s="189"/>
      <c r="V479" s="189"/>
      <c r="W479" s="189"/>
    </row>
    <row r="480">
      <c r="A480" s="194"/>
      <c r="B480" s="194"/>
      <c r="C480" s="189"/>
      <c r="D480" s="189"/>
      <c r="E480" s="189"/>
      <c r="F480" s="189"/>
      <c r="G480" s="189"/>
      <c r="H480" s="189"/>
      <c r="I480" s="189"/>
      <c r="J480" s="189"/>
      <c r="K480" s="189"/>
      <c r="L480" s="189"/>
      <c r="M480" s="189"/>
      <c r="N480" s="189"/>
      <c r="O480" s="189"/>
      <c r="P480" s="189"/>
      <c r="Q480" s="189"/>
      <c r="R480" s="189"/>
      <c r="S480" s="189"/>
      <c r="T480" s="189"/>
      <c r="U480" s="189"/>
      <c r="V480" s="189"/>
      <c r="W480" s="189"/>
    </row>
    <row r="481">
      <c r="A481" s="194"/>
      <c r="B481" s="194"/>
      <c r="C481" s="189"/>
      <c r="D481" s="189"/>
      <c r="E481" s="189"/>
      <c r="F481" s="189"/>
      <c r="G481" s="189"/>
      <c r="H481" s="189"/>
      <c r="I481" s="189"/>
      <c r="J481" s="189"/>
      <c r="K481" s="189"/>
      <c r="L481" s="189"/>
      <c r="M481" s="189"/>
      <c r="N481" s="189"/>
      <c r="O481" s="189"/>
      <c r="P481" s="189"/>
      <c r="Q481" s="189"/>
      <c r="R481" s="189"/>
      <c r="S481" s="189"/>
      <c r="T481" s="189"/>
      <c r="U481" s="189"/>
      <c r="V481" s="189"/>
      <c r="W481" s="189"/>
    </row>
    <row r="482">
      <c r="A482" s="194"/>
      <c r="B482" s="194"/>
      <c r="C482" s="189"/>
      <c r="D482" s="189"/>
      <c r="E482" s="189"/>
      <c r="F482" s="189"/>
      <c r="G482" s="189"/>
      <c r="H482" s="189"/>
      <c r="I482" s="189"/>
      <c r="J482" s="189"/>
      <c r="K482" s="189"/>
      <c r="L482" s="189"/>
      <c r="M482" s="189"/>
      <c r="N482" s="189"/>
      <c r="O482" s="189"/>
      <c r="P482" s="189"/>
      <c r="Q482" s="189"/>
      <c r="R482" s="189"/>
      <c r="S482" s="189"/>
      <c r="T482" s="189"/>
      <c r="U482" s="189"/>
      <c r="V482" s="189"/>
      <c r="W482" s="189"/>
    </row>
    <row r="483">
      <c r="A483" s="194"/>
      <c r="B483" s="194"/>
      <c r="C483" s="189"/>
      <c r="D483" s="189"/>
      <c r="E483" s="189"/>
      <c r="F483" s="189"/>
      <c r="G483" s="189"/>
      <c r="H483" s="189"/>
      <c r="I483" s="189"/>
      <c r="J483" s="189"/>
      <c r="K483" s="189"/>
      <c r="L483" s="189"/>
      <c r="M483" s="189"/>
      <c r="N483" s="189"/>
      <c r="O483" s="189"/>
      <c r="P483" s="189"/>
      <c r="Q483" s="189"/>
      <c r="R483" s="189"/>
      <c r="S483" s="189"/>
      <c r="T483" s="189"/>
      <c r="U483" s="189"/>
      <c r="V483" s="189"/>
      <c r="W483" s="189"/>
    </row>
    <row r="484">
      <c r="A484" s="194"/>
      <c r="B484" s="194"/>
      <c r="C484" s="189"/>
      <c r="D484" s="189"/>
      <c r="E484" s="189"/>
      <c r="F484" s="189"/>
      <c r="G484" s="189"/>
      <c r="H484" s="189"/>
      <c r="I484" s="189"/>
      <c r="J484" s="189"/>
      <c r="K484" s="189"/>
      <c r="L484" s="189"/>
      <c r="M484" s="189"/>
      <c r="N484" s="189"/>
      <c r="O484" s="189"/>
      <c r="P484" s="189"/>
      <c r="Q484" s="189"/>
      <c r="R484" s="189"/>
      <c r="S484" s="189"/>
      <c r="T484" s="189"/>
      <c r="U484" s="189"/>
      <c r="V484" s="189"/>
      <c r="W484" s="189"/>
    </row>
    <row r="485">
      <c r="A485" s="194"/>
      <c r="B485" s="194"/>
      <c r="C485" s="189"/>
      <c r="D485" s="189"/>
      <c r="E485" s="189"/>
      <c r="F485" s="189"/>
      <c r="G485" s="189"/>
      <c r="H485" s="189"/>
      <c r="I485" s="189"/>
      <c r="J485" s="189"/>
      <c r="K485" s="189"/>
      <c r="L485" s="189"/>
      <c r="M485" s="189"/>
      <c r="N485" s="189"/>
      <c r="O485" s="189"/>
      <c r="P485" s="189"/>
      <c r="Q485" s="189"/>
      <c r="R485" s="189"/>
      <c r="S485" s="189"/>
      <c r="T485" s="189"/>
      <c r="U485" s="189"/>
      <c r="V485" s="189"/>
      <c r="W485" s="189"/>
    </row>
    <row r="486">
      <c r="A486" s="194"/>
      <c r="B486" s="194"/>
      <c r="C486" s="189"/>
      <c r="D486" s="189"/>
      <c r="E486" s="189"/>
      <c r="F486" s="189"/>
      <c r="G486" s="189"/>
      <c r="H486" s="189"/>
      <c r="I486" s="189"/>
      <c r="J486" s="189"/>
      <c r="K486" s="189"/>
      <c r="L486" s="189"/>
      <c r="M486" s="189"/>
      <c r="N486" s="189"/>
      <c r="O486" s="189"/>
      <c r="P486" s="189"/>
      <c r="Q486" s="189"/>
      <c r="R486" s="189"/>
      <c r="S486" s="189"/>
      <c r="T486" s="189"/>
      <c r="U486" s="189"/>
      <c r="V486" s="189"/>
      <c r="W486" s="189"/>
    </row>
    <row r="487">
      <c r="A487" s="194"/>
      <c r="B487" s="194"/>
      <c r="C487" s="189"/>
      <c r="D487" s="189"/>
      <c r="E487" s="189"/>
      <c r="F487" s="189"/>
      <c r="G487" s="189"/>
      <c r="H487" s="189"/>
      <c r="I487" s="189"/>
      <c r="J487" s="189"/>
      <c r="K487" s="189"/>
      <c r="L487" s="189"/>
      <c r="M487" s="189"/>
      <c r="N487" s="189"/>
      <c r="O487" s="189"/>
      <c r="P487" s="189"/>
      <c r="Q487" s="189"/>
      <c r="R487" s="189"/>
      <c r="S487" s="189"/>
      <c r="T487" s="189"/>
      <c r="U487" s="189"/>
      <c r="V487" s="189"/>
      <c r="W487" s="189"/>
    </row>
    <row r="488">
      <c r="A488" s="194"/>
      <c r="B488" s="194"/>
      <c r="C488" s="189"/>
      <c r="D488" s="189"/>
      <c r="E488" s="189"/>
      <c r="F488" s="189"/>
      <c r="G488" s="189"/>
      <c r="H488" s="189"/>
      <c r="I488" s="189"/>
      <c r="J488" s="189"/>
      <c r="K488" s="189"/>
      <c r="L488" s="189"/>
      <c r="M488" s="189"/>
      <c r="N488" s="189"/>
      <c r="O488" s="189"/>
      <c r="P488" s="189"/>
      <c r="Q488" s="189"/>
      <c r="R488" s="189"/>
      <c r="S488" s="189"/>
      <c r="T488" s="189"/>
      <c r="U488" s="189"/>
      <c r="V488" s="189"/>
      <c r="W488" s="189"/>
    </row>
    <row r="489">
      <c r="A489" s="194"/>
      <c r="B489" s="194"/>
      <c r="C489" s="189"/>
      <c r="D489" s="189"/>
      <c r="E489" s="189"/>
      <c r="F489" s="189"/>
      <c r="G489" s="189"/>
      <c r="H489" s="189"/>
      <c r="I489" s="189"/>
      <c r="J489" s="189"/>
      <c r="K489" s="189"/>
      <c r="L489" s="189"/>
      <c r="M489" s="189"/>
      <c r="N489" s="189"/>
      <c r="O489" s="189"/>
      <c r="P489" s="189"/>
      <c r="Q489" s="189"/>
      <c r="R489" s="189"/>
      <c r="S489" s="189"/>
      <c r="T489" s="189"/>
      <c r="U489" s="189"/>
      <c r="V489" s="189"/>
      <c r="W489" s="189"/>
    </row>
    <row r="490">
      <c r="A490" s="194"/>
      <c r="B490" s="194"/>
      <c r="C490" s="189"/>
      <c r="D490" s="189"/>
      <c r="E490" s="189"/>
      <c r="F490" s="189"/>
      <c r="G490" s="189"/>
      <c r="H490" s="189"/>
      <c r="I490" s="189"/>
      <c r="J490" s="189"/>
      <c r="K490" s="189"/>
      <c r="L490" s="189"/>
      <c r="M490" s="189"/>
      <c r="N490" s="189"/>
      <c r="O490" s="189"/>
      <c r="P490" s="189"/>
      <c r="Q490" s="189"/>
      <c r="R490" s="189"/>
      <c r="S490" s="189"/>
      <c r="T490" s="189"/>
      <c r="U490" s="189"/>
      <c r="V490" s="189"/>
      <c r="W490" s="189"/>
    </row>
    <row r="491">
      <c r="A491" s="194"/>
      <c r="B491" s="194"/>
      <c r="C491" s="189"/>
      <c r="D491" s="189"/>
      <c r="E491" s="189"/>
      <c r="F491" s="189"/>
      <c r="G491" s="189"/>
      <c r="H491" s="189"/>
      <c r="I491" s="189"/>
      <c r="J491" s="189"/>
      <c r="K491" s="189"/>
      <c r="L491" s="189"/>
      <c r="M491" s="189"/>
      <c r="N491" s="189"/>
      <c r="O491" s="189"/>
      <c r="P491" s="189"/>
      <c r="Q491" s="189"/>
      <c r="R491" s="189"/>
      <c r="S491" s="189"/>
      <c r="T491" s="189"/>
      <c r="U491" s="189"/>
      <c r="V491" s="189"/>
      <c r="W491" s="189"/>
    </row>
    <row r="492">
      <c r="A492" s="194"/>
      <c r="B492" s="194"/>
      <c r="C492" s="189"/>
      <c r="D492" s="189"/>
      <c r="E492" s="189"/>
      <c r="F492" s="189"/>
      <c r="G492" s="189"/>
      <c r="H492" s="189"/>
      <c r="I492" s="189"/>
      <c r="J492" s="189"/>
      <c r="K492" s="189"/>
      <c r="L492" s="189"/>
      <c r="M492" s="189"/>
      <c r="N492" s="189"/>
      <c r="O492" s="189"/>
      <c r="P492" s="189"/>
      <c r="Q492" s="189"/>
      <c r="R492" s="189"/>
      <c r="S492" s="189"/>
      <c r="T492" s="189"/>
      <c r="U492" s="189"/>
      <c r="V492" s="189"/>
      <c r="W492" s="189"/>
    </row>
    <row r="493">
      <c r="A493" s="194"/>
      <c r="B493" s="194"/>
      <c r="C493" s="189"/>
      <c r="D493" s="189"/>
      <c r="E493" s="189"/>
      <c r="F493" s="189"/>
      <c r="G493" s="189"/>
      <c r="H493" s="189"/>
      <c r="I493" s="189"/>
      <c r="J493" s="189"/>
      <c r="K493" s="189"/>
      <c r="L493" s="189"/>
      <c r="M493" s="189"/>
      <c r="N493" s="189"/>
      <c r="O493" s="189"/>
      <c r="P493" s="189"/>
      <c r="Q493" s="189"/>
      <c r="R493" s="189"/>
      <c r="S493" s="189"/>
      <c r="T493" s="189"/>
      <c r="U493" s="189"/>
      <c r="V493" s="189"/>
      <c r="W493" s="189"/>
    </row>
    <row r="494">
      <c r="A494" s="194"/>
      <c r="B494" s="194"/>
      <c r="C494" s="189"/>
      <c r="D494" s="189"/>
      <c r="E494" s="189"/>
      <c r="F494" s="189"/>
      <c r="G494" s="189"/>
      <c r="H494" s="189"/>
      <c r="I494" s="189"/>
      <c r="J494" s="189"/>
      <c r="K494" s="189"/>
      <c r="L494" s="189"/>
      <c r="M494" s="189"/>
      <c r="N494" s="189"/>
      <c r="O494" s="189"/>
      <c r="P494" s="189"/>
      <c r="Q494" s="189"/>
      <c r="R494" s="189"/>
      <c r="S494" s="189"/>
      <c r="T494" s="189"/>
      <c r="U494" s="189"/>
      <c r="V494" s="189"/>
      <c r="W494" s="189"/>
    </row>
    <row r="495">
      <c r="A495" s="194"/>
      <c r="B495" s="194"/>
      <c r="C495" s="189"/>
      <c r="D495" s="189"/>
      <c r="E495" s="189"/>
      <c r="F495" s="189"/>
      <c r="G495" s="189"/>
      <c r="H495" s="189"/>
      <c r="I495" s="189"/>
      <c r="J495" s="189"/>
      <c r="K495" s="189"/>
      <c r="L495" s="189"/>
      <c r="M495" s="189"/>
      <c r="N495" s="189"/>
      <c r="O495" s="189"/>
      <c r="P495" s="189"/>
      <c r="Q495" s="189"/>
      <c r="R495" s="189"/>
      <c r="S495" s="189"/>
      <c r="T495" s="189"/>
      <c r="U495" s="189"/>
      <c r="V495" s="189"/>
      <c r="W495" s="189"/>
    </row>
    <row r="496">
      <c r="A496" s="194"/>
      <c r="B496" s="194"/>
      <c r="C496" s="189"/>
      <c r="D496" s="189"/>
      <c r="E496" s="189"/>
      <c r="F496" s="189"/>
      <c r="G496" s="189"/>
      <c r="H496" s="189"/>
      <c r="I496" s="189"/>
      <c r="J496" s="189"/>
      <c r="K496" s="189"/>
      <c r="L496" s="189"/>
      <c r="M496" s="189"/>
      <c r="N496" s="189"/>
      <c r="O496" s="189"/>
      <c r="P496" s="189"/>
      <c r="Q496" s="189"/>
      <c r="R496" s="189"/>
      <c r="S496" s="189"/>
      <c r="T496" s="189"/>
      <c r="U496" s="189"/>
      <c r="V496" s="189"/>
      <c r="W496" s="189"/>
    </row>
    <row r="497">
      <c r="A497" s="194"/>
      <c r="B497" s="194"/>
      <c r="C497" s="189"/>
      <c r="D497" s="189"/>
      <c r="E497" s="189"/>
      <c r="F497" s="189"/>
      <c r="G497" s="189"/>
      <c r="H497" s="189"/>
      <c r="I497" s="189"/>
      <c r="J497" s="189"/>
      <c r="K497" s="189"/>
      <c r="L497" s="189"/>
      <c r="M497" s="189"/>
      <c r="N497" s="189"/>
      <c r="O497" s="189"/>
      <c r="P497" s="189"/>
      <c r="Q497" s="189"/>
      <c r="R497" s="189"/>
      <c r="S497" s="189"/>
      <c r="T497" s="189"/>
      <c r="U497" s="189"/>
      <c r="V497" s="189"/>
      <c r="W497" s="189"/>
    </row>
    <row r="498">
      <c r="A498" s="194"/>
      <c r="B498" s="194"/>
      <c r="C498" s="189"/>
      <c r="D498" s="189"/>
      <c r="E498" s="189"/>
      <c r="F498" s="189"/>
      <c r="G498" s="189"/>
      <c r="H498" s="189"/>
      <c r="I498" s="189"/>
      <c r="J498" s="189"/>
      <c r="K498" s="189"/>
      <c r="L498" s="189"/>
      <c r="M498" s="189"/>
      <c r="N498" s="189"/>
      <c r="O498" s="189"/>
      <c r="P498" s="189"/>
      <c r="Q498" s="189"/>
      <c r="R498" s="189"/>
      <c r="S498" s="189"/>
      <c r="T498" s="189"/>
      <c r="U498" s="189"/>
      <c r="V498" s="189"/>
      <c r="W498" s="189"/>
    </row>
    <row r="499">
      <c r="A499" s="194"/>
      <c r="B499" s="194"/>
      <c r="C499" s="189"/>
      <c r="D499" s="189"/>
      <c r="E499" s="189"/>
      <c r="F499" s="189"/>
      <c r="G499" s="189"/>
      <c r="H499" s="189"/>
      <c r="I499" s="189"/>
      <c r="J499" s="189"/>
      <c r="K499" s="189"/>
      <c r="L499" s="189"/>
      <c r="M499" s="189"/>
      <c r="N499" s="189"/>
      <c r="O499" s="189"/>
      <c r="P499" s="189"/>
      <c r="Q499" s="189"/>
      <c r="R499" s="189"/>
      <c r="S499" s="189"/>
      <c r="T499" s="189"/>
      <c r="U499" s="189"/>
      <c r="V499" s="189"/>
      <c r="W499" s="189"/>
    </row>
    <row r="500">
      <c r="A500" s="194"/>
      <c r="B500" s="194"/>
      <c r="C500" s="189"/>
      <c r="D500" s="189"/>
      <c r="E500" s="189"/>
      <c r="F500" s="189"/>
      <c r="G500" s="189"/>
      <c r="H500" s="189"/>
      <c r="I500" s="189"/>
      <c r="J500" s="189"/>
      <c r="K500" s="189"/>
      <c r="L500" s="189"/>
      <c r="M500" s="189"/>
      <c r="N500" s="189"/>
      <c r="O500" s="189"/>
      <c r="P500" s="189"/>
      <c r="Q500" s="189"/>
      <c r="R500" s="189"/>
      <c r="S500" s="189"/>
      <c r="T500" s="189"/>
      <c r="U500" s="189"/>
      <c r="V500" s="189"/>
      <c r="W500" s="189"/>
    </row>
    <row r="501">
      <c r="A501" s="194"/>
      <c r="B501" s="194"/>
      <c r="C501" s="189"/>
      <c r="D501" s="189"/>
      <c r="E501" s="189"/>
      <c r="F501" s="189"/>
      <c r="G501" s="189"/>
      <c r="H501" s="189"/>
      <c r="I501" s="189"/>
      <c r="J501" s="189"/>
      <c r="K501" s="189"/>
      <c r="L501" s="189"/>
      <c r="M501" s="189"/>
      <c r="N501" s="189"/>
      <c r="O501" s="189"/>
      <c r="P501" s="189"/>
      <c r="Q501" s="189"/>
      <c r="R501" s="189"/>
      <c r="S501" s="189"/>
      <c r="T501" s="189"/>
      <c r="U501" s="189"/>
      <c r="V501" s="189"/>
      <c r="W501" s="189"/>
    </row>
    <row r="502">
      <c r="A502" s="194"/>
      <c r="B502" s="194"/>
      <c r="C502" s="189"/>
      <c r="D502" s="189"/>
      <c r="E502" s="189"/>
      <c r="F502" s="189"/>
      <c r="G502" s="189"/>
      <c r="H502" s="189"/>
      <c r="I502" s="189"/>
      <c r="J502" s="189"/>
      <c r="K502" s="189"/>
      <c r="L502" s="189"/>
      <c r="M502" s="189"/>
      <c r="N502" s="189"/>
      <c r="O502" s="189"/>
      <c r="P502" s="189"/>
      <c r="Q502" s="189"/>
      <c r="R502" s="189"/>
      <c r="S502" s="189"/>
      <c r="T502" s="189"/>
      <c r="U502" s="189"/>
      <c r="V502" s="189"/>
      <c r="W502" s="189"/>
    </row>
    <row r="503">
      <c r="A503" s="194"/>
      <c r="B503" s="194"/>
      <c r="C503" s="189"/>
      <c r="D503" s="189"/>
      <c r="E503" s="189"/>
      <c r="F503" s="189"/>
      <c r="G503" s="189"/>
      <c r="H503" s="189"/>
      <c r="I503" s="189"/>
      <c r="J503" s="189"/>
      <c r="K503" s="189"/>
      <c r="L503" s="189"/>
      <c r="M503" s="189"/>
      <c r="N503" s="189"/>
      <c r="O503" s="189"/>
      <c r="P503" s="189"/>
      <c r="Q503" s="189"/>
      <c r="R503" s="189"/>
      <c r="S503" s="189"/>
      <c r="T503" s="189"/>
      <c r="U503" s="189"/>
      <c r="V503" s="189"/>
      <c r="W503" s="189"/>
    </row>
    <row r="504">
      <c r="A504" s="194"/>
      <c r="B504" s="194"/>
      <c r="C504" s="189"/>
      <c r="D504" s="189"/>
      <c r="E504" s="189"/>
      <c r="F504" s="189"/>
      <c r="G504" s="189"/>
      <c r="H504" s="189"/>
      <c r="I504" s="189"/>
      <c r="J504" s="189"/>
      <c r="K504" s="189"/>
      <c r="L504" s="189"/>
      <c r="M504" s="189"/>
      <c r="N504" s="189"/>
      <c r="O504" s="189"/>
      <c r="P504" s="189"/>
      <c r="Q504" s="189"/>
      <c r="R504" s="189"/>
      <c r="S504" s="189"/>
      <c r="T504" s="189"/>
      <c r="U504" s="189"/>
      <c r="V504" s="189"/>
      <c r="W504" s="189"/>
    </row>
    <row r="505">
      <c r="A505" s="194"/>
      <c r="B505" s="194"/>
      <c r="C505" s="189"/>
      <c r="D505" s="189"/>
      <c r="E505" s="189"/>
      <c r="F505" s="189"/>
      <c r="G505" s="189"/>
      <c r="H505" s="189"/>
      <c r="I505" s="189"/>
      <c r="J505" s="189"/>
      <c r="K505" s="189"/>
      <c r="L505" s="189"/>
      <c r="M505" s="189"/>
      <c r="N505" s="189"/>
      <c r="O505" s="189"/>
      <c r="P505" s="189"/>
      <c r="Q505" s="189"/>
      <c r="R505" s="189"/>
      <c r="S505" s="189"/>
      <c r="T505" s="189"/>
      <c r="U505" s="189"/>
      <c r="V505" s="189"/>
      <c r="W505" s="189"/>
    </row>
    <row r="506">
      <c r="A506" s="194"/>
      <c r="B506" s="194"/>
      <c r="C506" s="189"/>
      <c r="D506" s="189"/>
      <c r="E506" s="189"/>
      <c r="F506" s="189"/>
      <c r="G506" s="189"/>
      <c r="H506" s="189"/>
      <c r="I506" s="189"/>
      <c r="J506" s="189"/>
      <c r="K506" s="189"/>
      <c r="L506" s="189"/>
      <c r="M506" s="189"/>
      <c r="N506" s="189"/>
      <c r="O506" s="189"/>
      <c r="P506" s="189"/>
      <c r="Q506" s="189"/>
      <c r="R506" s="189"/>
      <c r="S506" s="189"/>
      <c r="T506" s="189"/>
      <c r="U506" s="189"/>
      <c r="V506" s="189"/>
      <c r="W506" s="189"/>
    </row>
    <row r="507">
      <c r="A507" s="194"/>
      <c r="B507" s="194"/>
      <c r="C507" s="189"/>
      <c r="D507" s="189"/>
      <c r="E507" s="189"/>
      <c r="F507" s="189"/>
      <c r="G507" s="189"/>
      <c r="H507" s="189"/>
      <c r="I507" s="189"/>
      <c r="J507" s="189"/>
      <c r="K507" s="189"/>
      <c r="L507" s="189"/>
      <c r="M507" s="189"/>
      <c r="N507" s="189"/>
      <c r="O507" s="189"/>
      <c r="P507" s="189"/>
      <c r="Q507" s="189"/>
      <c r="R507" s="189"/>
      <c r="S507" s="189"/>
      <c r="T507" s="189"/>
      <c r="U507" s="189"/>
      <c r="V507" s="189"/>
      <c r="W507" s="189"/>
    </row>
    <row r="508">
      <c r="A508" s="194"/>
      <c r="B508" s="194"/>
      <c r="C508" s="189"/>
      <c r="D508" s="189"/>
      <c r="E508" s="189"/>
      <c r="F508" s="189"/>
      <c r="G508" s="189"/>
      <c r="H508" s="189"/>
      <c r="I508" s="189"/>
      <c r="J508" s="189"/>
      <c r="K508" s="189"/>
      <c r="L508" s="189"/>
      <c r="M508" s="189"/>
      <c r="N508" s="189"/>
      <c r="O508" s="189"/>
      <c r="P508" s="189"/>
      <c r="Q508" s="189"/>
      <c r="R508" s="189"/>
      <c r="S508" s="189"/>
      <c r="T508" s="189"/>
      <c r="U508" s="189"/>
      <c r="V508" s="189"/>
      <c r="W508" s="189"/>
    </row>
    <row r="509">
      <c r="A509" s="194"/>
      <c r="B509" s="194"/>
      <c r="C509" s="189"/>
      <c r="D509" s="189"/>
      <c r="E509" s="189"/>
      <c r="F509" s="189"/>
      <c r="G509" s="189"/>
      <c r="H509" s="189"/>
      <c r="I509" s="189"/>
      <c r="J509" s="189"/>
      <c r="K509" s="189"/>
      <c r="L509" s="189"/>
      <c r="M509" s="189"/>
      <c r="N509" s="189"/>
      <c r="O509" s="189"/>
      <c r="P509" s="189"/>
      <c r="Q509" s="189"/>
      <c r="R509" s="189"/>
      <c r="S509" s="189"/>
      <c r="T509" s="189"/>
      <c r="U509" s="189"/>
      <c r="V509" s="189"/>
      <c r="W509" s="189"/>
    </row>
    <row r="510">
      <c r="A510" s="194"/>
      <c r="B510" s="194"/>
      <c r="C510" s="189"/>
      <c r="D510" s="189"/>
      <c r="E510" s="189"/>
      <c r="F510" s="189"/>
      <c r="G510" s="189"/>
      <c r="H510" s="189"/>
      <c r="I510" s="189"/>
      <c r="J510" s="189"/>
      <c r="K510" s="189"/>
      <c r="L510" s="189"/>
      <c r="M510" s="189"/>
      <c r="N510" s="189"/>
      <c r="O510" s="189"/>
      <c r="P510" s="189"/>
      <c r="Q510" s="189"/>
      <c r="R510" s="189"/>
      <c r="S510" s="189"/>
      <c r="T510" s="189"/>
      <c r="U510" s="189"/>
      <c r="V510" s="189"/>
      <c r="W510" s="189"/>
    </row>
    <row r="511">
      <c r="A511" s="194"/>
      <c r="B511" s="194"/>
      <c r="C511" s="189"/>
      <c r="D511" s="189"/>
      <c r="E511" s="189"/>
      <c r="F511" s="189"/>
      <c r="G511" s="189"/>
      <c r="H511" s="189"/>
      <c r="I511" s="189"/>
      <c r="J511" s="189"/>
      <c r="K511" s="189"/>
      <c r="L511" s="189"/>
      <c r="M511" s="189"/>
      <c r="N511" s="189"/>
      <c r="O511" s="189"/>
      <c r="P511" s="189"/>
      <c r="Q511" s="189"/>
      <c r="R511" s="189"/>
      <c r="S511" s="189"/>
      <c r="T511" s="189"/>
      <c r="U511" s="189"/>
      <c r="V511" s="189"/>
      <c r="W511" s="189"/>
    </row>
    <row r="512">
      <c r="A512" s="194"/>
      <c r="B512" s="194"/>
      <c r="C512" s="189"/>
      <c r="D512" s="189"/>
      <c r="E512" s="189"/>
      <c r="F512" s="189"/>
      <c r="G512" s="189"/>
      <c r="H512" s="189"/>
      <c r="I512" s="189"/>
      <c r="J512" s="189"/>
      <c r="K512" s="189"/>
      <c r="L512" s="189"/>
      <c r="M512" s="189"/>
      <c r="N512" s="189"/>
      <c r="O512" s="189"/>
      <c r="P512" s="189"/>
      <c r="Q512" s="189"/>
      <c r="R512" s="189"/>
      <c r="S512" s="189"/>
      <c r="T512" s="189"/>
      <c r="U512" s="189"/>
      <c r="V512" s="189"/>
      <c r="W512" s="189"/>
    </row>
    <row r="513">
      <c r="A513" s="194"/>
      <c r="B513" s="194"/>
      <c r="C513" s="189"/>
      <c r="D513" s="189"/>
      <c r="E513" s="189"/>
      <c r="F513" s="189"/>
      <c r="G513" s="189"/>
      <c r="H513" s="189"/>
      <c r="I513" s="189"/>
      <c r="J513" s="189"/>
      <c r="K513" s="189"/>
      <c r="L513" s="189"/>
      <c r="M513" s="189"/>
      <c r="N513" s="189"/>
      <c r="O513" s="189"/>
      <c r="P513" s="189"/>
      <c r="Q513" s="189"/>
      <c r="R513" s="189"/>
      <c r="S513" s="189"/>
      <c r="T513" s="189"/>
      <c r="U513" s="189"/>
      <c r="V513" s="189"/>
      <c r="W513" s="189"/>
    </row>
    <row r="514">
      <c r="A514" s="194"/>
      <c r="B514" s="194"/>
      <c r="C514" s="189"/>
      <c r="D514" s="189"/>
      <c r="E514" s="189"/>
      <c r="F514" s="189"/>
      <c r="G514" s="189"/>
      <c r="H514" s="189"/>
      <c r="I514" s="189"/>
      <c r="J514" s="189"/>
      <c r="K514" s="189"/>
      <c r="L514" s="189"/>
      <c r="M514" s="189"/>
      <c r="N514" s="189"/>
      <c r="O514" s="189"/>
      <c r="P514" s="189"/>
      <c r="Q514" s="189"/>
      <c r="R514" s="189"/>
      <c r="S514" s="189"/>
      <c r="T514" s="189"/>
      <c r="U514" s="189"/>
      <c r="V514" s="189"/>
      <c r="W514" s="189"/>
    </row>
    <row r="515">
      <c r="A515" s="194"/>
      <c r="B515" s="194"/>
      <c r="C515" s="189"/>
      <c r="D515" s="189"/>
      <c r="E515" s="189"/>
      <c r="F515" s="189"/>
      <c r="G515" s="189"/>
      <c r="H515" s="189"/>
      <c r="I515" s="189"/>
      <c r="J515" s="189"/>
      <c r="K515" s="189"/>
      <c r="L515" s="189"/>
      <c r="M515" s="189"/>
      <c r="N515" s="189"/>
      <c r="O515" s="189"/>
      <c r="P515" s="189"/>
      <c r="Q515" s="189"/>
      <c r="R515" s="189"/>
      <c r="S515" s="189"/>
      <c r="T515" s="189"/>
      <c r="U515" s="189"/>
      <c r="V515" s="189"/>
      <c r="W515" s="189"/>
    </row>
    <row r="516">
      <c r="A516" s="194"/>
      <c r="B516" s="194"/>
      <c r="C516" s="189"/>
      <c r="D516" s="189"/>
      <c r="E516" s="189"/>
      <c r="F516" s="189"/>
      <c r="G516" s="189"/>
      <c r="H516" s="189"/>
      <c r="I516" s="189"/>
      <c r="J516" s="189"/>
      <c r="K516" s="189"/>
      <c r="L516" s="189"/>
      <c r="M516" s="189"/>
      <c r="N516" s="189"/>
      <c r="O516" s="189"/>
      <c r="P516" s="189"/>
      <c r="Q516" s="189"/>
      <c r="R516" s="189"/>
      <c r="S516" s="189"/>
      <c r="T516" s="189"/>
      <c r="U516" s="189"/>
      <c r="V516" s="189"/>
      <c r="W516" s="189"/>
    </row>
    <row r="517">
      <c r="A517" s="194"/>
      <c r="B517" s="194"/>
      <c r="C517" s="189"/>
      <c r="D517" s="189"/>
      <c r="E517" s="189"/>
      <c r="F517" s="189"/>
      <c r="G517" s="189"/>
      <c r="H517" s="189"/>
      <c r="I517" s="189"/>
      <c r="J517" s="189"/>
      <c r="K517" s="189"/>
      <c r="L517" s="189"/>
      <c r="M517" s="189"/>
      <c r="N517" s="189"/>
      <c r="O517" s="189"/>
      <c r="P517" s="189"/>
      <c r="Q517" s="189"/>
      <c r="R517" s="189"/>
      <c r="S517" s="189"/>
      <c r="T517" s="189"/>
      <c r="U517" s="189"/>
      <c r="V517" s="189"/>
      <c r="W517" s="189"/>
    </row>
    <row r="518">
      <c r="A518" s="194"/>
      <c r="B518" s="194"/>
      <c r="C518" s="189"/>
      <c r="D518" s="189"/>
      <c r="E518" s="189"/>
      <c r="F518" s="189"/>
      <c r="G518" s="189"/>
      <c r="H518" s="189"/>
      <c r="I518" s="189"/>
      <c r="J518" s="189"/>
      <c r="K518" s="189"/>
      <c r="L518" s="189"/>
      <c r="M518" s="189"/>
      <c r="N518" s="189"/>
      <c r="O518" s="189"/>
      <c r="P518" s="189"/>
      <c r="Q518" s="189"/>
      <c r="R518" s="189"/>
      <c r="S518" s="189"/>
      <c r="T518" s="189"/>
      <c r="U518" s="189"/>
      <c r="V518" s="189"/>
      <c r="W518" s="189"/>
    </row>
    <row r="519">
      <c r="A519" s="194"/>
      <c r="B519" s="194"/>
      <c r="C519" s="189"/>
      <c r="D519" s="189"/>
      <c r="E519" s="189"/>
      <c r="F519" s="189"/>
      <c r="G519" s="189"/>
      <c r="H519" s="189"/>
      <c r="I519" s="189"/>
      <c r="J519" s="189"/>
      <c r="K519" s="189"/>
      <c r="L519" s="189"/>
      <c r="M519" s="189"/>
      <c r="N519" s="189"/>
      <c r="O519" s="189"/>
      <c r="P519" s="189"/>
      <c r="Q519" s="189"/>
      <c r="R519" s="189"/>
      <c r="S519" s="189"/>
      <c r="T519" s="189"/>
      <c r="U519" s="189"/>
      <c r="V519" s="189"/>
      <c r="W519" s="189"/>
    </row>
    <row r="520">
      <c r="A520" s="194"/>
      <c r="B520" s="194"/>
      <c r="C520" s="189"/>
      <c r="D520" s="189"/>
      <c r="E520" s="189"/>
      <c r="F520" s="189"/>
      <c r="G520" s="189"/>
      <c r="H520" s="189"/>
      <c r="I520" s="189"/>
      <c r="J520" s="189"/>
      <c r="K520" s="189"/>
      <c r="L520" s="189"/>
      <c r="M520" s="189"/>
      <c r="N520" s="189"/>
      <c r="O520" s="189"/>
      <c r="P520" s="189"/>
      <c r="Q520" s="189"/>
      <c r="R520" s="189"/>
      <c r="S520" s="189"/>
      <c r="T520" s="189"/>
      <c r="U520" s="189"/>
      <c r="V520" s="189"/>
      <c r="W520" s="189"/>
    </row>
    <row r="521">
      <c r="A521" s="194"/>
      <c r="B521" s="194"/>
      <c r="C521" s="189"/>
      <c r="D521" s="189"/>
      <c r="E521" s="189"/>
      <c r="F521" s="189"/>
      <c r="G521" s="189"/>
      <c r="H521" s="189"/>
      <c r="I521" s="189"/>
      <c r="J521" s="189"/>
      <c r="K521" s="189"/>
      <c r="L521" s="189"/>
      <c r="M521" s="189"/>
      <c r="N521" s="189"/>
      <c r="O521" s="189"/>
      <c r="P521" s="189"/>
      <c r="Q521" s="189"/>
      <c r="R521" s="189"/>
      <c r="S521" s="189"/>
      <c r="T521" s="189"/>
      <c r="U521" s="189"/>
      <c r="V521" s="189"/>
      <c r="W521" s="189"/>
    </row>
    <row r="522">
      <c r="A522" s="194"/>
      <c r="B522" s="194"/>
      <c r="C522" s="189"/>
      <c r="D522" s="189"/>
      <c r="E522" s="189"/>
      <c r="F522" s="189"/>
      <c r="G522" s="189"/>
      <c r="H522" s="189"/>
      <c r="I522" s="189"/>
      <c r="J522" s="189"/>
      <c r="K522" s="189"/>
      <c r="L522" s="189"/>
      <c r="M522" s="189"/>
      <c r="N522" s="189"/>
      <c r="O522" s="189"/>
      <c r="P522" s="189"/>
      <c r="Q522" s="189"/>
      <c r="R522" s="189"/>
      <c r="S522" s="189"/>
      <c r="T522" s="189"/>
      <c r="U522" s="189"/>
      <c r="V522" s="189"/>
      <c r="W522" s="189"/>
    </row>
    <row r="523">
      <c r="A523" s="194"/>
      <c r="B523" s="194"/>
      <c r="C523" s="189"/>
      <c r="D523" s="189"/>
      <c r="E523" s="189"/>
      <c r="F523" s="189"/>
      <c r="G523" s="189"/>
      <c r="H523" s="189"/>
      <c r="I523" s="189"/>
      <c r="J523" s="189"/>
      <c r="K523" s="189"/>
      <c r="L523" s="189"/>
      <c r="M523" s="189"/>
      <c r="N523" s="189"/>
      <c r="O523" s="189"/>
      <c r="P523" s="189"/>
      <c r="Q523" s="189"/>
      <c r="R523" s="189"/>
      <c r="S523" s="189"/>
      <c r="T523" s="189"/>
      <c r="U523" s="189"/>
      <c r="V523" s="189"/>
      <c r="W523" s="189"/>
    </row>
    <row r="524">
      <c r="A524" s="194"/>
      <c r="B524" s="194"/>
      <c r="C524" s="189"/>
      <c r="D524" s="189"/>
      <c r="E524" s="189"/>
      <c r="F524" s="189"/>
      <c r="G524" s="189"/>
      <c r="H524" s="189"/>
      <c r="I524" s="189"/>
      <c r="J524" s="189"/>
      <c r="K524" s="189"/>
      <c r="L524" s="189"/>
      <c r="M524" s="189"/>
      <c r="N524" s="189"/>
      <c r="O524" s="189"/>
      <c r="P524" s="189"/>
      <c r="Q524" s="189"/>
      <c r="R524" s="189"/>
      <c r="S524" s="189"/>
      <c r="T524" s="189"/>
      <c r="U524" s="189"/>
      <c r="V524" s="189"/>
      <c r="W524" s="189"/>
    </row>
    <row r="525">
      <c r="A525" s="194"/>
      <c r="B525" s="194"/>
      <c r="C525" s="189"/>
      <c r="D525" s="189"/>
      <c r="E525" s="189"/>
      <c r="F525" s="189"/>
      <c r="G525" s="189"/>
      <c r="H525" s="189"/>
      <c r="I525" s="189"/>
      <c r="J525" s="189"/>
      <c r="K525" s="189"/>
      <c r="L525" s="189"/>
      <c r="M525" s="189"/>
      <c r="N525" s="189"/>
      <c r="O525" s="189"/>
      <c r="P525" s="189"/>
      <c r="Q525" s="189"/>
      <c r="R525" s="189"/>
      <c r="S525" s="189"/>
      <c r="T525" s="189"/>
      <c r="U525" s="189"/>
      <c r="V525" s="189"/>
      <c r="W525" s="189"/>
    </row>
    <row r="526">
      <c r="A526" s="194"/>
      <c r="B526" s="194"/>
      <c r="C526" s="189"/>
      <c r="D526" s="189"/>
      <c r="E526" s="189"/>
      <c r="F526" s="189"/>
      <c r="G526" s="189"/>
      <c r="H526" s="189"/>
      <c r="I526" s="189"/>
      <c r="J526" s="189"/>
      <c r="K526" s="189"/>
      <c r="L526" s="189"/>
      <c r="M526" s="189"/>
      <c r="N526" s="189"/>
      <c r="O526" s="189"/>
      <c r="P526" s="189"/>
      <c r="Q526" s="189"/>
      <c r="R526" s="189"/>
      <c r="S526" s="189"/>
      <c r="T526" s="189"/>
      <c r="U526" s="189"/>
      <c r="V526" s="189"/>
      <c r="W526" s="189"/>
    </row>
    <row r="527">
      <c r="A527" s="194"/>
      <c r="B527" s="194"/>
      <c r="C527" s="189"/>
      <c r="D527" s="189"/>
      <c r="E527" s="189"/>
      <c r="F527" s="189"/>
      <c r="G527" s="189"/>
      <c r="H527" s="189"/>
      <c r="I527" s="189"/>
      <c r="J527" s="189"/>
      <c r="K527" s="189"/>
      <c r="L527" s="189"/>
      <c r="M527" s="189"/>
      <c r="N527" s="189"/>
      <c r="O527" s="189"/>
      <c r="P527" s="189"/>
      <c r="Q527" s="189"/>
      <c r="R527" s="189"/>
      <c r="S527" s="189"/>
      <c r="T527" s="189"/>
      <c r="U527" s="189"/>
      <c r="V527" s="189"/>
      <c r="W527" s="189"/>
    </row>
    <row r="528">
      <c r="A528" s="194"/>
      <c r="B528" s="194"/>
      <c r="C528" s="189"/>
      <c r="D528" s="189"/>
      <c r="E528" s="189"/>
      <c r="F528" s="189"/>
      <c r="G528" s="189"/>
      <c r="H528" s="189"/>
      <c r="I528" s="189"/>
      <c r="J528" s="189"/>
      <c r="K528" s="189"/>
      <c r="L528" s="189"/>
      <c r="M528" s="189"/>
      <c r="N528" s="189"/>
      <c r="O528" s="189"/>
      <c r="P528" s="189"/>
      <c r="Q528" s="189"/>
      <c r="R528" s="189"/>
      <c r="S528" s="189"/>
      <c r="T528" s="189"/>
      <c r="U528" s="189"/>
      <c r="V528" s="189"/>
      <c r="W528" s="189"/>
    </row>
    <row r="529">
      <c r="A529" s="194"/>
      <c r="B529" s="194"/>
      <c r="C529" s="189"/>
      <c r="D529" s="189"/>
      <c r="E529" s="189"/>
      <c r="F529" s="189"/>
      <c r="G529" s="189"/>
      <c r="H529" s="189"/>
      <c r="I529" s="189"/>
      <c r="J529" s="189"/>
      <c r="K529" s="189"/>
      <c r="L529" s="189"/>
      <c r="M529" s="189"/>
      <c r="N529" s="189"/>
      <c r="O529" s="189"/>
      <c r="P529" s="189"/>
      <c r="Q529" s="189"/>
      <c r="R529" s="189"/>
      <c r="S529" s="189"/>
      <c r="T529" s="189"/>
      <c r="U529" s="189"/>
      <c r="V529" s="189"/>
      <c r="W529" s="189"/>
    </row>
    <row r="530">
      <c r="A530" s="194"/>
      <c r="B530" s="194"/>
      <c r="C530" s="189"/>
      <c r="D530" s="189"/>
      <c r="E530" s="189"/>
      <c r="F530" s="189"/>
      <c r="G530" s="189"/>
      <c r="H530" s="189"/>
      <c r="I530" s="189"/>
      <c r="J530" s="189"/>
      <c r="K530" s="189"/>
      <c r="L530" s="189"/>
      <c r="M530" s="189"/>
      <c r="N530" s="189"/>
      <c r="O530" s="189"/>
      <c r="P530" s="189"/>
      <c r="Q530" s="189"/>
      <c r="R530" s="189"/>
      <c r="S530" s="189"/>
      <c r="T530" s="189"/>
      <c r="U530" s="189"/>
      <c r="V530" s="189"/>
      <c r="W530" s="189"/>
    </row>
    <row r="531">
      <c r="A531" s="194"/>
      <c r="B531" s="194"/>
      <c r="C531" s="189"/>
      <c r="D531" s="189"/>
      <c r="E531" s="189"/>
      <c r="F531" s="189"/>
      <c r="G531" s="189"/>
      <c r="H531" s="189"/>
      <c r="I531" s="189"/>
      <c r="J531" s="189"/>
      <c r="K531" s="189"/>
      <c r="L531" s="189"/>
      <c r="M531" s="189"/>
      <c r="N531" s="189"/>
      <c r="O531" s="189"/>
      <c r="P531" s="189"/>
      <c r="Q531" s="189"/>
      <c r="R531" s="189"/>
      <c r="S531" s="189"/>
      <c r="T531" s="189"/>
      <c r="U531" s="189"/>
      <c r="V531" s="189"/>
      <c r="W531" s="189"/>
    </row>
    <row r="532">
      <c r="A532" s="194"/>
      <c r="B532" s="194"/>
      <c r="C532" s="189"/>
      <c r="D532" s="189"/>
      <c r="E532" s="189"/>
      <c r="F532" s="189"/>
      <c r="G532" s="189"/>
      <c r="H532" s="189"/>
      <c r="I532" s="189"/>
      <c r="J532" s="189"/>
      <c r="K532" s="189"/>
      <c r="L532" s="189"/>
      <c r="M532" s="189"/>
      <c r="N532" s="189"/>
      <c r="O532" s="189"/>
      <c r="P532" s="189"/>
      <c r="Q532" s="189"/>
      <c r="R532" s="189"/>
      <c r="S532" s="189"/>
      <c r="T532" s="189"/>
      <c r="U532" s="189"/>
      <c r="V532" s="189"/>
      <c r="W532" s="189"/>
    </row>
    <row r="533">
      <c r="A533" s="194"/>
      <c r="B533" s="194"/>
      <c r="C533" s="189"/>
      <c r="D533" s="189"/>
      <c r="E533" s="189"/>
      <c r="F533" s="189"/>
      <c r="G533" s="189"/>
      <c r="H533" s="189"/>
      <c r="I533" s="189"/>
      <c r="J533" s="189"/>
      <c r="K533" s="189"/>
      <c r="L533" s="189"/>
      <c r="M533" s="189"/>
      <c r="N533" s="189"/>
      <c r="O533" s="189"/>
      <c r="P533" s="189"/>
      <c r="Q533" s="189"/>
      <c r="R533" s="189"/>
      <c r="S533" s="189"/>
      <c r="T533" s="189"/>
      <c r="U533" s="189"/>
      <c r="V533" s="189"/>
      <c r="W533" s="189"/>
    </row>
    <row r="534">
      <c r="A534" s="194"/>
      <c r="B534" s="194"/>
      <c r="C534" s="189"/>
      <c r="D534" s="189"/>
      <c r="E534" s="189"/>
      <c r="F534" s="189"/>
      <c r="G534" s="189"/>
      <c r="H534" s="189"/>
      <c r="I534" s="189"/>
      <c r="J534" s="189"/>
      <c r="K534" s="189"/>
      <c r="L534" s="189"/>
      <c r="M534" s="189"/>
      <c r="N534" s="189"/>
      <c r="O534" s="189"/>
      <c r="P534" s="189"/>
      <c r="Q534" s="189"/>
      <c r="R534" s="189"/>
      <c r="S534" s="189"/>
      <c r="T534" s="189"/>
      <c r="U534" s="189"/>
      <c r="V534" s="189"/>
      <c r="W534" s="189"/>
    </row>
    <row r="535">
      <c r="A535" s="194"/>
      <c r="B535" s="194"/>
      <c r="C535" s="189"/>
      <c r="D535" s="189"/>
      <c r="E535" s="189"/>
      <c r="F535" s="189"/>
      <c r="G535" s="189"/>
      <c r="H535" s="189"/>
      <c r="I535" s="189"/>
      <c r="J535" s="189"/>
      <c r="K535" s="189"/>
      <c r="L535" s="189"/>
      <c r="M535" s="189"/>
      <c r="N535" s="189"/>
      <c r="O535" s="189"/>
      <c r="P535" s="189"/>
      <c r="Q535" s="189"/>
      <c r="R535" s="189"/>
      <c r="S535" s="189"/>
      <c r="T535" s="189"/>
      <c r="U535" s="189"/>
      <c r="V535" s="189"/>
      <c r="W535" s="189"/>
    </row>
    <row r="536">
      <c r="A536" s="194"/>
      <c r="B536" s="194"/>
      <c r="C536" s="189"/>
      <c r="D536" s="189"/>
      <c r="E536" s="189"/>
      <c r="F536" s="189"/>
      <c r="G536" s="189"/>
      <c r="H536" s="189"/>
      <c r="I536" s="189"/>
      <c r="J536" s="189"/>
      <c r="K536" s="189"/>
      <c r="L536" s="189"/>
      <c r="M536" s="189"/>
      <c r="N536" s="189"/>
      <c r="O536" s="189"/>
      <c r="P536" s="189"/>
      <c r="Q536" s="189"/>
      <c r="R536" s="189"/>
      <c r="S536" s="189"/>
      <c r="T536" s="189"/>
      <c r="U536" s="189"/>
      <c r="V536" s="189"/>
      <c r="W536" s="189"/>
    </row>
    <row r="537">
      <c r="A537" s="194"/>
      <c r="B537" s="194"/>
      <c r="C537" s="189"/>
      <c r="D537" s="189"/>
      <c r="E537" s="189"/>
      <c r="F537" s="189"/>
      <c r="G537" s="189"/>
      <c r="H537" s="189"/>
      <c r="I537" s="189"/>
      <c r="J537" s="189"/>
      <c r="K537" s="189"/>
      <c r="L537" s="189"/>
      <c r="M537" s="189"/>
      <c r="N537" s="189"/>
      <c r="O537" s="189"/>
      <c r="P537" s="189"/>
      <c r="Q537" s="189"/>
      <c r="R537" s="189"/>
      <c r="S537" s="189"/>
      <c r="T537" s="189"/>
      <c r="U537" s="189"/>
      <c r="V537" s="189"/>
      <c r="W537" s="189"/>
    </row>
    <row r="538">
      <c r="A538" s="194"/>
      <c r="B538" s="194"/>
      <c r="C538" s="189"/>
      <c r="D538" s="189"/>
      <c r="E538" s="189"/>
      <c r="F538" s="189"/>
      <c r="G538" s="189"/>
      <c r="H538" s="189"/>
      <c r="I538" s="189"/>
      <c r="J538" s="189"/>
      <c r="K538" s="189"/>
      <c r="L538" s="189"/>
      <c r="M538" s="189"/>
      <c r="N538" s="189"/>
      <c r="O538" s="189"/>
      <c r="P538" s="189"/>
      <c r="Q538" s="189"/>
      <c r="R538" s="189"/>
      <c r="S538" s="189"/>
      <c r="T538" s="189"/>
      <c r="U538" s="189"/>
      <c r="V538" s="189"/>
      <c r="W538" s="189"/>
    </row>
    <row r="539">
      <c r="A539" s="194"/>
      <c r="B539" s="194"/>
      <c r="C539" s="189"/>
      <c r="D539" s="189"/>
      <c r="E539" s="189"/>
      <c r="F539" s="189"/>
      <c r="G539" s="189"/>
      <c r="H539" s="189"/>
      <c r="I539" s="189"/>
      <c r="J539" s="189"/>
      <c r="K539" s="189"/>
      <c r="L539" s="189"/>
      <c r="M539" s="189"/>
      <c r="N539" s="189"/>
      <c r="O539" s="189"/>
      <c r="P539" s="189"/>
      <c r="Q539" s="189"/>
      <c r="R539" s="189"/>
      <c r="S539" s="189"/>
      <c r="T539" s="189"/>
      <c r="U539" s="189"/>
      <c r="V539" s="189"/>
      <c r="W539" s="189"/>
    </row>
    <row r="540">
      <c r="A540" s="194"/>
      <c r="B540" s="194"/>
      <c r="C540" s="189"/>
      <c r="D540" s="189"/>
      <c r="E540" s="189"/>
      <c r="F540" s="189"/>
      <c r="G540" s="189"/>
      <c r="H540" s="189"/>
      <c r="I540" s="189"/>
      <c r="J540" s="189"/>
      <c r="K540" s="189"/>
      <c r="L540" s="189"/>
      <c r="M540" s="189"/>
      <c r="N540" s="189"/>
      <c r="O540" s="189"/>
      <c r="P540" s="189"/>
      <c r="Q540" s="189"/>
      <c r="R540" s="189"/>
      <c r="S540" s="189"/>
      <c r="T540" s="189"/>
      <c r="U540" s="189"/>
      <c r="V540" s="189"/>
      <c r="W540" s="189"/>
    </row>
    <row r="541">
      <c r="A541" s="194"/>
      <c r="B541" s="194"/>
      <c r="C541" s="189"/>
      <c r="D541" s="189"/>
      <c r="E541" s="189"/>
      <c r="F541" s="189"/>
      <c r="G541" s="189"/>
      <c r="H541" s="189"/>
      <c r="I541" s="189"/>
      <c r="J541" s="189"/>
      <c r="K541" s="189"/>
      <c r="L541" s="189"/>
      <c r="M541" s="189"/>
      <c r="N541" s="189"/>
      <c r="O541" s="189"/>
      <c r="P541" s="189"/>
      <c r="Q541" s="189"/>
      <c r="R541" s="189"/>
      <c r="S541" s="189"/>
      <c r="T541" s="189"/>
      <c r="U541" s="189"/>
      <c r="V541" s="189"/>
      <c r="W541" s="189"/>
    </row>
    <row r="542">
      <c r="A542" s="194"/>
      <c r="B542" s="194"/>
      <c r="C542" s="189"/>
      <c r="D542" s="189"/>
      <c r="E542" s="189"/>
      <c r="F542" s="189"/>
      <c r="G542" s="189"/>
      <c r="H542" s="189"/>
      <c r="I542" s="189"/>
      <c r="J542" s="189"/>
      <c r="K542" s="189"/>
      <c r="L542" s="189"/>
      <c r="M542" s="189"/>
      <c r="N542" s="189"/>
      <c r="O542" s="189"/>
      <c r="P542" s="189"/>
      <c r="Q542" s="189"/>
      <c r="R542" s="189"/>
      <c r="S542" s="189"/>
      <c r="T542" s="189"/>
      <c r="U542" s="189"/>
      <c r="V542" s="189"/>
      <c r="W542" s="189"/>
    </row>
    <row r="543">
      <c r="A543" s="194"/>
      <c r="B543" s="194"/>
      <c r="C543" s="189"/>
      <c r="D543" s="189"/>
      <c r="E543" s="189"/>
      <c r="F543" s="189"/>
      <c r="G543" s="189"/>
      <c r="H543" s="189"/>
      <c r="I543" s="189"/>
      <c r="J543" s="189"/>
      <c r="K543" s="189"/>
      <c r="L543" s="189"/>
      <c r="M543" s="189"/>
      <c r="N543" s="189"/>
      <c r="O543" s="189"/>
      <c r="P543" s="189"/>
      <c r="Q543" s="189"/>
      <c r="R543" s="189"/>
      <c r="S543" s="189"/>
      <c r="T543" s="189"/>
      <c r="U543" s="189"/>
      <c r="V543" s="189"/>
      <c r="W543" s="189"/>
    </row>
    <row r="544">
      <c r="A544" s="194"/>
      <c r="B544" s="194"/>
      <c r="C544" s="189"/>
      <c r="D544" s="189"/>
      <c r="E544" s="189"/>
      <c r="F544" s="189"/>
      <c r="G544" s="189"/>
      <c r="H544" s="189"/>
      <c r="I544" s="189"/>
      <c r="J544" s="189"/>
      <c r="K544" s="189"/>
      <c r="L544" s="189"/>
      <c r="M544" s="189"/>
      <c r="N544" s="189"/>
      <c r="O544" s="189"/>
      <c r="P544" s="189"/>
      <c r="Q544" s="189"/>
      <c r="R544" s="189"/>
      <c r="S544" s="189"/>
      <c r="T544" s="189"/>
      <c r="U544" s="189"/>
      <c r="V544" s="189"/>
      <c r="W544" s="189"/>
    </row>
    <row r="545">
      <c r="A545" s="194"/>
      <c r="B545" s="194"/>
      <c r="C545" s="189"/>
      <c r="D545" s="189"/>
      <c r="E545" s="189"/>
      <c r="F545" s="189"/>
      <c r="G545" s="189"/>
      <c r="H545" s="189"/>
      <c r="I545" s="189"/>
      <c r="J545" s="189"/>
      <c r="K545" s="189"/>
      <c r="L545" s="189"/>
      <c r="M545" s="189"/>
      <c r="N545" s="189"/>
      <c r="O545" s="189"/>
      <c r="P545" s="189"/>
      <c r="Q545" s="189"/>
      <c r="R545" s="189"/>
      <c r="S545" s="189"/>
      <c r="T545" s="189"/>
      <c r="U545" s="189"/>
      <c r="V545" s="189"/>
      <c r="W545" s="189"/>
    </row>
    <row r="546">
      <c r="A546" s="194"/>
      <c r="B546" s="194"/>
      <c r="C546" s="189"/>
      <c r="D546" s="189"/>
      <c r="E546" s="189"/>
      <c r="F546" s="189"/>
      <c r="G546" s="189"/>
      <c r="H546" s="189"/>
      <c r="I546" s="189"/>
      <c r="J546" s="189"/>
      <c r="K546" s="189"/>
      <c r="L546" s="189"/>
      <c r="M546" s="189"/>
      <c r="N546" s="189"/>
      <c r="O546" s="189"/>
      <c r="P546" s="189"/>
      <c r="Q546" s="189"/>
      <c r="R546" s="189"/>
      <c r="S546" s="189"/>
      <c r="T546" s="189"/>
      <c r="U546" s="189"/>
      <c r="V546" s="189"/>
      <c r="W546" s="189"/>
    </row>
    <row r="547">
      <c r="A547" s="194"/>
      <c r="B547" s="194"/>
      <c r="C547" s="189"/>
      <c r="D547" s="189"/>
      <c r="E547" s="189"/>
      <c r="F547" s="189"/>
      <c r="G547" s="189"/>
      <c r="H547" s="189"/>
      <c r="I547" s="189"/>
      <c r="J547" s="189"/>
      <c r="K547" s="189"/>
      <c r="L547" s="189"/>
      <c r="M547" s="189"/>
      <c r="N547" s="189"/>
      <c r="O547" s="189"/>
      <c r="P547" s="189"/>
      <c r="Q547" s="189"/>
      <c r="R547" s="189"/>
      <c r="S547" s="189"/>
      <c r="T547" s="189"/>
      <c r="U547" s="189"/>
      <c r="V547" s="189"/>
      <c r="W547" s="189"/>
    </row>
    <row r="548">
      <c r="A548" s="194"/>
      <c r="B548" s="194"/>
      <c r="C548" s="189"/>
      <c r="D548" s="189"/>
      <c r="E548" s="189"/>
      <c r="F548" s="189"/>
      <c r="G548" s="189"/>
      <c r="H548" s="189"/>
      <c r="I548" s="189"/>
      <c r="J548" s="189"/>
      <c r="K548" s="189"/>
      <c r="L548" s="189"/>
      <c r="M548" s="189"/>
      <c r="N548" s="189"/>
      <c r="O548" s="189"/>
      <c r="P548" s="189"/>
      <c r="Q548" s="189"/>
      <c r="R548" s="189"/>
      <c r="S548" s="189"/>
      <c r="T548" s="189"/>
      <c r="U548" s="189"/>
      <c r="V548" s="189"/>
      <c r="W548" s="189"/>
    </row>
    <row r="549">
      <c r="A549" s="194"/>
      <c r="B549" s="194"/>
      <c r="C549" s="189"/>
      <c r="D549" s="189"/>
      <c r="E549" s="189"/>
      <c r="F549" s="189"/>
      <c r="G549" s="189"/>
      <c r="H549" s="189"/>
      <c r="I549" s="189"/>
      <c r="J549" s="189"/>
      <c r="K549" s="189"/>
      <c r="L549" s="189"/>
      <c r="M549" s="189"/>
      <c r="N549" s="189"/>
      <c r="O549" s="189"/>
      <c r="P549" s="189"/>
      <c r="Q549" s="189"/>
      <c r="R549" s="189"/>
      <c r="S549" s="189"/>
      <c r="T549" s="189"/>
      <c r="U549" s="189"/>
      <c r="V549" s="189"/>
      <c r="W549" s="189"/>
    </row>
    <row r="550">
      <c r="A550" s="194"/>
      <c r="B550" s="194"/>
      <c r="C550" s="189"/>
      <c r="D550" s="189"/>
      <c r="E550" s="189"/>
      <c r="F550" s="189"/>
      <c r="G550" s="189"/>
      <c r="H550" s="189"/>
      <c r="I550" s="189"/>
      <c r="J550" s="189"/>
      <c r="K550" s="189"/>
      <c r="L550" s="189"/>
      <c r="M550" s="189"/>
      <c r="N550" s="189"/>
      <c r="O550" s="189"/>
      <c r="P550" s="189"/>
      <c r="Q550" s="189"/>
      <c r="R550" s="189"/>
      <c r="S550" s="189"/>
      <c r="T550" s="189"/>
      <c r="U550" s="189"/>
      <c r="V550" s="189"/>
      <c r="W550" s="189"/>
    </row>
    <row r="551">
      <c r="A551" s="194"/>
      <c r="B551" s="194"/>
      <c r="C551" s="189"/>
      <c r="D551" s="189"/>
      <c r="E551" s="189"/>
      <c r="F551" s="189"/>
      <c r="G551" s="189"/>
      <c r="H551" s="189"/>
      <c r="I551" s="189"/>
      <c r="J551" s="189"/>
      <c r="K551" s="189"/>
      <c r="L551" s="189"/>
      <c r="M551" s="189"/>
      <c r="N551" s="189"/>
      <c r="O551" s="189"/>
      <c r="P551" s="189"/>
      <c r="Q551" s="189"/>
      <c r="R551" s="189"/>
      <c r="S551" s="189"/>
      <c r="T551" s="189"/>
      <c r="U551" s="189"/>
      <c r="V551" s="189"/>
      <c r="W551" s="189"/>
    </row>
    <row r="552">
      <c r="A552" s="194"/>
      <c r="B552" s="194"/>
      <c r="C552" s="189"/>
      <c r="D552" s="189"/>
      <c r="E552" s="189"/>
      <c r="F552" s="189"/>
      <c r="G552" s="189"/>
      <c r="H552" s="189"/>
      <c r="I552" s="189"/>
      <c r="J552" s="189"/>
      <c r="K552" s="189"/>
      <c r="L552" s="189"/>
      <c r="M552" s="189"/>
      <c r="N552" s="189"/>
      <c r="O552" s="189"/>
      <c r="P552" s="189"/>
      <c r="Q552" s="189"/>
      <c r="R552" s="189"/>
      <c r="S552" s="189"/>
      <c r="T552" s="189"/>
      <c r="U552" s="189"/>
      <c r="V552" s="189"/>
      <c r="W552" s="189"/>
    </row>
    <row r="553">
      <c r="A553" s="194"/>
      <c r="B553" s="194"/>
      <c r="C553" s="189"/>
      <c r="D553" s="189"/>
      <c r="E553" s="189"/>
      <c r="F553" s="189"/>
      <c r="G553" s="189"/>
      <c r="H553" s="189"/>
      <c r="I553" s="189"/>
      <c r="J553" s="189"/>
      <c r="K553" s="189"/>
      <c r="L553" s="189"/>
      <c r="M553" s="189"/>
      <c r="N553" s="189"/>
      <c r="O553" s="189"/>
      <c r="P553" s="189"/>
      <c r="Q553" s="189"/>
      <c r="R553" s="189"/>
      <c r="S553" s="189"/>
      <c r="T553" s="189"/>
      <c r="U553" s="189"/>
      <c r="V553" s="189"/>
      <c r="W553" s="189"/>
    </row>
    <row r="554">
      <c r="A554" s="194"/>
      <c r="B554" s="194"/>
      <c r="C554" s="189"/>
      <c r="D554" s="189"/>
      <c r="E554" s="189"/>
      <c r="F554" s="189"/>
      <c r="G554" s="189"/>
      <c r="H554" s="189"/>
      <c r="I554" s="189"/>
      <c r="J554" s="189"/>
      <c r="K554" s="189"/>
      <c r="L554" s="189"/>
      <c r="M554" s="189"/>
      <c r="N554" s="189"/>
      <c r="O554" s="189"/>
      <c r="P554" s="189"/>
      <c r="Q554" s="189"/>
      <c r="R554" s="189"/>
      <c r="S554" s="189"/>
      <c r="T554" s="189"/>
      <c r="U554" s="189"/>
      <c r="V554" s="189"/>
      <c r="W554" s="189"/>
    </row>
    <row r="555">
      <c r="A555" s="194"/>
      <c r="B555" s="194"/>
      <c r="C555" s="189"/>
      <c r="D555" s="189"/>
      <c r="E555" s="189"/>
      <c r="F555" s="189"/>
      <c r="G555" s="189"/>
      <c r="H555" s="189"/>
      <c r="I555" s="189"/>
      <c r="J555" s="189"/>
      <c r="K555" s="189"/>
      <c r="L555" s="189"/>
      <c r="M555" s="189"/>
      <c r="N555" s="189"/>
      <c r="O555" s="189"/>
      <c r="P555" s="189"/>
      <c r="Q555" s="189"/>
      <c r="R555" s="189"/>
      <c r="S555" s="189"/>
      <c r="T555" s="189"/>
      <c r="U555" s="189"/>
      <c r="V555" s="189"/>
      <c r="W555" s="189"/>
    </row>
    <row r="556">
      <c r="A556" s="194"/>
      <c r="B556" s="194"/>
      <c r="C556" s="189"/>
      <c r="D556" s="189"/>
      <c r="E556" s="189"/>
      <c r="F556" s="189"/>
      <c r="G556" s="189"/>
      <c r="H556" s="189"/>
      <c r="I556" s="189"/>
      <c r="J556" s="189"/>
      <c r="K556" s="189"/>
      <c r="L556" s="189"/>
      <c r="M556" s="189"/>
      <c r="N556" s="189"/>
      <c r="O556" s="189"/>
      <c r="P556" s="189"/>
      <c r="Q556" s="189"/>
      <c r="R556" s="189"/>
      <c r="S556" s="189"/>
      <c r="T556" s="189"/>
      <c r="U556" s="189"/>
      <c r="V556" s="189"/>
      <c r="W556" s="189"/>
    </row>
    <row r="557">
      <c r="A557" s="194"/>
      <c r="B557" s="194"/>
      <c r="C557" s="189"/>
      <c r="D557" s="189"/>
      <c r="E557" s="189"/>
      <c r="F557" s="189"/>
      <c r="G557" s="189"/>
      <c r="H557" s="189"/>
      <c r="I557" s="189"/>
      <c r="J557" s="189"/>
      <c r="K557" s="189"/>
      <c r="L557" s="189"/>
      <c r="M557" s="189"/>
      <c r="N557" s="189"/>
      <c r="O557" s="189"/>
      <c r="P557" s="189"/>
      <c r="Q557" s="189"/>
      <c r="R557" s="189"/>
      <c r="S557" s="189"/>
      <c r="T557" s="189"/>
      <c r="U557" s="189"/>
      <c r="V557" s="189"/>
      <c r="W557" s="189"/>
    </row>
    <row r="558">
      <c r="A558" s="194"/>
      <c r="B558" s="194"/>
      <c r="C558" s="189"/>
      <c r="D558" s="189"/>
      <c r="E558" s="189"/>
      <c r="F558" s="189"/>
      <c r="G558" s="189"/>
      <c r="H558" s="189"/>
      <c r="I558" s="189"/>
      <c r="J558" s="189"/>
      <c r="K558" s="189"/>
      <c r="L558" s="189"/>
      <c r="M558" s="189"/>
      <c r="N558" s="189"/>
      <c r="O558" s="189"/>
      <c r="P558" s="189"/>
      <c r="Q558" s="189"/>
      <c r="R558" s="189"/>
      <c r="S558" s="189"/>
      <c r="T558" s="189"/>
      <c r="U558" s="189"/>
      <c r="V558" s="189"/>
      <c r="W558" s="189"/>
    </row>
    <row r="559">
      <c r="A559" s="194"/>
      <c r="B559" s="194"/>
      <c r="C559" s="189"/>
      <c r="D559" s="189"/>
      <c r="E559" s="189"/>
      <c r="F559" s="189"/>
      <c r="G559" s="189"/>
      <c r="H559" s="189"/>
      <c r="I559" s="189"/>
      <c r="J559" s="189"/>
      <c r="K559" s="189"/>
      <c r="L559" s="189"/>
      <c r="M559" s="189"/>
      <c r="N559" s="189"/>
      <c r="O559" s="189"/>
      <c r="P559" s="189"/>
      <c r="Q559" s="189"/>
      <c r="R559" s="189"/>
      <c r="S559" s="189"/>
      <c r="T559" s="189"/>
      <c r="U559" s="189"/>
      <c r="V559" s="189"/>
      <c r="W559" s="189"/>
    </row>
    <row r="560">
      <c r="A560" s="194"/>
      <c r="B560" s="194"/>
      <c r="C560" s="189"/>
      <c r="D560" s="189"/>
      <c r="E560" s="189"/>
      <c r="F560" s="189"/>
      <c r="G560" s="189"/>
      <c r="H560" s="189"/>
      <c r="I560" s="189"/>
      <c r="J560" s="189"/>
      <c r="K560" s="189"/>
      <c r="L560" s="189"/>
      <c r="M560" s="189"/>
      <c r="N560" s="189"/>
      <c r="O560" s="189"/>
      <c r="P560" s="189"/>
      <c r="Q560" s="189"/>
      <c r="R560" s="189"/>
      <c r="S560" s="189"/>
      <c r="T560" s="189"/>
      <c r="U560" s="189"/>
      <c r="V560" s="189"/>
      <c r="W560" s="189"/>
    </row>
    <row r="561">
      <c r="A561" s="194"/>
      <c r="B561" s="194"/>
      <c r="C561" s="189"/>
      <c r="D561" s="189"/>
      <c r="E561" s="189"/>
      <c r="F561" s="189"/>
      <c r="G561" s="189"/>
      <c r="H561" s="189"/>
      <c r="I561" s="189"/>
      <c r="J561" s="189"/>
      <c r="K561" s="189"/>
      <c r="L561" s="189"/>
      <c r="M561" s="189"/>
      <c r="N561" s="189"/>
      <c r="O561" s="189"/>
      <c r="P561" s="189"/>
      <c r="Q561" s="189"/>
      <c r="R561" s="189"/>
      <c r="S561" s="189"/>
      <c r="T561" s="189"/>
      <c r="U561" s="189"/>
      <c r="V561" s="189"/>
      <c r="W561" s="189"/>
    </row>
    <row r="562">
      <c r="A562" s="194"/>
      <c r="B562" s="194"/>
      <c r="C562" s="189"/>
      <c r="D562" s="189"/>
      <c r="E562" s="189"/>
      <c r="F562" s="189"/>
      <c r="G562" s="189"/>
      <c r="H562" s="189"/>
      <c r="I562" s="189"/>
      <c r="J562" s="189"/>
      <c r="K562" s="189"/>
      <c r="L562" s="189"/>
      <c r="M562" s="189"/>
      <c r="N562" s="189"/>
      <c r="O562" s="189"/>
      <c r="P562" s="189"/>
      <c r="Q562" s="189"/>
      <c r="R562" s="189"/>
      <c r="S562" s="189"/>
      <c r="T562" s="189"/>
      <c r="U562" s="189"/>
      <c r="V562" s="189"/>
      <c r="W562" s="189"/>
    </row>
    <row r="563">
      <c r="A563" s="194"/>
      <c r="B563" s="194"/>
      <c r="C563" s="189"/>
      <c r="D563" s="189"/>
      <c r="E563" s="189"/>
      <c r="F563" s="189"/>
      <c r="G563" s="189"/>
      <c r="H563" s="189"/>
      <c r="I563" s="189"/>
      <c r="J563" s="189"/>
      <c r="K563" s="189"/>
      <c r="L563" s="189"/>
      <c r="M563" s="189"/>
      <c r="N563" s="189"/>
      <c r="O563" s="189"/>
      <c r="P563" s="189"/>
      <c r="Q563" s="189"/>
      <c r="R563" s="189"/>
      <c r="S563" s="189"/>
      <c r="T563" s="189"/>
      <c r="U563" s="189"/>
      <c r="V563" s="189"/>
      <c r="W563" s="189"/>
    </row>
    <row r="564">
      <c r="A564" s="194"/>
      <c r="B564" s="194"/>
      <c r="C564" s="189"/>
      <c r="D564" s="189"/>
      <c r="E564" s="189"/>
      <c r="F564" s="189"/>
      <c r="G564" s="189"/>
      <c r="H564" s="189"/>
      <c r="I564" s="189"/>
      <c r="J564" s="189"/>
      <c r="K564" s="189"/>
      <c r="L564" s="189"/>
      <c r="M564" s="189"/>
      <c r="N564" s="189"/>
      <c r="O564" s="189"/>
      <c r="P564" s="189"/>
      <c r="Q564" s="189"/>
      <c r="R564" s="189"/>
      <c r="S564" s="189"/>
      <c r="T564" s="189"/>
      <c r="U564" s="189"/>
      <c r="V564" s="189"/>
      <c r="W564" s="189"/>
    </row>
    <row r="565">
      <c r="A565" s="194"/>
      <c r="B565" s="194"/>
      <c r="C565" s="189"/>
      <c r="D565" s="189"/>
      <c r="E565" s="189"/>
      <c r="F565" s="189"/>
      <c r="G565" s="189"/>
      <c r="H565" s="189"/>
      <c r="I565" s="189"/>
      <c r="J565" s="189"/>
      <c r="K565" s="189"/>
      <c r="L565" s="189"/>
      <c r="M565" s="189"/>
      <c r="N565" s="189"/>
      <c r="O565" s="189"/>
      <c r="P565" s="189"/>
      <c r="Q565" s="189"/>
      <c r="R565" s="189"/>
      <c r="S565" s="189"/>
      <c r="T565" s="189"/>
      <c r="U565" s="189"/>
      <c r="V565" s="189"/>
      <c r="W565" s="189"/>
    </row>
    <row r="566">
      <c r="A566" s="194"/>
      <c r="B566" s="194"/>
      <c r="C566" s="189"/>
      <c r="D566" s="189"/>
      <c r="E566" s="189"/>
      <c r="F566" s="189"/>
      <c r="G566" s="189"/>
      <c r="H566" s="189"/>
      <c r="I566" s="189"/>
      <c r="J566" s="189"/>
      <c r="K566" s="189"/>
      <c r="L566" s="189"/>
      <c r="M566" s="189"/>
      <c r="N566" s="189"/>
      <c r="O566" s="189"/>
      <c r="P566" s="189"/>
      <c r="Q566" s="189"/>
      <c r="R566" s="189"/>
      <c r="S566" s="189"/>
      <c r="T566" s="189"/>
      <c r="U566" s="189"/>
      <c r="V566" s="189"/>
      <c r="W566" s="189"/>
    </row>
    <row r="567">
      <c r="A567" s="194"/>
      <c r="B567" s="194"/>
      <c r="C567" s="189"/>
      <c r="D567" s="189"/>
      <c r="E567" s="189"/>
      <c r="F567" s="189"/>
      <c r="G567" s="189"/>
      <c r="H567" s="189"/>
      <c r="I567" s="189"/>
      <c r="J567" s="189"/>
      <c r="K567" s="189"/>
      <c r="L567" s="189"/>
      <c r="M567" s="189"/>
      <c r="N567" s="189"/>
      <c r="O567" s="189"/>
      <c r="P567" s="189"/>
      <c r="Q567" s="189"/>
      <c r="R567" s="189"/>
      <c r="S567" s="189"/>
      <c r="T567" s="189"/>
      <c r="U567" s="189"/>
      <c r="V567" s="189"/>
      <c r="W567" s="189"/>
    </row>
    <row r="568">
      <c r="A568" s="194"/>
      <c r="B568" s="194"/>
      <c r="C568" s="189"/>
      <c r="D568" s="189"/>
      <c r="E568" s="189"/>
      <c r="F568" s="189"/>
      <c r="G568" s="189"/>
      <c r="H568" s="189"/>
      <c r="I568" s="189"/>
      <c r="J568" s="189"/>
      <c r="K568" s="189"/>
      <c r="L568" s="189"/>
      <c r="M568" s="189"/>
      <c r="N568" s="189"/>
      <c r="O568" s="189"/>
      <c r="P568" s="189"/>
      <c r="Q568" s="189"/>
      <c r="R568" s="189"/>
      <c r="S568" s="189"/>
      <c r="T568" s="189"/>
      <c r="U568" s="189"/>
      <c r="V568" s="189"/>
      <c r="W568" s="189"/>
    </row>
    <row r="569">
      <c r="A569" s="194"/>
      <c r="B569" s="194"/>
      <c r="C569" s="189"/>
      <c r="D569" s="189"/>
      <c r="E569" s="189"/>
      <c r="F569" s="189"/>
      <c r="G569" s="189"/>
      <c r="H569" s="189"/>
      <c r="I569" s="189"/>
      <c r="J569" s="189"/>
      <c r="K569" s="189"/>
      <c r="L569" s="189"/>
      <c r="M569" s="189"/>
      <c r="N569" s="189"/>
      <c r="O569" s="189"/>
      <c r="P569" s="189"/>
      <c r="Q569" s="189"/>
      <c r="R569" s="189"/>
      <c r="S569" s="189"/>
      <c r="T569" s="189"/>
      <c r="U569" s="189"/>
      <c r="V569" s="189"/>
      <c r="W569" s="189"/>
    </row>
    <row r="570">
      <c r="A570" s="194"/>
      <c r="B570" s="194"/>
      <c r="C570" s="189"/>
      <c r="D570" s="189"/>
      <c r="E570" s="189"/>
      <c r="F570" s="189"/>
      <c r="G570" s="189"/>
      <c r="H570" s="189"/>
      <c r="I570" s="189"/>
      <c r="J570" s="189"/>
      <c r="K570" s="189"/>
      <c r="L570" s="189"/>
      <c r="M570" s="189"/>
      <c r="N570" s="189"/>
      <c r="O570" s="189"/>
      <c r="P570" s="189"/>
      <c r="Q570" s="189"/>
      <c r="R570" s="189"/>
      <c r="S570" s="189"/>
      <c r="T570" s="189"/>
      <c r="U570" s="189"/>
      <c r="V570" s="189"/>
      <c r="W570" s="189"/>
    </row>
    <row r="571">
      <c r="A571" s="194"/>
      <c r="B571" s="194"/>
      <c r="C571" s="189"/>
      <c r="D571" s="189"/>
      <c r="E571" s="189"/>
      <c r="F571" s="189"/>
      <c r="G571" s="189"/>
      <c r="H571" s="189"/>
      <c r="I571" s="189"/>
      <c r="J571" s="189"/>
      <c r="K571" s="189"/>
      <c r="L571" s="189"/>
      <c r="M571" s="189"/>
      <c r="N571" s="189"/>
      <c r="O571" s="189"/>
      <c r="P571" s="189"/>
      <c r="Q571" s="189"/>
      <c r="R571" s="189"/>
      <c r="S571" s="189"/>
      <c r="T571" s="189"/>
      <c r="U571" s="189"/>
      <c r="V571" s="189"/>
      <c r="W571" s="189"/>
    </row>
    <row r="572">
      <c r="A572" s="194"/>
      <c r="B572" s="194"/>
      <c r="C572" s="189"/>
      <c r="D572" s="189"/>
      <c r="E572" s="189"/>
      <c r="F572" s="189"/>
      <c r="G572" s="189"/>
      <c r="H572" s="189"/>
      <c r="I572" s="189"/>
      <c r="J572" s="189"/>
      <c r="K572" s="189"/>
      <c r="L572" s="189"/>
      <c r="M572" s="189"/>
      <c r="N572" s="189"/>
      <c r="O572" s="189"/>
      <c r="P572" s="189"/>
      <c r="Q572" s="189"/>
      <c r="R572" s="189"/>
      <c r="S572" s="189"/>
      <c r="T572" s="189"/>
      <c r="U572" s="189"/>
      <c r="V572" s="189"/>
      <c r="W572" s="189"/>
    </row>
    <row r="573">
      <c r="A573" s="194"/>
      <c r="B573" s="194"/>
      <c r="C573" s="189"/>
      <c r="D573" s="189"/>
      <c r="E573" s="189"/>
      <c r="F573" s="189"/>
      <c r="G573" s="189"/>
      <c r="H573" s="189"/>
      <c r="I573" s="189"/>
      <c r="J573" s="189"/>
      <c r="K573" s="189"/>
      <c r="L573" s="189"/>
      <c r="M573" s="189"/>
      <c r="N573" s="189"/>
      <c r="O573" s="189"/>
      <c r="P573" s="189"/>
      <c r="Q573" s="189"/>
      <c r="R573" s="189"/>
      <c r="S573" s="189"/>
      <c r="T573" s="189"/>
      <c r="U573" s="189"/>
      <c r="V573" s="189"/>
      <c r="W573" s="189"/>
    </row>
    <row r="574">
      <c r="A574" s="194"/>
      <c r="B574" s="194"/>
      <c r="C574" s="189"/>
      <c r="D574" s="189"/>
      <c r="E574" s="189"/>
      <c r="F574" s="189"/>
      <c r="G574" s="189"/>
      <c r="H574" s="189"/>
      <c r="I574" s="189"/>
      <c r="J574" s="189"/>
      <c r="K574" s="189"/>
      <c r="L574" s="189"/>
      <c r="M574" s="189"/>
      <c r="N574" s="189"/>
      <c r="O574" s="189"/>
      <c r="P574" s="189"/>
      <c r="Q574" s="189"/>
      <c r="R574" s="189"/>
      <c r="S574" s="189"/>
      <c r="T574" s="189"/>
      <c r="U574" s="189"/>
      <c r="V574" s="189"/>
      <c r="W574" s="189"/>
    </row>
    <row r="575">
      <c r="A575" s="194"/>
      <c r="B575" s="194"/>
      <c r="C575" s="189"/>
      <c r="D575" s="189"/>
      <c r="E575" s="189"/>
      <c r="F575" s="189"/>
      <c r="G575" s="189"/>
      <c r="H575" s="189"/>
      <c r="I575" s="189"/>
      <c r="J575" s="189"/>
      <c r="K575" s="189"/>
      <c r="L575" s="189"/>
      <c r="M575" s="189"/>
      <c r="N575" s="189"/>
      <c r="O575" s="189"/>
      <c r="P575" s="189"/>
      <c r="Q575" s="189"/>
      <c r="R575" s="189"/>
      <c r="S575" s="189"/>
      <c r="T575" s="189"/>
      <c r="U575" s="189"/>
      <c r="V575" s="189"/>
      <c r="W575" s="189"/>
    </row>
    <row r="576">
      <c r="A576" s="194"/>
      <c r="B576" s="194"/>
      <c r="C576" s="189"/>
      <c r="D576" s="189"/>
      <c r="E576" s="189"/>
      <c r="F576" s="189"/>
      <c r="G576" s="189"/>
      <c r="H576" s="189"/>
      <c r="I576" s="189"/>
      <c r="J576" s="189"/>
      <c r="K576" s="189"/>
      <c r="L576" s="189"/>
      <c r="M576" s="189"/>
      <c r="N576" s="189"/>
      <c r="O576" s="189"/>
      <c r="P576" s="189"/>
      <c r="Q576" s="189"/>
      <c r="R576" s="189"/>
      <c r="S576" s="189"/>
      <c r="T576" s="189"/>
      <c r="U576" s="189"/>
      <c r="V576" s="189"/>
      <c r="W576" s="189"/>
    </row>
    <row r="577">
      <c r="A577" s="194"/>
      <c r="B577" s="194"/>
      <c r="C577" s="189"/>
      <c r="D577" s="189"/>
      <c r="E577" s="189"/>
      <c r="F577" s="189"/>
      <c r="G577" s="189"/>
      <c r="H577" s="189"/>
      <c r="I577" s="189"/>
      <c r="J577" s="189"/>
      <c r="K577" s="189"/>
      <c r="L577" s="189"/>
      <c r="M577" s="189"/>
      <c r="N577" s="189"/>
      <c r="O577" s="189"/>
      <c r="P577" s="189"/>
      <c r="Q577" s="189"/>
      <c r="R577" s="189"/>
      <c r="S577" s="189"/>
      <c r="T577" s="189"/>
      <c r="U577" s="189"/>
      <c r="V577" s="189"/>
      <c r="W577" s="189"/>
    </row>
    <row r="578">
      <c r="A578" s="194"/>
      <c r="B578" s="194"/>
      <c r="C578" s="189"/>
      <c r="D578" s="189"/>
      <c r="E578" s="189"/>
      <c r="F578" s="189"/>
      <c r="G578" s="189"/>
      <c r="H578" s="189"/>
      <c r="I578" s="189"/>
      <c r="J578" s="189"/>
      <c r="K578" s="189"/>
      <c r="L578" s="189"/>
      <c r="M578" s="189"/>
      <c r="N578" s="189"/>
      <c r="O578" s="189"/>
      <c r="P578" s="189"/>
      <c r="Q578" s="189"/>
      <c r="R578" s="189"/>
      <c r="S578" s="189"/>
      <c r="T578" s="189"/>
      <c r="U578" s="189"/>
      <c r="V578" s="189"/>
      <c r="W578" s="189"/>
    </row>
    <row r="579">
      <c r="A579" s="194"/>
      <c r="B579" s="194"/>
      <c r="C579" s="189"/>
      <c r="D579" s="189"/>
      <c r="E579" s="189"/>
      <c r="F579" s="189"/>
      <c r="G579" s="189"/>
      <c r="H579" s="189"/>
      <c r="I579" s="189"/>
      <c r="J579" s="189"/>
      <c r="K579" s="189"/>
      <c r="L579" s="189"/>
      <c r="M579" s="189"/>
      <c r="N579" s="189"/>
      <c r="O579" s="189"/>
      <c r="P579" s="189"/>
      <c r="Q579" s="189"/>
      <c r="R579" s="189"/>
      <c r="S579" s="189"/>
      <c r="T579" s="189"/>
      <c r="U579" s="189"/>
      <c r="V579" s="189"/>
      <c r="W579" s="189"/>
    </row>
    <row r="580">
      <c r="A580" s="194"/>
      <c r="B580" s="194"/>
      <c r="C580" s="189"/>
      <c r="D580" s="189"/>
      <c r="E580" s="189"/>
      <c r="F580" s="189"/>
      <c r="G580" s="189"/>
      <c r="H580" s="189"/>
      <c r="I580" s="189"/>
      <c r="J580" s="189"/>
      <c r="K580" s="189"/>
      <c r="L580" s="189"/>
      <c r="M580" s="189"/>
      <c r="N580" s="189"/>
      <c r="O580" s="189"/>
      <c r="P580" s="189"/>
      <c r="Q580" s="189"/>
      <c r="R580" s="189"/>
      <c r="S580" s="189"/>
      <c r="T580" s="189"/>
      <c r="U580" s="189"/>
      <c r="V580" s="189"/>
      <c r="W580" s="189"/>
    </row>
    <row r="581">
      <c r="A581" s="194"/>
      <c r="B581" s="194"/>
      <c r="C581" s="189"/>
      <c r="D581" s="189"/>
      <c r="E581" s="189"/>
      <c r="F581" s="189"/>
      <c r="G581" s="189"/>
      <c r="H581" s="189"/>
      <c r="I581" s="189"/>
      <c r="J581" s="189"/>
      <c r="K581" s="189"/>
      <c r="L581" s="189"/>
      <c r="M581" s="189"/>
      <c r="N581" s="189"/>
      <c r="O581" s="189"/>
      <c r="P581" s="189"/>
      <c r="Q581" s="189"/>
      <c r="R581" s="189"/>
      <c r="S581" s="189"/>
      <c r="T581" s="189"/>
      <c r="U581" s="189"/>
      <c r="V581" s="189"/>
      <c r="W581" s="189"/>
    </row>
    <row r="582">
      <c r="A582" s="194"/>
      <c r="B582" s="194"/>
      <c r="C582" s="189"/>
      <c r="D582" s="189"/>
      <c r="E582" s="189"/>
      <c r="F582" s="189"/>
      <c r="G582" s="189"/>
      <c r="H582" s="189"/>
      <c r="I582" s="189"/>
      <c r="J582" s="189"/>
      <c r="K582" s="189"/>
      <c r="L582" s="189"/>
      <c r="M582" s="189"/>
      <c r="N582" s="189"/>
      <c r="O582" s="189"/>
      <c r="P582" s="189"/>
      <c r="Q582" s="189"/>
      <c r="R582" s="189"/>
      <c r="S582" s="189"/>
      <c r="T582" s="189"/>
      <c r="U582" s="189"/>
      <c r="V582" s="189"/>
      <c r="W582" s="189"/>
    </row>
    <row r="583">
      <c r="A583" s="194"/>
      <c r="B583" s="194"/>
      <c r="C583" s="189"/>
      <c r="D583" s="189"/>
      <c r="E583" s="189"/>
      <c r="F583" s="189"/>
      <c r="G583" s="189"/>
      <c r="H583" s="189"/>
      <c r="I583" s="189"/>
      <c r="J583" s="189"/>
      <c r="K583" s="189"/>
      <c r="L583" s="189"/>
      <c r="M583" s="189"/>
      <c r="N583" s="189"/>
      <c r="O583" s="189"/>
      <c r="P583" s="189"/>
      <c r="Q583" s="189"/>
      <c r="R583" s="189"/>
      <c r="S583" s="189"/>
      <c r="T583" s="189"/>
      <c r="U583" s="189"/>
      <c r="V583" s="189"/>
      <c r="W583" s="189"/>
    </row>
    <row r="584">
      <c r="A584" s="194"/>
      <c r="B584" s="194"/>
      <c r="C584" s="189"/>
      <c r="D584" s="189"/>
      <c r="E584" s="189"/>
      <c r="F584" s="189"/>
      <c r="G584" s="189"/>
      <c r="H584" s="189"/>
      <c r="I584" s="189"/>
      <c r="J584" s="189"/>
      <c r="K584" s="189"/>
      <c r="L584" s="189"/>
      <c r="M584" s="189"/>
      <c r="N584" s="189"/>
      <c r="O584" s="189"/>
      <c r="P584" s="189"/>
      <c r="Q584" s="189"/>
      <c r="R584" s="189"/>
      <c r="S584" s="189"/>
      <c r="T584" s="189"/>
      <c r="U584" s="189"/>
      <c r="V584" s="189"/>
      <c r="W584" s="189"/>
    </row>
    <row r="585">
      <c r="A585" s="194"/>
      <c r="B585" s="194"/>
      <c r="C585" s="189"/>
      <c r="D585" s="189"/>
      <c r="E585" s="189"/>
      <c r="F585" s="189"/>
      <c r="G585" s="189"/>
      <c r="H585" s="189"/>
      <c r="I585" s="189"/>
      <c r="J585" s="189"/>
      <c r="K585" s="189"/>
      <c r="L585" s="189"/>
      <c r="M585" s="189"/>
      <c r="N585" s="189"/>
      <c r="O585" s="189"/>
      <c r="P585" s="189"/>
      <c r="Q585" s="189"/>
      <c r="R585" s="189"/>
      <c r="S585" s="189"/>
      <c r="T585" s="189"/>
      <c r="U585" s="189"/>
      <c r="V585" s="189"/>
      <c r="W585" s="189"/>
    </row>
    <row r="586">
      <c r="A586" s="194"/>
      <c r="B586" s="194"/>
      <c r="C586" s="189"/>
      <c r="D586" s="189"/>
      <c r="E586" s="189"/>
      <c r="F586" s="189"/>
      <c r="G586" s="189"/>
      <c r="H586" s="189"/>
      <c r="I586" s="189"/>
      <c r="J586" s="189"/>
      <c r="K586" s="189"/>
      <c r="L586" s="189"/>
      <c r="M586" s="189"/>
      <c r="N586" s="189"/>
      <c r="O586" s="189"/>
      <c r="P586" s="189"/>
      <c r="Q586" s="189"/>
      <c r="R586" s="189"/>
      <c r="S586" s="189"/>
      <c r="T586" s="189"/>
      <c r="U586" s="189"/>
      <c r="V586" s="189"/>
      <c r="W586" s="189"/>
    </row>
    <row r="587">
      <c r="A587" s="194"/>
      <c r="B587" s="194"/>
      <c r="C587" s="189"/>
      <c r="D587" s="189"/>
      <c r="E587" s="189"/>
      <c r="F587" s="189"/>
      <c r="G587" s="189"/>
      <c r="H587" s="189"/>
      <c r="I587" s="189"/>
      <c r="J587" s="189"/>
      <c r="K587" s="189"/>
      <c r="L587" s="189"/>
      <c r="M587" s="189"/>
      <c r="N587" s="189"/>
      <c r="O587" s="189"/>
      <c r="P587" s="189"/>
      <c r="Q587" s="189"/>
      <c r="R587" s="189"/>
      <c r="S587" s="189"/>
      <c r="T587" s="189"/>
      <c r="U587" s="189"/>
      <c r="V587" s="189"/>
      <c r="W587" s="189"/>
    </row>
    <row r="588">
      <c r="A588" s="194"/>
      <c r="B588" s="194"/>
      <c r="C588" s="189"/>
      <c r="D588" s="189"/>
      <c r="E588" s="189"/>
      <c r="F588" s="189"/>
      <c r="G588" s="189"/>
      <c r="H588" s="189"/>
      <c r="I588" s="189"/>
      <c r="J588" s="189"/>
      <c r="K588" s="189"/>
      <c r="L588" s="189"/>
      <c r="M588" s="189"/>
      <c r="N588" s="189"/>
      <c r="O588" s="189"/>
      <c r="P588" s="189"/>
      <c r="Q588" s="189"/>
      <c r="R588" s="189"/>
      <c r="S588" s="189"/>
      <c r="T588" s="189"/>
      <c r="U588" s="189"/>
      <c r="V588" s="189"/>
      <c r="W588" s="189"/>
    </row>
    <row r="589">
      <c r="A589" s="194"/>
      <c r="B589" s="194"/>
      <c r="C589" s="189"/>
      <c r="D589" s="189"/>
      <c r="E589" s="189"/>
      <c r="F589" s="189"/>
      <c r="G589" s="189"/>
      <c r="H589" s="189"/>
      <c r="I589" s="189"/>
      <c r="J589" s="189"/>
      <c r="K589" s="189"/>
      <c r="L589" s="189"/>
      <c r="M589" s="189"/>
      <c r="N589" s="189"/>
      <c r="O589" s="189"/>
      <c r="P589" s="189"/>
      <c r="Q589" s="189"/>
      <c r="R589" s="189"/>
      <c r="S589" s="189"/>
      <c r="T589" s="189"/>
      <c r="U589" s="189"/>
      <c r="V589" s="189"/>
      <c r="W589" s="189"/>
    </row>
    <row r="590">
      <c r="A590" s="194"/>
      <c r="B590" s="194"/>
      <c r="C590" s="189"/>
      <c r="D590" s="189"/>
      <c r="E590" s="189"/>
      <c r="F590" s="189"/>
      <c r="G590" s="189"/>
      <c r="H590" s="189"/>
      <c r="I590" s="189"/>
      <c r="J590" s="189"/>
      <c r="K590" s="189"/>
      <c r="L590" s="189"/>
      <c r="M590" s="189"/>
      <c r="N590" s="189"/>
      <c r="O590" s="189"/>
      <c r="P590" s="189"/>
      <c r="Q590" s="189"/>
      <c r="R590" s="189"/>
      <c r="S590" s="189"/>
      <c r="T590" s="189"/>
      <c r="U590" s="189"/>
      <c r="V590" s="189"/>
      <c r="W590" s="189"/>
    </row>
    <row r="591">
      <c r="A591" s="194"/>
      <c r="B591" s="194"/>
      <c r="C591" s="189"/>
      <c r="D591" s="189"/>
      <c r="E591" s="189"/>
      <c r="F591" s="189"/>
      <c r="G591" s="189"/>
      <c r="H591" s="189"/>
      <c r="I591" s="189"/>
      <c r="J591" s="189"/>
      <c r="K591" s="189"/>
      <c r="L591" s="189"/>
      <c r="M591" s="189"/>
      <c r="N591" s="189"/>
      <c r="O591" s="189"/>
      <c r="P591" s="189"/>
      <c r="Q591" s="189"/>
      <c r="R591" s="189"/>
      <c r="S591" s="189"/>
      <c r="T591" s="189"/>
      <c r="U591" s="189"/>
      <c r="V591" s="189"/>
      <c r="W591" s="189"/>
    </row>
    <row r="592">
      <c r="A592" s="194"/>
      <c r="B592" s="194"/>
      <c r="C592" s="189"/>
      <c r="D592" s="189"/>
      <c r="E592" s="189"/>
      <c r="F592" s="189"/>
      <c r="G592" s="189"/>
      <c r="H592" s="189"/>
      <c r="I592" s="189"/>
      <c r="J592" s="189"/>
      <c r="K592" s="189"/>
      <c r="L592" s="189"/>
      <c r="M592" s="189"/>
      <c r="N592" s="189"/>
      <c r="O592" s="189"/>
      <c r="P592" s="189"/>
      <c r="Q592" s="189"/>
      <c r="R592" s="189"/>
      <c r="S592" s="189"/>
      <c r="T592" s="189"/>
      <c r="U592" s="189"/>
      <c r="V592" s="189"/>
      <c r="W592" s="189"/>
    </row>
    <row r="593">
      <c r="A593" s="194"/>
      <c r="B593" s="194"/>
      <c r="C593" s="189"/>
      <c r="D593" s="189"/>
      <c r="E593" s="189"/>
      <c r="F593" s="189"/>
      <c r="G593" s="189"/>
      <c r="H593" s="189"/>
      <c r="I593" s="189"/>
      <c r="J593" s="189"/>
      <c r="K593" s="189"/>
      <c r="L593" s="189"/>
      <c r="M593" s="189"/>
      <c r="N593" s="189"/>
      <c r="O593" s="189"/>
      <c r="P593" s="189"/>
      <c r="Q593" s="189"/>
      <c r="R593" s="189"/>
      <c r="S593" s="189"/>
      <c r="T593" s="189"/>
      <c r="U593" s="189"/>
      <c r="V593" s="189"/>
      <c r="W593" s="189"/>
    </row>
    <row r="594">
      <c r="A594" s="194"/>
      <c r="B594" s="194"/>
      <c r="C594" s="189"/>
      <c r="D594" s="189"/>
      <c r="E594" s="189"/>
      <c r="F594" s="189"/>
      <c r="G594" s="189"/>
      <c r="H594" s="189"/>
      <c r="I594" s="189"/>
      <c r="J594" s="189"/>
      <c r="K594" s="189"/>
      <c r="L594" s="189"/>
      <c r="M594" s="189"/>
      <c r="N594" s="189"/>
      <c r="O594" s="189"/>
      <c r="P594" s="189"/>
      <c r="Q594" s="189"/>
      <c r="R594" s="189"/>
      <c r="S594" s="189"/>
      <c r="T594" s="189"/>
      <c r="U594" s="189"/>
      <c r="V594" s="189"/>
      <c r="W594" s="189"/>
    </row>
    <row r="595">
      <c r="A595" s="194"/>
      <c r="B595" s="194"/>
      <c r="C595" s="189"/>
      <c r="D595" s="189"/>
      <c r="E595" s="189"/>
      <c r="F595" s="189"/>
      <c r="G595" s="189"/>
      <c r="H595" s="189"/>
      <c r="I595" s="189"/>
      <c r="J595" s="189"/>
      <c r="K595" s="189"/>
      <c r="L595" s="189"/>
      <c r="M595" s="189"/>
      <c r="N595" s="189"/>
      <c r="O595" s="189"/>
      <c r="P595" s="189"/>
      <c r="Q595" s="189"/>
      <c r="R595" s="189"/>
      <c r="S595" s="189"/>
      <c r="T595" s="189"/>
      <c r="U595" s="189"/>
      <c r="V595" s="189"/>
      <c r="W595" s="189"/>
    </row>
    <row r="596">
      <c r="A596" s="194"/>
      <c r="B596" s="194"/>
      <c r="C596" s="189"/>
      <c r="D596" s="189"/>
      <c r="E596" s="189"/>
      <c r="F596" s="189"/>
      <c r="G596" s="189"/>
      <c r="H596" s="189"/>
      <c r="I596" s="189"/>
      <c r="J596" s="189"/>
      <c r="K596" s="189"/>
      <c r="L596" s="189"/>
      <c r="M596" s="189"/>
      <c r="N596" s="189"/>
      <c r="O596" s="189"/>
      <c r="P596" s="189"/>
      <c r="Q596" s="189"/>
      <c r="R596" s="189"/>
      <c r="S596" s="189"/>
      <c r="T596" s="189"/>
      <c r="U596" s="189"/>
      <c r="V596" s="189"/>
      <c r="W596" s="189"/>
    </row>
    <row r="597">
      <c r="A597" s="194"/>
      <c r="B597" s="194"/>
      <c r="C597" s="189"/>
      <c r="D597" s="189"/>
      <c r="E597" s="189"/>
      <c r="F597" s="189"/>
      <c r="G597" s="189"/>
      <c r="H597" s="189"/>
      <c r="I597" s="189"/>
      <c r="J597" s="189"/>
      <c r="K597" s="189"/>
      <c r="L597" s="189"/>
      <c r="M597" s="189"/>
      <c r="N597" s="189"/>
      <c r="O597" s="189"/>
      <c r="P597" s="189"/>
      <c r="Q597" s="189"/>
      <c r="R597" s="189"/>
      <c r="S597" s="189"/>
      <c r="T597" s="189"/>
      <c r="U597" s="189"/>
      <c r="V597" s="189"/>
      <c r="W597" s="189"/>
    </row>
    <row r="598">
      <c r="A598" s="194"/>
      <c r="B598" s="194"/>
      <c r="C598" s="189"/>
      <c r="D598" s="189"/>
      <c r="E598" s="189"/>
      <c r="F598" s="189"/>
      <c r="G598" s="189"/>
      <c r="H598" s="189"/>
      <c r="I598" s="189"/>
      <c r="J598" s="189"/>
      <c r="K598" s="189"/>
      <c r="L598" s="189"/>
      <c r="M598" s="189"/>
      <c r="N598" s="189"/>
      <c r="O598" s="189"/>
      <c r="P598" s="189"/>
      <c r="Q598" s="189"/>
      <c r="R598" s="189"/>
      <c r="S598" s="189"/>
      <c r="T598" s="189"/>
      <c r="U598" s="189"/>
      <c r="V598" s="189"/>
      <c r="W598" s="189"/>
    </row>
    <row r="599">
      <c r="A599" s="194"/>
      <c r="B599" s="194"/>
      <c r="C599" s="189"/>
      <c r="D599" s="189"/>
      <c r="E599" s="189"/>
      <c r="F599" s="189"/>
      <c r="G599" s="189"/>
      <c r="H599" s="189"/>
      <c r="I599" s="189"/>
      <c r="J599" s="189"/>
      <c r="K599" s="189"/>
      <c r="L599" s="189"/>
      <c r="M599" s="189"/>
      <c r="N599" s="189"/>
      <c r="O599" s="189"/>
      <c r="P599" s="189"/>
      <c r="Q599" s="189"/>
      <c r="R599" s="189"/>
      <c r="S599" s="189"/>
      <c r="T599" s="189"/>
      <c r="U599" s="189"/>
      <c r="V599" s="189"/>
      <c r="W599" s="189"/>
    </row>
    <row r="600">
      <c r="A600" s="194"/>
      <c r="B600" s="194"/>
      <c r="C600" s="189"/>
      <c r="D600" s="189"/>
      <c r="E600" s="189"/>
      <c r="F600" s="189"/>
      <c r="G600" s="189"/>
      <c r="H600" s="189"/>
      <c r="I600" s="189"/>
      <c r="J600" s="189"/>
      <c r="K600" s="189"/>
      <c r="L600" s="189"/>
      <c r="M600" s="189"/>
      <c r="N600" s="189"/>
      <c r="O600" s="189"/>
      <c r="P600" s="189"/>
      <c r="Q600" s="189"/>
      <c r="R600" s="189"/>
      <c r="S600" s="189"/>
      <c r="T600" s="189"/>
      <c r="U600" s="189"/>
      <c r="V600" s="189"/>
      <c r="W600" s="189"/>
    </row>
    <row r="601">
      <c r="A601" s="194"/>
      <c r="B601" s="194"/>
      <c r="C601" s="189"/>
      <c r="D601" s="189"/>
      <c r="E601" s="189"/>
      <c r="F601" s="189"/>
      <c r="G601" s="189"/>
      <c r="H601" s="189"/>
      <c r="I601" s="189"/>
      <c r="J601" s="189"/>
      <c r="K601" s="189"/>
      <c r="L601" s="189"/>
      <c r="M601" s="189"/>
      <c r="N601" s="189"/>
      <c r="O601" s="189"/>
      <c r="P601" s="189"/>
      <c r="Q601" s="189"/>
      <c r="R601" s="189"/>
      <c r="S601" s="189"/>
      <c r="T601" s="189"/>
      <c r="U601" s="189"/>
      <c r="V601" s="189"/>
      <c r="W601" s="189"/>
    </row>
    <row r="602">
      <c r="A602" s="194"/>
      <c r="B602" s="194"/>
      <c r="C602" s="189"/>
      <c r="D602" s="189"/>
      <c r="E602" s="189"/>
      <c r="F602" s="189"/>
      <c r="G602" s="189"/>
      <c r="H602" s="189"/>
      <c r="I602" s="189"/>
      <c r="J602" s="189"/>
      <c r="K602" s="189"/>
      <c r="L602" s="189"/>
      <c r="M602" s="189"/>
      <c r="N602" s="189"/>
      <c r="O602" s="189"/>
      <c r="P602" s="189"/>
      <c r="Q602" s="189"/>
      <c r="R602" s="189"/>
      <c r="S602" s="189"/>
      <c r="T602" s="189"/>
      <c r="U602" s="189"/>
      <c r="V602" s="189"/>
      <c r="W602" s="189"/>
    </row>
    <row r="603">
      <c r="A603" s="194"/>
      <c r="B603" s="194"/>
      <c r="C603" s="189"/>
      <c r="D603" s="189"/>
      <c r="E603" s="189"/>
      <c r="F603" s="189"/>
      <c r="G603" s="189"/>
      <c r="H603" s="189"/>
      <c r="I603" s="189"/>
      <c r="J603" s="189"/>
      <c r="K603" s="189"/>
      <c r="L603" s="189"/>
      <c r="M603" s="189"/>
      <c r="N603" s="189"/>
      <c r="O603" s="189"/>
      <c r="P603" s="189"/>
      <c r="Q603" s="189"/>
      <c r="R603" s="189"/>
      <c r="S603" s="189"/>
      <c r="T603" s="189"/>
      <c r="U603" s="189"/>
      <c r="V603" s="189"/>
      <c r="W603" s="189"/>
    </row>
    <row r="604">
      <c r="A604" s="194"/>
      <c r="B604" s="194"/>
      <c r="C604" s="189"/>
      <c r="D604" s="189"/>
      <c r="E604" s="189"/>
      <c r="F604" s="189"/>
      <c r="G604" s="189"/>
      <c r="H604" s="189"/>
      <c r="I604" s="189"/>
      <c r="J604" s="189"/>
      <c r="K604" s="189"/>
      <c r="L604" s="189"/>
      <c r="M604" s="189"/>
      <c r="N604" s="189"/>
      <c r="O604" s="189"/>
      <c r="P604" s="189"/>
      <c r="Q604" s="189"/>
      <c r="R604" s="189"/>
      <c r="S604" s="189"/>
      <c r="T604" s="189"/>
      <c r="U604" s="189"/>
      <c r="V604" s="189"/>
      <c r="W604" s="189"/>
    </row>
    <row r="605">
      <c r="A605" s="194"/>
      <c r="B605" s="194"/>
      <c r="C605" s="189"/>
      <c r="D605" s="189"/>
      <c r="E605" s="189"/>
      <c r="F605" s="189"/>
      <c r="G605" s="189"/>
      <c r="H605" s="189"/>
      <c r="I605" s="189"/>
      <c r="J605" s="189"/>
      <c r="K605" s="189"/>
      <c r="L605" s="189"/>
      <c r="M605" s="189"/>
      <c r="N605" s="189"/>
      <c r="O605" s="189"/>
      <c r="P605" s="189"/>
      <c r="Q605" s="189"/>
      <c r="R605" s="189"/>
      <c r="S605" s="189"/>
      <c r="T605" s="189"/>
      <c r="U605" s="189"/>
      <c r="V605" s="189"/>
      <c r="W605" s="189"/>
    </row>
    <row r="606">
      <c r="A606" s="194"/>
      <c r="B606" s="194"/>
      <c r="C606" s="189"/>
      <c r="D606" s="189"/>
      <c r="E606" s="189"/>
      <c r="F606" s="189"/>
      <c r="G606" s="189"/>
      <c r="H606" s="189"/>
      <c r="I606" s="189"/>
      <c r="J606" s="189"/>
      <c r="K606" s="189"/>
      <c r="L606" s="189"/>
      <c r="M606" s="189"/>
      <c r="N606" s="189"/>
      <c r="O606" s="189"/>
      <c r="P606" s="189"/>
      <c r="Q606" s="189"/>
      <c r="R606" s="189"/>
      <c r="S606" s="189"/>
      <c r="T606" s="189"/>
      <c r="U606" s="189"/>
      <c r="V606" s="189"/>
      <c r="W606" s="189"/>
    </row>
    <row r="607">
      <c r="A607" s="194"/>
      <c r="B607" s="194"/>
      <c r="C607" s="189"/>
      <c r="D607" s="189"/>
      <c r="E607" s="189"/>
      <c r="F607" s="189"/>
      <c r="G607" s="189"/>
      <c r="H607" s="189"/>
      <c r="I607" s="189"/>
      <c r="J607" s="189"/>
      <c r="K607" s="189"/>
      <c r="L607" s="189"/>
      <c r="M607" s="189"/>
      <c r="N607" s="189"/>
      <c r="O607" s="189"/>
      <c r="P607" s="189"/>
      <c r="Q607" s="189"/>
      <c r="R607" s="189"/>
      <c r="S607" s="189"/>
      <c r="T607" s="189"/>
      <c r="U607" s="189"/>
      <c r="V607" s="189"/>
      <c r="W607" s="189"/>
    </row>
    <row r="608">
      <c r="A608" s="194"/>
      <c r="B608" s="194"/>
      <c r="C608" s="189"/>
      <c r="D608" s="189"/>
      <c r="E608" s="189"/>
      <c r="F608" s="189"/>
      <c r="G608" s="189"/>
      <c r="H608" s="189"/>
      <c r="I608" s="189"/>
      <c r="J608" s="189"/>
      <c r="K608" s="189"/>
      <c r="L608" s="189"/>
      <c r="M608" s="189"/>
      <c r="N608" s="189"/>
      <c r="O608" s="189"/>
      <c r="P608" s="189"/>
      <c r="Q608" s="189"/>
      <c r="R608" s="189"/>
      <c r="S608" s="189"/>
      <c r="T608" s="189"/>
      <c r="U608" s="189"/>
      <c r="V608" s="189"/>
      <c r="W608" s="189"/>
    </row>
    <row r="609">
      <c r="A609" s="194"/>
      <c r="B609" s="194"/>
      <c r="C609" s="189"/>
      <c r="D609" s="189"/>
      <c r="E609" s="189"/>
      <c r="F609" s="189"/>
      <c r="G609" s="189"/>
      <c r="H609" s="189"/>
      <c r="I609" s="189"/>
      <c r="J609" s="189"/>
      <c r="K609" s="189"/>
      <c r="L609" s="189"/>
      <c r="M609" s="189"/>
      <c r="N609" s="189"/>
      <c r="O609" s="189"/>
      <c r="P609" s="189"/>
      <c r="Q609" s="189"/>
      <c r="R609" s="189"/>
      <c r="S609" s="189"/>
      <c r="T609" s="189"/>
      <c r="U609" s="189"/>
      <c r="V609" s="189"/>
      <c r="W609" s="189"/>
    </row>
    <row r="610">
      <c r="A610" s="194"/>
      <c r="B610" s="194"/>
      <c r="C610" s="189"/>
      <c r="D610" s="189"/>
      <c r="E610" s="189"/>
      <c r="F610" s="189"/>
      <c r="G610" s="189"/>
      <c r="H610" s="189"/>
      <c r="I610" s="189"/>
      <c r="J610" s="189"/>
      <c r="K610" s="189"/>
      <c r="L610" s="189"/>
      <c r="M610" s="189"/>
      <c r="N610" s="189"/>
      <c r="O610" s="189"/>
      <c r="P610" s="189"/>
      <c r="Q610" s="189"/>
      <c r="R610" s="189"/>
      <c r="S610" s="189"/>
      <c r="T610" s="189"/>
      <c r="U610" s="189"/>
      <c r="V610" s="189"/>
      <c r="W610" s="189"/>
    </row>
    <row r="611">
      <c r="A611" s="194"/>
      <c r="B611" s="194"/>
      <c r="C611" s="189"/>
      <c r="D611" s="189"/>
      <c r="E611" s="189"/>
      <c r="F611" s="189"/>
      <c r="G611" s="189"/>
      <c r="H611" s="189"/>
      <c r="I611" s="189"/>
      <c r="J611" s="189"/>
      <c r="K611" s="189"/>
      <c r="L611" s="189"/>
      <c r="M611" s="189"/>
      <c r="N611" s="189"/>
      <c r="O611" s="189"/>
      <c r="P611" s="189"/>
      <c r="Q611" s="189"/>
      <c r="R611" s="189"/>
      <c r="S611" s="189"/>
      <c r="T611" s="189"/>
      <c r="U611" s="189"/>
      <c r="V611" s="189"/>
      <c r="W611" s="189"/>
    </row>
    <row r="612">
      <c r="A612" s="194"/>
      <c r="B612" s="194"/>
      <c r="C612" s="189"/>
      <c r="D612" s="189"/>
      <c r="E612" s="189"/>
      <c r="F612" s="189"/>
      <c r="G612" s="189"/>
      <c r="H612" s="189"/>
      <c r="I612" s="189"/>
      <c r="J612" s="189"/>
      <c r="K612" s="189"/>
      <c r="L612" s="189"/>
      <c r="M612" s="189"/>
      <c r="N612" s="189"/>
      <c r="O612" s="189"/>
      <c r="P612" s="189"/>
      <c r="Q612" s="189"/>
      <c r="R612" s="189"/>
      <c r="S612" s="189"/>
      <c r="T612" s="189"/>
      <c r="U612" s="189"/>
      <c r="V612" s="189"/>
      <c r="W612" s="189"/>
    </row>
    <row r="613">
      <c r="A613" s="194"/>
      <c r="B613" s="194"/>
      <c r="C613" s="189"/>
      <c r="D613" s="189"/>
      <c r="E613" s="189"/>
      <c r="F613" s="189"/>
      <c r="G613" s="189"/>
      <c r="H613" s="189"/>
      <c r="I613" s="189"/>
      <c r="J613" s="189"/>
      <c r="K613" s="189"/>
      <c r="L613" s="189"/>
      <c r="M613" s="189"/>
      <c r="N613" s="189"/>
      <c r="O613" s="189"/>
      <c r="P613" s="189"/>
      <c r="Q613" s="189"/>
      <c r="R613" s="189"/>
      <c r="S613" s="189"/>
      <c r="T613" s="189"/>
      <c r="U613" s="189"/>
      <c r="V613" s="189"/>
      <c r="W613" s="189"/>
    </row>
    <row r="614">
      <c r="A614" s="194"/>
      <c r="B614" s="194"/>
      <c r="C614" s="189"/>
      <c r="D614" s="189"/>
      <c r="E614" s="189"/>
      <c r="F614" s="189"/>
      <c r="G614" s="189"/>
      <c r="H614" s="189"/>
      <c r="I614" s="189"/>
      <c r="J614" s="189"/>
      <c r="K614" s="189"/>
      <c r="L614" s="189"/>
      <c r="M614" s="189"/>
      <c r="N614" s="189"/>
      <c r="O614" s="189"/>
      <c r="P614" s="189"/>
      <c r="Q614" s="189"/>
      <c r="R614" s="189"/>
      <c r="S614" s="189"/>
      <c r="T614" s="189"/>
      <c r="U614" s="189"/>
      <c r="V614" s="189"/>
      <c r="W614" s="189"/>
    </row>
    <row r="615">
      <c r="A615" s="194"/>
      <c r="B615" s="194"/>
      <c r="C615" s="189"/>
      <c r="D615" s="189"/>
      <c r="E615" s="189"/>
      <c r="F615" s="189"/>
      <c r="G615" s="189"/>
      <c r="H615" s="189"/>
      <c r="I615" s="189"/>
      <c r="J615" s="189"/>
      <c r="K615" s="189"/>
      <c r="L615" s="189"/>
      <c r="M615" s="189"/>
      <c r="N615" s="189"/>
      <c r="O615" s="189"/>
      <c r="P615" s="189"/>
      <c r="Q615" s="189"/>
      <c r="R615" s="189"/>
      <c r="S615" s="189"/>
      <c r="T615" s="189"/>
      <c r="U615" s="189"/>
      <c r="V615" s="189"/>
      <c r="W615" s="189"/>
    </row>
    <row r="616">
      <c r="A616" s="194"/>
      <c r="B616" s="194"/>
      <c r="C616" s="189"/>
      <c r="D616" s="189"/>
      <c r="E616" s="189"/>
      <c r="F616" s="189"/>
      <c r="G616" s="189"/>
      <c r="H616" s="189"/>
      <c r="I616" s="189"/>
      <c r="J616" s="189"/>
      <c r="K616" s="189"/>
      <c r="L616" s="189"/>
      <c r="M616" s="189"/>
      <c r="N616" s="189"/>
      <c r="O616" s="189"/>
      <c r="P616" s="189"/>
      <c r="Q616" s="189"/>
      <c r="R616" s="189"/>
      <c r="S616" s="189"/>
      <c r="T616" s="189"/>
      <c r="U616" s="189"/>
      <c r="V616" s="189"/>
      <c r="W616" s="189"/>
    </row>
    <row r="617">
      <c r="A617" s="194"/>
      <c r="B617" s="194"/>
      <c r="C617" s="189"/>
      <c r="D617" s="189"/>
      <c r="E617" s="189"/>
      <c r="F617" s="189"/>
      <c r="G617" s="189"/>
      <c r="H617" s="189"/>
      <c r="I617" s="189"/>
      <c r="J617" s="189"/>
      <c r="K617" s="189"/>
      <c r="L617" s="189"/>
      <c r="M617" s="189"/>
      <c r="N617" s="189"/>
      <c r="O617" s="189"/>
      <c r="P617" s="189"/>
      <c r="Q617" s="189"/>
      <c r="R617" s="189"/>
      <c r="S617" s="189"/>
      <c r="T617" s="189"/>
      <c r="U617" s="189"/>
      <c r="V617" s="189"/>
      <c r="W617" s="189"/>
    </row>
    <row r="618">
      <c r="A618" s="194"/>
      <c r="B618" s="194"/>
      <c r="C618" s="189"/>
      <c r="D618" s="189"/>
      <c r="E618" s="189"/>
      <c r="F618" s="189"/>
      <c r="G618" s="189"/>
      <c r="H618" s="189"/>
      <c r="I618" s="189"/>
      <c r="J618" s="189"/>
      <c r="K618" s="189"/>
      <c r="L618" s="189"/>
      <c r="M618" s="189"/>
      <c r="N618" s="189"/>
      <c r="O618" s="189"/>
      <c r="P618" s="189"/>
      <c r="Q618" s="189"/>
      <c r="R618" s="189"/>
      <c r="S618" s="189"/>
      <c r="T618" s="189"/>
      <c r="U618" s="189"/>
      <c r="V618" s="189"/>
      <c r="W618" s="189"/>
    </row>
    <row r="619">
      <c r="A619" s="194"/>
      <c r="B619" s="194"/>
      <c r="C619" s="189"/>
      <c r="D619" s="189"/>
      <c r="E619" s="189"/>
      <c r="F619" s="189"/>
      <c r="G619" s="189"/>
      <c r="H619" s="189"/>
      <c r="I619" s="189"/>
      <c r="J619" s="189"/>
      <c r="K619" s="189"/>
      <c r="L619" s="189"/>
      <c r="M619" s="189"/>
      <c r="N619" s="189"/>
      <c r="O619" s="189"/>
      <c r="P619" s="189"/>
      <c r="Q619" s="189"/>
      <c r="R619" s="189"/>
      <c r="S619" s="189"/>
      <c r="T619" s="189"/>
      <c r="U619" s="189"/>
      <c r="V619" s="189"/>
      <c r="W619" s="189"/>
    </row>
    <row r="620">
      <c r="A620" s="194"/>
      <c r="B620" s="194"/>
      <c r="C620" s="189"/>
      <c r="D620" s="189"/>
      <c r="E620" s="189"/>
      <c r="F620" s="189"/>
      <c r="G620" s="189"/>
      <c r="H620" s="189"/>
      <c r="I620" s="189"/>
      <c r="J620" s="189"/>
      <c r="K620" s="189"/>
      <c r="L620" s="189"/>
      <c r="M620" s="189"/>
      <c r="N620" s="189"/>
      <c r="O620" s="189"/>
      <c r="P620" s="189"/>
      <c r="Q620" s="189"/>
      <c r="R620" s="189"/>
      <c r="S620" s="189"/>
      <c r="T620" s="189"/>
      <c r="U620" s="189"/>
      <c r="V620" s="189"/>
      <c r="W620" s="189"/>
    </row>
    <row r="621">
      <c r="A621" s="194"/>
      <c r="B621" s="194"/>
      <c r="C621" s="189"/>
      <c r="D621" s="189"/>
      <c r="E621" s="189"/>
      <c r="F621" s="189"/>
      <c r="G621" s="189"/>
      <c r="H621" s="189"/>
      <c r="I621" s="189"/>
      <c r="J621" s="189"/>
      <c r="K621" s="189"/>
      <c r="L621" s="189"/>
      <c r="M621" s="189"/>
      <c r="N621" s="189"/>
      <c r="O621" s="189"/>
      <c r="P621" s="189"/>
      <c r="Q621" s="189"/>
      <c r="R621" s="189"/>
      <c r="S621" s="189"/>
      <c r="T621" s="189"/>
      <c r="U621" s="189"/>
      <c r="V621" s="189"/>
      <c r="W621" s="189"/>
    </row>
    <row r="622">
      <c r="A622" s="194"/>
      <c r="B622" s="194"/>
      <c r="C622" s="189"/>
      <c r="D622" s="189"/>
      <c r="E622" s="189"/>
      <c r="F622" s="189"/>
      <c r="G622" s="189"/>
      <c r="H622" s="189"/>
      <c r="I622" s="189"/>
      <c r="J622" s="189"/>
      <c r="K622" s="189"/>
      <c r="L622" s="189"/>
      <c r="M622" s="189"/>
      <c r="N622" s="189"/>
      <c r="O622" s="189"/>
      <c r="P622" s="189"/>
      <c r="Q622" s="189"/>
      <c r="R622" s="189"/>
      <c r="S622" s="189"/>
      <c r="T622" s="189"/>
      <c r="U622" s="189"/>
      <c r="V622" s="189"/>
      <c r="W622" s="189"/>
    </row>
    <row r="623">
      <c r="A623" s="194"/>
      <c r="B623" s="194"/>
      <c r="C623" s="189"/>
      <c r="D623" s="189"/>
      <c r="E623" s="189"/>
      <c r="F623" s="189"/>
      <c r="G623" s="189"/>
      <c r="H623" s="189"/>
      <c r="I623" s="189"/>
      <c r="J623" s="189"/>
      <c r="K623" s="189"/>
      <c r="L623" s="189"/>
      <c r="M623" s="189"/>
      <c r="N623" s="189"/>
      <c r="O623" s="189"/>
      <c r="P623" s="189"/>
      <c r="Q623" s="189"/>
      <c r="R623" s="189"/>
      <c r="S623" s="189"/>
      <c r="T623" s="189"/>
      <c r="U623" s="189"/>
      <c r="V623" s="189"/>
      <c r="W623" s="189"/>
    </row>
    <row r="624">
      <c r="A624" s="194"/>
      <c r="B624" s="194"/>
      <c r="C624" s="189"/>
      <c r="D624" s="189"/>
      <c r="E624" s="189"/>
      <c r="F624" s="189"/>
      <c r="G624" s="189"/>
      <c r="H624" s="189"/>
      <c r="I624" s="189"/>
      <c r="J624" s="189"/>
      <c r="K624" s="189"/>
      <c r="L624" s="189"/>
      <c r="M624" s="189"/>
      <c r="N624" s="189"/>
      <c r="O624" s="189"/>
      <c r="P624" s="189"/>
      <c r="Q624" s="189"/>
      <c r="R624" s="189"/>
      <c r="S624" s="189"/>
      <c r="T624" s="189"/>
      <c r="U624" s="189"/>
      <c r="V624" s="189"/>
      <c r="W624" s="189"/>
    </row>
    <row r="625">
      <c r="A625" s="194"/>
      <c r="B625" s="194"/>
      <c r="C625" s="189"/>
      <c r="D625" s="189"/>
      <c r="E625" s="189"/>
      <c r="F625" s="189"/>
      <c r="G625" s="189"/>
      <c r="H625" s="189"/>
      <c r="I625" s="189"/>
      <c r="J625" s="189"/>
      <c r="K625" s="189"/>
      <c r="L625" s="189"/>
      <c r="M625" s="189"/>
      <c r="N625" s="189"/>
      <c r="O625" s="189"/>
      <c r="P625" s="189"/>
      <c r="Q625" s="189"/>
      <c r="R625" s="189"/>
      <c r="S625" s="189"/>
      <c r="T625" s="189"/>
      <c r="U625" s="189"/>
      <c r="V625" s="189"/>
      <c r="W625" s="189"/>
    </row>
    <row r="626">
      <c r="A626" s="194"/>
      <c r="B626" s="194"/>
      <c r="C626" s="189"/>
      <c r="D626" s="189"/>
      <c r="E626" s="189"/>
      <c r="F626" s="189"/>
      <c r="G626" s="189"/>
      <c r="H626" s="189"/>
      <c r="I626" s="189"/>
      <c r="J626" s="189"/>
      <c r="K626" s="189"/>
      <c r="L626" s="189"/>
      <c r="M626" s="189"/>
      <c r="N626" s="189"/>
      <c r="O626" s="189"/>
      <c r="P626" s="189"/>
      <c r="Q626" s="189"/>
      <c r="R626" s="189"/>
      <c r="S626" s="189"/>
      <c r="T626" s="189"/>
      <c r="U626" s="189"/>
      <c r="V626" s="189"/>
      <c r="W626" s="189"/>
    </row>
    <row r="627">
      <c r="A627" s="194"/>
      <c r="B627" s="194"/>
      <c r="C627" s="189"/>
      <c r="D627" s="189"/>
      <c r="E627" s="189"/>
      <c r="F627" s="189"/>
      <c r="G627" s="189"/>
      <c r="H627" s="189"/>
      <c r="I627" s="189"/>
      <c r="J627" s="189"/>
      <c r="K627" s="189"/>
      <c r="L627" s="189"/>
      <c r="M627" s="189"/>
      <c r="N627" s="189"/>
      <c r="O627" s="189"/>
      <c r="P627" s="189"/>
      <c r="Q627" s="189"/>
      <c r="R627" s="189"/>
      <c r="S627" s="189"/>
      <c r="T627" s="189"/>
      <c r="U627" s="189"/>
      <c r="V627" s="189"/>
      <c r="W627" s="189"/>
    </row>
    <row r="628">
      <c r="A628" s="194"/>
      <c r="B628" s="194"/>
      <c r="C628" s="189"/>
      <c r="D628" s="189"/>
      <c r="E628" s="189"/>
      <c r="F628" s="189"/>
      <c r="G628" s="189"/>
      <c r="H628" s="189"/>
      <c r="I628" s="189"/>
      <c r="J628" s="189"/>
      <c r="K628" s="189"/>
      <c r="L628" s="189"/>
      <c r="M628" s="189"/>
      <c r="N628" s="189"/>
      <c r="O628" s="189"/>
      <c r="P628" s="189"/>
      <c r="Q628" s="189"/>
      <c r="R628" s="189"/>
      <c r="S628" s="189"/>
      <c r="T628" s="189"/>
      <c r="U628" s="189"/>
      <c r="V628" s="189"/>
      <c r="W628" s="189"/>
    </row>
    <row r="629">
      <c r="A629" s="194"/>
      <c r="B629" s="194"/>
      <c r="C629" s="189"/>
      <c r="D629" s="189"/>
      <c r="E629" s="189"/>
      <c r="F629" s="189"/>
      <c r="G629" s="189"/>
      <c r="H629" s="189"/>
      <c r="I629" s="189"/>
      <c r="J629" s="189"/>
      <c r="K629" s="189"/>
      <c r="L629" s="189"/>
      <c r="M629" s="189"/>
      <c r="N629" s="189"/>
      <c r="O629" s="189"/>
      <c r="P629" s="189"/>
      <c r="Q629" s="189"/>
      <c r="R629" s="189"/>
      <c r="S629" s="189"/>
      <c r="T629" s="189"/>
      <c r="U629" s="189"/>
      <c r="V629" s="189"/>
      <c r="W629" s="189"/>
    </row>
    <row r="630">
      <c r="A630" s="194"/>
      <c r="B630" s="194"/>
      <c r="C630" s="189"/>
      <c r="D630" s="189"/>
      <c r="E630" s="189"/>
      <c r="F630" s="189"/>
      <c r="G630" s="189"/>
      <c r="H630" s="189"/>
      <c r="I630" s="189"/>
      <c r="J630" s="189"/>
      <c r="K630" s="189"/>
      <c r="L630" s="189"/>
      <c r="M630" s="189"/>
      <c r="N630" s="189"/>
      <c r="O630" s="189"/>
      <c r="P630" s="189"/>
      <c r="Q630" s="189"/>
      <c r="R630" s="189"/>
      <c r="S630" s="189"/>
      <c r="T630" s="189"/>
      <c r="U630" s="189"/>
      <c r="V630" s="189"/>
      <c r="W630" s="189"/>
    </row>
    <row r="631">
      <c r="A631" s="194"/>
      <c r="B631" s="194"/>
      <c r="C631" s="189"/>
      <c r="D631" s="189"/>
      <c r="E631" s="189"/>
      <c r="F631" s="189"/>
      <c r="G631" s="189"/>
      <c r="H631" s="189"/>
      <c r="I631" s="189"/>
      <c r="J631" s="189"/>
      <c r="K631" s="189"/>
      <c r="L631" s="189"/>
      <c r="M631" s="189"/>
      <c r="N631" s="189"/>
      <c r="O631" s="189"/>
      <c r="P631" s="189"/>
      <c r="Q631" s="189"/>
      <c r="R631" s="189"/>
      <c r="S631" s="189"/>
      <c r="T631" s="189"/>
      <c r="U631" s="189"/>
      <c r="V631" s="189"/>
      <c r="W631" s="189"/>
    </row>
    <row r="632">
      <c r="A632" s="194"/>
      <c r="B632" s="194"/>
      <c r="C632" s="189"/>
      <c r="D632" s="189"/>
      <c r="E632" s="189"/>
      <c r="F632" s="189"/>
      <c r="G632" s="189"/>
      <c r="H632" s="189"/>
      <c r="I632" s="189"/>
      <c r="J632" s="189"/>
      <c r="K632" s="189"/>
      <c r="L632" s="189"/>
      <c r="M632" s="189"/>
      <c r="N632" s="189"/>
      <c r="O632" s="189"/>
      <c r="P632" s="189"/>
      <c r="Q632" s="189"/>
      <c r="R632" s="189"/>
      <c r="S632" s="189"/>
      <c r="T632" s="189"/>
      <c r="U632" s="189"/>
      <c r="V632" s="189"/>
      <c r="W632" s="189"/>
    </row>
    <row r="633">
      <c r="A633" s="194"/>
      <c r="B633" s="194"/>
      <c r="C633" s="189"/>
      <c r="D633" s="189"/>
      <c r="E633" s="189"/>
      <c r="F633" s="189"/>
      <c r="G633" s="189"/>
      <c r="H633" s="189"/>
      <c r="I633" s="189"/>
      <c r="J633" s="189"/>
      <c r="K633" s="189"/>
      <c r="L633" s="189"/>
      <c r="M633" s="189"/>
      <c r="N633" s="189"/>
      <c r="O633" s="189"/>
      <c r="P633" s="189"/>
      <c r="Q633" s="189"/>
      <c r="R633" s="189"/>
      <c r="S633" s="189"/>
      <c r="T633" s="189"/>
      <c r="U633" s="189"/>
      <c r="V633" s="189"/>
      <c r="W633" s="189"/>
    </row>
    <row r="634">
      <c r="A634" s="194"/>
      <c r="B634" s="194"/>
      <c r="C634" s="189"/>
      <c r="D634" s="189"/>
      <c r="E634" s="189"/>
      <c r="F634" s="189"/>
      <c r="G634" s="189"/>
      <c r="H634" s="189"/>
      <c r="I634" s="189"/>
      <c r="J634" s="189"/>
      <c r="K634" s="189"/>
      <c r="L634" s="189"/>
      <c r="M634" s="189"/>
      <c r="N634" s="189"/>
      <c r="O634" s="189"/>
      <c r="P634" s="189"/>
      <c r="Q634" s="189"/>
      <c r="R634" s="189"/>
      <c r="S634" s="189"/>
      <c r="T634" s="189"/>
      <c r="U634" s="189"/>
      <c r="V634" s="189"/>
      <c r="W634" s="189"/>
    </row>
    <row r="635">
      <c r="A635" s="194"/>
      <c r="B635" s="194"/>
      <c r="C635" s="189"/>
      <c r="D635" s="189"/>
      <c r="E635" s="189"/>
      <c r="F635" s="189"/>
      <c r="G635" s="189"/>
      <c r="H635" s="189"/>
      <c r="I635" s="189"/>
      <c r="J635" s="189"/>
      <c r="K635" s="189"/>
      <c r="L635" s="189"/>
      <c r="M635" s="189"/>
      <c r="N635" s="189"/>
      <c r="O635" s="189"/>
      <c r="P635" s="189"/>
      <c r="Q635" s="189"/>
      <c r="R635" s="189"/>
      <c r="S635" s="189"/>
      <c r="T635" s="189"/>
      <c r="U635" s="189"/>
      <c r="V635" s="189"/>
      <c r="W635" s="189"/>
    </row>
    <row r="636">
      <c r="A636" s="194"/>
      <c r="B636" s="194"/>
      <c r="C636" s="189"/>
      <c r="D636" s="189"/>
      <c r="E636" s="189"/>
      <c r="F636" s="189"/>
      <c r="G636" s="189"/>
      <c r="H636" s="189"/>
      <c r="I636" s="189"/>
      <c r="J636" s="189"/>
      <c r="K636" s="189"/>
      <c r="L636" s="189"/>
      <c r="M636" s="189"/>
      <c r="N636" s="189"/>
      <c r="O636" s="189"/>
      <c r="P636" s="189"/>
      <c r="Q636" s="189"/>
      <c r="R636" s="189"/>
      <c r="S636" s="189"/>
      <c r="T636" s="189"/>
      <c r="U636" s="189"/>
      <c r="V636" s="189"/>
      <c r="W636" s="189"/>
    </row>
    <row r="637">
      <c r="A637" s="194"/>
      <c r="B637" s="194"/>
      <c r="C637" s="189"/>
      <c r="D637" s="189"/>
      <c r="E637" s="189"/>
      <c r="F637" s="189"/>
      <c r="G637" s="189"/>
      <c r="H637" s="189"/>
      <c r="I637" s="189"/>
      <c r="J637" s="189"/>
      <c r="K637" s="189"/>
      <c r="L637" s="189"/>
      <c r="M637" s="189"/>
      <c r="N637" s="189"/>
      <c r="O637" s="189"/>
      <c r="P637" s="189"/>
      <c r="Q637" s="189"/>
      <c r="R637" s="189"/>
      <c r="S637" s="189"/>
      <c r="T637" s="189"/>
      <c r="U637" s="189"/>
      <c r="V637" s="189"/>
      <c r="W637" s="189"/>
    </row>
    <row r="638">
      <c r="A638" s="194"/>
      <c r="B638" s="194"/>
      <c r="C638" s="189"/>
      <c r="D638" s="189"/>
      <c r="E638" s="189"/>
      <c r="F638" s="189"/>
      <c r="G638" s="189"/>
      <c r="H638" s="189"/>
      <c r="I638" s="189"/>
      <c r="J638" s="189"/>
      <c r="K638" s="189"/>
      <c r="L638" s="189"/>
      <c r="M638" s="189"/>
      <c r="N638" s="189"/>
      <c r="O638" s="189"/>
      <c r="P638" s="189"/>
      <c r="Q638" s="189"/>
      <c r="R638" s="189"/>
      <c r="S638" s="189"/>
      <c r="T638" s="189"/>
      <c r="U638" s="189"/>
      <c r="V638" s="189"/>
      <c r="W638" s="189"/>
    </row>
    <row r="639">
      <c r="A639" s="194"/>
      <c r="B639" s="194"/>
      <c r="C639" s="189"/>
      <c r="D639" s="189"/>
      <c r="E639" s="189"/>
      <c r="F639" s="189"/>
      <c r="G639" s="189"/>
      <c r="H639" s="189"/>
      <c r="I639" s="189"/>
      <c r="J639" s="189"/>
      <c r="K639" s="189"/>
      <c r="L639" s="189"/>
      <c r="M639" s="189"/>
      <c r="N639" s="189"/>
      <c r="O639" s="189"/>
      <c r="P639" s="189"/>
      <c r="Q639" s="189"/>
      <c r="R639" s="189"/>
      <c r="S639" s="189"/>
      <c r="T639" s="189"/>
      <c r="U639" s="189"/>
      <c r="V639" s="189"/>
      <c r="W639" s="189"/>
    </row>
    <row r="640">
      <c r="A640" s="194"/>
      <c r="B640" s="194"/>
      <c r="C640" s="189"/>
      <c r="D640" s="189"/>
      <c r="E640" s="189"/>
      <c r="F640" s="189"/>
      <c r="G640" s="189"/>
      <c r="H640" s="189"/>
      <c r="I640" s="189"/>
      <c r="J640" s="189"/>
      <c r="K640" s="189"/>
      <c r="L640" s="189"/>
      <c r="M640" s="189"/>
      <c r="N640" s="189"/>
      <c r="O640" s="189"/>
      <c r="P640" s="189"/>
      <c r="Q640" s="189"/>
      <c r="R640" s="189"/>
      <c r="S640" s="189"/>
      <c r="T640" s="189"/>
      <c r="U640" s="189"/>
      <c r="V640" s="189"/>
      <c r="W640" s="189"/>
    </row>
    <row r="641">
      <c r="A641" s="194"/>
      <c r="B641" s="194"/>
      <c r="C641" s="189"/>
      <c r="D641" s="189"/>
      <c r="E641" s="189"/>
      <c r="F641" s="189"/>
      <c r="G641" s="189"/>
      <c r="H641" s="189"/>
      <c r="I641" s="189"/>
      <c r="J641" s="189"/>
      <c r="K641" s="189"/>
      <c r="L641" s="189"/>
      <c r="M641" s="189"/>
      <c r="N641" s="189"/>
      <c r="O641" s="189"/>
      <c r="P641" s="189"/>
      <c r="Q641" s="189"/>
      <c r="R641" s="189"/>
      <c r="S641" s="189"/>
      <c r="T641" s="189"/>
      <c r="U641" s="189"/>
      <c r="V641" s="189"/>
      <c r="W641" s="189"/>
    </row>
    <row r="642">
      <c r="A642" s="194"/>
      <c r="B642" s="194"/>
      <c r="C642" s="189"/>
      <c r="D642" s="189"/>
      <c r="E642" s="189"/>
      <c r="F642" s="189"/>
      <c r="G642" s="189"/>
      <c r="H642" s="189"/>
      <c r="I642" s="189"/>
      <c r="J642" s="189"/>
      <c r="K642" s="189"/>
      <c r="L642" s="189"/>
      <c r="M642" s="189"/>
      <c r="N642" s="189"/>
      <c r="O642" s="189"/>
      <c r="P642" s="189"/>
      <c r="Q642" s="189"/>
      <c r="R642" s="189"/>
      <c r="S642" s="189"/>
      <c r="T642" s="189"/>
      <c r="U642" s="189"/>
      <c r="V642" s="189"/>
      <c r="W642" s="189"/>
    </row>
    <row r="643">
      <c r="A643" s="194"/>
      <c r="B643" s="194"/>
      <c r="C643" s="189"/>
      <c r="D643" s="189"/>
      <c r="E643" s="189"/>
      <c r="F643" s="189"/>
      <c r="G643" s="189"/>
      <c r="H643" s="189"/>
      <c r="I643" s="189"/>
      <c r="J643" s="189"/>
      <c r="K643" s="189"/>
      <c r="L643" s="189"/>
      <c r="M643" s="189"/>
      <c r="N643" s="189"/>
      <c r="O643" s="189"/>
      <c r="P643" s="189"/>
      <c r="Q643" s="189"/>
      <c r="R643" s="189"/>
      <c r="S643" s="189"/>
      <c r="T643" s="189"/>
      <c r="U643" s="189"/>
      <c r="V643" s="189"/>
      <c r="W643" s="189"/>
    </row>
    <row r="644">
      <c r="A644" s="194"/>
      <c r="B644" s="194"/>
      <c r="C644" s="189"/>
      <c r="D644" s="189"/>
      <c r="E644" s="189"/>
      <c r="F644" s="189"/>
      <c r="G644" s="189"/>
      <c r="H644" s="189"/>
      <c r="I644" s="189"/>
      <c r="J644" s="189"/>
      <c r="K644" s="189"/>
      <c r="L644" s="189"/>
      <c r="M644" s="189"/>
      <c r="N644" s="189"/>
      <c r="O644" s="189"/>
      <c r="P644" s="189"/>
      <c r="Q644" s="189"/>
      <c r="R644" s="189"/>
      <c r="S644" s="189"/>
      <c r="T644" s="189"/>
      <c r="U644" s="189"/>
      <c r="V644" s="189"/>
      <c r="W644" s="189"/>
    </row>
    <row r="645">
      <c r="A645" s="194"/>
      <c r="B645" s="194"/>
      <c r="C645" s="189"/>
      <c r="D645" s="189"/>
      <c r="E645" s="189"/>
      <c r="F645" s="189"/>
      <c r="G645" s="189"/>
      <c r="H645" s="189"/>
      <c r="I645" s="189"/>
      <c r="J645" s="189"/>
      <c r="K645" s="189"/>
      <c r="L645" s="189"/>
      <c r="M645" s="189"/>
      <c r="N645" s="189"/>
      <c r="O645" s="189"/>
      <c r="P645" s="189"/>
      <c r="Q645" s="189"/>
      <c r="R645" s="189"/>
      <c r="S645" s="189"/>
      <c r="T645" s="189"/>
      <c r="U645" s="189"/>
      <c r="V645" s="189"/>
      <c r="W645" s="189"/>
    </row>
    <row r="646">
      <c r="A646" s="194"/>
      <c r="B646" s="194"/>
      <c r="C646" s="189"/>
      <c r="D646" s="189"/>
      <c r="E646" s="189"/>
      <c r="F646" s="189"/>
      <c r="G646" s="189"/>
      <c r="H646" s="189"/>
      <c r="I646" s="189"/>
      <c r="J646" s="189"/>
      <c r="K646" s="189"/>
      <c r="L646" s="189"/>
      <c r="M646" s="189"/>
      <c r="N646" s="189"/>
      <c r="O646" s="189"/>
      <c r="P646" s="189"/>
      <c r="Q646" s="189"/>
      <c r="R646" s="189"/>
      <c r="S646" s="189"/>
      <c r="T646" s="189"/>
      <c r="U646" s="189"/>
      <c r="V646" s="189"/>
      <c r="W646" s="189"/>
    </row>
    <row r="647">
      <c r="A647" s="194"/>
      <c r="B647" s="194"/>
      <c r="C647" s="189"/>
      <c r="D647" s="189"/>
      <c r="E647" s="189"/>
      <c r="F647" s="189"/>
      <c r="G647" s="189"/>
      <c r="H647" s="189"/>
      <c r="I647" s="189"/>
      <c r="J647" s="189"/>
      <c r="K647" s="189"/>
      <c r="L647" s="189"/>
      <c r="M647" s="189"/>
      <c r="N647" s="189"/>
      <c r="O647" s="189"/>
      <c r="P647" s="189"/>
      <c r="Q647" s="189"/>
      <c r="R647" s="189"/>
      <c r="S647" s="189"/>
      <c r="T647" s="189"/>
      <c r="U647" s="189"/>
      <c r="V647" s="189"/>
      <c r="W647" s="189"/>
    </row>
    <row r="648">
      <c r="A648" s="194"/>
      <c r="B648" s="194"/>
      <c r="C648" s="189"/>
      <c r="D648" s="189"/>
      <c r="E648" s="189"/>
      <c r="F648" s="189"/>
      <c r="G648" s="189"/>
      <c r="H648" s="189"/>
      <c r="I648" s="189"/>
      <c r="J648" s="189"/>
      <c r="K648" s="189"/>
      <c r="L648" s="189"/>
      <c r="M648" s="189"/>
      <c r="N648" s="189"/>
      <c r="O648" s="189"/>
      <c r="P648" s="189"/>
      <c r="Q648" s="189"/>
      <c r="R648" s="189"/>
      <c r="S648" s="189"/>
      <c r="T648" s="189"/>
      <c r="U648" s="189"/>
      <c r="V648" s="189"/>
      <c r="W648" s="189"/>
    </row>
    <row r="649">
      <c r="A649" s="194"/>
      <c r="B649" s="194"/>
      <c r="C649" s="189"/>
      <c r="D649" s="189"/>
      <c r="E649" s="189"/>
      <c r="F649" s="189"/>
      <c r="G649" s="189"/>
      <c r="H649" s="189"/>
      <c r="I649" s="189"/>
      <c r="J649" s="189"/>
      <c r="K649" s="189"/>
      <c r="L649" s="189"/>
      <c r="M649" s="189"/>
      <c r="N649" s="189"/>
      <c r="O649" s="189"/>
      <c r="P649" s="189"/>
      <c r="Q649" s="189"/>
      <c r="R649" s="189"/>
      <c r="S649" s="189"/>
      <c r="T649" s="189"/>
      <c r="U649" s="189"/>
      <c r="V649" s="189"/>
      <c r="W649" s="189"/>
    </row>
    <row r="650">
      <c r="A650" s="194"/>
      <c r="B650" s="194"/>
      <c r="C650" s="189"/>
      <c r="D650" s="189"/>
      <c r="E650" s="189"/>
      <c r="F650" s="189"/>
      <c r="G650" s="189"/>
      <c r="H650" s="189"/>
      <c r="I650" s="189"/>
      <c r="J650" s="189"/>
      <c r="K650" s="189"/>
      <c r="L650" s="189"/>
      <c r="M650" s="189"/>
      <c r="N650" s="189"/>
      <c r="O650" s="189"/>
      <c r="P650" s="189"/>
      <c r="Q650" s="189"/>
      <c r="R650" s="189"/>
      <c r="S650" s="189"/>
      <c r="T650" s="189"/>
      <c r="U650" s="189"/>
      <c r="V650" s="189"/>
      <c r="W650" s="189"/>
    </row>
    <row r="651">
      <c r="A651" s="194"/>
      <c r="B651" s="194"/>
      <c r="C651" s="189"/>
      <c r="D651" s="189"/>
      <c r="E651" s="189"/>
      <c r="F651" s="189"/>
      <c r="G651" s="189"/>
      <c r="H651" s="189"/>
      <c r="I651" s="189"/>
      <c r="J651" s="189"/>
      <c r="K651" s="189"/>
      <c r="L651" s="189"/>
      <c r="M651" s="189"/>
      <c r="N651" s="189"/>
      <c r="O651" s="189"/>
      <c r="P651" s="189"/>
      <c r="Q651" s="189"/>
      <c r="R651" s="189"/>
      <c r="S651" s="189"/>
      <c r="T651" s="189"/>
      <c r="U651" s="189"/>
      <c r="V651" s="189"/>
      <c r="W651" s="189"/>
    </row>
    <row r="652">
      <c r="A652" s="194"/>
      <c r="B652" s="194"/>
      <c r="C652" s="189"/>
      <c r="D652" s="189"/>
      <c r="E652" s="189"/>
      <c r="F652" s="189"/>
      <c r="G652" s="189"/>
      <c r="H652" s="189"/>
      <c r="I652" s="189"/>
      <c r="J652" s="189"/>
      <c r="K652" s="189"/>
      <c r="L652" s="189"/>
      <c r="M652" s="189"/>
      <c r="N652" s="189"/>
      <c r="O652" s="189"/>
      <c r="P652" s="189"/>
      <c r="Q652" s="189"/>
      <c r="R652" s="189"/>
      <c r="S652" s="189"/>
      <c r="T652" s="189"/>
      <c r="U652" s="189"/>
      <c r="V652" s="189"/>
      <c r="W652" s="189"/>
    </row>
    <row r="653">
      <c r="A653" s="194"/>
      <c r="B653" s="194"/>
      <c r="C653" s="189"/>
      <c r="D653" s="189"/>
      <c r="E653" s="189"/>
      <c r="F653" s="189"/>
      <c r="G653" s="189"/>
      <c r="H653" s="189"/>
      <c r="I653" s="189"/>
      <c r="J653" s="189"/>
      <c r="K653" s="189"/>
      <c r="L653" s="189"/>
      <c r="M653" s="189"/>
      <c r="N653" s="189"/>
      <c r="O653" s="189"/>
      <c r="P653" s="189"/>
      <c r="Q653" s="189"/>
      <c r="R653" s="189"/>
      <c r="S653" s="189"/>
      <c r="T653" s="189"/>
      <c r="U653" s="189"/>
      <c r="V653" s="189"/>
      <c r="W653" s="189"/>
    </row>
    <row r="654">
      <c r="A654" s="194"/>
      <c r="B654" s="194"/>
      <c r="C654" s="189"/>
      <c r="D654" s="189"/>
      <c r="E654" s="189"/>
      <c r="F654" s="189"/>
      <c r="G654" s="189"/>
      <c r="H654" s="189"/>
      <c r="I654" s="189"/>
      <c r="J654" s="189"/>
      <c r="K654" s="189"/>
      <c r="L654" s="189"/>
      <c r="M654" s="189"/>
      <c r="N654" s="189"/>
      <c r="O654" s="189"/>
      <c r="P654" s="189"/>
      <c r="Q654" s="189"/>
      <c r="R654" s="189"/>
      <c r="S654" s="189"/>
      <c r="T654" s="189"/>
      <c r="U654" s="189"/>
      <c r="V654" s="189"/>
      <c r="W654" s="189"/>
    </row>
    <row r="655">
      <c r="A655" s="194"/>
      <c r="B655" s="194"/>
      <c r="C655" s="189"/>
      <c r="D655" s="189"/>
      <c r="E655" s="189"/>
      <c r="F655" s="189"/>
      <c r="G655" s="189"/>
      <c r="H655" s="189"/>
      <c r="I655" s="189"/>
      <c r="J655" s="189"/>
      <c r="K655" s="189"/>
      <c r="L655" s="189"/>
      <c r="M655" s="189"/>
      <c r="N655" s="189"/>
      <c r="O655" s="189"/>
      <c r="P655" s="189"/>
      <c r="Q655" s="189"/>
      <c r="R655" s="189"/>
      <c r="S655" s="189"/>
      <c r="T655" s="189"/>
      <c r="U655" s="189"/>
      <c r="V655" s="189"/>
      <c r="W655" s="189"/>
    </row>
    <row r="656">
      <c r="A656" s="194"/>
      <c r="B656" s="194"/>
      <c r="C656" s="189"/>
      <c r="D656" s="189"/>
      <c r="E656" s="189"/>
      <c r="F656" s="189"/>
      <c r="G656" s="189"/>
      <c r="H656" s="189"/>
      <c r="I656" s="189"/>
      <c r="J656" s="189"/>
      <c r="K656" s="189"/>
      <c r="L656" s="189"/>
      <c r="M656" s="189"/>
      <c r="N656" s="189"/>
      <c r="O656" s="189"/>
      <c r="P656" s="189"/>
      <c r="Q656" s="189"/>
      <c r="R656" s="189"/>
      <c r="S656" s="189"/>
      <c r="T656" s="189"/>
      <c r="U656" s="189"/>
      <c r="V656" s="189"/>
      <c r="W656" s="189"/>
    </row>
    <row r="657">
      <c r="A657" s="194"/>
      <c r="B657" s="194"/>
      <c r="C657" s="189"/>
      <c r="D657" s="189"/>
      <c r="E657" s="189"/>
      <c r="F657" s="189"/>
      <c r="G657" s="189"/>
      <c r="H657" s="189"/>
      <c r="I657" s="189"/>
      <c r="J657" s="189"/>
      <c r="K657" s="189"/>
      <c r="L657" s="189"/>
      <c r="M657" s="189"/>
      <c r="N657" s="189"/>
      <c r="O657" s="189"/>
      <c r="P657" s="189"/>
      <c r="Q657" s="189"/>
      <c r="R657" s="189"/>
      <c r="S657" s="189"/>
      <c r="T657" s="189"/>
      <c r="U657" s="189"/>
      <c r="V657" s="189"/>
      <c r="W657" s="189"/>
    </row>
    <row r="658">
      <c r="A658" s="194"/>
      <c r="B658" s="194"/>
      <c r="C658" s="189"/>
      <c r="D658" s="189"/>
      <c r="E658" s="189"/>
      <c r="F658" s="189"/>
      <c r="G658" s="189"/>
      <c r="H658" s="189"/>
      <c r="I658" s="189"/>
      <c r="J658" s="189"/>
      <c r="K658" s="189"/>
      <c r="L658" s="189"/>
      <c r="M658" s="189"/>
      <c r="N658" s="189"/>
      <c r="O658" s="189"/>
      <c r="P658" s="189"/>
      <c r="Q658" s="189"/>
      <c r="R658" s="189"/>
      <c r="S658" s="189"/>
      <c r="T658" s="189"/>
      <c r="U658" s="189"/>
      <c r="V658" s="189"/>
      <c r="W658" s="189"/>
    </row>
    <row r="659">
      <c r="A659" s="194"/>
      <c r="B659" s="194"/>
      <c r="C659" s="189"/>
      <c r="D659" s="189"/>
      <c r="E659" s="189"/>
      <c r="F659" s="189"/>
      <c r="G659" s="189"/>
      <c r="H659" s="189"/>
      <c r="I659" s="189"/>
      <c r="J659" s="189"/>
      <c r="K659" s="189"/>
      <c r="L659" s="189"/>
      <c r="M659" s="189"/>
      <c r="N659" s="189"/>
      <c r="O659" s="189"/>
      <c r="P659" s="189"/>
      <c r="Q659" s="189"/>
      <c r="R659" s="189"/>
      <c r="S659" s="189"/>
      <c r="T659" s="189"/>
      <c r="U659" s="189"/>
      <c r="V659" s="189"/>
      <c r="W659" s="189"/>
    </row>
    <row r="660">
      <c r="A660" s="194"/>
      <c r="B660" s="194"/>
      <c r="C660" s="189"/>
      <c r="D660" s="189"/>
      <c r="E660" s="189"/>
      <c r="F660" s="189"/>
      <c r="G660" s="189"/>
      <c r="H660" s="189"/>
      <c r="I660" s="189"/>
      <c r="J660" s="189"/>
      <c r="K660" s="189"/>
      <c r="L660" s="189"/>
      <c r="M660" s="189"/>
      <c r="N660" s="189"/>
      <c r="O660" s="189"/>
      <c r="P660" s="189"/>
      <c r="Q660" s="189"/>
      <c r="R660" s="189"/>
      <c r="S660" s="189"/>
      <c r="T660" s="189"/>
      <c r="U660" s="189"/>
      <c r="V660" s="189"/>
      <c r="W660" s="189"/>
    </row>
    <row r="661">
      <c r="A661" s="194"/>
      <c r="B661" s="194"/>
      <c r="C661" s="189"/>
      <c r="D661" s="189"/>
      <c r="E661" s="189"/>
      <c r="F661" s="189"/>
      <c r="G661" s="189"/>
      <c r="H661" s="189"/>
      <c r="I661" s="189"/>
      <c r="J661" s="189"/>
      <c r="K661" s="189"/>
      <c r="L661" s="189"/>
      <c r="M661" s="189"/>
      <c r="N661" s="189"/>
      <c r="O661" s="189"/>
      <c r="P661" s="189"/>
      <c r="Q661" s="189"/>
      <c r="R661" s="189"/>
      <c r="S661" s="189"/>
      <c r="T661" s="189"/>
      <c r="U661" s="189"/>
      <c r="V661" s="189"/>
      <c r="W661" s="189"/>
    </row>
    <row r="662">
      <c r="A662" s="194"/>
      <c r="B662" s="194"/>
      <c r="C662" s="189"/>
      <c r="D662" s="189"/>
      <c r="E662" s="189"/>
      <c r="F662" s="189"/>
      <c r="G662" s="189"/>
      <c r="H662" s="189"/>
      <c r="I662" s="189"/>
      <c r="J662" s="189"/>
      <c r="K662" s="189"/>
      <c r="L662" s="189"/>
      <c r="M662" s="189"/>
      <c r="N662" s="189"/>
      <c r="O662" s="189"/>
      <c r="P662" s="189"/>
      <c r="Q662" s="189"/>
      <c r="R662" s="189"/>
      <c r="S662" s="189"/>
      <c r="T662" s="189"/>
      <c r="U662" s="189"/>
      <c r="V662" s="189"/>
      <c r="W662" s="189"/>
    </row>
    <row r="663">
      <c r="A663" s="194"/>
      <c r="B663" s="194"/>
      <c r="C663" s="189"/>
      <c r="D663" s="189"/>
      <c r="E663" s="189"/>
      <c r="F663" s="189"/>
      <c r="G663" s="189"/>
      <c r="H663" s="189"/>
      <c r="I663" s="189"/>
      <c r="J663" s="189"/>
      <c r="K663" s="189"/>
      <c r="L663" s="189"/>
      <c r="M663" s="189"/>
      <c r="N663" s="189"/>
      <c r="O663" s="189"/>
      <c r="P663" s="189"/>
      <c r="Q663" s="189"/>
      <c r="R663" s="189"/>
      <c r="S663" s="189"/>
      <c r="T663" s="189"/>
      <c r="U663" s="189"/>
      <c r="V663" s="189"/>
      <c r="W663" s="189"/>
    </row>
    <row r="664">
      <c r="A664" s="194"/>
      <c r="B664" s="194"/>
      <c r="C664" s="189"/>
      <c r="D664" s="189"/>
      <c r="E664" s="189"/>
      <c r="F664" s="189"/>
      <c r="G664" s="189"/>
      <c r="H664" s="189"/>
      <c r="I664" s="189"/>
      <c r="J664" s="189"/>
      <c r="K664" s="189"/>
      <c r="L664" s="189"/>
      <c r="M664" s="189"/>
      <c r="N664" s="189"/>
      <c r="O664" s="189"/>
      <c r="P664" s="189"/>
      <c r="Q664" s="189"/>
      <c r="R664" s="189"/>
      <c r="S664" s="189"/>
      <c r="T664" s="189"/>
      <c r="U664" s="189"/>
      <c r="V664" s="189"/>
      <c r="W664" s="189"/>
    </row>
    <row r="665">
      <c r="A665" s="194"/>
      <c r="B665" s="194"/>
      <c r="C665" s="189"/>
      <c r="D665" s="189"/>
      <c r="E665" s="189"/>
      <c r="F665" s="189"/>
      <c r="G665" s="189"/>
      <c r="H665" s="189"/>
      <c r="I665" s="189"/>
      <c r="J665" s="189"/>
      <c r="K665" s="189"/>
      <c r="L665" s="189"/>
      <c r="M665" s="189"/>
      <c r="N665" s="189"/>
      <c r="O665" s="189"/>
      <c r="P665" s="189"/>
      <c r="Q665" s="189"/>
      <c r="R665" s="189"/>
      <c r="S665" s="189"/>
      <c r="T665" s="189"/>
      <c r="U665" s="189"/>
      <c r="V665" s="189"/>
      <c r="W665" s="189"/>
    </row>
    <row r="666">
      <c r="A666" s="194"/>
      <c r="B666" s="194"/>
      <c r="C666" s="189"/>
      <c r="D666" s="189"/>
      <c r="E666" s="189"/>
      <c r="F666" s="189"/>
      <c r="G666" s="189"/>
      <c r="H666" s="189"/>
      <c r="I666" s="189"/>
      <c r="J666" s="189"/>
      <c r="K666" s="189"/>
      <c r="L666" s="189"/>
      <c r="M666" s="189"/>
      <c r="N666" s="189"/>
      <c r="O666" s="189"/>
      <c r="P666" s="189"/>
      <c r="Q666" s="189"/>
      <c r="R666" s="189"/>
      <c r="S666" s="189"/>
      <c r="T666" s="189"/>
      <c r="U666" s="189"/>
      <c r="V666" s="189"/>
      <c r="W666" s="189"/>
    </row>
    <row r="667">
      <c r="A667" s="194"/>
      <c r="B667" s="194"/>
      <c r="C667" s="189"/>
      <c r="D667" s="189"/>
      <c r="E667" s="189"/>
      <c r="F667" s="189"/>
      <c r="G667" s="189"/>
      <c r="H667" s="189"/>
      <c r="I667" s="189"/>
      <c r="J667" s="189"/>
      <c r="K667" s="189"/>
      <c r="L667" s="189"/>
      <c r="M667" s="189"/>
      <c r="N667" s="189"/>
      <c r="O667" s="189"/>
      <c r="P667" s="189"/>
      <c r="Q667" s="189"/>
      <c r="R667" s="189"/>
      <c r="S667" s="189"/>
      <c r="T667" s="189"/>
      <c r="U667" s="189"/>
      <c r="V667" s="189"/>
      <c r="W667" s="189"/>
    </row>
    <row r="668">
      <c r="A668" s="194"/>
      <c r="B668" s="194"/>
      <c r="C668" s="189"/>
      <c r="D668" s="189"/>
      <c r="E668" s="189"/>
      <c r="F668" s="189"/>
      <c r="G668" s="189"/>
      <c r="H668" s="189"/>
      <c r="I668" s="189"/>
      <c r="J668" s="189"/>
      <c r="K668" s="189"/>
      <c r="L668" s="189"/>
      <c r="M668" s="189"/>
      <c r="N668" s="189"/>
      <c r="O668" s="189"/>
      <c r="P668" s="189"/>
      <c r="Q668" s="189"/>
      <c r="R668" s="189"/>
      <c r="S668" s="189"/>
      <c r="T668" s="189"/>
      <c r="U668" s="189"/>
      <c r="V668" s="189"/>
      <c r="W668" s="189"/>
    </row>
    <row r="669">
      <c r="A669" s="194"/>
      <c r="B669" s="194"/>
      <c r="C669" s="189"/>
      <c r="D669" s="189"/>
      <c r="E669" s="189"/>
      <c r="F669" s="189"/>
      <c r="G669" s="189"/>
      <c r="H669" s="189"/>
      <c r="I669" s="189"/>
      <c r="J669" s="189"/>
      <c r="K669" s="189"/>
      <c r="L669" s="189"/>
      <c r="M669" s="189"/>
      <c r="N669" s="189"/>
      <c r="O669" s="189"/>
      <c r="P669" s="189"/>
      <c r="Q669" s="189"/>
      <c r="R669" s="189"/>
      <c r="S669" s="189"/>
      <c r="T669" s="189"/>
      <c r="U669" s="189"/>
      <c r="V669" s="189"/>
      <c r="W669" s="189"/>
    </row>
    <row r="670">
      <c r="A670" s="194"/>
      <c r="B670" s="194"/>
      <c r="C670" s="189"/>
      <c r="D670" s="189"/>
      <c r="E670" s="189"/>
      <c r="F670" s="189"/>
      <c r="G670" s="189"/>
      <c r="H670" s="189"/>
      <c r="I670" s="189"/>
      <c r="J670" s="189"/>
      <c r="K670" s="189"/>
      <c r="L670" s="189"/>
      <c r="M670" s="189"/>
      <c r="N670" s="189"/>
      <c r="O670" s="189"/>
      <c r="P670" s="189"/>
      <c r="Q670" s="189"/>
      <c r="R670" s="189"/>
      <c r="S670" s="189"/>
      <c r="T670" s="189"/>
      <c r="U670" s="189"/>
      <c r="V670" s="189"/>
      <c r="W670" s="189"/>
    </row>
    <row r="671">
      <c r="A671" s="194"/>
      <c r="B671" s="194"/>
      <c r="C671" s="189"/>
      <c r="D671" s="189"/>
      <c r="E671" s="189"/>
      <c r="F671" s="189"/>
      <c r="G671" s="189"/>
      <c r="H671" s="189"/>
      <c r="I671" s="189"/>
      <c r="J671" s="189"/>
      <c r="K671" s="189"/>
      <c r="L671" s="189"/>
      <c r="M671" s="189"/>
      <c r="N671" s="189"/>
      <c r="O671" s="189"/>
      <c r="P671" s="189"/>
      <c r="Q671" s="189"/>
      <c r="R671" s="189"/>
      <c r="S671" s="189"/>
      <c r="T671" s="189"/>
      <c r="U671" s="189"/>
      <c r="V671" s="189"/>
      <c r="W671" s="189"/>
    </row>
    <row r="672">
      <c r="A672" s="194"/>
      <c r="B672" s="194"/>
      <c r="C672" s="189"/>
      <c r="D672" s="189"/>
      <c r="E672" s="189"/>
      <c r="F672" s="189"/>
      <c r="G672" s="189"/>
      <c r="H672" s="189"/>
      <c r="I672" s="189"/>
      <c r="J672" s="189"/>
      <c r="K672" s="189"/>
      <c r="L672" s="189"/>
      <c r="M672" s="189"/>
      <c r="N672" s="189"/>
      <c r="O672" s="189"/>
      <c r="P672" s="189"/>
      <c r="Q672" s="189"/>
      <c r="R672" s="189"/>
      <c r="S672" s="189"/>
      <c r="T672" s="189"/>
      <c r="U672" s="189"/>
      <c r="V672" s="189"/>
      <c r="W672" s="189"/>
    </row>
    <row r="673">
      <c r="A673" s="194"/>
      <c r="B673" s="194"/>
      <c r="C673" s="189"/>
      <c r="D673" s="189"/>
      <c r="E673" s="189"/>
      <c r="F673" s="189"/>
      <c r="G673" s="189"/>
      <c r="H673" s="189"/>
      <c r="I673" s="189"/>
      <c r="J673" s="189"/>
      <c r="K673" s="189"/>
      <c r="L673" s="189"/>
      <c r="M673" s="189"/>
      <c r="N673" s="189"/>
      <c r="O673" s="189"/>
      <c r="P673" s="189"/>
      <c r="Q673" s="189"/>
      <c r="R673" s="189"/>
      <c r="S673" s="189"/>
      <c r="T673" s="189"/>
      <c r="U673" s="189"/>
      <c r="V673" s="189"/>
      <c r="W673" s="189"/>
    </row>
    <row r="674">
      <c r="A674" s="194"/>
      <c r="B674" s="194"/>
      <c r="C674" s="189"/>
      <c r="D674" s="189"/>
      <c r="E674" s="189"/>
      <c r="F674" s="189"/>
      <c r="G674" s="189"/>
      <c r="H674" s="189"/>
      <c r="I674" s="189"/>
      <c r="J674" s="189"/>
      <c r="K674" s="189"/>
      <c r="L674" s="189"/>
      <c r="M674" s="189"/>
      <c r="N674" s="189"/>
      <c r="O674" s="189"/>
      <c r="P674" s="189"/>
      <c r="Q674" s="189"/>
      <c r="R674" s="189"/>
      <c r="S674" s="189"/>
      <c r="T674" s="189"/>
      <c r="U674" s="189"/>
      <c r="V674" s="189"/>
      <c r="W674" s="189"/>
    </row>
    <row r="675">
      <c r="A675" s="194"/>
      <c r="B675" s="194"/>
      <c r="C675" s="189"/>
      <c r="D675" s="189"/>
      <c r="E675" s="189"/>
      <c r="F675" s="189"/>
      <c r="G675" s="189"/>
      <c r="H675" s="189"/>
      <c r="I675" s="189"/>
      <c r="J675" s="189"/>
      <c r="K675" s="189"/>
      <c r="L675" s="189"/>
      <c r="M675" s="189"/>
      <c r="N675" s="189"/>
      <c r="O675" s="189"/>
      <c r="P675" s="189"/>
      <c r="Q675" s="189"/>
      <c r="R675" s="189"/>
      <c r="S675" s="189"/>
      <c r="T675" s="189"/>
      <c r="U675" s="189"/>
      <c r="V675" s="189"/>
      <c r="W675" s="189"/>
    </row>
    <row r="676">
      <c r="A676" s="194"/>
      <c r="B676" s="194"/>
      <c r="C676" s="189"/>
      <c r="D676" s="189"/>
      <c r="E676" s="189"/>
      <c r="F676" s="189"/>
      <c r="G676" s="189"/>
      <c r="H676" s="189"/>
      <c r="I676" s="189"/>
      <c r="J676" s="189"/>
      <c r="K676" s="189"/>
      <c r="L676" s="189"/>
      <c r="M676" s="189"/>
      <c r="N676" s="189"/>
      <c r="O676" s="189"/>
      <c r="P676" s="189"/>
      <c r="Q676" s="189"/>
      <c r="R676" s="189"/>
      <c r="S676" s="189"/>
      <c r="T676" s="189"/>
      <c r="U676" s="189"/>
      <c r="V676" s="189"/>
      <c r="W676" s="189"/>
    </row>
    <row r="677">
      <c r="A677" s="194"/>
      <c r="B677" s="194"/>
      <c r="C677" s="189"/>
      <c r="D677" s="189"/>
      <c r="E677" s="189"/>
      <c r="F677" s="189"/>
      <c r="G677" s="189"/>
      <c r="H677" s="189"/>
      <c r="I677" s="189"/>
      <c r="J677" s="189"/>
      <c r="K677" s="189"/>
      <c r="L677" s="189"/>
      <c r="M677" s="189"/>
      <c r="N677" s="189"/>
      <c r="O677" s="189"/>
      <c r="P677" s="189"/>
      <c r="Q677" s="189"/>
      <c r="R677" s="189"/>
      <c r="S677" s="189"/>
      <c r="T677" s="189"/>
      <c r="U677" s="189"/>
      <c r="V677" s="189"/>
      <c r="W677" s="189"/>
    </row>
    <row r="678">
      <c r="A678" s="194"/>
      <c r="B678" s="194"/>
      <c r="C678" s="189"/>
      <c r="D678" s="189"/>
      <c r="E678" s="189"/>
      <c r="F678" s="189"/>
      <c r="G678" s="189"/>
      <c r="H678" s="189"/>
      <c r="I678" s="189"/>
      <c r="J678" s="189"/>
      <c r="K678" s="189"/>
      <c r="L678" s="189"/>
      <c r="M678" s="189"/>
      <c r="N678" s="189"/>
      <c r="O678" s="189"/>
      <c r="P678" s="189"/>
      <c r="Q678" s="189"/>
      <c r="R678" s="189"/>
      <c r="S678" s="189"/>
      <c r="T678" s="189"/>
      <c r="U678" s="189"/>
      <c r="V678" s="189"/>
      <c r="W678" s="189"/>
    </row>
    <row r="679">
      <c r="A679" s="194"/>
      <c r="B679" s="194"/>
      <c r="C679" s="189"/>
      <c r="D679" s="189"/>
      <c r="E679" s="189"/>
      <c r="F679" s="189"/>
      <c r="G679" s="189"/>
      <c r="H679" s="189"/>
      <c r="I679" s="189"/>
      <c r="J679" s="189"/>
      <c r="K679" s="189"/>
      <c r="L679" s="189"/>
      <c r="M679" s="189"/>
      <c r="N679" s="189"/>
      <c r="O679" s="189"/>
      <c r="P679" s="189"/>
      <c r="Q679" s="189"/>
      <c r="R679" s="189"/>
      <c r="S679" s="189"/>
      <c r="T679" s="189"/>
      <c r="U679" s="189"/>
      <c r="V679" s="189"/>
      <c r="W679" s="189"/>
    </row>
    <row r="680">
      <c r="A680" s="194"/>
      <c r="B680" s="194"/>
      <c r="C680" s="189"/>
      <c r="D680" s="189"/>
      <c r="E680" s="189"/>
      <c r="F680" s="189"/>
      <c r="G680" s="189"/>
      <c r="H680" s="189"/>
      <c r="I680" s="189"/>
      <c r="J680" s="189"/>
      <c r="K680" s="189"/>
      <c r="L680" s="189"/>
      <c r="M680" s="189"/>
      <c r="N680" s="189"/>
      <c r="O680" s="189"/>
      <c r="P680" s="189"/>
      <c r="Q680" s="189"/>
      <c r="R680" s="189"/>
      <c r="S680" s="189"/>
      <c r="T680" s="189"/>
      <c r="U680" s="189"/>
      <c r="V680" s="189"/>
      <c r="W680" s="189"/>
    </row>
    <row r="681">
      <c r="A681" s="194"/>
      <c r="B681" s="194"/>
      <c r="C681" s="189"/>
      <c r="D681" s="189"/>
      <c r="E681" s="189"/>
      <c r="F681" s="189"/>
      <c r="G681" s="189"/>
      <c r="H681" s="189"/>
      <c r="I681" s="189"/>
      <c r="J681" s="189"/>
      <c r="K681" s="189"/>
      <c r="L681" s="189"/>
      <c r="M681" s="189"/>
      <c r="N681" s="189"/>
      <c r="O681" s="189"/>
      <c r="P681" s="189"/>
      <c r="Q681" s="189"/>
      <c r="R681" s="189"/>
      <c r="S681" s="189"/>
      <c r="T681" s="189"/>
      <c r="U681" s="189"/>
      <c r="V681" s="189"/>
      <c r="W681" s="189"/>
    </row>
    <row r="682">
      <c r="A682" s="194"/>
      <c r="B682" s="194"/>
      <c r="C682" s="189"/>
      <c r="D682" s="189"/>
      <c r="E682" s="189"/>
      <c r="F682" s="189"/>
      <c r="G682" s="189"/>
      <c r="H682" s="189"/>
      <c r="I682" s="189"/>
      <c r="J682" s="189"/>
      <c r="K682" s="189"/>
      <c r="L682" s="189"/>
      <c r="M682" s="189"/>
      <c r="N682" s="189"/>
      <c r="O682" s="189"/>
      <c r="P682" s="189"/>
      <c r="Q682" s="189"/>
      <c r="R682" s="189"/>
      <c r="S682" s="189"/>
      <c r="T682" s="189"/>
      <c r="U682" s="189"/>
      <c r="V682" s="189"/>
      <c r="W682" s="189"/>
    </row>
    <row r="683">
      <c r="A683" s="194"/>
      <c r="B683" s="194"/>
      <c r="C683" s="189"/>
      <c r="D683" s="189"/>
      <c r="E683" s="189"/>
      <c r="F683" s="189"/>
      <c r="G683" s="189"/>
      <c r="H683" s="189"/>
      <c r="I683" s="189"/>
      <c r="J683" s="189"/>
      <c r="K683" s="189"/>
      <c r="L683" s="189"/>
      <c r="M683" s="189"/>
      <c r="N683" s="189"/>
      <c r="O683" s="189"/>
      <c r="P683" s="189"/>
      <c r="Q683" s="189"/>
      <c r="R683" s="189"/>
      <c r="S683" s="189"/>
      <c r="T683" s="189"/>
      <c r="U683" s="189"/>
      <c r="V683" s="189"/>
      <c r="W683" s="189"/>
    </row>
    <row r="684">
      <c r="A684" s="194"/>
      <c r="B684" s="194"/>
      <c r="C684" s="189"/>
      <c r="D684" s="189"/>
      <c r="E684" s="189"/>
      <c r="F684" s="189"/>
      <c r="G684" s="189"/>
      <c r="H684" s="189"/>
      <c r="I684" s="189"/>
      <c r="J684" s="189"/>
      <c r="K684" s="189"/>
      <c r="L684" s="189"/>
      <c r="M684" s="189"/>
      <c r="N684" s="189"/>
      <c r="O684" s="189"/>
      <c r="P684" s="189"/>
      <c r="Q684" s="189"/>
      <c r="R684" s="189"/>
      <c r="S684" s="189"/>
      <c r="T684" s="189"/>
      <c r="U684" s="189"/>
      <c r="V684" s="189"/>
      <c r="W684" s="189"/>
    </row>
    <row r="685">
      <c r="A685" s="194"/>
      <c r="B685" s="194"/>
      <c r="C685" s="189"/>
      <c r="D685" s="189"/>
      <c r="E685" s="189"/>
      <c r="F685" s="189"/>
      <c r="G685" s="189"/>
      <c r="H685" s="189"/>
      <c r="I685" s="189"/>
      <c r="J685" s="189"/>
      <c r="K685" s="189"/>
      <c r="L685" s="189"/>
      <c r="M685" s="189"/>
      <c r="N685" s="189"/>
      <c r="O685" s="189"/>
      <c r="P685" s="189"/>
      <c r="Q685" s="189"/>
      <c r="R685" s="189"/>
      <c r="S685" s="189"/>
      <c r="T685" s="189"/>
      <c r="U685" s="189"/>
      <c r="V685" s="189"/>
      <c r="W685" s="189"/>
    </row>
    <row r="686">
      <c r="A686" s="194"/>
      <c r="B686" s="194"/>
      <c r="C686" s="189"/>
      <c r="D686" s="189"/>
      <c r="E686" s="189"/>
      <c r="F686" s="189"/>
      <c r="G686" s="189"/>
      <c r="H686" s="189"/>
      <c r="I686" s="189"/>
      <c r="J686" s="189"/>
      <c r="K686" s="189"/>
      <c r="L686" s="189"/>
      <c r="M686" s="189"/>
      <c r="N686" s="189"/>
      <c r="O686" s="189"/>
      <c r="P686" s="189"/>
      <c r="Q686" s="189"/>
      <c r="R686" s="189"/>
      <c r="S686" s="189"/>
      <c r="T686" s="189"/>
      <c r="U686" s="189"/>
      <c r="V686" s="189"/>
      <c r="W686" s="189"/>
    </row>
    <row r="687">
      <c r="A687" s="194"/>
      <c r="B687" s="194"/>
      <c r="C687" s="189"/>
      <c r="D687" s="189"/>
      <c r="E687" s="189"/>
      <c r="F687" s="189"/>
      <c r="G687" s="189"/>
      <c r="H687" s="189"/>
      <c r="I687" s="189"/>
      <c r="J687" s="189"/>
      <c r="K687" s="189"/>
      <c r="L687" s="189"/>
      <c r="M687" s="189"/>
      <c r="N687" s="189"/>
      <c r="O687" s="189"/>
      <c r="P687" s="189"/>
      <c r="Q687" s="189"/>
      <c r="R687" s="189"/>
      <c r="S687" s="189"/>
      <c r="T687" s="189"/>
      <c r="U687" s="189"/>
      <c r="V687" s="189"/>
      <c r="W687" s="189"/>
    </row>
    <row r="688">
      <c r="A688" s="194"/>
      <c r="B688" s="194"/>
      <c r="C688" s="189"/>
      <c r="D688" s="189"/>
      <c r="E688" s="189"/>
      <c r="F688" s="189"/>
      <c r="G688" s="189"/>
      <c r="H688" s="189"/>
      <c r="I688" s="189"/>
      <c r="J688" s="189"/>
      <c r="K688" s="189"/>
      <c r="L688" s="189"/>
      <c r="M688" s="189"/>
      <c r="N688" s="189"/>
      <c r="O688" s="189"/>
      <c r="P688" s="189"/>
      <c r="Q688" s="189"/>
      <c r="R688" s="189"/>
      <c r="S688" s="189"/>
      <c r="T688" s="189"/>
      <c r="U688" s="189"/>
      <c r="V688" s="189"/>
      <c r="W688" s="189"/>
    </row>
    <row r="689">
      <c r="A689" s="194"/>
      <c r="B689" s="194"/>
      <c r="C689" s="189"/>
      <c r="D689" s="189"/>
      <c r="E689" s="189"/>
      <c r="F689" s="189"/>
      <c r="G689" s="189"/>
      <c r="H689" s="189"/>
      <c r="I689" s="189"/>
      <c r="J689" s="189"/>
      <c r="K689" s="189"/>
      <c r="L689" s="189"/>
      <c r="M689" s="189"/>
      <c r="N689" s="189"/>
      <c r="O689" s="189"/>
      <c r="P689" s="189"/>
      <c r="Q689" s="189"/>
      <c r="R689" s="189"/>
      <c r="S689" s="189"/>
      <c r="T689" s="189"/>
      <c r="U689" s="189"/>
      <c r="V689" s="189"/>
      <c r="W689" s="189"/>
    </row>
    <row r="690">
      <c r="A690" s="194"/>
      <c r="B690" s="194"/>
      <c r="C690" s="189"/>
      <c r="D690" s="189"/>
      <c r="E690" s="189"/>
      <c r="F690" s="189"/>
      <c r="G690" s="189"/>
      <c r="H690" s="189"/>
      <c r="I690" s="189"/>
      <c r="J690" s="189"/>
      <c r="K690" s="189"/>
      <c r="L690" s="189"/>
      <c r="M690" s="189"/>
      <c r="N690" s="189"/>
      <c r="O690" s="189"/>
      <c r="P690" s="189"/>
      <c r="Q690" s="189"/>
      <c r="R690" s="189"/>
      <c r="S690" s="189"/>
      <c r="T690" s="189"/>
      <c r="U690" s="189"/>
      <c r="V690" s="189"/>
      <c r="W690" s="189"/>
    </row>
    <row r="691">
      <c r="A691" s="194"/>
      <c r="B691" s="194"/>
      <c r="C691" s="189"/>
      <c r="D691" s="189"/>
      <c r="E691" s="189"/>
      <c r="F691" s="189"/>
      <c r="G691" s="189"/>
      <c r="H691" s="189"/>
      <c r="I691" s="189"/>
      <c r="J691" s="189"/>
      <c r="K691" s="189"/>
      <c r="L691" s="189"/>
      <c r="M691" s="189"/>
      <c r="N691" s="189"/>
      <c r="O691" s="189"/>
      <c r="P691" s="189"/>
      <c r="Q691" s="189"/>
      <c r="R691" s="189"/>
      <c r="S691" s="189"/>
      <c r="T691" s="189"/>
      <c r="U691" s="189"/>
      <c r="V691" s="189"/>
      <c r="W691" s="189"/>
    </row>
    <row r="692">
      <c r="A692" s="194"/>
      <c r="B692" s="194"/>
      <c r="C692" s="189"/>
      <c r="D692" s="189"/>
      <c r="E692" s="189"/>
      <c r="F692" s="189"/>
      <c r="G692" s="189"/>
      <c r="H692" s="189"/>
      <c r="I692" s="189"/>
      <c r="J692" s="189"/>
      <c r="K692" s="189"/>
      <c r="L692" s="189"/>
      <c r="M692" s="189"/>
      <c r="N692" s="189"/>
      <c r="O692" s="189"/>
      <c r="P692" s="189"/>
      <c r="Q692" s="189"/>
      <c r="R692" s="189"/>
      <c r="S692" s="189"/>
      <c r="T692" s="189"/>
      <c r="U692" s="189"/>
      <c r="V692" s="189"/>
      <c r="W692" s="189"/>
    </row>
    <row r="693">
      <c r="A693" s="194"/>
      <c r="B693" s="194"/>
      <c r="C693" s="189"/>
      <c r="D693" s="189"/>
      <c r="E693" s="189"/>
      <c r="F693" s="189"/>
      <c r="G693" s="189"/>
      <c r="H693" s="189"/>
      <c r="I693" s="189"/>
      <c r="J693" s="189"/>
      <c r="K693" s="189"/>
      <c r="L693" s="189"/>
      <c r="M693" s="189"/>
      <c r="N693" s="189"/>
      <c r="O693" s="189"/>
      <c r="P693" s="189"/>
      <c r="Q693" s="189"/>
      <c r="R693" s="189"/>
      <c r="S693" s="189"/>
      <c r="T693" s="189"/>
      <c r="U693" s="189"/>
      <c r="V693" s="189"/>
      <c r="W693" s="189"/>
    </row>
    <row r="694">
      <c r="A694" s="194"/>
      <c r="B694" s="194"/>
      <c r="C694" s="189"/>
      <c r="D694" s="189"/>
      <c r="E694" s="189"/>
      <c r="F694" s="189"/>
      <c r="G694" s="189"/>
      <c r="H694" s="189"/>
      <c r="I694" s="189"/>
      <c r="J694" s="189"/>
      <c r="K694" s="189"/>
      <c r="L694" s="189"/>
      <c r="M694" s="189"/>
      <c r="N694" s="189"/>
      <c r="O694" s="189"/>
      <c r="P694" s="189"/>
      <c r="Q694" s="189"/>
      <c r="R694" s="189"/>
      <c r="S694" s="189"/>
      <c r="T694" s="189"/>
      <c r="U694" s="189"/>
      <c r="V694" s="189"/>
      <c r="W694" s="189"/>
    </row>
    <row r="695">
      <c r="A695" s="194"/>
      <c r="B695" s="194"/>
      <c r="C695" s="189"/>
      <c r="D695" s="189"/>
      <c r="E695" s="189"/>
      <c r="F695" s="189"/>
      <c r="G695" s="189"/>
      <c r="H695" s="189"/>
      <c r="I695" s="189"/>
      <c r="J695" s="189"/>
      <c r="K695" s="189"/>
      <c r="L695" s="189"/>
      <c r="M695" s="189"/>
      <c r="N695" s="189"/>
      <c r="O695" s="189"/>
      <c r="P695" s="189"/>
      <c r="Q695" s="189"/>
      <c r="R695" s="189"/>
      <c r="S695" s="189"/>
      <c r="T695" s="189"/>
      <c r="U695" s="189"/>
      <c r="V695" s="189"/>
      <c r="W695" s="189"/>
    </row>
    <row r="696">
      <c r="A696" s="194"/>
      <c r="B696" s="194"/>
      <c r="C696" s="189"/>
      <c r="D696" s="189"/>
      <c r="E696" s="189"/>
      <c r="F696" s="189"/>
      <c r="G696" s="189"/>
      <c r="H696" s="189"/>
      <c r="I696" s="189"/>
      <c r="J696" s="189"/>
      <c r="K696" s="189"/>
      <c r="L696" s="189"/>
      <c r="M696" s="189"/>
      <c r="N696" s="189"/>
      <c r="O696" s="189"/>
      <c r="P696" s="189"/>
      <c r="Q696" s="189"/>
      <c r="R696" s="189"/>
      <c r="S696" s="189"/>
      <c r="T696" s="189"/>
      <c r="U696" s="189"/>
      <c r="V696" s="189"/>
      <c r="W696" s="189"/>
    </row>
    <row r="697">
      <c r="A697" s="194"/>
      <c r="B697" s="194"/>
      <c r="C697" s="189"/>
      <c r="D697" s="189"/>
      <c r="E697" s="189"/>
      <c r="F697" s="189"/>
      <c r="G697" s="189"/>
      <c r="H697" s="189"/>
      <c r="I697" s="189"/>
      <c r="J697" s="189"/>
      <c r="K697" s="189"/>
      <c r="L697" s="189"/>
      <c r="M697" s="189"/>
      <c r="N697" s="189"/>
      <c r="O697" s="189"/>
      <c r="P697" s="189"/>
      <c r="Q697" s="189"/>
      <c r="R697" s="189"/>
      <c r="S697" s="189"/>
      <c r="T697" s="189"/>
      <c r="U697" s="189"/>
      <c r="V697" s="189"/>
      <c r="W697" s="189"/>
    </row>
    <row r="698">
      <c r="A698" s="194"/>
      <c r="B698" s="194"/>
      <c r="C698" s="189"/>
      <c r="D698" s="189"/>
      <c r="E698" s="189"/>
      <c r="F698" s="189"/>
      <c r="G698" s="189"/>
      <c r="H698" s="189"/>
      <c r="I698" s="189"/>
      <c r="J698" s="189"/>
      <c r="K698" s="189"/>
      <c r="L698" s="189"/>
      <c r="M698" s="189"/>
      <c r="N698" s="189"/>
      <c r="O698" s="189"/>
      <c r="P698" s="189"/>
      <c r="Q698" s="189"/>
      <c r="R698" s="189"/>
      <c r="S698" s="189"/>
      <c r="T698" s="189"/>
      <c r="U698" s="189"/>
      <c r="V698" s="189"/>
      <c r="W698" s="189"/>
    </row>
    <row r="699">
      <c r="A699" s="194"/>
      <c r="B699" s="194"/>
      <c r="C699" s="189"/>
      <c r="D699" s="189"/>
      <c r="E699" s="189"/>
      <c r="F699" s="189"/>
      <c r="G699" s="189"/>
      <c r="H699" s="189"/>
      <c r="I699" s="189"/>
      <c r="J699" s="189"/>
      <c r="K699" s="189"/>
      <c r="L699" s="189"/>
      <c r="M699" s="189"/>
      <c r="N699" s="189"/>
      <c r="O699" s="189"/>
      <c r="P699" s="189"/>
      <c r="Q699" s="189"/>
      <c r="R699" s="189"/>
      <c r="S699" s="189"/>
      <c r="T699" s="189"/>
      <c r="U699" s="189"/>
      <c r="V699" s="189"/>
      <c r="W699" s="189"/>
    </row>
    <row r="700">
      <c r="A700" s="194"/>
      <c r="B700" s="194"/>
      <c r="C700" s="189"/>
      <c r="D700" s="189"/>
      <c r="E700" s="189"/>
      <c r="F700" s="189"/>
      <c r="G700" s="189"/>
      <c r="H700" s="189"/>
      <c r="I700" s="189"/>
      <c r="J700" s="189"/>
      <c r="K700" s="189"/>
      <c r="L700" s="189"/>
      <c r="M700" s="189"/>
      <c r="N700" s="189"/>
      <c r="O700" s="189"/>
      <c r="P700" s="189"/>
      <c r="Q700" s="189"/>
      <c r="R700" s="189"/>
      <c r="S700" s="189"/>
      <c r="T700" s="189"/>
      <c r="U700" s="189"/>
      <c r="V700" s="189"/>
      <c r="W700" s="189"/>
    </row>
    <row r="701">
      <c r="A701" s="194"/>
      <c r="B701" s="194"/>
      <c r="C701" s="189"/>
      <c r="D701" s="189"/>
      <c r="E701" s="189"/>
      <c r="F701" s="189"/>
      <c r="G701" s="189"/>
      <c r="H701" s="189"/>
      <c r="I701" s="189"/>
      <c r="J701" s="189"/>
      <c r="K701" s="189"/>
      <c r="L701" s="189"/>
      <c r="M701" s="189"/>
      <c r="N701" s="189"/>
      <c r="O701" s="189"/>
      <c r="P701" s="189"/>
      <c r="Q701" s="189"/>
      <c r="R701" s="189"/>
      <c r="S701" s="189"/>
      <c r="T701" s="189"/>
      <c r="U701" s="189"/>
      <c r="V701" s="189"/>
      <c r="W701" s="189"/>
    </row>
    <row r="702">
      <c r="A702" s="194"/>
      <c r="B702" s="194"/>
      <c r="C702" s="189"/>
      <c r="D702" s="189"/>
      <c r="E702" s="189"/>
      <c r="F702" s="189"/>
      <c r="G702" s="189"/>
      <c r="H702" s="189"/>
      <c r="I702" s="189"/>
      <c r="J702" s="189"/>
      <c r="K702" s="189"/>
      <c r="L702" s="189"/>
      <c r="M702" s="189"/>
      <c r="N702" s="189"/>
      <c r="O702" s="189"/>
      <c r="P702" s="189"/>
      <c r="Q702" s="189"/>
      <c r="R702" s="189"/>
      <c r="S702" s="189"/>
      <c r="T702" s="189"/>
      <c r="U702" s="189"/>
      <c r="V702" s="189"/>
      <c r="W702" s="189"/>
    </row>
    <row r="703">
      <c r="A703" s="194"/>
      <c r="B703" s="194"/>
      <c r="C703" s="189"/>
      <c r="D703" s="189"/>
      <c r="E703" s="189"/>
      <c r="F703" s="189"/>
      <c r="G703" s="189"/>
      <c r="H703" s="189"/>
      <c r="I703" s="189"/>
      <c r="J703" s="189"/>
      <c r="K703" s="189"/>
      <c r="L703" s="189"/>
      <c r="M703" s="189"/>
      <c r="N703" s="189"/>
      <c r="O703" s="189"/>
      <c r="P703" s="189"/>
      <c r="Q703" s="189"/>
      <c r="R703" s="189"/>
      <c r="S703" s="189"/>
      <c r="T703" s="189"/>
      <c r="U703" s="189"/>
      <c r="V703" s="189"/>
      <c r="W703" s="189"/>
    </row>
    <row r="704">
      <c r="A704" s="194"/>
      <c r="B704" s="194"/>
      <c r="C704" s="189"/>
      <c r="D704" s="189"/>
      <c r="E704" s="189"/>
      <c r="F704" s="189"/>
      <c r="G704" s="189"/>
      <c r="H704" s="189"/>
      <c r="I704" s="189"/>
      <c r="J704" s="189"/>
      <c r="K704" s="189"/>
      <c r="L704" s="189"/>
      <c r="M704" s="189"/>
      <c r="N704" s="189"/>
      <c r="O704" s="189"/>
      <c r="P704" s="189"/>
      <c r="Q704" s="189"/>
      <c r="R704" s="189"/>
      <c r="S704" s="189"/>
      <c r="T704" s="189"/>
      <c r="U704" s="189"/>
      <c r="V704" s="189"/>
      <c r="W704" s="189"/>
    </row>
    <row r="705">
      <c r="A705" s="194"/>
      <c r="B705" s="194"/>
      <c r="C705" s="189"/>
      <c r="D705" s="189"/>
      <c r="E705" s="189"/>
      <c r="F705" s="189"/>
      <c r="G705" s="189"/>
      <c r="H705" s="189"/>
      <c r="I705" s="189"/>
      <c r="J705" s="189"/>
      <c r="K705" s="189"/>
      <c r="L705" s="189"/>
      <c r="M705" s="189"/>
      <c r="N705" s="189"/>
      <c r="O705" s="189"/>
      <c r="P705" s="189"/>
      <c r="Q705" s="189"/>
      <c r="R705" s="189"/>
      <c r="S705" s="189"/>
      <c r="T705" s="189"/>
      <c r="U705" s="189"/>
      <c r="V705" s="189"/>
      <c r="W705" s="189"/>
    </row>
    <row r="706">
      <c r="A706" s="194"/>
      <c r="B706" s="194"/>
      <c r="C706" s="189"/>
      <c r="D706" s="189"/>
      <c r="E706" s="189"/>
      <c r="F706" s="189"/>
      <c r="G706" s="189"/>
      <c r="H706" s="189"/>
      <c r="I706" s="189"/>
      <c r="J706" s="189"/>
      <c r="K706" s="189"/>
      <c r="L706" s="189"/>
      <c r="M706" s="189"/>
      <c r="N706" s="189"/>
      <c r="O706" s="189"/>
      <c r="P706" s="189"/>
      <c r="Q706" s="189"/>
      <c r="R706" s="189"/>
      <c r="S706" s="189"/>
      <c r="T706" s="189"/>
      <c r="U706" s="189"/>
      <c r="V706" s="189"/>
      <c r="W706" s="189"/>
    </row>
    <row r="707">
      <c r="A707" s="194"/>
      <c r="B707" s="194"/>
      <c r="C707" s="189"/>
      <c r="D707" s="189"/>
      <c r="E707" s="189"/>
      <c r="F707" s="189"/>
      <c r="G707" s="189"/>
      <c r="H707" s="189"/>
      <c r="I707" s="189"/>
      <c r="J707" s="189"/>
      <c r="K707" s="189"/>
      <c r="L707" s="189"/>
      <c r="M707" s="189"/>
      <c r="N707" s="189"/>
      <c r="O707" s="189"/>
      <c r="P707" s="189"/>
      <c r="Q707" s="189"/>
      <c r="R707" s="189"/>
      <c r="S707" s="189"/>
      <c r="T707" s="189"/>
      <c r="U707" s="189"/>
      <c r="V707" s="189"/>
      <c r="W707" s="189"/>
    </row>
    <row r="708">
      <c r="A708" s="194"/>
      <c r="B708" s="194"/>
      <c r="C708" s="189"/>
      <c r="D708" s="189"/>
      <c r="E708" s="189"/>
      <c r="F708" s="189"/>
      <c r="G708" s="189"/>
      <c r="H708" s="189"/>
      <c r="I708" s="189"/>
      <c r="J708" s="189"/>
      <c r="K708" s="189"/>
      <c r="L708" s="189"/>
      <c r="M708" s="189"/>
      <c r="N708" s="189"/>
      <c r="O708" s="189"/>
      <c r="P708" s="189"/>
      <c r="Q708" s="189"/>
      <c r="R708" s="189"/>
      <c r="S708" s="189"/>
      <c r="T708" s="189"/>
      <c r="U708" s="189"/>
      <c r="V708" s="189"/>
      <c r="W708" s="189"/>
    </row>
    <row r="709">
      <c r="A709" s="194"/>
      <c r="B709" s="194"/>
      <c r="C709" s="189"/>
      <c r="D709" s="189"/>
      <c r="E709" s="189"/>
      <c r="F709" s="189"/>
      <c r="G709" s="189"/>
      <c r="H709" s="189"/>
      <c r="I709" s="189"/>
      <c r="J709" s="189"/>
      <c r="K709" s="189"/>
      <c r="L709" s="189"/>
      <c r="M709" s="189"/>
      <c r="N709" s="189"/>
      <c r="O709" s="189"/>
      <c r="P709" s="189"/>
      <c r="Q709" s="189"/>
      <c r="R709" s="189"/>
      <c r="S709" s="189"/>
      <c r="T709" s="189"/>
      <c r="U709" s="189"/>
      <c r="V709" s="189"/>
      <c r="W709" s="189"/>
    </row>
    <row r="710">
      <c r="A710" s="194"/>
      <c r="B710" s="194"/>
      <c r="C710" s="189"/>
      <c r="D710" s="189"/>
      <c r="E710" s="189"/>
      <c r="F710" s="189"/>
      <c r="G710" s="189"/>
      <c r="H710" s="189"/>
      <c r="I710" s="189"/>
      <c r="J710" s="189"/>
      <c r="K710" s="189"/>
      <c r="L710" s="189"/>
      <c r="M710" s="189"/>
      <c r="N710" s="189"/>
      <c r="O710" s="189"/>
      <c r="P710" s="189"/>
      <c r="Q710" s="189"/>
      <c r="R710" s="189"/>
      <c r="S710" s="189"/>
      <c r="T710" s="189"/>
      <c r="U710" s="189"/>
      <c r="V710" s="189"/>
      <c r="W710" s="189"/>
    </row>
    <row r="711">
      <c r="A711" s="194"/>
      <c r="B711" s="194"/>
      <c r="C711" s="189"/>
      <c r="D711" s="189"/>
      <c r="E711" s="189"/>
      <c r="F711" s="189"/>
      <c r="G711" s="189"/>
      <c r="H711" s="189"/>
      <c r="I711" s="189"/>
      <c r="J711" s="189"/>
      <c r="K711" s="189"/>
      <c r="L711" s="189"/>
      <c r="M711" s="189"/>
      <c r="N711" s="189"/>
      <c r="O711" s="189"/>
      <c r="P711" s="189"/>
      <c r="Q711" s="189"/>
      <c r="R711" s="189"/>
      <c r="S711" s="189"/>
      <c r="T711" s="189"/>
      <c r="U711" s="189"/>
      <c r="V711" s="189"/>
      <c r="W711" s="189"/>
    </row>
    <row r="712">
      <c r="A712" s="194"/>
      <c r="B712" s="194"/>
      <c r="C712" s="189"/>
      <c r="D712" s="189"/>
      <c r="E712" s="189"/>
      <c r="F712" s="189"/>
      <c r="G712" s="189"/>
      <c r="H712" s="189"/>
      <c r="I712" s="189"/>
      <c r="J712" s="189"/>
      <c r="K712" s="189"/>
      <c r="L712" s="189"/>
      <c r="M712" s="189"/>
      <c r="N712" s="189"/>
      <c r="O712" s="189"/>
      <c r="P712" s="189"/>
      <c r="Q712" s="189"/>
      <c r="R712" s="189"/>
      <c r="S712" s="189"/>
      <c r="T712" s="189"/>
      <c r="U712" s="189"/>
      <c r="V712" s="189"/>
      <c r="W712" s="189"/>
    </row>
    <row r="713">
      <c r="A713" s="194"/>
      <c r="B713" s="194"/>
      <c r="C713" s="189"/>
      <c r="D713" s="189"/>
      <c r="E713" s="189"/>
      <c r="F713" s="189"/>
      <c r="G713" s="189"/>
      <c r="H713" s="189"/>
      <c r="I713" s="189"/>
      <c r="J713" s="189"/>
      <c r="K713" s="189"/>
      <c r="L713" s="189"/>
      <c r="M713" s="189"/>
      <c r="N713" s="189"/>
      <c r="O713" s="189"/>
      <c r="P713" s="189"/>
      <c r="Q713" s="189"/>
      <c r="R713" s="189"/>
      <c r="S713" s="189"/>
      <c r="T713" s="189"/>
      <c r="U713" s="189"/>
      <c r="V713" s="189"/>
      <c r="W713" s="189"/>
    </row>
    <row r="714">
      <c r="A714" s="194"/>
      <c r="B714" s="194"/>
      <c r="C714" s="189"/>
      <c r="D714" s="189"/>
      <c r="E714" s="189"/>
      <c r="F714" s="189"/>
      <c r="G714" s="189"/>
      <c r="H714" s="189"/>
      <c r="I714" s="189"/>
      <c r="J714" s="189"/>
      <c r="K714" s="189"/>
      <c r="L714" s="189"/>
      <c r="M714" s="189"/>
      <c r="N714" s="189"/>
      <c r="O714" s="189"/>
      <c r="P714" s="189"/>
      <c r="Q714" s="189"/>
      <c r="R714" s="189"/>
      <c r="S714" s="189"/>
      <c r="T714" s="189"/>
      <c r="U714" s="189"/>
      <c r="V714" s="189"/>
      <c r="W714" s="189"/>
    </row>
    <row r="715">
      <c r="A715" s="194"/>
      <c r="B715" s="194"/>
      <c r="C715" s="189"/>
      <c r="D715" s="189"/>
      <c r="E715" s="189"/>
      <c r="F715" s="189"/>
      <c r="G715" s="189"/>
      <c r="H715" s="189"/>
      <c r="I715" s="189"/>
      <c r="J715" s="189"/>
      <c r="K715" s="189"/>
      <c r="L715" s="189"/>
      <c r="M715" s="189"/>
      <c r="N715" s="189"/>
      <c r="O715" s="189"/>
      <c r="P715" s="189"/>
      <c r="Q715" s="189"/>
      <c r="R715" s="189"/>
      <c r="S715" s="189"/>
      <c r="T715" s="189"/>
      <c r="U715" s="189"/>
      <c r="V715" s="189"/>
      <c r="W715" s="189"/>
    </row>
    <row r="716">
      <c r="A716" s="194"/>
      <c r="B716" s="194"/>
      <c r="C716" s="189"/>
      <c r="D716" s="189"/>
      <c r="E716" s="189"/>
      <c r="F716" s="189"/>
      <c r="G716" s="189"/>
      <c r="H716" s="189"/>
      <c r="I716" s="189"/>
      <c r="J716" s="189"/>
      <c r="K716" s="189"/>
      <c r="L716" s="189"/>
      <c r="M716" s="189"/>
      <c r="N716" s="189"/>
      <c r="O716" s="189"/>
      <c r="P716" s="189"/>
      <c r="Q716" s="189"/>
      <c r="R716" s="189"/>
      <c r="S716" s="189"/>
      <c r="T716" s="189"/>
      <c r="U716" s="189"/>
      <c r="V716" s="189"/>
      <c r="W716" s="189"/>
    </row>
    <row r="717">
      <c r="A717" s="194"/>
      <c r="B717" s="194"/>
      <c r="C717" s="189"/>
      <c r="D717" s="189"/>
      <c r="E717" s="189"/>
      <c r="F717" s="189"/>
      <c r="G717" s="189"/>
      <c r="H717" s="189"/>
      <c r="I717" s="189"/>
      <c r="J717" s="189"/>
      <c r="K717" s="189"/>
      <c r="L717" s="189"/>
      <c r="M717" s="189"/>
      <c r="N717" s="189"/>
      <c r="O717" s="189"/>
      <c r="P717" s="189"/>
      <c r="Q717" s="189"/>
      <c r="R717" s="189"/>
      <c r="S717" s="189"/>
      <c r="T717" s="189"/>
      <c r="U717" s="189"/>
      <c r="V717" s="189"/>
      <c r="W717" s="189"/>
    </row>
    <row r="718">
      <c r="A718" s="194"/>
      <c r="B718" s="194"/>
      <c r="C718" s="189"/>
      <c r="D718" s="189"/>
      <c r="E718" s="189"/>
      <c r="F718" s="189"/>
      <c r="G718" s="189"/>
      <c r="H718" s="189"/>
      <c r="I718" s="189"/>
      <c r="J718" s="189"/>
      <c r="K718" s="189"/>
      <c r="L718" s="189"/>
      <c r="M718" s="189"/>
      <c r="N718" s="189"/>
      <c r="O718" s="189"/>
      <c r="P718" s="189"/>
      <c r="Q718" s="189"/>
      <c r="R718" s="189"/>
      <c r="S718" s="189"/>
      <c r="T718" s="189"/>
      <c r="U718" s="189"/>
      <c r="V718" s="189"/>
      <c r="W718" s="189"/>
    </row>
    <row r="719">
      <c r="A719" s="194"/>
      <c r="B719" s="194"/>
      <c r="C719" s="189"/>
      <c r="D719" s="189"/>
      <c r="E719" s="189"/>
      <c r="F719" s="189"/>
      <c r="G719" s="189"/>
      <c r="H719" s="189"/>
      <c r="I719" s="189"/>
      <c r="J719" s="189"/>
      <c r="K719" s="189"/>
      <c r="L719" s="189"/>
      <c r="M719" s="189"/>
      <c r="N719" s="189"/>
      <c r="O719" s="189"/>
      <c r="P719" s="189"/>
      <c r="Q719" s="189"/>
      <c r="R719" s="189"/>
      <c r="S719" s="189"/>
      <c r="T719" s="189"/>
      <c r="U719" s="189"/>
      <c r="V719" s="189"/>
      <c r="W719" s="189"/>
    </row>
    <row r="720">
      <c r="A720" s="194"/>
      <c r="B720" s="194"/>
      <c r="C720" s="189"/>
      <c r="D720" s="189"/>
      <c r="E720" s="189"/>
      <c r="F720" s="189"/>
      <c r="G720" s="189"/>
      <c r="H720" s="189"/>
      <c r="I720" s="189"/>
      <c r="J720" s="189"/>
      <c r="K720" s="189"/>
      <c r="L720" s="189"/>
      <c r="M720" s="189"/>
      <c r="N720" s="189"/>
      <c r="O720" s="189"/>
      <c r="P720" s="189"/>
      <c r="Q720" s="189"/>
      <c r="R720" s="189"/>
      <c r="S720" s="189"/>
      <c r="T720" s="189"/>
      <c r="U720" s="189"/>
      <c r="V720" s="189"/>
      <c r="W720" s="189"/>
    </row>
    <row r="721">
      <c r="A721" s="194"/>
      <c r="B721" s="194"/>
      <c r="C721" s="189"/>
      <c r="D721" s="189"/>
      <c r="E721" s="189"/>
      <c r="F721" s="189"/>
      <c r="G721" s="189"/>
      <c r="H721" s="189"/>
      <c r="I721" s="189"/>
      <c r="J721" s="189"/>
      <c r="K721" s="189"/>
      <c r="L721" s="189"/>
      <c r="M721" s="189"/>
      <c r="N721" s="189"/>
      <c r="O721" s="189"/>
      <c r="P721" s="189"/>
      <c r="Q721" s="189"/>
      <c r="R721" s="189"/>
      <c r="S721" s="189"/>
      <c r="T721" s="189"/>
      <c r="U721" s="189"/>
      <c r="V721" s="189"/>
      <c r="W721" s="189"/>
    </row>
    <row r="722">
      <c r="A722" s="194"/>
      <c r="B722" s="194"/>
      <c r="C722" s="189"/>
      <c r="D722" s="189"/>
      <c r="E722" s="189"/>
      <c r="F722" s="189"/>
      <c r="G722" s="189"/>
      <c r="H722" s="189"/>
      <c r="I722" s="189"/>
      <c r="J722" s="189"/>
      <c r="K722" s="189"/>
      <c r="L722" s="189"/>
      <c r="M722" s="189"/>
      <c r="N722" s="189"/>
      <c r="O722" s="189"/>
      <c r="P722" s="189"/>
      <c r="Q722" s="189"/>
      <c r="R722" s="189"/>
      <c r="S722" s="189"/>
      <c r="T722" s="189"/>
      <c r="U722" s="189"/>
      <c r="V722" s="189"/>
      <c r="W722" s="189"/>
    </row>
    <row r="723">
      <c r="A723" s="194"/>
      <c r="B723" s="194"/>
      <c r="C723" s="189"/>
      <c r="D723" s="189"/>
      <c r="E723" s="189"/>
      <c r="F723" s="189"/>
      <c r="G723" s="189"/>
      <c r="H723" s="189"/>
      <c r="I723" s="189"/>
      <c r="J723" s="189"/>
      <c r="K723" s="189"/>
      <c r="L723" s="189"/>
      <c r="M723" s="189"/>
      <c r="N723" s="189"/>
      <c r="O723" s="189"/>
      <c r="P723" s="189"/>
      <c r="Q723" s="189"/>
      <c r="R723" s="189"/>
      <c r="S723" s="189"/>
      <c r="T723" s="189"/>
      <c r="U723" s="189"/>
      <c r="V723" s="189"/>
      <c r="W723" s="189"/>
    </row>
    <row r="724">
      <c r="A724" s="194"/>
      <c r="B724" s="194"/>
      <c r="C724" s="189"/>
      <c r="D724" s="189"/>
      <c r="E724" s="189"/>
      <c r="F724" s="189"/>
      <c r="G724" s="189"/>
      <c r="H724" s="189"/>
      <c r="I724" s="189"/>
      <c r="J724" s="189"/>
      <c r="K724" s="189"/>
      <c r="L724" s="189"/>
      <c r="M724" s="189"/>
      <c r="N724" s="189"/>
      <c r="O724" s="189"/>
      <c r="P724" s="189"/>
      <c r="Q724" s="189"/>
      <c r="R724" s="189"/>
      <c r="S724" s="189"/>
      <c r="T724" s="189"/>
      <c r="U724" s="189"/>
      <c r="V724" s="189"/>
      <c r="W724" s="189"/>
    </row>
    <row r="725">
      <c r="A725" s="194"/>
      <c r="B725" s="194"/>
      <c r="C725" s="189"/>
      <c r="D725" s="189"/>
      <c r="E725" s="189"/>
      <c r="F725" s="189"/>
      <c r="G725" s="189"/>
      <c r="H725" s="189"/>
      <c r="I725" s="189"/>
      <c r="J725" s="189"/>
      <c r="K725" s="189"/>
      <c r="L725" s="189"/>
      <c r="M725" s="189"/>
      <c r="N725" s="189"/>
      <c r="O725" s="189"/>
      <c r="P725" s="189"/>
      <c r="Q725" s="189"/>
      <c r="R725" s="189"/>
      <c r="S725" s="189"/>
      <c r="T725" s="189"/>
      <c r="U725" s="189"/>
      <c r="V725" s="189"/>
      <c r="W725" s="189"/>
    </row>
    <row r="726">
      <c r="A726" s="194"/>
      <c r="B726" s="194"/>
      <c r="C726" s="189"/>
      <c r="D726" s="189"/>
      <c r="E726" s="189"/>
      <c r="F726" s="189"/>
      <c r="G726" s="189"/>
      <c r="H726" s="189"/>
      <c r="I726" s="189"/>
      <c r="J726" s="189"/>
      <c r="K726" s="189"/>
      <c r="L726" s="189"/>
      <c r="M726" s="189"/>
      <c r="N726" s="189"/>
      <c r="O726" s="189"/>
      <c r="P726" s="189"/>
      <c r="Q726" s="189"/>
      <c r="R726" s="189"/>
      <c r="S726" s="189"/>
      <c r="T726" s="189"/>
      <c r="U726" s="189"/>
      <c r="V726" s="189"/>
      <c r="W726" s="189"/>
    </row>
    <row r="727">
      <c r="A727" s="194"/>
      <c r="B727" s="194"/>
      <c r="C727" s="189"/>
      <c r="D727" s="189"/>
      <c r="E727" s="189"/>
      <c r="F727" s="189"/>
      <c r="G727" s="189"/>
      <c r="H727" s="189"/>
      <c r="I727" s="189"/>
      <c r="J727" s="189"/>
      <c r="K727" s="189"/>
      <c r="L727" s="189"/>
      <c r="M727" s="189"/>
      <c r="N727" s="189"/>
      <c r="O727" s="189"/>
      <c r="P727" s="189"/>
      <c r="Q727" s="189"/>
      <c r="R727" s="189"/>
      <c r="S727" s="189"/>
      <c r="T727" s="189"/>
      <c r="U727" s="189"/>
      <c r="V727" s="189"/>
      <c r="W727" s="189"/>
    </row>
    <row r="728">
      <c r="A728" s="194"/>
      <c r="B728" s="194"/>
      <c r="C728" s="189"/>
      <c r="D728" s="189"/>
      <c r="E728" s="189"/>
      <c r="F728" s="189"/>
      <c r="G728" s="189"/>
      <c r="H728" s="189"/>
      <c r="I728" s="189"/>
      <c r="J728" s="189"/>
      <c r="K728" s="189"/>
      <c r="L728" s="189"/>
      <c r="M728" s="189"/>
      <c r="N728" s="189"/>
      <c r="O728" s="189"/>
      <c r="P728" s="189"/>
      <c r="Q728" s="189"/>
      <c r="R728" s="189"/>
      <c r="S728" s="189"/>
      <c r="T728" s="189"/>
      <c r="U728" s="189"/>
      <c r="V728" s="189"/>
      <c r="W728" s="189"/>
    </row>
    <row r="729">
      <c r="A729" s="194"/>
      <c r="B729" s="194"/>
      <c r="C729" s="189"/>
      <c r="D729" s="189"/>
      <c r="E729" s="189"/>
      <c r="F729" s="189"/>
      <c r="G729" s="189"/>
      <c r="H729" s="189"/>
      <c r="I729" s="189"/>
      <c r="J729" s="189"/>
      <c r="K729" s="189"/>
      <c r="L729" s="189"/>
      <c r="M729" s="189"/>
      <c r="N729" s="189"/>
      <c r="O729" s="189"/>
      <c r="P729" s="189"/>
      <c r="Q729" s="189"/>
      <c r="R729" s="189"/>
      <c r="S729" s="189"/>
      <c r="T729" s="189"/>
      <c r="U729" s="189"/>
      <c r="V729" s="189"/>
      <c r="W729" s="189"/>
    </row>
    <row r="730">
      <c r="A730" s="194"/>
      <c r="B730" s="194"/>
      <c r="C730" s="189"/>
      <c r="D730" s="189"/>
      <c r="E730" s="189"/>
      <c r="F730" s="189"/>
      <c r="G730" s="189"/>
      <c r="H730" s="189"/>
      <c r="I730" s="189"/>
      <c r="J730" s="189"/>
      <c r="K730" s="189"/>
      <c r="L730" s="189"/>
      <c r="M730" s="189"/>
      <c r="N730" s="189"/>
      <c r="O730" s="189"/>
      <c r="P730" s="189"/>
      <c r="Q730" s="189"/>
      <c r="R730" s="189"/>
      <c r="S730" s="189"/>
      <c r="T730" s="189"/>
      <c r="U730" s="189"/>
      <c r="V730" s="189"/>
      <c r="W730" s="189"/>
    </row>
    <row r="731">
      <c r="A731" s="194"/>
      <c r="B731" s="194"/>
      <c r="C731" s="189"/>
      <c r="D731" s="189"/>
      <c r="E731" s="189"/>
      <c r="F731" s="189"/>
      <c r="G731" s="189"/>
      <c r="H731" s="189"/>
      <c r="I731" s="189"/>
      <c r="J731" s="189"/>
      <c r="K731" s="189"/>
      <c r="L731" s="189"/>
      <c r="M731" s="189"/>
      <c r="N731" s="189"/>
      <c r="O731" s="189"/>
      <c r="P731" s="189"/>
      <c r="Q731" s="189"/>
      <c r="R731" s="189"/>
      <c r="S731" s="189"/>
      <c r="T731" s="189"/>
      <c r="U731" s="189"/>
      <c r="V731" s="189"/>
      <c r="W731" s="189"/>
    </row>
    <row r="732">
      <c r="A732" s="194"/>
      <c r="B732" s="194"/>
      <c r="C732" s="189"/>
      <c r="D732" s="189"/>
      <c r="E732" s="189"/>
      <c r="F732" s="189"/>
      <c r="G732" s="189"/>
      <c r="H732" s="189"/>
      <c r="I732" s="189"/>
      <c r="J732" s="189"/>
      <c r="K732" s="189"/>
      <c r="L732" s="189"/>
      <c r="M732" s="189"/>
      <c r="N732" s="189"/>
      <c r="O732" s="189"/>
      <c r="P732" s="189"/>
      <c r="Q732" s="189"/>
      <c r="R732" s="189"/>
      <c r="S732" s="189"/>
      <c r="T732" s="189"/>
      <c r="U732" s="189"/>
      <c r="V732" s="189"/>
      <c r="W732" s="189"/>
    </row>
    <row r="733">
      <c r="A733" s="194"/>
      <c r="B733" s="194"/>
      <c r="C733" s="189"/>
      <c r="D733" s="189"/>
      <c r="E733" s="189"/>
      <c r="F733" s="189"/>
      <c r="G733" s="189"/>
      <c r="H733" s="189"/>
      <c r="I733" s="189"/>
      <c r="J733" s="189"/>
      <c r="K733" s="189"/>
      <c r="L733" s="189"/>
      <c r="M733" s="189"/>
      <c r="N733" s="189"/>
      <c r="O733" s="189"/>
      <c r="P733" s="189"/>
      <c r="Q733" s="189"/>
      <c r="R733" s="189"/>
      <c r="S733" s="189"/>
      <c r="T733" s="189"/>
      <c r="U733" s="189"/>
      <c r="V733" s="189"/>
      <c r="W733" s="189"/>
    </row>
    <row r="734">
      <c r="A734" s="194"/>
      <c r="B734" s="194"/>
      <c r="C734" s="189"/>
      <c r="D734" s="189"/>
      <c r="E734" s="189"/>
      <c r="F734" s="189"/>
      <c r="G734" s="189"/>
      <c r="H734" s="189"/>
      <c r="I734" s="189"/>
      <c r="J734" s="189"/>
      <c r="K734" s="189"/>
      <c r="L734" s="189"/>
      <c r="M734" s="189"/>
      <c r="N734" s="189"/>
      <c r="O734" s="189"/>
      <c r="P734" s="189"/>
      <c r="Q734" s="189"/>
      <c r="R734" s="189"/>
      <c r="S734" s="189"/>
      <c r="T734" s="189"/>
      <c r="U734" s="189"/>
      <c r="V734" s="189"/>
      <c r="W734" s="189"/>
    </row>
    <row r="735">
      <c r="A735" s="194"/>
      <c r="B735" s="194"/>
      <c r="C735" s="189"/>
      <c r="D735" s="189"/>
      <c r="E735" s="189"/>
      <c r="F735" s="189"/>
      <c r="G735" s="189"/>
      <c r="H735" s="189"/>
      <c r="I735" s="189"/>
      <c r="J735" s="189"/>
      <c r="K735" s="189"/>
      <c r="L735" s="189"/>
      <c r="M735" s="189"/>
      <c r="N735" s="189"/>
      <c r="O735" s="189"/>
      <c r="P735" s="189"/>
      <c r="Q735" s="189"/>
      <c r="R735" s="189"/>
      <c r="S735" s="189"/>
      <c r="T735" s="189"/>
      <c r="U735" s="189"/>
      <c r="V735" s="189"/>
      <c r="W735" s="189"/>
    </row>
    <row r="736">
      <c r="A736" s="194"/>
      <c r="B736" s="194"/>
      <c r="C736" s="189"/>
      <c r="D736" s="189"/>
      <c r="E736" s="189"/>
      <c r="F736" s="189"/>
      <c r="G736" s="189"/>
      <c r="H736" s="189"/>
      <c r="I736" s="189"/>
      <c r="J736" s="189"/>
      <c r="K736" s="189"/>
      <c r="L736" s="189"/>
      <c r="M736" s="189"/>
      <c r="N736" s="189"/>
      <c r="O736" s="189"/>
      <c r="P736" s="189"/>
      <c r="Q736" s="189"/>
      <c r="R736" s="189"/>
      <c r="S736" s="189"/>
      <c r="T736" s="189"/>
      <c r="U736" s="189"/>
      <c r="V736" s="189"/>
      <c r="W736" s="189"/>
    </row>
    <row r="737">
      <c r="A737" s="194"/>
      <c r="B737" s="194"/>
      <c r="C737" s="189"/>
      <c r="D737" s="189"/>
      <c r="E737" s="189"/>
      <c r="F737" s="189"/>
      <c r="G737" s="189"/>
      <c r="H737" s="189"/>
      <c r="I737" s="189"/>
      <c r="J737" s="189"/>
      <c r="K737" s="189"/>
      <c r="L737" s="189"/>
      <c r="M737" s="189"/>
      <c r="N737" s="189"/>
      <c r="O737" s="189"/>
      <c r="P737" s="189"/>
      <c r="Q737" s="189"/>
      <c r="R737" s="189"/>
      <c r="S737" s="189"/>
      <c r="T737" s="189"/>
      <c r="U737" s="189"/>
      <c r="V737" s="189"/>
      <c r="W737" s="189"/>
    </row>
    <row r="738">
      <c r="A738" s="194"/>
      <c r="B738" s="194"/>
      <c r="C738" s="189"/>
      <c r="D738" s="189"/>
      <c r="E738" s="189"/>
      <c r="F738" s="189"/>
      <c r="G738" s="189"/>
      <c r="H738" s="189"/>
      <c r="I738" s="189"/>
      <c r="J738" s="189"/>
      <c r="K738" s="189"/>
      <c r="L738" s="189"/>
      <c r="M738" s="189"/>
      <c r="N738" s="189"/>
      <c r="O738" s="189"/>
      <c r="P738" s="189"/>
      <c r="Q738" s="189"/>
      <c r="R738" s="189"/>
      <c r="S738" s="189"/>
      <c r="T738" s="189"/>
      <c r="U738" s="189"/>
      <c r="V738" s="189"/>
      <c r="W738" s="189"/>
    </row>
    <row r="739">
      <c r="A739" s="194"/>
      <c r="B739" s="194"/>
      <c r="C739" s="189"/>
      <c r="D739" s="189"/>
      <c r="E739" s="189"/>
      <c r="F739" s="189"/>
      <c r="G739" s="189"/>
      <c r="H739" s="189"/>
      <c r="I739" s="189"/>
      <c r="J739" s="189"/>
      <c r="K739" s="189"/>
      <c r="L739" s="189"/>
      <c r="M739" s="189"/>
      <c r="N739" s="189"/>
      <c r="O739" s="189"/>
      <c r="P739" s="189"/>
      <c r="Q739" s="189"/>
      <c r="R739" s="189"/>
      <c r="S739" s="189"/>
      <c r="T739" s="189"/>
      <c r="U739" s="189"/>
      <c r="V739" s="189"/>
      <c r="W739" s="189"/>
    </row>
    <row r="740">
      <c r="A740" s="194"/>
      <c r="B740" s="194"/>
      <c r="C740" s="189"/>
      <c r="D740" s="189"/>
      <c r="E740" s="189"/>
      <c r="F740" s="189"/>
      <c r="G740" s="189"/>
      <c r="H740" s="189"/>
      <c r="I740" s="189"/>
      <c r="J740" s="189"/>
      <c r="K740" s="189"/>
      <c r="L740" s="189"/>
      <c r="M740" s="189"/>
      <c r="N740" s="189"/>
      <c r="O740" s="189"/>
      <c r="P740" s="189"/>
      <c r="Q740" s="189"/>
      <c r="R740" s="189"/>
      <c r="S740" s="189"/>
      <c r="T740" s="189"/>
      <c r="U740" s="189"/>
      <c r="V740" s="189"/>
      <c r="W740" s="189"/>
    </row>
    <row r="741">
      <c r="A741" s="194"/>
      <c r="B741" s="194"/>
      <c r="C741" s="189"/>
      <c r="D741" s="189"/>
      <c r="E741" s="189"/>
      <c r="F741" s="189"/>
      <c r="G741" s="189"/>
      <c r="H741" s="189"/>
      <c r="I741" s="189"/>
      <c r="J741" s="189"/>
      <c r="K741" s="189"/>
      <c r="L741" s="189"/>
      <c r="M741" s="189"/>
      <c r="N741" s="189"/>
      <c r="O741" s="189"/>
      <c r="P741" s="189"/>
      <c r="Q741" s="189"/>
      <c r="R741" s="189"/>
      <c r="S741" s="189"/>
      <c r="T741" s="189"/>
      <c r="U741" s="189"/>
      <c r="V741" s="189"/>
      <c r="W741" s="189"/>
    </row>
    <row r="742">
      <c r="A742" s="194"/>
      <c r="B742" s="194"/>
      <c r="C742" s="189"/>
      <c r="D742" s="189"/>
      <c r="E742" s="189"/>
      <c r="F742" s="189"/>
      <c r="G742" s="189"/>
      <c r="H742" s="189"/>
      <c r="I742" s="189"/>
      <c r="J742" s="189"/>
      <c r="K742" s="189"/>
      <c r="L742" s="189"/>
      <c r="M742" s="189"/>
      <c r="N742" s="189"/>
      <c r="O742" s="189"/>
      <c r="P742" s="189"/>
      <c r="Q742" s="189"/>
      <c r="R742" s="189"/>
      <c r="S742" s="189"/>
      <c r="T742" s="189"/>
      <c r="U742" s="189"/>
      <c r="V742" s="189"/>
      <c r="W742" s="189"/>
    </row>
    <row r="743">
      <c r="A743" s="194"/>
      <c r="B743" s="194"/>
      <c r="C743" s="189"/>
      <c r="D743" s="189"/>
      <c r="E743" s="189"/>
      <c r="F743" s="189"/>
      <c r="G743" s="189"/>
      <c r="H743" s="189"/>
      <c r="I743" s="189"/>
      <c r="J743" s="189"/>
      <c r="K743" s="189"/>
      <c r="L743" s="189"/>
      <c r="M743" s="189"/>
      <c r="N743" s="189"/>
      <c r="O743" s="189"/>
      <c r="P743" s="189"/>
      <c r="Q743" s="189"/>
      <c r="R743" s="189"/>
      <c r="S743" s="189"/>
      <c r="T743" s="189"/>
      <c r="U743" s="189"/>
      <c r="V743" s="189"/>
      <c r="W743" s="189"/>
    </row>
    <row r="744">
      <c r="A744" s="194"/>
      <c r="B744" s="194"/>
      <c r="C744" s="189"/>
      <c r="D744" s="189"/>
      <c r="E744" s="189"/>
      <c r="F744" s="189"/>
      <c r="G744" s="189"/>
      <c r="H744" s="189"/>
      <c r="I744" s="189"/>
      <c r="J744" s="189"/>
      <c r="K744" s="189"/>
      <c r="L744" s="189"/>
      <c r="M744" s="189"/>
      <c r="N744" s="189"/>
      <c r="O744" s="189"/>
      <c r="P744" s="189"/>
      <c r="Q744" s="189"/>
      <c r="R744" s="189"/>
      <c r="S744" s="189"/>
      <c r="T744" s="189"/>
      <c r="U744" s="189"/>
      <c r="V744" s="189"/>
      <c r="W744" s="189"/>
    </row>
    <row r="745">
      <c r="A745" s="194"/>
      <c r="B745" s="194"/>
      <c r="C745" s="189"/>
      <c r="D745" s="189"/>
      <c r="E745" s="189"/>
      <c r="F745" s="189"/>
      <c r="G745" s="189"/>
      <c r="H745" s="189"/>
      <c r="I745" s="189"/>
      <c r="J745" s="189"/>
      <c r="K745" s="189"/>
      <c r="L745" s="189"/>
      <c r="M745" s="189"/>
      <c r="N745" s="189"/>
      <c r="O745" s="189"/>
      <c r="P745" s="189"/>
      <c r="Q745" s="189"/>
      <c r="R745" s="189"/>
      <c r="S745" s="189"/>
      <c r="T745" s="189"/>
      <c r="U745" s="189"/>
      <c r="V745" s="189"/>
      <c r="W745" s="189"/>
    </row>
    <row r="746">
      <c r="A746" s="194"/>
      <c r="B746" s="194"/>
      <c r="C746" s="189"/>
      <c r="D746" s="189"/>
      <c r="E746" s="189"/>
      <c r="F746" s="189"/>
      <c r="G746" s="189"/>
      <c r="H746" s="189"/>
      <c r="I746" s="189"/>
      <c r="J746" s="189"/>
      <c r="K746" s="189"/>
      <c r="L746" s="189"/>
      <c r="M746" s="189"/>
      <c r="N746" s="189"/>
      <c r="O746" s="189"/>
      <c r="P746" s="189"/>
      <c r="Q746" s="189"/>
      <c r="R746" s="189"/>
      <c r="S746" s="189"/>
      <c r="T746" s="189"/>
      <c r="U746" s="189"/>
      <c r="V746" s="189"/>
      <c r="W746" s="189"/>
    </row>
    <row r="747">
      <c r="A747" s="194"/>
      <c r="B747" s="194"/>
      <c r="C747" s="189"/>
      <c r="D747" s="189"/>
      <c r="E747" s="189"/>
      <c r="F747" s="189"/>
      <c r="G747" s="189"/>
      <c r="H747" s="189"/>
      <c r="I747" s="189"/>
      <c r="J747" s="189"/>
      <c r="K747" s="189"/>
      <c r="L747" s="189"/>
      <c r="M747" s="189"/>
      <c r="N747" s="189"/>
      <c r="O747" s="189"/>
      <c r="P747" s="189"/>
      <c r="Q747" s="189"/>
      <c r="R747" s="189"/>
      <c r="S747" s="189"/>
      <c r="T747" s="189"/>
      <c r="U747" s="189"/>
      <c r="V747" s="189"/>
      <c r="W747" s="189"/>
    </row>
    <row r="748">
      <c r="A748" s="194"/>
      <c r="B748" s="194"/>
      <c r="C748" s="189"/>
      <c r="D748" s="189"/>
      <c r="E748" s="189"/>
      <c r="F748" s="189"/>
      <c r="G748" s="189"/>
      <c r="H748" s="189"/>
      <c r="I748" s="189"/>
      <c r="J748" s="189"/>
      <c r="K748" s="189"/>
      <c r="L748" s="189"/>
      <c r="M748" s="189"/>
      <c r="N748" s="189"/>
      <c r="O748" s="189"/>
      <c r="P748" s="189"/>
      <c r="Q748" s="189"/>
      <c r="R748" s="189"/>
      <c r="S748" s="189"/>
      <c r="T748" s="189"/>
      <c r="U748" s="189"/>
      <c r="V748" s="189"/>
      <c r="W748" s="189"/>
    </row>
    <row r="749">
      <c r="A749" s="194"/>
      <c r="B749" s="194"/>
      <c r="C749" s="189"/>
      <c r="D749" s="189"/>
      <c r="E749" s="189"/>
      <c r="F749" s="189"/>
      <c r="G749" s="189"/>
      <c r="H749" s="189"/>
      <c r="I749" s="189"/>
      <c r="J749" s="189"/>
      <c r="K749" s="189"/>
      <c r="L749" s="189"/>
      <c r="M749" s="189"/>
      <c r="N749" s="189"/>
      <c r="O749" s="189"/>
      <c r="P749" s="189"/>
      <c r="Q749" s="189"/>
      <c r="R749" s="189"/>
      <c r="S749" s="189"/>
      <c r="T749" s="189"/>
      <c r="U749" s="189"/>
      <c r="V749" s="189"/>
      <c r="W749" s="189"/>
    </row>
    <row r="750">
      <c r="A750" s="194"/>
      <c r="B750" s="194"/>
      <c r="C750" s="189"/>
      <c r="D750" s="189"/>
      <c r="E750" s="189"/>
      <c r="F750" s="189"/>
      <c r="G750" s="189"/>
      <c r="H750" s="189"/>
      <c r="I750" s="189"/>
      <c r="J750" s="189"/>
      <c r="K750" s="189"/>
      <c r="L750" s="189"/>
      <c r="M750" s="189"/>
      <c r="N750" s="189"/>
      <c r="O750" s="189"/>
      <c r="P750" s="189"/>
      <c r="Q750" s="189"/>
      <c r="R750" s="189"/>
      <c r="S750" s="189"/>
      <c r="T750" s="189"/>
      <c r="U750" s="189"/>
      <c r="V750" s="189"/>
      <c r="W750" s="189"/>
    </row>
    <row r="751">
      <c r="A751" s="194"/>
      <c r="B751" s="194"/>
      <c r="C751" s="189"/>
      <c r="D751" s="189"/>
      <c r="E751" s="189"/>
      <c r="F751" s="189"/>
      <c r="G751" s="189"/>
      <c r="H751" s="189"/>
      <c r="I751" s="189"/>
      <c r="J751" s="189"/>
      <c r="K751" s="189"/>
      <c r="L751" s="189"/>
      <c r="M751" s="189"/>
      <c r="N751" s="189"/>
      <c r="O751" s="189"/>
      <c r="P751" s="189"/>
      <c r="Q751" s="189"/>
      <c r="R751" s="189"/>
      <c r="S751" s="189"/>
      <c r="T751" s="189"/>
      <c r="U751" s="189"/>
      <c r="V751" s="189"/>
      <c r="W751" s="189"/>
    </row>
    <row r="752">
      <c r="A752" s="194"/>
      <c r="B752" s="194"/>
      <c r="C752" s="189"/>
      <c r="D752" s="189"/>
      <c r="E752" s="189"/>
      <c r="F752" s="189"/>
      <c r="G752" s="189"/>
      <c r="H752" s="189"/>
      <c r="I752" s="189"/>
      <c r="J752" s="189"/>
      <c r="K752" s="189"/>
      <c r="L752" s="189"/>
      <c r="M752" s="189"/>
      <c r="N752" s="189"/>
      <c r="O752" s="189"/>
      <c r="P752" s="189"/>
      <c r="Q752" s="189"/>
      <c r="R752" s="189"/>
      <c r="S752" s="189"/>
      <c r="T752" s="189"/>
      <c r="U752" s="189"/>
      <c r="V752" s="189"/>
      <c r="W752" s="189"/>
    </row>
    <row r="753">
      <c r="A753" s="194"/>
      <c r="B753" s="194"/>
      <c r="C753" s="189"/>
      <c r="D753" s="189"/>
      <c r="E753" s="189"/>
      <c r="F753" s="189"/>
      <c r="G753" s="189"/>
      <c r="H753" s="189"/>
      <c r="I753" s="189"/>
      <c r="J753" s="189"/>
      <c r="K753" s="189"/>
      <c r="L753" s="189"/>
      <c r="M753" s="189"/>
      <c r="N753" s="189"/>
      <c r="O753" s="189"/>
      <c r="P753" s="189"/>
      <c r="Q753" s="189"/>
      <c r="R753" s="189"/>
      <c r="S753" s="189"/>
      <c r="T753" s="189"/>
      <c r="U753" s="189"/>
      <c r="V753" s="189"/>
      <c r="W753" s="189"/>
    </row>
    <row r="754">
      <c r="A754" s="194"/>
      <c r="B754" s="194"/>
      <c r="C754" s="189"/>
      <c r="D754" s="189"/>
      <c r="E754" s="189"/>
      <c r="F754" s="189"/>
      <c r="G754" s="189"/>
      <c r="H754" s="189"/>
      <c r="I754" s="189"/>
      <c r="J754" s="189"/>
      <c r="K754" s="189"/>
      <c r="L754" s="189"/>
      <c r="M754" s="189"/>
      <c r="N754" s="189"/>
      <c r="O754" s="189"/>
      <c r="P754" s="189"/>
      <c r="Q754" s="189"/>
      <c r="R754" s="189"/>
      <c r="S754" s="189"/>
      <c r="T754" s="189"/>
      <c r="U754" s="189"/>
      <c r="V754" s="189"/>
      <c r="W754" s="189"/>
    </row>
    <row r="755">
      <c r="A755" s="194"/>
      <c r="B755" s="194"/>
      <c r="C755" s="189"/>
      <c r="D755" s="189"/>
      <c r="E755" s="189"/>
      <c r="F755" s="189"/>
      <c r="G755" s="189"/>
      <c r="H755" s="189"/>
      <c r="I755" s="189"/>
      <c r="J755" s="189"/>
      <c r="K755" s="189"/>
      <c r="L755" s="189"/>
      <c r="M755" s="189"/>
      <c r="N755" s="189"/>
      <c r="O755" s="189"/>
      <c r="P755" s="189"/>
      <c r="Q755" s="189"/>
      <c r="R755" s="189"/>
      <c r="S755" s="189"/>
      <c r="T755" s="189"/>
      <c r="U755" s="189"/>
      <c r="V755" s="189"/>
      <c r="W755" s="189"/>
    </row>
    <row r="756">
      <c r="A756" s="194"/>
      <c r="B756" s="194"/>
      <c r="C756" s="189"/>
      <c r="D756" s="189"/>
      <c r="E756" s="189"/>
      <c r="F756" s="189"/>
      <c r="G756" s="189"/>
      <c r="H756" s="189"/>
      <c r="I756" s="189"/>
      <c r="J756" s="189"/>
      <c r="K756" s="189"/>
      <c r="L756" s="189"/>
      <c r="M756" s="189"/>
      <c r="N756" s="189"/>
      <c r="O756" s="189"/>
      <c r="P756" s="189"/>
      <c r="Q756" s="189"/>
      <c r="R756" s="189"/>
      <c r="S756" s="189"/>
      <c r="T756" s="189"/>
      <c r="U756" s="189"/>
      <c r="V756" s="189"/>
      <c r="W756" s="189"/>
    </row>
    <row r="757">
      <c r="A757" s="194"/>
      <c r="B757" s="194"/>
      <c r="C757" s="189"/>
      <c r="D757" s="189"/>
      <c r="E757" s="189"/>
      <c r="F757" s="189"/>
      <c r="G757" s="189"/>
      <c r="H757" s="189"/>
      <c r="I757" s="189"/>
      <c r="J757" s="189"/>
      <c r="K757" s="189"/>
      <c r="L757" s="189"/>
      <c r="M757" s="189"/>
      <c r="N757" s="189"/>
      <c r="O757" s="189"/>
      <c r="P757" s="189"/>
      <c r="Q757" s="189"/>
      <c r="R757" s="189"/>
      <c r="S757" s="189"/>
      <c r="T757" s="189"/>
      <c r="U757" s="189"/>
      <c r="V757" s="189"/>
      <c r="W757" s="189"/>
    </row>
    <row r="758">
      <c r="A758" s="194"/>
      <c r="B758" s="194"/>
      <c r="C758" s="189"/>
      <c r="D758" s="189"/>
      <c r="E758" s="189"/>
      <c r="F758" s="189"/>
      <c r="G758" s="189"/>
      <c r="H758" s="189"/>
      <c r="I758" s="189"/>
      <c r="J758" s="189"/>
      <c r="K758" s="189"/>
      <c r="L758" s="189"/>
      <c r="M758" s="189"/>
      <c r="N758" s="189"/>
      <c r="O758" s="189"/>
      <c r="P758" s="189"/>
      <c r="Q758" s="189"/>
      <c r="R758" s="189"/>
      <c r="S758" s="189"/>
      <c r="T758" s="189"/>
      <c r="U758" s="189"/>
      <c r="V758" s="189"/>
      <c r="W758" s="189"/>
    </row>
    <row r="759">
      <c r="A759" s="194"/>
      <c r="B759" s="194"/>
      <c r="C759" s="189"/>
      <c r="D759" s="189"/>
      <c r="E759" s="189"/>
      <c r="F759" s="189"/>
      <c r="G759" s="189"/>
      <c r="H759" s="189"/>
      <c r="I759" s="189"/>
      <c r="J759" s="189"/>
      <c r="K759" s="189"/>
      <c r="L759" s="189"/>
      <c r="M759" s="189"/>
      <c r="N759" s="189"/>
      <c r="O759" s="189"/>
      <c r="P759" s="189"/>
      <c r="Q759" s="189"/>
      <c r="R759" s="189"/>
      <c r="S759" s="189"/>
      <c r="T759" s="189"/>
      <c r="U759" s="189"/>
      <c r="V759" s="189"/>
      <c r="W759" s="189"/>
    </row>
    <row r="760">
      <c r="A760" s="194"/>
      <c r="B760" s="194"/>
      <c r="C760" s="189"/>
      <c r="D760" s="189"/>
      <c r="E760" s="189"/>
      <c r="F760" s="189"/>
      <c r="G760" s="189"/>
      <c r="H760" s="189"/>
      <c r="I760" s="189"/>
      <c r="J760" s="189"/>
      <c r="K760" s="189"/>
      <c r="L760" s="189"/>
      <c r="M760" s="189"/>
      <c r="N760" s="189"/>
      <c r="O760" s="189"/>
      <c r="P760" s="189"/>
      <c r="Q760" s="189"/>
      <c r="R760" s="189"/>
      <c r="S760" s="189"/>
      <c r="T760" s="189"/>
      <c r="U760" s="189"/>
      <c r="V760" s="189"/>
      <c r="W760" s="189"/>
    </row>
    <row r="761">
      <c r="A761" s="194"/>
      <c r="B761" s="194"/>
      <c r="C761" s="189"/>
      <c r="D761" s="189"/>
      <c r="E761" s="189"/>
      <c r="F761" s="189"/>
      <c r="G761" s="189"/>
      <c r="H761" s="189"/>
      <c r="I761" s="189"/>
      <c r="J761" s="189"/>
      <c r="K761" s="189"/>
      <c r="L761" s="189"/>
      <c r="M761" s="189"/>
      <c r="N761" s="189"/>
      <c r="O761" s="189"/>
      <c r="P761" s="189"/>
      <c r="Q761" s="189"/>
      <c r="R761" s="189"/>
      <c r="S761" s="189"/>
      <c r="T761" s="189"/>
      <c r="U761" s="189"/>
      <c r="V761" s="189"/>
      <c r="W761" s="189"/>
    </row>
    <row r="762">
      <c r="A762" s="194"/>
      <c r="B762" s="194"/>
      <c r="C762" s="189"/>
      <c r="D762" s="189"/>
      <c r="E762" s="189"/>
      <c r="F762" s="189"/>
      <c r="G762" s="189"/>
      <c r="H762" s="189"/>
      <c r="I762" s="189"/>
      <c r="J762" s="189"/>
      <c r="K762" s="189"/>
      <c r="L762" s="189"/>
      <c r="M762" s="189"/>
      <c r="N762" s="189"/>
      <c r="O762" s="189"/>
      <c r="P762" s="189"/>
      <c r="Q762" s="189"/>
      <c r="R762" s="189"/>
      <c r="S762" s="189"/>
      <c r="T762" s="189"/>
      <c r="U762" s="189"/>
      <c r="V762" s="189"/>
      <c r="W762" s="189"/>
    </row>
    <row r="763">
      <c r="A763" s="194"/>
      <c r="B763" s="194"/>
      <c r="C763" s="189"/>
      <c r="D763" s="189"/>
      <c r="E763" s="189"/>
      <c r="F763" s="189"/>
      <c r="G763" s="189"/>
      <c r="H763" s="189"/>
      <c r="I763" s="189"/>
      <c r="J763" s="189"/>
      <c r="K763" s="189"/>
      <c r="L763" s="189"/>
      <c r="M763" s="189"/>
      <c r="N763" s="189"/>
      <c r="O763" s="189"/>
      <c r="P763" s="189"/>
      <c r="Q763" s="189"/>
      <c r="R763" s="189"/>
      <c r="S763" s="189"/>
      <c r="T763" s="189"/>
      <c r="U763" s="189"/>
      <c r="V763" s="189"/>
      <c r="W763" s="189"/>
    </row>
    <row r="764">
      <c r="A764" s="194"/>
      <c r="B764" s="194"/>
      <c r="C764" s="189"/>
      <c r="D764" s="189"/>
      <c r="E764" s="189"/>
      <c r="F764" s="189"/>
      <c r="G764" s="189"/>
      <c r="H764" s="189"/>
      <c r="I764" s="189"/>
      <c r="J764" s="189"/>
      <c r="K764" s="189"/>
      <c r="L764" s="189"/>
      <c r="M764" s="189"/>
      <c r="N764" s="189"/>
      <c r="O764" s="189"/>
      <c r="P764" s="189"/>
      <c r="Q764" s="189"/>
      <c r="R764" s="189"/>
      <c r="S764" s="189"/>
      <c r="T764" s="189"/>
      <c r="U764" s="189"/>
      <c r="V764" s="189"/>
      <c r="W764" s="189"/>
    </row>
    <row r="765">
      <c r="A765" s="194"/>
      <c r="B765" s="194"/>
      <c r="C765" s="189"/>
      <c r="D765" s="189"/>
      <c r="E765" s="189"/>
      <c r="F765" s="189"/>
      <c r="G765" s="189"/>
      <c r="H765" s="189"/>
      <c r="I765" s="189"/>
      <c r="J765" s="189"/>
      <c r="K765" s="189"/>
      <c r="L765" s="189"/>
      <c r="M765" s="189"/>
      <c r="N765" s="189"/>
      <c r="O765" s="189"/>
      <c r="P765" s="189"/>
      <c r="Q765" s="189"/>
      <c r="R765" s="189"/>
      <c r="S765" s="189"/>
      <c r="T765" s="189"/>
      <c r="U765" s="189"/>
      <c r="V765" s="189"/>
      <c r="W765" s="189"/>
    </row>
    <row r="766">
      <c r="A766" s="194"/>
      <c r="B766" s="194"/>
      <c r="C766" s="189"/>
      <c r="D766" s="189"/>
      <c r="E766" s="189"/>
      <c r="F766" s="189"/>
      <c r="G766" s="189"/>
      <c r="H766" s="189"/>
      <c r="I766" s="189"/>
      <c r="J766" s="189"/>
      <c r="K766" s="189"/>
      <c r="L766" s="189"/>
      <c r="M766" s="189"/>
      <c r="N766" s="189"/>
      <c r="O766" s="189"/>
      <c r="P766" s="189"/>
      <c r="Q766" s="189"/>
      <c r="R766" s="189"/>
      <c r="S766" s="189"/>
      <c r="T766" s="189"/>
      <c r="U766" s="189"/>
      <c r="V766" s="189"/>
      <c r="W766" s="189"/>
    </row>
    <row r="767">
      <c r="A767" s="194"/>
      <c r="B767" s="194"/>
      <c r="C767" s="189"/>
      <c r="D767" s="189"/>
      <c r="E767" s="189"/>
      <c r="F767" s="189"/>
      <c r="G767" s="189"/>
      <c r="H767" s="189"/>
      <c r="I767" s="189"/>
      <c r="J767" s="189"/>
      <c r="K767" s="189"/>
      <c r="L767" s="189"/>
      <c r="M767" s="189"/>
      <c r="N767" s="189"/>
      <c r="O767" s="189"/>
      <c r="P767" s="189"/>
      <c r="Q767" s="189"/>
      <c r="R767" s="189"/>
      <c r="S767" s="189"/>
      <c r="T767" s="189"/>
      <c r="U767" s="189"/>
      <c r="V767" s="189"/>
      <c r="W767" s="189"/>
    </row>
    <row r="768">
      <c r="A768" s="194"/>
      <c r="B768" s="194"/>
      <c r="C768" s="189"/>
      <c r="D768" s="189"/>
      <c r="E768" s="189"/>
      <c r="F768" s="189"/>
      <c r="G768" s="189"/>
      <c r="H768" s="189"/>
      <c r="I768" s="189"/>
      <c r="J768" s="189"/>
      <c r="K768" s="189"/>
      <c r="L768" s="189"/>
      <c r="M768" s="189"/>
      <c r="N768" s="189"/>
      <c r="O768" s="189"/>
      <c r="P768" s="189"/>
      <c r="Q768" s="189"/>
      <c r="R768" s="189"/>
      <c r="S768" s="189"/>
      <c r="T768" s="189"/>
      <c r="U768" s="189"/>
      <c r="V768" s="189"/>
      <c r="W768" s="189"/>
    </row>
    <row r="769">
      <c r="A769" s="194"/>
      <c r="B769" s="194"/>
      <c r="C769" s="189"/>
      <c r="D769" s="189"/>
      <c r="E769" s="189"/>
      <c r="F769" s="189"/>
      <c r="G769" s="189"/>
      <c r="H769" s="189"/>
      <c r="I769" s="189"/>
      <c r="J769" s="189"/>
      <c r="K769" s="189"/>
      <c r="L769" s="189"/>
      <c r="M769" s="189"/>
      <c r="N769" s="189"/>
      <c r="O769" s="189"/>
      <c r="P769" s="189"/>
      <c r="Q769" s="189"/>
      <c r="R769" s="189"/>
      <c r="S769" s="189"/>
      <c r="T769" s="189"/>
      <c r="U769" s="189"/>
      <c r="V769" s="189"/>
      <c r="W769" s="189"/>
    </row>
    <row r="770">
      <c r="A770" s="194"/>
      <c r="B770" s="194"/>
      <c r="C770" s="189"/>
      <c r="D770" s="189"/>
      <c r="E770" s="189"/>
      <c r="F770" s="189"/>
      <c r="G770" s="189"/>
      <c r="H770" s="189"/>
      <c r="I770" s="189"/>
      <c r="J770" s="189"/>
      <c r="K770" s="189"/>
      <c r="L770" s="189"/>
      <c r="M770" s="189"/>
      <c r="N770" s="189"/>
      <c r="O770" s="189"/>
      <c r="P770" s="189"/>
      <c r="Q770" s="189"/>
      <c r="R770" s="189"/>
      <c r="S770" s="189"/>
      <c r="T770" s="189"/>
      <c r="U770" s="189"/>
      <c r="V770" s="189"/>
      <c r="W770" s="189"/>
    </row>
    <row r="771">
      <c r="A771" s="194"/>
      <c r="B771" s="194"/>
      <c r="C771" s="189"/>
      <c r="D771" s="189"/>
      <c r="E771" s="189"/>
      <c r="F771" s="189"/>
      <c r="G771" s="189"/>
      <c r="H771" s="189"/>
      <c r="I771" s="189"/>
      <c r="J771" s="189"/>
      <c r="K771" s="189"/>
      <c r="L771" s="189"/>
      <c r="M771" s="189"/>
      <c r="N771" s="189"/>
      <c r="O771" s="189"/>
      <c r="P771" s="189"/>
      <c r="Q771" s="189"/>
      <c r="R771" s="189"/>
      <c r="S771" s="189"/>
      <c r="T771" s="189"/>
      <c r="U771" s="189"/>
      <c r="V771" s="189"/>
      <c r="W771" s="189"/>
    </row>
    <row r="772">
      <c r="A772" s="194"/>
      <c r="B772" s="194"/>
      <c r="C772" s="189"/>
      <c r="D772" s="189"/>
      <c r="E772" s="189"/>
      <c r="F772" s="189"/>
      <c r="G772" s="189"/>
      <c r="H772" s="189"/>
      <c r="I772" s="189"/>
      <c r="J772" s="189"/>
      <c r="K772" s="189"/>
      <c r="L772" s="189"/>
      <c r="M772" s="189"/>
      <c r="N772" s="189"/>
      <c r="O772" s="189"/>
      <c r="P772" s="189"/>
      <c r="Q772" s="189"/>
      <c r="R772" s="189"/>
      <c r="S772" s="189"/>
      <c r="T772" s="189"/>
      <c r="U772" s="189"/>
      <c r="V772" s="189"/>
      <c r="W772" s="189"/>
    </row>
    <row r="773">
      <c r="A773" s="194"/>
      <c r="B773" s="194"/>
      <c r="C773" s="189"/>
      <c r="D773" s="189"/>
      <c r="E773" s="189"/>
      <c r="F773" s="189"/>
      <c r="G773" s="189"/>
      <c r="H773" s="189"/>
      <c r="I773" s="189"/>
      <c r="J773" s="189"/>
      <c r="K773" s="189"/>
      <c r="L773" s="189"/>
      <c r="M773" s="189"/>
      <c r="N773" s="189"/>
      <c r="O773" s="189"/>
      <c r="P773" s="189"/>
      <c r="Q773" s="189"/>
      <c r="R773" s="189"/>
      <c r="S773" s="189"/>
      <c r="T773" s="189"/>
      <c r="U773" s="189"/>
      <c r="V773" s="189"/>
      <c r="W773" s="189"/>
    </row>
    <row r="774">
      <c r="A774" s="194"/>
      <c r="B774" s="194"/>
      <c r="C774" s="189"/>
      <c r="D774" s="189"/>
      <c r="E774" s="189"/>
      <c r="F774" s="189"/>
      <c r="G774" s="189"/>
      <c r="H774" s="189"/>
      <c r="I774" s="189"/>
      <c r="J774" s="189"/>
      <c r="K774" s="189"/>
      <c r="L774" s="189"/>
      <c r="M774" s="189"/>
      <c r="N774" s="189"/>
      <c r="O774" s="189"/>
      <c r="P774" s="189"/>
      <c r="Q774" s="189"/>
      <c r="R774" s="189"/>
      <c r="S774" s="189"/>
      <c r="T774" s="189"/>
      <c r="U774" s="189"/>
      <c r="V774" s="189"/>
      <c r="W774" s="189"/>
    </row>
    <row r="775">
      <c r="A775" s="194"/>
      <c r="B775" s="194"/>
      <c r="C775" s="189"/>
      <c r="D775" s="189"/>
      <c r="E775" s="189"/>
      <c r="F775" s="189"/>
      <c r="G775" s="189"/>
      <c r="H775" s="189"/>
      <c r="I775" s="189"/>
      <c r="J775" s="189"/>
      <c r="K775" s="189"/>
      <c r="L775" s="189"/>
      <c r="M775" s="189"/>
      <c r="N775" s="189"/>
      <c r="O775" s="189"/>
      <c r="P775" s="189"/>
      <c r="Q775" s="189"/>
      <c r="R775" s="189"/>
      <c r="S775" s="189"/>
      <c r="T775" s="189"/>
      <c r="U775" s="189"/>
      <c r="V775" s="189"/>
      <c r="W775" s="189"/>
    </row>
    <row r="776">
      <c r="A776" s="194"/>
      <c r="B776" s="194"/>
      <c r="C776" s="189"/>
      <c r="D776" s="189"/>
      <c r="E776" s="189"/>
      <c r="F776" s="189"/>
      <c r="G776" s="189"/>
      <c r="H776" s="189"/>
      <c r="I776" s="189"/>
      <c r="J776" s="189"/>
      <c r="K776" s="189"/>
      <c r="L776" s="189"/>
      <c r="M776" s="189"/>
      <c r="N776" s="189"/>
      <c r="O776" s="189"/>
      <c r="P776" s="189"/>
      <c r="Q776" s="189"/>
      <c r="R776" s="189"/>
      <c r="S776" s="189"/>
      <c r="T776" s="189"/>
      <c r="U776" s="189"/>
      <c r="V776" s="189"/>
      <c r="W776" s="189"/>
    </row>
    <row r="777">
      <c r="A777" s="194"/>
      <c r="B777" s="194"/>
      <c r="C777" s="189"/>
      <c r="D777" s="189"/>
      <c r="E777" s="189"/>
      <c r="F777" s="189"/>
      <c r="G777" s="189"/>
      <c r="H777" s="189"/>
      <c r="I777" s="189"/>
      <c r="J777" s="189"/>
      <c r="K777" s="189"/>
      <c r="L777" s="189"/>
      <c r="M777" s="189"/>
      <c r="N777" s="189"/>
      <c r="O777" s="189"/>
      <c r="P777" s="189"/>
      <c r="Q777" s="189"/>
      <c r="R777" s="189"/>
      <c r="S777" s="189"/>
      <c r="T777" s="189"/>
      <c r="U777" s="189"/>
      <c r="V777" s="189"/>
      <c r="W777" s="189"/>
    </row>
    <row r="778">
      <c r="A778" s="194"/>
      <c r="B778" s="194"/>
      <c r="C778" s="189"/>
      <c r="D778" s="189"/>
      <c r="E778" s="189"/>
      <c r="F778" s="189"/>
      <c r="G778" s="189"/>
      <c r="H778" s="189"/>
      <c r="I778" s="189"/>
      <c r="J778" s="189"/>
      <c r="K778" s="189"/>
      <c r="L778" s="189"/>
      <c r="M778" s="189"/>
      <c r="N778" s="189"/>
      <c r="O778" s="189"/>
      <c r="P778" s="189"/>
      <c r="Q778" s="189"/>
      <c r="R778" s="189"/>
      <c r="S778" s="189"/>
      <c r="T778" s="189"/>
      <c r="U778" s="189"/>
      <c r="V778" s="189"/>
      <c r="W778" s="189"/>
    </row>
    <row r="779">
      <c r="A779" s="194"/>
      <c r="B779" s="194"/>
      <c r="C779" s="189"/>
      <c r="D779" s="189"/>
      <c r="E779" s="189"/>
      <c r="F779" s="189"/>
      <c r="G779" s="189"/>
      <c r="H779" s="189"/>
      <c r="I779" s="189"/>
      <c r="J779" s="189"/>
      <c r="K779" s="189"/>
      <c r="L779" s="189"/>
      <c r="M779" s="189"/>
      <c r="N779" s="189"/>
      <c r="O779" s="189"/>
      <c r="P779" s="189"/>
      <c r="Q779" s="189"/>
      <c r="R779" s="189"/>
      <c r="S779" s="189"/>
      <c r="T779" s="189"/>
      <c r="U779" s="189"/>
      <c r="V779" s="189"/>
      <c r="W779" s="189"/>
    </row>
    <row r="780">
      <c r="A780" s="194"/>
      <c r="B780" s="194"/>
      <c r="C780" s="189"/>
      <c r="D780" s="189"/>
      <c r="E780" s="189"/>
      <c r="F780" s="189"/>
      <c r="G780" s="189"/>
      <c r="H780" s="189"/>
      <c r="I780" s="189"/>
      <c r="J780" s="189"/>
      <c r="K780" s="189"/>
      <c r="L780" s="189"/>
      <c r="M780" s="189"/>
      <c r="N780" s="189"/>
      <c r="O780" s="189"/>
      <c r="P780" s="189"/>
      <c r="Q780" s="189"/>
      <c r="R780" s="189"/>
      <c r="S780" s="189"/>
      <c r="T780" s="189"/>
      <c r="U780" s="189"/>
      <c r="V780" s="189"/>
      <c r="W780" s="189"/>
    </row>
    <row r="781">
      <c r="A781" s="194"/>
      <c r="B781" s="194"/>
      <c r="C781" s="189"/>
      <c r="D781" s="189"/>
      <c r="E781" s="189"/>
      <c r="F781" s="189"/>
      <c r="G781" s="189"/>
      <c r="H781" s="189"/>
      <c r="I781" s="189"/>
      <c r="J781" s="189"/>
      <c r="K781" s="189"/>
      <c r="L781" s="189"/>
      <c r="M781" s="189"/>
      <c r="N781" s="189"/>
      <c r="O781" s="189"/>
      <c r="P781" s="189"/>
      <c r="Q781" s="189"/>
      <c r="R781" s="189"/>
      <c r="S781" s="189"/>
      <c r="T781" s="189"/>
      <c r="U781" s="189"/>
      <c r="V781" s="189"/>
      <c r="W781" s="189"/>
    </row>
    <row r="782">
      <c r="A782" s="194"/>
      <c r="B782" s="194"/>
      <c r="C782" s="189"/>
      <c r="D782" s="189"/>
      <c r="E782" s="189"/>
      <c r="F782" s="189"/>
      <c r="G782" s="189"/>
      <c r="H782" s="189"/>
      <c r="I782" s="189"/>
      <c r="J782" s="189"/>
      <c r="K782" s="189"/>
      <c r="L782" s="189"/>
      <c r="M782" s="189"/>
      <c r="N782" s="189"/>
      <c r="O782" s="189"/>
      <c r="P782" s="189"/>
      <c r="Q782" s="189"/>
      <c r="R782" s="189"/>
      <c r="S782" s="189"/>
      <c r="T782" s="189"/>
      <c r="U782" s="189"/>
      <c r="V782" s="189"/>
      <c r="W782" s="189"/>
    </row>
    <row r="783">
      <c r="A783" s="194"/>
      <c r="B783" s="194"/>
      <c r="C783" s="189"/>
      <c r="D783" s="189"/>
      <c r="E783" s="189"/>
      <c r="F783" s="189"/>
      <c r="G783" s="189"/>
      <c r="H783" s="189"/>
      <c r="I783" s="189"/>
      <c r="J783" s="189"/>
      <c r="K783" s="189"/>
      <c r="L783" s="189"/>
      <c r="M783" s="189"/>
      <c r="N783" s="189"/>
      <c r="O783" s="189"/>
      <c r="P783" s="189"/>
      <c r="Q783" s="189"/>
      <c r="R783" s="189"/>
      <c r="S783" s="189"/>
      <c r="T783" s="189"/>
      <c r="U783" s="189"/>
      <c r="V783" s="189"/>
      <c r="W783" s="189"/>
    </row>
    <row r="784">
      <c r="A784" s="194"/>
      <c r="B784" s="194"/>
      <c r="C784" s="189"/>
      <c r="D784" s="189"/>
      <c r="E784" s="189"/>
      <c r="F784" s="189"/>
      <c r="G784" s="189"/>
      <c r="H784" s="189"/>
      <c r="I784" s="189"/>
      <c r="J784" s="189"/>
      <c r="K784" s="189"/>
      <c r="L784" s="189"/>
      <c r="M784" s="189"/>
      <c r="N784" s="189"/>
      <c r="O784" s="189"/>
      <c r="P784" s="189"/>
      <c r="Q784" s="189"/>
      <c r="R784" s="189"/>
      <c r="S784" s="189"/>
      <c r="T784" s="189"/>
      <c r="U784" s="189"/>
      <c r="V784" s="189"/>
      <c r="W784" s="189"/>
    </row>
    <row r="785">
      <c r="A785" s="194"/>
      <c r="B785" s="194"/>
      <c r="C785" s="189"/>
      <c r="D785" s="189"/>
      <c r="E785" s="189"/>
      <c r="F785" s="189"/>
      <c r="G785" s="189"/>
      <c r="H785" s="189"/>
      <c r="I785" s="189"/>
      <c r="J785" s="189"/>
      <c r="K785" s="189"/>
      <c r="L785" s="189"/>
      <c r="M785" s="189"/>
      <c r="N785" s="189"/>
      <c r="O785" s="189"/>
      <c r="P785" s="189"/>
      <c r="Q785" s="189"/>
      <c r="R785" s="189"/>
      <c r="S785" s="189"/>
      <c r="T785" s="189"/>
      <c r="U785" s="189"/>
      <c r="V785" s="189"/>
      <c r="W785" s="189"/>
    </row>
    <row r="786">
      <c r="A786" s="194"/>
      <c r="B786" s="194"/>
      <c r="C786" s="189"/>
      <c r="D786" s="189"/>
      <c r="E786" s="189"/>
      <c r="F786" s="189"/>
      <c r="G786" s="189"/>
      <c r="H786" s="189"/>
      <c r="I786" s="189"/>
      <c r="J786" s="189"/>
      <c r="K786" s="189"/>
      <c r="L786" s="189"/>
      <c r="M786" s="189"/>
      <c r="N786" s="189"/>
      <c r="O786" s="189"/>
      <c r="P786" s="189"/>
      <c r="Q786" s="189"/>
      <c r="R786" s="189"/>
      <c r="S786" s="189"/>
      <c r="T786" s="189"/>
      <c r="U786" s="189"/>
      <c r="V786" s="189"/>
      <c r="W786" s="189"/>
    </row>
    <row r="787">
      <c r="A787" s="194"/>
      <c r="B787" s="194"/>
      <c r="C787" s="189"/>
      <c r="D787" s="189"/>
      <c r="E787" s="189"/>
      <c r="F787" s="189"/>
      <c r="G787" s="189"/>
      <c r="H787" s="189"/>
      <c r="I787" s="189"/>
      <c r="J787" s="189"/>
      <c r="K787" s="189"/>
      <c r="L787" s="189"/>
      <c r="M787" s="189"/>
      <c r="N787" s="189"/>
      <c r="O787" s="189"/>
      <c r="P787" s="189"/>
      <c r="Q787" s="189"/>
      <c r="R787" s="189"/>
      <c r="S787" s="189"/>
      <c r="T787" s="189"/>
      <c r="U787" s="189"/>
      <c r="V787" s="189"/>
      <c r="W787" s="189"/>
    </row>
    <row r="788">
      <c r="A788" s="194"/>
      <c r="B788" s="194"/>
      <c r="C788" s="189"/>
      <c r="D788" s="189"/>
      <c r="E788" s="189"/>
      <c r="F788" s="189"/>
      <c r="G788" s="189"/>
      <c r="H788" s="189"/>
      <c r="I788" s="189"/>
      <c r="J788" s="189"/>
      <c r="K788" s="189"/>
      <c r="L788" s="189"/>
      <c r="M788" s="189"/>
      <c r="N788" s="189"/>
      <c r="O788" s="189"/>
      <c r="P788" s="189"/>
      <c r="Q788" s="189"/>
      <c r="R788" s="189"/>
      <c r="S788" s="189"/>
      <c r="T788" s="189"/>
      <c r="U788" s="189"/>
      <c r="V788" s="189"/>
      <c r="W788" s="189"/>
    </row>
    <row r="789">
      <c r="A789" s="194"/>
      <c r="B789" s="194"/>
      <c r="C789" s="189"/>
      <c r="D789" s="189"/>
      <c r="E789" s="189"/>
      <c r="F789" s="189"/>
      <c r="G789" s="189"/>
      <c r="H789" s="189"/>
      <c r="I789" s="189"/>
      <c r="J789" s="189"/>
      <c r="K789" s="189"/>
      <c r="L789" s="189"/>
      <c r="M789" s="189"/>
      <c r="N789" s="189"/>
      <c r="O789" s="189"/>
      <c r="P789" s="189"/>
      <c r="Q789" s="189"/>
      <c r="R789" s="189"/>
      <c r="S789" s="189"/>
      <c r="T789" s="189"/>
      <c r="U789" s="189"/>
      <c r="V789" s="189"/>
      <c r="W789" s="189"/>
    </row>
    <row r="790">
      <c r="A790" s="194"/>
      <c r="B790" s="194"/>
      <c r="C790" s="189"/>
      <c r="D790" s="189"/>
      <c r="E790" s="189"/>
      <c r="F790" s="189"/>
      <c r="G790" s="189"/>
      <c r="H790" s="189"/>
      <c r="I790" s="189"/>
      <c r="J790" s="189"/>
      <c r="K790" s="189"/>
      <c r="L790" s="189"/>
      <c r="M790" s="189"/>
      <c r="N790" s="189"/>
      <c r="O790" s="189"/>
      <c r="P790" s="189"/>
      <c r="Q790" s="189"/>
      <c r="R790" s="189"/>
      <c r="S790" s="189"/>
      <c r="T790" s="189"/>
      <c r="U790" s="189"/>
      <c r="V790" s="189"/>
      <c r="W790" s="189"/>
    </row>
    <row r="791">
      <c r="A791" s="194"/>
      <c r="B791" s="194"/>
      <c r="C791" s="189"/>
      <c r="D791" s="189"/>
      <c r="E791" s="189"/>
      <c r="F791" s="189"/>
      <c r="G791" s="189"/>
      <c r="H791" s="189"/>
      <c r="I791" s="189"/>
      <c r="J791" s="189"/>
      <c r="K791" s="189"/>
      <c r="L791" s="189"/>
      <c r="M791" s="189"/>
      <c r="N791" s="189"/>
      <c r="O791" s="189"/>
      <c r="P791" s="189"/>
      <c r="Q791" s="189"/>
      <c r="R791" s="189"/>
      <c r="S791" s="189"/>
      <c r="T791" s="189"/>
      <c r="U791" s="189"/>
      <c r="V791" s="189"/>
      <c r="W791" s="189"/>
    </row>
    <row r="792">
      <c r="A792" s="194"/>
      <c r="B792" s="194"/>
      <c r="C792" s="189"/>
      <c r="D792" s="189"/>
      <c r="E792" s="189"/>
      <c r="F792" s="189"/>
      <c r="G792" s="189"/>
      <c r="H792" s="189"/>
      <c r="I792" s="189"/>
      <c r="J792" s="189"/>
      <c r="K792" s="189"/>
      <c r="L792" s="189"/>
      <c r="M792" s="189"/>
      <c r="N792" s="189"/>
      <c r="O792" s="189"/>
      <c r="P792" s="189"/>
      <c r="Q792" s="189"/>
      <c r="R792" s="189"/>
      <c r="S792" s="189"/>
      <c r="T792" s="189"/>
      <c r="U792" s="189"/>
      <c r="V792" s="189"/>
      <c r="W792" s="189"/>
    </row>
    <row r="793">
      <c r="A793" s="194"/>
      <c r="B793" s="194"/>
      <c r="C793" s="189"/>
      <c r="D793" s="189"/>
      <c r="E793" s="189"/>
      <c r="F793" s="189"/>
      <c r="G793" s="189"/>
      <c r="H793" s="189"/>
      <c r="I793" s="189"/>
      <c r="J793" s="189"/>
      <c r="K793" s="189"/>
      <c r="L793" s="189"/>
      <c r="M793" s="189"/>
      <c r="N793" s="189"/>
      <c r="O793" s="189"/>
      <c r="P793" s="189"/>
      <c r="Q793" s="189"/>
      <c r="R793" s="189"/>
      <c r="S793" s="189"/>
      <c r="T793" s="189"/>
      <c r="U793" s="189"/>
      <c r="V793" s="189"/>
      <c r="W793" s="189"/>
    </row>
    <row r="794">
      <c r="A794" s="194"/>
      <c r="B794" s="194"/>
      <c r="C794" s="189"/>
      <c r="D794" s="189"/>
      <c r="E794" s="189"/>
      <c r="F794" s="189"/>
      <c r="G794" s="189"/>
      <c r="H794" s="189"/>
      <c r="I794" s="189"/>
      <c r="J794" s="189"/>
      <c r="K794" s="189"/>
      <c r="L794" s="189"/>
      <c r="M794" s="189"/>
      <c r="N794" s="189"/>
      <c r="O794" s="189"/>
      <c r="P794" s="189"/>
      <c r="Q794" s="189"/>
      <c r="R794" s="189"/>
      <c r="S794" s="189"/>
      <c r="T794" s="189"/>
      <c r="U794" s="189"/>
      <c r="V794" s="189"/>
      <c r="W794" s="189"/>
    </row>
    <row r="795">
      <c r="A795" s="194"/>
      <c r="B795" s="194"/>
      <c r="C795" s="189"/>
      <c r="D795" s="189"/>
      <c r="E795" s="189"/>
      <c r="F795" s="189"/>
      <c r="G795" s="189"/>
      <c r="H795" s="189"/>
      <c r="I795" s="189"/>
      <c r="J795" s="189"/>
      <c r="K795" s="189"/>
      <c r="L795" s="189"/>
      <c r="M795" s="189"/>
      <c r="N795" s="189"/>
      <c r="O795" s="189"/>
      <c r="P795" s="189"/>
      <c r="Q795" s="189"/>
      <c r="R795" s="189"/>
      <c r="S795" s="189"/>
      <c r="T795" s="189"/>
      <c r="U795" s="189"/>
      <c r="V795" s="189"/>
      <c r="W795" s="189"/>
    </row>
    <row r="796">
      <c r="A796" s="194"/>
      <c r="B796" s="194"/>
      <c r="C796" s="189"/>
      <c r="D796" s="189"/>
      <c r="E796" s="189"/>
      <c r="F796" s="189"/>
      <c r="G796" s="189"/>
      <c r="H796" s="189"/>
      <c r="I796" s="189"/>
      <c r="J796" s="189"/>
      <c r="K796" s="189"/>
      <c r="L796" s="189"/>
      <c r="M796" s="189"/>
      <c r="N796" s="189"/>
      <c r="O796" s="189"/>
      <c r="P796" s="189"/>
      <c r="Q796" s="189"/>
      <c r="R796" s="189"/>
      <c r="S796" s="189"/>
      <c r="T796" s="189"/>
      <c r="U796" s="189"/>
      <c r="V796" s="189"/>
      <c r="W796" s="189"/>
    </row>
    <row r="797">
      <c r="A797" s="194"/>
      <c r="B797" s="194"/>
      <c r="C797" s="189"/>
      <c r="D797" s="189"/>
      <c r="E797" s="189"/>
      <c r="F797" s="189"/>
      <c r="G797" s="189"/>
      <c r="H797" s="189"/>
      <c r="I797" s="189"/>
      <c r="J797" s="189"/>
      <c r="K797" s="189"/>
      <c r="L797" s="189"/>
      <c r="M797" s="189"/>
      <c r="N797" s="189"/>
      <c r="O797" s="189"/>
      <c r="P797" s="189"/>
      <c r="Q797" s="189"/>
      <c r="R797" s="189"/>
      <c r="S797" s="189"/>
      <c r="T797" s="189"/>
      <c r="U797" s="189"/>
      <c r="V797" s="189"/>
      <c r="W797" s="189"/>
    </row>
    <row r="798">
      <c r="A798" s="194"/>
      <c r="B798" s="194"/>
      <c r="C798" s="189"/>
      <c r="D798" s="189"/>
      <c r="E798" s="189"/>
      <c r="F798" s="189"/>
      <c r="G798" s="189"/>
      <c r="H798" s="189"/>
      <c r="I798" s="189"/>
      <c r="J798" s="189"/>
      <c r="K798" s="189"/>
      <c r="L798" s="189"/>
      <c r="M798" s="189"/>
      <c r="N798" s="189"/>
      <c r="O798" s="189"/>
      <c r="P798" s="189"/>
      <c r="Q798" s="189"/>
      <c r="R798" s="189"/>
      <c r="S798" s="189"/>
      <c r="T798" s="189"/>
      <c r="U798" s="189"/>
      <c r="V798" s="189"/>
      <c r="W798" s="189"/>
    </row>
    <row r="799">
      <c r="A799" s="194"/>
      <c r="B799" s="194"/>
      <c r="C799" s="189"/>
      <c r="D799" s="189"/>
      <c r="E799" s="189"/>
      <c r="F799" s="189"/>
      <c r="G799" s="189"/>
      <c r="H799" s="189"/>
      <c r="I799" s="189"/>
      <c r="J799" s="189"/>
      <c r="K799" s="189"/>
      <c r="L799" s="189"/>
      <c r="M799" s="189"/>
      <c r="N799" s="189"/>
      <c r="O799" s="189"/>
      <c r="P799" s="189"/>
      <c r="Q799" s="189"/>
      <c r="R799" s="189"/>
      <c r="S799" s="189"/>
      <c r="T799" s="189"/>
      <c r="U799" s="189"/>
      <c r="V799" s="189"/>
      <c r="W799" s="189"/>
    </row>
    <row r="800">
      <c r="A800" s="194"/>
      <c r="B800" s="194"/>
      <c r="C800" s="189"/>
      <c r="D800" s="189"/>
      <c r="E800" s="189"/>
      <c r="F800" s="189"/>
      <c r="G800" s="189"/>
      <c r="H800" s="189"/>
      <c r="I800" s="189"/>
      <c r="J800" s="189"/>
      <c r="K800" s="189"/>
      <c r="L800" s="189"/>
      <c r="M800" s="189"/>
      <c r="N800" s="189"/>
      <c r="O800" s="189"/>
      <c r="P800" s="189"/>
      <c r="Q800" s="189"/>
      <c r="R800" s="189"/>
      <c r="S800" s="189"/>
      <c r="T800" s="189"/>
      <c r="U800" s="189"/>
      <c r="V800" s="189"/>
      <c r="W800" s="189"/>
    </row>
    <row r="801">
      <c r="A801" s="194"/>
      <c r="B801" s="194"/>
      <c r="C801" s="189"/>
      <c r="D801" s="189"/>
      <c r="E801" s="189"/>
      <c r="F801" s="189"/>
      <c r="G801" s="189"/>
      <c r="H801" s="189"/>
      <c r="I801" s="189"/>
      <c r="J801" s="189"/>
      <c r="K801" s="189"/>
      <c r="L801" s="189"/>
      <c r="M801" s="189"/>
      <c r="N801" s="189"/>
      <c r="O801" s="189"/>
      <c r="P801" s="189"/>
      <c r="Q801" s="189"/>
      <c r="R801" s="189"/>
      <c r="S801" s="189"/>
      <c r="T801" s="189"/>
      <c r="U801" s="189"/>
      <c r="V801" s="189"/>
      <c r="W801" s="189"/>
    </row>
    <row r="802">
      <c r="A802" s="194"/>
      <c r="B802" s="194"/>
      <c r="C802" s="189"/>
      <c r="D802" s="189"/>
      <c r="E802" s="189"/>
      <c r="F802" s="189"/>
      <c r="G802" s="189"/>
      <c r="H802" s="189"/>
      <c r="I802" s="189"/>
      <c r="J802" s="189"/>
      <c r="K802" s="189"/>
      <c r="L802" s="189"/>
      <c r="M802" s="189"/>
      <c r="N802" s="189"/>
      <c r="O802" s="189"/>
      <c r="P802" s="189"/>
      <c r="Q802" s="189"/>
      <c r="R802" s="189"/>
      <c r="S802" s="189"/>
      <c r="T802" s="189"/>
      <c r="U802" s="189"/>
      <c r="V802" s="189"/>
      <c r="W802" s="189"/>
    </row>
    <row r="803">
      <c r="A803" s="194"/>
      <c r="B803" s="194"/>
      <c r="C803" s="189"/>
      <c r="D803" s="189"/>
      <c r="E803" s="189"/>
      <c r="F803" s="189"/>
      <c r="G803" s="189"/>
      <c r="H803" s="189"/>
      <c r="I803" s="189"/>
      <c r="J803" s="189"/>
      <c r="K803" s="189"/>
      <c r="L803" s="189"/>
      <c r="M803" s="189"/>
      <c r="N803" s="189"/>
      <c r="O803" s="189"/>
      <c r="P803" s="189"/>
      <c r="Q803" s="189"/>
      <c r="R803" s="189"/>
      <c r="S803" s="189"/>
      <c r="T803" s="189"/>
      <c r="U803" s="189"/>
      <c r="V803" s="189"/>
      <c r="W803" s="189"/>
    </row>
    <row r="804">
      <c r="A804" s="194"/>
      <c r="B804" s="194"/>
      <c r="C804" s="189"/>
      <c r="D804" s="189"/>
      <c r="E804" s="189"/>
      <c r="F804" s="189"/>
      <c r="G804" s="189"/>
      <c r="H804" s="189"/>
      <c r="I804" s="189"/>
      <c r="J804" s="189"/>
      <c r="K804" s="189"/>
      <c r="L804" s="189"/>
      <c r="M804" s="189"/>
      <c r="N804" s="189"/>
      <c r="O804" s="189"/>
      <c r="P804" s="189"/>
      <c r="Q804" s="189"/>
      <c r="R804" s="189"/>
      <c r="S804" s="189"/>
      <c r="T804" s="189"/>
      <c r="U804" s="189"/>
      <c r="V804" s="189"/>
      <c r="W804" s="189"/>
    </row>
    <row r="805">
      <c r="A805" s="194"/>
      <c r="B805" s="194"/>
      <c r="C805" s="189"/>
      <c r="D805" s="189"/>
      <c r="E805" s="189"/>
      <c r="F805" s="189"/>
      <c r="G805" s="189"/>
      <c r="H805" s="189"/>
      <c r="I805" s="189"/>
      <c r="J805" s="189"/>
      <c r="K805" s="189"/>
      <c r="L805" s="189"/>
      <c r="M805" s="189"/>
      <c r="N805" s="189"/>
      <c r="O805" s="189"/>
      <c r="P805" s="189"/>
      <c r="Q805" s="189"/>
      <c r="R805" s="189"/>
      <c r="S805" s="189"/>
      <c r="T805" s="189"/>
      <c r="U805" s="189"/>
      <c r="V805" s="189"/>
      <c r="W805" s="189"/>
    </row>
    <row r="806">
      <c r="A806" s="194"/>
      <c r="B806" s="194"/>
      <c r="C806" s="189"/>
      <c r="D806" s="189"/>
      <c r="E806" s="189"/>
      <c r="F806" s="189"/>
      <c r="G806" s="189"/>
      <c r="H806" s="189"/>
      <c r="I806" s="189"/>
      <c r="J806" s="189"/>
      <c r="K806" s="189"/>
      <c r="L806" s="189"/>
      <c r="M806" s="189"/>
      <c r="N806" s="189"/>
      <c r="O806" s="189"/>
      <c r="P806" s="189"/>
      <c r="Q806" s="189"/>
      <c r="R806" s="189"/>
      <c r="S806" s="189"/>
      <c r="T806" s="189"/>
      <c r="U806" s="189"/>
      <c r="V806" s="189"/>
      <c r="W806" s="189"/>
    </row>
    <row r="807">
      <c r="A807" s="194"/>
      <c r="B807" s="194"/>
      <c r="C807" s="189"/>
      <c r="D807" s="189"/>
      <c r="E807" s="189"/>
      <c r="F807" s="189"/>
      <c r="G807" s="189"/>
      <c r="H807" s="189"/>
      <c r="I807" s="189"/>
      <c r="J807" s="189"/>
      <c r="K807" s="189"/>
      <c r="L807" s="189"/>
      <c r="M807" s="189"/>
      <c r="N807" s="189"/>
      <c r="O807" s="189"/>
      <c r="P807" s="189"/>
      <c r="Q807" s="189"/>
      <c r="R807" s="189"/>
      <c r="S807" s="189"/>
      <c r="T807" s="189"/>
      <c r="U807" s="189"/>
      <c r="V807" s="189"/>
      <c r="W807" s="189"/>
    </row>
    <row r="808">
      <c r="A808" s="194"/>
      <c r="B808" s="194"/>
      <c r="C808" s="189"/>
      <c r="D808" s="189"/>
      <c r="E808" s="189"/>
      <c r="F808" s="189"/>
      <c r="G808" s="189"/>
      <c r="H808" s="189"/>
      <c r="I808" s="189"/>
      <c r="J808" s="189"/>
      <c r="K808" s="189"/>
      <c r="L808" s="189"/>
      <c r="M808" s="189"/>
      <c r="N808" s="189"/>
      <c r="O808" s="189"/>
      <c r="P808" s="189"/>
      <c r="Q808" s="189"/>
      <c r="R808" s="189"/>
      <c r="S808" s="189"/>
      <c r="T808" s="189"/>
      <c r="U808" s="189"/>
      <c r="V808" s="189"/>
      <c r="W808" s="189"/>
    </row>
    <row r="809">
      <c r="A809" s="194"/>
      <c r="B809" s="194"/>
      <c r="C809" s="189"/>
      <c r="D809" s="189"/>
      <c r="E809" s="189"/>
      <c r="F809" s="189"/>
      <c r="G809" s="189"/>
      <c r="H809" s="189"/>
      <c r="I809" s="189"/>
      <c r="J809" s="189"/>
      <c r="K809" s="189"/>
      <c r="L809" s="189"/>
      <c r="M809" s="189"/>
      <c r="N809" s="189"/>
      <c r="O809" s="189"/>
      <c r="P809" s="189"/>
      <c r="Q809" s="189"/>
      <c r="R809" s="189"/>
      <c r="S809" s="189"/>
      <c r="T809" s="189"/>
      <c r="U809" s="189"/>
      <c r="V809" s="189"/>
      <c r="W809" s="189"/>
    </row>
    <row r="810">
      <c r="A810" s="194"/>
      <c r="B810" s="194"/>
      <c r="C810" s="189"/>
      <c r="D810" s="189"/>
      <c r="E810" s="189"/>
      <c r="F810" s="189"/>
      <c r="G810" s="189"/>
      <c r="H810" s="189"/>
      <c r="I810" s="189"/>
      <c r="J810" s="189"/>
      <c r="K810" s="189"/>
      <c r="L810" s="189"/>
      <c r="M810" s="189"/>
      <c r="N810" s="189"/>
      <c r="O810" s="189"/>
      <c r="P810" s="189"/>
      <c r="Q810" s="189"/>
      <c r="R810" s="189"/>
      <c r="S810" s="189"/>
      <c r="T810" s="189"/>
      <c r="U810" s="189"/>
      <c r="V810" s="189"/>
      <c r="W810" s="189"/>
    </row>
    <row r="811">
      <c r="A811" s="194"/>
      <c r="B811" s="194"/>
      <c r="C811" s="189"/>
      <c r="D811" s="189"/>
      <c r="E811" s="189"/>
      <c r="F811" s="189"/>
      <c r="G811" s="189"/>
      <c r="H811" s="189"/>
      <c r="I811" s="189"/>
      <c r="J811" s="189"/>
      <c r="K811" s="189"/>
      <c r="L811" s="189"/>
      <c r="M811" s="189"/>
      <c r="N811" s="189"/>
      <c r="O811" s="189"/>
      <c r="P811" s="189"/>
      <c r="Q811" s="189"/>
      <c r="R811" s="189"/>
      <c r="S811" s="189"/>
      <c r="T811" s="189"/>
      <c r="U811" s="189"/>
      <c r="V811" s="189"/>
      <c r="W811" s="189"/>
    </row>
    <row r="812">
      <c r="A812" s="194"/>
      <c r="B812" s="194"/>
      <c r="C812" s="189"/>
      <c r="D812" s="189"/>
      <c r="E812" s="189"/>
      <c r="F812" s="189"/>
      <c r="G812" s="189"/>
      <c r="H812" s="189"/>
      <c r="I812" s="189"/>
      <c r="J812" s="189"/>
      <c r="K812" s="189"/>
      <c r="L812" s="189"/>
      <c r="M812" s="189"/>
      <c r="N812" s="189"/>
      <c r="O812" s="189"/>
      <c r="P812" s="189"/>
      <c r="Q812" s="189"/>
      <c r="R812" s="189"/>
      <c r="S812" s="189"/>
      <c r="T812" s="189"/>
      <c r="U812" s="189"/>
      <c r="V812" s="189"/>
      <c r="W812" s="189"/>
    </row>
    <row r="813">
      <c r="A813" s="194"/>
      <c r="B813" s="194"/>
      <c r="C813" s="189"/>
      <c r="D813" s="189"/>
      <c r="E813" s="189"/>
      <c r="F813" s="189"/>
      <c r="G813" s="189"/>
      <c r="H813" s="189"/>
      <c r="I813" s="189"/>
      <c r="J813" s="189"/>
      <c r="K813" s="189"/>
      <c r="L813" s="189"/>
      <c r="M813" s="189"/>
      <c r="N813" s="189"/>
      <c r="O813" s="189"/>
      <c r="P813" s="189"/>
      <c r="Q813" s="189"/>
      <c r="R813" s="189"/>
      <c r="S813" s="189"/>
      <c r="T813" s="189"/>
      <c r="U813" s="189"/>
      <c r="V813" s="189"/>
      <c r="W813" s="189"/>
    </row>
    <row r="814">
      <c r="A814" s="194"/>
      <c r="B814" s="194"/>
      <c r="C814" s="189"/>
      <c r="D814" s="189"/>
      <c r="E814" s="189"/>
      <c r="F814" s="189"/>
      <c r="G814" s="189"/>
      <c r="H814" s="189"/>
      <c r="I814" s="189"/>
      <c r="J814" s="189"/>
      <c r="K814" s="189"/>
      <c r="L814" s="189"/>
      <c r="M814" s="189"/>
      <c r="N814" s="189"/>
      <c r="O814" s="189"/>
      <c r="P814" s="189"/>
      <c r="Q814" s="189"/>
      <c r="R814" s="189"/>
      <c r="S814" s="189"/>
      <c r="T814" s="189"/>
      <c r="U814" s="189"/>
      <c r="V814" s="189"/>
      <c r="W814" s="189"/>
    </row>
    <row r="815">
      <c r="A815" s="194"/>
      <c r="B815" s="194"/>
      <c r="C815" s="189"/>
      <c r="D815" s="189"/>
      <c r="E815" s="189"/>
      <c r="F815" s="189"/>
      <c r="G815" s="189"/>
      <c r="H815" s="189"/>
      <c r="I815" s="189"/>
      <c r="J815" s="189"/>
      <c r="K815" s="189"/>
      <c r="L815" s="189"/>
      <c r="M815" s="189"/>
      <c r="N815" s="189"/>
      <c r="O815" s="189"/>
      <c r="P815" s="189"/>
      <c r="Q815" s="189"/>
      <c r="R815" s="189"/>
      <c r="S815" s="189"/>
      <c r="T815" s="189"/>
      <c r="U815" s="189"/>
      <c r="V815" s="189"/>
      <c r="W815" s="189"/>
    </row>
    <row r="816">
      <c r="A816" s="194"/>
      <c r="B816" s="194"/>
      <c r="C816" s="189"/>
      <c r="D816" s="189"/>
      <c r="E816" s="189"/>
      <c r="F816" s="189"/>
      <c r="G816" s="189"/>
      <c r="H816" s="189"/>
      <c r="I816" s="189"/>
      <c r="J816" s="189"/>
      <c r="K816" s="189"/>
      <c r="L816" s="189"/>
      <c r="M816" s="189"/>
      <c r="N816" s="189"/>
      <c r="O816" s="189"/>
      <c r="P816" s="189"/>
      <c r="Q816" s="189"/>
      <c r="R816" s="189"/>
      <c r="S816" s="189"/>
      <c r="T816" s="189"/>
      <c r="U816" s="189"/>
      <c r="V816" s="189"/>
      <c r="W816" s="189"/>
    </row>
    <row r="817">
      <c r="A817" s="194"/>
      <c r="B817" s="194"/>
      <c r="C817" s="189"/>
      <c r="D817" s="189"/>
      <c r="E817" s="189"/>
      <c r="F817" s="189"/>
      <c r="G817" s="189"/>
      <c r="H817" s="189"/>
      <c r="I817" s="189"/>
      <c r="J817" s="189"/>
      <c r="K817" s="189"/>
      <c r="L817" s="189"/>
      <c r="M817" s="189"/>
      <c r="N817" s="189"/>
      <c r="O817" s="189"/>
      <c r="P817" s="189"/>
      <c r="Q817" s="189"/>
      <c r="R817" s="189"/>
      <c r="S817" s="189"/>
      <c r="T817" s="189"/>
      <c r="U817" s="189"/>
      <c r="V817" s="189"/>
      <c r="W817" s="189"/>
    </row>
    <row r="818">
      <c r="A818" s="194"/>
      <c r="B818" s="194"/>
      <c r="C818" s="189"/>
      <c r="D818" s="189"/>
      <c r="E818" s="189"/>
      <c r="F818" s="189"/>
      <c r="G818" s="189"/>
      <c r="H818" s="189"/>
      <c r="I818" s="189"/>
      <c r="J818" s="189"/>
      <c r="K818" s="189"/>
      <c r="L818" s="189"/>
      <c r="M818" s="189"/>
      <c r="N818" s="189"/>
      <c r="O818" s="189"/>
      <c r="P818" s="189"/>
      <c r="Q818" s="189"/>
      <c r="R818" s="189"/>
      <c r="S818" s="189"/>
      <c r="T818" s="189"/>
      <c r="U818" s="189"/>
      <c r="V818" s="189"/>
      <c r="W818" s="189"/>
    </row>
    <row r="819">
      <c r="A819" s="194"/>
      <c r="B819" s="194"/>
      <c r="C819" s="189"/>
      <c r="D819" s="189"/>
      <c r="E819" s="189"/>
      <c r="F819" s="189"/>
      <c r="G819" s="189"/>
      <c r="H819" s="189"/>
      <c r="I819" s="189"/>
      <c r="J819" s="189"/>
      <c r="K819" s="189"/>
      <c r="L819" s="189"/>
      <c r="M819" s="189"/>
      <c r="N819" s="189"/>
      <c r="O819" s="189"/>
      <c r="P819" s="189"/>
      <c r="Q819" s="189"/>
      <c r="R819" s="189"/>
      <c r="S819" s="189"/>
      <c r="T819" s="189"/>
      <c r="U819" s="189"/>
      <c r="V819" s="189"/>
      <c r="W819" s="189"/>
    </row>
    <row r="820">
      <c r="A820" s="194"/>
      <c r="B820" s="194"/>
      <c r="C820" s="189"/>
      <c r="D820" s="189"/>
      <c r="E820" s="189"/>
      <c r="F820" s="189"/>
      <c r="G820" s="189"/>
      <c r="H820" s="189"/>
      <c r="I820" s="189"/>
      <c r="J820" s="189"/>
      <c r="K820" s="189"/>
      <c r="L820" s="189"/>
      <c r="M820" s="189"/>
      <c r="N820" s="189"/>
      <c r="O820" s="189"/>
      <c r="P820" s="189"/>
      <c r="Q820" s="189"/>
      <c r="R820" s="189"/>
      <c r="S820" s="189"/>
      <c r="T820" s="189"/>
      <c r="U820" s="189"/>
      <c r="V820" s="189"/>
      <c r="W820" s="189"/>
    </row>
    <row r="821">
      <c r="A821" s="194"/>
      <c r="B821" s="194"/>
      <c r="C821" s="189"/>
      <c r="D821" s="189"/>
      <c r="E821" s="189"/>
      <c r="F821" s="189"/>
      <c r="G821" s="189"/>
      <c r="H821" s="189"/>
      <c r="I821" s="189"/>
      <c r="J821" s="189"/>
      <c r="K821" s="189"/>
      <c r="L821" s="189"/>
      <c r="M821" s="189"/>
      <c r="N821" s="189"/>
      <c r="O821" s="189"/>
      <c r="P821" s="189"/>
      <c r="Q821" s="189"/>
      <c r="R821" s="189"/>
      <c r="S821" s="189"/>
      <c r="T821" s="189"/>
      <c r="U821" s="189"/>
      <c r="V821" s="189"/>
      <c r="W821" s="189"/>
    </row>
    <row r="822">
      <c r="A822" s="194"/>
      <c r="B822" s="194"/>
      <c r="C822" s="189"/>
      <c r="D822" s="189"/>
      <c r="E822" s="189"/>
      <c r="F822" s="189"/>
      <c r="G822" s="189"/>
      <c r="H822" s="189"/>
      <c r="I822" s="189"/>
      <c r="J822" s="189"/>
      <c r="K822" s="189"/>
      <c r="L822" s="189"/>
      <c r="M822" s="189"/>
      <c r="N822" s="189"/>
      <c r="O822" s="189"/>
      <c r="P822" s="189"/>
      <c r="Q822" s="189"/>
      <c r="R822" s="189"/>
      <c r="S822" s="189"/>
      <c r="T822" s="189"/>
      <c r="U822" s="189"/>
      <c r="V822" s="189"/>
      <c r="W822" s="189"/>
    </row>
    <row r="823">
      <c r="A823" s="194"/>
      <c r="B823" s="194"/>
      <c r="C823" s="189"/>
      <c r="D823" s="189"/>
      <c r="E823" s="189"/>
      <c r="F823" s="189"/>
      <c r="G823" s="189"/>
      <c r="H823" s="189"/>
      <c r="I823" s="189"/>
      <c r="J823" s="189"/>
      <c r="K823" s="189"/>
      <c r="L823" s="189"/>
      <c r="M823" s="189"/>
      <c r="N823" s="189"/>
      <c r="O823" s="189"/>
      <c r="P823" s="189"/>
      <c r="Q823" s="189"/>
      <c r="R823" s="189"/>
      <c r="S823" s="189"/>
      <c r="T823" s="189"/>
      <c r="U823" s="189"/>
      <c r="V823" s="189"/>
      <c r="W823" s="189"/>
    </row>
    <row r="824">
      <c r="A824" s="194"/>
      <c r="B824" s="194"/>
      <c r="C824" s="189"/>
      <c r="D824" s="189"/>
      <c r="E824" s="189"/>
      <c r="F824" s="189"/>
      <c r="G824" s="189"/>
      <c r="H824" s="189"/>
      <c r="I824" s="189"/>
      <c r="J824" s="189"/>
      <c r="K824" s="189"/>
      <c r="L824" s="189"/>
      <c r="M824" s="189"/>
      <c r="N824" s="189"/>
      <c r="O824" s="189"/>
      <c r="P824" s="189"/>
      <c r="Q824" s="189"/>
      <c r="R824" s="189"/>
      <c r="S824" s="189"/>
      <c r="T824" s="189"/>
      <c r="U824" s="189"/>
      <c r="V824" s="189"/>
      <c r="W824" s="189"/>
    </row>
    <row r="825">
      <c r="A825" s="194"/>
      <c r="B825" s="194"/>
      <c r="C825" s="189"/>
      <c r="D825" s="189"/>
      <c r="E825" s="189"/>
      <c r="F825" s="189"/>
      <c r="G825" s="189"/>
      <c r="H825" s="189"/>
      <c r="I825" s="189"/>
      <c r="J825" s="189"/>
      <c r="K825" s="189"/>
      <c r="L825" s="189"/>
      <c r="M825" s="189"/>
      <c r="N825" s="189"/>
      <c r="O825" s="189"/>
      <c r="P825" s="189"/>
      <c r="Q825" s="189"/>
      <c r="R825" s="189"/>
      <c r="S825" s="189"/>
      <c r="T825" s="189"/>
      <c r="U825" s="189"/>
      <c r="V825" s="189"/>
      <c r="W825" s="189"/>
    </row>
    <row r="826">
      <c r="A826" s="194"/>
      <c r="B826" s="194"/>
      <c r="C826" s="189"/>
      <c r="D826" s="189"/>
      <c r="E826" s="189"/>
      <c r="F826" s="189"/>
      <c r="G826" s="189"/>
      <c r="H826" s="189"/>
      <c r="I826" s="189"/>
      <c r="J826" s="189"/>
      <c r="K826" s="189"/>
      <c r="L826" s="189"/>
      <c r="M826" s="189"/>
      <c r="N826" s="189"/>
      <c r="O826" s="189"/>
      <c r="P826" s="189"/>
      <c r="Q826" s="189"/>
      <c r="R826" s="189"/>
      <c r="S826" s="189"/>
      <c r="T826" s="189"/>
      <c r="U826" s="189"/>
      <c r="V826" s="189"/>
      <c r="W826" s="189"/>
    </row>
    <row r="827">
      <c r="A827" s="194"/>
      <c r="B827" s="194"/>
      <c r="C827" s="189"/>
      <c r="D827" s="189"/>
      <c r="E827" s="189"/>
      <c r="F827" s="189"/>
      <c r="G827" s="189"/>
      <c r="H827" s="189"/>
      <c r="I827" s="189"/>
      <c r="J827" s="189"/>
      <c r="K827" s="189"/>
      <c r="L827" s="189"/>
      <c r="M827" s="189"/>
      <c r="N827" s="189"/>
      <c r="O827" s="189"/>
      <c r="P827" s="189"/>
      <c r="Q827" s="189"/>
      <c r="R827" s="189"/>
      <c r="S827" s="189"/>
      <c r="T827" s="189"/>
      <c r="U827" s="189"/>
      <c r="V827" s="189"/>
      <c r="W827" s="189"/>
    </row>
    <row r="828">
      <c r="A828" s="194"/>
      <c r="B828" s="194"/>
      <c r="C828" s="189"/>
      <c r="D828" s="189"/>
      <c r="E828" s="189"/>
      <c r="F828" s="189"/>
      <c r="G828" s="189"/>
      <c r="H828" s="189"/>
      <c r="I828" s="189"/>
      <c r="J828" s="189"/>
      <c r="K828" s="189"/>
      <c r="L828" s="189"/>
      <c r="M828" s="189"/>
      <c r="N828" s="189"/>
      <c r="O828" s="189"/>
      <c r="P828" s="189"/>
      <c r="Q828" s="189"/>
      <c r="R828" s="189"/>
      <c r="S828" s="189"/>
      <c r="T828" s="189"/>
      <c r="U828" s="189"/>
      <c r="V828" s="189"/>
      <c r="W828" s="189"/>
    </row>
    <row r="829">
      <c r="A829" s="194"/>
      <c r="B829" s="194"/>
      <c r="C829" s="189"/>
      <c r="D829" s="189"/>
      <c r="E829" s="189"/>
      <c r="F829" s="189"/>
      <c r="G829" s="189"/>
      <c r="H829" s="189"/>
      <c r="I829" s="189"/>
      <c r="J829" s="189"/>
      <c r="K829" s="189"/>
      <c r="L829" s="189"/>
      <c r="M829" s="189"/>
      <c r="N829" s="189"/>
      <c r="O829" s="189"/>
      <c r="P829" s="189"/>
      <c r="Q829" s="189"/>
      <c r="R829" s="189"/>
      <c r="S829" s="189"/>
      <c r="T829" s="189"/>
      <c r="U829" s="189"/>
      <c r="V829" s="189"/>
      <c r="W829" s="189"/>
    </row>
    <row r="830">
      <c r="A830" s="194"/>
      <c r="B830" s="194"/>
      <c r="C830" s="189"/>
      <c r="D830" s="189"/>
      <c r="E830" s="189"/>
      <c r="F830" s="189"/>
      <c r="G830" s="189"/>
      <c r="H830" s="189"/>
      <c r="I830" s="189"/>
      <c r="J830" s="189"/>
      <c r="K830" s="189"/>
      <c r="L830" s="189"/>
      <c r="M830" s="189"/>
      <c r="N830" s="189"/>
      <c r="O830" s="189"/>
      <c r="P830" s="189"/>
      <c r="Q830" s="189"/>
      <c r="R830" s="189"/>
      <c r="S830" s="189"/>
      <c r="T830" s="189"/>
      <c r="U830" s="189"/>
      <c r="V830" s="189"/>
      <c r="W830" s="189"/>
    </row>
    <row r="831">
      <c r="A831" s="194"/>
      <c r="B831" s="194"/>
      <c r="C831" s="189"/>
      <c r="D831" s="189"/>
      <c r="E831" s="189"/>
      <c r="F831" s="189"/>
      <c r="G831" s="189"/>
      <c r="H831" s="189"/>
      <c r="I831" s="189"/>
      <c r="J831" s="189"/>
      <c r="K831" s="189"/>
      <c r="L831" s="189"/>
      <c r="M831" s="189"/>
      <c r="N831" s="189"/>
      <c r="O831" s="189"/>
      <c r="P831" s="189"/>
      <c r="Q831" s="189"/>
      <c r="R831" s="189"/>
      <c r="S831" s="189"/>
      <c r="T831" s="189"/>
      <c r="U831" s="189"/>
      <c r="V831" s="189"/>
      <c r="W831" s="189"/>
    </row>
    <row r="832">
      <c r="A832" s="194"/>
      <c r="B832" s="194"/>
      <c r="C832" s="189"/>
      <c r="D832" s="189"/>
      <c r="E832" s="189"/>
      <c r="F832" s="189"/>
      <c r="G832" s="189"/>
      <c r="H832" s="189"/>
      <c r="I832" s="189"/>
      <c r="J832" s="189"/>
      <c r="K832" s="189"/>
      <c r="L832" s="189"/>
      <c r="M832" s="189"/>
      <c r="N832" s="189"/>
      <c r="O832" s="189"/>
      <c r="P832" s="189"/>
      <c r="Q832" s="189"/>
      <c r="R832" s="189"/>
      <c r="S832" s="189"/>
      <c r="T832" s="189"/>
      <c r="U832" s="189"/>
      <c r="V832" s="189"/>
      <c r="W832" s="189"/>
    </row>
    <row r="833">
      <c r="A833" s="194"/>
      <c r="B833" s="194"/>
      <c r="C833" s="189"/>
      <c r="D833" s="189"/>
      <c r="E833" s="189"/>
      <c r="F833" s="189"/>
      <c r="G833" s="189"/>
      <c r="H833" s="189"/>
      <c r="I833" s="189"/>
      <c r="J833" s="189"/>
      <c r="K833" s="189"/>
      <c r="L833" s="189"/>
      <c r="M833" s="189"/>
      <c r="N833" s="189"/>
      <c r="O833" s="189"/>
      <c r="P833" s="189"/>
      <c r="Q833" s="189"/>
      <c r="R833" s="189"/>
      <c r="S833" s="189"/>
      <c r="T833" s="189"/>
      <c r="U833" s="189"/>
      <c r="V833" s="189"/>
      <c r="W833" s="189"/>
    </row>
    <row r="834">
      <c r="A834" s="194"/>
      <c r="B834" s="194"/>
      <c r="C834" s="189"/>
      <c r="D834" s="189"/>
      <c r="E834" s="189"/>
      <c r="F834" s="189"/>
      <c r="G834" s="189"/>
      <c r="H834" s="189"/>
      <c r="I834" s="189"/>
      <c r="J834" s="189"/>
      <c r="K834" s="189"/>
      <c r="L834" s="189"/>
      <c r="M834" s="189"/>
      <c r="N834" s="189"/>
      <c r="O834" s="189"/>
      <c r="P834" s="189"/>
      <c r="Q834" s="189"/>
      <c r="R834" s="189"/>
      <c r="S834" s="189"/>
      <c r="T834" s="189"/>
      <c r="U834" s="189"/>
      <c r="V834" s="189"/>
      <c r="W834" s="189"/>
    </row>
    <row r="835">
      <c r="A835" s="194"/>
      <c r="B835" s="194"/>
      <c r="C835" s="189"/>
      <c r="D835" s="189"/>
      <c r="E835" s="189"/>
      <c r="F835" s="189"/>
      <c r="G835" s="189"/>
      <c r="H835" s="189"/>
      <c r="I835" s="189"/>
      <c r="J835" s="189"/>
      <c r="K835" s="189"/>
      <c r="L835" s="189"/>
      <c r="M835" s="189"/>
      <c r="N835" s="189"/>
      <c r="O835" s="189"/>
      <c r="P835" s="189"/>
      <c r="Q835" s="189"/>
      <c r="R835" s="189"/>
      <c r="S835" s="189"/>
      <c r="T835" s="189"/>
      <c r="U835" s="189"/>
      <c r="V835" s="189"/>
      <c r="W835" s="189"/>
    </row>
    <row r="836">
      <c r="A836" s="194"/>
      <c r="B836" s="194"/>
      <c r="C836" s="189"/>
      <c r="D836" s="189"/>
      <c r="E836" s="189"/>
      <c r="F836" s="189"/>
      <c r="G836" s="189"/>
      <c r="H836" s="189"/>
      <c r="I836" s="189"/>
      <c r="J836" s="189"/>
      <c r="K836" s="189"/>
      <c r="L836" s="189"/>
      <c r="M836" s="189"/>
      <c r="N836" s="189"/>
      <c r="O836" s="189"/>
      <c r="P836" s="189"/>
      <c r="Q836" s="189"/>
      <c r="R836" s="189"/>
      <c r="S836" s="189"/>
      <c r="T836" s="189"/>
      <c r="U836" s="189"/>
      <c r="V836" s="189"/>
      <c r="W836" s="189"/>
    </row>
    <row r="837">
      <c r="A837" s="194"/>
      <c r="B837" s="194"/>
      <c r="C837" s="189"/>
      <c r="D837" s="189"/>
      <c r="E837" s="189"/>
      <c r="F837" s="189"/>
      <c r="G837" s="189"/>
      <c r="H837" s="189"/>
      <c r="I837" s="189"/>
      <c r="J837" s="189"/>
      <c r="K837" s="189"/>
      <c r="L837" s="189"/>
      <c r="M837" s="189"/>
      <c r="N837" s="189"/>
      <c r="O837" s="189"/>
      <c r="P837" s="189"/>
      <c r="Q837" s="189"/>
      <c r="R837" s="189"/>
      <c r="S837" s="189"/>
      <c r="T837" s="189"/>
      <c r="U837" s="189"/>
      <c r="V837" s="189"/>
      <c r="W837" s="189"/>
    </row>
    <row r="838">
      <c r="A838" s="194"/>
      <c r="B838" s="194"/>
      <c r="C838" s="189"/>
      <c r="D838" s="189"/>
      <c r="E838" s="189"/>
      <c r="F838" s="189"/>
      <c r="G838" s="189"/>
      <c r="H838" s="189"/>
      <c r="I838" s="189"/>
      <c r="J838" s="189"/>
      <c r="K838" s="189"/>
      <c r="L838" s="189"/>
      <c r="M838" s="189"/>
      <c r="N838" s="189"/>
      <c r="O838" s="189"/>
      <c r="P838" s="189"/>
      <c r="Q838" s="189"/>
      <c r="R838" s="189"/>
      <c r="S838" s="189"/>
      <c r="T838" s="189"/>
      <c r="U838" s="189"/>
      <c r="V838" s="189"/>
      <c r="W838" s="189"/>
    </row>
    <row r="839">
      <c r="A839" s="194"/>
      <c r="B839" s="194"/>
      <c r="C839" s="189"/>
      <c r="D839" s="189"/>
      <c r="E839" s="189"/>
      <c r="F839" s="189"/>
      <c r="G839" s="189"/>
      <c r="H839" s="189"/>
      <c r="I839" s="189"/>
      <c r="J839" s="189"/>
      <c r="K839" s="189"/>
      <c r="L839" s="189"/>
      <c r="M839" s="189"/>
      <c r="N839" s="189"/>
      <c r="O839" s="189"/>
      <c r="P839" s="189"/>
      <c r="Q839" s="189"/>
      <c r="R839" s="189"/>
      <c r="S839" s="189"/>
      <c r="T839" s="189"/>
      <c r="U839" s="189"/>
      <c r="V839" s="189"/>
      <c r="W839" s="189"/>
    </row>
    <row r="840">
      <c r="A840" s="194"/>
      <c r="B840" s="194"/>
      <c r="C840" s="189"/>
      <c r="D840" s="189"/>
      <c r="E840" s="189"/>
      <c r="F840" s="189"/>
      <c r="G840" s="189"/>
      <c r="H840" s="189"/>
      <c r="I840" s="189"/>
      <c r="J840" s="189"/>
      <c r="K840" s="189"/>
      <c r="L840" s="189"/>
      <c r="M840" s="189"/>
      <c r="N840" s="189"/>
      <c r="O840" s="189"/>
      <c r="P840" s="189"/>
      <c r="Q840" s="189"/>
      <c r="R840" s="189"/>
      <c r="S840" s="189"/>
      <c r="T840" s="189"/>
      <c r="U840" s="189"/>
      <c r="V840" s="189"/>
      <c r="W840" s="189"/>
    </row>
    <row r="841">
      <c r="A841" s="194"/>
      <c r="B841" s="194"/>
      <c r="C841" s="189"/>
      <c r="D841" s="189"/>
      <c r="E841" s="189"/>
      <c r="F841" s="189"/>
      <c r="G841" s="189"/>
      <c r="H841" s="189"/>
      <c r="I841" s="189"/>
      <c r="J841" s="189"/>
      <c r="K841" s="189"/>
      <c r="L841" s="189"/>
      <c r="M841" s="189"/>
      <c r="N841" s="189"/>
      <c r="O841" s="189"/>
      <c r="P841" s="189"/>
      <c r="Q841" s="189"/>
      <c r="R841" s="189"/>
      <c r="S841" s="189"/>
      <c r="T841" s="189"/>
      <c r="U841" s="189"/>
      <c r="V841" s="189"/>
      <c r="W841" s="189"/>
    </row>
    <row r="842">
      <c r="A842" s="194"/>
      <c r="B842" s="194"/>
      <c r="C842" s="189"/>
      <c r="D842" s="189"/>
      <c r="E842" s="189"/>
      <c r="F842" s="189"/>
      <c r="G842" s="189"/>
      <c r="H842" s="189"/>
      <c r="I842" s="189"/>
      <c r="J842" s="189"/>
      <c r="K842" s="189"/>
      <c r="L842" s="189"/>
      <c r="M842" s="189"/>
      <c r="N842" s="189"/>
      <c r="O842" s="189"/>
      <c r="P842" s="189"/>
      <c r="Q842" s="189"/>
      <c r="R842" s="189"/>
      <c r="S842" s="189"/>
      <c r="T842" s="189"/>
      <c r="U842" s="189"/>
      <c r="V842" s="189"/>
      <c r="W842" s="189"/>
    </row>
    <row r="843">
      <c r="A843" s="194"/>
      <c r="B843" s="194"/>
      <c r="C843" s="189"/>
      <c r="D843" s="189"/>
      <c r="E843" s="189"/>
      <c r="F843" s="189"/>
      <c r="G843" s="189"/>
      <c r="H843" s="189"/>
      <c r="I843" s="189"/>
      <c r="J843" s="189"/>
      <c r="K843" s="189"/>
      <c r="L843" s="189"/>
      <c r="M843" s="189"/>
      <c r="N843" s="189"/>
      <c r="O843" s="189"/>
      <c r="P843" s="189"/>
      <c r="Q843" s="189"/>
      <c r="R843" s="189"/>
      <c r="S843" s="189"/>
      <c r="T843" s="189"/>
      <c r="U843" s="189"/>
      <c r="V843" s="189"/>
      <c r="W843" s="189"/>
    </row>
    <row r="844">
      <c r="A844" s="194"/>
      <c r="B844" s="194"/>
      <c r="C844" s="189"/>
      <c r="D844" s="189"/>
      <c r="E844" s="189"/>
      <c r="F844" s="189"/>
      <c r="G844" s="189"/>
      <c r="H844" s="189"/>
      <c r="I844" s="189"/>
      <c r="J844" s="189"/>
      <c r="K844" s="189"/>
      <c r="L844" s="189"/>
      <c r="M844" s="189"/>
      <c r="N844" s="189"/>
      <c r="O844" s="189"/>
      <c r="P844" s="189"/>
      <c r="Q844" s="189"/>
      <c r="R844" s="189"/>
      <c r="S844" s="189"/>
      <c r="T844" s="189"/>
      <c r="U844" s="189"/>
      <c r="V844" s="189"/>
      <c r="W844" s="189"/>
    </row>
    <row r="845">
      <c r="A845" s="194"/>
      <c r="B845" s="194"/>
      <c r="C845" s="189"/>
      <c r="D845" s="189"/>
      <c r="E845" s="189"/>
      <c r="F845" s="189"/>
      <c r="G845" s="189"/>
      <c r="H845" s="189"/>
      <c r="I845" s="189"/>
      <c r="J845" s="189"/>
      <c r="K845" s="189"/>
      <c r="L845" s="189"/>
      <c r="M845" s="189"/>
      <c r="N845" s="189"/>
      <c r="O845" s="189"/>
      <c r="P845" s="189"/>
      <c r="Q845" s="189"/>
      <c r="R845" s="189"/>
      <c r="S845" s="189"/>
      <c r="T845" s="189"/>
      <c r="U845" s="189"/>
      <c r="V845" s="189"/>
      <c r="W845" s="189"/>
    </row>
    <row r="846">
      <c r="A846" s="194"/>
      <c r="B846" s="194"/>
      <c r="C846" s="189"/>
      <c r="D846" s="189"/>
      <c r="E846" s="189"/>
      <c r="F846" s="189"/>
      <c r="G846" s="189"/>
      <c r="H846" s="189"/>
      <c r="I846" s="189"/>
      <c r="J846" s="189"/>
      <c r="K846" s="189"/>
      <c r="L846" s="189"/>
      <c r="M846" s="189"/>
      <c r="N846" s="189"/>
      <c r="O846" s="189"/>
      <c r="P846" s="189"/>
      <c r="Q846" s="189"/>
      <c r="R846" s="189"/>
      <c r="S846" s="189"/>
      <c r="T846" s="189"/>
      <c r="U846" s="189"/>
      <c r="V846" s="189"/>
      <c r="W846" s="189"/>
    </row>
    <row r="847">
      <c r="A847" s="194"/>
      <c r="B847" s="194"/>
      <c r="C847" s="189"/>
      <c r="D847" s="189"/>
      <c r="E847" s="189"/>
      <c r="F847" s="189"/>
      <c r="G847" s="189"/>
      <c r="H847" s="189"/>
      <c r="I847" s="189"/>
      <c r="J847" s="189"/>
      <c r="K847" s="189"/>
      <c r="L847" s="189"/>
      <c r="M847" s="189"/>
      <c r="N847" s="189"/>
      <c r="O847" s="189"/>
      <c r="P847" s="189"/>
      <c r="Q847" s="189"/>
      <c r="R847" s="189"/>
      <c r="S847" s="189"/>
      <c r="T847" s="189"/>
      <c r="U847" s="189"/>
      <c r="V847" s="189"/>
      <c r="W847" s="189"/>
    </row>
    <row r="848">
      <c r="A848" s="194"/>
      <c r="B848" s="194"/>
      <c r="C848" s="189"/>
      <c r="D848" s="189"/>
      <c r="E848" s="189"/>
      <c r="F848" s="189"/>
      <c r="G848" s="189"/>
      <c r="H848" s="189"/>
      <c r="I848" s="189"/>
      <c r="J848" s="189"/>
      <c r="K848" s="189"/>
      <c r="L848" s="189"/>
      <c r="M848" s="189"/>
      <c r="N848" s="189"/>
      <c r="O848" s="189"/>
      <c r="P848" s="189"/>
      <c r="Q848" s="189"/>
      <c r="R848" s="189"/>
      <c r="S848" s="189"/>
      <c r="T848" s="189"/>
      <c r="U848" s="189"/>
      <c r="V848" s="189"/>
      <c r="W848" s="189"/>
    </row>
    <row r="849">
      <c r="A849" s="194"/>
      <c r="B849" s="194"/>
      <c r="C849" s="189"/>
      <c r="D849" s="189"/>
      <c r="E849" s="189"/>
      <c r="F849" s="189"/>
      <c r="G849" s="189"/>
      <c r="H849" s="189"/>
      <c r="I849" s="189"/>
      <c r="J849" s="189"/>
      <c r="K849" s="189"/>
      <c r="L849" s="189"/>
      <c r="M849" s="189"/>
      <c r="N849" s="189"/>
      <c r="O849" s="189"/>
      <c r="P849" s="189"/>
      <c r="Q849" s="189"/>
      <c r="R849" s="189"/>
      <c r="S849" s="189"/>
      <c r="T849" s="189"/>
      <c r="U849" s="189"/>
      <c r="V849" s="189"/>
      <c r="W849" s="189"/>
    </row>
    <row r="850">
      <c r="A850" s="194"/>
      <c r="B850" s="194"/>
      <c r="C850" s="189"/>
      <c r="D850" s="189"/>
      <c r="E850" s="189"/>
      <c r="F850" s="189"/>
      <c r="G850" s="189"/>
      <c r="H850" s="189"/>
      <c r="I850" s="189"/>
      <c r="J850" s="189"/>
      <c r="K850" s="189"/>
      <c r="L850" s="189"/>
      <c r="M850" s="189"/>
      <c r="N850" s="189"/>
      <c r="O850" s="189"/>
      <c r="P850" s="189"/>
      <c r="Q850" s="189"/>
      <c r="R850" s="189"/>
      <c r="S850" s="189"/>
      <c r="T850" s="189"/>
      <c r="U850" s="189"/>
      <c r="V850" s="189"/>
      <c r="W850" s="189"/>
    </row>
    <row r="851">
      <c r="A851" s="194"/>
      <c r="B851" s="194"/>
      <c r="C851" s="189"/>
      <c r="D851" s="189"/>
      <c r="E851" s="189"/>
      <c r="F851" s="189"/>
      <c r="G851" s="189"/>
      <c r="H851" s="189"/>
      <c r="I851" s="189"/>
      <c r="J851" s="189"/>
      <c r="K851" s="189"/>
      <c r="L851" s="189"/>
      <c r="M851" s="189"/>
      <c r="N851" s="189"/>
      <c r="O851" s="189"/>
      <c r="P851" s="189"/>
      <c r="Q851" s="189"/>
      <c r="R851" s="189"/>
      <c r="S851" s="189"/>
      <c r="T851" s="189"/>
      <c r="U851" s="189"/>
      <c r="V851" s="189"/>
      <c r="W851" s="189"/>
    </row>
    <row r="852">
      <c r="A852" s="194"/>
      <c r="B852" s="194"/>
      <c r="C852" s="189"/>
      <c r="D852" s="189"/>
      <c r="E852" s="189"/>
      <c r="F852" s="189"/>
      <c r="G852" s="189"/>
      <c r="H852" s="189"/>
      <c r="I852" s="189"/>
      <c r="J852" s="189"/>
      <c r="K852" s="189"/>
      <c r="L852" s="189"/>
      <c r="M852" s="189"/>
      <c r="N852" s="189"/>
      <c r="O852" s="189"/>
      <c r="P852" s="189"/>
      <c r="Q852" s="189"/>
      <c r="R852" s="189"/>
      <c r="S852" s="189"/>
      <c r="T852" s="189"/>
      <c r="U852" s="189"/>
      <c r="V852" s="189"/>
      <c r="W852" s="189"/>
    </row>
    <row r="853">
      <c r="A853" s="194"/>
      <c r="B853" s="194"/>
      <c r="C853" s="189"/>
      <c r="D853" s="189"/>
      <c r="E853" s="189"/>
      <c r="F853" s="189"/>
      <c r="G853" s="189"/>
      <c r="H853" s="189"/>
      <c r="I853" s="189"/>
      <c r="J853" s="189"/>
      <c r="K853" s="189"/>
      <c r="L853" s="189"/>
      <c r="M853" s="189"/>
      <c r="N853" s="189"/>
      <c r="O853" s="189"/>
      <c r="P853" s="189"/>
      <c r="Q853" s="189"/>
      <c r="R853" s="189"/>
      <c r="S853" s="189"/>
      <c r="T853" s="189"/>
      <c r="U853" s="189"/>
      <c r="V853" s="189"/>
      <c r="W853" s="189"/>
    </row>
    <row r="854">
      <c r="A854" s="194"/>
      <c r="B854" s="194"/>
      <c r="C854" s="189"/>
      <c r="D854" s="189"/>
      <c r="E854" s="189"/>
      <c r="F854" s="189"/>
      <c r="G854" s="189"/>
      <c r="H854" s="189"/>
      <c r="I854" s="189"/>
      <c r="J854" s="189"/>
      <c r="K854" s="189"/>
      <c r="L854" s="189"/>
      <c r="M854" s="189"/>
      <c r="N854" s="189"/>
      <c r="O854" s="189"/>
      <c r="P854" s="189"/>
      <c r="Q854" s="189"/>
      <c r="R854" s="189"/>
      <c r="S854" s="189"/>
      <c r="T854" s="189"/>
      <c r="U854" s="189"/>
      <c r="V854" s="189"/>
      <c r="W854" s="189"/>
    </row>
    <row r="855">
      <c r="A855" s="194"/>
      <c r="B855" s="194"/>
      <c r="C855" s="189"/>
      <c r="D855" s="189"/>
      <c r="E855" s="189"/>
      <c r="F855" s="189"/>
      <c r="G855" s="189"/>
      <c r="H855" s="189"/>
      <c r="I855" s="189"/>
      <c r="J855" s="189"/>
      <c r="K855" s="189"/>
      <c r="L855" s="189"/>
      <c r="M855" s="189"/>
      <c r="N855" s="189"/>
      <c r="O855" s="189"/>
      <c r="P855" s="189"/>
      <c r="Q855" s="189"/>
      <c r="R855" s="189"/>
      <c r="S855" s="189"/>
      <c r="T855" s="189"/>
      <c r="U855" s="189"/>
      <c r="V855" s="189"/>
      <c r="W855" s="189"/>
    </row>
    <row r="856">
      <c r="A856" s="194"/>
      <c r="B856" s="194"/>
      <c r="C856" s="189"/>
      <c r="D856" s="189"/>
      <c r="E856" s="189"/>
      <c r="F856" s="189"/>
      <c r="G856" s="189"/>
      <c r="H856" s="189"/>
      <c r="I856" s="189"/>
      <c r="J856" s="189"/>
      <c r="K856" s="189"/>
      <c r="L856" s="189"/>
      <c r="M856" s="189"/>
      <c r="N856" s="189"/>
      <c r="O856" s="189"/>
      <c r="P856" s="189"/>
      <c r="Q856" s="189"/>
      <c r="R856" s="189"/>
      <c r="S856" s="189"/>
      <c r="T856" s="189"/>
      <c r="U856" s="189"/>
      <c r="V856" s="189"/>
      <c r="W856" s="189"/>
    </row>
    <row r="857">
      <c r="A857" s="194"/>
      <c r="B857" s="194"/>
      <c r="C857" s="189"/>
      <c r="D857" s="189"/>
      <c r="E857" s="189"/>
      <c r="F857" s="189"/>
      <c r="G857" s="189"/>
      <c r="H857" s="189"/>
      <c r="I857" s="189"/>
      <c r="J857" s="189"/>
      <c r="K857" s="189"/>
      <c r="L857" s="189"/>
      <c r="M857" s="189"/>
      <c r="N857" s="189"/>
      <c r="O857" s="189"/>
      <c r="P857" s="189"/>
      <c r="Q857" s="189"/>
      <c r="R857" s="189"/>
      <c r="S857" s="189"/>
      <c r="T857" s="189"/>
      <c r="U857" s="189"/>
      <c r="V857" s="189"/>
      <c r="W857" s="189"/>
    </row>
    <row r="858">
      <c r="A858" s="194"/>
      <c r="B858" s="194"/>
      <c r="C858" s="189"/>
      <c r="D858" s="189"/>
      <c r="E858" s="189"/>
      <c r="F858" s="189"/>
      <c r="G858" s="189"/>
      <c r="H858" s="189"/>
      <c r="I858" s="189"/>
      <c r="J858" s="189"/>
      <c r="K858" s="189"/>
      <c r="L858" s="189"/>
      <c r="M858" s="189"/>
      <c r="N858" s="189"/>
      <c r="O858" s="189"/>
      <c r="P858" s="189"/>
      <c r="Q858" s="189"/>
      <c r="R858" s="189"/>
      <c r="S858" s="189"/>
      <c r="T858" s="189"/>
      <c r="U858" s="189"/>
      <c r="V858" s="189"/>
      <c r="W858" s="189"/>
    </row>
    <row r="859">
      <c r="A859" s="194"/>
      <c r="B859" s="194"/>
      <c r="C859" s="189"/>
      <c r="D859" s="189"/>
      <c r="E859" s="189"/>
      <c r="F859" s="189"/>
      <c r="G859" s="189"/>
      <c r="H859" s="189"/>
      <c r="I859" s="189"/>
      <c r="J859" s="189"/>
      <c r="K859" s="189"/>
      <c r="L859" s="189"/>
      <c r="M859" s="189"/>
      <c r="N859" s="189"/>
      <c r="O859" s="189"/>
      <c r="P859" s="189"/>
      <c r="Q859" s="189"/>
      <c r="R859" s="189"/>
      <c r="S859" s="189"/>
      <c r="T859" s="189"/>
      <c r="U859" s="189"/>
      <c r="V859" s="189"/>
      <c r="W859" s="189"/>
    </row>
    <row r="860">
      <c r="A860" s="194"/>
      <c r="B860" s="194"/>
      <c r="C860" s="189"/>
      <c r="D860" s="189"/>
      <c r="E860" s="189"/>
      <c r="F860" s="189"/>
      <c r="G860" s="189"/>
      <c r="H860" s="189"/>
      <c r="I860" s="189"/>
      <c r="J860" s="189"/>
      <c r="K860" s="189"/>
      <c r="L860" s="189"/>
      <c r="M860" s="189"/>
      <c r="N860" s="189"/>
      <c r="O860" s="189"/>
      <c r="P860" s="189"/>
      <c r="Q860" s="189"/>
      <c r="R860" s="189"/>
      <c r="S860" s="189"/>
      <c r="T860" s="189"/>
      <c r="U860" s="189"/>
      <c r="V860" s="189"/>
      <c r="W860" s="189"/>
    </row>
    <row r="861">
      <c r="A861" s="194"/>
      <c r="B861" s="194"/>
      <c r="C861" s="189"/>
      <c r="D861" s="189"/>
      <c r="E861" s="189"/>
      <c r="F861" s="189"/>
      <c r="G861" s="189"/>
      <c r="H861" s="189"/>
      <c r="I861" s="189"/>
      <c r="J861" s="189"/>
      <c r="K861" s="189"/>
      <c r="L861" s="189"/>
      <c r="M861" s="189"/>
      <c r="N861" s="189"/>
      <c r="O861" s="189"/>
      <c r="P861" s="189"/>
      <c r="Q861" s="189"/>
      <c r="R861" s="189"/>
      <c r="S861" s="189"/>
      <c r="T861" s="189"/>
      <c r="U861" s="189"/>
      <c r="V861" s="189"/>
      <c r="W861" s="189"/>
    </row>
    <row r="862">
      <c r="A862" s="194"/>
      <c r="B862" s="194"/>
      <c r="C862" s="189"/>
      <c r="D862" s="189"/>
      <c r="E862" s="189"/>
      <c r="F862" s="189"/>
      <c r="G862" s="189"/>
      <c r="H862" s="189"/>
      <c r="I862" s="189"/>
      <c r="J862" s="189"/>
      <c r="K862" s="189"/>
      <c r="L862" s="189"/>
      <c r="M862" s="189"/>
      <c r="N862" s="189"/>
      <c r="O862" s="189"/>
      <c r="P862" s="189"/>
      <c r="Q862" s="189"/>
      <c r="R862" s="189"/>
      <c r="S862" s="189"/>
      <c r="T862" s="189"/>
      <c r="U862" s="189"/>
      <c r="V862" s="189"/>
      <c r="W862" s="189"/>
    </row>
    <row r="863">
      <c r="A863" s="194"/>
      <c r="B863" s="194"/>
      <c r="C863" s="189"/>
      <c r="D863" s="189"/>
      <c r="E863" s="189"/>
      <c r="F863" s="189"/>
      <c r="G863" s="189"/>
      <c r="H863" s="189"/>
      <c r="I863" s="189"/>
      <c r="J863" s="189"/>
      <c r="K863" s="189"/>
      <c r="L863" s="189"/>
      <c r="M863" s="189"/>
      <c r="N863" s="189"/>
      <c r="O863" s="189"/>
      <c r="P863" s="189"/>
      <c r="Q863" s="189"/>
      <c r="R863" s="189"/>
      <c r="S863" s="189"/>
      <c r="T863" s="189"/>
      <c r="U863" s="189"/>
      <c r="V863" s="189"/>
      <c r="W863" s="189"/>
    </row>
    <row r="864">
      <c r="A864" s="194"/>
      <c r="B864" s="194"/>
      <c r="C864" s="189"/>
      <c r="D864" s="189"/>
      <c r="E864" s="189"/>
      <c r="F864" s="189"/>
      <c r="G864" s="189"/>
      <c r="H864" s="189"/>
      <c r="I864" s="189"/>
      <c r="J864" s="189"/>
      <c r="K864" s="189"/>
      <c r="L864" s="189"/>
      <c r="M864" s="189"/>
      <c r="N864" s="189"/>
      <c r="O864" s="189"/>
      <c r="P864" s="189"/>
      <c r="Q864" s="189"/>
      <c r="R864" s="189"/>
      <c r="S864" s="189"/>
      <c r="T864" s="189"/>
      <c r="U864" s="189"/>
      <c r="V864" s="189"/>
      <c r="W864" s="189"/>
    </row>
    <row r="865">
      <c r="A865" s="194"/>
      <c r="B865" s="194"/>
      <c r="C865" s="189"/>
      <c r="D865" s="189"/>
      <c r="E865" s="189"/>
      <c r="F865" s="189"/>
      <c r="G865" s="189"/>
      <c r="H865" s="189"/>
      <c r="I865" s="189"/>
      <c r="J865" s="189"/>
      <c r="K865" s="189"/>
      <c r="L865" s="189"/>
      <c r="M865" s="189"/>
      <c r="N865" s="189"/>
      <c r="O865" s="189"/>
      <c r="P865" s="189"/>
      <c r="Q865" s="189"/>
      <c r="R865" s="189"/>
      <c r="S865" s="189"/>
      <c r="T865" s="189"/>
      <c r="U865" s="189"/>
      <c r="V865" s="189"/>
      <c r="W865" s="189"/>
    </row>
    <row r="866">
      <c r="A866" s="194"/>
      <c r="B866" s="194"/>
      <c r="C866" s="189"/>
      <c r="D866" s="189"/>
      <c r="E866" s="189"/>
      <c r="F866" s="189"/>
      <c r="G866" s="189"/>
      <c r="H866" s="189"/>
      <c r="I866" s="189"/>
      <c r="J866" s="189"/>
      <c r="K866" s="189"/>
      <c r="L866" s="189"/>
      <c r="M866" s="189"/>
      <c r="N866" s="189"/>
      <c r="O866" s="189"/>
      <c r="P866" s="189"/>
      <c r="Q866" s="189"/>
      <c r="R866" s="189"/>
      <c r="S866" s="189"/>
      <c r="T866" s="189"/>
      <c r="U866" s="189"/>
      <c r="V866" s="189"/>
      <c r="W866" s="189"/>
    </row>
    <row r="867">
      <c r="A867" s="194"/>
      <c r="B867" s="194"/>
      <c r="C867" s="189"/>
      <c r="D867" s="189"/>
      <c r="E867" s="189"/>
      <c r="F867" s="189"/>
      <c r="G867" s="189"/>
      <c r="H867" s="189"/>
      <c r="I867" s="189"/>
      <c r="J867" s="189"/>
      <c r="K867" s="189"/>
      <c r="L867" s="189"/>
      <c r="M867" s="189"/>
      <c r="N867" s="189"/>
      <c r="O867" s="189"/>
      <c r="P867" s="189"/>
      <c r="Q867" s="189"/>
      <c r="R867" s="189"/>
      <c r="S867" s="189"/>
      <c r="T867" s="189"/>
      <c r="U867" s="189"/>
      <c r="V867" s="189"/>
      <c r="W867" s="189"/>
    </row>
    <row r="868">
      <c r="A868" s="194"/>
      <c r="B868" s="194"/>
      <c r="C868" s="189"/>
      <c r="D868" s="189"/>
      <c r="E868" s="189"/>
      <c r="F868" s="189"/>
      <c r="G868" s="189"/>
      <c r="H868" s="189"/>
      <c r="I868" s="189"/>
      <c r="J868" s="189"/>
      <c r="K868" s="189"/>
      <c r="L868" s="189"/>
      <c r="M868" s="189"/>
      <c r="N868" s="189"/>
      <c r="O868" s="189"/>
      <c r="P868" s="189"/>
      <c r="Q868" s="189"/>
      <c r="R868" s="189"/>
      <c r="S868" s="189"/>
      <c r="T868" s="189"/>
      <c r="U868" s="189"/>
      <c r="V868" s="189"/>
      <c r="W868" s="189"/>
    </row>
    <row r="869">
      <c r="A869" s="194"/>
      <c r="B869" s="194"/>
      <c r="C869" s="189"/>
      <c r="D869" s="189"/>
      <c r="E869" s="189"/>
      <c r="F869" s="189"/>
      <c r="G869" s="189"/>
      <c r="H869" s="189"/>
      <c r="I869" s="189"/>
      <c r="J869" s="189"/>
      <c r="K869" s="189"/>
      <c r="L869" s="189"/>
      <c r="M869" s="189"/>
      <c r="N869" s="189"/>
      <c r="O869" s="189"/>
      <c r="P869" s="189"/>
      <c r="Q869" s="189"/>
      <c r="R869" s="189"/>
      <c r="S869" s="189"/>
      <c r="T869" s="189"/>
      <c r="U869" s="189"/>
      <c r="V869" s="189"/>
      <c r="W869" s="189"/>
    </row>
    <row r="870">
      <c r="A870" s="194"/>
      <c r="B870" s="194"/>
      <c r="C870" s="189"/>
      <c r="D870" s="189"/>
      <c r="E870" s="189"/>
      <c r="F870" s="189"/>
      <c r="G870" s="189"/>
      <c r="H870" s="189"/>
      <c r="I870" s="189"/>
      <c r="J870" s="189"/>
      <c r="K870" s="189"/>
      <c r="L870" s="189"/>
      <c r="M870" s="189"/>
      <c r="N870" s="189"/>
      <c r="O870" s="189"/>
      <c r="P870" s="189"/>
      <c r="Q870" s="189"/>
      <c r="R870" s="189"/>
      <c r="S870" s="189"/>
      <c r="T870" s="189"/>
      <c r="U870" s="189"/>
      <c r="V870" s="189"/>
      <c r="W870" s="189"/>
    </row>
    <row r="871">
      <c r="A871" s="194"/>
      <c r="B871" s="194"/>
      <c r="C871" s="189"/>
      <c r="D871" s="189"/>
      <c r="E871" s="189"/>
      <c r="F871" s="189"/>
      <c r="G871" s="189"/>
      <c r="H871" s="189"/>
      <c r="I871" s="189"/>
      <c r="J871" s="189"/>
      <c r="K871" s="189"/>
      <c r="L871" s="189"/>
      <c r="M871" s="189"/>
      <c r="N871" s="189"/>
      <c r="O871" s="189"/>
      <c r="P871" s="189"/>
      <c r="Q871" s="189"/>
      <c r="R871" s="189"/>
      <c r="S871" s="189"/>
      <c r="T871" s="189"/>
      <c r="U871" s="189"/>
      <c r="V871" s="189"/>
      <c r="W871" s="189"/>
    </row>
    <row r="872">
      <c r="A872" s="194"/>
      <c r="B872" s="194"/>
      <c r="C872" s="189"/>
      <c r="D872" s="189"/>
      <c r="E872" s="189"/>
      <c r="F872" s="189"/>
      <c r="G872" s="189"/>
      <c r="H872" s="189"/>
      <c r="I872" s="189"/>
      <c r="J872" s="189"/>
      <c r="K872" s="189"/>
      <c r="L872" s="189"/>
      <c r="M872" s="189"/>
      <c r="N872" s="189"/>
      <c r="O872" s="189"/>
      <c r="P872" s="189"/>
      <c r="Q872" s="189"/>
      <c r="R872" s="189"/>
      <c r="S872" s="189"/>
      <c r="T872" s="189"/>
      <c r="U872" s="189"/>
      <c r="V872" s="189"/>
      <c r="W872" s="189"/>
    </row>
    <row r="873">
      <c r="A873" s="194"/>
      <c r="B873" s="194"/>
      <c r="C873" s="189"/>
      <c r="D873" s="189"/>
      <c r="E873" s="189"/>
      <c r="F873" s="189"/>
      <c r="G873" s="189"/>
      <c r="H873" s="189"/>
      <c r="I873" s="189"/>
      <c r="J873" s="189"/>
      <c r="K873" s="189"/>
      <c r="L873" s="189"/>
      <c r="M873" s="189"/>
      <c r="N873" s="189"/>
      <c r="O873" s="189"/>
      <c r="P873" s="189"/>
      <c r="Q873" s="189"/>
      <c r="R873" s="189"/>
      <c r="S873" s="189"/>
      <c r="T873" s="189"/>
      <c r="U873" s="189"/>
      <c r="V873" s="189"/>
      <c r="W873" s="189"/>
    </row>
    <row r="874">
      <c r="A874" s="194"/>
      <c r="B874" s="194"/>
      <c r="C874" s="189"/>
      <c r="D874" s="189"/>
      <c r="E874" s="189"/>
      <c r="F874" s="189"/>
      <c r="G874" s="189"/>
      <c r="H874" s="189"/>
      <c r="I874" s="189"/>
      <c r="J874" s="189"/>
      <c r="K874" s="189"/>
      <c r="L874" s="189"/>
      <c r="M874" s="189"/>
      <c r="N874" s="189"/>
      <c r="O874" s="189"/>
      <c r="P874" s="189"/>
      <c r="Q874" s="189"/>
      <c r="R874" s="189"/>
      <c r="S874" s="189"/>
      <c r="T874" s="189"/>
      <c r="U874" s="189"/>
      <c r="V874" s="189"/>
      <c r="W874" s="189"/>
    </row>
    <row r="875">
      <c r="A875" s="194"/>
      <c r="B875" s="194"/>
      <c r="C875" s="189"/>
      <c r="D875" s="189"/>
      <c r="E875" s="189"/>
      <c r="F875" s="189"/>
      <c r="G875" s="189"/>
      <c r="H875" s="189"/>
      <c r="I875" s="189"/>
      <c r="J875" s="189"/>
      <c r="K875" s="189"/>
      <c r="L875" s="189"/>
      <c r="M875" s="189"/>
      <c r="N875" s="189"/>
      <c r="O875" s="189"/>
      <c r="P875" s="189"/>
      <c r="Q875" s="189"/>
      <c r="R875" s="189"/>
      <c r="S875" s="189"/>
      <c r="T875" s="189"/>
      <c r="U875" s="189"/>
      <c r="V875" s="189"/>
      <c r="W875" s="189"/>
    </row>
    <row r="876">
      <c r="A876" s="194"/>
      <c r="B876" s="194"/>
      <c r="C876" s="189"/>
      <c r="D876" s="189"/>
      <c r="E876" s="189"/>
      <c r="F876" s="189"/>
      <c r="G876" s="189"/>
      <c r="H876" s="189"/>
      <c r="I876" s="189"/>
      <c r="J876" s="189"/>
      <c r="K876" s="189"/>
      <c r="L876" s="189"/>
      <c r="M876" s="189"/>
      <c r="N876" s="189"/>
      <c r="O876" s="189"/>
      <c r="P876" s="189"/>
      <c r="Q876" s="189"/>
      <c r="R876" s="189"/>
      <c r="S876" s="189"/>
      <c r="T876" s="189"/>
      <c r="U876" s="189"/>
      <c r="V876" s="189"/>
      <c r="W876" s="189"/>
    </row>
    <row r="877">
      <c r="A877" s="194"/>
      <c r="B877" s="194"/>
      <c r="C877" s="189"/>
      <c r="D877" s="189"/>
      <c r="E877" s="189"/>
      <c r="F877" s="189"/>
      <c r="G877" s="189"/>
      <c r="H877" s="189"/>
      <c r="I877" s="189"/>
      <c r="J877" s="189"/>
      <c r="K877" s="189"/>
      <c r="L877" s="189"/>
      <c r="M877" s="189"/>
      <c r="N877" s="189"/>
      <c r="O877" s="189"/>
      <c r="P877" s="189"/>
      <c r="Q877" s="189"/>
      <c r="R877" s="189"/>
      <c r="S877" s="189"/>
      <c r="T877" s="189"/>
      <c r="U877" s="189"/>
      <c r="V877" s="189"/>
      <c r="W877" s="189"/>
    </row>
    <row r="878">
      <c r="A878" s="194"/>
      <c r="B878" s="194"/>
      <c r="C878" s="189"/>
      <c r="D878" s="189"/>
      <c r="E878" s="189"/>
      <c r="F878" s="189"/>
      <c r="G878" s="189"/>
      <c r="H878" s="189"/>
      <c r="I878" s="189"/>
      <c r="J878" s="189"/>
      <c r="K878" s="189"/>
      <c r="L878" s="189"/>
      <c r="M878" s="189"/>
      <c r="N878" s="189"/>
      <c r="O878" s="189"/>
      <c r="P878" s="189"/>
      <c r="Q878" s="189"/>
      <c r="R878" s="189"/>
      <c r="S878" s="189"/>
      <c r="T878" s="189"/>
      <c r="U878" s="189"/>
      <c r="V878" s="189"/>
      <c r="W878" s="189"/>
    </row>
    <row r="879">
      <c r="A879" s="194"/>
      <c r="B879" s="194"/>
      <c r="C879" s="189"/>
      <c r="D879" s="189"/>
      <c r="E879" s="189"/>
      <c r="F879" s="189"/>
      <c r="G879" s="189"/>
      <c r="H879" s="189"/>
      <c r="I879" s="189"/>
      <c r="J879" s="189"/>
      <c r="K879" s="189"/>
      <c r="L879" s="189"/>
      <c r="M879" s="189"/>
      <c r="N879" s="189"/>
      <c r="O879" s="189"/>
      <c r="P879" s="189"/>
      <c r="Q879" s="189"/>
      <c r="R879" s="189"/>
      <c r="S879" s="189"/>
      <c r="T879" s="189"/>
      <c r="U879" s="189"/>
      <c r="V879" s="189"/>
      <c r="W879" s="189"/>
    </row>
  </sheetData>
  <autoFilter ref="$A$1:$W$420">
    <sortState ref="A1:W420">
      <sortCondition ref="A1:A420"/>
    </sortState>
  </autoFil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6" width="18.63"/>
    <col customWidth="1" min="7" max="7" width="14.25"/>
    <col customWidth="1" min="8" max="8" width="18.63"/>
    <col customWidth="1" min="9" max="9" width="14.25"/>
    <col customWidth="1" min="10" max="11" width="11.88"/>
    <col customWidth="1" min="12" max="12" width="36.38"/>
    <col customWidth="1" min="13" max="13" width="13.13"/>
    <col customWidth="1" min="14" max="14" width="14.25"/>
  </cols>
  <sheetData>
    <row r="1">
      <c r="A1" s="33" t="s">
        <v>698</v>
      </c>
      <c r="B1" s="33" t="s">
        <v>1339</v>
      </c>
      <c r="C1" s="33" t="s">
        <v>103</v>
      </c>
      <c r="D1" s="33" t="s">
        <v>1340</v>
      </c>
      <c r="E1" s="33" t="s">
        <v>103</v>
      </c>
      <c r="F1" s="33" t="s">
        <v>1341</v>
      </c>
      <c r="G1" s="33" t="s">
        <v>103</v>
      </c>
      <c r="H1" s="33" t="s">
        <v>1342</v>
      </c>
      <c r="I1" s="33" t="s">
        <v>103</v>
      </c>
      <c r="J1" s="22"/>
      <c r="K1" s="131" t="s">
        <v>698</v>
      </c>
      <c r="L1" s="195" t="s">
        <v>17</v>
      </c>
      <c r="M1" s="196" t="s">
        <v>1343</v>
      </c>
      <c r="N1" s="196" t="s">
        <v>1344</v>
      </c>
      <c r="O1" s="197" t="s">
        <v>1345</v>
      </c>
    </row>
    <row r="2">
      <c r="A2" s="198">
        <v>1.0</v>
      </c>
      <c r="B2" s="198" t="s">
        <v>1346</v>
      </c>
      <c r="C2" s="198" t="s">
        <v>1347</v>
      </c>
      <c r="D2" s="199" t="s">
        <v>134</v>
      </c>
      <c r="E2" s="198" t="s">
        <v>1348</v>
      </c>
      <c r="F2" s="198" t="s">
        <v>1349</v>
      </c>
      <c r="G2" s="198" t="s">
        <v>1350</v>
      </c>
      <c r="H2" s="198" t="s">
        <v>1351</v>
      </c>
      <c r="I2" s="198" t="s">
        <v>1352</v>
      </c>
      <c r="J2" s="22"/>
      <c r="K2" s="22">
        <v>6.0</v>
      </c>
      <c r="L2" s="200" t="str">
        <f>IFERROR(__xludf.DUMMYFUNCTION("sort(unique(filter(#REF!,#REF!=6)))"),"#REF!")</f>
        <v>#REF!</v>
      </c>
      <c r="M2" s="201">
        <f t="shared" ref="M2:M7" si="1">countifs(#REF!,L2,#REF!,6)</f>
        <v>0</v>
      </c>
      <c r="N2" s="202">
        <v>1.0</v>
      </c>
      <c r="O2" s="202">
        <f t="shared" ref="O2:O7" si="2">M2/N2</f>
        <v>0</v>
      </c>
    </row>
    <row r="3">
      <c r="A3" s="198">
        <v>2.0</v>
      </c>
      <c r="B3" s="198" t="s">
        <v>1346</v>
      </c>
      <c r="C3" s="198" t="s">
        <v>1347</v>
      </c>
      <c r="D3" s="199" t="s">
        <v>134</v>
      </c>
      <c r="E3" s="198" t="s">
        <v>1348</v>
      </c>
      <c r="F3" s="198" t="s">
        <v>1353</v>
      </c>
      <c r="G3" s="198" t="s">
        <v>1354</v>
      </c>
      <c r="H3" s="198" t="s">
        <v>1351</v>
      </c>
      <c r="I3" s="198" t="s">
        <v>1352</v>
      </c>
      <c r="J3" s="22"/>
      <c r="K3" s="22">
        <v>3.0</v>
      </c>
      <c r="L3" s="200"/>
      <c r="M3" s="201">
        <f t="shared" si="1"/>
        <v>0</v>
      </c>
      <c r="N3" s="202">
        <v>1.0</v>
      </c>
      <c r="O3" s="202">
        <f t="shared" si="2"/>
        <v>0</v>
      </c>
    </row>
    <row r="4">
      <c r="A4" s="198">
        <v>3.0</v>
      </c>
      <c r="B4" s="198" t="s">
        <v>1346</v>
      </c>
      <c r="C4" s="198" t="s">
        <v>1347</v>
      </c>
      <c r="D4" s="199" t="s">
        <v>134</v>
      </c>
      <c r="E4" s="198" t="s">
        <v>1348</v>
      </c>
      <c r="F4" s="198" t="s">
        <v>1353</v>
      </c>
      <c r="G4" s="198" t="s">
        <v>1354</v>
      </c>
      <c r="H4" s="198" t="s">
        <v>1349</v>
      </c>
      <c r="I4" s="198" t="s">
        <v>1350</v>
      </c>
      <c r="J4" s="88"/>
      <c r="K4" s="22">
        <v>2.0</v>
      </c>
      <c r="L4" s="200"/>
      <c r="M4" s="201">
        <f t="shared" si="1"/>
        <v>0</v>
      </c>
      <c r="N4" s="202">
        <v>1.0</v>
      </c>
      <c r="O4" s="202">
        <f t="shared" si="2"/>
        <v>0</v>
      </c>
    </row>
    <row r="5">
      <c r="A5" s="198">
        <v>5.0</v>
      </c>
      <c r="B5" s="198" t="s">
        <v>1346</v>
      </c>
      <c r="C5" s="198" t="s">
        <v>1347</v>
      </c>
      <c r="D5" s="199" t="s">
        <v>134</v>
      </c>
      <c r="E5" s="198" t="s">
        <v>1348</v>
      </c>
      <c r="F5" s="198" t="s">
        <v>1351</v>
      </c>
      <c r="G5" s="198" t="s">
        <v>1352</v>
      </c>
      <c r="H5" s="198" t="s">
        <v>1355</v>
      </c>
      <c r="I5" s="198" t="s">
        <v>1354</v>
      </c>
      <c r="J5" s="22"/>
      <c r="K5" s="22">
        <v>1.0</v>
      </c>
      <c r="L5" s="200"/>
      <c r="M5" s="201">
        <f t="shared" si="1"/>
        <v>0</v>
      </c>
      <c r="N5" s="202">
        <v>1.0</v>
      </c>
      <c r="O5" s="202">
        <f t="shared" si="2"/>
        <v>0</v>
      </c>
    </row>
    <row r="6">
      <c r="A6" s="198">
        <v>6.0</v>
      </c>
      <c r="B6" s="198" t="s">
        <v>1346</v>
      </c>
      <c r="C6" s="198" t="s">
        <v>1347</v>
      </c>
      <c r="D6" s="199" t="s">
        <v>134</v>
      </c>
      <c r="E6" s="198" t="s">
        <v>1348</v>
      </c>
      <c r="F6" s="198" t="s">
        <v>1353</v>
      </c>
      <c r="G6" s="198" t="s">
        <v>1354</v>
      </c>
      <c r="H6" s="198" t="s">
        <v>117</v>
      </c>
      <c r="I6" s="198" t="s">
        <v>1350</v>
      </c>
      <c r="K6" s="134">
        <v>7.0</v>
      </c>
      <c r="L6" s="200"/>
      <c r="M6" s="201">
        <f t="shared" si="1"/>
        <v>0</v>
      </c>
      <c r="N6" s="202">
        <v>1.0</v>
      </c>
      <c r="O6" s="202">
        <f t="shared" si="2"/>
        <v>0</v>
      </c>
    </row>
    <row r="7">
      <c r="A7" s="198">
        <v>7.0</v>
      </c>
      <c r="B7" s="198" t="s">
        <v>1346</v>
      </c>
      <c r="C7" s="198" t="s">
        <v>1347</v>
      </c>
      <c r="D7" s="199" t="s">
        <v>134</v>
      </c>
      <c r="E7" s="198" t="s">
        <v>1348</v>
      </c>
      <c r="F7" s="198" t="s">
        <v>1351</v>
      </c>
      <c r="G7" s="198" t="s">
        <v>1352</v>
      </c>
      <c r="H7" s="198" t="s">
        <v>117</v>
      </c>
      <c r="I7" s="198" t="s">
        <v>1352</v>
      </c>
      <c r="J7" s="22" t="s">
        <v>1356</v>
      </c>
      <c r="K7" s="134">
        <v>5.0</v>
      </c>
      <c r="L7" s="200"/>
      <c r="M7" s="201">
        <f t="shared" si="1"/>
        <v>0</v>
      </c>
      <c r="N7" s="202">
        <v>1.0</v>
      </c>
      <c r="O7" s="202">
        <f t="shared" si="2"/>
        <v>0</v>
      </c>
    </row>
    <row r="8">
      <c r="A8" s="203">
        <v>1.0</v>
      </c>
      <c r="B8" s="203" t="s">
        <v>1357</v>
      </c>
      <c r="C8" s="203" t="s">
        <v>1352</v>
      </c>
      <c r="D8" s="203" t="s">
        <v>116</v>
      </c>
      <c r="E8" s="203" t="s">
        <v>1350</v>
      </c>
      <c r="F8" s="204" t="s">
        <v>133</v>
      </c>
      <c r="G8" s="203" t="s">
        <v>1348</v>
      </c>
      <c r="H8" s="203" t="s">
        <v>1358</v>
      </c>
      <c r="I8" s="203" t="s">
        <v>1350</v>
      </c>
      <c r="J8" s="88"/>
      <c r="K8" s="88"/>
      <c r="L8" s="205" t="s">
        <v>17</v>
      </c>
      <c r="M8" s="206" t="s">
        <v>1359</v>
      </c>
      <c r="N8" s="206" t="s">
        <v>1344</v>
      </c>
      <c r="O8" s="207" t="s">
        <v>1345</v>
      </c>
    </row>
    <row r="9">
      <c r="A9" s="203">
        <v>2.0</v>
      </c>
      <c r="B9" s="203" t="s">
        <v>1358</v>
      </c>
      <c r="C9" s="203" t="s">
        <v>1350</v>
      </c>
      <c r="D9" s="203" t="s">
        <v>1360</v>
      </c>
      <c r="E9" s="203" t="s">
        <v>1354</v>
      </c>
      <c r="F9" s="204" t="s">
        <v>133</v>
      </c>
      <c r="G9" s="203" t="s">
        <v>1348</v>
      </c>
      <c r="H9" s="203" t="s">
        <v>116</v>
      </c>
      <c r="I9" s="203" t="s">
        <v>1350</v>
      </c>
      <c r="J9" s="88"/>
      <c r="K9" s="22">
        <v>2.0</v>
      </c>
      <c r="L9" s="208" t="str">
        <f>IFERROR(__xludf.DUMMYFUNCTION("sort(unique(filter(#REF!,#REF!=7)))"),"#REF!")</f>
        <v>#REF!</v>
      </c>
      <c r="M9" s="209">
        <f t="shared" ref="M9:M13" si="3">countifs(#REF!,L9,#REF!,7)</f>
        <v>0</v>
      </c>
      <c r="N9" s="210">
        <v>1.0</v>
      </c>
      <c r="O9" s="210">
        <f t="shared" ref="O9:O13" si="4">M9/N9</f>
        <v>0</v>
      </c>
    </row>
    <row r="10">
      <c r="A10" s="203">
        <v>3.0</v>
      </c>
      <c r="B10" s="204" t="s">
        <v>133</v>
      </c>
      <c r="C10" s="203" t="s">
        <v>1348</v>
      </c>
      <c r="D10" s="203" t="s">
        <v>116</v>
      </c>
      <c r="E10" s="203" t="s">
        <v>1350</v>
      </c>
      <c r="F10" s="203" t="s">
        <v>1357</v>
      </c>
      <c r="G10" s="203" t="s">
        <v>1352</v>
      </c>
      <c r="H10" s="203" t="s">
        <v>1360</v>
      </c>
      <c r="I10" s="203" t="s">
        <v>1354</v>
      </c>
      <c r="J10" s="22" t="s">
        <v>1356</v>
      </c>
      <c r="K10" s="22">
        <v>3.0</v>
      </c>
      <c r="L10" s="208"/>
      <c r="M10" s="209">
        <f t="shared" si="3"/>
        <v>0</v>
      </c>
      <c r="N10" s="210">
        <v>1.0</v>
      </c>
      <c r="O10" s="210">
        <f t="shared" si="4"/>
        <v>0</v>
      </c>
    </row>
    <row r="11">
      <c r="A11" s="203">
        <v>5.0</v>
      </c>
      <c r="B11" s="203" t="s">
        <v>1358</v>
      </c>
      <c r="C11" s="203" t="s">
        <v>1350</v>
      </c>
      <c r="D11" s="203" t="s">
        <v>1361</v>
      </c>
      <c r="E11" s="203" t="s">
        <v>1354</v>
      </c>
      <c r="F11" s="204" t="s">
        <v>133</v>
      </c>
      <c r="G11" s="203" t="s">
        <v>1348</v>
      </c>
      <c r="H11" s="203" t="s">
        <v>1357</v>
      </c>
      <c r="I11" s="203" t="s">
        <v>1352</v>
      </c>
      <c r="J11" s="88"/>
      <c r="K11" s="211">
        <v>44203.0</v>
      </c>
      <c r="L11" s="208"/>
      <c r="M11" s="209">
        <f t="shared" si="3"/>
        <v>0</v>
      </c>
      <c r="N11" s="210">
        <v>2.0</v>
      </c>
      <c r="O11" s="210">
        <f t="shared" si="4"/>
        <v>0</v>
      </c>
    </row>
    <row r="12">
      <c r="A12" s="203">
        <v>6.0</v>
      </c>
      <c r="B12" s="203" t="s">
        <v>1357</v>
      </c>
      <c r="C12" s="203" t="s">
        <v>1352</v>
      </c>
      <c r="D12" s="203" t="s">
        <v>116</v>
      </c>
      <c r="E12" s="203" t="s">
        <v>1352</v>
      </c>
      <c r="F12" s="204" t="s">
        <v>133</v>
      </c>
      <c r="G12" s="203" t="s">
        <v>1348</v>
      </c>
      <c r="H12" s="203" t="s">
        <v>1361</v>
      </c>
      <c r="I12" s="203" t="s">
        <v>1354</v>
      </c>
      <c r="J12" s="88"/>
      <c r="K12" s="22">
        <v>5.0</v>
      </c>
      <c r="L12" s="208"/>
      <c r="M12" s="209">
        <f t="shared" si="3"/>
        <v>0</v>
      </c>
      <c r="N12" s="210">
        <v>1.0</v>
      </c>
      <c r="O12" s="210">
        <f t="shared" si="4"/>
        <v>0</v>
      </c>
    </row>
    <row r="13">
      <c r="A13" s="203">
        <v>7.0</v>
      </c>
      <c r="B13" s="203" t="s">
        <v>1357</v>
      </c>
      <c r="C13" s="203" t="s">
        <v>1352</v>
      </c>
      <c r="D13" s="203" t="s">
        <v>116</v>
      </c>
      <c r="E13" s="203" t="s">
        <v>1350</v>
      </c>
      <c r="F13" s="204" t="s">
        <v>133</v>
      </c>
      <c r="G13" s="203" t="s">
        <v>1348</v>
      </c>
      <c r="H13" s="203" t="s">
        <v>1358</v>
      </c>
      <c r="I13" s="203" t="s">
        <v>1350</v>
      </c>
      <c r="J13" s="88"/>
      <c r="K13" s="22">
        <v>6.0</v>
      </c>
      <c r="L13" s="208"/>
      <c r="M13" s="209">
        <f t="shared" si="3"/>
        <v>0</v>
      </c>
      <c r="N13" s="210">
        <v>1.0</v>
      </c>
      <c r="O13" s="210">
        <f t="shared" si="4"/>
        <v>0</v>
      </c>
    </row>
    <row r="14">
      <c r="A14" s="212">
        <v>1.0</v>
      </c>
      <c r="B14" s="212" t="s">
        <v>1362</v>
      </c>
      <c r="C14" s="212" t="s">
        <v>1350</v>
      </c>
      <c r="D14" s="212" t="s">
        <v>1363</v>
      </c>
      <c r="E14" s="212" t="s">
        <v>1352</v>
      </c>
      <c r="F14" s="212" t="s">
        <v>118</v>
      </c>
      <c r="G14" s="212" t="s">
        <v>1352</v>
      </c>
      <c r="H14" s="213" t="s">
        <v>135</v>
      </c>
      <c r="I14" s="213" t="s">
        <v>1348</v>
      </c>
      <c r="J14" s="88"/>
      <c r="K14" s="88"/>
      <c r="L14" s="214" t="s">
        <v>17</v>
      </c>
      <c r="M14" s="215" t="s">
        <v>1364</v>
      </c>
      <c r="N14" s="215" t="s">
        <v>1344</v>
      </c>
      <c r="O14" s="216" t="s">
        <v>1345</v>
      </c>
    </row>
    <row r="15">
      <c r="A15" s="212">
        <v>2.0</v>
      </c>
      <c r="B15" s="212" t="s">
        <v>1365</v>
      </c>
      <c r="C15" s="212" t="s">
        <v>1354</v>
      </c>
      <c r="D15" s="212" t="s">
        <v>1363</v>
      </c>
      <c r="E15" s="212" t="s">
        <v>1352</v>
      </c>
      <c r="F15" s="212" t="s">
        <v>118</v>
      </c>
      <c r="G15" s="212" t="s">
        <v>1352</v>
      </c>
      <c r="H15" s="213" t="s">
        <v>135</v>
      </c>
      <c r="I15" s="213" t="s">
        <v>1348</v>
      </c>
      <c r="J15" s="22" t="s">
        <v>167</v>
      </c>
      <c r="K15" s="22">
        <v>1.0</v>
      </c>
      <c r="L15" s="217" t="s">
        <v>1366</v>
      </c>
      <c r="M15" s="218">
        <f t="shared" ref="M15:M16" si="5">countifs(#REF!,L15,#REF!,8,#REF!,"Algebra")</f>
        <v>0</v>
      </c>
      <c r="N15" s="219">
        <v>1.0</v>
      </c>
      <c r="O15" s="219">
        <f t="shared" ref="O15:O18" si="6">M15/N15</f>
        <v>0</v>
      </c>
    </row>
    <row r="16">
      <c r="A16" s="212">
        <v>3.0</v>
      </c>
      <c r="B16" s="212" t="s">
        <v>1365</v>
      </c>
      <c r="C16" s="212" t="s">
        <v>1354</v>
      </c>
      <c r="D16" s="212" t="s">
        <v>1363</v>
      </c>
      <c r="E16" s="212" t="s">
        <v>1352</v>
      </c>
      <c r="F16" s="212" t="s">
        <v>118</v>
      </c>
      <c r="G16" s="212" t="s">
        <v>1350</v>
      </c>
      <c r="H16" s="213" t="s">
        <v>135</v>
      </c>
      <c r="I16" s="213" t="s">
        <v>1348</v>
      </c>
      <c r="J16" s="22" t="s">
        <v>167</v>
      </c>
      <c r="K16" s="22">
        <v>2.0</v>
      </c>
      <c r="L16" s="217" t="s">
        <v>1367</v>
      </c>
      <c r="M16" s="218">
        <f t="shared" si="5"/>
        <v>0</v>
      </c>
      <c r="N16" s="219">
        <v>1.0</v>
      </c>
      <c r="O16" s="219">
        <f t="shared" si="6"/>
        <v>0</v>
      </c>
    </row>
    <row r="17">
      <c r="A17" s="212">
        <v>5.0</v>
      </c>
      <c r="B17" s="212" t="s">
        <v>1365</v>
      </c>
      <c r="C17" s="212" t="s">
        <v>1354</v>
      </c>
      <c r="D17" s="212" t="s">
        <v>1363</v>
      </c>
      <c r="E17" s="212" t="s">
        <v>1352</v>
      </c>
      <c r="F17" s="212" t="s">
        <v>118</v>
      </c>
      <c r="G17" s="212" t="s">
        <v>1350</v>
      </c>
      <c r="H17" s="213" t="s">
        <v>135</v>
      </c>
      <c r="I17" s="213" t="s">
        <v>1348</v>
      </c>
      <c r="J17" s="22" t="s">
        <v>1356</v>
      </c>
      <c r="K17" s="211">
        <v>44260.0</v>
      </c>
      <c r="L17" s="220" t="str">
        <f>IFERROR(__xludf.DUMMYFUNCTION("sort(unique(filter(#REF!,#REF!=8)))"),"#REF!")</f>
        <v>#REF!</v>
      </c>
      <c r="M17" s="218">
        <f t="shared" ref="M17:M18" si="7">countifs(#REF!,L17,#REF!,8,#REF!,"Math")</f>
        <v>0</v>
      </c>
      <c r="N17" s="219">
        <v>2.0</v>
      </c>
      <c r="O17" s="219">
        <f t="shared" si="6"/>
        <v>0</v>
      </c>
    </row>
    <row r="18">
      <c r="A18" s="212">
        <v>6.0</v>
      </c>
      <c r="B18" s="213" t="s">
        <v>135</v>
      </c>
      <c r="C18" s="213" t="s">
        <v>1348</v>
      </c>
      <c r="D18" s="212" t="s">
        <v>1362</v>
      </c>
      <c r="E18" s="212" t="s">
        <v>1350</v>
      </c>
      <c r="F18" s="212" t="s">
        <v>118</v>
      </c>
      <c r="G18" s="212" t="s">
        <v>1350</v>
      </c>
      <c r="H18" s="212" t="s">
        <v>1363</v>
      </c>
      <c r="I18" s="212" t="s">
        <v>1352</v>
      </c>
      <c r="J18" s="87"/>
      <c r="K18" s="211">
        <v>44354.0</v>
      </c>
      <c r="L18" s="220"/>
      <c r="M18" s="218">
        <f t="shared" si="7"/>
        <v>0</v>
      </c>
      <c r="N18" s="219">
        <v>2.0</v>
      </c>
      <c r="O18" s="219">
        <f t="shared" si="6"/>
        <v>0</v>
      </c>
    </row>
    <row r="19">
      <c r="A19" s="212">
        <v>7.0</v>
      </c>
      <c r="B19" s="212" t="s">
        <v>1362</v>
      </c>
      <c r="C19" s="212" t="s">
        <v>1350</v>
      </c>
      <c r="D19" s="212" t="s">
        <v>1363</v>
      </c>
      <c r="E19" s="212" t="s">
        <v>1352</v>
      </c>
      <c r="F19" s="212" t="s">
        <v>118</v>
      </c>
      <c r="G19" s="212" t="s">
        <v>1350</v>
      </c>
      <c r="H19" s="213" t="s">
        <v>135</v>
      </c>
      <c r="I19" s="213" t="s">
        <v>1348</v>
      </c>
      <c r="K19" s="31"/>
    </row>
    <row r="20">
      <c r="A20" s="31"/>
      <c r="J20" s="22"/>
      <c r="K20" s="22"/>
      <c r="M20" s="31"/>
    </row>
    <row r="21">
      <c r="A21" s="221"/>
      <c r="B21" s="33" t="s">
        <v>698</v>
      </c>
      <c r="C21" s="33" t="s">
        <v>1339</v>
      </c>
      <c r="D21" s="33" t="s">
        <v>1340</v>
      </c>
      <c r="E21" s="33" t="s">
        <v>1341</v>
      </c>
      <c r="F21" s="33" t="s">
        <v>1342</v>
      </c>
      <c r="G21" s="129" t="s">
        <v>1368</v>
      </c>
      <c r="H21" s="129" t="s">
        <v>1369</v>
      </c>
      <c r="J21" s="22"/>
      <c r="K21" s="22"/>
      <c r="M21" s="31"/>
    </row>
    <row r="22">
      <c r="A22" s="222" t="s">
        <v>1348</v>
      </c>
      <c r="B22" s="67">
        <v>1.0</v>
      </c>
      <c r="C22" s="23" t="str">
        <f>IFERROR(__xludf.DUMMYFUNCTION("iferror(filter(B$2:B$19,$A$2:$A$19=$B22,C$2:C$19=$A$22),"""")"),"")</f>
        <v/>
      </c>
      <c r="D22" s="23" t="str">
        <f>IFERROR(__xludf.DUMMYFUNCTION("iferror(filter(D$2:D$19,$A$2:$A$19=$B22,E$2:E$19=$A$22),"""")"),"Tech 6")</f>
        <v>Tech 6</v>
      </c>
      <c r="E22" s="23" t="str">
        <f>IFERROR(__xludf.DUMMYFUNCTION("iferror(filter(F$2:F$19,$A$2:$A$19=$B22,G$2:G$19=$A$22),"""")"),"Tech 7")</f>
        <v>Tech 7</v>
      </c>
      <c r="F22" s="23" t="str">
        <f>IFERROR(__xludf.DUMMYFUNCTION("iferror(filter(H$2:H$19,$A$2:$A$19=$B22,I$2:I$19=$A$22),"""")"),"Tech 8")</f>
        <v>Tech 8</v>
      </c>
      <c r="G22" s="31">
        <f>countifs($C$2:$C$19,A22)+countifs($E$2:$E$19,A22)+countifs($G$2:$G$19,A22)+countifs($I$2:$I$19,A22)</f>
        <v>18</v>
      </c>
      <c r="H22" s="31">
        <f>countifs(C22:F27,"&lt;&gt;"&amp;"")-countifs(C22:F27,"")</f>
        <v>18</v>
      </c>
      <c r="J22" s="88"/>
      <c r="K22" s="88"/>
      <c r="M22" s="31"/>
    </row>
    <row r="23">
      <c r="A23" s="60"/>
      <c r="B23" s="67">
        <v>2.0</v>
      </c>
      <c r="C23" s="23" t="str">
        <f>IFERROR(__xludf.DUMMYFUNCTION("iferror(filter(B$2:B$19,$A$2:$A$19=$B23,C$2:C$19=$A$22),"""")"),"")</f>
        <v/>
      </c>
      <c r="D23" s="23" t="str">
        <f>IFERROR(__xludf.DUMMYFUNCTION("iferror(filter(D$2:D$19,$A$2:$A$19=$B23,E$2:E$19=$A$22),"""")"),"Tech 6")</f>
        <v>Tech 6</v>
      </c>
      <c r="E23" s="23" t="str">
        <f>IFERROR(__xludf.DUMMYFUNCTION("iferror(filter(F$2:F$19,$A$2:$A$19=$B23,G$2:G$19=$A$22),"""")"),"Tech 7")</f>
        <v>Tech 7</v>
      </c>
      <c r="F23" s="23" t="str">
        <f>IFERROR(__xludf.DUMMYFUNCTION("iferror(filter(H$2:H$19,$A$2:$A$19=$B23,I$2:I$19=$A$22),"""")"),"Tech 8")</f>
        <v>Tech 8</v>
      </c>
      <c r="J23" s="88"/>
      <c r="K23" s="88"/>
      <c r="L23" s="87"/>
      <c r="M23" s="88"/>
      <c r="N23" s="22"/>
      <c r="O23" s="22"/>
    </row>
    <row r="24">
      <c r="A24" s="60"/>
      <c r="B24" s="67">
        <v>3.0</v>
      </c>
      <c r="C24" s="23" t="str">
        <f>IFERROR(__xludf.DUMMYFUNCTION("iferror(filter(B$2:B$19,$A$2:$A$19=$B24,C$2:C$19=$A$22),"""")"),"Tech 7")</f>
        <v>Tech 7</v>
      </c>
      <c r="D24" s="23" t="str">
        <f>IFERROR(__xludf.DUMMYFUNCTION("iferror(filter(D$2:D$19,$A$2:$A$19=$B24,E$2:E$19=$A$22),"""")"),"Tech 6")</f>
        <v>Tech 6</v>
      </c>
      <c r="E24" s="23" t="str">
        <f>IFERROR(__xludf.DUMMYFUNCTION("iferror(filter(F$2:F$19,$A$2:$A$19=$B24,G$2:G$19=$A$22),"""")"),"")</f>
        <v/>
      </c>
      <c r="F24" s="23" t="str">
        <f>IFERROR(__xludf.DUMMYFUNCTION("iferror(filter(H$2:H$19,$A$2:$A$19=$B24,I$2:I$19=$A$22),"""")"),"Tech 8")</f>
        <v>Tech 8</v>
      </c>
      <c r="J24" s="22"/>
      <c r="K24" s="22"/>
      <c r="M24" s="31"/>
    </row>
    <row r="25">
      <c r="A25" s="60"/>
      <c r="B25" s="67">
        <v>5.0</v>
      </c>
      <c r="C25" s="23" t="str">
        <f>IFERROR(__xludf.DUMMYFUNCTION("iferror(filter(B$2:B$19,$A$2:$A$19=$B25,C$2:C$19=$A$22),"""")"),"")</f>
        <v/>
      </c>
      <c r="D25" s="23" t="str">
        <f>IFERROR(__xludf.DUMMYFUNCTION("iferror(filter(D$2:D$19,$A$2:$A$19=$B25,E$2:E$19=$A$22),"""")"),"Tech 6")</f>
        <v>Tech 6</v>
      </c>
      <c r="E25" s="23" t="str">
        <f>IFERROR(__xludf.DUMMYFUNCTION("iferror(filter(F$2:F$19,$A$2:$A$19=$B25,G$2:G$19=$A$22),"""")"),"Tech 7")</f>
        <v>Tech 7</v>
      </c>
      <c r="F25" s="23" t="str">
        <f>IFERROR(__xludf.DUMMYFUNCTION("iferror(filter(H$2:H$19,$A$2:$A$19=$B25,I$2:I$19=$A$22),"""")"),"Tech 8")</f>
        <v>Tech 8</v>
      </c>
      <c r="J25" s="22"/>
      <c r="K25" s="22"/>
      <c r="M25" s="31"/>
    </row>
    <row r="26">
      <c r="A26" s="60"/>
      <c r="B26" s="67">
        <v>6.0</v>
      </c>
      <c r="C26" s="23" t="str">
        <f>IFERROR(__xludf.DUMMYFUNCTION("iferror(filter(B$2:B$19,$A$2:$A$19=$B26,C$2:C$19=$A$22),"""")"),"Tech 8")</f>
        <v>Tech 8</v>
      </c>
      <c r="D26" s="23" t="str">
        <f>IFERROR(__xludf.DUMMYFUNCTION("iferror(filter(D$2:D$19,$A$2:$A$19=$B26,E$2:E$19=$A$22),"""")"),"Tech 6")</f>
        <v>Tech 6</v>
      </c>
      <c r="E26" s="23" t="str">
        <f>IFERROR(__xludf.DUMMYFUNCTION("iferror(filter(F$2:F$19,$A$2:$A$19=$B26,G$2:G$19=$A$22),"""")"),"Tech 7")</f>
        <v>Tech 7</v>
      </c>
      <c r="F26" s="23" t="str">
        <f>IFERROR(__xludf.DUMMYFUNCTION("iferror(filter(H$2:H$19,$A$2:$A$19=$B26,I$2:I$19=$A$22),"""")"),"")</f>
        <v/>
      </c>
      <c r="J26" s="22"/>
      <c r="K26" s="22"/>
      <c r="M26" s="31"/>
    </row>
    <row r="27">
      <c r="A27" s="64"/>
      <c r="B27" s="67">
        <v>7.0</v>
      </c>
      <c r="C27" s="23" t="str">
        <f>IFERROR(__xludf.DUMMYFUNCTION("iferror(filter(B$2:B$19,$A$2:$A$19=$B27,C$2:C$19=$A$22),"""")"),"")</f>
        <v/>
      </c>
      <c r="D27" s="23" t="str">
        <f>IFERROR(__xludf.DUMMYFUNCTION("iferror(filter(D$2:D$19,$A$2:$A$19=$B27,E$2:E$19=$A$22),"""")"),"Tech 6")</f>
        <v>Tech 6</v>
      </c>
      <c r="E27" s="23" t="str">
        <f>IFERROR(__xludf.DUMMYFUNCTION("iferror(filter(F$2:F$19,$A$2:$A$19=$B27,G$2:G$19=$A$22),"""")"),"Tech 7")</f>
        <v>Tech 7</v>
      </c>
      <c r="F27" s="23" t="str">
        <f>IFERROR(__xludf.DUMMYFUNCTION("iferror(filter(H$2:H$19,$A$2:$A$19=$B27,I$2:I$19=$A$22),"""")"),"Tech 8")</f>
        <v>Tech 8</v>
      </c>
      <c r="J27" s="22"/>
      <c r="K27" s="22"/>
      <c r="M27" s="31"/>
    </row>
    <row r="28">
      <c r="A28" s="222" t="s">
        <v>1350</v>
      </c>
      <c r="B28" s="67">
        <v>1.0</v>
      </c>
      <c r="C28" s="23" t="str">
        <f>IFERROR(__xludf.DUMMYFUNCTION("iferror(filter(B$2:B$19,$A$2:$A$19=$B28,C$2:C$19=$A$28),"""")"),"Dance 8")</f>
        <v>Dance 8</v>
      </c>
      <c r="D28" s="23" t="str">
        <f>IFERROR(__xludf.DUMMYFUNCTION("iferror(filter(D$2:D$19,$A$2:$A$19=$B28,E$2:E$19=$A$28),"""")"),"Art 7")</f>
        <v>Art 7</v>
      </c>
      <c r="E28" s="23" t="str">
        <f>IFERROR(__xludf.DUMMYFUNCTION("iferror(filter(F$2:F$19,$A$2:$A$19=$B28,G$2:G$19=$A$28),"""")"),"Dance 6")</f>
        <v>Dance 6</v>
      </c>
      <c r="F28" s="23" t="str">
        <f>IFERROR(__xludf.DUMMYFUNCTION("iferror(filter(H$2:H$19,$A$2:$A$19=$B28,I$2:I$19=$A$28),"""")"),"Dance 7")</f>
        <v>Dance 7</v>
      </c>
      <c r="G28" s="31">
        <f>countifs($C$2:$C$19,A28)+countifs($E$2:$E$19,A28)+countifs($G$2:$G$19,A28)+countifs($I$2:$I$19,A28)</f>
        <v>18</v>
      </c>
      <c r="H28" s="31">
        <f>countifs(C28:F33,"&lt;&gt;"&amp;"")-countifs(C28:F33,"")</f>
        <v>18</v>
      </c>
      <c r="J28" s="88"/>
      <c r="K28" s="88"/>
      <c r="M28" s="31"/>
    </row>
    <row r="29">
      <c r="A29" s="60"/>
      <c r="B29" s="67">
        <v>2.0</v>
      </c>
      <c r="C29" s="23" t="str">
        <f>IFERROR(__xludf.DUMMYFUNCTION("iferror(filter(B$2:B$19,$A$2:$A$19=$B29,C$2:C$19=$A$28),"""")"),"Dance 7")</f>
        <v>Dance 7</v>
      </c>
      <c r="D29" s="23" t="str">
        <f>IFERROR(__xludf.DUMMYFUNCTION("iferror(filter(D$2:D$19,$A$2:$A$19=$B29,E$2:E$19=$A$28),"""")"),"")</f>
        <v/>
      </c>
      <c r="E29" s="23" t="str">
        <f>IFERROR(__xludf.DUMMYFUNCTION("iferror(filter(F$2:F$19,$A$2:$A$19=$B29,G$2:G$19=$A$28),"""")"),"")</f>
        <v/>
      </c>
      <c r="F29" s="23" t="str">
        <f>IFERROR(__xludf.DUMMYFUNCTION("iferror(filter(H$2:H$19,$A$2:$A$19=$B29,I$2:I$19=$A$28),"""")"),"Art 7")</f>
        <v>Art 7</v>
      </c>
      <c r="K29" s="31"/>
      <c r="M29" s="31"/>
    </row>
    <row r="30">
      <c r="A30" s="60"/>
      <c r="B30" s="67">
        <v>3.0</v>
      </c>
      <c r="C30" s="23" t="str">
        <f>IFERROR(__xludf.DUMMYFUNCTION("iferror(filter(B$2:B$19,$A$2:$A$19=$B30,C$2:C$19=$A$28),"""")"),"")</f>
        <v/>
      </c>
      <c r="D30" s="23" t="str">
        <f>IFERROR(__xludf.DUMMYFUNCTION("iferror(filter(D$2:D$19,$A$2:$A$19=$B30,E$2:E$19=$A$28),"""")"),"Art 7")</f>
        <v>Art 7</v>
      </c>
      <c r="E30" s="23" t="str">
        <f>IFERROR(__xludf.DUMMYFUNCTION("iferror(filter(F$2:F$19,$A$2:$A$19=$B30,G$2:G$19=$A$28),"""")"),"Art 8")</f>
        <v>Art 8</v>
      </c>
      <c r="F30" s="23" t="str">
        <f>IFERROR(__xludf.DUMMYFUNCTION("iferror(filter(H$2:H$19,$A$2:$A$19=$B30,I$2:I$19=$A$28),"""")"),"Dance 6")</f>
        <v>Dance 6</v>
      </c>
      <c r="K30" s="31"/>
      <c r="M30" s="31"/>
    </row>
    <row r="31">
      <c r="A31" s="60"/>
      <c r="B31" s="67">
        <v>5.0</v>
      </c>
      <c r="C31" s="23" t="str">
        <f>IFERROR(__xludf.DUMMYFUNCTION("iferror(filter(B$2:B$19,$A$2:$A$19=$B31,C$2:C$19=$A$28),"""")"),"Dance 7")</f>
        <v>Dance 7</v>
      </c>
      <c r="D31" s="23" t="str">
        <f>IFERROR(__xludf.DUMMYFUNCTION("iferror(filter(D$2:D$19,$A$2:$A$19=$B31,E$2:E$19=$A$28),"""")"),"")</f>
        <v/>
      </c>
      <c r="E31" s="23" t="str">
        <f>IFERROR(__xludf.DUMMYFUNCTION("iferror(filter(F$2:F$19,$A$2:$A$19=$B31,G$2:G$19=$A$28),"""")"),"Art 8")</f>
        <v>Art 8</v>
      </c>
      <c r="F31" s="23" t="str">
        <f>IFERROR(__xludf.DUMMYFUNCTION("iferror(filter(H$2:H$19,$A$2:$A$19=$B31,I$2:I$19=$A$28),"""")"),"")</f>
        <v/>
      </c>
      <c r="K31" s="31"/>
      <c r="M31" s="31"/>
    </row>
    <row r="32">
      <c r="A32" s="60"/>
      <c r="B32" s="67">
        <v>6.0</v>
      </c>
      <c r="C32" s="23" t="str">
        <f>IFERROR(__xludf.DUMMYFUNCTION("iferror(filter(B$2:B$19,$A$2:$A$19=$B32,C$2:C$19=$A$28),"""")"),"")</f>
        <v/>
      </c>
      <c r="D32" s="23" t="str">
        <f>IFERROR(__xludf.DUMMYFUNCTION("iferror(filter(D$2:D$19,$A$2:$A$19=$B32,E$2:E$19=$A$28),"""")"),"Dance 8")</f>
        <v>Dance 8</v>
      </c>
      <c r="E32" s="23" t="str">
        <f>IFERROR(__xludf.DUMMYFUNCTION("iferror(filter(F$2:F$19,$A$2:$A$19=$B32,G$2:G$19=$A$28),"""")"),"Art 8")</f>
        <v>Art 8</v>
      </c>
      <c r="F32" s="23" t="str">
        <f>IFERROR(__xludf.DUMMYFUNCTION("iferror(filter(H$2:H$19,$A$2:$A$19=$B32,I$2:I$19=$A$28),"""")"),"Art 6")</f>
        <v>Art 6</v>
      </c>
      <c r="K32" s="31"/>
      <c r="M32" s="31"/>
    </row>
    <row r="33">
      <c r="A33" s="64"/>
      <c r="B33" s="67">
        <v>7.0</v>
      </c>
      <c r="C33" s="23" t="str">
        <f>IFERROR(__xludf.DUMMYFUNCTION("iferror(filter(B$2:B$19,$A$2:$A$19=$B33,C$2:C$19=$A$28),"""")"),"Dance 8")</f>
        <v>Dance 8</v>
      </c>
      <c r="D33" s="23" t="str">
        <f>IFERROR(__xludf.DUMMYFUNCTION("iferror(filter(D$2:D$19,$A$2:$A$19=$B33,E$2:E$19=$A$28),"""")"),"Art 7")</f>
        <v>Art 7</v>
      </c>
      <c r="E33" s="23" t="str">
        <f>IFERROR(__xludf.DUMMYFUNCTION("iferror(filter(F$2:F$19,$A$2:$A$19=$B33,G$2:G$19=$A$28),"""")"),"Art 8")</f>
        <v>Art 8</v>
      </c>
      <c r="F33" s="23" t="str">
        <f>IFERROR(__xludf.DUMMYFUNCTION("iferror(filter(H$2:H$19,$A$2:$A$19=$B33,I$2:I$19=$A$28),"""")"),"Dance 7")</f>
        <v>Dance 7</v>
      </c>
      <c r="K33" s="31"/>
      <c r="M33" s="31"/>
    </row>
    <row r="34">
      <c r="A34" s="223" t="s">
        <v>1354</v>
      </c>
      <c r="B34" s="67">
        <v>2.0</v>
      </c>
      <c r="C34" s="23" t="str">
        <f>IFERROR(__xludf.DUMMYFUNCTION("iferror(filter(B$2:B$19,$A$2:$A$19=$B34,C$2:C$19=A$34),"""")"),"Creative Music Studio 8")</f>
        <v>Creative Music Studio 8</v>
      </c>
      <c r="D34" s="23" t="str">
        <f>IFERROR(__xludf.DUMMYFUNCTION("iferror(filter(D$2:D$19,$A$2:$A$19=$B34,E$2:E$19=A$34),"""")"),"Creative Music Studio 7")</f>
        <v>Creative Music Studio 7</v>
      </c>
      <c r="E34" s="23" t="str">
        <f>IFERROR(__xludf.DUMMYFUNCTION("iferror(filter(F$2:F$19,$A$2:$A$19=$B34,G$2:G$19=A$34),"""")"),"Creative Music Studio 6")</f>
        <v>Creative Music Studio 6</v>
      </c>
      <c r="F34" s="23" t="str">
        <f>IFERROR(__xludf.DUMMYFUNCTION("iferror(filter(H$2:H$19,$A$2:$A$19=$B34,I$2:I$19=A$34),"""")"),"")</f>
        <v/>
      </c>
      <c r="G34" s="31">
        <f>countifs($C$2:$C$19,A34)+countifs($E$2:$E$19,A34)+countifs($G$2:$G$19,A34)+countifs($I$2:$I$19,A34)</f>
        <v>11</v>
      </c>
      <c r="H34" s="31">
        <f>countifs(C34:F37,"&lt;&gt;"&amp;"")-countifs(C34:F37,"")</f>
        <v>11</v>
      </c>
      <c r="K34" s="31"/>
      <c r="M34" s="31"/>
    </row>
    <row r="35">
      <c r="A35" s="60"/>
      <c r="B35" s="67">
        <v>3.0</v>
      </c>
      <c r="C35" s="23" t="str">
        <f>IFERROR(__xludf.DUMMYFUNCTION("iferror(filter(B$2:B$19,$A$2:$A$19=$B35,C$2:C$19=A$34),"""")"),"Creative Music Studio 8")</f>
        <v>Creative Music Studio 8</v>
      </c>
      <c r="D35" s="23" t="str">
        <f>IFERROR(__xludf.DUMMYFUNCTION("iferror(filter(D$2:D$19,$A$2:$A$19=$B35,E$2:E$19=A$34),"""")"),"")</f>
        <v/>
      </c>
      <c r="E35" s="23" t="str">
        <f>IFERROR(__xludf.DUMMYFUNCTION("iferror(filter(F$2:F$19,$A$2:$A$19=$B35,G$2:G$19=A$34),"""")"),"Creative Music Studio 6")</f>
        <v>Creative Music Studio 6</v>
      </c>
      <c r="F35" s="23" t="str">
        <f>IFERROR(__xludf.DUMMYFUNCTION("iferror(filter(H$2:H$19,$A$2:$A$19=$B35,I$2:I$19=A$34),"""")"),"Creative Music Studio 7")</f>
        <v>Creative Music Studio 7</v>
      </c>
      <c r="J35" s="88"/>
      <c r="K35" s="88"/>
      <c r="L35" s="87"/>
      <c r="M35" s="88"/>
      <c r="N35" s="22"/>
      <c r="O35" s="22"/>
    </row>
    <row r="36">
      <c r="A36" s="60"/>
      <c r="B36" s="67">
        <v>5.0</v>
      </c>
      <c r="C36" s="23" t="str">
        <f>IFERROR(__xludf.DUMMYFUNCTION("iferror(filter(B$2:B$19,$A$2:$A$19=$B36,C$2:C$19=A$34),"""")"),"Creative Music Studio 8")</f>
        <v>Creative Music Studio 8</v>
      </c>
      <c r="D36" s="23" t="str">
        <f>IFERROR(__xludf.DUMMYFUNCTION("iferror(filter(D$2:D$19,$A$2:$A$19=$B36,E$2:E$19=A$34),"""")"),"Music Class 7")</f>
        <v>Music Class 7</v>
      </c>
      <c r="E36" s="23" t="str">
        <f>IFERROR(__xludf.DUMMYFUNCTION("iferror(filter(F$2:F$19,$A$2:$A$19=$B36,G$2:G$19=A$34),"""")"),"")</f>
        <v/>
      </c>
      <c r="F36" s="23" t="str">
        <f>IFERROR(__xludf.DUMMYFUNCTION("iferror(filter(H$2:H$19,$A$2:$A$19=$B36,I$2:I$19=A$34),"""")"),"Music Class 6")</f>
        <v>Music Class 6</v>
      </c>
      <c r="J36" s="88"/>
      <c r="K36" s="88"/>
      <c r="L36" s="87"/>
      <c r="M36" s="88"/>
      <c r="N36" s="87"/>
      <c r="O36" s="87"/>
    </row>
    <row r="37">
      <c r="A37" s="64"/>
      <c r="B37" s="67">
        <v>6.0</v>
      </c>
      <c r="C37" s="23" t="str">
        <f>IFERROR(__xludf.DUMMYFUNCTION("iferror(filter(B$2:B$19,$A$2:$A$19=$B37,C$2:C$19=A$34),"""")"),"")</f>
        <v/>
      </c>
      <c r="D37" s="23" t="str">
        <f>IFERROR(__xludf.DUMMYFUNCTION("iferror(filter(D$2:D$19,$A$2:$A$19=$B37,E$2:E$19=A$34),"""")"),"")</f>
        <v/>
      </c>
      <c r="E37" s="23" t="str">
        <f>IFERROR(__xludf.DUMMYFUNCTION("iferror(filter(F$2:F$19,$A$2:$A$19=$B37,G$2:G$19=A$34),"""")"),"Creative Music Studio 6")</f>
        <v>Creative Music Studio 6</v>
      </c>
      <c r="F37" s="23" t="str">
        <f>IFERROR(__xludf.DUMMYFUNCTION("iferror(filter(H$2:H$19,$A$2:$A$19=$B37,I$2:I$19=A$34),"""")"),"Music Class 7")</f>
        <v>Music Class 7</v>
      </c>
      <c r="J37" s="88"/>
      <c r="K37" s="88"/>
      <c r="L37" s="87"/>
      <c r="M37" s="88"/>
      <c r="N37" s="87"/>
      <c r="O37" s="87"/>
    </row>
    <row r="38">
      <c r="A38" s="224" t="s">
        <v>1352</v>
      </c>
      <c r="B38" s="67">
        <v>1.0</v>
      </c>
      <c r="C38" s="23" t="str">
        <f>IFERROR(__xludf.DUMMYFUNCTION("iferror(filter(B$2:B$19,$A$2:$A$19=$B38,C$2:C$19=$A$38),"""")"),"Graphic Design 7")</f>
        <v>Graphic Design 7</v>
      </c>
      <c r="D38" s="23" t="str">
        <f>IFERROR(__xludf.DUMMYFUNCTION("iferror(filter(D$2:D$19,$A$2:$A$19=$B38,E$2:E$19=$A$38),"""")"),"Graphic Design 8")</f>
        <v>Graphic Design 8</v>
      </c>
      <c r="E38" s="23" t="str">
        <f>IFERROR(__xludf.DUMMYFUNCTION("iferror(filter(F$2:F$19,$A$2:$A$19=$B38,G$2:G$19=$A$38),"""")"),"Art 8")</f>
        <v>Art 8</v>
      </c>
      <c r="F38" s="23" t="str">
        <f>IFERROR(__xludf.DUMMYFUNCTION("iferror(filter(H$2:H$19,$A$2:$A$19=$B38,I$2:I$19=$A$38),"""")"),"Graphic Design 6")</f>
        <v>Graphic Design 6</v>
      </c>
      <c r="G38" s="31">
        <f>countifs($C$2:$C$19,A38)+countifs($E$2:$E$19,A38)+countifs($G$2:$G$19,A38)+countifs($I$2:$I$19,A38)</f>
        <v>19</v>
      </c>
      <c r="H38" s="31">
        <f>countifs(C38:F43,"&lt;&gt;"&amp;"")-countifs(C38:F43,"")</f>
        <v>19</v>
      </c>
      <c r="J38" s="88"/>
      <c r="K38" s="88"/>
      <c r="L38" s="87"/>
      <c r="M38" s="88"/>
      <c r="N38" s="87"/>
      <c r="O38" s="87"/>
    </row>
    <row r="39">
      <c r="A39" s="60"/>
      <c r="B39" s="67">
        <v>2.0</v>
      </c>
      <c r="C39" s="23" t="str">
        <f>IFERROR(__xludf.DUMMYFUNCTION("iferror(filter(B$2:B$19,$A$2:$A$19=$B39,C$2:C$19=$A$38),"""")"),"")</f>
        <v/>
      </c>
      <c r="D39" s="23" t="str">
        <f>IFERROR(__xludf.DUMMYFUNCTION("iferror(filter(D$2:D$19,$A$2:$A$19=$B39,E$2:E$19=$A$38),"""")"),"Graphic Design 8")</f>
        <v>Graphic Design 8</v>
      </c>
      <c r="E39" s="23" t="str">
        <f>IFERROR(__xludf.DUMMYFUNCTION("iferror(filter(F$2:F$19,$A$2:$A$19=$B39,G$2:G$19=$A$38),"""")"),"Art 8")</f>
        <v>Art 8</v>
      </c>
      <c r="F39" s="23" t="str">
        <f>IFERROR(__xludf.DUMMYFUNCTION("iferror(filter(H$2:H$19,$A$2:$A$19=$B39,I$2:I$19=$A$38),"""")"),"Graphic Design 6")</f>
        <v>Graphic Design 6</v>
      </c>
      <c r="J39" s="88"/>
      <c r="K39" s="88"/>
      <c r="L39" s="87"/>
      <c r="M39" s="88"/>
      <c r="N39" s="87"/>
      <c r="O39" s="88"/>
    </row>
    <row r="40">
      <c r="A40" s="60"/>
      <c r="B40" s="67">
        <v>3.0</v>
      </c>
      <c r="C40" s="23" t="str">
        <f>IFERROR(__xludf.DUMMYFUNCTION("iferror(filter(B$2:B$19,$A$2:$A$19=$B40,C$2:C$19=$A$38),"""")"),"")</f>
        <v/>
      </c>
      <c r="D40" s="23" t="str">
        <f>IFERROR(__xludf.DUMMYFUNCTION("iferror(filter(D$2:D$19,$A$2:$A$19=$B40,E$2:E$19=$A$38),"""")"),"Graphic Design 8")</f>
        <v>Graphic Design 8</v>
      </c>
      <c r="E40" s="23" t="str">
        <f>IFERROR(__xludf.DUMMYFUNCTION("iferror(filter(F$2:F$19,$A$2:$A$19=$B40,G$2:G$19=$A$38),"""")"),"Graphic Design 7")</f>
        <v>Graphic Design 7</v>
      </c>
      <c r="F40" s="23" t="str">
        <f>IFERROR(__xludf.DUMMYFUNCTION("iferror(filter(H$2:H$19,$A$2:$A$19=$B40,I$2:I$19=$A$38),"""")"),"")</f>
        <v/>
      </c>
      <c r="J40" s="88"/>
      <c r="K40" s="88"/>
      <c r="L40" s="87"/>
      <c r="M40" s="88"/>
      <c r="N40" s="87"/>
      <c r="O40" s="88"/>
    </row>
    <row r="41">
      <c r="A41" s="60"/>
      <c r="B41" s="67">
        <v>5.0</v>
      </c>
      <c r="C41" s="23" t="str">
        <f>IFERROR(__xludf.DUMMYFUNCTION("iferror(filter(B$2:B$19,$A$2:$A$19=$B41,C$2:C$19=$A$38),"""")"),"")</f>
        <v/>
      </c>
      <c r="D41" s="23" t="str">
        <f>IFERROR(__xludf.DUMMYFUNCTION("iferror(filter(D$2:D$19,$A$2:$A$19=$B41,E$2:E$19=$A$38),"""")"),"Graphic Design 8")</f>
        <v>Graphic Design 8</v>
      </c>
      <c r="E41" s="23" t="str">
        <f>IFERROR(__xludf.DUMMYFUNCTION("iferror(filter(F$2:F$19,$A$2:$A$19=$B41,G$2:G$19=$A$38),"""")"),"Graphic Design 6")</f>
        <v>Graphic Design 6</v>
      </c>
      <c r="F41" s="23" t="str">
        <f>IFERROR(__xludf.DUMMYFUNCTION("iferror(filter(H$2:H$19,$A$2:$A$19=$B41,I$2:I$19=$A$38),"""")"),"Graphic Design 7")</f>
        <v>Graphic Design 7</v>
      </c>
      <c r="J41" s="88"/>
      <c r="K41" s="88"/>
      <c r="L41" s="87"/>
      <c r="M41" s="88"/>
      <c r="N41" s="87"/>
      <c r="O41" s="88"/>
    </row>
    <row r="42">
      <c r="A42" s="60"/>
      <c r="B42" s="67">
        <v>6.0</v>
      </c>
      <c r="C42" s="23" t="str">
        <f>IFERROR(__xludf.DUMMYFUNCTION("iferror(filter(B$2:B$19,$A$2:$A$19=$B42,C$2:C$19=$A$38),"""")"),"Graphic Design 7")</f>
        <v>Graphic Design 7</v>
      </c>
      <c r="D42" s="23" t="str">
        <f>IFERROR(__xludf.DUMMYFUNCTION("iferror(filter(D$2:D$19,$A$2:$A$19=$B42,E$2:E$19=$A$38),"""")"),"Art 7")</f>
        <v>Art 7</v>
      </c>
      <c r="E42" s="23" t="str">
        <f>IFERROR(__xludf.DUMMYFUNCTION("iferror(filter(F$2:F$19,$A$2:$A$19=$B42,G$2:G$19=$A$38),"""")"),"")</f>
        <v/>
      </c>
      <c r="F42" s="23" t="str">
        <f>IFERROR(__xludf.DUMMYFUNCTION("iferror(filter(H$2:H$19,$A$2:$A$19=$B42,I$2:I$19=$A$38),"""")"),"Graphic Design 8")</f>
        <v>Graphic Design 8</v>
      </c>
      <c r="J42" s="88"/>
      <c r="K42" s="88"/>
      <c r="L42" s="87"/>
      <c r="M42" s="88"/>
      <c r="N42" s="87"/>
      <c r="O42" s="88"/>
    </row>
    <row r="43">
      <c r="A43" s="64"/>
      <c r="B43" s="67">
        <v>7.0</v>
      </c>
      <c r="C43" s="23" t="str">
        <f>IFERROR(__xludf.DUMMYFUNCTION("iferror(filter(B$2:B$19,$A$2:$A$19=$B43,C$2:C$19=$A$38),"""")"),"Graphic Design 7")</f>
        <v>Graphic Design 7</v>
      </c>
      <c r="D43" s="23" t="str">
        <f>IFERROR(__xludf.DUMMYFUNCTION("iferror(filter(D$2:D$19,$A$2:$A$19=$B43,E$2:E$19=$A$38),"""")"),"Graphic Design 8")</f>
        <v>Graphic Design 8</v>
      </c>
      <c r="E43" s="23" t="str">
        <f>IFERROR(__xludf.DUMMYFUNCTION("iferror(filter(F$2:F$19,$A$2:$A$19=$B43,G$2:G$19=$A$38),"""")"),"Graphic Design 6")</f>
        <v>Graphic Design 6</v>
      </c>
      <c r="F43" s="23" t="str">
        <f>IFERROR(__xludf.DUMMYFUNCTION("iferror(filter(H$2:H$19,$A$2:$A$19=$B43,I$2:I$19=$A$38),"""")"),"Art 6")</f>
        <v>Art 6</v>
      </c>
      <c r="G43" s="31"/>
      <c r="K43" s="31"/>
      <c r="L43" s="87"/>
      <c r="M43" s="88"/>
      <c r="N43" s="87"/>
      <c r="O43" s="87"/>
    </row>
  </sheetData>
  <mergeCells count="4">
    <mergeCell ref="A22:A27"/>
    <mergeCell ref="A28:A33"/>
    <mergeCell ref="A34:A37"/>
    <mergeCell ref="A38:A4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3" max="3" width="22.63"/>
    <col customWidth="1" min="4" max="4" width="19.88"/>
    <col customWidth="1" min="5" max="5" width="13.63"/>
  </cols>
  <sheetData>
    <row r="1">
      <c r="A1" s="128" t="s">
        <v>697</v>
      </c>
      <c r="B1" s="129" t="s">
        <v>1344</v>
      </c>
      <c r="C1" s="128" t="s">
        <v>103</v>
      </c>
      <c r="D1" s="225" t="str">
        <f t="array" ref="D1:D1025">if(ROW(D:D)=1,"Assigned Groups",if(C:C="","",countifs(Schedule!L:L,C:C,Schedule!M:M,A:A)+countifs(Schedule!L:L,C:C,Schedule!P:P,A:A)+countifs(Schedule!L:L,C:C,Schedule!S:S,A:A)+countifs(Schedule!L:L,C:C,Schedule!V:V,A:A)+countifs(Schedule!L:L,C:C,Schedule!Y:Y,A:A)+countifs(Schedule!L:L,C:C,Schedule!AB:AB,A:A)+countifs(Schedule!L:L,C:C,Schedule!AE:AE,A:A)+countifs(Schedule!L:L,C:C,Schedule!AH:AH,A:A)))</f>
        <v>Assigned Groups</v>
      </c>
      <c r="E1" s="225" t="str">
        <f t="array" ref="E1:E1025">if(ROW(E:E)=1,"Groups Over",if(A:A="","",if(D:D&gt;B:B,1,0)))</f>
        <v>Groups Over</v>
      </c>
    </row>
    <row r="2">
      <c r="A2" s="52" t="s">
        <v>158</v>
      </c>
      <c r="B2" s="67">
        <v>4.0</v>
      </c>
      <c r="C2" s="12" t="s">
        <v>1370</v>
      </c>
      <c r="D2" s="6">
        <v>0.0</v>
      </c>
      <c r="E2" s="6">
        <v>0.0</v>
      </c>
    </row>
    <row r="3">
      <c r="A3" s="52" t="s">
        <v>158</v>
      </c>
      <c r="B3" s="67">
        <v>4.0</v>
      </c>
      <c r="C3" s="12" t="s">
        <v>137</v>
      </c>
      <c r="D3" s="6">
        <v>0.0</v>
      </c>
      <c r="E3" s="6">
        <v>0.0</v>
      </c>
    </row>
    <row r="4">
      <c r="A4" s="52" t="s">
        <v>163</v>
      </c>
      <c r="B4" s="67">
        <v>4.0</v>
      </c>
      <c r="C4" s="12" t="s">
        <v>1371</v>
      </c>
      <c r="D4" s="6">
        <v>0.0</v>
      </c>
      <c r="E4" s="6">
        <v>0.0</v>
      </c>
    </row>
    <row r="5">
      <c r="A5" s="52" t="s">
        <v>163</v>
      </c>
      <c r="B5" s="67">
        <v>2.0</v>
      </c>
      <c r="C5" s="12" t="s">
        <v>1372</v>
      </c>
      <c r="D5" s="6">
        <v>0.0</v>
      </c>
      <c r="E5" s="6">
        <v>0.0</v>
      </c>
    </row>
    <row r="6">
      <c r="A6" s="52" t="s">
        <v>162</v>
      </c>
      <c r="B6" s="67">
        <v>2.0</v>
      </c>
      <c r="C6" s="12" t="s">
        <v>1372</v>
      </c>
      <c r="D6" s="6">
        <v>0.0</v>
      </c>
      <c r="E6" s="6">
        <v>0.0</v>
      </c>
    </row>
    <row r="7">
      <c r="A7" s="52" t="s">
        <v>162</v>
      </c>
      <c r="B7" s="67">
        <v>4.0</v>
      </c>
      <c r="C7" s="12" t="s">
        <v>166</v>
      </c>
      <c r="D7" s="6">
        <v>1.0</v>
      </c>
      <c r="E7" s="6">
        <v>0.0</v>
      </c>
    </row>
    <row r="8">
      <c r="A8" s="52" t="s">
        <v>171</v>
      </c>
      <c r="B8" s="67">
        <v>4.0</v>
      </c>
      <c r="C8" s="12" t="s">
        <v>1373</v>
      </c>
      <c r="D8" s="6">
        <v>0.0</v>
      </c>
      <c r="E8" s="6">
        <v>0.0</v>
      </c>
    </row>
    <row r="9">
      <c r="A9" s="52" t="s">
        <v>171</v>
      </c>
      <c r="B9" s="67">
        <v>2.0</v>
      </c>
      <c r="C9" s="12" t="s">
        <v>137</v>
      </c>
      <c r="D9" s="6">
        <v>0.0</v>
      </c>
      <c r="E9" s="6">
        <v>0.0</v>
      </c>
    </row>
    <row r="10">
      <c r="A10" s="52" t="s">
        <v>175</v>
      </c>
      <c r="B10" s="67">
        <v>4.0</v>
      </c>
      <c r="C10" s="12" t="s">
        <v>1374</v>
      </c>
      <c r="D10" s="6">
        <v>0.0</v>
      </c>
      <c r="E10" s="6">
        <v>0.0</v>
      </c>
    </row>
    <row r="11">
      <c r="A11" s="52" t="s">
        <v>175</v>
      </c>
      <c r="B11" s="67">
        <v>2.0</v>
      </c>
      <c r="C11" s="12" t="s">
        <v>1375</v>
      </c>
      <c r="D11" s="6">
        <v>0.0</v>
      </c>
      <c r="E11" s="6">
        <v>0.0</v>
      </c>
    </row>
    <row r="12">
      <c r="A12" s="52" t="s">
        <v>176</v>
      </c>
      <c r="B12" s="67">
        <v>4.0</v>
      </c>
      <c r="C12" s="12" t="s">
        <v>1376</v>
      </c>
      <c r="D12" s="6">
        <v>0.0</v>
      </c>
      <c r="E12" s="6">
        <v>0.0</v>
      </c>
    </row>
    <row r="13">
      <c r="A13" s="52" t="s">
        <v>176</v>
      </c>
      <c r="B13" s="67">
        <v>2.0</v>
      </c>
      <c r="C13" s="12" t="s">
        <v>1375</v>
      </c>
      <c r="D13" s="6">
        <v>0.0</v>
      </c>
      <c r="E13" s="6">
        <v>0.0</v>
      </c>
    </row>
    <row r="14">
      <c r="A14" s="52" t="s">
        <v>182</v>
      </c>
      <c r="B14" s="67">
        <v>4.0</v>
      </c>
      <c r="C14" s="12" t="s">
        <v>136</v>
      </c>
      <c r="D14" s="6">
        <v>2.0</v>
      </c>
      <c r="E14" s="6">
        <v>0.0</v>
      </c>
    </row>
    <row r="15">
      <c r="A15" s="52" t="s">
        <v>182</v>
      </c>
      <c r="B15" s="67">
        <v>2.0</v>
      </c>
      <c r="C15" s="12" t="s">
        <v>1377</v>
      </c>
      <c r="D15" s="6">
        <v>0.0</v>
      </c>
      <c r="E15" s="6">
        <v>0.0</v>
      </c>
    </row>
    <row r="16">
      <c r="A16" s="52" t="s">
        <v>184</v>
      </c>
      <c r="B16" s="67">
        <v>3.0</v>
      </c>
      <c r="C16" s="12" t="s">
        <v>1378</v>
      </c>
      <c r="D16" s="6">
        <v>0.0</v>
      </c>
      <c r="E16" s="6">
        <v>0.0</v>
      </c>
    </row>
    <row r="17">
      <c r="A17" s="52" t="s">
        <v>184</v>
      </c>
      <c r="B17" s="67">
        <v>3.0</v>
      </c>
      <c r="C17" s="12" t="s">
        <v>128</v>
      </c>
      <c r="D17" s="6">
        <v>2.0</v>
      </c>
      <c r="E17" s="6">
        <v>0.0</v>
      </c>
    </row>
    <row r="18">
      <c r="A18" s="52" t="s">
        <v>185</v>
      </c>
      <c r="B18" s="67">
        <v>2.0</v>
      </c>
      <c r="C18" s="12" t="s">
        <v>1377</v>
      </c>
      <c r="D18" s="6">
        <v>0.0</v>
      </c>
      <c r="E18" s="6">
        <v>0.0</v>
      </c>
    </row>
    <row r="19">
      <c r="A19" s="52" t="s">
        <v>185</v>
      </c>
      <c r="B19" s="67">
        <v>4.0</v>
      </c>
      <c r="C19" s="12" t="s">
        <v>1379</v>
      </c>
      <c r="D19" s="6">
        <v>0.0</v>
      </c>
      <c r="E19" s="6">
        <v>0.0</v>
      </c>
    </row>
    <row r="20">
      <c r="A20" s="52" t="s">
        <v>192</v>
      </c>
      <c r="B20" s="67">
        <v>4.0</v>
      </c>
      <c r="C20" s="12" t="s">
        <v>1380</v>
      </c>
      <c r="D20" s="6">
        <v>0.0</v>
      </c>
      <c r="E20" s="6">
        <v>0.0</v>
      </c>
    </row>
    <row r="21">
      <c r="A21" s="52" t="s">
        <v>192</v>
      </c>
      <c r="B21" s="67">
        <v>2.0</v>
      </c>
      <c r="C21" s="12" t="s">
        <v>1381</v>
      </c>
      <c r="D21" s="6">
        <v>0.0</v>
      </c>
      <c r="E21" s="6">
        <v>0.0</v>
      </c>
    </row>
    <row r="22">
      <c r="A22" s="52" t="s">
        <v>195</v>
      </c>
      <c r="B22" s="67">
        <v>7.0</v>
      </c>
      <c r="C22" s="12" t="s">
        <v>1382</v>
      </c>
      <c r="D22" s="6">
        <v>0.0</v>
      </c>
      <c r="E22" s="6">
        <v>0.0</v>
      </c>
    </row>
    <row r="23">
      <c r="A23" s="52" t="s">
        <v>195</v>
      </c>
      <c r="B23" s="67">
        <v>2.0</v>
      </c>
      <c r="C23" s="12" t="s">
        <v>1381</v>
      </c>
      <c r="D23" s="6">
        <v>0.0</v>
      </c>
      <c r="E23" s="6">
        <v>0.0</v>
      </c>
    </row>
    <row r="24">
      <c r="A24" s="52" t="s">
        <v>1383</v>
      </c>
      <c r="B24" s="67">
        <v>4.0</v>
      </c>
      <c r="C24" s="12" t="s">
        <v>1384</v>
      </c>
      <c r="D24" s="6">
        <v>0.0</v>
      </c>
      <c r="E24" s="6">
        <v>0.0</v>
      </c>
    </row>
    <row r="25">
      <c r="A25" s="52" t="s">
        <v>1383</v>
      </c>
      <c r="B25" s="67">
        <v>2.0</v>
      </c>
      <c r="C25" s="12" t="s">
        <v>128</v>
      </c>
      <c r="D25" s="6">
        <v>0.0</v>
      </c>
      <c r="E25" s="6">
        <v>0.0</v>
      </c>
    </row>
    <row r="26">
      <c r="A26" s="52" t="s">
        <v>196</v>
      </c>
      <c r="B26" s="67">
        <v>4.0</v>
      </c>
      <c r="C26" s="12" t="s">
        <v>138</v>
      </c>
      <c r="D26" s="6">
        <v>4.0</v>
      </c>
      <c r="E26" s="6">
        <v>0.0</v>
      </c>
    </row>
    <row r="27">
      <c r="A27" s="52" t="s">
        <v>196</v>
      </c>
      <c r="B27" s="67">
        <v>2.0</v>
      </c>
      <c r="C27" s="12" t="s">
        <v>186</v>
      </c>
      <c r="D27" s="6">
        <v>1.0</v>
      </c>
      <c r="E27" s="6">
        <v>0.0</v>
      </c>
    </row>
    <row r="28">
      <c r="A28" s="52" t="s">
        <v>200</v>
      </c>
      <c r="B28" s="67">
        <v>4.0</v>
      </c>
      <c r="C28" s="12" t="s">
        <v>1385</v>
      </c>
      <c r="D28" s="6">
        <v>4.0</v>
      </c>
      <c r="E28" s="6">
        <v>0.0</v>
      </c>
    </row>
    <row r="29">
      <c r="A29" s="52" t="s">
        <v>200</v>
      </c>
      <c r="B29" s="67">
        <v>2.0</v>
      </c>
      <c r="C29" s="12" t="s">
        <v>1386</v>
      </c>
      <c r="D29" s="6">
        <v>1.0</v>
      </c>
      <c r="E29" s="6">
        <v>0.0</v>
      </c>
    </row>
    <row r="30">
      <c r="A30" s="52" t="s">
        <v>201</v>
      </c>
      <c r="B30" s="67">
        <v>2.0</v>
      </c>
      <c r="C30" s="12" t="s">
        <v>1386</v>
      </c>
      <c r="D30" s="6">
        <v>1.0</v>
      </c>
      <c r="E30" s="6">
        <v>0.0</v>
      </c>
    </row>
    <row r="31">
      <c r="A31" s="52" t="s">
        <v>153</v>
      </c>
      <c r="B31" s="67">
        <v>3.0</v>
      </c>
      <c r="C31" s="12" t="s">
        <v>151</v>
      </c>
      <c r="D31" s="6">
        <v>6.0</v>
      </c>
      <c r="E31" s="6">
        <v>1.0</v>
      </c>
    </row>
    <row r="32">
      <c r="A32" s="52" t="s">
        <v>153</v>
      </c>
      <c r="B32" s="67">
        <v>3.0</v>
      </c>
      <c r="C32" s="12" t="s">
        <v>148</v>
      </c>
      <c r="D32" s="6">
        <v>0.0</v>
      </c>
      <c r="E32" s="6">
        <v>0.0</v>
      </c>
    </row>
    <row r="33">
      <c r="A33" s="52" t="s">
        <v>150</v>
      </c>
      <c r="B33" s="67">
        <v>6.0</v>
      </c>
      <c r="C33" s="12" t="s">
        <v>151</v>
      </c>
      <c r="D33" s="6">
        <v>1.0</v>
      </c>
      <c r="E33" s="6">
        <v>0.0</v>
      </c>
    </row>
    <row r="34">
      <c r="A34" s="52" t="s">
        <v>149</v>
      </c>
      <c r="B34" s="67">
        <v>6.0</v>
      </c>
      <c r="C34" s="12" t="s">
        <v>148</v>
      </c>
      <c r="D34" s="6">
        <v>6.0</v>
      </c>
      <c r="E34" s="6">
        <v>0.0</v>
      </c>
    </row>
    <row r="35">
      <c r="A35" s="226" t="s">
        <v>1387</v>
      </c>
      <c r="B35" s="67">
        <v>1.0</v>
      </c>
      <c r="C35" s="12" t="s">
        <v>115</v>
      </c>
      <c r="D35" s="6">
        <v>0.0</v>
      </c>
      <c r="E35" s="6">
        <v>0.0</v>
      </c>
    </row>
    <row r="36">
      <c r="A36" s="226" t="s">
        <v>1388</v>
      </c>
      <c r="B36" s="67">
        <v>1.0</v>
      </c>
      <c r="C36" s="12" t="s">
        <v>115</v>
      </c>
      <c r="D36" s="6">
        <v>0.0</v>
      </c>
      <c r="E36" s="6">
        <v>0.0</v>
      </c>
    </row>
    <row r="37">
      <c r="A37" s="226" t="s">
        <v>1389</v>
      </c>
      <c r="B37" s="67">
        <v>2.0</v>
      </c>
      <c r="C37" s="12" t="s">
        <v>115</v>
      </c>
      <c r="D37" s="6">
        <v>0.0</v>
      </c>
      <c r="E37" s="6">
        <v>0.0</v>
      </c>
    </row>
    <row r="38">
      <c r="A38" s="226" t="s">
        <v>1390</v>
      </c>
      <c r="B38" s="67">
        <v>1.0</v>
      </c>
      <c r="C38" s="12" t="s">
        <v>115</v>
      </c>
      <c r="D38" s="6">
        <v>0.0</v>
      </c>
      <c r="E38" s="6">
        <v>0.0</v>
      </c>
    </row>
    <row r="39">
      <c r="A39" s="226" t="s">
        <v>118</v>
      </c>
      <c r="B39" s="67">
        <v>5.0</v>
      </c>
      <c r="C39" s="12" t="s">
        <v>115</v>
      </c>
      <c r="D39" s="6">
        <v>3.0</v>
      </c>
      <c r="E39" s="6">
        <v>0.0</v>
      </c>
    </row>
    <row r="40">
      <c r="A40" s="65" t="s">
        <v>1391</v>
      </c>
      <c r="B40" s="67">
        <v>6.0</v>
      </c>
      <c r="C40" s="12" t="s">
        <v>1392</v>
      </c>
      <c r="D40" s="6">
        <v>0.0</v>
      </c>
      <c r="E40" s="6">
        <v>0.0</v>
      </c>
    </row>
    <row r="41">
      <c r="A41" s="65" t="s">
        <v>140</v>
      </c>
      <c r="B41" s="134">
        <v>9.0</v>
      </c>
      <c r="C41" s="12" t="s">
        <v>1392</v>
      </c>
      <c r="D41" s="6">
        <v>0.0</v>
      </c>
      <c r="E41" s="6">
        <v>0.0</v>
      </c>
    </row>
    <row r="42">
      <c r="A42" s="65" t="s">
        <v>141</v>
      </c>
      <c r="B42" s="134">
        <v>3.0</v>
      </c>
      <c r="C42" s="12" t="s">
        <v>1392</v>
      </c>
      <c r="D42" s="6">
        <v>0.0</v>
      </c>
      <c r="E42" s="6">
        <v>0.0</v>
      </c>
    </row>
    <row r="43">
      <c r="A43" s="226" t="s">
        <v>1393</v>
      </c>
      <c r="B43" s="67">
        <v>5.0</v>
      </c>
      <c r="C43" s="12" t="s">
        <v>1392</v>
      </c>
      <c r="D43" s="6">
        <v>0.0</v>
      </c>
      <c r="E43" s="6">
        <v>0.0</v>
      </c>
    </row>
    <row r="44">
      <c r="A44" s="124" t="s">
        <v>134</v>
      </c>
      <c r="B44" s="67">
        <v>6.0</v>
      </c>
      <c r="C44" s="12" t="s">
        <v>132</v>
      </c>
      <c r="D44" s="6">
        <v>8.0</v>
      </c>
      <c r="E44" s="6">
        <v>1.0</v>
      </c>
    </row>
    <row r="45">
      <c r="A45" s="124" t="s">
        <v>133</v>
      </c>
      <c r="B45" s="67">
        <v>6.0</v>
      </c>
      <c r="C45" s="12" t="s">
        <v>132</v>
      </c>
      <c r="D45" s="6">
        <v>5.0</v>
      </c>
      <c r="E45" s="6">
        <v>0.0</v>
      </c>
    </row>
    <row r="46">
      <c r="A46" s="124" t="s">
        <v>135</v>
      </c>
      <c r="B46" s="67">
        <v>6.0</v>
      </c>
      <c r="C46" s="12" t="s">
        <v>132</v>
      </c>
      <c r="D46" s="6">
        <v>3.0</v>
      </c>
      <c r="E46" s="6">
        <v>0.0</v>
      </c>
    </row>
    <row r="47">
      <c r="B47" s="134"/>
      <c r="D47" s="6" t="s">
        <v>8</v>
      </c>
      <c r="E47" s="6" t="s">
        <v>8</v>
      </c>
    </row>
    <row r="48">
      <c r="B48" s="134"/>
      <c r="D48" s="6" t="s">
        <v>8</v>
      </c>
      <c r="E48" s="6" t="s">
        <v>8</v>
      </c>
    </row>
    <row r="49">
      <c r="B49" s="134"/>
      <c r="D49" s="6" t="s">
        <v>8</v>
      </c>
      <c r="E49" s="6" t="s">
        <v>8</v>
      </c>
    </row>
    <row r="50">
      <c r="B50" s="134"/>
      <c r="D50" s="6" t="s">
        <v>8</v>
      </c>
      <c r="E50" s="6" t="s">
        <v>8</v>
      </c>
    </row>
    <row r="51">
      <c r="B51" s="134"/>
      <c r="D51" s="6" t="s">
        <v>8</v>
      </c>
      <c r="E51" s="6" t="s">
        <v>8</v>
      </c>
    </row>
    <row r="52">
      <c r="B52" s="134"/>
      <c r="D52" s="6" t="s">
        <v>8</v>
      </c>
      <c r="E52" s="6" t="s">
        <v>8</v>
      </c>
    </row>
    <row r="53">
      <c r="B53" s="134"/>
      <c r="D53" s="6" t="s">
        <v>8</v>
      </c>
      <c r="E53" s="6" t="s">
        <v>8</v>
      </c>
    </row>
    <row r="54">
      <c r="B54" s="134"/>
      <c r="D54" s="6" t="s">
        <v>8</v>
      </c>
      <c r="E54" s="6" t="s">
        <v>8</v>
      </c>
    </row>
    <row r="55">
      <c r="B55" s="134"/>
      <c r="D55" s="6" t="s">
        <v>8</v>
      </c>
      <c r="E55" s="6" t="s">
        <v>8</v>
      </c>
    </row>
    <row r="56">
      <c r="B56" s="134"/>
      <c r="D56" s="6" t="s">
        <v>8</v>
      </c>
      <c r="E56" s="6" t="s">
        <v>8</v>
      </c>
    </row>
    <row r="57">
      <c r="B57" s="134"/>
      <c r="D57" s="6" t="s">
        <v>8</v>
      </c>
      <c r="E57" s="6" t="s">
        <v>8</v>
      </c>
    </row>
    <row r="58">
      <c r="B58" s="134"/>
      <c r="D58" s="6" t="s">
        <v>8</v>
      </c>
      <c r="E58" s="6" t="s">
        <v>8</v>
      </c>
    </row>
    <row r="59">
      <c r="B59" s="134"/>
      <c r="D59" s="6" t="s">
        <v>8</v>
      </c>
      <c r="E59" s="6" t="s">
        <v>8</v>
      </c>
    </row>
    <row r="60">
      <c r="B60" s="134"/>
      <c r="D60" s="6" t="s">
        <v>8</v>
      </c>
      <c r="E60" s="6" t="s">
        <v>8</v>
      </c>
    </row>
    <row r="61">
      <c r="B61" s="134"/>
      <c r="D61" s="6" t="s">
        <v>8</v>
      </c>
      <c r="E61" s="6" t="s">
        <v>8</v>
      </c>
    </row>
    <row r="62">
      <c r="B62" s="134"/>
      <c r="D62" s="6" t="s">
        <v>8</v>
      </c>
      <c r="E62" s="6" t="s">
        <v>8</v>
      </c>
    </row>
    <row r="63">
      <c r="B63" s="134"/>
      <c r="D63" s="6" t="s">
        <v>8</v>
      </c>
      <c r="E63" s="6" t="s">
        <v>8</v>
      </c>
    </row>
    <row r="64">
      <c r="B64" s="134"/>
      <c r="D64" s="6" t="s">
        <v>8</v>
      </c>
      <c r="E64" s="6" t="s">
        <v>8</v>
      </c>
    </row>
    <row r="65">
      <c r="B65" s="134"/>
      <c r="D65" s="6" t="s">
        <v>8</v>
      </c>
      <c r="E65" s="6" t="s">
        <v>8</v>
      </c>
    </row>
    <row r="66">
      <c r="B66" s="134"/>
      <c r="D66" s="6" t="s">
        <v>8</v>
      </c>
      <c r="E66" s="6" t="s">
        <v>8</v>
      </c>
    </row>
    <row r="67">
      <c r="B67" s="134"/>
      <c r="D67" s="6" t="s">
        <v>8</v>
      </c>
      <c r="E67" s="6" t="s">
        <v>8</v>
      </c>
    </row>
    <row r="68">
      <c r="B68" s="134"/>
      <c r="D68" s="6" t="s">
        <v>8</v>
      </c>
      <c r="E68" s="6" t="s">
        <v>8</v>
      </c>
    </row>
    <row r="69">
      <c r="B69" s="134"/>
      <c r="D69" s="6" t="s">
        <v>8</v>
      </c>
      <c r="E69" s="6" t="s">
        <v>8</v>
      </c>
    </row>
    <row r="70">
      <c r="B70" s="134"/>
      <c r="D70" s="6" t="s">
        <v>8</v>
      </c>
      <c r="E70" s="6" t="s">
        <v>8</v>
      </c>
    </row>
    <row r="71">
      <c r="B71" s="134"/>
      <c r="D71" s="6" t="s">
        <v>8</v>
      </c>
      <c r="E71" s="6" t="s">
        <v>8</v>
      </c>
    </row>
    <row r="72">
      <c r="B72" s="134"/>
      <c r="D72" s="6" t="s">
        <v>8</v>
      </c>
      <c r="E72" s="6" t="s">
        <v>8</v>
      </c>
    </row>
    <row r="73">
      <c r="B73" s="134"/>
      <c r="D73" s="6" t="s">
        <v>8</v>
      </c>
      <c r="E73" s="6" t="s">
        <v>8</v>
      </c>
    </row>
    <row r="74">
      <c r="B74" s="134"/>
      <c r="D74" s="6" t="s">
        <v>8</v>
      </c>
      <c r="E74" s="6" t="s">
        <v>8</v>
      </c>
    </row>
    <row r="75">
      <c r="B75" s="134"/>
      <c r="D75" s="6" t="s">
        <v>8</v>
      </c>
      <c r="E75" s="6" t="s">
        <v>8</v>
      </c>
    </row>
    <row r="76">
      <c r="B76" s="134"/>
      <c r="D76" s="6" t="s">
        <v>8</v>
      </c>
      <c r="E76" s="6" t="s">
        <v>8</v>
      </c>
    </row>
    <row r="77">
      <c r="B77" s="134"/>
      <c r="D77" s="6" t="s">
        <v>8</v>
      </c>
      <c r="E77" s="6" t="s">
        <v>8</v>
      </c>
    </row>
    <row r="78">
      <c r="B78" s="134"/>
      <c r="D78" s="6" t="s">
        <v>8</v>
      </c>
      <c r="E78" s="6" t="s">
        <v>8</v>
      </c>
    </row>
    <row r="79">
      <c r="B79" s="134"/>
      <c r="D79" s="6" t="s">
        <v>8</v>
      </c>
      <c r="E79" s="6" t="s">
        <v>8</v>
      </c>
    </row>
    <row r="80">
      <c r="B80" s="134"/>
      <c r="D80" s="6" t="s">
        <v>8</v>
      </c>
      <c r="E80" s="6" t="s">
        <v>8</v>
      </c>
    </row>
    <row r="81">
      <c r="B81" s="134"/>
      <c r="D81" s="6" t="s">
        <v>8</v>
      </c>
      <c r="E81" s="6" t="s">
        <v>8</v>
      </c>
    </row>
    <row r="82">
      <c r="B82" s="134"/>
      <c r="D82" s="6" t="s">
        <v>8</v>
      </c>
      <c r="E82" s="6" t="s">
        <v>8</v>
      </c>
    </row>
    <row r="83">
      <c r="B83" s="134"/>
      <c r="D83" s="6" t="s">
        <v>8</v>
      </c>
      <c r="E83" s="6" t="s">
        <v>8</v>
      </c>
    </row>
    <row r="84">
      <c r="B84" s="134"/>
      <c r="D84" s="6" t="s">
        <v>8</v>
      </c>
      <c r="E84" s="6" t="s">
        <v>8</v>
      </c>
    </row>
    <row r="85">
      <c r="B85" s="134"/>
      <c r="D85" s="6" t="s">
        <v>8</v>
      </c>
      <c r="E85" s="6" t="s">
        <v>8</v>
      </c>
    </row>
    <row r="86">
      <c r="B86" s="134"/>
      <c r="D86" s="6" t="s">
        <v>8</v>
      </c>
      <c r="E86" s="6" t="s">
        <v>8</v>
      </c>
    </row>
    <row r="87">
      <c r="B87" s="134"/>
      <c r="D87" s="6" t="s">
        <v>8</v>
      </c>
      <c r="E87" s="6" t="s">
        <v>8</v>
      </c>
    </row>
    <row r="88">
      <c r="B88" s="134"/>
      <c r="D88" s="6" t="s">
        <v>8</v>
      </c>
      <c r="E88" s="6" t="s">
        <v>8</v>
      </c>
    </row>
    <row r="89">
      <c r="B89" s="134"/>
      <c r="D89" s="6" t="s">
        <v>8</v>
      </c>
      <c r="E89" s="6" t="s">
        <v>8</v>
      </c>
    </row>
    <row r="90">
      <c r="B90" s="134"/>
      <c r="D90" s="6" t="s">
        <v>8</v>
      </c>
      <c r="E90" s="6" t="s">
        <v>8</v>
      </c>
    </row>
    <row r="91">
      <c r="B91" s="134"/>
      <c r="D91" s="6" t="s">
        <v>8</v>
      </c>
      <c r="E91" s="6" t="s">
        <v>8</v>
      </c>
    </row>
    <row r="92">
      <c r="B92" s="134"/>
      <c r="D92" s="6" t="s">
        <v>8</v>
      </c>
      <c r="E92" s="6" t="s">
        <v>8</v>
      </c>
    </row>
    <row r="93">
      <c r="B93" s="134"/>
      <c r="D93" s="6" t="s">
        <v>8</v>
      </c>
      <c r="E93" s="6" t="s">
        <v>8</v>
      </c>
    </row>
    <row r="94">
      <c r="B94" s="134"/>
      <c r="D94" s="6" t="s">
        <v>8</v>
      </c>
      <c r="E94" s="6" t="s">
        <v>8</v>
      </c>
    </row>
    <row r="95">
      <c r="B95" s="134"/>
      <c r="D95" s="6" t="s">
        <v>8</v>
      </c>
      <c r="E95" s="6" t="s">
        <v>8</v>
      </c>
    </row>
    <row r="96">
      <c r="B96" s="134"/>
      <c r="D96" s="6" t="s">
        <v>8</v>
      </c>
      <c r="E96" s="6" t="s">
        <v>8</v>
      </c>
    </row>
    <row r="97">
      <c r="B97" s="134"/>
      <c r="D97" s="6" t="s">
        <v>8</v>
      </c>
      <c r="E97" s="6" t="s">
        <v>8</v>
      </c>
    </row>
    <row r="98">
      <c r="B98" s="31"/>
      <c r="D98" s="8" t="s">
        <v>8</v>
      </c>
      <c r="E98" s="8" t="s">
        <v>8</v>
      </c>
    </row>
    <row r="99">
      <c r="B99" s="31"/>
      <c r="D99" s="8" t="s">
        <v>8</v>
      </c>
      <c r="E99" s="8" t="s">
        <v>8</v>
      </c>
    </row>
    <row r="100">
      <c r="B100" s="31"/>
      <c r="D100" s="8" t="s">
        <v>8</v>
      </c>
      <c r="E100" s="8" t="s">
        <v>8</v>
      </c>
    </row>
    <row r="101">
      <c r="B101" s="31"/>
      <c r="D101" s="8" t="s">
        <v>8</v>
      </c>
      <c r="E101" s="8" t="s">
        <v>8</v>
      </c>
    </row>
    <row r="102">
      <c r="B102" s="31"/>
      <c r="D102" s="8" t="s">
        <v>8</v>
      </c>
      <c r="E102" s="8" t="s">
        <v>8</v>
      </c>
    </row>
    <row r="103">
      <c r="B103" s="31"/>
      <c r="D103" s="8" t="s">
        <v>8</v>
      </c>
      <c r="E103" s="8" t="s">
        <v>8</v>
      </c>
    </row>
    <row r="104">
      <c r="B104" s="31"/>
      <c r="D104" s="8" t="s">
        <v>8</v>
      </c>
      <c r="E104" s="8" t="s">
        <v>8</v>
      </c>
    </row>
    <row r="105">
      <c r="B105" s="31"/>
      <c r="D105" s="8" t="s">
        <v>8</v>
      </c>
      <c r="E105" s="8" t="s">
        <v>8</v>
      </c>
    </row>
    <row r="106">
      <c r="B106" s="31"/>
      <c r="D106" s="8" t="s">
        <v>8</v>
      </c>
      <c r="E106" s="8" t="s">
        <v>8</v>
      </c>
    </row>
    <row r="107">
      <c r="B107" s="31"/>
      <c r="D107" s="8" t="s">
        <v>8</v>
      </c>
      <c r="E107" s="8" t="s">
        <v>8</v>
      </c>
    </row>
    <row r="108">
      <c r="B108" s="31"/>
      <c r="D108" s="8" t="s">
        <v>8</v>
      </c>
      <c r="E108" s="8" t="s">
        <v>8</v>
      </c>
    </row>
    <row r="109">
      <c r="B109" s="31"/>
      <c r="D109" s="8" t="s">
        <v>8</v>
      </c>
      <c r="E109" s="8" t="s">
        <v>8</v>
      </c>
    </row>
    <row r="110">
      <c r="B110" s="31"/>
      <c r="D110" s="8" t="s">
        <v>8</v>
      </c>
      <c r="E110" s="8" t="s">
        <v>8</v>
      </c>
    </row>
    <row r="111">
      <c r="B111" s="31"/>
      <c r="D111" s="8" t="s">
        <v>8</v>
      </c>
      <c r="E111" s="8" t="s">
        <v>8</v>
      </c>
    </row>
    <row r="112">
      <c r="B112" s="31"/>
      <c r="D112" s="8" t="s">
        <v>8</v>
      </c>
      <c r="E112" s="8" t="s">
        <v>8</v>
      </c>
    </row>
    <row r="113">
      <c r="B113" s="31"/>
      <c r="D113" s="8" t="s">
        <v>8</v>
      </c>
      <c r="E113" s="8" t="s">
        <v>8</v>
      </c>
    </row>
    <row r="114">
      <c r="B114" s="31"/>
      <c r="D114" s="8" t="s">
        <v>8</v>
      </c>
      <c r="E114" s="8" t="s">
        <v>8</v>
      </c>
    </row>
    <row r="115">
      <c r="B115" s="31"/>
      <c r="D115" s="8" t="s">
        <v>8</v>
      </c>
      <c r="E115" s="8" t="s">
        <v>8</v>
      </c>
    </row>
    <row r="116">
      <c r="B116" s="31"/>
      <c r="D116" s="8" t="s">
        <v>8</v>
      </c>
      <c r="E116" s="8" t="s">
        <v>8</v>
      </c>
    </row>
    <row r="117">
      <c r="B117" s="31"/>
      <c r="D117" s="8" t="s">
        <v>8</v>
      </c>
      <c r="E117" s="8" t="s">
        <v>8</v>
      </c>
    </row>
    <row r="118">
      <c r="B118" s="31"/>
      <c r="D118" s="8" t="s">
        <v>8</v>
      </c>
      <c r="E118" s="8" t="s">
        <v>8</v>
      </c>
    </row>
    <row r="119">
      <c r="B119" s="31"/>
      <c r="D119" s="8" t="s">
        <v>8</v>
      </c>
      <c r="E119" s="8" t="s">
        <v>8</v>
      </c>
    </row>
    <row r="120">
      <c r="B120" s="31"/>
      <c r="D120" s="8" t="s">
        <v>8</v>
      </c>
      <c r="E120" s="8" t="s">
        <v>8</v>
      </c>
    </row>
    <row r="121">
      <c r="B121" s="31"/>
      <c r="D121" s="8" t="s">
        <v>8</v>
      </c>
      <c r="E121" s="8" t="s">
        <v>8</v>
      </c>
    </row>
    <row r="122">
      <c r="B122" s="31"/>
      <c r="D122" s="8" t="s">
        <v>8</v>
      </c>
      <c r="E122" s="8" t="s">
        <v>8</v>
      </c>
    </row>
    <row r="123">
      <c r="B123" s="31"/>
      <c r="D123" s="8" t="s">
        <v>8</v>
      </c>
      <c r="E123" s="8" t="s">
        <v>8</v>
      </c>
    </row>
    <row r="124">
      <c r="B124" s="31"/>
      <c r="D124" s="8" t="s">
        <v>8</v>
      </c>
      <c r="E124" s="8" t="s">
        <v>8</v>
      </c>
    </row>
    <row r="125">
      <c r="B125" s="31"/>
      <c r="D125" s="8" t="s">
        <v>8</v>
      </c>
      <c r="E125" s="8" t="s">
        <v>8</v>
      </c>
    </row>
    <row r="126">
      <c r="B126" s="31"/>
      <c r="D126" s="8" t="s">
        <v>8</v>
      </c>
      <c r="E126" s="8" t="s">
        <v>8</v>
      </c>
    </row>
    <row r="127">
      <c r="B127" s="31"/>
      <c r="D127" s="8" t="s">
        <v>8</v>
      </c>
      <c r="E127" s="8" t="s">
        <v>8</v>
      </c>
    </row>
    <row r="128">
      <c r="B128" s="31"/>
      <c r="D128" s="8" t="s">
        <v>8</v>
      </c>
      <c r="E128" s="8" t="s">
        <v>8</v>
      </c>
    </row>
    <row r="129">
      <c r="B129" s="31"/>
      <c r="D129" s="8" t="s">
        <v>8</v>
      </c>
      <c r="E129" s="8" t="s">
        <v>8</v>
      </c>
    </row>
    <row r="130">
      <c r="B130" s="31"/>
      <c r="D130" s="8" t="s">
        <v>8</v>
      </c>
      <c r="E130" s="8" t="s">
        <v>8</v>
      </c>
    </row>
    <row r="131">
      <c r="B131" s="31"/>
      <c r="D131" s="8" t="s">
        <v>8</v>
      </c>
      <c r="E131" s="8" t="s">
        <v>8</v>
      </c>
    </row>
    <row r="132">
      <c r="B132" s="31"/>
      <c r="D132" s="8" t="s">
        <v>8</v>
      </c>
      <c r="E132" s="8" t="s">
        <v>8</v>
      </c>
    </row>
    <row r="133">
      <c r="B133" s="31"/>
      <c r="D133" s="8" t="s">
        <v>8</v>
      </c>
      <c r="E133" s="8" t="s">
        <v>8</v>
      </c>
    </row>
    <row r="134">
      <c r="B134" s="31"/>
      <c r="D134" s="8" t="s">
        <v>8</v>
      </c>
      <c r="E134" s="8" t="s">
        <v>8</v>
      </c>
    </row>
    <row r="135">
      <c r="B135" s="31"/>
      <c r="D135" s="8" t="s">
        <v>8</v>
      </c>
      <c r="E135" s="8" t="s">
        <v>8</v>
      </c>
    </row>
    <row r="136">
      <c r="B136" s="31"/>
      <c r="D136" s="8" t="s">
        <v>8</v>
      </c>
      <c r="E136" s="8" t="s">
        <v>8</v>
      </c>
    </row>
    <row r="137">
      <c r="B137" s="31"/>
      <c r="D137" s="8" t="s">
        <v>8</v>
      </c>
      <c r="E137" s="8" t="s">
        <v>8</v>
      </c>
    </row>
    <row r="138">
      <c r="B138" s="31"/>
      <c r="D138" s="8" t="s">
        <v>8</v>
      </c>
      <c r="E138" s="8" t="s">
        <v>8</v>
      </c>
    </row>
    <row r="139">
      <c r="B139" s="31"/>
      <c r="D139" s="8" t="s">
        <v>8</v>
      </c>
      <c r="E139" s="8" t="s">
        <v>8</v>
      </c>
    </row>
    <row r="140">
      <c r="B140" s="31"/>
      <c r="D140" s="8" t="s">
        <v>8</v>
      </c>
      <c r="E140" s="8" t="s">
        <v>8</v>
      </c>
    </row>
    <row r="141">
      <c r="B141" s="31"/>
      <c r="D141" s="8" t="s">
        <v>8</v>
      </c>
      <c r="E141" s="8" t="s">
        <v>8</v>
      </c>
    </row>
    <row r="142">
      <c r="B142" s="31"/>
      <c r="D142" s="8" t="s">
        <v>8</v>
      </c>
      <c r="E142" s="8" t="s">
        <v>8</v>
      </c>
    </row>
    <row r="143">
      <c r="B143" s="31"/>
      <c r="D143" s="8" t="s">
        <v>8</v>
      </c>
      <c r="E143" s="8" t="s">
        <v>8</v>
      </c>
    </row>
    <row r="144">
      <c r="B144" s="31"/>
      <c r="D144" s="8" t="s">
        <v>8</v>
      </c>
      <c r="E144" s="8" t="s">
        <v>8</v>
      </c>
    </row>
    <row r="145">
      <c r="B145" s="31"/>
      <c r="D145" s="8" t="s">
        <v>8</v>
      </c>
      <c r="E145" s="8" t="s">
        <v>8</v>
      </c>
    </row>
    <row r="146">
      <c r="B146" s="31"/>
      <c r="D146" s="8" t="s">
        <v>8</v>
      </c>
      <c r="E146" s="8" t="s">
        <v>8</v>
      </c>
    </row>
    <row r="147">
      <c r="B147" s="31"/>
      <c r="D147" s="8" t="s">
        <v>8</v>
      </c>
      <c r="E147" s="8" t="s">
        <v>8</v>
      </c>
    </row>
    <row r="148">
      <c r="B148" s="31"/>
      <c r="D148" s="8" t="s">
        <v>8</v>
      </c>
      <c r="E148" s="8" t="s">
        <v>8</v>
      </c>
    </row>
    <row r="149">
      <c r="B149" s="31"/>
      <c r="D149" s="8" t="s">
        <v>8</v>
      </c>
      <c r="E149" s="8" t="s">
        <v>8</v>
      </c>
    </row>
    <row r="150">
      <c r="B150" s="31"/>
      <c r="D150" s="8" t="s">
        <v>8</v>
      </c>
      <c r="E150" s="8" t="s">
        <v>8</v>
      </c>
    </row>
    <row r="151">
      <c r="B151" s="31"/>
      <c r="D151" s="8" t="s">
        <v>8</v>
      </c>
      <c r="E151" s="8" t="s">
        <v>8</v>
      </c>
    </row>
    <row r="152">
      <c r="B152" s="31"/>
      <c r="D152" s="8" t="s">
        <v>8</v>
      </c>
      <c r="E152" s="8" t="s">
        <v>8</v>
      </c>
    </row>
    <row r="153">
      <c r="B153" s="31"/>
      <c r="D153" s="8" t="s">
        <v>8</v>
      </c>
      <c r="E153" s="8" t="s">
        <v>8</v>
      </c>
    </row>
    <row r="154">
      <c r="B154" s="31"/>
      <c r="D154" s="8" t="s">
        <v>8</v>
      </c>
      <c r="E154" s="8" t="s">
        <v>8</v>
      </c>
    </row>
    <row r="155">
      <c r="B155" s="31"/>
      <c r="D155" s="8" t="s">
        <v>8</v>
      </c>
      <c r="E155" s="8" t="s">
        <v>8</v>
      </c>
    </row>
    <row r="156">
      <c r="B156" s="31"/>
      <c r="D156" s="8" t="s">
        <v>8</v>
      </c>
      <c r="E156" s="8" t="s">
        <v>8</v>
      </c>
    </row>
    <row r="157">
      <c r="B157" s="31"/>
      <c r="D157" s="8" t="s">
        <v>8</v>
      </c>
      <c r="E157" s="8" t="s">
        <v>8</v>
      </c>
    </row>
    <row r="158">
      <c r="B158" s="31"/>
      <c r="D158" s="8" t="s">
        <v>8</v>
      </c>
      <c r="E158" s="8" t="s">
        <v>8</v>
      </c>
    </row>
    <row r="159">
      <c r="B159" s="31"/>
      <c r="D159" s="8" t="s">
        <v>8</v>
      </c>
      <c r="E159" s="8" t="s">
        <v>8</v>
      </c>
    </row>
    <row r="160">
      <c r="B160" s="31"/>
      <c r="D160" s="8" t="s">
        <v>8</v>
      </c>
      <c r="E160" s="8" t="s">
        <v>8</v>
      </c>
    </row>
    <row r="161">
      <c r="B161" s="31"/>
      <c r="D161" s="8" t="s">
        <v>8</v>
      </c>
      <c r="E161" s="8" t="s">
        <v>8</v>
      </c>
    </row>
    <row r="162">
      <c r="B162" s="31"/>
      <c r="D162" s="8" t="s">
        <v>8</v>
      </c>
      <c r="E162" s="8" t="s">
        <v>8</v>
      </c>
    </row>
    <row r="163">
      <c r="B163" s="31"/>
      <c r="D163" s="8" t="s">
        <v>8</v>
      </c>
      <c r="E163" s="8" t="s">
        <v>8</v>
      </c>
    </row>
    <row r="164">
      <c r="B164" s="31"/>
      <c r="D164" s="8" t="s">
        <v>8</v>
      </c>
      <c r="E164" s="8" t="s">
        <v>8</v>
      </c>
    </row>
    <row r="165">
      <c r="B165" s="31"/>
      <c r="D165" s="8" t="s">
        <v>8</v>
      </c>
      <c r="E165" s="8" t="s">
        <v>8</v>
      </c>
    </row>
    <row r="166">
      <c r="B166" s="31"/>
      <c r="D166" s="8" t="s">
        <v>8</v>
      </c>
      <c r="E166" s="8" t="s">
        <v>8</v>
      </c>
    </row>
    <row r="167">
      <c r="B167" s="31"/>
      <c r="D167" s="8" t="s">
        <v>8</v>
      </c>
      <c r="E167" s="8" t="s">
        <v>8</v>
      </c>
    </row>
    <row r="168">
      <c r="B168" s="31"/>
      <c r="D168" s="8" t="s">
        <v>8</v>
      </c>
      <c r="E168" s="8" t="s">
        <v>8</v>
      </c>
    </row>
    <row r="169">
      <c r="B169" s="31"/>
      <c r="D169" s="8" t="s">
        <v>8</v>
      </c>
      <c r="E169" s="8" t="s">
        <v>8</v>
      </c>
    </row>
    <row r="170">
      <c r="B170" s="31"/>
      <c r="D170" s="8" t="s">
        <v>8</v>
      </c>
      <c r="E170" s="8" t="s">
        <v>8</v>
      </c>
    </row>
    <row r="171">
      <c r="B171" s="31"/>
      <c r="D171" s="8" t="s">
        <v>8</v>
      </c>
      <c r="E171" s="8" t="s">
        <v>8</v>
      </c>
    </row>
    <row r="172">
      <c r="B172" s="31"/>
      <c r="D172" s="8" t="s">
        <v>8</v>
      </c>
      <c r="E172" s="8" t="s">
        <v>8</v>
      </c>
    </row>
    <row r="173">
      <c r="B173" s="31"/>
      <c r="D173" s="8" t="s">
        <v>8</v>
      </c>
      <c r="E173" s="8" t="s">
        <v>8</v>
      </c>
    </row>
    <row r="174">
      <c r="B174" s="31"/>
      <c r="D174" s="8" t="s">
        <v>8</v>
      </c>
      <c r="E174" s="8" t="s">
        <v>8</v>
      </c>
    </row>
    <row r="175">
      <c r="B175" s="31"/>
      <c r="D175" s="8" t="s">
        <v>8</v>
      </c>
      <c r="E175" s="8" t="s">
        <v>8</v>
      </c>
    </row>
    <row r="176">
      <c r="B176" s="31"/>
      <c r="D176" s="8" t="s">
        <v>8</v>
      </c>
      <c r="E176" s="8" t="s">
        <v>8</v>
      </c>
    </row>
    <row r="177">
      <c r="B177" s="31"/>
      <c r="D177" s="8" t="s">
        <v>8</v>
      </c>
      <c r="E177" s="8" t="s">
        <v>8</v>
      </c>
    </row>
    <row r="178">
      <c r="B178" s="31"/>
      <c r="D178" s="8" t="s">
        <v>8</v>
      </c>
      <c r="E178" s="8" t="s">
        <v>8</v>
      </c>
    </row>
    <row r="179">
      <c r="B179" s="31"/>
      <c r="D179" s="8" t="s">
        <v>8</v>
      </c>
      <c r="E179" s="8" t="s">
        <v>8</v>
      </c>
    </row>
    <row r="180">
      <c r="B180" s="31"/>
      <c r="D180" s="8" t="s">
        <v>8</v>
      </c>
      <c r="E180" s="8" t="s">
        <v>8</v>
      </c>
    </row>
    <row r="181">
      <c r="B181" s="31"/>
      <c r="D181" s="8" t="s">
        <v>8</v>
      </c>
      <c r="E181" s="8" t="s">
        <v>8</v>
      </c>
    </row>
    <row r="182">
      <c r="B182" s="31"/>
      <c r="D182" s="8" t="s">
        <v>8</v>
      </c>
      <c r="E182" s="8" t="s">
        <v>8</v>
      </c>
    </row>
    <row r="183">
      <c r="B183" s="31"/>
      <c r="D183" s="8" t="s">
        <v>8</v>
      </c>
      <c r="E183" s="8" t="s">
        <v>8</v>
      </c>
    </row>
    <row r="184">
      <c r="B184" s="31"/>
      <c r="D184" s="8" t="s">
        <v>8</v>
      </c>
      <c r="E184" s="8" t="s">
        <v>8</v>
      </c>
    </row>
    <row r="185">
      <c r="B185" s="31"/>
      <c r="D185" s="8" t="s">
        <v>8</v>
      </c>
      <c r="E185" s="8" t="s">
        <v>8</v>
      </c>
    </row>
    <row r="186">
      <c r="B186" s="31"/>
      <c r="D186" s="8" t="s">
        <v>8</v>
      </c>
      <c r="E186" s="8" t="s">
        <v>8</v>
      </c>
    </row>
    <row r="187">
      <c r="B187" s="31"/>
      <c r="D187" s="8" t="s">
        <v>8</v>
      </c>
      <c r="E187" s="8" t="s">
        <v>8</v>
      </c>
    </row>
    <row r="188">
      <c r="B188" s="31"/>
      <c r="D188" s="8" t="s">
        <v>8</v>
      </c>
      <c r="E188" s="8" t="s">
        <v>8</v>
      </c>
    </row>
    <row r="189">
      <c r="B189" s="31"/>
      <c r="D189" s="8" t="s">
        <v>8</v>
      </c>
      <c r="E189" s="8" t="s">
        <v>8</v>
      </c>
    </row>
    <row r="190">
      <c r="B190" s="31"/>
      <c r="D190" s="8" t="s">
        <v>8</v>
      </c>
      <c r="E190" s="8" t="s">
        <v>8</v>
      </c>
    </row>
    <row r="191">
      <c r="B191" s="31"/>
      <c r="D191" s="8" t="s">
        <v>8</v>
      </c>
      <c r="E191" s="8" t="s">
        <v>8</v>
      </c>
    </row>
    <row r="192">
      <c r="B192" s="31"/>
      <c r="D192" s="8" t="s">
        <v>8</v>
      </c>
      <c r="E192" s="8" t="s">
        <v>8</v>
      </c>
    </row>
    <row r="193">
      <c r="B193" s="31"/>
      <c r="D193" s="8" t="s">
        <v>8</v>
      </c>
      <c r="E193" s="8" t="s">
        <v>8</v>
      </c>
    </row>
    <row r="194">
      <c r="B194" s="31"/>
      <c r="D194" s="8" t="s">
        <v>8</v>
      </c>
      <c r="E194" s="8" t="s">
        <v>8</v>
      </c>
    </row>
    <row r="195">
      <c r="B195" s="31"/>
      <c r="D195" s="8" t="s">
        <v>8</v>
      </c>
      <c r="E195" s="8" t="s">
        <v>8</v>
      </c>
    </row>
    <row r="196">
      <c r="B196" s="31"/>
      <c r="D196" s="8" t="s">
        <v>8</v>
      </c>
      <c r="E196" s="8" t="s">
        <v>8</v>
      </c>
    </row>
    <row r="197">
      <c r="B197" s="31"/>
      <c r="D197" s="8" t="s">
        <v>8</v>
      </c>
      <c r="E197" s="8" t="s">
        <v>8</v>
      </c>
    </row>
    <row r="198">
      <c r="B198" s="31"/>
      <c r="D198" s="8" t="s">
        <v>8</v>
      </c>
      <c r="E198" s="8" t="s">
        <v>8</v>
      </c>
    </row>
    <row r="199">
      <c r="B199" s="31"/>
      <c r="D199" s="8" t="s">
        <v>8</v>
      </c>
      <c r="E199" s="8" t="s">
        <v>8</v>
      </c>
    </row>
    <row r="200">
      <c r="B200" s="31"/>
      <c r="D200" s="8" t="s">
        <v>8</v>
      </c>
      <c r="E200" s="8" t="s">
        <v>8</v>
      </c>
    </row>
    <row r="201">
      <c r="B201" s="31"/>
      <c r="D201" s="8" t="s">
        <v>8</v>
      </c>
      <c r="E201" s="8" t="s">
        <v>8</v>
      </c>
    </row>
    <row r="202">
      <c r="B202" s="31"/>
      <c r="D202" s="8" t="s">
        <v>8</v>
      </c>
      <c r="E202" s="8" t="s">
        <v>8</v>
      </c>
    </row>
    <row r="203">
      <c r="B203" s="31"/>
      <c r="D203" s="8" t="s">
        <v>8</v>
      </c>
      <c r="E203" s="8" t="s">
        <v>8</v>
      </c>
    </row>
    <row r="204">
      <c r="B204" s="31"/>
      <c r="D204" s="8" t="s">
        <v>8</v>
      </c>
      <c r="E204" s="8" t="s">
        <v>8</v>
      </c>
    </row>
    <row r="205">
      <c r="B205" s="31"/>
      <c r="D205" s="8" t="s">
        <v>8</v>
      </c>
      <c r="E205" s="8" t="s">
        <v>8</v>
      </c>
    </row>
    <row r="206">
      <c r="B206" s="31"/>
      <c r="D206" s="8" t="s">
        <v>8</v>
      </c>
      <c r="E206" s="8" t="s">
        <v>8</v>
      </c>
    </row>
    <row r="207">
      <c r="B207" s="31"/>
      <c r="D207" s="8" t="s">
        <v>8</v>
      </c>
      <c r="E207" s="8" t="s">
        <v>8</v>
      </c>
    </row>
    <row r="208">
      <c r="B208" s="31"/>
      <c r="D208" s="8" t="s">
        <v>8</v>
      </c>
      <c r="E208" s="8" t="s">
        <v>8</v>
      </c>
    </row>
    <row r="209">
      <c r="B209" s="31"/>
      <c r="D209" s="8" t="s">
        <v>8</v>
      </c>
      <c r="E209" s="8" t="s">
        <v>8</v>
      </c>
    </row>
    <row r="210">
      <c r="B210" s="31"/>
      <c r="D210" s="8" t="s">
        <v>8</v>
      </c>
      <c r="E210" s="8" t="s">
        <v>8</v>
      </c>
    </row>
    <row r="211">
      <c r="B211" s="31"/>
      <c r="D211" s="8" t="s">
        <v>8</v>
      </c>
      <c r="E211" s="8" t="s">
        <v>8</v>
      </c>
    </row>
    <row r="212">
      <c r="B212" s="31"/>
      <c r="D212" s="8" t="s">
        <v>8</v>
      </c>
      <c r="E212" s="8" t="s">
        <v>8</v>
      </c>
    </row>
    <row r="213">
      <c r="B213" s="31"/>
      <c r="D213" s="8" t="s">
        <v>8</v>
      </c>
      <c r="E213" s="8" t="s">
        <v>8</v>
      </c>
    </row>
    <row r="214">
      <c r="B214" s="31"/>
      <c r="D214" s="8" t="s">
        <v>8</v>
      </c>
      <c r="E214" s="8" t="s">
        <v>8</v>
      </c>
    </row>
    <row r="215">
      <c r="B215" s="31"/>
      <c r="D215" s="8" t="s">
        <v>8</v>
      </c>
      <c r="E215" s="8" t="s">
        <v>8</v>
      </c>
    </row>
    <row r="216">
      <c r="B216" s="31"/>
      <c r="D216" s="8" t="s">
        <v>8</v>
      </c>
      <c r="E216" s="8" t="s">
        <v>8</v>
      </c>
    </row>
    <row r="217">
      <c r="B217" s="31"/>
      <c r="D217" s="8" t="s">
        <v>8</v>
      </c>
      <c r="E217" s="8" t="s">
        <v>8</v>
      </c>
    </row>
    <row r="218">
      <c r="B218" s="31"/>
      <c r="D218" s="8" t="s">
        <v>8</v>
      </c>
      <c r="E218" s="8" t="s">
        <v>8</v>
      </c>
    </row>
    <row r="219">
      <c r="B219" s="31"/>
      <c r="D219" s="8" t="s">
        <v>8</v>
      </c>
      <c r="E219" s="8" t="s">
        <v>8</v>
      </c>
    </row>
    <row r="220">
      <c r="B220" s="31"/>
      <c r="D220" s="8" t="s">
        <v>8</v>
      </c>
      <c r="E220" s="8" t="s">
        <v>8</v>
      </c>
    </row>
    <row r="221">
      <c r="B221" s="31"/>
      <c r="D221" s="8" t="s">
        <v>8</v>
      </c>
      <c r="E221" s="8" t="s">
        <v>8</v>
      </c>
    </row>
    <row r="222">
      <c r="B222" s="31"/>
      <c r="D222" s="8" t="s">
        <v>8</v>
      </c>
      <c r="E222" s="8" t="s">
        <v>8</v>
      </c>
    </row>
    <row r="223">
      <c r="B223" s="31"/>
      <c r="D223" s="8" t="s">
        <v>8</v>
      </c>
      <c r="E223" s="8" t="s">
        <v>8</v>
      </c>
    </row>
    <row r="224">
      <c r="B224" s="31"/>
      <c r="D224" s="8" t="s">
        <v>8</v>
      </c>
      <c r="E224" s="8" t="s">
        <v>8</v>
      </c>
    </row>
    <row r="225">
      <c r="B225" s="31"/>
      <c r="D225" s="8" t="s">
        <v>8</v>
      </c>
      <c r="E225" s="8" t="s">
        <v>8</v>
      </c>
    </row>
    <row r="226">
      <c r="B226" s="31"/>
      <c r="D226" s="8" t="s">
        <v>8</v>
      </c>
      <c r="E226" s="8" t="s">
        <v>8</v>
      </c>
    </row>
    <row r="227">
      <c r="B227" s="31"/>
      <c r="D227" s="8" t="s">
        <v>8</v>
      </c>
      <c r="E227" s="8" t="s">
        <v>8</v>
      </c>
    </row>
    <row r="228">
      <c r="B228" s="31"/>
      <c r="D228" s="8" t="s">
        <v>8</v>
      </c>
      <c r="E228" s="8" t="s">
        <v>8</v>
      </c>
    </row>
    <row r="229">
      <c r="B229" s="31"/>
      <c r="D229" s="8" t="s">
        <v>8</v>
      </c>
      <c r="E229" s="8" t="s">
        <v>8</v>
      </c>
    </row>
    <row r="230">
      <c r="B230" s="31"/>
      <c r="D230" s="8" t="s">
        <v>8</v>
      </c>
      <c r="E230" s="8" t="s">
        <v>8</v>
      </c>
    </row>
    <row r="231">
      <c r="B231" s="31"/>
      <c r="D231" s="8" t="s">
        <v>8</v>
      </c>
      <c r="E231" s="8" t="s">
        <v>8</v>
      </c>
    </row>
    <row r="232">
      <c r="B232" s="31"/>
      <c r="D232" s="8" t="s">
        <v>8</v>
      </c>
      <c r="E232" s="8" t="s">
        <v>8</v>
      </c>
    </row>
    <row r="233">
      <c r="B233" s="31"/>
      <c r="D233" s="8" t="s">
        <v>8</v>
      </c>
      <c r="E233" s="8" t="s">
        <v>8</v>
      </c>
    </row>
    <row r="234">
      <c r="B234" s="31"/>
      <c r="D234" s="8" t="s">
        <v>8</v>
      </c>
      <c r="E234" s="8" t="s">
        <v>8</v>
      </c>
    </row>
    <row r="235">
      <c r="B235" s="31"/>
      <c r="D235" s="8" t="s">
        <v>8</v>
      </c>
      <c r="E235" s="8" t="s">
        <v>8</v>
      </c>
    </row>
    <row r="236">
      <c r="B236" s="31"/>
      <c r="D236" s="8" t="s">
        <v>8</v>
      </c>
      <c r="E236" s="8" t="s">
        <v>8</v>
      </c>
    </row>
    <row r="237">
      <c r="B237" s="31"/>
      <c r="D237" s="8" t="s">
        <v>8</v>
      </c>
      <c r="E237" s="8" t="s">
        <v>8</v>
      </c>
    </row>
    <row r="238">
      <c r="B238" s="31"/>
      <c r="D238" s="8" t="s">
        <v>8</v>
      </c>
      <c r="E238" s="8" t="s">
        <v>8</v>
      </c>
    </row>
    <row r="239">
      <c r="B239" s="31"/>
      <c r="D239" s="8" t="s">
        <v>8</v>
      </c>
      <c r="E239" s="8" t="s">
        <v>8</v>
      </c>
    </row>
    <row r="240">
      <c r="B240" s="31"/>
      <c r="D240" s="8" t="s">
        <v>8</v>
      </c>
      <c r="E240" s="8" t="s">
        <v>8</v>
      </c>
    </row>
    <row r="241">
      <c r="B241" s="31"/>
      <c r="D241" s="8" t="s">
        <v>8</v>
      </c>
      <c r="E241" s="8" t="s">
        <v>8</v>
      </c>
    </row>
    <row r="242">
      <c r="B242" s="31"/>
      <c r="D242" s="8" t="s">
        <v>8</v>
      </c>
      <c r="E242" s="8" t="s">
        <v>8</v>
      </c>
    </row>
    <row r="243">
      <c r="B243" s="31"/>
      <c r="D243" s="8" t="s">
        <v>8</v>
      </c>
      <c r="E243" s="8" t="s">
        <v>8</v>
      </c>
    </row>
    <row r="244">
      <c r="B244" s="31"/>
      <c r="D244" s="8" t="s">
        <v>8</v>
      </c>
      <c r="E244" s="8" t="s">
        <v>8</v>
      </c>
    </row>
    <row r="245">
      <c r="B245" s="31"/>
      <c r="D245" s="8" t="s">
        <v>8</v>
      </c>
      <c r="E245" s="8" t="s">
        <v>8</v>
      </c>
    </row>
    <row r="246">
      <c r="B246" s="31"/>
      <c r="D246" s="8" t="s">
        <v>8</v>
      </c>
      <c r="E246" s="8" t="s">
        <v>8</v>
      </c>
    </row>
    <row r="247">
      <c r="B247" s="31"/>
      <c r="D247" s="8" t="s">
        <v>8</v>
      </c>
      <c r="E247" s="8" t="s">
        <v>8</v>
      </c>
    </row>
    <row r="248">
      <c r="B248" s="31"/>
      <c r="D248" s="8" t="s">
        <v>8</v>
      </c>
      <c r="E248" s="8" t="s">
        <v>8</v>
      </c>
    </row>
    <row r="249">
      <c r="B249" s="31"/>
      <c r="D249" s="8" t="s">
        <v>8</v>
      </c>
      <c r="E249" s="8" t="s">
        <v>8</v>
      </c>
    </row>
    <row r="250">
      <c r="B250" s="31"/>
      <c r="D250" s="8" t="s">
        <v>8</v>
      </c>
      <c r="E250" s="8" t="s">
        <v>8</v>
      </c>
    </row>
    <row r="251">
      <c r="B251" s="31"/>
      <c r="D251" s="8" t="s">
        <v>8</v>
      </c>
      <c r="E251" s="8" t="s">
        <v>8</v>
      </c>
    </row>
    <row r="252">
      <c r="B252" s="31"/>
      <c r="D252" s="8" t="s">
        <v>8</v>
      </c>
      <c r="E252" s="8" t="s">
        <v>8</v>
      </c>
    </row>
    <row r="253">
      <c r="B253" s="31"/>
      <c r="D253" s="8" t="s">
        <v>8</v>
      </c>
      <c r="E253" s="8" t="s">
        <v>8</v>
      </c>
    </row>
    <row r="254">
      <c r="B254" s="31"/>
      <c r="D254" s="8" t="s">
        <v>8</v>
      </c>
      <c r="E254" s="8" t="s">
        <v>8</v>
      </c>
    </row>
    <row r="255">
      <c r="B255" s="31"/>
      <c r="D255" s="8" t="s">
        <v>8</v>
      </c>
      <c r="E255" s="8" t="s">
        <v>8</v>
      </c>
    </row>
    <row r="256">
      <c r="B256" s="31"/>
      <c r="D256" s="8" t="s">
        <v>8</v>
      </c>
      <c r="E256" s="8" t="s">
        <v>8</v>
      </c>
    </row>
    <row r="257">
      <c r="B257" s="31"/>
      <c r="D257" s="8" t="s">
        <v>8</v>
      </c>
      <c r="E257" s="8" t="s">
        <v>8</v>
      </c>
    </row>
    <row r="258">
      <c r="B258" s="31"/>
      <c r="D258" s="8" t="s">
        <v>8</v>
      </c>
      <c r="E258" s="8" t="s">
        <v>8</v>
      </c>
    </row>
    <row r="259">
      <c r="B259" s="31"/>
      <c r="D259" s="8" t="s">
        <v>8</v>
      </c>
      <c r="E259" s="8" t="s">
        <v>8</v>
      </c>
    </row>
    <row r="260">
      <c r="B260" s="31"/>
      <c r="D260" s="8" t="s">
        <v>8</v>
      </c>
      <c r="E260" s="8" t="s">
        <v>8</v>
      </c>
    </row>
    <row r="261">
      <c r="B261" s="31"/>
      <c r="D261" s="8" t="s">
        <v>8</v>
      </c>
      <c r="E261" s="8" t="s">
        <v>8</v>
      </c>
    </row>
    <row r="262">
      <c r="B262" s="31"/>
      <c r="D262" s="8" t="s">
        <v>8</v>
      </c>
      <c r="E262" s="8" t="s">
        <v>8</v>
      </c>
    </row>
    <row r="263">
      <c r="B263" s="31"/>
      <c r="D263" s="8" t="s">
        <v>8</v>
      </c>
      <c r="E263" s="8" t="s">
        <v>8</v>
      </c>
    </row>
    <row r="264">
      <c r="B264" s="31"/>
      <c r="D264" s="8" t="s">
        <v>8</v>
      </c>
      <c r="E264" s="8" t="s">
        <v>8</v>
      </c>
    </row>
    <row r="265">
      <c r="B265" s="31"/>
      <c r="D265" s="8" t="s">
        <v>8</v>
      </c>
      <c r="E265" s="8" t="s">
        <v>8</v>
      </c>
    </row>
    <row r="266">
      <c r="B266" s="31"/>
      <c r="D266" s="8" t="s">
        <v>8</v>
      </c>
      <c r="E266" s="8" t="s">
        <v>8</v>
      </c>
    </row>
    <row r="267">
      <c r="B267" s="31"/>
      <c r="D267" s="8" t="s">
        <v>8</v>
      </c>
      <c r="E267" s="8" t="s">
        <v>8</v>
      </c>
    </row>
    <row r="268">
      <c r="B268" s="31"/>
      <c r="D268" s="8" t="s">
        <v>8</v>
      </c>
      <c r="E268" s="8" t="s">
        <v>8</v>
      </c>
    </row>
    <row r="269">
      <c r="B269" s="31"/>
      <c r="D269" s="8" t="s">
        <v>8</v>
      </c>
      <c r="E269" s="8" t="s">
        <v>8</v>
      </c>
    </row>
    <row r="270">
      <c r="B270" s="31"/>
      <c r="D270" s="8" t="s">
        <v>8</v>
      </c>
      <c r="E270" s="8" t="s">
        <v>8</v>
      </c>
    </row>
    <row r="271">
      <c r="B271" s="31"/>
      <c r="D271" s="8" t="s">
        <v>8</v>
      </c>
      <c r="E271" s="8" t="s">
        <v>8</v>
      </c>
    </row>
    <row r="272">
      <c r="B272" s="31"/>
      <c r="D272" s="8" t="s">
        <v>8</v>
      </c>
      <c r="E272" s="8" t="s">
        <v>8</v>
      </c>
    </row>
    <row r="273">
      <c r="B273" s="31"/>
      <c r="D273" s="8" t="s">
        <v>8</v>
      </c>
      <c r="E273" s="8" t="s">
        <v>8</v>
      </c>
    </row>
    <row r="274">
      <c r="B274" s="31"/>
      <c r="D274" s="8" t="s">
        <v>8</v>
      </c>
      <c r="E274" s="8" t="s">
        <v>8</v>
      </c>
    </row>
    <row r="275">
      <c r="B275" s="31"/>
      <c r="D275" s="8" t="s">
        <v>8</v>
      </c>
      <c r="E275" s="8" t="s">
        <v>8</v>
      </c>
    </row>
    <row r="276">
      <c r="B276" s="31"/>
      <c r="D276" s="8" t="s">
        <v>8</v>
      </c>
      <c r="E276" s="8" t="s">
        <v>8</v>
      </c>
    </row>
    <row r="277">
      <c r="B277" s="31"/>
      <c r="D277" s="8" t="s">
        <v>8</v>
      </c>
      <c r="E277" s="8" t="s">
        <v>8</v>
      </c>
    </row>
    <row r="278">
      <c r="B278" s="31"/>
      <c r="D278" s="8" t="s">
        <v>8</v>
      </c>
      <c r="E278" s="8" t="s">
        <v>8</v>
      </c>
    </row>
    <row r="279">
      <c r="B279" s="31"/>
      <c r="D279" s="8" t="s">
        <v>8</v>
      </c>
      <c r="E279" s="8" t="s">
        <v>8</v>
      </c>
    </row>
    <row r="280">
      <c r="B280" s="31"/>
      <c r="D280" s="8" t="s">
        <v>8</v>
      </c>
      <c r="E280" s="8" t="s">
        <v>8</v>
      </c>
    </row>
    <row r="281">
      <c r="B281" s="31"/>
      <c r="D281" s="8" t="s">
        <v>8</v>
      </c>
      <c r="E281" s="8" t="s">
        <v>8</v>
      </c>
    </row>
    <row r="282">
      <c r="B282" s="31"/>
      <c r="D282" s="8" t="s">
        <v>8</v>
      </c>
      <c r="E282" s="8" t="s">
        <v>8</v>
      </c>
    </row>
    <row r="283">
      <c r="B283" s="31"/>
      <c r="D283" s="8" t="s">
        <v>8</v>
      </c>
      <c r="E283" s="8" t="s">
        <v>8</v>
      </c>
    </row>
    <row r="284">
      <c r="B284" s="31"/>
      <c r="D284" s="8" t="s">
        <v>8</v>
      </c>
      <c r="E284" s="8" t="s">
        <v>8</v>
      </c>
    </row>
    <row r="285">
      <c r="B285" s="31"/>
      <c r="D285" s="8" t="s">
        <v>8</v>
      </c>
      <c r="E285" s="8" t="s">
        <v>8</v>
      </c>
    </row>
    <row r="286">
      <c r="B286" s="31"/>
      <c r="D286" s="8" t="s">
        <v>8</v>
      </c>
      <c r="E286" s="8" t="s">
        <v>8</v>
      </c>
    </row>
    <row r="287">
      <c r="B287" s="31"/>
      <c r="D287" s="8" t="s">
        <v>8</v>
      </c>
      <c r="E287" s="8" t="s">
        <v>8</v>
      </c>
    </row>
    <row r="288">
      <c r="B288" s="31"/>
      <c r="D288" s="8" t="s">
        <v>8</v>
      </c>
      <c r="E288" s="8" t="s">
        <v>8</v>
      </c>
    </row>
    <row r="289">
      <c r="B289" s="31"/>
      <c r="D289" s="8" t="s">
        <v>8</v>
      </c>
      <c r="E289" s="8" t="s">
        <v>8</v>
      </c>
    </row>
    <row r="290">
      <c r="B290" s="31"/>
      <c r="D290" s="8" t="s">
        <v>8</v>
      </c>
      <c r="E290" s="8" t="s">
        <v>8</v>
      </c>
    </row>
    <row r="291">
      <c r="B291" s="31"/>
      <c r="D291" s="8" t="s">
        <v>8</v>
      </c>
      <c r="E291" s="8" t="s">
        <v>8</v>
      </c>
    </row>
    <row r="292">
      <c r="B292" s="31"/>
      <c r="D292" s="8" t="s">
        <v>8</v>
      </c>
      <c r="E292" s="8" t="s">
        <v>8</v>
      </c>
    </row>
    <row r="293">
      <c r="B293" s="31"/>
      <c r="D293" s="8" t="s">
        <v>8</v>
      </c>
      <c r="E293" s="8" t="s">
        <v>8</v>
      </c>
    </row>
    <row r="294">
      <c r="B294" s="31"/>
      <c r="D294" s="8" t="s">
        <v>8</v>
      </c>
      <c r="E294" s="8" t="s">
        <v>8</v>
      </c>
    </row>
    <row r="295">
      <c r="B295" s="31"/>
      <c r="D295" s="8" t="s">
        <v>8</v>
      </c>
      <c r="E295" s="8" t="s">
        <v>8</v>
      </c>
    </row>
    <row r="296">
      <c r="B296" s="31"/>
      <c r="D296" s="8" t="s">
        <v>8</v>
      </c>
      <c r="E296" s="8" t="s">
        <v>8</v>
      </c>
    </row>
    <row r="297">
      <c r="B297" s="31"/>
      <c r="D297" s="8" t="s">
        <v>8</v>
      </c>
      <c r="E297" s="8" t="s">
        <v>8</v>
      </c>
    </row>
    <row r="298">
      <c r="B298" s="31"/>
      <c r="D298" s="8" t="s">
        <v>8</v>
      </c>
      <c r="E298" s="8" t="s">
        <v>8</v>
      </c>
    </row>
    <row r="299">
      <c r="B299" s="31"/>
      <c r="D299" s="8" t="s">
        <v>8</v>
      </c>
      <c r="E299" s="8" t="s">
        <v>8</v>
      </c>
    </row>
    <row r="300">
      <c r="B300" s="31"/>
      <c r="D300" s="8" t="s">
        <v>8</v>
      </c>
      <c r="E300" s="8" t="s">
        <v>8</v>
      </c>
    </row>
    <row r="301">
      <c r="B301" s="31"/>
      <c r="D301" s="8" t="s">
        <v>8</v>
      </c>
      <c r="E301" s="8" t="s">
        <v>8</v>
      </c>
    </row>
    <row r="302">
      <c r="B302" s="31"/>
      <c r="D302" s="8" t="s">
        <v>8</v>
      </c>
      <c r="E302" s="8" t="s">
        <v>8</v>
      </c>
    </row>
    <row r="303">
      <c r="B303" s="31"/>
      <c r="D303" s="8" t="s">
        <v>8</v>
      </c>
      <c r="E303" s="8" t="s">
        <v>8</v>
      </c>
    </row>
    <row r="304">
      <c r="B304" s="31"/>
      <c r="D304" s="8" t="s">
        <v>8</v>
      </c>
      <c r="E304" s="8" t="s">
        <v>8</v>
      </c>
    </row>
    <row r="305">
      <c r="B305" s="31"/>
      <c r="D305" s="8" t="s">
        <v>8</v>
      </c>
      <c r="E305" s="8" t="s">
        <v>8</v>
      </c>
    </row>
    <row r="306">
      <c r="B306" s="31"/>
      <c r="D306" s="8" t="s">
        <v>8</v>
      </c>
      <c r="E306" s="8" t="s">
        <v>8</v>
      </c>
    </row>
    <row r="307">
      <c r="B307" s="31"/>
      <c r="D307" s="8" t="s">
        <v>8</v>
      </c>
      <c r="E307" s="8" t="s">
        <v>8</v>
      </c>
    </row>
    <row r="308">
      <c r="B308" s="31"/>
      <c r="D308" s="8" t="s">
        <v>8</v>
      </c>
      <c r="E308" s="8" t="s">
        <v>8</v>
      </c>
    </row>
    <row r="309">
      <c r="B309" s="31"/>
      <c r="D309" s="8" t="s">
        <v>8</v>
      </c>
      <c r="E309" s="8" t="s">
        <v>8</v>
      </c>
    </row>
    <row r="310">
      <c r="B310" s="31"/>
      <c r="D310" s="8" t="s">
        <v>8</v>
      </c>
      <c r="E310" s="8" t="s">
        <v>8</v>
      </c>
    </row>
    <row r="311">
      <c r="B311" s="31"/>
      <c r="D311" s="8" t="s">
        <v>8</v>
      </c>
      <c r="E311" s="8" t="s">
        <v>8</v>
      </c>
    </row>
    <row r="312">
      <c r="B312" s="31"/>
      <c r="D312" s="8" t="s">
        <v>8</v>
      </c>
      <c r="E312" s="8" t="s">
        <v>8</v>
      </c>
    </row>
    <row r="313">
      <c r="B313" s="31"/>
      <c r="D313" s="8" t="s">
        <v>8</v>
      </c>
      <c r="E313" s="8" t="s">
        <v>8</v>
      </c>
    </row>
    <row r="314">
      <c r="B314" s="31"/>
      <c r="D314" s="8" t="s">
        <v>8</v>
      </c>
      <c r="E314" s="8" t="s">
        <v>8</v>
      </c>
    </row>
    <row r="315">
      <c r="B315" s="31"/>
      <c r="D315" s="8" t="s">
        <v>8</v>
      </c>
      <c r="E315" s="8" t="s">
        <v>8</v>
      </c>
    </row>
    <row r="316">
      <c r="B316" s="31"/>
      <c r="D316" s="8" t="s">
        <v>8</v>
      </c>
      <c r="E316" s="8" t="s">
        <v>8</v>
      </c>
    </row>
    <row r="317">
      <c r="B317" s="31"/>
      <c r="D317" s="8" t="s">
        <v>8</v>
      </c>
      <c r="E317" s="8" t="s">
        <v>8</v>
      </c>
    </row>
    <row r="318">
      <c r="B318" s="31"/>
      <c r="D318" s="8" t="s">
        <v>8</v>
      </c>
      <c r="E318" s="8" t="s">
        <v>8</v>
      </c>
    </row>
    <row r="319">
      <c r="B319" s="31"/>
      <c r="D319" s="8" t="s">
        <v>8</v>
      </c>
      <c r="E319" s="8" t="s">
        <v>8</v>
      </c>
    </row>
    <row r="320">
      <c r="B320" s="31"/>
      <c r="D320" s="8" t="s">
        <v>8</v>
      </c>
      <c r="E320" s="8" t="s">
        <v>8</v>
      </c>
    </row>
    <row r="321">
      <c r="B321" s="31"/>
      <c r="D321" s="8" t="s">
        <v>8</v>
      </c>
      <c r="E321" s="8" t="s">
        <v>8</v>
      </c>
    </row>
    <row r="322">
      <c r="B322" s="31"/>
      <c r="D322" s="8" t="s">
        <v>8</v>
      </c>
      <c r="E322" s="8" t="s">
        <v>8</v>
      </c>
    </row>
    <row r="323">
      <c r="B323" s="31"/>
      <c r="D323" s="8" t="s">
        <v>8</v>
      </c>
      <c r="E323" s="8" t="s">
        <v>8</v>
      </c>
    </row>
    <row r="324">
      <c r="B324" s="31"/>
      <c r="D324" s="8" t="s">
        <v>8</v>
      </c>
      <c r="E324" s="8" t="s">
        <v>8</v>
      </c>
    </row>
    <row r="325">
      <c r="B325" s="31"/>
      <c r="D325" s="8" t="s">
        <v>8</v>
      </c>
      <c r="E325" s="8" t="s">
        <v>8</v>
      </c>
    </row>
    <row r="326">
      <c r="B326" s="31"/>
      <c r="D326" s="8" t="s">
        <v>8</v>
      </c>
      <c r="E326" s="8" t="s">
        <v>8</v>
      </c>
    </row>
    <row r="327">
      <c r="B327" s="31"/>
      <c r="D327" s="8" t="s">
        <v>8</v>
      </c>
      <c r="E327" s="8" t="s">
        <v>8</v>
      </c>
    </row>
    <row r="328">
      <c r="B328" s="31"/>
      <c r="D328" s="8" t="s">
        <v>8</v>
      </c>
      <c r="E328" s="8" t="s">
        <v>8</v>
      </c>
    </row>
    <row r="329">
      <c r="B329" s="31"/>
      <c r="D329" s="8" t="s">
        <v>8</v>
      </c>
      <c r="E329" s="8" t="s">
        <v>8</v>
      </c>
    </row>
    <row r="330">
      <c r="B330" s="31"/>
      <c r="D330" s="8" t="s">
        <v>8</v>
      </c>
      <c r="E330" s="8" t="s">
        <v>8</v>
      </c>
    </row>
    <row r="331">
      <c r="B331" s="31"/>
      <c r="D331" s="8" t="s">
        <v>8</v>
      </c>
      <c r="E331" s="8" t="s">
        <v>8</v>
      </c>
    </row>
    <row r="332">
      <c r="B332" s="31"/>
      <c r="D332" s="8" t="s">
        <v>8</v>
      </c>
      <c r="E332" s="8" t="s">
        <v>8</v>
      </c>
    </row>
    <row r="333">
      <c r="B333" s="31"/>
      <c r="D333" s="8" t="s">
        <v>8</v>
      </c>
      <c r="E333" s="8" t="s">
        <v>8</v>
      </c>
    </row>
    <row r="334">
      <c r="B334" s="31"/>
      <c r="D334" s="8" t="s">
        <v>8</v>
      </c>
      <c r="E334" s="8" t="s">
        <v>8</v>
      </c>
    </row>
    <row r="335">
      <c r="B335" s="31"/>
      <c r="D335" s="8" t="s">
        <v>8</v>
      </c>
      <c r="E335" s="8" t="s">
        <v>8</v>
      </c>
    </row>
    <row r="336">
      <c r="B336" s="31"/>
      <c r="D336" s="8" t="s">
        <v>8</v>
      </c>
      <c r="E336" s="8" t="s">
        <v>8</v>
      </c>
    </row>
    <row r="337">
      <c r="B337" s="31"/>
      <c r="D337" s="8" t="s">
        <v>8</v>
      </c>
      <c r="E337" s="8" t="s">
        <v>8</v>
      </c>
    </row>
    <row r="338">
      <c r="B338" s="31"/>
      <c r="D338" s="8" t="s">
        <v>8</v>
      </c>
      <c r="E338" s="8" t="s">
        <v>8</v>
      </c>
    </row>
    <row r="339">
      <c r="B339" s="31"/>
      <c r="D339" s="8" t="s">
        <v>8</v>
      </c>
      <c r="E339" s="8" t="s">
        <v>8</v>
      </c>
    </row>
    <row r="340">
      <c r="B340" s="31"/>
      <c r="D340" s="8" t="s">
        <v>8</v>
      </c>
      <c r="E340" s="8" t="s">
        <v>8</v>
      </c>
    </row>
    <row r="341">
      <c r="B341" s="31"/>
      <c r="D341" s="8" t="s">
        <v>8</v>
      </c>
      <c r="E341" s="8" t="s">
        <v>8</v>
      </c>
    </row>
    <row r="342">
      <c r="B342" s="31"/>
      <c r="D342" s="8" t="s">
        <v>8</v>
      </c>
      <c r="E342" s="8" t="s">
        <v>8</v>
      </c>
    </row>
    <row r="343">
      <c r="B343" s="31"/>
      <c r="D343" s="8" t="s">
        <v>8</v>
      </c>
      <c r="E343" s="8" t="s">
        <v>8</v>
      </c>
    </row>
    <row r="344">
      <c r="B344" s="31"/>
      <c r="D344" s="8" t="s">
        <v>8</v>
      </c>
      <c r="E344" s="8" t="s">
        <v>8</v>
      </c>
    </row>
    <row r="345">
      <c r="B345" s="31"/>
      <c r="D345" s="8" t="s">
        <v>8</v>
      </c>
      <c r="E345" s="8" t="s">
        <v>8</v>
      </c>
    </row>
    <row r="346">
      <c r="B346" s="31"/>
      <c r="D346" s="8" t="s">
        <v>8</v>
      </c>
      <c r="E346" s="8" t="s">
        <v>8</v>
      </c>
    </row>
    <row r="347">
      <c r="B347" s="31"/>
      <c r="D347" s="8" t="s">
        <v>8</v>
      </c>
      <c r="E347" s="8" t="s">
        <v>8</v>
      </c>
    </row>
    <row r="348">
      <c r="B348" s="31"/>
      <c r="D348" s="8" t="s">
        <v>8</v>
      </c>
      <c r="E348" s="8" t="s">
        <v>8</v>
      </c>
    </row>
    <row r="349">
      <c r="B349" s="31"/>
      <c r="D349" s="8" t="s">
        <v>8</v>
      </c>
      <c r="E349" s="8" t="s">
        <v>8</v>
      </c>
    </row>
    <row r="350">
      <c r="B350" s="31"/>
      <c r="D350" s="8" t="s">
        <v>8</v>
      </c>
      <c r="E350" s="8" t="s">
        <v>8</v>
      </c>
    </row>
    <row r="351">
      <c r="B351" s="31"/>
      <c r="D351" s="8" t="s">
        <v>8</v>
      </c>
      <c r="E351" s="8" t="s">
        <v>8</v>
      </c>
    </row>
    <row r="352">
      <c r="B352" s="31"/>
      <c r="D352" s="8" t="s">
        <v>8</v>
      </c>
      <c r="E352" s="8" t="s">
        <v>8</v>
      </c>
    </row>
    <row r="353">
      <c r="B353" s="31"/>
      <c r="D353" s="8" t="s">
        <v>8</v>
      </c>
      <c r="E353" s="8" t="s">
        <v>8</v>
      </c>
    </row>
    <row r="354">
      <c r="B354" s="31"/>
      <c r="D354" s="8" t="s">
        <v>8</v>
      </c>
      <c r="E354" s="8" t="s">
        <v>8</v>
      </c>
    </row>
    <row r="355">
      <c r="B355" s="31"/>
      <c r="D355" s="8" t="s">
        <v>8</v>
      </c>
      <c r="E355" s="8" t="s">
        <v>8</v>
      </c>
    </row>
    <row r="356">
      <c r="B356" s="31"/>
      <c r="D356" s="8" t="s">
        <v>8</v>
      </c>
      <c r="E356" s="8" t="s">
        <v>8</v>
      </c>
    </row>
    <row r="357">
      <c r="B357" s="31"/>
      <c r="D357" s="8" t="s">
        <v>8</v>
      </c>
      <c r="E357" s="8" t="s">
        <v>8</v>
      </c>
    </row>
    <row r="358">
      <c r="B358" s="31"/>
      <c r="D358" s="8" t="s">
        <v>8</v>
      </c>
      <c r="E358" s="8" t="s">
        <v>8</v>
      </c>
    </row>
    <row r="359">
      <c r="B359" s="31"/>
      <c r="D359" s="8" t="s">
        <v>8</v>
      </c>
      <c r="E359" s="8" t="s">
        <v>8</v>
      </c>
    </row>
    <row r="360">
      <c r="B360" s="31"/>
      <c r="D360" s="8" t="s">
        <v>8</v>
      </c>
      <c r="E360" s="8" t="s">
        <v>8</v>
      </c>
    </row>
    <row r="361">
      <c r="B361" s="31"/>
      <c r="D361" s="8" t="s">
        <v>8</v>
      </c>
      <c r="E361" s="8" t="s">
        <v>8</v>
      </c>
    </row>
    <row r="362">
      <c r="B362" s="31"/>
      <c r="D362" s="8" t="s">
        <v>8</v>
      </c>
      <c r="E362" s="8" t="s">
        <v>8</v>
      </c>
    </row>
    <row r="363">
      <c r="B363" s="31"/>
      <c r="D363" s="8" t="s">
        <v>8</v>
      </c>
      <c r="E363" s="8" t="s">
        <v>8</v>
      </c>
    </row>
    <row r="364">
      <c r="B364" s="31"/>
      <c r="D364" s="8" t="s">
        <v>8</v>
      </c>
      <c r="E364" s="8" t="s">
        <v>8</v>
      </c>
    </row>
    <row r="365">
      <c r="B365" s="31"/>
      <c r="D365" s="8" t="s">
        <v>8</v>
      </c>
      <c r="E365" s="8" t="s">
        <v>8</v>
      </c>
    </row>
    <row r="366">
      <c r="B366" s="31"/>
      <c r="D366" s="8" t="s">
        <v>8</v>
      </c>
      <c r="E366" s="8" t="s">
        <v>8</v>
      </c>
    </row>
    <row r="367">
      <c r="B367" s="31"/>
      <c r="D367" s="8" t="s">
        <v>8</v>
      </c>
      <c r="E367" s="8" t="s">
        <v>8</v>
      </c>
    </row>
    <row r="368">
      <c r="B368" s="31"/>
      <c r="D368" s="8" t="s">
        <v>8</v>
      </c>
      <c r="E368" s="8" t="s">
        <v>8</v>
      </c>
    </row>
    <row r="369">
      <c r="B369" s="31"/>
      <c r="D369" s="8" t="s">
        <v>8</v>
      </c>
      <c r="E369" s="8" t="s">
        <v>8</v>
      </c>
    </row>
    <row r="370">
      <c r="B370" s="31"/>
      <c r="D370" s="8" t="s">
        <v>8</v>
      </c>
      <c r="E370" s="8" t="s">
        <v>8</v>
      </c>
    </row>
    <row r="371">
      <c r="B371" s="31"/>
      <c r="D371" s="8" t="s">
        <v>8</v>
      </c>
      <c r="E371" s="8" t="s">
        <v>8</v>
      </c>
    </row>
    <row r="372">
      <c r="B372" s="31"/>
      <c r="D372" s="8" t="s">
        <v>8</v>
      </c>
      <c r="E372" s="8" t="s">
        <v>8</v>
      </c>
    </row>
    <row r="373">
      <c r="B373" s="31"/>
      <c r="D373" s="8" t="s">
        <v>8</v>
      </c>
      <c r="E373" s="8" t="s">
        <v>8</v>
      </c>
    </row>
    <row r="374">
      <c r="B374" s="31"/>
      <c r="D374" s="8" t="s">
        <v>8</v>
      </c>
      <c r="E374" s="8" t="s">
        <v>8</v>
      </c>
    </row>
    <row r="375">
      <c r="B375" s="31"/>
      <c r="D375" s="8" t="s">
        <v>8</v>
      </c>
      <c r="E375" s="8" t="s">
        <v>8</v>
      </c>
    </row>
    <row r="376">
      <c r="B376" s="31"/>
      <c r="D376" s="8" t="s">
        <v>8</v>
      </c>
      <c r="E376" s="8" t="s">
        <v>8</v>
      </c>
    </row>
    <row r="377">
      <c r="B377" s="31"/>
      <c r="D377" s="8" t="s">
        <v>8</v>
      </c>
      <c r="E377" s="8" t="s">
        <v>8</v>
      </c>
    </row>
    <row r="378">
      <c r="B378" s="31"/>
      <c r="D378" s="8" t="s">
        <v>8</v>
      </c>
      <c r="E378" s="8" t="s">
        <v>8</v>
      </c>
    </row>
    <row r="379">
      <c r="B379" s="31"/>
      <c r="D379" s="8" t="s">
        <v>8</v>
      </c>
      <c r="E379" s="8" t="s">
        <v>8</v>
      </c>
    </row>
    <row r="380">
      <c r="B380" s="31"/>
      <c r="D380" s="8" t="s">
        <v>8</v>
      </c>
      <c r="E380" s="8" t="s">
        <v>8</v>
      </c>
    </row>
    <row r="381">
      <c r="B381" s="31"/>
      <c r="D381" s="8" t="s">
        <v>8</v>
      </c>
      <c r="E381" s="8" t="s">
        <v>8</v>
      </c>
    </row>
    <row r="382">
      <c r="B382" s="31"/>
      <c r="D382" s="8" t="s">
        <v>8</v>
      </c>
      <c r="E382" s="8" t="s">
        <v>8</v>
      </c>
    </row>
    <row r="383">
      <c r="B383" s="31"/>
      <c r="D383" s="8" t="s">
        <v>8</v>
      </c>
      <c r="E383" s="8" t="s">
        <v>8</v>
      </c>
    </row>
    <row r="384">
      <c r="B384" s="31"/>
      <c r="D384" s="8" t="s">
        <v>8</v>
      </c>
      <c r="E384" s="8" t="s">
        <v>8</v>
      </c>
    </row>
    <row r="385">
      <c r="B385" s="31"/>
      <c r="D385" s="8" t="s">
        <v>8</v>
      </c>
      <c r="E385" s="8" t="s">
        <v>8</v>
      </c>
    </row>
    <row r="386">
      <c r="B386" s="31"/>
      <c r="D386" s="8" t="s">
        <v>8</v>
      </c>
      <c r="E386" s="8" t="s">
        <v>8</v>
      </c>
    </row>
    <row r="387">
      <c r="B387" s="31"/>
      <c r="D387" s="8" t="s">
        <v>8</v>
      </c>
      <c r="E387" s="8" t="s">
        <v>8</v>
      </c>
    </row>
    <row r="388">
      <c r="B388" s="31"/>
      <c r="D388" s="8" t="s">
        <v>8</v>
      </c>
      <c r="E388" s="8" t="s">
        <v>8</v>
      </c>
    </row>
    <row r="389">
      <c r="B389" s="31"/>
      <c r="D389" s="8" t="s">
        <v>8</v>
      </c>
      <c r="E389" s="8" t="s">
        <v>8</v>
      </c>
    </row>
    <row r="390">
      <c r="B390" s="31"/>
      <c r="D390" s="8" t="s">
        <v>8</v>
      </c>
      <c r="E390" s="8" t="s">
        <v>8</v>
      </c>
    </row>
    <row r="391">
      <c r="B391" s="31"/>
      <c r="D391" s="8" t="s">
        <v>8</v>
      </c>
      <c r="E391" s="8" t="s">
        <v>8</v>
      </c>
    </row>
    <row r="392">
      <c r="B392" s="31"/>
      <c r="D392" s="8" t="s">
        <v>8</v>
      </c>
      <c r="E392" s="8" t="s">
        <v>8</v>
      </c>
    </row>
    <row r="393">
      <c r="B393" s="31"/>
      <c r="D393" s="8" t="s">
        <v>8</v>
      </c>
      <c r="E393" s="8" t="s">
        <v>8</v>
      </c>
    </row>
    <row r="394">
      <c r="B394" s="31"/>
      <c r="D394" s="8" t="s">
        <v>8</v>
      </c>
      <c r="E394" s="8" t="s">
        <v>8</v>
      </c>
    </row>
    <row r="395">
      <c r="B395" s="31"/>
      <c r="D395" s="8" t="s">
        <v>8</v>
      </c>
      <c r="E395" s="8" t="s">
        <v>8</v>
      </c>
    </row>
    <row r="396">
      <c r="B396" s="31"/>
      <c r="D396" s="8" t="s">
        <v>8</v>
      </c>
      <c r="E396" s="8" t="s">
        <v>8</v>
      </c>
    </row>
    <row r="397">
      <c r="B397" s="31"/>
      <c r="D397" s="8" t="s">
        <v>8</v>
      </c>
      <c r="E397" s="8" t="s">
        <v>8</v>
      </c>
    </row>
    <row r="398">
      <c r="B398" s="31"/>
      <c r="D398" s="8" t="s">
        <v>8</v>
      </c>
      <c r="E398" s="8" t="s">
        <v>8</v>
      </c>
    </row>
    <row r="399">
      <c r="B399" s="31"/>
      <c r="D399" s="8" t="s">
        <v>8</v>
      </c>
      <c r="E399" s="8" t="s">
        <v>8</v>
      </c>
    </row>
    <row r="400">
      <c r="B400" s="31"/>
      <c r="D400" s="8" t="s">
        <v>8</v>
      </c>
      <c r="E400" s="8" t="s">
        <v>8</v>
      </c>
    </row>
    <row r="401">
      <c r="B401" s="31"/>
      <c r="D401" s="8" t="s">
        <v>8</v>
      </c>
      <c r="E401" s="8" t="s">
        <v>8</v>
      </c>
    </row>
    <row r="402">
      <c r="B402" s="31"/>
      <c r="D402" s="8" t="s">
        <v>8</v>
      </c>
      <c r="E402" s="8" t="s">
        <v>8</v>
      </c>
    </row>
    <row r="403">
      <c r="B403" s="31"/>
      <c r="D403" s="8" t="s">
        <v>8</v>
      </c>
      <c r="E403" s="8" t="s">
        <v>8</v>
      </c>
    </row>
    <row r="404">
      <c r="B404" s="31"/>
      <c r="D404" s="8" t="s">
        <v>8</v>
      </c>
      <c r="E404" s="8" t="s">
        <v>8</v>
      </c>
    </row>
    <row r="405">
      <c r="B405" s="31"/>
      <c r="D405" s="8" t="s">
        <v>8</v>
      </c>
      <c r="E405" s="8" t="s">
        <v>8</v>
      </c>
    </row>
    <row r="406">
      <c r="B406" s="31"/>
      <c r="D406" s="8" t="s">
        <v>8</v>
      </c>
      <c r="E406" s="8" t="s">
        <v>8</v>
      </c>
    </row>
    <row r="407">
      <c r="B407" s="31"/>
      <c r="D407" s="8" t="s">
        <v>8</v>
      </c>
      <c r="E407" s="8" t="s">
        <v>8</v>
      </c>
    </row>
    <row r="408">
      <c r="B408" s="31"/>
      <c r="D408" s="8" t="s">
        <v>8</v>
      </c>
      <c r="E408" s="8" t="s">
        <v>8</v>
      </c>
    </row>
    <row r="409">
      <c r="B409" s="31"/>
      <c r="D409" s="8" t="s">
        <v>8</v>
      </c>
      <c r="E409" s="8" t="s">
        <v>8</v>
      </c>
    </row>
    <row r="410">
      <c r="B410" s="31"/>
      <c r="D410" s="8" t="s">
        <v>8</v>
      </c>
      <c r="E410" s="8" t="s">
        <v>8</v>
      </c>
    </row>
    <row r="411">
      <c r="B411" s="31"/>
      <c r="D411" s="8" t="s">
        <v>8</v>
      </c>
      <c r="E411" s="8" t="s">
        <v>8</v>
      </c>
    </row>
    <row r="412">
      <c r="B412" s="31"/>
      <c r="D412" s="8" t="s">
        <v>8</v>
      </c>
      <c r="E412" s="8" t="s">
        <v>8</v>
      </c>
    </row>
    <row r="413">
      <c r="B413" s="31"/>
      <c r="D413" s="8" t="s">
        <v>8</v>
      </c>
      <c r="E413" s="8" t="s">
        <v>8</v>
      </c>
    </row>
    <row r="414">
      <c r="B414" s="31"/>
      <c r="D414" s="8" t="s">
        <v>8</v>
      </c>
      <c r="E414" s="8" t="s">
        <v>8</v>
      </c>
    </row>
    <row r="415">
      <c r="B415" s="31"/>
      <c r="D415" s="8" t="s">
        <v>8</v>
      </c>
      <c r="E415" s="8" t="s">
        <v>8</v>
      </c>
    </row>
    <row r="416">
      <c r="B416" s="31"/>
      <c r="D416" s="8" t="s">
        <v>8</v>
      </c>
      <c r="E416" s="8" t="s">
        <v>8</v>
      </c>
    </row>
    <row r="417">
      <c r="B417" s="31"/>
      <c r="D417" s="8" t="s">
        <v>8</v>
      </c>
      <c r="E417" s="8" t="s">
        <v>8</v>
      </c>
    </row>
    <row r="418">
      <c r="B418" s="31"/>
      <c r="D418" s="8" t="s">
        <v>8</v>
      </c>
      <c r="E418" s="8" t="s">
        <v>8</v>
      </c>
    </row>
    <row r="419">
      <c r="B419" s="31"/>
      <c r="D419" s="8" t="s">
        <v>8</v>
      </c>
      <c r="E419" s="8" t="s">
        <v>8</v>
      </c>
    </row>
    <row r="420">
      <c r="B420" s="31"/>
      <c r="D420" s="8" t="s">
        <v>8</v>
      </c>
      <c r="E420" s="8" t="s">
        <v>8</v>
      </c>
    </row>
    <row r="421">
      <c r="B421" s="31"/>
      <c r="D421" s="8" t="s">
        <v>8</v>
      </c>
      <c r="E421" s="8" t="s">
        <v>8</v>
      </c>
    </row>
    <row r="422">
      <c r="B422" s="31"/>
      <c r="D422" s="8" t="s">
        <v>8</v>
      </c>
      <c r="E422" s="8" t="s">
        <v>8</v>
      </c>
    </row>
    <row r="423">
      <c r="B423" s="31"/>
      <c r="D423" s="8" t="s">
        <v>8</v>
      </c>
      <c r="E423" s="8" t="s">
        <v>8</v>
      </c>
    </row>
    <row r="424">
      <c r="B424" s="31"/>
      <c r="D424" s="8" t="s">
        <v>8</v>
      </c>
      <c r="E424" s="8" t="s">
        <v>8</v>
      </c>
    </row>
    <row r="425">
      <c r="B425" s="31"/>
      <c r="D425" s="8" t="s">
        <v>8</v>
      </c>
      <c r="E425" s="8" t="s">
        <v>8</v>
      </c>
    </row>
    <row r="426">
      <c r="B426" s="31"/>
      <c r="D426" s="8" t="s">
        <v>8</v>
      </c>
      <c r="E426" s="8" t="s">
        <v>8</v>
      </c>
    </row>
    <row r="427">
      <c r="B427" s="31"/>
      <c r="D427" s="8" t="s">
        <v>8</v>
      </c>
      <c r="E427" s="8" t="s">
        <v>8</v>
      </c>
    </row>
    <row r="428">
      <c r="B428" s="31"/>
      <c r="D428" s="8" t="s">
        <v>8</v>
      </c>
      <c r="E428" s="8" t="s">
        <v>8</v>
      </c>
    </row>
    <row r="429">
      <c r="B429" s="31"/>
      <c r="D429" s="8" t="s">
        <v>8</v>
      </c>
      <c r="E429" s="8" t="s">
        <v>8</v>
      </c>
    </row>
    <row r="430">
      <c r="B430" s="31"/>
      <c r="D430" s="8" t="s">
        <v>8</v>
      </c>
      <c r="E430" s="8" t="s">
        <v>8</v>
      </c>
    </row>
    <row r="431">
      <c r="B431" s="31"/>
      <c r="D431" s="8" t="s">
        <v>8</v>
      </c>
      <c r="E431" s="8" t="s">
        <v>8</v>
      </c>
    </row>
    <row r="432">
      <c r="B432" s="31"/>
      <c r="D432" s="8" t="s">
        <v>8</v>
      </c>
      <c r="E432" s="8" t="s">
        <v>8</v>
      </c>
    </row>
    <row r="433">
      <c r="B433" s="31"/>
      <c r="D433" s="8" t="s">
        <v>8</v>
      </c>
      <c r="E433" s="8" t="s">
        <v>8</v>
      </c>
    </row>
    <row r="434">
      <c r="B434" s="31"/>
      <c r="D434" s="8" t="s">
        <v>8</v>
      </c>
      <c r="E434" s="8" t="s">
        <v>8</v>
      </c>
    </row>
    <row r="435">
      <c r="B435" s="31"/>
      <c r="D435" s="8" t="s">
        <v>8</v>
      </c>
      <c r="E435" s="8" t="s">
        <v>8</v>
      </c>
    </row>
    <row r="436">
      <c r="B436" s="31"/>
      <c r="D436" s="8" t="s">
        <v>8</v>
      </c>
      <c r="E436" s="8" t="s">
        <v>8</v>
      </c>
    </row>
    <row r="437">
      <c r="B437" s="31"/>
      <c r="D437" s="8" t="s">
        <v>8</v>
      </c>
      <c r="E437" s="8" t="s">
        <v>8</v>
      </c>
    </row>
    <row r="438">
      <c r="B438" s="31"/>
      <c r="D438" s="8" t="s">
        <v>8</v>
      </c>
      <c r="E438" s="8" t="s">
        <v>8</v>
      </c>
    </row>
    <row r="439">
      <c r="B439" s="31"/>
      <c r="D439" s="8" t="s">
        <v>8</v>
      </c>
      <c r="E439" s="8" t="s">
        <v>8</v>
      </c>
    </row>
    <row r="440">
      <c r="B440" s="31"/>
      <c r="D440" s="8" t="s">
        <v>8</v>
      </c>
      <c r="E440" s="8" t="s">
        <v>8</v>
      </c>
    </row>
    <row r="441">
      <c r="B441" s="31"/>
      <c r="D441" s="8" t="s">
        <v>8</v>
      </c>
      <c r="E441" s="8" t="s">
        <v>8</v>
      </c>
    </row>
    <row r="442">
      <c r="B442" s="31"/>
      <c r="D442" s="8" t="s">
        <v>8</v>
      </c>
      <c r="E442" s="8" t="s">
        <v>8</v>
      </c>
    </row>
    <row r="443">
      <c r="B443" s="31"/>
      <c r="D443" s="8" t="s">
        <v>8</v>
      </c>
      <c r="E443" s="8" t="s">
        <v>8</v>
      </c>
    </row>
    <row r="444">
      <c r="B444" s="31"/>
      <c r="D444" s="8" t="s">
        <v>8</v>
      </c>
      <c r="E444" s="8" t="s">
        <v>8</v>
      </c>
    </row>
    <row r="445">
      <c r="B445" s="31"/>
      <c r="D445" s="8" t="s">
        <v>8</v>
      </c>
      <c r="E445" s="8" t="s">
        <v>8</v>
      </c>
    </row>
    <row r="446">
      <c r="B446" s="31"/>
      <c r="D446" s="8" t="s">
        <v>8</v>
      </c>
      <c r="E446" s="8" t="s">
        <v>8</v>
      </c>
    </row>
    <row r="447">
      <c r="B447" s="31"/>
      <c r="D447" s="8" t="s">
        <v>8</v>
      </c>
      <c r="E447" s="8" t="s">
        <v>8</v>
      </c>
    </row>
    <row r="448">
      <c r="B448" s="31"/>
      <c r="D448" s="8" t="s">
        <v>8</v>
      </c>
      <c r="E448" s="8" t="s">
        <v>8</v>
      </c>
    </row>
    <row r="449">
      <c r="B449" s="31"/>
      <c r="D449" s="8" t="s">
        <v>8</v>
      </c>
      <c r="E449" s="8" t="s">
        <v>8</v>
      </c>
    </row>
    <row r="450">
      <c r="B450" s="31"/>
      <c r="D450" s="8" t="s">
        <v>8</v>
      </c>
      <c r="E450" s="8" t="s">
        <v>8</v>
      </c>
    </row>
    <row r="451">
      <c r="B451" s="31"/>
      <c r="D451" s="8" t="s">
        <v>8</v>
      </c>
      <c r="E451" s="8" t="s">
        <v>8</v>
      </c>
    </row>
    <row r="452">
      <c r="B452" s="31"/>
      <c r="D452" s="8" t="s">
        <v>8</v>
      </c>
      <c r="E452" s="8" t="s">
        <v>8</v>
      </c>
    </row>
    <row r="453">
      <c r="B453" s="31"/>
      <c r="D453" s="8" t="s">
        <v>8</v>
      </c>
      <c r="E453" s="8" t="s">
        <v>8</v>
      </c>
    </row>
    <row r="454">
      <c r="B454" s="31"/>
      <c r="D454" s="8" t="s">
        <v>8</v>
      </c>
      <c r="E454" s="8" t="s">
        <v>8</v>
      </c>
    </row>
    <row r="455">
      <c r="B455" s="31"/>
      <c r="D455" s="8" t="s">
        <v>8</v>
      </c>
      <c r="E455" s="8" t="s">
        <v>8</v>
      </c>
    </row>
    <row r="456">
      <c r="B456" s="31"/>
      <c r="D456" s="8" t="s">
        <v>8</v>
      </c>
      <c r="E456" s="8" t="s">
        <v>8</v>
      </c>
    </row>
    <row r="457">
      <c r="B457" s="31"/>
      <c r="D457" s="8" t="s">
        <v>8</v>
      </c>
      <c r="E457" s="8" t="s">
        <v>8</v>
      </c>
    </row>
    <row r="458">
      <c r="B458" s="31"/>
      <c r="D458" s="8" t="s">
        <v>8</v>
      </c>
      <c r="E458" s="8" t="s">
        <v>8</v>
      </c>
    </row>
    <row r="459">
      <c r="B459" s="31"/>
      <c r="D459" s="8" t="s">
        <v>8</v>
      </c>
      <c r="E459" s="8" t="s">
        <v>8</v>
      </c>
    </row>
    <row r="460">
      <c r="B460" s="31"/>
      <c r="D460" s="8" t="s">
        <v>8</v>
      </c>
      <c r="E460" s="8" t="s">
        <v>8</v>
      </c>
    </row>
    <row r="461">
      <c r="B461" s="31"/>
      <c r="D461" s="8" t="s">
        <v>8</v>
      </c>
      <c r="E461" s="8" t="s">
        <v>8</v>
      </c>
    </row>
    <row r="462">
      <c r="B462" s="31"/>
      <c r="D462" s="8" t="s">
        <v>8</v>
      </c>
      <c r="E462" s="8" t="s">
        <v>8</v>
      </c>
    </row>
    <row r="463">
      <c r="B463" s="31"/>
      <c r="D463" s="8" t="s">
        <v>8</v>
      </c>
      <c r="E463" s="8" t="s">
        <v>8</v>
      </c>
    </row>
    <row r="464">
      <c r="B464" s="31"/>
      <c r="D464" s="8" t="s">
        <v>8</v>
      </c>
      <c r="E464" s="8" t="s">
        <v>8</v>
      </c>
    </row>
    <row r="465">
      <c r="B465" s="31"/>
      <c r="D465" s="8" t="s">
        <v>8</v>
      </c>
      <c r="E465" s="8" t="s">
        <v>8</v>
      </c>
    </row>
    <row r="466">
      <c r="B466" s="31"/>
      <c r="D466" s="8" t="s">
        <v>8</v>
      </c>
      <c r="E466" s="8" t="s">
        <v>8</v>
      </c>
    </row>
    <row r="467">
      <c r="B467" s="31"/>
      <c r="D467" s="8" t="s">
        <v>8</v>
      </c>
      <c r="E467" s="8" t="s">
        <v>8</v>
      </c>
    </row>
    <row r="468">
      <c r="B468" s="31"/>
      <c r="D468" s="8" t="s">
        <v>8</v>
      </c>
      <c r="E468" s="8" t="s">
        <v>8</v>
      </c>
    </row>
    <row r="469">
      <c r="B469" s="31"/>
      <c r="D469" s="8" t="s">
        <v>8</v>
      </c>
      <c r="E469" s="8" t="s">
        <v>8</v>
      </c>
    </row>
    <row r="470">
      <c r="B470" s="31"/>
      <c r="D470" s="8" t="s">
        <v>8</v>
      </c>
      <c r="E470" s="8" t="s">
        <v>8</v>
      </c>
    </row>
    <row r="471">
      <c r="B471" s="31"/>
      <c r="D471" s="8" t="s">
        <v>8</v>
      </c>
      <c r="E471" s="8" t="s">
        <v>8</v>
      </c>
    </row>
    <row r="472">
      <c r="B472" s="31"/>
      <c r="D472" s="8" t="s">
        <v>8</v>
      </c>
      <c r="E472" s="8" t="s">
        <v>8</v>
      </c>
    </row>
    <row r="473">
      <c r="B473" s="31"/>
      <c r="D473" s="8" t="s">
        <v>8</v>
      </c>
      <c r="E473" s="8" t="s">
        <v>8</v>
      </c>
    </row>
    <row r="474">
      <c r="B474" s="31"/>
      <c r="D474" s="8" t="s">
        <v>8</v>
      </c>
      <c r="E474" s="8" t="s">
        <v>8</v>
      </c>
    </row>
    <row r="475">
      <c r="B475" s="31"/>
      <c r="D475" s="8" t="s">
        <v>8</v>
      </c>
      <c r="E475" s="8" t="s">
        <v>8</v>
      </c>
    </row>
    <row r="476">
      <c r="B476" s="31"/>
      <c r="D476" s="8" t="s">
        <v>8</v>
      </c>
      <c r="E476" s="8" t="s">
        <v>8</v>
      </c>
    </row>
    <row r="477">
      <c r="B477" s="31"/>
      <c r="D477" s="8" t="s">
        <v>8</v>
      </c>
      <c r="E477" s="8" t="s">
        <v>8</v>
      </c>
    </row>
    <row r="478">
      <c r="B478" s="31"/>
      <c r="D478" s="8" t="s">
        <v>8</v>
      </c>
      <c r="E478" s="8" t="s">
        <v>8</v>
      </c>
    </row>
    <row r="479">
      <c r="B479" s="31"/>
      <c r="D479" s="8" t="s">
        <v>8</v>
      </c>
      <c r="E479" s="8" t="s">
        <v>8</v>
      </c>
    </row>
    <row r="480">
      <c r="B480" s="31"/>
      <c r="D480" s="8" t="s">
        <v>8</v>
      </c>
      <c r="E480" s="8" t="s">
        <v>8</v>
      </c>
    </row>
    <row r="481">
      <c r="B481" s="31"/>
      <c r="D481" s="8" t="s">
        <v>8</v>
      </c>
      <c r="E481" s="8" t="s">
        <v>8</v>
      </c>
    </row>
    <row r="482">
      <c r="B482" s="31"/>
      <c r="D482" s="8" t="s">
        <v>8</v>
      </c>
      <c r="E482" s="8" t="s">
        <v>8</v>
      </c>
    </row>
    <row r="483">
      <c r="B483" s="31"/>
      <c r="D483" s="8" t="s">
        <v>8</v>
      </c>
      <c r="E483" s="8" t="s">
        <v>8</v>
      </c>
    </row>
    <row r="484">
      <c r="B484" s="31"/>
      <c r="D484" s="8" t="s">
        <v>8</v>
      </c>
      <c r="E484" s="8" t="s">
        <v>8</v>
      </c>
    </row>
    <row r="485">
      <c r="B485" s="31"/>
      <c r="D485" s="8" t="s">
        <v>8</v>
      </c>
      <c r="E485" s="8" t="s">
        <v>8</v>
      </c>
    </row>
    <row r="486">
      <c r="B486" s="31"/>
      <c r="D486" s="8" t="s">
        <v>8</v>
      </c>
      <c r="E486" s="8" t="s">
        <v>8</v>
      </c>
    </row>
    <row r="487">
      <c r="B487" s="31"/>
      <c r="D487" s="8" t="s">
        <v>8</v>
      </c>
      <c r="E487" s="8" t="s">
        <v>8</v>
      </c>
    </row>
    <row r="488">
      <c r="B488" s="31"/>
      <c r="D488" s="8" t="s">
        <v>8</v>
      </c>
      <c r="E488" s="8" t="s">
        <v>8</v>
      </c>
    </row>
    <row r="489">
      <c r="B489" s="31"/>
      <c r="D489" s="8" t="s">
        <v>8</v>
      </c>
      <c r="E489" s="8" t="s">
        <v>8</v>
      </c>
    </row>
    <row r="490">
      <c r="B490" s="31"/>
      <c r="D490" s="8" t="s">
        <v>8</v>
      </c>
      <c r="E490" s="8" t="s">
        <v>8</v>
      </c>
    </row>
    <row r="491">
      <c r="B491" s="31"/>
      <c r="D491" s="8" t="s">
        <v>8</v>
      </c>
      <c r="E491" s="8" t="s">
        <v>8</v>
      </c>
    </row>
    <row r="492">
      <c r="B492" s="31"/>
      <c r="D492" s="8" t="s">
        <v>8</v>
      </c>
      <c r="E492" s="8" t="s">
        <v>8</v>
      </c>
    </row>
    <row r="493">
      <c r="B493" s="31"/>
      <c r="D493" s="8" t="s">
        <v>8</v>
      </c>
      <c r="E493" s="8" t="s">
        <v>8</v>
      </c>
    </row>
    <row r="494">
      <c r="B494" s="31"/>
      <c r="D494" s="8" t="s">
        <v>8</v>
      </c>
      <c r="E494" s="8" t="s">
        <v>8</v>
      </c>
    </row>
    <row r="495">
      <c r="B495" s="31"/>
      <c r="D495" s="8" t="s">
        <v>8</v>
      </c>
      <c r="E495" s="8" t="s">
        <v>8</v>
      </c>
    </row>
    <row r="496">
      <c r="B496" s="31"/>
      <c r="D496" s="8" t="s">
        <v>8</v>
      </c>
      <c r="E496" s="8" t="s">
        <v>8</v>
      </c>
    </row>
    <row r="497">
      <c r="B497" s="31"/>
      <c r="D497" s="8" t="s">
        <v>8</v>
      </c>
      <c r="E497" s="8" t="s">
        <v>8</v>
      </c>
    </row>
    <row r="498">
      <c r="B498" s="31"/>
      <c r="D498" s="8" t="s">
        <v>8</v>
      </c>
      <c r="E498" s="8" t="s">
        <v>8</v>
      </c>
    </row>
    <row r="499">
      <c r="B499" s="31"/>
      <c r="D499" s="8" t="s">
        <v>8</v>
      </c>
      <c r="E499" s="8" t="s">
        <v>8</v>
      </c>
    </row>
    <row r="500">
      <c r="B500" s="31"/>
      <c r="D500" s="8" t="s">
        <v>8</v>
      </c>
      <c r="E500" s="8" t="s">
        <v>8</v>
      </c>
    </row>
    <row r="501">
      <c r="B501" s="31"/>
      <c r="D501" s="8" t="s">
        <v>8</v>
      </c>
      <c r="E501" s="8" t="s">
        <v>8</v>
      </c>
    </row>
    <row r="502">
      <c r="B502" s="31"/>
      <c r="D502" s="8" t="s">
        <v>8</v>
      </c>
      <c r="E502" s="8" t="s">
        <v>8</v>
      </c>
    </row>
    <row r="503">
      <c r="B503" s="31"/>
      <c r="D503" s="8" t="s">
        <v>8</v>
      </c>
      <c r="E503" s="8" t="s">
        <v>8</v>
      </c>
    </row>
    <row r="504">
      <c r="B504" s="31"/>
      <c r="D504" s="8" t="s">
        <v>8</v>
      </c>
      <c r="E504" s="8" t="s">
        <v>8</v>
      </c>
    </row>
    <row r="505">
      <c r="B505" s="31"/>
      <c r="D505" s="8" t="s">
        <v>8</v>
      </c>
      <c r="E505" s="8" t="s">
        <v>8</v>
      </c>
    </row>
    <row r="506">
      <c r="B506" s="31"/>
      <c r="D506" s="8" t="s">
        <v>8</v>
      </c>
      <c r="E506" s="8" t="s">
        <v>8</v>
      </c>
    </row>
    <row r="507">
      <c r="B507" s="31"/>
      <c r="D507" s="8" t="s">
        <v>8</v>
      </c>
      <c r="E507" s="8" t="s">
        <v>8</v>
      </c>
    </row>
    <row r="508">
      <c r="B508" s="31"/>
      <c r="D508" s="8" t="s">
        <v>8</v>
      </c>
      <c r="E508" s="8" t="s">
        <v>8</v>
      </c>
    </row>
    <row r="509">
      <c r="B509" s="31"/>
      <c r="D509" s="8" t="s">
        <v>8</v>
      </c>
      <c r="E509" s="8" t="s">
        <v>8</v>
      </c>
    </row>
    <row r="510">
      <c r="B510" s="31"/>
      <c r="D510" s="8" t="s">
        <v>8</v>
      </c>
      <c r="E510" s="8" t="s">
        <v>8</v>
      </c>
    </row>
    <row r="511">
      <c r="B511" s="31"/>
      <c r="D511" s="8" t="s">
        <v>8</v>
      </c>
      <c r="E511" s="8" t="s">
        <v>8</v>
      </c>
    </row>
    <row r="512">
      <c r="B512" s="31"/>
      <c r="D512" s="8" t="s">
        <v>8</v>
      </c>
      <c r="E512" s="8" t="s">
        <v>8</v>
      </c>
    </row>
    <row r="513">
      <c r="B513" s="31"/>
      <c r="D513" s="8" t="s">
        <v>8</v>
      </c>
      <c r="E513" s="8" t="s">
        <v>8</v>
      </c>
    </row>
    <row r="514">
      <c r="B514" s="31"/>
      <c r="D514" s="8" t="s">
        <v>8</v>
      </c>
      <c r="E514" s="8" t="s">
        <v>8</v>
      </c>
    </row>
    <row r="515">
      <c r="B515" s="31"/>
      <c r="D515" s="8" t="s">
        <v>8</v>
      </c>
      <c r="E515" s="8" t="s">
        <v>8</v>
      </c>
    </row>
    <row r="516">
      <c r="B516" s="31"/>
      <c r="D516" s="8" t="s">
        <v>8</v>
      </c>
      <c r="E516" s="8" t="s">
        <v>8</v>
      </c>
    </row>
    <row r="517">
      <c r="B517" s="31"/>
      <c r="D517" s="8" t="s">
        <v>8</v>
      </c>
      <c r="E517" s="8" t="s">
        <v>8</v>
      </c>
    </row>
    <row r="518">
      <c r="B518" s="31"/>
      <c r="D518" s="8" t="s">
        <v>8</v>
      </c>
      <c r="E518" s="8" t="s">
        <v>8</v>
      </c>
    </row>
    <row r="519">
      <c r="B519" s="31"/>
      <c r="D519" s="8" t="s">
        <v>8</v>
      </c>
      <c r="E519" s="8" t="s">
        <v>8</v>
      </c>
    </row>
    <row r="520">
      <c r="B520" s="31"/>
      <c r="D520" s="8" t="s">
        <v>8</v>
      </c>
      <c r="E520" s="8" t="s">
        <v>8</v>
      </c>
    </row>
    <row r="521">
      <c r="B521" s="31"/>
      <c r="D521" s="8" t="s">
        <v>8</v>
      </c>
      <c r="E521" s="8" t="s">
        <v>8</v>
      </c>
    </row>
    <row r="522">
      <c r="B522" s="31"/>
      <c r="D522" s="8" t="s">
        <v>8</v>
      </c>
      <c r="E522" s="8" t="s">
        <v>8</v>
      </c>
    </row>
    <row r="523">
      <c r="B523" s="31"/>
      <c r="D523" s="8" t="s">
        <v>8</v>
      </c>
      <c r="E523" s="8" t="s">
        <v>8</v>
      </c>
    </row>
    <row r="524">
      <c r="B524" s="31"/>
      <c r="D524" s="8" t="s">
        <v>8</v>
      </c>
      <c r="E524" s="8" t="s">
        <v>8</v>
      </c>
    </row>
    <row r="525">
      <c r="B525" s="31"/>
      <c r="D525" s="8" t="s">
        <v>8</v>
      </c>
      <c r="E525" s="8" t="s">
        <v>8</v>
      </c>
    </row>
    <row r="526">
      <c r="B526" s="31"/>
      <c r="D526" s="8" t="s">
        <v>8</v>
      </c>
      <c r="E526" s="8" t="s">
        <v>8</v>
      </c>
    </row>
    <row r="527">
      <c r="B527" s="31"/>
      <c r="D527" s="8" t="s">
        <v>8</v>
      </c>
      <c r="E527" s="8" t="s">
        <v>8</v>
      </c>
    </row>
    <row r="528">
      <c r="B528" s="31"/>
      <c r="D528" s="8" t="s">
        <v>8</v>
      </c>
      <c r="E528" s="8" t="s">
        <v>8</v>
      </c>
    </row>
    <row r="529">
      <c r="B529" s="31"/>
      <c r="D529" s="8" t="s">
        <v>8</v>
      </c>
      <c r="E529" s="8" t="s">
        <v>8</v>
      </c>
    </row>
    <row r="530">
      <c r="B530" s="31"/>
      <c r="D530" s="8" t="s">
        <v>8</v>
      </c>
      <c r="E530" s="8" t="s">
        <v>8</v>
      </c>
    </row>
    <row r="531">
      <c r="B531" s="31"/>
      <c r="D531" s="8" t="s">
        <v>8</v>
      </c>
      <c r="E531" s="8" t="s">
        <v>8</v>
      </c>
    </row>
    <row r="532">
      <c r="B532" s="31"/>
      <c r="D532" s="8" t="s">
        <v>8</v>
      </c>
      <c r="E532" s="8" t="s">
        <v>8</v>
      </c>
    </row>
    <row r="533">
      <c r="B533" s="31"/>
      <c r="D533" s="8" t="s">
        <v>8</v>
      </c>
      <c r="E533" s="8" t="s">
        <v>8</v>
      </c>
    </row>
    <row r="534">
      <c r="B534" s="31"/>
      <c r="D534" s="8" t="s">
        <v>8</v>
      </c>
      <c r="E534" s="8" t="s">
        <v>8</v>
      </c>
    </row>
    <row r="535">
      <c r="B535" s="31"/>
      <c r="D535" s="8" t="s">
        <v>8</v>
      </c>
      <c r="E535" s="8" t="s">
        <v>8</v>
      </c>
    </row>
    <row r="536">
      <c r="B536" s="31"/>
      <c r="D536" s="8" t="s">
        <v>8</v>
      </c>
      <c r="E536" s="8" t="s">
        <v>8</v>
      </c>
    </row>
    <row r="537">
      <c r="B537" s="31"/>
      <c r="D537" s="8" t="s">
        <v>8</v>
      </c>
      <c r="E537" s="8" t="s">
        <v>8</v>
      </c>
    </row>
    <row r="538">
      <c r="B538" s="31"/>
      <c r="D538" s="8" t="s">
        <v>8</v>
      </c>
      <c r="E538" s="8" t="s">
        <v>8</v>
      </c>
    </row>
    <row r="539">
      <c r="B539" s="31"/>
      <c r="D539" s="8" t="s">
        <v>8</v>
      </c>
      <c r="E539" s="8" t="s">
        <v>8</v>
      </c>
    </row>
    <row r="540">
      <c r="B540" s="31"/>
      <c r="D540" s="8" t="s">
        <v>8</v>
      </c>
      <c r="E540" s="8" t="s">
        <v>8</v>
      </c>
    </row>
    <row r="541">
      <c r="B541" s="31"/>
      <c r="D541" s="8" t="s">
        <v>8</v>
      </c>
      <c r="E541" s="8" t="s">
        <v>8</v>
      </c>
    </row>
    <row r="542">
      <c r="B542" s="31"/>
      <c r="D542" s="8" t="s">
        <v>8</v>
      </c>
      <c r="E542" s="8" t="s">
        <v>8</v>
      </c>
    </row>
    <row r="543">
      <c r="B543" s="31"/>
      <c r="D543" s="8" t="s">
        <v>8</v>
      </c>
      <c r="E543" s="8" t="s">
        <v>8</v>
      </c>
    </row>
    <row r="544">
      <c r="B544" s="31"/>
      <c r="D544" s="8" t="s">
        <v>8</v>
      </c>
      <c r="E544" s="8" t="s">
        <v>8</v>
      </c>
    </row>
    <row r="545">
      <c r="B545" s="31"/>
      <c r="D545" s="8" t="s">
        <v>8</v>
      </c>
      <c r="E545" s="8" t="s">
        <v>8</v>
      </c>
    </row>
    <row r="546">
      <c r="B546" s="31"/>
      <c r="D546" s="8" t="s">
        <v>8</v>
      </c>
      <c r="E546" s="8" t="s">
        <v>8</v>
      </c>
    </row>
    <row r="547">
      <c r="B547" s="31"/>
      <c r="D547" s="8" t="s">
        <v>8</v>
      </c>
      <c r="E547" s="8" t="s">
        <v>8</v>
      </c>
    </row>
    <row r="548">
      <c r="B548" s="31"/>
      <c r="D548" s="8" t="s">
        <v>8</v>
      </c>
      <c r="E548" s="8" t="s">
        <v>8</v>
      </c>
    </row>
    <row r="549">
      <c r="B549" s="31"/>
      <c r="D549" s="8" t="s">
        <v>8</v>
      </c>
      <c r="E549" s="8" t="s">
        <v>8</v>
      </c>
    </row>
    <row r="550">
      <c r="B550" s="31"/>
      <c r="D550" s="8" t="s">
        <v>8</v>
      </c>
      <c r="E550" s="8" t="s">
        <v>8</v>
      </c>
    </row>
    <row r="551">
      <c r="B551" s="31"/>
      <c r="D551" s="8" t="s">
        <v>8</v>
      </c>
      <c r="E551" s="8" t="s">
        <v>8</v>
      </c>
    </row>
    <row r="552">
      <c r="B552" s="31"/>
      <c r="D552" s="8" t="s">
        <v>8</v>
      </c>
      <c r="E552" s="8" t="s">
        <v>8</v>
      </c>
    </row>
    <row r="553">
      <c r="B553" s="31"/>
      <c r="D553" s="8" t="s">
        <v>8</v>
      </c>
      <c r="E553" s="8" t="s">
        <v>8</v>
      </c>
    </row>
    <row r="554">
      <c r="B554" s="31"/>
      <c r="D554" s="8" t="s">
        <v>8</v>
      </c>
      <c r="E554" s="8" t="s">
        <v>8</v>
      </c>
    </row>
    <row r="555">
      <c r="B555" s="31"/>
      <c r="D555" s="8" t="s">
        <v>8</v>
      </c>
      <c r="E555" s="8" t="s">
        <v>8</v>
      </c>
    </row>
    <row r="556">
      <c r="B556" s="31"/>
      <c r="D556" s="8" t="s">
        <v>8</v>
      </c>
      <c r="E556" s="8" t="s">
        <v>8</v>
      </c>
    </row>
    <row r="557">
      <c r="B557" s="31"/>
      <c r="D557" s="8" t="s">
        <v>8</v>
      </c>
      <c r="E557" s="8" t="s">
        <v>8</v>
      </c>
    </row>
    <row r="558">
      <c r="B558" s="31"/>
      <c r="D558" s="8" t="s">
        <v>8</v>
      </c>
      <c r="E558" s="8" t="s">
        <v>8</v>
      </c>
    </row>
    <row r="559">
      <c r="B559" s="31"/>
      <c r="D559" s="8" t="s">
        <v>8</v>
      </c>
      <c r="E559" s="8" t="s">
        <v>8</v>
      </c>
    </row>
    <row r="560">
      <c r="B560" s="31"/>
      <c r="D560" s="8" t="s">
        <v>8</v>
      </c>
      <c r="E560" s="8" t="s">
        <v>8</v>
      </c>
    </row>
    <row r="561">
      <c r="B561" s="31"/>
      <c r="D561" s="8" t="s">
        <v>8</v>
      </c>
      <c r="E561" s="8" t="s">
        <v>8</v>
      </c>
    </row>
    <row r="562">
      <c r="B562" s="31"/>
      <c r="D562" s="8" t="s">
        <v>8</v>
      </c>
      <c r="E562" s="8" t="s">
        <v>8</v>
      </c>
    </row>
    <row r="563">
      <c r="B563" s="31"/>
      <c r="D563" s="8" t="s">
        <v>8</v>
      </c>
      <c r="E563" s="8" t="s">
        <v>8</v>
      </c>
    </row>
    <row r="564">
      <c r="B564" s="31"/>
      <c r="D564" s="8" t="s">
        <v>8</v>
      </c>
      <c r="E564" s="8" t="s">
        <v>8</v>
      </c>
    </row>
    <row r="565">
      <c r="B565" s="31"/>
      <c r="D565" s="8" t="s">
        <v>8</v>
      </c>
      <c r="E565" s="8" t="s">
        <v>8</v>
      </c>
    </row>
    <row r="566">
      <c r="B566" s="31"/>
      <c r="D566" s="8" t="s">
        <v>8</v>
      </c>
      <c r="E566" s="8" t="s">
        <v>8</v>
      </c>
    </row>
    <row r="567">
      <c r="B567" s="31"/>
      <c r="D567" s="8" t="s">
        <v>8</v>
      </c>
      <c r="E567" s="8" t="s">
        <v>8</v>
      </c>
    </row>
    <row r="568">
      <c r="B568" s="31"/>
      <c r="D568" s="8" t="s">
        <v>8</v>
      </c>
      <c r="E568" s="8" t="s">
        <v>8</v>
      </c>
    </row>
    <row r="569">
      <c r="B569" s="31"/>
      <c r="D569" s="8" t="s">
        <v>8</v>
      </c>
      <c r="E569" s="8" t="s">
        <v>8</v>
      </c>
    </row>
    <row r="570">
      <c r="B570" s="31"/>
      <c r="D570" s="8" t="s">
        <v>8</v>
      </c>
      <c r="E570" s="8" t="s">
        <v>8</v>
      </c>
    </row>
    <row r="571">
      <c r="B571" s="31"/>
      <c r="D571" s="8" t="s">
        <v>8</v>
      </c>
      <c r="E571" s="8" t="s">
        <v>8</v>
      </c>
    </row>
    <row r="572">
      <c r="B572" s="31"/>
      <c r="D572" s="8" t="s">
        <v>8</v>
      </c>
      <c r="E572" s="8" t="s">
        <v>8</v>
      </c>
    </row>
    <row r="573">
      <c r="B573" s="31"/>
      <c r="D573" s="8" t="s">
        <v>8</v>
      </c>
      <c r="E573" s="8" t="s">
        <v>8</v>
      </c>
    </row>
    <row r="574">
      <c r="B574" s="31"/>
      <c r="D574" s="8" t="s">
        <v>8</v>
      </c>
      <c r="E574" s="8" t="s">
        <v>8</v>
      </c>
    </row>
    <row r="575">
      <c r="B575" s="31"/>
      <c r="D575" s="8" t="s">
        <v>8</v>
      </c>
      <c r="E575" s="8" t="s">
        <v>8</v>
      </c>
    </row>
    <row r="576">
      <c r="B576" s="31"/>
      <c r="D576" s="8" t="s">
        <v>8</v>
      </c>
      <c r="E576" s="8" t="s">
        <v>8</v>
      </c>
    </row>
    <row r="577">
      <c r="B577" s="31"/>
      <c r="D577" s="8" t="s">
        <v>8</v>
      </c>
      <c r="E577" s="8" t="s">
        <v>8</v>
      </c>
    </row>
    <row r="578">
      <c r="B578" s="31"/>
      <c r="D578" s="8" t="s">
        <v>8</v>
      </c>
      <c r="E578" s="8" t="s">
        <v>8</v>
      </c>
    </row>
    <row r="579">
      <c r="B579" s="31"/>
      <c r="D579" s="8" t="s">
        <v>8</v>
      </c>
      <c r="E579" s="8" t="s">
        <v>8</v>
      </c>
    </row>
    <row r="580">
      <c r="B580" s="31"/>
      <c r="D580" s="8" t="s">
        <v>8</v>
      </c>
      <c r="E580" s="8" t="s">
        <v>8</v>
      </c>
    </row>
    <row r="581">
      <c r="B581" s="31"/>
      <c r="D581" s="8" t="s">
        <v>8</v>
      </c>
      <c r="E581" s="8" t="s">
        <v>8</v>
      </c>
    </row>
    <row r="582">
      <c r="B582" s="31"/>
      <c r="D582" s="8" t="s">
        <v>8</v>
      </c>
      <c r="E582" s="8" t="s">
        <v>8</v>
      </c>
    </row>
    <row r="583">
      <c r="B583" s="31"/>
      <c r="D583" s="8" t="s">
        <v>8</v>
      </c>
      <c r="E583" s="8" t="s">
        <v>8</v>
      </c>
    </row>
    <row r="584">
      <c r="B584" s="31"/>
      <c r="D584" s="8" t="s">
        <v>8</v>
      </c>
      <c r="E584" s="8" t="s">
        <v>8</v>
      </c>
    </row>
    <row r="585">
      <c r="B585" s="31"/>
      <c r="D585" s="8" t="s">
        <v>8</v>
      </c>
      <c r="E585" s="8" t="s">
        <v>8</v>
      </c>
    </row>
    <row r="586">
      <c r="B586" s="31"/>
      <c r="D586" s="8" t="s">
        <v>8</v>
      </c>
      <c r="E586" s="8" t="s">
        <v>8</v>
      </c>
    </row>
    <row r="587">
      <c r="B587" s="31"/>
      <c r="D587" s="8" t="s">
        <v>8</v>
      </c>
      <c r="E587" s="8" t="s">
        <v>8</v>
      </c>
    </row>
    <row r="588">
      <c r="B588" s="31"/>
      <c r="D588" s="8" t="s">
        <v>8</v>
      </c>
      <c r="E588" s="8" t="s">
        <v>8</v>
      </c>
    </row>
    <row r="589">
      <c r="B589" s="31"/>
      <c r="D589" s="8" t="s">
        <v>8</v>
      </c>
      <c r="E589" s="8" t="s">
        <v>8</v>
      </c>
    </row>
    <row r="590">
      <c r="B590" s="31"/>
      <c r="D590" s="8" t="s">
        <v>8</v>
      </c>
      <c r="E590" s="8" t="s">
        <v>8</v>
      </c>
    </row>
    <row r="591">
      <c r="B591" s="31"/>
      <c r="D591" s="8" t="s">
        <v>8</v>
      </c>
      <c r="E591" s="8" t="s">
        <v>8</v>
      </c>
    </row>
    <row r="592">
      <c r="B592" s="31"/>
      <c r="D592" s="8" t="s">
        <v>8</v>
      </c>
      <c r="E592" s="8" t="s">
        <v>8</v>
      </c>
    </row>
    <row r="593">
      <c r="B593" s="31"/>
      <c r="D593" s="8" t="s">
        <v>8</v>
      </c>
      <c r="E593" s="8" t="s">
        <v>8</v>
      </c>
    </row>
    <row r="594">
      <c r="B594" s="31"/>
      <c r="D594" s="8" t="s">
        <v>8</v>
      </c>
      <c r="E594" s="8" t="s">
        <v>8</v>
      </c>
    </row>
    <row r="595">
      <c r="B595" s="31"/>
      <c r="D595" s="8" t="s">
        <v>8</v>
      </c>
      <c r="E595" s="8" t="s">
        <v>8</v>
      </c>
    </row>
    <row r="596">
      <c r="B596" s="31"/>
      <c r="D596" s="8" t="s">
        <v>8</v>
      </c>
      <c r="E596" s="8" t="s">
        <v>8</v>
      </c>
    </row>
    <row r="597">
      <c r="B597" s="31"/>
      <c r="D597" s="8" t="s">
        <v>8</v>
      </c>
      <c r="E597" s="8" t="s">
        <v>8</v>
      </c>
    </row>
    <row r="598">
      <c r="B598" s="31"/>
      <c r="D598" s="8" t="s">
        <v>8</v>
      </c>
      <c r="E598" s="8" t="s">
        <v>8</v>
      </c>
    </row>
    <row r="599">
      <c r="B599" s="31"/>
      <c r="D599" s="8" t="s">
        <v>8</v>
      </c>
      <c r="E599" s="8" t="s">
        <v>8</v>
      </c>
    </row>
    <row r="600">
      <c r="B600" s="31"/>
      <c r="D600" s="8" t="s">
        <v>8</v>
      </c>
      <c r="E600" s="8" t="s">
        <v>8</v>
      </c>
    </row>
    <row r="601">
      <c r="B601" s="31"/>
      <c r="D601" s="8" t="s">
        <v>8</v>
      </c>
      <c r="E601" s="8" t="s">
        <v>8</v>
      </c>
    </row>
    <row r="602">
      <c r="B602" s="31"/>
      <c r="D602" s="8" t="s">
        <v>8</v>
      </c>
      <c r="E602" s="8" t="s">
        <v>8</v>
      </c>
    </row>
    <row r="603">
      <c r="B603" s="31"/>
      <c r="D603" s="8" t="s">
        <v>8</v>
      </c>
      <c r="E603" s="8" t="s">
        <v>8</v>
      </c>
    </row>
    <row r="604">
      <c r="B604" s="31"/>
      <c r="D604" s="8" t="s">
        <v>8</v>
      </c>
      <c r="E604" s="8" t="s">
        <v>8</v>
      </c>
    </row>
    <row r="605">
      <c r="B605" s="31"/>
      <c r="D605" s="8" t="s">
        <v>8</v>
      </c>
      <c r="E605" s="8" t="s">
        <v>8</v>
      </c>
    </row>
    <row r="606">
      <c r="B606" s="31"/>
      <c r="D606" s="8" t="s">
        <v>8</v>
      </c>
      <c r="E606" s="8" t="s">
        <v>8</v>
      </c>
    </row>
    <row r="607">
      <c r="B607" s="31"/>
      <c r="D607" s="8" t="s">
        <v>8</v>
      </c>
      <c r="E607" s="8" t="s">
        <v>8</v>
      </c>
    </row>
    <row r="608">
      <c r="B608" s="31"/>
      <c r="D608" s="8" t="s">
        <v>8</v>
      </c>
      <c r="E608" s="8" t="s">
        <v>8</v>
      </c>
    </row>
    <row r="609">
      <c r="B609" s="31"/>
      <c r="D609" s="8" t="s">
        <v>8</v>
      </c>
      <c r="E609" s="8" t="s">
        <v>8</v>
      </c>
    </row>
    <row r="610">
      <c r="B610" s="31"/>
      <c r="D610" s="8" t="s">
        <v>8</v>
      </c>
      <c r="E610" s="8" t="s">
        <v>8</v>
      </c>
    </row>
    <row r="611">
      <c r="B611" s="31"/>
      <c r="D611" s="8" t="s">
        <v>8</v>
      </c>
      <c r="E611" s="8" t="s">
        <v>8</v>
      </c>
    </row>
    <row r="612">
      <c r="B612" s="31"/>
      <c r="D612" s="8" t="s">
        <v>8</v>
      </c>
      <c r="E612" s="8" t="s">
        <v>8</v>
      </c>
    </row>
    <row r="613">
      <c r="B613" s="31"/>
      <c r="D613" s="8" t="s">
        <v>8</v>
      </c>
      <c r="E613" s="8" t="s">
        <v>8</v>
      </c>
    </row>
    <row r="614">
      <c r="B614" s="31"/>
      <c r="D614" s="8" t="s">
        <v>8</v>
      </c>
      <c r="E614" s="8" t="s">
        <v>8</v>
      </c>
    </row>
    <row r="615">
      <c r="B615" s="31"/>
      <c r="D615" s="8" t="s">
        <v>8</v>
      </c>
      <c r="E615" s="8" t="s">
        <v>8</v>
      </c>
    </row>
    <row r="616">
      <c r="B616" s="31"/>
      <c r="D616" s="8" t="s">
        <v>8</v>
      </c>
      <c r="E616" s="8" t="s">
        <v>8</v>
      </c>
    </row>
    <row r="617">
      <c r="B617" s="31"/>
      <c r="D617" s="8" t="s">
        <v>8</v>
      </c>
      <c r="E617" s="8" t="s">
        <v>8</v>
      </c>
    </row>
    <row r="618">
      <c r="B618" s="31"/>
      <c r="D618" s="8" t="s">
        <v>8</v>
      </c>
      <c r="E618" s="8" t="s">
        <v>8</v>
      </c>
    </row>
    <row r="619">
      <c r="B619" s="31"/>
      <c r="D619" s="8" t="s">
        <v>8</v>
      </c>
      <c r="E619" s="8" t="s">
        <v>8</v>
      </c>
    </row>
    <row r="620">
      <c r="B620" s="31"/>
      <c r="D620" s="8" t="s">
        <v>8</v>
      </c>
      <c r="E620" s="8" t="s">
        <v>8</v>
      </c>
    </row>
    <row r="621">
      <c r="B621" s="31"/>
      <c r="D621" s="8" t="s">
        <v>8</v>
      </c>
      <c r="E621" s="8" t="s">
        <v>8</v>
      </c>
    </row>
    <row r="622">
      <c r="B622" s="31"/>
      <c r="D622" s="8" t="s">
        <v>8</v>
      </c>
      <c r="E622" s="8" t="s">
        <v>8</v>
      </c>
    </row>
    <row r="623">
      <c r="B623" s="31"/>
      <c r="D623" s="8" t="s">
        <v>8</v>
      </c>
      <c r="E623" s="8" t="s">
        <v>8</v>
      </c>
    </row>
    <row r="624">
      <c r="B624" s="31"/>
      <c r="D624" s="8" t="s">
        <v>8</v>
      </c>
      <c r="E624" s="8" t="s">
        <v>8</v>
      </c>
    </row>
    <row r="625">
      <c r="B625" s="31"/>
      <c r="D625" s="8" t="s">
        <v>8</v>
      </c>
      <c r="E625" s="8" t="s">
        <v>8</v>
      </c>
    </row>
    <row r="626">
      <c r="B626" s="31"/>
      <c r="D626" s="8" t="s">
        <v>8</v>
      </c>
      <c r="E626" s="8" t="s">
        <v>8</v>
      </c>
    </row>
    <row r="627">
      <c r="B627" s="31"/>
      <c r="D627" s="8" t="s">
        <v>8</v>
      </c>
      <c r="E627" s="8" t="s">
        <v>8</v>
      </c>
    </row>
    <row r="628">
      <c r="B628" s="31"/>
      <c r="D628" s="8" t="s">
        <v>8</v>
      </c>
      <c r="E628" s="8" t="s">
        <v>8</v>
      </c>
    </row>
    <row r="629">
      <c r="B629" s="31"/>
      <c r="D629" s="8" t="s">
        <v>8</v>
      </c>
      <c r="E629" s="8" t="s">
        <v>8</v>
      </c>
    </row>
    <row r="630">
      <c r="B630" s="31"/>
      <c r="D630" s="8" t="s">
        <v>8</v>
      </c>
      <c r="E630" s="8" t="s">
        <v>8</v>
      </c>
    </row>
    <row r="631">
      <c r="B631" s="31"/>
      <c r="D631" s="8" t="s">
        <v>8</v>
      </c>
      <c r="E631" s="8" t="s">
        <v>8</v>
      </c>
    </row>
    <row r="632">
      <c r="B632" s="31"/>
      <c r="D632" s="8" t="s">
        <v>8</v>
      </c>
      <c r="E632" s="8" t="s">
        <v>8</v>
      </c>
    </row>
    <row r="633">
      <c r="B633" s="31"/>
      <c r="D633" s="8" t="s">
        <v>8</v>
      </c>
      <c r="E633" s="8" t="s">
        <v>8</v>
      </c>
    </row>
    <row r="634">
      <c r="B634" s="31"/>
      <c r="D634" s="8" t="s">
        <v>8</v>
      </c>
      <c r="E634" s="8" t="s">
        <v>8</v>
      </c>
    </row>
    <row r="635">
      <c r="B635" s="31"/>
      <c r="D635" s="8" t="s">
        <v>8</v>
      </c>
      <c r="E635" s="8" t="s">
        <v>8</v>
      </c>
    </row>
    <row r="636">
      <c r="B636" s="31"/>
      <c r="D636" s="8" t="s">
        <v>8</v>
      </c>
      <c r="E636" s="8" t="s">
        <v>8</v>
      </c>
    </row>
    <row r="637">
      <c r="B637" s="31"/>
      <c r="D637" s="8" t="s">
        <v>8</v>
      </c>
      <c r="E637" s="8" t="s">
        <v>8</v>
      </c>
    </row>
    <row r="638">
      <c r="B638" s="31"/>
      <c r="D638" s="8" t="s">
        <v>8</v>
      </c>
      <c r="E638" s="8" t="s">
        <v>8</v>
      </c>
    </row>
    <row r="639">
      <c r="B639" s="31"/>
      <c r="D639" s="8" t="s">
        <v>8</v>
      </c>
      <c r="E639" s="8" t="s">
        <v>8</v>
      </c>
    </row>
    <row r="640">
      <c r="B640" s="31"/>
      <c r="D640" s="8" t="s">
        <v>8</v>
      </c>
      <c r="E640" s="8" t="s">
        <v>8</v>
      </c>
    </row>
    <row r="641">
      <c r="B641" s="31"/>
      <c r="D641" s="8" t="s">
        <v>8</v>
      </c>
      <c r="E641" s="8" t="s">
        <v>8</v>
      </c>
    </row>
    <row r="642">
      <c r="B642" s="31"/>
      <c r="D642" s="8" t="s">
        <v>8</v>
      </c>
      <c r="E642" s="8" t="s">
        <v>8</v>
      </c>
    </row>
    <row r="643">
      <c r="B643" s="31"/>
      <c r="D643" s="8" t="s">
        <v>8</v>
      </c>
      <c r="E643" s="8" t="s">
        <v>8</v>
      </c>
    </row>
    <row r="644">
      <c r="B644" s="31"/>
      <c r="D644" s="8" t="s">
        <v>8</v>
      </c>
      <c r="E644" s="8" t="s">
        <v>8</v>
      </c>
    </row>
    <row r="645">
      <c r="B645" s="31"/>
      <c r="D645" s="8" t="s">
        <v>8</v>
      </c>
      <c r="E645" s="8" t="s">
        <v>8</v>
      </c>
    </row>
    <row r="646">
      <c r="B646" s="31"/>
      <c r="D646" s="8" t="s">
        <v>8</v>
      </c>
      <c r="E646" s="8" t="s">
        <v>8</v>
      </c>
    </row>
    <row r="647">
      <c r="B647" s="31"/>
      <c r="D647" s="8" t="s">
        <v>8</v>
      </c>
      <c r="E647" s="8" t="s">
        <v>8</v>
      </c>
    </row>
    <row r="648">
      <c r="B648" s="31"/>
      <c r="D648" s="8" t="s">
        <v>8</v>
      </c>
      <c r="E648" s="8" t="s">
        <v>8</v>
      </c>
    </row>
    <row r="649">
      <c r="B649" s="31"/>
      <c r="D649" s="8" t="s">
        <v>8</v>
      </c>
      <c r="E649" s="8" t="s">
        <v>8</v>
      </c>
    </row>
    <row r="650">
      <c r="B650" s="31"/>
      <c r="D650" s="8" t="s">
        <v>8</v>
      </c>
      <c r="E650" s="8" t="s">
        <v>8</v>
      </c>
    </row>
    <row r="651">
      <c r="B651" s="31"/>
      <c r="D651" s="8" t="s">
        <v>8</v>
      </c>
      <c r="E651" s="8" t="s">
        <v>8</v>
      </c>
    </row>
    <row r="652">
      <c r="B652" s="31"/>
      <c r="D652" s="8" t="s">
        <v>8</v>
      </c>
      <c r="E652" s="8" t="s">
        <v>8</v>
      </c>
    </row>
    <row r="653">
      <c r="B653" s="31"/>
      <c r="D653" s="8" t="s">
        <v>8</v>
      </c>
      <c r="E653" s="8" t="s">
        <v>8</v>
      </c>
    </row>
    <row r="654">
      <c r="B654" s="31"/>
      <c r="D654" s="8" t="s">
        <v>8</v>
      </c>
      <c r="E654" s="8" t="s">
        <v>8</v>
      </c>
    </row>
    <row r="655">
      <c r="B655" s="31"/>
      <c r="D655" s="8" t="s">
        <v>8</v>
      </c>
      <c r="E655" s="8" t="s">
        <v>8</v>
      </c>
    </row>
    <row r="656">
      <c r="B656" s="31"/>
      <c r="D656" s="8" t="s">
        <v>8</v>
      </c>
      <c r="E656" s="8" t="s">
        <v>8</v>
      </c>
    </row>
    <row r="657">
      <c r="B657" s="31"/>
      <c r="D657" s="8" t="s">
        <v>8</v>
      </c>
      <c r="E657" s="8" t="s">
        <v>8</v>
      </c>
    </row>
    <row r="658">
      <c r="B658" s="31"/>
      <c r="D658" s="8" t="s">
        <v>8</v>
      </c>
      <c r="E658" s="8" t="s">
        <v>8</v>
      </c>
    </row>
    <row r="659">
      <c r="B659" s="31"/>
      <c r="D659" s="8" t="s">
        <v>8</v>
      </c>
      <c r="E659" s="8" t="s">
        <v>8</v>
      </c>
    </row>
    <row r="660">
      <c r="B660" s="31"/>
      <c r="D660" s="8" t="s">
        <v>8</v>
      </c>
      <c r="E660" s="8" t="s">
        <v>8</v>
      </c>
    </row>
    <row r="661">
      <c r="B661" s="31"/>
      <c r="D661" s="8" t="s">
        <v>8</v>
      </c>
      <c r="E661" s="8" t="s">
        <v>8</v>
      </c>
    </row>
    <row r="662">
      <c r="B662" s="31"/>
      <c r="D662" s="8" t="s">
        <v>8</v>
      </c>
      <c r="E662" s="8" t="s">
        <v>8</v>
      </c>
    </row>
    <row r="663">
      <c r="B663" s="31"/>
      <c r="D663" s="8" t="s">
        <v>8</v>
      </c>
      <c r="E663" s="8" t="s">
        <v>8</v>
      </c>
    </row>
    <row r="664">
      <c r="B664" s="31"/>
      <c r="D664" s="8" t="s">
        <v>8</v>
      </c>
      <c r="E664" s="8" t="s">
        <v>8</v>
      </c>
    </row>
    <row r="665">
      <c r="B665" s="31"/>
      <c r="D665" s="8" t="s">
        <v>8</v>
      </c>
      <c r="E665" s="8" t="s">
        <v>8</v>
      </c>
    </row>
    <row r="666">
      <c r="B666" s="31"/>
      <c r="D666" s="8" t="s">
        <v>8</v>
      </c>
      <c r="E666" s="8" t="s">
        <v>8</v>
      </c>
    </row>
    <row r="667">
      <c r="B667" s="31"/>
      <c r="D667" s="8" t="s">
        <v>8</v>
      </c>
      <c r="E667" s="8" t="s">
        <v>8</v>
      </c>
    </row>
    <row r="668">
      <c r="B668" s="31"/>
      <c r="D668" s="8" t="s">
        <v>8</v>
      </c>
      <c r="E668" s="8" t="s">
        <v>8</v>
      </c>
    </row>
    <row r="669">
      <c r="B669" s="31"/>
      <c r="D669" s="8" t="s">
        <v>8</v>
      </c>
      <c r="E669" s="8" t="s">
        <v>8</v>
      </c>
    </row>
    <row r="670">
      <c r="B670" s="31"/>
      <c r="D670" s="8" t="s">
        <v>8</v>
      </c>
      <c r="E670" s="8" t="s">
        <v>8</v>
      </c>
    </row>
    <row r="671">
      <c r="B671" s="31"/>
      <c r="D671" s="8" t="s">
        <v>8</v>
      </c>
      <c r="E671" s="8" t="s">
        <v>8</v>
      </c>
    </row>
    <row r="672">
      <c r="B672" s="31"/>
      <c r="D672" s="8" t="s">
        <v>8</v>
      </c>
      <c r="E672" s="8" t="s">
        <v>8</v>
      </c>
    </row>
    <row r="673">
      <c r="B673" s="31"/>
      <c r="D673" s="8" t="s">
        <v>8</v>
      </c>
      <c r="E673" s="8" t="s">
        <v>8</v>
      </c>
    </row>
    <row r="674">
      <c r="B674" s="31"/>
      <c r="D674" s="8" t="s">
        <v>8</v>
      </c>
      <c r="E674" s="8" t="s">
        <v>8</v>
      </c>
    </row>
    <row r="675">
      <c r="B675" s="31"/>
      <c r="D675" s="8" t="s">
        <v>8</v>
      </c>
      <c r="E675" s="8" t="s">
        <v>8</v>
      </c>
    </row>
    <row r="676">
      <c r="B676" s="31"/>
      <c r="D676" s="8" t="s">
        <v>8</v>
      </c>
      <c r="E676" s="8" t="s">
        <v>8</v>
      </c>
    </row>
    <row r="677">
      <c r="B677" s="31"/>
      <c r="D677" s="8" t="s">
        <v>8</v>
      </c>
      <c r="E677" s="8" t="s">
        <v>8</v>
      </c>
    </row>
    <row r="678">
      <c r="B678" s="31"/>
      <c r="D678" s="8" t="s">
        <v>8</v>
      </c>
      <c r="E678" s="8" t="s">
        <v>8</v>
      </c>
    </row>
    <row r="679">
      <c r="B679" s="31"/>
      <c r="D679" s="8" t="s">
        <v>8</v>
      </c>
      <c r="E679" s="8" t="s">
        <v>8</v>
      </c>
    </row>
    <row r="680">
      <c r="B680" s="31"/>
      <c r="D680" s="8" t="s">
        <v>8</v>
      </c>
      <c r="E680" s="8" t="s">
        <v>8</v>
      </c>
    </row>
    <row r="681">
      <c r="B681" s="31"/>
      <c r="D681" s="8" t="s">
        <v>8</v>
      </c>
      <c r="E681" s="8" t="s">
        <v>8</v>
      </c>
    </row>
    <row r="682">
      <c r="B682" s="31"/>
      <c r="D682" s="8" t="s">
        <v>8</v>
      </c>
      <c r="E682" s="8" t="s">
        <v>8</v>
      </c>
    </row>
    <row r="683">
      <c r="B683" s="31"/>
      <c r="D683" s="8" t="s">
        <v>8</v>
      </c>
      <c r="E683" s="8" t="s">
        <v>8</v>
      </c>
    </row>
    <row r="684">
      <c r="B684" s="31"/>
      <c r="D684" s="8" t="s">
        <v>8</v>
      </c>
      <c r="E684" s="8" t="s">
        <v>8</v>
      </c>
    </row>
    <row r="685">
      <c r="B685" s="31"/>
      <c r="D685" s="8" t="s">
        <v>8</v>
      </c>
      <c r="E685" s="8" t="s">
        <v>8</v>
      </c>
    </row>
    <row r="686">
      <c r="B686" s="31"/>
      <c r="D686" s="8" t="s">
        <v>8</v>
      </c>
      <c r="E686" s="8" t="s">
        <v>8</v>
      </c>
    </row>
    <row r="687">
      <c r="B687" s="31"/>
      <c r="D687" s="8" t="s">
        <v>8</v>
      </c>
      <c r="E687" s="8" t="s">
        <v>8</v>
      </c>
    </row>
    <row r="688">
      <c r="B688" s="31"/>
      <c r="D688" s="8" t="s">
        <v>8</v>
      </c>
      <c r="E688" s="8" t="s">
        <v>8</v>
      </c>
    </row>
    <row r="689">
      <c r="B689" s="31"/>
      <c r="D689" s="8" t="s">
        <v>8</v>
      </c>
      <c r="E689" s="8" t="s">
        <v>8</v>
      </c>
    </row>
    <row r="690">
      <c r="B690" s="31"/>
      <c r="D690" s="8" t="s">
        <v>8</v>
      </c>
      <c r="E690" s="8" t="s">
        <v>8</v>
      </c>
    </row>
    <row r="691">
      <c r="B691" s="31"/>
      <c r="D691" s="8" t="s">
        <v>8</v>
      </c>
      <c r="E691" s="8" t="s">
        <v>8</v>
      </c>
    </row>
    <row r="692">
      <c r="B692" s="31"/>
      <c r="D692" s="8" t="s">
        <v>8</v>
      </c>
      <c r="E692" s="8" t="s">
        <v>8</v>
      </c>
    </row>
    <row r="693">
      <c r="B693" s="31"/>
      <c r="D693" s="8" t="s">
        <v>8</v>
      </c>
      <c r="E693" s="8" t="s">
        <v>8</v>
      </c>
    </row>
    <row r="694">
      <c r="B694" s="31"/>
      <c r="D694" s="8" t="s">
        <v>8</v>
      </c>
      <c r="E694" s="8" t="s">
        <v>8</v>
      </c>
    </row>
    <row r="695">
      <c r="B695" s="31"/>
      <c r="D695" s="8" t="s">
        <v>8</v>
      </c>
      <c r="E695" s="8" t="s">
        <v>8</v>
      </c>
    </row>
    <row r="696">
      <c r="B696" s="31"/>
      <c r="D696" s="8" t="s">
        <v>8</v>
      </c>
      <c r="E696" s="8" t="s">
        <v>8</v>
      </c>
    </row>
    <row r="697">
      <c r="B697" s="31"/>
      <c r="D697" s="8" t="s">
        <v>8</v>
      </c>
      <c r="E697" s="8" t="s">
        <v>8</v>
      </c>
    </row>
    <row r="698">
      <c r="B698" s="31"/>
      <c r="D698" s="8" t="s">
        <v>8</v>
      </c>
      <c r="E698" s="8" t="s">
        <v>8</v>
      </c>
    </row>
    <row r="699">
      <c r="B699" s="31"/>
      <c r="D699" s="8" t="s">
        <v>8</v>
      </c>
      <c r="E699" s="8" t="s">
        <v>8</v>
      </c>
    </row>
    <row r="700">
      <c r="B700" s="31"/>
      <c r="D700" s="8" t="s">
        <v>8</v>
      </c>
      <c r="E700" s="8" t="s">
        <v>8</v>
      </c>
    </row>
    <row r="701">
      <c r="B701" s="31"/>
      <c r="D701" s="8" t="s">
        <v>8</v>
      </c>
      <c r="E701" s="8" t="s">
        <v>8</v>
      </c>
    </row>
    <row r="702">
      <c r="B702" s="31"/>
      <c r="D702" s="8" t="s">
        <v>8</v>
      </c>
      <c r="E702" s="8" t="s">
        <v>8</v>
      </c>
    </row>
    <row r="703">
      <c r="B703" s="31"/>
      <c r="D703" s="8" t="s">
        <v>8</v>
      </c>
      <c r="E703" s="8" t="s">
        <v>8</v>
      </c>
    </row>
    <row r="704">
      <c r="B704" s="31"/>
      <c r="D704" s="8" t="s">
        <v>8</v>
      </c>
      <c r="E704" s="8" t="s">
        <v>8</v>
      </c>
    </row>
    <row r="705">
      <c r="B705" s="31"/>
      <c r="D705" s="8" t="s">
        <v>8</v>
      </c>
      <c r="E705" s="8" t="s">
        <v>8</v>
      </c>
    </row>
    <row r="706">
      <c r="B706" s="31"/>
      <c r="D706" s="8" t="s">
        <v>8</v>
      </c>
      <c r="E706" s="8" t="s">
        <v>8</v>
      </c>
    </row>
    <row r="707">
      <c r="B707" s="31"/>
      <c r="D707" s="8" t="s">
        <v>8</v>
      </c>
      <c r="E707" s="8" t="s">
        <v>8</v>
      </c>
    </row>
    <row r="708">
      <c r="B708" s="31"/>
      <c r="D708" s="8" t="s">
        <v>8</v>
      </c>
      <c r="E708" s="8" t="s">
        <v>8</v>
      </c>
    </row>
    <row r="709">
      <c r="B709" s="31"/>
      <c r="D709" s="8" t="s">
        <v>8</v>
      </c>
      <c r="E709" s="8" t="s">
        <v>8</v>
      </c>
    </row>
    <row r="710">
      <c r="B710" s="31"/>
      <c r="D710" s="8" t="s">
        <v>8</v>
      </c>
      <c r="E710" s="8" t="s">
        <v>8</v>
      </c>
    </row>
    <row r="711">
      <c r="B711" s="31"/>
      <c r="D711" s="8" t="s">
        <v>8</v>
      </c>
      <c r="E711" s="8" t="s">
        <v>8</v>
      </c>
    </row>
    <row r="712">
      <c r="B712" s="31"/>
      <c r="D712" s="8" t="s">
        <v>8</v>
      </c>
      <c r="E712" s="8" t="s">
        <v>8</v>
      </c>
    </row>
    <row r="713">
      <c r="B713" s="31"/>
      <c r="D713" s="8" t="s">
        <v>8</v>
      </c>
      <c r="E713" s="8" t="s">
        <v>8</v>
      </c>
    </row>
    <row r="714">
      <c r="B714" s="31"/>
      <c r="D714" s="8" t="s">
        <v>8</v>
      </c>
      <c r="E714" s="8" t="s">
        <v>8</v>
      </c>
    </row>
    <row r="715">
      <c r="B715" s="31"/>
      <c r="D715" s="8" t="s">
        <v>8</v>
      </c>
      <c r="E715" s="8" t="s">
        <v>8</v>
      </c>
    </row>
    <row r="716">
      <c r="B716" s="31"/>
      <c r="D716" s="8" t="s">
        <v>8</v>
      </c>
      <c r="E716" s="8" t="s">
        <v>8</v>
      </c>
    </row>
    <row r="717">
      <c r="B717" s="31"/>
      <c r="D717" s="8" t="s">
        <v>8</v>
      </c>
      <c r="E717" s="8" t="s">
        <v>8</v>
      </c>
    </row>
    <row r="718">
      <c r="B718" s="31"/>
      <c r="D718" s="8" t="s">
        <v>8</v>
      </c>
      <c r="E718" s="8" t="s">
        <v>8</v>
      </c>
    </row>
    <row r="719">
      <c r="B719" s="31"/>
      <c r="D719" s="8" t="s">
        <v>8</v>
      </c>
      <c r="E719" s="8" t="s">
        <v>8</v>
      </c>
    </row>
    <row r="720">
      <c r="B720" s="31"/>
      <c r="D720" s="8" t="s">
        <v>8</v>
      </c>
      <c r="E720" s="8" t="s">
        <v>8</v>
      </c>
    </row>
    <row r="721">
      <c r="B721" s="31"/>
      <c r="D721" s="8" t="s">
        <v>8</v>
      </c>
      <c r="E721" s="8" t="s">
        <v>8</v>
      </c>
    </row>
    <row r="722">
      <c r="B722" s="31"/>
      <c r="D722" s="8" t="s">
        <v>8</v>
      </c>
      <c r="E722" s="8" t="s">
        <v>8</v>
      </c>
    </row>
    <row r="723">
      <c r="B723" s="31"/>
      <c r="D723" s="8" t="s">
        <v>8</v>
      </c>
      <c r="E723" s="8" t="s">
        <v>8</v>
      </c>
    </row>
    <row r="724">
      <c r="B724" s="31"/>
      <c r="D724" s="8" t="s">
        <v>8</v>
      </c>
      <c r="E724" s="8" t="s">
        <v>8</v>
      </c>
    </row>
    <row r="725">
      <c r="B725" s="31"/>
      <c r="D725" s="8" t="s">
        <v>8</v>
      </c>
      <c r="E725" s="8" t="s">
        <v>8</v>
      </c>
    </row>
    <row r="726">
      <c r="B726" s="31"/>
      <c r="D726" s="8" t="s">
        <v>8</v>
      </c>
      <c r="E726" s="8" t="s">
        <v>8</v>
      </c>
    </row>
    <row r="727">
      <c r="B727" s="31"/>
      <c r="D727" s="8" t="s">
        <v>8</v>
      </c>
      <c r="E727" s="8" t="s">
        <v>8</v>
      </c>
    </row>
    <row r="728">
      <c r="B728" s="31"/>
      <c r="D728" s="8" t="s">
        <v>8</v>
      </c>
      <c r="E728" s="8" t="s">
        <v>8</v>
      </c>
    </row>
    <row r="729">
      <c r="B729" s="31"/>
      <c r="D729" s="8" t="s">
        <v>8</v>
      </c>
      <c r="E729" s="8" t="s">
        <v>8</v>
      </c>
    </row>
    <row r="730">
      <c r="B730" s="31"/>
      <c r="D730" s="8" t="s">
        <v>8</v>
      </c>
      <c r="E730" s="8" t="s">
        <v>8</v>
      </c>
    </row>
    <row r="731">
      <c r="B731" s="31"/>
      <c r="D731" s="8" t="s">
        <v>8</v>
      </c>
      <c r="E731" s="8" t="s">
        <v>8</v>
      </c>
    </row>
    <row r="732">
      <c r="B732" s="31"/>
      <c r="D732" s="8" t="s">
        <v>8</v>
      </c>
      <c r="E732" s="8" t="s">
        <v>8</v>
      </c>
    </row>
    <row r="733">
      <c r="B733" s="31"/>
      <c r="D733" s="8" t="s">
        <v>8</v>
      </c>
      <c r="E733" s="8" t="s">
        <v>8</v>
      </c>
    </row>
    <row r="734">
      <c r="B734" s="31"/>
      <c r="D734" s="8" t="s">
        <v>8</v>
      </c>
      <c r="E734" s="8" t="s">
        <v>8</v>
      </c>
    </row>
    <row r="735">
      <c r="B735" s="31"/>
      <c r="D735" s="8" t="s">
        <v>8</v>
      </c>
      <c r="E735" s="8" t="s">
        <v>8</v>
      </c>
    </row>
    <row r="736">
      <c r="B736" s="31"/>
      <c r="D736" s="8" t="s">
        <v>8</v>
      </c>
      <c r="E736" s="8" t="s">
        <v>8</v>
      </c>
    </row>
    <row r="737">
      <c r="B737" s="31"/>
      <c r="D737" s="8" t="s">
        <v>8</v>
      </c>
      <c r="E737" s="8" t="s">
        <v>8</v>
      </c>
    </row>
    <row r="738">
      <c r="B738" s="31"/>
      <c r="D738" s="8" t="s">
        <v>8</v>
      </c>
      <c r="E738" s="8" t="s">
        <v>8</v>
      </c>
    </row>
    <row r="739">
      <c r="B739" s="31"/>
      <c r="D739" s="8" t="s">
        <v>8</v>
      </c>
      <c r="E739" s="8" t="s">
        <v>8</v>
      </c>
    </row>
    <row r="740">
      <c r="B740" s="31"/>
      <c r="D740" s="8" t="s">
        <v>8</v>
      </c>
      <c r="E740" s="8" t="s">
        <v>8</v>
      </c>
    </row>
    <row r="741">
      <c r="B741" s="31"/>
      <c r="D741" s="8" t="s">
        <v>8</v>
      </c>
      <c r="E741" s="8" t="s">
        <v>8</v>
      </c>
    </row>
    <row r="742">
      <c r="B742" s="31"/>
      <c r="D742" s="8" t="s">
        <v>8</v>
      </c>
      <c r="E742" s="8" t="s">
        <v>8</v>
      </c>
    </row>
    <row r="743">
      <c r="B743" s="31"/>
      <c r="D743" s="8" t="s">
        <v>8</v>
      </c>
      <c r="E743" s="8" t="s">
        <v>8</v>
      </c>
    </row>
    <row r="744">
      <c r="B744" s="31"/>
      <c r="D744" s="8" t="s">
        <v>8</v>
      </c>
      <c r="E744" s="8" t="s">
        <v>8</v>
      </c>
    </row>
    <row r="745">
      <c r="B745" s="31"/>
      <c r="D745" s="8" t="s">
        <v>8</v>
      </c>
      <c r="E745" s="8" t="s">
        <v>8</v>
      </c>
    </row>
    <row r="746">
      <c r="B746" s="31"/>
      <c r="D746" s="8" t="s">
        <v>8</v>
      </c>
      <c r="E746" s="8" t="s">
        <v>8</v>
      </c>
    </row>
    <row r="747">
      <c r="B747" s="31"/>
      <c r="D747" s="8" t="s">
        <v>8</v>
      </c>
      <c r="E747" s="8" t="s">
        <v>8</v>
      </c>
    </row>
    <row r="748">
      <c r="B748" s="31"/>
      <c r="D748" s="8" t="s">
        <v>8</v>
      </c>
      <c r="E748" s="8" t="s">
        <v>8</v>
      </c>
    </row>
    <row r="749">
      <c r="B749" s="31"/>
      <c r="D749" s="8" t="s">
        <v>8</v>
      </c>
      <c r="E749" s="8" t="s">
        <v>8</v>
      </c>
    </row>
    <row r="750">
      <c r="B750" s="31"/>
      <c r="D750" s="8" t="s">
        <v>8</v>
      </c>
      <c r="E750" s="8" t="s">
        <v>8</v>
      </c>
    </row>
    <row r="751">
      <c r="B751" s="31"/>
      <c r="D751" s="8" t="s">
        <v>8</v>
      </c>
      <c r="E751" s="8" t="s">
        <v>8</v>
      </c>
    </row>
    <row r="752">
      <c r="B752" s="31"/>
      <c r="D752" s="8" t="s">
        <v>8</v>
      </c>
      <c r="E752" s="8" t="s">
        <v>8</v>
      </c>
    </row>
    <row r="753">
      <c r="B753" s="31"/>
      <c r="D753" s="8" t="s">
        <v>8</v>
      </c>
      <c r="E753" s="8" t="s">
        <v>8</v>
      </c>
    </row>
    <row r="754">
      <c r="B754" s="31"/>
      <c r="D754" s="8" t="s">
        <v>8</v>
      </c>
      <c r="E754" s="8" t="s">
        <v>8</v>
      </c>
    </row>
    <row r="755">
      <c r="B755" s="31"/>
      <c r="D755" s="8" t="s">
        <v>8</v>
      </c>
      <c r="E755" s="8" t="s">
        <v>8</v>
      </c>
    </row>
    <row r="756">
      <c r="B756" s="31"/>
      <c r="D756" s="8" t="s">
        <v>8</v>
      </c>
      <c r="E756" s="8" t="s">
        <v>8</v>
      </c>
    </row>
    <row r="757">
      <c r="B757" s="31"/>
      <c r="D757" s="8" t="s">
        <v>8</v>
      </c>
      <c r="E757" s="8" t="s">
        <v>8</v>
      </c>
    </row>
    <row r="758">
      <c r="B758" s="31"/>
      <c r="D758" s="8" t="s">
        <v>8</v>
      </c>
      <c r="E758" s="8" t="s">
        <v>8</v>
      </c>
    </row>
    <row r="759">
      <c r="B759" s="31"/>
      <c r="D759" s="8" t="s">
        <v>8</v>
      </c>
      <c r="E759" s="8" t="s">
        <v>8</v>
      </c>
    </row>
    <row r="760">
      <c r="B760" s="31"/>
      <c r="D760" s="8" t="s">
        <v>8</v>
      </c>
      <c r="E760" s="8" t="s">
        <v>8</v>
      </c>
    </row>
    <row r="761">
      <c r="B761" s="31"/>
      <c r="D761" s="8" t="s">
        <v>8</v>
      </c>
      <c r="E761" s="8" t="s">
        <v>8</v>
      </c>
    </row>
    <row r="762">
      <c r="B762" s="31"/>
      <c r="D762" s="8" t="s">
        <v>8</v>
      </c>
      <c r="E762" s="8" t="s">
        <v>8</v>
      </c>
    </row>
    <row r="763">
      <c r="B763" s="31"/>
      <c r="D763" s="8" t="s">
        <v>8</v>
      </c>
      <c r="E763" s="8" t="s">
        <v>8</v>
      </c>
    </row>
    <row r="764">
      <c r="B764" s="31"/>
      <c r="D764" s="8" t="s">
        <v>8</v>
      </c>
      <c r="E764" s="8" t="s">
        <v>8</v>
      </c>
    </row>
    <row r="765">
      <c r="B765" s="31"/>
      <c r="D765" s="8" t="s">
        <v>8</v>
      </c>
      <c r="E765" s="8" t="s">
        <v>8</v>
      </c>
    </row>
    <row r="766">
      <c r="B766" s="31"/>
      <c r="D766" s="8" t="s">
        <v>8</v>
      </c>
      <c r="E766" s="8" t="s">
        <v>8</v>
      </c>
    </row>
    <row r="767">
      <c r="B767" s="31"/>
      <c r="D767" s="8" t="s">
        <v>8</v>
      </c>
      <c r="E767" s="8" t="s">
        <v>8</v>
      </c>
    </row>
    <row r="768">
      <c r="B768" s="31"/>
      <c r="D768" s="8" t="s">
        <v>8</v>
      </c>
      <c r="E768" s="8" t="s">
        <v>8</v>
      </c>
    </row>
    <row r="769">
      <c r="B769" s="31"/>
      <c r="D769" s="8" t="s">
        <v>8</v>
      </c>
      <c r="E769" s="8" t="s">
        <v>8</v>
      </c>
    </row>
    <row r="770">
      <c r="B770" s="31"/>
      <c r="D770" s="8" t="s">
        <v>8</v>
      </c>
      <c r="E770" s="8" t="s">
        <v>8</v>
      </c>
    </row>
    <row r="771">
      <c r="B771" s="31"/>
      <c r="D771" s="8" t="s">
        <v>8</v>
      </c>
      <c r="E771" s="8" t="s">
        <v>8</v>
      </c>
    </row>
    <row r="772">
      <c r="B772" s="31"/>
      <c r="D772" s="8" t="s">
        <v>8</v>
      </c>
      <c r="E772" s="8" t="s">
        <v>8</v>
      </c>
    </row>
    <row r="773">
      <c r="B773" s="31"/>
      <c r="D773" s="8" t="s">
        <v>8</v>
      </c>
      <c r="E773" s="8" t="s">
        <v>8</v>
      </c>
    </row>
    <row r="774">
      <c r="B774" s="31"/>
      <c r="D774" s="8" t="s">
        <v>8</v>
      </c>
      <c r="E774" s="8" t="s">
        <v>8</v>
      </c>
    </row>
    <row r="775">
      <c r="B775" s="31"/>
      <c r="D775" s="8" t="s">
        <v>8</v>
      </c>
      <c r="E775" s="8" t="s">
        <v>8</v>
      </c>
    </row>
    <row r="776">
      <c r="B776" s="31"/>
      <c r="D776" s="8" t="s">
        <v>8</v>
      </c>
      <c r="E776" s="8" t="s">
        <v>8</v>
      </c>
    </row>
    <row r="777">
      <c r="B777" s="31"/>
      <c r="D777" s="8" t="s">
        <v>8</v>
      </c>
      <c r="E777" s="8" t="s">
        <v>8</v>
      </c>
    </row>
    <row r="778">
      <c r="B778" s="31"/>
      <c r="D778" s="8" t="s">
        <v>8</v>
      </c>
      <c r="E778" s="8" t="s">
        <v>8</v>
      </c>
    </row>
    <row r="779">
      <c r="B779" s="31"/>
      <c r="D779" s="8" t="s">
        <v>8</v>
      </c>
      <c r="E779" s="8" t="s">
        <v>8</v>
      </c>
    </row>
    <row r="780">
      <c r="B780" s="31"/>
      <c r="D780" s="8" t="s">
        <v>8</v>
      </c>
      <c r="E780" s="8" t="s">
        <v>8</v>
      </c>
    </row>
    <row r="781">
      <c r="B781" s="31"/>
      <c r="D781" s="8" t="s">
        <v>8</v>
      </c>
      <c r="E781" s="8" t="s">
        <v>8</v>
      </c>
    </row>
    <row r="782">
      <c r="B782" s="31"/>
      <c r="D782" s="8" t="s">
        <v>8</v>
      </c>
      <c r="E782" s="8" t="s">
        <v>8</v>
      </c>
    </row>
    <row r="783">
      <c r="B783" s="31"/>
      <c r="D783" s="8" t="s">
        <v>8</v>
      </c>
      <c r="E783" s="8" t="s">
        <v>8</v>
      </c>
    </row>
    <row r="784">
      <c r="B784" s="31"/>
      <c r="D784" s="8" t="s">
        <v>8</v>
      </c>
      <c r="E784" s="8" t="s">
        <v>8</v>
      </c>
    </row>
    <row r="785">
      <c r="B785" s="31"/>
      <c r="D785" s="8" t="s">
        <v>8</v>
      </c>
      <c r="E785" s="8" t="s">
        <v>8</v>
      </c>
    </row>
    <row r="786">
      <c r="B786" s="31"/>
      <c r="D786" s="8" t="s">
        <v>8</v>
      </c>
      <c r="E786" s="8" t="s">
        <v>8</v>
      </c>
    </row>
    <row r="787">
      <c r="B787" s="31"/>
      <c r="D787" s="8" t="s">
        <v>8</v>
      </c>
      <c r="E787" s="8" t="s">
        <v>8</v>
      </c>
    </row>
    <row r="788">
      <c r="B788" s="31"/>
      <c r="D788" s="8" t="s">
        <v>8</v>
      </c>
      <c r="E788" s="8" t="s">
        <v>8</v>
      </c>
    </row>
    <row r="789">
      <c r="B789" s="31"/>
      <c r="D789" s="8" t="s">
        <v>8</v>
      </c>
      <c r="E789" s="8" t="s">
        <v>8</v>
      </c>
    </row>
    <row r="790">
      <c r="B790" s="31"/>
      <c r="D790" s="8" t="s">
        <v>8</v>
      </c>
      <c r="E790" s="8" t="s">
        <v>8</v>
      </c>
    </row>
    <row r="791">
      <c r="B791" s="31"/>
      <c r="D791" s="8" t="s">
        <v>8</v>
      </c>
      <c r="E791" s="8" t="s">
        <v>8</v>
      </c>
    </row>
    <row r="792">
      <c r="B792" s="31"/>
      <c r="D792" s="8" t="s">
        <v>8</v>
      </c>
      <c r="E792" s="8" t="s">
        <v>8</v>
      </c>
    </row>
    <row r="793">
      <c r="B793" s="31"/>
      <c r="D793" s="8" t="s">
        <v>8</v>
      </c>
      <c r="E793" s="8" t="s">
        <v>8</v>
      </c>
    </row>
    <row r="794">
      <c r="B794" s="31"/>
      <c r="D794" s="8" t="s">
        <v>8</v>
      </c>
      <c r="E794" s="8" t="s">
        <v>8</v>
      </c>
    </row>
    <row r="795">
      <c r="B795" s="31"/>
      <c r="D795" s="8" t="s">
        <v>8</v>
      </c>
      <c r="E795" s="8" t="s">
        <v>8</v>
      </c>
    </row>
    <row r="796">
      <c r="B796" s="31"/>
      <c r="D796" s="8" t="s">
        <v>8</v>
      </c>
      <c r="E796" s="8" t="s">
        <v>8</v>
      </c>
    </row>
    <row r="797">
      <c r="B797" s="31"/>
      <c r="D797" s="8" t="s">
        <v>8</v>
      </c>
      <c r="E797" s="8" t="s">
        <v>8</v>
      </c>
    </row>
    <row r="798">
      <c r="B798" s="31"/>
      <c r="D798" s="8" t="s">
        <v>8</v>
      </c>
      <c r="E798" s="8" t="s">
        <v>8</v>
      </c>
    </row>
    <row r="799">
      <c r="B799" s="31"/>
      <c r="D799" s="8" t="s">
        <v>8</v>
      </c>
      <c r="E799" s="8" t="s">
        <v>8</v>
      </c>
    </row>
    <row r="800">
      <c r="B800" s="31"/>
      <c r="D800" s="8" t="s">
        <v>8</v>
      </c>
      <c r="E800" s="8" t="s">
        <v>8</v>
      </c>
    </row>
    <row r="801">
      <c r="B801" s="31"/>
      <c r="D801" s="8" t="s">
        <v>8</v>
      </c>
      <c r="E801" s="8" t="s">
        <v>8</v>
      </c>
    </row>
    <row r="802">
      <c r="B802" s="31"/>
      <c r="D802" s="8" t="s">
        <v>8</v>
      </c>
      <c r="E802" s="8" t="s">
        <v>8</v>
      </c>
    </row>
    <row r="803">
      <c r="B803" s="31"/>
      <c r="D803" s="8" t="s">
        <v>8</v>
      </c>
      <c r="E803" s="8" t="s">
        <v>8</v>
      </c>
    </row>
    <row r="804">
      <c r="B804" s="31"/>
      <c r="D804" s="8" t="s">
        <v>8</v>
      </c>
      <c r="E804" s="8" t="s">
        <v>8</v>
      </c>
    </row>
    <row r="805">
      <c r="B805" s="31"/>
      <c r="D805" s="8" t="s">
        <v>8</v>
      </c>
      <c r="E805" s="8" t="s">
        <v>8</v>
      </c>
    </row>
    <row r="806">
      <c r="B806" s="31"/>
      <c r="D806" s="8" t="s">
        <v>8</v>
      </c>
      <c r="E806" s="8" t="s">
        <v>8</v>
      </c>
    </row>
    <row r="807">
      <c r="B807" s="31"/>
      <c r="D807" s="8" t="s">
        <v>8</v>
      </c>
      <c r="E807" s="8" t="s">
        <v>8</v>
      </c>
    </row>
    <row r="808">
      <c r="B808" s="31"/>
      <c r="D808" s="8" t="s">
        <v>8</v>
      </c>
      <c r="E808" s="8" t="s">
        <v>8</v>
      </c>
    </row>
    <row r="809">
      <c r="B809" s="31"/>
      <c r="D809" s="8" t="s">
        <v>8</v>
      </c>
      <c r="E809" s="8" t="s">
        <v>8</v>
      </c>
    </row>
    <row r="810">
      <c r="B810" s="31"/>
      <c r="D810" s="8" t="s">
        <v>8</v>
      </c>
      <c r="E810" s="8" t="s">
        <v>8</v>
      </c>
    </row>
    <row r="811">
      <c r="B811" s="31"/>
      <c r="D811" s="8" t="s">
        <v>8</v>
      </c>
      <c r="E811" s="8" t="s">
        <v>8</v>
      </c>
    </row>
    <row r="812">
      <c r="B812" s="31"/>
      <c r="D812" s="8" t="s">
        <v>8</v>
      </c>
      <c r="E812" s="8" t="s">
        <v>8</v>
      </c>
    </row>
    <row r="813">
      <c r="B813" s="31"/>
      <c r="D813" s="8" t="s">
        <v>8</v>
      </c>
      <c r="E813" s="8" t="s">
        <v>8</v>
      </c>
    </row>
    <row r="814">
      <c r="B814" s="31"/>
      <c r="D814" s="8" t="s">
        <v>8</v>
      </c>
      <c r="E814" s="8" t="s">
        <v>8</v>
      </c>
    </row>
    <row r="815">
      <c r="B815" s="31"/>
      <c r="D815" s="8" t="s">
        <v>8</v>
      </c>
      <c r="E815" s="8" t="s">
        <v>8</v>
      </c>
    </row>
    <row r="816">
      <c r="B816" s="31"/>
      <c r="D816" s="8" t="s">
        <v>8</v>
      </c>
      <c r="E816" s="8" t="s">
        <v>8</v>
      </c>
    </row>
    <row r="817">
      <c r="B817" s="31"/>
      <c r="D817" s="8" t="s">
        <v>8</v>
      </c>
      <c r="E817" s="8" t="s">
        <v>8</v>
      </c>
    </row>
    <row r="818">
      <c r="B818" s="31"/>
      <c r="D818" s="8" t="s">
        <v>8</v>
      </c>
      <c r="E818" s="8" t="s">
        <v>8</v>
      </c>
    </row>
    <row r="819">
      <c r="B819" s="31"/>
      <c r="D819" s="8" t="s">
        <v>8</v>
      </c>
      <c r="E819" s="8" t="s">
        <v>8</v>
      </c>
    </row>
    <row r="820">
      <c r="B820" s="31"/>
      <c r="D820" s="8" t="s">
        <v>8</v>
      </c>
      <c r="E820" s="8" t="s">
        <v>8</v>
      </c>
    </row>
    <row r="821">
      <c r="B821" s="31"/>
      <c r="D821" s="8" t="s">
        <v>8</v>
      </c>
      <c r="E821" s="8" t="s">
        <v>8</v>
      </c>
    </row>
    <row r="822">
      <c r="B822" s="31"/>
      <c r="D822" s="8" t="s">
        <v>8</v>
      </c>
      <c r="E822" s="8" t="s">
        <v>8</v>
      </c>
    </row>
    <row r="823">
      <c r="B823" s="31"/>
      <c r="D823" s="8" t="s">
        <v>8</v>
      </c>
      <c r="E823" s="8" t="s">
        <v>8</v>
      </c>
    </row>
    <row r="824">
      <c r="B824" s="31"/>
      <c r="D824" s="8" t="s">
        <v>8</v>
      </c>
      <c r="E824" s="8" t="s">
        <v>8</v>
      </c>
    </row>
    <row r="825">
      <c r="B825" s="31"/>
      <c r="D825" s="8" t="s">
        <v>8</v>
      </c>
      <c r="E825" s="8" t="s">
        <v>8</v>
      </c>
    </row>
    <row r="826">
      <c r="B826" s="31"/>
      <c r="D826" s="8" t="s">
        <v>8</v>
      </c>
      <c r="E826" s="8" t="s">
        <v>8</v>
      </c>
    </row>
    <row r="827">
      <c r="B827" s="31"/>
      <c r="D827" s="8" t="s">
        <v>8</v>
      </c>
      <c r="E827" s="8" t="s">
        <v>8</v>
      </c>
    </row>
    <row r="828">
      <c r="B828" s="31"/>
      <c r="D828" s="8" t="s">
        <v>8</v>
      </c>
      <c r="E828" s="8" t="s">
        <v>8</v>
      </c>
    </row>
    <row r="829">
      <c r="B829" s="31"/>
      <c r="D829" s="8" t="s">
        <v>8</v>
      </c>
      <c r="E829" s="8" t="s">
        <v>8</v>
      </c>
    </row>
    <row r="830">
      <c r="B830" s="31"/>
      <c r="D830" s="8" t="s">
        <v>8</v>
      </c>
      <c r="E830" s="8" t="s">
        <v>8</v>
      </c>
    </row>
    <row r="831">
      <c r="B831" s="31"/>
      <c r="D831" s="8" t="s">
        <v>8</v>
      </c>
      <c r="E831" s="8" t="s">
        <v>8</v>
      </c>
    </row>
    <row r="832">
      <c r="B832" s="31"/>
      <c r="D832" s="8" t="s">
        <v>8</v>
      </c>
      <c r="E832" s="8" t="s">
        <v>8</v>
      </c>
    </row>
    <row r="833">
      <c r="B833" s="31"/>
      <c r="D833" s="8" t="s">
        <v>8</v>
      </c>
      <c r="E833" s="8" t="s">
        <v>8</v>
      </c>
    </row>
    <row r="834">
      <c r="B834" s="31"/>
      <c r="D834" s="8" t="s">
        <v>8</v>
      </c>
      <c r="E834" s="8" t="s">
        <v>8</v>
      </c>
    </row>
    <row r="835">
      <c r="B835" s="31"/>
      <c r="D835" s="8" t="s">
        <v>8</v>
      </c>
      <c r="E835" s="8" t="s">
        <v>8</v>
      </c>
    </row>
    <row r="836">
      <c r="B836" s="31"/>
      <c r="D836" s="8" t="s">
        <v>8</v>
      </c>
      <c r="E836" s="8" t="s">
        <v>8</v>
      </c>
    </row>
    <row r="837">
      <c r="B837" s="31"/>
      <c r="D837" s="8" t="s">
        <v>8</v>
      </c>
      <c r="E837" s="8" t="s">
        <v>8</v>
      </c>
    </row>
    <row r="838">
      <c r="B838" s="31"/>
      <c r="D838" s="8" t="s">
        <v>8</v>
      </c>
      <c r="E838" s="8" t="s">
        <v>8</v>
      </c>
    </row>
    <row r="839">
      <c r="B839" s="31"/>
      <c r="D839" s="8" t="s">
        <v>8</v>
      </c>
      <c r="E839" s="8" t="s">
        <v>8</v>
      </c>
    </row>
    <row r="840">
      <c r="B840" s="31"/>
      <c r="D840" s="8" t="s">
        <v>8</v>
      </c>
      <c r="E840" s="8" t="s">
        <v>8</v>
      </c>
    </row>
    <row r="841">
      <c r="B841" s="31"/>
      <c r="D841" s="8" t="s">
        <v>8</v>
      </c>
      <c r="E841" s="8" t="s">
        <v>8</v>
      </c>
    </row>
    <row r="842">
      <c r="B842" s="31"/>
      <c r="D842" s="8" t="s">
        <v>8</v>
      </c>
      <c r="E842" s="8" t="s">
        <v>8</v>
      </c>
    </row>
    <row r="843">
      <c r="B843" s="31"/>
      <c r="D843" s="8" t="s">
        <v>8</v>
      </c>
      <c r="E843" s="8" t="s">
        <v>8</v>
      </c>
    </row>
    <row r="844">
      <c r="B844" s="31"/>
      <c r="D844" s="8" t="s">
        <v>8</v>
      </c>
      <c r="E844" s="8" t="s">
        <v>8</v>
      </c>
    </row>
    <row r="845">
      <c r="B845" s="31"/>
      <c r="D845" s="8" t="s">
        <v>8</v>
      </c>
      <c r="E845" s="8" t="s">
        <v>8</v>
      </c>
    </row>
    <row r="846">
      <c r="B846" s="31"/>
      <c r="D846" s="8" t="s">
        <v>8</v>
      </c>
      <c r="E846" s="8" t="s">
        <v>8</v>
      </c>
    </row>
    <row r="847">
      <c r="B847" s="31"/>
      <c r="D847" s="8" t="s">
        <v>8</v>
      </c>
      <c r="E847" s="8" t="s">
        <v>8</v>
      </c>
    </row>
    <row r="848">
      <c r="B848" s="31"/>
      <c r="D848" s="8" t="s">
        <v>8</v>
      </c>
      <c r="E848" s="8" t="s">
        <v>8</v>
      </c>
    </row>
    <row r="849">
      <c r="B849" s="31"/>
      <c r="D849" s="8" t="s">
        <v>8</v>
      </c>
      <c r="E849" s="8" t="s">
        <v>8</v>
      </c>
    </row>
    <row r="850">
      <c r="B850" s="31"/>
      <c r="D850" s="8" t="s">
        <v>8</v>
      </c>
      <c r="E850" s="8" t="s">
        <v>8</v>
      </c>
    </row>
    <row r="851">
      <c r="B851" s="31"/>
      <c r="D851" s="8" t="s">
        <v>8</v>
      </c>
      <c r="E851" s="8" t="s">
        <v>8</v>
      </c>
    </row>
    <row r="852">
      <c r="B852" s="31"/>
      <c r="D852" s="8" t="s">
        <v>8</v>
      </c>
      <c r="E852" s="8" t="s">
        <v>8</v>
      </c>
    </row>
    <row r="853">
      <c r="B853" s="31"/>
      <c r="D853" s="8" t="s">
        <v>8</v>
      </c>
      <c r="E853" s="8" t="s">
        <v>8</v>
      </c>
    </row>
    <row r="854">
      <c r="B854" s="31"/>
      <c r="D854" s="8" t="s">
        <v>8</v>
      </c>
      <c r="E854" s="8" t="s">
        <v>8</v>
      </c>
    </row>
    <row r="855">
      <c r="B855" s="31"/>
      <c r="D855" s="8" t="s">
        <v>8</v>
      </c>
      <c r="E855" s="8" t="s">
        <v>8</v>
      </c>
    </row>
    <row r="856">
      <c r="B856" s="31"/>
      <c r="D856" s="8" t="s">
        <v>8</v>
      </c>
      <c r="E856" s="8" t="s">
        <v>8</v>
      </c>
    </row>
    <row r="857">
      <c r="B857" s="31"/>
      <c r="D857" s="8" t="s">
        <v>8</v>
      </c>
      <c r="E857" s="8" t="s">
        <v>8</v>
      </c>
    </row>
    <row r="858">
      <c r="B858" s="31"/>
      <c r="D858" s="8" t="s">
        <v>8</v>
      </c>
      <c r="E858" s="8" t="s">
        <v>8</v>
      </c>
    </row>
    <row r="859">
      <c r="B859" s="31"/>
      <c r="D859" s="8" t="s">
        <v>8</v>
      </c>
      <c r="E859" s="8" t="s">
        <v>8</v>
      </c>
    </row>
    <row r="860">
      <c r="B860" s="31"/>
      <c r="D860" s="8" t="s">
        <v>8</v>
      </c>
      <c r="E860" s="8" t="s">
        <v>8</v>
      </c>
    </row>
    <row r="861">
      <c r="B861" s="31"/>
      <c r="D861" s="8" t="s">
        <v>8</v>
      </c>
      <c r="E861" s="8" t="s">
        <v>8</v>
      </c>
    </row>
    <row r="862">
      <c r="B862" s="31"/>
      <c r="D862" s="8" t="s">
        <v>8</v>
      </c>
      <c r="E862" s="8" t="s">
        <v>8</v>
      </c>
    </row>
    <row r="863">
      <c r="B863" s="31"/>
      <c r="D863" s="8" t="s">
        <v>8</v>
      </c>
      <c r="E863" s="8" t="s">
        <v>8</v>
      </c>
    </row>
    <row r="864">
      <c r="B864" s="31"/>
      <c r="D864" s="8" t="s">
        <v>8</v>
      </c>
      <c r="E864" s="8" t="s">
        <v>8</v>
      </c>
    </row>
    <row r="865">
      <c r="B865" s="31"/>
      <c r="D865" s="8" t="s">
        <v>8</v>
      </c>
      <c r="E865" s="8" t="s">
        <v>8</v>
      </c>
    </row>
    <row r="866">
      <c r="B866" s="31"/>
      <c r="D866" s="8" t="s">
        <v>8</v>
      </c>
      <c r="E866" s="8" t="s">
        <v>8</v>
      </c>
    </row>
    <row r="867">
      <c r="B867" s="31"/>
      <c r="D867" s="8" t="s">
        <v>8</v>
      </c>
      <c r="E867" s="8" t="s">
        <v>8</v>
      </c>
    </row>
    <row r="868">
      <c r="B868" s="31"/>
      <c r="D868" s="8" t="s">
        <v>8</v>
      </c>
      <c r="E868" s="8" t="s">
        <v>8</v>
      </c>
    </row>
    <row r="869">
      <c r="B869" s="31"/>
      <c r="D869" s="8" t="s">
        <v>8</v>
      </c>
      <c r="E869" s="8" t="s">
        <v>8</v>
      </c>
    </row>
    <row r="870">
      <c r="B870" s="31"/>
      <c r="D870" s="8" t="s">
        <v>8</v>
      </c>
      <c r="E870" s="8" t="s">
        <v>8</v>
      </c>
    </row>
    <row r="871">
      <c r="B871" s="31"/>
      <c r="D871" s="8" t="s">
        <v>8</v>
      </c>
      <c r="E871" s="8" t="s">
        <v>8</v>
      </c>
    </row>
    <row r="872">
      <c r="B872" s="31"/>
      <c r="D872" s="8" t="s">
        <v>8</v>
      </c>
      <c r="E872" s="8" t="s">
        <v>8</v>
      </c>
    </row>
    <row r="873">
      <c r="B873" s="31"/>
      <c r="D873" s="8" t="s">
        <v>8</v>
      </c>
      <c r="E873" s="8" t="s">
        <v>8</v>
      </c>
    </row>
    <row r="874">
      <c r="B874" s="31"/>
      <c r="D874" s="8" t="s">
        <v>8</v>
      </c>
      <c r="E874" s="8" t="s">
        <v>8</v>
      </c>
    </row>
    <row r="875">
      <c r="B875" s="31"/>
      <c r="D875" s="8" t="s">
        <v>8</v>
      </c>
      <c r="E875" s="8" t="s">
        <v>8</v>
      </c>
    </row>
    <row r="876">
      <c r="B876" s="31"/>
      <c r="D876" s="8" t="s">
        <v>8</v>
      </c>
      <c r="E876" s="8" t="s">
        <v>8</v>
      </c>
    </row>
    <row r="877">
      <c r="B877" s="31"/>
      <c r="D877" s="8" t="s">
        <v>8</v>
      </c>
      <c r="E877" s="8" t="s">
        <v>8</v>
      </c>
    </row>
    <row r="878">
      <c r="B878" s="31"/>
      <c r="D878" s="8" t="s">
        <v>8</v>
      </c>
      <c r="E878" s="8" t="s">
        <v>8</v>
      </c>
    </row>
    <row r="879">
      <c r="B879" s="31"/>
      <c r="D879" s="8" t="s">
        <v>8</v>
      </c>
      <c r="E879" s="8" t="s">
        <v>8</v>
      </c>
    </row>
    <row r="880">
      <c r="B880" s="31"/>
      <c r="D880" s="8" t="s">
        <v>8</v>
      </c>
      <c r="E880" s="8" t="s">
        <v>8</v>
      </c>
    </row>
    <row r="881">
      <c r="B881" s="31"/>
      <c r="D881" s="8" t="s">
        <v>8</v>
      </c>
      <c r="E881" s="8" t="s">
        <v>8</v>
      </c>
    </row>
    <row r="882">
      <c r="B882" s="31"/>
      <c r="D882" s="8" t="s">
        <v>8</v>
      </c>
      <c r="E882" s="8" t="s">
        <v>8</v>
      </c>
    </row>
    <row r="883">
      <c r="B883" s="31"/>
      <c r="D883" s="8" t="s">
        <v>8</v>
      </c>
      <c r="E883" s="8" t="s">
        <v>8</v>
      </c>
    </row>
    <row r="884">
      <c r="B884" s="31"/>
      <c r="D884" s="8" t="s">
        <v>8</v>
      </c>
      <c r="E884" s="8" t="s">
        <v>8</v>
      </c>
    </row>
    <row r="885">
      <c r="B885" s="31"/>
      <c r="D885" s="8" t="s">
        <v>8</v>
      </c>
      <c r="E885" s="8" t="s">
        <v>8</v>
      </c>
    </row>
    <row r="886">
      <c r="B886" s="31"/>
      <c r="D886" s="8" t="s">
        <v>8</v>
      </c>
      <c r="E886" s="8" t="s">
        <v>8</v>
      </c>
    </row>
    <row r="887">
      <c r="B887" s="31"/>
      <c r="D887" s="8" t="s">
        <v>8</v>
      </c>
      <c r="E887" s="8" t="s">
        <v>8</v>
      </c>
    </row>
    <row r="888">
      <c r="B888" s="31"/>
      <c r="D888" s="8" t="s">
        <v>8</v>
      </c>
      <c r="E888" s="8" t="s">
        <v>8</v>
      </c>
    </row>
    <row r="889">
      <c r="B889" s="31"/>
      <c r="D889" s="8" t="s">
        <v>8</v>
      </c>
      <c r="E889" s="8" t="s">
        <v>8</v>
      </c>
    </row>
    <row r="890">
      <c r="B890" s="31"/>
      <c r="D890" s="8" t="s">
        <v>8</v>
      </c>
      <c r="E890" s="8" t="s">
        <v>8</v>
      </c>
    </row>
    <row r="891">
      <c r="B891" s="31"/>
      <c r="D891" s="8" t="s">
        <v>8</v>
      </c>
      <c r="E891" s="8" t="s">
        <v>8</v>
      </c>
    </row>
    <row r="892">
      <c r="B892" s="31"/>
      <c r="D892" s="8" t="s">
        <v>8</v>
      </c>
      <c r="E892" s="8" t="s">
        <v>8</v>
      </c>
    </row>
    <row r="893">
      <c r="B893" s="31"/>
      <c r="D893" s="8" t="s">
        <v>8</v>
      </c>
      <c r="E893" s="8" t="s">
        <v>8</v>
      </c>
    </row>
    <row r="894">
      <c r="B894" s="31"/>
      <c r="D894" s="8" t="s">
        <v>8</v>
      </c>
      <c r="E894" s="8" t="s">
        <v>8</v>
      </c>
    </row>
    <row r="895">
      <c r="B895" s="31"/>
      <c r="D895" s="8" t="s">
        <v>8</v>
      </c>
      <c r="E895" s="8" t="s">
        <v>8</v>
      </c>
    </row>
    <row r="896">
      <c r="B896" s="31"/>
      <c r="D896" s="8" t="s">
        <v>8</v>
      </c>
      <c r="E896" s="8" t="s">
        <v>8</v>
      </c>
    </row>
    <row r="897">
      <c r="B897" s="31"/>
      <c r="D897" s="8" t="s">
        <v>8</v>
      </c>
      <c r="E897" s="8" t="s">
        <v>8</v>
      </c>
    </row>
    <row r="898">
      <c r="B898" s="31"/>
      <c r="D898" s="8" t="s">
        <v>8</v>
      </c>
      <c r="E898" s="8" t="s">
        <v>8</v>
      </c>
    </row>
    <row r="899">
      <c r="B899" s="31"/>
      <c r="D899" s="8" t="s">
        <v>8</v>
      </c>
      <c r="E899" s="8" t="s">
        <v>8</v>
      </c>
    </row>
    <row r="900">
      <c r="B900" s="31"/>
      <c r="D900" s="8" t="s">
        <v>8</v>
      </c>
      <c r="E900" s="8" t="s">
        <v>8</v>
      </c>
    </row>
    <row r="901">
      <c r="B901" s="31"/>
      <c r="D901" s="8" t="s">
        <v>8</v>
      </c>
      <c r="E901" s="8" t="s">
        <v>8</v>
      </c>
    </row>
    <row r="902">
      <c r="B902" s="31"/>
      <c r="D902" s="8" t="s">
        <v>8</v>
      </c>
      <c r="E902" s="8" t="s">
        <v>8</v>
      </c>
    </row>
    <row r="903">
      <c r="B903" s="31"/>
      <c r="D903" s="8" t="s">
        <v>8</v>
      </c>
      <c r="E903" s="8" t="s">
        <v>8</v>
      </c>
    </row>
    <row r="904">
      <c r="B904" s="31"/>
      <c r="D904" s="8" t="s">
        <v>8</v>
      </c>
      <c r="E904" s="8" t="s">
        <v>8</v>
      </c>
    </row>
    <row r="905">
      <c r="B905" s="31"/>
      <c r="D905" s="8" t="s">
        <v>8</v>
      </c>
      <c r="E905" s="8" t="s">
        <v>8</v>
      </c>
    </row>
    <row r="906">
      <c r="B906" s="31"/>
      <c r="D906" s="8" t="s">
        <v>8</v>
      </c>
      <c r="E906" s="8" t="s">
        <v>8</v>
      </c>
    </row>
    <row r="907">
      <c r="B907" s="31"/>
      <c r="D907" s="8" t="s">
        <v>8</v>
      </c>
      <c r="E907" s="8" t="s">
        <v>8</v>
      </c>
    </row>
    <row r="908">
      <c r="B908" s="31"/>
      <c r="D908" s="8" t="s">
        <v>8</v>
      </c>
      <c r="E908" s="8" t="s">
        <v>8</v>
      </c>
    </row>
    <row r="909">
      <c r="B909" s="31"/>
      <c r="D909" s="8" t="s">
        <v>8</v>
      </c>
      <c r="E909" s="8" t="s">
        <v>8</v>
      </c>
    </row>
    <row r="910">
      <c r="B910" s="31"/>
      <c r="D910" s="8" t="s">
        <v>8</v>
      </c>
      <c r="E910" s="8" t="s">
        <v>8</v>
      </c>
    </row>
    <row r="911">
      <c r="B911" s="31"/>
      <c r="D911" s="8" t="s">
        <v>8</v>
      </c>
      <c r="E911" s="8" t="s">
        <v>8</v>
      </c>
    </row>
    <row r="912">
      <c r="B912" s="31"/>
      <c r="D912" s="8" t="s">
        <v>8</v>
      </c>
      <c r="E912" s="8" t="s">
        <v>8</v>
      </c>
    </row>
    <row r="913">
      <c r="B913" s="31"/>
      <c r="D913" s="8" t="s">
        <v>8</v>
      </c>
      <c r="E913" s="8" t="s">
        <v>8</v>
      </c>
    </row>
    <row r="914">
      <c r="B914" s="31"/>
      <c r="D914" s="8" t="s">
        <v>8</v>
      </c>
      <c r="E914" s="8" t="s">
        <v>8</v>
      </c>
    </row>
    <row r="915">
      <c r="B915" s="31"/>
      <c r="D915" s="8" t="s">
        <v>8</v>
      </c>
      <c r="E915" s="8" t="s">
        <v>8</v>
      </c>
    </row>
    <row r="916">
      <c r="B916" s="31"/>
      <c r="D916" s="8" t="s">
        <v>8</v>
      </c>
      <c r="E916" s="8" t="s">
        <v>8</v>
      </c>
    </row>
    <row r="917">
      <c r="B917" s="31"/>
      <c r="D917" s="8" t="s">
        <v>8</v>
      </c>
      <c r="E917" s="8" t="s">
        <v>8</v>
      </c>
    </row>
    <row r="918">
      <c r="B918" s="31"/>
      <c r="D918" s="8" t="s">
        <v>8</v>
      </c>
      <c r="E918" s="8" t="s">
        <v>8</v>
      </c>
    </row>
    <row r="919">
      <c r="B919" s="31"/>
      <c r="D919" s="8" t="s">
        <v>8</v>
      </c>
      <c r="E919" s="8" t="s">
        <v>8</v>
      </c>
    </row>
    <row r="920">
      <c r="B920" s="31"/>
      <c r="D920" s="8" t="s">
        <v>8</v>
      </c>
      <c r="E920" s="8" t="s">
        <v>8</v>
      </c>
    </row>
    <row r="921">
      <c r="B921" s="31"/>
      <c r="D921" s="8" t="s">
        <v>8</v>
      </c>
      <c r="E921" s="8" t="s">
        <v>8</v>
      </c>
    </row>
    <row r="922">
      <c r="B922" s="31"/>
      <c r="D922" s="8" t="s">
        <v>8</v>
      </c>
      <c r="E922" s="8" t="s">
        <v>8</v>
      </c>
    </row>
    <row r="923">
      <c r="B923" s="31"/>
      <c r="D923" s="8" t="s">
        <v>8</v>
      </c>
      <c r="E923" s="8" t="s">
        <v>8</v>
      </c>
    </row>
    <row r="924">
      <c r="B924" s="31"/>
      <c r="D924" s="8" t="s">
        <v>8</v>
      </c>
      <c r="E924" s="8" t="s">
        <v>8</v>
      </c>
    </row>
    <row r="925">
      <c r="B925" s="31"/>
      <c r="D925" s="8" t="s">
        <v>8</v>
      </c>
      <c r="E925" s="8" t="s">
        <v>8</v>
      </c>
    </row>
    <row r="926">
      <c r="B926" s="31"/>
      <c r="D926" s="8" t="s">
        <v>8</v>
      </c>
      <c r="E926" s="8" t="s">
        <v>8</v>
      </c>
    </row>
    <row r="927">
      <c r="B927" s="31"/>
      <c r="D927" s="8" t="s">
        <v>8</v>
      </c>
      <c r="E927" s="8" t="s">
        <v>8</v>
      </c>
    </row>
    <row r="928">
      <c r="B928" s="31"/>
      <c r="D928" s="8" t="s">
        <v>8</v>
      </c>
      <c r="E928" s="8" t="s">
        <v>8</v>
      </c>
    </row>
    <row r="929">
      <c r="B929" s="31"/>
      <c r="D929" s="8" t="s">
        <v>8</v>
      </c>
      <c r="E929" s="8" t="s">
        <v>8</v>
      </c>
    </row>
    <row r="930">
      <c r="B930" s="31"/>
      <c r="D930" s="8" t="s">
        <v>8</v>
      </c>
      <c r="E930" s="8" t="s">
        <v>8</v>
      </c>
    </row>
    <row r="931">
      <c r="B931" s="31"/>
      <c r="D931" s="8" t="s">
        <v>8</v>
      </c>
      <c r="E931" s="8" t="s">
        <v>8</v>
      </c>
    </row>
    <row r="932">
      <c r="B932" s="31"/>
      <c r="D932" s="8" t="s">
        <v>8</v>
      </c>
      <c r="E932" s="8" t="s">
        <v>8</v>
      </c>
    </row>
    <row r="933">
      <c r="B933" s="31"/>
      <c r="D933" s="8" t="s">
        <v>8</v>
      </c>
      <c r="E933" s="8" t="s">
        <v>8</v>
      </c>
    </row>
    <row r="934">
      <c r="B934" s="31"/>
      <c r="D934" s="8" t="s">
        <v>8</v>
      </c>
      <c r="E934" s="8" t="s">
        <v>8</v>
      </c>
    </row>
    <row r="935">
      <c r="B935" s="31"/>
      <c r="D935" s="8" t="s">
        <v>8</v>
      </c>
      <c r="E935" s="8" t="s">
        <v>8</v>
      </c>
    </row>
    <row r="936">
      <c r="B936" s="31"/>
      <c r="D936" s="8" t="s">
        <v>8</v>
      </c>
      <c r="E936" s="8" t="s">
        <v>8</v>
      </c>
    </row>
    <row r="937">
      <c r="B937" s="31"/>
      <c r="D937" s="8" t="s">
        <v>8</v>
      </c>
      <c r="E937" s="8" t="s">
        <v>8</v>
      </c>
    </row>
    <row r="938">
      <c r="B938" s="31"/>
      <c r="D938" s="8" t="s">
        <v>8</v>
      </c>
      <c r="E938" s="8" t="s">
        <v>8</v>
      </c>
    </row>
    <row r="939">
      <c r="B939" s="31"/>
      <c r="D939" s="8" t="s">
        <v>8</v>
      </c>
      <c r="E939" s="8" t="s">
        <v>8</v>
      </c>
    </row>
    <row r="940">
      <c r="B940" s="31"/>
      <c r="D940" s="8" t="s">
        <v>8</v>
      </c>
      <c r="E940" s="8" t="s">
        <v>8</v>
      </c>
    </row>
    <row r="941">
      <c r="B941" s="31"/>
      <c r="D941" s="8" t="s">
        <v>8</v>
      </c>
      <c r="E941" s="8" t="s">
        <v>8</v>
      </c>
    </row>
    <row r="942">
      <c r="B942" s="31"/>
      <c r="D942" s="8" t="s">
        <v>8</v>
      </c>
      <c r="E942" s="8" t="s">
        <v>8</v>
      </c>
    </row>
    <row r="943">
      <c r="B943" s="31"/>
      <c r="D943" s="8" t="s">
        <v>8</v>
      </c>
      <c r="E943" s="8" t="s">
        <v>8</v>
      </c>
    </row>
    <row r="944">
      <c r="B944" s="31"/>
      <c r="D944" s="8" t="s">
        <v>8</v>
      </c>
      <c r="E944" s="8" t="s">
        <v>8</v>
      </c>
    </row>
    <row r="945">
      <c r="B945" s="31"/>
      <c r="D945" s="8" t="s">
        <v>8</v>
      </c>
      <c r="E945" s="8" t="s">
        <v>8</v>
      </c>
    </row>
    <row r="946">
      <c r="B946" s="31"/>
      <c r="D946" s="8" t="s">
        <v>8</v>
      </c>
      <c r="E946" s="8" t="s">
        <v>8</v>
      </c>
    </row>
    <row r="947">
      <c r="B947" s="31"/>
      <c r="D947" s="8" t="s">
        <v>8</v>
      </c>
      <c r="E947" s="8" t="s">
        <v>8</v>
      </c>
    </row>
    <row r="948">
      <c r="B948" s="31"/>
      <c r="D948" s="8" t="s">
        <v>8</v>
      </c>
      <c r="E948" s="8" t="s">
        <v>8</v>
      </c>
    </row>
    <row r="949">
      <c r="B949" s="31"/>
      <c r="D949" s="8" t="s">
        <v>8</v>
      </c>
      <c r="E949" s="8" t="s">
        <v>8</v>
      </c>
    </row>
    <row r="950">
      <c r="B950" s="31"/>
      <c r="D950" s="8" t="s">
        <v>8</v>
      </c>
      <c r="E950" s="8" t="s">
        <v>8</v>
      </c>
    </row>
    <row r="951">
      <c r="B951" s="31"/>
      <c r="D951" s="8" t="s">
        <v>8</v>
      </c>
      <c r="E951" s="8" t="s">
        <v>8</v>
      </c>
    </row>
    <row r="952">
      <c r="B952" s="31"/>
      <c r="D952" s="8" t="s">
        <v>8</v>
      </c>
      <c r="E952" s="8" t="s">
        <v>8</v>
      </c>
    </row>
    <row r="953">
      <c r="B953" s="31"/>
      <c r="D953" s="8" t="s">
        <v>8</v>
      </c>
      <c r="E953" s="8" t="s">
        <v>8</v>
      </c>
    </row>
    <row r="954">
      <c r="B954" s="31"/>
      <c r="D954" s="8" t="s">
        <v>8</v>
      </c>
      <c r="E954" s="8" t="s">
        <v>8</v>
      </c>
    </row>
    <row r="955">
      <c r="B955" s="31"/>
      <c r="D955" s="8" t="s">
        <v>8</v>
      </c>
      <c r="E955" s="8" t="s">
        <v>8</v>
      </c>
    </row>
    <row r="956">
      <c r="B956" s="31"/>
      <c r="D956" s="8" t="s">
        <v>8</v>
      </c>
      <c r="E956" s="8" t="s">
        <v>8</v>
      </c>
    </row>
    <row r="957">
      <c r="B957" s="31"/>
      <c r="D957" s="8" t="s">
        <v>8</v>
      </c>
      <c r="E957" s="8" t="s">
        <v>8</v>
      </c>
    </row>
    <row r="958">
      <c r="B958" s="31"/>
      <c r="D958" s="8" t="s">
        <v>8</v>
      </c>
      <c r="E958" s="8" t="s">
        <v>8</v>
      </c>
    </row>
    <row r="959">
      <c r="B959" s="31"/>
      <c r="D959" s="8" t="s">
        <v>8</v>
      </c>
      <c r="E959" s="8" t="s">
        <v>8</v>
      </c>
    </row>
    <row r="960">
      <c r="B960" s="31"/>
      <c r="D960" s="8" t="s">
        <v>8</v>
      </c>
      <c r="E960" s="8" t="s">
        <v>8</v>
      </c>
    </row>
    <row r="961">
      <c r="B961" s="31"/>
      <c r="D961" s="8" t="s">
        <v>8</v>
      </c>
      <c r="E961" s="8" t="s">
        <v>8</v>
      </c>
    </row>
    <row r="962">
      <c r="B962" s="31"/>
      <c r="D962" s="8" t="s">
        <v>8</v>
      </c>
      <c r="E962" s="8" t="s">
        <v>8</v>
      </c>
    </row>
    <row r="963">
      <c r="B963" s="31"/>
      <c r="D963" s="8" t="s">
        <v>8</v>
      </c>
      <c r="E963" s="8" t="s">
        <v>8</v>
      </c>
    </row>
    <row r="964">
      <c r="B964" s="31"/>
      <c r="D964" s="8" t="s">
        <v>8</v>
      </c>
      <c r="E964" s="8" t="s">
        <v>8</v>
      </c>
    </row>
    <row r="965">
      <c r="B965" s="31"/>
      <c r="D965" s="8" t="s">
        <v>8</v>
      </c>
      <c r="E965" s="8" t="s">
        <v>8</v>
      </c>
    </row>
    <row r="966">
      <c r="B966" s="31"/>
      <c r="D966" s="8" t="s">
        <v>8</v>
      </c>
      <c r="E966" s="8" t="s">
        <v>8</v>
      </c>
    </row>
    <row r="967">
      <c r="B967" s="31"/>
      <c r="D967" s="8" t="s">
        <v>8</v>
      </c>
      <c r="E967" s="8" t="s">
        <v>8</v>
      </c>
    </row>
    <row r="968">
      <c r="B968" s="31"/>
      <c r="D968" s="8" t="s">
        <v>8</v>
      </c>
      <c r="E968" s="8" t="s">
        <v>8</v>
      </c>
    </row>
    <row r="969">
      <c r="B969" s="31"/>
      <c r="D969" s="8" t="s">
        <v>8</v>
      </c>
      <c r="E969" s="8" t="s">
        <v>8</v>
      </c>
    </row>
    <row r="970">
      <c r="B970" s="31"/>
      <c r="D970" s="8" t="s">
        <v>8</v>
      </c>
      <c r="E970" s="8" t="s">
        <v>8</v>
      </c>
    </row>
    <row r="971">
      <c r="B971" s="31"/>
      <c r="D971" s="8" t="s">
        <v>8</v>
      </c>
      <c r="E971" s="8" t="s">
        <v>8</v>
      </c>
    </row>
    <row r="972">
      <c r="B972" s="31"/>
      <c r="D972" s="8" t="s">
        <v>8</v>
      </c>
      <c r="E972" s="8" t="s">
        <v>8</v>
      </c>
    </row>
    <row r="973">
      <c r="B973" s="31"/>
      <c r="D973" s="8" t="s">
        <v>8</v>
      </c>
      <c r="E973" s="8" t="s">
        <v>8</v>
      </c>
    </row>
    <row r="974">
      <c r="B974" s="31"/>
      <c r="D974" s="8" t="s">
        <v>8</v>
      </c>
      <c r="E974" s="8" t="s">
        <v>8</v>
      </c>
    </row>
    <row r="975">
      <c r="B975" s="31"/>
      <c r="D975" s="8" t="s">
        <v>8</v>
      </c>
      <c r="E975" s="8" t="s">
        <v>8</v>
      </c>
    </row>
    <row r="976">
      <c r="B976" s="31"/>
      <c r="D976" s="8" t="s">
        <v>8</v>
      </c>
      <c r="E976" s="8" t="s">
        <v>8</v>
      </c>
    </row>
    <row r="977">
      <c r="B977" s="31"/>
      <c r="D977" s="8" t="s">
        <v>8</v>
      </c>
      <c r="E977" s="8" t="s">
        <v>8</v>
      </c>
    </row>
    <row r="978">
      <c r="B978" s="31"/>
      <c r="D978" s="8" t="s">
        <v>8</v>
      </c>
      <c r="E978" s="8" t="s">
        <v>8</v>
      </c>
    </row>
    <row r="979">
      <c r="B979" s="31"/>
      <c r="D979" s="8" t="s">
        <v>8</v>
      </c>
      <c r="E979" s="8" t="s">
        <v>8</v>
      </c>
    </row>
    <row r="980">
      <c r="B980" s="31"/>
      <c r="D980" s="8" t="s">
        <v>8</v>
      </c>
      <c r="E980" s="8" t="s">
        <v>8</v>
      </c>
    </row>
    <row r="981">
      <c r="B981" s="31"/>
      <c r="D981" s="8" t="s">
        <v>8</v>
      </c>
      <c r="E981" s="8" t="s">
        <v>8</v>
      </c>
    </row>
    <row r="982">
      <c r="B982" s="31"/>
      <c r="D982" s="8" t="s">
        <v>8</v>
      </c>
      <c r="E982" s="8" t="s">
        <v>8</v>
      </c>
    </row>
    <row r="983">
      <c r="B983" s="31"/>
      <c r="D983" s="8" t="s">
        <v>8</v>
      </c>
      <c r="E983" s="8" t="s">
        <v>8</v>
      </c>
    </row>
    <row r="984">
      <c r="B984" s="31"/>
      <c r="D984" s="8" t="s">
        <v>8</v>
      </c>
      <c r="E984" s="8" t="s">
        <v>8</v>
      </c>
    </row>
    <row r="985">
      <c r="B985" s="31"/>
      <c r="D985" s="8" t="s">
        <v>8</v>
      </c>
      <c r="E985" s="8" t="s">
        <v>8</v>
      </c>
    </row>
    <row r="986">
      <c r="B986" s="31"/>
      <c r="D986" s="8" t="s">
        <v>8</v>
      </c>
      <c r="E986" s="8" t="s">
        <v>8</v>
      </c>
    </row>
    <row r="987">
      <c r="B987" s="31"/>
      <c r="D987" s="8" t="s">
        <v>8</v>
      </c>
      <c r="E987" s="8" t="s">
        <v>8</v>
      </c>
    </row>
    <row r="988">
      <c r="B988" s="31"/>
      <c r="D988" s="8" t="s">
        <v>8</v>
      </c>
      <c r="E988" s="8" t="s">
        <v>8</v>
      </c>
    </row>
    <row r="989">
      <c r="B989" s="31"/>
      <c r="D989" s="8" t="s">
        <v>8</v>
      </c>
      <c r="E989" s="8" t="s">
        <v>8</v>
      </c>
    </row>
    <row r="990">
      <c r="B990" s="31"/>
      <c r="D990" s="8" t="s">
        <v>8</v>
      </c>
      <c r="E990" s="8" t="s">
        <v>8</v>
      </c>
    </row>
    <row r="991">
      <c r="B991" s="31"/>
      <c r="D991" s="8" t="s">
        <v>8</v>
      </c>
      <c r="E991" s="8" t="s">
        <v>8</v>
      </c>
    </row>
    <row r="992">
      <c r="B992" s="31"/>
      <c r="D992" s="8" t="s">
        <v>8</v>
      </c>
      <c r="E992" s="8" t="s">
        <v>8</v>
      </c>
    </row>
    <row r="993">
      <c r="B993" s="31"/>
      <c r="D993" s="8" t="s">
        <v>8</v>
      </c>
      <c r="E993" s="8" t="s">
        <v>8</v>
      </c>
    </row>
    <row r="994">
      <c r="B994" s="31"/>
      <c r="D994" s="8" t="s">
        <v>8</v>
      </c>
      <c r="E994" s="8" t="s">
        <v>8</v>
      </c>
    </row>
    <row r="995">
      <c r="B995" s="31"/>
      <c r="D995" s="8" t="s">
        <v>8</v>
      </c>
      <c r="E995" s="8" t="s">
        <v>8</v>
      </c>
    </row>
    <row r="996">
      <c r="B996" s="31"/>
      <c r="D996" s="8" t="s">
        <v>8</v>
      </c>
      <c r="E996" s="8" t="s">
        <v>8</v>
      </c>
    </row>
    <row r="997">
      <c r="B997" s="31"/>
      <c r="D997" s="8" t="s">
        <v>8</v>
      </c>
      <c r="E997" s="8" t="s">
        <v>8</v>
      </c>
    </row>
    <row r="998">
      <c r="B998" s="31"/>
      <c r="D998" s="8" t="s">
        <v>8</v>
      </c>
      <c r="E998" s="8" t="s">
        <v>8</v>
      </c>
    </row>
    <row r="999">
      <c r="B999" s="31"/>
      <c r="D999" s="8" t="s">
        <v>8</v>
      </c>
      <c r="E999" s="8" t="s">
        <v>8</v>
      </c>
    </row>
    <row r="1000">
      <c r="B1000" s="31"/>
      <c r="D1000" s="8" t="s">
        <v>8</v>
      </c>
      <c r="E1000" s="8" t="s">
        <v>8</v>
      </c>
    </row>
    <row r="1001">
      <c r="B1001" s="31"/>
      <c r="D1001" s="8" t="s">
        <v>8</v>
      </c>
      <c r="E1001" s="8" t="s">
        <v>8</v>
      </c>
    </row>
    <row r="1002">
      <c r="B1002" s="31"/>
      <c r="D1002" s="8" t="s">
        <v>8</v>
      </c>
      <c r="E1002" s="8" t="s">
        <v>8</v>
      </c>
    </row>
    <row r="1003">
      <c r="B1003" s="31"/>
      <c r="D1003" s="8" t="s">
        <v>8</v>
      </c>
      <c r="E1003" s="8" t="s">
        <v>8</v>
      </c>
    </row>
    <row r="1004">
      <c r="B1004" s="31"/>
      <c r="D1004" s="8" t="s">
        <v>8</v>
      </c>
      <c r="E1004" s="8" t="s">
        <v>8</v>
      </c>
    </row>
    <row r="1005">
      <c r="B1005" s="31"/>
      <c r="D1005" s="8" t="s">
        <v>8</v>
      </c>
      <c r="E1005" s="8" t="s">
        <v>8</v>
      </c>
    </row>
    <row r="1006">
      <c r="B1006" s="31"/>
      <c r="D1006" s="8" t="s">
        <v>8</v>
      </c>
      <c r="E1006" s="8" t="s">
        <v>8</v>
      </c>
    </row>
    <row r="1007">
      <c r="B1007" s="31"/>
      <c r="D1007" s="8" t="s">
        <v>8</v>
      </c>
      <c r="E1007" s="8" t="s">
        <v>8</v>
      </c>
    </row>
    <row r="1008">
      <c r="B1008" s="31"/>
      <c r="D1008" s="8" t="s">
        <v>8</v>
      </c>
      <c r="E1008" s="8" t="s">
        <v>8</v>
      </c>
    </row>
    <row r="1009">
      <c r="B1009" s="31"/>
      <c r="D1009" s="8" t="s">
        <v>8</v>
      </c>
      <c r="E1009" s="8" t="s">
        <v>8</v>
      </c>
    </row>
    <row r="1010">
      <c r="B1010" s="31"/>
      <c r="D1010" s="8" t="s">
        <v>8</v>
      </c>
      <c r="E1010" s="8" t="s">
        <v>8</v>
      </c>
    </row>
    <row r="1011">
      <c r="B1011" s="31"/>
      <c r="D1011" s="8" t="s">
        <v>8</v>
      </c>
      <c r="E1011" s="8" t="s">
        <v>8</v>
      </c>
    </row>
    <row r="1012">
      <c r="B1012" s="31"/>
      <c r="D1012" s="8" t="s">
        <v>8</v>
      </c>
      <c r="E1012" s="8" t="s">
        <v>8</v>
      </c>
    </row>
    <row r="1013">
      <c r="B1013" s="31"/>
      <c r="D1013" s="8" t="s">
        <v>8</v>
      </c>
      <c r="E1013" s="8" t="s">
        <v>8</v>
      </c>
    </row>
    <row r="1014">
      <c r="B1014" s="31"/>
      <c r="D1014" s="8" t="s">
        <v>8</v>
      </c>
      <c r="E1014" s="8" t="s">
        <v>8</v>
      </c>
    </row>
    <row r="1015">
      <c r="B1015" s="31"/>
      <c r="D1015" s="8" t="s">
        <v>8</v>
      </c>
      <c r="E1015" s="8" t="s">
        <v>8</v>
      </c>
    </row>
    <row r="1016">
      <c r="B1016" s="31"/>
      <c r="D1016" s="8" t="s">
        <v>8</v>
      </c>
      <c r="E1016" s="8" t="s">
        <v>8</v>
      </c>
    </row>
    <row r="1017">
      <c r="B1017" s="31"/>
      <c r="D1017" s="8" t="s">
        <v>8</v>
      </c>
      <c r="E1017" s="8" t="s">
        <v>8</v>
      </c>
    </row>
    <row r="1018">
      <c r="B1018" s="31"/>
      <c r="D1018" s="8" t="s">
        <v>8</v>
      </c>
      <c r="E1018" s="8" t="s">
        <v>8</v>
      </c>
    </row>
    <row r="1019">
      <c r="B1019" s="31"/>
      <c r="D1019" s="8" t="s">
        <v>8</v>
      </c>
      <c r="E1019" s="8" t="s">
        <v>8</v>
      </c>
    </row>
    <row r="1020">
      <c r="B1020" s="31"/>
      <c r="D1020" s="8" t="s">
        <v>8</v>
      </c>
      <c r="E1020" s="8" t="s">
        <v>8</v>
      </c>
    </row>
    <row r="1021">
      <c r="B1021" s="31"/>
      <c r="D1021" s="8" t="s">
        <v>8</v>
      </c>
      <c r="E1021" s="8" t="s">
        <v>8</v>
      </c>
    </row>
    <row r="1022">
      <c r="B1022" s="31"/>
      <c r="D1022" s="8" t="s">
        <v>8</v>
      </c>
      <c r="E1022" s="8" t="s">
        <v>8</v>
      </c>
    </row>
    <row r="1023">
      <c r="B1023" s="31"/>
      <c r="D1023" s="8" t="s">
        <v>8</v>
      </c>
      <c r="E1023" s="8" t="s">
        <v>8</v>
      </c>
    </row>
    <row r="1024">
      <c r="B1024" s="31"/>
      <c r="D1024" s="8" t="s">
        <v>8</v>
      </c>
      <c r="E1024" s="8" t="s">
        <v>8</v>
      </c>
    </row>
    <row r="1025">
      <c r="B1025" s="31"/>
      <c r="D1025" s="8" t="s">
        <v>8</v>
      </c>
      <c r="E1025" s="8" t="s">
        <v>8</v>
      </c>
    </row>
  </sheetData>
  <autoFilter ref="$A$1:$E$1025"/>
  <conditionalFormatting sqref="A41:A42">
    <cfRule type="expression" dxfId="4" priority="1">
      <formula>$AH63&lt;&gt;""</formula>
    </cfRule>
  </conditionalFormatting>
  <conditionalFormatting sqref="A41:A42">
    <cfRule type="expression" dxfId="2" priority="2">
      <formula>AND($AG63&lt;&gt;"",$AH63&lt;&gt;"")</formula>
    </cfRule>
  </conditionalFormatting>
  <conditionalFormatting sqref="A41:A42">
    <cfRule type="expression" dxfId="3" priority="3">
      <formula>$AG63&lt;&gt;""</formula>
    </cfRule>
  </conditionalFormatting>
  <conditionalFormatting sqref="A40">
    <cfRule type="expression" dxfId="2" priority="4">
      <formula>AND($AG56&lt;&gt;"",$AH56&lt;&gt;"")</formula>
    </cfRule>
  </conditionalFormatting>
  <conditionalFormatting sqref="A40">
    <cfRule type="expression" dxfId="3" priority="5">
      <formula>$AG56&lt;&gt;""</formula>
    </cfRule>
  </conditionalFormatting>
  <conditionalFormatting sqref="A40">
    <cfRule type="expression" dxfId="4" priority="6">
      <formula>$AH56&lt;&gt;""</formula>
    </cfRule>
  </conditionalFormatting>
  <conditionalFormatting sqref="A31:A34">
    <cfRule type="expression" dxfId="2" priority="7">
      <formula>AND(#REF!&lt;&gt;"",#REF!&lt;&gt;"")</formula>
    </cfRule>
  </conditionalFormatting>
  <conditionalFormatting sqref="A31:A34">
    <cfRule type="expression" dxfId="3" priority="8">
      <formula>#REF!&lt;&gt;""</formula>
    </cfRule>
  </conditionalFormatting>
  <conditionalFormatting sqref="A31:A34">
    <cfRule type="expression" dxfId="4" priority="9">
      <formula>#REF!&lt;&gt;""</formula>
    </cfRule>
  </conditionalFormatting>
  <conditionalFormatting sqref="A26:A30">
    <cfRule type="expression" dxfId="2" priority="10">
      <formula>AND($AG43&lt;&gt;"",$AH43&lt;&gt;"")</formula>
    </cfRule>
  </conditionalFormatting>
  <conditionalFormatting sqref="A26:A30">
    <cfRule type="expression" dxfId="3" priority="11">
      <formula>$AG43&lt;&gt;""</formula>
    </cfRule>
  </conditionalFormatting>
  <conditionalFormatting sqref="A26:A30">
    <cfRule type="expression" dxfId="4" priority="12">
      <formula>$AH43&lt;&gt;""</formula>
    </cfRule>
  </conditionalFormatting>
  <conditionalFormatting sqref="A19:A21 A23:A25">
    <cfRule type="expression" dxfId="2" priority="13">
      <formula>AND($AG35&lt;&gt;"",$AH35&lt;&gt;"")</formula>
    </cfRule>
  </conditionalFormatting>
  <conditionalFormatting sqref="A19:A21 A23:A25">
    <cfRule type="expression" dxfId="3" priority="14">
      <formula>$AG35&lt;&gt;""</formula>
    </cfRule>
  </conditionalFormatting>
  <conditionalFormatting sqref="A19:A21 A23:A25">
    <cfRule type="expression" dxfId="4" priority="15">
      <formula>$AH35&lt;&gt;""</formula>
    </cfRule>
  </conditionalFormatting>
  <conditionalFormatting sqref="A13:A19">
    <cfRule type="expression" dxfId="2" priority="16">
      <formula>AND($AG26&lt;&gt;"",$AH26&lt;&gt;"")</formula>
    </cfRule>
  </conditionalFormatting>
  <conditionalFormatting sqref="A13:A19">
    <cfRule type="expression" dxfId="3" priority="17">
      <formula>$AG26&lt;&gt;""</formula>
    </cfRule>
  </conditionalFormatting>
  <conditionalFormatting sqref="A13:A19">
    <cfRule type="expression" dxfId="4" priority="18">
      <formula>$AH26&lt;&gt;""</formula>
    </cfRule>
  </conditionalFormatting>
  <conditionalFormatting sqref="A8:A13">
    <cfRule type="expression" dxfId="2" priority="19">
      <formula>AND($AG16&lt;&gt;"",$AH16&lt;&gt;"")</formula>
    </cfRule>
  </conditionalFormatting>
  <conditionalFormatting sqref="A8:A13">
    <cfRule type="expression" dxfId="3" priority="20">
      <formula>$AG16&lt;&gt;""</formula>
    </cfRule>
  </conditionalFormatting>
  <conditionalFormatting sqref="A8:A13">
    <cfRule type="expression" dxfId="4" priority="21">
      <formula>$AH16&lt;&gt;""</formula>
    </cfRule>
  </conditionalFormatting>
  <conditionalFormatting sqref="A21:A23">
    <cfRule type="expression" dxfId="2" priority="22">
      <formula>AND($AG18&lt;&gt;"",$AH18&lt;&gt;"")</formula>
    </cfRule>
  </conditionalFormatting>
  <conditionalFormatting sqref="A21:A23">
    <cfRule type="expression" dxfId="3" priority="23">
      <formula>$AG18&lt;&gt;""</formula>
    </cfRule>
  </conditionalFormatting>
  <conditionalFormatting sqref="A21:A23">
    <cfRule type="expression" dxfId="4" priority="24">
      <formula>$AH18&lt;&gt;""</formula>
    </cfRule>
  </conditionalFormatting>
  <conditionalFormatting sqref="A2:A7">
    <cfRule type="expression" dxfId="2" priority="25">
      <formula>AND($AG2&lt;&gt;"",$AH2&lt;&gt;"")</formula>
    </cfRule>
  </conditionalFormatting>
  <conditionalFormatting sqref="A2:A7">
    <cfRule type="expression" dxfId="3" priority="26">
      <formula>$AG2&lt;&gt;""</formula>
    </cfRule>
  </conditionalFormatting>
  <conditionalFormatting sqref="A2:A7">
    <cfRule type="expression" dxfId="4" priority="27">
      <formula>$AH2&lt;&gt;""</formula>
    </cfRule>
  </conditionalFormatting>
  <conditionalFormatting sqref="D2:D1025">
    <cfRule type="expression" dxfId="0" priority="28">
      <formula>D2&lt;&gt;B2</formula>
    </cfRule>
  </conditionalFormatting>
  <dataValidations>
    <dataValidation type="list" allowBlank="1" showErrorMessage="1" sqref="C2:C1025">
      <formula1>Schedule!$L$3:$L$46</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s>
  <sheetData>
    <row r="1">
      <c r="A1" s="128" t="s">
        <v>17</v>
      </c>
      <c r="B1" s="130" t="str">
        <f t="array" ref="B1:B1510">if(ROW(B:B)=1,"Groups",if(A:A="","",sumif(Groups!A:A,A:A,Groups!B:B)))</f>
        <v>Groups</v>
      </c>
    </row>
    <row r="2">
      <c r="A2" s="132" t="str">
        <f t="array" ref="A2:A32">unique(Groups!A2:A1510)</f>
        <v>Math 6</v>
      </c>
      <c r="B2" s="8">
        <v>8.0</v>
      </c>
    </row>
    <row r="3">
      <c r="A3" t="s">
        <v>163</v>
      </c>
      <c r="B3" s="8">
        <v>6.0</v>
      </c>
    </row>
    <row r="4">
      <c r="A4" t="s">
        <v>162</v>
      </c>
      <c r="B4" s="8">
        <v>6.0</v>
      </c>
    </row>
    <row r="5">
      <c r="A5" t="s">
        <v>171</v>
      </c>
      <c r="B5" s="8">
        <v>6.0</v>
      </c>
    </row>
    <row r="6">
      <c r="A6" t="s">
        <v>175</v>
      </c>
      <c r="B6" s="8">
        <v>6.0</v>
      </c>
    </row>
    <row r="7">
      <c r="A7" t="s">
        <v>176</v>
      </c>
      <c r="B7" s="8">
        <v>6.0</v>
      </c>
    </row>
    <row r="8">
      <c r="A8" t="s">
        <v>182</v>
      </c>
      <c r="B8" s="8">
        <v>6.0</v>
      </c>
    </row>
    <row r="9">
      <c r="A9" t="s">
        <v>184</v>
      </c>
      <c r="B9" s="8">
        <v>6.0</v>
      </c>
    </row>
    <row r="10">
      <c r="A10" t="s">
        <v>185</v>
      </c>
      <c r="B10" s="8">
        <v>6.0</v>
      </c>
    </row>
    <row r="11">
      <c r="A11" t="s">
        <v>192</v>
      </c>
      <c r="B11" s="8">
        <v>6.0</v>
      </c>
    </row>
    <row r="12">
      <c r="A12" t="s">
        <v>195</v>
      </c>
      <c r="B12" s="8">
        <v>9.0</v>
      </c>
    </row>
    <row r="13">
      <c r="A13" t="s">
        <v>1383</v>
      </c>
      <c r="B13" s="8">
        <v>6.0</v>
      </c>
    </row>
    <row r="14">
      <c r="A14" t="s">
        <v>196</v>
      </c>
      <c r="B14" s="8">
        <v>6.0</v>
      </c>
    </row>
    <row r="15">
      <c r="A15" t="s">
        <v>200</v>
      </c>
      <c r="B15" s="8">
        <v>6.0</v>
      </c>
    </row>
    <row r="16">
      <c r="A16" t="s">
        <v>201</v>
      </c>
      <c r="B16" s="8">
        <v>2.0</v>
      </c>
    </row>
    <row r="17">
      <c r="A17" t="s">
        <v>153</v>
      </c>
      <c r="B17" s="8">
        <v>6.0</v>
      </c>
    </row>
    <row r="18">
      <c r="A18" t="s">
        <v>150</v>
      </c>
      <c r="B18" s="8">
        <v>6.0</v>
      </c>
    </row>
    <row r="19">
      <c r="A19" t="s">
        <v>149</v>
      </c>
      <c r="B19" s="8">
        <v>6.0</v>
      </c>
    </row>
    <row r="20">
      <c r="A20" t="s">
        <v>1387</v>
      </c>
      <c r="B20" s="8">
        <v>1.0</v>
      </c>
    </row>
    <row r="21">
      <c r="A21" t="s">
        <v>1388</v>
      </c>
      <c r="B21" s="8">
        <v>1.0</v>
      </c>
    </row>
    <row r="22">
      <c r="A22" t="s">
        <v>1389</v>
      </c>
      <c r="B22" s="8">
        <v>2.0</v>
      </c>
    </row>
    <row r="23">
      <c r="A23" t="s">
        <v>1390</v>
      </c>
      <c r="B23" s="8">
        <v>1.0</v>
      </c>
    </row>
    <row r="24">
      <c r="A24" t="s">
        <v>118</v>
      </c>
      <c r="B24" s="8">
        <v>5.0</v>
      </c>
    </row>
    <row r="25">
      <c r="A25" t="s">
        <v>1391</v>
      </c>
      <c r="B25" s="8">
        <v>6.0</v>
      </c>
    </row>
    <row r="26">
      <c r="A26" t="s">
        <v>140</v>
      </c>
      <c r="B26" s="8">
        <v>9.0</v>
      </c>
    </row>
    <row r="27">
      <c r="A27" t="s">
        <v>141</v>
      </c>
      <c r="B27" s="8">
        <v>3.0</v>
      </c>
    </row>
    <row r="28">
      <c r="A28" t="s">
        <v>1393</v>
      </c>
      <c r="B28" s="8">
        <v>5.0</v>
      </c>
    </row>
    <row r="29">
      <c r="A29" t="s">
        <v>134</v>
      </c>
      <c r="B29" s="8">
        <v>6.0</v>
      </c>
    </row>
    <row r="30">
      <c r="A30" t="s">
        <v>133</v>
      </c>
      <c r="B30" s="8">
        <v>6.0</v>
      </c>
    </row>
    <row r="31">
      <c r="A31" t="s">
        <v>135</v>
      </c>
      <c r="B31" s="8">
        <v>6.0</v>
      </c>
    </row>
    <row r="32">
      <c r="B32" s="8" t="s">
        <v>8</v>
      </c>
    </row>
    <row r="33">
      <c r="B33" s="8" t="s">
        <v>8</v>
      </c>
    </row>
    <row r="34">
      <c r="B34" s="8" t="s">
        <v>8</v>
      </c>
    </row>
    <row r="35">
      <c r="B35" s="8" t="s">
        <v>8</v>
      </c>
    </row>
    <row r="36">
      <c r="B36" s="8" t="s">
        <v>8</v>
      </c>
    </row>
    <row r="37">
      <c r="B37" s="8" t="s">
        <v>8</v>
      </c>
    </row>
    <row r="38">
      <c r="B38" s="8" t="s">
        <v>8</v>
      </c>
    </row>
    <row r="39">
      <c r="B39" s="8" t="s">
        <v>8</v>
      </c>
    </row>
    <row r="40">
      <c r="B40" s="8" t="s">
        <v>8</v>
      </c>
    </row>
    <row r="41">
      <c r="B41" s="8" t="s">
        <v>8</v>
      </c>
    </row>
    <row r="42">
      <c r="B42" s="8" t="s">
        <v>8</v>
      </c>
    </row>
    <row r="43">
      <c r="B43" s="8" t="s">
        <v>8</v>
      </c>
    </row>
    <row r="44">
      <c r="B44" s="8" t="s">
        <v>8</v>
      </c>
    </row>
    <row r="45">
      <c r="B45" s="8" t="s">
        <v>8</v>
      </c>
    </row>
    <row r="46">
      <c r="B46" s="8" t="s">
        <v>8</v>
      </c>
    </row>
    <row r="47">
      <c r="B47" s="8" t="s">
        <v>8</v>
      </c>
    </row>
    <row r="48">
      <c r="B48" s="8" t="s">
        <v>8</v>
      </c>
    </row>
    <row r="49">
      <c r="B49" s="8" t="s">
        <v>8</v>
      </c>
    </row>
    <row r="50">
      <c r="B50" s="8" t="s">
        <v>8</v>
      </c>
    </row>
    <row r="51">
      <c r="B51" s="8" t="s">
        <v>8</v>
      </c>
    </row>
    <row r="52">
      <c r="B52" s="8" t="s">
        <v>8</v>
      </c>
    </row>
    <row r="53">
      <c r="B53" s="8" t="s">
        <v>8</v>
      </c>
    </row>
    <row r="54">
      <c r="B54" s="8" t="s">
        <v>8</v>
      </c>
    </row>
    <row r="55">
      <c r="B55" s="8" t="s">
        <v>8</v>
      </c>
    </row>
    <row r="56">
      <c r="B56" s="8" t="s">
        <v>8</v>
      </c>
    </row>
    <row r="57">
      <c r="B57" s="8" t="s">
        <v>8</v>
      </c>
    </row>
    <row r="58">
      <c r="B58" s="8" t="s">
        <v>8</v>
      </c>
    </row>
    <row r="59">
      <c r="B59" s="8" t="s">
        <v>8</v>
      </c>
    </row>
    <row r="60">
      <c r="B60" s="8" t="s">
        <v>8</v>
      </c>
    </row>
    <row r="61">
      <c r="B61" s="8" t="s">
        <v>8</v>
      </c>
    </row>
    <row r="62">
      <c r="B62" s="8" t="s">
        <v>8</v>
      </c>
    </row>
    <row r="63">
      <c r="B63" s="8" t="s">
        <v>8</v>
      </c>
    </row>
    <row r="64">
      <c r="B64" s="8" t="s">
        <v>8</v>
      </c>
    </row>
    <row r="65">
      <c r="B65" s="8" t="s">
        <v>8</v>
      </c>
    </row>
    <row r="66">
      <c r="B66" s="8" t="s">
        <v>8</v>
      </c>
    </row>
    <row r="67">
      <c r="B67" s="8" t="s">
        <v>8</v>
      </c>
    </row>
    <row r="68">
      <c r="B68" s="8" t="s">
        <v>8</v>
      </c>
    </row>
    <row r="69">
      <c r="B69" s="8" t="s">
        <v>8</v>
      </c>
    </row>
    <row r="70">
      <c r="B70" s="8" t="s">
        <v>8</v>
      </c>
    </row>
    <row r="71">
      <c r="B71" s="8" t="s">
        <v>8</v>
      </c>
    </row>
    <row r="72">
      <c r="B72" s="8" t="s">
        <v>8</v>
      </c>
    </row>
    <row r="73">
      <c r="B73" s="8" t="s">
        <v>8</v>
      </c>
    </row>
    <row r="74">
      <c r="B74" s="8" t="s">
        <v>8</v>
      </c>
    </row>
    <row r="75">
      <c r="B75" s="8" t="s">
        <v>8</v>
      </c>
    </row>
    <row r="76">
      <c r="B76" s="8" t="s">
        <v>8</v>
      </c>
    </row>
    <row r="77">
      <c r="B77" s="8" t="s">
        <v>8</v>
      </c>
    </row>
    <row r="78">
      <c r="B78" s="8" t="s">
        <v>8</v>
      </c>
    </row>
    <row r="79">
      <c r="B79" s="8" t="s">
        <v>8</v>
      </c>
    </row>
    <row r="80">
      <c r="B80" s="8" t="s">
        <v>8</v>
      </c>
    </row>
    <row r="81">
      <c r="B81" s="8" t="s">
        <v>8</v>
      </c>
    </row>
    <row r="82">
      <c r="B82" s="8" t="s">
        <v>8</v>
      </c>
    </row>
    <row r="83">
      <c r="B83" s="8" t="s">
        <v>8</v>
      </c>
    </row>
    <row r="84">
      <c r="B84" s="8" t="s">
        <v>8</v>
      </c>
    </row>
    <row r="85">
      <c r="B85" s="8" t="s">
        <v>8</v>
      </c>
    </row>
    <row r="86">
      <c r="B86" s="8" t="s">
        <v>8</v>
      </c>
    </row>
    <row r="87">
      <c r="B87" s="8" t="s">
        <v>8</v>
      </c>
    </row>
    <row r="88">
      <c r="B88" s="8" t="s">
        <v>8</v>
      </c>
    </row>
    <row r="89">
      <c r="B89" s="8" t="s">
        <v>8</v>
      </c>
    </row>
    <row r="90">
      <c r="B90" s="8" t="s">
        <v>8</v>
      </c>
    </row>
    <row r="91">
      <c r="B91" s="8" t="s">
        <v>8</v>
      </c>
    </row>
    <row r="92">
      <c r="B92" s="8" t="s">
        <v>8</v>
      </c>
    </row>
    <row r="93">
      <c r="B93" s="8" t="s">
        <v>8</v>
      </c>
    </row>
    <row r="94">
      <c r="B94" s="8" t="s">
        <v>8</v>
      </c>
    </row>
    <row r="95">
      <c r="B95" s="8" t="s">
        <v>8</v>
      </c>
    </row>
    <row r="96">
      <c r="B96" s="8" t="s">
        <v>8</v>
      </c>
    </row>
    <row r="97">
      <c r="B97" s="8" t="s">
        <v>8</v>
      </c>
    </row>
    <row r="98">
      <c r="B98" s="8" t="s">
        <v>8</v>
      </c>
    </row>
    <row r="99">
      <c r="B99" s="8" t="s">
        <v>8</v>
      </c>
    </row>
    <row r="100">
      <c r="B100" s="8" t="s">
        <v>8</v>
      </c>
    </row>
    <row r="101">
      <c r="B101" s="8" t="s">
        <v>8</v>
      </c>
    </row>
    <row r="102">
      <c r="B102" s="8" t="s">
        <v>8</v>
      </c>
    </row>
    <row r="103">
      <c r="B103" s="8" t="s">
        <v>8</v>
      </c>
    </row>
    <row r="104">
      <c r="B104" s="8" t="s">
        <v>8</v>
      </c>
    </row>
    <row r="105">
      <c r="B105" s="8" t="s">
        <v>8</v>
      </c>
    </row>
    <row r="106">
      <c r="B106" s="8" t="s">
        <v>8</v>
      </c>
    </row>
    <row r="107">
      <c r="B107" s="8" t="s">
        <v>8</v>
      </c>
    </row>
    <row r="108">
      <c r="B108" s="8" t="s">
        <v>8</v>
      </c>
    </row>
    <row r="109">
      <c r="B109" s="8" t="s">
        <v>8</v>
      </c>
    </row>
    <row r="110">
      <c r="B110" s="8" t="s">
        <v>8</v>
      </c>
    </row>
    <row r="111">
      <c r="B111" s="8" t="s">
        <v>8</v>
      </c>
    </row>
    <row r="112">
      <c r="B112" s="8" t="s">
        <v>8</v>
      </c>
    </row>
    <row r="113">
      <c r="B113" s="8" t="s">
        <v>8</v>
      </c>
    </row>
    <row r="114">
      <c r="B114" s="8" t="s">
        <v>8</v>
      </c>
    </row>
    <row r="115">
      <c r="B115" s="8" t="s">
        <v>8</v>
      </c>
    </row>
    <row r="116">
      <c r="B116" s="8" t="s">
        <v>8</v>
      </c>
    </row>
    <row r="117">
      <c r="B117" s="8" t="s">
        <v>8</v>
      </c>
    </row>
    <row r="118">
      <c r="B118" s="8" t="s">
        <v>8</v>
      </c>
    </row>
    <row r="119">
      <c r="B119" s="8" t="s">
        <v>8</v>
      </c>
    </row>
    <row r="120">
      <c r="B120" s="8" t="s">
        <v>8</v>
      </c>
    </row>
    <row r="121">
      <c r="B121" s="8" t="s">
        <v>8</v>
      </c>
    </row>
    <row r="122">
      <c r="B122" s="8" t="s">
        <v>8</v>
      </c>
    </row>
    <row r="123">
      <c r="B123" s="8" t="s">
        <v>8</v>
      </c>
    </row>
    <row r="124">
      <c r="B124" s="8" t="s">
        <v>8</v>
      </c>
    </row>
    <row r="125">
      <c r="B125" s="8" t="s">
        <v>8</v>
      </c>
    </row>
    <row r="126">
      <c r="B126" s="8" t="s">
        <v>8</v>
      </c>
    </row>
    <row r="127">
      <c r="B127" s="8" t="s">
        <v>8</v>
      </c>
    </row>
    <row r="128">
      <c r="B128" s="8" t="s">
        <v>8</v>
      </c>
    </row>
    <row r="129">
      <c r="B129" s="8" t="s">
        <v>8</v>
      </c>
    </row>
    <row r="130">
      <c r="B130" s="8" t="s">
        <v>8</v>
      </c>
    </row>
    <row r="131">
      <c r="B131" s="8" t="s">
        <v>8</v>
      </c>
    </row>
    <row r="132">
      <c r="B132" s="8" t="s">
        <v>8</v>
      </c>
    </row>
    <row r="133">
      <c r="B133" s="8" t="s">
        <v>8</v>
      </c>
    </row>
    <row r="134">
      <c r="B134" s="8" t="s">
        <v>8</v>
      </c>
    </row>
    <row r="135">
      <c r="B135" s="8" t="s">
        <v>8</v>
      </c>
    </row>
    <row r="136">
      <c r="B136" s="8" t="s">
        <v>8</v>
      </c>
    </row>
    <row r="137">
      <c r="B137" s="8" t="s">
        <v>8</v>
      </c>
    </row>
    <row r="138">
      <c r="B138" s="8" t="s">
        <v>8</v>
      </c>
    </row>
    <row r="139">
      <c r="B139" s="8" t="s">
        <v>8</v>
      </c>
    </row>
    <row r="140">
      <c r="B140" s="8" t="s">
        <v>8</v>
      </c>
    </row>
    <row r="141">
      <c r="B141" s="8" t="s">
        <v>8</v>
      </c>
    </row>
    <row r="142">
      <c r="B142" s="8" t="s">
        <v>8</v>
      </c>
    </row>
    <row r="143">
      <c r="B143" s="8" t="s">
        <v>8</v>
      </c>
    </row>
    <row r="144">
      <c r="B144" s="8" t="s">
        <v>8</v>
      </c>
    </row>
    <row r="145">
      <c r="B145" s="8" t="s">
        <v>8</v>
      </c>
    </row>
    <row r="146">
      <c r="B146" s="8" t="s">
        <v>8</v>
      </c>
    </row>
    <row r="147">
      <c r="B147" s="8" t="s">
        <v>8</v>
      </c>
    </row>
    <row r="148">
      <c r="B148" s="8" t="s">
        <v>8</v>
      </c>
    </row>
    <row r="149">
      <c r="B149" s="8" t="s">
        <v>8</v>
      </c>
    </row>
    <row r="150">
      <c r="B150" s="8" t="s">
        <v>8</v>
      </c>
    </row>
    <row r="151">
      <c r="B151" s="8" t="s">
        <v>8</v>
      </c>
    </row>
    <row r="152">
      <c r="B152" s="8" t="s">
        <v>8</v>
      </c>
    </row>
    <row r="153">
      <c r="B153" s="8" t="s">
        <v>8</v>
      </c>
    </row>
    <row r="154">
      <c r="B154" s="8" t="s">
        <v>8</v>
      </c>
    </row>
    <row r="155">
      <c r="B155" s="8" t="s">
        <v>8</v>
      </c>
    </row>
    <row r="156">
      <c r="B156" s="8" t="s">
        <v>8</v>
      </c>
    </row>
    <row r="157">
      <c r="B157" s="8" t="s">
        <v>8</v>
      </c>
    </row>
    <row r="158">
      <c r="B158" s="8" t="s">
        <v>8</v>
      </c>
    </row>
    <row r="159">
      <c r="B159" s="8" t="s">
        <v>8</v>
      </c>
    </row>
    <row r="160">
      <c r="B160" s="8" t="s">
        <v>8</v>
      </c>
    </row>
    <row r="161">
      <c r="B161" s="8" t="s">
        <v>8</v>
      </c>
    </row>
    <row r="162">
      <c r="B162" s="8" t="s">
        <v>8</v>
      </c>
    </row>
    <row r="163">
      <c r="B163" s="8" t="s">
        <v>8</v>
      </c>
    </row>
    <row r="164">
      <c r="B164" s="8" t="s">
        <v>8</v>
      </c>
    </row>
    <row r="165">
      <c r="B165" s="8" t="s">
        <v>8</v>
      </c>
    </row>
    <row r="166">
      <c r="B166" s="8" t="s">
        <v>8</v>
      </c>
    </row>
    <row r="167">
      <c r="B167" s="8" t="s">
        <v>8</v>
      </c>
    </row>
    <row r="168">
      <c r="B168" s="8" t="s">
        <v>8</v>
      </c>
    </row>
    <row r="169">
      <c r="B169" s="8" t="s">
        <v>8</v>
      </c>
    </row>
    <row r="170">
      <c r="B170" s="8" t="s">
        <v>8</v>
      </c>
    </row>
    <row r="171">
      <c r="B171" s="8" t="s">
        <v>8</v>
      </c>
    </row>
    <row r="172">
      <c r="B172" s="8" t="s">
        <v>8</v>
      </c>
    </row>
    <row r="173">
      <c r="B173" s="8" t="s">
        <v>8</v>
      </c>
    </row>
    <row r="174">
      <c r="B174" s="8" t="s">
        <v>8</v>
      </c>
    </row>
    <row r="175">
      <c r="B175" s="8" t="s">
        <v>8</v>
      </c>
    </row>
    <row r="176">
      <c r="B176" s="8" t="s">
        <v>8</v>
      </c>
    </row>
    <row r="177">
      <c r="B177" s="8" t="s">
        <v>8</v>
      </c>
    </row>
    <row r="178">
      <c r="B178" s="8" t="s">
        <v>8</v>
      </c>
    </row>
    <row r="179">
      <c r="B179" s="8" t="s">
        <v>8</v>
      </c>
    </row>
    <row r="180">
      <c r="B180" s="8" t="s">
        <v>8</v>
      </c>
    </row>
    <row r="181">
      <c r="B181" s="8" t="s">
        <v>8</v>
      </c>
    </row>
    <row r="182">
      <c r="B182" s="8" t="s">
        <v>8</v>
      </c>
    </row>
    <row r="183">
      <c r="B183" s="8" t="s">
        <v>8</v>
      </c>
    </row>
    <row r="184">
      <c r="B184" s="8" t="s">
        <v>8</v>
      </c>
    </row>
    <row r="185">
      <c r="B185" s="8" t="s">
        <v>8</v>
      </c>
    </row>
    <row r="186">
      <c r="B186" s="8" t="s">
        <v>8</v>
      </c>
    </row>
    <row r="187">
      <c r="B187" s="8" t="s">
        <v>8</v>
      </c>
    </row>
    <row r="188">
      <c r="B188" s="8" t="s">
        <v>8</v>
      </c>
    </row>
    <row r="189">
      <c r="B189" s="8" t="s">
        <v>8</v>
      </c>
    </row>
    <row r="190">
      <c r="B190" s="8" t="s">
        <v>8</v>
      </c>
    </row>
    <row r="191">
      <c r="B191" s="8" t="s">
        <v>8</v>
      </c>
    </row>
    <row r="192">
      <c r="B192" s="8" t="s">
        <v>8</v>
      </c>
    </row>
    <row r="193">
      <c r="B193" s="8" t="s">
        <v>8</v>
      </c>
    </row>
    <row r="194">
      <c r="B194" s="8" t="s">
        <v>8</v>
      </c>
    </row>
    <row r="195">
      <c r="B195" s="8" t="s">
        <v>8</v>
      </c>
    </row>
    <row r="196">
      <c r="B196" s="8" t="s">
        <v>8</v>
      </c>
    </row>
    <row r="197">
      <c r="B197" s="8" t="s">
        <v>8</v>
      </c>
    </row>
    <row r="198">
      <c r="B198" s="8" t="s">
        <v>8</v>
      </c>
    </row>
    <row r="199">
      <c r="B199" s="8" t="s">
        <v>8</v>
      </c>
    </row>
    <row r="200">
      <c r="B200" s="8" t="s">
        <v>8</v>
      </c>
    </row>
    <row r="201">
      <c r="B201" s="8" t="s">
        <v>8</v>
      </c>
    </row>
    <row r="202">
      <c r="B202" s="8" t="s">
        <v>8</v>
      </c>
    </row>
    <row r="203">
      <c r="B203" s="8" t="s">
        <v>8</v>
      </c>
    </row>
    <row r="204">
      <c r="B204" s="8" t="s">
        <v>8</v>
      </c>
    </row>
    <row r="205">
      <c r="B205" s="8" t="s">
        <v>8</v>
      </c>
    </row>
    <row r="206">
      <c r="B206" s="8" t="s">
        <v>8</v>
      </c>
    </row>
    <row r="207">
      <c r="B207" s="8" t="s">
        <v>8</v>
      </c>
    </row>
    <row r="208">
      <c r="B208" s="8" t="s">
        <v>8</v>
      </c>
    </row>
    <row r="209">
      <c r="B209" s="8" t="s">
        <v>8</v>
      </c>
    </row>
    <row r="210">
      <c r="B210" s="8" t="s">
        <v>8</v>
      </c>
    </row>
    <row r="211">
      <c r="B211" s="8" t="s">
        <v>8</v>
      </c>
    </row>
    <row r="212">
      <c r="B212" s="8" t="s">
        <v>8</v>
      </c>
    </row>
    <row r="213">
      <c r="B213" s="8" t="s">
        <v>8</v>
      </c>
    </row>
    <row r="214">
      <c r="B214" s="8" t="s">
        <v>8</v>
      </c>
    </row>
    <row r="215">
      <c r="B215" s="8" t="s">
        <v>8</v>
      </c>
    </row>
    <row r="216">
      <c r="B216" s="8" t="s">
        <v>8</v>
      </c>
    </row>
    <row r="217">
      <c r="B217" s="8" t="s">
        <v>8</v>
      </c>
    </row>
    <row r="218">
      <c r="B218" s="8" t="s">
        <v>8</v>
      </c>
    </row>
    <row r="219">
      <c r="B219" s="8" t="s">
        <v>8</v>
      </c>
    </row>
    <row r="220">
      <c r="B220" s="8" t="s">
        <v>8</v>
      </c>
    </row>
    <row r="221">
      <c r="B221" s="8" t="s">
        <v>8</v>
      </c>
    </row>
    <row r="222">
      <c r="B222" s="8" t="s">
        <v>8</v>
      </c>
    </row>
    <row r="223">
      <c r="B223" s="8" t="s">
        <v>8</v>
      </c>
    </row>
    <row r="224">
      <c r="B224" s="8" t="s">
        <v>8</v>
      </c>
    </row>
    <row r="225">
      <c r="B225" s="8" t="s">
        <v>8</v>
      </c>
    </row>
    <row r="226">
      <c r="B226" s="8" t="s">
        <v>8</v>
      </c>
    </row>
    <row r="227">
      <c r="B227" s="8" t="s">
        <v>8</v>
      </c>
    </row>
    <row r="228">
      <c r="B228" s="8" t="s">
        <v>8</v>
      </c>
    </row>
    <row r="229">
      <c r="B229" s="8" t="s">
        <v>8</v>
      </c>
    </row>
    <row r="230">
      <c r="B230" s="8" t="s">
        <v>8</v>
      </c>
    </row>
    <row r="231">
      <c r="B231" s="8" t="s">
        <v>8</v>
      </c>
    </row>
    <row r="232">
      <c r="B232" s="8" t="s">
        <v>8</v>
      </c>
    </row>
    <row r="233">
      <c r="B233" s="8" t="s">
        <v>8</v>
      </c>
    </row>
    <row r="234">
      <c r="B234" s="8" t="s">
        <v>8</v>
      </c>
    </row>
    <row r="235">
      <c r="B235" s="8" t="s">
        <v>8</v>
      </c>
    </row>
    <row r="236">
      <c r="B236" s="8" t="s">
        <v>8</v>
      </c>
    </row>
    <row r="237">
      <c r="B237" s="8" t="s">
        <v>8</v>
      </c>
    </row>
    <row r="238">
      <c r="B238" s="8" t="s">
        <v>8</v>
      </c>
    </row>
    <row r="239">
      <c r="B239" s="8" t="s">
        <v>8</v>
      </c>
    </row>
    <row r="240">
      <c r="B240" s="8" t="s">
        <v>8</v>
      </c>
    </row>
    <row r="241">
      <c r="B241" s="8" t="s">
        <v>8</v>
      </c>
    </row>
    <row r="242">
      <c r="B242" s="8" t="s">
        <v>8</v>
      </c>
    </row>
    <row r="243">
      <c r="B243" s="8" t="s">
        <v>8</v>
      </c>
    </row>
    <row r="244">
      <c r="B244" s="8" t="s">
        <v>8</v>
      </c>
    </row>
    <row r="245">
      <c r="B245" s="8" t="s">
        <v>8</v>
      </c>
    </row>
    <row r="246">
      <c r="B246" s="8" t="s">
        <v>8</v>
      </c>
    </row>
    <row r="247">
      <c r="B247" s="8" t="s">
        <v>8</v>
      </c>
    </row>
    <row r="248">
      <c r="B248" s="8" t="s">
        <v>8</v>
      </c>
    </row>
    <row r="249">
      <c r="B249" s="8" t="s">
        <v>8</v>
      </c>
    </row>
    <row r="250">
      <c r="B250" s="8" t="s">
        <v>8</v>
      </c>
    </row>
    <row r="251">
      <c r="B251" s="8" t="s">
        <v>8</v>
      </c>
    </row>
    <row r="252">
      <c r="B252" s="8" t="s">
        <v>8</v>
      </c>
    </row>
    <row r="253">
      <c r="B253" s="8" t="s">
        <v>8</v>
      </c>
    </row>
    <row r="254">
      <c r="B254" s="8" t="s">
        <v>8</v>
      </c>
    </row>
    <row r="255">
      <c r="B255" s="8" t="s">
        <v>8</v>
      </c>
    </row>
    <row r="256">
      <c r="B256" s="8" t="s">
        <v>8</v>
      </c>
    </row>
    <row r="257">
      <c r="B257" s="8" t="s">
        <v>8</v>
      </c>
    </row>
    <row r="258">
      <c r="B258" s="8" t="s">
        <v>8</v>
      </c>
    </row>
    <row r="259">
      <c r="B259" s="8" t="s">
        <v>8</v>
      </c>
    </row>
    <row r="260">
      <c r="B260" s="8" t="s">
        <v>8</v>
      </c>
    </row>
    <row r="261">
      <c r="B261" s="8" t="s">
        <v>8</v>
      </c>
    </row>
    <row r="262">
      <c r="B262" s="8" t="s">
        <v>8</v>
      </c>
    </row>
    <row r="263">
      <c r="B263" s="8" t="s">
        <v>8</v>
      </c>
    </row>
    <row r="264">
      <c r="B264" s="8" t="s">
        <v>8</v>
      </c>
    </row>
    <row r="265">
      <c r="B265" s="8" t="s">
        <v>8</v>
      </c>
    </row>
    <row r="266">
      <c r="B266" s="8" t="s">
        <v>8</v>
      </c>
    </row>
    <row r="267">
      <c r="B267" s="8" t="s">
        <v>8</v>
      </c>
    </row>
    <row r="268">
      <c r="B268" s="8" t="s">
        <v>8</v>
      </c>
    </row>
    <row r="269">
      <c r="B269" s="8" t="s">
        <v>8</v>
      </c>
    </row>
    <row r="270">
      <c r="B270" s="8" t="s">
        <v>8</v>
      </c>
    </row>
    <row r="271">
      <c r="B271" s="8" t="s">
        <v>8</v>
      </c>
    </row>
    <row r="272">
      <c r="B272" s="8" t="s">
        <v>8</v>
      </c>
    </row>
    <row r="273">
      <c r="B273" s="8" t="s">
        <v>8</v>
      </c>
    </row>
    <row r="274">
      <c r="B274" s="8" t="s">
        <v>8</v>
      </c>
    </row>
    <row r="275">
      <c r="B275" s="8" t="s">
        <v>8</v>
      </c>
    </row>
    <row r="276">
      <c r="B276" s="8" t="s">
        <v>8</v>
      </c>
    </row>
    <row r="277">
      <c r="B277" s="8" t="s">
        <v>8</v>
      </c>
    </row>
    <row r="278">
      <c r="B278" s="8" t="s">
        <v>8</v>
      </c>
    </row>
    <row r="279">
      <c r="B279" s="8" t="s">
        <v>8</v>
      </c>
    </row>
    <row r="280">
      <c r="B280" s="8" t="s">
        <v>8</v>
      </c>
    </row>
    <row r="281">
      <c r="B281" s="8" t="s">
        <v>8</v>
      </c>
    </row>
    <row r="282">
      <c r="B282" s="8" t="s">
        <v>8</v>
      </c>
    </row>
    <row r="283">
      <c r="B283" s="8" t="s">
        <v>8</v>
      </c>
    </row>
    <row r="284">
      <c r="B284" s="8" t="s">
        <v>8</v>
      </c>
    </row>
    <row r="285">
      <c r="B285" s="8" t="s">
        <v>8</v>
      </c>
    </row>
    <row r="286">
      <c r="B286" s="8" t="s">
        <v>8</v>
      </c>
    </row>
    <row r="287">
      <c r="B287" s="8" t="s">
        <v>8</v>
      </c>
    </row>
    <row r="288">
      <c r="B288" s="8" t="s">
        <v>8</v>
      </c>
    </row>
    <row r="289">
      <c r="B289" s="8" t="s">
        <v>8</v>
      </c>
    </row>
    <row r="290">
      <c r="B290" s="8" t="s">
        <v>8</v>
      </c>
    </row>
    <row r="291">
      <c r="B291" s="8" t="s">
        <v>8</v>
      </c>
    </row>
    <row r="292">
      <c r="B292" s="8" t="s">
        <v>8</v>
      </c>
    </row>
    <row r="293">
      <c r="B293" s="8" t="s">
        <v>8</v>
      </c>
    </row>
    <row r="294">
      <c r="B294" s="8" t="s">
        <v>8</v>
      </c>
    </row>
    <row r="295">
      <c r="B295" s="8" t="s">
        <v>8</v>
      </c>
    </row>
    <row r="296">
      <c r="B296" s="8" t="s">
        <v>8</v>
      </c>
    </row>
    <row r="297">
      <c r="B297" s="8" t="s">
        <v>8</v>
      </c>
    </row>
    <row r="298">
      <c r="B298" s="8" t="s">
        <v>8</v>
      </c>
    </row>
    <row r="299">
      <c r="B299" s="8" t="s">
        <v>8</v>
      </c>
    </row>
    <row r="300">
      <c r="B300" s="8" t="s">
        <v>8</v>
      </c>
    </row>
    <row r="301">
      <c r="B301" s="8" t="s">
        <v>8</v>
      </c>
    </row>
    <row r="302">
      <c r="B302" s="8" t="s">
        <v>8</v>
      </c>
    </row>
    <row r="303">
      <c r="B303" s="8" t="s">
        <v>8</v>
      </c>
    </row>
    <row r="304">
      <c r="B304" s="8" t="s">
        <v>8</v>
      </c>
    </row>
    <row r="305">
      <c r="B305" s="8" t="s">
        <v>8</v>
      </c>
    </row>
    <row r="306">
      <c r="B306" s="8" t="s">
        <v>8</v>
      </c>
    </row>
    <row r="307">
      <c r="B307" s="8" t="s">
        <v>8</v>
      </c>
    </row>
    <row r="308">
      <c r="B308" s="8" t="s">
        <v>8</v>
      </c>
    </row>
    <row r="309">
      <c r="B309" s="8" t="s">
        <v>8</v>
      </c>
    </row>
    <row r="310">
      <c r="B310" s="8" t="s">
        <v>8</v>
      </c>
    </row>
    <row r="311">
      <c r="B311" s="8" t="s">
        <v>8</v>
      </c>
    </row>
    <row r="312">
      <c r="B312" s="8" t="s">
        <v>8</v>
      </c>
    </row>
    <row r="313">
      <c r="B313" s="8" t="s">
        <v>8</v>
      </c>
    </row>
    <row r="314">
      <c r="B314" s="8" t="s">
        <v>8</v>
      </c>
    </row>
    <row r="315">
      <c r="B315" s="8" t="s">
        <v>8</v>
      </c>
    </row>
    <row r="316">
      <c r="B316" s="8" t="s">
        <v>8</v>
      </c>
    </row>
    <row r="317">
      <c r="B317" s="8" t="s">
        <v>8</v>
      </c>
    </row>
    <row r="318">
      <c r="B318" s="8" t="s">
        <v>8</v>
      </c>
    </row>
    <row r="319">
      <c r="B319" s="8" t="s">
        <v>8</v>
      </c>
    </row>
    <row r="320">
      <c r="B320" s="8" t="s">
        <v>8</v>
      </c>
    </row>
    <row r="321">
      <c r="B321" s="8" t="s">
        <v>8</v>
      </c>
    </row>
    <row r="322">
      <c r="B322" s="8" t="s">
        <v>8</v>
      </c>
    </row>
    <row r="323">
      <c r="B323" s="8" t="s">
        <v>8</v>
      </c>
    </row>
    <row r="324">
      <c r="B324" s="8" t="s">
        <v>8</v>
      </c>
    </row>
    <row r="325">
      <c r="B325" s="8" t="s">
        <v>8</v>
      </c>
    </row>
    <row r="326">
      <c r="B326" s="8" t="s">
        <v>8</v>
      </c>
    </row>
    <row r="327">
      <c r="B327" s="8" t="s">
        <v>8</v>
      </c>
    </row>
    <row r="328">
      <c r="B328" s="8" t="s">
        <v>8</v>
      </c>
    </row>
    <row r="329">
      <c r="B329" s="8" t="s">
        <v>8</v>
      </c>
    </row>
    <row r="330">
      <c r="B330" s="8" t="s">
        <v>8</v>
      </c>
    </row>
    <row r="331">
      <c r="B331" s="8" t="s">
        <v>8</v>
      </c>
    </row>
    <row r="332">
      <c r="B332" s="8" t="s">
        <v>8</v>
      </c>
    </row>
    <row r="333">
      <c r="B333" s="8" t="s">
        <v>8</v>
      </c>
    </row>
    <row r="334">
      <c r="B334" s="8" t="s">
        <v>8</v>
      </c>
    </row>
    <row r="335">
      <c r="B335" s="8" t="s">
        <v>8</v>
      </c>
    </row>
    <row r="336">
      <c r="B336" s="8" t="s">
        <v>8</v>
      </c>
    </row>
    <row r="337">
      <c r="B337" s="8" t="s">
        <v>8</v>
      </c>
    </row>
    <row r="338">
      <c r="B338" s="8" t="s">
        <v>8</v>
      </c>
    </row>
    <row r="339">
      <c r="B339" s="8" t="s">
        <v>8</v>
      </c>
    </row>
    <row r="340">
      <c r="B340" s="8" t="s">
        <v>8</v>
      </c>
    </row>
    <row r="341">
      <c r="B341" s="8" t="s">
        <v>8</v>
      </c>
    </row>
    <row r="342">
      <c r="B342" s="8" t="s">
        <v>8</v>
      </c>
    </row>
    <row r="343">
      <c r="B343" s="8" t="s">
        <v>8</v>
      </c>
    </row>
    <row r="344">
      <c r="B344" s="8" t="s">
        <v>8</v>
      </c>
    </row>
    <row r="345">
      <c r="B345" s="8" t="s">
        <v>8</v>
      </c>
    </row>
    <row r="346">
      <c r="B346" s="8" t="s">
        <v>8</v>
      </c>
    </row>
    <row r="347">
      <c r="B347" s="8" t="s">
        <v>8</v>
      </c>
    </row>
    <row r="348">
      <c r="B348" s="8" t="s">
        <v>8</v>
      </c>
    </row>
    <row r="349">
      <c r="B349" s="8" t="s">
        <v>8</v>
      </c>
    </row>
    <row r="350">
      <c r="B350" s="8" t="s">
        <v>8</v>
      </c>
    </row>
    <row r="351">
      <c r="B351" s="8" t="s">
        <v>8</v>
      </c>
    </row>
    <row r="352">
      <c r="B352" s="8" t="s">
        <v>8</v>
      </c>
    </row>
    <row r="353">
      <c r="B353" s="8" t="s">
        <v>8</v>
      </c>
    </row>
    <row r="354">
      <c r="B354" s="8" t="s">
        <v>8</v>
      </c>
    </row>
    <row r="355">
      <c r="B355" s="8" t="s">
        <v>8</v>
      </c>
    </row>
    <row r="356">
      <c r="B356" s="8" t="s">
        <v>8</v>
      </c>
    </row>
    <row r="357">
      <c r="B357" s="8" t="s">
        <v>8</v>
      </c>
    </row>
    <row r="358">
      <c r="B358" s="8" t="s">
        <v>8</v>
      </c>
    </row>
    <row r="359">
      <c r="B359" s="8" t="s">
        <v>8</v>
      </c>
    </row>
    <row r="360">
      <c r="B360" s="8" t="s">
        <v>8</v>
      </c>
    </row>
    <row r="361">
      <c r="B361" s="8" t="s">
        <v>8</v>
      </c>
    </row>
    <row r="362">
      <c r="B362" s="8" t="s">
        <v>8</v>
      </c>
    </row>
    <row r="363">
      <c r="B363" s="8" t="s">
        <v>8</v>
      </c>
    </row>
    <row r="364">
      <c r="B364" s="8" t="s">
        <v>8</v>
      </c>
    </row>
    <row r="365">
      <c r="B365" s="8" t="s">
        <v>8</v>
      </c>
    </row>
    <row r="366">
      <c r="B366" s="8" t="s">
        <v>8</v>
      </c>
    </row>
    <row r="367">
      <c r="B367" s="8" t="s">
        <v>8</v>
      </c>
    </row>
    <row r="368">
      <c r="B368" s="8" t="s">
        <v>8</v>
      </c>
    </row>
    <row r="369">
      <c r="B369" s="8" t="s">
        <v>8</v>
      </c>
    </row>
    <row r="370">
      <c r="B370" s="8" t="s">
        <v>8</v>
      </c>
    </row>
    <row r="371">
      <c r="B371" s="8" t="s">
        <v>8</v>
      </c>
    </row>
    <row r="372">
      <c r="B372" s="8" t="s">
        <v>8</v>
      </c>
    </row>
    <row r="373">
      <c r="B373" s="8" t="s">
        <v>8</v>
      </c>
    </row>
    <row r="374">
      <c r="B374" s="8" t="s">
        <v>8</v>
      </c>
    </row>
    <row r="375">
      <c r="B375" s="8" t="s">
        <v>8</v>
      </c>
    </row>
    <row r="376">
      <c r="B376" s="8" t="s">
        <v>8</v>
      </c>
    </row>
    <row r="377">
      <c r="B377" s="8" t="s">
        <v>8</v>
      </c>
    </row>
    <row r="378">
      <c r="B378" s="8" t="s">
        <v>8</v>
      </c>
    </row>
    <row r="379">
      <c r="B379" s="8" t="s">
        <v>8</v>
      </c>
    </row>
    <row r="380">
      <c r="B380" s="8" t="s">
        <v>8</v>
      </c>
    </row>
    <row r="381">
      <c r="B381" s="8" t="s">
        <v>8</v>
      </c>
    </row>
    <row r="382">
      <c r="B382" s="8" t="s">
        <v>8</v>
      </c>
    </row>
    <row r="383">
      <c r="B383" s="8" t="s">
        <v>8</v>
      </c>
    </row>
    <row r="384">
      <c r="B384" s="8" t="s">
        <v>8</v>
      </c>
    </row>
    <row r="385">
      <c r="B385" s="8" t="s">
        <v>8</v>
      </c>
    </row>
    <row r="386">
      <c r="B386" s="8" t="s">
        <v>8</v>
      </c>
    </row>
    <row r="387">
      <c r="B387" s="8" t="s">
        <v>8</v>
      </c>
    </row>
    <row r="388">
      <c r="B388" s="8" t="s">
        <v>8</v>
      </c>
    </row>
    <row r="389">
      <c r="B389" s="8" t="s">
        <v>8</v>
      </c>
    </row>
    <row r="390">
      <c r="B390" s="8" t="s">
        <v>8</v>
      </c>
    </row>
    <row r="391">
      <c r="B391" s="8" t="s">
        <v>8</v>
      </c>
    </row>
    <row r="392">
      <c r="B392" s="8" t="s">
        <v>8</v>
      </c>
    </row>
    <row r="393">
      <c r="B393" s="8" t="s">
        <v>8</v>
      </c>
    </row>
    <row r="394">
      <c r="B394" s="8" t="s">
        <v>8</v>
      </c>
    </row>
    <row r="395">
      <c r="B395" s="8" t="s">
        <v>8</v>
      </c>
    </row>
    <row r="396">
      <c r="B396" s="8" t="s">
        <v>8</v>
      </c>
    </row>
    <row r="397">
      <c r="B397" s="8" t="s">
        <v>8</v>
      </c>
    </row>
    <row r="398">
      <c r="B398" s="8" t="s">
        <v>8</v>
      </c>
    </row>
    <row r="399">
      <c r="B399" s="8" t="s">
        <v>8</v>
      </c>
    </row>
    <row r="400">
      <c r="B400" s="8" t="s">
        <v>8</v>
      </c>
    </row>
    <row r="401">
      <c r="B401" s="8" t="s">
        <v>8</v>
      </c>
    </row>
    <row r="402">
      <c r="B402" s="8" t="s">
        <v>8</v>
      </c>
    </row>
    <row r="403">
      <c r="B403" s="8" t="s">
        <v>8</v>
      </c>
    </row>
    <row r="404">
      <c r="B404" s="8" t="s">
        <v>8</v>
      </c>
    </row>
    <row r="405">
      <c r="B405" s="8" t="s">
        <v>8</v>
      </c>
    </row>
    <row r="406">
      <c r="B406" s="8" t="s">
        <v>8</v>
      </c>
    </row>
    <row r="407">
      <c r="B407" s="8" t="s">
        <v>8</v>
      </c>
    </row>
    <row r="408">
      <c r="B408" s="8" t="s">
        <v>8</v>
      </c>
    </row>
    <row r="409">
      <c r="B409" s="8" t="s">
        <v>8</v>
      </c>
    </row>
    <row r="410">
      <c r="B410" s="8" t="s">
        <v>8</v>
      </c>
    </row>
    <row r="411">
      <c r="B411" s="8" t="s">
        <v>8</v>
      </c>
    </row>
    <row r="412">
      <c r="B412" s="8" t="s">
        <v>8</v>
      </c>
    </row>
    <row r="413">
      <c r="B413" s="8" t="s">
        <v>8</v>
      </c>
    </row>
    <row r="414">
      <c r="B414" s="8" t="s">
        <v>8</v>
      </c>
    </row>
    <row r="415">
      <c r="B415" s="8" t="s">
        <v>8</v>
      </c>
    </row>
    <row r="416">
      <c r="B416" s="8" t="s">
        <v>8</v>
      </c>
    </row>
    <row r="417">
      <c r="B417" s="8" t="s">
        <v>8</v>
      </c>
    </row>
    <row r="418">
      <c r="B418" s="8" t="s">
        <v>8</v>
      </c>
    </row>
    <row r="419">
      <c r="B419" s="8" t="s">
        <v>8</v>
      </c>
    </row>
    <row r="420">
      <c r="B420" s="8" t="s">
        <v>8</v>
      </c>
    </row>
    <row r="421">
      <c r="B421" s="8" t="s">
        <v>8</v>
      </c>
    </row>
    <row r="422">
      <c r="B422" s="8" t="s">
        <v>8</v>
      </c>
    </row>
    <row r="423">
      <c r="B423" s="8" t="s">
        <v>8</v>
      </c>
    </row>
    <row r="424">
      <c r="B424" s="8" t="s">
        <v>8</v>
      </c>
    </row>
    <row r="425">
      <c r="B425" s="8" t="s">
        <v>8</v>
      </c>
    </row>
    <row r="426">
      <c r="B426" s="8" t="s">
        <v>8</v>
      </c>
    </row>
    <row r="427">
      <c r="B427" s="8" t="s">
        <v>8</v>
      </c>
    </row>
    <row r="428">
      <c r="B428" s="8" t="s">
        <v>8</v>
      </c>
    </row>
    <row r="429">
      <c r="B429" s="8" t="s">
        <v>8</v>
      </c>
    </row>
    <row r="430">
      <c r="B430" s="8" t="s">
        <v>8</v>
      </c>
    </row>
    <row r="431">
      <c r="B431" s="8" t="s">
        <v>8</v>
      </c>
    </row>
    <row r="432">
      <c r="B432" s="8" t="s">
        <v>8</v>
      </c>
    </row>
    <row r="433">
      <c r="B433" s="8" t="s">
        <v>8</v>
      </c>
    </row>
    <row r="434">
      <c r="B434" s="8" t="s">
        <v>8</v>
      </c>
    </row>
    <row r="435">
      <c r="B435" s="8" t="s">
        <v>8</v>
      </c>
    </row>
    <row r="436">
      <c r="B436" s="8" t="s">
        <v>8</v>
      </c>
    </row>
    <row r="437">
      <c r="B437" s="8" t="s">
        <v>8</v>
      </c>
    </row>
    <row r="438">
      <c r="B438" s="8" t="s">
        <v>8</v>
      </c>
    </row>
    <row r="439">
      <c r="B439" s="8" t="s">
        <v>8</v>
      </c>
    </row>
    <row r="440">
      <c r="B440" s="8" t="s">
        <v>8</v>
      </c>
    </row>
    <row r="441">
      <c r="B441" s="8" t="s">
        <v>8</v>
      </c>
    </row>
    <row r="442">
      <c r="B442" s="8" t="s">
        <v>8</v>
      </c>
    </row>
    <row r="443">
      <c r="B443" s="8" t="s">
        <v>8</v>
      </c>
    </row>
    <row r="444">
      <c r="B444" s="8" t="s">
        <v>8</v>
      </c>
    </row>
    <row r="445">
      <c r="B445" s="8" t="s">
        <v>8</v>
      </c>
    </row>
    <row r="446">
      <c r="B446" s="8" t="s">
        <v>8</v>
      </c>
    </row>
    <row r="447">
      <c r="B447" s="8" t="s">
        <v>8</v>
      </c>
    </row>
    <row r="448">
      <c r="B448" s="8" t="s">
        <v>8</v>
      </c>
    </row>
    <row r="449">
      <c r="B449" s="8" t="s">
        <v>8</v>
      </c>
    </row>
    <row r="450">
      <c r="B450" s="8" t="s">
        <v>8</v>
      </c>
    </row>
    <row r="451">
      <c r="B451" s="8" t="s">
        <v>8</v>
      </c>
    </row>
    <row r="452">
      <c r="B452" s="8" t="s">
        <v>8</v>
      </c>
    </row>
    <row r="453">
      <c r="B453" s="8" t="s">
        <v>8</v>
      </c>
    </row>
    <row r="454">
      <c r="B454" s="8" t="s">
        <v>8</v>
      </c>
    </row>
    <row r="455">
      <c r="B455" s="8" t="s">
        <v>8</v>
      </c>
    </row>
    <row r="456">
      <c r="B456" s="8" t="s">
        <v>8</v>
      </c>
    </row>
    <row r="457">
      <c r="B457" s="8" t="s">
        <v>8</v>
      </c>
    </row>
    <row r="458">
      <c r="B458" s="8" t="s">
        <v>8</v>
      </c>
    </row>
    <row r="459">
      <c r="B459" s="8" t="s">
        <v>8</v>
      </c>
    </row>
    <row r="460">
      <c r="B460" s="8" t="s">
        <v>8</v>
      </c>
    </row>
    <row r="461">
      <c r="B461" s="8" t="s">
        <v>8</v>
      </c>
    </row>
    <row r="462">
      <c r="B462" s="8" t="s">
        <v>8</v>
      </c>
    </row>
    <row r="463">
      <c r="B463" s="8" t="s">
        <v>8</v>
      </c>
    </row>
    <row r="464">
      <c r="B464" s="8" t="s">
        <v>8</v>
      </c>
    </row>
    <row r="465">
      <c r="B465" s="8" t="s">
        <v>8</v>
      </c>
    </row>
    <row r="466">
      <c r="B466" s="8" t="s">
        <v>8</v>
      </c>
    </row>
    <row r="467">
      <c r="B467" s="8" t="s">
        <v>8</v>
      </c>
    </row>
    <row r="468">
      <c r="B468" s="8" t="s">
        <v>8</v>
      </c>
    </row>
    <row r="469">
      <c r="B469" s="8" t="s">
        <v>8</v>
      </c>
    </row>
    <row r="470">
      <c r="B470" s="8" t="s">
        <v>8</v>
      </c>
    </row>
    <row r="471">
      <c r="B471" s="8" t="s">
        <v>8</v>
      </c>
    </row>
    <row r="472">
      <c r="B472" s="8" t="s">
        <v>8</v>
      </c>
    </row>
    <row r="473">
      <c r="B473" s="8" t="s">
        <v>8</v>
      </c>
    </row>
    <row r="474">
      <c r="B474" s="8" t="s">
        <v>8</v>
      </c>
    </row>
    <row r="475">
      <c r="B475" s="8" t="s">
        <v>8</v>
      </c>
    </row>
    <row r="476">
      <c r="B476" s="8" t="s">
        <v>8</v>
      </c>
    </row>
    <row r="477">
      <c r="B477" s="8" t="s">
        <v>8</v>
      </c>
    </row>
    <row r="478">
      <c r="B478" s="8" t="s">
        <v>8</v>
      </c>
    </row>
    <row r="479">
      <c r="B479" s="8" t="s">
        <v>8</v>
      </c>
    </row>
    <row r="480">
      <c r="B480" s="8" t="s">
        <v>8</v>
      </c>
    </row>
    <row r="481">
      <c r="B481" s="8" t="s">
        <v>8</v>
      </c>
    </row>
    <row r="482">
      <c r="B482" s="8" t="s">
        <v>8</v>
      </c>
    </row>
    <row r="483">
      <c r="B483" s="8" t="s">
        <v>8</v>
      </c>
    </row>
    <row r="484">
      <c r="B484" s="8" t="s">
        <v>8</v>
      </c>
    </row>
    <row r="485">
      <c r="B485" s="8" t="s">
        <v>8</v>
      </c>
    </row>
    <row r="486">
      <c r="B486" s="8" t="s">
        <v>8</v>
      </c>
    </row>
    <row r="487">
      <c r="B487" s="8" t="s">
        <v>8</v>
      </c>
    </row>
    <row r="488">
      <c r="B488" s="8" t="s">
        <v>8</v>
      </c>
    </row>
    <row r="489">
      <c r="B489" s="8" t="s">
        <v>8</v>
      </c>
    </row>
    <row r="490">
      <c r="B490" s="8" t="s">
        <v>8</v>
      </c>
    </row>
    <row r="491">
      <c r="B491" s="8" t="s">
        <v>8</v>
      </c>
    </row>
    <row r="492">
      <c r="B492" s="8" t="s">
        <v>8</v>
      </c>
    </row>
    <row r="493">
      <c r="B493" s="8" t="s">
        <v>8</v>
      </c>
    </row>
    <row r="494">
      <c r="B494" s="8" t="s">
        <v>8</v>
      </c>
    </row>
    <row r="495">
      <c r="B495" s="8" t="s">
        <v>8</v>
      </c>
    </row>
    <row r="496">
      <c r="B496" s="8" t="s">
        <v>8</v>
      </c>
    </row>
    <row r="497">
      <c r="B497" s="8" t="s">
        <v>8</v>
      </c>
    </row>
    <row r="498">
      <c r="B498" s="8" t="s">
        <v>8</v>
      </c>
    </row>
    <row r="499">
      <c r="B499" s="8" t="s">
        <v>8</v>
      </c>
    </row>
    <row r="500">
      <c r="B500" s="8" t="s">
        <v>8</v>
      </c>
    </row>
    <row r="501">
      <c r="B501" s="8" t="s">
        <v>8</v>
      </c>
    </row>
    <row r="502">
      <c r="B502" s="8" t="s">
        <v>8</v>
      </c>
    </row>
    <row r="503">
      <c r="B503" s="8" t="s">
        <v>8</v>
      </c>
    </row>
    <row r="504">
      <c r="B504" s="8" t="s">
        <v>8</v>
      </c>
    </row>
    <row r="505">
      <c r="B505" s="8" t="s">
        <v>8</v>
      </c>
    </row>
    <row r="506">
      <c r="B506" s="8" t="s">
        <v>8</v>
      </c>
    </row>
    <row r="507">
      <c r="B507" s="8" t="s">
        <v>8</v>
      </c>
    </row>
    <row r="508">
      <c r="B508" s="8" t="s">
        <v>8</v>
      </c>
    </row>
    <row r="509">
      <c r="B509" s="8" t="s">
        <v>8</v>
      </c>
    </row>
    <row r="510">
      <c r="B510" s="8" t="s">
        <v>8</v>
      </c>
    </row>
    <row r="511">
      <c r="B511" s="8" t="s">
        <v>8</v>
      </c>
    </row>
    <row r="512">
      <c r="B512" s="8" t="s">
        <v>8</v>
      </c>
    </row>
    <row r="513">
      <c r="B513" s="8" t="s">
        <v>8</v>
      </c>
    </row>
    <row r="514">
      <c r="B514" s="8" t="s">
        <v>8</v>
      </c>
    </row>
    <row r="515">
      <c r="B515" s="8" t="s">
        <v>8</v>
      </c>
    </row>
    <row r="516">
      <c r="B516" s="8" t="s">
        <v>8</v>
      </c>
    </row>
    <row r="517">
      <c r="B517" s="8" t="s">
        <v>8</v>
      </c>
    </row>
    <row r="518">
      <c r="B518" s="8" t="s">
        <v>8</v>
      </c>
    </row>
    <row r="519">
      <c r="B519" s="8" t="s">
        <v>8</v>
      </c>
    </row>
    <row r="520">
      <c r="B520" s="8" t="s">
        <v>8</v>
      </c>
    </row>
    <row r="521">
      <c r="B521" s="8" t="s">
        <v>8</v>
      </c>
    </row>
    <row r="522">
      <c r="B522" s="8" t="s">
        <v>8</v>
      </c>
    </row>
    <row r="523">
      <c r="B523" s="8" t="s">
        <v>8</v>
      </c>
    </row>
    <row r="524">
      <c r="B524" s="8" t="s">
        <v>8</v>
      </c>
    </row>
    <row r="525">
      <c r="B525" s="8" t="s">
        <v>8</v>
      </c>
    </row>
    <row r="526">
      <c r="B526" s="8" t="s">
        <v>8</v>
      </c>
    </row>
    <row r="527">
      <c r="B527" s="8" t="s">
        <v>8</v>
      </c>
    </row>
    <row r="528">
      <c r="B528" s="8" t="s">
        <v>8</v>
      </c>
    </row>
    <row r="529">
      <c r="B529" s="8" t="s">
        <v>8</v>
      </c>
    </row>
    <row r="530">
      <c r="B530" s="8" t="s">
        <v>8</v>
      </c>
    </row>
    <row r="531">
      <c r="B531" s="8" t="s">
        <v>8</v>
      </c>
    </row>
    <row r="532">
      <c r="B532" s="8" t="s">
        <v>8</v>
      </c>
    </row>
    <row r="533">
      <c r="B533" s="8" t="s">
        <v>8</v>
      </c>
    </row>
    <row r="534">
      <c r="B534" s="8" t="s">
        <v>8</v>
      </c>
    </row>
    <row r="535">
      <c r="B535" s="8" t="s">
        <v>8</v>
      </c>
    </row>
    <row r="536">
      <c r="B536" s="8" t="s">
        <v>8</v>
      </c>
    </row>
    <row r="537">
      <c r="B537" s="8" t="s">
        <v>8</v>
      </c>
    </row>
    <row r="538">
      <c r="B538" s="8" t="s">
        <v>8</v>
      </c>
    </row>
    <row r="539">
      <c r="B539" s="8" t="s">
        <v>8</v>
      </c>
    </row>
    <row r="540">
      <c r="B540" s="8" t="s">
        <v>8</v>
      </c>
    </row>
    <row r="541">
      <c r="B541" s="8" t="s">
        <v>8</v>
      </c>
    </row>
    <row r="542">
      <c r="B542" s="8" t="s">
        <v>8</v>
      </c>
    </row>
    <row r="543">
      <c r="B543" s="8" t="s">
        <v>8</v>
      </c>
    </row>
    <row r="544">
      <c r="B544" s="8" t="s">
        <v>8</v>
      </c>
    </row>
    <row r="545">
      <c r="B545" s="8" t="s">
        <v>8</v>
      </c>
    </row>
    <row r="546">
      <c r="B546" s="8" t="s">
        <v>8</v>
      </c>
    </row>
    <row r="547">
      <c r="B547" s="8" t="s">
        <v>8</v>
      </c>
    </row>
    <row r="548">
      <c r="B548" s="8" t="s">
        <v>8</v>
      </c>
    </row>
    <row r="549">
      <c r="B549" s="8" t="s">
        <v>8</v>
      </c>
    </row>
    <row r="550">
      <c r="B550" s="8" t="s">
        <v>8</v>
      </c>
    </row>
    <row r="551">
      <c r="B551" s="8" t="s">
        <v>8</v>
      </c>
    </row>
    <row r="552">
      <c r="B552" s="8" t="s">
        <v>8</v>
      </c>
    </row>
    <row r="553">
      <c r="B553" s="8" t="s">
        <v>8</v>
      </c>
    </row>
    <row r="554">
      <c r="B554" s="8" t="s">
        <v>8</v>
      </c>
    </row>
    <row r="555">
      <c r="B555" s="8" t="s">
        <v>8</v>
      </c>
    </row>
    <row r="556">
      <c r="B556" s="8" t="s">
        <v>8</v>
      </c>
    </row>
    <row r="557">
      <c r="B557" s="8" t="s">
        <v>8</v>
      </c>
    </row>
    <row r="558">
      <c r="B558" s="8" t="s">
        <v>8</v>
      </c>
    </row>
    <row r="559">
      <c r="B559" s="8" t="s">
        <v>8</v>
      </c>
    </row>
    <row r="560">
      <c r="B560" s="8" t="s">
        <v>8</v>
      </c>
    </row>
    <row r="561">
      <c r="B561" s="8" t="s">
        <v>8</v>
      </c>
    </row>
    <row r="562">
      <c r="B562" s="8" t="s">
        <v>8</v>
      </c>
    </row>
    <row r="563">
      <c r="B563" s="8" t="s">
        <v>8</v>
      </c>
    </row>
    <row r="564">
      <c r="B564" s="8" t="s">
        <v>8</v>
      </c>
    </row>
    <row r="565">
      <c r="B565" s="8" t="s">
        <v>8</v>
      </c>
    </row>
    <row r="566">
      <c r="B566" s="8" t="s">
        <v>8</v>
      </c>
    </row>
    <row r="567">
      <c r="B567" s="8" t="s">
        <v>8</v>
      </c>
    </row>
    <row r="568">
      <c r="B568" s="8" t="s">
        <v>8</v>
      </c>
    </row>
    <row r="569">
      <c r="B569" s="8" t="s">
        <v>8</v>
      </c>
    </row>
    <row r="570">
      <c r="B570" s="8" t="s">
        <v>8</v>
      </c>
    </row>
    <row r="571">
      <c r="B571" s="8" t="s">
        <v>8</v>
      </c>
    </row>
    <row r="572">
      <c r="B572" s="8" t="s">
        <v>8</v>
      </c>
    </row>
    <row r="573">
      <c r="B573" s="8" t="s">
        <v>8</v>
      </c>
    </row>
    <row r="574">
      <c r="B574" s="8" t="s">
        <v>8</v>
      </c>
    </row>
    <row r="575">
      <c r="B575" s="8" t="s">
        <v>8</v>
      </c>
    </row>
    <row r="576">
      <c r="B576" s="8" t="s">
        <v>8</v>
      </c>
    </row>
    <row r="577">
      <c r="B577" s="8" t="s">
        <v>8</v>
      </c>
    </row>
    <row r="578">
      <c r="B578" s="8" t="s">
        <v>8</v>
      </c>
    </row>
    <row r="579">
      <c r="B579" s="8" t="s">
        <v>8</v>
      </c>
    </row>
    <row r="580">
      <c r="B580" s="8" t="s">
        <v>8</v>
      </c>
    </row>
    <row r="581">
      <c r="B581" s="8" t="s">
        <v>8</v>
      </c>
    </row>
    <row r="582">
      <c r="B582" s="8" t="s">
        <v>8</v>
      </c>
    </row>
    <row r="583">
      <c r="B583" s="8" t="s">
        <v>8</v>
      </c>
    </row>
    <row r="584">
      <c r="B584" s="8" t="s">
        <v>8</v>
      </c>
    </row>
    <row r="585">
      <c r="B585" s="8" t="s">
        <v>8</v>
      </c>
    </row>
    <row r="586">
      <c r="B586" s="8" t="s">
        <v>8</v>
      </c>
    </row>
    <row r="587">
      <c r="B587" s="8" t="s">
        <v>8</v>
      </c>
    </row>
    <row r="588">
      <c r="B588" s="8" t="s">
        <v>8</v>
      </c>
    </row>
    <row r="589">
      <c r="B589" s="8" t="s">
        <v>8</v>
      </c>
    </row>
    <row r="590">
      <c r="B590" s="8" t="s">
        <v>8</v>
      </c>
    </row>
    <row r="591">
      <c r="B591" s="8" t="s">
        <v>8</v>
      </c>
    </row>
    <row r="592">
      <c r="B592" s="8" t="s">
        <v>8</v>
      </c>
    </row>
    <row r="593">
      <c r="B593" s="8" t="s">
        <v>8</v>
      </c>
    </row>
    <row r="594">
      <c r="B594" s="8" t="s">
        <v>8</v>
      </c>
    </row>
    <row r="595">
      <c r="B595" s="8" t="s">
        <v>8</v>
      </c>
    </row>
    <row r="596">
      <c r="B596" s="8" t="s">
        <v>8</v>
      </c>
    </row>
    <row r="597">
      <c r="B597" s="8" t="s">
        <v>8</v>
      </c>
    </row>
    <row r="598">
      <c r="B598" s="8" t="s">
        <v>8</v>
      </c>
    </row>
    <row r="599">
      <c r="B599" s="8" t="s">
        <v>8</v>
      </c>
    </row>
    <row r="600">
      <c r="B600" s="8" t="s">
        <v>8</v>
      </c>
    </row>
    <row r="601">
      <c r="B601" s="8" t="s">
        <v>8</v>
      </c>
    </row>
    <row r="602">
      <c r="B602" s="8" t="s">
        <v>8</v>
      </c>
    </row>
    <row r="603">
      <c r="B603" s="8" t="s">
        <v>8</v>
      </c>
    </row>
    <row r="604">
      <c r="B604" s="8" t="s">
        <v>8</v>
      </c>
    </row>
    <row r="605">
      <c r="B605" s="8" t="s">
        <v>8</v>
      </c>
    </row>
    <row r="606">
      <c r="B606" s="8" t="s">
        <v>8</v>
      </c>
    </row>
    <row r="607">
      <c r="B607" s="8" t="s">
        <v>8</v>
      </c>
    </row>
    <row r="608">
      <c r="B608" s="8" t="s">
        <v>8</v>
      </c>
    </row>
    <row r="609">
      <c r="B609" s="8" t="s">
        <v>8</v>
      </c>
    </row>
    <row r="610">
      <c r="B610" s="8" t="s">
        <v>8</v>
      </c>
    </row>
    <row r="611">
      <c r="B611" s="8" t="s">
        <v>8</v>
      </c>
    </row>
    <row r="612">
      <c r="B612" s="8" t="s">
        <v>8</v>
      </c>
    </row>
    <row r="613">
      <c r="B613" s="8" t="s">
        <v>8</v>
      </c>
    </row>
    <row r="614">
      <c r="B614" s="8" t="s">
        <v>8</v>
      </c>
    </row>
    <row r="615">
      <c r="B615" s="8" t="s">
        <v>8</v>
      </c>
    </row>
    <row r="616">
      <c r="B616" s="8" t="s">
        <v>8</v>
      </c>
    </row>
    <row r="617">
      <c r="B617" s="8" t="s">
        <v>8</v>
      </c>
    </row>
    <row r="618">
      <c r="B618" s="8" t="s">
        <v>8</v>
      </c>
    </row>
    <row r="619">
      <c r="B619" s="8" t="s">
        <v>8</v>
      </c>
    </row>
    <row r="620">
      <c r="B620" s="8" t="s">
        <v>8</v>
      </c>
    </row>
    <row r="621">
      <c r="B621" s="8" t="s">
        <v>8</v>
      </c>
    </row>
    <row r="622">
      <c r="B622" s="8" t="s">
        <v>8</v>
      </c>
    </row>
    <row r="623">
      <c r="B623" s="8" t="s">
        <v>8</v>
      </c>
    </row>
    <row r="624">
      <c r="B624" s="8" t="s">
        <v>8</v>
      </c>
    </row>
    <row r="625">
      <c r="B625" s="8" t="s">
        <v>8</v>
      </c>
    </row>
    <row r="626">
      <c r="B626" s="8" t="s">
        <v>8</v>
      </c>
    </row>
    <row r="627">
      <c r="B627" s="8" t="s">
        <v>8</v>
      </c>
    </row>
    <row r="628">
      <c r="B628" s="8" t="s">
        <v>8</v>
      </c>
    </row>
    <row r="629">
      <c r="B629" s="8" t="s">
        <v>8</v>
      </c>
    </row>
    <row r="630">
      <c r="B630" s="8" t="s">
        <v>8</v>
      </c>
    </row>
    <row r="631">
      <c r="B631" s="8" t="s">
        <v>8</v>
      </c>
    </row>
    <row r="632">
      <c r="B632" s="8" t="s">
        <v>8</v>
      </c>
    </row>
    <row r="633">
      <c r="B633" s="8" t="s">
        <v>8</v>
      </c>
    </row>
    <row r="634">
      <c r="B634" s="8" t="s">
        <v>8</v>
      </c>
    </row>
    <row r="635">
      <c r="B635" s="8" t="s">
        <v>8</v>
      </c>
    </row>
    <row r="636">
      <c r="B636" s="8" t="s">
        <v>8</v>
      </c>
    </row>
    <row r="637">
      <c r="B637" s="8" t="s">
        <v>8</v>
      </c>
    </row>
    <row r="638">
      <c r="B638" s="8" t="s">
        <v>8</v>
      </c>
    </row>
    <row r="639">
      <c r="B639" s="8" t="s">
        <v>8</v>
      </c>
    </row>
    <row r="640">
      <c r="B640" s="8" t="s">
        <v>8</v>
      </c>
    </row>
    <row r="641">
      <c r="B641" s="8" t="s">
        <v>8</v>
      </c>
    </row>
    <row r="642">
      <c r="B642" s="8" t="s">
        <v>8</v>
      </c>
    </row>
    <row r="643">
      <c r="B643" s="8" t="s">
        <v>8</v>
      </c>
    </row>
    <row r="644">
      <c r="B644" s="8" t="s">
        <v>8</v>
      </c>
    </row>
    <row r="645">
      <c r="B645" s="8" t="s">
        <v>8</v>
      </c>
    </row>
    <row r="646">
      <c r="B646" s="8" t="s">
        <v>8</v>
      </c>
    </row>
    <row r="647">
      <c r="B647" s="8" t="s">
        <v>8</v>
      </c>
    </row>
    <row r="648">
      <c r="B648" s="8" t="s">
        <v>8</v>
      </c>
    </row>
    <row r="649">
      <c r="B649" s="8" t="s">
        <v>8</v>
      </c>
    </row>
    <row r="650">
      <c r="B650" s="8" t="s">
        <v>8</v>
      </c>
    </row>
    <row r="651">
      <c r="B651" s="8" t="s">
        <v>8</v>
      </c>
    </row>
    <row r="652">
      <c r="B652" s="8" t="s">
        <v>8</v>
      </c>
    </row>
    <row r="653">
      <c r="B653" s="8" t="s">
        <v>8</v>
      </c>
    </row>
    <row r="654">
      <c r="B654" s="8" t="s">
        <v>8</v>
      </c>
    </row>
    <row r="655">
      <c r="B655" s="8" t="s">
        <v>8</v>
      </c>
    </row>
    <row r="656">
      <c r="B656" s="8" t="s">
        <v>8</v>
      </c>
    </row>
    <row r="657">
      <c r="B657" s="8" t="s">
        <v>8</v>
      </c>
    </row>
    <row r="658">
      <c r="B658" s="8" t="s">
        <v>8</v>
      </c>
    </row>
    <row r="659">
      <c r="B659" s="8" t="s">
        <v>8</v>
      </c>
    </row>
    <row r="660">
      <c r="B660" s="8" t="s">
        <v>8</v>
      </c>
    </row>
    <row r="661">
      <c r="B661" s="8" t="s">
        <v>8</v>
      </c>
    </row>
    <row r="662">
      <c r="B662" s="8" t="s">
        <v>8</v>
      </c>
    </row>
    <row r="663">
      <c r="B663" s="8" t="s">
        <v>8</v>
      </c>
    </row>
    <row r="664">
      <c r="B664" s="8" t="s">
        <v>8</v>
      </c>
    </row>
    <row r="665">
      <c r="B665" s="8" t="s">
        <v>8</v>
      </c>
    </row>
    <row r="666">
      <c r="B666" s="8" t="s">
        <v>8</v>
      </c>
    </row>
    <row r="667">
      <c r="B667" s="8" t="s">
        <v>8</v>
      </c>
    </row>
    <row r="668">
      <c r="B668" s="8" t="s">
        <v>8</v>
      </c>
    </row>
    <row r="669">
      <c r="B669" s="8" t="s">
        <v>8</v>
      </c>
    </row>
    <row r="670">
      <c r="B670" s="8" t="s">
        <v>8</v>
      </c>
    </row>
    <row r="671">
      <c r="B671" s="8" t="s">
        <v>8</v>
      </c>
    </row>
    <row r="672">
      <c r="B672" s="8" t="s">
        <v>8</v>
      </c>
    </row>
    <row r="673">
      <c r="B673" s="8" t="s">
        <v>8</v>
      </c>
    </row>
    <row r="674">
      <c r="B674" s="8" t="s">
        <v>8</v>
      </c>
    </row>
    <row r="675">
      <c r="B675" s="8" t="s">
        <v>8</v>
      </c>
    </row>
    <row r="676">
      <c r="B676" s="8" t="s">
        <v>8</v>
      </c>
    </row>
    <row r="677">
      <c r="B677" s="8" t="s">
        <v>8</v>
      </c>
    </row>
    <row r="678">
      <c r="B678" s="8" t="s">
        <v>8</v>
      </c>
    </row>
    <row r="679">
      <c r="B679" s="8" t="s">
        <v>8</v>
      </c>
    </row>
    <row r="680">
      <c r="B680" s="8" t="s">
        <v>8</v>
      </c>
    </row>
    <row r="681">
      <c r="B681" s="8" t="s">
        <v>8</v>
      </c>
    </row>
    <row r="682">
      <c r="B682" s="8" t="s">
        <v>8</v>
      </c>
    </row>
    <row r="683">
      <c r="B683" s="8" t="s">
        <v>8</v>
      </c>
    </row>
    <row r="684">
      <c r="B684" s="8" t="s">
        <v>8</v>
      </c>
    </row>
    <row r="685">
      <c r="B685" s="8" t="s">
        <v>8</v>
      </c>
    </row>
    <row r="686">
      <c r="B686" s="8" t="s">
        <v>8</v>
      </c>
    </row>
    <row r="687">
      <c r="B687" s="8" t="s">
        <v>8</v>
      </c>
    </row>
    <row r="688">
      <c r="B688" s="8" t="s">
        <v>8</v>
      </c>
    </row>
    <row r="689">
      <c r="B689" s="8" t="s">
        <v>8</v>
      </c>
    </row>
    <row r="690">
      <c r="B690" s="8" t="s">
        <v>8</v>
      </c>
    </row>
    <row r="691">
      <c r="B691" s="8" t="s">
        <v>8</v>
      </c>
    </row>
    <row r="692">
      <c r="B692" s="8" t="s">
        <v>8</v>
      </c>
    </row>
    <row r="693">
      <c r="B693" s="8" t="s">
        <v>8</v>
      </c>
    </row>
    <row r="694">
      <c r="B694" s="8" t="s">
        <v>8</v>
      </c>
    </row>
    <row r="695">
      <c r="B695" s="8" t="s">
        <v>8</v>
      </c>
    </row>
    <row r="696">
      <c r="B696" s="8" t="s">
        <v>8</v>
      </c>
    </row>
    <row r="697">
      <c r="B697" s="8" t="s">
        <v>8</v>
      </c>
    </row>
    <row r="698">
      <c r="B698" s="8" t="s">
        <v>8</v>
      </c>
    </row>
    <row r="699">
      <c r="B699" s="8" t="s">
        <v>8</v>
      </c>
    </row>
    <row r="700">
      <c r="B700" s="8" t="s">
        <v>8</v>
      </c>
    </row>
    <row r="701">
      <c r="B701" s="8" t="s">
        <v>8</v>
      </c>
    </row>
    <row r="702">
      <c r="B702" s="8" t="s">
        <v>8</v>
      </c>
    </row>
    <row r="703">
      <c r="B703" s="8" t="s">
        <v>8</v>
      </c>
    </row>
    <row r="704">
      <c r="B704" s="8" t="s">
        <v>8</v>
      </c>
    </row>
    <row r="705">
      <c r="B705" s="8" t="s">
        <v>8</v>
      </c>
    </row>
    <row r="706">
      <c r="B706" s="8" t="s">
        <v>8</v>
      </c>
    </row>
    <row r="707">
      <c r="B707" s="8" t="s">
        <v>8</v>
      </c>
    </row>
    <row r="708">
      <c r="B708" s="8" t="s">
        <v>8</v>
      </c>
    </row>
    <row r="709">
      <c r="B709" s="8" t="s">
        <v>8</v>
      </c>
    </row>
    <row r="710">
      <c r="B710" s="8" t="s">
        <v>8</v>
      </c>
    </row>
    <row r="711">
      <c r="B711" s="8" t="s">
        <v>8</v>
      </c>
    </row>
    <row r="712">
      <c r="B712" s="8" t="s">
        <v>8</v>
      </c>
    </row>
    <row r="713">
      <c r="B713" s="8" t="s">
        <v>8</v>
      </c>
    </row>
    <row r="714">
      <c r="B714" s="8" t="s">
        <v>8</v>
      </c>
    </row>
    <row r="715">
      <c r="B715" s="8" t="s">
        <v>8</v>
      </c>
    </row>
    <row r="716">
      <c r="B716" s="8" t="s">
        <v>8</v>
      </c>
    </row>
    <row r="717">
      <c r="B717" s="8" t="s">
        <v>8</v>
      </c>
    </row>
    <row r="718">
      <c r="B718" s="8" t="s">
        <v>8</v>
      </c>
    </row>
    <row r="719">
      <c r="B719" s="8" t="s">
        <v>8</v>
      </c>
    </row>
    <row r="720">
      <c r="B720" s="8" t="s">
        <v>8</v>
      </c>
    </row>
    <row r="721">
      <c r="B721" s="8" t="s">
        <v>8</v>
      </c>
    </row>
    <row r="722">
      <c r="B722" s="8" t="s">
        <v>8</v>
      </c>
    </row>
    <row r="723">
      <c r="B723" s="8" t="s">
        <v>8</v>
      </c>
    </row>
    <row r="724">
      <c r="B724" s="8" t="s">
        <v>8</v>
      </c>
    </row>
    <row r="725">
      <c r="B725" s="8" t="s">
        <v>8</v>
      </c>
    </row>
    <row r="726">
      <c r="B726" s="8" t="s">
        <v>8</v>
      </c>
    </row>
    <row r="727">
      <c r="B727" s="8" t="s">
        <v>8</v>
      </c>
    </row>
    <row r="728">
      <c r="B728" s="8" t="s">
        <v>8</v>
      </c>
    </row>
    <row r="729">
      <c r="B729" s="8" t="s">
        <v>8</v>
      </c>
    </row>
    <row r="730">
      <c r="B730" s="8" t="s">
        <v>8</v>
      </c>
    </row>
    <row r="731">
      <c r="B731" s="8" t="s">
        <v>8</v>
      </c>
    </row>
    <row r="732">
      <c r="B732" s="8" t="s">
        <v>8</v>
      </c>
    </row>
    <row r="733">
      <c r="B733" s="8" t="s">
        <v>8</v>
      </c>
    </row>
    <row r="734">
      <c r="B734" s="8" t="s">
        <v>8</v>
      </c>
    </row>
    <row r="735">
      <c r="B735" s="8" t="s">
        <v>8</v>
      </c>
    </row>
    <row r="736">
      <c r="B736" s="8" t="s">
        <v>8</v>
      </c>
    </row>
    <row r="737">
      <c r="B737" s="8" t="s">
        <v>8</v>
      </c>
    </row>
    <row r="738">
      <c r="B738" s="8" t="s">
        <v>8</v>
      </c>
    </row>
    <row r="739">
      <c r="B739" s="8" t="s">
        <v>8</v>
      </c>
    </row>
    <row r="740">
      <c r="B740" s="8" t="s">
        <v>8</v>
      </c>
    </row>
    <row r="741">
      <c r="B741" s="8" t="s">
        <v>8</v>
      </c>
    </row>
    <row r="742">
      <c r="B742" s="8" t="s">
        <v>8</v>
      </c>
    </row>
    <row r="743">
      <c r="B743" s="8" t="s">
        <v>8</v>
      </c>
    </row>
    <row r="744">
      <c r="B744" s="8" t="s">
        <v>8</v>
      </c>
    </row>
    <row r="745">
      <c r="B745" s="8" t="s">
        <v>8</v>
      </c>
    </row>
    <row r="746">
      <c r="B746" s="8" t="s">
        <v>8</v>
      </c>
    </row>
    <row r="747">
      <c r="B747" s="8" t="s">
        <v>8</v>
      </c>
    </row>
    <row r="748">
      <c r="B748" s="8" t="s">
        <v>8</v>
      </c>
    </row>
    <row r="749">
      <c r="B749" s="8" t="s">
        <v>8</v>
      </c>
    </row>
    <row r="750">
      <c r="B750" s="8" t="s">
        <v>8</v>
      </c>
    </row>
    <row r="751">
      <c r="B751" s="8" t="s">
        <v>8</v>
      </c>
    </row>
    <row r="752">
      <c r="B752" s="8" t="s">
        <v>8</v>
      </c>
    </row>
    <row r="753">
      <c r="B753" s="8" t="s">
        <v>8</v>
      </c>
    </row>
    <row r="754">
      <c r="B754" s="8" t="s">
        <v>8</v>
      </c>
    </row>
    <row r="755">
      <c r="B755" s="8" t="s">
        <v>8</v>
      </c>
    </row>
    <row r="756">
      <c r="B756" s="8" t="s">
        <v>8</v>
      </c>
    </row>
    <row r="757">
      <c r="B757" s="8" t="s">
        <v>8</v>
      </c>
    </row>
    <row r="758">
      <c r="B758" s="8" t="s">
        <v>8</v>
      </c>
    </row>
    <row r="759">
      <c r="B759" s="8" t="s">
        <v>8</v>
      </c>
    </row>
    <row r="760">
      <c r="B760" s="8" t="s">
        <v>8</v>
      </c>
    </row>
    <row r="761">
      <c r="B761" s="8" t="s">
        <v>8</v>
      </c>
    </row>
    <row r="762">
      <c r="B762" s="8" t="s">
        <v>8</v>
      </c>
    </row>
    <row r="763">
      <c r="B763" s="8" t="s">
        <v>8</v>
      </c>
    </row>
    <row r="764">
      <c r="B764" s="8" t="s">
        <v>8</v>
      </c>
    </row>
    <row r="765">
      <c r="B765" s="8" t="s">
        <v>8</v>
      </c>
    </row>
    <row r="766">
      <c r="B766" s="8" t="s">
        <v>8</v>
      </c>
    </row>
    <row r="767">
      <c r="B767" s="8" t="s">
        <v>8</v>
      </c>
    </row>
    <row r="768">
      <c r="B768" s="8" t="s">
        <v>8</v>
      </c>
    </row>
    <row r="769">
      <c r="B769" s="8" t="s">
        <v>8</v>
      </c>
    </row>
    <row r="770">
      <c r="B770" s="8" t="s">
        <v>8</v>
      </c>
    </row>
    <row r="771">
      <c r="B771" s="8" t="s">
        <v>8</v>
      </c>
    </row>
    <row r="772">
      <c r="B772" s="8" t="s">
        <v>8</v>
      </c>
    </row>
    <row r="773">
      <c r="B773" s="8" t="s">
        <v>8</v>
      </c>
    </row>
    <row r="774">
      <c r="B774" s="8" t="s">
        <v>8</v>
      </c>
    </row>
    <row r="775">
      <c r="B775" s="8" t="s">
        <v>8</v>
      </c>
    </row>
    <row r="776">
      <c r="B776" s="8" t="s">
        <v>8</v>
      </c>
    </row>
    <row r="777">
      <c r="B777" s="8" t="s">
        <v>8</v>
      </c>
    </row>
    <row r="778">
      <c r="B778" s="8" t="s">
        <v>8</v>
      </c>
    </row>
    <row r="779">
      <c r="B779" s="8" t="s">
        <v>8</v>
      </c>
    </row>
    <row r="780">
      <c r="B780" s="8" t="s">
        <v>8</v>
      </c>
    </row>
    <row r="781">
      <c r="B781" s="8" t="s">
        <v>8</v>
      </c>
    </row>
    <row r="782">
      <c r="B782" s="8" t="s">
        <v>8</v>
      </c>
    </row>
    <row r="783">
      <c r="B783" s="8" t="s">
        <v>8</v>
      </c>
    </row>
    <row r="784">
      <c r="B784" s="8" t="s">
        <v>8</v>
      </c>
    </row>
    <row r="785">
      <c r="B785" s="8" t="s">
        <v>8</v>
      </c>
    </row>
    <row r="786">
      <c r="B786" s="8" t="s">
        <v>8</v>
      </c>
    </row>
    <row r="787">
      <c r="B787" s="8" t="s">
        <v>8</v>
      </c>
    </row>
    <row r="788">
      <c r="B788" s="8" t="s">
        <v>8</v>
      </c>
    </row>
    <row r="789">
      <c r="B789" s="8" t="s">
        <v>8</v>
      </c>
    </row>
    <row r="790">
      <c r="B790" s="8" t="s">
        <v>8</v>
      </c>
    </row>
    <row r="791">
      <c r="B791" s="8" t="s">
        <v>8</v>
      </c>
    </row>
    <row r="792">
      <c r="B792" s="8" t="s">
        <v>8</v>
      </c>
    </row>
    <row r="793">
      <c r="B793" s="8" t="s">
        <v>8</v>
      </c>
    </row>
    <row r="794">
      <c r="B794" s="8" t="s">
        <v>8</v>
      </c>
    </row>
    <row r="795">
      <c r="B795" s="8" t="s">
        <v>8</v>
      </c>
    </row>
    <row r="796">
      <c r="B796" s="8" t="s">
        <v>8</v>
      </c>
    </row>
    <row r="797">
      <c r="B797" s="8" t="s">
        <v>8</v>
      </c>
    </row>
    <row r="798">
      <c r="B798" s="8" t="s">
        <v>8</v>
      </c>
    </row>
    <row r="799">
      <c r="B799" s="8" t="s">
        <v>8</v>
      </c>
    </row>
    <row r="800">
      <c r="B800" s="8" t="s">
        <v>8</v>
      </c>
    </row>
    <row r="801">
      <c r="B801" s="8" t="s">
        <v>8</v>
      </c>
    </row>
    <row r="802">
      <c r="B802" s="8" t="s">
        <v>8</v>
      </c>
    </row>
    <row r="803">
      <c r="B803" s="8" t="s">
        <v>8</v>
      </c>
    </row>
    <row r="804">
      <c r="B804" s="8" t="s">
        <v>8</v>
      </c>
    </row>
    <row r="805">
      <c r="B805" s="8" t="s">
        <v>8</v>
      </c>
    </row>
    <row r="806">
      <c r="B806" s="8" t="s">
        <v>8</v>
      </c>
    </row>
    <row r="807">
      <c r="B807" s="8" t="s">
        <v>8</v>
      </c>
    </row>
    <row r="808">
      <c r="B808" s="8" t="s">
        <v>8</v>
      </c>
    </row>
    <row r="809">
      <c r="B809" s="8" t="s">
        <v>8</v>
      </c>
    </row>
    <row r="810">
      <c r="B810" s="8" t="s">
        <v>8</v>
      </c>
    </row>
    <row r="811">
      <c r="B811" s="8" t="s">
        <v>8</v>
      </c>
    </row>
    <row r="812">
      <c r="B812" s="8" t="s">
        <v>8</v>
      </c>
    </row>
    <row r="813">
      <c r="B813" s="8" t="s">
        <v>8</v>
      </c>
    </row>
    <row r="814">
      <c r="B814" s="8" t="s">
        <v>8</v>
      </c>
    </row>
    <row r="815">
      <c r="B815" s="8" t="s">
        <v>8</v>
      </c>
    </row>
    <row r="816">
      <c r="B816" s="8" t="s">
        <v>8</v>
      </c>
    </row>
    <row r="817">
      <c r="B817" s="8" t="s">
        <v>8</v>
      </c>
    </row>
    <row r="818">
      <c r="B818" s="8" t="s">
        <v>8</v>
      </c>
    </row>
    <row r="819">
      <c r="B819" s="8" t="s">
        <v>8</v>
      </c>
    </row>
    <row r="820">
      <c r="B820" s="8" t="s">
        <v>8</v>
      </c>
    </row>
    <row r="821">
      <c r="B821" s="8" t="s">
        <v>8</v>
      </c>
    </row>
    <row r="822">
      <c r="B822" s="8" t="s">
        <v>8</v>
      </c>
    </row>
    <row r="823">
      <c r="B823" s="8" t="s">
        <v>8</v>
      </c>
    </row>
    <row r="824">
      <c r="B824" s="8" t="s">
        <v>8</v>
      </c>
    </row>
    <row r="825">
      <c r="B825" s="8" t="s">
        <v>8</v>
      </c>
    </row>
    <row r="826">
      <c r="B826" s="8" t="s">
        <v>8</v>
      </c>
    </row>
    <row r="827">
      <c r="B827" s="8" t="s">
        <v>8</v>
      </c>
    </row>
    <row r="828">
      <c r="B828" s="8" t="s">
        <v>8</v>
      </c>
    </row>
    <row r="829">
      <c r="B829" s="8" t="s">
        <v>8</v>
      </c>
    </row>
    <row r="830">
      <c r="B830" s="8" t="s">
        <v>8</v>
      </c>
    </row>
    <row r="831">
      <c r="B831" s="8" t="s">
        <v>8</v>
      </c>
    </row>
    <row r="832">
      <c r="B832" s="8" t="s">
        <v>8</v>
      </c>
    </row>
    <row r="833">
      <c r="B833" s="8" t="s">
        <v>8</v>
      </c>
    </row>
    <row r="834">
      <c r="B834" s="8" t="s">
        <v>8</v>
      </c>
    </row>
    <row r="835">
      <c r="B835" s="8" t="s">
        <v>8</v>
      </c>
    </row>
    <row r="836">
      <c r="B836" s="8" t="s">
        <v>8</v>
      </c>
    </row>
    <row r="837">
      <c r="B837" s="8" t="s">
        <v>8</v>
      </c>
    </row>
    <row r="838">
      <c r="B838" s="8" t="s">
        <v>8</v>
      </c>
    </row>
    <row r="839">
      <c r="B839" s="8" t="s">
        <v>8</v>
      </c>
    </row>
    <row r="840">
      <c r="B840" s="8" t="s">
        <v>8</v>
      </c>
    </row>
    <row r="841">
      <c r="B841" s="8" t="s">
        <v>8</v>
      </c>
    </row>
    <row r="842">
      <c r="B842" s="8" t="s">
        <v>8</v>
      </c>
    </row>
    <row r="843">
      <c r="B843" s="8" t="s">
        <v>8</v>
      </c>
    </row>
    <row r="844">
      <c r="B844" s="8" t="s">
        <v>8</v>
      </c>
    </row>
    <row r="845">
      <c r="B845" s="8" t="s">
        <v>8</v>
      </c>
    </row>
    <row r="846">
      <c r="B846" s="8" t="s">
        <v>8</v>
      </c>
    </row>
    <row r="847">
      <c r="B847" s="8" t="s">
        <v>8</v>
      </c>
    </row>
    <row r="848">
      <c r="B848" s="8" t="s">
        <v>8</v>
      </c>
    </row>
    <row r="849">
      <c r="B849" s="8" t="s">
        <v>8</v>
      </c>
    </row>
    <row r="850">
      <c r="B850" s="8" t="s">
        <v>8</v>
      </c>
    </row>
    <row r="851">
      <c r="B851" s="8" t="s">
        <v>8</v>
      </c>
    </row>
    <row r="852">
      <c r="B852" s="8" t="s">
        <v>8</v>
      </c>
    </row>
    <row r="853">
      <c r="B853" s="8" t="s">
        <v>8</v>
      </c>
    </row>
    <row r="854">
      <c r="B854" s="8" t="s">
        <v>8</v>
      </c>
    </row>
    <row r="855">
      <c r="B855" s="8" t="s">
        <v>8</v>
      </c>
    </row>
    <row r="856">
      <c r="B856" s="8" t="s">
        <v>8</v>
      </c>
    </row>
    <row r="857">
      <c r="B857" s="8" t="s">
        <v>8</v>
      </c>
    </row>
    <row r="858">
      <c r="B858" s="8" t="s">
        <v>8</v>
      </c>
    </row>
    <row r="859">
      <c r="B859" s="8" t="s">
        <v>8</v>
      </c>
    </row>
    <row r="860">
      <c r="B860" s="8" t="s">
        <v>8</v>
      </c>
    </row>
    <row r="861">
      <c r="B861" s="8" t="s">
        <v>8</v>
      </c>
    </row>
    <row r="862">
      <c r="B862" s="8" t="s">
        <v>8</v>
      </c>
    </row>
    <row r="863">
      <c r="B863" s="8" t="s">
        <v>8</v>
      </c>
    </row>
    <row r="864">
      <c r="B864" s="8" t="s">
        <v>8</v>
      </c>
    </row>
    <row r="865">
      <c r="B865" s="8" t="s">
        <v>8</v>
      </c>
    </row>
    <row r="866">
      <c r="B866" s="8" t="s">
        <v>8</v>
      </c>
    </row>
    <row r="867">
      <c r="B867" s="8" t="s">
        <v>8</v>
      </c>
    </row>
    <row r="868">
      <c r="B868" s="8" t="s">
        <v>8</v>
      </c>
    </row>
    <row r="869">
      <c r="B869" s="8" t="s">
        <v>8</v>
      </c>
    </row>
    <row r="870">
      <c r="B870" s="8" t="s">
        <v>8</v>
      </c>
    </row>
    <row r="871">
      <c r="B871" s="8" t="s">
        <v>8</v>
      </c>
    </row>
    <row r="872">
      <c r="B872" s="8" t="s">
        <v>8</v>
      </c>
    </row>
    <row r="873">
      <c r="B873" s="8" t="s">
        <v>8</v>
      </c>
    </row>
    <row r="874">
      <c r="B874" s="8" t="s">
        <v>8</v>
      </c>
    </row>
    <row r="875">
      <c r="B875" s="8" t="s">
        <v>8</v>
      </c>
    </row>
    <row r="876">
      <c r="B876" s="8" t="s">
        <v>8</v>
      </c>
    </row>
    <row r="877">
      <c r="B877" s="8" t="s">
        <v>8</v>
      </c>
    </row>
    <row r="878">
      <c r="B878" s="8" t="s">
        <v>8</v>
      </c>
    </row>
    <row r="879">
      <c r="B879" s="8" t="s">
        <v>8</v>
      </c>
    </row>
    <row r="880">
      <c r="B880" s="8" t="s">
        <v>8</v>
      </c>
    </row>
    <row r="881">
      <c r="B881" s="8" t="s">
        <v>8</v>
      </c>
    </row>
    <row r="882">
      <c r="B882" s="8" t="s">
        <v>8</v>
      </c>
    </row>
    <row r="883">
      <c r="B883" s="8" t="s">
        <v>8</v>
      </c>
    </row>
    <row r="884">
      <c r="B884" s="8" t="s">
        <v>8</v>
      </c>
    </row>
    <row r="885">
      <c r="B885" s="8" t="s">
        <v>8</v>
      </c>
    </row>
    <row r="886">
      <c r="B886" s="8" t="s">
        <v>8</v>
      </c>
    </row>
    <row r="887">
      <c r="B887" s="8" t="s">
        <v>8</v>
      </c>
    </row>
    <row r="888">
      <c r="B888" s="8" t="s">
        <v>8</v>
      </c>
    </row>
    <row r="889">
      <c r="B889" s="8" t="s">
        <v>8</v>
      </c>
    </row>
    <row r="890">
      <c r="B890" s="8" t="s">
        <v>8</v>
      </c>
    </row>
    <row r="891">
      <c r="B891" s="8" t="s">
        <v>8</v>
      </c>
    </row>
    <row r="892">
      <c r="B892" s="8" t="s">
        <v>8</v>
      </c>
    </row>
    <row r="893">
      <c r="B893" s="8" t="s">
        <v>8</v>
      </c>
    </row>
    <row r="894">
      <c r="B894" s="8" t="s">
        <v>8</v>
      </c>
    </row>
    <row r="895">
      <c r="B895" s="8" t="s">
        <v>8</v>
      </c>
    </row>
    <row r="896">
      <c r="B896" s="8" t="s">
        <v>8</v>
      </c>
    </row>
    <row r="897">
      <c r="B897" s="8" t="s">
        <v>8</v>
      </c>
    </row>
    <row r="898">
      <c r="B898" s="8" t="s">
        <v>8</v>
      </c>
    </row>
    <row r="899">
      <c r="B899" s="8" t="s">
        <v>8</v>
      </c>
    </row>
    <row r="900">
      <c r="B900" s="8" t="s">
        <v>8</v>
      </c>
    </row>
    <row r="901">
      <c r="B901" s="8" t="s">
        <v>8</v>
      </c>
    </row>
    <row r="902">
      <c r="B902" s="8" t="s">
        <v>8</v>
      </c>
    </row>
    <row r="903">
      <c r="B903" s="8" t="s">
        <v>8</v>
      </c>
    </row>
    <row r="904">
      <c r="B904" s="8" t="s">
        <v>8</v>
      </c>
    </row>
    <row r="905">
      <c r="B905" s="8" t="s">
        <v>8</v>
      </c>
    </row>
    <row r="906">
      <c r="B906" s="8" t="s">
        <v>8</v>
      </c>
    </row>
    <row r="907">
      <c r="B907" s="8" t="s">
        <v>8</v>
      </c>
    </row>
    <row r="908">
      <c r="B908" s="8" t="s">
        <v>8</v>
      </c>
    </row>
    <row r="909">
      <c r="B909" s="8" t="s">
        <v>8</v>
      </c>
    </row>
    <row r="910">
      <c r="B910" s="8" t="s">
        <v>8</v>
      </c>
    </row>
    <row r="911">
      <c r="B911" s="8" t="s">
        <v>8</v>
      </c>
    </row>
    <row r="912">
      <c r="B912" s="8" t="s">
        <v>8</v>
      </c>
    </row>
    <row r="913">
      <c r="B913" s="8" t="s">
        <v>8</v>
      </c>
    </row>
    <row r="914">
      <c r="B914" s="8" t="s">
        <v>8</v>
      </c>
    </row>
    <row r="915">
      <c r="B915" s="8" t="s">
        <v>8</v>
      </c>
    </row>
    <row r="916">
      <c r="B916" s="8" t="s">
        <v>8</v>
      </c>
    </row>
    <row r="917">
      <c r="B917" s="8" t="s">
        <v>8</v>
      </c>
    </row>
    <row r="918">
      <c r="B918" s="8" t="s">
        <v>8</v>
      </c>
    </row>
    <row r="919">
      <c r="B919" s="8" t="s">
        <v>8</v>
      </c>
    </row>
    <row r="920">
      <c r="B920" s="8" t="s">
        <v>8</v>
      </c>
    </row>
    <row r="921">
      <c r="B921" s="8" t="s">
        <v>8</v>
      </c>
    </row>
    <row r="922">
      <c r="B922" s="8" t="s">
        <v>8</v>
      </c>
    </row>
    <row r="923">
      <c r="B923" s="8" t="s">
        <v>8</v>
      </c>
    </row>
    <row r="924">
      <c r="B924" s="8" t="s">
        <v>8</v>
      </c>
    </row>
    <row r="925">
      <c r="B925" s="8" t="s">
        <v>8</v>
      </c>
    </row>
    <row r="926">
      <c r="B926" s="8" t="s">
        <v>8</v>
      </c>
    </row>
    <row r="927">
      <c r="B927" s="8" t="s">
        <v>8</v>
      </c>
    </row>
    <row r="928">
      <c r="B928" s="8" t="s">
        <v>8</v>
      </c>
    </row>
    <row r="929">
      <c r="B929" s="8" t="s">
        <v>8</v>
      </c>
    </row>
    <row r="930">
      <c r="B930" s="8" t="s">
        <v>8</v>
      </c>
    </row>
    <row r="931">
      <c r="B931" s="8" t="s">
        <v>8</v>
      </c>
    </row>
    <row r="932">
      <c r="B932" s="8" t="s">
        <v>8</v>
      </c>
    </row>
    <row r="933">
      <c r="B933" s="8" t="s">
        <v>8</v>
      </c>
    </row>
    <row r="934">
      <c r="B934" s="8" t="s">
        <v>8</v>
      </c>
    </row>
    <row r="935">
      <c r="B935" s="8" t="s">
        <v>8</v>
      </c>
    </row>
    <row r="936">
      <c r="B936" s="8" t="s">
        <v>8</v>
      </c>
    </row>
    <row r="937">
      <c r="B937" s="8" t="s">
        <v>8</v>
      </c>
    </row>
    <row r="938">
      <c r="B938" s="8" t="s">
        <v>8</v>
      </c>
    </row>
    <row r="939">
      <c r="B939" s="8" t="s">
        <v>8</v>
      </c>
    </row>
    <row r="940">
      <c r="B940" s="8" t="s">
        <v>8</v>
      </c>
    </row>
    <row r="941">
      <c r="B941" s="8" t="s">
        <v>8</v>
      </c>
    </row>
    <row r="942">
      <c r="B942" s="8" t="s">
        <v>8</v>
      </c>
    </row>
    <row r="943">
      <c r="B943" s="8" t="s">
        <v>8</v>
      </c>
    </row>
    <row r="944">
      <c r="B944" s="8" t="s">
        <v>8</v>
      </c>
    </row>
    <row r="945">
      <c r="B945" s="8" t="s">
        <v>8</v>
      </c>
    </row>
    <row r="946">
      <c r="B946" s="8" t="s">
        <v>8</v>
      </c>
    </row>
    <row r="947">
      <c r="B947" s="8" t="s">
        <v>8</v>
      </c>
    </row>
    <row r="948">
      <c r="B948" s="8" t="s">
        <v>8</v>
      </c>
    </row>
    <row r="949">
      <c r="B949" s="8" t="s">
        <v>8</v>
      </c>
    </row>
    <row r="950">
      <c r="B950" s="8" t="s">
        <v>8</v>
      </c>
    </row>
    <row r="951">
      <c r="B951" s="8" t="s">
        <v>8</v>
      </c>
    </row>
    <row r="952">
      <c r="B952" s="8" t="s">
        <v>8</v>
      </c>
    </row>
    <row r="953">
      <c r="B953" s="8" t="s">
        <v>8</v>
      </c>
    </row>
    <row r="954">
      <c r="B954" s="8" t="s">
        <v>8</v>
      </c>
    </row>
    <row r="955">
      <c r="B955" s="8" t="s">
        <v>8</v>
      </c>
    </row>
    <row r="956">
      <c r="B956" s="8" t="s">
        <v>8</v>
      </c>
    </row>
    <row r="957">
      <c r="B957" s="8" t="s">
        <v>8</v>
      </c>
    </row>
    <row r="958">
      <c r="B958" s="8" t="s">
        <v>8</v>
      </c>
    </row>
    <row r="959">
      <c r="B959" s="8" t="s">
        <v>8</v>
      </c>
    </row>
    <row r="960">
      <c r="B960" s="8" t="s">
        <v>8</v>
      </c>
    </row>
    <row r="961">
      <c r="B961" s="8" t="s">
        <v>8</v>
      </c>
    </row>
    <row r="962">
      <c r="B962" s="8" t="s">
        <v>8</v>
      </c>
    </row>
    <row r="963">
      <c r="B963" s="8" t="s">
        <v>8</v>
      </c>
    </row>
    <row r="964">
      <c r="B964" s="8" t="s">
        <v>8</v>
      </c>
    </row>
    <row r="965">
      <c r="B965" s="8" t="s">
        <v>8</v>
      </c>
    </row>
    <row r="966">
      <c r="B966" s="8" t="s">
        <v>8</v>
      </c>
    </row>
    <row r="967">
      <c r="B967" s="8" t="s">
        <v>8</v>
      </c>
    </row>
    <row r="968">
      <c r="B968" s="8" t="s">
        <v>8</v>
      </c>
    </row>
    <row r="969">
      <c r="B969" s="8" t="s">
        <v>8</v>
      </c>
    </row>
    <row r="970">
      <c r="B970" s="8" t="s">
        <v>8</v>
      </c>
    </row>
    <row r="971">
      <c r="B971" s="8" t="s">
        <v>8</v>
      </c>
    </row>
    <row r="972">
      <c r="B972" s="8" t="s">
        <v>8</v>
      </c>
    </row>
    <row r="973">
      <c r="B973" s="8" t="s">
        <v>8</v>
      </c>
    </row>
    <row r="974">
      <c r="B974" s="8" t="s">
        <v>8</v>
      </c>
    </row>
    <row r="975">
      <c r="B975" s="8" t="s">
        <v>8</v>
      </c>
    </row>
    <row r="976">
      <c r="B976" s="8" t="s">
        <v>8</v>
      </c>
    </row>
    <row r="977">
      <c r="B977" s="8" t="s">
        <v>8</v>
      </c>
    </row>
    <row r="978">
      <c r="B978" s="8" t="s">
        <v>8</v>
      </c>
    </row>
    <row r="979">
      <c r="B979" s="8" t="s">
        <v>8</v>
      </c>
    </row>
    <row r="980">
      <c r="B980" s="8" t="s">
        <v>8</v>
      </c>
    </row>
    <row r="981">
      <c r="B981" s="8" t="s">
        <v>8</v>
      </c>
    </row>
    <row r="982">
      <c r="B982" s="8" t="s">
        <v>8</v>
      </c>
    </row>
    <row r="983">
      <c r="B983" s="8" t="s">
        <v>8</v>
      </c>
    </row>
    <row r="984">
      <c r="B984" s="8" t="s">
        <v>8</v>
      </c>
    </row>
    <row r="985">
      <c r="B985" s="8" t="s">
        <v>8</v>
      </c>
    </row>
    <row r="986">
      <c r="B986" s="8" t="s">
        <v>8</v>
      </c>
    </row>
    <row r="987">
      <c r="B987" s="8" t="s">
        <v>8</v>
      </c>
    </row>
    <row r="988">
      <c r="B988" s="8" t="s">
        <v>8</v>
      </c>
    </row>
    <row r="989">
      <c r="B989" s="8" t="s">
        <v>8</v>
      </c>
    </row>
    <row r="990">
      <c r="B990" s="8" t="s">
        <v>8</v>
      </c>
    </row>
    <row r="991">
      <c r="B991" s="8" t="s">
        <v>8</v>
      </c>
    </row>
    <row r="992">
      <c r="B992" s="8" t="s">
        <v>8</v>
      </c>
    </row>
    <row r="993">
      <c r="B993" s="8" t="s">
        <v>8</v>
      </c>
    </row>
    <row r="994">
      <c r="B994" s="8" t="s">
        <v>8</v>
      </c>
    </row>
    <row r="995">
      <c r="B995" s="8" t="s">
        <v>8</v>
      </c>
    </row>
    <row r="996">
      <c r="B996" s="8" t="s">
        <v>8</v>
      </c>
    </row>
    <row r="997">
      <c r="B997" s="8" t="s">
        <v>8</v>
      </c>
    </row>
    <row r="998">
      <c r="B998" s="8" t="s">
        <v>8</v>
      </c>
    </row>
    <row r="999">
      <c r="B999" s="8" t="s">
        <v>8</v>
      </c>
    </row>
    <row r="1000">
      <c r="B1000" s="8" t="s">
        <v>8</v>
      </c>
    </row>
    <row r="1001">
      <c r="B1001" s="8" t="s">
        <v>8</v>
      </c>
    </row>
    <row r="1002">
      <c r="B1002" s="8" t="s">
        <v>8</v>
      </c>
    </row>
    <row r="1003">
      <c r="B1003" s="8" t="s">
        <v>8</v>
      </c>
    </row>
    <row r="1004">
      <c r="B1004" s="8" t="s">
        <v>8</v>
      </c>
    </row>
    <row r="1005">
      <c r="B1005" s="8" t="s">
        <v>8</v>
      </c>
    </row>
    <row r="1006">
      <c r="B1006" s="8" t="s">
        <v>8</v>
      </c>
    </row>
    <row r="1007">
      <c r="B1007" s="8" t="s">
        <v>8</v>
      </c>
    </row>
    <row r="1008">
      <c r="B1008" s="8" t="s">
        <v>8</v>
      </c>
    </row>
    <row r="1009">
      <c r="B1009" s="8" t="s">
        <v>8</v>
      </c>
    </row>
    <row r="1010">
      <c r="B1010" s="8" t="s">
        <v>8</v>
      </c>
    </row>
    <row r="1011">
      <c r="B1011" s="8" t="s">
        <v>8</v>
      </c>
    </row>
    <row r="1012">
      <c r="B1012" s="8" t="s">
        <v>8</v>
      </c>
    </row>
    <row r="1013">
      <c r="B1013" s="8" t="s">
        <v>8</v>
      </c>
    </row>
    <row r="1014">
      <c r="B1014" s="8" t="s">
        <v>8</v>
      </c>
    </row>
    <row r="1015">
      <c r="B1015" s="8" t="s">
        <v>8</v>
      </c>
    </row>
    <row r="1016">
      <c r="B1016" s="8" t="s">
        <v>8</v>
      </c>
    </row>
    <row r="1017">
      <c r="B1017" s="8" t="s">
        <v>8</v>
      </c>
    </row>
    <row r="1018">
      <c r="B1018" s="8" t="s">
        <v>8</v>
      </c>
    </row>
    <row r="1019">
      <c r="B1019" s="8" t="s">
        <v>8</v>
      </c>
    </row>
    <row r="1020">
      <c r="B1020" s="8" t="s">
        <v>8</v>
      </c>
    </row>
    <row r="1021">
      <c r="B1021" s="8" t="s">
        <v>8</v>
      </c>
    </row>
    <row r="1022">
      <c r="B1022" s="8" t="s">
        <v>8</v>
      </c>
    </row>
    <row r="1023">
      <c r="B1023" s="8" t="s">
        <v>8</v>
      </c>
    </row>
    <row r="1024">
      <c r="B1024" s="8" t="s">
        <v>8</v>
      </c>
    </row>
    <row r="1025">
      <c r="B1025" s="8" t="s">
        <v>8</v>
      </c>
    </row>
    <row r="1026">
      <c r="B1026" s="8" t="s">
        <v>8</v>
      </c>
    </row>
    <row r="1027">
      <c r="B1027" s="8" t="s">
        <v>8</v>
      </c>
    </row>
    <row r="1028">
      <c r="B1028" s="8" t="s">
        <v>8</v>
      </c>
    </row>
    <row r="1029">
      <c r="B1029" s="8" t="s">
        <v>8</v>
      </c>
    </row>
    <row r="1030">
      <c r="B1030" s="8" t="s">
        <v>8</v>
      </c>
    </row>
    <row r="1031">
      <c r="B1031" s="8" t="s">
        <v>8</v>
      </c>
    </row>
    <row r="1032">
      <c r="B1032" s="8" t="s">
        <v>8</v>
      </c>
    </row>
    <row r="1033">
      <c r="B1033" s="8" t="s">
        <v>8</v>
      </c>
    </row>
    <row r="1034">
      <c r="B1034" s="8" t="s">
        <v>8</v>
      </c>
    </row>
    <row r="1035">
      <c r="B1035" s="8" t="s">
        <v>8</v>
      </c>
    </row>
    <row r="1036">
      <c r="B1036" s="8" t="s">
        <v>8</v>
      </c>
    </row>
    <row r="1037">
      <c r="B1037" s="8" t="s">
        <v>8</v>
      </c>
    </row>
    <row r="1038">
      <c r="B1038" s="8" t="s">
        <v>8</v>
      </c>
    </row>
    <row r="1039">
      <c r="B1039" s="8" t="s">
        <v>8</v>
      </c>
    </row>
    <row r="1040">
      <c r="B1040" s="8" t="s">
        <v>8</v>
      </c>
    </row>
    <row r="1041">
      <c r="B1041" s="8" t="s">
        <v>8</v>
      </c>
    </row>
    <row r="1042">
      <c r="B1042" s="8" t="s">
        <v>8</v>
      </c>
    </row>
    <row r="1043">
      <c r="B1043" s="8" t="s">
        <v>8</v>
      </c>
    </row>
    <row r="1044">
      <c r="B1044" s="8" t="s">
        <v>8</v>
      </c>
    </row>
    <row r="1045">
      <c r="B1045" s="8" t="s">
        <v>8</v>
      </c>
    </row>
    <row r="1046">
      <c r="B1046" s="8" t="s">
        <v>8</v>
      </c>
    </row>
    <row r="1047">
      <c r="B1047" s="8" t="s">
        <v>8</v>
      </c>
    </row>
    <row r="1048">
      <c r="B1048" s="8" t="s">
        <v>8</v>
      </c>
    </row>
    <row r="1049">
      <c r="B1049" s="8" t="s">
        <v>8</v>
      </c>
    </row>
    <row r="1050">
      <c r="B1050" s="8" t="s">
        <v>8</v>
      </c>
    </row>
    <row r="1051">
      <c r="B1051" s="8" t="s">
        <v>8</v>
      </c>
    </row>
    <row r="1052">
      <c r="B1052" s="8" t="s">
        <v>8</v>
      </c>
    </row>
    <row r="1053">
      <c r="B1053" s="8" t="s">
        <v>8</v>
      </c>
    </row>
    <row r="1054">
      <c r="B1054" s="8" t="s">
        <v>8</v>
      </c>
    </row>
    <row r="1055">
      <c r="B1055" s="8" t="s">
        <v>8</v>
      </c>
    </row>
    <row r="1056">
      <c r="B1056" s="8" t="s">
        <v>8</v>
      </c>
    </row>
    <row r="1057">
      <c r="B1057" s="8" t="s">
        <v>8</v>
      </c>
    </row>
    <row r="1058">
      <c r="B1058" s="8" t="s">
        <v>8</v>
      </c>
    </row>
    <row r="1059">
      <c r="B1059" s="8" t="s">
        <v>8</v>
      </c>
    </row>
    <row r="1060">
      <c r="B1060" s="8" t="s">
        <v>8</v>
      </c>
    </row>
    <row r="1061">
      <c r="B1061" s="8" t="s">
        <v>8</v>
      </c>
    </row>
    <row r="1062">
      <c r="B1062" s="8" t="s">
        <v>8</v>
      </c>
    </row>
    <row r="1063">
      <c r="B1063" s="8" t="s">
        <v>8</v>
      </c>
    </row>
    <row r="1064">
      <c r="B1064" s="8" t="s">
        <v>8</v>
      </c>
    </row>
    <row r="1065">
      <c r="B1065" s="8" t="s">
        <v>8</v>
      </c>
    </row>
    <row r="1066">
      <c r="B1066" s="8" t="s">
        <v>8</v>
      </c>
    </row>
    <row r="1067">
      <c r="B1067" s="8" t="s">
        <v>8</v>
      </c>
    </row>
    <row r="1068">
      <c r="B1068" s="8" t="s">
        <v>8</v>
      </c>
    </row>
    <row r="1069">
      <c r="B1069" s="8" t="s">
        <v>8</v>
      </c>
    </row>
    <row r="1070">
      <c r="B1070" s="8" t="s">
        <v>8</v>
      </c>
    </row>
    <row r="1071">
      <c r="B1071" s="8" t="s">
        <v>8</v>
      </c>
    </row>
    <row r="1072">
      <c r="B1072" s="8" t="s">
        <v>8</v>
      </c>
    </row>
    <row r="1073">
      <c r="B1073" s="8" t="s">
        <v>8</v>
      </c>
    </row>
    <row r="1074">
      <c r="B1074" s="8" t="s">
        <v>8</v>
      </c>
    </row>
    <row r="1075">
      <c r="B1075" s="8" t="s">
        <v>8</v>
      </c>
    </row>
    <row r="1076">
      <c r="B1076" s="8" t="s">
        <v>8</v>
      </c>
    </row>
    <row r="1077">
      <c r="B1077" s="8" t="s">
        <v>8</v>
      </c>
    </row>
    <row r="1078">
      <c r="B1078" s="8" t="s">
        <v>8</v>
      </c>
    </row>
    <row r="1079">
      <c r="B1079" s="8" t="s">
        <v>8</v>
      </c>
    </row>
    <row r="1080">
      <c r="B1080" s="8" t="s">
        <v>8</v>
      </c>
    </row>
    <row r="1081">
      <c r="B1081" s="8" t="s">
        <v>8</v>
      </c>
    </row>
    <row r="1082">
      <c r="B1082" s="8" t="s">
        <v>8</v>
      </c>
    </row>
    <row r="1083">
      <c r="B1083" s="8" t="s">
        <v>8</v>
      </c>
    </row>
    <row r="1084">
      <c r="B1084" s="8" t="s">
        <v>8</v>
      </c>
    </row>
    <row r="1085">
      <c r="B1085" s="8" t="s">
        <v>8</v>
      </c>
    </row>
    <row r="1086">
      <c r="B1086" s="8" t="s">
        <v>8</v>
      </c>
    </row>
    <row r="1087">
      <c r="B1087" s="8" t="s">
        <v>8</v>
      </c>
    </row>
    <row r="1088">
      <c r="B1088" s="8" t="s">
        <v>8</v>
      </c>
    </row>
    <row r="1089">
      <c r="B1089" s="8" t="s">
        <v>8</v>
      </c>
    </row>
    <row r="1090">
      <c r="B1090" s="8" t="s">
        <v>8</v>
      </c>
    </row>
    <row r="1091">
      <c r="B1091" s="8" t="s">
        <v>8</v>
      </c>
    </row>
    <row r="1092">
      <c r="B1092" s="8" t="s">
        <v>8</v>
      </c>
    </row>
    <row r="1093">
      <c r="B1093" s="8" t="s">
        <v>8</v>
      </c>
    </row>
    <row r="1094">
      <c r="B1094" s="8" t="s">
        <v>8</v>
      </c>
    </row>
    <row r="1095">
      <c r="B1095" s="8" t="s">
        <v>8</v>
      </c>
    </row>
    <row r="1096">
      <c r="B1096" s="8" t="s">
        <v>8</v>
      </c>
    </row>
    <row r="1097">
      <c r="B1097" s="8" t="s">
        <v>8</v>
      </c>
    </row>
    <row r="1098">
      <c r="B1098" s="8" t="s">
        <v>8</v>
      </c>
    </row>
    <row r="1099">
      <c r="B1099" s="8" t="s">
        <v>8</v>
      </c>
    </row>
    <row r="1100">
      <c r="B1100" s="8" t="s">
        <v>8</v>
      </c>
    </row>
    <row r="1101">
      <c r="B1101" s="8" t="s">
        <v>8</v>
      </c>
    </row>
    <row r="1102">
      <c r="B1102" s="8" t="s">
        <v>8</v>
      </c>
    </row>
    <row r="1103">
      <c r="B1103" s="8" t="s">
        <v>8</v>
      </c>
    </row>
    <row r="1104">
      <c r="B1104" s="8" t="s">
        <v>8</v>
      </c>
    </row>
    <row r="1105">
      <c r="B1105" s="8" t="s">
        <v>8</v>
      </c>
    </row>
    <row r="1106">
      <c r="B1106" s="8" t="s">
        <v>8</v>
      </c>
    </row>
    <row r="1107">
      <c r="B1107" s="8" t="s">
        <v>8</v>
      </c>
    </row>
    <row r="1108">
      <c r="B1108" s="8" t="s">
        <v>8</v>
      </c>
    </row>
    <row r="1109">
      <c r="B1109" s="8" t="s">
        <v>8</v>
      </c>
    </row>
    <row r="1110">
      <c r="B1110" s="8" t="s">
        <v>8</v>
      </c>
    </row>
    <row r="1111">
      <c r="B1111" s="8" t="s">
        <v>8</v>
      </c>
    </row>
    <row r="1112">
      <c r="B1112" s="8" t="s">
        <v>8</v>
      </c>
    </row>
    <row r="1113">
      <c r="B1113" s="8" t="s">
        <v>8</v>
      </c>
    </row>
    <row r="1114">
      <c r="B1114" s="8" t="s">
        <v>8</v>
      </c>
    </row>
    <row r="1115">
      <c r="B1115" s="8" t="s">
        <v>8</v>
      </c>
    </row>
    <row r="1116">
      <c r="B1116" s="8" t="s">
        <v>8</v>
      </c>
    </row>
    <row r="1117">
      <c r="B1117" s="8" t="s">
        <v>8</v>
      </c>
    </row>
    <row r="1118">
      <c r="B1118" s="8" t="s">
        <v>8</v>
      </c>
    </row>
    <row r="1119">
      <c r="B1119" s="8" t="s">
        <v>8</v>
      </c>
    </row>
    <row r="1120">
      <c r="B1120" s="8" t="s">
        <v>8</v>
      </c>
    </row>
    <row r="1121">
      <c r="B1121" s="8" t="s">
        <v>8</v>
      </c>
    </row>
    <row r="1122">
      <c r="B1122" s="8" t="s">
        <v>8</v>
      </c>
    </row>
    <row r="1123">
      <c r="B1123" s="8" t="s">
        <v>8</v>
      </c>
    </row>
    <row r="1124">
      <c r="B1124" s="8" t="s">
        <v>8</v>
      </c>
    </row>
    <row r="1125">
      <c r="B1125" s="8" t="s">
        <v>8</v>
      </c>
    </row>
    <row r="1126">
      <c r="B1126" s="8" t="s">
        <v>8</v>
      </c>
    </row>
    <row r="1127">
      <c r="B1127" s="8" t="s">
        <v>8</v>
      </c>
    </row>
    <row r="1128">
      <c r="B1128" s="8" t="s">
        <v>8</v>
      </c>
    </row>
    <row r="1129">
      <c r="B1129" s="8" t="s">
        <v>8</v>
      </c>
    </row>
    <row r="1130">
      <c r="B1130" s="8" t="s">
        <v>8</v>
      </c>
    </row>
    <row r="1131">
      <c r="B1131" s="8" t="s">
        <v>8</v>
      </c>
    </row>
    <row r="1132">
      <c r="B1132" s="8" t="s">
        <v>8</v>
      </c>
    </row>
    <row r="1133">
      <c r="B1133" s="8" t="s">
        <v>8</v>
      </c>
    </row>
    <row r="1134">
      <c r="B1134" s="8" t="s">
        <v>8</v>
      </c>
    </row>
    <row r="1135">
      <c r="B1135" s="8" t="s">
        <v>8</v>
      </c>
    </row>
    <row r="1136">
      <c r="B1136" s="8" t="s">
        <v>8</v>
      </c>
    </row>
    <row r="1137">
      <c r="B1137" s="8" t="s">
        <v>8</v>
      </c>
    </row>
    <row r="1138">
      <c r="B1138" s="8" t="s">
        <v>8</v>
      </c>
    </row>
    <row r="1139">
      <c r="B1139" s="8" t="s">
        <v>8</v>
      </c>
    </row>
    <row r="1140">
      <c r="B1140" s="8" t="s">
        <v>8</v>
      </c>
    </row>
    <row r="1141">
      <c r="B1141" s="8" t="s">
        <v>8</v>
      </c>
    </row>
    <row r="1142">
      <c r="B1142" s="8" t="s">
        <v>8</v>
      </c>
    </row>
    <row r="1143">
      <c r="B1143" s="8" t="s">
        <v>8</v>
      </c>
    </row>
    <row r="1144">
      <c r="B1144" s="8" t="s">
        <v>8</v>
      </c>
    </row>
    <row r="1145">
      <c r="B1145" s="8" t="s">
        <v>8</v>
      </c>
    </row>
    <row r="1146">
      <c r="B1146" s="8" t="s">
        <v>8</v>
      </c>
    </row>
    <row r="1147">
      <c r="B1147" s="8" t="s">
        <v>8</v>
      </c>
    </row>
    <row r="1148">
      <c r="B1148" s="8" t="s">
        <v>8</v>
      </c>
    </row>
    <row r="1149">
      <c r="B1149" s="8" t="s">
        <v>8</v>
      </c>
    </row>
    <row r="1150">
      <c r="B1150" s="8" t="s">
        <v>8</v>
      </c>
    </row>
    <row r="1151">
      <c r="B1151" s="8" t="s">
        <v>8</v>
      </c>
    </row>
    <row r="1152">
      <c r="B1152" s="8" t="s">
        <v>8</v>
      </c>
    </row>
    <row r="1153">
      <c r="B1153" s="8" t="s">
        <v>8</v>
      </c>
    </row>
    <row r="1154">
      <c r="B1154" s="8" t="s">
        <v>8</v>
      </c>
    </row>
    <row r="1155">
      <c r="B1155" s="8" t="s">
        <v>8</v>
      </c>
    </row>
    <row r="1156">
      <c r="B1156" s="8" t="s">
        <v>8</v>
      </c>
    </row>
    <row r="1157">
      <c r="B1157" s="8" t="s">
        <v>8</v>
      </c>
    </row>
    <row r="1158">
      <c r="B1158" s="8" t="s">
        <v>8</v>
      </c>
    </row>
    <row r="1159">
      <c r="B1159" s="8" t="s">
        <v>8</v>
      </c>
    </row>
    <row r="1160">
      <c r="B1160" s="8" t="s">
        <v>8</v>
      </c>
    </row>
    <row r="1161">
      <c r="B1161" s="8" t="s">
        <v>8</v>
      </c>
    </row>
    <row r="1162">
      <c r="B1162" s="8" t="s">
        <v>8</v>
      </c>
    </row>
    <row r="1163">
      <c r="B1163" s="8" t="s">
        <v>8</v>
      </c>
    </row>
    <row r="1164">
      <c r="B1164" s="8" t="s">
        <v>8</v>
      </c>
    </row>
    <row r="1165">
      <c r="B1165" s="8" t="s">
        <v>8</v>
      </c>
    </row>
    <row r="1166">
      <c r="B1166" s="8" t="s">
        <v>8</v>
      </c>
    </row>
    <row r="1167">
      <c r="B1167" s="8" t="s">
        <v>8</v>
      </c>
    </row>
    <row r="1168">
      <c r="B1168" s="8" t="s">
        <v>8</v>
      </c>
    </row>
    <row r="1169">
      <c r="B1169" s="8" t="s">
        <v>8</v>
      </c>
    </row>
    <row r="1170">
      <c r="B1170" s="8" t="s">
        <v>8</v>
      </c>
    </row>
    <row r="1171">
      <c r="B1171" s="8" t="s">
        <v>8</v>
      </c>
    </row>
    <row r="1172">
      <c r="B1172" s="8" t="s">
        <v>8</v>
      </c>
    </row>
    <row r="1173">
      <c r="B1173" s="8" t="s">
        <v>8</v>
      </c>
    </row>
    <row r="1174">
      <c r="B1174" s="8" t="s">
        <v>8</v>
      </c>
    </row>
    <row r="1175">
      <c r="B1175" s="8" t="s">
        <v>8</v>
      </c>
    </row>
    <row r="1176">
      <c r="B1176" s="8" t="s">
        <v>8</v>
      </c>
    </row>
    <row r="1177">
      <c r="B1177" s="8" t="s">
        <v>8</v>
      </c>
    </row>
    <row r="1178">
      <c r="B1178" s="8" t="s">
        <v>8</v>
      </c>
    </row>
    <row r="1179">
      <c r="B1179" s="8" t="s">
        <v>8</v>
      </c>
    </row>
    <row r="1180">
      <c r="B1180" s="8" t="s">
        <v>8</v>
      </c>
    </row>
    <row r="1181">
      <c r="B1181" s="8" t="s">
        <v>8</v>
      </c>
    </row>
    <row r="1182">
      <c r="B1182" s="8" t="s">
        <v>8</v>
      </c>
    </row>
    <row r="1183">
      <c r="B1183" s="8" t="s">
        <v>8</v>
      </c>
    </row>
    <row r="1184">
      <c r="B1184" s="8" t="s">
        <v>8</v>
      </c>
    </row>
    <row r="1185">
      <c r="B1185" s="8" t="s">
        <v>8</v>
      </c>
    </row>
    <row r="1186">
      <c r="B1186" s="8" t="s">
        <v>8</v>
      </c>
    </row>
    <row r="1187">
      <c r="B1187" s="8" t="s">
        <v>8</v>
      </c>
    </row>
    <row r="1188">
      <c r="B1188" s="8" t="s">
        <v>8</v>
      </c>
    </row>
    <row r="1189">
      <c r="B1189" s="8" t="s">
        <v>8</v>
      </c>
    </row>
    <row r="1190">
      <c r="B1190" s="8" t="s">
        <v>8</v>
      </c>
    </row>
    <row r="1191">
      <c r="B1191" s="8" t="s">
        <v>8</v>
      </c>
    </row>
    <row r="1192">
      <c r="B1192" s="8" t="s">
        <v>8</v>
      </c>
    </row>
    <row r="1193">
      <c r="B1193" s="8" t="s">
        <v>8</v>
      </c>
    </row>
    <row r="1194">
      <c r="B1194" s="8" t="s">
        <v>8</v>
      </c>
    </row>
    <row r="1195">
      <c r="B1195" s="8" t="s">
        <v>8</v>
      </c>
    </row>
    <row r="1196">
      <c r="B1196" s="8" t="s">
        <v>8</v>
      </c>
    </row>
    <row r="1197">
      <c r="B1197" s="8" t="s">
        <v>8</v>
      </c>
    </row>
    <row r="1198">
      <c r="B1198" s="8" t="s">
        <v>8</v>
      </c>
    </row>
    <row r="1199">
      <c r="B1199" s="8" t="s">
        <v>8</v>
      </c>
    </row>
    <row r="1200">
      <c r="B1200" s="8" t="s">
        <v>8</v>
      </c>
    </row>
    <row r="1201">
      <c r="B1201" s="8" t="s">
        <v>8</v>
      </c>
    </row>
    <row r="1202">
      <c r="B1202" s="8" t="s">
        <v>8</v>
      </c>
    </row>
    <row r="1203">
      <c r="B1203" s="8" t="s">
        <v>8</v>
      </c>
    </row>
    <row r="1204">
      <c r="B1204" s="8" t="s">
        <v>8</v>
      </c>
    </row>
    <row r="1205">
      <c r="B1205" s="8" t="s">
        <v>8</v>
      </c>
    </row>
    <row r="1206">
      <c r="B1206" s="8" t="s">
        <v>8</v>
      </c>
    </row>
    <row r="1207">
      <c r="B1207" s="8" t="s">
        <v>8</v>
      </c>
    </row>
    <row r="1208">
      <c r="B1208" s="8" t="s">
        <v>8</v>
      </c>
    </row>
    <row r="1209">
      <c r="B1209" s="8" t="s">
        <v>8</v>
      </c>
    </row>
    <row r="1210">
      <c r="B1210" s="8" t="s">
        <v>8</v>
      </c>
    </row>
    <row r="1211">
      <c r="B1211" s="8" t="s">
        <v>8</v>
      </c>
    </row>
    <row r="1212">
      <c r="B1212" s="8" t="s">
        <v>8</v>
      </c>
    </row>
    <row r="1213">
      <c r="B1213" s="8" t="s">
        <v>8</v>
      </c>
    </row>
    <row r="1214">
      <c r="B1214" s="8" t="s">
        <v>8</v>
      </c>
    </row>
    <row r="1215">
      <c r="B1215" s="8" t="s">
        <v>8</v>
      </c>
    </row>
    <row r="1216">
      <c r="B1216" s="8" t="s">
        <v>8</v>
      </c>
    </row>
    <row r="1217">
      <c r="B1217" s="8" t="s">
        <v>8</v>
      </c>
    </row>
    <row r="1218">
      <c r="B1218" s="8" t="s">
        <v>8</v>
      </c>
    </row>
    <row r="1219">
      <c r="B1219" s="8" t="s">
        <v>8</v>
      </c>
    </row>
    <row r="1220">
      <c r="B1220" s="8" t="s">
        <v>8</v>
      </c>
    </row>
    <row r="1221">
      <c r="B1221" s="8" t="s">
        <v>8</v>
      </c>
    </row>
    <row r="1222">
      <c r="B1222" s="8" t="s">
        <v>8</v>
      </c>
    </row>
    <row r="1223">
      <c r="B1223" s="8" t="s">
        <v>8</v>
      </c>
    </row>
    <row r="1224">
      <c r="B1224" s="8" t="s">
        <v>8</v>
      </c>
    </row>
    <row r="1225">
      <c r="B1225" s="8" t="s">
        <v>8</v>
      </c>
    </row>
    <row r="1226">
      <c r="B1226" s="8" t="s">
        <v>8</v>
      </c>
    </row>
    <row r="1227">
      <c r="B1227" s="8" t="s">
        <v>8</v>
      </c>
    </row>
    <row r="1228">
      <c r="B1228" s="8" t="s">
        <v>8</v>
      </c>
    </row>
    <row r="1229">
      <c r="B1229" s="8" t="s">
        <v>8</v>
      </c>
    </row>
    <row r="1230">
      <c r="B1230" s="8" t="s">
        <v>8</v>
      </c>
    </row>
    <row r="1231">
      <c r="B1231" s="8" t="s">
        <v>8</v>
      </c>
    </row>
    <row r="1232">
      <c r="B1232" s="8" t="s">
        <v>8</v>
      </c>
    </row>
    <row r="1233">
      <c r="B1233" s="8" t="s">
        <v>8</v>
      </c>
    </row>
    <row r="1234">
      <c r="B1234" s="8" t="s">
        <v>8</v>
      </c>
    </row>
    <row r="1235">
      <c r="B1235" s="8" t="s">
        <v>8</v>
      </c>
    </row>
    <row r="1236">
      <c r="B1236" s="8" t="s">
        <v>8</v>
      </c>
    </row>
    <row r="1237">
      <c r="B1237" s="8" t="s">
        <v>8</v>
      </c>
    </row>
    <row r="1238">
      <c r="B1238" s="8" t="s">
        <v>8</v>
      </c>
    </row>
    <row r="1239">
      <c r="B1239" s="8" t="s">
        <v>8</v>
      </c>
    </row>
    <row r="1240">
      <c r="B1240" s="8" t="s">
        <v>8</v>
      </c>
    </row>
    <row r="1241">
      <c r="B1241" s="8" t="s">
        <v>8</v>
      </c>
    </row>
    <row r="1242">
      <c r="B1242" s="8" t="s">
        <v>8</v>
      </c>
    </row>
    <row r="1243">
      <c r="B1243" s="8" t="s">
        <v>8</v>
      </c>
    </row>
    <row r="1244">
      <c r="B1244" s="8" t="s">
        <v>8</v>
      </c>
    </row>
    <row r="1245">
      <c r="B1245" s="8" t="s">
        <v>8</v>
      </c>
    </row>
    <row r="1246">
      <c r="B1246" s="8" t="s">
        <v>8</v>
      </c>
    </row>
    <row r="1247">
      <c r="B1247" s="8" t="s">
        <v>8</v>
      </c>
    </row>
    <row r="1248">
      <c r="B1248" s="8" t="s">
        <v>8</v>
      </c>
    </row>
    <row r="1249">
      <c r="B1249" s="8" t="s">
        <v>8</v>
      </c>
    </row>
    <row r="1250">
      <c r="B1250" s="8" t="s">
        <v>8</v>
      </c>
    </row>
    <row r="1251">
      <c r="B1251" s="8" t="s">
        <v>8</v>
      </c>
    </row>
    <row r="1252">
      <c r="B1252" s="8" t="s">
        <v>8</v>
      </c>
    </row>
    <row r="1253">
      <c r="B1253" s="8" t="s">
        <v>8</v>
      </c>
    </row>
    <row r="1254">
      <c r="B1254" s="8" t="s">
        <v>8</v>
      </c>
    </row>
    <row r="1255">
      <c r="B1255" s="8" t="s">
        <v>8</v>
      </c>
    </row>
    <row r="1256">
      <c r="B1256" s="8" t="s">
        <v>8</v>
      </c>
    </row>
    <row r="1257">
      <c r="B1257" s="8" t="s">
        <v>8</v>
      </c>
    </row>
    <row r="1258">
      <c r="B1258" s="8" t="s">
        <v>8</v>
      </c>
    </row>
    <row r="1259">
      <c r="B1259" s="8" t="s">
        <v>8</v>
      </c>
    </row>
    <row r="1260">
      <c r="B1260" s="8" t="s">
        <v>8</v>
      </c>
    </row>
    <row r="1261">
      <c r="B1261" s="8" t="s">
        <v>8</v>
      </c>
    </row>
    <row r="1262">
      <c r="B1262" s="8" t="s">
        <v>8</v>
      </c>
    </row>
    <row r="1263">
      <c r="B1263" s="8" t="s">
        <v>8</v>
      </c>
    </row>
    <row r="1264">
      <c r="B1264" s="8" t="s">
        <v>8</v>
      </c>
    </row>
    <row r="1265">
      <c r="B1265" s="8" t="s">
        <v>8</v>
      </c>
    </row>
    <row r="1266">
      <c r="B1266" s="8" t="s">
        <v>8</v>
      </c>
    </row>
    <row r="1267">
      <c r="B1267" s="8" t="s">
        <v>8</v>
      </c>
    </row>
    <row r="1268">
      <c r="B1268" s="8" t="s">
        <v>8</v>
      </c>
    </row>
    <row r="1269">
      <c r="B1269" s="8" t="s">
        <v>8</v>
      </c>
    </row>
    <row r="1270">
      <c r="B1270" s="8" t="s">
        <v>8</v>
      </c>
    </row>
    <row r="1271">
      <c r="B1271" s="8" t="s">
        <v>8</v>
      </c>
    </row>
    <row r="1272">
      <c r="B1272" s="8" t="s">
        <v>8</v>
      </c>
    </row>
    <row r="1273">
      <c r="B1273" s="8" t="s">
        <v>8</v>
      </c>
    </row>
    <row r="1274">
      <c r="B1274" s="8" t="s">
        <v>8</v>
      </c>
    </row>
    <row r="1275">
      <c r="B1275" s="8" t="s">
        <v>8</v>
      </c>
    </row>
    <row r="1276">
      <c r="B1276" s="8" t="s">
        <v>8</v>
      </c>
    </row>
    <row r="1277">
      <c r="B1277" s="8" t="s">
        <v>8</v>
      </c>
    </row>
    <row r="1278">
      <c r="B1278" s="8" t="s">
        <v>8</v>
      </c>
    </row>
    <row r="1279">
      <c r="B1279" s="8" t="s">
        <v>8</v>
      </c>
    </row>
    <row r="1280">
      <c r="B1280" s="8" t="s">
        <v>8</v>
      </c>
    </row>
    <row r="1281">
      <c r="B1281" s="8" t="s">
        <v>8</v>
      </c>
    </row>
    <row r="1282">
      <c r="B1282" s="8" t="s">
        <v>8</v>
      </c>
    </row>
    <row r="1283">
      <c r="B1283" s="8" t="s">
        <v>8</v>
      </c>
    </row>
    <row r="1284">
      <c r="B1284" s="8" t="s">
        <v>8</v>
      </c>
    </row>
    <row r="1285">
      <c r="B1285" s="8" t="s">
        <v>8</v>
      </c>
    </row>
    <row r="1286">
      <c r="B1286" s="8" t="s">
        <v>8</v>
      </c>
    </row>
    <row r="1287">
      <c r="B1287" s="8" t="s">
        <v>8</v>
      </c>
    </row>
    <row r="1288">
      <c r="B1288" s="8" t="s">
        <v>8</v>
      </c>
    </row>
    <row r="1289">
      <c r="B1289" s="8" t="s">
        <v>8</v>
      </c>
    </row>
    <row r="1290">
      <c r="B1290" s="8" t="s">
        <v>8</v>
      </c>
    </row>
    <row r="1291">
      <c r="B1291" s="8" t="s">
        <v>8</v>
      </c>
    </row>
    <row r="1292">
      <c r="B1292" s="8" t="s">
        <v>8</v>
      </c>
    </row>
    <row r="1293">
      <c r="B1293" s="8" t="s">
        <v>8</v>
      </c>
    </row>
    <row r="1294">
      <c r="B1294" s="8" t="s">
        <v>8</v>
      </c>
    </row>
    <row r="1295">
      <c r="B1295" s="8" t="s">
        <v>8</v>
      </c>
    </row>
    <row r="1296">
      <c r="B1296" s="8" t="s">
        <v>8</v>
      </c>
    </row>
    <row r="1297">
      <c r="B1297" s="8" t="s">
        <v>8</v>
      </c>
    </row>
    <row r="1298">
      <c r="B1298" s="8" t="s">
        <v>8</v>
      </c>
    </row>
    <row r="1299">
      <c r="B1299" s="8" t="s">
        <v>8</v>
      </c>
    </row>
    <row r="1300">
      <c r="B1300" s="8" t="s">
        <v>8</v>
      </c>
    </row>
    <row r="1301">
      <c r="B1301" s="8" t="s">
        <v>8</v>
      </c>
    </row>
    <row r="1302">
      <c r="B1302" s="8" t="s">
        <v>8</v>
      </c>
    </row>
    <row r="1303">
      <c r="B1303" s="8" t="s">
        <v>8</v>
      </c>
    </row>
    <row r="1304">
      <c r="B1304" s="8" t="s">
        <v>8</v>
      </c>
    </row>
    <row r="1305">
      <c r="B1305" s="8" t="s">
        <v>8</v>
      </c>
    </row>
    <row r="1306">
      <c r="B1306" s="8" t="s">
        <v>8</v>
      </c>
    </row>
    <row r="1307">
      <c r="B1307" s="8" t="s">
        <v>8</v>
      </c>
    </row>
    <row r="1308">
      <c r="B1308" s="8" t="s">
        <v>8</v>
      </c>
    </row>
    <row r="1309">
      <c r="B1309" s="8" t="s">
        <v>8</v>
      </c>
    </row>
    <row r="1310">
      <c r="B1310" s="8" t="s">
        <v>8</v>
      </c>
    </row>
    <row r="1311">
      <c r="B1311" s="8" t="s">
        <v>8</v>
      </c>
    </row>
    <row r="1312">
      <c r="B1312" s="8" t="s">
        <v>8</v>
      </c>
    </row>
    <row r="1313">
      <c r="B1313" s="8" t="s">
        <v>8</v>
      </c>
    </row>
    <row r="1314">
      <c r="B1314" s="8" t="s">
        <v>8</v>
      </c>
    </row>
    <row r="1315">
      <c r="B1315" s="8" t="s">
        <v>8</v>
      </c>
    </row>
    <row r="1316">
      <c r="B1316" s="8" t="s">
        <v>8</v>
      </c>
    </row>
    <row r="1317">
      <c r="B1317" s="8" t="s">
        <v>8</v>
      </c>
    </row>
    <row r="1318">
      <c r="B1318" s="8" t="s">
        <v>8</v>
      </c>
    </row>
    <row r="1319">
      <c r="B1319" s="8" t="s">
        <v>8</v>
      </c>
    </row>
    <row r="1320">
      <c r="B1320" s="8" t="s">
        <v>8</v>
      </c>
    </row>
    <row r="1321">
      <c r="B1321" s="8" t="s">
        <v>8</v>
      </c>
    </row>
    <row r="1322">
      <c r="B1322" s="8" t="s">
        <v>8</v>
      </c>
    </row>
    <row r="1323">
      <c r="B1323" s="8" t="s">
        <v>8</v>
      </c>
    </row>
    <row r="1324">
      <c r="B1324" s="8" t="s">
        <v>8</v>
      </c>
    </row>
    <row r="1325">
      <c r="B1325" s="8" t="s">
        <v>8</v>
      </c>
    </row>
    <row r="1326">
      <c r="B1326" s="8" t="s">
        <v>8</v>
      </c>
    </row>
    <row r="1327">
      <c r="B1327" s="8" t="s">
        <v>8</v>
      </c>
    </row>
    <row r="1328">
      <c r="B1328" s="8" t="s">
        <v>8</v>
      </c>
    </row>
    <row r="1329">
      <c r="B1329" s="8" t="s">
        <v>8</v>
      </c>
    </row>
    <row r="1330">
      <c r="B1330" s="8" t="s">
        <v>8</v>
      </c>
    </row>
    <row r="1331">
      <c r="B1331" s="8" t="s">
        <v>8</v>
      </c>
    </row>
    <row r="1332">
      <c r="B1332" s="8" t="s">
        <v>8</v>
      </c>
    </row>
    <row r="1333">
      <c r="B1333" s="8" t="s">
        <v>8</v>
      </c>
    </row>
    <row r="1334">
      <c r="B1334" s="8" t="s">
        <v>8</v>
      </c>
    </row>
    <row r="1335">
      <c r="B1335" s="8" t="s">
        <v>8</v>
      </c>
    </row>
    <row r="1336">
      <c r="B1336" s="8" t="s">
        <v>8</v>
      </c>
    </row>
    <row r="1337">
      <c r="B1337" s="8" t="s">
        <v>8</v>
      </c>
    </row>
    <row r="1338">
      <c r="B1338" s="8" t="s">
        <v>8</v>
      </c>
    </row>
    <row r="1339">
      <c r="B1339" s="8" t="s">
        <v>8</v>
      </c>
    </row>
    <row r="1340">
      <c r="B1340" s="8" t="s">
        <v>8</v>
      </c>
    </row>
    <row r="1341">
      <c r="B1341" s="8" t="s">
        <v>8</v>
      </c>
    </row>
    <row r="1342">
      <c r="B1342" s="8" t="s">
        <v>8</v>
      </c>
    </row>
    <row r="1343">
      <c r="B1343" s="8" t="s">
        <v>8</v>
      </c>
    </row>
    <row r="1344">
      <c r="B1344" s="8" t="s">
        <v>8</v>
      </c>
    </row>
    <row r="1345">
      <c r="B1345" s="8" t="s">
        <v>8</v>
      </c>
    </row>
    <row r="1346">
      <c r="B1346" s="8" t="s">
        <v>8</v>
      </c>
    </row>
    <row r="1347">
      <c r="B1347" s="8" t="s">
        <v>8</v>
      </c>
    </row>
    <row r="1348">
      <c r="B1348" s="8" t="s">
        <v>8</v>
      </c>
    </row>
    <row r="1349">
      <c r="B1349" s="8" t="s">
        <v>8</v>
      </c>
    </row>
    <row r="1350">
      <c r="B1350" s="8" t="s">
        <v>8</v>
      </c>
    </row>
    <row r="1351">
      <c r="B1351" s="8" t="s">
        <v>8</v>
      </c>
    </row>
    <row r="1352">
      <c r="B1352" s="8" t="s">
        <v>8</v>
      </c>
    </row>
    <row r="1353">
      <c r="B1353" s="8" t="s">
        <v>8</v>
      </c>
    </row>
    <row r="1354">
      <c r="B1354" s="8" t="s">
        <v>8</v>
      </c>
    </row>
    <row r="1355">
      <c r="B1355" s="8" t="s">
        <v>8</v>
      </c>
    </row>
    <row r="1356">
      <c r="B1356" s="8" t="s">
        <v>8</v>
      </c>
    </row>
    <row r="1357">
      <c r="B1357" s="8" t="s">
        <v>8</v>
      </c>
    </row>
    <row r="1358">
      <c r="B1358" s="8" t="s">
        <v>8</v>
      </c>
    </row>
    <row r="1359">
      <c r="B1359" s="8" t="s">
        <v>8</v>
      </c>
    </row>
    <row r="1360">
      <c r="B1360" s="8" t="s">
        <v>8</v>
      </c>
    </row>
    <row r="1361">
      <c r="B1361" s="8" t="s">
        <v>8</v>
      </c>
    </row>
    <row r="1362">
      <c r="B1362" s="8" t="s">
        <v>8</v>
      </c>
    </row>
    <row r="1363">
      <c r="B1363" s="8" t="s">
        <v>8</v>
      </c>
    </row>
    <row r="1364">
      <c r="B1364" s="8" t="s">
        <v>8</v>
      </c>
    </row>
    <row r="1365">
      <c r="B1365" s="8" t="s">
        <v>8</v>
      </c>
    </row>
    <row r="1366">
      <c r="B1366" s="8" t="s">
        <v>8</v>
      </c>
    </row>
    <row r="1367">
      <c r="B1367" s="8" t="s">
        <v>8</v>
      </c>
    </row>
    <row r="1368">
      <c r="B1368" s="8" t="s">
        <v>8</v>
      </c>
    </row>
    <row r="1369">
      <c r="B1369" s="8" t="s">
        <v>8</v>
      </c>
    </row>
    <row r="1370">
      <c r="B1370" s="8" t="s">
        <v>8</v>
      </c>
    </row>
    <row r="1371">
      <c r="B1371" s="8" t="s">
        <v>8</v>
      </c>
    </row>
    <row r="1372">
      <c r="B1372" s="8" t="s">
        <v>8</v>
      </c>
    </row>
    <row r="1373">
      <c r="B1373" s="8" t="s">
        <v>8</v>
      </c>
    </row>
    <row r="1374">
      <c r="B1374" s="8" t="s">
        <v>8</v>
      </c>
    </row>
    <row r="1375">
      <c r="B1375" s="8" t="s">
        <v>8</v>
      </c>
    </row>
    <row r="1376">
      <c r="B1376" s="8" t="s">
        <v>8</v>
      </c>
    </row>
    <row r="1377">
      <c r="B1377" s="8" t="s">
        <v>8</v>
      </c>
    </row>
    <row r="1378">
      <c r="B1378" s="8" t="s">
        <v>8</v>
      </c>
    </row>
    <row r="1379">
      <c r="B1379" s="8" t="s">
        <v>8</v>
      </c>
    </row>
    <row r="1380">
      <c r="B1380" s="8" t="s">
        <v>8</v>
      </c>
    </row>
    <row r="1381">
      <c r="B1381" s="8" t="s">
        <v>8</v>
      </c>
    </row>
    <row r="1382">
      <c r="B1382" s="8" t="s">
        <v>8</v>
      </c>
    </row>
    <row r="1383">
      <c r="B1383" s="8" t="s">
        <v>8</v>
      </c>
    </row>
    <row r="1384">
      <c r="B1384" s="8" t="s">
        <v>8</v>
      </c>
    </row>
    <row r="1385">
      <c r="B1385" s="8" t="s">
        <v>8</v>
      </c>
    </row>
    <row r="1386">
      <c r="B1386" s="8" t="s">
        <v>8</v>
      </c>
    </row>
    <row r="1387">
      <c r="B1387" s="8" t="s">
        <v>8</v>
      </c>
    </row>
    <row r="1388">
      <c r="B1388" s="8" t="s">
        <v>8</v>
      </c>
    </row>
    <row r="1389">
      <c r="B1389" s="8" t="s">
        <v>8</v>
      </c>
    </row>
    <row r="1390">
      <c r="B1390" s="8" t="s">
        <v>8</v>
      </c>
    </row>
    <row r="1391">
      <c r="B1391" s="8" t="s">
        <v>8</v>
      </c>
    </row>
    <row r="1392">
      <c r="B1392" s="8" t="s">
        <v>8</v>
      </c>
    </row>
    <row r="1393">
      <c r="B1393" s="8" t="s">
        <v>8</v>
      </c>
    </row>
    <row r="1394">
      <c r="B1394" s="8" t="s">
        <v>8</v>
      </c>
    </row>
    <row r="1395">
      <c r="B1395" s="8" t="s">
        <v>8</v>
      </c>
    </row>
    <row r="1396">
      <c r="B1396" s="8" t="s">
        <v>8</v>
      </c>
    </row>
    <row r="1397">
      <c r="B1397" s="8" t="s">
        <v>8</v>
      </c>
    </row>
    <row r="1398">
      <c r="B1398" s="8" t="s">
        <v>8</v>
      </c>
    </row>
    <row r="1399">
      <c r="B1399" s="8" t="s">
        <v>8</v>
      </c>
    </row>
    <row r="1400">
      <c r="B1400" s="8" t="s">
        <v>8</v>
      </c>
    </row>
    <row r="1401">
      <c r="B1401" s="8" t="s">
        <v>8</v>
      </c>
    </row>
    <row r="1402">
      <c r="B1402" s="8" t="s">
        <v>8</v>
      </c>
    </row>
    <row r="1403">
      <c r="B1403" s="8" t="s">
        <v>8</v>
      </c>
    </row>
    <row r="1404">
      <c r="B1404" s="8" t="s">
        <v>8</v>
      </c>
    </row>
    <row r="1405">
      <c r="B1405" s="8" t="s">
        <v>8</v>
      </c>
    </row>
    <row r="1406">
      <c r="B1406" s="8" t="s">
        <v>8</v>
      </c>
    </row>
    <row r="1407">
      <c r="B1407" s="8" t="s">
        <v>8</v>
      </c>
    </row>
    <row r="1408">
      <c r="B1408" s="8" t="s">
        <v>8</v>
      </c>
    </row>
    <row r="1409">
      <c r="B1409" s="8" t="s">
        <v>8</v>
      </c>
    </row>
    <row r="1410">
      <c r="B1410" s="8" t="s">
        <v>8</v>
      </c>
    </row>
    <row r="1411">
      <c r="B1411" s="8" t="s">
        <v>8</v>
      </c>
    </row>
    <row r="1412">
      <c r="B1412" s="8" t="s">
        <v>8</v>
      </c>
    </row>
    <row r="1413">
      <c r="B1413" s="8" t="s">
        <v>8</v>
      </c>
    </row>
    <row r="1414">
      <c r="B1414" s="8" t="s">
        <v>8</v>
      </c>
    </row>
    <row r="1415">
      <c r="B1415" s="8" t="s">
        <v>8</v>
      </c>
    </row>
    <row r="1416">
      <c r="B1416" s="8" t="s">
        <v>8</v>
      </c>
    </row>
    <row r="1417">
      <c r="B1417" s="8" t="s">
        <v>8</v>
      </c>
    </row>
    <row r="1418">
      <c r="B1418" s="8" t="s">
        <v>8</v>
      </c>
    </row>
    <row r="1419">
      <c r="B1419" s="8" t="s">
        <v>8</v>
      </c>
    </row>
    <row r="1420">
      <c r="B1420" s="8" t="s">
        <v>8</v>
      </c>
    </row>
    <row r="1421">
      <c r="B1421" s="8" t="s">
        <v>8</v>
      </c>
    </row>
    <row r="1422">
      <c r="B1422" s="8" t="s">
        <v>8</v>
      </c>
    </row>
    <row r="1423">
      <c r="B1423" s="8" t="s">
        <v>8</v>
      </c>
    </row>
    <row r="1424">
      <c r="B1424" s="8" t="s">
        <v>8</v>
      </c>
    </row>
    <row r="1425">
      <c r="B1425" s="8" t="s">
        <v>8</v>
      </c>
    </row>
    <row r="1426">
      <c r="B1426" s="8" t="s">
        <v>8</v>
      </c>
    </row>
    <row r="1427">
      <c r="B1427" s="8" t="s">
        <v>8</v>
      </c>
    </row>
    <row r="1428">
      <c r="B1428" s="8" t="s">
        <v>8</v>
      </c>
    </row>
    <row r="1429">
      <c r="B1429" s="8" t="s">
        <v>8</v>
      </c>
    </row>
    <row r="1430">
      <c r="B1430" s="8" t="s">
        <v>8</v>
      </c>
    </row>
    <row r="1431">
      <c r="B1431" s="8" t="s">
        <v>8</v>
      </c>
    </row>
    <row r="1432">
      <c r="B1432" s="8" t="s">
        <v>8</v>
      </c>
    </row>
    <row r="1433">
      <c r="B1433" s="8" t="s">
        <v>8</v>
      </c>
    </row>
    <row r="1434">
      <c r="B1434" s="8" t="s">
        <v>8</v>
      </c>
    </row>
    <row r="1435">
      <c r="B1435" s="8" t="s">
        <v>8</v>
      </c>
    </row>
    <row r="1436">
      <c r="B1436" s="8" t="s">
        <v>8</v>
      </c>
    </row>
    <row r="1437">
      <c r="B1437" s="8" t="s">
        <v>8</v>
      </c>
    </row>
    <row r="1438">
      <c r="B1438" s="8" t="s">
        <v>8</v>
      </c>
    </row>
    <row r="1439">
      <c r="B1439" s="8" t="s">
        <v>8</v>
      </c>
    </row>
    <row r="1440">
      <c r="B1440" s="8" t="s">
        <v>8</v>
      </c>
    </row>
    <row r="1441">
      <c r="B1441" s="8" t="s">
        <v>8</v>
      </c>
    </row>
    <row r="1442">
      <c r="B1442" s="8" t="s">
        <v>8</v>
      </c>
    </row>
    <row r="1443">
      <c r="B1443" s="8" t="s">
        <v>8</v>
      </c>
    </row>
    <row r="1444">
      <c r="B1444" s="8" t="s">
        <v>8</v>
      </c>
    </row>
    <row r="1445">
      <c r="B1445" s="8" t="s">
        <v>8</v>
      </c>
    </row>
    <row r="1446">
      <c r="B1446" s="8" t="s">
        <v>8</v>
      </c>
    </row>
    <row r="1447">
      <c r="B1447" s="8" t="s">
        <v>8</v>
      </c>
    </row>
    <row r="1448">
      <c r="B1448" s="8" t="s">
        <v>8</v>
      </c>
    </row>
    <row r="1449">
      <c r="B1449" s="8" t="s">
        <v>8</v>
      </c>
    </row>
    <row r="1450">
      <c r="B1450" s="8" t="s">
        <v>8</v>
      </c>
    </row>
    <row r="1451">
      <c r="B1451" s="8" t="s">
        <v>8</v>
      </c>
    </row>
    <row r="1452">
      <c r="B1452" s="8" t="s">
        <v>8</v>
      </c>
    </row>
    <row r="1453">
      <c r="B1453" s="8" t="s">
        <v>8</v>
      </c>
    </row>
    <row r="1454">
      <c r="B1454" s="8" t="s">
        <v>8</v>
      </c>
    </row>
    <row r="1455">
      <c r="B1455" s="8" t="s">
        <v>8</v>
      </c>
    </row>
    <row r="1456">
      <c r="B1456" s="8" t="s">
        <v>8</v>
      </c>
    </row>
    <row r="1457">
      <c r="B1457" s="8" t="s">
        <v>8</v>
      </c>
    </row>
    <row r="1458">
      <c r="B1458" s="8" t="s">
        <v>8</v>
      </c>
    </row>
    <row r="1459">
      <c r="B1459" s="8" t="s">
        <v>8</v>
      </c>
    </row>
    <row r="1460">
      <c r="B1460" s="8" t="s">
        <v>8</v>
      </c>
    </row>
    <row r="1461">
      <c r="B1461" s="8" t="s">
        <v>8</v>
      </c>
    </row>
    <row r="1462">
      <c r="B1462" s="8" t="s">
        <v>8</v>
      </c>
    </row>
    <row r="1463">
      <c r="B1463" s="8" t="s">
        <v>8</v>
      </c>
    </row>
    <row r="1464">
      <c r="B1464" s="8" t="s">
        <v>8</v>
      </c>
    </row>
    <row r="1465">
      <c r="B1465" s="8" t="s">
        <v>8</v>
      </c>
    </row>
    <row r="1466">
      <c r="B1466" s="8" t="s">
        <v>8</v>
      </c>
    </row>
    <row r="1467">
      <c r="B1467" s="8" t="s">
        <v>8</v>
      </c>
    </row>
    <row r="1468">
      <c r="B1468" s="8" t="s">
        <v>8</v>
      </c>
    </row>
    <row r="1469">
      <c r="B1469" s="8" t="s">
        <v>8</v>
      </c>
    </row>
    <row r="1470">
      <c r="B1470" s="8" t="s">
        <v>8</v>
      </c>
    </row>
    <row r="1471">
      <c r="B1471" s="8" t="s">
        <v>8</v>
      </c>
    </row>
    <row r="1472">
      <c r="B1472" s="8" t="s">
        <v>8</v>
      </c>
    </row>
    <row r="1473">
      <c r="B1473" s="8" t="s">
        <v>8</v>
      </c>
    </row>
    <row r="1474">
      <c r="B1474" s="8" t="s">
        <v>8</v>
      </c>
    </row>
    <row r="1475">
      <c r="B1475" s="8" t="s">
        <v>8</v>
      </c>
    </row>
    <row r="1476">
      <c r="B1476" s="8" t="s">
        <v>8</v>
      </c>
    </row>
    <row r="1477">
      <c r="B1477" s="8" t="s">
        <v>8</v>
      </c>
    </row>
    <row r="1478">
      <c r="B1478" s="8" t="s">
        <v>8</v>
      </c>
    </row>
    <row r="1479">
      <c r="B1479" s="8" t="s">
        <v>8</v>
      </c>
    </row>
    <row r="1480">
      <c r="B1480" s="8" t="s">
        <v>8</v>
      </c>
    </row>
    <row r="1481">
      <c r="B1481" s="8" t="s">
        <v>8</v>
      </c>
    </row>
    <row r="1482">
      <c r="B1482" s="8" t="s">
        <v>8</v>
      </c>
    </row>
    <row r="1483">
      <c r="B1483" s="8" t="s">
        <v>8</v>
      </c>
    </row>
    <row r="1484">
      <c r="B1484" s="8" t="s">
        <v>8</v>
      </c>
    </row>
    <row r="1485">
      <c r="B1485" s="8" t="s">
        <v>8</v>
      </c>
    </row>
    <row r="1486">
      <c r="B1486" s="8" t="s">
        <v>8</v>
      </c>
    </row>
    <row r="1487">
      <c r="B1487" s="8" t="s">
        <v>8</v>
      </c>
    </row>
    <row r="1488">
      <c r="B1488" s="8" t="s">
        <v>8</v>
      </c>
    </row>
    <row r="1489">
      <c r="B1489" s="8" t="s">
        <v>8</v>
      </c>
    </row>
    <row r="1490">
      <c r="B1490" s="8" t="s">
        <v>8</v>
      </c>
    </row>
    <row r="1491">
      <c r="B1491" s="8" t="s">
        <v>8</v>
      </c>
    </row>
    <row r="1492">
      <c r="B1492" s="8" t="s">
        <v>8</v>
      </c>
    </row>
    <row r="1493">
      <c r="B1493" s="8" t="s">
        <v>8</v>
      </c>
    </row>
    <row r="1494">
      <c r="B1494" s="8" t="s">
        <v>8</v>
      </c>
    </row>
    <row r="1495">
      <c r="B1495" s="8" t="s">
        <v>8</v>
      </c>
    </row>
    <row r="1496">
      <c r="B1496" s="8" t="s">
        <v>8</v>
      </c>
    </row>
    <row r="1497">
      <c r="B1497" s="8" t="s">
        <v>8</v>
      </c>
    </row>
    <row r="1498">
      <c r="B1498" s="8" t="s">
        <v>8</v>
      </c>
    </row>
    <row r="1499">
      <c r="B1499" s="8" t="s">
        <v>8</v>
      </c>
    </row>
    <row r="1500">
      <c r="B1500" s="8" t="s">
        <v>8</v>
      </c>
    </row>
    <row r="1501">
      <c r="B1501" s="8" t="s">
        <v>8</v>
      </c>
    </row>
    <row r="1502">
      <c r="B1502" s="8" t="s">
        <v>8</v>
      </c>
    </row>
    <row r="1503">
      <c r="B1503" s="8" t="s">
        <v>8</v>
      </c>
    </row>
    <row r="1504">
      <c r="B1504" s="8" t="s">
        <v>8</v>
      </c>
    </row>
    <row r="1505">
      <c r="B1505" s="8" t="s">
        <v>8</v>
      </c>
    </row>
    <row r="1506">
      <c r="B1506" s="8" t="s">
        <v>8</v>
      </c>
    </row>
    <row r="1507">
      <c r="B1507" s="8" t="s">
        <v>8</v>
      </c>
    </row>
    <row r="1508">
      <c r="B1508" s="8" t="s">
        <v>8</v>
      </c>
    </row>
    <row r="1509">
      <c r="B1509" s="8" t="s">
        <v>8</v>
      </c>
    </row>
    <row r="1510">
      <c r="B1510" s="8" t="s">
        <v>8</v>
      </c>
    </row>
  </sheetData>
  <drawing r:id="rId1"/>
</worksheet>
</file>